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ac7a7b5bf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ba233445627b42d4"/>
    <x:sheet xmlns:r="http://schemas.openxmlformats.org/officeDocument/2006/relationships" name="요약" sheetId="2" r:id="R58fdee28f8314c49"/>
    <x:sheet xmlns:r="http://schemas.openxmlformats.org/officeDocument/2006/relationships" name="포켓몬_편집" sheetId="3" r:id="R4f49f289bb284b9a"/>
    <x:sheet xmlns:r="http://schemas.openxmlformats.org/officeDocument/2006/relationships" name="서식지_점수" sheetId="4" r:id="Rb5f3a451f2ae49aa"/>
    <x:sheet xmlns:r="http://schemas.openxmlformats.org/officeDocument/2006/relationships" name="분류_규칙" sheetId="5" r:id="R9538ca5071c24cfa"/>
    <x:sheet xmlns:r="http://schemas.openxmlformats.org/officeDocument/2006/relationships" name="원본_자동" sheetId="6" r:id="R15948f6dfe6147eb"/>
    <x:sheet xmlns:r="http://schemas.openxmlformats.org/officeDocument/2006/relationships" name="값_목록" sheetId="7" r:id="Rad290ea9d9714c64"/>
    <x:sheet xmlns:r="http://schemas.openxmlformats.org/officeDocument/2006/relationships" name="출처_메타" sheetId="8" r:id="R3a62acd12bee4034"/>
    <x:sheet xmlns:r="http://schemas.openxmlformats.org/officeDocument/2006/relationships" name="지역도감_출현" sheetId="9" r:id="Rab51b21cec434473"/>
    <x:sheet xmlns:r="http://schemas.openxmlformats.org/officeDocument/2006/relationships" name="런타임_원본" sheetId="10" r:id="R27e42ed9832d4c2e"/>
    <x:sheet xmlns:r="http://schemas.openxmlformats.org/officeDocument/2006/relationships" name="번호서식지_배정" sheetId="11" r:id="R6f5b3654d4594cd3"/>
    <x:sheet xmlns:r="http://schemas.openxmlformats.org/officeDocument/2006/relationships" name="번호서식지_분포" sheetId="12" r:id="R3c3de6c460fe4d49"/>
  </x:sheets>
</x:workbook>
</file>

<file path=xl/comments1.xml><?xml version="1.0" encoding="utf-8"?>
<x:comments xmlns:x="http://schemas.openxmlformats.org/spreadsheetml/2006/main">
  <x:authors>
    <x:author>User</x:author>
  </x:authors>
  <x:commentList>
    <x:comment ref="T4" authorId="0">
      <x:text>
        <x:r>
          <x:t>자동 판정이 맞지 않는 예외에만 지정하세요. 비워 두면 자동주서식지가 적용됩니다.</x:t>
        </x:r>
      </x:text>
    </x:comment>
    <x:comment ref="X4" authorId="0">
      <x:text>
        <x:r>
          <x:t>상위 두 서식지 점수 차이로 계산합니다. 8점 미만은 검토필요입니다.</x:t>
        </x:r>
      </x:text>
    </x:comment>
    <x:comment ref="Y4" authorId="0">
      <x:text>
        <x:r>
          <x:t>진화 단계·최종 진화 레벨·레어도로 계산한 세대 월드 내 최초 출현 지역입니다.</x:t>
        </x:r>
      </x:text>
    </x:comment>
  </x:commentList>
</x:comments>
</file>

<file path=xl/comments2.xml><?xml version="1.0" encoding="utf-8"?>
<x:comments xmlns:x="http://schemas.openxmlformats.org/spreadsheetml/2006/main">
  <x:authors>
    <x:author>tc={AFC9F129-4DD9-F136-1D43-CC6F19649645}</x:author>
  </x:authors>
  <x:commentList>
    <x:comment ref="E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출처: https://pokeapi.co/api/v2/pokedex/ — 지역도감 수록 여부이며 최초 등장 세대와 별도로 사용합니다.</x:t>
        </x:r>
      </x:text>
    </x:comment>
  </x:commentList>
</x:comments>
</file>

<file path=xl/comments3.xml><?xml version="1.0" encoding="utf-8"?>
<x:comments xmlns:x="http://schemas.openxmlformats.org/spreadsheetml/2006/main">
  <x:authors>
    <x:author>tc={522AA4C2-DE87-109B-F2F4-F87401C828D4}</x:author>
    <x:author>tc={35CEC3B3-D33C-91DB-1C39-B0EC39540D14}</x:author>
  </x:authors>
  <x:commentList>
    <x:comment ref="F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출처: https://pokeapi.co/api/v2/pokemon-species/ 의 is_legendary 값입니다.</x:t>
        </x:r>
      </x:text>
    </x:comment>
    <x:comment ref="G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출처: https://pokeapi.co/api/v2/pokemon-species/ 의 is_mythical 값입니다.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"/>
    <x:numFmt numFmtId="200" formatCode="0"/>
    <x:numFmt numFmtId="201" formatCode="0&quot;세대&quot;"/>
  </x:numFmts>
  <x:fonts count="9">
    <x:font>
      <x:sz val="11"/>
      <x:color theme="1"/>
      <x:name val="Calibri"/>
    </x:font>
    <x:font>
      <x:b/>
      <x:sz val="18"/>
      <x:color rgb="FFFFFFFF"/>
      <x:name val="Aptos Display"/>
    </x:font>
    <x:font>
      <x:sz val="10"/>
      <x:color rgb="FF243247"/>
      <x:name val="Aptos"/>
    </x:font>
    <x:font>
      <x:b/>
      <x:sz val="10"/>
      <x:color rgb="FFFFFFFF"/>
      <x:name val="Aptos"/>
    </x:font>
    <x:font>
      <x:sz val="9"/>
      <x:color rgb="FF243247"/>
      <x:name val="Aptos"/>
    </x:font>
    <x:font>
      <x:b/>
      <x:sz val="18"/>
      <x:color rgb="FFFFFFFF"/>
      <x:name val="Calibri"/>
    </x:font>
    <x:font>
      <x:sz val="10"/>
      <x:color rgb="FF536273"/>
      <x:name val="Calibri"/>
    </x:font>
    <x:font>
      <x:b/>
      <x:sz val="10"/>
      <x:color rgb="FFFFFFFF"/>
      <x:name val="Calibri"/>
    </x:font>
    <x:font>
      <x:sz val="9"/>
      <x:color rgb="FF334155"/>
      <x:name val="Calibri"/>
    </x:font>
  </x:fonts>
  <x:fills count="23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EFFA"/>
      </x:patternFill>
    </x:fill>
    <x:fill>
      <x:patternFill patternType="solid">
        <x:fgColor rgb="FF166B6B"/>
      </x:patternFill>
    </x:fill>
    <x:fill>
      <x:patternFill patternType="solid">
        <x:fgColor rgb="FFFFF2CC"/>
      </x:patternFill>
    </x:fill>
    <x:fill>
      <x:patternFill patternType="solid">
        <x:fgColor rgb="FF17324D"/>
      </x:patternFill>
    </x:fill>
    <x:fill>
      <x:patternFill patternType="solid">
        <x:fgColor rgb="FFE8F0FA"/>
      </x:patternFill>
    </x:fill>
    <x:fill>
      <x:patternFill patternType="solid">
        <x:fgColor rgb="FF166B6B"/>
      </x:patternFill>
    </x:fill>
    <x:fill>
      <x:patternFill patternType="solid">
        <x:fgColor rgb="FFFFFFFF"/>
      </x:patternFill>
    </x:fill>
    <x:fill>
      <x:patternFill patternType="solid">
        <x:fgColor rgb="FFEEF5FB"/>
      </x:patternFill>
    </x:fill>
    <x:fill>
      <x:patternFill patternType="solid">
        <x:fgColor rgb="FF17324D"/>
      </x:patternFill>
    </x:fill>
    <x:fill>
      <x:patternFill patternType="solid">
        <x:fgColor rgb="FFE8F0FA"/>
      </x:patternFill>
    </x:fill>
    <x:fill>
      <x:patternFill patternType="solid">
        <x:fgColor rgb="FF7C3E1D"/>
      </x:patternFill>
    </x:fill>
    <x:fill>
      <x:patternFill patternType="solid">
        <x:fgColor rgb="FFFFFFFF"/>
      </x:patternFill>
    </x:fill>
    <x:fill>
      <x:patternFill patternType="solid">
        <x:fgColor rgb="FFEEF5FB"/>
      </x:patternFill>
    </x:fill>
    <x:fill>
      <x:patternFill patternType="solid">
        <x:fgColor rgb="FF17324D"/>
      </x:patternFill>
    </x:fill>
    <x:fill>
      <x:patternFill patternType="solid">
        <x:fgColor rgb="FFE8F0FA"/>
      </x:patternFill>
    </x:fill>
    <x:fill>
      <x:patternFill patternType="solid">
        <x:fgColor rgb="FF4F5D2F"/>
      </x:patternFill>
    </x:fill>
    <x:fill>
      <x:patternFill patternType="solid">
        <x:fgColor rgb="FFFFFFFF"/>
      </x:patternFill>
    </x:fill>
    <x:fill>
      <x:patternFill patternType="solid">
        <x:fgColor rgb="FFF2F6E8"/>
      </x:patternFill>
    </x:fill>
    <x:fill>
      <x:patternFill patternType="solid">
        <x:fgColor rgb="FF166B6B"/>
      </x:patternFill>
    </x:fill>
    <x:fill>
      <x:patternFill patternType="solid">
        <x:fgColor rgb="FFEEF5FB"/>
      </x:patternFill>
    </x:fill>
  </x:fills>
  <x:borders count="5">
    <x:border/>
    <x:border>
      <x:bottom style="thin">
        <x:color rgb="FFD9E2F0"/>
      </x:bottom>
    </x:border>
    <x:border>
      <x:bottom style="thin">
        <x:color rgb="FFD8E2EC"/>
      </x:bottom>
    </x:border>
    <x:border>
      <x:top style="thin">
        <x:color rgb="FFD8E2EC"/>
      </x:top>
      <x:bottom style="thin">
        <x:color rgb="FFD8E2EC"/>
      </x:bottom>
    </x:border>
    <x:border>
      <x:top style="thin">
        <x:color rgb="FFD8E2EC"/>
      </x:top>
    </x:border>
  </x:borders>
  <x:cellStyleXfs count="1">
    <x:xf numFmtId="0" fontId="0" fillId="0" borderId="0"/>
  </x:cellStyleXfs>
  <x:cellXfs count="99">
    <x:xf numFmtId="0" fontId="0" fillId="0" borderId="0" xfId="0"/>
    <x:xf numFmtId="0" fontId="1" fillId="2" borderId="0" xfId="0" applyAlignment="1">
      <x:alignment vertical="center"/>
    </x:xf>
    <x:xf numFmtId="0" fontId="2" fillId="3" borderId="0" xfId="0" applyAlignment="1">
      <x:alignment vertical="center" wrapText="1"/>
    </x:xf>
    <x:xf numFmtId="0" fontId="3" fillId="4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4" fillId="0" borderId="1" xfId="0" applyAlignment="1">
      <x:alignment vertical="center"/>
    </x:xf>
    <x:xf numFmtId="164" fontId="4" fillId="0" borderId="1" xfId="0" applyAlignment="1">
      <x:alignment vertical="center"/>
    </x:xf>
    <x:xf numFmtId="0" fontId="4" fillId="5" borderId="1" xfId="0" applyAlignment="1">
      <x:alignment vertical="center"/>
    </x:xf>
    <x:xf numFmtId="0" fontId="4" fillId="3" borderId="1" xfId="0" applyAlignment="1">
      <x:alignment vertical="center"/>
    </x:xf>
    <x:xf numFmtId="1" fontId="4" fillId="3" borderId="1" xfId="0" applyAlignment="1">
      <x:alignment vertical="center"/>
    </x:xf>
    <x:xf numFmtId="1" fontId="4" fillId="0" borderId="1" xfId="0" applyAlignment="1">
      <x:alignment vertical="center"/>
    </x:xf>
    <x:xf numFmtId="1" fontId="4" fillId="0" borderId="1" xfId="0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/>
    </x:xf>
    <x:xf numFmtId="0" fontId="7" fillId="8" borderId="2" xfId="0" applyNumberFormat="1" applyFont="1" applyFill="1" applyBorder="1" applyAlignment="1">
      <x:alignment horizontal="center" vertical="center" wrapText="1"/>
    </x:xf>
    <x:xf numFmtId="0" fontId="8" fillId="9" borderId="3" xfId="0" applyNumberFormat="1" applyFont="1" applyFill="1" applyBorder="1"/>
    <x:xf numFmtId="0" fontId="8" fillId="10" borderId="3" xfId="0" applyNumberFormat="1" applyFont="1" applyFill="1" applyBorder="1" applyAlignment="1">
      <x:alignment horizontal="center"/>
    </x:xf>
    <x:xf numFmtId="0" fontId="8" fillId="9" borderId="4" xfId="0" applyNumberFormat="1" applyFont="1" applyFill="1" applyBorder="1"/>
    <x:xf numFmtId="0" fontId="8" fillId="10" borderId="4" xfId="0" applyNumberFormat="1" applyFont="1" applyFill="1" applyBorder="1" applyAlignment="1">
      <x:alignment horizontal="center"/>
    </x:xf>
    <x:xf numFmtId="200" fontId="8" fillId="9" borderId="3" xfId="0" applyNumberFormat="1" applyFont="1" applyFill="1" applyBorder="1"/>
    <x:xf numFmtId="200" fontId="8" fillId="9" borderId="4" xfId="0" applyNumberFormat="1" applyFont="1" applyFill="1" applyBorder="1"/>
    <x:xf numFmtId="201" fontId="8" fillId="9" borderId="3" xfId="0" applyNumberFormat="1" applyFont="1" applyFill="1" applyBorder="1"/>
    <x:xf numFmtId="201" fontId="8" fillId="9" borderId="4" xfId="0" applyNumberFormat="1" applyFont="1" applyFill="1" applyBorder="1"/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wrapText="1"/>
    </x:xf>
    <x:xf numFmtId="0" fontId="7" fillId="13" borderId="0" xfId="0" applyNumberFormat="1" applyFont="1" applyFill="1" applyBorder="1" applyAlignment="1">
      <x:alignment horizontal="center" wrapText="1"/>
    </x:xf>
    <x:xf numFmtId="0" fontId="7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8" fillId="14" borderId="0" xfId="0" applyNumberFormat="1" applyFont="1" applyFill="1" applyBorder="1"/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0" xfId="0" applyNumberFormat="1" applyFont="1" applyFill="1" applyBorder="1" applyAlignment="1">
      <x:alignment horizontal="center"/>
    </x:xf>
    <x:xf numFmtId="0" fontId="7" fillId="13" borderId="2" xfId="0" applyNumberFormat="1" applyFont="1" applyFill="1" applyBorder="1" applyAlignment="1">
      <x:alignment horizontal="center" vertical="center" wrapText="1"/>
    </x:xf>
    <x:xf numFmtId="0" fontId="8" fillId="14" borderId="3" xfId="0" applyNumberFormat="1" applyFont="1" applyFill="1" applyBorder="1"/>
    <x:xf numFmtId="0" fontId="8" fillId="15" borderId="3" xfId="0" applyNumberFormat="1" applyFont="1" applyFill="1" applyBorder="1" applyAlignment="1">
      <x:alignment horizontal="center"/>
    </x:xf>
    <x:xf numFmtId="0" fontId="8" fillId="14" borderId="4" xfId="0" applyNumberFormat="1" applyFont="1" applyFill="1" applyBorder="1"/>
    <x:xf numFmtId="0" fontId="8" fillId="15" borderId="4" xfId="0" applyNumberFormat="1" applyFont="1" applyFill="1" applyBorder="1" applyAlignment="1">
      <x:alignment horizontal="center"/>
    </x:xf>
    <x:xf numFmtId="200" fontId="8" fillId="14" borderId="3" xfId="0" applyNumberFormat="1" applyFont="1" applyFill="1" applyBorder="1"/>
    <x:xf numFmtId="200" fontId="8" fillId="14" borderId="4" xfId="0" applyNumberFormat="1" applyFont="1" applyFill="1" applyBorder="1"/>
    <x:xf numFmtId="0" fontId="0" fillId="16" borderId="0" xfId="0" applyNumberFormat="1" applyFont="1" applyFill="1" applyBorder="1"/>
    <x:xf numFmtId="0" fontId="5" fillId="16" borderId="0" xfId="0" applyNumberFormat="1" applyFont="1" applyFill="1" applyBorder="1"/>
    <x:xf numFmtId="0" fontId="5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6" fillId="17" borderId="0" xfId="0" applyNumberFormat="1" applyFont="1" applyFill="1" applyBorder="1"/>
    <x:xf numFmtId="0" fontId="6" fillId="17" borderId="0" xfId="0" applyNumberFormat="1" applyFont="1" applyFill="1" applyBorder="1" applyAlignment="1">
      <x:alignment wrapText="1"/>
    </x:xf>
    <x:xf numFmtId="0" fontId="6" fillId="17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7" fillId="18" borderId="0" xfId="0" applyNumberFormat="1" applyFont="1" applyFill="1" applyBorder="1"/>
    <x:xf numFmtId="0" fontId="7" fillId="18" borderId="0" xfId="0" applyNumberFormat="1" applyFont="1" applyFill="1" applyBorder="1" applyAlignment="1">
      <x:alignment wrapText="1"/>
    </x:xf>
    <x:xf numFmtId="0" fontId="7" fillId="18" borderId="0" xfId="0" applyNumberFormat="1" applyFont="1" applyFill="1" applyBorder="1" applyAlignment="1">
      <x:alignment horizontal="center" wrapText="1"/>
    </x:xf>
    <x:xf numFmtId="0" fontId="7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8" fillId="19" borderId="0" xfId="0" applyNumberFormat="1" applyFont="1" applyFill="1" applyBorder="1"/>
    <x:xf numFmtId="0" fontId="0" fillId="20" borderId="0" xfId="0" applyNumberFormat="1" applyFont="1" applyFill="1" applyBorder="1"/>
    <x:xf numFmtId="0" fontId="8" fillId="20" borderId="0" xfId="0" applyNumberFormat="1" applyFont="1" applyFill="1" applyBorder="1"/>
    <x:xf numFmtId="0" fontId="8" fillId="20" borderId="0" xfId="0" applyNumberFormat="1" applyFont="1" applyFill="1" applyBorder="1" applyAlignment="1">
      <x:alignment horizontal="center"/>
    </x:xf>
    <x:xf numFmtId="0" fontId="7" fillId="18" borderId="2" xfId="0" applyNumberFormat="1" applyFont="1" applyFill="1" applyBorder="1" applyAlignment="1">
      <x:alignment horizontal="center" vertical="center" wrapText="1"/>
    </x:xf>
    <x:xf numFmtId="0" fontId="8" fillId="19" borderId="3" xfId="0" applyNumberFormat="1" applyFont="1" applyFill="1" applyBorder="1"/>
    <x:xf numFmtId="0" fontId="8" fillId="20" borderId="3" xfId="0" applyNumberFormat="1" applyFont="1" applyFill="1" applyBorder="1" applyAlignment="1">
      <x:alignment horizontal="center"/>
    </x:xf>
    <x:xf numFmtId="0" fontId="8" fillId="19" borderId="4" xfId="0" applyNumberFormat="1" applyFont="1" applyFill="1" applyBorder="1"/>
    <x:xf numFmtId="0" fontId="8" fillId="20" borderId="4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7" fillId="21" borderId="0" xfId="0" applyNumberFormat="1" applyFont="1" applyFill="1" applyBorder="1"/>
    <x:xf numFmtId="0" fontId="7" fillId="21" borderId="0" xfId="0" applyNumberFormat="1" applyFont="1" applyFill="1" applyBorder="1" applyAlignment="1">
      <x:alignment wrapText="1"/>
    </x:xf>
    <x:xf numFmtId="0" fontId="7" fillId="21" borderId="0" xfId="0" applyNumberFormat="1" applyFont="1" applyFill="1" applyBorder="1" applyAlignment="1">
      <x:alignment horizontal="center" wrapText="1"/>
    </x:xf>
    <x:xf numFmtId="0" fontId="7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/>
    <x:xf numFmtId="0" fontId="8" fillId="22" borderId="0" xfId="0" applyNumberFormat="1" applyFont="1" applyFill="1" applyBorder="1" applyAlignment="1">
      <x:alignment horizontal="center"/>
    </x:xf>
    <x:xf numFmtId="0" fontId="7" fillId="21" borderId="2" xfId="0" applyNumberFormat="1" applyFont="1" applyFill="1" applyBorder="1" applyAlignment="1">
      <x:alignment horizontal="center" vertical="center" wrapText="1"/>
    </x:xf>
    <x:xf numFmtId="0" fontId="8" fillId="22" borderId="3" xfId="0" applyNumberFormat="1" applyFont="1" applyFill="1" applyBorder="1" applyAlignment="1">
      <x:alignment horizontal="center"/>
    </x:xf>
    <x:xf numFmtId="0" fontId="8" fillId="22" borderId="4" xfId="0" applyNumberFormat="1" applyFont="1" applyFill="1" applyBorder="1" applyAlignment="1">
      <x:alignment horizontal="center"/>
    </x:xf>
    <x:xf numFmtId="200" fontId="8" fillId="20" borderId="3" xfId="0" applyNumberFormat="1" applyFont="1" applyFill="1" applyBorder="1" applyAlignment="1">
      <x:alignment horizontal="center"/>
    </x:xf>
    <x:xf numFmtId="200" fontId="8" fillId="20" borderId="4" xfId="0" applyNumberFormat="1" applyFont="1" applyFill="1" applyBorder="1" applyAlignment="1">
      <x:alignment horizontal="center"/>
    </x:xf>
    <x:xf numFmtId="164" fontId="8" fillId="20" borderId="3" xfId="0" applyNumberFormat="1" applyFont="1" applyFill="1" applyBorder="1" applyAlignment="1">
      <x:alignment horizontal="center"/>
    </x:xf>
    <x:xf numFmtId="164" fontId="8" fillId="20" borderId="4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ill>
        <x:patternFill>
          <x:bgColor rgb="00FCE4D6"/>
        </x:patternFill>
      </x:fill>
    </x:dxf>
    <x:dxf>
      <x:fill>
        <x:patternFill>
          <x:bgColor rgb="00E2F0D9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56fe3743064def" /><Relationship Type="http://schemas.openxmlformats.org/officeDocument/2006/relationships/theme" Target="/xl/theme/theme1.xml" Id="R7b806677e6bd46c1" /><Relationship Type="http://schemas.openxmlformats.org/officeDocument/2006/relationships/sharedStrings" Target="/xl/sharedStrings.xml" Id="R16ad84cd8ceb4dfa" /><Relationship Type="http://schemas.openxmlformats.org/officeDocument/2006/relationships/worksheet" Target="/xl/worksheets/sheet1.xml" Id="Rba233445627b42d4" /><Relationship Type="http://schemas.openxmlformats.org/officeDocument/2006/relationships/worksheet" Target="/xl/worksheets/sheet2.xml" Id="R58fdee28f8314c49" /><Relationship Type="http://schemas.openxmlformats.org/officeDocument/2006/relationships/worksheet" Target="/xl/worksheets/sheet3.xml" Id="R4f49f289bb284b9a" /><Relationship Type="http://schemas.openxmlformats.org/officeDocument/2006/relationships/worksheet" Target="/xl/worksheets/sheet4.xml" Id="Rb5f3a451f2ae49aa" /><Relationship Type="http://schemas.openxmlformats.org/officeDocument/2006/relationships/worksheet" Target="/xl/worksheets/sheet5.xml" Id="R9538ca5071c24cfa" /><Relationship Type="http://schemas.openxmlformats.org/officeDocument/2006/relationships/worksheet" Target="/xl/worksheets/sheet6.xml" Id="R15948f6dfe6147eb" /><Relationship Type="http://schemas.openxmlformats.org/officeDocument/2006/relationships/worksheet" Target="/xl/worksheets/sheet7.xml" Id="Rad290ea9d9714c64" /><Relationship Type="http://schemas.openxmlformats.org/officeDocument/2006/relationships/worksheet" Target="/xl/worksheets/sheet8.xml" Id="R3a62acd12bee4034" /><Relationship Type="http://schemas.openxmlformats.org/officeDocument/2006/relationships/worksheet" Target="/xl/worksheets/sheet9.xml" Id="Rab51b21cec434473" /><Relationship Type="http://schemas.openxmlformats.org/officeDocument/2006/relationships/worksheet" Target="/xl/worksheets/sheet10.xml" Id="R27e42ed9832d4c2e" /><Relationship Type="http://schemas.openxmlformats.org/officeDocument/2006/relationships/worksheet" Target="/xl/worksheets/sheet11.xml" Id="R6f5b3654d4594cd3" /><Relationship Type="http://schemas.openxmlformats.org/officeDocument/2006/relationships/worksheet" Target="/xl/worksheets/sheet12.xml" Id="R3c3de6c460fe4d49" /><Relationship Type="http://schemas.microsoft.com/office/2017/10/relationships/person" Target="/xl/persons/person.xml" Id="R6504bd8995a9469f" /></Relationships>
</file>

<file path=xl/persons/person.xml><?xml version="1.0" encoding="utf-8"?>
<xltc:personList xmlns:xltc="http://schemas.microsoft.com/office/spreadsheetml/2018/threadedcomments">
  <xltc:person displayName="User" id="{4D703777-93BC-4B83-86B1-3F8251A055DA}"/>
  <xltc:person displayName="User" id="{0E9840A8-78B5-4C08-A572-239F7A209BD6}"/>
</xltc:personList>
</file>

<file path=xl/tables/table1.xml><?xml version="1.0" encoding="utf-8"?>
<x:table xmlns:x="http://schemas.openxmlformats.org/spreadsheetml/2006/main" id="1" name="RegionalPokedexAppearances" displayName="RegionalPokedexAppearances" ref="A4:M1029" headerRowCount="1" totalsRowCount="0" totalsRowShown="0">
  <x:tableColumns count="13">
    <x:tableColumn id="1" name="덱스번호"/>
    <x:tableColumn id="2" name="한글명"/>
    <x:tableColumn id="3" name="영문ID"/>
    <x:tableColumn id="4" name="최초 등장 세대"/>
    <x:tableColumn id="5" name="관동"/>
    <x:tableColumn id="6" name="성도"/>
    <x:tableColumn id="7" name="호연"/>
    <x:tableColumn id="8" name="신오"/>
    <x:tableColumn id="9" name="하나"/>
    <x:tableColumn id="10" name="칼로스"/>
    <x:tableColumn id="11" name="알로라"/>
    <x:tableColumn id="12" name="가라르"/>
    <x:tableColumn id="13" name="팔데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untimePokemonSource" displayName="RuntimePokemonSource" ref="A4:R1029" headerRowCount="1" totalsRowCount="0" totalsRowShown="0">
  <x:tableColumns count="18">
    <x:tableColumn id="1" name="덱스번호"/>
    <x:tableColumn id="2" name="한글명"/>
    <x:tableColumn id="3" name="영문ID"/>
    <x:tableColumn id="4" name="주서식지"/>
    <x:tableColumn id="5" name="레어도"/>
    <x:tableColumn id="6" name="전설"/>
    <x:tableColumn id="7" name="환상"/>
    <x:tableColumn id="8" name="기본출현"/>
    <x:tableColumn id="9" name="기본제외사유"/>
    <x:tableColumn id="10" name="관동"/>
    <x:tableColumn id="11" name="성도"/>
    <x:tableColumn id="12" name="호연"/>
    <x:tableColumn id="13" name="신오"/>
    <x:tableColumn id="14" name="하나"/>
    <x:tableColumn id="15" name="칼로스"/>
    <x:tableColumn id="16" name="알로라"/>
    <x:tableColumn id="17" name="가라르"/>
    <x:tableColumn id="18" name="팔데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umberedHabitatAssignments" displayName="NumberedHabitatAssignments" ref="A4:V1029" headerRowCount="1" totalsRowCount="0" totalsRowShown="0">
  <x:tableColumns count="22">
    <x:tableColumn id="1" name="덱스번호"/>
    <x:tableColumn id="2" name="한글명"/>
    <x:tableColumn id="3" name="영문ID"/>
    <x:tableColumn id="4" name="기본 주서식지"/>
    <x:tableColumn id="5" name="관동 주서식지"/>
    <x:tableColumn id="6" name="관동 보조서식지"/>
    <x:tableColumn id="7" name="성도 주서식지"/>
    <x:tableColumn id="8" name="성도 보조서식지"/>
    <x:tableColumn id="9" name="호연 주서식지"/>
    <x:tableColumn id="10" name="호연 보조서식지"/>
    <x:tableColumn id="11" name="신오 주서식지"/>
    <x:tableColumn id="12" name="신오 보조서식지"/>
    <x:tableColumn id="13" name="하나 주서식지"/>
    <x:tableColumn id="14" name="하나 보조서식지"/>
    <x:tableColumn id="15" name="칼로스 주서식지"/>
    <x:tableColumn id="16" name="칼로스 보조서식지"/>
    <x:tableColumn id="17" name="알로라 주서식지"/>
    <x:tableColumn id="18" name="알로라 보조서식지"/>
    <x:tableColumn id="19" name="가라르 주서식지"/>
    <x:tableColumn id="20" name="가라르 보조서식지"/>
    <x:tableColumn id="21" name="팔데아 주서식지"/>
    <x:tableColumn id="22" name="팔데아 보조서식지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umberedHabitatDistribution" displayName="NumberedHabitatDistribution" ref="A4:M41" headerRowCount="1" totalsRowCount="0" totalsRowShown="0">
  <x:tableColumns count="13">
    <x:tableColumn id="1" name="번호서식지"/>
    <x:tableColumn id="2" name="관동"/>
    <x:tableColumn id="3" name="성도"/>
    <x:tableColumn id="4" name="호연"/>
    <x:tableColumn id="5" name="신오"/>
    <x:tableColumn id="6" name="하나"/>
    <x:tableColumn id="7" name="칼로스"/>
    <x:tableColumn id="8" name="알로라"/>
    <x:tableColumn id="9" name="가라르"/>
    <x:tableColumn id="10" name="팔데아"/>
    <x:tableColumn id="11" name="최대"/>
    <x:tableColumn id="12" name="평균"/>
    <x:tableColumn id="13" name="검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4" dT="2026-08-12T04:02:32.412" personId="{4D703777-93BC-4B83-86B1-3F8251A055DA}" id="{AFC9F129-4DD9-F136-1D43-CC6F19649645}">
    <xltc:text>출처: https://pokeapi.co/api/v2/pokedex/ — 지역도감 수록 여부이며 최초 등장 세대와 별도로 사용합니다.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F4" dT="2026-08-12T04:18:56.13" personId="{0E9840A8-78B5-4C08-A572-239F7A209BD6}" id="{522AA4C2-DE87-109B-F2F4-F87401C828D4}">
    <xltc:text>출처: https://pokeapi.co/api/v2/pokemon-species/ 의 is_legendary 값입니다.</xltc:text>
  </xltc:threadedComment>
  <xltc:threadedComment ref="G4" dT="2026-08-12T04:18:56.131" personId="{0E9840A8-78B5-4C08-A572-239F7A209BD6}" id="{35CEC3B3-D33C-91DB-1C39-B0EC39540D14}">
    <xltc:text>출처: https://pokeapi.co/api/v2/pokemon-species/ 의 is_mythical 값입니다.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319c814e005e43c4" /><Relationship Type="http://schemas.openxmlformats.org/officeDocument/2006/relationships/vmlDrawing" Target="/xl/drawings/vmldrawing.vml" Id="Re10ecca9c77e4c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2.xml" Id="R5ad00c9d3bea486a" /><Relationship Type="http://schemas.openxmlformats.org/officeDocument/2006/relationships/vmlDrawing" Target="/xl/drawings/vmldrawing2.vml" Id="R2f856238324e4530" /><Relationship Type="http://schemas.microsoft.com/office/2017/10/relationships/threadedComment" Target="/xl/threadedcomments/threadedcomment.xml" Id="Re4de7f9f0b9c4730" /><Relationship Type="http://schemas.openxmlformats.org/officeDocument/2006/relationships/table" Target="/xl/tables/table1.xml" Id="R3493877beb8e411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3.xml" Id="R2d1f7c4290464216" /><Relationship Type="http://schemas.openxmlformats.org/officeDocument/2006/relationships/vmlDrawing" Target="/xl/drawings/vmldrawing3.vml" Id="R1981e2298cb84977" /><Relationship Type="http://schemas.microsoft.com/office/2017/10/relationships/threadedComment" Target="/xl/threadedcomments/threadedcomment2.xml" Id="Rb3c5c52e95eb4cc5" /><Relationship Type="http://schemas.openxmlformats.org/officeDocument/2006/relationships/table" Target="/xl/tables/table2.xml" Id="Rd5d161e79a2c45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3.xml" Id="R0c1e818329cd41b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4.xml" Id="R020ae14feee24a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2" customWidth="1"/>
    <x:col min="3" max="3" width="18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</x:cols>
  <x:sheetData>
    <x:row r="1" ht="30" customHeight="1">
      <x:c r="A1" s="1" t="inlineStr">
        <x:is>
          <x:t xml:space="preserve">포켓몬 서식지 분류 워크북</x:t>
        </x:is>
      </x:c>
    </x:row>
    <x:row r="2" ht="32" customHeight="1">
      <x:c r="A2" s="2" t="str">
        <x:v>모든 포켓몬을 12개 논리 서식지로 분류하고, 최초 등장 세대와 지역도감 출현 여부를 분리해 관리하는 작업 파일입니다.</x:v>
      </x:c>
    </x:row>
    <x:row r="4" ht="36" customHeight="1">
      <x:c r="A4" s="3" t="inlineStr">
        <x:is>
          <x:t xml:space="preserve">사용 순서</x:t>
        </x:is>
      </x:c>
      <x:c r="B4" s="3" t="n"/>
      <x:c r="C4" s="3" t="n"/>
      <x:c r="D4" s="3" t="n"/>
      <x:c r="E4" s="3" t="n"/>
      <x:c r="F4" s="3" t="n"/>
      <x:c r="G4" s="3" t="n"/>
      <x:c r="H4" s="3" t="n"/>
    </x:row>
    <x:row r="5" ht="36" customHeight="1">
      <x:c r="A5" s="3" t="inlineStr">
        <x:is>
          <x:t xml:space="preserve">순서</x:t>
        </x:is>
      </x:c>
      <x:c r="B5" s="3" t="inlineStr">
        <x:is>
          <x:t xml:space="preserve">위치</x:t>
        </x:is>
      </x:c>
      <x:c r="C5" s="3" t="inlineStr">
        <x:is>
          <x:t xml:space="preserve">설명</x:t>
        </x:is>
      </x:c>
      <x:c r="D5" s="3" t="n"/>
      <x:c r="E5" s="3" t="n"/>
      <x:c r="F5" s="3" t="n"/>
      <x:c r="G5" s="3" t="n"/>
      <x:c r="H5" s="3" t="n"/>
    </x:row>
    <x:row r="6" ht="30" customHeight="1">
      <x:c r="A6" t="inlineStr">
        <x:is>
          <x:t xml:space="preserve">1</x:t>
        </x:is>
      </x:c>
      <x:c r="B6" t="inlineStr">
        <x:is>
          <x:t xml:space="preserve">포켓몬_편집</x:t>
        </x:is>
      </x:c>
      <x:c r="C6" s="4" t="inlineStr">
        <x:is>
          <x:t xml:space="preserve">필터에서 검토상태가 '검토필요' 또는 '원본없음'인 행부터 확인합니다.</x:t>
        </x:is>
      </x:c>
    </x:row>
    <x:row r="7" ht="30" customHeight="1">
      <x:c r="A7" t="inlineStr">
        <x:is>
          <x:t xml:space="preserve">2</x:t>
        </x:is>
      </x:c>
      <x:c r="B7" t="inlineStr">
        <x:is>
          <x:t xml:space="preserve">노란색 입력 열</x:t>
        </x:is>
      </x:c>
      <x:c r="C7" s="4" t="inlineStr">
        <x:is>
          <x:t xml:space="preserve">생활권·지형·온도·습도·날씨·시간·레어도·특수태그를 드롭다운으로 수정합니다.</x:t>
        </x:is>
      </x:c>
    </x:row>
    <x:row r="8" ht="30" customHeight="1">
      <x:c r="A8" t="inlineStr">
        <x:is>
          <x:t xml:space="preserve">3</x:t>
        </x:is>
      </x:c>
      <x:c r="B8" t="inlineStr">
        <x:is>
          <x:t xml:space="preserve">자동 결과</x:t>
        </x:is>
      </x:c>
      <x:c r="C8" s="4" t="inlineStr">
        <x:is>
          <x:t xml:space="preserve">자동주서식지, 보조서식지, 신뢰도와 최초출현지역이 수식으로 다시 계산됩니다.</x:t>
        </x:is>
      </x:c>
    </x:row>
    <x:row r="9" ht="30" customHeight="1">
      <x:c r="A9" t="inlineStr">
        <x:is>
          <x:t xml:space="preserve">4</x:t>
        </x:is>
      </x:c>
      <x:c r="B9" t="inlineStr">
        <x:is>
          <x:t xml:space="preserve">수동 예외</x:t>
        </x:is>
      </x:c>
      <x:c r="C9" s="4" t="inlineStr">
        <x:is>
          <x:t xml:space="preserve">기계 분류가 부정확한 전설·인공·폼 포켓몬은 주서식지_수동을 지정합니다.</x:t>
        </x:is>
      </x:c>
    </x:row>
    <x:row r="10" ht="30" customHeight="1">
      <x:c r="A10" t="inlineStr">
        <x:is>
          <x:t xml:space="preserve">5</x:t>
        </x:is>
      </x:c>
      <x:c r="B10" t="inlineStr">
        <x:is>
          <x:t xml:space="preserve">분류_규칙</x:t>
        </x:is>
      </x:c>
      <x:c r="C10" s="4" t="inlineStr">
        <x:is>
          <x:t xml:space="preserve">전체 판정 경향을 바꾸려면 개별 포켓몬 대신 점수표를 조정합니다.</x:t>
        </x:is>
      </x:c>
    </x:row>
    <x:row r="12" ht="36" customHeight="1">
      <x:c r="A12" s="3" t="inlineStr">
        <x:is>
          <x:t xml:space="preserve">분류 원칙</x:t>
        </x:is>
      </x:c>
      <x:c r="B12" s="3" t="n"/>
      <x:c r="C12" s="3" t="n"/>
      <x:c r="D12" s="3" t="n"/>
      <x:c r="E12" s="3" t="n"/>
      <x:c r="F12" s="3" t="n"/>
      <x:c r="G12" s="3" t="n"/>
      <x:c r="H12" s="3" t="n"/>
    </x:row>
    <x:row r="13" ht="28" customHeight="1">
      <x:c r="A13" s="4" t="inlineStr">
        <x:is>
          <x:t xml:space="preserve">• 서식지는 평원·숲·건조지·산악·동굴·습지·담수·해양·설원·화산·도시·특수의 12종만 사용합니다.</x:t>
        </x:is>
      </x:c>
    </x:row>
    <x:row r="14" ht="28" customHeight="1">
      <x:c r="A14" s="4" t="str">
        <x:v>• 세대는 포켓몬의 최초 등장 정보를 뜻하며, 특정 시리즈 월드의 출현 대상을 직접 제한하지 않습니다.</x:v>
      </x:c>
    </x:row>
    <x:row r="15" ht="28" customHeight="1">
      <x:c r="A15" s="4" t="str">
        <x:v>• 시리즈별 월드 출현 대상은 지역도감_출현 시트의 지역도감 수록 여부를 기준으로 결정합니다.</x:v>
      </x:c>
    </x:row>
    <x:row r="16" ht="28" customHeight="1">
      <x:c r="A16" s="4" t="str">
        <x:v>• 지역도감 후보가 40종을 넘는 서식지는 숲1·숲2처럼 번호를 늘려 균등 분할하고, 기후 조건은 기본 분할에 사용하지 않습니다.</x:v>
      </x:c>
    </x:row>
  </x:sheetData>
  <x:mergeCells>
    <x:mergeCell ref="A12:H12"/>
    <x:mergeCell ref="A4:H4"/>
    <x:mergeCell ref="C6:H6"/>
    <x:mergeCell ref="C10:H10"/>
    <x:mergeCell ref="A15:H15"/>
    <x:mergeCell ref="C5:H5"/>
    <x:mergeCell ref="A2:H2"/>
    <x:mergeCell ref="C9:H9"/>
    <x:mergeCell ref="A16:H16"/>
    <x:mergeCell ref="C8:H8"/>
    <x:mergeCell ref="A13:H13"/>
    <x:mergeCell ref="A14:H14"/>
    <x:mergeCell ref="A1:H1"/>
    <x:mergeCell ref="C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2" customWidth="1"/>
    <x:col min="3" max="3" width="3" customWidth="1"/>
    <x:col min="4" max="4" width="14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</x:cols>
  <x:sheetData>
    <x:row r="1" ht="30" customHeight="1">
      <x:c r="A1" s="1" t="inlineStr">
        <x:is>
          <x:t xml:space="preserve">포켓몬 서식지 분류 요약</x:t>
        </x:is>
      </x:c>
    </x:row>
    <x:row r="2" ht="32" customHeight="1">
      <x:c r="A2" s="2" t="str">
        <x:v>실제 런타임 카탈로그 기준입니다. 기본 서식지는 시리즈별 최대 40종 단위의 번호 서식지로 자동 분할됩니다.</x:v>
      </x:c>
    </x:row>
    <x:row r="4" ht="36" customHeight="1">
      <x:c r="A4" s="3" t="inlineStr">
        <x:is>
          <x:t xml:space="preserve">지표</x:t>
        </x:is>
      </x:c>
      <x:c r="B4" s="3" t="inlineStr">
        <x:is>
          <x:t xml:space="preserve">값</x:t>
        </x:is>
      </x:c>
      <x:c r="D4" s="3" t="inlineStr">
        <x:is>
          <x:t xml:space="preserve">서식지</x:t>
        </x:is>
      </x:c>
      <x:c r="E4" s="3" t="str">
        <x:v>관동</x:v>
      </x:c>
      <x:c r="F4" s="3" t="str">
        <x:v>성도</x:v>
      </x:c>
      <x:c r="G4" s="3" t="str">
        <x:v>호연</x:v>
      </x:c>
      <x:c r="H4" s="3" t="str">
        <x:v>신오</x:v>
      </x:c>
      <x:c r="I4" s="3" t="str">
        <x:v>하나</x:v>
      </x:c>
      <x:c r="J4" s="3" t="str">
        <x:v>칼로스</x:v>
      </x:c>
      <x:c r="K4" s="3" t="str">
        <x:v>알로라</x:v>
      </x:c>
      <x:c r="L4" s="3" t="str">
        <x:v>가라르</x:v>
      </x:c>
      <x:c r="M4" s="3" t="str">
        <x:v>팔데아</x:v>
      </x:c>
    </x:row>
    <x:row r="5" ht="24" customHeight="1">
      <x:c r="A5" s="5" t="inlineStr">
        <x:is>
          <x:t xml:space="preserve">전체 포켓몬</x:t>
        </x:is>
      </x:c>
      <x:c r="B5" s="5" t="n">
        <x:f>COUNTA('포켓몬_편집'!$A$5:$A$1029)</x:f>
        <x:v>1025</x:v>
      </x:c>
      <x:c r="D5" s="5" t="inlineStr">
        <x:is>
          <x:t xml:space="preserve">평원</x:t>
        </x:is>
      </x:c>
      <x:c r="E5" s="5" t="n">
        <x:f>COUNTIFS('런타임_원본'!$D$5:$D$1029,$D5,'런타임_원본'!$H$5:$H$1029,"예",'런타임_원본'!$J$5:$J$1029,"포함")</x:f>
        <x:v>19</x:v>
      </x:c>
      <x:c r="F5" s="5" t="n">
        <x:f>COUNTIFS('런타임_원본'!$D$5:$D$1029,$D5,'런타임_원본'!$H$5:$H$1029,"예",'런타임_원본'!$K$5:$K$1029,"포함")</x:f>
        <x:v>41</x:v>
      </x:c>
      <x:c r="G5" s="5" t="n">
        <x:f>COUNTIFS('런타임_원본'!$D$5:$D$1029,$D5,'런타임_원본'!$H$5:$H$1029,"예",'런타임_원본'!$L$5:$L$1029,"포함")</x:f>
        <x:v>16</x:v>
      </x:c>
      <x:c r="H5" s="5" t="n">
        <x:f>COUNTIFS('런타임_원본'!$D$5:$D$1029,$D5,'런타임_원본'!$H$5:$H$1029,"예",'런타임_원본'!$M$5:$M$1029,"포함")</x:f>
        <x:v>16</x:v>
      </x:c>
      <x:c r="I5" s="5" t="n">
        <x:f>COUNTIFS('런타임_원본'!$D$5:$D$1029,$D5,'런타임_원본'!$H$5:$H$1029,"예",'런타임_원본'!$N$5:$N$1029,"포함")</x:f>
        <x:v>39</x:v>
      </x:c>
      <x:c r="J5" s="5" t="n">
        <x:f>COUNTIFS('런타임_원본'!$D$5:$D$1029,$D5,'런타임_원본'!$H$5:$H$1029,"예",'런타임_원본'!$O$5:$O$1029,"포함")</x:f>
        <x:v>57</x:v>
      </x:c>
      <x:c r="K5" s="5" t="n">
        <x:f>COUNTIFS('런타임_원본'!$D$5:$D$1029,$D5,'런타임_원본'!$H$5:$H$1029,"예",'런타임_원본'!$P$5:$P$1029,"포함")</x:f>
        <x:v>45</x:v>
      </x:c>
      <x:c r="L5" s="5" t="n">
        <x:f>COUNTIFS('런타임_원본'!$D$5:$D$1029,$D5,'런타임_원본'!$H$5:$H$1029,"예",'런타임_원본'!$Q$5:$Q$1029,"포함")</x:f>
        <x:v>73</x:v>
      </x:c>
      <x:c r="M5" s="5" t="n">
        <x:f>COUNTIFS('런타임_원본'!$D$5:$D$1029,$D5,'런타임_원본'!$H$5:$H$1029,"예",'런타임_원본'!$R$5:$R$1029,"포함")</x:f>
        <x:v>86</x:v>
      </x:c>
    </x:row>
    <x:row r="6" ht="24" customHeight="1">
      <x:c r="A6" s="5" t="inlineStr">
        <x:is>
          <x:t xml:space="preserve">초기완료</x:t>
        </x:is>
      </x:c>
      <x:c r="B6" s="5" t="n">
        <x:f>COUNTIF('포켓몬_편집'!$AC$5:$AC$1029,"초기완료")</x:f>
        <x:v>208</x:v>
      </x:c>
      <x:c r="D6" s="5" t="inlineStr">
        <x:is>
          <x:t xml:space="preserve">숲</x:t>
        </x:is>
      </x:c>
      <x:c r="E6" s="5" t="n">
        <x:f>COUNTIFS('런타임_원본'!$D$5:$D$1029,$D6,'런타임_원본'!$H$5:$H$1029,"예",'런타임_원본'!$J$5:$J$1029,"포함")</x:f>
        <x:v>27</x:v>
      </x:c>
      <x:c r="F6" s="5" t="n">
        <x:f>COUNTIFS('런타임_원본'!$D$5:$D$1029,$D6,'런타임_원본'!$H$5:$H$1029,"예",'런타임_원본'!$K$5:$K$1029,"포함")</x:f>
        <x:v>41</x:v>
      </x:c>
      <x:c r="G6" s="5" t="n">
        <x:f>COUNTIFS('런타임_원본'!$D$5:$D$1029,$D6,'런타임_원본'!$H$5:$H$1029,"예",'런타임_원본'!$L$5:$L$1029,"포함")</x:f>
        <x:v>41</x:v>
      </x:c>
      <x:c r="H6" s="5" t="n">
        <x:f>COUNTIFS('런타임_원본'!$D$5:$D$1029,$D6,'런타임_원본'!$H$5:$H$1029,"예",'런타임_원본'!$M$5:$M$1029,"포함")</x:f>
        <x:v>48</x:v>
      </x:c>
      <x:c r="I6" s="5" t="n">
        <x:f>COUNTIFS('런타임_원본'!$D$5:$D$1029,$D6,'런타임_원본'!$H$5:$H$1029,"예",'런타임_원본'!$N$5:$N$1029,"포함")</x:f>
        <x:v>42</x:v>
      </x:c>
      <x:c r="J6" s="5" t="n">
        <x:f>COUNTIFS('런타임_원본'!$D$5:$D$1029,$D6,'런타임_원본'!$H$5:$H$1029,"예",'런타임_원본'!$O$5:$O$1029,"포함")</x:f>
        <x:v>93</x:v>
      </x:c>
      <x:c r="K6" s="5" t="n">
        <x:f>COUNTIFS('런타임_원본'!$D$5:$D$1029,$D6,'런타임_원본'!$H$5:$H$1029,"예",'런타임_원본'!$P$5:$P$1029,"포함")</x:f>
        <x:v>62</x:v>
      </x:c>
      <x:c r="L6" s="5" t="n">
        <x:f>COUNTIFS('런타임_원본'!$D$5:$D$1029,$D6,'런타임_원본'!$H$5:$H$1029,"예",'런타임_원본'!$Q$5:$Q$1029,"포함")</x:f>
        <x:v>104</x:v>
      </x:c>
      <x:c r="M6" s="5" t="n">
        <x:f>COUNTIFS('런타임_원본'!$D$5:$D$1029,$D6,'런타임_원본'!$H$5:$H$1029,"예",'런타임_원본'!$R$5:$R$1029,"포함")</x:f>
        <x:v>136</x:v>
      </x:c>
    </x:row>
    <x:row r="7" ht="24" customHeight="1">
      <x:c r="A7" s="5" t="inlineStr">
        <x:is>
          <x:t xml:space="preserve">검토필요</x:t>
        </x:is>
      </x:c>
      <x:c r="B7" s="5" t="n">
        <x:f>COUNTIF('포켓몬_편집'!$AC$5:$AC$1029,"검토필요")</x:f>
        <x:v>801</x:v>
      </x:c>
      <x:c r="D7" s="5" t="inlineStr">
        <x:is>
          <x:t xml:space="preserve">건조지</x:t>
        </x:is>
      </x:c>
      <x:c r="E7" s="5" t="n">
        <x:f>COUNTIFS('런타임_원본'!$D$5:$D$1029,$D7,'런타임_원본'!$H$5:$H$1029,"예",'런타임_원본'!$J$5:$J$1029,"포함")</x:f>
        <x:v>9</x:v>
      </x:c>
      <x:c r="F7" s="5" t="n">
        <x:f>COUNTIFS('런타임_원본'!$D$5:$D$1029,$D7,'런타임_원본'!$H$5:$H$1029,"예",'런타임_원본'!$K$5:$K$1029,"포함")</x:f>
        <x:v>14</x:v>
      </x:c>
      <x:c r="G7" s="5" t="n">
        <x:f>COUNTIFS('런타임_원본'!$D$5:$D$1029,$D7,'런타임_원본'!$H$5:$H$1029,"예",'런타임_원본'!$L$5:$L$1029,"포함")</x:f>
        <x:v>19</x:v>
      </x:c>
      <x:c r="H7" s="5" t="n">
        <x:f>COUNTIFS('런타임_원본'!$D$5:$D$1029,$D7,'런타임_원본'!$H$5:$H$1029,"예",'런타임_원본'!$M$5:$M$1029,"포함")</x:f>
        <x:v>13</x:v>
      </x:c>
      <x:c r="I7" s="5" t="n">
        <x:f>COUNTIFS('런타임_원본'!$D$5:$D$1029,$D7,'런타임_원본'!$H$5:$H$1029,"예",'런타임_원본'!$N$5:$N$1029,"포함")</x:f>
        <x:v>32</x:v>
      </x:c>
      <x:c r="J7" s="5" t="n">
        <x:f>COUNTIFS('런타임_원본'!$D$5:$D$1029,$D7,'런타임_원본'!$H$5:$H$1029,"예",'런타임_원본'!$O$5:$O$1029,"포함")</x:f>
        <x:v>43</x:v>
      </x:c>
      <x:c r="K7" s="5" t="n">
        <x:f>COUNTIFS('런타임_원본'!$D$5:$D$1029,$D7,'런타임_원본'!$H$5:$H$1029,"예",'런타임_원본'!$P$5:$P$1029,"포함")</x:f>
        <x:v>33</x:v>
      </x:c>
      <x:c r="L7" s="5" t="n">
        <x:f>COUNTIFS('런타임_원본'!$D$5:$D$1029,$D7,'런타임_원본'!$H$5:$H$1029,"예",'런타임_원본'!$Q$5:$Q$1029,"포함")</x:f>
        <x:v>52</x:v>
      </x:c>
      <x:c r="M7" s="5" t="n">
        <x:f>COUNTIFS('런타임_원본'!$D$5:$D$1029,$D7,'런타임_원본'!$H$5:$H$1029,"예",'런타임_원본'!$R$5:$R$1029,"포함")</x:f>
        <x:v>64</x:v>
      </x:c>
    </x:row>
    <x:row r="8" ht="24" customHeight="1">
      <x:c r="A8" s="5" t="inlineStr">
        <x:is>
          <x:t xml:space="preserve">원본없음</x:t>
        </x:is>
      </x:c>
      <x:c r="B8" s="5" t="n">
        <x:f>COUNTIF('포켓몬_편집'!$AC$5:$AC$1029,"원본없음")</x:f>
        <x:v>16</x:v>
      </x:c>
      <x:c r="D8" s="5" t="inlineStr">
        <x:is>
          <x:t xml:space="preserve">산악</x:t>
        </x:is>
      </x:c>
      <x:c r="E8" s="5" t="n">
        <x:f>COUNTIFS('런타임_원본'!$D$5:$D$1029,$D8,'런타임_원본'!$H$5:$H$1029,"예",'런타임_원본'!$J$5:$J$1029,"포함")</x:f>
        <x:v>25</x:v>
      </x:c>
      <x:c r="F8" s="5" t="n">
        <x:f>COUNTIFS('런타임_원본'!$D$5:$D$1029,$D8,'런타임_원본'!$H$5:$H$1029,"예",'런타임_원본'!$K$5:$K$1029,"포함")</x:f>
        <x:v>40</x:v>
      </x:c>
      <x:c r="G8" s="5" t="n">
        <x:f>COUNTIFS('런타임_원본'!$D$5:$D$1029,$D8,'런타임_원본'!$H$5:$H$1029,"예",'런타임_원본'!$L$5:$L$1029,"포함")</x:f>
        <x:v>28</x:v>
      </x:c>
      <x:c r="H8" s="5" t="n">
        <x:f>COUNTIFS('런타임_원본'!$D$5:$D$1029,$D8,'런타임_원본'!$H$5:$H$1029,"예",'런타임_원본'!$M$5:$M$1029,"포함")</x:f>
        <x:v>35</x:v>
      </x:c>
      <x:c r="I8" s="5" t="n">
        <x:f>COUNTIFS('런타임_원본'!$D$5:$D$1029,$D8,'런타임_원본'!$H$5:$H$1029,"예",'런타임_원본'!$N$5:$N$1029,"포함")</x:f>
        <x:v>48</x:v>
      </x:c>
      <x:c r="J8" s="5" t="n">
        <x:f>COUNTIFS('런타임_원본'!$D$5:$D$1029,$D8,'런타임_원본'!$H$5:$H$1029,"예",'런타임_원본'!$O$5:$O$1029,"포함")</x:f>
        <x:v>65</x:v>
      </x:c>
      <x:c r="K8" s="5" t="n">
        <x:f>COUNTIFS('런타임_원본'!$D$5:$D$1029,$D8,'런타임_원본'!$H$5:$H$1029,"예",'런타임_원본'!$P$5:$P$1029,"포함")</x:f>
        <x:v>74</x:v>
      </x:c>
      <x:c r="L8" s="5" t="n">
        <x:f>COUNTIFS('런타임_원본'!$D$5:$D$1029,$D8,'런타임_원본'!$H$5:$H$1029,"예",'런타임_원본'!$Q$5:$Q$1029,"포함")</x:f>
        <x:v>85</x:v>
      </x:c>
      <x:c r="M8" s="5" t="n">
        <x:f>COUNTIFS('런타임_원본'!$D$5:$D$1029,$D8,'런타임_원본'!$H$5:$H$1029,"예",'런타임_원본'!$R$5:$R$1029,"포함")</x:f>
        <x:v>74</x:v>
      </x:c>
    </x:row>
    <x:row r="9" ht="24" customHeight="1">
      <x:c r="A9" s="5" t="inlineStr">
        <x:is>
          <x:t xml:space="preserve">수동확정</x:t>
        </x:is>
      </x:c>
      <x:c r="B9" s="5" t="n">
        <x:f>COUNTIF('포켓몬_편집'!$AC$5:$AC$1029,"수동확정")</x:f>
        <x:v>0</x:v>
      </x:c>
      <x:c r="D9" s="5" t="inlineStr">
        <x:is>
          <x:t xml:space="preserve">동굴</x:t>
        </x:is>
      </x:c>
      <x:c r="E9" s="5" t="n">
        <x:f>COUNTIFS('런타임_원본'!$D$5:$D$1029,$D9,'런타임_원본'!$H$5:$H$1029,"예",'런타임_원본'!$J$5:$J$1029,"포함")</x:f>
        <x:v>4</x:v>
      </x:c>
      <x:c r="F9" s="5" t="n">
        <x:f>COUNTIFS('런타임_원본'!$D$5:$D$1029,$D9,'런타임_원본'!$H$5:$H$1029,"예",'런타임_원본'!$K$5:$K$1029,"포함")</x:f>
        <x:v>5</x:v>
      </x:c>
      <x:c r="G9" s="5" t="n">
        <x:f>COUNTIFS('런타임_원본'!$D$5:$D$1029,$D9,'런타임_원본'!$H$5:$H$1029,"예",'런타임_원본'!$L$5:$L$1029,"포함")</x:f>
        <x:v>13</x:v>
      </x:c>
      <x:c r="H9" s="5" t="n">
        <x:f>COUNTIFS('런타임_원본'!$D$5:$D$1029,$D9,'런타임_원본'!$H$5:$H$1029,"예",'런타임_원본'!$M$5:$M$1029,"포함")</x:f>
        <x:v>4</x:v>
      </x:c>
      <x:c r="I9" s="5" t="n">
        <x:f>COUNTIFS('런타임_원본'!$D$5:$D$1029,$D9,'런타임_원본'!$H$5:$H$1029,"예",'런타임_원본'!$N$5:$N$1029,"포함")</x:f>
        <x:v>19</x:v>
      </x:c>
      <x:c r="J9" s="5" t="n">
        <x:f>COUNTIFS('런타임_원본'!$D$5:$D$1029,$D9,'런타임_원본'!$H$5:$H$1029,"예",'런타임_원본'!$O$5:$O$1029,"포함")</x:f>
        <x:v>22</x:v>
      </x:c>
      <x:c r="K9" s="5" t="n">
        <x:f>COUNTIFS('런타임_원본'!$D$5:$D$1029,$D9,'런타임_원본'!$H$5:$H$1029,"예",'런타임_원본'!$P$5:$P$1029,"포함")</x:f>
        <x:v>20</x:v>
      </x:c>
      <x:c r="L9" s="5" t="n">
        <x:f>COUNTIFS('런타임_원본'!$D$5:$D$1029,$D9,'런타임_원본'!$H$5:$H$1029,"예",'런타임_원본'!$Q$5:$Q$1029,"포함")</x:f>
        <x:v>33</x:v>
      </x:c>
      <x:c r="M9" s="5" t="n">
        <x:f>COUNTIFS('런타임_원본'!$D$5:$D$1029,$D9,'런타임_원본'!$H$5:$H$1029,"예",'런타임_원본'!$R$5:$R$1029,"포함")</x:f>
        <x:v>23</x:v>
      </x:c>
    </x:row>
    <x:row r="10" ht="24" customHeight="1">
      <x:c r="A10" t="str">
        <x:v>전설(기본 제외)</x:v>
      </x:c>
      <x:c r="B10" t="n">
        <x:f>COUNTIF('런타임_원본'!$F$5:$F$1029,"예")</x:f>
        <x:v>71</x:v>
      </x:c>
      <x:c r="D10" s="5" t="inlineStr">
        <x:is>
          <x:t xml:space="preserve">습지</x:t>
        </x:is>
      </x:c>
      <x:c r="E10" s="5" t="n">
        <x:f>COUNTIFS('런타임_원본'!$D$5:$D$1029,$D10,'런타임_원본'!$H$5:$H$1029,"예",'런타임_원본'!$J$5:$J$1029,"포함")</x:f>
        <x:v>0</x:v>
      </x:c>
      <x:c r="F10" s="5" t="n">
        <x:f>COUNTIFS('런타임_원본'!$D$5:$D$1029,$D10,'런타임_원본'!$H$5:$H$1029,"예",'런타임_원본'!$K$5:$K$1029,"포함")</x:f>
        <x:v>5</x:v>
      </x:c>
      <x:c r="G10" s="5" t="n">
        <x:f>COUNTIFS('런타임_원본'!$D$5:$D$1029,$D10,'런타임_원본'!$H$5:$H$1029,"예",'런타임_원본'!$L$5:$L$1029,"포함")</x:f>
        <x:v>8</x:v>
      </x:c>
      <x:c r="H10" s="5" t="n">
        <x:f>COUNTIFS('런타임_원본'!$D$5:$D$1029,$D10,'런타임_원본'!$H$5:$H$1029,"예",'런타임_원본'!$M$5:$M$1029,"포함")</x:f>
        <x:v>8</x:v>
      </x:c>
      <x:c r="I10" s="5" t="n">
        <x:f>COUNTIFS('런타임_원본'!$D$5:$D$1029,$D10,'런타임_원본'!$H$5:$H$1029,"예",'런타임_원본'!$N$5:$N$1029,"포함")</x:f>
        <x:v>16</x:v>
      </x:c>
      <x:c r="J10" s="5" t="n">
        <x:f>COUNTIFS('런타임_원본'!$D$5:$D$1029,$D10,'런타임_원본'!$H$5:$H$1029,"예",'런타임_원본'!$O$5:$O$1029,"포함")</x:f>
        <x:v>25</x:v>
      </x:c>
      <x:c r="K10" s="5" t="n">
        <x:f>COUNTIFS('런타임_원본'!$D$5:$D$1029,$D10,'런타임_원본'!$H$5:$H$1029,"예",'런타임_원본'!$P$5:$P$1029,"포함")</x:f>
        <x:v>5</x:v>
      </x:c>
      <x:c r="L10" s="5" t="n">
        <x:f>COUNTIFS('런타임_원본'!$D$5:$D$1029,$D10,'런타임_원본'!$H$5:$H$1029,"예",'런타임_원본'!$Q$5:$Q$1029,"포함")</x:f>
        <x:v>31</x:v>
      </x:c>
      <x:c r="M10" s="5" t="n">
        <x:f>COUNTIFS('런타임_원본'!$D$5:$D$1029,$D10,'런타임_원본'!$H$5:$H$1029,"예",'런타임_원본'!$R$5:$R$1029,"포함")</x:f>
        <x:v>34</x:v>
      </x:c>
    </x:row>
    <x:row r="11" ht="24" customHeight="1">
      <x:c r="A11" t="str">
        <x:v>환상(기본 제외)</x:v>
      </x:c>
      <x:c r="B11" t="n">
        <x:f>COUNTIF('런타임_원본'!$G$5:$G$1029,"예")</x:f>
        <x:v>23</x:v>
      </x:c>
      <x:c r="D11" s="5" t="inlineStr">
        <x:is>
          <x:t xml:space="preserve">담수</x:t>
        </x:is>
      </x:c>
      <x:c r="E11" s="5" t="n">
        <x:f>COUNTIFS('런타임_원본'!$D$5:$D$1029,$D11,'런타임_원본'!$H$5:$H$1029,"예",'런타임_원본'!$J$5:$J$1029,"포함")</x:f>
        <x:v>11</x:v>
      </x:c>
      <x:c r="F11" s="5" t="n">
        <x:f>COUNTIFS('런타임_원본'!$D$5:$D$1029,$D11,'런타임_원본'!$H$5:$H$1029,"예",'런타임_원본'!$K$5:$K$1029,"포함")</x:f>
        <x:v>15</x:v>
      </x:c>
      <x:c r="G11" s="5" t="n">
        <x:f>COUNTIFS('런타임_원본'!$D$5:$D$1029,$D11,'런타임_원본'!$H$5:$H$1029,"예",'런타임_원본'!$L$5:$L$1029,"포함")</x:f>
        <x:v>16</x:v>
      </x:c>
      <x:c r="H11" s="5" t="n">
        <x:f>COUNTIFS('런타임_원본'!$D$5:$D$1029,$D11,'런타임_원본'!$H$5:$H$1029,"예",'런타임_원본'!$M$5:$M$1029,"포함")</x:f>
        <x:v>16</x:v>
      </x:c>
      <x:c r="I11" s="5" t="n">
        <x:f>COUNTIFS('런타임_원본'!$D$5:$D$1029,$D11,'런타임_원본'!$H$5:$H$1029,"예",'런타임_원본'!$N$5:$N$1029,"포함")</x:f>
        <x:v>16</x:v>
      </x:c>
      <x:c r="J11" s="5" t="n">
        <x:f>COUNTIFS('런타임_원본'!$D$5:$D$1029,$D11,'런타임_원본'!$H$5:$H$1029,"예",'런타임_원본'!$O$5:$O$1029,"포함")</x:f>
        <x:v>35</x:v>
      </x:c>
      <x:c r="K11" s="5" t="n">
        <x:f>COUNTIFS('런타임_원본'!$D$5:$D$1029,$D11,'런타임_원본'!$H$5:$H$1029,"예",'런타임_원본'!$P$5:$P$1029,"포함")</x:f>
        <x:v>20</x:v>
      </x:c>
      <x:c r="L11" s="5" t="n">
        <x:f>COUNTIFS('런타임_원본'!$D$5:$D$1029,$D11,'런타임_원본'!$H$5:$H$1029,"예",'런타임_원본'!$Q$5:$Q$1029,"포함")</x:f>
        <x:v>26</x:v>
      </x:c>
      <x:c r="M11" s="5" t="n">
        <x:f>COUNTIFS('런타임_원본'!$D$5:$D$1029,$D11,'런타임_원본'!$H$5:$H$1029,"예",'런타임_원본'!$R$5:$R$1029,"포함")</x:f>
        <x:v>42</x:v>
      </x:c>
    </x:row>
    <x:row r="12" ht="24" customHeight="1">
      <x:c r="A12" s="3" t="inlineStr">
        <x:is>
          <x:t xml:space="preserve">레어도</x:t>
        </x:is>
      </x:c>
      <x:c r="B12" s="3" t="inlineStr">
        <x:is>
          <x:t xml:space="preserve">종수</x:t>
        </x:is>
      </x:c>
      <x:c r="D12" s="5" t="inlineStr">
        <x:is>
          <x:t xml:space="preserve">해양</x:t>
        </x:is>
      </x:c>
      <x:c r="E12" s="5" t="n">
        <x:f>COUNTIFS('런타임_원본'!$D$5:$D$1029,$D12,'런타임_원본'!$H$5:$H$1029,"예",'런타임_원본'!$J$5:$J$1029,"포함")</x:f>
        <x:v>24</x:v>
      </x:c>
      <x:c r="F12" s="5" t="n">
        <x:f>COUNTIFS('런타임_원본'!$D$5:$D$1029,$D12,'런타임_원본'!$H$5:$H$1029,"예",'런타임_원본'!$K$5:$K$1029,"포함")</x:f>
        <x:v>33</x:v>
      </x:c>
      <x:c r="G12" s="5" t="n">
        <x:f>COUNTIFS('런타임_원본'!$D$5:$D$1029,$D12,'런타임_원본'!$H$5:$H$1029,"예",'런타임_원본'!$L$5:$L$1029,"포함")</x:f>
        <x:v>28</x:v>
      </x:c>
      <x:c r="H12" s="5" t="n">
        <x:f>COUNTIFS('런타임_원본'!$D$5:$D$1029,$D12,'런타임_원본'!$H$5:$H$1029,"예",'런타임_원본'!$M$5:$M$1029,"포함")</x:f>
        <x:v>17</x:v>
      </x:c>
      <x:c r="I12" s="5" t="n">
        <x:f>COUNTIFS('런타임_원본'!$D$5:$D$1029,$D12,'런타임_원본'!$H$5:$H$1029,"예",'런타임_원본'!$N$5:$N$1029,"포함")</x:f>
        <x:v>28</x:v>
      </x:c>
      <x:c r="J12" s="5" t="n">
        <x:f>COUNTIFS('런타임_원본'!$D$5:$D$1029,$D12,'런타임_원본'!$H$5:$H$1029,"예",'런타임_원본'!$O$5:$O$1029,"포함")</x:f>
        <x:v>49</x:v>
      </x:c>
      <x:c r="K12" s="5" t="n">
        <x:f>COUNTIFS('런타임_원본'!$D$5:$D$1029,$D12,'런타임_원본'!$H$5:$H$1029,"예",'런타임_원본'!$P$5:$P$1029,"포함")</x:f>
        <x:v>66</x:v>
      </x:c>
      <x:c r="L12" s="5" t="n">
        <x:f>COUNTIFS('런타임_원본'!$D$5:$D$1029,$D12,'런타임_원본'!$H$5:$H$1029,"예",'런타임_원본'!$Q$5:$Q$1029,"포함")</x:f>
        <x:v>71</x:v>
      </x:c>
      <x:c r="M12" s="5" t="n">
        <x:f>COUNTIFS('런타임_원본'!$D$5:$D$1029,$D12,'런타임_원본'!$H$5:$H$1029,"예",'런타임_원본'!$R$5:$R$1029,"포함")</x:f>
        <x:v>73</x:v>
      </x:c>
    </x:row>
    <x:row r="13" ht="24" customHeight="1">
      <x:c r="A13" s="5" t="inlineStr">
        <x:is>
          <x:t xml:space="preserve">흔함</x:t>
        </x:is>
      </x:c>
      <x:c r="B13" s="5" t="n">
        <x:f>COUNTIF('포켓몬_편집'!$Q$5:$Q$1029,A13)</x:f>
        <x:v>392</x:v>
      </x:c>
      <x:c r="D13" s="5" t="inlineStr">
        <x:is>
          <x:t xml:space="preserve">설원</x:t>
        </x:is>
      </x:c>
      <x:c r="E13" s="5" t="n">
        <x:f>COUNTIFS('런타임_원본'!$D$5:$D$1029,$D13,'런타임_원본'!$H$5:$H$1029,"예",'런타임_원본'!$J$5:$J$1029,"포함")</x:f>
        <x:v>1</x:v>
      </x:c>
      <x:c r="F13" s="5" t="n">
        <x:f>COUNTIFS('런타임_원본'!$D$5:$D$1029,$D13,'런타임_원본'!$H$5:$H$1029,"예",'런타임_원본'!$K$5:$K$1029,"포함")</x:f>
        <x:v>3</x:v>
      </x:c>
      <x:c r="G13" s="5" t="n">
        <x:f>COUNTIFS('런타임_원본'!$D$5:$D$1029,$D13,'런타임_원본'!$H$5:$H$1029,"예",'런타임_원본'!$L$5:$L$1029,"포함")</x:f>
        <x:v>2</x:v>
      </x:c>
      <x:c r="H13" s="5" t="n">
        <x:f>COUNTIFS('런타임_원본'!$D$5:$D$1029,$D13,'런타임_원본'!$H$5:$H$1029,"예",'런타임_원본'!$M$5:$M$1029,"포함")</x:f>
        <x:v>6</x:v>
      </x:c>
      <x:c r="I13" s="5" t="n">
        <x:f>COUNTIFS('런타임_원본'!$D$5:$D$1029,$D13,'런타임_원본'!$H$5:$H$1029,"예",'런타임_원본'!$N$5:$N$1029,"포함")</x:f>
        <x:v>5</x:v>
      </x:c>
      <x:c r="J13" s="5" t="n">
        <x:f>COUNTIFS('런타임_원본'!$D$5:$D$1029,$D13,'런타임_원본'!$H$5:$H$1029,"예",'런타임_원본'!$O$5:$O$1029,"포함")</x:f>
        <x:v>9</x:v>
      </x:c>
      <x:c r="K13" s="5" t="n">
        <x:f>COUNTIFS('런타임_원본'!$D$5:$D$1029,$D13,'런타임_원본'!$H$5:$H$1029,"예",'런타임_원본'!$P$5:$P$1029,"포함")</x:f>
        <x:v>6</x:v>
      </x:c>
      <x:c r="L13" s="5" t="n">
        <x:f>COUNTIFS('런타임_원본'!$D$5:$D$1029,$D13,'런타임_원본'!$H$5:$H$1029,"예",'런타임_원본'!$Q$5:$Q$1029,"포함")</x:f>
        <x:v>18</x:v>
      </x:c>
      <x:c r="M13" s="5" t="n">
        <x:f>COUNTIFS('런타임_원본'!$D$5:$D$1029,$D13,'런타임_원본'!$H$5:$H$1029,"예",'런타임_원본'!$R$5:$R$1029,"포함")</x:f>
        <x:v>19</x:v>
      </x:c>
    </x:row>
    <x:row r="14" ht="24" customHeight="1">
      <x:c r="A14" s="5" t="inlineStr">
        <x:is>
          <x:t xml:space="preserve">보통</x:t>
        </x:is>
      </x:c>
      <x:c r="B14" s="5" t="n">
        <x:f>COUNTIF('포켓몬_편집'!$Q$5:$Q$1029,A14)</x:f>
        <x:v>329</x:v>
      </x:c>
      <x:c r="D14" s="5" t="inlineStr">
        <x:is>
          <x:t xml:space="preserve">화산</x:t>
        </x:is>
      </x:c>
      <x:c r="E14" s="5" t="n">
        <x:f>COUNTIFS('런타임_원본'!$D$5:$D$1029,$D14,'런타임_원본'!$H$5:$H$1029,"예",'런타임_원본'!$J$5:$J$1029,"포함")</x:f>
        <x:v>10</x:v>
      </x:c>
      <x:c r="F14" s="5" t="n">
        <x:f>COUNTIFS('런타임_원본'!$D$5:$D$1029,$D14,'런타임_원본'!$H$5:$H$1029,"예",'런타임_원본'!$K$5:$K$1029,"포함")</x:f>
        <x:v>20</x:v>
      </x:c>
      <x:c r="G14" s="5" t="n">
        <x:f>COUNTIFS('런타임_원본'!$D$5:$D$1029,$D14,'런타임_원본'!$H$5:$H$1029,"예",'런타임_원본'!$L$5:$L$1029,"포함")</x:f>
        <x:v>7</x:v>
      </x:c>
      <x:c r="H14" s="5" t="n">
        <x:f>COUNTIFS('런타임_원본'!$D$5:$D$1029,$D14,'런타임_원본'!$H$5:$H$1029,"예",'런타임_원본'!$M$5:$M$1029,"포함")</x:f>
        <x:v>14</x:v>
      </x:c>
      <x:c r="I14" s="5" t="n">
        <x:f>COUNTIFS('런타임_원본'!$D$5:$D$1029,$D14,'런타임_원본'!$H$5:$H$1029,"예",'런타임_원본'!$N$5:$N$1029,"포함")</x:f>
        <x:v>26</x:v>
      </x:c>
      <x:c r="J14" s="5" t="n">
        <x:f>COUNTIFS('런타임_원본'!$D$5:$D$1029,$D14,'런타임_원본'!$H$5:$H$1029,"예",'런타임_원본'!$O$5:$O$1029,"포함")</x:f>
        <x:v>29</x:v>
      </x:c>
      <x:c r="K14" s="5" t="n">
        <x:f>COUNTIFS('런타임_원본'!$D$5:$D$1029,$D14,'런타임_원본'!$H$5:$H$1029,"예",'런타임_원본'!$P$5:$P$1029,"포함")</x:f>
        <x:v>20</x:v>
      </x:c>
      <x:c r="L14" s="5" t="n">
        <x:f>COUNTIFS('런타임_원본'!$D$5:$D$1029,$D14,'런타임_원본'!$H$5:$H$1029,"예",'런타임_원본'!$Q$5:$Q$1029,"포함")</x:f>
        <x:v>38</x:v>
      </x:c>
      <x:c r="M14" s="5" t="n">
        <x:f>COUNTIFS('런타임_원본'!$D$5:$D$1029,$D14,'런타임_원본'!$H$5:$H$1029,"예",'런타임_원본'!$R$5:$R$1029,"포함")</x:f>
        <x:v>56</x:v>
      </x:c>
    </x:row>
    <x:row r="15" ht="24" customHeight="1">
      <x:c r="A15" s="5" t="inlineStr">
        <x:is>
          <x:t xml:space="preserve">드묾</x:t>
        </x:is>
      </x:c>
      <x:c r="B15" s="5" t="n">
        <x:f>COUNTIF('포켓몬_편집'!$Q$5:$Q$1029,A15)</x:f>
        <x:v>59</x:v>
      </x:c>
      <x:c r="D15" s="5" t="inlineStr">
        <x:is>
          <x:t xml:space="preserve">도시</x:t>
        </x:is>
      </x:c>
      <x:c r="E15" s="5" t="n">
        <x:f>COUNTIFS('런타임_원본'!$D$5:$D$1029,$D15,'런타임_원본'!$H$5:$H$1029,"예",'런타임_원본'!$J$5:$J$1029,"포함")</x:f>
        <x:v>5</x:v>
      </x:c>
      <x:c r="F15" s="5" t="n">
        <x:f>COUNTIFS('런타임_원본'!$D$5:$D$1029,$D15,'런타임_원본'!$H$5:$H$1029,"예",'런타임_원본'!$K$5:$K$1029,"포함")</x:f>
        <x:v>6</x:v>
      </x:c>
      <x:c r="G15" s="5" t="n">
        <x:f>COUNTIFS('런타임_원본'!$D$5:$D$1029,$D15,'런타임_원본'!$H$5:$H$1029,"예",'런타임_원본'!$L$5:$L$1029,"포함")</x:f>
        <x:v>5</x:v>
      </x:c>
      <x:c r="H15" s="5" t="n">
        <x:f>COUNTIFS('런타임_원본'!$D$5:$D$1029,$D15,'런타임_원본'!$H$5:$H$1029,"예",'런타임_원본'!$M$5:$M$1029,"포함")</x:f>
        <x:v>8</x:v>
      </x:c>
      <x:c r="I15" s="5" t="n">
        <x:f>COUNTIFS('런타임_원본'!$D$5:$D$1029,$D15,'런타임_원본'!$H$5:$H$1029,"예",'런타임_원본'!$N$5:$N$1029,"포함")</x:f>
        <x:v>5</x:v>
      </x:c>
      <x:c r="J15" s="5" t="n">
        <x:f>COUNTIFS('런타임_원본'!$D$5:$D$1029,$D15,'런타임_원본'!$H$5:$H$1029,"예",'런타임_원본'!$O$5:$O$1029,"포함")</x:f>
        <x:v>5</x:v>
      </x:c>
      <x:c r="K15" s="5" t="n">
        <x:f>COUNTIFS('런타임_원본'!$D$5:$D$1029,$D15,'런타임_원본'!$H$5:$H$1029,"예",'런타임_원본'!$P$5:$P$1029,"포함")</x:f>
        <x:v>6</x:v>
      </x:c>
      <x:c r="L15" s="5" t="n">
        <x:f>COUNTIFS('런타임_원본'!$D$5:$D$1029,$D15,'런타임_원본'!$H$5:$H$1029,"예",'런타임_원본'!$Q$5:$Q$1029,"포함")</x:f>
        <x:v>8</x:v>
      </x:c>
      <x:c r="M15" s="5" t="n">
        <x:f>COUNTIFS('런타임_원본'!$D$5:$D$1029,$D15,'런타임_원본'!$H$5:$H$1029,"예",'런타임_원본'!$R$5:$R$1029,"포함")</x:f>
        <x:v>11</x:v>
      </x:c>
    </x:row>
    <x:row r="16" ht="24" customHeight="1">
      <x:c r="A16" s="5" t="inlineStr">
        <x:is>
          <x:t xml:space="preserve">희귀</x:t>
        </x:is>
      </x:c>
      <x:c r="B16" s="5" t="n">
        <x:f>COUNTIF('포켓몬_편집'!$Q$5:$Q$1029,A16)</x:f>
        <x:v>140</x:v>
      </x:c>
      <x:c r="D16" s="5" t="inlineStr">
        <x:is>
          <x:t xml:space="preserve">특수</x:t>
        </x:is>
      </x:c>
      <x:c r="E16" s="5" t="n">
        <x:f>COUNTIFS('런타임_원본'!$D$5:$D$1029,$D16,'런타임_원본'!$H$5:$H$1029,"예",'런타임_원본'!$J$5:$J$1029,"포함")</x:f>
        <x:v>11</x:v>
      </x:c>
      <x:c r="F16" s="5" t="n">
        <x:f>COUNTIFS('런타임_원본'!$D$5:$D$1029,$D16,'런타임_원본'!$H$5:$H$1029,"예",'런타임_원본'!$K$5:$K$1029,"포함")</x:f>
        <x:v>17</x:v>
      </x:c>
      <x:c r="G16" s="5" t="n">
        <x:f>COUNTIFS('런타임_원본'!$D$5:$D$1029,$D16,'런타임_원본'!$H$5:$H$1029,"예",'런타임_원본'!$L$5:$L$1029,"포함")</x:f>
        <x:v>9</x:v>
      </x:c>
      <x:c r="H16" s="5" t="n">
        <x:f>COUNTIFS('런타임_원본'!$D$5:$D$1029,$D16,'런타임_원본'!$H$5:$H$1029,"예",'런타임_원본'!$M$5:$M$1029,"포함")</x:f>
        <x:v>18</x:v>
      </x:c>
      <x:c r="I16" s="5" t="n">
        <x:f>COUNTIFS('런타임_원본'!$D$5:$D$1029,$D16,'런타임_원본'!$H$5:$H$1029,"예",'런타임_원본'!$N$5:$N$1029,"포함")</x:f>
        <x:v>12</x:v>
      </x:c>
      <x:c r="J16" s="5" t="n">
        <x:f>COUNTIFS('런타임_원본'!$D$5:$D$1029,$D16,'런타임_원본'!$H$5:$H$1029,"예",'런타임_원본'!$O$5:$O$1029,"포함")</x:f>
        <x:v>15</x:v>
      </x:c>
      <x:c r="K16" s="5" t="n">
        <x:f>COUNTIFS('런타임_원본'!$D$5:$D$1029,$D16,'런타임_원본'!$H$5:$H$1029,"예",'런타임_원본'!$P$5:$P$1029,"포함")</x:f>
        <x:v>20</x:v>
      </x:c>
      <x:c r="L16" s="5" t="n">
        <x:f>COUNTIFS('런타임_원본'!$D$5:$D$1029,$D16,'런타임_원본'!$H$5:$H$1029,"예",'런타임_원본'!$Q$5:$Q$1029,"포함")</x:f>
        <x:v>23</x:v>
      </x:c>
      <x:c r="M16" s="5" t="n">
        <x:f>COUNTIFS('런타임_원본'!$D$5:$D$1029,$D16,'런타임_원본'!$H$5:$H$1029,"예",'런타임_원본'!$R$5:$R$1029,"포함")</x:f>
        <x:v>34</x:v>
      </x:c>
    </x:row>
    <x:row r="17" ht="24" customHeight="1">
      <x:c r="A17" s="5" t="inlineStr">
        <x:is>
          <x:t xml:space="preserve">전설</x:t>
        </x:is>
      </x:c>
      <x:c r="B17" s="5" t="n">
        <x:f>COUNTIF('포켓몬_편집'!$Q$5:$Q$1029,A17)</x:f>
        <x:v>105</x:v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customWidth="1"/>
    <x:col min="2" max="2" width="14" customWidth="1"/>
    <x:col min="3" max="3" width="17" customWidth="1"/>
    <x:col min="4" max="4" width="17" customWidth="1"/>
    <x:col min="5" max="5" width="7" customWidth="1"/>
    <x:col min="6" max="6" width="9" customWidth="1"/>
    <x:col min="7" max="7" width="9" customWidth="1"/>
    <x:col min="8" max="8" width="12" customWidth="1"/>
    <x:col min="9" max="9" width="13" customWidth="1"/>
    <x:col min="10" max="10" width="10" customWidth="1"/>
    <x:col min="11" max="11" width="12" customWidth="1"/>
    <x:col min="12" max="12" width="14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12" customWidth="1"/>
    <x:col min="18" max="18" width="12" customWidth="1"/>
    <x:col min="19" max="19" width="13" customWidth="1"/>
    <x:col min="20" max="20" width="14" customWidth="1"/>
    <x:col min="21" max="21" width="14" customWidth="1"/>
    <x:col min="22" max="22" width="14" customWidth="1"/>
    <x:col min="23" max="23" width="16" customWidth="1"/>
    <x:col min="24" max="24" width="12" customWidth="1"/>
    <x:col min="25" max="25" width="12" customWidth="1"/>
    <x:col min="26" max="26" width="45" customWidth="1"/>
    <x:col min="27" max="27" width="18" customWidth="1"/>
    <x:col min="28" max="28" width="12" customWidth="1"/>
    <x:col min="29" max="29" width="12" customWidth="1"/>
    <x:col min="30" max="30" width="28" customWidth="1"/>
    <x:col min="31" max="31" width="48" customWidth="1"/>
    <x:col min="32" max="32" width="13" hidden="1" customWidth="1"/>
    <x:col min="33" max="33" width="13" hidden="1" customWidth="1"/>
    <x:col min="34" max="34" width="13" hidden="1" customWidth="1"/>
    <x:col min="35" max="35" width="13" hidden="1" customWidth="1"/>
    <x:col min="36" max="36" width="13" hidden="1" customWidth="1"/>
    <x:col min="37" max="37" width="13" hidden="1" customWidth="1"/>
    <x:col min="38" max="38" width="13" hidden="1" customWidth="1"/>
    <x:col min="39" max="39" width="13" hidden="1" customWidth="1"/>
    <x:col min="40" max="40" width="13" hidden="1" customWidth="1"/>
  </x:cols>
  <x:sheetData>
    <x:row r="1" ht="30" customHeight="1">
      <x:c r="A1" s="1" t="inlineStr">
        <x:is>
          <x:t xml:space="preserve">포켓몬 서식지 편집표</x:t>
        </x:is>
      </x:c>
    </x:row>
    <x:row r="2" ht="32" customHeight="1">
      <x:c r="A2" s="2" t="inlineStr">
        <x:is>
          <x:t xml:space="preserve">노란색 열을 수정하면 서식지 점수·주서식지·보조서식지·검토상태가 자동 갱신됩니다. 원본대분류가 비어 있거나 신뢰도가 낮은 행부터 검토하세요.</x:t>
        </x:is>
      </x:c>
    </x:row>
    <x:row r="4" ht="36" customHeight="1">
      <x:c r="A4" s="3" t="inlineStr">
        <x:is>
          <x:t xml:space="preserve">덱스번호</x:t>
        </x:is>
      </x:c>
      <x:c r="B4" s="3" t="inlineStr">
        <x:is>
          <x:t xml:space="preserve">한글명</x:t>
        </x:is>
      </x:c>
      <x:c r="C4" s="3" t="inlineStr">
        <x:is>
          <x:t xml:space="preserve">영문ID</x:t>
        </x:is>
      </x:c>
      <x:c r="D4" s="3" t="inlineStr">
        <x:is>
          <x:t xml:space="preserve">영문명</x:t>
        </x:is>
      </x:c>
      <x:c r="E4" s="3" t="inlineStr">
        <x:is>
          <x:t xml:space="preserve">세대</x:t>
        </x:is>
      </x:c>
      <x:c r="F4" s="3" t="inlineStr">
        <x:is>
          <x:t xml:space="preserve">타입1</x:t>
        </x:is>
      </x:c>
      <x:c r="G4" s="3" t="inlineStr">
        <x:is>
          <x:t xml:space="preserve">타입2</x:t>
        </x:is>
      </x:c>
      <x:c r="H4" s="3" t="inlineStr">
        <x:is>
          <x:t xml:space="preserve">몸무게(kg)</x:t>
        </x:is>
      </x:c>
      <x:c r="I4" s="3" t="inlineStr">
        <x:is>
          <x:t xml:space="preserve">최종진화레벨</x:t>
        </x:is>
      </x:c>
      <x:c r="J4" s="3" t="inlineStr">
        <x:is>
          <x:t xml:space="preserve">진화단계</x:t>
        </x:is>
      </x:c>
      <x:c r="K4" s="3" t="inlineStr">
        <x:is>
          <x:t xml:space="preserve">생활권_편집</x:t>
        </x:is>
      </x:c>
      <x:c r="L4" s="3" t="inlineStr">
        <x:is>
          <x:t xml:space="preserve">선호지형_편집</x:t>
        </x:is>
      </x:c>
      <x:c r="M4" s="3" t="inlineStr">
        <x:is>
          <x:t xml:space="preserve">선호온도_편집</x:t>
        </x:is>
      </x:c>
      <x:c r="N4" s="3" t="inlineStr">
        <x:is>
          <x:t xml:space="preserve">선호습도_편집</x:t>
        </x:is>
      </x:c>
      <x:c r="O4" s="3" t="inlineStr">
        <x:is>
          <x:t xml:space="preserve">선호날씨_편집</x:t>
        </x:is>
      </x:c>
      <x:c r="P4" s="3" t="inlineStr">
        <x:is>
          <x:t xml:space="preserve">활동시간_편집</x:t>
        </x:is>
      </x:c>
      <x:c r="Q4" s="3" t="inlineStr">
        <x:is>
          <x:t xml:space="preserve">레어도_편집</x:t>
        </x:is>
      </x:c>
      <x:c r="R4" s="3" t="inlineStr">
        <x:is>
          <x:t xml:space="preserve">특수태그_편집</x:t>
        </x:is>
      </x:c>
      <x:c r="S4" s="3" t="inlineStr">
        <x:is>
          <x:t xml:space="preserve">원본대분류</x:t>
        </x:is>
      </x:c>
      <x:c r="T4" s="3" t="inlineStr">
        <x:is>
          <x:t xml:space="preserve">주서식지_수동</x:t>
        </x:is>
      </x:c>
      <x:c r="U4" s="3" t="inlineStr">
        <x:is>
          <x:t xml:space="preserve">자동주서식지</x:t>
        </x:is>
      </x:c>
      <x:c r="V4" s="3" t="inlineStr">
        <x:is>
          <x:t xml:space="preserve">적용주서식지</x:t>
        </x:is>
      </x:c>
      <x:c r="W4" s="3" t="inlineStr">
        <x:is>
          <x:t xml:space="preserve">자동보조서식지</x:t>
        </x:is>
      </x:c>
      <x:c r="X4" s="3" t="inlineStr">
        <x:is>
          <x:t xml:space="preserve">판정신뢰도</x:t>
        </x:is>
      </x:c>
      <x:c r="Y4" s="3" t="inlineStr">
        <x:is>
          <x:t xml:space="preserve">최초출현지역</x:t>
        </x:is>
      </x:c>
      <x:c r="Z4" s="3" t="inlineStr">
        <x:is>
          <x:t xml:space="preserve">원본바이옴</x:t>
        </x:is>
      </x:c>
      <x:c r="AA4" s="3" t="inlineStr">
        <x:is>
          <x:t xml:space="preserve">원본희귀도</x:t>
        </x:is>
      </x:c>
      <x:c r="AB4" s="3" t="inlineStr">
        <x:is>
          <x:t xml:space="preserve">Cobblemon구현</x:t>
        </x:is>
      </x:c>
      <x:c r="AC4" s="3" t="inlineStr">
        <x:is>
          <x:t xml:space="preserve">검토상태</x:t>
        </x:is>
      </x:c>
      <x:c r="AD4" s="3" t="inlineStr">
        <x:is>
          <x:t xml:space="preserve">메모_편집</x:t>
        </x:is>
      </x:c>
      <x:c r="AE4" s="3" t="inlineStr">
        <x:is>
          <x:t xml:space="preserve">출처경로</x:t>
        </x:is>
      </x:c>
      <x:c r="AF4" s="3" t="inlineStr">
        <x:is>
          <x:t xml:space="preserve">키_생활권</x:t>
        </x:is>
      </x:c>
      <x:c r="AG4" s="3" t="inlineStr">
        <x:is>
          <x:t xml:space="preserve">키_지형</x:t>
        </x:is>
      </x:c>
      <x:c r="AH4" s="3" t="inlineStr">
        <x:is>
          <x:t xml:space="preserve">키_온도</x:t>
        </x:is>
      </x:c>
      <x:c r="AI4" s="3" t="inlineStr">
        <x:is>
          <x:t xml:space="preserve">키_습도</x:t>
        </x:is>
      </x:c>
      <x:c r="AJ4" s="3" t="inlineStr">
        <x:is>
          <x:t xml:space="preserve">키_날씨</x:t>
        </x:is>
      </x:c>
      <x:c r="AK4" s="3" t="inlineStr">
        <x:is>
          <x:t xml:space="preserve">키_특수태그</x:t>
        </x:is>
      </x:c>
      <x:c r="AL4" s="3" t="inlineStr">
        <x:is>
          <x:t xml:space="preserve">키_원본서식지</x:t>
        </x:is>
      </x:c>
      <x:c r="AM4" s="3" t="inlineStr">
        <x:is>
          <x:t xml:space="preserve">키_타입1</x:t>
        </x:is>
      </x:c>
      <x:c r="AN4" s="3" t="inlineStr">
        <x:is>
          <x:t xml:space="preserve">키_타입2</x:t>
        </x:is>
      </x:c>
    </x:row>
    <x:row r="5" ht="24" customHeight="1">
      <x:c r="A5" s="5" t="n">
        <x:v>1</x:v>
      </x:c>
      <x:c r="B5" s="5" t="inlineStr">
        <x:is>
          <x:t xml:space="preserve">이상해씨</x:t>
        </x:is>
      </x:c>
      <x:c r="C5" s="5" t="inlineStr">
        <x:is>
          <x:t xml:space="preserve">bulbasaur</x:t>
        </x:is>
      </x:c>
      <x:c r="D5" s="5" t="inlineStr">
        <x:is>
          <x:t xml:space="preserve">Bulbasaur</x:t>
        </x:is>
      </x:c>
      <x:c r="E5" s="5" t="n">
        <x:v>1</x:v>
      </x:c>
      <x:c r="F5" s="5" t="inlineStr">
        <x:is>
          <x:t xml:space="preserve">풀</x:t>
        </x:is>
      </x:c>
      <x:c r="G5" s="5" t="inlineStr">
        <x:is>
          <x:t xml:space="preserve">독</x:t>
        </x:is>
      </x:c>
      <x:c r="H5" s="6" t="n">
        <x:v>6.9</x:v>
      </x:c>
      <x:c r="I5" s="5" t="n">
        <x:v>32</x:v>
      </x:c>
      <x:c r="J5" s="5" t="inlineStr">
        <x:is>
          <x:t xml:space="preserve">기본</x:t>
        </x:is>
      </x:c>
      <x:c r="K5" s="7" t="inlineStr">
        <x:is>
          <x:t xml:space="preserve">육상</x:t>
        </x:is>
      </x:c>
      <x:c r="L5" s="7" t="inlineStr">
        <x:is>
          <x:t xml:space="preserve">수목</x:t>
        </x:is>
      </x:c>
      <x:c r="M5" s="7" t="inlineStr">
        <x:is>
          <x:t xml:space="preserve">온대</x:t>
        </x:is>
      </x:c>
      <x:c r="N5" s="7" t="inlineStr">
        <x:is>
          <x:t xml:space="preserve">다습</x:t>
        </x:is>
      </x:c>
      <x:c r="O5" s="7" t="inlineStr">
        <x:is>
          <x:t xml:space="preserve">무관</x:t>
        </x:is>
      </x:c>
      <x:c r="P5" s="7" t="inlineStr">
        <x:is>
          <x:t xml:space="preserve">무관</x:t>
        </x:is>
      </x:c>
      <x:c r="Q5" s="7" t="inlineStr">
        <x:is>
          <x:t xml:space="preserve">희귀</x:t>
        </x:is>
      </x:c>
      <x:c r="R5" s="7" t="inlineStr">
        <x:is>
          <x:t xml:space="preserve">없음</x:t>
        </x:is>
      </x:c>
      <x:c r="S5" s="7" t="inlineStr">
        <x:is>
          <x:t xml:space="preserve">숲</x:t>
        </x:is>
      </x:c>
      <x:c r="T5" s="7" t="inlineStr">
        <x:is>
          <x:t xml:space="preserve"/>
        </x:is>
      </x:c>
      <x:c r="U5" s="8" t="str">
        <x:f>INDEX('서식지_점수'!$E$4:$P$4,1,MATCH(MAX('서식지_점수'!E5:P5),'서식지_점수'!E5:P5,0))</x:f>
        <x:v>평원</x:v>
      </x:c>
      <x:c r="V5" s="8" t="str">
        <x:f>IF(T5&lt;&gt;"",T5,U5)</x:f>
        <x:v>평원</x:v>
      </x:c>
      <x:c r="W5" s="8" t="str">
        <x:f>IFERROR(INDEX('서식지_점수'!$E$4:$P$4,1,MATCH(MAXIFS('서식지_점수'!E5:P5,'서식지_점수'!E5:P5,"&lt;"&amp;MAX('서식지_점수'!E5:P5)),'서식지_점수'!E5:P5,0)),"")</x:f>
        <x:v>숲</x:v>
      </x:c>
      <x:c r="X5" s="8" t="str">
        <x:f>IF(T5&lt;&gt;"","수동확정",IF(MAX('서식지_점수'!E5:P5)-LARGE('서식지_점수'!E5:P5,2)&gt;=15,"높음",IF(MAX('서식지_점수'!E5:P5)-LARGE('서식지_점수'!E5:P5,2)&gt;=8,"보통","검토필요")))</x:f>
        <x:v>검토필요</x:v>
      </x:c>
      <x:c r="Y5" s="9" t="n">
        <x:f>IF(Q5="전설",8,IF(Q5="희귀",7,IF(J5="기본",1,IF(J5="중간",3,IF(J5="최종",IF(I5="",5,IF(I5&lt;=20,3,IF(I5&lt;=35,4,IF(I5&lt;=50,6,7)))),IF(Q5="드묾",4,2))))))</x:f>
        <x:v>7</x:v>
      </x:c>
      <x:c r="Z5" s="5" t="inlineStr">
        <x:is>
          <x:t xml:space="preserve">#cobblemon:is_jungle; #cobblemon:is_tropical_island</x:t>
        </x:is>
      </x:c>
      <x:c r="AA5" s="5" t="inlineStr">
        <x:is>
          <x:t xml:space="preserve">ultra-rare</x:t>
        </x:is>
      </x:c>
      <x:c r="AB5" s="5" t="inlineStr">
        <x:is>
          <x:t xml:space="preserve">예</x:t>
        </x:is>
      </x:c>
      <x:c r="AC5" s="8" t="str">
        <x:f>IF(T5&lt;&gt;"","수동확정",IF(X5="검토필요","검토필요",IF(S5="","원본없음","초기완료")))</x:f>
        <x:v>검토필요</x:v>
      </x:c>
      <x:c r="AD5" s="7" t="inlineStr">
        <x:is>
          <x:t xml:space="preserve"/>
        </x:is>
      </x:c>
      <x:c r="AE5" s="5" t="inlineStr">
        <x:is>
          <x:t xml:space="preserve">.tmp/cobblemon-1.7.3-source/common/src/main/resources/data/cobblemon/species/generation1/bulbasaur.json</x:t>
        </x:is>
      </x:c>
      <x:c r="AF5" s="5" t="str">
        <x:f>"생활권|"&amp;K5</x:f>
        <x:v>생활권|육상</x:v>
      </x:c>
      <x:c r="AG5" s="5" t="str">
        <x:f>"지형|"&amp;L5</x:f>
        <x:v>지형|수목</x:v>
      </x:c>
      <x:c r="AH5" s="5" t="str">
        <x:f>"온도|"&amp;M5</x:f>
        <x:v>온도|온대</x:v>
      </x:c>
      <x:c r="AI5" s="5" t="str">
        <x:f>"습도|"&amp;N5</x:f>
        <x:v>습도|다습</x:v>
      </x:c>
      <x:c r="AJ5" s="5" t="str">
        <x:f>"날씨|"&amp;O5</x:f>
        <x:v>날씨|무관</x:v>
      </x:c>
      <x:c r="AK5" s="5" t="str">
        <x:f>"특수태그|"&amp;R5</x:f>
        <x:v>특수태그|없음</x:v>
      </x:c>
      <x:c r="AL5" s="5" t="str">
        <x:f>"원본서식지|"&amp;S5</x:f>
        <x:v>원본서식지|숲</x:v>
      </x:c>
      <x:c r="AM5" s="5" t="str">
        <x:f>"타입|"&amp;F5</x:f>
        <x:v>타입|풀</x:v>
      </x:c>
      <x:c r="AN5" s="5" t="str">
        <x:f>"타입|"&amp;G5</x:f>
        <x:v>타입|독</x:v>
      </x:c>
    </x:row>
    <x:row r="6" ht="24" customHeight="1">
      <x:c r="A6" s="5" t="n">
        <x:v>2</x:v>
      </x:c>
      <x:c r="B6" s="5" t="inlineStr">
        <x:is>
          <x:t xml:space="preserve">이상해풀</x:t>
        </x:is>
      </x:c>
      <x:c r="C6" s="5" t="inlineStr">
        <x:is>
          <x:t xml:space="preserve">ivysaur</x:t>
        </x:is>
      </x:c>
      <x:c r="D6" s="5" t="inlineStr">
        <x:is>
          <x:t xml:space="preserve">Ivysaur</x:t>
        </x:is>
      </x:c>
      <x:c r="E6" s="5" t="n">
        <x:v>1</x:v>
      </x:c>
      <x:c r="F6" s="5" t="inlineStr">
        <x:is>
          <x:t xml:space="preserve">풀</x:t>
        </x:is>
      </x:c>
      <x:c r="G6" s="5" t="inlineStr">
        <x:is>
          <x:t xml:space="preserve">독</x:t>
        </x:is>
      </x:c>
      <x:c r="H6" s="6" t="n">
        <x:v>13</x:v>
      </x:c>
      <x:c r="I6" s="5" t="n">
        <x:v>32</x:v>
      </x:c>
      <x:c r="J6" s="5" t="inlineStr">
        <x:is>
          <x:t xml:space="preserve">중간</x:t>
        </x:is>
      </x:c>
      <x:c r="K6" s="7" t="inlineStr">
        <x:is>
          <x:t xml:space="preserve">육상</x:t>
        </x:is>
      </x:c>
      <x:c r="L6" s="7" t="inlineStr">
        <x:is>
          <x:t xml:space="preserve">수목</x:t>
        </x:is>
      </x:c>
      <x:c r="M6" s="7" t="inlineStr">
        <x:is>
          <x:t xml:space="preserve">온대</x:t>
        </x:is>
      </x:c>
      <x:c r="N6" s="7" t="inlineStr">
        <x:is>
          <x:t xml:space="preserve">다습</x:t>
        </x:is>
      </x:c>
      <x:c r="O6" s="7" t="inlineStr">
        <x:is>
          <x:t xml:space="preserve">무관</x:t>
        </x:is>
      </x:c>
      <x:c r="P6" s="7" t="inlineStr">
        <x:is>
          <x:t xml:space="preserve">무관</x:t>
        </x:is>
      </x:c>
      <x:c r="Q6" s="7" t="inlineStr">
        <x:is>
          <x:t xml:space="preserve">희귀</x:t>
        </x:is>
      </x:c>
      <x:c r="R6" s="7" t="inlineStr">
        <x:is>
          <x:t xml:space="preserve">없음</x:t>
        </x:is>
      </x:c>
      <x:c r="S6" s="7" t="inlineStr">
        <x:is>
          <x:t xml:space="preserve">숲</x:t>
        </x:is>
      </x:c>
      <x:c r="T6" s="7" t="inlineStr">
        <x:is>
          <x:t xml:space="preserve"/>
        </x:is>
      </x:c>
      <x:c r="U6" s="8" t="str">
        <x:f>INDEX('서식지_점수'!$E$4:$P$4,1,MATCH(MAX('서식지_점수'!E6:P6),'서식지_점수'!E6:P6,0))</x:f>
        <x:v>평원</x:v>
      </x:c>
      <x:c r="V6" s="8" t="str">
        <x:f>IF(T6&lt;&gt;"",T6,U6)</x:f>
        <x:v>평원</x:v>
      </x:c>
      <x:c r="W6" s="8" t="str">
        <x:f>IFERROR(INDEX('서식지_점수'!$E$4:$P$4,1,MATCH(MAXIFS('서식지_점수'!E6:P6,'서식지_점수'!E6:P6,"&lt;"&amp;MAX('서식지_점수'!E6:P6)),'서식지_점수'!E6:P6,0)),"")</x:f>
        <x:v>숲</x:v>
      </x:c>
      <x:c r="X6" s="8" t="str">
        <x:f>IF(T6&lt;&gt;"","수동확정",IF(MAX('서식지_점수'!E6:P6)-LARGE('서식지_점수'!E6:P6,2)&gt;=15,"높음",IF(MAX('서식지_점수'!E6:P6)-LARGE('서식지_점수'!E6:P6,2)&gt;=8,"보통","검토필요")))</x:f>
        <x:v>검토필요</x:v>
      </x:c>
      <x:c r="Y6" s="9" t="n">
        <x:f>IF(Q6="전설",8,IF(Q6="희귀",7,IF(J6="기본",1,IF(J6="중간",3,IF(J6="최종",IF(I6="",5,IF(I6&lt;=20,3,IF(I6&lt;=35,4,IF(I6&lt;=50,6,7)))),IF(Q6="드묾",4,2))))))</x:f>
        <x:v>7</x:v>
      </x:c>
      <x:c r="Z6" s="5" t="inlineStr">
        <x:is>
          <x:t xml:space="preserve">#cobblemon:is_jungle; #cobblemon:is_tropical_island</x:t>
        </x:is>
      </x:c>
      <x:c r="AA6" s="5" t="inlineStr">
        <x:is>
          <x:t xml:space="preserve">ultra-rare</x:t>
        </x:is>
      </x:c>
      <x:c r="AB6" s="5" t="inlineStr">
        <x:is>
          <x:t xml:space="preserve">예</x:t>
        </x:is>
      </x:c>
      <x:c r="AC6" s="8" t="str">
        <x:f>IF(T6&lt;&gt;"","수동확정",IF(X6="검토필요","검토필요",IF(S6="","원본없음","초기완료")))</x:f>
        <x:v>검토필요</x:v>
      </x:c>
      <x:c r="AD6" s="7" t="inlineStr">
        <x:is>
          <x:t xml:space="preserve"/>
        </x:is>
      </x:c>
      <x:c r="AE6" s="5" t="inlineStr">
        <x:is>
          <x:t xml:space="preserve">.tmp/cobblemon-1.7.3-source/common/src/main/resources/data/cobblemon/species/generation1/ivysaur.json</x:t>
        </x:is>
      </x:c>
      <x:c r="AF6" s="5" t="str">
        <x:f>"생활권|"&amp;K6</x:f>
        <x:v>생활권|육상</x:v>
      </x:c>
      <x:c r="AG6" s="5" t="str">
        <x:f>"지형|"&amp;L6</x:f>
        <x:v>지형|수목</x:v>
      </x:c>
      <x:c r="AH6" s="5" t="str">
        <x:f>"온도|"&amp;M6</x:f>
        <x:v>온도|온대</x:v>
      </x:c>
      <x:c r="AI6" s="5" t="str">
        <x:f>"습도|"&amp;N6</x:f>
        <x:v>습도|다습</x:v>
      </x:c>
      <x:c r="AJ6" s="5" t="str">
        <x:f>"날씨|"&amp;O6</x:f>
        <x:v>날씨|무관</x:v>
      </x:c>
      <x:c r="AK6" s="5" t="str">
        <x:f>"특수태그|"&amp;R6</x:f>
        <x:v>특수태그|없음</x:v>
      </x:c>
      <x:c r="AL6" s="5" t="str">
        <x:f>"원본서식지|"&amp;S6</x:f>
        <x:v>원본서식지|숲</x:v>
      </x:c>
      <x:c r="AM6" s="5" t="str">
        <x:f>"타입|"&amp;F6</x:f>
        <x:v>타입|풀</x:v>
      </x:c>
      <x:c r="AN6" s="5" t="str">
        <x:f>"타입|"&amp;G6</x:f>
        <x:v>타입|독</x:v>
      </x:c>
    </x:row>
    <x:row r="7" ht="24" customHeight="1">
      <x:c r="A7" s="5" t="n">
        <x:v>3</x:v>
      </x:c>
      <x:c r="B7" s="5" t="inlineStr">
        <x:is>
          <x:t xml:space="preserve">이상해꽃</x:t>
        </x:is>
      </x:c>
      <x:c r="C7" s="5" t="inlineStr">
        <x:is>
          <x:t xml:space="preserve">venusaur</x:t>
        </x:is>
      </x:c>
      <x:c r="D7" s="5" t="inlineStr">
        <x:is>
          <x:t xml:space="preserve">Venusaur</x:t>
        </x:is>
      </x:c>
      <x:c r="E7" s="5" t="n">
        <x:v>1</x:v>
      </x:c>
      <x:c r="F7" s="5" t="inlineStr">
        <x:is>
          <x:t xml:space="preserve">풀</x:t>
        </x:is>
      </x:c>
      <x:c r="G7" s="5" t="inlineStr">
        <x:is>
          <x:t xml:space="preserve">독</x:t>
        </x:is>
      </x:c>
      <x:c r="H7" s="6" t="n">
        <x:v>100</x:v>
      </x:c>
      <x:c r="I7" s="5" t="n">
        <x:v>32</x:v>
      </x:c>
      <x:c r="J7" s="5" t="inlineStr">
        <x:is>
          <x:t xml:space="preserve">최종</x:t>
        </x:is>
      </x:c>
      <x:c r="K7" s="7" t="inlineStr">
        <x:is>
          <x:t xml:space="preserve">육상</x:t>
        </x:is>
      </x:c>
      <x:c r="L7" s="7" t="inlineStr">
        <x:is>
          <x:t xml:space="preserve">수목</x:t>
        </x:is>
      </x:c>
      <x:c r="M7" s="7" t="inlineStr">
        <x:is>
          <x:t xml:space="preserve">온대</x:t>
        </x:is>
      </x:c>
      <x:c r="N7" s="7" t="inlineStr">
        <x:is>
          <x:t xml:space="preserve">다습</x:t>
        </x:is>
      </x:c>
      <x:c r="O7" s="7" t="inlineStr">
        <x:is>
          <x:t xml:space="preserve">무관</x:t>
        </x:is>
      </x:c>
      <x:c r="P7" s="7" t="inlineStr">
        <x:is>
          <x:t xml:space="preserve">무관</x:t>
        </x:is>
      </x:c>
      <x:c r="Q7" s="7" t="inlineStr">
        <x:is>
          <x:t xml:space="preserve">희귀</x:t>
        </x:is>
      </x:c>
      <x:c r="R7" s="7" t="inlineStr">
        <x:is>
          <x:t xml:space="preserve">없음</x:t>
        </x:is>
      </x:c>
      <x:c r="S7" s="7" t="inlineStr">
        <x:is>
          <x:t xml:space="preserve">숲</x:t>
        </x:is>
      </x:c>
      <x:c r="T7" s="7" t="inlineStr">
        <x:is>
          <x:t xml:space="preserve"/>
        </x:is>
      </x:c>
      <x:c r="U7" s="8" t="str">
        <x:f>INDEX('서식지_점수'!$E$4:$P$4,1,MATCH(MAX('서식지_점수'!E7:P7),'서식지_점수'!E7:P7,0))</x:f>
        <x:v>평원</x:v>
      </x:c>
      <x:c r="V7" s="8" t="str">
        <x:f>IF(T7&lt;&gt;"",T7,U7)</x:f>
        <x:v>평원</x:v>
      </x:c>
      <x:c r="W7" s="8" t="str">
        <x:f>IFERROR(INDEX('서식지_점수'!$E$4:$P$4,1,MATCH(MAXIFS('서식지_점수'!E7:P7,'서식지_점수'!E7:P7,"&lt;"&amp;MAX('서식지_점수'!E7:P7)),'서식지_점수'!E7:P7,0)),"")</x:f>
        <x:v>숲</x:v>
      </x:c>
      <x:c r="X7" s="8" t="str">
        <x:f>IF(T7&lt;&gt;"","수동확정",IF(MAX('서식지_점수'!E7:P7)-LARGE('서식지_점수'!E7:P7,2)&gt;=15,"높음",IF(MAX('서식지_점수'!E7:P7)-LARGE('서식지_점수'!E7:P7,2)&gt;=8,"보통","검토필요")))</x:f>
        <x:v>검토필요</x:v>
      </x:c>
      <x:c r="Y7" s="9" t="n">
        <x:f>IF(Q7="전설",8,IF(Q7="희귀",7,IF(J7="기본",1,IF(J7="중간",3,IF(J7="최종",IF(I7="",5,IF(I7&lt;=20,3,IF(I7&lt;=35,4,IF(I7&lt;=50,6,7)))),IF(Q7="드묾",4,2))))))</x:f>
        <x:v>7</x:v>
      </x:c>
      <x:c r="Z7" s="5" t="inlineStr">
        <x:is>
          <x:t xml:space="preserve">#cobblemon:is_jungle; #cobblemon:is_tropical_island</x:t>
        </x:is>
      </x:c>
      <x:c r="AA7" s="5" t="inlineStr">
        <x:is>
          <x:t xml:space="preserve">ultra-rare</x:t>
        </x:is>
      </x:c>
      <x:c r="AB7" s="5" t="inlineStr">
        <x:is>
          <x:t xml:space="preserve">예</x:t>
        </x:is>
      </x:c>
      <x:c r="AC7" s="8" t="str">
        <x:f>IF(T7&lt;&gt;"","수동확정",IF(X7="검토필요","검토필요",IF(S7="","원본없음","초기완료")))</x:f>
        <x:v>검토필요</x:v>
      </x:c>
      <x:c r="AD7" s="7" t="inlineStr">
        <x:is>
          <x:t xml:space="preserve"/>
        </x:is>
      </x:c>
      <x:c r="AE7" s="5" t="inlineStr">
        <x:is>
          <x:t xml:space="preserve">.tmp/cobblemon-1.7.3-source/common/src/main/resources/data/cobblemon/species/generation1/venusaur.json</x:t>
        </x:is>
      </x:c>
      <x:c r="AF7" s="5" t="str">
        <x:f>"생활권|"&amp;K7</x:f>
        <x:v>생활권|육상</x:v>
      </x:c>
      <x:c r="AG7" s="5" t="str">
        <x:f>"지형|"&amp;L7</x:f>
        <x:v>지형|수목</x:v>
      </x:c>
      <x:c r="AH7" s="5" t="str">
        <x:f>"온도|"&amp;M7</x:f>
        <x:v>온도|온대</x:v>
      </x:c>
      <x:c r="AI7" s="5" t="str">
        <x:f>"습도|"&amp;N7</x:f>
        <x:v>습도|다습</x:v>
      </x:c>
      <x:c r="AJ7" s="5" t="str">
        <x:f>"날씨|"&amp;O7</x:f>
        <x:v>날씨|무관</x:v>
      </x:c>
      <x:c r="AK7" s="5" t="str">
        <x:f>"특수태그|"&amp;R7</x:f>
        <x:v>특수태그|없음</x:v>
      </x:c>
      <x:c r="AL7" s="5" t="str">
        <x:f>"원본서식지|"&amp;S7</x:f>
        <x:v>원본서식지|숲</x:v>
      </x:c>
      <x:c r="AM7" s="5" t="str">
        <x:f>"타입|"&amp;F7</x:f>
        <x:v>타입|풀</x:v>
      </x:c>
      <x:c r="AN7" s="5" t="str">
        <x:f>"타입|"&amp;G7</x:f>
        <x:v>타입|독</x:v>
      </x:c>
    </x:row>
    <x:row r="8" ht="24" customHeight="1">
      <x:c r="A8" s="5" t="n">
        <x:v>4</x:v>
      </x:c>
      <x:c r="B8" s="5" t="inlineStr">
        <x:is>
          <x:t xml:space="preserve">파이리</x:t>
        </x:is>
      </x:c>
      <x:c r="C8" s="5" t="inlineStr">
        <x:is>
          <x:t xml:space="preserve">charmander</x:t>
        </x:is>
      </x:c>
      <x:c r="D8" s="5" t="inlineStr">
        <x:is>
          <x:t xml:space="preserve">Charmander</x:t>
        </x:is>
      </x:c>
      <x:c r="E8" s="5" t="n">
        <x:v>1</x:v>
      </x:c>
      <x:c r="F8" s="5" t="inlineStr">
        <x:is>
          <x:t xml:space="preserve">불꽃</x:t>
        </x:is>
      </x:c>
      <x:c r="G8" s="5" t="inlineStr">
        <x:is>
          <x:t xml:space="preserve"/>
        </x:is>
      </x:c>
      <x:c r="H8" s="6" t="n">
        <x:v>8.5</x:v>
      </x:c>
      <x:c r="I8" s="5" t="n">
        <x:v>36</x:v>
      </x:c>
      <x:c r="J8" s="5" t="inlineStr">
        <x:is>
          <x:t xml:space="preserve">기본</x:t>
        </x:is>
      </x:c>
      <x:c r="K8" s="7" t="inlineStr">
        <x:is>
          <x:t xml:space="preserve">육상</x:t>
        </x:is>
      </x:c>
      <x:c r="L8" s="7" t="inlineStr">
        <x:is>
          <x:t xml:space="preserve">화산</x:t>
        </x:is>
      </x:c>
      <x:c r="M8" s="7" t="inlineStr">
        <x:is>
          <x:t xml:space="preserve">고온</x:t>
        </x:is>
      </x:c>
      <x:c r="N8" s="7" t="inlineStr">
        <x:is>
          <x:t xml:space="preserve">건조</x:t>
        </x:is>
      </x:c>
      <x:c r="O8" s="7" t="inlineStr">
        <x:is>
          <x:t xml:space="preserve">맑음</x:t>
        </x:is>
      </x:c>
      <x:c r="P8" s="7" t="inlineStr">
        <x:is>
          <x:t xml:space="preserve">무관</x:t>
        </x:is>
      </x:c>
      <x:c r="Q8" s="7" t="inlineStr">
        <x:is>
          <x:t xml:space="preserve">희귀</x:t>
        </x:is>
      </x:c>
      <x:c r="R8" s="7" t="inlineStr">
        <x:is>
          <x:t xml:space="preserve">화산</x:t>
        </x:is>
      </x:c>
      <x:c r="S8" s="7" t="inlineStr">
        <x:is>
          <x:t xml:space="preserve">화산</x:t>
        </x:is>
      </x:c>
      <x:c r="T8" s="7" t="inlineStr">
        <x:is>
          <x:t xml:space="preserve"/>
        </x:is>
      </x:c>
      <x:c r="U8" s="8" t="str">
        <x:f>INDEX('서식지_점수'!$E$4:$P$4,1,MATCH(MAX('서식지_점수'!E8:P8),'서식지_점수'!E8:P8,0))</x:f>
        <x:v>평원</x:v>
      </x:c>
      <x:c r="V8" s="8" t="str">
        <x:f>IF(T8&lt;&gt;"",T8,U8)</x:f>
        <x:v>평원</x:v>
      </x:c>
      <x:c r="W8" s="8" t="str">
        <x:f>IFERROR(INDEX('서식지_점수'!$E$4:$P$4,1,MATCH(MAXIFS('서식지_점수'!E8:P8,'서식지_점수'!E8:P8,"&lt;"&amp;MAX('서식지_점수'!E8:P8)),'서식지_점수'!E8:P8,0)),"")</x:f>
        <x:v>숲</x:v>
      </x:c>
      <x:c r="X8" s="8" t="str">
        <x:f>IF(T8&lt;&gt;"","수동확정",IF(MAX('서식지_점수'!E8:P8)-LARGE('서식지_점수'!E8:P8,2)&gt;=15,"높음",IF(MAX('서식지_점수'!E8:P8)-LARGE('서식지_점수'!E8:P8,2)&gt;=8,"보통","검토필요")))</x:f>
        <x:v>검토필요</x:v>
      </x:c>
      <x:c r="Y8" s="9" t="n">
        <x:f>IF(Q8="전설",8,IF(Q8="희귀",7,IF(J8="기본",1,IF(J8="중간",3,IF(J8="최종",IF(I8="",5,IF(I8&lt;=20,3,IF(I8&lt;=35,4,IF(I8&lt;=50,6,7)))),IF(Q8="드묾",4,2))))))</x:f>
        <x:v>7</x:v>
      </x:c>
      <x:c r="Z8" s="5" t="inlineStr">
        <x:is>
          <x:t xml:space="preserve">#cobblemon:is_hills; #cobblemon:is_volcanic; #cobblemon:nether/is_basalt</x:t>
        </x:is>
      </x:c>
      <x:c r="AA8" s="5" t="inlineStr">
        <x:is>
          <x:t xml:space="preserve">ultra-rare</x:t>
        </x:is>
      </x:c>
      <x:c r="AB8" s="5" t="inlineStr">
        <x:is>
          <x:t xml:space="preserve">예</x:t>
        </x:is>
      </x:c>
      <x:c r="AC8" s="8" t="str">
        <x:f>IF(T8&lt;&gt;"","수동확정",IF(X8="검토필요","검토필요",IF(S8="","원본없음","초기완료")))</x:f>
        <x:v>검토필요</x:v>
      </x:c>
      <x:c r="AD8" s="7" t="inlineStr">
        <x:is>
          <x:t xml:space="preserve"/>
        </x:is>
      </x:c>
      <x:c r="AE8" s="5" t="inlineStr">
        <x:is>
          <x:t xml:space="preserve">.tmp/cobblemon-1.7.3-source/common/src/main/resources/data/cobblemon/species/generation1/charmander.json</x:t>
        </x:is>
      </x:c>
      <x:c r="AF8" s="5" t="str">
        <x:f>"생활권|"&amp;K8</x:f>
        <x:v>생활권|육상</x:v>
      </x:c>
      <x:c r="AG8" s="5" t="str">
        <x:f>"지형|"&amp;L8</x:f>
        <x:v>지형|화산</x:v>
      </x:c>
      <x:c r="AH8" s="5" t="str">
        <x:f>"온도|"&amp;M8</x:f>
        <x:v>온도|고온</x:v>
      </x:c>
      <x:c r="AI8" s="5" t="str">
        <x:f>"습도|"&amp;N8</x:f>
        <x:v>습도|건조</x:v>
      </x:c>
      <x:c r="AJ8" s="5" t="str">
        <x:f>"날씨|"&amp;O8</x:f>
        <x:v>날씨|맑음</x:v>
      </x:c>
      <x:c r="AK8" s="5" t="str">
        <x:f>"특수태그|"&amp;R8</x:f>
        <x:v>특수태그|화산</x:v>
      </x:c>
      <x:c r="AL8" s="5" t="str">
        <x:f>"원본서식지|"&amp;S8</x:f>
        <x:v>원본서식지|화산</x:v>
      </x:c>
      <x:c r="AM8" s="5" t="str">
        <x:f>"타입|"&amp;F8</x:f>
        <x:v>타입|불꽃</x:v>
      </x:c>
      <x:c r="AN8" s="5" t="str">
        <x:f>"타입|"&amp;G8</x:f>
        <x:v>타입|</x:v>
      </x:c>
    </x:row>
    <x:row r="9" ht="24" customHeight="1">
      <x:c r="A9" s="5" t="n">
        <x:v>5</x:v>
      </x:c>
      <x:c r="B9" s="5" t="inlineStr">
        <x:is>
          <x:t xml:space="preserve">리자드</x:t>
        </x:is>
      </x:c>
      <x:c r="C9" s="5" t="inlineStr">
        <x:is>
          <x:t xml:space="preserve">charmeleon</x:t>
        </x:is>
      </x:c>
      <x:c r="D9" s="5" t="inlineStr">
        <x:is>
          <x:t xml:space="preserve">Charmeleon</x:t>
        </x:is>
      </x:c>
      <x:c r="E9" s="5" t="n">
        <x:v>1</x:v>
      </x:c>
      <x:c r="F9" s="5" t="inlineStr">
        <x:is>
          <x:t xml:space="preserve">불꽃</x:t>
        </x:is>
      </x:c>
      <x:c r="G9" s="5" t="inlineStr">
        <x:is>
          <x:t xml:space="preserve"/>
        </x:is>
      </x:c>
      <x:c r="H9" s="6" t="n">
        <x:v>19</x:v>
      </x:c>
      <x:c r="I9" s="5" t="n">
        <x:v>36</x:v>
      </x:c>
      <x:c r="J9" s="5" t="inlineStr">
        <x:is>
          <x:t xml:space="preserve">중간</x:t>
        </x:is>
      </x:c>
      <x:c r="K9" s="7" t="inlineStr">
        <x:is>
          <x:t xml:space="preserve">육상</x:t>
        </x:is>
      </x:c>
      <x:c r="L9" s="7" t="inlineStr">
        <x:is>
          <x:t xml:space="preserve">화산</x:t>
        </x:is>
      </x:c>
      <x:c r="M9" s="7" t="inlineStr">
        <x:is>
          <x:t xml:space="preserve">고온</x:t>
        </x:is>
      </x:c>
      <x:c r="N9" s="7" t="inlineStr">
        <x:is>
          <x:t xml:space="preserve">건조</x:t>
        </x:is>
      </x:c>
      <x:c r="O9" s="7" t="inlineStr">
        <x:is>
          <x:t xml:space="preserve">맑음</x:t>
        </x:is>
      </x:c>
      <x:c r="P9" s="7" t="inlineStr">
        <x:is>
          <x:t xml:space="preserve">무관</x:t>
        </x:is>
      </x:c>
      <x:c r="Q9" s="7" t="inlineStr">
        <x:is>
          <x:t xml:space="preserve">희귀</x:t>
        </x:is>
      </x:c>
      <x:c r="R9" s="7" t="inlineStr">
        <x:is>
          <x:t xml:space="preserve">화산</x:t>
        </x:is>
      </x:c>
      <x:c r="S9" s="7" t="inlineStr">
        <x:is>
          <x:t xml:space="preserve">화산</x:t>
        </x:is>
      </x:c>
      <x:c r="T9" s="7" t="inlineStr">
        <x:is>
          <x:t xml:space="preserve"/>
        </x:is>
      </x:c>
      <x:c r="U9" s="8" t="str">
        <x:f>INDEX('서식지_점수'!$E$4:$P$4,1,MATCH(MAX('서식지_점수'!E9:P9),'서식지_점수'!E9:P9,0))</x:f>
        <x:v>평원</x:v>
      </x:c>
      <x:c r="V9" s="8" t="str">
        <x:f>IF(T9&lt;&gt;"",T9,U9)</x:f>
        <x:v>평원</x:v>
      </x:c>
      <x:c r="W9" s="8" t="str">
        <x:f>IFERROR(INDEX('서식지_점수'!$E$4:$P$4,1,MATCH(MAXIFS('서식지_점수'!E9:P9,'서식지_점수'!E9:P9,"&lt;"&amp;MAX('서식지_점수'!E9:P9)),'서식지_점수'!E9:P9,0)),"")</x:f>
        <x:v>숲</x:v>
      </x:c>
      <x:c r="X9" s="8" t="str">
        <x:f>IF(T9&lt;&gt;"","수동확정",IF(MAX('서식지_점수'!E9:P9)-LARGE('서식지_점수'!E9:P9,2)&gt;=15,"높음",IF(MAX('서식지_점수'!E9:P9)-LARGE('서식지_점수'!E9:P9,2)&gt;=8,"보통","검토필요")))</x:f>
        <x:v>검토필요</x:v>
      </x:c>
      <x:c r="Y9" s="9" t="n">
        <x:f>IF(Q9="전설",8,IF(Q9="희귀",7,IF(J9="기본",1,IF(J9="중간",3,IF(J9="최종",IF(I9="",5,IF(I9&lt;=20,3,IF(I9&lt;=35,4,IF(I9&lt;=50,6,7)))),IF(Q9="드묾",4,2))))))</x:f>
        <x:v>7</x:v>
      </x:c>
      <x:c r="Z9" s="5" t="inlineStr">
        <x:is>
          <x:t xml:space="preserve">#cobblemon:is_hills; #cobblemon:is_volcanic; #cobblemon:nether/is_basalt</x:t>
        </x:is>
      </x:c>
      <x:c r="AA9" s="5" t="inlineStr">
        <x:is>
          <x:t xml:space="preserve">ultra-rare</x:t>
        </x:is>
      </x:c>
      <x:c r="AB9" s="5" t="inlineStr">
        <x:is>
          <x:t xml:space="preserve">예</x:t>
        </x:is>
      </x:c>
      <x:c r="AC9" s="8" t="str">
        <x:f>IF(T9&lt;&gt;"","수동확정",IF(X9="검토필요","검토필요",IF(S9="","원본없음","초기완료")))</x:f>
        <x:v>검토필요</x:v>
      </x:c>
      <x:c r="AD9" s="7" t="inlineStr">
        <x:is>
          <x:t xml:space="preserve"/>
        </x:is>
      </x:c>
      <x:c r="AE9" s="5" t="inlineStr">
        <x:is>
          <x:t xml:space="preserve">.tmp/cobblemon-1.7.3-source/common/src/main/resources/data/cobblemon/species/generation1/charmeleon.json</x:t>
        </x:is>
      </x:c>
      <x:c r="AF9" s="5" t="str">
        <x:f>"생활권|"&amp;K9</x:f>
        <x:v>생활권|육상</x:v>
      </x:c>
      <x:c r="AG9" s="5" t="str">
        <x:f>"지형|"&amp;L9</x:f>
        <x:v>지형|화산</x:v>
      </x:c>
      <x:c r="AH9" s="5" t="str">
        <x:f>"온도|"&amp;M9</x:f>
        <x:v>온도|고온</x:v>
      </x:c>
      <x:c r="AI9" s="5" t="str">
        <x:f>"습도|"&amp;N9</x:f>
        <x:v>습도|건조</x:v>
      </x:c>
      <x:c r="AJ9" s="5" t="str">
        <x:f>"날씨|"&amp;O9</x:f>
        <x:v>날씨|맑음</x:v>
      </x:c>
      <x:c r="AK9" s="5" t="str">
        <x:f>"특수태그|"&amp;R9</x:f>
        <x:v>특수태그|화산</x:v>
      </x:c>
      <x:c r="AL9" s="5" t="str">
        <x:f>"원본서식지|"&amp;S9</x:f>
        <x:v>원본서식지|화산</x:v>
      </x:c>
      <x:c r="AM9" s="5" t="str">
        <x:f>"타입|"&amp;F9</x:f>
        <x:v>타입|불꽃</x:v>
      </x:c>
      <x:c r="AN9" s="5" t="str">
        <x:f>"타입|"&amp;G9</x:f>
        <x:v>타입|</x:v>
      </x:c>
    </x:row>
    <x:row r="10" ht="24" customHeight="1">
      <x:c r="A10" s="5" t="n">
        <x:v>6</x:v>
      </x:c>
      <x:c r="B10" s="5" t="inlineStr">
        <x:is>
          <x:t xml:space="preserve">리자몽</x:t>
        </x:is>
      </x:c>
      <x:c r="C10" s="5" t="inlineStr">
        <x:is>
          <x:t xml:space="preserve">charizard</x:t>
        </x:is>
      </x:c>
      <x:c r="D10" s="5" t="inlineStr">
        <x:is>
          <x:t xml:space="preserve">Charizard</x:t>
        </x:is>
      </x:c>
      <x:c r="E10" s="5" t="n">
        <x:v>1</x:v>
      </x:c>
      <x:c r="F10" s="5" t="inlineStr">
        <x:is>
          <x:t xml:space="preserve">불꽃</x:t>
        </x:is>
      </x:c>
      <x:c r="G10" s="5" t="inlineStr">
        <x:is>
          <x:t xml:space="preserve">비행</x:t>
        </x:is>
      </x:c>
      <x:c r="H10" s="6" t="n">
        <x:v>90.5</x:v>
      </x:c>
      <x:c r="I10" s="5" t="n">
        <x:v>36</x:v>
      </x:c>
      <x:c r="J10" s="5" t="inlineStr">
        <x:is>
          <x:t xml:space="preserve">최종</x:t>
        </x:is>
      </x:c>
      <x:c r="K10" s="7" t="inlineStr">
        <x:is>
          <x:t xml:space="preserve">비행</x:t>
        </x:is>
      </x:c>
      <x:c r="L10" s="7" t="inlineStr">
        <x:is>
          <x:t xml:space="preserve">화산</x:t>
        </x:is>
      </x:c>
      <x:c r="M10" s="7" t="inlineStr">
        <x:is>
          <x:t xml:space="preserve">고온</x:t>
        </x:is>
      </x:c>
      <x:c r="N10" s="7" t="inlineStr">
        <x:is>
          <x:t xml:space="preserve">건조</x:t>
        </x:is>
      </x:c>
      <x:c r="O10" s="7" t="inlineStr">
        <x:is>
          <x:t xml:space="preserve">맑음</x:t>
        </x:is>
      </x:c>
      <x:c r="P10" s="7" t="inlineStr">
        <x:is>
          <x:t xml:space="preserve">무관</x:t>
        </x:is>
      </x:c>
      <x:c r="Q10" s="7" t="inlineStr">
        <x:is>
          <x:t xml:space="preserve">희귀</x:t>
        </x:is>
      </x:c>
      <x:c r="R10" s="7" t="inlineStr">
        <x:is>
          <x:t xml:space="preserve">화산</x:t>
        </x:is>
      </x:c>
      <x:c r="S10" s="7" t="inlineStr">
        <x:is>
          <x:t xml:space="preserve">화산</x:t>
        </x:is>
      </x:c>
      <x:c r="T10" s="7" t="inlineStr">
        <x:is>
          <x:t xml:space="preserve"/>
        </x:is>
      </x:c>
      <x:c r="U10" s="8" t="str">
        <x:f>INDEX('서식지_점수'!$E$4:$P$4,1,MATCH(MAX('서식지_점수'!E10:P10),'서식지_점수'!E10:P10,0))</x:f>
        <x:v>산악</x:v>
      </x:c>
      <x:c r="V10" s="8" t="str">
        <x:f>IF(T10&lt;&gt;"",T10,U10)</x:f>
        <x:v>산악</x:v>
      </x:c>
      <x:c r="W10" s="8" t="str">
        <x:f>IFERROR(INDEX('서식지_점수'!$E$4:$P$4,1,MATCH(MAXIFS('서식지_점수'!E10:P10,'서식지_점수'!E10:P10,"&lt;"&amp;MAX('서식지_점수'!E10:P10)),'서식지_점수'!E10:P10,0)),"")</x:f>
        <x:v>평원</x:v>
      </x:c>
      <x:c r="X10" s="8" t="str">
        <x:f>IF(T10&lt;&gt;"","수동확정",IF(MAX('서식지_점수'!E10:P10)-LARGE('서식지_점수'!E10:P10,2)&gt;=15,"높음",IF(MAX('서식지_점수'!E10:P10)-LARGE('서식지_점수'!E10:P10,2)&gt;=8,"보통","검토필요")))</x:f>
        <x:v>검토필요</x:v>
      </x:c>
      <x:c r="Y10" s="9" t="n">
        <x:f>IF(Q10="전설",8,IF(Q10="희귀",7,IF(J10="기본",1,IF(J10="중간",3,IF(J10="최종",IF(I10="",5,IF(I10&lt;=20,3,IF(I10&lt;=35,4,IF(I10&lt;=50,6,7)))),IF(Q10="드묾",4,2))))))</x:f>
        <x:v>7</x:v>
      </x:c>
      <x:c r="Z10" s="5" t="inlineStr">
        <x:is>
          <x:t xml:space="preserve">#cobblemon:is_hills; #cobblemon:is_volcanic; #cobblemon:nether/is_basalt</x:t>
        </x:is>
      </x:c>
      <x:c r="AA10" s="5" t="inlineStr">
        <x:is>
          <x:t xml:space="preserve">ultra-rare</x:t>
        </x:is>
      </x:c>
      <x:c r="AB10" s="5" t="inlineStr">
        <x:is>
          <x:t xml:space="preserve">예</x:t>
        </x:is>
      </x:c>
      <x:c r="AC10" s="8" t="str">
        <x:f>IF(T10&lt;&gt;"","수동확정",IF(X10="검토필요","검토필요",IF(S10="","원본없음","초기완료")))</x:f>
        <x:v>검토필요</x:v>
      </x:c>
      <x:c r="AD10" s="7" t="inlineStr">
        <x:is>
          <x:t xml:space="preserve"/>
        </x:is>
      </x:c>
      <x:c r="AE10" s="5" t="inlineStr">
        <x:is>
          <x:t xml:space="preserve">.tmp/cobblemon-1.7.3-source/common/src/main/resources/data/cobblemon/species/generation1/charizard.json</x:t>
        </x:is>
      </x:c>
      <x:c r="AF10" s="5" t="str">
        <x:f>"생활권|"&amp;K10</x:f>
        <x:v>생활권|비행</x:v>
      </x:c>
      <x:c r="AG10" s="5" t="str">
        <x:f>"지형|"&amp;L10</x:f>
        <x:v>지형|화산</x:v>
      </x:c>
      <x:c r="AH10" s="5" t="str">
        <x:f>"온도|"&amp;M10</x:f>
        <x:v>온도|고온</x:v>
      </x:c>
      <x:c r="AI10" s="5" t="str">
        <x:f>"습도|"&amp;N10</x:f>
        <x:v>습도|건조</x:v>
      </x:c>
      <x:c r="AJ10" s="5" t="str">
        <x:f>"날씨|"&amp;O10</x:f>
        <x:v>날씨|맑음</x:v>
      </x:c>
      <x:c r="AK10" s="5" t="str">
        <x:f>"특수태그|"&amp;R10</x:f>
        <x:v>특수태그|화산</x:v>
      </x:c>
      <x:c r="AL10" s="5" t="str">
        <x:f>"원본서식지|"&amp;S10</x:f>
        <x:v>원본서식지|화산</x:v>
      </x:c>
      <x:c r="AM10" s="5" t="str">
        <x:f>"타입|"&amp;F10</x:f>
        <x:v>타입|불꽃</x:v>
      </x:c>
      <x:c r="AN10" s="5" t="str">
        <x:f>"타입|"&amp;G10</x:f>
        <x:v>타입|비행</x:v>
      </x:c>
    </x:row>
    <x:row r="11" ht="24" customHeight="1">
      <x:c r="A11" s="5" t="n">
        <x:v>7</x:v>
      </x:c>
      <x:c r="B11" s="5" t="inlineStr">
        <x:is>
          <x:t xml:space="preserve">꼬부기</x:t>
        </x:is>
      </x:c>
      <x:c r="C11" s="5" t="inlineStr">
        <x:is>
          <x:t xml:space="preserve">squirtle</x:t>
        </x:is>
      </x:c>
      <x:c r="D11" s="5" t="inlineStr">
        <x:is>
          <x:t xml:space="preserve">Squirtle</x:t>
        </x:is>
      </x:c>
      <x:c r="E11" s="5" t="n">
        <x:v>1</x:v>
      </x:c>
      <x:c r="F11" s="5" t="inlineStr">
        <x:is>
          <x:t xml:space="preserve">물</x:t>
        </x:is>
      </x:c>
      <x:c r="G11" s="5" t="inlineStr">
        <x:is>
          <x:t xml:space="preserve"/>
        </x:is>
      </x:c>
      <x:c r="H11" s="6" t="n">
        <x:v>9</x:v>
      </x:c>
      <x:c r="I11" s="5" t="n">
        <x:v>36</x:v>
      </x:c>
      <x:c r="J11" s="5" t="inlineStr">
        <x:is>
          <x:t xml:space="preserve">기본</x:t>
        </x:is>
      </x:c>
      <x:c r="K11" s="7" t="inlineStr">
        <x:is>
          <x:t xml:space="preserve">담수</x:t>
        </x:is>
      </x:c>
      <x:c r="L11" s="7" t="inlineStr">
        <x:is>
          <x:t xml:space="preserve">담수</x:t>
        </x:is>
      </x:c>
      <x:c r="M11" s="7" t="inlineStr">
        <x:is>
          <x:t xml:space="preserve">온대</x:t>
        </x:is>
      </x:c>
      <x:c r="N11" s="7" t="inlineStr">
        <x:is>
          <x:t xml:space="preserve">수중</x:t>
        </x:is>
      </x:c>
      <x:c r="O11" s="7" t="inlineStr">
        <x:is>
          <x:t xml:space="preserve">비</x:t>
        </x:is>
      </x:c>
      <x:c r="P11" s="7" t="inlineStr">
        <x:is>
          <x:t xml:space="preserve">무관</x:t>
        </x:is>
      </x:c>
      <x:c r="Q11" s="7" t="inlineStr">
        <x:is>
          <x:t xml:space="preserve">희귀</x:t>
        </x:is>
      </x:c>
      <x:c r="R11" s="7" t="inlineStr">
        <x:is>
          <x:t xml:space="preserve">없음</x:t>
        </x:is>
      </x:c>
      <x:c r="S11" s="7" t="inlineStr">
        <x:is>
          <x:t xml:space="preserve">담수</x:t>
        </x:is>
      </x:c>
      <x:c r="T11" s="7" t="inlineStr">
        <x:is>
          <x:t xml:space="preserve"/>
        </x:is>
      </x:c>
      <x:c r="U11" s="8" t="str">
        <x:f>INDEX('서식지_점수'!$E$4:$P$4,1,MATCH(MAX('서식지_점수'!E11:P11),'서식지_점수'!E11:P11,0))</x:f>
        <x:v>담수</x:v>
      </x:c>
      <x:c r="V11" s="8" t="str">
        <x:f>IF(T11&lt;&gt;"",T11,U11)</x:f>
        <x:v>담수</x:v>
      </x:c>
      <x:c r="W11" s="8" t="str">
        <x:f>IFERROR(INDEX('서식지_점수'!$E$4:$P$4,1,MATCH(MAXIFS('서식지_점수'!E11:P11,'서식지_점수'!E11:P11,"&lt;"&amp;MAX('서식지_점수'!E11:P11)),'서식지_점수'!E11:P11,0)),"")</x:f>
        <x:v>습지</x:v>
      </x:c>
      <x:c r="X11" s="8" t="str">
        <x:f>IF(T11&lt;&gt;"","수동확정",IF(MAX('서식지_점수'!E11:P11)-LARGE('서식지_점수'!E11:P11,2)&gt;=15,"높음",IF(MAX('서식지_점수'!E11:P11)-LARGE('서식지_점수'!E11:P11,2)&gt;=8,"보통","검토필요")))</x:f>
        <x:v>높음</x:v>
      </x:c>
      <x:c r="Y11" s="9" t="n">
        <x:f>IF(Q11="전설",8,IF(Q11="희귀",7,IF(J11="기본",1,IF(J11="중간",3,IF(J11="최종",IF(I11="",5,IF(I11&lt;=20,3,IF(I11&lt;=35,4,IF(I11&lt;=50,6,7)))),IF(Q11="드묾",4,2))))))</x:f>
        <x:v>7</x:v>
      </x:c>
      <x:c r="Z11" s="5" t="inlineStr">
        <x:is>
          <x:t xml:space="preserve">#cobblemon:is_freshwater; #cobblemon:is_hills; #cobblemon:is_jungle; #cobblemon:is_temperate; #cobblemon:is_tropical_island</x:t>
        </x:is>
      </x:c>
      <x:c r="AA11" s="5" t="inlineStr">
        <x:is>
          <x:t xml:space="preserve">ultra-rare</x:t>
        </x:is>
      </x:c>
      <x:c r="AB11" s="5" t="inlineStr">
        <x:is>
          <x:t xml:space="preserve">예</x:t>
        </x:is>
      </x:c>
      <x:c r="AC11" s="8" t="str">
        <x:f>IF(T11&lt;&gt;"","수동확정",IF(X11="검토필요","검토필요",IF(S11="","원본없음","초기완료")))</x:f>
        <x:v>초기완료</x:v>
      </x:c>
      <x:c r="AD11" s="7" t="inlineStr">
        <x:is>
          <x:t xml:space="preserve"/>
        </x:is>
      </x:c>
      <x:c r="AE11" s="5" t="inlineStr">
        <x:is>
          <x:t xml:space="preserve">.tmp/cobblemon-1.7.3-source/common/src/main/resources/data/cobblemon/species/generation1/squirtle.json</x:t>
        </x:is>
      </x:c>
      <x:c r="AF11" s="5" t="str">
        <x:f>"생활권|"&amp;K11</x:f>
        <x:v>생활권|담수</x:v>
      </x:c>
      <x:c r="AG11" s="5" t="str">
        <x:f>"지형|"&amp;L11</x:f>
        <x:v>지형|담수</x:v>
      </x:c>
      <x:c r="AH11" s="5" t="str">
        <x:f>"온도|"&amp;M11</x:f>
        <x:v>온도|온대</x:v>
      </x:c>
      <x:c r="AI11" s="5" t="str">
        <x:f>"습도|"&amp;N11</x:f>
        <x:v>습도|수중</x:v>
      </x:c>
      <x:c r="AJ11" s="5" t="str">
        <x:f>"날씨|"&amp;O11</x:f>
        <x:v>날씨|비</x:v>
      </x:c>
      <x:c r="AK11" s="5" t="str">
        <x:f>"특수태그|"&amp;R11</x:f>
        <x:v>특수태그|없음</x:v>
      </x:c>
      <x:c r="AL11" s="5" t="str">
        <x:f>"원본서식지|"&amp;S11</x:f>
        <x:v>원본서식지|담수</x:v>
      </x:c>
      <x:c r="AM11" s="5" t="str">
        <x:f>"타입|"&amp;F11</x:f>
        <x:v>타입|물</x:v>
      </x:c>
      <x:c r="AN11" s="5" t="str">
        <x:f>"타입|"&amp;G11</x:f>
        <x:v>타입|</x:v>
      </x:c>
    </x:row>
    <x:row r="12" ht="24" customHeight="1">
      <x:c r="A12" s="5" t="n">
        <x:v>8</x:v>
      </x:c>
      <x:c r="B12" s="5" t="inlineStr">
        <x:is>
          <x:t xml:space="preserve">어니부기</x:t>
        </x:is>
      </x:c>
      <x:c r="C12" s="5" t="inlineStr">
        <x:is>
          <x:t xml:space="preserve">wartortle</x:t>
        </x:is>
      </x:c>
      <x:c r="D12" s="5" t="inlineStr">
        <x:is>
          <x:t xml:space="preserve">Wartortle</x:t>
        </x:is>
      </x:c>
      <x:c r="E12" s="5" t="n">
        <x:v>1</x:v>
      </x:c>
      <x:c r="F12" s="5" t="inlineStr">
        <x:is>
          <x:t xml:space="preserve">물</x:t>
        </x:is>
      </x:c>
      <x:c r="G12" s="5" t="inlineStr">
        <x:is>
          <x:t xml:space="preserve"/>
        </x:is>
      </x:c>
      <x:c r="H12" s="6" t="n">
        <x:v>22.5</x:v>
      </x:c>
      <x:c r="I12" s="5" t="n">
        <x:v>36</x:v>
      </x:c>
      <x:c r="J12" s="5" t="inlineStr">
        <x:is>
          <x:t xml:space="preserve">중간</x:t>
        </x:is>
      </x:c>
      <x:c r="K12" s="7" t="inlineStr">
        <x:is>
          <x:t xml:space="preserve">담수</x:t>
        </x:is>
      </x:c>
      <x:c r="L12" s="7" t="inlineStr">
        <x:is>
          <x:t xml:space="preserve">담수</x:t>
        </x:is>
      </x:c>
      <x:c r="M12" s="7" t="inlineStr">
        <x:is>
          <x:t xml:space="preserve">온대</x:t>
        </x:is>
      </x:c>
      <x:c r="N12" s="7" t="inlineStr">
        <x:is>
          <x:t xml:space="preserve">수중</x:t>
        </x:is>
      </x:c>
      <x:c r="O12" s="7" t="inlineStr">
        <x:is>
          <x:t xml:space="preserve">비</x:t>
        </x:is>
      </x:c>
      <x:c r="P12" s="7" t="inlineStr">
        <x:is>
          <x:t xml:space="preserve">무관</x:t>
        </x:is>
      </x:c>
      <x:c r="Q12" s="7" t="inlineStr">
        <x:is>
          <x:t xml:space="preserve">희귀</x:t>
        </x:is>
      </x:c>
      <x:c r="R12" s="7" t="inlineStr">
        <x:is>
          <x:t xml:space="preserve">없음</x:t>
        </x:is>
      </x:c>
      <x:c r="S12" s="7" t="inlineStr">
        <x:is>
          <x:t xml:space="preserve">담수</x:t>
        </x:is>
      </x:c>
      <x:c r="T12" s="7" t="inlineStr">
        <x:is>
          <x:t xml:space="preserve"/>
        </x:is>
      </x:c>
      <x:c r="U12" s="8" t="str">
        <x:f>INDEX('서식지_점수'!$E$4:$P$4,1,MATCH(MAX('서식지_점수'!E12:P12),'서식지_점수'!E12:P12,0))</x:f>
        <x:v>담수</x:v>
      </x:c>
      <x:c r="V12" s="8" t="str">
        <x:f>IF(T12&lt;&gt;"",T12,U12)</x:f>
        <x:v>담수</x:v>
      </x:c>
      <x:c r="W12" s="8" t="str">
        <x:f>IFERROR(INDEX('서식지_점수'!$E$4:$P$4,1,MATCH(MAXIFS('서식지_점수'!E12:P12,'서식지_점수'!E12:P12,"&lt;"&amp;MAX('서식지_점수'!E12:P12)),'서식지_점수'!E12:P12,0)),"")</x:f>
        <x:v>습지</x:v>
      </x:c>
      <x:c r="X12" s="8" t="str">
        <x:f>IF(T12&lt;&gt;"","수동확정",IF(MAX('서식지_점수'!E12:P12)-LARGE('서식지_점수'!E12:P12,2)&gt;=15,"높음",IF(MAX('서식지_점수'!E12:P12)-LARGE('서식지_점수'!E12:P12,2)&gt;=8,"보통","검토필요")))</x:f>
        <x:v>높음</x:v>
      </x:c>
      <x:c r="Y12" s="9" t="n">
        <x:f>IF(Q12="전설",8,IF(Q12="희귀",7,IF(J12="기본",1,IF(J12="중간",3,IF(J12="최종",IF(I12="",5,IF(I12&lt;=20,3,IF(I12&lt;=35,4,IF(I12&lt;=50,6,7)))),IF(Q12="드묾",4,2))))))</x:f>
        <x:v>7</x:v>
      </x:c>
      <x:c r="Z12" s="5" t="inlineStr">
        <x:is>
          <x:t xml:space="preserve">#cobblemon:is_freshwater; #cobblemon:is_hills; #cobblemon:is_jungle; #cobblemon:is_temperate; #cobblemon:is_tropical_island</x:t>
        </x:is>
      </x:c>
      <x:c r="AA12" s="5" t="inlineStr">
        <x:is>
          <x:t xml:space="preserve">ultra-rare</x:t>
        </x:is>
      </x:c>
      <x:c r="AB12" s="5" t="inlineStr">
        <x:is>
          <x:t xml:space="preserve">예</x:t>
        </x:is>
      </x:c>
      <x:c r="AC12" s="8" t="str">
        <x:f>IF(T12&lt;&gt;"","수동확정",IF(X12="검토필요","검토필요",IF(S12="","원본없음","초기완료")))</x:f>
        <x:v>초기완료</x:v>
      </x:c>
      <x:c r="AD12" s="7" t="inlineStr">
        <x:is>
          <x:t xml:space="preserve"/>
        </x:is>
      </x:c>
      <x:c r="AE12" s="5" t="inlineStr">
        <x:is>
          <x:t xml:space="preserve">.tmp/cobblemon-1.7.3-source/common/src/main/resources/data/cobblemon/species/generation1/wartortle.json</x:t>
        </x:is>
      </x:c>
      <x:c r="AF12" s="5" t="str">
        <x:f>"생활권|"&amp;K12</x:f>
        <x:v>생활권|담수</x:v>
      </x:c>
      <x:c r="AG12" s="5" t="str">
        <x:f>"지형|"&amp;L12</x:f>
        <x:v>지형|담수</x:v>
      </x:c>
      <x:c r="AH12" s="5" t="str">
        <x:f>"온도|"&amp;M12</x:f>
        <x:v>온도|온대</x:v>
      </x:c>
      <x:c r="AI12" s="5" t="str">
        <x:f>"습도|"&amp;N12</x:f>
        <x:v>습도|수중</x:v>
      </x:c>
      <x:c r="AJ12" s="5" t="str">
        <x:f>"날씨|"&amp;O12</x:f>
        <x:v>날씨|비</x:v>
      </x:c>
      <x:c r="AK12" s="5" t="str">
        <x:f>"특수태그|"&amp;R12</x:f>
        <x:v>특수태그|없음</x:v>
      </x:c>
      <x:c r="AL12" s="5" t="str">
        <x:f>"원본서식지|"&amp;S12</x:f>
        <x:v>원본서식지|담수</x:v>
      </x:c>
      <x:c r="AM12" s="5" t="str">
        <x:f>"타입|"&amp;F12</x:f>
        <x:v>타입|물</x:v>
      </x:c>
      <x:c r="AN12" s="5" t="str">
        <x:f>"타입|"&amp;G12</x:f>
        <x:v>타입|</x:v>
      </x:c>
    </x:row>
    <x:row r="13" ht="24" customHeight="1">
      <x:c r="A13" s="5" t="n">
        <x:v>9</x:v>
      </x:c>
      <x:c r="B13" s="5" t="inlineStr">
        <x:is>
          <x:t xml:space="preserve">거북왕</x:t>
        </x:is>
      </x:c>
      <x:c r="C13" s="5" t="inlineStr">
        <x:is>
          <x:t xml:space="preserve">blastoise</x:t>
        </x:is>
      </x:c>
      <x:c r="D13" s="5" t="inlineStr">
        <x:is>
          <x:t xml:space="preserve">Blastoise</x:t>
        </x:is>
      </x:c>
      <x:c r="E13" s="5" t="n">
        <x:v>1</x:v>
      </x:c>
      <x:c r="F13" s="5" t="inlineStr">
        <x:is>
          <x:t xml:space="preserve">물</x:t>
        </x:is>
      </x:c>
      <x:c r="G13" s="5" t="inlineStr">
        <x:is>
          <x:t xml:space="preserve"/>
        </x:is>
      </x:c>
      <x:c r="H13" s="6" t="n">
        <x:v>85.5</x:v>
      </x:c>
      <x:c r="I13" s="5" t="n">
        <x:v>36</x:v>
      </x:c>
      <x:c r="J13" s="5" t="inlineStr">
        <x:is>
          <x:t xml:space="preserve">최종</x:t>
        </x:is>
      </x:c>
      <x:c r="K13" s="7" t="inlineStr">
        <x:is>
          <x:t xml:space="preserve">담수</x:t>
        </x:is>
      </x:c>
      <x:c r="L13" s="7" t="inlineStr">
        <x:is>
          <x:t xml:space="preserve">담수</x:t>
        </x:is>
      </x:c>
      <x:c r="M13" s="7" t="inlineStr">
        <x:is>
          <x:t xml:space="preserve">온대</x:t>
        </x:is>
      </x:c>
      <x:c r="N13" s="7" t="inlineStr">
        <x:is>
          <x:t xml:space="preserve">수중</x:t>
        </x:is>
      </x:c>
      <x:c r="O13" s="7" t="inlineStr">
        <x:is>
          <x:t xml:space="preserve">비</x:t>
        </x:is>
      </x:c>
      <x:c r="P13" s="7" t="inlineStr">
        <x:is>
          <x:t xml:space="preserve">무관</x:t>
        </x:is>
      </x:c>
      <x:c r="Q13" s="7" t="inlineStr">
        <x:is>
          <x:t xml:space="preserve">희귀</x:t>
        </x:is>
      </x:c>
      <x:c r="R13" s="7" t="inlineStr">
        <x:is>
          <x:t xml:space="preserve">없음</x:t>
        </x:is>
      </x:c>
      <x:c r="S13" s="7" t="inlineStr">
        <x:is>
          <x:t xml:space="preserve">담수</x:t>
        </x:is>
      </x:c>
      <x:c r="T13" s="7" t="inlineStr">
        <x:is>
          <x:t xml:space="preserve"/>
        </x:is>
      </x:c>
      <x:c r="U13" s="8" t="str">
        <x:f>INDEX('서식지_점수'!$E$4:$P$4,1,MATCH(MAX('서식지_점수'!E13:P13),'서식지_점수'!E13:P13,0))</x:f>
        <x:v>담수</x:v>
      </x:c>
      <x:c r="V13" s="8" t="str">
        <x:f>IF(T13&lt;&gt;"",T13,U13)</x:f>
        <x:v>담수</x:v>
      </x:c>
      <x:c r="W13" s="8" t="str">
        <x:f>IFERROR(INDEX('서식지_점수'!$E$4:$P$4,1,MATCH(MAXIFS('서식지_점수'!E13:P13,'서식지_점수'!E13:P13,"&lt;"&amp;MAX('서식지_점수'!E13:P13)),'서식지_점수'!E13:P13,0)),"")</x:f>
        <x:v>습지</x:v>
      </x:c>
      <x:c r="X13" s="8" t="str">
        <x:f>IF(T13&lt;&gt;"","수동확정",IF(MAX('서식지_점수'!E13:P13)-LARGE('서식지_점수'!E13:P13,2)&gt;=15,"높음",IF(MAX('서식지_점수'!E13:P13)-LARGE('서식지_점수'!E13:P13,2)&gt;=8,"보통","검토필요")))</x:f>
        <x:v>높음</x:v>
      </x:c>
      <x:c r="Y13" s="9" t="n">
        <x:f>IF(Q13="전설",8,IF(Q13="희귀",7,IF(J13="기본",1,IF(J13="중간",3,IF(J13="최종",IF(I13="",5,IF(I13&lt;=20,3,IF(I13&lt;=35,4,IF(I13&lt;=50,6,7)))),IF(Q13="드묾",4,2))))))</x:f>
        <x:v>7</x:v>
      </x:c>
      <x:c r="Z13" s="5" t="inlineStr">
        <x:is>
          <x:t xml:space="preserve">#cobblemon:is_freshwater; #cobblemon:is_hills; #cobblemon:is_jungle; #cobblemon:is_temperate; #cobblemon:is_tropical_island</x:t>
        </x:is>
      </x:c>
      <x:c r="AA13" s="5" t="inlineStr">
        <x:is>
          <x:t xml:space="preserve">ultra-rare</x:t>
        </x:is>
      </x:c>
      <x:c r="AB13" s="5" t="inlineStr">
        <x:is>
          <x:t xml:space="preserve">예</x:t>
        </x:is>
      </x:c>
      <x:c r="AC13" s="8" t="str">
        <x:f>IF(T13&lt;&gt;"","수동확정",IF(X13="검토필요","검토필요",IF(S13="","원본없음","초기완료")))</x:f>
        <x:v>초기완료</x:v>
      </x:c>
      <x:c r="AD13" s="7" t="inlineStr">
        <x:is>
          <x:t xml:space="preserve"/>
        </x:is>
      </x:c>
      <x:c r="AE13" s="5" t="inlineStr">
        <x:is>
          <x:t xml:space="preserve">.tmp/cobblemon-1.7.3-source/common/src/main/resources/data/cobblemon/species/generation1/blastoise.json</x:t>
        </x:is>
      </x:c>
      <x:c r="AF13" s="5" t="str">
        <x:f>"생활권|"&amp;K13</x:f>
        <x:v>생활권|담수</x:v>
      </x:c>
      <x:c r="AG13" s="5" t="str">
        <x:f>"지형|"&amp;L13</x:f>
        <x:v>지형|담수</x:v>
      </x:c>
      <x:c r="AH13" s="5" t="str">
        <x:f>"온도|"&amp;M13</x:f>
        <x:v>온도|온대</x:v>
      </x:c>
      <x:c r="AI13" s="5" t="str">
        <x:f>"습도|"&amp;N13</x:f>
        <x:v>습도|수중</x:v>
      </x:c>
      <x:c r="AJ13" s="5" t="str">
        <x:f>"날씨|"&amp;O13</x:f>
        <x:v>날씨|비</x:v>
      </x:c>
      <x:c r="AK13" s="5" t="str">
        <x:f>"특수태그|"&amp;R13</x:f>
        <x:v>특수태그|없음</x:v>
      </x:c>
      <x:c r="AL13" s="5" t="str">
        <x:f>"원본서식지|"&amp;S13</x:f>
        <x:v>원본서식지|담수</x:v>
      </x:c>
      <x:c r="AM13" s="5" t="str">
        <x:f>"타입|"&amp;F13</x:f>
        <x:v>타입|물</x:v>
      </x:c>
      <x:c r="AN13" s="5" t="str">
        <x:f>"타입|"&amp;G13</x:f>
        <x:v>타입|</x:v>
      </x:c>
    </x:row>
    <x:row r="14" ht="24" customHeight="1">
      <x:c r="A14" s="5" t="n">
        <x:v>10</x:v>
      </x:c>
      <x:c r="B14" s="5" t="inlineStr">
        <x:is>
          <x:t xml:space="preserve">캐터피</x:t>
        </x:is>
      </x:c>
      <x:c r="C14" s="5" t="inlineStr">
        <x:is>
          <x:t xml:space="preserve">caterpie</x:t>
        </x:is>
      </x:c>
      <x:c r="D14" s="5" t="inlineStr">
        <x:is>
          <x:t xml:space="preserve">Caterpie</x:t>
        </x:is>
      </x:c>
      <x:c r="E14" s="5" t="n">
        <x:v>1</x:v>
      </x:c>
      <x:c r="F14" s="5" t="inlineStr">
        <x:is>
          <x:t xml:space="preserve">벌레</x:t>
        </x:is>
      </x:c>
      <x:c r="G14" s="5" t="inlineStr">
        <x:is>
          <x:t xml:space="preserve"/>
        </x:is>
      </x:c>
      <x:c r="H14" s="6" t="n">
        <x:v>2.9</x:v>
      </x:c>
      <x:c r="I14" s="5" t="n">
        <x:v>10</x:v>
      </x:c>
      <x:c r="J14" s="5" t="inlineStr">
        <x:is>
          <x:t xml:space="preserve">기본</x:t>
        </x:is>
      </x:c>
      <x:c r="K14" s="7" t="inlineStr">
        <x:is>
          <x:t xml:space="preserve">육상</x:t>
        </x:is>
      </x:c>
      <x:c r="L14" s="7" t="inlineStr">
        <x:is>
          <x:t xml:space="preserve">수목</x:t>
        </x:is>
      </x:c>
      <x:c r="M14" s="7" t="inlineStr">
        <x:is>
          <x:t xml:space="preserve">온대</x:t>
        </x:is>
      </x:c>
      <x:c r="N14" s="7" t="inlineStr">
        <x:is>
          <x:t xml:space="preserve">다습</x:t>
        </x:is>
      </x:c>
      <x:c r="O14" s="7" t="inlineStr">
        <x:is>
          <x:t xml:space="preserve">무관</x:t>
        </x:is>
      </x:c>
      <x:c r="P14" s="7" t="inlineStr">
        <x:is>
          <x:t xml:space="preserve">무관</x:t>
        </x:is>
      </x:c>
      <x:c r="Q14" s="7" t="inlineStr">
        <x:is>
          <x:t xml:space="preserve">흔함</x:t>
        </x:is>
      </x:c>
      <x:c r="R14" s="7" t="inlineStr">
        <x:is>
          <x:t xml:space="preserve">없음</x:t>
        </x:is>
      </x:c>
      <x:c r="S14" s="7" t="inlineStr">
        <x:is>
          <x:t xml:space="preserve">숲</x:t>
        </x:is>
      </x:c>
      <x:c r="T14" s="7" t="inlineStr">
        <x:is>
          <x:t xml:space="preserve"/>
        </x:is>
      </x:c>
      <x:c r="U14" s="8" t="str">
        <x:f>INDEX('서식지_점수'!$E$4:$P$4,1,MATCH(MAX('서식지_점수'!E14:P14),'서식지_점수'!E14:P14,0))</x:f>
        <x:v>평원</x:v>
      </x:c>
      <x:c r="V14" s="8" t="str">
        <x:f>IF(T14&lt;&gt;"",T14,U14)</x:f>
        <x:v>평원</x:v>
      </x:c>
      <x:c r="W14" s="8" t="str">
        <x:f>IFERROR(INDEX('서식지_점수'!$E$4:$P$4,1,MATCH(MAXIFS('서식지_점수'!E14:P14,'서식지_점수'!E14:P14,"&lt;"&amp;MAX('서식지_점수'!E14:P14)),'서식지_점수'!E14:P14,0)),"")</x:f>
        <x:v>숲</x:v>
      </x:c>
      <x:c r="X14" s="8" t="str">
        <x:f>IF(T14&lt;&gt;"","수동확정",IF(MAX('서식지_점수'!E14:P14)-LARGE('서식지_점수'!E14:P14,2)&gt;=15,"높음",IF(MAX('서식지_점수'!E14:P14)-LARGE('서식지_점수'!E14:P14,2)&gt;=8,"보통","검토필요")))</x:f>
        <x:v>검토필요</x:v>
      </x:c>
      <x:c r="Y14" s="9" t="n">
        <x:f>IF(Q14="전설",8,IF(Q14="희귀",7,IF(J14="기본",1,IF(J14="중간",3,IF(J14="최종",IF(I14="",5,IF(I14&lt;=20,3,IF(I14&lt;=35,4,IF(I14&lt;=50,6,7)))),IF(Q14="드묾",4,2))))))</x:f>
        <x:v>1</x:v>
      </x:c>
      <x:c r="Z14" s="5" t="inlineStr">
        <x:is>
          <x:t xml:space="preserve">#cobblemon:is_forest; #cobblemon:is_jungle; #cobblemon:is_plains; #cobblemon:is_tropical_island; aether:skyroot_forest; aether:skyroot_woodland; the_bumblezone:floral_meadow</x:t>
        </x:is>
      </x:c>
      <x:c r="AA14" s="5" t="inlineStr">
        <x:is>
          <x:t xml:space="preserve">common</x:t>
        </x:is>
      </x:c>
      <x:c r="AB14" s="5" t="inlineStr">
        <x:is>
          <x:t xml:space="preserve">예</x:t>
        </x:is>
      </x:c>
      <x:c r="AC14" s="8" t="str">
        <x:f>IF(T14&lt;&gt;"","수동확정",IF(X14="검토필요","검토필요",IF(S14="","원본없음","초기완료")))</x:f>
        <x:v>검토필요</x:v>
      </x:c>
      <x:c r="AD14" s="7" t="inlineStr">
        <x:is>
          <x:t xml:space="preserve"/>
        </x:is>
      </x:c>
      <x:c r="AE14" s="5" t="inlineStr">
        <x:is>
          <x:t xml:space="preserve">.tmp/cobblemon-1.7.3-source/common/src/main/resources/data/cobblemon/species/generation1/caterpie.json</x:t>
        </x:is>
      </x:c>
      <x:c r="AF14" s="5" t="str">
        <x:f>"생활권|"&amp;K14</x:f>
        <x:v>생활권|육상</x:v>
      </x:c>
      <x:c r="AG14" s="5" t="str">
        <x:f>"지형|"&amp;L14</x:f>
        <x:v>지형|수목</x:v>
      </x:c>
      <x:c r="AH14" s="5" t="str">
        <x:f>"온도|"&amp;M14</x:f>
        <x:v>온도|온대</x:v>
      </x:c>
      <x:c r="AI14" s="5" t="str">
        <x:f>"습도|"&amp;N14</x:f>
        <x:v>습도|다습</x:v>
      </x:c>
      <x:c r="AJ14" s="5" t="str">
        <x:f>"날씨|"&amp;O14</x:f>
        <x:v>날씨|무관</x:v>
      </x:c>
      <x:c r="AK14" s="5" t="str">
        <x:f>"특수태그|"&amp;R14</x:f>
        <x:v>특수태그|없음</x:v>
      </x:c>
      <x:c r="AL14" s="5" t="str">
        <x:f>"원본서식지|"&amp;S14</x:f>
        <x:v>원본서식지|숲</x:v>
      </x:c>
      <x:c r="AM14" s="5" t="str">
        <x:f>"타입|"&amp;F14</x:f>
        <x:v>타입|벌레</x:v>
      </x:c>
      <x:c r="AN14" s="5" t="str">
        <x:f>"타입|"&amp;G14</x:f>
        <x:v>타입|</x:v>
      </x:c>
    </x:row>
    <x:row r="15" ht="24" customHeight="1">
      <x:c r="A15" s="5" t="n">
        <x:v>11</x:v>
      </x:c>
      <x:c r="B15" s="5" t="inlineStr">
        <x:is>
          <x:t xml:space="preserve">단데기</x:t>
        </x:is>
      </x:c>
      <x:c r="C15" s="5" t="inlineStr">
        <x:is>
          <x:t xml:space="preserve">metapod</x:t>
        </x:is>
      </x:c>
      <x:c r="D15" s="5" t="inlineStr">
        <x:is>
          <x:t xml:space="preserve">Metapod</x:t>
        </x:is>
      </x:c>
      <x:c r="E15" s="5" t="n">
        <x:v>1</x:v>
      </x:c>
      <x:c r="F15" s="5" t="inlineStr">
        <x:is>
          <x:t xml:space="preserve">벌레</x:t>
        </x:is>
      </x:c>
      <x:c r="G15" s="5" t="inlineStr">
        <x:is>
          <x:t xml:space="preserve"/>
        </x:is>
      </x:c>
      <x:c r="H15" s="6" t="n">
        <x:v>9.9</x:v>
      </x:c>
      <x:c r="I15" s="5" t="n">
        <x:v>10</x:v>
      </x:c>
      <x:c r="J15" s="5" t="inlineStr">
        <x:is>
          <x:t xml:space="preserve">중간</x:t>
        </x:is>
      </x:c>
      <x:c r="K15" s="7" t="inlineStr">
        <x:is>
          <x:t xml:space="preserve">육상</x:t>
        </x:is>
      </x:c>
      <x:c r="L15" s="7" t="inlineStr">
        <x:is>
          <x:t xml:space="preserve">수목</x:t>
        </x:is>
      </x:c>
      <x:c r="M15" s="7" t="inlineStr">
        <x:is>
          <x:t xml:space="preserve">온대</x:t>
        </x:is>
      </x:c>
      <x:c r="N15" s="7" t="inlineStr">
        <x:is>
          <x:t xml:space="preserve">다습</x:t>
        </x:is>
      </x:c>
      <x:c r="O15" s="7" t="inlineStr">
        <x:is>
          <x:t xml:space="preserve">무관</x:t>
        </x:is>
      </x:c>
      <x:c r="P15" s="7" t="inlineStr">
        <x:is>
          <x:t xml:space="preserve">무관</x:t>
        </x:is>
      </x:c>
      <x:c r="Q15" s="7" t="inlineStr">
        <x:is>
          <x:t xml:space="preserve">흔함</x:t>
        </x:is>
      </x:c>
      <x:c r="R15" s="7" t="inlineStr">
        <x:is>
          <x:t xml:space="preserve">없음</x:t>
        </x:is>
      </x:c>
      <x:c r="S15" s="7" t="inlineStr">
        <x:is>
          <x:t xml:space="preserve">숲</x:t>
        </x:is>
      </x:c>
      <x:c r="T15" s="7" t="inlineStr">
        <x:is>
          <x:t xml:space="preserve"/>
        </x:is>
      </x:c>
      <x:c r="U15" s="8" t="str">
        <x:f>INDEX('서식지_점수'!$E$4:$P$4,1,MATCH(MAX('서식지_점수'!E15:P15),'서식지_점수'!E15:P15,0))</x:f>
        <x:v>평원</x:v>
      </x:c>
      <x:c r="V15" s="8" t="str">
        <x:f>IF(T15&lt;&gt;"",T15,U15)</x:f>
        <x:v>평원</x:v>
      </x:c>
      <x:c r="W15" s="8" t="str">
        <x:f>IFERROR(INDEX('서식지_점수'!$E$4:$P$4,1,MATCH(MAXIFS('서식지_점수'!E15:P15,'서식지_점수'!E15:P15,"&lt;"&amp;MAX('서식지_점수'!E15:P15)),'서식지_점수'!E15:P15,0)),"")</x:f>
        <x:v>숲</x:v>
      </x:c>
      <x:c r="X15" s="8" t="str">
        <x:f>IF(T15&lt;&gt;"","수동확정",IF(MAX('서식지_점수'!E15:P15)-LARGE('서식지_점수'!E15:P15,2)&gt;=15,"높음",IF(MAX('서식지_점수'!E15:P15)-LARGE('서식지_점수'!E15:P15,2)&gt;=8,"보통","검토필요")))</x:f>
        <x:v>검토필요</x:v>
      </x:c>
      <x:c r="Y15" s="9" t="n">
        <x:f>IF(Q15="전설",8,IF(Q15="희귀",7,IF(J15="기본",1,IF(J15="중간",3,IF(J15="최종",IF(I15="",5,IF(I15&lt;=20,3,IF(I15&lt;=35,4,IF(I15&lt;=50,6,7)))),IF(Q15="드묾",4,2))))))</x:f>
        <x:v>3</x:v>
      </x:c>
      <x:c r="Z15" s="5" t="inlineStr">
        <x:is>
          <x:t xml:space="preserve">#cobblemon:is_forest; #cobblemon:is_jungle; #cobblemon:is_plains; #cobblemon:is_tropical_island; aether:skyroot_forest; aether:skyroot_woodland; the_bumblezone:floral_meadow</x:t>
        </x:is>
      </x:c>
      <x:c r="AA15" s="5" t="inlineStr">
        <x:is>
          <x:t xml:space="preserve">common</x:t>
        </x:is>
      </x:c>
      <x:c r="AB15" s="5" t="inlineStr">
        <x:is>
          <x:t xml:space="preserve">예</x:t>
        </x:is>
      </x:c>
      <x:c r="AC15" s="8" t="str">
        <x:f>IF(T15&lt;&gt;"","수동확정",IF(X15="검토필요","검토필요",IF(S15="","원본없음","초기완료")))</x:f>
        <x:v>검토필요</x:v>
      </x:c>
      <x:c r="AD15" s="7" t="inlineStr">
        <x:is>
          <x:t xml:space="preserve"/>
        </x:is>
      </x:c>
      <x:c r="AE15" s="5" t="inlineStr">
        <x:is>
          <x:t xml:space="preserve">.tmp/cobblemon-1.7.3-source/common/src/main/resources/data/cobblemon/species/generation1/metapod.json</x:t>
        </x:is>
      </x:c>
      <x:c r="AF15" s="5" t="str">
        <x:f>"생활권|"&amp;K15</x:f>
        <x:v>생활권|육상</x:v>
      </x:c>
      <x:c r="AG15" s="5" t="str">
        <x:f>"지형|"&amp;L15</x:f>
        <x:v>지형|수목</x:v>
      </x:c>
      <x:c r="AH15" s="5" t="str">
        <x:f>"온도|"&amp;M15</x:f>
        <x:v>온도|온대</x:v>
      </x:c>
      <x:c r="AI15" s="5" t="str">
        <x:f>"습도|"&amp;N15</x:f>
        <x:v>습도|다습</x:v>
      </x:c>
      <x:c r="AJ15" s="5" t="str">
        <x:f>"날씨|"&amp;O15</x:f>
        <x:v>날씨|무관</x:v>
      </x:c>
      <x:c r="AK15" s="5" t="str">
        <x:f>"특수태그|"&amp;R15</x:f>
        <x:v>특수태그|없음</x:v>
      </x:c>
      <x:c r="AL15" s="5" t="str">
        <x:f>"원본서식지|"&amp;S15</x:f>
        <x:v>원본서식지|숲</x:v>
      </x:c>
      <x:c r="AM15" s="5" t="str">
        <x:f>"타입|"&amp;F15</x:f>
        <x:v>타입|벌레</x:v>
      </x:c>
      <x:c r="AN15" s="5" t="str">
        <x:f>"타입|"&amp;G15</x:f>
        <x:v>타입|</x:v>
      </x:c>
    </x:row>
    <x:row r="16" ht="24" customHeight="1">
      <x:c r="A16" s="5" t="n">
        <x:v>12</x:v>
      </x:c>
      <x:c r="B16" s="5" t="inlineStr">
        <x:is>
          <x:t xml:space="preserve">버터플</x:t>
        </x:is>
      </x:c>
      <x:c r="C16" s="5" t="inlineStr">
        <x:is>
          <x:t xml:space="preserve">butterfree</x:t>
        </x:is>
      </x:c>
      <x:c r="D16" s="5" t="inlineStr">
        <x:is>
          <x:t xml:space="preserve">Butterfree</x:t>
        </x:is>
      </x:c>
      <x:c r="E16" s="5" t="n">
        <x:v>1</x:v>
      </x:c>
      <x:c r="F16" s="5" t="inlineStr">
        <x:is>
          <x:t xml:space="preserve">벌레</x:t>
        </x:is>
      </x:c>
      <x:c r="G16" s="5" t="inlineStr">
        <x:is>
          <x:t xml:space="preserve">비행</x:t>
        </x:is>
      </x:c>
      <x:c r="H16" s="6" t="n">
        <x:v>32</x:v>
      </x:c>
      <x:c r="I16" s="5" t="n">
        <x:v>10</x:v>
      </x:c>
      <x:c r="J16" s="5" t="inlineStr">
        <x:is>
          <x:t xml:space="preserve">최종</x:t>
        </x:is>
      </x:c>
      <x:c r="K16" s="7" t="inlineStr">
        <x:is>
          <x:t xml:space="preserve">비행</x:t>
        </x:is>
      </x:c>
      <x:c r="L16" s="7" t="inlineStr">
        <x:is>
          <x:t xml:space="preserve">수목</x:t>
        </x:is>
      </x:c>
      <x:c r="M16" s="7" t="inlineStr">
        <x:is>
          <x:t xml:space="preserve">온대</x:t>
        </x:is>
      </x:c>
      <x:c r="N16" s="7" t="inlineStr">
        <x:is>
          <x:t xml:space="preserve">다습</x:t>
        </x:is>
      </x:c>
      <x:c r="O16" s="7" t="inlineStr">
        <x:is>
          <x:t xml:space="preserve">무관</x:t>
        </x:is>
      </x:c>
      <x:c r="P16" s="7" t="inlineStr">
        <x:is>
          <x:t xml:space="preserve">낮</x:t>
        </x:is>
      </x:c>
      <x:c r="Q16" s="7" t="inlineStr">
        <x:is>
          <x:t xml:space="preserve">흔함</x:t>
        </x:is>
      </x:c>
      <x:c r="R16" s="7" t="inlineStr">
        <x:is>
          <x:t xml:space="preserve">없음</x:t>
        </x:is>
      </x:c>
      <x:c r="S16" s="7" t="inlineStr">
        <x:is>
          <x:t xml:space="preserve">숲</x:t>
        </x:is>
      </x:c>
      <x:c r="T16" s="7" t="inlineStr">
        <x:is>
          <x:t xml:space="preserve"/>
        </x:is>
      </x:c>
      <x:c r="U16" s="8" t="str">
        <x:f>INDEX('서식지_점수'!$E$4:$P$4,1,MATCH(MAX('서식지_점수'!E16:P16),'서식지_점수'!E16:P16,0))</x:f>
        <x:v>산악</x:v>
      </x:c>
      <x:c r="V16" s="8" t="str">
        <x:f>IF(T16&lt;&gt;"",T16,U16)</x:f>
        <x:v>산악</x:v>
      </x:c>
      <x:c r="W16" s="8" t="str">
        <x:f>IFERROR(INDEX('서식지_점수'!$E$4:$P$4,1,MATCH(MAXIFS('서식지_점수'!E16:P16,'서식지_점수'!E16:P16,"&lt;"&amp;MAX('서식지_점수'!E16:P16)),'서식지_점수'!E16:P16,0)),"")</x:f>
        <x:v>평원</x:v>
      </x:c>
      <x:c r="X16" s="8" t="str">
        <x:f>IF(T16&lt;&gt;"","수동확정",IF(MAX('서식지_점수'!E16:P16)-LARGE('서식지_점수'!E16:P16,2)&gt;=15,"높음",IF(MAX('서식지_점수'!E16:P16)-LARGE('서식지_점수'!E16:P16,2)&gt;=8,"보통","검토필요")))</x:f>
        <x:v>검토필요</x:v>
      </x:c>
      <x:c r="Y16" s="9" t="n">
        <x:f>IF(Q16="전설",8,IF(Q16="희귀",7,IF(J16="기본",1,IF(J16="중간",3,IF(J16="최종",IF(I16="",5,IF(I16&lt;=20,3,IF(I16&lt;=35,4,IF(I16&lt;=50,6,7)))),IF(Q16="드묾",4,2))))))</x:f>
        <x:v>3</x:v>
      </x:c>
      <x:c r="Z16" s="5" t="inlineStr">
        <x:is>
          <x:t xml:space="preserve">#aether:is_aether; #cobblemon:is_floral; #cobblemon:is_jungle; #cobblemon:is_temperate; #cobblemon:is_tropical_island; the_bumblezone:floral_meadow</x:t>
        </x:is>
      </x:c>
      <x:c r="AA16" s="5" t="inlineStr">
        <x:is>
          <x:t xml:space="preserve">common</x:t>
        </x:is>
      </x:c>
      <x:c r="AB16" s="5" t="inlineStr">
        <x:is>
          <x:t xml:space="preserve">예</x:t>
        </x:is>
      </x:c>
      <x:c r="AC16" s="8" t="str">
        <x:f>IF(T16&lt;&gt;"","수동확정",IF(X16="검토필요","검토필요",IF(S16="","원본없음","초기완료")))</x:f>
        <x:v>검토필요</x:v>
      </x:c>
      <x:c r="AD16" s="7" t="inlineStr">
        <x:is>
          <x:t xml:space="preserve"/>
        </x:is>
      </x:c>
      <x:c r="AE16" s="5" t="inlineStr">
        <x:is>
          <x:t xml:space="preserve">.tmp/cobblemon-1.7.3-source/common/src/main/resources/data/cobblemon/species/generation1/butterfree.json</x:t>
        </x:is>
      </x:c>
      <x:c r="AF16" s="5" t="str">
        <x:f>"생활권|"&amp;K16</x:f>
        <x:v>생활권|비행</x:v>
      </x:c>
      <x:c r="AG16" s="5" t="str">
        <x:f>"지형|"&amp;L16</x:f>
        <x:v>지형|수목</x:v>
      </x:c>
      <x:c r="AH16" s="5" t="str">
        <x:f>"온도|"&amp;M16</x:f>
        <x:v>온도|온대</x:v>
      </x:c>
      <x:c r="AI16" s="5" t="str">
        <x:f>"습도|"&amp;N16</x:f>
        <x:v>습도|다습</x:v>
      </x:c>
      <x:c r="AJ16" s="5" t="str">
        <x:f>"날씨|"&amp;O16</x:f>
        <x:v>날씨|무관</x:v>
      </x:c>
      <x:c r="AK16" s="5" t="str">
        <x:f>"특수태그|"&amp;R16</x:f>
        <x:v>특수태그|없음</x:v>
      </x:c>
      <x:c r="AL16" s="5" t="str">
        <x:f>"원본서식지|"&amp;S16</x:f>
        <x:v>원본서식지|숲</x:v>
      </x:c>
      <x:c r="AM16" s="5" t="str">
        <x:f>"타입|"&amp;F16</x:f>
        <x:v>타입|벌레</x:v>
      </x:c>
      <x:c r="AN16" s="5" t="str">
        <x:f>"타입|"&amp;G16</x:f>
        <x:v>타입|비행</x:v>
      </x:c>
    </x:row>
    <x:row r="17" ht="24" customHeight="1">
      <x:c r="A17" s="5" t="n">
        <x:v>13</x:v>
      </x:c>
      <x:c r="B17" s="5" t="inlineStr">
        <x:is>
          <x:t xml:space="preserve">뿔충이</x:t>
        </x:is>
      </x:c>
      <x:c r="C17" s="5" t="inlineStr">
        <x:is>
          <x:t xml:space="preserve">weedle</x:t>
        </x:is>
      </x:c>
      <x:c r="D17" s="5" t="inlineStr">
        <x:is>
          <x:t xml:space="preserve">Weedle</x:t>
        </x:is>
      </x:c>
      <x:c r="E17" s="5" t="n">
        <x:v>1</x:v>
      </x:c>
      <x:c r="F17" s="5" t="inlineStr">
        <x:is>
          <x:t xml:space="preserve">벌레</x:t>
        </x:is>
      </x:c>
      <x:c r="G17" s="5" t="inlineStr">
        <x:is>
          <x:t xml:space="preserve">독</x:t>
        </x:is>
      </x:c>
      <x:c r="H17" s="6" t="n">
        <x:v>3.2</x:v>
      </x:c>
      <x:c r="I17" s="5" t="n">
        <x:v>10</x:v>
      </x:c>
      <x:c r="J17" s="5" t="inlineStr">
        <x:is>
          <x:t xml:space="preserve">기본</x:t>
        </x:is>
      </x:c>
      <x:c r="K17" s="7" t="inlineStr">
        <x:is>
          <x:t xml:space="preserve">육상</x:t>
        </x:is>
      </x:c>
      <x:c r="L17" s="7" t="inlineStr">
        <x:is>
          <x:t xml:space="preserve">수목</x:t>
        </x:is>
      </x:c>
      <x:c r="M17" s="7" t="inlineStr">
        <x:is>
          <x:t xml:space="preserve">온대</x:t>
        </x:is>
      </x:c>
      <x:c r="N17" s="7" t="inlineStr">
        <x:is>
          <x:t xml:space="preserve">다습</x:t>
        </x:is>
      </x:c>
      <x:c r="O17" s="7" t="inlineStr">
        <x:is>
          <x:t xml:space="preserve">무관</x:t>
        </x:is>
      </x:c>
      <x:c r="P17" s="7" t="inlineStr">
        <x:is>
          <x:t xml:space="preserve">무관</x:t>
        </x:is>
      </x:c>
      <x:c r="Q17" s="7" t="inlineStr">
        <x:is>
          <x:t xml:space="preserve">흔함</x:t>
        </x:is>
      </x:c>
      <x:c r="R17" s="7" t="inlineStr">
        <x:is>
          <x:t xml:space="preserve">없음</x:t>
        </x:is>
      </x:c>
      <x:c r="S17" s="7" t="inlineStr">
        <x:is>
          <x:t xml:space="preserve">숲</x:t>
        </x:is>
      </x:c>
      <x:c r="T17" s="7" t="inlineStr">
        <x:is>
          <x:t xml:space="preserve"/>
        </x:is>
      </x:c>
      <x:c r="U17" s="8" t="str">
        <x:f>INDEX('서식지_점수'!$E$4:$P$4,1,MATCH(MAX('서식지_점수'!E17:P17),'서식지_점수'!E17:P17,0))</x:f>
        <x:v>평원</x:v>
      </x:c>
      <x:c r="V17" s="8" t="str">
        <x:f>IF(T17&lt;&gt;"",T17,U17)</x:f>
        <x:v>평원</x:v>
      </x:c>
      <x:c r="W17" s="8" t="str">
        <x:f>IFERROR(INDEX('서식지_점수'!$E$4:$P$4,1,MATCH(MAXIFS('서식지_점수'!E17:P17,'서식지_점수'!E17:P17,"&lt;"&amp;MAX('서식지_점수'!E17:P17)),'서식지_점수'!E17:P17,0)),"")</x:f>
        <x:v>숲</x:v>
      </x:c>
      <x:c r="X17" s="8" t="str">
        <x:f>IF(T17&lt;&gt;"","수동확정",IF(MAX('서식지_점수'!E17:P17)-LARGE('서식지_점수'!E17:P17,2)&gt;=15,"높음",IF(MAX('서식지_점수'!E17:P17)-LARGE('서식지_점수'!E17:P17,2)&gt;=8,"보통","검토필요")))</x:f>
        <x:v>검토필요</x:v>
      </x:c>
      <x:c r="Y17" s="9" t="n">
        <x:f>IF(Q17="전설",8,IF(Q17="희귀",7,IF(J17="기본",1,IF(J17="중간",3,IF(J17="최종",IF(I17="",5,IF(I17&lt;=20,3,IF(I17&lt;=35,4,IF(I17&lt;=50,6,7)))),IF(Q17="드묾",4,2))))))</x:f>
        <x:v>1</x:v>
      </x:c>
      <x:c r="Z17" s="5" t="inlineStr">
        <x:is>
          <x:t xml:space="preserve">#cobblemon:is_forest; #cobblemon:is_jungle; #the_bumblezone:the_bumblezone; aether:skyroot_forest; aether:skyroot_woodland</x:t>
        </x:is>
      </x:c>
      <x:c r="AA17" s="5" t="inlineStr">
        <x:is>
          <x:t xml:space="preserve">common</x:t>
        </x:is>
      </x:c>
      <x:c r="AB17" s="5" t="inlineStr">
        <x:is>
          <x:t xml:space="preserve">예</x:t>
        </x:is>
      </x:c>
      <x:c r="AC17" s="8" t="str">
        <x:f>IF(T17&lt;&gt;"","수동확정",IF(X17="검토필요","검토필요",IF(S17="","원본없음","초기완료")))</x:f>
        <x:v>검토필요</x:v>
      </x:c>
      <x:c r="AD17" s="7" t="inlineStr">
        <x:is>
          <x:t xml:space="preserve"/>
        </x:is>
      </x:c>
      <x:c r="AE17" s="5" t="inlineStr">
        <x:is>
          <x:t xml:space="preserve">.tmp/cobblemon-1.7.3-source/common/src/main/resources/data/cobblemon/species/generation1/weedle.json</x:t>
        </x:is>
      </x:c>
      <x:c r="AF17" s="5" t="str">
        <x:f>"생활권|"&amp;K17</x:f>
        <x:v>생활권|육상</x:v>
      </x:c>
      <x:c r="AG17" s="5" t="str">
        <x:f>"지형|"&amp;L17</x:f>
        <x:v>지형|수목</x:v>
      </x:c>
      <x:c r="AH17" s="5" t="str">
        <x:f>"온도|"&amp;M17</x:f>
        <x:v>온도|온대</x:v>
      </x:c>
      <x:c r="AI17" s="5" t="str">
        <x:f>"습도|"&amp;N17</x:f>
        <x:v>습도|다습</x:v>
      </x:c>
      <x:c r="AJ17" s="5" t="str">
        <x:f>"날씨|"&amp;O17</x:f>
        <x:v>날씨|무관</x:v>
      </x:c>
      <x:c r="AK17" s="5" t="str">
        <x:f>"특수태그|"&amp;R17</x:f>
        <x:v>특수태그|없음</x:v>
      </x:c>
      <x:c r="AL17" s="5" t="str">
        <x:f>"원본서식지|"&amp;S17</x:f>
        <x:v>원본서식지|숲</x:v>
      </x:c>
      <x:c r="AM17" s="5" t="str">
        <x:f>"타입|"&amp;F17</x:f>
        <x:v>타입|벌레</x:v>
      </x:c>
      <x:c r="AN17" s="5" t="str">
        <x:f>"타입|"&amp;G17</x:f>
        <x:v>타입|독</x:v>
      </x:c>
    </x:row>
    <x:row r="18" ht="24" customHeight="1">
      <x:c r="A18" s="5" t="n">
        <x:v>14</x:v>
      </x:c>
      <x:c r="B18" s="5" t="inlineStr">
        <x:is>
          <x:t xml:space="preserve">딱충이</x:t>
        </x:is>
      </x:c>
      <x:c r="C18" s="5" t="inlineStr">
        <x:is>
          <x:t xml:space="preserve">kakuna</x:t>
        </x:is>
      </x:c>
      <x:c r="D18" s="5" t="inlineStr">
        <x:is>
          <x:t xml:space="preserve">Kakuna</x:t>
        </x:is>
      </x:c>
      <x:c r="E18" s="5" t="n">
        <x:v>1</x:v>
      </x:c>
      <x:c r="F18" s="5" t="inlineStr">
        <x:is>
          <x:t xml:space="preserve">벌레</x:t>
        </x:is>
      </x:c>
      <x:c r="G18" s="5" t="inlineStr">
        <x:is>
          <x:t xml:space="preserve">독</x:t>
        </x:is>
      </x:c>
      <x:c r="H18" s="6" t="n">
        <x:v>10</x:v>
      </x:c>
      <x:c r="I18" s="5" t="n">
        <x:v>10</x:v>
      </x:c>
      <x:c r="J18" s="5" t="inlineStr">
        <x:is>
          <x:t xml:space="preserve">중간</x:t>
        </x:is>
      </x:c>
      <x:c r="K18" s="7" t="inlineStr">
        <x:is>
          <x:t xml:space="preserve">육상</x:t>
        </x:is>
      </x:c>
      <x:c r="L18" s="7" t="inlineStr">
        <x:is>
          <x:t xml:space="preserve">수목</x:t>
        </x:is>
      </x:c>
      <x:c r="M18" s="7" t="inlineStr">
        <x:is>
          <x:t xml:space="preserve">온대</x:t>
        </x:is>
      </x:c>
      <x:c r="N18" s="7" t="inlineStr">
        <x:is>
          <x:t xml:space="preserve">다습</x:t>
        </x:is>
      </x:c>
      <x:c r="O18" s="7" t="inlineStr">
        <x:is>
          <x:t xml:space="preserve">무관</x:t>
        </x:is>
      </x:c>
      <x:c r="P18" s="7" t="inlineStr">
        <x:is>
          <x:t xml:space="preserve">무관</x:t>
        </x:is>
      </x:c>
      <x:c r="Q18" s="7" t="inlineStr">
        <x:is>
          <x:t xml:space="preserve">흔함</x:t>
        </x:is>
      </x:c>
      <x:c r="R18" s="7" t="inlineStr">
        <x:is>
          <x:t xml:space="preserve">없음</x:t>
        </x:is>
      </x:c>
      <x:c r="S18" s="7" t="inlineStr">
        <x:is>
          <x:t xml:space="preserve">숲</x:t>
        </x:is>
      </x:c>
      <x:c r="T18" s="7" t="inlineStr">
        <x:is>
          <x:t xml:space="preserve"/>
        </x:is>
      </x:c>
      <x:c r="U18" s="8" t="str">
        <x:f>INDEX('서식지_점수'!$E$4:$P$4,1,MATCH(MAX('서식지_점수'!E18:P18),'서식지_점수'!E18:P18,0))</x:f>
        <x:v>평원</x:v>
      </x:c>
      <x:c r="V18" s="8" t="str">
        <x:f>IF(T18&lt;&gt;"",T18,U18)</x:f>
        <x:v>평원</x:v>
      </x:c>
      <x:c r="W18" s="8" t="str">
        <x:f>IFERROR(INDEX('서식지_점수'!$E$4:$P$4,1,MATCH(MAXIFS('서식지_점수'!E18:P18,'서식지_점수'!E18:P18,"&lt;"&amp;MAX('서식지_점수'!E18:P18)),'서식지_점수'!E18:P18,0)),"")</x:f>
        <x:v>숲</x:v>
      </x:c>
      <x:c r="X18" s="8" t="str">
        <x:f>IF(T18&lt;&gt;"","수동확정",IF(MAX('서식지_점수'!E18:P18)-LARGE('서식지_점수'!E18:P18,2)&gt;=15,"높음",IF(MAX('서식지_점수'!E18:P18)-LARGE('서식지_점수'!E18:P18,2)&gt;=8,"보통","검토필요")))</x:f>
        <x:v>검토필요</x:v>
      </x:c>
      <x:c r="Y18" s="9" t="n">
        <x:f>IF(Q18="전설",8,IF(Q18="희귀",7,IF(J18="기본",1,IF(J18="중간",3,IF(J18="최종",IF(I18="",5,IF(I18&lt;=20,3,IF(I18&lt;=35,4,IF(I18&lt;=50,6,7)))),IF(Q18="드묾",4,2))))))</x:f>
        <x:v>3</x:v>
      </x:c>
      <x:c r="Z18" s="5" t="inlineStr">
        <x:is>
          <x:t xml:space="preserve">#cobblemon:is_forest; #cobblemon:is_jungle; #the_bumblezone:the_bumblezone; aether:skyroot_forest; aether:skyroot_woodland</x:t>
        </x:is>
      </x:c>
      <x:c r="AA18" s="5" t="inlineStr">
        <x:is>
          <x:t xml:space="preserve">common</x:t>
        </x:is>
      </x:c>
      <x:c r="AB18" s="5" t="inlineStr">
        <x:is>
          <x:t xml:space="preserve">예</x:t>
        </x:is>
      </x:c>
      <x:c r="AC18" s="8" t="str">
        <x:f>IF(T18&lt;&gt;"","수동확정",IF(X18="검토필요","검토필요",IF(S18="","원본없음","초기완료")))</x:f>
        <x:v>검토필요</x:v>
      </x:c>
      <x:c r="AD18" s="7" t="inlineStr">
        <x:is>
          <x:t xml:space="preserve"/>
        </x:is>
      </x:c>
      <x:c r="AE18" s="5" t="inlineStr">
        <x:is>
          <x:t xml:space="preserve">.tmp/cobblemon-1.7.3-source/common/src/main/resources/data/cobblemon/species/generation1/kakuna.json</x:t>
        </x:is>
      </x:c>
      <x:c r="AF18" s="5" t="str">
        <x:f>"생활권|"&amp;K18</x:f>
        <x:v>생활권|육상</x:v>
      </x:c>
      <x:c r="AG18" s="5" t="str">
        <x:f>"지형|"&amp;L18</x:f>
        <x:v>지형|수목</x:v>
      </x:c>
      <x:c r="AH18" s="5" t="str">
        <x:f>"온도|"&amp;M18</x:f>
        <x:v>온도|온대</x:v>
      </x:c>
      <x:c r="AI18" s="5" t="str">
        <x:f>"습도|"&amp;N18</x:f>
        <x:v>습도|다습</x:v>
      </x:c>
      <x:c r="AJ18" s="5" t="str">
        <x:f>"날씨|"&amp;O18</x:f>
        <x:v>날씨|무관</x:v>
      </x:c>
      <x:c r="AK18" s="5" t="str">
        <x:f>"특수태그|"&amp;R18</x:f>
        <x:v>특수태그|없음</x:v>
      </x:c>
      <x:c r="AL18" s="5" t="str">
        <x:f>"원본서식지|"&amp;S18</x:f>
        <x:v>원본서식지|숲</x:v>
      </x:c>
      <x:c r="AM18" s="5" t="str">
        <x:f>"타입|"&amp;F18</x:f>
        <x:v>타입|벌레</x:v>
      </x:c>
      <x:c r="AN18" s="5" t="str">
        <x:f>"타입|"&amp;G18</x:f>
        <x:v>타입|독</x:v>
      </x:c>
    </x:row>
    <x:row r="19" ht="24" customHeight="1">
      <x:c r="A19" s="5" t="n">
        <x:v>15</x:v>
      </x:c>
      <x:c r="B19" s="5" t="inlineStr">
        <x:is>
          <x:t xml:space="preserve">독침붕</x:t>
        </x:is>
      </x:c>
      <x:c r="C19" s="5" t="inlineStr">
        <x:is>
          <x:t xml:space="preserve">beedrill</x:t>
        </x:is>
      </x:c>
      <x:c r="D19" s="5" t="inlineStr">
        <x:is>
          <x:t xml:space="preserve">Beedrill</x:t>
        </x:is>
      </x:c>
      <x:c r="E19" s="5" t="n">
        <x:v>1</x:v>
      </x:c>
      <x:c r="F19" s="5" t="inlineStr">
        <x:is>
          <x:t xml:space="preserve">벌레</x:t>
        </x:is>
      </x:c>
      <x:c r="G19" s="5" t="inlineStr">
        <x:is>
          <x:t xml:space="preserve">독</x:t>
        </x:is>
      </x:c>
      <x:c r="H19" s="6" t="n">
        <x:v>29.5</x:v>
      </x:c>
      <x:c r="I19" s="5" t="n">
        <x:v>10</x:v>
      </x:c>
      <x:c r="J19" s="5" t="inlineStr">
        <x:is>
          <x:t xml:space="preserve">최종</x:t>
        </x:is>
      </x:c>
      <x:c r="K19" s="7" t="inlineStr">
        <x:is>
          <x:t xml:space="preserve">비행</x:t>
        </x:is>
      </x:c>
      <x:c r="L19" s="7" t="inlineStr">
        <x:is>
          <x:t xml:space="preserve">수목</x:t>
        </x:is>
      </x:c>
      <x:c r="M19" s="7" t="inlineStr">
        <x:is>
          <x:t xml:space="preserve">온대</x:t>
        </x:is>
      </x:c>
      <x:c r="N19" s="7" t="inlineStr">
        <x:is>
          <x:t xml:space="preserve">다습</x:t>
        </x:is>
      </x:c>
      <x:c r="O19" s="7" t="inlineStr">
        <x:is>
          <x:t xml:space="preserve">무관</x:t>
        </x:is>
      </x:c>
      <x:c r="P19" s="7" t="inlineStr">
        <x:is>
          <x:t xml:space="preserve">낮</x:t>
        </x:is>
      </x:c>
      <x:c r="Q19" s="7" t="inlineStr">
        <x:is>
          <x:t xml:space="preserve">흔함</x:t>
        </x:is>
      </x:c>
      <x:c r="R19" s="7" t="inlineStr">
        <x:is>
          <x:t xml:space="preserve">없음</x:t>
        </x:is>
      </x:c>
      <x:c r="S19" s="7" t="inlineStr">
        <x:is>
          <x:t xml:space="preserve">숲</x:t>
        </x:is>
      </x:c>
      <x:c r="T19" s="7" t="inlineStr">
        <x:is>
          <x:t xml:space="preserve"/>
        </x:is>
      </x:c>
      <x:c r="U19" s="8" t="str">
        <x:f>INDEX('서식지_점수'!$E$4:$P$4,1,MATCH(MAX('서식지_점수'!E19:P19),'서식지_점수'!E19:P19,0))</x:f>
        <x:v>산악</x:v>
      </x:c>
      <x:c r="V19" s="8" t="str">
        <x:f>IF(T19&lt;&gt;"",T19,U19)</x:f>
        <x:v>산악</x:v>
      </x:c>
      <x:c r="W19" s="8" t="str">
        <x:f>IFERROR(INDEX('서식지_점수'!$E$4:$P$4,1,MATCH(MAXIFS('서식지_점수'!E19:P19,'서식지_점수'!E19:P19,"&lt;"&amp;MAX('서식지_점수'!E19:P19)),'서식지_점수'!E19:P19,0)),"")</x:f>
        <x:v>평원</x:v>
      </x:c>
      <x:c r="X19" s="8" t="str">
        <x:f>IF(T19&lt;&gt;"","수동확정",IF(MAX('서식지_점수'!E19:P19)-LARGE('서식지_점수'!E19:P19,2)&gt;=15,"높음",IF(MAX('서식지_점수'!E19:P19)-LARGE('서식지_점수'!E19:P19,2)&gt;=8,"보통","검토필요")))</x:f>
        <x:v>검토필요</x:v>
      </x:c>
      <x:c r="Y19" s="9" t="n">
        <x:f>IF(Q19="전설",8,IF(Q19="희귀",7,IF(J19="기본",1,IF(J19="중간",3,IF(J19="최종",IF(I19="",5,IF(I19&lt;=20,3,IF(I19&lt;=35,4,IF(I19&lt;=50,6,7)))),IF(Q19="드묾",4,2))))))</x:f>
        <x:v>3</x:v>
      </x:c>
      <x:c r="Z19" s="5" t="inlineStr">
        <x:is>
          <x:t xml:space="preserve">#cobblemon:is_forest; #cobblemon:is_jungle; #the_bumblezone:the_bumblezone; aether:skyroot_forest; aether:skyroot_woodland</x:t>
        </x:is>
      </x:c>
      <x:c r="AA19" s="5" t="inlineStr">
        <x:is>
          <x:t xml:space="preserve">common</x:t>
        </x:is>
      </x:c>
      <x:c r="AB19" s="5" t="inlineStr">
        <x:is>
          <x:t xml:space="preserve">예</x:t>
        </x:is>
      </x:c>
      <x:c r="AC19" s="8" t="str">
        <x:f>IF(T19&lt;&gt;"","수동확정",IF(X19="검토필요","검토필요",IF(S19="","원본없음","초기완료")))</x:f>
        <x:v>검토필요</x:v>
      </x:c>
      <x:c r="AD19" s="7" t="inlineStr">
        <x:is>
          <x:t xml:space="preserve"/>
        </x:is>
      </x:c>
      <x:c r="AE19" s="5" t="inlineStr">
        <x:is>
          <x:t xml:space="preserve">.tmp/cobblemon-1.7.3-source/common/src/main/resources/data/cobblemon/species/generation1/beedrill.json</x:t>
        </x:is>
      </x:c>
      <x:c r="AF19" s="5" t="str">
        <x:f>"생활권|"&amp;K19</x:f>
        <x:v>생활권|비행</x:v>
      </x:c>
      <x:c r="AG19" s="5" t="str">
        <x:f>"지형|"&amp;L19</x:f>
        <x:v>지형|수목</x:v>
      </x:c>
      <x:c r="AH19" s="5" t="str">
        <x:f>"온도|"&amp;M19</x:f>
        <x:v>온도|온대</x:v>
      </x:c>
      <x:c r="AI19" s="5" t="str">
        <x:f>"습도|"&amp;N19</x:f>
        <x:v>습도|다습</x:v>
      </x:c>
      <x:c r="AJ19" s="5" t="str">
        <x:f>"날씨|"&amp;O19</x:f>
        <x:v>날씨|무관</x:v>
      </x:c>
      <x:c r="AK19" s="5" t="str">
        <x:f>"특수태그|"&amp;R19</x:f>
        <x:v>특수태그|없음</x:v>
      </x:c>
      <x:c r="AL19" s="5" t="str">
        <x:f>"원본서식지|"&amp;S19</x:f>
        <x:v>원본서식지|숲</x:v>
      </x:c>
      <x:c r="AM19" s="5" t="str">
        <x:f>"타입|"&amp;F19</x:f>
        <x:v>타입|벌레</x:v>
      </x:c>
      <x:c r="AN19" s="5" t="str">
        <x:f>"타입|"&amp;G19</x:f>
        <x:v>타입|독</x:v>
      </x:c>
    </x:row>
    <x:row r="20" ht="24" customHeight="1">
      <x:c r="A20" s="5" t="n">
        <x:v>16</x:v>
      </x:c>
      <x:c r="B20" s="5" t="inlineStr">
        <x:is>
          <x:t xml:space="preserve">구구</x:t>
        </x:is>
      </x:c>
      <x:c r="C20" s="5" t="inlineStr">
        <x:is>
          <x:t xml:space="preserve">pidgey</x:t>
        </x:is>
      </x:c>
      <x:c r="D20" s="5" t="inlineStr">
        <x:is>
          <x:t xml:space="preserve">Pidgey</x:t>
        </x:is>
      </x:c>
      <x:c r="E20" s="5" t="n">
        <x:v>1</x:v>
      </x:c>
      <x:c r="F20" s="5" t="inlineStr">
        <x:is>
          <x:t xml:space="preserve">노말</x:t>
        </x:is>
      </x:c>
      <x:c r="G20" s="5" t="inlineStr">
        <x:is>
          <x:t xml:space="preserve">비행</x:t>
        </x:is>
      </x:c>
      <x:c r="H20" s="6" t="n">
        <x:v>1.8</x:v>
      </x:c>
      <x:c r="I20" s="5" t="n">
        <x:v>36</x:v>
      </x:c>
      <x:c r="J20" s="5" t="inlineStr">
        <x:is>
          <x:t xml:space="preserve">기본</x:t>
        </x:is>
      </x:c>
      <x:c r="K20" s="7" t="inlineStr">
        <x:is>
          <x:t xml:space="preserve">비행</x:t>
        </x:is>
      </x:c>
      <x:c r="L20" s="7" t="inlineStr">
        <x:is>
          <x:t xml:space="preserve">수목</x:t>
        </x:is>
      </x:c>
      <x:c r="M20" s="7" t="inlineStr">
        <x:is>
          <x:t xml:space="preserve">온대</x:t>
        </x:is>
      </x:c>
      <x:c r="N20" s="7" t="inlineStr">
        <x:is>
          <x:t xml:space="preserve">보통</x:t>
        </x:is>
      </x:c>
      <x:c r="O20" s="7" t="inlineStr">
        <x:is>
          <x:t xml:space="preserve">무관</x:t>
        </x:is>
      </x:c>
      <x:c r="P20" s="7" t="inlineStr">
        <x:is>
          <x:t xml:space="preserve">낮</x:t>
        </x:is>
      </x:c>
      <x:c r="Q20" s="7" t="inlineStr">
        <x:is>
          <x:t xml:space="preserve">흔함</x:t>
        </x:is>
      </x:c>
      <x:c r="R20" s="7" t="inlineStr">
        <x:is>
          <x:t xml:space="preserve">없음</x:t>
        </x:is>
      </x:c>
      <x:c r="S20" s="7" t="inlineStr">
        <x:is>
          <x:t xml:space="preserve">숲</x:t>
        </x:is>
      </x:c>
      <x:c r="T20" s="7" t="inlineStr">
        <x:is>
          <x:t xml:space="preserve"/>
        </x:is>
      </x:c>
      <x:c r="U20" s="8" t="str">
        <x:f>INDEX('서식지_점수'!$E$4:$P$4,1,MATCH(MAX('서식지_점수'!E20:P20),'서식지_점수'!E20:P20,0))</x:f>
        <x:v>산악</x:v>
      </x:c>
      <x:c r="V20" s="8" t="str">
        <x:f>IF(T20&lt;&gt;"",T20,U20)</x:f>
        <x:v>산악</x:v>
      </x:c>
      <x:c r="W20" s="8" t="str">
        <x:f>IFERROR(INDEX('서식지_점수'!$E$4:$P$4,1,MATCH(MAXIFS('서식지_점수'!E20:P20,'서식지_점수'!E20:P20,"&lt;"&amp;MAX('서식지_점수'!E20:P20)),'서식지_점수'!E20:P20,0)),"")</x:f>
        <x:v>평원</x:v>
      </x:c>
      <x:c r="X20" s="8" t="str">
        <x:f>IF(T20&lt;&gt;"","수동확정",IF(MAX('서식지_점수'!E20:P20)-LARGE('서식지_점수'!E20:P20,2)&gt;=15,"높음",IF(MAX('서식지_점수'!E20:P20)-LARGE('서식지_점수'!E20:P20,2)&gt;=8,"보통","검토필요")))</x:f>
        <x:v>검토필요</x:v>
      </x:c>
      <x:c r="Y20" s="9" t="n">
        <x:f>IF(Q20="전설",8,IF(Q20="희귀",7,IF(J20="기본",1,IF(J20="중간",3,IF(J20="최종",IF(I20="",5,IF(I20&lt;=20,3,IF(I20&lt;=35,4,IF(I20&lt;=50,6,7)))),IF(Q20="드묾",4,2))))))</x:f>
        <x:v>1</x:v>
      </x:c>
      <x:c r="Z20" s="5" t="inlineStr">
        <x:is>
          <x:t xml:space="preserve">#cobblemon:is_sky; #cobblemon:is_temperate; aether:skyroot_forest; aether:skyroot_woodland</x:t>
        </x:is>
      </x:c>
      <x:c r="AA20" s="5" t="inlineStr">
        <x:is>
          <x:t xml:space="preserve">common</x:t>
        </x:is>
      </x:c>
      <x:c r="AB20" s="5" t="inlineStr">
        <x:is>
          <x:t xml:space="preserve">예</x:t>
        </x:is>
      </x:c>
      <x:c r="AC20" s="8" t="str">
        <x:f>IF(T20&lt;&gt;"","수동확정",IF(X20="검토필요","검토필요",IF(S20="","원본없음","초기완료")))</x:f>
        <x:v>검토필요</x:v>
      </x:c>
      <x:c r="AD20" s="7" t="inlineStr">
        <x:is>
          <x:t xml:space="preserve"/>
        </x:is>
      </x:c>
      <x:c r="AE20" s="5" t="inlineStr">
        <x:is>
          <x:t xml:space="preserve">.tmp/cobblemon-1.7.3-source/common/src/main/resources/data/cobblemon/species/generation1/pidgey.json</x:t>
        </x:is>
      </x:c>
      <x:c r="AF20" s="5" t="str">
        <x:f>"생활권|"&amp;K20</x:f>
        <x:v>생활권|비행</x:v>
      </x:c>
      <x:c r="AG20" s="5" t="str">
        <x:f>"지형|"&amp;L20</x:f>
        <x:v>지형|수목</x:v>
      </x:c>
      <x:c r="AH20" s="5" t="str">
        <x:f>"온도|"&amp;M20</x:f>
        <x:v>온도|온대</x:v>
      </x:c>
      <x:c r="AI20" s="5" t="str">
        <x:f>"습도|"&amp;N20</x:f>
        <x:v>습도|보통</x:v>
      </x:c>
      <x:c r="AJ20" s="5" t="str">
        <x:f>"날씨|"&amp;O20</x:f>
        <x:v>날씨|무관</x:v>
      </x:c>
      <x:c r="AK20" s="5" t="str">
        <x:f>"특수태그|"&amp;R20</x:f>
        <x:v>특수태그|없음</x:v>
      </x:c>
      <x:c r="AL20" s="5" t="str">
        <x:f>"원본서식지|"&amp;S20</x:f>
        <x:v>원본서식지|숲</x:v>
      </x:c>
      <x:c r="AM20" s="5" t="str">
        <x:f>"타입|"&amp;F20</x:f>
        <x:v>타입|노말</x:v>
      </x:c>
      <x:c r="AN20" s="5" t="str">
        <x:f>"타입|"&amp;G20</x:f>
        <x:v>타입|비행</x:v>
      </x:c>
    </x:row>
    <x:row r="21" ht="24" customHeight="1">
      <x:c r="A21" s="5" t="n">
        <x:v>17</x:v>
      </x:c>
      <x:c r="B21" s="5" t="inlineStr">
        <x:is>
          <x:t xml:space="preserve">피죤</x:t>
        </x:is>
      </x:c>
      <x:c r="C21" s="5" t="inlineStr">
        <x:is>
          <x:t xml:space="preserve">pidgeotto</x:t>
        </x:is>
      </x:c>
      <x:c r="D21" s="5" t="inlineStr">
        <x:is>
          <x:t xml:space="preserve">Pidgeotto</x:t>
        </x:is>
      </x:c>
      <x:c r="E21" s="5" t="n">
        <x:v>1</x:v>
      </x:c>
      <x:c r="F21" s="5" t="inlineStr">
        <x:is>
          <x:t xml:space="preserve">노말</x:t>
        </x:is>
      </x:c>
      <x:c r="G21" s="5" t="inlineStr">
        <x:is>
          <x:t xml:space="preserve">비행</x:t>
        </x:is>
      </x:c>
      <x:c r="H21" s="6" t="n">
        <x:v>30</x:v>
      </x:c>
      <x:c r="I21" s="5" t="n">
        <x:v>36</x:v>
      </x:c>
      <x:c r="J21" s="5" t="inlineStr">
        <x:is>
          <x:t xml:space="preserve">중간</x:t>
        </x:is>
      </x:c>
      <x:c r="K21" s="7" t="inlineStr">
        <x:is>
          <x:t xml:space="preserve">비행</x:t>
        </x:is>
      </x:c>
      <x:c r="L21" s="7" t="inlineStr">
        <x:is>
          <x:t xml:space="preserve">수목</x:t>
        </x:is>
      </x:c>
      <x:c r="M21" s="7" t="inlineStr">
        <x:is>
          <x:t xml:space="preserve">온대</x:t>
        </x:is>
      </x:c>
      <x:c r="N21" s="7" t="inlineStr">
        <x:is>
          <x:t xml:space="preserve">보통</x:t>
        </x:is>
      </x:c>
      <x:c r="O21" s="7" t="inlineStr">
        <x:is>
          <x:t xml:space="preserve">무관</x:t>
        </x:is>
      </x:c>
      <x:c r="P21" s="7" t="inlineStr">
        <x:is>
          <x:t xml:space="preserve">낮</x:t>
        </x:is>
      </x:c>
      <x:c r="Q21" s="7" t="inlineStr">
        <x:is>
          <x:t xml:space="preserve">흔함</x:t>
        </x:is>
      </x:c>
      <x:c r="R21" s="7" t="inlineStr">
        <x:is>
          <x:t xml:space="preserve">없음</x:t>
        </x:is>
      </x:c>
      <x:c r="S21" s="7" t="inlineStr">
        <x:is>
          <x:t xml:space="preserve">숲</x:t>
        </x:is>
      </x:c>
      <x:c r="T21" s="7" t="inlineStr">
        <x:is>
          <x:t xml:space="preserve"/>
        </x:is>
      </x:c>
      <x:c r="U21" s="8" t="str">
        <x:f>INDEX('서식지_점수'!$E$4:$P$4,1,MATCH(MAX('서식지_점수'!E21:P21),'서식지_점수'!E21:P21,0))</x:f>
        <x:v>산악</x:v>
      </x:c>
      <x:c r="V21" s="8" t="str">
        <x:f>IF(T21&lt;&gt;"",T21,U21)</x:f>
        <x:v>산악</x:v>
      </x:c>
      <x:c r="W21" s="8" t="str">
        <x:f>IFERROR(INDEX('서식지_점수'!$E$4:$P$4,1,MATCH(MAXIFS('서식지_점수'!E21:P21,'서식지_점수'!E21:P21,"&lt;"&amp;MAX('서식지_점수'!E21:P21)),'서식지_점수'!E21:P21,0)),"")</x:f>
        <x:v>평원</x:v>
      </x:c>
      <x:c r="X21" s="8" t="str">
        <x:f>IF(T21&lt;&gt;"","수동확정",IF(MAX('서식지_점수'!E21:P21)-LARGE('서식지_점수'!E21:P21,2)&gt;=15,"높음",IF(MAX('서식지_점수'!E21:P21)-LARGE('서식지_점수'!E21:P21,2)&gt;=8,"보통","검토필요")))</x:f>
        <x:v>검토필요</x:v>
      </x:c>
      <x:c r="Y21" s="9" t="n">
        <x:f>IF(Q21="전설",8,IF(Q21="희귀",7,IF(J21="기본",1,IF(J21="중간",3,IF(J21="최종",IF(I21="",5,IF(I21&lt;=20,3,IF(I21&lt;=35,4,IF(I21&lt;=50,6,7)))),IF(Q21="드묾",4,2))))))</x:f>
        <x:v>3</x:v>
      </x:c>
      <x:c r="Z21" s="5" t="inlineStr">
        <x:is>
          <x:t xml:space="preserve">#cobblemon:is_sky; #cobblemon:is_temperate; aether:skyroot_forest; aether:skyroot_woodland</x:t>
        </x:is>
      </x:c>
      <x:c r="AA21" s="5" t="inlineStr">
        <x:is>
          <x:t xml:space="preserve">common</x:t>
        </x:is>
      </x:c>
      <x:c r="AB21" s="5" t="inlineStr">
        <x:is>
          <x:t xml:space="preserve">예</x:t>
        </x:is>
      </x:c>
      <x:c r="AC21" s="8" t="str">
        <x:f>IF(T21&lt;&gt;"","수동확정",IF(X21="검토필요","검토필요",IF(S21="","원본없음","초기완료")))</x:f>
        <x:v>검토필요</x:v>
      </x:c>
      <x:c r="AD21" s="7" t="inlineStr">
        <x:is>
          <x:t xml:space="preserve"/>
        </x:is>
      </x:c>
      <x:c r="AE21" s="5" t="inlineStr">
        <x:is>
          <x:t xml:space="preserve">.tmp/cobblemon-1.7.3-source/common/src/main/resources/data/cobblemon/species/generation1/pidgeotto.json</x:t>
        </x:is>
      </x:c>
      <x:c r="AF21" s="5" t="str">
        <x:f>"생활권|"&amp;K21</x:f>
        <x:v>생활권|비행</x:v>
      </x:c>
      <x:c r="AG21" s="5" t="str">
        <x:f>"지형|"&amp;L21</x:f>
        <x:v>지형|수목</x:v>
      </x:c>
      <x:c r="AH21" s="5" t="str">
        <x:f>"온도|"&amp;M21</x:f>
        <x:v>온도|온대</x:v>
      </x:c>
      <x:c r="AI21" s="5" t="str">
        <x:f>"습도|"&amp;N21</x:f>
        <x:v>습도|보통</x:v>
      </x:c>
      <x:c r="AJ21" s="5" t="str">
        <x:f>"날씨|"&amp;O21</x:f>
        <x:v>날씨|무관</x:v>
      </x:c>
      <x:c r="AK21" s="5" t="str">
        <x:f>"특수태그|"&amp;R21</x:f>
        <x:v>특수태그|없음</x:v>
      </x:c>
      <x:c r="AL21" s="5" t="str">
        <x:f>"원본서식지|"&amp;S21</x:f>
        <x:v>원본서식지|숲</x:v>
      </x:c>
      <x:c r="AM21" s="5" t="str">
        <x:f>"타입|"&amp;F21</x:f>
        <x:v>타입|노말</x:v>
      </x:c>
      <x:c r="AN21" s="5" t="str">
        <x:f>"타입|"&amp;G21</x:f>
        <x:v>타입|비행</x:v>
      </x:c>
    </x:row>
    <x:row r="22" ht="24" customHeight="1">
      <x:c r="A22" s="5" t="n">
        <x:v>18</x:v>
      </x:c>
      <x:c r="B22" s="5" t="inlineStr">
        <x:is>
          <x:t xml:space="preserve">피죤투</x:t>
        </x:is>
      </x:c>
      <x:c r="C22" s="5" t="inlineStr">
        <x:is>
          <x:t xml:space="preserve">pidgeot</x:t>
        </x:is>
      </x:c>
      <x:c r="D22" s="5" t="inlineStr">
        <x:is>
          <x:t xml:space="preserve">Pidgeot</x:t>
        </x:is>
      </x:c>
      <x:c r="E22" s="5" t="n">
        <x:v>1</x:v>
      </x:c>
      <x:c r="F22" s="5" t="inlineStr">
        <x:is>
          <x:t xml:space="preserve">노말</x:t>
        </x:is>
      </x:c>
      <x:c r="G22" s="5" t="inlineStr">
        <x:is>
          <x:t xml:space="preserve">비행</x:t>
        </x:is>
      </x:c>
      <x:c r="H22" s="6" t="n">
        <x:v>39.5</x:v>
      </x:c>
      <x:c r="I22" s="5" t="n">
        <x:v>36</x:v>
      </x:c>
      <x:c r="J22" s="5" t="inlineStr">
        <x:is>
          <x:t xml:space="preserve">최종</x:t>
        </x:is>
      </x:c>
      <x:c r="K22" s="7" t="inlineStr">
        <x:is>
          <x:t xml:space="preserve">비행</x:t>
        </x:is>
      </x:c>
      <x:c r="L22" s="7" t="inlineStr">
        <x:is>
          <x:t xml:space="preserve">수목</x:t>
        </x:is>
      </x:c>
      <x:c r="M22" s="7" t="inlineStr">
        <x:is>
          <x:t xml:space="preserve">온대</x:t>
        </x:is>
      </x:c>
      <x:c r="N22" s="7" t="inlineStr">
        <x:is>
          <x:t xml:space="preserve">보통</x:t>
        </x:is>
      </x:c>
      <x:c r="O22" s="7" t="inlineStr">
        <x:is>
          <x:t xml:space="preserve">무관</x:t>
        </x:is>
      </x:c>
      <x:c r="P22" s="7" t="inlineStr">
        <x:is>
          <x:t xml:space="preserve">낮</x:t>
        </x:is>
      </x:c>
      <x:c r="Q22" s="7" t="inlineStr">
        <x:is>
          <x:t xml:space="preserve">흔함</x:t>
        </x:is>
      </x:c>
      <x:c r="R22" s="7" t="inlineStr">
        <x:is>
          <x:t xml:space="preserve">없음</x:t>
        </x:is>
      </x:c>
      <x:c r="S22" s="7" t="inlineStr">
        <x:is>
          <x:t xml:space="preserve">숲</x:t>
        </x:is>
      </x:c>
      <x:c r="T22" s="7" t="inlineStr">
        <x:is>
          <x:t xml:space="preserve"/>
        </x:is>
      </x:c>
      <x:c r="U22" s="8" t="str">
        <x:f>INDEX('서식지_점수'!$E$4:$P$4,1,MATCH(MAX('서식지_점수'!E22:P22),'서식지_점수'!E22:P22,0))</x:f>
        <x:v>산악</x:v>
      </x:c>
      <x:c r="V22" s="8" t="str">
        <x:f>IF(T22&lt;&gt;"",T22,U22)</x:f>
        <x:v>산악</x:v>
      </x:c>
      <x:c r="W22" s="8" t="str">
        <x:f>IFERROR(INDEX('서식지_점수'!$E$4:$P$4,1,MATCH(MAXIFS('서식지_점수'!E22:P22,'서식지_점수'!E22:P22,"&lt;"&amp;MAX('서식지_점수'!E22:P22)),'서식지_점수'!E22:P22,0)),"")</x:f>
        <x:v>평원</x:v>
      </x:c>
      <x:c r="X22" s="8" t="str">
        <x:f>IF(T22&lt;&gt;"","수동확정",IF(MAX('서식지_점수'!E22:P22)-LARGE('서식지_점수'!E22:P22,2)&gt;=15,"높음",IF(MAX('서식지_점수'!E22:P22)-LARGE('서식지_점수'!E22:P22,2)&gt;=8,"보통","검토필요")))</x:f>
        <x:v>검토필요</x:v>
      </x:c>
      <x:c r="Y22" s="9" t="n">
        <x:f>IF(Q22="전설",8,IF(Q22="희귀",7,IF(J22="기본",1,IF(J22="중간",3,IF(J22="최종",IF(I22="",5,IF(I22&lt;=20,3,IF(I22&lt;=35,4,IF(I22&lt;=50,6,7)))),IF(Q22="드묾",4,2))))))</x:f>
        <x:v>6</x:v>
      </x:c>
      <x:c r="Z22" s="5" t="inlineStr">
        <x:is>
          <x:t xml:space="preserve">#cobblemon:is_sky; #cobblemon:is_temperate; aether:skyroot_forest; aether:skyroot_woodland</x:t>
        </x:is>
      </x:c>
      <x:c r="AA22" s="5" t="inlineStr">
        <x:is>
          <x:t xml:space="preserve">common</x:t>
        </x:is>
      </x:c>
      <x:c r="AB22" s="5" t="inlineStr">
        <x:is>
          <x:t xml:space="preserve">예</x:t>
        </x:is>
      </x:c>
      <x:c r="AC22" s="8" t="str">
        <x:f>IF(T22&lt;&gt;"","수동확정",IF(X22="검토필요","검토필요",IF(S22="","원본없음","초기완료")))</x:f>
        <x:v>검토필요</x:v>
      </x:c>
      <x:c r="AD22" s="7" t="inlineStr">
        <x:is>
          <x:t xml:space="preserve"/>
        </x:is>
      </x:c>
      <x:c r="AE22" s="5" t="inlineStr">
        <x:is>
          <x:t xml:space="preserve">.tmp/cobblemon-1.7.3-source/common/src/main/resources/data/cobblemon/species/generation1/pidgeot.json</x:t>
        </x:is>
      </x:c>
      <x:c r="AF22" s="5" t="str">
        <x:f>"생활권|"&amp;K22</x:f>
        <x:v>생활권|비행</x:v>
      </x:c>
      <x:c r="AG22" s="5" t="str">
        <x:f>"지형|"&amp;L22</x:f>
        <x:v>지형|수목</x:v>
      </x:c>
      <x:c r="AH22" s="5" t="str">
        <x:f>"온도|"&amp;M22</x:f>
        <x:v>온도|온대</x:v>
      </x:c>
      <x:c r="AI22" s="5" t="str">
        <x:f>"습도|"&amp;N22</x:f>
        <x:v>습도|보통</x:v>
      </x:c>
      <x:c r="AJ22" s="5" t="str">
        <x:f>"날씨|"&amp;O22</x:f>
        <x:v>날씨|무관</x:v>
      </x:c>
      <x:c r="AK22" s="5" t="str">
        <x:f>"특수태그|"&amp;R22</x:f>
        <x:v>특수태그|없음</x:v>
      </x:c>
      <x:c r="AL22" s="5" t="str">
        <x:f>"원본서식지|"&amp;S22</x:f>
        <x:v>원본서식지|숲</x:v>
      </x:c>
      <x:c r="AM22" s="5" t="str">
        <x:f>"타입|"&amp;F22</x:f>
        <x:v>타입|노말</x:v>
      </x:c>
      <x:c r="AN22" s="5" t="str">
        <x:f>"타입|"&amp;G22</x:f>
        <x:v>타입|비행</x:v>
      </x:c>
    </x:row>
    <x:row r="23" ht="24" customHeight="1">
      <x:c r="A23" s="5" t="n">
        <x:v>19</x:v>
      </x:c>
      <x:c r="B23" s="5" t="inlineStr">
        <x:is>
          <x:t xml:space="preserve">꼬렛</x:t>
        </x:is>
      </x:c>
      <x:c r="C23" s="5" t="inlineStr">
        <x:is>
          <x:t xml:space="preserve">rattata</x:t>
        </x:is>
      </x:c>
      <x:c r="D23" s="5" t="inlineStr">
        <x:is>
          <x:t xml:space="preserve">Rattata</x:t>
        </x:is>
      </x:c>
      <x:c r="E23" s="5" t="n">
        <x:v>1</x:v>
      </x:c>
      <x:c r="F23" s="5" t="inlineStr">
        <x:is>
          <x:t xml:space="preserve">노말</x:t>
        </x:is>
      </x:c>
      <x:c r="G23" s="5" t="inlineStr">
        <x:is>
          <x:t xml:space="preserve"/>
        </x:is>
      </x:c>
      <x:c r="H23" s="6" t="n">
        <x:v>3.5</x:v>
      </x:c>
      <x:c r="I23" s="5" t="n">
        <x:v>20</x:v>
      </x:c>
      <x:c r="J23" s="5" t="inlineStr">
        <x:is>
          <x:t xml:space="preserve">기본</x:t>
        </x:is>
      </x:c>
      <x:c r="K23" s="7" t="inlineStr">
        <x:is>
          <x:t xml:space="preserve">육상</x:t>
        </x:is>
      </x:c>
      <x:c r="L23" s="7" t="inlineStr">
        <x:is>
          <x:t xml:space="preserve">특수</x:t>
        </x:is>
      </x:c>
      <x:c r="M23" s="7" t="inlineStr">
        <x:is>
          <x:t xml:space="preserve">온대</x:t>
        </x:is>
      </x:c>
      <x:c r="N23" s="7" t="inlineStr">
        <x:is>
          <x:t xml:space="preserve">보통</x:t>
        </x:is>
      </x:c>
      <x:c r="O23" s="7" t="inlineStr">
        <x:is>
          <x:t xml:space="preserve">무관</x:t>
        </x:is>
      </x:c>
      <x:c r="P23" s="7" t="inlineStr">
        <x:is>
          <x:t xml:space="preserve">밤</x:t>
        </x:is>
      </x:c>
      <x:c r="Q23" s="7" t="inlineStr">
        <x:is>
          <x:t xml:space="preserve">보통</x:t>
        </x:is>
      </x:c>
      <x:c r="R23" s="7" t="inlineStr">
        <x:is>
          <x:t xml:space="preserve">영체</x:t>
        </x:is>
      </x:c>
      <x:c r="S23" s="7" t="inlineStr">
        <x:is>
          <x:t xml:space="preserve">특수</x:t>
        </x:is>
      </x:c>
      <x:c r="T23" s="7" t="inlineStr">
        <x:is>
          <x:t xml:space="preserve"/>
        </x:is>
      </x:c>
      <x:c r="U23" s="8" t="str">
        <x:f>INDEX('서식지_점수'!$E$4:$P$4,1,MATCH(MAX('서식지_점수'!E23:P23),'서식지_점수'!E23:P23,0))</x:f>
        <x:v>평원</x:v>
      </x:c>
      <x:c r="V23" s="8" t="str">
        <x:f>IF(T23&lt;&gt;"",T23,U23)</x:f>
        <x:v>평원</x:v>
      </x:c>
      <x:c r="W23" s="8" t="str">
        <x:f>IFERROR(INDEX('서식지_점수'!$E$4:$P$4,1,MATCH(MAXIFS('서식지_점수'!E23:P23,'서식지_점수'!E23:P23,"&lt;"&amp;MAX('서식지_점수'!E23:P23)),'서식지_점수'!E23:P23,0)),"")</x:f>
        <x:v>숲</x:v>
      </x:c>
      <x:c r="X23" s="8" t="str">
        <x:f>IF(T23&lt;&gt;"","수동확정",IF(MAX('서식지_점수'!E23:P23)-LARGE('서식지_점수'!E23:P23,2)&gt;=15,"높음",IF(MAX('서식지_점수'!E23:P23)-LARGE('서식지_점수'!E23:P23,2)&gt;=8,"보통","검토필요")))</x:f>
        <x:v>검토필요</x:v>
      </x:c>
      <x:c r="Y23" s="9" t="n">
        <x:f>IF(Q23="전설",8,IF(Q23="희귀",7,IF(J23="기본",1,IF(J23="중간",3,IF(J23="최종",IF(I23="",5,IF(I23&lt;=20,3,IF(I23&lt;=35,4,IF(I23&lt;=50,6,7)))),IF(Q23="드묾",4,2))))))</x:f>
        <x:v>1</x:v>
      </x:c>
      <x:c r="Z23" s="5" t="inlineStr">
        <x:is>
          <x:t xml:space="preserve">#cobblemon:is_grassland; #cobblemon:is_overworld; #cobblemon:is_spooky</x:t>
        </x:is>
      </x:c>
      <x:c r="AA23" s="5" t="inlineStr">
        <x:is>
          <x:t xml:space="preserve">common; uncommon</x:t>
        </x:is>
      </x:c>
      <x:c r="AB23" s="5" t="inlineStr">
        <x:is>
          <x:t xml:space="preserve">예</x:t>
        </x:is>
      </x:c>
      <x:c r="AC23" s="8" t="str">
        <x:f>IF(T23&lt;&gt;"","수동확정",IF(X23="검토필요","검토필요",IF(S23="","원본없음","초기완료")))</x:f>
        <x:v>검토필요</x:v>
      </x:c>
      <x:c r="AD23" s="7" t="inlineStr">
        <x:is>
          <x:t xml:space="preserve"/>
        </x:is>
      </x:c>
      <x:c r="AE23" s="5" t="inlineStr">
        <x:is>
          <x:t xml:space="preserve">.tmp/cobblemon-1.7.3-source/common/src/main/resources/data/cobblemon/species/generation1/rattata.json</x:t>
        </x:is>
      </x:c>
      <x:c r="AF23" s="5" t="str">
        <x:f>"생활권|"&amp;K23</x:f>
        <x:v>생활권|육상</x:v>
      </x:c>
      <x:c r="AG23" s="5" t="str">
        <x:f>"지형|"&amp;L23</x:f>
        <x:v>지형|특수</x:v>
      </x:c>
      <x:c r="AH23" s="5" t="str">
        <x:f>"온도|"&amp;M23</x:f>
        <x:v>온도|온대</x:v>
      </x:c>
      <x:c r="AI23" s="5" t="str">
        <x:f>"습도|"&amp;N23</x:f>
        <x:v>습도|보통</x:v>
      </x:c>
      <x:c r="AJ23" s="5" t="str">
        <x:f>"날씨|"&amp;O23</x:f>
        <x:v>날씨|무관</x:v>
      </x:c>
      <x:c r="AK23" s="5" t="str">
        <x:f>"특수태그|"&amp;R23</x:f>
        <x:v>특수태그|영체</x:v>
      </x:c>
      <x:c r="AL23" s="5" t="str">
        <x:f>"원본서식지|"&amp;S23</x:f>
        <x:v>원본서식지|특수</x:v>
      </x:c>
      <x:c r="AM23" s="5" t="str">
        <x:f>"타입|"&amp;F23</x:f>
        <x:v>타입|노말</x:v>
      </x:c>
      <x:c r="AN23" s="5" t="str">
        <x:f>"타입|"&amp;G23</x:f>
        <x:v>타입|</x:v>
      </x:c>
    </x:row>
    <x:row r="24" ht="24" customHeight="1">
      <x:c r="A24" s="5" t="n">
        <x:v>20</x:v>
      </x:c>
      <x:c r="B24" s="5" t="inlineStr">
        <x:is>
          <x:t xml:space="preserve">레트라</x:t>
        </x:is>
      </x:c>
      <x:c r="C24" s="5" t="inlineStr">
        <x:is>
          <x:t xml:space="preserve">raticate</x:t>
        </x:is>
      </x:c>
      <x:c r="D24" s="5" t="inlineStr">
        <x:is>
          <x:t xml:space="preserve">Raticate</x:t>
        </x:is>
      </x:c>
      <x:c r="E24" s="5" t="n">
        <x:v>1</x:v>
      </x:c>
      <x:c r="F24" s="5" t="inlineStr">
        <x:is>
          <x:t xml:space="preserve">노말</x:t>
        </x:is>
      </x:c>
      <x:c r="G24" s="5" t="inlineStr">
        <x:is>
          <x:t xml:space="preserve"/>
        </x:is>
      </x:c>
      <x:c r="H24" s="6" t="n">
        <x:v>18.5</x:v>
      </x:c>
      <x:c r="I24" s="5" t="n">
        <x:v>20</x:v>
      </x:c>
      <x:c r="J24" s="5" t="inlineStr">
        <x:is>
          <x:t xml:space="preserve">최종</x:t>
        </x:is>
      </x:c>
      <x:c r="K24" s="7" t="inlineStr">
        <x:is>
          <x:t xml:space="preserve">육상</x:t>
        </x:is>
      </x:c>
      <x:c r="L24" s="7" t="inlineStr">
        <x:is>
          <x:t xml:space="preserve">특수</x:t>
        </x:is>
      </x:c>
      <x:c r="M24" s="7" t="inlineStr">
        <x:is>
          <x:t xml:space="preserve">온대</x:t>
        </x:is>
      </x:c>
      <x:c r="N24" s="7" t="inlineStr">
        <x:is>
          <x:t xml:space="preserve">보통</x:t>
        </x:is>
      </x:c>
      <x:c r="O24" s="7" t="inlineStr">
        <x:is>
          <x:t xml:space="preserve">무관</x:t>
        </x:is>
      </x:c>
      <x:c r="P24" s="7" t="inlineStr">
        <x:is>
          <x:t xml:space="preserve">밤</x:t>
        </x:is>
      </x:c>
      <x:c r="Q24" s="7" t="inlineStr">
        <x:is>
          <x:t xml:space="preserve">보통</x:t>
        </x:is>
      </x:c>
      <x:c r="R24" s="7" t="inlineStr">
        <x:is>
          <x:t xml:space="preserve">영체</x:t>
        </x:is>
      </x:c>
      <x:c r="S24" s="7" t="inlineStr">
        <x:is>
          <x:t xml:space="preserve">특수</x:t>
        </x:is>
      </x:c>
      <x:c r="T24" s="7" t="inlineStr">
        <x:is>
          <x:t xml:space="preserve"/>
        </x:is>
      </x:c>
      <x:c r="U24" s="8" t="str">
        <x:f>INDEX('서식지_점수'!$E$4:$P$4,1,MATCH(MAX('서식지_점수'!E24:P24),'서식지_점수'!E24:P24,0))</x:f>
        <x:v>평원</x:v>
      </x:c>
      <x:c r="V24" s="8" t="str">
        <x:f>IF(T24&lt;&gt;"",T24,U24)</x:f>
        <x:v>평원</x:v>
      </x:c>
      <x:c r="W24" s="8" t="str">
        <x:f>IFERROR(INDEX('서식지_점수'!$E$4:$P$4,1,MATCH(MAXIFS('서식지_점수'!E24:P24,'서식지_점수'!E24:P24,"&lt;"&amp;MAX('서식지_점수'!E24:P24)),'서식지_점수'!E24:P24,0)),"")</x:f>
        <x:v>숲</x:v>
      </x:c>
      <x:c r="X24" s="8" t="str">
        <x:f>IF(T24&lt;&gt;"","수동확정",IF(MAX('서식지_점수'!E24:P24)-LARGE('서식지_점수'!E24:P24,2)&gt;=15,"높음",IF(MAX('서식지_점수'!E24:P24)-LARGE('서식지_점수'!E24:P24,2)&gt;=8,"보통","검토필요")))</x:f>
        <x:v>검토필요</x:v>
      </x:c>
      <x:c r="Y24" s="9" t="n">
        <x:f>IF(Q24="전설",8,IF(Q24="희귀",7,IF(J24="기본",1,IF(J24="중간",3,IF(J24="최종",IF(I24="",5,IF(I24&lt;=20,3,IF(I24&lt;=35,4,IF(I24&lt;=50,6,7)))),IF(Q24="드묾",4,2))))))</x:f>
        <x:v>3</x:v>
      </x:c>
      <x:c r="Z24" s="5" t="inlineStr">
        <x:is>
          <x:t xml:space="preserve">#cobblemon:is_grassland; #cobblemon:is_overworld; #cobblemon:is_spooky</x:t>
        </x:is>
      </x:c>
      <x:c r="AA24" s="5" t="inlineStr">
        <x:is>
          <x:t xml:space="preserve">common; uncommon</x:t>
        </x:is>
      </x:c>
      <x:c r="AB24" s="5" t="inlineStr">
        <x:is>
          <x:t xml:space="preserve">예</x:t>
        </x:is>
      </x:c>
      <x:c r="AC24" s="8" t="str">
        <x:f>IF(T24&lt;&gt;"","수동확정",IF(X24="검토필요","검토필요",IF(S24="","원본없음","초기완료")))</x:f>
        <x:v>검토필요</x:v>
      </x:c>
      <x:c r="AD24" s="7" t="inlineStr">
        <x:is>
          <x:t xml:space="preserve"/>
        </x:is>
      </x:c>
      <x:c r="AE24" s="5" t="inlineStr">
        <x:is>
          <x:t xml:space="preserve">.tmp/cobblemon-1.7.3-source/common/src/main/resources/data/cobblemon/species/generation1/raticate.json</x:t>
        </x:is>
      </x:c>
      <x:c r="AF24" s="5" t="str">
        <x:f>"생활권|"&amp;K24</x:f>
        <x:v>생활권|육상</x:v>
      </x:c>
      <x:c r="AG24" s="5" t="str">
        <x:f>"지형|"&amp;L24</x:f>
        <x:v>지형|특수</x:v>
      </x:c>
      <x:c r="AH24" s="5" t="str">
        <x:f>"온도|"&amp;M24</x:f>
        <x:v>온도|온대</x:v>
      </x:c>
      <x:c r="AI24" s="5" t="str">
        <x:f>"습도|"&amp;N24</x:f>
        <x:v>습도|보통</x:v>
      </x:c>
      <x:c r="AJ24" s="5" t="str">
        <x:f>"날씨|"&amp;O24</x:f>
        <x:v>날씨|무관</x:v>
      </x:c>
      <x:c r="AK24" s="5" t="str">
        <x:f>"특수태그|"&amp;R24</x:f>
        <x:v>특수태그|영체</x:v>
      </x:c>
      <x:c r="AL24" s="5" t="str">
        <x:f>"원본서식지|"&amp;S24</x:f>
        <x:v>원본서식지|특수</x:v>
      </x:c>
      <x:c r="AM24" s="5" t="str">
        <x:f>"타입|"&amp;F24</x:f>
        <x:v>타입|노말</x:v>
      </x:c>
      <x:c r="AN24" s="5" t="str">
        <x:f>"타입|"&amp;G24</x:f>
        <x:v>타입|</x:v>
      </x:c>
    </x:row>
    <x:row r="25" ht="24" customHeight="1">
      <x:c r="A25" s="5" t="n">
        <x:v>21</x:v>
      </x:c>
      <x:c r="B25" s="5" t="inlineStr">
        <x:is>
          <x:t xml:space="preserve">깨비참</x:t>
        </x:is>
      </x:c>
      <x:c r="C25" s="5" t="inlineStr">
        <x:is>
          <x:t xml:space="preserve">spearow</x:t>
        </x:is>
      </x:c>
      <x:c r="D25" s="5" t="inlineStr">
        <x:is>
          <x:t xml:space="preserve">Spearow</x:t>
        </x:is>
      </x:c>
      <x:c r="E25" s="5" t="n">
        <x:v>1</x:v>
      </x:c>
      <x:c r="F25" s="5" t="inlineStr">
        <x:is>
          <x:t xml:space="preserve">노말</x:t>
        </x:is>
      </x:c>
      <x:c r="G25" s="5" t="inlineStr">
        <x:is>
          <x:t xml:space="preserve">비행</x:t>
        </x:is>
      </x:c>
      <x:c r="H25" s="6" t="n">
        <x:v>2</x:v>
      </x:c>
      <x:c r="I25" s="5" t="n">
        <x:v>20</x:v>
      </x:c>
      <x:c r="J25" s="5" t="inlineStr">
        <x:is>
          <x:t xml:space="preserve">기본</x:t>
        </x:is>
      </x:c>
      <x:c r="K25" s="7" t="inlineStr">
        <x:is>
          <x:t xml:space="preserve">비행</x:t>
        </x:is>
      </x:c>
      <x:c r="L25" s="7" t="inlineStr">
        <x:is>
          <x:t xml:space="preserve">건조</x:t>
        </x:is>
      </x:c>
      <x:c r="M25" s="7" t="inlineStr">
        <x:is>
          <x:t xml:space="preserve">고온</x:t>
        </x:is>
      </x:c>
      <x:c r="N25" s="7" t="inlineStr">
        <x:is>
          <x:t xml:space="preserve">건조</x:t>
        </x:is>
      </x:c>
      <x:c r="O25" s="7" t="inlineStr">
        <x:is>
          <x:t xml:space="preserve">맑음</x:t>
        </x:is>
      </x:c>
      <x:c r="P25" s="7" t="inlineStr">
        <x:is>
          <x:t xml:space="preserve">낮</x:t>
        </x:is>
      </x:c>
      <x:c r="Q25" s="7" t="inlineStr">
        <x:is>
          <x:t xml:space="preserve">흔함</x:t>
        </x:is>
      </x:c>
      <x:c r="R25" s="7" t="inlineStr">
        <x:is>
          <x:t xml:space="preserve">없음</x:t>
        </x:is>
      </x:c>
      <x:c r="S25" s="7" t="inlineStr">
        <x:is>
          <x:t xml:space="preserve">건조지</x:t>
        </x:is>
      </x:c>
      <x:c r="T25" s="7" t="inlineStr">
        <x:is>
          <x:t xml:space="preserve"/>
        </x:is>
      </x:c>
      <x:c r="U25" s="8" t="str">
        <x:f>INDEX('서식지_점수'!$E$4:$P$4,1,MATCH(MAX('서식지_점수'!E25:P25),'서식지_점수'!E25:P25,0))</x:f>
        <x:v>산악</x:v>
      </x:c>
      <x:c r="V25" s="8" t="str">
        <x:f>IF(T25&lt;&gt;"",T25,U25)</x:f>
        <x:v>산악</x:v>
      </x:c>
      <x:c r="W25" s="8" t="str">
        <x:f>IFERROR(INDEX('서식지_점수'!$E$4:$P$4,1,MATCH(MAXIFS('서식지_점수'!E25:P25,'서식지_점수'!E25:P25,"&lt;"&amp;MAX('서식지_점수'!E25:P25)),'서식지_점수'!E25:P25,0)),"")</x:f>
        <x:v>평원</x:v>
      </x:c>
      <x:c r="X25" s="8" t="str">
        <x:f>IF(T25&lt;&gt;"","수동확정",IF(MAX('서식지_점수'!E25:P25)-LARGE('서식지_점수'!E25:P25,2)&gt;=15,"높음",IF(MAX('서식지_점수'!E25:P25)-LARGE('서식지_점수'!E25:P25,2)&gt;=8,"보통","검토필요")))</x:f>
        <x:v>검토필요</x:v>
      </x:c>
      <x:c r="Y25" s="9" t="n">
        <x:f>IF(Q25="전설",8,IF(Q25="희귀",7,IF(J25="기본",1,IF(J25="중간",3,IF(J25="최종",IF(I25="",5,IF(I25&lt;=20,3,IF(I25&lt;=35,4,IF(I25&lt;=50,6,7)))),IF(Q25="드묾",4,2))))))</x:f>
        <x:v>1</x:v>
      </x:c>
      <x:c r="Z25" s="5" t="inlineStr">
        <x:is>
          <x:t xml:space="preserve">#cobblemon:is_badlands; #cobblemon:is_savanna; #cobblemon:is_sky</x:t>
        </x:is>
      </x:c>
      <x:c r="AA25" s="5" t="inlineStr">
        <x:is>
          <x:t xml:space="preserve">common</x:t>
        </x:is>
      </x:c>
      <x:c r="AB25" s="5" t="inlineStr">
        <x:is>
          <x:t xml:space="preserve">예</x:t>
        </x:is>
      </x:c>
      <x:c r="AC25" s="8" t="str">
        <x:f>IF(T25&lt;&gt;"","수동확정",IF(X25="검토필요","검토필요",IF(S25="","원본없음","초기완료")))</x:f>
        <x:v>검토필요</x:v>
      </x:c>
      <x:c r="AD25" s="7" t="inlineStr">
        <x:is>
          <x:t xml:space="preserve"/>
        </x:is>
      </x:c>
      <x:c r="AE25" s="5" t="inlineStr">
        <x:is>
          <x:t xml:space="preserve">.tmp/cobblemon-1.7.3-source/common/src/main/resources/data/cobblemon/species/generation1/spearow.json</x:t>
        </x:is>
      </x:c>
      <x:c r="AF25" s="5" t="str">
        <x:f>"생활권|"&amp;K25</x:f>
        <x:v>생활권|비행</x:v>
      </x:c>
      <x:c r="AG25" s="5" t="str">
        <x:f>"지형|"&amp;L25</x:f>
        <x:v>지형|건조</x:v>
      </x:c>
      <x:c r="AH25" s="5" t="str">
        <x:f>"온도|"&amp;M25</x:f>
        <x:v>온도|고온</x:v>
      </x:c>
      <x:c r="AI25" s="5" t="str">
        <x:f>"습도|"&amp;N25</x:f>
        <x:v>습도|건조</x:v>
      </x:c>
      <x:c r="AJ25" s="5" t="str">
        <x:f>"날씨|"&amp;O25</x:f>
        <x:v>날씨|맑음</x:v>
      </x:c>
      <x:c r="AK25" s="5" t="str">
        <x:f>"특수태그|"&amp;R25</x:f>
        <x:v>특수태그|없음</x:v>
      </x:c>
      <x:c r="AL25" s="5" t="str">
        <x:f>"원본서식지|"&amp;S25</x:f>
        <x:v>원본서식지|건조지</x:v>
      </x:c>
      <x:c r="AM25" s="5" t="str">
        <x:f>"타입|"&amp;F25</x:f>
        <x:v>타입|노말</x:v>
      </x:c>
      <x:c r="AN25" s="5" t="str">
        <x:f>"타입|"&amp;G25</x:f>
        <x:v>타입|비행</x:v>
      </x:c>
    </x:row>
    <x:row r="26" ht="24" customHeight="1">
      <x:c r="A26" s="5" t="n">
        <x:v>22</x:v>
      </x:c>
      <x:c r="B26" s="5" t="inlineStr">
        <x:is>
          <x:t xml:space="preserve">깨비드릴조</x:t>
        </x:is>
      </x:c>
      <x:c r="C26" s="5" t="inlineStr">
        <x:is>
          <x:t xml:space="preserve">fearow</x:t>
        </x:is>
      </x:c>
      <x:c r="D26" s="5" t="inlineStr">
        <x:is>
          <x:t xml:space="preserve">Fearow</x:t>
        </x:is>
      </x:c>
      <x:c r="E26" s="5" t="n">
        <x:v>1</x:v>
      </x:c>
      <x:c r="F26" s="5" t="inlineStr">
        <x:is>
          <x:t xml:space="preserve">노말</x:t>
        </x:is>
      </x:c>
      <x:c r="G26" s="5" t="inlineStr">
        <x:is>
          <x:t xml:space="preserve">비행</x:t>
        </x:is>
      </x:c>
      <x:c r="H26" s="6" t="n">
        <x:v>38</x:v>
      </x:c>
      <x:c r="I26" s="5" t="n">
        <x:v>20</x:v>
      </x:c>
      <x:c r="J26" s="5" t="inlineStr">
        <x:is>
          <x:t xml:space="preserve">최종</x:t>
        </x:is>
      </x:c>
      <x:c r="K26" s="7" t="inlineStr">
        <x:is>
          <x:t xml:space="preserve">비행</x:t>
        </x:is>
      </x:c>
      <x:c r="L26" s="7" t="inlineStr">
        <x:is>
          <x:t xml:space="preserve">건조</x:t>
        </x:is>
      </x:c>
      <x:c r="M26" s="7" t="inlineStr">
        <x:is>
          <x:t xml:space="preserve">고온</x:t>
        </x:is>
      </x:c>
      <x:c r="N26" s="7" t="inlineStr">
        <x:is>
          <x:t xml:space="preserve">건조</x:t>
        </x:is>
      </x:c>
      <x:c r="O26" s="7" t="inlineStr">
        <x:is>
          <x:t xml:space="preserve">맑음</x:t>
        </x:is>
      </x:c>
      <x:c r="P26" s="7" t="inlineStr">
        <x:is>
          <x:t xml:space="preserve">낮</x:t>
        </x:is>
      </x:c>
      <x:c r="Q26" s="7" t="inlineStr">
        <x:is>
          <x:t xml:space="preserve">흔함</x:t>
        </x:is>
      </x:c>
      <x:c r="R26" s="7" t="inlineStr">
        <x:is>
          <x:t xml:space="preserve">없음</x:t>
        </x:is>
      </x:c>
      <x:c r="S26" s="7" t="inlineStr">
        <x:is>
          <x:t xml:space="preserve">건조지</x:t>
        </x:is>
      </x:c>
      <x:c r="T26" s="7" t="inlineStr">
        <x:is>
          <x:t xml:space="preserve"/>
        </x:is>
      </x:c>
      <x:c r="U26" s="8" t="str">
        <x:f>INDEX('서식지_점수'!$E$4:$P$4,1,MATCH(MAX('서식지_점수'!E26:P26),'서식지_점수'!E26:P26,0))</x:f>
        <x:v>산악</x:v>
      </x:c>
      <x:c r="V26" s="8" t="str">
        <x:f>IF(T26&lt;&gt;"",T26,U26)</x:f>
        <x:v>산악</x:v>
      </x:c>
      <x:c r="W26" s="8" t="str">
        <x:f>IFERROR(INDEX('서식지_점수'!$E$4:$P$4,1,MATCH(MAXIFS('서식지_점수'!E26:P26,'서식지_점수'!E26:P26,"&lt;"&amp;MAX('서식지_점수'!E26:P26)),'서식지_점수'!E26:P26,0)),"")</x:f>
        <x:v>평원</x:v>
      </x:c>
      <x:c r="X26" s="8" t="str">
        <x:f>IF(T26&lt;&gt;"","수동확정",IF(MAX('서식지_점수'!E26:P26)-LARGE('서식지_점수'!E26:P26,2)&gt;=15,"높음",IF(MAX('서식지_점수'!E26:P26)-LARGE('서식지_점수'!E26:P26,2)&gt;=8,"보통","검토필요")))</x:f>
        <x:v>검토필요</x:v>
      </x:c>
      <x:c r="Y26" s="9" t="n">
        <x:f>IF(Q26="전설",8,IF(Q26="희귀",7,IF(J26="기본",1,IF(J26="중간",3,IF(J26="최종",IF(I26="",5,IF(I26&lt;=20,3,IF(I26&lt;=35,4,IF(I26&lt;=50,6,7)))),IF(Q26="드묾",4,2))))))</x:f>
        <x:v>3</x:v>
      </x:c>
      <x:c r="Z26" s="5" t="inlineStr">
        <x:is>
          <x:t xml:space="preserve">#cobblemon:is_badlands; #cobblemon:is_savanna; #cobblemon:is_sky</x:t>
        </x:is>
      </x:c>
      <x:c r="AA26" s="5" t="inlineStr">
        <x:is>
          <x:t xml:space="preserve">common</x:t>
        </x:is>
      </x:c>
      <x:c r="AB26" s="5" t="inlineStr">
        <x:is>
          <x:t xml:space="preserve">예</x:t>
        </x:is>
      </x:c>
      <x:c r="AC26" s="8" t="str">
        <x:f>IF(T26&lt;&gt;"","수동확정",IF(X26="검토필요","검토필요",IF(S26="","원본없음","초기완료")))</x:f>
        <x:v>검토필요</x:v>
      </x:c>
      <x:c r="AD26" s="7" t="inlineStr">
        <x:is>
          <x:t xml:space="preserve"/>
        </x:is>
      </x:c>
      <x:c r="AE26" s="5" t="inlineStr">
        <x:is>
          <x:t xml:space="preserve">.tmp/cobblemon-1.7.3-source/common/src/main/resources/data/cobblemon/species/generation1/fearow.json</x:t>
        </x:is>
      </x:c>
      <x:c r="AF26" s="5" t="str">
        <x:f>"생활권|"&amp;K26</x:f>
        <x:v>생활권|비행</x:v>
      </x:c>
      <x:c r="AG26" s="5" t="str">
        <x:f>"지형|"&amp;L26</x:f>
        <x:v>지형|건조</x:v>
      </x:c>
      <x:c r="AH26" s="5" t="str">
        <x:f>"온도|"&amp;M26</x:f>
        <x:v>온도|고온</x:v>
      </x:c>
      <x:c r="AI26" s="5" t="str">
        <x:f>"습도|"&amp;N26</x:f>
        <x:v>습도|건조</x:v>
      </x:c>
      <x:c r="AJ26" s="5" t="str">
        <x:f>"날씨|"&amp;O26</x:f>
        <x:v>날씨|맑음</x:v>
      </x:c>
      <x:c r="AK26" s="5" t="str">
        <x:f>"특수태그|"&amp;R26</x:f>
        <x:v>특수태그|없음</x:v>
      </x:c>
      <x:c r="AL26" s="5" t="str">
        <x:f>"원본서식지|"&amp;S26</x:f>
        <x:v>원본서식지|건조지</x:v>
      </x:c>
      <x:c r="AM26" s="5" t="str">
        <x:f>"타입|"&amp;F26</x:f>
        <x:v>타입|노말</x:v>
      </x:c>
      <x:c r="AN26" s="5" t="str">
        <x:f>"타입|"&amp;G26</x:f>
        <x:v>타입|비행</x:v>
      </x:c>
    </x:row>
    <x:row r="27" ht="24" customHeight="1">
      <x:c r="A27" s="5" t="n">
        <x:v>23</x:v>
      </x:c>
      <x:c r="B27" s="5" t="inlineStr">
        <x:is>
          <x:t xml:space="preserve">아보</x:t>
        </x:is>
      </x:c>
      <x:c r="C27" s="5" t="inlineStr">
        <x:is>
          <x:t xml:space="preserve">ekans</x:t>
        </x:is>
      </x:c>
      <x:c r="D27" s="5" t="inlineStr">
        <x:is>
          <x:t xml:space="preserve">Ekans</x:t>
        </x:is>
      </x:c>
      <x:c r="E27" s="5" t="n">
        <x:v>1</x:v>
      </x:c>
      <x:c r="F27" s="5" t="inlineStr">
        <x:is>
          <x:t xml:space="preserve">독</x:t>
        </x:is>
      </x:c>
      <x:c r="G27" s="5" t="inlineStr">
        <x:is>
          <x:t xml:space="preserve"/>
        </x:is>
      </x:c>
      <x:c r="H27" s="6" t="n">
        <x:v>6.9</x:v>
      </x:c>
      <x:c r="I27" s="5" t="n">
        <x:v>22</x:v>
      </x:c>
      <x:c r="J27" s="5" t="inlineStr">
        <x:is>
          <x:t xml:space="preserve">기본</x:t>
        </x:is>
      </x:c>
      <x:c r="K27" s="7" t="inlineStr">
        <x:is>
          <x:t xml:space="preserve">육상</x:t>
        </x:is>
      </x:c>
      <x:c r="L27" s="7" t="inlineStr">
        <x:is>
          <x:t xml:space="preserve">동굴</x:t>
        </x:is>
      </x:c>
      <x:c r="M27" s="7" t="inlineStr">
        <x:is>
          <x:t xml:space="preserve">온대</x:t>
        </x:is>
      </x:c>
      <x:c r="N27" s="7" t="inlineStr">
        <x:is>
          <x:t xml:space="preserve">보통</x:t>
        </x:is>
      </x:c>
      <x:c r="O27" s="7" t="inlineStr">
        <x:is>
          <x:t xml:space="preserve">무관</x:t>
        </x:is>
      </x:c>
      <x:c r="P27" s="7" t="inlineStr">
        <x:is>
          <x:t xml:space="preserve">무관</x:t>
        </x:is>
      </x:c>
      <x:c r="Q27" s="7" t="inlineStr">
        <x:is>
          <x:t xml:space="preserve">흔함</x:t>
        </x:is>
      </x:c>
      <x:c r="R27" s="7" t="inlineStr">
        <x:is>
          <x:t xml:space="preserve">동굴</x:t>
        </x:is>
      </x:c>
      <x:c r="S27" s="7" t="inlineStr">
        <x:is>
          <x:t xml:space="preserve">동굴</x:t>
        </x:is>
      </x:c>
      <x:c r="T27" s="7" t="inlineStr">
        <x:is>
          <x:t xml:space="preserve"/>
        </x:is>
      </x:c>
      <x:c r="U27" s="8" t="str">
        <x:f>INDEX('서식지_점수'!$E$4:$P$4,1,MATCH(MAX('서식지_점수'!E27:P27),'서식지_점수'!E27:P27,0))</x:f>
        <x:v>평원</x:v>
      </x:c>
      <x:c r="V27" s="8" t="str">
        <x:f>IF(T27&lt;&gt;"",T27,U27)</x:f>
        <x:v>평원</x:v>
      </x:c>
      <x:c r="W27" s="8" t="str">
        <x:f>IFERROR(INDEX('서식지_점수'!$E$4:$P$4,1,MATCH(MAXIFS('서식지_점수'!E27:P27,'서식지_점수'!E27:P27,"&lt;"&amp;MAX('서식지_점수'!E27:P27)),'서식지_점수'!E27:P27,0)),"")</x:f>
        <x:v>숲</x:v>
      </x:c>
      <x:c r="X27" s="8" t="str">
        <x:f>IF(T27&lt;&gt;"","수동확정",IF(MAX('서식지_점수'!E27:P27)-LARGE('서식지_점수'!E27:P27,2)&gt;=15,"높음",IF(MAX('서식지_점수'!E27:P27)-LARGE('서식지_점수'!E27:P27,2)&gt;=8,"보통","검토필요")))</x:f>
        <x:v>검토필요</x:v>
      </x:c>
      <x:c r="Y27" s="9" t="n">
        <x:f>IF(Q27="전설",8,IF(Q27="희귀",7,IF(J27="기본",1,IF(J27="중간",3,IF(J27="최종",IF(I27="",5,IF(I27&lt;=20,3,IF(I27&lt;=35,4,IF(I27&lt;=50,6,7)))),IF(Q27="드묾",4,2))))))</x:f>
        <x:v>1</x:v>
      </x:c>
      <x:c r="Z27" s="5" t="inlineStr">
        <x:is>
          <x:t xml:space="preserve">#cobblemon:is_arid; minecraft:deep_dark</x:t>
        </x:is>
      </x:c>
      <x:c r="AA27" s="5" t="inlineStr">
        <x:is>
          <x:t xml:space="preserve">common</x:t>
        </x:is>
      </x:c>
      <x:c r="AB27" s="5" t="inlineStr">
        <x:is>
          <x:t xml:space="preserve">예</x:t>
        </x:is>
      </x:c>
      <x:c r="AC27" s="8" t="str">
        <x:f>IF(T27&lt;&gt;"","수동확정",IF(X27="검토필요","검토필요",IF(S27="","원본없음","초기완료")))</x:f>
        <x:v>검토필요</x:v>
      </x:c>
      <x:c r="AD27" s="7" t="inlineStr">
        <x:is>
          <x:t xml:space="preserve"/>
        </x:is>
      </x:c>
      <x:c r="AE27" s="5" t="inlineStr">
        <x:is>
          <x:t xml:space="preserve">.tmp/cobblemon-1.7.3-source/common/src/main/resources/data/cobblemon/species/generation1/ekans.json</x:t>
        </x:is>
      </x:c>
      <x:c r="AF27" s="5" t="str">
        <x:f>"생활권|"&amp;K27</x:f>
        <x:v>생활권|육상</x:v>
      </x:c>
      <x:c r="AG27" s="5" t="str">
        <x:f>"지형|"&amp;L27</x:f>
        <x:v>지형|동굴</x:v>
      </x:c>
      <x:c r="AH27" s="5" t="str">
        <x:f>"온도|"&amp;M27</x:f>
        <x:v>온도|온대</x:v>
      </x:c>
      <x:c r="AI27" s="5" t="str">
        <x:f>"습도|"&amp;N27</x:f>
        <x:v>습도|보통</x:v>
      </x:c>
      <x:c r="AJ27" s="5" t="str">
        <x:f>"날씨|"&amp;O27</x:f>
        <x:v>날씨|무관</x:v>
      </x:c>
      <x:c r="AK27" s="5" t="str">
        <x:f>"특수태그|"&amp;R27</x:f>
        <x:v>특수태그|동굴</x:v>
      </x:c>
      <x:c r="AL27" s="5" t="str">
        <x:f>"원본서식지|"&amp;S27</x:f>
        <x:v>원본서식지|동굴</x:v>
      </x:c>
      <x:c r="AM27" s="5" t="str">
        <x:f>"타입|"&amp;F27</x:f>
        <x:v>타입|독</x:v>
      </x:c>
      <x:c r="AN27" s="5" t="str">
        <x:f>"타입|"&amp;G27</x:f>
        <x:v>타입|</x:v>
      </x:c>
    </x:row>
    <x:row r="28" ht="24" customHeight="1">
      <x:c r="A28" s="5" t="n">
        <x:v>24</x:v>
      </x:c>
      <x:c r="B28" s="5" t="inlineStr">
        <x:is>
          <x:t xml:space="preserve">아보크</x:t>
        </x:is>
      </x:c>
      <x:c r="C28" s="5" t="inlineStr">
        <x:is>
          <x:t xml:space="preserve">arbok</x:t>
        </x:is>
      </x:c>
      <x:c r="D28" s="5" t="inlineStr">
        <x:is>
          <x:t xml:space="preserve">Arbok</x:t>
        </x:is>
      </x:c>
      <x:c r="E28" s="5" t="n">
        <x:v>1</x:v>
      </x:c>
      <x:c r="F28" s="5" t="inlineStr">
        <x:is>
          <x:t xml:space="preserve">독</x:t>
        </x:is>
      </x:c>
      <x:c r="G28" s="5" t="inlineStr">
        <x:is>
          <x:t xml:space="preserve"/>
        </x:is>
      </x:c>
      <x:c r="H28" s="6" t="n">
        <x:v>65</x:v>
      </x:c>
      <x:c r="I28" s="5" t="n">
        <x:v>22</x:v>
      </x:c>
      <x:c r="J28" s="5" t="inlineStr">
        <x:is>
          <x:t xml:space="preserve">최종</x:t>
        </x:is>
      </x:c>
      <x:c r="K28" s="7" t="inlineStr">
        <x:is>
          <x:t xml:space="preserve">육상</x:t>
        </x:is>
      </x:c>
      <x:c r="L28" s="7" t="inlineStr">
        <x:is>
          <x:t xml:space="preserve">동굴</x:t>
        </x:is>
      </x:c>
      <x:c r="M28" s="7" t="inlineStr">
        <x:is>
          <x:t xml:space="preserve">온대</x:t>
        </x:is>
      </x:c>
      <x:c r="N28" s="7" t="inlineStr">
        <x:is>
          <x:t xml:space="preserve">보통</x:t>
        </x:is>
      </x:c>
      <x:c r="O28" s="7" t="inlineStr">
        <x:is>
          <x:t xml:space="preserve">무관</x:t>
        </x:is>
      </x:c>
      <x:c r="P28" s="7" t="inlineStr">
        <x:is>
          <x:t xml:space="preserve">무관</x:t>
        </x:is>
      </x:c>
      <x:c r="Q28" s="7" t="inlineStr">
        <x:is>
          <x:t xml:space="preserve">흔함</x:t>
        </x:is>
      </x:c>
      <x:c r="R28" s="7" t="inlineStr">
        <x:is>
          <x:t xml:space="preserve">동굴</x:t>
        </x:is>
      </x:c>
      <x:c r="S28" s="7" t="inlineStr">
        <x:is>
          <x:t xml:space="preserve">동굴</x:t>
        </x:is>
      </x:c>
      <x:c r="T28" s="7" t="inlineStr">
        <x:is>
          <x:t xml:space="preserve"/>
        </x:is>
      </x:c>
      <x:c r="U28" s="8" t="str">
        <x:f>INDEX('서식지_점수'!$E$4:$P$4,1,MATCH(MAX('서식지_점수'!E28:P28),'서식지_점수'!E28:P28,0))</x:f>
        <x:v>평원</x:v>
      </x:c>
      <x:c r="V28" s="8" t="str">
        <x:f>IF(T28&lt;&gt;"",T28,U28)</x:f>
        <x:v>평원</x:v>
      </x:c>
      <x:c r="W28" s="8" t="str">
        <x:f>IFERROR(INDEX('서식지_점수'!$E$4:$P$4,1,MATCH(MAXIFS('서식지_점수'!E28:P28,'서식지_점수'!E28:P28,"&lt;"&amp;MAX('서식지_점수'!E28:P28)),'서식지_점수'!E28:P28,0)),"")</x:f>
        <x:v>숲</x:v>
      </x:c>
      <x:c r="X28" s="8" t="str">
        <x:f>IF(T28&lt;&gt;"","수동확정",IF(MAX('서식지_점수'!E28:P28)-LARGE('서식지_점수'!E28:P28,2)&gt;=15,"높음",IF(MAX('서식지_점수'!E28:P28)-LARGE('서식지_점수'!E28:P28,2)&gt;=8,"보통","검토필요")))</x:f>
        <x:v>검토필요</x:v>
      </x:c>
      <x:c r="Y28" s="9" t="n">
        <x:f>IF(Q28="전설",8,IF(Q28="희귀",7,IF(J28="기본",1,IF(J28="중간",3,IF(J28="최종",IF(I28="",5,IF(I28&lt;=20,3,IF(I28&lt;=35,4,IF(I28&lt;=50,6,7)))),IF(Q28="드묾",4,2))))))</x:f>
        <x:v>4</x:v>
      </x:c>
      <x:c r="Z28" s="5" t="inlineStr">
        <x:is>
          <x:t xml:space="preserve">#cobblemon:is_arid; minecraft:deep_dark</x:t>
        </x:is>
      </x:c>
      <x:c r="AA28" s="5" t="inlineStr">
        <x:is>
          <x:t xml:space="preserve">common</x:t>
        </x:is>
      </x:c>
      <x:c r="AB28" s="5" t="inlineStr">
        <x:is>
          <x:t xml:space="preserve">예</x:t>
        </x:is>
      </x:c>
      <x:c r="AC28" s="8" t="str">
        <x:f>IF(T28&lt;&gt;"","수동확정",IF(X28="검토필요","검토필요",IF(S28="","원본없음","초기완료")))</x:f>
        <x:v>검토필요</x:v>
      </x:c>
      <x:c r="AD28" s="7" t="inlineStr">
        <x:is>
          <x:t xml:space="preserve"/>
        </x:is>
      </x:c>
      <x:c r="AE28" s="5" t="inlineStr">
        <x:is>
          <x:t xml:space="preserve">.tmp/cobblemon-1.7.3-source/common/src/main/resources/data/cobblemon/species/generation1/arbok.json</x:t>
        </x:is>
      </x:c>
      <x:c r="AF28" s="5" t="str">
        <x:f>"생활권|"&amp;K28</x:f>
        <x:v>생활권|육상</x:v>
      </x:c>
      <x:c r="AG28" s="5" t="str">
        <x:f>"지형|"&amp;L28</x:f>
        <x:v>지형|동굴</x:v>
      </x:c>
      <x:c r="AH28" s="5" t="str">
        <x:f>"온도|"&amp;M28</x:f>
        <x:v>온도|온대</x:v>
      </x:c>
      <x:c r="AI28" s="5" t="str">
        <x:f>"습도|"&amp;N28</x:f>
        <x:v>습도|보통</x:v>
      </x:c>
      <x:c r="AJ28" s="5" t="str">
        <x:f>"날씨|"&amp;O28</x:f>
        <x:v>날씨|무관</x:v>
      </x:c>
      <x:c r="AK28" s="5" t="str">
        <x:f>"특수태그|"&amp;R28</x:f>
        <x:v>특수태그|동굴</x:v>
      </x:c>
      <x:c r="AL28" s="5" t="str">
        <x:f>"원본서식지|"&amp;S28</x:f>
        <x:v>원본서식지|동굴</x:v>
      </x:c>
      <x:c r="AM28" s="5" t="str">
        <x:f>"타입|"&amp;F28</x:f>
        <x:v>타입|독</x:v>
      </x:c>
      <x:c r="AN28" s="5" t="str">
        <x:f>"타입|"&amp;G28</x:f>
        <x:v>타입|</x:v>
      </x:c>
    </x:row>
    <x:row r="29" ht="24" customHeight="1">
      <x:c r="A29" s="5" t="n">
        <x:v>25</x:v>
      </x:c>
      <x:c r="B29" s="5" t="inlineStr">
        <x:is>
          <x:t xml:space="preserve">피카츄</x:t>
        </x:is>
      </x:c>
      <x:c r="C29" s="5" t="inlineStr">
        <x:is>
          <x:t xml:space="preserve">pikachu</x:t>
        </x:is>
      </x:c>
      <x:c r="D29" s="5" t="inlineStr">
        <x:is>
          <x:t xml:space="preserve">Pikachu</x:t>
        </x:is>
      </x:c>
      <x:c r="E29" s="5" t="n">
        <x:v>1</x:v>
      </x:c>
      <x:c r="F29" s="5" t="inlineStr">
        <x:is>
          <x:t xml:space="preserve">전기</x:t>
        </x:is>
      </x:c>
      <x:c r="G29" s="5" t="inlineStr">
        <x:is>
          <x:t xml:space="preserve"/>
        </x:is>
      </x:c>
      <x:c r="H29" s="6" t="n">
        <x:v>6</x:v>
      </x:c>
      <x:c r="I29" s="5" t="n"/>
      <x:c r="J29" s="5" t="inlineStr">
        <x:is>
          <x:t xml:space="preserve">중간</x:t>
        </x:is>
      </x:c>
      <x:c r="K29" s="7" t="inlineStr">
        <x:is>
          <x:t xml:space="preserve">육상</x:t>
        </x:is>
      </x:c>
      <x:c r="L29" s="7" t="inlineStr">
        <x:is>
          <x:t xml:space="preserve">수목</x:t>
        </x:is>
      </x:c>
      <x:c r="M29" s="7" t="inlineStr">
        <x:is>
          <x:t xml:space="preserve">온대</x:t>
        </x:is>
      </x:c>
      <x:c r="N29" s="7" t="inlineStr">
        <x:is>
          <x:t xml:space="preserve">다습</x:t>
        </x:is>
      </x:c>
      <x:c r="O29" s="7" t="inlineStr">
        <x:is>
          <x:t xml:space="preserve">무관</x:t>
        </x:is>
      </x:c>
      <x:c r="P29" s="7" t="inlineStr">
        <x:is>
          <x:t xml:space="preserve">무관</x:t>
        </x:is>
      </x:c>
      <x:c r="Q29" s="7" t="inlineStr">
        <x:is>
          <x:t xml:space="preserve">보통</x:t>
        </x:is>
      </x:c>
      <x:c r="R29" s="7" t="inlineStr">
        <x:is>
          <x:t xml:space="preserve">없음</x:t>
        </x:is>
      </x:c>
      <x:c r="S29" s="7" t="inlineStr">
        <x:is>
          <x:t xml:space="preserve">숲</x:t>
        </x:is>
      </x:c>
      <x:c r="T29" s="7" t="inlineStr">
        <x:is>
          <x:t xml:space="preserve"/>
        </x:is>
      </x:c>
      <x:c r="U29" s="8" t="str">
        <x:f>INDEX('서식지_점수'!$E$4:$P$4,1,MATCH(MAX('서식지_점수'!E29:P29),'서식지_점수'!E29:P29,0))</x:f>
        <x:v>평원</x:v>
      </x:c>
      <x:c r="V29" s="8" t="str">
        <x:f>IF(T29&lt;&gt;"",T29,U29)</x:f>
        <x:v>평원</x:v>
      </x:c>
      <x:c r="W29" s="8" t="str">
        <x:f>IFERROR(INDEX('서식지_점수'!$E$4:$P$4,1,MATCH(MAXIFS('서식지_점수'!E29:P29,'서식지_점수'!E29:P29,"&lt;"&amp;MAX('서식지_점수'!E29:P29)),'서식지_점수'!E29:P29,0)),"")</x:f>
        <x:v>숲</x:v>
      </x:c>
      <x:c r="X29" s="8" t="str">
        <x:f>IF(T29&lt;&gt;"","수동확정",IF(MAX('서식지_점수'!E29:P29)-LARGE('서식지_점수'!E29:P29,2)&gt;=15,"높음",IF(MAX('서식지_점수'!E29:P29)-LARGE('서식지_점수'!E29:P29,2)&gt;=8,"보통","검토필요")))</x:f>
        <x:v>검토필요</x:v>
      </x:c>
      <x:c r="Y29" s="9" t="n">
        <x:f>IF(Q29="전설",8,IF(Q29="희귀",7,IF(J29="기본",1,IF(J29="중간",3,IF(J29="최종",IF(I29="",5,IF(I29&lt;=20,3,IF(I29&lt;=35,4,IF(I29&lt;=50,6,7)))),IF(Q29="드묾",4,2))))))</x:f>
        <x:v>3</x:v>
      </x:c>
      <x:c r="Z29" s="5" t="inlineStr">
        <x:is>
          <x:t xml:space="preserve">#cobblemon:is_beach; #cobblemon:is_forest; #cobblemon:is_tropical_island; #minecraft:is_badlands; #minecraft:is_jungle; #minecraft:is_savanna; cobbleverse:not_spawn; minecraft:cherry_grove; minecraft:sunflower_plains</x:t>
        </x:is>
      </x:c>
      <x:c r="AA29" s="5" t="inlineStr">
        <x:is>
          <x:t xml:space="preserve">rare; uncommon</x:t>
        </x:is>
      </x:c>
      <x:c r="AB29" s="5" t="inlineStr">
        <x:is>
          <x:t xml:space="preserve">예</x:t>
        </x:is>
      </x:c>
      <x:c r="AC29" s="8" t="str">
        <x:f>IF(T29&lt;&gt;"","수동확정",IF(X29="검토필요","검토필요",IF(S29="","원본없음","초기완료")))</x:f>
        <x:v>검토필요</x:v>
      </x:c>
      <x:c r="AD29" s="7" t="inlineStr">
        <x:is>
          <x:t xml:space="preserve"/>
        </x:is>
      </x:c>
      <x:c r="AE29" s="5" t="inlineStr">
        <x:is>
          <x:t xml:space="preserve">.tmp/cobblemon-1.7.3-source/common/src/main/resources/data/cobblemon/species/generation1/pikachu.json</x:t>
        </x:is>
      </x:c>
      <x:c r="AF29" s="5" t="str">
        <x:f>"생활권|"&amp;K29</x:f>
        <x:v>생활권|육상</x:v>
      </x:c>
      <x:c r="AG29" s="5" t="str">
        <x:f>"지형|"&amp;L29</x:f>
        <x:v>지형|수목</x:v>
      </x:c>
      <x:c r="AH29" s="5" t="str">
        <x:f>"온도|"&amp;M29</x:f>
        <x:v>온도|온대</x:v>
      </x:c>
      <x:c r="AI29" s="5" t="str">
        <x:f>"습도|"&amp;N29</x:f>
        <x:v>습도|다습</x:v>
      </x:c>
      <x:c r="AJ29" s="5" t="str">
        <x:f>"날씨|"&amp;O29</x:f>
        <x:v>날씨|무관</x:v>
      </x:c>
      <x:c r="AK29" s="5" t="str">
        <x:f>"특수태그|"&amp;R29</x:f>
        <x:v>특수태그|없음</x:v>
      </x:c>
      <x:c r="AL29" s="5" t="str">
        <x:f>"원본서식지|"&amp;S29</x:f>
        <x:v>원본서식지|숲</x:v>
      </x:c>
      <x:c r="AM29" s="5" t="str">
        <x:f>"타입|"&amp;F29</x:f>
        <x:v>타입|전기</x:v>
      </x:c>
      <x:c r="AN29" s="5" t="str">
        <x:f>"타입|"&amp;G29</x:f>
        <x:v>타입|</x:v>
      </x:c>
    </x:row>
    <x:row r="30" ht="24" customHeight="1">
      <x:c r="A30" s="5" t="n">
        <x:v>26</x:v>
      </x:c>
      <x:c r="B30" s="5" t="inlineStr">
        <x:is>
          <x:t xml:space="preserve">라이츄</x:t>
        </x:is>
      </x:c>
      <x:c r="C30" s="5" t="inlineStr">
        <x:is>
          <x:t xml:space="preserve">raichu</x:t>
        </x:is>
      </x:c>
      <x:c r="D30" s="5" t="inlineStr">
        <x:is>
          <x:t xml:space="preserve">Raichu</x:t>
        </x:is>
      </x:c>
      <x:c r="E30" s="5" t="n">
        <x:v>1</x:v>
      </x:c>
      <x:c r="F30" s="5" t="inlineStr">
        <x:is>
          <x:t xml:space="preserve">전기</x:t>
        </x:is>
      </x:c>
      <x:c r="G30" s="5" t="inlineStr">
        <x:is>
          <x:t xml:space="preserve"/>
        </x:is>
      </x:c>
      <x:c r="H30" s="6" t="n">
        <x:v>30</x:v>
      </x:c>
      <x:c r="I30" s="5" t="n"/>
      <x:c r="J30" s="5" t="inlineStr">
        <x:is>
          <x:t xml:space="preserve">최종</x:t>
        </x:is>
      </x:c>
      <x:c r="K30" s="7" t="inlineStr">
        <x:is>
          <x:t xml:space="preserve">육상</x:t>
        </x:is>
      </x:c>
      <x:c r="L30" s="7" t="inlineStr">
        <x:is>
          <x:t xml:space="preserve">수목</x:t>
        </x:is>
      </x:c>
      <x:c r="M30" s="7" t="inlineStr">
        <x:is>
          <x:t xml:space="preserve">온대</x:t>
        </x:is>
      </x:c>
      <x:c r="N30" s="7" t="inlineStr">
        <x:is>
          <x:t xml:space="preserve">보통</x:t>
        </x:is>
      </x:c>
      <x:c r="O30" s="7" t="inlineStr">
        <x:is>
          <x:t xml:space="preserve">무관</x:t>
        </x:is>
      </x:c>
      <x:c r="P30" s="7" t="inlineStr">
        <x:is>
          <x:t xml:space="preserve">무관</x:t>
        </x:is>
      </x:c>
      <x:c r="Q30" s="7" t="inlineStr">
        <x:is>
          <x:t xml:space="preserve">보통</x:t>
        </x:is>
      </x:c>
      <x:c r="R30" s="7" t="inlineStr">
        <x:is>
          <x:t xml:space="preserve">없음</x:t>
        </x:is>
      </x:c>
      <x:c r="S30" s="7" t="inlineStr">
        <x:is>
          <x:t xml:space="preserve">숲</x:t>
        </x:is>
      </x:c>
      <x:c r="T30" s="7" t="inlineStr">
        <x:is>
          <x:t xml:space="preserve"/>
        </x:is>
      </x:c>
      <x:c r="U30" s="8" t="str">
        <x:f>INDEX('서식지_점수'!$E$4:$P$4,1,MATCH(MAX('서식지_점수'!E30:P30),'서식지_점수'!E30:P30,0))</x:f>
        <x:v>평원</x:v>
      </x:c>
      <x:c r="V30" s="8" t="str">
        <x:f>IF(T30&lt;&gt;"",T30,U30)</x:f>
        <x:v>평원</x:v>
      </x:c>
      <x:c r="W30" s="8" t="str">
        <x:f>IFERROR(INDEX('서식지_점수'!$E$4:$P$4,1,MATCH(MAXIFS('서식지_점수'!E30:P30,'서식지_점수'!E30:P30,"&lt;"&amp;MAX('서식지_점수'!E30:P30)),'서식지_점수'!E30:P30,0)),"")</x:f>
        <x:v>숲</x:v>
      </x:c>
      <x:c r="X30" s="8" t="str">
        <x:f>IF(T30&lt;&gt;"","수동확정",IF(MAX('서식지_점수'!E30:P30)-LARGE('서식지_점수'!E30:P30,2)&gt;=15,"높음",IF(MAX('서식지_점수'!E30:P30)-LARGE('서식지_점수'!E30:P30,2)&gt;=8,"보통","검토필요")))</x:f>
        <x:v>검토필요</x:v>
      </x:c>
      <x:c r="Y30" s="9" t="n">
        <x:f>IF(Q30="전설",8,IF(Q30="희귀",7,IF(J30="기본",1,IF(J30="중간",3,IF(J30="최종",IF(I30="",5,IF(I30&lt;=20,3,IF(I30&lt;=35,4,IF(I30&lt;=50,6,7)))),IF(Q30="드묾",4,2))))))</x:f>
        <x:v>5</x:v>
      </x:c>
      <x:c r="Z30" s="5" t="inlineStr">
        <x:is>
          <x:t xml:space="preserve">#cobblemon:is_beach; #cobblemon:is_forest; #cobblemon:is_tropical_island; aether:skyroot_forest; aether:skyroot_woodland</x:t>
        </x:is>
      </x:c>
      <x:c r="AA30" s="5" t="inlineStr">
        <x:is>
          <x:t xml:space="preserve">uncommon</x:t>
        </x:is>
      </x:c>
      <x:c r="AB30" s="5" t="inlineStr">
        <x:is>
          <x:t xml:space="preserve">예</x:t>
        </x:is>
      </x:c>
      <x:c r="AC30" s="8" t="str">
        <x:f>IF(T30&lt;&gt;"","수동확정",IF(X30="검토필요","검토필요",IF(S30="","원본없음","초기완료")))</x:f>
        <x:v>검토필요</x:v>
      </x:c>
      <x:c r="AD30" s="7" t="inlineStr">
        <x:is>
          <x:t xml:space="preserve"/>
        </x:is>
      </x:c>
      <x:c r="AE30" s="5" t="inlineStr">
        <x:is>
          <x:t xml:space="preserve">.tmp/cobblemon-1.7.3-source/common/src/main/resources/data/cobblemon/species/generation1/raichu.json</x:t>
        </x:is>
      </x:c>
      <x:c r="AF30" s="5" t="str">
        <x:f>"생활권|"&amp;K30</x:f>
        <x:v>생활권|육상</x:v>
      </x:c>
      <x:c r="AG30" s="5" t="str">
        <x:f>"지형|"&amp;L30</x:f>
        <x:v>지형|수목</x:v>
      </x:c>
      <x:c r="AH30" s="5" t="str">
        <x:f>"온도|"&amp;M30</x:f>
        <x:v>온도|온대</x:v>
      </x:c>
      <x:c r="AI30" s="5" t="str">
        <x:f>"습도|"&amp;N30</x:f>
        <x:v>습도|보통</x:v>
      </x:c>
      <x:c r="AJ30" s="5" t="str">
        <x:f>"날씨|"&amp;O30</x:f>
        <x:v>날씨|무관</x:v>
      </x:c>
      <x:c r="AK30" s="5" t="str">
        <x:f>"특수태그|"&amp;R30</x:f>
        <x:v>특수태그|없음</x:v>
      </x:c>
      <x:c r="AL30" s="5" t="str">
        <x:f>"원본서식지|"&amp;S30</x:f>
        <x:v>원본서식지|숲</x:v>
      </x:c>
      <x:c r="AM30" s="5" t="str">
        <x:f>"타입|"&amp;F30</x:f>
        <x:v>타입|전기</x:v>
      </x:c>
      <x:c r="AN30" s="5" t="str">
        <x:f>"타입|"&amp;G30</x:f>
        <x:v>타입|</x:v>
      </x:c>
    </x:row>
    <x:row r="31" ht="24" customHeight="1">
      <x:c r="A31" s="5" t="n">
        <x:v>27</x:v>
      </x:c>
      <x:c r="B31" s="5" t="inlineStr">
        <x:is>
          <x:t xml:space="preserve">모래두지</x:t>
        </x:is>
      </x:c>
      <x:c r="C31" s="5" t="inlineStr">
        <x:is>
          <x:t xml:space="preserve">sandshrew</x:t>
        </x:is>
      </x:c>
      <x:c r="D31" s="5" t="inlineStr">
        <x:is>
          <x:t xml:space="preserve">Sandshrew</x:t>
        </x:is>
      </x:c>
      <x:c r="E31" s="5" t="n">
        <x:v>1</x:v>
      </x:c>
      <x:c r="F31" s="5" t="inlineStr">
        <x:is>
          <x:t xml:space="preserve">땅</x:t>
        </x:is>
      </x:c>
      <x:c r="G31" s="5" t="inlineStr">
        <x:is>
          <x:t xml:space="preserve"/>
        </x:is>
      </x:c>
      <x:c r="H31" s="6" t="n">
        <x:v>12</x:v>
      </x:c>
      <x:c r="I31" s="5" t="n">
        <x:v>22</x:v>
      </x:c>
      <x:c r="J31" s="5" t="inlineStr">
        <x:is>
          <x:t xml:space="preserve">기본</x:t>
        </x:is>
      </x:c>
      <x:c r="K31" s="7" t="inlineStr">
        <x:is>
          <x:t xml:space="preserve">육상</x:t>
        </x:is>
      </x:c>
      <x:c r="L31" s="7" t="inlineStr">
        <x:is>
          <x:t xml:space="preserve">건조</x:t>
        </x:is>
      </x:c>
      <x:c r="M31" s="7" t="inlineStr">
        <x:is>
          <x:t xml:space="preserve">고온</x:t>
        </x:is>
      </x:c>
      <x:c r="N31" s="7" t="inlineStr">
        <x:is>
          <x:t xml:space="preserve">건조</x:t>
        </x:is>
      </x:c>
      <x:c r="O31" s="7" t="inlineStr">
        <x:is>
          <x:t xml:space="preserve">맑음</x:t>
        </x:is>
      </x:c>
      <x:c r="P31" s="7" t="inlineStr">
        <x:is>
          <x:t xml:space="preserve">무관</x:t>
        </x:is>
      </x:c>
      <x:c r="Q31" s="7" t="inlineStr">
        <x:is>
          <x:t xml:space="preserve">보통</x:t>
        </x:is>
      </x:c>
      <x:c r="R31" s="7" t="inlineStr">
        <x:is>
          <x:t xml:space="preserve">없음</x:t>
        </x:is>
      </x:c>
      <x:c r="S31" s="7" t="inlineStr">
        <x:is>
          <x:t xml:space="preserve">건조지</x:t>
        </x:is>
      </x:c>
      <x:c r="T31" s="7" t="inlineStr">
        <x:is>
          <x:t xml:space="preserve"/>
        </x:is>
      </x:c>
      <x:c r="U31" s="8" t="str">
        <x:f>INDEX('서식지_점수'!$E$4:$P$4,1,MATCH(MAX('서식지_점수'!E31:P31),'서식지_점수'!E31:P31,0))</x:f>
        <x:v>평원</x:v>
      </x:c>
      <x:c r="V31" s="8" t="str">
        <x:f>IF(T31&lt;&gt;"",T31,U31)</x:f>
        <x:v>평원</x:v>
      </x:c>
      <x:c r="W31" s="8" t="str">
        <x:f>IFERROR(INDEX('서식지_점수'!$E$4:$P$4,1,MATCH(MAXIFS('서식지_점수'!E31:P31,'서식지_점수'!E31:P31,"&lt;"&amp;MAX('서식지_점수'!E31:P31)),'서식지_점수'!E31:P31,0)),"")</x:f>
        <x:v>숲</x:v>
      </x:c>
      <x:c r="X31" s="8" t="str">
        <x:f>IF(T31&lt;&gt;"","수동확정",IF(MAX('서식지_점수'!E31:P31)-LARGE('서식지_점수'!E31:P31,2)&gt;=15,"높음",IF(MAX('서식지_점수'!E31:P31)-LARGE('서식지_점수'!E31:P31,2)&gt;=8,"보통","검토필요")))</x:f>
        <x:v>검토필요</x:v>
      </x:c>
      <x:c r="Y31" s="9" t="n">
        <x:f>IF(Q31="전설",8,IF(Q31="희귀",7,IF(J31="기본",1,IF(J31="중간",3,IF(J31="최종",IF(I31="",5,IF(I31&lt;=20,3,IF(I31&lt;=35,4,IF(I31&lt;=50,6,7)))),IF(Q31="드묾",4,2))))))</x:f>
        <x:v>1</x:v>
      </x:c>
      <x:c r="Z31" s="5" t="inlineStr">
        <x:is>
          <x:t xml:space="preserve">#cobblemon:is_desert; #cobblemon:is_glacial</x:t>
        </x:is>
      </x:c>
      <x:c r="AA31" s="5" t="inlineStr">
        <x:is>
          <x:t xml:space="preserve">common; uncommon</x:t>
        </x:is>
      </x:c>
      <x:c r="AB31" s="5" t="inlineStr">
        <x:is>
          <x:t xml:space="preserve">예</x:t>
        </x:is>
      </x:c>
      <x:c r="AC31" s="8" t="str">
        <x:f>IF(T31&lt;&gt;"","수동확정",IF(X31="검토필요","검토필요",IF(S31="","원본없음","초기완료")))</x:f>
        <x:v>검토필요</x:v>
      </x:c>
      <x:c r="AD31" s="7" t="inlineStr">
        <x:is>
          <x:t xml:space="preserve"/>
        </x:is>
      </x:c>
      <x:c r="AE31" s="5" t="inlineStr">
        <x:is>
          <x:t xml:space="preserve">.tmp/cobblemon-1.7.3-source/common/src/main/resources/data/cobblemon/species/generation1/sandshrew.json</x:t>
        </x:is>
      </x:c>
      <x:c r="AF31" s="5" t="str">
        <x:f>"생활권|"&amp;K31</x:f>
        <x:v>생활권|육상</x:v>
      </x:c>
      <x:c r="AG31" s="5" t="str">
        <x:f>"지형|"&amp;L31</x:f>
        <x:v>지형|건조</x:v>
      </x:c>
      <x:c r="AH31" s="5" t="str">
        <x:f>"온도|"&amp;M31</x:f>
        <x:v>온도|고온</x:v>
      </x:c>
      <x:c r="AI31" s="5" t="str">
        <x:f>"습도|"&amp;N31</x:f>
        <x:v>습도|건조</x:v>
      </x:c>
      <x:c r="AJ31" s="5" t="str">
        <x:f>"날씨|"&amp;O31</x:f>
        <x:v>날씨|맑음</x:v>
      </x:c>
      <x:c r="AK31" s="5" t="str">
        <x:f>"특수태그|"&amp;R31</x:f>
        <x:v>특수태그|없음</x:v>
      </x:c>
      <x:c r="AL31" s="5" t="str">
        <x:f>"원본서식지|"&amp;S31</x:f>
        <x:v>원본서식지|건조지</x:v>
      </x:c>
      <x:c r="AM31" s="5" t="str">
        <x:f>"타입|"&amp;F31</x:f>
        <x:v>타입|땅</x:v>
      </x:c>
      <x:c r="AN31" s="5" t="str">
        <x:f>"타입|"&amp;G31</x:f>
        <x:v>타입|</x:v>
      </x:c>
    </x:row>
    <x:row r="32" ht="24" customHeight="1">
      <x:c r="A32" s="5" t="n">
        <x:v>28</x:v>
      </x:c>
      <x:c r="B32" s="5" t="inlineStr">
        <x:is>
          <x:t xml:space="preserve">고지</x:t>
        </x:is>
      </x:c>
      <x:c r="C32" s="5" t="inlineStr">
        <x:is>
          <x:t xml:space="preserve">sandslash</x:t>
        </x:is>
      </x:c>
      <x:c r="D32" s="5" t="inlineStr">
        <x:is>
          <x:t xml:space="preserve">Sandslash</x:t>
        </x:is>
      </x:c>
      <x:c r="E32" s="5" t="n">
        <x:v>1</x:v>
      </x:c>
      <x:c r="F32" s="5" t="inlineStr">
        <x:is>
          <x:t xml:space="preserve">땅</x:t>
        </x:is>
      </x:c>
      <x:c r="G32" s="5" t="inlineStr">
        <x:is>
          <x:t xml:space="preserve"/>
        </x:is>
      </x:c>
      <x:c r="H32" s="6" t="n">
        <x:v>29.5</x:v>
      </x:c>
      <x:c r="I32" s="5" t="n">
        <x:v>22</x:v>
      </x:c>
      <x:c r="J32" s="5" t="inlineStr">
        <x:is>
          <x:t xml:space="preserve">최종</x:t>
        </x:is>
      </x:c>
      <x:c r="K32" s="7" t="inlineStr">
        <x:is>
          <x:t xml:space="preserve">육상</x:t>
        </x:is>
      </x:c>
      <x:c r="L32" s="7" t="inlineStr">
        <x:is>
          <x:t xml:space="preserve">건조</x:t>
        </x:is>
      </x:c>
      <x:c r="M32" s="7" t="inlineStr">
        <x:is>
          <x:t xml:space="preserve">고온</x:t>
        </x:is>
      </x:c>
      <x:c r="N32" s="7" t="inlineStr">
        <x:is>
          <x:t xml:space="preserve">건조</x:t>
        </x:is>
      </x:c>
      <x:c r="O32" s="7" t="inlineStr">
        <x:is>
          <x:t xml:space="preserve">맑음</x:t>
        </x:is>
      </x:c>
      <x:c r="P32" s="7" t="inlineStr">
        <x:is>
          <x:t xml:space="preserve">무관</x:t>
        </x:is>
      </x:c>
      <x:c r="Q32" s="7" t="inlineStr">
        <x:is>
          <x:t xml:space="preserve">보통</x:t>
        </x:is>
      </x:c>
      <x:c r="R32" s="7" t="inlineStr">
        <x:is>
          <x:t xml:space="preserve">없음</x:t>
        </x:is>
      </x:c>
      <x:c r="S32" s="7" t="inlineStr">
        <x:is>
          <x:t xml:space="preserve">건조지</x:t>
        </x:is>
      </x:c>
      <x:c r="T32" s="7" t="inlineStr">
        <x:is>
          <x:t xml:space="preserve"/>
        </x:is>
      </x:c>
      <x:c r="U32" s="8" t="str">
        <x:f>INDEX('서식지_점수'!$E$4:$P$4,1,MATCH(MAX('서식지_점수'!E32:P32),'서식지_점수'!E32:P32,0))</x:f>
        <x:v>평원</x:v>
      </x:c>
      <x:c r="V32" s="8" t="str">
        <x:f>IF(T32&lt;&gt;"",T32,U32)</x:f>
        <x:v>평원</x:v>
      </x:c>
      <x:c r="W32" s="8" t="str">
        <x:f>IFERROR(INDEX('서식지_점수'!$E$4:$P$4,1,MATCH(MAXIFS('서식지_점수'!E32:P32,'서식지_점수'!E32:P32,"&lt;"&amp;MAX('서식지_점수'!E32:P32)),'서식지_점수'!E32:P32,0)),"")</x:f>
        <x:v>숲</x:v>
      </x:c>
      <x:c r="X32" s="8" t="str">
        <x:f>IF(T32&lt;&gt;"","수동확정",IF(MAX('서식지_점수'!E32:P32)-LARGE('서식지_점수'!E32:P32,2)&gt;=15,"높음",IF(MAX('서식지_점수'!E32:P32)-LARGE('서식지_점수'!E32:P32,2)&gt;=8,"보통","검토필요")))</x:f>
        <x:v>검토필요</x:v>
      </x:c>
      <x:c r="Y32" s="9" t="n">
        <x:f>IF(Q32="전설",8,IF(Q32="희귀",7,IF(J32="기본",1,IF(J32="중간",3,IF(J32="최종",IF(I32="",5,IF(I32&lt;=20,3,IF(I32&lt;=35,4,IF(I32&lt;=50,6,7)))),IF(Q32="드묾",4,2))))))</x:f>
        <x:v>4</x:v>
      </x:c>
      <x:c r="Z32" s="5" t="inlineStr">
        <x:is>
          <x:t xml:space="preserve">#cobblemon:is_desert; #cobblemon:is_glacial</x:t>
        </x:is>
      </x:c>
      <x:c r="AA32" s="5" t="inlineStr">
        <x:is>
          <x:t xml:space="preserve">common; uncommon</x:t>
        </x:is>
      </x:c>
      <x:c r="AB32" s="5" t="inlineStr">
        <x:is>
          <x:t xml:space="preserve">예</x:t>
        </x:is>
      </x:c>
      <x:c r="AC32" s="8" t="str">
        <x:f>IF(T32&lt;&gt;"","수동확정",IF(X32="검토필요","검토필요",IF(S32="","원본없음","초기완료")))</x:f>
        <x:v>검토필요</x:v>
      </x:c>
      <x:c r="AD32" s="7" t="inlineStr">
        <x:is>
          <x:t xml:space="preserve"/>
        </x:is>
      </x:c>
      <x:c r="AE32" s="5" t="inlineStr">
        <x:is>
          <x:t xml:space="preserve">.tmp/cobblemon-1.7.3-source/common/src/main/resources/data/cobblemon/species/generation1/sandslash.json</x:t>
        </x:is>
      </x:c>
      <x:c r="AF32" s="5" t="str">
        <x:f>"생활권|"&amp;K32</x:f>
        <x:v>생활권|육상</x:v>
      </x:c>
      <x:c r="AG32" s="5" t="str">
        <x:f>"지형|"&amp;L32</x:f>
        <x:v>지형|건조</x:v>
      </x:c>
      <x:c r="AH32" s="5" t="str">
        <x:f>"온도|"&amp;M32</x:f>
        <x:v>온도|고온</x:v>
      </x:c>
      <x:c r="AI32" s="5" t="str">
        <x:f>"습도|"&amp;N32</x:f>
        <x:v>습도|건조</x:v>
      </x:c>
      <x:c r="AJ32" s="5" t="str">
        <x:f>"날씨|"&amp;O32</x:f>
        <x:v>날씨|맑음</x:v>
      </x:c>
      <x:c r="AK32" s="5" t="str">
        <x:f>"특수태그|"&amp;R32</x:f>
        <x:v>특수태그|없음</x:v>
      </x:c>
      <x:c r="AL32" s="5" t="str">
        <x:f>"원본서식지|"&amp;S32</x:f>
        <x:v>원본서식지|건조지</x:v>
      </x:c>
      <x:c r="AM32" s="5" t="str">
        <x:f>"타입|"&amp;F32</x:f>
        <x:v>타입|땅</x:v>
      </x:c>
      <x:c r="AN32" s="5" t="str">
        <x:f>"타입|"&amp;G32</x:f>
        <x:v>타입|</x:v>
      </x:c>
    </x:row>
    <x:row r="33" ht="24" customHeight="1">
      <x:c r="A33" s="5" t="n">
        <x:v>29</x:v>
      </x:c>
      <x:c r="B33" s="5" t="inlineStr">
        <x:is>
          <x:t xml:space="preserve">니드런</x:t>
        </x:is>
      </x:c>
      <x:c r="C33" s="5" t="inlineStr">
        <x:is>
          <x:t xml:space="preserve">nidoranf</x:t>
        </x:is>
      </x:c>
      <x:c r="D33" s="5" t="inlineStr">
        <x:is>
          <x:t xml:space="preserve">Nidoran♀</x:t>
        </x:is>
      </x:c>
      <x:c r="E33" s="5" t="n">
        <x:v>1</x:v>
      </x:c>
      <x:c r="F33" s="5" t="inlineStr">
        <x:is>
          <x:t xml:space="preserve">독</x:t>
        </x:is>
      </x:c>
      <x:c r="G33" s="5" t="inlineStr">
        <x:is>
          <x:t xml:space="preserve"/>
        </x:is>
      </x:c>
      <x:c r="H33" s="6" t="n">
        <x:v>7</x:v>
      </x:c>
      <x:c r="I33" s="5" t="n">
        <x:v>16</x:v>
      </x:c>
      <x:c r="J33" s="5" t="inlineStr">
        <x:is>
          <x:t xml:space="preserve">기본</x:t>
        </x:is>
      </x:c>
      <x:c r="K33" s="7" t="inlineStr">
        <x:is>
          <x:t xml:space="preserve">육상</x:t>
        </x:is>
      </x:c>
      <x:c r="L33" s="7" t="inlineStr">
        <x:is>
          <x:t xml:space="preserve">개활지</x:t>
        </x:is>
      </x:c>
      <x:c r="M33" s="7" t="inlineStr">
        <x:is>
          <x:t xml:space="preserve">온대</x:t>
        </x:is>
      </x:c>
      <x:c r="N33" s="7" t="inlineStr">
        <x:is>
          <x:t xml:space="preserve">보통</x:t>
        </x:is>
      </x:c>
      <x:c r="O33" s="7" t="inlineStr">
        <x:is>
          <x:t xml:space="preserve">무관</x:t>
        </x:is>
      </x:c>
      <x:c r="P33" s="7" t="inlineStr">
        <x:is>
          <x:t xml:space="preserve">무관</x:t>
        </x:is>
      </x:c>
      <x:c r="Q33" s="7" t="inlineStr">
        <x:is>
          <x:t xml:space="preserve">보통</x:t>
        </x:is>
      </x:c>
      <x:c r="R33" s="7" t="inlineStr">
        <x:is>
          <x:t xml:space="preserve">없음</x:t>
        </x:is>
      </x:c>
      <x:c r="S33" s="7" t="inlineStr">
        <x:is>
          <x:t xml:space="preserve">평원</x:t>
        </x:is>
      </x:c>
      <x:c r="T33" s="7" t="inlineStr">
        <x:is>
          <x:t xml:space="preserve"/>
        </x:is>
      </x:c>
      <x:c r="U33" s="8" t="str">
        <x:f>INDEX('서식지_점수'!$E$4:$P$4,1,MATCH(MAX('서식지_점수'!E33:P33),'서식지_점수'!E33:P33,0))</x:f>
        <x:v>평원</x:v>
      </x:c>
      <x:c r="V33" s="8" t="str">
        <x:f>IF(T33&lt;&gt;"",T33,U33)</x:f>
        <x:v>평원</x:v>
      </x:c>
      <x:c r="W33" s="8" t="str">
        <x:f>IFERROR(INDEX('서식지_점수'!$E$4:$P$4,1,MATCH(MAXIFS('서식지_점수'!E33:P33,'서식지_점수'!E33:P33,"&lt;"&amp;MAX('서식지_점수'!E33:P33)),'서식지_점수'!E33:P33,0)),"")</x:f>
        <x:v>숲</x:v>
      </x:c>
      <x:c r="X33" s="8" t="str">
        <x:f>IF(T33&lt;&gt;"","수동확정",IF(MAX('서식지_점수'!E33:P33)-LARGE('서식지_점수'!E33:P33,2)&gt;=15,"높음",IF(MAX('서식지_점수'!E33:P33)-LARGE('서식지_점수'!E33:P33,2)&gt;=8,"보통","검토필요")))</x:f>
        <x:v>검토필요</x:v>
      </x:c>
      <x:c r="Y33" s="9" t="n">
        <x:f>IF(Q33="전설",8,IF(Q33="희귀",7,IF(J33="기본",1,IF(J33="중간",3,IF(J33="최종",IF(I33="",5,IF(I33&lt;=20,3,IF(I33&lt;=35,4,IF(I33&lt;=50,6,7)))),IF(Q33="드묾",4,2))))))</x:f>
        <x:v>1</x:v>
      </x:c>
      <x:c r="Z33" s="5" t="inlineStr">
        <x:is>
          <x:t xml:space="preserve">#cobblemon:is_savanna</x:t>
        </x:is>
      </x:c>
      <x:c r="AA33" s="5" t="inlineStr">
        <x:is>
          <x:t xml:space="preserve">uncommon</x:t>
        </x:is>
      </x:c>
      <x:c r="AB33" s="5" t="inlineStr">
        <x:is>
          <x:t xml:space="preserve">예</x:t>
        </x:is>
      </x:c>
      <x:c r="AC33" s="8" t="str">
        <x:f>IF(T33&lt;&gt;"","수동확정",IF(X33="검토필요","검토필요",IF(S33="","원본없음","초기완료")))</x:f>
        <x:v>검토필요</x:v>
      </x:c>
      <x:c r="AD33" s="7" t="inlineStr">
        <x:is>
          <x:t xml:space="preserve"/>
        </x:is>
      </x:c>
      <x:c r="AE33" s="5" t="inlineStr">
        <x:is>
          <x:t xml:space="preserve">.tmp/cobblemon-1.7.3-source/common/src/main/resources/data/cobblemon/species/generation1/nidoranf.json</x:t>
        </x:is>
      </x:c>
      <x:c r="AF33" s="5" t="str">
        <x:f>"생활권|"&amp;K33</x:f>
        <x:v>생활권|육상</x:v>
      </x:c>
      <x:c r="AG33" s="5" t="str">
        <x:f>"지형|"&amp;L33</x:f>
        <x:v>지형|개활지</x:v>
      </x:c>
      <x:c r="AH33" s="5" t="str">
        <x:f>"온도|"&amp;M33</x:f>
        <x:v>온도|온대</x:v>
      </x:c>
      <x:c r="AI33" s="5" t="str">
        <x:f>"습도|"&amp;N33</x:f>
        <x:v>습도|보통</x:v>
      </x:c>
      <x:c r="AJ33" s="5" t="str">
        <x:f>"날씨|"&amp;O33</x:f>
        <x:v>날씨|무관</x:v>
      </x:c>
      <x:c r="AK33" s="5" t="str">
        <x:f>"특수태그|"&amp;R33</x:f>
        <x:v>특수태그|없음</x:v>
      </x:c>
      <x:c r="AL33" s="5" t="str">
        <x:f>"원본서식지|"&amp;S33</x:f>
        <x:v>원본서식지|평원</x:v>
      </x:c>
      <x:c r="AM33" s="5" t="str">
        <x:f>"타입|"&amp;F33</x:f>
        <x:v>타입|독</x:v>
      </x:c>
      <x:c r="AN33" s="5" t="str">
        <x:f>"타입|"&amp;G33</x:f>
        <x:v>타입|</x:v>
      </x:c>
    </x:row>
    <x:row r="34" ht="24" customHeight="1">
      <x:c r="A34" s="5" t="n">
        <x:v>30</x:v>
      </x:c>
      <x:c r="B34" s="5" t="inlineStr">
        <x:is>
          <x:t xml:space="preserve">니드리나</x:t>
        </x:is>
      </x:c>
      <x:c r="C34" s="5" t="inlineStr">
        <x:is>
          <x:t xml:space="preserve">nidorina</x:t>
        </x:is>
      </x:c>
      <x:c r="D34" s="5" t="inlineStr">
        <x:is>
          <x:t xml:space="preserve">Nidorina</x:t>
        </x:is>
      </x:c>
      <x:c r="E34" s="5" t="n">
        <x:v>1</x:v>
      </x:c>
      <x:c r="F34" s="5" t="inlineStr">
        <x:is>
          <x:t xml:space="preserve">독</x:t>
        </x:is>
      </x:c>
      <x:c r="G34" s="5" t="inlineStr">
        <x:is>
          <x:t xml:space="preserve"/>
        </x:is>
      </x:c>
      <x:c r="H34" s="6" t="n">
        <x:v>20</x:v>
      </x:c>
      <x:c r="I34" s="5" t="n">
        <x:v>16</x:v>
      </x:c>
      <x:c r="J34" s="5" t="inlineStr">
        <x:is>
          <x:t xml:space="preserve">중간</x:t>
        </x:is>
      </x:c>
      <x:c r="K34" s="7" t="inlineStr">
        <x:is>
          <x:t xml:space="preserve">육상</x:t>
        </x:is>
      </x:c>
      <x:c r="L34" s="7" t="inlineStr">
        <x:is>
          <x:t xml:space="preserve">개활지</x:t>
        </x:is>
      </x:c>
      <x:c r="M34" s="7" t="inlineStr">
        <x:is>
          <x:t xml:space="preserve">온대</x:t>
        </x:is>
      </x:c>
      <x:c r="N34" s="7" t="inlineStr">
        <x:is>
          <x:t xml:space="preserve">보통</x:t>
        </x:is>
      </x:c>
      <x:c r="O34" s="7" t="inlineStr">
        <x:is>
          <x:t xml:space="preserve">무관</x:t>
        </x:is>
      </x:c>
      <x:c r="P34" s="7" t="inlineStr">
        <x:is>
          <x:t xml:space="preserve">무관</x:t>
        </x:is>
      </x:c>
      <x:c r="Q34" s="7" t="inlineStr">
        <x:is>
          <x:t xml:space="preserve">보통</x:t>
        </x:is>
      </x:c>
      <x:c r="R34" s="7" t="inlineStr">
        <x:is>
          <x:t xml:space="preserve">없음</x:t>
        </x:is>
      </x:c>
      <x:c r="S34" s="7" t="inlineStr">
        <x:is>
          <x:t xml:space="preserve">평원</x:t>
        </x:is>
      </x:c>
      <x:c r="T34" s="7" t="inlineStr">
        <x:is>
          <x:t xml:space="preserve"/>
        </x:is>
      </x:c>
      <x:c r="U34" s="8" t="str">
        <x:f>INDEX('서식지_점수'!$E$4:$P$4,1,MATCH(MAX('서식지_점수'!E34:P34),'서식지_점수'!E34:P34,0))</x:f>
        <x:v>평원</x:v>
      </x:c>
      <x:c r="V34" s="8" t="str">
        <x:f>IF(T34&lt;&gt;"",T34,U34)</x:f>
        <x:v>평원</x:v>
      </x:c>
      <x:c r="W34" s="8" t="str">
        <x:f>IFERROR(INDEX('서식지_점수'!$E$4:$P$4,1,MATCH(MAXIFS('서식지_점수'!E34:P34,'서식지_점수'!E34:P34,"&lt;"&amp;MAX('서식지_점수'!E34:P34)),'서식지_점수'!E34:P34,0)),"")</x:f>
        <x:v>숲</x:v>
      </x:c>
      <x:c r="X34" s="8" t="str">
        <x:f>IF(T34&lt;&gt;"","수동확정",IF(MAX('서식지_점수'!E34:P34)-LARGE('서식지_점수'!E34:P34,2)&gt;=15,"높음",IF(MAX('서식지_점수'!E34:P34)-LARGE('서식지_점수'!E34:P34,2)&gt;=8,"보통","검토필요")))</x:f>
        <x:v>검토필요</x:v>
      </x:c>
      <x:c r="Y34" s="9" t="n">
        <x:f>IF(Q34="전설",8,IF(Q34="희귀",7,IF(J34="기본",1,IF(J34="중간",3,IF(J34="최종",IF(I34="",5,IF(I34&lt;=20,3,IF(I34&lt;=35,4,IF(I34&lt;=50,6,7)))),IF(Q34="드묾",4,2))))))</x:f>
        <x:v>3</x:v>
      </x:c>
      <x:c r="Z34" s="5" t="inlineStr">
        <x:is>
          <x:t xml:space="preserve">#cobblemon:is_savanna</x:t>
        </x:is>
      </x:c>
      <x:c r="AA34" s="5" t="inlineStr">
        <x:is>
          <x:t xml:space="preserve">uncommon</x:t>
        </x:is>
      </x:c>
      <x:c r="AB34" s="5" t="inlineStr">
        <x:is>
          <x:t xml:space="preserve">예</x:t>
        </x:is>
      </x:c>
      <x:c r="AC34" s="8" t="str">
        <x:f>IF(T34&lt;&gt;"","수동확정",IF(X34="검토필요","검토필요",IF(S34="","원본없음","초기완료")))</x:f>
        <x:v>검토필요</x:v>
      </x:c>
      <x:c r="AD34" s="7" t="inlineStr">
        <x:is>
          <x:t xml:space="preserve"/>
        </x:is>
      </x:c>
      <x:c r="AE34" s="5" t="inlineStr">
        <x:is>
          <x:t xml:space="preserve">.tmp/cobblemon-1.7.3-source/common/src/main/resources/data/cobblemon/species/generation1/nidorina.json</x:t>
        </x:is>
      </x:c>
      <x:c r="AF34" s="5" t="str">
        <x:f>"생활권|"&amp;K34</x:f>
        <x:v>생활권|육상</x:v>
      </x:c>
      <x:c r="AG34" s="5" t="str">
        <x:f>"지형|"&amp;L34</x:f>
        <x:v>지형|개활지</x:v>
      </x:c>
      <x:c r="AH34" s="5" t="str">
        <x:f>"온도|"&amp;M34</x:f>
        <x:v>온도|온대</x:v>
      </x:c>
      <x:c r="AI34" s="5" t="str">
        <x:f>"습도|"&amp;N34</x:f>
        <x:v>습도|보통</x:v>
      </x:c>
      <x:c r="AJ34" s="5" t="str">
        <x:f>"날씨|"&amp;O34</x:f>
        <x:v>날씨|무관</x:v>
      </x:c>
      <x:c r="AK34" s="5" t="str">
        <x:f>"특수태그|"&amp;R34</x:f>
        <x:v>특수태그|없음</x:v>
      </x:c>
      <x:c r="AL34" s="5" t="str">
        <x:f>"원본서식지|"&amp;S34</x:f>
        <x:v>원본서식지|평원</x:v>
      </x:c>
      <x:c r="AM34" s="5" t="str">
        <x:f>"타입|"&amp;F34</x:f>
        <x:v>타입|독</x:v>
      </x:c>
      <x:c r="AN34" s="5" t="str">
        <x:f>"타입|"&amp;G34</x:f>
        <x:v>타입|</x:v>
      </x:c>
    </x:row>
    <x:row r="35" ht="24" customHeight="1">
      <x:c r="A35" s="5" t="n">
        <x:v>31</x:v>
      </x:c>
      <x:c r="B35" s="5" t="inlineStr">
        <x:is>
          <x:t xml:space="preserve">니드퀸</x:t>
        </x:is>
      </x:c>
      <x:c r="C35" s="5" t="inlineStr">
        <x:is>
          <x:t xml:space="preserve">nidoqueen</x:t>
        </x:is>
      </x:c>
      <x:c r="D35" s="5" t="inlineStr">
        <x:is>
          <x:t xml:space="preserve">Nidoqueen</x:t>
        </x:is>
      </x:c>
      <x:c r="E35" s="5" t="n">
        <x:v>1</x:v>
      </x:c>
      <x:c r="F35" s="5" t="inlineStr">
        <x:is>
          <x:t xml:space="preserve">독</x:t>
        </x:is>
      </x:c>
      <x:c r="G35" s="5" t="inlineStr">
        <x:is>
          <x:t xml:space="preserve">땅</x:t>
        </x:is>
      </x:c>
      <x:c r="H35" s="6" t="n">
        <x:v>60</x:v>
      </x:c>
      <x:c r="I35" s="5" t="n">
        <x:v>16</x:v>
      </x:c>
      <x:c r="J35" s="5" t="inlineStr">
        <x:is>
          <x:t xml:space="preserve">최종</x:t>
        </x:is>
      </x:c>
      <x:c r="K35" s="7" t="inlineStr">
        <x:is>
          <x:t xml:space="preserve">육상</x:t>
        </x:is>
      </x:c>
      <x:c r="L35" s="7" t="inlineStr">
        <x:is>
          <x:t xml:space="preserve">개활지</x:t>
        </x:is>
      </x:c>
      <x:c r="M35" s="7" t="inlineStr">
        <x:is>
          <x:t xml:space="preserve">온대</x:t>
        </x:is>
      </x:c>
      <x:c r="N35" s="7" t="inlineStr">
        <x:is>
          <x:t xml:space="preserve">보통</x:t>
        </x:is>
      </x:c>
      <x:c r="O35" s="7" t="inlineStr">
        <x:is>
          <x:t xml:space="preserve">무관</x:t>
        </x:is>
      </x:c>
      <x:c r="P35" s="7" t="inlineStr">
        <x:is>
          <x:t xml:space="preserve">무관</x:t>
        </x:is>
      </x:c>
      <x:c r="Q35" s="7" t="inlineStr">
        <x:is>
          <x:t xml:space="preserve">보통</x:t>
        </x:is>
      </x:c>
      <x:c r="R35" s="7" t="inlineStr">
        <x:is>
          <x:t xml:space="preserve">없음</x:t>
        </x:is>
      </x:c>
      <x:c r="S35" s="7" t="inlineStr">
        <x:is>
          <x:t xml:space="preserve">평원</x:t>
        </x:is>
      </x:c>
      <x:c r="T35" s="7" t="inlineStr">
        <x:is>
          <x:t xml:space="preserve"/>
        </x:is>
      </x:c>
      <x:c r="U35" s="8" t="str">
        <x:f>INDEX('서식지_점수'!$E$4:$P$4,1,MATCH(MAX('서식지_점수'!E35:P35),'서식지_점수'!E35:P35,0))</x:f>
        <x:v>평원</x:v>
      </x:c>
      <x:c r="V35" s="8" t="str">
        <x:f>IF(T35&lt;&gt;"",T35,U35)</x:f>
        <x:v>평원</x:v>
      </x:c>
      <x:c r="W35" s="8" t="str">
        <x:f>IFERROR(INDEX('서식지_점수'!$E$4:$P$4,1,MATCH(MAXIFS('서식지_점수'!E35:P35,'서식지_점수'!E35:P35,"&lt;"&amp;MAX('서식지_점수'!E35:P35)),'서식지_점수'!E35:P35,0)),"")</x:f>
        <x:v>숲</x:v>
      </x:c>
      <x:c r="X35" s="8" t="str">
        <x:f>IF(T35&lt;&gt;"","수동확정",IF(MAX('서식지_점수'!E35:P35)-LARGE('서식지_점수'!E35:P35,2)&gt;=15,"높음",IF(MAX('서식지_점수'!E35:P35)-LARGE('서식지_점수'!E35:P35,2)&gt;=8,"보통","검토필요")))</x:f>
        <x:v>검토필요</x:v>
      </x:c>
      <x:c r="Y35" s="9" t="n">
        <x:f>IF(Q35="전설",8,IF(Q35="희귀",7,IF(J35="기본",1,IF(J35="중간",3,IF(J35="최종",IF(I35="",5,IF(I35&lt;=20,3,IF(I35&lt;=35,4,IF(I35&lt;=50,6,7)))),IF(Q35="드묾",4,2))))))</x:f>
        <x:v>3</x:v>
      </x:c>
      <x:c r="Z35" s="5" t="inlineStr">
        <x:is>
          <x:t xml:space="preserve">#cobblemon:is_savanna</x:t>
        </x:is>
      </x:c>
      <x:c r="AA35" s="5" t="inlineStr">
        <x:is>
          <x:t xml:space="preserve">uncommon</x:t>
        </x:is>
      </x:c>
      <x:c r="AB35" s="5" t="inlineStr">
        <x:is>
          <x:t xml:space="preserve">예</x:t>
        </x:is>
      </x:c>
      <x:c r="AC35" s="8" t="str">
        <x:f>IF(T35&lt;&gt;"","수동확정",IF(X35="검토필요","검토필요",IF(S35="","원본없음","초기완료")))</x:f>
        <x:v>검토필요</x:v>
      </x:c>
      <x:c r="AD35" s="7" t="inlineStr">
        <x:is>
          <x:t xml:space="preserve"/>
        </x:is>
      </x:c>
      <x:c r="AE35" s="5" t="inlineStr">
        <x:is>
          <x:t xml:space="preserve">.tmp/cobblemon-1.7.3-source/common/src/main/resources/data/cobblemon/species/generation1/nidoqueen.json</x:t>
        </x:is>
      </x:c>
      <x:c r="AF35" s="5" t="str">
        <x:f>"생활권|"&amp;K35</x:f>
        <x:v>생활권|육상</x:v>
      </x:c>
      <x:c r="AG35" s="5" t="str">
        <x:f>"지형|"&amp;L35</x:f>
        <x:v>지형|개활지</x:v>
      </x:c>
      <x:c r="AH35" s="5" t="str">
        <x:f>"온도|"&amp;M35</x:f>
        <x:v>온도|온대</x:v>
      </x:c>
      <x:c r="AI35" s="5" t="str">
        <x:f>"습도|"&amp;N35</x:f>
        <x:v>습도|보통</x:v>
      </x:c>
      <x:c r="AJ35" s="5" t="str">
        <x:f>"날씨|"&amp;O35</x:f>
        <x:v>날씨|무관</x:v>
      </x:c>
      <x:c r="AK35" s="5" t="str">
        <x:f>"특수태그|"&amp;R35</x:f>
        <x:v>특수태그|없음</x:v>
      </x:c>
      <x:c r="AL35" s="5" t="str">
        <x:f>"원본서식지|"&amp;S35</x:f>
        <x:v>원본서식지|평원</x:v>
      </x:c>
      <x:c r="AM35" s="5" t="str">
        <x:f>"타입|"&amp;F35</x:f>
        <x:v>타입|독</x:v>
      </x:c>
      <x:c r="AN35" s="5" t="str">
        <x:f>"타입|"&amp;G35</x:f>
        <x:v>타입|땅</x:v>
      </x:c>
    </x:row>
    <x:row r="36" ht="24" customHeight="1">
      <x:c r="A36" s="5" t="n">
        <x:v>32</x:v>
      </x:c>
      <x:c r="B36" s="5" t="inlineStr">
        <x:is>
          <x:t xml:space="preserve">니드런</x:t>
        </x:is>
      </x:c>
      <x:c r="C36" s="5" t="inlineStr">
        <x:is>
          <x:t xml:space="preserve">nidoranm</x:t>
        </x:is>
      </x:c>
      <x:c r="D36" s="5" t="inlineStr">
        <x:is>
          <x:t xml:space="preserve">Nidoran♂</x:t>
        </x:is>
      </x:c>
      <x:c r="E36" s="5" t="n">
        <x:v>1</x:v>
      </x:c>
      <x:c r="F36" s="5" t="inlineStr">
        <x:is>
          <x:t xml:space="preserve">독</x:t>
        </x:is>
      </x:c>
      <x:c r="G36" s="5" t="inlineStr">
        <x:is>
          <x:t xml:space="preserve"/>
        </x:is>
      </x:c>
      <x:c r="H36" s="6" t="n">
        <x:v>9</x:v>
      </x:c>
      <x:c r="I36" s="5" t="n">
        <x:v>16</x:v>
      </x:c>
      <x:c r="J36" s="5" t="inlineStr">
        <x:is>
          <x:t xml:space="preserve">기본</x:t>
        </x:is>
      </x:c>
      <x:c r="K36" s="7" t="inlineStr">
        <x:is>
          <x:t xml:space="preserve">육상</x:t>
        </x:is>
      </x:c>
      <x:c r="L36" s="7" t="inlineStr">
        <x:is>
          <x:t xml:space="preserve">개활지</x:t>
        </x:is>
      </x:c>
      <x:c r="M36" s="7" t="inlineStr">
        <x:is>
          <x:t xml:space="preserve">온대</x:t>
        </x:is>
      </x:c>
      <x:c r="N36" s="7" t="inlineStr">
        <x:is>
          <x:t xml:space="preserve">보통</x:t>
        </x:is>
      </x:c>
      <x:c r="O36" s="7" t="inlineStr">
        <x:is>
          <x:t xml:space="preserve">무관</x:t>
        </x:is>
      </x:c>
      <x:c r="P36" s="7" t="inlineStr">
        <x:is>
          <x:t xml:space="preserve">무관</x:t>
        </x:is>
      </x:c>
      <x:c r="Q36" s="7" t="inlineStr">
        <x:is>
          <x:t xml:space="preserve">보통</x:t>
        </x:is>
      </x:c>
      <x:c r="R36" s="7" t="inlineStr">
        <x:is>
          <x:t xml:space="preserve">없음</x:t>
        </x:is>
      </x:c>
      <x:c r="S36" s="7" t="inlineStr">
        <x:is>
          <x:t xml:space="preserve">평원</x:t>
        </x:is>
      </x:c>
      <x:c r="T36" s="7" t="inlineStr">
        <x:is>
          <x:t xml:space="preserve"/>
        </x:is>
      </x:c>
      <x:c r="U36" s="8" t="str">
        <x:f>INDEX('서식지_점수'!$E$4:$P$4,1,MATCH(MAX('서식지_점수'!E36:P36),'서식지_점수'!E36:P36,0))</x:f>
        <x:v>평원</x:v>
      </x:c>
      <x:c r="V36" s="8" t="str">
        <x:f>IF(T36&lt;&gt;"",T36,U36)</x:f>
        <x:v>평원</x:v>
      </x:c>
      <x:c r="W36" s="8" t="str">
        <x:f>IFERROR(INDEX('서식지_점수'!$E$4:$P$4,1,MATCH(MAXIFS('서식지_점수'!E36:P36,'서식지_점수'!E36:P36,"&lt;"&amp;MAX('서식지_점수'!E36:P36)),'서식지_점수'!E36:P36,0)),"")</x:f>
        <x:v>숲</x:v>
      </x:c>
      <x:c r="X36" s="8" t="str">
        <x:f>IF(T36&lt;&gt;"","수동확정",IF(MAX('서식지_점수'!E36:P36)-LARGE('서식지_점수'!E36:P36,2)&gt;=15,"높음",IF(MAX('서식지_점수'!E36:P36)-LARGE('서식지_점수'!E36:P36,2)&gt;=8,"보통","검토필요")))</x:f>
        <x:v>검토필요</x:v>
      </x:c>
      <x:c r="Y36" s="9" t="n">
        <x:f>IF(Q36="전설",8,IF(Q36="희귀",7,IF(J36="기본",1,IF(J36="중간",3,IF(J36="최종",IF(I36="",5,IF(I36&lt;=20,3,IF(I36&lt;=35,4,IF(I36&lt;=50,6,7)))),IF(Q36="드묾",4,2))))))</x:f>
        <x:v>1</x:v>
      </x:c>
      <x:c r="Z36" s="5" t="inlineStr">
        <x:is>
          <x:t xml:space="preserve">#cobblemon:is_savanna</x:t>
        </x:is>
      </x:c>
      <x:c r="AA36" s="5" t="inlineStr">
        <x:is>
          <x:t xml:space="preserve">uncommon</x:t>
        </x:is>
      </x:c>
      <x:c r="AB36" s="5" t="inlineStr">
        <x:is>
          <x:t xml:space="preserve">예</x:t>
        </x:is>
      </x:c>
      <x:c r="AC36" s="8" t="str">
        <x:f>IF(T36&lt;&gt;"","수동확정",IF(X36="검토필요","검토필요",IF(S36="","원본없음","초기완료")))</x:f>
        <x:v>검토필요</x:v>
      </x:c>
      <x:c r="AD36" s="7" t="inlineStr">
        <x:is>
          <x:t xml:space="preserve"/>
        </x:is>
      </x:c>
      <x:c r="AE36" s="5" t="inlineStr">
        <x:is>
          <x:t xml:space="preserve">.tmp/cobblemon-1.7.3-source/common/src/main/resources/data/cobblemon/species/generation1/nidoranm.json</x:t>
        </x:is>
      </x:c>
      <x:c r="AF36" s="5" t="str">
        <x:f>"생활권|"&amp;K36</x:f>
        <x:v>생활권|육상</x:v>
      </x:c>
      <x:c r="AG36" s="5" t="str">
        <x:f>"지형|"&amp;L36</x:f>
        <x:v>지형|개활지</x:v>
      </x:c>
      <x:c r="AH36" s="5" t="str">
        <x:f>"온도|"&amp;M36</x:f>
        <x:v>온도|온대</x:v>
      </x:c>
      <x:c r="AI36" s="5" t="str">
        <x:f>"습도|"&amp;N36</x:f>
        <x:v>습도|보통</x:v>
      </x:c>
      <x:c r="AJ36" s="5" t="str">
        <x:f>"날씨|"&amp;O36</x:f>
        <x:v>날씨|무관</x:v>
      </x:c>
      <x:c r="AK36" s="5" t="str">
        <x:f>"특수태그|"&amp;R36</x:f>
        <x:v>특수태그|없음</x:v>
      </x:c>
      <x:c r="AL36" s="5" t="str">
        <x:f>"원본서식지|"&amp;S36</x:f>
        <x:v>원본서식지|평원</x:v>
      </x:c>
      <x:c r="AM36" s="5" t="str">
        <x:f>"타입|"&amp;F36</x:f>
        <x:v>타입|독</x:v>
      </x:c>
      <x:c r="AN36" s="5" t="str">
        <x:f>"타입|"&amp;G36</x:f>
        <x:v>타입|</x:v>
      </x:c>
    </x:row>
    <x:row r="37" ht="24" customHeight="1">
      <x:c r="A37" s="5" t="n">
        <x:v>33</x:v>
      </x:c>
      <x:c r="B37" s="5" t="inlineStr">
        <x:is>
          <x:t xml:space="preserve">니드리노</x:t>
        </x:is>
      </x:c>
      <x:c r="C37" s="5" t="inlineStr">
        <x:is>
          <x:t xml:space="preserve">nidorino</x:t>
        </x:is>
      </x:c>
      <x:c r="D37" s="5" t="inlineStr">
        <x:is>
          <x:t xml:space="preserve">Nidorino</x:t>
        </x:is>
      </x:c>
      <x:c r="E37" s="5" t="n">
        <x:v>1</x:v>
      </x:c>
      <x:c r="F37" s="5" t="inlineStr">
        <x:is>
          <x:t xml:space="preserve">독</x:t>
        </x:is>
      </x:c>
      <x:c r="G37" s="5" t="inlineStr">
        <x:is>
          <x:t xml:space="preserve"/>
        </x:is>
      </x:c>
      <x:c r="H37" s="6" t="n">
        <x:v>19.5</x:v>
      </x:c>
      <x:c r="I37" s="5" t="n">
        <x:v>16</x:v>
      </x:c>
      <x:c r="J37" s="5" t="inlineStr">
        <x:is>
          <x:t xml:space="preserve">중간</x:t>
        </x:is>
      </x:c>
      <x:c r="K37" s="7" t="inlineStr">
        <x:is>
          <x:t xml:space="preserve">육상</x:t>
        </x:is>
      </x:c>
      <x:c r="L37" s="7" t="inlineStr">
        <x:is>
          <x:t xml:space="preserve">개활지</x:t>
        </x:is>
      </x:c>
      <x:c r="M37" s="7" t="inlineStr">
        <x:is>
          <x:t xml:space="preserve">온대</x:t>
        </x:is>
      </x:c>
      <x:c r="N37" s="7" t="inlineStr">
        <x:is>
          <x:t xml:space="preserve">보통</x:t>
        </x:is>
      </x:c>
      <x:c r="O37" s="7" t="inlineStr">
        <x:is>
          <x:t xml:space="preserve">무관</x:t>
        </x:is>
      </x:c>
      <x:c r="P37" s="7" t="inlineStr">
        <x:is>
          <x:t xml:space="preserve">무관</x:t>
        </x:is>
      </x:c>
      <x:c r="Q37" s="7" t="inlineStr">
        <x:is>
          <x:t xml:space="preserve">보통</x:t>
        </x:is>
      </x:c>
      <x:c r="R37" s="7" t="inlineStr">
        <x:is>
          <x:t xml:space="preserve">없음</x:t>
        </x:is>
      </x:c>
      <x:c r="S37" s="7" t="inlineStr">
        <x:is>
          <x:t xml:space="preserve">평원</x:t>
        </x:is>
      </x:c>
      <x:c r="T37" s="7" t="inlineStr">
        <x:is>
          <x:t xml:space="preserve"/>
        </x:is>
      </x:c>
      <x:c r="U37" s="8" t="str">
        <x:f>INDEX('서식지_점수'!$E$4:$P$4,1,MATCH(MAX('서식지_점수'!E37:P37),'서식지_점수'!E37:P37,0))</x:f>
        <x:v>평원</x:v>
      </x:c>
      <x:c r="V37" s="8" t="str">
        <x:f>IF(T37&lt;&gt;"",T37,U37)</x:f>
        <x:v>평원</x:v>
      </x:c>
      <x:c r="W37" s="8" t="str">
        <x:f>IFERROR(INDEX('서식지_점수'!$E$4:$P$4,1,MATCH(MAXIFS('서식지_점수'!E37:P37,'서식지_점수'!E37:P37,"&lt;"&amp;MAX('서식지_점수'!E37:P37)),'서식지_점수'!E37:P37,0)),"")</x:f>
        <x:v>숲</x:v>
      </x:c>
      <x:c r="X37" s="8" t="str">
        <x:f>IF(T37&lt;&gt;"","수동확정",IF(MAX('서식지_점수'!E37:P37)-LARGE('서식지_점수'!E37:P37,2)&gt;=15,"높음",IF(MAX('서식지_점수'!E37:P37)-LARGE('서식지_점수'!E37:P37,2)&gt;=8,"보통","검토필요")))</x:f>
        <x:v>검토필요</x:v>
      </x:c>
      <x:c r="Y37" s="9" t="n">
        <x:f>IF(Q37="전설",8,IF(Q37="희귀",7,IF(J37="기본",1,IF(J37="중간",3,IF(J37="최종",IF(I37="",5,IF(I37&lt;=20,3,IF(I37&lt;=35,4,IF(I37&lt;=50,6,7)))),IF(Q37="드묾",4,2))))))</x:f>
        <x:v>3</x:v>
      </x:c>
      <x:c r="Z37" s="5" t="inlineStr">
        <x:is>
          <x:t xml:space="preserve">#cobblemon:is_savanna</x:t>
        </x:is>
      </x:c>
      <x:c r="AA37" s="5" t="inlineStr">
        <x:is>
          <x:t xml:space="preserve">uncommon</x:t>
        </x:is>
      </x:c>
      <x:c r="AB37" s="5" t="inlineStr">
        <x:is>
          <x:t xml:space="preserve">예</x:t>
        </x:is>
      </x:c>
      <x:c r="AC37" s="8" t="str">
        <x:f>IF(T37&lt;&gt;"","수동확정",IF(X37="검토필요","검토필요",IF(S37="","원본없음","초기완료")))</x:f>
        <x:v>검토필요</x:v>
      </x:c>
      <x:c r="AD37" s="7" t="inlineStr">
        <x:is>
          <x:t xml:space="preserve"/>
        </x:is>
      </x:c>
      <x:c r="AE37" s="5" t="inlineStr">
        <x:is>
          <x:t xml:space="preserve">.tmp/cobblemon-1.7.3-source/common/src/main/resources/data/cobblemon/species/generation1/nidorino.json</x:t>
        </x:is>
      </x:c>
      <x:c r="AF37" s="5" t="str">
        <x:f>"생활권|"&amp;K37</x:f>
        <x:v>생활권|육상</x:v>
      </x:c>
      <x:c r="AG37" s="5" t="str">
        <x:f>"지형|"&amp;L37</x:f>
        <x:v>지형|개활지</x:v>
      </x:c>
      <x:c r="AH37" s="5" t="str">
        <x:f>"온도|"&amp;M37</x:f>
        <x:v>온도|온대</x:v>
      </x:c>
      <x:c r="AI37" s="5" t="str">
        <x:f>"습도|"&amp;N37</x:f>
        <x:v>습도|보통</x:v>
      </x:c>
      <x:c r="AJ37" s="5" t="str">
        <x:f>"날씨|"&amp;O37</x:f>
        <x:v>날씨|무관</x:v>
      </x:c>
      <x:c r="AK37" s="5" t="str">
        <x:f>"특수태그|"&amp;R37</x:f>
        <x:v>특수태그|없음</x:v>
      </x:c>
      <x:c r="AL37" s="5" t="str">
        <x:f>"원본서식지|"&amp;S37</x:f>
        <x:v>원본서식지|평원</x:v>
      </x:c>
      <x:c r="AM37" s="5" t="str">
        <x:f>"타입|"&amp;F37</x:f>
        <x:v>타입|독</x:v>
      </x:c>
      <x:c r="AN37" s="5" t="str">
        <x:f>"타입|"&amp;G37</x:f>
        <x:v>타입|</x:v>
      </x:c>
    </x:row>
    <x:row r="38" ht="24" customHeight="1">
      <x:c r="A38" s="5" t="n">
        <x:v>34</x:v>
      </x:c>
      <x:c r="B38" s="5" t="inlineStr">
        <x:is>
          <x:t xml:space="preserve">니드킹</x:t>
        </x:is>
      </x:c>
      <x:c r="C38" s="5" t="inlineStr">
        <x:is>
          <x:t xml:space="preserve">nidoking</x:t>
        </x:is>
      </x:c>
      <x:c r="D38" s="5" t="inlineStr">
        <x:is>
          <x:t xml:space="preserve">Nidoking</x:t>
        </x:is>
      </x:c>
      <x:c r="E38" s="5" t="n">
        <x:v>1</x:v>
      </x:c>
      <x:c r="F38" s="5" t="inlineStr">
        <x:is>
          <x:t xml:space="preserve">독</x:t>
        </x:is>
      </x:c>
      <x:c r="G38" s="5" t="inlineStr">
        <x:is>
          <x:t xml:space="preserve">땅</x:t>
        </x:is>
      </x:c>
      <x:c r="H38" s="6" t="n">
        <x:v>62</x:v>
      </x:c>
      <x:c r="I38" s="5" t="n">
        <x:v>16</x:v>
      </x:c>
      <x:c r="J38" s="5" t="inlineStr">
        <x:is>
          <x:t xml:space="preserve">최종</x:t>
        </x:is>
      </x:c>
      <x:c r="K38" s="7" t="inlineStr">
        <x:is>
          <x:t xml:space="preserve">육상</x:t>
        </x:is>
      </x:c>
      <x:c r="L38" s="7" t="inlineStr">
        <x:is>
          <x:t xml:space="preserve">개활지</x:t>
        </x:is>
      </x:c>
      <x:c r="M38" s="7" t="inlineStr">
        <x:is>
          <x:t xml:space="preserve">온대</x:t>
        </x:is>
      </x:c>
      <x:c r="N38" s="7" t="inlineStr">
        <x:is>
          <x:t xml:space="preserve">보통</x:t>
        </x:is>
      </x:c>
      <x:c r="O38" s="7" t="inlineStr">
        <x:is>
          <x:t xml:space="preserve">무관</x:t>
        </x:is>
      </x:c>
      <x:c r="P38" s="7" t="inlineStr">
        <x:is>
          <x:t xml:space="preserve">무관</x:t>
        </x:is>
      </x:c>
      <x:c r="Q38" s="7" t="inlineStr">
        <x:is>
          <x:t xml:space="preserve">보통</x:t>
        </x:is>
      </x:c>
      <x:c r="R38" s="7" t="inlineStr">
        <x:is>
          <x:t xml:space="preserve">없음</x:t>
        </x:is>
      </x:c>
      <x:c r="S38" s="7" t="inlineStr">
        <x:is>
          <x:t xml:space="preserve">평원</x:t>
        </x:is>
      </x:c>
      <x:c r="T38" s="7" t="inlineStr">
        <x:is>
          <x:t xml:space="preserve"/>
        </x:is>
      </x:c>
      <x:c r="U38" s="8" t="str">
        <x:f>INDEX('서식지_점수'!$E$4:$P$4,1,MATCH(MAX('서식지_점수'!E38:P38),'서식지_점수'!E38:P38,0))</x:f>
        <x:v>평원</x:v>
      </x:c>
      <x:c r="V38" s="8" t="str">
        <x:f>IF(T38&lt;&gt;"",T38,U38)</x:f>
        <x:v>평원</x:v>
      </x:c>
      <x:c r="W38" s="8" t="str">
        <x:f>IFERROR(INDEX('서식지_점수'!$E$4:$P$4,1,MATCH(MAXIFS('서식지_점수'!E38:P38,'서식지_점수'!E38:P38,"&lt;"&amp;MAX('서식지_점수'!E38:P38)),'서식지_점수'!E38:P38,0)),"")</x:f>
        <x:v>숲</x:v>
      </x:c>
      <x:c r="X38" s="8" t="str">
        <x:f>IF(T38&lt;&gt;"","수동확정",IF(MAX('서식지_점수'!E38:P38)-LARGE('서식지_점수'!E38:P38,2)&gt;=15,"높음",IF(MAX('서식지_점수'!E38:P38)-LARGE('서식지_점수'!E38:P38,2)&gt;=8,"보통","검토필요")))</x:f>
        <x:v>검토필요</x:v>
      </x:c>
      <x:c r="Y38" s="9" t="n">
        <x:f>IF(Q38="전설",8,IF(Q38="희귀",7,IF(J38="기본",1,IF(J38="중간",3,IF(J38="최종",IF(I38="",5,IF(I38&lt;=20,3,IF(I38&lt;=35,4,IF(I38&lt;=50,6,7)))),IF(Q38="드묾",4,2))))))</x:f>
        <x:v>3</x:v>
      </x:c>
      <x:c r="Z38" s="5" t="inlineStr">
        <x:is>
          <x:t xml:space="preserve">#cobblemon:is_savanna</x:t>
        </x:is>
      </x:c>
      <x:c r="AA38" s="5" t="inlineStr">
        <x:is>
          <x:t xml:space="preserve">uncommon</x:t>
        </x:is>
      </x:c>
      <x:c r="AB38" s="5" t="inlineStr">
        <x:is>
          <x:t xml:space="preserve">예</x:t>
        </x:is>
      </x:c>
      <x:c r="AC38" s="8" t="str">
        <x:f>IF(T38&lt;&gt;"","수동확정",IF(X38="검토필요","검토필요",IF(S38="","원본없음","초기완료")))</x:f>
        <x:v>검토필요</x:v>
      </x:c>
      <x:c r="AD38" s="7" t="inlineStr">
        <x:is>
          <x:t xml:space="preserve"/>
        </x:is>
      </x:c>
      <x:c r="AE38" s="5" t="inlineStr">
        <x:is>
          <x:t xml:space="preserve">.tmp/cobblemon-1.7.3-source/common/src/main/resources/data/cobblemon/species/generation1/nidoking.json</x:t>
        </x:is>
      </x:c>
      <x:c r="AF38" s="5" t="str">
        <x:f>"생활권|"&amp;K38</x:f>
        <x:v>생활권|육상</x:v>
      </x:c>
      <x:c r="AG38" s="5" t="str">
        <x:f>"지형|"&amp;L38</x:f>
        <x:v>지형|개활지</x:v>
      </x:c>
      <x:c r="AH38" s="5" t="str">
        <x:f>"온도|"&amp;M38</x:f>
        <x:v>온도|온대</x:v>
      </x:c>
      <x:c r="AI38" s="5" t="str">
        <x:f>"습도|"&amp;N38</x:f>
        <x:v>습도|보통</x:v>
      </x:c>
      <x:c r="AJ38" s="5" t="str">
        <x:f>"날씨|"&amp;O38</x:f>
        <x:v>날씨|무관</x:v>
      </x:c>
      <x:c r="AK38" s="5" t="str">
        <x:f>"특수태그|"&amp;R38</x:f>
        <x:v>특수태그|없음</x:v>
      </x:c>
      <x:c r="AL38" s="5" t="str">
        <x:f>"원본서식지|"&amp;S38</x:f>
        <x:v>원본서식지|평원</x:v>
      </x:c>
      <x:c r="AM38" s="5" t="str">
        <x:f>"타입|"&amp;F38</x:f>
        <x:v>타입|독</x:v>
      </x:c>
      <x:c r="AN38" s="5" t="str">
        <x:f>"타입|"&amp;G38</x:f>
        <x:v>타입|땅</x:v>
      </x:c>
    </x:row>
    <x:row r="39" ht="24" customHeight="1">
      <x:c r="A39" s="5" t="n">
        <x:v>35</x:v>
      </x:c>
      <x:c r="B39" s="5" t="inlineStr">
        <x:is>
          <x:t xml:space="preserve">삐삐</x:t>
        </x:is>
      </x:c>
      <x:c r="C39" s="5" t="inlineStr">
        <x:is>
          <x:t xml:space="preserve">clefairy</x:t>
        </x:is>
      </x:c>
      <x:c r="D39" s="5" t="inlineStr">
        <x:is>
          <x:t xml:space="preserve">Clefairy</x:t>
        </x:is>
      </x:c>
      <x:c r="E39" s="5" t="n">
        <x:v>1</x:v>
      </x:c>
      <x:c r="F39" s="5" t="inlineStr">
        <x:is>
          <x:t xml:space="preserve">페어리</x:t>
        </x:is>
      </x:c>
      <x:c r="G39" s="5" t="inlineStr">
        <x:is>
          <x:t xml:space="preserve"/>
        </x:is>
      </x:c>
      <x:c r="H39" s="6" t="n">
        <x:v>7.5</x:v>
      </x:c>
      <x:c r="I39" s="5" t="n"/>
      <x:c r="J39" s="5" t="inlineStr">
        <x:is>
          <x:t xml:space="preserve">중간</x:t>
        </x:is>
      </x:c>
      <x:c r="K39" s="7" t="inlineStr">
        <x:is>
          <x:t xml:space="preserve">비행</x:t>
        </x:is>
      </x:c>
      <x:c r="L39" s="7" t="inlineStr">
        <x:is>
          <x:t xml:space="preserve">동굴</x:t>
        </x:is>
      </x:c>
      <x:c r="M39" s="7" t="inlineStr">
        <x:is>
          <x:t xml:space="preserve">온대</x:t>
        </x:is>
      </x:c>
      <x:c r="N39" s="7" t="inlineStr">
        <x:is>
          <x:t xml:space="preserve">보통</x:t>
        </x:is>
      </x:c>
      <x:c r="O39" s="7" t="inlineStr">
        <x:is>
          <x:t xml:space="preserve">무관</x:t>
        </x:is>
      </x:c>
      <x:c r="P39" s="7" t="inlineStr">
        <x:is>
          <x:t xml:space="preserve">밤</x:t>
        </x:is>
      </x:c>
      <x:c r="Q39" s="7" t="inlineStr">
        <x:is>
          <x:t xml:space="preserve">보통</x:t>
        </x:is>
      </x:c>
      <x:c r="R39" s="7" t="inlineStr">
        <x:is>
          <x:t xml:space="preserve">동굴</x:t>
        </x:is>
      </x:c>
      <x:c r="S39" s="7" t="inlineStr">
        <x:is>
          <x:t xml:space="preserve">동굴</x:t>
        </x:is>
      </x:c>
      <x:c r="T39" s="7" t="inlineStr">
        <x:is>
          <x:t xml:space="preserve"/>
        </x:is>
      </x:c>
      <x:c r="U39" s="8" t="str">
        <x:f>INDEX('서식지_점수'!$E$4:$P$4,1,MATCH(MAX('서식지_점수'!E39:P39),'서식지_점수'!E39:P39,0))</x:f>
        <x:v>산악</x:v>
      </x:c>
      <x:c r="V39" s="8" t="str">
        <x:f>IF(T39&lt;&gt;"",T39,U39)</x:f>
        <x:v>산악</x:v>
      </x:c>
      <x:c r="W39" s="8" t="str">
        <x:f>IFERROR(INDEX('서식지_점수'!$E$4:$P$4,1,MATCH(MAXIFS('서식지_점수'!E39:P39,'서식지_점수'!E39:P39,"&lt;"&amp;MAX('서식지_점수'!E39:P39)),'서식지_점수'!E39:P39,0)),"")</x:f>
        <x:v>평원</x:v>
      </x:c>
      <x:c r="X39" s="8" t="str">
        <x:f>IF(T39&lt;&gt;"","수동확정",IF(MAX('서식지_점수'!E39:P39)-LARGE('서식지_점수'!E39:P39,2)&gt;=15,"높음",IF(MAX('서식지_점수'!E39:P39)-LARGE('서식지_점수'!E39:P39,2)&gt;=8,"보통","검토필요")))</x:f>
        <x:v>검토필요</x:v>
      </x:c>
      <x:c r="Y39" s="9" t="n">
        <x:f>IF(Q39="전설",8,IF(Q39="희귀",7,IF(J39="기본",1,IF(J39="중간",3,IF(J39="최종",IF(I39="",5,IF(I39&lt;=20,3,IF(I39&lt;=35,4,IF(I39&lt;=50,6,7)))),IF(Q39="드묾",4,2))))))</x:f>
        <x:v>3</x:v>
      </x:c>
      <x:c r="Z39" s="5" t="inlineStr">
        <x:is>
          <x:t xml:space="preserve">#aether:is_aether; #cobblemon:is_dripstone; #cobblemon:is_hills; #cobblemon:is_magical</x:t>
        </x:is>
      </x:c>
      <x:c r="AA39" s="5" t="inlineStr">
        <x:is>
          <x:t xml:space="preserve">uncommon</x:t>
        </x:is>
      </x:c>
      <x:c r="AB39" s="5" t="inlineStr">
        <x:is>
          <x:t xml:space="preserve">예</x:t>
        </x:is>
      </x:c>
      <x:c r="AC39" s="8" t="str">
        <x:f>IF(T39&lt;&gt;"","수동확정",IF(X39="검토필요","검토필요",IF(S39="","원본없음","초기완료")))</x:f>
        <x:v>검토필요</x:v>
      </x:c>
      <x:c r="AD39" s="7" t="inlineStr">
        <x:is>
          <x:t xml:space="preserve"/>
        </x:is>
      </x:c>
      <x:c r="AE39" s="5" t="inlineStr">
        <x:is>
          <x:t xml:space="preserve">.tmp/cobblemon-1.7.3-source/common/src/main/resources/data/cobblemon/species/generation1/clefairy.json</x:t>
        </x:is>
      </x:c>
      <x:c r="AF39" s="5" t="str">
        <x:f>"생활권|"&amp;K39</x:f>
        <x:v>생활권|비행</x:v>
      </x:c>
      <x:c r="AG39" s="5" t="str">
        <x:f>"지형|"&amp;L39</x:f>
        <x:v>지형|동굴</x:v>
      </x:c>
      <x:c r="AH39" s="5" t="str">
        <x:f>"온도|"&amp;M39</x:f>
        <x:v>온도|온대</x:v>
      </x:c>
      <x:c r="AI39" s="5" t="str">
        <x:f>"습도|"&amp;N39</x:f>
        <x:v>습도|보통</x:v>
      </x:c>
      <x:c r="AJ39" s="5" t="str">
        <x:f>"날씨|"&amp;O39</x:f>
        <x:v>날씨|무관</x:v>
      </x:c>
      <x:c r="AK39" s="5" t="str">
        <x:f>"특수태그|"&amp;R39</x:f>
        <x:v>특수태그|동굴</x:v>
      </x:c>
      <x:c r="AL39" s="5" t="str">
        <x:f>"원본서식지|"&amp;S39</x:f>
        <x:v>원본서식지|동굴</x:v>
      </x:c>
      <x:c r="AM39" s="5" t="str">
        <x:f>"타입|"&amp;F39</x:f>
        <x:v>타입|페어리</x:v>
      </x:c>
      <x:c r="AN39" s="5" t="str">
        <x:f>"타입|"&amp;G39</x:f>
        <x:v>타입|</x:v>
      </x:c>
    </x:row>
    <x:row r="40" ht="24" customHeight="1">
      <x:c r="A40" s="5" t="n">
        <x:v>36</x:v>
      </x:c>
      <x:c r="B40" s="5" t="inlineStr">
        <x:is>
          <x:t xml:space="preserve">픽시</x:t>
        </x:is>
      </x:c>
      <x:c r="C40" s="5" t="inlineStr">
        <x:is>
          <x:t xml:space="preserve">clefable</x:t>
        </x:is>
      </x:c>
      <x:c r="D40" s="5" t="inlineStr">
        <x:is>
          <x:t xml:space="preserve">Clefable</x:t>
        </x:is>
      </x:c>
      <x:c r="E40" s="5" t="n">
        <x:v>1</x:v>
      </x:c>
      <x:c r="F40" s="5" t="inlineStr">
        <x:is>
          <x:t xml:space="preserve">페어리</x:t>
        </x:is>
      </x:c>
      <x:c r="G40" s="5" t="inlineStr">
        <x:is>
          <x:t xml:space="preserve"/>
        </x:is>
      </x:c>
      <x:c r="H40" s="6" t="n">
        <x:v>40</x:v>
      </x:c>
      <x:c r="I40" s="5" t="n"/>
      <x:c r="J40" s="5" t="inlineStr">
        <x:is>
          <x:t xml:space="preserve">최종</x:t>
        </x:is>
      </x:c>
      <x:c r="K40" s="7" t="inlineStr">
        <x:is>
          <x:t xml:space="preserve">비행</x:t>
        </x:is>
      </x:c>
      <x:c r="L40" s="7" t="inlineStr">
        <x:is>
          <x:t xml:space="preserve">동굴</x:t>
        </x:is>
      </x:c>
      <x:c r="M40" s="7" t="inlineStr">
        <x:is>
          <x:t xml:space="preserve">온대</x:t>
        </x:is>
      </x:c>
      <x:c r="N40" s="7" t="inlineStr">
        <x:is>
          <x:t xml:space="preserve">보통</x:t>
        </x:is>
      </x:c>
      <x:c r="O40" s="7" t="inlineStr">
        <x:is>
          <x:t xml:space="preserve">무관</x:t>
        </x:is>
      </x:c>
      <x:c r="P40" s="7" t="inlineStr">
        <x:is>
          <x:t xml:space="preserve">밤</x:t>
        </x:is>
      </x:c>
      <x:c r="Q40" s="7" t="inlineStr">
        <x:is>
          <x:t xml:space="preserve">보통</x:t>
        </x:is>
      </x:c>
      <x:c r="R40" s="7" t="inlineStr">
        <x:is>
          <x:t xml:space="preserve">동굴</x:t>
        </x:is>
      </x:c>
      <x:c r="S40" s="7" t="inlineStr">
        <x:is>
          <x:t xml:space="preserve">동굴</x:t>
        </x:is>
      </x:c>
      <x:c r="T40" s="7" t="inlineStr">
        <x:is>
          <x:t xml:space="preserve"/>
        </x:is>
      </x:c>
      <x:c r="U40" s="8" t="str">
        <x:f>INDEX('서식지_점수'!$E$4:$P$4,1,MATCH(MAX('서식지_점수'!E40:P40),'서식지_점수'!E40:P40,0))</x:f>
        <x:v>산악</x:v>
      </x:c>
      <x:c r="V40" s="8" t="str">
        <x:f>IF(T40&lt;&gt;"",T40,U40)</x:f>
        <x:v>산악</x:v>
      </x:c>
      <x:c r="W40" s="8" t="str">
        <x:f>IFERROR(INDEX('서식지_점수'!$E$4:$P$4,1,MATCH(MAXIFS('서식지_점수'!E40:P40,'서식지_점수'!E40:P40,"&lt;"&amp;MAX('서식지_점수'!E40:P40)),'서식지_점수'!E40:P40,0)),"")</x:f>
        <x:v>평원</x:v>
      </x:c>
      <x:c r="X40" s="8" t="str">
        <x:f>IF(T40&lt;&gt;"","수동확정",IF(MAX('서식지_점수'!E40:P40)-LARGE('서식지_점수'!E40:P40,2)&gt;=15,"높음",IF(MAX('서식지_점수'!E40:P40)-LARGE('서식지_점수'!E40:P40,2)&gt;=8,"보통","검토필요")))</x:f>
        <x:v>검토필요</x:v>
      </x:c>
      <x:c r="Y40" s="9" t="n">
        <x:f>IF(Q40="전설",8,IF(Q40="희귀",7,IF(J40="기본",1,IF(J40="중간",3,IF(J40="최종",IF(I40="",5,IF(I40&lt;=20,3,IF(I40&lt;=35,4,IF(I40&lt;=50,6,7)))),IF(Q40="드묾",4,2))))))</x:f>
        <x:v>5</x:v>
      </x:c>
      <x:c r="Z40" s="5" t="inlineStr">
        <x:is>
          <x:t xml:space="preserve">#aether:is_aether; #cobblemon:is_dripstone; #cobblemon:is_hills; #cobblemon:is_magical</x:t>
        </x:is>
      </x:c>
      <x:c r="AA40" s="5" t="inlineStr">
        <x:is>
          <x:t xml:space="preserve">uncommon</x:t>
        </x:is>
      </x:c>
      <x:c r="AB40" s="5" t="inlineStr">
        <x:is>
          <x:t xml:space="preserve">예</x:t>
        </x:is>
      </x:c>
      <x:c r="AC40" s="8" t="str">
        <x:f>IF(T40&lt;&gt;"","수동확정",IF(X40="검토필요","검토필요",IF(S40="","원본없음","초기완료")))</x:f>
        <x:v>검토필요</x:v>
      </x:c>
      <x:c r="AD40" s="7" t="inlineStr">
        <x:is>
          <x:t xml:space="preserve"/>
        </x:is>
      </x:c>
      <x:c r="AE40" s="5" t="inlineStr">
        <x:is>
          <x:t xml:space="preserve">.tmp/cobblemon-1.7.3-source/common/src/main/resources/data/cobblemon/species/generation1/clefable.json</x:t>
        </x:is>
      </x:c>
      <x:c r="AF40" s="5" t="str">
        <x:f>"생활권|"&amp;K40</x:f>
        <x:v>생활권|비행</x:v>
      </x:c>
      <x:c r="AG40" s="5" t="str">
        <x:f>"지형|"&amp;L40</x:f>
        <x:v>지형|동굴</x:v>
      </x:c>
      <x:c r="AH40" s="5" t="str">
        <x:f>"온도|"&amp;M40</x:f>
        <x:v>온도|온대</x:v>
      </x:c>
      <x:c r="AI40" s="5" t="str">
        <x:f>"습도|"&amp;N40</x:f>
        <x:v>습도|보통</x:v>
      </x:c>
      <x:c r="AJ40" s="5" t="str">
        <x:f>"날씨|"&amp;O40</x:f>
        <x:v>날씨|무관</x:v>
      </x:c>
      <x:c r="AK40" s="5" t="str">
        <x:f>"특수태그|"&amp;R40</x:f>
        <x:v>특수태그|동굴</x:v>
      </x:c>
      <x:c r="AL40" s="5" t="str">
        <x:f>"원본서식지|"&amp;S40</x:f>
        <x:v>원본서식지|동굴</x:v>
      </x:c>
      <x:c r="AM40" s="5" t="str">
        <x:f>"타입|"&amp;F40</x:f>
        <x:v>타입|페어리</x:v>
      </x:c>
      <x:c r="AN40" s="5" t="str">
        <x:f>"타입|"&amp;G40</x:f>
        <x:v>타입|</x:v>
      </x:c>
    </x:row>
    <x:row r="41" ht="24" customHeight="1">
      <x:c r="A41" s="5" t="n">
        <x:v>37</x:v>
      </x:c>
      <x:c r="B41" s="5" t="inlineStr">
        <x:is>
          <x:t xml:space="preserve">식스테일</x:t>
        </x:is>
      </x:c>
      <x:c r="C41" s="5" t="inlineStr">
        <x:is>
          <x:t xml:space="preserve">vulpix</x:t>
        </x:is>
      </x:c>
      <x:c r="D41" s="5" t="inlineStr">
        <x:is>
          <x:t xml:space="preserve">Vulpix</x:t>
        </x:is>
      </x:c>
      <x:c r="E41" s="5" t="n">
        <x:v>1</x:v>
      </x:c>
      <x:c r="F41" s="5" t="inlineStr">
        <x:is>
          <x:t xml:space="preserve">불꽃</x:t>
        </x:is>
      </x:c>
      <x:c r="G41" s="5" t="inlineStr">
        <x:is>
          <x:t xml:space="preserve"/>
        </x:is>
      </x:c>
      <x:c r="H41" s="6" t="n">
        <x:v>9.9</x:v>
      </x:c>
      <x:c r="I41" s="5" t="n"/>
      <x:c r="J41" s="5" t="inlineStr">
        <x:is>
          <x:t xml:space="preserve">기본</x:t>
        </x:is>
      </x:c>
      <x:c r="K41" s="7" t="inlineStr">
        <x:is>
          <x:t xml:space="preserve">육상</x:t>
        </x:is>
      </x:c>
      <x:c r="L41" s="7" t="inlineStr">
        <x:is>
          <x:t xml:space="preserve">수목</x:t>
        </x:is>
      </x:c>
      <x:c r="M41" s="7" t="inlineStr">
        <x:is>
          <x:t xml:space="preserve">서늘</x:t>
        </x:is>
      </x:c>
      <x:c r="N41" s="7" t="inlineStr">
        <x:is>
          <x:t xml:space="preserve">보통</x:t>
        </x:is>
      </x:c>
      <x:c r="O41" s="7" t="inlineStr">
        <x:is>
          <x:t xml:space="preserve">무관</x:t>
        </x:is>
      </x:c>
      <x:c r="P41" s="7" t="inlineStr">
        <x:is>
          <x:t xml:space="preserve">무관</x:t>
        </x:is>
      </x:c>
      <x:c r="Q41" s="7" t="inlineStr">
        <x:is>
          <x:t xml:space="preserve">보통</x:t>
        </x:is>
      </x:c>
      <x:c r="R41" s="7" t="inlineStr">
        <x:is>
          <x:t xml:space="preserve">없음</x:t>
        </x:is>
      </x:c>
      <x:c r="S41" s="7" t="inlineStr">
        <x:is>
          <x:t xml:space="preserve">숲</x:t>
        </x:is>
      </x:c>
      <x:c r="T41" s="7" t="inlineStr">
        <x:is>
          <x:t xml:space="preserve"/>
        </x:is>
      </x:c>
      <x:c r="U41" s="8" t="str">
        <x:f>INDEX('서식지_점수'!$E$4:$P$4,1,MATCH(MAX('서식지_점수'!E41:P41),'서식지_점수'!E41:P41,0))</x:f>
        <x:v>평원</x:v>
      </x:c>
      <x:c r="V41" s="8" t="str">
        <x:f>IF(T41&lt;&gt;"",T41,U41)</x:f>
        <x:v>평원</x:v>
      </x:c>
      <x:c r="W41" s="8" t="str">
        <x:f>IFERROR(INDEX('서식지_점수'!$E$4:$P$4,1,MATCH(MAXIFS('서식지_점수'!E41:P41,'서식지_점수'!E41:P41,"&lt;"&amp;MAX('서식지_점수'!E41:P41)),'서식지_점수'!E41:P41,0)),"")</x:f>
        <x:v>숲</x:v>
      </x:c>
      <x:c r="X41" s="8" t="str">
        <x:f>IF(T41&lt;&gt;"","수동확정",IF(MAX('서식지_점수'!E41:P41)-LARGE('서식지_점수'!E41:P41,2)&gt;=15,"높음",IF(MAX('서식지_점수'!E41:P41)-LARGE('서식지_점수'!E41:P41,2)&gt;=8,"보통","검토필요")))</x:f>
        <x:v>검토필요</x:v>
      </x:c>
      <x:c r="Y41" s="9" t="n">
        <x:f>IF(Q41="전설",8,IF(Q41="희귀",7,IF(J41="기본",1,IF(J41="중간",3,IF(J41="최종",IF(I41="",5,IF(I41&lt;=20,3,IF(I41&lt;=35,4,IF(I41&lt;=50,6,7)))),IF(Q41="드묾",4,2))))))</x:f>
        <x:v>1</x:v>
      </x:c>
      <x:c r="Z41" s="5" t="inlineStr">
        <x:is>
          <x:t xml:space="preserve">#cobblemon:is_forest; #cobblemon:is_snowy_forest; #cobblemon:is_snowy_taiga; #cobblemon:is_taiga; #cobblemon:nether/is_forest; minecraft:snowy_plains</x:t>
        </x:is>
      </x:c>
      <x:c r="AA41" s="5" t="inlineStr">
        <x:is>
          <x:t xml:space="preserve">common; rare; uncommon</x:t>
        </x:is>
      </x:c>
      <x:c r="AB41" s="5" t="inlineStr">
        <x:is>
          <x:t xml:space="preserve">예</x:t>
        </x:is>
      </x:c>
      <x:c r="AC41" s="8" t="str">
        <x:f>IF(T41&lt;&gt;"","수동확정",IF(X41="검토필요","검토필요",IF(S41="","원본없음","초기완료")))</x:f>
        <x:v>검토필요</x:v>
      </x:c>
      <x:c r="AD41" s="7" t="inlineStr">
        <x:is>
          <x:t xml:space="preserve"/>
        </x:is>
      </x:c>
      <x:c r="AE41" s="5" t="inlineStr">
        <x:is>
          <x:t xml:space="preserve">.tmp/cobblemon-1.7.3-source/common/src/main/resources/data/cobblemon/species/generation1/vulpix.json</x:t>
        </x:is>
      </x:c>
      <x:c r="AF41" s="5" t="str">
        <x:f>"생활권|"&amp;K41</x:f>
        <x:v>생활권|육상</x:v>
      </x:c>
      <x:c r="AG41" s="5" t="str">
        <x:f>"지형|"&amp;L41</x:f>
        <x:v>지형|수목</x:v>
      </x:c>
      <x:c r="AH41" s="5" t="str">
        <x:f>"온도|"&amp;M41</x:f>
        <x:v>온도|서늘</x:v>
      </x:c>
      <x:c r="AI41" s="5" t="str">
        <x:f>"습도|"&amp;N41</x:f>
        <x:v>습도|보통</x:v>
      </x:c>
      <x:c r="AJ41" s="5" t="str">
        <x:f>"날씨|"&amp;O41</x:f>
        <x:v>날씨|무관</x:v>
      </x:c>
      <x:c r="AK41" s="5" t="str">
        <x:f>"특수태그|"&amp;R41</x:f>
        <x:v>특수태그|없음</x:v>
      </x:c>
      <x:c r="AL41" s="5" t="str">
        <x:f>"원본서식지|"&amp;S41</x:f>
        <x:v>원본서식지|숲</x:v>
      </x:c>
      <x:c r="AM41" s="5" t="str">
        <x:f>"타입|"&amp;F41</x:f>
        <x:v>타입|불꽃</x:v>
      </x:c>
      <x:c r="AN41" s="5" t="str">
        <x:f>"타입|"&amp;G41</x:f>
        <x:v>타입|</x:v>
      </x:c>
    </x:row>
    <x:row r="42" ht="24" customHeight="1">
      <x:c r="A42" s="5" t="n">
        <x:v>38</x:v>
      </x:c>
      <x:c r="B42" s="5" t="inlineStr">
        <x:is>
          <x:t xml:space="preserve">나인테일</x:t>
        </x:is>
      </x:c>
      <x:c r="C42" s="5" t="inlineStr">
        <x:is>
          <x:t xml:space="preserve">ninetales</x:t>
        </x:is>
      </x:c>
      <x:c r="D42" s="5" t="inlineStr">
        <x:is>
          <x:t xml:space="preserve">Ninetales</x:t>
        </x:is>
      </x:c>
      <x:c r="E42" s="5" t="n">
        <x:v>1</x:v>
      </x:c>
      <x:c r="F42" s="5" t="inlineStr">
        <x:is>
          <x:t xml:space="preserve">불꽃</x:t>
        </x:is>
      </x:c>
      <x:c r="G42" s="5" t="inlineStr">
        <x:is>
          <x:t xml:space="preserve"/>
        </x:is>
      </x:c>
      <x:c r="H42" s="6" t="n">
        <x:v>19.9</x:v>
      </x:c>
      <x:c r="I42" s="5" t="n"/>
      <x:c r="J42" s="5" t="inlineStr">
        <x:is>
          <x:t xml:space="preserve">최종</x:t>
        </x:is>
      </x:c>
      <x:c r="K42" s="7" t="inlineStr">
        <x:is>
          <x:t xml:space="preserve">육상</x:t>
        </x:is>
      </x:c>
      <x:c r="L42" s="7" t="inlineStr">
        <x:is>
          <x:t xml:space="preserve">수목</x:t>
        </x:is>
      </x:c>
      <x:c r="M42" s="7" t="inlineStr">
        <x:is>
          <x:t xml:space="preserve">서늘</x:t>
        </x:is>
      </x:c>
      <x:c r="N42" s="7" t="inlineStr">
        <x:is>
          <x:t xml:space="preserve">보통</x:t>
        </x:is>
      </x:c>
      <x:c r="O42" s="7" t="inlineStr">
        <x:is>
          <x:t xml:space="preserve">무관</x:t>
        </x:is>
      </x:c>
      <x:c r="P42" s="7" t="inlineStr">
        <x:is>
          <x:t xml:space="preserve">무관</x:t>
        </x:is>
      </x:c>
      <x:c r="Q42" s="7" t="inlineStr">
        <x:is>
          <x:t xml:space="preserve">보통</x:t>
        </x:is>
      </x:c>
      <x:c r="R42" s="7" t="inlineStr">
        <x:is>
          <x:t xml:space="preserve">없음</x:t>
        </x:is>
      </x:c>
      <x:c r="S42" s="7" t="inlineStr">
        <x:is>
          <x:t xml:space="preserve">숲</x:t>
        </x:is>
      </x:c>
      <x:c r="T42" s="7" t="inlineStr">
        <x:is>
          <x:t xml:space="preserve"/>
        </x:is>
      </x:c>
      <x:c r="U42" s="8" t="str">
        <x:f>INDEX('서식지_점수'!$E$4:$P$4,1,MATCH(MAX('서식지_점수'!E42:P42),'서식지_점수'!E42:P42,0))</x:f>
        <x:v>평원</x:v>
      </x:c>
      <x:c r="V42" s="8" t="str">
        <x:f>IF(T42&lt;&gt;"",T42,U42)</x:f>
        <x:v>평원</x:v>
      </x:c>
      <x:c r="W42" s="8" t="str">
        <x:f>IFERROR(INDEX('서식지_점수'!$E$4:$P$4,1,MATCH(MAXIFS('서식지_점수'!E42:P42,'서식지_점수'!E42:P42,"&lt;"&amp;MAX('서식지_점수'!E42:P42)),'서식지_점수'!E42:P42,0)),"")</x:f>
        <x:v>숲</x:v>
      </x:c>
      <x:c r="X42" s="8" t="str">
        <x:f>IF(T42&lt;&gt;"","수동확정",IF(MAX('서식지_점수'!E42:P42)-LARGE('서식지_점수'!E42:P42,2)&gt;=15,"높음",IF(MAX('서식지_점수'!E42:P42)-LARGE('서식지_점수'!E42:P42,2)&gt;=8,"보통","검토필요")))</x:f>
        <x:v>검토필요</x:v>
      </x:c>
      <x:c r="Y42" s="9" t="n">
        <x:f>IF(Q42="전설",8,IF(Q42="희귀",7,IF(J42="기본",1,IF(J42="중간",3,IF(J42="최종",IF(I42="",5,IF(I42&lt;=20,3,IF(I42&lt;=35,4,IF(I42&lt;=50,6,7)))),IF(Q42="드묾",4,2))))))</x:f>
        <x:v>5</x:v>
      </x:c>
      <x:c r="Z42" s="5" t="inlineStr">
        <x:is>
          <x:t xml:space="preserve">#cobblemon:is_forest; #cobblemon:is_snowy_forest; #cobblemon:is_snowy_taiga; #cobblemon:is_taiga; #cobblemon:nether/is_forest</x:t>
        </x:is>
      </x:c>
      <x:c r="AA42" s="5" t="inlineStr">
        <x:is>
          <x:t xml:space="preserve">common; uncommon</x:t>
        </x:is>
      </x:c>
      <x:c r="AB42" s="5" t="inlineStr">
        <x:is>
          <x:t xml:space="preserve">예</x:t>
        </x:is>
      </x:c>
      <x:c r="AC42" s="8" t="str">
        <x:f>IF(T42&lt;&gt;"","수동확정",IF(X42="검토필요","검토필요",IF(S42="","원본없음","초기완료")))</x:f>
        <x:v>검토필요</x:v>
      </x:c>
      <x:c r="AD42" s="7" t="inlineStr">
        <x:is>
          <x:t xml:space="preserve"/>
        </x:is>
      </x:c>
      <x:c r="AE42" s="5" t="inlineStr">
        <x:is>
          <x:t xml:space="preserve">.tmp/cobblemon-1.7.3-source/common/src/main/resources/data/cobblemon/species/generation1/ninetales.json</x:t>
        </x:is>
      </x:c>
      <x:c r="AF42" s="5" t="str">
        <x:f>"생활권|"&amp;K42</x:f>
        <x:v>생활권|육상</x:v>
      </x:c>
      <x:c r="AG42" s="5" t="str">
        <x:f>"지형|"&amp;L42</x:f>
        <x:v>지형|수목</x:v>
      </x:c>
      <x:c r="AH42" s="5" t="str">
        <x:f>"온도|"&amp;M42</x:f>
        <x:v>온도|서늘</x:v>
      </x:c>
      <x:c r="AI42" s="5" t="str">
        <x:f>"습도|"&amp;N42</x:f>
        <x:v>습도|보통</x:v>
      </x:c>
      <x:c r="AJ42" s="5" t="str">
        <x:f>"날씨|"&amp;O42</x:f>
        <x:v>날씨|무관</x:v>
      </x:c>
      <x:c r="AK42" s="5" t="str">
        <x:f>"특수태그|"&amp;R42</x:f>
        <x:v>특수태그|없음</x:v>
      </x:c>
      <x:c r="AL42" s="5" t="str">
        <x:f>"원본서식지|"&amp;S42</x:f>
        <x:v>원본서식지|숲</x:v>
      </x:c>
      <x:c r="AM42" s="5" t="str">
        <x:f>"타입|"&amp;F42</x:f>
        <x:v>타입|불꽃</x:v>
      </x:c>
      <x:c r="AN42" s="5" t="str">
        <x:f>"타입|"&amp;G42</x:f>
        <x:v>타입|</x:v>
      </x:c>
    </x:row>
    <x:row r="43" ht="24" customHeight="1">
      <x:c r="A43" s="5" t="n">
        <x:v>39</x:v>
      </x:c>
      <x:c r="B43" s="5" t="inlineStr">
        <x:is>
          <x:t xml:space="preserve">푸린</x:t>
        </x:is>
      </x:c>
      <x:c r="C43" s="5" t="inlineStr">
        <x:is>
          <x:t xml:space="preserve">jigglypuff</x:t>
        </x:is>
      </x:c>
      <x:c r="D43" s="5" t="inlineStr">
        <x:is>
          <x:t xml:space="preserve">Jigglypuff</x:t>
        </x:is>
      </x:c>
      <x:c r="E43" s="5" t="n">
        <x:v>1</x:v>
      </x:c>
      <x:c r="F43" s="5" t="inlineStr">
        <x:is>
          <x:t xml:space="preserve">노말</x:t>
        </x:is>
      </x:c>
      <x:c r="G43" s="5" t="inlineStr">
        <x:is>
          <x:t xml:space="preserve">페어리</x:t>
        </x:is>
      </x:c>
      <x:c r="H43" s="6" t="n">
        <x:v>5.5</x:v>
      </x:c>
      <x:c r="I43" s="5" t="n"/>
      <x:c r="J43" s="5" t="inlineStr">
        <x:is>
          <x:t xml:space="preserve">중간</x:t>
        </x:is>
      </x:c>
      <x:c r="K43" s="7" t="inlineStr">
        <x:is>
          <x:t xml:space="preserve">비행</x:t>
        </x:is>
      </x:c>
      <x:c r="L43" s="7" t="inlineStr">
        <x:is>
          <x:t xml:space="preserve">개활지</x:t>
        </x:is>
      </x:c>
      <x:c r="M43" s="7" t="inlineStr">
        <x:is>
          <x:t xml:space="preserve">온대</x:t>
        </x:is>
      </x:c>
      <x:c r="N43" s="7" t="inlineStr">
        <x:is>
          <x:t xml:space="preserve">보통</x:t>
        </x:is>
      </x:c>
      <x:c r="O43" s="7" t="inlineStr">
        <x:is>
          <x:t xml:space="preserve">무관</x:t>
        </x:is>
      </x:c>
      <x:c r="P43" s="7" t="inlineStr">
        <x:is>
          <x:t xml:space="preserve">무관</x:t>
        </x:is>
      </x:c>
      <x:c r="Q43" s="7" t="inlineStr">
        <x:is>
          <x:t xml:space="preserve">흔함</x:t>
        </x:is>
      </x:c>
      <x:c r="R43" s="7" t="inlineStr">
        <x:is>
          <x:t xml:space="preserve">없음</x:t>
        </x:is>
      </x:c>
      <x:c r="S43" s="7" t="inlineStr">
        <x:is>
          <x:t xml:space="preserve">평원</x:t>
        </x:is>
      </x:c>
      <x:c r="T43" s="7" t="inlineStr">
        <x:is>
          <x:t xml:space="preserve"/>
        </x:is>
      </x:c>
      <x:c r="U43" s="8" t="str">
        <x:f>INDEX('서식지_점수'!$E$4:$P$4,1,MATCH(MAX('서식지_점수'!E43:P43),'서식지_점수'!E43:P43,0))</x:f>
        <x:v>산악</x:v>
      </x:c>
      <x:c r="V43" s="8" t="str">
        <x:f>IF(T43&lt;&gt;"",T43,U43)</x:f>
        <x:v>산악</x:v>
      </x:c>
      <x:c r="W43" s="8" t="str">
        <x:f>IFERROR(INDEX('서식지_점수'!$E$4:$P$4,1,MATCH(MAXIFS('서식지_점수'!E43:P43,'서식지_점수'!E43:P43,"&lt;"&amp;MAX('서식지_점수'!E43:P43)),'서식지_점수'!E43:P43,0)),"")</x:f>
        <x:v>평원</x:v>
      </x:c>
      <x:c r="X43" s="8" t="str">
        <x:f>IF(T43&lt;&gt;"","수동확정",IF(MAX('서식지_점수'!E43:P43)-LARGE('서식지_점수'!E43:P43,2)&gt;=15,"높음",IF(MAX('서식지_점수'!E43:P43)-LARGE('서식지_점수'!E43:P43,2)&gt;=8,"보통","검토필요")))</x:f>
        <x:v>검토필요</x:v>
      </x:c>
      <x:c r="Y43" s="9" t="n">
        <x:f>IF(Q43="전설",8,IF(Q43="희귀",7,IF(J43="기본",1,IF(J43="중간",3,IF(J43="최종",IF(I43="",5,IF(I43&lt;=20,3,IF(I43&lt;=35,4,IF(I43&lt;=50,6,7)))),IF(Q43="드묾",4,2))))))</x:f>
        <x:v>3</x:v>
      </x:c>
      <x:c r="Z43" s="5" t="inlineStr">
        <x:is>
          <x:t xml:space="preserve">#cobblemon:is_floral; #cobblemon:is_plains; aether:skyroot_grove; aether:skyroot_meadow</x:t>
        </x:is>
      </x:c>
      <x:c r="AA43" s="5" t="inlineStr">
        <x:is>
          <x:t xml:space="preserve">common</x:t>
        </x:is>
      </x:c>
      <x:c r="AB43" s="5" t="inlineStr">
        <x:is>
          <x:t xml:space="preserve">예</x:t>
        </x:is>
      </x:c>
      <x:c r="AC43" s="8" t="str">
        <x:f>IF(T43&lt;&gt;"","수동확정",IF(X43="검토필요","검토필요",IF(S43="","원본없음","초기완료")))</x:f>
        <x:v>검토필요</x:v>
      </x:c>
      <x:c r="AD43" s="7" t="inlineStr">
        <x:is>
          <x:t xml:space="preserve"/>
        </x:is>
      </x:c>
      <x:c r="AE43" s="5" t="inlineStr">
        <x:is>
          <x:t xml:space="preserve">.tmp/cobblemon-1.7.3-source/common/src/main/resources/data/cobblemon/species/generation1/jigglypuff.json</x:t>
        </x:is>
      </x:c>
      <x:c r="AF43" s="5" t="str">
        <x:f>"생활권|"&amp;K43</x:f>
        <x:v>생활권|비행</x:v>
      </x:c>
      <x:c r="AG43" s="5" t="str">
        <x:f>"지형|"&amp;L43</x:f>
        <x:v>지형|개활지</x:v>
      </x:c>
      <x:c r="AH43" s="5" t="str">
        <x:f>"온도|"&amp;M43</x:f>
        <x:v>온도|온대</x:v>
      </x:c>
      <x:c r="AI43" s="5" t="str">
        <x:f>"습도|"&amp;N43</x:f>
        <x:v>습도|보통</x:v>
      </x:c>
      <x:c r="AJ43" s="5" t="str">
        <x:f>"날씨|"&amp;O43</x:f>
        <x:v>날씨|무관</x:v>
      </x:c>
      <x:c r="AK43" s="5" t="str">
        <x:f>"특수태그|"&amp;R43</x:f>
        <x:v>특수태그|없음</x:v>
      </x:c>
      <x:c r="AL43" s="5" t="str">
        <x:f>"원본서식지|"&amp;S43</x:f>
        <x:v>원본서식지|평원</x:v>
      </x:c>
      <x:c r="AM43" s="5" t="str">
        <x:f>"타입|"&amp;F43</x:f>
        <x:v>타입|노말</x:v>
      </x:c>
      <x:c r="AN43" s="5" t="str">
        <x:f>"타입|"&amp;G43</x:f>
        <x:v>타입|페어리</x:v>
      </x:c>
    </x:row>
    <x:row r="44" ht="24" customHeight="1">
      <x:c r="A44" s="5" t="n">
        <x:v>40</x:v>
      </x:c>
      <x:c r="B44" s="5" t="inlineStr">
        <x:is>
          <x:t xml:space="preserve">푸크린</x:t>
        </x:is>
      </x:c>
      <x:c r="C44" s="5" t="inlineStr">
        <x:is>
          <x:t xml:space="preserve">wigglytuff</x:t>
        </x:is>
      </x:c>
      <x:c r="D44" s="5" t="inlineStr">
        <x:is>
          <x:t xml:space="preserve">Wigglytuff</x:t>
        </x:is>
      </x:c>
      <x:c r="E44" s="5" t="n">
        <x:v>1</x:v>
      </x:c>
      <x:c r="F44" s="5" t="inlineStr">
        <x:is>
          <x:t xml:space="preserve">노말</x:t>
        </x:is>
      </x:c>
      <x:c r="G44" s="5" t="inlineStr">
        <x:is>
          <x:t xml:space="preserve">페어리</x:t>
        </x:is>
      </x:c>
      <x:c r="H44" s="6" t="n">
        <x:v>12</x:v>
      </x:c>
      <x:c r="I44" s="5" t="n"/>
      <x:c r="J44" s="5" t="inlineStr">
        <x:is>
          <x:t xml:space="preserve">최종</x:t>
        </x:is>
      </x:c>
      <x:c r="K44" s="7" t="inlineStr">
        <x:is>
          <x:t xml:space="preserve">비행</x:t>
        </x:is>
      </x:c>
      <x:c r="L44" s="7" t="inlineStr">
        <x:is>
          <x:t xml:space="preserve">개활지</x:t>
        </x:is>
      </x:c>
      <x:c r="M44" s="7" t="inlineStr">
        <x:is>
          <x:t xml:space="preserve">온대</x:t>
        </x:is>
      </x:c>
      <x:c r="N44" s="7" t="inlineStr">
        <x:is>
          <x:t xml:space="preserve">보통</x:t>
        </x:is>
      </x:c>
      <x:c r="O44" s="7" t="inlineStr">
        <x:is>
          <x:t xml:space="preserve">무관</x:t>
        </x:is>
      </x:c>
      <x:c r="P44" s="7" t="inlineStr">
        <x:is>
          <x:t xml:space="preserve">무관</x:t>
        </x:is>
      </x:c>
      <x:c r="Q44" s="7" t="inlineStr">
        <x:is>
          <x:t xml:space="preserve">흔함</x:t>
        </x:is>
      </x:c>
      <x:c r="R44" s="7" t="inlineStr">
        <x:is>
          <x:t xml:space="preserve">없음</x:t>
        </x:is>
      </x:c>
      <x:c r="S44" s="7" t="inlineStr">
        <x:is>
          <x:t xml:space="preserve">평원</x:t>
        </x:is>
      </x:c>
      <x:c r="T44" s="7" t="inlineStr">
        <x:is>
          <x:t xml:space="preserve"/>
        </x:is>
      </x:c>
      <x:c r="U44" s="8" t="str">
        <x:f>INDEX('서식지_점수'!$E$4:$P$4,1,MATCH(MAX('서식지_점수'!E44:P44),'서식지_점수'!E44:P44,0))</x:f>
        <x:v>산악</x:v>
      </x:c>
      <x:c r="V44" s="8" t="str">
        <x:f>IF(T44&lt;&gt;"",T44,U44)</x:f>
        <x:v>산악</x:v>
      </x:c>
      <x:c r="W44" s="8" t="str">
        <x:f>IFERROR(INDEX('서식지_점수'!$E$4:$P$4,1,MATCH(MAXIFS('서식지_점수'!E44:P44,'서식지_점수'!E44:P44,"&lt;"&amp;MAX('서식지_점수'!E44:P44)),'서식지_점수'!E44:P44,0)),"")</x:f>
        <x:v>평원</x:v>
      </x:c>
      <x:c r="X44" s="8" t="str">
        <x:f>IF(T44&lt;&gt;"","수동확정",IF(MAX('서식지_점수'!E44:P44)-LARGE('서식지_점수'!E44:P44,2)&gt;=15,"높음",IF(MAX('서식지_점수'!E44:P44)-LARGE('서식지_점수'!E44:P44,2)&gt;=8,"보통","검토필요")))</x:f>
        <x:v>검토필요</x:v>
      </x:c>
      <x:c r="Y44" s="9" t="n">
        <x:f>IF(Q44="전설",8,IF(Q44="희귀",7,IF(J44="기본",1,IF(J44="중간",3,IF(J44="최종",IF(I44="",5,IF(I44&lt;=20,3,IF(I44&lt;=35,4,IF(I44&lt;=50,6,7)))),IF(Q44="드묾",4,2))))))</x:f>
        <x:v>5</x:v>
      </x:c>
      <x:c r="Z44" s="5" t="inlineStr">
        <x:is>
          <x:t xml:space="preserve">#cobblemon:is_floral; #cobblemon:is_plains; aether:skyroot_grove; aether:skyroot_meadow</x:t>
        </x:is>
      </x:c>
      <x:c r="AA44" s="5" t="inlineStr">
        <x:is>
          <x:t xml:space="preserve">common</x:t>
        </x:is>
      </x:c>
      <x:c r="AB44" s="5" t="inlineStr">
        <x:is>
          <x:t xml:space="preserve">예</x:t>
        </x:is>
      </x:c>
      <x:c r="AC44" s="8" t="str">
        <x:f>IF(T44&lt;&gt;"","수동확정",IF(X44="검토필요","검토필요",IF(S44="","원본없음","초기완료")))</x:f>
        <x:v>검토필요</x:v>
      </x:c>
      <x:c r="AD44" s="7" t="inlineStr">
        <x:is>
          <x:t xml:space="preserve"/>
        </x:is>
      </x:c>
      <x:c r="AE44" s="5" t="inlineStr">
        <x:is>
          <x:t xml:space="preserve">.tmp/cobblemon-1.7.3-source/common/src/main/resources/data/cobblemon/species/generation1/wigglytuff.json</x:t>
        </x:is>
      </x:c>
      <x:c r="AF44" s="5" t="str">
        <x:f>"생활권|"&amp;K44</x:f>
        <x:v>생활권|비행</x:v>
      </x:c>
      <x:c r="AG44" s="5" t="str">
        <x:f>"지형|"&amp;L44</x:f>
        <x:v>지형|개활지</x:v>
      </x:c>
      <x:c r="AH44" s="5" t="str">
        <x:f>"온도|"&amp;M44</x:f>
        <x:v>온도|온대</x:v>
      </x:c>
      <x:c r="AI44" s="5" t="str">
        <x:f>"습도|"&amp;N44</x:f>
        <x:v>습도|보통</x:v>
      </x:c>
      <x:c r="AJ44" s="5" t="str">
        <x:f>"날씨|"&amp;O44</x:f>
        <x:v>날씨|무관</x:v>
      </x:c>
      <x:c r="AK44" s="5" t="str">
        <x:f>"특수태그|"&amp;R44</x:f>
        <x:v>특수태그|없음</x:v>
      </x:c>
      <x:c r="AL44" s="5" t="str">
        <x:f>"원본서식지|"&amp;S44</x:f>
        <x:v>원본서식지|평원</x:v>
      </x:c>
      <x:c r="AM44" s="5" t="str">
        <x:f>"타입|"&amp;F44</x:f>
        <x:v>타입|노말</x:v>
      </x:c>
      <x:c r="AN44" s="5" t="str">
        <x:f>"타입|"&amp;G44</x:f>
        <x:v>타입|페어리</x:v>
      </x:c>
    </x:row>
    <x:row r="45" ht="24" customHeight="1">
      <x:c r="A45" s="5" t="n">
        <x:v>41</x:v>
      </x:c>
      <x:c r="B45" s="5" t="inlineStr">
        <x:is>
          <x:t xml:space="preserve">주뱃</x:t>
        </x:is>
      </x:c>
      <x:c r="C45" s="5" t="inlineStr">
        <x:is>
          <x:t xml:space="preserve">zubat</x:t>
        </x:is>
      </x:c>
      <x:c r="D45" s="5" t="inlineStr">
        <x:is>
          <x:t xml:space="preserve">Zubat</x:t>
        </x:is>
      </x:c>
      <x:c r="E45" s="5" t="n">
        <x:v>1</x:v>
      </x:c>
      <x:c r="F45" s="5" t="inlineStr">
        <x:is>
          <x:t xml:space="preserve">독</x:t>
        </x:is>
      </x:c>
      <x:c r="G45" s="5" t="inlineStr">
        <x:is>
          <x:t xml:space="preserve">비행</x:t>
        </x:is>
      </x:c>
      <x:c r="H45" s="6" t="n">
        <x:v>7.5</x:v>
      </x:c>
      <x:c r="I45" s="5" t="n">
        <x:v>22</x:v>
      </x:c>
      <x:c r="J45" s="5" t="inlineStr">
        <x:is>
          <x:t xml:space="preserve">기본</x:t>
        </x:is>
      </x:c>
      <x:c r="K45" s="7" t="inlineStr">
        <x:is>
          <x:t xml:space="preserve">비행</x:t>
        </x:is>
      </x:c>
      <x:c r="L45" s="7" t="inlineStr">
        <x:is>
          <x:t xml:space="preserve">특수</x:t>
        </x:is>
      </x:c>
      <x:c r="M45" s="7" t="inlineStr">
        <x:is>
          <x:t xml:space="preserve">온대</x:t>
        </x:is>
      </x:c>
      <x:c r="N45" s="7" t="inlineStr">
        <x:is>
          <x:t xml:space="preserve">보통</x:t>
        </x:is>
      </x:c>
      <x:c r="O45" s="7" t="inlineStr">
        <x:is>
          <x:t xml:space="preserve">무관</x:t>
        </x:is>
      </x:c>
      <x:c r="P45" s="7" t="inlineStr">
        <x:is>
          <x:t xml:space="preserve">밤</x:t>
        </x:is>
      </x:c>
      <x:c r="Q45" s="7" t="inlineStr">
        <x:is>
          <x:t xml:space="preserve">보통</x:t>
        </x:is>
      </x:c>
      <x:c r="R45" s="7" t="inlineStr">
        <x:is>
          <x:t xml:space="preserve">영체</x:t>
        </x:is>
      </x:c>
      <x:c r="S45" s="7" t="inlineStr">
        <x:is>
          <x:t xml:space="preserve">특수</x:t>
        </x:is>
      </x:c>
      <x:c r="T45" s="7" t="inlineStr">
        <x:is>
          <x:t xml:space="preserve"/>
        </x:is>
      </x:c>
      <x:c r="U45" s="8" t="str">
        <x:f>INDEX('서식지_점수'!$E$4:$P$4,1,MATCH(MAX('서식지_점수'!E45:P45),'서식지_점수'!E45:P45,0))</x:f>
        <x:v>산악</x:v>
      </x:c>
      <x:c r="V45" s="8" t="str">
        <x:f>IF(T45&lt;&gt;"",T45,U45)</x:f>
        <x:v>산악</x:v>
      </x:c>
      <x:c r="W45" s="8" t="str">
        <x:f>IFERROR(INDEX('서식지_점수'!$E$4:$P$4,1,MATCH(MAXIFS('서식지_점수'!E45:P45,'서식지_점수'!E45:P45,"&lt;"&amp;MAX('서식지_점수'!E45:P45)),'서식지_점수'!E45:P45,0)),"")</x:f>
        <x:v>평원</x:v>
      </x:c>
      <x:c r="X45" s="8" t="str">
        <x:f>IF(T45&lt;&gt;"","수동확정",IF(MAX('서식지_점수'!E45:P45)-LARGE('서식지_점수'!E45:P45,2)&gt;=15,"높음",IF(MAX('서식지_점수'!E45:P45)-LARGE('서식지_점수'!E45:P45,2)&gt;=8,"보통","검토필요")))</x:f>
        <x:v>검토필요</x:v>
      </x:c>
      <x:c r="Y45" s="9" t="n">
        <x:f>IF(Q45="전설",8,IF(Q45="희귀",7,IF(J45="기본",1,IF(J45="중간",3,IF(J45="최종",IF(I45="",5,IF(I45&lt;=20,3,IF(I45&lt;=35,4,IF(I45&lt;=50,6,7)))),IF(Q45="드묾",4,2))))))</x:f>
        <x:v>1</x:v>
      </x:c>
      <x:c r="Z45" s="5" t="inlineStr">
        <x:is>
          <x:t xml:space="preserve">#aether:is_aether; #cobblemon:is_deep_dark; #cobblemon:is_forest; #cobblemon:is_overworld; #cobblemon:is_spooky; #cobblemon:is_swamp</x:t>
        </x:is>
      </x:c>
      <x:c r="AA45" s="5" t="inlineStr">
        <x:is>
          <x:t xml:space="preserve">common; uncommon</x:t>
        </x:is>
      </x:c>
      <x:c r="AB45" s="5" t="inlineStr">
        <x:is>
          <x:t xml:space="preserve">예</x:t>
        </x:is>
      </x:c>
      <x:c r="AC45" s="8" t="str">
        <x:f>IF(T45&lt;&gt;"","수동확정",IF(X45="검토필요","검토필요",IF(S45="","원본없음","초기완료")))</x:f>
        <x:v>검토필요</x:v>
      </x:c>
      <x:c r="AD45" s="7" t="inlineStr">
        <x:is>
          <x:t xml:space="preserve"/>
        </x:is>
      </x:c>
      <x:c r="AE45" s="5" t="inlineStr">
        <x:is>
          <x:t xml:space="preserve">.tmp/cobblemon-1.7.3-source/common/src/main/resources/data/cobblemon/species/generation1/zubat.json</x:t>
        </x:is>
      </x:c>
      <x:c r="AF45" s="5" t="str">
        <x:f>"생활권|"&amp;K45</x:f>
        <x:v>생활권|비행</x:v>
      </x:c>
      <x:c r="AG45" s="5" t="str">
        <x:f>"지형|"&amp;L45</x:f>
        <x:v>지형|특수</x:v>
      </x:c>
      <x:c r="AH45" s="5" t="str">
        <x:f>"온도|"&amp;M45</x:f>
        <x:v>온도|온대</x:v>
      </x:c>
      <x:c r="AI45" s="5" t="str">
        <x:f>"습도|"&amp;N45</x:f>
        <x:v>습도|보통</x:v>
      </x:c>
      <x:c r="AJ45" s="5" t="str">
        <x:f>"날씨|"&amp;O45</x:f>
        <x:v>날씨|무관</x:v>
      </x:c>
      <x:c r="AK45" s="5" t="str">
        <x:f>"특수태그|"&amp;R45</x:f>
        <x:v>특수태그|영체</x:v>
      </x:c>
      <x:c r="AL45" s="5" t="str">
        <x:f>"원본서식지|"&amp;S45</x:f>
        <x:v>원본서식지|특수</x:v>
      </x:c>
      <x:c r="AM45" s="5" t="str">
        <x:f>"타입|"&amp;F45</x:f>
        <x:v>타입|독</x:v>
      </x:c>
      <x:c r="AN45" s="5" t="str">
        <x:f>"타입|"&amp;G45</x:f>
        <x:v>타입|비행</x:v>
      </x:c>
    </x:row>
    <x:row r="46" ht="24" customHeight="1">
      <x:c r="A46" s="5" t="n">
        <x:v>42</x:v>
      </x:c>
      <x:c r="B46" s="5" t="inlineStr">
        <x:is>
          <x:t xml:space="preserve">골뱃</x:t>
        </x:is>
      </x:c>
      <x:c r="C46" s="5" t="inlineStr">
        <x:is>
          <x:t xml:space="preserve">golbat</x:t>
        </x:is>
      </x:c>
      <x:c r="D46" s="5" t="inlineStr">
        <x:is>
          <x:t xml:space="preserve">Golbat</x:t>
        </x:is>
      </x:c>
      <x:c r="E46" s="5" t="n">
        <x:v>1</x:v>
      </x:c>
      <x:c r="F46" s="5" t="inlineStr">
        <x:is>
          <x:t xml:space="preserve">독</x:t>
        </x:is>
      </x:c>
      <x:c r="G46" s="5" t="inlineStr">
        <x:is>
          <x:t xml:space="preserve">비행</x:t>
        </x:is>
      </x:c>
      <x:c r="H46" s="6" t="n">
        <x:v>55</x:v>
      </x:c>
      <x:c r="I46" s="5" t="n">
        <x:v>22</x:v>
      </x:c>
      <x:c r="J46" s="5" t="inlineStr">
        <x:is>
          <x:t xml:space="preserve">중간</x:t>
        </x:is>
      </x:c>
      <x:c r="K46" s="7" t="inlineStr">
        <x:is>
          <x:t xml:space="preserve">비행</x:t>
        </x:is>
      </x:c>
      <x:c r="L46" s="7" t="inlineStr">
        <x:is>
          <x:t xml:space="preserve">특수</x:t>
        </x:is>
      </x:c>
      <x:c r="M46" s="7" t="inlineStr">
        <x:is>
          <x:t xml:space="preserve">온대</x:t>
        </x:is>
      </x:c>
      <x:c r="N46" s="7" t="inlineStr">
        <x:is>
          <x:t xml:space="preserve">보통</x:t>
        </x:is>
      </x:c>
      <x:c r="O46" s="7" t="inlineStr">
        <x:is>
          <x:t xml:space="preserve">무관</x:t>
        </x:is>
      </x:c>
      <x:c r="P46" s="7" t="inlineStr">
        <x:is>
          <x:t xml:space="preserve">밤</x:t>
        </x:is>
      </x:c>
      <x:c r="Q46" s="7" t="inlineStr">
        <x:is>
          <x:t xml:space="preserve">보통</x:t>
        </x:is>
      </x:c>
      <x:c r="R46" s="7" t="inlineStr">
        <x:is>
          <x:t xml:space="preserve">영체</x:t>
        </x:is>
      </x:c>
      <x:c r="S46" s="7" t="inlineStr">
        <x:is>
          <x:t xml:space="preserve">특수</x:t>
        </x:is>
      </x:c>
      <x:c r="T46" s="7" t="inlineStr">
        <x:is>
          <x:t xml:space="preserve"/>
        </x:is>
      </x:c>
      <x:c r="U46" s="8" t="str">
        <x:f>INDEX('서식지_점수'!$E$4:$P$4,1,MATCH(MAX('서식지_점수'!E46:P46),'서식지_점수'!E46:P46,0))</x:f>
        <x:v>산악</x:v>
      </x:c>
      <x:c r="V46" s="8" t="str">
        <x:f>IF(T46&lt;&gt;"",T46,U46)</x:f>
        <x:v>산악</x:v>
      </x:c>
      <x:c r="W46" s="8" t="str">
        <x:f>IFERROR(INDEX('서식지_점수'!$E$4:$P$4,1,MATCH(MAXIFS('서식지_점수'!E46:P46,'서식지_점수'!E46:P46,"&lt;"&amp;MAX('서식지_점수'!E46:P46)),'서식지_점수'!E46:P46,0)),"")</x:f>
        <x:v>평원</x:v>
      </x:c>
      <x:c r="X46" s="8" t="str">
        <x:f>IF(T46&lt;&gt;"","수동확정",IF(MAX('서식지_점수'!E46:P46)-LARGE('서식지_점수'!E46:P46,2)&gt;=15,"높음",IF(MAX('서식지_점수'!E46:P46)-LARGE('서식지_점수'!E46:P46,2)&gt;=8,"보통","검토필요")))</x:f>
        <x:v>검토필요</x:v>
      </x:c>
      <x:c r="Y46" s="9" t="n">
        <x:f>IF(Q46="전설",8,IF(Q46="희귀",7,IF(J46="기본",1,IF(J46="중간",3,IF(J46="최종",IF(I46="",5,IF(I46&lt;=20,3,IF(I46&lt;=35,4,IF(I46&lt;=50,6,7)))),IF(Q46="드묾",4,2))))))</x:f>
        <x:v>3</x:v>
      </x:c>
      <x:c r="Z46" s="5" t="inlineStr">
        <x:is>
          <x:t xml:space="preserve">#aether:is_aether; #cobblemon:is_deep_dark; #cobblemon:is_forest; #cobblemon:is_overworld; #cobblemon:is_spooky; #cobblemon:is_swamp</x:t>
        </x:is>
      </x:c>
      <x:c r="AA46" s="5" t="inlineStr">
        <x:is>
          <x:t xml:space="preserve">common; uncommon</x:t>
        </x:is>
      </x:c>
      <x:c r="AB46" s="5" t="inlineStr">
        <x:is>
          <x:t xml:space="preserve">예</x:t>
        </x:is>
      </x:c>
      <x:c r="AC46" s="8" t="str">
        <x:f>IF(T46&lt;&gt;"","수동확정",IF(X46="검토필요","검토필요",IF(S46="","원본없음","초기완료")))</x:f>
        <x:v>검토필요</x:v>
      </x:c>
      <x:c r="AD46" s="7" t="inlineStr">
        <x:is>
          <x:t xml:space="preserve"/>
        </x:is>
      </x:c>
      <x:c r="AE46" s="5" t="inlineStr">
        <x:is>
          <x:t xml:space="preserve">.tmp/cobblemon-1.7.3-source/common/src/main/resources/data/cobblemon/species/generation1/golbat.json</x:t>
        </x:is>
      </x:c>
      <x:c r="AF46" s="5" t="str">
        <x:f>"생활권|"&amp;K46</x:f>
        <x:v>생활권|비행</x:v>
      </x:c>
      <x:c r="AG46" s="5" t="str">
        <x:f>"지형|"&amp;L46</x:f>
        <x:v>지형|특수</x:v>
      </x:c>
      <x:c r="AH46" s="5" t="str">
        <x:f>"온도|"&amp;M46</x:f>
        <x:v>온도|온대</x:v>
      </x:c>
      <x:c r="AI46" s="5" t="str">
        <x:f>"습도|"&amp;N46</x:f>
        <x:v>습도|보통</x:v>
      </x:c>
      <x:c r="AJ46" s="5" t="str">
        <x:f>"날씨|"&amp;O46</x:f>
        <x:v>날씨|무관</x:v>
      </x:c>
      <x:c r="AK46" s="5" t="str">
        <x:f>"특수태그|"&amp;R46</x:f>
        <x:v>특수태그|영체</x:v>
      </x:c>
      <x:c r="AL46" s="5" t="str">
        <x:f>"원본서식지|"&amp;S46</x:f>
        <x:v>원본서식지|특수</x:v>
      </x:c>
      <x:c r="AM46" s="5" t="str">
        <x:f>"타입|"&amp;F46</x:f>
        <x:v>타입|독</x:v>
      </x:c>
      <x:c r="AN46" s="5" t="str">
        <x:f>"타입|"&amp;G46</x:f>
        <x:v>타입|비행</x:v>
      </x:c>
    </x:row>
    <x:row r="47" ht="24" customHeight="1">
      <x:c r="A47" s="5" t="n">
        <x:v>43</x:v>
      </x:c>
      <x:c r="B47" s="5" t="inlineStr">
        <x:is>
          <x:t xml:space="preserve">뚜벅쵸</x:t>
        </x:is>
      </x:c>
      <x:c r="C47" s="5" t="inlineStr">
        <x:is>
          <x:t xml:space="preserve">oddish</x:t>
        </x:is>
      </x:c>
      <x:c r="D47" s="5" t="inlineStr">
        <x:is>
          <x:t xml:space="preserve">Oddish</x:t>
        </x:is>
      </x:c>
      <x:c r="E47" s="5" t="n">
        <x:v>1</x:v>
      </x:c>
      <x:c r="F47" s="5" t="inlineStr">
        <x:is>
          <x:t xml:space="preserve">풀</x:t>
        </x:is>
      </x:c>
      <x:c r="G47" s="5" t="inlineStr">
        <x:is>
          <x:t xml:space="preserve">독</x:t>
        </x:is>
      </x:c>
      <x:c r="H47" s="6" t="n">
        <x:v>5.4</x:v>
      </x:c>
      <x:c r="I47" s="5" t="n">
        <x:v>21</x:v>
      </x:c>
      <x:c r="J47" s="5" t="inlineStr">
        <x:is>
          <x:t xml:space="preserve">기본</x:t>
        </x:is>
      </x:c>
      <x:c r="K47" s="7" t="inlineStr">
        <x:is>
          <x:t xml:space="preserve">육상</x:t>
        </x:is>
      </x:c>
      <x:c r="L47" s="7" t="inlineStr">
        <x:is>
          <x:t xml:space="preserve">수목</x:t>
        </x:is>
      </x:c>
      <x:c r="M47" s="7" t="inlineStr">
        <x:is>
          <x:t xml:space="preserve">온대</x:t>
        </x:is>
      </x:c>
      <x:c r="N47" s="7" t="inlineStr">
        <x:is>
          <x:t xml:space="preserve">다습</x:t>
        </x:is>
      </x:c>
      <x:c r="O47" s="7" t="inlineStr">
        <x:is>
          <x:t xml:space="preserve">무관</x:t>
        </x:is>
      </x:c>
      <x:c r="P47" s="7" t="inlineStr">
        <x:is>
          <x:t xml:space="preserve">무관</x:t>
        </x:is>
      </x:c>
      <x:c r="Q47" s="7" t="inlineStr">
        <x:is>
          <x:t xml:space="preserve">흔함</x:t>
        </x:is>
      </x:c>
      <x:c r="R47" s="7" t="inlineStr">
        <x:is>
          <x:t xml:space="preserve">없음</x:t>
        </x:is>
      </x:c>
      <x:c r="S47" s="7" t="inlineStr">
        <x:is>
          <x:t xml:space="preserve">숲</x:t>
        </x:is>
      </x:c>
      <x:c r="T47" s="7" t="inlineStr">
        <x:is>
          <x:t xml:space="preserve"/>
        </x:is>
      </x:c>
      <x:c r="U47" s="8" t="str">
        <x:f>INDEX('서식지_점수'!$E$4:$P$4,1,MATCH(MAX('서식지_점수'!E47:P47),'서식지_점수'!E47:P47,0))</x:f>
        <x:v>평원</x:v>
      </x:c>
      <x:c r="V47" s="8" t="str">
        <x:f>IF(T47&lt;&gt;"",T47,U47)</x:f>
        <x:v>평원</x:v>
      </x:c>
      <x:c r="W47" s="8" t="str">
        <x:f>IFERROR(INDEX('서식지_점수'!$E$4:$P$4,1,MATCH(MAXIFS('서식지_점수'!E47:P47,'서식지_점수'!E47:P47,"&lt;"&amp;MAX('서식지_점수'!E47:P47)),'서식지_점수'!E47:P47,0)),"")</x:f>
        <x:v>숲</x:v>
      </x:c>
      <x:c r="X47" s="8" t="str">
        <x:f>IF(T47&lt;&gt;"","수동확정",IF(MAX('서식지_점수'!E47:P47)-LARGE('서식지_점수'!E47:P47,2)&gt;=15,"높음",IF(MAX('서식지_점수'!E47:P47)-LARGE('서식지_점수'!E47:P47,2)&gt;=8,"보통","검토필요")))</x:f>
        <x:v>검토필요</x:v>
      </x:c>
      <x:c r="Y47" s="9" t="n">
        <x:f>IF(Q47="전설",8,IF(Q47="희귀",7,IF(J47="기본",1,IF(J47="중간",3,IF(J47="최종",IF(I47="",5,IF(I47&lt;=20,3,IF(I47&lt;=35,4,IF(I47&lt;=50,6,7)))),IF(Q47="드묾",4,2))))))</x:f>
        <x:v>1</x:v>
      </x:c>
      <x:c r="Z47" s="5" t="inlineStr">
        <x:is>
          <x:t xml:space="preserve">#cobblemon:is_jungle; #cobblemon:is_savanna; #cobblemon:is_temperate; #cobblemon:is_tropical_island</x:t>
        </x:is>
      </x:c>
      <x:c r="AA47" s="5" t="inlineStr">
        <x:is>
          <x:t xml:space="preserve">common</x:t>
        </x:is>
      </x:c>
      <x:c r="AB47" s="5" t="inlineStr">
        <x:is>
          <x:t xml:space="preserve">예</x:t>
        </x:is>
      </x:c>
      <x:c r="AC47" s="8" t="str">
        <x:f>IF(T47&lt;&gt;"","수동확정",IF(X47="검토필요","검토필요",IF(S47="","원본없음","초기완료")))</x:f>
        <x:v>검토필요</x:v>
      </x:c>
      <x:c r="AD47" s="7" t="inlineStr">
        <x:is>
          <x:t xml:space="preserve"/>
        </x:is>
      </x:c>
      <x:c r="AE47" s="5" t="inlineStr">
        <x:is>
          <x:t xml:space="preserve">.tmp/cobblemon-1.7.3-source/common/src/main/resources/data/cobblemon/species/generation1/oddish.json</x:t>
        </x:is>
      </x:c>
      <x:c r="AF47" s="5" t="str">
        <x:f>"생활권|"&amp;K47</x:f>
        <x:v>생활권|육상</x:v>
      </x:c>
      <x:c r="AG47" s="5" t="str">
        <x:f>"지형|"&amp;L47</x:f>
        <x:v>지형|수목</x:v>
      </x:c>
      <x:c r="AH47" s="5" t="str">
        <x:f>"온도|"&amp;M47</x:f>
        <x:v>온도|온대</x:v>
      </x:c>
      <x:c r="AI47" s="5" t="str">
        <x:f>"습도|"&amp;N47</x:f>
        <x:v>습도|다습</x:v>
      </x:c>
      <x:c r="AJ47" s="5" t="str">
        <x:f>"날씨|"&amp;O47</x:f>
        <x:v>날씨|무관</x:v>
      </x:c>
      <x:c r="AK47" s="5" t="str">
        <x:f>"특수태그|"&amp;R47</x:f>
        <x:v>특수태그|없음</x:v>
      </x:c>
      <x:c r="AL47" s="5" t="str">
        <x:f>"원본서식지|"&amp;S47</x:f>
        <x:v>원본서식지|숲</x:v>
      </x:c>
      <x:c r="AM47" s="5" t="str">
        <x:f>"타입|"&amp;F47</x:f>
        <x:v>타입|풀</x:v>
      </x:c>
      <x:c r="AN47" s="5" t="str">
        <x:f>"타입|"&amp;G47</x:f>
        <x:v>타입|독</x:v>
      </x:c>
    </x:row>
    <x:row r="48" ht="24" customHeight="1">
      <x:c r="A48" s="5" t="n">
        <x:v>44</x:v>
      </x:c>
      <x:c r="B48" s="5" t="inlineStr">
        <x:is>
          <x:t xml:space="preserve">냄새꼬</x:t>
        </x:is>
      </x:c>
      <x:c r="C48" s="5" t="inlineStr">
        <x:is>
          <x:t xml:space="preserve">gloom</x:t>
        </x:is>
      </x:c>
      <x:c r="D48" s="5" t="inlineStr">
        <x:is>
          <x:t xml:space="preserve">Gloom</x:t>
        </x:is>
      </x:c>
      <x:c r="E48" s="5" t="n">
        <x:v>1</x:v>
      </x:c>
      <x:c r="F48" s="5" t="inlineStr">
        <x:is>
          <x:t xml:space="preserve">풀</x:t>
        </x:is>
      </x:c>
      <x:c r="G48" s="5" t="inlineStr">
        <x:is>
          <x:t xml:space="preserve">독</x:t>
        </x:is>
      </x:c>
      <x:c r="H48" s="6" t="n">
        <x:v>8.6</x:v>
      </x:c>
      <x:c r="I48" s="5" t="n">
        <x:v>21</x:v>
      </x:c>
      <x:c r="J48" s="5" t="inlineStr">
        <x:is>
          <x:t xml:space="preserve">중간</x:t>
        </x:is>
      </x:c>
      <x:c r="K48" s="7" t="inlineStr">
        <x:is>
          <x:t xml:space="preserve">육상</x:t>
        </x:is>
      </x:c>
      <x:c r="L48" s="7" t="inlineStr">
        <x:is>
          <x:t xml:space="preserve">수목</x:t>
        </x:is>
      </x:c>
      <x:c r="M48" s="7" t="inlineStr">
        <x:is>
          <x:t xml:space="preserve">온대</x:t>
        </x:is>
      </x:c>
      <x:c r="N48" s="7" t="inlineStr">
        <x:is>
          <x:t xml:space="preserve">다습</x:t>
        </x:is>
      </x:c>
      <x:c r="O48" s="7" t="inlineStr">
        <x:is>
          <x:t xml:space="preserve">무관</x:t>
        </x:is>
      </x:c>
      <x:c r="P48" s="7" t="inlineStr">
        <x:is>
          <x:t xml:space="preserve">무관</x:t>
        </x:is>
      </x:c>
      <x:c r="Q48" s="7" t="inlineStr">
        <x:is>
          <x:t xml:space="preserve">흔함</x:t>
        </x:is>
      </x:c>
      <x:c r="R48" s="7" t="inlineStr">
        <x:is>
          <x:t xml:space="preserve">없음</x:t>
        </x:is>
      </x:c>
      <x:c r="S48" s="7" t="inlineStr">
        <x:is>
          <x:t xml:space="preserve">숲</x:t>
        </x:is>
      </x:c>
      <x:c r="T48" s="7" t="inlineStr">
        <x:is>
          <x:t xml:space="preserve"/>
        </x:is>
      </x:c>
      <x:c r="U48" s="8" t="str">
        <x:f>INDEX('서식지_점수'!$E$4:$P$4,1,MATCH(MAX('서식지_점수'!E48:P48),'서식지_점수'!E48:P48,0))</x:f>
        <x:v>평원</x:v>
      </x:c>
      <x:c r="V48" s="8" t="str">
        <x:f>IF(T48&lt;&gt;"",T48,U48)</x:f>
        <x:v>평원</x:v>
      </x:c>
      <x:c r="W48" s="8" t="str">
        <x:f>IFERROR(INDEX('서식지_점수'!$E$4:$P$4,1,MATCH(MAXIFS('서식지_점수'!E48:P48,'서식지_점수'!E48:P48,"&lt;"&amp;MAX('서식지_점수'!E48:P48)),'서식지_점수'!E48:P48,0)),"")</x:f>
        <x:v>숲</x:v>
      </x:c>
      <x:c r="X48" s="8" t="str">
        <x:f>IF(T48&lt;&gt;"","수동확정",IF(MAX('서식지_점수'!E48:P48)-LARGE('서식지_점수'!E48:P48,2)&gt;=15,"높음",IF(MAX('서식지_점수'!E48:P48)-LARGE('서식지_점수'!E48:P48,2)&gt;=8,"보통","검토필요")))</x:f>
        <x:v>검토필요</x:v>
      </x:c>
      <x:c r="Y48" s="9" t="n">
        <x:f>IF(Q48="전설",8,IF(Q48="희귀",7,IF(J48="기본",1,IF(J48="중간",3,IF(J48="최종",IF(I48="",5,IF(I48&lt;=20,3,IF(I48&lt;=35,4,IF(I48&lt;=50,6,7)))),IF(Q48="드묾",4,2))))))</x:f>
        <x:v>3</x:v>
      </x:c>
      <x:c r="Z48" s="5" t="inlineStr">
        <x:is>
          <x:t xml:space="preserve">#cobblemon:is_jungle; #cobblemon:is_savanna; #cobblemon:is_temperate; #cobblemon:is_tropical_island</x:t>
        </x:is>
      </x:c>
      <x:c r="AA48" s="5" t="inlineStr">
        <x:is>
          <x:t xml:space="preserve">common</x:t>
        </x:is>
      </x:c>
      <x:c r="AB48" s="5" t="inlineStr">
        <x:is>
          <x:t xml:space="preserve">예</x:t>
        </x:is>
      </x:c>
      <x:c r="AC48" s="8" t="str">
        <x:f>IF(T48&lt;&gt;"","수동확정",IF(X48="검토필요","검토필요",IF(S48="","원본없음","초기완료")))</x:f>
        <x:v>검토필요</x:v>
      </x:c>
      <x:c r="AD48" s="7" t="inlineStr">
        <x:is>
          <x:t xml:space="preserve"/>
        </x:is>
      </x:c>
      <x:c r="AE48" s="5" t="inlineStr">
        <x:is>
          <x:t xml:space="preserve">.tmp/cobblemon-1.7.3-source/common/src/main/resources/data/cobblemon/species/generation1/gloom.json</x:t>
        </x:is>
      </x:c>
      <x:c r="AF48" s="5" t="str">
        <x:f>"생활권|"&amp;K48</x:f>
        <x:v>생활권|육상</x:v>
      </x:c>
      <x:c r="AG48" s="5" t="str">
        <x:f>"지형|"&amp;L48</x:f>
        <x:v>지형|수목</x:v>
      </x:c>
      <x:c r="AH48" s="5" t="str">
        <x:f>"온도|"&amp;M48</x:f>
        <x:v>온도|온대</x:v>
      </x:c>
      <x:c r="AI48" s="5" t="str">
        <x:f>"습도|"&amp;N48</x:f>
        <x:v>습도|다습</x:v>
      </x:c>
      <x:c r="AJ48" s="5" t="str">
        <x:f>"날씨|"&amp;O48</x:f>
        <x:v>날씨|무관</x:v>
      </x:c>
      <x:c r="AK48" s="5" t="str">
        <x:f>"특수태그|"&amp;R48</x:f>
        <x:v>특수태그|없음</x:v>
      </x:c>
      <x:c r="AL48" s="5" t="str">
        <x:f>"원본서식지|"&amp;S48</x:f>
        <x:v>원본서식지|숲</x:v>
      </x:c>
      <x:c r="AM48" s="5" t="str">
        <x:f>"타입|"&amp;F48</x:f>
        <x:v>타입|풀</x:v>
      </x:c>
      <x:c r="AN48" s="5" t="str">
        <x:f>"타입|"&amp;G48</x:f>
        <x:v>타입|독</x:v>
      </x:c>
    </x:row>
    <x:row r="49" ht="24" customHeight="1">
      <x:c r="A49" s="5" t="n">
        <x:v>45</x:v>
      </x:c>
      <x:c r="B49" s="5" t="inlineStr">
        <x:is>
          <x:t xml:space="preserve">라플레시아</x:t>
        </x:is>
      </x:c>
      <x:c r="C49" s="5" t="inlineStr">
        <x:is>
          <x:t xml:space="preserve">vileplume</x:t>
        </x:is>
      </x:c>
      <x:c r="D49" s="5" t="inlineStr">
        <x:is>
          <x:t xml:space="preserve">Vileplume</x:t>
        </x:is>
      </x:c>
      <x:c r="E49" s="5" t="n">
        <x:v>1</x:v>
      </x:c>
      <x:c r="F49" s="5" t="inlineStr">
        <x:is>
          <x:t xml:space="preserve">풀</x:t>
        </x:is>
      </x:c>
      <x:c r="G49" s="5" t="inlineStr">
        <x:is>
          <x:t xml:space="preserve">독</x:t>
        </x:is>
      </x:c>
      <x:c r="H49" s="6" t="n">
        <x:v>18.6</x:v>
      </x:c>
      <x:c r="I49" s="5" t="n">
        <x:v>21</x:v>
      </x:c>
      <x:c r="J49" s="5" t="inlineStr">
        <x:is>
          <x:t xml:space="preserve">최종</x:t>
        </x:is>
      </x:c>
      <x:c r="K49" s="7" t="inlineStr">
        <x:is>
          <x:t xml:space="preserve">육상</x:t>
        </x:is>
      </x:c>
      <x:c r="L49" s="7" t="inlineStr">
        <x:is>
          <x:t xml:space="preserve">수목</x:t>
        </x:is>
      </x:c>
      <x:c r="M49" s="7" t="inlineStr">
        <x:is>
          <x:t xml:space="preserve">온대</x:t>
        </x:is>
      </x:c>
      <x:c r="N49" s="7" t="inlineStr">
        <x:is>
          <x:t xml:space="preserve">다습</x:t>
        </x:is>
      </x:c>
      <x:c r="O49" s="7" t="inlineStr">
        <x:is>
          <x:t xml:space="preserve">무관</x:t>
        </x:is>
      </x:c>
      <x:c r="P49" s="7" t="inlineStr">
        <x:is>
          <x:t xml:space="preserve">밤</x:t>
        </x:is>
      </x:c>
      <x:c r="Q49" s="7" t="inlineStr">
        <x:is>
          <x:t xml:space="preserve">흔함</x:t>
        </x:is>
      </x:c>
      <x:c r="R49" s="7" t="inlineStr">
        <x:is>
          <x:t xml:space="preserve">없음</x:t>
        </x:is>
      </x:c>
      <x:c r="S49" s="7" t="inlineStr">
        <x:is>
          <x:t xml:space="preserve">숲</x:t>
        </x:is>
      </x:c>
      <x:c r="T49" s="7" t="inlineStr">
        <x:is>
          <x:t xml:space="preserve"/>
        </x:is>
      </x:c>
      <x:c r="U49" s="8" t="str">
        <x:f>INDEX('서식지_점수'!$E$4:$P$4,1,MATCH(MAX('서식지_점수'!E49:P49),'서식지_점수'!E49:P49,0))</x:f>
        <x:v>평원</x:v>
      </x:c>
      <x:c r="V49" s="8" t="str">
        <x:f>IF(T49&lt;&gt;"",T49,U49)</x:f>
        <x:v>평원</x:v>
      </x:c>
      <x:c r="W49" s="8" t="str">
        <x:f>IFERROR(INDEX('서식지_점수'!$E$4:$P$4,1,MATCH(MAXIFS('서식지_점수'!E49:P49,'서식지_점수'!E49:P49,"&lt;"&amp;MAX('서식지_점수'!E49:P49)),'서식지_점수'!E49:P49,0)),"")</x:f>
        <x:v>숲</x:v>
      </x:c>
      <x:c r="X49" s="8" t="str">
        <x:f>IF(T49&lt;&gt;"","수동확정",IF(MAX('서식지_점수'!E49:P49)-LARGE('서식지_점수'!E49:P49,2)&gt;=15,"높음",IF(MAX('서식지_점수'!E49:P49)-LARGE('서식지_점수'!E49:P49,2)&gt;=8,"보통","검토필요")))</x:f>
        <x:v>검토필요</x:v>
      </x:c>
      <x:c r="Y49" s="9" t="n">
        <x:f>IF(Q49="전설",8,IF(Q49="희귀",7,IF(J49="기본",1,IF(J49="중간",3,IF(J49="최종",IF(I49="",5,IF(I49&lt;=20,3,IF(I49&lt;=35,4,IF(I49&lt;=50,6,7)))),IF(Q49="드묾",4,2))))))</x:f>
        <x:v>4</x:v>
      </x:c>
      <x:c r="Z49" s="5" t="inlineStr">
        <x:is>
          <x:t xml:space="preserve">#cobblemon:is_jungle; #cobblemon:is_savanna; #cobblemon:is_temperate; #cobblemon:is_tropical_island</x:t>
        </x:is>
      </x:c>
      <x:c r="AA49" s="5" t="inlineStr">
        <x:is>
          <x:t xml:space="preserve">common</x:t>
        </x:is>
      </x:c>
      <x:c r="AB49" s="5" t="inlineStr">
        <x:is>
          <x:t xml:space="preserve">예</x:t>
        </x:is>
      </x:c>
      <x:c r="AC49" s="8" t="str">
        <x:f>IF(T49&lt;&gt;"","수동확정",IF(X49="검토필요","검토필요",IF(S49="","원본없음","초기완료")))</x:f>
        <x:v>검토필요</x:v>
      </x:c>
      <x:c r="AD49" s="7" t="inlineStr">
        <x:is>
          <x:t xml:space="preserve"/>
        </x:is>
      </x:c>
      <x:c r="AE49" s="5" t="inlineStr">
        <x:is>
          <x:t xml:space="preserve">.tmp/cobblemon-1.7.3-source/common/src/main/resources/data/cobblemon/species/generation1/vileplume.json</x:t>
        </x:is>
      </x:c>
      <x:c r="AF49" s="5" t="str">
        <x:f>"생활권|"&amp;K49</x:f>
        <x:v>생활권|육상</x:v>
      </x:c>
      <x:c r="AG49" s="5" t="str">
        <x:f>"지형|"&amp;L49</x:f>
        <x:v>지형|수목</x:v>
      </x:c>
      <x:c r="AH49" s="5" t="str">
        <x:f>"온도|"&amp;M49</x:f>
        <x:v>온도|온대</x:v>
      </x:c>
      <x:c r="AI49" s="5" t="str">
        <x:f>"습도|"&amp;N49</x:f>
        <x:v>습도|다습</x:v>
      </x:c>
      <x:c r="AJ49" s="5" t="str">
        <x:f>"날씨|"&amp;O49</x:f>
        <x:v>날씨|무관</x:v>
      </x:c>
      <x:c r="AK49" s="5" t="str">
        <x:f>"특수태그|"&amp;R49</x:f>
        <x:v>특수태그|없음</x:v>
      </x:c>
      <x:c r="AL49" s="5" t="str">
        <x:f>"원본서식지|"&amp;S49</x:f>
        <x:v>원본서식지|숲</x:v>
      </x:c>
      <x:c r="AM49" s="5" t="str">
        <x:f>"타입|"&amp;F49</x:f>
        <x:v>타입|풀</x:v>
      </x:c>
      <x:c r="AN49" s="5" t="str">
        <x:f>"타입|"&amp;G49</x:f>
        <x:v>타입|독</x:v>
      </x:c>
    </x:row>
    <x:row r="50" ht="24" customHeight="1">
      <x:c r="A50" s="5" t="n">
        <x:v>46</x:v>
      </x:c>
      <x:c r="B50" s="5" t="inlineStr">
        <x:is>
          <x:t xml:space="preserve">파라스</x:t>
        </x:is>
      </x:c>
      <x:c r="C50" s="5" t="inlineStr">
        <x:is>
          <x:t xml:space="preserve">paras</x:t>
        </x:is>
      </x:c>
      <x:c r="D50" s="5" t="inlineStr">
        <x:is>
          <x:t xml:space="preserve">Paras</x:t>
        </x:is>
      </x:c>
      <x:c r="E50" s="5" t="n">
        <x:v>1</x:v>
      </x:c>
      <x:c r="F50" s="5" t="inlineStr">
        <x:is>
          <x:t xml:space="preserve">벌레</x:t>
        </x:is>
      </x:c>
      <x:c r="G50" s="5" t="inlineStr">
        <x:is>
          <x:t xml:space="preserve">풀</x:t>
        </x:is>
      </x:c>
      <x:c r="H50" s="6" t="n">
        <x:v>5.4</x:v>
      </x:c>
      <x:c r="I50" s="5" t="n">
        <x:v>24</x:v>
      </x:c>
      <x:c r="J50" s="5" t="inlineStr">
        <x:is>
          <x:t xml:space="preserve">기본</x:t>
        </x:is>
      </x:c>
      <x:c r="K50" s="7" t="inlineStr">
        <x:is>
          <x:t xml:space="preserve">육상</x:t>
        </x:is>
      </x:c>
      <x:c r="L50" s="7" t="inlineStr">
        <x:is>
          <x:t xml:space="preserve">화산</x:t>
        </x:is>
      </x:c>
      <x:c r="M50" s="7" t="inlineStr">
        <x:is>
          <x:t xml:space="preserve">고온</x:t>
        </x:is>
      </x:c>
      <x:c r="N50" s="7" t="inlineStr">
        <x:is>
          <x:t xml:space="preserve">건조</x:t>
        </x:is>
      </x:c>
      <x:c r="O50" s="7" t="inlineStr">
        <x:is>
          <x:t xml:space="preserve">맑음</x:t>
        </x:is>
      </x:c>
      <x:c r="P50" s="7" t="inlineStr">
        <x:is>
          <x:t xml:space="preserve">무관</x:t>
        </x:is>
      </x:c>
      <x:c r="Q50" s="7" t="inlineStr">
        <x:is>
          <x:t xml:space="preserve">보통</x:t>
        </x:is>
      </x:c>
      <x:c r="R50" s="7" t="inlineStr">
        <x:is>
          <x:t xml:space="preserve">화산</x:t>
        </x:is>
      </x:c>
      <x:c r="S50" s="7" t="inlineStr">
        <x:is>
          <x:t xml:space="preserve">화산</x:t>
        </x:is>
      </x:c>
      <x:c r="T50" s="7" t="inlineStr">
        <x:is>
          <x:t xml:space="preserve"/>
        </x:is>
      </x:c>
      <x:c r="U50" s="8" t="str">
        <x:f>INDEX('서식지_점수'!$E$4:$P$4,1,MATCH(MAX('서식지_점수'!E50:P50),'서식지_점수'!E50:P50,0))</x:f>
        <x:v>평원</x:v>
      </x:c>
      <x:c r="V50" s="8" t="str">
        <x:f>IF(T50&lt;&gt;"",T50,U50)</x:f>
        <x:v>평원</x:v>
      </x:c>
      <x:c r="W50" s="8" t="str">
        <x:f>IFERROR(INDEX('서식지_점수'!$E$4:$P$4,1,MATCH(MAXIFS('서식지_점수'!E50:P50,'서식지_점수'!E50:P50,"&lt;"&amp;MAX('서식지_점수'!E50:P50)),'서식지_점수'!E50:P50,0)),"")</x:f>
        <x:v>숲</x:v>
      </x:c>
      <x:c r="X50" s="8" t="str">
        <x:f>IF(T50&lt;&gt;"","수동확정",IF(MAX('서식지_점수'!E50:P50)-LARGE('서식지_점수'!E50:P50,2)&gt;=15,"높음",IF(MAX('서식지_점수'!E50:P50)-LARGE('서식지_점수'!E50:P50,2)&gt;=8,"보통","검토필요")))</x:f>
        <x:v>검토필요</x:v>
      </x:c>
      <x:c r="Y50" s="9" t="n">
        <x:f>IF(Q50="전설",8,IF(Q50="희귀",7,IF(J50="기본",1,IF(J50="중간",3,IF(J50="최종",IF(I50="",5,IF(I50&lt;=20,3,IF(I50&lt;=35,4,IF(I50&lt;=50,6,7)))),IF(Q50="드묾",4,2))))))</x:f>
        <x:v>1</x:v>
      </x:c>
      <x:c r="Z50" s="5" t="inlineStr">
        <x:is>
          <x:t xml:space="preserve">#cobblemon:is_lush; #cobblemon:is_mushroom; #cobblemon:is_overworld; #cobblemon:nether/is_fungus</x:t>
        </x:is>
      </x:c>
      <x:c r="AA50" s="5" t="inlineStr">
        <x:is>
          <x:t xml:space="preserve">common; uncommon</x:t>
        </x:is>
      </x:c>
      <x:c r="AB50" s="5" t="inlineStr">
        <x:is>
          <x:t xml:space="preserve">예</x:t>
        </x:is>
      </x:c>
      <x:c r="AC50" s="8" t="str">
        <x:f>IF(T50&lt;&gt;"","수동확정",IF(X50="검토필요","검토필요",IF(S50="","원본없음","초기완료")))</x:f>
        <x:v>검토필요</x:v>
      </x:c>
      <x:c r="AD50" s="7" t="inlineStr">
        <x:is>
          <x:t xml:space="preserve"/>
        </x:is>
      </x:c>
      <x:c r="AE50" s="5" t="inlineStr">
        <x:is>
          <x:t xml:space="preserve">.tmp/cobblemon-1.7.3-source/common/src/main/resources/data/cobblemon/species/generation1/paras.json</x:t>
        </x:is>
      </x:c>
      <x:c r="AF50" s="5" t="str">
        <x:f>"생활권|"&amp;K50</x:f>
        <x:v>생활권|육상</x:v>
      </x:c>
      <x:c r="AG50" s="5" t="str">
        <x:f>"지형|"&amp;L50</x:f>
        <x:v>지형|화산</x:v>
      </x:c>
      <x:c r="AH50" s="5" t="str">
        <x:f>"온도|"&amp;M50</x:f>
        <x:v>온도|고온</x:v>
      </x:c>
      <x:c r="AI50" s="5" t="str">
        <x:f>"습도|"&amp;N50</x:f>
        <x:v>습도|건조</x:v>
      </x:c>
      <x:c r="AJ50" s="5" t="str">
        <x:f>"날씨|"&amp;O50</x:f>
        <x:v>날씨|맑음</x:v>
      </x:c>
      <x:c r="AK50" s="5" t="str">
        <x:f>"특수태그|"&amp;R50</x:f>
        <x:v>특수태그|화산</x:v>
      </x:c>
      <x:c r="AL50" s="5" t="str">
        <x:f>"원본서식지|"&amp;S50</x:f>
        <x:v>원본서식지|화산</x:v>
      </x:c>
      <x:c r="AM50" s="5" t="str">
        <x:f>"타입|"&amp;F50</x:f>
        <x:v>타입|벌레</x:v>
      </x:c>
      <x:c r="AN50" s="5" t="str">
        <x:f>"타입|"&amp;G50</x:f>
        <x:v>타입|풀</x:v>
      </x:c>
    </x:row>
    <x:row r="51" ht="24" customHeight="1">
      <x:c r="A51" s="5" t="n">
        <x:v>47</x:v>
      </x:c>
      <x:c r="B51" s="5" t="inlineStr">
        <x:is>
          <x:t xml:space="preserve">파라섹트</x:t>
        </x:is>
      </x:c>
      <x:c r="C51" s="5" t="inlineStr">
        <x:is>
          <x:t xml:space="preserve">parasect</x:t>
        </x:is>
      </x:c>
      <x:c r="D51" s="5" t="inlineStr">
        <x:is>
          <x:t xml:space="preserve">Parasect</x:t>
        </x:is>
      </x:c>
      <x:c r="E51" s="5" t="n">
        <x:v>1</x:v>
      </x:c>
      <x:c r="F51" s="5" t="inlineStr">
        <x:is>
          <x:t xml:space="preserve">벌레</x:t>
        </x:is>
      </x:c>
      <x:c r="G51" s="5" t="inlineStr">
        <x:is>
          <x:t xml:space="preserve">풀</x:t>
        </x:is>
      </x:c>
      <x:c r="H51" s="6" t="n">
        <x:v>29.5</x:v>
      </x:c>
      <x:c r="I51" s="5" t="n">
        <x:v>24</x:v>
      </x:c>
      <x:c r="J51" s="5" t="inlineStr">
        <x:is>
          <x:t xml:space="preserve">최종</x:t>
        </x:is>
      </x:c>
      <x:c r="K51" s="7" t="inlineStr">
        <x:is>
          <x:t xml:space="preserve">육상</x:t>
        </x:is>
      </x:c>
      <x:c r="L51" s="7" t="inlineStr">
        <x:is>
          <x:t xml:space="preserve">화산</x:t>
        </x:is>
      </x:c>
      <x:c r="M51" s="7" t="inlineStr">
        <x:is>
          <x:t xml:space="preserve">고온</x:t>
        </x:is>
      </x:c>
      <x:c r="N51" s="7" t="inlineStr">
        <x:is>
          <x:t xml:space="preserve">건조</x:t>
        </x:is>
      </x:c>
      <x:c r="O51" s="7" t="inlineStr">
        <x:is>
          <x:t xml:space="preserve">맑음</x:t>
        </x:is>
      </x:c>
      <x:c r="P51" s="7" t="inlineStr">
        <x:is>
          <x:t xml:space="preserve">무관</x:t>
        </x:is>
      </x:c>
      <x:c r="Q51" s="7" t="inlineStr">
        <x:is>
          <x:t xml:space="preserve">보통</x:t>
        </x:is>
      </x:c>
      <x:c r="R51" s="7" t="inlineStr">
        <x:is>
          <x:t xml:space="preserve">화산</x:t>
        </x:is>
      </x:c>
      <x:c r="S51" s="7" t="inlineStr">
        <x:is>
          <x:t xml:space="preserve">화산</x:t>
        </x:is>
      </x:c>
      <x:c r="T51" s="7" t="inlineStr">
        <x:is>
          <x:t xml:space="preserve"/>
        </x:is>
      </x:c>
      <x:c r="U51" s="8" t="str">
        <x:f>INDEX('서식지_점수'!$E$4:$P$4,1,MATCH(MAX('서식지_점수'!E51:P51),'서식지_점수'!E51:P51,0))</x:f>
        <x:v>평원</x:v>
      </x:c>
      <x:c r="V51" s="8" t="str">
        <x:f>IF(T51&lt;&gt;"",T51,U51)</x:f>
        <x:v>평원</x:v>
      </x:c>
      <x:c r="W51" s="8" t="str">
        <x:f>IFERROR(INDEX('서식지_점수'!$E$4:$P$4,1,MATCH(MAXIFS('서식지_점수'!E51:P51,'서식지_점수'!E51:P51,"&lt;"&amp;MAX('서식지_점수'!E51:P51)),'서식지_점수'!E51:P51,0)),"")</x:f>
        <x:v>숲</x:v>
      </x:c>
      <x:c r="X51" s="8" t="str">
        <x:f>IF(T51&lt;&gt;"","수동확정",IF(MAX('서식지_점수'!E51:P51)-LARGE('서식지_점수'!E51:P51,2)&gt;=15,"높음",IF(MAX('서식지_점수'!E51:P51)-LARGE('서식지_점수'!E51:P51,2)&gt;=8,"보통","검토필요")))</x:f>
        <x:v>검토필요</x:v>
      </x:c>
      <x:c r="Y51" s="9" t="n">
        <x:f>IF(Q51="전설",8,IF(Q51="희귀",7,IF(J51="기본",1,IF(J51="중간",3,IF(J51="최종",IF(I51="",5,IF(I51&lt;=20,3,IF(I51&lt;=35,4,IF(I51&lt;=50,6,7)))),IF(Q51="드묾",4,2))))))</x:f>
        <x:v>4</x:v>
      </x:c>
      <x:c r="Z51" s="5" t="inlineStr">
        <x:is>
          <x:t xml:space="preserve">#cobblemon:is_lush; #cobblemon:is_mushroom; #cobblemon:is_overworld; #cobblemon:nether/is_fungus</x:t>
        </x:is>
      </x:c>
      <x:c r="AA51" s="5" t="inlineStr">
        <x:is>
          <x:t xml:space="preserve">common; uncommon</x:t>
        </x:is>
      </x:c>
      <x:c r="AB51" s="5" t="inlineStr">
        <x:is>
          <x:t xml:space="preserve">예</x:t>
        </x:is>
      </x:c>
      <x:c r="AC51" s="8" t="str">
        <x:f>IF(T51&lt;&gt;"","수동확정",IF(X51="검토필요","검토필요",IF(S51="","원본없음","초기완료")))</x:f>
        <x:v>검토필요</x:v>
      </x:c>
      <x:c r="AD51" s="7" t="inlineStr">
        <x:is>
          <x:t xml:space="preserve"/>
        </x:is>
      </x:c>
      <x:c r="AE51" s="5" t="inlineStr">
        <x:is>
          <x:t xml:space="preserve">.tmp/cobblemon-1.7.3-source/common/src/main/resources/data/cobblemon/species/generation1/parasect.json</x:t>
        </x:is>
      </x:c>
      <x:c r="AF51" s="5" t="str">
        <x:f>"생활권|"&amp;K51</x:f>
        <x:v>생활권|육상</x:v>
      </x:c>
      <x:c r="AG51" s="5" t="str">
        <x:f>"지형|"&amp;L51</x:f>
        <x:v>지형|화산</x:v>
      </x:c>
      <x:c r="AH51" s="5" t="str">
        <x:f>"온도|"&amp;M51</x:f>
        <x:v>온도|고온</x:v>
      </x:c>
      <x:c r="AI51" s="5" t="str">
        <x:f>"습도|"&amp;N51</x:f>
        <x:v>습도|건조</x:v>
      </x:c>
      <x:c r="AJ51" s="5" t="str">
        <x:f>"날씨|"&amp;O51</x:f>
        <x:v>날씨|맑음</x:v>
      </x:c>
      <x:c r="AK51" s="5" t="str">
        <x:f>"특수태그|"&amp;R51</x:f>
        <x:v>특수태그|화산</x:v>
      </x:c>
      <x:c r="AL51" s="5" t="str">
        <x:f>"원본서식지|"&amp;S51</x:f>
        <x:v>원본서식지|화산</x:v>
      </x:c>
      <x:c r="AM51" s="5" t="str">
        <x:f>"타입|"&amp;F51</x:f>
        <x:v>타입|벌레</x:v>
      </x:c>
      <x:c r="AN51" s="5" t="str">
        <x:f>"타입|"&amp;G51</x:f>
        <x:v>타입|풀</x:v>
      </x:c>
    </x:row>
    <x:row r="52" ht="24" customHeight="1">
      <x:c r="A52" s="5" t="n">
        <x:v>48</x:v>
      </x:c>
      <x:c r="B52" s="5" t="inlineStr">
        <x:is>
          <x:t xml:space="preserve">콘팡</x:t>
        </x:is>
      </x:c>
      <x:c r="C52" s="5" t="inlineStr">
        <x:is>
          <x:t xml:space="preserve">venonat</x:t>
        </x:is>
      </x:c>
      <x:c r="D52" s="5" t="inlineStr">
        <x:is>
          <x:t xml:space="preserve">Venonat</x:t>
        </x:is>
      </x:c>
      <x:c r="E52" s="5" t="n">
        <x:v>1</x:v>
      </x:c>
      <x:c r="F52" s="5" t="inlineStr">
        <x:is>
          <x:t xml:space="preserve">벌레</x:t>
        </x:is>
      </x:c>
      <x:c r="G52" s="5" t="inlineStr">
        <x:is>
          <x:t xml:space="preserve">독</x:t>
        </x:is>
      </x:c>
      <x:c r="H52" s="6" t="n">
        <x:v>30</x:v>
      </x:c>
      <x:c r="I52" s="5" t="n">
        <x:v>31</x:v>
      </x:c>
      <x:c r="J52" s="5" t="inlineStr">
        <x:is>
          <x:t xml:space="preserve">기본</x:t>
        </x:is>
      </x:c>
      <x:c r="K52" s="7" t="inlineStr">
        <x:is>
          <x:t xml:space="preserve">육상</x:t>
        </x:is>
      </x:c>
      <x:c r="L52" s="7" t="inlineStr">
        <x:is>
          <x:t xml:space="preserve">특수</x:t>
        </x:is>
      </x:c>
      <x:c r="M52" s="7" t="inlineStr">
        <x:is>
          <x:t xml:space="preserve">온대</x:t>
        </x:is>
      </x:c>
      <x:c r="N52" s="7" t="inlineStr">
        <x:is>
          <x:t xml:space="preserve">보통</x:t>
        </x:is>
      </x:c>
      <x:c r="O52" s="7" t="inlineStr">
        <x:is>
          <x:t xml:space="preserve">무관</x:t>
        </x:is>
      </x:c>
      <x:c r="P52" s="7" t="inlineStr">
        <x:is>
          <x:t xml:space="preserve">밤</x:t>
        </x:is>
      </x:c>
      <x:c r="Q52" s="7" t="inlineStr">
        <x:is>
          <x:t xml:space="preserve">흔함</x:t>
        </x:is>
      </x:c>
      <x:c r="R52" s="7" t="inlineStr">
        <x:is>
          <x:t xml:space="preserve">영체</x:t>
        </x:is>
      </x:c>
      <x:c r="S52" s="7" t="inlineStr">
        <x:is>
          <x:t xml:space="preserve">특수</x:t>
        </x:is>
      </x:c>
      <x:c r="T52" s="7" t="inlineStr">
        <x:is>
          <x:t xml:space="preserve"/>
        </x:is>
      </x:c>
      <x:c r="U52" s="8" t="str">
        <x:f>INDEX('서식지_점수'!$E$4:$P$4,1,MATCH(MAX('서식지_점수'!E52:P52),'서식지_점수'!E52:P52,0))</x:f>
        <x:v>평원</x:v>
      </x:c>
      <x:c r="V52" s="8" t="str">
        <x:f>IF(T52&lt;&gt;"",T52,U52)</x:f>
        <x:v>평원</x:v>
      </x:c>
      <x:c r="W52" s="8" t="str">
        <x:f>IFERROR(INDEX('서식지_점수'!$E$4:$P$4,1,MATCH(MAXIFS('서식지_점수'!E52:P52,'서식지_점수'!E52:P52,"&lt;"&amp;MAX('서식지_점수'!E52:P52)),'서식지_점수'!E52:P52,0)),"")</x:f>
        <x:v>숲</x:v>
      </x:c>
      <x:c r="X52" s="8" t="str">
        <x:f>IF(T52&lt;&gt;"","수동확정",IF(MAX('서식지_점수'!E52:P52)-LARGE('서식지_점수'!E52:P52,2)&gt;=15,"높음",IF(MAX('서식지_점수'!E52:P52)-LARGE('서식지_점수'!E52:P52,2)&gt;=8,"보통","검토필요")))</x:f>
        <x:v>검토필요</x:v>
      </x:c>
      <x:c r="Y52" s="9" t="n">
        <x:f>IF(Q52="전설",8,IF(Q52="희귀",7,IF(J52="기본",1,IF(J52="중간",3,IF(J52="최종",IF(I52="",5,IF(I52&lt;=20,3,IF(I52&lt;=35,4,IF(I52&lt;=50,6,7)))),IF(Q52="드묾",4,2))))))</x:f>
        <x:v>1</x:v>
      </x:c>
      <x:c r="Z52" s="5" t="inlineStr">
        <x:is>
          <x:t xml:space="preserve">#cobblemon:is_spooky; #cobblemon:is_swamp</x:t>
        </x:is>
      </x:c>
      <x:c r="AA52" s="5" t="inlineStr">
        <x:is>
          <x:t xml:space="preserve">common</x:t>
        </x:is>
      </x:c>
      <x:c r="AB52" s="5" t="inlineStr">
        <x:is>
          <x:t xml:space="preserve">예</x:t>
        </x:is>
      </x:c>
      <x:c r="AC52" s="8" t="str">
        <x:f>IF(T52&lt;&gt;"","수동확정",IF(X52="검토필요","검토필요",IF(S52="","원본없음","초기완료")))</x:f>
        <x:v>검토필요</x:v>
      </x:c>
      <x:c r="AD52" s="7" t="inlineStr">
        <x:is>
          <x:t xml:space="preserve"/>
        </x:is>
      </x:c>
      <x:c r="AE52" s="5" t="inlineStr">
        <x:is>
          <x:t xml:space="preserve">.tmp/cobblemon-1.7.3-source/common/src/main/resources/data/cobblemon/species/generation1/venonat.json</x:t>
        </x:is>
      </x:c>
      <x:c r="AF52" s="5" t="str">
        <x:f>"생활권|"&amp;K52</x:f>
        <x:v>생활권|육상</x:v>
      </x:c>
      <x:c r="AG52" s="5" t="str">
        <x:f>"지형|"&amp;L52</x:f>
        <x:v>지형|특수</x:v>
      </x:c>
      <x:c r="AH52" s="5" t="str">
        <x:f>"온도|"&amp;M52</x:f>
        <x:v>온도|온대</x:v>
      </x:c>
      <x:c r="AI52" s="5" t="str">
        <x:f>"습도|"&amp;N52</x:f>
        <x:v>습도|보통</x:v>
      </x:c>
      <x:c r="AJ52" s="5" t="str">
        <x:f>"날씨|"&amp;O52</x:f>
        <x:v>날씨|무관</x:v>
      </x:c>
      <x:c r="AK52" s="5" t="str">
        <x:f>"특수태그|"&amp;R52</x:f>
        <x:v>특수태그|영체</x:v>
      </x:c>
      <x:c r="AL52" s="5" t="str">
        <x:f>"원본서식지|"&amp;S52</x:f>
        <x:v>원본서식지|특수</x:v>
      </x:c>
      <x:c r="AM52" s="5" t="str">
        <x:f>"타입|"&amp;F52</x:f>
        <x:v>타입|벌레</x:v>
      </x:c>
      <x:c r="AN52" s="5" t="str">
        <x:f>"타입|"&amp;G52</x:f>
        <x:v>타입|독</x:v>
      </x:c>
    </x:row>
    <x:row r="53" ht="24" customHeight="1">
      <x:c r="A53" s="5" t="n">
        <x:v>49</x:v>
      </x:c>
      <x:c r="B53" s="5" t="inlineStr">
        <x:is>
          <x:t xml:space="preserve">도나리</x:t>
        </x:is>
      </x:c>
      <x:c r="C53" s="5" t="inlineStr">
        <x:is>
          <x:t xml:space="preserve">venomoth</x:t>
        </x:is>
      </x:c>
      <x:c r="D53" s="5" t="inlineStr">
        <x:is>
          <x:t xml:space="preserve">Venomoth</x:t>
        </x:is>
      </x:c>
      <x:c r="E53" s="5" t="n">
        <x:v>1</x:v>
      </x:c>
      <x:c r="F53" s="5" t="inlineStr">
        <x:is>
          <x:t xml:space="preserve">벌레</x:t>
        </x:is>
      </x:c>
      <x:c r="G53" s="5" t="inlineStr">
        <x:is>
          <x:t xml:space="preserve">독</x:t>
        </x:is>
      </x:c>
      <x:c r="H53" s="6" t="n">
        <x:v>12.5</x:v>
      </x:c>
      <x:c r="I53" s="5" t="n">
        <x:v>31</x:v>
      </x:c>
      <x:c r="J53" s="5" t="inlineStr">
        <x:is>
          <x:t xml:space="preserve">최종</x:t>
        </x:is>
      </x:c>
      <x:c r="K53" s="7" t="inlineStr">
        <x:is>
          <x:t xml:space="preserve">비행</x:t>
        </x:is>
      </x:c>
      <x:c r="L53" s="7" t="inlineStr">
        <x:is>
          <x:t xml:space="preserve">특수</x:t>
        </x:is>
      </x:c>
      <x:c r="M53" s="7" t="inlineStr">
        <x:is>
          <x:t xml:space="preserve">온대</x:t>
        </x:is>
      </x:c>
      <x:c r="N53" s="7" t="inlineStr">
        <x:is>
          <x:t xml:space="preserve">보통</x:t>
        </x:is>
      </x:c>
      <x:c r="O53" s="7" t="inlineStr">
        <x:is>
          <x:t xml:space="preserve">무관</x:t>
        </x:is>
      </x:c>
      <x:c r="P53" s="7" t="inlineStr">
        <x:is>
          <x:t xml:space="preserve">밤</x:t>
        </x:is>
      </x:c>
      <x:c r="Q53" s="7" t="inlineStr">
        <x:is>
          <x:t xml:space="preserve">흔함</x:t>
        </x:is>
      </x:c>
      <x:c r="R53" s="7" t="inlineStr">
        <x:is>
          <x:t xml:space="preserve">영체</x:t>
        </x:is>
      </x:c>
      <x:c r="S53" s="7" t="inlineStr">
        <x:is>
          <x:t xml:space="preserve">특수</x:t>
        </x:is>
      </x:c>
      <x:c r="T53" s="7" t="inlineStr">
        <x:is>
          <x:t xml:space="preserve"/>
        </x:is>
      </x:c>
      <x:c r="U53" s="8" t="str">
        <x:f>INDEX('서식지_점수'!$E$4:$P$4,1,MATCH(MAX('서식지_점수'!E53:P53),'서식지_점수'!E53:P53,0))</x:f>
        <x:v>산악</x:v>
      </x:c>
      <x:c r="V53" s="8" t="str">
        <x:f>IF(T53&lt;&gt;"",T53,U53)</x:f>
        <x:v>산악</x:v>
      </x:c>
      <x:c r="W53" s="8" t="str">
        <x:f>IFERROR(INDEX('서식지_점수'!$E$4:$P$4,1,MATCH(MAXIFS('서식지_점수'!E53:P53,'서식지_점수'!E53:P53,"&lt;"&amp;MAX('서식지_점수'!E53:P53)),'서식지_점수'!E53:P53,0)),"")</x:f>
        <x:v>평원</x:v>
      </x:c>
      <x:c r="X53" s="8" t="str">
        <x:f>IF(T53&lt;&gt;"","수동확정",IF(MAX('서식지_점수'!E53:P53)-LARGE('서식지_점수'!E53:P53,2)&gt;=15,"높음",IF(MAX('서식지_점수'!E53:P53)-LARGE('서식지_점수'!E53:P53,2)&gt;=8,"보통","검토필요")))</x:f>
        <x:v>검토필요</x:v>
      </x:c>
      <x:c r="Y53" s="9" t="n">
        <x:f>IF(Q53="전설",8,IF(Q53="희귀",7,IF(J53="기본",1,IF(J53="중간",3,IF(J53="최종",IF(I53="",5,IF(I53&lt;=20,3,IF(I53&lt;=35,4,IF(I53&lt;=50,6,7)))),IF(Q53="드묾",4,2))))))</x:f>
        <x:v>4</x:v>
      </x:c>
      <x:c r="Z53" s="5" t="inlineStr">
        <x:is>
          <x:t xml:space="preserve">#cobblemon:is_spooky; #cobblemon:is_swamp</x:t>
        </x:is>
      </x:c>
      <x:c r="AA53" s="5" t="inlineStr">
        <x:is>
          <x:t xml:space="preserve">common</x:t>
        </x:is>
      </x:c>
      <x:c r="AB53" s="5" t="inlineStr">
        <x:is>
          <x:t xml:space="preserve">예</x:t>
        </x:is>
      </x:c>
      <x:c r="AC53" s="8" t="str">
        <x:f>IF(T53&lt;&gt;"","수동확정",IF(X53="검토필요","검토필요",IF(S53="","원본없음","초기완료")))</x:f>
        <x:v>검토필요</x:v>
      </x:c>
      <x:c r="AD53" s="7" t="inlineStr">
        <x:is>
          <x:t xml:space="preserve"/>
        </x:is>
      </x:c>
      <x:c r="AE53" s="5" t="inlineStr">
        <x:is>
          <x:t xml:space="preserve">.tmp/cobblemon-1.7.3-source/common/src/main/resources/data/cobblemon/species/generation1/venomoth.json</x:t>
        </x:is>
      </x:c>
      <x:c r="AF53" s="5" t="str">
        <x:f>"생활권|"&amp;K53</x:f>
        <x:v>생활권|비행</x:v>
      </x:c>
      <x:c r="AG53" s="5" t="str">
        <x:f>"지형|"&amp;L53</x:f>
        <x:v>지형|특수</x:v>
      </x:c>
      <x:c r="AH53" s="5" t="str">
        <x:f>"온도|"&amp;M53</x:f>
        <x:v>온도|온대</x:v>
      </x:c>
      <x:c r="AI53" s="5" t="str">
        <x:f>"습도|"&amp;N53</x:f>
        <x:v>습도|보통</x:v>
      </x:c>
      <x:c r="AJ53" s="5" t="str">
        <x:f>"날씨|"&amp;O53</x:f>
        <x:v>날씨|무관</x:v>
      </x:c>
      <x:c r="AK53" s="5" t="str">
        <x:f>"특수태그|"&amp;R53</x:f>
        <x:v>특수태그|영체</x:v>
      </x:c>
      <x:c r="AL53" s="5" t="str">
        <x:f>"원본서식지|"&amp;S53</x:f>
        <x:v>원본서식지|특수</x:v>
      </x:c>
      <x:c r="AM53" s="5" t="str">
        <x:f>"타입|"&amp;F53</x:f>
        <x:v>타입|벌레</x:v>
      </x:c>
      <x:c r="AN53" s="5" t="str">
        <x:f>"타입|"&amp;G53</x:f>
        <x:v>타입|독</x:v>
      </x:c>
    </x:row>
    <x:row r="54" ht="24" customHeight="1">
      <x:c r="A54" s="5" t="n">
        <x:v>50</x:v>
      </x:c>
      <x:c r="B54" s="5" t="inlineStr">
        <x:is>
          <x:t xml:space="preserve">디그다</x:t>
        </x:is>
      </x:c>
      <x:c r="C54" s="5" t="inlineStr">
        <x:is>
          <x:t xml:space="preserve">diglett</x:t>
        </x:is>
      </x:c>
      <x:c r="D54" s="5" t="inlineStr">
        <x:is>
          <x:t xml:space="preserve">Diglett</x:t>
        </x:is>
      </x:c>
      <x:c r="E54" s="5" t="n">
        <x:v>1</x:v>
      </x:c>
      <x:c r="F54" s="5" t="inlineStr">
        <x:is>
          <x:t xml:space="preserve">땅</x:t>
        </x:is>
      </x:c>
      <x:c r="G54" s="5" t="inlineStr">
        <x:is>
          <x:t xml:space="preserve"/>
        </x:is>
      </x:c>
      <x:c r="H54" s="6" t="n">
        <x:v>0.8</x:v>
      </x:c>
      <x:c r="I54" s="5" t="n">
        <x:v>26</x:v>
      </x:c>
      <x:c r="J54" s="5" t="inlineStr">
        <x:is>
          <x:t xml:space="preserve">기본</x:t>
        </x:is>
      </x:c>
      <x:c r="K54" s="7" t="inlineStr">
        <x:is>
          <x:t xml:space="preserve">육상</x:t>
        </x:is>
      </x:c>
      <x:c r="L54" s="7" t="inlineStr">
        <x:is>
          <x:t xml:space="preserve">암석</x:t>
        </x:is>
      </x:c>
      <x:c r="M54" s="7" t="inlineStr">
        <x:is>
          <x:t xml:space="preserve">온대</x:t>
        </x:is>
      </x:c>
      <x:c r="N54" s="7" t="inlineStr">
        <x:is>
          <x:t xml:space="preserve">보통</x:t>
        </x:is>
      </x:c>
      <x:c r="O54" s="7" t="inlineStr">
        <x:is>
          <x:t xml:space="preserve">무관</x:t>
        </x:is>
      </x:c>
      <x:c r="P54" s="7" t="inlineStr">
        <x:is>
          <x:t xml:space="preserve">무관</x:t>
        </x:is>
      </x:c>
      <x:c r="Q54" s="7" t="inlineStr">
        <x:is>
          <x:t xml:space="preserve">흔함</x:t>
        </x:is>
      </x:c>
      <x:c r="R54" s="7" t="inlineStr">
        <x:is>
          <x:t xml:space="preserve">없음</x:t>
        </x:is>
      </x:c>
      <x:c r="S54" s="7" t="inlineStr">
        <x:is>
          <x:t xml:space="preserve"/>
        </x:is>
      </x:c>
      <x:c r="T54" s="7" t="inlineStr">
        <x:is>
          <x:t xml:space="preserve"/>
        </x:is>
      </x:c>
      <x:c r="U54" s="8" t="str">
        <x:f>INDEX('서식지_점수'!$E$4:$P$4,1,MATCH(MAX('서식지_점수'!E54:P54),'서식지_점수'!E54:P54,0))</x:f>
        <x:v>평원</x:v>
      </x:c>
      <x:c r="V54" s="8" t="str">
        <x:f>IF(T54&lt;&gt;"",T54,U54)</x:f>
        <x:v>평원</x:v>
      </x:c>
      <x:c r="W54" s="8" t="str">
        <x:f>IFERROR(INDEX('서식지_점수'!$E$4:$P$4,1,MATCH(MAXIFS('서식지_점수'!E54:P54,'서식지_점수'!E54:P54,"&lt;"&amp;MAX('서식지_점수'!E54:P54)),'서식지_점수'!E54:P54,0)),"")</x:f>
        <x:v>숲</x:v>
      </x:c>
      <x:c r="X54" s="8" t="str">
        <x:f>IF(T54&lt;&gt;"","수동확정",IF(MAX('서식지_점수'!E54:P54)-LARGE('서식지_점수'!E54:P54,2)&gt;=15,"높음",IF(MAX('서식지_점수'!E54:P54)-LARGE('서식지_점수'!E54:P54,2)&gt;=8,"보통","검토필요")))</x:f>
        <x:v>검토필요</x:v>
      </x:c>
      <x:c r="Y54" s="9" t="n">
        <x:f>IF(Q54="전설",8,IF(Q54="희귀",7,IF(J54="기본",1,IF(J54="중간",3,IF(J54="최종",IF(I54="",5,IF(I54&lt;=20,3,IF(I54&lt;=35,4,IF(I54&lt;=50,6,7)))),IF(Q54="드묾",4,2))))))</x:f>
        <x:v>1</x:v>
      </x:c>
      <x:c r="Z54" s="5" t="inlineStr">
        <x:is>
          <x:t xml:space="preserve">#cobblemon:is_overworld</x:t>
        </x:is>
      </x:c>
      <x:c r="AA54" s="5" t="inlineStr">
        <x:is>
          <x:t xml:space="preserve">common</x:t>
        </x:is>
      </x:c>
      <x:c r="AB54" s="5" t="inlineStr">
        <x:is>
          <x:t xml:space="preserve">예</x:t>
        </x:is>
      </x:c>
      <x:c r="AC54" s="8" t="str">
        <x:f>IF(T54&lt;&gt;"","수동확정",IF(X54="검토필요","검토필요",IF(S54="","원본없음","초기완료")))</x:f>
        <x:v>검토필요</x:v>
      </x:c>
      <x:c r="AD54" s="7" t="inlineStr">
        <x:is>
          <x:t xml:space="preserve"/>
        </x:is>
      </x:c>
      <x:c r="AE54" s="5" t="inlineStr">
        <x:is>
          <x:t xml:space="preserve">.tmp/cobblemon-1.7.3-source/common/src/main/resources/data/cobblemon/species/generation1/diglett.json</x:t>
        </x:is>
      </x:c>
      <x:c r="AF54" s="5" t="str">
        <x:f>"생활권|"&amp;K54</x:f>
        <x:v>생활권|육상</x:v>
      </x:c>
      <x:c r="AG54" s="5" t="str">
        <x:f>"지형|"&amp;L54</x:f>
        <x:v>지형|암석</x:v>
      </x:c>
      <x:c r="AH54" s="5" t="str">
        <x:f>"온도|"&amp;M54</x:f>
        <x:v>온도|온대</x:v>
      </x:c>
      <x:c r="AI54" s="5" t="str">
        <x:f>"습도|"&amp;N54</x:f>
        <x:v>습도|보통</x:v>
      </x:c>
      <x:c r="AJ54" s="5" t="str">
        <x:f>"날씨|"&amp;O54</x:f>
        <x:v>날씨|무관</x:v>
      </x:c>
      <x:c r="AK54" s="5" t="str">
        <x:f>"특수태그|"&amp;R54</x:f>
        <x:v>특수태그|없음</x:v>
      </x:c>
      <x:c r="AL54" s="5" t="str">
        <x:f>"원본서식지|"&amp;S54</x:f>
        <x:v>원본서식지|</x:v>
      </x:c>
      <x:c r="AM54" s="5" t="str">
        <x:f>"타입|"&amp;F54</x:f>
        <x:v>타입|땅</x:v>
      </x:c>
      <x:c r="AN54" s="5" t="str">
        <x:f>"타입|"&amp;G54</x:f>
        <x:v>타입|</x:v>
      </x:c>
    </x:row>
    <x:row r="55" ht="24" customHeight="1">
      <x:c r="A55" s="5" t="n">
        <x:v>51</x:v>
      </x:c>
      <x:c r="B55" s="5" t="inlineStr">
        <x:is>
          <x:t xml:space="preserve">닥트리오</x:t>
        </x:is>
      </x:c>
      <x:c r="C55" s="5" t="inlineStr">
        <x:is>
          <x:t xml:space="preserve">dugtrio</x:t>
        </x:is>
      </x:c>
      <x:c r="D55" s="5" t="inlineStr">
        <x:is>
          <x:t xml:space="preserve">Dugtrio</x:t>
        </x:is>
      </x:c>
      <x:c r="E55" s="5" t="n">
        <x:v>1</x:v>
      </x:c>
      <x:c r="F55" s="5" t="inlineStr">
        <x:is>
          <x:t xml:space="preserve">땅</x:t>
        </x:is>
      </x:c>
      <x:c r="G55" s="5" t="inlineStr">
        <x:is>
          <x:t xml:space="preserve"/>
        </x:is>
      </x:c>
      <x:c r="H55" s="6" t="n">
        <x:v>33.3</x:v>
      </x:c>
      <x:c r="I55" s="5" t="n">
        <x:v>26</x:v>
      </x:c>
      <x:c r="J55" s="5" t="inlineStr">
        <x:is>
          <x:t xml:space="preserve">최종</x:t>
        </x:is>
      </x:c>
      <x:c r="K55" s="7" t="inlineStr">
        <x:is>
          <x:t xml:space="preserve">육상</x:t>
        </x:is>
      </x:c>
      <x:c r="L55" s="7" t="inlineStr">
        <x:is>
          <x:t xml:space="preserve">암석</x:t>
        </x:is>
      </x:c>
      <x:c r="M55" s="7" t="inlineStr">
        <x:is>
          <x:t xml:space="preserve">온대</x:t>
        </x:is>
      </x:c>
      <x:c r="N55" s="7" t="inlineStr">
        <x:is>
          <x:t xml:space="preserve">보통</x:t>
        </x:is>
      </x:c>
      <x:c r="O55" s="7" t="inlineStr">
        <x:is>
          <x:t xml:space="preserve">무관</x:t>
        </x:is>
      </x:c>
      <x:c r="P55" s="7" t="inlineStr">
        <x:is>
          <x:t xml:space="preserve">무관</x:t>
        </x:is>
      </x:c>
      <x:c r="Q55" s="7" t="inlineStr">
        <x:is>
          <x:t xml:space="preserve">흔함</x:t>
        </x:is>
      </x:c>
      <x:c r="R55" s="7" t="inlineStr">
        <x:is>
          <x:t xml:space="preserve">없음</x:t>
        </x:is>
      </x:c>
      <x:c r="S55" s="7" t="inlineStr">
        <x:is>
          <x:t xml:space="preserve"/>
        </x:is>
      </x:c>
      <x:c r="T55" s="7" t="inlineStr">
        <x:is>
          <x:t xml:space="preserve"/>
        </x:is>
      </x:c>
      <x:c r="U55" s="8" t="str">
        <x:f>INDEX('서식지_점수'!$E$4:$P$4,1,MATCH(MAX('서식지_점수'!E55:P55),'서식지_점수'!E55:P55,0))</x:f>
        <x:v>평원</x:v>
      </x:c>
      <x:c r="V55" s="8" t="str">
        <x:f>IF(T55&lt;&gt;"",T55,U55)</x:f>
        <x:v>평원</x:v>
      </x:c>
      <x:c r="W55" s="8" t="str">
        <x:f>IFERROR(INDEX('서식지_점수'!$E$4:$P$4,1,MATCH(MAXIFS('서식지_점수'!E55:P55,'서식지_점수'!E55:P55,"&lt;"&amp;MAX('서식지_점수'!E55:P55)),'서식지_점수'!E55:P55,0)),"")</x:f>
        <x:v>숲</x:v>
      </x:c>
      <x:c r="X55" s="8" t="str">
        <x:f>IF(T55&lt;&gt;"","수동확정",IF(MAX('서식지_점수'!E55:P55)-LARGE('서식지_점수'!E55:P55,2)&gt;=15,"높음",IF(MAX('서식지_점수'!E55:P55)-LARGE('서식지_점수'!E55:P55,2)&gt;=8,"보통","검토필요")))</x:f>
        <x:v>검토필요</x:v>
      </x:c>
      <x:c r="Y55" s="9" t="n">
        <x:f>IF(Q55="전설",8,IF(Q55="희귀",7,IF(J55="기본",1,IF(J55="중간",3,IF(J55="최종",IF(I55="",5,IF(I55&lt;=20,3,IF(I55&lt;=35,4,IF(I55&lt;=50,6,7)))),IF(Q55="드묾",4,2))))))</x:f>
        <x:v>4</x:v>
      </x:c>
      <x:c r="Z55" s="5" t="inlineStr">
        <x:is>
          <x:t xml:space="preserve">#cobblemon:is_overworld</x:t>
        </x:is>
      </x:c>
      <x:c r="AA55" s="5" t="inlineStr">
        <x:is>
          <x:t xml:space="preserve">common</x:t>
        </x:is>
      </x:c>
      <x:c r="AB55" s="5" t="inlineStr">
        <x:is>
          <x:t xml:space="preserve">예</x:t>
        </x:is>
      </x:c>
      <x:c r="AC55" s="8" t="str">
        <x:f>IF(T55&lt;&gt;"","수동확정",IF(X55="검토필요","검토필요",IF(S55="","원본없음","초기완료")))</x:f>
        <x:v>검토필요</x:v>
      </x:c>
      <x:c r="AD55" s="7" t="inlineStr">
        <x:is>
          <x:t xml:space="preserve"/>
        </x:is>
      </x:c>
      <x:c r="AE55" s="5" t="inlineStr">
        <x:is>
          <x:t xml:space="preserve">.tmp/cobblemon-1.7.3-source/common/src/main/resources/data/cobblemon/species/generation1/dugtrio.json</x:t>
        </x:is>
      </x:c>
      <x:c r="AF55" s="5" t="str">
        <x:f>"생활권|"&amp;K55</x:f>
        <x:v>생활권|육상</x:v>
      </x:c>
      <x:c r="AG55" s="5" t="str">
        <x:f>"지형|"&amp;L55</x:f>
        <x:v>지형|암석</x:v>
      </x:c>
      <x:c r="AH55" s="5" t="str">
        <x:f>"온도|"&amp;M55</x:f>
        <x:v>온도|온대</x:v>
      </x:c>
      <x:c r="AI55" s="5" t="str">
        <x:f>"습도|"&amp;N55</x:f>
        <x:v>습도|보통</x:v>
      </x:c>
      <x:c r="AJ55" s="5" t="str">
        <x:f>"날씨|"&amp;O55</x:f>
        <x:v>날씨|무관</x:v>
      </x:c>
      <x:c r="AK55" s="5" t="str">
        <x:f>"특수태그|"&amp;R55</x:f>
        <x:v>특수태그|없음</x:v>
      </x:c>
      <x:c r="AL55" s="5" t="str">
        <x:f>"원본서식지|"&amp;S55</x:f>
        <x:v>원본서식지|</x:v>
      </x:c>
      <x:c r="AM55" s="5" t="str">
        <x:f>"타입|"&amp;F55</x:f>
        <x:v>타입|땅</x:v>
      </x:c>
      <x:c r="AN55" s="5" t="str">
        <x:f>"타입|"&amp;G55</x:f>
        <x:v>타입|</x:v>
      </x:c>
    </x:row>
    <x:row r="56" ht="24" customHeight="1">
      <x:c r="A56" s="5" t="n">
        <x:v>52</x:v>
      </x:c>
      <x:c r="B56" s="5" t="inlineStr">
        <x:is>
          <x:t xml:space="preserve">나옹</x:t>
        </x:is>
      </x:c>
      <x:c r="C56" s="5" t="inlineStr">
        <x:is>
          <x:t xml:space="preserve">meowth</x:t>
        </x:is>
      </x:c>
      <x:c r="D56" s="5" t="inlineStr">
        <x:is>
          <x:t xml:space="preserve">Meowth</x:t>
        </x:is>
      </x:c>
      <x:c r="E56" s="5" t="n">
        <x:v>1</x:v>
      </x:c>
      <x:c r="F56" s="5" t="inlineStr">
        <x:is>
          <x:t xml:space="preserve">노말</x:t>
        </x:is>
      </x:c>
      <x:c r="G56" s="5" t="inlineStr">
        <x:is>
          <x:t xml:space="preserve"/>
        </x:is>
      </x:c>
      <x:c r="H56" s="6" t="n">
        <x:v>4.2</x:v>
      </x:c>
      <x:c r="I56" s="5" t="n">
        <x:v>28</x:v>
      </x:c>
      <x:c r="J56" s="5" t="inlineStr">
        <x:is>
          <x:t xml:space="preserve">기본</x:t>
        </x:is>
      </x:c>
      <x:c r="K56" s="7" t="inlineStr">
        <x:is>
          <x:t xml:space="preserve">육상</x:t>
        </x:is>
      </x:c>
      <x:c r="L56" s="7" t="inlineStr">
        <x:is>
          <x:t xml:space="preserve">건조</x:t>
        </x:is>
      </x:c>
      <x:c r="M56" s="7" t="inlineStr">
        <x:is>
          <x:t xml:space="preserve">서늘</x:t>
        </x:is>
      </x:c>
      <x:c r="N56" s="7" t="inlineStr">
        <x:is>
          <x:t xml:space="preserve">건조</x:t>
        </x:is>
      </x:c>
      <x:c r="O56" s="7" t="inlineStr">
        <x:is>
          <x:t xml:space="preserve">맑음</x:t>
        </x:is>
      </x:c>
      <x:c r="P56" s="7" t="inlineStr">
        <x:is>
          <x:t xml:space="preserve">무관</x:t>
        </x:is>
      </x:c>
      <x:c r="Q56" s="7" t="inlineStr">
        <x:is>
          <x:t xml:space="preserve">보통</x:t>
        </x:is>
      </x:c>
      <x:c r="R56" s="7" t="inlineStr">
        <x:is>
          <x:t xml:space="preserve">없음</x:t>
        </x:is>
      </x:c>
      <x:c r="S56" s="7" t="inlineStr">
        <x:is>
          <x:t xml:space="preserve">건조지</x:t>
        </x:is>
      </x:c>
      <x:c r="T56" s="7" t="inlineStr">
        <x:is>
          <x:t xml:space="preserve"/>
        </x:is>
      </x:c>
      <x:c r="U56" s="8" t="str">
        <x:f>INDEX('서식지_점수'!$E$4:$P$4,1,MATCH(MAX('서식지_점수'!E56:P56),'서식지_점수'!E56:P56,0))</x:f>
        <x:v>평원</x:v>
      </x:c>
      <x:c r="V56" s="8" t="str">
        <x:f>IF(T56&lt;&gt;"",T56,U56)</x:f>
        <x:v>평원</x:v>
      </x:c>
      <x:c r="W56" s="8" t="str">
        <x:f>IFERROR(INDEX('서식지_점수'!$E$4:$P$4,1,MATCH(MAXIFS('서식지_점수'!E56:P56,'서식지_점수'!E56:P56,"&lt;"&amp;MAX('서식지_점수'!E56:P56)),'서식지_점수'!E56:P56,0)),"")</x:f>
        <x:v>숲</x:v>
      </x:c>
      <x:c r="X56" s="8" t="str">
        <x:f>IF(T56&lt;&gt;"","수동확정",IF(MAX('서식지_점수'!E56:P56)-LARGE('서식지_점수'!E56:P56,2)&gt;=15,"높음",IF(MAX('서식지_점수'!E56:P56)-LARGE('서식지_점수'!E56:P56,2)&gt;=8,"보통","검토필요")))</x:f>
        <x:v>검토필요</x:v>
      </x:c>
      <x:c r="Y56" s="9" t="n">
        <x:f>IF(Q56="전설",8,IF(Q56="희귀",7,IF(J56="기본",1,IF(J56="중간",3,IF(J56="최종",IF(I56="",5,IF(I56&lt;=20,3,IF(I56&lt;=35,4,IF(I56&lt;=50,6,7)))),IF(Q56="드묾",4,2))))))</x:f>
        <x:v>1</x:v>
      </x:c>
      <x:c r="Z56" s="5" t="inlineStr">
        <x:is>
          <x:t xml:space="preserve">#cobblemon:is_arid; #cobblemon:is_freezing; #cobblemon:is_overworld; #cobblemon:is_taiga</x:t>
        </x:is>
      </x:c>
      <x:c r="AA56" s="5" t="inlineStr">
        <x:is>
          <x:t xml:space="preserve">common; uncommon</x:t>
        </x:is>
      </x:c>
      <x:c r="AB56" s="5" t="inlineStr">
        <x:is>
          <x:t xml:space="preserve">예</x:t>
        </x:is>
      </x:c>
      <x:c r="AC56" s="8" t="str">
        <x:f>IF(T56&lt;&gt;"","수동확정",IF(X56="검토필요","검토필요",IF(S56="","원본없음","초기완료")))</x:f>
        <x:v>검토필요</x:v>
      </x:c>
      <x:c r="AD56" s="7" t="inlineStr">
        <x:is>
          <x:t xml:space="preserve"/>
        </x:is>
      </x:c>
      <x:c r="AE56" s="5" t="inlineStr">
        <x:is>
          <x:t xml:space="preserve">.tmp/cobblemon-1.7.3-source/common/src/main/resources/data/cobblemon/species/generation1/meowth.json</x:t>
        </x:is>
      </x:c>
      <x:c r="AF56" s="5" t="str">
        <x:f>"생활권|"&amp;K56</x:f>
        <x:v>생활권|육상</x:v>
      </x:c>
      <x:c r="AG56" s="5" t="str">
        <x:f>"지형|"&amp;L56</x:f>
        <x:v>지형|건조</x:v>
      </x:c>
      <x:c r="AH56" s="5" t="str">
        <x:f>"온도|"&amp;M56</x:f>
        <x:v>온도|서늘</x:v>
      </x:c>
      <x:c r="AI56" s="5" t="str">
        <x:f>"습도|"&amp;N56</x:f>
        <x:v>습도|건조</x:v>
      </x:c>
      <x:c r="AJ56" s="5" t="str">
        <x:f>"날씨|"&amp;O56</x:f>
        <x:v>날씨|맑음</x:v>
      </x:c>
      <x:c r="AK56" s="5" t="str">
        <x:f>"특수태그|"&amp;R56</x:f>
        <x:v>특수태그|없음</x:v>
      </x:c>
      <x:c r="AL56" s="5" t="str">
        <x:f>"원본서식지|"&amp;S56</x:f>
        <x:v>원본서식지|건조지</x:v>
      </x:c>
      <x:c r="AM56" s="5" t="str">
        <x:f>"타입|"&amp;F56</x:f>
        <x:v>타입|노말</x:v>
      </x:c>
      <x:c r="AN56" s="5" t="str">
        <x:f>"타입|"&amp;G56</x:f>
        <x:v>타입|</x:v>
      </x:c>
    </x:row>
    <x:row r="57" ht="24" customHeight="1">
      <x:c r="A57" s="5" t="n">
        <x:v>53</x:v>
      </x:c>
      <x:c r="B57" s="5" t="inlineStr">
        <x:is>
          <x:t xml:space="preserve">페르시온</x:t>
        </x:is>
      </x:c>
      <x:c r="C57" s="5" t="inlineStr">
        <x:is>
          <x:t xml:space="preserve">persian</x:t>
        </x:is>
      </x:c>
      <x:c r="D57" s="5" t="inlineStr">
        <x:is>
          <x:t xml:space="preserve">Persian</x:t>
        </x:is>
      </x:c>
      <x:c r="E57" s="5" t="n">
        <x:v>1</x:v>
      </x:c>
      <x:c r="F57" s="5" t="inlineStr">
        <x:is>
          <x:t xml:space="preserve">노말</x:t>
        </x:is>
      </x:c>
      <x:c r="G57" s="5" t="inlineStr">
        <x:is>
          <x:t xml:space="preserve"/>
        </x:is>
      </x:c>
      <x:c r="H57" s="6" t="n">
        <x:v>32</x:v>
      </x:c>
      <x:c r="I57" s="5" t="n">
        <x:v>28</x:v>
      </x:c>
      <x:c r="J57" s="5" t="inlineStr">
        <x:is>
          <x:t xml:space="preserve">최종</x:t>
        </x:is>
      </x:c>
      <x:c r="K57" s="7" t="inlineStr">
        <x:is>
          <x:t xml:space="preserve">육상</x:t>
        </x:is>
      </x:c>
      <x:c r="L57" s="7" t="inlineStr">
        <x:is>
          <x:t xml:space="preserve">건조</x:t>
        </x:is>
      </x:c>
      <x:c r="M57" s="7" t="inlineStr">
        <x:is>
          <x:t xml:space="preserve">고온</x:t>
        </x:is>
      </x:c>
      <x:c r="N57" s="7" t="inlineStr">
        <x:is>
          <x:t xml:space="preserve">건조</x:t>
        </x:is>
      </x:c>
      <x:c r="O57" s="7" t="inlineStr">
        <x:is>
          <x:t xml:space="preserve">맑음</x:t>
        </x:is>
      </x:c>
      <x:c r="P57" s="7" t="inlineStr">
        <x:is>
          <x:t xml:space="preserve">무관</x:t>
        </x:is>
      </x:c>
      <x:c r="Q57" s="7" t="inlineStr">
        <x:is>
          <x:t xml:space="preserve">보통</x:t>
        </x:is>
      </x:c>
      <x:c r="R57" s="7" t="inlineStr">
        <x:is>
          <x:t xml:space="preserve">없음</x:t>
        </x:is>
      </x:c>
      <x:c r="S57" s="7" t="inlineStr">
        <x:is>
          <x:t xml:space="preserve">건조지</x:t>
        </x:is>
      </x:c>
      <x:c r="T57" s="7" t="inlineStr">
        <x:is>
          <x:t xml:space="preserve"/>
        </x:is>
      </x:c>
      <x:c r="U57" s="8" t="str">
        <x:f>INDEX('서식지_점수'!$E$4:$P$4,1,MATCH(MAX('서식지_점수'!E57:P57),'서식지_점수'!E57:P57,0))</x:f>
        <x:v>평원</x:v>
      </x:c>
      <x:c r="V57" s="8" t="str">
        <x:f>IF(T57&lt;&gt;"",T57,U57)</x:f>
        <x:v>평원</x:v>
      </x:c>
      <x:c r="W57" s="8" t="str">
        <x:f>IFERROR(INDEX('서식지_점수'!$E$4:$P$4,1,MATCH(MAXIFS('서식지_점수'!E57:P57,'서식지_점수'!E57:P57,"&lt;"&amp;MAX('서식지_점수'!E57:P57)),'서식지_점수'!E57:P57,0)),"")</x:f>
        <x:v>숲</x:v>
      </x:c>
      <x:c r="X57" s="8" t="str">
        <x:f>IF(T57&lt;&gt;"","수동확정",IF(MAX('서식지_점수'!E57:P57)-LARGE('서식지_점수'!E57:P57,2)&gt;=15,"높음",IF(MAX('서식지_점수'!E57:P57)-LARGE('서식지_점수'!E57:P57,2)&gt;=8,"보통","검토필요")))</x:f>
        <x:v>검토필요</x:v>
      </x:c>
      <x:c r="Y57" s="9" t="n">
        <x:f>IF(Q57="전설",8,IF(Q57="희귀",7,IF(J57="기본",1,IF(J57="중간",3,IF(J57="최종",IF(I57="",5,IF(I57&lt;=20,3,IF(I57&lt;=35,4,IF(I57&lt;=50,6,7)))),IF(Q57="드묾",4,2))))))</x:f>
        <x:v>4</x:v>
      </x:c>
      <x:c r="Z57" s="5" t="inlineStr">
        <x:is>
          <x:t xml:space="preserve">#cobblemon:is_arid; #cobblemon:is_freezing; #cobblemon:is_overworld</x:t>
        </x:is>
      </x:c>
      <x:c r="AA57" s="5" t="inlineStr">
        <x:is>
          <x:t xml:space="preserve">common; uncommon</x:t>
        </x:is>
      </x:c>
      <x:c r="AB57" s="5" t="inlineStr">
        <x:is>
          <x:t xml:space="preserve">예</x:t>
        </x:is>
      </x:c>
      <x:c r="AC57" s="8" t="str">
        <x:f>IF(T57&lt;&gt;"","수동확정",IF(X57="검토필요","검토필요",IF(S57="","원본없음","초기완료")))</x:f>
        <x:v>검토필요</x:v>
      </x:c>
      <x:c r="AD57" s="7" t="inlineStr">
        <x:is>
          <x:t xml:space="preserve"/>
        </x:is>
      </x:c>
      <x:c r="AE57" s="5" t="inlineStr">
        <x:is>
          <x:t xml:space="preserve">.tmp/cobblemon-1.7.3-source/common/src/main/resources/data/cobblemon/species/generation1/persian.json</x:t>
        </x:is>
      </x:c>
      <x:c r="AF57" s="5" t="str">
        <x:f>"생활권|"&amp;K57</x:f>
        <x:v>생활권|육상</x:v>
      </x:c>
      <x:c r="AG57" s="5" t="str">
        <x:f>"지형|"&amp;L57</x:f>
        <x:v>지형|건조</x:v>
      </x:c>
      <x:c r="AH57" s="5" t="str">
        <x:f>"온도|"&amp;M57</x:f>
        <x:v>온도|고온</x:v>
      </x:c>
      <x:c r="AI57" s="5" t="str">
        <x:f>"습도|"&amp;N57</x:f>
        <x:v>습도|건조</x:v>
      </x:c>
      <x:c r="AJ57" s="5" t="str">
        <x:f>"날씨|"&amp;O57</x:f>
        <x:v>날씨|맑음</x:v>
      </x:c>
      <x:c r="AK57" s="5" t="str">
        <x:f>"특수태그|"&amp;R57</x:f>
        <x:v>특수태그|없음</x:v>
      </x:c>
      <x:c r="AL57" s="5" t="str">
        <x:f>"원본서식지|"&amp;S57</x:f>
        <x:v>원본서식지|건조지</x:v>
      </x:c>
      <x:c r="AM57" s="5" t="str">
        <x:f>"타입|"&amp;F57</x:f>
        <x:v>타입|노말</x:v>
      </x:c>
      <x:c r="AN57" s="5" t="str">
        <x:f>"타입|"&amp;G57</x:f>
        <x:v>타입|</x:v>
      </x:c>
    </x:row>
    <x:row r="58" ht="24" customHeight="1">
      <x:c r="A58" s="5" t="n">
        <x:v>54</x:v>
      </x:c>
      <x:c r="B58" s="5" t="inlineStr">
        <x:is>
          <x:t xml:space="preserve">고라파덕</x:t>
        </x:is>
      </x:c>
      <x:c r="C58" s="5" t="inlineStr">
        <x:is>
          <x:t xml:space="preserve">psyduck</x:t>
        </x:is>
      </x:c>
      <x:c r="D58" s="5" t="inlineStr">
        <x:is>
          <x:t xml:space="preserve">Psyduck</x:t>
        </x:is>
      </x:c>
      <x:c r="E58" s="5" t="n">
        <x:v>1</x:v>
      </x:c>
      <x:c r="F58" s="5" t="inlineStr">
        <x:is>
          <x:t xml:space="preserve">물</x:t>
        </x:is>
      </x:c>
      <x:c r="G58" s="5" t="inlineStr">
        <x:is>
          <x:t xml:space="preserve"/>
        </x:is>
      </x:c>
      <x:c r="H58" s="6" t="n">
        <x:v>19.6</x:v>
      </x:c>
      <x:c r="I58" s="5" t="n">
        <x:v>33</x:v>
      </x:c>
      <x:c r="J58" s="5" t="inlineStr">
        <x:is>
          <x:t xml:space="preserve">기본</x:t>
        </x:is>
      </x:c>
      <x:c r="K58" s="7" t="inlineStr">
        <x:is>
          <x:t xml:space="preserve">담수</x:t>
        </x:is>
      </x:c>
      <x:c r="L58" s="7" t="inlineStr">
        <x:is>
          <x:t xml:space="preserve">담수</x:t>
        </x:is>
      </x:c>
      <x:c r="M58" s="7" t="inlineStr">
        <x:is>
          <x:t xml:space="preserve">온대</x:t>
        </x:is>
      </x:c>
      <x:c r="N58" s="7" t="inlineStr">
        <x:is>
          <x:t xml:space="preserve">수중</x:t>
        </x:is>
      </x:c>
      <x:c r="O58" s="7" t="inlineStr">
        <x:is>
          <x:t xml:space="preserve">비</x:t>
        </x:is>
      </x:c>
      <x:c r="P58" s="7" t="inlineStr">
        <x:is>
          <x:t xml:space="preserve">무관</x:t>
        </x:is>
      </x:c>
      <x:c r="Q58" s="7" t="inlineStr">
        <x:is>
          <x:t xml:space="preserve">흔함</x:t>
        </x:is>
      </x:c>
      <x:c r="R58" s="7" t="inlineStr">
        <x:is>
          <x:t xml:space="preserve">없음</x:t>
        </x:is>
      </x:c>
      <x:c r="S58" s="7" t="inlineStr">
        <x:is>
          <x:t xml:space="preserve">담수</x:t>
        </x:is>
      </x:c>
      <x:c r="T58" s="7" t="inlineStr">
        <x:is>
          <x:t xml:space="preserve"/>
        </x:is>
      </x:c>
      <x:c r="U58" s="8" t="str">
        <x:f>INDEX('서식지_점수'!$E$4:$P$4,1,MATCH(MAX('서식지_점수'!E58:P58),'서식지_점수'!E58:P58,0))</x:f>
        <x:v>담수</x:v>
      </x:c>
      <x:c r="V58" s="8" t="str">
        <x:f>IF(T58&lt;&gt;"",T58,U58)</x:f>
        <x:v>담수</x:v>
      </x:c>
      <x:c r="W58" s="8" t="str">
        <x:f>IFERROR(INDEX('서식지_점수'!$E$4:$P$4,1,MATCH(MAXIFS('서식지_점수'!E58:P58,'서식지_점수'!E58:P58,"&lt;"&amp;MAX('서식지_점수'!E58:P58)),'서식지_점수'!E58:P58,0)),"")</x:f>
        <x:v>습지</x:v>
      </x:c>
      <x:c r="X58" s="8" t="str">
        <x:f>IF(T58&lt;&gt;"","수동확정",IF(MAX('서식지_점수'!E58:P58)-LARGE('서식지_점수'!E58:P58,2)&gt;=15,"높음",IF(MAX('서식지_점수'!E58:P58)-LARGE('서식지_점수'!E58:P58,2)&gt;=8,"보통","검토필요")))</x:f>
        <x:v>높음</x:v>
      </x:c>
      <x:c r="Y58" s="9" t="n">
        <x:f>IF(Q58="전설",8,IF(Q58="희귀",7,IF(J58="기본",1,IF(J58="중간",3,IF(J58="최종",IF(I58="",5,IF(I58&lt;=20,3,IF(I58&lt;=35,4,IF(I58&lt;=50,6,7)))),IF(Q58="드묾",4,2))))))</x:f>
        <x:v>1</x:v>
      </x:c>
      <x:c r="Z58" s="5" t="inlineStr">
        <x:is>
          <x:t xml:space="preserve">#cobblemon:is_forest; #cobblemon:is_freshwater; #cobblemon:is_grassland; #cobblemon:is_magical; #cobblemon:is_swamp; #cobblemon:is_tropical_island</x:t>
        </x:is>
      </x:c>
      <x:c r="AA58" s="5" t="inlineStr">
        <x:is>
          <x:t xml:space="preserve">common</x:t>
        </x:is>
      </x:c>
      <x:c r="AB58" s="5" t="inlineStr">
        <x:is>
          <x:t xml:space="preserve">예</x:t>
        </x:is>
      </x:c>
      <x:c r="AC58" s="8" t="str">
        <x:f>IF(T58&lt;&gt;"","수동확정",IF(X58="검토필요","검토필요",IF(S58="","원본없음","초기완료")))</x:f>
        <x:v>초기완료</x:v>
      </x:c>
      <x:c r="AD58" s="7" t="inlineStr">
        <x:is>
          <x:t xml:space="preserve"/>
        </x:is>
      </x:c>
      <x:c r="AE58" s="5" t="inlineStr">
        <x:is>
          <x:t xml:space="preserve">.tmp/cobblemon-1.7.3-source/common/src/main/resources/data/cobblemon/species/generation1/psyduck.json</x:t>
        </x:is>
      </x:c>
      <x:c r="AF58" s="5" t="str">
        <x:f>"생활권|"&amp;K58</x:f>
        <x:v>생활권|담수</x:v>
      </x:c>
      <x:c r="AG58" s="5" t="str">
        <x:f>"지형|"&amp;L58</x:f>
        <x:v>지형|담수</x:v>
      </x:c>
      <x:c r="AH58" s="5" t="str">
        <x:f>"온도|"&amp;M58</x:f>
        <x:v>온도|온대</x:v>
      </x:c>
      <x:c r="AI58" s="5" t="str">
        <x:f>"습도|"&amp;N58</x:f>
        <x:v>습도|수중</x:v>
      </x:c>
      <x:c r="AJ58" s="5" t="str">
        <x:f>"날씨|"&amp;O58</x:f>
        <x:v>날씨|비</x:v>
      </x:c>
      <x:c r="AK58" s="5" t="str">
        <x:f>"특수태그|"&amp;R58</x:f>
        <x:v>특수태그|없음</x:v>
      </x:c>
      <x:c r="AL58" s="5" t="str">
        <x:f>"원본서식지|"&amp;S58</x:f>
        <x:v>원본서식지|담수</x:v>
      </x:c>
      <x:c r="AM58" s="5" t="str">
        <x:f>"타입|"&amp;F58</x:f>
        <x:v>타입|물</x:v>
      </x:c>
      <x:c r="AN58" s="5" t="str">
        <x:f>"타입|"&amp;G58</x:f>
        <x:v>타입|</x:v>
      </x:c>
    </x:row>
    <x:row r="59" ht="24" customHeight="1">
      <x:c r="A59" s="5" t="n">
        <x:v>55</x:v>
      </x:c>
      <x:c r="B59" s="5" t="inlineStr">
        <x:is>
          <x:t xml:space="preserve">골덕</x:t>
        </x:is>
      </x:c>
      <x:c r="C59" s="5" t="inlineStr">
        <x:is>
          <x:t xml:space="preserve">golduck</x:t>
        </x:is>
      </x:c>
      <x:c r="D59" s="5" t="inlineStr">
        <x:is>
          <x:t xml:space="preserve">Golduck</x:t>
        </x:is>
      </x:c>
      <x:c r="E59" s="5" t="n">
        <x:v>1</x:v>
      </x:c>
      <x:c r="F59" s="5" t="inlineStr">
        <x:is>
          <x:t xml:space="preserve">물</x:t>
        </x:is>
      </x:c>
      <x:c r="G59" s="5" t="inlineStr">
        <x:is>
          <x:t xml:space="preserve"/>
        </x:is>
      </x:c>
      <x:c r="H59" s="6" t="n">
        <x:v>76.59999999999999</x:v>
      </x:c>
      <x:c r="I59" s="5" t="n">
        <x:v>33</x:v>
      </x:c>
      <x:c r="J59" s="5" t="inlineStr">
        <x:is>
          <x:t xml:space="preserve">최종</x:t>
        </x:is>
      </x:c>
      <x:c r="K59" s="7" t="inlineStr">
        <x:is>
          <x:t xml:space="preserve">담수</x:t>
        </x:is>
      </x:c>
      <x:c r="L59" s="7" t="inlineStr">
        <x:is>
          <x:t xml:space="preserve">담수</x:t>
        </x:is>
      </x:c>
      <x:c r="M59" s="7" t="inlineStr">
        <x:is>
          <x:t xml:space="preserve">온대</x:t>
        </x:is>
      </x:c>
      <x:c r="N59" s="7" t="inlineStr">
        <x:is>
          <x:t xml:space="preserve">수중</x:t>
        </x:is>
      </x:c>
      <x:c r="O59" s="7" t="inlineStr">
        <x:is>
          <x:t xml:space="preserve">비</x:t>
        </x:is>
      </x:c>
      <x:c r="P59" s="7" t="inlineStr">
        <x:is>
          <x:t xml:space="preserve">무관</x:t>
        </x:is>
      </x:c>
      <x:c r="Q59" s="7" t="inlineStr">
        <x:is>
          <x:t xml:space="preserve">흔함</x:t>
        </x:is>
      </x:c>
      <x:c r="R59" s="7" t="inlineStr">
        <x:is>
          <x:t xml:space="preserve">없음</x:t>
        </x:is>
      </x:c>
      <x:c r="S59" s="7" t="inlineStr">
        <x:is>
          <x:t xml:space="preserve">담수</x:t>
        </x:is>
      </x:c>
      <x:c r="T59" s="7" t="inlineStr">
        <x:is>
          <x:t xml:space="preserve"/>
        </x:is>
      </x:c>
      <x:c r="U59" s="8" t="str">
        <x:f>INDEX('서식지_점수'!$E$4:$P$4,1,MATCH(MAX('서식지_점수'!E59:P59),'서식지_점수'!E59:P59,0))</x:f>
        <x:v>담수</x:v>
      </x:c>
      <x:c r="V59" s="8" t="str">
        <x:f>IF(T59&lt;&gt;"",T59,U59)</x:f>
        <x:v>담수</x:v>
      </x:c>
      <x:c r="W59" s="8" t="str">
        <x:f>IFERROR(INDEX('서식지_점수'!$E$4:$P$4,1,MATCH(MAXIFS('서식지_점수'!E59:P59,'서식지_점수'!E59:P59,"&lt;"&amp;MAX('서식지_점수'!E59:P59)),'서식지_점수'!E59:P59,0)),"")</x:f>
        <x:v>습지</x:v>
      </x:c>
      <x:c r="X59" s="8" t="str">
        <x:f>IF(T59&lt;&gt;"","수동확정",IF(MAX('서식지_점수'!E59:P59)-LARGE('서식지_점수'!E59:P59,2)&gt;=15,"높음",IF(MAX('서식지_점수'!E59:P59)-LARGE('서식지_점수'!E59:P59,2)&gt;=8,"보통","검토필요")))</x:f>
        <x:v>높음</x:v>
      </x:c>
      <x:c r="Y59" s="9" t="n">
        <x:f>IF(Q59="전설",8,IF(Q59="희귀",7,IF(J59="기본",1,IF(J59="중간",3,IF(J59="최종",IF(I59="",5,IF(I59&lt;=20,3,IF(I59&lt;=35,4,IF(I59&lt;=50,6,7)))),IF(Q59="드묾",4,2))))))</x:f>
        <x:v>4</x:v>
      </x:c>
      <x:c r="Z59" s="5" t="inlineStr">
        <x:is>
          <x:t xml:space="preserve">#cobblemon:is_forest; #cobblemon:is_freshwater; #cobblemon:is_grassland; #cobblemon:is_magical; #cobblemon:is_swamp; #cobblemon:is_tropical_island</x:t>
        </x:is>
      </x:c>
      <x:c r="AA59" s="5" t="inlineStr">
        <x:is>
          <x:t xml:space="preserve">common</x:t>
        </x:is>
      </x:c>
      <x:c r="AB59" s="5" t="inlineStr">
        <x:is>
          <x:t xml:space="preserve">예</x:t>
        </x:is>
      </x:c>
      <x:c r="AC59" s="8" t="str">
        <x:f>IF(T59&lt;&gt;"","수동확정",IF(X59="검토필요","검토필요",IF(S59="","원본없음","초기완료")))</x:f>
        <x:v>초기완료</x:v>
      </x:c>
      <x:c r="AD59" s="7" t="inlineStr">
        <x:is>
          <x:t xml:space="preserve"/>
        </x:is>
      </x:c>
      <x:c r="AE59" s="5" t="inlineStr">
        <x:is>
          <x:t xml:space="preserve">.tmp/cobblemon-1.7.3-source/common/src/main/resources/data/cobblemon/species/generation1/golduck.json</x:t>
        </x:is>
      </x:c>
      <x:c r="AF59" s="5" t="str">
        <x:f>"생활권|"&amp;K59</x:f>
        <x:v>생활권|담수</x:v>
      </x:c>
      <x:c r="AG59" s="5" t="str">
        <x:f>"지형|"&amp;L59</x:f>
        <x:v>지형|담수</x:v>
      </x:c>
      <x:c r="AH59" s="5" t="str">
        <x:f>"온도|"&amp;M59</x:f>
        <x:v>온도|온대</x:v>
      </x:c>
      <x:c r="AI59" s="5" t="str">
        <x:f>"습도|"&amp;N59</x:f>
        <x:v>습도|수중</x:v>
      </x:c>
      <x:c r="AJ59" s="5" t="str">
        <x:f>"날씨|"&amp;O59</x:f>
        <x:v>날씨|비</x:v>
      </x:c>
      <x:c r="AK59" s="5" t="str">
        <x:f>"특수태그|"&amp;R59</x:f>
        <x:v>특수태그|없음</x:v>
      </x:c>
      <x:c r="AL59" s="5" t="str">
        <x:f>"원본서식지|"&amp;S59</x:f>
        <x:v>원본서식지|담수</x:v>
      </x:c>
      <x:c r="AM59" s="5" t="str">
        <x:f>"타입|"&amp;F59</x:f>
        <x:v>타입|물</x:v>
      </x:c>
      <x:c r="AN59" s="5" t="str">
        <x:f>"타입|"&amp;G59</x:f>
        <x:v>타입|</x:v>
      </x:c>
    </x:row>
    <x:row r="60" ht="24" customHeight="1">
      <x:c r="A60" s="5" t="n">
        <x:v>56</x:v>
      </x:c>
      <x:c r="B60" s="5" t="inlineStr">
        <x:is>
          <x:t xml:space="preserve">망키</x:t>
        </x:is>
      </x:c>
      <x:c r="C60" s="5" t="inlineStr">
        <x:is>
          <x:t xml:space="preserve">mankey</x:t>
        </x:is>
      </x:c>
      <x:c r="D60" s="5" t="inlineStr">
        <x:is>
          <x:t xml:space="preserve">Mankey</x:t>
        </x:is>
      </x:c>
      <x:c r="E60" s="5" t="n">
        <x:v>1</x:v>
      </x:c>
      <x:c r="F60" s="5" t="inlineStr">
        <x:is>
          <x:t xml:space="preserve">격투</x:t>
        </x:is>
      </x:c>
      <x:c r="G60" s="5" t="inlineStr">
        <x:is>
          <x:t xml:space="preserve"/>
        </x:is>
      </x:c>
      <x:c r="H60" s="6" t="n">
        <x:v>28</x:v>
      </x:c>
      <x:c r="I60" s="5" t="n">
        <x:v>28</x:v>
      </x:c>
      <x:c r="J60" s="5" t="inlineStr">
        <x:is>
          <x:t xml:space="preserve">기본</x:t>
        </x:is>
      </x:c>
      <x:c r="K60" s="7" t="inlineStr">
        <x:is>
          <x:t xml:space="preserve">육상</x:t>
        </x:is>
      </x:c>
      <x:c r="L60" s="7" t="inlineStr">
        <x:is>
          <x:t xml:space="preserve">암석</x:t>
        </x:is>
      </x:c>
      <x:c r="M60" s="7" t="inlineStr">
        <x:is>
          <x:t xml:space="preserve">온대</x:t>
        </x:is>
      </x:c>
      <x:c r="N60" s="7" t="inlineStr">
        <x:is>
          <x:t xml:space="preserve">다습</x:t>
        </x:is>
      </x:c>
      <x:c r="O60" s="7" t="inlineStr">
        <x:is>
          <x:t xml:space="preserve">무관</x:t>
        </x:is>
      </x:c>
      <x:c r="P60" s="7" t="inlineStr">
        <x:is>
          <x:t xml:space="preserve">무관</x:t>
        </x:is>
      </x:c>
      <x:c r="Q60" s="7" t="inlineStr">
        <x:is>
          <x:t xml:space="preserve">흔함</x:t>
        </x:is>
      </x:c>
      <x:c r="R60" s="7" t="inlineStr">
        <x:is>
          <x:t xml:space="preserve">없음</x:t>
        </x:is>
      </x:c>
      <x:c r="S60" s="7" t="inlineStr">
        <x:is>
          <x:t xml:space="preserve">산악</x:t>
        </x:is>
      </x:c>
      <x:c r="T60" s="7" t="inlineStr">
        <x:is>
          <x:t xml:space="preserve"/>
        </x:is>
      </x:c>
      <x:c r="U60" s="8" t="str">
        <x:f>INDEX('서식지_점수'!$E$4:$P$4,1,MATCH(MAX('서식지_점수'!E60:P60),'서식지_점수'!E60:P60,0))</x:f>
        <x:v>평원</x:v>
      </x:c>
      <x:c r="V60" s="8" t="str">
        <x:f>IF(T60&lt;&gt;"",T60,U60)</x:f>
        <x:v>평원</x:v>
      </x:c>
      <x:c r="W60" s="8" t="str">
        <x:f>IFERROR(INDEX('서식지_점수'!$E$4:$P$4,1,MATCH(MAXIFS('서식지_점수'!E60:P60,'서식지_점수'!E60:P60,"&lt;"&amp;MAX('서식지_점수'!E60:P60)),'서식지_점수'!E60:P60,0)),"")</x:f>
        <x:v>숲</x:v>
      </x:c>
      <x:c r="X60" s="8" t="str">
        <x:f>IF(T60&lt;&gt;"","수동확정",IF(MAX('서식지_점수'!E60:P60)-LARGE('서식지_점수'!E60:P60,2)&gt;=15,"높음",IF(MAX('서식지_점수'!E60:P60)-LARGE('서식지_점수'!E60:P60,2)&gt;=8,"보통","검토필요")))</x:f>
        <x:v>검토필요</x:v>
      </x:c>
      <x:c r="Y60" s="9" t="n">
        <x:f>IF(Q60="전설",8,IF(Q60="희귀",7,IF(J60="기본",1,IF(J60="중간",3,IF(J60="최종",IF(I60="",5,IF(I60&lt;=20,3,IF(I60&lt;=35,4,IF(I60&lt;=50,6,7)))),IF(Q60="드묾",4,2))))))</x:f>
        <x:v>1</x:v>
      </x:c>
      <x:c r="Z60" s="5" t="inlineStr">
        <x:is>
          <x:t xml:space="preserve">#cobblemon:is_hills; #cobblemon:is_jungle</x:t>
        </x:is>
      </x:c>
      <x:c r="AA60" s="5" t="inlineStr">
        <x:is>
          <x:t xml:space="preserve">common</x:t>
        </x:is>
      </x:c>
      <x:c r="AB60" s="5" t="inlineStr">
        <x:is>
          <x:t xml:space="preserve">예</x:t>
        </x:is>
      </x:c>
      <x:c r="AC60" s="8" t="str">
        <x:f>IF(T60&lt;&gt;"","수동확정",IF(X60="검토필요","검토필요",IF(S60="","원본없음","초기완료")))</x:f>
        <x:v>검토필요</x:v>
      </x:c>
      <x:c r="AD60" s="7" t="inlineStr">
        <x:is>
          <x:t xml:space="preserve"/>
        </x:is>
      </x:c>
      <x:c r="AE60" s="5" t="inlineStr">
        <x:is>
          <x:t xml:space="preserve">.tmp/cobblemon-1.7.3-source/common/src/main/resources/data/cobblemon/species/generation1/mankey.json</x:t>
        </x:is>
      </x:c>
      <x:c r="AF60" s="5" t="str">
        <x:f>"생활권|"&amp;K60</x:f>
        <x:v>생활권|육상</x:v>
      </x:c>
      <x:c r="AG60" s="5" t="str">
        <x:f>"지형|"&amp;L60</x:f>
        <x:v>지형|암석</x:v>
      </x:c>
      <x:c r="AH60" s="5" t="str">
        <x:f>"온도|"&amp;M60</x:f>
        <x:v>온도|온대</x:v>
      </x:c>
      <x:c r="AI60" s="5" t="str">
        <x:f>"습도|"&amp;N60</x:f>
        <x:v>습도|다습</x:v>
      </x:c>
      <x:c r="AJ60" s="5" t="str">
        <x:f>"날씨|"&amp;O60</x:f>
        <x:v>날씨|무관</x:v>
      </x:c>
      <x:c r="AK60" s="5" t="str">
        <x:f>"특수태그|"&amp;R60</x:f>
        <x:v>특수태그|없음</x:v>
      </x:c>
      <x:c r="AL60" s="5" t="str">
        <x:f>"원본서식지|"&amp;S60</x:f>
        <x:v>원본서식지|산악</x:v>
      </x:c>
      <x:c r="AM60" s="5" t="str">
        <x:f>"타입|"&amp;F60</x:f>
        <x:v>타입|격투</x:v>
      </x:c>
      <x:c r="AN60" s="5" t="str">
        <x:f>"타입|"&amp;G60</x:f>
        <x:v>타입|</x:v>
      </x:c>
    </x:row>
    <x:row r="61" ht="24" customHeight="1">
      <x:c r="A61" s="5" t="n">
        <x:v>57</x:v>
      </x:c>
      <x:c r="B61" s="5" t="inlineStr">
        <x:is>
          <x:t xml:space="preserve">성원숭</x:t>
        </x:is>
      </x:c>
      <x:c r="C61" s="5" t="inlineStr">
        <x:is>
          <x:t xml:space="preserve">primeape</x:t>
        </x:is>
      </x:c>
      <x:c r="D61" s="5" t="inlineStr">
        <x:is>
          <x:t xml:space="preserve">Primeape</x:t>
        </x:is>
      </x:c>
      <x:c r="E61" s="5" t="n">
        <x:v>1</x:v>
      </x:c>
      <x:c r="F61" s="5" t="inlineStr">
        <x:is>
          <x:t xml:space="preserve">격투</x:t>
        </x:is>
      </x:c>
      <x:c r="G61" s="5" t="inlineStr">
        <x:is>
          <x:t xml:space="preserve"/>
        </x:is>
      </x:c>
      <x:c r="H61" s="6" t="n">
        <x:v>32</x:v>
      </x:c>
      <x:c r="I61" s="5" t="n">
        <x:v>28</x:v>
      </x:c>
      <x:c r="J61" s="5" t="inlineStr">
        <x:is>
          <x:t xml:space="preserve">중간</x:t>
        </x:is>
      </x:c>
      <x:c r="K61" s="7" t="inlineStr">
        <x:is>
          <x:t xml:space="preserve">육상</x:t>
        </x:is>
      </x:c>
      <x:c r="L61" s="7" t="inlineStr">
        <x:is>
          <x:t xml:space="preserve">암석</x:t>
        </x:is>
      </x:c>
      <x:c r="M61" s="7" t="inlineStr">
        <x:is>
          <x:t xml:space="preserve">온대</x:t>
        </x:is>
      </x:c>
      <x:c r="N61" s="7" t="inlineStr">
        <x:is>
          <x:t xml:space="preserve">다습</x:t>
        </x:is>
      </x:c>
      <x:c r="O61" s="7" t="inlineStr">
        <x:is>
          <x:t xml:space="preserve">무관</x:t>
        </x:is>
      </x:c>
      <x:c r="P61" s="7" t="inlineStr">
        <x:is>
          <x:t xml:space="preserve">무관</x:t>
        </x:is>
      </x:c>
      <x:c r="Q61" s="7" t="inlineStr">
        <x:is>
          <x:t xml:space="preserve">흔함</x:t>
        </x:is>
      </x:c>
      <x:c r="R61" s="7" t="inlineStr">
        <x:is>
          <x:t xml:space="preserve">없음</x:t>
        </x:is>
      </x:c>
      <x:c r="S61" s="7" t="inlineStr">
        <x:is>
          <x:t xml:space="preserve">산악</x:t>
        </x:is>
      </x:c>
      <x:c r="T61" s="7" t="inlineStr">
        <x:is>
          <x:t xml:space="preserve"/>
        </x:is>
      </x:c>
      <x:c r="U61" s="8" t="str">
        <x:f>INDEX('서식지_점수'!$E$4:$P$4,1,MATCH(MAX('서식지_점수'!E61:P61),'서식지_점수'!E61:P61,0))</x:f>
        <x:v>평원</x:v>
      </x:c>
      <x:c r="V61" s="8" t="str">
        <x:f>IF(T61&lt;&gt;"",T61,U61)</x:f>
        <x:v>평원</x:v>
      </x:c>
      <x:c r="W61" s="8" t="str">
        <x:f>IFERROR(INDEX('서식지_점수'!$E$4:$P$4,1,MATCH(MAXIFS('서식지_점수'!E61:P61,'서식지_점수'!E61:P61,"&lt;"&amp;MAX('서식지_점수'!E61:P61)),'서식지_점수'!E61:P61,0)),"")</x:f>
        <x:v>숲</x:v>
      </x:c>
      <x:c r="X61" s="8" t="str">
        <x:f>IF(T61&lt;&gt;"","수동확정",IF(MAX('서식지_점수'!E61:P61)-LARGE('서식지_점수'!E61:P61,2)&gt;=15,"높음",IF(MAX('서식지_점수'!E61:P61)-LARGE('서식지_점수'!E61:P61,2)&gt;=8,"보통","검토필요")))</x:f>
        <x:v>검토필요</x:v>
      </x:c>
      <x:c r="Y61" s="9" t="n">
        <x:f>IF(Q61="전설",8,IF(Q61="희귀",7,IF(J61="기본",1,IF(J61="중간",3,IF(J61="최종",IF(I61="",5,IF(I61&lt;=20,3,IF(I61&lt;=35,4,IF(I61&lt;=50,6,7)))),IF(Q61="드묾",4,2))))))</x:f>
        <x:v>3</x:v>
      </x:c>
      <x:c r="Z61" s="5" t="inlineStr">
        <x:is>
          <x:t xml:space="preserve">#cobblemon:is_hills; #cobblemon:is_jungle</x:t>
        </x:is>
      </x:c>
      <x:c r="AA61" s="5" t="inlineStr">
        <x:is>
          <x:t xml:space="preserve">common</x:t>
        </x:is>
      </x:c>
      <x:c r="AB61" s="5" t="inlineStr">
        <x:is>
          <x:t xml:space="preserve">예</x:t>
        </x:is>
      </x:c>
      <x:c r="AC61" s="8" t="str">
        <x:f>IF(T61&lt;&gt;"","수동확정",IF(X61="검토필요","검토필요",IF(S61="","원본없음","초기완료")))</x:f>
        <x:v>검토필요</x:v>
      </x:c>
      <x:c r="AD61" s="7" t="inlineStr">
        <x:is>
          <x:t xml:space="preserve"/>
        </x:is>
      </x:c>
      <x:c r="AE61" s="5" t="inlineStr">
        <x:is>
          <x:t xml:space="preserve">.tmp/cobblemon-1.7.3-source/common/src/main/resources/data/cobblemon/species/generation1/primeape.json</x:t>
        </x:is>
      </x:c>
      <x:c r="AF61" s="5" t="str">
        <x:f>"생활권|"&amp;K61</x:f>
        <x:v>생활권|육상</x:v>
      </x:c>
      <x:c r="AG61" s="5" t="str">
        <x:f>"지형|"&amp;L61</x:f>
        <x:v>지형|암석</x:v>
      </x:c>
      <x:c r="AH61" s="5" t="str">
        <x:f>"온도|"&amp;M61</x:f>
        <x:v>온도|온대</x:v>
      </x:c>
      <x:c r="AI61" s="5" t="str">
        <x:f>"습도|"&amp;N61</x:f>
        <x:v>습도|다습</x:v>
      </x:c>
      <x:c r="AJ61" s="5" t="str">
        <x:f>"날씨|"&amp;O61</x:f>
        <x:v>날씨|무관</x:v>
      </x:c>
      <x:c r="AK61" s="5" t="str">
        <x:f>"특수태그|"&amp;R61</x:f>
        <x:v>특수태그|없음</x:v>
      </x:c>
      <x:c r="AL61" s="5" t="str">
        <x:f>"원본서식지|"&amp;S61</x:f>
        <x:v>원본서식지|산악</x:v>
      </x:c>
      <x:c r="AM61" s="5" t="str">
        <x:f>"타입|"&amp;F61</x:f>
        <x:v>타입|격투</x:v>
      </x:c>
      <x:c r="AN61" s="5" t="str">
        <x:f>"타입|"&amp;G61</x:f>
        <x:v>타입|</x:v>
      </x:c>
    </x:row>
    <x:row r="62" ht="24" customHeight="1">
      <x:c r="A62" s="5" t="n">
        <x:v>58</x:v>
      </x:c>
      <x:c r="B62" s="5" t="inlineStr">
        <x:is>
          <x:t xml:space="preserve">가디</x:t>
        </x:is>
      </x:c>
      <x:c r="C62" s="5" t="inlineStr">
        <x:is>
          <x:t xml:space="preserve">growlithe</x:t>
        </x:is>
      </x:c>
      <x:c r="D62" s="5" t="inlineStr">
        <x:is>
          <x:t xml:space="preserve">Growlithe</x:t>
        </x:is>
      </x:c>
      <x:c r="E62" s="5" t="n">
        <x:v>1</x:v>
      </x:c>
      <x:c r="F62" s="5" t="inlineStr">
        <x:is>
          <x:t xml:space="preserve">불꽃</x:t>
        </x:is>
      </x:c>
      <x:c r="G62" s="5" t="inlineStr">
        <x:is>
          <x:t xml:space="preserve"/>
        </x:is>
      </x:c>
      <x:c r="H62" s="6" t="n">
        <x:v>19</x:v>
      </x:c>
      <x:c r="I62" s="5" t="n"/>
      <x:c r="J62" s="5" t="inlineStr">
        <x:is>
          <x:t xml:space="preserve">기본</x:t>
        </x:is>
      </x:c>
      <x:c r="K62" s="7" t="inlineStr">
        <x:is>
          <x:t xml:space="preserve">육상</x:t>
        </x:is>
      </x:c>
      <x:c r="L62" s="7" t="inlineStr">
        <x:is>
          <x:t xml:space="preserve">암석</x:t>
        </x:is>
      </x:c>
      <x:c r="M62" s="7" t="inlineStr">
        <x:is>
          <x:t xml:space="preserve">고온</x:t>
        </x:is>
      </x:c>
      <x:c r="N62" s="7" t="inlineStr">
        <x:is>
          <x:t xml:space="preserve">보통</x:t>
        </x:is>
      </x:c>
      <x:c r="O62" s="7" t="inlineStr">
        <x:is>
          <x:t xml:space="preserve">무관</x:t>
        </x:is>
      </x:c>
      <x:c r="P62" s="7" t="inlineStr">
        <x:is>
          <x:t xml:space="preserve">무관</x:t>
        </x:is>
      </x:c>
      <x:c r="Q62" s="7" t="inlineStr">
        <x:is>
          <x:t xml:space="preserve">보통</x:t>
        </x:is>
      </x:c>
      <x:c r="R62" s="7" t="inlineStr">
        <x:is>
          <x:t xml:space="preserve">없음</x:t>
        </x:is>
      </x:c>
      <x:c r="S62" s="7" t="inlineStr">
        <x:is>
          <x:t xml:space="preserve">산악</x:t>
        </x:is>
      </x:c>
      <x:c r="T62" s="7" t="inlineStr">
        <x:is>
          <x:t xml:space="preserve"/>
        </x:is>
      </x:c>
      <x:c r="U62" s="8" t="str">
        <x:f>INDEX('서식지_점수'!$E$4:$P$4,1,MATCH(MAX('서식지_점수'!E62:P62),'서식지_점수'!E62:P62,0))</x:f>
        <x:v>평원</x:v>
      </x:c>
      <x:c r="V62" s="8" t="str">
        <x:f>IF(T62&lt;&gt;"",T62,U62)</x:f>
        <x:v>평원</x:v>
      </x:c>
      <x:c r="W62" s="8" t="str">
        <x:f>IFERROR(INDEX('서식지_점수'!$E$4:$P$4,1,MATCH(MAXIFS('서식지_점수'!E62:P62,'서식지_점수'!E62:P62,"&lt;"&amp;MAX('서식지_점수'!E62:P62)),'서식지_점수'!E62:P62,0)),"")</x:f>
        <x:v>숲</x:v>
      </x:c>
      <x:c r="X62" s="8" t="str">
        <x:f>IF(T62&lt;&gt;"","수동확정",IF(MAX('서식지_점수'!E62:P62)-LARGE('서식지_점수'!E62:P62,2)&gt;=15,"높음",IF(MAX('서식지_점수'!E62:P62)-LARGE('서식지_점수'!E62:P62,2)&gt;=8,"보통","검토필요")))</x:f>
        <x:v>검토필요</x:v>
      </x:c>
      <x:c r="Y62" s="9" t="n">
        <x:f>IF(Q62="전설",8,IF(Q62="희귀",7,IF(J62="기본",1,IF(J62="중간",3,IF(J62="최종",IF(I62="",5,IF(I62&lt;=20,3,IF(I62&lt;=35,4,IF(I62&lt;=50,6,7)))),IF(Q62="드묾",4,2))))))</x:f>
        <x:v>1</x:v>
      </x:c>
      <x:c r="Z62" s="5" t="inlineStr">
        <x:is>
          <x:t xml:space="preserve">#cobblemon:is_overworld; #cobblemon:is_peak</x:t>
        </x:is>
      </x:c>
      <x:c r="AA62" s="5" t="inlineStr">
        <x:is>
          <x:t xml:space="preserve">uncommon</x:t>
        </x:is>
      </x:c>
      <x:c r="AB62" s="5" t="inlineStr">
        <x:is>
          <x:t xml:space="preserve">예</x:t>
        </x:is>
      </x:c>
      <x:c r="AC62" s="8" t="str">
        <x:f>IF(T62&lt;&gt;"","수동확정",IF(X62="검토필요","검토필요",IF(S62="","원본없음","초기완료")))</x:f>
        <x:v>검토필요</x:v>
      </x:c>
      <x:c r="AD62" s="7" t="inlineStr">
        <x:is>
          <x:t xml:space="preserve"/>
        </x:is>
      </x:c>
      <x:c r="AE62" s="5" t="inlineStr">
        <x:is>
          <x:t xml:space="preserve">.tmp/cobblemon-1.7.3-source/common/src/main/resources/data/cobblemon/species/generation1/growlithe.json</x:t>
        </x:is>
      </x:c>
      <x:c r="AF62" s="5" t="str">
        <x:f>"생활권|"&amp;K62</x:f>
        <x:v>생활권|육상</x:v>
      </x:c>
      <x:c r="AG62" s="5" t="str">
        <x:f>"지형|"&amp;L62</x:f>
        <x:v>지형|암석</x:v>
      </x:c>
      <x:c r="AH62" s="5" t="str">
        <x:f>"온도|"&amp;M62</x:f>
        <x:v>온도|고온</x:v>
      </x:c>
      <x:c r="AI62" s="5" t="str">
        <x:f>"습도|"&amp;N62</x:f>
        <x:v>습도|보통</x:v>
      </x:c>
      <x:c r="AJ62" s="5" t="str">
        <x:f>"날씨|"&amp;O62</x:f>
        <x:v>날씨|무관</x:v>
      </x:c>
      <x:c r="AK62" s="5" t="str">
        <x:f>"특수태그|"&amp;R62</x:f>
        <x:v>특수태그|없음</x:v>
      </x:c>
      <x:c r="AL62" s="5" t="str">
        <x:f>"원본서식지|"&amp;S62</x:f>
        <x:v>원본서식지|산악</x:v>
      </x:c>
      <x:c r="AM62" s="5" t="str">
        <x:f>"타입|"&amp;F62</x:f>
        <x:v>타입|불꽃</x:v>
      </x:c>
      <x:c r="AN62" s="5" t="str">
        <x:f>"타입|"&amp;G62</x:f>
        <x:v>타입|</x:v>
      </x:c>
    </x:row>
    <x:row r="63" ht="24" customHeight="1">
      <x:c r="A63" s="5" t="n">
        <x:v>59</x:v>
      </x:c>
      <x:c r="B63" s="5" t="inlineStr">
        <x:is>
          <x:t xml:space="preserve">윈디</x:t>
        </x:is>
      </x:c>
      <x:c r="C63" s="5" t="inlineStr">
        <x:is>
          <x:t xml:space="preserve">arcanine</x:t>
        </x:is>
      </x:c>
      <x:c r="D63" s="5" t="inlineStr">
        <x:is>
          <x:t xml:space="preserve">Arcanine</x:t>
        </x:is>
      </x:c>
      <x:c r="E63" s="5" t="n">
        <x:v>1</x:v>
      </x:c>
      <x:c r="F63" s="5" t="inlineStr">
        <x:is>
          <x:t xml:space="preserve">불꽃</x:t>
        </x:is>
      </x:c>
      <x:c r="G63" s="5" t="inlineStr">
        <x:is>
          <x:t xml:space="preserve"/>
        </x:is>
      </x:c>
      <x:c r="H63" s="6" t="n">
        <x:v>155</x:v>
      </x:c>
      <x:c r="I63" s="5" t="n"/>
      <x:c r="J63" s="5" t="inlineStr">
        <x:is>
          <x:t xml:space="preserve">최종</x:t>
        </x:is>
      </x:c>
      <x:c r="K63" s="7" t="inlineStr">
        <x:is>
          <x:t xml:space="preserve">육상</x:t>
        </x:is>
      </x:c>
      <x:c r="L63" s="7" t="inlineStr">
        <x:is>
          <x:t xml:space="preserve">화산</x:t>
        </x:is>
      </x:c>
      <x:c r="M63" s="7" t="inlineStr">
        <x:is>
          <x:t xml:space="preserve">고온</x:t>
        </x:is>
      </x:c>
      <x:c r="N63" s="7" t="inlineStr">
        <x:is>
          <x:t xml:space="preserve">건조</x:t>
        </x:is>
      </x:c>
      <x:c r="O63" s="7" t="inlineStr">
        <x:is>
          <x:t xml:space="preserve">맑음</x:t>
        </x:is>
      </x:c>
      <x:c r="P63" s="7" t="inlineStr">
        <x:is>
          <x:t xml:space="preserve">무관</x:t>
        </x:is>
      </x:c>
      <x:c r="Q63" s="7" t="inlineStr">
        <x:is>
          <x:t xml:space="preserve">보통</x:t>
        </x:is>
      </x:c>
      <x:c r="R63" s="7" t="inlineStr">
        <x:is>
          <x:t xml:space="preserve">화산</x:t>
        </x:is>
      </x:c>
      <x:c r="S63" s="7" t="inlineStr">
        <x:is>
          <x:t xml:space="preserve">화산</x:t>
        </x:is>
      </x:c>
      <x:c r="T63" s="7" t="inlineStr">
        <x:is>
          <x:t xml:space="preserve"/>
        </x:is>
      </x:c>
      <x:c r="U63" s="8" t="str">
        <x:f>INDEX('서식지_점수'!$E$4:$P$4,1,MATCH(MAX('서식지_점수'!E63:P63),'서식지_점수'!E63:P63,0))</x:f>
        <x:v>평원</x:v>
      </x:c>
      <x:c r="V63" s="8" t="str">
        <x:f>IF(T63&lt;&gt;"",T63,U63)</x:f>
        <x:v>평원</x:v>
      </x:c>
      <x:c r="W63" s="8" t="str">
        <x:f>IFERROR(INDEX('서식지_점수'!$E$4:$P$4,1,MATCH(MAXIFS('서식지_점수'!E63:P63,'서식지_점수'!E63:P63,"&lt;"&amp;MAX('서식지_점수'!E63:P63)),'서식지_점수'!E63:P63,0)),"")</x:f>
        <x:v>숲</x:v>
      </x:c>
      <x:c r="X63" s="8" t="str">
        <x:f>IF(T63&lt;&gt;"","수동확정",IF(MAX('서식지_점수'!E63:P63)-LARGE('서식지_점수'!E63:P63,2)&gt;=15,"높음",IF(MAX('서식지_점수'!E63:P63)-LARGE('서식지_점수'!E63:P63,2)&gt;=8,"보통","검토필요")))</x:f>
        <x:v>검토필요</x:v>
      </x:c>
      <x:c r="Y63" s="9" t="n">
        <x:f>IF(Q63="전설",8,IF(Q63="희귀",7,IF(J63="기본",1,IF(J63="중간",3,IF(J63="최종",IF(I63="",5,IF(I63&lt;=20,3,IF(I63&lt;=35,4,IF(I63&lt;=50,6,7)))),IF(Q63="드묾",4,2))))))</x:f>
        <x:v>5</x:v>
      </x:c>
      <x:c r="Z63" s="5" t="inlineStr">
        <x:is>
          <x:t xml:space="preserve">#cobblemon:is_overworld; #cobblemon:is_peak; #cobblemon:nether/is_basalt</x:t>
        </x:is>
      </x:c>
      <x:c r="AA63" s="5" t="inlineStr">
        <x:is>
          <x:t xml:space="preserve">rare; uncommon</x:t>
        </x:is>
      </x:c>
      <x:c r="AB63" s="5" t="inlineStr">
        <x:is>
          <x:t xml:space="preserve">예</x:t>
        </x:is>
      </x:c>
      <x:c r="AC63" s="8" t="str">
        <x:f>IF(T63&lt;&gt;"","수동확정",IF(X63="검토필요","검토필요",IF(S63="","원본없음","초기완료")))</x:f>
        <x:v>검토필요</x:v>
      </x:c>
      <x:c r="AD63" s="7" t="inlineStr">
        <x:is>
          <x:t xml:space="preserve"/>
        </x:is>
      </x:c>
      <x:c r="AE63" s="5" t="inlineStr">
        <x:is>
          <x:t xml:space="preserve">.tmp/cobblemon-1.7.3-source/common/src/main/resources/data/cobblemon/species/generation1/arcanine.json</x:t>
        </x:is>
      </x:c>
      <x:c r="AF63" s="5" t="str">
        <x:f>"생활권|"&amp;K63</x:f>
        <x:v>생활권|육상</x:v>
      </x:c>
      <x:c r="AG63" s="5" t="str">
        <x:f>"지형|"&amp;L63</x:f>
        <x:v>지형|화산</x:v>
      </x:c>
      <x:c r="AH63" s="5" t="str">
        <x:f>"온도|"&amp;M63</x:f>
        <x:v>온도|고온</x:v>
      </x:c>
      <x:c r="AI63" s="5" t="str">
        <x:f>"습도|"&amp;N63</x:f>
        <x:v>습도|건조</x:v>
      </x:c>
      <x:c r="AJ63" s="5" t="str">
        <x:f>"날씨|"&amp;O63</x:f>
        <x:v>날씨|맑음</x:v>
      </x:c>
      <x:c r="AK63" s="5" t="str">
        <x:f>"특수태그|"&amp;R63</x:f>
        <x:v>특수태그|화산</x:v>
      </x:c>
      <x:c r="AL63" s="5" t="str">
        <x:f>"원본서식지|"&amp;S63</x:f>
        <x:v>원본서식지|화산</x:v>
      </x:c>
      <x:c r="AM63" s="5" t="str">
        <x:f>"타입|"&amp;F63</x:f>
        <x:v>타입|불꽃</x:v>
      </x:c>
      <x:c r="AN63" s="5" t="str">
        <x:f>"타입|"&amp;G63</x:f>
        <x:v>타입|</x:v>
      </x:c>
    </x:row>
    <x:row r="64" ht="24" customHeight="1">
      <x:c r="A64" s="5" t="n">
        <x:v>60</x:v>
      </x:c>
      <x:c r="B64" s="5" t="inlineStr">
        <x:is>
          <x:t xml:space="preserve">발챙이</x:t>
        </x:is>
      </x:c>
      <x:c r="C64" s="5" t="inlineStr">
        <x:is>
          <x:t xml:space="preserve">poliwag</x:t>
        </x:is>
      </x:c>
      <x:c r="D64" s="5" t="inlineStr">
        <x:is>
          <x:t xml:space="preserve">Poliwag</x:t>
        </x:is>
      </x:c>
      <x:c r="E64" s="5" t="n">
        <x:v>1</x:v>
      </x:c>
      <x:c r="F64" s="5" t="inlineStr">
        <x:is>
          <x:t xml:space="preserve">물</x:t>
        </x:is>
      </x:c>
      <x:c r="G64" s="5" t="inlineStr">
        <x:is>
          <x:t xml:space="preserve"/>
        </x:is>
      </x:c>
      <x:c r="H64" s="6" t="n">
        <x:v>12.4</x:v>
      </x:c>
      <x:c r="I64" s="5" t="n">
        <x:v>25</x:v>
      </x:c>
      <x:c r="J64" s="5" t="inlineStr">
        <x:is>
          <x:t xml:space="preserve">기본</x:t>
        </x:is>
      </x:c>
      <x:c r="K64" s="7" t="inlineStr">
        <x:is>
          <x:t xml:space="preserve">담수</x:t>
        </x:is>
      </x:c>
      <x:c r="L64" s="7" t="inlineStr">
        <x:is>
          <x:t xml:space="preserve">담수</x:t>
        </x:is>
      </x:c>
      <x:c r="M64" s="7" t="inlineStr">
        <x:is>
          <x:t xml:space="preserve">온대</x:t>
        </x:is>
      </x:c>
      <x:c r="N64" s="7" t="inlineStr">
        <x:is>
          <x:t xml:space="preserve">수중</x:t>
        </x:is>
      </x:c>
      <x:c r="O64" s="7" t="inlineStr">
        <x:is>
          <x:t xml:space="preserve">비</x:t>
        </x:is>
      </x:c>
      <x:c r="P64" s="7" t="inlineStr">
        <x:is>
          <x:t xml:space="preserve">무관</x:t>
        </x:is>
      </x:c>
      <x:c r="Q64" s="7" t="inlineStr">
        <x:is>
          <x:t xml:space="preserve">흔함</x:t>
        </x:is>
      </x:c>
      <x:c r="R64" s="7" t="inlineStr">
        <x:is>
          <x:t xml:space="preserve">없음</x:t>
        </x:is>
      </x:c>
      <x:c r="S64" s="7" t="inlineStr">
        <x:is>
          <x:t xml:space="preserve">담수</x:t>
        </x:is>
      </x:c>
      <x:c r="T64" s="7" t="inlineStr">
        <x:is>
          <x:t xml:space="preserve"/>
        </x:is>
      </x:c>
      <x:c r="U64" s="8" t="str">
        <x:f>INDEX('서식지_점수'!$E$4:$P$4,1,MATCH(MAX('서식지_점수'!E64:P64),'서식지_점수'!E64:P64,0))</x:f>
        <x:v>담수</x:v>
      </x:c>
      <x:c r="V64" s="8" t="str">
        <x:f>IF(T64&lt;&gt;"",T64,U64)</x:f>
        <x:v>담수</x:v>
      </x:c>
      <x:c r="W64" s="8" t="str">
        <x:f>IFERROR(INDEX('서식지_점수'!$E$4:$P$4,1,MATCH(MAXIFS('서식지_점수'!E64:P64,'서식지_점수'!E64:P64,"&lt;"&amp;MAX('서식지_점수'!E64:P64)),'서식지_점수'!E64:P64,0)),"")</x:f>
        <x:v>습지</x:v>
      </x:c>
      <x:c r="X64" s="8" t="str">
        <x:f>IF(T64&lt;&gt;"","수동확정",IF(MAX('서식지_점수'!E64:P64)-LARGE('서식지_점수'!E64:P64,2)&gt;=15,"높음",IF(MAX('서식지_점수'!E64:P64)-LARGE('서식지_점수'!E64:P64,2)&gt;=8,"보통","검토필요")))</x:f>
        <x:v>높음</x:v>
      </x:c>
      <x:c r="Y64" s="9" t="n">
        <x:f>IF(Q64="전설",8,IF(Q64="희귀",7,IF(J64="기본",1,IF(J64="중간",3,IF(J64="최종",IF(I64="",5,IF(I64&lt;=20,3,IF(I64&lt;=35,4,IF(I64&lt;=50,6,7)))),IF(Q64="드묾",4,2))))))</x:f>
        <x:v>1</x:v>
      </x:c>
      <x:c r="Z64" s="5" t="inlineStr">
        <x:is>
          <x:t xml:space="preserve">#cobblemon:is_freshwater; #cobblemon:is_hills; #cobblemon:is_jungle; #cobblemon:is_lush; #cobblemon:is_magical; #cobblemon:is_mushroom; #cobblemon:is_overworld; #cobblemon:is_swamp; #cobblemon:is_temperate</x:t>
        </x:is>
      </x:c>
      <x:c r="AA64" s="5" t="inlineStr">
        <x:is>
          <x:t xml:space="preserve">common</x:t>
        </x:is>
      </x:c>
      <x:c r="AB64" s="5" t="inlineStr">
        <x:is>
          <x:t xml:space="preserve">예</x:t>
        </x:is>
      </x:c>
      <x:c r="AC64" s="8" t="str">
        <x:f>IF(T64&lt;&gt;"","수동확정",IF(X64="검토필요","검토필요",IF(S64="","원본없음","초기완료")))</x:f>
        <x:v>초기완료</x:v>
      </x:c>
      <x:c r="AD64" s="7" t="inlineStr">
        <x:is>
          <x:t xml:space="preserve"/>
        </x:is>
      </x:c>
      <x:c r="AE64" s="5" t="inlineStr">
        <x:is>
          <x:t xml:space="preserve">.tmp/cobblemon-1.7.3-source/common/src/main/resources/data/cobblemon/species/generation1/poliwag.json</x:t>
        </x:is>
      </x:c>
      <x:c r="AF64" s="5" t="str">
        <x:f>"생활권|"&amp;K64</x:f>
        <x:v>생활권|담수</x:v>
      </x:c>
      <x:c r="AG64" s="5" t="str">
        <x:f>"지형|"&amp;L64</x:f>
        <x:v>지형|담수</x:v>
      </x:c>
      <x:c r="AH64" s="5" t="str">
        <x:f>"온도|"&amp;M64</x:f>
        <x:v>온도|온대</x:v>
      </x:c>
      <x:c r="AI64" s="5" t="str">
        <x:f>"습도|"&amp;N64</x:f>
        <x:v>습도|수중</x:v>
      </x:c>
      <x:c r="AJ64" s="5" t="str">
        <x:f>"날씨|"&amp;O64</x:f>
        <x:v>날씨|비</x:v>
      </x:c>
      <x:c r="AK64" s="5" t="str">
        <x:f>"특수태그|"&amp;R64</x:f>
        <x:v>특수태그|없음</x:v>
      </x:c>
      <x:c r="AL64" s="5" t="str">
        <x:f>"원본서식지|"&amp;S64</x:f>
        <x:v>원본서식지|담수</x:v>
      </x:c>
      <x:c r="AM64" s="5" t="str">
        <x:f>"타입|"&amp;F64</x:f>
        <x:v>타입|물</x:v>
      </x:c>
      <x:c r="AN64" s="5" t="str">
        <x:f>"타입|"&amp;G64</x:f>
        <x:v>타입|</x:v>
      </x:c>
    </x:row>
    <x:row r="65" ht="24" customHeight="1">
      <x:c r="A65" s="5" t="n">
        <x:v>61</x:v>
      </x:c>
      <x:c r="B65" s="5" t="inlineStr">
        <x:is>
          <x:t xml:space="preserve">슈륙챙이</x:t>
        </x:is>
      </x:c>
      <x:c r="C65" s="5" t="inlineStr">
        <x:is>
          <x:t xml:space="preserve">poliwhirl</x:t>
        </x:is>
      </x:c>
      <x:c r="D65" s="5" t="inlineStr">
        <x:is>
          <x:t xml:space="preserve">Poliwhirl</x:t>
        </x:is>
      </x:c>
      <x:c r="E65" s="5" t="n">
        <x:v>1</x:v>
      </x:c>
      <x:c r="F65" s="5" t="inlineStr">
        <x:is>
          <x:t xml:space="preserve">물</x:t>
        </x:is>
      </x:c>
      <x:c r="G65" s="5" t="inlineStr">
        <x:is>
          <x:t xml:space="preserve"/>
        </x:is>
      </x:c>
      <x:c r="H65" s="6" t="n">
        <x:v>20</x:v>
      </x:c>
      <x:c r="I65" s="5" t="n">
        <x:v>25</x:v>
      </x:c>
      <x:c r="J65" s="5" t="inlineStr">
        <x:is>
          <x:t xml:space="preserve">중간</x:t>
        </x:is>
      </x:c>
      <x:c r="K65" s="7" t="inlineStr">
        <x:is>
          <x:t xml:space="preserve">담수</x:t>
        </x:is>
      </x:c>
      <x:c r="L65" s="7" t="inlineStr">
        <x:is>
          <x:t xml:space="preserve">담수</x:t>
        </x:is>
      </x:c>
      <x:c r="M65" s="7" t="inlineStr">
        <x:is>
          <x:t xml:space="preserve">온대</x:t>
        </x:is>
      </x:c>
      <x:c r="N65" s="7" t="inlineStr">
        <x:is>
          <x:t xml:space="preserve">수중</x:t>
        </x:is>
      </x:c>
      <x:c r="O65" s="7" t="inlineStr">
        <x:is>
          <x:t xml:space="preserve">비</x:t>
        </x:is>
      </x:c>
      <x:c r="P65" s="7" t="inlineStr">
        <x:is>
          <x:t xml:space="preserve">무관</x:t>
        </x:is>
      </x:c>
      <x:c r="Q65" s="7" t="inlineStr">
        <x:is>
          <x:t xml:space="preserve">흔함</x:t>
        </x:is>
      </x:c>
      <x:c r="R65" s="7" t="inlineStr">
        <x:is>
          <x:t xml:space="preserve">없음</x:t>
        </x:is>
      </x:c>
      <x:c r="S65" s="7" t="inlineStr">
        <x:is>
          <x:t xml:space="preserve">담수</x:t>
        </x:is>
      </x:c>
      <x:c r="T65" s="7" t="inlineStr">
        <x:is>
          <x:t xml:space="preserve"/>
        </x:is>
      </x:c>
      <x:c r="U65" s="8" t="str">
        <x:f>INDEX('서식지_점수'!$E$4:$P$4,1,MATCH(MAX('서식지_점수'!E65:P65),'서식지_점수'!E65:P65,0))</x:f>
        <x:v>담수</x:v>
      </x:c>
      <x:c r="V65" s="8" t="str">
        <x:f>IF(T65&lt;&gt;"",T65,U65)</x:f>
        <x:v>담수</x:v>
      </x:c>
      <x:c r="W65" s="8" t="str">
        <x:f>IFERROR(INDEX('서식지_점수'!$E$4:$P$4,1,MATCH(MAXIFS('서식지_점수'!E65:P65,'서식지_점수'!E65:P65,"&lt;"&amp;MAX('서식지_점수'!E65:P65)),'서식지_점수'!E65:P65,0)),"")</x:f>
        <x:v>습지</x:v>
      </x:c>
      <x:c r="X65" s="8" t="str">
        <x:f>IF(T65&lt;&gt;"","수동확정",IF(MAX('서식지_점수'!E65:P65)-LARGE('서식지_점수'!E65:P65,2)&gt;=15,"높음",IF(MAX('서식지_점수'!E65:P65)-LARGE('서식지_점수'!E65:P65,2)&gt;=8,"보통","검토필요")))</x:f>
        <x:v>높음</x:v>
      </x:c>
      <x:c r="Y65" s="9" t="n">
        <x:f>IF(Q65="전설",8,IF(Q65="희귀",7,IF(J65="기본",1,IF(J65="중간",3,IF(J65="최종",IF(I65="",5,IF(I65&lt;=20,3,IF(I65&lt;=35,4,IF(I65&lt;=50,6,7)))),IF(Q65="드묾",4,2))))))</x:f>
        <x:v>3</x:v>
      </x:c>
      <x:c r="Z65" s="5" t="inlineStr">
        <x:is>
          <x:t xml:space="preserve">#cobblemon:is_freshwater; #cobblemon:is_hills; #cobblemon:is_jungle; #cobblemon:is_lush; #cobblemon:is_magical; #cobblemon:is_mushroom; #cobblemon:is_overworld; #cobblemon:is_swamp; #cobblemon:is_temperate</x:t>
        </x:is>
      </x:c>
      <x:c r="AA65" s="5" t="inlineStr">
        <x:is>
          <x:t xml:space="preserve">common</x:t>
        </x:is>
      </x:c>
      <x:c r="AB65" s="5" t="inlineStr">
        <x:is>
          <x:t xml:space="preserve">예</x:t>
        </x:is>
      </x:c>
      <x:c r="AC65" s="8" t="str">
        <x:f>IF(T65&lt;&gt;"","수동확정",IF(X65="검토필요","검토필요",IF(S65="","원본없음","초기완료")))</x:f>
        <x:v>초기완료</x:v>
      </x:c>
      <x:c r="AD65" s="7" t="inlineStr">
        <x:is>
          <x:t xml:space="preserve"/>
        </x:is>
      </x:c>
      <x:c r="AE65" s="5" t="inlineStr">
        <x:is>
          <x:t xml:space="preserve">.tmp/cobblemon-1.7.3-source/common/src/main/resources/data/cobblemon/species/generation1/poliwhirl.json</x:t>
        </x:is>
      </x:c>
      <x:c r="AF65" s="5" t="str">
        <x:f>"생활권|"&amp;K65</x:f>
        <x:v>생활권|담수</x:v>
      </x:c>
      <x:c r="AG65" s="5" t="str">
        <x:f>"지형|"&amp;L65</x:f>
        <x:v>지형|담수</x:v>
      </x:c>
      <x:c r="AH65" s="5" t="str">
        <x:f>"온도|"&amp;M65</x:f>
        <x:v>온도|온대</x:v>
      </x:c>
      <x:c r="AI65" s="5" t="str">
        <x:f>"습도|"&amp;N65</x:f>
        <x:v>습도|수중</x:v>
      </x:c>
      <x:c r="AJ65" s="5" t="str">
        <x:f>"날씨|"&amp;O65</x:f>
        <x:v>날씨|비</x:v>
      </x:c>
      <x:c r="AK65" s="5" t="str">
        <x:f>"특수태그|"&amp;R65</x:f>
        <x:v>특수태그|없음</x:v>
      </x:c>
      <x:c r="AL65" s="5" t="str">
        <x:f>"원본서식지|"&amp;S65</x:f>
        <x:v>원본서식지|담수</x:v>
      </x:c>
      <x:c r="AM65" s="5" t="str">
        <x:f>"타입|"&amp;F65</x:f>
        <x:v>타입|물</x:v>
      </x:c>
      <x:c r="AN65" s="5" t="str">
        <x:f>"타입|"&amp;G65</x:f>
        <x:v>타입|</x:v>
      </x:c>
    </x:row>
    <x:row r="66" ht="24" customHeight="1">
      <x:c r="A66" s="5" t="n">
        <x:v>62</x:v>
      </x:c>
      <x:c r="B66" s="5" t="inlineStr">
        <x:is>
          <x:t xml:space="preserve">강챙이</x:t>
        </x:is>
      </x:c>
      <x:c r="C66" s="5" t="inlineStr">
        <x:is>
          <x:t xml:space="preserve">poliwrath</x:t>
        </x:is>
      </x:c>
      <x:c r="D66" s="5" t="inlineStr">
        <x:is>
          <x:t xml:space="preserve">Poliwrath</x:t>
        </x:is>
      </x:c>
      <x:c r="E66" s="5" t="n">
        <x:v>1</x:v>
      </x:c>
      <x:c r="F66" s="5" t="inlineStr">
        <x:is>
          <x:t xml:space="preserve">물</x:t>
        </x:is>
      </x:c>
      <x:c r="G66" s="5" t="inlineStr">
        <x:is>
          <x:t xml:space="preserve">격투</x:t>
        </x:is>
      </x:c>
      <x:c r="H66" s="6" t="n">
        <x:v>54</x:v>
      </x:c>
      <x:c r="I66" s="5" t="n">
        <x:v>25</x:v>
      </x:c>
      <x:c r="J66" s="5" t="inlineStr">
        <x:is>
          <x:t xml:space="preserve">최종</x:t>
        </x:is>
      </x:c>
      <x:c r="K66" s="7" t="inlineStr">
        <x:is>
          <x:t xml:space="preserve">담수</x:t>
        </x:is>
      </x:c>
      <x:c r="L66" s="7" t="inlineStr">
        <x:is>
          <x:t xml:space="preserve">담수</x:t>
        </x:is>
      </x:c>
      <x:c r="M66" s="7" t="inlineStr">
        <x:is>
          <x:t xml:space="preserve">온대</x:t>
        </x:is>
      </x:c>
      <x:c r="N66" s="7" t="inlineStr">
        <x:is>
          <x:t xml:space="preserve">수중</x:t>
        </x:is>
      </x:c>
      <x:c r="O66" s="7" t="inlineStr">
        <x:is>
          <x:t xml:space="preserve">비</x:t>
        </x:is>
      </x:c>
      <x:c r="P66" s="7" t="inlineStr">
        <x:is>
          <x:t xml:space="preserve">무관</x:t>
        </x:is>
      </x:c>
      <x:c r="Q66" s="7" t="inlineStr">
        <x:is>
          <x:t xml:space="preserve">흔함</x:t>
        </x:is>
      </x:c>
      <x:c r="R66" s="7" t="inlineStr">
        <x:is>
          <x:t xml:space="preserve">없음</x:t>
        </x:is>
      </x:c>
      <x:c r="S66" s="7" t="inlineStr">
        <x:is>
          <x:t xml:space="preserve">담수</x:t>
        </x:is>
      </x:c>
      <x:c r="T66" s="7" t="inlineStr">
        <x:is>
          <x:t xml:space="preserve"/>
        </x:is>
      </x:c>
      <x:c r="U66" s="8" t="str">
        <x:f>INDEX('서식지_점수'!$E$4:$P$4,1,MATCH(MAX('서식지_점수'!E66:P66),'서식지_점수'!E66:P66,0))</x:f>
        <x:v>담수</x:v>
      </x:c>
      <x:c r="V66" s="8" t="str">
        <x:f>IF(T66&lt;&gt;"",T66,U66)</x:f>
        <x:v>담수</x:v>
      </x:c>
      <x:c r="W66" s="8" t="str">
        <x:f>IFERROR(INDEX('서식지_점수'!$E$4:$P$4,1,MATCH(MAXIFS('서식지_점수'!E66:P66,'서식지_점수'!E66:P66,"&lt;"&amp;MAX('서식지_점수'!E66:P66)),'서식지_점수'!E66:P66,0)),"")</x:f>
        <x:v>습지</x:v>
      </x:c>
      <x:c r="X66" s="8" t="str">
        <x:f>IF(T66&lt;&gt;"","수동확정",IF(MAX('서식지_점수'!E66:P66)-LARGE('서식지_점수'!E66:P66,2)&gt;=15,"높음",IF(MAX('서식지_점수'!E66:P66)-LARGE('서식지_점수'!E66:P66,2)&gt;=8,"보통","검토필요")))</x:f>
        <x:v>높음</x:v>
      </x:c>
      <x:c r="Y66" s="9" t="n">
        <x:f>IF(Q66="전설",8,IF(Q66="희귀",7,IF(J66="기본",1,IF(J66="중간",3,IF(J66="최종",IF(I66="",5,IF(I66&lt;=20,3,IF(I66&lt;=35,4,IF(I66&lt;=50,6,7)))),IF(Q66="드묾",4,2))))))</x:f>
        <x:v>4</x:v>
      </x:c>
      <x:c r="Z66" s="5" t="inlineStr">
        <x:is>
          <x:t xml:space="preserve">#cobblemon:is_freshwater; #cobblemon:is_hills; #cobblemon:is_jungle; #cobblemon:is_lush; #cobblemon:is_magical; #cobblemon:is_mushroom; #cobblemon:is_overworld; #cobblemon:is_swamp; #cobblemon:is_temperate</x:t>
        </x:is>
      </x:c>
      <x:c r="AA66" s="5" t="inlineStr">
        <x:is>
          <x:t xml:space="preserve">common</x:t>
        </x:is>
      </x:c>
      <x:c r="AB66" s="5" t="inlineStr">
        <x:is>
          <x:t xml:space="preserve">예</x:t>
        </x:is>
      </x:c>
      <x:c r="AC66" s="8" t="str">
        <x:f>IF(T66&lt;&gt;"","수동확정",IF(X66="검토필요","검토필요",IF(S66="","원본없음","초기완료")))</x:f>
        <x:v>초기완료</x:v>
      </x:c>
      <x:c r="AD66" s="7" t="inlineStr">
        <x:is>
          <x:t xml:space="preserve"/>
        </x:is>
      </x:c>
      <x:c r="AE66" s="5" t="inlineStr">
        <x:is>
          <x:t xml:space="preserve">.tmp/cobblemon-1.7.3-source/common/src/main/resources/data/cobblemon/species/generation1/poliwrath.json</x:t>
        </x:is>
      </x:c>
      <x:c r="AF66" s="5" t="str">
        <x:f>"생활권|"&amp;K66</x:f>
        <x:v>생활권|담수</x:v>
      </x:c>
      <x:c r="AG66" s="5" t="str">
        <x:f>"지형|"&amp;L66</x:f>
        <x:v>지형|담수</x:v>
      </x:c>
      <x:c r="AH66" s="5" t="str">
        <x:f>"온도|"&amp;M66</x:f>
        <x:v>온도|온대</x:v>
      </x:c>
      <x:c r="AI66" s="5" t="str">
        <x:f>"습도|"&amp;N66</x:f>
        <x:v>습도|수중</x:v>
      </x:c>
      <x:c r="AJ66" s="5" t="str">
        <x:f>"날씨|"&amp;O66</x:f>
        <x:v>날씨|비</x:v>
      </x:c>
      <x:c r="AK66" s="5" t="str">
        <x:f>"특수태그|"&amp;R66</x:f>
        <x:v>특수태그|없음</x:v>
      </x:c>
      <x:c r="AL66" s="5" t="str">
        <x:f>"원본서식지|"&amp;S66</x:f>
        <x:v>원본서식지|담수</x:v>
      </x:c>
      <x:c r="AM66" s="5" t="str">
        <x:f>"타입|"&amp;F66</x:f>
        <x:v>타입|물</x:v>
      </x:c>
      <x:c r="AN66" s="5" t="str">
        <x:f>"타입|"&amp;G66</x:f>
        <x:v>타입|격투</x:v>
      </x:c>
    </x:row>
    <x:row r="67" ht="24" customHeight="1">
      <x:c r="A67" s="5" t="n">
        <x:v>63</x:v>
      </x:c>
      <x:c r="B67" s="5" t="inlineStr">
        <x:is>
          <x:t xml:space="preserve">캐이시</x:t>
        </x:is>
      </x:c>
      <x:c r="C67" s="5" t="inlineStr">
        <x:is>
          <x:t xml:space="preserve">abra</x:t>
        </x:is>
      </x:c>
      <x:c r="D67" s="5" t="inlineStr">
        <x:is>
          <x:t xml:space="preserve">Abra</x:t>
        </x:is>
      </x:c>
      <x:c r="E67" s="5" t="n">
        <x:v>1</x:v>
      </x:c>
      <x:c r="F67" s="5" t="inlineStr">
        <x:is>
          <x:t xml:space="preserve">에스퍼</x:t>
        </x:is>
      </x:c>
      <x:c r="G67" s="5" t="inlineStr">
        <x:is>
          <x:t xml:space="preserve"/>
        </x:is>
      </x:c>
      <x:c r="H67" s="6" t="n">
        <x:v>19.5</x:v>
      </x:c>
      <x:c r="I67" s="5" t="n">
        <x:v>16</x:v>
      </x:c>
      <x:c r="J67" s="5" t="inlineStr">
        <x:is>
          <x:t xml:space="preserve">기본</x:t>
        </x:is>
      </x:c>
      <x:c r="K67" s="7" t="inlineStr">
        <x:is>
          <x:t xml:space="preserve">비행</x:t>
        </x:is>
      </x:c>
      <x:c r="L67" s="7" t="inlineStr">
        <x:is>
          <x:t xml:space="preserve">암석</x:t>
        </x:is>
      </x:c>
      <x:c r="M67" s="7" t="inlineStr">
        <x:is>
          <x:t xml:space="preserve">온대</x:t>
        </x:is>
      </x:c>
      <x:c r="N67" s="7" t="inlineStr">
        <x:is>
          <x:t xml:space="preserve">보통</x:t>
        </x:is>
      </x:c>
      <x:c r="O67" s="7" t="inlineStr">
        <x:is>
          <x:t xml:space="preserve">무관</x:t>
        </x:is>
      </x:c>
      <x:c r="P67" s="7" t="inlineStr">
        <x:is>
          <x:t xml:space="preserve">밤</x:t>
        </x:is>
      </x:c>
      <x:c r="Q67" s="7" t="inlineStr">
        <x:is>
          <x:t xml:space="preserve">보통</x:t>
        </x:is>
      </x:c>
      <x:c r="R67" s="7" t="inlineStr">
        <x:is>
          <x:t xml:space="preserve">없음</x:t>
        </x:is>
      </x:c>
      <x:c r="S67" s="7" t="inlineStr">
        <x:is>
          <x:t xml:space="preserve">산악</x:t>
        </x:is>
      </x:c>
      <x:c r="T67" s="7" t="inlineStr">
        <x:is>
          <x:t xml:space="preserve"/>
        </x:is>
      </x:c>
      <x:c r="U67" s="8" t="str">
        <x:f>INDEX('서식지_점수'!$E$4:$P$4,1,MATCH(MAX('서식지_점수'!E67:P67),'서식지_점수'!E67:P67,0))</x:f>
        <x:v>산악</x:v>
      </x:c>
      <x:c r="V67" s="8" t="str">
        <x:f>IF(T67&lt;&gt;"",T67,U67)</x:f>
        <x:v>산악</x:v>
      </x:c>
      <x:c r="W67" s="8" t="str">
        <x:f>IFERROR(INDEX('서식지_점수'!$E$4:$P$4,1,MATCH(MAXIFS('서식지_점수'!E67:P67,'서식지_점수'!E67:P67,"&lt;"&amp;MAX('서식지_점수'!E67:P67)),'서식지_점수'!E67:P67,0)),"")</x:f>
        <x:v>평원</x:v>
      </x:c>
      <x:c r="X67" s="8" t="str">
        <x:f>IF(T67&lt;&gt;"","수동확정",IF(MAX('서식지_점수'!E67:P67)-LARGE('서식지_점수'!E67:P67,2)&gt;=15,"높음",IF(MAX('서식지_점수'!E67:P67)-LARGE('서식지_점수'!E67:P67,2)&gt;=8,"보통","검토필요")))</x:f>
        <x:v>검토필요</x:v>
      </x:c>
      <x:c r="Y67" s="9" t="n">
        <x:f>IF(Q67="전설",8,IF(Q67="희귀",7,IF(J67="기본",1,IF(J67="중간",3,IF(J67="최종",IF(I67="",5,IF(I67&lt;=20,3,IF(I67&lt;=35,4,IF(I67&lt;=50,6,7)))),IF(Q67="드묾",4,2))))))</x:f>
        <x:v>1</x:v>
      </x:c>
      <x:c r="Z67" s="5" t="inlineStr">
        <x:is>
          <x:t xml:space="preserve">#cobblemon:is_hills; #cobblemon:is_magical; #cobblemon:is_overworld; #cobblemon:is_temperate</x:t>
        </x:is>
      </x:c>
      <x:c r="AA67" s="5" t="inlineStr">
        <x:is>
          <x:t xml:space="preserve">common; rare; uncommon</x:t>
        </x:is>
      </x:c>
      <x:c r="AB67" s="5" t="inlineStr">
        <x:is>
          <x:t xml:space="preserve">예</x:t>
        </x:is>
      </x:c>
      <x:c r="AC67" s="8" t="str">
        <x:f>IF(T67&lt;&gt;"","수동확정",IF(X67="검토필요","검토필요",IF(S67="","원본없음","초기완료")))</x:f>
        <x:v>검토필요</x:v>
      </x:c>
      <x:c r="AD67" s="7" t="inlineStr">
        <x:is>
          <x:t xml:space="preserve"/>
        </x:is>
      </x:c>
      <x:c r="AE67" s="5" t="inlineStr">
        <x:is>
          <x:t xml:space="preserve">.tmp/cobblemon-1.7.3-source/common/src/main/resources/data/cobblemon/species/generation1/abra.json</x:t>
        </x:is>
      </x:c>
      <x:c r="AF67" s="5" t="str">
        <x:f>"생활권|"&amp;K67</x:f>
        <x:v>생활권|비행</x:v>
      </x:c>
      <x:c r="AG67" s="5" t="str">
        <x:f>"지형|"&amp;L67</x:f>
        <x:v>지형|암석</x:v>
      </x:c>
      <x:c r="AH67" s="5" t="str">
        <x:f>"온도|"&amp;M67</x:f>
        <x:v>온도|온대</x:v>
      </x:c>
      <x:c r="AI67" s="5" t="str">
        <x:f>"습도|"&amp;N67</x:f>
        <x:v>습도|보통</x:v>
      </x:c>
      <x:c r="AJ67" s="5" t="str">
        <x:f>"날씨|"&amp;O67</x:f>
        <x:v>날씨|무관</x:v>
      </x:c>
      <x:c r="AK67" s="5" t="str">
        <x:f>"특수태그|"&amp;R67</x:f>
        <x:v>특수태그|없음</x:v>
      </x:c>
      <x:c r="AL67" s="5" t="str">
        <x:f>"원본서식지|"&amp;S67</x:f>
        <x:v>원본서식지|산악</x:v>
      </x:c>
      <x:c r="AM67" s="5" t="str">
        <x:f>"타입|"&amp;F67</x:f>
        <x:v>타입|에스퍼</x:v>
      </x:c>
      <x:c r="AN67" s="5" t="str">
        <x:f>"타입|"&amp;G67</x:f>
        <x:v>타입|</x:v>
      </x:c>
    </x:row>
    <x:row r="68" ht="24" customHeight="1">
      <x:c r="A68" s="5" t="n">
        <x:v>64</x:v>
      </x:c>
      <x:c r="B68" s="5" t="inlineStr">
        <x:is>
          <x:t xml:space="preserve">윤겔라</x:t>
        </x:is>
      </x:c>
      <x:c r="C68" s="5" t="inlineStr">
        <x:is>
          <x:t xml:space="preserve">kadabra</x:t>
        </x:is>
      </x:c>
      <x:c r="D68" s="5" t="inlineStr">
        <x:is>
          <x:t xml:space="preserve">Kadabra</x:t>
        </x:is>
      </x:c>
      <x:c r="E68" s="5" t="n">
        <x:v>1</x:v>
      </x:c>
      <x:c r="F68" s="5" t="inlineStr">
        <x:is>
          <x:t xml:space="preserve">에스퍼</x:t>
        </x:is>
      </x:c>
      <x:c r="G68" s="5" t="inlineStr">
        <x:is>
          <x:t xml:space="preserve"/>
        </x:is>
      </x:c>
      <x:c r="H68" s="6" t="n">
        <x:v>56.5</x:v>
      </x:c>
      <x:c r="I68" s="5" t="n">
        <x:v>16</x:v>
      </x:c>
      <x:c r="J68" s="5" t="inlineStr">
        <x:is>
          <x:t xml:space="preserve">중간</x:t>
        </x:is>
      </x:c>
      <x:c r="K68" s="7" t="inlineStr">
        <x:is>
          <x:t xml:space="preserve">육상</x:t>
        </x:is>
      </x:c>
      <x:c r="L68" s="7" t="inlineStr">
        <x:is>
          <x:t xml:space="preserve">암석</x:t>
        </x:is>
      </x:c>
      <x:c r="M68" s="7" t="inlineStr">
        <x:is>
          <x:t xml:space="preserve">온대</x:t>
        </x:is>
      </x:c>
      <x:c r="N68" s="7" t="inlineStr">
        <x:is>
          <x:t xml:space="preserve">보통</x:t>
        </x:is>
      </x:c>
      <x:c r="O68" s="7" t="inlineStr">
        <x:is>
          <x:t xml:space="preserve">무관</x:t>
        </x:is>
      </x:c>
      <x:c r="P68" s="7" t="inlineStr">
        <x:is>
          <x:t xml:space="preserve">밤</x:t>
        </x:is>
      </x:c>
      <x:c r="Q68" s="7" t="inlineStr">
        <x:is>
          <x:t xml:space="preserve">보통</x:t>
        </x:is>
      </x:c>
      <x:c r="R68" s="7" t="inlineStr">
        <x:is>
          <x:t xml:space="preserve">없음</x:t>
        </x:is>
      </x:c>
      <x:c r="S68" s="7" t="inlineStr">
        <x:is>
          <x:t xml:space="preserve">산악</x:t>
        </x:is>
      </x:c>
      <x:c r="T68" s="7" t="inlineStr">
        <x:is>
          <x:t xml:space="preserve"/>
        </x:is>
      </x:c>
      <x:c r="U68" s="8" t="str">
        <x:f>INDEX('서식지_점수'!$E$4:$P$4,1,MATCH(MAX('서식지_점수'!E68:P68),'서식지_점수'!E68:P68,0))</x:f>
        <x:v>평원</x:v>
      </x:c>
      <x:c r="V68" s="8" t="str">
        <x:f>IF(T68&lt;&gt;"",T68,U68)</x:f>
        <x:v>평원</x:v>
      </x:c>
      <x:c r="W68" s="8" t="str">
        <x:f>IFERROR(INDEX('서식지_점수'!$E$4:$P$4,1,MATCH(MAXIFS('서식지_점수'!E68:P68,'서식지_점수'!E68:P68,"&lt;"&amp;MAX('서식지_점수'!E68:P68)),'서식지_점수'!E68:P68,0)),"")</x:f>
        <x:v>숲</x:v>
      </x:c>
      <x:c r="X68" s="8" t="str">
        <x:f>IF(T68&lt;&gt;"","수동확정",IF(MAX('서식지_점수'!E68:P68)-LARGE('서식지_점수'!E68:P68,2)&gt;=15,"높음",IF(MAX('서식지_점수'!E68:P68)-LARGE('서식지_점수'!E68:P68,2)&gt;=8,"보통","검토필요")))</x:f>
        <x:v>검토필요</x:v>
      </x:c>
      <x:c r="Y68" s="9" t="n">
        <x:f>IF(Q68="전설",8,IF(Q68="희귀",7,IF(J68="기본",1,IF(J68="중간",3,IF(J68="최종",IF(I68="",5,IF(I68&lt;=20,3,IF(I68&lt;=35,4,IF(I68&lt;=50,6,7)))),IF(Q68="드묾",4,2))))))</x:f>
        <x:v>3</x:v>
      </x:c>
      <x:c r="Z68" s="5" t="inlineStr">
        <x:is>
          <x:t xml:space="preserve">#cobblemon:is_hills; #cobblemon:is_magical; #cobblemon:is_overworld; #cobblemon:is_temperate</x:t>
        </x:is>
      </x:c>
      <x:c r="AA68" s="5" t="inlineStr">
        <x:is>
          <x:t xml:space="preserve">common; rare; uncommon</x:t>
        </x:is>
      </x:c>
      <x:c r="AB68" s="5" t="inlineStr">
        <x:is>
          <x:t xml:space="preserve">예</x:t>
        </x:is>
      </x:c>
      <x:c r="AC68" s="8" t="str">
        <x:f>IF(T68&lt;&gt;"","수동확정",IF(X68="검토필요","검토필요",IF(S68="","원본없음","초기완료")))</x:f>
        <x:v>검토필요</x:v>
      </x:c>
      <x:c r="AD68" s="7" t="inlineStr">
        <x:is>
          <x:t xml:space="preserve"/>
        </x:is>
      </x:c>
      <x:c r="AE68" s="5" t="inlineStr">
        <x:is>
          <x:t xml:space="preserve">.tmp/cobblemon-1.7.3-source/common/src/main/resources/data/cobblemon/species/generation1/kadabra.json</x:t>
        </x:is>
      </x:c>
      <x:c r="AF68" s="5" t="str">
        <x:f>"생활권|"&amp;K68</x:f>
        <x:v>생활권|육상</x:v>
      </x:c>
      <x:c r="AG68" s="5" t="str">
        <x:f>"지형|"&amp;L68</x:f>
        <x:v>지형|암석</x:v>
      </x:c>
      <x:c r="AH68" s="5" t="str">
        <x:f>"온도|"&amp;M68</x:f>
        <x:v>온도|온대</x:v>
      </x:c>
      <x:c r="AI68" s="5" t="str">
        <x:f>"습도|"&amp;N68</x:f>
        <x:v>습도|보통</x:v>
      </x:c>
      <x:c r="AJ68" s="5" t="str">
        <x:f>"날씨|"&amp;O68</x:f>
        <x:v>날씨|무관</x:v>
      </x:c>
      <x:c r="AK68" s="5" t="str">
        <x:f>"특수태그|"&amp;R68</x:f>
        <x:v>특수태그|없음</x:v>
      </x:c>
      <x:c r="AL68" s="5" t="str">
        <x:f>"원본서식지|"&amp;S68</x:f>
        <x:v>원본서식지|산악</x:v>
      </x:c>
      <x:c r="AM68" s="5" t="str">
        <x:f>"타입|"&amp;F68</x:f>
        <x:v>타입|에스퍼</x:v>
      </x:c>
      <x:c r="AN68" s="5" t="str">
        <x:f>"타입|"&amp;G68</x:f>
        <x:v>타입|</x:v>
      </x:c>
    </x:row>
    <x:row r="69" ht="24" customHeight="1">
      <x:c r="A69" s="5" t="n">
        <x:v>65</x:v>
      </x:c>
      <x:c r="B69" s="5" t="inlineStr">
        <x:is>
          <x:t xml:space="preserve">후딘</x:t>
        </x:is>
      </x:c>
      <x:c r="C69" s="5" t="inlineStr">
        <x:is>
          <x:t xml:space="preserve">alakazam</x:t>
        </x:is>
      </x:c>
      <x:c r="D69" s="5" t="inlineStr">
        <x:is>
          <x:t xml:space="preserve">Alakazam</x:t>
        </x:is>
      </x:c>
      <x:c r="E69" s="5" t="n">
        <x:v>1</x:v>
      </x:c>
      <x:c r="F69" s="5" t="inlineStr">
        <x:is>
          <x:t xml:space="preserve">에스퍼</x:t>
        </x:is>
      </x:c>
      <x:c r="G69" s="5" t="inlineStr">
        <x:is>
          <x:t xml:space="preserve"/>
        </x:is>
      </x:c>
      <x:c r="H69" s="6" t="n">
        <x:v>48</x:v>
      </x:c>
      <x:c r="I69" s="5" t="n">
        <x:v>16</x:v>
      </x:c>
      <x:c r="J69" s="5" t="inlineStr">
        <x:is>
          <x:t xml:space="preserve">최종</x:t>
        </x:is>
      </x:c>
      <x:c r="K69" s="7" t="inlineStr">
        <x:is>
          <x:t xml:space="preserve">육상</x:t>
        </x:is>
      </x:c>
      <x:c r="L69" s="7" t="inlineStr">
        <x:is>
          <x:t xml:space="preserve">암석</x:t>
        </x:is>
      </x:c>
      <x:c r="M69" s="7" t="inlineStr">
        <x:is>
          <x:t xml:space="preserve">온대</x:t>
        </x:is>
      </x:c>
      <x:c r="N69" s="7" t="inlineStr">
        <x:is>
          <x:t xml:space="preserve">보통</x:t>
        </x:is>
      </x:c>
      <x:c r="O69" s="7" t="inlineStr">
        <x:is>
          <x:t xml:space="preserve">무관</x:t>
        </x:is>
      </x:c>
      <x:c r="P69" s="7" t="inlineStr">
        <x:is>
          <x:t xml:space="preserve">밤</x:t>
        </x:is>
      </x:c>
      <x:c r="Q69" s="7" t="inlineStr">
        <x:is>
          <x:t xml:space="preserve">보통</x:t>
        </x:is>
      </x:c>
      <x:c r="R69" s="7" t="inlineStr">
        <x:is>
          <x:t xml:space="preserve">없음</x:t>
        </x:is>
      </x:c>
      <x:c r="S69" s="7" t="inlineStr">
        <x:is>
          <x:t xml:space="preserve">산악</x:t>
        </x:is>
      </x:c>
      <x:c r="T69" s="7" t="inlineStr">
        <x:is>
          <x:t xml:space="preserve"/>
        </x:is>
      </x:c>
      <x:c r="U69" s="8" t="str">
        <x:f>INDEX('서식지_점수'!$E$4:$P$4,1,MATCH(MAX('서식지_점수'!E69:P69),'서식지_점수'!E69:P69,0))</x:f>
        <x:v>평원</x:v>
      </x:c>
      <x:c r="V69" s="8" t="str">
        <x:f>IF(T69&lt;&gt;"",T69,U69)</x:f>
        <x:v>평원</x:v>
      </x:c>
      <x:c r="W69" s="8" t="str">
        <x:f>IFERROR(INDEX('서식지_점수'!$E$4:$P$4,1,MATCH(MAXIFS('서식지_점수'!E69:P69,'서식지_점수'!E69:P69,"&lt;"&amp;MAX('서식지_점수'!E69:P69)),'서식지_점수'!E69:P69,0)),"")</x:f>
        <x:v>숲</x:v>
      </x:c>
      <x:c r="X69" s="8" t="str">
        <x:f>IF(T69&lt;&gt;"","수동확정",IF(MAX('서식지_점수'!E69:P69)-LARGE('서식지_점수'!E69:P69,2)&gt;=15,"높음",IF(MAX('서식지_점수'!E69:P69)-LARGE('서식지_점수'!E69:P69,2)&gt;=8,"보통","검토필요")))</x:f>
        <x:v>검토필요</x:v>
      </x:c>
      <x:c r="Y69" s="9" t="n">
        <x:f>IF(Q69="전설",8,IF(Q69="희귀",7,IF(J69="기본",1,IF(J69="중간",3,IF(J69="최종",IF(I69="",5,IF(I69&lt;=20,3,IF(I69&lt;=35,4,IF(I69&lt;=50,6,7)))),IF(Q69="드묾",4,2))))))</x:f>
        <x:v>3</x:v>
      </x:c>
      <x:c r="Z69" s="5" t="inlineStr">
        <x:is>
          <x:t xml:space="preserve">#cobblemon:is_hills; #cobblemon:is_magical; #cobblemon:is_overworld; #cobblemon:is_temperate</x:t>
        </x:is>
      </x:c>
      <x:c r="AA69" s="5" t="inlineStr">
        <x:is>
          <x:t xml:space="preserve">common; rare; uncommon</x:t>
        </x:is>
      </x:c>
      <x:c r="AB69" s="5" t="inlineStr">
        <x:is>
          <x:t xml:space="preserve">예</x:t>
        </x:is>
      </x:c>
      <x:c r="AC69" s="8" t="str">
        <x:f>IF(T69&lt;&gt;"","수동확정",IF(X69="검토필요","검토필요",IF(S69="","원본없음","초기완료")))</x:f>
        <x:v>검토필요</x:v>
      </x:c>
      <x:c r="AD69" s="7" t="inlineStr">
        <x:is>
          <x:t xml:space="preserve"/>
        </x:is>
      </x:c>
      <x:c r="AE69" s="5" t="inlineStr">
        <x:is>
          <x:t xml:space="preserve">.tmp/cobblemon-1.7.3-source/common/src/main/resources/data/cobblemon/species/generation1/alakazam.json</x:t>
        </x:is>
      </x:c>
      <x:c r="AF69" s="5" t="str">
        <x:f>"생활권|"&amp;K69</x:f>
        <x:v>생활권|육상</x:v>
      </x:c>
      <x:c r="AG69" s="5" t="str">
        <x:f>"지형|"&amp;L69</x:f>
        <x:v>지형|암석</x:v>
      </x:c>
      <x:c r="AH69" s="5" t="str">
        <x:f>"온도|"&amp;M69</x:f>
        <x:v>온도|온대</x:v>
      </x:c>
      <x:c r="AI69" s="5" t="str">
        <x:f>"습도|"&amp;N69</x:f>
        <x:v>습도|보통</x:v>
      </x:c>
      <x:c r="AJ69" s="5" t="str">
        <x:f>"날씨|"&amp;O69</x:f>
        <x:v>날씨|무관</x:v>
      </x:c>
      <x:c r="AK69" s="5" t="str">
        <x:f>"특수태그|"&amp;R69</x:f>
        <x:v>특수태그|없음</x:v>
      </x:c>
      <x:c r="AL69" s="5" t="str">
        <x:f>"원본서식지|"&amp;S69</x:f>
        <x:v>원본서식지|산악</x:v>
      </x:c>
      <x:c r="AM69" s="5" t="str">
        <x:f>"타입|"&amp;F69</x:f>
        <x:v>타입|에스퍼</x:v>
      </x:c>
      <x:c r="AN69" s="5" t="str">
        <x:f>"타입|"&amp;G69</x:f>
        <x:v>타입|</x:v>
      </x:c>
    </x:row>
    <x:row r="70" ht="24" customHeight="1">
      <x:c r="A70" s="5" t="n">
        <x:v>66</x:v>
      </x:c>
      <x:c r="B70" s="5" t="inlineStr">
        <x:is>
          <x:t xml:space="preserve">알통몬</x:t>
        </x:is>
      </x:c>
      <x:c r="C70" s="5" t="inlineStr">
        <x:is>
          <x:t xml:space="preserve">machop</x:t>
        </x:is>
      </x:c>
      <x:c r="D70" s="5" t="inlineStr">
        <x:is>
          <x:t xml:space="preserve">Machop</x:t>
        </x:is>
      </x:c>
      <x:c r="E70" s="5" t="n">
        <x:v>1</x:v>
      </x:c>
      <x:c r="F70" s="5" t="inlineStr">
        <x:is>
          <x:t xml:space="preserve">격투</x:t>
        </x:is>
      </x:c>
      <x:c r="G70" s="5" t="inlineStr">
        <x:is>
          <x:t xml:space="preserve"/>
        </x:is>
      </x:c>
      <x:c r="H70" s="6" t="n">
        <x:v>19.5</x:v>
      </x:c>
      <x:c r="I70" s="5" t="n">
        <x:v>28</x:v>
      </x:c>
      <x:c r="J70" s="5" t="inlineStr">
        <x:is>
          <x:t xml:space="preserve">기본</x:t>
        </x:is>
      </x:c>
      <x:c r="K70" s="7" t="inlineStr">
        <x:is>
          <x:t xml:space="preserve">육상</x:t>
        </x:is>
      </x:c>
      <x:c r="L70" s="7" t="inlineStr">
        <x:is>
          <x:t xml:space="preserve">암석</x:t>
        </x:is>
      </x:c>
      <x:c r="M70" s="7" t="inlineStr">
        <x:is>
          <x:t xml:space="preserve">온대</x:t>
        </x:is>
      </x:c>
      <x:c r="N70" s="7" t="inlineStr">
        <x:is>
          <x:t xml:space="preserve">보통</x:t>
        </x:is>
      </x:c>
      <x:c r="O70" s="7" t="inlineStr">
        <x:is>
          <x:t xml:space="preserve">무관</x:t>
        </x:is>
      </x:c>
      <x:c r="P70" s="7" t="inlineStr">
        <x:is>
          <x:t xml:space="preserve">무관</x:t>
        </x:is>
      </x:c>
      <x:c r="Q70" s="7" t="inlineStr">
        <x:is>
          <x:t xml:space="preserve">흔함</x:t>
        </x:is>
      </x:c>
      <x:c r="R70" s="7" t="inlineStr">
        <x:is>
          <x:t xml:space="preserve">없음</x:t>
        </x:is>
      </x:c>
      <x:c r="S70" s="7" t="inlineStr">
        <x:is>
          <x:t xml:space="preserve">산악</x:t>
        </x:is>
      </x:c>
      <x:c r="T70" s="7" t="inlineStr">
        <x:is>
          <x:t xml:space="preserve"/>
        </x:is>
      </x:c>
      <x:c r="U70" s="8" t="str">
        <x:f>INDEX('서식지_점수'!$E$4:$P$4,1,MATCH(MAX('서식지_점수'!E70:P70),'서식지_점수'!E70:P70,0))</x:f>
        <x:v>평원</x:v>
      </x:c>
      <x:c r="V70" s="8" t="str">
        <x:f>IF(T70&lt;&gt;"",T70,U70)</x:f>
        <x:v>평원</x:v>
      </x:c>
      <x:c r="W70" s="8" t="str">
        <x:f>IFERROR(INDEX('서식지_점수'!$E$4:$P$4,1,MATCH(MAXIFS('서식지_점수'!E70:P70,'서식지_점수'!E70:P70,"&lt;"&amp;MAX('서식지_점수'!E70:P70)),'서식지_점수'!E70:P70,0)),"")</x:f>
        <x:v>숲</x:v>
      </x:c>
      <x:c r="X70" s="8" t="str">
        <x:f>IF(T70&lt;&gt;"","수동확정",IF(MAX('서식지_점수'!E70:P70)-LARGE('서식지_점수'!E70:P70,2)&gt;=15,"높음",IF(MAX('서식지_점수'!E70:P70)-LARGE('서식지_점수'!E70:P70,2)&gt;=8,"보통","검토필요")))</x:f>
        <x:v>검토필요</x:v>
      </x:c>
      <x:c r="Y70" s="9" t="n">
        <x:f>IF(Q70="전설",8,IF(Q70="희귀",7,IF(J70="기본",1,IF(J70="중간",3,IF(J70="최종",IF(I70="",5,IF(I70&lt;=20,3,IF(I70&lt;=35,4,IF(I70&lt;=50,6,7)))),IF(Q70="드묾",4,2))))))</x:f>
        <x:v>1</x:v>
      </x:c>
      <x:c r="Z70" s="5" t="inlineStr">
        <x:is>
          <x:t xml:space="preserve">#cobblemon:is_hills</x:t>
        </x:is>
      </x:c>
      <x:c r="AA70" s="5" t="inlineStr">
        <x:is>
          <x:t xml:space="preserve">common</x:t>
        </x:is>
      </x:c>
      <x:c r="AB70" s="5" t="inlineStr">
        <x:is>
          <x:t xml:space="preserve">예</x:t>
        </x:is>
      </x:c>
      <x:c r="AC70" s="8" t="str">
        <x:f>IF(T70&lt;&gt;"","수동확정",IF(X70="검토필요","검토필요",IF(S70="","원본없음","초기완료")))</x:f>
        <x:v>검토필요</x:v>
      </x:c>
      <x:c r="AD70" s="7" t="inlineStr">
        <x:is>
          <x:t xml:space="preserve"/>
        </x:is>
      </x:c>
      <x:c r="AE70" s="5" t="inlineStr">
        <x:is>
          <x:t xml:space="preserve">.tmp/cobblemon-1.7.3-source/common/src/main/resources/data/cobblemon/species/generation1/machop.json</x:t>
        </x:is>
      </x:c>
      <x:c r="AF70" s="5" t="str">
        <x:f>"생활권|"&amp;K70</x:f>
        <x:v>생활권|육상</x:v>
      </x:c>
      <x:c r="AG70" s="5" t="str">
        <x:f>"지형|"&amp;L70</x:f>
        <x:v>지형|암석</x:v>
      </x:c>
      <x:c r="AH70" s="5" t="str">
        <x:f>"온도|"&amp;M70</x:f>
        <x:v>온도|온대</x:v>
      </x:c>
      <x:c r="AI70" s="5" t="str">
        <x:f>"습도|"&amp;N70</x:f>
        <x:v>습도|보통</x:v>
      </x:c>
      <x:c r="AJ70" s="5" t="str">
        <x:f>"날씨|"&amp;O70</x:f>
        <x:v>날씨|무관</x:v>
      </x:c>
      <x:c r="AK70" s="5" t="str">
        <x:f>"특수태그|"&amp;R70</x:f>
        <x:v>특수태그|없음</x:v>
      </x:c>
      <x:c r="AL70" s="5" t="str">
        <x:f>"원본서식지|"&amp;S70</x:f>
        <x:v>원본서식지|산악</x:v>
      </x:c>
      <x:c r="AM70" s="5" t="str">
        <x:f>"타입|"&amp;F70</x:f>
        <x:v>타입|격투</x:v>
      </x:c>
      <x:c r="AN70" s="5" t="str">
        <x:f>"타입|"&amp;G70</x:f>
        <x:v>타입|</x:v>
      </x:c>
    </x:row>
    <x:row r="71" ht="24" customHeight="1">
      <x:c r="A71" s="5" t="n">
        <x:v>67</x:v>
      </x:c>
      <x:c r="B71" s="5" t="inlineStr">
        <x:is>
          <x:t xml:space="preserve">근육몬</x:t>
        </x:is>
      </x:c>
      <x:c r="C71" s="5" t="inlineStr">
        <x:is>
          <x:t xml:space="preserve">machoke</x:t>
        </x:is>
      </x:c>
      <x:c r="D71" s="5" t="inlineStr">
        <x:is>
          <x:t xml:space="preserve">Machoke</x:t>
        </x:is>
      </x:c>
      <x:c r="E71" s="5" t="n">
        <x:v>1</x:v>
      </x:c>
      <x:c r="F71" s="5" t="inlineStr">
        <x:is>
          <x:t xml:space="preserve">격투</x:t>
        </x:is>
      </x:c>
      <x:c r="G71" s="5" t="inlineStr">
        <x:is>
          <x:t xml:space="preserve"/>
        </x:is>
      </x:c>
      <x:c r="H71" s="6" t="n">
        <x:v>70.5</x:v>
      </x:c>
      <x:c r="I71" s="5" t="n">
        <x:v>28</x:v>
      </x:c>
      <x:c r="J71" s="5" t="inlineStr">
        <x:is>
          <x:t xml:space="preserve">중간</x:t>
        </x:is>
      </x:c>
      <x:c r="K71" s="7" t="inlineStr">
        <x:is>
          <x:t xml:space="preserve">육상</x:t>
        </x:is>
      </x:c>
      <x:c r="L71" s="7" t="inlineStr">
        <x:is>
          <x:t xml:space="preserve">암석</x:t>
        </x:is>
      </x:c>
      <x:c r="M71" s="7" t="inlineStr">
        <x:is>
          <x:t xml:space="preserve">온대</x:t>
        </x:is>
      </x:c>
      <x:c r="N71" s="7" t="inlineStr">
        <x:is>
          <x:t xml:space="preserve">보통</x:t>
        </x:is>
      </x:c>
      <x:c r="O71" s="7" t="inlineStr">
        <x:is>
          <x:t xml:space="preserve">무관</x:t>
        </x:is>
      </x:c>
      <x:c r="P71" s="7" t="inlineStr">
        <x:is>
          <x:t xml:space="preserve">무관</x:t>
        </x:is>
      </x:c>
      <x:c r="Q71" s="7" t="inlineStr">
        <x:is>
          <x:t xml:space="preserve">흔함</x:t>
        </x:is>
      </x:c>
      <x:c r="R71" s="7" t="inlineStr">
        <x:is>
          <x:t xml:space="preserve">없음</x:t>
        </x:is>
      </x:c>
      <x:c r="S71" s="7" t="inlineStr">
        <x:is>
          <x:t xml:space="preserve">산악</x:t>
        </x:is>
      </x:c>
      <x:c r="T71" s="7" t="inlineStr">
        <x:is>
          <x:t xml:space="preserve"/>
        </x:is>
      </x:c>
      <x:c r="U71" s="8" t="str">
        <x:f>INDEX('서식지_점수'!$E$4:$P$4,1,MATCH(MAX('서식지_점수'!E71:P71),'서식지_점수'!E71:P71,0))</x:f>
        <x:v>평원</x:v>
      </x:c>
      <x:c r="V71" s="8" t="str">
        <x:f>IF(T71&lt;&gt;"",T71,U71)</x:f>
        <x:v>평원</x:v>
      </x:c>
      <x:c r="W71" s="8" t="str">
        <x:f>IFERROR(INDEX('서식지_점수'!$E$4:$P$4,1,MATCH(MAXIFS('서식지_점수'!E71:P71,'서식지_점수'!E71:P71,"&lt;"&amp;MAX('서식지_점수'!E71:P71)),'서식지_점수'!E71:P71,0)),"")</x:f>
        <x:v>숲</x:v>
      </x:c>
      <x:c r="X71" s="8" t="str">
        <x:f>IF(T71&lt;&gt;"","수동확정",IF(MAX('서식지_점수'!E71:P71)-LARGE('서식지_점수'!E71:P71,2)&gt;=15,"높음",IF(MAX('서식지_점수'!E71:P71)-LARGE('서식지_점수'!E71:P71,2)&gt;=8,"보통","검토필요")))</x:f>
        <x:v>검토필요</x:v>
      </x:c>
      <x:c r="Y71" s="9" t="n">
        <x:f>IF(Q71="전설",8,IF(Q71="희귀",7,IF(J71="기본",1,IF(J71="중간",3,IF(J71="최종",IF(I71="",5,IF(I71&lt;=20,3,IF(I71&lt;=35,4,IF(I71&lt;=50,6,7)))),IF(Q71="드묾",4,2))))))</x:f>
        <x:v>3</x:v>
      </x:c>
      <x:c r="Z71" s="5" t="inlineStr">
        <x:is>
          <x:t xml:space="preserve">#cobblemon:is_hills</x:t>
        </x:is>
      </x:c>
      <x:c r="AA71" s="5" t="inlineStr">
        <x:is>
          <x:t xml:space="preserve">common</x:t>
        </x:is>
      </x:c>
      <x:c r="AB71" s="5" t="inlineStr">
        <x:is>
          <x:t xml:space="preserve">예</x:t>
        </x:is>
      </x:c>
      <x:c r="AC71" s="8" t="str">
        <x:f>IF(T71&lt;&gt;"","수동확정",IF(X71="검토필요","검토필요",IF(S71="","원본없음","초기완료")))</x:f>
        <x:v>검토필요</x:v>
      </x:c>
      <x:c r="AD71" s="7" t="inlineStr">
        <x:is>
          <x:t xml:space="preserve"/>
        </x:is>
      </x:c>
      <x:c r="AE71" s="5" t="inlineStr">
        <x:is>
          <x:t xml:space="preserve">.tmp/cobblemon-1.7.3-source/common/src/main/resources/data/cobblemon/species/generation1/machoke.json</x:t>
        </x:is>
      </x:c>
      <x:c r="AF71" s="5" t="str">
        <x:f>"생활권|"&amp;K71</x:f>
        <x:v>생활권|육상</x:v>
      </x:c>
      <x:c r="AG71" s="5" t="str">
        <x:f>"지형|"&amp;L71</x:f>
        <x:v>지형|암석</x:v>
      </x:c>
      <x:c r="AH71" s="5" t="str">
        <x:f>"온도|"&amp;M71</x:f>
        <x:v>온도|온대</x:v>
      </x:c>
      <x:c r="AI71" s="5" t="str">
        <x:f>"습도|"&amp;N71</x:f>
        <x:v>습도|보통</x:v>
      </x:c>
      <x:c r="AJ71" s="5" t="str">
        <x:f>"날씨|"&amp;O71</x:f>
        <x:v>날씨|무관</x:v>
      </x:c>
      <x:c r="AK71" s="5" t="str">
        <x:f>"특수태그|"&amp;R71</x:f>
        <x:v>특수태그|없음</x:v>
      </x:c>
      <x:c r="AL71" s="5" t="str">
        <x:f>"원본서식지|"&amp;S71</x:f>
        <x:v>원본서식지|산악</x:v>
      </x:c>
      <x:c r="AM71" s="5" t="str">
        <x:f>"타입|"&amp;F71</x:f>
        <x:v>타입|격투</x:v>
      </x:c>
      <x:c r="AN71" s="5" t="str">
        <x:f>"타입|"&amp;G71</x:f>
        <x:v>타입|</x:v>
      </x:c>
    </x:row>
    <x:row r="72" ht="24" customHeight="1">
      <x:c r="A72" s="5" t="n">
        <x:v>68</x:v>
      </x:c>
      <x:c r="B72" s="5" t="inlineStr">
        <x:is>
          <x:t xml:space="preserve">괴력몬</x:t>
        </x:is>
      </x:c>
      <x:c r="C72" s="5" t="inlineStr">
        <x:is>
          <x:t xml:space="preserve">machamp</x:t>
        </x:is>
      </x:c>
      <x:c r="D72" s="5" t="inlineStr">
        <x:is>
          <x:t xml:space="preserve">Machamp</x:t>
        </x:is>
      </x:c>
      <x:c r="E72" s="5" t="n">
        <x:v>1</x:v>
      </x:c>
      <x:c r="F72" s="5" t="inlineStr">
        <x:is>
          <x:t xml:space="preserve">격투</x:t>
        </x:is>
      </x:c>
      <x:c r="G72" s="5" t="inlineStr">
        <x:is>
          <x:t xml:space="preserve"/>
        </x:is>
      </x:c>
      <x:c r="H72" s="6" t="n">
        <x:v>130</x:v>
      </x:c>
      <x:c r="I72" s="5" t="n">
        <x:v>28</x:v>
      </x:c>
      <x:c r="J72" s="5" t="inlineStr">
        <x:is>
          <x:t xml:space="preserve">최종</x:t>
        </x:is>
      </x:c>
      <x:c r="K72" s="7" t="inlineStr">
        <x:is>
          <x:t xml:space="preserve">육상</x:t>
        </x:is>
      </x:c>
      <x:c r="L72" s="7" t="inlineStr">
        <x:is>
          <x:t xml:space="preserve">암석</x:t>
        </x:is>
      </x:c>
      <x:c r="M72" s="7" t="inlineStr">
        <x:is>
          <x:t xml:space="preserve">온대</x:t>
        </x:is>
      </x:c>
      <x:c r="N72" s="7" t="inlineStr">
        <x:is>
          <x:t xml:space="preserve">보통</x:t>
        </x:is>
      </x:c>
      <x:c r="O72" s="7" t="inlineStr">
        <x:is>
          <x:t xml:space="preserve">무관</x:t>
        </x:is>
      </x:c>
      <x:c r="P72" s="7" t="inlineStr">
        <x:is>
          <x:t xml:space="preserve">무관</x:t>
        </x:is>
      </x:c>
      <x:c r="Q72" s="7" t="inlineStr">
        <x:is>
          <x:t xml:space="preserve">흔함</x:t>
        </x:is>
      </x:c>
      <x:c r="R72" s="7" t="inlineStr">
        <x:is>
          <x:t xml:space="preserve">없음</x:t>
        </x:is>
      </x:c>
      <x:c r="S72" s="7" t="inlineStr">
        <x:is>
          <x:t xml:space="preserve">산악</x:t>
        </x:is>
      </x:c>
      <x:c r="T72" s="7" t="inlineStr">
        <x:is>
          <x:t xml:space="preserve"/>
        </x:is>
      </x:c>
      <x:c r="U72" s="8" t="str">
        <x:f>INDEX('서식지_점수'!$E$4:$P$4,1,MATCH(MAX('서식지_점수'!E72:P72),'서식지_점수'!E72:P72,0))</x:f>
        <x:v>평원</x:v>
      </x:c>
      <x:c r="V72" s="8" t="str">
        <x:f>IF(T72&lt;&gt;"",T72,U72)</x:f>
        <x:v>평원</x:v>
      </x:c>
      <x:c r="W72" s="8" t="str">
        <x:f>IFERROR(INDEX('서식지_점수'!$E$4:$P$4,1,MATCH(MAXIFS('서식지_점수'!E72:P72,'서식지_점수'!E72:P72,"&lt;"&amp;MAX('서식지_점수'!E72:P72)),'서식지_점수'!E72:P72,0)),"")</x:f>
        <x:v>숲</x:v>
      </x:c>
      <x:c r="X72" s="8" t="str">
        <x:f>IF(T72&lt;&gt;"","수동확정",IF(MAX('서식지_점수'!E72:P72)-LARGE('서식지_점수'!E72:P72,2)&gt;=15,"높음",IF(MAX('서식지_점수'!E72:P72)-LARGE('서식지_점수'!E72:P72,2)&gt;=8,"보통","검토필요")))</x:f>
        <x:v>검토필요</x:v>
      </x:c>
      <x:c r="Y72" s="9" t="n">
        <x:f>IF(Q72="전설",8,IF(Q72="희귀",7,IF(J72="기본",1,IF(J72="중간",3,IF(J72="최종",IF(I72="",5,IF(I72&lt;=20,3,IF(I72&lt;=35,4,IF(I72&lt;=50,6,7)))),IF(Q72="드묾",4,2))))))</x:f>
        <x:v>4</x:v>
      </x:c>
      <x:c r="Z72" s="5" t="inlineStr">
        <x:is>
          <x:t xml:space="preserve">#cobblemon:is_hills</x:t>
        </x:is>
      </x:c>
      <x:c r="AA72" s="5" t="inlineStr">
        <x:is>
          <x:t xml:space="preserve">common</x:t>
        </x:is>
      </x:c>
      <x:c r="AB72" s="5" t="inlineStr">
        <x:is>
          <x:t xml:space="preserve">예</x:t>
        </x:is>
      </x:c>
      <x:c r="AC72" s="8" t="str">
        <x:f>IF(T72&lt;&gt;"","수동확정",IF(X72="검토필요","검토필요",IF(S72="","원본없음","초기완료")))</x:f>
        <x:v>검토필요</x:v>
      </x:c>
      <x:c r="AD72" s="7" t="inlineStr">
        <x:is>
          <x:t xml:space="preserve"/>
        </x:is>
      </x:c>
      <x:c r="AE72" s="5" t="inlineStr">
        <x:is>
          <x:t xml:space="preserve">.tmp/cobblemon-1.7.3-source/common/src/main/resources/data/cobblemon/species/generation1/machamp.json</x:t>
        </x:is>
      </x:c>
      <x:c r="AF72" s="5" t="str">
        <x:f>"생활권|"&amp;K72</x:f>
        <x:v>생활권|육상</x:v>
      </x:c>
      <x:c r="AG72" s="5" t="str">
        <x:f>"지형|"&amp;L72</x:f>
        <x:v>지형|암석</x:v>
      </x:c>
      <x:c r="AH72" s="5" t="str">
        <x:f>"온도|"&amp;M72</x:f>
        <x:v>온도|온대</x:v>
      </x:c>
      <x:c r="AI72" s="5" t="str">
        <x:f>"습도|"&amp;N72</x:f>
        <x:v>습도|보통</x:v>
      </x:c>
      <x:c r="AJ72" s="5" t="str">
        <x:f>"날씨|"&amp;O72</x:f>
        <x:v>날씨|무관</x:v>
      </x:c>
      <x:c r="AK72" s="5" t="str">
        <x:f>"특수태그|"&amp;R72</x:f>
        <x:v>특수태그|없음</x:v>
      </x:c>
      <x:c r="AL72" s="5" t="str">
        <x:f>"원본서식지|"&amp;S72</x:f>
        <x:v>원본서식지|산악</x:v>
      </x:c>
      <x:c r="AM72" s="5" t="str">
        <x:f>"타입|"&amp;F72</x:f>
        <x:v>타입|격투</x:v>
      </x:c>
      <x:c r="AN72" s="5" t="str">
        <x:f>"타입|"&amp;G72</x:f>
        <x:v>타입|</x:v>
      </x:c>
    </x:row>
    <x:row r="73" ht="24" customHeight="1">
      <x:c r="A73" s="5" t="n">
        <x:v>69</x:v>
      </x:c>
      <x:c r="B73" s="5" t="inlineStr">
        <x:is>
          <x:t xml:space="preserve">모다피</x:t>
        </x:is>
      </x:c>
      <x:c r="C73" s="5" t="inlineStr">
        <x:is>
          <x:t xml:space="preserve">bellsprout</x:t>
        </x:is>
      </x:c>
      <x:c r="D73" s="5" t="inlineStr">
        <x:is>
          <x:t xml:space="preserve">Bellsprout</x:t>
        </x:is>
      </x:c>
      <x:c r="E73" s="5" t="n">
        <x:v>1</x:v>
      </x:c>
      <x:c r="F73" s="5" t="inlineStr">
        <x:is>
          <x:t xml:space="preserve">풀</x:t>
        </x:is>
      </x:c>
      <x:c r="G73" s="5" t="inlineStr">
        <x:is>
          <x:t xml:space="preserve">독</x:t>
        </x:is>
      </x:c>
      <x:c r="H73" s="6" t="n">
        <x:v>4</x:v>
      </x:c>
      <x:c r="I73" s="5" t="n">
        <x:v>21</x:v>
      </x:c>
      <x:c r="J73" s="5" t="inlineStr">
        <x:is>
          <x:t xml:space="preserve">기본</x:t>
        </x:is>
      </x:c>
      <x:c r="K73" s="7" t="inlineStr">
        <x:is>
          <x:t xml:space="preserve">육상</x:t>
        </x:is>
      </x:c>
      <x:c r="L73" s="7" t="inlineStr">
        <x:is>
          <x:t xml:space="preserve">수목</x:t>
        </x:is>
      </x:c>
      <x:c r="M73" s="7" t="inlineStr">
        <x:is>
          <x:t xml:space="preserve">온대</x:t>
        </x:is>
      </x:c>
      <x:c r="N73" s="7" t="inlineStr">
        <x:is>
          <x:t xml:space="preserve">다습</x:t>
        </x:is>
      </x:c>
      <x:c r="O73" s="7" t="inlineStr">
        <x:is>
          <x:t xml:space="preserve">무관</x:t>
        </x:is>
      </x:c>
      <x:c r="P73" s="7" t="inlineStr">
        <x:is>
          <x:t xml:space="preserve">무관</x:t>
        </x:is>
      </x:c>
      <x:c r="Q73" s="7" t="inlineStr">
        <x:is>
          <x:t xml:space="preserve">흔함</x:t>
        </x:is>
      </x:c>
      <x:c r="R73" s="7" t="inlineStr">
        <x:is>
          <x:t xml:space="preserve">없음</x:t>
        </x:is>
      </x:c>
      <x:c r="S73" s="7" t="inlineStr">
        <x:is>
          <x:t xml:space="preserve">숲</x:t>
        </x:is>
      </x:c>
      <x:c r="T73" s="7" t="inlineStr">
        <x:is>
          <x:t xml:space="preserve"/>
        </x:is>
      </x:c>
      <x:c r="U73" s="8" t="str">
        <x:f>INDEX('서식지_점수'!$E$4:$P$4,1,MATCH(MAX('서식지_점수'!E73:P73),'서식지_점수'!E73:P73,0))</x:f>
        <x:v>평원</x:v>
      </x:c>
      <x:c r="V73" s="8" t="str">
        <x:f>IF(T73&lt;&gt;"",T73,U73)</x:f>
        <x:v>평원</x:v>
      </x:c>
      <x:c r="W73" s="8" t="str">
        <x:f>IFERROR(INDEX('서식지_점수'!$E$4:$P$4,1,MATCH(MAXIFS('서식지_점수'!E73:P73,'서식지_점수'!E73:P73,"&lt;"&amp;MAX('서식지_점수'!E73:P73)),'서식지_점수'!E73:P73,0)),"")</x:f>
        <x:v>숲</x:v>
      </x:c>
      <x:c r="X73" s="8" t="str">
        <x:f>IF(T73&lt;&gt;"","수동확정",IF(MAX('서식지_점수'!E73:P73)-LARGE('서식지_점수'!E73:P73,2)&gt;=15,"높음",IF(MAX('서식지_점수'!E73:P73)-LARGE('서식지_점수'!E73:P73,2)&gt;=8,"보통","검토필요")))</x:f>
        <x:v>검토필요</x:v>
      </x:c>
      <x:c r="Y73" s="9" t="n">
        <x:f>IF(Q73="전설",8,IF(Q73="희귀",7,IF(J73="기본",1,IF(J73="중간",3,IF(J73="최종",IF(I73="",5,IF(I73&lt;=20,3,IF(I73&lt;=35,4,IF(I73&lt;=50,6,7)))),IF(Q73="드묾",4,2))))))</x:f>
        <x:v>1</x:v>
      </x:c>
      <x:c r="Z73" s="5" t="inlineStr">
        <x:is>
          <x:t xml:space="preserve">#cobblemon:is_jungle</x:t>
        </x:is>
      </x:c>
      <x:c r="AA73" s="5" t="inlineStr">
        <x:is>
          <x:t xml:space="preserve">common</x:t>
        </x:is>
      </x:c>
      <x:c r="AB73" s="5" t="inlineStr">
        <x:is>
          <x:t xml:space="preserve">예</x:t>
        </x:is>
      </x:c>
      <x:c r="AC73" s="8" t="str">
        <x:f>IF(T73&lt;&gt;"","수동확정",IF(X73="검토필요","검토필요",IF(S73="","원본없음","초기완료")))</x:f>
        <x:v>검토필요</x:v>
      </x:c>
      <x:c r="AD73" s="7" t="inlineStr">
        <x:is>
          <x:t xml:space="preserve"/>
        </x:is>
      </x:c>
      <x:c r="AE73" s="5" t="inlineStr">
        <x:is>
          <x:t xml:space="preserve">.tmp/cobblemon-1.7.3-source/common/src/main/resources/data/cobblemon/species/generation1/bellsprout.json</x:t>
        </x:is>
      </x:c>
      <x:c r="AF73" s="5" t="str">
        <x:f>"생활권|"&amp;K73</x:f>
        <x:v>생활권|육상</x:v>
      </x:c>
      <x:c r="AG73" s="5" t="str">
        <x:f>"지형|"&amp;L73</x:f>
        <x:v>지형|수목</x:v>
      </x:c>
      <x:c r="AH73" s="5" t="str">
        <x:f>"온도|"&amp;M73</x:f>
        <x:v>온도|온대</x:v>
      </x:c>
      <x:c r="AI73" s="5" t="str">
        <x:f>"습도|"&amp;N73</x:f>
        <x:v>습도|다습</x:v>
      </x:c>
      <x:c r="AJ73" s="5" t="str">
        <x:f>"날씨|"&amp;O73</x:f>
        <x:v>날씨|무관</x:v>
      </x:c>
      <x:c r="AK73" s="5" t="str">
        <x:f>"특수태그|"&amp;R73</x:f>
        <x:v>특수태그|없음</x:v>
      </x:c>
      <x:c r="AL73" s="5" t="str">
        <x:f>"원본서식지|"&amp;S73</x:f>
        <x:v>원본서식지|숲</x:v>
      </x:c>
      <x:c r="AM73" s="5" t="str">
        <x:f>"타입|"&amp;F73</x:f>
        <x:v>타입|풀</x:v>
      </x:c>
      <x:c r="AN73" s="5" t="str">
        <x:f>"타입|"&amp;G73</x:f>
        <x:v>타입|독</x:v>
      </x:c>
    </x:row>
    <x:row r="74" ht="24" customHeight="1">
      <x:c r="A74" s="5" t="n">
        <x:v>70</x:v>
      </x:c>
      <x:c r="B74" s="5" t="inlineStr">
        <x:is>
          <x:t xml:space="preserve">우츠동</x:t>
        </x:is>
      </x:c>
      <x:c r="C74" s="5" t="inlineStr">
        <x:is>
          <x:t xml:space="preserve">weepinbell</x:t>
        </x:is>
      </x:c>
      <x:c r="D74" s="5" t="inlineStr">
        <x:is>
          <x:t xml:space="preserve">Weepinbell</x:t>
        </x:is>
      </x:c>
      <x:c r="E74" s="5" t="n">
        <x:v>1</x:v>
      </x:c>
      <x:c r="F74" s="5" t="inlineStr">
        <x:is>
          <x:t xml:space="preserve">풀</x:t>
        </x:is>
      </x:c>
      <x:c r="G74" s="5" t="inlineStr">
        <x:is>
          <x:t xml:space="preserve">독</x:t>
        </x:is>
      </x:c>
      <x:c r="H74" s="6" t="n">
        <x:v>6.4</x:v>
      </x:c>
      <x:c r="I74" s="5" t="n">
        <x:v>21</x:v>
      </x:c>
      <x:c r="J74" s="5" t="inlineStr">
        <x:is>
          <x:t xml:space="preserve">중간</x:t>
        </x:is>
      </x:c>
      <x:c r="K74" s="7" t="inlineStr">
        <x:is>
          <x:t xml:space="preserve">육상</x:t>
        </x:is>
      </x:c>
      <x:c r="L74" s="7" t="inlineStr">
        <x:is>
          <x:t xml:space="preserve">수목</x:t>
        </x:is>
      </x:c>
      <x:c r="M74" s="7" t="inlineStr">
        <x:is>
          <x:t xml:space="preserve">온대</x:t>
        </x:is>
      </x:c>
      <x:c r="N74" s="7" t="inlineStr">
        <x:is>
          <x:t xml:space="preserve">다습</x:t>
        </x:is>
      </x:c>
      <x:c r="O74" s="7" t="inlineStr">
        <x:is>
          <x:t xml:space="preserve">무관</x:t>
        </x:is>
      </x:c>
      <x:c r="P74" s="7" t="inlineStr">
        <x:is>
          <x:t xml:space="preserve">무관</x:t>
        </x:is>
      </x:c>
      <x:c r="Q74" s="7" t="inlineStr">
        <x:is>
          <x:t xml:space="preserve">흔함</x:t>
        </x:is>
      </x:c>
      <x:c r="R74" s="7" t="inlineStr">
        <x:is>
          <x:t xml:space="preserve">없음</x:t>
        </x:is>
      </x:c>
      <x:c r="S74" s="7" t="inlineStr">
        <x:is>
          <x:t xml:space="preserve">숲</x:t>
        </x:is>
      </x:c>
      <x:c r="T74" s="7" t="inlineStr">
        <x:is>
          <x:t xml:space="preserve"/>
        </x:is>
      </x:c>
      <x:c r="U74" s="8" t="str">
        <x:f>INDEX('서식지_점수'!$E$4:$P$4,1,MATCH(MAX('서식지_점수'!E74:P74),'서식지_점수'!E74:P74,0))</x:f>
        <x:v>평원</x:v>
      </x:c>
      <x:c r="V74" s="8" t="str">
        <x:f>IF(T74&lt;&gt;"",T74,U74)</x:f>
        <x:v>평원</x:v>
      </x:c>
      <x:c r="W74" s="8" t="str">
        <x:f>IFERROR(INDEX('서식지_점수'!$E$4:$P$4,1,MATCH(MAXIFS('서식지_점수'!E74:P74,'서식지_점수'!E74:P74,"&lt;"&amp;MAX('서식지_점수'!E74:P74)),'서식지_점수'!E74:P74,0)),"")</x:f>
        <x:v>숲</x:v>
      </x:c>
      <x:c r="X74" s="8" t="str">
        <x:f>IF(T74&lt;&gt;"","수동확정",IF(MAX('서식지_점수'!E74:P74)-LARGE('서식지_점수'!E74:P74,2)&gt;=15,"높음",IF(MAX('서식지_점수'!E74:P74)-LARGE('서식지_점수'!E74:P74,2)&gt;=8,"보통","검토필요")))</x:f>
        <x:v>검토필요</x:v>
      </x:c>
      <x:c r="Y74" s="9" t="n">
        <x:f>IF(Q74="전설",8,IF(Q74="희귀",7,IF(J74="기본",1,IF(J74="중간",3,IF(J74="최종",IF(I74="",5,IF(I74&lt;=20,3,IF(I74&lt;=35,4,IF(I74&lt;=50,6,7)))),IF(Q74="드묾",4,2))))))</x:f>
        <x:v>3</x:v>
      </x:c>
      <x:c r="Z74" s="5" t="inlineStr">
        <x:is>
          <x:t xml:space="preserve">#cobblemon:is_jungle</x:t>
        </x:is>
      </x:c>
      <x:c r="AA74" s="5" t="inlineStr">
        <x:is>
          <x:t xml:space="preserve">common</x:t>
        </x:is>
      </x:c>
      <x:c r="AB74" s="5" t="inlineStr">
        <x:is>
          <x:t xml:space="preserve">예</x:t>
        </x:is>
      </x:c>
      <x:c r="AC74" s="8" t="str">
        <x:f>IF(T74&lt;&gt;"","수동확정",IF(X74="검토필요","검토필요",IF(S74="","원본없음","초기완료")))</x:f>
        <x:v>검토필요</x:v>
      </x:c>
      <x:c r="AD74" s="7" t="inlineStr">
        <x:is>
          <x:t xml:space="preserve"/>
        </x:is>
      </x:c>
      <x:c r="AE74" s="5" t="inlineStr">
        <x:is>
          <x:t xml:space="preserve">.tmp/cobblemon-1.7.3-source/common/src/main/resources/data/cobblemon/species/generation1/weepinbell.json</x:t>
        </x:is>
      </x:c>
      <x:c r="AF74" s="5" t="str">
        <x:f>"생활권|"&amp;K74</x:f>
        <x:v>생활권|육상</x:v>
      </x:c>
      <x:c r="AG74" s="5" t="str">
        <x:f>"지형|"&amp;L74</x:f>
        <x:v>지형|수목</x:v>
      </x:c>
      <x:c r="AH74" s="5" t="str">
        <x:f>"온도|"&amp;M74</x:f>
        <x:v>온도|온대</x:v>
      </x:c>
      <x:c r="AI74" s="5" t="str">
        <x:f>"습도|"&amp;N74</x:f>
        <x:v>습도|다습</x:v>
      </x:c>
      <x:c r="AJ74" s="5" t="str">
        <x:f>"날씨|"&amp;O74</x:f>
        <x:v>날씨|무관</x:v>
      </x:c>
      <x:c r="AK74" s="5" t="str">
        <x:f>"특수태그|"&amp;R74</x:f>
        <x:v>특수태그|없음</x:v>
      </x:c>
      <x:c r="AL74" s="5" t="str">
        <x:f>"원본서식지|"&amp;S74</x:f>
        <x:v>원본서식지|숲</x:v>
      </x:c>
      <x:c r="AM74" s="5" t="str">
        <x:f>"타입|"&amp;F74</x:f>
        <x:v>타입|풀</x:v>
      </x:c>
      <x:c r="AN74" s="5" t="str">
        <x:f>"타입|"&amp;G74</x:f>
        <x:v>타입|독</x:v>
      </x:c>
    </x:row>
    <x:row r="75" ht="24" customHeight="1">
      <x:c r="A75" s="5" t="n">
        <x:v>71</x:v>
      </x:c>
      <x:c r="B75" s="5" t="inlineStr">
        <x:is>
          <x:t xml:space="preserve">우츠보트</x:t>
        </x:is>
      </x:c>
      <x:c r="C75" s="5" t="inlineStr">
        <x:is>
          <x:t xml:space="preserve">victreebel</x:t>
        </x:is>
      </x:c>
      <x:c r="D75" s="5" t="inlineStr">
        <x:is>
          <x:t xml:space="preserve">Victreebel</x:t>
        </x:is>
      </x:c>
      <x:c r="E75" s="5" t="n">
        <x:v>1</x:v>
      </x:c>
      <x:c r="F75" s="5" t="inlineStr">
        <x:is>
          <x:t xml:space="preserve">풀</x:t>
        </x:is>
      </x:c>
      <x:c r="G75" s="5" t="inlineStr">
        <x:is>
          <x:t xml:space="preserve">독</x:t>
        </x:is>
      </x:c>
      <x:c r="H75" s="6" t="n">
        <x:v>15.5</x:v>
      </x:c>
      <x:c r="I75" s="5" t="n">
        <x:v>21</x:v>
      </x:c>
      <x:c r="J75" s="5" t="inlineStr">
        <x:is>
          <x:t xml:space="preserve">최종</x:t>
        </x:is>
      </x:c>
      <x:c r="K75" s="7" t="inlineStr">
        <x:is>
          <x:t xml:space="preserve">육상</x:t>
        </x:is>
      </x:c>
      <x:c r="L75" s="7" t="inlineStr">
        <x:is>
          <x:t xml:space="preserve">수목</x:t>
        </x:is>
      </x:c>
      <x:c r="M75" s="7" t="inlineStr">
        <x:is>
          <x:t xml:space="preserve">온대</x:t>
        </x:is>
      </x:c>
      <x:c r="N75" s="7" t="inlineStr">
        <x:is>
          <x:t xml:space="preserve">다습</x:t>
        </x:is>
      </x:c>
      <x:c r="O75" s="7" t="inlineStr">
        <x:is>
          <x:t xml:space="preserve">무관</x:t>
        </x:is>
      </x:c>
      <x:c r="P75" s="7" t="inlineStr">
        <x:is>
          <x:t xml:space="preserve">무관</x:t>
        </x:is>
      </x:c>
      <x:c r="Q75" s="7" t="inlineStr">
        <x:is>
          <x:t xml:space="preserve">흔함</x:t>
        </x:is>
      </x:c>
      <x:c r="R75" s="7" t="inlineStr">
        <x:is>
          <x:t xml:space="preserve">없음</x:t>
        </x:is>
      </x:c>
      <x:c r="S75" s="7" t="inlineStr">
        <x:is>
          <x:t xml:space="preserve">숲</x:t>
        </x:is>
      </x:c>
      <x:c r="T75" s="7" t="inlineStr">
        <x:is>
          <x:t xml:space="preserve"/>
        </x:is>
      </x:c>
      <x:c r="U75" s="8" t="str">
        <x:f>INDEX('서식지_점수'!$E$4:$P$4,1,MATCH(MAX('서식지_점수'!E75:P75),'서식지_점수'!E75:P75,0))</x:f>
        <x:v>평원</x:v>
      </x:c>
      <x:c r="V75" s="8" t="str">
        <x:f>IF(T75&lt;&gt;"",T75,U75)</x:f>
        <x:v>평원</x:v>
      </x:c>
      <x:c r="W75" s="8" t="str">
        <x:f>IFERROR(INDEX('서식지_점수'!$E$4:$P$4,1,MATCH(MAXIFS('서식지_점수'!E75:P75,'서식지_점수'!E75:P75,"&lt;"&amp;MAX('서식지_점수'!E75:P75)),'서식지_점수'!E75:P75,0)),"")</x:f>
        <x:v>숲</x:v>
      </x:c>
      <x:c r="X75" s="8" t="str">
        <x:f>IF(T75&lt;&gt;"","수동확정",IF(MAX('서식지_점수'!E75:P75)-LARGE('서식지_점수'!E75:P75,2)&gt;=15,"높음",IF(MAX('서식지_점수'!E75:P75)-LARGE('서식지_점수'!E75:P75,2)&gt;=8,"보통","검토필요")))</x:f>
        <x:v>검토필요</x:v>
      </x:c>
      <x:c r="Y75" s="9" t="n">
        <x:f>IF(Q75="전설",8,IF(Q75="희귀",7,IF(J75="기본",1,IF(J75="중간",3,IF(J75="최종",IF(I75="",5,IF(I75&lt;=20,3,IF(I75&lt;=35,4,IF(I75&lt;=50,6,7)))),IF(Q75="드묾",4,2))))))</x:f>
        <x:v>4</x:v>
      </x:c>
      <x:c r="Z75" s="5" t="inlineStr">
        <x:is>
          <x:t xml:space="preserve">#cobblemon:is_jungle</x:t>
        </x:is>
      </x:c>
      <x:c r="AA75" s="5" t="inlineStr">
        <x:is>
          <x:t xml:space="preserve">common</x:t>
        </x:is>
      </x:c>
      <x:c r="AB75" s="5" t="inlineStr">
        <x:is>
          <x:t xml:space="preserve">예</x:t>
        </x:is>
      </x:c>
      <x:c r="AC75" s="8" t="str">
        <x:f>IF(T75&lt;&gt;"","수동확정",IF(X75="검토필요","검토필요",IF(S75="","원본없음","초기완료")))</x:f>
        <x:v>검토필요</x:v>
      </x:c>
      <x:c r="AD75" s="7" t="inlineStr">
        <x:is>
          <x:t xml:space="preserve"/>
        </x:is>
      </x:c>
      <x:c r="AE75" s="5" t="inlineStr">
        <x:is>
          <x:t xml:space="preserve">.tmp/cobblemon-1.7.3-source/common/src/main/resources/data/cobblemon/species/generation1/victreebel.json</x:t>
        </x:is>
      </x:c>
      <x:c r="AF75" s="5" t="str">
        <x:f>"생활권|"&amp;K75</x:f>
        <x:v>생활권|육상</x:v>
      </x:c>
      <x:c r="AG75" s="5" t="str">
        <x:f>"지형|"&amp;L75</x:f>
        <x:v>지형|수목</x:v>
      </x:c>
      <x:c r="AH75" s="5" t="str">
        <x:f>"온도|"&amp;M75</x:f>
        <x:v>온도|온대</x:v>
      </x:c>
      <x:c r="AI75" s="5" t="str">
        <x:f>"습도|"&amp;N75</x:f>
        <x:v>습도|다습</x:v>
      </x:c>
      <x:c r="AJ75" s="5" t="str">
        <x:f>"날씨|"&amp;O75</x:f>
        <x:v>날씨|무관</x:v>
      </x:c>
      <x:c r="AK75" s="5" t="str">
        <x:f>"특수태그|"&amp;R75</x:f>
        <x:v>특수태그|없음</x:v>
      </x:c>
      <x:c r="AL75" s="5" t="str">
        <x:f>"원본서식지|"&amp;S75</x:f>
        <x:v>원본서식지|숲</x:v>
      </x:c>
      <x:c r="AM75" s="5" t="str">
        <x:f>"타입|"&amp;F75</x:f>
        <x:v>타입|풀</x:v>
      </x:c>
      <x:c r="AN75" s="5" t="str">
        <x:f>"타입|"&amp;G75</x:f>
        <x:v>타입|독</x:v>
      </x:c>
    </x:row>
    <x:row r="76" ht="24" customHeight="1">
      <x:c r="A76" s="5" t="n">
        <x:v>72</x:v>
      </x:c>
      <x:c r="B76" s="5" t="inlineStr">
        <x:is>
          <x:t xml:space="preserve">왕눈해</x:t>
        </x:is>
      </x:c>
      <x:c r="C76" s="5" t="inlineStr">
        <x:is>
          <x:t xml:space="preserve">tentacool</x:t>
        </x:is>
      </x:c>
      <x:c r="D76" s="5" t="inlineStr">
        <x:is>
          <x:t xml:space="preserve">Tentacool</x:t>
        </x:is>
      </x:c>
      <x:c r="E76" s="5" t="n">
        <x:v>1</x:v>
      </x:c>
      <x:c r="F76" s="5" t="inlineStr">
        <x:is>
          <x:t xml:space="preserve">물</x:t>
        </x:is>
      </x:c>
      <x:c r="G76" s="5" t="inlineStr">
        <x:is>
          <x:t xml:space="preserve">독</x:t>
        </x:is>
      </x:c>
      <x:c r="H76" s="6" t="n">
        <x:v>45.5</x:v>
      </x:c>
      <x:c r="I76" s="5" t="n">
        <x:v>30</x:v>
      </x:c>
      <x:c r="J76" s="5" t="inlineStr">
        <x:is>
          <x:t xml:space="preserve">기본</x:t>
        </x:is>
      </x:c>
      <x:c r="K76" s="7" t="inlineStr">
        <x:is>
          <x:t xml:space="preserve">해양</x:t>
        </x:is>
      </x:c>
      <x:c r="L76" s="7" t="inlineStr">
        <x:is>
          <x:t xml:space="preserve">해안·해양</x:t>
        </x:is>
      </x:c>
      <x:c r="M76" s="7" t="inlineStr">
        <x:is>
          <x:t xml:space="preserve">서늘</x:t>
        </x:is>
      </x:c>
      <x:c r="N76" s="7" t="inlineStr">
        <x:is>
          <x:t xml:space="preserve">수중</x:t>
        </x:is>
      </x:c>
      <x:c r="O76" s="7" t="inlineStr">
        <x:is>
          <x:t xml:space="preserve">비</x:t>
        </x:is>
      </x:c>
      <x:c r="P76" s="7" t="inlineStr">
        <x:is>
          <x:t xml:space="preserve">무관</x:t>
        </x:is>
      </x:c>
      <x:c r="Q76" s="7" t="inlineStr">
        <x:is>
          <x:t xml:space="preserve">흔함</x:t>
        </x:is>
      </x:c>
      <x:c r="R76" s="7" t="inlineStr">
        <x:is>
          <x:t xml:space="preserve">없음</x:t>
        </x:is>
      </x:c>
      <x:c r="S76" s="7" t="inlineStr">
        <x:is>
          <x:t xml:space="preserve">해양</x:t>
        </x:is>
      </x:c>
      <x:c r="T76" s="7" t="inlineStr">
        <x:is>
          <x:t xml:space="preserve"/>
        </x:is>
      </x:c>
      <x:c r="U76" s="8" t="str">
        <x:f>INDEX('서식지_점수'!$E$4:$P$4,1,MATCH(MAX('서식지_점수'!E76:P76),'서식지_점수'!E76:P76,0))</x:f>
        <x:v>해양</x:v>
      </x:c>
      <x:c r="V76" s="8" t="str">
        <x:f>IF(T76&lt;&gt;"",T76,U76)</x:f>
        <x:v>해양</x:v>
      </x:c>
      <x:c r="W76" s="8" t="str">
        <x:f>IFERROR(INDEX('서식지_점수'!$E$4:$P$4,1,MATCH(MAXIFS('서식지_점수'!E76:P76,'서식지_점수'!E76:P76,"&lt;"&amp;MAX('서식지_점수'!E76:P76)),'서식지_점수'!E76:P76,0)),"")</x:f>
        <x:v>습지</x:v>
      </x:c>
      <x:c r="X76" s="8" t="str">
        <x:f>IF(T76&lt;&gt;"","수동확정",IF(MAX('서식지_점수'!E76:P76)-LARGE('서식지_점수'!E76:P76,2)&gt;=15,"높음",IF(MAX('서식지_점수'!E76:P76)-LARGE('서식지_점수'!E76:P76,2)&gt;=8,"보통","검토필요")))</x:f>
        <x:v>높음</x:v>
      </x:c>
      <x:c r="Y76" s="9" t="n">
        <x:f>IF(Q76="전설",8,IF(Q76="희귀",7,IF(J76="기본",1,IF(J76="중간",3,IF(J76="최종",IF(I76="",5,IF(I76&lt;=20,3,IF(I76&lt;=35,4,IF(I76&lt;=50,6,7)))),IF(Q76="드묾",4,2))))))</x:f>
        <x:v>1</x:v>
      </x:c>
      <x:c r="Z76" s="5" t="inlineStr">
        <x:is>
          <x:t xml:space="preserve">#cobblemon:is_ocean; #cobblemon:is_overworld; minecraft:cold_ocean</x:t>
        </x:is>
      </x:c>
      <x:c r="AA76" s="5" t="inlineStr">
        <x:is>
          <x:t xml:space="preserve">common</x:t>
        </x:is>
      </x:c>
      <x:c r="AB76" s="5" t="inlineStr">
        <x:is>
          <x:t xml:space="preserve">예</x:t>
        </x:is>
      </x:c>
      <x:c r="AC76" s="8" t="str">
        <x:f>IF(T76&lt;&gt;"","수동확정",IF(X76="검토필요","검토필요",IF(S76="","원본없음","초기완료")))</x:f>
        <x:v>초기완료</x:v>
      </x:c>
      <x:c r="AD76" s="7" t="inlineStr">
        <x:is>
          <x:t xml:space="preserve"/>
        </x:is>
      </x:c>
      <x:c r="AE76" s="5" t="inlineStr">
        <x:is>
          <x:t xml:space="preserve">.tmp/cobblemon-1.7.3-source/common/src/main/resources/data/cobblemon/species/generation1/tentacool.json</x:t>
        </x:is>
      </x:c>
      <x:c r="AF76" s="5" t="str">
        <x:f>"생활권|"&amp;K76</x:f>
        <x:v>생활권|해양</x:v>
      </x:c>
      <x:c r="AG76" s="5" t="str">
        <x:f>"지형|"&amp;L76</x:f>
        <x:v>지형|해안·해양</x:v>
      </x:c>
      <x:c r="AH76" s="5" t="str">
        <x:f>"온도|"&amp;M76</x:f>
        <x:v>온도|서늘</x:v>
      </x:c>
      <x:c r="AI76" s="5" t="str">
        <x:f>"습도|"&amp;N76</x:f>
        <x:v>습도|수중</x:v>
      </x:c>
      <x:c r="AJ76" s="5" t="str">
        <x:f>"날씨|"&amp;O76</x:f>
        <x:v>날씨|비</x:v>
      </x:c>
      <x:c r="AK76" s="5" t="str">
        <x:f>"특수태그|"&amp;R76</x:f>
        <x:v>특수태그|없음</x:v>
      </x:c>
      <x:c r="AL76" s="5" t="str">
        <x:f>"원본서식지|"&amp;S76</x:f>
        <x:v>원본서식지|해양</x:v>
      </x:c>
      <x:c r="AM76" s="5" t="str">
        <x:f>"타입|"&amp;F76</x:f>
        <x:v>타입|물</x:v>
      </x:c>
      <x:c r="AN76" s="5" t="str">
        <x:f>"타입|"&amp;G76</x:f>
        <x:v>타입|독</x:v>
      </x:c>
    </x:row>
    <x:row r="77" ht="24" customHeight="1">
      <x:c r="A77" s="5" t="n">
        <x:v>73</x:v>
      </x:c>
      <x:c r="B77" s="5" t="inlineStr">
        <x:is>
          <x:t xml:space="preserve">독파리</x:t>
        </x:is>
      </x:c>
      <x:c r="C77" s="5" t="inlineStr">
        <x:is>
          <x:t xml:space="preserve">tentacruel</x:t>
        </x:is>
      </x:c>
      <x:c r="D77" s="5" t="inlineStr">
        <x:is>
          <x:t xml:space="preserve">Tentacruel</x:t>
        </x:is>
      </x:c>
      <x:c r="E77" s="5" t="n">
        <x:v>1</x:v>
      </x:c>
      <x:c r="F77" s="5" t="inlineStr">
        <x:is>
          <x:t xml:space="preserve">물</x:t>
        </x:is>
      </x:c>
      <x:c r="G77" s="5" t="inlineStr">
        <x:is>
          <x:t xml:space="preserve">독</x:t>
        </x:is>
      </x:c>
      <x:c r="H77" s="6" t="n">
        <x:v>55</x:v>
      </x:c>
      <x:c r="I77" s="5" t="n">
        <x:v>30</x:v>
      </x:c>
      <x:c r="J77" s="5" t="inlineStr">
        <x:is>
          <x:t xml:space="preserve">최종</x:t>
        </x:is>
      </x:c>
      <x:c r="K77" s="7" t="inlineStr">
        <x:is>
          <x:t xml:space="preserve">해양</x:t>
        </x:is>
      </x:c>
      <x:c r="L77" s="7" t="inlineStr">
        <x:is>
          <x:t xml:space="preserve">해안·해양</x:t>
        </x:is>
      </x:c>
      <x:c r="M77" s="7" t="inlineStr">
        <x:is>
          <x:t xml:space="preserve">온대</x:t>
        </x:is>
      </x:c>
      <x:c r="N77" s="7" t="inlineStr">
        <x:is>
          <x:t xml:space="preserve">수중</x:t>
        </x:is>
      </x:c>
      <x:c r="O77" s="7" t="inlineStr">
        <x:is>
          <x:t xml:space="preserve">비</x:t>
        </x:is>
      </x:c>
      <x:c r="P77" s="7" t="inlineStr">
        <x:is>
          <x:t xml:space="preserve">무관</x:t>
        </x:is>
      </x:c>
      <x:c r="Q77" s="7" t="inlineStr">
        <x:is>
          <x:t xml:space="preserve">흔함</x:t>
        </x:is>
      </x:c>
      <x:c r="R77" s="7" t="inlineStr">
        <x:is>
          <x:t xml:space="preserve">없음</x:t>
        </x:is>
      </x:c>
      <x:c r="S77" s="7" t="inlineStr">
        <x:is>
          <x:t xml:space="preserve">해양</x:t>
        </x:is>
      </x:c>
      <x:c r="T77" s="7" t="inlineStr">
        <x:is>
          <x:t xml:space="preserve"/>
        </x:is>
      </x:c>
      <x:c r="U77" s="8" t="str">
        <x:f>INDEX('서식지_점수'!$E$4:$P$4,1,MATCH(MAX('서식지_점수'!E77:P77),'서식지_점수'!E77:P77,0))</x:f>
        <x:v>해양</x:v>
      </x:c>
      <x:c r="V77" s="8" t="str">
        <x:f>IF(T77&lt;&gt;"",T77,U77)</x:f>
        <x:v>해양</x:v>
      </x:c>
      <x:c r="W77" s="8" t="str">
        <x:f>IFERROR(INDEX('서식지_점수'!$E$4:$P$4,1,MATCH(MAXIFS('서식지_점수'!E77:P77,'서식지_점수'!E77:P77,"&lt;"&amp;MAX('서식지_점수'!E77:P77)),'서식지_점수'!E77:P77,0)),"")</x:f>
        <x:v>습지</x:v>
      </x:c>
      <x:c r="X77" s="8" t="str">
        <x:f>IF(T77&lt;&gt;"","수동확정",IF(MAX('서식지_점수'!E77:P77)-LARGE('서식지_점수'!E77:P77,2)&gt;=15,"높음",IF(MAX('서식지_점수'!E77:P77)-LARGE('서식지_점수'!E77:P77,2)&gt;=8,"보통","검토필요")))</x:f>
        <x:v>높음</x:v>
      </x:c>
      <x:c r="Y77" s="9" t="n">
        <x:f>IF(Q77="전설",8,IF(Q77="희귀",7,IF(J77="기본",1,IF(J77="중간",3,IF(J77="최종",IF(I77="",5,IF(I77&lt;=20,3,IF(I77&lt;=35,4,IF(I77&lt;=50,6,7)))),IF(Q77="드묾",4,2))))))</x:f>
        <x:v>4</x:v>
      </x:c>
      <x:c r="Z77" s="5" t="inlineStr">
        <x:is>
          <x:t xml:space="preserve">#cobblemon:is_ocean; #cobblemon:is_overworld</x:t>
        </x:is>
      </x:c>
      <x:c r="AA77" s="5" t="inlineStr">
        <x:is>
          <x:t xml:space="preserve">common</x:t>
        </x:is>
      </x:c>
      <x:c r="AB77" s="5" t="inlineStr">
        <x:is>
          <x:t xml:space="preserve">예</x:t>
        </x:is>
      </x:c>
      <x:c r="AC77" s="8" t="str">
        <x:f>IF(T77&lt;&gt;"","수동확정",IF(X77="검토필요","검토필요",IF(S77="","원본없음","초기완료")))</x:f>
        <x:v>초기완료</x:v>
      </x:c>
      <x:c r="AD77" s="7" t="inlineStr">
        <x:is>
          <x:t xml:space="preserve"/>
        </x:is>
      </x:c>
      <x:c r="AE77" s="5" t="inlineStr">
        <x:is>
          <x:t xml:space="preserve">.tmp/cobblemon-1.7.3-source/common/src/main/resources/data/cobblemon/species/generation1/tentacruel.json</x:t>
        </x:is>
      </x:c>
      <x:c r="AF77" s="5" t="str">
        <x:f>"생활권|"&amp;K77</x:f>
        <x:v>생활권|해양</x:v>
      </x:c>
      <x:c r="AG77" s="5" t="str">
        <x:f>"지형|"&amp;L77</x:f>
        <x:v>지형|해안·해양</x:v>
      </x:c>
      <x:c r="AH77" s="5" t="str">
        <x:f>"온도|"&amp;M77</x:f>
        <x:v>온도|온대</x:v>
      </x:c>
      <x:c r="AI77" s="5" t="str">
        <x:f>"습도|"&amp;N77</x:f>
        <x:v>습도|수중</x:v>
      </x:c>
      <x:c r="AJ77" s="5" t="str">
        <x:f>"날씨|"&amp;O77</x:f>
        <x:v>날씨|비</x:v>
      </x:c>
      <x:c r="AK77" s="5" t="str">
        <x:f>"특수태그|"&amp;R77</x:f>
        <x:v>특수태그|없음</x:v>
      </x:c>
      <x:c r="AL77" s="5" t="str">
        <x:f>"원본서식지|"&amp;S77</x:f>
        <x:v>원본서식지|해양</x:v>
      </x:c>
      <x:c r="AM77" s="5" t="str">
        <x:f>"타입|"&amp;F77</x:f>
        <x:v>타입|물</x:v>
      </x:c>
      <x:c r="AN77" s="5" t="str">
        <x:f>"타입|"&amp;G77</x:f>
        <x:v>타입|독</x:v>
      </x:c>
    </x:row>
    <x:row r="78" ht="24" customHeight="1">
      <x:c r="A78" s="5" t="n">
        <x:v>74</x:v>
      </x:c>
      <x:c r="B78" s="5" t="inlineStr">
        <x:is>
          <x:t xml:space="preserve">꼬마돌</x:t>
        </x:is>
      </x:c>
      <x:c r="C78" s="5" t="inlineStr">
        <x:is>
          <x:t xml:space="preserve">geodude</x:t>
        </x:is>
      </x:c>
      <x:c r="D78" s="5" t="inlineStr">
        <x:is>
          <x:t xml:space="preserve">Geodude</x:t>
        </x:is>
      </x:c>
      <x:c r="E78" s="5" t="n">
        <x:v>1</x:v>
      </x:c>
      <x:c r="F78" s="5" t="inlineStr">
        <x:is>
          <x:t xml:space="preserve">바위</x:t>
        </x:is>
      </x:c>
      <x:c r="G78" s="5" t="inlineStr">
        <x:is>
          <x:t xml:space="preserve">땅</x:t>
        </x:is>
      </x:c>
      <x:c r="H78" s="6" t="n">
        <x:v>20</x:v>
      </x:c>
      <x:c r="I78" s="5" t="n">
        <x:v>25</x:v>
      </x:c>
      <x:c r="J78" s="5" t="inlineStr">
        <x:is>
          <x:t xml:space="preserve">기본</x:t>
        </x:is>
      </x:c>
      <x:c r="K78" s="7" t="inlineStr">
        <x:is>
          <x:t xml:space="preserve">육상</x:t>
        </x:is>
      </x:c>
      <x:c r="L78" s="7" t="inlineStr">
        <x:is>
          <x:t xml:space="preserve">암석</x:t>
        </x:is>
      </x:c>
      <x:c r="M78" s="7" t="inlineStr">
        <x:is>
          <x:t xml:space="preserve">온대</x:t>
        </x:is>
      </x:c>
      <x:c r="N78" s="7" t="inlineStr">
        <x:is>
          <x:t xml:space="preserve">보통</x:t>
        </x:is>
      </x:c>
      <x:c r="O78" s="7" t="inlineStr">
        <x:is>
          <x:t xml:space="preserve">무관</x:t>
        </x:is>
      </x:c>
      <x:c r="P78" s="7" t="inlineStr">
        <x:is>
          <x:t xml:space="preserve">무관</x:t>
        </x:is>
      </x:c>
      <x:c r="Q78" s="7" t="inlineStr">
        <x:is>
          <x:t xml:space="preserve">흔함</x:t>
        </x:is>
      </x:c>
      <x:c r="R78" s="7" t="inlineStr">
        <x:is>
          <x:t xml:space="preserve">없음</x:t>
        </x:is>
      </x:c>
      <x:c r="S78" s="7" t="inlineStr">
        <x:is>
          <x:t xml:space="preserve">산악</x:t>
        </x:is>
      </x:c>
      <x:c r="T78" s="7" t="inlineStr">
        <x:is>
          <x:t xml:space="preserve"/>
        </x:is>
      </x:c>
      <x:c r="U78" s="8" t="str">
        <x:f>INDEX('서식지_점수'!$E$4:$P$4,1,MATCH(MAX('서식지_점수'!E78:P78),'서식지_점수'!E78:P78,0))</x:f>
        <x:v>평원</x:v>
      </x:c>
      <x:c r="V78" s="8" t="str">
        <x:f>IF(T78&lt;&gt;"",T78,U78)</x:f>
        <x:v>평원</x:v>
      </x:c>
      <x:c r="W78" s="8" t="str">
        <x:f>IFERROR(INDEX('서식지_점수'!$E$4:$P$4,1,MATCH(MAXIFS('서식지_점수'!E78:P78,'서식지_점수'!E78:P78,"&lt;"&amp;MAX('서식지_점수'!E78:P78)),'서식지_점수'!E78:P78,0)),"")</x:f>
        <x:v>숲</x:v>
      </x:c>
      <x:c r="X78" s="8" t="str">
        <x:f>IF(T78&lt;&gt;"","수동확정",IF(MAX('서식지_점수'!E78:P78)-LARGE('서식지_점수'!E78:P78,2)&gt;=15,"높음",IF(MAX('서식지_점수'!E78:P78)-LARGE('서식지_점수'!E78:P78,2)&gt;=8,"보통","검토필요")))</x:f>
        <x:v>검토필요</x:v>
      </x:c>
      <x:c r="Y78" s="9" t="n">
        <x:f>IF(Q78="전설",8,IF(Q78="희귀",7,IF(J78="기본",1,IF(J78="중간",3,IF(J78="최종",IF(I78="",5,IF(I78&lt;=20,3,IF(I78&lt;=35,4,IF(I78&lt;=50,6,7)))),IF(Q78="드묾",4,2))))))</x:f>
        <x:v>1</x:v>
      </x:c>
      <x:c r="Z78" s="5" t="inlineStr">
        <x:is>
          <x:t xml:space="preserve">#cobblemon:is_mountain; #cobblemon:is_overworld</x:t>
        </x:is>
      </x:c>
      <x:c r="AA78" s="5" t="inlineStr">
        <x:is>
          <x:t xml:space="preserve">common</x:t>
        </x:is>
      </x:c>
      <x:c r="AB78" s="5" t="inlineStr">
        <x:is>
          <x:t xml:space="preserve">예</x:t>
        </x:is>
      </x:c>
      <x:c r="AC78" s="8" t="str">
        <x:f>IF(T78&lt;&gt;"","수동확정",IF(X78="검토필요","검토필요",IF(S78="","원본없음","초기완료")))</x:f>
        <x:v>검토필요</x:v>
      </x:c>
      <x:c r="AD78" s="7" t="inlineStr">
        <x:is>
          <x:t xml:space="preserve"/>
        </x:is>
      </x:c>
      <x:c r="AE78" s="5" t="inlineStr">
        <x:is>
          <x:t xml:space="preserve">.tmp/cobblemon-1.7.3-source/common/src/main/resources/data/cobblemon/species/generation1/geodude.json</x:t>
        </x:is>
      </x:c>
      <x:c r="AF78" s="5" t="str">
        <x:f>"생활권|"&amp;K78</x:f>
        <x:v>생활권|육상</x:v>
      </x:c>
      <x:c r="AG78" s="5" t="str">
        <x:f>"지형|"&amp;L78</x:f>
        <x:v>지형|암석</x:v>
      </x:c>
      <x:c r="AH78" s="5" t="str">
        <x:f>"온도|"&amp;M78</x:f>
        <x:v>온도|온대</x:v>
      </x:c>
      <x:c r="AI78" s="5" t="str">
        <x:f>"습도|"&amp;N78</x:f>
        <x:v>습도|보통</x:v>
      </x:c>
      <x:c r="AJ78" s="5" t="str">
        <x:f>"날씨|"&amp;O78</x:f>
        <x:v>날씨|무관</x:v>
      </x:c>
      <x:c r="AK78" s="5" t="str">
        <x:f>"특수태그|"&amp;R78</x:f>
        <x:v>특수태그|없음</x:v>
      </x:c>
      <x:c r="AL78" s="5" t="str">
        <x:f>"원본서식지|"&amp;S78</x:f>
        <x:v>원본서식지|산악</x:v>
      </x:c>
      <x:c r="AM78" s="5" t="str">
        <x:f>"타입|"&amp;F78</x:f>
        <x:v>타입|바위</x:v>
      </x:c>
      <x:c r="AN78" s="5" t="str">
        <x:f>"타입|"&amp;G78</x:f>
        <x:v>타입|땅</x:v>
      </x:c>
    </x:row>
    <x:row r="79" ht="24" customHeight="1">
      <x:c r="A79" s="5" t="n">
        <x:v>75</x:v>
      </x:c>
      <x:c r="B79" s="5" t="inlineStr">
        <x:is>
          <x:t xml:space="preserve">데구리</x:t>
        </x:is>
      </x:c>
      <x:c r="C79" s="5" t="inlineStr">
        <x:is>
          <x:t xml:space="preserve">graveler</x:t>
        </x:is>
      </x:c>
      <x:c r="D79" s="5" t="inlineStr">
        <x:is>
          <x:t xml:space="preserve">Graveler</x:t>
        </x:is>
      </x:c>
      <x:c r="E79" s="5" t="n">
        <x:v>1</x:v>
      </x:c>
      <x:c r="F79" s="5" t="inlineStr">
        <x:is>
          <x:t xml:space="preserve">바위</x:t>
        </x:is>
      </x:c>
      <x:c r="G79" s="5" t="inlineStr">
        <x:is>
          <x:t xml:space="preserve">땅</x:t>
        </x:is>
      </x:c>
      <x:c r="H79" s="6" t="n">
        <x:v>105</x:v>
      </x:c>
      <x:c r="I79" s="5" t="n">
        <x:v>25</x:v>
      </x:c>
      <x:c r="J79" s="5" t="inlineStr">
        <x:is>
          <x:t xml:space="preserve">중간</x:t>
        </x:is>
      </x:c>
      <x:c r="K79" s="7" t="inlineStr">
        <x:is>
          <x:t xml:space="preserve">육상</x:t>
        </x:is>
      </x:c>
      <x:c r="L79" s="7" t="inlineStr">
        <x:is>
          <x:t xml:space="preserve">암석</x:t>
        </x:is>
      </x:c>
      <x:c r="M79" s="7" t="inlineStr">
        <x:is>
          <x:t xml:space="preserve">온대</x:t>
        </x:is>
      </x:c>
      <x:c r="N79" s="7" t="inlineStr">
        <x:is>
          <x:t xml:space="preserve">보통</x:t>
        </x:is>
      </x:c>
      <x:c r="O79" s="7" t="inlineStr">
        <x:is>
          <x:t xml:space="preserve">무관</x:t>
        </x:is>
      </x:c>
      <x:c r="P79" s="7" t="inlineStr">
        <x:is>
          <x:t xml:space="preserve">무관</x:t>
        </x:is>
      </x:c>
      <x:c r="Q79" s="7" t="inlineStr">
        <x:is>
          <x:t xml:space="preserve">흔함</x:t>
        </x:is>
      </x:c>
      <x:c r="R79" s="7" t="inlineStr">
        <x:is>
          <x:t xml:space="preserve">없음</x:t>
        </x:is>
      </x:c>
      <x:c r="S79" s="7" t="inlineStr">
        <x:is>
          <x:t xml:space="preserve">산악</x:t>
        </x:is>
      </x:c>
      <x:c r="T79" s="7" t="inlineStr">
        <x:is>
          <x:t xml:space="preserve"/>
        </x:is>
      </x:c>
      <x:c r="U79" s="8" t="str">
        <x:f>INDEX('서식지_점수'!$E$4:$P$4,1,MATCH(MAX('서식지_점수'!E79:P79),'서식지_점수'!E79:P79,0))</x:f>
        <x:v>평원</x:v>
      </x:c>
      <x:c r="V79" s="8" t="str">
        <x:f>IF(T79&lt;&gt;"",T79,U79)</x:f>
        <x:v>평원</x:v>
      </x:c>
      <x:c r="W79" s="8" t="str">
        <x:f>IFERROR(INDEX('서식지_점수'!$E$4:$P$4,1,MATCH(MAXIFS('서식지_점수'!E79:P79,'서식지_점수'!E79:P79,"&lt;"&amp;MAX('서식지_점수'!E79:P79)),'서식지_점수'!E79:P79,0)),"")</x:f>
        <x:v>숲</x:v>
      </x:c>
      <x:c r="X79" s="8" t="str">
        <x:f>IF(T79&lt;&gt;"","수동확정",IF(MAX('서식지_점수'!E79:P79)-LARGE('서식지_점수'!E79:P79,2)&gt;=15,"높음",IF(MAX('서식지_점수'!E79:P79)-LARGE('서식지_점수'!E79:P79,2)&gt;=8,"보통","검토필요")))</x:f>
        <x:v>검토필요</x:v>
      </x:c>
      <x:c r="Y79" s="9" t="n">
        <x:f>IF(Q79="전설",8,IF(Q79="희귀",7,IF(J79="기본",1,IF(J79="중간",3,IF(J79="최종",IF(I79="",5,IF(I79&lt;=20,3,IF(I79&lt;=35,4,IF(I79&lt;=50,6,7)))),IF(Q79="드묾",4,2))))))</x:f>
        <x:v>3</x:v>
      </x:c>
      <x:c r="Z79" s="5" t="inlineStr">
        <x:is>
          <x:t xml:space="preserve">#cobblemon:is_mountain; #cobblemon:is_overworld</x:t>
        </x:is>
      </x:c>
      <x:c r="AA79" s="5" t="inlineStr">
        <x:is>
          <x:t xml:space="preserve">common</x:t>
        </x:is>
      </x:c>
      <x:c r="AB79" s="5" t="inlineStr">
        <x:is>
          <x:t xml:space="preserve">예</x:t>
        </x:is>
      </x:c>
      <x:c r="AC79" s="8" t="str">
        <x:f>IF(T79&lt;&gt;"","수동확정",IF(X79="검토필요","검토필요",IF(S79="","원본없음","초기완료")))</x:f>
        <x:v>검토필요</x:v>
      </x:c>
      <x:c r="AD79" s="7" t="inlineStr">
        <x:is>
          <x:t xml:space="preserve"/>
        </x:is>
      </x:c>
      <x:c r="AE79" s="5" t="inlineStr">
        <x:is>
          <x:t xml:space="preserve">.tmp/cobblemon-1.7.3-source/common/src/main/resources/data/cobblemon/species/generation1/graveler.json</x:t>
        </x:is>
      </x:c>
      <x:c r="AF79" s="5" t="str">
        <x:f>"생활권|"&amp;K79</x:f>
        <x:v>생활권|육상</x:v>
      </x:c>
      <x:c r="AG79" s="5" t="str">
        <x:f>"지형|"&amp;L79</x:f>
        <x:v>지형|암석</x:v>
      </x:c>
      <x:c r="AH79" s="5" t="str">
        <x:f>"온도|"&amp;M79</x:f>
        <x:v>온도|온대</x:v>
      </x:c>
      <x:c r="AI79" s="5" t="str">
        <x:f>"습도|"&amp;N79</x:f>
        <x:v>습도|보통</x:v>
      </x:c>
      <x:c r="AJ79" s="5" t="str">
        <x:f>"날씨|"&amp;O79</x:f>
        <x:v>날씨|무관</x:v>
      </x:c>
      <x:c r="AK79" s="5" t="str">
        <x:f>"특수태그|"&amp;R79</x:f>
        <x:v>특수태그|없음</x:v>
      </x:c>
      <x:c r="AL79" s="5" t="str">
        <x:f>"원본서식지|"&amp;S79</x:f>
        <x:v>원본서식지|산악</x:v>
      </x:c>
      <x:c r="AM79" s="5" t="str">
        <x:f>"타입|"&amp;F79</x:f>
        <x:v>타입|바위</x:v>
      </x:c>
      <x:c r="AN79" s="5" t="str">
        <x:f>"타입|"&amp;G79</x:f>
        <x:v>타입|땅</x:v>
      </x:c>
    </x:row>
    <x:row r="80" ht="24" customHeight="1">
      <x:c r="A80" s="5" t="n">
        <x:v>76</x:v>
      </x:c>
      <x:c r="B80" s="5" t="inlineStr">
        <x:is>
          <x:t xml:space="preserve">딱구리</x:t>
        </x:is>
      </x:c>
      <x:c r="C80" s="5" t="inlineStr">
        <x:is>
          <x:t xml:space="preserve">golem</x:t>
        </x:is>
      </x:c>
      <x:c r="D80" s="5" t="inlineStr">
        <x:is>
          <x:t xml:space="preserve">Golem</x:t>
        </x:is>
      </x:c>
      <x:c r="E80" s="5" t="n">
        <x:v>1</x:v>
      </x:c>
      <x:c r="F80" s="5" t="inlineStr">
        <x:is>
          <x:t xml:space="preserve">바위</x:t>
        </x:is>
      </x:c>
      <x:c r="G80" s="5" t="inlineStr">
        <x:is>
          <x:t xml:space="preserve">땅</x:t>
        </x:is>
      </x:c>
      <x:c r="H80" s="6" t="n">
        <x:v>300</x:v>
      </x:c>
      <x:c r="I80" s="5" t="n">
        <x:v>25</x:v>
      </x:c>
      <x:c r="J80" s="5" t="inlineStr">
        <x:is>
          <x:t xml:space="preserve">최종</x:t>
        </x:is>
      </x:c>
      <x:c r="K80" s="7" t="inlineStr">
        <x:is>
          <x:t xml:space="preserve">육상</x:t>
        </x:is>
      </x:c>
      <x:c r="L80" s="7" t="inlineStr">
        <x:is>
          <x:t xml:space="preserve">암석</x:t>
        </x:is>
      </x:c>
      <x:c r="M80" s="7" t="inlineStr">
        <x:is>
          <x:t xml:space="preserve">온대</x:t>
        </x:is>
      </x:c>
      <x:c r="N80" s="7" t="inlineStr">
        <x:is>
          <x:t xml:space="preserve">보통</x:t>
        </x:is>
      </x:c>
      <x:c r="O80" s="7" t="inlineStr">
        <x:is>
          <x:t xml:space="preserve">무관</x:t>
        </x:is>
      </x:c>
      <x:c r="P80" s="7" t="inlineStr">
        <x:is>
          <x:t xml:space="preserve">무관</x:t>
        </x:is>
      </x:c>
      <x:c r="Q80" s="7" t="inlineStr">
        <x:is>
          <x:t xml:space="preserve">흔함</x:t>
        </x:is>
      </x:c>
      <x:c r="R80" s="7" t="inlineStr">
        <x:is>
          <x:t xml:space="preserve">없음</x:t>
        </x:is>
      </x:c>
      <x:c r="S80" s="7" t="inlineStr">
        <x:is>
          <x:t xml:space="preserve">산악</x:t>
        </x:is>
      </x:c>
      <x:c r="T80" s="7" t="inlineStr">
        <x:is>
          <x:t xml:space="preserve"/>
        </x:is>
      </x:c>
      <x:c r="U80" s="8" t="str">
        <x:f>INDEX('서식지_점수'!$E$4:$P$4,1,MATCH(MAX('서식지_점수'!E80:P80),'서식지_점수'!E80:P80,0))</x:f>
        <x:v>평원</x:v>
      </x:c>
      <x:c r="V80" s="8" t="str">
        <x:f>IF(T80&lt;&gt;"",T80,U80)</x:f>
        <x:v>평원</x:v>
      </x:c>
      <x:c r="W80" s="8" t="str">
        <x:f>IFERROR(INDEX('서식지_점수'!$E$4:$P$4,1,MATCH(MAXIFS('서식지_점수'!E80:P80,'서식지_점수'!E80:P80,"&lt;"&amp;MAX('서식지_점수'!E80:P80)),'서식지_점수'!E80:P80,0)),"")</x:f>
        <x:v>숲</x:v>
      </x:c>
      <x:c r="X80" s="8" t="str">
        <x:f>IF(T80&lt;&gt;"","수동확정",IF(MAX('서식지_점수'!E80:P80)-LARGE('서식지_점수'!E80:P80,2)&gt;=15,"높음",IF(MAX('서식지_점수'!E80:P80)-LARGE('서식지_점수'!E80:P80,2)&gt;=8,"보통","검토필요")))</x:f>
        <x:v>검토필요</x:v>
      </x:c>
      <x:c r="Y80" s="9" t="n">
        <x:f>IF(Q80="전설",8,IF(Q80="희귀",7,IF(J80="기본",1,IF(J80="중간",3,IF(J80="최종",IF(I80="",5,IF(I80&lt;=20,3,IF(I80&lt;=35,4,IF(I80&lt;=50,6,7)))),IF(Q80="드묾",4,2))))))</x:f>
        <x:v>4</x:v>
      </x:c>
      <x:c r="Z80" s="5" t="inlineStr">
        <x:is>
          <x:t xml:space="preserve">#cobblemon:is_mountain; #cobblemon:is_overworld</x:t>
        </x:is>
      </x:c>
      <x:c r="AA80" s="5" t="inlineStr">
        <x:is>
          <x:t xml:space="preserve">common</x:t>
        </x:is>
      </x:c>
      <x:c r="AB80" s="5" t="inlineStr">
        <x:is>
          <x:t xml:space="preserve">예</x:t>
        </x:is>
      </x:c>
      <x:c r="AC80" s="8" t="str">
        <x:f>IF(T80&lt;&gt;"","수동확정",IF(X80="검토필요","검토필요",IF(S80="","원본없음","초기완료")))</x:f>
        <x:v>검토필요</x:v>
      </x:c>
      <x:c r="AD80" s="7" t="inlineStr">
        <x:is>
          <x:t xml:space="preserve"/>
        </x:is>
      </x:c>
      <x:c r="AE80" s="5" t="inlineStr">
        <x:is>
          <x:t xml:space="preserve">.tmp/cobblemon-1.7.3-source/common/src/main/resources/data/cobblemon/species/generation1/golem.json</x:t>
        </x:is>
      </x:c>
      <x:c r="AF80" s="5" t="str">
        <x:f>"생활권|"&amp;K80</x:f>
        <x:v>생활권|육상</x:v>
      </x:c>
      <x:c r="AG80" s="5" t="str">
        <x:f>"지형|"&amp;L80</x:f>
        <x:v>지형|암석</x:v>
      </x:c>
      <x:c r="AH80" s="5" t="str">
        <x:f>"온도|"&amp;M80</x:f>
        <x:v>온도|온대</x:v>
      </x:c>
      <x:c r="AI80" s="5" t="str">
        <x:f>"습도|"&amp;N80</x:f>
        <x:v>습도|보통</x:v>
      </x:c>
      <x:c r="AJ80" s="5" t="str">
        <x:f>"날씨|"&amp;O80</x:f>
        <x:v>날씨|무관</x:v>
      </x:c>
      <x:c r="AK80" s="5" t="str">
        <x:f>"특수태그|"&amp;R80</x:f>
        <x:v>특수태그|없음</x:v>
      </x:c>
      <x:c r="AL80" s="5" t="str">
        <x:f>"원본서식지|"&amp;S80</x:f>
        <x:v>원본서식지|산악</x:v>
      </x:c>
      <x:c r="AM80" s="5" t="str">
        <x:f>"타입|"&amp;F80</x:f>
        <x:v>타입|바위</x:v>
      </x:c>
      <x:c r="AN80" s="5" t="str">
        <x:f>"타입|"&amp;G80</x:f>
        <x:v>타입|땅</x:v>
      </x:c>
    </x:row>
    <x:row r="81" ht="24" customHeight="1">
      <x:c r="A81" s="5" t="n">
        <x:v>77</x:v>
      </x:c>
      <x:c r="B81" s="5" t="inlineStr">
        <x:is>
          <x:t xml:space="preserve">포니타</x:t>
        </x:is>
      </x:c>
      <x:c r="C81" s="5" t="inlineStr">
        <x:is>
          <x:t xml:space="preserve">ponyta</x:t>
        </x:is>
      </x:c>
      <x:c r="D81" s="5" t="inlineStr">
        <x:is>
          <x:t xml:space="preserve">Ponyta</x:t>
        </x:is>
      </x:c>
      <x:c r="E81" s="5" t="n">
        <x:v>1</x:v>
      </x:c>
      <x:c r="F81" s="5" t="inlineStr">
        <x:is>
          <x:t xml:space="preserve">불꽃</x:t>
        </x:is>
      </x:c>
      <x:c r="G81" s="5" t="inlineStr">
        <x:is>
          <x:t xml:space="preserve"/>
        </x:is>
      </x:c>
      <x:c r="H81" s="6" t="n">
        <x:v>30</x:v>
      </x:c>
      <x:c r="I81" s="5" t="n">
        <x:v>40</x:v>
      </x:c>
      <x:c r="J81" s="5" t="inlineStr">
        <x:is>
          <x:t xml:space="preserve">기본</x:t>
        </x:is>
      </x:c>
      <x:c r="K81" s="7" t="inlineStr">
        <x:is>
          <x:t xml:space="preserve">육상</x:t>
        </x:is>
      </x:c>
      <x:c r="L81" s="7" t="inlineStr">
        <x:is>
          <x:t xml:space="preserve">화산</x:t>
        </x:is>
      </x:c>
      <x:c r="M81" s="7" t="inlineStr">
        <x:is>
          <x:t xml:space="preserve">고온</x:t>
        </x:is>
      </x:c>
      <x:c r="N81" s="7" t="inlineStr">
        <x:is>
          <x:t xml:space="preserve">건조</x:t>
        </x:is>
      </x:c>
      <x:c r="O81" s="7" t="inlineStr">
        <x:is>
          <x:t xml:space="preserve">맑음</x:t>
        </x:is>
      </x:c>
      <x:c r="P81" s="7" t="inlineStr">
        <x:is>
          <x:t xml:space="preserve">무관</x:t>
        </x:is>
      </x:c>
      <x:c r="Q81" s="7" t="inlineStr">
        <x:is>
          <x:t xml:space="preserve">보통</x:t>
        </x:is>
      </x:c>
      <x:c r="R81" s="7" t="inlineStr">
        <x:is>
          <x:t xml:space="preserve">화산</x:t>
        </x:is>
      </x:c>
      <x:c r="S81" s="7" t="inlineStr">
        <x:is>
          <x:t xml:space="preserve">화산</x:t>
        </x:is>
      </x:c>
      <x:c r="T81" s="7" t="inlineStr">
        <x:is>
          <x:t xml:space="preserve"/>
        </x:is>
      </x:c>
      <x:c r="U81" s="8" t="str">
        <x:f>INDEX('서식지_점수'!$E$4:$P$4,1,MATCH(MAX('서식지_점수'!E81:P81),'서식지_점수'!E81:P81,0))</x:f>
        <x:v>평원</x:v>
      </x:c>
      <x:c r="V81" s="8" t="str">
        <x:f>IF(T81&lt;&gt;"",T81,U81)</x:f>
        <x:v>평원</x:v>
      </x:c>
      <x:c r="W81" s="8" t="str">
        <x:f>IFERROR(INDEX('서식지_점수'!$E$4:$P$4,1,MATCH(MAXIFS('서식지_점수'!E81:P81,'서식지_점수'!E81:P81,"&lt;"&amp;MAX('서식지_점수'!E81:P81)),'서식지_점수'!E81:P81,0)),"")</x:f>
        <x:v>숲</x:v>
      </x:c>
      <x:c r="X81" s="8" t="str">
        <x:f>IF(T81&lt;&gt;"","수동확정",IF(MAX('서식지_점수'!E81:P81)-LARGE('서식지_점수'!E81:P81,2)&gt;=15,"높음",IF(MAX('서식지_점수'!E81:P81)-LARGE('서식지_점수'!E81:P81,2)&gt;=8,"보통","검토필요")))</x:f>
        <x:v>검토필요</x:v>
      </x:c>
      <x:c r="Y81" s="9" t="n">
        <x:f>IF(Q81="전설",8,IF(Q81="희귀",7,IF(J81="기본",1,IF(J81="중간",3,IF(J81="최종",IF(I81="",5,IF(I81&lt;=20,3,IF(I81&lt;=35,4,IF(I81&lt;=50,6,7)))),IF(Q81="드묾",4,2))))))</x:f>
        <x:v>1</x:v>
      </x:c>
      <x:c r="Z81" s="5" t="inlineStr">
        <x:is>
          <x:t xml:space="preserve">#aether:is_aether; #cobblemon:is_floral; #cobblemon:is_grassland; #cobblemon:is_magical; #cobblemon:nether/is_overgrowth; #cobblemon:nether/is_wasteland</x:t>
        </x:is>
      </x:c>
      <x:c r="AA81" s="5" t="inlineStr">
        <x:is>
          <x:t xml:space="preserve">common; uncommon</x:t>
        </x:is>
      </x:c>
      <x:c r="AB81" s="5" t="inlineStr">
        <x:is>
          <x:t xml:space="preserve">예</x:t>
        </x:is>
      </x:c>
      <x:c r="AC81" s="8" t="str">
        <x:f>IF(T81&lt;&gt;"","수동확정",IF(X81="검토필요","검토필요",IF(S81="","원본없음","초기완료")))</x:f>
        <x:v>검토필요</x:v>
      </x:c>
      <x:c r="AD81" s="7" t="inlineStr">
        <x:is>
          <x:t xml:space="preserve"/>
        </x:is>
      </x:c>
      <x:c r="AE81" s="5" t="inlineStr">
        <x:is>
          <x:t xml:space="preserve">.tmp/cobblemon-1.7.3-source/common/src/main/resources/data/cobblemon/species/generation1/ponyta.json</x:t>
        </x:is>
      </x:c>
      <x:c r="AF81" s="5" t="str">
        <x:f>"생활권|"&amp;K81</x:f>
        <x:v>생활권|육상</x:v>
      </x:c>
      <x:c r="AG81" s="5" t="str">
        <x:f>"지형|"&amp;L81</x:f>
        <x:v>지형|화산</x:v>
      </x:c>
      <x:c r="AH81" s="5" t="str">
        <x:f>"온도|"&amp;M81</x:f>
        <x:v>온도|고온</x:v>
      </x:c>
      <x:c r="AI81" s="5" t="str">
        <x:f>"습도|"&amp;N81</x:f>
        <x:v>습도|건조</x:v>
      </x:c>
      <x:c r="AJ81" s="5" t="str">
        <x:f>"날씨|"&amp;O81</x:f>
        <x:v>날씨|맑음</x:v>
      </x:c>
      <x:c r="AK81" s="5" t="str">
        <x:f>"특수태그|"&amp;R81</x:f>
        <x:v>특수태그|화산</x:v>
      </x:c>
      <x:c r="AL81" s="5" t="str">
        <x:f>"원본서식지|"&amp;S81</x:f>
        <x:v>원본서식지|화산</x:v>
      </x:c>
      <x:c r="AM81" s="5" t="str">
        <x:f>"타입|"&amp;F81</x:f>
        <x:v>타입|불꽃</x:v>
      </x:c>
      <x:c r="AN81" s="5" t="str">
        <x:f>"타입|"&amp;G81</x:f>
        <x:v>타입|</x:v>
      </x:c>
    </x:row>
    <x:row r="82" ht="24" customHeight="1">
      <x:c r="A82" s="5" t="n">
        <x:v>78</x:v>
      </x:c>
      <x:c r="B82" s="5" t="inlineStr">
        <x:is>
          <x:t xml:space="preserve">날쌩마</x:t>
        </x:is>
      </x:c>
      <x:c r="C82" s="5" t="inlineStr">
        <x:is>
          <x:t xml:space="preserve">rapidash</x:t>
        </x:is>
      </x:c>
      <x:c r="D82" s="5" t="inlineStr">
        <x:is>
          <x:t xml:space="preserve">Rapidash</x:t>
        </x:is>
      </x:c>
      <x:c r="E82" s="5" t="n">
        <x:v>1</x:v>
      </x:c>
      <x:c r="F82" s="5" t="inlineStr">
        <x:is>
          <x:t xml:space="preserve">불꽃</x:t>
        </x:is>
      </x:c>
      <x:c r="G82" s="5" t="inlineStr">
        <x:is>
          <x:t xml:space="preserve"/>
        </x:is>
      </x:c>
      <x:c r="H82" s="6" t="n">
        <x:v>95</x:v>
      </x:c>
      <x:c r="I82" s="5" t="n">
        <x:v>40</x:v>
      </x:c>
      <x:c r="J82" s="5" t="inlineStr">
        <x:is>
          <x:t xml:space="preserve">최종</x:t>
        </x:is>
      </x:c>
      <x:c r="K82" s="7" t="inlineStr">
        <x:is>
          <x:t xml:space="preserve">육상</x:t>
        </x:is>
      </x:c>
      <x:c r="L82" s="7" t="inlineStr">
        <x:is>
          <x:t xml:space="preserve">화산</x:t>
        </x:is>
      </x:c>
      <x:c r="M82" s="7" t="inlineStr">
        <x:is>
          <x:t xml:space="preserve">고온</x:t>
        </x:is>
      </x:c>
      <x:c r="N82" s="7" t="inlineStr">
        <x:is>
          <x:t xml:space="preserve">건조</x:t>
        </x:is>
      </x:c>
      <x:c r="O82" s="7" t="inlineStr">
        <x:is>
          <x:t xml:space="preserve">맑음</x:t>
        </x:is>
      </x:c>
      <x:c r="P82" s="7" t="inlineStr">
        <x:is>
          <x:t xml:space="preserve">무관</x:t>
        </x:is>
      </x:c>
      <x:c r="Q82" s="7" t="inlineStr">
        <x:is>
          <x:t xml:space="preserve">보통</x:t>
        </x:is>
      </x:c>
      <x:c r="R82" s="7" t="inlineStr">
        <x:is>
          <x:t xml:space="preserve">화산</x:t>
        </x:is>
      </x:c>
      <x:c r="S82" s="7" t="inlineStr">
        <x:is>
          <x:t xml:space="preserve">화산</x:t>
        </x:is>
      </x:c>
      <x:c r="T82" s="7" t="inlineStr">
        <x:is>
          <x:t xml:space="preserve"/>
        </x:is>
      </x:c>
      <x:c r="U82" s="8" t="str">
        <x:f>INDEX('서식지_점수'!$E$4:$P$4,1,MATCH(MAX('서식지_점수'!E82:P82),'서식지_점수'!E82:P82,0))</x:f>
        <x:v>평원</x:v>
      </x:c>
      <x:c r="V82" s="8" t="str">
        <x:f>IF(T82&lt;&gt;"",T82,U82)</x:f>
        <x:v>평원</x:v>
      </x:c>
      <x:c r="W82" s="8" t="str">
        <x:f>IFERROR(INDEX('서식지_점수'!$E$4:$P$4,1,MATCH(MAXIFS('서식지_점수'!E82:P82,'서식지_점수'!E82:P82,"&lt;"&amp;MAX('서식지_점수'!E82:P82)),'서식지_점수'!E82:P82,0)),"")</x:f>
        <x:v>숲</x:v>
      </x:c>
      <x:c r="X82" s="8" t="str">
        <x:f>IF(T82&lt;&gt;"","수동확정",IF(MAX('서식지_점수'!E82:P82)-LARGE('서식지_점수'!E82:P82,2)&gt;=15,"높음",IF(MAX('서식지_점수'!E82:P82)-LARGE('서식지_점수'!E82:P82,2)&gt;=8,"보통","검토필요")))</x:f>
        <x:v>검토필요</x:v>
      </x:c>
      <x:c r="Y82" s="9" t="n">
        <x:f>IF(Q82="전설",8,IF(Q82="희귀",7,IF(J82="기본",1,IF(J82="중간",3,IF(J82="최종",IF(I82="",5,IF(I82&lt;=20,3,IF(I82&lt;=35,4,IF(I82&lt;=50,6,7)))),IF(Q82="드묾",4,2))))))</x:f>
        <x:v>6</x:v>
      </x:c>
      <x:c r="Z82" s="5" t="inlineStr">
        <x:is>
          <x:t xml:space="preserve">#aether:is_aether; #cobblemon:is_floral; #cobblemon:is_grassland; #cobblemon:is_magical; #cobblemon:nether/is_overgrowth; #cobblemon:nether/is_wasteland</x:t>
        </x:is>
      </x:c>
      <x:c r="AA82" s="5" t="inlineStr">
        <x:is>
          <x:t xml:space="preserve">common; uncommon</x:t>
        </x:is>
      </x:c>
      <x:c r="AB82" s="5" t="inlineStr">
        <x:is>
          <x:t xml:space="preserve">예</x:t>
        </x:is>
      </x:c>
      <x:c r="AC82" s="8" t="str">
        <x:f>IF(T82&lt;&gt;"","수동확정",IF(X82="검토필요","검토필요",IF(S82="","원본없음","초기완료")))</x:f>
        <x:v>검토필요</x:v>
      </x:c>
      <x:c r="AD82" s="7" t="inlineStr">
        <x:is>
          <x:t xml:space="preserve"/>
        </x:is>
      </x:c>
      <x:c r="AE82" s="5" t="inlineStr">
        <x:is>
          <x:t xml:space="preserve">.tmp/cobblemon-1.7.3-source/common/src/main/resources/data/cobblemon/species/generation1/rapidash.json</x:t>
        </x:is>
      </x:c>
      <x:c r="AF82" s="5" t="str">
        <x:f>"생활권|"&amp;K82</x:f>
        <x:v>생활권|육상</x:v>
      </x:c>
      <x:c r="AG82" s="5" t="str">
        <x:f>"지형|"&amp;L82</x:f>
        <x:v>지형|화산</x:v>
      </x:c>
      <x:c r="AH82" s="5" t="str">
        <x:f>"온도|"&amp;M82</x:f>
        <x:v>온도|고온</x:v>
      </x:c>
      <x:c r="AI82" s="5" t="str">
        <x:f>"습도|"&amp;N82</x:f>
        <x:v>습도|건조</x:v>
      </x:c>
      <x:c r="AJ82" s="5" t="str">
        <x:f>"날씨|"&amp;O82</x:f>
        <x:v>날씨|맑음</x:v>
      </x:c>
      <x:c r="AK82" s="5" t="str">
        <x:f>"특수태그|"&amp;R82</x:f>
        <x:v>특수태그|화산</x:v>
      </x:c>
      <x:c r="AL82" s="5" t="str">
        <x:f>"원본서식지|"&amp;S82</x:f>
        <x:v>원본서식지|화산</x:v>
      </x:c>
      <x:c r="AM82" s="5" t="str">
        <x:f>"타입|"&amp;F82</x:f>
        <x:v>타입|불꽃</x:v>
      </x:c>
      <x:c r="AN82" s="5" t="str">
        <x:f>"타입|"&amp;G82</x:f>
        <x:v>타입|</x:v>
      </x:c>
    </x:row>
    <x:row r="83" ht="24" customHeight="1">
      <x:c r="A83" s="5" t="n">
        <x:v>79</x:v>
      </x:c>
      <x:c r="B83" s="5" t="inlineStr">
        <x:is>
          <x:t xml:space="preserve">야돈</x:t>
        </x:is>
      </x:c>
      <x:c r="C83" s="5" t="inlineStr">
        <x:is>
          <x:t xml:space="preserve">slowpoke</x:t>
        </x:is>
      </x:c>
      <x:c r="D83" s="5" t="inlineStr">
        <x:is>
          <x:t xml:space="preserve">Slowpoke</x:t>
        </x:is>
      </x:c>
      <x:c r="E83" s="5" t="n">
        <x:v>1</x:v>
      </x:c>
      <x:c r="F83" s="5" t="inlineStr">
        <x:is>
          <x:t xml:space="preserve">물</x:t>
        </x:is>
      </x:c>
      <x:c r="G83" s="5" t="inlineStr">
        <x:is>
          <x:t xml:space="preserve">에스퍼</x:t>
        </x:is>
      </x:c>
      <x:c r="H83" s="6" t="n">
        <x:v>36</x:v>
      </x:c>
      <x:c r="I83" s="5" t="n">
        <x:v>37</x:v>
      </x:c>
      <x:c r="J83" s="5" t="inlineStr">
        <x:is>
          <x:t xml:space="preserve">기본</x:t>
        </x:is>
      </x:c>
      <x:c r="K83" s="7" t="inlineStr">
        <x:is>
          <x:t xml:space="preserve">해양</x:t>
        </x:is>
      </x:c>
      <x:c r="L83" s="7" t="inlineStr">
        <x:is>
          <x:t xml:space="preserve">해안·해양</x:t>
        </x:is>
      </x:c>
      <x:c r="M83" s="7" t="inlineStr">
        <x:is>
          <x:t xml:space="preserve">온대</x:t>
        </x:is>
      </x:c>
      <x:c r="N83" s="7" t="inlineStr">
        <x:is>
          <x:t xml:space="preserve">수중</x:t>
        </x:is>
      </x:c>
      <x:c r="O83" s="7" t="inlineStr">
        <x:is>
          <x:t xml:space="preserve">비</x:t>
        </x:is>
      </x:c>
      <x:c r="P83" s="7" t="inlineStr">
        <x:is>
          <x:t xml:space="preserve">무관</x:t>
        </x:is>
      </x:c>
      <x:c r="Q83" s="7" t="inlineStr">
        <x:is>
          <x:t xml:space="preserve">흔함</x:t>
        </x:is>
      </x:c>
      <x:c r="R83" s="7" t="inlineStr">
        <x:is>
          <x:t xml:space="preserve">없음</x:t>
        </x:is>
      </x:c>
      <x:c r="S83" s="7" t="inlineStr">
        <x:is>
          <x:t xml:space="preserve">해양</x:t>
        </x:is>
      </x:c>
      <x:c r="T83" s="7" t="inlineStr">
        <x:is>
          <x:t xml:space="preserve"/>
        </x:is>
      </x:c>
      <x:c r="U83" s="8" t="str">
        <x:f>INDEX('서식지_점수'!$E$4:$P$4,1,MATCH(MAX('서식지_점수'!E83:P83),'서식지_점수'!E83:P83,0))</x:f>
        <x:v>해양</x:v>
      </x:c>
      <x:c r="V83" s="8" t="str">
        <x:f>IF(T83&lt;&gt;"",T83,U83)</x:f>
        <x:v>해양</x:v>
      </x:c>
      <x:c r="W83" s="8" t="str">
        <x:f>IFERROR(INDEX('서식지_점수'!$E$4:$P$4,1,MATCH(MAXIFS('서식지_점수'!E83:P83,'서식지_점수'!E83:P83,"&lt;"&amp;MAX('서식지_점수'!E83:P83)),'서식지_점수'!E83:P83,0)),"")</x:f>
        <x:v>습지</x:v>
      </x:c>
      <x:c r="X83" s="8" t="str">
        <x:f>IF(T83&lt;&gt;"","수동확정",IF(MAX('서식지_점수'!E83:P83)-LARGE('서식지_점수'!E83:P83,2)&gt;=15,"높음",IF(MAX('서식지_점수'!E83:P83)-LARGE('서식지_점수'!E83:P83,2)&gt;=8,"보통","검토필요")))</x:f>
        <x:v>높음</x:v>
      </x:c>
      <x:c r="Y83" s="9" t="n">
        <x:f>IF(Q83="전설",8,IF(Q83="희귀",7,IF(J83="기본",1,IF(J83="중간",3,IF(J83="최종",IF(I83="",5,IF(I83&lt;=20,3,IF(I83&lt;=35,4,IF(I83&lt;=50,6,7)))),IF(Q83="드묾",4,2))))))</x:f>
        <x:v>1</x:v>
      </x:c>
      <x:c r="Z83" s="5" t="inlineStr">
        <x:is>
          <x:t xml:space="preserve">#cobblemon:is_beach; #cobblemon:is_freshwater; #cobblemon:is_river; #cobblemon:is_tropical_island; minecraft:mushroom_fields</x:t>
        </x:is>
      </x:c>
      <x:c r="AA83" s="5" t="inlineStr">
        <x:is>
          <x:t xml:space="preserve">common</x:t>
        </x:is>
      </x:c>
      <x:c r="AB83" s="5" t="inlineStr">
        <x:is>
          <x:t xml:space="preserve">예</x:t>
        </x:is>
      </x:c>
      <x:c r="AC83" s="8" t="str">
        <x:f>IF(T83&lt;&gt;"","수동확정",IF(X83="검토필요","검토필요",IF(S83="","원본없음","초기완료")))</x:f>
        <x:v>초기완료</x:v>
      </x:c>
      <x:c r="AD83" s="7" t="inlineStr">
        <x:is>
          <x:t xml:space="preserve"/>
        </x:is>
      </x:c>
      <x:c r="AE83" s="5" t="inlineStr">
        <x:is>
          <x:t xml:space="preserve">.tmp/cobblemon-1.7.3-source/common/src/main/resources/data/cobblemon/species/generation1/slowpoke.json</x:t>
        </x:is>
      </x:c>
      <x:c r="AF83" s="5" t="str">
        <x:f>"생활권|"&amp;K83</x:f>
        <x:v>생활권|해양</x:v>
      </x:c>
      <x:c r="AG83" s="5" t="str">
        <x:f>"지형|"&amp;L83</x:f>
        <x:v>지형|해안·해양</x:v>
      </x:c>
      <x:c r="AH83" s="5" t="str">
        <x:f>"온도|"&amp;M83</x:f>
        <x:v>온도|온대</x:v>
      </x:c>
      <x:c r="AI83" s="5" t="str">
        <x:f>"습도|"&amp;N83</x:f>
        <x:v>습도|수중</x:v>
      </x:c>
      <x:c r="AJ83" s="5" t="str">
        <x:f>"날씨|"&amp;O83</x:f>
        <x:v>날씨|비</x:v>
      </x:c>
      <x:c r="AK83" s="5" t="str">
        <x:f>"특수태그|"&amp;R83</x:f>
        <x:v>특수태그|없음</x:v>
      </x:c>
      <x:c r="AL83" s="5" t="str">
        <x:f>"원본서식지|"&amp;S83</x:f>
        <x:v>원본서식지|해양</x:v>
      </x:c>
      <x:c r="AM83" s="5" t="str">
        <x:f>"타입|"&amp;F83</x:f>
        <x:v>타입|물</x:v>
      </x:c>
      <x:c r="AN83" s="5" t="str">
        <x:f>"타입|"&amp;G83</x:f>
        <x:v>타입|에스퍼</x:v>
      </x:c>
    </x:row>
    <x:row r="84" ht="24" customHeight="1">
      <x:c r="A84" s="5" t="n">
        <x:v>80</x:v>
      </x:c>
      <x:c r="B84" s="5" t="inlineStr">
        <x:is>
          <x:t xml:space="preserve">야도란</x:t>
        </x:is>
      </x:c>
      <x:c r="C84" s="5" t="inlineStr">
        <x:is>
          <x:t xml:space="preserve">slowbro</x:t>
        </x:is>
      </x:c>
      <x:c r="D84" s="5" t="inlineStr">
        <x:is>
          <x:t xml:space="preserve">Slowbro</x:t>
        </x:is>
      </x:c>
      <x:c r="E84" s="5" t="n">
        <x:v>1</x:v>
      </x:c>
      <x:c r="F84" s="5" t="inlineStr">
        <x:is>
          <x:t xml:space="preserve">물</x:t>
        </x:is>
      </x:c>
      <x:c r="G84" s="5" t="inlineStr">
        <x:is>
          <x:t xml:space="preserve">에스퍼</x:t>
        </x:is>
      </x:c>
      <x:c r="H84" s="6" t="n">
        <x:v>78.5</x:v>
      </x:c>
      <x:c r="I84" s="5" t="n">
        <x:v>37</x:v>
      </x:c>
      <x:c r="J84" s="5" t="inlineStr">
        <x:is>
          <x:t xml:space="preserve">최종</x:t>
        </x:is>
      </x:c>
      <x:c r="K84" s="7" t="inlineStr">
        <x:is>
          <x:t xml:space="preserve">해양</x:t>
        </x:is>
      </x:c>
      <x:c r="L84" s="7" t="inlineStr">
        <x:is>
          <x:t xml:space="preserve">해안·해양</x:t>
        </x:is>
      </x:c>
      <x:c r="M84" s="7" t="inlineStr">
        <x:is>
          <x:t xml:space="preserve">온대</x:t>
        </x:is>
      </x:c>
      <x:c r="N84" s="7" t="inlineStr">
        <x:is>
          <x:t xml:space="preserve">수중</x:t>
        </x:is>
      </x:c>
      <x:c r="O84" s="7" t="inlineStr">
        <x:is>
          <x:t xml:space="preserve">비</x:t>
        </x:is>
      </x:c>
      <x:c r="P84" s="7" t="inlineStr">
        <x:is>
          <x:t xml:space="preserve">무관</x:t>
        </x:is>
      </x:c>
      <x:c r="Q84" s="7" t="inlineStr">
        <x:is>
          <x:t xml:space="preserve">흔함</x:t>
        </x:is>
      </x:c>
      <x:c r="R84" s="7" t="inlineStr">
        <x:is>
          <x:t xml:space="preserve">없음</x:t>
        </x:is>
      </x:c>
      <x:c r="S84" s="7" t="inlineStr">
        <x:is>
          <x:t xml:space="preserve">해양</x:t>
        </x:is>
      </x:c>
      <x:c r="T84" s="7" t="inlineStr">
        <x:is>
          <x:t xml:space="preserve"/>
        </x:is>
      </x:c>
      <x:c r="U84" s="8" t="str">
        <x:f>INDEX('서식지_점수'!$E$4:$P$4,1,MATCH(MAX('서식지_점수'!E84:P84),'서식지_점수'!E84:P84,0))</x:f>
        <x:v>해양</x:v>
      </x:c>
      <x:c r="V84" s="8" t="str">
        <x:f>IF(T84&lt;&gt;"",T84,U84)</x:f>
        <x:v>해양</x:v>
      </x:c>
      <x:c r="W84" s="8" t="str">
        <x:f>IFERROR(INDEX('서식지_점수'!$E$4:$P$4,1,MATCH(MAXIFS('서식지_점수'!E84:P84,'서식지_점수'!E84:P84,"&lt;"&amp;MAX('서식지_점수'!E84:P84)),'서식지_점수'!E84:P84,0)),"")</x:f>
        <x:v>습지</x:v>
      </x:c>
      <x:c r="X84" s="8" t="str">
        <x:f>IF(T84&lt;&gt;"","수동확정",IF(MAX('서식지_점수'!E84:P84)-LARGE('서식지_점수'!E84:P84,2)&gt;=15,"높음",IF(MAX('서식지_점수'!E84:P84)-LARGE('서식지_점수'!E84:P84,2)&gt;=8,"보통","검토필요")))</x:f>
        <x:v>높음</x:v>
      </x:c>
      <x:c r="Y84" s="9" t="n">
        <x:f>IF(Q84="전설",8,IF(Q84="희귀",7,IF(J84="기본",1,IF(J84="중간",3,IF(J84="최종",IF(I84="",5,IF(I84&lt;=20,3,IF(I84&lt;=35,4,IF(I84&lt;=50,6,7)))),IF(Q84="드묾",4,2))))))</x:f>
        <x:v>6</x:v>
      </x:c>
      <x:c r="Z84" s="5" t="inlineStr">
        <x:is>
          <x:t xml:space="preserve">#cobblemon:is_beach; #cobblemon:is_tropical_island; minecraft:mushroom_fields</x:t>
        </x:is>
      </x:c>
      <x:c r="AA84" s="5" t="inlineStr">
        <x:is>
          <x:t xml:space="preserve">common</x:t>
        </x:is>
      </x:c>
      <x:c r="AB84" s="5" t="inlineStr">
        <x:is>
          <x:t xml:space="preserve">예</x:t>
        </x:is>
      </x:c>
      <x:c r="AC84" s="8" t="str">
        <x:f>IF(T84&lt;&gt;"","수동확정",IF(X84="검토필요","검토필요",IF(S84="","원본없음","초기완료")))</x:f>
        <x:v>초기완료</x:v>
      </x:c>
      <x:c r="AD84" s="7" t="inlineStr">
        <x:is>
          <x:t xml:space="preserve"/>
        </x:is>
      </x:c>
      <x:c r="AE84" s="5" t="inlineStr">
        <x:is>
          <x:t xml:space="preserve">.tmp/cobblemon-1.7.3-source/common/src/main/resources/data/cobblemon/species/generation1/slowbro.json</x:t>
        </x:is>
      </x:c>
      <x:c r="AF84" s="5" t="str">
        <x:f>"생활권|"&amp;K84</x:f>
        <x:v>생활권|해양</x:v>
      </x:c>
      <x:c r="AG84" s="5" t="str">
        <x:f>"지형|"&amp;L84</x:f>
        <x:v>지형|해안·해양</x:v>
      </x:c>
      <x:c r="AH84" s="5" t="str">
        <x:f>"온도|"&amp;M84</x:f>
        <x:v>온도|온대</x:v>
      </x:c>
      <x:c r="AI84" s="5" t="str">
        <x:f>"습도|"&amp;N84</x:f>
        <x:v>습도|수중</x:v>
      </x:c>
      <x:c r="AJ84" s="5" t="str">
        <x:f>"날씨|"&amp;O84</x:f>
        <x:v>날씨|비</x:v>
      </x:c>
      <x:c r="AK84" s="5" t="str">
        <x:f>"특수태그|"&amp;R84</x:f>
        <x:v>특수태그|없음</x:v>
      </x:c>
      <x:c r="AL84" s="5" t="str">
        <x:f>"원본서식지|"&amp;S84</x:f>
        <x:v>원본서식지|해양</x:v>
      </x:c>
      <x:c r="AM84" s="5" t="str">
        <x:f>"타입|"&amp;F84</x:f>
        <x:v>타입|물</x:v>
      </x:c>
      <x:c r="AN84" s="5" t="str">
        <x:f>"타입|"&amp;G84</x:f>
        <x:v>타입|에스퍼</x:v>
      </x:c>
    </x:row>
    <x:row r="85" ht="24" customHeight="1">
      <x:c r="A85" s="5" t="n">
        <x:v>81</x:v>
      </x:c>
      <x:c r="B85" s="5" t="inlineStr">
        <x:is>
          <x:t xml:space="preserve">코일</x:t>
        </x:is>
      </x:c>
      <x:c r="C85" s="5" t="inlineStr">
        <x:is>
          <x:t xml:space="preserve">magnemite</x:t>
        </x:is>
      </x:c>
      <x:c r="D85" s="5" t="inlineStr">
        <x:is>
          <x:t xml:space="preserve">Magnemite</x:t>
        </x:is>
      </x:c>
      <x:c r="E85" s="5" t="n">
        <x:v>1</x:v>
      </x:c>
      <x:c r="F85" s="5" t="inlineStr">
        <x:is>
          <x:t xml:space="preserve">전기</x:t>
        </x:is>
      </x:c>
      <x:c r="G85" s="5" t="inlineStr">
        <x:is>
          <x:t xml:space="preserve">강철</x:t>
        </x:is>
      </x:c>
      <x:c r="H85" s="6" t="n">
        <x:v>6</x:v>
      </x:c>
      <x:c r="I85" s="5" t="n">
        <x:v>30</x:v>
      </x:c>
      <x:c r="J85" s="5" t="inlineStr">
        <x:is>
          <x:t xml:space="preserve">기본</x:t>
        </x:is>
      </x:c>
      <x:c r="K85" s="7" t="inlineStr">
        <x:is>
          <x:t xml:space="preserve">인공</x:t>
        </x:is>
      </x:c>
      <x:c r="L85" s="7" t="inlineStr">
        <x:is>
          <x:t xml:space="preserve">도시</x:t>
        </x:is>
      </x:c>
      <x:c r="M85" s="7" t="inlineStr">
        <x:is>
          <x:t xml:space="preserve">온대</x:t>
        </x:is>
      </x:c>
      <x:c r="N85" s="7" t="inlineStr">
        <x:is>
          <x:t xml:space="preserve">보통</x:t>
        </x:is>
      </x:c>
      <x:c r="O85" s="7" t="inlineStr">
        <x:is>
          <x:t xml:space="preserve">무관</x:t>
        </x:is>
      </x:c>
      <x:c r="P85" s="7" t="inlineStr">
        <x:is>
          <x:t xml:space="preserve">무관</x:t>
        </x:is>
      </x:c>
      <x:c r="Q85" s="7" t="inlineStr">
        <x:is>
          <x:t xml:space="preserve">보통</x:t>
        </x:is>
      </x:c>
      <x:c r="R85" s="7" t="inlineStr">
        <x:is>
          <x:t xml:space="preserve">도시</x:t>
        </x:is>
      </x:c>
      <x:c r="S85" s="7" t="inlineStr">
        <x:is>
          <x:t xml:space="preserve"/>
        </x:is>
      </x:c>
      <x:c r="T85" s="7" t="inlineStr">
        <x:is>
          <x:t xml:space="preserve"/>
        </x:is>
      </x:c>
      <x:c r="U85" s="8" t="str">
        <x:f>INDEX('서식지_점수'!$E$4:$P$4,1,MATCH(MAX('서식지_점수'!E85:P85),'서식지_점수'!E85:P85,0))</x:f>
        <x:v>도시</x:v>
      </x:c>
      <x:c r="V85" s="8" t="str">
        <x:f>IF(T85&lt;&gt;"",T85,U85)</x:f>
        <x:v>도시</x:v>
      </x:c>
      <x:c r="W85" s="8" t="str">
        <x:f>IFERROR(INDEX('서식지_점수'!$E$4:$P$4,1,MATCH(MAXIFS('서식지_점수'!E85:P85,'서식지_점수'!E85:P85,"&lt;"&amp;MAX('서식지_점수'!E85:P85)),'서식지_점수'!E85:P85,0)),"")</x:f>
        <x:v>특수</x:v>
      </x:c>
      <x:c r="X85" s="8" t="str">
        <x:f>IF(T85&lt;&gt;"","수동확정",IF(MAX('서식지_점수'!E85:P85)-LARGE('서식지_점수'!E85:P85,2)&gt;=15,"높음",IF(MAX('서식지_점수'!E85:P85)-LARGE('서식지_점수'!E85:P85,2)&gt;=8,"보통","검토필요")))</x:f>
        <x:v>높음</x:v>
      </x:c>
      <x:c r="Y85" s="9" t="n">
        <x:f>IF(Q85="전설",8,IF(Q85="희귀",7,IF(J85="기본",1,IF(J85="중간",3,IF(J85="최종",IF(I85="",5,IF(I85&lt;=20,3,IF(I85&lt;=35,4,IF(I85&lt;=50,6,7)))),IF(Q85="드묾",4,2))))))</x:f>
        <x:v>1</x:v>
      </x:c>
      <x:c r="Z85" s="5" t="inlineStr">
        <x:is>
          <x:t xml:space="preserve">#cobblemon:is_overworld</x:t>
        </x:is>
      </x:c>
      <x:c r="AA85" s="5" t="inlineStr">
        <x:is>
          <x:t xml:space="preserve">common; uncommon</x:t>
        </x:is>
      </x:c>
      <x:c r="AB85" s="5" t="inlineStr">
        <x:is>
          <x:t xml:space="preserve">예</x:t>
        </x:is>
      </x:c>
      <x:c r="AC85" s="8" t="str">
        <x:f>IF(T85&lt;&gt;"","수동확정",IF(X85="검토필요","검토필요",IF(S85="","원본없음","초기완료")))</x:f>
        <x:v>원본없음</x:v>
      </x:c>
      <x:c r="AD85" s="7" t="inlineStr">
        <x:is>
          <x:t xml:space="preserve"/>
        </x:is>
      </x:c>
      <x:c r="AE85" s="5" t="inlineStr">
        <x:is>
          <x:t xml:space="preserve">.tmp/cobblemon-1.7.3-source/common/src/main/resources/data/cobblemon/species/generation1/magnemite.json</x:t>
        </x:is>
      </x:c>
      <x:c r="AF85" s="5" t="str">
        <x:f>"생활권|"&amp;K85</x:f>
        <x:v>생활권|인공</x:v>
      </x:c>
      <x:c r="AG85" s="5" t="str">
        <x:f>"지형|"&amp;L85</x:f>
        <x:v>지형|도시</x:v>
      </x:c>
      <x:c r="AH85" s="5" t="str">
        <x:f>"온도|"&amp;M85</x:f>
        <x:v>온도|온대</x:v>
      </x:c>
      <x:c r="AI85" s="5" t="str">
        <x:f>"습도|"&amp;N85</x:f>
        <x:v>습도|보통</x:v>
      </x:c>
      <x:c r="AJ85" s="5" t="str">
        <x:f>"날씨|"&amp;O85</x:f>
        <x:v>날씨|무관</x:v>
      </x:c>
      <x:c r="AK85" s="5" t="str">
        <x:f>"특수태그|"&amp;R85</x:f>
        <x:v>특수태그|도시</x:v>
      </x:c>
      <x:c r="AL85" s="5" t="str">
        <x:f>"원본서식지|"&amp;S85</x:f>
        <x:v>원본서식지|</x:v>
      </x:c>
      <x:c r="AM85" s="5" t="str">
        <x:f>"타입|"&amp;F85</x:f>
        <x:v>타입|전기</x:v>
      </x:c>
      <x:c r="AN85" s="5" t="str">
        <x:f>"타입|"&amp;G85</x:f>
        <x:v>타입|강철</x:v>
      </x:c>
    </x:row>
    <x:row r="86" ht="24" customHeight="1">
      <x:c r="A86" s="5" t="n">
        <x:v>82</x:v>
      </x:c>
      <x:c r="B86" s="5" t="inlineStr">
        <x:is>
          <x:t xml:space="preserve">레어코일</x:t>
        </x:is>
      </x:c>
      <x:c r="C86" s="5" t="inlineStr">
        <x:is>
          <x:t xml:space="preserve">magneton</x:t>
        </x:is>
      </x:c>
      <x:c r="D86" s="5" t="inlineStr">
        <x:is>
          <x:t xml:space="preserve">Magneton</x:t>
        </x:is>
      </x:c>
      <x:c r="E86" s="5" t="n">
        <x:v>1</x:v>
      </x:c>
      <x:c r="F86" s="5" t="inlineStr">
        <x:is>
          <x:t xml:space="preserve">전기</x:t>
        </x:is>
      </x:c>
      <x:c r="G86" s="5" t="inlineStr">
        <x:is>
          <x:t xml:space="preserve">강철</x:t>
        </x:is>
      </x:c>
      <x:c r="H86" s="6" t="n">
        <x:v>60</x:v>
      </x:c>
      <x:c r="I86" s="5" t="n">
        <x:v>30</x:v>
      </x:c>
      <x:c r="J86" s="5" t="inlineStr">
        <x:is>
          <x:t xml:space="preserve">중간</x:t>
        </x:is>
      </x:c>
      <x:c r="K86" s="7" t="inlineStr">
        <x:is>
          <x:t xml:space="preserve">인공</x:t>
        </x:is>
      </x:c>
      <x:c r="L86" s="7" t="inlineStr">
        <x:is>
          <x:t xml:space="preserve">도시</x:t>
        </x:is>
      </x:c>
      <x:c r="M86" s="7" t="inlineStr">
        <x:is>
          <x:t xml:space="preserve">온대</x:t>
        </x:is>
      </x:c>
      <x:c r="N86" s="7" t="inlineStr">
        <x:is>
          <x:t xml:space="preserve">보통</x:t>
        </x:is>
      </x:c>
      <x:c r="O86" s="7" t="inlineStr">
        <x:is>
          <x:t xml:space="preserve">무관</x:t>
        </x:is>
      </x:c>
      <x:c r="P86" s="7" t="inlineStr">
        <x:is>
          <x:t xml:space="preserve">무관</x:t>
        </x:is>
      </x:c>
      <x:c r="Q86" s="7" t="inlineStr">
        <x:is>
          <x:t xml:space="preserve">보통</x:t>
        </x:is>
      </x:c>
      <x:c r="R86" s="7" t="inlineStr">
        <x:is>
          <x:t xml:space="preserve">도시</x:t>
        </x:is>
      </x:c>
      <x:c r="S86" s="7" t="inlineStr">
        <x:is>
          <x:t xml:space="preserve"/>
        </x:is>
      </x:c>
      <x:c r="T86" s="7" t="inlineStr">
        <x:is>
          <x:t xml:space="preserve"/>
        </x:is>
      </x:c>
      <x:c r="U86" s="8" t="str">
        <x:f>INDEX('서식지_점수'!$E$4:$P$4,1,MATCH(MAX('서식지_점수'!E86:P86),'서식지_점수'!E86:P86,0))</x:f>
        <x:v>도시</x:v>
      </x:c>
      <x:c r="V86" s="8" t="str">
        <x:f>IF(T86&lt;&gt;"",T86,U86)</x:f>
        <x:v>도시</x:v>
      </x:c>
      <x:c r="W86" s="8" t="str">
        <x:f>IFERROR(INDEX('서식지_점수'!$E$4:$P$4,1,MATCH(MAXIFS('서식지_점수'!E86:P86,'서식지_점수'!E86:P86,"&lt;"&amp;MAX('서식지_점수'!E86:P86)),'서식지_점수'!E86:P86,0)),"")</x:f>
        <x:v>특수</x:v>
      </x:c>
      <x:c r="X86" s="8" t="str">
        <x:f>IF(T86&lt;&gt;"","수동확정",IF(MAX('서식지_점수'!E86:P86)-LARGE('서식지_점수'!E86:P86,2)&gt;=15,"높음",IF(MAX('서식지_점수'!E86:P86)-LARGE('서식지_점수'!E86:P86,2)&gt;=8,"보통","검토필요")))</x:f>
        <x:v>높음</x:v>
      </x:c>
      <x:c r="Y86" s="9" t="n">
        <x:f>IF(Q86="전설",8,IF(Q86="희귀",7,IF(J86="기본",1,IF(J86="중간",3,IF(J86="최종",IF(I86="",5,IF(I86&lt;=20,3,IF(I86&lt;=35,4,IF(I86&lt;=50,6,7)))),IF(Q86="드묾",4,2))))))</x:f>
        <x:v>3</x:v>
      </x:c>
      <x:c r="Z86" s="5" t="inlineStr">
        <x:is>
          <x:t xml:space="preserve">#cobblemon:is_overworld</x:t>
        </x:is>
      </x:c>
      <x:c r="AA86" s="5" t="inlineStr">
        <x:is>
          <x:t xml:space="preserve">common; uncommon</x:t>
        </x:is>
      </x:c>
      <x:c r="AB86" s="5" t="inlineStr">
        <x:is>
          <x:t xml:space="preserve">예</x:t>
        </x:is>
      </x:c>
      <x:c r="AC86" s="8" t="str">
        <x:f>IF(T86&lt;&gt;"","수동확정",IF(X86="검토필요","검토필요",IF(S86="","원본없음","초기완료")))</x:f>
        <x:v>원본없음</x:v>
      </x:c>
      <x:c r="AD86" s="7" t="inlineStr">
        <x:is>
          <x:t xml:space="preserve"/>
        </x:is>
      </x:c>
      <x:c r="AE86" s="5" t="inlineStr">
        <x:is>
          <x:t xml:space="preserve">.tmp/cobblemon-1.7.3-source/common/src/main/resources/data/cobblemon/species/generation1/magneton.json</x:t>
        </x:is>
      </x:c>
      <x:c r="AF86" s="5" t="str">
        <x:f>"생활권|"&amp;K86</x:f>
        <x:v>생활권|인공</x:v>
      </x:c>
      <x:c r="AG86" s="5" t="str">
        <x:f>"지형|"&amp;L86</x:f>
        <x:v>지형|도시</x:v>
      </x:c>
      <x:c r="AH86" s="5" t="str">
        <x:f>"온도|"&amp;M86</x:f>
        <x:v>온도|온대</x:v>
      </x:c>
      <x:c r="AI86" s="5" t="str">
        <x:f>"습도|"&amp;N86</x:f>
        <x:v>습도|보통</x:v>
      </x:c>
      <x:c r="AJ86" s="5" t="str">
        <x:f>"날씨|"&amp;O86</x:f>
        <x:v>날씨|무관</x:v>
      </x:c>
      <x:c r="AK86" s="5" t="str">
        <x:f>"특수태그|"&amp;R86</x:f>
        <x:v>특수태그|도시</x:v>
      </x:c>
      <x:c r="AL86" s="5" t="str">
        <x:f>"원본서식지|"&amp;S86</x:f>
        <x:v>원본서식지|</x:v>
      </x:c>
      <x:c r="AM86" s="5" t="str">
        <x:f>"타입|"&amp;F86</x:f>
        <x:v>타입|전기</x:v>
      </x:c>
      <x:c r="AN86" s="5" t="str">
        <x:f>"타입|"&amp;G86</x:f>
        <x:v>타입|강철</x:v>
      </x:c>
    </x:row>
    <x:row r="87" ht="24" customHeight="1">
      <x:c r="A87" s="5" t="n">
        <x:v>83</x:v>
      </x:c>
      <x:c r="B87" s="5" t="inlineStr">
        <x:is>
          <x:t xml:space="preserve">파오리</x:t>
        </x:is>
      </x:c>
      <x:c r="C87" s="5" t="inlineStr">
        <x:is>
          <x:t xml:space="preserve">farfetchd</x:t>
        </x:is>
      </x:c>
      <x:c r="D87" s="5" t="inlineStr">
        <x:is>
          <x:t xml:space="preserve">Farfetch'd</x:t>
        </x:is>
      </x:c>
      <x:c r="E87" s="5" t="n">
        <x:v>1</x:v>
      </x:c>
      <x:c r="F87" s="5" t="inlineStr">
        <x:is>
          <x:t xml:space="preserve">노말</x:t>
        </x:is>
      </x:c>
      <x:c r="G87" s="5" t="inlineStr">
        <x:is>
          <x:t xml:space="preserve">비행</x:t>
        </x:is>
      </x:c>
      <x:c r="H87" s="6" t="n">
        <x:v>15</x:v>
      </x:c>
      <x:c r="I87" s="5" t="n"/>
      <x:c r="J87" s="5" t="inlineStr">
        <x:is>
          <x:t xml:space="preserve">무진화</x:t>
        </x:is>
      </x:c>
      <x:c r="K87" s="7" t="inlineStr">
        <x:is>
          <x:t xml:space="preserve">비행</x:t>
        </x:is>
      </x:c>
      <x:c r="L87" s="7" t="inlineStr">
        <x:is>
          <x:t xml:space="preserve">수목</x:t>
        </x:is>
      </x:c>
      <x:c r="M87" s="7" t="inlineStr">
        <x:is>
          <x:t xml:space="preserve">온대</x:t>
        </x:is>
      </x:c>
      <x:c r="N87" s="7" t="inlineStr">
        <x:is>
          <x:t xml:space="preserve">보통</x:t>
        </x:is>
      </x:c>
      <x:c r="O87" s="7" t="inlineStr">
        <x:is>
          <x:t xml:space="preserve">무관</x:t>
        </x:is>
      </x:c>
      <x:c r="P87" s="7" t="inlineStr">
        <x:is>
          <x:t xml:space="preserve">무관</x:t>
        </x:is>
      </x:c>
      <x:c r="Q87" s="7" t="inlineStr">
        <x:is>
          <x:t xml:space="preserve">흔함</x:t>
        </x:is>
      </x:c>
      <x:c r="R87" s="7" t="inlineStr">
        <x:is>
          <x:t xml:space="preserve">없음</x:t>
        </x:is>
      </x:c>
      <x:c r="S87" s="7" t="inlineStr">
        <x:is>
          <x:t xml:space="preserve">숲</x:t>
        </x:is>
      </x:c>
      <x:c r="T87" s="7" t="inlineStr">
        <x:is>
          <x:t xml:space="preserve"/>
        </x:is>
      </x:c>
      <x:c r="U87" s="8" t="str">
        <x:f>INDEX('서식지_점수'!$E$4:$P$4,1,MATCH(MAX('서식지_점수'!E87:P87),'서식지_점수'!E87:P87,0))</x:f>
        <x:v>산악</x:v>
      </x:c>
      <x:c r="V87" s="8" t="str">
        <x:f>IF(T87&lt;&gt;"",T87,U87)</x:f>
        <x:v>산악</x:v>
      </x:c>
      <x:c r="W87" s="8" t="str">
        <x:f>IFERROR(INDEX('서식지_점수'!$E$4:$P$4,1,MATCH(MAXIFS('서식지_점수'!E87:P87,'서식지_점수'!E87:P87,"&lt;"&amp;MAX('서식지_점수'!E87:P87)),'서식지_점수'!E87:P87,0)),"")</x:f>
        <x:v>평원</x:v>
      </x:c>
      <x:c r="X87" s="8" t="str">
        <x:f>IF(T87&lt;&gt;"","수동확정",IF(MAX('서식지_점수'!E87:P87)-LARGE('서식지_점수'!E87:P87,2)&gt;=15,"높음",IF(MAX('서식지_점수'!E87:P87)-LARGE('서식지_점수'!E87:P87,2)&gt;=8,"보통","검토필요")))</x:f>
        <x:v>검토필요</x:v>
      </x:c>
      <x:c r="Y87" s="9" t="n">
        <x:f>IF(Q87="전설",8,IF(Q87="희귀",7,IF(J87="기본",1,IF(J87="중간",3,IF(J87="최종",IF(I87="",5,IF(I87&lt;=20,3,IF(I87&lt;=35,4,IF(I87&lt;=50,6,7)))),IF(Q87="드묾",4,2))))))</x:f>
        <x:v>2</x:v>
      </x:c>
      <x:c r="Z87" s="5" t="inlineStr">
        <x:is>
          <x:t xml:space="preserve">#cobblemon:is_forest; #cobblemon:is_overworld</x:t>
        </x:is>
      </x:c>
      <x:c r="AA87" s="5" t="inlineStr">
        <x:is>
          <x:t xml:space="preserve">common; rare</x:t>
        </x:is>
      </x:c>
      <x:c r="AB87" s="5" t="inlineStr">
        <x:is>
          <x:t xml:space="preserve">예</x:t>
        </x:is>
      </x:c>
      <x:c r="AC87" s="8" t="str">
        <x:f>IF(T87&lt;&gt;"","수동확정",IF(X87="검토필요","검토필요",IF(S87="","원본없음","초기완료")))</x:f>
        <x:v>검토필요</x:v>
      </x:c>
      <x:c r="AD87" s="7" t="inlineStr">
        <x:is>
          <x:t xml:space="preserve"/>
        </x:is>
      </x:c>
      <x:c r="AE87" s="5" t="inlineStr">
        <x:is>
          <x:t xml:space="preserve">.tmp/cobblemon-1.7.3-source/common/src/main/resources/data/cobblemon/species/generation1/farfetchd.json</x:t>
        </x:is>
      </x:c>
      <x:c r="AF87" s="5" t="str">
        <x:f>"생활권|"&amp;K87</x:f>
        <x:v>생활권|비행</x:v>
      </x:c>
      <x:c r="AG87" s="5" t="str">
        <x:f>"지형|"&amp;L87</x:f>
        <x:v>지형|수목</x:v>
      </x:c>
      <x:c r="AH87" s="5" t="str">
        <x:f>"온도|"&amp;M87</x:f>
        <x:v>온도|온대</x:v>
      </x:c>
      <x:c r="AI87" s="5" t="str">
        <x:f>"습도|"&amp;N87</x:f>
        <x:v>습도|보통</x:v>
      </x:c>
      <x:c r="AJ87" s="5" t="str">
        <x:f>"날씨|"&amp;O87</x:f>
        <x:v>날씨|무관</x:v>
      </x:c>
      <x:c r="AK87" s="5" t="str">
        <x:f>"특수태그|"&amp;R87</x:f>
        <x:v>특수태그|없음</x:v>
      </x:c>
      <x:c r="AL87" s="5" t="str">
        <x:f>"원본서식지|"&amp;S87</x:f>
        <x:v>원본서식지|숲</x:v>
      </x:c>
      <x:c r="AM87" s="5" t="str">
        <x:f>"타입|"&amp;F87</x:f>
        <x:v>타입|노말</x:v>
      </x:c>
      <x:c r="AN87" s="5" t="str">
        <x:f>"타입|"&amp;G87</x:f>
        <x:v>타입|비행</x:v>
      </x:c>
    </x:row>
    <x:row r="88" ht="24" customHeight="1">
      <x:c r="A88" s="5" t="n">
        <x:v>84</x:v>
      </x:c>
      <x:c r="B88" s="5" t="inlineStr">
        <x:is>
          <x:t xml:space="preserve">두두</x:t>
        </x:is>
      </x:c>
      <x:c r="C88" s="5" t="inlineStr">
        <x:is>
          <x:t xml:space="preserve">doduo</x:t>
        </x:is>
      </x:c>
      <x:c r="D88" s="5" t="inlineStr">
        <x:is>
          <x:t xml:space="preserve">Doduo</x:t>
        </x:is>
      </x:c>
      <x:c r="E88" s="5" t="n">
        <x:v>1</x:v>
      </x:c>
      <x:c r="F88" s="5" t="inlineStr">
        <x:is>
          <x:t xml:space="preserve">노말</x:t>
        </x:is>
      </x:c>
      <x:c r="G88" s="5" t="inlineStr">
        <x:is>
          <x:t xml:space="preserve">비행</x:t>
        </x:is>
      </x:c>
      <x:c r="H88" s="6" t="n">
        <x:v>39.2</x:v>
      </x:c>
      <x:c r="I88" s="5" t="n">
        <x:v>31</x:v>
      </x:c>
      <x:c r="J88" s="5" t="inlineStr">
        <x:is>
          <x:t xml:space="preserve">기본</x:t>
        </x:is>
      </x:c>
      <x:c r="K88" s="7" t="inlineStr">
        <x:is>
          <x:t xml:space="preserve">비행</x:t>
        </x:is>
      </x:c>
      <x:c r="L88" s="7" t="inlineStr">
        <x:is>
          <x:t xml:space="preserve">개활지</x:t>
        </x:is>
      </x:c>
      <x:c r="M88" s="7" t="inlineStr">
        <x:is>
          <x:t xml:space="preserve">온대</x:t>
        </x:is>
      </x:c>
      <x:c r="N88" s="7" t="inlineStr">
        <x:is>
          <x:t xml:space="preserve">보통</x:t>
        </x:is>
      </x:c>
      <x:c r="O88" s="7" t="inlineStr">
        <x:is>
          <x:t xml:space="preserve">무관</x:t>
        </x:is>
      </x:c>
      <x:c r="P88" s="7" t="inlineStr">
        <x:is>
          <x:t xml:space="preserve">무관</x:t>
        </x:is>
      </x:c>
      <x:c r="Q88" s="7" t="inlineStr">
        <x:is>
          <x:t xml:space="preserve">흔함</x:t>
        </x:is>
      </x:c>
      <x:c r="R88" s="7" t="inlineStr">
        <x:is>
          <x:t xml:space="preserve">없음</x:t>
        </x:is>
      </x:c>
      <x:c r="S88" s="7" t="inlineStr">
        <x:is>
          <x:t xml:space="preserve">평원</x:t>
        </x:is>
      </x:c>
      <x:c r="T88" s="7" t="inlineStr">
        <x:is>
          <x:t xml:space="preserve"/>
        </x:is>
      </x:c>
      <x:c r="U88" s="8" t="str">
        <x:f>INDEX('서식지_점수'!$E$4:$P$4,1,MATCH(MAX('서식지_점수'!E88:P88),'서식지_점수'!E88:P88,0))</x:f>
        <x:v>산악</x:v>
      </x:c>
      <x:c r="V88" s="8" t="str">
        <x:f>IF(T88&lt;&gt;"",T88,U88)</x:f>
        <x:v>산악</x:v>
      </x:c>
      <x:c r="W88" s="8" t="str">
        <x:f>IFERROR(INDEX('서식지_점수'!$E$4:$P$4,1,MATCH(MAXIFS('서식지_점수'!E88:P88,'서식지_점수'!E88:P88,"&lt;"&amp;MAX('서식지_점수'!E88:P88)),'서식지_점수'!E88:P88,0)),"")</x:f>
        <x:v>평원</x:v>
      </x:c>
      <x:c r="X88" s="8" t="str">
        <x:f>IF(T88&lt;&gt;"","수동확정",IF(MAX('서식지_점수'!E88:P88)-LARGE('서식지_점수'!E88:P88,2)&gt;=15,"높음",IF(MAX('서식지_점수'!E88:P88)-LARGE('서식지_점수'!E88:P88,2)&gt;=8,"보통","검토필요")))</x:f>
        <x:v>검토필요</x:v>
      </x:c>
      <x:c r="Y88" s="9" t="n">
        <x:f>IF(Q88="전설",8,IF(Q88="희귀",7,IF(J88="기본",1,IF(J88="중간",3,IF(J88="최종",IF(I88="",5,IF(I88&lt;=20,3,IF(I88&lt;=35,4,IF(I88&lt;=50,6,7)))),IF(Q88="드묾",4,2))))))</x:f>
        <x:v>1</x:v>
      </x:c>
      <x:c r="Z88" s="5" t="inlineStr">
        <x:is>
          <x:t xml:space="preserve">#cobblemon:is_savanna; aether:skyroot_grove; aether:skyroot_meadow</x:t>
        </x:is>
      </x:c>
      <x:c r="AA88" s="5" t="inlineStr">
        <x:is>
          <x:t xml:space="preserve">common</x:t>
        </x:is>
      </x:c>
      <x:c r="AB88" s="5" t="inlineStr">
        <x:is>
          <x:t xml:space="preserve">예</x:t>
        </x:is>
      </x:c>
      <x:c r="AC88" s="8" t="str">
        <x:f>IF(T88&lt;&gt;"","수동확정",IF(X88="검토필요","검토필요",IF(S88="","원본없음","초기완료")))</x:f>
        <x:v>검토필요</x:v>
      </x:c>
      <x:c r="AD88" s="7" t="inlineStr">
        <x:is>
          <x:t xml:space="preserve"/>
        </x:is>
      </x:c>
      <x:c r="AE88" s="5" t="inlineStr">
        <x:is>
          <x:t xml:space="preserve">.tmp/cobblemon-1.7.3-source/common/src/main/resources/data/cobblemon/species/generation1/doduo.json</x:t>
        </x:is>
      </x:c>
      <x:c r="AF88" s="5" t="str">
        <x:f>"생활권|"&amp;K88</x:f>
        <x:v>생활권|비행</x:v>
      </x:c>
      <x:c r="AG88" s="5" t="str">
        <x:f>"지형|"&amp;L88</x:f>
        <x:v>지형|개활지</x:v>
      </x:c>
      <x:c r="AH88" s="5" t="str">
        <x:f>"온도|"&amp;M88</x:f>
        <x:v>온도|온대</x:v>
      </x:c>
      <x:c r="AI88" s="5" t="str">
        <x:f>"습도|"&amp;N88</x:f>
        <x:v>습도|보통</x:v>
      </x:c>
      <x:c r="AJ88" s="5" t="str">
        <x:f>"날씨|"&amp;O88</x:f>
        <x:v>날씨|무관</x:v>
      </x:c>
      <x:c r="AK88" s="5" t="str">
        <x:f>"특수태그|"&amp;R88</x:f>
        <x:v>특수태그|없음</x:v>
      </x:c>
      <x:c r="AL88" s="5" t="str">
        <x:f>"원본서식지|"&amp;S88</x:f>
        <x:v>원본서식지|평원</x:v>
      </x:c>
      <x:c r="AM88" s="5" t="str">
        <x:f>"타입|"&amp;F88</x:f>
        <x:v>타입|노말</x:v>
      </x:c>
      <x:c r="AN88" s="5" t="str">
        <x:f>"타입|"&amp;G88</x:f>
        <x:v>타입|비행</x:v>
      </x:c>
    </x:row>
    <x:row r="89" ht="24" customHeight="1">
      <x:c r="A89" s="5" t="n">
        <x:v>85</x:v>
      </x:c>
      <x:c r="B89" s="5" t="inlineStr">
        <x:is>
          <x:t xml:space="preserve">두트리오</x:t>
        </x:is>
      </x:c>
      <x:c r="C89" s="5" t="inlineStr">
        <x:is>
          <x:t xml:space="preserve">dodrio</x:t>
        </x:is>
      </x:c>
      <x:c r="D89" s="5" t="inlineStr">
        <x:is>
          <x:t xml:space="preserve">Dodrio</x:t>
        </x:is>
      </x:c>
      <x:c r="E89" s="5" t="n">
        <x:v>1</x:v>
      </x:c>
      <x:c r="F89" s="5" t="inlineStr">
        <x:is>
          <x:t xml:space="preserve">노말</x:t>
        </x:is>
      </x:c>
      <x:c r="G89" s="5" t="inlineStr">
        <x:is>
          <x:t xml:space="preserve">비행</x:t>
        </x:is>
      </x:c>
      <x:c r="H89" s="6" t="n">
        <x:v>85.2</x:v>
      </x:c>
      <x:c r="I89" s="5" t="n">
        <x:v>31</x:v>
      </x:c>
      <x:c r="J89" s="5" t="inlineStr">
        <x:is>
          <x:t xml:space="preserve">최종</x:t>
        </x:is>
      </x:c>
      <x:c r="K89" s="7" t="inlineStr">
        <x:is>
          <x:t xml:space="preserve">비행</x:t>
        </x:is>
      </x:c>
      <x:c r="L89" s="7" t="inlineStr">
        <x:is>
          <x:t xml:space="preserve">개활지</x:t>
        </x:is>
      </x:c>
      <x:c r="M89" s="7" t="inlineStr">
        <x:is>
          <x:t xml:space="preserve">온대</x:t>
        </x:is>
      </x:c>
      <x:c r="N89" s="7" t="inlineStr">
        <x:is>
          <x:t xml:space="preserve">보통</x:t>
        </x:is>
      </x:c>
      <x:c r="O89" s="7" t="inlineStr">
        <x:is>
          <x:t xml:space="preserve">무관</x:t>
        </x:is>
      </x:c>
      <x:c r="P89" s="7" t="inlineStr">
        <x:is>
          <x:t xml:space="preserve">무관</x:t>
        </x:is>
      </x:c>
      <x:c r="Q89" s="7" t="inlineStr">
        <x:is>
          <x:t xml:space="preserve">흔함</x:t>
        </x:is>
      </x:c>
      <x:c r="R89" s="7" t="inlineStr">
        <x:is>
          <x:t xml:space="preserve">없음</x:t>
        </x:is>
      </x:c>
      <x:c r="S89" s="7" t="inlineStr">
        <x:is>
          <x:t xml:space="preserve">평원</x:t>
        </x:is>
      </x:c>
      <x:c r="T89" s="7" t="inlineStr">
        <x:is>
          <x:t xml:space="preserve"/>
        </x:is>
      </x:c>
      <x:c r="U89" s="8" t="str">
        <x:f>INDEX('서식지_점수'!$E$4:$P$4,1,MATCH(MAX('서식지_점수'!E89:P89),'서식지_점수'!E89:P89,0))</x:f>
        <x:v>산악</x:v>
      </x:c>
      <x:c r="V89" s="8" t="str">
        <x:f>IF(T89&lt;&gt;"",T89,U89)</x:f>
        <x:v>산악</x:v>
      </x:c>
      <x:c r="W89" s="8" t="str">
        <x:f>IFERROR(INDEX('서식지_점수'!$E$4:$P$4,1,MATCH(MAXIFS('서식지_점수'!E89:P89,'서식지_점수'!E89:P89,"&lt;"&amp;MAX('서식지_점수'!E89:P89)),'서식지_점수'!E89:P89,0)),"")</x:f>
        <x:v>평원</x:v>
      </x:c>
      <x:c r="X89" s="8" t="str">
        <x:f>IF(T89&lt;&gt;"","수동확정",IF(MAX('서식지_점수'!E89:P89)-LARGE('서식지_점수'!E89:P89,2)&gt;=15,"높음",IF(MAX('서식지_점수'!E89:P89)-LARGE('서식지_점수'!E89:P89,2)&gt;=8,"보통","검토필요")))</x:f>
        <x:v>검토필요</x:v>
      </x:c>
      <x:c r="Y89" s="9" t="n">
        <x:f>IF(Q89="전설",8,IF(Q89="희귀",7,IF(J89="기본",1,IF(J89="중간",3,IF(J89="최종",IF(I89="",5,IF(I89&lt;=20,3,IF(I89&lt;=35,4,IF(I89&lt;=50,6,7)))),IF(Q89="드묾",4,2))))))</x:f>
        <x:v>4</x:v>
      </x:c>
      <x:c r="Z89" s="5" t="inlineStr">
        <x:is>
          <x:t xml:space="preserve">#cobblemon:is_savanna; aether:skyroot_grove; aether:skyroot_meadow</x:t>
        </x:is>
      </x:c>
      <x:c r="AA89" s="5" t="inlineStr">
        <x:is>
          <x:t xml:space="preserve">common</x:t>
        </x:is>
      </x:c>
      <x:c r="AB89" s="5" t="inlineStr">
        <x:is>
          <x:t xml:space="preserve">예</x:t>
        </x:is>
      </x:c>
      <x:c r="AC89" s="8" t="str">
        <x:f>IF(T89&lt;&gt;"","수동확정",IF(X89="검토필요","검토필요",IF(S89="","원본없음","초기완료")))</x:f>
        <x:v>검토필요</x:v>
      </x:c>
      <x:c r="AD89" s="7" t="inlineStr">
        <x:is>
          <x:t xml:space="preserve"/>
        </x:is>
      </x:c>
      <x:c r="AE89" s="5" t="inlineStr">
        <x:is>
          <x:t xml:space="preserve">.tmp/cobblemon-1.7.3-source/common/src/main/resources/data/cobblemon/species/generation1/dodrio.json</x:t>
        </x:is>
      </x:c>
      <x:c r="AF89" s="5" t="str">
        <x:f>"생활권|"&amp;K89</x:f>
        <x:v>생활권|비행</x:v>
      </x:c>
      <x:c r="AG89" s="5" t="str">
        <x:f>"지형|"&amp;L89</x:f>
        <x:v>지형|개활지</x:v>
      </x:c>
      <x:c r="AH89" s="5" t="str">
        <x:f>"온도|"&amp;M89</x:f>
        <x:v>온도|온대</x:v>
      </x:c>
      <x:c r="AI89" s="5" t="str">
        <x:f>"습도|"&amp;N89</x:f>
        <x:v>습도|보통</x:v>
      </x:c>
      <x:c r="AJ89" s="5" t="str">
        <x:f>"날씨|"&amp;O89</x:f>
        <x:v>날씨|무관</x:v>
      </x:c>
      <x:c r="AK89" s="5" t="str">
        <x:f>"특수태그|"&amp;R89</x:f>
        <x:v>특수태그|없음</x:v>
      </x:c>
      <x:c r="AL89" s="5" t="str">
        <x:f>"원본서식지|"&amp;S89</x:f>
        <x:v>원본서식지|평원</x:v>
      </x:c>
      <x:c r="AM89" s="5" t="str">
        <x:f>"타입|"&amp;F89</x:f>
        <x:v>타입|노말</x:v>
      </x:c>
      <x:c r="AN89" s="5" t="str">
        <x:f>"타입|"&amp;G89</x:f>
        <x:v>타입|비행</x:v>
      </x:c>
    </x:row>
    <x:row r="90" ht="24" customHeight="1">
      <x:c r="A90" s="5" t="n">
        <x:v>86</x:v>
      </x:c>
      <x:c r="B90" s="5" t="inlineStr">
        <x:is>
          <x:t xml:space="preserve">쥬쥬</x:t>
        </x:is>
      </x:c>
      <x:c r="C90" s="5" t="inlineStr">
        <x:is>
          <x:t xml:space="preserve">seel</x:t>
        </x:is>
      </x:c>
      <x:c r="D90" s="5" t="inlineStr">
        <x:is>
          <x:t xml:space="preserve">Seel</x:t>
        </x:is>
      </x:c>
      <x:c r="E90" s="5" t="n">
        <x:v>1</x:v>
      </x:c>
      <x:c r="F90" s="5" t="inlineStr">
        <x:is>
          <x:t xml:space="preserve">물</x:t>
        </x:is>
      </x:c>
      <x:c r="G90" s="5" t="inlineStr">
        <x:is>
          <x:t xml:space="preserve"/>
        </x:is>
      </x:c>
      <x:c r="H90" s="6" t="n">
        <x:v>90</x:v>
      </x:c>
      <x:c r="I90" s="5" t="n">
        <x:v>34</x:v>
      </x:c>
      <x:c r="J90" s="5" t="inlineStr">
        <x:is>
          <x:t xml:space="preserve">기본</x:t>
        </x:is>
      </x:c>
      <x:c r="K90" s="7" t="inlineStr">
        <x:is>
          <x:t xml:space="preserve">해양</x:t>
        </x:is>
      </x:c>
      <x:c r="L90" s="7" t="inlineStr">
        <x:is>
          <x:t xml:space="preserve">해안·해양</x:t>
        </x:is>
      </x:c>
      <x:c r="M90" s="7" t="inlineStr">
        <x:is>
          <x:t xml:space="preserve">서늘</x:t>
        </x:is>
      </x:c>
      <x:c r="N90" s="7" t="inlineStr">
        <x:is>
          <x:t xml:space="preserve">수중</x:t>
        </x:is>
      </x:c>
      <x:c r="O90" s="7" t="inlineStr">
        <x:is>
          <x:t xml:space="preserve">비</x:t>
        </x:is>
      </x:c>
      <x:c r="P90" s="7" t="inlineStr">
        <x:is>
          <x:t xml:space="preserve">무관</x:t>
        </x:is>
      </x:c>
      <x:c r="Q90" s="7" t="inlineStr">
        <x:is>
          <x:t xml:space="preserve">흔함</x:t>
        </x:is>
      </x:c>
      <x:c r="R90" s="7" t="inlineStr">
        <x:is>
          <x:t xml:space="preserve">없음</x:t>
        </x:is>
      </x:c>
      <x:c r="S90" s="7" t="inlineStr">
        <x:is>
          <x:t xml:space="preserve">해양</x:t>
        </x:is>
      </x:c>
      <x:c r="T90" s="7" t="inlineStr">
        <x:is>
          <x:t xml:space="preserve"/>
        </x:is>
      </x:c>
      <x:c r="U90" s="8" t="str">
        <x:f>INDEX('서식지_점수'!$E$4:$P$4,1,MATCH(MAX('서식지_점수'!E90:P90),'서식지_점수'!E90:P90,0))</x:f>
        <x:v>해양</x:v>
      </x:c>
      <x:c r="V90" s="8" t="str">
        <x:f>IF(T90&lt;&gt;"",T90,U90)</x:f>
        <x:v>해양</x:v>
      </x:c>
      <x:c r="W90" s="8" t="str">
        <x:f>IFERROR(INDEX('서식지_점수'!$E$4:$P$4,1,MATCH(MAXIFS('서식지_점수'!E90:P90,'서식지_점수'!E90:P90,"&lt;"&amp;MAX('서식지_점수'!E90:P90)),'서식지_점수'!E90:P90,0)),"")</x:f>
        <x:v>습지</x:v>
      </x:c>
      <x:c r="X90" s="8" t="str">
        <x:f>IF(T90&lt;&gt;"","수동확정",IF(MAX('서식지_점수'!E90:P90)-LARGE('서식지_점수'!E90:P90,2)&gt;=15,"높음",IF(MAX('서식지_점수'!E90:P90)-LARGE('서식지_점수'!E90:P90,2)&gt;=8,"보통","검토필요")))</x:f>
        <x:v>높음</x:v>
      </x:c>
      <x:c r="Y90" s="9" t="n">
        <x:f>IF(Q90="전설",8,IF(Q90="희귀",7,IF(J90="기본",1,IF(J90="중간",3,IF(J90="최종",IF(I90="",5,IF(I90&lt;=20,3,IF(I90&lt;=35,4,IF(I90&lt;=50,6,7)))),IF(Q90="드묾",4,2))))))</x:f>
        <x:v>1</x:v>
      </x:c>
      <x:c r="Z90" s="5" t="inlineStr">
        <x:is>
          <x:t xml:space="preserve">#cobblemon:is_cold_ocean; #cobblemon:is_frozen_ocean</x:t>
        </x:is>
      </x:c>
      <x:c r="AA90" s="5" t="inlineStr">
        <x:is>
          <x:t xml:space="preserve">common</x:t>
        </x:is>
      </x:c>
      <x:c r="AB90" s="5" t="inlineStr">
        <x:is>
          <x:t xml:space="preserve">예</x:t>
        </x:is>
      </x:c>
      <x:c r="AC90" s="8" t="str">
        <x:f>IF(T90&lt;&gt;"","수동확정",IF(X90="검토필요","검토필요",IF(S90="","원본없음","초기완료")))</x:f>
        <x:v>초기완료</x:v>
      </x:c>
      <x:c r="AD90" s="7" t="inlineStr">
        <x:is>
          <x:t xml:space="preserve"/>
        </x:is>
      </x:c>
      <x:c r="AE90" s="5" t="inlineStr">
        <x:is>
          <x:t xml:space="preserve">.tmp/cobblemon-1.7.3-source/common/src/main/resources/data/cobblemon/species/generation1/seel.json</x:t>
        </x:is>
      </x:c>
      <x:c r="AF90" s="5" t="str">
        <x:f>"생활권|"&amp;K90</x:f>
        <x:v>생활권|해양</x:v>
      </x:c>
      <x:c r="AG90" s="5" t="str">
        <x:f>"지형|"&amp;L90</x:f>
        <x:v>지형|해안·해양</x:v>
      </x:c>
      <x:c r="AH90" s="5" t="str">
        <x:f>"온도|"&amp;M90</x:f>
        <x:v>온도|서늘</x:v>
      </x:c>
      <x:c r="AI90" s="5" t="str">
        <x:f>"습도|"&amp;N90</x:f>
        <x:v>습도|수중</x:v>
      </x:c>
      <x:c r="AJ90" s="5" t="str">
        <x:f>"날씨|"&amp;O90</x:f>
        <x:v>날씨|비</x:v>
      </x:c>
      <x:c r="AK90" s="5" t="str">
        <x:f>"특수태그|"&amp;R90</x:f>
        <x:v>특수태그|없음</x:v>
      </x:c>
      <x:c r="AL90" s="5" t="str">
        <x:f>"원본서식지|"&amp;S90</x:f>
        <x:v>원본서식지|해양</x:v>
      </x:c>
      <x:c r="AM90" s="5" t="str">
        <x:f>"타입|"&amp;F90</x:f>
        <x:v>타입|물</x:v>
      </x:c>
      <x:c r="AN90" s="5" t="str">
        <x:f>"타입|"&amp;G90</x:f>
        <x:v>타입|</x:v>
      </x:c>
    </x:row>
    <x:row r="91" ht="24" customHeight="1">
      <x:c r="A91" s="5" t="n">
        <x:v>87</x:v>
      </x:c>
      <x:c r="B91" s="5" t="inlineStr">
        <x:is>
          <x:t xml:space="preserve">쥬레곤</x:t>
        </x:is>
      </x:c>
      <x:c r="C91" s="5" t="inlineStr">
        <x:is>
          <x:t xml:space="preserve">dewgong</x:t>
        </x:is>
      </x:c>
      <x:c r="D91" s="5" t="inlineStr">
        <x:is>
          <x:t xml:space="preserve">Dewgong</x:t>
        </x:is>
      </x:c>
      <x:c r="E91" s="5" t="n">
        <x:v>1</x:v>
      </x:c>
      <x:c r="F91" s="5" t="inlineStr">
        <x:is>
          <x:t xml:space="preserve">물</x:t>
        </x:is>
      </x:c>
      <x:c r="G91" s="5" t="inlineStr">
        <x:is>
          <x:t xml:space="preserve">얼음</x:t>
        </x:is>
      </x:c>
      <x:c r="H91" s="6" t="n">
        <x:v>120</x:v>
      </x:c>
      <x:c r="I91" s="5" t="n">
        <x:v>34</x:v>
      </x:c>
      <x:c r="J91" s="5" t="inlineStr">
        <x:is>
          <x:t xml:space="preserve">최종</x:t>
        </x:is>
      </x:c>
      <x:c r="K91" s="7" t="inlineStr">
        <x:is>
          <x:t xml:space="preserve">해양</x:t>
        </x:is>
      </x:c>
      <x:c r="L91" s="7" t="inlineStr">
        <x:is>
          <x:t xml:space="preserve">해안·해양</x:t>
        </x:is>
      </x:c>
      <x:c r="M91" s="7" t="inlineStr">
        <x:is>
          <x:t xml:space="preserve">한랭</x:t>
        </x:is>
      </x:c>
      <x:c r="N91" s="7" t="inlineStr">
        <x:is>
          <x:t xml:space="preserve">수중</x:t>
        </x:is>
      </x:c>
      <x:c r="O91" s="7" t="inlineStr">
        <x:is>
          <x:t xml:space="preserve">비</x:t>
        </x:is>
      </x:c>
      <x:c r="P91" s="7" t="inlineStr">
        <x:is>
          <x:t xml:space="preserve">무관</x:t>
        </x:is>
      </x:c>
      <x:c r="Q91" s="7" t="inlineStr">
        <x:is>
          <x:t xml:space="preserve">흔함</x:t>
        </x:is>
      </x:c>
      <x:c r="R91" s="7" t="inlineStr">
        <x:is>
          <x:t xml:space="preserve">없음</x:t>
        </x:is>
      </x:c>
      <x:c r="S91" s="7" t="inlineStr">
        <x:is>
          <x:t xml:space="preserve">해양</x:t>
        </x:is>
      </x:c>
      <x:c r="T91" s="7" t="inlineStr">
        <x:is>
          <x:t xml:space="preserve"/>
        </x:is>
      </x:c>
      <x:c r="U91" s="8" t="str">
        <x:f>INDEX('서식지_점수'!$E$4:$P$4,1,MATCH(MAX('서식지_점수'!E91:P91),'서식지_점수'!E91:P91,0))</x:f>
        <x:v>해양</x:v>
      </x:c>
      <x:c r="V91" s="8" t="str">
        <x:f>IF(T91&lt;&gt;"",T91,U91)</x:f>
        <x:v>해양</x:v>
      </x:c>
      <x:c r="W91" s="8" t="str">
        <x:f>IFERROR(INDEX('서식지_점수'!$E$4:$P$4,1,MATCH(MAXIFS('서식지_점수'!E91:P91,'서식지_점수'!E91:P91,"&lt;"&amp;MAX('서식지_점수'!E91:P91)),'서식지_점수'!E91:P91,0)),"")</x:f>
        <x:v>습지</x:v>
      </x:c>
      <x:c r="X91" s="8" t="str">
        <x:f>IF(T91&lt;&gt;"","수동확정",IF(MAX('서식지_점수'!E91:P91)-LARGE('서식지_점수'!E91:P91,2)&gt;=15,"높음",IF(MAX('서식지_점수'!E91:P91)-LARGE('서식지_점수'!E91:P91,2)&gt;=8,"보통","검토필요")))</x:f>
        <x:v>높음</x:v>
      </x:c>
      <x:c r="Y91" s="9" t="n">
        <x:f>IF(Q91="전설",8,IF(Q91="희귀",7,IF(J91="기본",1,IF(J91="중간",3,IF(J91="최종",IF(I91="",5,IF(I91&lt;=20,3,IF(I91&lt;=35,4,IF(I91&lt;=50,6,7)))),IF(Q91="드묾",4,2))))))</x:f>
        <x:v>4</x:v>
      </x:c>
      <x:c r="Z91" s="5" t="inlineStr">
        <x:is>
          <x:t xml:space="preserve">#cobblemon:is_cold_ocean; #cobblemon:is_frozen_ocean</x:t>
        </x:is>
      </x:c>
      <x:c r="AA91" s="5" t="inlineStr">
        <x:is>
          <x:t xml:space="preserve">common</x:t>
        </x:is>
      </x:c>
      <x:c r="AB91" s="5" t="inlineStr">
        <x:is>
          <x:t xml:space="preserve">예</x:t>
        </x:is>
      </x:c>
      <x:c r="AC91" s="8" t="str">
        <x:f>IF(T91&lt;&gt;"","수동확정",IF(X91="검토필요","검토필요",IF(S91="","원본없음","초기완료")))</x:f>
        <x:v>초기완료</x:v>
      </x:c>
      <x:c r="AD91" s="7" t="inlineStr">
        <x:is>
          <x:t xml:space="preserve"/>
        </x:is>
      </x:c>
      <x:c r="AE91" s="5" t="inlineStr">
        <x:is>
          <x:t xml:space="preserve">.tmp/cobblemon-1.7.3-source/common/src/main/resources/data/cobblemon/species/generation1/dewgong.json</x:t>
        </x:is>
      </x:c>
      <x:c r="AF91" s="5" t="str">
        <x:f>"생활권|"&amp;K91</x:f>
        <x:v>생활권|해양</x:v>
      </x:c>
      <x:c r="AG91" s="5" t="str">
        <x:f>"지형|"&amp;L91</x:f>
        <x:v>지형|해안·해양</x:v>
      </x:c>
      <x:c r="AH91" s="5" t="str">
        <x:f>"온도|"&amp;M91</x:f>
        <x:v>온도|한랭</x:v>
      </x:c>
      <x:c r="AI91" s="5" t="str">
        <x:f>"습도|"&amp;N91</x:f>
        <x:v>습도|수중</x:v>
      </x:c>
      <x:c r="AJ91" s="5" t="str">
        <x:f>"날씨|"&amp;O91</x:f>
        <x:v>날씨|비</x:v>
      </x:c>
      <x:c r="AK91" s="5" t="str">
        <x:f>"특수태그|"&amp;R91</x:f>
        <x:v>특수태그|없음</x:v>
      </x:c>
      <x:c r="AL91" s="5" t="str">
        <x:f>"원본서식지|"&amp;S91</x:f>
        <x:v>원본서식지|해양</x:v>
      </x:c>
      <x:c r="AM91" s="5" t="str">
        <x:f>"타입|"&amp;F91</x:f>
        <x:v>타입|물</x:v>
      </x:c>
      <x:c r="AN91" s="5" t="str">
        <x:f>"타입|"&amp;G91</x:f>
        <x:v>타입|얼음</x:v>
      </x:c>
    </x:row>
    <x:row r="92" ht="24" customHeight="1">
      <x:c r="A92" s="5" t="n">
        <x:v>88</x:v>
      </x:c>
      <x:c r="B92" s="5" t="inlineStr">
        <x:is>
          <x:t xml:space="preserve">질퍽이</x:t>
        </x:is>
      </x:c>
      <x:c r="C92" s="5" t="inlineStr">
        <x:is>
          <x:t xml:space="preserve">grimer</x:t>
        </x:is>
      </x:c>
      <x:c r="D92" s="5" t="inlineStr">
        <x:is>
          <x:t xml:space="preserve">Grimer</x:t>
        </x:is>
      </x:c>
      <x:c r="E92" s="5" t="n">
        <x:v>1</x:v>
      </x:c>
      <x:c r="F92" s="5" t="inlineStr">
        <x:is>
          <x:t xml:space="preserve">독</x:t>
        </x:is>
      </x:c>
      <x:c r="G92" s="5" t="inlineStr">
        <x:is>
          <x:t xml:space="preserve"/>
        </x:is>
      </x:c>
      <x:c r="H92" s="6" t="n">
        <x:v>30</x:v>
      </x:c>
      <x:c r="I92" s="5" t="n">
        <x:v>38</x:v>
      </x:c>
      <x:c r="J92" s="5" t="inlineStr">
        <x:is>
          <x:t xml:space="preserve">기본</x:t>
        </x:is>
      </x:c>
      <x:c r="K92" s="7" t="inlineStr">
        <x:is>
          <x:t xml:space="preserve">해양</x:t>
        </x:is>
      </x:c>
      <x:c r="L92" s="7" t="inlineStr">
        <x:is>
          <x:t xml:space="preserve">해안·해양</x:t>
        </x:is>
      </x:c>
      <x:c r="M92" s="7" t="inlineStr">
        <x:is>
          <x:t xml:space="preserve">온대</x:t>
        </x:is>
      </x:c>
      <x:c r="N92" s="7" t="inlineStr">
        <x:is>
          <x:t xml:space="preserve">수중</x:t>
        </x:is>
      </x:c>
      <x:c r="O92" s="7" t="inlineStr">
        <x:is>
          <x:t xml:space="preserve">비</x:t>
        </x:is>
      </x:c>
      <x:c r="P92" s="7" t="inlineStr">
        <x:is>
          <x:t xml:space="preserve">무관</x:t>
        </x:is>
      </x:c>
      <x:c r="Q92" s="7" t="inlineStr">
        <x:is>
          <x:t xml:space="preserve">보통</x:t>
        </x:is>
      </x:c>
      <x:c r="R92" s="7" t="inlineStr">
        <x:is>
          <x:t xml:space="preserve">없음</x:t>
        </x:is>
      </x:c>
      <x:c r="S92" s="7" t="inlineStr">
        <x:is>
          <x:t xml:space="preserve">해양</x:t>
        </x:is>
      </x:c>
      <x:c r="T92" s="7" t="inlineStr">
        <x:is>
          <x:t xml:space="preserve"/>
        </x:is>
      </x:c>
      <x:c r="U92" s="8" t="str">
        <x:f>INDEX('서식지_점수'!$E$4:$P$4,1,MATCH(MAX('서식지_점수'!E92:P92),'서식지_점수'!E92:P92,0))</x:f>
        <x:v>해양</x:v>
      </x:c>
      <x:c r="V92" s="8" t="str">
        <x:f>IF(T92&lt;&gt;"",T92,U92)</x:f>
        <x:v>해양</x:v>
      </x:c>
      <x:c r="W92" s="8" t="str">
        <x:f>IFERROR(INDEX('서식지_점수'!$E$4:$P$4,1,MATCH(MAXIFS('서식지_점수'!E92:P92,'서식지_점수'!E92:P92,"&lt;"&amp;MAX('서식지_점수'!E92:P92)),'서식지_점수'!E92:P92,0)),"")</x:f>
        <x:v>습지</x:v>
      </x:c>
      <x:c r="X92" s="8" t="str">
        <x:f>IF(T92&lt;&gt;"","수동확정",IF(MAX('서식지_점수'!E92:P92)-LARGE('서식지_점수'!E92:P92,2)&gt;=15,"높음",IF(MAX('서식지_점수'!E92:P92)-LARGE('서식지_점수'!E92:P92,2)&gt;=8,"보통","검토필요")))</x:f>
        <x:v>높음</x:v>
      </x:c>
      <x:c r="Y92" s="9" t="n">
        <x:f>IF(Q92="전설",8,IF(Q92="희귀",7,IF(J92="기본",1,IF(J92="중간",3,IF(J92="최종",IF(I92="",5,IF(I92&lt;=20,3,IF(I92&lt;=35,4,IF(I92&lt;=50,6,7)))),IF(Q92="드묾",4,2))))))</x:f>
        <x:v>1</x:v>
      </x:c>
      <x:c r="Z92" s="5" t="inlineStr">
        <x:is>
          <x:t xml:space="preserve">#cobblemon:is_beach; #cobblemon:is_overworld; #cobblemon:is_swamp; #minecraft:is_beach</x:t>
        </x:is>
      </x:c>
      <x:c r="AA92" s="5" t="inlineStr">
        <x:is>
          <x:t xml:space="preserve">common; uncommon</x:t>
        </x:is>
      </x:c>
      <x:c r="AB92" s="5" t="inlineStr">
        <x:is>
          <x:t xml:space="preserve">예</x:t>
        </x:is>
      </x:c>
      <x:c r="AC92" s="8" t="str">
        <x:f>IF(T92&lt;&gt;"","수동확정",IF(X92="검토필요","검토필요",IF(S92="","원본없음","초기완료")))</x:f>
        <x:v>초기완료</x:v>
      </x:c>
      <x:c r="AD92" s="7" t="inlineStr">
        <x:is>
          <x:t xml:space="preserve"/>
        </x:is>
      </x:c>
      <x:c r="AE92" s="5" t="inlineStr">
        <x:is>
          <x:t xml:space="preserve">.tmp/cobblemon-1.7.3-source/common/src/main/resources/data/cobblemon/species/generation1/grimer.json</x:t>
        </x:is>
      </x:c>
      <x:c r="AF92" s="5" t="str">
        <x:f>"생활권|"&amp;K92</x:f>
        <x:v>생활권|해양</x:v>
      </x:c>
      <x:c r="AG92" s="5" t="str">
        <x:f>"지형|"&amp;L92</x:f>
        <x:v>지형|해안·해양</x:v>
      </x:c>
      <x:c r="AH92" s="5" t="str">
        <x:f>"온도|"&amp;M92</x:f>
        <x:v>온도|온대</x:v>
      </x:c>
      <x:c r="AI92" s="5" t="str">
        <x:f>"습도|"&amp;N92</x:f>
        <x:v>습도|수중</x:v>
      </x:c>
      <x:c r="AJ92" s="5" t="str">
        <x:f>"날씨|"&amp;O92</x:f>
        <x:v>날씨|비</x:v>
      </x:c>
      <x:c r="AK92" s="5" t="str">
        <x:f>"특수태그|"&amp;R92</x:f>
        <x:v>특수태그|없음</x:v>
      </x:c>
      <x:c r="AL92" s="5" t="str">
        <x:f>"원본서식지|"&amp;S92</x:f>
        <x:v>원본서식지|해양</x:v>
      </x:c>
      <x:c r="AM92" s="5" t="str">
        <x:f>"타입|"&amp;F92</x:f>
        <x:v>타입|독</x:v>
      </x:c>
      <x:c r="AN92" s="5" t="str">
        <x:f>"타입|"&amp;G92</x:f>
        <x:v>타입|</x:v>
      </x:c>
    </x:row>
    <x:row r="93" ht="24" customHeight="1">
      <x:c r="A93" s="5" t="n">
        <x:v>89</x:v>
      </x:c>
      <x:c r="B93" s="5" t="inlineStr">
        <x:is>
          <x:t xml:space="preserve">질뻐기</x:t>
        </x:is>
      </x:c>
      <x:c r="C93" s="5" t="inlineStr">
        <x:is>
          <x:t xml:space="preserve">muk</x:t>
        </x:is>
      </x:c>
      <x:c r="D93" s="5" t="inlineStr">
        <x:is>
          <x:t xml:space="preserve">Muk</x:t>
        </x:is>
      </x:c>
      <x:c r="E93" s="5" t="n">
        <x:v>1</x:v>
      </x:c>
      <x:c r="F93" s="5" t="inlineStr">
        <x:is>
          <x:t xml:space="preserve">독</x:t>
        </x:is>
      </x:c>
      <x:c r="G93" s="5" t="inlineStr">
        <x:is>
          <x:t xml:space="preserve"/>
        </x:is>
      </x:c>
      <x:c r="H93" s="6" t="n">
        <x:v>30</x:v>
      </x:c>
      <x:c r="I93" s="5" t="n">
        <x:v>38</x:v>
      </x:c>
      <x:c r="J93" s="5" t="inlineStr">
        <x:is>
          <x:t xml:space="preserve">최종</x:t>
        </x:is>
      </x:c>
      <x:c r="K93" s="7" t="inlineStr">
        <x:is>
          <x:t xml:space="preserve">해양</x:t>
        </x:is>
      </x:c>
      <x:c r="L93" s="7" t="inlineStr">
        <x:is>
          <x:t xml:space="preserve">해안·해양</x:t>
        </x:is>
      </x:c>
      <x:c r="M93" s="7" t="inlineStr">
        <x:is>
          <x:t xml:space="preserve">온대</x:t>
        </x:is>
      </x:c>
      <x:c r="N93" s="7" t="inlineStr">
        <x:is>
          <x:t xml:space="preserve">수중</x:t>
        </x:is>
      </x:c>
      <x:c r="O93" s="7" t="inlineStr">
        <x:is>
          <x:t xml:space="preserve">비</x:t>
        </x:is>
      </x:c>
      <x:c r="P93" s="7" t="inlineStr">
        <x:is>
          <x:t xml:space="preserve">무관</x:t>
        </x:is>
      </x:c>
      <x:c r="Q93" s="7" t="inlineStr">
        <x:is>
          <x:t xml:space="preserve">보통</x:t>
        </x:is>
      </x:c>
      <x:c r="R93" s="7" t="inlineStr">
        <x:is>
          <x:t xml:space="preserve">없음</x:t>
        </x:is>
      </x:c>
      <x:c r="S93" s="7" t="inlineStr">
        <x:is>
          <x:t xml:space="preserve">해양</x:t>
        </x:is>
      </x:c>
      <x:c r="T93" s="7" t="inlineStr">
        <x:is>
          <x:t xml:space="preserve"/>
        </x:is>
      </x:c>
      <x:c r="U93" s="8" t="str">
        <x:f>INDEX('서식지_점수'!$E$4:$P$4,1,MATCH(MAX('서식지_점수'!E93:P93),'서식지_점수'!E93:P93,0))</x:f>
        <x:v>해양</x:v>
      </x:c>
      <x:c r="V93" s="8" t="str">
        <x:f>IF(T93&lt;&gt;"",T93,U93)</x:f>
        <x:v>해양</x:v>
      </x:c>
      <x:c r="W93" s="8" t="str">
        <x:f>IFERROR(INDEX('서식지_점수'!$E$4:$P$4,1,MATCH(MAXIFS('서식지_점수'!E93:P93,'서식지_점수'!E93:P93,"&lt;"&amp;MAX('서식지_점수'!E93:P93)),'서식지_점수'!E93:P93,0)),"")</x:f>
        <x:v>습지</x:v>
      </x:c>
      <x:c r="X93" s="8" t="str">
        <x:f>IF(T93&lt;&gt;"","수동확정",IF(MAX('서식지_점수'!E93:P93)-LARGE('서식지_점수'!E93:P93,2)&gt;=15,"높음",IF(MAX('서식지_점수'!E93:P93)-LARGE('서식지_점수'!E93:P93,2)&gt;=8,"보통","검토필요")))</x:f>
        <x:v>높음</x:v>
      </x:c>
      <x:c r="Y93" s="9" t="n">
        <x:f>IF(Q93="전설",8,IF(Q93="희귀",7,IF(J93="기본",1,IF(J93="중간",3,IF(J93="최종",IF(I93="",5,IF(I93&lt;=20,3,IF(I93&lt;=35,4,IF(I93&lt;=50,6,7)))),IF(Q93="드묾",4,2))))))</x:f>
        <x:v>6</x:v>
      </x:c>
      <x:c r="Z93" s="5" t="inlineStr">
        <x:is>
          <x:t xml:space="preserve">#cobblemon:is_beach; #cobblemon:is_overworld; #cobblemon:is_swamp; #minecraft:is_beach</x:t>
        </x:is>
      </x:c>
      <x:c r="AA93" s="5" t="inlineStr">
        <x:is>
          <x:t xml:space="preserve">common; rare; uncommon</x:t>
        </x:is>
      </x:c>
      <x:c r="AB93" s="5" t="inlineStr">
        <x:is>
          <x:t xml:space="preserve">예</x:t>
        </x:is>
      </x:c>
      <x:c r="AC93" s="8" t="str">
        <x:f>IF(T93&lt;&gt;"","수동확정",IF(X93="검토필요","검토필요",IF(S93="","원본없음","초기완료")))</x:f>
        <x:v>초기완료</x:v>
      </x:c>
      <x:c r="AD93" s="7" t="inlineStr">
        <x:is>
          <x:t xml:space="preserve"/>
        </x:is>
      </x:c>
      <x:c r="AE93" s="5" t="inlineStr">
        <x:is>
          <x:t xml:space="preserve">.tmp/cobblemon-1.7.3-source/common/src/main/resources/data/cobblemon/species/generation1/muk.json</x:t>
        </x:is>
      </x:c>
      <x:c r="AF93" s="5" t="str">
        <x:f>"생활권|"&amp;K93</x:f>
        <x:v>생활권|해양</x:v>
      </x:c>
      <x:c r="AG93" s="5" t="str">
        <x:f>"지형|"&amp;L93</x:f>
        <x:v>지형|해안·해양</x:v>
      </x:c>
      <x:c r="AH93" s="5" t="str">
        <x:f>"온도|"&amp;M93</x:f>
        <x:v>온도|온대</x:v>
      </x:c>
      <x:c r="AI93" s="5" t="str">
        <x:f>"습도|"&amp;N93</x:f>
        <x:v>습도|수중</x:v>
      </x:c>
      <x:c r="AJ93" s="5" t="str">
        <x:f>"날씨|"&amp;O93</x:f>
        <x:v>날씨|비</x:v>
      </x:c>
      <x:c r="AK93" s="5" t="str">
        <x:f>"특수태그|"&amp;R93</x:f>
        <x:v>특수태그|없음</x:v>
      </x:c>
      <x:c r="AL93" s="5" t="str">
        <x:f>"원본서식지|"&amp;S93</x:f>
        <x:v>원본서식지|해양</x:v>
      </x:c>
      <x:c r="AM93" s="5" t="str">
        <x:f>"타입|"&amp;F93</x:f>
        <x:v>타입|독</x:v>
      </x:c>
      <x:c r="AN93" s="5" t="str">
        <x:f>"타입|"&amp;G93</x:f>
        <x:v>타입|</x:v>
      </x:c>
    </x:row>
    <x:row r="94" ht="24" customHeight="1">
      <x:c r="A94" s="5" t="n">
        <x:v>90</x:v>
      </x:c>
      <x:c r="B94" s="5" t="inlineStr">
        <x:is>
          <x:t xml:space="preserve">셀러</x:t>
        </x:is>
      </x:c>
      <x:c r="C94" s="5" t="inlineStr">
        <x:is>
          <x:t xml:space="preserve">shellder</x:t>
        </x:is>
      </x:c>
      <x:c r="D94" s="5" t="inlineStr">
        <x:is>
          <x:t xml:space="preserve">Shellder</x:t>
        </x:is>
      </x:c>
      <x:c r="E94" s="5" t="n">
        <x:v>1</x:v>
      </x:c>
      <x:c r="F94" s="5" t="inlineStr">
        <x:is>
          <x:t xml:space="preserve">물</x:t>
        </x:is>
      </x:c>
      <x:c r="G94" s="5" t="inlineStr">
        <x:is>
          <x:t xml:space="preserve"/>
        </x:is>
      </x:c>
      <x:c r="H94" s="6" t="n">
        <x:v>4</x:v>
      </x:c>
      <x:c r="I94" s="5" t="n"/>
      <x:c r="J94" s="5" t="inlineStr">
        <x:is>
          <x:t xml:space="preserve">기본</x:t>
        </x:is>
      </x:c>
      <x:c r="K94" s="7" t="inlineStr">
        <x:is>
          <x:t xml:space="preserve">해양</x:t>
        </x:is>
      </x:c>
      <x:c r="L94" s="7" t="inlineStr">
        <x:is>
          <x:t xml:space="preserve">해안·해양</x:t>
        </x:is>
      </x:c>
      <x:c r="M94" s="7" t="inlineStr">
        <x:is>
          <x:t xml:space="preserve">서늘</x:t>
        </x:is>
      </x:c>
      <x:c r="N94" s="7" t="inlineStr">
        <x:is>
          <x:t xml:space="preserve">수중</x:t>
        </x:is>
      </x:c>
      <x:c r="O94" s="7" t="inlineStr">
        <x:is>
          <x:t xml:space="preserve">비</x:t>
        </x:is>
      </x:c>
      <x:c r="P94" s="7" t="inlineStr">
        <x:is>
          <x:t xml:space="preserve">무관</x:t>
        </x:is>
      </x:c>
      <x:c r="Q94" s="7" t="inlineStr">
        <x:is>
          <x:t xml:space="preserve">흔함</x:t>
        </x:is>
      </x:c>
      <x:c r="R94" s="7" t="inlineStr">
        <x:is>
          <x:t xml:space="preserve">없음</x:t>
        </x:is>
      </x:c>
      <x:c r="S94" s="7" t="inlineStr">
        <x:is>
          <x:t xml:space="preserve">해양</x:t>
        </x:is>
      </x:c>
      <x:c r="T94" s="7" t="inlineStr">
        <x:is>
          <x:t xml:space="preserve"/>
        </x:is>
      </x:c>
      <x:c r="U94" s="8" t="str">
        <x:f>INDEX('서식지_점수'!$E$4:$P$4,1,MATCH(MAX('서식지_점수'!E94:P94),'서식지_점수'!E94:P94,0))</x:f>
        <x:v>해양</x:v>
      </x:c>
      <x:c r="V94" s="8" t="str">
        <x:f>IF(T94&lt;&gt;"",T94,U94)</x:f>
        <x:v>해양</x:v>
      </x:c>
      <x:c r="W94" s="8" t="str">
        <x:f>IFERROR(INDEX('서식지_점수'!$E$4:$P$4,1,MATCH(MAXIFS('서식지_점수'!E94:P94,'서식지_점수'!E94:P94,"&lt;"&amp;MAX('서식지_점수'!E94:P94)),'서식지_점수'!E94:P94,0)),"")</x:f>
        <x:v>습지</x:v>
      </x:c>
      <x:c r="X94" s="8" t="str">
        <x:f>IF(T94&lt;&gt;"","수동확정",IF(MAX('서식지_점수'!E94:P94)-LARGE('서식지_점수'!E94:P94,2)&gt;=15,"높음",IF(MAX('서식지_점수'!E94:P94)-LARGE('서식지_점수'!E94:P94,2)&gt;=8,"보통","검토필요")))</x:f>
        <x:v>높음</x:v>
      </x:c>
      <x:c r="Y94" s="9" t="n">
        <x:f>IF(Q94="전설",8,IF(Q94="희귀",7,IF(J94="기본",1,IF(J94="중간",3,IF(J94="최종",IF(I94="",5,IF(I94&lt;=20,3,IF(I94&lt;=35,4,IF(I94&lt;=50,6,7)))),IF(Q94="드묾",4,2))))))</x:f>
        <x:v>1</x:v>
      </x:c>
      <x:c r="Z94" s="5" t="inlineStr">
        <x:is>
          <x:t xml:space="preserve">#cobblemon:is_coast; #cobblemon:is_cold_ocean; #cobblemon:is_frozen_ocean; #cobblemon:is_ocean; #cobblemon:is_overworld</x:t>
        </x:is>
      </x:c>
      <x:c r="AA94" s="5" t="inlineStr">
        <x:is>
          <x:t xml:space="preserve">common</x:t>
        </x:is>
      </x:c>
      <x:c r="AB94" s="5" t="inlineStr">
        <x:is>
          <x:t xml:space="preserve">예</x:t>
        </x:is>
      </x:c>
      <x:c r="AC94" s="8" t="str">
        <x:f>IF(T94&lt;&gt;"","수동확정",IF(X94="검토필요","검토필요",IF(S94="","원본없음","초기완료")))</x:f>
        <x:v>초기완료</x:v>
      </x:c>
      <x:c r="AD94" s="7" t="inlineStr">
        <x:is>
          <x:t xml:space="preserve"/>
        </x:is>
      </x:c>
      <x:c r="AE94" s="5" t="inlineStr">
        <x:is>
          <x:t xml:space="preserve">.tmp/cobblemon-1.7.3-source/common/src/main/resources/data/cobblemon/species/generation1/shellder.json</x:t>
        </x:is>
      </x:c>
      <x:c r="AF94" s="5" t="str">
        <x:f>"생활권|"&amp;K94</x:f>
        <x:v>생활권|해양</x:v>
      </x:c>
      <x:c r="AG94" s="5" t="str">
        <x:f>"지형|"&amp;L94</x:f>
        <x:v>지형|해안·해양</x:v>
      </x:c>
      <x:c r="AH94" s="5" t="str">
        <x:f>"온도|"&amp;M94</x:f>
        <x:v>온도|서늘</x:v>
      </x:c>
      <x:c r="AI94" s="5" t="str">
        <x:f>"습도|"&amp;N94</x:f>
        <x:v>습도|수중</x:v>
      </x:c>
      <x:c r="AJ94" s="5" t="str">
        <x:f>"날씨|"&amp;O94</x:f>
        <x:v>날씨|비</x:v>
      </x:c>
      <x:c r="AK94" s="5" t="str">
        <x:f>"특수태그|"&amp;R94</x:f>
        <x:v>특수태그|없음</x:v>
      </x:c>
      <x:c r="AL94" s="5" t="str">
        <x:f>"원본서식지|"&amp;S94</x:f>
        <x:v>원본서식지|해양</x:v>
      </x:c>
      <x:c r="AM94" s="5" t="str">
        <x:f>"타입|"&amp;F94</x:f>
        <x:v>타입|물</x:v>
      </x:c>
      <x:c r="AN94" s="5" t="str">
        <x:f>"타입|"&amp;G94</x:f>
        <x:v>타입|</x:v>
      </x:c>
    </x:row>
    <x:row r="95" ht="24" customHeight="1">
      <x:c r="A95" s="5" t="n">
        <x:v>91</x:v>
      </x:c>
      <x:c r="B95" s="5" t="inlineStr">
        <x:is>
          <x:t xml:space="preserve">파르셀</x:t>
        </x:is>
      </x:c>
      <x:c r="C95" s="5" t="inlineStr">
        <x:is>
          <x:t xml:space="preserve">cloyster</x:t>
        </x:is>
      </x:c>
      <x:c r="D95" s="5" t="inlineStr">
        <x:is>
          <x:t xml:space="preserve">Cloyster</x:t>
        </x:is>
      </x:c>
      <x:c r="E95" s="5" t="n">
        <x:v>1</x:v>
      </x:c>
      <x:c r="F95" s="5" t="inlineStr">
        <x:is>
          <x:t xml:space="preserve">물</x:t>
        </x:is>
      </x:c>
      <x:c r="G95" s="5" t="inlineStr">
        <x:is>
          <x:t xml:space="preserve">얼음</x:t>
        </x:is>
      </x:c>
      <x:c r="H95" s="6" t="n">
        <x:v>132.5</x:v>
      </x:c>
      <x:c r="I95" s="5" t="n"/>
      <x:c r="J95" s="5" t="inlineStr">
        <x:is>
          <x:t xml:space="preserve">최종</x:t>
        </x:is>
      </x:c>
      <x:c r="K95" s="7" t="inlineStr">
        <x:is>
          <x:t xml:space="preserve">해양</x:t>
        </x:is>
      </x:c>
      <x:c r="L95" s="7" t="inlineStr">
        <x:is>
          <x:t xml:space="preserve">해안·해양</x:t>
        </x:is>
      </x:c>
      <x:c r="M95" s="7" t="inlineStr">
        <x:is>
          <x:t xml:space="preserve">한랭</x:t>
        </x:is>
      </x:c>
      <x:c r="N95" s="7" t="inlineStr">
        <x:is>
          <x:t xml:space="preserve">수중</x:t>
        </x:is>
      </x:c>
      <x:c r="O95" s="7" t="inlineStr">
        <x:is>
          <x:t xml:space="preserve">비</x:t>
        </x:is>
      </x:c>
      <x:c r="P95" s="7" t="inlineStr">
        <x:is>
          <x:t xml:space="preserve">무관</x:t>
        </x:is>
      </x:c>
      <x:c r="Q95" s="7" t="inlineStr">
        <x:is>
          <x:t xml:space="preserve">흔함</x:t>
        </x:is>
      </x:c>
      <x:c r="R95" s="7" t="inlineStr">
        <x:is>
          <x:t xml:space="preserve">없음</x:t>
        </x:is>
      </x:c>
      <x:c r="S95" s="7" t="inlineStr">
        <x:is>
          <x:t xml:space="preserve">해양</x:t>
        </x:is>
      </x:c>
      <x:c r="T95" s="7" t="inlineStr">
        <x:is>
          <x:t xml:space="preserve"/>
        </x:is>
      </x:c>
      <x:c r="U95" s="8" t="str">
        <x:f>INDEX('서식지_점수'!$E$4:$P$4,1,MATCH(MAX('서식지_점수'!E95:P95),'서식지_점수'!E95:P95,0))</x:f>
        <x:v>해양</x:v>
      </x:c>
      <x:c r="V95" s="8" t="str">
        <x:f>IF(T95&lt;&gt;"",T95,U95)</x:f>
        <x:v>해양</x:v>
      </x:c>
      <x:c r="W95" s="8" t="str">
        <x:f>IFERROR(INDEX('서식지_점수'!$E$4:$P$4,1,MATCH(MAXIFS('서식지_점수'!E95:P95,'서식지_점수'!E95:P95,"&lt;"&amp;MAX('서식지_점수'!E95:P95)),'서식지_점수'!E95:P95,0)),"")</x:f>
        <x:v>습지</x:v>
      </x:c>
      <x:c r="X95" s="8" t="str">
        <x:f>IF(T95&lt;&gt;"","수동확정",IF(MAX('서식지_점수'!E95:P95)-LARGE('서식지_점수'!E95:P95,2)&gt;=15,"높음",IF(MAX('서식지_점수'!E95:P95)-LARGE('서식지_점수'!E95:P95,2)&gt;=8,"보통","검토필요")))</x:f>
        <x:v>높음</x:v>
      </x:c>
      <x:c r="Y95" s="9" t="n">
        <x:f>IF(Q95="전설",8,IF(Q95="희귀",7,IF(J95="기본",1,IF(J95="중간",3,IF(J95="최종",IF(I95="",5,IF(I95&lt;=20,3,IF(I95&lt;=35,4,IF(I95&lt;=50,6,7)))),IF(Q95="드묾",4,2))))))</x:f>
        <x:v>5</x:v>
      </x:c>
      <x:c r="Z95" s="5" t="inlineStr">
        <x:is>
          <x:t xml:space="preserve">#cobblemon:is_coast; #cobblemon:is_cold_ocean; #cobblemon:is_frozen_ocean; #cobblemon:is_ocean; #cobblemon:is_overworld</x:t>
        </x:is>
      </x:c>
      <x:c r="AA95" s="5" t="inlineStr">
        <x:is>
          <x:t xml:space="preserve">common</x:t>
        </x:is>
      </x:c>
      <x:c r="AB95" s="5" t="inlineStr">
        <x:is>
          <x:t xml:space="preserve">예</x:t>
        </x:is>
      </x:c>
      <x:c r="AC95" s="8" t="str">
        <x:f>IF(T95&lt;&gt;"","수동확정",IF(X95="검토필요","검토필요",IF(S95="","원본없음","초기완료")))</x:f>
        <x:v>초기완료</x:v>
      </x:c>
      <x:c r="AD95" s="7" t="inlineStr">
        <x:is>
          <x:t xml:space="preserve"/>
        </x:is>
      </x:c>
      <x:c r="AE95" s="5" t="inlineStr">
        <x:is>
          <x:t xml:space="preserve">.tmp/cobblemon-1.7.3-source/common/src/main/resources/data/cobblemon/species/generation1/cloyster.json</x:t>
        </x:is>
      </x:c>
      <x:c r="AF95" s="5" t="str">
        <x:f>"생활권|"&amp;K95</x:f>
        <x:v>생활권|해양</x:v>
      </x:c>
      <x:c r="AG95" s="5" t="str">
        <x:f>"지형|"&amp;L95</x:f>
        <x:v>지형|해안·해양</x:v>
      </x:c>
      <x:c r="AH95" s="5" t="str">
        <x:f>"온도|"&amp;M95</x:f>
        <x:v>온도|한랭</x:v>
      </x:c>
      <x:c r="AI95" s="5" t="str">
        <x:f>"습도|"&amp;N95</x:f>
        <x:v>습도|수중</x:v>
      </x:c>
      <x:c r="AJ95" s="5" t="str">
        <x:f>"날씨|"&amp;O95</x:f>
        <x:v>날씨|비</x:v>
      </x:c>
      <x:c r="AK95" s="5" t="str">
        <x:f>"특수태그|"&amp;R95</x:f>
        <x:v>특수태그|없음</x:v>
      </x:c>
      <x:c r="AL95" s="5" t="str">
        <x:f>"원본서식지|"&amp;S95</x:f>
        <x:v>원본서식지|해양</x:v>
      </x:c>
      <x:c r="AM95" s="5" t="str">
        <x:f>"타입|"&amp;F95</x:f>
        <x:v>타입|물</x:v>
      </x:c>
      <x:c r="AN95" s="5" t="str">
        <x:f>"타입|"&amp;G95</x:f>
        <x:v>타입|얼음</x:v>
      </x:c>
    </x:row>
    <x:row r="96" ht="24" customHeight="1">
      <x:c r="A96" s="5" t="n">
        <x:v>92</x:v>
      </x:c>
      <x:c r="B96" s="5" t="inlineStr">
        <x:is>
          <x:t xml:space="preserve">고오스</x:t>
        </x:is>
      </x:c>
      <x:c r="C96" s="5" t="inlineStr">
        <x:is>
          <x:t xml:space="preserve">gastly</x:t>
        </x:is>
      </x:c>
      <x:c r="D96" s="5" t="inlineStr">
        <x:is>
          <x:t xml:space="preserve">Gastly</x:t>
        </x:is>
      </x:c>
      <x:c r="E96" s="5" t="n">
        <x:v>1</x:v>
      </x:c>
      <x:c r="F96" s="5" t="inlineStr">
        <x:is>
          <x:t xml:space="preserve">고스트</x:t>
        </x:is>
      </x:c>
      <x:c r="G96" s="5" t="inlineStr">
        <x:is>
          <x:t xml:space="preserve">독</x:t>
        </x:is>
      </x:c>
      <x:c r="H96" s="6" t="n">
        <x:v>0.1</x:v>
      </x:c>
      <x:c r="I96" s="5" t="n">
        <x:v>25</x:v>
      </x:c>
      <x:c r="J96" s="5" t="inlineStr">
        <x:is>
          <x:t xml:space="preserve">기본</x:t>
        </x:is>
      </x:c>
      <x:c r="K96" s="7" t="inlineStr">
        <x:is>
          <x:t xml:space="preserve">비행</x:t>
        </x:is>
      </x:c>
      <x:c r="L96" s="7" t="inlineStr">
        <x:is>
          <x:t xml:space="preserve">특수</x:t>
        </x:is>
      </x:c>
      <x:c r="M96" s="7" t="inlineStr">
        <x:is>
          <x:t xml:space="preserve">온대</x:t>
        </x:is>
      </x:c>
      <x:c r="N96" s="7" t="inlineStr">
        <x:is>
          <x:t xml:space="preserve">보통</x:t>
        </x:is>
      </x:c>
      <x:c r="O96" s="7" t="inlineStr">
        <x:is>
          <x:t xml:space="preserve">안개</x:t>
        </x:is>
      </x:c>
      <x:c r="P96" s="7" t="inlineStr">
        <x:is>
          <x:t xml:space="preserve">밤</x:t>
        </x:is>
      </x:c>
      <x:c r="Q96" s="7" t="inlineStr">
        <x:is>
          <x:t xml:space="preserve">보통</x:t>
        </x:is>
      </x:c>
      <x:c r="R96" s="7" t="inlineStr">
        <x:is>
          <x:t xml:space="preserve">영체</x:t>
        </x:is>
      </x:c>
      <x:c r="S96" s="7" t="inlineStr">
        <x:is>
          <x:t xml:space="preserve">특수</x:t>
        </x:is>
      </x:c>
      <x:c r="T96" s="7" t="inlineStr">
        <x:is>
          <x:t xml:space="preserve"/>
        </x:is>
      </x:c>
      <x:c r="U96" s="8" t="str">
        <x:f>INDEX('서식지_점수'!$E$4:$P$4,1,MATCH(MAX('서식지_점수'!E96:P96),'서식지_점수'!E96:P96,0))</x:f>
        <x:v>산악</x:v>
      </x:c>
      <x:c r="V96" s="8" t="str">
        <x:f>IF(T96&lt;&gt;"",T96,U96)</x:f>
        <x:v>산악</x:v>
      </x:c>
      <x:c r="W96" s="8" t="str">
        <x:f>IFERROR(INDEX('서식지_점수'!$E$4:$P$4,1,MATCH(MAXIFS('서식지_점수'!E96:P96,'서식지_점수'!E96:P96,"&lt;"&amp;MAX('서식지_점수'!E96:P96)),'서식지_점수'!E96:P96,0)),"")</x:f>
        <x:v>평원</x:v>
      </x:c>
      <x:c r="X96" s="8" t="str">
        <x:f>IF(T96&lt;&gt;"","수동확정",IF(MAX('서식지_점수'!E96:P96)-LARGE('서식지_점수'!E96:P96,2)&gt;=15,"높음",IF(MAX('서식지_점수'!E96:P96)-LARGE('서식지_점수'!E96:P96,2)&gt;=8,"보통","검토필요")))</x:f>
        <x:v>검토필요</x:v>
      </x:c>
      <x:c r="Y96" s="9" t="n">
        <x:f>IF(Q96="전설",8,IF(Q96="희귀",7,IF(J96="기본",1,IF(J96="중간",3,IF(J96="최종",IF(I96="",5,IF(I96&lt;=20,3,IF(I96&lt;=35,4,IF(I96&lt;=50,6,7)))),IF(Q96="드묾",4,2))))))</x:f>
        <x:v>1</x:v>
      </x:c>
      <x:c r="Z96" s="5" t="inlineStr">
        <x:is>
          <x:t xml:space="preserve">#aether:is_aether; #cobblemon:is_deep_dark; #cobblemon:is_overworld; #cobblemon:is_spooky; #minecraft:is_nether</x:t>
        </x:is>
      </x:c>
      <x:c r="AA96" s="5" t="inlineStr">
        <x:is>
          <x:t xml:space="preserve">common; uncommon</x:t>
        </x:is>
      </x:c>
      <x:c r="AB96" s="5" t="inlineStr">
        <x:is>
          <x:t xml:space="preserve">예</x:t>
        </x:is>
      </x:c>
      <x:c r="AC96" s="8" t="str">
        <x:f>IF(T96&lt;&gt;"","수동확정",IF(X96="검토필요","검토필요",IF(S96="","원본없음","초기완료")))</x:f>
        <x:v>검토필요</x:v>
      </x:c>
      <x:c r="AD96" s="7" t="inlineStr">
        <x:is>
          <x:t xml:space="preserve"/>
        </x:is>
      </x:c>
      <x:c r="AE96" s="5" t="inlineStr">
        <x:is>
          <x:t xml:space="preserve">.tmp/cobblemon-1.7.3-source/common/src/main/resources/data/cobblemon/species/generation1/gastly.json</x:t>
        </x:is>
      </x:c>
      <x:c r="AF96" s="5" t="str">
        <x:f>"생활권|"&amp;K96</x:f>
        <x:v>생활권|비행</x:v>
      </x:c>
      <x:c r="AG96" s="5" t="str">
        <x:f>"지형|"&amp;L96</x:f>
        <x:v>지형|특수</x:v>
      </x:c>
      <x:c r="AH96" s="5" t="str">
        <x:f>"온도|"&amp;M96</x:f>
        <x:v>온도|온대</x:v>
      </x:c>
      <x:c r="AI96" s="5" t="str">
        <x:f>"습도|"&amp;N96</x:f>
        <x:v>습도|보통</x:v>
      </x:c>
      <x:c r="AJ96" s="5" t="str">
        <x:f>"날씨|"&amp;O96</x:f>
        <x:v>날씨|안개</x:v>
      </x:c>
      <x:c r="AK96" s="5" t="str">
        <x:f>"특수태그|"&amp;R96</x:f>
        <x:v>특수태그|영체</x:v>
      </x:c>
      <x:c r="AL96" s="5" t="str">
        <x:f>"원본서식지|"&amp;S96</x:f>
        <x:v>원본서식지|특수</x:v>
      </x:c>
      <x:c r="AM96" s="5" t="str">
        <x:f>"타입|"&amp;F96</x:f>
        <x:v>타입|고스트</x:v>
      </x:c>
      <x:c r="AN96" s="5" t="str">
        <x:f>"타입|"&amp;G96</x:f>
        <x:v>타입|독</x:v>
      </x:c>
    </x:row>
    <x:row r="97" ht="24" customHeight="1">
      <x:c r="A97" s="5" t="n">
        <x:v>93</x:v>
      </x:c>
      <x:c r="B97" s="5" t="inlineStr">
        <x:is>
          <x:t xml:space="preserve">고우스트</x:t>
        </x:is>
      </x:c>
      <x:c r="C97" s="5" t="inlineStr">
        <x:is>
          <x:t xml:space="preserve">haunter</x:t>
        </x:is>
      </x:c>
      <x:c r="D97" s="5" t="inlineStr">
        <x:is>
          <x:t xml:space="preserve">Haunter</x:t>
        </x:is>
      </x:c>
      <x:c r="E97" s="5" t="n">
        <x:v>1</x:v>
      </x:c>
      <x:c r="F97" s="5" t="inlineStr">
        <x:is>
          <x:t xml:space="preserve">고스트</x:t>
        </x:is>
      </x:c>
      <x:c r="G97" s="5" t="inlineStr">
        <x:is>
          <x:t xml:space="preserve">독</x:t>
        </x:is>
      </x:c>
      <x:c r="H97" s="6" t="n">
        <x:v>0.1</x:v>
      </x:c>
      <x:c r="I97" s="5" t="n">
        <x:v>25</x:v>
      </x:c>
      <x:c r="J97" s="5" t="inlineStr">
        <x:is>
          <x:t xml:space="preserve">중간</x:t>
        </x:is>
      </x:c>
      <x:c r="K97" s="7" t="inlineStr">
        <x:is>
          <x:t xml:space="preserve">비행</x:t>
        </x:is>
      </x:c>
      <x:c r="L97" s="7" t="inlineStr">
        <x:is>
          <x:t xml:space="preserve">특수</x:t>
        </x:is>
      </x:c>
      <x:c r="M97" s="7" t="inlineStr">
        <x:is>
          <x:t xml:space="preserve">온대</x:t>
        </x:is>
      </x:c>
      <x:c r="N97" s="7" t="inlineStr">
        <x:is>
          <x:t xml:space="preserve">보통</x:t>
        </x:is>
      </x:c>
      <x:c r="O97" s="7" t="inlineStr">
        <x:is>
          <x:t xml:space="preserve">안개</x:t>
        </x:is>
      </x:c>
      <x:c r="P97" s="7" t="inlineStr">
        <x:is>
          <x:t xml:space="preserve">밤</x:t>
        </x:is>
      </x:c>
      <x:c r="Q97" s="7" t="inlineStr">
        <x:is>
          <x:t xml:space="preserve">흔함</x:t>
        </x:is>
      </x:c>
      <x:c r="R97" s="7" t="inlineStr">
        <x:is>
          <x:t xml:space="preserve">영체</x:t>
        </x:is>
      </x:c>
      <x:c r="S97" s="7" t="inlineStr">
        <x:is>
          <x:t xml:space="preserve">특수</x:t>
        </x:is>
      </x:c>
      <x:c r="T97" s="7" t="inlineStr">
        <x:is>
          <x:t xml:space="preserve"/>
        </x:is>
      </x:c>
      <x:c r="U97" s="8" t="str">
        <x:f>INDEX('서식지_점수'!$E$4:$P$4,1,MATCH(MAX('서식지_점수'!E97:P97),'서식지_점수'!E97:P97,0))</x:f>
        <x:v>산악</x:v>
      </x:c>
      <x:c r="V97" s="8" t="str">
        <x:f>IF(T97&lt;&gt;"",T97,U97)</x:f>
        <x:v>산악</x:v>
      </x:c>
      <x:c r="W97" s="8" t="str">
        <x:f>IFERROR(INDEX('서식지_점수'!$E$4:$P$4,1,MATCH(MAXIFS('서식지_점수'!E97:P97,'서식지_점수'!E97:P97,"&lt;"&amp;MAX('서식지_점수'!E97:P97)),'서식지_점수'!E97:P97,0)),"")</x:f>
        <x:v>평원</x:v>
      </x:c>
      <x:c r="X97" s="8" t="str">
        <x:f>IF(T97&lt;&gt;"","수동확정",IF(MAX('서식지_점수'!E97:P97)-LARGE('서식지_점수'!E97:P97,2)&gt;=15,"높음",IF(MAX('서식지_점수'!E97:P97)-LARGE('서식지_점수'!E97:P97,2)&gt;=8,"보통","검토필요")))</x:f>
        <x:v>검토필요</x:v>
      </x:c>
      <x:c r="Y97" s="9" t="n">
        <x:f>IF(Q97="전설",8,IF(Q97="희귀",7,IF(J97="기본",1,IF(J97="중간",3,IF(J97="최종",IF(I97="",5,IF(I97&lt;=20,3,IF(I97&lt;=35,4,IF(I97&lt;=50,6,7)))),IF(Q97="드묾",4,2))))))</x:f>
        <x:v>3</x:v>
      </x:c>
      <x:c r="Z97" s="5" t="inlineStr">
        <x:is>
          <x:t xml:space="preserve">#aether:is_aether; #cobblemon:is_deep_dark; #cobblemon:is_overworld; #cobblemon:is_spooky; #minecraft:is_nether</x:t>
        </x:is>
      </x:c>
      <x:c r="AA97" s="5" t="inlineStr">
        <x:is>
          <x:t xml:space="preserve">common</x:t>
        </x:is>
      </x:c>
      <x:c r="AB97" s="5" t="inlineStr">
        <x:is>
          <x:t xml:space="preserve">예</x:t>
        </x:is>
      </x:c>
      <x:c r="AC97" s="8" t="str">
        <x:f>IF(T97&lt;&gt;"","수동확정",IF(X97="검토필요","검토필요",IF(S97="","원본없음","초기완료")))</x:f>
        <x:v>검토필요</x:v>
      </x:c>
      <x:c r="AD97" s="7" t="inlineStr">
        <x:is>
          <x:t xml:space="preserve"/>
        </x:is>
      </x:c>
      <x:c r="AE97" s="5" t="inlineStr">
        <x:is>
          <x:t xml:space="preserve">.tmp/cobblemon-1.7.3-source/common/src/main/resources/data/cobblemon/species/generation1/haunter.json</x:t>
        </x:is>
      </x:c>
      <x:c r="AF97" s="5" t="str">
        <x:f>"생활권|"&amp;K97</x:f>
        <x:v>생활권|비행</x:v>
      </x:c>
      <x:c r="AG97" s="5" t="str">
        <x:f>"지형|"&amp;L97</x:f>
        <x:v>지형|특수</x:v>
      </x:c>
      <x:c r="AH97" s="5" t="str">
        <x:f>"온도|"&amp;M97</x:f>
        <x:v>온도|온대</x:v>
      </x:c>
      <x:c r="AI97" s="5" t="str">
        <x:f>"습도|"&amp;N97</x:f>
        <x:v>습도|보통</x:v>
      </x:c>
      <x:c r="AJ97" s="5" t="str">
        <x:f>"날씨|"&amp;O97</x:f>
        <x:v>날씨|안개</x:v>
      </x:c>
      <x:c r="AK97" s="5" t="str">
        <x:f>"특수태그|"&amp;R97</x:f>
        <x:v>특수태그|영체</x:v>
      </x:c>
      <x:c r="AL97" s="5" t="str">
        <x:f>"원본서식지|"&amp;S97</x:f>
        <x:v>원본서식지|특수</x:v>
      </x:c>
      <x:c r="AM97" s="5" t="str">
        <x:f>"타입|"&amp;F97</x:f>
        <x:v>타입|고스트</x:v>
      </x:c>
      <x:c r="AN97" s="5" t="str">
        <x:f>"타입|"&amp;G97</x:f>
        <x:v>타입|독</x:v>
      </x:c>
    </x:row>
    <x:row r="98" ht="24" customHeight="1">
      <x:c r="A98" s="5" t="n">
        <x:v>94</x:v>
      </x:c>
      <x:c r="B98" s="5" t="inlineStr">
        <x:is>
          <x:t xml:space="preserve">팬텀</x:t>
        </x:is>
      </x:c>
      <x:c r="C98" s="5" t="inlineStr">
        <x:is>
          <x:t xml:space="preserve">gengar</x:t>
        </x:is>
      </x:c>
      <x:c r="D98" s="5" t="inlineStr">
        <x:is>
          <x:t xml:space="preserve">Gengar</x:t>
        </x:is>
      </x:c>
      <x:c r="E98" s="5" t="n">
        <x:v>1</x:v>
      </x:c>
      <x:c r="F98" s="5" t="inlineStr">
        <x:is>
          <x:t xml:space="preserve">고스트</x:t>
        </x:is>
      </x:c>
      <x:c r="G98" s="5" t="inlineStr">
        <x:is>
          <x:t xml:space="preserve">독</x:t>
        </x:is>
      </x:c>
      <x:c r="H98" s="6" t="n">
        <x:v>40.5</x:v>
      </x:c>
      <x:c r="I98" s="5" t="n">
        <x:v>25</x:v>
      </x:c>
      <x:c r="J98" s="5" t="inlineStr">
        <x:is>
          <x:t xml:space="preserve">최종</x:t>
        </x:is>
      </x:c>
      <x:c r="K98" s="7" t="inlineStr">
        <x:is>
          <x:t xml:space="preserve">비행</x:t>
        </x:is>
      </x:c>
      <x:c r="L98" s="7" t="inlineStr">
        <x:is>
          <x:t xml:space="preserve">특수</x:t>
        </x:is>
      </x:c>
      <x:c r="M98" s="7" t="inlineStr">
        <x:is>
          <x:t xml:space="preserve">온대</x:t>
        </x:is>
      </x:c>
      <x:c r="N98" s="7" t="inlineStr">
        <x:is>
          <x:t xml:space="preserve">보통</x:t>
        </x:is>
      </x:c>
      <x:c r="O98" s="7" t="inlineStr">
        <x:is>
          <x:t xml:space="preserve">안개</x:t>
        </x:is>
      </x:c>
      <x:c r="P98" s="7" t="inlineStr">
        <x:is>
          <x:t xml:space="preserve">밤</x:t>
        </x:is>
      </x:c>
      <x:c r="Q98" s="7" t="inlineStr">
        <x:is>
          <x:t xml:space="preserve">보통</x:t>
        </x:is>
      </x:c>
      <x:c r="R98" s="7" t="inlineStr">
        <x:is>
          <x:t xml:space="preserve">영체</x:t>
        </x:is>
      </x:c>
      <x:c r="S98" s="7" t="inlineStr">
        <x:is>
          <x:t xml:space="preserve">특수</x:t>
        </x:is>
      </x:c>
      <x:c r="T98" s="7" t="inlineStr">
        <x:is>
          <x:t xml:space="preserve"/>
        </x:is>
      </x:c>
      <x:c r="U98" s="8" t="str">
        <x:f>INDEX('서식지_점수'!$E$4:$P$4,1,MATCH(MAX('서식지_점수'!E98:P98),'서식지_점수'!E98:P98,0))</x:f>
        <x:v>산악</x:v>
      </x:c>
      <x:c r="V98" s="8" t="str">
        <x:f>IF(T98&lt;&gt;"",T98,U98)</x:f>
        <x:v>산악</x:v>
      </x:c>
      <x:c r="W98" s="8" t="str">
        <x:f>IFERROR(INDEX('서식지_점수'!$E$4:$P$4,1,MATCH(MAXIFS('서식지_점수'!E98:P98,'서식지_점수'!E98:P98,"&lt;"&amp;MAX('서식지_점수'!E98:P98)),'서식지_점수'!E98:P98,0)),"")</x:f>
        <x:v>평원</x:v>
      </x:c>
      <x:c r="X98" s="8" t="str">
        <x:f>IF(T98&lt;&gt;"","수동확정",IF(MAX('서식지_점수'!E98:P98)-LARGE('서식지_점수'!E98:P98,2)&gt;=15,"높음",IF(MAX('서식지_점수'!E98:P98)-LARGE('서식지_점수'!E98:P98,2)&gt;=8,"보통","검토필요")))</x:f>
        <x:v>검토필요</x:v>
      </x:c>
      <x:c r="Y98" s="9" t="n">
        <x:f>IF(Q98="전설",8,IF(Q98="희귀",7,IF(J98="기본",1,IF(J98="중간",3,IF(J98="최종",IF(I98="",5,IF(I98&lt;=20,3,IF(I98&lt;=35,4,IF(I98&lt;=50,6,7)))),IF(Q98="드묾",4,2))))))</x:f>
        <x:v>4</x:v>
      </x:c>
      <x:c r="Z98" s="5" t="inlineStr">
        <x:is>
          <x:t xml:space="preserve">#aether:is_aether; #cobblemon:is_deep_dark; #cobblemon:is_overworld; #cobblemon:is_spooky; #minecraft:is_nether</x:t>
        </x:is>
      </x:c>
      <x:c r="AA98" s="5" t="inlineStr">
        <x:is>
          <x:t xml:space="preserve">uncommon</x:t>
        </x:is>
      </x:c>
      <x:c r="AB98" s="5" t="inlineStr">
        <x:is>
          <x:t xml:space="preserve">예</x:t>
        </x:is>
      </x:c>
      <x:c r="AC98" s="8" t="str">
        <x:f>IF(T98&lt;&gt;"","수동확정",IF(X98="검토필요","검토필요",IF(S98="","원본없음","초기완료")))</x:f>
        <x:v>검토필요</x:v>
      </x:c>
      <x:c r="AD98" s="7" t="inlineStr">
        <x:is>
          <x:t xml:space="preserve"/>
        </x:is>
      </x:c>
      <x:c r="AE98" s="5" t="inlineStr">
        <x:is>
          <x:t xml:space="preserve">.tmp/cobblemon-1.7.3-source/common/src/main/resources/data/cobblemon/species/generation1/gengar.json</x:t>
        </x:is>
      </x:c>
      <x:c r="AF98" s="5" t="str">
        <x:f>"생활권|"&amp;K98</x:f>
        <x:v>생활권|비행</x:v>
      </x:c>
      <x:c r="AG98" s="5" t="str">
        <x:f>"지형|"&amp;L98</x:f>
        <x:v>지형|특수</x:v>
      </x:c>
      <x:c r="AH98" s="5" t="str">
        <x:f>"온도|"&amp;M98</x:f>
        <x:v>온도|온대</x:v>
      </x:c>
      <x:c r="AI98" s="5" t="str">
        <x:f>"습도|"&amp;N98</x:f>
        <x:v>습도|보통</x:v>
      </x:c>
      <x:c r="AJ98" s="5" t="str">
        <x:f>"날씨|"&amp;O98</x:f>
        <x:v>날씨|안개</x:v>
      </x:c>
      <x:c r="AK98" s="5" t="str">
        <x:f>"특수태그|"&amp;R98</x:f>
        <x:v>특수태그|영체</x:v>
      </x:c>
      <x:c r="AL98" s="5" t="str">
        <x:f>"원본서식지|"&amp;S98</x:f>
        <x:v>원본서식지|특수</x:v>
      </x:c>
      <x:c r="AM98" s="5" t="str">
        <x:f>"타입|"&amp;F98</x:f>
        <x:v>타입|고스트</x:v>
      </x:c>
      <x:c r="AN98" s="5" t="str">
        <x:f>"타입|"&amp;G98</x:f>
        <x:v>타입|독</x:v>
      </x:c>
    </x:row>
    <x:row r="99" ht="24" customHeight="1">
      <x:c r="A99" s="5" t="n">
        <x:v>95</x:v>
      </x:c>
      <x:c r="B99" s="5" t="inlineStr">
        <x:is>
          <x:t xml:space="preserve">롱스톤</x:t>
        </x:is>
      </x:c>
      <x:c r="C99" s="5" t="inlineStr">
        <x:is>
          <x:t xml:space="preserve">onix</x:t>
        </x:is>
      </x:c>
      <x:c r="D99" s="5" t="inlineStr">
        <x:is>
          <x:t xml:space="preserve">Onix</x:t>
        </x:is>
      </x:c>
      <x:c r="E99" s="5" t="n">
        <x:v>1</x:v>
      </x:c>
      <x:c r="F99" s="5" t="inlineStr">
        <x:is>
          <x:t xml:space="preserve">바위</x:t>
        </x:is>
      </x:c>
      <x:c r="G99" s="5" t="inlineStr">
        <x:is>
          <x:t xml:space="preserve">땅</x:t>
        </x:is>
      </x:c>
      <x:c r="H99" s="6" t="n">
        <x:v>210</x:v>
      </x:c>
      <x:c r="I99" s="5" t="n"/>
      <x:c r="J99" s="5" t="inlineStr">
        <x:is>
          <x:t xml:space="preserve">기본</x:t>
        </x:is>
      </x:c>
      <x:c r="K99" s="7" t="inlineStr">
        <x:is>
          <x:t xml:space="preserve">육상</x:t>
        </x:is>
      </x:c>
      <x:c r="L99" s="7" t="inlineStr">
        <x:is>
          <x:t xml:space="preserve">화산</x:t>
        </x:is>
      </x:c>
      <x:c r="M99" s="7" t="inlineStr">
        <x:is>
          <x:t xml:space="preserve">고온</x:t>
        </x:is>
      </x:c>
      <x:c r="N99" s="7" t="inlineStr">
        <x:is>
          <x:t xml:space="preserve">건조</x:t>
        </x:is>
      </x:c>
      <x:c r="O99" s="7" t="inlineStr">
        <x:is>
          <x:t xml:space="preserve">맑음</x:t>
        </x:is>
      </x:c>
      <x:c r="P99" s="7" t="inlineStr">
        <x:is>
          <x:t xml:space="preserve">무관</x:t>
        </x:is>
      </x:c>
      <x:c r="Q99" s="7" t="inlineStr">
        <x:is>
          <x:t xml:space="preserve">보통</x:t>
        </x:is>
      </x:c>
      <x:c r="R99" s="7" t="inlineStr">
        <x:is>
          <x:t xml:space="preserve">화산</x:t>
        </x:is>
      </x:c>
      <x:c r="S99" s="7" t="inlineStr">
        <x:is>
          <x:t xml:space="preserve">화산</x:t>
        </x:is>
      </x:c>
      <x:c r="T99" s="7" t="inlineStr">
        <x:is>
          <x:t xml:space="preserve"/>
        </x:is>
      </x:c>
      <x:c r="U99" s="8" t="str">
        <x:f>INDEX('서식지_점수'!$E$4:$P$4,1,MATCH(MAX('서식지_점수'!E99:P99),'서식지_점수'!E99:P99,0))</x:f>
        <x:v>평원</x:v>
      </x:c>
      <x:c r="V99" s="8" t="str">
        <x:f>IF(T99&lt;&gt;"",T99,U99)</x:f>
        <x:v>평원</x:v>
      </x:c>
      <x:c r="W99" s="8" t="str">
        <x:f>IFERROR(INDEX('서식지_점수'!$E$4:$P$4,1,MATCH(MAXIFS('서식지_점수'!E99:P99,'서식지_점수'!E99:P99,"&lt;"&amp;MAX('서식지_점수'!E99:P99)),'서식지_점수'!E99:P99,0)),"")</x:f>
        <x:v>숲</x:v>
      </x:c>
      <x:c r="X99" s="8" t="str">
        <x:f>IF(T99&lt;&gt;"","수동확정",IF(MAX('서식지_점수'!E99:P99)-LARGE('서식지_점수'!E99:P99,2)&gt;=15,"높음",IF(MAX('서식지_점수'!E99:P99)-LARGE('서식지_점수'!E99:P99,2)&gt;=8,"보통","검토필요")))</x:f>
        <x:v>검토필요</x:v>
      </x:c>
      <x:c r="Y99" s="9" t="n">
        <x:f>IF(Q99="전설",8,IF(Q99="희귀",7,IF(J99="기본",1,IF(J99="중간",3,IF(J99="최종",IF(I99="",5,IF(I99&lt;=20,3,IF(I99&lt;=35,4,IF(I99&lt;=50,6,7)))),IF(Q99="드묾",4,2))))))</x:f>
        <x:v>1</x:v>
      </x:c>
      <x:c r="Z99" s="5" t="inlineStr">
        <x:is>
          <x:t xml:space="preserve">#cobblemon:is_overworld; #cobblemon:nether/is_basalt</x:t>
        </x:is>
      </x:c>
      <x:c r="AA99" s="5" t="inlineStr">
        <x:is>
          <x:t xml:space="preserve">uncommon</x:t>
        </x:is>
      </x:c>
      <x:c r="AB99" s="5" t="inlineStr">
        <x:is>
          <x:t xml:space="preserve">예</x:t>
        </x:is>
      </x:c>
      <x:c r="AC99" s="8" t="str">
        <x:f>IF(T99&lt;&gt;"","수동확정",IF(X99="검토필요","검토필요",IF(S99="","원본없음","초기완료")))</x:f>
        <x:v>검토필요</x:v>
      </x:c>
      <x:c r="AD99" s="7" t="inlineStr">
        <x:is>
          <x:t xml:space="preserve"/>
        </x:is>
      </x:c>
      <x:c r="AE99" s="5" t="inlineStr">
        <x:is>
          <x:t xml:space="preserve">.tmp/cobblemon-1.7.3-source/common/src/main/resources/data/cobblemon/species/generation1/onix.json</x:t>
        </x:is>
      </x:c>
      <x:c r="AF99" s="5" t="str">
        <x:f>"생활권|"&amp;K99</x:f>
        <x:v>생활권|육상</x:v>
      </x:c>
      <x:c r="AG99" s="5" t="str">
        <x:f>"지형|"&amp;L99</x:f>
        <x:v>지형|화산</x:v>
      </x:c>
      <x:c r="AH99" s="5" t="str">
        <x:f>"온도|"&amp;M99</x:f>
        <x:v>온도|고온</x:v>
      </x:c>
      <x:c r="AI99" s="5" t="str">
        <x:f>"습도|"&amp;N99</x:f>
        <x:v>습도|건조</x:v>
      </x:c>
      <x:c r="AJ99" s="5" t="str">
        <x:f>"날씨|"&amp;O99</x:f>
        <x:v>날씨|맑음</x:v>
      </x:c>
      <x:c r="AK99" s="5" t="str">
        <x:f>"특수태그|"&amp;R99</x:f>
        <x:v>특수태그|화산</x:v>
      </x:c>
      <x:c r="AL99" s="5" t="str">
        <x:f>"원본서식지|"&amp;S99</x:f>
        <x:v>원본서식지|화산</x:v>
      </x:c>
      <x:c r="AM99" s="5" t="str">
        <x:f>"타입|"&amp;F99</x:f>
        <x:v>타입|바위</x:v>
      </x:c>
      <x:c r="AN99" s="5" t="str">
        <x:f>"타입|"&amp;G99</x:f>
        <x:v>타입|땅</x:v>
      </x:c>
    </x:row>
    <x:row r="100" ht="24" customHeight="1">
      <x:c r="A100" s="5" t="n">
        <x:v>96</x:v>
      </x:c>
      <x:c r="B100" s="5" t="inlineStr">
        <x:is>
          <x:t xml:space="preserve">슬리프</x:t>
        </x:is>
      </x:c>
      <x:c r="C100" s="5" t="inlineStr">
        <x:is>
          <x:t xml:space="preserve">drowzee</x:t>
        </x:is>
      </x:c>
      <x:c r="D100" s="5" t="inlineStr">
        <x:is>
          <x:t xml:space="preserve">Drowzee</x:t>
        </x:is>
      </x:c>
      <x:c r="E100" s="5" t="n">
        <x:v>1</x:v>
      </x:c>
      <x:c r="F100" s="5" t="inlineStr">
        <x:is>
          <x:t xml:space="preserve">에스퍼</x:t>
        </x:is>
      </x:c>
      <x:c r="G100" s="5" t="inlineStr">
        <x:is>
          <x:t xml:space="preserve"/>
        </x:is>
      </x:c>
      <x:c r="H100" s="6" t="n">
        <x:v>32.4</x:v>
      </x:c>
      <x:c r="I100" s="5" t="n">
        <x:v>26</x:v>
      </x:c>
      <x:c r="J100" s="5" t="inlineStr">
        <x:is>
          <x:t xml:space="preserve">기본</x:t>
        </x:is>
      </x:c>
      <x:c r="K100" s="7" t="inlineStr">
        <x:is>
          <x:t xml:space="preserve">육상</x:t>
        </x:is>
      </x:c>
      <x:c r="L100" s="7" t="inlineStr">
        <x:is>
          <x:t xml:space="preserve">개활지</x:t>
        </x:is>
      </x:c>
      <x:c r="M100" s="7" t="inlineStr">
        <x:is>
          <x:t xml:space="preserve">온대</x:t>
        </x:is>
      </x:c>
      <x:c r="N100" s="7" t="inlineStr">
        <x:is>
          <x:t xml:space="preserve">보통</x:t>
        </x:is>
      </x:c>
      <x:c r="O100" s="7" t="inlineStr">
        <x:is>
          <x:t xml:space="preserve">무관</x:t>
        </x:is>
      </x:c>
      <x:c r="P100" s="7" t="inlineStr">
        <x:is>
          <x:t xml:space="preserve">밤</x:t>
        </x:is>
      </x:c>
      <x:c r="Q100" s="7" t="inlineStr">
        <x:is>
          <x:t xml:space="preserve">흔함</x:t>
        </x:is>
      </x:c>
      <x:c r="R100" s="7" t="inlineStr">
        <x:is>
          <x:t xml:space="preserve">없음</x:t>
        </x:is>
      </x:c>
      <x:c r="S100" s="7" t="inlineStr">
        <x:is>
          <x:t xml:space="preserve"/>
        </x:is>
      </x:c>
      <x:c r="T100" s="7" t="inlineStr">
        <x:is>
          <x:t xml:space="preserve"/>
        </x:is>
      </x:c>
      <x:c r="U100" s="8" t="str">
        <x:f>INDEX('서식지_점수'!$E$4:$P$4,1,MATCH(MAX('서식지_점수'!E100:P100),'서식지_점수'!E100:P100,0))</x:f>
        <x:v>평원</x:v>
      </x:c>
      <x:c r="V100" s="8" t="str">
        <x:f>IF(T100&lt;&gt;"",T100,U100)</x:f>
        <x:v>평원</x:v>
      </x:c>
      <x:c r="W100" s="8" t="str">
        <x:f>IFERROR(INDEX('서식지_점수'!$E$4:$P$4,1,MATCH(MAXIFS('서식지_점수'!E100:P100,'서식지_점수'!E100:P100,"&lt;"&amp;MAX('서식지_점수'!E100:P100)),'서식지_점수'!E100:P100,0)),"")</x:f>
        <x:v>숲</x:v>
      </x:c>
      <x:c r="X100" s="8" t="str">
        <x:f>IF(T100&lt;&gt;"","수동확정",IF(MAX('서식지_점수'!E100:P100)-LARGE('서식지_점수'!E100:P100,2)&gt;=15,"높음",IF(MAX('서식지_점수'!E100:P100)-LARGE('서식지_점수'!E100:P100,2)&gt;=8,"보통","검토필요")))</x:f>
        <x:v>검토필요</x:v>
      </x:c>
      <x:c r="Y100" s="9" t="n">
        <x:f>IF(Q100="전설",8,IF(Q100="희귀",7,IF(J100="기본",1,IF(J100="중간",3,IF(J100="최종",IF(I100="",5,IF(I100&lt;=20,3,IF(I100&lt;=35,4,IF(I100&lt;=50,6,7)))),IF(Q100="드묾",4,2))))))</x:f>
        <x:v>1</x:v>
      </x:c>
      <x:c r="Z100" s="5" t="inlineStr">
        <x:is>
          <x:t xml:space="preserve">#cobblemon:is_overworld</x:t>
        </x:is>
      </x:c>
      <x:c r="AA100" s="5" t="inlineStr">
        <x:is>
          <x:t xml:space="preserve">common</x:t>
        </x:is>
      </x:c>
      <x:c r="AB100" s="5" t="inlineStr">
        <x:is>
          <x:t xml:space="preserve">예</x:t>
        </x:is>
      </x:c>
      <x:c r="AC100" s="8" t="str">
        <x:f>IF(T100&lt;&gt;"","수동확정",IF(X100="검토필요","검토필요",IF(S100="","원본없음","초기완료")))</x:f>
        <x:v>검토필요</x:v>
      </x:c>
      <x:c r="AD100" s="7" t="inlineStr">
        <x:is>
          <x:t xml:space="preserve"/>
        </x:is>
      </x:c>
      <x:c r="AE100" s="5" t="inlineStr">
        <x:is>
          <x:t xml:space="preserve">.tmp/cobblemon-1.7.3-source/common/src/main/resources/data/cobblemon/species/generation1/drowzee.json</x:t>
        </x:is>
      </x:c>
      <x:c r="AF100" s="5" t="str">
        <x:f>"생활권|"&amp;K100</x:f>
        <x:v>생활권|육상</x:v>
      </x:c>
      <x:c r="AG100" s="5" t="str">
        <x:f>"지형|"&amp;L100</x:f>
        <x:v>지형|개활지</x:v>
      </x:c>
      <x:c r="AH100" s="5" t="str">
        <x:f>"온도|"&amp;M100</x:f>
        <x:v>온도|온대</x:v>
      </x:c>
      <x:c r="AI100" s="5" t="str">
        <x:f>"습도|"&amp;N100</x:f>
        <x:v>습도|보통</x:v>
      </x:c>
      <x:c r="AJ100" s="5" t="str">
        <x:f>"날씨|"&amp;O100</x:f>
        <x:v>날씨|무관</x:v>
      </x:c>
      <x:c r="AK100" s="5" t="str">
        <x:f>"특수태그|"&amp;R100</x:f>
        <x:v>특수태그|없음</x:v>
      </x:c>
      <x:c r="AL100" s="5" t="str">
        <x:f>"원본서식지|"&amp;S100</x:f>
        <x:v>원본서식지|</x:v>
      </x:c>
      <x:c r="AM100" s="5" t="str">
        <x:f>"타입|"&amp;F100</x:f>
        <x:v>타입|에스퍼</x:v>
      </x:c>
      <x:c r="AN100" s="5" t="str">
        <x:f>"타입|"&amp;G100</x:f>
        <x:v>타입|</x:v>
      </x:c>
    </x:row>
    <x:row r="101" ht="24" customHeight="1">
      <x:c r="A101" s="5" t="n">
        <x:v>97</x:v>
      </x:c>
      <x:c r="B101" s="5" t="inlineStr">
        <x:is>
          <x:t xml:space="preserve">슬리퍼</x:t>
        </x:is>
      </x:c>
      <x:c r="C101" s="5" t="inlineStr">
        <x:is>
          <x:t xml:space="preserve">hypno</x:t>
        </x:is>
      </x:c>
      <x:c r="D101" s="5" t="inlineStr">
        <x:is>
          <x:t xml:space="preserve">Hypno</x:t>
        </x:is>
      </x:c>
      <x:c r="E101" s="5" t="n">
        <x:v>1</x:v>
      </x:c>
      <x:c r="F101" s="5" t="inlineStr">
        <x:is>
          <x:t xml:space="preserve">에스퍼</x:t>
        </x:is>
      </x:c>
      <x:c r="G101" s="5" t="inlineStr">
        <x:is>
          <x:t xml:space="preserve"/>
        </x:is>
      </x:c>
      <x:c r="H101" s="6" t="n">
        <x:v>75.59999999999999</x:v>
      </x:c>
      <x:c r="I101" s="5" t="n">
        <x:v>26</x:v>
      </x:c>
      <x:c r="J101" s="5" t="inlineStr">
        <x:is>
          <x:t xml:space="preserve">최종</x:t>
        </x:is>
      </x:c>
      <x:c r="K101" s="7" t="inlineStr">
        <x:is>
          <x:t xml:space="preserve">육상</x:t>
        </x:is>
      </x:c>
      <x:c r="L101" s="7" t="inlineStr">
        <x:is>
          <x:t xml:space="preserve">개활지</x:t>
        </x:is>
      </x:c>
      <x:c r="M101" s="7" t="inlineStr">
        <x:is>
          <x:t xml:space="preserve">온대</x:t>
        </x:is>
      </x:c>
      <x:c r="N101" s="7" t="inlineStr">
        <x:is>
          <x:t xml:space="preserve">보통</x:t>
        </x:is>
      </x:c>
      <x:c r="O101" s="7" t="inlineStr">
        <x:is>
          <x:t xml:space="preserve">무관</x:t>
        </x:is>
      </x:c>
      <x:c r="P101" s="7" t="inlineStr">
        <x:is>
          <x:t xml:space="preserve">밤</x:t>
        </x:is>
      </x:c>
      <x:c r="Q101" s="7" t="inlineStr">
        <x:is>
          <x:t xml:space="preserve">흔함</x:t>
        </x:is>
      </x:c>
      <x:c r="R101" s="7" t="inlineStr">
        <x:is>
          <x:t xml:space="preserve">없음</x:t>
        </x:is>
      </x:c>
      <x:c r="S101" s="7" t="inlineStr">
        <x:is>
          <x:t xml:space="preserve"/>
        </x:is>
      </x:c>
      <x:c r="T101" s="7" t="inlineStr">
        <x:is>
          <x:t xml:space="preserve"/>
        </x:is>
      </x:c>
      <x:c r="U101" s="8" t="str">
        <x:f>INDEX('서식지_점수'!$E$4:$P$4,1,MATCH(MAX('서식지_점수'!E101:P101),'서식지_점수'!E101:P101,0))</x:f>
        <x:v>평원</x:v>
      </x:c>
      <x:c r="V101" s="8" t="str">
        <x:f>IF(T101&lt;&gt;"",T101,U101)</x:f>
        <x:v>평원</x:v>
      </x:c>
      <x:c r="W101" s="8" t="str">
        <x:f>IFERROR(INDEX('서식지_점수'!$E$4:$P$4,1,MATCH(MAXIFS('서식지_점수'!E101:P101,'서식지_점수'!E101:P101,"&lt;"&amp;MAX('서식지_점수'!E101:P101)),'서식지_점수'!E101:P101,0)),"")</x:f>
        <x:v>숲</x:v>
      </x:c>
      <x:c r="X101" s="8" t="str">
        <x:f>IF(T101&lt;&gt;"","수동확정",IF(MAX('서식지_점수'!E101:P101)-LARGE('서식지_점수'!E101:P101,2)&gt;=15,"높음",IF(MAX('서식지_점수'!E101:P101)-LARGE('서식지_점수'!E101:P101,2)&gt;=8,"보통","검토필요")))</x:f>
        <x:v>검토필요</x:v>
      </x:c>
      <x:c r="Y101" s="9" t="n">
        <x:f>IF(Q101="전설",8,IF(Q101="희귀",7,IF(J101="기본",1,IF(J101="중간",3,IF(J101="최종",IF(I101="",5,IF(I101&lt;=20,3,IF(I101&lt;=35,4,IF(I101&lt;=50,6,7)))),IF(Q101="드묾",4,2))))))</x:f>
        <x:v>4</x:v>
      </x:c>
      <x:c r="Z101" s="5" t="inlineStr">
        <x:is>
          <x:t xml:space="preserve">#cobblemon:is_overworld</x:t>
        </x:is>
      </x:c>
      <x:c r="AA101" s="5" t="inlineStr">
        <x:is>
          <x:t xml:space="preserve">common</x:t>
        </x:is>
      </x:c>
      <x:c r="AB101" s="5" t="inlineStr">
        <x:is>
          <x:t xml:space="preserve">예</x:t>
        </x:is>
      </x:c>
      <x:c r="AC101" s="8" t="str">
        <x:f>IF(T101&lt;&gt;"","수동확정",IF(X101="검토필요","검토필요",IF(S101="","원본없음","초기완료")))</x:f>
        <x:v>검토필요</x:v>
      </x:c>
      <x:c r="AD101" s="7" t="inlineStr">
        <x:is>
          <x:t xml:space="preserve"/>
        </x:is>
      </x:c>
      <x:c r="AE101" s="5" t="inlineStr">
        <x:is>
          <x:t xml:space="preserve">.tmp/cobblemon-1.7.3-source/common/src/main/resources/data/cobblemon/species/generation1/hypno.json</x:t>
        </x:is>
      </x:c>
      <x:c r="AF101" s="5" t="str">
        <x:f>"생활권|"&amp;K101</x:f>
        <x:v>생활권|육상</x:v>
      </x:c>
      <x:c r="AG101" s="5" t="str">
        <x:f>"지형|"&amp;L101</x:f>
        <x:v>지형|개활지</x:v>
      </x:c>
      <x:c r="AH101" s="5" t="str">
        <x:f>"온도|"&amp;M101</x:f>
        <x:v>온도|온대</x:v>
      </x:c>
      <x:c r="AI101" s="5" t="str">
        <x:f>"습도|"&amp;N101</x:f>
        <x:v>습도|보통</x:v>
      </x:c>
      <x:c r="AJ101" s="5" t="str">
        <x:f>"날씨|"&amp;O101</x:f>
        <x:v>날씨|무관</x:v>
      </x:c>
      <x:c r="AK101" s="5" t="str">
        <x:f>"특수태그|"&amp;R101</x:f>
        <x:v>특수태그|없음</x:v>
      </x:c>
      <x:c r="AL101" s="5" t="str">
        <x:f>"원본서식지|"&amp;S101</x:f>
        <x:v>원본서식지|</x:v>
      </x:c>
      <x:c r="AM101" s="5" t="str">
        <x:f>"타입|"&amp;F101</x:f>
        <x:v>타입|에스퍼</x:v>
      </x:c>
      <x:c r="AN101" s="5" t="str">
        <x:f>"타입|"&amp;G101</x:f>
        <x:v>타입|</x:v>
      </x:c>
    </x:row>
    <x:row r="102" ht="24" customHeight="1">
      <x:c r="A102" s="5" t="n">
        <x:v>98</x:v>
      </x:c>
      <x:c r="B102" s="5" t="inlineStr">
        <x:is>
          <x:t xml:space="preserve">크랩</x:t>
        </x:is>
      </x:c>
      <x:c r="C102" s="5" t="inlineStr">
        <x:is>
          <x:t xml:space="preserve">krabby</x:t>
        </x:is>
      </x:c>
      <x:c r="D102" s="5" t="inlineStr">
        <x:is>
          <x:t xml:space="preserve">Krabby</x:t>
        </x:is>
      </x:c>
      <x:c r="E102" s="5" t="n">
        <x:v>1</x:v>
      </x:c>
      <x:c r="F102" s="5" t="inlineStr">
        <x:is>
          <x:t xml:space="preserve">물</x:t>
        </x:is>
      </x:c>
      <x:c r="G102" s="5" t="inlineStr">
        <x:is>
          <x:t xml:space="preserve"/>
        </x:is>
      </x:c>
      <x:c r="H102" s="6" t="n">
        <x:v>6.5</x:v>
      </x:c>
      <x:c r="I102" s="5" t="n">
        <x:v>28</x:v>
      </x:c>
      <x:c r="J102" s="5" t="inlineStr">
        <x:is>
          <x:t xml:space="preserve">기본</x:t>
        </x:is>
      </x:c>
      <x:c r="K102" s="7" t="inlineStr">
        <x:is>
          <x:t xml:space="preserve">해양</x:t>
        </x:is>
      </x:c>
      <x:c r="L102" s="7" t="inlineStr">
        <x:is>
          <x:t xml:space="preserve">해안·해양</x:t>
        </x:is>
      </x:c>
      <x:c r="M102" s="7" t="inlineStr">
        <x:is>
          <x:t xml:space="preserve">온대</x:t>
        </x:is>
      </x:c>
      <x:c r="N102" s="7" t="inlineStr">
        <x:is>
          <x:t xml:space="preserve">수중</x:t>
        </x:is>
      </x:c>
      <x:c r="O102" s="7" t="inlineStr">
        <x:is>
          <x:t xml:space="preserve">비</x:t>
        </x:is>
      </x:c>
      <x:c r="P102" s="7" t="inlineStr">
        <x:is>
          <x:t xml:space="preserve">무관</x:t>
        </x:is>
      </x:c>
      <x:c r="Q102" s="7" t="inlineStr">
        <x:is>
          <x:t xml:space="preserve">흔함</x:t>
        </x:is>
      </x:c>
      <x:c r="R102" s="7" t="inlineStr">
        <x:is>
          <x:t xml:space="preserve">없음</x:t>
        </x:is>
      </x:c>
      <x:c r="S102" s="7" t="inlineStr">
        <x:is>
          <x:t xml:space="preserve">해양</x:t>
        </x:is>
      </x:c>
      <x:c r="T102" s="7" t="inlineStr">
        <x:is>
          <x:t xml:space="preserve"/>
        </x:is>
      </x:c>
      <x:c r="U102" s="8" t="str">
        <x:f>INDEX('서식지_점수'!$E$4:$P$4,1,MATCH(MAX('서식지_점수'!E102:P102),'서식지_점수'!E102:P102,0))</x:f>
        <x:v>해양</x:v>
      </x:c>
      <x:c r="V102" s="8" t="str">
        <x:f>IF(T102&lt;&gt;"",T102,U102)</x:f>
        <x:v>해양</x:v>
      </x:c>
      <x:c r="W102" s="8" t="str">
        <x:f>IFERROR(INDEX('서식지_점수'!$E$4:$P$4,1,MATCH(MAXIFS('서식지_점수'!E102:P102,'서식지_점수'!E102:P102,"&lt;"&amp;MAX('서식지_점수'!E102:P102)),'서식지_점수'!E102:P102,0)),"")</x:f>
        <x:v>습지</x:v>
      </x:c>
      <x:c r="X102" s="8" t="str">
        <x:f>IF(T102&lt;&gt;"","수동확정",IF(MAX('서식지_점수'!E102:P102)-LARGE('서식지_점수'!E102:P102,2)&gt;=15,"높음",IF(MAX('서식지_점수'!E102:P102)-LARGE('서식지_점수'!E102:P102,2)&gt;=8,"보통","검토필요")))</x:f>
        <x:v>높음</x:v>
      </x:c>
      <x:c r="Y102" s="9" t="n">
        <x:f>IF(Q102="전설",8,IF(Q102="희귀",7,IF(J102="기본",1,IF(J102="중간",3,IF(J102="최종",IF(I102="",5,IF(I102&lt;=20,3,IF(I102&lt;=35,4,IF(I102&lt;=50,6,7)))),IF(Q102="드묾",4,2))))))</x:f>
        <x:v>1</x:v>
      </x:c>
      <x:c r="Z102" s="5" t="inlineStr">
        <x:is>
          <x:t xml:space="preserve">#cobblemon:is_coast; #cobblemon:is_ocean; #cobblemon:is_overworld</x:t>
        </x:is>
      </x:c>
      <x:c r="AA102" s="5" t="inlineStr">
        <x:is>
          <x:t xml:space="preserve">common</x:t>
        </x:is>
      </x:c>
      <x:c r="AB102" s="5" t="inlineStr">
        <x:is>
          <x:t xml:space="preserve">예</x:t>
        </x:is>
      </x:c>
      <x:c r="AC102" s="8" t="str">
        <x:f>IF(T102&lt;&gt;"","수동확정",IF(X102="검토필요","검토필요",IF(S102="","원본없음","초기완료")))</x:f>
        <x:v>초기완료</x:v>
      </x:c>
      <x:c r="AD102" s="7" t="inlineStr">
        <x:is>
          <x:t xml:space="preserve"/>
        </x:is>
      </x:c>
      <x:c r="AE102" s="5" t="inlineStr">
        <x:is>
          <x:t xml:space="preserve">.tmp/cobblemon-1.7.3-source/common/src/main/resources/data/cobblemon/species/generation1/krabby.json</x:t>
        </x:is>
      </x:c>
      <x:c r="AF102" s="5" t="str">
        <x:f>"생활권|"&amp;K102</x:f>
        <x:v>생활권|해양</x:v>
      </x:c>
      <x:c r="AG102" s="5" t="str">
        <x:f>"지형|"&amp;L102</x:f>
        <x:v>지형|해안·해양</x:v>
      </x:c>
      <x:c r="AH102" s="5" t="str">
        <x:f>"온도|"&amp;M102</x:f>
        <x:v>온도|온대</x:v>
      </x:c>
      <x:c r="AI102" s="5" t="str">
        <x:f>"습도|"&amp;N102</x:f>
        <x:v>습도|수중</x:v>
      </x:c>
      <x:c r="AJ102" s="5" t="str">
        <x:f>"날씨|"&amp;O102</x:f>
        <x:v>날씨|비</x:v>
      </x:c>
      <x:c r="AK102" s="5" t="str">
        <x:f>"특수태그|"&amp;R102</x:f>
        <x:v>특수태그|없음</x:v>
      </x:c>
      <x:c r="AL102" s="5" t="str">
        <x:f>"원본서식지|"&amp;S102</x:f>
        <x:v>원본서식지|해양</x:v>
      </x:c>
      <x:c r="AM102" s="5" t="str">
        <x:f>"타입|"&amp;F102</x:f>
        <x:v>타입|물</x:v>
      </x:c>
      <x:c r="AN102" s="5" t="str">
        <x:f>"타입|"&amp;G102</x:f>
        <x:v>타입|</x:v>
      </x:c>
    </x:row>
    <x:row r="103" ht="24" customHeight="1">
      <x:c r="A103" s="5" t="n">
        <x:v>99</x:v>
      </x:c>
      <x:c r="B103" s="5" t="inlineStr">
        <x:is>
          <x:t xml:space="preserve">킹크랩</x:t>
        </x:is>
      </x:c>
      <x:c r="C103" s="5" t="inlineStr">
        <x:is>
          <x:t xml:space="preserve">kingler</x:t>
        </x:is>
      </x:c>
      <x:c r="D103" s="5" t="inlineStr">
        <x:is>
          <x:t xml:space="preserve">Kingler</x:t>
        </x:is>
      </x:c>
      <x:c r="E103" s="5" t="n">
        <x:v>1</x:v>
      </x:c>
      <x:c r="F103" s="5" t="inlineStr">
        <x:is>
          <x:t xml:space="preserve">물</x:t>
        </x:is>
      </x:c>
      <x:c r="G103" s="5" t="inlineStr">
        <x:is>
          <x:t xml:space="preserve"/>
        </x:is>
      </x:c>
      <x:c r="H103" s="6" t="n">
        <x:v>60</x:v>
      </x:c>
      <x:c r="I103" s="5" t="n">
        <x:v>28</x:v>
      </x:c>
      <x:c r="J103" s="5" t="inlineStr">
        <x:is>
          <x:t xml:space="preserve">최종</x:t>
        </x:is>
      </x:c>
      <x:c r="K103" s="7" t="inlineStr">
        <x:is>
          <x:t xml:space="preserve">해양</x:t>
        </x:is>
      </x:c>
      <x:c r="L103" s="7" t="inlineStr">
        <x:is>
          <x:t xml:space="preserve">해안·해양</x:t>
        </x:is>
      </x:c>
      <x:c r="M103" s="7" t="inlineStr">
        <x:is>
          <x:t xml:space="preserve">온대</x:t>
        </x:is>
      </x:c>
      <x:c r="N103" s="7" t="inlineStr">
        <x:is>
          <x:t xml:space="preserve">수중</x:t>
        </x:is>
      </x:c>
      <x:c r="O103" s="7" t="inlineStr">
        <x:is>
          <x:t xml:space="preserve">비</x:t>
        </x:is>
      </x:c>
      <x:c r="P103" s="7" t="inlineStr">
        <x:is>
          <x:t xml:space="preserve">무관</x:t>
        </x:is>
      </x:c>
      <x:c r="Q103" s="7" t="inlineStr">
        <x:is>
          <x:t xml:space="preserve">흔함</x:t>
        </x:is>
      </x:c>
      <x:c r="R103" s="7" t="inlineStr">
        <x:is>
          <x:t xml:space="preserve">없음</x:t>
        </x:is>
      </x:c>
      <x:c r="S103" s="7" t="inlineStr">
        <x:is>
          <x:t xml:space="preserve">해양</x:t>
        </x:is>
      </x:c>
      <x:c r="T103" s="7" t="inlineStr">
        <x:is>
          <x:t xml:space="preserve"/>
        </x:is>
      </x:c>
      <x:c r="U103" s="8" t="str">
        <x:f>INDEX('서식지_점수'!$E$4:$P$4,1,MATCH(MAX('서식지_점수'!E103:P103),'서식지_점수'!E103:P103,0))</x:f>
        <x:v>해양</x:v>
      </x:c>
      <x:c r="V103" s="8" t="str">
        <x:f>IF(T103&lt;&gt;"",T103,U103)</x:f>
        <x:v>해양</x:v>
      </x:c>
      <x:c r="W103" s="8" t="str">
        <x:f>IFERROR(INDEX('서식지_점수'!$E$4:$P$4,1,MATCH(MAXIFS('서식지_점수'!E103:P103,'서식지_점수'!E103:P103,"&lt;"&amp;MAX('서식지_점수'!E103:P103)),'서식지_점수'!E103:P103,0)),"")</x:f>
        <x:v>습지</x:v>
      </x:c>
      <x:c r="X103" s="8" t="str">
        <x:f>IF(T103&lt;&gt;"","수동확정",IF(MAX('서식지_점수'!E103:P103)-LARGE('서식지_점수'!E103:P103,2)&gt;=15,"높음",IF(MAX('서식지_점수'!E103:P103)-LARGE('서식지_점수'!E103:P103,2)&gt;=8,"보통","검토필요")))</x:f>
        <x:v>높음</x:v>
      </x:c>
      <x:c r="Y103" s="9" t="n">
        <x:f>IF(Q103="전설",8,IF(Q103="희귀",7,IF(J103="기본",1,IF(J103="중간",3,IF(J103="최종",IF(I103="",5,IF(I103&lt;=20,3,IF(I103&lt;=35,4,IF(I103&lt;=50,6,7)))),IF(Q103="드묾",4,2))))))</x:f>
        <x:v>4</x:v>
      </x:c>
      <x:c r="Z103" s="5" t="inlineStr">
        <x:is>
          <x:t xml:space="preserve">#cobblemon:is_coast; #cobblemon:is_ocean; #cobblemon:is_overworld</x:t>
        </x:is>
      </x:c>
      <x:c r="AA103" s="5" t="inlineStr">
        <x:is>
          <x:t xml:space="preserve">common</x:t>
        </x:is>
      </x:c>
      <x:c r="AB103" s="5" t="inlineStr">
        <x:is>
          <x:t xml:space="preserve">예</x:t>
        </x:is>
      </x:c>
      <x:c r="AC103" s="8" t="str">
        <x:f>IF(T103&lt;&gt;"","수동확정",IF(X103="검토필요","검토필요",IF(S103="","원본없음","초기완료")))</x:f>
        <x:v>초기완료</x:v>
      </x:c>
      <x:c r="AD103" s="7" t="inlineStr">
        <x:is>
          <x:t xml:space="preserve"/>
        </x:is>
      </x:c>
      <x:c r="AE103" s="5" t="inlineStr">
        <x:is>
          <x:t xml:space="preserve">.tmp/cobblemon-1.7.3-source/common/src/main/resources/data/cobblemon/species/generation1/kingler.json</x:t>
        </x:is>
      </x:c>
      <x:c r="AF103" s="5" t="str">
        <x:f>"생활권|"&amp;K103</x:f>
        <x:v>생활권|해양</x:v>
      </x:c>
      <x:c r="AG103" s="5" t="str">
        <x:f>"지형|"&amp;L103</x:f>
        <x:v>지형|해안·해양</x:v>
      </x:c>
      <x:c r="AH103" s="5" t="str">
        <x:f>"온도|"&amp;M103</x:f>
        <x:v>온도|온대</x:v>
      </x:c>
      <x:c r="AI103" s="5" t="str">
        <x:f>"습도|"&amp;N103</x:f>
        <x:v>습도|수중</x:v>
      </x:c>
      <x:c r="AJ103" s="5" t="str">
        <x:f>"날씨|"&amp;O103</x:f>
        <x:v>날씨|비</x:v>
      </x:c>
      <x:c r="AK103" s="5" t="str">
        <x:f>"특수태그|"&amp;R103</x:f>
        <x:v>특수태그|없음</x:v>
      </x:c>
      <x:c r="AL103" s="5" t="str">
        <x:f>"원본서식지|"&amp;S103</x:f>
        <x:v>원본서식지|해양</x:v>
      </x:c>
      <x:c r="AM103" s="5" t="str">
        <x:f>"타입|"&amp;F103</x:f>
        <x:v>타입|물</x:v>
      </x:c>
      <x:c r="AN103" s="5" t="str">
        <x:f>"타입|"&amp;G103</x:f>
        <x:v>타입|</x:v>
      </x:c>
    </x:row>
    <x:row r="104" ht="24" customHeight="1">
      <x:c r="A104" s="5" t="n">
        <x:v>100</x:v>
      </x:c>
      <x:c r="B104" s="5" t="inlineStr">
        <x:is>
          <x:t xml:space="preserve">찌리리공</x:t>
        </x:is>
      </x:c>
      <x:c r="C104" s="5" t="inlineStr">
        <x:is>
          <x:t xml:space="preserve">voltorb</x:t>
        </x:is>
      </x:c>
      <x:c r="D104" s="5" t="inlineStr">
        <x:is>
          <x:t xml:space="preserve">Voltorb</x:t>
        </x:is>
      </x:c>
      <x:c r="E104" s="5" t="n">
        <x:v>1</x:v>
      </x:c>
      <x:c r="F104" s="5" t="inlineStr">
        <x:is>
          <x:t xml:space="preserve">전기</x:t>
        </x:is>
      </x:c>
      <x:c r="G104" s="5" t="inlineStr">
        <x:is>
          <x:t xml:space="preserve"/>
        </x:is>
      </x:c>
      <x:c r="H104" s="6" t="n">
        <x:v>10.4</x:v>
      </x:c>
      <x:c r="I104" s="5" t="n">
        <x:v>30</x:v>
      </x:c>
      <x:c r="J104" s="5" t="inlineStr">
        <x:is>
          <x:t xml:space="preserve">기본</x:t>
        </x:is>
      </x:c>
      <x:c r="K104" s="7" t="inlineStr">
        <x:is>
          <x:t xml:space="preserve">인공</x:t>
        </x:is>
      </x:c>
      <x:c r="L104" s="7" t="inlineStr">
        <x:is>
          <x:t xml:space="preserve">도시</x:t>
        </x:is>
      </x:c>
      <x:c r="M104" s="7" t="inlineStr">
        <x:is>
          <x:t xml:space="preserve">온대</x:t>
        </x:is>
      </x:c>
      <x:c r="N104" s="7" t="inlineStr">
        <x:is>
          <x:t xml:space="preserve">보통</x:t>
        </x:is>
      </x:c>
      <x:c r="O104" s="7" t="inlineStr">
        <x:is>
          <x:t xml:space="preserve">무관</x:t>
        </x:is>
      </x:c>
      <x:c r="P104" s="7" t="inlineStr">
        <x:is>
          <x:t xml:space="preserve">무관</x:t>
        </x:is>
      </x:c>
      <x:c r="Q104" s="7" t="inlineStr">
        <x:is>
          <x:t xml:space="preserve">보통</x:t>
        </x:is>
      </x:c>
      <x:c r="R104" s="7" t="inlineStr">
        <x:is>
          <x:t xml:space="preserve">도시</x:t>
        </x:is>
      </x:c>
      <x:c r="S104" s="7" t="inlineStr">
        <x:is>
          <x:t xml:space="preserve"/>
        </x:is>
      </x:c>
      <x:c r="T104" s="7" t="inlineStr">
        <x:is>
          <x:t xml:space="preserve"/>
        </x:is>
      </x:c>
      <x:c r="U104" s="8" t="str">
        <x:f>INDEX('서식지_점수'!$E$4:$P$4,1,MATCH(MAX('서식지_점수'!E104:P104),'서식지_점수'!E104:P104,0))</x:f>
        <x:v>도시</x:v>
      </x:c>
      <x:c r="V104" s="8" t="str">
        <x:f>IF(T104&lt;&gt;"",T104,U104)</x:f>
        <x:v>도시</x:v>
      </x:c>
      <x:c r="W104" s="8" t="str">
        <x:f>IFERROR(INDEX('서식지_점수'!$E$4:$P$4,1,MATCH(MAXIFS('서식지_점수'!E104:P104,'서식지_점수'!E104:P104,"&lt;"&amp;MAX('서식지_점수'!E104:P104)),'서식지_점수'!E104:P104,0)),"")</x:f>
        <x:v>특수</x:v>
      </x:c>
      <x:c r="X104" s="8" t="str">
        <x:f>IF(T104&lt;&gt;"","수동확정",IF(MAX('서식지_점수'!E104:P104)-LARGE('서식지_점수'!E104:P104,2)&gt;=15,"높음",IF(MAX('서식지_점수'!E104:P104)-LARGE('서식지_점수'!E104:P104,2)&gt;=8,"보통","검토필요")))</x:f>
        <x:v>높음</x:v>
      </x:c>
      <x:c r="Y104" s="9" t="n">
        <x:f>IF(Q104="전설",8,IF(Q104="희귀",7,IF(J104="기본",1,IF(J104="중간",3,IF(J104="최종",IF(I104="",5,IF(I104&lt;=20,3,IF(I104&lt;=35,4,IF(I104&lt;=50,6,7)))),IF(Q104="드묾",4,2))))))</x:f>
        <x:v>1</x:v>
      </x:c>
      <x:c r="Z104" s="5" t="inlineStr">
        <x:is>
          <x:t xml:space="preserve">#cobblemon:is_overworld</x:t>
        </x:is>
      </x:c>
      <x:c r="AA104" s="5" t="inlineStr">
        <x:is>
          <x:t xml:space="preserve">common; uncommon</x:t>
        </x:is>
      </x:c>
      <x:c r="AB104" s="5" t="inlineStr">
        <x:is>
          <x:t xml:space="preserve">예</x:t>
        </x:is>
      </x:c>
      <x:c r="AC104" s="8" t="str">
        <x:f>IF(T104&lt;&gt;"","수동확정",IF(X104="검토필요","검토필요",IF(S104="","원본없음","초기완료")))</x:f>
        <x:v>원본없음</x:v>
      </x:c>
      <x:c r="AD104" s="7" t="inlineStr">
        <x:is>
          <x:t xml:space="preserve"/>
        </x:is>
      </x:c>
      <x:c r="AE104" s="5" t="inlineStr">
        <x:is>
          <x:t xml:space="preserve">.tmp/cobblemon-1.7.3-source/common/src/main/resources/data/cobblemon/species/generation1/voltorb.json</x:t>
        </x:is>
      </x:c>
      <x:c r="AF104" s="5" t="str">
        <x:f>"생활권|"&amp;K104</x:f>
        <x:v>생활권|인공</x:v>
      </x:c>
      <x:c r="AG104" s="5" t="str">
        <x:f>"지형|"&amp;L104</x:f>
        <x:v>지형|도시</x:v>
      </x:c>
      <x:c r="AH104" s="5" t="str">
        <x:f>"온도|"&amp;M104</x:f>
        <x:v>온도|온대</x:v>
      </x:c>
      <x:c r="AI104" s="5" t="str">
        <x:f>"습도|"&amp;N104</x:f>
        <x:v>습도|보통</x:v>
      </x:c>
      <x:c r="AJ104" s="5" t="str">
        <x:f>"날씨|"&amp;O104</x:f>
        <x:v>날씨|무관</x:v>
      </x:c>
      <x:c r="AK104" s="5" t="str">
        <x:f>"특수태그|"&amp;R104</x:f>
        <x:v>특수태그|도시</x:v>
      </x:c>
      <x:c r="AL104" s="5" t="str">
        <x:f>"원본서식지|"&amp;S104</x:f>
        <x:v>원본서식지|</x:v>
      </x:c>
      <x:c r="AM104" s="5" t="str">
        <x:f>"타입|"&amp;F104</x:f>
        <x:v>타입|전기</x:v>
      </x:c>
      <x:c r="AN104" s="5" t="str">
        <x:f>"타입|"&amp;G104</x:f>
        <x:v>타입|</x:v>
      </x:c>
    </x:row>
    <x:row r="105" ht="24" customHeight="1">
      <x:c r="A105" s="5" t="n">
        <x:v>101</x:v>
      </x:c>
      <x:c r="B105" s="5" t="inlineStr">
        <x:is>
          <x:t xml:space="preserve">붐볼</x:t>
        </x:is>
      </x:c>
      <x:c r="C105" s="5" t="inlineStr">
        <x:is>
          <x:t xml:space="preserve">electrode</x:t>
        </x:is>
      </x:c>
      <x:c r="D105" s="5" t="inlineStr">
        <x:is>
          <x:t xml:space="preserve">Electrode</x:t>
        </x:is>
      </x:c>
      <x:c r="E105" s="5" t="n">
        <x:v>1</x:v>
      </x:c>
      <x:c r="F105" s="5" t="inlineStr">
        <x:is>
          <x:t xml:space="preserve">전기</x:t>
        </x:is>
      </x:c>
      <x:c r="G105" s="5" t="inlineStr">
        <x:is>
          <x:t xml:space="preserve"/>
        </x:is>
      </x:c>
      <x:c r="H105" s="6" t="n">
        <x:v>66.59999999999999</x:v>
      </x:c>
      <x:c r="I105" s="5" t="n">
        <x:v>30</x:v>
      </x:c>
      <x:c r="J105" s="5" t="inlineStr">
        <x:is>
          <x:t xml:space="preserve">최종</x:t>
        </x:is>
      </x:c>
      <x:c r="K105" s="7" t="inlineStr">
        <x:is>
          <x:t xml:space="preserve">인공</x:t>
        </x:is>
      </x:c>
      <x:c r="L105" s="7" t="inlineStr">
        <x:is>
          <x:t xml:space="preserve">도시</x:t>
        </x:is>
      </x:c>
      <x:c r="M105" s="7" t="inlineStr">
        <x:is>
          <x:t xml:space="preserve">온대</x:t>
        </x:is>
      </x:c>
      <x:c r="N105" s="7" t="inlineStr">
        <x:is>
          <x:t xml:space="preserve">보통</x:t>
        </x:is>
      </x:c>
      <x:c r="O105" s="7" t="inlineStr">
        <x:is>
          <x:t xml:space="preserve">무관</x:t>
        </x:is>
      </x:c>
      <x:c r="P105" s="7" t="inlineStr">
        <x:is>
          <x:t xml:space="preserve">무관</x:t>
        </x:is>
      </x:c>
      <x:c r="Q105" s="7" t="inlineStr">
        <x:is>
          <x:t xml:space="preserve">보통</x:t>
        </x:is>
      </x:c>
      <x:c r="R105" s="7" t="inlineStr">
        <x:is>
          <x:t xml:space="preserve">도시</x:t>
        </x:is>
      </x:c>
      <x:c r="S105" s="7" t="inlineStr">
        <x:is>
          <x:t xml:space="preserve"/>
        </x:is>
      </x:c>
      <x:c r="T105" s="7" t="inlineStr">
        <x:is>
          <x:t xml:space="preserve"/>
        </x:is>
      </x:c>
      <x:c r="U105" s="8" t="str">
        <x:f>INDEX('서식지_점수'!$E$4:$P$4,1,MATCH(MAX('서식지_점수'!E105:P105),'서식지_점수'!E105:P105,0))</x:f>
        <x:v>도시</x:v>
      </x:c>
      <x:c r="V105" s="8" t="str">
        <x:f>IF(T105&lt;&gt;"",T105,U105)</x:f>
        <x:v>도시</x:v>
      </x:c>
      <x:c r="W105" s="8" t="str">
        <x:f>IFERROR(INDEX('서식지_점수'!$E$4:$P$4,1,MATCH(MAXIFS('서식지_점수'!E105:P105,'서식지_점수'!E105:P105,"&lt;"&amp;MAX('서식지_점수'!E105:P105)),'서식지_점수'!E105:P105,0)),"")</x:f>
        <x:v>특수</x:v>
      </x:c>
      <x:c r="X105" s="8" t="str">
        <x:f>IF(T105&lt;&gt;"","수동확정",IF(MAX('서식지_점수'!E105:P105)-LARGE('서식지_점수'!E105:P105,2)&gt;=15,"높음",IF(MAX('서식지_점수'!E105:P105)-LARGE('서식지_점수'!E105:P105,2)&gt;=8,"보통","검토필요")))</x:f>
        <x:v>높음</x:v>
      </x:c>
      <x:c r="Y105" s="9" t="n">
        <x:f>IF(Q105="전설",8,IF(Q105="희귀",7,IF(J105="기본",1,IF(J105="중간",3,IF(J105="최종",IF(I105="",5,IF(I105&lt;=20,3,IF(I105&lt;=35,4,IF(I105&lt;=50,6,7)))),IF(Q105="드묾",4,2))))))</x:f>
        <x:v>4</x:v>
      </x:c>
      <x:c r="Z105" s="5" t="inlineStr">
        <x:is>
          <x:t xml:space="preserve">#cobblemon:is_overworld</x:t>
        </x:is>
      </x:c>
      <x:c r="AA105" s="5" t="inlineStr">
        <x:is>
          <x:t xml:space="preserve">common; uncommon</x:t>
        </x:is>
      </x:c>
      <x:c r="AB105" s="5" t="inlineStr">
        <x:is>
          <x:t xml:space="preserve">예</x:t>
        </x:is>
      </x:c>
      <x:c r="AC105" s="8" t="str">
        <x:f>IF(T105&lt;&gt;"","수동확정",IF(X105="검토필요","검토필요",IF(S105="","원본없음","초기완료")))</x:f>
        <x:v>원본없음</x:v>
      </x:c>
      <x:c r="AD105" s="7" t="inlineStr">
        <x:is>
          <x:t xml:space="preserve"/>
        </x:is>
      </x:c>
      <x:c r="AE105" s="5" t="inlineStr">
        <x:is>
          <x:t xml:space="preserve">.tmp/cobblemon-1.7.3-source/common/src/main/resources/data/cobblemon/species/generation1/electrode.json</x:t>
        </x:is>
      </x:c>
      <x:c r="AF105" s="5" t="str">
        <x:f>"생활권|"&amp;K105</x:f>
        <x:v>생활권|인공</x:v>
      </x:c>
      <x:c r="AG105" s="5" t="str">
        <x:f>"지형|"&amp;L105</x:f>
        <x:v>지형|도시</x:v>
      </x:c>
      <x:c r="AH105" s="5" t="str">
        <x:f>"온도|"&amp;M105</x:f>
        <x:v>온도|온대</x:v>
      </x:c>
      <x:c r="AI105" s="5" t="str">
        <x:f>"습도|"&amp;N105</x:f>
        <x:v>습도|보통</x:v>
      </x:c>
      <x:c r="AJ105" s="5" t="str">
        <x:f>"날씨|"&amp;O105</x:f>
        <x:v>날씨|무관</x:v>
      </x:c>
      <x:c r="AK105" s="5" t="str">
        <x:f>"특수태그|"&amp;R105</x:f>
        <x:v>특수태그|도시</x:v>
      </x:c>
      <x:c r="AL105" s="5" t="str">
        <x:f>"원본서식지|"&amp;S105</x:f>
        <x:v>원본서식지|</x:v>
      </x:c>
      <x:c r="AM105" s="5" t="str">
        <x:f>"타입|"&amp;F105</x:f>
        <x:v>타입|전기</x:v>
      </x:c>
      <x:c r="AN105" s="5" t="str">
        <x:f>"타입|"&amp;G105</x:f>
        <x:v>타입|</x:v>
      </x:c>
    </x:row>
    <x:row r="106" ht="24" customHeight="1">
      <x:c r="A106" s="5" t="n">
        <x:v>102</x:v>
      </x:c>
      <x:c r="B106" s="5" t="inlineStr">
        <x:is>
          <x:t xml:space="preserve">아라리</x:t>
        </x:is>
      </x:c>
      <x:c r="C106" s="5" t="inlineStr">
        <x:is>
          <x:t xml:space="preserve">exeggcute</x:t>
        </x:is>
      </x:c>
      <x:c r="D106" s="5" t="inlineStr">
        <x:is>
          <x:t xml:space="preserve">Exeggcute</x:t>
        </x:is>
      </x:c>
      <x:c r="E106" s="5" t="n">
        <x:v>1</x:v>
      </x:c>
      <x:c r="F106" s="5" t="inlineStr">
        <x:is>
          <x:t xml:space="preserve">풀</x:t>
        </x:is>
      </x:c>
      <x:c r="G106" s="5" t="inlineStr">
        <x:is>
          <x:t xml:space="preserve">에스퍼</x:t>
        </x:is>
      </x:c>
      <x:c r="H106" s="6" t="n">
        <x:v>2.5</x:v>
      </x:c>
      <x:c r="I106" s="5" t="n"/>
      <x:c r="J106" s="5" t="inlineStr">
        <x:is>
          <x:t xml:space="preserve">기본</x:t>
        </x:is>
      </x:c>
      <x:c r="K106" s="7" t="inlineStr">
        <x:is>
          <x:t xml:space="preserve">해양</x:t>
        </x:is>
      </x:c>
      <x:c r="L106" s="7" t="inlineStr">
        <x:is>
          <x:t xml:space="preserve">해안·해양</x:t>
        </x:is>
      </x:c>
      <x:c r="M106" s="7" t="inlineStr">
        <x:is>
          <x:t xml:space="preserve">온대</x:t>
        </x:is>
      </x:c>
      <x:c r="N106" s="7" t="inlineStr">
        <x:is>
          <x:t xml:space="preserve">수중</x:t>
        </x:is>
      </x:c>
      <x:c r="O106" s="7" t="inlineStr">
        <x:is>
          <x:t xml:space="preserve">비</x:t>
        </x:is>
      </x:c>
      <x:c r="P106" s="7" t="inlineStr">
        <x:is>
          <x:t xml:space="preserve">무관</x:t>
        </x:is>
      </x:c>
      <x:c r="Q106" s="7" t="inlineStr">
        <x:is>
          <x:t xml:space="preserve">보통</x:t>
        </x:is>
      </x:c>
      <x:c r="R106" s="7" t="inlineStr">
        <x:is>
          <x:t xml:space="preserve">없음</x:t>
        </x:is>
      </x:c>
      <x:c r="S106" s="7" t="inlineStr">
        <x:is>
          <x:t xml:space="preserve">해양</x:t>
        </x:is>
      </x:c>
      <x:c r="T106" s="7" t="inlineStr">
        <x:is>
          <x:t xml:space="preserve"/>
        </x:is>
      </x:c>
      <x:c r="U106" s="8" t="str">
        <x:f>INDEX('서식지_점수'!$E$4:$P$4,1,MATCH(MAX('서식지_점수'!E106:P106),'서식지_점수'!E106:P106,0))</x:f>
        <x:v>해양</x:v>
      </x:c>
      <x:c r="V106" s="8" t="str">
        <x:f>IF(T106&lt;&gt;"",T106,U106)</x:f>
        <x:v>해양</x:v>
      </x:c>
      <x:c r="W106" s="8" t="str">
        <x:f>IFERROR(INDEX('서식지_점수'!$E$4:$P$4,1,MATCH(MAXIFS('서식지_점수'!E106:P106,'서식지_점수'!E106:P106,"&lt;"&amp;MAX('서식지_점수'!E106:P106)),'서식지_점수'!E106:P106,0)),"")</x:f>
        <x:v>습지</x:v>
      </x:c>
      <x:c r="X106" s="8" t="str">
        <x:f>IF(T106&lt;&gt;"","수동확정",IF(MAX('서식지_점수'!E106:P106)-LARGE('서식지_점수'!E106:P106,2)&gt;=15,"높음",IF(MAX('서식지_점수'!E106:P106)-LARGE('서식지_점수'!E106:P106,2)&gt;=8,"보통","검토필요")))</x:f>
        <x:v>높음</x:v>
      </x:c>
      <x:c r="Y106" s="9" t="n">
        <x:f>IF(Q106="전설",8,IF(Q106="희귀",7,IF(J106="기본",1,IF(J106="중간",3,IF(J106="최종",IF(I106="",5,IF(I106&lt;=20,3,IF(I106&lt;=35,4,IF(I106&lt;=50,6,7)))),IF(Q106="드묾",4,2))))))</x:f>
        <x:v>1</x:v>
      </x:c>
      <x:c r="Z106" s="5" t="inlineStr">
        <x:is>
          <x:t xml:space="preserve">#cobblemon:is_beach; #cobblemon:is_jungle; #cobblemon:is_savanna; #cobblemon:is_tropical_island</x:t>
        </x:is>
      </x:c>
      <x:c r="AA106" s="5" t="inlineStr">
        <x:is>
          <x:t xml:space="preserve">common; uncommon</x:t>
        </x:is>
      </x:c>
      <x:c r="AB106" s="5" t="inlineStr">
        <x:is>
          <x:t xml:space="preserve">예</x:t>
        </x:is>
      </x:c>
      <x:c r="AC106" s="8" t="str">
        <x:f>IF(T106&lt;&gt;"","수동확정",IF(X106="검토필요","검토필요",IF(S106="","원본없음","초기완료")))</x:f>
        <x:v>초기완료</x:v>
      </x:c>
      <x:c r="AD106" s="7" t="inlineStr">
        <x:is>
          <x:t xml:space="preserve"/>
        </x:is>
      </x:c>
      <x:c r="AE106" s="5" t="inlineStr">
        <x:is>
          <x:t xml:space="preserve">.tmp/cobblemon-1.7.3-source/common/src/main/resources/data/cobblemon/species/generation1/exeggcute.json</x:t>
        </x:is>
      </x:c>
      <x:c r="AF106" s="5" t="str">
        <x:f>"생활권|"&amp;K106</x:f>
        <x:v>생활권|해양</x:v>
      </x:c>
      <x:c r="AG106" s="5" t="str">
        <x:f>"지형|"&amp;L106</x:f>
        <x:v>지형|해안·해양</x:v>
      </x:c>
      <x:c r="AH106" s="5" t="str">
        <x:f>"온도|"&amp;M106</x:f>
        <x:v>온도|온대</x:v>
      </x:c>
      <x:c r="AI106" s="5" t="str">
        <x:f>"습도|"&amp;N106</x:f>
        <x:v>습도|수중</x:v>
      </x:c>
      <x:c r="AJ106" s="5" t="str">
        <x:f>"날씨|"&amp;O106</x:f>
        <x:v>날씨|비</x:v>
      </x:c>
      <x:c r="AK106" s="5" t="str">
        <x:f>"특수태그|"&amp;R106</x:f>
        <x:v>특수태그|없음</x:v>
      </x:c>
      <x:c r="AL106" s="5" t="str">
        <x:f>"원본서식지|"&amp;S106</x:f>
        <x:v>원본서식지|해양</x:v>
      </x:c>
      <x:c r="AM106" s="5" t="str">
        <x:f>"타입|"&amp;F106</x:f>
        <x:v>타입|풀</x:v>
      </x:c>
      <x:c r="AN106" s="5" t="str">
        <x:f>"타입|"&amp;G106</x:f>
        <x:v>타입|에스퍼</x:v>
      </x:c>
    </x:row>
    <x:row r="107" ht="24" customHeight="1">
      <x:c r="A107" s="5" t="n">
        <x:v>103</x:v>
      </x:c>
      <x:c r="B107" s="5" t="inlineStr">
        <x:is>
          <x:t xml:space="preserve">나시</x:t>
        </x:is>
      </x:c>
      <x:c r="C107" s="5" t="inlineStr">
        <x:is>
          <x:t xml:space="preserve">exeggutor</x:t>
        </x:is>
      </x:c>
      <x:c r="D107" s="5" t="inlineStr">
        <x:is>
          <x:t xml:space="preserve">Exeggutor</x:t>
        </x:is>
      </x:c>
      <x:c r="E107" s="5" t="n">
        <x:v>1</x:v>
      </x:c>
      <x:c r="F107" s="5" t="inlineStr">
        <x:is>
          <x:t xml:space="preserve">풀</x:t>
        </x:is>
      </x:c>
      <x:c r="G107" s="5" t="inlineStr">
        <x:is>
          <x:t xml:space="preserve">에스퍼</x:t>
        </x:is>
      </x:c>
      <x:c r="H107" s="6" t="n">
        <x:v>120</x:v>
      </x:c>
      <x:c r="I107" s="5" t="n"/>
      <x:c r="J107" s="5" t="inlineStr">
        <x:is>
          <x:t xml:space="preserve">최종</x:t>
        </x:is>
      </x:c>
      <x:c r="K107" s="7" t="inlineStr">
        <x:is>
          <x:t xml:space="preserve">해양</x:t>
        </x:is>
      </x:c>
      <x:c r="L107" s="7" t="inlineStr">
        <x:is>
          <x:t xml:space="preserve">해안·해양</x:t>
        </x:is>
      </x:c>
      <x:c r="M107" s="7" t="inlineStr">
        <x:is>
          <x:t xml:space="preserve">온대</x:t>
        </x:is>
      </x:c>
      <x:c r="N107" s="7" t="inlineStr">
        <x:is>
          <x:t xml:space="preserve">수중</x:t>
        </x:is>
      </x:c>
      <x:c r="O107" s="7" t="inlineStr">
        <x:is>
          <x:t xml:space="preserve">비</x:t>
        </x:is>
      </x:c>
      <x:c r="P107" s="7" t="inlineStr">
        <x:is>
          <x:t xml:space="preserve">무관</x:t>
        </x:is>
      </x:c>
      <x:c r="Q107" s="7" t="inlineStr">
        <x:is>
          <x:t xml:space="preserve">보통</x:t>
        </x:is>
      </x:c>
      <x:c r="R107" s="7" t="inlineStr">
        <x:is>
          <x:t xml:space="preserve">없음</x:t>
        </x:is>
      </x:c>
      <x:c r="S107" s="7" t="inlineStr">
        <x:is>
          <x:t xml:space="preserve">해양</x:t>
        </x:is>
      </x:c>
      <x:c r="T107" s="7" t="inlineStr">
        <x:is>
          <x:t xml:space="preserve"/>
        </x:is>
      </x:c>
      <x:c r="U107" s="8" t="str">
        <x:f>INDEX('서식지_점수'!$E$4:$P$4,1,MATCH(MAX('서식지_점수'!E107:P107),'서식지_점수'!E107:P107,0))</x:f>
        <x:v>해양</x:v>
      </x:c>
      <x:c r="V107" s="8" t="str">
        <x:f>IF(T107&lt;&gt;"",T107,U107)</x:f>
        <x:v>해양</x:v>
      </x:c>
      <x:c r="W107" s="8" t="str">
        <x:f>IFERROR(INDEX('서식지_점수'!$E$4:$P$4,1,MATCH(MAXIFS('서식지_점수'!E107:P107,'서식지_점수'!E107:P107,"&lt;"&amp;MAX('서식지_점수'!E107:P107)),'서식지_점수'!E107:P107,0)),"")</x:f>
        <x:v>습지</x:v>
      </x:c>
      <x:c r="X107" s="8" t="str">
        <x:f>IF(T107&lt;&gt;"","수동확정",IF(MAX('서식지_점수'!E107:P107)-LARGE('서식지_점수'!E107:P107,2)&gt;=15,"높음",IF(MAX('서식지_점수'!E107:P107)-LARGE('서식지_점수'!E107:P107,2)&gt;=8,"보통","검토필요")))</x:f>
        <x:v>높음</x:v>
      </x:c>
      <x:c r="Y107" s="9" t="n">
        <x:f>IF(Q107="전설",8,IF(Q107="희귀",7,IF(J107="기본",1,IF(J107="중간",3,IF(J107="최종",IF(I107="",5,IF(I107&lt;=20,3,IF(I107&lt;=35,4,IF(I107&lt;=50,6,7)))),IF(Q107="드묾",4,2))))))</x:f>
        <x:v>5</x:v>
      </x:c>
      <x:c r="Z107" s="5" t="inlineStr">
        <x:is>
          <x:t xml:space="preserve">#cobblemon:is_beach; #cobblemon:is_jungle; #cobblemon:is_savanna; #cobblemon:is_tropical_island</x:t>
        </x:is>
      </x:c>
      <x:c r="AA107" s="5" t="inlineStr">
        <x:is>
          <x:t xml:space="preserve">common; uncommon</x:t>
        </x:is>
      </x:c>
      <x:c r="AB107" s="5" t="inlineStr">
        <x:is>
          <x:t xml:space="preserve">예</x:t>
        </x:is>
      </x:c>
      <x:c r="AC107" s="8" t="str">
        <x:f>IF(T107&lt;&gt;"","수동확정",IF(X107="검토필요","검토필요",IF(S107="","원본없음","초기완료")))</x:f>
        <x:v>초기완료</x:v>
      </x:c>
      <x:c r="AD107" s="7" t="inlineStr">
        <x:is>
          <x:t xml:space="preserve"/>
        </x:is>
      </x:c>
      <x:c r="AE107" s="5" t="inlineStr">
        <x:is>
          <x:t xml:space="preserve">.tmp/cobblemon-1.7.3-source/common/src/main/resources/data/cobblemon/species/generation1/exeggutor.json</x:t>
        </x:is>
      </x:c>
      <x:c r="AF107" s="5" t="str">
        <x:f>"생활권|"&amp;K107</x:f>
        <x:v>생활권|해양</x:v>
      </x:c>
      <x:c r="AG107" s="5" t="str">
        <x:f>"지형|"&amp;L107</x:f>
        <x:v>지형|해안·해양</x:v>
      </x:c>
      <x:c r="AH107" s="5" t="str">
        <x:f>"온도|"&amp;M107</x:f>
        <x:v>온도|온대</x:v>
      </x:c>
      <x:c r="AI107" s="5" t="str">
        <x:f>"습도|"&amp;N107</x:f>
        <x:v>습도|수중</x:v>
      </x:c>
      <x:c r="AJ107" s="5" t="str">
        <x:f>"날씨|"&amp;O107</x:f>
        <x:v>날씨|비</x:v>
      </x:c>
      <x:c r="AK107" s="5" t="str">
        <x:f>"특수태그|"&amp;R107</x:f>
        <x:v>특수태그|없음</x:v>
      </x:c>
      <x:c r="AL107" s="5" t="str">
        <x:f>"원본서식지|"&amp;S107</x:f>
        <x:v>원본서식지|해양</x:v>
      </x:c>
      <x:c r="AM107" s="5" t="str">
        <x:f>"타입|"&amp;F107</x:f>
        <x:v>타입|풀</x:v>
      </x:c>
      <x:c r="AN107" s="5" t="str">
        <x:f>"타입|"&amp;G107</x:f>
        <x:v>타입|에스퍼</x:v>
      </x:c>
    </x:row>
    <x:row r="108" ht="24" customHeight="1">
      <x:c r="A108" s="5" t="n">
        <x:v>104</x:v>
      </x:c>
      <x:c r="B108" s="5" t="inlineStr">
        <x:is>
          <x:t xml:space="preserve">탕구리</x:t>
        </x:is>
      </x:c>
      <x:c r="C108" s="5" t="inlineStr">
        <x:is>
          <x:t xml:space="preserve">cubone</x:t>
        </x:is>
      </x:c>
      <x:c r="D108" s="5" t="inlineStr">
        <x:is>
          <x:t xml:space="preserve">Cubone</x:t>
        </x:is>
      </x:c>
      <x:c r="E108" s="5" t="n">
        <x:v>1</x:v>
      </x:c>
      <x:c r="F108" s="5" t="inlineStr">
        <x:is>
          <x:t xml:space="preserve">땅</x:t>
        </x:is>
      </x:c>
      <x:c r="G108" s="5" t="inlineStr">
        <x:is>
          <x:t xml:space="preserve"/>
        </x:is>
      </x:c>
      <x:c r="H108" s="6" t="n">
        <x:v>6.5</x:v>
      </x:c>
      <x:c r="I108" s="5" t="n">
        <x:v>28</x:v>
      </x:c>
      <x:c r="J108" s="5" t="inlineStr">
        <x:is>
          <x:t xml:space="preserve">기본</x:t>
        </x:is>
      </x:c>
      <x:c r="K108" s="7" t="inlineStr">
        <x:is>
          <x:t xml:space="preserve">육상</x:t>
        </x:is>
      </x:c>
      <x:c r="L108" s="7" t="inlineStr">
        <x:is>
          <x:t xml:space="preserve">건조</x:t>
        </x:is>
      </x:c>
      <x:c r="M108" s="7" t="inlineStr">
        <x:is>
          <x:t xml:space="preserve">고온</x:t>
        </x:is>
      </x:c>
      <x:c r="N108" s="7" t="inlineStr">
        <x:is>
          <x:t xml:space="preserve">건조</x:t>
        </x:is>
      </x:c>
      <x:c r="O108" s="7" t="inlineStr">
        <x:is>
          <x:t xml:space="preserve">맑음</x:t>
        </x:is>
      </x:c>
      <x:c r="P108" s="7" t="inlineStr">
        <x:is>
          <x:t xml:space="preserve">무관</x:t>
        </x:is>
      </x:c>
      <x:c r="Q108" s="7" t="inlineStr">
        <x:is>
          <x:t xml:space="preserve">흔함</x:t>
        </x:is>
      </x:c>
      <x:c r="R108" s="7" t="inlineStr">
        <x:is>
          <x:t xml:space="preserve">없음</x:t>
        </x:is>
      </x:c>
      <x:c r="S108" s="7" t="inlineStr">
        <x:is>
          <x:t xml:space="preserve">건조지</x:t>
        </x:is>
      </x:c>
      <x:c r="T108" s="7" t="inlineStr">
        <x:is>
          <x:t xml:space="preserve"/>
        </x:is>
      </x:c>
      <x:c r="U108" s="8" t="str">
        <x:f>INDEX('서식지_점수'!$E$4:$P$4,1,MATCH(MAX('서식지_점수'!E108:P108),'서식지_점수'!E108:P108,0))</x:f>
        <x:v>평원</x:v>
      </x:c>
      <x:c r="V108" s="8" t="str">
        <x:f>IF(T108&lt;&gt;"",T108,U108)</x:f>
        <x:v>평원</x:v>
      </x:c>
      <x:c r="W108" s="8" t="str">
        <x:f>IFERROR(INDEX('서식지_점수'!$E$4:$P$4,1,MATCH(MAXIFS('서식지_점수'!E108:P108,'서식지_점수'!E108:P108,"&lt;"&amp;MAX('서식지_점수'!E108:P108)),'서식지_점수'!E108:P108,0)),"")</x:f>
        <x:v>숲</x:v>
      </x:c>
      <x:c r="X108" s="8" t="str">
        <x:f>IF(T108&lt;&gt;"","수동확정",IF(MAX('서식지_점수'!E108:P108)-LARGE('서식지_점수'!E108:P108,2)&gt;=15,"높음",IF(MAX('서식지_점수'!E108:P108)-LARGE('서식지_점수'!E108:P108,2)&gt;=8,"보통","검토필요")))</x:f>
        <x:v>검토필요</x:v>
      </x:c>
      <x:c r="Y108" s="9" t="n">
        <x:f>IF(Q108="전설",8,IF(Q108="희귀",7,IF(J108="기본",1,IF(J108="중간",3,IF(J108="최종",IF(I108="",5,IF(I108&lt;=20,3,IF(I108&lt;=35,4,IF(I108&lt;=50,6,7)))),IF(Q108="드묾",4,2))))))</x:f>
        <x:v>1</x:v>
      </x:c>
      <x:c r="Z108" s="5" t="inlineStr">
        <x:is>
          <x:t xml:space="preserve">#cobblemon:is_badlands; #cobblemon:is_desert; #cobblemon:is_volcanic; #cobblemon:nether/is_desert</x:t>
        </x:is>
      </x:c>
      <x:c r="AA108" s="5" t="inlineStr">
        <x:is>
          <x:t xml:space="preserve">common</x:t>
        </x:is>
      </x:c>
      <x:c r="AB108" s="5" t="inlineStr">
        <x:is>
          <x:t xml:space="preserve">예</x:t>
        </x:is>
      </x:c>
      <x:c r="AC108" s="8" t="str">
        <x:f>IF(T108&lt;&gt;"","수동확정",IF(X108="검토필요","검토필요",IF(S108="","원본없음","초기완료")))</x:f>
        <x:v>검토필요</x:v>
      </x:c>
      <x:c r="AD108" s="7" t="inlineStr">
        <x:is>
          <x:t xml:space="preserve"/>
        </x:is>
      </x:c>
      <x:c r="AE108" s="5" t="inlineStr">
        <x:is>
          <x:t xml:space="preserve">.tmp/cobblemon-1.7.3-source/common/src/main/resources/data/cobblemon/species/generation1/cubone.json</x:t>
        </x:is>
      </x:c>
      <x:c r="AF108" s="5" t="str">
        <x:f>"생활권|"&amp;K108</x:f>
        <x:v>생활권|육상</x:v>
      </x:c>
      <x:c r="AG108" s="5" t="str">
        <x:f>"지형|"&amp;L108</x:f>
        <x:v>지형|건조</x:v>
      </x:c>
      <x:c r="AH108" s="5" t="str">
        <x:f>"온도|"&amp;M108</x:f>
        <x:v>온도|고온</x:v>
      </x:c>
      <x:c r="AI108" s="5" t="str">
        <x:f>"습도|"&amp;N108</x:f>
        <x:v>습도|건조</x:v>
      </x:c>
      <x:c r="AJ108" s="5" t="str">
        <x:f>"날씨|"&amp;O108</x:f>
        <x:v>날씨|맑음</x:v>
      </x:c>
      <x:c r="AK108" s="5" t="str">
        <x:f>"특수태그|"&amp;R108</x:f>
        <x:v>특수태그|없음</x:v>
      </x:c>
      <x:c r="AL108" s="5" t="str">
        <x:f>"원본서식지|"&amp;S108</x:f>
        <x:v>원본서식지|건조지</x:v>
      </x:c>
      <x:c r="AM108" s="5" t="str">
        <x:f>"타입|"&amp;F108</x:f>
        <x:v>타입|땅</x:v>
      </x:c>
      <x:c r="AN108" s="5" t="str">
        <x:f>"타입|"&amp;G108</x:f>
        <x:v>타입|</x:v>
      </x:c>
    </x:row>
    <x:row r="109" ht="24" customHeight="1">
      <x:c r="A109" s="5" t="n">
        <x:v>105</x:v>
      </x:c>
      <x:c r="B109" s="5" t="inlineStr">
        <x:is>
          <x:t xml:space="preserve">텅구리</x:t>
        </x:is>
      </x:c>
      <x:c r="C109" s="5" t="inlineStr">
        <x:is>
          <x:t xml:space="preserve">marowak</x:t>
        </x:is>
      </x:c>
      <x:c r="D109" s="5" t="inlineStr">
        <x:is>
          <x:t xml:space="preserve">Marowak</x:t>
        </x:is>
      </x:c>
      <x:c r="E109" s="5" t="n">
        <x:v>1</x:v>
      </x:c>
      <x:c r="F109" s="5" t="inlineStr">
        <x:is>
          <x:t xml:space="preserve">땅</x:t>
        </x:is>
      </x:c>
      <x:c r="G109" s="5" t="inlineStr">
        <x:is>
          <x:t xml:space="preserve"/>
        </x:is>
      </x:c>
      <x:c r="H109" s="6" t="n">
        <x:v>45</x:v>
      </x:c>
      <x:c r="I109" s="5" t="n">
        <x:v>28</x:v>
      </x:c>
      <x:c r="J109" s="5" t="inlineStr">
        <x:is>
          <x:t xml:space="preserve">최종</x:t>
        </x:is>
      </x:c>
      <x:c r="K109" s="7" t="inlineStr">
        <x:is>
          <x:t xml:space="preserve">육상</x:t>
        </x:is>
      </x:c>
      <x:c r="L109" s="7" t="inlineStr">
        <x:is>
          <x:t xml:space="preserve">건조</x:t>
        </x:is>
      </x:c>
      <x:c r="M109" s="7" t="inlineStr">
        <x:is>
          <x:t xml:space="preserve">고온</x:t>
        </x:is>
      </x:c>
      <x:c r="N109" s="7" t="inlineStr">
        <x:is>
          <x:t xml:space="preserve">건조</x:t>
        </x:is>
      </x:c>
      <x:c r="O109" s="7" t="inlineStr">
        <x:is>
          <x:t xml:space="preserve">맑음</x:t>
        </x:is>
      </x:c>
      <x:c r="P109" s="7" t="inlineStr">
        <x:is>
          <x:t xml:space="preserve">무관</x:t>
        </x:is>
      </x:c>
      <x:c r="Q109" s="7" t="inlineStr">
        <x:is>
          <x:t xml:space="preserve">흔함</x:t>
        </x:is>
      </x:c>
      <x:c r="R109" s="7" t="inlineStr">
        <x:is>
          <x:t xml:space="preserve">없음</x:t>
        </x:is>
      </x:c>
      <x:c r="S109" s="7" t="inlineStr">
        <x:is>
          <x:t xml:space="preserve">건조지</x:t>
        </x:is>
      </x:c>
      <x:c r="T109" s="7" t="inlineStr">
        <x:is>
          <x:t xml:space="preserve"/>
        </x:is>
      </x:c>
      <x:c r="U109" s="8" t="str">
        <x:f>INDEX('서식지_점수'!$E$4:$P$4,1,MATCH(MAX('서식지_점수'!E109:P109),'서식지_점수'!E109:P109,0))</x:f>
        <x:v>평원</x:v>
      </x:c>
      <x:c r="V109" s="8" t="str">
        <x:f>IF(T109&lt;&gt;"",T109,U109)</x:f>
        <x:v>평원</x:v>
      </x:c>
      <x:c r="W109" s="8" t="str">
        <x:f>IFERROR(INDEX('서식지_점수'!$E$4:$P$4,1,MATCH(MAXIFS('서식지_점수'!E109:P109,'서식지_점수'!E109:P109,"&lt;"&amp;MAX('서식지_점수'!E109:P109)),'서식지_점수'!E109:P109,0)),"")</x:f>
        <x:v>숲</x:v>
      </x:c>
      <x:c r="X109" s="8" t="str">
        <x:f>IF(T109&lt;&gt;"","수동확정",IF(MAX('서식지_점수'!E109:P109)-LARGE('서식지_점수'!E109:P109,2)&gt;=15,"높음",IF(MAX('서식지_점수'!E109:P109)-LARGE('서식지_점수'!E109:P109,2)&gt;=8,"보통","검토필요")))</x:f>
        <x:v>검토필요</x:v>
      </x:c>
      <x:c r="Y109" s="9" t="n">
        <x:f>IF(Q109="전설",8,IF(Q109="희귀",7,IF(J109="기본",1,IF(J109="중간",3,IF(J109="최종",IF(I109="",5,IF(I109&lt;=20,3,IF(I109&lt;=35,4,IF(I109&lt;=50,6,7)))),IF(Q109="드묾",4,2))))))</x:f>
        <x:v>4</x:v>
      </x:c>
      <x:c r="Z109" s="5" t="inlineStr">
        <x:is>
          <x:t xml:space="preserve">#cobblemon:is_badlands; #cobblemon:is_desert; #cobblemon:is_volcanic; #cobblemon:nether/is_desert</x:t>
        </x:is>
      </x:c>
      <x:c r="AA109" s="5" t="inlineStr">
        <x:is>
          <x:t xml:space="preserve">common</x:t>
        </x:is>
      </x:c>
      <x:c r="AB109" s="5" t="inlineStr">
        <x:is>
          <x:t xml:space="preserve">예</x:t>
        </x:is>
      </x:c>
      <x:c r="AC109" s="8" t="str">
        <x:f>IF(T109&lt;&gt;"","수동확정",IF(X109="검토필요","검토필요",IF(S109="","원본없음","초기완료")))</x:f>
        <x:v>검토필요</x:v>
      </x:c>
      <x:c r="AD109" s="7" t="inlineStr">
        <x:is>
          <x:t xml:space="preserve"/>
        </x:is>
      </x:c>
      <x:c r="AE109" s="5" t="inlineStr">
        <x:is>
          <x:t xml:space="preserve">.tmp/cobblemon-1.7.3-source/common/src/main/resources/data/cobblemon/species/generation1/marowak.json</x:t>
        </x:is>
      </x:c>
      <x:c r="AF109" s="5" t="str">
        <x:f>"생활권|"&amp;K109</x:f>
        <x:v>생활권|육상</x:v>
      </x:c>
      <x:c r="AG109" s="5" t="str">
        <x:f>"지형|"&amp;L109</x:f>
        <x:v>지형|건조</x:v>
      </x:c>
      <x:c r="AH109" s="5" t="str">
        <x:f>"온도|"&amp;M109</x:f>
        <x:v>온도|고온</x:v>
      </x:c>
      <x:c r="AI109" s="5" t="str">
        <x:f>"습도|"&amp;N109</x:f>
        <x:v>습도|건조</x:v>
      </x:c>
      <x:c r="AJ109" s="5" t="str">
        <x:f>"날씨|"&amp;O109</x:f>
        <x:v>날씨|맑음</x:v>
      </x:c>
      <x:c r="AK109" s="5" t="str">
        <x:f>"특수태그|"&amp;R109</x:f>
        <x:v>특수태그|없음</x:v>
      </x:c>
      <x:c r="AL109" s="5" t="str">
        <x:f>"원본서식지|"&amp;S109</x:f>
        <x:v>원본서식지|건조지</x:v>
      </x:c>
      <x:c r="AM109" s="5" t="str">
        <x:f>"타입|"&amp;F109</x:f>
        <x:v>타입|땅</x:v>
      </x:c>
      <x:c r="AN109" s="5" t="str">
        <x:f>"타입|"&amp;G109</x:f>
        <x:v>타입|</x:v>
      </x:c>
    </x:row>
    <x:row r="110" ht="24" customHeight="1">
      <x:c r="A110" s="5" t="n">
        <x:v>106</x:v>
      </x:c>
      <x:c r="B110" s="5" t="inlineStr">
        <x:is>
          <x:t xml:space="preserve">시라소몬</x:t>
        </x:is>
      </x:c>
      <x:c r="C110" s="5" t="inlineStr">
        <x:is>
          <x:t xml:space="preserve">hitmonlee</x:t>
        </x:is>
      </x:c>
      <x:c r="D110" s="5" t="inlineStr">
        <x:is>
          <x:t xml:space="preserve">Hitmonlee</x:t>
        </x:is>
      </x:c>
      <x:c r="E110" s="5" t="n">
        <x:v>1</x:v>
      </x:c>
      <x:c r="F110" s="5" t="inlineStr">
        <x:is>
          <x:t xml:space="preserve">격투</x:t>
        </x:is>
      </x:c>
      <x:c r="G110" s="5" t="inlineStr">
        <x:is>
          <x:t xml:space="preserve"/>
        </x:is>
      </x:c>
      <x:c r="H110" s="6" t="n">
        <x:v>49.8</x:v>
      </x:c>
      <x:c r="I110" s="5" t="n">
        <x:v>20</x:v>
      </x:c>
      <x:c r="J110" s="5" t="inlineStr">
        <x:is>
          <x:t xml:space="preserve">최종</x:t>
        </x:is>
      </x:c>
      <x:c r="K110" s="7" t="inlineStr">
        <x:is>
          <x:t xml:space="preserve">육상</x:t>
        </x:is>
      </x:c>
      <x:c r="L110" s="7" t="inlineStr">
        <x:is>
          <x:t xml:space="preserve">암석</x:t>
        </x:is>
      </x:c>
      <x:c r="M110" s="7" t="inlineStr">
        <x:is>
          <x:t xml:space="preserve">온대</x:t>
        </x:is>
      </x:c>
      <x:c r="N110" s="7" t="inlineStr">
        <x:is>
          <x:t xml:space="preserve">보통</x:t>
        </x:is>
      </x:c>
      <x:c r="O110" s="7" t="inlineStr">
        <x:is>
          <x:t xml:space="preserve">무관</x:t>
        </x:is>
      </x:c>
      <x:c r="P110" s="7" t="inlineStr">
        <x:is>
          <x:t xml:space="preserve">무관</x:t>
        </x:is>
      </x:c>
      <x:c r="Q110" s="7" t="inlineStr">
        <x:is>
          <x:t xml:space="preserve">보통</x:t>
        </x:is>
      </x:c>
      <x:c r="R110" s="7" t="inlineStr">
        <x:is>
          <x:t xml:space="preserve">없음</x:t>
        </x:is>
      </x:c>
      <x:c r="S110" s="7" t="inlineStr">
        <x:is>
          <x:t xml:space="preserve">산악</x:t>
        </x:is>
      </x:c>
      <x:c r="T110" s="7" t="inlineStr">
        <x:is>
          <x:t xml:space="preserve"/>
        </x:is>
      </x:c>
      <x:c r="U110" s="8" t="str">
        <x:f>INDEX('서식지_점수'!$E$4:$P$4,1,MATCH(MAX('서식지_점수'!E110:P110),'서식지_점수'!E110:P110,0))</x:f>
        <x:v>평원</x:v>
      </x:c>
      <x:c r="V110" s="8" t="str">
        <x:f>IF(T110&lt;&gt;"",T110,U110)</x:f>
        <x:v>평원</x:v>
      </x:c>
      <x:c r="W110" s="8" t="str">
        <x:f>IFERROR(INDEX('서식지_점수'!$E$4:$P$4,1,MATCH(MAXIFS('서식지_점수'!E110:P110,'서식지_점수'!E110:P110,"&lt;"&amp;MAX('서식지_점수'!E110:P110)),'서식지_점수'!E110:P110,0)),"")</x:f>
        <x:v>숲</x:v>
      </x:c>
      <x:c r="X110" s="8" t="str">
        <x:f>IF(T110&lt;&gt;"","수동확정",IF(MAX('서식지_점수'!E110:P110)-LARGE('서식지_점수'!E110:P110,2)&gt;=15,"높음",IF(MAX('서식지_점수'!E110:P110)-LARGE('서식지_점수'!E110:P110,2)&gt;=8,"보통","검토필요")))</x:f>
        <x:v>검토필요</x:v>
      </x:c>
      <x:c r="Y110" s="9" t="n">
        <x:f>IF(Q110="전설",8,IF(Q110="희귀",7,IF(J110="기본",1,IF(J110="중간",3,IF(J110="최종",IF(I110="",5,IF(I110&lt;=20,3,IF(I110&lt;=35,4,IF(I110&lt;=50,6,7)))),IF(Q110="드묾",4,2))))))</x:f>
        <x:v>3</x:v>
      </x:c>
      <x:c r="Z110" s="5" t="inlineStr">
        <x:is>
          <x:t xml:space="preserve">#cobblemon:is_hills</x:t>
        </x:is>
      </x:c>
      <x:c r="AA110" s="5" t="inlineStr">
        <x:is>
          <x:t xml:space="preserve">uncommon</x:t>
        </x:is>
      </x:c>
      <x:c r="AB110" s="5" t="inlineStr">
        <x:is>
          <x:t xml:space="preserve">예</x:t>
        </x:is>
      </x:c>
      <x:c r="AC110" s="8" t="str">
        <x:f>IF(T110&lt;&gt;"","수동확정",IF(X110="검토필요","검토필요",IF(S110="","원본없음","초기완료")))</x:f>
        <x:v>검토필요</x:v>
      </x:c>
      <x:c r="AD110" s="7" t="inlineStr">
        <x:is>
          <x:t xml:space="preserve"/>
        </x:is>
      </x:c>
      <x:c r="AE110" s="5" t="inlineStr">
        <x:is>
          <x:t xml:space="preserve">.tmp/cobblemon-1.7.3-source/common/src/main/resources/data/cobblemon/species/generation1/hitmonlee.json</x:t>
        </x:is>
      </x:c>
      <x:c r="AF110" s="5" t="str">
        <x:f>"생활권|"&amp;K110</x:f>
        <x:v>생활권|육상</x:v>
      </x:c>
      <x:c r="AG110" s="5" t="str">
        <x:f>"지형|"&amp;L110</x:f>
        <x:v>지형|암석</x:v>
      </x:c>
      <x:c r="AH110" s="5" t="str">
        <x:f>"온도|"&amp;M110</x:f>
        <x:v>온도|온대</x:v>
      </x:c>
      <x:c r="AI110" s="5" t="str">
        <x:f>"습도|"&amp;N110</x:f>
        <x:v>습도|보통</x:v>
      </x:c>
      <x:c r="AJ110" s="5" t="str">
        <x:f>"날씨|"&amp;O110</x:f>
        <x:v>날씨|무관</x:v>
      </x:c>
      <x:c r="AK110" s="5" t="str">
        <x:f>"특수태그|"&amp;R110</x:f>
        <x:v>특수태그|없음</x:v>
      </x:c>
      <x:c r="AL110" s="5" t="str">
        <x:f>"원본서식지|"&amp;S110</x:f>
        <x:v>원본서식지|산악</x:v>
      </x:c>
      <x:c r="AM110" s="5" t="str">
        <x:f>"타입|"&amp;F110</x:f>
        <x:v>타입|격투</x:v>
      </x:c>
      <x:c r="AN110" s="5" t="str">
        <x:f>"타입|"&amp;G110</x:f>
        <x:v>타입|</x:v>
      </x:c>
    </x:row>
    <x:row r="111" ht="24" customHeight="1">
      <x:c r="A111" s="5" t="n">
        <x:v>107</x:v>
      </x:c>
      <x:c r="B111" s="5" t="inlineStr">
        <x:is>
          <x:t xml:space="preserve">홍수몬</x:t>
        </x:is>
      </x:c>
      <x:c r="C111" s="5" t="inlineStr">
        <x:is>
          <x:t xml:space="preserve">hitmonchan</x:t>
        </x:is>
      </x:c>
      <x:c r="D111" s="5" t="inlineStr">
        <x:is>
          <x:t xml:space="preserve">Hitmonchan</x:t>
        </x:is>
      </x:c>
      <x:c r="E111" s="5" t="n">
        <x:v>1</x:v>
      </x:c>
      <x:c r="F111" s="5" t="inlineStr">
        <x:is>
          <x:t xml:space="preserve">격투</x:t>
        </x:is>
      </x:c>
      <x:c r="G111" s="5" t="inlineStr">
        <x:is>
          <x:t xml:space="preserve"/>
        </x:is>
      </x:c>
      <x:c r="H111" s="6" t="n">
        <x:v>50.2</x:v>
      </x:c>
      <x:c r="I111" s="5" t="n">
        <x:v>20</x:v>
      </x:c>
      <x:c r="J111" s="5" t="inlineStr">
        <x:is>
          <x:t xml:space="preserve">최종</x:t>
        </x:is>
      </x:c>
      <x:c r="K111" s="7" t="inlineStr">
        <x:is>
          <x:t xml:space="preserve">육상</x:t>
        </x:is>
      </x:c>
      <x:c r="L111" s="7" t="inlineStr">
        <x:is>
          <x:t xml:space="preserve">암석</x:t>
        </x:is>
      </x:c>
      <x:c r="M111" s="7" t="inlineStr">
        <x:is>
          <x:t xml:space="preserve">온대</x:t>
        </x:is>
      </x:c>
      <x:c r="N111" s="7" t="inlineStr">
        <x:is>
          <x:t xml:space="preserve">보통</x:t>
        </x:is>
      </x:c>
      <x:c r="O111" s="7" t="inlineStr">
        <x:is>
          <x:t xml:space="preserve">무관</x:t>
        </x:is>
      </x:c>
      <x:c r="P111" s="7" t="inlineStr">
        <x:is>
          <x:t xml:space="preserve">무관</x:t>
        </x:is>
      </x:c>
      <x:c r="Q111" s="7" t="inlineStr">
        <x:is>
          <x:t xml:space="preserve">보통</x:t>
        </x:is>
      </x:c>
      <x:c r="R111" s="7" t="inlineStr">
        <x:is>
          <x:t xml:space="preserve">없음</x:t>
        </x:is>
      </x:c>
      <x:c r="S111" s="7" t="inlineStr">
        <x:is>
          <x:t xml:space="preserve">산악</x:t>
        </x:is>
      </x:c>
      <x:c r="T111" s="7" t="inlineStr">
        <x:is>
          <x:t xml:space="preserve"/>
        </x:is>
      </x:c>
      <x:c r="U111" s="8" t="str">
        <x:f>INDEX('서식지_점수'!$E$4:$P$4,1,MATCH(MAX('서식지_점수'!E111:P111),'서식지_점수'!E111:P111,0))</x:f>
        <x:v>평원</x:v>
      </x:c>
      <x:c r="V111" s="8" t="str">
        <x:f>IF(T111&lt;&gt;"",T111,U111)</x:f>
        <x:v>평원</x:v>
      </x:c>
      <x:c r="W111" s="8" t="str">
        <x:f>IFERROR(INDEX('서식지_점수'!$E$4:$P$4,1,MATCH(MAXIFS('서식지_점수'!E111:P111,'서식지_점수'!E111:P111,"&lt;"&amp;MAX('서식지_점수'!E111:P111)),'서식지_점수'!E111:P111,0)),"")</x:f>
        <x:v>숲</x:v>
      </x:c>
      <x:c r="X111" s="8" t="str">
        <x:f>IF(T111&lt;&gt;"","수동확정",IF(MAX('서식지_점수'!E111:P111)-LARGE('서식지_점수'!E111:P111,2)&gt;=15,"높음",IF(MAX('서식지_점수'!E111:P111)-LARGE('서식지_점수'!E111:P111,2)&gt;=8,"보통","검토필요")))</x:f>
        <x:v>검토필요</x:v>
      </x:c>
      <x:c r="Y111" s="9" t="n">
        <x:f>IF(Q111="전설",8,IF(Q111="희귀",7,IF(J111="기본",1,IF(J111="중간",3,IF(J111="최종",IF(I111="",5,IF(I111&lt;=20,3,IF(I111&lt;=35,4,IF(I111&lt;=50,6,7)))),IF(Q111="드묾",4,2))))))</x:f>
        <x:v>3</x:v>
      </x:c>
      <x:c r="Z111" s="5" t="inlineStr">
        <x:is>
          <x:t xml:space="preserve">#cobblemon:is_hills</x:t>
        </x:is>
      </x:c>
      <x:c r="AA111" s="5" t="inlineStr">
        <x:is>
          <x:t xml:space="preserve">uncommon</x:t>
        </x:is>
      </x:c>
      <x:c r="AB111" s="5" t="inlineStr">
        <x:is>
          <x:t xml:space="preserve">예</x:t>
        </x:is>
      </x:c>
      <x:c r="AC111" s="8" t="str">
        <x:f>IF(T111&lt;&gt;"","수동확정",IF(X111="검토필요","검토필요",IF(S111="","원본없음","초기완료")))</x:f>
        <x:v>검토필요</x:v>
      </x:c>
      <x:c r="AD111" s="7" t="inlineStr">
        <x:is>
          <x:t xml:space="preserve"/>
        </x:is>
      </x:c>
      <x:c r="AE111" s="5" t="inlineStr">
        <x:is>
          <x:t xml:space="preserve">.tmp/cobblemon-1.7.3-source/common/src/main/resources/data/cobblemon/species/generation1/hitmonchan.json</x:t>
        </x:is>
      </x:c>
      <x:c r="AF111" s="5" t="str">
        <x:f>"생활권|"&amp;K111</x:f>
        <x:v>생활권|육상</x:v>
      </x:c>
      <x:c r="AG111" s="5" t="str">
        <x:f>"지형|"&amp;L111</x:f>
        <x:v>지형|암석</x:v>
      </x:c>
      <x:c r="AH111" s="5" t="str">
        <x:f>"온도|"&amp;M111</x:f>
        <x:v>온도|온대</x:v>
      </x:c>
      <x:c r="AI111" s="5" t="str">
        <x:f>"습도|"&amp;N111</x:f>
        <x:v>습도|보통</x:v>
      </x:c>
      <x:c r="AJ111" s="5" t="str">
        <x:f>"날씨|"&amp;O111</x:f>
        <x:v>날씨|무관</x:v>
      </x:c>
      <x:c r="AK111" s="5" t="str">
        <x:f>"특수태그|"&amp;R111</x:f>
        <x:v>특수태그|없음</x:v>
      </x:c>
      <x:c r="AL111" s="5" t="str">
        <x:f>"원본서식지|"&amp;S111</x:f>
        <x:v>원본서식지|산악</x:v>
      </x:c>
      <x:c r="AM111" s="5" t="str">
        <x:f>"타입|"&amp;F111</x:f>
        <x:v>타입|격투</x:v>
      </x:c>
      <x:c r="AN111" s="5" t="str">
        <x:f>"타입|"&amp;G111</x:f>
        <x:v>타입|</x:v>
      </x:c>
    </x:row>
    <x:row r="112" ht="24" customHeight="1">
      <x:c r="A112" s="5" t="n">
        <x:v>108</x:v>
      </x:c>
      <x:c r="B112" s="5" t="inlineStr">
        <x:is>
          <x:t xml:space="preserve">내루미</x:t>
        </x:is>
      </x:c>
      <x:c r="C112" s="5" t="inlineStr">
        <x:is>
          <x:t xml:space="preserve">lickitung</x:t>
        </x:is>
      </x:c>
      <x:c r="D112" s="5" t="inlineStr">
        <x:is>
          <x:t xml:space="preserve">Lickitung</x:t>
        </x:is>
      </x:c>
      <x:c r="E112" s="5" t="n">
        <x:v>1</x:v>
      </x:c>
      <x:c r="F112" s="5" t="inlineStr">
        <x:is>
          <x:t xml:space="preserve">노말</x:t>
        </x:is>
      </x:c>
      <x:c r="G112" s="5" t="inlineStr">
        <x:is>
          <x:t xml:space="preserve"/>
        </x:is>
      </x:c>
      <x:c r="H112" s="6" t="n">
        <x:v>65.5</x:v>
      </x:c>
      <x:c r="I112" s="5" t="n"/>
      <x:c r="J112" s="5" t="inlineStr">
        <x:is>
          <x:t xml:space="preserve">기본</x:t>
        </x:is>
      </x:c>
      <x:c r="K112" s="7" t="inlineStr">
        <x:is>
          <x:t xml:space="preserve">육상</x:t>
        </x:is>
      </x:c>
      <x:c r="L112" s="7" t="inlineStr">
        <x:is>
          <x:t xml:space="preserve">개활지</x:t>
        </x:is>
      </x:c>
      <x:c r="M112" s="7" t="inlineStr">
        <x:is>
          <x:t xml:space="preserve">온대</x:t>
        </x:is>
      </x:c>
      <x:c r="N112" s="7" t="inlineStr">
        <x:is>
          <x:t xml:space="preserve">보통</x:t>
        </x:is>
      </x:c>
      <x:c r="O112" s="7" t="inlineStr">
        <x:is>
          <x:t xml:space="preserve">무관</x:t>
        </x:is>
      </x:c>
      <x:c r="P112" s="7" t="inlineStr">
        <x:is>
          <x:t xml:space="preserve">무관</x:t>
        </x:is>
      </x:c>
      <x:c r="Q112" s="7" t="inlineStr">
        <x:is>
          <x:t xml:space="preserve">보통</x:t>
        </x:is>
      </x:c>
      <x:c r="R112" s="7" t="inlineStr">
        <x:is>
          <x:t xml:space="preserve">없음</x:t>
        </x:is>
      </x:c>
      <x:c r="S112" s="7" t="inlineStr">
        <x:is>
          <x:t xml:space="preserve">평원</x:t>
        </x:is>
      </x:c>
      <x:c r="T112" s="7" t="inlineStr">
        <x:is>
          <x:t xml:space="preserve"/>
        </x:is>
      </x:c>
      <x:c r="U112" s="8" t="str">
        <x:f>INDEX('서식지_점수'!$E$4:$P$4,1,MATCH(MAX('서식지_점수'!E112:P112),'서식지_점수'!E112:P112,0))</x:f>
        <x:v>평원</x:v>
      </x:c>
      <x:c r="V112" s="8" t="str">
        <x:f>IF(T112&lt;&gt;"",T112,U112)</x:f>
        <x:v>평원</x:v>
      </x:c>
      <x:c r="W112" s="8" t="str">
        <x:f>IFERROR(INDEX('서식지_점수'!$E$4:$P$4,1,MATCH(MAXIFS('서식지_점수'!E112:P112,'서식지_점수'!E112:P112,"&lt;"&amp;MAX('서식지_점수'!E112:P112)),'서식지_점수'!E112:P112,0)),"")</x:f>
        <x:v>숲</x:v>
      </x:c>
      <x:c r="X112" s="8" t="str">
        <x:f>IF(T112&lt;&gt;"","수동확정",IF(MAX('서식지_점수'!E112:P112)-LARGE('서식지_점수'!E112:P112,2)&gt;=15,"높음",IF(MAX('서식지_점수'!E112:P112)-LARGE('서식지_점수'!E112:P112,2)&gt;=8,"보통","검토필요")))</x:f>
        <x:v>검토필요</x:v>
      </x:c>
      <x:c r="Y112" s="9" t="n">
        <x:f>IF(Q112="전설",8,IF(Q112="희귀",7,IF(J112="기본",1,IF(J112="중간",3,IF(J112="최종",IF(I112="",5,IF(I112&lt;=20,3,IF(I112&lt;=35,4,IF(I112&lt;=50,6,7)))),IF(Q112="드묾",4,2))))))</x:f>
        <x:v>1</x:v>
      </x:c>
      <x:c r="Z112" s="5" t="inlineStr">
        <x:is>
          <x:t xml:space="preserve">#cobblemon:is_grassland</x:t>
        </x:is>
      </x:c>
      <x:c r="AA112" s="5" t="inlineStr">
        <x:is>
          <x:t xml:space="preserve">uncommon</x:t>
        </x:is>
      </x:c>
      <x:c r="AB112" s="5" t="inlineStr">
        <x:is>
          <x:t xml:space="preserve">예</x:t>
        </x:is>
      </x:c>
      <x:c r="AC112" s="8" t="str">
        <x:f>IF(T112&lt;&gt;"","수동확정",IF(X112="검토필요","검토필요",IF(S112="","원본없음","초기완료")))</x:f>
        <x:v>검토필요</x:v>
      </x:c>
      <x:c r="AD112" s="7" t="inlineStr">
        <x:is>
          <x:t xml:space="preserve"/>
        </x:is>
      </x:c>
      <x:c r="AE112" s="5" t="inlineStr">
        <x:is>
          <x:t xml:space="preserve">.tmp/cobblemon-1.7.3-source/common/src/main/resources/data/cobblemon/species/generation1/lickitung.json</x:t>
        </x:is>
      </x:c>
      <x:c r="AF112" s="5" t="str">
        <x:f>"생활권|"&amp;K112</x:f>
        <x:v>생활권|육상</x:v>
      </x:c>
      <x:c r="AG112" s="5" t="str">
        <x:f>"지형|"&amp;L112</x:f>
        <x:v>지형|개활지</x:v>
      </x:c>
      <x:c r="AH112" s="5" t="str">
        <x:f>"온도|"&amp;M112</x:f>
        <x:v>온도|온대</x:v>
      </x:c>
      <x:c r="AI112" s="5" t="str">
        <x:f>"습도|"&amp;N112</x:f>
        <x:v>습도|보통</x:v>
      </x:c>
      <x:c r="AJ112" s="5" t="str">
        <x:f>"날씨|"&amp;O112</x:f>
        <x:v>날씨|무관</x:v>
      </x:c>
      <x:c r="AK112" s="5" t="str">
        <x:f>"특수태그|"&amp;R112</x:f>
        <x:v>특수태그|없음</x:v>
      </x:c>
      <x:c r="AL112" s="5" t="str">
        <x:f>"원본서식지|"&amp;S112</x:f>
        <x:v>원본서식지|평원</x:v>
      </x:c>
      <x:c r="AM112" s="5" t="str">
        <x:f>"타입|"&amp;F112</x:f>
        <x:v>타입|노말</x:v>
      </x:c>
      <x:c r="AN112" s="5" t="str">
        <x:f>"타입|"&amp;G112</x:f>
        <x:v>타입|</x:v>
      </x:c>
    </x:row>
    <x:row r="113" ht="24" customHeight="1">
      <x:c r="A113" s="5" t="n">
        <x:v>109</x:v>
      </x:c>
      <x:c r="B113" s="5" t="inlineStr">
        <x:is>
          <x:t xml:space="preserve">또가스</x:t>
        </x:is>
      </x:c>
      <x:c r="C113" s="5" t="inlineStr">
        <x:is>
          <x:t xml:space="preserve">koffing</x:t>
        </x:is>
      </x:c>
      <x:c r="D113" s="5" t="inlineStr">
        <x:is>
          <x:t xml:space="preserve">Koffing</x:t>
        </x:is>
      </x:c>
      <x:c r="E113" s="5" t="n">
        <x:v>1</x:v>
      </x:c>
      <x:c r="F113" s="5" t="inlineStr">
        <x:is>
          <x:t xml:space="preserve">독</x:t>
        </x:is>
      </x:c>
      <x:c r="G113" s="5" t="inlineStr">
        <x:is>
          <x:t xml:space="preserve"/>
        </x:is>
      </x:c>
      <x:c r="H113" s="6" t="n">
        <x:v>1</x:v>
      </x:c>
      <x:c r="I113" s="5" t="n">
        <x:v>35</x:v>
      </x:c>
      <x:c r="J113" s="5" t="inlineStr">
        <x:is>
          <x:t xml:space="preserve">기본</x:t>
        </x:is>
      </x:c>
      <x:c r="K113" s="7" t="inlineStr">
        <x:is>
          <x:t xml:space="preserve">비행</x:t>
        </x:is>
      </x:c>
      <x:c r="L113" s="7" t="inlineStr">
        <x:is>
          <x:t xml:space="preserve">특수</x:t>
        </x:is>
      </x:c>
      <x:c r="M113" s="7" t="inlineStr">
        <x:is>
          <x:t xml:space="preserve">온대</x:t>
        </x:is>
      </x:c>
      <x:c r="N113" s="7" t="inlineStr">
        <x:is>
          <x:t xml:space="preserve">보통</x:t>
        </x:is>
      </x:c>
      <x:c r="O113" s="7" t="inlineStr">
        <x:is>
          <x:t xml:space="preserve">무관</x:t>
        </x:is>
      </x:c>
      <x:c r="P113" s="7" t="inlineStr">
        <x:is>
          <x:t xml:space="preserve">무관</x:t>
        </x:is>
      </x:c>
      <x:c r="Q113" s="7" t="inlineStr">
        <x:is>
          <x:t xml:space="preserve">흔함</x:t>
        </x:is>
      </x:c>
      <x:c r="R113" s="7" t="inlineStr">
        <x:is>
          <x:t xml:space="preserve">영체</x:t>
        </x:is>
      </x:c>
      <x:c r="S113" s="7" t="inlineStr">
        <x:is>
          <x:t xml:space="preserve">특수</x:t>
        </x:is>
      </x:c>
      <x:c r="T113" s="7" t="inlineStr">
        <x:is>
          <x:t xml:space="preserve"/>
        </x:is>
      </x:c>
      <x:c r="U113" s="8" t="str">
        <x:f>INDEX('서식지_점수'!$E$4:$P$4,1,MATCH(MAX('서식지_점수'!E113:P113),'서식지_점수'!E113:P113,0))</x:f>
        <x:v>산악</x:v>
      </x:c>
      <x:c r="V113" s="8" t="str">
        <x:f>IF(T113&lt;&gt;"",T113,U113)</x:f>
        <x:v>산악</x:v>
      </x:c>
      <x:c r="W113" s="8" t="str">
        <x:f>IFERROR(INDEX('서식지_점수'!$E$4:$P$4,1,MATCH(MAXIFS('서식지_점수'!E113:P113,'서식지_점수'!E113:P113,"&lt;"&amp;MAX('서식지_점수'!E113:P113)),'서식지_점수'!E113:P113,0)),"")</x:f>
        <x:v>평원</x:v>
      </x:c>
      <x:c r="X113" s="8" t="str">
        <x:f>IF(T113&lt;&gt;"","수동확정",IF(MAX('서식지_점수'!E113:P113)-LARGE('서식지_점수'!E113:P113,2)&gt;=15,"높음",IF(MAX('서식지_점수'!E113:P113)-LARGE('서식지_점수'!E113:P113,2)&gt;=8,"보통","검토필요")))</x:f>
        <x:v>검토필요</x:v>
      </x:c>
      <x:c r="Y113" s="9" t="n">
        <x:f>IF(Q113="전설",8,IF(Q113="희귀",7,IF(J113="기본",1,IF(J113="중간",3,IF(J113="최종",IF(I113="",5,IF(I113&lt;=20,3,IF(I113&lt;=35,4,IF(I113&lt;=50,6,7)))),IF(Q113="드묾",4,2))))))</x:f>
        <x:v>1</x:v>
      </x:c>
      <x:c r="Z113" s="5" t="inlineStr">
        <x:is>
          <x:t xml:space="preserve">#cobblemon:is_magical; #cobblemon:is_overworld; #cobblemon:is_spooky; minecraft:soul_sand_valley</x:t>
        </x:is>
      </x:c>
      <x:c r="AA113" s="5" t="inlineStr">
        <x:is>
          <x:t xml:space="preserve">common</x:t>
        </x:is>
      </x:c>
      <x:c r="AB113" s="5" t="inlineStr">
        <x:is>
          <x:t xml:space="preserve">예</x:t>
        </x:is>
      </x:c>
      <x:c r="AC113" s="8" t="str">
        <x:f>IF(T113&lt;&gt;"","수동확정",IF(X113="검토필요","검토필요",IF(S113="","원본없음","초기완료")))</x:f>
        <x:v>검토필요</x:v>
      </x:c>
      <x:c r="AD113" s="7" t="inlineStr">
        <x:is>
          <x:t xml:space="preserve"/>
        </x:is>
      </x:c>
      <x:c r="AE113" s="5" t="inlineStr">
        <x:is>
          <x:t xml:space="preserve">.tmp/cobblemon-1.7.3-source/common/src/main/resources/data/cobblemon/species/generation1/koffing.json</x:t>
        </x:is>
      </x:c>
      <x:c r="AF113" s="5" t="str">
        <x:f>"생활권|"&amp;K113</x:f>
        <x:v>생활권|비행</x:v>
      </x:c>
      <x:c r="AG113" s="5" t="str">
        <x:f>"지형|"&amp;L113</x:f>
        <x:v>지형|특수</x:v>
      </x:c>
      <x:c r="AH113" s="5" t="str">
        <x:f>"온도|"&amp;M113</x:f>
        <x:v>온도|온대</x:v>
      </x:c>
      <x:c r="AI113" s="5" t="str">
        <x:f>"습도|"&amp;N113</x:f>
        <x:v>습도|보통</x:v>
      </x:c>
      <x:c r="AJ113" s="5" t="str">
        <x:f>"날씨|"&amp;O113</x:f>
        <x:v>날씨|무관</x:v>
      </x:c>
      <x:c r="AK113" s="5" t="str">
        <x:f>"특수태그|"&amp;R113</x:f>
        <x:v>특수태그|영체</x:v>
      </x:c>
      <x:c r="AL113" s="5" t="str">
        <x:f>"원본서식지|"&amp;S113</x:f>
        <x:v>원본서식지|특수</x:v>
      </x:c>
      <x:c r="AM113" s="5" t="str">
        <x:f>"타입|"&amp;F113</x:f>
        <x:v>타입|독</x:v>
      </x:c>
      <x:c r="AN113" s="5" t="str">
        <x:f>"타입|"&amp;G113</x:f>
        <x:v>타입|</x:v>
      </x:c>
    </x:row>
    <x:row r="114" ht="24" customHeight="1">
      <x:c r="A114" s="5" t="n">
        <x:v>110</x:v>
      </x:c>
      <x:c r="B114" s="5" t="inlineStr">
        <x:is>
          <x:t xml:space="preserve">또도가스</x:t>
        </x:is>
      </x:c>
      <x:c r="C114" s="5" t="inlineStr">
        <x:is>
          <x:t xml:space="preserve">weezing</x:t>
        </x:is>
      </x:c>
      <x:c r="D114" s="5" t="inlineStr">
        <x:is>
          <x:t xml:space="preserve">Weezing</x:t>
        </x:is>
      </x:c>
      <x:c r="E114" s="5" t="n">
        <x:v>1</x:v>
      </x:c>
      <x:c r="F114" s="5" t="inlineStr">
        <x:is>
          <x:t xml:space="preserve">독</x:t>
        </x:is>
      </x:c>
      <x:c r="G114" s="5" t="inlineStr">
        <x:is>
          <x:t xml:space="preserve"/>
        </x:is>
      </x:c>
      <x:c r="H114" s="6" t="n">
        <x:v>9.5</x:v>
      </x:c>
      <x:c r="I114" s="5" t="n">
        <x:v>35</x:v>
      </x:c>
      <x:c r="J114" s="5" t="inlineStr">
        <x:is>
          <x:t xml:space="preserve">최종</x:t>
        </x:is>
      </x:c>
      <x:c r="K114" s="7" t="inlineStr">
        <x:is>
          <x:t xml:space="preserve">비행</x:t>
        </x:is>
      </x:c>
      <x:c r="L114" s="7" t="inlineStr">
        <x:is>
          <x:t xml:space="preserve">특수</x:t>
        </x:is>
      </x:c>
      <x:c r="M114" s="7" t="inlineStr">
        <x:is>
          <x:t xml:space="preserve">온대</x:t>
        </x:is>
      </x:c>
      <x:c r="N114" s="7" t="inlineStr">
        <x:is>
          <x:t xml:space="preserve">보통</x:t>
        </x:is>
      </x:c>
      <x:c r="O114" s="7" t="inlineStr">
        <x:is>
          <x:t xml:space="preserve">무관</x:t>
        </x:is>
      </x:c>
      <x:c r="P114" s="7" t="inlineStr">
        <x:is>
          <x:t xml:space="preserve">무관</x:t>
        </x:is>
      </x:c>
      <x:c r="Q114" s="7" t="inlineStr">
        <x:is>
          <x:t xml:space="preserve">흔함</x:t>
        </x:is>
      </x:c>
      <x:c r="R114" s="7" t="inlineStr">
        <x:is>
          <x:t xml:space="preserve">영체</x:t>
        </x:is>
      </x:c>
      <x:c r="S114" s="7" t="inlineStr">
        <x:is>
          <x:t xml:space="preserve">특수</x:t>
        </x:is>
      </x:c>
      <x:c r="T114" s="7" t="inlineStr">
        <x:is>
          <x:t xml:space="preserve"/>
        </x:is>
      </x:c>
      <x:c r="U114" s="8" t="str">
        <x:f>INDEX('서식지_점수'!$E$4:$P$4,1,MATCH(MAX('서식지_점수'!E114:P114),'서식지_점수'!E114:P114,0))</x:f>
        <x:v>산악</x:v>
      </x:c>
      <x:c r="V114" s="8" t="str">
        <x:f>IF(T114&lt;&gt;"",T114,U114)</x:f>
        <x:v>산악</x:v>
      </x:c>
      <x:c r="W114" s="8" t="str">
        <x:f>IFERROR(INDEX('서식지_점수'!$E$4:$P$4,1,MATCH(MAXIFS('서식지_점수'!E114:P114,'서식지_점수'!E114:P114,"&lt;"&amp;MAX('서식지_점수'!E114:P114)),'서식지_점수'!E114:P114,0)),"")</x:f>
        <x:v>평원</x:v>
      </x:c>
      <x:c r="X114" s="8" t="str">
        <x:f>IF(T114&lt;&gt;"","수동확정",IF(MAX('서식지_점수'!E114:P114)-LARGE('서식지_점수'!E114:P114,2)&gt;=15,"높음",IF(MAX('서식지_점수'!E114:P114)-LARGE('서식지_점수'!E114:P114,2)&gt;=8,"보통","검토필요")))</x:f>
        <x:v>검토필요</x:v>
      </x:c>
      <x:c r="Y114" s="9" t="n">
        <x:f>IF(Q114="전설",8,IF(Q114="희귀",7,IF(J114="기본",1,IF(J114="중간",3,IF(J114="최종",IF(I114="",5,IF(I114&lt;=20,3,IF(I114&lt;=35,4,IF(I114&lt;=50,6,7)))),IF(Q114="드묾",4,2))))))</x:f>
        <x:v>4</x:v>
      </x:c>
      <x:c r="Z114" s="5" t="inlineStr">
        <x:is>
          <x:t xml:space="preserve">#cobblemon:is_magical; #cobblemon:is_overworld; #cobblemon:is_spooky; minecraft:soul_sand_valley</x:t>
        </x:is>
      </x:c>
      <x:c r="AA114" s="5" t="inlineStr">
        <x:is>
          <x:t xml:space="preserve">common</x:t>
        </x:is>
      </x:c>
      <x:c r="AB114" s="5" t="inlineStr">
        <x:is>
          <x:t xml:space="preserve">예</x:t>
        </x:is>
      </x:c>
      <x:c r="AC114" s="8" t="str">
        <x:f>IF(T114&lt;&gt;"","수동확정",IF(X114="검토필요","검토필요",IF(S114="","원본없음","초기완료")))</x:f>
        <x:v>검토필요</x:v>
      </x:c>
      <x:c r="AD114" s="7" t="inlineStr">
        <x:is>
          <x:t xml:space="preserve"/>
        </x:is>
      </x:c>
      <x:c r="AE114" s="5" t="inlineStr">
        <x:is>
          <x:t xml:space="preserve">.tmp/cobblemon-1.7.3-source/common/src/main/resources/data/cobblemon/species/generation1/weezing.json</x:t>
        </x:is>
      </x:c>
      <x:c r="AF114" s="5" t="str">
        <x:f>"생활권|"&amp;K114</x:f>
        <x:v>생활권|비행</x:v>
      </x:c>
      <x:c r="AG114" s="5" t="str">
        <x:f>"지형|"&amp;L114</x:f>
        <x:v>지형|특수</x:v>
      </x:c>
      <x:c r="AH114" s="5" t="str">
        <x:f>"온도|"&amp;M114</x:f>
        <x:v>온도|온대</x:v>
      </x:c>
      <x:c r="AI114" s="5" t="str">
        <x:f>"습도|"&amp;N114</x:f>
        <x:v>습도|보통</x:v>
      </x:c>
      <x:c r="AJ114" s="5" t="str">
        <x:f>"날씨|"&amp;O114</x:f>
        <x:v>날씨|무관</x:v>
      </x:c>
      <x:c r="AK114" s="5" t="str">
        <x:f>"특수태그|"&amp;R114</x:f>
        <x:v>특수태그|영체</x:v>
      </x:c>
      <x:c r="AL114" s="5" t="str">
        <x:f>"원본서식지|"&amp;S114</x:f>
        <x:v>원본서식지|특수</x:v>
      </x:c>
      <x:c r="AM114" s="5" t="str">
        <x:f>"타입|"&amp;F114</x:f>
        <x:v>타입|독</x:v>
      </x:c>
      <x:c r="AN114" s="5" t="str">
        <x:f>"타입|"&amp;G114</x:f>
        <x:v>타입|</x:v>
      </x:c>
    </x:row>
    <x:row r="115" ht="24" customHeight="1">
      <x:c r="A115" s="5" t="n">
        <x:v>111</x:v>
      </x:c>
      <x:c r="B115" s="5" t="inlineStr">
        <x:is>
          <x:t xml:space="preserve">뿔카노</x:t>
        </x:is>
      </x:c>
      <x:c r="C115" s="5" t="inlineStr">
        <x:is>
          <x:t xml:space="preserve">rhyhorn</x:t>
        </x:is>
      </x:c>
      <x:c r="D115" s="5" t="inlineStr">
        <x:is>
          <x:t xml:space="preserve">Rhyhorn</x:t>
        </x:is>
      </x:c>
      <x:c r="E115" s="5" t="n">
        <x:v>1</x:v>
      </x:c>
      <x:c r="F115" s="5" t="inlineStr">
        <x:is>
          <x:t xml:space="preserve">땅</x:t>
        </x:is>
      </x:c>
      <x:c r="G115" s="5" t="inlineStr">
        <x:is>
          <x:t xml:space="preserve">바위</x:t>
        </x:is>
      </x:c>
      <x:c r="H115" s="6" t="n">
        <x:v>115</x:v>
      </x:c>
      <x:c r="I115" s="5" t="n">
        <x:v>42</x:v>
      </x:c>
      <x:c r="J115" s="5" t="inlineStr">
        <x:is>
          <x:t xml:space="preserve">기본</x:t>
        </x:is>
      </x:c>
      <x:c r="K115" s="7" t="inlineStr">
        <x:is>
          <x:t xml:space="preserve">육상</x:t>
        </x:is>
      </x:c>
      <x:c r="L115" s="7" t="inlineStr">
        <x:is>
          <x:t xml:space="preserve">암석</x:t>
        </x:is>
      </x:c>
      <x:c r="M115" s="7" t="inlineStr">
        <x:is>
          <x:t xml:space="preserve">온대</x:t>
        </x:is>
      </x:c>
      <x:c r="N115" s="7" t="inlineStr">
        <x:is>
          <x:t xml:space="preserve">보통</x:t>
        </x:is>
      </x:c>
      <x:c r="O115" s="7" t="inlineStr">
        <x:is>
          <x:t xml:space="preserve">무관</x:t>
        </x:is>
      </x:c>
      <x:c r="P115" s="7" t="inlineStr">
        <x:is>
          <x:t xml:space="preserve">무관</x:t>
        </x:is>
      </x:c>
      <x:c r="Q115" s="7" t="inlineStr">
        <x:is>
          <x:t xml:space="preserve">흔함</x:t>
        </x:is>
      </x:c>
      <x:c r="R115" s="7" t="inlineStr">
        <x:is>
          <x:t xml:space="preserve">없음</x:t>
        </x:is>
      </x:c>
      <x:c r="S115" s="7" t="inlineStr">
        <x:is>
          <x:t xml:space="preserve">산악</x:t>
        </x:is>
      </x:c>
      <x:c r="T115" s="7" t="inlineStr">
        <x:is>
          <x:t xml:space="preserve"/>
        </x:is>
      </x:c>
      <x:c r="U115" s="8" t="str">
        <x:f>INDEX('서식지_점수'!$E$4:$P$4,1,MATCH(MAX('서식지_점수'!E115:P115),'서식지_점수'!E115:P115,0))</x:f>
        <x:v>평원</x:v>
      </x:c>
      <x:c r="V115" s="8" t="str">
        <x:f>IF(T115&lt;&gt;"",T115,U115)</x:f>
        <x:v>평원</x:v>
      </x:c>
      <x:c r="W115" s="8" t="str">
        <x:f>IFERROR(INDEX('서식지_점수'!$E$4:$P$4,1,MATCH(MAXIFS('서식지_점수'!E115:P115,'서식지_점수'!E115:P115,"&lt;"&amp;MAX('서식지_점수'!E115:P115)),'서식지_점수'!E115:P115,0)),"")</x:f>
        <x:v>숲</x:v>
      </x:c>
      <x:c r="X115" s="8" t="str">
        <x:f>IF(T115&lt;&gt;"","수동확정",IF(MAX('서식지_점수'!E115:P115)-LARGE('서식지_점수'!E115:P115,2)&gt;=15,"높음",IF(MAX('서식지_점수'!E115:P115)-LARGE('서식지_점수'!E115:P115,2)&gt;=8,"보통","검토필요")))</x:f>
        <x:v>검토필요</x:v>
      </x:c>
      <x:c r="Y115" s="9" t="n">
        <x:f>IF(Q115="전설",8,IF(Q115="희귀",7,IF(J115="기본",1,IF(J115="중간",3,IF(J115="최종",IF(I115="",5,IF(I115&lt;=20,3,IF(I115&lt;=35,4,IF(I115&lt;=50,6,7)))),IF(Q115="드묾",4,2))))))</x:f>
        <x:v>1</x:v>
      </x:c>
      <x:c r="Z115" s="5" t="inlineStr">
        <x:is>
          <x:t xml:space="preserve">#cobblemon:is_mountain; #cobblemon:is_savanna</x:t>
        </x:is>
      </x:c>
      <x:c r="AA115" s="5" t="inlineStr">
        <x:is>
          <x:t xml:space="preserve">common</x:t>
        </x:is>
      </x:c>
      <x:c r="AB115" s="5" t="inlineStr">
        <x:is>
          <x:t xml:space="preserve">예</x:t>
        </x:is>
      </x:c>
      <x:c r="AC115" s="8" t="str">
        <x:f>IF(T115&lt;&gt;"","수동확정",IF(X115="검토필요","검토필요",IF(S115="","원본없음","초기완료")))</x:f>
        <x:v>검토필요</x:v>
      </x:c>
      <x:c r="AD115" s="7" t="inlineStr">
        <x:is>
          <x:t xml:space="preserve"/>
        </x:is>
      </x:c>
      <x:c r="AE115" s="5" t="inlineStr">
        <x:is>
          <x:t xml:space="preserve">.tmp/cobblemon-1.7.3-source/common/src/main/resources/data/cobblemon/species/generation1/rhyhorn.json</x:t>
        </x:is>
      </x:c>
      <x:c r="AF115" s="5" t="str">
        <x:f>"생활권|"&amp;K115</x:f>
        <x:v>생활권|육상</x:v>
      </x:c>
      <x:c r="AG115" s="5" t="str">
        <x:f>"지형|"&amp;L115</x:f>
        <x:v>지형|암석</x:v>
      </x:c>
      <x:c r="AH115" s="5" t="str">
        <x:f>"온도|"&amp;M115</x:f>
        <x:v>온도|온대</x:v>
      </x:c>
      <x:c r="AI115" s="5" t="str">
        <x:f>"습도|"&amp;N115</x:f>
        <x:v>습도|보통</x:v>
      </x:c>
      <x:c r="AJ115" s="5" t="str">
        <x:f>"날씨|"&amp;O115</x:f>
        <x:v>날씨|무관</x:v>
      </x:c>
      <x:c r="AK115" s="5" t="str">
        <x:f>"특수태그|"&amp;R115</x:f>
        <x:v>특수태그|없음</x:v>
      </x:c>
      <x:c r="AL115" s="5" t="str">
        <x:f>"원본서식지|"&amp;S115</x:f>
        <x:v>원본서식지|산악</x:v>
      </x:c>
      <x:c r="AM115" s="5" t="str">
        <x:f>"타입|"&amp;F115</x:f>
        <x:v>타입|땅</x:v>
      </x:c>
      <x:c r="AN115" s="5" t="str">
        <x:f>"타입|"&amp;G115</x:f>
        <x:v>타입|바위</x:v>
      </x:c>
    </x:row>
    <x:row r="116" ht="24" customHeight="1">
      <x:c r="A116" s="5" t="n">
        <x:v>112</x:v>
      </x:c>
      <x:c r="B116" s="5" t="inlineStr">
        <x:is>
          <x:t xml:space="preserve">코뿌리</x:t>
        </x:is>
      </x:c>
      <x:c r="C116" s="5" t="inlineStr">
        <x:is>
          <x:t xml:space="preserve">rhydon</x:t>
        </x:is>
      </x:c>
      <x:c r="D116" s="5" t="inlineStr">
        <x:is>
          <x:t xml:space="preserve">Rhydon</x:t>
        </x:is>
      </x:c>
      <x:c r="E116" s="5" t="n">
        <x:v>1</x:v>
      </x:c>
      <x:c r="F116" s="5" t="inlineStr">
        <x:is>
          <x:t xml:space="preserve">땅</x:t>
        </x:is>
      </x:c>
      <x:c r="G116" s="5" t="inlineStr">
        <x:is>
          <x:t xml:space="preserve">바위</x:t>
        </x:is>
      </x:c>
      <x:c r="H116" s="6" t="n">
        <x:v>120</x:v>
      </x:c>
      <x:c r="I116" s="5" t="n">
        <x:v>42</x:v>
      </x:c>
      <x:c r="J116" s="5" t="inlineStr">
        <x:is>
          <x:t xml:space="preserve">중간</x:t>
        </x:is>
      </x:c>
      <x:c r="K116" s="7" t="inlineStr">
        <x:is>
          <x:t xml:space="preserve">육상</x:t>
        </x:is>
      </x:c>
      <x:c r="L116" s="7" t="inlineStr">
        <x:is>
          <x:t xml:space="preserve">암석</x:t>
        </x:is>
      </x:c>
      <x:c r="M116" s="7" t="inlineStr">
        <x:is>
          <x:t xml:space="preserve">온대</x:t>
        </x:is>
      </x:c>
      <x:c r="N116" s="7" t="inlineStr">
        <x:is>
          <x:t xml:space="preserve">보통</x:t>
        </x:is>
      </x:c>
      <x:c r="O116" s="7" t="inlineStr">
        <x:is>
          <x:t xml:space="preserve">무관</x:t>
        </x:is>
      </x:c>
      <x:c r="P116" s="7" t="inlineStr">
        <x:is>
          <x:t xml:space="preserve">무관</x:t>
        </x:is>
      </x:c>
      <x:c r="Q116" s="7" t="inlineStr">
        <x:is>
          <x:t xml:space="preserve">흔함</x:t>
        </x:is>
      </x:c>
      <x:c r="R116" s="7" t="inlineStr">
        <x:is>
          <x:t xml:space="preserve">없음</x:t>
        </x:is>
      </x:c>
      <x:c r="S116" s="7" t="inlineStr">
        <x:is>
          <x:t xml:space="preserve">산악</x:t>
        </x:is>
      </x:c>
      <x:c r="T116" s="7" t="inlineStr">
        <x:is>
          <x:t xml:space="preserve"/>
        </x:is>
      </x:c>
      <x:c r="U116" s="8" t="str">
        <x:f>INDEX('서식지_점수'!$E$4:$P$4,1,MATCH(MAX('서식지_점수'!E116:P116),'서식지_점수'!E116:P116,0))</x:f>
        <x:v>평원</x:v>
      </x:c>
      <x:c r="V116" s="8" t="str">
        <x:f>IF(T116&lt;&gt;"",T116,U116)</x:f>
        <x:v>평원</x:v>
      </x:c>
      <x:c r="W116" s="8" t="str">
        <x:f>IFERROR(INDEX('서식지_점수'!$E$4:$P$4,1,MATCH(MAXIFS('서식지_점수'!E116:P116,'서식지_점수'!E116:P116,"&lt;"&amp;MAX('서식지_점수'!E116:P116)),'서식지_점수'!E116:P116,0)),"")</x:f>
        <x:v>숲</x:v>
      </x:c>
      <x:c r="X116" s="8" t="str">
        <x:f>IF(T116&lt;&gt;"","수동확정",IF(MAX('서식지_점수'!E116:P116)-LARGE('서식지_점수'!E116:P116,2)&gt;=15,"높음",IF(MAX('서식지_점수'!E116:P116)-LARGE('서식지_점수'!E116:P116,2)&gt;=8,"보통","검토필요")))</x:f>
        <x:v>검토필요</x:v>
      </x:c>
      <x:c r="Y116" s="9" t="n">
        <x:f>IF(Q116="전설",8,IF(Q116="희귀",7,IF(J116="기본",1,IF(J116="중간",3,IF(J116="최종",IF(I116="",5,IF(I116&lt;=20,3,IF(I116&lt;=35,4,IF(I116&lt;=50,6,7)))),IF(Q116="드묾",4,2))))))</x:f>
        <x:v>3</x:v>
      </x:c>
      <x:c r="Z116" s="5" t="inlineStr">
        <x:is>
          <x:t xml:space="preserve">#cobblemon:is_mountain; #cobblemon:is_savanna</x:t>
        </x:is>
      </x:c>
      <x:c r="AA116" s="5" t="inlineStr">
        <x:is>
          <x:t xml:space="preserve">common</x:t>
        </x:is>
      </x:c>
      <x:c r="AB116" s="5" t="inlineStr">
        <x:is>
          <x:t xml:space="preserve">예</x:t>
        </x:is>
      </x:c>
      <x:c r="AC116" s="8" t="str">
        <x:f>IF(T116&lt;&gt;"","수동확정",IF(X116="검토필요","검토필요",IF(S116="","원본없음","초기완료")))</x:f>
        <x:v>검토필요</x:v>
      </x:c>
      <x:c r="AD116" s="7" t="inlineStr">
        <x:is>
          <x:t xml:space="preserve"/>
        </x:is>
      </x:c>
      <x:c r="AE116" s="5" t="inlineStr">
        <x:is>
          <x:t xml:space="preserve">.tmp/cobblemon-1.7.3-source/common/src/main/resources/data/cobblemon/species/generation1/rhydon.json</x:t>
        </x:is>
      </x:c>
      <x:c r="AF116" s="5" t="str">
        <x:f>"생활권|"&amp;K116</x:f>
        <x:v>생활권|육상</x:v>
      </x:c>
      <x:c r="AG116" s="5" t="str">
        <x:f>"지형|"&amp;L116</x:f>
        <x:v>지형|암석</x:v>
      </x:c>
      <x:c r="AH116" s="5" t="str">
        <x:f>"온도|"&amp;M116</x:f>
        <x:v>온도|온대</x:v>
      </x:c>
      <x:c r="AI116" s="5" t="str">
        <x:f>"습도|"&amp;N116</x:f>
        <x:v>습도|보통</x:v>
      </x:c>
      <x:c r="AJ116" s="5" t="str">
        <x:f>"날씨|"&amp;O116</x:f>
        <x:v>날씨|무관</x:v>
      </x:c>
      <x:c r="AK116" s="5" t="str">
        <x:f>"특수태그|"&amp;R116</x:f>
        <x:v>특수태그|없음</x:v>
      </x:c>
      <x:c r="AL116" s="5" t="str">
        <x:f>"원본서식지|"&amp;S116</x:f>
        <x:v>원본서식지|산악</x:v>
      </x:c>
      <x:c r="AM116" s="5" t="str">
        <x:f>"타입|"&amp;F116</x:f>
        <x:v>타입|땅</x:v>
      </x:c>
      <x:c r="AN116" s="5" t="str">
        <x:f>"타입|"&amp;G116</x:f>
        <x:v>타입|바위</x:v>
      </x:c>
    </x:row>
    <x:row r="117" ht="24" customHeight="1">
      <x:c r="A117" s="5" t="n">
        <x:v>113</x:v>
      </x:c>
      <x:c r="B117" s="5" t="inlineStr">
        <x:is>
          <x:t xml:space="preserve">럭키</x:t>
        </x:is>
      </x:c>
      <x:c r="C117" s="5" t="inlineStr">
        <x:is>
          <x:t xml:space="preserve">chansey</x:t>
        </x:is>
      </x:c>
      <x:c r="D117" s="5" t="inlineStr">
        <x:is>
          <x:t xml:space="preserve">Chansey</x:t>
        </x:is>
      </x:c>
      <x:c r="E117" s="5" t="n">
        <x:v>1</x:v>
      </x:c>
      <x:c r="F117" s="5" t="inlineStr">
        <x:is>
          <x:t xml:space="preserve">노말</x:t>
        </x:is>
      </x:c>
      <x:c r="G117" s="5" t="inlineStr">
        <x:is>
          <x:t xml:space="preserve"/>
        </x:is>
      </x:c>
      <x:c r="H117" s="6" t="n">
        <x:v>34.6</x:v>
      </x:c>
      <x:c r="I117" s="5" t="n"/>
      <x:c r="J117" s="5" t="inlineStr">
        <x:is>
          <x:t xml:space="preserve">중간</x:t>
        </x:is>
      </x:c>
      <x:c r="K117" s="7" t="inlineStr">
        <x:is>
          <x:t xml:space="preserve">육상</x:t>
        </x:is>
      </x:c>
      <x:c r="L117" s="7" t="inlineStr">
        <x:is>
          <x:t xml:space="preserve">개활지</x:t>
        </x:is>
      </x:c>
      <x:c r="M117" s="7" t="inlineStr">
        <x:is>
          <x:t xml:space="preserve">온대</x:t>
        </x:is>
      </x:c>
      <x:c r="N117" s="7" t="inlineStr">
        <x:is>
          <x:t xml:space="preserve">보통</x:t>
        </x:is>
      </x:c>
      <x:c r="O117" s="7" t="inlineStr">
        <x:is>
          <x:t xml:space="preserve">무관</x:t>
        </x:is>
      </x:c>
      <x:c r="P117" s="7" t="inlineStr">
        <x:is>
          <x:t xml:space="preserve">무관</x:t>
        </x:is>
      </x:c>
      <x:c r="Q117" s="7" t="inlineStr">
        <x:is>
          <x:t xml:space="preserve">드묾</x:t>
        </x:is>
      </x:c>
      <x:c r="R117" s="7" t="inlineStr">
        <x:is>
          <x:t xml:space="preserve">없음</x:t>
        </x:is>
      </x:c>
      <x:c r="S117" s="7" t="inlineStr">
        <x:is>
          <x:t xml:space="preserve"/>
        </x:is>
      </x:c>
      <x:c r="T117" s="7" t="inlineStr">
        <x:is>
          <x:t xml:space="preserve"/>
        </x:is>
      </x:c>
      <x:c r="U117" s="8" t="str">
        <x:f>INDEX('서식지_점수'!$E$4:$P$4,1,MATCH(MAX('서식지_점수'!E117:P117),'서식지_점수'!E117:P117,0))</x:f>
        <x:v>평원</x:v>
      </x:c>
      <x:c r="V117" s="8" t="str">
        <x:f>IF(T117&lt;&gt;"",T117,U117)</x:f>
        <x:v>평원</x:v>
      </x:c>
      <x:c r="W117" s="8" t="str">
        <x:f>IFERROR(INDEX('서식지_점수'!$E$4:$P$4,1,MATCH(MAXIFS('서식지_점수'!E117:P117,'서식지_점수'!E117:P117,"&lt;"&amp;MAX('서식지_점수'!E117:P117)),'서식지_점수'!E117:P117,0)),"")</x:f>
        <x:v>숲</x:v>
      </x:c>
      <x:c r="X117" s="8" t="str">
        <x:f>IF(T117&lt;&gt;"","수동확정",IF(MAX('서식지_점수'!E117:P117)-LARGE('서식지_점수'!E117:P117,2)&gt;=15,"높음",IF(MAX('서식지_점수'!E117:P117)-LARGE('서식지_점수'!E117:P117,2)&gt;=8,"보통","검토필요")))</x:f>
        <x:v>검토필요</x:v>
      </x:c>
      <x:c r="Y117" s="9" t="n">
        <x:f>IF(Q117="전설",8,IF(Q117="희귀",7,IF(J117="기본",1,IF(J117="중간",3,IF(J117="최종",IF(I117="",5,IF(I117&lt;=20,3,IF(I117&lt;=35,4,IF(I117&lt;=50,6,7)))),IF(Q117="드묾",4,2))))))</x:f>
        <x:v>3</x:v>
      </x:c>
      <x:c r="Z117" s="5" t="inlineStr">
        <x:is>
          <x:t xml:space="preserve">#aether:is_aether; #cobblemon:is_overworld</x:t>
        </x:is>
      </x:c>
      <x:c r="AA117" s="5" t="inlineStr">
        <x:is>
          <x:t xml:space="preserve">rare</x:t>
        </x:is>
      </x:c>
      <x:c r="AB117" s="5" t="inlineStr">
        <x:is>
          <x:t xml:space="preserve">예</x:t>
        </x:is>
      </x:c>
      <x:c r="AC117" s="8" t="str">
        <x:f>IF(T117&lt;&gt;"","수동확정",IF(X117="검토필요","검토필요",IF(S117="","원본없음","초기완료")))</x:f>
        <x:v>검토필요</x:v>
      </x:c>
      <x:c r="AD117" s="7" t="inlineStr">
        <x:is>
          <x:t xml:space="preserve"/>
        </x:is>
      </x:c>
      <x:c r="AE117" s="5" t="inlineStr">
        <x:is>
          <x:t xml:space="preserve">.tmp/cobblemon-1.7.3-source/common/src/main/resources/data/cobblemon/species/generation1/chansey.json</x:t>
        </x:is>
      </x:c>
      <x:c r="AF117" s="5" t="str">
        <x:f>"생활권|"&amp;K117</x:f>
        <x:v>생활권|육상</x:v>
      </x:c>
      <x:c r="AG117" s="5" t="str">
        <x:f>"지형|"&amp;L117</x:f>
        <x:v>지형|개활지</x:v>
      </x:c>
      <x:c r="AH117" s="5" t="str">
        <x:f>"온도|"&amp;M117</x:f>
        <x:v>온도|온대</x:v>
      </x:c>
      <x:c r="AI117" s="5" t="str">
        <x:f>"습도|"&amp;N117</x:f>
        <x:v>습도|보통</x:v>
      </x:c>
      <x:c r="AJ117" s="5" t="str">
        <x:f>"날씨|"&amp;O117</x:f>
        <x:v>날씨|무관</x:v>
      </x:c>
      <x:c r="AK117" s="5" t="str">
        <x:f>"특수태그|"&amp;R117</x:f>
        <x:v>특수태그|없음</x:v>
      </x:c>
      <x:c r="AL117" s="5" t="str">
        <x:f>"원본서식지|"&amp;S117</x:f>
        <x:v>원본서식지|</x:v>
      </x:c>
      <x:c r="AM117" s="5" t="str">
        <x:f>"타입|"&amp;F117</x:f>
        <x:v>타입|노말</x:v>
      </x:c>
      <x:c r="AN117" s="5" t="str">
        <x:f>"타입|"&amp;G117</x:f>
        <x:v>타입|</x:v>
      </x:c>
    </x:row>
    <x:row r="118" ht="24" customHeight="1">
      <x:c r="A118" s="5" t="n">
        <x:v>114</x:v>
      </x:c>
      <x:c r="B118" s="5" t="inlineStr">
        <x:is>
          <x:t xml:space="preserve">덩쿠리</x:t>
        </x:is>
      </x:c>
      <x:c r="C118" s="5" t="inlineStr">
        <x:is>
          <x:t xml:space="preserve">tangela</x:t>
        </x:is>
      </x:c>
      <x:c r="D118" s="5" t="inlineStr">
        <x:is>
          <x:t xml:space="preserve">Tangela</x:t>
        </x:is>
      </x:c>
      <x:c r="E118" s="5" t="n">
        <x:v>1</x:v>
      </x:c>
      <x:c r="F118" s="5" t="inlineStr">
        <x:is>
          <x:t xml:space="preserve">풀</x:t>
        </x:is>
      </x:c>
      <x:c r="G118" s="5" t="inlineStr">
        <x:is>
          <x:t xml:space="preserve"/>
        </x:is>
      </x:c>
      <x:c r="H118" s="6" t="n">
        <x:v>35</x:v>
      </x:c>
      <x:c r="I118" s="5" t="n"/>
      <x:c r="J118" s="5" t="inlineStr">
        <x:is>
          <x:t xml:space="preserve">기본</x:t>
        </x:is>
      </x:c>
      <x:c r="K118" s="7" t="inlineStr">
        <x:is>
          <x:t xml:space="preserve">육상</x:t>
        </x:is>
      </x:c>
      <x:c r="L118" s="7" t="inlineStr">
        <x:is>
          <x:t xml:space="preserve">수목</x:t>
        </x:is>
      </x:c>
      <x:c r="M118" s="7" t="inlineStr">
        <x:is>
          <x:t xml:space="preserve">온대</x:t>
        </x:is>
      </x:c>
      <x:c r="N118" s="7" t="inlineStr">
        <x:is>
          <x:t xml:space="preserve">다습</x:t>
        </x:is>
      </x:c>
      <x:c r="O118" s="7" t="inlineStr">
        <x:is>
          <x:t xml:space="preserve">무관</x:t>
        </x:is>
      </x:c>
      <x:c r="P118" s="7" t="inlineStr">
        <x:is>
          <x:t xml:space="preserve">무관</x:t>
        </x:is>
      </x:c>
      <x:c r="Q118" s="7" t="inlineStr">
        <x:is>
          <x:t xml:space="preserve">흔함</x:t>
        </x:is>
      </x:c>
      <x:c r="R118" s="7" t="inlineStr">
        <x:is>
          <x:t xml:space="preserve">없음</x:t>
        </x:is>
      </x:c>
      <x:c r="S118" s="7" t="inlineStr">
        <x:is>
          <x:t xml:space="preserve">숲</x:t>
        </x:is>
      </x:c>
      <x:c r="T118" s="7" t="inlineStr">
        <x:is>
          <x:t xml:space="preserve"/>
        </x:is>
      </x:c>
      <x:c r="U118" s="8" t="str">
        <x:f>INDEX('서식지_점수'!$E$4:$P$4,1,MATCH(MAX('서식지_점수'!E118:P118),'서식지_점수'!E118:P118,0))</x:f>
        <x:v>평원</x:v>
      </x:c>
      <x:c r="V118" s="8" t="str">
        <x:f>IF(T118&lt;&gt;"",T118,U118)</x:f>
        <x:v>평원</x:v>
      </x:c>
      <x:c r="W118" s="8" t="str">
        <x:f>IFERROR(INDEX('서식지_점수'!$E$4:$P$4,1,MATCH(MAXIFS('서식지_점수'!E118:P118,'서식지_점수'!E118:P118,"&lt;"&amp;MAX('서식지_점수'!E118:P118)),'서식지_점수'!E118:P118,0)),"")</x:f>
        <x:v>숲</x:v>
      </x:c>
      <x:c r="X118" s="8" t="str">
        <x:f>IF(T118&lt;&gt;"","수동확정",IF(MAX('서식지_점수'!E118:P118)-LARGE('서식지_점수'!E118:P118,2)&gt;=15,"높음",IF(MAX('서식지_점수'!E118:P118)-LARGE('서식지_점수'!E118:P118,2)&gt;=8,"보통","검토필요")))</x:f>
        <x:v>검토필요</x:v>
      </x:c>
      <x:c r="Y118" s="9" t="n">
        <x:f>IF(Q118="전설",8,IF(Q118="희귀",7,IF(J118="기본",1,IF(J118="중간",3,IF(J118="최종",IF(I118="",5,IF(I118&lt;=20,3,IF(I118&lt;=35,4,IF(I118&lt;=50,6,7)))),IF(Q118="드묾",4,2))))))</x:f>
        <x:v>1</x:v>
      </x:c>
      <x:c r="Z118" s="5" t="inlineStr">
        <x:is>
          <x:t xml:space="preserve">#cobblemon:is_jungle</x:t>
        </x:is>
      </x:c>
      <x:c r="AA118" s="5" t="inlineStr">
        <x:is>
          <x:t xml:space="preserve">common</x:t>
        </x:is>
      </x:c>
      <x:c r="AB118" s="5" t="inlineStr">
        <x:is>
          <x:t xml:space="preserve">예</x:t>
        </x:is>
      </x:c>
      <x:c r="AC118" s="8" t="str">
        <x:f>IF(T118&lt;&gt;"","수동확정",IF(X118="검토필요","검토필요",IF(S118="","원본없음","초기완료")))</x:f>
        <x:v>검토필요</x:v>
      </x:c>
      <x:c r="AD118" s="7" t="inlineStr">
        <x:is>
          <x:t xml:space="preserve"/>
        </x:is>
      </x:c>
      <x:c r="AE118" s="5" t="inlineStr">
        <x:is>
          <x:t xml:space="preserve">.tmp/cobblemon-1.7.3-source/common/src/main/resources/data/cobblemon/species/generation1/tangela.json</x:t>
        </x:is>
      </x:c>
      <x:c r="AF118" s="5" t="str">
        <x:f>"생활권|"&amp;K118</x:f>
        <x:v>생활권|육상</x:v>
      </x:c>
      <x:c r="AG118" s="5" t="str">
        <x:f>"지형|"&amp;L118</x:f>
        <x:v>지형|수목</x:v>
      </x:c>
      <x:c r="AH118" s="5" t="str">
        <x:f>"온도|"&amp;M118</x:f>
        <x:v>온도|온대</x:v>
      </x:c>
      <x:c r="AI118" s="5" t="str">
        <x:f>"습도|"&amp;N118</x:f>
        <x:v>습도|다습</x:v>
      </x:c>
      <x:c r="AJ118" s="5" t="str">
        <x:f>"날씨|"&amp;O118</x:f>
        <x:v>날씨|무관</x:v>
      </x:c>
      <x:c r="AK118" s="5" t="str">
        <x:f>"특수태그|"&amp;R118</x:f>
        <x:v>특수태그|없음</x:v>
      </x:c>
      <x:c r="AL118" s="5" t="str">
        <x:f>"원본서식지|"&amp;S118</x:f>
        <x:v>원본서식지|숲</x:v>
      </x:c>
      <x:c r="AM118" s="5" t="str">
        <x:f>"타입|"&amp;F118</x:f>
        <x:v>타입|풀</x:v>
      </x:c>
      <x:c r="AN118" s="5" t="str">
        <x:f>"타입|"&amp;G118</x:f>
        <x:v>타입|</x:v>
      </x:c>
    </x:row>
    <x:row r="119" ht="24" customHeight="1">
      <x:c r="A119" s="5" t="n">
        <x:v>115</x:v>
      </x:c>
      <x:c r="B119" s="5" t="inlineStr">
        <x:is>
          <x:t xml:space="preserve">캥카</x:t>
        </x:is>
      </x:c>
      <x:c r="C119" s="5" t="inlineStr">
        <x:is>
          <x:t xml:space="preserve">kangaskhan</x:t>
        </x:is>
      </x:c>
      <x:c r="D119" s="5" t="inlineStr">
        <x:is>
          <x:t xml:space="preserve">Kangaskhan</x:t>
        </x:is>
      </x:c>
      <x:c r="E119" s="5" t="n">
        <x:v>1</x:v>
      </x:c>
      <x:c r="F119" s="5" t="inlineStr">
        <x:is>
          <x:t xml:space="preserve">노말</x:t>
        </x:is>
      </x:c>
      <x:c r="G119" s="5" t="inlineStr">
        <x:is>
          <x:t xml:space="preserve"/>
        </x:is>
      </x:c>
      <x:c r="H119" s="6" t="n">
        <x:v>80</x:v>
      </x:c>
      <x:c r="I119" s="5" t="n"/>
      <x:c r="J119" s="5" t="inlineStr">
        <x:is>
          <x:t xml:space="preserve">무진화</x:t>
        </x:is>
      </x:c>
      <x:c r="K119" s="7" t="inlineStr">
        <x:is>
          <x:t xml:space="preserve">육상</x:t>
        </x:is>
      </x:c>
      <x:c r="L119" s="7" t="inlineStr">
        <x:is>
          <x:t xml:space="preserve">개활지</x:t>
        </x:is>
      </x:c>
      <x:c r="M119" s="7" t="inlineStr">
        <x:is>
          <x:t xml:space="preserve">온대</x:t>
        </x:is>
      </x:c>
      <x:c r="N119" s="7" t="inlineStr">
        <x:is>
          <x:t xml:space="preserve">보통</x:t>
        </x:is>
      </x:c>
      <x:c r="O119" s="7" t="inlineStr">
        <x:is>
          <x:t xml:space="preserve">무관</x:t>
        </x:is>
      </x:c>
      <x:c r="P119" s="7" t="inlineStr">
        <x:is>
          <x:t xml:space="preserve">무관</x:t>
        </x:is>
      </x:c>
      <x:c r="Q119" s="7" t="inlineStr">
        <x:is>
          <x:t xml:space="preserve">드묾</x:t>
        </x:is>
      </x:c>
      <x:c r="R119" s="7" t="inlineStr">
        <x:is>
          <x:t xml:space="preserve">없음</x:t>
        </x:is>
      </x:c>
      <x:c r="S119" s="7" t="inlineStr">
        <x:is>
          <x:t xml:space="preserve">평원</x:t>
        </x:is>
      </x:c>
      <x:c r="T119" s="7" t="inlineStr">
        <x:is>
          <x:t xml:space="preserve"/>
        </x:is>
      </x:c>
      <x:c r="U119" s="8" t="str">
        <x:f>INDEX('서식지_점수'!$E$4:$P$4,1,MATCH(MAX('서식지_점수'!E119:P119),'서식지_점수'!E119:P119,0))</x:f>
        <x:v>평원</x:v>
      </x:c>
      <x:c r="V119" s="8" t="str">
        <x:f>IF(T119&lt;&gt;"",T119,U119)</x:f>
        <x:v>평원</x:v>
      </x:c>
      <x:c r="W119" s="8" t="str">
        <x:f>IFERROR(INDEX('서식지_점수'!$E$4:$P$4,1,MATCH(MAXIFS('서식지_점수'!E119:P119,'서식지_점수'!E119:P119,"&lt;"&amp;MAX('서식지_점수'!E119:P119)),'서식지_점수'!E119:P119,0)),"")</x:f>
        <x:v>숲</x:v>
      </x:c>
      <x:c r="X119" s="8" t="str">
        <x:f>IF(T119&lt;&gt;"","수동확정",IF(MAX('서식지_점수'!E119:P119)-LARGE('서식지_점수'!E119:P119,2)&gt;=15,"높음",IF(MAX('서식지_점수'!E119:P119)-LARGE('서식지_점수'!E119:P119,2)&gt;=8,"보통","검토필요")))</x:f>
        <x:v>검토필요</x:v>
      </x:c>
      <x:c r="Y119" s="9" t="n">
        <x:f>IF(Q119="전설",8,IF(Q119="희귀",7,IF(J119="기본",1,IF(J119="중간",3,IF(J119="최종",IF(I119="",5,IF(I119&lt;=20,3,IF(I119&lt;=35,4,IF(I119&lt;=50,6,7)))),IF(Q119="드묾",4,2))))))</x:f>
        <x:v>4</x:v>
      </x:c>
      <x:c r="Z119" s="5" t="inlineStr">
        <x:is>
          <x:t xml:space="preserve">#cobblemon:is_savanna</x:t>
        </x:is>
      </x:c>
      <x:c r="AA119" s="5" t="inlineStr">
        <x:is>
          <x:t xml:space="preserve">rare</x:t>
        </x:is>
      </x:c>
      <x:c r="AB119" s="5" t="inlineStr">
        <x:is>
          <x:t xml:space="preserve">예</x:t>
        </x:is>
      </x:c>
      <x:c r="AC119" s="8" t="str">
        <x:f>IF(T119&lt;&gt;"","수동확정",IF(X119="검토필요","검토필요",IF(S119="","원본없음","초기완료")))</x:f>
        <x:v>검토필요</x:v>
      </x:c>
      <x:c r="AD119" s="7" t="inlineStr">
        <x:is>
          <x:t xml:space="preserve"/>
        </x:is>
      </x:c>
      <x:c r="AE119" s="5" t="inlineStr">
        <x:is>
          <x:t xml:space="preserve">.tmp/cobblemon-1.7.3-source/common/src/main/resources/data/cobblemon/species/generation1/kangaskhan.json</x:t>
        </x:is>
      </x:c>
      <x:c r="AF119" s="5" t="str">
        <x:f>"생활권|"&amp;K119</x:f>
        <x:v>생활권|육상</x:v>
      </x:c>
      <x:c r="AG119" s="5" t="str">
        <x:f>"지형|"&amp;L119</x:f>
        <x:v>지형|개활지</x:v>
      </x:c>
      <x:c r="AH119" s="5" t="str">
        <x:f>"온도|"&amp;M119</x:f>
        <x:v>온도|온대</x:v>
      </x:c>
      <x:c r="AI119" s="5" t="str">
        <x:f>"습도|"&amp;N119</x:f>
        <x:v>습도|보통</x:v>
      </x:c>
      <x:c r="AJ119" s="5" t="str">
        <x:f>"날씨|"&amp;O119</x:f>
        <x:v>날씨|무관</x:v>
      </x:c>
      <x:c r="AK119" s="5" t="str">
        <x:f>"특수태그|"&amp;R119</x:f>
        <x:v>특수태그|없음</x:v>
      </x:c>
      <x:c r="AL119" s="5" t="str">
        <x:f>"원본서식지|"&amp;S119</x:f>
        <x:v>원본서식지|평원</x:v>
      </x:c>
      <x:c r="AM119" s="5" t="str">
        <x:f>"타입|"&amp;F119</x:f>
        <x:v>타입|노말</x:v>
      </x:c>
      <x:c r="AN119" s="5" t="str">
        <x:f>"타입|"&amp;G119</x:f>
        <x:v>타입|</x:v>
      </x:c>
    </x:row>
    <x:row r="120" ht="24" customHeight="1">
      <x:c r="A120" s="5" t="n">
        <x:v>116</x:v>
      </x:c>
      <x:c r="B120" s="5" t="inlineStr">
        <x:is>
          <x:t xml:space="preserve">쏘드라</x:t>
        </x:is>
      </x:c>
      <x:c r="C120" s="5" t="inlineStr">
        <x:is>
          <x:t xml:space="preserve">horsea</x:t>
        </x:is>
      </x:c>
      <x:c r="D120" s="5" t="inlineStr">
        <x:is>
          <x:t xml:space="preserve">Horsea</x:t>
        </x:is>
      </x:c>
      <x:c r="E120" s="5" t="n">
        <x:v>1</x:v>
      </x:c>
      <x:c r="F120" s="5" t="inlineStr">
        <x:is>
          <x:t xml:space="preserve">물</x:t>
        </x:is>
      </x:c>
      <x:c r="G120" s="5" t="inlineStr">
        <x:is>
          <x:t xml:space="preserve"/>
        </x:is>
      </x:c>
      <x:c r="H120" s="6" t="n">
        <x:v>8</x:v>
      </x:c>
      <x:c r="I120" s="5" t="n">
        <x:v>32</x:v>
      </x:c>
      <x:c r="J120" s="5" t="inlineStr">
        <x:is>
          <x:t xml:space="preserve">기본</x:t>
        </x:is>
      </x:c>
      <x:c r="K120" s="7" t="inlineStr">
        <x:is>
          <x:t xml:space="preserve">해양</x:t>
        </x:is>
      </x:c>
      <x:c r="L120" s="7" t="inlineStr">
        <x:is>
          <x:t xml:space="preserve">해안·해양</x:t>
        </x:is>
      </x:c>
      <x:c r="M120" s="7" t="inlineStr">
        <x:is>
          <x:t xml:space="preserve">온대</x:t>
        </x:is>
      </x:c>
      <x:c r="N120" s="7" t="inlineStr">
        <x:is>
          <x:t xml:space="preserve">수중</x:t>
        </x:is>
      </x:c>
      <x:c r="O120" s="7" t="inlineStr">
        <x:is>
          <x:t xml:space="preserve">비</x:t>
        </x:is>
      </x:c>
      <x:c r="P120" s="7" t="inlineStr">
        <x:is>
          <x:t xml:space="preserve">무관</x:t>
        </x:is>
      </x:c>
      <x:c r="Q120" s="7" t="inlineStr">
        <x:is>
          <x:t xml:space="preserve">흔함</x:t>
        </x:is>
      </x:c>
      <x:c r="R120" s="7" t="inlineStr">
        <x:is>
          <x:t xml:space="preserve">없음</x:t>
        </x:is>
      </x:c>
      <x:c r="S120" s="7" t="inlineStr">
        <x:is>
          <x:t xml:space="preserve">해양</x:t>
        </x:is>
      </x:c>
      <x:c r="T120" s="7" t="inlineStr">
        <x:is>
          <x:t xml:space="preserve"/>
        </x:is>
      </x:c>
      <x:c r="U120" s="8" t="str">
        <x:f>INDEX('서식지_점수'!$E$4:$P$4,1,MATCH(MAX('서식지_점수'!E120:P120),'서식지_점수'!E120:P120,0))</x:f>
        <x:v>해양</x:v>
      </x:c>
      <x:c r="V120" s="8" t="str">
        <x:f>IF(T120&lt;&gt;"",T120,U120)</x:f>
        <x:v>해양</x:v>
      </x:c>
      <x:c r="W120" s="8" t="str">
        <x:f>IFERROR(INDEX('서식지_점수'!$E$4:$P$4,1,MATCH(MAXIFS('서식지_점수'!E120:P120,'서식지_점수'!E120:P120,"&lt;"&amp;MAX('서식지_점수'!E120:P120)),'서식지_점수'!E120:P120,0)),"")</x:f>
        <x:v>습지</x:v>
      </x:c>
      <x:c r="X120" s="8" t="str">
        <x:f>IF(T120&lt;&gt;"","수동확정",IF(MAX('서식지_점수'!E120:P120)-LARGE('서식지_점수'!E120:P120,2)&gt;=15,"높음",IF(MAX('서식지_점수'!E120:P120)-LARGE('서식지_점수'!E120:P120,2)&gt;=8,"보통","검토필요")))</x:f>
        <x:v>높음</x:v>
      </x:c>
      <x:c r="Y120" s="9" t="n">
        <x:f>IF(Q120="전설",8,IF(Q120="희귀",7,IF(J120="기본",1,IF(J120="중간",3,IF(J120="최종",IF(I120="",5,IF(I120&lt;=20,3,IF(I120&lt;=35,4,IF(I120&lt;=50,6,7)))),IF(Q120="드묾",4,2))))))</x:f>
        <x:v>1</x:v>
      </x:c>
      <x:c r="Z120" s="5" t="inlineStr">
        <x:is>
          <x:t xml:space="preserve">#cobblemon:is_lukewarm_ocean; #cobblemon:is_ocean; #cobblemon:is_overworld; #cobblemon:is_warm_ocean</x:t>
        </x:is>
      </x:c>
      <x:c r="AA120" s="5" t="inlineStr">
        <x:is>
          <x:t xml:space="preserve">common</x:t>
        </x:is>
      </x:c>
      <x:c r="AB120" s="5" t="inlineStr">
        <x:is>
          <x:t xml:space="preserve">예</x:t>
        </x:is>
      </x:c>
      <x:c r="AC120" s="8" t="str">
        <x:f>IF(T120&lt;&gt;"","수동확정",IF(X120="검토필요","검토필요",IF(S120="","원본없음","초기완료")))</x:f>
        <x:v>초기완료</x:v>
      </x:c>
      <x:c r="AD120" s="7" t="inlineStr">
        <x:is>
          <x:t xml:space="preserve"/>
        </x:is>
      </x:c>
      <x:c r="AE120" s="5" t="inlineStr">
        <x:is>
          <x:t xml:space="preserve">.tmp/cobblemon-1.7.3-source/common/src/main/resources/data/cobblemon/species/generation1/horsea.json</x:t>
        </x:is>
      </x:c>
      <x:c r="AF120" s="5" t="str">
        <x:f>"생활권|"&amp;K120</x:f>
        <x:v>생활권|해양</x:v>
      </x:c>
      <x:c r="AG120" s="5" t="str">
        <x:f>"지형|"&amp;L120</x:f>
        <x:v>지형|해안·해양</x:v>
      </x:c>
      <x:c r="AH120" s="5" t="str">
        <x:f>"온도|"&amp;M120</x:f>
        <x:v>온도|온대</x:v>
      </x:c>
      <x:c r="AI120" s="5" t="str">
        <x:f>"습도|"&amp;N120</x:f>
        <x:v>습도|수중</x:v>
      </x:c>
      <x:c r="AJ120" s="5" t="str">
        <x:f>"날씨|"&amp;O120</x:f>
        <x:v>날씨|비</x:v>
      </x:c>
      <x:c r="AK120" s="5" t="str">
        <x:f>"특수태그|"&amp;R120</x:f>
        <x:v>특수태그|없음</x:v>
      </x:c>
      <x:c r="AL120" s="5" t="str">
        <x:f>"원본서식지|"&amp;S120</x:f>
        <x:v>원본서식지|해양</x:v>
      </x:c>
      <x:c r="AM120" s="5" t="str">
        <x:f>"타입|"&amp;F120</x:f>
        <x:v>타입|물</x:v>
      </x:c>
      <x:c r="AN120" s="5" t="str">
        <x:f>"타입|"&amp;G120</x:f>
        <x:v>타입|</x:v>
      </x:c>
    </x:row>
    <x:row r="121" ht="24" customHeight="1">
      <x:c r="A121" s="5" t="n">
        <x:v>117</x:v>
      </x:c>
      <x:c r="B121" s="5" t="inlineStr">
        <x:is>
          <x:t xml:space="preserve">시드라</x:t>
        </x:is>
      </x:c>
      <x:c r="C121" s="5" t="inlineStr">
        <x:is>
          <x:t xml:space="preserve">seadra</x:t>
        </x:is>
      </x:c>
      <x:c r="D121" s="5" t="inlineStr">
        <x:is>
          <x:t xml:space="preserve">Seadra</x:t>
        </x:is>
      </x:c>
      <x:c r="E121" s="5" t="n">
        <x:v>1</x:v>
      </x:c>
      <x:c r="F121" s="5" t="inlineStr">
        <x:is>
          <x:t xml:space="preserve">물</x:t>
        </x:is>
      </x:c>
      <x:c r="G121" s="5" t="inlineStr">
        <x:is>
          <x:t xml:space="preserve"/>
        </x:is>
      </x:c>
      <x:c r="H121" s="6" t="n">
        <x:v>25</x:v>
      </x:c>
      <x:c r="I121" s="5" t="n">
        <x:v>32</x:v>
      </x:c>
      <x:c r="J121" s="5" t="inlineStr">
        <x:is>
          <x:t xml:space="preserve">중간</x:t>
        </x:is>
      </x:c>
      <x:c r="K121" s="7" t="inlineStr">
        <x:is>
          <x:t xml:space="preserve">해양</x:t>
        </x:is>
      </x:c>
      <x:c r="L121" s="7" t="inlineStr">
        <x:is>
          <x:t xml:space="preserve">해안·해양</x:t>
        </x:is>
      </x:c>
      <x:c r="M121" s="7" t="inlineStr">
        <x:is>
          <x:t xml:space="preserve">온대</x:t>
        </x:is>
      </x:c>
      <x:c r="N121" s="7" t="inlineStr">
        <x:is>
          <x:t xml:space="preserve">수중</x:t>
        </x:is>
      </x:c>
      <x:c r="O121" s="7" t="inlineStr">
        <x:is>
          <x:t xml:space="preserve">비</x:t>
        </x:is>
      </x:c>
      <x:c r="P121" s="7" t="inlineStr">
        <x:is>
          <x:t xml:space="preserve">무관</x:t>
        </x:is>
      </x:c>
      <x:c r="Q121" s="7" t="inlineStr">
        <x:is>
          <x:t xml:space="preserve">흔함</x:t>
        </x:is>
      </x:c>
      <x:c r="R121" s="7" t="inlineStr">
        <x:is>
          <x:t xml:space="preserve">없음</x:t>
        </x:is>
      </x:c>
      <x:c r="S121" s="7" t="inlineStr">
        <x:is>
          <x:t xml:space="preserve">해양</x:t>
        </x:is>
      </x:c>
      <x:c r="T121" s="7" t="inlineStr">
        <x:is>
          <x:t xml:space="preserve"/>
        </x:is>
      </x:c>
      <x:c r="U121" s="8" t="str">
        <x:f>INDEX('서식지_점수'!$E$4:$P$4,1,MATCH(MAX('서식지_점수'!E121:P121),'서식지_점수'!E121:P121,0))</x:f>
        <x:v>해양</x:v>
      </x:c>
      <x:c r="V121" s="8" t="str">
        <x:f>IF(T121&lt;&gt;"",T121,U121)</x:f>
        <x:v>해양</x:v>
      </x:c>
      <x:c r="W121" s="8" t="str">
        <x:f>IFERROR(INDEX('서식지_점수'!$E$4:$P$4,1,MATCH(MAXIFS('서식지_점수'!E121:P121,'서식지_점수'!E121:P121,"&lt;"&amp;MAX('서식지_점수'!E121:P121)),'서식지_점수'!E121:P121,0)),"")</x:f>
        <x:v>습지</x:v>
      </x:c>
      <x:c r="X121" s="8" t="str">
        <x:f>IF(T121&lt;&gt;"","수동확정",IF(MAX('서식지_점수'!E121:P121)-LARGE('서식지_점수'!E121:P121,2)&gt;=15,"높음",IF(MAX('서식지_점수'!E121:P121)-LARGE('서식지_점수'!E121:P121,2)&gt;=8,"보통","검토필요")))</x:f>
        <x:v>높음</x:v>
      </x:c>
      <x:c r="Y121" s="9" t="n">
        <x:f>IF(Q121="전설",8,IF(Q121="희귀",7,IF(J121="기본",1,IF(J121="중간",3,IF(J121="최종",IF(I121="",5,IF(I121&lt;=20,3,IF(I121&lt;=35,4,IF(I121&lt;=50,6,7)))),IF(Q121="드묾",4,2))))))</x:f>
        <x:v>3</x:v>
      </x:c>
      <x:c r="Z121" s="5" t="inlineStr">
        <x:is>
          <x:t xml:space="preserve">#cobblemon:is_lukewarm_ocean; #cobblemon:is_ocean; #cobblemon:is_overworld; #cobblemon:is_warm_ocean</x:t>
        </x:is>
      </x:c>
      <x:c r="AA121" s="5" t="inlineStr">
        <x:is>
          <x:t xml:space="preserve">common</x:t>
        </x:is>
      </x:c>
      <x:c r="AB121" s="5" t="inlineStr">
        <x:is>
          <x:t xml:space="preserve">예</x:t>
        </x:is>
      </x:c>
      <x:c r="AC121" s="8" t="str">
        <x:f>IF(T121&lt;&gt;"","수동확정",IF(X121="검토필요","검토필요",IF(S121="","원본없음","초기완료")))</x:f>
        <x:v>초기완료</x:v>
      </x:c>
      <x:c r="AD121" s="7" t="inlineStr">
        <x:is>
          <x:t xml:space="preserve"/>
        </x:is>
      </x:c>
      <x:c r="AE121" s="5" t="inlineStr">
        <x:is>
          <x:t xml:space="preserve">.tmp/cobblemon-1.7.3-source/common/src/main/resources/data/cobblemon/species/generation1/seadra.json</x:t>
        </x:is>
      </x:c>
      <x:c r="AF121" s="5" t="str">
        <x:f>"생활권|"&amp;K121</x:f>
        <x:v>생활권|해양</x:v>
      </x:c>
      <x:c r="AG121" s="5" t="str">
        <x:f>"지형|"&amp;L121</x:f>
        <x:v>지형|해안·해양</x:v>
      </x:c>
      <x:c r="AH121" s="5" t="str">
        <x:f>"온도|"&amp;M121</x:f>
        <x:v>온도|온대</x:v>
      </x:c>
      <x:c r="AI121" s="5" t="str">
        <x:f>"습도|"&amp;N121</x:f>
        <x:v>습도|수중</x:v>
      </x:c>
      <x:c r="AJ121" s="5" t="str">
        <x:f>"날씨|"&amp;O121</x:f>
        <x:v>날씨|비</x:v>
      </x:c>
      <x:c r="AK121" s="5" t="str">
        <x:f>"특수태그|"&amp;R121</x:f>
        <x:v>특수태그|없음</x:v>
      </x:c>
      <x:c r="AL121" s="5" t="str">
        <x:f>"원본서식지|"&amp;S121</x:f>
        <x:v>원본서식지|해양</x:v>
      </x:c>
      <x:c r="AM121" s="5" t="str">
        <x:f>"타입|"&amp;F121</x:f>
        <x:v>타입|물</x:v>
      </x:c>
      <x:c r="AN121" s="5" t="str">
        <x:f>"타입|"&amp;G121</x:f>
        <x:v>타입|</x:v>
      </x:c>
    </x:row>
    <x:row r="122" ht="24" customHeight="1">
      <x:c r="A122" s="5" t="n">
        <x:v>118</x:v>
      </x:c>
      <x:c r="B122" s="5" t="inlineStr">
        <x:is>
          <x:t xml:space="preserve">콘치</x:t>
        </x:is>
      </x:c>
      <x:c r="C122" s="5" t="inlineStr">
        <x:is>
          <x:t xml:space="preserve">goldeen</x:t>
        </x:is>
      </x:c>
      <x:c r="D122" s="5" t="inlineStr">
        <x:is>
          <x:t xml:space="preserve">Goldeen</x:t>
        </x:is>
      </x:c>
      <x:c r="E122" s="5" t="n">
        <x:v>1</x:v>
      </x:c>
      <x:c r="F122" s="5" t="inlineStr">
        <x:is>
          <x:t xml:space="preserve">물</x:t>
        </x:is>
      </x:c>
      <x:c r="G122" s="5" t="inlineStr">
        <x:is>
          <x:t xml:space="preserve"/>
        </x:is>
      </x:c>
      <x:c r="H122" s="6" t="n">
        <x:v>15</x:v>
      </x:c>
      <x:c r="I122" s="5" t="n">
        <x:v>33</x:v>
      </x:c>
      <x:c r="J122" s="5" t="inlineStr">
        <x:is>
          <x:t xml:space="preserve">기본</x:t>
        </x:is>
      </x:c>
      <x:c r="K122" s="7" t="inlineStr">
        <x:is>
          <x:t xml:space="preserve">담수</x:t>
        </x:is>
      </x:c>
      <x:c r="L122" s="7" t="inlineStr">
        <x:is>
          <x:t xml:space="preserve">담수</x:t>
        </x:is>
      </x:c>
      <x:c r="M122" s="7" t="inlineStr">
        <x:is>
          <x:t xml:space="preserve">서늘</x:t>
        </x:is>
      </x:c>
      <x:c r="N122" s="7" t="inlineStr">
        <x:is>
          <x:t xml:space="preserve">수중</x:t>
        </x:is>
      </x:c>
      <x:c r="O122" s="7" t="inlineStr">
        <x:is>
          <x:t xml:space="preserve">비</x:t>
        </x:is>
      </x:c>
      <x:c r="P122" s="7" t="inlineStr">
        <x:is>
          <x:t xml:space="preserve">무관</x:t>
        </x:is>
      </x:c>
      <x:c r="Q122" s="7" t="inlineStr">
        <x:is>
          <x:t xml:space="preserve">흔함</x:t>
        </x:is>
      </x:c>
      <x:c r="R122" s="7" t="inlineStr">
        <x:is>
          <x:t xml:space="preserve">없음</x:t>
        </x:is>
      </x:c>
      <x:c r="S122" s="7" t="inlineStr">
        <x:is>
          <x:t xml:space="preserve">담수</x:t>
        </x:is>
      </x:c>
      <x:c r="T122" s="7" t="inlineStr">
        <x:is>
          <x:t xml:space="preserve"/>
        </x:is>
      </x:c>
      <x:c r="U122" s="8" t="str">
        <x:f>INDEX('서식지_점수'!$E$4:$P$4,1,MATCH(MAX('서식지_점수'!E122:P122),'서식지_점수'!E122:P122,0))</x:f>
        <x:v>담수</x:v>
      </x:c>
      <x:c r="V122" s="8" t="str">
        <x:f>IF(T122&lt;&gt;"",T122,U122)</x:f>
        <x:v>담수</x:v>
      </x:c>
      <x:c r="W122" s="8" t="str">
        <x:f>IFERROR(INDEX('서식지_점수'!$E$4:$P$4,1,MATCH(MAXIFS('서식지_점수'!E122:P122,'서식지_점수'!E122:P122,"&lt;"&amp;MAX('서식지_점수'!E122:P122)),'서식지_점수'!E122:P122,0)),"")</x:f>
        <x:v>습지</x:v>
      </x:c>
      <x:c r="X122" s="8" t="str">
        <x:f>IF(T122&lt;&gt;"","수동확정",IF(MAX('서식지_점수'!E122:P122)-LARGE('서식지_점수'!E122:P122,2)&gt;=15,"높음",IF(MAX('서식지_점수'!E122:P122)-LARGE('서식지_점수'!E122:P122,2)&gt;=8,"보통","검토필요")))</x:f>
        <x:v>높음</x:v>
      </x:c>
      <x:c r="Y122" s="9" t="n">
        <x:f>IF(Q122="전설",8,IF(Q122="희귀",7,IF(J122="기본",1,IF(J122="중간",3,IF(J122="최종",IF(I122="",5,IF(I122&lt;=20,3,IF(I122&lt;=35,4,IF(I122&lt;=50,6,7)))),IF(Q122="드묾",4,2))))))</x:f>
        <x:v>1</x:v>
      </x:c>
      <x:c r="Z122" s="5" t="inlineStr">
        <x:is>
          <x:t xml:space="preserve">#aether:is_aether; #cobblemon:is_bamboo; #cobblemon:is_floral; #cobblemon:is_freezing; #cobblemon:is_freshwater; #cobblemon:is_jungle; #cobblemon:is_magical; #cobblemon:is_mountain; #cobblemon:is_river; #cobblemon:is_taiga; #cobblemon:is_temperate</x:t>
        </x:is>
      </x:c>
      <x:c r="AA122" s="5" t="inlineStr">
        <x:is>
          <x:t xml:space="preserve">common</x:t>
        </x:is>
      </x:c>
      <x:c r="AB122" s="5" t="inlineStr">
        <x:is>
          <x:t xml:space="preserve">예</x:t>
        </x:is>
      </x:c>
      <x:c r="AC122" s="8" t="str">
        <x:f>IF(T122&lt;&gt;"","수동확정",IF(X122="검토필요","검토필요",IF(S122="","원본없음","초기완료")))</x:f>
        <x:v>초기완료</x:v>
      </x:c>
      <x:c r="AD122" s="7" t="inlineStr">
        <x:is>
          <x:t xml:space="preserve"/>
        </x:is>
      </x:c>
      <x:c r="AE122" s="5" t="inlineStr">
        <x:is>
          <x:t xml:space="preserve">.tmp/cobblemon-1.7.3-source/common/src/main/resources/data/cobblemon/species/generation1/goldeen.json</x:t>
        </x:is>
      </x:c>
      <x:c r="AF122" s="5" t="str">
        <x:f>"생활권|"&amp;K122</x:f>
        <x:v>생활권|담수</x:v>
      </x:c>
      <x:c r="AG122" s="5" t="str">
        <x:f>"지형|"&amp;L122</x:f>
        <x:v>지형|담수</x:v>
      </x:c>
      <x:c r="AH122" s="5" t="str">
        <x:f>"온도|"&amp;M122</x:f>
        <x:v>온도|서늘</x:v>
      </x:c>
      <x:c r="AI122" s="5" t="str">
        <x:f>"습도|"&amp;N122</x:f>
        <x:v>습도|수중</x:v>
      </x:c>
      <x:c r="AJ122" s="5" t="str">
        <x:f>"날씨|"&amp;O122</x:f>
        <x:v>날씨|비</x:v>
      </x:c>
      <x:c r="AK122" s="5" t="str">
        <x:f>"특수태그|"&amp;R122</x:f>
        <x:v>특수태그|없음</x:v>
      </x:c>
      <x:c r="AL122" s="5" t="str">
        <x:f>"원본서식지|"&amp;S122</x:f>
        <x:v>원본서식지|담수</x:v>
      </x:c>
      <x:c r="AM122" s="5" t="str">
        <x:f>"타입|"&amp;F122</x:f>
        <x:v>타입|물</x:v>
      </x:c>
      <x:c r="AN122" s="5" t="str">
        <x:f>"타입|"&amp;G122</x:f>
        <x:v>타입|</x:v>
      </x:c>
    </x:row>
    <x:row r="123" ht="24" customHeight="1">
      <x:c r="A123" s="5" t="n">
        <x:v>119</x:v>
      </x:c>
      <x:c r="B123" s="5" t="inlineStr">
        <x:is>
          <x:t xml:space="preserve">왕콘치</x:t>
        </x:is>
      </x:c>
      <x:c r="C123" s="5" t="inlineStr">
        <x:is>
          <x:t xml:space="preserve">seaking</x:t>
        </x:is>
      </x:c>
      <x:c r="D123" s="5" t="inlineStr">
        <x:is>
          <x:t xml:space="preserve">Seaking</x:t>
        </x:is>
      </x:c>
      <x:c r="E123" s="5" t="n">
        <x:v>1</x:v>
      </x:c>
      <x:c r="F123" s="5" t="inlineStr">
        <x:is>
          <x:t xml:space="preserve">물</x:t>
        </x:is>
      </x:c>
      <x:c r="G123" s="5" t="inlineStr">
        <x:is>
          <x:t xml:space="preserve"/>
        </x:is>
      </x:c>
      <x:c r="H123" s="6" t="n">
        <x:v>39</x:v>
      </x:c>
      <x:c r="I123" s="5" t="n">
        <x:v>33</x:v>
      </x:c>
      <x:c r="J123" s="5" t="inlineStr">
        <x:is>
          <x:t xml:space="preserve">최종</x:t>
        </x:is>
      </x:c>
      <x:c r="K123" s="7" t="inlineStr">
        <x:is>
          <x:t xml:space="preserve">담수</x:t>
        </x:is>
      </x:c>
      <x:c r="L123" s="7" t="inlineStr">
        <x:is>
          <x:t xml:space="preserve">담수</x:t>
        </x:is>
      </x:c>
      <x:c r="M123" s="7" t="inlineStr">
        <x:is>
          <x:t xml:space="preserve">서늘</x:t>
        </x:is>
      </x:c>
      <x:c r="N123" s="7" t="inlineStr">
        <x:is>
          <x:t xml:space="preserve">수중</x:t>
        </x:is>
      </x:c>
      <x:c r="O123" s="7" t="inlineStr">
        <x:is>
          <x:t xml:space="preserve">비</x:t>
        </x:is>
      </x:c>
      <x:c r="P123" s="7" t="inlineStr">
        <x:is>
          <x:t xml:space="preserve">무관</x:t>
        </x:is>
      </x:c>
      <x:c r="Q123" s="7" t="inlineStr">
        <x:is>
          <x:t xml:space="preserve">흔함</x:t>
        </x:is>
      </x:c>
      <x:c r="R123" s="7" t="inlineStr">
        <x:is>
          <x:t xml:space="preserve">없음</x:t>
        </x:is>
      </x:c>
      <x:c r="S123" s="7" t="inlineStr">
        <x:is>
          <x:t xml:space="preserve">담수</x:t>
        </x:is>
      </x:c>
      <x:c r="T123" s="7" t="inlineStr">
        <x:is>
          <x:t xml:space="preserve"/>
        </x:is>
      </x:c>
      <x:c r="U123" s="8" t="str">
        <x:f>INDEX('서식지_점수'!$E$4:$P$4,1,MATCH(MAX('서식지_점수'!E123:P123),'서식지_점수'!E123:P123,0))</x:f>
        <x:v>담수</x:v>
      </x:c>
      <x:c r="V123" s="8" t="str">
        <x:f>IF(T123&lt;&gt;"",T123,U123)</x:f>
        <x:v>담수</x:v>
      </x:c>
      <x:c r="W123" s="8" t="str">
        <x:f>IFERROR(INDEX('서식지_점수'!$E$4:$P$4,1,MATCH(MAXIFS('서식지_점수'!E123:P123,'서식지_점수'!E123:P123,"&lt;"&amp;MAX('서식지_점수'!E123:P123)),'서식지_점수'!E123:P123,0)),"")</x:f>
        <x:v>습지</x:v>
      </x:c>
      <x:c r="X123" s="8" t="str">
        <x:f>IF(T123&lt;&gt;"","수동확정",IF(MAX('서식지_점수'!E123:P123)-LARGE('서식지_점수'!E123:P123,2)&gt;=15,"높음",IF(MAX('서식지_점수'!E123:P123)-LARGE('서식지_점수'!E123:P123,2)&gt;=8,"보통","검토필요")))</x:f>
        <x:v>높음</x:v>
      </x:c>
      <x:c r="Y123" s="9" t="n">
        <x:f>IF(Q123="전설",8,IF(Q123="희귀",7,IF(J123="기본",1,IF(J123="중간",3,IF(J123="최종",IF(I123="",5,IF(I123&lt;=20,3,IF(I123&lt;=35,4,IF(I123&lt;=50,6,7)))),IF(Q123="드묾",4,2))))))</x:f>
        <x:v>4</x:v>
      </x:c>
      <x:c r="Z123" s="5" t="inlineStr">
        <x:is>
          <x:t xml:space="preserve">#aether:is_aether; #cobblemon:is_bamboo; #cobblemon:is_floral; #cobblemon:is_freezing; #cobblemon:is_freshwater; #cobblemon:is_jungle; #cobblemon:is_magical; #cobblemon:is_mountain; #cobblemon:is_river; #cobblemon:is_taiga; #cobblemon:is_temperate</x:t>
        </x:is>
      </x:c>
      <x:c r="AA123" s="5" t="inlineStr">
        <x:is>
          <x:t xml:space="preserve">common</x:t>
        </x:is>
      </x:c>
      <x:c r="AB123" s="5" t="inlineStr">
        <x:is>
          <x:t xml:space="preserve">예</x:t>
        </x:is>
      </x:c>
      <x:c r="AC123" s="8" t="str">
        <x:f>IF(T123&lt;&gt;"","수동확정",IF(X123="검토필요","검토필요",IF(S123="","원본없음","초기완료")))</x:f>
        <x:v>초기완료</x:v>
      </x:c>
      <x:c r="AD123" s="7" t="inlineStr">
        <x:is>
          <x:t xml:space="preserve"/>
        </x:is>
      </x:c>
      <x:c r="AE123" s="5" t="inlineStr">
        <x:is>
          <x:t xml:space="preserve">.tmp/cobblemon-1.7.3-source/common/src/main/resources/data/cobblemon/species/generation1/seaking.json</x:t>
        </x:is>
      </x:c>
      <x:c r="AF123" s="5" t="str">
        <x:f>"생활권|"&amp;K123</x:f>
        <x:v>생활권|담수</x:v>
      </x:c>
      <x:c r="AG123" s="5" t="str">
        <x:f>"지형|"&amp;L123</x:f>
        <x:v>지형|담수</x:v>
      </x:c>
      <x:c r="AH123" s="5" t="str">
        <x:f>"온도|"&amp;M123</x:f>
        <x:v>온도|서늘</x:v>
      </x:c>
      <x:c r="AI123" s="5" t="str">
        <x:f>"습도|"&amp;N123</x:f>
        <x:v>습도|수중</x:v>
      </x:c>
      <x:c r="AJ123" s="5" t="str">
        <x:f>"날씨|"&amp;O123</x:f>
        <x:v>날씨|비</x:v>
      </x:c>
      <x:c r="AK123" s="5" t="str">
        <x:f>"특수태그|"&amp;R123</x:f>
        <x:v>특수태그|없음</x:v>
      </x:c>
      <x:c r="AL123" s="5" t="str">
        <x:f>"원본서식지|"&amp;S123</x:f>
        <x:v>원본서식지|담수</x:v>
      </x:c>
      <x:c r="AM123" s="5" t="str">
        <x:f>"타입|"&amp;F123</x:f>
        <x:v>타입|물</x:v>
      </x:c>
      <x:c r="AN123" s="5" t="str">
        <x:f>"타입|"&amp;G123</x:f>
        <x:v>타입|</x:v>
      </x:c>
    </x:row>
    <x:row r="124" ht="24" customHeight="1">
      <x:c r="A124" s="5" t="n">
        <x:v>120</x:v>
      </x:c>
      <x:c r="B124" s="5" t="inlineStr">
        <x:is>
          <x:t xml:space="preserve">별가사리</x:t>
        </x:is>
      </x:c>
      <x:c r="C124" s="5" t="inlineStr">
        <x:is>
          <x:t xml:space="preserve">staryu</x:t>
        </x:is>
      </x:c>
      <x:c r="D124" s="5" t="inlineStr">
        <x:is>
          <x:t xml:space="preserve">Staryu</x:t>
        </x:is>
      </x:c>
      <x:c r="E124" s="5" t="n">
        <x:v>1</x:v>
      </x:c>
      <x:c r="F124" s="5" t="inlineStr">
        <x:is>
          <x:t xml:space="preserve">물</x:t>
        </x:is>
      </x:c>
      <x:c r="G124" s="5" t="inlineStr">
        <x:is>
          <x:t xml:space="preserve"/>
        </x:is>
      </x:c>
      <x:c r="H124" s="6" t="n">
        <x:v>34.5</x:v>
      </x:c>
      <x:c r="I124" s="5" t="n"/>
      <x:c r="J124" s="5" t="inlineStr">
        <x:is>
          <x:t xml:space="preserve">기본</x:t>
        </x:is>
      </x:c>
      <x:c r="K124" s="7" t="inlineStr">
        <x:is>
          <x:t xml:space="preserve">해양</x:t>
        </x:is>
      </x:c>
      <x:c r="L124" s="7" t="inlineStr">
        <x:is>
          <x:t xml:space="preserve">해안·해양</x:t>
        </x:is>
      </x:c>
      <x:c r="M124" s="7" t="inlineStr">
        <x:is>
          <x:t xml:space="preserve">온대</x:t>
        </x:is>
      </x:c>
      <x:c r="N124" s="7" t="inlineStr">
        <x:is>
          <x:t xml:space="preserve">수중</x:t>
        </x:is>
      </x:c>
      <x:c r="O124" s="7" t="inlineStr">
        <x:is>
          <x:t xml:space="preserve">비</x:t>
        </x:is>
      </x:c>
      <x:c r="P124" s="7" t="inlineStr">
        <x:is>
          <x:t xml:space="preserve">무관</x:t>
        </x:is>
      </x:c>
      <x:c r="Q124" s="7" t="inlineStr">
        <x:is>
          <x:t xml:space="preserve">보통</x:t>
        </x:is>
      </x:c>
      <x:c r="R124" s="7" t="inlineStr">
        <x:is>
          <x:t xml:space="preserve">없음</x:t>
        </x:is>
      </x:c>
      <x:c r="S124" s="7" t="inlineStr">
        <x:is>
          <x:t xml:space="preserve">해양</x:t>
        </x:is>
      </x:c>
      <x:c r="T124" s="7" t="inlineStr">
        <x:is>
          <x:t xml:space="preserve"/>
        </x:is>
      </x:c>
      <x:c r="U124" s="8" t="str">
        <x:f>INDEX('서식지_점수'!$E$4:$P$4,1,MATCH(MAX('서식지_점수'!E124:P124),'서식지_점수'!E124:P124,0))</x:f>
        <x:v>해양</x:v>
      </x:c>
      <x:c r="V124" s="8" t="str">
        <x:f>IF(T124&lt;&gt;"",T124,U124)</x:f>
        <x:v>해양</x:v>
      </x:c>
      <x:c r="W124" s="8" t="str">
        <x:f>IFERROR(INDEX('서식지_점수'!$E$4:$P$4,1,MATCH(MAXIFS('서식지_점수'!E124:P124,'서식지_점수'!E124:P124,"&lt;"&amp;MAX('서식지_점수'!E124:P124)),'서식지_점수'!E124:P124,0)),"")</x:f>
        <x:v>습지</x:v>
      </x:c>
      <x:c r="X124" s="8" t="str">
        <x:f>IF(T124&lt;&gt;"","수동확정",IF(MAX('서식지_점수'!E124:P124)-LARGE('서식지_점수'!E124:P124,2)&gt;=15,"높음",IF(MAX('서식지_점수'!E124:P124)-LARGE('서식지_점수'!E124:P124,2)&gt;=8,"보통","검토필요")))</x:f>
        <x:v>높음</x:v>
      </x:c>
      <x:c r="Y124" s="9" t="n">
        <x:f>IF(Q124="전설",8,IF(Q124="희귀",7,IF(J124="기본",1,IF(J124="중간",3,IF(J124="최종",IF(I124="",5,IF(I124&lt;=20,3,IF(I124&lt;=35,4,IF(I124&lt;=50,6,7)))),IF(Q124="드묾",4,2))))))</x:f>
        <x:v>1</x:v>
      </x:c>
      <x:c r="Z124" s="5" t="inlineStr">
        <x:is>
          <x:t xml:space="preserve">#cobblemon:is_coast; #cobblemon:is_ocean; #cobblemon:is_overworld; #cobblemon:is_tropical_island</x:t>
        </x:is>
      </x:c>
      <x:c r="AA124" s="5" t="inlineStr">
        <x:is>
          <x:t xml:space="preserve">common; uncommon</x:t>
        </x:is>
      </x:c>
      <x:c r="AB124" s="5" t="inlineStr">
        <x:is>
          <x:t xml:space="preserve">예</x:t>
        </x:is>
      </x:c>
      <x:c r="AC124" s="8" t="str">
        <x:f>IF(T124&lt;&gt;"","수동확정",IF(X124="검토필요","검토필요",IF(S124="","원본없음","초기완료")))</x:f>
        <x:v>초기완료</x:v>
      </x:c>
      <x:c r="AD124" s="7" t="inlineStr">
        <x:is>
          <x:t xml:space="preserve"/>
        </x:is>
      </x:c>
      <x:c r="AE124" s="5" t="inlineStr">
        <x:is>
          <x:t xml:space="preserve">.tmp/cobblemon-1.7.3-source/common/src/main/resources/data/cobblemon/species/generation1/staryu.json</x:t>
        </x:is>
      </x:c>
      <x:c r="AF124" s="5" t="str">
        <x:f>"생활권|"&amp;K124</x:f>
        <x:v>생활권|해양</x:v>
      </x:c>
      <x:c r="AG124" s="5" t="str">
        <x:f>"지형|"&amp;L124</x:f>
        <x:v>지형|해안·해양</x:v>
      </x:c>
      <x:c r="AH124" s="5" t="str">
        <x:f>"온도|"&amp;M124</x:f>
        <x:v>온도|온대</x:v>
      </x:c>
      <x:c r="AI124" s="5" t="str">
        <x:f>"습도|"&amp;N124</x:f>
        <x:v>습도|수중</x:v>
      </x:c>
      <x:c r="AJ124" s="5" t="str">
        <x:f>"날씨|"&amp;O124</x:f>
        <x:v>날씨|비</x:v>
      </x:c>
      <x:c r="AK124" s="5" t="str">
        <x:f>"특수태그|"&amp;R124</x:f>
        <x:v>특수태그|없음</x:v>
      </x:c>
      <x:c r="AL124" s="5" t="str">
        <x:f>"원본서식지|"&amp;S124</x:f>
        <x:v>원본서식지|해양</x:v>
      </x:c>
      <x:c r="AM124" s="5" t="str">
        <x:f>"타입|"&amp;F124</x:f>
        <x:v>타입|물</x:v>
      </x:c>
      <x:c r="AN124" s="5" t="str">
        <x:f>"타입|"&amp;G124</x:f>
        <x:v>타입|</x:v>
      </x:c>
    </x:row>
    <x:row r="125" ht="24" customHeight="1">
      <x:c r="A125" s="5" t="n">
        <x:v>121</x:v>
      </x:c>
      <x:c r="B125" s="5" t="inlineStr">
        <x:is>
          <x:t xml:space="preserve">아쿠스타</x:t>
        </x:is>
      </x:c>
      <x:c r="C125" s="5" t="inlineStr">
        <x:is>
          <x:t xml:space="preserve">starmie</x:t>
        </x:is>
      </x:c>
      <x:c r="D125" s="5" t="inlineStr">
        <x:is>
          <x:t xml:space="preserve">Starmie</x:t>
        </x:is>
      </x:c>
      <x:c r="E125" s="5" t="n">
        <x:v>1</x:v>
      </x:c>
      <x:c r="F125" s="5" t="inlineStr">
        <x:is>
          <x:t xml:space="preserve">물</x:t>
        </x:is>
      </x:c>
      <x:c r="G125" s="5" t="inlineStr">
        <x:is>
          <x:t xml:space="preserve">에스퍼</x:t>
        </x:is>
      </x:c>
      <x:c r="H125" s="6" t="n">
        <x:v>80</x:v>
      </x:c>
      <x:c r="I125" s="5" t="n"/>
      <x:c r="J125" s="5" t="inlineStr">
        <x:is>
          <x:t xml:space="preserve">최종</x:t>
        </x:is>
      </x:c>
      <x:c r="K125" s="7" t="inlineStr">
        <x:is>
          <x:t xml:space="preserve">해양</x:t>
        </x:is>
      </x:c>
      <x:c r="L125" s="7" t="inlineStr">
        <x:is>
          <x:t xml:space="preserve">해안·해양</x:t>
        </x:is>
      </x:c>
      <x:c r="M125" s="7" t="inlineStr">
        <x:is>
          <x:t xml:space="preserve">온대</x:t>
        </x:is>
      </x:c>
      <x:c r="N125" s="7" t="inlineStr">
        <x:is>
          <x:t xml:space="preserve">수중</x:t>
        </x:is>
      </x:c>
      <x:c r="O125" s="7" t="inlineStr">
        <x:is>
          <x:t xml:space="preserve">비</x:t>
        </x:is>
      </x:c>
      <x:c r="P125" s="7" t="inlineStr">
        <x:is>
          <x:t xml:space="preserve">밤</x:t>
        </x:is>
      </x:c>
      <x:c r="Q125" s="7" t="inlineStr">
        <x:is>
          <x:t xml:space="preserve">보통</x:t>
        </x:is>
      </x:c>
      <x:c r="R125" s="7" t="inlineStr">
        <x:is>
          <x:t xml:space="preserve">없음</x:t>
        </x:is>
      </x:c>
      <x:c r="S125" s="7" t="inlineStr">
        <x:is>
          <x:t xml:space="preserve">해양</x:t>
        </x:is>
      </x:c>
      <x:c r="T125" s="7" t="inlineStr">
        <x:is>
          <x:t xml:space="preserve"/>
        </x:is>
      </x:c>
      <x:c r="U125" s="8" t="str">
        <x:f>INDEX('서식지_점수'!$E$4:$P$4,1,MATCH(MAX('서식지_점수'!E125:P125),'서식지_점수'!E125:P125,0))</x:f>
        <x:v>해양</x:v>
      </x:c>
      <x:c r="V125" s="8" t="str">
        <x:f>IF(T125&lt;&gt;"",T125,U125)</x:f>
        <x:v>해양</x:v>
      </x:c>
      <x:c r="W125" s="8" t="str">
        <x:f>IFERROR(INDEX('서식지_점수'!$E$4:$P$4,1,MATCH(MAXIFS('서식지_점수'!E125:P125,'서식지_점수'!E125:P125,"&lt;"&amp;MAX('서식지_점수'!E125:P125)),'서식지_점수'!E125:P125,0)),"")</x:f>
        <x:v>습지</x:v>
      </x:c>
      <x:c r="X125" s="8" t="str">
        <x:f>IF(T125&lt;&gt;"","수동확정",IF(MAX('서식지_점수'!E125:P125)-LARGE('서식지_점수'!E125:P125,2)&gt;=15,"높음",IF(MAX('서식지_점수'!E125:P125)-LARGE('서식지_점수'!E125:P125,2)&gt;=8,"보통","검토필요")))</x:f>
        <x:v>높음</x:v>
      </x:c>
      <x:c r="Y125" s="9" t="n">
        <x:f>IF(Q125="전설",8,IF(Q125="희귀",7,IF(J125="기본",1,IF(J125="중간",3,IF(J125="최종",IF(I125="",5,IF(I125&lt;=20,3,IF(I125&lt;=35,4,IF(I125&lt;=50,6,7)))),IF(Q125="드묾",4,2))))))</x:f>
        <x:v>5</x:v>
      </x:c>
      <x:c r="Z125" s="5" t="inlineStr">
        <x:is>
          <x:t xml:space="preserve">#cobblemon:is_coast; #cobblemon:is_ocean; #cobblemon:is_overworld; #cobblemon:is_tropical_island</x:t>
        </x:is>
      </x:c>
      <x:c r="AA125" s="5" t="inlineStr">
        <x:is>
          <x:t xml:space="preserve">common; uncommon</x:t>
        </x:is>
      </x:c>
      <x:c r="AB125" s="5" t="inlineStr">
        <x:is>
          <x:t xml:space="preserve">예</x:t>
        </x:is>
      </x:c>
      <x:c r="AC125" s="8" t="str">
        <x:f>IF(T125&lt;&gt;"","수동확정",IF(X125="검토필요","검토필요",IF(S125="","원본없음","초기완료")))</x:f>
        <x:v>초기완료</x:v>
      </x:c>
      <x:c r="AD125" s="7" t="inlineStr">
        <x:is>
          <x:t xml:space="preserve"/>
        </x:is>
      </x:c>
      <x:c r="AE125" s="5" t="inlineStr">
        <x:is>
          <x:t xml:space="preserve">.tmp/cobblemon-1.7.3-source/common/src/main/resources/data/cobblemon/species/generation1/starmie.json</x:t>
        </x:is>
      </x:c>
      <x:c r="AF125" s="5" t="str">
        <x:f>"생활권|"&amp;K125</x:f>
        <x:v>생활권|해양</x:v>
      </x:c>
      <x:c r="AG125" s="5" t="str">
        <x:f>"지형|"&amp;L125</x:f>
        <x:v>지형|해안·해양</x:v>
      </x:c>
      <x:c r="AH125" s="5" t="str">
        <x:f>"온도|"&amp;M125</x:f>
        <x:v>온도|온대</x:v>
      </x:c>
      <x:c r="AI125" s="5" t="str">
        <x:f>"습도|"&amp;N125</x:f>
        <x:v>습도|수중</x:v>
      </x:c>
      <x:c r="AJ125" s="5" t="str">
        <x:f>"날씨|"&amp;O125</x:f>
        <x:v>날씨|비</x:v>
      </x:c>
      <x:c r="AK125" s="5" t="str">
        <x:f>"특수태그|"&amp;R125</x:f>
        <x:v>특수태그|없음</x:v>
      </x:c>
      <x:c r="AL125" s="5" t="str">
        <x:f>"원본서식지|"&amp;S125</x:f>
        <x:v>원본서식지|해양</x:v>
      </x:c>
      <x:c r="AM125" s="5" t="str">
        <x:f>"타입|"&amp;F125</x:f>
        <x:v>타입|물</x:v>
      </x:c>
      <x:c r="AN125" s="5" t="str">
        <x:f>"타입|"&amp;G125</x:f>
        <x:v>타입|에스퍼</x:v>
      </x:c>
    </x:row>
    <x:row r="126" ht="24" customHeight="1">
      <x:c r="A126" s="5" t="n">
        <x:v>122</x:v>
      </x:c>
      <x:c r="B126" s="5" t="inlineStr">
        <x:is>
          <x:t xml:space="preserve">마임맨</x:t>
        </x:is>
      </x:c>
      <x:c r="C126" s="5" t="inlineStr">
        <x:is>
          <x:t xml:space="preserve">mrmime</x:t>
        </x:is>
      </x:c>
      <x:c r="D126" s="5" t="inlineStr">
        <x:is>
          <x:t xml:space="preserve">Mr. Mime</x:t>
        </x:is>
      </x:c>
      <x:c r="E126" s="5" t="n">
        <x:v>1</x:v>
      </x:c>
      <x:c r="F126" s="5" t="inlineStr">
        <x:is>
          <x:t xml:space="preserve">에스퍼</x:t>
        </x:is>
      </x:c>
      <x:c r="G126" s="5" t="inlineStr">
        <x:is>
          <x:t xml:space="preserve">페어리</x:t>
        </x:is>
      </x:c>
      <x:c r="H126" s="6" t="n">
        <x:v>54.5</x:v>
      </x:c>
      <x:c r="I126" s="5" t="n"/>
      <x:c r="J126" s="5" t="inlineStr">
        <x:is>
          <x:t xml:space="preserve">최종</x:t>
        </x:is>
      </x:c>
      <x:c r="K126" s="7" t="inlineStr">
        <x:is>
          <x:t xml:space="preserve">육상</x:t>
        </x:is>
      </x:c>
      <x:c r="L126" s="7" t="inlineStr">
        <x:is>
          <x:t xml:space="preserve">개활지</x:t>
        </x:is>
      </x:c>
      <x:c r="M126" s="7" t="inlineStr">
        <x:is>
          <x:t xml:space="preserve">온대</x:t>
        </x:is>
      </x:c>
      <x:c r="N126" s="7" t="inlineStr">
        <x:is>
          <x:t xml:space="preserve">보통</x:t>
        </x:is>
      </x:c>
      <x:c r="O126" s="7" t="inlineStr">
        <x:is>
          <x:t xml:space="preserve">무관</x:t>
        </x:is>
      </x:c>
      <x:c r="P126" s="7" t="inlineStr">
        <x:is>
          <x:t xml:space="preserve">무관</x:t>
        </x:is>
      </x:c>
      <x:c r="Q126" s="7" t="inlineStr">
        <x:is>
          <x:t xml:space="preserve">보통</x:t>
        </x:is>
      </x:c>
      <x:c r="R126" s="7" t="inlineStr">
        <x:is>
          <x:t xml:space="preserve">없음</x:t>
        </x:is>
      </x:c>
      <x:c r="S126" s="7" t="inlineStr">
        <x:is>
          <x:t xml:space="preserve"/>
        </x:is>
      </x:c>
      <x:c r="T126" s="7" t="inlineStr">
        <x:is>
          <x:t xml:space="preserve"/>
        </x:is>
      </x:c>
      <x:c r="U126" s="8" t="str">
        <x:f>INDEX('서식지_점수'!$E$4:$P$4,1,MATCH(MAX('서식지_점수'!E126:P126),'서식지_점수'!E126:P126,0))</x:f>
        <x:v>평원</x:v>
      </x:c>
      <x:c r="V126" s="8" t="str">
        <x:f>IF(T126&lt;&gt;"",T126,U126)</x:f>
        <x:v>평원</x:v>
      </x:c>
      <x:c r="W126" s="8" t="str">
        <x:f>IFERROR(INDEX('서식지_점수'!$E$4:$P$4,1,MATCH(MAXIFS('서식지_점수'!E126:P126,'서식지_점수'!E126:P126,"&lt;"&amp;MAX('서식지_점수'!E126:P126)),'서식지_점수'!E126:P126,0)),"")</x:f>
        <x:v>숲</x:v>
      </x:c>
      <x:c r="X126" s="8" t="str">
        <x:f>IF(T126&lt;&gt;"","수동확정",IF(MAX('서식지_점수'!E126:P126)-LARGE('서식지_점수'!E126:P126,2)&gt;=15,"높음",IF(MAX('서식지_점수'!E126:P126)-LARGE('서식지_점수'!E126:P126,2)&gt;=8,"보통","검토필요")))</x:f>
        <x:v>검토필요</x:v>
      </x:c>
      <x:c r="Y126" s="9" t="n">
        <x:f>IF(Q126="전설",8,IF(Q126="희귀",7,IF(J126="기본",1,IF(J126="중간",3,IF(J126="최종",IF(I126="",5,IF(I126&lt;=20,3,IF(I126&lt;=35,4,IF(I126&lt;=50,6,7)))),IF(Q126="드묾",4,2))))))</x:f>
        <x:v>5</x:v>
      </x:c>
      <x:c r="Z126" s="5" t="inlineStr">
        <x:is>
          <x:t xml:space="preserve">#cobblemon:is_freezing; #cobblemon:is_overworld</x:t>
        </x:is>
      </x:c>
      <x:c r="AA126" s="5" t="inlineStr">
        <x:is>
          <x:t xml:space="preserve">common; uncommon</x:t>
        </x:is>
      </x:c>
      <x:c r="AB126" s="5" t="inlineStr">
        <x:is>
          <x:t xml:space="preserve">예</x:t>
        </x:is>
      </x:c>
      <x:c r="AC126" s="8" t="str">
        <x:f>IF(T126&lt;&gt;"","수동확정",IF(X126="검토필요","검토필요",IF(S126="","원본없음","초기완료")))</x:f>
        <x:v>검토필요</x:v>
      </x:c>
      <x:c r="AD126" s="7" t="inlineStr">
        <x:is>
          <x:t xml:space="preserve"/>
        </x:is>
      </x:c>
      <x:c r="AE126" s="5" t="inlineStr">
        <x:is>
          <x:t xml:space="preserve">.tmp/cobblemon-1.7.3-source/common/src/main/resources/data/cobblemon/species/generation1/mrmime.json</x:t>
        </x:is>
      </x:c>
      <x:c r="AF126" s="5" t="str">
        <x:f>"생활권|"&amp;K126</x:f>
        <x:v>생활권|육상</x:v>
      </x:c>
      <x:c r="AG126" s="5" t="str">
        <x:f>"지형|"&amp;L126</x:f>
        <x:v>지형|개활지</x:v>
      </x:c>
      <x:c r="AH126" s="5" t="str">
        <x:f>"온도|"&amp;M126</x:f>
        <x:v>온도|온대</x:v>
      </x:c>
      <x:c r="AI126" s="5" t="str">
        <x:f>"습도|"&amp;N126</x:f>
        <x:v>습도|보통</x:v>
      </x:c>
      <x:c r="AJ126" s="5" t="str">
        <x:f>"날씨|"&amp;O126</x:f>
        <x:v>날씨|무관</x:v>
      </x:c>
      <x:c r="AK126" s="5" t="str">
        <x:f>"특수태그|"&amp;R126</x:f>
        <x:v>특수태그|없음</x:v>
      </x:c>
      <x:c r="AL126" s="5" t="str">
        <x:f>"원본서식지|"&amp;S126</x:f>
        <x:v>원본서식지|</x:v>
      </x:c>
      <x:c r="AM126" s="5" t="str">
        <x:f>"타입|"&amp;F126</x:f>
        <x:v>타입|에스퍼</x:v>
      </x:c>
      <x:c r="AN126" s="5" t="str">
        <x:f>"타입|"&amp;G126</x:f>
        <x:v>타입|페어리</x:v>
      </x:c>
    </x:row>
    <x:row r="127" ht="24" customHeight="1">
      <x:c r="A127" s="5" t="n">
        <x:v>123</x:v>
      </x:c>
      <x:c r="B127" s="5" t="inlineStr">
        <x:is>
          <x:t xml:space="preserve">스라크</x:t>
        </x:is>
      </x:c>
      <x:c r="C127" s="5" t="inlineStr">
        <x:is>
          <x:t xml:space="preserve">scyther</x:t>
        </x:is>
      </x:c>
      <x:c r="D127" s="5" t="inlineStr">
        <x:is>
          <x:t xml:space="preserve">Scyther</x:t>
        </x:is>
      </x:c>
      <x:c r="E127" s="5" t="n">
        <x:v>1</x:v>
      </x:c>
      <x:c r="F127" s="5" t="inlineStr">
        <x:is>
          <x:t xml:space="preserve">벌레</x:t>
        </x:is>
      </x:c>
      <x:c r="G127" s="5" t="inlineStr">
        <x:is>
          <x:t xml:space="preserve">비행</x:t>
        </x:is>
      </x:c>
      <x:c r="H127" s="6" t="n">
        <x:v>56</x:v>
      </x:c>
      <x:c r="I127" s="5" t="n"/>
      <x:c r="J127" s="5" t="inlineStr">
        <x:is>
          <x:t xml:space="preserve">기본</x:t>
        </x:is>
      </x:c>
      <x:c r="K127" s="7" t="inlineStr">
        <x:is>
          <x:t xml:space="preserve">비행</x:t>
        </x:is>
      </x:c>
      <x:c r="L127" s="7" t="inlineStr">
        <x:is>
          <x:t xml:space="preserve">수목</x:t>
        </x:is>
      </x:c>
      <x:c r="M127" s="7" t="inlineStr">
        <x:is>
          <x:t xml:space="preserve">온대</x:t>
        </x:is>
      </x:c>
      <x:c r="N127" s="7" t="inlineStr">
        <x:is>
          <x:t xml:space="preserve">다습</x:t>
        </x:is>
      </x:c>
      <x:c r="O127" s="7" t="inlineStr">
        <x:is>
          <x:t xml:space="preserve">무관</x:t>
        </x:is>
      </x:c>
      <x:c r="P127" s="7" t="inlineStr">
        <x:is>
          <x:t xml:space="preserve">낮</x:t>
        </x:is>
      </x:c>
      <x:c r="Q127" s="7" t="inlineStr">
        <x:is>
          <x:t xml:space="preserve">보통</x:t>
        </x:is>
      </x:c>
      <x:c r="R127" s="7" t="inlineStr">
        <x:is>
          <x:t xml:space="preserve">없음</x:t>
        </x:is>
      </x:c>
      <x:c r="S127" s="7" t="inlineStr">
        <x:is>
          <x:t xml:space="preserve">숲</x:t>
        </x:is>
      </x:c>
      <x:c r="T127" s="7" t="inlineStr">
        <x:is>
          <x:t xml:space="preserve"/>
        </x:is>
      </x:c>
      <x:c r="U127" s="8" t="str">
        <x:f>INDEX('서식지_점수'!$E$4:$P$4,1,MATCH(MAX('서식지_점수'!E127:P127),'서식지_점수'!E127:P127,0))</x:f>
        <x:v>산악</x:v>
      </x:c>
      <x:c r="V127" s="8" t="str">
        <x:f>IF(T127&lt;&gt;"",T127,U127)</x:f>
        <x:v>산악</x:v>
      </x:c>
      <x:c r="W127" s="8" t="str">
        <x:f>IFERROR(INDEX('서식지_점수'!$E$4:$P$4,1,MATCH(MAXIFS('서식지_점수'!E127:P127,'서식지_점수'!E127:P127,"&lt;"&amp;MAX('서식지_점수'!E127:P127)),'서식지_점수'!E127:P127,0)),"")</x:f>
        <x:v>평원</x:v>
      </x:c>
      <x:c r="X127" s="8" t="str">
        <x:f>IF(T127&lt;&gt;"","수동확정",IF(MAX('서식지_점수'!E127:P127)-LARGE('서식지_점수'!E127:P127,2)&gt;=15,"높음",IF(MAX('서식지_점수'!E127:P127)-LARGE('서식지_점수'!E127:P127,2)&gt;=8,"보통","검토필요")))</x:f>
        <x:v>검토필요</x:v>
      </x:c>
      <x:c r="Y127" s="9" t="n">
        <x:f>IF(Q127="전설",8,IF(Q127="희귀",7,IF(J127="기본",1,IF(J127="중간",3,IF(J127="최종",IF(I127="",5,IF(I127&lt;=20,3,IF(I127&lt;=35,4,IF(I127&lt;=50,6,7)))),IF(Q127="드묾",4,2))))))</x:f>
        <x:v>1</x:v>
      </x:c>
      <x:c r="Z127" s="5" t="inlineStr">
        <x:is>
          <x:t xml:space="preserve">#cobblemon:is_forest; #cobblemon:is_hills; #cobblemon:is_jungle; aether:skyroot_forest; aether:skyroot_woodland</x:t>
        </x:is>
      </x:c>
      <x:c r="AA127" s="5" t="inlineStr">
        <x:is>
          <x:t xml:space="preserve">rare; uncommon</x:t>
        </x:is>
      </x:c>
      <x:c r="AB127" s="5" t="inlineStr">
        <x:is>
          <x:t xml:space="preserve">예</x:t>
        </x:is>
      </x:c>
      <x:c r="AC127" s="8" t="str">
        <x:f>IF(T127&lt;&gt;"","수동확정",IF(X127="검토필요","검토필요",IF(S127="","원본없음","초기완료")))</x:f>
        <x:v>검토필요</x:v>
      </x:c>
      <x:c r="AD127" s="7" t="inlineStr">
        <x:is>
          <x:t xml:space="preserve"/>
        </x:is>
      </x:c>
      <x:c r="AE127" s="5" t="inlineStr">
        <x:is>
          <x:t xml:space="preserve">.tmp/cobblemon-1.7.3-source/common/src/main/resources/data/cobblemon/species/generation1/scyther.json</x:t>
        </x:is>
      </x:c>
      <x:c r="AF127" s="5" t="str">
        <x:f>"생활권|"&amp;K127</x:f>
        <x:v>생활권|비행</x:v>
      </x:c>
      <x:c r="AG127" s="5" t="str">
        <x:f>"지형|"&amp;L127</x:f>
        <x:v>지형|수목</x:v>
      </x:c>
      <x:c r="AH127" s="5" t="str">
        <x:f>"온도|"&amp;M127</x:f>
        <x:v>온도|온대</x:v>
      </x:c>
      <x:c r="AI127" s="5" t="str">
        <x:f>"습도|"&amp;N127</x:f>
        <x:v>습도|다습</x:v>
      </x:c>
      <x:c r="AJ127" s="5" t="str">
        <x:f>"날씨|"&amp;O127</x:f>
        <x:v>날씨|무관</x:v>
      </x:c>
      <x:c r="AK127" s="5" t="str">
        <x:f>"특수태그|"&amp;R127</x:f>
        <x:v>특수태그|없음</x:v>
      </x:c>
      <x:c r="AL127" s="5" t="str">
        <x:f>"원본서식지|"&amp;S127</x:f>
        <x:v>원본서식지|숲</x:v>
      </x:c>
      <x:c r="AM127" s="5" t="str">
        <x:f>"타입|"&amp;F127</x:f>
        <x:v>타입|벌레</x:v>
      </x:c>
      <x:c r="AN127" s="5" t="str">
        <x:f>"타입|"&amp;G127</x:f>
        <x:v>타입|비행</x:v>
      </x:c>
    </x:row>
    <x:row r="128" ht="24" customHeight="1">
      <x:c r="A128" s="5" t="n">
        <x:v>124</x:v>
      </x:c>
      <x:c r="B128" s="5" t="inlineStr">
        <x:is>
          <x:t xml:space="preserve">루주라</x:t>
        </x:is>
      </x:c>
      <x:c r="C128" s="5" t="inlineStr">
        <x:is>
          <x:t xml:space="preserve">jynx</x:t>
        </x:is>
      </x:c>
      <x:c r="D128" s="5" t="inlineStr">
        <x:is>
          <x:t xml:space="preserve">Jynx</x:t>
        </x:is>
      </x:c>
      <x:c r="E128" s="5" t="n">
        <x:v>1</x:v>
      </x:c>
      <x:c r="F128" s="5" t="inlineStr">
        <x:is>
          <x:t xml:space="preserve">얼음</x:t>
        </x:is>
      </x:c>
      <x:c r="G128" s="5" t="inlineStr">
        <x:is>
          <x:t xml:space="preserve">에스퍼</x:t>
        </x:is>
      </x:c>
      <x:c r="H128" s="6" t="n">
        <x:v>40.6</x:v>
      </x:c>
      <x:c r="I128" s="5" t="n">
        <x:v>30</x:v>
      </x:c>
      <x:c r="J128" s="5" t="inlineStr">
        <x:is>
          <x:t xml:space="preserve">최종</x:t>
        </x:is>
      </x:c>
      <x:c r="K128" s="7" t="inlineStr">
        <x:is>
          <x:t xml:space="preserve">육상</x:t>
        </x:is>
      </x:c>
      <x:c r="L128" s="7" t="inlineStr">
        <x:is>
          <x:t xml:space="preserve">설원</x:t>
        </x:is>
      </x:c>
      <x:c r="M128" s="7" t="inlineStr">
        <x:is>
          <x:t xml:space="preserve">한랭</x:t>
        </x:is>
      </x:c>
      <x:c r="N128" s="7" t="inlineStr">
        <x:is>
          <x:t xml:space="preserve">보통</x:t>
        </x:is>
      </x:c>
      <x:c r="O128" s="7" t="inlineStr">
        <x:is>
          <x:t xml:space="preserve">무관</x:t>
        </x:is>
      </x:c>
      <x:c r="P128" s="7" t="inlineStr">
        <x:is>
          <x:t xml:space="preserve">무관</x:t>
        </x:is>
      </x:c>
      <x:c r="Q128" s="7" t="inlineStr">
        <x:is>
          <x:t xml:space="preserve">보통</x:t>
        </x:is>
      </x:c>
      <x:c r="R128" s="7" t="inlineStr">
        <x:is>
          <x:t xml:space="preserve">없음</x:t>
        </x:is>
      </x:c>
      <x:c r="S128" s="7" t="inlineStr">
        <x:is>
          <x:t xml:space="preserve"/>
        </x:is>
      </x:c>
      <x:c r="T128" s="7" t="inlineStr">
        <x:is>
          <x:t xml:space="preserve"/>
        </x:is>
      </x:c>
      <x:c r="U128" s="8" t="str">
        <x:f>INDEX('서식지_점수'!$E$4:$P$4,1,MATCH(MAX('서식지_점수'!E128:P128),'서식지_점수'!E128:P128,0))</x:f>
        <x:v>평원</x:v>
      </x:c>
      <x:c r="V128" s="8" t="str">
        <x:f>IF(T128&lt;&gt;"",T128,U128)</x:f>
        <x:v>평원</x:v>
      </x:c>
      <x:c r="W128" s="8" t="str">
        <x:f>IFERROR(INDEX('서식지_점수'!$E$4:$P$4,1,MATCH(MAXIFS('서식지_점수'!E128:P128,'서식지_점수'!E128:P128,"&lt;"&amp;MAX('서식지_점수'!E128:P128)),'서식지_점수'!E128:P128,0)),"")</x:f>
        <x:v>숲</x:v>
      </x:c>
      <x:c r="X128" s="8" t="str">
        <x:f>IF(T128&lt;&gt;"","수동확정",IF(MAX('서식지_점수'!E128:P128)-LARGE('서식지_점수'!E128:P128,2)&gt;=15,"높음",IF(MAX('서식지_점수'!E128:P128)-LARGE('서식지_점수'!E128:P128,2)&gt;=8,"보통","검토필요")))</x:f>
        <x:v>검토필요</x:v>
      </x:c>
      <x:c r="Y128" s="9" t="n">
        <x:f>IF(Q128="전설",8,IF(Q128="희귀",7,IF(J128="기본",1,IF(J128="중간",3,IF(J128="최종",IF(I128="",5,IF(I128&lt;=20,3,IF(I128&lt;=35,4,IF(I128&lt;=50,6,7)))),IF(Q128="드묾",4,2))))))</x:f>
        <x:v>4</x:v>
      </x:c>
      <x:c r="Z128" s="5" t="inlineStr">
        <x:is>
          <x:t xml:space="preserve">#cobblemon:is_freezing</x:t>
        </x:is>
      </x:c>
      <x:c r="AA128" s="5" t="inlineStr">
        <x:is>
          <x:t xml:space="preserve">uncommon</x:t>
        </x:is>
      </x:c>
      <x:c r="AB128" s="5" t="inlineStr">
        <x:is>
          <x:t xml:space="preserve">예</x:t>
        </x:is>
      </x:c>
      <x:c r="AC128" s="8" t="str">
        <x:f>IF(T128&lt;&gt;"","수동확정",IF(X128="검토필요","검토필요",IF(S128="","원본없음","초기완료")))</x:f>
        <x:v>검토필요</x:v>
      </x:c>
      <x:c r="AD128" s="7" t="inlineStr">
        <x:is>
          <x:t xml:space="preserve"/>
        </x:is>
      </x:c>
      <x:c r="AE128" s="5" t="inlineStr">
        <x:is>
          <x:t xml:space="preserve">.tmp/cobblemon-1.7.3-source/common/src/main/resources/data/cobblemon/species/generation1/jynx.json</x:t>
        </x:is>
      </x:c>
      <x:c r="AF128" s="5" t="str">
        <x:f>"생활권|"&amp;K128</x:f>
        <x:v>생활권|육상</x:v>
      </x:c>
      <x:c r="AG128" s="5" t="str">
        <x:f>"지형|"&amp;L128</x:f>
        <x:v>지형|설원</x:v>
      </x:c>
      <x:c r="AH128" s="5" t="str">
        <x:f>"온도|"&amp;M128</x:f>
        <x:v>온도|한랭</x:v>
      </x:c>
      <x:c r="AI128" s="5" t="str">
        <x:f>"습도|"&amp;N128</x:f>
        <x:v>습도|보통</x:v>
      </x:c>
      <x:c r="AJ128" s="5" t="str">
        <x:f>"날씨|"&amp;O128</x:f>
        <x:v>날씨|무관</x:v>
      </x:c>
      <x:c r="AK128" s="5" t="str">
        <x:f>"특수태그|"&amp;R128</x:f>
        <x:v>특수태그|없음</x:v>
      </x:c>
      <x:c r="AL128" s="5" t="str">
        <x:f>"원본서식지|"&amp;S128</x:f>
        <x:v>원본서식지|</x:v>
      </x:c>
      <x:c r="AM128" s="5" t="str">
        <x:f>"타입|"&amp;F128</x:f>
        <x:v>타입|얼음</x:v>
      </x:c>
      <x:c r="AN128" s="5" t="str">
        <x:f>"타입|"&amp;G128</x:f>
        <x:v>타입|에스퍼</x:v>
      </x:c>
    </x:row>
    <x:row r="129" ht="24" customHeight="1">
      <x:c r="A129" s="5" t="n">
        <x:v>125</x:v>
      </x:c>
      <x:c r="B129" s="5" t="inlineStr">
        <x:is>
          <x:t xml:space="preserve">에레브</x:t>
        </x:is>
      </x:c>
      <x:c r="C129" s="5" t="inlineStr">
        <x:is>
          <x:t xml:space="preserve">electabuzz</x:t>
        </x:is>
      </x:c>
      <x:c r="D129" s="5" t="inlineStr">
        <x:is>
          <x:t xml:space="preserve">Electabuzz</x:t>
        </x:is>
      </x:c>
      <x:c r="E129" s="5" t="n">
        <x:v>1</x:v>
      </x:c>
      <x:c r="F129" s="5" t="inlineStr">
        <x:is>
          <x:t xml:space="preserve">전기</x:t>
        </x:is>
      </x:c>
      <x:c r="G129" s="5" t="inlineStr">
        <x:is>
          <x:t xml:space="preserve"/>
        </x:is>
      </x:c>
      <x:c r="H129" s="6" t="n">
        <x:v>30</x:v>
      </x:c>
      <x:c r="I129" s="5" t="n">
        <x:v>30</x:v>
      </x:c>
      <x:c r="J129" s="5" t="inlineStr">
        <x:is>
          <x:t xml:space="preserve">중간</x:t>
        </x:is>
      </x:c>
      <x:c r="K129" s="7" t="inlineStr">
        <x:is>
          <x:t xml:space="preserve">육상</x:t>
        </x:is>
      </x:c>
      <x:c r="L129" s="7" t="inlineStr">
        <x:is>
          <x:t xml:space="preserve">암석</x:t>
        </x:is>
      </x:c>
      <x:c r="M129" s="7" t="inlineStr">
        <x:is>
          <x:t xml:space="preserve">온대</x:t>
        </x:is>
      </x:c>
      <x:c r="N129" s="7" t="inlineStr">
        <x:is>
          <x:t xml:space="preserve">보통</x:t>
        </x:is>
      </x:c>
      <x:c r="O129" s="7" t="inlineStr">
        <x:is>
          <x:t xml:space="preserve">무관</x:t>
        </x:is>
      </x:c>
      <x:c r="P129" s="7" t="inlineStr">
        <x:is>
          <x:t xml:space="preserve">무관</x:t>
        </x:is>
      </x:c>
      <x:c r="Q129" s="7" t="inlineStr">
        <x:is>
          <x:t xml:space="preserve">보통</x:t>
        </x:is>
      </x:c>
      <x:c r="R129" s="7" t="inlineStr">
        <x:is>
          <x:t xml:space="preserve">없음</x:t>
        </x:is>
      </x:c>
      <x:c r="S129" s="7" t="inlineStr">
        <x:is>
          <x:t xml:space="preserve">산악</x:t>
        </x:is>
      </x:c>
      <x:c r="T129" s="7" t="inlineStr">
        <x:is>
          <x:t xml:space="preserve"/>
        </x:is>
      </x:c>
      <x:c r="U129" s="8" t="str">
        <x:f>INDEX('서식지_점수'!$E$4:$P$4,1,MATCH(MAX('서식지_점수'!E129:P129),'서식지_점수'!E129:P129,0))</x:f>
        <x:v>평원</x:v>
      </x:c>
      <x:c r="V129" s="8" t="str">
        <x:f>IF(T129&lt;&gt;"",T129,U129)</x:f>
        <x:v>평원</x:v>
      </x:c>
      <x:c r="W129" s="8" t="str">
        <x:f>IFERROR(INDEX('서식지_점수'!$E$4:$P$4,1,MATCH(MAXIFS('서식지_점수'!E129:P129,'서식지_점수'!E129:P129,"&lt;"&amp;MAX('서식지_점수'!E129:P129)),'서식지_점수'!E129:P129,0)),"")</x:f>
        <x:v>숲</x:v>
      </x:c>
      <x:c r="X129" s="8" t="str">
        <x:f>IF(T129&lt;&gt;"","수동확정",IF(MAX('서식지_점수'!E129:P129)-LARGE('서식지_점수'!E129:P129,2)&gt;=15,"높음",IF(MAX('서식지_점수'!E129:P129)-LARGE('서식지_점수'!E129:P129,2)&gt;=8,"보통","검토필요")))</x:f>
        <x:v>검토필요</x:v>
      </x:c>
      <x:c r="Y129" s="9" t="n">
        <x:f>IF(Q129="전설",8,IF(Q129="희귀",7,IF(J129="기본",1,IF(J129="중간",3,IF(J129="최종",IF(I129="",5,IF(I129&lt;=20,3,IF(I129&lt;=35,4,IF(I129&lt;=50,6,7)))),IF(Q129="드묾",4,2))))))</x:f>
        <x:v>3</x:v>
      </x:c>
      <x:c r="Z129" s="5" t="inlineStr">
        <x:is>
          <x:t xml:space="preserve">#cobblemon:is_hills; #cobblemon:is_plains</x:t>
        </x:is>
      </x:c>
      <x:c r="AA129" s="5" t="inlineStr">
        <x:is>
          <x:t xml:space="preserve">uncommon</x:t>
        </x:is>
      </x:c>
      <x:c r="AB129" s="5" t="inlineStr">
        <x:is>
          <x:t xml:space="preserve">예</x:t>
        </x:is>
      </x:c>
      <x:c r="AC129" s="8" t="str">
        <x:f>IF(T129&lt;&gt;"","수동확정",IF(X129="검토필요","검토필요",IF(S129="","원본없음","초기완료")))</x:f>
        <x:v>검토필요</x:v>
      </x:c>
      <x:c r="AD129" s="7" t="inlineStr">
        <x:is>
          <x:t xml:space="preserve"/>
        </x:is>
      </x:c>
      <x:c r="AE129" s="5" t="inlineStr">
        <x:is>
          <x:t xml:space="preserve">.tmp/cobblemon-1.7.3-source/common/src/main/resources/data/cobblemon/species/generation1/electabuzz.json</x:t>
        </x:is>
      </x:c>
      <x:c r="AF129" s="5" t="str">
        <x:f>"생활권|"&amp;K129</x:f>
        <x:v>생활권|육상</x:v>
      </x:c>
      <x:c r="AG129" s="5" t="str">
        <x:f>"지형|"&amp;L129</x:f>
        <x:v>지형|암석</x:v>
      </x:c>
      <x:c r="AH129" s="5" t="str">
        <x:f>"온도|"&amp;M129</x:f>
        <x:v>온도|온대</x:v>
      </x:c>
      <x:c r="AI129" s="5" t="str">
        <x:f>"습도|"&amp;N129</x:f>
        <x:v>습도|보통</x:v>
      </x:c>
      <x:c r="AJ129" s="5" t="str">
        <x:f>"날씨|"&amp;O129</x:f>
        <x:v>날씨|무관</x:v>
      </x:c>
      <x:c r="AK129" s="5" t="str">
        <x:f>"특수태그|"&amp;R129</x:f>
        <x:v>특수태그|없음</x:v>
      </x:c>
      <x:c r="AL129" s="5" t="str">
        <x:f>"원본서식지|"&amp;S129</x:f>
        <x:v>원본서식지|산악</x:v>
      </x:c>
      <x:c r="AM129" s="5" t="str">
        <x:f>"타입|"&amp;F129</x:f>
        <x:v>타입|전기</x:v>
      </x:c>
      <x:c r="AN129" s="5" t="str">
        <x:f>"타입|"&amp;G129</x:f>
        <x:v>타입|</x:v>
      </x:c>
    </x:row>
    <x:row r="130" ht="24" customHeight="1">
      <x:c r="A130" s="5" t="n">
        <x:v>126</x:v>
      </x:c>
      <x:c r="B130" s="5" t="inlineStr">
        <x:is>
          <x:t xml:space="preserve">마그마</x:t>
        </x:is>
      </x:c>
      <x:c r="C130" s="5" t="inlineStr">
        <x:is>
          <x:t xml:space="preserve">magmar</x:t>
        </x:is>
      </x:c>
      <x:c r="D130" s="5" t="inlineStr">
        <x:is>
          <x:t xml:space="preserve">Magmar</x:t>
        </x:is>
      </x:c>
      <x:c r="E130" s="5" t="n">
        <x:v>1</x:v>
      </x:c>
      <x:c r="F130" s="5" t="inlineStr">
        <x:is>
          <x:t xml:space="preserve">불꽃</x:t>
        </x:is>
      </x:c>
      <x:c r="G130" s="5" t="inlineStr">
        <x:is>
          <x:t xml:space="preserve"/>
        </x:is>
      </x:c>
      <x:c r="H130" s="6" t="n">
        <x:v>44.5</x:v>
      </x:c>
      <x:c r="I130" s="5" t="n">
        <x:v>30</x:v>
      </x:c>
      <x:c r="J130" s="5" t="inlineStr">
        <x:is>
          <x:t xml:space="preserve">중간</x:t>
        </x:is>
      </x:c>
      <x:c r="K130" s="7" t="inlineStr">
        <x:is>
          <x:t xml:space="preserve">육상</x:t>
        </x:is>
      </x:c>
      <x:c r="L130" s="7" t="inlineStr">
        <x:is>
          <x:t xml:space="preserve">화산</x:t>
        </x:is>
      </x:c>
      <x:c r="M130" s="7" t="inlineStr">
        <x:is>
          <x:t xml:space="preserve">고온</x:t>
        </x:is>
      </x:c>
      <x:c r="N130" s="7" t="inlineStr">
        <x:is>
          <x:t xml:space="preserve">건조</x:t>
        </x:is>
      </x:c>
      <x:c r="O130" s="7" t="inlineStr">
        <x:is>
          <x:t xml:space="preserve">맑음</x:t>
        </x:is>
      </x:c>
      <x:c r="P130" s="7" t="inlineStr">
        <x:is>
          <x:t xml:space="preserve">무관</x:t>
        </x:is>
      </x:c>
      <x:c r="Q130" s="7" t="inlineStr">
        <x:is>
          <x:t xml:space="preserve">흔함</x:t>
        </x:is>
      </x:c>
      <x:c r="R130" s="7" t="inlineStr">
        <x:is>
          <x:t xml:space="preserve">화산</x:t>
        </x:is>
      </x:c>
      <x:c r="S130" s="7" t="inlineStr">
        <x:is>
          <x:t xml:space="preserve">화산</x:t>
        </x:is>
      </x:c>
      <x:c r="T130" s="7" t="inlineStr">
        <x:is>
          <x:t xml:space="preserve"/>
        </x:is>
      </x:c>
      <x:c r="U130" s="8" t="str">
        <x:f>INDEX('서식지_점수'!$E$4:$P$4,1,MATCH(MAX('서식지_점수'!E130:P130),'서식지_점수'!E130:P130,0))</x:f>
        <x:v>평원</x:v>
      </x:c>
      <x:c r="V130" s="8" t="str">
        <x:f>IF(T130&lt;&gt;"",T130,U130)</x:f>
        <x:v>평원</x:v>
      </x:c>
      <x:c r="W130" s="8" t="str">
        <x:f>IFERROR(INDEX('서식지_점수'!$E$4:$P$4,1,MATCH(MAXIFS('서식지_점수'!E130:P130,'서식지_점수'!E130:P130,"&lt;"&amp;MAX('서식지_점수'!E130:P130)),'서식지_점수'!E130:P130,0)),"")</x:f>
        <x:v>숲</x:v>
      </x:c>
      <x:c r="X130" s="8" t="str">
        <x:f>IF(T130&lt;&gt;"","수동확정",IF(MAX('서식지_점수'!E130:P130)-LARGE('서식지_점수'!E130:P130,2)&gt;=15,"높음",IF(MAX('서식지_점수'!E130:P130)-LARGE('서식지_점수'!E130:P130,2)&gt;=8,"보통","검토필요")))</x:f>
        <x:v>검토필요</x:v>
      </x:c>
      <x:c r="Y130" s="9" t="n">
        <x:f>IF(Q130="전설",8,IF(Q130="희귀",7,IF(J130="기본",1,IF(J130="중간",3,IF(J130="최종",IF(I130="",5,IF(I130&lt;=20,3,IF(I130&lt;=35,4,IF(I130&lt;=50,6,7)))),IF(Q130="드묾",4,2))))))</x:f>
        <x:v>3</x:v>
      </x:c>
      <x:c r="Z130" s="5" t="inlineStr">
        <x:is>
          <x:t xml:space="preserve">#cobblemon:is_hills; #cobblemon:is_volcanic; #cobblemon:nether/is_basalt; #cobblemon:nether/is_wasteland</x:t>
        </x:is>
      </x:c>
      <x:c r="AA130" s="5" t="inlineStr">
        <x:is>
          <x:t xml:space="preserve">common</x:t>
        </x:is>
      </x:c>
      <x:c r="AB130" s="5" t="inlineStr">
        <x:is>
          <x:t xml:space="preserve">예</x:t>
        </x:is>
      </x:c>
      <x:c r="AC130" s="8" t="str">
        <x:f>IF(T130&lt;&gt;"","수동확정",IF(X130="검토필요","검토필요",IF(S130="","원본없음","초기완료")))</x:f>
        <x:v>검토필요</x:v>
      </x:c>
      <x:c r="AD130" s="7" t="inlineStr">
        <x:is>
          <x:t xml:space="preserve"/>
        </x:is>
      </x:c>
      <x:c r="AE130" s="5" t="inlineStr">
        <x:is>
          <x:t xml:space="preserve">.tmp/cobblemon-1.7.3-source/common/src/main/resources/data/cobblemon/species/generation1/magmar.json</x:t>
        </x:is>
      </x:c>
      <x:c r="AF130" s="5" t="str">
        <x:f>"생활권|"&amp;K130</x:f>
        <x:v>생활권|육상</x:v>
      </x:c>
      <x:c r="AG130" s="5" t="str">
        <x:f>"지형|"&amp;L130</x:f>
        <x:v>지형|화산</x:v>
      </x:c>
      <x:c r="AH130" s="5" t="str">
        <x:f>"온도|"&amp;M130</x:f>
        <x:v>온도|고온</x:v>
      </x:c>
      <x:c r="AI130" s="5" t="str">
        <x:f>"습도|"&amp;N130</x:f>
        <x:v>습도|건조</x:v>
      </x:c>
      <x:c r="AJ130" s="5" t="str">
        <x:f>"날씨|"&amp;O130</x:f>
        <x:v>날씨|맑음</x:v>
      </x:c>
      <x:c r="AK130" s="5" t="str">
        <x:f>"특수태그|"&amp;R130</x:f>
        <x:v>특수태그|화산</x:v>
      </x:c>
      <x:c r="AL130" s="5" t="str">
        <x:f>"원본서식지|"&amp;S130</x:f>
        <x:v>원본서식지|화산</x:v>
      </x:c>
      <x:c r="AM130" s="5" t="str">
        <x:f>"타입|"&amp;F130</x:f>
        <x:v>타입|불꽃</x:v>
      </x:c>
      <x:c r="AN130" s="5" t="str">
        <x:f>"타입|"&amp;G130</x:f>
        <x:v>타입|</x:v>
      </x:c>
    </x:row>
    <x:row r="131" ht="24" customHeight="1">
      <x:c r="A131" s="5" t="n">
        <x:v>127</x:v>
      </x:c>
      <x:c r="B131" s="5" t="inlineStr">
        <x:is>
          <x:t xml:space="preserve">쁘사이저</x:t>
        </x:is>
      </x:c>
      <x:c r="C131" s="5" t="inlineStr">
        <x:is>
          <x:t xml:space="preserve">pinsir</x:t>
        </x:is>
      </x:c>
      <x:c r="D131" s="5" t="inlineStr">
        <x:is>
          <x:t xml:space="preserve">Pinsir</x:t>
        </x:is>
      </x:c>
      <x:c r="E131" s="5" t="n">
        <x:v>1</x:v>
      </x:c>
      <x:c r="F131" s="5" t="inlineStr">
        <x:is>
          <x:t xml:space="preserve">벌레</x:t>
        </x:is>
      </x:c>
      <x:c r="G131" s="5" t="inlineStr">
        <x:is>
          <x:t xml:space="preserve"/>
        </x:is>
      </x:c>
      <x:c r="H131" s="6" t="n">
        <x:v>55</x:v>
      </x:c>
      <x:c r="I131" s="5" t="n"/>
      <x:c r="J131" s="5" t="inlineStr">
        <x:is>
          <x:t xml:space="preserve">무진화</x:t>
        </x:is>
      </x:c>
      <x:c r="K131" s="7" t="inlineStr">
        <x:is>
          <x:t xml:space="preserve">육상</x:t>
        </x:is>
      </x:c>
      <x:c r="L131" s="7" t="inlineStr">
        <x:is>
          <x:t xml:space="preserve">수목</x:t>
        </x:is>
      </x:c>
      <x:c r="M131" s="7" t="inlineStr">
        <x:is>
          <x:t xml:space="preserve">온대</x:t>
        </x:is>
      </x:c>
      <x:c r="N131" s="7" t="inlineStr">
        <x:is>
          <x:t xml:space="preserve">다습</x:t>
        </x:is>
      </x:c>
      <x:c r="O131" s="7" t="inlineStr">
        <x:is>
          <x:t xml:space="preserve">무관</x:t>
        </x:is>
      </x:c>
      <x:c r="P131" s="7" t="inlineStr">
        <x:is>
          <x:t xml:space="preserve">무관</x:t>
        </x:is>
      </x:c>
      <x:c r="Q131" s="7" t="inlineStr">
        <x:is>
          <x:t xml:space="preserve">보통</x:t>
        </x:is>
      </x:c>
      <x:c r="R131" s="7" t="inlineStr">
        <x:is>
          <x:t xml:space="preserve">없음</x:t>
        </x:is>
      </x:c>
      <x:c r="S131" s="7" t="inlineStr">
        <x:is>
          <x:t xml:space="preserve">숲</x:t>
        </x:is>
      </x:c>
      <x:c r="T131" s="7" t="inlineStr">
        <x:is>
          <x:t xml:space="preserve"/>
        </x:is>
      </x:c>
      <x:c r="U131" s="8" t="str">
        <x:f>INDEX('서식지_점수'!$E$4:$P$4,1,MATCH(MAX('서식지_점수'!E131:P131),'서식지_점수'!E131:P131,0))</x:f>
        <x:v>평원</x:v>
      </x:c>
      <x:c r="V131" s="8" t="str">
        <x:f>IF(T131&lt;&gt;"",T131,U131)</x:f>
        <x:v>평원</x:v>
      </x:c>
      <x:c r="W131" s="8" t="str">
        <x:f>IFERROR(INDEX('서식지_점수'!$E$4:$P$4,1,MATCH(MAXIFS('서식지_점수'!E131:P131,'서식지_점수'!E131:P131,"&lt;"&amp;MAX('서식지_점수'!E131:P131)),'서식지_점수'!E131:P131,0)),"")</x:f>
        <x:v>숲</x:v>
      </x:c>
      <x:c r="X131" s="8" t="str">
        <x:f>IF(T131&lt;&gt;"","수동확정",IF(MAX('서식지_점수'!E131:P131)-LARGE('서식지_점수'!E131:P131,2)&gt;=15,"높음",IF(MAX('서식지_점수'!E131:P131)-LARGE('서식지_점수'!E131:P131,2)&gt;=8,"보통","검토필요")))</x:f>
        <x:v>검토필요</x:v>
      </x:c>
      <x:c r="Y131" s="9" t="n">
        <x:f>IF(Q131="전설",8,IF(Q131="희귀",7,IF(J131="기본",1,IF(J131="중간",3,IF(J131="최종",IF(I131="",5,IF(I131&lt;=20,3,IF(I131&lt;=35,4,IF(I131&lt;=50,6,7)))),IF(Q131="드묾",4,2))))))</x:f>
        <x:v>2</x:v>
      </x:c>
      <x:c r="Z131" s="5" t="inlineStr">
        <x:is>
          <x:t xml:space="preserve">#aether:is_aether; #cobblemon:is_jungle; #cobblemon:is_overworld; #cobblemon:is_tropical_island; aether:skyroot_forest; aether:skyroot_woodland</x:t>
        </x:is>
      </x:c>
      <x:c r="AA131" s="5" t="inlineStr">
        <x:is>
          <x:t xml:space="preserve">rare; uncommon</x:t>
        </x:is>
      </x:c>
      <x:c r="AB131" s="5" t="inlineStr">
        <x:is>
          <x:t xml:space="preserve">예</x:t>
        </x:is>
      </x:c>
      <x:c r="AC131" s="8" t="str">
        <x:f>IF(T131&lt;&gt;"","수동확정",IF(X131="검토필요","검토필요",IF(S131="","원본없음","초기완료")))</x:f>
        <x:v>검토필요</x:v>
      </x:c>
      <x:c r="AD131" s="7" t="inlineStr">
        <x:is>
          <x:t xml:space="preserve"/>
        </x:is>
      </x:c>
      <x:c r="AE131" s="5" t="inlineStr">
        <x:is>
          <x:t xml:space="preserve">.tmp/cobblemon-1.7.3-source/common/src/main/resources/data/cobblemon/species/generation1/pinsir.json</x:t>
        </x:is>
      </x:c>
      <x:c r="AF131" s="5" t="str">
        <x:f>"생활권|"&amp;K131</x:f>
        <x:v>생활권|육상</x:v>
      </x:c>
      <x:c r="AG131" s="5" t="str">
        <x:f>"지형|"&amp;L131</x:f>
        <x:v>지형|수목</x:v>
      </x:c>
      <x:c r="AH131" s="5" t="str">
        <x:f>"온도|"&amp;M131</x:f>
        <x:v>온도|온대</x:v>
      </x:c>
      <x:c r="AI131" s="5" t="str">
        <x:f>"습도|"&amp;N131</x:f>
        <x:v>습도|다습</x:v>
      </x:c>
      <x:c r="AJ131" s="5" t="str">
        <x:f>"날씨|"&amp;O131</x:f>
        <x:v>날씨|무관</x:v>
      </x:c>
      <x:c r="AK131" s="5" t="str">
        <x:f>"특수태그|"&amp;R131</x:f>
        <x:v>특수태그|없음</x:v>
      </x:c>
      <x:c r="AL131" s="5" t="str">
        <x:f>"원본서식지|"&amp;S131</x:f>
        <x:v>원본서식지|숲</x:v>
      </x:c>
      <x:c r="AM131" s="5" t="str">
        <x:f>"타입|"&amp;F131</x:f>
        <x:v>타입|벌레</x:v>
      </x:c>
      <x:c r="AN131" s="5" t="str">
        <x:f>"타입|"&amp;G131</x:f>
        <x:v>타입|</x:v>
      </x:c>
    </x:row>
    <x:row r="132" ht="24" customHeight="1">
      <x:c r="A132" s="5" t="n">
        <x:v>128</x:v>
      </x:c>
      <x:c r="B132" s="5" t="inlineStr">
        <x:is>
          <x:t xml:space="preserve">켄타로스</x:t>
        </x:is>
      </x:c>
      <x:c r="C132" s="5" t="inlineStr">
        <x:is>
          <x:t xml:space="preserve">tauros</x:t>
        </x:is>
      </x:c>
      <x:c r="D132" s="5" t="inlineStr">
        <x:is>
          <x:t xml:space="preserve">Tauros</x:t>
        </x:is>
      </x:c>
      <x:c r="E132" s="5" t="n">
        <x:v>1</x:v>
      </x:c>
      <x:c r="F132" s="5" t="inlineStr">
        <x:is>
          <x:t xml:space="preserve">노말</x:t>
        </x:is>
      </x:c>
      <x:c r="G132" s="5" t="inlineStr">
        <x:is>
          <x:t xml:space="preserve"/>
        </x:is>
      </x:c>
      <x:c r="H132" s="6" t="n">
        <x:v>88.40000000000001</x:v>
      </x:c>
      <x:c r="I132" s="5" t="n"/>
      <x:c r="J132" s="5" t="inlineStr">
        <x:is>
          <x:t xml:space="preserve">무진화</x:t>
        </x:is>
      </x:c>
      <x:c r="K132" s="7" t="inlineStr">
        <x:is>
          <x:t xml:space="preserve">육상</x:t>
        </x:is>
      </x:c>
      <x:c r="L132" s="7" t="inlineStr">
        <x:is>
          <x:t xml:space="preserve">암석</x:t>
        </x:is>
      </x:c>
      <x:c r="M132" s="7" t="inlineStr">
        <x:is>
          <x:t xml:space="preserve">온대</x:t>
        </x:is>
      </x:c>
      <x:c r="N132" s="7" t="inlineStr">
        <x:is>
          <x:t xml:space="preserve">보통</x:t>
        </x:is>
      </x:c>
      <x:c r="O132" s="7" t="inlineStr">
        <x:is>
          <x:t xml:space="preserve">무관</x:t>
        </x:is>
      </x:c>
      <x:c r="P132" s="7" t="inlineStr">
        <x:is>
          <x:t xml:space="preserve">무관</x:t>
        </x:is>
      </x:c>
      <x:c r="Q132" s="7" t="inlineStr">
        <x:is>
          <x:t xml:space="preserve">흔함</x:t>
        </x:is>
      </x:c>
      <x:c r="R132" s="7" t="inlineStr">
        <x:is>
          <x:t xml:space="preserve">없음</x:t>
        </x:is>
      </x:c>
      <x:c r="S132" s="7" t="inlineStr">
        <x:is>
          <x:t xml:space="preserve">산악</x:t>
        </x:is>
      </x:c>
      <x:c r="T132" s="7" t="inlineStr">
        <x:is>
          <x:t xml:space="preserve"/>
        </x:is>
      </x:c>
      <x:c r="U132" s="8" t="str">
        <x:f>INDEX('서식지_점수'!$E$4:$P$4,1,MATCH(MAX('서식지_점수'!E132:P132),'서식지_점수'!E132:P132,0))</x:f>
        <x:v>평원</x:v>
      </x:c>
      <x:c r="V132" s="8" t="str">
        <x:f>IF(T132&lt;&gt;"",T132,U132)</x:f>
        <x:v>평원</x:v>
      </x:c>
      <x:c r="W132" s="8" t="str">
        <x:f>IFERROR(INDEX('서식지_점수'!$E$4:$P$4,1,MATCH(MAXIFS('서식지_점수'!E132:P132,'서식지_점수'!E132:P132,"&lt;"&amp;MAX('서식지_점수'!E132:P132)),'서식지_점수'!E132:P132,0)),"")</x:f>
        <x:v>숲</x:v>
      </x:c>
      <x:c r="X132" s="8" t="str">
        <x:f>IF(T132&lt;&gt;"","수동확정",IF(MAX('서식지_점수'!E132:P132)-LARGE('서식지_점수'!E132:P132,2)&gt;=15,"높음",IF(MAX('서식지_점수'!E132:P132)-LARGE('서식지_점수'!E132:P132,2)&gt;=8,"보통","검토필요")))</x:f>
        <x:v>검토필요</x:v>
      </x:c>
      <x:c r="Y132" s="9" t="n">
        <x:f>IF(Q132="전설",8,IF(Q132="희귀",7,IF(J132="기본",1,IF(J132="중간",3,IF(J132="최종",IF(I132="",5,IF(I132&lt;=20,3,IF(I132&lt;=35,4,IF(I132&lt;=50,6,7)))),IF(Q132="드묾",4,2))))))</x:f>
        <x:v>2</x:v>
      </x:c>
      <x:c r="Z132" s="5" t="inlineStr">
        <x:is>
          <x:t xml:space="preserve">#cobblemon:is_grassland; #cobblemon:is_highlands</x:t>
        </x:is>
      </x:c>
      <x:c r="AA132" s="5" t="inlineStr">
        <x:is>
          <x:t xml:space="preserve">common</x:t>
        </x:is>
      </x:c>
      <x:c r="AB132" s="5" t="inlineStr">
        <x:is>
          <x:t xml:space="preserve">예</x:t>
        </x:is>
      </x:c>
      <x:c r="AC132" s="8" t="str">
        <x:f>IF(T132&lt;&gt;"","수동확정",IF(X132="검토필요","검토필요",IF(S132="","원본없음","초기완료")))</x:f>
        <x:v>검토필요</x:v>
      </x:c>
      <x:c r="AD132" s="7" t="inlineStr">
        <x:is>
          <x:t xml:space="preserve"/>
        </x:is>
      </x:c>
      <x:c r="AE132" s="5" t="inlineStr">
        <x:is>
          <x:t xml:space="preserve">.tmp/cobblemon-1.7.3-source/common/src/main/resources/data/cobblemon/species/generation1/tauros.json</x:t>
        </x:is>
      </x:c>
      <x:c r="AF132" s="5" t="str">
        <x:f>"생활권|"&amp;K132</x:f>
        <x:v>생활권|육상</x:v>
      </x:c>
      <x:c r="AG132" s="5" t="str">
        <x:f>"지형|"&amp;L132</x:f>
        <x:v>지형|암석</x:v>
      </x:c>
      <x:c r="AH132" s="5" t="str">
        <x:f>"온도|"&amp;M132</x:f>
        <x:v>온도|온대</x:v>
      </x:c>
      <x:c r="AI132" s="5" t="str">
        <x:f>"습도|"&amp;N132</x:f>
        <x:v>습도|보통</x:v>
      </x:c>
      <x:c r="AJ132" s="5" t="str">
        <x:f>"날씨|"&amp;O132</x:f>
        <x:v>날씨|무관</x:v>
      </x:c>
      <x:c r="AK132" s="5" t="str">
        <x:f>"특수태그|"&amp;R132</x:f>
        <x:v>특수태그|없음</x:v>
      </x:c>
      <x:c r="AL132" s="5" t="str">
        <x:f>"원본서식지|"&amp;S132</x:f>
        <x:v>원본서식지|산악</x:v>
      </x:c>
      <x:c r="AM132" s="5" t="str">
        <x:f>"타입|"&amp;F132</x:f>
        <x:v>타입|노말</x:v>
      </x:c>
      <x:c r="AN132" s="5" t="str">
        <x:f>"타입|"&amp;G132</x:f>
        <x:v>타입|</x:v>
      </x:c>
    </x:row>
    <x:row r="133" ht="24" customHeight="1">
      <x:c r="A133" s="5" t="n">
        <x:v>129</x:v>
      </x:c>
      <x:c r="B133" s="5" t="inlineStr">
        <x:is>
          <x:t xml:space="preserve">잉어킹</x:t>
        </x:is>
      </x:c>
      <x:c r="C133" s="5" t="inlineStr">
        <x:is>
          <x:t xml:space="preserve">magikarp</x:t>
        </x:is>
      </x:c>
      <x:c r="D133" s="5" t="inlineStr">
        <x:is>
          <x:t xml:space="preserve">Magikarp</x:t>
        </x:is>
      </x:c>
      <x:c r="E133" s="5" t="n">
        <x:v>1</x:v>
      </x:c>
      <x:c r="F133" s="5" t="inlineStr">
        <x:is>
          <x:t xml:space="preserve">물</x:t>
        </x:is>
      </x:c>
      <x:c r="G133" s="5" t="inlineStr">
        <x:is>
          <x:t xml:space="preserve"/>
        </x:is>
      </x:c>
      <x:c r="H133" s="6" t="n">
        <x:v>10</x:v>
      </x:c>
      <x:c r="I133" s="5" t="n">
        <x:v>20</x:v>
      </x:c>
      <x:c r="J133" s="5" t="inlineStr">
        <x:is>
          <x:t xml:space="preserve">기본</x:t>
        </x:is>
      </x:c>
      <x:c r="K133" s="7" t="inlineStr">
        <x:is>
          <x:t xml:space="preserve">해양</x:t>
        </x:is>
      </x:c>
      <x:c r="L133" s="7" t="inlineStr">
        <x:is>
          <x:t xml:space="preserve">해안·해양</x:t>
        </x:is>
      </x:c>
      <x:c r="M133" s="7" t="inlineStr">
        <x:is>
          <x:t xml:space="preserve">온대</x:t>
        </x:is>
      </x:c>
      <x:c r="N133" s="7" t="inlineStr">
        <x:is>
          <x:t xml:space="preserve">수중</x:t>
        </x:is>
      </x:c>
      <x:c r="O133" s="7" t="inlineStr">
        <x:is>
          <x:t xml:space="preserve">비</x:t>
        </x:is>
      </x:c>
      <x:c r="P133" s="7" t="inlineStr">
        <x:is>
          <x:t xml:space="preserve">무관</x:t>
        </x:is>
      </x:c>
      <x:c r="Q133" s="7" t="inlineStr">
        <x:is>
          <x:t xml:space="preserve">보통</x:t>
        </x:is>
      </x:c>
      <x:c r="R133" s="7" t="inlineStr">
        <x:is>
          <x:t xml:space="preserve">없음</x:t>
        </x:is>
      </x:c>
      <x:c r="S133" s="7" t="inlineStr">
        <x:is>
          <x:t xml:space="preserve">해양</x:t>
        </x:is>
      </x:c>
      <x:c r="T133" s="7" t="inlineStr">
        <x:is>
          <x:t xml:space="preserve"/>
        </x:is>
      </x:c>
      <x:c r="U133" s="8" t="str">
        <x:f>INDEX('서식지_점수'!$E$4:$P$4,1,MATCH(MAX('서식지_점수'!E133:P133),'서식지_점수'!E133:P133,0))</x:f>
        <x:v>해양</x:v>
      </x:c>
      <x:c r="V133" s="8" t="str">
        <x:f>IF(T133&lt;&gt;"",T133,U133)</x:f>
        <x:v>해양</x:v>
      </x:c>
      <x:c r="W133" s="8" t="str">
        <x:f>IFERROR(INDEX('서식지_점수'!$E$4:$P$4,1,MATCH(MAXIFS('서식지_점수'!E133:P133,'서식지_점수'!E133:P133,"&lt;"&amp;MAX('서식지_점수'!E133:P133)),'서식지_점수'!E133:P133,0)),"")</x:f>
        <x:v>습지</x:v>
      </x:c>
      <x:c r="X133" s="8" t="str">
        <x:f>IF(T133&lt;&gt;"","수동확정",IF(MAX('서식지_점수'!E133:P133)-LARGE('서식지_점수'!E133:P133,2)&gt;=15,"높음",IF(MAX('서식지_점수'!E133:P133)-LARGE('서식지_점수'!E133:P133,2)&gt;=8,"보통","검토필요")))</x:f>
        <x:v>높음</x:v>
      </x:c>
      <x:c r="Y133" s="9" t="n">
        <x:f>IF(Q133="전설",8,IF(Q133="희귀",7,IF(J133="기본",1,IF(J133="중간",3,IF(J133="최종",IF(I133="",5,IF(I133&lt;=20,3,IF(I133&lt;=35,4,IF(I133&lt;=50,6,7)))),IF(Q133="드묾",4,2))))))</x:f>
        <x:v>1</x:v>
      </x:c>
      <x:c r="Z133" s="5" t="inlineStr">
        <x:is>
          <x:t xml:space="preserve">#aether:is_aether; #cobblemon:is_freshwater; #cobblemon:is_ocean; #cobblemon:is_overworld</x:t>
        </x:is>
      </x:c>
      <x:c r="AA133" s="5" t="inlineStr">
        <x:is>
          <x:t xml:space="preserve">common; uncommon</x:t>
        </x:is>
      </x:c>
      <x:c r="AB133" s="5" t="inlineStr">
        <x:is>
          <x:t xml:space="preserve">예</x:t>
        </x:is>
      </x:c>
      <x:c r="AC133" s="8" t="str">
        <x:f>IF(T133&lt;&gt;"","수동확정",IF(X133="검토필요","검토필요",IF(S133="","원본없음","초기완료")))</x:f>
        <x:v>초기완료</x:v>
      </x:c>
      <x:c r="AD133" s="7" t="inlineStr">
        <x:is>
          <x:t xml:space="preserve"/>
        </x:is>
      </x:c>
      <x:c r="AE133" s="5" t="inlineStr">
        <x:is>
          <x:t xml:space="preserve">.tmp/cobblemon-1.7.3-source/common/src/main/resources/data/cobblemon/species/generation1/magikarp.json</x:t>
        </x:is>
      </x:c>
      <x:c r="AF133" s="5" t="str">
        <x:f>"생활권|"&amp;K133</x:f>
        <x:v>생활권|해양</x:v>
      </x:c>
      <x:c r="AG133" s="5" t="str">
        <x:f>"지형|"&amp;L133</x:f>
        <x:v>지형|해안·해양</x:v>
      </x:c>
      <x:c r="AH133" s="5" t="str">
        <x:f>"온도|"&amp;M133</x:f>
        <x:v>온도|온대</x:v>
      </x:c>
      <x:c r="AI133" s="5" t="str">
        <x:f>"습도|"&amp;N133</x:f>
        <x:v>습도|수중</x:v>
      </x:c>
      <x:c r="AJ133" s="5" t="str">
        <x:f>"날씨|"&amp;O133</x:f>
        <x:v>날씨|비</x:v>
      </x:c>
      <x:c r="AK133" s="5" t="str">
        <x:f>"특수태그|"&amp;R133</x:f>
        <x:v>특수태그|없음</x:v>
      </x:c>
      <x:c r="AL133" s="5" t="str">
        <x:f>"원본서식지|"&amp;S133</x:f>
        <x:v>원본서식지|해양</x:v>
      </x:c>
      <x:c r="AM133" s="5" t="str">
        <x:f>"타입|"&amp;F133</x:f>
        <x:v>타입|물</x:v>
      </x:c>
      <x:c r="AN133" s="5" t="str">
        <x:f>"타입|"&amp;G133</x:f>
        <x:v>타입|</x:v>
      </x:c>
    </x:row>
    <x:row r="134" ht="24" customHeight="1">
      <x:c r="A134" s="5" t="n">
        <x:v>130</x:v>
      </x:c>
      <x:c r="B134" s="5" t="inlineStr">
        <x:is>
          <x:t xml:space="preserve">갸라도스</x:t>
        </x:is>
      </x:c>
      <x:c r="C134" s="5" t="inlineStr">
        <x:is>
          <x:t xml:space="preserve">gyarados</x:t>
        </x:is>
      </x:c>
      <x:c r="D134" s="5" t="inlineStr">
        <x:is>
          <x:t xml:space="preserve">Gyarados</x:t>
        </x:is>
      </x:c>
      <x:c r="E134" s="5" t="n">
        <x:v>1</x:v>
      </x:c>
      <x:c r="F134" s="5" t="inlineStr">
        <x:is>
          <x:t xml:space="preserve">물</x:t>
        </x:is>
      </x:c>
      <x:c r="G134" s="5" t="inlineStr">
        <x:is>
          <x:t xml:space="preserve">비행</x:t>
        </x:is>
      </x:c>
      <x:c r="H134" s="6" t="n">
        <x:v>235</x:v>
      </x:c>
      <x:c r="I134" s="5" t="n">
        <x:v>20</x:v>
      </x:c>
      <x:c r="J134" s="5" t="inlineStr">
        <x:is>
          <x:t xml:space="preserve">최종</x:t>
        </x:is>
      </x:c>
      <x:c r="K134" s="7" t="inlineStr">
        <x:is>
          <x:t xml:space="preserve">해양</x:t>
        </x:is>
      </x:c>
      <x:c r="L134" s="7" t="inlineStr">
        <x:is>
          <x:t xml:space="preserve">해안·해양</x:t>
        </x:is>
      </x:c>
      <x:c r="M134" s="7" t="inlineStr">
        <x:is>
          <x:t xml:space="preserve">온대</x:t>
        </x:is>
      </x:c>
      <x:c r="N134" s="7" t="inlineStr">
        <x:is>
          <x:t xml:space="preserve">수중</x:t>
        </x:is>
      </x:c>
      <x:c r="O134" s="7" t="inlineStr">
        <x:is>
          <x:t xml:space="preserve">비</x:t>
        </x:is>
      </x:c>
      <x:c r="P134" s="7" t="inlineStr">
        <x:is>
          <x:t xml:space="preserve">무관</x:t>
        </x:is>
      </x:c>
      <x:c r="Q134" s="7" t="inlineStr">
        <x:is>
          <x:t xml:space="preserve">보통</x:t>
        </x:is>
      </x:c>
      <x:c r="R134" s="7" t="inlineStr">
        <x:is>
          <x:t xml:space="preserve">없음</x:t>
        </x:is>
      </x:c>
      <x:c r="S134" s="7" t="inlineStr">
        <x:is>
          <x:t xml:space="preserve">해양</x:t>
        </x:is>
      </x:c>
      <x:c r="T134" s="7" t="inlineStr">
        <x:is>
          <x:t xml:space="preserve"/>
        </x:is>
      </x:c>
      <x:c r="U134" s="8" t="str">
        <x:f>INDEX('서식지_점수'!$E$4:$P$4,1,MATCH(MAX('서식지_점수'!E134:P134),'서식지_점수'!E134:P134,0))</x:f>
        <x:v>해양</x:v>
      </x:c>
      <x:c r="V134" s="8" t="str">
        <x:f>IF(T134&lt;&gt;"",T134,U134)</x:f>
        <x:v>해양</x:v>
      </x:c>
      <x:c r="W134" s="8" t="str">
        <x:f>IFERROR(INDEX('서식지_점수'!$E$4:$P$4,1,MATCH(MAXIFS('서식지_점수'!E134:P134,'서식지_점수'!E134:P134,"&lt;"&amp;MAX('서식지_점수'!E134:P134)),'서식지_점수'!E134:P134,0)),"")</x:f>
        <x:v>습지</x:v>
      </x:c>
      <x:c r="X134" s="8" t="str">
        <x:f>IF(T134&lt;&gt;"","수동확정",IF(MAX('서식지_점수'!E134:P134)-LARGE('서식지_점수'!E134:P134,2)&gt;=15,"높음",IF(MAX('서식지_점수'!E134:P134)-LARGE('서식지_점수'!E134:P134,2)&gt;=8,"보통","검토필요")))</x:f>
        <x:v>높음</x:v>
      </x:c>
      <x:c r="Y134" s="9" t="n">
        <x:f>IF(Q134="전설",8,IF(Q134="희귀",7,IF(J134="기본",1,IF(J134="중간",3,IF(J134="최종",IF(I134="",5,IF(I134&lt;=20,3,IF(I134&lt;=35,4,IF(I134&lt;=50,6,7)))),IF(Q134="드묾",4,2))))))</x:f>
        <x:v>3</x:v>
      </x:c>
      <x:c r="Z134" s="5" t="inlineStr">
        <x:is>
          <x:t xml:space="preserve">#aether:is_aether; #cobblemon:is_freshwater; #cobblemon:is_ocean; #cobblemon:is_overworld</x:t>
        </x:is>
      </x:c>
      <x:c r="AA134" s="5" t="inlineStr">
        <x:is>
          <x:t xml:space="preserve">common; uncommon</x:t>
        </x:is>
      </x:c>
      <x:c r="AB134" s="5" t="inlineStr">
        <x:is>
          <x:t xml:space="preserve">예</x:t>
        </x:is>
      </x:c>
      <x:c r="AC134" s="8" t="str">
        <x:f>IF(T134&lt;&gt;"","수동확정",IF(X134="검토필요","검토필요",IF(S134="","원본없음","초기완료")))</x:f>
        <x:v>초기완료</x:v>
      </x:c>
      <x:c r="AD134" s="7" t="inlineStr">
        <x:is>
          <x:t xml:space="preserve"/>
        </x:is>
      </x:c>
      <x:c r="AE134" s="5" t="inlineStr">
        <x:is>
          <x:t xml:space="preserve">.tmp/cobblemon-1.7.3-source/common/src/main/resources/data/cobblemon/species/generation1/gyarados.json</x:t>
        </x:is>
      </x:c>
      <x:c r="AF134" s="5" t="str">
        <x:f>"생활권|"&amp;K134</x:f>
        <x:v>생활권|해양</x:v>
      </x:c>
      <x:c r="AG134" s="5" t="str">
        <x:f>"지형|"&amp;L134</x:f>
        <x:v>지형|해안·해양</x:v>
      </x:c>
      <x:c r="AH134" s="5" t="str">
        <x:f>"온도|"&amp;M134</x:f>
        <x:v>온도|온대</x:v>
      </x:c>
      <x:c r="AI134" s="5" t="str">
        <x:f>"습도|"&amp;N134</x:f>
        <x:v>습도|수중</x:v>
      </x:c>
      <x:c r="AJ134" s="5" t="str">
        <x:f>"날씨|"&amp;O134</x:f>
        <x:v>날씨|비</x:v>
      </x:c>
      <x:c r="AK134" s="5" t="str">
        <x:f>"특수태그|"&amp;R134</x:f>
        <x:v>특수태그|없음</x:v>
      </x:c>
      <x:c r="AL134" s="5" t="str">
        <x:f>"원본서식지|"&amp;S134</x:f>
        <x:v>원본서식지|해양</x:v>
      </x:c>
      <x:c r="AM134" s="5" t="str">
        <x:f>"타입|"&amp;F134</x:f>
        <x:v>타입|물</x:v>
      </x:c>
      <x:c r="AN134" s="5" t="str">
        <x:f>"타입|"&amp;G134</x:f>
        <x:v>타입|비행</x:v>
      </x:c>
    </x:row>
    <x:row r="135" ht="24" customHeight="1">
      <x:c r="A135" s="5" t="n">
        <x:v>131</x:v>
      </x:c>
      <x:c r="B135" s="5" t="inlineStr">
        <x:is>
          <x:t xml:space="preserve">라프라스</x:t>
        </x:is>
      </x:c>
      <x:c r="C135" s="5" t="inlineStr">
        <x:is>
          <x:t xml:space="preserve">lapras</x:t>
        </x:is>
      </x:c>
      <x:c r="D135" s="5" t="inlineStr">
        <x:is>
          <x:t xml:space="preserve">Lapras</x:t>
        </x:is>
      </x:c>
      <x:c r="E135" s="5" t="n">
        <x:v>1</x:v>
      </x:c>
      <x:c r="F135" s="5" t="inlineStr">
        <x:is>
          <x:t xml:space="preserve">물</x:t>
        </x:is>
      </x:c>
      <x:c r="G135" s="5" t="inlineStr">
        <x:is>
          <x:t xml:space="preserve">얼음</x:t>
        </x:is>
      </x:c>
      <x:c r="H135" s="6" t="n">
        <x:v>220</x:v>
      </x:c>
      <x:c r="I135" s="5" t="n"/>
      <x:c r="J135" s="5" t="inlineStr">
        <x:is>
          <x:t xml:space="preserve">무진화</x:t>
        </x:is>
      </x:c>
      <x:c r="K135" s="7" t="inlineStr">
        <x:is>
          <x:t xml:space="preserve">해양</x:t>
        </x:is>
      </x:c>
      <x:c r="L135" s="7" t="inlineStr">
        <x:is>
          <x:t xml:space="preserve">해안·해양</x:t>
        </x:is>
      </x:c>
      <x:c r="M135" s="7" t="inlineStr">
        <x:is>
          <x:t xml:space="preserve">한랭</x:t>
        </x:is>
      </x:c>
      <x:c r="N135" s="7" t="inlineStr">
        <x:is>
          <x:t xml:space="preserve">수중</x:t>
        </x:is>
      </x:c>
      <x:c r="O135" s="7" t="inlineStr">
        <x:is>
          <x:t xml:space="preserve">비</x:t>
        </x:is>
      </x:c>
      <x:c r="P135" s="7" t="inlineStr">
        <x:is>
          <x:t xml:space="preserve">무관</x:t>
        </x:is>
      </x:c>
      <x:c r="Q135" s="7" t="inlineStr">
        <x:is>
          <x:t xml:space="preserve">보통</x:t>
        </x:is>
      </x:c>
      <x:c r="R135" s="7" t="inlineStr">
        <x:is>
          <x:t xml:space="preserve">없음</x:t>
        </x:is>
      </x:c>
      <x:c r="S135" s="7" t="inlineStr">
        <x:is>
          <x:t xml:space="preserve">해양</x:t>
        </x:is>
      </x:c>
      <x:c r="T135" s="7" t="inlineStr">
        <x:is>
          <x:t xml:space="preserve"/>
        </x:is>
      </x:c>
      <x:c r="U135" s="8" t="str">
        <x:f>INDEX('서식지_점수'!$E$4:$P$4,1,MATCH(MAX('서식지_점수'!E135:P135),'서식지_점수'!E135:P135,0))</x:f>
        <x:v>해양</x:v>
      </x:c>
      <x:c r="V135" s="8" t="str">
        <x:f>IF(T135&lt;&gt;"",T135,U135)</x:f>
        <x:v>해양</x:v>
      </x:c>
      <x:c r="W135" s="8" t="str">
        <x:f>IFERROR(INDEX('서식지_점수'!$E$4:$P$4,1,MATCH(MAXIFS('서식지_점수'!E135:P135,'서식지_점수'!E135:P135,"&lt;"&amp;MAX('서식지_점수'!E135:P135)),'서식지_점수'!E135:P135,0)),"")</x:f>
        <x:v>습지</x:v>
      </x:c>
      <x:c r="X135" s="8" t="str">
        <x:f>IF(T135&lt;&gt;"","수동확정",IF(MAX('서식지_점수'!E135:P135)-LARGE('서식지_점수'!E135:P135,2)&gt;=15,"높음",IF(MAX('서식지_점수'!E135:P135)-LARGE('서식지_점수'!E135:P135,2)&gt;=8,"보통","검토필요")))</x:f>
        <x:v>높음</x:v>
      </x:c>
      <x:c r="Y135" s="9" t="n">
        <x:f>IF(Q135="전설",8,IF(Q135="희귀",7,IF(J135="기본",1,IF(J135="중간",3,IF(J135="최종",IF(I135="",5,IF(I135&lt;=20,3,IF(I135&lt;=35,4,IF(I135&lt;=50,6,7)))),IF(Q135="드묾",4,2))))))</x:f>
        <x:v>2</x:v>
      </x:c>
      <x:c r="Z135" s="5" t="inlineStr">
        <x:is>
          <x:t xml:space="preserve">#cobblemon:is_frozen_ocean; #cobblemon:is_ocean</x:t>
        </x:is>
      </x:c>
      <x:c r="AA135" s="5" t="inlineStr">
        <x:is>
          <x:t xml:space="preserve">common; ultra-rare; uncommon</x:t>
        </x:is>
      </x:c>
      <x:c r="AB135" s="5" t="inlineStr">
        <x:is>
          <x:t xml:space="preserve">예</x:t>
        </x:is>
      </x:c>
      <x:c r="AC135" s="8" t="str">
        <x:f>IF(T135&lt;&gt;"","수동확정",IF(X135="검토필요","검토필요",IF(S135="","원본없음","초기완료")))</x:f>
        <x:v>초기완료</x:v>
      </x:c>
      <x:c r="AD135" s="7" t="inlineStr">
        <x:is>
          <x:t xml:space="preserve"/>
        </x:is>
      </x:c>
      <x:c r="AE135" s="5" t="inlineStr">
        <x:is>
          <x:t xml:space="preserve">.tmp/cobblemon-1.7.3-source/common/src/main/resources/data/cobblemon/species/generation1/lapras.json</x:t>
        </x:is>
      </x:c>
      <x:c r="AF135" s="5" t="str">
        <x:f>"생활권|"&amp;K135</x:f>
        <x:v>생활권|해양</x:v>
      </x:c>
      <x:c r="AG135" s="5" t="str">
        <x:f>"지형|"&amp;L135</x:f>
        <x:v>지형|해안·해양</x:v>
      </x:c>
      <x:c r="AH135" s="5" t="str">
        <x:f>"온도|"&amp;M135</x:f>
        <x:v>온도|한랭</x:v>
      </x:c>
      <x:c r="AI135" s="5" t="str">
        <x:f>"습도|"&amp;N135</x:f>
        <x:v>습도|수중</x:v>
      </x:c>
      <x:c r="AJ135" s="5" t="str">
        <x:f>"날씨|"&amp;O135</x:f>
        <x:v>날씨|비</x:v>
      </x:c>
      <x:c r="AK135" s="5" t="str">
        <x:f>"특수태그|"&amp;R135</x:f>
        <x:v>특수태그|없음</x:v>
      </x:c>
      <x:c r="AL135" s="5" t="str">
        <x:f>"원본서식지|"&amp;S135</x:f>
        <x:v>원본서식지|해양</x:v>
      </x:c>
      <x:c r="AM135" s="5" t="str">
        <x:f>"타입|"&amp;F135</x:f>
        <x:v>타입|물</x:v>
      </x:c>
      <x:c r="AN135" s="5" t="str">
        <x:f>"타입|"&amp;G135</x:f>
        <x:v>타입|얼음</x:v>
      </x:c>
    </x:row>
    <x:row r="136" ht="24" customHeight="1">
      <x:c r="A136" s="5" t="n">
        <x:v>132</x:v>
      </x:c>
      <x:c r="B136" s="5" t="inlineStr">
        <x:is>
          <x:t xml:space="preserve">메타몽</x:t>
        </x:is>
      </x:c>
      <x:c r="C136" s="5" t="inlineStr">
        <x:is>
          <x:t xml:space="preserve">ditto</x:t>
        </x:is>
      </x:c>
      <x:c r="D136" s="5" t="inlineStr">
        <x:is>
          <x:t xml:space="preserve">Ditto</x:t>
        </x:is>
      </x:c>
      <x:c r="E136" s="5" t="n">
        <x:v>1</x:v>
      </x:c>
      <x:c r="F136" s="5" t="inlineStr">
        <x:is>
          <x:t xml:space="preserve">노말</x:t>
        </x:is>
      </x:c>
      <x:c r="G136" s="5" t="inlineStr">
        <x:is>
          <x:t xml:space="preserve"/>
        </x:is>
      </x:c>
      <x:c r="H136" s="6" t="n">
        <x:v>4</x:v>
      </x:c>
      <x:c r="I136" s="5" t="n"/>
      <x:c r="J136" s="5" t="inlineStr">
        <x:is>
          <x:t xml:space="preserve">무진화</x:t>
        </x:is>
      </x:c>
      <x:c r="K136" s="7" t="inlineStr">
        <x:is>
          <x:t xml:space="preserve">육상</x:t>
        </x:is>
      </x:c>
      <x:c r="L136" s="7" t="inlineStr">
        <x:is>
          <x:t xml:space="preserve">개활지</x:t>
        </x:is>
      </x:c>
      <x:c r="M136" s="7" t="inlineStr">
        <x:is>
          <x:t xml:space="preserve">온대</x:t>
        </x:is>
      </x:c>
      <x:c r="N136" s="7" t="inlineStr">
        <x:is>
          <x:t xml:space="preserve">보통</x:t>
        </x:is>
      </x:c>
      <x:c r="O136" s="7" t="inlineStr">
        <x:is>
          <x:t xml:space="preserve">무관</x:t>
        </x:is>
      </x:c>
      <x:c r="P136" s="7" t="inlineStr">
        <x:is>
          <x:t xml:space="preserve">무관</x:t>
        </x:is>
      </x:c>
      <x:c r="Q136" s="7" t="inlineStr">
        <x:is>
          <x:t xml:space="preserve">보통</x:t>
        </x:is>
      </x:c>
      <x:c r="R136" s="7" t="inlineStr">
        <x:is>
          <x:t xml:space="preserve">없음</x:t>
        </x:is>
      </x:c>
      <x:c r="S136" s="7" t="inlineStr">
        <x:is>
          <x:t xml:space="preserve"/>
        </x:is>
      </x:c>
      <x:c r="T136" s="7" t="inlineStr">
        <x:is>
          <x:t xml:space="preserve"/>
        </x:is>
      </x:c>
      <x:c r="U136" s="8" t="str">
        <x:f>INDEX('서식지_점수'!$E$4:$P$4,1,MATCH(MAX('서식지_점수'!E136:P136),'서식지_점수'!E136:P136,0))</x:f>
        <x:v>평원</x:v>
      </x:c>
      <x:c r="V136" s="8" t="str">
        <x:f>IF(T136&lt;&gt;"",T136,U136)</x:f>
        <x:v>평원</x:v>
      </x:c>
      <x:c r="W136" s="8" t="str">
        <x:f>IFERROR(INDEX('서식지_점수'!$E$4:$P$4,1,MATCH(MAXIFS('서식지_점수'!E136:P136,'서식지_점수'!E136:P136,"&lt;"&amp;MAX('서식지_점수'!E136:P136)),'서식지_점수'!E136:P136,0)),"")</x:f>
        <x:v>숲</x:v>
      </x:c>
      <x:c r="X136" s="8" t="str">
        <x:f>IF(T136&lt;&gt;"","수동확정",IF(MAX('서식지_점수'!E136:P136)-LARGE('서식지_점수'!E136:P136,2)&gt;=15,"높음",IF(MAX('서식지_점수'!E136:P136)-LARGE('서식지_점수'!E136:P136,2)&gt;=8,"보통","검토필요")))</x:f>
        <x:v>검토필요</x:v>
      </x:c>
      <x:c r="Y136" s="9" t="n">
        <x:f>IF(Q136="전설",8,IF(Q136="희귀",7,IF(J136="기본",1,IF(J136="중간",3,IF(J136="최종",IF(I136="",5,IF(I136&lt;=20,3,IF(I136&lt;=35,4,IF(I136&lt;=50,6,7)))),IF(Q136="드묾",4,2))))))</x:f>
        <x:v>2</x:v>
      </x:c>
      <x:c r="Z136" s="5" t="inlineStr">
        <x:is>
          <x:t xml:space="preserve">#cobblemon:is_overworld</x:t>
        </x:is>
      </x:c>
      <x:c r="AA136" s="5" t="inlineStr">
        <x:is>
          <x:t xml:space="preserve">rare; ultra-rare; uncommon</x:t>
        </x:is>
      </x:c>
      <x:c r="AB136" s="5" t="inlineStr">
        <x:is>
          <x:t xml:space="preserve">예</x:t>
        </x:is>
      </x:c>
      <x:c r="AC136" s="8" t="str">
        <x:f>IF(T136&lt;&gt;"","수동확정",IF(X136="검토필요","검토필요",IF(S136="","원본없음","초기완료")))</x:f>
        <x:v>검토필요</x:v>
      </x:c>
      <x:c r="AD136" s="7" t="inlineStr">
        <x:is>
          <x:t xml:space="preserve"/>
        </x:is>
      </x:c>
      <x:c r="AE136" s="5" t="inlineStr">
        <x:is>
          <x:t xml:space="preserve">.tmp/cobblemon-1.7.3-source/common/src/main/resources/data/cobblemon/species/generation1/ditto.json</x:t>
        </x:is>
      </x:c>
      <x:c r="AF136" s="5" t="str">
        <x:f>"생활권|"&amp;K136</x:f>
        <x:v>생활권|육상</x:v>
      </x:c>
      <x:c r="AG136" s="5" t="str">
        <x:f>"지형|"&amp;L136</x:f>
        <x:v>지형|개활지</x:v>
      </x:c>
      <x:c r="AH136" s="5" t="str">
        <x:f>"온도|"&amp;M136</x:f>
        <x:v>온도|온대</x:v>
      </x:c>
      <x:c r="AI136" s="5" t="str">
        <x:f>"습도|"&amp;N136</x:f>
        <x:v>습도|보통</x:v>
      </x:c>
      <x:c r="AJ136" s="5" t="str">
        <x:f>"날씨|"&amp;O136</x:f>
        <x:v>날씨|무관</x:v>
      </x:c>
      <x:c r="AK136" s="5" t="str">
        <x:f>"특수태그|"&amp;R136</x:f>
        <x:v>특수태그|없음</x:v>
      </x:c>
      <x:c r="AL136" s="5" t="str">
        <x:f>"원본서식지|"&amp;S136</x:f>
        <x:v>원본서식지|</x:v>
      </x:c>
      <x:c r="AM136" s="5" t="str">
        <x:f>"타입|"&amp;F136</x:f>
        <x:v>타입|노말</x:v>
      </x:c>
      <x:c r="AN136" s="5" t="str">
        <x:f>"타입|"&amp;G136</x:f>
        <x:v>타입|</x:v>
      </x:c>
    </x:row>
    <x:row r="137" ht="24" customHeight="1">
      <x:c r="A137" s="5" t="n">
        <x:v>133</x:v>
      </x:c>
      <x:c r="B137" s="5" t="inlineStr">
        <x:is>
          <x:t xml:space="preserve">이브이</x:t>
        </x:is>
      </x:c>
      <x:c r="C137" s="5" t="inlineStr">
        <x:is>
          <x:t xml:space="preserve">eevee</x:t>
        </x:is>
      </x:c>
      <x:c r="D137" s="5" t="inlineStr">
        <x:is>
          <x:t xml:space="preserve">Eevee</x:t>
        </x:is>
      </x:c>
      <x:c r="E137" s="5" t="n">
        <x:v>1</x:v>
      </x:c>
      <x:c r="F137" s="5" t="inlineStr">
        <x:is>
          <x:t xml:space="preserve">노말</x:t>
        </x:is>
      </x:c>
      <x:c r="G137" s="5" t="inlineStr">
        <x:is>
          <x:t xml:space="preserve"/>
        </x:is>
      </x:c>
      <x:c r="H137" s="6" t="n">
        <x:v>6.5</x:v>
      </x:c>
      <x:c r="I137" s="5" t="n"/>
      <x:c r="J137" s="5" t="inlineStr">
        <x:is>
          <x:t xml:space="preserve">기본</x:t>
        </x:is>
      </x:c>
      <x:c r="K137" s="7" t="inlineStr">
        <x:is>
          <x:t xml:space="preserve">육상</x:t>
        </x:is>
      </x:c>
      <x:c r="L137" s="7" t="inlineStr">
        <x:is>
          <x:t xml:space="preserve">개활지</x:t>
        </x:is>
      </x:c>
      <x:c r="M137" s="7" t="inlineStr">
        <x:is>
          <x:t xml:space="preserve">온대</x:t>
        </x:is>
      </x:c>
      <x:c r="N137" s="7" t="inlineStr">
        <x:is>
          <x:t xml:space="preserve">보통</x:t>
        </x:is>
      </x:c>
      <x:c r="O137" s="7" t="inlineStr">
        <x:is>
          <x:t xml:space="preserve">무관</x:t>
        </x:is>
      </x:c>
      <x:c r="P137" s="7" t="inlineStr">
        <x:is>
          <x:t xml:space="preserve">무관</x:t>
        </x:is>
      </x:c>
      <x:c r="Q137" s="7" t="inlineStr">
        <x:is>
          <x:t xml:space="preserve">보통</x:t>
        </x:is>
      </x:c>
      <x:c r="R137" s="7" t="inlineStr">
        <x:is>
          <x:t xml:space="preserve">없음</x:t>
        </x:is>
      </x:c>
      <x:c r="S137" s="7" t="inlineStr">
        <x:is>
          <x:t xml:space="preserve"/>
        </x:is>
      </x:c>
      <x:c r="T137" s="7" t="inlineStr">
        <x:is>
          <x:t xml:space="preserve"/>
        </x:is>
      </x:c>
      <x:c r="U137" s="8" t="str">
        <x:f>INDEX('서식지_점수'!$E$4:$P$4,1,MATCH(MAX('서식지_점수'!E137:P137),'서식지_점수'!E137:P137,0))</x:f>
        <x:v>평원</x:v>
      </x:c>
      <x:c r="V137" s="8" t="str">
        <x:f>IF(T137&lt;&gt;"",T137,U137)</x:f>
        <x:v>평원</x:v>
      </x:c>
      <x:c r="W137" s="8" t="str">
        <x:f>IFERROR(INDEX('서식지_점수'!$E$4:$P$4,1,MATCH(MAXIFS('서식지_점수'!E137:P137,'서식지_점수'!E137:P137,"&lt;"&amp;MAX('서식지_점수'!E137:P137)),'서식지_점수'!E137:P137,0)),"")</x:f>
        <x:v>숲</x:v>
      </x:c>
      <x:c r="X137" s="8" t="str">
        <x:f>IF(T137&lt;&gt;"","수동확정",IF(MAX('서식지_점수'!E137:P137)-LARGE('서식지_점수'!E137:P137,2)&gt;=15,"높음",IF(MAX('서식지_점수'!E137:P137)-LARGE('서식지_점수'!E137:P137,2)&gt;=8,"보통","검토필요")))</x:f>
        <x:v>검토필요</x:v>
      </x:c>
      <x:c r="Y137" s="9" t="n">
        <x:f>IF(Q137="전설",8,IF(Q137="희귀",7,IF(J137="기본",1,IF(J137="중간",3,IF(J137="최종",IF(I137="",5,IF(I137&lt;=20,3,IF(I137&lt;=35,4,IF(I137&lt;=50,6,7)))),IF(Q137="드묾",4,2))))))</x:f>
        <x:v>1</x:v>
      </x:c>
      <x:c r="Z137" s="5" t="inlineStr">
        <x:is>
          <x:t xml:space="preserve">#aether:is_aether; #cobblemon:is_overworld; #cobblemon:is_temperate</x:t>
        </x:is>
      </x:c>
      <x:c r="AA137" s="5" t="inlineStr">
        <x:is>
          <x:t xml:space="preserve">rare; ultra-rare; uncommon</x:t>
        </x:is>
      </x:c>
      <x:c r="AB137" s="5" t="inlineStr">
        <x:is>
          <x:t xml:space="preserve">예</x:t>
        </x:is>
      </x:c>
      <x:c r="AC137" s="8" t="str">
        <x:f>IF(T137&lt;&gt;"","수동확정",IF(X137="검토필요","검토필요",IF(S137="","원본없음","초기완료")))</x:f>
        <x:v>검토필요</x:v>
      </x:c>
      <x:c r="AD137" s="7" t="inlineStr">
        <x:is>
          <x:t xml:space="preserve"/>
        </x:is>
      </x:c>
      <x:c r="AE137" s="5" t="inlineStr">
        <x:is>
          <x:t xml:space="preserve">.tmp/cobblemon-1.7.3-source/common/src/main/resources/data/cobblemon/species/generation1/eevee.json</x:t>
        </x:is>
      </x:c>
      <x:c r="AF137" s="5" t="str">
        <x:f>"생활권|"&amp;K137</x:f>
        <x:v>생활권|육상</x:v>
      </x:c>
      <x:c r="AG137" s="5" t="str">
        <x:f>"지형|"&amp;L137</x:f>
        <x:v>지형|개활지</x:v>
      </x:c>
      <x:c r="AH137" s="5" t="str">
        <x:f>"온도|"&amp;M137</x:f>
        <x:v>온도|온대</x:v>
      </x:c>
      <x:c r="AI137" s="5" t="str">
        <x:f>"습도|"&amp;N137</x:f>
        <x:v>습도|보통</x:v>
      </x:c>
      <x:c r="AJ137" s="5" t="str">
        <x:f>"날씨|"&amp;O137</x:f>
        <x:v>날씨|무관</x:v>
      </x:c>
      <x:c r="AK137" s="5" t="str">
        <x:f>"특수태그|"&amp;R137</x:f>
        <x:v>특수태그|없음</x:v>
      </x:c>
      <x:c r="AL137" s="5" t="str">
        <x:f>"원본서식지|"&amp;S137</x:f>
        <x:v>원본서식지|</x:v>
      </x:c>
      <x:c r="AM137" s="5" t="str">
        <x:f>"타입|"&amp;F137</x:f>
        <x:v>타입|노말</x:v>
      </x:c>
      <x:c r="AN137" s="5" t="str">
        <x:f>"타입|"&amp;G137</x:f>
        <x:v>타입|</x:v>
      </x:c>
    </x:row>
    <x:row r="138" ht="24" customHeight="1">
      <x:c r="A138" s="5" t="n">
        <x:v>134</x:v>
      </x:c>
      <x:c r="B138" s="5" t="inlineStr">
        <x:is>
          <x:t xml:space="preserve">샤미드</x:t>
        </x:is>
      </x:c>
      <x:c r="C138" s="5" t="inlineStr">
        <x:is>
          <x:t xml:space="preserve">vaporeon</x:t>
        </x:is>
      </x:c>
      <x:c r="D138" s="5" t="inlineStr">
        <x:is>
          <x:t xml:space="preserve">Vaporeon</x:t>
        </x:is>
      </x:c>
      <x:c r="E138" s="5" t="n">
        <x:v>1</x:v>
      </x:c>
      <x:c r="F138" s="5" t="inlineStr">
        <x:is>
          <x:t xml:space="preserve">물</x:t>
        </x:is>
      </x:c>
      <x:c r="G138" s="5" t="inlineStr">
        <x:is>
          <x:t xml:space="preserve"/>
        </x:is>
      </x:c>
      <x:c r="H138" s="6" t="n">
        <x:v>29</x:v>
      </x:c>
      <x:c r="I138" s="5" t="n"/>
      <x:c r="J138" s="5" t="inlineStr">
        <x:is>
          <x:t xml:space="preserve">최종</x:t>
        </x:is>
      </x:c>
      <x:c r="K138" s="7" t="inlineStr">
        <x:is>
          <x:t xml:space="preserve">담수</x:t>
        </x:is>
      </x:c>
      <x:c r="L138" s="7" t="inlineStr">
        <x:is>
          <x:t xml:space="preserve">담수</x:t>
        </x:is>
      </x:c>
      <x:c r="M138" s="7" t="inlineStr">
        <x:is>
          <x:t xml:space="preserve">온대</x:t>
        </x:is>
      </x:c>
      <x:c r="N138" s="7" t="inlineStr">
        <x:is>
          <x:t xml:space="preserve">수중</x:t>
        </x:is>
      </x:c>
      <x:c r="O138" s="7" t="inlineStr">
        <x:is>
          <x:t xml:space="preserve">비</x:t>
        </x:is>
      </x:c>
      <x:c r="P138" s="7" t="inlineStr">
        <x:is>
          <x:t xml:space="preserve">무관</x:t>
        </x:is>
      </x:c>
      <x:c r="Q138" s="7" t="inlineStr">
        <x:is>
          <x:t xml:space="preserve">보통</x:t>
        </x:is>
      </x:c>
      <x:c r="R138" s="7" t="inlineStr">
        <x:is>
          <x:t xml:space="preserve">없음</x:t>
        </x:is>
      </x:c>
      <x:c r="S138" s="7" t="inlineStr">
        <x:is>
          <x:t xml:space="preserve">담수</x:t>
        </x:is>
      </x:c>
      <x:c r="T138" s="7" t="inlineStr">
        <x:is>
          <x:t xml:space="preserve"/>
        </x:is>
      </x:c>
      <x:c r="U138" s="8" t="str">
        <x:f>INDEX('서식지_점수'!$E$4:$P$4,1,MATCH(MAX('서식지_점수'!E138:P138),'서식지_점수'!E138:P138,0))</x:f>
        <x:v>담수</x:v>
      </x:c>
      <x:c r="V138" s="8" t="str">
        <x:f>IF(T138&lt;&gt;"",T138,U138)</x:f>
        <x:v>담수</x:v>
      </x:c>
      <x:c r="W138" s="8" t="str">
        <x:f>IFERROR(INDEX('서식지_점수'!$E$4:$P$4,1,MATCH(MAXIFS('서식지_점수'!E138:P138,'서식지_점수'!E138:P138,"&lt;"&amp;MAX('서식지_점수'!E138:P138)),'서식지_점수'!E138:P138,0)),"")</x:f>
        <x:v>습지</x:v>
      </x:c>
      <x:c r="X138" s="8" t="str">
        <x:f>IF(T138&lt;&gt;"","수동확정",IF(MAX('서식지_점수'!E138:P138)-LARGE('서식지_점수'!E138:P138,2)&gt;=15,"높음",IF(MAX('서식지_점수'!E138:P138)-LARGE('서식지_점수'!E138:P138,2)&gt;=8,"보통","검토필요")))</x:f>
        <x:v>높음</x:v>
      </x:c>
      <x:c r="Y138" s="9" t="n">
        <x:f>IF(Q138="전설",8,IF(Q138="희귀",7,IF(J138="기본",1,IF(J138="중간",3,IF(J138="최종",IF(I138="",5,IF(I138&lt;=20,3,IF(I138&lt;=35,4,IF(I138&lt;=50,6,7)))),IF(Q138="드묾",4,2))))))</x:f>
        <x:v>5</x:v>
      </x:c>
      <x:c r="Z138" s="5" t="inlineStr">
        <x:is>
          <x:t xml:space="preserve">#cobblemon:is_freshwater; #cobblemon:is_jungle; #cobblemon:is_magical; #cobblemon:is_overworld; #cobblemon:is_temperate; #cobblemon:is_tropical_island</x:t>
        </x:is>
      </x:c>
      <x:c r="AA138" s="5" t="inlineStr">
        <x:is>
          <x:t xml:space="preserve">ultra-rare; uncommon</x:t>
        </x:is>
      </x:c>
      <x:c r="AB138" s="5" t="inlineStr">
        <x:is>
          <x:t xml:space="preserve">예</x:t>
        </x:is>
      </x:c>
      <x:c r="AC138" s="8" t="str">
        <x:f>IF(T138&lt;&gt;"","수동확정",IF(X138="검토필요","검토필요",IF(S138="","원본없음","초기완료")))</x:f>
        <x:v>초기완료</x:v>
      </x:c>
      <x:c r="AD138" s="7" t="inlineStr">
        <x:is>
          <x:t xml:space="preserve"/>
        </x:is>
      </x:c>
      <x:c r="AE138" s="5" t="inlineStr">
        <x:is>
          <x:t xml:space="preserve">.tmp/cobblemon-1.7.3-source/common/src/main/resources/data/cobblemon/species/generation1/vaporeon.json</x:t>
        </x:is>
      </x:c>
      <x:c r="AF138" s="5" t="str">
        <x:f>"생활권|"&amp;K138</x:f>
        <x:v>생활권|담수</x:v>
      </x:c>
      <x:c r="AG138" s="5" t="str">
        <x:f>"지형|"&amp;L138</x:f>
        <x:v>지형|담수</x:v>
      </x:c>
      <x:c r="AH138" s="5" t="str">
        <x:f>"온도|"&amp;M138</x:f>
        <x:v>온도|온대</x:v>
      </x:c>
      <x:c r="AI138" s="5" t="str">
        <x:f>"습도|"&amp;N138</x:f>
        <x:v>습도|수중</x:v>
      </x:c>
      <x:c r="AJ138" s="5" t="str">
        <x:f>"날씨|"&amp;O138</x:f>
        <x:v>날씨|비</x:v>
      </x:c>
      <x:c r="AK138" s="5" t="str">
        <x:f>"특수태그|"&amp;R138</x:f>
        <x:v>특수태그|없음</x:v>
      </x:c>
      <x:c r="AL138" s="5" t="str">
        <x:f>"원본서식지|"&amp;S138</x:f>
        <x:v>원본서식지|담수</x:v>
      </x:c>
      <x:c r="AM138" s="5" t="str">
        <x:f>"타입|"&amp;F138</x:f>
        <x:v>타입|물</x:v>
      </x:c>
      <x:c r="AN138" s="5" t="str">
        <x:f>"타입|"&amp;G138</x:f>
        <x:v>타입|</x:v>
      </x:c>
    </x:row>
    <x:row r="139" ht="24" customHeight="1">
      <x:c r="A139" s="5" t="n">
        <x:v>135</x:v>
      </x:c>
      <x:c r="B139" s="5" t="inlineStr">
        <x:is>
          <x:t xml:space="preserve">쥬피썬더</x:t>
        </x:is>
      </x:c>
      <x:c r="C139" s="5" t="inlineStr">
        <x:is>
          <x:t xml:space="preserve">jolteon</x:t>
        </x:is>
      </x:c>
      <x:c r="D139" s="5" t="inlineStr">
        <x:is>
          <x:t xml:space="preserve">Jolteon</x:t>
        </x:is>
      </x:c>
      <x:c r="E139" s="5" t="n">
        <x:v>1</x:v>
      </x:c>
      <x:c r="F139" s="5" t="inlineStr">
        <x:is>
          <x:t xml:space="preserve">전기</x:t>
        </x:is>
      </x:c>
      <x:c r="G139" s="5" t="inlineStr">
        <x:is>
          <x:t xml:space="preserve"/>
        </x:is>
      </x:c>
      <x:c r="H139" s="6" t="n">
        <x:v>24.5</x:v>
      </x:c>
      <x:c r="I139" s="5" t="n"/>
      <x:c r="J139" s="5" t="inlineStr">
        <x:is>
          <x:t xml:space="preserve">최종</x:t>
        </x:is>
      </x:c>
      <x:c r="K139" s="7" t="inlineStr">
        <x:is>
          <x:t xml:space="preserve">육상</x:t>
        </x:is>
      </x:c>
      <x:c r="L139" s="7" t="inlineStr">
        <x:is>
          <x:t xml:space="preserve">개활지</x:t>
        </x:is>
      </x:c>
      <x:c r="M139" s="7" t="inlineStr">
        <x:is>
          <x:t xml:space="preserve">온대</x:t>
        </x:is>
      </x:c>
      <x:c r="N139" s="7" t="inlineStr">
        <x:is>
          <x:t xml:space="preserve">보통</x:t>
        </x:is>
      </x:c>
      <x:c r="O139" s="7" t="inlineStr">
        <x:is>
          <x:t xml:space="preserve">무관</x:t>
        </x:is>
      </x:c>
      <x:c r="P139" s="7" t="inlineStr">
        <x:is>
          <x:t xml:space="preserve">무관</x:t>
        </x:is>
      </x:c>
      <x:c r="Q139" s="7" t="inlineStr">
        <x:is>
          <x:t xml:space="preserve">보통</x:t>
        </x:is>
      </x:c>
      <x:c r="R139" s="7" t="inlineStr">
        <x:is>
          <x:t xml:space="preserve">없음</x:t>
        </x:is>
      </x:c>
      <x:c r="S139" s="7" t="inlineStr">
        <x:is>
          <x:t xml:space="preserve">평원</x:t>
        </x:is>
      </x:c>
      <x:c r="T139" s="7" t="inlineStr">
        <x:is>
          <x:t xml:space="preserve"/>
        </x:is>
      </x:c>
      <x:c r="U139" s="8" t="str">
        <x:f>INDEX('서식지_점수'!$E$4:$P$4,1,MATCH(MAX('서식지_점수'!E139:P139),'서식지_점수'!E139:P139,0))</x:f>
        <x:v>평원</x:v>
      </x:c>
      <x:c r="V139" s="8" t="str">
        <x:f>IF(T139&lt;&gt;"",T139,U139)</x:f>
        <x:v>평원</x:v>
      </x:c>
      <x:c r="W139" s="8" t="str">
        <x:f>IFERROR(INDEX('서식지_점수'!$E$4:$P$4,1,MATCH(MAXIFS('서식지_점수'!E139:P139,'서식지_점수'!E139:P139,"&lt;"&amp;MAX('서식지_점수'!E139:P139)),'서식지_점수'!E139:P139,0)),"")</x:f>
        <x:v>숲</x:v>
      </x:c>
      <x:c r="X139" s="8" t="str">
        <x:f>IF(T139&lt;&gt;"","수동확정",IF(MAX('서식지_점수'!E139:P139)-LARGE('서식지_점수'!E139:P139,2)&gt;=15,"높음",IF(MAX('서식지_점수'!E139:P139)-LARGE('서식지_점수'!E139:P139,2)&gt;=8,"보통","검토필요")))</x:f>
        <x:v>검토필요</x:v>
      </x:c>
      <x:c r="Y139" s="9" t="n">
        <x:f>IF(Q139="전설",8,IF(Q139="희귀",7,IF(J139="기본",1,IF(J139="중간",3,IF(J139="최종",IF(I139="",5,IF(I139&lt;=20,3,IF(I139&lt;=35,4,IF(I139&lt;=50,6,7)))),IF(Q139="드묾",4,2))))))</x:f>
        <x:v>5</x:v>
      </x:c>
      <x:c r="Z139" s="5" t="inlineStr">
        <x:is>
          <x:t xml:space="preserve">#cobblemon:is_grassland; #cobblemon:is_overworld</x:t>
        </x:is>
      </x:c>
      <x:c r="AA139" s="5" t="inlineStr">
        <x:is>
          <x:t xml:space="preserve">ultra-rare; uncommon</x:t>
        </x:is>
      </x:c>
      <x:c r="AB139" s="5" t="inlineStr">
        <x:is>
          <x:t xml:space="preserve">예</x:t>
        </x:is>
      </x:c>
      <x:c r="AC139" s="8" t="str">
        <x:f>IF(T139&lt;&gt;"","수동확정",IF(X139="검토필요","검토필요",IF(S139="","원본없음","초기완료")))</x:f>
        <x:v>검토필요</x:v>
      </x:c>
      <x:c r="AD139" s="7" t="inlineStr">
        <x:is>
          <x:t xml:space="preserve"/>
        </x:is>
      </x:c>
      <x:c r="AE139" s="5" t="inlineStr">
        <x:is>
          <x:t xml:space="preserve">.tmp/cobblemon-1.7.3-source/common/src/main/resources/data/cobblemon/species/generation1/jolteon.json</x:t>
        </x:is>
      </x:c>
      <x:c r="AF139" s="5" t="str">
        <x:f>"생활권|"&amp;K139</x:f>
        <x:v>생활권|육상</x:v>
      </x:c>
      <x:c r="AG139" s="5" t="str">
        <x:f>"지형|"&amp;L139</x:f>
        <x:v>지형|개활지</x:v>
      </x:c>
      <x:c r="AH139" s="5" t="str">
        <x:f>"온도|"&amp;M139</x:f>
        <x:v>온도|온대</x:v>
      </x:c>
      <x:c r="AI139" s="5" t="str">
        <x:f>"습도|"&amp;N139</x:f>
        <x:v>습도|보통</x:v>
      </x:c>
      <x:c r="AJ139" s="5" t="str">
        <x:f>"날씨|"&amp;O139</x:f>
        <x:v>날씨|무관</x:v>
      </x:c>
      <x:c r="AK139" s="5" t="str">
        <x:f>"특수태그|"&amp;R139</x:f>
        <x:v>특수태그|없음</x:v>
      </x:c>
      <x:c r="AL139" s="5" t="str">
        <x:f>"원본서식지|"&amp;S139</x:f>
        <x:v>원본서식지|평원</x:v>
      </x:c>
      <x:c r="AM139" s="5" t="str">
        <x:f>"타입|"&amp;F139</x:f>
        <x:v>타입|전기</x:v>
      </x:c>
      <x:c r="AN139" s="5" t="str">
        <x:f>"타입|"&amp;G139</x:f>
        <x:v>타입|</x:v>
      </x:c>
    </x:row>
    <x:row r="140" ht="24" customHeight="1">
      <x:c r="A140" s="5" t="n">
        <x:v>136</x:v>
      </x:c>
      <x:c r="B140" s="5" t="inlineStr">
        <x:is>
          <x:t xml:space="preserve">부스터</x:t>
        </x:is>
      </x:c>
      <x:c r="C140" s="5" t="inlineStr">
        <x:is>
          <x:t xml:space="preserve">flareon</x:t>
        </x:is>
      </x:c>
      <x:c r="D140" s="5" t="inlineStr">
        <x:is>
          <x:t xml:space="preserve">Flareon</x:t>
        </x:is>
      </x:c>
      <x:c r="E140" s="5" t="n">
        <x:v>1</x:v>
      </x:c>
      <x:c r="F140" s="5" t="inlineStr">
        <x:is>
          <x:t xml:space="preserve">불꽃</x:t>
        </x:is>
      </x:c>
      <x:c r="G140" s="5" t="inlineStr">
        <x:is>
          <x:t xml:space="preserve"/>
        </x:is>
      </x:c>
      <x:c r="H140" s="6" t="n">
        <x:v>25</x:v>
      </x:c>
      <x:c r="I140" s="5" t="n"/>
      <x:c r="J140" s="5" t="inlineStr">
        <x:is>
          <x:t xml:space="preserve">최종</x:t>
        </x:is>
      </x:c>
      <x:c r="K140" s="7" t="inlineStr">
        <x:is>
          <x:t xml:space="preserve">육상</x:t>
        </x:is>
      </x:c>
      <x:c r="L140" s="7" t="inlineStr">
        <x:is>
          <x:t xml:space="preserve">건조</x:t>
        </x:is>
      </x:c>
      <x:c r="M140" s="7" t="inlineStr">
        <x:is>
          <x:t xml:space="preserve">고온</x:t>
        </x:is>
      </x:c>
      <x:c r="N140" s="7" t="inlineStr">
        <x:is>
          <x:t xml:space="preserve">건조</x:t>
        </x:is>
      </x:c>
      <x:c r="O140" s="7" t="inlineStr">
        <x:is>
          <x:t xml:space="preserve">맑음</x:t>
        </x:is>
      </x:c>
      <x:c r="P140" s="7" t="inlineStr">
        <x:is>
          <x:t xml:space="preserve">무관</x:t>
        </x:is>
      </x:c>
      <x:c r="Q140" s="7" t="inlineStr">
        <x:is>
          <x:t xml:space="preserve">보통</x:t>
        </x:is>
      </x:c>
      <x:c r="R140" s="7" t="inlineStr">
        <x:is>
          <x:t xml:space="preserve">없음</x:t>
        </x:is>
      </x:c>
      <x:c r="S140" s="7" t="inlineStr">
        <x:is>
          <x:t xml:space="preserve">건조지</x:t>
        </x:is>
      </x:c>
      <x:c r="T140" s="7" t="inlineStr">
        <x:is>
          <x:t xml:space="preserve"/>
        </x:is>
      </x:c>
      <x:c r="U140" s="8" t="str">
        <x:f>INDEX('서식지_점수'!$E$4:$P$4,1,MATCH(MAX('서식지_점수'!E140:P140),'서식지_점수'!E140:P140,0))</x:f>
        <x:v>평원</x:v>
      </x:c>
      <x:c r="V140" s="8" t="str">
        <x:f>IF(T140&lt;&gt;"",T140,U140)</x:f>
        <x:v>평원</x:v>
      </x:c>
      <x:c r="W140" s="8" t="str">
        <x:f>IFERROR(INDEX('서식지_점수'!$E$4:$P$4,1,MATCH(MAXIFS('서식지_점수'!E140:P140,'서식지_점수'!E140:P140,"&lt;"&amp;MAX('서식지_점수'!E140:P140)),'서식지_점수'!E140:P140,0)),"")</x:f>
        <x:v>숲</x:v>
      </x:c>
      <x:c r="X140" s="8" t="str">
        <x:f>IF(T140&lt;&gt;"","수동확정",IF(MAX('서식지_점수'!E140:P140)-LARGE('서식지_점수'!E140:P140,2)&gt;=15,"높음",IF(MAX('서식지_점수'!E140:P140)-LARGE('서식지_점수'!E140:P140,2)&gt;=8,"보통","검토필요")))</x:f>
        <x:v>검토필요</x:v>
      </x:c>
      <x:c r="Y140" s="9" t="n">
        <x:f>IF(Q140="전설",8,IF(Q140="희귀",7,IF(J140="기본",1,IF(J140="중간",3,IF(J140="최종",IF(I140="",5,IF(I140&lt;=20,3,IF(I140&lt;=35,4,IF(I140&lt;=50,6,7)))),IF(Q140="드묾",4,2))))))</x:f>
        <x:v>5</x:v>
      </x:c>
      <x:c r="Z140" s="5" t="inlineStr">
        <x:is>
          <x:t xml:space="preserve">#cobblemon:is_badlands; #cobblemon:is_desert; #cobblemon:is_overworld</x:t>
        </x:is>
      </x:c>
      <x:c r="AA140" s="5" t="inlineStr">
        <x:is>
          <x:t xml:space="preserve">ultra-rare; uncommon</x:t>
        </x:is>
      </x:c>
      <x:c r="AB140" s="5" t="inlineStr">
        <x:is>
          <x:t xml:space="preserve">예</x:t>
        </x:is>
      </x:c>
      <x:c r="AC140" s="8" t="str">
        <x:f>IF(T140&lt;&gt;"","수동확정",IF(X140="검토필요","검토필요",IF(S140="","원본없음","초기완료")))</x:f>
        <x:v>검토필요</x:v>
      </x:c>
      <x:c r="AD140" s="7" t="inlineStr">
        <x:is>
          <x:t xml:space="preserve"/>
        </x:is>
      </x:c>
      <x:c r="AE140" s="5" t="inlineStr">
        <x:is>
          <x:t xml:space="preserve">.tmp/cobblemon-1.7.3-source/common/src/main/resources/data/cobblemon/species/generation1/flareon.json</x:t>
        </x:is>
      </x:c>
      <x:c r="AF140" s="5" t="str">
        <x:f>"생활권|"&amp;K140</x:f>
        <x:v>생활권|육상</x:v>
      </x:c>
      <x:c r="AG140" s="5" t="str">
        <x:f>"지형|"&amp;L140</x:f>
        <x:v>지형|건조</x:v>
      </x:c>
      <x:c r="AH140" s="5" t="str">
        <x:f>"온도|"&amp;M140</x:f>
        <x:v>온도|고온</x:v>
      </x:c>
      <x:c r="AI140" s="5" t="str">
        <x:f>"습도|"&amp;N140</x:f>
        <x:v>습도|건조</x:v>
      </x:c>
      <x:c r="AJ140" s="5" t="str">
        <x:f>"날씨|"&amp;O140</x:f>
        <x:v>날씨|맑음</x:v>
      </x:c>
      <x:c r="AK140" s="5" t="str">
        <x:f>"특수태그|"&amp;R140</x:f>
        <x:v>특수태그|없음</x:v>
      </x:c>
      <x:c r="AL140" s="5" t="str">
        <x:f>"원본서식지|"&amp;S140</x:f>
        <x:v>원본서식지|건조지</x:v>
      </x:c>
      <x:c r="AM140" s="5" t="str">
        <x:f>"타입|"&amp;F140</x:f>
        <x:v>타입|불꽃</x:v>
      </x:c>
      <x:c r="AN140" s="5" t="str">
        <x:f>"타입|"&amp;G140</x:f>
        <x:v>타입|</x:v>
      </x:c>
    </x:row>
    <x:row r="141" ht="24" customHeight="1">
      <x:c r="A141" s="5" t="n">
        <x:v>137</x:v>
      </x:c>
      <x:c r="B141" s="5" t="inlineStr">
        <x:is>
          <x:t xml:space="preserve">폴리곤</x:t>
        </x:is>
      </x:c>
      <x:c r="C141" s="5" t="inlineStr">
        <x:is>
          <x:t xml:space="preserve">porygon</x:t>
        </x:is>
      </x:c>
      <x:c r="D141" s="5" t="inlineStr">
        <x:is>
          <x:t xml:space="preserve">Porygon</x:t>
        </x:is>
      </x:c>
      <x:c r="E141" s="5" t="n">
        <x:v>1</x:v>
      </x:c>
      <x:c r="F141" s="5" t="inlineStr">
        <x:is>
          <x:t xml:space="preserve">노말</x:t>
        </x:is>
      </x:c>
      <x:c r="G141" s="5" t="inlineStr">
        <x:is>
          <x:t xml:space="preserve"/>
        </x:is>
      </x:c>
      <x:c r="H141" s="6" t="n">
        <x:v>36.5</x:v>
      </x:c>
      <x:c r="I141" s="5" t="n"/>
      <x:c r="J141" s="5" t="inlineStr">
        <x:is>
          <x:t xml:space="preserve">기본</x:t>
        </x:is>
      </x:c>
      <x:c r="K141" s="7" t="inlineStr">
        <x:is>
          <x:t xml:space="preserve">인공</x:t>
        </x:is>
      </x:c>
      <x:c r="L141" s="7" t="inlineStr">
        <x:is>
          <x:t xml:space="preserve">도시</x:t>
        </x:is>
      </x:c>
      <x:c r="M141" s="7" t="inlineStr">
        <x:is>
          <x:t xml:space="preserve">온대</x:t>
        </x:is>
      </x:c>
      <x:c r="N141" s="7" t="inlineStr">
        <x:is>
          <x:t xml:space="preserve">보통</x:t>
        </x:is>
      </x:c>
      <x:c r="O141" s="7" t="inlineStr">
        <x:is>
          <x:t xml:space="preserve">무관</x:t>
        </x:is>
      </x:c>
      <x:c r="P141" s="7" t="inlineStr">
        <x:is>
          <x:t xml:space="preserve">무관</x:t>
        </x:is>
      </x:c>
      <x:c r="Q141" s="7" t="inlineStr">
        <x:is>
          <x:t xml:space="preserve">보통</x:t>
        </x:is>
      </x:c>
      <x:c r="R141" s="7" t="inlineStr">
        <x:is>
          <x:t xml:space="preserve">도시</x:t>
        </x:is>
      </x:c>
      <x:c r="S141" s="7" t="inlineStr">
        <x:is>
          <x:t xml:space="preserve"/>
        </x:is>
      </x:c>
      <x:c r="T141" s="7" t="inlineStr">
        <x:is>
          <x:t xml:space="preserve"/>
        </x:is>
      </x:c>
      <x:c r="U141" s="8" t="str">
        <x:f>INDEX('서식지_점수'!$E$4:$P$4,1,MATCH(MAX('서식지_점수'!E141:P141),'서식지_점수'!E141:P141,0))</x:f>
        <x:v>도시</x:v>
      </x:c>
      <x:c r="V141" s="8" t="str">
        <x:f>IF(T141&lt;&gt;"",T141,U141)</x:f>
        <x:v>도시</x:v>
      </x:c>
      <x:c r="W141" s="8" t="str">
        <x:f>IFERROR(INDEX('서식지_점수'!$E$4:$P$4,1,MATCH(MAXIFS('서식지_점수'!E141:P141,'서식지_점수'!E141:P141,"&lt;"&amp;MAX('서식지_점수'!E141:P141)),'서식지_점수'!E141:P141,0)),"")</x:f>
        <x:v>특수</x:v>
      </x:c>
      <x:c r="X141" s="8" t="str">
        <x:f>IF(T141&lt;&gt;"","수동확정",IF(MAX('서식지_점수'!E141:P141)-LARGE('서식지_점수'!E141:P141,2)&gt;=15,"높음",IF(MAX('서식지_점수'!E141:P141)-LARGE('서식지_점수'!E141:P141,2)&gt;=8,"보통","검토필요")))</x:f>
        <x:v>높음</x:v>
      </x:c>
      <x:c r="Y141" s="9" t="n">
        <x:f>IF(Q141="전설",8,IF(Q141="희귀",7,IF(J141="기본",1,IF(J141="중간",3,IF(J141="최종",IF(I141="",5,IF(I141&lt;=20,3,IF(I141&lt;=35,4,IF(I141&lt;=50,6,7)))),IF(Q141="드묾",4,2))))))</x:f>
        <x:v>1</x:v>
      </x:c>
      <x:c r="Z141" s="5" t="inlineStr">
        <x:is>
          <x:t xml:space="preserve">#cobblemon:is_end</x:t>
        </x:is>
      </x:c>
      <x:c r="AA141" s="5" t="inlineStr">
        <x:is>
          <x:t xml:space="preserve">uncommon</x:t>
        </x:is>
      </x:c>
      <x:c r="AB141" s="5" t="inlineStr">
        <x:is>
          <x:t xml:space="preserve">예</x:t>
        </x:is>
      </x:c>
      <x:c r="AC141" s="8" t="str">
        <x:f>IF(T141&lt;&gt;"","수동확정",IF(X141="검토필요","검토필요",IF(S141="","원본없음","초기완료")))</x:f>
        <x:v>원본없음</x:v>
      </x:c>
      <x:c r="AD141" s="7" t="inlineStr">
        <x:is>
          <x:t xml:space="preserve"/>
        </x:is>
      </x:c>
      <x:c r="AE141" s="5" t="inlineStr">
        <x:is>
          <x:t xml:space="preserve">.tmp/cobblemon-1.7.3-source/common/src/main/resources/data/cobblemon/species/generation1/porygon.json</x:t>
        </x:is>
      </x:c>
      <x:c r="AF141" s="5" t="str">
        <x:f>"생활권|"&amp;K141</x:f>
        <x:v>생활권|인공</x:v>
      </x:c>
      <x:c r="AG141" s="5" t="str">
        <x:f>"지형|"&amp;L141</x:f>
        <x:v>지형|도시</x:v>
      </x:c>
      <x:c r="AH141" s="5" t="str">
        <x:f>"온도|"&amp;M141</x:f>
        <x:v>온도|온대</x:v>
      </x:c>
      <x:c r="AI141" s="5" t="str">
        <x:f>"습도|"&amp;N141</x:f>
        <x:v>습도|보통</x:v>
      </x:c>
      <x:c r="AJ141" s="5" t="str">
        <x:f>"날씨|"&amp;O141</x:f>
        <x:v>날씨|무관</x:v>
      </x:c>
      <x:c r="AK141" s="5" t="str">
        <x:f>"특수태그|"&amp;R141</x:f>
        <x:v>특수태그|도시</x:v>
      </x:c>
      <x:c r="AL141" s="5" t="str">
        <x:f>"원본서식지|"&amp;S141</x:f>
        <x:v>원본서식지|</x:v>
      </x:c>
      <x:c r="AM141" s="5" t="str">
        <x:f>"타입|"&amp;F141</x:f>
        <x:v>타입|노말</x:v>
      </x:c>
      <x:c r="AN141" s="5" t="str">
        <x:f>"타입|"&amp;G141</x:f>
        <x:v>타입|</x:v>
      </x:c>
    </x:row>
    <x:row r="142" ht="24" customHeight="1">
      <x:c r="A142" s="5" t="n">
        <x:v>138</x:v>
      </x:c>
      <x:c r="B142" s="5" t="inlineStr">
        <x:is>
          <x:t xml:space="preserve">암나이트</x:t>
        </x:is>
      </x:c>
      <x:c r="C142" s="5" t="inlineStr">
        <x:is>
          <x:t xml:space="preserve">omanyte</x:t>
        </x:is>
      </x:c>
      <x:c r="D142" s="5" t="inlineStr">
        <x:is>
          <x:t xml:space="preserve">Omanyte</x:t>
        </x:is>
      </x:c>
      <x:c r="E142" s="5" t="n">
        <x:v>1</x:v>
      </x:c>
      <x:c r="F142" s="5" t="inlineStr">
        <x:is>
          <x:t xml:space="preserve">바위</x:t>
        </x:is>
      </x:c>
      <x:c r="G142" s="5" t="inlineStr">
        <x:is>
          <x:t xml:space="preserve">물</x:t>
        </x:is>
      </x:c>
      <x:c r="H142" s="6" t="n">
        <x:v>7.5</x:v>
      </x:c>
      <x:c r="I142" s="5" t="n">
        <x:v>40</x:v>
      </x:c>
      <x:c r="J142" s="5" t="inlineStr">
        <x:is>
          <x:t xml:space="preserve">기본</x:t>
        </x:is>
      </x:c>
      <x:c r="K142" s="7" t="inlineStr">
        <x:is>
          <x:t xml:space="preserve">수륙</x:t>
        </x:is>
      </x:c>
      <x:c r="L142" s="7" t="inlineStr">
        <x:is>
          <x:t xml:space="preserve">암석</x:t>
        </x:is>
      </x:c>
      <x:c r="M142" s="7" t="inlineStr">
        <x:is>
          <x:t xml:space="preserve">온대</x:t>
        </x:is>
      </x:c>
      <x:c r="N142" s="7" t="inlineStr">
        <x:is>
          <x:t xml:space="preserve">보통</x:t>
        </x:is>
      </x:c>
      <x:c r="O142" s="7" t="inlineStr">
        <x:is>
          <x:t xml:space="preserve">무관</x:t>
        </x:is>
      </x:c>
      <x:c r="P142" s="7" t="inlineStr">
        <x:is>
          <x:t xml:space="preserve">무관</x:t>
        </x:is>
      </x:c>
      <x:c r="Q142" s="7" t="inlineStr">
        <x:is>
          <x:t xml:space="preserve">희귀</x:t>
        </x:is>
      </x:c>
      <x:c r="R142" s="7" t="inlineStr">
        <x:is>
          <x:t xml:space="preserve">없음</x:t>
        </x:is>
      </x:c>
      <x:c r="S142" s="7" t="inlineStr">
        <x:is>
          <x:t xml:space="preserve"/>
        </x:is>
      </x:c>
      <x:c r="T142" s="7" t="inlineStr">
        <x:is>
          <x:t xml:space="preserve"/>
        </x:is>
      </x:c>
      <x:c r="U142" s="8" t="str">
        <x:f>INDEX('서식지_점수'!$E$4:$P$4,1,MATCH(MAX('서식지_점수'!E142:P142),'서식지_점수'!E142:P142,0))</x:f>
        <x:v>습지</x:v>
      </x:c>
      <x:c r="V142" s="8" t="str">
        <x:f>IF(T142&lt;&gt;"",T142,U142)</x:f>
        <x:v>습지</x:v>
      </x:c>
      <x:c r="W142" s="8" t="str">
        <x:f>IFERROR(INDEX('서식지_점수'!$E$4:$P$4,1,MATCH(MAXIFS('서식지_점수'!E142:P142,'서식지_점수'!E142:P142,"&lt;"&amp;MAX('서식지_점수'!E142:P142)),'서식지_점수'!E142:P142,0)),"")</x:f>
        <x:v>담수</x:v>
      </x:c>
      <x:c r="X142" s="8" t="str">
        <x:f>IF(T142&lt;&gt;"","수동확정",IF(MAX('서식지_점수'!E142:P142)-LARGE('서식지_점수'!E142:P142,2)&gt;=15,"높음",IF(MAX('서식지_점수'!E142:P142)-LARGE('서식지_점수'!E142:P142,2)&gt;=8,"보통","검토필요")))</x:f>
        <x:v>검토필요</x:v>
      </x:c>
      <x:c r="Y142" s="9" t="n">
        <x:f>IF(Q142="전설",8,IF(Q142="희귀",7,IF(J142="기본",1,IF(J142="중간",3,IF(J142="최종",IF(I142="",5,IF(I142&lt;=20,3,IF(I142&lt;=35,4,IF(I142&lt;=50,6,7)))),IF(Q142="드묾",4,2))))))</x:f>
        <x:v>7</x:v>
      </x:c>
      <x:c r="Z142" s="5" t="inlineStr">
        <x:is>
          <x:t xml:space="preserve">#cobblemon:is_lush</x:t>
        </x:is>
      </x:c>
      <x:c r="AA142" s="5" t="inlineStr">
        <x:is>
          <x:t xml:space="preserve">ultra-rare</x:t>
        </x:is>
      </x:c>
      <x:c r="AB142" s="5" t="inlineStr">
        <x:is>
          <x:t xml:space="preserve">예</x:t>
        </x:is>
      </x:c>
      <x:c r="AC142" s="8" t="str">
        <x:f>IF(T142&lt;&gt;"","수동확정",IF(X142="검토필요","검토필요",IF(S142="","원본없음","초기완료")))</x:f>
        <x:v>검토필요</x:v>
      </x:c>
      <x:c r="AD142" s="7" t="inlineStr">
        <x:is>
          <x:t xml:space="preserve"/>
        </x:is>
      </x:c>
      <x:c r="AE142" s="5" t="inlineStr">
        <x:is>
          <x:t xml:space="preserve">.tmp/cobblemon-1.7.3-source/common/src/main/resources/data/cobblemon/species/generation1/omanyte.json</x:t>
        </x:is>
      </x:c>
      <x:c r="AF142" s="5" t="str">
        <x:f>"생활권|"&amp;K142</x:f>
        <x:v>생활권|수륙</x:v>
      </x:c>
      <x:c r="AG142" s="5" t="str">
        <x:f>"지형|"&amp;L142</x:f>
        <x:v>지형|암석</x:v>
      </x:c>
      <x:c r="AH142" s="5" t="str">
        <x:f>"온도|"&amp;M142</x:f>
        <x:v>온도|온대</x:v>
      </x:c>
      <x:c r="AI142" s="5" t="str">
        <x:f>"습도|"&amp;N142</x:f>
        <x:v>습도|보통</x:v>
      </x:c>
      <x:c r="AJ142" s="5" t="str">
        <x:f>"날씨|"&amp;O142</x:f>
        <x:v>날씨|무관</x:v>
      </x:c>
      <x:c r="AK142" s="5" t="str">
        <x:f>"특수태그|"&amp;R142</x:f>
        <x:v>특수태그|없음</x:v>
      </x:c>
      <x:c r="AL142" s="5" t="str">
        <x:f>"원본서식지|"&amp;S142</x:f>
        <x:v>원본서식지|</x:v>
      </x:c>
      <x:c r="AM142" s="5" t="str">
        <x:f>"타입|"&amp;F142</x:f>
        <x:v>타입|바위</x:v>
      </x:c>
      <x:c r="AN142" s="5" t="str">
        <x:f>"타입|"&amp;G142</x:f>
        <x:v>타입|물</x:v>
      </x:c>
    </x:row>
    <x:row r="143" ht="24" customHeight="1">
      <x:c r="A143" s="5" t="n">
        <x:v>139</x:v>
      </x:c>
      <x:c r="B143" s="5" t="inlineStr">
        <x:is>
          <x:t xml:space="preserve">암스타</x:t>
        </x:is>
      </x:c>
      <x:c r="C143" s="5" t="inlineStr">
        <x:is>
          <x:t xml:space="preserve">omastar</x:t>
        </x:is>
      </x:c>
      <x:c r="D143" s="5" t="inlineStr">
        <x:is>
          <x:t xml:space="preserve">Omastar</x:t>
        </x:is>
      </x:c>
      <x:c r="E143" s="5" t="n">
        <x:v>1</x:v>
      </x:c>
      <x:c r="F143" s="5" t="inlineStr">
        <x:is>
          <x:t xml:space="preserve">바위</x:t>
        </x:is>
      </x:c>
      <x:c r="G143" s="5" t="inlineStr">
        <x:is>
          <x:t xml:space="preserve">물</x:t>
        </x:is>
      </x:c>
      <x:c r="H143" s="6" t="n">
        <x:v>35</x:v>
      </x:c>
      <x:c r="I143" s="5" t="n">
        <x:v>40</x:v>
      </x:c>
      <x:c r="J143" s="5" t="inlineStr">
        <x:is>
          <x:t xml:space="preserve">최종</x:t>
        </x:is>
      </x:c>
      <x:c r="K143" s="7" t="inlineStr">
        <x:is>
          <x:t xml:space="preserve">수륙</x:t>
        </x:is>
      </x:c>
      <x:c r="L143" s="7" t="inlineStr">
        <x:is>
          <x:t xml:space="preserve">암석</x:t>
        </x:is>
      </x:c>
      <x:c r="M143" s="7" t="inlineStr">
        <x:is>
          <x:t xml:space="preserve">온대</x:t>
        </x:is>
      </x:c>
      <x:c r="N143" s="7" t="inlineStr">
        <x:is>
          <x:t xml:space="preserve">보통</x:t>
        </x:is>
      </x:c>
      <x:c r="O143" s="7" t="inlineStr">
        <x:is>
          <x:t xml:space="preserve">무관</x:t>
        </x:is>
      </x:c>
      <x:c r="P143" s="7" t="inlineStr">
        <x:is>
          <x:t xml:space="preserve">무관</x:t>
        </x:is>
      </x:c>
      <x:c r="Q143" s="7" t="inlineStr">
        <x:is>
          <x:t xml:space="preserve">희귀</x:t>
        </x:is>
      </x:c>
      <x:c r="R143" s="7" t="inlineStr">
        <x:is>
          <x:t xml:space="preserve">없음</x:t>
        </x:is>
      </x:c>
      <x:c r="S143" s="7" t="inlineStr">
        <x:is>
          <x:t xml:space="preserve"/>
        </x:is>
      </x:c>
      <x:c r="T143" s="7" t="inlineStr">
        <x:is>
          <x:t xml:space="preserve"/>
        </x:is>
      </x:c>
      <x:c r="U143" s="8" t="str">
        <x:f>INDEX('서식지_점수'!$E$4:$P$4,1,MATCH(MAX('서식지_점수'!E143:P143),'서식지_점수'!E143:P143,0))</x:f>
        <x:v>습지</x:v>
      </x:c>
      <x:c r="V143" s="8" t="str">
        <x:f>IF(T143&lt;&gt;"",T143,U143)</x:f>
        <x:v>습지</x:v>
      </x:c>
      <x:c r="W143" s="8" t="str">
        <x:f>IFERROR(INDEX('서식지_점수'!$E$4:$P$4,1,MATCH(MAXIFS('서식지_점수'!E143:P143,'서식지_점수'!E143:P143,"&lt;"&amp;MAX('서식지_점수'!E143:P143)),'서식지_점수'!E143:P143,0)),"")</x:f>
        <x:v>담수</x:v>
      </x:c>
      <x:c r="X143" s="8" t="str">
        <x:f>IF(T143&lt;&gt;"","수동확정",IF(MAX('서식지_점수'!E143:P143)-LARGE('서식지_점수'!E143:P143,2)&gt;=15,"높음",IF(MAX('서식지_점수'!E143:P143)-LARGE('서식지_점수'!E143:P143,2)&gt;=8,"보통","검토필요")))</x:f>
        <x:v>검토필요</x:v>
      </x:c>
      <x:c r="Y143" s="9" t="n">
        <x:f>IF(Q143="전설",8,IF(Q143="희귀",7,IF(J143="기본",1,IF(J143="중간",3,IF(J143="최종",IF(I143="",5,IF(I143&lt;=20,3,IF(I143&lt;=35,4,IF(I143&lt;=50,6,7)))),IF(Q143="드묾",4,2))))))</x:f>
        <x:v>7</x:v>
      </x:c>
      <x:c r="Z143" s="5" t="inlineStr">
        <x:is>
          <x:t xml:space="preserve">#cobblemon:is_lush</x:t>
        </x:is>
      </x:c>
      <x:c r="AA143" s="5" t="inlineStr">
        <x:is>
          <x:t xml:space="preserve">ultra-rare</x:t>
        </x:is>
      </x:c>
      <x:c r="AB143" s="5" t="inlineStr">
        <x:is>
          <x:t xml:space="preserve">예</x:t>
        </x:is>
      </x:c>
      <x:c r="AC143" s="8" t="str">
        <x:f>IF(T143&lt;&gt;"","수동확정",IF(X143="검토필요","검토필요",IF(S143="","원본없음","초기완료")))</x:f>
        <x:v>검토필요</x:v>
      </x:c>
      <x:c r="AD143" s="7" t="inlineStr">
        <x:is>
          <x:t xml:space="preserve"/>
        </x:is>
      </x:c>
      <x:c r="AE143" s="5" t="inlineStr">
        <x:is>
          <x:t xml:space="preserve">.tmp/cobblemon-1.7.3-source/common/src/main/resources/data/cobblemon/species/generation1/omastar.json</x:t>
        </x:is>
      </x:c>
      <x:c r="AF143" s="5" t="str">
        <x:f>"생활권|"&amp;K143</x:f>
        <x:v>생활권|수륙</x:v>
      </x:c>
      <x:c r="AG143" s="5" t="str">
        <x:f>"지형|"&amp;L143</x:f>
        <x:v>지형|암석</x:v>
      </x:c>
      <x:c r="AH143" s="5" t="str">
        <x:f>"온도|"&amp;M143</x:f>
        <x:v>온도|온대</x:v>
      </x:c>
      <x:c r="AI143" s="5" t="str">
        <x:f>"습도|"&amp;N143</x:f>
        <x:v>습도|보통</x:v>
      </x:c>
      <x:c r="AJ143" s="5" t="str">
        <x:f>"날씨|"&amp;O143</x:f>
        <x:v>날씨|무관</x:v>
      </x:c>
      <x:c r="AK143" s="5" t="str">
        <x:f>"특수태그|"&amp;R143</x:f>
        <x:v>특수태그|없음</x:v>
      </x:c>
      <x:c r="AL143" s="5" t="str">
        <x:f>"원본서식지|"&amp;S143</x:f>
        <x:v>원본서식지|</x:v>
      </x:c>
      <x:c r="AM143" s="5" t="str">
        <x:f>"타입|"&amp;F143</x:f>
        <x:v>타입|바위</x:v>
      </x:c>
      <x:c r="AN143" s="5" t="str">
        <x:f>"타입|"&amp;G143</x:f>
        <x:v>타입|물</x:v>
      </x:c>
    </x:row>
    <x:row r="144" ht="24" customHeight="1">
      <x:c r="A144" s="5" t="n">
        <x:v>140</x:v>
      </x:c>
      <x:c r="B144" s="5" t="inlineStr">
        <x:is>
          <x:t xml:space="preserve">투구</x:t>
        </x:is>
      </x:c>
      <x:c r="C144" s="5" t="inlineStr">
        <x:is>
          <x:t xml:space="preserve">kabuto</x:t>
        </x:is>
      </x:c>
      <x:c r="D144" s="5" t="inlineStr">
        <x:is>
          <x:t xml:space="preserve">Kabuto</x:t>
        </x:is>
      </x:c>
      <x:c r="E144" s="5" t="n">
        <x:v>1</x:v>
      </x:c>
      <x:c r="F144" s="5" t="inlineStr">
        <x:is>
          <x:t xml:space="preserve">바위</x:t>
        </x:is>
      </x:c>
      <x:c r="G144" s="5" t="inlineStr">
        <x:is>
          <x:t xml:space="preserve">물</x:t>
        </x:is>
      </x:c>
      <x:c r="H144" s="6" t="n">
        <x:v>11.5</x:v>
      </x:c>
      <x:c r="I144" s="5" t="n">
        <x:v>40</x:v>
      </x:c>
      <x:c r="J144" s="5" t="inlineStr">
        <x:is>
          <x:t xml:space="preserve">기본</x:t>
        </x:is>
      </x:c>
      <x:c r="K144" s="7" t="inlineStr">
        <x:is>
          <x:t xml:space="preserve">수륙</x:t>
        </x:is>
      </x:c>
      <x:c r="L144" s="7" t="inlineStr">
        <x:is>
          <x:t xml:space="preserve">암석</x:t>
        </x:is>
      </x:c>
      <x:c r="M144" s="7" t="inlineStr">
        <x:is>
          <x:t xml:space="preserve">온대</x:t>
        </x:is>
      </x:c>
      <x:c r="N144" s="7" t="inlineStr">
        <x:is>
          <x:t xml:space="preserve">보통</x:t>
        </x:is>
      </x:c>
      <x:c r="O144" s="7" t="inlineStr">
        <x:is>
          <x:t xml:space="preserve">무관</x:t>
        </x:is>
      </x:c>
      <x:c r="P144" s="7" t="inlineStr">
        <x:is>
          <x:t xml:space="preserve">무관</x:t>
        </x:is>
      </x:c>
      <x:c r="Q144" s="7" t="inlineStr">
        <x:is>
          <x:t xml:space="preserve">희귀</x:t>
        </x:is>
      </x:c>
      <x:c r="R144" s="7" t="inlineStr">
        <x:is>
          <x:t xml:space="preserve">없음</x:t>
        </x:is>
      </x:c>
      <x:c r="S144" s="7" t="inlineStr">
        <x:is>
          <x:t xml:space="preserve"/>
        </x:is>
      </x:c>
      <x:c r="T144" s="7" t="inlineStr">
        <x:is>
          <x:t xml:space="preserve"/>
        </x:is>
      </x:c>
      <x:c r="U144" s="8" t="str">
        <x:f>INDEX('서식지_점수'!$E$4:$P$4,1,MATCH(MAX('서식지_점수'!E144:P144),'서식지_점수'!E144:P144,0))</x:f>
        <x:v>습지</x:v>
      </x:c>
      <x:c r="V144" s="8" t="str">
        <x:f>IF(T144&lt;&gt;"",T144,U144)</x:f>
        <x:v>습지</x:v>
      </x:c>
      <x:c r="W144" s="8" t="str">
        <x:f>IFERROR(INDEX('서식지_점수'!$E$4:$P$4,1,MATCH(MAXIFS('서식지_점수'!E144:P144,'서식지_점수'!E144:P144,"&lt;"&amp;MAX('서식지_점수'!E144:P144)),'서식지_점수'!E144:P144,0)),"")</x:f>
        <x:v>담수</x:v>
      </x:c>
      <x:c r="X144" s="8" t="str">
        <x:f>IF(T144&lt;&gt;"","수동확정",IF(MAX('서식지_점수'!E144:P144)-LARGE('서식지_점수'!E144:P144,2)&gt;=15,"높음",IF(MAX('서식지_점수'!E144:P144)-LARGE('서식지_점수'!E144:P144,2)&gt;=8,"보통","검토필요")))</x:f>
        <x:v>검토필요</x:v>
      </x:c>
      <x:c r="Y144" s="9" t="n">
        <x:f>IF(Q144="전설",8,IF(Q144="희귀",7,IF(J144="기본",1,IF(J144="중간",3,IF(J144="최종",IF(I144="",5,IF(I144&lt;=20,3,IF(I144&lt;=35,4,IF(I144&lt;=50,6,7)))),IF(Q144="드묾",4,2))))))</x:f>
        <x:v>7</x:v>
      </x:c>
      <x:c r="Z144" s="5" t="inlineStr">
        <x:is>
          <x:t xml:space="preserve">#cobblemon:is_lush</x:t>
        </x:is>
      </x:c>
      <x:c r="AA144" s="5" t="inlineStr">
        <x:is>
          <x:t xml:space="preserve">ultra-rare</x:t>
        </x:is>
      </x:c>
      <x:c r="AB144" s="5" t="inlineStr">
        <x:is>
          <x:t xml:space="preserve">예</x:t>
        </x:is>
      </x:c>
      <x:c r="AC144" s="8" t="str">
        <x:f>IF(T144&lt;&gt;"","수동확정",IF(X144="검토필요","검토필요",IF(S144="","원본없음","초기완료")))</x:f>
        <x:v>검토필요</x:v>
      </x:c>
      <x:c r="AD144" s="7" t="inlineStr">
        <x:is>
          <x:t xml:space="preserve"/>
        </x:is>
      </x:c>
      <x:c r="AE144" s="5" t="inlineStr">
        <x:is>
          <x:t xml:space="preserve">.tmp/cobblemon-1.7.3-source/common/src/main/resources/data/cobblemon/species/generation1/kabuto.json</x:t>
        </x:is>
      </x:c>
      <x:c r="AF144" s="5" t="str">
        <x:f>"생활권|"&amp;K144</x:f>
        <x:v>생활권|수륙</x:v>
      </x:c>
      <x:c r="AG144" s="5" t="str">
        <x:f>"지형|"&amp;L144</x:f>
        <x:v>지형|암석</x:v>
      </x:c>
      <x:c r="AH144" s="5" t="str">
        <x:f>"온도|"&amp;M144</x:f>
        <x:v>온도|온대</x:v>
      </x:c>
      <x:c r="AI144" s="5" t="str">
        <x:f>"습도|"&amp;N144</x:f>
        <x:v>습도|보통</x:v>
      </x:c>
      <x:c r="AJ144" s="5" t="str">
        <x:f>"날씨|"&amp;O144</x:f>
        <x:v>날씨|무관</x:v>
      </x:c>
      <x:c r="AK144" s="5" t="str">
        <x:f>"특수태그|"&amp;R144</x:f>
        <x:v>특수태그|없음</x:v>
      </x:c>
      <x:c r="AL144" s="5" t="str">
        <x:f>"원본서식지|"&amp;S144</x:f>
        <x:v>원본서식지|</x:v>
      </x:c>
      <x:c r="AM144" s="5" t="str">
        <x:f>"타입|"&amp;F144</x:f>
        <x:v>타입|바위</x:v>
      </x:c>
      <x:c r="AN144" s="5" t="str">
        <x:f>"타입|"&amp;G144</x:f>
        <x:v>타입|물</x:v>
      </x:c>
    </x:row>
    <x:row r="145" ht="24" customHeight="1">
      <x:c r="A145" s="5" t="n">
        <x:v>141</x:v>
      </x:c>
      <x:c r="B145" s="5" t="inlineStr">
        <x:is>
          <x:t xml:space="preserve">투구푸스</x:t>
        </x:is>
      </x:c>
      <x:c r="C145" s="5" t="inlineStr">
        <x:is>
          <x:t xml:space="preserve">kabutops</x:t>
        </x:is>
      </x:c>
      <x:c r="D145" s="5" t="inlineStr">
        <x:is>
          <x:t xml:space="preserve">Kabutops</x:t>
        </x:is>
      </x:c>
      <x:c r="E145" s="5" t="n">
        <x:v>1</x:v>
      </x:c>
      <x:c r="F145" s="5" t="inlineStr">
        <x:is>
          <x:t xml:space="preserve">바위</x:t>
        </x:is>
      </x:c>
      <x:c r="G145" s="5" t="inlineStr">
        <x:is>
          <x:t xml:space="preserve">물</x:t>
        </x:is>
      </x:c>
      <x:c r="H145" s="6" t="n">
        <x:v>40.5</x:v>
      </x:c>
      <x:c r="I145" s="5" t="n">
        <x:v>40</x:v>
      </x:c>
      <x:c r="J145" s="5" t="inlineStr">
        <x:is>
          <x:t xml:space="preserve">최종</x:t>
        </x:is>
      </x:c>
      <x:c r="K145" s="7" t="inlineStr">
        <x:is>
          <x:t xml:space="preserve">수륙</x:t>
        </x:is>
      </x:c>
      <x:c r="L145" s="7" t="inlineStr">
        <x:is>
          <x:t xml:space="preserve">암석</x:t>
        </x:is>
      </x:c>
      <x:c r="M145" s="7" t="inlineStr">
        <x:is>
          <x:t xml:space="preserve">온대</x:t>
        </x:is>
      </x:c>
      <x:c r="N145" s="7" t="inlineStr">
        <x:is>
          <x:t xml:space="preserve">보통</x:t>
        </x:is>
      </x:c>
      <x:c r="O145" s="7" t="inlineStr">
        <x:is>
          <x:t xml:space="preserve">무관</x:t>
        </x:is>
      </x:c>
      <x:c r="P145" s="7" t="inlineStr">
        <x:is>
          <x:t xml:space="preserve">무관</x:t>
        </x:is>
      </x:c>
      <x:c r="Q145" s="7" t="inlineStr">
        <x:is>
          <x:t xml:space="preserve">희귀</x:t>
        </x:is>
      </x:c>
      <x:c r="R145" s="7" t="inlineStr">
        <x:is>
          <x:t xml:space="preserve">없음</x:t>
        </x:is>
      </x:c>
      <x:c r="S145" s="7" t="inlineStr">
        <x:is>
          <x:t xml:space="preserve"/>
        </x:is>
      </x:c>
      <x:c r="T145" s="7" t="inlineStr">
        <x:is>
          <x:t xml:space="preserve"/>
        </x:is>
      </x:c>
      <x:c r="U145" s="8" t="str">
        <x:f>INDEX('서식지_점수'!$E$4:$P$4,1,MATCH(MAX('서식지_점수'!E145:P145),'서식지_점수'!E145:P145,0))</x:f>
        <x:v>습지</x:v>
      </x:c>
      <x:c r="V145" s="8" t="str">
        <x:f>IF(T145&lt;&gt;"",T145,U145)</x:f>
        <x:v>습지</x:v>
      </x:c>
      <x:c r="W145" s="8" t="str">
        <x:f>IFERROR(INDEX('서식지_점수'!$E$4:$P$4,1,MATCH(MAXIFS('서식지_점수'!E145:P145,'서식지_점수'!E145:P145,"&lt;"&amp;MAX('서식지_점수'!E145:P145)),'서식지_점수'!E145:P145,0)),"")</x:f>
        <x:v>담수</x:v>
      </x:c>
      <x:c r="X145" s="8" t="str">
        <x:f>IF(T145&lt;&gt;"","수동확정",IF(MAX('서식지_점수'!E145:P145)-LARGE('서식지_점수'!E145:P145,2)&gt;=15,"높음",IF(MAX('서식지_점수'!E145:P145)-LARGE('서식지_점수'!E145:P145,2)&gt;=8,"보통","검토필요")))</x:f>
        <x:v>검토필요</x:v>
      </x:c>
      <x:c r="Y145" s="9" t="n">
        <x:f>IF(Q145="전설",8,IF(Q145="희귀",7,IF(J145="기본",1,IF(J145="중간",3,IF(J145="최종",IF(I145="",5,IF(I145&lt;=20,3,IF(I145&lt;=35,4,IF(I145&lt;=50,6,7)))),IF(Q145="드묾",4,2))))))</x:f>
        <x:v>7</x:v>
      </x:c>
      <x:c r="Z145" s="5" t="inlineStr">
        <x:is>
          <x:t xml:space="preserve">#cobblemon:is_lush</x:t>
        </x:is>
      </x:c>
      <x:c r="AA145" s="5" t="inlineStr">
        <x:is>
          <x:t xml:space="preserve">ultra-rare</x:t>
        </x:is>
      </x:c>
      <x:c r="AB145" s="5" t="inlineStr">
        <x:is>
          <x:t xml:space="preserve">예</x:t>
        </x:is>
      </x:c>
      <x:c r="AC145" s="8" t="str">
        <x:f>IF(T145&lt;&gt;"","수동확정",IF(X145="검토필요","검토필요",IF(S145="","원본없음","초기완료")))</x:f>
        <x:v>검토필요</x:v>
      </x:c>
      <x:c r="AD145" s="7" t="inlineStr">
        <x:is>
          <x:t xml:space="preserve"/>
        </x:is>
      </x:c>
      <x:c r="AE145" s="5" t="inlineStr">
        <x:is>
          <x:t xml:space="preserve">.tmp/cobblemon-1.7.3-source/common/src/main/resources/data/cobblemon/species/generation1/kabutops.json</x:t>
        </x:is>
      </x:c>
      <x:c r="AF145" s="5" t="str">
        <x:f>"생활권|"&amp;K145</x:f>
        <x:v>생활권|수륙</x:v>
      </x:c>
      <x:c r="AG145" s="5" t="str">
        <x:f>"지형|"&amp;L145</x:f>
        <x:v>지형|암석</x:v>
      </x:c>
      <x:c r="AH145" s="5" t="str">
        <x:f>"온도|"&amp;M145</x:f>
        <x:v>온도|온대</x:v>
      </x:c>
      <x:c r="AI145" s="5" t="str">
        <x:f>"습도|"&amp;N145</x:f>
        <x:v>습도|보통</x:v>
      </x:c>
      <x:c r="AJ145" s="5" t="str">
        <x:f>"날씨|"&amp;O145</x:f>
        <x:v>날씨|무관</x:v>
      </x:c>
      <x:c r="AK145" s="5" t="str">
        <x:f>"특수태그|"&amp;R145</x:f>
        <x:v>특수태그|없음</x:v>
      </x:c>
      <x:c r="AL145" s="5" t="str">
        <x:f>"원본서식지|"&amp;S145</x:f>
        <x:v>원본서식지|</x:v>
      </x:c>
      <x:c r="AM145" s="5" t="str">
        <x:f>"타입|"&amp;F145</x:f>
        <x:v>타입|바위</x:v>
      </x:c>
      <x:c r="AN145" s="5" t="str">
        <x:f>"타입|"&amp;G145</x:f>
        <x:v>타입|물</x:v>
      </x:c>
    </x:row>
    <x:row r="146" ht="24" customHeight="1">
      <x:c r="A146" s="5" t="n">
        <x:v>142</x:v>
      </x:c>
      <x:c r="B146" s="5" t="inlineStr">
        <x:is>
          <x:t xml:space="preserve">프테라</x:t>
        </x:is>
      </x:c>
      <x:c r="C146" s="5" t="inlineStr">
        <x:is>
          <x:t xml:space="preserve">aerodactyl</x:t>
        </x:is>
      </x:c>
      <x:c r="D146" s="5" t="inlineStr">
        <x:is>
          <x:t xml:space="preserve">Aerodactyl</x:t>
        </x:is>
      </x:c>
      <x:c r="E146" s="5" t="n">
        <x:v>1</x:v>
      </x:c>
      <x:c r="F146" s="5" t="inlineStr">
        <x:is>
          <x:t xml:space="preserve">바위</x:t>
        </x:is>
      </x:c>
      <x:c r="G146" s="5" t="inlineStr">
        <x:is>
          <x:t xml:space="preserve">비행</x:t>
        </x:is>
      </x:c>
      <x:c r="H146" s="6" t="n">
        <x:v>59</x:v>
      </x:c>
      <x:c r="I146" s="5" t="n"/>
      <x:c r="J146" s="5" t="inlineStr">
        <x:is>
          <x:t xml:space="preserve">무진화</x:t>
        </x:is>
      </x:c>
      <x:c r="K146" s="7" t="inlineStr">
        <x:is>
          <x:t xml:space="preserve">비행</x:t>
        </x:is>
      </x:c>
      <x:c r="L146" s="7" t="inlineStr">
        <x:is>
          <x:t xml:space="preserve">암석</x:t>
        </x:is>
      </x:c>
      <x:c r="M146" s="7" t="inlineStr">
        <x:is>
          <x:t xml:space="preserve">온대</x:t>
        </x:is>
      </x:c>
      <x:c r="N146" s="7" t="inlineStr">
        <x:is>
          <x:t xml:space="preserve">보통</x:t>
        </x:is>
      </x:c>
      <x:c r="O146" s="7" t="inlineStr">
        <x:is>
          <x:t xml:space="preserve">무관</x:t>
        </x:is>
      </x:c>
      <x:c r="P146" s="7" t="inlineStr">
        <x:is>
          <x:t xml:space="preserve">무관</x:t>
        </x:is>
      </x:c>
      <x:c r="Q146" s="7" t="inlineStr">
        <x:is>
          <x:t xml:space="preserve">희귀</x:t>
        </x:is>
      </x:c>
      <x:c r="R146" s="7" t="inlineStr">
        <x:is>
          <x:t xml:space="preserve">없음</x:t>
        </x:is>
      </x:c>
      <x:c r="S146" s="7" t="inlineStr">
        <x:is>
          <x:t xml:space="preserve"/>
        </x:is>
      </x:c>
      <x:c r="T146" s="7" t="inlineStr">
        <x:is>
          <x:t xml:space="preserve"/>
        </x:is>
      </x:c>
      <x:c r="U146" s="8" t="str">
        <x:f>INDEX('서식지_점수'!$E$4:$P$4,1,MATCH(MAX('서식지_점수'!E146:P146),'서식지_점수'!E146:P146,0))</x:f>
        <x:v>산악</x:v>
      </x:c>
      <x:c r="V146" s="8" t="str">
        <x:f>IF(T146&lt;&gt;"",T146,U146)</x:f>
        <x:v>산악</x:v>
      </x:c>
      <x:c r="W146" s="8" t="str">
        <x:f>IFERROR(INDEX('서식지_점수'!$E$4:$P$4,1,MATCH(MAXIFS('서식지_점수'!E146:P146,'서식지_점수'!E146:P146,"&lt;"&amp;MAX('서식지_점수'!E146:P146)),'서식지_점수'!E146:P146,0)),"")</x:f>
        <x:v>평원</x:v>
      </x:c>
      <x:c r="X146" s="8" t="str">
        <x:f>IF(T146&lt;&gt;"","수동확정",IF(MAX('서식지_점수'!E146:P146)-LARGE('서식지_점수'!E146:P146,2)&gt;=15,"높음",IF(MAX('서식지_점수'!E146:P146)-LARGE('서식지_점수'!E146:P146,2)&gt;=8,"보통","검토필요")))</x:f>
        <x:v>검토필요</x:v>
      </x:c>
      <x:c r="Y146" s="9" t="n">
        <x:f>IF(Q146="전설",8,IF(Q146="희귀",7,IF(J146="기본",1,IF(J146="중간",3,IF(J146="최종",IF(I146="",5,IF(I146&lt;=20,3,IF(I146&lt;=35,4,IF(I146&lt;=50,6,7)))),IF(Q146="드묾",4,2))))))</x:f>
        <x:v>7</x:v>
      </x:c>
      <x:c r="Z146" s="5" t="inlineStr">
        <x:is>
          <x:t xml:space="preserve">#cobblemon:is_lush</x:t>
        </x:is>
      </x:c>
      <x:c r="AA146" s="5" t="inlineStr">
        <x:is>
          <x:t xml:space="preserve">ultra-rare</x:t>
        </x:is>
      </x:c>
      <x:c r="AB146" s="5" t="inlineStr">
        <x:is>
          <x:t xml:space="preserve">예</x:t>
        </x:is>
      </x:c>
      <x:c r="AC146" s="8" t="str">
        <x:f>IF(T146&lt;&gt;"","수동확정",IF(X146="검토필요","검토필요",IF(S146="","원본없음","초기완료")))</x:f>
        <x:v>검토필요</x:v>
      </x:c>
      <x:c r="AD146" s="7" t="inlineStr">
        <x:is>
          <x:t xml:space="preserve"/>
        </x:is>
      </x:c>
      <x:c r="AE146" s="5" t="inlineStr">
        <x:is>
          <x:t xml:space="preserve">.tmp/cobblemon-1.7.3-source/common/src/main/resources/data/cobblemon/species/generation1/aerodactyl.json</x:t>
        </x:is>
      </x:c>
      <x:c r="AF146" s="5" t="str">
        <x:f>"생활권|"&amp;K146</x:f>
        <x:v>생활권|비행</x:v>
      </x:c>
      <x:c r="AG146" s="5" t="str">
        <x:f>"지형|"&amp;L146</x:f>
        <x:v>지형|암석</x:v>
      </x:c>
      <x:c r="AH146" s="5" t="str">
        <x:f>"온도|"&amp;M146</x:f>
        <x:v>온도|온대</x:v>
      </x:c>
      <x:c r="AI146" s="5" t="str">
        <x:f>"습도|"&amp;N146</x:f>
        <x:v>습도|보통</x:v>
      </x:c>
      <x:c r="AJ146" s="5" t="str">
        <x:f>"날씨|"&amp;O146</x:f>
        <x:v>날씨|무관</x:v>
      </x:c>
      <x:c r="AK146" s="5" t="str">
        <x:f>"특수태그|"&amp;R146</x:f>
        <x:v>특수태그|없음</x:v>
      </x:c>
      <x:c r="AL146" s="5" t="str">
        <x:f>"원본서식지|"&amp;S146</x:f>
        <x:v>원본서식지|</x:v>
      </x:c>
      <x:c r="AM146" s="5" t="str">
        <x:f>"타입|"&amp;F146</x:f>
        <x:v>타입|바위</x:v>
      </x:c>
      <x:c r="AN146" s="5" t="str">
        <x:f>"타입|"&amp;G146</x:f>
        <x:v>타입|비행</x:v>
      </x:c>
    </x:row>
    <x:row r="147" ht="24" customHeight="1">
      <x:c r="A147" s="5" t="n">
        <x:v>143</x:v>
      </x:c>
      <x:c r="B147" s="5" t="inlineStr">
        <x:is>
          <x:t xml:space="preserve">잠만보</x:t>
        </x:is>
      </x:c>
      <x:c r="C147" s="5" t="inlineStr">
        <x:is>
          <x:t xml:space="preserve">snorlax</x:t>
        </x:is>
      </x:c>
      <x:c r="D147" s="5" t="inlineStr">
        <x:is>
          <x:t xml:space="preserve">Snorlax</x:t>
        </x:is>
      </x:c>
      <x:c r="E147" s="5" t="n">
        <x:v>1</x:v>
      </x:c>
      <x:c r="F147" s="5" t="inlineStr">
        <x:is>
          <x:t xml:space="preserve">노말</x:t>
        </x:is>
      </x:c>
      <x:c r="G147" s="5" t="inlineStr">
        <x:is>
          <x:t xml:space="preserve"/>
        </x:is>
      </x:c>
      <x:c r="H147" s="6" t="n">
        <x:v>460</x:v>
      </x:c>
      <x:c r="I147" s="5" t="n"/>
      <x:c r="J147" s="5" t="inlineStr">
        <x:is>
          <x:t xml:space="preserve">최종</x:t>
        </x:is>
      </x:c>
      <x:c r="K147" s="7" t="inlineStr">
        <x:is>
          <x:t xml:space="preserve">육상</x:t>
        </x:is>
      </x:c>
      <x:c r="L147" s="7" t="inlineStr">
        <x:is>
          <x:t xml:space="preserve">수목</x:t>
        </x:is>
      </x:c>
      <x:c r="M147" s="7" t="inlineStr">
        <x:is>
          <x:t xml:space="preserve">온대</x:t>
        </x:is>
      </x:c>
      <x:c r="N147" s="7" t="inlineStr">
        <x:is>
          <x:t xml:space="preserve">보통</x:t>
        </x:is>
      </x:c>
      <x:c r="O147" s="7" t="inlineStr">
        <x:is>
          <x:t xml:space="preserve">무관</x:t>
        </x:is>
      </x:c>
      <x:c r="P147" s="7" t="inlineStr">
        <x:is>
          <x:t xml:space="preserve">무관</x:t>
        </x:is>
      </x:c>
      <x:c r="Q147" s="7" t="inlineStr">
        <x:is>
          <x:t xml:space="preserve">보통</x:t>
        </x:is>
      </x:c>
      <x:c r="R147" s="7" t="inlineStr">
        <x:is>
          <x:t xml:space="preserve">없음</x:t>
        </x:is>
      </x:c>
      <x:c r="S147" s="7" t="inlineStr">
        <x:is>
          <x:t xml:space="preserve">숲</x:t>
        </x:is>
      </x:c>
      <x:c r="T147" s="7" t="inlineStr">
        <x:is>
          <x:t xml:space="preserve"/>
        </x:is>
      </x:c>
      <x:c r="U147" s="8" t="str">
        <x:f>INDEX('서식지_점수'!$E$4:$P$4,1,MATCH(MAX('서식지_점수'!E147:P147),'서식지_점수'!E147:P147,0))</x:f>
        <x:v>평원</x:v>
      </x:c>
      <x:c r="V147" s="8" t="str">
        <x:f>IF(T147&lt;&gt;"",T147,U147)</x:f>
        <x:v>평원</x:v>
      </x:c>
      <x:c r="W147" s="8" t="str">
        <x:f>IFERROR(INDEX('서식지_점수'!$E$4:$P$4,1,MATCH(MAXIFS('서식지_점수'!E147:P147,'서식지_점수'!E147:P147,"&lt;"&amp;MAX('서식지_점수'!E147:P147)),'서식지_점수'!E147:P147,0)),"")</x:f>
        <x:v>숲</x:v>
      </x:c>
      <x:c r="X147" s="8" t="str">
        <x:f>IF(T147&lt;&gt;"","수동확정",IF(MAX('서식지_점수'!E147:P147)-LARGE('서식지_점수'!E147:P147,2)&gt;=15,"높음",IF(MAX('서식지_점수'!E147:P147)-LARGE('서식지_점수'!E147:P147,2)&gt;=8,"보통","검토필요")))</x:f>
        <x:v>검토필요</x:v>
      </x:c>
      <x:c r="Y147" s="9" t="n">
        <x:f>IF(Q147="전설",8,IF(Q147="희귀",7,IF(J147="기본",1,IF(J147="중간",3,IF(J147="최종",IF(I147="",5,IF(I147&lt;=20,3,IF(I147&lt;=35,4,IF(I147&lt;=50,6,7)))),IF(Q147="드묾",4,2))))))</x:f>
        <x:v>5</x:v>
      </x:c>
      <x:c r="Z147" s="5" t="inlineStr">
        <x:is>
          <x:t xml:space="preserve">#aether:is_aether; #cobblemon:is_forest; #cobblemon:is_hills; #cobblemon:is_overworld; #cobblemon:is_snowy_forest; aether:skyroot_forest; aether:skyroot_woodland</x:t>
        </x:is>
      </x:c>
      <x:c r="AA147" s="5" t="inlineStr">
        <x:is>
          <x:t xml:space="preserve">rare; uncommon</x:t>
        </x:is>
      </x:c>
      <x:c r="AB147" s="5" t="inlineStr">
        <x:is>
          <x:t xml:space="preserve">예</x:t>
        </x:is>
      </x:c>
      <x:c r="AC147" s="8" t="str">
        <x:f>IF(T147&lt;&gt;"","수동확정",IF(X147="검토필요","검토필요",IF(S147="","원본없음","초기완료")))</x:f>
        <x:v>검토필요</x:v>
      </x:c>
      <x:c r="AD147" s="7" t="inlineStr">
        <x:is>
          <x:t xml:space="preserve"/>
        </x:is>
      </x:c>
      <x:c r="AE147" s="5" t="inlineStr">
        <x:is>
          <x:t xml:space="preserve">.tmp/cobblemon-1.7.3-source/common/src/main/resources/data/cobblemon/species/generation1/snorlax.json</x:t>
        </x:is>
      </x:c>
      <x:c r="AF147" s="5" t="str">
        <x:f>"생활권|"&amp;K147</x:f>
        <x:v>생활권|육상</x:v>
      </x:c>
      <x:c r="AG147" s="5" t="str">
        <x:f>"지형|"&amp;L147</x:f>
        <x:v>지형|수목</x:v>
      </x:c>
      <x:c r="AH147" s="5" t="str">
        <x:f>"온도|"&amp;M147</x:f>
        <x:v>온도|온대</x:v>
      </x:c>
      <x:c r="AI147" s="5" t="str">
        <x:f>"습도|"&amp;N147</x:f>
        <x:v>습도|보통</x:v>
      </x:c>
      <x:c r="AJ147" s="5" t="str">
        <x:f>"날씨|"&amp;O147</x:f>
        <x:v>날씨|무관</x:v>
      </x:c>
      <x:c r="AK147" s="5" t="str">
        <x:f>"특수태그|"&amp;R147</x:f>
        <x:v>특수태그|없음</x:v>
      </x:c>
      <x:c r="AL147" s="5" t="str">
        <x:f>"원본서식지|"&amp;S147</x:f>
        <x:v>원본서식지|숲</x:v>
      </x:c>
      <x:c r="AM147" s="5" t="str">
        <x:f>"타입|"&amp;F147</x:f>
        <x:v>타입|노말</x:v>
      </x:c>
      <x:c r="AN147" s="5" t="str">
        <x:f>"타입|"&amp;G147</x:f>
        <x:v>타입|</x:v>
      </x:c>
    </x:row>
    <x:row r="148" ht="24" customHeight="1">
      <x:c r="A148" s="5" t="n">
        <x:v>144</x:v>
      </x:c>
      <x:c r="B148" s="5" t="inlineStr">
        <x:is>
          <x:t xml:space="preserve">프리져</x:t>
        </x:is>
      </x:c>
      <x:c r="C148" s="5" t="inlineStr">
        <x:is>
          <x:t xml:space="preserve">articuno</x:t>
        </x:is>
      </x:c>
      <x:c r="D148" s="5" t="inlineStr">
        <x:is>
          <x:t xml:space="preserve">Articuno</x:t>
        </x:is>
      </x:c>
      <x:c r="E148" s="5" t="n">
        <x:v>1</x:v>
      </x:c>
      <x:c r="F148" s="5" t="inlineStr">
        <x:is>
          <x:t xml:space="preserve">얼음</x:t>
        </x:is>
      </x:c>
      <x:c r="G148" s="5" t="inlineStr">
        <x:is>
          <x:t xml:space="preserve">비행</x:t>
        </x:is>
      </x:c>
      <x:c r="H148" s="6" t="n">
        <x:v>55.4</x:v>
      </x:c>
      <x:c r="I148" s="5" t="n"/>
      <x:c r="J148" s="5" t="inlineStr">
        <x:is>
          <x:t xml:space="preserve">무진화</x:t>
        </x:is>
      </x:c>
      <x:c r="K148" s="7" t="inlineStr">
        <x:is>
          <x:t xml:space="preserve">비행</x:t>
        </x:is>
      </x:c>
      <x:c r="L148" s="7" t="inlineStr">
        <x:is>
          <x:t xml:space="preserve">설원</x:t>
        </x:is>
      </x:c>
      <x:c r="M148" s="7" t="inlineStr">
        <x:is>
          <x:t xml:space="preserve">한랭</x:t>
        </x:is>
      </x:c>
      <x:c r="N148" s="7" t="inlineStr">
        <x:is>
          <x:t xml:space="preserve">보통</x:t>
        </x:is>
      </x:c>
      <x:c r="O148" s="7" t="inlineStr">
        <x:is>
          <x:t xml:space="preserve">무관</x:t>
        </x:is>
      </x:c>
      <x:c r="P148" s="7" t="inlineStr">
        <x:is>
          <x:t xml:space="preserve">밤</x:t>
        </x:is>
      </x:c>
      <x:c r="Q148" s="7" t="inlineStr">
        <x:is>
          <x:t xml:space="preserve">전설</x:t>
        </x:is>
      </x:c>
      <x:c r="R148" s="7" t="inlineStr">
        <x:is>
          <x:t xml:space="preserve">전설</x:t>
        </x:is>
      </x:c>
      <x:c r="S148" s="7" t="inlineStr">
        <x:is>
          <x:t xml:space="preserve"/>
        </x:is>
      </x:c>
      <x:c r="T148" s="7" t="inlineStr">
        <x:is>
          <x:t xml:space="preserve"/>
        </x:is>
      </x:c>
      <x:c r="U148" s="8" t="str">
        <x:f>INDEX('서식지_점수'!$E$4:$P$4,1,MATCH(MAX('서식지_점수'!E148:P148),'서식지_점수'!E148:P148,0))</x:f>
        <x:v>산악</x:v>
      </x:c>
      <x:c r="V148" s="8" t="str">
        <x:f>IF(T148&lt;&gt;"",T148,U148)</x:f>
        <x:v>산악</x:v>
      </x:c>
      <x:c r="W148" s="8" t="str">
        <x:f>IFERROR(INDEX('서식지_점수'!$E$4:$P$4,1,MATCH(MAXIFS('서식지_점수'!E148:P148,'서식지_점수'!E148:P148,"&lt;"&amp;MAX('서식지_점수'!E148:P148)),'서식지_점수'!E148:P148,0)),"")</x:f>
        <x:v>평원</x:v>
      </x:c>
      <x:c r="X148" s="8" t="str">
        <x:f>IF(T148&lt;&gt;"","수동확정",IF(MAX('서식지_점수'!E148:P148)-LARGE('서식지_점수'!E148:P148,2)&gt;=15,"높음",IF(MAX('서식지_점수'!E148:P148)-LARGE('서식지_점수'!E148:P148,2)&gt;=8,"보통","검토필요")))</x:f>
        <x:v>검토필요</x:v>
      </x:c>
      <x:c r="Y148" s="9" t="n">
        <x:f>IF(Q148="전설",8,IF(Q148="희귀",7,IF(J148="기본",1,IF(J148="중간",3,IF(J148="최종",IF(I148="",5,IF(I148&lt;=20,3,IF(I148&lt;=35,4,IF(I148&lt;=50,6,7)))),IF(Q148="드묾",4,2))))))</x:f>
        <x:v>8</x:v>
      </x:c>
      <x:c r="Z148" s="5" t="inlineStr">
        <x:is>
          <x:t xml:space="preserve">cobbleverse:custom_spawn/articuno_tower</x:t>
        </x:is>
      </x:c>
      <x:c r="AA148" s="5" t="inlineStr">
        <x:is>
          <x:t xml:space="preserve">ultra-rare</x:t>
        </x:is>
      </x:c>
      <x:c r="AB148" s="5" t="inlineStr">
        <x:is>
          <x:t xml:space="preserve">예</x:t>
        </x:is>
      </x:c>
      <x:c r="AC148" s="8" t="str">
        <x:f>IF(T148&lt;&gt;"","수동확정",IF(X148="검토필요","검토필요",IF(S148="","원본없음","초기완료")))</x:f>
        <x:v>검토필요</x:v>
      </x:c>
      <x:c r="AD148" s="7" t="inlineStr">
        <x:is>
          <x:t xml:space="preserve"/>
        </x:is>
      </x:c>
      <x:c r="AE148" s="5" t="inlineStr">
        <x:is>
          <x:t xml:space="preserve">.tmp/cobblemon-1.7.3-source/common/src/main/resources/data/cobblemon/species/generation1/articuno.json</x:t>
        </x:is>
      </x:c>
      <x:c r="AF148" s="5" t="str">
        <x:f>"생활권|"&amp;K148</x:f>
        <x:v>생활권|비행</x:v>
      </x:c>
      <x:c r="AG148" s="5" t="str">
        <x:f>"지형|"&amp;L148</x:f>
        <x:v>지형|설원</x:v>
      </x:c>
      <x:c r="AH148" s="5" t="str">
        <x:f>"온도|"&amp;M148</x:f>
        <x:v>온도|한랭</x:v>
      </x:c>
      <x:c r="AI148" s="5" t="str">
        <x:f>"습도|"&amp;N148</x:f>
        <x:v>습도|보통</x:v>
      </x:c>
      <x:c r="AJ148" s="5" t="str">
        <x:f>"날씨|"&amp;O148</x:f>
        <x:v>날씨|무관</x:v>
      </x:c>
      <x:c r="AK148" s="5" t="str">
        <x:f>"특수태그|"&amp;R148</x:f>
        <x:v>특수태그|전설</x:v>
      </x:c>
      <x:c r="AL148" s="5" t="str">
        <x:f>"원본서식지|"&amp;S148</x:f>
        <x:v>원본서식지|</x:v>
      </x:c>
      <x:c r="AM148" s="5" t="str">
        <x:f>"타입|"&amp;F148</x:f>
        <x:v>타입|얼음</x:v>
      </x:c>
      <x:c r="AN148" s="5" t="str">
        <x:f>"타입|"&amp;G148</x:f>
        <x:v>타입|비행</x:v>
      </x:c>
    </x:row>
    <x:row r="149" ht="24" customHeight="1">
      <x:c r="A149" s="5" t="n">
        <x:v>145</x:v>
      </x:c>
      <x:c r="B149" s="5" t="inlineStr">
        <x:is>
          <x:t xml:space="preserve">썬더</x:t>
        </x:is>
      </x:c>
      <x:c r="C149" s="5" t="inlineStr">
        <x:is>
          <x:t xml:space="preserve">zapdos</x:t>
        </x:is>
      </x:c>
      <x:c r="D149" s="5" t="inlineStr">
        <x:is>
          <x:t xml:space="preserve">Zapdos</x:t>
        </x:is>
      </x:c>
      <x:c r="E149" s="5" t="n">
        <x:v>1</x:v>
      </x:c>
      <x:c r="F149" s="5" t="inlineStr">
        <x:is>
          <x:t xml:space="preserve">전기</x:t>
        </x:is>
      </x:c>
      <x:c r="G149" s="5" t="inlineStr">
        <x:is>
          <x:t xml:space="preserve">비행</x:t>
        </x:is>
      </x:c>
      <x:c r="H149" s="6" t="n">
        <x:v>52.6</x:v>
      </x:c>
      <x:c r="I149" s="5" t="n"/>
      <x:c r="J149" s="5" t="inlineStr">
        <x:is>
          <x:t xml:space="preserve">무진화</x:t>
        </x:is>
      </x:c>
      <x:c r="K149" s="7" t="inlineStr">
        <x:is>
          <x:t xml:space="preserve">비행</x:t>
        </x:is>
      </x:c>
      <x:c r="L149" s="7" t="inlineStr">
        <x:is>
          <x:t xml:space="preserve">개활지</x:t>
        </x:is>
      </x:c>
      <x:c r="M149" s="7" t="inlineStr">
        <x:is>
          <x:t xml:space="preserve">온대</x:t>
        </x:is>
      </x:c>
      <x:c r="N149" s="7" t="inlineStr">
        <x:is>
          <x:t xml:space="preserve">보통</x:t>
        </x:is>
      </x:c>
      <x:c r="O149" s="7" t="inlineStr">
        <x:is>
          <x:t xml:space="preserve">무관</x:t>
        </x:is>
      </x:c>
      <x:c r="P149" s="7" t="inlineStr">
        <x:is>
          <x:t xml:space="preserve">무관</x:t>
        </x:is>
      </x:c>
      <x:c r="Q149" s="7" t="inlineStr">
        <x:is>
          <x:t xml:space="preserve">전설</x:t>
        </x:is>
      </x:c>
      <x:c r="R149" s="7" t="inlineStr">
        <x:is>
          <x:t xml:space="preserve">전설</x:t>
        </x:is>
      </x:c>
      <x:c r="S149" s="7" t="inlineStr">
        <x:is>
          <x:t xml:space="preserve"/>
        </x:is>
      </x:c>
      <x:c r="T149" s="7" t="inlineStr">
        <x:is>
          <x:t xml:space="preserve"/>
        </x:is>
      </x:c>
      <x:c r="U149" s="8" t="str">
        <x:f>INDEX('서식지_점수'!$E$4:$P$4,1,MATCH(MAX('서식지_점수'!E149:P149),'서식지_점수'!E149:P149,0))</x:f>
        <x:v>산악</x:v>
      </x:c>
      <x:c r="V149" s="8" t="str">
        <x:f>IF(T149&lt;&gt;"",T149,U149)</x:f>
        <x:v>산악</x:v>
      </x:c>
      <x:c r="W149" s="8" t="str">
        <x:f>IFERROR(INDEX('서식지_점수'!$E$4:$P$4,1,MATCH(MAXIFS('서식지_점수'!E149:P149,'서식지_점수'!E149:P149,"&lt;"&amp;MAX('서식지_점수'!E149:P149)),'서식지_점수'!E149:P149,0)),"")</x:f>
        <x:v>평원</x:v>
      </x:c>
      <x:c r="X149" s="8" t="str">
        <x:f>IF(T149&lt;&gt;"","수동확정",IF(MAX('서식지_점수'!E149:P149)-LARGE('서식지_점수'!E149:P149,2)&gt;=15,"높음",IF(MAX('서식지_점수'!E149:P149)-LARGE('서식지_점수'!E149:P149,2)&gt;=8,"보통","검토필요")))</x:f>
        <x:v>검토필요</x:v>
      </x:c>
      <x:c r="Y149" s="9" t="n">
        <x:f>IF(Q149="전설",8,IF(Q149="희귀",7,IF(J149="기본",1,IF(J149="중간",3,IF(J149="최종",IF(I149="",5,IF(I149&lt;=20,3,IF(I149&lt;=35,4,IF(I149&lt;=50,6,7)))),IF(Q149="드묾",4,2))))))</x:f>
        <x:v>8</x:v>
      </x:c>
      <x:c r="Z149" s="5" t="inlineStr">
        <x:is>
          <x:t xml:space="preserve">cobbleverse:custom_spawn/zapdos_tower</x:t>
        </x:is>
      </x:c>
      <x:c r="AA149" s="5" t="inlineStr">
        <x:is>
          <x:t xml:space="preserve">ultra-rare</x:t>
        </x:is>
      </x:c>
      <x:c r="AB149" s="5" t="inlineStr">
        <x:is>
          <x:t xml:space="preserve">예</x:t>
        </x:is>
      </x:c>
      <x:c r="AC149" s="8" t="str">
        <x:f>IF(T149&lt;&gt;"","수동확정",IF(X149="검토필요","검토필요",IF(S149="","원본없음","초기완료")))</x:f>
        <x:v>검토필요</x:v>
      </x:c>
      <x:c r="AD149" s="7" t="inlineStr">
        <x:is>
          <x:t xml:space="preserve"/>
        </x:is>
      </x:c>
      <x:c r="AE149" s="5" t="inlineStr">
        <x:is>
          <x:t xml:space="preserve">.tmp/cobblemon-1.7.3-source/common/src/main/resources/data/cobblemon/species/generation1/zapdos.json</x:t>
        </x:is>
      </x:c>
      <x:c r="AF149" s="5" t="str">
        <x:f>"생활권|"&amp;K149</x:f>
        <x:v>생활권|비행</x:v>
      </x:c>
      <x:c r="AG149" s="5" t="str">
        <x:f>"지형|"&amp;L149</x:f>
        <x:v>지형|개활지</x:v>
      </x:c>
      <x:c r="AH149" s="5" t="str">
        <x:f>"온도|"&amp;M149</x:f>
        <x:v>온도|온대</x:v>
      </x:c>
      <x:c r="AI149" s="5" t="str">
        <x:f>"습도|"&amp;N149</x:f>
        <x:v>습도|보통</x:v>
      </x:c>
      <x:c r="AJ149" s="5" t="str">
        <x:f>"날씨|"&amp;O149</x:f>
        <x:v>날씨|무관</x:v>
      </x:c>
      <x:c r="AK149" s="5" t="str">
        <x:f>"특수태그|"&amp;R149</x:f>
        <x:v>특수태그|전설</x:v>
      </x:c>
      <x:c r="AL149" s="5" t="str">
        <x:f>"원본서식지|"&amp;S149</x:f>
        <x:v>원본서식지|</x:v>
      </x:c>
      <x:c r="AM149" s="5" t="str">
        <x:f>"타입|"&amp;F149</x:f>
        <x:v>타입|전기</x:v>
      </x:c>
      <x:c r="AN149" s="5" t="str">
        <x:f>"타입|"&amp;G149</x:f>
        <x:v>타입|비행</x:v>
      </x:c>
    </x:row>
    <x:row r="150" ht="24" customHeight="1">
      <x:c r="A150" s="5" t="n">
        <x:v>146</x:v>
      </x:c>
      <x:c r="B150" s="5" t="inlineStr">
        <x:is>
          <x:t xml:space="preserve">파이어</x:t>
        </x:is>
      </x:c>
      <x:c r="C150" s="5" t="inlineStr">
        <x:is>
          <x:t xml:space="preserve">moltres</x:t>
        </x:is>
      </x:c>
      <x:c r="D150" s="5" t="inlineStr">
        <x:is>
          <x:t xml:space="preserve">Moltres</x:t>
        </x:is>
      </x:c>
      <x:c r="E150" s="5" t="n">
        <x:v>1</x:v>
      </x:c>
      <x:c r="F150" s="5" t="inlineStr">
        <x:is>
          <x:t xml:space="preserve">불꽃</x:t>
        </x:is>
      </x:c>
      <x:c r="G150" s="5" t="inlineStr">
        <x:is>
          <x:t xml:space="preserve">비행</x:t>
        </x:is>
      </x:c>
      <x:c r="H150" s="6" t="n">
        <x:v>60</x:v>
      </x:c>
      <x:c r="I150" s="5" t="n"/>
      <x:c r="J150" s="5" t="inlineStr">
        <x:is>
          <x:t xml:space="preserve">무진화</x:t>
        </x:is>
      </x:c>
      <x:c r="K150" s="7" t="inlineStr">
        <x:is>
          <x:t xml:space="preserve">비행</x:t>
        </x:is>
      </x:c>
      <x:c r="L150" s="7" t="inlineStr">
        <x:is>
          <x:t xml:space="preserve">개활지</x:t>
        </x:is>
      </x:c>
      <x:c r="M150" s="7" t="inlineStr">
        <x:is>
          <x:t xml:space="preserve">고온</x:t>
        </x:is>
      </x:c>
      <x:c r="N150" s="7" t="inlineStr">
        <x:is>
          <x:t xml:space="preserve">보통</x:t>
        </x:is>
      </x:c>
      <x:c r="O150" s="7" t="inlineStr">
        <x:is>
          <x:t xml:space="preserve">무관</x:t>
        </x:is>
      </x:c>
      <x:c r="P150" s="7" t="inlineStr">
        <x:is>
          <x:t xml:space="preserve">낮</x:t>
        </x:is>
      </x:c>
      <x:c r="Q150" s="7" t="inlineStr">
        <x:is>
          <x:t xml:space="preserve">전설</x:t>
        </x:is>
      </x:c>
      <x:c r="R150" s="7" t="inlineStr">
        <x:is>
          <x:t xml:space="preserve">전설</x:t>
        </x:is>
      </x:c>
      <x:c r="S150" s="7" t="inlineStr">
        <x:is>
          <x:t xml:space="preserve"/>
        </x:is>
      </x:c>
      <x:c r="T150" s="7" t="inlineStr">
        <x:is>
          <x:t xml:space="preserve"/>
        </x:is>
      </x:c>
      <x:c r="U150" s="8" t="str">
        <x:f>INDEX('서식지_점수'!$E$4:$P$4,1,MATCH(MAX('서식지_점수'!E150:P150),'서식지_점수'!E150:P150,0))</x:f>
        <x:v>산악</x:v>
      </x:c>
      <x:c r="V150" s="8" t="str">
        <x:f>IF(T150&lt;&gt;"",T150,U150)</x:f>
        <x:v>산악</x:v>
      </x:c>
      <x:c r="W150" s="8" t="str">
        <x:f>IFERROR(INDEX('서식지_점수'!$E$4:$P$4,1,MATCH(MAXIFS('서식지_점수'!E150:P150,'서식지_점수'!E150:P150,"&lt;"&amp;MAX('서식지_점수'!E150:P150)),'서식지_점수'!E150:P150,0)),"")</x:f>
        <x:v>평원</x:v>
      </x:c>
      <x:c r="X150" s="8" t="str">
        <x:f>IF(T150&lt;&gt;"","수동확정",IF(MAX('서식지_점수'!E150:P150)-LARGE('서식지_점수'!E150:P150,2)&gt;=15,"높음",IF(MAX('서식지_점수'!E150:P150)-LARGE('서식지_점수'!E150:P150,2)&gt;=8,"보통","검토필요")))</x:f>
        <x:v>검토필요</x:v>
      </x:c>
      <x:c r="Y150" s="9" t="n">
        <x:f>IF(Q150="전설",8,IF(Q150="희귀",7,IF(J150="기본",1,IF(J150="중간",3,IF(J150="최종",IF(I150="",5,IF(I150&lt;=20,3,IF(I150&lt;=35,4,IF(I150&lt;=50,6,7)))),IF(Q150="드묾",4,2))))))</x:f>
        <x:v>8</x:v>
      </x:c>
      <x:c r="Z150" s="5" t="inlineStr">
        <x:is>
          <x:t xml:space="preserve">cobbleverse:custom_spawn/moltres_tower</x:t>
        </x:is>
      </x:c>
      <x:c r="AA150" s="5" t="inlineStr">
        <x:is>
          <x:t xml:space="preserve">ultra-rare</x:t>
        </x:is>
      </x:c>
      <x:c r="AB150" s="5" t="inlineStr">
        <x:is>
          <x:t xml:space="preserve">예</x:t>
        </x:is>
      </x:c>
      <x:c r="AC150" s="8" t="str">
        <x:f>IF(T150&lt;&gt;"","수동확정",IF(X150="검토필요","검토필요",IF(S150="","원본없음","초기완료")))</x:f>
        <x:v>검토필요</x:v>
      </x:c>
      <x:c r="AD150" s="7" t="inlineStr">
        <x:is>
          <x:t xml:space="preserve"/>
        </x:is>
      </x:c>
      <x:c r="AE150" s="5" t="inlineStr">
        <x:is>
          <x:t xml:space="preserve">.tmp/cobblemon-1.7.3-source/common/src/main/resources/data/cobblemon/species/generation1/moltres.json</x:t>
        </x:is>
      </x:c>
      <x:c r="AF150" s="5" t="str">
        <x:f>"생활권|"&amp;K150</x:f>
        <x:v>생활권|비행</x:v>
      </x:c>
      <x:c r="AG150" s="5" t="str">
        <x:f>"지형|"&amp;L150</x:f>
        <x:v>지형|개활지</x:v>
      </x:c>
      <x:c r="AH150" s="5" t="str">
        <x:f>"온도|"&amp;M150</x:f>
        <x:v>온도|고온</x:v>
      </x:c>
      <x:c r="AI150" s="5" t="str">
        <x:f>"습도|"&amp;N150</x:f>
        <x:v>습도|보통</x:v>
      </x:c>
      <x:c r="AJ150" s="5" t="str">
        <x:f>"날씨|"&amp;O150</x:f>
        <x:v>날씨|무관</x:v>
      </x:c>
      <x:c r="AK150" s="5" t="str">
        <x:f>"특수태그|"&amp;R150</x:f>
        <x:v>특수태그|전설</x:v>
      </x:c>
      <x:c r="AL150" s="5" t="str">
        <x:f>"원본서식지|"&amp;S150</x:f>
        <x:v>원본서식지|</x:v>
      </x:c>
      <x:c r="AM150" s="5" t="str">
        <x:f>"타입|"&amp;F150</x:f>
        <x:v>타입|불꽃</x:v>
      </x:c>
      <x:c r="AN150" s="5" t="str">
        <x:f>"타입|"&amp;G150</x:f>
        <x:v>타입|비행</x:v>
      </x:c>
    </x:row>
    <x:row r="151" ht="24" customHeight="1">
      <x:c r="A151" s="5" t="n">
        <x:v>147</x:v>
      </x:c>
      <x:c r="B151" s="5" t="inlineStr">
        <x:is>
          <x:t xml:space="preserve">미뇽</x:t>
        </x:is>
      </x:c>
      <x:c r="C151" s="5" t="inlineStr">
        <x:is>
          <x:t xml:space="preserve">dratini</x:t>
        </x:is>
      </x:c>
      <x:c r="D151" s="5" t="inlineStr">
        <x:is>
          <x:t xml:space="preserve">Dratini</x:t>
        </x:is>
      </x:c>
      <x:c r="E151" s="5" t="n">
        <x:v>1</x:v>
      </x:c>
      <x:c r="F151" s="5" t="inlineStr">
        <x:is>
          <x:t xml:space="preserve">드래곤</x:t>
        </x:is>
      </x:c>
      <x:c r="G151" s="5" t="inlineStr">
        <x:is>
          <x:t xml:space="preserve"/>
        </x:is>
      </x:c>
      <x:c r="H151" s="6" t="n">
        <x:v>3.3</x:v>
      </x:c>
      <x:c r="I151" s="5" t="n">
        <x:v>55</x:v>
      </x:c>
      <x:c r="J151" s="5" t="inlineStr">
        <x:is>
          <x:t xml:space="preserve">기본</x:t>
        </x:is>
      </x:c>
      <x:c r="K151" s="7" t="inlineStr">
        <x:is>
          <x:t xml:space="preserve">해양</x:t>
        </x:is>
      </x:c>
      <x:c r="L151" s="7" t="inlineStr">
        <x:is>
          <x:t xml:space="preserve">해안·해양</x:t>
        </x:is>
      </x:c>
      <x:c r="M151" s="7" t="inlineStr">
        <x:is>
          <x:t xml:space="preserve">온대</x:t>
        </x:is>
      </x:c>
      <x:c r="N151" s="7" t="inlineStr">
        <x:is>
          <x:t xml:space="preserve">수중</x:t>
        </x:is>
      </x:c>
      <x:c r="O151" s="7" t="inlineStr">
        <x:is>
          <x:t xml:space="preserve">비</x:t>
        </x:is>
      </x:c>
      <x:c r="P151" s="7" t="inlineStr">
        <x:is>
          <x:t xml:space="preserve">무관</x:t>
        </x:is>
      </x:c>
      <x:c r="Q151" s="7" t="inlineStr">
        <x:is>
          <x:t xml:space="preserve">보통</x:t>
        </x:is>
      </x:c>
      <x:c r="R151" s="7" t="inlineStr">
        <x:is>
          <x:t xml:space="preserve">없음</x:t>
        </x:is>
      </x:c>
      <x:c r="S151" s="7" t="inlineStr">
        <x:is>
          <x:t xml:space="preserve">해양</x:t>
        </x:is>
      </x:c>
      <x:c r="T151" s="7" t="inlineStr">
        <x:is>
          <x:t xml:space="preserve"/>
        </x:is>
      </x:c>
      <x:c r="U151" s="8" t="str">
        <x:f>INDEX('서식지_점수'!$E$4:$P$4,1,MATCH(MAX('서식지_점수'!E151:P151),'서식지_점수'!E151:P151,0))</x:f>
        <x:v>해양</x:v>
      </x:c>
      <x:c r="V151" s="8" t="str">
        <x:f>IF(T151&lt;&gt;"",T151,U151)</x:f>
        <x:v>해양</x:v>
      </x:c>
      <x:c r="W151" s="8" t="str">
        <x:f>IFERROR(INDEX('서식지_점수'!$E$4:$P$4,1,MATCH(MAXIFS('서식지_점수'!E151:P151,'서식지_점수'!E151:P151,"&lt;"&amp;MAX('서식지_점수'!E151:P151)),'서식지_점수'!E151:P151,0)),"")</x:f>
        <x:v>습지</x:v>
      </x:c>
      <x:c r="X151" s="8" t="str">
        <x:f>IF(T151&lt;&gt;"","수동확정",IF(MAX('서식지_점수'!E151:P151)-LARGE('서식지_점수'!E151:P151,2)&gt;=15,"높음",IF(MAX('서식지_점수'!E151:P151)-LARGE('서식지_점수'!E151:P151,2)&gt;=8,"보통","검토필요")))</x:f>
        <x:v>높음</x:v>
      </x:c>
      <x:c r="Y151" s="9" t="n">
        <x:f>IF(Q151="전설",8,IF(Q151="희귀",7,IF(J151="기본",1,IF(J151="중간",3,IF(J151="최종",IF(I151="",5,IF(I151&lt;=20,3,IF(I151&lt;=35,4,IF(I151&lt;=50,6,7)))),IF(Q151="드묾",4,2))))))</x:f>
        <x:v>1</x:v>
      </x:c>
      <x:c r="Z151" s="5" t="inlineStr">
        <x:is>
          <x:t xml:space="preserve">#aether:is_aether; #cobblemon:is_magical; #cobblemon:is_ocean; #cobblemon:is_overworld</x:t>
        </x:is>
      </x:c>
      <x:c r="AA151" s="5" t="inlineStr">
        <x:is>
          <x:t xml:space="preserve">rare; ultra-rare; uncommon</x:t>
        </x:is>
      </x:c>
      <x:c r="AB151" s="5" t="inlineStr">
        <x:is>
          <x:t xml:space="preserve">예</x:t>
        </x:is>
      </x:c>
      <x:c r="AC151" s="8" t="str">
        <x:f>IF(T151&lt;&gt;"","수동확정",IF(X151="검토필요","검토필요",IF(S151="","원본없음","초기완료")))</x:f>
        <x:v>초기완료</x:v>
      </x:c>
      <x:c r="AD151" s="7" t="inlineStr">
        <x:is>
          <x:t xml:space="preserve"/>
        </x:is>
      </x:c>
      <x:c r="AE151" s="5" t="inlineStr">
        <x:is>
          <x:t xml:space="preserve">.tmp/cobblemon-1.7.3-source/common/src/main/resources/data/cobblemon/species/generation1/dratini.json</x:t>
        </x:is>
      </x:c>
      <x:c r="AF151" s="5" t="str">
        <x:f>"생활권|"&amp;K151</x:f>
        <x:v>생활권|해양</x:v>
      </x:c>
      <x:c r="AG151" s="5" t="str">
        <x:f>"지형|"&amp;L151</x:f>
        <x:v>지형|해안·해양</x:v>
      </x:c>
      <x:c r="AH151" s="5" t="str">
        <x:f>"온도|"&amp;M151</x:f>
        <x:v>온도|온대</x:v>
      </x:c>
      <x:c r="AI151" s="5" t="str">
        <x:f>"습도|"&amp;N151</x:f>
        <x:v>습도|수중</x:v>
      </x:c>
      <x:c r="AJ151" s="5" t="str">
        <x:f>"날씨|"&amp;O151</x:f>
        <x:v>날씨|비</x:v>
      </x:c>
      <x:c r="AK151" s="5" t="str">
        <x:f>"특수태그|"&amp;R151</x:f>
        <x:v>특수태그|없음</x:v>
      </x:c>
      <x:c r="AL151" s="5" t="str">
        <x:f>"원본서식지|"&amp;S151</x:f>
        <x:v>원본서식지|해양</x:v>
      </x:c>
      <x:c r="AM151" s="5" t="str">
        <x:f>"타입|"&amp;F151</x:f>
        <x:v>타입|드래곤</x:v>
      </x:c>
      <x:c r="AN151" s="5" t="str">
        <x:f>"타입|"&amp;G151</x:f>
        <x:v>타입|</x:v>
      </x:c>
    </x:row>
    <x:row r="152" ht="24" customHeight="1">
      <x:c r="A152" s="5" t="n">
        <x:v>148</x:v>
      </x:c>
      <x:c r="B152" s="5" t="inlineStr">
        <x:is>
          <x:t xml:space="preserve">신뇽</x:t>
        </x:is>
      </x:c>
      <x:c r="C152" s="5" t="inlineStr">
        <x:is>
          <x:t xml:space="preserve">dragonair</x:t>
        </x:is>
      </x:c>
      <x:c r="D152" s="5" t="inlineStr">
        <x:is>
          <x:t xml:space="preserve">Dragonair</x:t>
        </x:is>
      </x:c>
      <x:c r="E152" s="5" t="n">
        <x:v>1</x:v>
      </x:c>
      <x:c r="F152" s="5" t="inlineStr">
        <x:is>
          <x:t xml:space="preserve">드래곤</x:t>
        </x:is>
      </x:c>
      <x:c r="G152" s="5" t="inlineStr">
        <x:is>
          <x:t xml:space="preserve"/>
        </x:is>
      </x:c>
      <x:c r="H152" s="6" t="n">
        <x:v>16.5</x:v>
      </x:c>
      <x:c r="I152" s="5" t="n">
        <x:v>55</x:v>
      </x:c>
      <x:c r="J152" s="5" t="inlineStr">
        <x:is>
          <x:t xml:space="preserve">중간</x:t>
        </x:is>
      </x:c>
      <x:c r="K152" s="7" t="inlineStr">
        <x:is>
          <x:t xml:space="preserve">해양</x:t>
        </x:is>
      </x:c>
      <x:c r="L152" s="7" t="inlineStr">
        <x:is>
          <x:t xml:space="preserve">해안·해양</x:t>
        </x:is>
      </x:c>
      <x:c r="M152" s="7" t="inlineStr">
        <x:is>
          <x:t xml:space="preserve">온대</x:t>
        </x:is>
      </x:c>
      <x:c r="N152" s="7" t="inlineStr">
        <x:is>
          <x:t xml:space="preserve">수중</x:t>
        </x:is>
      </x:c>
      <x:c r="O152" s="7" t="inlineStr">
        <x:is>
          <x:t xml:space="preserve">비</x:t>
        </x:is>
      </x:c>
      <x:c r="P152" s="7" t="inlineStr">
        <x:is>
          <x:t xml:space="preserve">무관</x:t>
        </x:is>
      </x:c>
      <x:c r="Q152" s="7" t="inlineStr">
        <x:is>
          <x:t xml:space="preserve">보통</x:t>
        </x:is>
      </x:c>
      <x:c r="R152" s="7" t="inlineStr">
        <x:is>
          <x:t xml:space="preserve">없음</x:t>
        </x:is>
      </x:c>
      <x:c r="S152" s="7" t="inlineStr">
        <x:is>
          <x:t xml:space="preserve">해양</x:t>
        </x:is>
      </x:c>
      <x:c r="T152" s="7" t="inlineStr">
        <x:is>
          <x:t xml:space="preserve"/>
        </x:is>
      </x:c>
      <x:c r="U152" s="8" t="str">
        <x:f>INDEX('서식지_점수'!$E$4:$P$4,1,MATCH(MAX('서식지_점수'!E152:P152),'서식지_점수'!E152:P152,0))</x:f>
        <x:v>해양</x:v>
      </x:c>
      <x:c r="V152" s="8" t="str">
        <x:f>IF(T152&lt;&gt;"",T152,U152)</x:f>
        <x:v>해양</x:v>
      </x:c>
      <x:c r="W152" s="8" t="str">
        <x:f>IFERROR(INDEX('서식지_점수'!$E$4:$P$4,1,MATCH(MAXIFS('서식지_점수'!E152:P152,'서식지_점수'!E152:P152,"&lt;"&amp;MAX('서식지_점수'!E152:P152)),'서식지_점수'!E152:P152,0)),"")</x:f>
        <x:v>습지</x:v>
      </x:c>
      <x:c r="X152" s="8" t="str">
        <x:f>IF(T152&lt;&gt;"","수동확정",IF(MAX('서식지_점수'!E152:P152)-LARGE('서식지_점수'!E152:P152,2)&gt;=15,"높음",IF(MAX('서식지_점수'!E152:P152)-LARGE('서식지_점수'!E152:P152,2)&gt;=8,"보통","검토필요")))</x:f>
        <x:v>높음</x:v>
      </x:c>
      <x:c r="Y152" s="9" t="n">
        <x:f>IF(Q152="전설",8,IF(Q152="희귀",7,IF(J152="기본",1,IF(J152="중간",3,IF(J152="최종",IF(I152="",5,IF(I152&lt;=20,3,IF(I152&lt;=35,4,IF(I152&lt;=50,6,7)))),IF(Q152="드묾",4,2))))))</x:f>
        <x:v>3</x:v>
      </x:c>
      <x:c r="Z152" s="5" t="inlineStr">
        <x:is>
          <x:t xml:space="preserve">#aether:is_aether; #cobblemon:is_magical; #cobblemon:is_ocean; #cobblemon:is_overworld</x:t>
        </x:is>
      </x:c>
      <x:c r="AA152" s="5" t="inlineStr">
        <x:is>
          <x:t xml:space="preserve">rare; ultra-rare; uncommon</x:t>
        </x:is>
      </x:c>
      <x:c r="AB152" s="5" t="inlineStr">
        <x:is>
          <x:t xml:space="preserve">예</x:t>
        </x:is>
      </x:c>
      <x:c r="AC152" s="8" t="str">
        <x:f>IF(T152&lt;&gt;"","수동확정",IF(X152="검토필요","검토필요",IF(S152="","원본없음","초기완료")))</x:f>
        <x:v>초기완료</x:v>
      </x:c>
      <x:c r="AD152" s="7" t="inlineStr">
        <x:is>
          <x:t xml:space="preserve"/>
        </x:is>
      </x:c>
      <x:c r="AE152" s="5" t="inlineStr">
        <x:is>
          <x:t xml:space="preserve">.tmp/cobblemon-1.7.3-source/common/src/main/resources/data/cobblemon/species/generation1/dragonair.json</x:t>
        </x:is>
      </x:c>
      <x:c r="AF152" s="5" t="str">
        <x:f>"생활권|"&amp;K152</x:f>
        <x:v>생활권|해양</x:v>
      </x:c>
      <x:c r="AG152" s="5" t="str">
        <x:f>"지형|"&amp;L152</x:f>
        <x:v>지형|해안·해양</x:v>
      </x:c>
      <x:c r="AH152" s="5" t="str">
        <x:f>"온도|"&amp;M152</x:f>
        <x:v>온도|온대</x:v>
      </x:c>
      <x:c r="AI152" s="5" t="str">
        <x:f>"습도|"&amp;N152</x:f>
        <x:v>습도|수중</x:v>
      </x:c>
      <x:c r="AJ152" s="5" t="str">
        <x:f>"날씨|"&amp;O152</x:f>
        <x:v>날씨|비</x:v>
      </x:c>
      <x:c r="AK152" s="5" t="str">
        <x:f>"특수태그|"&amp;R152</x:f>
        <x:v>특수태그|없음</x:v>
      </x:c>
      <x:c r="AL152" s="5" t="str">
        <x:f>"원본서식지|"&amp;S152</x:f>
        <x:v>원본서식지|해양</x:v>
      </x:c>
      <x:c r="AM152" s="5" t="str">
        <x:f>"타입|"&amp;F152</x:f>
        <x:v>타입|드래곤</x:v>
      </x:c>
      <x:c r="AN152" s="5" t="str">
        <x:f>"타입|"&amp;G152</x:f>
        <x:v>타입|</x:v>
      </x:c>
    </x:row>
    <x:row r="153" ht="24" customHeight="1">
      <x:c r="A153" s="5" t="n">
        <x:v>149</x:v>
      </x:c>
      <x:c r="B153" s="5" t="inlineStr">
        <x:is>
          <x:t xml:space="preserve">망나뇽</x:t>
        </x:is>
      </x:c>
      <x:c r="C153" s="5" t="inlineStr">
        <x:is>
          <x:t xml:space="preserve">dragonite</x:t>
        </x:is>
      </x:c>
      <x:c r="D153" s="5" t="inlineStr">
        <x:is>
          <x:t xml:space="preserve">Dragonite</x:t>
        </x:is>
      </x:c>
      <x:c r="E153" s="5" t="n">
        <x:v>1</x:v>
      </x:c>
      <x:c r="F153" s="5" t="inlineStr">
        <x:is>
          <x:t xml:space="preserve">드래곤</x:t>
        </x:is>
      </x:c>
      <x:c r="G153" s="5" t="inlineStr">
        <x:is>
          <x:t xml:space="preserve">비행</x:t>
        </x:is>
      </x:c>
      <x:c r="H153" s="6" t="n">
        <x:v>210</x:v>
      </x:c>
      <x:c r="I153" s="5" t="n">
        <x:v>55</x:v>
      </x:c>
      <x:c r="J153" s="5" t="inlineStr">
        <x:is>
          <x:t xml:space="preserve">최종</x:t>
        </x:is>
      </x:c>
      <x:c r="K153" s="7" t="inlineStr">
        <x:is>
          <x:t xml:space="preserve">해양</x:t>
        </x:is>
      </x:c>
      <x:c r="L153" s="7" t="inlineStr">
        <x:is>
          <x:t xml:space="preserve">해안·해양</x:t>
        </x:is>
      </x:c>
      <x:c r="M153" s="7" t="inlineStr">
        <x:is>
          <x:t xml:space="preserve">온대</x:t>
        </x:is>
      </x:c>
      <x:c r="N153" s="7" t="inlineStr">
        <x:is>
          <x:t xml:space="preserve">수중</x:t>
        </x:is>
      </x:c>
      <x:c r="O153" s="7" t="inlineStr">
        <x:is>
          <x:t xml:space="preserve">비</x:t>
        </x:is>
      </x:c>
      <x:c r="P153" s="7" t="inlineStr">
        <x:is>
          <x:t xml:space="preserve">무관</x:t>
        </x:is>
      </x:c>
      <x:c r="Q153" s="7" t="inlineStr">
        <x:is>
          <x:t xml:space="preserve">보통</x:t>
        </x:is>
      </x:c>
      <x:c r="R153" s="7" t="inlineStr">
        <x:is>
          <x:t xml:space="preserve">없음</x:t>
        </x:is>
      </x:c>
      <x:c r="S153" s="7" t="inlineStr">
        <x:is>
          <x:t xml:space="preserve">해양</x:t>
        </x:is>
      </x:c>
      <x:c r="T153" s="7" t="inlineStr">
        <x:is>
          <x:t xml:space="preserve"/>
        </x:is>
      </x:c>
      <x:c r="U153" s="8" t="str">
        <x:f>INDEX('서식지_점수'!$E$4:$P$4,1,MATCH(MAX('서식지_점수'!E153:P153),'서식지_점수'!E153:P153,0))</x:f>
        <x:v>해양</x:v>
      </x:c>
      <x:c r="V153" s="8" t="str">
        <x:f>IF(T153&lt;&gt;"",T153,U153)</x:f>
        <x:v>해양</x:v>
      </x:c>
      <x:c r="W153" s="8" t="str">
        <x:f>IFERROR(INDEX('서식지_점수'!$E$4:$P$4,1,MATCH(MAXIFS('서식지_점수'!E153:P153,'서식지_점수'!E153:P153,"&lt;"&amp;MAX('서식지_점수'!E153:P153)),'서식지_점수'!E153:P153,0)),"")</x:f>
        <x:v>습지</x:v>
      </x:c>
      <x:c r="X153" s="8" t="str">
        <x:f>IF(T153&lt;&gt;"","수동확정",IF(MAX('서식지_점수'!E153:P153)-LARGE('서식지_점수'!E153:P153,2)&gt;=15,"높음",IF(MAX('서식지_점수'!E153:P153)-LARGE('서식지_점수'!E153:P153,2)&gt;=8,"보통","검토필요")))</x:f>
        <x:v>높음</x:v>
      </x:c>
      <x:c r="Y153" s="9" t="n">
        <x:f>IF(Q153="전설",8,IF(Q153="희귀",7,IF(J153="기본",1,IF(J153="중간",3,IF(J153="최종",IF(I153="",5,IF(I153&lt;=20,3,IF(I153&lt;=35,4,IF(I153&lt;=50,6,7)))),IF(Q153="드묾",4,2))))))</x:f>
        <x:v>7</x:v>
      </x:c>
      <x:c r="Z153" s="5" t="inlineStr">
        <x:is>
          <x:t xml:space="preserve">#aether:is_aether; #cobblemon:is_magical; #cobblemon:is_ocean; #cobblemon:is_overworld; #cobblemon:is_sky</x:t>
        </x:is>
      </x:c>
      <x:c r="AA153" s="5" t="inlineStr">
        <x:is>
          <x:t xml:space="preserve">rare; ultra-rare; uncommon</x:t>
        </x:is>
      </x:c>
      <x:c r="AB153" s="5" t="inlineStr">
        <x:is>
          <x:t xml:space="preserve">예</x:t>
        </x:is>
      </x:c>
      <x:c r="AC153" s="8" t="str">
        <x:f>IF(T153&lt;&gt;"","수동확정",IF(X153="검토필요","검토필요",IF(S153="","원본없음","초기완료")))</x:f>
        <x:v>초기완료</x:v>
      </x:c>
      <x:c r="AD153" s="7" t="inlineStr">
        <x:is>
          <x:t xml:space="preserve"/>
        </x:is>
      </x:c>
      <x:c r="AE153" s="5" t="inlineStr">
        <x:is>
          <x:t xml:space="preserve">.tmp/cobblemon-1.7.3-source/common/src/main/resources/data/cobblemon/species/generation1/dragonite.json</x:t>
        </x:is>
      </x:c>
      <x:c r="AF153" s="5" t="str">
        <x:f>"생활권|"&amp;K153</x:f>
        <x:v>생활권|해양</x:v>
      </x:c>
      <x:c r="AG153" s="5" t="str">
        <x:f>"지형|"&amp;L153</x:f>
        <x:v>지형|해안·해양</x:v>
      </x:c>
      <x:c r="AH153" s="5" t="str">
        <x:f>"온도|"&amp;M153</x:f>
        <x:v>온도|온대</x:v>
      </x:c>
      <x:c r="AI153" s="5" t="str">
        <x:f>"습도|"&amp;N153</x:f>
        <x:v>습도|수중</x:v>
      </x:c>
      <x:c r="AJ153" s="5" t="str">
        <x:f>"날씨|"&amp;O153</x:f>
        <x:v>날씨|비</x:v>
      </x:c>
      <x:c r="AK153" s="5" t="str">
        <x:f>"특수태그|"&amp;R153</x:f>
        <x:v>특수태그|없음</x:v>
      </x:c>
      <x:c r="AL153" s="5" t="str">
        <x:f>"원본서식지|"&amp;S153</x:f>
        <x:v>원본서식지|해양</x:v>
      </x:c>
      <x:c r="AM153" s="5" t="str">
        <x:f>"타입|"&amp;F153</x:f>
        <x:v>타입|드래곤</x:v>
      </x:c>
      <x:c r="AN153" s="5" t="str">
        <x:f>"타입|"&amp;G153</x:f>
        <x:v>타입|비행</x:v>
      </x:c>
    </x:row>
    <x:row r="154" ht="24" customHeight="1">
      <x:c r="A154" s="5" t="n">
        <x:v>150</x:v>
      </x:c>
      <x:c r="B154" s="5" t="inlineStr">
        <x:is>
          <x:t xml:space="preserve">뮤츠</x:t>
        </x:is>
      </x:c>
      <x:c r="C154" s="5" t="inlineStr">
        <x:is>
          <x:t xml:space="preserve">mewtwo</x:t>
        </x:is>
      </x:c>
      <x:c r="D154" s="5" t="inlineStr">
        <x:is>
          <x:t xml:space="preserve">Mewtwo</x:t>
        </x:is>
      </x:c>
      <x:c r="E154" s="5" t="n">
        <x:v>1</x:v>
      </x:c>
      <x:c r="F154" s="5" t="inlineStr">
        <x:is>
          <x:t xml:space="preserve">에스퍼</x:t>
        </x:is>
      </x:c>
      <x:c r="G154" s="5" t="inlineStr">
        <x:is>
          <x:t xml:space="preserve"/>
        </x:is>
      </x:c>
      <x:c r="H154" s="6" t="n">
        <x:v>122</x:v>
      </x:c>
      <x:c r="I154" s="5" t="n"/>
      <x:c r="J154" s="5" t="inlineStr">
        <x:is>
          <x:t xml:space="preserve">무진화</x:t>
        </x:is>
      </x:c>
      <x:c r="K154" s="7" t="inlineStr">
        <x:is>
          <x:t xml:space="preserve">인공</x:t>
        </x:is>
      </x:c>
      <x:c r="L154" s="7" t="inlineStr">
        <x:is>
          <x:t xml:space="preserve">도시</x:t>
        </x:is>
      </x:c>
      <x:c r="M154" s="7" t="inlineStr">
        <x:is>
          <x:t xml:space="preserve">온대</x:t>
        </x:is>
      </x:c>
      <x:c r="N154" s="7" t="inlineStr">
        <x:is>
          <x:t xml:space="preserve">보통</x:t>
        </x:is>
      </x:c>
      <x:c r="O154" s="7" t="inlineStr">
        <x:is>
          <x:t xml:space="preserve">무관</x:t>
        </x:is>
      </x:c>
      <x:c r="P154" s="7" t="inlineStr">
        <x:is>
          <x:t xml:space="preserve">무관</x:t>
        </x:is>
      </x:c>
      <x:c r="Q154" s="7" t="inlineStr">
        <x:is>
          <x:t xml:space="preserve">전설</x:t>
        </x:is>
      </x:c>
      <x:c r="R154" s="7" t="inlineStr">
        <x:is>
          <x:t xml:space="preserve">전설</x:t>
        </x:is>
      </x:c>
      <x:c r="S154" s="7" t="inlineStr">
        <x:is>
          <x:t xml:space="preserve"/>
        </x:is>
      </x:c>
      <x:c r="T154" s="7" t="inlineStr">
        <x:is>
          <x:t xml:space="preserve"/>
        </x:is>
      </x:c>
      <x:c r="U154" s="8" t="str">
        <x:f>INDEX('서식지_점수'!$E$4:$P$4,1,MATCH(MAX('서식지_점수'!E154:P154),'서식지_점수'!E154:P154,0))</x:f>
        <x:v>도시</x:v>
      </x:c>
      <x:c r="V154" s="8" t="str">
        <x:f>IF(T154&lt;&gt;"",T154,U154)</x:f>
        <x:v>도시</x:v>
      </x:c>
      <x:c r="W154" s="8" t="str">
        <x:f>IFERROR(INDEX('서식지_점수'!$E$4:$P$4,1,MATCH(MAXIFS('서식지_점수'!E154:P154,'서식지_점수'!E154:P154,"&lt;"&amp;MAX('서식지_점수'!E154:P154)),'서식지_점수'!E154:P154,0)),"")</x:f>
        <x:v>특수</x:v>
      </x:c>
      <x:c r="X154" s="8" t="str">
        <x:f>IF(T154&lt;&gt;"","수동확정",IF(MAX('서식지_점수'!E154:P154)-LARGE('서식지_점수'!E154:P154,2)&gt;=15,"높음",IF(MAX('서식지_점수'!E154:P154)-LARGE('서식지_점수'!E154:P154,2)&gt;=8,"보통","검토필요")))</x:f>
        <x:v>높음</x:v>
      </x:c>
      <x:c r="Y154" s="9" t="n">
        <x:f>IF(Q154="전설",8,IF(Q154="희귀",7,IF(J154="기본",1,IF(J154="중간",3,IF(J154="최종",IF(I154="",5,IF(I154&lt;=20,3,IF(I154&lt;=35,4,IF(I154&lt;=50,6,7)))),IF(Q154="드묾",4,2))))))</x:f>
        <x:v>8</x:v>
      </x:c>
      <x:c r="Z154" s="5" t="inlineStr">
        <x:is>
          <x:t xml:space="preserve">cobbleverse:custom_spawn/team_rocket_radio</x:t>
        </x:is>
      </x:c>
      <x:c r="AA154" s="5" t="inlineStr">
        <x:is>
          <x:t xml:space="preserve">ultra-rare</x:t>
        </x:is>
      </x:c>
      <x:c r="AB154" s="5" t="inlineStr">
        <x:is>
          <x:t xml:space="preserve">예</x:t>
        </x:is>
      </x:c>
      <x:c r="AC154" s="8" t="str">
        <x:f>IF(T154&lt;&gt;"","수동확정",IF(X154="검토필요","검토필요",IF(S154="","원본없음","초기완료")))</x:f>
        <x:v>원본없음</x:v>
      </x:c>
      <x:c r="AD154" s="7" t="inlineStr">
        <x:is>
          <x:t xml:space="preserve"/>
        </x:is>
      </x:c>
      <x:c r="AE154" s="5" t="inlineStr">
        <x:is>
          <x:t xml:space="preserve">.tmp/cobblemon-1.7.3-source/common/src/main/resources/data/cobblemon/species/generation1/mewtwo.json</x:t>
        </x:is>
      </x:c>
      <x:c r="AF154" s="5" t="str">
        <x:f>"생활권|"&amp;K154</x:f>
        <x:v>생활권|인공</x:v>
      </x:c>
      <x:c r="AG154" s="5" t="str">
        <x:f>"지형|"&amp;L154</x:f>
        <x:v>지형|도시</x:v>
      </x:c>
      <x:c r="AH154" s="5" t="str">
        <x:f>"온도|"&amp;M154</x:f>
        <x:v>온도|온대</x:v>
      </x:c>
      <x:c r="AI154" s="5" t="str">
        <x:f>"습도|"&amp;N154</x:f>
        <x:v>습도|보통</x:v>
      </x:c>
      <x:c r="AJ154" s="5" t="str">
        <x:f>"날씨|"&amp;O154</x:f>
        <x:v>날씨|무관</x:v>
      </x:c>
      <x:c r="AK154" s="5" t="str">
        <x:f>"특수태그|"&amp;R154</x:f>
        <x:v>특수태그|전설</x:v>
      </x:c>
      <x:c r="AL154" s="5" t="str">
        <x:f>"원본서식지|"&amp;S154</x:f>
        <x:v>원본서식지|</x:v>
      </x:c>
      <x:c r="AM154" s="5" t="str">
        <x:f>"타입|"&amp;F154</x:f>
        <x:v>타입|에스퍼</x:v>
      </x:c>
      <x:c r="AN154" s="5" t="str">
        <x:f>"타입|"&amp;G154</x:f>
        <x:v>타입|</x:v>
      </x:c>
    </x:row>
    <x:row r="155" ht="24" customHeight="1">
      <x:c r="A155" s="5" t="n">
        <x:v>151</x:v>
      </x:c>
      <x:c r="B155" s="5" t="inlineStr">
        <x:is>
          <x:t xml:space="preserve">뮤</x:t>
        </x:is>
      </x:c>
      <x:c r="C155" s="5" t="inlineStr">
        <x:is>
          <x:t xml:space="preserve">mew</x:t>
        </x:is>
      </x:c>
      <x:c r="D155" s="5" t="inlineStr">
        <x:is>
          <x:t xml:space="preserve">Mew</x:t>
        </x:is>
      </x:c>
      <x:c r="E155" s="5" t="n">
        <x:v>1</x:v>
      </x:c>
      <x:c r="F155" s="5" t="inlineStr">
        <x:is>
          <x:t xml:space="preserve">에스퍼</x:t>
        </x:is>
      </x:c>
      <x:c r="G155" s="5" t="inlineStr">
        <x:is>
          <x:t xml:space="preserve"/>
        </x:is>
      </x:c>
      <x:c r="H155" s="6" t="n">
        <x:v>4</x:v>
      </x:c>
      <x:c r="I155" s="5" t="n"/>
      <x:c r="J155" s="5" t="inlineStr">
        <x:is>
          <x:t xml:space="preserve">무진화</x:t>
        </x:is>
      </x:c>
      <x:c r="K155" s="7" t="inlineStr">
        <x:is>
          <x:t xml:space="preserve">비행</x:t>
        </x:is>
      </x:c>
      <x:c r="L155" s="7" t="inlineStr">
        <x:is>
          <x:t xml:space="preserve">특수</x:t>
        </x:is>
      </x:c>
      <x:c r="M155" s="7" t="inlineStr">
        <x:is>
          <x:t xml:space="preserve">온대</x:t>
        </x:is>
      </x:c>
      <x:c r="N155" s="7" t="inlineStr">
        <x:is>
          <x:t xml:space="preserve">보통</x:t>
        </x:is>
      </x:c>
      <x:c r="O155" s="7" t="inlineStr">
        <x:is>
          <x:t xml:space="preserve">무관</x:t>
        </x:is>
      </x:c>
      <x:c r="P155" s="7" t="inlineStr">
        <x:is>
          <x:t xml:space="preserve">무관</x:t>
        </x:is>
      </x:c>
      <x:c r="Q155" s="7" t="inlineStr">
        <x:is>
          <x:t xml:space="preserve">전설</x:t>
        </x:is>
      </x:c>
      <x:c r="R155" s="7" t="inlineStr">
        <x:is>
          <x:t xml:space="preserve">전설</x:t>
        </x:is>
      </x:c>
      <x:c r="S155" s="7" t="inlineStr">
        <x:is>
          <x:t xml:space="preserve">특수</x:t>
        </x:is>
      </x:c>
      <x:c r="T155" s="7" t="inlineStr">
        <x:is>
          <x:t xml:space="preserve"/>
        </x:is>
      </x:c>
      <x:c r="U155" s="8" t="str">
        <x:f>INDEX('서식지_점수'!$E$4:$P$4,1,MATCH(MAX('서식지_점수'!E155:P155),'서식지_점수'!E155:P155,0))</x:f>
        <x:v>산악</x:v>
      </x:c>
      <x:c r="V155" s="8" t="str">
        <x:f>IF(T155&lt;&gt;"",T155,U155)</x:f>
        <x:v>산악</x:v>
      </x:c>
      <x:c r="W155" s="8" t="str">
        <x:f>IFERROR(INDEX('서식지_점수'!$E$4:$P$4,1,MATCH(MAXIFS('서식지_점수'!E155:P155,'서식지_점수'!E155:P155,"&lt;"&amp;MAX('서식지_점수'!E155:P155)),'서식지_점수'!E155:P155,0)),"")</x:f>
        <x:v>평원</x:v>
      </x:c>
      <x:c r="X155" s="8" t="str">
        <x:f>IF(T155&lt;&gt;"","수동확정",IF(MAX('서식지_점수'!E155:P155)-LARGE('서식지_점수'!E155:P155,2)&gt;=15,"높음",IF(MAX('서식지_점수'!E155:P155)-LARGE('서식지_점수'!E155:P155,2)&gt;=8,"보통","검토필요")))</x:f>
        <x:v>검토필요</x:v>
      </x:c>
      <x:c r="Y155" s="9" t="n">
        <x:f>IF(Q155="전설",8,IF(Q155="희귀",7,IF(J155="기본",1,IF(J155="중간",3,IF(J155="최종",IF(I155="",5,IF(I155&lt;=20,3,IF(I155&lt;=35,4,IF(I155&lt;=50,6,7)))),IF(Q155="드묾",4,2))))))</x:f>
        <x:v>8</x:v>
      </x:c>
      <x:c r="Z155" s="5" t="inlineStr">
        <x:is>
          <x:t xml:space="preserve">cobbleverse:custom_spawn/origin_temple</x:t>
        </x:is>
      </x:c>
      <x:c r="AA155" s="5" t="inlineStr">
        <x:is>
          <x:t xml:space="preserve">ultra-rare</x:t>
        </x:is>
      </x:c>
      <x:c r="AB155" s="5" t="inlineStr">
        <x:is>
          <x:t xml:space="preserve">예</x:t>
        </x:is>
      </x:c>
      <x:c r="AC155" s="8" t="str">
        <x:f>IF(T155&lt;&gt;"","수동확정",IF(X155="검토필요","검토필요",IF(S155="","원본없음","초기완료")))</x:f>
        <x:v>검토필요</x:v>
      </x:c>
      <x:c r="AD155" s="7" t="inlineStr">
        <x:is>
          <x:t xml:space="preserve"/>
        </x:is>
      </x:c>
      <x:c r="AE155" s="5" t="inlineStr">
        <x:is>
          <x:t xml:space="preserve">.tmp/cobblemon-1.7.3-source/common/src/main/resources/data/cobblemon/species/generation1/mew.json</x:t>
        </x:is>
      </x:c>
      <x:c r="AF155" s="5" t="str">
        <x:f>"생활권|"&amp;K155</x:f>
        <x:v>생활권|비행</x:v>
      </x:c>
      <x:c r="AG155" s="5" t="str">
        <x:f>"지형|"&amp;L155</x:f>
        <x:v>지형|특수</x:v>
      </x:c>
      <x:c r="AH155" s="5" t="str">
        <x:f>"온도|"&amp;M155</x:f>
        <x:v>온도|온대</x:v>
      </x:c>
      <x:c r="AI155" s="5" t="str">
        <x:f>"습도|"&amp;N155</x:f>
        <x:v>습도|보통</x:v>
      </x:c>
      <x:c r="AJ155" s="5" t="str">
        <x:f>"날씨|"&amp;O155</x:f>
        <x:v>날씨|무관</x:v>
      </x:c>
      <x:c r="AK155" s="5" t="str">
        <x:f>"특수태그|"&amp;R155</x:f>
        <x:v>특수태그|전설</x:v>
      </x:c>
      <x:c r="AL155" s="5" t="str">
        <x:f>"원본서식지|"&amp;S155</x:f>
        <x:v>원본서식지|특수</x:v>
      </x:c>
      <x:c r="AM155" s="5" t="str">
        <x:f>"타입|"&amp;F155</x:f>
        <x:v>타입|에스퍼</x:v>
      </x:c>
      <x:c r="AN155" s="5" t="str">
        <x:f>"타입|"&amp;G155</x:f>
        <x:v>타입|</x:v>
      </x:c>
    </x:row>
    <x:row r="156" ht="24" customHeight="1">
      <x:c r="A156" s="5" t="n">
        <x:v>152</x:v>
      </x:c>
      <x:c r="B156" s="5" t="inlineStr">
        <x:is>
          <x:t xml:space="preserve">치코리타</x:t>
        </x:is>
      </x:c>
      <x:c r="C156" s="5" t="inlineStr">
        <x:is>
          <x:t xml:space="preserve">chikorita</x:t>
        </x:is>
      </x:c>
      <x:c r="D156" s="5" t="inlineStr">
        <x:is>
          <x:t xml:space="preserve">Chikorita</x:t>
        </x:is>
      </x:c>
      <x:c r="E156" s="5" t="n">
        <x:v>2</x:v>
      </x:c>
      <x:c r="F156" s="5" t="inlineStr">
        <x:is>
          <x:t xml:space="preserve">풀</x:t>
        </x:is>
      </x:c>
      <x:c r="G156" s="5" t="inlineStr">
        <x:is>
          <x:t xml:space="preserve"/>
        </x:is>
      </x:c>
      <x:c r="H156" s="6" t="n">
        <x:v>6.4</x:v>
      </x:c>
      <x:c r="I156" s="5" t="n">
        <x:v>32</x:v>
      </x:c>
      <x:c r="J156" s="5" t="inlineStr">
        <x:is>
          <x:t xml:space="preserve">기본</x:t>
        </x:is>
      </x:c>
      <x:c r="K156" s="7" t="inlineStr">
        <x:is>
          <x:t xml:space="preserve">육상</x:t>
        </x:is>
      </x:c>
      <x:c r="L156" s="7" t="inlineStr">
        <x:is>
          <x:t xml:space="preserve">개활지</x:t>
        </x:is>
      </x:c>
      <x:c r="M156" s="7" t="inlineStr">
        <x:is>
          <x:t xml:space="preserve">온대</x:t>
        </x:is>
      </x:c>
      <x:c r="N156" s="7" t="inlineStr">
        <x:is>
          <x:t xml:space="preserve">보통</x:t>
        </x:is>
      </x:c>
      <x:c r="O156" s="7" t="inlineStr">
        <x:is>
          <x:t xml:space="preserve">무관</x:t>
        </x:is>
      </x:c>
      <x:c r="P156" s="7" t="inlineStr">
        <x:is>
          <x:t xml:space="preserve">무관</x:t>
        </x:is>
      </x:c>
      <x:c r="Q156" s="7" t="inlineStr">
        <x:is>
          <x:t xml:space="preserve">희귀</x:t>
        </x:is>
      </x:c>
      <x:c r="R156" s="7" t="inlineStr">
        <x:is>
          <x:t xml:space="preserve">없음</x:t>
        </x:is>
      </x:c>
      <x:c r="S156" s="7" t="inlineStr">
        <x:is>
          <x:t xml:space="preserve">평원</x:t>
        </x:is>
      </x:c>
      <x:c r="T156" s="7" t="inlineStr">
        <x:is>
          <x:t xml:space="preserve"/>
        </x:is>
      </x:c>
      <x:c r="U156" s="8" t="str">
        <x:f>INDEX('서식지_점수'!$E$4:$P$4,1,MATCH(MAX('서식지_점수'!E156:P156),'서식지_점수'!E156:P156,0))</x:f>
        <x:v>평원</x:v>
      </x:c>
      <x:c r="V156" s="8" t="str">
        <x:f>IF(T156&lt;&gt;"",T156,U156)</x:f>
        <x:v>평원</x:v>
      </x:c>
      <x:c r="W156" s="8" t="str">
        <x:f>IFERROR(INDEX('서식지_점수'!$E$4:$P$4,1,MATCH(MAXIFS('서식지_점수'!E156:P156,'서식지_점수'!E156:P156,"&lt;"&amp;MAX('서식지_점수'!E156:P156)),'서식지_점수'!E156:P156,0)),"")</x:f>
        <x:v>숲</x:v>
      </x:c>
      <x:c r="X156" s="8" t="str">
        <x:f>IF(T156&lt;&gt;"","수동확정",IF(MAX('서식지_점수'!E156:P156)-LARGE('서식지_점수'!E156:P156,2)&gt;=15,"높음",IF(MAX('서식지_점수'!E156:P156)-LARGE('서식지_점수'!E156:P156,2)&gt;=8,"보통","검토필요")))</x:f>
        <x:v>검토필요</x:v>
      </x:c>
      <x:c r="Y156" s="9" t="n">
        <x:f>IF(Q156="전설",8,IF(Q156="희귀",7,IF(J156="기본",1,IF(J156="중간",3,IF(J156="최종",IF(I156="",5,IF(I156&lt;=20,3,IF(I156&lt;=35,4,IF(I156&lt;=50,6,7)))),IF(Q156="드묾",4,2))))))</x:f>
        <x:v>7</x:v>
      </x:c>
      <x:c r="Z156" s="5" t="inlineStr">
        <x:is>
          <x:t xml:space="preserve">#aether:is_aether; #cobblemon:is_floral; the_bumblezone:floral_meadow</x:t>
        </x:is>
      </x:c>
      <x:c r="AA156" s="5" t="inlineStr">
        <x:is>
          <x:t xml:space="preserve">ultra-rare</x:t>
        </x:is>
      </x:c>
      <x:c r="AB156" s="5" t="inlineStr">
        <x:is>
          <x:t xml:space="preserve">예</x:t>
        </x:is>
      </x:c>
      <x:c r="AC156" s="8" t="str">
        <x:f>IF(T156&lt;&gt;"","수동확정",IF(X156="검토필요","검토필요",IF(S156="","원본없음","초기완료")))</x:f>
        <x:v>검토필요</x:v>
      </x:c>
      <x:c r="AD156" s="7" t="inlineStr">
        <x:is>
          <x:t xml:space="preserve"/>
        </x:is>
      </x:c>
      <x:c r="AE156" s="5" t="inlineStr">
        <x:is>
          <x:t xml:space="preserve">.tmp/cobblemon-1.7.3-source/common/src/main/resources/data/cobblemon/species/generation2/chikorita.json</x:t>
        </x:is>
      </x:c>
      <x:c r="AF156" s="5" t="str">
        <x:f>"생활권|"&amp;K156</x:f>
        <x:v>생활권|육상</x:v>
      </x:c>
      <x:c r="AG156" s="5" t="str">
        <x:f>"지형|"&amp;L156</x:f>
        <x:v>지형|개활지</x:v>
      </x:c>
      <x:c r="AH156" s="5" t="str">
        <x:f>"온도|"&amp;M156</x:f>
        <x:v>온도|온대</x:v>
      </x:c>
      <x:c r="AI156" s="5" t="str">
        <x:f>"습도|"&amp;N156</x:f>
        <x:v>습도|보통</x:v>
      </x:c>
      <x:c r="AJ156" s="5" t="str">
        <x:f>"날씨|"&amp;O156</x:f>
        <x:v>날씨|무관</x:v>
      </x:c>
      <x:c r="AK156" s="5" t="str">
        <x:f>"특수태그|"&amp;R156</x:f>
        <x:v>특수태그|없음</x:v>
      </x:c>
      <x:c r="AL156" s="5" t="str">
        <x:f>"원본서식지|"&amp;S156</x:f>
        <x:v>원본서식지|평원</x:v>
      </x:c>
      <x:c r="AM156" s="5" t="str">
        <x:f>"타입|"&amp;F156</x:f>
        <x:v>타입|풀</x:v>
      </x:c>
      <x:c r="AN156" s="5" t="str">
        <x:f>"타입|"&amp;G156</x:f>
        <x:v>타입|</x:v>
      </x:c>
    </x:row>
    <x:row r="157" ht="24" customHeight="1">
      <x:c r="A157" s="5" t="n">
        <x:v>153</x:v>
      </x:c>
      <x:c r="B157" s="5" t="inlineStr">
        <x:is>
          <x:t xml:space="preserve">베이리프</x:t>
        </x:is>
      </x:c>
      <x:c r="C157" s="5" t="inlineStr">
        <x:is>
          <x:t xml:space="preserve">bayleef</x:t>
        </x:is>
      </x:c>
      <x:c r="D157" s="5" t="inlineStr">
        <x:is>
          <x:t xml:space="preserve">Bayleef</x:t>
        </x:is>
      </x:c>
      <x:c r="E157" s="5" t="n">
        <x:v>2</x:v>
      </x:c>
      <x:c r="F157" s="5" t="inlineStr">
        <x:is>
          <x:t xml:space="preserve">풀</x:t>
        </x:is>
      </x:c>
      <x:c r="G157" s="5" t="inlineStr">
        <x:is>
          <x:t xml:space="preserve"/>
        </x:is>
      </x:c>
      <x:c r="H157" s="6" t="n">
        <x:v>15.8</x:v>
      </x:c>
      <x:c r="I157" s="5" t="n">
        <x:v>32</x:v>
      </x:c>
      <x:c r="J157" s="5" t="inlineStr">
        <x:is>
          <x:t xml:space="preserve">중간</x:t>
        </x:is>
      </x:c>
      <x:c r="K157" s="7" t="inlineStr">
        <x:is>
          <x:t xml:space="preserve">육상</x:t>
        </x:is>
      </x:c>
      <x:c r="L157" s="7" t="inlineStr">
        <x:is>
          <x:t xml:space="preserve">개활지</x:t>
        </x:is>
      </x:c>
      <x:c r="M157" s="7" t="inlineStr">
        <x:is>
          <x:t xml:space="preserve">온대</x:t>
        </x:is>
      </x:c>
      <x:c r="N157" s="7" t="inlineStr">
        <x:is>
          <x:t xml:space="preserve">보통</x:t>
        </x:is>
      </x:c>
      <x:c r="O157" s="7" t="inlineStr">
        <x:is>
          <x:t xml:space="preserve">무관</x:t>
        </x:is>
      </x:c>
      <x:c r="P157" s="7" t="inlineStr">
        <x:is>
          <x:t xml:space="preserve">무관</x:t>
        </x:is>
      </x:c>
      <x:c r="Q157" s="7" t="inlineStr">
        <x:is>
          <x:t xml:space="preserve">희귀</x:t>
        </x:is>
      </x:c>
      <x:c r="R157" s="7" t="inlineStr">
        <x:is>
          <x:t xml:space="preserve">없음</x:t>
        </x:is>
      </x:c>
      <x:c r="S157" s="7" t="inlineStr">
        <x:is>
          <x:t xml:space="preserve">평원</x:t>
        </x:is>
      </x:c>
      <x:c r="T157" s="7" t="inlineStr">
        <x:is>
          <x:t xml:space="preserve"/>
        </x:is>
      </x:c>
      <x:c r="U157" s="8" t="str">
        <x:f>INDEX('서식지_점수'!$E$4:$P$4,1,MATCH(MAX('서식지_점수'!E157:P157),'서식지_점수'!E157:P157,0))</x:f>
        <x:v>평원</x:v>
      </x:c>
      <x:c r="V157" s="8" t="str">
        <x:f>IF(T157&lt;&gt;"",T157,U157)</x:f>
        <x:v>평원</x:v>
      </x:c>
      <x:c r="W157" s="8" t="str">
        <x:f>IFERROR(INDEX('서식지_점수'!$E$4:$P$4,1,MATCH(MAXIFS('서식지_점수'!E157:P157,'서식지_점수'!E157:P157,"&lt;"&amp;MAX('서식지_점수'!E157:P157)),'서식지_점수'!E157:P157,0)),"")</x:f>
        <x:v>숲</x:v>
      </x:c>
      <x:c r="X157" s="8" t="str">
        <x:f>IF(T157&lt;&gt;"","수동확정",IF(MAX('서식지_점수'!E157:P157)-LARGE('서식지_점수'!E157:P157,2)&gt;=15,"높음",IF(MAX('서식지_점수'!E157:P157)-LARGE('서식지_점수'!E157:P157,2)&gt;=8,"보통","검토필요")))</x:f>
        <x:v>검토필요</x:v>
      </x:c>
      <x:c r="Y157" s="9" t="n">
        <x:f>IF(Q157="전설",8,IF(Q157="희귀",7,IF(J157="기본",1,IF(J157="중간",3,IF(J157="최종",IF(I157="",5,IF(I157&lt;=20,3,IF(I157&lt;=35,4,IF(I157&lt;=50,6,7)))),IF(Q157="드묾",4,2))))))</x:f>
        <x:v>7</x:v>
      </x:c>
      <x:c r="Z157" s="5" t="inlineStr">
        <x:is>
          <x:t xml:space="preserve">#aether:is_aether; #cobblemon:is_floral; the_bumblezone:floral_meadow</x:t>
        </x:is>
      </x:c>
      <x:c r="AA157" s="5" t="inlineStr">
        <x:is>
          <x:t xml:space="preserve">ultra-rare</x:t>
        </x:is>
      </x:c>
      <x:c r="AB157" s="5" t="inlineStr">
        <x:is>
          <x:t xml:space="preserve">예</x:t>
        </x:is>
      </x:c>
      <x:c r="AC157" s="8" t="str">
        <x:f>IF(T157&lt;&gt;"","수동확정",IF(X157="검토필요","검토필요",IF(S157="","원본없음","초기완료")))</x:f>
        <x:v>검토필요</x:v>
      </x:c>
      <x:c r="AD157" s="7" t="inlineStr">
        <x:is>
          <x:t xml:space="preserve"/>
        </x:is>
      </x:c>
      <x:c r="AE157" s="5" t="inlineStr">
        <x:is>
          <x:t xml:space="preserve">.tmp/cobblemon-1.7.3-source/common/src/main/resources/data/cobblemon/species/generation2/bayleef.json</x:t>
        </x:is>
      </x:c>
      <x:c r="AF157" s="5" t="str">
        <x:f>"생활권|"&amp;K157</x:f>
        <x:v>생활권|육상</x:v>
      </x:c>
      <x:c r="AG157" s="5" t="str">
        <x:f>"지형|"&amp;L157</x:f>
        <x:v>지형|개활지</x:v>
      </x:c>
      <x:c r="AH157" s="5" t="str">
        <x:f>"온도|"&amp;M157</x:f>
        <x:v>온도|온대</x:v>
      </x:c>
      <x:c r="AI157" s="5" t="str">
        <x:f>"습도|"&amp;N157</x:f>
        <x:v>습도|보통</x:v>
      </x:c>
      <x:c r="AJ157" s="5" t="str">
        <x:f>"날씨|"&amp;O157</x:f>
        <x:v>날씨|무관</x:v>
      </x:c>
      <x:c r="AK157" s="5" t="str">
        <x:f>"특수태그|"&amp;R157</x:f>
        <x:v>특수태그|없음</x:v>
      </x:c>
      <x:c r="AL157" s="5" t="str">
        <x:f>"원본서식지|"&amp;S157</x:f>
        <x:v>원본서식지|평원</x:v>
      </x:c>
      <x:c r="AM157" s="5" t="str">
        <x:f>"타입|"&amp;F157</x:f>
        <x:v>타입|풀</x:v>
      </x:c>
      <x:c r="AN157" s="5" t="str">
        <x:f>"타입|"&amp;G157</x:f>
        <x:v>타입|</x:v>
      </x:c>
    </x:row>
    <x:row r="158" ht="24" customHeight="1">
      <x:c r="A158" s="5" t="n">
        <x:v>154</x:v>
      </x:c>
      <x:c r="B158" s="5" t="inlineStr">
        <x:is>
          <x:t xml:space="preserve">메가니움</x:t>
        </x:is>
      </x:c>
      <x:c r="C158" s="5" t="inlineStr">
        <x:is>
          <x:t xml:space="preserve">meganium</x:t>
        </x:is>
      </x:c>
      <x:c r="D158" s="5" t="inlineStr">
        <x:is>
          <x:t xml:space="preserve">Meganium</x:t>
        </x:is>
      </x:c>
      <x:c r="E158" s="5" t="n">
        <x:v>2</x:v>
      </x:c>
      <x:c r="F158" s="5" t="inlineStr">
        <x:is>
          <x:t xml:space="preserve">풀</x:t>
        </x:is>
      </x:c>
      <x:c r="G158" s="5" t="inlineStr">
        <x:is>
          <x:t xml:space="preserve"/>
        </x:is>
      </x:c>
      <x:c r="H158" s="6" t="n">
        <x:v>100.5</x:v>
      </x:c>
      <x:c r="I158" s="5" t="n">
        <x:v>32</x:v>
      </x:c>
      <x:c r="J158" s="5" t="inlineStr">
        <x:is>
          <x:t xml:space="preserve">최종</x:t>
        </x:is>
      </x:c>
      <x:c r="K158" s="7" t="inlineStr">
        <x:is>
          <x:t xml:space="preserve">육상</x:t>
        </x:is>
      </x:c>
      <x:c r="L158" s="7" t="inlineStr">
        <x:is>
          <x:t xml:space="preserve">개활지</x:t>
        </x:is>
      </x:c>
      <x:c r="M158" s="7" t="inlineStr">
        <x:is>
          <x:t xml:space="preserve">온대</x:t>
        </x:is>
      </x:c>
      <x:c r="N158" s="7" t="inlineStr">
        <x:is>
          <x:t xml:space="preserve">보통</x:t>
        </x:is>
      </x:c>
      <x:c r="O158" s="7" t="inlineStr">
        <x:is>
          <x:t xml:space="preserve">무관</x:t>
        </x:is>
      </x:c>
      <x:c r="P158" s="7" t="inlineStr">
        <x:is>
          <x:t xml:space="preserve">무관</x:t>
        </x:is>
      </x:c>
      <x:c r="Q158" s="7" t="inlineStr">
        <x:is>
          <x:t xml:space="preserve">희귀</x:t>
        </x:is>
      </x:c>
      <x:c r="R158" s="7" t="inlineStr">
        <x:is>
          <x:t xml:space="preserve">없음</x:t>
        </x:is>
      </x:c>
      <x:c r="S158" s="7" t="inlineStr">
        <x:is>
          <x:t xml:space="preserve">평원</x:t>
        </x:is>
      </x:c>
      <x:c r="T158" s="7" t="inlineStr">
        <x:is>
          <x:t xml:space="preserve"/>
        </x:is>
      </x:c>
      <x:c r="U158" s="8" t="str">
        <x:f>INDEX('서식지_점수'!$E$4:$P$4,1,MATCH(MAX('서식지_점수'!E158:P158),'서식지_점수'!E158:P158,0))</x:f>
        <x:v>평원</x:v>
      </x:c>
      <x:c r="V158" s="8" t="str">
        <x:f>IF(T158&lt;&gt;"",T158,U158)</x:f>
        <x:v>평원</x:v>
      </x:c>
      <x:c r="W158" s="8" t="str">
        <x:f>IFERROR(INDEX('서식지_점수'!$E$4:$P$4,1,MATCH(MAXIFS('서식지_점수'!E158:P158,'서식지_점수'!E158:P158,"&lt;"&amp;MAX('서식지_점수'!E158:P158)),'서식지_점수'!E158:P158,0)),"")</x:f>
        <x:v>숲</x:v>
      </x:c>
      <x:c r="X158" s="8" t="str">
        <x:f>IF(T158&lt;&gt;"","수동확정",IF(MAX('서식지_점수'!E158:P158)-LARGE('서식지_점수'!E158:P158,2)&gt;=15,"높음",IF(MAX('서식지_점수'!E158:P158)-LARGE('서식지_점수'!E158:P158,2)&gt;=8,"보통","검토필요")))</x:f>
        <x:v>검토필요</x:v>
      </x:c>
      <x:c r="Y158" s="9" t="n">
        <x:f>IF(Q158="전설",8,IF(Q158="희귀",7,IF(J158="기본",1,IF(J158="중간",3,IF(J158="최종",IF(I158="",5,IF(I158&lt;=20,3,IF(I158&lt;=35,4,IF(I158&lt;=50,6,7)))),IF(Q158="드묾",4,2))))))</x:f>
        <x:v>7</x:v>
      </x:c>
      <x:c r="Z158" s="5" t="inlineStr">
        <x:is>
          <x:t xml:space="preserve">#aether:is_aether; #cobblemon:is_floral; the_bumblezone:floral_meadow</x:t>
        </x:is>
      </x:c>
      <x:c r="AA158" s="5" t="inlineStr">
        <x:is>
          <x:t xml:space="preserve">ultra-rare</x:t>
        </x:is>
      </x:c>
      <x:c r="AB158" s="5" t="inlineStr">
        <x:is>
          <x:t xml:space="preserve">예</x:t>
        </x:is>
      </x:c>
      <x:c r="AC158" s="8" t="str">
        <x:f>IF(T158&lt;&gt;"","수동확정",IF(X158="검토필요","검토필요",IF(S158="","원본없음","초기완료")))</x:f>
        <x:v>검토필요</x:v>
      </x:c>
      <x:c r="AD158" s="7" t="inlineStr">
        <x:is>
          <x:t xml:space="preserve"/>
        </x:is>
      </x:c>
      <x:c r="AE158" s="5" t="inlineStr">
        <x:is>
          <x:t xml:space="preserve">.tmp/cobblemon-1.7.3-source/common/src/main/resources/data/cobblemon/species/generation2/meganium.json</x:t>
        </x:is>
      </x:c>
      <x:c r="AF158" s="5" t="str">
        <x:f>"생활권|"&amp;K158</x:f>
        <x:v>생활권|육상</x:v>
      </x:c>
      <x:c r="AG158" s="5" t="str">
        <x:f>"지형|"&amp;L158</x:f>
        <x:v>지형|개활지</x:v>
      </x:c>
      <x:c r="AH158" s="5" t="str">
        <x:f>"온도|"&amp;M158</x:f>
        <x:v>온도|온대</x:v>
      </x:c>
      <x:c r="AI158" s="5" t="str">
        <x:f>"습도|"&amp;N158</x:f>
        <x:v>습도|보통</x:v>
      </x:c>
      <x:c r="AJ158" s="5" t="str">
        <x:f>"날씨|"&amp;O158</x:f>
        <x:v>날씨|무관</x:v>
      </x:c>
      <x:c r="AK158" s="5" t="str">
        <x:f>"특수태그|"&amp;R158</x:f>
        <x:v>특수태그|없음</x:v>
      </x:c>
      <x:c r="AL158" s="5" t="str">
        <x:f>"원본서식지|"&amp;S158</x:f>
        <x:v>원본서식지|평원</x:v>
      </x:c>
      <x:c r="AM158" s="5" t="str">
        <x:f>"타입|"&amp;F158</x:f>
        <x:v>타입|풀</x:v>
      </x:c>
      <x:c r="AN158" s="5" t="str">
        <x:f>"타입|"&amp;G158</x:f>
        <x:v>타입|</x:v>
      </x:c>
    </x:row>
    <x:row r="159" ht="24" customHeight="1">
      <x:c r="A159" s="5" t="n">
        <x:v>155</x:v>
      </x:c>
      <x:c r="B159" s="5" t="inlineStr">
        <x:is>
          <x:t xml:space="preserve">브케인</x:t>
        </x:is>
      </x:c>
      <x:c r="C159" s="5" t="inlineStr">
        <x:is>
          <x:t xml:space="preserve">cyndaquil</x:t>
        </x:is>
      </x:c>
      <x:c r="D159" s="5" t="inlineStr">
        <x:is>
          <x:t xml:space="preserve">Cyndaquil</x:t>
        </x:is>
      </x:c>
      <x:c r="E159" s="5" t="n">
        <x:v>2</x:v>
      </x:c>
      <x:c r="F159" s="5" t="inlineStr">
        <x:is>
          <x:t xml:space="preserve">불꽃</x:t>
        </x:is>
      </x:c>
      <x:c r="G159" s="5" t="inlineStr">
        <x:is>
          <x:t xml:space="preserve"/>
        </x:is>
      </x:c>
      <x:c r="H159" s="6" t="n">
        <x:v>7.9</x:v>
      </x:c>
      <x:c r="I159" s="5" t="n">
        <x:v>36</x:v>
      </x:c>
      <x:c r="J159" s="5" t="inlineStr">
        <x:is>
          <x:t xml:space="preserve">기본</x:t>
        </x:is>
      </x:c>
      <x:c r="K159" s="7" t="inlineStr">
        <x:is>
          <x:t xml:space="preserve">육상</x:t>
        </x:is>
      </x:c>
      <x:c r="L159" s="7" t="inlineStr">
        <x:is>
          <x:t xml:space="preserve">화산</x:t>
        </x:is>
      </x:c>
      <x:c r="M159" s="7" t="inlineStr">
        <x:is>
          <x:t xml:space="preserve">서늘</x:t>
        </x:is>
      </x:c>
      <x:c r="N159" s="7" t="inlineStr">
        <x:is>
          <x:t xml:space="preserve">건조</x:t>
        </x:is>
      </x:c>
      <x:c r="O159" s="7" t="inlineStr">
        <x:is>
          <x:t xml:space="preserve">맑음</x:t>
        </x:is>
      </x:c>
      <x:c r="P159" s="7" t="inlineStr">
        <x:is>
          <x:t xml:space="preserve">무관</x:t>
        </x:is>
      </x:c>
      <x:c r="Q159" s="7" t="inlineStr">
        <x:is>
          <x:t xml:space="preserve">희귀</x:t>
        </x:is>
      </x:c>
      <x:c r="R159" s="7" t="inlineStr">
        <x:is>
          <x:t xml:space="preserve">화산</x:t>
        </x:is>
      </x:c>
      <x:c r="S159" s="7" t="inlineStr">
        <x:is>
          <x:t xml:space="preserve">화산</x:t>
        </x:is>
      </x:c>
      <x:c r="T159" s="7" t="inlineStr">
        <x:is>
          <x:t xml:space="preserve"/>
        </x:is>
      </x:c>
      <x:c r="U159" s="8" t="str">
        <x:f>INDEX('서식지_점수'!$E$4:$P$4,1,MATCH(MAX('서식지_점수'!E159:P159),'서식지_점수'!E159:P159,0))</x:f>
        <x:v>평원</x:v>
      </x:c>
      <x:c r="V159" s="8" t="str">
        <x:f>IF(T159&lt;&gt;"",T159,U159)</x:f>
        <x:v>평원</x:v>
      </x:c>
      <x:c r="W159" s="8" t="str">
        <x:f>IFERROR(INDEX('서식지_점수'!$E$4:$P$4,1,MATCH(MAXIFS('서식지_점수'!E159:P159,'서식지_점수'!E159:P159,"&lt;"&amp;MAX('서식지_점수'!E159:P159)),'서식지_점수'!E159:P159,0)),"")</x:f>
        <x:v>숲</x:v>
      </x:c>
      <x:c r="X159" s="8" t="str">
        <x:f>IF(T159&lt;&gt;"","수동확정",IF(MAX('서식지_점수'!E159:P159)-LARGE('서식지_점수'!E159:P159,2)&gt;=15,"높음",IF(MAX('서식지_점수'!E159:P159)-LARGE('서식지_점수'!E159:P159,2)&gt;=8,"보통","검토필요")))</x:f>
        <x:v>검토필요</x:v>
      </x:c>
      <x:c r="Y159" s="9" t="n">
        <x:f>IF(Q159="전설",8,IF(Q159="희귀",7,IF(J159="기본",1,IF(J159="중간",3,IF(J159="최종",IF(I159="",5,IF(I159&lt;=20,3,IF(I159&lt;=35,4,IF(I159&lt;=50,6,7)))),IF(Q159="드묾",4,2))))))</x:f>
        <x:v>7</x:v>
      </x:c>
      <x:c r="Z159" s="5" t="inlineStr">
        <x:is>
          <x:t xml:space="preserve">#cobblemon:is_taiga; #cobblemon:is_temperate; #cobblemon:nether/is_crimson; #cobblemon:nether/is_forest; #cobblemon:nether/is_overgrowth</x:t>
        </x:is>
      </x:c>
      <x:c r="AA159" s="5" t="inlineStr">
        <x:is>
          <x:t xml:space="preserve">ultra-rare</x:t>
        </x:is>
      </x:c>
      <x:c r="AB159" s="5" t="inlineStr">
        <x:is>
          <x:t xml:space="preserve">예</x:t>
        </x:is>
      </x:c>
      <x:c r="AC159" s="8" t="str">
        <x:f>IF(T159&lt;&gt;"","수동확정",IF(X159="검토필요","검토필요",IF(S159="","원본없음","초기완료")))</x:f>
        <x:v>검토필요</x:v>
      </x:c>
      <x:c r="AD159" s="7" t="inlineStr">
        <x:is>
          <x:t xml:space="preserve"/>
        </x:is>
      </x:c>
      <x:c r="AE159" s="5" t="inlineStr">
        <x:is>
          <x:t xml:space="preserve">.tmp/cobblemon-1.7.3-source/common/src/main/resources/data/cobblemon/species/generation2/cyndaquil.json</x:t>
        </x:is>
      </x:c>
      <x:c r="AF159" s="5" t="str">
        <x:f>"생활권|"&amp;K159</x:f>
        <x:v>생활권|육상</x:v>
      </x:c>
      <x:c r="AG159" s="5" t="str">
        <x:f>"지형|"&amp;L159</x:f>
        <x:v>지형|화산</x:v>
      </x:c>
      <x:c r="AH159" s="5" t="str">
        <x:f>"온도|"&amp;M159</x:f>
        <x:v>온도|서늘</x:v>
      </x:c>
      <x:c r="AI159" s="5" t="str">
        <x:f>"습도|"&amp;N159</x:f>
        <x:v>습도|건조</x:v>
      </x:c>
      <x:c r="AJ159" s="5" t="str">
        <x:f>"날씨|"&amp;O159</x:f>
        <x:v>날씨|맑음</x:v>
      </x:c>
      <x:c r="AK159" s="5" t="str">
        <x:f>"특수태그|"&amp;R159</x:f>
        <x:v>특수태그|화산</x:v>
      </x:c>
      <x:c r="AL159" s="5" t="str">
        <x:f>"원본서식지|"&amp;S159</x:f>
        <x:v>원본서식지|화산</x:v>
      </x:c>
      <x:c r="AM159" s="5" t="str">
        <x:f>"타입|"&amp;F159</x:f>
        <x:v>타입|불꽃</x:v>
      </x:c>
      <x:c r="AN159" s="5" t="str">
        <x:f>"타입|"&amp;G159</x:f>
        <x:v>타입|</x:v>
      </x:c>
    </x:row>
    <x:row r="160" ht="24" customHeight="1">
      <x:c r="A160" s="5" t="n">
        <x:v>156</x:v>
      </x:c>
      <x:c r="B160" s="5" t="inlineStr">
        <x:is>
          <x:t xml:space="preserve">마그케인</x:t>
        </x:is>
      </x:c>
      <x:c r="C160" s="5" t="inlineStr">
        <x:is>
          <x:t xml:space="preserve">quilava</x:t>
        </x:is>
      </x:c>
      <x:c r="D160" s="5" t="inlineStr">
        <x:is>
          <x:t xml:space="preserve">Quilava</x:t>
        </x:is>
      </x:c>
      <x:c r="E160" s="5" t="n">
        <x:v>2</x:v>
      </x:c>
      <x:c r="F160" s="5" t="inlineStr">
        <x:is>
          <x:t xml:space="preserve">불꽃</x:t>
        </x:is>
      </x:c>
      <x:c r="G160" s="5" t="inlineStr">
        <x:is>
          <x:t xml:space="preserve"/>
        </x:is>
      </x:c>
      <x:c r="H160" s="6" t="n">
        <x:v>19</x:v>
      </x:c>
      <x:c r="I160" s="5" t="n">
        <x:v>36</x:v>
      </x:c>
      <x:c r="J160" s="5" t="inlineStr">
        <x:is>
          <x:t xml:space="preserve">중간</x:t>
        </x:is>
      </x:c>
      <x:c r="K160" s="7" t="inlineStr">
        <x:is>
          <x:t xml:space="preserve">육상</x:t>
        </x:is>
      </x:c>
      <x:c r="L160" s="7" t="inlineStr">
        <x:is>
          <x:t xml:space="preserve">화산</x:t>
        </x:is>
      </x:c>
      <x:c r="M160" s="7" t="inlineStr">
        <x:is>
          <x:t xml:space="preserve">서늘</x:t>
        </x:is>
      </x:c>
      <x:c r="N160" s="7" t="inlineStr">
        <x:is>
          <x:t xml:space="preserve">건조</x:t>
        </x:is>
      </x:c>
      <x:c r="O160" s="7" t="inlineStr">
        <x:is>
          <x:t xml:space="preserve">맑음</x:t>
        </x:is>
      </x:c>
      <x:c r="P160" s="7" t="inlineStr">
        <x:is>
          <x:t xml:space="preserve">무관</x:t>
        </x:is>
      </x:c>
      <x:c r="Q160" s="7" t="inlineStr">
        <x:is>
          <x:t xml:space="preserve">희귀</x:t>
        </x:is>
      </x:c>
      <x:c r="R160" s="7" t="inlineStr">
        <x:is>
          <x:t xml:space="preserve">화산</x:t>
        </x:is>
      </x:c>
      <x:c r="S160" s="7" t="inlineStr">
        <x:is>
          <x:t xml:space="preserve">화산</x:t>
        </x:is>
      </x:c>
      <x:c r="T160" s="7" t="inlineStr">
        <x:is>
          <x:t xml:space="preserve"/>
        </x:is>
      </x:c>
      <x:c r="U160" s="8" t="str">
        <x:f>INDEX('서식지_점수'!$E$4:$P$4,1,MATCH(MAX('서식지_점수'!E160:P160),'서식지_점수'!E160:P160,0))</x:f>
        <x:v>평원</x:v>
      </x:c>
      <x:c r="V160" s="8" t="str">
        <x:f>IF(T160&lt;&gt;"",T160,U160)</x:f>
        <x:v>평원</x:v>
      </x:c>
      <x:c r="W160" s="8" t="str">
        <x:f>IFERROR(INDEX('서식지_점수'!$E$4:$P$4,1,MATCH(MAXIFS('서식지_점수'!E160:P160,'서식지_점수'!E160:P160,"&lt;"&amp;MAX('서식지_점수'!E160:P160)),'서식지_점수'!E160:P160,0)),"")</x:f>
        <x:v>숲</x:v>
      </x:c>
      <x:c r="X160" s="8" t="str">
        <x:f>IF(T160&lt;&gt;"","수동확정",IF(MAX('서식지_점수'!E160:P160)-LARGE('서식지_점수'!E160:P160,2)&gt;=15,"높음",IF(MAX('서식지_점수'!E160:P160)-LARGE('서식지_점수'!E160:P160,2)&gt;=8,"보통","검토필요")))</x:f>
        <x:v>검토필요</x:v>
      </x:c>
      <x:c r="Y160" s="9" t="n">
        <x:f>IF(Q160="전설",8,IF(Q160="희귀",7,IF(J160="기본",1,IF(J160="중간",3,IF(J160="최종",IF(I160="",5,IF(I160&lt;=20,3,IF(I160&lt;=35,4,IF(I160&lt;=50,6,7)))),IF(Q160="드묾",4,2))))))</x:f>
        <x:v>7</x:v>
      </x:c>
      <x:c r="Z160" s="5" t="inlineStr">
        <x:is>
          <x:t xml:space="preserve">#cobblemon:is_taiga; #cobblemon:is_temperate; #cobblemon:nether/is_crimson; #cobblemon:nether/is_forest; #cobblemon:nether/is_overgrowth</x:t>
        </x:is>
      </x:c>
      <x:c r="AA160" s="5" t="inlineStr">
        <x:is>
          <x:t xml:space="preserve">ultra-rare</x:t>
        </x:is>
      </x:c>
      <x:c r="AB160" s="5" t="inlineStr">
        <x:is>
          <x:t xml:space="preserve">예</x:t>
        </x:is>
      </x:c>
      <x:c r="AC160" s="8" t="str">
        <x:f>IF(T160&lt;&gt;"","수동확정",IF(X160="검토필요","검토필요",IF(S160="","원본없음","초기완료")))</x:f>
        <x:v>검토필요</x:v>
      </x:c>
      <x:c r="AD160" s="7" t="inlineStr">
        <x:is>
          <x:t xml:space="preserve"/>
        </x:is>
      </x:c>
      <x:c r="AE160" s="5" t="inlineStr">
        <x:is>
          <x:t xml:space="preserve">.tmp/cobblemon-1.7.3-source/common/src/main/resources/data/cobblemon/species/generation2/quilava.json</x:t>
        </x:is>
      </x:c>
      <x:c r="AF160" s="5" t="str">
        <x:f>"생활권|"&amp;K160</x:f>
        <x:v>생활권|육상</x:v>
      </x:c>
      <x:c r="AG160" s="5" t="str">
        <x:f>"지형|"&amp;L160</x:f>
        <x:v>지형|화산</x:v>
      </x:c>
      <x:c r="AH160" s="5" t="str">
        <x:f>"온도|"&amp;M160</x:f>
        <x:v>온도|서늘</x:v>
      </x:c>
      <x:c r="AI160" s="5" t="str">
        <x:f>"습도|"&amp;N160</x:f>
        <x:v>습도|건조</x:v>
      </x:c>
      <x:c r="AJ160" s="5" t="str">
        <x:f>"날씨|"&amp;O160</x:f>
        <x:v>날씨|맑음</x:v>
      </x:c>
      <x:c r="AK160" s="5" t="str">
        <x:f>"특수태그|"&amp;R160</x:f>
        <x:v>특수태그|화산</x:v>
      </x:c>
      <x:c r="AL160" s="5" t="str">
        <x:f>"원본서식지|"&amp;S160</x:f>
        <x:v>원본서식지|화산</x:v>
      </x:c>
      <x:c r="AM160" s="5" t="str">
        <x:f>"타입|"&amp;F160</x:f>
        <x:v>타입|불꽃</x:v>
      </x:c>
      <x:c r="AN160" s="5" t="str">
        <x:f>"타입|"&amp;G160</x:f>
        <x:v>타입|</x:v>
      </x:c>
    </x:row>
    <x:row r="161" ht="24" customHeight="1">
      <x:c r="A161" s="5" t="n">
        <x:v>157</x:v>
      </x:c>
      <x:c r="B161" s="5" t="inlineStr">
        <x:is>
          <x:t xml:space="preserve">블레이범</x:t>
        </x:is>
      </x:c>
      <x:c r="C161" s="5" t="inlineStr">
        <x:is>
          <x:t xml:space="preserve">typhlosion</x:t>
        </x:is>
      </x:c>
      <x:c r="D161" s="5" t="inlineStr">
        <x:is>
          <x:t xml:space="preserve">Typhlosion</x:t>
        </x:is>
      </x:c>
      <x:c r="E161" s="5" t="n">
        <x:v>2</x:v>
      </x:c>
      <x:c r="F161" s="5" t="inlineStr">
        <x:is>
          <x:t xml:space="preserve">불꽃</x:t>
        </x:is>
      </x:c>
      <x:c r="G161" s="5" t="inlineStr">
        <x:is>
          <x:t xml:space="preserve"/>
        </x:is>
      </x:c>
      <x:c r="H161" s="6" t="n">
        <x:v>79.5</x:v>
      </x:c>
      <x:c r="I161" s="5" t="n">
        <x:v>36</x:v>
      </x:c>
      <x:c r="J161" s="5" t="inlineStr">
        <x:is>
          <x:t xml:space="preserve">최종</x:t>
        </x:is>
      </x:c>
      <x:c r="K161" s="7" t="inlineStr">
        <x:is>
          <x:t xml:space="preserve">육상</x:t>
        </x:is>
      </x:c>
      <x:c r="L161" s="7" t="inlineStr">
        <x:is>
          <x:t xml:space="preserve">화산</x:t>
        </x:is>
      </x:c>
      <x:c r="M161" s="7" t="inlineStr">
        <x:is>
          <x:t xml:space="preserve">서늘</x:t>
        </x:is>
      </x:c>
      <x:c r="N161" s="7" t="inlineStr">
        <x:is>
          <x:t xml:space="preserve">건조</x:t>
        </x:is>
      </x:c>
      <x:c r="O161" s="7" t="inlineStr">
        <x:is>
          <x:t xml:space="preserve">맑음</x:t>
        </x:is>
      </x:c>
      <x:c r="P161" s="7" t="inlineStr">
        <x:is>
          <x:t xml:space="preserve">무관</x:t>
        </x:is>
      </x:c>
      <x:c r="Q161" s="7" t="inlineStr">
        <x:is>
          <x:t xml:space="preserve">희귀</x:t>
        </x:is>
      </x:c>
      <x:c r="R161" s="7" t="inlineStr">
        <x:is>
          <x:t xml:space="preserve">화산</x:t>
        </x:is>
      </x:c>
      <x:c r="S161" s="7" t="inlineStr">
        <x:is>
          <x:t xml:space="preserve">화산</x:t>
        </x:is>
      </x:c>
      <x:c r="T161" s="7" t="inlineStr">
        <x:is>
          <x:t xml:space="preserve"/>
        </x:is>
      </x:c>
      <x:c r="U161" s="8" t="str">
        <x:f>INDEX('서식지_점수'!$E$4:$P$4,1,MATCH(MAX('서식지_점수'!E161:P161),'서식지_점수'!E161:P161,0))</x:f>
        <x:v>평원</x:v>
      </x:c>
      <x:c r="V161" s="8" t="str">
        <x:f>IF(T161&lt;&gt;"",T161,U161)</x:f>
        <x:v>평원</x:v>
      </x:c>
      <x:c r="W161" s="8" t="str">
        <x:f>IFERROR(INDEX('서식지_점수'!$E$4:$P$4,1,MATCH(MAXIFS('서식지_점수'!E161:P161,'서식지_점수'!E161:P161,"&lt;"&amp;MAX('서식지_점수'!E161:P161)),'서식지_점수'!E161:P161,0)),"")</x:f>
        <x:v>숲</x:v>
      </x:c>
      <x:c r="X161" s="8" t="str">
        <x:f>IF(T161&lt;&gt;"","수동확정",IF(MAX('서식지_점수'!E161:P161)-LARGE('서식지_점수'!E161:P161,2)&gt;=15,"높음",IF(MAX('서식지_점수'!E161:P161)-LARGE('서식지_점수'!E161:P161,2)&gt;=8,"보통","검토필요")))</x:f>
        <x:v>검토필요</x:v>
      </x:c>
      <x:c r="Y161" s="9" t="n">
        <x:f>IF(Q161="전설",8,IF(Q161="희귀",7,IF(J161="기본",1,IF(J161="중간",3,IF(J161="최종",IF(I161="",5,IF(I161&lt;=20,3,IF(I161&lt;=35,4,IF(I161&lt;=50,6,7)))),IF(Q161="드묾",4,2))))))</x:f>
        <x:v>7</x:v>
      </x:c>
      <x:c r="Z161" s="5" t="inlineStr">
        <x:is>
          <x:t xml:space="preserve">#cobblemon:is_taiga; #cobblemon:is_temperate; #cobblemon:nether/is_crimson; #cobblemon:nether/is_forest; #cobblemon:nether/is_overgrowth</x:t>
        </x:is>
      </x:c>
      <x:c r="AA161" s="5" t="inlineStr">
        <x:is>
          <x:t xml:space="preserve">ultra-rare</x:t>
        </x:is>
      </x:c>
      <x:c r="AB161" s="5" t="inlineStr">
        <x:is>
          <x:t xml:space="preserve">예</x:t>
        </x:is>
      </x:c>
      <x:c r="AC161" s="8" t="str">
        <x:f>IF(T161&lt;&gt;"","수동확정",IF(X161="검토필요","검토필요",IF(S161="","원본없음","초기완료")))</x:f>
        <x:v>검토필요</x:v>
      </x:c>
      <x:c r="AD161" s="7" t="inlineStr">
        <x:is>
          <x:t xml:space="preserve"/>
        </x:is>
      </x:c>
      <x:c r="AE161" s="5" t="inlineStr">
        <x:is>
          <x:t xml:space="preserve">.tmp/cobblemon-1.7.3-source/common/src/main/resources/data/cobblemon/species/generation2/typhlosion.json</x:t>
        </x:is>
      </x:c>
      <x:c r="AF161" s="5" t="str">
        <x:f>"생활권|"&amp;K161</x:f>
        <x:v>생활권|육상</x:v>
      </x:c>
      <x:c r="AG161" s="5" t="str">
        <x:f>"지형|"&amp;L161</x:f>
        <x:v>지형|화산</x:v>
      </x:c>
      <x:c r="AH161" s="5" t="str">
        <x:f>"온도|"&amp;M161</x:f>
        <x:v>온도|서늘</x:v>
      </x:c>
      <x:c r="AI161" s="5" t="str">
        <x:f>"습도|"&amp;N161</x:f>
        <x:v>습도|건조</x:v>
      </x:c>
      <x:c r="AJ161" s="5" t="str">
        <x:f>"날씨|"&amp;O161</x:f>
        <x:v>날씨|맑음</x:v>
      </x:c>
      <x:c r="AK161" s="5" t="str">
        <x:f>"특수태그|"&amp;R161</x:f>
        <x:v>특수태그|화산</x:v>
      </x:c>
      <x:c r="AL161" s="5" t="str">
        <x:f>"원본서식지|"&amp;S161</x:f>
        <x:v>원본서식지|화산</x:v>
      </x:c>
      <x:c r="AM161" s="5" t="str">
        <x:f>"타입|"&amp;F161</x:f>
        <x:v>타입|불꽃</x:v>
      </x:c>
      <x:c r="AN161" s="5" t="str">
        <x:f>"타입|"&amp;G161</x:f>
        <x:v>타입|</x:v>
      </x:c>
    </x:row>
    <x:row r="162" ht="24" customHeight="1">
      <x:c r="A162" s="5" t="n">
        <x:v>158</x:v>
      </x:c>
      <x:c r="B162" s="5" t="inlineStr">
        <x:is>
          <x:t xml:space="preserve">리아코</x:t>
        </x:is>
      </x:c>
      <x:c r="C162" s="5" t="inlineStr">
        <x:is>
          <x:t xml:space="preserve">totodile</x:t>
        </x:is>
      </x:c>
      <x:c r="D162" s="5" t="inlineStr">
        <x:is>
          <x:t xml:space="preserve">Totodile</x:t>
        </x:is>
      </x:c>
      <x:c r="E162" s="5" t="n">
        <x:v>2</x:v>
      </x:c>
      <x:c r="F162" s="5" t="inlineStr">
        <x:is>
          <x:t xml:space="preserve">물</x:t>
        </x:is>
      </x:c>
      <x:c r="G162" s="5" t="inlineStr">
        <x:is>
          <x:t xml:space="preserve"/>
        </x:is>
      </x:c>
      <x:c r="H162" s="6" t="n">
        <x:v>9.5</x:v>
      </x:c>
      <x:c r="I162" s="5" t="n">
        <x:v>30</x:v>
      </x:c>
      <x:c r="J162" s="5" t="inlineStr">
        <x:is>
          <x:t xml:space="preserve">기본</x:t>
        </x:is>
      </x:c>
      <x:c r="K162" s="7" t="inlineStr">
        <x:is>
          <x:t xml:space="preserve">수륙</x:t>
        </x:is>
      </x:c>
      <x:c r="L162" s="7" t="inlineStr">
        <x:is>
          <x:t xml:space="preserve">습지</x:t>
        </x:is>
      </x:c>
      <x:c r="M162" s="7" t="inlineStr">
        <x:is>
          <x:t xml:space="preserve">온대</x:t>
        </x:is>
      </x:c>
      <x:c r="N162" s="7" t="inlineStr">
        <x:is>
          <x:t xml:space="preserve">다습</x:t>
        </x:is>
      </x:c>
      <x:c r="O162" s="7" t="inlineStr">
        <x:is>
          <x:t xml:space="preserve">비</x:t>
        </x:is>
      </x:c>
      <x:c r="P162" s="7" t="inlineStr">
        <x:is>
          <x:t xml:space="preserve">무관</x:t>
        </x:is>
      </x:c>
      <x:c r="Q162" s="7" t="inlineStr">
        <x:is>
          <x:t xml:space="preserve">희귀</x:t>
        </x:is>
      </x:c>
      <x:c r="R162" s="7" t="inlineStr">
        <x:is>
          <x:t xml:space="preserve">없음</x:t>
        </x:is>
      </x:c>
      <x:c r="S162" s="7" t="inlineStr">
        <x:is>
          <x:t xml:space="preserve">습지</x:t>
        </x:is>
      </x:c>
      <x:c r="T162" s="7" t="inlineStr">
        <x:is>
          <x:t xml:space="preserve"/>
        </x:is>
      </x:c>
      <x:c r="U162" s="8" t="str">
        <x:f>INDEX('서식지_점수'!$E$4:$P$4,1,MATCH(MAX('서식지_점수'!E162:P162),'서식지_점수'!E162:P162,0))</x:f>
        <x:v>습지</x:v>
      </x:c>
      <x:c r="V162" s="8" t="str">
        <x:f>IF(T162&lt;&gt;"",T162,U162)</x:f>
        <x:v>습지</x:v>
      </x:c>
      <x:c r="W162" s="8" t="str">
        <x:f>IFERROR(INDEX('서식지_점수'!$E$4:$P$4,1,MATCH(MAXIFS('서식지_점수'!E162:P162,'서식지_점수'!E162:P162,"&lt;"&amp;MAX('서식지_점수'!E162:P162)),'서식지_점수'!E162:P162,0)),"")</x:f>
        <x:v>담수</x:v>
      </x:c>
      <x:c r="X162" s="8" t="str">
        <x:f>IF(T162&lt;&gt;"","수동확정",IF(MAX('서식지_점수'!E162:P162)-LARGE('서식지_점수'!E162:P162,2)&gt;=15,"높음",IF(MAX('서식지_점수'!E162:P162)-LARGE('서식지_점수'!E162:P162,2)&gt;=8,"보통","검토필요")))</x:f>
        <x:v>검토필요</x:v>
      </x:c>
      <x:c r="Y162" s="9" t="n">
        <x:f>IF(Q162="전설",8,IF(Q162="희귀",7,IF(J162="기본",1,IF(J162="중간",3,IF(J162="최종",IF(I162="",5,IF(I162&lt;=20,3,IF(I162&lt;=35,4,IF(I162&lt;=50,6,7)))),IF(Q162="드묾",4,2))))))</x:f>
        <x:v>7</x:v>
      </x:c>
      <x:c r="Z162" s="5" t="inlineStr">
        <x:is>
          <x:t xml:space="preserve">#cobblemon:is_arid; #cobblemon:is_jungle; #cobblemon:is_swamp</x:t>
        </x:is>
      </x:c>
      <x:c r="AA162" s="5" t="inlineStr">
        <x:is>
          <x:t xml:space="preserve">ultra-rare</x:t>
        </x:is>
      </x:c>
      <x:c r="AB162" s="5" t="inlineStr">
        <x:is>
          <x:t xml:space="preserve">예</x:t>
        </x:is>
      </x:c>
      <x:c r="AC162" s="8" t="str">
        <x:f>IF(T162&lt;&gt;"","수동확정",IF(X162="검토필요","검토필요",IF(S162="","원본없음","초기완료")))</x:f>
        <x:v>검토필요</x:v>
      </x:c>
      <x:c r="AD162" s="7" t="inlineStr">
        <x:is>
          <x:t xml:space="preserve"/>
        </x:is>
      </x:c>
      <x:c r="AE162" s="5" t="inlineStr">
        <x:is>
          <x:t xml:space="preserve">.tmp/cobblemon-1.7.3-source/common/src/main/resources/data/cobblemon/species/generation2/totodile.json</x:t>
        </x:is>
      </x:c>
      <x:c r="AF162" s="5" t="str">
        <x:f>"생활권|"&amp;K162</x:f>
        <x:v>생활권|수륙</x:v>
      </x:c>
      <x:c r="AG162" s="5" t="str">
        <x:f>"지형|"&amp;L162</x:f>
        <x:v>지형|습지</x:v>
      </x:c>
      <x:c r="AH162" s="5" t="str">
        <x:f>"온도|"&amp;M162</x:f>
        <x:v>온도|온대</x:v>
      </x:c>
      <x:c r="AI162" s="5" t="str">
        <x:f>"습도|"&amp;N162</x:f>
        <x:v>습도|다습</x:v>
      </x:c>
      <x:c r="AJ162" s="5" t="str">
        <x:f>"날씨|"&amp;O162</x:f>
        <x:v>날씨|비</x:v>
      </x:c>
      <x:c r="AK162" s="5" t="str">
        <x:f>"특수태그|"&amp;R162</x:f>
        <x:v>특수태그|없음</x:v>
      </x:c>
      <x:c r="AL162" s="5" t="str">
        <x:f>"원본서식지|"&amp;S162</x:f>
        <x:v>원본서식지|습지</x:v>
      </x:c>
      <x:c r="AM162" s="5" t="str">
        <x:f>"타입|"&amp;F162</x:f>
        <x:v>타입|물</x:v>
      </x:c>
      <x:c r="AN162" s="5" t="str">
        <x:f>"타입|"&amp;G162</x:f>
        <x:v>타입|</x:v>
      </x:c>
    </x:row>
    <x:row r="163" ht="24" customHeight="1">
      <x:c r="A163" s="5" t="n">
        <x:v>159</x:v>
      </x:c>
      <x:c r="B163" s="5" t="inlineStr">
        <x:is>
          <x:t xml:space="preserve">엘리게이</x:t>
        </x:is>
      </x:c>
      <x:c r="C163" s="5" t="inlineStr">
        <x:is>
          <x:t xml:space="preserve">croconaw</x:t>
        </x:is>
      </x:c>
      <x:c r="D163" s="5" t="inlineStr">
        <x:is>
          <x:t xml:space="preserve">Croconaw</x:t>
        </x:is>
      </x:c>
      <x:c r="E163" s="5" t="n">
        <x:v>2</x:v>
      </x:c>
      <x:c r="F163" s="5" t="inlineStr">
        <x:is>
          <x:t xml:space="preserve">물</x:t>
        </x:is>
      </x:c>
      <x:c r="G163" s="5" t="inlineStr">
        <x:is>
          <x:t xml:space="preserve"/>
        </x:is>
      </x:c>
      <x:c r="H163" s="6" t="n">
        <x:v>25</x:v>
      </x:c>
      <x:c r="I163" s="5" t="n">
        <x:v>30</x:v>
      </x:c>
      <x:c r="J163" s="5" t="inlineStr">
        <x:is>
          <x:t xml:space="preserve">중간</x:t>
        </x:is>
      </x:c>
      <x:c r="K163" s="7" t="inlineStr">
        <x:is>
          <x:t xml:space="preserve">수륙</x:t>
        </x:is>
      </x:c>
      <x:c r="L163" s="7" t="inlineStr">
        <x:is>
          <x:t xml:space="preserve">습지</x:t>
        </x:is>
      </x:c>
      <x:c r="M163" s="7" t="inlineStr">
        <x:is>
          <x:t xml:space="preserve">온대</x:t>
        </x:is>
      </x:c>
      <x:c r="N163" s="7" t="inlineStr">
        <x:is>
          <x:t xml:space="preserve">다습</x:t>
        </x:is>
      </x:c>
      <x:c r="O163" s="7" t="inlineStr">
        <x:is>
          <x:t xml:space="preserve">비</x:t>
        </x:is>
      </x:c>
      <x:c r="P163" s="7" t="inlineStr">
        <x:is>
          <x:t xml:space="preserve">무관</x:t>
        </x:is>
      </x:c>
      <x:c r="Q163" s="7" t="inlineStr">
        <x:is>
          <x:t xml:space="preserve">희귀</x:t>
        </x:is>
      </x:c>
      <x:c r="R163" s="7" t="inlineStr">
        <x:is>
          <x:t xml:space="preserve">없음</x:t>
        </x:is>
      </x:c>
      <x:c r="S163" s="7" t="inlineStr">
        <x:is>
          <x:t xml:space="preserve">습지</x:t>
        </x:is>
      </x:c>
      <x:c r="T163" s="7" t="inlineStr">
        <x:is>
          <x:t xml:space="preserve"/>
        </x:is>
      </x:c>
      <x:c r="U163" s="8" t="str">
        <x:f>INDEX('서식지_점수'!$E$4:$P$4,1,MATCH(MAX('서식지_점수'!E163:P163),'서식지_점수'!E163:P163,0))</x:f>
        <x:v>습지</x:v>
      </x:c>
      <x:c r="V163" s="8" t="str">
        <x:f>IF(T163&lt;&gt;"",T163,U163)</x:f>
        <x:v>습지</x:v>
      </x:c>
      <x:c r="W163" s="8" t="str">
        <x:f>IFERROR(INDEX('서식지_점수'!$E$4:$P$4,1,MATCH(MAXIFS('서식지_점수'!E163:P163,'서식지_점수'!E163:P163,"&lt;"&amp;MAX('서식지_점수'!E163:P163)),'서식지_점수'!E163:P163,0)),"")</x:f>
        <x:v>담수</x:v>
      </x:c>
      <x:c r="X163" s="8" t="str">
        <x:f>IF(T163&lt;&gt;"","수동확정",IF(MAX('서식지_점수'!E163:P163)-LARGE('서식지_점수'!E163:P163,2)&gt;=15,"높음",IF(MAX('서식지_점수'!E163:P163)-LARGE('서식지_점수'!E163:P163,2)&gt;=8,"보통","검토필요")))</x:f>
        <x:v>검토필요</x:v>
      </x:c>
      <x:c r="Y163" s="9" t="n">
        <x:f>IF(Q163="전설",8,IF(Q163="희귀",7,IF(J163="기본",1,IF(J163="중간",3,IF(J163="최종",IF(I163="",5,IF(I163&lt;=20,3,IF(I163&lt;=35,4,IF(I163&lt;=50,6,7)))),IF(Q163="드묾",4,2))))))</x:f>
        <x:v>7</x:v>
      </x:c>
      <x:c r="Z163" s="5" t="inlineStr">
        <x:is>
          <x:t xml:space="preserve">#cobblemon:is_arid; #cobblemon:is_jungle; #cobblemon:is_swamp</x:t>
        </x:is>
      </x:c>
      <x:c r="AA163" s="5" t="inlineStr">
        <x:is>
          <x:t xml:space="preserve">ultra-rare</x:t>
        </x:is>
      </x:c>
      <x:c r="AB163" s="5" t="inlineStr">
        <x:is>
          <x:t xml:space="preserve">예</x:t>
        </x:is>
      </x:c>
      <x:c r="AC163" s="8" t="str">
        <x:f>IF(T163&lt;&gt;"","수동확정",IF(X163="검토필요","검토필요",IF(S163="","원본없음","초기완료")))</x:f>
        <x:v>검토필요</x:v>
      </x:c>
      <x:c r="AD163" s="7" t="inlineStr">
        <x:is>
          <x:t xml:space="preserve"/>
        </x:is>
      </x:c>
      <x:c r="AE163" s="5" t="inlineStr">
        <x:is>
          <x:t xml:space="preserve">.tmp/cobblemon-1.7.3-source/common/src/main/resources/data/cobblemon/species/generation2/croconaw.json</x:t>
        </x:is>
      </x:c>
      <x:c r="AF163" s="5" t="str">
        <x:f>"생활권|"&amp;K163</x:f>
        <x:v>생활권|수륙</x:v>
      </x:c>
      <x:c r="AG163" s="5" t="str">
        <x:f>"지형|"&amp;L163</x:f>
        <x:v>지형|습지</x:v>
      </x:c>
      <x:c r="AH163" s="5" t="str">
        <x:f>"온도|"&amp;M163</x:f>
        <x:v>온도|온대</x:v>
      </x:c>
      <x:c r="AI163" s="5" t="str">
        <x:f>"습도|"&amp;N163</x:f>
        <x:v>습도|다습</x:v>
      </x:c>
      <x:c r="AJ163" s="5" t="str">
        <x:f>"날씨|"&amp;O163</x:f>
        <x:v>날씨|비</x:v>
      </x:c>
      <x:c r="AK163" s="5" t="str">
        <x:f>"특수태그|"&amp;R163</x:f>
        <x:v>특수태그|없음</x:v>
      </x:c>
      <x:c r="AL163" s="5" t="str">
        <x:f>"원본서식지|"&amp;S163</x:f>
        <x:v>원본서식지|습지</x:v>
      </x:c>
      <x:c r="AM163" s="5" t="str">
        <x:f>"타입|"&amp;F163</x:f>
        <x:v>타입|물</x:v>
      </x:c>
      <x:c r="AN163" s="5" t="str">
        <x:f>"타입|"&amp;G163</x:f>
        <x:v>타입|</x:v>
      </x:c>
    </x:row>
    <x:row r="164" ht="24" customHeight="1">
      <x:c r="A164" s="5" t="n">
        <x:v>160</x:v>
      </x:c>
      <x:c r="B164" s="5" t="inlineStr">
        <x:is>
          <x:t xml:space="preserve">장크로다일</x:t>
        </x:is>
      </x:c>
      <x:c r="C164" s="5" t="inlineStr">
        <x:is>
          <x:t xml:space="preserve">feraligatr</x:t>
        </x:is>
      </x:c>
      <x:c r="D164" s="5" t="inlineStr">
        <x:is>
          <x:t xml:space="preserve">Feraligatr</x:t>
        </x:is>
      </x:c>
      <x:c r="E164" s="5" t="n">
        <x:v>2</x:v>
      </x:c>
      <x:c r="F164" s="5" t="inlineStr">
        <x:is>
          <x:t xml:space="preserve">물</x:t>
        </x:is>
      </x:c>
      <x:c r="G164" s="5" t="inlineStr">
        <x:is>
          <x:t xml:space="preserve"/>
        </x:is>
      </x:c>
      <x:c r="H164" s="6" t="n">
        <x:v>88.8</x:v>
      </x:c>
      <x:c r="I164" s="5" t="n">
        <x:v>30</x:v>
      </x:c>
      <x:c r="J164" s="5" t="inlineStr">
        <x:is>
          <x:t xml:space="preserve">최종</x:t>
        </x:is>
      </x:c>
      <x:c r="K164" s="7" t="inlineStr">
        <x:is>
          <x:t xml:space="preserve">수륙</x:t>
        </x:is>
      </x:c>
      <x:c r="L164" s="7" t="inlineStr">
        <x:is>
          <x:t xml:space="preserve">습지</x:t>
        </x:is>
      </x:c>
      <x:c r="M164" s="7" t="inlineStr">
        <x:is>
          <x:t xml:space="preserve">온대</x:t>
        </x:is>
      </x:c>
      <x:c r="N164" s="7" t="inlineStr">
        <x:is>
          <x:t xml:space="preserve">다습</x:t>
        </x:is>
      </x:c>
      <x:c r="O164" s="7" t="inlineStr">
        <x:is>
          <x:t xml:space="preserve">비</x:t>
        </x:is>
      </x:c>
      <x:c r="P164" s="7" t="inlineStr">
        <x:is>
          <x:t xml:space="preserve">무관</x:t>
        </x:is>
      </x:c>
      <x:c r="Q164" s="7" t="inlineStr">
        <x:is>
          <x:t xml:space="preserve">희귀</x:t>
        </x:is>
      </x:c>
      <x:c r="R164" s="7" t="inlineStr">
        <x:is>
          <x:t xml:space="preserve">없음</x:t>
        </x:is>
      </x:c>
      <x:c r="S164" s="7" t="inlineStr">
        <x:is>
          <x:t xml:space="preserve">습지</x:t>
        </x:is>
      </x:c>
      <x:c r="T164" s="7" t="inlineStr">
        <x:is>
          <x:t xml:space="preserve"/>
        </x:is>
      </x:c>
      <x:c r="U164" s="8" t="str">
        <x:f>INDEX('서식지_점수'!$E$4:$P$4,1,MATCH(MAX('서식지_점수'!E164:P164),'서식지_점수'!E164:P164,0))</x:f>
        <x:v>습지</x:v>
      </x:c>
      <x:c r="V164" s="8" t="str">
        <x:f>IF(T164&lt;&gt;"",T164,U164)</x:f>
        <x:v>습지</x:v>
      </x:c>
      <x:c r="W164" s="8" t="str">
        <x:f>IFERROR(INDEX('서식지_점수'!$E$4:$P$4,1,MATCH(MAXIFS('서식지_점수'!E164:P164,'서식지_점수'!E164:P164,"&lt;"&amp;MAX('서식지_점수'!E164:P164)),'서식지_점수'!E164:P164,0)),"")</x:f>
        <x:v>담수</x:v>
      </x:c>
      <x:c r="X164" s="8" t="str">
        <x:f>IF(T164&lt;&gt;"","수동확정",IF(MAX('서식지_점수'!E164:P164)-LARGE('서식지_점수'!E164:P164,2)&gt;=15,"높음",IF(MAX('서식지_점수'!E164:P164)-LARGE('서식지_점수'!E164:P164,2)&gt;=8,"보통","검토필요")))</x:f>
        <x:v>검토필요</x:v>
      </x:c>
      <x:c r="Y164" s="9" t="n">
        <x:f>IF(Q164="전설",8,IF(Q164="희귀",7,IF(J164="기본",1,IF(J164="중간",3,IF(J164="최종",IF(I164="",5,IF(I164&lt;=20,3,IF(I164&lt;=35,4,IF(I164&lt;=50,6,7)))),IF(Q164="드묾",4,2))))))</x:f>
        <x:v>7</x:v>
      </x:c>
      <x:c r="Z164" s="5" t="inlineStr">
        <x:is>
          <x:t xml:space="preserve">#cobblemon:is_arid; #cobblemon:is_jungle; #cobblemon:is_swamp</x:t>
        </x:is>
      </x:c>
      <x:c r="AA164" s="5" t="inlineStr">
        <x:is>
          <x:t xml:space="preserve">ultra-rare</x:t>
        </x:is>
      </x:c>
      <x:c r="AB164" s="5" t="inlineStr">
        <x:is>
          <x:t xml:space="preserve">예</x:t>
        </x:is>
      </x:c>
      <x:c r="AC164" s="8" t="str">
        <x:f>IF(T164&lt;&gt;"","수동확정",IF(X164="검토필요","검토필요",IF(S164="","원본없음","초기완료")))</x:f>
        <x:v>검토필요</x:v>
      </x:c>
      <x:c r="AD164" s="7" t="inlineStr">
        <x:is>
          <x:t xml:space="preserve"/>
        </x:is>
      </x:c>
      <x:c r="AE164" s="5" t="inlineStr">
        <x:is>
          <x:t xml:space="preserve">.tmp/cobblemon-1.7.3-source/common/src/main/resources/data/cobblemon/species/generation2/feraligatr.json</x:t>
        </x:is>
      </x:c>
      <x:c r="AF164" s="5" t="str">
        <x:f>"생활권|"&amp;K164</x:f>
        <x:v>생활권|수륙</x:v>
      </x:c>
      <x:c r="AG164" s="5" t="str">
        <x:f>"지형|"&amp;L164</x:f>
        <x:v>지형|습지</x:v>
      </x:c>
      <x:c r="AH164" s="5" t="str">
        <x:f>"온도|"&amp;M164</x:f>
        <x:v>온도|온대</x:v>
      </x:c>
      <x:c r="AI164" s="5" t="str">
        <x:f>"습도|"&amp;N164</x:f>
        <x:v>습도|다습</x:v>
      </x:c>
      <x:c r="AJ164" s="5" t="str">
        <x:f>"날씨|"&amp;O164</x:f>
        <x:v>날씨|비</x:v>
      </x:c>
      <x:c r="AK164" s="5" t="str">
        <x:f>"특수태그|"&amp;R164</x:f>
        <x:v>특수태그|없음</x:v>
      </x:c>
      <x:c r="AL164" s="5" t="str">
        <x:f>"원본서식지|"&amp;S164</x:f>
        <x:v>원본서식지|습지</x:v>
      </x:c>
      <x:c r="AM164" s="5" t="str">
        <x:f>"타입|"&amp;F164</x:f>
        <x:v>타입|물</x:v>
      </x:c>
      <x:c r="AN164" s="5" t="str">
        <x:f>"타입|"&amp;G164</x:f>
        <x:v>타입|</x:v>
      </x:c>
    </x:row>
    <x:row r="165" ht="24" customHeight="1">
      <x:c r="A165" s="5" t="n">
        <x:v>161</x:v>
      </x:c>
      <x:c r="B165" s="5" t="inlineStr">
        <x:is>
          <x:t xml:space="preserve">꼬리선</x:t>
        </x:is>
      </x:c>
      <x:c r="C165" s="5" t="inlineStr">
        <x:is>
          <x:t xml:space="preserve">sentret</x:t>
        </x:is>
      </x:c>
      <x:c r="D165" s="5" t="inlineStr">
        <x:is>
          <x:t xml:space="preserve">Sentret</x:t>
        </x:is>
      </x:c>
      <x:c r="E165" s="5" t="n">
        <x:v>2</x:v>
      </x:c>
      <x:c r="F165" s="5" t="inlineStr">
        <x:is>
          <x:t xml:space="preserve">노말</x:t>
        </x:is>
      </x:c>
      <x:c r="G165" s="5" t="inlineStr">
        <x:is>
          <x:t xml:space="preserve"/>
        </x:is>
      </x:c>
      <x:c r="H165" s="6" t="n">
        <x:v>6</x:v>
      </x:c>
      <x:c r="I165" s="5" t="n">
        <x:v>15</x:v>
      </x:c>
      <x:c r="J165" s="5" t="inlineStr">
        <x:is>
          <x:t xml:space="preserve">기본</x:t>
        </x:is>
      </x:c>
      <x:c r="K165" s="7" t="inlineStr">
        <x:is>
          <x:t xml:space="preserve">육상</x:t>
        </x:is>
      </x:c>
      <x:c r="L165" s="7" t="inlineStr">
        <x:is>
          <x:t xml:space="preserve">수목</x:t>
        </x:is>
      </x:c>
      <x:c r="M165" s="7" t="inlineStr">
        <x:is>
          <x:t xml:space="preserve">서늘</x:t>
        </x:is>
      </x:c>
      <x:c r="N165" s="7" t="inlineStr">
        <x:is>
          <x:t xml:space="preserve">보통</x:t>
        </x:is>
      </x:c>
      <x:c r="O165" s="7" t="inlineStr">
        <x:is>
          <x:t xml:space="preserve">무관</x:t>
        </x:is>
      </x:c>
      <x:c r="P165" s="7" t="inlineStr">
        <x:is>
          <x:t xml:space="preserve">무관</x:t>
        </x:is>
      </x:c>
      <x:c r="Q165" s="7" t="inlineStr">
        <x:is>
          <x:t xml:space="preserve">흔함</x:t>
        </x:is>
      </x:c>
      <x:c r="R165" s="7" t="inlineStr">
        <x:is>
          <x:t xml:space="preserve">없음</x:t>
        </x:is>
      </x:c>
      <x:c r="S165" s="7" t="inlineStr">
        <x:is>
          <x:t xml:space="preserve">숲</x:t>
        </x:is>
      </x:c>
      <x:c r="T165" s="7" t="inlineStr">
        <x:is>
          <x:t xml:space="preserve"/>
        </x:is>
      </x:c>
      <x:c r="U165" s="8" t="str">
        <x:f>INDEX('서식지_점수'!$E$4:$P$4,1,MATCH(MAX('서식지_점수'!E165:P165),'서식지_점수'!E165:P165,0))</x:f>
        <x:v>평원</x:v>
      </x:c>
      <x:c r="V165" s="8" t="str">
        <x:f>IF(T165&lt;&gt;"",T165,U165)</x:f>
        <x:v>평원</x:v>
      </x:c>
      <x:c r="W165" s="8" t="str">
        <x:f>IFERROR(INDEX('서식지_점수'!$E$4:$P$4,1,MATCH(MAXIFS('서식지_점수'!E165:P165,'서식지_점수'!E165:P165,"&lt;"&amp;MAX('서식지_점수'!E165:P165)),'서식지_점수'!E165:P165,0)),"")</x:f>
        <x:v>숲</x:v>
      </x:c>
      <x:c r="X165" s="8" t="str">
        <x:f>IF(T165&lt;&gt;"","수동확정",IF(MAX('서식지_점수'!E165:P165)-LARGE('서식지_점수'!E165:P165,2)&gt;=15,"높음",IF(MAX('서식지_점수'!E165:P165)-LARGE('서식지_점수'!E165:P165,2)&gt;=8,"보통","검토필요")))</x:f>
        <x:v>검토필요</x:v>
      </x:c>
      <x:c r="Y165" s="9" t="n">
        <x:f>IF(Q165="전설",8,IF(Q165="희귀",7,IF(J165="기본",1,IF(J165="중간",3,IF(J165="최종",IF(I165="",5,IF(I165&lt;=20,3,IF(I165&lt;=35,4,IF(I165&lt;=50,6,7)))),IF(Q165="드묾",4,2))))))</x:f>
        <x:v>1</x:v>
      </x:c>
      <x:c r="Z165" s="5" t="inlineStr">
        <x:is>
          <x:t xml:space="preserve">#aether:is_aether; #cobblemon:is_taiga; #cobblemon:is_temperate; #cobblemon:is_tundra</x:t>
        </x:is>
      </x:c>
      <x:c r="AA165" s="5" t="inlineStr">
        <x:is>
          <x:t xml:space="preserve">common</x:t>
        </x:is>
      </x:c>
      <x:c r="AB165" s="5" t="inlineStr">
        <x:is>
          <x:t xml:space="preserve">예</x:t>
        </x:is>
      </x:c>
      <x:c r="AC165" s="8" t="str">
        <x:f>IF(T165&lt;&gt;"","수동확정",IF(X165="검토필요","검토필요",IF(S165="","원본없음","초기완료")))</x:f>
        <x:v>검토필요</x:v>
      </x:c>
      <x:c r="AD165" s="7" t="inlineStr">
        <x:is>
          <x:t xml:space="preserve"/>
        </x:is>
      </x:c>
      <x:c r="AE165" s="5" t="inlineStr">
        <x:is>
          <x:t xml:space="preserve">.tmp/cobblemon-1.7.3-source/common/src/main/resources/data/cobblemon/species/generation2/sentret.json</x:t>
        </x:is>
      </x:c>
      <x:c r="AF165" s="5" t="str">
        <x:f>"생활권|"&amp;K165</x:f>
        <x:v>생활권|육상</x:v>
      </x:c>
      <x:c r="AG165" s="5" t="str">
        <x:f>"지형|"&amp;L165</x:f>
        <x:v>지형|수목</x:v>
      </x:c>
      <x:c r="AH165" s="5" t="str">
        <x:f>"온도|"&amp;M165</x:f>
        <x:v>온도|서늘</x:v>
      </x:c>
      <x:c r="AI165" s="5" t="str">
        <x:f>"습도|"&amp;N165</x:f>
        <x:v>습도|보통</x:v>
      </x:c>
      <x:c r="AJ165" s="5" t="str">
        <x:f>"날씨|"&amp;O165</x:f>
        <x:v>날씨|무관</x:v>
      </x:c>
      <x:c r="AK165" s="5" t="str">
        <x:f>"특수태그|"&amp;R165</x:f>
        <x:v>특수태그|없음</x:v>
      </x:c>
      <x:c r="AL165" s="5" t="str">
        <x:f>"원본서식지|"&amp;S165</x:f>
        <x:v>원본서식지|숲</x:v>
      </x:c>
      <x:c r="AM165" s="5" t="str">
        <x:f>"타입|"&amp;F165</x:f>
        <x:v>타입|노말</x:v>
      </x:c>
      <x:c r="AN165" s="5" t="str">
        <x:f>"타입|"&amp;G165</x:f>
        <x:v>타입|</x:v>
      </x:c>
    </x:row>
    <x:row r="166" ht="24" customHeight="1">
      <x:c r="A166" s="5" t="n">
        <x:v>162</x:v>
      </x:c>
      <x:c r="B166" s="5" t="inlineStr">
        <x:is>
          <x:t xml:space="preserve">다꼬리</x:t>
        </x:is>
      </x:c>
      <x:c r="C166" s="5" t="inlineStr">
        <x:is>
          <x:t xml:space="preserve">furret</x:t>
        </x:is>
      </x:c>
      <x:c r="D166" s="5" t="inlineStr">
        <x:is>
          <x:t xml:space="preserve">Furret</x:t>
        </x:is>
      </x:c>
      <x:c r="E166" s="5" t="n">
        <x:v>2</x:v>
      </x:c>
      <x:c r="F166" s="5" t="inlineStr">
        <x:is>
          <x:t xml:space="preserve">노말</x:t>
        </x:is>
      </x:c>
      <x:c r="G166" s="5" t="inlineStr">
        <x:is>
          <x:t xml:space="preserve"/>
        </x:is>
      </x:c>
      <x:c r="H166" s="6" t="n">
        <x:v>32.5</x:v>
      </x:c>
      <x:c r="I166" s="5" t="n">
        <x:v>15</x:v>
      </x:c>
      <x:c r="J166" s="5" t="inlineStr">
        <x:is>
          <x:t xml:space="preserve">최종</x:t>
        </x:is>
      </x:c>
      <x:c r="K166" s="7" t="inlineStr">
        <x:is>
          <x:t xml:space="preserve">육상</x:t>
        </x:is>
      </x:c>
      <x:c r="L166" s="7" t="inlineStr">
        <x:is>
          <x:t xml:space="preserve">수목</x:t>
        </x:is>
      </x:c>
      <x:c r="M166" s="7" t="inlineStr">
        <x:is>
          <x:t xml:space="preserve">서늘</x:t>
        </x:is>
      </x:c>
      <x:c r="N166" s="7" t="inlineStr">
        <x:is>
          <x:t xml:space="preserve">보통</x:t>
        </x:is>
      </x:c>
      <x:c r="O166" s="7" t="inlineStr">
        <x:is>
          <x:t xml:space="preserve">무관</x:t>
        </x:is>
      </x:c>
      <x:c r="P166" s="7" t="inlineStr">
        <x:is>
          <x:t xml:space="preserve">무관</x:t>
        </x:is>
      </x:c>
      <x:c r="Q166" s="7" t="inlineStr">
        <x:is>
          <x:t xml:space="preserve">흔함</x:t>
        </x:is>
      </x:c>
      <x:c r="R166" s="7" t="inlineStr">
        <x:is>
          <x:t xml:space="preserve">없음</x:t>
        </x:is>
      </x:c>
      <x:c r="S166" s="7" t="inlineStr">
        <x:is>
          <x:t xml:space="preserve">숲</x:t>
        </x:is>
      </x:c>
      <x:c r="T166" s="7" t="inlineStr">
        <x:is>
          <x:t xml:space="preserve"/>
        </x:is>
      </x:c>
      <x:c r="U166" s="8" t="str">
        <x:f>INDEX('서식지_점수'!$E$4:$P$4,1,MATCH(MAX('서식지_점수'!E166:P166),'서식지_점수'!E166:P166,0))</x:f>
        <x:v>평원</x:v>
      </x:c>
      <x:c r="V166" s="8" t="str">
        <x:f>IF(T166&lt;&gt;"",T166,U166)</x:f>
        <x:v>평원</x:v>
      </x:c>
      <x:c r="W166" s="8" t="str">
        <x:f>IFERROR(INDEX('서식지_점수'!$E$4:$P$4,1,MATCH(MAXIFS('서식지_점수'!E166:P166,'서식지_점수'!E166:P166,"&lt;"&amp;MAX('서식지_점수'!E166:P166)),'서식지_점수'!E166:P166,0)),"")</x:f>
        <x:v>숲</x:v>
      </x:c>
      <x:c r="X166" s="8" t="str">
        <x:f>IF(T166&lt;&gt;"","수동확정",IF(MAX('서식지_점수'!E166:P166)-LARGE('서식지_점수'!E166:P166,2)&gt;=15,"높음",IF(MAX('서식지_점수'!E166:P166)-LARGE('서식지_점수'!E166:P166,2)&gt;=8,"보통","검토필요")))</x:f>
        <x:v>검토필요</x:v>
      </x:c>
      <x:c r="Y166" s="9" t="n">
        <x:f>IF(Q166="전설",8,IF(Q166="희귀",7,IF(J166="기본",1,IF(J166="중간",3,IF(J166="최종",IF(I166="",5,IF(I166&lt;=20,3,IF(I166&lt;=35,4,IF(I166&lt;=50,6,7)))),IF(Q166="드묾",4,2))))))</x:f>
        <x:v>3</x:v>
      </x:c>
      <x:c r="Z166" s="5" t="inlineStr">
        <x:is>
          <x:t xml:space="preserve">#aether:is_aether; #cobblemon:is_taiga; #cobblemon:is_temperate; #cobblemon:is_tundra</x:t>
        </x:is>
      </x:c>
      <x:c r="AA166" s="5" t="inlineStr">
        <x:is>
          <x:t xml:space="preserve">common</x:t>
        </x:is>
      </x:c>
      <x:c r="AB166" s="5" t="inlineStr">
        <x:is>
          <x:t xml:space="preserve">예</x:t>
        </x:is>
      </x:c>
      <x:c r="AC166" s="8" t="str">
        <x:f>IF(T166&lt;&gt;"","수동확정",IF(X166="검토필요","검토필요",IF(S166="","원본없음","초기완료")))</x:f>
        <x:v>검토필요</x:v>
      </x:c>
      <x:c r="AD166" s="7" t="inlineStr">
        <x:is>
          <x:t xml:space="preserve"/>
        </x:is>
      </x:c>
      <x:c r="AE166" s="5" t="inlineStr">
        <x:is>
          <x:t xml:space="preserve">.tmp/cobblemon-1.7.3-source/common/src/main/resources/data/cobblemon/species/generation2/furret.json</x:t>
        </x:is>
      </x:c>
      <x:c r="AF166" s="5" t="str">
        <x:f>"생활권|"&amp;K166</x:f>
        <x:v>생활권|육상</x:v>
      </x:c>
      <x:c r="AG166" s="5" t="str">
        <x:f>"지형|"&amp;L166</x:f>
        <x:v>지형|수목</x:v>
      </x:c>
      <x:c r="AH166" s="5" t="str">
        <x:f>"온도|"&amp;M166</x:f>
        <x:v>온도|서늘</x:v>
      </x:c>
      <x:c r="AI166" s="5" t="str">
        <x:f>"습도|"&amp;N166</x:f>
        <x:v>습도|보통</x:v>
      </x:c>
      <x:c r="AJ166" s="5" t="str">
        <x:f>"날씨|"&amp;O166</x:f>
        <x:v>날씨|무관</x:v>
      </x:c>
      <x:c r="AK166" s="5" t="str">
        <x:f>"특수태그|"&amp;R166</x:f>
        <x:v>특수태그|없음</x:v>
      </x:c>
      <x:c r="AL166" s="5" t="str">
        <x:f>"원본서식지|"&amp;S166</x:f>
        <x:v>원본서식지|숲</x:v>
      </x:c>
      <x:c r="AM166" s="5" t="str">
        <x:f>"타입|"&amp;F166</x:f>
        <x:v>타입|노말</x:v>
      </x:c>
      <x:c r="AN166" s="5" t="str">
        <x:f>"타입|"&amp;G166</x:f>
        <x:v>타입|</x:v>
      </x:c>
    </x:row>
    <x:row r="167" ht="24" customHeight="1">
      <x:c r="A167" s="5" t="n">
        <x:v>163</x:v>
      </x:c>
      <x:c r="B167" s="5" t="inlineStr">
        <x:is>
          <x:t xml:space="preserve">부우부</x:t>
        </x:is>
      </x:c>
      <x:c r="C167" s="5" t="inlineStr">
        <x:is>
          <x:t xml:space="preserve">hoothoot</x:t>
        </x:is>
      </x:c>
      <x:c r="D167" s="5" t="inlineStr">
        <x:is>
          <x:t xml:space="preserve">Hoothoot</x:t>
        </x:is>
      </x:c>
      <x:c r="E167" s="5" t="n">
        <x:v>2</x:v>
      </x:c>
      <x:c r="F167" s="5" t="inlineStr">
        <x:is>
          <x:t xml:space="preserve">노말</x:t>
        </x:is>
      </x:c>
      <x:c r="G167" s="5" t="inlineStr">
        <x:is>
          <x:t xml:space="preserve">비행</x:t>
        </x:is>
      </x:c>
      <x:c r="H167" s="6" t="n">
        <x:v>21.2</x:v>
      </x:c>
      <x:c r="I167" s="5" t="n">
        <x:v>20</x:v>
      </x:c>
      <x:c r="J167" s="5" t="inlineStr">
        <x:is>
          <x:t xml:space="preserve">기본</x:t>
        </x:is>
      </x:c>
      <x:c r="K167" s="7" t="inlineStr">
        <x:is>
          <x:t xml:space="preserve">비행</x:t>
        </x:is>
      </x:c>
      <x:c r="L167" s="7" t="inlineStr">
        <x:is>
          <x:t xml:space="preserve">특수</x:t>
        </x:is>
      </x:c>
      <x:c r="M167" s="7" t="inlineStr">
        <x:is>
          <x:t xml:space="preserve">온대</x:t>
        </x:is>
      </x:c>
      <x:c r="N167" s="7" t="inlineStr">
        <x:is>
          <x:t xml:space="preserve">보통</x:t>
        </x:is>
      </x:c>
      <x:c r="O167" s="7" t="inlineStr">
        <x:is>
          <x:t xml:space="preserve">무관</x:t>
        </x:is>
      </x:c>
      <x:c r="P167" s="7" t="inlineStr">
        <x:is>
          <x:t xml:space="preserve">밤</x:t>
        </x:is>
      </x:c>
      <x:c r="Q167" s="7" t="inlineStr">
        <x:is>
          <x:t xml:space="preserve">흔함</x:t>
        </x:is>
      </x:c>
      <x:c r="R167" s="7" t="inlineStr">
        <x:is>
          <x:t xml:space="preserve">영체</x:t>
        </x:is>
      </x:c>
      <x:c r="S167" s="7" t="inlineStr">
        <x:is>
          <x:t xml:space="preserve">특수</x:t>
        </x:is>
      </x:c>
      <x:c r="T167" s="7" t="inlineStr">
        <x:is>
          <x:t xml:space="preserve"/>
        </x:is>
      </x:c>
      <x:c r="U167" s="8" t="str">
        <x:f>INDEX('서식지_점수'!$E$4:$P$4,1,MATCH(MAX('서식지_점수'!E167:P167),'서식지_점수'!E167:P167,0))</x:f>
        <x:v>산악</x:v>
      </x:c>
      <x:c r="V167" s="8" t="str">
        <x:f>IF(T167&lt;&gt;"",T167,U167)</x:f>
        <x:v>산악</x:v>
      </x:c>
      <x:c r="W167" s="8" t="str">
        <x:f>IFERROR(INDEX('서식지_점수'!$E$4:$P$4,1,MATCH(MAXIFS('서식지_점수'!E167:P167,'서식지_점수'!E167:P167,"&lt;"&amp;MAX('서식지_점수'!E167:P167)),'서식지_점수'!E167:P167,0)),"")</x:f>
        <x:v>평원</x:v>
      </x:c>
      <x:c r="X167" s="8" t="str">
        <x:f>IF(T167&lt;&gt;"","수동확정",IF(MAX('서식지_점수'!E167:P167)-LARGE('서식지_점수'!E167:P167,2)&gt;=15,"높음",IF(MAX('서식지_점수'!E167:P167)-LARGE('서식지_점수'!E167:P167,2)&gt;=8,"보통","검토필요")))</x:f>
        <x:v>검토필요</x:v>
      </x:c>
      <x:c r="Y167" s="9" t="n">
        <x:f>IF(Q167="전설",8,IF(Q167="희귀",7,IF(J167="기본",1,IF(J167="중간",3,IF(J167="최종",IF(I167="",5,IF(I167&lt;=20,3,IF(I167&lt;=35,4,IF(I167&lt;=50,6,7)))),IF(Q167="드묾",4,2))))))</x:f>
        <x:v>1</x:v>
      </x:c>
      <x:c r="Z167" s="5" t="inlineStr">
        <x:is>
          <x:t xml:space="preserve">#cobblemon:is_forest; #cobblemon:is_sky; #cobblemon:is_spooky</x:t>
        </x:is>
      </x:c>
      <x:c r="AA167" s="5" t="inlineStr">
        <x:is>
          <x:t xml:space="preserve">common</x:t>
        </x:is>
      </x:c>
      <x:c r="AB167" s="5" t="inlineStr">
        <x:is>
          <x:t xml:space="preserve">예</x:t>
        </x:is>
      </x:c>
      <x:c r="AC167" s="8" t="str">
        <x:f>IF(T167&lt;&gt;"","수동확정",IF(X167="검토필요","검토필요",IF(S167="","원본없음","초기완료")))</x:f>
        <x:v>검토필요</x:v>
      </x:c>
      <x:c r="AD167" s="7" t="inlineStr">
        <x:is>
          <x:t xml:space="preserve"/>
        </x:is>
      </x:c>
      <x:c r="AE167" s="5" t="inlineStr">
        <x:is>
          <x:t xml:space="preserve">.tmp/cobblemon-1.7.3-source/common/src/main/resources/data/cobblemon/species/generation2/hoothoot.json</x:t>
        </x:is>
      </x:c>
      <x:c r="AF167" s="5" t="str">
        <x:f>"생활권|"&amp;K167</x:f>
        <x:v>생활권|비행</x:v>
      </x:c>
      <x:c r="AG167" s="5" t="str">
        <x:f>"지형|"&amp;L167</x:f>
        <x:v>지형|특수</x:v>
      </x:c>
      <x:c r="AH167" s="5" t="str">
        <x:f>"온도|"&amp;M167</x:f>
        <x:v>온도|온대</x:v>
      </x:c>
      <x:c r="AI167" s="5" t="str">
        <x:f>"습도|"&amp;N167</x:f>
        <x:v>습도|보통</x:v>
      </x:c>
      <x:c r="AJ167" s="5" t="str">
        <x:f>"날씨|"&amp;O167</x:f>
        <x:v>날씨|무관</x:v>
      </x:c>
      <x:c r="AK167" s="5" t="str">
        <x:f>"특수태그|"&amp;R167</x:f>
        <x:v>특수태그|영체</x:v>
      </x:c>
      <x:c r="AL167" s="5" t="str">
        <x:f>"원본서식지|"&amp;S167</x:f>
        <x:v>원본서식지|특수</x:v>
      </x:c>
      <x:c r="AM167" s="5" t="str">
        <x:f>"타입|"&amp;F167</x:f>
        <x:v>타입|노말</x:v>
      </x:c>
      <x:c r="AN167" s="5" t="str">
        <x:f>"타입|"&amp;G167</x:f>
        <x:v>타입|비행</x:v>
      </x:c>
    </x:row>
    <x:row r="168" ht="24" customHeight="1">
      <x:c r="A168" s="5" t="n">
        <x:v>164</x:v>
      </x:c>
      <x:c r="B168" s="5" t="inlineStr">
        <x:is>
          <x:t xml:space="preserve">야부엉</x:t>
        </x:is>
      </x:c>
      <x:c r="C168" s="5" t="inlineStr">
        <x:is>
          <x:t xml:space="preserve">noctowl</x:t>
        </x:is>
      </x:c>
      <x:c r="D168" s="5" t="inlineStr">
        <x:is>
          <x:t xml:space="preserve">Noctowl</x:t>
        </x:is>
      </x:c>
      <x:c r="E168" s="5" t="n">
        <x:v>2</x:v>
      </x:c>
      <x:c r="F168" s="5" t="inlineStr">
        <x:is>
          <x:t xml:space="preserve">노말</x:t>
        </x:is>
      </x:c>
      <x:c r="G168" s="5" t="inlineStr">
        <x:is>
          <x:t xml:space="preserve">비행</x:t>
        </x:is>
      </x:c>
      <x:c r="H168" s="6" t="n">
        <x:v>40.8</x:v>
      </x:c>
      <x:c r="I168" s="5" t="n">
        <x:v>20</x:v>
      </x:c>
      <x:c r="J168" s="5" t="inlineStr">
        <x:is>
          <x:t xml:space="preserve">최종</x:t>
        </x:is>
      </x:c>
      <x:c r="K168" s="7" t="inlineStr">
        <x:is>
          <x:t xml:space="preserve">비행</x:t>
        </x:is>
      </x:c>
      <x:c r="L168" s="7" t="inlineStr">
        <x:is>
          <x:t xml:space="preserve">특수</x:t>
        </x:is>
      </x:c>
      <x:c r="M168" s="7" t="inlineStr">
        <x:is>
          <x:t xml:space="preserve">온대</x:t>
        </x:is>
      </x:c>
      <x:c r="N168" s="7" t="inlineStr">
        <x:is>
          <x:t xml:space="preserve">보통</x:t>
        </x:is>
      </x:c>
      <x:c r="O168" s="7" t="inlineStr">
        <x:is>
          <x:t xml:space="preserve">무관</x:t>
        </x:is>
      </x:c>
      <x:c r="P168" s="7" t="inlineStr">
        <x:is>
          <x:t xml:space="preserve">밤</x:t>
        </x:is>
      </x:c>
      <x:c r="Q168" s="7" t="inlineStr">
        <x:is>
          <x:t xml:space="preserve">흔함</x:t>
        </x:is>
      </x:c>
      <x:c r="R168" s="7" t="inlineStr">
        <x:is>
          <x:t xml:space="preserve">영체</x:t>
        </x:is>
      </x:c>
      <x:c r="S168" s="7" t="inlineStr">
        <x:is>
          <x:t xml:space="preserve">특수</x:t>
        </x:is>
      </x:c>
      <x:c r="T168" s="7" t="inlineStr">
        <x:is>
          <x:t xml:space="preserve"/>
        </x:is>
      </x:c>
      <x:c r="U168" s="8" t="str">
        <x:f>INDEX('서식지_점수'!$E$4:$P$4,1,MATCH(MAX('서식지_점수'!E168:P168),'서식지_점수'!E168:P168,0))</x:f>
        <x:v>산악</x:v>
      </x:c>
      <x:c r="V168" s="8" t="str">
        <x:f>IF(T168&lt;&gt;"",T168,U168)</x:f>
        <x:v>산악</x:v>
      </x:c>
      <x:c r="W168" s="8" t="str">
        <x:f>IFERROR(INDEX('서식지_점수'!$E$4:$P$4,1,MATCH(MAXIFS('서식지_점수'!E168:P168,'서식지_점수'!E168:P168,"&lt;"&amp;MAX('서식지_점수'!E168:P168)),'서식지_점수'!E168:P168,0)),"")</x:f>
        <x:v>평원</x:v>
      </x:c>
      <x:c r="X168" s="8" t="str">
        <x:f>IF(T168&lt;&gt;"","수동확정",IF(MAX('서식지_점수'!E168:P168)-LARGE('서식지_점수'!E168:P168,2)&gt;=15,"높음",IF(MAX('서식지_점수'!E168:P168)-LARGE('서식지_점수'!E168:P168,2)&gt;=8,"보통","검토필요")))</x:f>
        <x:v>검토필요</x:v>
      </x:c>
      <x:c r="Y168" s="9" t="n">
        <x:f>IF(Q168="전설",8,IF(Q168="희귀",7,IF(J168="기본",1,IF(J168="중간",3,IF(J168="최종",IF(I168="",5,IF(I168&lt;=20,3,IF(I168&lt;=35,4,IF(I168&lt;=50,6,7)))),IF(Q168="드묾",4,2))))))</x:f>
        <x:v>3</x:v>
      </x:c>
      <x:c r="Z168" s="5" t="inlineStr">
        <x:is>
          <x:t xml:space="preserve">#cobblemon:is_forest; #cobblemon:is_sky; #cobblemon:is_spooky</x:t>
        </x:is>
      </x:c>
      <x:c r="AA168" s="5" t="inlineStr">
        <x:is>
          <x:t xml:space="preserve">common</x:t>
        </x:is>
      </x:c>
      <x:c r="AB168" s="5" t="inlineStr">
        <x:is>
          <x:t xml:space="preserve">예</x:t>
        </x:is>
      </x:c>
      <x:c r="AC168" s="8" t="str">
        <x:f>IF(T168&lt;&gt;"","수동확정",IF(X168="검토필요","검토필요",IF(S168="","원본없음","초기완료")))</x:f>
        <x:v>검토필요</x:v>
      </x:c>
      <x:c r="AD168" s="7" t="inlineStr">
        <x:is>
          <x:t xml:space="preserve"/>
        </x:is>
      </x:c>
      <x:c r="AE168" s="5" t="inlineStr">
        <x:is>
          <x:t xml:space="preserve">.tmp/cobblemon-1.7.3-source/common/src/main/resources/data/cobblemon/species/generation2/noctowl.json</x:t>
        </x:is>
      </x:c>
      <x:c r="AF168" s="5" t="str">
        <x:f>"생활권|"&amp;K168</x:f>
        <x:v>생활권|비행</x:v>
      </x:c>
      <x:c r="AG168" s="5" t="str">
        <x:f>"지형|"&amp;L168</x:f>
        <x:v>지형|특수</x:v>
      </x:c>
      <x:c r="AH168" s="5" t="str">
        <x:f>"온도|"&amp;M168</x:f>
        <x:v>온도|온대</x:v>
      </x:c>
      <x:c r="AI168" s="5" t="str">
        <x:f>"습도|"&amp;N168</x:f>
        <x:v>습도|보통</x:v>
      </x:c>
      <x:c r="AJ168" s="5" t="str">
        <x:f>"날씨|"&amp;O168</x:f>
        <x:v>날씨|무관</x:v>
      </x:c>
      <x:c r="AK168" s="5" t="str">
        <x:f>"특수태그|"&amp;R168</x:f>
        <x:v>특수태그|영체</x:v>
      </x:c>
      <x:c r="AL168" s="5" t="str">
        <x:f>"원본서식지|"&amp;S168</x:f>
        <x:v>원본서식지|특수</x:v>
      </x:c>
      <x:c r="AM168" s="5" t="str">
        <x:f>"타입|"&amp;F168</x:f>
        <x:v>타입|노말</x:v>
      </x:c>
      <x:c r="AN168" s="5" t="str">
        <x:f>"타입|"&amp;G168</x:f>
        <x:v>타입|비행</x:v>
      </x:c>
    </x:row>
    <x:row r="169" ht="24" customHeight="1">
      <x:c r="A169" s="5" t="n">
        <x:v>165</x:v>
      </x:c>
      <x:c r="B169" s="5" t="inlineStr">
        <x:is>
          <x:t xml:space="preserve">레디바</x:t>
        </x:is>
      </x:c>
      <x:c r="C169" s="5" t="inlineStr">
        <x:is>
          <x:t xml:space="preserve">ledyba</x:t>
        </x:is>
      </x:c>
      <x:c r="D169" s="5" t="inlineStr">
        <x:is>
          <x:t xml:space="preserve">Ledyba</x:t>
        </x:is>
      </x:c>
      <x:c r="E169" s="5" t="n">
        <x:v>2</x:v>
      </x:c>
      <x:c r="F169" s="5" t="inlineStr">
        <x:is>
          <x:t xml:space="preserve">벌레</x:t>
        </x:is>
      </x:c>
      <x:c r="G169" s="5" t="inlineStr">
        <x:is>
          <x:t xml:space="preserve">비행</x:t>
        </x:is>
      </x:c>
      <x:c r="H169" s="6" t="n">
        <x:v>10.8</x:v>
      </x:c>
      <x:c r="I169" s="5" t="n">
        <x:v>18</x:v>
      </x:c>
      <x:c r="J169" s="5" t="inlineStr">
        <x:is>
          <x:t xml:space="preserve">기본</x:t>
        </x:is>
      </x:c>
      <x:c r="K169" s="7" t="inlineStr">
        <x:is>
          <x:t xml:space="preserve">비행</x:t>
        </x:is>
      </x:c>
      <x:c r="L169" s="7" t="inlineStr">
        <x:is>
          <x:t xml:space="preserve">개활지</x:t>
        </x:is>
      </x:c>
      <x:c r="M169" s="7" t="inlineStr">
        <x:is>
          <x:t xml:space="preserve">온대</x:t>
        </x:is>
      </x:c>
      <x:c r="N169" s="7" t="inlineStr">
        <x:is>
          <x:t xml:space="preserve">보통</x:t>
        </x:is>
      </x:c>
      <x:c r="O169" s="7" t="inlineStr">
        <x:is>
          <x:t xml:space="preserve">무관</x:t>
        </x:is>
      </x:c>
      <x:c r="P169" s="7" t="inlineStr">
        <x:is>
          <x:t xml:space="preserve">낮</x:t>
        </x:is>
      </x:c>
      <x:c r="Q169" s="7" t="inlineStr">
        <x:is>
          <x:t xml:space="preserve">흔함</x:t>
        </x:is>
      </x:c>
      <x:c r="R169" s="7" t="inlineStr">
        <x:is>
          <x:t xml:space="preserve">없음</x:t>
        </x:is>
      </x:c>
      <x:c r="S169" s="7" t="inlineStr">
        <x:is>
          <x:t xml:space="preserve">평원</x:t>
        </x:is>
      </x:c>
      <x:c r="T169" s="7" t="inlineStr">
        <x:is>
          <x:t xml:space="preserve"/>
        </x:is>
      </x:c>
      <x:c r="U169" s="8" t="str">
        <x:f>INDEX('서식지_점수'!$E$4:$P$4,1,MATCH(MAX('서식지_점수'!E169:P169),'서식지_점수'!E169:P169,0))</x:f>
        <x:v>산악</x:v>
      </x:c>
      <x:c r="V169" s="8" t="str">
        <x:f>IF(T169&lt;&gt;"",T169,U169)</x:f>
        <x:v>산악</x:v>
      </x:c>
      <x:c r="W169" s="8" t="str">
        <x:f>IFERROR(INDEX('서식지_점수'!$E$4:$P$4,1,MATCH(MAXIFS('서식지_점수'!E169:P169,'서식지_점수'!E169:P169,"&lt;"&amp;MAX('서식지_점수'!E169:P169)),'서식지_점수'!E169:P169,0)),"")</x:f>
        <x:v>평원</x:v>
      </x:c>
      <x:c r="X169" s="8" t="str">
        <x:f>IF(T169&lt;&gt;"","수동확정",IF(MAX('서식지_점수'!E169:P169)-LARGE('서식지_점수'!E169:P169,2)&gt;=15,"높음",IF(MAX('서식지_점수'!E169:P169)-LARGE('서식지_점수'!E169:P169,2)&gt;=8,"보통","검토필요")))</x:f>
        <x:v>검토필요</x:v>
      </x:c>
      <x:c r="Y169" s="9" t="n">
        <x:f>IF(Q169="전설",8,IF(Q169="희귀",7,IF(J169="기본",1,IF(J169="중간",3,IF(J169="최종",IF(I169="",5,IF(I169&lt;=20,3,IF(I169&lt;=35,4,IF(I169&lt;=50,6,7)))),IF(Q169="드묾",4,2))))))</x:f>
        <x:v>1</x:v>
      </x:c>
      <x:c r="Z169" s="5" t="inlineStr">
        <x:is>
          <x:t xml:space="preserve">#aether:is_aether; #cobblemon:is_temperate; the_bumblezone:floral_meadow</x:t>
        </x:is>
      </x:c>
      <x:c r="AA169" s="5" t="inlineStr">
        <x:is>
          <x:t xml:space="preserve">common</x:t>
        </x:is>
      </x:c>
      <x:c r="AB169" s="5" t="inlineStr">
        <x:is>
          <x:t xml:space="preserve">예</x:t>
        </x:is>
      </x:c>
      <x:c r="AC169" s="8" t="str">
        <x:f>IF(T169&lt;&gt;"","수동확정",IF(X169="검토필요","검토필요",IF(S169="","원본없음","초기완료")))</x:f>
        <x:v>검토필요</x:v>
      </x:c>
      <x:c r="AD169" s="7" t="inlineStr">
        <x:is>
          <x:t xml:space="preserve"/>
        </x:is>
      </x:c>
      <x:c r="AE169" s="5" t="inlineStr">
        <x:is>
          <x:t xml:space="preserve">.tmp/cobblemon-1.7.3-source/common/src/main/resources/data/cobblemon/species/generation2/ledyba.json</x:t>
        </x:is>
      </x:c>
      <x:c r="AF169" s="5" t="str">
        <x:f>"생활권|"&amp;K169</x:f>
        <x:v>생활권|비행</x:v>
      </x:c>
      <x:c r="AG169" s="5" t="str">
        <x:f>"지형|"&amp;L169</x:f>
        <x:v>지형|개활지</x:v>
      </x:c>
      <x:c r="AH169" s="5" t="str">
        <x:f>"온도|"&amp;M169</x:f>
        <x:v>온도|온대</x:v>
      </x:c>
      <x:c r="AI169" s="5" t="str">
        <x:f>"습도|"&amp;N169</x:f>
        <x:v>습도|보통</x:v>
      </x:c>
      <x:c r="AJ169" s="5" t="str">
        <x:f>"날씨|"&amp;O169</x:f>
        <x:v>날씨|무관</x:v>
      </x:c>
      <x:c r="AK169" s="5" t="str">
        <x:f>"특수태그|"&amp;R169</x:f>
        <x:v>특수태그|없음</x:v>
      </x:c>
      <x:c r="AL169" s="5" t="str">
        <x:f>"원본서식지|"&amp;S169</x:f>
        <x:v>원본서식지|평원</x:v>
      </x:c>
      <x:c r="AM169" s="5" t="str">
        <x:f>"타입|"&amp;F169</x:f>
        <x:v>타입|벌레</x:v>
      </x:c>
      <x:c r="AN169" s="5" t="str">
        <x:f>"타입|"&amp;G169</x:f>
        <x:v>타입|비행</x:v>
      </x:c>
    </x:row>
    <x:row r="170" ht="24" customHeight="1">
      <x:c r="A170" s="5" t="n">
        <x:v>166</x:v>
      </x:c>
      <x:c r="B170" s="5" t="inlineStr">
        <x:is>
          <x:t xml:space="preserve">레디안</x:t>
        </x:is>
      </x:c>
      <x:c r="C170" s="5" t="inlineStr">
        <x:is>
          <x:t xml:space="preserve">ledian</x:t>
        </x:is>
      </x:c>
      <x:c r="D170" s="5" t="inlineStr">
        <x:is>
          <x:t xml:space="preserve">Ledian</x:t>
        </x:is>
      </x:c>
      <x:c r="E170" s="5" t="n">
        <x:v>2</x:v>
      </x:c>
      <x:c r="F170" s="5" t="inlineStr">
        <x:is>
          <x:t xml:space="preserve">벌레</x:t>
        </x:is>
      </x:c>
      <x:c r="G170" s="5" t="inlineStr">
        <x:is>
          <x:t xml:space="preserve">비행</x:t>
        </x:is>
      </x:c>
      <x:c r="H170" s="6" t="n">
        <x:v>35.6</x:v>
      </x:c>
      <x:c r="I170" s="5" t="n">
        <x:v>18</x:v>
      </x:c>
      <x:c r="J170" s="5" t="inlineStr">
        <x:is>
          <x:t xml:space="preserve">최종</x:t>
        </x:is>
      </x:c>
      <x:c r="K170" s="7" t="inlineStr">
        <x:is>
          <x:t xml:space="preserve">비행</x:t>
        </x:is>
      </x:c>
      <x:c r="L170" s="7" t="inlineStr">
        <x:is>
          <x:t xml:space="preserve">개활지</x:t>
        </x:is>
      </x:c>
      <x:c r="M170" s="7" t="inlineStr">
        <x:is>
          <x:t xml:space="preserve">온대</x:t>
        </x:is>
      </x:c>
      <x:c r="N170" s="7" t="inlineStr">
        <x:is>
          <x:t xml:space="preserve">보통</x:t>
        </x:is>
      </x:c>
      <x:c r="O170" s="7" t="inlineStr">
        <x:is>
          <x:t xml:space="preserve">무관</x:t>
        </x:is>
      </x:c>
      <x:c r="P170" s="7" t="inlineStr">
        <x:is>
          <x:t xml:space="preserve">밤</x:t>
        </x:is>
      </x:c>
      <x:c r="Q170" s="7" t="inlineStr">
        <x:is>
          <x:t xml:space="preserve">흔함</x:t>
        </x:is>
      </x:c>
      <x:c r="R170" s="7" t="inlineStr">
        <x:is>
          <x:t xml:space="preserve">없음</x:t>
        </x:is>
      </x:c>
      <x:c r="S170" s="7" t="inlineStr">
        <x:is>
          <x:t xml:space="preserve">평원</x:t>
        </x:is>
      </x:c>
      <x:c r="T170" s="7" t="inlineStr">
        <x:is>
          <x:t xml:space="preserve"/>
        </x:is>
      </x:c>
      <x:c r="U170" s="8" t="str">
        <x:f>INDEX('서식지_점수'!$E$4:$P$4,1,MATCH(MAX('서식지_점수'!E170:P170),'서식지_점수'!E170:P170,0))</x:f>
        <x:v>산악</x:v>
      </x:c>
      <x:c r="V170" s="8" t="str">
        <x:f>IF(T170&lt;&gt;"",T170,U170)</x:f>
        <x:v>산악</x:v>
      </x:c>
      <x:c r="W170" s="8" t="str">
        <x:f>IFERROR(INDEX('서식지_점수'!$E$4:$P$4,1,MATCH(MAXIFS('서식지_점수'!E170:P170,'서식지_점수'!E170:P170,"&lt;"&amp;MAX('서식지_점수'!E170:P170)),'서식지_점수'!E170:P170,0)),"")</x:f>
        <x:v>평원</x:v>
      </x:c>
      <x:c r="X170" s="8" t="str">
        <x:f>IF(T170&lt;&gt;"","수동확정",IF(MAX('서식지_점수'!E170:P170)-LARGE('서식지_점수'!E170:P170,2)&gt;=15,"높음",IF(MAX('서식지_점수'!E170:P170)-LARGE('서식지_점수'!E170:P170,2)&gt;=8,"보통","검토필요")))</x:f>
        <x:v>검토필요</x:v>
      </x:c>
      <x:c r="Y170" s="9" t="n">
        <x:f>IF(Q170="전설",8,IF(Q170="희귀",7,IF(J170="기본",1,IF(J170="중간",3,IF(J170="최종",IF(I170="",5,IF(I170&lt;=20,3,IF(I170&lt;=35,4,IF(I170&lt;=50,6,7)))),IF(Q170="드묾",4,2))))))</x:f>
        <x:v>3</x:v>
      </x:c>
      <x:c r="Z170" s="5" t="inlineStr">
        <x:is>
          <x:t xml:space="preserve">#aether:is_aether; #cobblemon:is_temperate; the_bumblezone:floral_meadow</x:t>
        </x:is>
      </x:c>
      <x:c r="AA170" s="5" t="inlineStr">
        <x:is>
          <x:t xml:space="preserve">common</x:t>
        </x:is>
      </x:c>
      <x:c r="AB170" s="5" t="inlineStr">
        <x:is>
          <x:t xml:space="preserve">예</x:t>
        </x:is>
      </x:c>
      <x:c r="AC170" s="8" t="str">
        <x:f>IF(T170&lt;&gt;"","수동확정",IF(X170="검토필요","검토필요",IF(S170="","원본없음","초기완료")))</x:f>
        <x:v>검토필요</x:v>
      </x:c>
      <x:c r="AD170" s="7" t="inlineStr">
        <x:is>
          <x:t xml:space="preserve"/>
        </x:is>
      </x:c>
      <x:c r="AE170" s="5" t="inlineStr">
        <x:is>
          <x:t xml:space="preserve">.tmp/cobblemon-1.7.3-source/common/src/main/resources/data/cobblemon/species/generation2/ledian.json</x:t>
        </x:is>
      </x:c>
      <x:c r="AF170" s="5" t="str">
        <x:f>"생활권|"&amp;K170</x:f>
        <x:v>생활권|비행</x:v>
      </x:c>
      <x:c r="AG170" s="5" t="str">
        <x:f>"지형|"&amp;L170</x:f>
        <x:v>지형|개활지</x:v>
      </x:c>
      <x:c r="AH170" s="5" t="str">
        <x:f>"온도|"&amp;M170</x:f>
        <x:v>온도|온대</x:v>
      </x:c>
      <x:c r="AI170" s="5" t="str">
        <x:f>"습도|"&amp;N170</x:f>
        <x:v>습도|보통</x:v>
      </x:c>
      <x:c r="AJ170" s="5" t="str">
        <x:f>"날씨|"&amp;O170</x:f>
        <x:v>날씨|무관</x:v>
      </x:c>
      <x:c r="AK170" s="5" t="str">
        <x:f>"특수태그|"&amp;R170</x:f>
        <x:v>특수태그|없음</x:v>
      </x:c>
      <x:c r="AL170" s="5" t="str">
        <x:f>"원본서식지|"&amp;S170</x:f>
        <x:v>원본서식지|평원</x:v>
      </x:c>
      <x:c r="AM170" s="5" t="str">
        <x:f>"타입|"&amp;F170</x:f>
        <x:v>타입|벌레</x:v>
      </x:c>
      <x:c r="AN170" s="5" t="str">
        <x:f>"타입|"&amp;G170</x:f>
        <x:v>타입|비행</x:v>
      </x:c>
    </x:row>
    <x:row r="171" ht="24" customHeight="1">
      <x:c r="A171" s="5" t="n">
        <x:v>167</x:v>
      </x:c>
      <x:c r="B171" s="5" t="inlineStr">
        <x:is>
          <x:t xml:space="preserve">페이검</x:t>
        </x:is>
      </x:c>
      <x:c r="C171" s="5" t="inlineStr">
        <x:is>
          <x:t xml:space="preserve">spinarak</x:t>
        </x:is>
      </x:c>
      <x:c r="D171" s="5" t="inlineStr">
        <x:is>
          <x:t xml:space="preserve">Spinarak</x:t>
        </x:is>
      </x:c>
      <x:c r="E171" s="5" t="n">
        <x:v>2</x:v>
      </x:c>
      <x:c r="F171" s="5" t="inlineStr">
        <x:is>
          <x:t xml:space="preserve">벌레</x:t>
        </x:is>
      </x:c>
      <x:c r="G171" s="5" t="inlineStr">
        <x:is>
          <x:t xml:space="preserve">독</x:t>
        </x:is>
      </x:c>
      <x:c r="H171" s="6" t="n">
        <x:v>8.5</x:v>
      </x:c>
      <x:c r="I171" s="5" t="n">
        <x:v>22</x:v>
      </x:c>
      <x:c r="J171" s="5" t="inlineStr">
        <x:is>
          <x:t xml:space="preserve">기본</x:t>
        </x:is>
      </x:c>
      <x:c r="K171" s="7" t="inlineStr">
        <x:is>
          <x:t xml:space="preserve">육상</x:t>
        </x:is>
      </x:c>
      <x:c r="L171" s="7" t="inlineStr">
        <x:is>
          <x:t xml:space="preserve">수목</x:t>
        </x:is>
      </x:c>
      <x:c r="M171" s="7" t="inlineStr">
        <x:is>
          <x:t xml:space="preserve">온대</x:t>
        </x:is>
      </x:c>
      <x:c r="N171" s="7" t="inlineStr">
        <x:is>
          <x:t xml:space="preserve">다습</x:t>
        </x:is>
      </x:c>
      <x:c r="O171" s="7" t="inlineStr">
        <x:is>
          <x:t xml:space="preserve">무관</x:t>
        </x:is>
      </x:c>
      <x:c r="P171" s="7" t="inlineStr">
        <x:is>
          <x:t xml:space="preserve">밤</x:t>
        </x:is>
      </x:c>
      <x:c r="Q171" s="7" t="inlineStr">
        <x:is>
          <x:t xml:space="preserve">흔함</x:t>
        </x:is>
      </x:c>
      <x:c r="R171" s="7" t="inlineStr">
        <x:is>
          <x:t xml:space="preserve">영체</x:t>
        </x:is>
      </x:c>
      <x:c r="S171" s="7" t="inlineStr">
        <x:is>
          <x:t xml:space="preserve">숲</x:t>
        </x:is>
      </x:c>
      <x:c r="T171" s="7" t="inlineStr">
        <x:is>
          <x:t xml:space="preserve"/>
        </x:is>
      </x:c>
      <x:c r="U171" s="8" t="str">
        <x:f>INDEX('서식지_점수'!$E$4:$P$4,1,MATCH(MAX('서식지_점수'!E171:P171),'서식지_점수'!E171:P171,0))</x:f>
        <x:v>평원</x:v>
      </x:c>
      <x:c r="V171" s="8" t="str">
        <x:f>IF(T171&lt;&gt;"",T171,U171)</x:f>
        <x:v>평원</x:v>
      </x:c>
      <x:c r="W171" s="8" t="str">
        <x:f>IFERROR(INDEX('서식지_점수'!$E$4:$P$4,1,MATCH(MAXIFS('서식지_점수'!E171:P171,'서식지_점수'!E171:P171,"&lt;"&amp;MAX('서식지_점수'!E171:P171)),'서식지_점수'!E171:P171,0)),"")</x:f>
        <x:v>숲</x:v>
      </x:c>
      <x:c r="X171" s="8" t="str">
        <x:f>IF(T171&lt;&gt;"","수동확정",IF(MAX('서식지_점수'!E171:P171)-LARGE('서식지_점수'!E171:P171,2)&gt;=15,"높음",IF(MAX('서식지_점수'!E171:P171)-LARGE('서식지_점수'!E171:P171,2)&gt;=8,"보통","검토필요")))</x:f>
        <x:v>검토필요</x:v>
      </x:c>
      <x:c r="Y171" s="9" t="n">
        <x:f>IF(Q171="전설",8,IF(Q171="희귀",7,IF(J171="기본",1,IF(J171="중간",3,IF(J171="최종",IF(I171="",5,IF(I171&lt;=20,3,IF(I171&lt;=35,4,IF(I171&lt;=50,6,7)))),IF(Q171="드묾",4,2))))))</x:f>
        <x:v>1</x:v>
      </x:c>
      <x:c r="Z171" s="5" t="inlineStr">
        <x:is>
          <x:t xml:space="preserve">#cobblemon:is_forest; #cobblemon:is_jungle; #cobblemon:is_overworld; #cobblemon:is_spooky</x:t>
        </x:is>
      </x:c>
      <x:c r="AA171" s="5" t="inlineStr">
        <x:is>
          <x:t xml:space="preserve">common</x:t>
        </x:is>
      </x:c>
      <x:c r="AB171" s="5" t="inlineStr">
        <x:is>
          <x:t xml:space="preserve">예</x:t>
        </x:is>
      </x:c>
      <x:c r="AC171" s="8" t="str">
        <x:f>IF(T171&lt;&gt;"","수동확정",IF(X171="검토필요","검토필요",IF(S171="","원본없음","초기완료")))</x:f>
        <x:v>검토필요</x:v>
      </x:c>
      <x:c r="AD171" s="7" t="inlineStr">
        <x:is>
          <x:t xml:space="preserve"/>
        </x:is>
      </x:c>
      <x:c r="AE171" s="5" t="inlineStr">
        <x:is>
          <x:t xml:space="preserve">.tmp/cobblemon-1.7.3-source/common/src/main/resources/data/cobblemon/species/generation2/spinarak.json</x:t>
        </x:is>
      </x:c>
      <x:c r="AF171" s="5" t="str">
        <x:f>"생활권|"&amp;K171</x:f>
        <x:v>생활권|육상</x:v>
      </x:c>
      <x:c r="AG171" s="5" t="str">
        <x:f>"지형|"&amp;L171</x:f>
        <x:v>지형|수목</x:v>
      </x:c>
      <x:c r="AH171" s="5" t="str">
        <x:f>"온도|"&amp;M171</x:f>
        <x:v>온도|온대</x:v>
      </x:c>
      <x:c r="AI171" s="5" t="str">
        <x:f>"습도|"&amp;N171</x:f>
        <x:v>습도|다습</x:v>
      </x:c>
      <x:c r="AJ171" s="5" t="str">
        <x:f>"날씨|"&amp;O171</x:f>
        <x:v>날씨|무관</x:v>
      </x:c>
      <x:c r="AK171" s="5" t="str">
        <x:f>"특수태그|"&amp;R171</x:f>
        <x:v>특수태그|영체</x:v>
      </x:c>
      <x:c r="AL171" s="5" t="str">
        <x:f>"원본서식지|"&amp;S171</x:f>
        <x:v>원본서식지|숲</x:v>
      </x:c>
      <x:c r="AM171" s="5" t="str">
        <x:f>"타입|"&amp;F171</x:f>
        <x:v>타입|벌레</x:v>
      </x:c>
      <x:c r="AN171" s="5" t="str">
        <x:f>"타입|"&amp;G171</x:f>
        <x:v>타입|독</x:v>
      </x:c>
    </x:row>
    <x:row r="172" ht="24" customHeight="1">
      <x:c r="A172" s="5" t="n">
        <x:v>168</x:v>
      </x:c>
      <x:c r="B172" s="5" t="inlineStr">
        <x:is>
          <x:t xml:space="preserve">아리아도스</x:t>
        </x:is>
      </x:c>
      <x:c r="C172" s="5" t="inlineStr">
        <x:is>
          <x:t xml:space="preserve">ariados</x:t>
        </x:is>
      </x:c>
      <x:c r="D172" s="5" t="inlineStr">
        <x:is>
          <x:t xml:space="preserve">Ariados</x:t>
        </x:is>
      </x:c>
      <x:c r="E172" s="5" t="n">
        <x:v>2</x:v>
      </x:c>
      <x:c r="F172" s="5" t="inlineStr">
        <x:is>
          <x:t xml:space="preserve">벌레</x:t>
        </x:is>
      </x:c>
      <x:c r="G172" s="5" t="inlineStr">
        <x:is>
          <x:t xml:space="preserve">독</x:t>
        </x:is>
      </x:c>
      <x:c r="H172" s="6" t="n">
        <x:v>33.5</x:v>
      </x:c>
      <x:c r="I172" s="5" t="n">
        <x:v>22</x:v>
      </x:c>
      <x:c r="J172" s="5" t="inlineStr">
        <x:is>
          <x:t xml:space="preserve">최종</x:t>
        </x:is>
      </x:c>
      <x:c r="K172" s="7" t="inlineStr">
        <x:is>
          <x:t xml:space="preserve">육상</x:t>
        </x:is>
      </x:c>
      <x:c r="L172" s="7" t="inlineStr">
        <x:is>
          <x:t xml:space="preserve">수목</x:t>
        </x:is>
      </x:c>
      <x:c r="M172" s="7" t="inlineStr">
        <x:is>
          <x:t xml:space="preserve">온대</x:t>
        </x:is>
      </x:c>
      <x:c r="N172" s="7" t="inlineStr">
        <x:is>
          <x:t xml:space="preserve">다습</x:t>
        </x:is>
      </x:c>
      <x:c r="O172" s="7" t="inlineStr">
        <x:is>
          <x:t xml:space="preserve">무관</x:t>
        </x:is>
      </x:c>
      <x:c r="P172" s="7" t="inlineStr">
        <x:is>
          <x:t xml:space="preserve">밤</x:t>
        </x:is>
      </x:c>
      <x:c r="Q172" s="7" t="inlineStr">
        <x:is>
          <x:t xml:space="preserve">흔함</x:t>
        </x:is>
      </x:c>
      <x:c r="R172" s="7" t="inlineStr">
        <x:is>
          <x:t xml:space="preserve">영체</x:t>
        </x:is>
      </x:c>
      <x:c r="S172" s="7" t="inlineStr">
        <x:is>
          <x:t xml:space="preserve">숲</x:t>
        </x:is>
      </x:c>
      <x:c r="T172" s="7" t="inlineStr">
        <x:is>
          <x:t xml:space="preserve"/>
        </x:is>
      </x:c>
      <x:c r="U172" s="8" t="str">
        <x:f>INDEX('서식지_점수'!$E$4:$P$4,1,MATCH(MAX('서식지_점수'!E172:P172),'서식지_점수'!E172:P172,0))</x:f>
        <x:v>평원</x:v>
      </x:c>
      <x:c r="V172" s="8" t="str">
        <x:f>IF(T172&lt;&gt;"",T172,U172)</x:f>
        <x:v>평원</x:v>
      </x:c>
      <x:c r="W172" s="8" t="str">
        <x:f>IFERROR(INDEX('서식지_점수'!$E$4:$P$4,1,MATCH(MAXIFS('서식지_점수'!E172:P172,'서식지_점수'!E172:P172,"&lt;"&amp;MAX('서식지_점수'!E172:P172)),'서식지_점수'!E172:P172,0)),"")</x:f>
        <x:v>숲</x:v>
      </x:c>
      <x:c r="X172" s="8" t="str">
        <x:f>IF(T172&lt;&gt;"","수동확정",IF(MAX('서식지_점수'!E172:P172)-LARGE('서식지_점수'!E172:P172,2)&gt;=15,"높음",IF(MAX('서식지_점수'!E172:P172)-LARGE('서식지_점수'!E172:P172,2)&gt;=8,"보통","검토필요")))</x:f>
        <x:v>검토필요</x:v>
      </x:c>
      <x:c r="Y172" s="9" t="n">
        <x:f>IF(Q172="전설",8,IF(Q172="희귀",7,IF(J172="기본",1,IF(J172="중간",3,IF(J172="최종",IF(I172="",5,IF(I172&lt;=20,3,IF(I172&lt;=35,4,IF(I172&lt;=50,6,7)))),IF(Q172="드묾",4,2))))))</x:f>
        <x:v>4</x:v>
      </x:c>
      <x:c r="Z172" s="5" t="inlineStr">
        <x:is>
          <x:t xml:space="preserve">#cobblemon:is_forest; #cobblemon:is_jungle; #cobblemon:is_overworld; #cobblemon:is_spooky</x:t>
        </x:is>
      </x:c>
      <x:c r="AA172" s="5" t="inlineStr">
        <x:is>
          <x:t xml:space="preserve">common</x:t>
        </x:is>
      </x:c>
      <x:c r="AB172" s="5" t="inlineStr">
        <x:is>
          <x:t xml:space="preserve">예</x:t>
        </x:is>
      </x:c>
      <x:c r="AC172" s="8" t="str">
        <x:f>IF(T172&lt;&gt;"","수동확정",IF(X172="검토필요","검토필요",IF(S172="","원본없음","초기완료")))</x:f>
        <x:v>검토필요</x:v>
      </x:c>
      <x:c r="AD172" s="7" t="inlineStr">
        <x:is>
          <x:t xml:space="preserve"/>
        </x:is>
      </x:c>
      <x:c r="AE172" s="5" t="inlineStr">
        <x:is>
          <x:t xml:space="preserve">.tmp/cobblemon-1.7.3-source/common/src/main/resources/data/cobblemon/species/generation2/ariados.json</x:t>
        </x:is>
      </x:c>
      <x:c r="AF172" s="5" t="str">
        <x:f>"생활권|"&amp;K172</x:f>
        <x:v>생활권|육상</x:v>
      </x:c>
      <x:c r="AG172" s="5" t="str">
        <x:f>"지형|"&amp;L172</x:f>
        <x:v>지형|수목</x:v>
      </x:c>
      <x:c r="AH172" s="5" t="str">
        <x:f>"온도|"&amp;M172</x:f>
        <x:v>온도|온대</x:v>
      </x:c>
      <x:c r="AI172" s="5" t="str">
        <x:f>"습도|"&amp;N172</x:f>
        <x:v>습도|다습</x:v>
      </x:c>
      <x:c r="AJ172" s="5" t="str">
        <x:f>"날씨|"&amp;O172</x:f>
        <x:v>날씨|무관</x:v>
      </x:c>
      <x:c r="AK172" s="5" t="str">
        <x:f>"특수태그|"&amp;R172</x:f>
        <x:v>특수태그|영체</x:v>
      </x:c>
      <x:c r="AL172" s="5" t="str">
        <x:f>"원본서식지|"&amp;S172</x:f>
        <x:v>원본서식지|숲</x:v>
      </x:c>
      <x:c r="AM172" s="5" t="str">
        <x:f>"타입|"&amp;F172</x:f>
        <x:v>타입|벌레</x:v>
      </x:c>
      <x:c r="AN172" s="5" t="str">
        <x:f>"타입|"&amp;G172</x:f>
        <x:v>타입|독</x:v>
      </x:c>
    </x:row>
    <x:row r="173" ht="24" customHeight="1">
      <x:c r="A173" s="5" t="n">
        <x:v>169</x:v>
      </x:c>
      <x:c r="B173" s="5" t="inlineStr">
        <x:is>
          <x:t xml:space="preserve">크로뱃</x:t>
        </x:is>
      </x:c>
      <x:c r="C173" s="5" t="inlineStr">
        <x:is>
          <x:t xml:space="preserve">crobat</x:t>
        </x:is>
      </x:c>
      <x:c r="D173" s="5" t="inlineStr">
        <x:is>
          <x:t xml:space="preserve">Crobat</x:t>
        </x:is>
      </x:c>
      <x:c r="E173" s="5" t="n">
        <x:v>2</x:v>
      </x:c>
      <x:c r="F173" s="5" t="inlineStr">
        <x:is>
          <x:t xml:space="preserve">독</x:t>
        </x:is>
      </x:c>
      <x:c r="G173" s="5" t="inlineStr">
        <x:is>
          <x:t xml:space="preserve">비행</x:t>
        </x:is>
      </x:c>
      <x:c r="H173" s="6" t="n">
        <x:v>75</x:v>
      </x:c>
      <x:c r="I173" s="5" t="n">
        <x:v>22</x:v>
      </x:c>
      <x:c r="J173" s="5" t="inlineStr">
        <x:is>
          <x:t xml:space="preserve">최종</x:t>
        </x:is>
      </x:c>
      <x:c r="K173" s="7" t="inlineStr">
        <x:is>
          <x:t xml:space="preserve">비행</x:t>
        </x:is>
      </x:c>
      <x:c r="L173" s="7" t="inlineStr">
        <x:is>
          <x:t xml:space="preserve">특수</x:t>
        </x:is>
      </x:c>
      <x:c r="M173" s="7" t="inlineStr">
        <x:is>
          <x:t xml:space="preserve">온대</x:t>
        </x:is>
      </x:c>
      <x:c r="N173" s="7" t="inlineStr">
        <x:is>
          <x:t xml:space="preserve">보통</x:t>
        </x:is>
      </x:c>
      <x:c r="O173" s="7" t="inlineStr">
        <x:is>
          <x:t xml:space="preserve">무관</x:t>
        </x:is>
      </x:c>
      <x:c r="P173" s="7" t="inlineStr">
        <x:is>
          <x:t xml:space="preserve">밤</x:t>
        </x:is>
      </x:c>
      <x:c r="Q173" s="7" t="inlineStr">
        <x:is>
          <x:t xml:space="preserve">보통</x:t>
        </x:is>
      </x:c>
      <x:c r="R173" s="7" t="inlineStr">
        <x:is>
          <x:t xml:space="preserve">영체</x:t>
        </x:is>
      </x:c>
      <x:c r="S173" s="7" t="inlineStr">
        <x:is>
          <x:t xml:space="preserve">특수</x:t>
        </x:is>
      </x:c>
      <x:c r="T173" s="7" t="inlineStr">
        <x:is>
          <x:t xml:space="preserve"/>
        </x:is>
      </x:c>
      <x:c r="U173" s="8" t="str">
        <x:f>INDEX('서식지_점수'!$E$4:$P$4,1,MATCH(MAX('서식지_점수'!E173:P173),'서식지_점수'!E173:P173,0))</x:f>
        <x:v>산악</x:v>
      </x:c>
      <x:c r="V173" s="8" t="str">
        <x:f>IF(T173&lt;&gt;"",T173,U173)</x:f>
        <x:v>산악</x:v>
      </x:c>
      <x:c r="W173" s="8" t="str">
        <x:f>IFERROR(INDEX('서식지_점수'!$E$4:$P$4,1,MATCH(MAXIFS('서식지_점수'!E173:P173,'서식지_점수'!E173:P173,"&lt;"&amp;MAX('서식지_점수'!E173:P173)),'서식지_점수'!E173:P173,0)),"")</x:f>
        <x:v>평원</x:v>
      </x:c>
      <x:c r="X173" s="8" t="str">
        <x:f>IF(T173&lt;&gt;"","수동확정",IF(MAX('서식지_점수'!E173:P173)-LARGE('서식지_점수'!E173:P173,2)&gt;=15,"높음",IF(MAX('서식지_점수'!E173:P173)-LARGE('서식지_점수'!E173:P173,2)&gt;=8,"보통","검토필요")))</x:f>
        <x:v>검토필요</x:v>
      </x:c>
      <x:c r="Y173" s="9" t="n">
        <x:f>IF(Q173="전설",8,IF(Q173="희귀",7,IF(J173="기본",1,IF(J173="중간",3,IF(J173="최종",IF(I173="",5,IF(I173&lt;=20,3,IF(I173&lt;=35,4,IF(I173&lt;=50,6,7)))),IF(Q173="드묾",4,2))))))</x:f>
        <x:v>4</x:v>
      </x:c>
      <x:c r="Z173" s="5" t="inlineStr">
        <x:is>
          <x:t xml:space="preserve">#aether:is_aether; #cobblemon:is_deep_dark; #cobblemon:is_forest; #cobblemon:is_overworld; #cobblemon:is_spooky; #cobblemon:is_swamp</x:t>
        </x:is>
      </x:c>
      <x:c r="AA173" s="5" t="inlineStr">
        <x:is>
          <x:t xml:space="preserve">common; uncommon</x:t>
        </x:is>
      </x:c>
      <x:c r="AB173" s="5" t="inlineStr">
        <x:is>
          <x:t xml:space="preserve">예</x:t>
        </x:is>
      </x:c>
      <x:c r="AC173" s="8" t="str">
        <x:f>IF(T173&lt;&gt;"","수동확정",IF(X173="검토필요","검토필요",IF(S173="","원본없음","초기완료")))</x:f>
        <x:v>검토필요</x:v>
      </x:c>
      <x:c r="AD173" s="7" t="inlineStr">
        <x:is>
          <x:t xml:space="preserve"/>
        </x:is>
      </x:c>
      <x:c r="AE173" s="5" t="inlineStr">
        <x:is>
          <x:t xml:space="preserve">.tmp/cobblemon-1.7.3-source/common/src/main/resources/data/cobblemon/species/generation2/crobat.json</x:t>
        </x:is>
      </x:c>
      <x:c r="AF173" s="5" t="str">
        <x:f>"생활권|"&amp;K173</x:f>
        <x:v>생활권|비행</x:v>
      </x:c>
      <x:c r="AG173" s="5" t="str">
        <x:f>"지형|"&amp;L173</x:f>
        <x:v>지형|특수</x:v>
      </x:c>
      <x:c r="AH173" s="5" t="str">
        <x:f>"온도|"&amp;M173</x:f>
        <x:v>온도|온대</x:v>
      </x:c>
      <x:c r="AI173" s="5" t="str">
        <x:f>"습도|"&amp;N173</x:f>
        <x:v>습도|보통</x:v>
      </x:c>
      <x:c r="AJ173" s="5" t="str">
        <x:f>"날씨|"&amp;O173</x:f>
        <x:v>날씨|무관</x:v>
      </x:c>
      <x:c r="AK173" s="5" t="str">
        <x:f>"특수태그|"&amp;R173</x:f>
        <x:v>특수태그|영체</x:v>
      </x:c>
      <x:c r="AL173" s="5" t="str">
        <x:f>"원본서식지|"&amp;S173</x:f>
        <x:v>원본서식지|특수</x:v>
      </x:c>
      <x:c r="AM173" s="5" t="str">
        <x:f>"타입|"&amp;F173</x:f>
        <x:v>타입|독</x:v>
      </x:c>
      <x:c r="AN173" s="5" t="str">
        <x:f>"타입|"&amp;G173</x:f>
        <x:v>타입|비행</x:v>
      </x:c>
    </x:row>
    <x:row r="174" ht="24" customHeight="1">
      <x:c r="A174" s="5" t="n">
        <x:v>170</x:v>
      </x:c>
      <x:c r="B174" s="5" t="inlineStr">
        <x:is>
          <x:t xml:space="preserve">초라기</x:t>
        </x:is>
      </x:c>
      <x:c r="C174" s="5" t="inlineStr">
        <x:is>
          <x:t xml:space="preserve">chinchou</x:t>
        </x:is>
      </x:c>
      <x:c r="D174" s="5" t="inlineStr">
        <x:is>
          <x:t xml:space="preserve">Chinchou</x:t>
        </x:is>
      </x:c>
      <x:c r="E174" s="5" t="n">
        <x:v>2</x:v>
      </x:c>
      <x:c r="F174" s="5" t="inlineStr">
        <x:is>
          <x:t xml:space="preserve">물</x:t>
        </x:is>
      </x:c>
      <x:c r="G174" s="5" t="inlineStr">
        <x:is>
          <x:t xml:space="preserve">전기</x:t>
        </x:is>
      </x:c>
      <x:c r="H174" s="6" t="n">
        <x:v>12</x:v>
      </x:c>
      <x:c r="I174" s="5" t="n">
        <x:v>27</x:v>
      </x:c>
      <x:c r="J174" s="5" t="inlineStr">
        <x:is>
          <x:t xml:space="preserve">기본</x:t>
        </x:is>
      </x:c>
      <x:c r="K174" s="7" t="inlineStr">
        <x:is>
          <x:t xml:space="preserve">해양</x:t>
        </x:is>
      </x:c>
      <x:c r="L174" s="7" t="inlineStr">
        <x:is>
          <x:t xml:space="preserve">해안·해양</x:t>
        </x:is>
      </x:c>
      <x:c r="M174" s="7" t="inlineStr">
        <x:is>
          <x:t xml:space="preserve">온대</x:t>
        </x:is>
      </x:c>
      <x:c r="N174" s="7" t="inlineStr">
        <x:is>
          <x:t xml:space="preserve">수중</x:t>
        </x:is>
      </x:c>
      <x:c r="O174" s="7" t="inlineStr">
        <x:is>
          <x:t xml:space="preserve">비</x:t>
        </x:is>
      </x:c>
      <x:c r="P174" s="7" t="inlineStr">
        <x:is>
          <x:t xml:space="preserve">무관</x:t>
        </x:is>
      </x:c>
      <x:c r="Q174" s="7" t="inlineStr">
        <x:is>
          <x:t xml:space="preserve">흔함</x:t>
        </x:is>
      </x:c>
      <x:c r="R174" s="7" t="inlineStr">
        <x:is>
          <x:t xml:space="preserve">심해</x:t>
        </x:is>
      </x:c>
      <x:c r="S174" s="7" t="inlineStr">
        <x:is>
          <x:t xml:space="preserve">해양</x:t>
        </x:is>
      </x:c>
      <x:c r="T174" s="7" t="inlineStr">
        <x:is>
          <x:t xml:space="preserve"/>
        </x:is>
      </x:c>
      <x:c r="U174" s="8" t="str">
        <x:f>INDEX('서식지_점수'!$E$4:$P$4,1,MATCH(MAX('서식지_점수'!E174:P174),'서식지_점수'!E174:P174,0))</x:f>
        <x:v>해양</x:v>
      </x:c>
      <x:c r="V174" s="8" t="str">
        <x:f>IF(T174&lt;&gt;"",T174,U174)</x:f>
        <x:v>해양</x:v>
      </x:c>
      <x:c r="W174" s="8" t="str">
        <x:f>IFERROR(INDEX('서식지_점수'!$E$4:$P$4,1,MATCH(MAXIFS('서식지_점수'!E174:P174,'서식지_점수'!E174:P174,"&lt;"&amp;MAX('서식지_점수'!E174:P174)),'서식지_점수'!E174:P174,0)),"")</x:f>
        <x:v>습지</x:v>
      </x:c>
      <x:c r="X174" s="8" t="str">
        <x:f>IF(T174&lt;&gt;"","수동확정",IF(MAX('서식지_점수'!E174:P174)-LARGE('서식지_점수'!E174:P174,2)&gt;=15,"높음",IF(MAX('서식지_점수'!E174:P174)-LARGE('서식지_점수'!E174:P174,2)&gt;=8,"보통","검토필요")))</x:f>
        <x:v>높음</x:v>
      </x:c>
      <x:c r="Y174" s="9" t="n">
        <x:f>IF(Q174="전설",8,IF(Q174="희귀",7,IF(J174="기본",1,IF(J174="중간",3,IF(J174="최종",IF(I174="",5,IF(I174&lt;=20,3,IF(I174&lt;=35,4,IF(I174&lt;=50,6,7)))),IF(Q174="드묾",4,2))))))</x:f>
        <x:v>1</x:v>
      </x:c>
      <x:c r="Z174" s="5" t="inlineStr">
        <x:is>
          <x:t xml:space="preserve">#cobblemon:is_deep_ocean; #cobblemon:is_ocean; #cobblemon:is_overworld</x:t>
        </x:is>
      </x:c>
      <x:c r="AA174" s="5" t="inlineStr">
        <x:is>
          <x:t xml:space="preserve">common</x:t>
        </x:is>
      </x:c>
      <x:c r="AB174" s="5" t="inlineStr">
        <x:is>
          <x:t xml:space="preserve">예</x:t>
        </x:is>
      </x:c>
      <x:c r="AC174" s="8" t="str">
        <x:f>IF(T174&lt;&gt;"","수동확정",IF(X174="검토필요","검토필요",IF(S174="","원본없음","초기완료")))</x:f>
        <x:v>초기완료</x:v>
      </x:c>
      <x:c r="AD174" s="7" t="inlineStr">
        <x:is>
          <x:t xml:space="preserve"/>
        </x:is>
      </x:c>
      <x:c r="AE174" s="5" t="inlineStr">
        <x:is>
          <x:t xml:space="preserve">.tmp/cobblemon-1.7.3-source/common/src/main/resources/data/cobblemon/species/generation2/chinchou.json</x:t>
        </x:is>
      </x:c>
      <x:c r="AF174" s="5" t="str">
        <x:f>"생활권|"&amp;K174</x:f>
        <x:v>생활권|해양</x:v>
      </x:c>
      <x:c r="AG174" s="5" t="str">
        <x:f>"지형|"&amp;L174</x:f>
        <x:v>지형|해안·해양</x:v>
      </x:c>
      <x:c r="AH174" s="5" t="str">
        <x:f>"온도|"&amp;M174</x:f>
        <x:v>온도|온대</x:v>
      </x:c>
      <x:c r="AI174" s="5" t="str">
        <x:f>"습도|"&amp;N174</x:f>
        <x:v>습도|수중</x:v>
      </x:c>
      <x:c r="AJ174" s="5" t="str">
        <x:f>"날씨|"&amp;O174</x:f>
        <x:v>날씨|비</x:v>
      </x:c>
      <x:c r="AK174" s="5" t="str">
        <x:f>"특수태그|"&amp;R174</x:f>
        <x:v>특수태그|심해</x:v>
      </x:c>
      <x:c r="AL174" s="5" t="str">
        <x:f>"원본서식지|"&amp;S174</x:f>
        <x:v>원본서식지|해양</x:v>
      </x:c>
      <x:c r="AM174" s="5" t="str">
        <x:f>"타입|"&amp;F174</x:f>
        <x:v>타입|물</x:v>
      </x:c>
      <x:c r="AN174" s="5" t="str">
        <x:f>"타입|"&amp;G174</x:f>
        <x:v>타입|전기</x:v>
      </x:c>
    </x:row>
    <x:row r="175" ht="24" customHeight="1">
      <x:c r="A175" s="5" t="n">
        <x:v>171</x:v>
      </x:c>
      <x:c r="B175" s="5" t="inlineStr">
        <x:is>
          <x:t xml:space="preserve">랜턴</x:t>
        </x:is>
      </x:c>
      <x:c r="C175" s="5" t="inlineStr">
        <x:is>
          <x:t xml:space="preserve">lanturn</x:t>
        </x:is>
      </x:c>
      <x:c r="D175" s="5" t="inlineStr">
        <x:is>
          <x:t xml:space="preserve">Lanturn</x:t>
        </x:is>
      </x:c>
      <x:c r="E175" s="5" t="n">
        <x:v>2</x:v>
      </x:c>
      <x:c r="F175" s="5" t="inlineStr">
        <x:is>
          <x:t xml:space="preserve">물</x:t>
        </x:is>
      </x:c>
      <x:c r="G175" s="5" t="inlineStr">
        <x:is>
          <x:t xml:space="preserve">전기</x:t>
        </x:is>
      </x:c>
      <x:c r="H175" s="6" t="n">
        <x:v>22.5</x:v>
      </x:c>
      <x:c r="I175" s="5" t="n">
        <x:v>27</x:v>
      </x:c>
      <x:c r="J175" s="5" t="inlineStr">
        <x:is>
          <x:t xml:space="preserve">최종</x:t>
        </x:is>
      </x:c>
      <x:c r="K175" s="7" t="inlineStr">
        <x:is>
          <x:t xml:space="preserve">해양</x:t>
        </x:is>
      </x:c>
      <x:c r="L175" s="7" t="inlineStr">
        <x:is>
          <x:t xml:space="preserve">해안·해양</x:t>
        </x:is>
      </x:c>
      <x:c r="M175" s="7" t="inlineStr">
        <x:is>
          <x:t xml:space="preserve">온대</x:t>
        </x:is>
      </x:c>
      <x:c r="N175" s="7" t="inlineStr">
        <x:is>
          <x:t xml:space="preserve">수중</x:t>
        </x:is>
      </x:c>
      <x:c r="O175" s="7" t="inlineStr">
        <x:is>
          <x:t xml:space="preserve">비</x:t>
        </x:is>
      </x:c>
      <x:c r="P175" s="7" t="inlineStr">
        <x:is>
          <x:t xml:space="preserve">무관</x:t>
        </x:is>
      </x:c>
      <x:c r="Q175" s="7" t="inlineStr">
        <x:is>
          <x:t xml:space="preserve">흔함</x:t>
        </x:is>
      </x:c>
      <x:c r="R175" s="7" t="inlineStr">
        <x:is>
          <x:t xml:space="preserve">심해</x:t>
        </x:is>
      </x:c>
      <x:c r="S175" s="7" t="inlineStr">
        <x:is>
          <x:t xml:space="preserve">해양</x:t>
        </x:is>
      </x:c>
      <x:c r="T175" s="7" t="inlineStr">
        <x:is>
          <x:t xml:space="preserve"/>
        </x:is>
      </x:c>
      <x:c r="U175" s="8" t="str">
        <x:f>INDEX('서식지_점수'!$E$4:$P$4,1,MATCH(MAX('서식지_점수'!E175:P175),'서식지_점수'!E175:P175,0))</x:f>
        <x:v>해양</x:v>
      </x:c>
      <x:c r="V175" s="8" t="str">
        <x:f>IF(T175&lt;&gt;"",T175,U175)</x:f>
        <x:v>해양</x:v>
      </x:c>
      <x:c r="W175" s="8" t="str">
        <x:f>IFERROR(INDEX('서식지_점수'!$E$4:$P$4,1,MATCH(MAXIFS('서식지_점수'!E175:P175,'서식지_점수'!E175:P175,"&lt;"&amp;MAX('서식지_점수'!E175:P175)),'서식지_점수'!E175:P175,0)),"")</x:f>
        <x:v>습지</x:v>
      </x:c>
      <x:c r="X175" s="8" t="str">
        <x:f>IF(T175&lt;&gt;"","수동확정",IF(MAX('서식지_점수'!E175:P175)-LARGE('서식지_점수'!E175:P175,2)&gt;=15,"높음",IF(MAX('서식지_점수'!E175:P175)-LARGE('서식지_점수'!E175:P175,2)&gt;=8,"보통","검토필요")))</x:f>
        <x:v>높음</x:v>
      </x:c>
      <x:c r="Y175" s="9" t="n">
        <x:f>IF(Q175="전설",8,IF(Q175="희귀",7,IF(J175="기본",1,IF(J175="중간",3,IF(J175="최종",IF(I175="",5,IF(I175&lt;=20,3,IF(I175&lt;=35,4,IF(I175&lt;=50,6,7)))),IF(Q175="드묾",4,2))))))</x:f>
        <x:v>4</x:v>
      </x:c>
      <x:c r="Z175" s="5" t="inlineStr">
        <x:is>
          <x:t xml:space="preserve">#cobblemon:is_deep_ocean; #cobblemon:is_ocean; #cobblemon:is_overworld</x:t>
        </x:is>
      </x:c>
      <x:c r="AA175" s="5" t="inlineStr">
        <x:is>
          <x:t xml:space="preserve">common</x:t>
        </x:is>
      </x:c>
      <x:c r="AB175" s="5" t="inlineStr">
        <x:is>
          <x:t xml:space="preserve">예</x:t>
        </x:is>
      </x:c>
      <x:c r="AC175" s="8" t="str">
        <x:f>IF(T175&lt;&gt;"","수동확정",IF(X175="검토필요","검토필요",IF(S175="","원본없음","초기완료")))</x:f>
        <x:v>초기완료</x:v>
      </x:c>
      <x:c r="AD175" s="7" t="inlineStr">
        <x:is>
          <x:t xml:space="preserve"/>
        </x:is>
      </x:c>
      <x:c r="AE175" s="5" t="inlineStr">
        <x:is>
          <x:t xml:space="preserve">.tmp/cobblemon-1.7.3-source/common/src/main/resources/data/cobblemon/species/generation2/lanturn.json</x:t>
        </x:is>
      </x:c>
      <x:c r="AF175" s="5" t="str">
        <x:f>"생활권|"&amp;K175</x:f>
        <x:v>생활권|해양</x:v>
      </x:c>
      <x:c r="AG175" s="5" t="str">
        <x:f>"지형|"&amp;L175</x:f>
        <x:v>지형|해안·해양</x:v>
      </x:c>
      <x:c r="AH175" s="5" t="str">
        <x:f>"온도|"&amp;M175</x:f>
        <x:v>온도|온대</x:v>
      </x:c>
      <x:c r="AI175" s="5" t="str">
        <x:f>"습도|"&amp;N175</x:f>
        <x:v>습도|수중</x:v>
      </x:c>
      <x:c r="AJ175" s="5" t="str">
        <x:f>"날씨|"&amp;O175</x:f>
        <x:v>날씨|비</x:v>
      </x:c>
      <x:c r="AK175" s="5" t="str">
        <x:f>"특수태그|"&amp;R175</x:f>
        <x:v>특수태그|심해</x:v>
      </x:c>
      <x:c r="AL175" s="5" t="str">
        <x:f>"원본서식지|"&amp;S175</x:f>
        <x:v>원본서식지|해양</x:v>
      </x:c>
      <x:c r="AM175" s="5" t="str">
        <x:f>"타입|"&amp;F175</x:f>
        <x:v>타입|물</x:v>
      </x:c>
      <x:c r="AN175" s="5" t="str">
        <x:f>"타입|"&amp;G175</x:f>
        <x:v>타입|전기</x:v>
      </x:c>
    </x:row>
    <x:row r="176" ht="24" customHeight="1">
      <x:c r="A176" s="5" t="n">
        <x:v>172</x:v>
      </x:c>
      <x:c r="B176" s="5" t="inlineStr">
        <x:is>
          <x:t xml:space="preserve">피츄</x:t>
        </x:is>
      </x:c>
      <x:c r="C176" s="5" t="inlineStr">
        <x:is>
          <x:t xml:space="preserve">pichu</x:t>
        </x:is>
      </x:c>
      <x:c r="D176" s="5" t="inlineStr">
        <x:is>
          <x:t xml:space="preserve">Pichu</x:t>
        </x:is>
      </x:c>
      <x:c r="E176" s="5" t="n">
        <x:v>2</x:v>
      </x:c>
      <x:c r="F176" s="5" t="inlineStr">
        <x:is>
          <x:t xml:space="preserve">전기</x:t>
        </x:is>
      </x:c>
      <x:c r="G176" s="5" t="inlineStr">
        <x:is>
          <x:t xml:space="preserve"/>
        </x:is>
      </x:c>
      <x:c r="H176" s="6" t="n">
        <x:v>2</x:v>
      </x:c>
      <x:c r="I176" s="5" t="n"/>
      <x:c r="J176" s="5" t="inlineStr">
        <x:is>
          <x:t xml:space="preserve">기본</x:t>
        </x:is>
      </x:c>
      <x:c r="K176" s="7" t="inlineStr">
        <x:is>
          <x:t xml:space="preserve">육상</x:t>
        </x:is>
      </x:c>
      <x:c r="L176" s="7" t="inlineStr">
        <x:is>
          <x:t xml:space="preserve">수목</x:t>
        </x:is>
      </x:c>
      <x:c r="M176" s="7" t="inlineStr">
        <x:is>
          <x:t xml:space="preserve">온대</x:t>
        </x:is>
      </x:c>
      <x:c r="N176" s="7" t="inlineStr">
        <x:is>
          <x:t xml:space="preserve">보통</x:t>
        </x:is>
      </x:c>
      <x:c r="O176" s="7" t="inlineStr">
        <x:is>
          <x:t xml:space="preserve">무관</x:t>
        </x:is>
      </x:c>
      <x:c r="P176" s="7" t="inlineStr">
        <x:is>
          <x:t xml:space="preserve">무관</x:t>
        </x:is>
      </x:c>
      <x:c r="Q176" s="7" t="inlineStr">
        <x:is>
          <x:t xml:space="preserve">보통</x:t>
        </x:is>
      </x:c>
      <x:c r="R176" s="7" t="inlineStr">
        <x:is>
          <x:t xml:space="preserve">없음</x:t>
        </x:is>
      </x:c>
      <x:c r="S176" s="7" t="inlineStr">
        <x:is>
          <x:t xml:space="preserve">숲</x:t>
        </x:is>
      </x:c>
      <x:c r="T176" s="7" t="inlineStr">
        <x:is>
          <x:t xml:space="preserve"/>
        </x:is>
      </x:c>
      <x:c r="U176" s="8" t="str">
        <x:f>INDEX('서식지_점수'!$E$4:$P$4,1,MATCH(MAX('서식지_점수'!E176:P176),'서식지_점수'!E176:P176,0))</x:f>
        <x:v>평원</x:v>
      </x:c>
      <x:c r="V176" s="8" t="str">
        <x:f>IF(T176&lt;&gt;"",T176,U176)</x:f>
        <x:v>평원</x:v>
      </x:c>
      <x:c r="W176" s="8" t="str">
        <x:f>IFERROR(INDEX('서식지_점수'!$E$4:$P$4,1,MATCH(MAXIFS('서식지_점수'!E176:P176,'서식지_점수'!E176:P176,"&lt;"&amp;MAX('서식지_점수'!E176:P176)),'서식지_점수'!E176:P176,0)),"")</x:f>
        <x:v>숲</x:v>
      </x:c>
      <x:c r="X176" s="8" t="str">
        <x:f>IF(T176&lt;&gt;"","수동확정",IF(MAX('서식지_점수'!E176:P176)-LARGE('서식지_점수'!E176:P176,2)&gt;=15,"높음",IF(MAX('서식지_점수'!E176:P176)-LARGE('서식지_점수'!E176:P176,2)&gt;=8,"보통","검토필요")))</x:f>
        <x:v>검토필요</x:v>
      </x:c>
      <x:c r="Y176" s="9" t="n">
        <x:f>IF(Q176="전설",8,IF(Q176="희귀",7,IF(J176="기본",1,IF(J176="중간",3,IF(J176="최종",IF(I176="",5,IF(I176&lt;=20,3,IF(I176&lt;=35,4,IF(I176&lt;=50,6,7)))),IF(Q176="드묾",4,2))))))</x:f>
        <x:v>1</x:v>
      </x:c>
      <x:c r="Z176" s="5" t="inlineStr">
        <x:is>
          <x:t xml:space="preserve">#cobblemon:is_beach; #cobblemon:is_forest; #cobblemon:is_tropical_island; aether:skyroot_forest; aether:skyroot_woodland</x:t>
        </x:is>
      </x:c>
      <x:c r="AA176" s="5" t="inlineStr">
        <x:is>
          <x:t xml:space="preserve">uncommon</x:t>
        </x:is>
      </x:c>
      <x:c r="AB176" s="5" t="inlineStr">
        <x:is>
          <x:t xml:space="preserve">예</x:t>
        </x:is>
      </x:c>
      <x:c r="AC176" s="8" t="str">
        <x:f>IF(T176&lt;&gt;"","수동확정",IF(X176="검토필요","검토필요",IF(S176="","원본없음","초기완료")))</x:f>
        <x:v>검토필요</x:v>
      </x:c>
      <x:c r="AD176" s="7" t="inlineStr">
        <x:is>
          <x:t xml:space="preserve"/>
        </x:is>
      </x:c>
      <x:c r="AE176" s="5" t="inlineStr">
        <x:is>
          <x:t xml:space="preserve">.tmp/cobblemon-1.7.3-source/common/src/main/resources/data/cobblemon/species/generation2/pichu.json</x:t>
        </x:is>
      </x:c>
      <x:c r="AF176" s="5" t="str">
        <x:f>"생활권|"&amp;K176</x:f>
        <x:v>생활권|육상</x:v>
      </x:c>
      <x:c r="AG176" s="5" t="str">
        <x:f>"지형|"&amp;L176</x:f>
        <x:v>지형|수목</x:v>
      </x:c>
      <x:c r="AH176" s="5" t="str">
        <x:f>"온도|"&amp;M176</x:f>
        <x:v>온도|온대</x:v>
      </x:c>
      <x:c r="AI176" s="5" t="str">
        <x:f>"습도|"&amp;N176</x:f>
        <x:v>습도|보통</x:v>
      </x:c>
      <x:c r="AJ176" s="5" t="str">
        <x:f>"날씨|"&amp;O176</x:f>
        <x:v>날씨|무관</x:v>
      </x:c>
      <x:c r="AK176" s="5" t="str">
        <x:f>"특수태그|"&amp;R176</x:f>
        <x:v>특수태그|없음</x:v>
      </x:c>
      <x:c r="AL176" s="5" t="str">
        <x:f>"원본서식지|"&amp;S176</x:f>
        <x:v>원본서식지|숲</x:v>
      </x:c>
      <x:c r="AM176" s="5" t="str">
        <x:f>"타입|"&amp;F176</x:f>
        <x:v>타입|전기</x:v>
      </x:c>
      <x:c r="AN176" s="5" t="str">
        <x:f>"타입|"&amp;G176</x:f>
        <x:v>타입|</x:v>
      </x:c>
    </x:row>
    <x:row r="177" ht="24" customHeight="1">
      <x:c r="A177" s="5" t="n">
        <x:v>173</x:v>
      </x:c>
      <x:c r="B177" s="5" t="inlineStr">
        <x:is>
          <x:t xml:space="preserve">삐</x:t>
        </x:is>
      </x:c>
      <x:c r="C177" s="5" t="inlineStr">
        <x:is>
          <x:t xml:space="preserve">cleffa</x:t>
        </x:is>
      </x:c>
      <x:c r="D177" s="5" t="inlineStr">
        <x:is>
          <x:t xml:space="preserve">Cleffa</x:t>
        </x:is>
      </x:c>
      <x:c r="E177" s="5" t="n">
        <x:v>2</x:v>
      </x:c>
      <x:c r="F177" s="5" t="inlineStr">
        <x:is>
          <x:t xml:space="preserve">페어리</x:t>
        </x:is>
      </x:c>
      <x:c r="G177" s="5" t="inlineStr">
        <x:is>
          <x:t xml:space="preserve"/>
        </x:is>
      </x:c>
      <x:c r="H177" s="6" t="n">
        <x:v>3</x:v>
      </x:c>
      <x:c r="I177" s="5" t="n"/>
      <x:c r="J177" s="5" t="inlineStr">
        <x:is>
          <x:t xml:space="preserve">기본</x:t>
        </x:is>
      </x:c>
      <x:c r="K177" s="7" t="inlineStr">
        <x:is>
          <x:t xml:space="preserve">육상</x:t>
        </x:is>
      </x:c>
      <x:c r="L177" s="7" t="inlineStr">
        <x:is>
          <x:t xml:space="preserve">동굴</x:t>
        </x:is>
      </x:c>
      <x:c r="M177" s="7" t="inlineStr">
        <x:is>
          <x:t xml:space="preserve">온대</x:t>
        </x:is>
      </x:c>
      <x:c r="N177" s="7" t="inlineStr">
        <x:is>
          <x:t xml:space="preserve">보통</x:t>
        </x:is>
      </x:c>
      <x:c r="O177" s="7" t="inlineStr">
        <x:is>
          <x:t xml:space="preserve">무관</x:t>
        </x:is>
      </x:c>
      <x:c r="P177" s="7" t="inlineStr">
        <x:is>
          <x:t xml:space="preserve">밤</x:t>
        </x:is>
      </x:c>
      <x:c r="Q177" s="7" t="inlineStr">
        <x:is>
          <x:t xml:space="preserve">보통</x:t>
        </x:is>
      </x:c>
      <x:c r="R177" s="7" t="inlineStr">
        <x:is>
          <x:t xml:space="preserve">동굴</x:t>
        </x:is>
      </x:c>
      <x:c r="S177" s="7" t="inlineStr">
        <x:is>
          <x:t xml:space="preserve">동굴</x:t>
        </x:is>
      </x:c>
      <x:c r="T177" s="7" t="inlineStr">
        <x:is>
          <x:t xml:space="preserve"/>
        </x:is>
      </x:c>
      <x:c r="U177" s="8" t="str">
        <x:f>INDEX('서식지_점수'!$E$4:$P$4,1,MATCH(MAX('서식지_점수'!E177:P177),'서식지_점수'!E177:P177,0))</x:f>
        <x:v>평원</x:v>
      </x:c>
      <x:c r="V177" s="8" t="str">
        <x:f>IF(T177&lt;&gt;"",T177,U177)</x:f>
        <x:v>평원</x:v>
      </x:c>
      <x:c r="W177" s="8" t="str">
        <x:f>IFERROR(INDEX('서식지_점수'!$E$4:$P$4,1,MATCH(MAXIFS('서식지_점수'!E177:P177,'서식지_점수'!E177:P177,"&lt;"&amp;MAX('서식지_점수'!E177:P177)),'서식지_점수'!E177:P177,0)),"")</x:f>
        <x:v>숲</x:v>
      </x:c>
      <x:c r="X177" s="8" t="str">
        <x:f>IF(T177&lt;&gt;"","수동확정",IF(MAX('서식지_점수'!E177:P177)-LARGE('서식지_점수'!E177:P177,2)&gt;=15,"높음",IF(MAX('서식지_점수'!E177:P177)-LARGE('서식지_점수'!E177:P177,2)&gt;=8,"보통","검토필요")))</x:f>
        <x:v>검토필요</x:v>
      </x:c>
      <x:c r="Y177" s="9" t="n">
        <x:f>IF(Q177="전설",8,IF(Q177="희귀",7,IF(J177="기본",1,IF(J177="중간",3,IF(J177="최종",IF(I177="",5,IF(I177&lt;=20,3,IF(I177&lt;=35,4,IF(I177&lt;=50,6,7)))),IF(Q177="드묾",4,2))))))</x:f>
        <x:v>1</x:v>
      </x:c>
      <x:c r="Z177" s="5" t="inlineStr">
        <x:is>
          <x:t xml:space="preserve">#aether:is_aether; #cobblemon:is_dripstone; #cobblemon:is_hills; #cobblemon:is_magical</x:t>
        </x:is>
      </x:c>
      <x:c r="AA177" s="5" t="inlineStr">
        <x:is>
          <x:t xml:space="preserve">uncommon</x:t>
        </x:is>
      </x:c>
      <x:c r="AB177" s="5" t="inlineStr">
        <x:is>
          <x:t xml:space="preserve">예</x:t>
        </x:is>
      </x:c>
      <x:c r="AC177" s="8" t="str">
        <x:f>IF(T177&lt;&gt;"","수동확정",IF(X177="검토필요","검토필요",IF(S177="","원본없음","초기완료")))</x:f>
        <x:v>검토필요</x:v>
      </x:c>
      <x:c r="AD177" s="7" t="inlineStr">
        <x:is>
          <x:t xml:space="preserve"/>
        </x:is>
      </x:c>
      <x:c r="AE177" s="5" t="inlineStr">
        <x:is>
          <x:t xml:space="preserve">.tmp/cobblemon-1.7.3-source/common/src/main/resources/data/cobblemon/species/generation2/cleffa.json</x:t>
        </x:is>
      </x:c>
      <x:c r="AF177" s="5" t="str">
        <x:f>"생활권|"&amp;K177</x:f>
        <x:v>생활권|육상</x:v>
      </x:c>
      <x:c r="AG177" s="5" t="str">
        <x:f>"지형|"&amp;L177</x:f>
        <x:v>지형|동굴</x:v>
      </x:c>
      <x:c r="AH177" s="5" t="str">
        <x:f>"온도|"&amp;M177</x:f>
        <x:v>온도|온대</x:v>
      </x:c>
      <x:c r="AI177" s="5" t="str">
        <x:f>"습도|"&amp;N177</x:f>
        <x:v>습도|보통</x:v>
      </x:c>
      <x:c r="AJ177" s="5" t="str">
        <x:f>"날씨|"&amp;O177</x:f>
        <x:v>날씨|무관</x:v>
      </x:c>
      <x:c r="AK177" s="5" t="str">
        <x:f>"특수태그|"&amp;R177</x:f>
        <x:v>특수태그|동굴</x:v>
      </x:c>
      <x:c r="AL177" s="5" t="str">
        <x:f>"원본서식지|"&amp;S177</x:f>
        <x:v>원본서식지|동굴</x:v>
      </x:c>
      <x:c r="AM177" s="5" t="str">
        <x:f>"타입|"&amp;F177</x:f>
        <x:v>타입|페어리</x:v>
      </x:c>
      <x:c r="AN177" s="5" t="str">
        <x:f>"타입|"&amp;G177</x:f>
        <x:v>타입|</x:v>
      </x:c>
    </x:row>
    <x:row r="178" ht="24" customHeight="1">
      <x:c r="A178" s="5" t="n">
        <x:v>174</x:v>
      </x:c>
      <x:c r="B178" s="5" t="inlineStr">
        <x:is>
          <x:t xml:space="preserve">푸푸린</x:t>
        </x:is>
      </x:c>
      <x:c r="C178" s="5" t="inlineStr">
        <x:is>
          <x:t xml:space="preserve">igglybuff</x:t>
        </x:is>
      </x:c>
      <x:c r="D178" s="5" t="inlineStr">
        <x:is>
          <x:t xml:space="preserve">Igglybuff</x:t>
        </x:is>
      </x:c>
      <x:c r="E178" s="5" t="n">
        <x:v>2</x:v>
      </x:c>
      <x:c r="F178" s="5" t="inlineStr">
        <x:is>
          <x:t xml:space="preserve">노말</x:t>
        </x:is>
      </x:c>
      <x:c r="G178" s="5" t="inlineStr">
        <x:is>
          <x:t xml:space="preserve">페어리</x:t>
        </x:is>
      </x:c>
      <x:c r="H178" s="6" t="n">
        <x:v>1</x:v>
      </x:c>
      <x:c r="I178" s="5" t="n"/>
      <x:c r="J178" s="5" t="inlineStr">
        <x:is>
          <x:t xml:space="preserve">기본</x:t>
        </x:is>
      </x:c>
      <x:c r="K178" s="7" t="inlineStr">
        <x:is>
          <x:t xml:space="preserve">비행</x:t>
        </x:is>
      </x:c>
      <x:c r="L178" s="7" t="inlineStr">
        <x:is>
          <x:t xml:space="preserve">개활지</x:t>
        </x:is>
      </x:c>
      <x:c r="M178" s="7" t="inlineStr">
        <x:is>
          <x:t xml:space="preserve">온대</x:t>
        </x:is>
      </x:c>
      <x:c r="N178" s="7" t="inlineStr">
        <x:is>
          <x:t xml:space="preserve">보통</x:t>
        </x:is>
      </x:c>
      <x:c r="O178" s="7" t="inlineStr">
        <x:is>
          <x:t xml:space="preserve">무관</x:t>
        </x:is>
      </x:c>
      <x:c r="P178" s="7" t="inlineStr">
        <x:is>
          <x:t xml:space="preserve">무관</x:t>
        </x:is>
      </x:c>
      <x:c r="Q178" s="7" t="inlineStr">
        <x:is>
          <x:t xml:space="preserve">흔함</x:t>
        </x:is>
      </x:c>
      <x:c r="R178" s="7" t="inlineStr">
        <x:is>
          <x:t xml:space="preserve">없음</x:t>
        </x:is>
      </x:c>
      <x:c r="S178" s="7" t="inlineStr">
        <x:is>
          <x:t xml:space="preserve">평원</x:t>
        </x:is>
      </x:c>
      <x:c r="T178" s="7" t="inlineStr">
        <x:is>
          <x:t xml:space="preserve"/>
        </x:is>
      </x:c>
      <x:c r="U178" s="8" t="str">
        <x:f>INDEX('서식지_점수'!$E$4:$P$4,1,MATCH(MAX('서식지_점수'!E178:P178),'서식지_점수'!E178:P178,0))</x:f>
        <x:v>산악</x:v>
      </x:c>
      <x:c r="V178" s="8" t="str">
        <x:f>IF(T178&lt;&gt;"",T178,U178)</x:f>
        <x:v>산악</x:v>
      </x:c>
      <x:c r="W178" s="8" t="str">
        <x:f>IFERROR(INDEX('서식지_점수'!$E$4:$P$4,1,MATCH(MAXIFS('서식지_점수'!E178:P178,'서식지_점수'!E178:P178,"&lt;"&amp;MAX('서식지_점수'!E178:P178)),'서식지_점수'!E178:P178,0)),"")</x:f>
        <x:v>평원</x:v>
      </x:c>
      <x:c r="X178" s="8" t="str">
        <x:f>IF(T178&lt;&gt;"","수동확정",IF(MAX('서식지_점수'!E178:P178)-LARGE('서식지_점수'!E178:P178,2)&gt;=15,"높음",IF(MAX('서식지_점수'!E178:P178)-LARGE('서식지_점수'!E178:P178,2)&gt;=8,"보통","검토필요")))</x:f>
        <x:v>검토필요</x:v>
      </x:c>
      <x:c r="Y178" s="9" t="n">
        <x:f>IF(Q178="전설",8,IF(Q178="희귀",7,IF(J178="기본",1,IF(J178="중간",3,IF(J178="최종",IF(I178="",5,IF(I178&lt;=20,3,IF(I178&lt;=35,4,IF(I178&lt;=50,6,7)))),IF(Q178="드묾",4,2))))))</x:f>
        <x:v>1</x:v>
      </x:c>
      <x:c r="Z178" s="5" t="inlineStr">
        <x:is>
          <x:t xml:space="preserve">#cobblemon:is_floral; #cobblemon:is_plains; aether:skyroot_grove; aether:skyroot_meadow</x:t>
        </x:is>
      </x:c>
      <x:c r="AA178" s="5" t="inlineStr">
        <x:is>
          <x:t xml:space="preserve">common</x:t>
        </x:is>
      </x:c>
      <x:c r="AB178" s="5" t="inlineStr">
        <x:is>
          <x:t xml:space="preserve">예</x:t>
        </x:is>
      </x:c>
      <x:c r="AC178" s="8" t="str">
        <x:f>IF(T178&lt;&gt;"","수동확정",IF(X178="검토필요","검토필요",IF(S178="","원본없음","초기완료")))</x:f>
        <x:v>검토필요</x:v>
      </x:c>
      <x:c r="AD178" s="7" t="inlineStr">
        <x:is>
          <x:t xml:space="preserve"/>
        </x:is>
      </x:c>
      <x:c r="AE178" s="5" t="inlineStr">
        <x:is>
          <x:t xml:space="preserve">.tmp/cobblemon-1.7.3-source/common/src/main/resources/data/cobblemon/species/generation2/igglybuff.json</x:t>
        </x:is>
      </x:c>
      <x:c r="AF178" s="5" t="str">
        <x:f>"생활권|"&amp;K178</x:f>
        <x:v>생활권|비행</x:v>
      </x:c>
      <x:c r="AG178" s="5" t="str">
        <x:f>"지형|"&amp;L178</x:f>
        <x:v>지형|개활지</x:v>
      </x:c>
      <x:c r="AH178" s="5" t="str">
        <x:f>"온도|"&amp;M178</x:f>
        <x:v>온도|온대</x:v>
      </x:c>
      <x:c r="AI178" s="5" t="str">
        <x:f>"습도|"&amp;N178</x:f>
        <x:v>습도|보통</x:v>
      </x:c>
      <x:c r="AJ178" s="5" t="str">
        <x:f>"날씨|"&amp;O178</x:f>
        <x:v>날씨|무관</x:v>
      </x:c>
      <x:c r="AK178" s="5" t="str">
        <x:f>"특수태그|"&amp;R178</x:f>
        <x:v>특수태그|없음</x:v>
      </x:c>
      <x:c r="AL178" s="5" t="str">
        <x:f>"원본서식지|"&amp;S178</x:f>
        <x:v>원본서식지|평원</x:v>
      </x:c>
      <x:c r="AM178" s="5" t="str">
        <x:f>"타입|"&amp;F178</x:f>
        <x:v>타입|노말</x:v>
      </x:c>
      <x:c r="AN178" s="5" t="str">
        <x:f>"타입|"&amp;G178</x:f>
        <x:v>타입|페어리</x:v>
      </x:c>
    </x:row>
    <x:row r="179" ht="24" customHeight="1">
      <x:c r="A179" s="5" t="n">
        <x:v>175</x:v>
      </x:c>
      <x:c r="B179" s="5" t="inlineStr">
        <x:is>
          <x:t xml:space="preserve">토게피</x:t>
        </x:is>
      </x:c>
      <x:c r="C179" s="5" t="inlineStr">
        <x:is>
          <x:t xml:space="preserve">togepi</x:t>
        </x:is>
      </x:c>
      <x:c r="D179" s="5" t="inlineStr">
        <x:is>
          <x:t xml:space="preserve">Togepi</x:t>
        </x:is>
      </x:c>
      <x:c r="E179" s="5" t="n">
        <x:v>2</x:v>
      </x:c>
      <x:c r="F179" s="5" t="inlineStr">
        <x:is>
          <x:t xml:space="preserve">페어리</x:t>
        </x:is>
      </x:c>
      <x:c r="G179" s="5" t="inlineStr">
        <x:is>
          <x:t xml:space="preserve"/>
        </x:is>
      </x:c>
      <x:c r="H179" s="6" t="n">
        <x:v>1.5</x:v>
      </x:c>
      <x:c r="I179" s="5" t="n"/>
      <x:c r="J179" s="5" t="inlineStr">
        <x:is>
          <x:t xml:space="preserve">기본</x:t>
        </x:is>
      </x:c>
      <x:c r="K179" s="7" t="inlineStr">
        <x:is>
          <x:t xml:space="preserve">육상</x:t>
        </x:is>
      </x:c>
      <x:c r="L179" s="7" t="inlineStr">
        <x:is>
          <x:t xml:space="preserve">개활지</x:t>
        </x:is>
      </x:c>
      <x:c r="M179" s="7" t="inlineStr">
        <x:is>
          <x:t xml:space="preserve">온대</x:t>
        </x:is>
      </x:c>
      <x:c r="N179" s="7" t="inlineStr">
        <x:is>
          <x:t xml:space="preserve">보통</x:t>
        </x:is>
      </x:c>
      <x:c r="O179" s="7" t="inlineStr">
        <x:is>
          <x:t xml:space="preserve">무관</x:t>
        </x:is>
      </x:c>
      <x:c r="P179" s="7" t="inlineStr">
        <x:is>
          <x:t xml:space="preserve">낮</x:t>
        </x:is>
      </x:c>
      <x:c r="Q179" s="7" t="inlineStr">
        <x:is>
          <x:t xml:space="preserve">드묾</x:t>
        </x:is>
      </x:c>
      <x:c r="R179" s="7" t="inlineStr">
        <x:is>
          <x:t xml:space="preserve">없음</x:t>
        </x:is>
      </x:c>
      <x:c r="S179" s="7" t="inlineStr">
        <x:is>
          <x:t xml:space="preserve">평원</x:t>
        </x:is>
      </x:c>
      <x:c r="T179" s="7" t="inlineStr">
        <x:is>
          <x:t xml:space="preserve"/>
        </x:is>
      </x:c>
      <x:c r="U179" s="8" t="str">
        <x:f>INDEX('서식지_점수'!$E$4:$P$4,1,MATCH(MAX('서식지_점수'!E179:P179),'서식지_점수'!E179:P179,0))</x:f>
        <x:v>평원</x:v>
      </x:c>
      <x:c r="V179" s="8" t="str">
        <x:f>IF(T179&lt;&gt;"",T179,U179)</x:f>
        <x:v>평원</x:v>
      </x:c>
      <x:c r="W179" s="8" t="str">
        <x:f>IFERROR(INDEX('서식지_점수'!$E$4:$P$4,1,MATCH(MAXIFS('서식지_점수'!E179:P179,'서식지_점수'!E179:P179,"&lt;"&amp;MAX('서식지_점수'!E179:P179)),'서식지_점수'!E179:P179,0)),"")</x:f>
        <x:v>숲</x:v>
      </x:c>
      <x:c r="X179" s="8" t="str">
        <x:f>IF(T179&lt;&gt;"","수동확정",IF(MAX('서식지_점수'!E179:P179)-LARGE('서식지_점수'!E179:P179,2)&gt;=15,"높음",IF(MAX('서식지_점수'!E179:P179)-LARGE('서식지_점수'!E179:P179,2)&gt;=8,"보통","검토필요")))</x:f>
        <x:v>검토필요</x:v>
      </x:c>
      <x:c r="Y179" s="9" t="n">
        <x:f>IF(Q179="전설",8,IF(Q179="희귀",7,IF(J179="기본",1,IF(J179="중간",3,IF(J179="최종",IF(I179="",5,IF(I179&lt;=20,3,IF(I179&lt;=35,4,IF(I179&lt;=50,6,7)))),IF(Q179="드묾",4,2))))))</x:f>
        <x:v>1</x:v>
      </x:c>
      <x:c r="Z179" s="5" t="inlineStr">
        <x:is>
          <x:t xml:space="preserve">#cobblemon:is_floral; #cobblemon:is_magical; #cobblemon:is_sky; aether:skyroot_grove; aether:skyroot_meadow; the_bumblezone:floral_meadow</x:t>
        </x:is>
      </x:c>
      <x:c r="AA179" s="5" t="inlineStr">
        <x:is>
          <x:t xml:space="preserve">rare</x:t>
        </x:is>
      </x:c>
      <x:c r="AB179" s="5" t="inlineStr">
        <x:is>
          <x:t xml:space="preserve">예</x:t>
        </x:is>
      </x:c>
      <x:c r="AC179" s="8" t="str">
        <x:f>IF(T179&lt;&gt;"","수동확정",IF(X179="검토필요","검토필요",IF(S179="","원본없음","초기완료")))</x:f>
        <x:v>검토필요</x:v>
      </x:c>
      <x:c r="AD179" s="7" t="inlineStr">
        <x:is>
          <x:t xml:space="preserve"/>
        </x:is>
      </x:c>
      <x:c r="AE179" s="5" t="inlineStr">
        <x:is>
          <x:t xml:space="preserve">.tmp/cobblemon-1.7.3-source/common/src/main/resources/data/cobblemon/species/generation2/togepi.json</x:t>
        </x:is>
      </x:c>
      <x:c r="AF179" s="5" t="str">
        <x:f>"생활권|"&amp;K179</x:f>
        <x:v>생활권|육상</x:v>
      </x:c>
      <x:c r="AG179" s="5" t="str">
        <x:f>"지형|"&amp;L179</x:f>
        <x:v>지형|개활지</x:v>
      </x:c>
      <x:c r="AH179" s="5" t="str">
        <x:f>"온도|"&amp;M179</x:f>
        <x:v>온도|온대</x:v>
      </x:c>
      <x:c r="AI179" s="5" t="str">
        <x:f>"습도|"&amp;N179</x:f>
        <x:v>습도|보통</x:v>
      </x:c>
      <x:c r="AJ179" s="5" t="str">
        <x:f>"날씨|"&amp;O179</x:f>
        <x:v>날씨|무관</x:v>
      </x:c>
      <x:c r="AK179" s="5" t="str">
        <x:f>"특수태그|"&amp;R179</x:f>
        <x:v>특수태그|없음</x:v>
      </x:c>
      <x:c r="AL179" s="5" t="str">
        <x:f>"원본서식지|"&amp;S179</x:f>
        <x:v>원본서식지|평원</x:v>
      </x:c>
      <x:c r="AM179" s="5" t="str">
        <x:f>"타입|"&amp;F179</x:f>
        <x:v>타입|페어리</x:v>
      </x:c>
      <x:c r="AN179" s="5" t="str">
        <x:f>"타입|"&amp;G179</x:f>
        <x:v>타입|</x:v>
      </x:c>
    </x:row>
    <x:row r="180" ht="24" customHeight="1">
      <x:c r="A180" s="5" t="n">
        <x:v>176</x:v>
      </x:c>
      <x:c r="B180" s="5" t="inlineStr">
        <x:is>
          <x:t xml:space="preserve">토게틱</x:t>
        </x:is>
      </x:c>
      <x:c r="C180" s="5" t="inlineStr">
        <x:is>
          <x:t xml:space="preserve">togetic</x:t>
        </x:is>
      </x:c>
      <x:c r="D180" s="5" t="inlineStr">
        <x:is>
          <x:t xml:space="preserve">Togetic</x:t>
        </x:is>
      </x:c>
      <x:c r="E180" s="5" t="n">
        <x:v>2</x:v>
      </x:c>
      <x:c r="F180" s="5" t="inlineStr">
        <x:is>
          <x:t xml:space="preserve">페어리</x:t>
        </x:is>
      </x:c>
      <x:c r="G180" s="5" t="inlineStr">
        <x:is>
          <x:t xml:space="preserve">비행</x:t>
        </x:is>
      </x:c>
      <x:c r="H180" s="6" t="n">
        <x:v>3.2</x:v>
      </x:c>
      <x:c r="I180" s="5" t="n"/>
      <x:c r="J180" s="5" t="inlineStr">
        <x:is>
          <x:t xml:space="preserve">중간</x:t>
        </x:is>
      </x:c>
      <x:c r="K180" s="7" t="inlineStr">
        <x:is>
          <x:t xml:space="preserve">비행</x:t>
        </x:is>
      </x:c>
      <x:c r="L180" s="7" t="inlineStr">
        <x:is>
          <x:t xml:space="preserve">개활지</x:t>
        </x:is>
      </x:c>
      <x:c r="M180" s="7" t="inlineStr">
        <x:is>
          <x:t xml:space="preserve">온대</x:t>
        </x:is>
      </x:c>
      <x:c r="N180" s="7" t="inlineStr">
        <x:is>
          <x:t xml:space="preserve">보통</x:t>
        </x:is>
      </x:c>
      <x:c r="O180" s="7" t="inlineStr">
        <x:is>
          <x:t xml:space="preserve">무관</x:t>
        </x:is>
      </x:c>
      <x:c r="P180" s="7" t="inlineStr">
        <x:is>
          <x:t xml:space="preserve">낮</x:t>
        </x:is>
      </x:c>
      <x:c r="Q180" s="7" t="inlineStr">
        <x:is>
          <x:t xml:space="preserve">드묾</x:t>
        </x:is>
      </x:c>
      <x:c r="R180" s="7" t="inlineStr">
        <x:is>
          <x:t xml:space="preserve">없음</x:t>
        </x:is>
      </x:c>
      <x:c r="S180" s="7" t="inlineStr">
        <x:is>
          <x:t xml:space="preserve">평원</x:t>
        </x:is>
      </x:c>
      <x:c r="T180" s="7" t="inlineStr">
        <x:is>
          <x:t xml:space="preserve"/>
        </x:is>
      </x:c>
      <x:c r="U180" s="8" t="str">
        <x:f>INDEX('서식지_점수'!$E$4:$P$4,1,MATCH(MAX('서식지_점수'!E180:P180),'서식지_점수'!E180:P180,0))</x:f>
        <x:v>산악</x:v>
      </x:c>
      <x:c r="V180" s="8" t="str">
        <x:f>IF(T180&lt;&gt;"",T180,U180)</x:f>
        <x:v>산악</x:v>
      </x:c>
      <x:c r="W180" s="8" t="str">
        <x:f>IFERROR(INDEX('서식지_점수'!$E$4:$P$4,1,MATCH(MAXIFS('서식지_점수'!E180:P180,'서식지_점수'!E180:P180,"&lt;"&amp;MAX('서식지_점수'!E180:P180)),'서식지_점수'!E180:P180,0)),"")</x:f>
        <x:v>평원</x:v>
      </x:c>
      <x:c r="X180" s="8" t="str">
        <x:f>IF(T180&lt;&gt;"","수동확정",IF(MAX('서식지_점수'!E180:P180)-LARGE('서식지_점수'!E180:P180,2)&gt;=15,"높음",IF(MAX('서식지_점수'!E180:P180)-LARGE('서식지_점수'!E180:P180,2)&gt;=8,"보통","검토필요")))</x:f>
        <x:v>검토필요</x:v>
      </x:c>
      <x:c r="Y180" s="9" t="n">
        <x:f>IF(Q180="전설",8,IF(Q180="희귀",7,IF(J180="기본",1,IF(J180="중간",3,IF(J180="최종",IF(I180="",5,IF(I180&lt;=20,3,IF(I180&lt;=35,4,IF(I180&lt;=50,6,7)))),IF(Q180="드묾",4,2))))))</x:f>
        <x:v>3</x:v>
      </x:c>
      <x:c r="Z180" s="5" t="inlineStr">
        <x:is>
          <x:t xml:space="preserve">#cobblemon:is_floral; #cobblemon:is_magical; #cobblemon:is_sky; aether:skyroot_grove; aether:skyroot_meadow; the_bumblezone:floral_meadow</x:t>
        </x:is>
      </x:c>
      <x:c r="AA180" s="5" t="inlineStr">
        <x:is>
          <x:t xml:space="preserve">rare</x:t>
        </x:is>
      </x:c>
      <x:c r="AB180" s="5" t="inlineStr">
        <x:is>
          <x:t xml:space="preserve">예</x:t>
        </x:is>
      </x:c>
      <x:c r="AC180" s="8" t="str">
        <x:f>IF(T180&lt;&gt;"","수동확정",IF(X180="검토필요","검토필요",IF(S180="","원본없음","초기완료")))</x:f>
        <x:v>검토필요</x:v>
      </x:c>
      <x:c r="AD180" s="7" t="inlineStr">
        <x:is>
          <x:t xml:space="preserve"/>
        </x:is>
      </x:c>
      <x:c r="AE180" s="5" t="inlineStr">
        <x:is>
          <x:t xml:space="preserve">.tmp/cobblemon-1.7.3-source/common/src/main/resources/data/cobblemon/species/generation2/togetic.json</x:t>
        </x:is>
      </x:c>
      <x:c r="AF180" s="5" t="str">
        <x:f>"생활권|"&amp;K180</x:f>
        <x:v>생활권|비행</x:v>
      </x:c>
      <x:c r="AG180" s="5" t="str">
        <x:f>"지형|"&amp;L180</x:f>
        <x:v>지형|개활지</x:v>
      </x:c>
      <x:c r="AH180" s="5" t="str">
        <x:f>"온도|"&amp;M180</x:f>
        <x:v>온도|온대</x:v>
      </x:c>
      <x:c r="AI180" s="5" t="str">
        <x:f>"습도|"&amp;N180</x:f>
        <x:v>습도|보통</x:v>
      </x:c>
      <x:c r="AJ180" s="5" t="str">
        <x:f>"날씨|"&amp;O180</x:f>
        <x:v>날씨|무관</x:v>
      </x:c>
      <x:c r="AK180" s="5" t="str">
        <x:f>"특수태그|"&amp;R180</x:f>
        <x:v>특수태그|없음</x:v>
      </x:c>
      <x:c r="AL180" s="5" t="str">
        <x:f>"원본서식지|"&amp;S180</x:f>
        <x:v>원본서식지|평원</x:v>
      </x:c>
      <x:c r="AM180" s="5" t="str">
        <x:f>"타입|"&amp;F180</x:f>
        <x:v>타입|페어리</x:v>
      </x:c>
      <x:c r="AN180" s="5" t="str">
        <x:f>"타입|"&amp;G180</x:f>
        <x:v>타입|비행</x:v>
      </x:c>
    </x:row>
    <x:row r="181" ht="24" customHeight="1">
      <x:c r="A181" s="5" t="n">
        <x:v>177</x:v>
      </x:c>
      <x:c r="B181" s="5" t="inlineStr">
        <x:is>
          <x:t xml:space="preserve">네이티</x:t>
        </x:is>
      </x:c>
      <x:c r="C181" s="5" t="inlineStr">
        <x:is>
          <x:t xml:space="preserve">natu</x:t>
        </x:is>
      </x:c>
      <x:c r="D181" s="5" t="inlineStr">
        <x:is>
          <x:t xml:space="preserve">Natu</x:t>
        </x:is>
      </x:c>
      <x:c r="E181" s="5" t="n">
        <x:v>2</x:v>
      </x:c>
      <x:c r="F181" s="5" t="inlineStr">
        <x:is>
          <x:t xml:space="preserve">에스퍼</x:t>
        </x:is>
      </x:c>
      <x:c r="G181" s="5" t="inlineStr">
        <x:is>
          <x:t xml:space="preserve">비행</x:t>
        </x:is>
      </x:c>
      <x:c r="H181" s="6" t="n">
        <x:v>2</x:v>
      </x:c>
      <x:c r="I181" s="5" t="n">
        <x:v>25</x:v>
      </x:c>
      <x:c r="J181" s="5" t="inlineStr">
        <x:is>
          <x:t xml:space="preserve">기본</x:t>
        </x:is>
      </x:c>
      <x:c r="K181" s="7" t="inlineStr">
        <x:is>
          <x:t xml:space="preserve">비행</x:t>
        </x:is>
      </x:c>
      <x:c r="L181" s="7" t="inlineStr">
        <x:is>
          <x:t xml:space="preserve">건조</x:t>
        </x:is>
      </x:c>
      <x:c r="M181" s="7" t="inlineStr">
        <x:is>
          <x:t xml:space="preserve">고온</x:t>
        </x:is>
      </x:c>
      <x:c r="N181" s="7" t="inlineStr">
        <x:is>
          <x:t xml:space="preserve">건조</x:t>
        </x:is>
      </x:c>
      <x:c r="O181" s="7" t="inlineStr">
        <x:is>
          <x:t xml:space="preserve">맑음</x:t>
        </x:is>
      </x:c>
      <x:c r="P181" s="7" t="inlineStr">
        <x:is>
          <x:t xml:space="preserve">낮</x:t>
        </x:is>
      </x:c>
      <x:c r="Q181" s="7" t="inlineStr">
        <x:is>
          <x:t xml:space="preserve">흔함</x:t>
        </x:is>
      </x:c>
      <x:c r="R181" s="7" t="inlineStr">
        <x:is>
          <x:t xml:space="preserve">없음</x:t>
        </x:is>
      </x:c>
      <x:c r="S181" s="7" t="inlineStr">
        <x:is>
          <x:t xml:space="preserve">건조지</x:t>
        </x:is>
      </x:c>
      <x:c r="T181" s="7" t="inlineStr">
        <x:is>
          <x:t xml:space="preserve"/>
        </x:is>
      </x:c>
      <x:c r="U181" s="8" t="str">
        <x:f>INDEX('서식지_점수'!$E$4:$P$4,1,MATCH(MAX('서식지_점수'!E181:P181),'서식지_점수'!E181:P181,0))</x:f>
        <x:v>산악</x:v>
      </x:c>
      <x:c r="V181" s="8" t="str">
        <x:f>IF(T181&lt;&gt;"",T181,U181)</x:f>
        <x:v>산악</x:v>
      </x:c>
      <x:c r="W181" s="8" t="str">
        <x:f>IFERROR(INDEX('서식지_점수'!$E$4:$P$4,1,MATCH(MAXIFS('서식지_점수'!E181:P181,'서식지_점수'!E181:P181,"&lt;"&amp;MAX('서식지_점수'!E181:P181)),'서식지_점수'!E181:P181,0)),"")</x:f>
        <x:v>평원</x:v>
      </x:c>
      <x:c r="X181" s="8" t="str">
        <x:f>IF(T181&lt;&gt;"","수동확정",IF(MAX('서식지_점수'!E181:P181)-LARGE('서식지_점수'!E181:P181,2)&gt;=15,"높음",IF(MAX('서식지_점수'!E181:P181)-LARGE('서식지_점수'!E181:P181,2)&gt;=8,"보통","검토필요")))</x:f>
        <x:v>검토필요</x:v>
      </x:c>
      <x:c r="Y181" s="9" t="n">
        <x:f>IF(Q181="전설",8,IF(Q181="희귀",7,IF(J181="기본",1,IF(J181="중간",3,IF(J181="최종",IF(I181="",5,IF(I181&lt;=20,3,IF(I181&lt;=35,4,IF(I181&lt;=50,6,7)))),IF(Q181="드묾",4,2))))))</x:f>
        <x:v>1</x:v>
      </x:c>
      <x:c r="Z181" s="5" t="inlineStr">
        <x:is>
          <x:t xml:space="preserve">#cobblemon:is_badlands; #cobblemon:is_overworld; #cobblemon:is_plateau</x:t>
        </x:is>
      </x:c>
      <x:c r="AA181" s="5" t="inlineStr">
        <x:is>
          <x:t xml:space="preserve">common</x:t>
        </x:is>
      </x:c>
      <x:c r="AB181" s="5" t="inlineStr">
        <x:is>
          <x:t xml:space="preserve">예</x:t>
        </x:is>
      </x:c>
      <x:c r="AC181" s="8" t="str">
        <x:f>IF(T181&lt;&gt;"","수동확정",IF(X181="검토필요","검토필요",IF(S181="","원본없음","초기완료")))</x:f>
        <x:v>검토필요</x:v>
      </x:c>
      <x:c r="AD181" s="7" t="inlineStr">
        <x:is>
          <x:t xml:space="preserve"/>
        </x:is>
      </x:c>
      <x:c r="AE181" s="5" t="inlineStr">
        <x:is>
          <x:t xml:space="preserve">.tmp/cobblemon-1.7.3-source/common/src/main/resources/data/cobblemon/species/generation2/natu.json</x:t>
        </x:is>
      </x:c>
      <x:c r="AF181" s="5" t="str">
        <x:f>"생활권|"&amp;K181</x:f>
        <x:v>생활권|비행</x:v>
      </x:c>
      <x:c r="AG181" s="5" t="str">
        <x:f>"지형|"&amp;L181</x:f>
        <x:v>지형|건조</x:v>
      </x:c>
      <x:c r="AH181" s="5" t="str">
        <x:f>"온도|"&amp;M181</x:f>
        <x:v>온도|고온</x:v>
      </x:c>
      <x:c r="AI181" s="5" t="str">
        <x:f>"습도|"&amp;N181</x:f>
        <x:v>습도|건조</x:v>
      </x:c>
      <x:c r="AJ181" s="5" t="str">
        <x:f>"날씨|"&amp;O181</x:f>
        <x:v>날씨|맑음</x:v>
      </x:c>
      <x:c r="AK181" s="5" t="str">
        <x:f>"특수태그|"&amp;R181</x:f>
        <x:v>특수태그|없음</x:v>
      </x:c>
      <x:c r="AL181" s="5" t="str">
        <x:f>"원본서식지|"&amp;S181</x:f>
        <x:v>원본서식지|건조지</x:v>
      </x:c>
      <x:c r="AM181" s="5" t="str">
        <x:f>"타입|"&amp;F181</x:f>
        <x:v>타입|에스퍼</x:v>
      </x:c>
      <x:c r="AN181" s="5" t="str">
        <x:f>"타입|"&amp;G181</x:f>
        <x:v>타입|비행</x:v>
      </x:c>
    </x:row>
    <x:row r="182" ht="24" customHeight="1">
      <x:c r="A182" s="5" t="n">
        <x:v>178</x:v>
      </x:c>
      <x:c r="B182" s="5" t="inlineStr">
        <x:is>
          <x:t xml:space="preserve">네이티오</x:t>
        </x:is>
      </x:c>
      <x:c r="C182" s="5" t="inlineStr">
        <x:is>
          <x:t xml:space="preserve">xatu</x:t>
        </x:is>
      </x:c>
      <x:c r="D182" s="5" t="inlineStr">
        <x:is>
          <x:t xml:space="preserve">Xatu</x:t>
        </x:is>
      </x:c>
      <x:c r="E182" s="5" t="n">
        <x:v>2</x:v>
      </x:c>
      <x:c r="F182" s="5" t="inlineStr">
        <x:is>
          <x:t xml:space="preserve">에스퍼</x:t>
        </x:is>
      </x:c>
      <x:c r="G182" s="5" t="inlineStr">
        <x:is>
          <x:t xml:space="preserve">비행</x:t>
        </x:is>
      </x:c>
      <x:c r="H182" s="6" t="n">
        <x:v>15</x:v>
      </x:c>
      <x:c r="I182" s="5" t="n">
        <x:v>25</x:v>
      </x:c>
      <x:c r="J182" s="5" t="inlineStr">
        <x:is>
          <x:t xml:space="preserve">최종</x:t>
        </x:is>
      </x:c>
      <x:c r="K182" s="7" t="inlineStr">
        <x:is>
          <x:t xml:space="preserve">비행</x:t>
        </x:is>
      </x:c>
      <x:c r="L182" s="7" t="inlineStr">
        <x:is>
          <x:t xml:space="preserve">건조</x:t>
        </x:is>
      </x:c>
      <x:c r="M182" s="7" t="inlineStr">
        <x:is>
          <x:t xml:space="preserve">고온</x:t>
        </x:is>
      </x:c>
      <x:c r="N182" s="7" t="inlineStr">
        <x:is>
          <x:t xml:space="preserve">건조</x:t>
        </x:is>
      </x:c>
      <x:c r="O182" s="7" t="inlineStr">
        <x:is>
          <x:t xml:space="preserve">맑음</x:t>
        </x:is>
      </x:c>
      <x:c r="P182" s="7" t="inlineStr">
        <x:is>
          <x:t xml:space="preserve">낮</x:t>
        </x:is>
      </x:c>
      <x:c r="Q182" s="7" t="inlineStr">
        <x:is>
          <x:t xml:space="preserve">흔함</x:t>
        </x:is>
      </x:c>
      <x:c r="R182" s="7" t="inlineStr">
        <x:is>
          <x:t xml:space="preserve">없음</x:t>
        </x:is>
      </x:c>
      <x:c r="S182" s="7" t="inlineStr">
        <x:is>
          <x:t xml:space="preserve">건조지</x:t>
        </x:is>
      </x:c>
      <x:c r="T182" s="7" t="inlineStr">
        <x:is>
          <x:t xml:space="preserve"/>
        </x:is>
      </x:c>
      <x:c r="U182" s="8" t="str">
        <x:f>INDEX('서식지_점수'!$E$4:$P$4,1,MATCH(MAX('서식지_점수'!E182:P182),'서식지_점수'!E182:P182,0))</x:f>
        <x:v>산악</x:v>
      </x:c>
      <x:c r="V182" s="8" t="str">
        <x:f>IF(T182&lt;&gt;"",T182,U182)</x:f>
        <x:v>산악</x:v>
      </x:c>
      <x:c r="W182" s="8" t="str">
        <x:f>IFERROR(INDEX('서식지_점수'!$E$4:$P$4,1,MATCH(MAXIFS('서식지_점수'!E182:P182,'서식지_점수'!E182:P182,"&lt;"&amp;MAX('서식지_점수'!E182:P182)),'서식지_점수'!E182:P182,0)),"")</x:f>
        <x:v>평원</x:v>
      </x:c>
      <x:c r="X182" s="8" t="str">
        <x:f>IF(T182&lt;&gt;"","수동확정",IF(MAX('서식지_점수'!E182:P182)-LARGE('서식지_점수'!E182:P182,2)&gt;=15,"높음",IF(MAX('서식지_점수'!E182:P182)-LARGE('서식지_점수'!E182:P182,2)&gt;=8,"보통","검토필요")))</x:f>
        <x:v>검토필요</x:v>
      </x:c>
      <x:c r="Y182" s="9" t="n">
        <x:f>IF(Q182="전설",8,IF(Q182="희귀",7,IF(J182="기본",1,IF(J182="중간",3,IF(J182="최종",IF(I182="",5,IF(I182&lt;=20,3,IF(I182&lt;=35,4,IF(I182&lt;=50,6,7)))),IF(Q182="드묾",4,2))))))</x:f>
        <x:v>4</x:v>
      </x:c>
      <x:c r="Z182" s="5" t="inlineStr">
        <x:is>
          <x:t xml:space="preserve">#cobblemon:is_badlands; #cobblemon:is_overworld; #cobblemon:is_plateau</x:t>
        </x:is>
      </x:c>
      <x:c r="AA182" s="5" t="inlineStr">
        <x:is>
          <x:t xml:space="preserve">common</x:t>
        </x:is>
      </x:c>
      <x:c r="AB182" s="5" t="inlineStr">
        <x:is>
          <x:t xml:space="preserve">예</x:t>
        </x:is>
      </x:c>
      <x:c r="AC182" s="8" t="str">
        <x:f>IF(T182&lt;&gt;"","수동확정",IF(X182="검토필요","검토필요",IF(S182="","원본없음","초기완료")))</x:f>
        <x:v>검토필요</x:v>
      </x:c>
      <x:c r="AD182" s="7" t="inlineStr">
        <x:is>
          <x:t xml:space="preserve"/>
        </x:is>
      </x:c>
      <x:c r="AE182" s="5" t="inlineStr">
        <x:is>
          <x:t xml:space="preserve">.tmp/cobblemon-1.7.3-source/common/src/main/resources/data/cobblemon/species/generation2/xatu.json</x:t>
        </x:is>
      </x:c>
      <x:c r="AF182" s="5" t="str">
        <x:f>"생활권|"&amp;K182</x:f>
        <x:v>생활권|비행</x:v>
      </x:c>
      <x:c r="AG182" s="5" t="str">
        <x:f>"지형|"&amp;L182</x:f>
        <x:v>지형|건조</x:v>
      </x:c>
      <x:c r="AH182" s="5" t="str">
        <x:f>"온도|"&amp;M182</x:f>
        <x:v>온도|고온</x:v>
      </x:c>
      <x:c r="AI182" s="5" t="str">
        <x:f>"습도|"&amp;N182</x:f>
        <x:v>습도|건조</x:v>
      </x:c>
      <x:c r="AJ182" s="5" t="str">
        <x:f>"날씨|"&amp;O182</x:f>
        <x:v>날씨|맑음</x:v>
      </x:c>
      <x:c r="AK182" s="5" t="str">
        <x:f>"특수태그|"&amp;R182</x:f>
        <x:v>특수태그|없음</x:v>
      </x:c>
      <x:c r="AL182" s="5" t="str">
        <x:f>"원본서식지|"&amp;S182</x:f>
        <x:v>원본서식지|건조지</x:v>
      </x:c>
      <x:c r="AM182" s="5" t="str">
        <x:f>"타입|"&amp;F182</x:f>
        <x:v>타입|에스퍼</x:v>
      </x:c>
      <x:c r="AN182" s="5" t="str">
        <x:f>"타입|"&amp;G182</x:f>
        <x:v>타입|비행</x:v>
      </x:c>
    </x:row>
    <x:row r="183" ht="24" customHeight="1">
      <x:c r="A183" s="5" t="n">
        <x:v>179</x:v>
      </x:c>
      <x:c r="B183" s="5" t="inlineStr">
        <x:is>
          <x:t xml:space="preserve">메리프</x:t>
        </x:is>
      </x:c>
      <x:c r="C183" s="5" t="inlineStr">
        <x:is>
          <x:t xml:space="preserve">mareep</x:t>
        </x:is>
      </x:c>
      <x:c r="D183" s="5" t="inlineStr">
        <x:is>
          <x:t xml:space="preserve">Mareep</x:t>
        </x:is>
      </x:c>
      <x:c r="E183" s="5" t="n">
        <x:v>2</x:v>
      </x:c>
      <x:c r="F183" s="5" t="inlineStr">
        <x:is>
          <x:t xml:space="preserve">전기</x:t>
        </x:is>
      </x:c>
      <x:c r="G183" s="5" t="inlineStr">
        <x:is>
          <x:t xml:space="preserve"/>
        </x:is>
      </x:c>
      <x:c r="H183" s="6" t="n">
        <x:v>7.8</x:v>
      </x:c>
      <x:c r="I183" s="5" t="n">
        <x:v>30</x:v>
      </x:c>
      <x:c r="J183" s="5" t="inlineStr">
        <x:is>
          <x:t xml:space="preserve">기본</x:t>
        </x:is>
      </x:c>
      <x:c r="K183" s="7" t="inlineStr">
        <x:is>
          <x:t xml:space="preserve">육상</x:t>
        </x:is>
      </x:c>
      <x:c r="L183" s="7" t="inlineStr">
        <x:is>
          <x:t xml:space="preserve">암석</x:t>
        </x:is>
      </x:c>
      <x:c r="M183" s="7" t="inlineStr">
        <x:is>
          <x:t xml:space="preserve">온대</x:t>
        </x:is>
      </x:c>
      <x:c r="N183" s="7" t="inlineStr">
        <x:is>
          <x:t xml:space="preserve">보통</x:t>
        </x:is>
      </x:c>
      <x:c r="O183" s="7" t="inlineStr">
        <x:is>
          <x:t xml:space="preserve">무관</x:t>
        </x:is>
      </x:c>
      <x:c r="P183" s="7" t="inlineStr">
        <x:is>
          <x:t xml:space="preserve">무관</x:t>
        </x:is>
      </x:c>
      <x:c r="Q183" s="7" t="inlineStr">
        <x:is>
          <x:t xml:space="preserve">흔함</x:t>
        </x:is>
      </x:c>
      <x:c r="R183" s="7" t="inlineStr">
        <x:is>
          <x:t xml:space="preserve">없음</x:t>
        </x:is>
      </x:c>
      <x:c r="S183" s="7" t="inlineStr">
        <x:is>
          <x:t xml:space="preserve">산악</x:t>
        </x:is>
      </x:c>
      <x:c r="T183" s="7" t="inlineStr">
        <x:is>
          <x:t xml:space="preserve"/>
        </x:is>
      </x:c>
      <x:c r="U183" s="8" t="str">
        <x:f>INDEX('서식지_점수'!$E$4:$P$4,1,MATCH(MAX('서식지_점수'!E183:P183),'서식지_점수'!E183:P183,0))</x:f>
        <x:v>평원</x:v>
      </x:c>
      <x:c r="V183" s="8" t="str">
        <x:f>IF(T183&lt;&gt;"",T183,U183)</x:f>
        <x:v>평원</x:v>
      </x:c>
      <x:c r="W183" s="8" t="str">
        <x:f>IFERROR(INDEX('서식지_점수'!$E$4:$P$4,1,MATCH(MAXIFS('서식지_점수'!E183:P183,'서식지_점수'!E183:P183,"&lt;"&amp;MAX('서식지_점수'!E183:P183)),'서식지_점수'!E183:P183,0)),"")</x:f>
        <x:v>숲</x:v>
      </x:c>
      <x:c r="X183" s="8" t="str">
        <x:f>IF(T183&lt;&gt;"","수동확정",IF(MAX('서식지_점수'!E183:P183)-LARGE('서식지_점수'!E183:P183,2)&gt;=15,"높음",IF(MAX('서식지_점수'!E183:P183)-LARGE('서식지_점수'!E183:P183,2)&gt;=8,"보통","검토필요")))</x:f>
        <x:v>검토필요</x:v>
      </x:c>
      <x:c r="Y183" s="9" t="n">
        <x:f>IF(Q183="전설",8,IF(Q183="희귀",7,IF(J183="기본",1,IF(J183="중간",3,IF(J183="최종",IF(I183="",5,IF(I183&lt;=20,3,IF(I183&lt;=35,4,IF(I183&lt;=50,6,7)))),IF(Q183="드묾",4,2))))))</x:f>
        <x:v>1</x:v>
      </x:c>
      <x:c r="Z183" s="5" t="inlineStr">
        <x:is>
          <x:t xml:space="preserve">#cobblemon:is_highlands; #cobblemon:is_plains</x:t>
        </x:is>
      </x:c>
      <x:c r="AA183" s="5" t="inlineStr">
        <x:is>
          <x:t xml:space="preserve">common</x:t>
        </x:is>
      </x:c>
      <x:c r="AB183" s="5" t="inlineStr">
        <x:is>
          <x:t xml:space="preserve">예</x:t>
        </x:is>
      </x:c>
      <x:c r="AC183" s="8" t="str">
        <x:f>IF(T183&lt;&gt;"","수동확정",IF(X183="검토필요","검토필요",IF(S183="","원본없음","초기완료")))</x:f>
        <x:v>검토필요</x:v>
      </x:c>
      <x:c r="AD183" s="7" t="inlineStr">
        <x:is>
          <x:t xml:space="preserve"/>
        </x:is>
      </x:c>
      <x:c r="AE183" s="5" t="inlineStr">
        <x:is>
          <x:t xml:space="preserve">.tmp/cobblemon-1.7.3-source/common/src/main/resources/data/cobblemon/species/generation2/mareep.json</x:t>
        </x:is>
      </x:c>
      <x:c r="AF183" s="5" t="str">
        <x:f>"생활권|"&amp;K183</x:f>
        <x:v>생활권|육상</x:v>
      </x:c>
      <x:c r="AG183" s="5" t="str">
        <x:f>"지형|"&amp;L183</x:f>
        <x:v>지형|암석</x:v>
      </x:c>
      <x:c r="AH183" s="5" t="str">
        <x:f>"온도|"&amp;M183</x:f>
        <x:v>온도|온대</x:v>
      </x:c>
      <x:c r="AI183" s="5" t="str">
        <x:f>"습도|"&amp;N183</x:f>
        <x:v>습도|보통</x:v>
      </x:c>
      <x:c r="AJ183" s="5" t="str">
        <x:f>"날씨|"&amp;O183</x:f>
        <x:v>날씨|무관</x:v>
      </x:c>
      <x:c r="AK183" s="5" t="str">
        <x:f>"특수태그|"&amp;R183</x:f>
        <x:v>특수태그|없음</x:v>
      </x:c>
      <x:c r="AL183" s="5" t="str">
        <x:f>"원본서식지|"&amp;S183</x:f>
        <x:v>원본서식지|산악</x:v>
      </x:c>
      <x:c r="AM183" s="5" t="str">
        <x:f>"타입|"&amp;F183</x:f>
        <x:v>타입|전기</x:v>
      </x:c>
      <x:c r="AN183" s="5" t="str">
        <x:f>"타입|"&amp;G183</x:f>
        <x:v>타입|</x:v>
      </x:c>
    </x:row>
    <x:row r="184" ht="24" customHeight="1">
      <x:c r="A184" s="5" t="n">
        <x:v>180</x:v>
      </x:c>
      <x:c r="B184" s="5" t="inlineStr">
        <x:is>
          <x:t xml:space="preserve">보송송</x:t>
        </x:is>
      </x:c>
      <x:c r="C184" s="5" t="inlineStr">
        <x:is>
          <x:t xml:space="preserve">flaaffy</x:t>
        </x:is>
      </x:c>
      <x:c r="D184" s="5" t="inlineStr">
        <x:is>
          <x:t xml:space="preserve">Flaaffy</x:t>
        </x:is>
      </x:c>
      <x:c r="E184" s="5" t="n">
        <x:v>2</x:v>
      </x:c>
      <x:c r="F184" s="5" t="inlineStr">
        <x:is>
          <x:t xml:space="preserve">전기</x:t>
        </x:is>
      </x:c>
      <x:c r="G184" s="5" t="inlineStr">
        <x:is>
          <x:t xml:space="preserve"/>
        </x:is>
      </x:c>
      <x:c r="H184" s="6" t="n">
        <x:v>13.3</x:v>
      </x:c>
      <x:c r="I184" s="5" t="n">
        <x:v>30</x:v>
      </x:c>
      <x:c r="J184" s="5" t="inlineStr">
        <x:is>
          <x:t xml:space="preserve">중간</x:t>
        </x:is>
      </x:c>
      <x:c r="K184" s="7" t="inlineStr">
        <x:is>
          <x:t xml:space="preserve">육상</x:t>
        </x:is>
      </x:c>
      <x:c r="L184" s="7" t="inlineStr">
        <x:is>
          <x:t xml:space="preserve">암석</x:t>
        </x:is>
      </x:c>
      <x:c r="M184" s="7" t="inlineStr">
        <x:is>
          <x:t xml:space="preserve">온대</x:t>
        </x:is>
      </x:c>
      <x:c r="N184" s="7" t="inlineStr">
        <x:is>
          <x:t xml:space="preserve">보통</x:t>
        </x:is>
      </x:c>
      <x:c r="O184" s="7" t="inlineStr">
        <x:is>
          <x:t xml:space="preserve">무관</x:t>
        </x:is>
      </x:c>
      <x:c r="P184" s="7" t="inlineStr">
        <x:is>
          <x:t xml:space="preserve">무관</x:t>
        </x:is>
      </x:c>
      <x:c r="Q184" s="7" t="inlineStr">
        <x:is>
          <x:t xml:space="preserve">흔함</x:t>
        </x:is>
      </x:c>
      <x:c r="R184" s="7" t="inlineStr">
        <x:is>
          <x:t xml:space="preserve">없음</x:t>
        </x:is>
      </x:c>
      <x:c r="S184" s="7" t="inlineStr">
        <x:is>
          <x:t xml:space="preserve">산악</x:t>
        </x:is>
      </x:c>
      <x:c r="T184" s="7" t="inlineStr">
        <x:is>
          <x:t xml:space="preserve"/>
        </x:is>
      </x:c>
      <x:c r="U184" s="8" t="str">
        <x:f>INDEX('서식지_점수'!$E$4:$P$4,1,MATCH(MAX('서식지_점수'!E184:P184),'서식지_점수'!E184:P184,0))</x:f>
        <x:v>평원</x:v>
      </x:c>
      <x:c r="V184" s="8" t="str">
        <x:f>IF(T184&lt;&gt;"",T184,U184)</x:f>
        <x:v>평원</x:v>
      </x:c>
      <x:c r="W184" s="8" t="str">
        <x:f>IFERROR(INDEX('서식지_점수'!$E$4:$P$4,1,MATCH(MAXIFS('서식지_점수'!E184:P184,'서식지_점수'!E184:P184,"&lt;"&amp;MAX('서식지_점수'!E184:P184)),'서식지_점수'!E184:P184,0)),"")</x:f>
        <x:v>숲</x:v>
      </x:c>
      <x:c r="X184" s="8" t="str">
        <x:f>IF(T184&lt;&gt;"","수동확정",IF(MAX('서식지_점수'!E184:P184)-LARGE('서식지_점수'!E184:P184,2)&gt;=15,"높음",IF(MAX('서식지_점수'!E184:P184)-LARGE('서식지_점수'!E184:P184,2)&gt;=8,"보통","검토필요")))</x:f>
        <x:v>검토필요</x:v>
      </x:c>
      <x:c r="Y184" s="9" t="n">
        <x:f>IF(Q184="전설",8,IF(Q184="희귀",7,IF(J184="기본",1,IF(J184="중간",3,IF(J184="최종",IF(I184="",5,IF(I184&lt;=20,3,IF(I184&lt;=35,4,IF(I184&lt;=50,6,7)))),IF(Q184="드묾",4,2))))))</x:f>
        <x:v>3</x:v>
      </x:c>
      <x:c r="Z184" s="5" t="inlineStr">
        <x:is>
          <x:t xml:space="preserve">#cobblemon:is_highlands; #cobblemon:is_plains</x:t>
        </x:is>
      </x:c>
      <x:c r="AA184" s="5" t="inlineStr">
        <x:is>
          <x:t xml:space="preserve">common</x:t>
        </x:is>
      </x:c>
      <x:c r="AB184" s="5" t="inlineStr">
        <x:is>
          <x:t xml:space="preserve">예</x:t>
        </x:is>
      </x:c>
      <x:c r="AC184" s="8" t="str">
        <x:f>IF(T184&lt;&gt;"","수동확정",IF(X184="검토필요","검토필요",IF(S184="","원본없음","초기완료")))</x:f>
        <x:v>검토필요</x:v>
      </x:c>
      <x:c r="AD184" s="7" t="inlineStr">
        <x:is>
          <x:t xml:space="preserve"/>
        </x:is>
      </x:c>
      <x:c r="AE184" s="5" t="inlineStr">
        <x:is>
          <x:t xml:space="preserve">.tmp/cobblemon-1.7.3-source/common/src/main/resources/data/cobblemon/species/generation2/flaaffy.json</x:t>
        </x:is>
      </x:c>
      <x:c r="AF184" s="5" t="str">
        <x:f>"생활권|"&amp;K184</x:f>
        <x:v>생활권|육상</x:v>
      </x:c>
      <x:c r="AG184" s="5" t="str">
        <x:f>"지형|"&amp;L184</x:f>
        <x:v>지형|암석</x:v>
      </x:c>
      <x:c r="AH184" s="5" t="str">
        <x:f>"온도|"&amp;M184</x:f>
        <x:v>온도|온대</x:v>
      </x:c>
      <x:c r="AI184" s="5" t="str">
        <x:f>"습도|"&amp;N184</x:f>
        <x:v>습도|보통</x:v>
      </x:c>
      <x:c r="AJ184" s="5" t="str">
        <x:f>"날씨|"&amp;O184</x:f>
        <x:v>날씨|무관</x:v>
      </x:c>
      <x:c r="AK184" s="5" t="str">
        <x:f>"특수태그|"&amp;R184</x:f>
        <x:v>특수태그|없음</x:v>
      </x:c>
      <x:c r="AL184" s="5" t="str">
        <x:f>"원본서식지|"&amp;S184</x:f>
        <x:v>원본서식지|산악</x:v>
      </x:c>
      <x:c r="AM184" s="5" t="str">
        <x:f>"타입|"&amp;F184</x:f>
        <x:v>타입|전기</x:v>
      </x:c>
      <x:c r="AN184" s="5" t="str">
        <x:f>"타입|"&amp;G184</x:f>
        <x:v>타입|</x:v>
      </x:c>
    </x:row>
    <x:row r="185" ht="24" customHeight="1">
      <x:c r="A185" s="5" t="n">
        <x:v>181</x:v>
      </x:c>
      <x:c r="B185" s="5" t="inlineStr">
        <x:is>
          <x:t xml:space="preserve">전룡</x:t>
        </x:is>
      </x:c>
      <x:c r="C185" s="5" t="inlineStr">
        <x:is>
          <x:t xml:space="preserve">ampharos</x:t>
        </x:is>
      </x:c>
      <x:c r="D185" s="5" t="inlineStr">
        <x:is>
          <x:t xml:space="preserve">Ampharos</x:t>
        </x:is>
      </x:c>
      <x:c r="E185" s="5" t="n">
        <x:v>2</x:v>
      </x:c>
      <x:c r="F185" s="5" t="inlineStr">
        <x:is>
          <x:t xml:space="preserve">전기</x:t>
        </x:is>
      </x:c>
      <x:c r="G185" s="5" t="inlineStr">
        <x:is>
          <x:t xml:space="preserve"/>
        </x:is>
      </x:c>
      <x:c r="H185" s="6" t="n">
        <x:v>61.5</x:v>
      </x:c>
      <x:c r="I185" s="5" t="n">
        <x:v>30</x:v>
      </x:c>
      <x:c r="J185" s="5" t="inlineStr">
        <x:is>
          <x:t xml:space="preserve">최종</x:t>
        </x:is>
      </x:c>
      <x:c r="K185" s="7" t="inlineStr">
        <x:is>
          <x:t xml:space="preserve">육상</x:t>
        </x:is>
      </x:c>
      <x:c r="L185" s="7" t="inlineStr">
        <x:is>
          <x:t xml:space="preserve">암석</x:t>
        </x:is>
      </x:c>
      <x:c r="M185" s="7" t="inlineStr">
        <x:is>
          <x:t xml:space="preserve">온대</x:t>
        </x:is>
      </x:c>
      <x:c r="N185" s="7" t="inlineStr">
        <x:is>
          <x:t xml:space="preserve">보통</x:t>
        </x:is>
      </x:c>
      <x:c r="O185" s="7" t="inlineStr">
        <x:is>
          <x:t xml:space="preserve">무관</x:t>
        </x:is>
      </x:c>
      <x:c r="P185" s="7" t="inlineStr">
        <x:is>
          <x:t xml:space="preserve">무관</x:t>
        </x:is>
      </x:c>
      <x:c r="Q185" s="7" t="inlineStr">
        <x:is>
          <x:t xml:space="preserve">흔함</x:t>
        </x:is>
      </x:c>
      <x:c r="R185" s="7" t="inlineStr">
        <x:is>
          <x:t xml:space="preserve">없음</x:t>
        </x:is>
      </x:c>
      <x:c r="S185" s="7" t="inlineStr">
        <x:is>
          <x:t xml:space="preserve">산악</x:t>
        </x:is>
      </x:c>
      <x:c r="T185" s="7" t="inlineStr">
        <x:is>
          <x:t xml:space="preserve"/>
        </x:is>
      </x:c>
      <x:c r="U185" s="8" t="str">
        <x:f>INDEX('서식지_점수'!$E$4:$P$4,1,MATCH(MAX('서식지_점수'!E185:P185),'서식지_점수'!E185:P185,0))</x:f>
        <x:v>평원</x:v>
      </x:c>
      <x:c r="V185" s="8" t="str">
        <x:f>IF(T185&lt;&gt;"",T185,U185)</x:f>
        <x:v>평원</x:v>
      </x:c>
      <x:c r="W185" s="8" t="str">
        <x:f>IFERROR(INDEX('서식지_점수'!$E$4:$P$4,1,MATCH(MAXIFS('서식지_점수'!E185:P185,'서식지_점수'!E185:P185,"&lt;"&amp;MAX('서식지_점수'!E185:P185)),'서식지_점수'!E185:P185,0)),"")</x:f>
        <x:v>숲</x:v>
      </x:c>
      <x:c r="X185" s="8" t="str">
        <x:f>IF(T185&lt;&gt;"","수동확정",IF(MAX('서식지_점수'!E185:P185)-LARGE('서식지_점수'!E185:P185,2)&gt;=15,"높음",IF(MAX('서식지_점수'!E185:P185)-LARGE('서식지_점수'!E185:P185,2)&gt;=8,"보통","검토필요")))</x:f>
        <x:v>검토필요</x:v>
      </x:c>
      <x:c r="Y185" s="9" t="n">
        <x:f>IF(Q185="전설",8,IF(Q185="희귀",7,IF(J185="기본",1,IF(J185="중간",3,IF(J185="최종",IF(I185="",5,IF(I185&lt;=20,3,IF(I185&lt;=35,4,IF(I185&lt;=50,6,7)))),IF(Q185="드묾",4,2))))))</x:f>
        <x:v>4</x:v>
      </x:c>
      <x:c r="Z185" s="5" t="inlineStr">
        <x:is>
          <x:t xml:space="preserve">#cobblemon:is_highlands; #cobblemon:is_plains</x:t>
        </x:is>
      </x:c>
      <x:c r="AA185" s="5" t="inlineStr">
        <x:is>
          <x:t xml:space="preserve">common</x:t>
        </x:is>
      </x:c>
      <x:c r="AB185" s="5" t="inlineStr">
        <x:is>
          <x:t xml:space="preserve">예</x:t>
        </x:is>
      </x:c>
      <x:c r="AC185" s="8" t="str">
        <x:f>IF(T185&lt;&gt;"","수동확정",IF(X185="검토필요","검토필요",IF(S185="","원본없음","초기완료")))</x:f>
        <x:v>검토필요</x:v>
      </x:c>
      <x:c r="AD185" s="7" t="inlineStr">
        <x:is>
          <x:t xml:space="preserve"/>
        </x:is>
      </x:c>
      <x:c r="AE185" s="5" t="inlineStr">
        <x:is>
          <x:t xml:space="preserve">.tmp/cobblemon-1.7.3-source/common/src/main/resources/data/cobblemon/species/generation2/ampharos.json</x:t>
        </x:is>
      </x:c>
      <x:c r="AF185" s="5" t="str">
        <x:f>"생활권|"&amp;K185</x:f>
        <x:v>생활권|육상</x:v>
      </x:c>
      <x:c r="AG185" s="5" t="str">
        <x:f>"지형|"&amp;L185</x:f>
        <x:v>지형|암석</x:v>
      </x:c>
      <x:c r="AH185" s="5" t="str">
        <x:f>"온도|"&amp;M185</x:f>
        <x:v>온도|온대</x:v>
      </x:c>
      <x:c r="AI185" s="5" t="str">
        <x:f>"습도|"&amp;N185</x:f>
        <x:v>습도|보통</x:v>
      </x:c>
      <x:c r="AJ185" s="5" t="str">
        <x:f>"날씨|"&amp;O185</x:f>
        <x:v>날씨|무관</x:v>
      </x:c>
      <x:c r="AK185" s="5" t="str">
        <x:f>"특수태그|"&amp;R185</x:f>
        <x:v>특수태그|없음</x:v>
      </x:c>
      <x:c r="AL185" s="5" t="str">
        <x:f>"원본서식지|"&amp;S185</x:f>
        <x:v>원본서식지|산악</x:v>
      </x:c>
      <x:c r="AM185" s="5" t="str">
        <x:f>"타입|"&amp;F185</x:f>
        <x:v>타입|전기</x:v>
      </x:c>
      <x:c r="AN185" s="5" t="str">
        <x:f>"타입|"&amp;G185</x:f>
        <x:v>타입|</x:v>
      </x:c>
    </x:row>
    <x:row r="186" ht="24" customHeight="1">
      <x:c r="A186" s="5" t="n">
        <x:v>182</x:v>
      </x:c>
      <x:c r="B186" s="5" t="inlineStr">
        <x:is>
          <x:t xml:space="preserve">아르코</x:t>
        </x:is>
      </x:c>
      <x:c r="C186" s="5" t="inlineStr">
        <x:is>
          <x:t xml:space="preserve">bellossom</x:t>
        </x:is>
      </x:c>
      <x:c r="D186" s="5" t="inlineStr">
        <x:is>
          <x:t xml:space="preserve">Bellossom</x:t>
        </x:is>
      </x:c>
      <x:c r="E186" s="5" t="n">
        <x:v>2</x:v>
      </x:c>
      <x:c r="F186" s="5" t="inlineStr">
        <x:is>
          <x:t xml:space="preserve">풀</x:t>
        </x:is>
      </x:c>
      <x:c r="G186" s="5" t="inlineStr">
        <x:is>
          <x:t xml:space="preserve"/>
        </x:is>
      </x:c>
      <x:c r="H186" s="6" t="n">
        <x:v>5.8</x:v>
      </x:c>
      <x:c r="I186" s="5" t="n">
        <x:v>21</x:v>
      </x:c>
      <x:c r="J186" s="5" t="inlineStr">
        <x:is>
          <x:t xml:space="preserve">최종</x:t>
        </x:is>
      </x:c>
      <x:c r="K186" s="7" t="inlineStr">
        <x:is>
          <x:t xml:space="preserve">육상</x:t>
        </x:is>
      </x:c>
      <x:c r="L186" s="7" t="inlineStr">
        <x:is>
          <x:t xml:space="preserve">수목</x:t>
        </x:is>
      </x:c>
      <x:c r="M186" s="7" t="inlineStr">
        <x:is>
          <x:t xml:space="preserve">온대</x:t>
        </x:is>
      </x:c>
      <x:c r="N186" s="7" t="inlineStr">
        <x:is>
          <x:t xml:space="preserve">다습</x:t>
        </x:is>
      </x:c>
      <x:c r="O186" s="7" t="inlineStr">
        <x:is>
          <x:t xml:space="preserve">무관</x:t>
        </x:is>
      </x:c>
      <x:c r="P186" s="7" t="inlineStr">
        <x:is>
          <x:t xml:space="preserve">낮</x:t>
        </x:is>
      </x:c>
      <x:c r="Q186" s="7" t="inlineStr">
        <x:is>
          <x:t xml:space="preserve">흔함</x:t>
        </x:is>
      </x:c>
      <x:c r="R186" s="7" t="inlineStr">
        <x:is>
          <x:t xml:space="preserve">없음</x:t>
        </x:is>
      </x:c>
      <x:c r="S186" s="7" t="inlineStr">
        <x:is>
          <x:t xml:space="preserve">숲</x:t>
        </x:is>
      </x:c>
      <x:c r="T186" s="7" t="inlineStr">
        <x:is>
          <x:t xml:space="preserve"/>
        </x:is>
      </x:c>
      <x:c r="U186" s="8" t="str">
        <x:f>INDEX('서식지_점수'!$E$4:$P$4,1,MATCH(MAX('서식지_점수'!E186:P186),'서식지_점수'!E186:P186,0))</x:f>
        <x:v>평원</x:v>
      </x:c>
      <x:c r="V186" s="8" t="str">
        <x:f>IF(T186&lt;&gt;"",T186,U186)</x:f>
        <x:v>평원</x:v>
      </x:c>
      <x:c r="W186" s="8" t="str">
        <x:f>IFERROR(INDEX('서식지_점수'!$E$4:$P$4,1,MATCH(MAXIFS('서식지_점수'!E186:P186,'서식지_점수'!E186:P186,"&lt;"&amp;MAX('서식지_점수'!E186:P186)),'서식지_점수'!E186:P186,0)),"")</x:f>
        <x:v>숲</x:v>
      </x:c>
      <x:c r="X186" s="8" t="str">
        <x:f>IF(T186&lt;&gt;"","수동확정",IF(MAX('서식지_점수'!E186:P186)-LARGE('서식지_점수'!E186:P186,2)&gt;=15,"높음",IF(MAX('서식지_점수'!E186:P186)-LARGE('서식지_점수'!E186:P186,2)&gt;=8,"보통","검토필요")))</x:f>
        <x:v>검토필요</x:v>
      </x:c>
      <x:c r="Y186" s="9" t="n">
        <x:f>IF(Q186="전설",8,IF(Q186="희귀",7,IF(J186="기본",1,IF(J186="중간",3,IF(J186="최종",IF(I186="",5,IF(I186&lt;=20,3,IF(I186&lt;=35,4,IF(I186&lt;=50,6,7)))),IF(Q186="드묾",4,2))))))</x:f>
        <x:v>4</x:v>
      </x:c>
      <x:c r="Z186" s="5" t="inlineStr">
        <x:is>
          <x:t xml:space="preserve">#cobblemon:is_floral; #cobblemon:is_jungle; #cobblemon:is_savanna; #cobblemon:is_tropical_island</x:t>
        </x:is>
      </x:c>
      <x:c r="AA186" s="5" t="inlineStr">
        <x:is>
          <x:t xml:space="preserve">common</x:t>
        </x:is>
      </x:c>
      <x:c r="AB186" s="5" t="inlineStr">
        <x:is>
          <x:t xml:space="preserve">예</x:t>
        </x:is>
      </x:c>
      <x:c r="AC186" s="8" t="str">
        <x:f>IF(T186&lt;&gt;"","수동확정",IF(X186="검토필요","검토필요",IF(S186="","원본없음","초기완료")))</x:f>
        <x:v>검토필요</x:v>
      </x:c>
      <x:c r="AD186" s="7" t="inlineStr">
        <x:is>
          <x:t xml:space="preserve"/>
        </x:is>
      </x:c>
      <x:c r="AE186" s="5" t="inlineStr">
        <x:is>
          <x:t xml:space="preserve">.tmp/cobblemon-1.7.3-source/common/src/main/resources/data/cobblemon/species/generation2/bellossom.json</x:t>
        </x:is>
      </x:c>
      <x:c r="AF186" s="5" t="str">
        <x:f>"생활권|"&amp;K186</x:f>
        <x:v>생활권|육상</x:v>
      </x:c>
      <x:c r="AG186" s="5" t="str">
        <x:f>"지형|"&amp;L186</x:f>
        <x:v>지형|수목</x:v>
      </x:c>
      <x:c r="AH186" s="5" t="str">
        <x:f>"온도|"&amp;M186</x:f>
        <x:v>온도|온대</x:v>
      </x:c>
      <x:c r="AI186" s="5" t="str">
        <x:f>"습도|"&amp;N186</x:f>
        <x:v>습도|다습</x:v>
      </x:c>
      <x:c r="AJ186" s="5" t="str">
        <x:f>"날씨|"&amp;O186</x:f>
        <x:v>날씨|무관</x:v>
      </x:c>
      <x:c r="AK186" s="5" t="str">
        <x:f>"특수태그|"&amp;R186</x:f>
        <x:v>특수태그|없음</x:v>
      </x:c>
      <x:c r="AL186" s="5" t="str">
        <x:f>"원본서식지|"&amp;S186</x:f>
        <x:v>원본서식지|숲</x:v>
      </x:c>
      <x:c r="AM186" s="5" t="str">
        <x:f>"타입|"&amp;F186</x:f>
        <x:v>타입|풀</x:v>
      </x:c>
      <x:c r="AN186" s="5" t="str">
        <x:f>"타입|"&amp;G186</x:f>
        <x:v>타입|</x:v>
      </x:c>
    </x:row>
    <x:row r="187" ht="24" customHeight="1">
      <x:c r="A187" s="5" t="n">
        <x:v>183</x:v>
      </x:c>
      <x:c r="B187" s="5" t="inlineStr">
        <x:is>
          <x:t xml:space="preserve">마릴</x:t>
        </x:is>
      </x:c>
      <x:c r="C187" s="5" t="inlineStr">
        <x:is>
          <x:t xml:space="preserve">marill</x:t>
        </x:is>
      </x:c>
      <x:c r="D187" s="5" t="inlineStr">
        <x:is>
          <x:t xml:space="preserve">Marill</x:t>
        </x:is>
      </x:c>
      <x:c r="E187" s="5" t="n">
        <x:v>2</x:v>
      </x:c>
      <x:c r="F187" s="5" t="inlineStr">
        <x:is>
          <x:t xml:space="preserve">물</x:t>
        </x:is>
      </x:c>
      <x:c r="G187" s="5" t="inlineStr">
        <x:is>
          <x:t xml:space="preserve">페어리</x:t>
        </x:is>
      </x:c>
      <x:c r="H187" s="6" t="n">
        <x:v>8.5</x:v>
      </x:c>
      <x:c r="I187" s="5" t="n">
        <x:v>18</x:v>
      </x:c>
      <x:c r="J187" s="5" t="inlineStr">
        <x:is>
          <x:t xml:space="preserve">중간</x:t>
        </x:is>
      </x:c>
      <x:c r="K187" s="7" t="inlineStr">
        <x:is>
          <x:t xml:space="preserve">담수</x:t>
        </x:is>
      </x:c>
      <x:c r="L187" s="7" t="inlineStr">
        <x:is>
          <x:t xml:space="preserve">담수</x:t>
        </x:is>
      </x:c>
      <x:c r="M187" s="7" t="inlineStr">
        <x:is>
          <x:t xml:space="preserve">서늘</x:t>
        </x:is>
      </x:c>
      <x:c r="N187" s="7" t="inlineStr">
        <x:is>
          <x:t xml:space="preserve">수중</x:t>
        </x:is>
      </x:c>
      <x:c r="O187" s="7" t="inlineStr">
        <x:is>
          <x:t xml:space="preserve">비</x:t>
        </x:is>
      </x:c>
      <x:c r="P187" s="7" t="inlineStr">
        <x:is>
          <x:t xml:space="preserve">무관</x:t>
        </x:is>
      </x:c>
      <x:c r="Q187" s="7" t="inlineStr">
        <x:is>
          <x:t xml:space="preserve">흔함</x:t>
        </x:is>
      </x:c>
      <x:c r="R187" s="7" t="inlineStr">
        <x:is>
          <x:t xml:space="preserve">없음</x:t>
        </x:is>
      </x:c>
      <x:c r="S187" s="7" t="inlineStr">
        <x:is>
          <x:t xml:space="preserve">담수</x:t>
        </x:is>
      </x:c>
      <x:c r="T187" s="7" t="inlineStr">
        <x:is>
          <x:t xml:space="preserve"/>
        </x:is>
      </x:c>
      <x:c r="U187" s="8" t="str">
        <x:f>INDEX('서식지_점수'!$E$4:$P$4,1,MATCH(MAX('서식지_점수'!E187:P187),'서식지_점수'!E187:P187,0))</x:f>
        <x:v>담수</x:v>
      </x:c>
      <x:c r="V187" s="8" t="str">
        <x:f>IF(T187&lt;&gt;"",T187,U187)</x:f>
        <x:v>담수</x:v>
      </x:c>
      <x:c r="W187" s="8" t="str">
        <x:f>IFERROR(INDEX('서식지_점수'!$E$4:$P$4,1,MATCH(MAXIFS('서식지_점수'!E187:P187,'서식지_점수'!E187:P187,"&lt;"&amp;MAX('서식지_점수'!E187:P187)),'서식지_점수'!E187:P187,0)),"")</x:f>
        <x:v>습지</x:v>
      </x:c>
      <x:c r="X187" s="8" t="str">
        <x:f>IF(T187&lt;&gt;"","수동확정",IF(MAX('서식지_점수'!E187:P187)-LARGE('서식지_점수'!E187:P187,2)&gt;=15,"높음",IF(MAX('서식지_점수'!E187:P187)-LARGE('서식지_점수'!E187:P187,2)&gt;=8,"보통","검토필요")))</x:f>
        <x:v>높음</x:v>
      </x:c>
      <x:c r="Y187" s="9" t="n">
        <x:f>IF(Q187="전설",8,IF(Q187="희귀",7,IF(J187="기본",1,IF(J187="중간",3,IF(J187="최종",IF(I187="",5,IF(I187&lt;=20,3,IF(I187&lt;=35,4,IF(I187&lt;=50,6,7)))),IF(Q187="드묾",4,2))))))</x:f>
        <x:v>3</x:v>
      </x:c>
      <x:c r="Z187" s="5" t="inlineStr">
        <x:is>
          <x:t xml:space="preserve">#cobblemon:is_floral; #cobblemon:is_hills; #cobblemon:is_magical; #cobblemon:is_river; #cobblemon:is_snowy_forest; #cobblemon:is_taiga; #cobblemon:is_temperate</x:t>
        </x:is>
      </x:c>
      <x:c r="AA187" s="5" t="inlineStr">
        <x:is>
          <x:t xml:space="preserve">common</x:t>
        </x:is>
      </x:c>
      <x:c r="AB187" s="5" t="inlineStr">
        <x:is>
          <x:t xml:space="preserve">예</x:t>
        </x:is>
      </x:c>
      <x:c r="AC187" s="8" t="str">
        <x:f>IF(T187&lt;&gt;"","수동확정",IF(X187="검토필요","검토필요",IF(S187="","원본없음","초기완료")))</x:f>
        <x:v>초기완료</x:v>
      </x:c>
      <x:c r="AD187" s="7" t="inlineStr">
        <x:is>
          <x:t xml:space="preserve"/>
        </x:is>
      </x:c>
      <x:c r="AE187" s="5" t="inlineStr">
        <x:is>
          <x:t xml:space="preserve">.tmp/cobblemon-1.7.3-source/common/src/main/resources/data/cobblemon/species/generation2/marill.json</x:t>
        </x:is>
      </x:c>
      <x:c r="AF187" s="5" t="str">
        <x:f>"생활권|"&amp;K187</x:f>
        <x:v>생활권|담수</x:v>
      </x:c>
      <x:c r="AG187" s="5" t="str">
        <x:f>"지형|"&amp;L187</x:f>
        <x:v>지형|담수</x:v>
      </x:c>
      <x:c r="AH187" s="5" t="str">
        <x:f>"온도|"&amp;M187</x:f>
        <x:v>온도|서늘</x:v>
      </x:c>
      <x:c r="AI187" s="5" t="str">
        <x:f>"습도|"&amp;N187</x:f>
        <x:v>습도|수중</x:v>
      </x:c>
      <x:c r="AJ187" s="5" t="str">
        <x:f>"날씨|"&amp;O187</x:f>
        <x:v>날씨|비</x:v>
      </x:c>
      <x:c r="AK187" s="5" t="str">
        <x:f>"특수태그|"&amp;R187</x:f>
        <x:v>특수태그|없음</x:v>
      </x:c>
      <x:c r="AL187" s="5" t="str">
        <x:f>"원본서식지|"&amp;S187</x:f>
        <x:v>원본서식지|담수</x:v>
      </x:c>
      <x:c r="AM187" s="5" t="str">
        <x:f>"타입|"&amp;F187</x:f>
        <x:v>타입|물</x:v>
      </x:c>
      <x:c r="AN187" s="5" t="str">
        <x:f>"타입|"&amp;G187</x:f>
        <x:v>타입|페어리</x:v>
      </x:c>
    </x:row>
    <x:row r="188" ht="24" customHeight="1">
      <x:c r="A188" s="5" t="n">
        <x:v>184</x:v>
      </x:c>
      <x:c r="B188" s="5" t="inlineStr">
        <x:is>
          <x:t xml:space="preserve">마릴리</x:t>
        </x:is>
      </x:c>
      <x:c r="C188" s="5" t="inlineStr">
        <x:is>
          <x:t xml:space="preserve">azumarill</x:t>
        </x:is>
      </x:c>
      <x:c r="D188" s="5" t="inlineStr">
        <x:is>
          <x:t xml:space="preserve">Azumarill</x:t>
        </x:is>
      </x:c>
      <x:c r="E188" s="5" t="n">
        <x:v>2</x:v>
      </x:c>
      <x:c r="F188" s="5" t="inlineStr">
        <x:is>
          <x:t xml:space="preserve">물</x:t>
        </x:is>
      </x:c>
      <x:c r="G188" s="5" t="inlineStr">
        <x:is>
          <x:t xml:space="preserve">페어리</x:t>
        </x:is>
      </x:c>
      <x:c r="H188" s="6" t="n">
        <x:v>28.5</x:v>
      </x:c>
      <x:c r="I188" s="5" t="n">
        <x:v>18</x:v>
      </x:c>
      <x:c r="J188" s="5" t="inlineStr">
        <x:is>
          <x:t xml:space="preserve">최종</x:t>
        </x:is>
      </x:c>
      <x:c r="K188" s="7" t="inlineStr">
        <x:is>
          <x:t xml:space="preserve">담수</x:t>
        </x:is>
      </x:c>
      <x:c r="L188" s="7" t="inlineStr">
        <x:is>
          <x:t xml:space="preserve">담수</x:t>
        </x:is>
      </x:c>
      <x:c r="M188" s="7" t="inlineStr">
        <x:is>
          <x:t xml:space="preserve">서늘</x:t>
        </x:is>
      </x:c>
      <x:c r="N188" s="7" t="inlineStr">
        <x:is>
          <x:t xml:space="preserve">수중</x:t>
        </x:is>
      </x:c>
      <x:c r="O188" s="7" t="inlineStr">
        <x:is>
          <x:t xml:space="preserve">비</x:t>
        </x:is>
      </x:c>
      <x:c r="P188" s="7" t="inlineStr">
        <x:is>
          <x:t xml:space="preserve">무관</x:t>
        </x:is>
      </x:c>
      <x:c r="Q188" s="7" t="inlineStr">
        <x:is>
          <x:t xml:space="preserve">보통</x:t>
        </x:is>
      </x:c>
      <x:c r="R188" s="7" t="inlineStr">
        <x:is>
          <x:t xml:space="preserve">없음</x:t>
        </x:is>
      </x:c>
      <x:c r="S188" s="7" t="inlineStr">
        <x:is>
          <x:t xml:space="preserve">담수</x:t>
        </x:is>
      </x:c>
      <x:c r="T188" s="7" t="inlineStr">
        <x:is>
          <x:t xml:space="preserve"/>
        </x:is>
      </x:c>
      <x:c r="U188" s="8" t="str">
        <x:f>INDEX('서식지_점수'!$E$4:$P$4,1,MATCH(MAX('서식지_점수'!E188:P188),'서식지_점수'!E188:P188,0))</x:f>
        <x:v>담수</x:v>
      </x:c>
      <x:c r="V188" s="8" t="str">
        <x:f>IF(T188&lt;&gt;"",T188,U188)</x:f>
        <x:v>담수</x:v>
      </x:c>
      <x:c r="W188" s="8" t="str">
        <x:f>IFERROR(INDEX('서식지_점수'!$E$4:$P$4,1,MATCH(MAXIFS('서식지_점수'!E188:P188,'서식지_점수'!E188:P188,"&lt;"&amp;MAX('서식지_점수'!E188:P188)),'서식지_점수'!E188:P188,0)),"")</x:f>
        <x:v>습지</x:v>
      </x:c>
      <x:c r="X188" s="8" t="str">
        <x:f>IF(T188&lt;&gt;"","수동확정",IF(MAX('서식지_점수'!E188:P188)-LARGE('서식지_점수'!E188:P188,2)&gt;=15,"높음",IF(MAX('서식지_점수'!E188:P188)-LARGE('서식지_점수'!E188:P188,2)&gt;=8,"보통","검토필요")))</x:f>
        <x:v>높음</x:v>
      </x:c>
      <x:c r="Y188" s="9" t="n">
        <x:f>IF(Q188="전설",8,IF(Q188="희귀",7,IF(J188="기본",1,IF(J188="중간",3,IF(J188="최종",IF(I188="",5,IF(I188&lt;=20,3,IF(I188&lt;=35,4,IF(I188&lt;=50,6,7)))),IF(Q188="드묾",4,2))))))</x:f>
        <x:v>3</x:v>
      </x:c>
      <x:c r="Z188" s="5" t="inlineStr">
        <x:is>
          <x:t xml:space="preserve">#cobblemon:is_floral; #cobblemon:is_hills; #cobblemon:is_magical; #cobblemon:is_river; #cobblemon:is_snowy_forest; #cobblemon:is_taiga; #cobblemon:is_temperate</x:t>
        </x:is>
      </x:c>
      <x:c r="AA188" s="5" t="inlineStr">
        <x:is>
          <x:t xml:space="preserve">common; uncommon</x:t>
        </x:is>
      </x:c>
      <x:c r="AB188" s="5" t="inlineStr">
        <x:is>
          <x:t xml:space="preserve">예</x:t>
        </x:is>
      </x:c>
      <x:c r="AC188" s="8" t="str">
        <x:f>IF(T188&lt;&gt;"","수동확정",IF(X188="검토필요","검토필요",IF(S188="","원본없음","초기완료")))</x:f>
        <x:v>초기완료</x:v>
      </x:c>
      <x:c r="AD188" s="7" t="inlineStr">
        <x:is>
          <x:t xml:space="preserve"/>
        </x:is>
      </x:c>
      <x:c r="AE188" s="5" t="inlineStr">
        <x:is>
          <x:t xml:space="preserve">.tmp/cobblemon-1.7.3-source/common/src/main/resources/data/cobblemon/species/generation2/azumarill.json</x:t>
        </x:is>
      </x:c>
      <x:c r="AF188" s="5" t="str">
        <x:f>"생활권|"&amp;K188</x:f>
        <x:v>생활권|담수</x:v>
      </x:c>
      <x:c r="AG188" s="5" t="str">
        <x:f>"지형|"&amp;L188</x:f>
        <x:v>지형|담수</x:v>
      </x:c>
      <x:c r="AH188" s="5" t="str">
        <x:f>"온도|"&amp;M188</x:f>
        <x:v>온도|서늘</x:v>
      </x:c>
      <x:c r="AI188" s="5" t="str">
        <x:f>"습도|"&amp;N188</x:f>
        <x:v>습도|수중</x:v>
      </x:c>
      <x:c r="AJ188" s="5" t="str">
        <x:f>"날씨|"&amp;O188</x:f>
        <x:v>날씨|비</x:v>
      </x:c>
      <x:c r="AK188" s="5" t="str">
        <x:f>"특수태그|"&amp;R188</x:f>
        <x:v>특수태그|없음</x:v>
      </x:c>
      <x:c r="AL188" s="5" t="str">
        <x:f>"원본서식지|"&amp;S188</x:f>
        <x:v>원본서식지|담수</x:v>
      </x:c>
      <x:c r="AM188" s="5" t="str">
        <x:f>"타입|"&amp;F188</x:f>
        <x:v>타입|물</x:v>
      </x:c>
      <x:c r="AN188" s="5" t="str">
        <x:f>"타입|"&amp;G188</x:f>
        <x:v>타입|페어리</x:v>
      </x:c>
    </x:row>
    <x:row r="189" ht="24" customHeight="1">
      <x:c r="A189" s="5" t="n">
        <x:v>185</x:v>
      </x:c>
      <x:c r="B189" s="5" t="inlineStr">
        <x:is>
          <x:t xml:space="preserve">꼬지모</x:t>
        </x:is>
      </x:c>
      <x:c r="C189" s="5" t="inlineStr">
        <x:is>
          <x:t xml:space="preserve">sudowoodo</x:t>
        </x:is>
      </x:c>
      <x:c r="D189" s="5" t="inlineStr">
        <x:is>
          <x:t xml:space="preserve">Sudowoodo</x:t>
        </x:is>
      </x:c>
      <x:c r="E189" s="5" t="n">
        <x:v>2</x:v>
      </x:c>
      <x:c r="F189" s="5" t="inlineStr">
        <x:is>
          <x:t xml:space="preserve">바위</x:t>
        </x:is>
      </x:c>
      <x:c r="G189" s="5" t="inlineStr">
        <x:is>
          <x:t xml:space="preserve"/>
        </x:is>
      </x:c>
      <x:c r="H189" s="6" t="n">
        <x:v>38</x:v>
      </x:c>
      <x:c r="I189" s="5" t="n"/>
      <x:c r="J189" s="5" t="inlineStr">
        <x:is>
          <x:t xml:space="preserve">최종</x:t>
        </x:is>
      </x:c>
      <x:c r="K189" s="7" t="inlineStr">
        <x:is>
          <x:t xml:space="preserve">육상</x:t>
        </x:is>
      </x:c>
      <x:c r="L189" s="7" t="inlineStr">
        <x:is>
          <x:t xml:space="preserve">수목</x:t>
        </x:is>
      </x:c>
      <x:c r="M189" s="7" t="inlineStr">
        <x:is>
          <x:t xml:space="preserve">온대</x:t>
        </x:is>
      </x:c>
      <x:c r="N189" s="7" t="inlineStr">
        <x:is>
          <x:t xml:space="preserve">보통</x:t>
        </x:is>
      </x:c>
      <x:c r="O189" s="7" t="inlineStr">
        <x:is>
          <x:t xml:space="preserve">무관</x:t>
        </x:is>
      </x:c>
      <x:c r="P189" s="7" t="inlineStr">
        <x:is>
          <x:t xml:space="preserve">무관</x:t>
        </x:is>
      </x:c>
      <x:c r="Q189" s="7" t="inlineStr">
        <x:is>
          <x:t xml:space="preserve">보통</x:t>
        </x:is>
      </x:c>
      <x:c r="R189" s="7" t="inlineStr">
        <x:is>
          <x:t xml:space="preserve">없음</x:t>
        </x:is>
      </x:c>
      <x:c r="S189" s="7" t="inlineStr">
        <x:is>
          <x:t xml:space="preserve">숲</x:t>
        </x:is>
      </x:c>
      <x:c r="T189" s="7" t="inlineStr">
        <x:is>
          <x:t xml:space="preserve"/>
        </x:is>
      </x:c>
      <x:c r="U189" s="8" t="str">
        <x:f>INDEX('서식지_점수'!$E$4:$P$4,1,MATCH(MAX('서식지_점수'!E189:P189),'서식지_점수'!E189:P189,0))</x:f>
        <x:v>평원</x:v>
      </x:c>
      <x:c r="V189" s="8" t="str">
        <x:f>IF(T189&lt;&gt;"",T189,U189)</x:f>
        <x:v>평원</x:v>
      </x:c>
      <x:c r="W189" s="8" t="str">
        <x:f>IFERROR(INDEX('서식지_점수'!$E$4:$P$4,1,MATCH(MAXIFS('서식지_점수'!E189:P189,'서식지_점수'!E189:P189,"&lt;"&amp;MAX('서식지_점수'!E189:P189)),'서식지_점수'!E189:P189,0)),"")</x:f>
        <x:v>숲</x:v>
      </x:c>
      <x:c r="X189" s="8" t="str">
        <x:f>IF(T189&lt;&gt;"","수동확정",IF(MAX('서식지_점수'!E189:P189)-LARGE('서식지_점수'!E189:P189,2)&gt;=15,"높음",IF(MAX('서식지_점수'!E189:P189)-LARGE('서식지_점수'!E189:P189,2)&gt;=8,"보통","검토필요")))</x:f>
        <x:v>검토필요</x:v>
      </x:c>
      <x:c r="Y189" s="9" t="n">
        <x:f>IF(Q189="전설",8,IF(Q189="희귀",7,IF(J189="기본",1,IF(J189="중간",3,IF(J189="최종",IF(I189="",5,IF(I189&lt;=20,3,IF(I189&lt;=35,4,IF(I189&lt;=50,6,7)))),IF(Q189="드묾",4,2))))))</x:f>
        <x:v>5</x:v>
      </x:c>
      <x:c r="Z189" s="5" t="inlineStr">
        <x:is>
          <x:t xml:space="preserve">#cobblemon:is_forest</x:t>
        </x:is>
      </x:c>
      <x:c r="AA189" s="5" t="inlineStr">
        <x:is>
          <x:t xml:space="preserve">uncommon</x:t>
        </x:is>
      </x:c>
      <x:c r="AB189" s="5" t="inlineStr">
        <x:is>
          <x:t xml:space="preserve">예</x:t>
        </x:is>
      </x:c>
      <x:c r="AC189" s="8" t="str">
        <x:f>IF(T189&lt;&gt;"","수동확정",IF(X189="검토필요","검토필요",IF(S189="","원본없음","초기완료")))</x:f>
        <x:v>검토필요</x:v>
      </x:c>
      <x:c r="AD189" s="7" t="inlineStr">
        <x:is>
          <x:t xml:space="preserve"/>
        </x:is>
      </x:c>
      <x:c r="AE189" s="5" t="inlineStr">
        <x:is>
          <x:t xml:space="preserve">.tmp/cobblemon-1.7.3-source/common/src/main/resources/data/cobblemon/species/generation2/sudowoodo.json</x:t>
        </x:is>
      </x:c>
      <x:c r="AF189" s="5" t="str">
        <x:f>"생활권|"&amp;K189</x:f>
        <x:v>생활권|육상</x:v>
      </x:c>
      <x:c r="AG189" s="5" t="str">
        <x:f>"지형|"&amp;L189</x:f>
        <x:v>지형|수목</x:v>
      </x:c>
      <x:c r="AH189" s="5" t="str">
        <x:f>"온도|"&amp;M189</x:f>
        <x:v>온도|온대</x:v>
      </x:c>
      <x:c r="AI189" s="5" t="str">
        <x:f>"습도|"&amp;N189</x:f>
        <x:v>습도|보통</x:v>
      </x:c>
      <x:c r="AJ189" s="5" t="str">
        <x:f>"날씨|"&amp;O189</x:f>
        <x:v>날씨|무관</x:v>
      </x:c>
      <x:c r="AK189" s="5" t="str">
        <x:f>"특수태그|"&amp;R189</x:f>
        <x:v>특수태그|없음</x:v>
      </x:c>
      <x:c r="AL189" s="5" t="str">
        <x:f>"원본서식지|"&amp;S189</x:f>
        <x:v>원본서식지|숲</x:v>
      </x:c>
      <x:c r="AM189" s="5" t="str">
        <x:f>"타입|"&amp;F189</x:f>
        <x:v>타입|바위</x:v>
      </x:c>
      <x:c r="AN189" s="5" t="str">
        <x:f>"타입|"&amp;G189</x:f>
        <x:v>타입|</x:v>
      </x:c>
    </x:row>
    <x:row r="190" ht="24" customHeight="1">
      <x:c r="A190" s="5" t="n">
        <x:v>186</x:v>
      </x:c>
      <x:c r="B190" s="5" t="inlineStr">
        <x:is>
          <x:t xml:space="preserve">왕구리</x:t>
        </x:is>
      </x:c>
      <x:c r="C190" s="5" t="inlineStr">
        <x:is>
          <x:t xml:space="preserve">politoed</x:t>
        </x:is>
      </x:c>
      <x:c r="D190" s="5" t="inlineStr">
        <x:is>
          <x:t xml:space="preserve">Politoed</x:t>
        </x:is>
      </x:c>
      <x:c r="E190" s="5" t="n">
        <x:v>2</x:v>
      </x:c>
      <x:c r="F190" s="5" t="inlineStr">
        <x:is>
          <x:t xml:space="preserve">물</x:t>
        </x:is>
      </x:c>
      <x:c r="G190" s="5" t="inlineStr">
        <x:is>
          <x:t xml:space="preserve"/>
        </x:is>
      </x:c>
      <x:c r="H190" s="6" t="n">
        <x:v>33.9</x:v>
      </x:c>
      <x:c r="I190" s="5" t="n">
        <x:v>25</x:v>
      </x:c>
      <x:c r="J190" s="5" t="inlineStr">
        <x:is>
          <x:t xml:space="preserve">최종</x:t>
        </x:is>
      </x:c>
      <x:c r="K190" s="7" t="inlineStr">
        <x:is>
          <x:t xml:space="preserve">담수</x:t>
        </x:is>
      </x:c>
      <x:c r="L190" s="7" t="inlineStr">
        <x:is>
          <x:t xml:space="preserve">담수</x:t>
        </x:is>
      </x:c>
      <x:c r="M190" s="7" t="inlineStr">
        <x:is>
          <x:t xml:space="preserve">온대</x:t>
        </x:is>
      </x:c>
      <x:c r="N190" s="7" t="inlineStr">
        <x:is>
          <x:t xml:space="preserve">수중</x:t>
        </x:is>
      </x:c>
      <x:c r="O190" s="7" t="inlineStr">
        <x:is>
          <x:t xml:space="preserve">비</x:t>
        </x:is>
      </x:c>
      <x:c r="P190" s="7" t="inlineStr">
        <x:is>
          <x:t xml:space="preserve">무관</x:t>
        </x:is>
      </x:c>
      <x:c r="Q190" s="7" t="inlineStr">
        <x:is>
          <x:t xml:space="preserve">흔함</x:t>
        </x:is>
      </x:c>
      <x:c r="R190" s="7" t="inlineStr">
        <x:is>
          <x:t xml:space="preserve">없음</x:t>
        </x:is>
      </x:c>
      <x:c r="S190" s="7" t="inlineStr">
        <x:is>
          <x:t xml:space="preserve">담수</x:t>
        </x:is>
      </x:c>
      <x:c r="T190" s="7" t="inlineStr">
        <x:is>
          <x:t xml:space="preserve"/>
        </x:is>
      </x:c>
      <x:c r="U190" s="8" t="str">
        <x:f>INDEX('서식지_점수'!$E$4:$P$4,1,MATCH(MAX('서식지_점수'!E190:P190),'서식지_점수'!E190:P190,0))</x:f>
        <x:v>담수</x:v>
      </x:c>
      <x:c r="V190" s="8" t="str">
        <x:f>IF(T190&lt;&gt;"",T190,U190)</x:f>
        <x:v>담수</x:v>
      </x:c>
      <x:c r="W190" s="8" t="str">
        <x:f>IFERROR(INDEX('서식지_점수'!$E$4:$P$4,1,MATCH(MAXIFS('서식지_점수'!E190:P190,'서식지_점수'!E190:P190,"&lt;"&amp;MAX('서식지_점수'!E190:P190)),'서식지_점수'!E190:P190,0)),"")</x:f>
        <x:v>습지</x:v>
      </x:c>
      <x:c r="X190" s="8" t="str">
        <x:f>IF(T190&lt;&gt;"","수동확정",IF(MAX('서식지_점수'!E190:P190)-LARGE('서식지_점수'!E190:P190,2)&gt;=15,"높음",IF(MAX('서식지_점수'!E190:P190)-LARGE('서식지_점수'!E190:P190,2)&gt;=8,"보통","검토필요")))</x:f>
        <x:v>높음</x:v>
      </x:c>
      <x:c r="Y190" s="9" t="n">
        <x:f>IF(Q190="전설",8,IF(Q190="희귀",7,IF(J190="기본",1,IF(J190="중간",3,IF(J190="최종",IF(I190="",5,IF(I190&lt;=20,3,IF(I190&lt;=35,4,IF(I190&lt;=50,6,7)))),IF(Q190="드묾",4,2))))))</x:f>
        <x:v>4</x:v>
      </x:c>
      <x:c r="Z190" s="5" t="inlineStr">
        <x:is>
          <x:t xml:space="preserve">#cobblemon:is_freshwater; #cobblemon:is_hills; #cobblemon:is_jungle; #cobblemon:is_lush; #cobblemon:is_magical; #cobblemon:is_mushroom; #cobblemon:is_overworld; #cobblemon:is_swamp; #cobblemon:is_temperate</x:t>
        </x:is>
      </x:c>
      <x:c r="AA190" s="5" t="inlineStr">
        <x:is>
          <x:t xml:space="preserve">common</x:t>
        </x:is>
      </x:c>
      <x:c r="AB190" s="5" t="inlineStr">
        <x:is>
          <x:t xml:space="preserve">예</x:t>
        </x:is>
      </x:c>
      <x:c r="AC190" s="8" t="str">
        <x:f>IF(T190&lt;&gt;"","수동확정",IF(X190="검토필요","검토필요",IF(S190="","원본없음","초기완료")))</x:f>
        <x:v>초기완료</x:v>
      </x:c>
      <x:c r="AD190" s="7" t="inlineStr">
        <x:is>
          <x:t xml:space="preserve"/>
        </x:is>
      </x:c>
      <x:c r="AE190" s="5" t="inlineStr">
        <x:is>
          <x:t xml:space="preserve">.tmp/cobblemon-1.7.3-source/common/src/main/resources/data/cobblemon/species/generation2/politoed.json</x:t>
        </x:is>
      </x:c>
      <x:c r="AF190" s="5" t="str">
        <x:f>"생활권|"&amp;K190</x:f>
        <x:v>생활권|담수</x:v>
      </x:c>
      <x:c r="AG190" s="5" t="str">
        <x:f>"지형|"&amp;L190</x:f>
        <x:v>지형|담수</x:v>
      </x:c>
      <x:c r="AH190" s="5" t="str">
        <x:f>"온도|"&amp;M190</x:f>
        <x:v>온도|온대</x:v>
      </x:c>
      <x:c r="AI190" s="5" t="str">
        <x:f>"습도|"&amp;N190</x:f>
        <x:v>습도|수중</x:v>
      </x:c>
      <x:c r="AJ190" s="5" t="str">
        <x:f>"날씨|"&amp;O190</x:f>
        <x:v>날씨|비</x:v>
      </x:c>
      <x:c r="AK190" s="5" t="str">
        <x:f>"특수태그|"&amp;R190</x:f>
        <x:v>특수태그|없음</x:v>
      </x:c>
      <x:c r="AL190" s="5" t="str">
        <x:f>"원본서식지|"&amp;S190</x:f>
        <x:v>원본서식지|담수</x:v>
      </x:c>
      <x:c r="AM190" s="5" t="str">
        <x:f>"타입|"&amp;F190</x:f>
        <x:v>타입|물</x:v>
      </x:c>
      <x:c r="AN190" s="5" t="str">
        <x:f>"타입|"&amp;G190</x:f>
        <x:v>타입|</x:v>
      </x:c>
    </x:row>
    <x:row r="191" ht="24" customHeight="1">
      <x:c r="A191" s="5" t="n">
        <x:v>187</x:v>
      </x:c>
      <x:c r="B191" s="5" t="inlineStr">
        <x:is>
          <x:t xml:space="preserve">통통코</x:t>
        </x:is>
      </x:c>
      <x:c r="C191" s="5" t="inlineStr">
        <x:is>
          <x:t xml:space="preserve">hoppip</x:t>
        </x:is>
      </x:c>
      <x:c r="D191" s="5" t="inlineStr">
        <x:is>
          <x:t xml:space="preserve">Hoppip</x:t>
        </x:is>
      </x:c>
      <x:c r="E191" s="5" t="n">
        <x:v>2</x:v>
      </x:c>
      <x:c r="F191" s="5" t="inlineStr">
        <x:is>
          <x:t xml:space="preserve">풀</x:t>
        </x:is>
      </x:c>
      <x:c r="G191" s="5" t="inlineStr">
        <x:is>
          <x:t xml:space="preserve">비행</x:t>
        </x:is>
      </x:c>
      <x:c r="H191" s="6" t="n">
        <x:v>0.5</x:v>
      </x:c>
      <x:c r="I191" s="5" t="n">
        <x:v>27</x:v>
      </x:c>
      <x:c r="J191" s="5" t="inlineStr">
        <x:is>
          <x:t xml:space="preserve">기본</x:t>
        </x:is>
      </x:c>
      <x:c r="K191" s="7" t="inlineStr">
        <x:is>
          <x:t xml:space="preserve">비행</x:t>
        </x:is>
      </x:c>
      <x:c r="L191" s="7" t="inlineStr">
        <x:is>
          <x:t xml:space="preserve">개활지</x:t>
        </x:is>
      </x:c>
      <x:c r="M191" s="7" t="inlineStr">
        <x:is>
          <x:t xml:space="preserve">온대</x:t>
        </x:is>
      </x:c>
      <x:c r="N191" s="7" t="inlineStr">
        <x:is>
          <x:t xml:space="preserve">보통</x:t>
        </x:is>
      </x:c>
      <x:c r="O191" s="7" t="inlineStr">
        <x:is>
          <x:t xml:space="preserve">무관</x:t>
        </x:is>
      </x:c>
      <x:c r="P191" s="7" t="inlineStr">
        <x:is>
          <x:t xml:space="preserve">무관</x:t>
        </x:is>
      </x:c>
      <x:c r="Q191" s="7" t="inlineStr">
        <x:is>
          <x:t xml:space="preserve">흔함</x:t>
        </x:is>
      </x:c>
      <x:c r="R191" s="7" t="inlineStr">
        <x:is>
          <x:t xml:space="preserve">없음</x:t>
        </x:is>
      </x:c>
      <x:c r="S191" s="7" t="inlineStr">
        <x:is>
          <x:t xml:space="preserve">평원</x:t>
        </x:is>
      </x:c>
      <x:c r="T191" s="7" t="inlineStr">
        <x:is>
          <x:t xml:space="preserve"/>
        </x:is>
      </x:c>
      <x:c r="U191" s="8" t="str">
        <x:f>INDEX('서식지_점수'!$E$4:$P$4,1,MATCH(MAX('서식지_점수'!E191:P191),'서식지_점수'!E191:P191,0))</x:f>
        <x:v>산악</x:v>
      </x:c>
      <x:c r="V191" s="8" t="str">
        <x:f>IF(T191&lt;&gt;"",T191,U191)</x:f>
        <x:v>산악</x:v>
      </x:c>
      <x:c r="W191" s="8" t="str">
        <x:f>IFERROR(INDEX('서식지_점수'!$E$4:$P$4,1,MATCH(MAXIFS('서식지_점수'!E191:P191,'서식지_점수'!E191:P191,"&lt;"&amp;MAX('서식지_점수'!E191:P191)),'서식지_점수'!E191:P191,0)),"")</x:f>
        <x:v>평원</x:v>
      </x:c>
      <x:c r="X191" s="8" t="str">
        <x:f>IF(T191&lt;&gt;"","수동확정",IF(MAX('서식지_점수'!E191:P191)-LARGE('서식지_점수'!E191:P191,2)&gt;=15,"높음",IF(MAX('서식지_점수'!E191:P191)-LARGE('서식지_점수'!E191:P191,2)&gt;=8,"보통","검토필요")))</x:f>
        <x:v>검토필요</x:v>
      </x:c>
      <x:c r="Y191" s="9" t="n">
        <x:f>IF(Q191="전설",8,IF(Q191="희귀",7,IF(J191="기본",1,IF(J191="중간",3,IF(J191="최종",IF(I191="",5,IF(I191&lt;=20,3,IF(I191&lt;=35,4,IF(I191&lt;=50,6,7)))),IF(Q191="드묾",4,2))))))</x:f>
        <x:v>1</x:v>
      </x:c>
      <x:c r="Z191" s="5" t="inlineStr">
        <x:is>
          <x:t xml:space="preserve">#cobblemon:is_plains; aether:skyroot_grove; aether:skyroot_meadow; the_bumblezone:floral_meadow</x:t>
        </x:is>
      </x:c>
      <x:c r="AA191" s="5" t="inlineStr">
        <x:is>
          <x:t xml:space="preserve">common</x:t>
        </x:is>
      </x:c>
      <x:c r="AB191" s="5" t="inlineStr">
        <x:is>
          <x:t xml:space="preserve">예</x:t>
        </x:is>
      </x:c>
      <x:c r="AC191" s="8" t="str">
        <x:f>IF(T191&lt;&gt;"","수동확정",IF(X191="검토필요","검토필요",IF(S191="","원본없음","초기완료")))</x:f>
        <x:v>검토필요</x:v>
      </x:c>
      <x:c r="AD191" s="7" t="inlineStr">
        <x:is>
          <x:t xml:space="preserve"/>
        </x:is>
      </x:c>
      <x:c r="AE191" s="5" t="inlineStr">
        <x:is>
          <x:t xml:space="preserve">.tmp/cobblemon-1.7.3-source/common/src/main/resources/data/cobblemon/species/generation2/hoppip.json</x:t>
        </x:is>
      </x:c>
      <x:c r="AF191" s="5" t="str">
        <x:f>"생활권|"&amp;K191</x:f>
        <x:v>생활권|비행</x:v>
      </x:c>
      <x:c r="AG191" s="5" t="str">
        <x:f>"지형|"&amp;L191</x:f>
        <x:v>지형|개활지</x:v>
      </x:c>
      <x:c r="AH191" s="5" t="str">
        <x:f>"온도|"&amp;M191</x:f>
        <x:v>온도|온대</x:v>
      </x:c>
      <x:c r="AI191" s="5" t="str">
        <x:f>"습도|"&amp;N191</x:f>
        <x:v>습도|보통</x:v>
      </x:c>
      <x:c r="AJ191" s="5" t="str">
        <x:f>"날씨|"&amp;O191</x:f>
        <x:v>날씨|무관</x:v>
      </x:c>
      <x:c r="AK191" s="5" t="str">
        <x:f>"특수태그|"&amp;R191</x:f>
        <x:v>특수태그|없음</x:v>
      </x:c>
      <x:c r="AL191" s="5" t="str">
        <x:f>"원본서식지|"&amp;S191</x:f>
        <x:v>원본서식지|평원</x:v>
      </x:c>
      <x:c r="AM191" s="5" t="str">
        <x:f>"타입|"&amp;F191</x:f>
        <x:v>타입|풀</x:v>
      </x:c>
      <x:c r="AN191" s="5" t="str">
        <x:f>"타입|"&amp;G191</x:f>
        <x:v>타입|비행</x:v>
      </x:c>
    </x:row>
    <x:row r="192" ht="24" customHeight="1">
      <x:c r="A192" s="5" t="n">
        <x:v>188</x:v>
      </x:c>
      <x:c r="B192" s="5" t="inlineStr">
        <x:is>
          <x:t xml:space="preserve">두코</x:t>
        </x:is>
      </x:c>
      <x:c r="C192" s="5" t="inlineStr">
        <x:is>
          <x:t xml:space="preserve">skiploom</x:t>
        </x:is>
      </x:c>
      <x:c r="D192" s="5" t="inlineStr">
        <x:is>
          <x:t xml:space="preserve">Skiploom</x:t>
        </x:is>
      </x:c>
      <x:c r="E192" s="5" t="n">
        <x:v>2</x:v>
      </x:c>
      <x:c r="F192" s="5" t="inlineStr">
        <x:is>
          <x:t xml:space="preserve">풀</x:t>
        </x:is>
      </x:c>
      <x:c r="G192" s="5" t="inlineStr">
        <x:is>
          <x:t xml:space="preserve">비행</x:t>
        </x:is>
      </x:c>
      <x:c r="H192" s="6" t="n">
        <x:v>1</x:v>
      </x:c>
      <x:c r="I192" s="5" t="n">
        <x:v>27</x:v>
      </x:c>
      <x:c r="J192" s="5" t="inlineStr">
        <x:is>
          <x:t xml:space="preserve">중간</x:t>
        </x:is>
      </x:c>
      <x:c r="K192" s="7" t="inlineStr">
        <x:is>
          <x:t xml:space="preserve">비행</x:t>
        </x:is>
      </x:c>
      <x:c r="L192" s="7" t="inlineStr">
        <x:is>
          <x:t xml:space="preserve">개활지</x:t>
        </x:is>
      </x:c>
      <x:c r="M192" s="7" t="inlineStr">
        <x:is>
          <x:t xml:space="preserve">온대</x:t>
        </x:is>
      </x:c>
      <x:c r="N192" s="7" t="inlineStr">
        <x:is>
          <x:t xml:space="preserve">보통</x:t>
        </x:is>
      </x:c>
      <x:c r="O192" s="7" t="inlineStr">
        <x:is>
          <x:t xml:space="preserve">무관</x:t>
        </x:is>
      </x:c>
      <x:c r="P192" s="7" t="inlineStr">
        <x:is>
          <x:t xml:space="preserve">무관</x:t>
        </x:is>
      </x:c>
      <x:c r="Q192" s="7" t="inlineStr">
        <x:is>
          <x:t xml:space="preserve">흔함</x:t>
        </x:is>
      </x:c>
      <x:c r="R192" s="7" t="inlineStr">
        <x:is>
          <x:t xml:space="preserve">없음</x:t>
        </x:is>
      </x:c>
      <x:c r="S192" s="7" t="inlineStr">
        <x:is>
          <x:t xml:space="preserve">평원</x:t>
        </x:is>
      </x:c>
      <x:c r="T192" s="7" t="inlineStr">
        <x:is>
          <x:t xml:space="preserve"/>
        </x:is>
      </x:c>
      <x:c r="U192" s="8" t="str">
        <x:f>INDEX('서식지_점수'!$E$4:$P$4,1,MATCH(MAX('서식지_점수'!E192:P192),'서식지_점수'!E192:P192,0))</x:f>
        <x:v>산악</x:v>
      </x:c>
      <x:c r="V192" s="8" t="str">
        <x:f>IF(T192&lt;&gt;"",T192,U192)</x:f>
        <x:v>산악</x:v>
      </x:c>
      <x:c r="W192" s="8" t="str">
        <x:f>IFERROR(INDEX('서식지_점수'!$E$4:$P$4,1,MATCH(MAXIFS('서식지_점수'!E192:P192,'서식지_점수'!E192:P192,"&lt;"&amp;MAX('서식지_점수'!E192:P192)),'서식지_점수'!E192:P192,0)),"")</x:f>
        <x:v>평원</x:v>
      </x:c>
      <x:c r="X192" s="8" t="str">
        <x:f>IF(T192&lt;&gt;"","수동확정",IF(MAX('서식지_점수'!E192:P192)-LARGE('서식지_점수'!E192:P192,2)&gt;=15,"높음",IF(MAX('서식지_점수'!E192:P192)-LARGE('서식지_점수'!E192:P192,2)&gt;=8,"보통","검토필요")))</x:f>
        <x:v>검토필요</x:v>
      </x:c>
      <x:c r="Y192" s="9" t="n">
        <x:f>IF(Q192="전설",8,IF(Q192="희귀",7,IF(J192="기본",1,IF(J192="중간",3,IF(J192="최종",IF(I192="",5,IF(I192&lt;=20,3,IF(I192&lt;=35,4,IF(I192&lt;=50,6,7)))),IF(Q192="드묾",4,2))))))</x:f>
        <x:v>3</x:v>
      </x:c>
      <x:c r="Z192" s="5" t="inlineStr">
        <x:is>
          <x:t xml:space="preserve">#cobblemon:is_plains; aether:skyroot_grove; aether:skyroot_meadow; the_bumblezone:floral_meadow</x:t>
        </x:is>
      </x:c>
      <x:c r="AA192" s="5" t="inlineStr">
        <x:is>
          <x:t xml:space="preserve">common</x:t>
        </x:is>
      </x:c>
      <x:c r="AB192" s="5" t="inlineStr">
        <x:is>
          <x:t xml:space="preserve">예</x:t>
        </x:is>
      </x:c>
      <x:c r="AC192" s="8" t="str">
        <x:f>IF(T192&lt;&gt;"","수동확정",IF(X192="검토필요","검토필요",IF(S192="","원본없음","초기완료")))</x:f>
        <x:v>검토필요</x:v>
      </x:c>
      <x:c r="AD192" s="7" t="inlineStr">
        <x:is>
          <x:t xml:space="preserve"/>
        </x:is>
      </x:c>
      <x:c r="AE192" s="5" t="inlineStr">
        <x:is>
          <x:t xml:space="preserve">.tmp/cobblemon-1.7.3-source/common/src/main/resources/data/cobblemon/species/generation2/skiploom.json</x:t>
        </x:is>
      </x:c>
      <x:c r="AF192" s="5" t="str">
        <x:f>"생활권|"&amp;K192</x:f>
        <x:v>생활권|비행</x:v>
      </x:c>
      <x:c r="AG192" s="5" t="str">
        <x:f>"지형|"&amp;L192</x:f>
        <x:v>지형|개활지</x:v>
      </x:c>
      <x:c r="AH192" s="5" t="str">
        <x:f>"온도|"&amp;M192</x:f>
        <x:v>온도|온대</x:v>
      </x:c>
      <x:c r="AI192" s="5" t="str">
        <x:f>"습도|"&amp;N192</x:f>
        <x:v>습도|보통</x:v>
      </x:c>
      <x:c r="AJ192" s="5" t="str">
        <x:f>"날씨|"&amp;O192</x:f>
        <x:v>날씨|무관</x:v>
      </x:c>
      <x:c r="AK192" s="5" t="str">
        <x:f>"특수태그|"&amp;R192</x:f>
        <x:v>특수태그|없음</x:v>
      </x:c>
      <x:c r="AL192" s="5" t="str">
        <x:f>"원본서식지|"&amp;S192</x:f>
        <x:v>원본서식지|평원</x:v>
      </x:c>
      <x:c r="AM192" s="5" t="str">
        <x:f>"타입|"&amp;F192</x:f>
        <x:v>타입|풀</x:v>
      </x:c>
      <x:c r="AN192" s="5" t="str">
        <x:f>"타입|"&amp;G192</x:f>
        <x:v>타입|비행</x:v>
      </x:c>
    </x:row>
    <x:row r="193" ht="24" customHeight="1">
      <x:c r="A193" s="5" t="n">
        <x:v>189</x:v>
      </x:c>
      <x:c r="B193" s="5" t="inlineStr">
        <x:is>
          <x:t xml:space="preserve">솜솜코</x:t>
        </x:is>
      </x:c>
      <x:c r="C193" s="5" t="inlineStr">
        <x:is>
          <x:t xml:space="preserve">jumpluff</x:t>
        </x:is>
      </x:c>
      <x:c r="D193" s="5" t="inlineStr">
        <x:is>
          <x:t xml:space="preserve">Jumpluff</x:t>
        </x:is>
      </x:c>
      <x:c r="E193" s="5" t="n">
        <x:v>2</x:v>
      </x:c>
      <x:c r="F193" s="5" t="inlineStr">
        <x:is>
          <x:t xml:space="preserve">풀</x:t>
        </x:is>
      </x:c>
      <x:c r="G193" s="5" t="inlineStr">
        <x:is>
          <x:t xml:space="preserve">비행</x:t>
        </x:is>
      </x:c>
      <x:c r="H193" s="6" t="n">
        <x:v>3</x:v>
      </x:c>
      <x:c r="I193" s="5" t="n">
        <x:v>27</x:v>
      </x:c>
      <x:c r="J193" s="5" t="inlineStr">
        <x:is>
          <x:t xml:space="preserve">최종</x:t>
        </x:is>
      </x:c>
      <x:c r="K193" s="7" t="inlineStr">
        <x:is>
          <x:t xml:space="preserve">비행</x:t>
        </x:is>
      </x:c>
      <x:c r="L193" s="7" t="inlineStr">
        <x:is>
          <x:t xml:space="preserve">개활지</x:t>
        </x:is>
      </x:c>
      <x:c r="M193" s="7" t="inlineStr">
        <x:is>
          <x:t xml:space="preserve">온대</x:t>
        </x:is>
      </x:c>
      <x:c r="N193" s="7" t="inlineStr">
        <x:is>
          <x:t xml:space="preserve">보통</x:t>
        </x:is>
      </x:c>
      <x:c r="O193" s="7" t="inlineStr">
        <x:is>
          <x:t xml:space="preserve">무관</x:t>
        </x:is>
      </x:c>
      <x:c r="P193" s="7" t="inlineStr">
        <x:is>
          <x:t xml:space="preserve">무관</x:t>
        </x:is>
      </x:c>
      <x:c r="Q193" s="7" t="inlineStr">
        <x:is>
          <x:t xml:space="preserve">흔함</x:t>
        </x:is>
      </x:c>
      <x:c r="R193" s="7" t="inlineStr">
        <x:is>
          <x:t xml:space="preserve">없음</x:t>
        </x:is>
      </x:c>
      <x:c r="S193" s="7" t="inlineStr">
        <x:is>
          <x:t xml:space="preserve">평원</x:t>
        </x:is>
      </x:c>
      <x:c r="T193" s="7" t="inlineStr">
        <x:is>
          <x:t xml:space="preserve"/>
        </x:is>
      </x:c>
      <x:c r="U193" s="8" t="str">
        <x:f>INDEX('서식지_점수'!$E$4:$P$4,1,MATCH(MAX('서식지_점수'!E193:P193),'서식지_점수'!E193:P193,0))</x:f>
        <x:v>산악</x:v>
      </x:c>
      <x:c r="V193" s="8" t="str">
        <x:f>IF(T193&lt;&gt;"",T193,U193)</x:f>
        <x:v>산악</x:v>
      </x:c>
      <x:c r="W193" s="8" t="str">
        <x:f>IFERROR(INDEX('서식지_점수'!$E$4:$P$4,1,MATCH(MAXIFS('서식지_점수'!E193:P193,'서식지_점수'!E193:P193,"&lt;"&amp;MAX('서식지_점수'!E193:P193)),'서식지_점수'!E193:P193,0)),"")</x:f>
        <x:v>평원</x:v>
      </x:c>
      <x:c r="X193" s="8" t="str">
        <x:f>IF(T193&lt;&gt;"","수동확정",IF(MAX('서식지_점수'!E193:P193)-LARGE('서식지_점수'!E193:P193,2)&gt;=15,"높음",IF(MAX('서식지_점수'!E193:P193)-LARGE('서식지_점수'!E193:P193,2)&gt;=8,"보통","검토필요")))</x:f>
        <x:v>검토필요</x:v>
      </x:c>
      <x:c r="Y193" s="9" t="n">
        <x:f>IF(Q193="전설",8,IF(Q193="희귀",7,IF(J193="기본",1,IF(J193="중간",3,IF(J193="최종",IF(I193="",5,IF(I193&lt;=20,3,IF(I193&lt;=35,4,IF(I193&lt;=50,6,7)))),IF(Q193="드묾",4,2))))))</x:f>
        <x:v>4</x:v>
      </x:c>
      <x:c r="Z193" s="5" t="inlineStr">
        <x:is>
          <x:t xml:space="preserve">#cobblemon:is_plains; aether:skyroot_grove; aether:skyroot_meadow; the_bumblezone:floral_meadow</x:t>
        </x:is>
      </x:c>
      <x:c r="AA193" s="5" t="inlineStr">
        <x:is>
          <x:t xml:space="preserve">common</x:t>
        </x:is>
      </x:c>
      <x:c r="AB193" s="5" t="inlineStr">
        <x:is>
          <x:t xml:space="preserve">예</x:t>
        </x:is>
      </x:c>
      <x:c r="AC193" s="8" t="str">
        <x:f>IF(T193&lt;&gt;"","수동확정",IF(X193="검토필요","검토필요",IF(S193="","원본없음","초기완료")))</x:f>
        <x:v>검토필요</x:v>
      </x:c>
      <x:c r="AD193" s="7" t="inlineStr">
        <x:is>
          <x:t xml:space="preserve"/>
        </x:is>
      </x:c>
      <x:c r="AE193" s="5" t="inlineStr">
        <x:is>
          <x:t xml:space="preserve">.tmp/cobblemon-1.7.3-source/common/src/main/resources/data/cobblemon/species/generation2/jumpluff.json</x:t>
        </x:is>
      </x:c>
      <x:c r="AF193" s="5" t="str">
        <x:f>"생활권|"&amp;K193</x:f>
        <x:v>생활권|비행</x:v>
      </x:c>
      <x:c r="AG193" s="5" t="str">
        <x:f>"지형|"&amp;L193</x:f>
        <x:v>지형|개활지</x:v>
      </x:c>
      <x:c r="AH193" s="5" t="str">
        <x:f>"온도|"&amp;M193</x:f>
        <x:v>온도|온대</x:v>
      </x:c>
      <x:c r="AI193" s="5" t="str">
        <x:f>"습도|"&amp;N193</x:f>
        <x:v>습도|보통</x:v>
      </x:c>
      <x:c r="AJ193" s="5" t="str">
        <x:f>"날씨|"&amp;O193</x:f>
        <x:v>날씨|무관</x:v>
      </x:c>
      <x:c r="AK193" s="5" t="str">
        <x:f>"특수태그|"&amp;R193</x:f>
        <x:v>특수태그|없음</x:v>
      </x:c>
      <x:c r="AL193" s="5" t="str">
        <x:f>"원본서식지|"&amp;S193</x:f>
        <x:v>원본서식지|평원</x:v>
      </x:c>
      <x:c r="AM193" s="5" t="str">
        <x:f>"타입|"&amp;F193</x:f>
        <x:v>타입|풀</x:v>
      </x:c>
      <x:c r="AN193" s="5" t="str">
        <x:f>"타입|"&amp;G193</x:f>
        <x:v>타입|비행</x:v>
      </x:c>
    </x:row>
    <x:row r="194" ht="24" customHeight="1">
      <x:c r="A194" s="5" t="n">
        <x:v>190</x:v>
      </x:c>
      <x:c r="B194" s="5" t="inlineStr">
        <x:is>
          <x:t xml:space="preserve">에이팜</x:t>
        </x:is>
      </x:c>
      <x:c r="C194" s="5" t="inlineStr">
        <x:is>
          <x:t xml:space="preserve">aipom</x:t>
        </x:is>
      </x:c>
      <x:c r="D194" s="5" t="inlineStr">
        <x:is>
          <x:t xml:space="preserve">Aipom</x:t>
        </x:is>
      </x:c>
      <x:c r="E194" s="5" t="n">
        <x:v>2</x:v>
      </x:c>
      <x:c r="F194" s="5" t="inlineStr">
        <x:is>
          <x:t xml:space="preserve">노말</x:t>
        </x:is>
      </x:c>
      <x:c r="G194" s="5" t="inlineStr">
        <x:is>
          <x:t xml:space="preserve"/>
        </x:is>
      </x:c>
      <x:c r="H194" s="6" t="n">
        <x:v>11.5</x:v>
      </x:c>
      <x:c r="I194" s="5" t="n"/>
      <x:c r="J194" s="5" t="inlineStr">
        <x:is>
          <x:t xml:space="preserve">기본</x:t>
        </x:is>
      </x:c>
      <x:c r="K194" s="7" t="inlineStr">
        <x:is>
          <x:t xml:space="preserve">육상</x:t>
        </x:is>
      </x:c>
      <x:c r="L194" s="7" t="inlineStr">
        <x:is>
          <x:t xml:space="preserve">수목</x:t>
        </x:is>
      </x:c>
      <x:c r="M194" s="7" t="inlineStr">
        <x:is>
          <x:t xml:space="preserve">온대</x:t>
        </x:is>
      </x:c>
      <x:c r="N194" s="7" t="inlineStr">
        <x:is>
          <x:t xml:space="preserve">다습</x:t>
        </x:is>
      </x:c>
      <x:c r="O194" s="7" t="inlineStr">
        <x:is>
          <x:t xml:space="preserve">무관</x:t>
        </x:is>
      </x:c>
      <x:c r="P194" s="7" t="inlineStr">
        <x:is>
          <x:t xml:space="preserve">무관</x:t>
        </x:is>
      </x:c>
      <x:c r="Q194" s="7" t="inlineStr">
        <x:is>
          <x:t xml:space="preserve">흔함</x:t>
        </x:is>
      </x:c>
      <x:c r="R194" s="7" t="inlineStr">
        <x:is>
          <x:t xml:space="preserve">없음</x:t>
        </x:is>
      </x:c>
      <x:c r="S194" s="7" t="inlineStr">
        <x:is>
          <x:t xml:space="preserve">숲</x:t>
        </x:is>
      </x:c>
      <x:c r="T194" s="7" t="inlineStr">
        <x:is>
          <x:t xml:space="preserve"/>
        </x:is>
      </x:c>
      <x:c r="U194" s="8" t="str">
        <x:f>INDEX('서식지_점수'!$E$4:$P$4,1,MATCH(MAX('서식지_점수'!E194:P194),'서식지_점수'!E194:P194,0))</x:f>
        <x:v>평원</x:v>
      </x:c>
      <x:c r="V194" s="8" t="str">
        <x:f>IF(T194&lt;&gt;"",T194,U194)</x:f>
        <x:v>평원</x:v>
      </x:c>
      <x:c r="W194" s="8" t="str">
        <x:f>IFERROR(INDEX('서식지_점수'!$E$4:$P$4,1,MATCH(MAXIFS('서식지_점수'!E194:P194,'서식지_점수'!E194:P194,"&lt;"&amp;MAX('서식지_점수'!E194:P194)),'서식지_점수'!E194:P194,0)),"")</x:f>
        <x:v>숲</x:v>
      </x:c>
      <x:c r="X194" s="8" t="str">
        <x:f>IF(T194&lt;&gt;"","수동확정",IF(MAX('서식지_점수'!E194:P194)-LARGE('서식지_점수'!E194:P194,2)&gt;=15,"높음",IF(MAX('서식지_점수'!E194:P194)-LARGE('서식지_점수'!E194:P194,2)&gt;=8,"보통","검토필요")))</x:f>
        <x:v>검토필요</x:v>
      </x:c>
      <x:c r="Y194" s="9" t="n">
        <x:f>IF(Q194="전설",8,IF(Q194="희귀",7,IF(J194="기본",1,IF(J194="중간",3,IF(J194="최종",IF(I194="",5,IF(I194&lt;=20,3,IF(I194&lt;=35,4,IF(I194&lt;=50,6,7)))),IF(Q194="드묾",4,2))))))</x:f>
        <x:v>1</x:v>
      </x:c>
      <x:c r="Z194" s="5" t="inlineStr">
        <x:is>
          <x:t xml:space="preserve">#cobblemon:is_jungle; #cobblemon:is_overworld; #cobblemon:is_tropical_island</x:t>
        </x:is>
      </x:c>
      <x:c r="AA194" s="5" t="inlineStr">
        <x:is>
          <x:t xml:space="preserve">common</x:t>
        </x:is>
      </x:c>
      <x:c r="AB194" s="5" t="inlineStr">
        <x:is>
          <x:t xml:space="preserve">예</x:t>
        </x:is>
      </x:c>
      <x:c r="AC194" s="8" t="str">
        <x:f>IF(T194&lt;&gt;"","수동확정",IF(X194="검토필요","검토필요",IF(S194="","원본없음","초기완료")))</x:f>
        <x:v>검토필요</x:v>
      </x:c>
      <x:c r="AD194" s="7" t="inlineStr">
        <x:is>
          <x:t xml:space="preserve"/>
        </x:is>
      </x:c>
      <x:c r="AE194" s="5" t="inlineStr">
        <x:is>
          <x:t xml:space="preserve">.tmp/cobblemon-1.7.3-source/common/src/main/resources/data/cobblemon/species/generation2/aipom.json</x:t>
        </x:is>
      </x:c>
      <x:c r="AF194" s="5" t="str">
        <x:f>"생활권|"&amp;K194</x:f>
        <x:v>생활권|육상</x:v>
      </x:c>
      <x:c r="AG194" s="5" t="str">
        <x:f>"지형|"&amp;L194</x:f>
        <x:v>지형|수목</x:v>
      </x:c>
      <x:c r="AH194" s="5" t="str">
        <x:f>"온도|"&amp;M194</x:f>
        <x:v>온도|온대</x:v>
      </x:c>
      <x:c r="AI194" s="5" t="str">
        <x:f>"습도|"&amp;N194</x:f>
        <x:v>습도|다습</x:v>
      </x:c>
      <x:c r="AJ194" s="5" t="str">
        <x:f>"날씨|"&amp;O194</x:f>
        <x:v>날씨|무관</x:v>
      </x:c>
      <x:c r="AK194" s="5" t="str">
        <x:f>"특수태그|"&amp;R194</x:f>
        <x:v>특수태그|없음</x:v>
      </x:c>
      <x:c r="AL194" s="5" t="str">
        <x:f>"원본서식지|"&amp;S194</x:f>
        <x:v>원본서식지|숲</x:v>
      </x:c>
      <x:c r="AM194" s="5" t="str">
        <x:f>"타입|"&amp;F194</x:f>
        <x:v>타입|노말</x:v>
      </x:c>
      <x:c r="AN194" s="5" t="str">
        <x:f>"타입|"&amp;G194</x:f>
        <x:v>타입|</x:v>
      </x:c>
    </x:row>
    <x:row r="195" ht="24" customHeight="1">
      <x:c r="A195" s="5" t="n">
        <x:v>191</x:v>
      </x:c>
      <x:c r="B195" s="5" t="inlineStr">
        <x:is>
          <x:t xml:space="preserve">해너츠</x:t>
        </x:is>
      </x:c>
      <x:c r="C195" s="5" t="inlineStr">
        <x:is>
          <x:t xml:space="preserve">sunkern</x:t>
        </x:is>
      </x:c>
      <x:c r="D195" s="5" t="inlineStr">
        <x:is>
          <x:t xml:space="preserve">Sunkern</x:t>
        </x:is>
      </x:c>
      <x:c r="E195" s="5" t="n">
        <x:v>2</x:v>
      </x:c>
      <x:c r="F195" s="5" t="inlineStr">
        <x:is>
          <x:t xml:space="preserve">풀</x:t>
        </x:is>
      </x:c>
      <x:c r="G195" s="5" t="inlineStr">
        <x:is>
          <x:t xml:space="preserve"/>
        </x:is>
      </x:c>
      <x:c r="H195" s="6" t="n">
        <x:v>1.8</x:v>
      </x:c>
      <x:c r="I195" s="5" t="n"/>
      <x:c r="J195" s="5" t="inlineStr">
        <x:is>
          <x:t xml:space="preserve">기본</x:t>
        </x:is>
      </x:c>
      <x:c r="K195" s="7" t="inlineStr">
        <x:is>
          <x:t xml:space="preserve">육상</x:t>
        </x:is>
      </x:c>
      <x:c r="L195" s="7" t="inlineStr">
        <x:is>
          <x:t xml:space="preserve">개활지</x:t>
        </x:is>
      </x:c>
      <x:c r="M195" s="7" t="inlineStr">
        <x:is>
          <x:t xml:space="preserve">온대</x:t>
        </x:is>
      </x:c>
      <x:c r="N195" s="7" t="inlineStr">
        <x:is>
          <x:t xml:space="preserve">보통</x:t>
        </x:is>
      </x:c>
      <x:c r="O195" s="7" t="inlineStr">
        <x:is>
          <x:t xml:space="preserve">무관</x:t>
        </x:is>
      </x:c>
      <x:c r="P195" s="7" t="inlineStr">
        <x:is>
          <x:t xml:space="preserve">무관</x:t>
        </x:is>
      </x:c>
      <x:c r="Q195" s="7" t="inlineStr">
        <x:is>
          <x:t xml:space="preserve">흔함</x:t>
        </x:is>
      </x:c>
      <x:c r="R195" s="7" t="inlineStr">
        <x:is>
          <x:t xml:space="preserve">없음</x:t>
        </x:is>
      </x:c>
      <x:c r="S195" s="7" t="inlineStr">
        <x:is>
          <x:t xml:space="preserve">평원</x:t>
        </x:is>
      </x:c>
      <x:c r="T195" s="7" t="inlineStr">
        <x:is>
          <x:t xml:space="preserve"/>
        </x:is>
      </x:c>
      <x:c r="U195" s="8" t="str">
        <x:f>INDEX('서식지_점수'!$E$4:$P$4,1,MATCH(MAX('서식지_점수'!E195:P195),'서식지_점수'!E195:P195,0))</x:f>
        <x:v>평원</x:v>
      </x:c>
      <x:c r="V195" s="8" t="str">
        <x:f>IF(T195&lt;&gt;"",T195,U195)</x:f>
        <x:v>평원</x:v>
      </x:c>
      <x:c r="W195" s="8" t="str">
        <x:f>IFERROR(INDEX('서식지_점수'!$E$4:$P$4,1,MATCH(MAXIFS('서식지_점수'!E195:P195,'서식지_점수'!E195:P195,"&lt;"&amp;MAX('서식지_점수'!E195:P195)),'서식지_점수'!E195:P195,0)),"")</x:f>
        <x:v>숲</x:v>
      </x:c>
      <x:c r="X195" s="8" t="str">
        <x:f>IF(T195&lt;&gt;"","수동확정",IF(MAX('서식지_점수'!E195:P195)-LARGE('서식지_점수'!E195:P195,2)&gt;=15,"높음",IF(MAX('서식지_점수'!E195:P195)-LARGE('서식지_점수'!E195:P195,2)&gt;=8,"보통","검토필요")))</x:f>
        <x:v>검토필요</x:v>
      </x:c>
      <x:c r="Y195" s="9" t="n">
        <x:f>IF(Q195="전설",8,IF(Q195="희귀",7,IF(J195="기본",1,IF(J195="중간",3,IF(J195="최종",IF(I195="",5,IF(I195&lt;=20,3,IF(I195&lt;=35,4,IF(I195&lt;=50,6,7)))),IF(Q195="드묾",4,2))))))</x:f>
        <x:v>1</x:v>
      </x:c>
      <x:c r="Z195" s="5" t="inlineStr">
        <x:is>
          <x:t xml:space="preserve">#cobblemon:is_overworld; aether:skyroot_grove; aether:skyroot_meadow; minecraft:sunflower_plains; the_bumblezone:floral_meadow</x:t>
        </x:is>
      </x:c>
      <x:c r="AA195" s="5" t="inlineStr">
        <x:is>
          <x:t xml:space="preserve">common</x:t>
        </x:is>
      </x:c>
      <x:c r="AB195" s="5" t="inlineStr">
        <x:is>
          <x:t xml:space="preserve">예</x:t>
        </x:is>
      </x:c>
      <x:c r="AC195" s="8" t="str">
        <x:f>IF(T195&lt;&gt;"","수동확정",IF(X195="검토필요","검토필요",IF(S195="","원본없음","초기완료")))</x:f>
        <x:v>검토필요</x:v>
      </x:c>
      <x:c r="AD195" s="7" t="inlineStr">
        <x:is>
          <x:t xml:space="preserve"/>
        </x:is>
      </x:c>
      <x:c r="AE195" s="5" t="inlineStr">
        <x:is>
          <x:t xml:space="preserve">.tmp/cobblemon-1.7.3-source/common/src/main/resources/data/cobblemon/species/generation2/sunkern.json</x:t>
        </x:is>
      </x:c>
      <x:c r="AF195" s="5" t="str">
        <x:f>"생활권|"&amp;K195</x:f>
        <x:v>생활권|육상</x:v>
      </x:c>
      <x:c r="AG195" s="5" t="str">
        <x:f>"지형|"&amp;L195</x:f>
        <x:v>지형|개활지</x:v>
      </x:c>
      <x:c r="AH195" s="5" t="str">
        <x:f>"온도|"&amp;M195</x:f>
        <x:v>온도|온대</x:v>
      </x:c>
      <x:c r="AI195" s="5" t="str">
        <x:f>"습도|"&amp;N195</x:f>
        <x:v>습도|보통</x:v>
      </x:c>
      <x:c r="AJ195" s="5" t="str">
        <x:f>"날씨|"&amp;O195</x:f>
        <x:v>날씨|무관</x:v>
      </x:c>
      <x:c r="AK195" s="5" t="str">
        <x:f>"특수태그|"&amp;R195</x:f>
        <x:v>특수태그|없음</x:v>
      </x:c>
      <x:c r="AL195" s="5" t="str">
        <x:f>"원본서식지|"&amp;S195</x:f>
        <x:v>원본서식지|평원</x:v>
      </x:c>
      <x:c r="AM195" s="5" t="str">
        <x:f>"타입|"&amp;F195</x:f>
        <x:v>타입|풀</x:v>
      </x:c>
      <x:c r="AN195" s="5" t="str">
        <x:f>"타입|"&amp;G195</x:f>
        <x:v>타입|</x:v>
      </x:c>
    </x:row>
    <x:row r="196" ht="24" customHeight="1">
      <x:c r="A196" s="5" t="n">
        <x:v>192</x:v>
      </x:c>
      <x:c r="B196" s="5" t="inlineStr">
        <x:is>
          <x:t xml:space="preserve">해루미</x:t>
        </x:is>
      </x:c>
      <x:c r="C196" s="5" t="inlineStr">
        <x:is>
          <x:t xml:space="preserve">sunflora</x:t>
        </x:is>
      </x:c>
      <x:c r="D196" s="5" t="inlineStr">
        <x:is>
          <x:t xml:space="preserve">Sunflora</x:t>
        </x:is>
      </x:c>
      <x:c r="E196" s="5" t="n">
        <x:v>2</x:v>
      </x:c>
      <x:c r="F196" s="5" t="inlineStr">
        <x:is>
          <x:t xml:space="preserve">풀</x:t>
        </x:is>
      </x:c>
      <x:c r="G196" s="5" t="inlineStr">
        <x:is>
          <x:t xml:space="preserve"/>
        </x:is>
      </x:c>
      <x:c r="H196" s="6" t="n">
        <x:v>8.5</x:v>
      </x:c>
      <x:c r="I196" s="5" t="n"/>
      <x:c r="J196" s="5" t="inlineStr">
        <x:is>
          <x:t xml:space="preserve">최종</x:t>
        </x:is>
      </x:c>
      <x:c r="K196" s="7" t="inlineStr">
        <x:is>
          <x:t xml:space="preserve">육상</x:t>
        </x:is>
      </x:c>
      <x:c r="L196" s="7" t="inlineStr">
        <x:is>
          <x:t xml:space="preserve">개활지</x:t>
        </x:is>
      </x:c>
      <x:c r="M196" s="7" t="inlineStr">
        <x:is>
          <x:t xml:space="preserve">온대</x:t>
        </x:is>
      </x:c>
      <x:c r="N196" s="7" t="inlineStr">
        <x:is>
          <x:t xml:space="preserve">보통</x:t>
        </x:is>
      </x:c>
      <x:c r="O196" s="7" t="inlineStr">
        <x:is>
          <x:t xml:space="preserve">무관</x:t>
        </x:is>
      </x:c>
      <x:c r="P196" s="7" t="inlineStr">
        <x:is>
          <x:t xml:space="preserve">무관</x:t>
        </x:is>
      </x:c>
      <x:c r="Q196" s="7" t="inlineStr">
        <x:is>
          <x:t xml:space="preserve">흔함</x:t>
        </x:is>
      </x:c>
      <x:c r="R196" s="7" t="inlineStr">
        <x:is>
          <x:t xml:space="preserve">없음</x:t>
        </x:is>
      </x:c>
      <x:c r="S196" s="7" t="inlineStr">
        <x:is>
          <x:t xml:space="preserve">평원</x:t>
        </x:is>
      </x:c>
      <x:c r="T196" s="7" t="inlineStr">
        <x:is>
          <x:t xml:space="preserve"/>
        </x:is>
      </x:c>
      <x:c r="U196" s="8" t="str">
        <x:f>INDEX('서식지_점수'!$E$4:$P$4,1,MATCH(MAX('서식지_점수'!E196:P196),'서식지_점수'!E196:P196,0))</x:f>
        <x:v>평원</x:v>
      </x:c>
      <x:c r="V196" s="8" t="str">
        <x:f>IF(T196&lt;&gt;"",T196,U196)</x:f>
        <x:v>평원</x:v>
      </x:c>
      <x:c r="W196" s="8" t="str">
        <x:f>IFERROR(INDEX('서식지_점수'!$E$4:$P$4,1,MATCH(MAXIFS('서식지_점수'!E196:P196,'서식지_점수'!E196:P196,"&lt;"&amp;MAX('서식지_점수'!E196:P196)),'서식지_점수'!E196:P196,0)),"")</x:f>
        <x:v>숲</x:v>
      </x:c>
      <x:c r="X196" s="8" t="str">
        <x:f>IF(T196&lt;&gt;"","수동확정",IF(MAX('서식지_점수'!E196:P196)-LARGE('서식지_점수'!E196:P196,2)&gt;=15,"높음",IF(MAX('서식지_점수'!E196:P196)-LARGE('서식지_점수'!E196:P196,2)&gt;=8,"보통","검토필요")))</x:f>
        <x:v>검토필요</x:v>
      </x:c>
      <x:c r="Y196" s="9" t="n">
        <x:f>IF(Q196="전설",8,IF(Q196="희귀",7,IF(J196="기본",1,IF(J196="중간",3,IF(J196="최종",IF(I196="",5,IF(I196&lt;=20,3,IF(I196&lt;=35,4,IF(I196&lt;=50,6,7)))),IF(Q196="드묾",4,2))))))</x:f>
        <x:v>5</x:v>
      </x:c>
      <x:c r="Z196" s="5" t="inlineStr">
        <x:is>
          <x:t xml:space="preserve">#cobblemon:is_overworld; aether:skyroot_grove; aether:skyroot_meadow; minecraft:sunflower_plains; the_bumblezone:floral_meadow</x:t>
        </x:is>
      </x:c>
      <x:c r="AA196" s="5" t="inlineStr">
        <x:is>
          <x:t xml:space="preserve">common</x:t>
        </x:is>
      </x:c>
      <x:c r="AB196" s="5" t="inlineStr">
        <x:is>
          <x:t xml:space="preserve">예</x:t>
        </x:is>
      </x:c>
      <x:c r="AC196" s="8" t="str">
        <x:f>IF(T196&lt;&gt;"","수동확정",IF(X196="검토필요","검토필요",IF(S196="","원본없음","초기완료")))</x:f>
        <x:v>검토필요</x:v>
      </x:c>
      <x:c r="AD196" s="7" t="inlineStr">
        <x:is>
          <x:t xml:space="preserve"/>
        </x:is>
      </x:c>
      <x:c r="AE196" s="5" t="inlineStr">
        <x:is>
          <x:t xml:space="preserve">.tmp/cobblemon-1.7.3-source/common/src/main/resources/data/cobblemon/species/generation2/sunflora.json</x:t>
        </x:is>
      </x:c>
      <x:c r="AF196" s="5" t="str">
        <x:f>"생활권|"&amp;K196</x:f>
        <x:v>생활권|육상</x:v>
      </x:c>
      <x:c r="AG196" s="5" t="str">
        <x:f>"지형|"&amp;L196</x:f>
        <x:v>지형|개활지</x:v>
      </x:c>
      <x:c r="AH196" s="5" t="str">
        <x:f>"온도|"&amp;M196</x:f>
        <x:v>온도|온대</x:v>
      </x:c>
      <x:c r="AI196" s="5" t="str">
        <x:f>"습도|"&amp;N196</x:f>
        <x:v>습도|보통</x:v>
      </x:c>
      <x:c r="AJ196" s="5" t="str">
        <x:f>"날씨|"&amp;O196</x:f>
        <x:v>날씨|무관</x:v>
      </x:c>
      <x:c r="AK196" s="5" t="str">
        <x:f>"특수태그|"&amp;R196</x:f>
        <x:v>특수태그|없음</x:v>
      </x:c>
      <x:c r="AL196" s="5" t="str">
        <x:f>"원본서식지|"&amp;S196</x:f>
        <x:v>원본서식지|평원</x:v>
      </x:c>
      <x:c r="AM196" s="5" t="str">
        <x:f>"타입|"&amp;F196</x:f>
        <x:v>타입|풀</x:v>
      </x:c>
      <x:c r="AN196" s="5" t="str">
        <x:f>"타입|"&amp;G196</x:f>
        <x:v>타입|</x:v>
      </x:c>
    </x:row>
    <x:row r="197" ht="24" customHeight="1">
      <x:c r="A197" s="5" t="n">
        <x:v>193</x:v>
      </x:c>
      <x:c r="B197" s="5" t="inlineStr">
        <x:is>
          <x:t xml:space="preserve">왕자리</x:t>
        </x:is>
      </x:c>
      <x:c r="C197" s="5" t="inlineStr">
        <x:is>
          <x:t xml:space="preserve">yanma</x:t>
        </x:is>
      </x:c>
      <x:c r="D197" s="5" t="inlineStr">
        <x:is>
          <x:t xml:space="preserve">Yanma</x:t>
        </x:is>
      </x:c>
      <x:c r="E197" s="5" t="n">
        <x:v>2</x:v>
      </x:c>
      <x:c r="F197" s="5" t="inlineStr">
        <x:is>
          <x:t xml:space="preserve">벌레</x:t>
        </x:is>
      </x:c>
      <x:c r="G197" s="5" t="inlineStr">
        <x:is>
          <x:t xml:space="preserve">비행</x:t>
        </x:is>
      </x:c>
      <x:c r="H197" s="6" t="n">
        <x:v>38</x:v>
      </x:c>
      <x:c r="I197" s="5" t="n"/>
      <x:c r="J197" s="5" t="inlineStr">
        <x:is>
          <x:t xml:space="preserve">기본</x:t>
        </x:is>
      </x:c>
      <x:c r="K197" s="7" t="inlineStr">
        <x:is>
          <x:t xml:space="preserve">담수</x:t>
        </x:is>
      </x:c>
      <x:c r="L197" s="7" t="inlineStr">
        <x:is>
          <x:t xml:space="preserve">담수</x:t>
        </x:is>
      </x:c>
      <x:c r="M197" s="7" t="inlineStr">
        <x:is>
          <x:t xml:space="preserve">온대</x:t>
        </x:is>
      </x:c>
      <x:c r="N197" s="7" t="inlineStr">
        <x:is>
          <x:t xml:space="preserve">수중</x:t>
        </x:is>
      </x:c>
      <x:c r="O197" s="7" t="inlineStr">
        <x:is>
          <x:t xml:space="preserve">비</x:t>
        </x:is>
      </x:c>
      <x:c r="P197" s="7" t="inlineStr">
        <x:is>
          <x:t xml:space="preserve">낮</x:t>
        </x:is>
      </x:c>
      <x:c r="Q197" s="7" t="inlineStr">
        <x:is>
          <x:t xml:space="preserve">보통</x:t>
        </x:is>
      </x:c>
      <x:c r="R197" s="7" t="inlineStr">
        <x:is>
          <x:t xml:space="preserve">없음</x:t>
        </x:is>
      </x:c>
      <x:c r="S197" s="7" t="inlineStr">
        <x:is>
          <x:t xml:space="preserve">담수</x:t>
        </x:is>
      </x:c>
      <x:c r="T197" s="7" t="inlineStr">
        <x:is>
          <x:t xml:space="preserve"/>
        </x:is>
      </x:c>
      <x:c r="U197" s="8" t="str">
        <x:f>INDEX('서식지_점수'!$E$4:$P$4,1,MATCH(MAX('서식지_점수'!E197:P197),'서식지_점수'!E197:P197,0))</x:f>
        <x:v>담수</x:v>
      </x:c>
      <x:c r="V197" s="8" t="str">
        <x:f>IF(T197&lt;&gt;"",T197,U197)</x:f>
        <x:v>담수</x:v>
      </x:c>
      <x:c r="W197" s="8" t="str">
        <x:f>IFERROR(INDEX('서식지_점수'!$E$4:$P$4,1,MATCH(MAXIFS('서식지_점수'!E197:P197,'서식지_점수'!E197:P197,"&lt;"&amp;MAX('서식지_점수'!E197:P197)),'서식지_점수'!E197:P197,0)),"")</x:f>
        <x:v>습지</x:v>
      </x:c>
      <x:c r="X197" s="8" t="str">
        <x:f>IF(T197&lt;&gt;"","수동확정",IF(MAX('서식지_점수'!E197:P197)-LARGE('서식지_점수'!E197:P197,2)&gt;=15,"높음",IF(MAX('서식지_점수'!E197:P197)-LARGE('서식지_점수'!E197:P197,2)&gt;=8,"보통","검토필요")))</x:f>
        <x:v>높음</x:v>
      </x:c>
      <x:c r="Y197" s="9" t="n">
        <x:f>IF(Q197="전설",8,IF(Q197="희귀",7,IF(J197="기본",1,IF(J197="중간",3,IF(J197="최종",IF(I197="",5,IF(I197&lt;=20,3,IF(I197&lt;=35,4,IF(I197&lt;=50,6,7)))),IF(Q197="드묾",4,2))))))</x:f>
        <x:v>1</x:v>
      </x:c>
      <x:c r="Z197" s="5" t="inlineStr">
        <x:is>
          <x:t xml:space="preserve">#aether:is_aether; #cobblemon:is_freshwater; #cobblemon:is_lush; #cobblemon:is_overworld; #the_bumblezone:the_bumblezone</x:t>
        </x:is>
      </x:c>
      <x:c r="AA197" s="5" t="inlineStr">
        <x:is>
          <x:t xml:space="preserve">uncommon</x:t>
        </x:is>
      </x:c>
      <x:c r="AB197" s="5" t="inlineStr">
        <x:is>
          <x:t xml:space="preserve">예</x:t>
        </x:is>
      </x:c>
      <x:c r="AC197" s="8" t="str">
        <x:f>IF(T197&lt;&gt;"","수동확정",IF(X197="검토필요","검토필요",IF(S197="","원본없음","초기완료")))</x:f>
        <x:v>초기완료</x:v>
      </x:c>
      <x:c r="AD197" s="7" t="inlineStr">
        <x:is>
          <x:t xml:space="preserve"/>
        </x:is>
      </x:c>
      <x:c r="AE197" s="5" t="inlineStr">
        <x:is>
          <x:t xml:space="preserve">.tmp/cobblemon-1.7.3-source/common/src/main/resources/data/cobblemon/species/generation2/yanma.json</x:t>
        </x:is>
      </x:c>
      <x:c r="AF197" s="5" t="str">
        <x:f>"생활권|"&amp;K197</x:f>
        <x:v>생활권|담수</x:v>
      </x:c>
      <x:c r="AG197" s="5" t="str">
        <x:f>"지형|"&amp;L197</x:f>
        <x:v>지형|담수</x:v>
      </x:c>
      <x:c r="AH197" s="5" t="str">
        <x:f>"온도|"&amp;M197</x:f>
        <x:v>온도|온대</x:v>
      </x:c>
      <x:c r="AI197" s="5" t="str">
        <x:f>"습도|"&amp;N197</x:f>
        <x:v>습도|수중</x:v>
      </x:c>
      <x:c r="AJ197" s="5" t="str">
        <x:f>"날씨|"&amp;O197</x:f>
        <x:v>날씨|비</x:v>
      </x:c>
      <x:c r="AK197" s="5" t="str">
        <x:f>"특수태그|"&amp;R197</x:f>
        <x:v>특수태그|없음</x:v>
      </x:c>
      <x:c r="AL197" s="5" t="str">
        <x:f>"원본서식지|"&amp;S197</x:f>
        <x:v>원본서식지|담수</x:v>
      </x:c>
      <x:c r="AM197" s="5" t="str">
        <x:f>"타입|"&amp;F197</x:f>
        <x:v>타입|벌레</x:v>
      </x:c>
      <x:c r="AN197" s="5" t="str">
        <x:f>"타입|"&amp;G197</x:f>
        <x:v>타입|비행</x:v>
      </x:c>
    </x:row>
    <x:row r="198" ht="24" customHeight="1">
      <x:c r="A198" s="5" t="n">
        <x:v>194</x:v>
      </x:c>
      <x:c r="B198" s="5" t="inlineStr">
        <x:is>
          <x:t xml:space="preserve">우파</x:t>
        </x:is>
      </x:c>
      <x:c r="C198" s="5" t="inlineStr">
        <x:is>
          <x:t xml:space="preserve">wooper</x:t>
        </x:is>
      </x:c>
      <x:c r="D198" s="5" t="inlineStr">
        <x:is>
          <x:t xml:space="preserve">Wooper</x:t>
        </x:is>
      </x:c>
      <x:c r="E198" s="5" t="n">
        <x:v>2</x:v>
      </x:c>
      <x:c r="F198" s="5" t="inlineStr">
        <x:is>
          <x:t xml:space="preserve">물</x:t>
        </x:is>
      </x:c>
      <x:c r="G198" s="5" t="inlineStr">
        <x:is>
          <x:t xml:space="preserve">땅</x:t>
        </x:is>
      </x:c>
      <x:c r="H198" s="6" t="n">
        <x:v>8.5</x:v>
      </x:c>
      <x:c r="I198" s="5" t="n">
        <x:v>20</x:v>
      </x:c>
      <x:c r="J198" s="5" t="inlineStr">
        <x:is>
          <x:t xml:space="preserve">기본</x:t>
        </x:is>
      </x:c>
      <x:c r="K198" s="7" t="inlineStr">
        <x:is>
          <x:t xml:space="preserve">수륙</x:t>
        </x:is>
      </x:c>
      <x:c r="L198" s="7" t="inlineStr">
        <x:is>
          <x:t xml:space="preserve">습지</x:t>
        </x:is>
      </x:c>
      <x:c r="M198" s="7" t="inlineStr">
        <x:is>
          <x:t xml:space="preserve">온대</x:t>
        </x:is>
      </x:c>
      <x:c r="N198" s="7" t="inlineStr">
        <x:is>
          <x:t xml:space="preserve">다습</x:t>
        </x:is>
      </x:c>
      <x:c r="O198" s="7" t="inlineStr">
        <x:is>
          <x:t xml:space="preserve">비</x:t>
        </x:is>
      </x:c>
      <x:c r="P198" s="7" t="inlineStr">
        <x:is>
          <x:t xml:space="preserve">무관</x:t>
        </x:is>
      </x:c>
      <x:c r="Q198" s="7" t="inlineStr">
        <x:is>
          <x:t xml:space="preserve">보통</x:t>
        </x:is>
      </x:c>
      <x:c r="R198" s="7" t="inlineStr">
        <x:is>
          <x:t xml:space="preserve">없음</x:t>
        </x:is>
      </x:c>
      <x:c r="S198" s="7" t="inlineStr">
        <x:is>
          <x:t xml:space="preserve">습지</x:t>
        </x:is>
      </x:c>
      <x:c r="T198" s="7" t="inlineStr">
        <x:is>
          <x:t xml:space="preserve"/>
        </x:is>
      </x:c>
      <x:c r="U198" s="8" t="str">
        <x:f>INDEX('서식지_점수'!$E$4:$P$4,1,MATCH(MAX('서식지_점수'!E198:P198),'서식지_점수'!E198:P198,0))</x:f>
        <x:v>습지</x:v>
      </x:c>
      <x:c r="V198" s="8" t="str">
        <x:f>IF(T198&lt;&gt;"",T198,U198)</x:f>
        <x:v>습지</x:v>
      </x:c>
      <x:c r="W198" s="8" t="str">
        <x:f>IFERROR(INDEX('서식지_점수'!$E$4:$P$4,1,MATCH(MAXIFS('서식지_점수'!E198:P198,'서식지_점수'!E198:P198,"&lt;"&amp;MAX('서식지_점수'!E198:P198)),'서식지_점수'!E198:P198,0)),"")</x:f>
        <x:v>담수</x:v>
      </x:c>
      <x:c r="X198" s="8" t="str">
        <x:f>IF(T198&lt;&gt;"","수동확정",IF(MAX('서식지_점수'!E198:P198)-LARGE('서식지_점수'!E198:P198,2)&gt;=15,"높음",IF(MAX('서식지_점수'!E198:P198)-LARGE('서식지_점수'!E198:P198,2)&gt;=8,"보통","검토필요")))</x:f>
        <x:v>검토필요</x:v>
      </x:c>
      <x:c r="Y198" s="9" t="n">
        <x:f>IF(Q198="전설",8,IF(Q198="희귀",7,IF(J198="기본",1,IF(J198="중간",3,IF(J198="최종",IF(I198="",5,IF(I198&lt;=20,3,IF(I198&lt;=35,4,IF(I198&lt;=50,6,7)))),IF(Q198="드묾",4,2))))))</x:f>
        <x:v>1</x:v>
      </x:c>
      <x:c r="Z198" s="5" t="inlineStr">
        <x:is>
          <x:t xml:space="preserve">#aether:is_aether; #cobblemon:has_block/mud; #cobblemon:is_arid; #cobblemon:is_lush; #cobblemon:is_mushroom; #cobblemon:is_overworld; #cobblemon:is_savanna; #cobblemon:is_swamp</x:t>
        </x:is>
      </x:c>
      <x:c r="AA198" s="5" t="inlineStr">
        <x:is>
          <x:t xml:space="preserve">common; uncommon</x:t>
        </x:is>
      </x:c>
      <x:c r="AB198" s="5" t="inlineStr">
        <x:is>
          <x:t xml:space="preserve">예</x:t>
        </x:is>
      </x:c>
      <x:c r="AC198" s="8" t="str">
        <x:f>IF(T198&lt;&gt;"","수동확정",IF(X198="검토필요","검토필요",IF(S198="","원본없음","초기완료")))</x:f>
        <x:v>검토필요</x:v>
      </x:c>
      <x:c r="AD198" s="7" t="inlineStr">
        <x:is>
          <x:t xml:space="preserve"/>
        </x:is>
      </x:c>
      <x:c r="AE198" s="5" t="inlineStr">
        <x:is>
          <x:t xml:space="preserve">.tmp/cobblemon-1.7.3-source/common/src/main/resources/data/cobblemon/species/generation2/wooper.json</x:t>
        </x:is>
      </x:c>
      <x:c r="AF198" s="5" t="str">
        <x:f>"생활권|"&amp;K198</x:f>
        <x:v>생활권|수륙</x:v>
      </x:c>
      <x:c r="AG198" s="5" t="str">
        <x:f>"지형|"&amp;L198</x:f>
        <x:v>지형|습지</x:v>
      </x:c>
      <x:c r="AH198" s="5" t="str">
        <x:f>"온도|"&amp;M198</x:f>
        <x:v>온도|온대</x:v>
      </x:c>
      <x:c r="AI198" s="5" t="str">
        <x:f>"습도|"&amp;N198</x:f>
        <x:v>습도|다습</x:v>
      </x:c>
      <x:c r="AJ198" s="5" t="str">
        <x:f>"날씨|"&amp;O198</x:f>
        <x:v>날씨|비</x:v>
      </x:c>
      <x:c r="AK198" s="5" t="str">
        <x:f>"특수태그|"&amp;R198</x:f>
        <x:v>특수태그|없음</x:v>
      </x:c>
      <x:c r="AL198" s="5" t="str">
        <x:f>"원본서식지|"&amp;S198</x:f>
        <x:v>원본서식지|습지</x:v>
      </x:c>
      <x:c r="AM198" s="5" t="str">
        <x:f>"타입|"&amp;F198</x:f>
        <x:v>타입|물</x:v>
      </x:c>
      <x:c r="AN198" s="5" t="str">
        <x:f>"타입|"&amp;G198</x:f>
        <x:v>타입|땅</x:v>
      </x:c>
    </x:row>
    <x:row r="199" ht="24" customHeight="1">
      <x:c r="A199" s="5" t="n">
        <x:v>195</x:v>
      </x:c>
      <x:c r="B199" s="5" t="inlineStr">
        <x:is>
          <x:t xml:space="preserve">누오</x:t>
        </x:is>
      </x:c>
      <x:c r="C199" s="5" t="inlineStr">
        <x:is>
          <x:t xml:space="preserve">quagsire</x:t>
        </x:is>
      </x:c>
      <x:c r="D199" s="5" t="inlineStr">
        <x:is>
          <x:t xml:space="preserve">Quagsire</x:t>
        </x:is>
      </x:c>
      <x:c r="E199" s="5" t="n">
        <x:v>2</x:v>
      </x:c>
      <x:c r="F199" s="5" t="inlineStr">
        <x:is>
          <x:t xml:space="preserve">물</x:t>
        </x:is>
      </x:c>
      <x:c r="G199" s="5" t="inlineStr">
        <x:is>
          <x:t xml:space="preserve">땅</x:t>
        </x:is>
      </x:c>
      <x:c r="H199" s="6" t="n">
        <x:v>75</x:v>
      </x:c>
      <x:c r="I199" s="5" t="n">
        <x:v>20</x:v>
      </x:c>
      <x:c r="J199" s="5" t="inlineStr">
        <x:is>
          <x:t xml:space="preserve">최종</x:t>
        </x:is>
      </x:c>
      <x:c r="K199" s="7" t="inlineStr">
        <x:is>
          <x:t xml:space="preserve">수륙</x:t>
        </x:is>
      </x:c>
      <x:c r="L199" s="7" t="inlineStr">
        <x:is>
          <x:t xml:space="preserve">습지</x:t>
        </x:is>
      </x:c>
      <x:c r="M199" s="7" t="inlineStr">
        <x:is>
          <x:t xml:space="preserve">온대</x:t>
        </x:is>
      </x:c>
      <x:c r="N199" s="7" t="inlineStr">
        <x:is>
          <x:t xml:space="preserve">다습</x:t>
        </x:is>
      </x:c>
      <x:c r="O199" s="7" t="inlineStr">
        <x:is>
          <x:t xml:space="preserve">비</x:t>
        </x:is>
      </x:c>
      <x:c r="P199" s="7" t="inlineStr">
        <x:is>
          <x:t xml:space="preserve">무관</x:t>
        </x:is>
      </x:c>
      <x:c r="Q199" s="7" t="inlineStr">
        <x:is>
          <x:t xml:space="preserve">보통</x:t>
        </x:is>
      </x:c>
      <x:c r="R199" s="7" t="inlineStr">
        <x:is>
          <x:t xml:space="preserve">없음</x:t>
        </x:is>
      </x:c>
      <x:c r="S199" s="7" t="inlineStr">
        <x:is>
          <x:t xml:space="preserve">습지</x:t>
        </x:is>
      </x:c>
      <x:c r="T199" s="7" t="inlineStr">
        <x:is>
          <x:t xml:space="preserve"/>
        </x:is>
      </x:c>
      <x:c r="U199" s="8" t="str">
        <x:f>INDEX('서식지_점수'!$E$4:$P$4,1,MATCH(MAX('서식지_점수'!E199:P199),'서식지_점수'!E199:P199,0))</x:f>
        <x:v>습지</x:v>
      </x:c>
      <x:c r="V199" s="8" t="str">
        <x:f>IF(T199&lt;&gt;"",T199,U199)</x:f>
        <x:v>습지</x:v>
      </x:c>
      <x:c r="W199" s="8" t="str">
        <x:f>IFERROR(INDEX('서식지_점수'!$E$4:$P$4,1,MATCH(MAXIFS('서식지_점수'!E199:P199,'서식지_점수'!E199:P199,"&lt;"&amp;MAX('서식지_점수'!E199:P199)),'서식지_점수'!E199:P199,0)),"")</x:f>
        <x:v>담수</x:v>
      </x:c>
      <x:c r="X199" s="8" t="str">
        <x:f>IF(T199&lt;&gt;"","수동확정",IF(MAX('서식지_점수'!E199:P199)-LARGE('서식지_점수'!E199:P199,2)&gt;=15,"높음",IF(MAX('서식지_점수'!E199:P199)-LARGE('서식지_점수'!E199:P199,2)&gt;=8,"보통","검토필요")))</x:f>
        <x:v>검토필요</x:v>
      </x:c>
      <x:c r="Y199" s="9" t="n">
        <x:f>IF(Q199="전설",8,IF(Q199="희귀",7,IF(J199="기본",1,IF(J199="중간",3,IF(J199="최종",IF(I199="",5,IF(I199&lt;=20,3,IF(I199&lt;=35,4,IF(I199&lt;=50,6,7)))),IF(Q199="드묾",4,2))))))</x:f>
        <x:v>3</x:v>
      </x:c>
      <x:c r="Z199" s="5" t="inlineStr">
        <x:is>
          <x:t xml:space="preserve">#aether:is_aether; #cobblemon:is_lush; #cobblemon:is_mushroom; #cobblemon:is_overworld; #cobblemon:is_swamp</x:t>
        </x:is>
      </x:c>
      <x:c r="AA199" s="5" t="inlineStr">
        <x:is>
          <x:t xml:space="preserve">common; uncommon</x:t>
        </x:is>
      </x:c>
      <x:c r="AB199" s="5" t="inlineStr">
        <x:is>
          <x:t xml:space="preserve">예</x:t>
        </x:is>
      </x:c>
      <x:c r="AC199" s="8" t="str">
        <x:f>IF(T199&lt;&gt;"","수동확정",IF(X199="검토필요","검토필요",IF(S199="","원본없음","초기완료")))</x:f>
        <x:v>검토필요</x:v>
      </x:c>
      <x:c r="AD199" s="7" t="inlineStr">
        <x:is>
          <x:t xml:space="preserve"/>
        </x:is>
      </x:c>
      <x:c r="AE199" s="5" t="inlineStr">
        <x:is>
          <x:t xml:space="preserve">.tmp/cobblemon-1.7.3-source/common/src/main/resources/data/cobblemon/species/generation2/quagsire.json</x:t>
        </x:is>
      </x:c>
      <x:c r="AF199" s="5" t="str">
        <x:f>"생활권|"&amp;K199</x:f>
        <x:v>생활권|수륙</x:v>
      </x:c>
      <x:c r="AG199" s="5" t="str">
        <x:f>"지형|"&amp;L199</x:f>
        <x:v>지형|습지</x:v>
      </x:c>
      <x:c r="AH199" s="5" t="str">
        <x:f>"온도|"&amp;M199</x:f>
        <x:v>온도|온대</x:v>
      </x:c>
      <x:c r="AI199" s="5" t="str">
        <x:f>"습도|"&amp;N199</x:f>
        <x:v>습도|다습</x:v>
      </x:c>
      <x:c r="AJ199" s="5" t="str">
        <x:f>"날씨|"&amp;O199</x:f>
        <x:v>날씨|비</x:v>
      </x:c>
      <x:c r="AK199" s="5" t="str">
        <x:f>"특수태그|"&amp;R199</x:f>
        <x:v>특수태그|없음</x:v>
      </x:c>
      <x:c r="AL199" s="5" t="str">
        <x:f>"원본서식지|"&amp;S199</x:f>
        <x:v>원본서식지|습지</x:v>
      </x:c>
      <x:c r="AM199" s="5" t="str">
        <x:f>"타입|"&amp;F199</x:f>
        <x:v>타입|물</x:v>
      </x:c>
      <x:c r="AN199" s="5" t="str">
        <x:f>"타입|"&amp;G199</x:f>
        <x:v>타입|땅</x:v>
      </x:c>
    </x:row>
    <x:row r="200" ht="24" customHeight="1">
      <x:c r="A200" s="5" t="n">
        <x:v>196</x:v>
      </x:c>
      <x:c r="B200" s="5" t="inlineStr">
        <x:is>
          <x:t xml:space="preserve">에브이</x:t>
        </x:is>
      </x:c>
      <x:c r="C200" s="5" t="inlineStr">
        <x:is>
          <x:t xml:space="preserve">espeon</x:t>
        </x:is>
      </x:c>
      <x:c r="D200" s="5" t="inlineStr">
        <x:is>
          <x:t xml:space="preserve">Espeon</x:t>
        </x:is>
      </x:c>
      <x:c r="E200" s="5" t="n">
        <x:v>2</x:v>
      </x:c>
      <x:c r="F200" s="5" t="inlineStr">
        <x:is>
          <x:t xml:space="preserve">에스퍼</x:t>
        </x:is>
      </x:c>
      <x:c r="G200" s="5" t="inlineStr">
        <x:is>
          <x:t xml:space="preserve"/>
        </x:is>
      </x:c>
      <x:c r="H200" s="6" t="n">
        <x:v>26.5</x:v>
      </x:c>
      <x:c r="I200" s="5" t="n"/>
      <x:c r="J200" s="5" t="inlineStr">
        <x:is>
          <x:t xml:space="preserve">최종</x:t>
        </x:is>
      </x:c>
      <x:c r="K200" s="7" t="inlineStr">
        <x:is>
          <x:t xml:space="preserve">육상</x:t>
        </x:is>
      </x:c>
      <x:c r="L200" s="7" t="inlineStr">
        <x:is>
          <x:t xml:space="preserve">암석</x:t>
        </x:is>
      </x:c>
      <x:c r="M200" s="7" t="inlineStr">
        <x:is>
          <x:t xml:space="preserve">온대</x:t>
        </x:is>
      </x:c>
      <x:c r="N200" s="7" t="inlineStr">
        <x:is>
          <x:t xml:space="preserve">보통</x:t>
        </x:is>
      </x:c>
      <x:c r="O200" s="7" t="inlineStr">
        <x:is>
          <x:t xml:space="preserve">무관</x:t>
        </x:is>
      </x:c>
      <x:c r="P200" s="7" t="inlineStr">
        <x:is>
          <x:t xml:space="preserve">무관</x:t>
        </x:is>
      </x:c>
      <x:c r="Q200" s="7" t="inlineStr">
        <x:is>
          <x:t xml:space="preserve">보통</x:t>
        </x:is>
      </x:c>
      <x:c r="R200" s="7" t="inlineStr">
        <x:is>
          <x:t xml:space="preserve">없음</x:t>
        </x:is>
      </x:c>
      <x:c r="S200" s="7" t="inlineStr">
        <x:is>
          <x:t xml:space="preserve">산악</x:t>
        </x:is>
      </x:c>
      <x:c r="T200" s="7" t="inlineStr">
        <x:is>
          <x:t xml:space="preserve"/>
        </x:is>
      </x:c>
      <x:c r="U200" s="8" t="str">
        <x:f>INDEX('서식지_점수'!$E$4:$P$4,1,MATCH(MAX('서식지_점수'!E200:P200),'서식지_점수'!E200:P200,0))</x:f>
        <x:v>평원</x:v>
      </x:c>
      <x:c r="V200" s="8" t="str">
        <x:f>IF(T200&lt;&gt;"",T200,U200)</x:f>
        <x:v>평원</x:v>
      </x:c>
      <x:c r="W200" s="8" t="str">
        <x:f>IFERROR(INDEX('서식지_점수'!$E$4:$P$4,1,MATCH(MAXIFS('서식지_점수'!E200:P200,'서식지_점수'!E200:P200,"&lt;"&amp;MAX('서식지_점수'!E200:P200)),'서식지_점수'!E200:P200,0)),"")</x:f>
        <x:v>숲</x:v>
      </x:c>
      <x:c r="X200" s="8" t="str">
        <x:f>IF(T200&lt;&gt;"","수동확정",IF(MAX('서식지_점수'!E200:P200)-LARGE('서식지_점수'!E200:P200,2)&gt;=15,"높음",IF(MAX('서식지_점수'!E200:P200)-LARGE('서식지_점수'!E200:P200,2)&gt;=8,"보통","검토필요")))</x:f>
        <x:v>검토필요</x:v>
      </x:c>
      <x:c r="Y200" s="9" t="n">
        <x:f>IF(Q200="전설",8,IF(Q200="희귀",7,IF(J200="기본",1,IF(J200="중간",3,IF(J200="최종",IF(I200="",5,IF(I200&lt;=20,3,IF(I200&lt;=35,4,IF(I200&lt;=50,6,7)))),IF(Q200="드묾",4,2))))))</x:f>
        <x:v>5</x:v>
      </x:c>
      <x:c r="Z200" s="5" t="inlineStr">
        <x:is>
          <x:t xml:space="preserve">#cobblemon:is_hills; #cobblemon:is_overworld</x:t>
        </x:is>
      </x:c>
      <x:c r="AA200" s="5" t="inlineStr">
        <x:is>
          <x:t xml:space="preserve">ultra-rare; uncommon</x:t>
        </x:is>
      </x:c>
      <x:c r="AB200" s="5" t="inlineStr">
        <x:is>
          <x:t xml:space="preserve">예</x:t>
        </x:is>
      </x:c>
      <x:c r="AC200" s="8" t="str">
        <x:f>IF(T200&lt;&gt;"","수동확정",IF(X200="검토필요","검토필요",IF(S200="","원본없음","초기완료")))</x:f>
        <x:v>검토필요</x:v>
      </x:c>
      <x:c r="AD200" s="7" t="inlineStr">
        <x:is>
          <x:t xml:space="preserve"/>
        </x:is>
      </x:c>
      <x:c r="AE200" s="5" t="inlineStr">
        <x:is>
          <x:t xml:space="preserve">.tmp/cobblemon-1.7.3-source/common/src/main/resources/data/cobblemon/species/generation2/espeon.json</x:t>
        </x:is>
      </x:c>
      <x:c r="AF200" s="5" t="str">
        <x:f>"생활권|"&amp;K200</x:f>
        <x:v>생활권|육상</x:v>
      </x:c>
      <x:c r="AG200" s="5" t="str">
        <x:f>"지형|"&amp;L200</x:f>
        <x:v>지형|암석</x:v>
      </x:c>
      <x:c r="AH200" s="5" t="str">
        <x:f>"온도|"&amp;M200</x:f>
        <x:v>온도|온대</x:v>
      </x:c>
      <x:c r="AI200" s="5" t="str">
        <x:f>"습도|"&amp;N200</x:f>
        <x:v>습도|보통</x:v>
      </x:c>
      <x:c r="AJ200" s="5" t="str">
        <x:f>"날씨|"&amp;O200</x:f>
        <x:v>날씨|무관</x:v>
      </x:c>
      <x:c r="AK200" s="5" t="str">
        <x:f>"특수태그|"&amp;R200</x:f>
        <x:v>특수태그|없음</x:v>
      </x:c>
      <x:c r="AL200" s="5" t="str">
        <x:f>"원본서식지|"&amp;S200</x:f>
        <x:v>원본서식지|산악</x:v>
      </x:c>
      <x:c r="AM200" s="5" t="str">
        <x:f>"타입|"&amp;F200</x:f>
        <x:v>타입|에스퍼</x:v>
      </x:c>
      <x:c r="AN200" s="5" t="str">
        <x:f>"타입|"&amp;G200</x:f>
        <x:v>타입|</x:v>
      </x:c>
    </x:row>
    <x:row r="201" ht="24" customHeight="1">
      <x:c r="A201" s="5" t="n">
        <x:v>197</x:v>
      </x:c>
      <x:c r="B201" s="5" t="inlineStr">
        <x:is>
          <x:t xml:space="preserve">블래키</x:t>
        </x:is>
      </x:c>
      <x:c r="C201" s="5" t="inlineStr">
        <x:is>
          <x:t xml:space="preserve">umbreon</x:t>
        </x:is>
      </x:c>
      <x:c r="D201" s="5" t="inlineStr">
        <x:is>
          <x:t xml:space="preserve">Umbreon</x:t>
        </x:is>
      </x:c>
      <x:c r="E201" s="5" t="n">
        <x:v>2</x:v>
      </x:c>
      <x:c r="F201" s="5" t="inlineStr">
        <x:is>
          <x:t xml:space="preserve">악</x:t>
        </x:is>
      </x:c>
      <x:c r="G201" s="5" t="inlineStr">
        <x:is>
          <x:t xml:space="preserve"/>
        </x:is>
      </x:c>
      <x:c r="H201" s="6" t="n">
        <x:v>27</x:v>
      </x:c>
      <x:c r="I201" s="5" t="n"/>
      <x:c r="J201" s="5" t="inlineStr">
        <x:is>
          <x:t xml:space="preserve">최종</x:t>
        </x:is>
      </x:c>
      <x:c r="K201" s="7" t="inlineStr">
        <x:is>
          <x:t xml:space="preserve">육상</x:t>
        </x:is>
      </x:c>
      <x:c r="L201" s="7" t="inlineStr">
        <x:is>
          <x:t xml:space="preserve">특수</x:t>
        </x:is>
      </x:c>
      <x:c r="M201" s="7" t="inlineStr">
        <x:is>
          <x:t xml:space="preserve">온대</x:t>
        </x:is>
      </x:c>
      <x:c r="N201" s="7" t="inlineStr">
        <x:is>
          <x:t xml:space="preserve">보통</x:t>
        </x:is>
      </x:c>
      <x:c r="O201" s="7" t="inlineStr">
        <x:is>
          <x:t xml:space="preserve">무관</x:t>
        </x:is>
      </x:c>
      <x:c r="P201" s="7" t="inlineStr">
        <x:is>
          <x:t xml:space="preserve">밤</x:t>
        </x:is>
      </x:c>
      <x:c r="Q201" s="7" t="inlineStr">
        <x:is>
          <x:t xml:space="preserve">보통</x:t>
        </x:is>
      </x:c>
      <x:c r="R201" s="7" t="inlineStr">
        <x:is>
          <x:t xml:space="preserve">영체</x:t>
        </x:is>
      </x:c>
      <x:c r="S201" s="7" t="inlineStr">
        <x:is>
          <x:t xml:space="preserve">특수</x:t>
        </x:is>
      </x:c>
      <x:c r="T201" s="7" t="inlineStr">
        <x:is>
          <x:t xml:space="preserve"/>
        </x:is>
      </x:c>
      <x:c r="U201" s="8" t="str">
        <x:f>INDEX('서식지_점수'!$E$4:$P$4,1,MATCH(MAX('서식지_점수'!E201:P201),'서식지_점수'!E201:P201,0))</x:f>
        <x:v>평원</x:v>
      </x:c>
      <x:c r="V201" s="8" t="str">
        <x:f>IF(T201&lt;&gt;"",T201,U201)</x:f>
        <x:v>평원</x:v>
      </x:c>
      <x:c r="W201" s="8" t="str">
        <x:f>IFERROR(INDEX('서식지_점수'!$E$4:$P$4,1,MATCH(MAXIFS('서식지_점수'!E201:P201,'서식지_점수'!E201:P201,"&lt;"&amp;MAX('서식지_점수'!E201:P201)),'서식지_점수'!E201:P201,0)),"")</x:f>
        <x:v>숲</x:v>
      </x:c>
      <x:c r="X201" s="8" t="str">
        <x:f>IF(T201&lt;&gt;"","수동확정",IF(MAX('서식지_점수'!E201:P201)-LARGE('서식지_점수'!E201:P201,2)&gt;=15,"높음",IF(MAX('서식지_점수'!E201:P201)-LARGE('서식지_점수'!E201:P201,2)&gt;=8,"보통","검토필요")))</x:f>
        <x:v>검토필요</x:v>
      </x:c>
      <x:c r="Y201" s="9" t="n">
        <x:f>IF(Q201="전설",8,IF(Q201="희귀",7,IF(J201="기본",1,IF(J201="중간",3,IF(J201="최종",IF(I201="",5,IF(I201&lt;=20,3,IF(I201&lt;=35,4,IF(I201&lt;=50,6,7)))),IF(Q201="드묾",4,2))))))</x:f>
        <x:v>5</x:v>
      </x:c>
      <x:c r="Z201" s="5" t="inlineStr">
        <x:is>
          <x:t xml:space="preserve">#cobblemon:is_overworld; #cobblemon:is_spooky</x:t>
        </x:is>
      </x:c>
      <x:c r="AA201" s="5" t="inlineStr">
        <x:is>
          <x:t xml:space="preserve">rare; ultra-rare; uncommon</x:t>
        </x:is>
      </x:c>
      <x:c r="AB201" s="5" t="inlineStr">
        <x:is>
          <x:t xml:space="preserve">예</x:t>
        </x:is>
      </x:c>
      <x:c r="AC201" s="8" t="str">
        <x:f>IF(T201&lt;&gt;"","수동확정",IF(X201="검토필요","검토필요",IF(S201="","원본없음","초기완료")))</x:f>
        <x:v>검토필요</x:v>
      </x:c>
      <x:c r="AD201" s="7" t="inlineStr">
        <x:is>
          <x:t xml:space="preserve"/>
        </x:is>
      </x:c>
      <x:c r="AE201" s="5" t="inlineStr">
        <x:is>
          <x:t xml:space="preserve">.tmp/cobblemon-1.7.3-source/common/src/main/resources/data/cobblemon/species/generation2/umbreon.json</x:t>
        </x:is>
      </x:c>
      <x:c r="AF201" s="5" t="str">
        <x:f>"생활권|"&amp;K201</x:f>
        <x:v>생활권|육상</x:v>
      </x:c>
      <x:c r="AG201" s="5" t="str">
        <x:f>"지형|"&amp;L201</x:f>
        <x:v>지형|특수</x:v>
      </x:c>
      <x:c r="AH201" s="5" t="str">
        <x:f>"온도|"&amp;M201</x:f>
        <x:v>온도|온대</x:v>
      </x:c>
      <x:c r="AI201" s="5" t="str">
        <x:f>"습도|"&amp;N201</x:f>
        <x:v>습도|보통</x:v>
      </x:c>
      <x:c r="AJ201" s="5" t="str">
        <x:f>"날씨|"&amp;O201</x:f>
        <x:v>날씨|무관</x:v>
      </x:c>
      <x:c r="AK201" s="5" t="str">
        <x:f>"특수태그|"&amp;R201</x:f>
        <x:v>특수태그|영체</x:v>
      </x:c>
      <x:c r="AL201" s="5" t="str">
        <x:f>"원본서식지|"&amp;S201</x:f>
        <x:v>원본서식지|특수</x:v>
      </x:c>
      <x:c r="AM201" s="5" t="str">
        <x:f>"타입|"&amp;F201</x:f>
        <x:v>타입|악</x:v>
      </x:c>
      <x:c r="AN201" s="5" t="str">
        <x:f>"타입|"&amp;G201</x:f>
        <x:v>타입|</x:v>
      </x:c>
    </x:row>
    <x:row r="202" ht="24" customHeight="1">
      <x:c r="A202" s="5" t="n">
        <x:v>198</x:v>
      </x:c>
      <x:c r="B202" s="5" t="inlineStr">
        <x:is>
          <x:t xml:space="preserve">니로우</x:t>
        </x:is>
      </x:c>
      <x:c r="C202" s="5" t="inlineStr">
        <x:is>
          <x:t xml:space="preserve">murkrow</x:t>
        </x:is>
      </x:c>
      <x:c r="D202" s="5" t="inlineStr">
        <x:is>
          <x:t xml:space="preserve">Murkrow</x:t>
        </x:is>
      </x:c>
      <x:c r="E202" s="5" t="n">
        <x:v>2</x:v>
      </x:c>
      <x:c r="F202" s="5" t="inlineStr">
        <x:is>
          <x:t xml:space="preserve">악</x:t>
        </x:is>
      </x:c>
      <x:c r="G202" s="5" t="inlineStr">
        <x:is>
          <x:t xml:space="preserve">비행</x:t>
        </x:is>
      </x:c>
      <x:c r="H202" s="6" t="n">
        <x:v>2.1</x:v>
      </x:c>
      <x:c r="I202" s="5" t="n"/>
      <x:c r="J202" s="5" t="inlineStr">
        <x:is>
          <x:t xml:space="preserve">기본</x:t>
        </x:is>
      </x:c>
      <x:c r="K202" s="7" t="inlineStr">
        <x:is>
          <x:t xml:space="preserve">비행</x:t>
        </x:is>
      </x:c>
      <x:c r="L202" s="7" t="inlineStr">
        <x:is>
          <x:t xml:space="preserve">특수</x:t>
        </x:is>
      </x:c>
      <x:c r="M202" s="7" t="inlineStr">
        <x:is>
          <x:t xml:space="preserve">서늘</x:t>
        </x:is>
      </x:c>
      <x:c r="N202" s="7" t="inlineStr">
        <x:is>
          <x:t xml:space="preserve">보통</x:t>
        </x:is>
      </x:c>
      <x:c r="O202" s="7" t="inlineStr">
        <x:is>
          <x:t xml:space="preserve">무관</x:t>
        </x:is>
      </x:c>
      <x:c r="P202" s="7" t="inlineStr">
        <x:is>
          <x:t xml:space="preserve">밤</x:t>
        </x:is>
      </x:c>
      <x:c r="Q202" s="7" t="inlineStr">
        <x:is>
          <x:t xml:space="preserve">흔함</x:t>
        </x:is>
      </x:c>
      <x:c r="R202" s="7" t="inlineStr">
        <x:is>
          <x:t xml:space="preserve">영체</x:t>
        </x:is>
      </x:c>
      <x:c r="S202" s="7" t="inlineStr">
        <x:is>
          <x:t xml:space="preserve">특수</x:t>
        </x:is>
      </x:c>
      <x:c r="T202" s="7" t="inlineStr">
        <x:is>
          <x:t xml:space="preserve"/>
        </x:is>
      </x:c>
      <x:c r="U202" s="8" t="str">
        <x:f>INDEX('서식지_점수'!$E$4:$P$4,1,MATCH(MAX('서식지_점수'!E202:P202),'서식지_점수'!E202:P202,0))</x:f>
        <x:v>산악</x:v>
      </x:c>
      <x:c r="V202" s="8" t="str">
        <x:f>IF(T202&lt;&gt;"",T202,U202)</x:f>
        <x:v>산악</x:v>
      </x:c>
      <x:c r="W202" s="8" t="str">
        <x:f>IFERROR(INDEX('서식지_점수'!$E$4:$P$4,1,MATCH(MAXIFS('서식지_점수'!E202:P202,'서식지_점수'!E202:P202,"&lt;"&amp;MAX('서식지_점수'!E202:P202)),'서식지_점수'!E202:P202,0)),"")</x:f>
        <x:v>평원</x:v>
      </x:c>
      <x:c r="X202" s="8" t="str">
        <x:f>IF(T202&lt;&gt;"","수동확정",IF(MAX('서식지_점수'!E202:P202)-LARGE('서식지_점수'!E202:P202,2)&gt;=15,"높음",IF(MAX('서식지_점수'!E202:P202)-LARGE('서식지_점수'!E202:P202,2)&gt;=8,"보통","검토필요")))</x:f>
        <x:v>검토필요</x:v>
      </x:c>
      <x:c r="Y202" s="9" t="n">
        <x:f>IF(Q202="전설",8,IF(Q202="희귀",7,IF(J202="기본",1,IF(J202="중간",3,IF(J202="최종",IF(I202="",5,IF(I202&lt;=20,3,IF(I202&lt;=35,4,IF(I202&lt;=50,6,7)))),IF(Q202="드묾",4,2))))))</x:f>
        <x:v>1</x:v>
      </x:c>
      <x:c r="Z202" s="5" t="inlineStr">
        <x:is>
          <x:t xml:space="preserve">#cobblemon:is_spooky; #cobblemon:is_swamp; #cobblemon:is_taiga</x:t>
        </x:is>
      </x:c>
      <x:c r="AA202" s="5" t="inlineStr">
        <x:is>
          <x:t xml:space="preserve">common</x:t>
        </x:is>
      </x:c>
      <x:c r="AB202" s="5" t="inlineStr">
        <x:is>
          <x:t xml:space="preserve">예</x:t>
        </x:is>
      </x:c>
      <x:c r="AC202" s="8" t="str">
        <x:f>IF(T202&lt;&gt;"","수동확정",IF(X202="검토필요","검토필요",IF(S202="","원본없음","초기완료")))</x:f>
        <x:v>검토필요</x:v>
      </x:c>
      <x:c r="AD202" s="7" t="inlineStr">
        <x:is>
          <x:t xml:space="preserve"/>
        </x:is>
      </x:c>
      <x:c r="AE202" s="5" t="inlineStr">
        <x:is>
          <x:t xml:space="preserve">.tmp/cobblemon-1.7.3-source/common/src/main/resources/data/cobblemon/species/generation2/murkrow.json</x:t>
        </x:is>
      </x:c>
      <x:c r="AF202" s="5" t="str">
        <x:f>"생활권|"&amp;K202</x:f>
        <x:v>생활권|비행</x:v>
      </x:c>
      <x:c r="AG202" s="5" t="str">
        <x:f>"지형|"&amp;L202</x:f>
        <x:v>지형|특수</x:v>
      </x:c>
      <x:c r="AH202" s="5" t="str">
        <x:f>"온도|"&amp;M202</x:f>
        <x:v>온도|서늘</x:v>
      </x:c>
      <x:c r="AI202" s="5" t="str">
        <x:f>"습도|"&amp;N202</x:f>
        <x:v>습도|보통</x:v>
      </x:c>
      <x:c r="AJ202" s="5" t="str">
        <x:f>"날씨|"&amp;O202</x:f>
        <x:v>날씨|무관</x:v>
      </x:c>
      <x:c r="AK202" s="5" t="str">
        <x:f>"특수태그|"&amp;R202</x:f>
        <x:v>특수태그|영체</x:v>
      </x:c>
      <x:c r="AL202" s="5" t="str">
        <x:f>"원본서식지|"&amp;S202</x:f>
        <x:v>원본서식지|특수</x:v>
      </x:c>
      <x:c r="AM202" s="5" t="str">
        <x:f>"타입|"&amp;F202</x:f>
        <x:v>타입|악</x:v>
      </x:c>
      <x:c r="AN202" s="5" t="str">
        <x:f>"타입|"&amp;G202</x:f>
        <x:v>타입|비행</x:v>
      </x:c>
    </x:row>
    <x:row r="203" ht="24" customHeight="1">
      <x:c r="A203" s="5" t="n">
        <x:v>199</x:v>
      </x:c>
      <x:c r="B203" s="5" t="inlineStr">
        <x:is>
          <x:t xml:space="preserve">야도킹</x:t>
        </x:is>
      </x:c>
      <x:c r="C203" s="5" t="inlineStr">
        <x:is>
          <x:t xml:space="preserve">slowking</x:t>
        </x:is>
      </x:c>
      <x:c r="D203" s="5" t="inlineStr">
        <x:is>
          <x:t xml:space="preserve">Slowking</x:t>
        </x:is>
      </x:c>
      <x:c r="E203" s="5" t="n">
        <x:v>2</x:v>
      </x:c>
      <x:c r="F203" s="5" t="inlineStr">
        <x:is>
          <x:t xml:space="preserve">물</x:t>
        </x:is>
      </x:c>
      <x:c r="G203" s="5" t="inlineStr">
        <x:is>
          <x:t xml:space="preserve">에스퍼</x:t>
        </x:is>
      </x:c>
      <x:c r="H203" s="6" t="n">
        <x:v>79.5</x:v>
      </x:c>
      <x:c r="I203" s="5" t="n">
        <x:v>37</x:v>
      </x:c>
      <x:c r="J203" s="5" t="inlineStr">
        <x:is>
          <x:t xml:space="preserve">최종</x:t>
        </x:is>
      </x:c>
      <x:c r="K203" s="7" t="inlineStr">
        <x:is>
          <x:t xml:space="preserve">해양</x:t>
        </x:is>
      </x:c>
      <x:c r="L203" s="7" t="inlineStr">
        <x:is>
          <x:t xml:space="preserve">해안·해양</x:t>
        </x:is>
      </x:c>
      <x:c r="M203" s="7" t="inlineStr">
        <x:is>
          <x:t xml:space="preserve">온대</x:t>
        </x:is>
      </x:c>
      <x:c r="N203" s="7" t="inlineStr">
        <x:is>
          <x:t xml:space="preserve">수중</x:t>
        </x:is>
      </x:c>
      <x:c r="O203" s="7" t="inlineStr">
        <x:is>
          <x:t xml:space="preserve">비</x:t>
        </x:is>
      </x:c>
      <x:c r="P203" s="7" t="inlineStr">
        <x:is>
          <x:t xml:space="preserve">무관</x:t>
        </x:is>
      </x:c>
      <x:c r="Q203" s="7" t="inlineStr">
        <x:is>
          <x:t xml:space="preserve">흔함</x:t>
        </x:is>
      </x:c>
      <x:c r="R203" s="7" t="inlineStr">
        <x:is>
          <x:t xml:space="preserve">없음</x:t>
        </x:is>
      </x:c>
      <x:c r="S203" s="7" t="inlineStr">
        <x:is>
          <x:t xml:space="preserve">해양</x:t>
        </x:is>
      </x:c>
      <x:c r="T203" s="7" t="inlineStr">
        <x:is>
          <x:t xml:space="preserve"/>
        </x:is>
      </x:c>
      <x:c r="U203" s="8" t="str">
        <x:f>INDEX('서식지_점수'!$E$4:$P$4,1,MATCH(MAX('서식지_점수'!E203:P203),'서식지_점수'!E203:P203,0))</x:f>
        <x:v>해양</x:v>
      </x:c>
      <x:c r="V203" s="8" t="str">
        <x:f>IF(T203&lt;&gt;"",T203,U203)</x:f>
        <x:v>해양</x:v>
      </x:c>
      <x:c r="W203" s="8" t="str">
        <x:f>IFERROR(INDEX('서식지_점수'!$E$4:$P$4,1,MATCH(MAXIFS('서식지_점수'!E203:P203,'서식지_점수'!E203:P203,"&lt;"&amp;MAX('서식지_점수'!E203:P203)),'서식지_점수'!E203:P203,0)),"")</x:f>
        <x:v>습지</x:v>
      </x:c>
      <x:c r="X203" s="8" t="str">
        <x:f>IF(T203&lt;&gt;"","수동확정",IF(MAX('서식지_점수'!E203:P203)-LARGE('서식지_점수'!E203:P203,2)&gt;=15,"높음",IF(MAX('서식지_점수'!E203:P203)-LARGE('서식지_점수'!E203:P203,2)&gt;=8,"보통","검토필요")))</x:f>
        <x:v>높음</x:v>
      </x:c>
      <x:c r="Y203" s="9" t="n">
        <x:f>IF(Q203="전설",8,IF(Q203="희귀",7,IF(J203="기본",1,IF(J203="중간",3,IF(J203="최종",IF(I203="",5,IF(I203&lt;=20,3,IF(I203&lt;=35,4,IF(I203&lt;=50,6,7)))),IF(Q203="드묾",4,2))))))</x:f>
        <x:v>6</x:v>
      </x:c>
      <x:c r="Z203" s="5" t="inlineStr">
        <x:is>
          <x:t xml:space="preserve">#cobblemon:is_beach; #cobblemon:is_tropical_island; minecraft:mushroom_fields</x:t>
        </x:is>
      </x:c>
      <x:c r="AA203" s="5" t="inlineStr">
        <x:is>
          <x:t xml:space="preserve">common</x:t>
        </x:is>
      </x:c>
      <x:c r="AB203" s="5" t="inlineStr">
        <x:is>
          <x:t xml:space="preserve">예</x:t>
        </x:is>
      </x:c>
      <x:c r="AC203" s="8" t="str">
        <x:f>IF(T203&lt;&gt;"","수동확정",IF(X203="검토필요","검토필요",IF(S203="","원본없음","초기완료")))</x:f>
        <x:v>초기완료</x:v>
      </x:c>
      <x:c r="AD203" s="7" t="inlineStr">
        <x:is>
          <x:t xml:space="preserve"/>
        </x:is>
      </x:c>
      <x:c r="AE203" s="5" t="inlineStr">
        <x:is>
          <x:t xml:space="preserve">.tmp/cobblemon-1.7.3-source/common/src/main/resources/data/cobblemon/species/generation2/slowking.json</x:t>
        </x:is>
      </x:c>
      <x:c r="AF203" s="5" t="str">
        <x:f>"생활권|"&amp;K203</x:f>
        <x:v>생활권|해양</x:v>
      </x:c>
      <x:c r="AG203" s="5" t="str">
        <x:f>"지형|"&amp;L203</x:f>
        <x:v>지형|해안·해양</x:v>
      </x:c>
      <x:c r="AH203" s="5" t="str">
        <x:f>"온도|"&amp;M203</x:f>
        <x:v>온도|온대</x:v>
      </x:c>
      <x:c r="AI203" s="5" t="str">
        <x:f>"습도|"&amp;N203</x:f>
        <x:v>습도|수중</x:v>
      </x:c>
      <x:c r="AJ203" s="5" t="str">
        <x:f>"날씨|"&amp;O203</x:f>
        <x:v>날씨|비</x:v>
      </x:c>
      <x:c r="AK203" s="5" t="str">
        <x:f>"특수태그|"&amp;R203</x:f>
        <x:v>특수태그|없음</x:v>
      </x:c>
      <x:c r="AL203" s="5" t="str">
        <x:f>"원본서식지|"&amp;S203</x:f>
        <x:v>원본서식지|해양</x:v>
      </x:c>
      <x:c r="AM203" s="5" t="str">
        <x:f>"타입|"&amp;F203</x:f>
        <x:v>타입|물</x:v>
      </x:c>
      <x:c r="AN203" s="5" t="str">
        <x:f>"타입|"&amp;G203</x:f>
        <x:v>타입|에스퍼</x:v>
      </x:c>
    </x:row>
    <x:row r="204" ht="24" customHeight="1">
      <x:c r="A204" s="5" t="n">
        <x:v>200</x:v>
      </x:c>
      <x:c r="B204" s="5" t="inlineStr">
        <x:is>
          <x:t xml:space="preserve">무우마</x:t>
        </x:is>
      </x:c>
      <x:c r="C204" s="5" t="inlineStr">
        <x:is>
          <x:t xml:space="preserve">misdreavus</x:t>
        </x:is>
      </x:c>
      <x:c r="D204" s="5" t="inlineStr">
        <x:is>
          <x:t xml:space="preserve">Misdreavus</x:t>
        </x:is>
      </x:c>
      <x:c r="E204" s="5" t="n">
        <x:v>2</x:v>
      </x:c>
      <x:c r="F204" s="5" t="inlineStr">
        <x:is>
          <x:t xml:space="preserve">고스트</x:t>
        </x:is>
      </x:c>
      <x:c r="G204" s="5" t="inlineStr">
        <x:is>
          <x:t xml:space="preserve"/>
        </x:is>
      </x:c>
      <x:c r="H204" s="6" t="n">
        <x:v>1</x:v>
      </x:c>
      <x:c r="I204" s="5" t="n"/>
      <x:c r="J204" s="5" t="inlineStr">
        <x:is>
          <x:t xml:space="preserve">기본</x:t>
        </x:is>
      </x:c>
      <x:c r="K204" s="7" t="inlineStr">
        <x:is>
          <x:t xml:space="preserve">비행</x:t>
        </x:is>
      </x:c>
      <x:c r="L204" s="7" t="inlineStr">
        <x:is>
          <x:t xml:space="preserve">특수</x:t>
        </x:is>
      </x:c>
      <x:c r="M204" s="7" t="inlineStr">
        <x:is>
          <x:t xml:space="preserve">온대</x:t>
        </x:is>
      </x:c>
      <x:c r="N204" s="7" t="inlineStr">
        <x:is>
          <x:t xml:space="preserve">보통</x:t>
        </x:is>
      </x:c>
      <x:c r="O204" s="7" t="inlineStr">
        <x:is>
          <x:t xml:space="preserve">안개</x:t>
        </x:is>
      </x:c>
      <x:c r="P204" s="7" t="inlineStr">
        <x:is>
          <x:t xml:space="preserve">밤</x:t>
        </x:is>
      </x:c>
      <x:c r="Q204" s="7" t="inlineStr">
        <x:is>
          <x:t xml:space="preserve">흔함</x:t>
        </x:is>
      </x:c>
      <x:c r="R204" s="7" t="inlineStr">
        <x:is>
          <x:t xml:space="preserve">영체</x:t>
        </x:is>
      </x:c>
      <x:c r="S204" s="7" t="inlineStr">
        <x:is>
          <x:t xml:space="preserve">특수</x:t>
        </x:is>
      </x:c>
      <x:c r="T204" s="7" t="inlineStr">
        <x:is>
          <x:t xml:space="preserve"/>
        </x:is>
      </x:c>
      <x:c r="U204" s="8" t="str">
        <x:f>INDEX('서식지_점수'!$E$4:$P$4,1,MATCH(MAX('서식지_점수'!E204:P204),'서식지_점수'!E204:P204,0))</x:f>
        <x:v>산악</x:v>
      </x:c>
      <x:c r="V204" s="8" t="str">
        <x:f>IF(T204&lt;&gt;"",T204,U204)</x:f>
        <x:v>산악</x:v>
      </x:c>
      <x:c r="W204" s="8" t="str">
        <x:f>IFERROR(INDEX('서식지_점수'!$E$4:$P$4,1,MATCH(MAXIFS('서식지_점수'!E204:P204,'서식지_점수'!E204:P204,"&lt;"&amp;MAX('서식지_점수'!E204:P204)),'서식지_점수'!E204:P204,0)),"")</x:f>
        <x:v>평원</x:v>
      </x:c>
      <x:c r="X204" s="8" t="str">
        <x:f>IF(T204&lt;&gt;"","수동확정",IF(MAX('서식지_점수'!E204:P204)-LARGE('서식지_점수'!E204:P204,2)&gt;=15,"높음",IF(MAX('서식지_점수'!E204:P204)-LARGE('서식지_점수'!E204:P204,2)&gt;=8,"보통","검토필요")))</x:f>
        <x:v>검토필요</x:v>
      </x:c>
      <x:c r="Y204" s="9" t="n">
        <x:f>IF(Q204="전설",8,IF(Q204="희귀",7,IF(J204="기본",1,IF(J204="중간",3,IF(J204="최종",IF(I204="",5,IF(I204&lt;=20,3,IF(I204&lt;=35,4,IF(I204&lt;=50,6,7)))),IF(Q204="드묾",4,2))))))</x:f>
        <x:v>1</x:v>
      </x:c>
      <x:c r="Z204" s="5" t="inlineStr">
        <x:is>
          <x:t xml:space="preserve">#cobblemon:is_overworld; #cobblemon:is_spooky; #cobblemon:is_swamp; #cobblemon:nether/is_warped</x:t>
        </x:is>
      </x:c>
      <x:c r="AA204" s="5" t="inlineStr">
        <x:is>
          <x:t xml:space="preserve">common</x:t>
        </x:is>
      </x:c>
      <x:c r="AB204" s="5" t="inlineStr">
        <x:is>
          <x:t xml:space="preserve">예</x:t>
        </x:is>
      </x:c>
      <x:c r="AC204" s="8" t="str">
        <x:f>IF(T204&lt;&gt;"","수동확정",IF(X204="검토필요","검토필요",IF(S204="","원본없음","초기완료")))</x:f>
        <x:v>검토필요</x:v>
      </x:c>
      <x:c r="AD204" s="7" t="inlineStr">
        <x:is>
          <x:t xml:space="preserve"/>
        </x:is>
      </x:c>
      <x:c r="AE204" s="5" t="inlineStr">
        <x:is>
          <x:t xml:space="preserve">.tmp/cobblemon-1.7.3-source/common/src/main/resources/data/cobblemon/species/generation2/misdreavus.json</x:t>
        </x:is>
      </x:c>
      <x:c r="AF204" s="5" t="str">
        <x:f>"생활권|"&amp;K204</x:f>
        <x:v>생활권|비행</x:v>
      </x:c>
      <x:c r="AG204" s="5" t="str">
        <x:f>"지형|"&amp;L204</x:f>
        <x:v>지형|특수</x:v>
      </x:c>
      <x:c r="AH204" s="5" t="str">
        <x:f>"온도|"&amp;M204</x:f>
        <x:v>온도|온대</x:v>
      </x:c>
      <x:c r="AI204" s="5" t="str">
        <x:f>"습도|"&amp;N204</x:f>
        <x:v>습도|보통</x:v>
      </x:c>
      <x:c r="AJ204" s="5" t="str">
        <x:f>"날씨|"&amp;O204</x:f>
        <x:v>날씨|안개</x:v>
      </x:c>
      <x:c r="AK204" s="5" t="str">
        <x:f>"특수태그|"&amp;R204</x:f>
        <x:v>특수태그|영체</x:v>
      </x:c>
      <x:c r="AL204" s="5" t="str">
        <x:f>"원본서식지|"&amp;S204</x:f>
        <x:v>원본서식지|특수</x:v>
      </x:c>
      <x:c r="AM204" s="5" t="str">
        <x:f>"타입|"&amp;F204</x:f>
        <x:v>타입|고스트</x:v>
      </x:c>
      <x:c r="AN204" s="5" t="str">
        <x:f>"타입|"&amp;G204</x:f>
        <x:v>타입|</x:v>
      </x:c>
    </x:row>
    <x:row r="205" ht="24" customHeight="1">
      <x:c r="A205" s="5" t="n">
        <x:v>201</x:v>
      </x:c>
      <x:c r="B205" s="5" t="inlineStr">
        <x:is>
          <x:t xml:space="preserve">안농</x:t>
        </x:is>
      </x:c>
      <x:c r="C205" s="5" t="inlineStr">
        <x:is>
          <x:t xml:space="preserve">unown</x:t>
        </x:is>
      </x:c>
      <x:c r="D205" s="5" t="inlineStr">
        <x:is>
          <x:t xml:space="preserve">Unown</x:t>
        </x:is>
      </x:c>
      <x:c r="E205" s="5" t="n">
        <x:v>2</x:v>
      </x:c>
      <x:c r="F205" s="5" t="inlineStr">
        <x:is>
          <x:t xml:space="preserve">에스퍼</x:t>
        </x:is>
      </x:c>
      <x:c r="G205" s="5" t="inlineStr">
        <x:is>
          <x:t xml:space="preserve"/>
        </x:is>
      </x:c>
      <x:c r="H205" s="6" t="n">
        <x:v>5</x:v>
      </x:c>
      <x:c r="I205" s="5" t="n"/>
      <x:c r="J205" s="5" t="inlineStr">
        <x:is>
          <x:t xml:space="preserve">무진화</x:t>
        </x:is>
      </x:c>
      <x:c r="K205" s="7" t="inlineStr">
        <x:is>
          <x:t xml:space="preserve">비행</x:t>
        </x:is>
      </x:c>
      <x:c r="L205" s="7" t="inlineStr">
        <x:is>
          <x:t xml:space="preserve">개활지</x:t>
        </x:is>
      </x:c>
      <x:c r="M205" s="7" t="inlineStr">
        <x:is>
          <x:t xml:space="preserve">온대</x:t>
        </x:is>
      </x:c>
      <x:c r="N205" s="7" t="inlineStr">
        <x:is>
          <x:t xml:space="preserve">보통</x:t>
        </x:is>
      </x:c>
      <x:c r="O205" s="7" t="inlineStr">
        <x:is>
          <x:t xml:space="preserve">무관</x:t>
        </x:is>
      </x:c>
      <x:c r="P205" s="7" t="inlineStr">
        <x:is>
          <x:t xml:space="preserve">무관</x:t>
        </x:is>
      </x:c>
      <x:c r="Q205" s="7" t="inlineStr">
        <x:is>
          <x:t xml:space="preserve">흔함</x:t>
        </x:is>
      </x:c>
      <x:c r="R205" s="7" t="inlineStr">
        <x:is>
          <x:t xml:space="preserve">없음</x:t>
        </x:is>
      </x:c>
      <x:c r="S205" s="7" t="inlineStr">
        <x:is>
          <x:t xml:space="preserve"/>
        </x:is>
      </x:c>
      <x:c r="T205" s="7" t="inlineStr">
        <x:is>
          <x:t xml:space="preserve"/>
        </x:is>
      </x:c>
      <x:c r="U205" s="8" t="str">
        <x:f>INDEX('서식지_점수'!$E$4:$P$4,1,MATCH(MAX('서식지_점수'!E205:P205),'서식지_점수'!E205:P205,0))</x:f>
        <x:v>산악</x:v>
      </x:c>
      <x:c r="V205" s="8" t="str">
        <x:f>IF(T205&lt;&gt;"",T205,U205)</x:f>
        <x:v>산악</x:v>
      </x:c>
      <x:c r="W205" s="8" t="str">
        <x:f>IFERROR(INDEX('서식지_점수'!$E$4:$P$4,1,MATCH(MAXIFS('서식지_점수'!E205:P205,'서식지_점수'!E205:P205,"&lt;"&amp;MAX('서식지_점수'!E205:P205)),'서식지_점수'!E205:P205,0)),"")</x:f>
        <x:v>평원</x:v>
      </x:c>
      <x:c r="X205" s="8" t="str">
        <x:f>IF(T205&lt;&gt;"","수동확정",IF(MAX('서식지_점수'!E205:P205)-LARGE('서식지_점수'!E205:P205,2)&gt;=15,"높음",IF(MAX('서식지_점수'!E205:P205)-LARGE('서식지_점수'!E205:P205,2)&gt;=8,"보통","검토필요")))</x:f>
        <x:v>검토필요</x:v>
      </x:c>
      <x:c r="Y205" s="9" t="n">
        <x:f>IF(Q205="전설",8,IF(Q205="희귀",7,IF(J205="기본",1,IF(J205="중간",3,IF(J205="최종",IF(I205="",5,IF(I205&lt;=20,3,IF(I205&lt;=35,4,IF(I205&lt;=50,6,7)))),IF(Q205="드묾",4,2))))))</x:f>
        <x:v>2</x:v>
      </x:c>
      <x:c r="Z205" s="5" t="inlineStr">
        <x:is>
          <x:t xml:space="preserve">#cobblemon:is_end; #cobblemon:is_overworld; the_bumblezone:howling_constructs</x:t>
        </x:is>
      </x:c>
      <x:c r="AA205" s="5" t="inlineStr">
        <x:is>
          <x:t xml:space="preserve">common</x:t>
        </x:is>
      </x:c>
      <x:c r="AB205" s="5" t="inlineStr">
        <x:is>
          <x:t xml:space="preserve">예</x:t>
        </x:is>
      </x:c>
      <x:c r="AC205" s="8" t="str">
        <x:f>IF(T205&lt;&gt;"","수동확정",IF(X205="검토필요","검토필요",IF(S205="","원본없음","초기완료")))</x:f>
        <x:v>검토필요</x:v>
      </x:c>
      <x:c r="AD205" s="7" t="inlineStr">
        <x:is>
          <x:t xml:space="preserve"/>
        </x:is>
      </x:c>
      <x:c r="AE205" s="5" t="inlineStr">
        <x:is>
          <x:t xml:space="preserve">.tmp/cobblemon-1.7.3-source/common/src/main/resources/data/cobblemon/species/generation2/unown.json</x:t>
        </x:is>
      </x:c>
      <x:c r="AF205" s="5" t="str">
        <x:f>"생활권|"&amp;K205</x:f>
        <x:v>생활권|비행</x:v>
      </x:c>
      <x:c r="AG205" s="5" t="str">
        <x:f>"지형|"&amp;L205</x:f>
        <x:v>지형|개활지</x:v>
      </x:c>
      <x:c r="AH205" s="5" t="str">
        <x:f>"온도|"&amp;M205</x:f>
        <x:v>온도|온대</x:v>
      </x:c>
      <x:c r="AI205" s="5" t="str">
        <x:f>"습도|"&amp;N205</x:f>
        <x:v>습도|보통</x:v>
      </x:c>
      <x:c r="AJ205" s="5" t="str">
        <x:f>"날씨|"&amp;O205</x:f>
        <x:v>날씨|무관</x:v>
      </x:c>
      <x:c r="AK205" s="5" t="str">
        <x:f>"특수태그|"&amp;R205</x:f>
        <x:v>특수태그|없음</x:v>
      </x:c>
      <x:c r="AL205" s="5" t="str">
        <x:f>"원본서식지|"&amp;S205</x:f>
        <x:v>원본서식지|</x:v>
      </x:c>
      <x:c r="AM205" s="5" t="str">
        <x:f>"타입|"&amp;F205</x:f>
        <x:v>타입|에스퍼</x:v>
      </x:c>
      <x:c r="AN205" s="5" t="str">
        <x:f>"타입|"&amp;G205</x:f>
        <x:v>타입|</x:v>
      </x:c>
    </x:row>
    <x:row r="206" ht="24" customHeight="1">
      <x:c r="A206" s="5" t="n">
        <x:v>202</x:v>
      </x:c>
      <x:c r="B206" s="5" t="inlineStr">
        <x:is>
          <x:t xml:space="preserve">마자용</x:t>
        </x:is>
      </x:c>
      <x:c r="C206" s="5" t="inlineStr">
        <x:is>
          <x:t xml:space="preserve">wobbuffet</x:t>
        </x:is>
      </x:c>
      <x:c r="D206" s="5" t="inlineStr">
        <x:is>
          <x:t xml:space="preserve">Wobbuffet</x:t>
        </x:is>
      </x:c>
      <x:c r="E206" s="5" t="n">
        <x:v>2</x:v>
      </x:c>
      <x:c r="F206" s="5" t="inlineStr">
        <x:is>
          <x:t xml:space="preserve">에스퍼</x:t>
        </x:is>
      </x:c>
      <x:c r="G206" s="5" t="inlineStr">
        <x:is>
          <x:t xml:space="preserve"/>
        </x:is>
      </x:c>
      <x:c r="H206" s="6" t="n">
        <x:v>28.5</x:v>
      </x:c>
      <x:c r="I206" s="5" t="n">
        <x:v>15</x:v>
      </x:c>
      <x:c r="J206" s="5" t="inlineStr">
        <x:is>
          <x:t xml:space="preserve">최종</x:t>
        </x:is>
      </x:c>
      <x:c r="K206" s="7" t="inlineStr">
        <x:is>
          <x:t xml:space="preserve">육상</x:t>
        </x:is>
      </x:c>
      <x:c r="L206" s="7" t="inlineStr">
        <x:is>
          <x:t xml:space="preserve">개활지</x:t>
        </x:is>
      </x:c>
      <x:c r="M206" s="7" t="inlineStr">
        <x:is>
          <x:t xml:space="preserve">온대</x:t>
        </x:is>
      </x:c>
      <x:c r="N206" s="7" t="inlineStr">
        <x:is>
          <x:t xml:space="preserve">보통</x:t>
        </x:is>
      </x:c>
      <x:c r="O206" s="7" t="inlineStr">
        <x:is>
          <x:t xml:space="preserve">무관</x:t>
        </x:is>
      </x:c>
      <x:c r="P206" s="7" t="inlineStr">
        <x:is>
          <x:t xml:space="preserve">무관</x:t>
        </x:is>
      </x:c>
      <x:c r="Q206" s="7" t="inlineStr">
        <x:is>
          <x:t xml:space="preserve">드묾</x:t>
        </x:is>
      </x:c>
      <x:c r="R206" s="7" t="inlineStr">
        <x:is>
          <x:t xml:space="preserve">없음</x:t>
        </x:is>
      </x:c>
      <x:c r="S206" s="7" t="inlineStr">
        <x:is>
          <x:t xml:space="preserve">평원</x:t>
        </x:is>
      </x:c>
      <x:c r="T206" s="7" t="inlineStr">
        <x:is>
          <x:t xml:space="preserve"/>
        </x:is>
      </x:c>
      <x:c r="U206" s="8" t="str">
        <x:f>INDEX('서식지_점수'!$E$4:$P$4,1,MATCH(MAX('서식지_점수'!E206:P206),'서식지_점수'!E206:P206,0))</x:f>
        <x:v>평원</x:v>
      </x:c>
      <x:c r="V206" s="8" t="str">
        <x:f>IF(T206&lt;&gt;"",T206,U206)</x:f>
        <x:v>평원</x:v>
      </x:c>
      <x:c r="W206" s="8" t="str">
        <x:f>IFERROR(INDEX('서식지_점수'!$E$4:$P$4,1,MATCH(MAXIFS('서식지_점수'!E206:P206,'서식지_점수'!E206:P206,"&lt;"&amp;MAX('서식지_점수'!E206:P206)),'서식지_점수'!E206:P206,0)),"")</x:f>
        <x:v>숲</x:v>
      </x:c>
      <x:c r="X206" s="8" t="str">
        <x:f>IF(T206&lt;&gt;"","수동확정",IF(MAX('서식지_점수'!E206:P206)-LARGE('서식지_점수'!E206:P206,2)&gt;=15,"높음",IF(MAX('서식지_점수'!E206:P206)-LARGE('서식지_점수'!E206:P206,2)&gt;=8,"보통","검토필요")))</x:f>
        <x:v>검토필요</x:v>
      </x:c>
      <x:c r="Y206" s="9" t="n">
        <x:f>IF(Q206="전설",8,IF(Q206="희귀",7,IF(J206="기본",1,IF(J206="중간",3,IF(J206="최종",IF(I206="",5,IF(I206&lt;=20,3,IF(I206&lt;=35,4,IF(I206&lt;=50,6,7)))),IF(Q206="드묾",4,2))))))</x:f>
        <x:v>3</x:v>
      </x:c>
      <x:c r="Z206" s="5" t="inlineStr">
        <x:is>
          <x:t xml:space="preserve">#cobblemon:is_grassland</x:t>
        </x:is>
      </x:c>
      <x:c r="AA206" s="5" t="inlineStr">
        <x:is>
          <x:t xml:space="preserve">rare</x:t>
        </x:is>
      </x:c>
      <x:c r="AB206" s="5" t="inlineStr">
        <x:is>
          <x:t xml:space="preserve">예</x:t>
        </x:is>
      </x:c>
      <x:c r="AC206" s="8" t="str">
        <x:f>IF(T206&lt;&gt;"","수동확정",IF(X206="검토필요","검토필요",IF(S206="","원본없음","초기완료")))</x:f>
        <x:v>검토필요</x:v>
      </x:c>
      <x:c r="AD206" s="7" t="inlineStr">
        <x:is>
          <x:t xml:space="preserve"/>
        </x:is>
      </x:c>
      <x:c r="AE206" s="5" t="inlineStr">
        <x:is>
          <x:t xml:space="preserve">.tmp/cobblemon-1.7.3-source/common/src/main/resources/data/cobblemon/species/generation2/wobbuffet.json</x:t>
        </x:is>
      </x:c>
      <x:c r="AF206" s="5" t="str">
        <x:f>"생활권|"&amp;K206</x:f>
        <x:v>생활권|육상</x:v>
      </x:c>
      <x:c r="AG206" s="5" t="str">
        <x:f>"지형|"&amp;L206</x:f>
        <x:v>지형|개활지</x:v>
      </x:c>
      <x:c r="AH206" s="5" t="str">
        <x:f>"온도|"&amp;M206</x:f>
        <x:v>온도|온대</x:v>
      </x:c>
      <x:c r="AI206" s="5" t="str">
        <x:f>"습도|"&amp;N206</x:f>
        <x:v>습도|보통</x:v>
      </x:c>
      <x:c r="AJ206" s="5" t="str">
        <x:f>"날씨|"&amp;O206</x:f>
        <x:v>날씨|무관</x:v>
      </x:c>
      <x:c r="AK206" s="5" t="str">
        <x:f>"특수태그|"&amp;R206</x:f>
        <x:v>특수태그|없음</x:v>
      </x:c>
      <x:c r="AL206" s="5" t="str">
        <x:f>"원본서식지|"&amp;S206</x:f>
        <x:v>원본서식지|평원</x:v>
      </x:c>
      <x:c r="AM206" s="5" t="str">
        <x:f>"타입|"&amp;F206</x:f>
        <x:v>타입|에스퍼</x:v>
      </x:c>
      <x:c r="AN206" s="5" t="str">
        <x:f>"타입|"&amp;G206</x:f>
        <x:v>타입|</x:v>
      </x:c>
    </x:row>
    <x:row r="207" ht="24" customHeight="1">
      <x:c r="A207" s="5" t="n">
        <x:v>203</x:v>
      </x:c>
      <x:c r="B207" s="5" t="inlineStr">
        <x:is>
          <x:t xml:space="preserve">키링키</x:t>
        </x:is>
      </x:c>
      <x:c r="C207" s="5" t="inlineStr">
        <x:is>
          <x:t xml:space="preserve">girafarig</x:t>
        </x:is>
      </x:c>
      <x:c r="D207" s="5" t="inlineStr">
        <x:is>
          <x:t xml:space="preserve">Girafarig</x:t>
        </x:is>
      </x:c>
      <x:c r="E207" s="5" t="n">
        <x:v>2</x:v>
      </x:c>
      <x:c r="F207" s="5" t="inlineStr">
        <x:is>
          <x:t xml:space="preserve">노말</x:t>
        </x:is>
      </x:c>
      <x:c r="G207" s="5" t="inlineStr">
        <x:is>
          <x:t xml:space="preserve">에스퍼</x:t>
        </x:is>
      </x:c>
      <x:c r="H207" s="6" t="n">
        <x:v>41.5</x:v>
      </x:c>
      <x:c r="I207" s="5" t="n"/>
      <x:c r="J207" s="5" t="inlineStr">
        <x:is>
          <x:t xml:space="preserve">기본</x:t>
        </x:is>
      </x:c>
      <x:c r="K207" s="7" t="inlineStr">
        <x:is>
          <x:t xml:space="preserve">육상</x:t>
        </x:is>
      </x:c>
      <x:c r="L207" s="7" t="inlineStr">
        <x:is>
          <x:t xml:space="preserve">개활지</x:t>
        </x:is>
      </x:c>
      <x:c r="M207" s="7" t="inlineStr">
        <x:is>
          <x:t xml:space="preserve">온대</x:t>
        </x:is>
      </x:c>
      <x:c r="N207" s="7" t="inlineStr">
        <x:is>
          <x:t xml:space="preserve">보통</x:t>
        </x:is>
      </x:c>
      <x:c r="O207" s="7" t="inlineStr">
        <x:is>
          <x:t xml:space="preserve">무관</x:t>
        </x:is>
      </x:c>
      <x:c r="P207" s="7" t="inlineStr">
        <x:is>
          <x:t xml:space="preserve">무관</x:t>
        </x:is>
      </x:c>
      <x:c r="Q207" s="7" t="inlineStr">
        <x:is>
          <x:t xml:space="preserve">흔함</x:t>
        </x:is>
      </x:c>
      <x:c r="R207" s="7" t="inlineStr">
        <x:is>
          <x:t xml:space="preserve">없음</x:t>
        </x:is>
      </x:c>
      <x:c r="S207" s="7" t="inlineStr">
        <x:is>
          <x:t xml:space="preserve">평원</x:t>
        </x:is>
      </x:c>
      <x:c r="T207" s="7" t="inlineStr">
        <x:is>
          <x:t xml:space="preserve"/>
        </x:is>
      </x:c>
      <x:c r="U207" s="8" t="str">
        <x:f>INDEX('서식지_점수'!$E$4:$P$4,1,MATCH(MAX('서식지_점수'!E207:P207),'서식지_점수'!E207:P207,0))</x:f>
        <x:v>평원</x:v>
      </x:c>
      <x:c r="V207" s="8" t="str">
        <x:f>IF(T207&lt;&gt;"",T207,U207)</x:f>
        <x:v>평원</x:v>
      </x:c>
      <x:c r="W207" s="8" t="str">
        <x:f>IFERROR(INDEX('서식지_점수'!$E$4:$P$4,1,MATCH(MAXIFS('서식지_점수'!E207:P207,'서식지_점수'!E207:P207,"&lt;"&amp;MAX('서식지_점수'!E207:P207)),'서식지_점수'!E207:P207,0)),"")</x:f>
        <x:v>숲</x:v>
      </x:c>
      <x:c r="X207" s="8" t="str">
        <x:f>IF(T207&lt;&gt;"","수동확정",IF(MAX('서식지_점수'!E207:P207)-LARGE('서식지_점수'!E207:P207,2)&gt;=15,"높음",IF(MAX('서식지_점수'!E207:P207)-LARGE('서식지_점수'!E207:P207,2)&gt;=8,"보통","검토필요")))</x:f>
        <x:v>검토필요</x:v>
      </x:c>
      <x:c r="Y207" s="9" t="n">
        <x:f>IF(Q207="전설",8,IF(Q207="희귀",7,IF(J207="기본",1,IF(J207="중간",3,IF(J207="최종",IF(I207="",5,IF(I207&lt;=20,3,IF(I207&lt;=35,4,IF(I207&lt;=50,6,7)))),IF(Q207="드묾",4,2))))))</x:f>
        <x:v>1</x:v>
      </x:c>
      <x:c r="Z207" s="5" t="inlineStr">
        <x:is>
          <x:t xml:space="preserve">#cobblemon:is_savanna</x:t>
        </x:is>
      </x:c>
      <x:c r="AA207" s="5" t="inlineStr">
        <x:is>
          <x:t xml:space="preserve">common</x:t>
        </x:is>
      </x:c>
      <x:c r="AB207" s="5" t="inlineStr">
        <x:is>
          <x:t xml:space="preserve">예</x:t>
        </x:is>
      </x:c>
      <x:c r="AC207" s="8" t="str">
        <x:f>IF(T207&lt;&gt;"","수동확정",IF(X207="검토필요","검토필요",IF(S207="","원본없음","초기완료")))</x:f>
        <x:v>검토필요</x:v>
      </x:c>
      <x:c r="AD207" s="7" t="inlineStr">
        <x:is>
          <x:t xml:space="preserve"/>
        </x:is>
      </x:c>
      <x:c r="AE207" s="5" t="inlineStr">
        <x:is>
          <x:t xml:space="preserve">.tmp/cobblemon-1.7.3-source/common/src/main/resources/data/cobblemon/species/generation2/girafarig.json</x:t>
        </x:is>
      </x:c>
      <x:c r="AF207" s="5" t="str">
        <x:f>"생활권|"&amp;K207</x:f>
        <x:v>생활권|육상</x:v>
      </x:c>
      <x:c r="AG207" s="5" t="str">
        <x:f>"지형|"&amp;L207</x:f>
        <x:v>지형|개활지</x:v>
      </x:c>
      <x:c r="AH207" s="5" t="str">
        <x:f>"온도|"&amp;M207</x:f>
        <x:v>온도|온대</x:v>
      </x:c>
      <x:c r="AI207" s="5" t="str">
        <x:f>"습도|"&amp;N207</x:f>
        <x:v>습도|보통</x:v>
      </x:c>
      <x:c r="AJ207" s="5" t="str">
        <x:f>"날씨|"&amp;O207</x:f>
        <x:v>날씨|무관</x:v>
      </x:c>
      <x:c r="AK207" s="5" t="str">
        <x:f>"특수태그|"&amp;R207</x:f>
        <x:v>특수태그|없음</x:v>
      </x:c>
      <x:c r="AL207" s="5" t="str">
        <x:f>"원본서식지|"&amp;S207</x:f>
        <x:v>원본서식지|평원</x:v>
      </x:c>
      <x:c r="AM207" s="5" t="str">
        <x:f>"타입|"&amp;F207</x:f>
        <x:v>타입|노말</x:v>
      </x:c>
      <x:c r="AN207" s="5" t="str">
        <x:f>"타입|"&amp;G207</x:f>
        <x:v>타입|에스퍼</x:v>
      </x:c>
    </x:row>
    <x:row r="208" ht="24" customHeight="1">
      <x:c r="A208" s="5" t="n">
        <x:v>204</x:v>
      </x:c>
      <x:c r="B208" s="5" t="inlineStr">
        <x:is>
          <x:t xml:space="preserve">피콘</x:t>
        </x:is>
      </x:c>
      <x:c r="C208" s="5" t="inlineStr">
        <x:is>
          <x:t xml:space="preserve">pineco</x:t>
        </x:is>
      </x:c>
      <x:c r="D208" s="5" t="inlineStr">
        <x:is>
          <x:t xml:space="preserve">Pineco</x:t>
        </x:is>
      </x:c>
      <x:c r="E208" s="5" t="n">
        <x:v>2</x:v>
      </x:c>
      <x:c r="F208" s="5" t="inlineStr">
        <x:is>
          <x:t xml:space="preserve">벌레</x:t>
        </x:is>
      </x:c>
      <x:c r="G208" s="5" t="inlineStr">
        <x:is>
          <x:t xml:space="preserve"/>
        </x:is>
      </x:c>
      <x:c r="H208" s="6" t="n">
        <x:v>7.2</x:v>
      </x:c>
      <x:c r="I208" s="5" t="n">
        <x:v>31</x:v>
      </x:c>
      <x:c r="J208" s="5" t="inlineStr">
        <x:is>
          <x:t xml:space="preserve">기본</x:t>
        </x:is>
      </x:c>
      <x:c r="K208" s="7" t="inlineStr">
        <x:is>
          <x:t xml:space="preserve">육상</x:t>
        </x:is>
      </x:c>
      <x:c r="L208" s="7" t="inlineStr">
        <x:is>
          <x:t xml:space="preserve">수목</x:t>
        </x:is>
      </x:c>
      <x:c r="M208" s="7" t="inlineStr">
        <x:is>
          <x:t xml:space="preserve">서늘</x:t>
        </x:is>
      </x:c>
      <x:c r="N208" s="7" t="inlineStr">
        <x:is>
          <x:t xml:space="preserve">보통</x:t>
        </x:is>
      </x:c>
      <x:c r="O208" s="7" t="inlineStr">
        <x:is>
          <x:t xml:space="preserve">무관</x:t>
        </x:is>
      </x:c>
      <x:c r="P208" s="7" t="inlineStr">
        <x:is>
          <x:t xml:space="preserve">무관</x:t>
        </x:is>
      </x:c>
      <x:c r="Q208" s="7" t="inlineStr">
        <x:is>
          <x:t xml:space="preserve">흔함</x:t>
        </x:is>
      </x:c>
      <x:c r="R208" s="7" t="inlineStr">
        <x:is>
          <x:t xml:space="preserve">없음</x:t>
        </x:is>
      </x:c>
      <x:c r="S208" s="7" t="inlineStr">
        <x:is>
          <x:t xml:space="preserve">숲</x:t>
        </x:is>
      </x:c>
      <x:c r="T208" s="7" t="inlineStr">
        <x:is>
          <x:t xml:space="preserve"/>
        </x:is>
      </x:c>
      <x:c r="U208" s="8" t="str">
        <x:f>INDEX('서식지_점수'!$E$4:$P$4,1,MATCH(MAX('서식지_점수'!E208:P208),'서식지_점수'!E208:P208,0))</x:f>
        <x:v>평원</x:v>
      </x:c>
      <x:c r="V208" s="8" t="str">
        <x:f>IF(T208&lt;&gt;"",T208,U208)</x:f>
        <x:v>평원</x:v>
      </x:c>
      <x:c r="W208" s="8" t="str">
        <x:f>IFERROR(INDEX('서식지_점수'!$E$4:$P$4,1,MATCH(MAXIFS('서식지_점수'!E208:P208,'서식지_점수'!E208:P208,"&lt;"&amp;MAX('서식지_점수'!E208:P208)),'서식지_점수'!E208:P208,0)),"")</x:f>
        <x:v>숲</x:v>
      </x:c>
      <x:c r="X208" s="8" t="str">
        <x:f>IF(T208&lt;&gt;"","수동확정",IF(MAX('서식지_점수'!E208:P208)-LARGE('서식지_점수'!E208:P208,2)&gt;=15,"높음",IF(MAX('서식지_점수'!E208:P208)-LARGE('서식지_점수'!E208:P208,2)&gt;=8,"보통","검토필요")))</x:f>
        <x:v>검토필요</x:v>
      </x:c>
      <x:c r="Y208" s="9" t="n">
        <x:f>IF(Q208="전설",8,IF(Q208="희귀",7,IF(J208="기본",1,IF(J208="중간",3,IF(J208="최종",IF(I208="",5,IF(I208&lt;=20,3,IF(I208&lt;=35,4,IF(I208&lt;=50,6,7)))),IF(Q208="드묾",4,2))))))</x:f>
        <x:v>1</x:v>
      </x:c>
      <x:c r="Z208" s="5" t="inlineStr">
        <x:is>
          <x:t xml:space="preserve">#cobblemon:is_taiga</x:t>
        </x:is>
      </x:c>
      <x:c r="AA208" s="5" t="inlineStr">
        <x:is>
          <x:t xml:space="preserve">common</x:t>
        </x:is>
      </x:c>
      <x:c r="AB208" s="5" t="inlineStr">
        <x:is>
          <x:t xml:space="preserve">예</x:t>
        </x:is>
      </x:c>
      <x:c r="AC208" s="8" t="str">
        <x:f>IF(T208&lt;&gt;"","수동확정",IF(X208="검토필요","검토필요",IF(S208="","원본없음","초기완료")))</x:f>
        <x:v>검토필요</x:v>
      </x:c>
      <x:c r="AD208" s="7" t="inlineStr">
        <x:is>
          <x:t xml:space="preserve"/>
        </x:is>
      </x:c>
      <x:c r="AE208" s="5" t="inlineStr">
        <x:is>
          <x:t xml:space="preserve">.tmp/cobblemon-1.7.3-source/common/src/main/resources/data/cobblemon/species/generation2/pineco.json</x:t>
        </x:is>
      </x:c>
      <x:c r="AF208" s="5" t="str">
        <x:f>"생활권|"&amp;K208</x:f>
        <x:v>생활권|육상</x:v>
      </x:c>
      <x:c r="AG208" s="5" t="str">
        <x:f>"지형|"&amp;L208</x:f>
        <x:v>지형|수목</x:v>
      </x:c>
      <x:c r="AH208" s="5" t="str">
        <x:f>"온도|"&amp;M208</x:f>
        <x:v>온도|서늘</x:v>
      </x:c>
      <x:c r="AI208" s="5" t="str">
        <x:f>"습도|"&amp;N208</x:f>
        <x:v>습도|보통</x:v>
      </x:c>
      <x:c r="AJ208" s="5" t="str">
        <x:f>"날씨|"&amp;O208</x:f>
        <x:v>날씨|무관</x:v>
      </x:c>
      <x:c r="AK208" s="5" t="str">
        <x:f>"특수태그|"&amp;R208</x:f>
        <x:v>특수태그|없음</x:v>
      </x:c>
      <x:c r="AL208" s="5" t="str">
        <x:f>"원본서식지|"&amp;S208</x:f>
        <x:v>원본서식지|숲</x:v>
      </x:c>
      <x:c r="AM208" s="5" t="str">
        <x:f>"타입|"&amp;F208</x:f>
        <x:v>타입|벌레</x:v>
      </x:c>
      <x:c r="AN208" s="5" t="str">
        <x:f>"타입|"&amp;G208</x:f>
        <x:v>타입|</x:v>
      </x:c>
    </x:row>
    <x:row r="209" ht="24" customHeight="1">
      <x:c r="A209" s="5" t="n">
        <x:v>205</x:v>
      </x:c>
      <x:c r="B209" s="5" t="inlineStr">
        <x:is>
          <x:t xml:space="preserve">쏘콘</x:t>
        </x:is>
      </x:c>
      <x:c r="C209" s="5" t="inlineStr">
        <x:is>
          <x:t xml:space="preserve">forretress</x:t>
        </x:is>
      </x:c>
      <x:c r="D209" s="5" t="inlineStr">
        <x:is>
          <x:t xml:space="preserve">Forretress</x:t>
        </x:is>
      </x:c>
      <x:c r="E209" s="5" t="n">
        <x:v>2</x:v>
      </x:c>
      <x:c r="F209" s="5" t="inlineStr">
        <x:is>
          <x:t xml:space="preserve">벌레</x:t>
        </x:is>
      </x:c>
      <x:c r="G209" s="5" t="inlineStr">
        <x:is>
          <x:t xml:space="preserve">강철</x:t>
        </x:is>
      </x:c>
      <x:c r="H209" s="6" t="n">
        <x:v>125.8</x:v>
      </x:c>
      <x:c r="I209" s="5" t="n">
        <x:v>31</x:v>
      </x:c>
      <x:c r="J209" s="5" t="inlineStr">
        <x:is>
          <x:t xml:space="preserve">최종</x:t>
        </x:is>
      </x:c>
      <x:c r="K209" s="7" t="inlineStr">
        <x:is>
          <x:t xml:space="preserve">비행</x:t>
        </x:is>
      </x:c>
      <x:c r="L209" s="7" t="inlineStr">
        <x:is>
          <x:t xml:space="preserve">수목</x:t>
        </x:is>
      </x:c>
      <x:c r="M209" s="7" t="inlineStr">
        <x:is>
          <x:t xml:space="preserve">서늘</x:t>
        </x:is>
      </x:c>
      <x:c r="N209" s="7" t="inlineStr">
        <x:is>
          <x:t xml:space="preserve">보통</x:t>
        </x:is>
      </x:c>
      <x:c r="O209" s="7" t="inlineStr">
        <x:is>
          <x:t xml:space="preserve">무관</x:t>
        </x:is>
      </x:c>
      <x:c r="P209" s="7" t="inlineStr">
        <x:is>
          <x:t xml:space="preserve">무관</x:t>
        </x:is>
      </x:c>
      <x:c r="Q209" s="7" t="inlineStr">
        <x:is>
          <x:t xml:space="preserve">흔함</x:t>
        </x:is>
      </x:c>
      <x:c r="R209" s="7" t="inlineStr">
        <x:is>
          <x:t xml:space="preserve">없음</x:t>
        </x:is>
      </x:c>
      <x:c r="S209" s="7" t="inlineStr">
        <x:is>
          <x:t xml:space="preserve">숲</x:t>
        </x:is>
      </x:c>
      <x:c r="T209" s="7" t="inlineStr">
        <x:is>
          <x:t xml:space="preserve"/>
        </x:is>
      </x:c>
      <x:c r="U209" s="8" t="str">
        <x:f>INDEX('서식지_점수'!$E$4:$P$4,1,MATCH(MAX('서식지_점수'!E209:P209),'서식지_점수'!E209:P209,0))</x:f>
        <x:v>산악</x:v>
      </x:c>
      <x:c r="V209" s="8" t="str">
        <x:f>IF(T209&lt;&gt;"",T209,U209)</x:f>
        <x:v>산악</x:v>
      </x:c>
      <x:c r="W209" s="8" t="str">
        <x:f>IFERROR(INDEX('서식지_점수'!$E$4:$P$4,1,MATCH(MAXIFS('서식지_점수'!E209:P209,'서식지_점수'!E209:P209,"&lt;"&amp;MAX('서식지_점수'!E209:P209)),'서식지_점수'!E209:P209,0)),"")</x:f>
        <x:v>평원</x:v>
      </x:c>
      <x:c r="X209" s="8" t="str">
        <x:f>IF(T209&lt;&gt;"","수동확정",IF(MAX('서식지_점수'!E209:P209)-LARGE('서식지_점수'!E209:P209,2)&gt;=15,"높음",IF(MAX('서식지_점수'!E209:P209)-LARGE('서식지_점수'!E209:P209,2)&gt;=8,"보통","검토필요")))</x:f>
        <x:v>검토필요</x:v>
      </x:c>
      <x:c r="Y209" s="9" t="n">
        <x:f>IF(Q209="전설",8,IF(Q209="희귀",7,IF(J209="기본",1,IF(J209="중간",3,IF(J209="최종",IF(I209="",5,IF(I209&lt;=20,3,IF(I209&lt;=35,4,IF(I209&lt;=50,6,7)))),IF(Q209="드묾",4,2))))))</x:f>
        <x:v>4</x:v>
      </x:c>
      <x:c r="Z209" s="5" t="inlineStr">
        <x:is>
          <x:t xml:space="preserve">#cobblemon:is_taiga</x:t>
        </x:is>
      </x:c>
      <x:c r="AA209" s="5" t="inlineStr">
        <x:is>
          <x:t xml:space="preserve">common</x:t>
        </x:is>
      </x:c>
      <x:c r="AB209" s="5" t="inlineStr">
        <x:is>
          <x:t xml:space="preserve">예</x:t>
        </x:is>
      </x:c>
      <x:c r="AC209" s="8" t="str">
        <x:f>IF(T209&lt;&gt;"","수동확정",IF(X209="검토필요","검토필요",IF(S209="","원본없음","초기완료")))</x:f>
        <x:v>검토필요</x:v>
      </x:c>
      <x:c r="AD209" s="7" t="inlineStr">
        <x:is>
          <x:t xml:space="preserve"/>
        </x:is>
      </x:c>
      <x:c r="AE209" s="5" t="inlineStr">
        <x:is>
          <x:t xml:space="preserve">.tmp/cobblemon-1.7.3-source/common/src/main/resources/data/cobblemon/species/generation2/forretress.json</x:t>
        </x:is>
      </x:c>
      <x:c r="AF209" s="5" t="str">
        <x:f>"생활권|"&amp;K209</x:f>
        <x:v>생활권|비행</x:v>
      </x:c>
      <x:c r="AG209" s="5" t="str">
        <x:f>"지형|"&amp;L209</x:f>
        <x:v>지형|수목</x:v>
      </x:c>
      <x:c r="AH209" s="5" t="str">
        <x:f>"온도|"&amp;M209</x:f>
        <x:v>온도|서늘</x:v>
      </x:c>
      <x:c r="AI209" s="5" t="str">
        <x:f>"습도|"&amp;N209</x:f>
        <x:v>습도|보통</x:v>
      </x:c>
      <x:c r="AJ209" s="5" t="str">
        <x:f>"날씨|"&amp;O209</x:f>
        <x:v>날씨|무관</x:v>
      </x:c>
      <x:c r="AK209" s="5" t="str">
        <x:f>"특수태그|"&amp;R209</x:f>
        <x:v>특수태그|없음</x:v>
      </x:c>
      <x:c r="AL209" s="5" t="str">
        <x:f>"원본서식지|"&amp;S209</x:f>
        <x:v>원본서식지|숲</x:v>
      </x:c>
      <x:c r="AM209" s="5" t="str">
        <x:f>"타입|"&amp;F209</x:f>
        <x:v>타입|벌레</x:v>
      </x:c>
      <x:c r="AN209" s="5" t="str">
        <x:f>"타입|"&amp;G209</x:f>
        <x:v>타입|강철</x:v>
      </x:c>
    </x:row>
    <x:row r="210" ht="24" customHeight="1">
      <x:c r="A210" s="5" t="n">
        <x:v>206</x:v>
      </x:c>
      <x:c r="B210" s="5" t="inlineStr">
        <x:is>
          <x:t xml:space="preserve">노고치</x:t>
        </x:is>
      </x:c>
      <x:c r="C210" s="5" t="inlineStr">
        <x:is>
          <x:t xml:space="preserve">dunsparce</x:t>
        </x:is>
      </x:c>
      <x:c r="D210" s="5" t="inlineStr">
        <x:is>
          <x:t xml:space="preserve">Dunsparce</x:t>
        </x:is>
      </x:c>
      <x:c r="E210" s="5" t="n">
        <x:v>2</x:v>
      </x:c>
      <x:c r="F210" s="5" t="inlineStr">
        <x:is>
          <x:t xml:space="preserve">노말</x:t>
        </x:is>
      </x:c>
      <x:c r="G210" s="5" t="inlineStr">
        <x:is>
          <x:t xml:space="preserve"/>
        </x:is>
      </x:c>
      <x:c r="H210" s="6" t="n">
        <x:v>14</x:v>
      </x:c>
      <x:c r="I210" s="5" t="n"/>
      <x:c r="J210" s="5" t="inlineStr">
        <x:is>
          <x:t xml:space="preserve">기본</x:t>
        </x:is>
      </x:c>
      <x:c r="K210" s="7" t="inlineStr">
        <x:is>
          <x:t xml:space="preserve">육상</x:t>
        </x:is>
      </x:c>
      <x:c r="L210" s="7" t="inlineStr">
        <x:is>
          <x:t xml:space="preserve">개활지</x:t>
        </x:is>
      </x:c>
      <x:c r="M210" s="7" t="inlineStr">
        <x:is>
          <x:t xml:space="preserve">온대</x:t>
        </x:is>
      </x:c>
      <x:c r="N210" s="7" t="inlineStr">
        <x:is>
          <x:t xml:space="preserve">보통</x:t>
        </x:is>
      </x:c>
      <x:c r="O210" s="7" t="inlineStr">
        <x:is>
          <x:t xml:space="preserve">무관</x:t>
        </x:is>
      </x:c>
      <x:c r="P210" s="7" t="inlineStr">
        <x:is>
          <x:t xml:space="preserve">무관</x:t>
        </x:is>
      </x:c>
      <x:c r="Q210" s="7" t="inlineStr">
        <x:is>
          <x:t xml:space="preserve">드묾</x:t>
        </x:is>
      </x:c>
      <x:c r="R210" s="7" t="inlineStr">
        <x:is>
          <x:t xml:space="preserve">없음</x:t>
        </x:is>
      </x:c>
      <x:c r="S210" s="7" t="inlineStr">
        <x:is>
          <x:t xml:space="preserve"/>
        </x:is>
      </x:c>
      <x:c r="T210" s="7" t="inlineStr">
        <x:is>
          <x:t xml:space="preserve"/>
        </x:is>
      </x:c>
      <x:c r="U210" s="8" t="str">
        <x:f>INDEX('서식지_점수'!$E$4:$P$4,1,MATCH(MAX('서식지_점수'!E210:P210),'서식지_점수'!E210:P210,0))</x:f>
        <x:v>평원</x:v>
      </x:c>
      <x:c r="V210" s="8" t="str">
        <x:f>IF(T210&lt;&gt;"",T210,U210)</x:f>
        <x:v>평원</x:v>
      </x:c>
      <x:c r="W210" s="8" t="str">
        <x:f>IFERROR(INDEX('서식지_점수'!$E$4:$P$4,1,MATCH(MAXIFS('서식지_점수'!E210:P210,'서식지_점수'!E210:P210,"&lt;"&amp;MAX('서식지_점수'!E210:P210)),'서식지_점수'!E210:P210,0)),"")</x:f>
        <x:v>숲</x:v>
      </x:c>
      <x:c r="X210" s="8" t="str">
        <x:f>IF(T210&lt;&gt;"","수동확정",IF(MAX('서식지_점수'!E210:P210)-LARGE('서식지_점수'!E210:P210,2)&gt;=15,"높음",IF(MAX('서식지_점수'!E210:P210)-LARGE('서식지_점수'!E210:P210,2)&gt;=8,"보통","검토필요")))</x:f>
        <x:v>검토필요</x:v>
      </x:c>
      <x:c r="Y210" s="9" t="n">
        <x:f>IF(Q210="전설",8,IF(Q210="희귀",7,IF(J210="기본",1,IF(J210="중간",3,IF(J210="최종",IF(I210="",5,IF(I210&lt;=20,3,IF(I210&lt;=35,4,IF(I210&lt;=50,6,7)))),IF(Q210="드묾",4,2))))))</x:f>
        <x:v>1</x:v>
      </x:c>
      <x:c r="Z210" s="5" t="inlineStr">
        <x:is>
          <x:t xml:space="preserve">#cobblemon:is_lush; #cobblemon:is_overworld</x:t>
        </x:is>
      </x:c>
      <x:c r="AA210" s="5" t="inlineStr">
        <x:is>
          <x:t xml:space="preserve">rare</x:t>
        </x:is>
      </x:c>
      <x:c r="AB210" s="5" t="inlineStr">
        <x:is>
          <x:t xml:space="preserve">예</x:t>
        </x:is>
      </x:c>
      <x:c r="AC210" s="8" t="str">
        <x:f>IF(T210&lt;&gt;"","수동확정",IF(X210="검토필요","검토필요",IF(S210="","원본없음","초기완료")))</x:f>
        <x:v>검토필요</x:v>
      </x:c>
      <x:c r="AD210" s="7" t="inlineStr">
        <x:is>
          <x:t xml:space="preserve"/>
        </x:is>
      </x:c>
      <x:c r="AE210" s="5" t="inlineStr">
        <x:is>
          <x:t xml:space="preserve">.tmp/cobblemon-1.7.3-source/common/src/main/resources/data/cobblemon/species/generation2/dunsparce.json</x:t>
        </x:is>
      </x:c>
      <x:c r="AF210" s="5" t="str">
        <x:f>"생활권|"&amp;K210</x:f>
        <x:v>생활권|육상</x:v>
      </x:c>
      <x:c r="AG210" s="5" t="str">
        <x:f>"지형|"&amp;L210</x:f>
        <x:v>지형|개활지</x:v>
      </x:c>
      <x:c r="AH210" s="5" t="str">
        <x:f>"온도|"&amp;M210</x:f>
        <x:v>온도|온대</x:v>
      </x:c>
      <x:c r="AI210" s="5" t="str">
        <x:f>"습도|"&amp;N210</x:f>
        <x:v>습도|보통</x:v>
      </x:c>
      <x:c r="AJ210" s="5" t="str">
        <x:f>"날씨|"&amp;O210</x:f>
        <x:v>날씨|무관</x:v>
      </x:c>
      <x:c r="AK210" s="5" t="str">
        <x:f>"특수태그|"&amp;R210</x:f>
        <x:v>특수태그|없음</x:v>
      </x:c>
      <x:c r="AL210" s="5" t="str">
        <x:f>"원본서식지|"&amp;S210</x:f>
        <x:v>원본서식지|</x:v>
      </x:c>
      <x:c r="AM210" s="5" t="str">
        <x:f>"타입|"&amp;F210</x:f>
        <x:v>타입|노말</x:v>
      </x:c>
      <x:c r="AN210" s="5" t="str">
        <x:f>"타입|"&amp;G210</x:f>
        <x:v>타입|</x:v>
      </x:c>
    </x:row>
    <x:row r="211" ht="24" customHeight="1">
      <x:c r="A211" s="5" t="n">
        <x:v>207</x:v>
      </x:c>
      <x:c r="B211" s="5" t="inlineStr">
        <x:is>
          <x:t xml:space="preserve">글라이거</x:t>
        </x:is>
      </x:c>
      <x:c r="C211" s="5" t="inlineStr">
        <x:is>
          <x:t xml:space="preserve">gligar</x:t>
        </x:is>
      </x:c>
      <x:c r="D211" s="5" t="inlineStr">
        <x:is>
          <x:t xml:space="preserve">Gligar</x:t>
        </x:is>
      </x:c>
      <x:c r="E211" s="5" t="n">
        <x:v>2</x:v>
      </x:c>
      <x:c r="F211" s="5" t="inlineStr">
        <x:is>
          <x:t xml:space="preserve">땅</x:t>
        </x:is>
      </x:c>
      <x:c r="G211" s="5" t="inlineStr">
        <x:is>
          <x:t xml:space="preserve">비행</x:t>
        </x:is>
      </x:c>
      <x:c r="H211" s="6" t="n">
        <x:v>64.8</x:v>
      </x:c>
      <x:c r="I211" s="5" t="n"/>
      <x:c r="J211" s="5" t="inlineStr">
        <x:is>
          <x:t xml:space="preserve">기본</x:t>
        </x:is>
      </x:c>
      <x:c r="K211" s="7" t="inlineStr">
        <x:is>
          <x:t xml:space="preserve">비행</x:t>
        </x:is>
      </x:c>
      <x:c r="L211" s="7" t="inlineStr">
        <x:is>
          <x:t xml:space="preserve">화산</x:t>
        </x:is>
      </x:c>
      <x:c r="M211" s="7" t="inlineStr">
        <x:is>
          <x:t xml:space="preserve">고온</x:t>
        </x:is>
      </x:c>
      <x:c r="N211" s="7" t="inlineStr">
        <x:is>
          <x:t xml:space="preserve">건조</x:t>
        </x:is>
      </x:c>
      <x:c r="O211" s="7" t="inlineStr">
        <x:is>
          <x:t xml:space="preserve">맑음</x:t>
        </x:is>
      </x:c>
      <x:c r="P211" s="7" t="inlineStr">
        <x:is>
          <x:t xml:space="preserve">밤</x:t>
        </x:is>
      </x:c>
      <x:c r="Q211" s="7" t="inlineStr">
        <x:is>
          <x:t xml:space="preserve">보통</x:t>
        </x:is>
      </x:c>
      <x:c r="R211" s="7" t="inlineStr">
        <x:is>
          <x:t xml:space="preserve">화산</x:t>
        </x:is>
      </x:c>
      <x:c r="S211" s="7" t="inlineStr">
        <x:is>
          <x:t xml:space="preserve">화산</x:t>
        </x:is>
      </x:c>
      <x:c r="T211" s="7" t="inlineStr">
        <x:is>
          <x:t xml:space="preserve"/>
        </x:is>
      </x:c>
      <x:c r="U211" s="8" t="str">
        <x:f>INDEX('서식지_점수'!$E$4:$P$4,1,MATCH(MAX('서식지_점수'!E211:P211),'서식지_점수'!E211:P211,0))</x:f>
        <x:v>산악</x:v>
      </x:c>
      <x:c r="V211" s="8" t="str">
        <x:f>IF(T211&lt;&gt;"",T211,U211)</x:f>
        <x:v>산악</x:v>
      </x:c>
      <x:c r="W211" s="8" t="str">
        <x:f>IFERROR(INDEX('서식지_점수'!$E$4:$P$4,1,MATCH(MAXIFS('서식지_점수'!E211:P211,'서식지_점수'!E211:P211,"&lt;"&amp;MAX('서식지_점수'!E211:P211)),'서식지_점수'!E211:P211,0)),"")</x:f>
        <x:v>평원</x:v>
      </x:c>
      <x:c r="X211" s="8" t="str">
        <x:f>IF(T211&lt;&gt;"","수동확정",IF(MAX('서식지_점수'!E211:P211)-LARGE('서식지_점수'!E211:P211,2)&gt;=15,"높음",IF(MAX('서식지_점수'!E211:P211)-LARGE('서식지_점수'!E211:P211,2)&gt;=8,"보통","검토필요")))</x:f>
        <x:v>검토필요</x:v>
      </x:c>
      <x:c r="Y211" s="9" t="n">
        <x:f>IF(Q211="전설",8,IF(Q211="희귀",7,IF(J211="기본",1,IF(J211="중간",3,IF(J211="최종",IF(I211="",5,IF(I211&lt;=20,3,IF(I211&lt;=35,4,IF(I211&lt;=50,6,7)))),IF(Q211="드묾",4,2))))))</x:f>
        <x:v>1</x:v>
      </x:c>
      <x:c r="Z211" s="5" t="inlineStr">
        <x:is>
          <x:t xml:space="preserve">#cobblemon:is_badlands; #cobblemon:nether/is_mountain</x:t>
        </x:is>
      </x:c>
      <x:c r="AA211" s="5" t="inlineStr">
        <x:is>
          <x:t xml:space="preserve">common; uncommon</x:t>
        </x:is>
      </x:c>
      <x:c r="AB211" s="5" t="inlineStr">
        <x:is>
          <x:t xml:space="preserve">예</x:t>
        </x:is>
      </x:c>
      <x:c r="AC211" s="8" t="str">
        <x:f>IF(T211&lt;&gt;"","수동확정",IF(X211="검토필요","검토필요",IF(S211="","원본없음","초기완료")))</x:f>
        <x:v>검토필요</x:v>
      </x:c>
      <x:c r="AD211" s="7" t="inlineStr">
        <x:is>
          <x:t xml:space="preserve"/>
        </x:is>
      </x:c>
      <x:c r="AE211" s="5" t="inlineStr">
        <x:is>
          <x:t xml:space="preserve">.tmp/cobblemon-1.7.3-source/common/src/main/resources/data/cobblemon/species/generation2/gligar.json</x:t>
        </x:is>
      </x:c>
      <x:c r="AF211" s="5" t="str">
        <x:f>"생활권|"&amp;K211</x:f>
        <x:v>생활권|비행</x:v>
      </x:c>
      <x:c r="AG211" s="5" t="str">
        <x:f>"지형|"&amp;L211</x:f>
        <x:v>지형|화산</x:v>
      </x:c>
      <x:c r="AH211" s="5" t="str">
        <x:f>"온도|"&amp;M211</x:f>
        <x:v>온도|고온</x:v>
      </x:c>
      <x:c r="AI211" s="5" t="str">
        <x:f>"습도|"&amp;N211</x:f>
        <x:v>습도|건조</x:v>
      </x:c>
      <x:c r="AJ211" s="5" t="str">
        <x:f>"날씨|"&amp;O211</x:f>
        <x:v>날씨|맑음</x:v>
      </x:c>
      <x:c r="AK211" s="5" t="str">
        <x:f>"특수태그|"&amp;R211</x:f>
        <x:v>특수태그|화산</x:v>
      </x:c>
      <x:c r="AL211" s="5" t="str">
        <x:f>"원본서식지|"&amp;S211</x:f>
        <x:v>원본서식지|화산</x:v>
      </x:c>
      <x:c r="AM211" s="5" t="str">
        <x:f>"타입|"&amp;F211</x:f>
        <x:v>타입|땅</x:v>
      </x:c>
      <x:c r="AN211" s="5" t="str">
        <x:f>"타입|"&amp;G211</x:f>
        <x:v>타입|비행</x:v>
      </x:c>
    </x:row>
    <x:row r="212" ht="24" customHeight="1">
      <x:c r="A212" s="5" t="n">
        <x:v>208</x:v>
      </x:c>
      <x:c r="B212" s="5" t="inlineStr">
        <x:is>
          <x:t xml:space="preserve">강철톤</x:t>
        </x:is>
      </x:c>
      <x:c r="C212" s="5" t="inlineStr">
        <x:is>
          <x:t xml:space="preserve">steelix</x:t>
        </x:is>
      </x:c>
      <x:c r="D212" s="5" t="inlineStr">
        <x:is>
          <x:t xml:space="preserve">Steelix</x:t>
        </x:is>
      </x:c>
      <x:c r="E212" s="5" t="n">
        <x:v>2</x:v>
      </x:c>
      <x:c r="F212" s="5" t="inlineStr">
        <x:is>
          <x:t xml:space="preserve">강철</x:t>
        </x:is>
      </x:c>
      <x:c r="G212" s="5" t="inlineStr">
        <x:is>
          <x:t xml:space="preserve">땅</x:t>
        </x:is>
      </x:c>
      <x:c r="H212" s="6" t="n">
        <x:v>400</x:v>
      </x:c>
      <x:c r="I212" s="5" t="n"/>
      <x:c r="J212" s="5" t="inlineStr">
        <x:is>
          <x:t xml:space="preserve">최종</x:t>
        </x:is>
      </x:c>
      <x:c r="K212" s="7" t="inlineStr">
        <x:is>
          <x:t xml:space="preserve">육상</x:t>
        </x:is>
      </x:c>
      <x:c r="L212" s="7" t="inlineStr">
        <x:is>
          <x:t xml:space="preserve">화산</x:t>
        </x:is>
      </x:c>
      <x:c r="M212" s="7" t="inlineStr">
        <x:is>
          <x:t xml:space="preserve">고온</x:t>
        </x:is>
      </x:c>
      <x:c r="N212" s="7" t="inlineStr">
        <x:is>
          <x:t xml:space="preserve">건조</x:t>
        </x:is>
      </x:c>
      <x:c r="O212" s="7" t="inlineStr">
        <x:is>
          <x:t xml:space="preserve">맑음</x:t>
        </x:is>
      </x:c>
      <x:c r="P212" s="7" t="inlineStr">
        <x:is>
          <x:t xml:space="preserve">무관</x:t>
        </x:is>
      </x:c>
      <x:c r="Q212" s="7" t="inlineStr">
        <x:is>
          <x:t xml:space="preserve">보통</x:t>
        </x:is>
      </x:c>
      <x:c r="R212" s="7" t="inlineStr">
        <x:is>
          <x:t xml:space="preserve">화산</x:t>
        </x:is>
      </x:c>
      <x:c r="S212" s="7" t="inlineStr">
        <x:is>
          <x:t xml:space="preserve">화산</x:t>
        </x:is>
      </x:c>
      <x:c r="T212" s="7" t="inlineStr">
        <x:is>
          <x:t xml:space="preserve"/>
        </x:is>
      </x:c>
      <x:c r="U212" s="8" t="str">
        <x:f>INDEX('서식지_점수'!$E$4:$P$4,1,MATCH(MAX('서식지_점수'!E212:P212),'서식지_점수'!E212:P212,0))</x:f>
        <x:v>평원</x:v>
      </x:c>
      <x:c r="V212" s="8" t="str">
        <x:f>IF(T212&lt;&gt;"",T212,U212)</x:f>
        <x:v>평원</x:v>
      </x:c>
      <x:c r="W212" s="8" t="str">
        <x:f>IFERROR(INDEX('서식지_점수'!$E$4:$P$4,1,MATCH(MAXIFS('서식지_점수'!E212:P212,'서식지_점수'!E212:P212,"&lt;"&amp;MAX('서식지_점수'!E212:P212)),'서식지_점수'!E212:P212,0)),"")</x:f>
        <x:v>숲</x:v>
      </x:c>
      <x:c r="X212" s="8" t="str">
        <x:f>IF(T212&lt;&gt;"","수동확정",IF(MAX('서식지_점수'!E212:P212)-LARGE('서식지_점수'!E212:P212,2)&gt;=15,"높음",IF(MAX('서식지_점수'!E212:P212)-LARGE('서식지_점수'!E212:P212,2)&gt;=8,"보통","검토필요")))</x:f>
        <x:v>검토필요</x:v>
      </x:c>
      <x:c r="Y212" s="9" t="n">
        <x:f>IF(Q212="전설",8,IF(Q212="희귀",7,IF(J212="기본",1,IF(J212="중간",3,IF(J212="최종",IF(I212="",5,IF(I212&lt;=20,3,IF(I212&lt;=35,4,IF(I212&lt;=50,6,7)))),IF(Q212="드묾",4,2))))))</x:f>
        <x:v>5</x:v>
      </x:c>
      <x:c r="Z212" s="5" t="inlineStr">
        <x:is>
          <x:t xml:space="preserve">#cobblemon:is_overworld; #cobblemon:nether/is_basalt</x:t>
        </x:is>
      </x:c>
      <x:c r="AA212" s="5" t="inlineStr">
        <x:is>
          <x:t xml:space="preserve">uncommon</x:t>
        </x:is>
      </x:c>
      <x:c r="AB212" s="5" t="inlineStr">
        <x:is>
          <x:t xml:space="preserve">예</x:t>
        </x:is>
      </x:c>
      <x:c r="AC212" s="8" t="str">
        <x:f>IF(T212&lt;&gt;"","수동확정",IF(X212="검토필요","검토필요",IF(S212="","원본없음","초기완료")))</x:f>
        <x:v>검토필요</x:v>
      </x:c>
      <x:c r="AD212" s="7" t="inlineStr">
        <x:is>
          <x:t xml:space="preserve"/>
        </x:is>
      </x:c>
      <x:c r="AE212" s="5" t="inlineStr">
        <x:is>
          <x:t xml:space="preserve">.tmp/cobblemon-1.7.3-source/common/src/main/resources/data/cobblemon/species/generation2/steelix.json</x:t>
        </x:is>
      </x:c>
      <x:c r="AF212" s="5" t="str">
        <x:f>"생활권|"&amp;K212</x:f>
        <x:v>생활권|육상</x:v>
      </x:c>
      <x:c r="AG212" s="5" t="str">
        <x:f>"지형|"&amp;L212</x:f>
        <x:v>지형|화산</x:v>
      </x:c>
      <x:c r="AH212" s="5" t="str">
        <x:f>"온도|"&amp;M212</x:f>
        <x:v>온도|고온</x:v>
      </x:c>
      <x:c r="AI212" s="5" t="str">
        <x:f>"습도|"&amp;N212</x:f>
        <x:v>습도|건조</x:v>
      </x:c>
      <x:c r="AJ212" s="5" t="str">
        <x:f>"날씨|"&amp;O212</x:f>
        <x:v>날씨|맑음</x:v>
      </x:c>
      <x:c r="AK212" s="5" t="str">
        <x:f>"특수태그|"&amp;R212</x:f>
        <x:v>특수태그|화산</x:v>
      </x:c>
      <x:c r="AL212" s="5" t="str">
        <x:f>"원본서식지|"&amp;S212</x:f>
        <x:v>원본서식지|화산</x:v>
      </x:c>
      <x:c r="AM212" s="5" t="str">
        <x:f>"타입|"&amp;F212</x:f>
        <x:v>타입|강철</x:v>
      </x:c>
      <x:c r="AN212" s="5" t="str">
        <x:f>"타입|"&amp;G212</x:f>
        <x:v>타입|땅</x:v>
      </x:c>
    </x:row>
    <x:row r="213" ht="24" customHeight="1">
      <x:c r="A213" s="5" t="n">
        <x:v>209</x:v>
      </x:c>
      <x:c r="B213" s="5" t="inlineStr">
        <x:is>
          <x:t xml:space="preserve">블루</x:t>
        </x:is>
      </x:c>
      <x:c r="C213" s="5" t="inlineStr">
        <x:is>
          <x:t xml:space="preserve">snubbull</x:t>
        </x:is>
      </x:c>
      <x:c r="D213" s="5" t="inlineStr">
        <x:is>
          <x:t xml:space="preserve">Snubbull</x:t>
        </x:is>
      </x:c>
      <x:c r="E213" s="5" t="n">
        <x:v>2</x:v>
      </x:c>
      <x:c r="F213" s="5" t="inlineStr">
        <x:is>
          <x:t xml:space="preserve">페어리</x:t>
        </x:is>
      </x:c>
      <x:c r="G213" s="5" t="inlineStr">
        <x:is>
          <x:t xml:space="preserve"/>
        </x:is>
      </x:c>
      <x:c r="H213" s="6" t="n">
        <x:v>7.8</x:v>
      </x:c>
      <x:c r="I213" s="5" t="n">
        <x:v>23</x:v>
      </x:c>
      <x:c r="J213" s="5" t="inlineStr">
        <x:is>
          <x:t xml:space="preserve">기본</x:t>
        </x:is>
      </x:c>
      <x:c r="K213" s="7" t="inlineStr">
        <x:is>
          <x:t xml:space="preserve">육상</x:t>
        </x:is>
      </x:c>
      <x:c r="L213" s="7" t="inlineStr">
        <x:is>
          <x:t xml:space="preserve">개활지</x:t>
        </x:is>
      </x:c>
      <x:c r="M213" s="7" t="inlineStr">
        <x:is>
          <x:t xml:space="preserve">온대</x:t>
        </x:is>
      </x:c>
      <x:c r="N213" s="7" t="inlineStr">
        <x:is>
          <x:t xml:space="preserve">보통</x:t>
        </x:is>
      </x:c>
      <x:c r="O213" s="7" t="inlineStr">
        <x:is>
          <x:t xml:space="preserve">무관</x:t>
        </x:is>
      </x:c>
      <x:c r="P213" s="7" t="inlineStr">
        <x:is>
          <x:t xml:space="preserve">무관</x:t>
        </x:is>
      </x:c>
      <x:c r="Q213" s="7" t="inlineStr">
        <x:is>
          <x:t xml:space="preserve">흔함</x:t>
        </x:is>
      </x:c>
      <x:c r="R213" s="7" t="inlineStr">
        <x:is>
          <x:t xml:space="preserve">없음</x:t>
        </x:is>
      </x:c>
      <x:c r="S213" s="7" t="inlineStr">
        <x:is>
          <x:t xml:space="preserve">평원</x:t>
        </x:is>
      </x:c>
      <x:c r="T213" s="7" t="inlineStr">
        <x:is>
          <x:t xml:space="preserve"/>
        </x:is>
      </x:c>
      <x:c r="U213" s="8" t="str">
        <x:f>INDEX('서식지_점수'!$E$4:$P$4,1,MATCH(MAX('서식지_점수'!E213:P213),'서식지_점수'!E213:P213,0))</x:f>
        <x:v>평원</x:v>
      </x:c>
      <x:c r="V213" s="8" t="str">
        <x:f>IF(T213&lt;&gt;"",T213,U213)</x:f>
        <x:v>평원</x:v>
      </x:c>
      <x:c r="W213" s="8" t="str">
        <x:f>IFERROR(INDEX('서식지_점수'!$E$4:$P$4,1,MATCH(MAXIFS('서식지_점수'!E213:P213,'서식지_점수'!E213:P213,"&lt;"&amp;MAX('서식지_점수'!E213:P213)),'서식지_점수'!E213:P213,0)),"")</x:f>
        <x:v>숲</x:v>
      </x:c>
      <x:c r="X213" s="8" t="str">
        <x:f>IF(T213&lt;&gt;"","수동확정",IF(MAX('서식지_점수'!E213:P213)-LARGE('서식지_점수'!E213:P213,2)&gt;=15,"높음",IF(MAX('서식지_점수'!E213:P213)-LARGE('서식지_점수'!E213:P213,2)&gt;=8,"보통","검토필요")))</x:f>
        <x:v>검토필요</x:v>
      </x:c>
      <x:c r="Y213" s="9" t="n">
        <x:f>IF(Q213="전설",8,IF(Q213="희귀",7,IF(J213="기본",1,IF(J213="중간",3,IF(J213="최종",IF(I213="",5,IF(I213&lt;=20,3,IF(I213&lt;=35,4,IF(I213&lt;=50,6,7)))),IF(Q213="드묾",4,2))))))</x:f>
        <x:v>1</x:v>
      </x:c>
      <x:c r="Z213" s="5" t="inlineStr">
        <x:is>
          <x:t xml:space="preserve">#cobblemon:is_plains; #cobblemon:is_savanna</x:t>
        </x:is>
      </x:c>
      <x:c r="AA213" s="5" t="inlineStr">
        <x:is>
          <x:t xml:space="preserve">common</x:t>
        </x:is>
      </x:c>
      <x:c r="AB213" s="5" t="inlineStr">
        <x:is>
          <x:t xml:space="preserve">예</x:t>
        </x:is>
      </x:c>
      <x:c r="AC213" s="8" t="str">
        <x:f>IF(T213&lt;&gt;"","수동확정",IF(X213="검토필요","검토필요",IF(S213="","원본없음","초기완료")))</x:f>
        <x:v>검토필요</x:v>
      </x:c>
      <x:c r="AD213" s="7" t="inlineStr">
        <x:is>
          <x:t xml:space="preserve"/>
        </x:is>
      </x:c>
      <x:c r="AE213" s="5" t="inlineStr">
        <x:is>
          <x:t xml:space="preserve">.tmp/cobblemon-1.7.3-source/common/src/main/resources/data/cobblemon/species/generation2/snubbull.json</x:t>
        </x:is>
      </x:c>
      <x:c r="AF213" s="5" t="str">
        <x:f>"생활권|"&amp;K213</x:f>
        <x:v>생활권|육상</x:v>
      </x:c>
      <x:c r="AG213" s="5" t="str">
        <x:f>"지형|"&amp;L213</x:f>
        <x:v>지형|개활지</x:v>
      </x:c>
      <x:c r="AH213" s="5" t="str">
        <x:f>"온도|"&amp;M213</x:f>
        <x:v>온도|온대</x:v>
      </x:c>
      <x:c r="AI213" s="5" t="str">
        <x:f>"습도|"&amp;N213</x:f>
        <x:v>습도|보통</x:v>
      </x:c>
      <x:c r="AJ213" s="5" t="str">
        <x:f>"날씨|"&amp;O213</x:f>
        <x:v>날씨|무관</x:v>
      </x:c>
      <x:c r="AK213" s="5" t="str">
        <x:f>"특수태그|"&amp;R213</x:f>
        <x:v>특수태그|없음</x:v>
      </x:c>
      <x:c r="AL213" s="5" t="str">
        <x:f>"원본서식지|"&amp;S213</x:f>
        <x:v>원본서식지|평원</x:v>
      </x:c>
      <x:c r="AM213" s="5" t="str">
        <x:f>"타입|"&amp;F213</x:f>
        <x:v>타입|페어리</x:v>
      </x:c>
      <x:c r="AN213" s="5" t="str">
        <x:f>"타입|"&amp;G213</x:f>
        <x:v>타입|</x:v>
      </x:c>
    </x:row>
    <x:row r="214" ht="24" customHeight="1">
      <x:c r="A214" s="5" t="n">
        <x:v>210</x:v>
      </x:c>
      <x:c r="B214" s="5" t="inlineStr">
        <x:is>
          <x:t xml:space="preserve">그랑블루</x:t>
        </x:is>
      </x:c>
      <x:c r="C214" s="5" t="inlineStr">
        <x:is>
          <x:t xml:space="preserve">granbull</x:t>
        </x:is>
      </x:c>
      <x:c r="D214" s="5" t="inlineStr">
        <x:is>
          <x:t xml:space="preserve">Granbull</x:t>
        </x:is>
      </x:c>
      <x:c r="E214" s="5" t="n">
        <x:v>2</x:v>
      </x:c>
      <x:c r="F214" s="5" t="inlineStr">
        <x:is>
          <x:t xml:space="preserve">페어리</x:t>
        </x:is>
      </x:c>
      <x:c r="G214" s="5" t="inlineStr">
        <x:is>
          <x:t xml:space="preserve"/>
        </x:is>
      </x:c>
      <x:c r="H214" s="6" t="n">
        <x:v>48.7</x:v>
      </x:c>
      <x:c r="I214" s="5" t="n">
        <x:v>23</x:v>
      </x:c>
      <x:c r="J214" s="5" t="inlineStr">
        <x:is>
          <x:t xml:space="preserve">최종</x:t>
        </x:is>
      </x:c>
      <x:c r="K214" s="7" t="inlineStr">
        <x:is>
          <x:t xml:space="preserve">육상</x:t>
        </x:is>
      </x:c>
      <x:c r="L214" s="7" t="inlineStr">
        <x:is>
          <x:t xml:space="preserve">개활지</x:t>
        </x:is>
      </x:c>
      <x:c r="M214" s="7" t="inlineStr">
        <x:is>
          <x:t xml:space="preserve">온대</x:t>
        </x:is>
      </x:c>
      <x:c r="N214" s="7" t="inlineStr">
        <x:is>
          <x:t xml:space="preserve">보통</x:t>
        </x:is>
      </x:c>
      <x:c r="O214" s="7" t="inlineStr">
        <x:is>
          <x:t xml:space="preserve">무관</x:t>
        </x:is>
      </x:c>
      <x:c r="P214" s="7" t="inlineStr">
        <x:is>
          <x:t xml:space="preserve">무관</x:t>
        </x:is>
      </x:c>
      <x:c r="Q214" s="7" t="inlineStr">
        <x:is>
          <x:t xml:space="preserve">흔함</x:t>
        </x:is>
      </x:c>
      <x:c r="R214" s="7" t="inlineStr">
        <x:is>
          <x:t xml:space="preserve">없음</x:t>
        </x:is>
      </x:c>
      <x:c r="S214" s="7" t="inlineStr">
        <x:is>
          <x:t xml:space="preserve">평원</x:t>
        </x:is>
      </x:c>
      <x:c r="T214" s="7" t="inlineStr">
        <x:is>
          <x:t xml:space="preserve"/>
        </x:is>
      </x:c>
      <x:c r="U214" s="8" t="str">
        <x:f>INDEX('서식지_점수'!$E$4:$P$4,1,MATCH(MAX('서식지_점수'!E214:P214),'서식지_점수'!E214:P214,0))</x:f>
        <x:v>평원</x:v>
      </x:c>
      <x:c r="V214" s="8" t="str">
        <x:f>IF(T214&lt;&gt;"",T214,U214)</x:f>
        <x:v>평원</x:v>
      </x:c>
      <x:c r="W214" s="8" t="str">
        <x:f>IFERROR(INDEX('서식지_점수'!$E$4:$P$4,1,MATCH(MAXIFS('서식지_점수'!E214:P214,'서식지_점수'!E214:P214,"&lt;"&amp;MAX('서식지_점수'!E214:P214)),'서식지_점수'!E214:P214,0)),"")</x:f>
        <x:v>숲</x:v>
      </x:c>
      <x:c r="X214" s="8" t="str">
        <x:f>IF(T214&lt;&gt;"","수동확정",IF(MAX('서식지_점수'!E214:P214)-LARGE('서식지_점수'!E214:P214,2)&gt;=15,"높음",IF(MAX('서식지_점수'!E214:P214)-LARGE('서식지_점수'!E214:P214,2)&gt;=8,"보통","검토필요")))</x:f>
        <x:v>검토필요</x:v>
      </x:c>
      <x:c r="Y214" s="9" t="n">
        <x:f>IF(Q214="전설",8,IF(Q214="희귀",7,IF(J214="기본",1,IF(J214="중간",3,IF(J214="최종",IF(I214="",5,IF(I214&lt;=20,3,IF(I214&lt;=35,4,IF(I214&lt;=50,6,7)))),IF(Q214="드묾",4,2))))))</x:f>
        <x:v>4</x:v>
      </x:c>
      <x:c r="Z214" s="5" t="inlineStr">
        <x:is>
          <x:t xml:space="preserve">#cobblemon:is_plains; #cobblemon:is_savanna</x:t>
        </x:is>
      </x:c>
      <x:c r="AA214" s="5" t="inlineStr">
        <x:is>
          <x:t xml:space="preserve">common</x:t>
        </x:is>
      </x:c>
      <x:c r="AB214" s="5" t="inlineStr">
        <x:is>
          <x:t xml:space="preserve">예</x:t>
        </x:is>
      </x:c>
      <x:c r="AC214" s="8" t="str">
        <x:f>IF(T214&lt;&gt;"","수동확정",IF(X214="검토필요","검토필요",IF(S214="","원본없음","초기완료")))</x:f>
        <x:v>검토필요</x:v>
      </x:c>
      <x:c r="AD214" s="7" t="inlineStr">
        <x:is>
          <x:t xml:space="preserve"/>
        </x:is>
      </x:c>
      <x:c r="AE214" s="5" t="inlineStr">
        <x:is>
          <x:t xml:space="preserve">.tmp/cobblemon-1.7.3-source/common/src/main/resources/data/cobblemon/species/generation2/granbull.json</x:t>
        </x:is>
      </x:c>
      <x:c r="AF214" s="5" t="str">
        <x:f>"생활권|"&amp;K214</x:f>
        <x:v>생활권|육상</x:v>
      </x:c>
      <x:c r="AG214" s="5" t="str">
        <x:f>"지형|"&amp;L214</x:f>
        <x:v>지형|개활지</x:v>
      </x:c>
      <x:c r="AH214" s="5" t="str">
        <x:f>"온도|"&amp;M214</x:f>
        <x:v>온도|온대</x:v>
      </x:c>
      <x:c r="AI214" s="5" t="str">
        <x:f>"습도|"&amp;N214</x:f>
        <x:v>습도|보통</x:v>
      </x:c>
      <x:c r="AJ214" s="5" t="str">
        <x:f>"날씨|"&amp;O214</x:f>
        <x:v>날씨|무관</x:v>
      </x:c>
      <x:c r="AK214" s="5" t="str">
        <x:f>"특수태그|"&amp;R214</x:f>
        <x:v>특수태그|없음</x:v>
      </x:c>
      <x:c r="AL214" s="5" t="str">
        <x:f>"원본서식지|"&amp;S214</x:f>
        <x:v>원본서식지|평원</x:v>
      </x:c>
      <x:c r="AM214" s="5" t="str">
        <x:f>"타입|"&amp;F214</x:f>
        <x:v>타입|페어리</x:v>
      </x:c>
      <x:c r="AN214" s="5" t="str">
        <x:f>"타입|"&amp;G214</x:f>
        <x:v>타입|</x:v>
      </x:c>
    </x:row>
    <x:row r="215" ht="24" customHeight="1">
      <x:c r="A215" s="5" t="n">
        <x:v>211</x:v>
      </x:c>
      <x:c r="B215" s="5" t="inlineStr">
        <x:is>
          <x:t xml:space="preserve">침바루</x:t>
        </x:is>
      </x:c>
      <x:c r="C215" s="5" t="inlineStr">
        <x:is>
          <x:t xml:space="preserve">qwilfish</x:t>
        </x:is>
      </x:c>
      <x:c r="D215" s="5" t="inlineStr">
        <x:is>
          <x:t xml:space="preserve">Qwilfish</x:t>
        </x:is>
      </x:c>
      <x:c r="E215" s="5" t="n">
        <x:v>2</x:v>
      </x:c>
      <x:c r="F215" s="5" t="inlineStr">
        <x:is>
          <x:t xml:space="preserve">물</x:t>
        </x:is>
      </x:c>
      <x:c r="G215" s="5" t="inlineStr">
        <x:is>
          <x:t xml:space="preserve">독</x:t>
        </x:is>
      </x:c>
      <x:c r="H215" s="6" t="n">
        <x:v>3.9</x:v>
      </x:c>
      <x:c r="I215" s="5" t="n"/>
      <x:c r="J215" s="5" t="inlineStr">
        <x:is>
          <x:t xml:space="preserve">무진화</x:t>
        </x:is>
      </x:c>
      <x:c r="K215" s="7" t="inlineStr">
        <x:is>
          <x:t xml:space="preserve">해양</x:t>
        </x:is>
      </x:c>
      <x:c r="L215" s="7" t="inlineStr">
        <x:is>
          <x:t xml:space="preserve">해안·해양</x:t>
        </x:is>
      </x:c>
      <x:c r="M215" s="7" t="inlineStr">
        <x:is>
          <x:t xml:space="preserve">서늘</x:t>
        </x:is>
      </x:c>
      <x:c r="N215" s="7" t="inlineStr">
        <x:is>
          <x:t xml:space="preserve">수중</x:t>
        </x:is>
      </x:c>
      <x:c r="O215" s="7" t="inlineStr">
        <x:is>
          <x:t xml:space="preserve">비</x:t>
        </x:is>
      </x:c>
      <x:c r="P215" s="7" t="inlineStr">
        <x:is>
          <x:t xml:space="preserve">무관</x:t>
        </x:is>
      </x:c>
      <x:c r="Q215" s="7" t="inlineStr">
        <x:is>
          <x:t xml:space="preserve">보통</x:t>
        </x:is>
      </x:c>
      <x:c r="R215" s="7" t="inlineStr">
        <x:is>
          <x:t xml:space="preserve">없음</x:t>
        </x:is>
      </x:c>
      <x:c r="S215" s="7" t="inlineStr">
        <x:is>
          <x:t xml:space="preserve">해양</x:t>
        </x:is>
      </x:c>
      <x:c r="T215" s="7" t="inlineStr">
        <x:is>
          <x:t xml:space="preserve"/>
        </x:is>
      </x:c>
      <x:c r="U215" s="8" t="str">
        <x:f>INDEX('서식지_점수'!$E$4:$P$4,1,MATCH(MAX('서식지_점수'!E215:P215),'서식지_점수'!E215:P215,0))</x:f>
        <x:v>해양</x:v>
      </x:c>
      <x:c r="V215" s="8" t="str">
        <x:f>IF(T215&lt;&gt;"",T215,U215)</x:f>
        <x:v>해양</x:v>
      </x:c>
      <x:c r="W215" s="8" t="str">
        <x:f>IFERROR(INDEX('서식지_점수'!$E$4:$P$4,1,MATCH(MAXIFS('서식지_점수'!E215:P215,'서식지_점수'!E215:P215,"&lt;"&amp;MAX('서식지_점수'!E215:P215)),'서식지_점수'!E215:P215,0)),"")</x:f>
        <x:v>습지</x:v>
      </x:c>
      <x:c r="X215" s="8" t="str">
        <x:f>IF(T215&lt;&gt;"","수동확정",IF(MAX('서식지_점수'!E215:P215)-LARGE('서식지_점수'!E215:P215,2)&gt;=15,"높음",IF(MAX('서식지_점수'!E215:P215)-LARGE('서식지_점수'!E215:P215,2)&gt;=8,"보통","검토필요")))</x:f>
        <x:v>높음</x:v>
      </x:c>
      <x:c r="Y215" s="9" t="n">
        <x:f>IF(Q215="전설",8,IF(Q215="희귀",7,IF(J215="기본",1,IF(J215="중간",3,IF(J215="최종",IF(I215="",5,IF(I215&lt;=20,3,IF(I215&lt;=35,4,IF(I215&lt;=50,6,7)))),IF(Q215="드묾",4,2))))))</x:f>
        <x:v>2</x:v>
      </x:c>
      <x:c r="Z215" s="5" t="inlineStr">
        <x:is>
          <x:t xml:space="preserve">#cobblemon:is_cold; #cobblemon:is_cold_ocean; #cobblemon:is_frozen_ocean; #cobblemon:is_lukewarm_ocean; #cobblemon:is_ocean; #cobblemon:is_overworld; #cobblemon:is_warm_ocean</x:t>
        </x:is>
      </x:c>
      <x:c r="AA215" s="5" t="inlineStr">
        <x:is>
          <x:t xml:space="preserve">common; uncommon</x:t>
        </x:is>
      </x:c>
      <x:c r="AB215" s="5" t="inlineStr">
        <x:is>
          <x:t xml:space="preserve">예</x:t>
        </x:is>
      </x:c>
      <x:c r="AC215" s="8" t="str">
        <x:f>IF(T215&lt;&gt;"","수동확정",IF(X215="검토필요","검토필요",IF(S215="","원본없음","초기완료")))</x:f>
        <x:v>초기완료</x:v>
      </x:c>
      <x:c r="AD215" s="7" t="inlineStr">
        <x:is>
          <x:t xml:space="preserve"/>
        </x:is>
      </x:c>
      <x:c r="AE215" s="5" t="inlineStr">
        <x:is>
          <x:t xml:space="preserve">.tmp/cobblemon-1.7.3-source/common/src/main/resources/data/cobblemon/species/generation2/qwilfish.json</x:t>
        </x:is>
      </x:c>
      <x:c r="AF215" s="5" t="str">
        <x:f>"생활권|"&amp;K215</x:f>
        <x:v>생활권|해양</x:v>
      </x:c>
      <x:c r="AG215" s="5" t="str">
        <x:f>"지형|"&amp;L215</x:f>
        <x:v>지형|해안·해양</x:v>
      </x:c>
      <x:c r="AH215" s="5" t="str">
        <x:f>"온도|"&amp;M215</x:f>
        <x:v>온도|서늘</x:v>
      </x:c>
      <x:c r="AI215" s="5" t="str">
        <x:f>"습도|"&amp;N215</x:f>
        <x:v>습도|수중</x:v>
      </x:c>
      <x:c r="AJ215" s="5" t="str">
        <x:f>"날씨|"&amp;O215</x:f>
        <x:v>날씨|비</x:v>
      </x:c>
      <x:c r="AK215" s="5" t="str">
        <x:f>"특수태그|"&amp;R215</x:f>
        <x:v>특수태그|없음</x:v>
      </x:c>
      <x:c r="AL215" s="5" t="str">
        <x:f>"원본서식지|"&amp;S215</x:f>
        <x:v>원본서식지|해양</x:v>
      </x:c>
      <x:c r="AM215" s="5" t="str">
        <x:f>"타입|"&amp;F215</x:f>
        <x:v>타입|물</x:v>
      </x:c>
      <x:c r="AN215" s="5" t="str">
        <x:f>"타입|"&amp;G215</x:f>
        <x:v>타입|독</x:v>
      </x:c>
    </x:row>
    <x:row r="216" ht="24" customHeight="1">
      <x:c r="A216" s="5" t="n">
        <x:v>212</x:v>
      </x:c>
      <x:c r="B216" s="5" t="inlineStr">
        <x:is>
          <x:t xml:space="preserve">핫삼</x:t>
        </x:is>
      </x:c>
      <x:c r="C216" s="5" t="inlineStr">
        <x:is>
          <x:t xml:space="preserve">scizor</x:t>
        </x:is>
      </x:c>
      <x:c r="D216" s="5" t="inlineStr">
        <x:is>
          <x:t xml:space="preserve">Scizor</x:t>
        </x:is>
      </x:c>
      <x:c r="E216" s="5" t="n">
        <x:v>2</x:v>
      </x:c>
      <x:c r="F216" s="5" t="inlineStr">
        <x:is>
          <x:t xml:space="preserve">벌레</x:t>
        </x:is>
      </x:c>
      <x:c r="G216" s="5" t="inlineStr">
        <x:is>
          <x:t xml:space="preserve">강철</x:t>
        </x:is>
      </x:c>
      <x:c r="H216" s="6" t="n">
        <x:v>118</x:v>
      </x:c>
      <x:c r="I216" s="5" t="n"/>
      <x:c r="J216" s="5" t="inlineStr">
        <x:is>
          <x:t xml:space="preserve">최종</x:t>
        </x:is>
      </x:c>
      <x:c r="K216" s="7" t="inlineStr">
        <x:is>
          <x:t xml:space="preserve">비행</x:t>
        </x:is>
      </x:c>
      <x:c r="L216" s="7" t="inlineStr">
        <x:is>
          <x:t xml:space="preserve">수목</x:t>
        </x:is>
      </x:c>
      <x:c r="M216" s="7" t="inlineStr">
        <x:is>
          <x:t xml:space="preserve">온대</x:t>
        </x:is>
      </x:c>
      <x:c r="N216" s="7" t="inlineStr">
        <x:is>
          <x:t xml:space="preserve">다습</x:t>
        </x:is>
      </x:c>
      <x:c r="O216" s="7" t="inlineStr">
        <x:is>
          <x:t xml:space="preserve">무관</x:t>
        </x:is>
      </x:c>
      <x:c r="P216" s="7" t="inlineStr">
        <x:is>
          <x:t xml:space="preserve">낮</x:t>
        </x:is>
      </x:c>
      <x:c r="Q216" s="7" t="inlineStr">
        <x:is>
          <x:t xml:space="preserve">보통</x:t>
        </x:is>
      </x:c>
      <x:c r="R216" s="7" t="inlineStr">
        <x:is>
          <x:t xml:space="preserve">없음</x:t>
        </x:is>
      </x:c>
      <x:c r="S216" s="7" t="inlineStr">
        <x:is>
          <x:t xml:space="preserve">숲</x:t>
        </x:is>
      </x:c>
      <x:c r="T216" s="7" t="inlineStr">
        <x:is>
          <x:t xml:space="preserve"/>
        </x:is>
      </x:c>
      <x:c r="U216" s="8" t="str">
        <x:f>INDEX('서식지_점수'!$E$4:$P$4,1,MATCH(MAX('서식지_점수'!E216:P216),'서식지_점수'!E216:P216,0))</x:f>
        <x:v>산악</x:v>
      </x:c>
      <x:c r="V216" s="8" t="str">
        <x:f>IF(T216&lt;&gt;"",T216,U216)</x:f>
        <x:v>산악</x:v>
      </x:c>
      <x:c r="W216" s="8" t="str">
        <x:f>IFERROR(INDEX('서식지_점수'!$E$4:$P$4,1,MATCH(MAXIFS('서식지_점수'!E216:P216,'서식지_점수'!E216:P216,"&lt;"&amp;MAX('서식지_점수'!E216:P216)),'서식지_점수'!E216:P216,0)),"")</x:f>
        <x:v>평원</x:v>
      </x:c>
      <x:c r="X216" s="8" t="str">
        <x:f>IF(T216&lt;&gt;"","수동확정",IF(MAX('서식지_점수'!E216:P216)-LARGE('서식지_점수'!E216:P216,2)&gt;=15,"높음",IF(MAX('서식지_점수'!E216:P216)-LARGE('서식지_점수'!E216:P216,2)&gt;=8,"보통","검토필요")))</x:f>
        <x:v>검토필요</x:v>
      </x:c>
      <x:c r="Y216" s="9" t="n">
        <x:f>IF(Q216="전설",8,IF(Q216="희귀",7,IF(J216="기본",1,IF(J216="중간",3,IF(J216="최종",IF(I216="",5,IF(I216&lt;=20,3,IF(I216&lt;=35,4,IF(I216&lt;=50,6,7)))),IF(Q216="드묾",4,2))))))</x:f>
        <x:v>5</x:v>
      </x:c>
      <x:c r="Z216" s="5" t="inlineStr">
        <x:is>
          <x:t xml:space="preserve">#cobblemon:is_jungle</x:t>
        </x:is>
      </x:c>
      <x:c r="AA216" s="5" t="inlineStr">
        <x:is>
          <x:t xml:space="preserve">uncommon</x:t>
        </x:is>
      </x:c>
      <x:c r="AB216" s="5" t="inlineStr">
        <x:is>
          <x:t xml:space="preserve">예</x:t>
        </x:is>
      </x:c>
      <x:c r="AC216" s="8" t="str">
        <x:f>IF(T216&lt;&gt;"","수동확정",IF(X216="검토필요","검토필요",IF(S216="","원본없음","초기완료")))</x:f>
        <x:v>검토필요</x:v>
      </x:c>
      <x:c r="AD216" s="7" t="inlineStr">
        <x:is>
          <x:t xml:space="preserve"/>
        </x:is>
      </x:c>
      <x:c r="AE216" s="5" t="inlineStr">
        <x:is>
          <x:t xml:space="preserve">.tmp/cobblemon-1.7.3-source/common/src/main/resources/data/cobblemon/species/generation2/scizor.json</x:t>
        </x:is>
      </x:c>
      <x:c r="AF216" s="5" t="str">
        <x:f>"생활권|"&amp;K216</x:f>
        <x:v>생활권|비행</x:v>
      </x:c>
      <x:c r="AG216" s="5" t="str">
        <x:f>"지형|"&amp;L216</x:f>
        <x:v>지형|수목</x:v>
      </x:c>
      <x:c r="AH216" s="5" t="str">
        <x:f>"온도|"&amp;M216</x:f>
        <x:v>온도|온대</x:v>
      </x:c>
      <x:c r="AI216" s="5" t="str">
        <x:f>"습도|"&amp;N216</x:f>
        <x:v>습도|다습</x:v>
      </x:c>
      <x:c r="AJ216" s="5" t="str">
        <x:f>"날씨|"&amp;O216</x:f>
        <x:v>날씨|무관</x:v>
      </x:c>
      <x:c r="AK216" s="5" t="str">
        <x:f>"특수태그|"&amp;R216</x:f>
        <x:v>특수태그|없음</x:v>
      </x:c>
      <x:c r="AL216" s="5" t="str">
        <x:f>"원본서식지|"&amp;S216</x:f>
        <x:v>원본서식지|숲</x:v>
      </x:c>
      <x:c r="AM216" s="5" t="str">
        <x:f>"타입|"&amp;F216</x:f>
        <x:v>타입|벌레</x:v>
      </x:c>
      <x:c r="AN216" s="5" t="str">
        <x:f>"타입|"&amp;G216</x:f>
        <x:v>타입|강철</x:v>
      </x:c>
    </x:row>
    <x:row r="217" ht="24" customHeight="1">
      <x:c r="A217" s="5" t="n">
        <x:v>213</x:v>
      </x:c>
      <x:c r="B217" s="5" t="inlineStr">
        <x:is>
          <x:t xml:space="preserve">단단지</x:t>
        </x:is>
      </x:c>
      <x:c r="C217" s="5" t="inlineStr">
        <x:is>
          <x:t xml:space="preserve">shuckle</x:t>
        </x:is>
      </x:c>
      <x:c r="D217" s="5" t="inlineStr">
        <x:is>
          <x:t xml:space="preserve">Shuckle</x:t>
        </x:is>
      </x:c>
      <x:c r="E217" s="5" t="n">
        <x:v>2</x:v>
      </x:c>
      <x:c r="F217" s="5" t="inlineStr">
        <x:is>
          <x:t xml:space="preserve">벌레</x:t>
        </x:is>
      </x:c>
      <x:c r="G217" s="5" t="inlineStr">
        <x:is>
          <x:t xml:space="preserve">바위</x:t>
        </x:is>
      </x:c>
      <x:c r="H217" s="6" t="n">
        <x:v>20.5</x:v>
      </x:c>
      <x:c r="I217" s="5" t="n"/>
      <x:c r="J217" s="5" t="inlineStr">
        <x:is>
          <x:t xml:space="preserve">무진화</x:t>
        </x:is>
      </x:c>
      <x:c r="K217" s="7" t="inlineStr">
        <x:is>
          <x:t xml:space="preserve">육상</x:t>
        </x:is>
      </x:c>
      <x:c r="L217" s="7" t="inlineStr">
        <x:is>
          <x:t xml:space="preserve">암석</x:t>
        </x:is>
      </x:c>
      <x:c r="M217" s="7" t="inlineStr">
        <x:is>
          <x:t xml:space="preserve">온대</x:t>
        </x:is>
      </x:c>
      <x:c r="N217" s="7" t="inlineStr">
        <x:is>
          <x:t xml:space="preserve">보통</x:t>
        </x:is>
      </x:c>
      <x:c r="O217" s="7" t="inlineStr">
        <x:is>
          <x:t xml:space="preserve">무관</x:t>
        </x:is>
      </x:c>
      <x:c r="P217" s="7" t="inlineStr">
        <x:is>
          <x:t xml:space="preserve">무관</x:t>
        </x:is>
      </x:c>
      <x:c r="Q217" s="7" t="inlineStr">
        <x:is>
          <x:t xml:space="preserve">보통</x:t>
        </x:is>
      </x:c>
      <x:c r="R217" s="7" t="inlineStr">
        <x:is>
          <x:t xml:space="preserve">없음</x:t>
        </x:is>
      </x:c>
      <x:c r="S217" s="7" t="inlineStr">
        <x:is>
          <x:t xml:space="preserve"/>
        </x:is>
      </x:c>
      <x:c r="T217" s="7" t="inlineStr">
        <x:is>
          <x:t xml:space="preserve"/>
        </x:is>
      </x:c>
      <x:c r="U217" s="8" t="str">
        <x:f>INDEX('서식지_점수'!$E$4:$P$4,1,MATCH(MAX('서식지_점수'!E217:P217),'서식지_점수'!E217:P217,0))</x:f>
        <x:v>평원</x:v>
      </x:c>
      <x:c r="V217" s="8" t="str">
        <x:f>IF(T217&lt;&gt;"",T217,U217)</x:f>
        <x:v>평원</x:v>
      </x:c>
      <x:c r="W217" s="8" t="str">
        <x:f>IFERROR(INDEX('서식지_점수'!$E$4:$P$4,1,MATCH(MAXIFS('서식지_점수'!E217:P217,'서식지_점수'!E217:P217,"&lt;"&amp;MAX('서식지_점수'!E217:P217)),'서식지_점수'!E217:P217,0)),"")</x:f>
        <x:v>숲</x:v>
      </x:c>
      <x:c r="X217" s="8" t="str">
        <x:f>IF(T217&lt;&gt;"","수동확정",IF(MAX('서식지_점수'!E217:P217)-LARGE('서식지_점수'!E217:P217,2)&gt;=15,"높음",IF(MAX('서식지_점수'!E217:P217)-LARGE('서식지_점수'!E217:P217,2)&gt;=8,"보통","검토필요")))</x:f>
        <x:v>검토필요</x:v>
      </x:c>
      <x:c r="Y217" s="9" t="n">
        <x:f>IF(Q217="전설",8,IF(Q217="희귀",7,IF(J217="기본",1,IF(J217="중간",3,IF(J217="최종",IF(I217="",5,IF(I217&lt;=20,3,IF(I217&lt;=35,4,IF(I217&lt;=50,6,7)))),IF(Q217="드묾",4,2))))))</x:f>
        <x:v>2</x:v>
      </x:c>
      <x:c r="Z217" s="5" t="inlineStr">
        <x:is>
          <x:t xml:space="preserve">#cobblemon:is_lush; #cobblemon:is_overworld</x:t>
        </x:is>
      </x:c>
      <x:c r="AA217" s="5" t="inlineStr">
        <x:is>
          <x:t xml:space="preserve">common; uncommon</x:t>
        </x:is>
      </x:c>
      <x:c r="AB217" s="5" t="inlineStr">
        <x:is>
          <x:t xml:space="preserve">예</x:t>
        </x:is>
      </x:c>
      <x:c r="AC217" s="8" t="str">
        <x:f>IF(T217&lt;&gt;"","수동확정",IF(X217="검토필요","검토필요",IF(S217="","원본없음","초기완료")))</x:f>
        <x:v>검토필요</x:v>
      </x:c>
      <x:c r="AD217" s="7" t="inlineStr">
        <x:is>
          <x:t xml:space="preserve"/>
        </x:is>
      </x:c>
      <x:c r="AE217" s="5" t="inlineStr">
        <x:is>
          <x:t xml:space="preserve">.tmp/cobblemon-1.7.3-source/common/src/main/resources/data/cobblemon/species/generation2/shuckle.json</x:t>
        </x:is>
      </x:c>
      <x:c r="AF217" s="5" t="str">
        <x:f>"생활권|"&amp;K217</x:f>
        <x:v>생활권|육상</x:v>
      </x:c>
      <x:c r="AG217" s="5" t="str">
        <x:f>"지형|"&amp;L217</x:f>
        <x:v>지형|암석</x:v>
      </x:c>
      <x:c r="AH217" s="5" t="str">
        <x:f>"온도|"&amp;M217</x:f>
        <x:v>온도|온대</x:v>
      </x:c>
      <x:c r="AI217" s="5" t="str">
        <x:f>"습도|"&amp;N217</x:f>
        <x:v>습도|보통</x:v>
      </x:c>
      <x:c r="AJ217" s="5" t="str">
        <x:f>"날씨|"&amp;O217</x:f>
        <x:v>날씨|무관</x:v>
      </x:c>
      <x:c r="AK217" s="5" t="str">
        <x:f>"특수태그|"&amp;R217</x:f>
        <x:v>특수태그|없음</x:v>
      </x:c>
      <x:c r="AL217" s="5" t="str">
        <x:f>"원본서식지|"&amp;S217</x:f>
        <x:v>원본서식지|</x:v>
      </x:c>
      <x:c r="AM217" s="5" t="str">
        <x:f>"타입|"&amp;F217</x:f>
        <x:v>타입|벌레</x:v>
      </x:c>
      <x:c r="AN217" s="5" t="str">
        <x:f>"타입|"&amp;G217</x:f>
        <x:v>타입|바위</x:v>
      </x:c>
    </x:row>
    <x:row r="218" ht="24" customHeight="1">
      <x:c r="A218" s="5" t="n">
        <x:v>214</x:v>
      </x:c>
      <x:c r="B218" s="5" t="inlineStr">
        <x:is>
          <x:t xml:space="preserve">헤라크로스</x:t>
        </x:is>
      </x:c>
      <x:c r="C218" s="5" t="inlineStr">
        <x:is>
          <x:t xml:space="preserve">heracross</x:t>
        </x:is>
      </x:c>
      <x:c r="D218" s="5" t="inlineStr">
        <x:is>
          <x:t xml:space="preserve">Heracross</x:t>
        </x:is>
      </x:c>
      <x:c r="E218" s="5" t="n">
        <x:v>2</x:v>
      </x:c>
      <x:c r="F218" s="5" t="inlineStr">
        <x:is>
          <x:t xml:space="preserve">벌레</x:t>
        </x:is>
      </x:c>
      <x:c r="G218" s="5" t="inlineStr">
        <x:is>
          <x:t xml:space="preserve">격투</x:t>
        </x:is>
      </x:c>
      <x:c r="H218" s="6" t="n">
        <x:v>54</x:v>
      </x:c>
      <x:c r="I218" s="5" t="n"/>
      <x:c r="J218" s="5" t="inlineStr">
        <x:is>
          <x:t xml:space="preserve">무진화</x:t>
        </x:is>
      </x:c>
      <x:c r="K218" s="7" t="inlineStr">
        <x:is>
          <x:t xml:space="preserve">비행</x:t>
        </x:is>
      </x:c>
      <x:c r="L218" s="7" t="inlineStr">
        <x:is>
          <x:t xml:space="preserve">수목</x:t>
        </x:is>
      </x:c>
      <x:c r="M218" s="7" t="inlineStr">
        <x:is>
          <x:t xml:space="preserve">온대</x:t>
        </x:is>
      </x:c>
      <x:c r="N218" s="7" t="inlineStr">
        <x:is>
          <x:t xml:space="preserve">다습</x:t>
        </x:is>
      </x:c>
      <x:c r="O218" s="7" t="inlineStr">
        <x:is>
          <x:t xml:space="preserve">무관</x:t>
        </x:is>
      </x:c>
      <x:c r="P218" s="7" t="inlineStr">
        <x:is>
          <x:t xml:space="preserve">무관</x:t>
        </x:is>
      </x:c>
      <x:c r="Q218" s="7" t="inlineStr">
        <x:is>
          <x:t xml:space="preserve">보통</x:t>
        </x:is>
      </x:c>
      <x:c r="R218" s="7" t="inlineStr">
        <x:is>
          <x:t xml:space="preserve">없음</x:t>
        </x:is>
      </x:c>
      <x:c r="S218" s="7" t="inlineStr">
        <x:is>
          <x:t xml:space="preserve">숲</x:t>
        </x:is>
      </x:c>
      <x:c r="T218" s="7" t="inlineStr">
        <x:is>
          <x:t xml:space="preserve"/>
        </x:is>
      </x:c>
      <x:c r="U218" s="8" t="str">
        <x:f>INDEX('서식지_점수'!$E$4:$P$4,1,MATCH(MAX('서식지_점수'!E218:P218),'서식지_점수'!E218:P218,0))</x:f>
        <x:v>산악</x:v>
      </x:c>
      <x:c r="V218" s="8" t="str">
        <x:f>IF(T218&lt;&gt;"",T218,U218)</x:f>
        <x:v>산악</x:v>
      </x:c>
      <x:c r="W218" s="8" t="str">
        <x:f>IFERROR(INDEX('서식지_점수'!$E$4:$P$4,1,MATCH(MAXIFS('서식지_점수'!E218:P218,'서식지_점수'!E218:P218,"&lt;"&amp;MAX('서식지_점수'!E218:P218)),'서식지_점수'!E218:P218,0)),"")</x:f>
        <x:v>평원</x:v>
      </x:c>
      <x:c r="X218" s="8" t="str">
        <x:f>IF(T218&lt;&gt;"","수동확정",IF(MAX('서식지_점수'!E218:P218)-LARGE('서식지_점수'!E218:P218,2)&gt;=15,"높음",IF(MAX('서식지_점수'!E218:P218)-LARGE('서식지_점수'!E218:P218,2)&gt;=8,"보통","검토필요")))</x:f>
        <x:v>검토필요</x:v>
      </x:c>
      <x:c r="Y218" s="9" t="n">
        <x:f>IF(Q218="전설",8,IF(Q218="희귀",7,IF(J218="기본",1,IF(J218="중간",3,IF(J218="최종",IF(I218="",5,IF(I218&lt;=20,3,IF(I218&lt;=35,4,IF(I218&lt;=50,6,7)))),IF(Q218="드묾",4,2))))))</x:f>
        <x:v>2</x:v>
      </x:c>
      <x:c r="Z218" s="5" t="inlineStr">
        <x:is>
          <x:t xml:space="preserve">#aether:is_aether; #cobblemon:is_forest; #cobblemon:is_jungle; #cobblemon:is_overworld; #cobblemon:is_tropical_island; aether:skyroot_forest; aether:skyroot_woodland; the_bumblezone:crystal_canyon</x:t>
        </x:is>
      </x:c>
      <x:c r="AA218" s="5" t="inlineStr">
        <x:is>
          <x:t xml:space="preserve">rare; uncommon</x:t>
        </x:is>
      </x:c>
      <x:c r="AB218" s="5" t="inlineStr">
        <x:is>
          <x:t xml:space="preserve">예</x:t>
        </x:is>
      </x:c>
      <x:c r="AC218" s="8" t="str">
        <x:f>IF(T218&lt;&gt;"","수동확정",IF(X218="검토필요","검토필요",IF(S218="","원본없음","초기완료")))</x:f>
        <x:v>검토필요</x:v>
      </x:c>
      <x:c r="AD218" s="7" t="inlineStr">
        <x:is>
          <x:t xml:space="preserve"/>
        </x:is>
      </x:c>
      <x:c r="AE218" s="5" t="inlineStr">
        <x:is>
          <x:t xml:space="preserve">.tmp/cobblemon-1.7.3-source/common/src/main/resources/data/cobblemon/species/generation2/heracross.json</x:t>
        </x:is>
      </x:c>
      <x:c r="AF218" s="5" t="str">
        <x:f>"생활권|"&amp;K218</x:f>
        <x:v>생활권|비행</x:v>
      </x:c>
      <x:c r="AG218" s="5" t="str">
        <x:f>"지형|"&amp;L218</x:f>
        <x:v>지형|수목</x:v>
      </x:c>
      <x:c r="AH218" s="5" t="str">
        <x:f>"온도|"&amp;M218</x:f>
        <x:v>온도|온대</x:v>
      </x:c>
      <x:c r="AI218" s="5" t="str">
        <x:f>"습도|"&amp;N218</x:f>
        <x:v>습도|다습</x:v>
      </x:c>
      <x:c r="AJ218" s="5" t="str">
        <x:f>"날씨|"&amp;O218</x:f>
        <x:v>날씨|무관</x:v>
      </x:c>
      <x:c r="AK218" s="5" t="str">
        <x:f>"특수태그|"&amp;R218</x:f>
        <x:v>특수태그|없음</x:v>
      </x:c>
      <x:c r="AL218" s="5" t="str">
        <x:f>"원본서식지|"&amp;S218</x:f>
        <x:v>원본서식지|숲</x:v>
      </x:c>
      <x:c r="AM218" s="5" t="str">
        <x:f>"타입|"&amp;F218</x:f>
        <x:v>타입|벌레</x:v>
      </x:c>
      <x:c r="AN218" s="5" t="str">
        <x:f>"타입|"&amp;G218</x:f>
        <x:v>타입|격투</x:v>
      </x:c>
    </x:row>
    <x:row r="219" ht="24" customHeight="1">
      <x:c r="A219" s="5" t="n">
        <x:v>215</x:v>
      </x:c>
      <x:c r="B219" s="5" t="inlineStr">
        <x:is>
          <x:t xml:space="preserve">포푸니</x:t>
        </x:is>
      </x:c>
      <x:c r="C219" s="5" t="inlineStr">
        <x:is>
          <x:t xml:space="preserve">sneasel</x:t>
        </x:is>
      </x:c>
      <x:c r="D219" s="5" t="inlineStr">
        <x:is>
          <x:t xml:space="preserve">Sneasel</x:t>
        </x:is>
      </x:c>
      <x:c r="E219" s="5" t="n">
        <x:v>2</x:v>
      </x:c>
      <x:c r="F219" s="5" t="inlineStr">
        <x:is>
          <x:t xml:space="preserve">악</x:t>
        </x:is>
      </x:c>
      <x:c r="G219" s="5" t="inlineStr">
        <x:is>
          <x:t xml:space="preserve">얼음</x:t>
        </x:is>
      </x:c>
      <x:c r="H219" s="6" t="n">
        <x:v>28</x:v>
      </x:c>
      <x:c r="I219" s="5" t="n"/>
      <x:c r="J219" s="5" t="inlineStr">
        <x:is>
          <x:t xml:space="preserve">기본</x:t>
        </x:is>
      </x:c>
      <x:c r="K219" s="7" t="inlineStr">
        <x:is>
          <x:t xml:space="preserve">육상</x:t>
        </x:is>
      </x:c>
      <x:c r="L219" s="7" t="inlineStr">
        <x:is>
          <x:t xml:space="preserve">암석</x:t>
        </x:is>
      </x:c>
      <x:c r="M219" s="7" t="inlineStr">
        <x:is>
          <x:t xml:space="preserve">한랭</x:t>
        </x:is>
      </x:c>
      <x:c r="N219" s="7" t="inlineStr">
        <x:is>
          <x:t xml:space="preserve">보통</x:t>
        </x:is>
      </x:c>
      <x:c r="O219" s="7" t="inlineStr">
        <x:is>
          <x:t xml:space="preserve">무관</x:t>
        </x:is>
      </x:c>
      <x:c r="P219" s="7" t="inlineStr">
        <x:is>
          <x:t xml:space="preserve">밤</x:t>
        </x:is>
      </x:c>
      <x:c r="Q219" s="7" t="inlineStr">
        <x:is>
          <x:t xml:space="preserve">보통</x:t>
        </x:is>
      </x:c>
      <x:c r="R219" s="7" t="inlineStr">
        <x:is>
          <x:t xml:space="preserve">없음</x:t>
        </x:is>
      </x:c>
      <x:c r="S219" s="7" t="inlineStr">
        <x:is>
          <x:t xml:space="preserve">산악</x:t>
        </x:is>
      </x:c>
      <x:c r="T219" s="7" t="inlineStr">
        <x:is>
          <x:t xml:space="preserve"/>
        </x:is>
      </x:c>
      <x:c r="U219" s="8" t="str">
        <x:f>INDEX('서식지_점수'!$E$4:$P$4,1,MATCH(MAX('서식지_점수'!E219:P219),'서식지_점수'!E219:P219,0))</x:f>
        <x:v>평원</x:v>
      </x:c>
      <x:c r="V219" s="8" t="str">
        <x:f>IF(T219&lt;&gt;"",T219,U219)</x:f>
        <x:v>평원</x:v>
      </x:c>
      <x:c r="W219" s="8" t="str">
        <x:f>IFERROR(INDEX('서식지_점수'!$E$4:$P$4,1,MATCH(MAXIFS('서식지_점수'!E219:P219,'서식지_점수'!E219:P219,"&lt;"&amp;MAX('서식지_점수'!E219:P219)),'서식지_점수'!E219:P219,0)),"")</x:f>
        <x:v>숲</x:v>
      </x:c>
      <x:c r="X219" s="8" t="str">
        <x:f>IF(T219&lt;&gt;"","수동확정",IF(MAX('서식지_점수'!E219:P219)-LARGE('서식지_점수'!E219:P219,2)&gt;=15,"높음",IF(MAX('서식지_점수'!E219:P219)-LARGE('서식지_점수'!E219:P219,2)&gt;=8,"보통","검토필요")))</x:f>
        <x:v>검토필요</x:v>
      </x:c>
      <x:c r="Y219" s="9" t="n">
        <x:f>IF(Q219="전설",8,IF(Q219="희귀",7,IF(J219="기본",1,IF(J219="중간",3,IF(J219="최종",IF(I219="",5,IF(I219&lt;=20,3,IF(I219&lt;=35,4,IF(I219&lt;=50,6,7)))),IF(Q219="드묾",4,2))))))</x:f>
        <x:v>1</x:v>
      </x:c>
      <x:c r="Z219" s="5" t="inlineStr">
        <x:is>
          <x:t xml:space="preserve">#cobblemon:is_mountain; #cobblemon:is_taiga</x:t>
        </x:is>
      </x:c>
      <x:c r="AA219" s="5" t="inlineStr">
        <x:is>
          <x:t xml:space="preserve">uncommon</x:t>
        </x:is>
      </x:c>
      <x:c r="AB219" s="5" t="inlineStr">
        <x:is>
          <x:t xml:space="preserve">예</x:t>
        </x:is>
      </x:c>
      <x:c r="AC219" s="8" t="str">
        <x:f>IF(T219&lt;&gt;"","수동확정",IF(X219="검토필요","검토필요",IF(S219="","원본없음","초기완료")))</x:f>
        <x:v>검토필요</x:v>
      </x:c>
      <x:c r="AD219" s="7" t="inlineStr">
        <x:is>
          <x:t xml:space="preserve"/>
        </x:is>
      </x:c>
      <x:c r="AE219" s="5" t="inlineStr">
        <x:is>
          <x:t xml:space="preserve">.tmp/cobblemon-1.7.3-source/common/src/main/resources/data/cobblemon/species/generation2/sneasel.json</x:t>
        </x:is>
      </x:c>
      <x:c r="AF219" s="5" t="str">
        <x:f>"생활권|"&amp;K219</x:f>
        <x:v>생활권|육상</x:v>
      </x:c>
      <x:c r="AG219" s="5" t="str">
        <x:f>"지형|"&amp;L219</x:f>
        <x:v>지형|암석</x:v>
      </x:c>
      <x:c r="AH219" s="5" t="str">
        <x:f>"온도|"&amp;M219</x:f>
        <x:v>온도|한랭</x:v>
      </x:c>
      <x:c r="AI219" s="5" t="str">
        <x:f>"습도|"&amp;N219</x:f>
        <x:v>습도|보통</x:v>
      </x:c>
      <x:c r="AJ219" s="5" t="str">
        <x:f>"날씨|"&amp;O219</x:f>
        <x:v>날씨|무관</x:v>
      </x:c>
      <x:c r="AK219" s="5" t="str">
        <x:f>"특수태그|"&amp;R219</x:f>
        <x:v>특수태그|없음</x:v>
      </x:c>
      <x:c r="AL219" s="5" t="str">
        <x:f>"원본서식지|"&amp;S219</x:f>
        <x:v>원본서식지|산악</x:v>
      </x:c>
      <x:c r="AM219" s="5" t="str">
        <x:f>"타입|"&amp;F219</x:f>
        <x:v>타입|악</x:v>
      </x:c>
      <x:c r="AN219" s="5" t="str">
        <x:f>"타입|"&amp;G219</x:f>
        <x:v>타입|얼음</x:v>
      </x:c>
    </x:row>
    <x:row r="220" ht="24" customHeight="1">
      <x:c r="A220" s="5" t="n">
        <x:v>216</x:v>
      </x:c>
      <x:c r="B220" s="5" t="inlineStr">
        <x:is>
          <x:t xml:space="preserve">깜지곰</x:t>
        </x:is>
      </x:c>
      <x:c r="C220" s="5" t="inlineStr">
        <x:is>
          <x:t xml:space="preserve">teddiursa</x:t>
        </x:is>
      </x:c>
      <x:c r="D220" s="5" t="inlineStr">
        <x:is>
          <x:t xml:space="preserve">Teddiursa</x:t>
        </x:is>
      </x:c>
      <x:c r="E220" s="5" t="n">
        <x:v>2</x:v>
      </x:c>
      <x:c r="F220" s="5" t="inlineStr">
        <x:is>
          <x:t xml:space="preserve">노말</x:t>
        </x:is>
      </x:c>
      <x:c r="G220" s="5" t="inlineStr">
        <x:is>
          <x:t xml:space="preserve"/>
        </x:is>
      </x:c>
      <x:c r="H220" s="6" t="n">
        <x:v>8.800000000000001</x:v>
      </x:c>
      <x:c r="I220" s="5" t="n">
        <x:v>30</x:v>
      </x:c>
      <x:c r="J220" s="5" t="inlineStr">
        <x:is>
          <x:t xml:space="preserve">기본</x:t>
        </x:is>
      </x:c>
      <x:c r="K220" s="7" t="inlineStr">
        <x:is>
          <x:t xml:space="preserve">육상</x:t>
        </x:is>
      </x:c>
      <x:c r="L220" s="7" t="inlineStr">
        <x:is>
          <x:t xml:space="preserve">수목</x:t>
        </x:is>
      </x:c>
      <x:c r="M220" s="7" t="inlineStr">
        <x:is>
          <x:t xml:space="preserve">서늘</x:t>
        </x:is>
      </x:c>
      <x:c r="N220" s="7" t="inlineStr">
        <x:is>
          <x:t xml:space="preserve">보통</x:t>
        </x:is>
      </x:c>
      <x:c r="O220" s="7" t="inlineStr">
        <x:is>
          <x:t xml:space="preserve">무관</x:t>
        </x:is>
      </x:c>
      <x:c r="P220" s="7" t="inlineStr">
        <x:is>
          <x:t xml:space="preserve">무관</x:t>
        </x:is>
      </x:c>
      <x:c r="Q220" s="7" t="inlineStr">
        <x:is>
          <x:t xml:space="preserve">흔함</x:t>
        </x:is>
      </x:c>
      <x:c r="R220" s="7" t="inlineStr">
        <x:is>
          <x:t xml:space="preserve">없음</x:t>
        </x:is>
      </x:c>
      <x:c r="S220" s="7" t="inlineStr">
        <x:is>
          <x:t xml:space="preserve">숲</x:t>
        </x:is>
      </x:c>
      <x:c r="T220" s="7" t="inlineStr">
        <x:is>
          <x:t xml:space="preserve"/>
        </x:is>
      </x:c>
      <x:c r="U220" s="8" t="str">
        <x:f>INDEX('서식지_점수'!$E$4:$P$4,1,MATCH(MAX('서식지_점수'!E220:P220),'서식지_점수'!E220:P220,0))</x:f>
        <x:v>평원</x:v>
      </x:c>
      <x:c r="V220" s="8" t="str">
        <x:f>IF(T220&lt;&gt;"",T220,U220)</x:f>
        <x:v>평원</x:v>
      </x:c>
      <x:c r="W220" s="8" t="str">
        <x:f>IFERROR(INDEX('서식지_점수'!$E$4:$P$4,1,MATCH(MAXIFS('서식지_점수'!E220:P220,'서식지_점수'!E220:P220,"&lt;"&amp;MAX('서식지_점수'!E220:P220)),'서식지_점수'!E220:P220,0)),"")</x:f>
        <x:v>숲</x:v>
      </x:c>
      <x:c r="X220" s="8" t="str">
        <x:f>IF(T220&lt;&gt;"","수동확정",IF(MAX('서식지_점수'!E220:P220)-LARGE('서식지_점수'!E220:P220,2)&gt;=15,"높음",IF(MAX('서식지_점수'!E220:P220)-LARGE('서식지_점수'!E220:P220,2)&gt;=8,"보통","검토필요")))</x:f>
        <x:v>검토필요</x:v>
      </x:c>
      <x:c r="Y220" s="9" t="n">
        <x:f>IF(Q220="전설",8,IF(Q220="희귀",7,IF(J220="기본",1,IF(J220="중간",3,IF(J220="최종",IF(I220="",5,IF(I220&lt;=20,3,IF(I220&lt;=35,4,IF(I220&lt;=50,6,7)))),IF(Q220="드묾",4,2))))))</x:f>
        <x:v>1</x:v>
      </x:c>
      <x:c r="Z220" s="5" t="inlineStr">
        <x:is>
          <x:t xml:space="preserve">#aether:is_aether; #cobblemon:is_forest; #cobblemon:is_mountain; #cobblemon:is_overworld; #cobblemon:is_taiga; aether:skyroot_forest; aether:skyroot_woodland; the_bumblezone:crystal_canyon; the_bumblezone:floral_meadow</x:t>
        </x:is>
      </x:c>
      <x:c r="AA220" s="5" t="inlineStr">
        <x:is>
          <x:t xml:space="preserve">common</x:t>
        </x:is>
      </x:c>
      <x:c r="AB220" s="5" t="inlineStr">
        <x:is>
          <x:t xml:space="preserve">예</x:t>
        </x:is>
      </x:c>
      <x:c r="AC220" s="8" t="str">
        <x:f>IF(T220&lt;&gt;"","수동확정",IF(X220="검토필요","검토필요",IF(S220="","원본없음","초기완료")))</x:f>
        <x:v>검토필요</x:v>
      </x:c>
      <x:c r="AD220" s="7" t="inlineStr">
        <x:is>
          <x:t xml:space="preserve"/>
        </x:is>
      </x:c>
      <x:c r="AE220" s="5" t="inlineStr">
        <x:is>
          <x:t xml:space="preserve">.tmp/cobblemon-1.7.3-source/common/src/main/resources/data/cobblemon/species/generation2/teddiursa.json</x:t>
        </x:is>
      </x:c>
      <x:c r="AF220" s="5" t="str">
        <x:f>"생활권|"&amp;K220</x:f>
        <x:v>생활권|육상</x:v>
      </x:c>
      <x:c r="AG220" s="5" t="str">
        <x:f>"지형|"&amp;L220</x:f>
        <x:v>지형|수목</x:v>
      </x:c>
      <x:c r="AH220" s="5" t="str">
        <x:f>"온도|"&amp;M220</x:f>
        <x:v>온도|서늘</x:v>
      </x:c>
      <x:c r="AI220" s="5" t="str">
        <x:f>"습도|"&amp;N220</x:f>
        <x:v>습도|보통</x:v>
      </x:c>
      <x:c r="AJ220" s="5" t="str">
        <x:f>"날씨|"&amp;O220</x:f>
        <x:v>날씨|무관</x:v>
      </x:c>
      <x:c r="AK220" s="5" t="str">
        <x:f>"특수태그|"&amp;R220</x:f>
        <x:v>특수태그|없음</x:v>
      </x:c>
      <x:c r="AL220" s="5" t="str">
        <x:f>"원본서식지|"&amp;S220</x:f>
        <x:v>원본서식지|숲</x:v>
      </x:c>
      <x:c r="AM220" s="5" t="str">
        <x:f>"타입|"&amp;F220</x:f>
        <x:v>타입|노말</x:v>
      </x:c>
      <x:c r="AN220" s="5" t="str">
        <x:f>"타입|"&amp;G220</x:f>
        <x:v>타입|</x:v>
      </x:c>
    </x:row>
    <x:row r="221" ht="24" customHeight="1">
      <x:c r="A221" s="5" t="n">
        <x:v>217</x:v>
      </x:c>
      <x:c r="B221" s="5" t="inlineStr">
        <x:is>
          <x:t xml:space="preserve">링곰</x:t>
        </x:is>
      </x:c>
      <x:c r="C221" s="5" t="inlineStr">
        <x:is>
          <x:t xml:space="preserve">ursaring</x:t>
        </x:is>
      </x:c>
      <x:c r="D221" s="5" t="inlineStr">
        <x:is>
          <x:t xml:space="preserve">Ursaring</x:t>
        </x:is>
      </x:c>
      <x:c r="E221" s="5" t="n">
        <x:v>2</x:v>
      </x:c>
      <x:c r="F221" s="5" t="inlineStr">
        <x:is>
          <x:t xml:space="preserve">노말</x:t>
        </x:is>
      </x:c>
      <x:c r="G221" s="5" t="inlineStr">
        <x:is>
          <x:t xml:space="preserve"/>
        </x:is>
      </x:c>
      <x:c r="H221" s="6" t="n">
        <x:v>125.8</x:v>
      </x:c>
      <x:c r="I221" s="5" t="n">
        <x:v>30</x:v>
      </x:c>
      <x:c r="J221" s="5" t="inlineStr">
        <x:is>
          <x:t xml:space="preserve">중간</x:t>
        </x:is>
      </x:c>
      <x:c r="K221" s="7" t="inlineStr">
        <x:is>
          <x:t xml:space="preserve">육상</x:t>
        </x:is>
      </x:c>
      <x:c r="L221" s="7" t="inlineStr">
        <x:is>
          <x:t xml:space="preserve">수목</x:t>
        </x:is>
      </x:c>
      <x:c r="M221" s="7" t="inlineStr">
        <x:is>
          <x:t xml:space="preserve">서늘</x:t>
        </x:is>
      </x:c>
      <x:c r="N221" s="7" t="inlineStr">
        <x:is>
          <x:t xml:space="preserve">보통</x:t>
        </x:is>
      </x:c>
      <x:c r="O221" s="7" t="inlineStr">
        <x:is>
          <x:t xml:space="preserve">무관</x:t>
        </x:is>
      </x:c>
      <x:c r="P221" s="7" t="inlineStr">
        <x:is>
          <x:t xml:space="preserve">무관</x:t>
        </x:is>
      </x:c>
      <x:c r="Q221" s="7" t="inlineStr">
        <x:is>
          <x:t xml:space="preserve">흔함</x:t>
        </x:is>
      </x:c>
      <x:c r="R221" s="7" t="inlineStr">
        <x:is>
          <x:t xml:space="preserve">없음</x:t>
        </x:is>
      </x:c>
      <x:c r="S221" s="7" t="inlineStr">
        <x:is>
          <x:t xml:space="preserve">숲</x:t>
        </x:is>
      </x:c>
      <x:c r="T221" s="7" t="inlineStr">
        <x:is>
          <x:t xml:space="preserve"/>
        </x:is>
      </x:c>
      <x:c r="U221" s="8" t="str">
        <x:f>INDEX('서식지_점수'!$E$4:$P$4,1,MATCH(MAX('서식지_점수'!E221:P221),'서식지_점수'!E221:P221,0))</x:f>
        <x:v>평원</x:v>
      </x:c>
      <x:c r="V221" s="8" t="str">
        <x:f>IF(T221&lt;&gt;"",T221,U221)</x:f>
        <x:v>평원</x:v>
      </x:c>
      <x:c r="W221" s="8" t="str">
        <x:f>IFERROR(INDEX('서식지_점수'!$E$4:$P$4,1,MATCH(MAXIFS('서식지_점수'!E221:P221,'서식지_점수'!E221:P221,"&lt;"&amp;MAX('서식지_점수'!E221:P221)),'서식지_점수'!E221:P221,0)),"")</x:f>
        <x:v>숲</x:v>
      </x:c>
      <x:c r="X221" s="8" t="str">
        <x:f>IF(T221&lt;&gt;"","수동확정",IF(MAX('서식지_점수'!E221:P221)-LARGE('서식지_점수'!E221:P221,2)&gt;=15,"높음",IF(MAX('서식지_점수'!E221:P221)-LARGE('서식지_점수'!E221:P221,2)&gt;=8,"보통","검토필요")))</x:f>
        <x:v>검토필요</x:v>
      </x:c>
      <x:c r="Y221" s="9" t="n">
        <x:f>IF(Q221="전설",8,IF(Q221="희귀",7,IF(J221="기본",1,IF(J221="중간",3,IF(J221="최종",IF(I221="",5,IF(I221&lt;=20,3,IF(I221&lt;=35,4,IF(I221&lt;=50,6,7)))),IF(Q221="드묾",4,2))))))</x:f>
        <x:v>3</x:v>
      </x:c>
      <x:c r="Z221" s="5" t="inlineStr">
        <x:is>
          <x:t xml:space="preserve">#aether:is_aether; #cobblemon:is_forest; #cobblemon:is_mountain; #cobblemon:is_overworld; #cobblemon:is_taiga; aether:skyroot_forest; aether:skyroot_woodland; the_bumblezone:crystal_canyon; the_bumblezone:floral_meadow</x:t>
        </x:is>
      </x:c>
      <x:c r="AA221" s="5" t="inlineStr">
        <x:is>
          <x:t xml:space="preserve">common</x:t>
        </x:is>
      </x:c>
      <x:c r="AB221" s="5" t="inlineStr">
        <x:is>
          <x:t xml:space="preserve">예</x:t>
        </x:is>
      </x:c>
      <x:c r="AC221" s="8" t="str">
        <x:f>IF(T221&lt;&gt;"","수동확정",IF(X221="검토필요","검토필요",IF(S221="","원본없음","초기완료")))</x:f>
        <x:v>검토필요</x:v>
      </x:c>
      <x:c r="AD221" s="7" t="inlineStr">
        <x:is>
          <x:t xml:space="preserve"/>
        </x:is>
      </x:c>
      <x:c r="AE221" s="5" t="inlineStr">
        <x:is>
          <x:t xml:space="preserve">.tmp/cobblemon-1.7.3-source/common/src/main/resources/data/cobblemon/species/generation2/ursaring.json</x:t>
        </x:is>
      </x:c>
      <x:c r="AF221" s="5" t="str">
        <x:f>"생활권|"&amp;K221</x:f>
        <x:v>생활권|육상</x:v>
      </x:c>
      <x:c r="AG221" s="5" t="str">
        <x:f>"지형|"&amp;L221</x:f>
        <x:v>지형|수목</x:v>
      </x:c>
      <x:c r="AH221" s="5" t="str">
        <x:f>"온도|"&amp;M221</x:f>
        <x:v>온도|서늘</x:v>
      </x:c>
      <x:c r="AI221" s="5" t="str">
        <x:f>"습도|"&amp;N221</x:f>
        <x:v>습도|보통</x:v>
      </x:c>
      <x:c r="AJ221" s="5" t="str">
        <x:f>"날씨|"&amp;O221</x:f>
        <x:v>날씨|무관</x:v>
      </x:c>
      <x:c r="AK221" s="5" t="str">
        <x:f>"특수태그|"&amp;R221</x:f>
        <x:v>특수태그|없음</x:v>
      </x:c>
      <x:c r="AL221" s="5" t="str">
        <x:f>"원본서식지|"&amp;S221</x:f>
        <x:v>원본서식지|숲</x:v>
      </x:c>
      <x:c r="AM221" s="5" t="str">
        <x:f>"타입|"&amp;F221</x:f>
        <x:v>타입|노말</x:v>
      </x:c>
      <x:c r="AN221" s="5" t="str">
        <x:f>"타입|"&amp;G221</x:f>
        <x:v>타입|</x:v>
      </x:c>
    </x:row>
    <x:row r="222" ht="24" customHeight="1">
      <x:c r="A222" s="5" t="n">
        <x:v>218</x:v>
      </x:c>
      <x:c r="B222" s="5" t="inlineStr">
        <x:is>
          <x:t xml:space="preserve">마그마그</x:t>
        </x:is>
      </x:c>
      <x:c r="C222" s="5" t="inlineStr">
        <x:is>
          <x:t xml:space="preserve">slugma</x:t>
        </x:is>
      </x:c>
      <x:c r="D222" s="5" t="inlineStr">
        <x:is>
          <x:t xml:space="preserve">Slugma</x:t>
        </x:is>
      </x:c>
      <x:c r="E222" s="5" t="n">
        <x:v>2</x:v>
      </x:c>
      <x:c r="F222" s="5" t="inlineStr">
        <x:is>
          <x:t xml:space="preserve">불꽃</x:t>
        </x:is>
      </x:c>
      <x:c r="G222" s="5" t="inlineStr">
        <x:is>
          <x:t xml:space="preserve"/>
        </x:is>
      </x:c>
      <x:c r="H222" s="6" t="n">
        <x:v>35</x:v>
      </x:c>
      <x:c r="I222" s="5" t="n">
        <x:v>38</x:v>
      </x:c>
      <x:c r="J222" s="5" t="inlineStr">
        <x:is>
          <x:t xml:space="preserve">기본</x:t>
        </x:is>
      </x:c>
      <x:c r="K222" s="7" t="inlineStr">
        <x:is>
          <x:t xml:space="preserve">육상</x:t>
        </x:is>
      </x:c>
      <x:c r="L222" s="7" t="inlineStr">
        <x:is>
          <x:t xml:space="preserve">화산</x:t>
        </x:is>
      </x:c>
      <x:c r="M222" s="7" t="inlineStr">
        <x:is>
          <x:t xml:space="preserve">고온</x:t>
        </x:is>
      </x:c>
      <x:c r="N222" s="7" t="inlineStr">
        <x:is>
          <x:t xml:space="preserve">건조</x:t>
        </x:is>
      </x:c>
      <x:c r="O222" s="7" t="inlineStr">
        <x:is>
          <x:t xml:space="preserve">맑음</x:t>
        </x:is>
      </x:c>
      <x:c r="P222" s="7" t="inlineStr">
        <x:is>
          <x:t xml:space="preserve">무관</x:t>
        </x:is>
      </x:c>
      <x:c r="Q222" s="7" t="inlineStr">
        <x:is>
          <x:t xml:space="preserve">흔함</x:t>
        </x:is>
      </x:c>
      <x:c r="R222" s="7" t="inlineStr">
        <x:is>
          <x:t xml:space="preserve">화산</x:t>
        </x:is>
      </x:c>
      <x:c r="S222" s="7" t="inlineStr">
        <x:is>
          <x:t xml:space="preserve">화산</x:t>
        </x:is>
      </x:c>
      <x:c r="T222" s="7" t="inlineStr">
        <x:is>
          <x:t xml:space="preserve"/>
        </x:is>
      </x:c>
      <x:c r="U222" s="8" t="str">
        <x:f>INDEX('서식지_점수'!$E$4:$P$4,1,MATCH(MAX('서식지_점수'!E222:P222),'서식지_점수'!E222:P222,0))</x:f>
        <x:v>평원</x:v>
      </x:c>
      <x:c r="V222" s="8" t="str">
        <x:f>IF(T222&lt;&gt;"",T222,U222)</x:f>
        <x:v>평원</x:v>
      </x:c>
      <x:c r="W222" s="8" t="str">
        <x:f>IFERROR(INDEX('서식지_점수'!$E$4:$P$4,1,MATCH(MAXIFS('서식지_점수'!E222:P222,'서식지_점수'!E222:P222,"&lt;"&amp;MAX('서식지_점수'!E222:P222)),'서식지_점수'!E222:P222,0)),"")</x:f>
        <x:v>숲</x:v>
      </x:c>
      <x:c r="X222" s="8" t="str">
        <x:f>IF(T222&lt;&gt;"","수동확정",IF(MAX('서식지_점수'!E222:P222)-LARGE('서식지_점수'!E222:P222,2)&gt;=15,"높음",IF(MAX('서식지_점수'!E222:P222)-LARGE('서식지_점수'!E222:P222,2)&gt;=8,"보통","검토필요")))</x:f>
        <x:v>검토필요</x:v>
      </x:c>
      <x:c r="Y222" s="9" t="n">
        <x:f>IF(Q222="전설",8,IF(Q222="희귀",7,IF(J222="기본",1,IF(J222="중간",3,IF(J222="최종",IF(I222="",5,IF(I222&lt;=20,3,IF(I222&lt;=35,4,IF(I222&lt;=50,6,7)))),IF(Q222="드묾",4,2))))))</x:f>
        <x:v>1</x:v>
      </x:c>
      <x:c r="Z222" s="5" t="inlineStr">
        <x:is>
          <x:t xml:space="preserve">#cobblemon:is_overworld; #cobblemon:is_volcanic; #cobblemon:nether/is_basalt; #cobblemon:nether/is_wasteland; #minecraft:is_nether</x:t>
        </x:is>
      </x:c>
      <x:c r="AA222" s="5" t="inlineStr">
        <x:is>
          <x:t xml:space="preserve">common</x:t>
        </x:is>
      </x:c>
      <x:c r="AB222" s="5" t="inlineStr">
        <x:is>
          <x:t xml:space="preserve">예</x:t>
        </x:is>
      </x:c>
      <x:c r="AC222" s="8" t="str">
        <x:f>IF(T222&lt;&gt;"","수동확정",IF(X222="검토필요","검토필요",IF(S222="","원본없음","초기완료")))</x:f>
        <x:v>검토필요</x:v>
      </x:c>
      <x:c r="AD222" s="7" t="inlineStr">
        <x:is>
          <x:t xml:space="preserve"/>
        </x:is>
      </x:c>
      <x:c r="AE222" s="5" t="inlineStr">
        <x:is>
          <x:t xml:space="preserve">.tmp/cobblemon-1.7.3-source/common/src/main/resources/data/cobblemon/species/generation2/slugma.json</x:t>
        </x:is>
      </x:c>
      <x:c r="AF222" s="5" t="str">
        <x:f>"생활권|"&amp;K222</x:f>
        <x:v>생활권|육상</x:v>
      </x:c>
      <x:c r="AG222" s="5" t="str">
        <x:f>"지형|"&amp;L222</x:f>
        <x:v>지형|화산</x:v>
      </x:c>
      <x:c r="AH222" s="5" t="str">
        <x:f>"온도|"&amp;M222</x:f>
        <x:v>온도|고온</x:v>
      </x:c>
      <x:c r="AI222" s="5" t="str">
        <x:f>"습도|"&amp;N222</x:f>
        <x:v>습도|건조</x:v>
      </x:c>
      <x:c r="AJ222" s="5" t="str">
        <x:f>"날씨|"&amp;O222</x:f>
        <x:v>날씨|맑음</x:v>
      </x:c>
      <x:c r="AK222" s="5" t="str">
        <x:f>"특수태그|"&amp;R222</x:f>
        <x:v>특수태그|화산</x:v>
      </x:c>
      <x:c r="AL222" s="5" t="str">
        <x:f>"원본서식지|"&amp;S222</x:f>
        <x:v>원본서식지|화산</x:v>
      </x:c>
      <x:c r="AM222" s="5" t="str">
        <x:f>"타입|"&amp;F222</x:f>
        <x:v>타입|불꽃</x:v>
      </x:c>
      <x:c r="AN222" s="5" t="str">
        <x:f>"타입|"&amp;G222</x:f>
        <x:v>타입|</x:v>
      </x:c>
    </x:row>
    <x:row r="223" ht="24" customHeight="1">
      <x:c r="A223" s="5" t="n">
        <x:v>219</x:v>
      </x:c>
      <x:c r="B223" s="5" t="inlineStr">
        <x:is>
          <x:t xml:space="preserve">마그카르고</x:t>
        </x:is>
      </x:c>
      <x:c r="C223" s="5" t="inlineStr">
        <x:is>
          <x:t xml:space="preserve">magcargo</x:t>
        </x:is>
      </x:c>
      <x:c r="D223" s="5" t="inlineStr">
        <x:is>
          <x:t xml:space="preserve">Magcargo</x:t>
        </x:is>
      </x:c>
      <x:c r="E223" s="5" t="n">
        <x:v>2</x:v>
      </x:c>
      <x:c r="F223" s="5" t="inlineStr">
        <x:is>
          <x:t xml:space="preserve">불꽃</x:t>
        </x:is>
      </x:c>
      <x:c r="G223" s="5" t="inlineStr">
        <x:is>
          <x:t xml:space="preserve">바위</x:t>
        </x:is>
      </x:c>
      <x:c r="H223" s="6" t="n">
        <x:v>55</x:v>
      </x:c>
      <x:c r="I223" s="5" t="n">
        <x:v>38</x:v>
      </x:c>
      <x:c r="J223" s="5" t="inlineStr">
        <x:is>
          <x:t xml:space="preserve">최종</x:t>
        </x:is>
      </x:c>
      <x:c r="K223" s="7" t="inlineStr">
        <x:is>
          <x:t xml:space="preserve">육상</x:t>
        </x:is>
      </x:c>
      <x:c r="L223" s="7" t="inlineStr">
        <x:is>
          <x:t xml:space="preserve">화산</x:t>
        </x:is>
      </x:c>
      <x:c r="M223" s="7" t="inlineStr">
        <x:is>
          <x:t xml:space="preserve">고온</x:t>
        </x:is>
      </x:c>
      <x:c r="N223" s="7" t="inlineStr">
        <x:is>
          <x:t xml:space="preserve">건조</x:t>
        </x:is>
      </x:c>
      <x:c r="O223" s="7" t="inlineStr">
        <x:is>
          <x:t xml:space="preserve">맑음</x:t>
        </x:is>
      </x:c>
      <x:c r="P223" s="7" t="inlineStr">
        <x:is>
          <x:t xml:space="preserve">무관</x:t>
        </x:is>
      </x:c>
      <x:c r="Q223" s="7" t="inlineStr">
        <x:is>
          <x:t xml:space="preserve">흔함</x:t>
        </x:is>
      </x:c>
      <x:c r="R223" s="7" t="inlineStr">
        <x:is>
          <x:t xml:space="preserve">화산</x:t>
        </x:is>
      </x:c>
      <x:c r="S223" s="7" t="inlineStr">
        <x:is>
          <x:t xml:space="preserve">화산</x:t>
        </x:is>
      </x:c>
      <x:c r="T223" s="7" t="inlineStr">
        <x:is>
          <x:t xml:space="preserve"/>
        </x:is>
      </x:c>
      <x:c r="U223" s="8" t="str">
        <x:f>INDEX('서식지_점수'!$E$4:$P$4,1,MATCH(MAX('서식지_점수'!E223:P223),'서식지_점수'!E223:P223,0))</x:f>
        <x:v>평원</x:v>
      </x:c>
      <x:c r="V223" s="8" t="str">
        <x:f>IF(T223&lt;&gt;"",T223,U223)</x:f>
        <x:v>평원</x:v>
      </x:c>
      <x:c r="W223" s="8" t="str">
        <x:f>IFERROR(INDEX('서식지_점수'!$E$4:$P$4,1,MATCH(MAXIFS('서식지_점수'!E223:P223,'서식지_점수'!E223:P223,"&lt;"&amp;MAX('서식지_점수'!E223:P223)),'서식지_점수'!E223:P223,0)),"")</x:f>
        <x:v>숲</x:v>
      </x:c>
      <x:c r="X223" s="8" t="str">
        <x:f>IF(T223&lt;&gt;"","수동확정",IF(MAX('서식지_점수'!E223:P223)-LARGE('서식지_점수'!E223:P223,2)&gt;=15,"높음",IF(MAX('서식지_점수'!E223:P223)-LARGE('서식지_점수'!E223:P223,2)&gt;=8,"보통","검토필요")))</x:f>
        <x:v>검토필요</x:v>
      </x:c>
      <x:c r="Y223" s="9" t="n">
        <x:f>IF(Q223="전설",8,IF(Q223="희귀",7,IF(J223="기본",1,IF(J223="중간",3,IF(J223="최종",IF(I223="",5,IF(I223&lt;=20,3,IF(I223&lt;=35,4,IF(I223&lt;=50,6,7)))),IF(Q223="드묾",4,2))))))</x:f>
        <x:v>6</x:v>
      </x:c>
      <x:c r="Z223" s="5" t="inlineStr">
        <x:is>
          <x:t xml:space="preserve">#cobblemon:is_overworld; #cobblemon:is_volcanic; #cobblemon:nether/is_basalt; #cobblemon:nether/is_wasteland; #minecraft:is_nether</x:t>
        </x:is>
      </x:c>
      <x:c r="AA223" s="5" t="inlineStr">
        <x:is>
          <x:t xml:space="preserve">common</x:t>
        </x:is>
      </x:c>
      <x:c r="AB223" s="5" t="inlineStr">
        <x:is>
          <x:t xml:space="preserve">예</x:t>
        </x:is>
      </x:c>
      <x:c r="AC223" s="8" t="str">
        <x:f>IF(T223&lt;&gt;"","수동확정",IF(X223="검토필요","검토필요",IF(S223="","원본없음","초기완료")))</x:f>
        <x:v>검토필요</x:v>
      </x:c>
      <x:c r="AD223" s="7" t="inlineStr">
        <x:is>
          <x:t xml:space="preserve"/>
        </x:is>
      </x:c>
      <x:c r="AE223" s="5" t="inlineStr">
        <x:is>
          <x:t xml:space="preserve">.tmp/cobblemon-1.7.3-source/common/src/main/resources/data/cobblemon/species/generation2/magcargo.json</x:t>
        </x:is>
      </x:c>
      <x:c r="AF223" s="5" t="str">
        <x:f>"생활권|"&amp;K223</x:f>
        <x:v>생활권|육상</x:v>
      </x:c>
      <x:c r="AG223" s="5" t="str">
        <x:f>"지형|"&amp;L223</x:f>
        <x:v>지형|화산</x:v>
      </x:c>
      <x:c r="AH223" s="5" t="str">
        <x:f>"온도|"&amp;M223</x:f>
        <x:v>온도|고온</x:v>
      </x:c>
      <x:c r="AI223" s="5" t="str">
        <x:f>"습도|"&amp;N223</x:f>
        <x:v>습도|건조</x:v>
      </x:c>
      <x:c r="AJ223" s="5" t="str">
        <x:f>"날씨|"&amp;O223</x:f>
        <x:v>날씨|맑음</x:v>
      </x:c>
      <x:c r="AK223" s="5" t="str">
        <x:f>"특수태그|"&amp;R223</x:f>
        <x:v>특수태그|화산</x:v>
      </x:c>
      <x:c r="AL223" s="5" t="str">
        <x:f>"원본서식지|"&amp;S223</x:f>
        <x:v>원본서식지|화산</x:v>
      </x:c>
      <x:c r="AM223" s="5" t="str">
        <x:f>"타입|"&amp;F223</x:f>
        <x:v>타입|불꽃</x:v>
      </x:c>
      <x:c r="AN223" s="5" t="str">
        <x:f>"타입|"&amp;G223</x:f>
        <x:v>타입|바위</x:v>
      </x:c>
    </x:row>
    <x:row r="224" ht="24" customHeight="1">
      <x:c r="A224" s="5" t="n">
        <x:v>220</x:v>
      </x:c>
      <x:c r="B224" s="5" t="inlineStr">
        <x:is>
          <x:t xml:space="preserve">꾸꾸리</x:t>
        </x:is>
      </x:c>
      <x:c r="C224" s="5" t="inlineStr">
        <x:is>
          <x:t xml:space="preserve">swinub</x:t>
        </x:is>
      </x:c>
      <x:c r="D224" s="5" t="inlineStr">
        <x:is>
          <x:t xml:space="preserve">Swinub</x:t>
        </x:is>
      </x:c>
      <x:c r="E224" s="5" t="n">
        <x:v>2</x:v>
      </x:c>
      <x:c r="F224" s="5" t="inlineStr">
        <x:is>
          <x:t xml:space="preserve">얼음</x:t>
        </x:is>
      </x:c>
      <x:c r="G224" s="5" t="inlineStr">
        <x:is>
          <x:t xml:space="preserve">땅</x:t>
        </x:is>
      </x:c>
      <x:c r="H224" s="6" t="n">
        <x:v>6.5</x:v>
      </x:c>
      <x:c r="I224" s="5" t="n">
        <x:v>33</x:v>
      </x:c>
      <x:c r="J224" s="5" t="inlineStr">
        <x:is>
          <x:t xml:space="preserve">기본</x:t>
        </x:is>
      </x:c>
      <x:c r="K224" s="7" t="inlineStr">
        <x:is>
          <x:t xml:space="preserve">육상</x:t>
        </x:is>
      </x:c>
      <x:c r="L224" s="7" t="inlineStr">
        <x:is>
          <x:t xml:space="preserve">암석</x:t>
        </x:is>
      </x:c>
      <x:c r="M224" s="7" t="inlineStr">
        <x:is>
          <x:t xml:space="preserve">한랭</x:t>
        </x:is>
      </x:c>
      <x:c r="N224" s="7" t="inlineStr">
        <x:is>
          <x:t xml:space="preserve">보통</x:t>
        </x:is>
      </x:c>
      <x:c r="O224" s="7" t="inlineStr">
        <x:is>
          <x:t xml:space="preserve">무관</x:t>
        </x:is>
      </x:c>
      <x:c r="P224" s="7" t="inlineStr">
        <x:is>
          <x:t xml:space="preserve">무관</x:t>
        </x:is>
      </x:c>
      <x:c r="Q224" s="7" t="inlineStr">
        <x:is>
          <x:t xml:space="preserve">흔함</x:t>
        </x:is>
      </x:c>
      <x:c r="R224" s="7" t="inlineStr">
        <x:is>
          <x:t xml:space="preserve">없음</x:t>
        </x:is>
      </x:c>
      <x:c r="S224" s="7" t="inlineStr">
        <x:is>
          <x:t xml:space="preserve"/>
        </x:is>
      </x:c>
      <x:c r="T224" s="7" t="inlineStr">
        <x:is>
          <x:t xml:space="preserve"/>
        </x:is>
      </x:c>
      <x:c r="U224" s="8" t="str">
        <x:f>INDEX('서식지_점수'!$E$4:$P$4,1,MATCH(MAX('서식지_점수'!E224:P224),'서식지_점수'!E224:P224,0))</x:f>
        <x:v>평원</x:v>
      </x:c>
      <x:c r="V224" s="8" t="str">
        <x:f>IF(T224&lt;&gt;"",T224,U224)</x:f>
        <x:v>평원</x:v>
      </x:c>
      <x:c r="W224" s="8" t="str">
        <x:f>IFERROR(INDEX('서식지_점수'!$E$4:$P$4,1,MATCH(MAXIFS('서식지_점수'!E224:P224,'서식지_점수'!E224:P224,"&lt;"&amp;MAX('서식지_점수'!E224:P224)),'서식지_점수'!E224:P224,0)),"")</x:f>
        <x:v>숲</x:v>
      </x:c>
      <x:c r="X224" s="8" t="str">
        <x:f>IF(T224&lt;&gt;"","수동확정",IF(MAX('서식지_점수'!E224:P224)-LARGE('서식지_점수'!E224:P224,2)&gt;=15,"높음",IF(MAX('서식지_점수'!E224:P224)-LARGE('서식지_점수'!E224:P224,2)&gt;=8,"보통","검토필요")))</x:f>
        <x:v>검토필요</x:v>
      </x:c>
      <x:c r="Y224" s="9" t="n">
        <x:f>IF(Q224="전설",8,IF(Q224="희귀",7,IF(J224="기본",1,IF(J224="중간",3,IF(J224="최종",IF(I224="",5,IF(I224&lt;=20,3,IF(I224&lt;=35,4,IF(I224&lt;=50,6,7)))),IF(Q224="드묾",4,2))))))</x:f>
        <x:v>1</x:v>
      </x:c>
      <x:c r="Z224" s="5" t="inlineStr">
        <x:is>
          <x:t xml:space="preserve">#cobblemon:is_tundra</x:t>
        </x:is>
      </x:c>
      <x:c r="AA224" s="5" t="inlineStr">
        <x:is>
          <x:t xml:space="preserve">common</x:t>
        </x:is>
      </x:c>
      <x:c r="AB224" s="5" t="inlineStr">
        <x:is>
          <x:t xml:space="preserve">예</x:t>
        </x:is>
      </x:c>
      <x:c r="AC224" s="8" t="str">
        <x:f>IF(T224&lt;&gt;"","수동확정",IF(X224="검토필요","검토필요",IF(S224="","원본없음","초기완료")))</x:f>
        <x:v>검토필요</x:v>
      </x:c>
      <x:c r="AD224" s="7" t="inlineStr">
        <x:is>
          <x:t xml:space="preserve"/>
        </x:is>
      </x:c>
      <x:c r="AE224" s="5" t="inlineStr">
        <x:is>
          <x:t xml:space="preserve">.tmp/cobblemon-1.7.3-source/common/src/main/resources/data/cobblemon/species/generation2/swinub.json</x:t>
        </x:is>
      </x:c>
      <x:c r="AF224" s="5" t="str">
        <x:f>"생활권|"&amp;K224</x:f>
        <x:v>생활권|육상</x:v>
      </x:c>
      <x:c r="AG224" s="5" t="str">
        <x:f>"지형|"&amp;L224</x:f>
        <x:v>지형|암석</x:v>
      </x:c>
      <x:c r="AH224" s="5" t="str">
        <x:f>"온도|"&amp;M224</x:f>
        <x:v>온도|한랭</x:v>
      </x:c>
      <x:c r="AI224" s="5" t="str">
        <x:f>"습도|"&amp;N224</x:f>
        <x:v>습도|보통</x:v>
      </x:c>
      <x:c r="AJ224" s="5" t="str">
        <x:f>"날씨|"&amp;O224</x:f>
        <x:v>날씨|무관</x:v>
      </x:c>
      <x:c r="AK224" s="5" t="str">
        <x:f>"특수태그|"&amp;R224</x:f>
        <x:v>특수태그|없음</x:v>
      </x:c>
      <x:c r="AL224" s="5" t="str">
        <x:f>"원본서식지|"&amp;S224</x:f>
        <x:v>원본서식지|</x:v>
      </x:c>
      <x:c r="AM224" s="5" t="str">
        <x:f>"타입|"&amp;F224</x:f>
        <x:v>타입|얼음</x:v>
      </x:c>
      <x:c r="AN224" s="5" t="str">
        <x:f>"타입|"&amp;G224</x:f>
        <x:v>타입|땅</x:v>
      </x:c>
    </x:row>
    <x:row r="225" ht="24" customHeight="1">
      <x:c r="A225" s="5" t="n">
        <x:v>221</x:v>
      </x:c>
      <x:c r="B225" s="5" t="inlineStr">
        <x:is>
          <x:t xml:space="preserve">메꾸리</x:t>
        </x:is>
      </x:c>
      <x:c r="C225" s="5" t="inlineStr">
        <x:is>
          <x:t xml:space="preserve">piloswine</x:t>
        </x:is>
      </x:c>
      <x:c r="D225" s="5" t="inlineStr">
        <x:is>
          <x:t xml:space="preserve">Piloswine</x:t>
        </x:is>
      </x:c>
      <x:c r="E225" s="5" t="n">
        <x:v>2</x:v>
      </x:c>
      <x:c r="F225" s="5" t="inlineStr">
        <x:is>
          <x:t xml:space="preserve">얼음</x:t>
        </x:is>
      </x:c>
      <x:c r="G225" s="5" t="inlineStr">
        <x:is>
          <x:t xml:space="preserve">땅</x:t>
        </x:is>
      </x:c>
      <x:c r="H225" s="6" t="n">
        <x:v>55.8</x:v>
      </x:c>
      <x:c r="I225" s="5" t="n">
        <x:v>33</x:v>
      </x:c>
      <x:c r="J225" s="5" t="inlineStr">
        <x:is>
          <x:t xml:space="preserve">중간</x:t>
        </x:is>
      </x:c>
      <x:c r="K225" s="7" t="inlineStr">
        <x:is>
          <x:t xml:space="preserve">육상</x:t>
        </x:is>
      </x:c>
      <x:c r="L225" s="7" t="inlineStr">
        <x:is>
          <x:t xml:space="preserve">암석</x:t>
        </x:is>
      </x:c>
      <x:c r="M225" s="7" t="inlineStr">
        <x:is>
          <x:t xml:space="preserve">한랭</x:t>
        </x:is>
      </x:c>
      <x:c r="N225" s="7" t="inlineStr">
        <x:is>
          <x:t xml:space="preserve">보통</x:t>
        </x:is>
      </x:c>
      <x:c r="O225" s="7" t="inlineStr">
        <x:is>
          <x:t xml:space="preserve">무관</x:t>
        </x:is>
      </x:c>
      <x:c r="P225" s="7" t="inlineStr">
        <x:is>
          <x:t xml:space="preserve">무관</x:t>
        </x:is>
      </x:c>
      <x:c r="Q225" s="7" t="inlineStr">
        <x:is>
          <x:t xml:space="preserve">흔함</x:t>
        </x:is>
      </x:c>
      <x:c r="R225" s="7" t="inlineStr">
        <x:is>
          <x:t xml:space="preserve">없음</x:t>
        </x:is>
      </x:c>
      <x:c r="S225" s="7" t="inlineStr">
        <x:is>
          <x:t xml:space="preserve"/>
        </x:is>
      </x:c>
      <x:c r="T225" s="7" t="inlineStr">
        <x:is>
          <x:t xml:space="preserve"/>
        </x:is>
      </x:c>
      <x:c r="U225" s="8" t="str">
        <x:f>INDEX('서식지_점수'!$E$4:$P$4,1,MATCH(MAX('서식지_점수'!E225:P225),'서식지_점수'!E225:P225,0))</x:f>
        <x:v>평원</x:v>
      </x:c>
      <x:c r="V225" s="8" t="str">
        <x:f>IF(T225&lt;&gt;"",T225,U225)</x:f>
        <x:v>평원</x:v>
      </x:c>
      <x:c r="W225" s="8" t="str">
        <x:f>IFERROR(INDEX('서식지_점수'!$E$4:$P$4,1,MATCH(MAXIFS('서식지_점수'!E225:P225,'서식지_점수'!E225:P225,"&lt;"&amp;MAX('서식지_점수'!E225:P225)),'서식지_점수'!E225:P225,0)),"")</x:f>
        <x:v>숲</x:v>
      </x:c>
      <x:c r="X225" s="8" t="str">
        <x:f>IF(T225&lt;&gt;"","수동확정",IF(MAX('서식지_점수'!E225:P225)-LARGE('서식지_점수'!E225:P225,2)&gt;=15,"높음",IF(MAX('서식지_점수'!E225:P225)-LARGE('서식지_점수'!E225:P225,2)&gt;=8,"보통","검토필요")))</x:f>
        <x:v>검토필요</x:v>
      </x:c>
      <x:c r="Y225" s="9" t="n">
        <x:f>IF(Q225="전설",8,IF(Q225="희귀",7,IF(J225="기본",1,IF(J225="중간",3,IF(J225="최종",IF(I225="",5,IF(I225&lt;=20,3,IF(I225&lt;=35,4,IF(I225&lt;=50,6,7)))),IF(Q225="드묾",4,2))))))</x:f>
        <x:v>3</x:v>
      </x:c>
      <x:c r="Z225" s="5" t="inlineStr">
        <x:is>
          <x:t xml:space="preserve">#cobblemon:is_tundra</x:t>
        </x:is>
      </x:c>
      <x:c r="AA225" s="5" t="inlineStr">
        <x:is>
          <x:t xml:space="preserve">common</x:t>
        </x:is>
      </x:c>
      <x:c r="AB225" s="5" t="inlineStr">
        <x:is>
          <x:t xml:space="preserve">예</x:t>
        </x:is>
      </x:c>
      <x:c r="AC225" s="8" t="str">
        <x:f>IF(T225&lt;&gt;"","수동확정",IF(X225="검토필요","검토필요",IF(S225="","원본없음","초기완료")))</x:f>
        <x:v>검토필요</x:v>
      </x:c>
      <x:c r="AD225" s="7" t="inlineStr">
        <x:is>
          <x:t xml:space="preserve"/>
        </x:is>
      </x:c>
      <x:c r="AE225" s="5" t="inlineStr">
        <x:is>
          <x:t xml:space="preserve">.tmp/cobblemon-1.7.3-source/common/src/main/resources/data/cobblemon/species/generation2/piloswine.json</x:t>
        </x:is>
      </x:c>
      <x:c r="AF225" s="5" t="str">
        <x:f>"생활권|"&amp;K225</x:f>
        <x:v>생활권|육상</x:v>
      </x:c>
      <x:c r="AG225" s="5" t="str">
        <x:f>"지형|"&amp;L225</x:f>
        <x:v>지형|암석</x:v>
      </x:c>
      <x:c r="AH225" s="5" t="str">
        <x:f>"온도|"&amp;M225</x:f>
        <x:v>온도|한랭</x:v>
      </x:c>
      <x:c r="AI225" s="5" t="str">
        <x:f>"습도|"&amp;N225</x:f>
        <x:v>습도|보통</x:v>
      </x:c>
      <x:c r="AJ225" s="5" t="str">
        <x:f>"날씨|"&amp;O225</x:f>
        <x:v>날씨|무관</x:v>
      </x:c>
      <x:c r="AK225" s="5" t="str">
        <x:f>"특수태그|"&amp;R225</x:f>
        <x:v>특수태그|없음</x:v>
      </x:c>
      <x:c r="AL225" s="5" t="str">
        <x:f>"원본서식지|"&amp;S225</x:f>
        <x:v>원본서식지|</x:v>
      </x:c>
      <x:c r="AM225" s="5" t="str">
        <x:f>"타입|"&amp;F225</x:f>
        <x:v>타입|얼음</x:v>
      </x:c>
      <x:c r="AN225" s="5" t="str">
        <x:f>"타입|"&amp;G225</x:f>
        <x:v>타입|땅</x:v>
      </x:c>
    </x:row>
    <x:row r="226" ht="24" customHeight="1">
      <x:c r="A226" s="5" t="n">
        <x:v>222</x:v>
      </x:c>
      <x:c r="B226" s="5" t="inlineStr">
        <x:is>
          <x:t xml:space="preserve">코산호</x:t>
        </x:is>
      </x:c>
      <x:c r="C226" s="5" t="inlineStr">
        <x:is>
          <x:t xml:space="preserve">corsola</x:t>
        </x:is>
      </x:c>
      <x:c r="D226" s="5" t="inlineStr">
        <x:is>
          <x:t xml:space="preserve">Corsola</x:t>
        </x:is>
      </x:c>
      <x:c r="E226" s="5" t="n">
        <x:v>2</x:v>
      </x:c>
      <x:c r="F226" s="5" t="inlineStr">
        <x:is>
          <x:t xml:space="preserve">물</x:t>
        </x:is>
      </x:c>
      <x:c r="G226" s="5" t="inlineStr">
        <x:is>
          <x:t xml:space="preserve">바위</x:t>
        </x:is>
      </x:c>
      <x:c r="H226" s="6" t="n">
        <x:v>5</x:v>
      </x:c>
      <x:c r="I226" s="5" t="n"/>
      <x:c r="J226" s="5" t="inlineStr">
        <x:is>
          <x:t xml:space="preserve">무진화</x:t>
        </x:is>
      </x:c>
      <x:c r="K226" s="7" t="inlineStr">
        <x:is>
          <x:t xml:space="preserve">해양</x:t>
        </x:is>
      </x:c>
      <x:c r="L226" s="7" t="inlineStr">
        <x:is>
          <x:t xml:space="preserve">해안·해양</x:t>
        </x:is>
      </x:c>
      <x:c r="M226" s="7" t="inlineStr">
        <x:is>
          <x:t xml:space="preserve">온대</x:t>
        </x:is>
      </x:c>
      <x:c r="N226" s="7" t="inlineStr">
        <x:is>
          <x:t xml:space="preserve">수중</x:t>
        </x:is>
      </x:c>
      <x:c r="O226" s="7" t="inlineStr">
        <x:is>
          <x:t xml:space="preserve">비</x:t>
        </x:is>
      </x:c>
      <x:c r="P226" s="7" t="inlineStr">
        <x:is>
          <x:t xml:space="preserve">무관</x:t>
        </x:is>
      </x:c>
      <x:c r="Q226" s="7" t="inlineStr">
        <x:is>
          <x:t xml:space="preserve">보통</x:t>
        </x:is>
      </x:c>
      <x:c r="R226" s="7" t="inlineStr">
        <x:is>
          <x:t xml:space="preserve">없음</x:t>
        </x:is>
      </x:c>
      <x:c r="S226" s="7" t="inlineStr">
        <x:is>
          <x:t xml:space="preserve">해양</x:t>
        </x:is>
      </x:c>
      <x:c r="T226" s="7" t="inlineStr">
        <x:is>
          <x:t xml:space="preserve"/>
        </x:is>
      </x:c>
      <x:c r="U226" s="8" t="str">
        <x:f>INDEX('서식지_점수'!$E$4:$P$4,1,MATCH(MAX('서식지_점수'!E226:P226),'서식지_점수'!E226:P226,0))</x:f>
        <x:v>해양</x:v>
      </x:c>
      <x:c r="V226" s="8" t="str">
        <x:f>IF(T226&lt;&gt;"",T226,U226)</x:f>
        <x:v>해양</x:v>
      </x:c>
      <x:c r="W226" s="8" t="str">
        <x:f>IFERROR(INDEX('서식지_점수'!$E$4:$P$4,1,MATCH(MAXIFS('서식지_점수'!E226:P226,'서식지_점수'!E226:P226,"&lt;"&amp;MAX('서식지_점수'!E226:P226)),'서식지_점수'!E226:P226,0)),"")</x:f>
        <x:v>습지</x:v>
      </x:c>
      <x:c r="X226" s="8" t="str">
        <x:f>IF(T226&lt;&gt;"","수동확정",IF(MAX('서식지_점수'!E226:P226)-LARGE('서식지_점수'!E226:P226,2)&gt;=15,"높음",IF(MAX('서식지_점수'!E226:P226)-LARGE('서식지_점수'!E226:P226,2)&gt;=8,"보통","검토필요")))</x:f>
        <x:v>높음</x:v>
      </x:c>
      <x:c r="Y226" s="9" t="n">
        <x:f>IF(Q226="전설",8,IF(Q226="희귀",7,IF(J226="기본",1,IF(J226="중간",3,IF(J226="최종",IF(I226="",5,IF(I226&lt;=20,3,IF(I226&lt;=35,4,IF(I226&lt;=50,6,7)))),IF(Q226="드묾",4,2))))))</x:f>
        <x:v>2</x:v>
      </x:c>
      <x:c r="Z226" s="5" t="inlineStr">
        <x:is>
          <x:t xml:space="preserve">#cobblemon:is_beach; #cobblemon:is_overworld; #cobblemon:is_warm_ocean; #cobblemon:nether/is_quartz; byg:warped_desert; is_warm_ocean</x:t>
        </x:is>
      </x:c>
      <x:c r="AA226" s="5" t="inlineStr">
        <x:is>
          <x:t xml:space="preserve">common; uncommon</x:t>
        </x:is>
      </x:c>
      <x:c r="AB226" s="5" t="inlineStr">
        <x:is>
          <x:t xml:space="preserve">예</x:t>
        </x:is>
      </x:c>
      <x:c r="AC226" s="8" t="str">
        <x:f>IF(T226&lt;&gt;"","수동확정",IF(X226="검토필요","검토필요",IF(S226="","원본없음","초기완료")))</x:f>
        <x:v>초기완료</x:v>
      </x:c>
      <x:c r="AD226" s="7" t="inlineStr">
        <x:is>
          <x:t xml:space="preserve"/>
        </x:is>
      </x:c>
      <x:c r="AE226" s="5" t="inlineStr">
        <x:is>
          <x:t xml:space="preserve">.tmp/cobblemon-1.7.3-source/common/src/main/resources/data/cobblemon/species/generation2/corsola.json</x:t>
        </x:is>
      </x:c>
      <x:c r="AF226" s="5" t="str">
        <x:f>"생활권|"&amp;K226</x:f>
        <x:v>생활권|해양</x:v>
      </x:c>
      <x:c r="AG226" s="5" t="str">
        <x:f>"지형|"&amp;L226</x:f>
        <x:v>지형|해안·해양</x:v>
      </x:c>
      <x:c r="AH226" s="5" t="str">
        <x:f>"온도|"&amp;M226</x:f>
        <x:v>온도|온대</x:v>
      </x:c>
      <x:c r="AI226" s="5" t="str">
        <x:f>"습도|"&amp;N226</x:f>
        <x:v>습도|수중</x:v>
      </x:c>
      <x:c r="AJ226" s="5" t="str">
        <x:f>"날씨|"&amp;O226</x:f>
        <x:v>날씨|비</x:v>
      </x:c>
      <x:c r="AK226" s="5" t="str">
        <x:f>"특수태그|"&amp;R226</x:f>
        <x:v>특수태그|없음</x:v>
      </x:c>
      <x:c r="AL226" s="5" t="str">
        <x:f>"원본서식지|"&amp;S226</x:f>
        <x:v>원본서식지|해양</x:v>
      </x:c>
      <x:c r="AM226" s="5" t="str">
        <x:f>"타입|"&amp;F226</x:f>
        <x:v>타입|물</x:v>
      </x:c>
      <x:c r="AN226" s="5" t="str">
        <x:f>"타입|"&amp;G226</x:f>
        <x:v>타입|바위</x:v>
      </x:c>
    </x:row>
    <x:row r="227" ht="24" customHeight="1">
      <x:c r="A227" s="5" t="n">
        <x:v>223</x:v>
      </x:c>
      <x:c r="B227" s="5" t="inlineStr">
        <x:is>
          <x:t xml:space="preserve">총어</x:t>
        </x:is>
      </x:c>
      <x:c r="C227" s="5" t="inlineStr">
        <x:is>
          <x:t xml:space="preserve">remoraid</x:t>
        </x:is>
      </x:c>
      <x:c r="D227" s="5" t="inlineStr">
        <x:is>
          <x:t xml:space="preserve">Remoraid</x:t>
        </x:is>
      </x:c>
      <x:c r="E227" s="5" t="n">
        <x:v>2</x:v>
      </x:c>
      <x:c r="F227" s="5" t="inlineStr">
        <x:is>
          <x:t xml:space="preserve">물</x:t>
        </x:is>
      </x:c>
      <x:c r="G227" s="5" t="inlineStr">
        <x:is>
          <x:t xml:space="preserve"/>
        </x:is>
      </x:c>
      <x:c r="H227" s="6" t="n">
        <x:v>12</x:v>
      </x:c>
      <x:c r="I227" s="5" t="n">
        <x:v>25</x:v>
      </x:c>
      <x:c r="J227" s="5" t="inlineStr">
        <x:is>
          <x:t xml:space="preserve">기본</x:t>
        </x:is>
      </x:c>
      <x:c r="K227" s="7" t="inlineStr">
        <x:is>
          <x:t xml:space="preserve">해양</x:t>
        </x:is>
      </x:c>
      <x:c r="L227" s="7" t="inlineStr">
        <x:is>
          <x:t xml:space="preserve">해안·해양</x:t>
        </x:is>
      </x:c>
      <x:c r="M227" s="7" t="inlineStr">
        <x:is>
          <x:t xml:space="preserve">온대</x:t>
        </x:is>
      </x:c>
      <x:c r="N227" s="7" t="inlineStr">
        <x:is>
          <x:t xml:space="preserve">수중</x:t>
        </x:is>
      </x:c>
      <x:c r="O227" s="7" t="inlineStr">
        <x:is>
          <x:t xml:space="preserve">비</x:t>
        </x:is>
      </x:c>
      <x:c r="P227" s="7" t="inlineStr">
        <x:is>
          <x:t xml:space="preserve">무관</x:t>
        </x:is>
      </x:c>
      <x:c r="Q227" s="7" t="inlineStr">
        <x:is>
          <x:t xml:space="preserve">흔함</x:t>
        </x:is>
      </x:c>
      <x:c r="R227" s="7" t="inlineStr">
        <x:is>
          <x:t xml:space="preserve">없음</x:t>
        </x:is>
      </x:c>
      <x:c r="S227" s="7" t="inlineStr">
        <x:is>
          <x:t xml:space="preserve">해양</x:t>
        </x:is>
      </x:c>
      <x:c r="T227" s="7" t="inlineStr">
        <x:is>
          <x:t xml:space="preserve"/>
        </x:is>
      </x:c>
      <x:c r="U227" s="8" t="str">
        <x:f>INDEX('서식지_점수'!$E$4:$P$4,1,MATCH(MAX('서식지_점수'!E227:P227),'서식지_점수'!E227:P227,0))</x:f>
        <x:v>해양</x:v>
      </x:c>
      <x:c r="V227" s="8" t="str">
        <x:f>IF(T227&lt;&gt;"",T227,U227)</x:f>
        <x:v>해양</x:v>
      </x:c>
      <x:c r="W227" s="8" t="str">
        <x:f>IFERROR(INDEX('서식지_점수'!$E$4:$P$4,1,MATCH(MAXIFS('서식지_점수'!E227:P227,'서식지_점수'!E227:P227,"&lt;"&amp;MAX('서식지_점수'!E227:P227)),'서식지_점수'!E227:P227,0)),"")</x:f>
        <x:v>습지</x:v>
      </x:c>
      <x:c r="X227" s="8" t="str">
        <x:f>IF(T227&lt;&gt;"","수동확정",IF(MAX('서식지_점수'!E227:P227)-LARGE('서식지_점수'!E227:P227,2)&gt;=15,"높음",IF(MAX('서식지_점수'!E227:P227)-LARGE('서식지_점수'!E227:P227,2)&gt;=8,"보통","검토필요")))</x:f>
        <x:v>높음</x:v>
      </x:c>
      <x:c r="Y227" s="9" t="n">
        <x:f>IF(Q227="전설",8,IF(Q227="희귀",7,IF(J227="기본",1,IF(J227="중간",3,IF(J227="최종",IF(I227="",5,IF(I227&lt;=20,3,IF(I227&lt;=35,4,IF(I227&lt;=50,6,7)))),IF(Q227="드묾",4,2))))))</x:f>
        <x:v>1</x:v>
      </x:c>
      <x:c r="Z227" s="5" t="inlineStr">
        <x:is>
          <x:t xml:space="preserve">#cobblemon:is_ocean; #cobblemon:is_overworld</x:t>
        </x:is>
      </x:c>
      <x:c r="AA227" s="5" t="inlineStr">
        <x:is>
          <x:t xml:space="preserve">common</x:t>
        </x:is>
      </x:c>
      <x:c r="AB227" s="5" t="inlineStr">
        <x:is>
          <x:t xml:space="preserve">예</x:t>
        </x:is>
      </x:c>
      <x:c r="AC227" s="8" t="str">
        <x:f>IF(T227&lt;&gt;"","수동확정",IF(X227="검토필요","검토필요",IF(S227="","원본없음","초기완료")))</x:f>
        <x:v>초기완료</x:v>
      </x:c>
      <x:c r="AD227" s="7" t="inlineStr">
        <x:is>
          <x:t xml:space="preserve"/>
        </x:is>
      </x:c>
      <x:c r="AE227" s="5" t="inlineStr">
        <x:is>
          <x:t xml:space="preserve">.tmp/cobblemon-1.7.3-source/common/src/main/resources/data/cobblemon/species/generation2/remoraid.json</x:t>
        </x:is>
      </x:c>
      <x:c r="AF227" s="5" t="str">
        <x:f>"생활권|"&amp;K227</x:f>
        <x:v>생활권|해양</x:v>
      </x:c>
      <x:c r="AG227" s="5" t="str">
        <x:f>"지형|"&amp;L227</x:f>
        <x:v>지형|해안·해양</x:v>
      </x:c>
      <x:c r="AH227" s="5" t="str">
        <x:f>"온도|"&amp;M227</x:f>
        <x:v>온도|온대</x:v>
      </x:c>
      <x:c r="AI227" s="5" t="str">
        <x:f>"습도|"&amp;N227</x:f>
        <x:v>습도|수중</x:v>
      </x:c>
      <x:c r="AJ227" s="5" t="str">
        <x:f>"날씨|"&amp;O227</x:f>
        <x:v>날씨|비</x:v>
      </x:c>
      <x:c r="AK227" s="5" t="str">
        <x:f>"특수태그|"&amp;R227</x:f>
        <x:v>특수태그|없음</x:v>
      </x:c>
      <x:c r="AL227" s="5" t="str">
        <x:f>"원본서식지|"&amp;S227</x:f>
        <x:v>원본서식지|해양</x:v>
      </x:c>
      <x:c r="AM227" s="5" t="str">
        <x:f>"타입|"&amp;F227</x:f>
        <x:v>타입|물</x:v>
      </x:c>
      <x:c r="AN227" s="5" t="str">
        <x:f>"타입|"&amp;G227</x:f>
        <x:v>타입|</x:v>
      </x:c>
    </x:row>
    <x:row r="228" ht="24" customHeight="1">
      <x:c r="A228" s="5" t="n">
        <x:v>224</x:v>
      </x:c>
      <x:c r="B228" s="5" t="inlineStr">
        <x:is>
          <x:t xml:space="preserve">대포무노</x:t>
        </x:is>
      </x:c>
      <x:c r="C228" s="5" t="inlineStr">
        <x:is>
          <x:t xml:space="preserve">octillery</x:t>
        </x:is>
      </x:c>
      <x:c r="D228" s="5" t="inlineStr">
        <x:is>
          <x:t xml:space="preserve">Octillery</x:t>
        </x:is>
      </x:c>
      <x:c r="E228" s="5" t="n">
        <x:v>2</x:v>
      </x:c>
      <x:c r="F228" s="5" t="inlineStr">
        <x:is>
          <x:t xml:space="preserve">물</x:t>
        </x:is>
      </x:c>
      <x:c r="G228" s="5" t="inlineStr">
        <x:is>
          <x:t xml:space="preserve"/>
        </x:is>
      </x:c>
      <x:c r="H228" s="6" t="n">
        <x:v>28.5</x:v>
      </x:c>
      <x:c r="I228" s="5" t="n">
        <x:v>25</x:v>
      </x:c>
      <x:c r="J228" s="5" t="inlineStr">
        <x:is>
          <x:t xml:space="preserve">최종</x:t>
        </x:is>
      </x:c>
      <x:c r="K228" s="7" t="inlineStr">
        <x:is>
          <x:t xml:space="preserve">해양</x:t>
        </x:is>
      </x:c>
      <x:c r="L228" s="7" t="inlineStr">
        <x:is>
          <x:t xml:space="preserve">해안·해양</x:t>
        </x:is>
      </x:c>
      <x:c r="M228" s="7" t="inlineStr">
        <x:is>
          <x:t xml:space="preserve">온대</x:t>
        </x:is>
      </x:c>
      <x:c r="N228" s="7" t="inlineStr">
        <x:is>
          <x:t xml:space="preserve">수중</x:t>
        </x:is>
      </x:c>
      <x:c r="O228" s="7" t="inlineStr">
        <x:is>
          <x:t xml:space="preserve">비</x:t>
        </x:is>
      </x:c>
      <x:c r="P228" s="7" t="inlineStr">
        <x:is>
          <x:t xml:space="preserve">무관</x:t>
        </x:is>
      </x:c>
      <x:c r="Q228" s="7" t="inlineStr">
        <x:is>
          <x:t xml:space="preserve">흔함</x:t>
        </x:is>
      </x:c>
      <x:c r="R228" s="7" t="inlineStr">
        <x:is>
          <x:t xml:space="preserve">없음</x:t>
        </x:is>
      </x:c>
      <x:c r="S228" s="7" t="inlineStr">
        <x:is>
          <x:t xml:space="preserve">해양</x:t>
        </x:is>
      </x:c>
      <x:c r="T228" s="7" t="inlineStr">
        <x:is>
          <x:t xml:space="preserve"/>
        </x:is>
      </x:c>
      <x:c r="U228" s="8" t="str">
        <x:f>INDEX('서식지_점수'!$E$4:$P$4,1,MATCH(MAX('서식지_점수'!E228:P228),'서식지_점수'!E228:P228,0))</x:f>
        <x:v>해양</x:v>
      </x:c>
      <x:c r="V228" s="8" t="str">
        <x:f>IF(T228&lt;&gt;"",T228,U228)</x:f>
        <x:v>해양</x:v>
      </x:c>
      <x:c r="W228" s="8" t="str">
        <x:f>IFERROR(INDEX('서식지_점수'!$E$4:$P$4,1,MATCH(MAXIFS('서식지_점수'!E228:P228,'서식지_점수'!E228:P228,"&lt;"&amp;MAX('서식지_점수'!E228:P228)),'서식지_점수'!E228:P228,0)),"")</x:f>
        <x:v>습지</x:v>
      </x:c>
      <x:c r="X228" s="8" t="str">
        <x:f>IF(T228&lt;&gt;"","수동확정",IF(MAX('서식지_점수'!E228:P228)-LARGE('서식지_점수'!E228:P228,2)&gt;=15,"높음",IF(MAX('서식지_점수'!E228:P228)-LARGE('서식지_점수'!E228:P228,2)&gt;=8,"보통","검토필요")))</x:f>
        <x:v>높음</x:v>
      </x:c>
      <x:c r="Y228" s="9" t="n">
        <x:f>IF(Q228="전설",8,IF(Q228="희귀",7,IF(J228="기본",1,IF(J228="중간",3,IF(J228="최종",IF(I228="",5,IF(I228&lt;=20,3,IF(I228&lt;=35,4,IF(I228&lt;=50,6,7)))),IF(Q228="드묾",4,2))))))</x:f>
        <x:v>4</x:v>
      </x:c>
      <x:c r="Z228" s="5" t="inlineStr">
        <x:is>
          <x:t xml:space="preserve">#cobblemon:is_ocean; #cobblemon:is_overworld</x:t>
        </x:is>
      </x:c>
      <x:c r="AA228" s="5" t="inlineStr">
        <x:is>
          <x:t xml:space="preserve">common</x:t>
        </x:is>
      </x:c>
      <x:c r="AB228" s="5" t="inlineStr">
        <x:is>
          <x:t xml:space="preserve">예</x:t>
        </x:is>
      </x:c>
      <x:c r="AC228" s="8" t="str">
        <x:f>IF(T228&lt;&gt;"","수동확정",IF(X228="검토필요","검토필요",IF(S228="","원본없음","초기완료")))</x:f>
        <x:v>초기완료</x:v>
      </x:c>
      <x:c r="AD228" s="7" t="inlineStr">
        <x:is>
          <x:t xml:space="preserve"/>
        </x:is>
      </x:c>
      <x:c r="AE228" s="5" t="inlineStr">
        <x:is>
          <x:t xml:space="preserve">.tmp/cobblemon-1.7.3-source/common/src/main/resources/data/cobblemon/species/generation2/octillery.json</x:t>
        </x:is>
      </x:c>
      <x:c r="AF228" s="5" t="str">
        <x:f>"생활권|"&amp;K228</x:f>
        <x:v>생활권|해양</x:v>
      </x:c>
      <x:c r="AG228" s="5" t="str">
        <x:f>"지형|"&amp;L228</x:f>
        <x:v>지형|해안·해양</x:v>
      </x:c>
      <x:c r="AH228" s="5" t="str">
        <x:f>"온도|"&amp;M228</x:f>
        <x:v>온도|온대</x:v>
      </x:c>
      <x:c r="AI228" s="5" t="str">
        <x:f>"습도|"&amp;N228</x:f>
        <x:v>습도|수중</x:v>
      </x:c>
      <x:c r="AJ228" s="5" t="str">
        <x:f>"날씨|"&amp;O228</x:f>
        <x:v>날씨|비</x:v>
      </x:c>
      <x:c r="AK228" s="5" t="str">
        <x:f>"특수태그|"&amp;R228</x:f>
        <x:v>특수태그|없음</x:v>
      </x:c>
      <x:c r="AL228" s="5" t="str">
        <x:f>"원본서식지|"&amp;S228</x:f>
        <x:v>원본서식지|해양</x:v>
      </x:c>
      <x:c r="AM228" s="5" t="str">
        <x:f>"타입|"&amp;F228</x:f>
        <x:v>타입|물</x:v>
      </x:c>
      <x:c r="AN228" s="5" t="str">
        <x:f>"타입|"&amp;G228</x:f>
        <x:v>타입|</x:v>
      </x:c>
    </x:row>
    <x:row r="229" ht="24" customHeight="1">
      <x:c r="A229" s="5" t="n">
        <x:v>225</x:v>
      </x:c>
      <x:c r="B229" s="5" t="inlineStr">
        <x:is>
          <x:t xml:space="preserve">딜리버드</x:t>
        </x:is>
      </x:c>
      <x:c r="C229" s="5" t="inlineStr">
        <x:is>
          <x:t xml:space="preserve">delibird</x:t>
        </x:is>
      </x:c>
      <x:c r="D229" s="5" t="inlineStr">
        <x:is>
          <x:t xml:space="preserve">Delibird</x:t>
        </x:is>
      </x:c>
      <x:c r="E229" s="5" t="n">
        <x:v>2</x:v>
      </x:c>
      <x:c r="F229" s="5" t="inlineStr">
        <x:is>
          <x:t xml:space="preserve">얼음</x:t>
        </x:is>
      </x:c>
      <x:c r="G229" s="5" t="inlineStr">
        <x:is>
          <x:t xml:space="preserve">비행</x:t>
        </x:is>
      </x:c>
      <x:c r="H229" s="6" t="n">
        <x:v>16</x:v>
      </x:c>
      <x:c r="I229" s="5" t="n"/>
      <x:c r="J229" s="5" t="inlineStr">
        <x:is>
          <x:t xml:space="preserve">무진화</x:t>
        </x:is>
      </x:c>
      <x:c r="K229" s="7" t="inlineStr">
        <x:is>
          <x:t xml:space="preserve">비행</x:t>
        </x:is>
      </x:c>
      <x:c r="L229" s="7" t="inlineStr">
        <x:is>
          <x:t xml:space="preserve">암석</x:t>
        </x:is>
      </x:c>
      <x:c r="M229" s="7" t="inlineStr">
        <x:is>
          <x:t xml:space="preserve">한랭</x:t>
        </x:is>
      </x:c>
      <x:c r="N229" s="7" t="inlineStr">
        <x:is>
          <x:t xml:space="preserve">보통</x:t>
        </x:is>
      </x:c>
      <x:c r="O229" s="7" t="inlineStr">
        <x:is>
          <x:t xml:space="preserve">무관</x:t>
        </x:is>
      </x:c>
      <x:c r="P229" s="7" t="inlineStr">
        <x:is>
          <x:t xml:space="preserve">무관</x:t>
        </x:is>
      </x:c>
      <x:c r="Q229" s="7" t="inlineStr">
        <x:is>
          <x:t xml:space="preserve">보통</x:t>
        </x:is>
      </x:c>
      <x:c r="R229" s="7" t="inlineStr">
        <x:is>
          <x:t xml:space="preserve">없음</x:t>
        </x:is>
      </x:c>
      <x:c r="S229" s="7" t="inlineStr">
        <x:is>
          <x:t xml:space="preserve">산악</x:t>
        </x:is>
      </x:c>
      <x:c r="T229" s="7" t="inlineStr">
        <x:is>
          <x:t xml:space="preserve"/>
        </x:is>
      </x:c>
      <x:c r="U229" s="8" t="str">
        <x:f>INDEX('서식지_점수'!$E$4:$P$4,1,MATCH(MAX('서식지_점수'!E229:P229),'서식지_점수'!E229:P229,0))</x:f>
        <x:v>산악</x:v>
      </x:c>
      <x:c r="V229" s="8" t="str">
        <x:f>IF(T229&lt;&gt;"",T229,U229)</x:f>
        <x:v>산악</x:v>
      </x:c>
      <x:c r="W229" s="8" t="str">
        <x:f>IFERROR(INDEX('서식지_점수'!$E$4:$P$4,1,MATCH(MAXIFS('서식지_점수'!E229:P229,'서식지_점수'!E229:P229,"&lt;"&amp;MAX('서식지_점수'!E229:P229)),'서식지_점수'!E229:P229,0)),"")</x:f>
        <x:v>평원</x:v>
      </x:c>
      <x:c r="X229" s="8" t="str">
        <x:f>IF(T229&lt;&gt;"","수동확정",IF(MAX('서식지_점수'!E229:P229)-LARGE('서식지_점수'!E229:P229,2)&gt;=15,"높음",IF(MAX('서식지_점수'!E229:P229)-LARGE('서식지_점수'!E229:P229,2)&gt;=8,"보통","검토필요")))</x:f>
        <x:v>검토필요</x:v>
      </x:c>
      <x:c r="Y229" s="9" t="n">
        <x:f>IF(Q229="전설",8,IF(Q229="희귀",7,IF(J229="기본",1,IF(J229="중간",3,IF(J229="최종",IF(I229="",5,IF(I229&lt;=20,3,IF(I229&lt;=35,4,IF(I229&lt;=50,6,7)))),IF(Q229="드묾",4,2))))))</x:f>
        <x:v>2</x:v>
      </x:c>
      <x:c r="Z229" s="5" t="inlineStr">
        <x:is>
          <x:t xml:space="preserve">#aether:is_aether; #cobblemon:is_peak</x:t>
        </x:is>
      </x:c>
      <x:c r="AA229" s="5" t="inlineStr">
        <x:is>
          <x:t xml:space="preserve">common; uncommon</x:t>
        </x:is>
      </x:c>
      <x:c r="AB229" s="5" t="inlineStr">
        <x:is>
          <x:t xml:space="preserve">예</x:t>
        </x:is>
      </x:c>
      <x:c r="AC229" s="8" t="str">
        <x:f>IF(T229&lt;&gt;"","수동확정",IF(X229="검토필요","검토필요",IF(S229="","원본없음","초기완료")))</x:f>
        <x:v>검토필요</x:v>
      </x:c>
      <x:c r="AD229" s="7" t="inlineStr">
        <x:is>
          <x:t xml:space="preserve"/>
        </x:is>
      </x:c>
      <x:c r="AE229" s="5" t="inlineStr">
        <x:is>
          <x:t xml:space="preserve">.tmp/cobblemon-1.7.3-source/common/src/main/resources/data/cobblemon/species/generation2/delibird.json</x:t>
        </x:is>
      </x:c>
      <x:c r="AF229" s="5" t="str">
        <x:f>"생활권|"&amp;K229</x:f>
        <x:v>생활권|비행</x:v>
      </x:c>
      <x:c r="AG229" s="5" t="str">
        <x:f>"지형|"&amp;L229</x:f>
        <x:v>지형|암석</x:v>
      </x:c>
      <x:c r="AH229" s="5" t="str">
        <x:f>"온도|"&amp;M229</x:f>
        <x:v>온도|한랭</x:v>
      </x:c>
      <x:c r="AI229" s="5" t="str">
        <x:f>"습도|"&amp;N229</x:f>
        <x:v>습도|보통</x:v>
      </x:c>
      <x:c r="AJ229" s="5" t="str">
        <x:f>"날씨|"&amp;O229</x:f>
        <x:v>날씨|무관</x:v>
      </x:c>
      <x:c r="AK229" s="5" t="str">
        <x:f>"특수태그|"&amp;R229</x:f>
        <x:v>특수태그|없음</x:v>
      </x:c>
      <x:c r="AL229" s="5" t="str">
        <x:f>"원본서식지|"&amp;S229</x:f>
        <x:v>원본서식지|산악</x:v>
      </x:c>
      <x:c r="AM229" s="5" t="str">
        <x:f>"타입|"&amp;F229</x:f>
        <x:v>타입|얼음</x:v>
      </x:c>
      <x:c r="AN229" s="5" t="str">
        <x:f>"타입|"&amp;G229</x:f>
        <x:v>타입|비행</x:v>
      </x:c>
    </x:row>
    <x:row r="230" ht="24" customHeight="1">
      <x:c r="A230" s="5" t="n">
        <x:v>226</x:v>
      </x:c>
      <x:c r="B230" s="5" t="inlineStr">
        <x:is>
          <x:t xml:space="preserve">만타인</x:t>
        </x:is>
      </x:c>
      <x:c r="C230" s="5" t="inlineStr">
        <x:is>
          <x:t xml:space="preserve">mantine</x:t>
        </x:is>
      </x:c>
      <x:c r="D230" s="5" t="inlineStr">
        <x:is>
          <x:t xml:space="preserve">Mantine</x:t>
        </x:is>
      </x:c>
      <x:c r="E230" s="5" t="n">
        <x:v>2</x:v>
      </x:c>
      <x:c r="F230" s="5" t="inlineStr">
        <x:is>
          <x:t xml:space="preserve">물</x:t>
        </x:is>
      </x:c>
      <x:c r="G230" s="5" t="inlineStr">
        <x:is>
          <x:t xml:space="preserve">비행</x:t>
        </x:is>
      </x:c>
      <x:c r="H230" s="6" t="n">
        <x:v>220</x:v>
      </x:c>
      <x:c r="I230" s="5" t="n"/>
      <x:c r="J230" s="5" t="inlineStr">
        <x:is>
          <x:t xml:space="preserve">최종</x:t>
        </x:is>
      </x:c>
      <x:c r="K230" s="7" t="inlineStr">
        <x:is>
          <x:t xml:space="preserve">해양</x:t>
        </x:is>
      </x:c>
      <x:c r="L230" s="7" t="inlineStr">
        <x:is>
          <x:t xml:space="preserve">해안·해양</x:t>
        </x:is>
      </x:c>
      <x:c r="M230" s="7" t="inlineStr">
        <x:is>
          <x:t xml:space="preserve">온대</x:t>
        </x:is>
      </x:c>
      <x:c r="N230" s="7" t="inlineStr">
        <x:is>
          <x:t xml:space="preserve">수중</x:t>
        </x:is>
      </x:c>
      <x:c r="O230" s="7" t="inlineStr">
        <x:is>
          <x:t xml:space="preserve">비</x:t>
        </x:is>
      </x:c>
      <x:c r="P230" s="7" t="inlineStr">
        <x:is>
          <x:t xml:space="preserve">무관</x:t>
        </x:is>
      </x:c>
      <x:c r="Q230" s="7" t="inlineStr">
        <x:is>
          <x:t xml:space="preserve">보통</x:t>
        </x:is>
      </x:c>
      <x:c r="R230" s="7" t="inlineStr">
        <x:is>
          <x:t xml:space="preserve">없음</x:t>
        </x:is>
      </x:c>
      <x:c r="S230" s="7" t="inlineStr">
        <x:is>
          <x:t xml:space="preserve">해양</x:t>
        </x:is>
      </x:c>
      <x:c r="T230" s="7" t="inlineStr">
        <x:is>
          <x:t xml:space="preserve"/>
        </x:is>
      </x:c>
      <x:c r="U230" s="8" t="str">
        <x:f>INDEX('서식지_점수'!$E$4:$P$4,1,MATCH(MAX('서식지_점수'!E230:P230),'서식지_점수'!E230:P230,0))</x:f>
        <x:v>해양</x:v>
      </x:c>
      <x:c r="V230" s="8" t="str">
        <x:f>IF(T230&lt;&gt;"",T230,U230)</x:f>
        <x:v>해양</x:v>
      </x:c>
      <x:c r="W230" s="8" t="str">
        <x:f>IFERROR(INDEX('서식지_점수'!$E$4:$P$4,1,MATCH(MAXIFS('서식지_점수'!E230:P230,'서식지_점수'!E230:P230,"&lt;"&amp;MAX('서식지_점수'!E230:P230)),'서식지_점수'!E230:P230,0)),"")</x:f>
        <x:v>습지</x:v>
      </x:c>
      <x:c r="X230" s="8" t="str">
        <x:f>IF(T230&lt;&gt;"","수동확정",IF(MAX('서식지_점수'!E230:P230)-LARGE('서식지_점수'!E230:P230,2)&gt;=15,"높음",IF(MAX('서식지_점수'!E230:P230)-LARGE('서식지_점수'!E230:P230,2)&gt;=8,"보통","검토필요")))</x:f>
        <x:v>높음</x:v>
      </x:c>
      <x:c r="Y230" s="9" t="n">
        <x:f>IF(Q230="전설",8,IF(Q230="희귀",7,IF(J230="기본",1,IF(J230="중간",3,IF(J230="최종",IF(I230="",5,IF(I230&lt;=20,3,IF(I230&lt;=35,4,IF(I230&lt;=50,6,7)))),IF(Q230="드묾",4,2))))))</x:f>
        <x:v>5</x:v>
      </x:c>
      <x:c r="Z230" s="5" t="inlineStr">
        <x:is>
          <x:t xml:space="preserve">#cobblemon:is_lukewarm_ocean; #cobblemon:is_ocean; #cobblemon:is_warm_ocean</x:t>
        </x:is>
      </x:c>
      <x:c r="AA230" s="5" t="inlineStr">
        <x:is>
          <x:t xml:space="preserve">common; uncommon</x:t>
        </x:is>
      </x:c>
      <x:c r="AB230" s="5" t="inlineStr">
        <x:is>
          <x:t xml:space="preserve">예</x:t>
        </x:is>
      </x:c>
      <x:c r="AC230" s="8" t="str">
        <x:f>IF(T230&lt;&gt;"","수동확정",IF(X230="검토필요","검토필요",IF(S230="","원본없음","초기완료")))</x:f>
        <x:v>초기완료</x:v>
      </x:c>
      <x:c r="AD230" s="7" t="inlineStr">
        <x:is>
          <x:t xml:space="preserve"/>
        </x:is>
      </x:c>
      <x:c r="AE230" s="5" t="inlineStr">
        <x:is>
          <x:t xml:space="preserve">.tmp/cobblemon-1.7.3-source/common/src/main/resources/data/cobblemon/species/generation2/mantine.json</x:t>
        </x:is>
      </x:c>
      <x:c r="AF230" s="5" t="str">
        <x:f>"생활권|"&amp;K230</x:f>
        <x:v>생활권|해양</x:v>
      </x:c>
      <x:c r="AG230" s="5" t="str">
        <x:f>"지형|"&amp;L230</x:f>
        <x:v>지형|해안·해양</x:v>
      </x:c>
      <x:c r="AH230" s="5" t="str">
        <x:f>"온도|"&amp;M230</x:f>
        <x:v>온도|온대</x:v>
      </x:c>
      <x:c r="AI230" s="5" t="str">
        <x:f>"습도|"&amp;N230</x:f>
        <x:v>습도|수중</x:v>
      </x:c>
      <x:c r="AJ230" s="5" t="str">
        <x:f>"날씨|"&amp;O230</x:f>
        <x:v>날씨|비</x:v>
      </x:c>
      <x:c r="AK230" s="5" t="str">
        <x:f>"특수태그|"&amp;R230</x:f>
        <x:v>특수태그|없음</x:v>
      </x:c>
      <x:c r="AL230" s="5" t="str">
        <x:f>"원본서식지|"&amp;S230</x:f>
        <x:v>원본서식지|해양</x:v>
      </x:c>
      <x:c r="AM230" s="5" t="str">
        <x:f>"타입|"&amp;F230</x:f>
        <x:v>타입|물</x:v>
      </x:c>
      <x:c r="AN230" s="5" t="str">
        <x:f>"타입|"&amp;G230</x:f>
        <x:v>타입|비행</x:v>
      </x:c>
    </x:row>
    <x:row r="231" ht="24" customHeight="1">
      <x:c r="A231" s="5" t="n">
        <x:v>227</x:v>
      </x:c>
      <x:c r="B231" s="5" t="inlineStr">
        <x:is>
          <x:t xml:space="preserve">무장조</x:t>
        </x:is>
      </x:c>
      <x:c r="C231" s="5" t="inlineStr">
        <x:is>
          <x:t xml:space="preserve">skarmory</x:t>
        </x:is>
      </x:c>
      <x:c r="D231" s="5" t="inlineStr">
        <x:is>
          <x:t xml:space="preserve">Skarmory</x:t>
        </x:is>
      </x:c>
      <x:c r="E231" s="5" t="n">
        <x:v>2</x:v>
      </x:c>
      <x:c r="F231" s="5" t="inlineStr">
        <x:is>
          <x:t xml:space="preserve">강철</x:t>
        </x:is>
      </x:c>
      <x:c r="G231" s="5" t="inlineStr">
        <x:is>
          <x:t xml:space="preserve">비행</x:t>
        </x:is>
      </x:c>
      <x:c r="H231" s="6" t="n">
        <x:v>50.5</x:v>
      </x:c>
      <x:c r="I231" s="5" t="n"/>
      <x:c r="J231" s="5" t="inlineStr">
        <x:is>
          <x:t xml:space="preserve">무진화</x:t>
        </x:is>
      </x:c>
      <x:c r="K231" s="7" t="inlineStr">
        <x:is>
          <x:t xml:space="preserve">비행</x:t>
        </x:is>
      </x:c>
      <x:c r="L231" s="7" t="inlineStr">
        <x:is>
          <x:t xml:space="preserve">건조</x:t>
        </x:is>
      </x:c>
      <x:c r="M231" s="7" t="inlineStr">
        <x:is>
          <x:t xml:space="preserve">고온</x:t>
        </x:is>
      </x:c>
      <x:c r="N231" s="7" t="inlineStr">
        <x:is>
          <x:t xml:space="preserve">건조</x:t>
        </x:is>
      </x:c>
      <x:c r="O231" s="7" t="inlineStr">
        <x:is>
          <x:t xml:space="preserve">맑음</x:t>
        </x:is>
      </x:c>
      <x:c r="P231" s="7" t="inlineStr">
        <x:is>
          <x:t xml:space="preserve">낮</x:t>
        </x:is>
      </x:c>
      <x:c r="Q231" s="7" t="inlineStr">
        <x:is>
          <x:t xml:space="preserve">드묾</x:t>
        </x:is>
      </x:c>
      <x:c r="R231" s="7" t="inlineStr">
        <x:is>
          <x:t xml:space="preserve">없음</x:t>
        </x:is>
      </x:c>
      <x:c r="S231" s="7" t="inlineStr">
        <x:is>
          <x:t xml:space="preserve">건조지</x:t>
        </x:is>
      </x:c>
      <x:c r="T231" s="7" t="inlineStr">
        <x:is>
          <x:t xml:space="preserve"/>
        </x:is>
      </x:c>
      <x:c r="U231" s="8" t="str">
        <x:f>INDEX('서식지_점수'!$E$4:$P$4,1,MATCH(MAX('서식지_점수'!E231:P231),'서식지_점수'!E231:P231,0))</x:f>
        <x:v>산악</x:v>
      </x:c>
      <x:c r="V231" s="8" t="str">
        <x:f>IF(T231&lt;&gt;"",T231,U231)</x:f>
        <x:v>산악</x:v>
      </x:c>
      <x:c r="W231" s="8" t="str">
        <x:f>IFERROR(INDEX('서식지_점수'!$E$4:$P$4,1,MATCH(MAXIFS('서식지_점수'!E231:P231,'서식지_점수'!E231:P231,"&lt;"&amp;MAX('서식지_점수'!E231:P231)),'서식지_점수'!E231:P231,0)),"")</x:f>
        <x:v>평원</x:v>
      </x:c>
      <x:c r="X231" s="8" t="str">
        <x:f>IF(T231&lt;&gt;"","수동확정",IF(MAX('서식지_점수'!E231:P231)-LARGE('서식지_점수'!E231:P231,2)&gt;=15,"높음",IF(MAX('서식지_점수'!E231:P231)-LARGE('서식지_점수'!E231:P231,2)&gt;=8,"보통","검토필요")))</x:f>
        <x:v>검토필요</x:v>
      </x:c>
      <x:c r="Y231" s="9" t="n">
        <x:f>IF(Q231="전설",8,IF(Q231="희귀",7,IF(J231="기본",1,IF(J231="중간",3,IF(J231="최종",IF(I231="",5,IF(I231&lt;=20,3,IF(I231&lt;=35,4,IF(I231&lt;=50,6,7)))),IF(Q231="드묾",4,2))))))</x:f>
        <x:v>4</x:v>
      </x:c>
      <x:c r="Z231" s="5" t="inlineStr">
        <x:is>
          <x:t xml:space="preserve">#cobblemon:is_badlands; #cobblemon:is_desert; #cobblemon:is_sky</x:t>
        </x:is>
      </x:c>
      <x:c r="AA231" s="5" t="inlineStr">
        <x:is>
          <x:t xml:space="preserve">rare</x:t>
        </x:is>
      </x:c>
      <x:c r="AB231" s="5" t="inlineStr">
        <x:is>
          <x:t xml:space="preserve">예</x:t>
        </x:is>
      </x:c>
      <x:c r="AC231" s="8" t="str">
        <x:f>IF(T231&lt;&gt;"","수동확정",IF(X231="검토필요","검토필요",IF(S231="","원본없음","초기완료")))</x:f>
        <x:v>검토필요</x:v>
      </x:c>
      <x:c r="AD231" s="7" t="inlineStr">
        <x:is>
          <x:t xml:space="preserve"/>
        </x:is>
      </x:c>
      <x:c r="AE231" s="5" t="inlineStr">
        <x:is>
          <x:t xml:space="preserve">.tmp/cobblemon-1.7.3-source/common/src/main/resources/data/cobblemon/species/generation2/skarmory.json</x:t>
        </x:is>
      </x:c>
      <x:c r="AF231" s="5" t="str">
        <x:f>"생활권|"&amp;K231</x:f>
        <x:v>생활권|비행</x:v>
      </x:c>
      <x:c r="AG231" s="5" t="str">
        <x:f>"지형|"&amp;L231</x:f>
        <x:v>지형|건조</x:v>
      </x:c>
      <x:c r="AH231" s="5" t="str">
        <x:f>"온도|"&amp;M231</x:f>
        <x:v>온도|고온</x:v>
      </x:c>
      <x:c r="AI231" s="5" t="str">
        <x:f>"습도|"&amp;N231</x:f>
        <x:v>습도|건조</x:v>
      </x:c>
      <x:c r="AJ231" s="5" t="str">
        <x:f>"날씨|"&amp;O231</x:f>
        <x:v>날씨|맑음</x:v>
      </x:c>
      <x:c r="AK231" s="5" t="str">
        <x:f>"특수태그|"&amp;R231</x:f>
        <x:v>특수태그|없음</x:v>
      </x:c>
      <x:c r="AL231" s="5" t="str">
        <x:f>"원본서식지|"&amp;S231</x:f>
        <x:v>원본서식지|건조지</x:v>
      </x:c>
      <x:c r="AM231" s="5" t="str">
        <x:f>"타입|"&amp;F231</x:f>
        <x:v>타입|강철</x:v>
      </x:c>
      <x:c r="AN231" s="5" t="str">
        <x:f>"타입|"&amp;G231</x:f>
        <x:v>타입|비행</x:v>
      </x:c>
    </x:row>
    <x:row r="232" ht="24" customHeight="1">
      <x:c r="A232" s="5" t="n">
        <x:v>228</x:v>
      </x:c>
      <x:c r="B232" s="5" t="inlineStr">
        <x:is>
          <x:t xml:space="preserve">델빌</x:t>
        </x:is>
      </x:c>
      <x:c r="C232" s="5" t="inlineStr">
        <x:is>
          <x:t xml:space="preserve">houndour</x:t>
        </x:is>
      </x:c>
      <x:c r="D232" s="5" t="inlineStr">
        <x:is>
          <x:t xml:space="preserve">Houndour</x:t>
        </x:is>
      </x:c>
      <x:c r="E232" s="5" t="n">
        <x:v>2</x:v>
      </x:c>
      <x:c r="F232" s="5" t="inlineStr">
        <x:is>
          <x:t xml:space="preserve">악</x:t>
        </x:is>
      </x:c>
      <x:c r="G232" s="5" t="inlineStr">
        <x:is>
          <x:t xml:space="preserve">불꽃</x:t>
        </x:is>
      </x:c>
      <x:c r="H232" s="6" t="n">
        <x:v>10.8</x:v>
      </x:c>
      <x:c r="I232" s="5" t="n">
        <x:v>24</x:v>
      </x:c>
      <x:c r="J232" s="5" t="inlineStr">
        <x:is>
          <x:t xml:space="preserve">기본</x:t>
        </x:is>
      </x:c>
      <x:c r="K232" s="7" t="inlineStr">
        <x:is>
          <x:t xml:space="preserve">육상</x:t>
        </x:is>
      </x:c>
      <x:c r="L232" s="7" t="inlineStr">
        <x:is>
          <x:t xml:space="preserve">화산</x:t>
        </x:is>
      </x:c>
      <x:c r="M232" s="7" t="inlineStr">
        <x:is>
          <x:t xml:space="preserve">고온</x:t>
        </x:is>
      </x:c>
      <x:c r="N232" s="7" t="inlineStr">
        <x:is>
          <x:t xml:space="preserve">건조</x:t>
        </x:is>
      </x:c>
      <x:c r="O232" s="7" t="inlineStr">
        <x:is>
          <x:t xml:space="preserve">맑음</x:t>
        </x:is>
      </x:c>
      <x:c r="P232" s="7" t="inlineStr">
        <x:is>
          <x:t xml:space="preserve">밤</x:t>
        </x:is>
      </x:c>
      <x:c r="Q232" s="7" t="inlineStr">
        <x:is>
          <x:t xml:space="preserve">보통</x:t>
        </x:is>
      </x:c>
      <x:c r="R232" s="7" t="inlineStr">
        <x:is>
          <x:t xml:space="preserve">화산</x:t>
        </x:is>
      </x:c>
      <x:c r="S232" s="7" t="inlineStr">
        <x:is>
          <x:t xml:space="preserve">화산</x:t>
        </x:is>
      </x:c>
      <x:c r="T232" s="7" t="inlineStr">
        <x:is>
          <x:t xml:space="preserve"/>
        </x:is>
      </x:c>
      <x:c r="U232" s="8" t="str">
        <x:f>INDEX('서식지_점수'!$E$4:$P$4,1,MATCH(MAX('서식지_점수'!E232:P232),'서식지_점수'!E232:P232,0))</x:f>
        <x:v>평원</x:v>
      </x:c>
      <x:c r="V232" s="8" t="str">
        <x:f>IF(T232&lt;&gt;"",T232,U232)</x:f>
        <x:v>평원</x:v>
      </x:c>
      <x:c r="W232" s="8" t="str">
        <x:f>IFERROR(INDEX('서식지_점수'!$E$4:$P$4,1,MATCH(MAXIFS('서식지_점수'!E232:P232,'서식지_점수'!E232:P232,"&lt;"&amp;MAX('서식지_점수'!E232:P232)),'서식지_점수'!E232:P232,0)),"")</x:f>
        <x:v>숲</x:v>
      </x:c>
      <x:c r="X232" s="8" t="str">
        <x:f>IF(T232&lt;&gt;"","수동확정",IF(MAX('서식지_점수'!E232:P232)-LARGE('서식지_점수'!E232:P232,2)&gt;=15,"높음",IF(MAX('서식지_점수'!E232:P232)-LARGE('서식지_점수'!E232:P232,2)&gt;=8,"보통","검토필요")))</x:f>
        <x:v>검토필요</x:v>
      </x:c>
      <x:c r="Y232" s="9" t="n">
        <x:f>IF(Q232="전설",8,IF(Q232="희귀",7,IF(J232="기본",1,IF(J232="중간",3,IF(J232="최종",IF(I232="",5,IF(I232&lt;=20,3,IF(I232&lt;=35,4,IF(I232&lt;=50,6,7)))),IF(Q232="드묾",4,2))))))</x:f>
        <x:v>1</x:v>
      </x:c>
      <x:c r="Z232" s="5" t="inlineStr">
        <x:is>
          <x:t xml:space="preserve">#cobblemon:is_badlands; #cobblemon:is_overworld; #minecraft:is_nether</x:t>
        </x:is>
      </x:c>
      <x:c r="AA232" s="5" t="inlineStr">
        <x:is>
          <x:t xml:space="preserve">common; uncommon</x:t>
        </x:is>
      </x:c>
      <x:c r="AB232" s="5" t="inlineStr">
        <x:is>
          <x:t xml:space="preserve">예</x:t>
        </x:is>
      </x:c>
      <x:c r="AC232" s="8" t="str">
        <x:f>IF(T232&lt;&gt;"","수동확정",IF(X232="검토필요","검토필요",IF(S232="","원본없음","초기완료")))</x:f>
        <x:v>검토필요</x:v>
      </x:c>
      <x:c r="AD232" s="7" t="inlineStr">
        <x:is>
          <x:t xml:space="preserve"/>
        </x:is>
      </x:c>
      <x:c r="AE232" s="5" t="inlineStr">
        <x:is>
          <x:t xml:space="preserve">.tmp/cobblemon-1.7.3-source/common/src/main/resources/data/cobblemon/species/generation2/houndour.json</x:t>
        </x:is>
      </x:c>
      <x:c r="AF232" s="5" t="str">
        <x:f>"생활권|"&amp;K232</x:f>
        <x:v>생활권|육상</x:v>
      </x:c>
      <x:c r="AG232" s="5" t="str">
        <x:f>"지형|"&amp;L232</x:f>
        <x:v>지형|화산</x:v>
      </x:c>
      <x:c r="AH232" s="5" t="str">
        <x:f>"온도|"&amp;M232</x:f>
        <x:v>온도|고온</x:v>
      </x:c>
      <x:c r="AI232" s="5" t="str">
        <x:f>"습도|"&amp;N232</x:f>
        <x:v>습도|건조</x:v>
      </x:c>
      <x:c r="AJ232" s="5" t="str">
        <x:f>"날씨|"&amp;O232</x:f>
        <x:v>날씨|맑음</x:v>
      </x:c>
      <x:c r="AK232" s="5" t="str">
        <x:f>"특수태그|"&amp;R232</x:f>
        <x:v>특수태그|화산</x:v>
      </x:c>
      <x:c r="AL232" s="5" t="str">
        <x:f>"원본서식지|"&amp;S232</x:f>
        <x:v>원본서식지|화산</x:v>
      </x:c>
      <x:c r="AM232" s="5" t="str">
        <x:f>"타입|"&amp;F232</x:f>
        <x:v>타입|악</x:v>
      </x:c>
      <x:c r="AN232" s="5" t="str">
        <x:f>"타입|"&amp;G232</x:f>
        <x:v>타입|불꽃</x:v>
      </x:c>
    </x:row>
    <x:row r="233" ht="24" customHeight="1">
      <x:c r="A233" s="5" t="n">
        <x:v>229</x:v>
      </x:c>
      <x:c r="B233" s="5" t="inlineStr">
        <x:is>
          <x:t xml:space="preserve">헬가</x:t>
        </x:is>
      </x:c>
      <x:c r="C233" s="5" t="inlineStr">
        <x:is>
          <x:t xml:space="preserve">houndoom</x:t>
        </x:is>
      </x:c>
      <x:c r="D233" s="5" t="inlineStr">
        <x:is>
          <x:t xml:space="preserve">Houndoom</x:t>
        </x:is>
      </x:c>
      <x:c r="E233" s="5" t="n">
        <x:v>2</x:v>
      </x:c>
      <x:c r="F233" s="5" t="inlineStr">
        <x:is>
          <x:t xml:space="preserve">악</x:t>
        </x:is>
      </x:c>
      <x:c r="G233" s="5" t="inlineStr">
        <x:is>
          <x:t xml:space="preserve">불꽃</x:t>
        </x:is>
      </x:c>
      <x:c r="H233" s="6" t="n">
        <x:v>35</x:v>
      </x:c>
      <x:c r="I233" s="5" t="n">
        <x:v>24</x:v>
      </x:c>
      <x:c r="J233" s="5" t="inlineStr">
        <x:is>
          <x:t xml:space="preserve">최종</x:t>
        </x:is>
      </x:c>
      <x:c r="K233" s="7" t="inlineStr">
        <x:is>
          <x:t xml:space="preserve">육상</x:t>
        </x:is>
      </x:c>
      <x:c r="L233" s="7" t="inlineStr">
        <x:is>
          <x:t xml:space="preserve">화산</x:t>
        </x:is>
      </x:c>
      <x:c r="M233" s="7" t="inlineStr">
        <x:is>
          <x:t xml:space="preserve">고온</x:t>
        </x:is>
      </x:c>
      <x:c r="N233" s="7" t="inlineStr">
        <x:is>
          <x:t xml:space="preserve">건조</x:t>
        </x:is>
      </x:c>
      <x:c r="O233" s="7" t="inlineStr">
        <x:is>
          <x:t xml:space="preserve">맑음</x:t>
        </x:is>
      </x:c>
      <x:c r="P233" s="7" t="inlineStr">
        <x:is>
          <x:t xml:space="preserve">밤</x:t>
        </x:is>
      </x:c>
      <x:c r="Q233" s="7" t="inlineStr">
        <x:is>
          <x:t xml:space="preserve">보통</x:t>
        </x:is>
      </x:c>
      <x:c r="R233" s="7" t="inlineStr">
        <x:is>
          <x:t xml:space="preserve">화산</x:t>
        </x:is>
      </x:c>
      <x:c r="S233" s="7" t="inlineStr">
        <x:is>
          <x:t xml:space="preserve">화산</x:t>
        </x:is>
      </x:c>
      <x:c r="T233" s="7" t="inlineStr">
        <x:is>
          <x:t xml:space="preserve"/>
        </x:is>
      </x:c>
      <x:c r="U233" s="8" t="str">
        <x:f>INDEX('서식지_점수'!$E$4:$P$4,1,MATCH(MAX('서식지_점수'!E233:P233),'서식지_점수'!E233:P233,0))</x:f>
        <x:v>평원</x:v>
      </x:c>
      <x:c r="V233" s="8" t="str">
        <x:f>IF(T233&lt;&gt;"",T233,U233)</x:f>
        <x:v>평원</x:v>
      </x:c>
      <x:c r="W233" s="8" t="str">
        <x:f>IFERROR(INDEX('서식지_점수'!$E$4:$P$4,1,MATCH(MAXIFS('서식지_점수'!E233:P233,'서식지_점수'!E233:P233,"&lt;"&amp;MAX('서식지_점수'!E233:P233)),'서식지_점수'!E233:P233,0)),"")</x:f>
        <x:v>숲</x:v>
      </x:c>
      <x:c r="X233" s="8" t="str">
        <x:f>IF(T233&lt;&gt;"","수동확정",IF(MAX('서식지_점수'!E233:P233)-LARGE('서식지_점수'!E233:P233,2)&gt;=15,"높음",IF(MAX('서식지_점수'!E233:P233)-LARGE('서식지_점수'!E233:P233,2)&gt;=8,"보통","검토필요")))</x:f>
        <x:v>검토필요</x:v>
      </x:c>
      <x:c r="Y233" s="9" t="n">
        <x:f>IF(Q233="전설",8,IF(Q233="희귀",7,IF(J233="기본",1,IF(J233="중간",3,IF(J233="최종",IF(I233="",5,IF(I233&lt;=20,3,IF(I233&lt;=35,4,IF(I233&lt;=50,6,7)))),IF(Q233="드묾",4,2))))))</x:f>
        <x:v>4</x:v>
      </x:c>
      <x:c r="Z233" s="5" t="inlineStr">
        <x:is>
          <x:t xml:space="preserve">#cobblemon:is_badlands; #cobblemon:is_overworld; #minecraft:is_nether</x:t>
        </x:is>
      </x:c>
      <x:c r="AA233" s="5" t="inlineStr">
        <x:is>
          <x:t xml:space="preserve">common; uncommon</x:t>
        </x:is>
      </x:c>
      <x:c r="AB233" s="5" t="inlineStr">
        <x:is>
          <x:t xml:space="preserve">예</x:t>
        </x:is>
      </x:c>
      <x:c r="AC233" s="8" t="str">
        <x:f>IF(T233&lt;&gt;"","수동확정",IF(X233="검토필요","검토필요",IF(S233="","원본없음","초기완료")))</x:f>
        <x:v>검토필요</x:v>
      </x:c>
      <x:c r="AD233" s="7" t="inlineStr">
        <x:is>
          <x:t xml:space="preserve"/>
        </x:is>
      </x:c>
      <x:c r="AE233" s="5" t="inlineStr">
        <x:is>
          <x:t xml:space="preserve">.tmp/cobblemon-1.7.3-source/common/src/main/resources/data/cobblemon/species/generation2/houndoom.json</x:t>
        </x:is>
      </x:c>
      <x:c r="AF233" s="5" t="str">
        <x:f>"생활권|"&amp;K233</x:f>
        <x:v>생활권|육상</x:v>
      </x:c>
      <x:c r="AG233" s="5" t="str">
        <x:f>"지형|"&amp;L233</x:f>
        <x:v>지형|화산</x:v>
      </x:c>
      <x:c r="AH233" s="5" t="str">
        <x:f>"온도|"&amp;M233</x:f>
        <x:v>온도|고온</x:v>
      </x:c>
      <x:c r="AI233" s="5" t="str">
        <x:f>"습도|"&amp;N233</x:f>
        <x:v>습도|건조</x:v>
      </x:c>
      <x:c r="AJ233" s="5" t="str">
        <x:f>"날씨|"&amp;O233</x:f>
        <x:v>날씨|맑음</x:v>
      </x:c>
      <x:c r="AK233" s="5" t="str">
        <x:f>"특수태그|"&amp;R233</x:f>
        <x:v>특수태그|화산</x:v>
      </x:c>
      <x:c r="AL233" s="5" t="str">
        <x:f>"원본서식지|"&amp;S233</x:f>
        <x:v>원본서식지|화산</x:v>
      </x:c>
      <x:c r="AM233" s="5" t="str">
        <x:f>"타입|"&amp;F233</x:f>
        <x:v>타입|악</x:v>
      </x:c>
      <x:c r="AN233" s="5" t="str">
        <x:f>"타입|"&amp;G233</x:f>
        <x:v>타입|불꽃</x:v>
      </x:c>
    </x:row>
    <x:row r="234" ht="24" customHeight="1">
      <x:c r="A234" s="5" t="n">
        <x:v>230</x:v>
      </x:c>
      <x:c r="B234" s="5" t="inlineStr">
        <x:is>
          <x:t xml:space="preserve">킹드라</x:t>
        </x:is>
      </x:c>
      <x:c r="C234" s="5" t="inlineStr">
        <x:is>
          <x:t xml:space="preserve">kingdra</x:t>
        </x:is>
      </x:c>
      <x:c r="D234" s="5" t="inlineStr">
        <x:is>
          <x:t xml:space="preserve">Kingdra</x:t>
        </x:is>
      </x:c>
      <x:c r="E234" s="5" t="n">
        <x:v>2</x:v>
      </x:c>
      <x:c r="F234" s="5" t="inlineStr">
        <x:is>
          <x:t xml:space="preserve">물</x:t>
        </x:is>
      </x:c>
      <x:c r="G234" s="5" t="inlineStr">
        <x:is>
          <x:t xml:space="preserve">드래곤</x:t>
        </x:is>
      </x:c>
      <x:c r="H234" s="6" t="n">
        <x:v>152</x:v>
      </x:c>
      <x:c r="I234" s="5" t="n">
        <x:v>32</x:v>
      </x:c>
      <x:c r="J234" s="5" t="inlineStr">
        <x:is>
          <x:t xml:space="preserve">최종</x:t>
        </x:is>
      </x:c>
      <x:c r="K234" s="7" t="inlineStr">
        <x:is>
          <x:t xml:space="preserve">해양</x:t>
        </x:is>
      </x:c>
      <x:c r="L234" s="7" t="inlineStr">
        <x:is>
          <x:t xml:space="preserve">해안·해양</x:t>
        </x:is>
      </x:c>
      <x:c r="M234" s="7" t="inlineStr">
        <x:is>
          <x:t xml:space="preserve">온대</x:t>
        </x:is>
      </x:c>
      <x:c r="N234" s="7" t="inlineStr">
        <x:is>
          <x:t xml:space="preserve">수중</x:t>
        </x:is>
      </x:c>
      <x:c r="O234" s="7" t="inlineStr">
        <x:is>
          <x:t xml:space="preserve">비</x:t>
        </x:is>
      </x:c>
      <x:c r="P234" s="7" t="inlineStr">
        <x:is>
          <x:t xml:space="preserve">무관</x:t>
        </x:is>
      </x:c>
      <x:c r="Q234" s="7" t="inlineStr">
        <x:is>
          <x:t xml:space="preserve">흔함</x:t>
        </x:is>
      </x:c>
      <x:c r="R234" s="7" t="inlineStr">
        <x:is>
          <x:t xml:space="preserve">없음</x:t>
        </x:is>
      </x:c>
      <x:c r="S234" s="7" t="inlineStr">
        <x:is>
          <x:t xml:space="preserve">해양</x:t>
        </x:is>
      </x:c>
      <x:c r="T234" s="7" t="inlineStr">
        <x:is>
          <x:t xml:space="preserve"/>
        </x:is>
      </x:c>
      <x:c r="U234" s="8" t="str">
        <x:f>INDEX('서식지_점수'!$E$4:$P$4,1,MATCH(MAX('서식지_점수'!E234:P234),'서식지_점수'!E234:P234,0))</x:f>
        <x:v>해양</x:v>
      </x:c>
      <x:c r="V234" s="8" t="str">
        <x:f>IF(T234&lt;&gt;"",T234,U234)</x:f>
        <x:v>해양</x:v>
      </x:c>
      <x:c r="W234" s="8" t="str">
        <x:f>IFERROR(INDEX('서식지_점수'!$E$4:$P$4,1,MATCH(MAXIFS('서식지_점수'!E234:P234,'서식지_점수'!E234:P234,"&lt;"&amp;MAX('서식지_점수'!E234:P234)),'서식지_점수'!E234:P234,0)),"")</x:f>
        <x:v>습지</x:v>
      </x:c>
      <x:c r="X234" s="8" t="str">
        <x:f>IF(T234&lt;&gt;"","수동확정",IF(MAX('서식지_점수'!E234:P234)-LARGE('서식지_점수'!E234:P234,2)&gt;=15,"높음",IF(MAX('서식지_점수'!E234:P234)-LARGE('서식지_점수'!E234:P234,2)&gt;=8,"보통","검토필요")))</x:f>
        <x:v>높음</x:v>
      </x:c>
      <x:c r="Y234" s="9" t="n">
        <x:f>IF(Q234="전설",8,IF(Q234="희귀",7,IF(J234="기본",1,IF(J234="중간",3,IF(J234="최종",IF(I234="",5,IF(I234&lt;=20,3,IF(I234&lt;=35,4,IF(I234&lt;=50,6,7)))),IF(Q234="드묾",4,2))))))</x:f>
        <x:v>4</x:v>
      </x:c>
      <x:c r="Z234" s="5" t="inlineStr">
        <x:is>
          <x:t xml:space="preserve">#cobblemon:is_lukewarm_ocean; #cobblemon:is_ocean; #cobblemon:is_overworld; #cobblemon:is_warm_ocean</x:t>
        </x:is>
      </x:c>
      <x:c r="AA234" s="5" t="inlineStr">
        <x:is>
          <x:t xml:space="preserve">common</x:t>
        </x:is>
      </x:c>
      <x:c r="AB234" s="5" t="inlineStr">
        <x:is>
          <x:t xml:space="preserve">예</x:t>
        </x:is>
      </x:c>
      <x:c r="AC234" s="8" t="str">
        <x:f>IF(T234&lt;&gt;"","수동확정",IF(X234="검토필요","검토필요",IF(S234="","원본없음","초기완료")))</x:f>
        <x:v>초기완료</x:v>
      </x:c>
      <x:c r="AD234" s="7" t="inlineStr">
        <x:is>
          <x:t xml:space="preserve"/>
        </x:is>
      </x:c>
      <x:c r="AE234" s="5" t="inlineStr">
        <x:is>
          <x:t xml:space="preserve">.tmp/cobblemon-1.7.3-source/common/src/main/resources/data/cobblemon/species/generation2/kingdra.json</x:t>
        </x:is>
      </x:c>
      <x:c r="AF234" s="5" t="str">
        <x:f>"생활권|"&amp;K234</x:f>
        <x:v>생활권|해양</x:v>
      </x:c>
      <x:c r="AG234" s="5" t="str">
        <x:f>"지형|"&amp;L234</x:f>
        <x:v>지형|해안·해양</x:v>
      </x:c>
      <x:c r="AH234" s="5" t="str">
        <x:f>"온도|"&amp;M234</x:f>
        <x:v>온도|온대</x:v>
      </x:c>
      <x:c r="AI234" s="5" t="str">
        <x:f>"습도|"&amp;N234</x:f>
        <x:v>습도|수중</x:v>
      </x:c>
      <x:c r="AJ234" s="5" t="str">
        <x:f>"날씨|"&amp;O234</x:f>
        <x:v>날씨|비</x:v>
      </x:c>
      <x:c r="AK234" s="5" t="str">
        <x:f>"특수태그|"&amp;R234</x:f>
        <x:v>특수태그|없음</x:v>
      </x:c>
      <x:c r="AL234" s="5" t="str">
        <x:f>"원본서식지|"&amp;S234</x:f>
        <x:v>원본서식지|해양</x:v>
      </x:c>
      <x:c r="AM234" s="5" t="str">
        <x:f>"타입|"&amp;F234</x:f>
        <x:v>타입|물</x:v>
      </x:c>
      <x:c r="AN234" s="5" t="str">
        <x:f>"타입|"&amp;G234</x:f>
        <x:v>타입|드래곤</x:v>
      </x:c>
    </x:row>
    <x:row r="235" ht="24" customHeight="1">
      <x:c r="A235" s="5" t="n">
        <x:v>231</x:v>
      </x:c>
      <x:c r="B235" s="5" t="inlineStr">
        <x:is>
          <x:t xml:space="preserve">코코리</x:t>
        </x:is>
      </x:c>
      <x:c r="C235" s="5" t="inlineStr">
        <x:is>
          <x:t xml:space="preserve">phanpy</x:t>
        </x:is>
      </x:c>
      <x:c r="D235" s="5" t="inlineStr">
        <x:is>
          <x:t xml:space="preserve">Phanpy</x:t>
        </x:is>
      </x:c>
      <x:c r="E235" s="5" t="n">
        <x:v>2</x:v>
      </x:c>
      <x:c r="F235" s="5" t="inlineStr">
        <x:is>
          <x:t xml:space="preserve">땅</x:t>
        </x:is>
      </x:c>
      <x:c r="G235" s="5" t="inlineStr">
        <x:is>
          <x:t xml:space="preserve"/>
        </x:is>
      </x:c>
      <x:c r="H235" s="6" t="n">
        <x:v>33.5</x:v>
      </x:c>
      <x:c r="I235" s="5" t="n">
        <x:v>25</x:v>
      </x:c>
      <x:c r="J235" s="5" t="inlineStr">
        <x:is>
          <x:t xml:space="preserve">기본</x:t>
        </x:is>
      </x:c>
      <x:c r="K235" s="7" t="inlineStr">
        <x:is>
          <x:t xml:space="preserve">육상</x:t>
        </x:is>
      </x:c>
      <x:c r="L235" s="7" t="inlineStr">
        <x:is>
          <x:t xml:space="preserve">건조</x:t>
        </x:is>
      </x:c>
      <x:c r="M235" s="7" t="inlineStr">
        <x:is>
          <x:t xml:space="preserve">고온</x:t>
        </x:is>
      </x:c>
      <x:c r="N235" s="7" t="inlineStr">
        <x:is>
          <x:t xml:space="preserve">건조</x:t>
        </x:is>
      </x:c>
      <x:c r="O235" s="7" t="inlineStr">
        <x:is>
          <x:t xml:space="preserve">맑음</x:t>
        </x:is>
      </x:c>
      <x:c r="P235" s="7" t="inlineStr">
        <x:is>
          <x:t xml:space="preserve">무관</x:t>
        </x:is>
      </x:c>
      <x:c r="Q235" s="7" t="inlineStr">
        <x:is>
          <x:t xml:space="preserve">흔함</x:t>
        </x:is>
      </x:c>
      <x:c r="R235" s="7" t="inlineStr">
        <x:is>
          <x:t xml:space="preserve">없음</x:t>
        </x:is>
      </x:c>
      <x:c r="S235" s="7" t="inlineStr">
        <x:is>
          <x:t xml:space="preserve">건조지</x:t>
        </x:is>
      </x:c>
      <x:c r="T235" s="7" t="inlineStr">
        <x:is>
          <x:t xml:space="preserve"/>
        </x:is>
      </x:c>
      <x:c r="U235" s="8" t="str">
        <x:f>INDEX('서식지_점수'!$E$4:$P$4,1,MATCH(MAX('서식지_점수'!E235:P235),'서식지_점수'!E235:P235,0))</x:f>
        <x:v>평원</x:v>
      </x:c>
      <x:c r="V235" s="8" t="str">
        <x:f>IF(T235&lt;&gt;"",T235,U235)</x:f>
        <x:v>평원</x:v>
      </x:c>
      <x:c r="W235" s="8" t="str">
        <x:f>IFERROR(INDEX('서식지_점수'!$E$4:$P$4,1,MATCH(MAXIFS('서식지_점수'!E235:P235,'서식지_점수'!E235:P235,"&lt;"&amp;MAX('서식지_점수'!E235:P235)),'서식지_점수'!E235:P235,0)),"")</x:f>
        <x:v>숲</x:v>
      </x:c>
      <x:c r="X235" s="8" t="str">
        <x:f>IF(T235&lt;&gt;"","수동확정",IF(MAX('서식지_점수'!E235:P235)-LARGE('서식지_점수'!E235:P235,2)&gt;=15,"높음",IF(MAX('서식지_점수'!E235:P235)-LARGE('서식지_점수'!E235:P235,2)&gt;=8,"보통","검토필요")))</x:f>
        <x:v>검토필요</x:v>
      </x:c>
      <x:c r="Y235" s="9" t="n">
        <x:f>IF(Q235="전설",8,IF(Q235="희귀",7,IF(J235="기본",1,IF(J235="중간",3,IF(J235="최종",IF(I235="",5,IF(I235&lt;=20,3,IF(I235&lt;=35,4,IF(I235&lt;=50,6,7)))),IF(Q235="드묾",4,2))))))</x:f>
        <x:v>1</x:v>
      </x:c>
      <x:c r="Z235" s="5" t="inlineStr">
        <x:is>
          <x:t xml:space="preserve">#cobblemon:is_badlands; #cobblemon:is_savanna</x:t>
        </x:is>
      </x:c>
      <x:c r="AA235" s="5" t="inlineStr">
        <x:is>
          <x:t xml:space="preserve">common</x:t>
        </x:is>
      </x:c>
      <x:c r="AB235" s="5" t="inlineStr">
        <x:is>
          <x:t xml:space="preserve">예</x:t>
        </x:is>
      </x:c>
      <x:c r="AC235" s="8" t="str">
        <x:f>IF(T235&lt;&gt;"","수동확정",IF(X235="검토필요","검토필요",IF(S235="","원본없음","초기완료")))</x:f>
        <x:v>검토필요</x:v>
      </x:c>
      <x:c r="AD235" s="7" t="inlineStr">
        <x:is>
          <x:t xml:space="preserve"/>
        </x:is>
      </x:c>
      <x:c r="AE235" s="5" t="inlineStr">
        <x:is>
          <x:t xml:space="preserve">.tmp/cobblemon-1.7.3-source/common/src/main/resources/data/cobblemon/species/generation2/phanpy.json</x:t>
        </x:is>
      </x:c>
      <x:c r="AF235" s="5" t="str">
        <x:f>"생활권|"&amp;K235</x:f>
        <x:v>생활권|육상</x:v>
      </x:c>
      <x:c r="AG235" s="5" t="str">
        <x:f>"지형|"&amp;L235</x:f>
        <x:v>지형|건조</x:v>
      </x:c>
      <x:c r="AH235" s="5" t="str">
        <x:f>"온도|"&amp;M235</x:f>
        <x:v>온도|고온</x:v>
      </x:c>
      <x:c r="AI235" s="5" t="str">
        <x:f>"습도|"&amp;N235</x:f>
        <x:v>습도|건조</x:v>
      </x:c>
      <x:c r="AJ235" s="5" t="str">
        <x:f>"날씨|"&amp;O235</x:f>
        <x:v>날씨|맑음</x:v>
      </x:c>
      <x:c r="AK235" s="5" t="str">
        <x:f>"특수태그|"&amp;R235</x:f>
        <x:v>특수태그|없음</x:v>
      </x:c>
      <x:c r="AL235" s="5" t="str">
        <x:f>"원본서식지|"&amp;S235</x:f>
        <x:v>원본서식지|건조지</x:v>
      </x:c>
      <x:c r="AM235" s="5" t="str">
        <x:f>"타입|"&amp;F235</x:f>
        <x:v>타입|땅</x:v>
      </x:c>
      <x:c r="AN235" s="5" t="str">
        <x:f>"타입|"&amp;G235</x:f>
        <x:v>타입|</x:v>
      </x:c>
    </x:row>
    <x:row r="236" ht="24" customHeight="1">
      <x:c r="A236" s="5" t="n">
        <x:v>232</x:v>
      </x:c>
      <x:c r="B236" s="5" t="inlineStr">
        <x:is>
          <x:t xml:space="preserve">코리갑</x:t>
        </x:is>
      </x:c>
      <x:c r="C236" s="5" t="inlineStr">
        <x:is>
          <x:t xml:space="preserve">donphan</x:t>
        </x:is>
      </x:c>
      <x:c r="D236" s="5" t="inlineStr">
        <x:is>
          <x:t xml:space="preserve">Donphan</x:t>
        </x:is>
      </x:c>
      <x:c r="E236" s="5" t="n">
        <x:v>2</x:v>
      </x:c>
      <x:c r="F236" s="5" t="inlineStr">
        <x:is>
          <x:t xml:space="preserve">땅</x:t>
        </x:is>
      </x:c>
      <x:c r="G236" s="5" t="inlineStr">
        <x:is>
          <x:t xml:space="preserve"/>
        </x:is>
      </x:c>
      <x:c r="H236" s="6" t="n">
        <x:v>120</x:v>
      </x:c>
      <x:c r="I236" s="5" t="n">
        <x:v>25</x:v>
      </x:c>
      <x:c r="J236" s="5" t="inlineStr">
        <x:is>
          <x:t xml:space="preserve">최종</x:t>
        </x:is>
      </x:c>
      <x:c r="K236" s="7" t="inlineStr">
        <x:is>
          <x:t xml:space="preserve">육상</x:t>
        </x:is>
      </x:c>
      <x:c r="L236" s="7" t="inlineStr">
        <x:is>
          <x:t xml:space="preserve">건조</x:t>
        </x:is>
      </x:c>
      <x:c r="M236" s="7" t="inlineStr">
        <x:is>
          <x:t xml:space="preserve">고온</x:t>
        </x:is>
      </x:c>
      <x:c r="N236" s="7" t="inlineStr">
        <x:is>
          <x:t xml:space="preserve">건조</x:t>
        </x:is>
      </x:c>
      <x:c r="O236" s="7" t="inlineStr">
        <x:is>
          <x:t xml:space="preserve">맑음</x:t>
        </x:is>
      </x:c>
      <x:c r="P236" s="7" t="inlineStr">
        <x:is>
          <x:t xml:space="preserve">무관</x:t>
        </x:is>
      </x:c>
      <x:c r="Q236" s="7" t="inlineStr">
        <x:is>
          <x:t xml:space="preserve">흔함</x:t>
        </x:is>
      </x:c>
      <x:c r="R236" s="7" t="inlineStr">
        <x:is>
          <x:t xml:space="preserve">없음</x:t>
        </x:is>
      </x:c>
      <x:c r="S236" s="7" t="inlineStr">
        <x:is>
          <x:t xml:space="preserve">건조지</x:t>
        </x:is>
      </x:c>
      <x:c r="T236" s="7" t="inlineStr">
        <x:is>
          <x:t xml:space="preserve"/>
        </x:is>
      </x:c>
      <x:c r="U236" s="8" t="str">
        <x:f>INDEX('서식지_점수'!$E$4:$P$4,1,MATCH(MAX('서식지_점수'!E236:P236),'서식지_점수'!E236:P236,0))</x:f>
        <x:v>평원</x:v>
      </x:c>
      <x:c r="V236" s="8" t="str">
        <x:f>IF(T236&lt;&gt;"",T236,U236)</x:f>
        <x:v>평원</x:v>
      </x:c>
      <x:c r="W236" s="8" t="str">
        <x:f>IFERROR(INDEX('서식지_점수'!$E$4:$P$4,1,MATCH(MAXIFS('서식지_점수'!E236:P236,'서식지_점수'!E236:P236,"&lt;"&amp;MAX('서식지_점수'!E236:P236)),'서식지_점수'!E236:P236,0)),"")</x:f>
        <x:v>숲</x:v>
      </x:c>
      <x:c r="X236" s="8" t="str">
        <x:f>IF(T236&lt;&gt;"","수동확정",IF(MAX('서식지_점수'!E236:P236)-LARGE('서식지_점수'!E236:P236,2)&gt;=15,"높음",IF(MAX('서식지_점수'!E236:P236)-LARGE('서식지_점수'!E236:P236,2)&gt;=8,"보통","검토필요")))</x:f>
        <x:v>검토필요</x:v>
      </x:c>
      <x:c r="Y236" s="9" t="n">
        <x:f>IF(Q236="전설",8,IF(Q236="희귀",7,IF(J236="기본",1,IF(J236="중간",3,IF(J236="최종",IF(I236="",5,IF(I236&lt;=20,3,IF(I236&lt;=35,4,IF(I236&lt;=50,6,7)))),IF(Q236="드묾",4,2))))))</x:f>
        <x:v>4</x:v>
      </x:c>
      <x:c r="Z236" s="5" t="inlineStr">
        <x:is>
          <x:t xml:space="preserve">#cobblemon:is_badlands; #cobblemon:is_savanna</x:t>
        </x:is>
      </x:c>
      <x:c r="AA236" s="5" t="inlineStr">
        <x:is>
          <x:t xml:space="preserve">common</x:t>
        </x:is>
      </x:c>
      <x:c r="AB236" s="5" t="inlineStr">
        <x:is>
          <x:t xml:space="preserve">예</x:t>
        </x:is>
      </x:c>
      <x:c r="AC236" s="8" t="str">
        <x:f>IF(T236&lt;&gt;"","수동확정",IF(X236="검토필요","검토필요",IF(S236="","원본없음","초기완료")))</x:f>
        <x:v>검토필요</x:v>
      </x:c>
      <x:c r="AD236" s="7" t="inlineStr">
        <x:is>
          <x:t xml:space="preserve"/>
        </x:is>
      </x:c>
      <x:c r="AE236" s="5" t="inlineStr">
        <x:is>
          <x:t xml:space="preserve">.tmp/cobblemon-1.7.3-source/common/src/main/resources/data/cobblemon/species/generation2/donphan.json</x:t>
        </x:is>
      </x:c>
      <x:c r="AF236" s="5" t="str">
        <x:f>"생활권|"&amp;K236</x:f>
        <x:v>생활권|육상</x:v>
      </x:c>
      <x:c r="AG236" s="5" t="str">
        <x:f>"지형|"&amp;L236</x:f>
        <x:v>지형|건조</x:v>
      </x:c>
      <x:c r="AH236" s="5" t="str">
        <x:f>"온도|"&amp;M236</x:f>
        <x:v>온도|고온</x:v>
      </x:c>
      <x:c r="AI236" s="5" t="str">
        <x:f>"습도|"&amp;N236</x:f>
        <x:v>습도|건조</x:v>
      </x:c>
      <x:c r="AJ236" s="5" t="str">
        <x:f>"날씨|"&amp;O236</x:f>
        <x:v>날씨|맑음</x:v>
      </x:c>
      <x:c r="AK236" s="5" t="str">
        <x:f>"특수태그|"&amp;R236</x:f>
        <x:v>특수태그|없음</x:v>
      </x:c>
      <x:c r="AL236" s="5" t="str">
        <x:f>"원본서식지|"&amp;S236</x:f>
        <x:v>원본서식지|건조지</x:v>
      </x:c>
      <x:c r="AM236" s="5" t="str">
        <x:f>"타입|"&amp;F236</x:f>
        <x:v>타입|땅</x:v>
      </x:c>
      <x:c r="AN236" s="5" t="str">
        <x:f>"타입|"&amp;G236</x:f>
        <x:v>타입|</x:v>
      </x:c>
    </x:row>
    <x:row r="237" ht="24" customHeight="1">
      <x:c r="A237" s="5" t="n">
        <x:v>233</x:v>
      </x:c>
      <x:c r="B237" s="5" t="inlineStr">
        <x:is>
          <x:t xml:space="preserve">폴리곤2</x:t>
        </x:is>
      </x:c>
      <x:c r="C237" s="5" t="inlineStr">
        <x:is>
          <x:t xml:space="preserve">porygon2</x:t>
        </x:is>
      </x:c>
      <x:c r="D237" s="5" t="inlineStr">
        <x:is>
          <x:t xml:space="preserve">Porygon2</x:t>
        </x:is>
      </x:c>
      <x:c r="E237" s="5" t="n">
        <x:v>2</x:v>
      </x:c>
      <x:c r="F237" s="5" t="inlineStr">
        <x:is>
          <x:t xml:space="preserve">노말</x:t>
        </x:is>
      </x:c>
      <x:c r="G237" s="5" t="inlineStr">
        <x:is>
          <x:t xml:space="preserve"/>
        </x:is>
      </x:c>
      <x:c r="H237" s="6" t="n">
        <x:v>32.5</x:v>
      </x:c>
      <x:c r="I237" s="5" t="n"/>
      <x:c r="J237" s="5" t="inlineStr">
        <x:is>
          <x:t xml:space="preserve">중간</x:t>
        </x:is>
      </x:c>
      <x:c r="K237" s="7" t="inlineStr">
        <x:is>
          <x:t xml:space="preserve">인공</x:t>
        </x:is>
      </x:c>
      <x:c r="L237" s="7" t="inlineStr">
        <x:is>
          <x:t xml:space="preserve">도시</x:t>
        </x:is>
      </x:c>
      <x:c r="M237" s="7" t="inlineStr">
        <x:is>
          <x:t xml:space="preserve">온대</x:t>
        </x:is>
      </x:c>
      <x:c r="N237" s="7" t="inlineStr">
        <x:is>
          <x:t xml:space="preserve">보통</x:t>
        </x:is>
      </x:c>
      <x:c r="O237" s="7" t="inlineStr">
        <x:is>
          <x:t xml:space="preserve">무관</x:t>
        </x:is>
      </x:c>
      <x:c r="P237" s="7" t="inlineStr">
        <x:is>
          <x:t xml:space="preserve">무관</x:t>
        </x:is>
      </x:c>
      <x:c r="Q237" s="7" t="inlineStr">
        <x:is>
          <x:t xml:space="preserve">보통</x:t>
        </x:is>
      </x:c>
      <x:c r="R237" s="7" t="inlineStr">
        <x:is>
          <x:t xml:space="preserve">도시</x:t>
        </x:is>
      </x:c>
      <x:c r="S237" s="7" t="inlineStr">
        <x:is>
          <x:t xml:space="preserve"/>
        </x:is>
      </x:c>
      <x:c r="T237" s="7" t="inlineStr">
        <x:is>
          <x:t xml:space="preserve"/>
        </x:is>
      </x:c>
      <x:c r="U237" s="8" t="str">
        <x:f>INDEX('서식지_점수'!$E$4:$P$4,1,MATCH(MAX('서식지_점수'!E237:P237),'서식지_점수'!E237:P237,0))</x:f>
        <x:v>도시</x:v>
      </x:c>
      <x:c r="V237" s="8" t="str">
        <x:f>IF(T237&lt;&gt;"",T237,U237)</x:f>
        <x:v>도시</x:v>
      </x:c>
      <x:c r="W237" s="8" t="str">
        <x:f>IFERROR(INDEX('서식지_점수'!$E$4:$P$4,1,MATCH(MAXIFS('서식지_점수'!E237:P237,'서식지_점수'!E237:P237,"&lt;"&amp;MAX('서식지_점수'!E237:P237)),'서식지_점수'!E237:P237,0)),"")</x:f>
        <x:v>특수</x:v>
      </x:c>
      <x:c r="X237" s="8" t="str">
        <x:f>IF(T237&lt;&gt;"","수동확정",IF(MAX('서식지_점수'!E237:P237)-LARGE('서식지_점수'!E237:P237,2)&gt;=15,"높음",IF(MAX('서식지_점수'!E237:P237)-LARGE('서식지_점수'!E237:P237,2)&gt;=8,"보통","검토필요")))</x:f>
        <x:v>높음</x:v>
      </x:c>
      <x:c r="Y237" s="9" t="n">
        <x:f>IF(Q237="전설",8,IF(Q237="희귀",7,IF(J237="기본",1,IF(J237="중간",3,IF(J237="최종",IF(I237="",5,IF(I237&lt;=20,3,IF(I237&lt;=35,4,IF(I237&lt;=50,6,7)))),IF(Q237="드묾",4,2))))))</x:f>
        <x:v>3</x:v>
      </x:c>
      <x:c r="Z237" s="5" t="inlineStr">
        <x:is>
          <x:t xml:space="preserve">#cobblemon:end</x:t>
        </x:is>
      </x:c>
      <x:c r="AA237" s="5" t="inlineStr">
        <x:is>
          <x:t xml:space="preserve">uncommon</x:t>
        </x:is>
      </x:c>
      <x:c r="AB237" s="5" t="inlineStr">
        <x:is>
          <x:t xml:space="preserve">예</x:t>
        </x:is>
      </x:c>
      <x:c r="AC237" s="8" t="str">
        <x:f>IF(T237&lt;&gt;"","수동확정",IF(X237="검토필요","검토필요",IF(S237="","원본없음","초기완료")))</x:f>
        <x:v>원본없음</x:v>
      </x:c>
      <x:c r="AD237" s="7" t="inlineStr">
        <x:is>
          <x:t xml:space="preserve"/>
        </x:is>
      </x:c>
      <x:c r="AE237" s="5" t="inlineStr">
        <x:is>
          <x:t xml:space="preserve">.tmp/cobblemon-1.7.3-source/common/src/main/resources/data/cobblemon/species/generation2/porygon2.json</x:t>
        </x:is>
      </x:c>
      <x:c r="AF237" s="5" t="str">
        <x:f>"생활권|"&amp;K237</x:f>
        <x:v>생활권|인공</x:v>
      </x:c>
      <x:c r="AG237" s="5" t="str">
        <x:f>"지형|"&amp;L237</x:f>
        <x:v>지형|도시</x:v>
      </x:c>
      <x:c r="AH237" s="5" t="str">
        <x:f>"온도|"&amp;M237</x:f>
        <x:v>온도|온대</x:v>
      </x:c>
      <x:c r="AI237" s="5" t="str">
        <x:f>"습도|"&amp;N237</x:f>
        <x:v>습도|보통</x:v>
      </x:c>
      <x:c r="AJ237" s="5" t="str">
        <x:f>"날씨|"&amp;O237</x:f>
        <x:v>날씨|무관</x:v>
      </x:c>
      <x:c r="AK237" s="5" t="str">
        <x:f>"특수태그|"&amp;R237</x:f>
        <x:v>특수태그|도시</x:v>
      </x:c>
      <x:c r="AL237" s="5" t="str">
        <x:f>"원본서식지|"&amp;S237</x:f>
        <x:v>원본서식지|</x:v>
      </x:c>
      <x:c r="AM237" s="5" t="str">
        <x:f>"타입|"&amp;F237</x:f>
        <x:v>타입|노말</x:v>
      </x:c>
      <x:c r="AN237" s="5" t="str">
        <x:f>"타입|"&amp;G237</x:f>
        <x:v>타입|</x:v>
      </x:c>
    </x:row>
    <x:row r="238" ht="24" customHeight="1">
      <x:c r="A238" s="5" t="n">
        <x:v>234</x:v>
      </x:c>
      <x:c r="B238" s="5" t="inlineStr">
        <x:is>
          <x:t xml:space="preserve">노라키</x:t>
        </x:is>
      </x:c>
      <x:c r="C238" s="5" t="inlineStr">
        <x:is>
          <x:t xml:space="preserve">stantler</x:t>
        </x:is>
      </x:c>
      <x:c r="D238" s="5" t="inlineStr">
        <x:is>
          <x:t xml:space="preserve">Stantler</x:t>
        </x:is>
      </x:c>
      <x:c r="E238" s="5" t="n">
        <x:v>2</x:v>
      </x:c>
      <x:c r="F238" s="5" t="inlineStr">
        <x:is>
          <x:t xml:space="preserve">노말</x:t>
        </x:is>
      </x:c>
      <x:c r="G238" s="5" t="inlineStr">
        <x:is>
          <x:t xml:space="preserve"/>
        </x:is>
      </x:c>
      <x:c r="H238" s="6" t="n">
        <x:v>71.2</x:v>
      </x:c>
      <x:c r="I238" s="5" t="n"/>
      <x:c r="J238" s="5" t="inlineStr">
        <x:is>
          <x:t xml:space="preserve">기본</x:t>
        </x:is>
      </x:c>
      <x:c r="K238" s="7" t="inlineStr">
        <x:is>
          <x:t xml:space="preserve">육상</x:t>
        </x:is>
      </x:c>
      <x:c r="L238" s="7" t="inlineStr">
        <x:is>
          <x:t xml:space="preserve">설원</x:t>
        </x:is>
      </x:c>
      <x:c r="M238" s="7" t="inlineStr">
        <x:is>
          <x:t xml:space="preserve">한랭</x:t>
        </x:is>
      </x:c>
      <x:c r="N238" s="7" t="inlineStr">
        <x:is>
          <x:t xml:space="preserve">보통</x:t>
        </x:is>
      </x:c>
      <x:c r="O238" s="7" t="inlineStr">
        <x:is>
          <x:t xml:space="preserve">눈</x:t>
        </x:is>
      </x:c>
      <x:c r="P238" s="7" t="inlineStr">
        <x:is>
          <x:t xml:space="preserve">무관</x:t>
        </x:is>
      </x:c>
      <x:c r="Q238" s="7" t="inlineStr">
        <x:is>
          <x:t xml:space="preserve">흔함</x:t>
        </x:is>
      </x:c>
      <x:c r="R238" s="7" t="inlineStr">
        <x:is>
          <x:t xml:space="preserve">없음</x:t>
        </x:is>
      </x:c>
      <x:c r="S238" s="7" t="inlineStr">
        <x:is>
          <x:t xml:space="preserve">설원</x:t>
        </x:is>
      </x:c>
      <x:c r="T238" s="7" t="inlineStr">
        <x:is>
          <x:t xml:space="preserve"/>
        </x:is>
      </x:c>
      <x:c r="U238" s="8" t="str">
        <x:f>INDEX('서식지_점수'!$E$4:$P$4,1,MATCH(MAX('서식지_점수'!E238:P238),'서식지_점수'!E238:P238,0))</x:f>
        <x:v>평원</x:v>
      </x:c>
      <x:c r="V238" s="8" t="str">
        <x:f>IF(T238&lt;&gt;"",T238,U238)</x:f>
        <x:v>평원</x:v>
      </x:c>
      <x:c r="W238" s="8" t="str">
        <x:f>IFERROR(INDEX('서식지_점수'!$E$4:$P$4,1,MATCH(MAXIFS('서식지_점수'!E238:P238,'서식지_점수'!E238:P238,"&lt;"&amp;MAX('서식지_점수'!E238:P238)),'서식지_점수'!E238:P238,0)),"")</x:f>
        <x:v>숲</x:v>
      </x:c>
      <x:c r="X238" s="8" t="str">
        <x:f>IF(T238&lt;&gt;"","수동확정",IF(MAX('서식지_점수'!E238:P238)-LARGE('서식지_점수'!E238:P238,2)&gt;=15,"높음",IF(MAX('서식지_점수'!E238:P238)-LARGE('서식지_점수'!E238:P238,2)&gt;=8,"보통","검토필요")))</x:f>
        <x:v>검토필요</x:v>
      </x:c>
      <x:c r="Y238" s="9" t="n">
        <x:f>IF(Q238="전설",8,IF(Q238="희귀",7,IF(J238="기본",1,IF(J238="중간",3,IF(J238="최종",IF(I238="",5,IF(I238&lt;=20,3,IF(I238&lt;=35,4,IF(I238&lt;=50,6,7)))),IF(Q238="드묾",4,2))))))</x:f>
        <x:v>1</x:v>
      </x:c>
      <x:c r="Z238" s="5" t="inlineStr">
        <x:is>
          <x:t xml:space="preserve">#aether:is_aether; #cobblemon:is_snowy_forest; #cobblemon:is_snowy_taiga; #cobblemon:is_tundra</x:t>
        </x:is>
      </x:c>
      <x:c r="AA238" s="5" t="inlineStr">
        <x:is>
          <x:t xml:space="preserve">common</x:t>
        </x:is>
      </x:c>
      <x:c r="AB238" s="5" t="inlineStr">
        <x:is>
          <x:t xml:space="preserve">예</x:t>
        </x:is>
      </x:c>
      <x:c r="AC238" s="8" t="str">
        <x:f>IF(T238&lt;&gt;"","수동확정",IF(X238="검토필요","검토필요",IF(S238="","원본없음","초기완료")))</x:f>
        <x:v>검토필요</x:v>
      </x:c>
      <x:c r="AD238" s="7" t="inlineStr">
        <x:is>
          <x:t xml:space="preserve"/>
        </x:is>
      </x:c>
      <x:c r="AE238" s="5" t="inlineStr">
        <x:is>
          <x:t xml:space="preserve">.tmp/cobblemon-1.7.3-source/common/src/main/resources/data/cobblemon/species/generation2/stantler.json</x:t>
        </x:is>
      </x:c>
      <x:c r="AF238" s="5" t="str">
        <x:f>"생활권|"&amp;K238</x:f>
        <x:v>생활권|육상</x:v>
      </x:c>
      <x:c r="AG238" s="5" t="str">
        <x:f>"지형|"&amp;L238</x:f>
        <x:v>지형|설원</x:v>
      </x:c>
      <x:c r="AH238" s="5" t="str">
        <x:f>"온도|"&amp;M238</x:f>
        <x:v>온도|한랭</x:v>
      </x:c>
      <x:c r="AI238" s="5" t="str">
        <x:f>"습도|"&amp;N238</x:f>
        <x:v>습도|보통</x:v>
      </x:c>
      <x:c r="AJ238" s="5" t="str">
        <x:f>"날씨|"&amp;O238</x:f>
        <x:v>날씨|눈</x:v>
      </x:c>
      <x:c r="AK238" s="5" t="str">
        <x:f>"특수태그|"&amp;R238</x:f>
        <x:v>특수태그|없음</x:v>
      </x:c>
      <x:c r="AL238" s="5" t="str">
        <x:f>"원본서식지|"&amp;S238</x:f>
        <x:v>원본서식지|설원</x:v>
      </x:c>
      <x:c r="AM238" s="5" t="str">
        <x:f>"타입|"&amp;F238</x:f>
        <x:v>타입|노말</x:v>
      </x:c>
      <x:c r="AN238" s="5" t="str">
        <x:f>"타입|"&amp;G238</x:f>
        <x:v>타입|</x:v>
      </x:c>
    </x:row>
    <x:row r="239" ht="24" customHeight="1">
      <x:c r="A239" s="5" t="n">
        <x:v>235</x:v>
      </x:c>
      <x:c r="B239" s="5" t="inlineStr">
        <x:is>
          <x:t xml:space="preserve">루브도</x:t>
        </x:is>
      </x:c>
      <x:c r="C239" s="5" t="inlineStr">
        <x:is>
          <x:t xml:space="preserve">smeargle</x:t>
        </x:is>
      </x:c>
      <x:c r="D239" s="5" t="inlineStr">
        <x:is>
          <x:t xml:space="preserve">Smeargle</x:t>
        </x:is>
      </x:c>
      <x:c r="E239" s="5" t="n">
        <x:v>2</x:v>
      </x:c>
      <x:c r="F239" s="5" t="inlineStr">
        <x:is>
          <x:t xml:space="preserve">노말</x:t>
        </x:is>
      </x:c>
      <x:c r="G239" s="5" t="inlineStr">
        <x:is>
          <x:t xml:space="preserve"/>
        </x:is>
      </x:c>
      <x:c r="H239" s="6" t="n">
        <x:v>58</x:v>
      </x:c>
      <x:c r="I239" s="5" t="n"/>
      <x:c r="J239" s="5" t="inlineStr">
        <x:is>
          <x:t xml:space="preserve">무진화</x:t>
        </x:is>
      </x:c>
      <x:c r="K239" s="7" t="inlineStr">
        <x:is>
          <x:t xml:space="preserve">육상</x:t>
        </x:is>
      </x:c>
      <x:c r="L239" s="7" t="inlineStr">
        <x:is>
          <x:t xml:space="preserve">개활지</x:t>
        </x:is>
      </x:c>
      <x:c r="M239" s="7" t="inlineStr">
        <x:is>
          <x:t xml:space="preserve">온대</x:t>
        </x:is>
      </x:c>
      <x:c r="N239" s="7" t="inlineStr">
        <x:is>
          <x:t xml:space="preserve">보통</x:t>
        </x:is>
      </x:c>
      <x:c r="O239" s="7" t="inlineStr">
        <x:is>
          <x:t xml:space="preserve">무관</x:t>
        </x:is>
      </x:c>
      <x:c r="P239" s="7" t="inlineStr">
        <x:is>
          <x:t xml:space="preserve">무관</x:t>
        </x:is>
      </x:c>
      <x:c r="Q239" s="7" t="inlineStr">
        <x:is>
          <x:t xml:space="preserve">흔함</x:t>
        </x:is>
      </x:c>
      <x:c r="R239" s="7" t="inlineStr">
        <x:is>
          <x:t xml:space="preserve">없음</x:t>
        </x:is>
      </x:c>
      <x:c r="S239" s="7" t="inlineStr">
        <x:is>
          <x:t xml:space="preserve"/>
        </x:is>
      </x:c>
      <x:c r="T239" s="7" t="inlineStr">
        <x:is>
          <x:t xml:space="preserve"/>
        </x:is>
      </x:c>
      <x:c r="U239" s="8" t="str">
        <x:f>INDEX('서식지_점수'!$E$4:$P$4,1,MATCH(MAX('서식지_점수'!E239:P239),'서식지_점수'!E239:P239,0))</x:f>
        <x:v>평원</x:v>
      </x:c>
      <x:c r="V239" s="8" t="str">
        <x:f>IF(T239&lt;&gt;"",T239,U239)</x:f>
        <x:v>평원</x:v>
      </x:c>
      <x:c r="W239" s="8" t="str">
        <x:f>IFERROR(INDEX('서식지_점수'!$E$4:$P$4,1,MATCH(MAXIFS('서식지_점수'!E239:P239,'서식지_점수'!E239:P239,"&lt;"&amp;MAX('서식지_점수'!E239:P239)),'서식지_점수'!E239:P239,0)),"")</x:f>
        <x:v>숲</x:v>
      </x:c>
      <x:c r="X239" s="8" t="str">
        <x:f>IF(T239&lt;&gt;"","수동확정",IF(MAX('서식지_점수'!E239:P239)-LARGE('서식지_점수'!E239:P239,2)&gt;=15,"높음",IF(MAX('서식지_점수'!E239:P239)-LARGE('서식지_점수'!E239:P239,2)&gt;=8,"보통","검토필요")))</x:f>
        <x:v>검토필요</x:v>
      </x:c>
      <x:c r="Y239" s="9" t="n">
        <x:f>IF(Q239="전설",8,IF(Q239="희귀",7,IF(J239="기본",1,IF(J239="중간",3,IF(J239="최종",IF(I239="",5,IF(I239&lt;=20,3,IF(I239&lt;=35,4,IF(I239&lt;=50,6,7)))),IF(Q239="드묾",4,2))))))</x:f>
        <x:v>2</x:v>
      </x:c>
      <x:c r="Z239" s="5" t="inlineStr">
        <x:is>
          <x:t xml:space="preserve">#cobblemon:is_overworld</x:t>
        </x:is>
      </x:c>
      <x:c r="AA239" s="5" t="inlineStr">
        <x:is>
          <x:t xml:space="preserve">common; rare</x:t>
        </x:is>
      </x:c>
      <x:c r="AB239" s="5" t="inlineStr">
        <x:is>
          <x:t xml:space="preserve">예</x:t>
        </x:is>
      </x:c>
      <x:c r="AC239" s="8" t="str">
        <x:f>IF(T239&lt;&gt;"","수동확정",IF(X239="검토필요","검토필요",IF(S239="","원본없음","초기완료")))</x:f>
        <x:v>검토필요</x:v>
      </x:c>
      <x:c r="AD239" s="7" t="inlineStr">
        <x:is>
          <x:t xml:space="preserve"/>
        </x:is>
      </x:c>
      <x:c r="AE239" s="5" t="inlineStr">
        <x:is>
          <x:t xml:space="preserve">.tmp/cobblemon-1.7.3-source/common/src/main/resources/data/cobblemon/species/generation2/smeargle.json</x:t>
        </x:is>
      </x:c>
      <x:c r="AF239" s="5" t="str">
        <x:f>"생활권|"&amp;K239</x:f>
        <x:v>생활권|육상</x:v>
      </x:c>
      <x:c r="AG239" s="5" t="str">
        <x:f>"지형|"&amp;L239</x:f>
        <x:v>지형|개활지</x:v>
      </x:c>
      <x:c r="AH239" s="5" t="str">
        <x:f>"온도|"&amp;M239</x:f>
        <x:v>온도|온대</x:v>
      </x:c>
      <x:c r="AI239" s="5" t="str">
        <x:f>"습도|"&amp;N239</x:f>
        <x:v>습도|보통</x:v>
      </x:c>
      <x:c r="AJ239" s="5" t="str">
        <x:f>"날씨|"&amp;O239</x:f>
        <x:v>날씨|무관</x:v>
      </x:c>
      <x:c r="AK239" s="5" t="str">
        <x:f>"특수태그|"&amp;R239</x:f>
        <x:v>특수태그|없음</x:v>
      </x:c>
      <x:c r="AL239" s="5" t="str">
        <x:f>"원본서식지|"&amp;S239</x:f>
        <x:v>원본서식지|</x:v>
      </x:c>
      <x:c r="AM239" s="5" t="str">
        <x:f>"타입|"&amp;F239</x:f>
        <x:v>타입|노말</x:v>
      </x:c>
      <x:c r="AN239" s="5" t="str">
        <x:f>"타입|"&amp;G239</x:f>
        <x:v>타입|</x:v>
      </x:c>
    </x:row>
    <x:row r="240" ht="24" customHeight="1">
      <x:c r="A240" s="5" t="n">
        <x:v>236</x:v>
      </x:c>
      <x:c r="B240" s="5" t="inlineStr">
        <x:is>
          <x:t xml:space="preserve">배루키</x:t>
        </x:is>
      </x:c>
      <x:c r="C240" s="5" t="inlineStr">
        <x:is>
          <x:t xml:space="preserve">tyrogue</x:t>
        </x:is>
      </x:c>
      <x:c r="D240" s="5" t="inlineStr">
        <x:is>
          <x:t xml:space="preserve">Tyrogue</x:t>
        </x:is>
      </x:c>
      <x:c r="E240" s="5" t="n">
        <x:v>2</x:v>
      </x:c>
      <x:c r="F240" s="5" t="inlineStr">
        <x:is>
          <x:t xml:space="preserve">격투</x:t>
        </x:is>
      </x:c>
      <x:c r="G240" s="5" t="inlineStr">
        <x:is>
          <x:t xml:space="preserve"/>
        </x:is>
      </x:c>
      <x:c r="H240" s="6" t="n">
        <x:v>21</x:v>
      </x:c>
      <x:c r="I240" s="5" t="n">
        <x:v>20</x:v>
      </x:c>
      <x:c r="J240" s="5" t="inlineStr">
        <x:is>
          <x:t xml:space="preserve">기본</x:t>
        </x:is>
      </x:c>
      <x:c r="K240" s="7" t="inlineStr">
        <x:is>
          <x:t xml:space="preserve">육상</x:t>
        </x:is>
      </x:c>
      <x:c r="L240" s="7" t="inlineStr">
        <x:is>
          <x:t xml:space="preserve">암석</x:t>
        </x:is>
      </x:c>
      <x:c r="M240" s="7" t="inlineStr">
        <x:is>
          <x:t xml:space="preserve">온대</x:t>
        </x:is>
      </x:c>
      <x:c r="N240" s="7" t="inlineStr">
        <x:is>
          <x:t xml:space="preserve">보통</x:t>
        </x:is>
      </x:c>
      <x:c r="O240" s="7" t="inlineStr">
        <x:is>
          <x:t xml:space="preserve">무관</x:t>
        </x:is>
      </x:c>
      <x:c r="P240" s="7" t="inlineStr">
        <x:is>
          <x:t xml:space="preserve">무관</x:t>
        </x:is>
      </x:c>
      <x:c r="Q240" s="7" t="inlineStr">
        <x:is>
          <x:t xml:space="preserve">보통</x:t>
        </x:is>
      </x:c>
      <x:c r="R240" s="7" t="inlineStr">
        <x:is>
          <x:t xml:space="preserve">없음</x:t>
        </x:is>
      </x:c>
      <x:c r="S240" s="7" t="inlineStr">
        <x:is>
          <x:t xml:space="preserve">산악</x:t>
        </x:is>
      </x:c>
      <x:c r="T240" s="7" t="inlineStr">
        <x:is>
          <x:t xml:space="preserve"/>
        </x:is>
      </x:c>
      <x:c r="U240" s="8" t="str">
        <x:f>INDEX('서식지_점수'!$E$4:$P$4,1,MATCH(MAX('서식지_점수'!E240:P240),'서식지_점수'!E240:P240,0))</x:f>
        <x:v>평원</x:v>
      </x:c>
      <x:c r="V240" s="8" t="str">
        <x:f>IF(T240&lt;&gt;"",T240,U240)</x:f>
        <x:v>평원</x:v>
      </x:c>
      <x:c r="W240" s="8" t="str">
        <x:f>IFERROR(INDEX('서식지_점수'!$E$4:$P$4,1,MATCH(MAXIFS('서식지_점수'!E240:P240,'서식지_점수'!E240:P240,"&lt;"&amp;MAX('서식지_점수'!E240:P240)),'서식지_점수'!E240:P240,0)),"")</x:f>
        <x:v>숲</x:v>
      </x:c>
      <x:c r="X240" s="8" t="str">
        <x:f>IF(T240&lt;&gt;"","수동확정",IF(MAX('서식지_점수'!E240:P240)-LARGE('서식지_점수'!E240:P240,2)&gt;=15,"높음",IF(MAX('서식지_점수'!E240:P240)-LARGE('서식지_점수'!E240:P240,2)&gt;=8,"보통","검토필요")))</x:f>
        <x:v>검토필요</x:v>
      </x:c>
      <x:c r="Y240" s="9" t="n">
        <x:f>IF(Q240="전설",8,IF(Q240="희귀",7,IF(J240="기본",1,IF(J240="중간",3,IF(J240="최종",IF(I240="",5,IF(I240&lt;=20,3,IF(I240&lt;=35,4,IF(I240&lt;=50,6,7)))),IF(Q240="드묾",4,2))))))</x:f>
        <x:v>1</x:v>
      </x:c>
      <x:c r="Z240" s="5" t="inlineStr">
        <x:is>
          <x:t xml:space="preserve">#cobblemon:is_hills</x:t>
        </x:is>
      </x:c>
      <x:c r="AA240" s="5" t="inlineStr">
        <x:is>
          <x:t xml:space="preserve">uncommon</x:t>
        </x:is>
      </x:c>
      <x:c r="AB240" s="5" t="inlineStr">
        <x:is>
          <x:t xml:space="preserve">예</x:t>
        </x:is>
      </x:c>
      <x:c r="AC240" s="8" t="str">
        <x:f>IF(T240&lt;&gt;"","수동확정",IF(X240="검토필요","검토필요",IF(S240="","원본없음","초기완료")))</x:f>
        <x:v>검토필요</x:v>
      </x:c>
      <x:c r="AD240" s="7" t="inlineStr">
        <x:is>
          <x:t xml:space="preserve"/>
        </x:is>
      </x:c>
      <x:c r="AE240" s="5" t="inlineStr">
        <x:is>
          <x:t xml:space="preserve">.tmp/cobblemon-1.7.3-source/common/src/main/resources/data/cobblemon/species/generation2/tyrogue.json</x:t>
        </x:is>
      </x:c>
      <x:c r="AF240" s="5" t="str">
        <x:f>"생활권|"&amp;K240</x:f>
        <x:v>생활권|육상</x:v>
      </x:c>
      <x:c r="AG240" s="5" t="str">
        <x:f>"지형|"&amp;L240</x:f>
        <x:v>지형|암석</x:v>
      </x:c>
      <x:c r="AH240" s="5" t="str">
        <x:f>"온도|"&amp;M240</x:f>
        <x:v>온도|온대</x:v>
      </x:c>
      <x:c r="AI240" s="5" t="str">
        <x:f>"습도|"&amp;N240</x:f>
        <x:v>습도|보통</x:v>
      </x:c>
      <x:c r="AJ240" s="5" t="str">
        <x:f>"날씨|"&amp;O240</x:f>
        <x:v>날씨|무관</x:v>
      </x:c>
      <x:c r="AK240" s="5" t="str">
        <x:f>"특수태그|"&amp;R240</x:f>
        <x:v>특수태그|없음</x:v>
      </x:c>
      <x:c r="AL240" s="5" t="str">
        <x:f>"원본서식지|"&amp;S240</x:f>
        <x:v>원본서식지|산악</x:v>
      </x:c>
      <x:c r="AM240" s="5" t="str">
        <x:f>"타입|"&amp;F240</x:f>
        <x:v>타입|격투</x:v>
      </x:c>
      <x:c r="AN240" s="5" t="str">
        <x:f>"타입|"&amp;G240</x:f>
        <x:v>타입|</x:v>
      </x:c>
    </x:row>
    <x:row r="241" ht="24" customHeight="1">
      <x:c r="A241" s="5" t="n">
        <x:v>237</x:v>
      </x:c>
      <x:c r="B241" s="5" t="inlineStr">
        <x:is>
          <x:t xml:space="preserve">카포에라</x:t>
        </x:is>
      </x:c>
      <x:c r="C241" s="5" t="inlineStr">
        <x:is>
          <x:t xml:space="preserve">hitmontop</x:t>
        </x:is>
      </x:c>
      <x:c r="D241" s="5" t="inlineStr">
        <x:is>
          <x:t xml:space="preserve">Hitmontop</x:t>
        </x:is>
      </x:c>
      <x:c r="E241" s="5" t="n">
        <x:v>2</x:v>
      </x:c>
      <x:c r="F241" s="5" t="inlineStr">
        <x:is>
          <x:t xml:space="preserve">격투</x:t>
        </x:is>
      </x:c>
      <x:c r="G241" s="5" t="inlineStr">
        <x:is>
          <x:t xml:space="preserve"/>
        </x:is>
      </x:c>
      <x:c r="H241" s="6" t="n">
        <x:v>48</x:v>
      </x:c>
      <x:c r="I241" s="5" t="n">
        <x:v>20</x:v>
      </x:c>
      <x:c r="J241" s="5" t="inlineStr">
        <x:is>
          <x:t xml:space="preserve">최종</x:t>
        </x:is>
      </x:c>
      <x:c r="K241" s="7" t="inlineStr">
        <x:is>
          <x:t xml:space="preserve">육상</x:t>
        </x:is>
      </x:c>
      <x:c r="L241" s="7" t="inlineStr">
        <x:is>
          <x:t xml:space="preserve">암석</x:t>
        </x:is>
      </x:c>
      <x:c r="M241" s="7" t="inlineStr">
        <x:is>
          <x:t xml:space="preserve">온대</x:t>
        </x:is>
      </x:c>
      <x:c r="N241" s="7" t="inlineStr">
        <x:is>
          <x:t xml:space="preserve">보통</x:t>
        </x:is>
      </x:c>
      <x:c r="O241" s="7" t="inlineStr">
        <x:is>
          <x:t xml:space="preserve">무관</x:t>
        </x:is>
      </x:c>
      <x:c r="P241" s="7" t="inlineStr">
        <x:is>
          <x:t xml:space="preserve">무관</x:t>
        </x:is>
      </x:c>
      <x:c r="Q241" s="7" t="inlineStr">
        <x:is>
          <x:t xml:space="preserve">보통</x:t>
        </x:is>
      </x:c>
      <x:c r="R241" s="7" t="inlineStr">
        <x:is>
          <x:t xml:space="preserve">없음</x:t>
        </x:is>
      </x:c>
      <x:c r="S241" s="7" t="inlineStr">
        <x:is>
          <x:t xml:space="preserve">산악</x:t>
        </x:is>
      </x:c>
      <x:c r="T241" s="7" t="inlineStr">
        <x:is>
          <x:t xml:space="preserve"/>
        </x:is>
      </x:c>
      <x:c r="U241" s="8" t="str">
        <x:f>INDEX('서식지_점수'!$E$4:$P$4,1,MATCH(MAX('서식지_점수'!E241:P241),'서식지_점수'!E241:P241,0))</x:f>
        <x:v>평원</x:v>
      </x:c>
      <x:c r="V241" s="8" t="str">
        <x:f>IF(T241&lt;&gt;"",T241,U241)</x:f>
        <x:v>평원</x:v>
      </x:c>
      <x:c r="W241" s="8" t="str">
        <x:f>IFERROR(INDEX('서식지_점수'!$E$4:$P$4,1,MATCH(MAXIFS('서식지_점수'!E241:P241,'서식지_점수'!E241:P241,"&lt;"&amp;MAX('서식지_점수'!E241:P241)),'서식지_점수'!E241:P241,0)),"")</x:f>
        <x:v>숲</x:v>
      </x:c>
      <x:c r="X241" s="8" t="str">
        <x:f>IF(T241&lt;&gt;"","수동확정",IF(MAX('서식지_점수'!E241:P241)-LARGE('서식지_점수'!E241:P241,2)&gt;=15,"높음",IF(MAX('서식지_점수'!E241:P241)-LARGE('서식지_점수'!E241:P241,2)&gt;=8,"보통","검토필요")))</x:f>
        <x:v>검토필요</x:v>
      </x:c>
      <x:c r="Y241" s="9" t="n">
        <x:f>IF(Q241="전설",8,IF(Q241="희귀",7,IF(J241="기본",1,IF(J241="중간",3,IF(J241="최종",IF(I241="",5,IF(I241&lt;=20,3,IF(I241&lt;=35,4,IF(I241&lt;=50,6,7)))),IF(Q241="드묾",4,2))))))</x:f>
        <x:v>3</x:v>
      </x:c>
      <x:c r="Z241" s="5" t="inlineStr">
        <x:is>
          <x:t xml:space="preserve">#cobblemon:is_hills</x:t>
        </x:is>
      </x:c>
      <x:c r="AA241" s="5" t="inlineStr">
        <x:is>
          <x:t xml:space="preserve">uncommon</x:t>
        </x:is>
      </x:c>
      <x:c r="AB241" s="5" t="inlineStr">
        <x:is>
          <x:t xml:space="preserve">예</x:t>
        </x:is>
      </x:c>
      <x:c r="AC241" s="8" t="str">
        <x:f>IF(T241&lt;&gt;"","수동확정",IF(X241="검토필요","검토필요",IF(S241="","원본없음","초기완료")))</x:f>
        <x:v>검토필요</x:v>
      </x:c>
      <x:c r="AD241" s="7" t="inlineStr">
        <x:is>
          <x:t xml:space="preserve"/>
        </x:is>
      </x:c>
      <x:c r="AE241" s="5" t="inlineStr">
        <x:is>
          <x:t xml:space="preserve">.tmp/cobblemon-1.7.3-source/common/src/main/resources/data/cobblemon/species/generation2/hitmontop.json</x:t>
        </x:is>
      </x:c>
      <x:c r="AF241" s="5" t="str">
        <x:f>"생활권|"&amp;K241</x:f>
        <x:v>생활권|육상</x:v>
      </x:c>
      <x:c r="AG241" s="5" t="str">
        <x:f>"지형|"&amp;L241</x:f>
        <x:v>지형|암석</x:v>
      </x:c>
      <x:c r="AH241" s="5" t="str">
        <x:f>"온도|"&amp;M241</x:f>
        <x:v>온도|온대</x:v>
      </x:c>
      <x:c r="AI241" s="5" t="str">
        <x:f>"습도|"&amp;N241</x:f>
        <x:v>습도|보통</x:v>
      </x:c>
      <x:c r="AJ241" s="5" t="str">
        <x:f>"날씨|"&amp;O241</x:f>
        <x:v>날씨|무관</x:v>
      </x:c>
      <x:c r="AK241" s="5" t="str">
        <x:f>"특수태그|"&amp;R241</x:f>
        <x:v>특수태그|없음</x:v>
      </x:c>
      <x:c r="AL241" s="5" t="str">
        <x:f>"원본서식지|"&amp;S241</x:f>
        <x:v>원본서식지|산악</x:v>
      </x:c>
      <x:c r="AM241" s="5" t="str">
        <x:f>"타입|"&amp;F241</x:f>
        <x:v>타입|격투</x:v>
      </x:c>
      <x:c r="AN241" s="5" t="str">
        <x:f>"타입|"&amp;G241</x:f>
        <x:v>타입|</x:v>
      </x:c>
    </x:row>
    <x:row r="242" ht="24" customHeight="1">
      <x:c r="A242" s="5" t="n">
        <x:v>238</x:v>
      </x:c>
      <x:c r="B242" s="5" t="inlineStr">
        <x:is>
          <x:t xml:space="preserve">뽀뽀라</x:t>
        </x:is>
      </x:c>
      <x:c r="C242" s="5" t="inlineStr">
        <x:is>
          <x:t xml:space="preserve">smoochum</x:t>
        </x:is>
      </x:c>
      <x:c r="D242" s="5" t="inlineStr">
        <x:is>
          <x:t xml:space="preserve">Smoochum</x:t>
        </x:is>
      </x:c>
      <x:c r="E242" s="5" t="n">
        <x:v>2</x:v>
      </x:c>
      <x:c r="F242" s="5" t="inlineStr">
        <x:is>
          <x:t xml:space="preserve">얼음</x:t>
        </x:is>
      </x:c>
      <x:c r="G242" s="5" t="inlineStr">
        <x:is>
          <x:t xml:space="preserve">에스퍼</x:t>
        </x:is>
      </x:c>
      <x:c r="H242" s="6" t="n">
        <x:v>6</x:v>
      </x:c>
      <x:c r="I242" s="5" t="n">
        <x:v>30</x:v>
      </x:c>
      <x:c r="J242" s="5" t="inlineStr">
        <x:is>
          <x:t xml:space="preserve">기본</x:t>
        </x:is>
      </x:c>
      <x:c r="K242" s="7" t="inlineStr">
        <x:is>
          <x:t xml:space="preserve">육상</x:t>
        </x:is>
      </x:c>
      <x:c r="L242" s="7" t="inlineStr">
        <x:is>
          <x:t xml:space="preserve">설원</x:t>
        </x:is>
      </x:c>
      <x:c r="M242" s="7" t="inlineStr">
        <x:is>
          <x:t xml:space="preserve">한랭</x:t>
        </x:is>
      </x:c>
      <x:c r="N242" s="7" t="inlineStr">
        <x:is>
          <x:t xml:space="preserve">보통</x:t>
        </x:is>
      </x:c>
      <x:c r="O242" s="7" t="inlineStr">
        <x:is>
          <x:t xml:space="preserve">무관</x:t>
        </x:is>
      </x:c>
      <x:c r="P242" s="7" t="inlineStr">
        <x:is>
          <x:t xml:space="preserve">무관</x:t>
        </x:is>
      </x:c>
      <x:c r="Q242" s="7" t="inlineStr">
        <x:is>
          <x:t xml:space="preserve">보통</x:t>
        </x:is>
      </x:c>
      <x:c r="R242" s="7" t="inlineStr">
        <x:is>
          <x:t xml:space="preserve">없음</x:t>
        </x:is>
      </x:c>
      <x:c r="S242" s="7" t="inlineStr">
        <x:is>
          <x:t xml:space="preserve"/>
        </x:is>
      </x:c>
      <x:c r="T242" s="7" t="inlineStr">
        <x:is>
          <x:t xml:space="preserve"/>
        </x:is>
      </x:c>
      <x:c r="U242" s="8" t="str">
        <x:f>INDEX('서식지_점수'!$E$4:$P$4,1,MATCH(MAX('서식지_점수'!E242:P242),'서식지_점수'!E242:P242,0))</x:f>
        <x:v>평원</x:v>
      </x:c>
      <x:c r="V242" s="8" t="str">
        <x:f>IF(T242&lt;&gt;"",T242,U242)</x:f>
        <x:v>평원</x:v>
      </x:c>
      <x:c r="W242" s="8" t="str">
        <x:f>IFERROR(INDEX('서식지_점수'!$E$4:$P$4,1,MATCH(MAXIFS('서식지_점수'!E242:P242,'서식지_점수'!E242:P242,"&lt;"&amp;MAX('서식지_점수'!E242:P242)),'서식지_점수'!E242:P242,0)),"")</x:f>
        <x:v>숲</x:v>
      </x:c>
      <x:c r="X242" s="8" t="str">
        <x:f>IF(T242&lt;&gt;"","수동확정",IF(MAX('서식지_점수'!E242:P242)-LARGE('서식지_점수'!E242:P242,2)&gt;=15,"높음",IF(MAX('서식지_점수'!E242:P242)-LARGE('서식지_점수'!E242:P242,2)&gt;=8,"보통","검토필요")))</x:f>
        <x:v>검토필요</x:v>
      </x:c>
      <x:c r="Y242" s="9" t="n">
        <x:f>IF(Q242="전설",8,IF(Q242="희귀",7,IF(J242="기본",1,IF(J242="중간",3,IF(J242="최종",IF(I242="",5,IF(I242&lt;=20,3,IF(I242&lt;=35,4,IF(I242&lt;=50,6,7)))),IF(Q242="드묾",4,2))))))</x:f>
        <x:v>1</x:v>
      </x:c>
      <x:c r="Z242" s="5" t="inlineStr">
        <x:is>
          <x:t xml:space="preserve">#cobblemon:is_freezing</x:t>
        </x:is>
      </x:c>
      <x:c r="AA242" s="5" t="inlineStr">
        <x:is>
          <x:t xml:space="preserve">uncommon</x:t>
        </x:is>
      </x:c>
      <x:c r="AB242" s="5" t="inlineStr">
        <x:is>
          <x:t xml:space="preserve">예</x:t>
        </x:is>
      </x:c>
      <x:c r="AC242" s="8" t="str">
        <x:f>IF(T242&lt;&gt;"","수동확정",IF(X242="검토필요","검토필요",IF(S242="","원본없음","초기완료")))</x:f>
        <x:v>검토필요</x:v>
      </x:c>
      <x:c r="AD242" s="7" t="inlineStr">
        <x:is>
          <x:t xml:space="preserve"/>
        </x:is>
      </x:c>
      <x:c r="AE242" s="5" t="inlineStr">
        <x:is>
          <x:t xml:space="preserve">.tmp/cobblemon-1.7.3-source/common/src/main/resources/data/cobblemon/species/generation2/smoochum.json</x:t>
        </x:is>
      </x:c>
      <x:c r="AF242" s="5" t="str">
        <x:f>"생활권|"&amp;K242</x:f>
        <x:v>생활권|육상</x:v>
      </x:c>
      <x:c r="AG242" s="5" t="str">
        <x:f>"지형|"&amp;L242</x:f>
        <x:v>지형|설원</x:v>
      </x:c>
      <x:c r="AH242" s="5" t="str">
        <x:f>"온도|"&amp;M242</x:f>
        <x:v>온도|한랭</x:v>
      </x:c>
      <x:c r="AI242" s="5" t="str">
        <x:f>"습도|"&amp;N242</x:f>
        <x:v>습도|보통</x:v>
      </x:c>
      <x:c r="AJ242" s="5" t="str">
        <x:f>"날씨|"&amp;O242</x:f>
        <x:v>날씨|무관</x:v>
      </x:c>
      <x:c r="AK242" s="5" t="str">
        <x:f>"특수태그|"&amp;R242</x:f>
        <x:v>특수태그|없음</x:v>
      </x:c>
      <x:c r="AL242" s="5" t="str">
        <x:f>"원본서식지|"&amp;S242</x:f>
        <x:v>원본서식지|</x:v>
      </x:c>
      <x:c r="AM242" s="5" t="str">
        <x:f>"타입|"&amp;F242</x:f>
        <x:v>타입|얼음</x:v>
      </x:c>
      <x:c r="AN242" s="5" t="str">
        <x:f>"타입|"&amp;G242</x:f>
        <x:v>타입|에스퍼</x:v>
      </x:c>
    </x:row>
    <x:row r="243" ht="24" customHeight="1">
      <x:c r="A243" s="5" t="n">
        <x:v>239</x:v>
      </x:c>
      <x:c r="B243" s="5" t="inlineStr">
        <x:is>
          <x:t xml:space="preserve">에레키드</x:t>
        </x:is>
      </x:c>
      <x:c r="C243" s="5" t="inlineStr">
        <x:is>
          <x:t xml:space="preserve">elekid</x:t>
        </x:is>
      </x:c>
      <x:c r="D243" s="5" t="inlineStr">
        <x:is>
          <x:t xml:space="preserve">Elekid</x:t>
        </x:is>
      </x:c>
      <x:c r="E243" s="5" t="n">
        <x:v>2</x:v>
      </x:c>
      <x:c r="F243" s="5" t="inlineStr">
        <x:is>
          <x:t xml:space="preserve">전기</x:t>
        </x:is>
      </x:c>
      <x:c r="G243" s="5" t="inlineStr">
        <x:is>
          <x:t xml:space="preserve"/>
        </x:is>
      </x:c>
      <x:c r="H243" s="6" t="n">
        <x:v>23.5</x:v>
      </x:c>
      <x:c r="I243" s="5" t="n">
        <x:v>30</x:v>
      </x:c>
      <x:c r="J243" s="5" t="inlineStr">
        <x:is>
          <x:t xml:space="preserve">기본</x:t>
        </x:is>
      </x:c>
      <x:c r="K243" s="7" t="inlineStr">
        <x:is>
          <x:t xml:space="preserve">육상</x:t>
        </x:is>
      </x:c>
      <x:c r="L243" s="7" t="inlineStr">
        <x:is>
          <x:t xml:space="preserve">암석</x:t>
        </x:is>
      </x:c>
      <x:c r="M243" s="7" t="inlineStr">
        <x:is>
          <x:t xml:space="preserve">온대</x:t>
        </x:is>
      </x:c>
      <x:c r="N243" s="7" t="inlineStr">
        <x:is>
          <x:t xml:space="preserve">보통</x:t>
        </x:is>
      </x:c>
      <x:c r="O243" s="7" t="inlineStr">
        <x:is>
          <x:t xml:space="preserve">무관</x:t>
        </x:is>
      </x:c>
      <x:c r="P243" s="7" t="inlineStr">
        <x:is>
          <x:t xml:space="preserve">무관</x:t>
        </x:is>
      </x:c>
      <x:c r="Q243" s="7" t="inlineStr">
        <x:is>
          <x:t xml:space="preserve">보통</x:t>
        </x:is>
      </x:c>
      <x:c r="R243" s="7" t="inlineStr">
        <x:is>
          <x:t xml:space="preserve">없음</x:t>
        </x:is>
      </x:c>
      <x:c r="S243" s="7" t="inlineStr">
        <x:is>
          <x:t xml:space="preserve">산악</x:t>
        </x:is>
      </x:c>
      <x:c r="T243" s="7" t="inlineStr">
        <x:is>
          <x:t xml:space="preserve"/>
        </x:is>
      </x:c>
      <x:c r="U243" s="8" t="str">
        <x:f>INDEX('서식지_점수'!$E$4:$P$4,1,MATCH(MAX('서식지_점수'!E243:P243),'서식지_점수'!E243:P243,0))</x:f>
        <x:v>평원</x:v>
      </x:c>
      <x:c r="V243" s="8" t="str">
        <x:f>IF(T243&lt;&gt;"",T243,U243)</x:f>
        <x:v>평원</x:v>
      </x:c>
      <x:c r="W243" s="8" t="str">
        <x:f>IFERROR(INDEX('서식지_점수'!$E$4:$P$4,1,MATCH(MAXIFS('서식지_점수'!E243:P243,'서식지_점수'!E243:P243,"&lt;"&amp;MAX('서식지_점수'!E243:P243)),'서식지_점수'!E243:P243,0)),"")</x:f>
        <x:v>숲</x:v>
      </x:c>
      <x:c r="X243" s="8" t="str">
        <x:f>IF(T243&lt;&gt;"","수동확정",IF(MAX('서식지_점수'!E243:P243)-LARGE('서식지_점수'!E243:P243,2)&gt;=15,"높음",IF(MAX('서식지_점수'!E243:P243)-LARGE('서식지_점수'!E243:P243,2)&gt;=8,"보통","검토필요")))</x:f>
        <x:v>검토필요</x:v>
      </x:c>
      <x:c r="Y243" s="9" t="n">
        <x:f>IF(Q243="전설",8,IF(Q243="희귀",7,IF(J243="기본",1,IF(J243="중간",3,IF(J243="최종",IF(I243="",5,IF(I243&lt;=20,3,IF(I243&lt;=35,4,IF(I243&lt;=50,6,7)))),IF(Q243="드묾",4,2))))))</x:f>
        <x:v>1</x:v>
      </x:c>
      <x:c r="Z243" s="5" t="inlineStr">
        <x:is>
          <x:t xml:space="preserve">#cobblemon:is_hills; #cobblemon:is_plains</x:t>
        </x:is>
      </x:c>
      <x:c r="AA243" s="5" t="inlineStr">
        <x:is>
          <x:t xml:space="preserve">uncommon</x:t>
        </x:is>
      </x:c>
      <x:c r="AB243" s="5" t="inlineStr">
        <x:is>
          <x:t xml:space="preserve">예</x:t>
        </x:is>
      </x:c>
      <x:c r="AC243" s="8" t="str">
        <x:f>IF(T243&lt;&gt;"","수동확정",IF(X243="검토필요","검토필요",IF(S243="","원본없음","초기완료")))</x:f>
        <x:v>검토필요</x:v>
      </x:c>
      <x:c r="AD243" s="7" t="inlineStr">
        <x:is>
          <x:t xml:space="preserve"/>
        </x:is>
      </x:c>
      <x:c r="AE243" s="5" t="inlineStr">
        <x:is>
          <x:t xml:space="preserve">.tmp/cobblemon-1.7.3-source/common/src/main/resources/data/cobblemon/species/generation2/elekid.json</x:t>
        </x:is>
      </x:c>
      <x:c r="AF243" s="5" t="str">
        <x:f>"생활권|"&amp;K243</x:f>
        <x:v>생활권|육상</x:v>
      </x:c>
      <x:c r="AG243" s="5" t="str">
        <x:f>"지형|"&amp;L243</x:f>
        <x:v>지형|암석</x:v>
      </x:c>
      <x:c r="AH243" s="5" t="str">
        <x:f>"온도|"&amp;M243</x:f>
        <x:v>온도|온대</x:v>
      </x:c>
      <x:c r="AI243" s="5" t="str">
        <x:f>"습도|"&amp;N243</x:f>
        <x:v>습도|보통</x:v>
      </x:c>
      <x:c r="AJ243" s="5" t="str">
        <x:f>"날씨|"&amp;O243</x:f>
        <x:v>날씨|무관</x:v>
      </x:c>
      <x:c r="AK243" s="5" t="str">
        <x:f>"특수태그|"&amp;R243</x:f>
        <x:v>특수태그|없음</x:v>
      </x:c>
      <x:c r="AL243" s="5" t="str">
        <x:f>"원본서식지|"&amp;S243</x:f>
        <x:v>원본서식지|산악</x:v>
      </x:c>
      <x:c r="AM243" s="5" t="str">
        <x:f>"타입|"&amp;F243</x:f>
        <x:v>타입|전기</x:v>
      </x:c>
      <x:c r="AN243" s="5" t="str">
        <x:f>"타입|"&amp;G243</x:f>
        <x:v>타입|</x:v>
      </x:c>
    </x:row>
    <x:row r="244" ht="24" customHeight="1">
      <x:c r="A244" s="5" t="n">
        <x:v>240</x:v>
      </x:c>
      <x:c r="B244" s="5" t="inlineStr">
        <x:is>
          <x:t xml:space="preserve">마그비</x:t>
        </x:is>
      </x:c>
      <x:c r="C244" s="5" t="inlineStr">
        <x:is>
          <x:t xml:space="preserve">magby</x:t>
        </x:is>
      </x:c>
      <x:c r="D244" s="5" t="inlineStr">
        <x:is>
          <x:t xml:space="preserve">Magby</x:t>
        </x:is>
      </x:c>
      <x:c r="E244" s="5" t="n">
        <x:v>2</x:v>
      </x:c>
      <x:c r="F244" s="5" t="inlineStr">
        <x:is>
          <x:t xml:space="preserve">불꽃</x:t>
        </x:is>
      </x:c>
      <x:c r="G244" s="5" t="inlineStr">
        <x:is>
          <x:t xml:space="preserve"/>
        </x:is>
      </x:c>
      <x:c r="H244" s="6" t="n">
        <x:v>21.4</x:v>
      </x:c>
      <x:c r="I244" s="5" t="n">
        <x:v>30</x:v>
      </x:c>
      <x:c r="J244" s="5" t="inlineStr">
        <x:is>
          <x:t xml:space="preserve">기본</x:t>
        </x:is>
      </x:c>
      <x:c r="K244" s="7" t="inlineStr">
        <x:is>
          <x:t xml:space="preserve">육상</x:t>
        </x:is>
      </x:c>
      <x:c r="L244" s="7" t="inlineStr">
        <x:is>
          <x:t xml:space="preserve">화산</x:t>
        </x:is>
      </x:c>
      <x:c r="M244" s="7" t="inlineStr">
        <x:is>
          <x:t xml:space="preserve">고온</x:t>
        </x:is>
      </x:c>
      <x:c r="N244" s="7" t="inlineStr">
        <x:is>
          <x:t xml:space="preserve">건조</x:t>
        </x:is>
      </x:c>
      <x:c r="O244" s="7" t="inlineStr">
        <x:is>
          <x:t xml:space="preserve">맑음</x:t>
        </x:is>
      </x:c>
      <x:c r="P244" s="7" t="inlineStr">
        <x:is>
          <x:t xml:space="preserve">무관</x:t>
        </x:is>
      </x:c>
      <x:c r="Q244" s="7" t="inlineStr">
        <x:is>
          <x:t xml:space="preserve">흔함</x:t>
        </x:is>
      </x:c>
      <x:c r="R244" s="7" t="inlineStr">
        <x:is>
          <x:t xml:space="preserve">화산</x:t>
        </x:is>
      </x:c>
      <x:c r="S244" s="7" t="inlineStr">
        <x:is>
          <x:t xml:space="preserve">화산</x:t>
        </x:is>
      </x:c>
      <x:c r="T244" s="7" t="inlineStr">
        <x:is>
          <x:t xml:space="preserve"/>
        </x:is>
      </x:c>
      <x:c r="U244" s="8" t="str">
        <x:f>INDEX('서식지_점수'!$E$4:$P$4,1,MATCH(MAX('서식지_점수'!E244:P244),'서식지_점수'!E244:P244,0))</x:f>
        <x:v>평원</x:v>
      </x:c>
      <x:c r="V244" s="8" t="str">
        <x:f>IF(T244&lt;&gt;"",T244,U244)</x:f>
        <x:v>평원</x:v>
      </x:c>
      <x:c r="W244" s="8" t="str">
        <x:f>IFERROR(INDEX('서식지_점수'!$E$4:$P$4,1,MATCH(MAXIFS('서식지_점수'!E244:P244,'서식지_점수'!E244:P244,"&lt;"&amp;MAX('서식지_점수'!E244:P244)),'서식지_점수'!E244:P244,0)),"")</x:f>
        <x:v>숲</x:v>
      </x:c>
      <x:c r="X244" s="8" t="str">
        <x:f>IF(T244&lt;&gt;"","수동확정",IF(MAX('서식지_점수'!E244:P244)-LARGE('서식지_점수'!E244:P244,2)&gt;=15,"높음",IF(MAX('서식지_점수'!E244:P244)-LARGE('서식지_점수'!E244:P244,2)&gt;=8,"보통","검토필요")))</x:f>
        <x:v>검토필요</x:v>
      </x:c>
      <x:c r="Y244" s="9" t="n">
        <x:f>IF(Q244="전설",8,IF(Q244="희귀",7,IF(J244="기본",1,IF(J244="중간",3,IF(J244="최종",IF(I244="",5,IF(I244&lt;=20,3,IF(I244&lt;=35,4,IF(I244&lt;=50,6,7)))),IF(Q244="드묾",4,2))))))</x:f>
        <x:v>1</x:v>
      </x:c>
      <x:c r="Z244" s="5" t="inlineStr">
        <x:is>
          <x:t xml:space="preserve">#cobblemon:is_hills; #cobblemon:is_volcanic; #cobblemon:nether/is_basalt; #cobblemon:nether/is_wasteland</x:t>
        </x:is>
      </x:c>
      <x:c r="AA244" s="5" t="inlineStr">
        <x:is>
          <x:t xml:space="preserve">common</x:t>
        </x:is>
      </x:c>
      <x:c r="AB244" s="5" t="inlineStr">
        <x:is>
          <x:t xml:space="preserve">예</x:t>
        </x:is>
      </x:c>
      <x:c r="AC244" s="8" t="str">
        <x:f>IF(T244&lt;&gt;"","수동확정",IF(X244="검토필요","검토필요",IF(S244="","원본없음","초기완료")))</x:f>
        <x:v>검토필요</x:v>
      </x:c>
      <x:c r="AD244" s="7" t="inlineStr">
        <x:is>
          <x:t xml:space="preserve"/>
        </x:is>
      </x:c>
      <x:c r="AE244" s="5" t="inlineStr">
        <x:is>
          <x:t xml:space="preserve">.tmp/cobblemon-1.7.3-source/common/src/main/resources/data/cobblemon/species/generation2/magby.json</x:t>
        </x:is>
      </x:c>
      <x:c r="AF244" s="5" t="str">
        <x:f>"생활권|"&amp;K244</x:f>
        <x:v>생활권|육상</x:v>
      </x:c>
      <x:c r="AG244" s="5" t="str">
        <x:f>"지형|"&amp;L244</x:f>
        <x:v>지형|화산</x:v>
      </x:c>
      <x:c r="AH244" s="5" t="str">
        <x:f>"온도|"&amp;M244</x:f>
        <x:v>온도|고온</x:v>
      </x:c>
      <x:c r="AI244" s="5" t="str">
        <x:f>"습도|"&amp;N244</x:f>
        <x:v>습도|건조</x:v>
      </x:c>
      <x:c r="AJ244" s="5" t="str">
        <x:f>"날씨|"&amp;O244</x:f>
        <x:v>날씨|맑음</x:v>
      </x:c>
      <x:c r="AK244" s="5" t="str">
        <x:f>"특수태그|"&amp;R244</x:f>
        <x:v>특수태그|화산</x:v>
      </x:c>
      <x:c r="AL244" s="5" t="str">
        <x:f>"원본서식지|"&amp;S244</x:f>
        <x:v>원본서식지|화산</x:v>
      </x:c>
      <x:c r="AM244" s="5" t="str">
        <x:f>"타입|"&amp;F244</x:f>
        <x:v>타입|불꽃</x:v>
      </x:c>
      <x:c r="AN244" s="5" t="str">
        <x:f>"타입|"&amp;G244</x:f>
        <x:v>타입|</x:v>
      </x:c>
    </x:row>
    <x:row r="245" ht="24" customHeight="1">
      <x:c r="A245" s="5" t="n">
        <x:v>241</x:v>
      </x:c>
      <x:c r="B245" s="5" t="inlineStr">
        <x:is>
          <x:t xml:space="preserve">밀탱크</x:t>
        </x:is>
      </x:c>
      <x:c r="C245" s="5" t="inlineStr">
        <x:is>
          <x:t xml:space="preserve">miltank</x:t>
        </x:is>
      </x:c>
      <x:c r="D245" s="5" t="inlineStr">
        <x:is>
          <x:t xml:space="preserve">Miltank</x:t>
        </x:is>
      </x:c>
      <x:c r="E245" s="5" t="n">
        <x:v>2</x:v>
      </x:c>
      <x:c r="F245" s="5" t="inlineStr">
        <x:is>
          <x:t xml:space="preserve">노말</x:t>
        </x:is>
      </x:c>
      <x:c r="G245" s="5" t="inlineStr">
        <x:is>
          <x:t xml:space="preserve"/>
        </x:is>
      </x:c>
      <x:c r="H245" s="6" t="n">
        <x:v>75.5</x:v>
      </x:c>
      <x:c r="I245" s="5" t="n"/>
      <x:c r="J245" s="5" t="inlineStr">
        <x:is>
          <x:t xml:space="preserve">무진화</x:t>
        </x:is>
      </x:c>
      <x:c r="K245" s="7" t="inlineStr">
        <x:is>
          <x:t xml:space="preserve">육상</x:t>
        </x:is>
      </x:c>
      <x:c r="L245" s="7" t="inlineStr">
        <x:is>
          <x:t xml:space="preserve">개활지</x:t>
        </x:is>
      </x:c>
      <x:c r="M245" s="7" t="inlineStr">
        <x:is>
          <x:t xml:space="preserve">온대</x:t>
        </x:is>
      </x:c>
      <x:c r="N245" s="7" t="inlineStr">
        <x:is>
          <x:t xml:space="preserve">보통</x:t>
        </x:is>
      </x:c>
      <x:c r="O245" s="7" t="inlineStr">
        <x:is>
          <x:t xml:space="preserve">무관</x:t>
        </x:is>
      </x:c>
      <x:c r="P245" s="7" t="inlineStr">
        <x:is>
          <x:t xml:space="preserve">무관</x:t>
        </x:is>
      </x:c>
      <x:c r="Q245" s="7" t="inlineStr">
        <x:is>
          <x:t xml:space="preserve">흔함</x:t>
        </x:is>
      </x:c>
      <x:c r="R245" s="7" t="inlineStr">
        <x:is>
          <x:t xml:space="preserve">없음</x:t>
        </x:is>
      </x:c>
      <x:c r="S245" s="7" t="inlineStr">
        <x:is>
          <x:t xml:space="preserve">평원</x:t>
        </x:is>
      </x:c>
      <x:c r="T245" s="7" t="inlineStr">
        <x:is>
          <x:t xml:space="preserve"/>
        </x:is>
      </x:c>
      <x:c r="U245" s="8" t="str">
        <x:f>INDEX('서식지_점수'!$E$4:$P$4,1,MATCH(MAX('서식지_점수'!E245:P245),'서식지_점수'!E245:P245,0))</x:f>
        <x:v>평원</x:v>
      </x:c>
      <x:c r="V245" s="8" t="str">
        <x:f>IF(T245&lt;&gt;"",T245,U245)</x:f>
        <x:v>평원</x:v>
      </x:c>
      <x:c r="W245" s="8" t="str">
        <x:f>IFERROR(INDEX('서식지_점수'!$E$4:$P$4,1,MATCH(MAXIFS('서식지_점수'!E245:P245,'서식지_점수'!E245:P245,"&lt;"&amp;MAX('서식지_점수'!E245:P245)),'서식지_점수'!E245:P245,0)),"")</x:f>
        <x:v>숲</x:v>
      </x:c>
      <x:c r="X245" s="8" t="str">
        <x:f>IF(T245&lt;&gt;"","수동확정",IF(MAX('서식지_점수'!E245:P245)-LARGE('서식지_점수'!E245:P245,2)&gt;=15,"높음",IF(MAX('서식지_점수'!E245:P245)-LARGE('서식지_점수'!E245:P245,2)&gt;=8,"보통","검토필요")))</x:f>
        <x:v>검토필요</x:v>
      </x:c>
      <x:c r="Y245" s="9" t="n">
        <x:f>IF(Q245="전설",8,IF(Q245="희귀",7,IF(J245="기본",1,IF(J245="중간",3,IF(J245="최종",IF(I245="",5,IF(I245&lt;=20,3,IF(I245&lt;=35,4,IF(I245&lt;=50,6,7)))),IF(Q245="드묾",4,2))))))</x:f>
        <x:v>2</x:v>
      </x:c>
      <x:c r="Z245" s="5" t="inlineStr">
        <x:is>
          <x:t xml:space="preserve">#cobblemon:is_grassland; minecraft:mushroom_fields</x:t>
        </x:is>
      </x:c>
      <x:c r="AA245" s="5" t="inlineStr">
        <x:is>
          <x:t xml:space="preserve">common</x:t>
        </x:is>
      </x:c>
      <x:c r="AB245" s="5" t="inlineStr">
        <x:is>
          <x:t xml:space="preserve">예</x:t>
        </x:is>
      </x:c>
      <x:c r="AC245" s="8" t="str">
        <x:f>IF(T245&lt;&gt;"","수동확정",IF(X245="검토필요","검토필요",IF(S245="","원본없음","초기완료")))</x:f>
        <x:v>검토필요</x:v>
      </x:c>
      <x:c r="AD245" s="7" t="inlineStr">
        <x:is>
          <x:t xml:space="preserve"/>
        </x:is>
      </x:c>
      <x:c r="AE245" s="5" t="inlineStr">
        <x:is>
          <x:t xml:space="preserve">.tmp/cobblemon-1.7.3-source/common/src/main/resources/data/cobblemon/species/generation2/miltank.json</x:t>
        </x:is>
      </x:c>
      <x:c r="AF245" s="5" t="str">
        <x:f>"생활권|"&amp;K245</x:f>
        <x:v>생활권|육상</x:v>
      </x:c>
      <x:c r="AG245" s="5" t="str">
        <x:f>"지형|"&amp;L245</x:f>
        <x:v>지형|개활지</x:v>
      </x:c>
      <x:c r="AH245" s="5" t="str">
        <x:f>"온도|"&amp;M245</x:f>
        <x:v>온도|온대</x:v>
      </x:c>
      <x:c r="AI245" s="5" t="str">
        <x:f>"습도|"&amp;N245</x:f>
        <x:v>습도|보통</x:v>
      </x:c>
      <x:c r="AJ245" s="5" t="str">
        <x:f>"날씨|"&amp;O245</x:f>
        <x:v>날씨|무관</x:v>
      </x:c>
      <x:c r="AK245" s="5" t="str">
        <x:f>"특수태그|"&amp;R245</x:f>
        <x:v>특수태그|없음</x:v>
      </x:c>
      <x:c r="AL245" s="5" t="str">
        <x:f>"원본서식지|"&amp;S245</x:f>
        <x:v>원본서식지|평원</x:v>
      </x:c>
      <x:c r="AM245" s="5" t="str">
        <x:f>"타입|"&amp;F245</x:f>
        <x:v>타입|노말</x:v>
      </x:c>
      <x:c r="AN245" s="5" t="str">
        <x:f>"타입|"&amp;G245</x:f>
        <x:v>타입|</x:v>
      </x:c>
    </x:row>
    <x:row r="246" ht="24" customHeight="1">
      <x:c r="A246" s="5" t="n">
        <x:v>242</x:v>
      </x:c>
      <x:c r="B246" s="5" t="inlineStr">
        <x:is>
          <x:t xml:space="preserve">해피너스</x:t>
        </x:is>
      </x:c>
      <x:c r="C246" s="5" t="inlineStr">
        <x:is>
          <x:t xml:space="preserve">blissey</x:t>
        </x:is>
      </x:c>
      <x:c r="D246" s="5" t="inlineStr">
        <x:is>
          <x:t xml:space="preserve">Blissey</x:t>
        </x:is>
      </x:c>
      <x:c r="E246" s="5" t="n">
        <x:v>2</x:v>
      </x:c>
      <x:c r="F246" s="5" t="inlineStr">
        <x:is>
          <x:t xml:space="preserve">노말</x:t>
        </x:is>
      </x:c>
      <x:c r="G246" s="5" t="inlineStr">
        <x:is>
          <x:t xml:space="preserve"/>
        </x:is>
      </x:c>
      <x:c r="H246" s="6" t="n">
        <x:v>46.8</x:v>
      </x:c>
      <x:c r="I246" s="5" t="n"/>
      <x:c r="J246" s="5" t="inlineStr">
        <x:is>
          <x:t xml:space="preserve">최종</x:t>
        </x:is>
      </x:c>
      <x:c r="K246" s="7" t="inlineStr">
        <x:is>
          <x:t xml:space="preserve">육상</x:t>
        </x:is>
      </x:c>
      <x:c r="L246" s="7" t="inlineStr">
        <x:is>
          <x:t xml:space="preserve">개활지</x:t>
        </x:is>
      </x:c>
      <x:c r="M246" s="7" t="inlineStr">
        <x:is>
          <x:t xml:space="preserve">온대</x:t>
        </x:is>
      </x:c>
      <x:c r="N246" s="7" t="inlineStr">
        <x:is>
          <x:t xml:space="preserve">보통</x:t>
        </x:is>
      </x:c>
      <x:c r="O246" s="7" t="inlineStr">
        <x:is>
          <x:t xml:space="preserve">무관</x:t>
        </x:is>
      </x:c>
      <x:c r="P246" s="7" t="inlineStr">
        <x:is>
          <x:t xml:space="preserve">무관</x:t>
        </x:is>
      </x:c>
      <x:c r="Q246" s="7" t="inlineStr">
        <x:is>
          <x:t xml:space="preserve">드묾</x:t>
        </x:is>
      </x:c>
      <x:c r="R246" s="7" t="inlineStr">
        <x:is>
          <x:t xml:space="preserve">없음</x:t>
        </x:is>
      </x:c>
      <x:c r="S246" s="7" t="inlineStr">
        <x:is>
          <x:t xml:space="preserve"/>
        </x:is>
      </x:c>
      <x:c r="T246" s="7" t="inlineStr">
        <x:is>
          <x:t xml:space="preserve"/>
        </x:is>
      </x:c>
      <x:c r="U246" s="8" t="str">
        <x:f>INDEX('서식지_점수'!$E$4:$P$4,1,MATCH(MAX('서식지_점수'!E246:P246),'서식지_점수'!E246:P246,0))</x:f>
        <x:v>평원</x:v>
      </x:c>
      <x:c r="V246" s="8" t="str">
        <x:f>IF(T246&lt;&gt;"",T246,U246)</x:f>
        <x:v>평원</x:v>
      </x:c>
      <x:c r="W246" s="8" t="str">
        <x:f>IFERROR(INDEX('서식지_점수'!$E$4:$P$4,1,MATCH(MAXIFS('서식지_점수'!E246:P246,'서식지_점수'!E246:P246,"&lt;"&amp;MAX('서식지_점수'!E246:P246)),'서식지_점수'!E246:P246,0)),"")</x:f>
        <x:v>숲</x:v>
      </x:c>
      <x:c r="X246" s="8" t="str">
        <x:f>IF(T246&lt;&gt;"","수동확정",IF(MAX('서식지_점수'!E246:P246)-LARGE('서식지_점수'!E246:P246,2)&gt;=15,"높음",IF(MAX('서식지_점수'!E246:P246)-LARGE('서식지_점수'!E246:P246,2)&gt;=8,"보통","검토필요")))</x:f>
        <x:v>검토필요</x:v>
      </x:c>
      <x:c r="Y246" s="9" t="n">
        <x:f>IF(Q246="전설",8,IF(Q246="희귀",7,IF(J246="기본",1,IF(J246="중간",3,IF(J246="최종",IF(I246="",5,IF(I246&lt;=20,3,IF(I246&lt;=35,4,IF(I246&lt;=50,6,7)))),IF(Q246="드묾",4,2))))))</x:f>
        <x:v>5</x:v>
      </x:c>
      <x:c r="Z246" s="5" t="inlineStr">
        <x:is>
          <x:t xml:space="preserve">#aether:is_aether; #cobblemon:is_overworld</x:t>
        </x:is>
      </x:c>
      <x:c r="AA246" s="5" t="inlineStr">
        <x:is>
          <x:t xml:space="preserve">rare</x:t>
        </x:is>
      </x:c>
      <x:c r="AB246" s="5" t="inlineStr">
        <x:is>
          <x:t xml:space="preserve">예</x:t>
        </x:is>
      </x:c>
      <x:c r="AC246" s="8" t="str">
        <x:f>IF(T246&lt;&gt;"","수동확정",IF(X246="검토필요","검토필요",IF(S246="","원본없음","초기완료")))</x:f>
        <x:v>검토필요</x:v>
      </x:c>
      <x:c r="AD246" s="7" t="inlineStr">
        <x:is>
          <x:t xml:space="preserve"/>
        </x:is>
      </x:c>
      <x:c r="AE246" s="5" t="inlineStr">
        <x:is>
          <x:t xml:space="preserve">.tmp/cobblemon-1.7.3-source/common/src/main/resources/data/cobblemon/species/generation2/blissey.json</x:t>
        </x:is>
      </x:c>
      <x:c r="AF246" s="5" t="str">
        <x:f>"생활권|"&amp;K246</x:f>
        <x:v>생활권|육상</x:v>
      </x:c>
      <x:c r="AG246" s="5" t="str">
        <x:f>"지형|"&amp;L246</x:f>
        <x:v>지형|개활지</x:v>
      </x:c>
      <x:c r="AH246" s="5" t="str">
        <x:f>"온도|"&amp;M246</x:f>
        <x:v>온도|온대</x:v>
      </x:c>
      <x:c r="AI246" s="5" t="str">
        <x:f>"습도|"&amp;N246</x:f>
        <x:v>습도|보통</x:v>
      </x:c>
      <x:c r="AJ246" s="5" t="str">
        <x:f>"날씨|"&amp;O246</x:f>
        <x:v>날씨|무관</x:v>
      </x:c>
      <x:c r="AK246" s="5" t="str">
        <x:f>"특수태그|"&amp;R246</x:f>
        <x:v>특수태그|없음</x:v>
      </x:c>
      <x:c r="AL246" s="5" t="str">
        <x:f>"원본서식지|"&amp;S246</x:f>
        <x:v>원본서식지|</x:v>
      </x:c>
      <x:c r="AM246" s="5" t="str">
        <x:f>"타입|"&amp;F246</x:f>
        <x:v>타입|노말</x:v>
      </x:c>
      <x:c r="AN246" s="5" t="str">
        <x:f>"타입|"&amp;G246</x:f>
        <x:v>타입|</x:v>
      </x:c>
    </x:row>
    <x:row r="247" ht="24" customHeight="1">
      <x:c r="A247" s="5" t="n">
        <x:v>243</x:v>
      </x:c>
      <x:c r="B247" s="5" t="inlineStr">
        <x:is>
          <x:t xml:space="preserve">라이코</x:t>
        </x:is>
      </x:c>
      <x:c r="C247" s="5" t="inlineStr">
        <x:is>
          <x:t xml:space="preserve">raikou</x:t>
        </x:is>
      </x:c>
      <x:c r="D247" s="5" t="inlineStr">
        <x:is>
          <x:t xml:space="preserve">Raikou</x:t>
        </x:is>
      </x:c>
      <x:c r="E247" s="5" t="n">
        <x:v>2</x:v>
      </x:c>
      <x:c r="F247" s="5" t="inlineStr">
        <x:is>
          <x:t xml:space="preserve">전기</x:t>
        </x:is>
      </x:c>
      <x:c r="G247" s="5" t="inlineStr">
        <x:is>
          <x:t xml:space="preserve"/>
        </x:is>
      </x:c>
      <x:c r="H247" s="6" t="n">
        <x:v>178</x:v>
      </x:c>
      <x:c r="I247" s="5" t="n"/>
      <x:c r="J247" s="5" t="inlineStr">
        <x:is>
          <x:t xml:space="preserve">무진화</x:t>
        </x:is>
      </x:c>
      <x:c r="K247" s="7" t="inlineStr">
        <x:is>
          <x:t xml:space="preserve">육상</x:t>
        </x:is>
      </x:c>
      <x:c r="L247" s="7" t="inlineStr">
        <x:is>
          <x:t xml:space="preserve">개활지</x:t>
        </x:is>
      </x:c>
      <x:c r="M247" s="7" t="inlineStr">
        <x:is>
          <x:t xml:space="preserve">온대</x:t>
        </x:is>
      </x:c>
      <x:c r="N247" s="7" t="inlineStr">
        <x:is>
          <x:t xml:space="preserve">보통</x:t>
        </x:is>
      </x:c>
      <x:c r="O247" s="7" t="inlineStr">
        <x:is>
          <x:t xml:space="preserve">무관</x:t>
        </x:is>
      </x:c>
      <x:c r="P247" s="7" t="inlineStr">
        <x:is>
          <x:t xml:space="preserve">무관</x:t>
        </x:is>
      </x:c>
      <x:c r="Q247" s="7" t="inlineStr">
        <x:is>
          <x:t xml:space="preserve">전설</x:t>
        </x:is>
      </x:c>
      <x:c r="R247" s="7" t="inlineStr">
        <x:is>
          <x:t xml:space="preserve">전설</x:t>
        </x:is>
      </x:c>
      <x:c r="S247" s="7" t="inlineStr">
        <x:is>
          <x:t xml:space="preserve"/>
        </x:is>
      </x:c>
      <x:c r="T247" s="7" t="inlineStr">
        <x:is>
          <x:t xml:space="preserve"/>
        </x:is>
      </x:c>
      <x:c r="U247" s="8" t="str">
        <x:f>INDEX('서식지_점수'!$E$4:$P$4,1,MATCH(MAX('서식지_점수'!E247:P247),'서식지_점수'!E247:P247,0))</x:f>
        <x:v>평원</x:v>
      </x:c>
      <x:c r="V247" s="8" t="str">
        <x:f>IF(T247&lt;&gt;"",T247,U247)</x:f>
        <x:v>평원</x:v>
      </x:c>
      <x:c r="W247" s="8" t="str">
        <x:f>IFERROR(INDEX('서식지_점수'!$E$4:$P$4,1,MATCH(MAXIFS('서식지_점수'!E247:P247,'서식지_점수'!E247:P247,"&lt;"&amp;MAX('서식지_점수'!E247:P247)),'서식지_점수'!E247:P247,0)),"")</x:f>
        <x:v>숲</x:v>
      </x:c>
      <x:c r="X247" s="8" t="str">
        <x:f>IF(T247&lt;&gt;"","수동확정",IF(MAX('서식지_점수'!E247:P247)-LARGE('서식지_점수'!E247:P247,2)&gt;=15,"높음",IF(MAX('서식지_점수'!E247:P247)-LARGE('서식지_점수'!E247:P247,2)&gt;=8,"보통","검토필요")))</x:f>
        <x:v>검토필요</x:v>
      </x:c>
      <x:c r="Y247" s="9" t="n">
        <x:f>IF(Q247="전설",8,IF(Q247="희귀",7,IF(J247="기본",1,IF(J247="중간",3,IF(J247="최종",IF(I247="",5,IF(I247&lt;=20,3,IF(I247&lt;=35,4,IF(I247&lt;=50,6,7)))),IF(Q247="드묾",4,2))))))</x:f>
        <x:v>8</x:v>
      </x:c>
      <x:c r="Z247" s="5" t="inlineStr">
        <x:is>
          <x:t xml:space="preserve"/>
        </x:is>
      </x:c>
      <x:c r="AA247" s="5" t="inlineStr">
        <x:is>
          <x:t xml:space="preserve">ultra-rare</x:t>
        </x:is>
      </x:c>
      <x:c r="AB247" s="5" t="inlineStr">
        <x:is>
          <x:t xml:space="preserve">아니오</x:t>
        </x:is>
      </x:c>
      <x:c r="AC247" s="8" t="str">
        <x:f>IF(T247&lt;&gt;"","수동확정",IF(X247="검토필요","검토필요",IF(S247="","원본없음","초기완료")))</x:f>
        <x:v>검토필요</x:v>
      </x:c>
      <x:c r="AD247" s="7" t="inlineStr">
        <x:is>
          <x:t xml:space="preserve"/>
        </x:is>
      </x:c>
      <x:c r="AE247" s="5" t="inlineStr">
        <x:is>
          <x:t xml:space="preserve">.tmp/cobblemon-1.7.3-source/common/src/main/resources/data/cobblemon/species/generation2/raikou.json</x:t>
        </x:is>
      </x:c>
      <x:c r="AF247" s="5" t="str">
        <x:f>"생활권|"&amp;K247</x:f>
        <x:v>생활권|육상</x:v>
      </x:c>
      <x:c r="AG247" s="5" t="str">
        <x:f>"지형|"&amp;L247</x:f>
        <x:v>지형|개활지</x:v>
      </x:c>
      <x:c r="AH247" s="5" t="str">
        <x:f>"온도|"&amp;M247</x:f>
        <x:v>온도|온대</x:v>
      </x:c>
      <x:c r="AI247" s="5" t="str">
        <x:f>"습도|"&amp;N247</x:f>
        <x:v>습도|보통</x:v>
      </x:c>
      <x:c r="AJ247" s="5" t="str">
        <x:f>"날씨|"&amp;O247</x:f>
        <x:v>날씨|무관</x:v>
      </x:c>
      <x:c r="AK247" s="5" t="str">
        <x:f>"특수태그|"&amp;R247</x:f>
        <x:v>특수태그|전설</x:v>
      </x:c>
      <x:c r="AL247" s="5" t="str">
        <x:f>"원본서식지|"&amp;S247</x:f>
        <x:v>원본서식지|</x:v>
      </x:c>
      <x:c r="AM247" s="5" t="str">
        <x:f>"타입|"&amp;F247</x:f>
        <x:v>타입|전기</x:v>
      </x:c>
      <x:c r="AN247" s="5" t="str">
        <x:f>"타입|"&amp;G247</x:f>
        <x:v>타입|</x:v>
      </x:c>
    </x:row>
    <x:row r="248" ht="24" customHeight="1">
      <x:c r="A248" s="5" t="n">
        <x:v>244</x:v>
      </x:c>
      <x:c r="B248" s="5" t="inlineStr">
        <x:is>
          <x:t xml:space="preserve">앤테이</x:t>
        </x:is>
      </x:c>
      <x:c r="C248" s="5" t="inlineStr">
        <x:is>
          <x:t xml:space="preserve">entei</x:t>
        </x:is>
      </x:c>
      <x:c r="D248" s="5" t="inlineStr">
        <x:is>
          <x:t xml:space="preserve">Entei</x:t>
        </x:is>
      </x:c>
      <x:c r="E248" s="5" t="n">
        <x:v>2</x:v>
      </x:c>
      <x:c r="F248" s="5" t="inlineStr">
        <x:is>
          <x:t xml:space="preserve">불꽃</x:t>
        </x:is>
      </x:c>
      <x:c r="G248" s="5" t="inlineStr">
        <x:is>
          <x:t xml:space="preserve"/>
        </x:is>
      </x:c>
      <x:c r="H248" s="6" t="n">
        <x:v>198</x:v>
      </x:c>
      <x:c r="I248" s="5" t="n"/>
      <x:c r="J248" s="5" t="inlineStr">
        <x:is>
          <x:t xml:space="preserve">무진화</x:t>
        </x:is>
      </x:c>
      <x:c r="K248" s="7" t="inlineStr">
        <x:is>
          <x:t xml:space="preserve">육상</x:t>
        </x:is>
      </x:c>
      <x:c r="L248" s="7" t="inlineStr">
        <x:is>
          <x:t xml:space="preserve">개활지</x:t>
        </x:is>
      </x:c>
      <x:c r="M248" s="7" t="inlineStr">
        <x:is>
          <x:t xml:space="preserve">고온</x:t>
        </x:is>
      </x:c>
      <x:c r="N248" s="7" t="inlineStr">
        <x:is>
          <x:t xml:space="preserve">보통</x:t>
        </x:is>
      </x:c>
      <x:c r="O248" s="7" t="inlineStr">
        <x:is>
          <x:t xml:space="preserve">무관</x:t>
        </x:is>
      </x:c>
      <x:c r="P248" s="7" t="inlineStr">
        <x:is>
          <x:t xml:space="preserve">무관</x:t>
        </x:is>
      </x:c>
      <x:c r="Q248" s="7" t="inlineStr">
        <x:is>
          <x:t xml:space="preserve">전설</x:t>
        </x:is>
      </x:c>
      <x:c r="R248" s="7" t="inlineStr">
        <x:is>
          <x:t xml:space="preserve">전설</x:t>
        </x:is>
      </x:c>
      <x:c r="S248" s="7" t="inlineStr">
        <x:is>
          <x:t xml:space="preserve"/>
        </x:is>
      </x:c>
      <x:c r="T248" s="7" t="inlineStr">
        <x:is>
          <x:t xml:space="preserve"/>
        </x:is>
      </x:c>
      <x:c r="U248" s="8" t="str">
        <x:f>INDEX('서식지_점수'!$E$4:$P$4,1,MATCH(MAX('서식지_점수'!E248:P248),'서식지_점수'!E248:P248,0))</x:f>
        <x:v>평원</x:v>
      </x:c>
      <x:c r="V248" s="8" t="str">
        <x:f>IF(T248&lt;&gt;"",T248,U248)</x:f>
        <x:v>평원</x:v>
      </x:c>
      <x:c r="W248" s="8" t="str">
        <x:f>IFERROR(INDEX('서식지_점수'!$E$4:$P$4,1,MATCH(MAXIFS('서식지_점수'!E248:P248,'서식지_점수'!E248:P248,"&lt;"&amp;MAX('서식지_점수'!E248:P248)),'서식지_점수'!E248:P248,0)),"")</x:f>
        <x:v>숲</x:v>
      </x:c>
      <x:c r="X248" s="8" t="str">
        <x:f>IF(T248&lt;&gt;"","수동확정",IF(MAX('서식지_점수'!E248:P248)-LARGE('서식지_점수'!E248:P248,2)&gt;=15,"높음",IF(MAX('서식지_점수'!E248:P248)-LARGE('서식지_점수'!E248:P248,2)&gt;=8,"보통","검토필요")))</x:f>
        <x:v>검토필요</x:v>
      </x:c>
      <x:c r="Y248" s="9" t="n">
        <x:f>IF(Q248="전설",8,IF(Q248="희귀",7,IF(J248="기본",1,IF(J248="중간",3,IF(J248="최종",IF(I248="",5,IF(I248&lt;=20,3,IF(I248&lt;=35,4,IF(I248&lt;=50,6,7)))),IF(Q248="드묾",4,2))))))</x:f>
        <x:v>8</x:v>
      </x:c>
      <x:c r="Z248" s="5" t="inlineStr">
        <x:is>
          <x:t xml:space="preserve"/>
        </x:is>
      </x:c>
      <x:c r="AA248" s="5" t="inlineStr">
        <x:is>
          <x:t xml:space="preserve">ultra-rare</x:t>
        </x:is>
      </x:c>
      <x:c r="AB248" s="5" t="inlineStr">
        <x:is>
          <x:t xml:space="preserve">아니오</x:t>
        </x:is>
      </x:c>
      <x:c r="AC248" s="8" t="str">
        <x:f>IF(T248&lt;&gt;"","수동확정",IF(X248="검토필요","검토필요",IF(S248="","원본없음","초기완료")))</x:f>
        <x:v>검토필요</x:v>
      </x:c>
      <x:c r="AD248" s="7" t="inlineStr">
        <x:is>
          <x:t xml:space="preserve"/>
        </x:is>
      </x:c>
      <x:c r="AE248" s="5" t="inlineStr">
        <x:is>
          <x:t xml:space="preserve">.tmp/cobblemon-1.7.3-source/common/src/main/resources/data/cobblemon/species/generation2/entei.json</x:t>
        </x:is>
      </x:c>
      <x:c r="AF248" s="5" t="str">
        <x:f>"생활권|"&amp;K248</x:f>
        <x:v>생활권|육상</x:v>
      </x:c>
      <x:c r="AG248" s="5" t="str">
        <x:f>"지형|"&amp;L248</x:f>
        <x:v>지형|개활지</x:v>
      </x:c>
      <x:c r="AH248" s="5" t="str">
        <x:f>"온도|"&amp;M248</x:f>
        <x:v>온도|고온</x:v>
      </x:c>
      <x:c r="AI248" s="5" t="str">
        <x:f>"습도|"&amp;N248</x:f>
        <x:v>습도|보통</x:v>
      </x:c>
      <x:c r="AJ248" s="5" t="str">
        <x:f>"날씨|"&amp;O248</x:f>
        <x:v>날씨|무관</x:v>
      </x:c>
      <x:c r="AK248" s="5" t="str">
        <x:f>"특수태그|"&amp;R248</x:f>
        <x:v>특수태그|전설</x:v>
      </x:c>
      <x:c r="AL248" s="5" t="str">
        <x:f>"원본서식지|"&amp;S248</x:f>
        <x:v>원본서식지|</x:v>
      </x:c>
      <x:c r="AM248" s="5" t="str">
        <x:f>"타입|"&amp;F248</x:f>
        <x:v>타입|불꽃</x:v>
      </x:c>
      <x:c r="AN248" s="5" t="str">
        <x:f>"타입|"&amp;G248</x:f>
        <x:v>타입|</x:v>
      </x:c>
    </x:row>
    <x:row r="249" ht="24" customHeight="1">
      <x:c r="A249" s="5" t="n">
        <x:v>245</x:v>
      </x:c>
      <x:c r="B249" s="5" t="inlineStr">
        <x:is>
          <x:t xml:space="preserve">스이쿤</x:t>
        </x:is>
      </x:c>
      <x:c r="C249" s="5" t="inlineStr">
        <x:is>
          <x:t xml:space="preserve">suicune</x:t>
        </x:is>
      </x:c>
      <x:c r="D249" s="5" t="inlineStr">
        <x:is>
          <x:t xml:space="preserve">Suicune</x:t>
        </x:is>
      </x:c>
      <x:c r="E249" s="5" t="n">
        <x:v>2</x:v>
      </x:c>
      <x:c r="F249" s="5" t="inlineStr">
        <x:is>
          <x:t xml:space="preserve">물</x:t>
        </x:is>
      </x:c>
      <x:c r="G249" s="5" t="inlineStr">
        <x:is>
          <x:t xml:space="preserve"/>
        </x:is>
      </x:c>
      <x:c r="H249" s="6" t="n">
        <x:v>187</x:v>
      </x:c>
      <x:c r="I249" s="5" t="n"/>
      <x:c r="J249" s="5" t="inlineStr">
        <x:is>
          <x:t xml:space="preserve">무진화</x:t>
        </x:is>
      </x:c>
      <x:c r="K249" s="7" t="inlineStr">
        <x:is>
          <x:t xml:space="preserve">수륙</x:t>
        </x:is>
      </x:c>
      <x:c r="L249" s="7" t="inlineStr">
        <x:is>
          <x:t xml:space="preserve">담수</x:t>
        </x:is>
      </x:c>
      <x:c r="M249" s="7" t="inlineStr">
        <x:is>
          <x:t xml:space="preserve">온대</x:t>
        </x:is>
      </x:c>
      <x:c r="N249" s="7" t="inlineStr">
        <x:is>
          <x:t xml:space="preserve">보통</x:t>
        </x:is>
      </x:c>
      <x:c r="O249" s="7" t="inlineStr">
        <x:is>
          <x:t xml:space="preserve">무관</x:t>
        </x:is>
      </x:c>
      <x:c r="P249" s="7" t="inlineStr">
        <x:is>
          <x:t xml:space="preserve">무관</x:t>
        </x:is>
      </x:c>
      <x:c r="Q249" s="7" t="inlineStr">
        <x:is>
          <x:t xml:space="preserve">전설</x:t>
        </x:is>
      </x:c>
      <x:c r="R249" s="7" t="inlineStr">
        <x:is>
          <x:t xml:space="preserve">전설</x:t>
        </x:is>
      </x:c>
      <x:c r="S249" s="7" t="inlineStr">
        <x:is>
          <x:t xml:space="preserve"/>
        </x:is>
      </x:c>
      <x:c r="T249" s="7" t="inlineStr">
        <x:is>
          <x:t xml:space="preserve"/>
        </x:is>
      </x:c>
      <x:c r="U249" s="8" t="str">
        <x:f>INDEX('서식지_점수'!$E$4:$P$4,1,MATCH(MAX('서식지_점수'!E249:P249),'서식지_점수'!E249:P249,0))</x:f>
        <x:v>습지</x:v>
      </x:c>
      <x:c r="V249" s="8" t="str">
        <x:f>IF(T249&lt;&gt;"",T249,U249)</x:f>
        <x:v>습지</x:v>
      </x:c>
      <x:c r="W249" s="8" t="str">
        <x:f>IFERROR(INDEX('서식지_점수'!$E$4:$P$4,1,MATCH(MAXIFS('서식지_점수'!E249:P249,'서식지_점수'!E249:P249,"&lt;"&amp;MAX('서식지_점수'!E249:P249)),'서식지_점수'!E249:P249,0)),"")</x:f>
        <x:v>담수</x:v>
      </x:c>
      <x:c r="X249" s="8" t="str">
        <x:f>IF(T249&lt;&gt;"","수동확정",IF(MAX('서식지_점수'!E249:P249)-LARGE('서식지_점수'!E249:P249,2)&gt;=15,"높음",IF(MAX('서식지_점수'!E249:P249)-LARGE('서식지_점수'!E249:P249,2)&gt;=8,"보통","검토필요")))</x:f>
        <x:v>검토필요</x:v>
      </x:c>
      <x:c r="Y249" s="9" t="n">
        <x:f>IF(Q249="전설",8,IF(Q249="희귀",7,IF(J249="기본",1,IF(J249="중간",3,IF(J249="최종",IF(I249="",5,IF(I249&lt;=20,3,IF(I249&lt;=35,4,IF(I249&lt;=50,6,7)))),IF(Q249="드묾",4,2))))))</x:f>
        <x:v>8</x:v>
      </x:c>
      <x:c r="Z249" s="5" t="inlineStr">
        <x:is>
          <x:t xml:space="preserve"/>
        </x:is>
      </x:c>
      <x:c r="AA249" s="5" t="inlineStr">
        <x:is>
          <x:t xml:space="preserve">ultra-rare</x:t>
        </x:is>
      </x:c>
      <x:c r="AB249" s="5" t="inlineStr">
        <x:is>
          <x:t xml:space="preserve">아니오</x:t>
        </x:is>
      </x:c>
      <x:c r="AC249" s="8" t="str">
        <x:f>IF(T249&lt;&gt;"","수동확정",IF(X249="검토필요","검토필요",IF(S249="","원본없음","초기완료")))</x:f>
        <x:v>검토필요</x:v>
      </x:c>
      <x:c r="AD249" s="7" t="inlineStr">
        <x:is>
          <x:t xml:space="preserve"/>
        </x:is>
      </x:c>
      <x:c r="AE249" s="5" t="inlineStr">
        <x:is>
          <x:t xml:space="preserve">.tmp/cobblemon-1.7.3-source/common/src/main/resources/data/cobblemon/species/generation2/suicune.json</x:t>
        </x:is>
      </x:c>
      <x:c r="AF249" s="5" t="str">
        <x:f>"생활권|"&amp;K249</x:f>
        <x:v>생활권|수륙</x:v>
      </x:c>
      <x:c r="AG249" s="5" t="str">
        <x:f>"지형|"&amp;L249</x:f>
        <x:v>지형|담수</x:v>
      </x:c>
      <x:c r="AH249" s="5" t="str">
        <x:f>"온도|"&amp;M249</x:f>
        <x:v>온도|온대</x:v>
      </x:c>
      <x:c r="AI249" s="5" t="str">
        <x:f>"습도|"&amp;N249</x:f>
        <x:v>습도|보통</x:v>
      </x:c>
      <x:c r="AJ249" s="5" t="str">
        <x:f>"날씨|"&amp;O249</x:f>
        <x:v>날씨|무관</x:v>
      </x:c>
      <x:c r="AK249" s="5" t="str">
        <x:f>"특수태그|"&amp;R249</x:f>
        <x:v>특수태그|전설</x:v>
      </x:c>
      <x:c r="AL249" s="5" t="str">
        <x:f>"원본서식지|"&amp;S249</x:f>
        <x:v>원본서식지|</x:v>
      </x:c>
      <x:c r="AM249" s="5" t="str">
        <x:f>"타입|"&amp;F249</x:f>
        <x:v>타입|물</x:v>
      </x:c>
      <x:c r="AN249" s="5" t="str">
        <x:f>"타입|"&amp;G249</x:f>
        <x:v>타입|</x:v>
      </x:c>
    </x:row>
    <x:row r="250" ht="24" customHeight="1">
      <x:c r="A250" s="5" t="n">
        <x:v>246</x:v>
      </x:c>
      <x:c r="B250" s="5" t="inlineStr">
        <x:is>
          <x:t xml:space="preserve">애버라스</x:t>
        </x:is>
      </x:c>
      <x:c r="C250" s="5" t="inlineStr">
        <x:is>
          <x:t xml:space="preserve">larvitar</x:t>
        </x:is>
      </x:c>
      <x:c r="D250" s="5" t="inlineStr">
        <x:is>
          <x:t xml:space="preserve">Larvitar</x:t>
        </x:is>
      </x:c>
      <x:c r="E250" s="5" t="n">
        <x:v>2</x:v>
      </x:c>
      <x:c r="F250" s="5" t="inlineStr">
        <x:is>
          <x:t xml:space="preserve">바위</x:t>
        </x:is>
      </x:c>
      <x:c r="G250" s="5" t="inlineStr">
        <x:is>
          <x:t xml:space="preserve">땅</x:t>
        </x:is>
      </x:c>
      <x:c r="H250" s="6" t="n">
        <x:v>72</x:v>
      </x:c>
      <x:c r="I250" s="5" t="n">
        <x:v>55</x:v>
      </x:c>
      <x:c r="J250" s="5" t="inlineStr">
        <x:is>
          <x:t xml:space="preserve">기본</x:t>
        </x:is>
      </x:c>
      <x:c r="K250" s="7" t="inlineStr">
        <x:is>
          <x:t xml:space="preserve">육상</x:t>
        </x:is>
      </x:c>
      <x:c r="L250" s="7" t="inlineStr">
        <x:is>
          <x:t xml:space="preserve">암석</x:t>
        </x:is>
      </x:c>
      <x:c r="M250" s="7" t="inlineStr">
        <x:is>
          <x:t xml:space="preserve">온대</x:t>
        </x:is>
      </x:c>
      <x:c r="N250" s="7" t="inlineStr">
        <x:is>
          <x:t xml:space="preserve">보통</x:t>
        </x:is>
      </x:c>
      <x:c r="O250" s="7" t="inlineStr">
        <x:is>
          <x:t xml:space="preserve">무관</x:t>
        </x:is>
      </x:c>
      <x:c r="P250" s="7" t="inlineStr">
        <x:is>
          <x:t xml:space="preserve">무관</x:t>
        </x:is>
      </x:c>
      <x:c r="Q250" s="7" t="inlineStr">
        <x:is>
          <x:t xml:space="preserve">희귀</x:t>
        </x:is>
      </x:c>
      <x:c r="R250" s="7" t="inlineStr">
        <x:is>
          <x:t xml:space="preserve">없음</x:t>
        </x:is>
      </x:c>
      <x:c r="S250" s="7" t="inlineStr">
        <x:is>
          <x:t xml:space="preserve">산악</x:t>
        </x:is>
      </x:c>
      <x:c r="T250" s="7" t="inlineStr">
        <x:is>
          <x:t xml:space="preserve"/>
        </x:is>
      </x:c>
      <x:c r="U250" s="8" t="str">
        <x:f>INDEX('서식지_점수'!$E$4:$P$4,1,MATCH(MAX('서식지_점수'!E250:P250),'서식지_점수'!E250:P250,0))</x:f>
        <x:v>평원</x:v>
      </x:c>
      <x:c r="V250" s="8" t="str">
        <x:f>IF(T250&lt;&gt;"",T250,U250)</x:f>
        <x:v>평원</x:v>
      </x:c>
      <x:c r="W250" s="8" t="str">
        <x:f>IFERROR(INDEX('서식지_점수'!$E$4:$P$4,1,MATCH(MAXIFS('서식지_점수'!E250:P250,'서식지_점수'!E250:P250,"&lt;"&amp;MAX('서식지_점수'!E250:P250)),'서식지_점수'!E250:P250,0)),"")</x:f>
        <x:v>숲</x:v>
      </x:c>
      <x:c r="X250" s="8" t="str">
        <x:f>IF(T250&lt;&gt;"","수동확정",IF(MAX('서식지_점수'!E250:P250)-LARGE('서식지_점수'!E250:P250,2)&gt;=15,"높음",IF(MAX('서식지_점수'!E250:P250)-LARGE('서식지_점수'!E250:P250,2)&gt;=8,"보통","검토필요")))</x:f>
        <x:v>검토필요</x:v>
      </x:c>
      <x:c r="Y250" s="9" t="n">
        <x:f>IF(Q250="전설",8,IF(Q250="희귀",7,IF(J250="기본",1,IF(J250="중간",3,IF(J250="최종",IF(I250="",5,IF(I250&lt;=20,3,IF(I250&lt;=35,4,IF(I250&lt;=50,6,7)))),IF(Q250="드묾",4,2))))))</x:f>
        <x:v>7</x:v>
      </x:c>
      <x:c r="Z250" s="5" t="inlineStr">
        <x:is>
          <x:t xml:space="preserve">#cobblemon:is_mountain</x:t>
        </x:is>
      </x:c>
      <x:c r="AA250" s="5" t="inlineStr">
        <x:is>
          <x:t xml:space="preserve">rare; ultra-rare</x:t>
        </x:is>
      </x:c>
      <x:c r="AB250" s="5" t="inlineStr">
        <x:is>
          <x:t xml:space="preserve">예</x:t>
        </x:is>
      </x:c>
      <x:c r="AC250" s="8" t="str">
        <x:f>IF(T250&lt;&gt;"","수동확정",IF(X250="검토필요","검토필요",IF(S250="","원본없음","초기완료")))</x:f>
        <x:v>검토필요</x:v>
      </x:c>
      <x:c r="AD250" s="7" t="inlineStr">
        <x:is>
          <x:t xml:space="preserve"/>
        </x:is>
      </x:c>
      <x:c r="AE250" s="5" t="inlineStr">
        <x:is>
          <x:t xml:space="preserve">.tmp/cobblemon-1.7.3-source/common/src/main/resources/data/cobblemon/species/generation2/larvitar.json</x:t>
        </x:is>
      </x:c>
      <x:c r="AF250" s="5" t="str">
        <x:f>"생활권|"&amp;K250</x:f>
        <x:v>생활권|육상</x:v>
      </x:c>
      <x:c r="AG250" s="5" t="str">
        <x:f>"지형|"&amp;L250</x:f>
        <x:v>지형|암석</x:v>
      </x:c>
      <x:c r="AH250" s="5" t="str">
        <x:f>"온도|"&amp;M250</x:f>
        <x:v>온도|온대</x:v>
      </x:c>
      <x:c r="AI250" s="5" t="str">
        <x:f>"습도|"&amp;N250</x:f>
        <x:v>습도|보통</x:v>
      </x:c>
      <x:c r="AJ250" s="5" t="str">
        <x:f>"날씨|"&amp;O250</x:f>
        <x:v>날씨|무관</x:v>
      </x:c>
      <x:c r="AK250" s="5" t="str">
        <x:f>"특수태그|"&amp;R250</x:f>
        <x:v>특수태그|없음</x:v>
      </x:c>
      <x:c r="AL250" s="5" t="str">
        <x:f>"원본서식지|"&amp;S250</x:f>
        <x:v>원본서식지|산악</x:v>
      </x:c>
      <x:c r="AM250" s="5" t="str">
        <x:f>"타입|"&amp;F250</x:f>
        <x:v>타입|바위</x:v>
      </x:c>
      <x:c r="AN250" s="5" t="str">
        <x:f>"타입|"&amp;G250</x:f>
        <x:v>타입|땅</x:v>
      </x:c>
    </x:row>
    <x:row r="251" ht="24" customHeight="1">
      <x:c r="A251" s="5" t="n">
        <x:v>247</x:v>
      </x:c>
      <x:c r="B251" s="5" t="inlineStr">
        <x:is>
          <x:t xml:space="preserve">데기라스</x:t>
        </x:is>
      </x:c>
      <x:c r="C251" s="5" t="inlineStr">
        <x:is>
          <x:t xml:space="preserve">pupitar</x:t>
        </x:is>
      </x:c>
      <x:c r="D251" s="5" t="inlineStr">
        <x:is>
          <x:t xml:space="preserve">Pupitar</x:t>
        </x:is>
      </x:c>
      <x:c r="E251" s="5" t="n">
        <x:v>2</x:v>
      </x:c>
      <x:c r="F251" s="5" t="inlineStr">
        <x:is>
          <x:t xml:space="preserve">바위</x:t>
        </x:is>
      </x:c>
      <x:c r="G251" s="5" t="inlineStr">
        <x:is>
          <x:t xml:space="preserve">땅</x:t>
        </x:is>
      </x:c>
      <x:c r="H251" s="6" t="n">
        <x:v>152</x:v>
      </x:c>
      <x:c r="I251" s="5" t="n">
        <x:v>55</x:v>
      </x:c>
      <x:c r="J251" s="5" t="inlineStr">
        <x:is>
          <x:t xml:space="preserve">중간</x:t>
        </x:is>
      </x:c>
      <x:c r="K251" s="7" t="inlineStr">
        <x:is>
          <x:t xml:space="preserve">육상</x:t>
        </x:is>
      </x:c>
      <x:c r="L251" s="7" t="inlineStr">
        <x:is>
          <x:t xml:space="preserve">암석</x:t>
        </x:is>
      </x:c>
      <x:c r="M251" s="7" t="inlineStr">
        <x:is>
          <x:t xml:space="preserve">온대</x:t>
        </x:is>
      </x:c>
      <x:c r="N251" s="7" t="inlineStr">
        <x:is>
          <x:t xml:space="preserve">보통</x:t>
        </x:is>
      </x:c>
      <x:c r="O251" s="7" t="inlineStr">
        <x:is>
          <x:t xml:space="preserve">무관</x:t>
        </x:is>
      </x:c>
      <x:c r="P251" s="7" t="inlineStr">
        <x:is>
          <x:t xml:space="preserve">무관</x:t>
        </x:is>
      </x:c>
      <x:c r="Q251" s="7" t="inlineStr">
        <x:is>
          <x:t xml:space="preserve">희귀</x:t>
        </x:is>
      </x:c>
      <x:c r="R251" s="7" t="inlineStr">
        <x:is>
          <x:t xml:space="preserve">없음</x:t>
        </x:is>
      </x:c>
      <x:c r="S251" s="7" t="inlineStr">
        <x:is>
          <x:t xml:space="preserve">산악</x:t>
        </x:is>
      </x:c>
      <x:c r="T251" s="7" t="inlineStr">
        <x:is>
          <x:t xml:space="preserve"/>
        </x:is>
      </x:c>
      <x:c r="U251" s="8" t="str">
        <x:f>INDEX('서식지_점수'!$E$4:$P$4,1,MATCH(MAX('서식지_점수'!E251:P251),'서식지_점수'!E251:P251,0))</x:f>
        <x:v>평원</x:v>
      </x:c>
      <x:c r="V251" s="8" t="str">
        <x:f>IF(T251&lt;&gt;"",T251,U251)</x:f>
        <x:v>평원</x:v>
      </x:c>
      <x:c r="W251" s="8" t="str">
        <x:f>IFERROR(INDEX('서식지_점수'!$E$4:$P$4,1,MATCH(MAXIFS('서식지_점수'!E251:P251,'서식지_점수'!E251:P251,"&lt;"&amp;MAX('서식지_점수'!E251:P251)),'서식지_점수'!E251:P251,0)),"")</x:f>
        <x:v>숲</x:v>
      </x:c>
      <x:c r="X251" s="8" t="str">
        <x:f>IF(T251&lt;&gt;"","수동확정",IF(MAX('서식지_점수'!E251:P251)-LARGE('서식지_점수'!E251:P251,2)&gt;=15,"높음",IF(MAX('서식지_점수'!E251:P251)-LARGE('서식지_점수'!E251:P251,2)&gt;=8,"보통","검토필요")))</x:f>
        <x:v>검토필요</x:v>
      </x:c>
      <x:c r="Y251" s="9" t="n">
        <x:f>IF(Q251="전설",8,IF(Q251="희귀",7,IF(J251="기본",1,IF(J251="중간",3,IF(J251="최종",IF(I251="",5,IF(I251&lt;=20,3,IF(I251&lt;=35,4,IF(I251&lt;=50,6,7)))),IF(Q251="드묾",4,2))))))</x:f>
        <x:v>7</x:v>
      </x:c>
      <x:c r="Z251" s="5" t="inlineStr">
        <x:is>
          <x:t xml:space="preserve">#cobblemon:is_mountain</x:t>
        </x:is>
      </x:c>
      <x:c r="AA251" s="5" t="inlineStr">
        <x:is>
          <x:t xml:space="preserve">rare; ultra-rare</x:t>
        </x:is>
      </x:c>
      <x:c r="AB251" s="5" t="inlineStr">
        <x:is>
          <x:t xml:space="preserve">예</x:t>
        </x:is>
      </x:c>
      <x:c r="AC251" s="8" t="str">
        <x:f>IF(T251&lt;&gt;"","수동확정",IF(X251="검토필요","검토필요",IF(S251="","원본없음","초기완료")))</x:f>
        <x:v>검토필요</x:v>
      </x:c>
      <x:c r="AD251" s="7" t="inlineStr">
        <x:is>
          <x:t xml:space="preserve"/>
        </x:is>
      </x:c>
      <x:c r="AE251" s="5" t="inlineStr">
        <x:is>
          <x:t xml:space="preserve">.tmp/cobblemon-1.7.3-source/common/src/main/resources/data/cobblemon/species/generation2/pupitar.json</x:t>
        </x:is>
      </x:c>
      <x:c r="AF251" s="5" t="str">
        <x:f>"생활권|"&amp;K251</x:f>
        <x:v>생활권|육상</x:v>
      </x:c>
      <x:c r="AG251" s="5" t="str">
        <x:f>"지형|"&amp;L251</x:f>
        <x:v>지형|암석</x:v>
      </x:c>
      <x:c r="AH251" s="5" t="str">
        <x:f>"온도|"&amp;M251</x:f>
        <x:v>온도|온대</x:v>
      </x:c>
      <x:c r="AI251" s="5" t="str">
        <x:f>"습도|"&amp;N251</x:f>
        <x:v>습도|보통</x:v>
      </x:c>
      <x:c r="AJ251" s="5" t="str">
        <x:f>"날씨|"&amp;O251</x:f>
        <x:v>날씨|무관</x:v>
      </x:c>
      <x:c r="AK251" s="5" t="str">
        <x:f>"특수태그|"&amp;R251</x:f>
        <x:v>특수태그|없음</x:v>
      </x:c>
      <x:c r="AL251" s="5" t="str">
        <x:f>"원본서식지|"&amp;S251</x:f>
        <x:v>원본서식지|산악</x:v>
      </x:c>
      <x:c r="AM251" s="5" t="str">
        <x:f>"타입|"&amp;F251</x:f>
        <x:v>타입|바위</x:v>
      </x:c>
      <x:c r="AN251" s="5" t="str">
        <x:f>"타입|"&amp;G251</x:f>
        <x:v>타입|땅</x:v>
      </x:c>
    </x:row>
    <x:row r="252" ht="24" customHeight="1">
      <x:c r="A252" s="5" t="n">
        <x:v>248</x:v>
      </x:c>
      <x:c r="B252" s="5" t="inlineStr">
        <x:is>
          <x:t xml:space="preserve">마기라스</x:t>
        </x:is>
      </x:c>
      <x:c r="C252" s="5" t="inlineStr">
        <x:is>
          <x:t xml:space="preserve">tyranitar</x:t>
        </x:is>
      </x:c>
      <x:c r="D252" s="5" t="inlineStr">
        <x:is>
          <x:t xml:space="preserve">Tyranitar</x:t>
        </x:is>
      </x:c>
      <x:c r="E252" s="5" t="n">
        <x:v>2</x:v>
      </x:c>
      <x:c r="F252" s="5" t="inlineStr">
        <x:is>
          <x:t xml:space="preserve">바위</x:t>
        </x:is>
      </x:c>
      <x:c r="G252" s="5" t="inlineStr">
        <x:is>
          <x:t xml:space="preserve">악</x:t>
        </x:is>
      </x:c>
      <x:c r="H252" s="6" t="n">
        <x:v>202</x:v>
      </x:c>
      <x:c r="I252" s="5" t="n">
        <x:v>55</x:v>
      </x:c>
      <x:c r="J252" s="5" t="inlineStr">
        <x:is>
          <x:t xml:space="preserve">최종</x:t>
        </x:is>
      </x:c>
      <x:c r="K252" s="7" t="inlineStr">
        <x:is>
          <x:t xml:space="preserve">육상</x:t>
        </x:is>
      </x:c>
      <x:c r="L252" s="7" t="inlineStr">
        <x:is>
          <x:t xml:space="preserve">암석</x:t>
        </x:is>
      </x:c>
      <x:c r="M252" s="7" t="inlineStr">
        <x:is>
          <x:t xml:space="preserve">온대</x:t>
        </x:is>
      </x:c>
      <x:c r="N252" s="7" t="inlineStr">
        <x:is>
          <x:t xml:space="preserve">보통</x:t>
        </x:is>
      </x:c>
      <x:c r="O252" s="7" t="inlineStr">
        <x:is>
          <x:t xml:space="preserve">무관</x:t>
        </x:is>
      </x:c>
      <x:c r="P252" s="7" t="inlineStr">
        <x:is>
          <x:t xml:space="preserve">밤</x:t>
        </x:is>
      </x:c>
      <x:c r="Q252" s="7" t="inlineStr">
        <x:is>
          <x:t xml:space="preserve">희귀</x:t>
        </x:is>
      </x:c>
      <x:c r="R252" s="7" t="inlineStr">
        <x:is>
          <x:t xml:space="preserve">없음</x:t>
        </x:is>
      </x:c>
      <x:c r="S252" s="7" t="inlineStr">
        <x:is>
          <x:t xml:space="preserve">산악</x:t>
        </x:is>
      </x:c>
      <x:c r="T252" s="7" t="inlineStr">
        <x:is>
          <x:t xml:space="preserve"/>
        </x:is>
      </x:c>
      <x:c r="U252" s="8" t="str">
        <x:f>INDEX('서식지_점수'!$E$4:$P$4,1,MATCH(MAX('서식지_점수'!E252:P252),'서식지_점수'!E252:P252,0))</x:f>
        <x:v>평원</x:v>
      </x:c>
      <x:c r="V252" s="8" t="str">
        <x:f>IF(T252&lt;&gt;"",T252,U252)</x:f>
        <x:v>평원</x:v>
      </x:c>
      <x:c r="W252" s="8" t="str">
        <x:f>IFERROR(INDEX('서식지_점수'!$E$4:$P$4,1,MATCH(MAXIFS('서식지_점수'!E252:P252,'서식지_점수'!E252:P252,"&lt;"&amp;MAX('서식지_점수'!E252:P252)),'서식지_점수'!E252:P252,0)),"")</x:f>
        <x:v>숲</x:v>
      </x:c>
      <x:c r="X252" s="8" t="str">
        <x:f>IF(T252&lt;&gt;"","수동확정",IF(MAX('서식지_점수'!E252:P252)-LARGE('서식지_점수'!E252:P252,2)&gt;=15,"높음",IF(MAX('서식지_점수'!E252:P252)-LARGE('서식지_점수'!E252:P252,2)&gt;=8,"보통","검토필요")))</x:f>
        <x:v>검토필요</x:v>
      </x:c>
      <x:c r="Y252" s="9" t="n">
        <x:f>IF(Q252="전설",8,IF(Q252="희귀",7,IF(J252="기본",1,IF(J252="중간",3,IF(J252="최종",IF(I252="",5,IF(I252&lt;=20,3,IF(I252&lt;=35,4,IF(I252&lt;=50,6,7)))),IF(Q252="드묾",4,2))))))</x:f>
        <x:v>7</x:v>
      </x:c>
      <x:c r="Z252" s="5" t="inlineStr">
        <x:is>
          <x:t xml:space="preserve">#cobblemon:is_mountain</x:t>
        </x:is>
      </x:c>
      <x:c r="AA252" s="5" t="inlineStr">
        <x:is>
          <x:t xml:space="preserve">rare; ultra-rare</x:t>
        </x:is>
      </x:c>
      <x:c r="AB252" s="5" t="inlineStr">
        <x:is>
          <x:t xml:space="preserve">예</x:t>
        </x:is>
      </x:c>
      <x:c r="AC252" s="8" t="str">
        <x:f>IF(T252&lt;&gt;"","수동확정",IF(X252="검토필요","검토필요",IF(S252="","원본없음","초기완료")))</x:f>
        <x:v>검토필요</x:v>
      </x:c>
      <x:c r="AD252" s="7" t="inlineStr">
        <x:is>
          <x:t xml:space="preserve"/>
        </x:is>
      </x:c>
      <x:c r="AE252" s="5" t="inlineStr">
        <x:is>
          <x:t xml:space="preserve">.tmp/cobblemon-1.7.3-source/common/src/main/resources/data/cobblemon/species/generation2/tyranitar.json</x:t>
        </x:is>
      </x:c>
      <x:c r="AF252" s="5" t="str">
        <x:f>"생활권|"&amp;K252</x:f>
        <x:v>생활권|육상</x:v>
      </x:c>
      <x:c r="AG252" s="5" t="str">
        <x:f>"지형|"&amp;L252</x:f>
        <x:v>지형|암석</x:v>
      </x:c>
      <x:c r="AH252" s="5" t="str">
        <x:f>"온도|"&amp;M252</x:f>
        <x:v>온도|온대</x:v>
      </x:c>
      <x:c r="AI252" s="5" t="str">
        <x:f>"습도|"&amp;N252</x:f>
        <x:v>습도|보통</x:v>
      </x:c>
      <x:c r="AJ252" s="5" t="str">
        <x:f>"날씨|"&amp;O252</x:f>
        <x:v>날씨|무관</x:v>
      </x:c>
      <x:c r="AK252" s="5" t="str">
        <x:f>"특수태그|"&amp;R252</x:f>
        <x:v>특수태그|없음</x:v>
      </x:c>
      <x:c r="AL252" s="5" t="str">
        <x:f>"원본서식지|"&amp;S252</x:f>
        <x:v>원본서식지|산악</x:v>
      </x:c>
      <x:c r="AM252" s="5" t="str">
        <x:f>"타입|"&amp;F252</x:f>
        <x:v>타입|바위</x:v>
      </x:c>
      <x:c r="AN252" s="5" t="str">
        <x:f>"타입|"&amp;G252</x:f>
        <x:v>타입|악</x:v>
      </x:c>
    </x:row>
    <x:row r="253" ht="24" customHeight="1">
      <x:c r="A253" s="5" t="n">
        <x:v>249</x:v>
      </x:c>
      <x:c r="B253" s="5" t="inlineStr">
        <x:is>
          <x:t xml:space="preserve">루기아</x:t>
        </x:is>
      </x:c>
      <x:c r="C253" s="5" t="inlineStr">
        <x:is>
          <x:t xml:space="preserve">lugia</x:t>
        </x:is>
      </x:c>
      <x:c r="D253" s="5" t="inlineStr">
        <x:is>
          <x:t xml:space="preserve">Lugia</x:t>
        </x:is>
      </x:c>
      <x:c r="E253" s="5" t="n">
        <x:v>2</x:v>
      </x:c>
      <x:c r="F253" s="5" t="inlineStr">
        <x:is>
          <x:t xml:space="preserve">에스퍼</x:t>
        </x:is>
      </x:c>
      <x:c r="G253" s="5" t="inlineStr">
        <x:is>
          <x:t xml:space="preserve">비행</x:t>
        </x:is>
      </x:c>
      <x:c r="H253" s="6" t="n">
        <x:v>216</x:v>
      </x:c>
      <x:c r="I253" s="5" t="n"/>
      <x:c r="J253" s="5" t="inlineStr">
        <x:is>
          <x:t xml:space="preserve">무진화</x:t>
        </x:is>
      </x:c>
      <x:c r="K253" s="7" t="inlineStr">
        <x:is>
          <x:t xml:space="preserve">비행</x:t>
        </x:is>
      </x:c>
      <x:c r="L253" s="7" t="inlineStr">
        <x:is>
          <x:t xml:space="preserve">개활지</x:t>
        </x:is>
      </x:c>
      <x:c r="M253" s="7" t="inlineStr">
        <x:is>
          <x:t xml:space="preserve">온대</x:t>
        </x:is>
      </x:c>
      <x:c r="N253" s="7" t="inlineStr">
        <x:is>
          <x:t xml:space="preserve">보통</x:t>
        </x:is>
      </x:c>
      <x:c r="O253" s="7" t="inlineStr">
        <x:is>
          <x:t xml:space="preserve">무관</x:t>
        </x:is>
      </x:c>
      <x:c r="P253" s="7" t="inlineStr">
        <x:is>
          <x:t xml:space="preserve">무관</x:t>
        </x:is>
      </x:c>
      <x:c r="Q253" s="7" t="inlineStr">
        <x:is>
          <x:t xml:space="preserve">전설</x:t>
        </x:is>
      </x:c>
      <x:c r="R253" s="7" t="inlineStr">
        <x:is>
          <x:t xml:space="preserve">전설</x:t>
        </x:is>
      </x:c>
      <x:c r="S253" s="7" t="inlineStr">
        <x:is>
          <x:t xml:space="preserve"/>
        </x:is>
      </x:c>
      <x:c r="T253" s="7" t="inlineStr">
        <x:is>
          <x:t xml:space="preserve"/>
        </x:is>
      </x:c>
      <x:c r="U253" s="8" t="str">
        <x:f>INDEX('서식지_점수'!$E$4:$P$4,1,MATCH(MAX('서식지_점수'!E253:P253),'서식지_점수'!E253:P253,0))</x:f>
        <x:v>산악</x:v>
      </x:c>
      <x:c r="V253" s="8" t="str">
        <x:f>IF(T253&lt;&gt;"",T253,U253)</x:f>
        <x:v>산악</x:v>
      </x:c>
      <x:c r="W253" s="8" t="str">
        <x:f>IFERROR(INDEX('서식지_점수'!$E$4:$P$4,1,MATCH(MAXIFS('서식지_점수'!E253:P253,'서식지_점수'!E253:P253,"&lt;"&amp;MAX('서식지_점수'!E253:P253)),'서식지_점수'!E253:P253,0)),"")</x:f>
        <x:v>평원</x:v>
      </x:c>
      <x:c r="X253" s="8" t="str">
        <x:f>IF(T253&lt;&gt;"","수동확정",IF(MAX('서식지_점수'!E253:P253)-LARGE('서식지_점수'!E253:P253,2)&gt;=15,"높음",IF(MAX('서식지_점수'!E253:P253)-LARGE('서식지_점수'!E253:P253,2)&gt;=8,"보통","검토필요")))</x:f>
        <x:v>검토필요</x:v>
      </x:c>
      <x:c r="Y253" s="9" t="n">
        <x:f>IF(Q253="전설",8,IF(Q253="희귀",7,IF(J253="기본",1,IF(J253="중간",3,IF(J253="최종",IF(I253="",5,IF(I253&lt;=20,3,IF(I253&lt;=35,4,IF(I253&lt;=50,6,7)))),IF(Q253="드묾",4,2))))))</x:f>
        <x:v>8</x:v>
      </x:c>
      <x:c r="Z253" s="5" t="inlineStr">
        <x:is>
          <x:t xml:space="preserve">cobbleverse:custom_spawn/whirl_island</x:t>
        </x:is>
      </x:c>
      <x:c r="AA253" s="5" t="inlineStr">
        <x:is>
          <x:t xml:space="preserve">ultra-rare</x:t>
        </x:is>
      </x:c>
      <x:c r="AB253" s="5" t="inlineStr">
        <x:is>
          <x:t xml:space="preserve">예</x:t>
        </x:is>
      </x:c>
      <x:c r="AC253" s="8" t="str">
        <x:f>IF(T253&lt;&gt;"","수동확정",IF(X253="검토필요","검토필요",IF(S253="","원본없음","초기완료")))</x:f>
        <x:v>검토필요</x:v>
      </x:c>
      <x:c r="AD253" s="7" t="inlineStr">
        <x:is>
          <x:t xml:space="preserve"/>
        </x:is>
      </x:c>
      <x:c r="AE253" s="5" t="inlineStr">
        <x:is>
          <x:t xml:space="preserve">.tmp/cobblemon-1.7.3-source/common/src/main/resources/data/cobblemon/species/generation2/lugia.json</x:t>
        </x:is>
      </x:c>
      <x:c r="AF253" s="5" t="str">
        <x:f>"생활권|"&amp;K253</x:f>
        <x:v>생활권|비행</x:v>
      </x:c>
      <x:c r="AG253" s="5" t="str">
        <x:f>"지형|"&amp;L253</x:f>
        <x:v>지형|개활지</x:v>
      </x:c>
      <x:c r="AH253" s="5" t="str">
        <x:f>"온도|"&amp;M253</x:f>
        <x:v>온도|온대</x:v>
      </x:c>
      <x:c r="AI253" s="5" t="str">
        <x:f>"습도|"&amp;N253</x:f>
        <x:v>습도|보통</x:v>
      </x:c>
      <x:c r="AJ253" s="5" t="str">
        <x:f>"날씨|"&amp;O253</x:f>
        <x:v>날씨|무관</x:v>
      </x:c>
      <x:c r="AK253" s="5" t="str">
        <x:f>"특수태그|"&amp;R253</x:f>
        <x:v>특수태그|전설</x:v>
      </x:c>
      <x:c r="AL253" s="5" t="str">
        <x:f>"원본서식지|"&amp;S253</x:f>
        <x:v>원본서식지|</x:v>
      </x:c>
      <x:c r="AM253" s="5" t="str">
        <x:f>"타입|"&amp;F253</x:f>
        <x:v>타입|에스퍼</x:v>
      </x:c>
      <x:c r="AN253" s="5" t="str">
        <x:f>"타입|"&amp;G253</x:f>
        <x:v>타입|비행</x:v>
      </x:c>
    </x:row>
    <x:row r="254" ht="24" customHeight="1">
      <x:c r="A254" s="5" t="n">
        <x:v>250</x:v>
      </x:c>
      <x:c r="B254" s="5" t="inlineStr">
        <x:is>
          <x:t xml:space="preserve">칠색조</x:t>
        </x:is>
      </x:c>
      <x:c r="C254" s="5" t="inlineStr">
        <x:is>
          <x:t xml:space="preserve">hooh</x:t>
        </x:is>
      </x:c>
      <x:c r="D254" s="5" t="inlineStr">
        <x:is>
          <x:t xml:space="preserve">Ho-Oh</x:t>
        </x:is>
      </x:c>
      <x:c r="E254" s="5" t="n">
        <x:v>2</x:v>
      </x:c>
      <x:c r="F254" s="5" t="inlineStr">
        <x:is>
          <x:t xml:space="preserve">불꽃</x:t>
        </x:is>
      </x:c>
      <x:c r="G254" s="5" t="inlineStr">
        <x:is>
          <x:t xml:space="preserve">비행</x:t>
        </x:is>
      </x:c>
      <x:c r="H254" s="6" t="n">
        <x:v>199</x:v>
      </x:c>
      <x:c r="I254" s="5" t="n"/>
      <x:c r="J254" s="5" t="inlineStr">
        <x:is>
          <x:t xml:space="preserve">무진화</x:t>
        </x:is>
      </x:c>
      <x:c r="K254" s="7" t="inlineStr">
        <x:is>
          <x:t xml:space="preserve">비행</x:t>
        </x:is>
      </x:c>
      <x:c r="L254" s="7" t="inlineStr">
        <x:is>
          <x:t xml:space="preserve">개활지</x:t>
        </x:is>
      </x:c>
      <x:c r="M254" s="7" t="inlineStr">
        <x:is>
          <x:t xml:space="preserve">고온</x:t>
        </x:is>
      </x:c>
      <x:c r="N254" s="7" t="inlineStr">
        <x:is>
          <x:t xml:space="preserve">보통</x:t>
        </x:is>
      </x:c>
      <x:c r="O254" s="7" t="inlineStr">
        <x:is>
          <x:t xml:space="preserve">무관</x:t>
        </x:is>
      </x:c>
      <x:c r="P254" s="7" t="inlineStr">
        <x:is>
          <x:t xml:space="preserve">무관</x:t>
        </x:is>
      </x:c>
      <x:c r="Q254" s="7" t="inlineStr">
        <x:is>
          <x:t xml:space="preserve">전설</x:t>
        </x:is>
      </x:c>
      <x:c r="R254" s="7" t="inlineStr">
        <x:is>
          <x:t xml:space="preserve">전설</x:t>
        </x:is>
      </x:c>
      <x:c r="S254" s="7" t="inlineStr">
        <x:is>
          <x:t xml:space="preserve"/>
        </x:is>
      </x:c>
      <x:c r="T254" s="7" t="inlineStr">
        <x:is>
          <x:t xml:space="preserve"/>
        </x:is>
      </x:c>
      <x:c r="U254" s="8" t="str">
        <x:f>INDEX('서식지_점수'!$E$4:$P$4,1,MATCH(MAX('서식지_점수'!E254:P254),'서식지_점수'!E254:P254,0))</x:f>
        <x:v>산악</x:v>
      </x:c>
      <x:c r="V254" s="8" t="str">
        <x:f>IF(T254&lt;&gt;"",T254,U254)</x:f>
        <x:v>산악</x:v>
      </x:c>
      <x:c r="W254" s="8" t="str">
        <x:f>IFERROR(INDEX('서식지_점수'!$E$4:$P$4,1,MATCH(MAXIFS('서식지_점수'!E254:P254,'서식지_점수'!E254:P254,"&lt;"&amp;MAX('서식지_점수'!E254:P254)),'서식지_점수'!E254:P254,0)),"")</x:f>
        <x:v>평원</x:v>
      </x:c>
      <x:c r="X254" s="8" t="str">
        <x:f>IF(T254&lt;&gt;"","수동확정",IF(MAX('서식지_점수'!E254:P254)-LARGE('서식지_점수'!E254:P254,2)&gt;=15,"높음",IF(MAX('서식지_점수'!E254:P254)-LARGE('서식지_점수'!E254:P254,2)&gt;=8,"보통","검토필요")))</x:f>
        <x:v>검토필요</x:v>
      </x:c>
      <x:c r="Y254" s="9" t="n">
        <x:f>IF(Q254="전설",8,IF(Q254="희귀",7,IF(J254="기본",1,IF(J254="중간",3,IF(J254="최종",IF(I254="",5,IF(I254&lt;=20,3,IF(I254&lt;=35,4,IF(I254&lt;=50,6,7)))),IF(Q254="드묾",4,2))))))</x:f>
        <x:v>8</x:v>
      </x:c>
      <x:c r="Z254" s="5" t="inlineStr">
        <x:is>
          <x:t xml:space="preserve">cobbleverse:custom_spawn/bell_tower</x:t>
        </x:is>
      </x:c>
      <x:c r="AA254" s="5" t="inlineStr">
        <x:is>
          <x:t xml:space="preserve">ultra-rare</x:t>
        </x:is>
      </x:c>
      <x:c r="AB254" s="5" t="inlineStr">
        <x:is>
          <x:t xml:space="preserve">예</x:t>
        </x:is>
      </x:c>
      <x:c r="AC254" s="8" t="str">
        <x:f>IF(T254&lt;&gt;"","수동확정",IF(X254="검토필요","검토필요",IF(S254="","원본없음","초기완료")))</x:f>
        <x:v>검토필요</x:v>
      </x:c>
      <x:c r="AD254" s="7" t="inlineStr">
        <x:is>
          <x:t xml:space="preserve"/>
        </x:is>
      </x:c>
      <x:c r="AE254" s="5" t="inlineStr">
        <x:is>
          <x:t xml:space="preserve">.tmp/cobblemon-1.7.3-source/common/src/main/resources/data/cobblemon/species/generation2/hooh.json</x:t>
        </x:is>
      </x:c>
      <x:c r="AF254" s="5" t="str">
        <x:f>"생활권|"&amp;K254</x:f>
        <x:v>생활권|비행</x:v>
      </x:c>
      <x:c r="AG254" s="5" t="str">
        <x:f>"지형|"&amp;L254</x:f>
        <x:v>지형|개활지</x:v>
      </x:c>
      <x:c r="AH254" s="5" t="str">
        <x:f>"온도|"&amp;M254</x:f>
        <x:v>온도|고온</x:v>
      </x:c>
      <x:c r="AI254" s="5" t="str">
        <x:f>"습도|"&amp;N254</x:f>
        <x:v>습도|보통</x:v>
      </x:c>
      <x:c r="AJ254" s="5" t="str">
        <x:f>"날씨|"&amp;O254</x:f>
        <x:v>날씨|무관</x:v>
      </x:c>
      <x:c r="AK254" s="5" t="str">
        <x:f>"특수태그|"&amp;R254</x:f>
        <x:v>특수태그|전설</x:v>
      </x:c>
      <x:c r="AL254" s="5" t="str">
        <x:f>"원본서식지|"&amp;S254</x:f>
        <x:v>원본서식지|</x:v>
      </x:c>
      <x:c r="AM254" s="5" t="str">
        <x:f>"타입|"&amp;F254</x:f>
        <x:v>타입|불꽃</x:v>
      </x:c>
      <x:c r="AN254" s="5" t="str">
        <x:f>"타입|"&amp;G254</x:f>
        <x:v>타입|비행</x:v>
      </x:c>
    </x:row>
    <x:row r="255" ht="24" customHeight="1">
      <x:c r="A255" s="5" t="n">
        <x:v>251</x:v>
      </x:c>
      <x:c r="B255" s="5" t="inlineStr">
        <x:is>
          <x:t xml:space="preserve">세레비</x:t>
        </x:is>
      </x:c>
      <x:c r="C255" s="5" t="inlineStr">
        <x:is>
          <x:t xml:space="preserve">celebi</x:t>
        </x:is>
      </x:c>
      <x:c r="D255" s="5" t="inlineStr">
        <x:is>
          <x:t xml:space="preserve">Celebi</x:t>
        </x:is>
      </x:c>
      <x:c r="E255" s="5" t="n">
        <x:v>2</x:v>
      </x:c>
      <x:c r="F255" s="5" t="inlineStr">
        <x:is>
          <x:t xml:space="preserve">에스퍼</x:t>
        </x:is>
      </x:c>
      <x:c r="G255" s="5" t="inlineStr">
        <x:is>
          <x:t xml:space="preserve">풀</x:t>
        </x:is>
      </x:c>
      <x:c r="H255" s="6" t="n">
        <x:v>5</x:v>
      </x:c>
      <x:c r="I255" s="5" t="n"/>
      <x:c r="J255" s="5" t="inlineStr">
        <x:is>
          <x:t xml:space="preserve">무진화</x:t>
        </x:is>
      </x:c>
      <x:c r="K255" s="7" t="inlineStr">
        <x:is>
          <x:t xml:space="preserve">비행</x:t>
        </x:is>
      </x:c>
      <x:c r="L255" s="7" t="inlineStr">
        <x:is>
          <x:t xml:space="preserve">수목</x:t>
        </x:is>
      </x:c>
      <x:c r="M255" s="7" t="inlineStr">
        <x:is>
          <x:t xml:space="preserve">온대</x:t>
        </x:is>
      </x:c>
      <x:c r="N255" s="7" t="inlineStr">
        <x:is>
          <x:t xml:space="preserve">보통</x:t>
        </x:is>
      </x:c>
      <x:c r="O255" s="7" t="inlineStr">
        <x:is>
          <x:t xml:space="preserve">무관</x:t>
        </x:is>
      </x:c>
      <x:c r="P255" s="7" t="inlineStr">
        <x:is>
          <x:t xml:space="preserve">무관</x:t>
        </x:is>
      </x:c>
      <x:c r="Q255" s="7" t="inlineStr">
        <x:is>
          <x:t xml:space="preserve">전설</x:t>
        </x:is>
      </x:c>
      <x:c r="R255" s="7" t="inlineStr">
        <x:is>
          <x:t xml:space="preserve">전설</x:t>
        </x:is>
      </x:c>
      <x:c r="S255" s="7" t="inlineStr">
        <x:is>
          <x:t xml:space="preserve"/>
        </x:is>
      </x:c>
      <x:c r="T255" s="7" t="inlineStr">
        <x:is>
          <x:t xml:space="preserve"/>
        </x:is>
      </x:c>
      <x:c r="U255" s="8" t="str">
        <x:f>INDEX('서식지_점수'!$E$4:$P$4,1,MATCH(MAX('서식지_점수'!E255:P255),'서식지_점수'!E255:P255,0))</x:f>
        <x:v>산악</x:v>
      </x:c>
      <x:c r="V255" s="8" t="str">
        <x:f>IF(T255&lt;&gt;"",T255,U255)</x:f>
        <x:v>산악</x:v>
      </x:c>
      <x:c r="W255" s="8" t="str">
        <x:f>IFERROR(INDEX('서식지_점수'!$E$4:$P$4,1,MATCH(MAXIFS('서식지_점수'!E255:P255,'서식지_점수'!E255:P255,"&lt;"&amp;MAX('서식지_점수'!E255:P255)),'서식지_점수'!E255:P255,0)),"")</x:f>
        <x:v>평원</x:v>
      </x:c>
      <x:c r="X255" s="8" t="str">
        <x:f>IF(T255&lt;&gt;"","수동확정",IF(MAX('서식지_점수'!E255:P255)-LARGE('서식지_점수'!E255:P255,2)&gt;=15,"높음",IF(MAX('서식지_점수'!E255:P255)-LARGE('서식지_점수'!E255:P255,2)&gt;=8,"보통","검토필요")))</x:f>
        <x:v>검토필요</x:v>
      </x:c>
      <x:c r="Y255" s="9" t="n">
        <x:f>IF(Q255="전설",8,IF(Q255="희귀",7,IF(J255="기본",1,IF(J255="중간",3,IF(J255="최종",IF(I255="",5,IF(I255&lt;=20,3,IF(I255&lt;=35,4,IF(I255&lt;=50,6,7)))),IF(Q255="드묾",4,2))))))</x:f>
        <x:v>8</x:v>
      </x:c>
      <x:c r="Z255" s="5" t="inlineStr">
        <x:is>
          <x:t xml:space="preserve">cobbleverse:custom_spawn/ilex_shrine</x:t>
        </x:is>
      </x:c>
      <x:c r="AA255" s="5" t="inlineStr">
        <x:is>
          <x:t xml:space="preserve">ultra-rare</x:t>
        </x:is>
      </x:c>
      <x:c r="AB255" s="5" t="inlineStr">
        <x:is>
          <x:t xml:space="preserve">아니오</x:t>
        </x:is>
      </x:c>
      <x:c r="AC255" s="8" t="str">
        <x:f>IF(T255&lt;&gt;"","수동확정",IF(X255="검토필요","검토필요",IF(S255="","원본없음","초기완료")))</x:f>
        <x:v>검토필요</x:v>
      </x:c>
      <x:c r="AD255" s="7" t="inlineStr">
        <x:is>
          <x:t xml:space="preserve"/>
        </x:is>
      </x:c>
      <x:c r="AE255" s="5" t="inlineStr">
        <x:is>
          <x:t xml:space="preserve">.tmp/cobblemon-1.7.3-source/common/src/main/resources/data/cobblemon/species/generation2/celebi.json</x:t>
        </x:is>
      </x:c>
      <x:c r="AF255" s="5" t="str">
        <x:f>"생활권|"&amp;K255</x:f>
        <x:v>생활권|비행</x:v>
      </x:c>
      <x:c r="AG255" s="5" t="str">
        <x:f>"지형|"&amp;L255</x:f>
        <x:v>지형|수목</x:v>
      </x:c>
      <x:c r="AH255" s="5" t="str">
        <x:f>"온도|"&amp;M255</x:f>
        <x:v>온도|온대</x:v>
      </x:c>
      <x:c r="AI255" s="5" t="str">
        <x:f>"습도|"&amp;N255</x:f>
        <x:v>습도|보통</x:v>
      </x:c>
      <x:c r="AJ255" s="5" t="str">
        <x:f>"날씨|"&amp;O255</x:f>
        <x:v>날씨|무관</x:v>
      </x:c>
      <x:c r="AK255" s="5" t="str">
        <x:f>"특수태그|"&amp;R255</x:f>
        <x:v>특수태그|전설</x:v>
      </x:c>
      <x:c r="AL255" s="5" t="str">
        <x:f>"원본서식지|"&amp;S255</x:f>
        <x:v>원본서식지|</x:v>
      </x:c>
      <x:c r="AM255" s="5" t="str">
        <x:f>"타입|"&amp;F255</x:f>
        <x:v>타입|에스퍼</x:v>
      </x:c>
      <x:c r="AN255" s="5" t="str">
        <x:f>"타입|"&amp;G255</x:f>
        <x:v>타입|풀</x:v>
      </x:c>
    </x:row>
    <x:row r="256" ht="24" customHeight="1">
      <x:c r="A256" s="5" t="n">
        <x:v>252</x:v>
      </x:c>
      <x:c r="B256" s="5" t="inlineStr">
        <x:is>
          <x:t xml:space="preserve">나무지기</x:t>
        </x:is>
      </x:c>
      <x:c r="C256" s="5" t="inlineStr">
        <x:is>
          <x:t xml:space="preserve">treecko</x:t>
        </x:is>
      </x:c>
      <x:c r="D256" s="5" t="inlineStr">
        <x:is>
          <x:t xml:space="preserve">Treecko</x:t>
        </x:is>
      </x:c>
      <x:c r="E256" s="5" t="n">
        <x:v>3</x:v>
      </x:c>
      <x:c r="F256" s="5" t="inlineStr">
        <x:is>
          <x:t xml:space="preserve">풀</x:t>
        </x:is>
      </x:c>
      <x:c r="G256" s="5" t="inlineStr">
        <x:is>
          <x:t xml:space="preserve"/>
        </x:is>
      </x:c>
      <x:c r="H256" s="6" t="n">
        <x:v>5</x:v>
      </x:c>
      <x:c r="I256" s="5" t="n">
        <x:v>36</x:v>
      </x:c>
      <x:c r="J256" s="5" t="inlineStr">
        <x:is>
          <x:t xml:space="preserve">기본</x:t>
        </x:is>
      </x:c>
      <x:c r="K256" s="7" t="inlineStr">
        <x:is>
          <x:t xml:space="preserve">육상</x:t>
        </x:is>
      </x:c>
      <x:c r="L256" s="7" t="inlineStr">
        <x:is>
          <x:t xml:space="preserve">수목</x:t>
        </x:is>
      </x:c>
      <x:c r="M256" s="7" t="inlineStr">
        <x:is>
          <x:t xml:space="preserve">온대</x:t>
        </x:is>
      </x:c>
      <x:c r="N256" s="7" t="inlineStr">
        <x:is>
          <x:t xml:space="preserve">다습</x:t>
        </x:is>
      </x:c>
      <x:c r="O256" s="7" t="inlineStr">
        <x:is>
          <x:t xml:space="preserve">무관</x:t>
        </x:is>
      </x:c>
      <x:c r="P256" s="7" t="inlineStr">
        <x:is>
          <x:t xml:space="preserve">무관</x:t>
        </x:is>
      </x:c>
      <x:c r="Q256" s="7" t="inlineStr">
        <x:is>
          <x:t xml:space="preserve">희귀</x:t>
        </x:is>
      </x:c>
      <x:c r="R256" s="7" t="inlineStr">
        <x:is>
          <x:t xml:space="preserve">없음</x:t>
        </x:is>
      </x:c>
      <x:c r="S256" s="7" t="inlineStr">
        <x:is>
          <x:t xml:space="preserve">숲</x:t>
        </x:is>
      </x:c>
      <x:c r="T256" s="7" t="inlineStr">
        <x:is>
          <x:t xml:space="preserve"/>
        </x:is>
      </x:c>
      <x:c r="U256" s="8" t="str">
        <x:f>INDEX('서식지_점수'!$E$4:$P$4,1,MATCH(MAX('서식지_점수'!E256:P256),'서식지_점수'!E256:P256,0))</x:f>
        <x:v>평원</x:v>
      </x:c>
      <x:c r="V256" s="8" t="str">
        <x:f>IF(T256&lt;&gt;"",T256,U256)</x:f>
        <x:v>평원</x:v>
      </x:c>
      <x:c r="W256" s="8" t="str">
        <x:f>IFERROR(INDEX('서식지_점수'!$E$4:$P$4,1,MATCH(MAXIFS('서식지_점수'!E256:P256,'서식지_점수'!E256:P256,"&lt;"&amp;MAX('서식지_점수'!E256:P256)),'서식지_점수'!E256:P256,0)),"")</x:f>
        <x:v>숲</x:v>
      </x:c>
      <x:c r="X256" s="8" t="str">
        <x:f>IF(T256&lt;&gt;"","수동확정",IF(MAX('서식지_점수'!E256:P256)-LARGE('서식지_점수'!E256:P256,2)&gt;=15,"높음",IF(MAX('서식지_점수'!E256:P256)-LARGE('서식지_점수'!E256:P256,2)&gt;=8,"보통","검토필요")))</x:f>
        <x:v>검토필요</x:v>
      </x:c>
      <x:c r="Y256" s="9" t="n">
        <x:f>IF(Q256="전설",8,IF(Q256="희귀",7,IF(J256="기본",1,IF(J256="중간",3,IF(J256="최종",IF(I256="",5,IF(I256&lt;=20,3,IF(I256&lt;=35,4,IF(I256&lt;=50,6,7)))),IF(Q256="드묾",4,2))))))</x:f>
        <x:v>7</x:v>
      </x:c>
      <x:c r="Z256" s="5" t="inlineStr">
        <x:is>
          <x:t xml:space="preserve">#cobblemon:is_jungle; aether:skyroot_forest; aether:skyroot_woodland</x:t>
        </x:is>
      </x:c>
      <x:c r="AA256" s="5" t="inlineStr">
        <x:is>
          <x:t xml:space="preserve">ultra-rare</x:t>
        </x:is>
      </x:c>
      <x:c r="AB256" s="5" t="inlineStr">
        <x:is>
          <x:t xml:space="preserve">예</x:t>
        </x:is>
      </x:c>
      <x:c r="AC256" s="8" t="str">
        <x:f>IF(T256&lt;&gt;"","수동확정",IF(X256="검토필요","검토필요",IF(S256="","원본없음","초기완료")))</x:f>
        <x:v>검토필요</x:v>
      </x:c>
      <x:c r="AD256" s="7" t="inlineStr">
        <x:is>
          <x:t xml:space="preserve"/>
        </x:is>
      </x:c>
      <x:c r="AE256" s="5" t="inlineStr">
        <x:is>
          <x:t xml:space="preserve">.tmp/cobblemon-1.7.3-source/common/src/main/resources/data/cobblemon/species/generation3/treecko.json</x:t>
        </x:is>
      </x:c>
      <x:c r="AF256" s="5" t="str">
        <x:f>"생활권|"&amp;K256</x:f>
        <x:v>생활권|육상</x:v>
      </x:c>
      <x:c r="AG256" s="5" t="str">
        <x:f>"지형|"&amp;L256</x:f>
        <x:v>지형|수목</x:v>
      </x:c>
      <x:c r="AH256" s="5" t="str">
        <x:f>"온도|"&amp;M256</x:f>
        <x:v>온도|온대</x:v>
      </x:c>
      <x:c r="AI256" s="5" t="str">
        <x:f>"습도|"&amp;N256</x:f>
        <x:v>습도|다습</x:v>
      </x:c>
      <x:c r="AJ256" s="5" t="str">
        <x:f>"날씨|"&amp;O256</x:f>
        <x:v>날씨|무관</x:v>
      </x:c>
      <x:c r="AK256" s="5" t="str">
        <x:f>"특수태그|"&amp;R256</x:f>
        <x:v>특수태그|없음</x:v>
      </x:c>
      <x:c r="AL256" s="5" t="str">
        <x:f>"원본서식지|"&amp;S256</x:f>
        <x:v>원본서식지|숲</x:v>
      </x:c>
      <x:c r="AM256" s="5" t="str">
        <x:f>"타입|"&amp;F256</x:f>
        <x:v>타입|풀</x:v>
      </x:c>
      <x:c r="AN256" s="5" t="str">
        <x:f>"타입|"&amp;G256</x:f>
        <x:v>타입|</x:v>
      </x:c>
    </x:row>
    <x:row r="257" ht="24" customHeight="1">
      <x:c r="A257" s="5" t="n">
        <x:v>253</x:v>
      </x:c>
      <x:c r="B257" s="5" t="inlineStr">
        <x:is>
          <x:t xml:space="preserve">나무돌이</x:t>
        </x:is>
      </x:c>
      <x:c r="C257" s="5" t="inlineStr">
        <x:is>
          <x:t xml:space="preserve">grovyle</x:t>
        </x:is>
      </x:c>
      <x:c r="D257" s="5" t="inlineStr">
        <x:is>
          <x:t xml:space="preserve">Grovyle</x:t>
        </x:is>
      </x:c>
      <x:c r="E257" s="5" t="n">
        <x:v>3</x:v>
      </x:c>
      <x:c r="F257" s="5" t="inlineStr">
        <x:is>
          <x:t xml:space="preserve">풀</x:t>
        </x:is>
      </x:c>
      <x:c r="G257" s="5" t="inlineStr">
        <x:is>
          <x:t xml:space="preserve"/>
        </x:is>
      </x:c>
      <x:c r="H257" s="6" t="n">
        <x:v>21.6</x:v>
      </x:c>
      <x:c r="I257" s="5" t="n">
        <x:v>36</x:v>
      </x:c>
      <x:c r="J257" s="5" t="inlineStr">
        <x:is>
          <x:t xml:space="preserve">중간</x:t>
        </x:is>
      </x:c>
      <x:c r="K257" s="7" t="inlineStr">
        <x:is>
          <x:t xml:space="preserve">육상</x:t>
        </x:is>
      </x:c>
      <x:c r="L257" s="7" t="inlineStr">
        <x:is>
          <x:t xml:space="preserve">수목</x:t>
        </x:is>
      </x:c>
      <x:c r="M257" s="7" t="inlineStr">
        <x:is>
          <x:t xml:space="preserve">온대</x:t>
        </x:is>
      </x:c>
      <x:c r="N257" s="7" t="inlineStr">
        <x:is>
          <x:t xml:space="preserve">다습</x:t>
        </x:is>
      </x:c>
      <x:c r="O257" s="7" t="inlineStr">
        <x:is>
          <x:t xml:space="preserve">무관</x:t>
        </x:is>
      </x:c>
      <x:c r="P257" s="7" t="inlineStr">
        <x:is>
          <x:t xml:space="preserve">무관</x:t>
        </x:is>
      </x:c>
      <x:c r="Q257" s="7" t="inlineStr">
        <x:is>
          <x:t xml:space="preserve">희귀</x:t>
        </x:is>
      </x:c>
      <x:c r="R257" s="7" t="inlineStr">
        <x:is>
          <x:t xml:space="preserve">없음</x:t>
        </x:is>
      </x:c>
      <x:c r="S257" s="7" t="inlineStr">
        <x:is>
          <x:t xml:space="preserve">숲</x:t>
        </x:is>
      </x:c>
      <x:c r="T257" s="7" t="inlineStr">
        <x:is>
          <x:t xml:space="preserve"/>
        </x:is>
      </x:c>
      <x:c r="U257" s="8" t="str">
        <x:f>INDEX('서식지_점수'!$E$4:$P$4,1,MATCH(MAX('서식지_점수'!E257:P257),'서식지_점수'!E257:P257,0))</x:f>
        <x:v>평원</x:v>
      </x:c>
      <x:c r="V257" s="8" t="str">
        <x:f>IF(T257&lt;&gt;"",T257,U257)</x:f>
        <x:v>평원</x:v>
      </x:c>
      <x:c r="W257" s="8" t="str">
        <x:f>IFERROR(INDEX('서식지_점수'!$E$4:$P$4,1,MATCH(MAXIFS('서식지_점수'!E257:P257,'서식지_점수'!E257:P257,"&lt;"&amp;MAX('서식지_점수'!E257:P257)),'서식지_점수'!E257:P257,0)),"")</x:f>
        <x:v>숲</x:v>
      </x:c>
      <x:c r="X257" s="8" t="str">
        <x:f>IF(T257&lt;&gt;"","수동확정",IF(MAX('서식지_점수'!E257:P257)-LARGE('서식지_점수'!E257:P257,2)&gt;=15,"높음",IF(MAX('서식지_점수'!E257:P257)-LARGE('서식지_점수'!E257:P257,2)&gt;=8,"보통","검토필요")))</x:f>
        <x:v>검토필요</x:v>
      </x:c>
      <x:c r="Y257" s="9" t="n">
        <x:f>IF(Q257="전설",8,IF(Q257="희귀",7,IF(J257="기본",1,IF(J257="중간",3,IF(J257="최종",IF(I257="",5,IF(I257&lt;=20,3,IF(I257&lt;=35,4,IF(I257&lt;=50,6,7)))),IF(Q257="드묾",4,2))))))</x:f>
        <x:v>7</x:v>
      </x:c>
      <x:c r="Z257" s="5" t="inlineStr">
        <x:is>
          <x:t xml:space="preserve">#cobblemon:is_jungle; aether:skyroot_forest; aether:skyroot_woodland</x:t>
        </x:is>
      </x:c>
      <x:c r="AA257" s="5" t="inlineStr">
        <x:is>
          <x:t xml:space="preserve">ultra-rare</x:t>
        </x:is>
      </x:c>
      <x:c r="AB257" s="5" t="inlineStr">
        <x:is>
          <x:t xml:space="preserve">예</x:t>
        </x:is>
      </x:c>
      <x:c r="AC257" s="8" t="str">
        <x:f>IF(T257&lt;&gt;"","수동확정",IF(X257="검토필요","검토필요",IF(S257="","원본없음","초기완료")))</x:f>
        <x:v>검토필요</x:v>
      </x:c>
      <x:c r="AD257" s="7" t="inlineStr">
        <x:is>
          <x:t xml:space="preserve"/>
        </x:is>
      </x:c>
      <x:c r="AE257" s="5" t="inlineStr">
        <x:is>
          <x:t xml:space="preserve">.tmp/cobblemon-1.7.3-source/common/src/main/resources/data/cobblemon/species/generation3/grovyle.json</x:t>
        </x:is>
      </x:c>
      <x:c r="AF257" s="5" t="str">
        <x:f>"생활권|"&amp;K257</x:f>
        <x:v>생활권|육상</x:v>
      </x:c>
      <x:c r="AG257" s="5" t="str">
        <x:f>"지형|"&amp;L257</x:f>
        <x:v>지형|수목</x:v>
      </x:c>
      <x:c r="AH257" s="5" t="str">
        <x:f>"온도|"&amp;M257</x:f>
        <x:v>온도|온대</x:v>
      </x:c>
      <x:c r="AI257" s="5" t="str">
        <x:f>"습도|"&amp;N257</x:f>
        <x:v>습도|다습</x:v>
      </x:c>
      <x:c r="AJ257" s="5" t="str">
        <x:f>"날씨|"&amp;O257</x:f>
        <x:v>날씨|무관</x:v>
      </x:c>
      <x:c r="AK257" s="5" t="str">
        <x:f>"특수태그|"&amp;R257</x:f>
        <x:v>특수태그|없음</x:v>
      </x:c>
      <x:c r="AL257" s="5" t="str">
        <x:f>"원본서식지|"&amp;S257</x:f>
        <x:v>원본서식지|숲</x:v>
      </x:c>
      <x:c r="AM257" s="5" t="str">
        <x:f>"타입|"&amp;F257</x:f>
        <x:v>타입|풀</x:v>
      </x:c>
      <x:c r="AN257" s="5" t="str">
        <x:f>"타입|"&amp;G257</x:f>
        <x:v>타입|</x:v>
      </x:c>
    </x:row>
    <x:row r="258" ht="24" customHeight="1">
      <x:c r="A258" s="5" t="n">
        <x:v>254</x:v>
      </x:c>
      <x:c r="B258" s="5" t="inlineStr">
        <x:is>
          <x:t xml:space="preserve">나무킹</x:t>
        </x:is>
      </x:c>
      <x:c r="C258" s="5" t="inlineStr">
        <x:is>
          <x:t xml:space="preserve">sceptile</x:t>
        </x:is>
      </x:c>
      <x:c r="D258" s="5" t="inlineStr">
        <x:is>
          <x:t xml:space="preserve">Sceptile</x:t>
        </x:is>
      </x:c>
      <x:c r="E258" s="5" t="n">
        <x:v>3</x:v>
      </x:c>
      <x:c r="F258" s="5" t="inlineStr">
        <x:is>
          <x:t xml:space="preserve">풀</x:t>
        </x:is>
      </x:c>
      <x:c r="G258" s="5" t="inlineStr">
        <x:is>
          <x:t xml:space="preserve"/>
        </x:is>
      </x:c>
      <x:c r="H258" s="6" t="n">
        <x:v>52.2</x:v>
      </x:c>
      <x:c r="I258" s="5" t="n">
        <x:v>36</x:v>
      </x:c>
      <x:c r="J258" s="5" t="inlineStr">
        <x:is>
          <x:t xml:space="preserve">최종</x:t>
        </x:is>
      </x:c>
      <x:c r="K258" s="7" t="inlineStr">
        <x:is>
          <x:t xml:space="preserve">육상</x:t>
        </x:is>
      </x:c>
      <x:c r="L258" s="7" t="inlineStr">
        <x:is>
          <x:t xml:space="preserve">수목</x:t>
        </x:is>
      </x:c>
      <x:c r="M258" s="7" t="inlineStr">
        <x:is>
          <x:t xml:space="preserve">온대</x:t>
        </x:is>
      </x:c>
      <x:c r="N258" s="7" t="inlineStr">
        <x:is>
          <x:t xml:space="preserve">다습</x:t>
        </x:is>
      </x:c>
      <x:c r="O258" s="7" t="inlineStr">
        <x:is>
          <x:t xml:space="preserve">무관</x:t>
        </x:is>
      </x:c>
      <x:c r="P258" s="7" t="inlineStr">
        <x:is>
          <x:t xml:space="preserve">무관</x:t>
        </x:is>
      </x:c>
      <x:c r="Q258" s="7" t="inlineStr">
        <x:is>
          <x:t xml:space="preserve">희귀</x:t>
        </x:is>
      </x:c>
      <x:c r="R258" s="7" t="inlineStr">
        <x:is>
          <x:t xml:space="preserve">없음</x:t>
        </x:is>
      </x:c>
      <x:c r="S258" s="7" t="inlineStr">
        <x:is>
          <x:t xml:space="preserve">숲</x:t>
        </x:is>
      </x:c>
      <x:c r="T258" s="7" t="inlineStr">
        <x:is>
          <x:t xml:space="preserve"/>
        </x:is>
      </x:c>
      <x:c r="U258" s="8" t="str">
        <x:f>INDEX('서식지_점수'!$E$4:$P$4,1,MATCH(MAX('서식지_점수'!E258:P258),'서식지_점수'!E258:P258,0))</x:f>
        <x:v>평원</x:v>
      </x:c>
      <x:c r="V258" s="8" t="str">
        <x:f>IF(T258&lt;&gt;"",T258,U258)</x:f>
        <x:v>평원</x:v>
      </x:c>
      <x:c r="W258" s="8" t="str">
        <x:f>IFERROR(INDEX('서식지_점수'!$E$4:$P$4,1,MATCH(MAXIFS('서식지_점수'!E258:P258,'서식지_점수'!E258:P258,"&lt;"&amp;MAX('서식지_점수'!E258:P258)),'서식지_점수'!E258:P258,0)),"")</x:f>
        <x:v>숲</x:v>
      </x:c>
      <x:c r="X258" s="8" t="str">
        <x:f>IF(T258&lt;&gt;"","수동확정",IF(MAX('서식지_점수'!E258:P258)-LARGE('서식지_점수'!E258:P258,2)&gt;=15,"높음",IF(MAX('서식지_점수'!E258:P258)-LARGE('서식지_점수'!E258:P258,2)&gt;=8,"보통","검토필요")))</x:f>
        <x:v>검토필요</x:v>
      </x:c>
      <x:c r="Y258" s="9" t="n">
        <x:f>IF(Q258="전설",8,IF(Q258="희귀",7,IF(J258="기본",1,IF(J258="중간",3,IF(J258="최종",IF(I258="",5,IF(I258&lt;=20,3,IF(I258&lt;=35,4,IF(I258&lt;=50,6,7)))),IF(Q258="드묾",4,2))))))</x:f>
        <x:v>7</x:v>
      </x:c>
      <x:c r="Z258" s="5" t="inlineStr">
        <x:is>
          <x:t xml:space="preserve">#cobblemon:is_jungle; aether:skyroot_forest; aether:skyroot_woodland</x:t>
        </x:is>
      </x:c>
      <x:c r="AA258" s="5" t="inlineStr">
        <x:is>
          <x:t xml:space="preserve">ultra-rare</x:t>
        </x:is>
      </x:c>
      <x:c r="AB258" s="5" t="inlineStr">
        <x:is>
          <x:t xml:space="preserve">예</x:t>
        </x:is>
      </x:c>
      <x:c r="AC258" s="8" t="str">
        <x:f>IF(T258&lt;&gt;"","수동확정",IF(X258="검토필요","검토필요",IF(S258="","원본없음","초기완료")))</x:f>
        <x:v>검토필요</x:v>
      </x:c>
      <x:c r="AD258" s="7" t="inlineStr">
        <x:is>
          <x:t xml:space="preserve"/>
        </x:is>
      </x:c>
      <x:c r="AE258" s="5" t="inlineStr">
        <x:is>
          <x:t xml:space="preserve">.tmp/cobblemon-1.7.3-source/common/src/main/resources/data/cobblemon/species/generation3/sceptile.json</x:t>
        </x:is>
      </x:c>
      <x:c r="AF258" s="5" t="str">
        <x:f>"생활권|"&amp;K258</x:f>
        <x:v>생활권|육상</x:v>
      </x:c>
      <x:c r="AG258" s="5" t="str">
        <x:f>"지형|"&amp;L258</x:f>
        <x:v>지형|수목</x:v>
      </x:c>
      <x:c r="AH258" s="5" t="str">
        <x:f>"온도|"&amp;M258</x:f>
        <x:v>온도|온대</x:v>
      </x:c>
      <x:c r="AI258" s="5" t="str">
        <x:f>"습도|"&amp;N258</x:f>
        <x:v>습도|다습</x:v>
      </x:c>
      <x:c r="AJ258" s="5" t="str">
        <x:f>"날씨|"&amp;O258</x:f>
        <x:v>날씨|무관</x:v>
      </x:c>
      <x:c r="AK258" s="5" t="str">
        <x:f>"특수태그|"&amp;R258</x:f>
        <x:v>특수태그|없음</x:v>
      </x:c>
      <x:c r="AL258" s="5" t="str">
        <x:f>"원본서식지|"&amp;S258</x:f>
        <x:v>원본서식지|숲</x:v>
      </x:c>
      <x:c r="AM258" s="5" t="str">
        <x:f>"타입|"&amp;F258</x:f>
        <x:v>타입|풀</x:v>
      </x:c>
      <x:c r="AN258" s="5" t="str">
        <x:f>"타입|"&amp;G258</x:f>
        <x:v>타입|</x:v>
      </x:c>
    </x:row>
    <x:row r="259" ht="24" customHeight="1">
      <x:c r="A259" s="5" t="n">
        <x:v>255</x:v>
      </x:c>
      <x:c r="B259" s="5" t="inlineStr">
        <x:is>
          <x:t xml:space="preserve">아차모</x:t>
        </x:is>
      </x:c>
      <x:c r="C259" s="5" t="inlineStr">
        <x:is>
          <x:t xml:space="preserve">torchic</x:t>
        </x:is>
      </x:c>
      <x:c r="D259" s="5" t="inlineStr">
        <x:is>
          <x:t xml:space="preserve">Torchic</x:t>
        </x:is>
      </x:c>
      <x:c r="E259" s="5" t="n">
        <x:v>3</x:v>
      </x:c>
      <x:c r="F259" s="5" t="inlineStr">
        <x:is>
          <x:t xml:space="preserve">불꽃</x:t>
        </x:is>
      </x:c>
      <x:c r="G259" s="5" t="inlineStr">
        <x:is>
          <x:t xml:space="preserve"/>
        </x:is>
      </x:c>
      <x:c r="H259" s="6" t="n">
        <x:v>2.5</x:v>
      </x:c>
      <x:c r="I259" s="5" t="n">
        <x:v>36</x:v>
      </x:c>
      <x:c r="J259" s="5" t="inlineStr">
        <x:is>
          <x:t xml:space="preserve">기본</x:t>
        </x:is>
      </x:c>
      <x:c r="K259" s="7" t="inlineStr">
        <x:is>
          <x:t xml:space="preserve">육상</x:t>
        </x:is>
      </x:c>
      <x:c r="L259" s="7" t="inlineStr">
        <x:is>
          <x:t xml:space="preserve">개활지</x:t>
        </x:is>
      </x:c>
      <x:c r="M259" s="7" t="inlineStr">
        <x:is>
          <x:t xml:space="preserve">고온</x:t>
        </x:is>
      </x:c>
      <x:c r="N259" s="7" t="inlineStr">
        <x:is>
          <x:t xml:space="preserve">보통</x:t>
        </x:is>
      </x:c>
      <x:c r="O259" s="7" t="inlineStr">
        <x:is>
          <x:t xml:space="preserve">무관</x:t>
        </x:is>
      </x:c>
      <x:c r="P259" s="7" t="inlineStr">
        <x:is>
          <x:t xml:space="preserve">무관</x:t>
        </x:is>
      </x:c>
      <x:c r="Q259" s="7" t="inlineStr">
        <x:is>
          <x:t xml:space="preserve">희귀</x:t>
        </x:is>
      </x:c>
      <x:c r="R259" s="7" t="inlineStr">
        <x:is>
          <x:t xml:space="preserve">없음</x:t>
        </x:is>
      </x:c>
      <x:c r="S259" s="7" t="inlineStr">
        <x:is>
          <x:t xml:space="preserve">평원</x:t>
        </x:is>
      </x:c>
      <x:c r="T259" s="7" t="inlineStr">
        <x:is>
          <x:t xml:space="preserve"/>
        </x:is>
      </x:c>
      <x:c r="U259" s="8" t="str">
        <x:f>INDEX('서식지_점수'!$E$4:$P$4,1,MATCH(MAX('서식지_점수'!E259:P259),'서식지_점수'!E259:P259,0))</x:f>
        <x:v>평원</x:v>
      </x:c>
      <x:c r="V259" s="8" t="str">
        <x:f>IF(T259&lt;&gt;"",T259,U259)</x:f>
        <x:v>평원</x:v>
      </x:c>
      <x:c r="W259" s="8" t="str">
        <x:f>IFERROR(INDEX('서식지_점수'!$E$4:$P$4,1,MATCH(MAXIFS('서식지_점수'!E259:P259,'서식지_점수'!E259:P259,"&lt;"&amp;MAX('서식지_점수'!E259:P259)),'서식지_점수'!E259:P259,0)),"")</x:f>
        <x:v>숲</x:v>
      </x:c>
      <x:c r="X259" s="8" t="str">
        <x:f>IF(T259&lt;&gt;"","수동확정",IF(MAX('서식지_점수'!E259:P259)-LARGE('서식지_점수'!E259:P259,2)&gt;=15,"높음",IF(MAX('서식지_점수'!E259:P259)-LARGE('서식지_점수'!E259:P259,2)&gt;=8,"보통","검토필요")))</x:f>
        <x:v>검토필요</x:v>
      </x:c>
      <x:c r="Y259" s="9" t="n">
        <x:f>IF(Q259="전설",8,IF(Q259="희귀",7,IF(J259="기본",1,IF(J259="중간",3,IF(J259="최종",IF(I259="",5,IF(I259&lt;=20,3,IF(I259&lt;=35,4,IF(I259&lt;=50,6,7)))),IF(Q259="드묾",4,2))))))</x:f>
        <x:v>7</x:v>
      </x:c>
      <x:c r="Z259" s="5" t="inlineStr">
        <x:is>
          <x:t xml:space="preserve">#cobblemon:is_plains; aether:skyroot_grove; aether:skyroot_meadow</x:t>
        </x:is>
      </x:c>
      <x:c r="AA259" s="5" t="inlineStr">
        <x:is>
          <x:t xml:space="preserve">ultra-rare</x:t>
        </x:is>
      </x:c>
      <x:c r="AB259" s="5" t="inlineStr">
        <x:is>
          <x:t xml:space="preserve">예</x:t>
        </x:is>
      </x:c>
      <x:c r="AC259" s="8" t="str">
        <x:f>IF(T259&lt;&gt;"","수동확정",IF(X259="검토필요","검토필요",IF(S259="","원본없음","초기완료")))</x:f>
        <x:v>검토필요</x:v>
      </x:c>
      <x:c r="AD259" s="7" t="inlineStr">
        <x:is>
          <x:t xml:space="preserve"/>
        </x:is>
      </x:c>
      <x:c r="AE259" s="5" t="inlineStr">
        <x:is>
          <x:t xml:space="preserve">.tmp/cobblemon-1.7.3-source/common/src/main/resources/data/cobblemon/species/generation3/torchic.json</x:t>
        </x:is>
      </x:c>
      <x:c r="AF259" s="5" t="str">
        <x:f>"생활권|"&amp;K259</x:f>
        <x:v>생활권|육상</x:v>
      </x:c>
      <x:c r="AG259" s="5" t="str">
        <x:f>"지형|"&amp;L259</x:f>
        <x:v>지형|개활지</x:v>
      </x:c>
      <x:c r="AH259" s="5" t="str">
        <x:f>"온도|"&amp;M259</x:f>
        <x:v>온도|고온</x:v>
      </x:c>
      <x:c r="AI259" s="5" t="str">
        <x:f>"습도|"&amp;N259</x:f>
        <x:v>습도|보통</x:v>
      </x:c>
      <x:c r="AJ259" s="5" t="str">
        <x:f>"날씨|"&amp;O259</x:f>
        <x:v>날씨|무관</x:v>
      </x:c>
      <x:c r="AK259" s="5" t="str">
        <x:f>"특수태그|"&amp;R259</x:f>
        <x:v>특수태그|없음</x:v>
      </x:c>
      <x:c r="AL259" s="5" t="str">
        <x:f>"원본서식지|"&amp;S259</x:f>
        <x:v>원본서식지|평원</x:v>
      </x:c>
      <x:c r="AM259" s="5" t="str">
        <x:f>"타입|"&amp;F259</x:f>
        <x:v>타입|불꽃</x:v>
      </x:c>
      <x:c r="AN259" s="5" t="str">
        <x:f>"타입|"&amp;G259</x:f>
        <x:v>타입|</x:v>
      </x:c>
    </x:row>
    <x:row r="260" ht="24" customHeight="1">
      <x:c r="A260" s="5" t="n">
        <x:v>256</x:v>
      </x:c>
      <x:c r="B260" s="5" t="inlineStr">
        <x:is>
          <x:t xml:space="preserve">영치코</x:t>
        </x:is>
      </x:c>
      <x:c r="C260" s="5" t="inlineStr">
        <x:is>
          <x:t xml:space="preserve">combusken</x:t>
        </x:is>
      </x:c>
      <x:c r="D260" s="5" t="inlineStr">
        <x:is>
          <x:t xml:space="preserve">Combusken</x:t>
        </x:is>
      </x:c>
      <x:c r="E260" s="5" t="n">
        <x:v>3</x:v>
      </x:c>
      <x:c r="F260" s="5" t="inlineStr">
        <x:is>
          <x:t xml:space="preserve">불꽃</x:t>
        </x:is>
      </x:c>
      <x:c r="G260" s="5" t="inlineStr">
        <x:is>
          <x:t xml:space="preserve">격투</x:t>
        </x:is>
      </x:c>
      <x:c r="H260" s="6" t="n">
        <x:v>19.5</x:v>
      </x:c>
      <x:c r="I260" s="5" t="n">
        <x:v>36</x:v>
      </x:c>
      <x:c r="J260" s="5" t="inlineStr">
        <x:is>
          <x:t xml:space="preserve">중간</x:t>
        </x:is>
      </x:c>
      <x:c r="K260" s="7" t="inlineStr">
        <x:is>
          <x:t xml:space="preserve">육상</x:t>
        </x:is>
      </x:c>
      <x:c r="L260" s="7" t="inlineStr">
        <x:is>
          <x:t xml:space="preserve">개활지</x:t>
        </x:is>
      </x:c>
      <x:c r="M260" s="7" t="inlineStr">
        <x:is>
          <x:t xml:space="preserve">고온</x:t>
        </x:is>
      </x:c>
      <x:c r="N260" s="7" t="inlineStr">
        <x:is>
          <x:t xml:space="preserve">보통</x:t>
        </x:is>
      </x:c>
      <x:c r="O260" s="7" t="inlineStr">
        <x:is>
          <x:t xml:space="preserve">무관</x:t>
        </x:is>
      </x:c>
      <x:c r="P260" s="7" t="inlineStr">
        <x:is>
          <x:t xml:space="preserve">무관</x:t>
        </x:is>
      </x:c>
      <x:c r="Q260" s="7" t="inlineStr">
        <x:is>
          <x:t xml:space="preserve">희귀</x:t>
        </x:is>
      </x:c>
      <x:c r="R260" s="7" t="inlineStr">
        <x:is>
          <x:t xml:space="preserve">없음</x:t>
        </x:is>
      </x:c>
      <x:c r="S260" s="7" t="inlineStr">
        <x:is>
          <x:t xml:space="preserve">평원</x:t>
        </x:is>
      </x:c>
      <x:c r="T260" s="7" t="inlineStr">
        <x:is>
          <x:t xml:space="preserve"/>
        </x:is>
      </x:c>
      <x:c r="U260" s="8" t="str">
        <x:f>INDEX('서식지_점수'!$E$4:$P$4,1,MATCH(MAX('서식지_점수'!E260:P260),'서식지_점수'!E260:P260,0))</x:f>
        <x:v>평원</x:v>
      </x:c>
      <x:c r="V260" s="8" t="str">
        <x:f>IF(T260&lt;&gt;"",T260,U260)</x:f>
        <x:v>평원</x:v>
      </x:c>
      <x:c r="W260" s="8" t="str">
        <x:f>IFERROR(INDEX('서식지_점수'!$E$4:$P$4,1,MATCH(MAXIFS('서식지_점수'!E260:P260,'서식지_점수'!E260:P260,"&lt;"&amp;MAX('서식지_점수'!E260:P260)),'서식지_점수'!E260:P260,0)),"")</x:f>
        <x:v>숲</x:v>
      </x:c>
      <x:c r="X260" s="8" t="str">
        <x:f>IF(T260&lt;&gt;"","수동확정",IF(MAX('서식지_점수'!E260:P260)-LARGE('서식지_점수'!E260:P260,2)&gt;=15,"높음",IF(MAX('서식지_점수'!E260:P260)-LARGE('서식지_점수'!E260:P260,2)&gt;=8,"보통","검토필요")))</x:f>
        <x:v>검토필요</x:v>
      </x:c>
      <x:c r="Y260" s="9" t="n">
        <x:f>IF(Q260="전설",8,IF(Q260="희귀",7,IF(J260="기본",1,IF(J260="중간",3,IF(J260="최종",IF(I260="",5,IF(I260&lt;=20,3,IF(I260&lt;=35,4,IF(I260&lt;=50,6,7)))),IF(Q260="드묾",4,2))))))</x:f>
        <x:v>7</x:v>
      </x:c>
      <x:c r="Z260" s="5" t="inlineStr">
        <x:is>
          <x:t xml:space="preserve">#cobblemon:is_plains; aether:skyroot_grove; aether:skyroot_meadow</x:t>
        </x:is>
      </x:c>
      <x:c r="AA260" s="5" t="inlineStr">
        <x:is>
          <x:t xml:space="preserve">ultra-rare</x:t>
        </x:is>
      </x:c>
      <x:c r="AB260" s="5" t="inlineStr">
        <x:is>
          <x:t xml:space="preserve">예</x:t>
        </x:is>
      </x:c>
      <x:c r="AC260" s="8" t="str">
        <x:f>IF(T260&lt;&gt;"","수동확정",IF(X260="검토필요","검토필요",IF(S260="","원본없음","초기완료")))</x:f>
        <x:v>검토필요</x:v>
      </x:c>
      <x:c r="AD260" s="7" t="inlineStr">
        <x:is>
          <x:t xml:space="preserve"/>
        </x:is>
      </x:c>
      <x:c r="AE260" s="5" t="inlineStr">
        <x:is>
          <x:t xml:space="preserve">.tmp/cobblemon-1.7.3-source/common/src/main/resources/data/cobblemon/species/generation3/combusken.json</x:t>
        </x:is>
      </x:c>
      <x:c r="AF260" s="5" t="str">
        <x:f>"생활권|"&amp;K260</x:f>
        <x:v>생활권|육상</x:v>
      </x:c>
      <x:c r="AG260" s="5" t="str">
        <x:f>"지형|"&amp;L260</x:f>
        <x:v>지형|개활지</x:v>
      </x:c>
      <x:c r="AH260" s="5" t="str">
        <x:f>"온도|"&amp;M260</x:f>
        <x:v>온도|고온</x:v>
      </x:c>
      <x:c r="AI260" s="5" t="str">
        <x:f>"습도|"&amp;N260</x:f>
        <x:v>습도|보통</x:v>
      </x:c>
      <x:c r="AJ260" s="5" t="str">
        <x:f>"날씨|"&amp;O260</x:f>
        <x:v>날씨|무관</x:v>
      </x:c>
      <x:c r="AK260" s="5" t="str">
        <x:f>"특수태그|"&amp;R260</x:f>
        <x:v>특수태그|없음</x:v>
      </x:c>
      <x:c r="AL260" s="5" t="str">
        <x:f>"원본서식지|"&amp;S260</x:f>
        <x:v>원본서식지|평원</x:v>
      </x:c>
      <x:c r="AM260" s="5" t="str">
        <x:f>"타입|"&amp;F260</x:f>
        <x:v>타입|불꽃</x:v>
      </x:c>
      <x:c r="AN260" s="5" t="str">
        <x:f>"타입|"&amp;G260</x:f>
        <x:v>타입|격투</x:v>
      </x:c>
    </x:row>
    <x:row r="261" ht="24" customHeight="1">
      <x:c r="A261" s="5" t="n">
        <x:v>257</x:v>
      </x:c>
      <x:c r="B261" s="5" t="inlineStr">
        <x:is>
          <x:t xml:space="preserve">번치코</x:t>
        </x:is>
      </x:c>
      <x:c r="C261" s="5" t="inlineStr">
        <x:is>
          <x:t xml:space="preserve">blaziken</x:t>
        </x:is>
      </x:c>
      <x:c r="D261" s="5" t="inlineStr">
        <x:is>
          <x:t xml:space="preserve">Blaziken</x:t>
        </x:is>
      </x:c>
      <x:c r="E261" s="5" t="n">
        <x:v>3</x:v>
      </x:c>
      <x:c r="F261" s="5" t="inlineStr">
        <x:is>
          <x:t xml:space="preserve">불꽃</x:t>
        </x:is>
      </x:c>
      <x:c r="G261" s="5" t="inlineStr">
        <x:is>
          <x:t xml:space="preserve">격투</x:t>
        </x:is>
      </x:c>
      <x:c r="H261" s="6" t="n">
        <x:v>52</x:v>
      </x:c>
      <x:c r="I261" s="5" t="n">
        <x:v>36</x:v>
      </x:c>
      <x:c r="J261" s="5" t="inlineStr">
        <x:is>
          <x:t xml:space="preserve">최종</x:t>
        </x:is>
      </x:c>
      <x:c r="K261" s="7" t="inlineStr">
        <x:is>
          <x:t xml:space="preserve">육상</x:t>
        </x:is>
      </x:c>
      <x:c r="L261" s="7" t="inlineStr">
        <x:is>
          <x:t xml:space="preserve">개활지</x:t>
        </x:is>
      </x:c>
      <x:c r="M261" s="7" t="inlineStr">
        <x:is>
          <x:t xml:space="preserve">고온</x:t>
        </x:is>
      </x:c>
      <x:c r="N261" s="7" t="inlineStr">
        <x:is>
          <x:t xml:space="preserve">보통</x:t>
        </x:is>
      </x:c>
      <x:c r="O261" s="7" t="inlineStr">
        <x:is>
          <x:t xml:space="preserve">무관</x:t>
        </x:is>
      </x:c>
      <x:c r="P261" s="7" t="inlineStr">
        <x:is>
          <x:t xml:space="preserve">무관</x:t>
        </x:is>
      </x:c>
      <x:c r="Q261" s="7" t="inlineStr">
        <x:is>
          <x:t xml:space="preserve">희귀</x:t>
        </x:is>
      </x:c>
      <x:c r="R261" s="7" t="inlineStr">
        <x:is>
          <x:t xml:space="preserve">없음</x:t>
        </x:is>
      </x:c>
      <x:c r="S261" s="7" t="inlineStr">
        <x:is>
          <x:t xml:space="preserve">평원</x:t>
        </x:is>
      </x:c>
      <x:c r="T261" s="7" t="inlineStr">
        <x:is>
          <x:t xml:space="preserve"/>
        </x:is>
      </x:c>
      <x:c r="U261" s="8" t="str">
        <x:f>INDEX('서식지_점수'!$E$4:$P$4,1,MATCH(MAX('서식지_점수'!E261:P261),'서식지_점수'!E261:P261,0))</x:f>
        <x:v>평원</x:v>
      </x:c>
      <x:c r="V261" s="8" t="str">
        <x:f>IF(T261&lt;&gt;"",T261,U261)</x:f>
        <x:v>평원</x:v>
      </x:c>
      <x:c r="W261" s="8" t="str">
        <x:f>IFERROR(INDEX('서식지_점수'!$E$4:$P$4,1,MATCH(MAXIFS('서식지_점수'!E261:P261,'서식지_점수'!E261:P261,"&lt;"&amp;MAX('서식지_점수'!E261:P261)),'서식지_점수'!E261:P261,0)),"")</x:f>
        <x:v>숲</x:v>
      </x:c>
      <x:c r="X261" s="8" t="str">
        <x:f>IF(T261&lt;&gt;"","수동확정",IF(MAX('서식지_점수'!E261:P261)-LARGE('서식지_점수'!E261:P261,2)&gt;=15,"높음",IF(MAX('서식지_점수'!E261:P261)-LARGE('서식지_점수'!E261:P261,2)&gt;=8,"보통","검토필요")))</x:f>
        <x:v>검토필요</x:v>
      </x:c>
      <x:c r="Y261" s="9" t="n">
        <x:f>IF(Q261="전설",8,IF(Q261="희귀",7,IF(J261="기본",1,IF(J261="중간",3,IF(J261="최종",IF(I261="",5,IF(I261&lt;=20,3,IF(I261&lt;=35,4,IF(I261&lt;=50,6,7)))),IF(Q261="드묾",4,2))))))</x:f>
        <x:v>7</x:v>
      </x:c>
      <x:c r="Z261" s="5" t="inlineStr">
        <x:is>
          <x:t xml:space="preserve">#cobblemon:is_plains; aether:skyroot_grove; aether:skyroot_meadow</x:t>
        </x:is>
      </x:c>
      <x:c r="AA261" s="5" t="inlineStr">
        <x:is>
          <x:t xml:space="preserve">ultra-rare</x:t>
        </x:is>
      </x:c>
      <x:c r="AB261" s="5" t="inlineStr">
        <x:is>
          <x:t xml:space="preserve">예</x:t>
        </x:is>
      </x:c>
      <x:c r="AC261" s="8" t="str">
        <x:f>IF(T261&lt;&gt;"","수동확정",IF(X261="검토필요","검토필요",IF(S261="","원본없음","초기완료")))</x:f>
        <x:v>검토필요</x:v>
      </x:c>
      <x:c r="AD261" s="7" t="inlineStr">
        <x:is>
          <x:t xml:space="preserve"/>
        </x:is>
      </x:c>
      <x:c r="AE261" s="5" t="inlineStr">
        <x:is>
          <x:t xml:space="preserve">.tmp/cobblemon-1.7.3-source/common/src/main/resources/data/cobblemon/species/generation3/blaziken.json</x:t>
        </x:is>
      </x:c>
      <x:c r="AF261" s="5" t="str">
        <x:f>"생활권|"&amp;K261</x:f>
        <x:v>생활권|육상</x:v>
      </x:c>
      <x:c r="AG261" s="5" t="str">
        <x:f>"지형|"&amp;L261</x:f>
        <x:v>지형|개활지</x:v>
      </x:c>
      <x:c r="AH261" s="5" t="str">
        <x:f>"온도|"&amp;M261</x:f>
        <x:v>온도|고온</x:v>
      </x:c>
      <x:c r="AI261" s="5" t="str">
        <x:f>"습도|"&amp;N261</x:f>
        <x:v>습도|보통</x:v>
      </x:c>
      <x:c r="AJ261" s="5" t="str">
        <x:f>"날씨|"&amp;O261</x:f>
        <x:v>날씨|무관</x:v>
      </x:c>
      <x:c r="AK261" s="5" t="str">
        <x:f>"특수태그|"&amp;R261</x:f>
        <x:v>특수태그|없음</x:v>
      </x:c>
      <x:c r="AL261" s="5" t="str">
        <x:f>"원본서식지|"&amp;S261</x:f>
        <x:v>원본서식지|평원</x:v>
      </x:c>
      <x:c r="AM261" s="5" t="str">
        <x:f>"타입|"&amp;F261</x:f>
        <x:v>타입|불꽃</x:v>
      </x:c>
      <x:c r="AN261" s="5" t="str">
        <x:f>"타입|"&amp;G261</x:f>
        <x:v>타입|격투</x:v>
      </x:c>
    </x:row>
    <x:row r="262" ht="24" customHeight="1">
      <x:c r="A262" s="5" t="n">
        <x:v>258</x:v>
      </x:c>
      <x:c r="B262" s="5" t="inlineStr">
        <x:is>
          <x:t xml:space="preserve">물짱이</x:t>
        </x:is>
      </x:c>
      <x:c r="C262" s="5" t="inlineStr">
        <x:is>
          <x:t xml:space="preserve">mudkip</x:t>
        </x:is>
      </x:c>
      <x:c r="D262" s="5" t="inlineStr">
        <x:is>
          <x:t xml:space="preserve">Mudkip</x:t>
        </x:is>
      </x:c>
      <x:c r="E262" s="5" t="n">
        <x:v>3</x:v>
      </x:c>
      <x:c r="F262" s="5" t="inlineStr">
        <x:is>
          <x:t xml:space="preserve">물</x:t>
        </x:is>
      </x:c>
      <x:c r="G262" s="5" t="inlineStr">
        <x:is>
          <x:t xml:space="preserve"/>
        </x:is>
      </x:c>
      <x:c r="H262" s="6" t="n">
        <x:v>7.6</x:v>
      </x:c>
      <x:c r="I262" s="5" t="n">
        <x:v>36</x:v>
      </x:c>
      <x:c r="J262" s="5" t="inlineStr">
        <x:is>
          <x:t xml:space="preserve">기본</x:t>
        </x:is>
      </x:c>
      <x:c r="K262" s="7" t="inlineStr">
        <x:is>
          <x:t xml:space="preserve">수륙</x:t>
        </x:is>
      </x:c>
      <x:c r="L262" s="7" t="inlineStr">
        <x:is>
          <x:t xml:space="preserve">습지</x:t>
        </x:is>
      </x:c>
      <x:c r="M262" s="7" t="inlineStr">
        <x:is>
          <x:t xml:space="preserve">온대</x:t>
        </x:is>
      </x:c>
      <x:c r="N262" s="7" t="inlineStr">
        <x:is>
          <x:t xml:space="preserve">다습</x:t>
        </x:is>
      </x:c>
      <x:c r="O262" s="7" t="inlineStr">
        <x:is>
          <x:t xml:space="preserve">비</x:t>
        </x:is>
      </x:c>
      <x:c r="P262" s="7" t="inlineStr">
        <x:is>
          <x:t xml:space="preserve">무관</x:t>
        </x:is>
      </x:c>
      <x:c r="Q262" s="7" t="inlineStr">
        <x:is>
          <x:t xml:space="preserve">희귀</x:t>
        </x:is>
      </x:c>
      <x:c r="R262" s="7" t="inlineStr">
        <x:is>
          <x:t xml:space="preserve">없음</x:t>
        </x:is>
      </x:c>
      <x:c r="S262" s="7" t="inlineStr">
        <x:is>
          <x:t xml:space="preserve">습지</x:t>
        </x:is>
      </x:c>
      <x:c r="T262" s="7" t="inlineStr">
        <x:is>
          <x:t xml:space="preserve"/>
        </x:is>
      </x:c>
      <x:c r="U262" s="8" t="str">
        <x:f>INDEX('서식지_점수'!$E$4:$P$4,1,MATCH(MAX('서식지_점수'!E262:P262),'서식지_점수'!E262:P262,0))</x:f>
        <x:v>습지</x:v>
      </x:c>
      <x:c r="V262" s="8" t="str">
        <x:f>IF(T262&lt;&gt;"",T262,U262)</x:f>
        <x:v>습지</x:v>
      </x:c>
      <x:c r="W262" s="8" t="str">
        <x:f>IFERROR(INDEX('서식지_점수'!$E$4:$P$4,1,MATCH(MAXIFS('서식지_점수'!E262:P262,'서식지_점수'!E262:P262,"&lt;"&amp;MAX('서식지_점수'!E262:P262)),'서식지_점수'!E262:P262,0)),"")</x:f>
        <x:v>담수</x:v>
      </x:c>
      <x:c r="X262" s="8" t="str">
        <x:f>IF(T262&lt;&gt;"","수동확정",IF(MAX('서식지_점수'!E262:P262)-LARGE('서식지_점수'!E262:P262,2)&gt;=15,"높음",IF(MAX('서식지_점수'!E262:P262)-LARGE('서식지_점수'!E262:P262,2)&gt;=8,"보통","검토필요")))</x:f>
        <x:v>검토필요</x:v>
      </x:c>
      <x:c r="Y262" s="9" t="n">
        <x:f>IF(Q262="전설",8,IF(Q262="희귀",7,IF(J262="기본",1,IF(J262="중간",3,IF(J262="최종",IF(I262="",5,IF(I262&lt;=20,3,IF(I262&lt;=35,4,IF(I262&lt;=50,6,7)))),IF(Q262="드묾",4,2))))))</x:f>
        <x:v>7</x:v>
      </x:c>
      <x:c r="Z262" s="5" t="inlineStr">
        <x:is>
          <x:t xml:space="preserve">#cobblemon:is_badlands; #cobblemon:is_forest; #cobblemon:is_jungle; #cobblemon:is_lush; #cobblemon:is_mushroom; #cobblemon:is_overworld; #cobblemon:is_savanna; #cobblemon:is_swamp</x:t>
        </x:is>
      </x:c>
      <x:c r="AA262" s="5" t="inlineStr">
        <x:is>
          <x:t xml:space="preserve">ultra-rare</x:t>
        </x:is>
      </x:c>
      <x:c r="AB262" s="5" t="inlineStr">
        <x:is>
          <x:t xml:space="preserve">예</x:t>
        </x:is>
      </x:c>
      <x:c r="AC262" s="8" t="str">
        <x:f>IF(T262&lt;&gt;"","수동확정",IF(X262="검토필요","검토필요",IF(S262="","원본없음","초기완료")))</x:f>
        <x:v>검토필요</x:v>
      </x:c>
      <x:c r="AD262" s="7" t="inlineStr">
        <x:is>
          <x:t xml:space="preserve"/>
        </x:is>
      </x:c>
      <x:c r="AE262" s="5" t="inlineStr">
        <x:is>
          <x:t xml:space="preserve">.tmp/cobblemon-1.7.3-source/common/src/main/resources/data/cobblemon/species/generation3/mudkip.json</x:t>
        </x:is>
      </x:c>
      <x:c r="AF262" s="5" t="str">
        <x:f>"생활권|"&amp;K262</x:f>
        <x:v>생활권|수륙</x:v>
      </x:c>
      <x:c r="AG262" s="5" t="str">
        <x:f>"지형|"&amp;L262</x:f>
        <x:v>지형|습지</x:v>
      </x:c>
      <x:c r="AH262" s="5" t="str">
        <x:f>"온도|"&amp;M262</x:f>
        <x:v>온도|온대</x:v>
      </x:c>
      <x:c r="AI262" s="5" t="str">
        <x:f>"습도|"&amp;N262</x:f>
        <x:v>습도|다습</x:v>
      </x:c>
      <x:c r="AJ262" s="5" t="str">
        <x:f>"날씨|"&amp;O262</x:f>
        <x:v>날씨|비</x:v>
      </x:c>
      <x:c r="AK262" s="5" t="str">
        <x:f>"특수태그|"&amp;R262</x:f>
        <x:v>특수태그|없음</x:v>
      </x:c>
      <x:c r="AL262" s="5" t="str">
        <x:f>"원본서식지|"&amp;S262</x:f>
        <x:v>원본서식지|습지</x:v>
      </x:c>
      <x:c r="AM262" s="5" t="str">
        <x:f>"타입|"&amp;F262</x:f>
        <x:v>타입|물</x:v>
      </x:c>
      <x:c r="AN262" s="5" t="str">
        <x:f>"타입|"&amp;G262</x:f>
        <x:v>타입|</x:v>
      </x:c>
    </x:row>
    <x:row r="263" ht="24" customHeight="1">
      <x:c r="A263" s="5" t="n">
        <x:v>259</x:v>
      </x:c>
      <x:c r="B263" s="5" t="inlineStr">
        <x:is>
          <x:t xml:space="preserve">늪짱이</x:t>
        </x:is>
      </x:c>
      <x:c r="C263" s="5" t="inlineStr">
        <x:is>
          <x:t xml:space="preserve">marshtomp</x:t>
        </x:is>
      </x:c>
      <x:c r="D263" s="5" t="inlineStr">
        <x:is>
          <x:t xml:space="preserve">Marshtomp</x:t>
        </x:is>
      </x:c>
      <x:c r="E263" s="5" t="n">
        <x:v>3</x:v>
      </x:c>
      <x:c r="F263" s="5" t="inlineStr">
        <x:is>
          <x:t xml:space="preserve">물</x:t>
        </x:is>
      </x:c>
      <x:c r="G263" s="5" t="inlineStr">
        <x:is>
          <x:t xml:space="preserve">땅</x:t>
        </x:is>
      </x:c>
      <x:c r="H263" s="6" t="n">
        <x:v>28</x:v>
      </x:c>
      <x:c r="I263" s="5" t="n">
        <x:v>36</x:v>
      </x:c>
      <x:c r="J263" s="5" t="inlineStr">
        <x:is>
          <x:t xml:space="preserve">중간</x:t>
        </x:is>
      </x:c>
      <x:c r="K263" s="7" t="inlineStr">
        <x:is>
          <x:t xml:space="preserve">수륙</x:t>
        </x:is>
      </x:c>
      <x:c r="L263" s="7" t="inlineStr">
        <x:is>
          <x:t xml:space="preserve">습지</x:t>
        </x:is>
      </x:c>
      <x:c r="M263" s="7" t="inlineStr">
        <x:is>
          <x:t xml:space="preserve">온대</x:t>
        </x:is>
      </x:c>
      <x:c r="N263" s="7" t="inlineStr">
        <x:is>
          <x:t xml:space="preserve">다습</x:t>
        </x:is>
      </x:c>
      <x:c r="O263" s="7" t="inlineStr">
        <x:is>
          <x:t xml:space="preserve">비</x:t>
        </x:is>
      </x:c>
      <x:c r="P263" s="7" t="inlineStr">
        <x:is>
          <x:t xml:space="preserve">무관</x:t>
        </x:is>
      </x:c>
      <x:c r="Q263" s="7" t="inlineStr">
        <x:is>
          <x:t xml:space="preserve">희귀</x:t>
        </x:is>
      </x:c>
      <x:c r="R263" s="7" t="inlineStr">
        <x:is>
          <x:t xml:space="preserve">없음</x:t>
        </x:is>
      </x:c>
      <x:c r="S263" s="7" t="inlineStr">
        <x:is>
          <x:t xml:space="preserve">습지</x:t>
        </x:is>
      </x:c>
      <x:c r="T263" s="7" t="inlineStr">
        <x:is>
          <x:t xml:space="preserve"/>
        </x:is>
      </x:c>
      <x:c r="U263" s="8" t="str">
        <x:f>INDEX('서식지_점수'!$E$4:$P$4,1,MATCH(MAX('서식지_점수'!E263:P263),'서식지_점수'!E263:P263,0))</x:f>
        <x:v>습지</x:v>
      </x:c>
      <x:c r="V263" s="8" t="str">
        <x:f>IF(T263&lt;&gt;"",T263,U263)</x:f>
        <x:v>습지</x:v>
      </x:c>
      <x:c r="W263" s="8" t="str">
        <x:f>IFERROR(INDEX('서식지_점수'!$E$4:$P$4,1,MATCH(MAXIFS('서식지_점수'!E263:P263,'서식지_점수'!E263:P263,"&lt;"&amp;MAX('서식지_점수'!E263:P263)),'서식지_점수'!E263:P263,0)),"")</x:f>
        <x:v>담수</x:v>
      </x:c>
      <x:c r="X263" s="8" t="str">
        <x:f>IF(T263&lt;&gt;"","수동확정",IF(MAX('서식지_점수'!E263:P263)-LARGE('서식지_점수'!E263:P263,2)&gt;=15,"높음",IF(MAX('서식지_점수'!E263:P263)-LARGE('서식지_점수'!E263:P263,2)&gt;=8,"보통","검토필요")))</x:f>
        <x:v>검토필요</x:v>
      </x:c>
      <x:c r="Y263" s="9" t="n">
        <x:f>IF(Q263="전설",8,IF(Q263="희귀",7,IF(J263="기본",1,IF(J263="중간",3,IF(J263="최종",IF(I263="",5,IF(I263&lt;=20,3,IF(I263&lt;=35,4,IF(I263&lt;=50,6,7)))),IF(Q263="드묾",4,2))))))</x:f>
        <x:v>7</x:v>
      </x:c>
      <x:c r="Z263" s="5" t="inlineStr">
        <x:is>
          <x:t xml:space="preserve">#cobblemon:is_badlands; #cobblemon:is_forest; #cobblemon:is_jungle; #cobblemon:is_lush; #cobblemon:is_mushroom; #cobblemon:is_overworld; #cobblemon:is_savanna; #cobblemon:is_swamp</x:t>
        </x:is>
      </x:c>
      <x:c r="AA263" s="5" t="inlineStr">
        <x:is>
          <x:t xml:space="preserve">ultra-rare</x:t>
        </x:is>
      </x:c>
      <x:c r="AB263" s="5" t="inlineStr">
        <x:is>
          <x:t xml:space="preserve">예</x:t>
        </x:is>
      </x:c>
      <x:c r="AC263" s="8" t="str">
        <x:f>IF(T263&lt;&gt;"","수동확정",IF(X263="검토필요","검토필요",IF(S263="","원본없음","초기완료")))</x:f>
        <x:v>검토필요</x:v>
      </x:c>
      <x:c r="AD263" s="7" t="inlineStr">
        <x:is>
          <x:t xml:space="preserve"/>
        </x:is>
      </x:c>
      <x:c r="AE263" s="5" t="inlineStr">
        <x:is>
          <x:t xml:space="preserve">.tmp/cobblemon-1.7.3-source/common/src/main/resources/data/cobblemon/species/generation3/marshtomp.json</x:t>
        </x:is>
      </x:c>
      <x:c r="AF263" s="5" t="str">
        <x:f>"생활권|"&amp;K263</x:f>
        <x:v>생활권|수륙</x:v>
      </x:c>
      <x:c r="AG263" s="5" t="str">
        <x:f>"지형|"&amp;L263</x:f>
        <x:v>지형|습지</x:v>
      </x:c>
      <x:c r="AH263" s="5" t="str">
        <x:f>"온도|"&amp;M263</x:f>
        <x:v>온도|온대</x:v>
      </x:c>
      <x:c r="AI263" s="5" t="str">
        <x:f>"습도|"&amp;N263</x:f>
        <x:v>습도|다습</x:v>
      </x:c>
      <x:c r="AJ263" s="5" t="str">
        <x:f>"날씨|"&amp;O263</x:f>
        <x:v>날씨|비</x:v>
      </x:c>
      <x:c r="AK263" s="5" t="str">
        <x:f>"특수태그|"&amp;R263</x:f>
        <x:v>특수태그|없음</x:v>
      </x:c>
      <x:c r="AL263" s="5" t="str">
        <x:f>"원본서식지|"&amp;S263</x:f>
        <x:v>원본서식지|습지</x:v>
      </x:c>
      <x:c r="AM263" s="5" t="str">
        <x:f>"타입|"&amp;F263</x:f>
        <x:v>타입|물</x:v>
      </x:c>
      <x:c r="AN263" s="5" t="str">
        <x:f>"타입|"&amp;G263</x:f>
        <x:v>타입|땅</x:v>
      </x:c>
    </x:row>
    <x:row r="264" ht="24" customHeight="1">
      <x:c r="A264" s="5" t="n">
        <x:v>260</x:v>
      </x:c>
      <x:c r="B264" s="5" t="inlineStr">
        <x:is>
          <x:t xml:space="preserve">대짱이</x:t>
        </x:is>
      </x:c>
      <x:c r="C264" s="5" t="inlineStr">
        <x:is>
          <x:t xml:space="preserve">swampert</x:t>
        </x:is>
      </x:c>
      <x:c r="D264" s="5" t="inlineStr">
        <x:is>
          <x:t xml:space="preserve">Swampert</x:t>
        </x:is>
      </x:c>
      <x:c r="E264" s="5" t="n">
        <x:v>3</x:v>
      </x:c>
      <x:c r="F264" s="5" t="inlineStr">
        <x:is>
          <x:t xml:space="preserve">물</x:t>
        </x:is>
      </x:c>
      <x:c r="G264" s="5" t="inlineStr">
        <x:is>
          <x:t xml:space="preserve">땅</x:t>
        </x:is>
      </x:c>
      <x:c r="H264" s="6" t="n">
        <x:v>81.90000000000001</x:v>
      </x:c>
      <x:c r="I264" s="5" t="n">
        <x:v>36</x:v>
      </x:c>
      <x:c r="J264" s="5" t="inlineStr">
        <x:is>
          <x:t xml:space="preserve">최종</x:t>
        </x:is>
      </x:c>
      <x:c r="K264" s="7" t="inlineStr">
        <x:is>
          <x:t xml:space="preserve">수륙</x:t>
        </x:is>
      </x:c>
      <x:c r="L264" s="7" t="inlineStr">
        <x:is>
          <x:t xml:space="preserve">습지</x:t>
        </x:is>
      </x:c>
      <x:c r="M264" s="7" t="inlineStr">
        <x:is>
          <x:t xml:space="preserve">온대</x:t>
        </x:is>
      </x:c>
      <x:c r="N264" s="7" t="inlineStr">
        <x:is>
          <x:t xml:space="preserve">다습</x:t>
        </x:is>
      </x:c>
      <x:c r="O264" s="7" t="inlineStr">
        <x:is>
          <x:t xml:space="preserve">비</x:t>
        </x:is>
      </x:c>
      <x:c r="P264" s="7" t="inlineStr">
        <x:is>
          <x:t xml:space="preserve">무관</x:t>
        </x:is>
      </x:c>
      <x:c r="Q264" s="7" t="inlineStr">
        <x:is>
          <x:t xml:space="preserve">희귀</x:t>
        </x:is>
      </x:c>
      <x:c r="R264" s="7" t="inlineStr">
        <x:is>
          <x:t xml:space="preserve">없음</x:t>
        </x:is>
      </x:c>
      <x:c r="S264" s="7" t="inlineStr">
        <x:is>
          <x:t xml:space="preserve">습지</x:t>
        </x:is>
      </x:c>
      <x:c r="T264" s="7" t="inlineStr">
        <x:is>
          <x:t xml:space="preserve"/>
        </x:is>
      </x:c>
      <x:c r="U264" s="8" t="str">
        <x:f>INDEX('서식지_점수'!$E$4:$P$4,1,MATCH(MAX('서식지_점수'!E264:P264),'서식지_점수'!E264:P264,0))</x:f>
        <x:v>습지</x:v>
      </x:c>
      <x:c r="V264" s="8" t="str">
        <x:f>IF(T264&lt;&gt;"",T264,U264)</x:f>
        <x:v>습지</x:v>
      </x:c>
      <x:c r="W264" s="8" t="str">
        <x:f>IFERROR(INDEX('서식지_점수'!$E$4:$P$4,1,MATCH(MAXIFS('서식지_점수'!E264:P264,'서식지_점수'!E264:P264,"&lt;"&amp;MAX('서식지_점수'!E264:P264)),'서식지_점수'!E264:P264,0)),"")</x:f>
        <x:v>담수</x:v>
      </x:c>
      <x:c r="X264" s="8" t="str">
        <x:f>IF(T264&lt;&gt;"","수동확정",IF(MAX('서식지_점수'!E264:P264)-LARGE('서식지_점수'!E264:P264,2)&gt;=15,"높음",IF(MAX('서식지_점수'!E264:P264)-LARGE('서식지_점수'!E264:P264,2)&gt;=8,"보통","검토필요")))</x:f>
        <x:v>검토필요</x:v>
      </x:c>
      <x:c r="Y264" s="9" t="n">
        <x:f>IF(Q264="전설",8,IF(Q264="희귀",7,IF(J264="기본",1,IF(J264="중간",3,IF(J264="최종",IF(I264="",5,IF(I264&lt;=20,3,IF(I264&lt;=35,4,IF(I264&lt;=50,6,7)))),IF(Q264="드묾",4,2))))))</x:f>
        <x:v>7</x:v>
      </x:c>
      <x:c r="Z264" s="5" t="inlineStr">
        <x:is>
          <x:t xml:space="preserve">#cobblemon:is_badlands; #cobblemon:is_forest; #cobblemon:is_jungle; #cobblemon:is_lush; #cobblemon:is_mushroom; #cobblemon:is_overworld; #cobblemon:is_savanna; #cobblemon:is_swamp</x:t>
        </x:is>
      </x:c>
      <x:c r="AA264" s="5" t="inlineStr">
        <x:is>
          <x:t xml:space="preserve">ultra-rare</x:t>
        </x:is>
      </x:c>
      <x:c r="AB264" s="5" t="inlineStr">
        <x:is>
          <x:t xml:space="preserve">예</x:t>
        </x:is>
      </x:c>
      <x:c r="AC264" s="8" t="str">
        <x:f>IF(T264&lt;&gt;"","수동확정",IF(X264="검토필요","검토필요",IF(S264="","원본없음","초기완료")))</x:f>
        <x:v>검토필요</x:v>
      </x:c>
      <x:c r="AD264" s="7" t="inlineStr">
        <x:is>
          <x:t xml:space="preserve"/>
        </x:is>
      </x:c>
      <x:c r="AE264" s="5" t="inlineStr">
        <x:is>
          <x:t xml:space="preserve">.tmp/cobblemon-1.7.3-source/common/src/main/resources/data/cobblemon/species/generation3/swampert.json</x:t>
        </x:is>
      </x:c>
      <x:c r="AF264" s="5" t="str">
        <x:f>"생활권|"&amp;K264</x:f>
        <x:v>생활권|수륙</x:v>
      </x:c>
      <x:c r="AG264" s="5" t="str">
        <x:f>"지형|"&amp;L264</x:f>
        <x:v>지형|습지</x:v>
      </x:c>
      <x:c r="AH264" s="5" t="str">
        <x:f>"온도|"&amp;M264</x:f>
        <x:v>온도|온대</x:v>
      </x:c>
      <x:c r="AI264" s="5" t="str">
        <x:f>"습도|"&amp;N264</x:f>
        <x:v>습도|다습</x:v>
      </x:c>
      <x:c r="AJ264" s="5" t="str">
        <x:f>"날씨|"&amp;O264</x:f>
        <x:v>날씨|비</x:v>
      </x:c>
      <x:c r="AK264" s="5" t="str">
        <x:f>"특수태그|"&amp;R264</x:f>
        <x:v>특수태그|없음</x:v>
      </x:c>
      <x:c r="AL264" s="5" t="str">
        <x:f>"원본서식지|"&amp;S264</x:f>
        <x:v>원본서식지|습지</x:v>
      </x:c>
      <x:c r="AM264" s="5" t="str">
        <x:f>"타입|"&amp;F264</x:f>
        <x:v>타입|물</x:v>
      </x:c>
      <x:c r="AN264" s="5" t="str">
        <x:f>"타입|"&amp;G264</x:f>
        <x:v>타입|땅</x:v>
      </x:c>
    </x:row>
    <x:row r="265" ht="24" customHeight="1">
      <x:c r="A265" s="5" t="n">
        <x:v>261</x:v>
      </x:c>
      <x:c r="B265" s="5" t="inlineStr">
        <x:is>
          <x:t xml:space="preserve">포챠나</x:t>
        </x:is>
      </x:c>
      <x:c r="C265" s="5" t="inlineStr">
        <x:is>
          <x:t xml:space="preserve">poochyena</x:t>
        </x:is>
      </x:c>
      <x:c r="D265" s="5" t="inlineStr">
        <x:is>
          <x:t xml:space="preserve">Poochyena</x:t>
        </x:is>
      </x:c>
      <x:c r="E265" s="5" t="n">
        <x:v>3</x:v>
      </x:c>
      <x:c r="F265" s="5" t="inlineStr">
        <x:is>
          <x:t xml:space="preserve">악</x:t>
        </x:is>
      </x:c>
      <x:c r="G265" s="5" t="inlineStr">
        <x:is>
          <x:t xml:space="preserve"/>
        </x:is>
      </x:c>
      <x:c r="H265" s="6" t="n">
        <x:v>13.6</x:v>
      </x:c>
      <x:c r="I265" s="5" t="n">
        <x:v>18</x:v>
      </x:c>
      <x:c r="J265" s="5" t="inlineStr">
        <x:is>
          <x:t xml:space="preserve">기본</x:t>
        </x:is>
      </x:c>
      <x:c r="K265" s="7" t="inlineStr">
        <x:is>
          <x:t xml:space="preserve">육상</x:t>
        </x:is>
      </x:c>
      <x:c r="L265" s="7" t="inlineStr">
        <x:is>
          <x:t xml:space="preserve">건조</x:t>
        </x:is>
      </x:c>
      <x:c r="M265" s="7" t="inlineStr">
        <x:is>
          <x:t xml:space="preserve">고온</x:t>
        </x:is>
      </x:c>
      <x:c r="N265" s="7" t="inlineStr">
        <x:is>
          <x:t xml:space="preserve">건조</x:t>
        </x:is>
      </x:c>
      <x:c r="O265" s="7" t="inlineStr">
        <x:is>
          <x:t xml:space="preserve">맑음</x:t>
        </x:is>
      </x:c>
      <x:c r="P265" s="7" t="inlineStr">
        <x:is>
          <x:t xml:space="preserve">밤</x:t>
        </x:is>
      </x:c>
      <x:c r="Q265" s="7" t="inlineStr">
        <x:is>
          <x:t xml:space="preserve">흔함</x:t>
        </x:is>
      </x:c>
      <x:c r="R265" s="7" t="inlineStr">
        <x:is>
          <x:t xml:space="preserve">없음</x:t>
        </x:is>
      </x:c>
      <x:c r="S265" s="7" t="inlineStr">
        <x:is>
          <x:t xml:space="preserve">건조지</x:t>
        </x:is>
      </x:c>
      <x:c r="T265" s="7" t="inlineStr">
        <x:is>
          <x:t xml:space="preserve"/>
        </x:is>
      </x:c>
      <x:c r="U265" s="8" t="str">
        <x:f>INDEX('서식지_점수'!$E$4:$P$4,1,MATCH(MAX('서식지_점수'!E265:P265),'서식지_점수'!E265:P265,0))</x:f>
        <x:v>평원</x:v>
      </x:c>
      <x:c r="V265" s="8" t="str">
        <x:f>IF(T265&lt;&gt;"",T265,U265)</x:f>
        <x:v>평원</x:v>
      </x:c>
      <x:c r="W265" s="8" t="str">
        <x:f>IFERROR(INDEX('서식지_점수'!$E$4:$P$4,1,MATCH(MAXIFS('서식지_점수'!E265:P265,'서식지_점수'!E265:P265,"&lt;"&amp;MAX('서식지_점수'!E265:P265)),'서식지_점수'!E265:P265,0)),"")</x:f>
        <x:v>숲</x:v>
      </x:c>
      <x:c r="X265" s="8" t="str">
        <x:f>IF(T265&lt;&gt;"","수동확정",IF(MAX('서식지_점수'!E265:P265)-LARGE('서식지_점수'!E265:P265,2)&gt;=15,"높음",IF(MAX('서식지_점수'!E265:P265)-LARGE('서식지_점수'!E265:P265,2)&gt;=8,"보통","검토필요")))</x:f>
        <x:v>검토필요</x:v>
      </x:c>
      <x:c r="Y265" s="9" t="n">
        <x:f>IF(Q265="전설",8,IF(Q265="희귀",7,IF(J265="기본",1,IF(J265="중간",3,IF(J265="최종",IF(I265="",5,IF(I265&lt;=20,3,IF(I265&lt;=35,4,IF(I265&lt;=50,6,7)))),IF(Q265="드묾",4,2))))))</x:f>
        <x:v>1</x:v>
      </x:c>
      <x:c r="Z265" s="5" t="inlineStr">
        <x:is>
          <x:t xml:space="preserve">#cobblemon:is_badlands; #cobblemon:is_overworld; #cobblemon:is_savanna</x:t>
        </x:is>
      </x:c>
      <x:c r="AA265" s="5" t="inlineStr">
        <x:is>
          <x:t xml:space="preserve">common</x:t>
        </x:is>
      </x:c>
      <x:c r="AB265" s="5" t="inlineStr">
        <x:is>
          <x:t xml:space="preserve">예</x:t>
        </x:is>
      </x:c>
      <x:c r="AC265" s="8" t="str">
        <x:f>IF(T265&lt;&gt;"","수동확정",IF(X265="검토필요","검토필요",IF(S265="","원본없음","초기완료")))</x:f>
        <x:v>검토필요</x:v>
      </x:c>
      <x:c r="AD265" s="7" t="inlineStr">
        <x:is>
          <x:t xml:space="preserve"/>
        </x:is>
      </x:c>
      <x:c r="AE265" s="5" t="inlineStr">
        <x:is>
          <x:t xml:space="preserve">.tmp/cobblemon-1.7.3-source/common/src/main/resources/data/cobblemon/species/generation3/poochyena.json</x:t>
        </x:is>
      </x:c>
      <x:c r="AF265" s="5" t="str">
        <x:f>"생활권|"&amp;K265</x:f>
        <x:v>생활권|육상</x:v>
      </x:c>
      <x:c r="AG265" s="5" t="str">
        <x:f>"지형|"&amp;L265</x:f>
        <x:v>지형|건조</x:v>
      </x:c>
      <x:c r="AH265" s="5" t="str">
        <x:f>"온도|"&amp;M265</x:f>
        <x:v>온도|고온</x:v>
      </x:c>
      <x:c r="AI265" s="5" t="str">
        <x:f>"습도|"&amp;N265</x:f>
        <x:v>습도|건조</x:v>
      </x:c>
      <x:c r="AJ265" s="5" t="str">
        <x:f>"날씨|"&amp;O265</x:f>
        <x:v>날씨|맑음</x:v>
      </x:c>
      <x:c r="AK265" s="5" t="str">
        <x:f>"특수태그|"&amp;R265</x:f>
        <x:v>특수태그|없음</x:v>
      </x:c>
      <x:c r="AL265" s="5" t="str">
        <x:f>"원본서식지|"&amp;S265</x:f>
        <x:v>원본서식지|건조지</x:v>
      </x:c>
      <x:c r="AM265" s="5" t="str">
        <x:f>"타입|"&amp;F265</x:f>
        <x:v>타입|악</x:v>
      </x:c>
      <x:c r="AN265" s="5" t="str">
        <x:f>"타입|"&amp;G265</x:f>
        <x:v>타입|</x:v>
      </x:c>
    </x:row>
    <x:row r="266" ht="24" customHeight="1">
      <x:c r="A266" s="5" t="n">
        <x:v>262</x:v>
      </x:c>
      <x:c r="B266" s="5" t="inlineStr">
        <x:is>
          <x:t xml:space="preserve">그라에나</x:t>
        </x:is>
      </x:c>
      <x:c r="C266" s="5" t="inlineStr">
        <x:is>
          <x:t xml:space="preserve">mightyena</x:t>
        </x:is>
      </x:c>
      <x:c r="D266" s="5" t="inlineStr">
        <x:is>
          <x:t xml:space="preserve">Mightyena</x:t>
        </x:is>
      </x:c>
      <x:c r="E266" s="5" t="n">
        <x:v>3</x:v>
      </x:c>
      <x:c r="F266" s="5" t="inlineStr">
        <x:is>
          <x:t xml:space="preserve">악</x:t>
        </x:is>
      </x:c>
      <x:c r="G266" s="5" t="inlineStr">
        <x:is>
          <x:t xml:space="preserve"/>
        </x:is>
      </x:c>
      <x:c r="H266" s="6" t="n">
        <x:v>37</x:v>
      </x:c>
      <x:c r="I266" s="5" t="n">
        <x:v>18</x:v>
      </x:c>
      <x:c r="J266" s="5" t="inlineStr">
        <x:is>
          <x:t xml:space="preserve">최종</x:t>
        </x:is>
      </x:c>
      <x:c r="K266" s="7" t="inlineStr">
        <x:is>
          <x:t xml:space="preserve">육상</x:t>
        </x:is>
      </x:c>
      <x:c r="L266" s="7" t="inlineStr">
        <x:is>
          <x:t xml:space="preserve">건조</x:t>
        </x:is>
      </x:c>
      <x:c r="M266" s="7" t="inlineStr">
        <x:is>
          <x:t xml:space="preserve">고온</x:t>
        </x:is>
      </x:c>
      <x:c r="N266" s="7" t="inlineStr">
        <x:is>
          <x:t xml:space="preserve">건조</x:t>
        </x:is>
      </x:c>
      <x:c r="O266" s="7" t="inlineStr">
        <x:is>
          <x:t xml:space="preserve">맑음</x:t>
        </x:is>
      </x:c>
      <x:c r="P266" s="7" t="inlineStr">
        <x:is>
          <x:t xml:space="preserve">밤</x:t>
        </x:is>
      </x:c>
      <x:c r="Q266" s="7" t="inlineStr">
        <x:is>
          <x:t xml:space="preserve">흔함</x:t>
        </x:is>
      </x:c>
      <x:c r="R266" s="7" t="inlineStr">
        <x:is>
          <x:t xml:space="preserve">없음</x:t>
        </x:is>
      </x:c>
      <x:c r="S266" s="7" t="inlineStr">
        <x:is>
          <x:t xml:space="preserve">건조지</x:t>
        </x:is>
      </x:c>
      <x:c r="T266" s="7" t="inlineStr">
        <x:is>
          <x:t xml:space="preserve"/>
        </x:is>
      </x:c>
      <x:c r="U266" s="8" t="str">
        <x:f>INDEX('서식지_점수'!$E$4:$P$4,1,MATCH(MAX('서식지_점수'!E266:P266),'서식지_점수'!E266:P266,0))</x:f>
        <x:v>평원</x:v>
      </x:c>
      <x:c r="V266" s="8" t="str">
        <x:f>IF(T266&lt;&gt;"",T266,U266)</x:f>
        <x:v>평원</x:v>
      </x:c>
      <x:c r="W266" s="8" t="str">
        <x:f>IFERROR(INDEX('서식지_점수'!$E$4:$P$4,1,MATCH(MAXIFS('서식지_점수'!E266:P266,'서식지_점수'!E266:P266,"&lt;"&amp;MAX('서식지_점수'!E266:P266)),'서식지_점수'!E266:P266,0)),"")</x:f>
        <x:v>숲</x:v>
      </x:c>
      <x:c r="X266" s="8" t="str">
        <x:f>IF(T266&lt;&gt;"","수동확정",IF(MAX('서식지_점수'!E266:P266)-LARGE('서식지_점수'!E266:P266,2)&gt;=15,"높음",IF(MAX('서식지_점수'!E266:P266)-LARGE('서식지_점수'!E266:P266,2)&gt;=8,"보통","검토필요")))</x:f>
        <x:v>검토필요</x:v>
      </x:c>
      <x:c r="Y266" s="9" t="n">
        <x:f>IF(Q266="전설",8,IF(Q266="희귀",7,IF(J266="기본",1,IF(J266="중간",3,IF(J266="최종",IF(I266="",5,IF(I266&lt;=20,3,IF(I266&lt;=35,4,IF(I266&lt;=50,6,7)))),IF(Q266="드묾",4,2))))))</x:f>
        <x:v>3</x:v>
      </x:c>
      <x:c r="Z266" s="5" t="inlineStr">
        <x:is>
          <x:t xml:space="preserve">#cobblemon:is_badlands; #cobblemon:is_overworld; #cobblemon:is_savanna</x:t>
        </x:is>
      </x:c>
      <x:c r="AA266" s="5" t="inlineStr">
        <x:is>
          <x:t xml:space="preserve">common</x:t>
        </x:is>
      </x:c>
      <x:c r="AB266" s="5" t="inlineStr">
        <x:is>
          <x:t xml:space="preserve">예</x:t>
        </x:is>
      </x:c>
      <x:c r="AC266" s="8" t="str">
        <x:f>IF(T266&lt;&gt;"","수동확정",IF(X266="검토필요","검토필요",IF(S266="","원본없음","초기완료")))</x:f>
        <x:v>검토필요</x:v>
      </x:c>
      <x:c r="AD266" s="7" t="inlineStr">
        <x:is>
          <x:t xml:space="preserve"/>
        </x:is>
      </x:c>
      <x:c r="AE266" s="5" t="inlineStr">
        <x:is>
          <x:t xml:space="preserve">.tmp/cobblemon-1.7.3-source/common/src/main/resources/data/cobblemon/species/generation3/mightyena.json</x:t>
        </x:is>
      </x:c>
      <x:c r="AF266" s="5" t="str">
        <x:f>"생활권|"&amp;K266</x:f>
        <x:v>생활권|육상</x:v>
      </x:c>
      <x:c r="AG266" s="5" t="str">
        <x:f>"지형|"&amp;L266</x:f>
        <x:v>지형|건조</x:v>
      </x:c>
      <x:c r="AH266" s="5" t="str">
        <x:f>"온도|"&amp;M266</x:f>
        <x:v>온도|고온</x:v>
      </x:c>
      <x:c r="AI266" s="5" t="str">
        <x:f>"습도|"&amp;N266</x:f>
        <x:v>습도|건조</x:v>
      </x:c>
      <x:c r="AJ266" s="5" t="str">
        <x:f>"날씨|"&amp;O266</x:f>
        <x:v>날씨|맑음</x:v>
      </x:c>
      <x:c r="AK266" s="5" t="str">
        <x:f>"특수태그|"&amp;R266</x:f>
        <x:v>특수태그|없음</x:v>
      </x:c>
      <x:c r="AL266" s="5" t="str">
        <x:f>"원본서식지|"&amp;S266</x:f>
        <x:v>원본서식지|건조지</x:v>
      </x:c>
      <x:c r="AM266" s="5" t="str">
        <x:f>"타입|"&amp;F266</x:f>
        <x:v>타입|악</x:v>
      </x:c>
      <x:c r="AN266" s="5" t="str">
        <x:f>"타입|"&amp;G266</x:f>
        <x:v>타입|</x:v>
      </x:c>
    </x:row>
    <x:row r="267" ht="24" customHeight="1">
      <x:c r="A267" s="5" t="n">
        <x:v>263</x:v>
      </x:c>
      <x:c r="B267" s="5" t="inlineStr">
        <x:is>
          <x:t xml:space="preserve">지그제구리</x:t>
        </x:is>
      </x:c>
      <x:c r="C267" s="5" t="inlineStr">
        <x:is>
          <x:t xml:space="preserve">zigzagoon</x:t>
        </x:is>
      </x:c>
      <x:c r="D267" s="5" t="inlineStr">
        <x:is>
          <x:t xml:space="preserve">Zigzagoon</x:t>
        </x:is>
      </x:c>
      <x:c r="E267" s="5" t="n">
        <x:v>3</x:v>
      </x:c>
      <x:c r="F267" s="5" t="inlineStr">
        <x:is>
          <x:t xml:space="preserve">노말</x:t>
        </x:is>
      </x:c>
      <x:c r="G267" s="5" t="inlineStr">
        <x:is>
          <x:t xml:space="preserve"/>
        </x:is>
      </x:c>
      <x:c r="H267" s="6" t="n">
        <x:v>17.5</x:v>
      </x:c>
      <x:c r="I267" s="5" t="n">
        <x:v>20</x:v>
      </x:c>
      <x:c r="J267" s="5" t="inlineStr">
        <x:is>
          <x:t xml:space="preserve">기본</x:t>
        </x:is>
      </x:c>
      <x:c r="K267" s="7" t="inlineStr">
        <x:is>
          <x:t xml:space="preserve">육상</x:t>
        </x:is>
      </x:c>
      <x:c r="L267" s="7" t="inlineStr">
        <x:is>
          <x:t xml:space="preserve">수목</x:t>
        </x:is>
      </x:c>
      <x:c r="M267" s="7" t="inlineStr">
        <x:is>
          <x:t xml:space="preserve">서늘</x:t>
        </x:is>
      </x:c>
      <x:c r="N267" s="7" t="inlineStr">
        <x:is>
          <x:t xml:space="preserve">보통</x:t>
        </x:is>
      </x:c>
      <x:c r="O267" s="7" t="inlineStr">
        <x:is>
          <x:t xml:space="preserve">무관</x:t>
        </x:is>
      </x:c>
      <x:c r="P267" s="7" t="inlineStr">
        <x:is>
          <x:t xml:space="preserve">무관</x:t>
        </x:is>
      </x:c>
      <x:c r="Q267" s="7" t="inlineStr">
        <x:is>
          <x:t xml:space="preserve">흔함</x:t>
        </x:is>
      </x:c>
      <x:c r="R267" s="7" t="inlineStr">
        <x:is>
          <x:t xml:space="preserve">없음</x:t>
        </x:is>
      </x:c>
      <x:c r="S267" s="7" t="inlineStr">
        <x:is>
          <x:t xml:space="preserve">숲</x:t>
        </x:is>
      </x:c>
      <x:c r="T267" s="7" t="inlineStr">
        <x:is>
          <x:t xml:space="preserve"/>
        </x:is>
      </x:c>
      <x:c r="U267" s="8" t="str">
        <x:f>INDEX('서식지_점수'!$E$4:$P$4,1,MATCH(MAX('서식지_점수'!E267:P267),'서식지_점수'!E267:P267,0))</x:f>
        <x:v>평원</x:v>
      </x:c>
      <x:c r="V267" s="8" t="str">
        <x:f>IF(T267&lt;&gt;"",T267,U267)</x:f>
        <x:v>평원</x:v>
      </x:c>
      <x:c r="W267" s="8" t="str">
        <x:f>IFERROR(INDEX('서식지_점수'!$E$4:$P$4,1,MATCH(MAXIFS('서식지_점수'!E267:P267,'서식지_점수'!E267:P267,"&lt;"&amp;MAX('서식지_점수'!E267:P267)),'서식지_점수'!E267:P267,0)),"")</x:f>
        <x:v>숲</x:v>
      </x:c>
      <x:c r="X267" s="8" t="str">
        <x:f>IF(T267&lt;&gt;"","수동확정",IF(MAX('서식지_점수'!E267:P267)-LARGE('서식지_점수'!E267:P267,2)&gt;=15,"높음",IF(MAX('서식지_점수'!E267:P267)-LARGE('서식지_점수'!E267:P267,2)&gt;=8,"보통","검토필요")))</x:f>
        <x:v>검토필요</x:v>
      </x:c>
      <x:c r="Y267" s="9" t="n">
        <x:f>IF(Q267="전설",8,IF(Q267="희귀",7,IF(J267="기본",1,IF(J267="중간",3,IF(J267="최종",IF(I267="",5,IF(I267&lt;=20,3,IF(I267&lt;=35,4,IF(I267&lt;=50,6,7)))),IF(Q267="드묾",4,2))))))</x:f>
        <x:v>1</x:v>
      </x:c>
      <x:c r="Z267" s="5" t="inlineStr">
        <x:is>
          <x:t xml:space="preserve">#cobblemon:is_taiga; #cobblemon:is_temperate; aether:skyroot_forest; aether:skyroot_woodland</x:t>
        </x:is>
      </x:c>
      <x:c r="AA267" s="5" t="inlineStr">
        <x:is>
          <x:t xml:space="preserve">common</x:t>
        </x:is>
      </x:c>
      <x:c r="AB267" s="5" t="inlineStr">
        <x:is>
          <x:t xml:space="preserve">예</x:t>
        </x:is>
      </x:c>
      <x:c r="AC267" s="8" t="str">
        <x:f>IF(T267&lt;&gt;"","수동확정",IF(X267="검토필요","검토필요",IF(S267="","원본없음","초기완료")))</x:f>
        <x:v>검토필요</x:v>
      </x:c>
      <x:c r="AD267" s="7" t="inlineStr">
        <x:is>
          <x:t xml:space="preserve"/>
        </x:is>
      </x:c>
      <x:c r="AE267" s="5" t="inlineStr">
        <x:is>
          <x:t xml:space="preserve">.tmp/cobblemon-1.7.3-source/common/src/main/resources/data/cobblemon/species/generation3/zigzagoon.json</x:t>
        </x:is>
      </x:c>
      <x:c r="AF267" s="5" t="str">
        <x:f>"생활권|"&amp;K267</x:f>
        <x:v>생활권|육상</x:v>
      </x:c>
      <x:c r="AG267" s="5" t="str">
        <x:f>"지형|"&amp;L267</x:f>
        <x:v>지형|수목</x:v>
      </x:c>
      <x:c r="AH267" s="5" t="str">
        <x:f>"온도|"&amp;M267</x:f>
        <x:v>온도|서늘</x:v>
      </x:c>
      <x:c r="AI267" s="5" t="str">
        <x:f>"습도|"&amp;N267</x:f>
        <x:v>습도|보통</x:v>
      </x:c>
      <x:c r="AJ267" s="5" t="str">
        <x:f>"날씨|"&amp;O267</x:f>
        <x:v>날씨|무관</x:v>
      </x:c>
      <x:c r="AK267" s="5" t="str">
        <x:f>"특수태그|"&amp;R267</x:f>
        <x:v>특수태그|없음</x:v>
      </x:c>
      <x:c r="AL267" s="5" t="str">
        <x:f>"원본서식지|"&amp;S267</x:f>
        <x:v>원본서식지|숲</x:v>
      </x:c>
      <x:c r="AM267" s="5" t="str">
        <x:f>"타입|"&amp;F267</x:f>
        <x:v>타입|노말</x:v>
      </x:c>
      <x:c r="AN267" s="5" t="str">
        <x:f>"타입|"&amp;G267</x:f>
        <x:v>타입|</x:v>
      </x:c>
    </x:row>
    <x:row r="268" ht="24" customHeight="1">
      <x:c r="A268" s="5" t="n">
        <x:v>264</x:v>
      </x:c>
      <x:c r="B268" s="5" t="inlineStr">
        <x:is>
          <x:t xml:space="preserve">직구리</x:t>
        </x:is>
      </x:c>
      <x:c r="C268" s="5" t="inlineStr">
        <x:is>
          <x:t xml:space="preserve">linoone</x:t>
        </x:is>
      </x:c>
      <x:c r="D268" s="5" t="inlineStr">
        <x:is>
          <x:t xml:space="preserve">Linoone</x:t>
        </x:is>
      </x:c>
      <x:c r="E268" s="5" t="n">
        <x:v>3</x:v>
      </x:c>
      <x:c r="F268" s="5" t="inlineStr">
        <x:is>
          <x:t xml:space="preserve">노말</x:t>
        </x:is>
      </x:c>
      <x:c r="G268" s="5" t="inlineStr">
        <x:is>
          <x:t xml:space="preserve"/>
        </x:is>
      </x:c>
      <x:c r="H268" s="6" t="n">
        <x:v>32.5</x:v>
      </x:c>
      <x:c r="I268" s="5" t="n">
        <x:v>20</x:v>
      </x:c>
      <x:c r="J268" s="5" t="inlineStr">
        <x:is>
          <x:t xml:space="preserve">최종</x:t>
        </x:is>
      </x:c>
      <x:c r="K268" s="7" t="inlineStr">
        <x:is>
          <x:t xml:space="preserve">육상</x:t>
        </x:is>
      </x:c>
      <x:c r="L268" s="7" t="inlineStr">
        <x:is>
          <x:t xml:space="preserve">수목</x:t>
        </x:is>
      </x:c>
      <x:c r="M268" s="7" t="inlineStr">
        <x:is>
          <x:t xml:space="preserve">서늘</x:t>
        </x:is>
      </x:c>
      <x:c r="N268" s="7" t="inlineStr">
        <x:is>
          <x:t xml:space="preserve">보통</x:t>
        </x:is>
      </x:c>
      <x:c r="O268" s="7" t="inlineStr">
        <x:is>
          <x:t xml:space="preserve">무관</x:t>
        </x:is>
      </x:c>
      <x:c r="P268" s="7" t="inlineStr">
        <x:is>
          <x:t xml:space="preserve">무관</x:t>
        </x:is>
      </x:c>
      <x:c r="Q268" s="7" t="inlineStr">
        <x:is>
          <x:t xml:space="preserve">흔함</x:t>
        </x:is>
      </x:c>
      <x:c r="R268" s="7" t="inlineStr">
        <x:is>
          <x:t xml:space="preserve">없음</x:t>
        </x:is>
      </x:c>
      <x:c r="S268" s="7" t="inlineStr">
        <x:is>
          <x:t xml:space="preserve">숲</x:t>
        </x:is>
      </x:c>
      <x:c r="T268" s="7" t="inlineStr">
        <x:is>
          <x:t xml:space="preserve"/>
        </x:is>
      </x:c>
      <x:c r="U268" s="8" t="str">
        <x:f>INDEX('서식지_점수'!$E$4:$P$4,1,MATCH(MAX('서식지_점수'!E268:P268),'서식지_점수'!E268:P268,0))</x:f>
        <x:v>평원</x:v>
      </x:c>
      <x:c r="V268" s="8" t="str">
        <x:f>IF(T268&lt;&gt;"",T268,U268)</x:f>
        <x:v>평원</x:v>
      </x:c>
      <x:c r="W268" s="8" t="str">
        <x:f>IFERROR(INDEX('서식지_점수'!$E$4:$P$4,1,MATCH(MAXIFS('서식지_점수'!E268:P268,'서식지_점수'!E268:P268,"&lt;"&amp;MAX('서식지_점수'!E268:P268)),'서식지_점수'!E268:P268,0)),"")</x:f>
        <x:v>숲</x:v>
      </x:c>
      <x:c r="X268" s="8" t="str">
        <x:f>IF(T268&lt;&gt;"","수동확정",IF(MAX('서식지_점수'!E268:P268)-LARGE('서식지_점수'!E268:P268,2)&gt;=15,"높음",IF(MAX('서식지_점수'!E268:P268)-LARGE('서식지_점수'!E268:P268,2)&gt;=8,"보통","검토필요")))</x:f>
        <x:v>검토필요</x:v>
      </x:c>
      <x:c r="Y268" s="9" t="n">
        <x:f>IF(Q268="전설",8,IF(Q268="희귀",7,IF(J268="기본",1,IF(J268="중간",3,IF(J268="최종",IF(I268="",5,IF(I268&lt;=20,3,IF(I268&lt;=35,4,IF(I268&lt;=50,6,7)))),IF(Q268="드묾",4,2))))))</x:f>
        <x:v>3</x:v>
      </x:c>
      <x:c r="Z268" s="5" t="inlineStr">
        <x:is>
          <x:t xml:space="preserve">#cobblemon:is_taiga; #cobblemon:is_temperate; aether:skyroot_forest; aether:skyroot_woodland</x:t>
        </x:is>
      </x:c>
      <x:c r="AA268" s="5" t="inlineStr">
        <x:is>
          <x:t xml:space="preserve">common</x:t>
        </x:is>
      </x:c>
      <x:c r="AB268" s="5" t="inlineStr">
        <x:is>
          <x:t xml:space="preserve">예</x:t>
        </x:is>
      </x:c>
      <x:c r="AC268" s="8" t="str">
        <x:f>IF(T268&lt;&gt;"","수동확정",IF(X268="검토필요","검토필요",IF(S268="","원본없음","초기완료")))</x:f>
        <x:v>검토필요</x:v>
      </x:c>
      <x:c r="AD268" s="7" t="inlineStr">
        <x:is>
          <x:t xml:space="preserve"/>
        </x:is>
      </x:c>
      <x:c r="AE268" s="5" t="inlineStr">
        <x:is>
          <x:t xml:space="preserve">.tmp/cobblemon-1.7.3-source/common/src/main/resources/data/cobblemon/species/generation3/linoone.json</x:t>
        </x:is>
      </x:c>
      <x:c r="AF268" s="5" t="str">
        <x:f>"생활권|"&amp;K268</x:f>
        <x:v>생활권|육상</x:v>
      </x:c>
      <x:c r="AG268" s="5" t="str">
        <x:f>"지형|"&amp;L268</x:f>
        <x:v>지형|수목</x:v>
      </x:c>
      <x:c r="AH268" s="5" t="str">
        <x:f>"온도|"&amp;M268</x:f>
        <x:v>온도|서늘</x:v>
      </x:c>
      <x:c r="AI268" s="5" t="str">
        <x:f>"습도|"&amp;N268</x:f>
        <x:v>습도|보통</x:v>
      </x:c>
      <x:c r="AJ268" s="5" t="str">
        <x:f>"날씨|"&amp;O268</x:f>
        <x:v>날씨|무관</x:v>
      </x:c>
      <x:c r="AK268" s="5" t="str">
        <x:f>"특수태그|"&amp;R268</x:f>
        <x:v>특수태그|없음</x:v>
      </x:c>
      <x:c r="AL268" s="5" t="str">
        <x:f>"원본서식지|"&amp;S268</x:f>
        <x:v>원본서식지|숲</x:v>
      </x:c>
      <x:c r="AM268" s="5" t="str">
        <x:f>"타입|"&amp;F268</x:f>
        <x:v>타입|노말</x:v>
      </x:c>
      <x:c r="AN268" s="5" t="str">
        <x:f>"타입|"&amp;G268</x:f>
        <x:v>타입|</x:v>
      </x:c>
    </x:row>
    <x:row r="269" ht="24" customHeight="1">
      <x:c r="A269" s="5" t="n">
        <x:v>265</x:v>
      </x:c>
      <x:c r="B269" s="5" t="inlineStr">
        <x:is>
          <x:t xml:space="preserve">개무소</x:t>
        </x:is>
      </x:c>
      <x:c r="C269" s="5" t="inlineStr">
        <x:is>
          <x:t xml:space="preserve">wurmple</x:t>
        </x:is>
      </x:c>
      <x:c r="D269" s="5" t="inlineStr">
        <x:is>
          <x:t xml:space="preserve">Wurmple</x:t>
        </x:is>
      </x:c>
      <x:c r="E269" s="5" t="n">
        <x:v>3</x:v>
      </x:c>
      <x:c r="F269" s="5" t="inlineStr">
        <x:is>
          <x:t xml:space="preserve">벌레</x:t>
        </x:is>
      </x:c>
      <x:c r="G269" s="5" t="inlineStr">
        <x:is>
          <x:t xml:space="preserve"/>
        </x:is>
      </x:c>
      <x:c r="H269" s="6" t="n">
        <x:v>3.6</x:v>
      </x:c>
      <x:c r="I269" s="5" t="n">
        <x:v>10</x:v>
      </x:c>
      <x:c r="J269" s="5" t="inlineStr">
        <x:is>
          <x:t xml:space="preserve">기본</x:t>
        </x:is>
      </x:c>
      <x:c r="K269" s="7" t="inlineStr">
        <x:is>
          <x:t xml:space="preserve">육상</x:t>
        </x:is>
      </x:c>
      <x:c r="L269" s="7" t="inlineStr">
        <x:is>
          <x:t xml:space="preserve">수목</x:t>
        </x:is>
      </x:c>
      <x:c r="M269" s="7" t="inlineStr">
        <x:is>
          <x:t xml:space="preserve">온대</x:t>
        </x:is>
      </x:c>
      <x:c r="N269" s="7" t="inlineStr">
        <x:is>
          <x:t xml:space="preserve">다습</x:t>
        </x:is>
      </x:c>
      <x:c r="O269" s="7" t="inlineStr">
        <x:is>
          <x:t xml:space="preserve">무관</x:t>
        </x:is>
      </x:c>
      <x:c r="P269" s="7" t="inlineStr">
        <x:is>
          <x:t xml:space="preserve">무관</x:t>
        </x:is>
      </x:c>
      <x:c r="Q269" s="7" t="inlineStr">
        <x:is>
          <x:t xml:space="preserve">흔함</x:t>
        </x:is>
      </x:c>
      <x:c r="R269" s="7" t="inlineStr">
        <x:is>
          <x:t xml:space="preserve">없음</x:t>
        </x:is>
      </x:c>
      <x:c r="S269" s="7" t="inlineStr">
        <x:is>
          <x:t xml:space="preserve">숲</x:t>
        </x:is>
      </x:c>
      <x:c r="T269" s="7" t="inlineStr">
        <x:is>
          <x:t xml:space="preserve"/>
        </x:is>
      </x:c>
      <x:c r="U269" s="8" t="str">
        <x:f>INDEX('서식지_점수'!$E$4:$P$4,1,MATCH(MAX('서식지_점수'!E269:P269),'서식지_점수'!E269:P269,0))</x:f>
        <x:v>평원</x:v>
      </x:c>
      <x:c r="V269" s="8" t="str">
        <x:f>IF(T269&lt;&gt;"",T269,U269)</x:f>
        <x:v>평원</x:v>
      </x:c>
      <x:c r="W269" s="8" t="str">
        <x:f>IFERROR(INDEX('서식지_점수'!$E$4:$P$4,1,MATCH(MAXIFS('서식지_점수'!E269:P269,'서식지_점수'!E269:P269,"&lt;"&amp;MAX('서식지_점수'!E269:P269)),'서식지_점수'!E269:P269,0)),"")</x:f>
        <x:v>숲</x:v>
      </x:c>
      <x:c r="X269" s="8" t="str">
        <x:f>IF(T269&lt;&gt;"","수동확정",IF(MAX('서식지_점수'!E269:P269)-LARGE('서식지_점수'!E269:P269,2)&gt;=15,"높음",IF(MAX('서식지_점수'!E269:P269)-LARGE('서식지_점수'!E269:P269,2)&gt;=8,"보통","검토필요")))</x:f>
        <x:v>검토필요</x:v>
      </x:c>
      <x:c r="Y269" s="9" t="n">
        <x:f>IF(Q269="전설",8,IF(Q269="희귀",7,IF(J269="기본",1,IF(J269="중간",3,IF(J269="최종",IF(I269="",5,IF(I269&lt;=20,3,IF(I269&lt;=35,4,IF(I269&lt;=50,6,7)))),IF(Q269="드묾",4,2))))))</x:f>
        <x:v>1</x:v>
      </x:c>
      <x:c r="Z269" s="5" t="inlineStr">
        <x:is>
          <x:t xml:space="preserve">#cobblemon:is_forest; #cobblemon:is_jungle</x:t>
        </x:is>
      </x:c>
      <x:c r="AA269" s="5" t="inlineStr">
        <x:is>
          <x:t xml:space="preserve">common</x:t>
        </x:is>
      </x:c>
      <x:c r="AB269" s="5" t="inlineStr">
        <x:is>
          <x:t xml:space="preserve">아니오</x:t>
        </x:is>
      </x:c>
      <x:c r="AC269" s="8" t="str">
        <x:f>IF(T269&lt;&gt;"","수동확정",IF(X269="검토필요","검토필요",IF(S269="","원본없음","초기완료")))</x:f>
        <x:v>검토필요</x:v>
      </x:c>
      <x:c r="AD269" s="7" t="inlineStr">
        <x:is>
          <x:t xml:space="preserve"/>
        </x:is>
      </x:c>
      <x:c r="AE269" s="5" t="inlineStr">
        <x:is>
          <x:t xml:space="preserve">.tmp/cobblemon-1.7.3-source/common/src/main/resources/data/cobblemon/species/generation3/wurmple.json</x:t>
        </x:is>
      </x:c>
      <x:c r="AF269" s="5" t="str">
        <x:f>"생활권|"&amp;K269</x:f>
        <x:v>생활권|육상</x:v>
      </x:c>
      <x:c r="AG269" s="5" t="str">
        <x:f>"지형|"&amp;L269</x:f>
        <x:v>지형|수목</x:v>
      </x:c>
      <x:c r="AH269" s="5" t="str">
        <x:f>"온도|"&amp;M269</x:f>
        <x:v>온도|온대</x:v>
      </x:c>
      <x:c r="AI269" s="5" t="str">
        <x:f>"습도|"&amp;N269</x:f>
        <x:v>습도|다습</x:v>
      </x:c>
      <x:c r="AJ269" s="5" t="str">
        <x:f>"날씨|"&amp;O269</x:f>
        <x:v>날씨|무관</x:v>
      </x:c>
      <x:c r="AK269" s="5" t="str">
        <x:f>"특수태그|"&amp;R269</x:f>
        <x:v>특수태그|없음</x:v>
      </x:c>
      <x:c r="AL269" s="5" t="str">
        <x:f>"원본서식지|"&amp;S269</x:f>
        <x:v>원본서식지|숲</x:v>
      </x:c>
      <x:c r="AM269" s="5" t="str">
        <x:f>"타입|"&amp;F269</x:f>
        <x:v>타입|벌레</x:v>
      </x:c>
      <x:c r="AN269" s="5" t="str">
        <x:f>"타입|"&amp;G269</x:f>
        <x:v>타입|</x:v>
      </x:c>
    </x:row>
    <x:row r="270" ht="24" customHeight="1">
      <x:c r="A270" s="5" t="n">
        <x:v>266</x:v>
      </x:c>
      <x:c r="B270" s="5" t="inlineStr">
        <x:is>
          <x:t xml:space="preserve">실쿤</x:t>
        </x:is>
      </x:c>
      <x:c r="C270" s="5" t="inlineStr">
        <x:is>
          <x:t xml:space="preserve">silcoon</x:t>
        </x:is>
      </x:c>
      <x:c r="D270" s="5" t="inlineStr">
        <x:is>
          <x:t xml:space="preserve">Silcoon</x:t>
        </x:is>
      </x:c>
      <x:c r="E270" s="5" t="n">
        <x:v>3</x:v>
      </x:c>
      <x:c r="F270" s="5" t="inlineStr">
        <x:is>
          <x:t xml:space="preserve">벌레</x:t>
        </x:is>
      </x:c>
      <x:c r="G270" s="5" t="inlineStr">
        <x:is>
          <x:t xml:space="preserve"/>
        </x:is>
      </x:c>
      <x:c r="H270" s="6" t="n">
        <x:v>10</x:v>
      </x:c>
      <x:c r="I270" s="5" t="n">
        <x:v>10</x:v>
      </x:c>
      <x:c r="J270" s="5" t="inlineStr">
        <x:is>
          <x:t xml:space="preserve">중간</x:t>
        </x:is>
      </x:c>
      <x:c r="K270" s="7" t="inlineStr">
        <x:is>
          <x:t xml:space="preserve">육상</x:t>
        </x:is>
      </x:c>
      <x:c r="L270" s="7" t="inlineStr">
        <x:is>
          <x:t xml:space="preserve">수목</x:t>
        </x:is>
      </x:c>
      <x:c r="M270" s="7" t="inlineStr">
        <x:is>
          <x:t xml:space="preserve">온대</x:t>
        </x:is>
      </x:c>
      <x:c r="N270" s="7" t="inlineStr">
        <x:is>
          <x:t xml:space="preserve">다습</x:t>
        </x:is>
      </x:c>
      <x:c r="O270" s="7" t="inlineStr">
        <x:is>
          <x:t xml:space="preserve">무관</x:t>
        </x:is>
      </x:c>
      <x:c r="P270" s="7" t="inlineStr">
        <x:is>
          <x:t xml:space="preserve">무관</x:t>
        </x:is>
      </x:c>
      <x:c r="Q270" s="7" t="inlineStr">
        <x:is>
          <x:t xml:space="preserve">보통</x:t>
        </x:is>
      </x:c>
      <x:c r="R270" s="7" t="inlineStr">
        <x:is>
          <x:t xml:space="preserve">없음</x:t>
        </x:is>
      </x:c>
      <x:c r="S270" s="7" t="inlineStr">
        <x:is>
          <x:t xml:space="preserve">숲</x:t>
        </x:is>
      </x:c>
      <x:c r="T270" s="7" t="inlineStr">
        <x:is>
          <x:t xml:space="preserve"/>
        </x:is>
      </x:c>
      <x:c r="U270" s="8" t="str">
        <x:f>INDEX('서식지_점수'!$E$4:$P$4,1,MATCH(MAX('서식지_점수'!E270:P270),'서식지_점수'!E270:P270,0))</x:f>
        <x:v>평원</x:v>
      </x:c>
      <x:c r="V270" s="8" t="str">
        <x:f>IF(T270&lt;&gt;"",T270,U270)</x:f>
        <x:v>평원</x:v>
      </x:c>
      <x:c r="W270" s="8" t="str">
        <x:f>IFERROR(INDEX('서식지_점수'!$E$4:$P$4,1,MATCH(MAXIFS('서식지_점수'!E270:P270,'서식지_점수'!E270:P270,"&lt;"&amp;MAX('서식지_점수'!E270:P270)),'서식지_점수'!E270:P270,0)),"")</x:f>
        <x:v>숲</x:v>
      </x:c>
      <x:c r="X270" s="8" t="str">
        <x:f>IF(T270&lt;&gt;"","수동확정",IF(MAX('서식지_점수'!E270:P270)-LARGE('서식지_점수'!E270:P270,2)&gt;=15,"높음",IF(MAX('서식지_점수'!E270:P270)-LARGE('서식지_점수'!E270:P270,2)&gt;=8,"보통","검토필요")))</x:f>
        <x:v>검토필요</x:v>
      </x:c>
      <x:c r="Y270" s="9" t="n">
        <x:f>IF(Q270="전설",8,IF(Q270="희귀",7,IF(J270="기본",1,IF(J270="중간",3,IF(J270="최종",IF(I270="",5,IF(I270&lt;=20,3,IF(I270&lt;=35,4,IF(I270&lt;=50,6,7)))),IF(Q270="드묾",4,2))))))</x:f>
        <x:v>3</x:v>
      </x:c>
      <x:c r="Z270" s="5" t="inlineStr">
        <x:is>
          <x:t xml:space="preserve">#cobblemon:is_forest; #cobblemon:is_jungle</x:t>
        </x:is>
      </x:c>
      <x:c r="AA270" s="5" t="inlineStr">
        <x:is>
          <x:t xml:space="preserve">uncommon</x:t>
        </x:is>
      </x:c>
      <x:c r="AB270" s="5" t="inlineStr">
        <x:is>
          <x:t xml:space="preserve">아니오</x:t>
        </x:is>
      </x:c>
      <x:c r="AC270" s="8" t="str">
        <x:f>IF(T270&lt;&gt;"","수동확정",IF(X270="검토필요","검토필요",IF(S270="","원본없음","초기완료")))</x:f>
        <x:v>검토필요</x:v>
      </x:c>
      <x:c r="AD270" s="7" t="inlineStr">
        <x:is>
          <x:t xml:space="preserve"/>
        </x:is>
      </x:c>
      <x:c r="AE270" s="5" t="inlineStr">
        <x:is>
          <x:t xml:space="preserve">.tmp/cobblemon-1.7.3-source/common/src/main/resources/data/cobblemon/species/generation3/silcoon.json</x:t>
        </x:is>
      </x:c>
      <x:c r="AF270" s="5" t="str">
        <x:f>"생활권|"&amp;K270</x:f>
        <x:v>생활권|육상</x:v>
      </x:c>
      <x:c r="AG270" s="5" t="str">
        <x:f>"지형|"&amp;L270</x:f>
        <x:v>지형|수목</x:v>
      </x:c>
      <x:c r="AH270" s="5" t="str">
        <x:f>"온도|"&amp;M270</x:f>
        <x:v>온도|온대</x:v>
      </x:c>
      <x:c r="AI270" s="5" t="str">
        <x:f>"습도|"&amp;N270</x:f>
        <x:v>습도|다습</x:v>
      </x:c>
      <x:c r="AJ270" s="5" t="str">
        <x:f>"날씨|"&amp;O270</x:f>
        <x:v>날씨|무관</x:v>
      </x:c>
      <x:c r="AK270" s="5" t="str">
        <x:f>"특수태그|"&amp;R270</x:f>
        <x:v>특수태그|없음</x:v>
      </x:c>
      <x:c r="AL270" s="5" t="str">
        <x:f>"원본서식지|"&amp;S270</x:f>
        <x:v>원본서식지|숲</x:v>
      </x:c>
      <x:c r="AM270" s="5" t="str">
        <x:f>"타입|"&amp;F270</x:f>
        <x:v>타입|벌레</x:v>
      </x:c>
      <x:c r="AN270" s="5" t="str">
        <x:f>"타입|"&amp;G270</x:f>
        <x:v>타입|</x:v>
      </x:c>
    </x:row>
    <x:row r="271" ht="24" customHeight="1">
      <x:c r="A271" s="5" t="n">
        <x:v>267</x:v>
      </x:c>
      <x:c r="B271" s="5" t="inlineStr">
        <x:is>
          <x:t xml:space="preserve">뷰티플라이</x:t>
        </x:is>
      </x:c>
      <x:c r="C271" s="5" t="inlineStr">
        <x:is>
          <x:t xml:space="preserve">beautifly</x:t>
        </x:is>
      </x:c>
      <x:c r="D271" s="5" t="inlineStr">
        <x:is>
          <x:t xml:space="preserve">Beautifly</x:t>
        </x:is>
      </x:c>
      <x:c r="E271" s="5" t="n">
        <x:v>3</x:v>
      </x:c>
      <x:c r="F271" s="5" t="inlineStr">
        <x:is>
          <x:t xml:space="preserve">벌레</x:t>
        </x:is>
      </x:c>
      <x:c r="G271" s="5" t="inlineStr">
        <x:is>
          <x:t xml:space="preserve">비행</x:t>
        </x:is>
      </x:c>
      <x:c r="H271" s="6" t="n">
        <x:v>28.4</x:v>
      </x:c>
      <x:c r="I271" s="5" t="n">
        <x:v>10</x:v>
      </x:c>
      <x:c r="J271" s="5" t="inlineStr">
        <x:is>
          <x:t xml:space="preserve">최종</x:t>
        </x:is>
      </x:c>
      <x:c r="K271" s="7" t="inlineStr">
        <x:is>
          <x:t xml:space="preserve">비행</x:t>
        </x:is>
      </x:c>
      <x:c r="L271" s="7" t="inlineStr">
        <x:is>
          <x:t xml:space="preserve">수목</x:t>
        </x:is>
      </x:c>
      <x:c r="M271" s="7" t="inlineStr">
        <x:is>
          <x:t xml:space="preserve">온대</x:t>
        </x:is>
      </x:c>
      <x:c r="N271" s="7" t="inlineStr">
        <x:is>
          <x:t xml:space="preserve">다습</x:t>
        </x:is>
      </x:c>
      <x:c r="O271" s="7" t="inlineStr">
        <x:is>
          <x:t xml:space="preserve">무관</x:t>
        </x:is>
      </x:c>
      <x:c r="P271" s="7" t="inlineStr">
        <x:is>
          <x:t xml:space="preserve">낮</x:t>
        </x:is>
      </x:c>
      <x:c r="Q271" s="7" t="inlineStr">
        <x:is>
          <x:t xml:space="preserve">보통</x:t>
        </x:is>
      </x:c>
      <x:c r="R271" s="7" t="inlineStr">
        <x:is>
          <x:t xml:space="preserve">없음</x:t>
        </x:is>
      </x:c>
      <x:c r="S271" s="7" t="inlineStr">
        <x:is>
          <x:t xml:space="preserve">숲</x:t>
        </x:is>
      </x:c>
      <x:c r="T271" s="7" t="inlineStr">
        <x:is>
          <x:t xml:space="preserve"/>
        </x:is>
      </x:c>
      <x:c r="U271" s="8" t="str">
        <x:f>INDEX('서식지_점수'!$E$4:$P$4,1,MATCH(MAX('서식지_점수'!E271:P271),'서식지_점수'!E271:P271,0))</x:f>
        <x:v>산악</x:v>
      </x:c>
      <x:c r="V271" s="8" t="str">
        <x:f>IF(T271&lt;&gt;"",T271,U271)</x:f>
        <x:v>산악</x:v>
      </x:c>
      <x:c r="W271" s="8" t="str">
        <x:f>IFERROR(INDEX('서식지_점수'!$E$4:$P$4,1,MATCH(MAXIFS('서식지_점수'!E271:P271,'서식지_점수'!E271:P271,"&lt;"&amp;MAX('서식지_점수'!E271:P271)),'서식지_점수'!E271:P271,0)),"")</x:f>
        <x:v>평원</x:v>
      </x:c>
      <x:c r="X271" s="8" t="str">
        <x:f>IF(T271&lt;&gt;"","수동확정",IF(MAX('서식지_점수'!E271:P271)-LARGE('서식지_점수'!E271:P271,2)&gt;=15,"높음",IF(MAX('서식지_점수'!E271:P271)-LARGE('서식지_점수'!E271:P271,2)&gt;=8,"보통","검토필요")))</x:f>
        <x:v>검토필요</x:v>
      </x:c>
      <x:c r="Y271" s="9" t="n">
        <x:f>IF(Q271="전설",8,IF(Q271="희귀",7,IF(J271="기본",1,IF(J271="중간",3,IF(J271="최종",IF(I271="",5,IF(I271&lt;=20,3,IF(I271&lt;=35,4,IF(I271&lt;=50,6,7)))),IF(Q271="드묾",4,2))))))</x:f>
        <x:v>3</x:v>
      </x:c>
      <x:c r="Z271" s="5" t="inlineStr">
        <x:is>
          <x:t xml:space="preserve">#cobblemon:is_floral; #cobblemon:is_forest; #cobblemon:is_jungle</x:t>
        </x:is>
      </x:c>
      <x:c r="AA271" s="5" t="inlineStr">
        <x:is>
          <x:t xml:space="preserve">uncommon</x:t>
        </x:is>
      </x:c>
      <x:c r="AB271" s="5" t="inlineStr">
        <x:is>
          <x:t xml:space="preserve">아니오</x:t>
        </x:is>
      </x:c>
      <x:c r="AC271" s="8" t="str">
        <x:f>IF(T271&lt;&gt;"","수동확정",IF(X271="검토필요","검토필요",IF(S271="","원본없음","초기완료")))</x:f>
        <x:v>검토필요</x:v>
      </x:c>
      <x:c r="AD271" s="7" t="inlineStr">
        <x:is>
          <x:t xml:space="preserve"/>
        </x:is>
      </x:c>
      <x:c r="AE271" s="5" t="inlineStr">
        <x:is>
          <x:t xml:space="preserve">.tmp/cobblemon-1.7.3-source/common/src/main/resources/data/cobblemon/species/generation3/beautifly.json</x:t>
        </x:is>
      </x:c>
      <x:c r="AF271" s="5" t="str">
        <x:f>"생활권|"&amp;K271</x:f>
        <x:v>생활권|비행</x:v>
      </x:c>
      <x:c r="AG271" s="5" t="str">
        <x:f>"지형|"&amp;L271</x:f>
        <x:v>지형|수목</x:v>
      </x:c>
      <x:c r="AH271" s="5" t="str">
        <x:f>"온도|"&amp;M271</x:f>
        <x:v>온도|온대</x:v>
      </x:c>
      <x:c r="AI271" s="5" t="str">
        <x:f>"습도|"&amp;N271</x:f>
        <x:v>습도|다습</x:v>
      </x:c>
      <x:c r="AJ271" s="5" t="str">
        <x:f>"날씨|"&amp;O271</x:f>
        <x:v>날씨|무관</x:v>
      </x:c>
      <x:c r="AK271" s="5" t="str">
        <x:f>"특수태그|"&amp;R271</x:f>
        <x:v>특수태그|없음</x:v>
      </x:c>
      <x:c r="AL271" s="5" t="str">
        <x:f>"원본서식지|"&amp;S271</x:f>
        <x:v>원본서식지|숲</x:v>
      </x:c>
      <x:c r="AM271" s="5" t="str">
        <x:f>"타입|"&amp;F271</x:f>
        <x:v>타입|벌레</x:v>
      </x:c>
      <x:c r="AN271" s="5" t="str">
        <x:f>"타입|"&amp;G271</x:f>
        <x:v>타입|비행</x:v>
      </x:c>
    </x:row>
    <x:row r="272" ht="24" customHeight="1">
      <x:c r="A272" s="5" t="n">
        <x:v>268</x:v>
      </x:c>
      <x:c r="B272" s="5" t="inlineStr">
        <x:is>
          <x:t xml:space="preserve">카스쿤</x:t>
        </x:is>
      </x:c>
      <x:c r="C272" s="5" t="inlineStr">
        <x:is>
          <x:t xml:space="preserve">cascoon</x:t>
        </x:is>
      </x:c>
      <x:c r="D272" s="5" t="inlineStr">
        <x:is>
          <x:t xml:space="preserve">Cascoon</x:t>
        </x:is>
      </x:c>
      <x:c r="E272" s="5" t="n">
        <x:v>3</x:v>
      </x:c>
      <x:c r="F272" s="5" t="inlineStr">
        <x:is>
          <x:t xml:space="preserve">벌레</x:t>
        </x:is>
      </x:c>
      <x:c r="G272" s="5" t="inlineStr">
        <x:is>
          <x:t xml:space="preserve"/>
        </x:is>
      </x:c>
      <x:c r="H272" s="6" t="n">
        <x:v>11.5</x:v>
      </x:c>
      <x:c r="I272" s="5" t="n">
        <x:v>10</x:v>
      </x:c>
      <x:c r="J272" s="5" t="inlineStr">
        <x:is>
          <x:t xml:space="preserve">중간</x:t>
        </x:is>
      </x:c>
      <x:c r="K272" s="7" t="inlineStr">
        <x:is>
          <x:t xml:space="preserve">육상</x:t>
        </x:is>
      </x:c>
      <x:c r="L272" s="7" t="inlineStr">
        <x:is>
          <x:t xml:space="preserve">수목</x:t>
        </x:is>
      </x:c>
      <x:c r="M272" s="7" t="inlineStr">
        <x:is>
          <x:t xml:space="preserve">온대</x:t>
        </x:is>
      </x:c>
      <x:c r="N272" s="7" t="inlineStr">
        <x:is>
          <x:t xml:space="preserve">다습</x:t>
        </x:is>
      </x:c>
      <x:c r="O272" s="7" t="inlineStr">
        <x:is>
          <x:t xml:space="preserve">무관</x:t>
        </x:is>
      </x:c>
      <x:c r="P272" s="7" t="inlineStr">
        <x:is>
          <x:t xml:space="preserve">무관</x:t>
        </x:is>
      </x:c>
      <x:c r="Q272" s="7" t="inlineStr">
        <x:is>
          <x:t xml:space="preserve">보통</x:t>
        </x:is>
      </x:c>
      <x:c r="R272" s="7" t="inlineStr">
        <x:is>
          <x:t xml:space="preserve">없음</x:t>
        </x:is>
      </x:c>
      <x:c r="S272" s="7" t="inlineStr">
        <x:is>
          <x:t xml:space="preserve">숲</x:t>
        </x:is>
      </x:c>
      <x:c r="T272" s="7" t="inlineStr">
        <x:is>
          <x:t xml:space="preserve"/>
        </x:is>
      </x:c>
      <x:c r="U272" s="8" t="str">
        <x:f>INDEX('서식지_점수'!$E$4:$P$4,1,MATCH(MAX('서식지_점수'!E272:P272),'서식지_점수'!E272:P272,0))</x:f>
        <x:v>평원</x:v>
      </x:c>
      <x:c r="V272" s="8" t="str">
        <x:f>IF(T272&lt;&gt;"",T272,U272)</x:f>
        <x:v>평원</x:v>
      </x:c>
      <x:c r="W272" s="8" t="str">
        <x:f>IFERROR(INDEX('서식지_점수'!$E$4:$P$4,1,MATCH(MAXIFS('서식지_점수'!E272:P272,'서식지_점수'!E272:P272,"&lt;"&amp;MAX('서식지_점수'!E272:P272)),'서식지_점수'!E272:P272,0)),"")</x:f>
        <x:v>숲</x:v>
      </x:c>
      <x:c r="X272" s="8" t="str">
        <x:f>IF(T272&lt;&gt;"","수동확정",IF(MAX('서식지_점수'!E272:P272)-LARGE('서식지_점수'!E272:P272,2)&gt;=15,"높음",IF(MAX('서식지_점수'!E272:P272)-LARGE('서식지_점수'!E272:P272,2)&gt;=8,"보통","검토필요")))</x:f>
        <x:v>검토필요</x:v>
      </x:c>
      <x:c r="Y272" s="9" t="n">
        <x:f>IF(Q272="전설",8,IF(Q272="희귀",7,IF(J272="기본",1,IF(J272="중간",3,IF(J272="최종",IF(I272="",5,IF(I272&lt;=20,3,IF(I272&lt;=35,4,IF(I272&lt;=50,6,7)))),IF(Q272="드묾",4,2))))))</x:f>
        <x:v>3</x:v>
      </x:c>
      <x:c r="Z272" s="5" t="inlineStr">
        <x:is>
          <x:t xml:space="preserve">#cobblemon:is_forest; #cobblemon:is_jungle</x:t>
        </x:is>
      </x:c>
      <x:c r="AA272" s="5" t="inlineStr">
        <x:is>
          <x:t xml:space="preserve">uncommon</x:t>
        </x:is>
      </x:c>
      <x:c r="AB272" s="5" t="inlineStr">
        <x:is>
          <x:t xml:space="preserve">아니오</x:t>
        </x:is>
      </x:c>
      <x:c r="AC272" s="8" t="str">
        <x:f>IF(T272&lt;&gt;"","수동확정",IF(X272="검토필요","검토필요",IF(S272="","원본없음","초기완료")))</x:f>
        <x:v>검토필요</x:v>
      </x:c>
      <x:c r="AD272" s="7" t="inlineStr">
        <x:is>
          <x:t xml:space="preserve"/>
        </x:is>
      </x:c>
      <x:c r="AE272" s="5" t="inlineStr">
        <x:is>
          <x:t xml:space="preserve">.tmp/cobblemon-1.7.3-source/common/src/main/resources/data/cobblemon/species/generation3/cascoon.json</x:t>
        </x:is>
      </x:c>
      <x:c r="AF272" s="5" t="str">
        <x:f>"생활권|"&amp;K272</x:f>
        <x:v>생활권|육상</x:v>
      </x:c>
      <x:c r="AG272" s="5" t="str">
        <x:f>"지형|"&amp;L272</x:f>
        <x:v>지형|수목</x:v>
      </x:c>
      <x:c r="AH272" s="5" t="str">
        <x:f>"온도|"&amp;M272</x:f>
        <x:v>온도|온대</x:v>
      </x:c>
      <x:c r="AI272" s="5" t="str">
        <x:f>"습도|"&amp;N272</x:f>
        <x:v>습도|다습</x:v>
      </x:c>
      <x:c r="AJ272" s="5" t="str">
        <x:f>"날씨|"&amp;O272</x:f>
        <x:v>날씨|무관</x:v>
      </x:c>
      <x:c r="AK272" s="5" t="str">
        <x:f>"특수태그|"&amp;R272</x:f>
        <x:v>특수태그|없음</x:v>
      </x:c>
      <x:c r="AL272" s="5" t="str">
        <x:f>"원본서식지|"&amp;S272</x:f>
        <x:v>원본서식지|숲</x:v>
      </x:c>
      <x:c r="AM272" s="5" t="str">
        <x:f>"타입|"&amp;F272</x:f>
        <x:v>타입|벌레</x:v>
      </x:c>
      <x:c r="AN272" s="5" t="str">
        <x:f>"타입|"&amp;G272</x:f>
        <x:v>타입|</x:v>
      </x:c>
    </x:row>
    <x:row r="273" ht="24" customHeight="1">
      <x:c r="A273" s="5" t="n">
        <x:v>269</x:v>
      </x:c>
      <x:c r="B273" s="5" t="inlineStr">
        <x:is>
          <x:t xml:space="preserve">독케일</x:t>
        </x:is>
      </x:c>
      <x:c r="C273" s="5" t="inlineStr">
        <x:is>
          <x:t xml:space="preserve">dustox</x:t>
        </x:is>
      </x:c>
      <x:c r="D273" s="5" t="inlineStr">
        <x:is>
          <x:t xml:space="preserve">Dustox</x:t>
        </x:is>
      </x:c>
      <x:c r="E273" s="5" t="n">
        <x:v>3</x:v>
      </x:c>
      <x:c r="F273" s="5" t="inlineStr">
        <x:is>
          <x:t xml:space="preserve">벌레</x:t>
        </x:is>
      </x:c>
      <x:c r="G273" s="5" t="inlineStr">
        <x:is>
          <x:t xml:space="preserve">독</x:t>
        </x:is>
      </x:c>
      <x:c r="H273" s="6" t="n">
        <x:v>31.6</x:v>
      </x:c>
      <x:c r="I273" s="5" t="n">
        <x:v>10</x:v>
      </x:c>
      <x:c r="J273" s="5" t="inlineStr">
        <x:is>
          <x:t xml:space="preserve">최종</x:t>
        </x:is>
      </x:c>
      <x:c r="K273" s="7" t="inlineStr">
        <x:is>
          <x:t xml:space="preserve">비행</x:t>
        </x:is>
      </x:c>
      <x:c r="L273" s="7" t="inlineStr">
        <x:is>
          <x:t xml:space="preserve">수목</x:t>
        </x:is>
      </x:c>
      <x:c r="M273" s="7" t="inlineStr">
        <x:is>
          <x:t xml:space="preserve">온대</x:t>
        </x:is>
      </x:c>
      <x:c r="N273" s="7" t="inlineStr">
        <x:is>
          <x:t xml:space="preserve">다습</x:t>
        </x:is>
      </x:c>
      <x:c r="O273" s="7" t="inlineStr">
        <x:is>
          <x:t xml:space="preserve">무관</x:t>
        </x:is>
      </x:c>
      <x:c r="P273" s="7" t="inlineStr">
        <x:is>
          <x:t xml:space="preserve">무관</x:t>
        </x:is>
      </x:c>
      <x:c r="Q273" s="7" t="inlineStr">
        <x:is>
          <x:t xml:space="preserve">보통</x:t>
        </x:is>
      </x:c>
      <x:c r="R273" s="7" t="inlineStr">
        <x:is>
          <x:t xml:space="preserve">없음</x:t>
        </x:is>
      </x:c>
      <x:c r="S273" s="7" t="inlineStr">
        <x:is>
          <x:t xml:space="preserve">숲</x:t>
        </x:is>
      </x:c>
      <x:c r="T273" s="7" t="inlineStr">
        <x:is>
          <x:t xml:space="preserve"/>
        </x:is>
      </x:c>
      <x:c r="U273" s="8" t="str">
        <x:f>INDEX('서식지_점수'!$E$4:$P$4,1,MATCH(MAX('서식지_점수'!E273:P273),'서식지_점수'!E273:P273,0))</x:f>
        <x:v>산악</x:v>
      </x:c>
      <x:c r="V273" s="8" t="str">
        <x:f>IF(T273&lt;&gt;"",T273,U273)</x:f>
        <x:v>산악</x:v>
      </x:c>
      <x:c r="W273" s="8" t="str">
        <x:f>IFERROR(INDEX('서식지_점수'!$E$4:$P$4,1,MATCH(MAXIFS('서식지_점수'!E273:P273,'서식지_점수'!E273:P273,"&lt;"&amp;MAX('서식지_점수'!E273:P273)),'서식지_점수'!E273:P273,0)),"")</x:f>
        <x:v>평원</x:v>
      </x:c>
      <x:c r="X273" s="8" t="str">
        <x:f>IF(T273&lt;&gt;"","수동확정",IF(MAX('서식지_점수'!E273:P273)-LARGE('서식지_점수'!E273:P273,2)&gt;=15,"높음",IF(MAX('서식지_점수'!E273:P273)-LARGE('서식지_점수'!E273:P273,2)&gt;=8,"보통","검토필요")))</x:f>
        <x:v>검토필요</x:v>
      </x:c>
      <x:c r="Y273" s="9" t="n">
        <x:f>IF(Q273="전설",8,IF(Q273="희귀",7,IF(J273="기본",1,IF(J273="중간",3,IF(J273="최종",IF(I273="",5,IF(I273&lt;=20,3,IF(I273&lt;=35,4,IF(I273&lt;=50,6,7)))),IF(Q273="드묾",4,2))))))</x:f>
        <x:v>3</x:v>
      </x:c>
      <x:c r="Z273" s="5" t="inlineStr">
        <x:is>
          <x:t xml:space="preserve">#cobblemon:is_forest; #cobblemon:is_jungle</x:t>
        </x:is>
      </x:c>
      <x:c r="AA273" s="5" t="inlineStr">
        <x:is>
          <x:t xml:space="preserve">uncommon</x:t>
        </x:is>
      </x:c>
      <x:c r="AB273" s="5" t="inlineStr">
        <x:is>
          <x:t xml:space="preserve">아니오</x:t>
        </x:is>
      </x:c>
      <x:c r="AC273" s="8" t="str">
        <x:f>IF(T273&lt;&gt;"","수동확정",IF(X273="검토필요","검토필요",IF(S273="","원본없음","초기완료")))</x:f>
        <x:v>검토필요</x:v>
      </x:c>
      <x:c r="AD273" s="7" t="inlineStr">
        <x:is>
          <x:t xml:space="preserve"/>
        </x:is>
      </x:c>
      <x:c r="AE273" s="5" t="inlineStr">
        <x:is>
          <x:t xml:space="preserve">.tmp/cobblemon-1.7.3-source/common/src/main/resources/data/cobblemon/species/generation3/dustox.json</x:t>
        </x:is>
      </x:c>
      <x:c r="AF273" s="5" t="str">
        <x:f>"생활권|"&amp;K273</x:f>
        <x:v>생활권|비행</x:v>
      </x:c>
      <x:c r="AG273" s="5" t="str">
        <x:f>"지형|"&amp;L273</x:f>
        <x:v>지형|수목</x:v>
      </x:c>
      <x:c r="AH273" s="5" t="str">
        <x:f>"온도|"&amp;M273</x:f>
        <x:v>온도|온대</x:v>
      </x:c>
      <x:c r="AI273" s="5" t="str">
        <x:f>"습도|"&amp;N273</x:f>
        <x:v>습도|다습</x:v>
      </x:c>
      <x:c r="AJ273" s="5" t="str">
        <x:f>"날씨|"&amp;O273</x:f>
        <x:v>날씨|무관</x:v>
      </x:c>
      <x:c r="AK273" s="5" t="str">
        <x:f>"특수태그|"&amp;R273</x:f>
        <x:v>특수태그|없음</x:v>
      </x:c>
      <x:c r="AL273" s="5" t="str">
        <x:f>"원본서식지|"&amp;S273</x:f>
        <x:v>원본서식지|숲</x:v>
      </x:c>
      <x:c r="AM273" s="5" t="str">
        <x:f>"타입|"&amp;F273</x:f>
        <x:v>타입|벌레</x:v>
      </x:c>
      <x:c r="AN273" s="5" t="str">
        <x:f>"타입|"&amp;G273</x:f>
        <x:v>타입|독</x:v>
      </x:c>
    </x:row>
    <x:row r="274" ht="24" customHeight="1">
      <x:c r="A274" s="5" t="n">
        <x:v>270</x:v>
      </x:c>
      <x:c r="B274" s="5" t="inlineStr">
        <x:is>
          <x:t xml:space="preserve">연꽃몬</x:t>
        </x:is>
      </x:c>
      <x:c r="C274" s="5" t="inlineStr">
        <x:is>
          <x:t xml:space="preserve">lotad</x:t>
        </x:is>
      </x:c>
      <x:c r="D274" s="5" t="inlineStr">
        <x:is>
          <x:t xml:space="preserve">Lotad</x:t>
        </x:is>
      </x:c>
      <x:c r="E274" s="5" t="n">
        <x:v>3</x:v>
      </x:c>
      <x:c r="F274" s="5" t="inlineStr">
        <x:is>
          <x:t xml:space="preserve">물</x:t>
        </x:is>
      </x:c>
      <x:c r="G274" s="5" t="inlineStr">
        <x:is>
          <x:t xml:space="preserve">풀</x:t>
        </x:is>
      </x:c>
      <x:c r="H274" s="6" t="n">
        <x:v>2.6</x:v>
      </x:c>
      <x:c r="I274" s="5" t="n">
        <x:v>14</x:v>
      </x:c>
      <x:c r="J274" s="5" t="inlineStr">
        <x:is>
          <x:t xml:space="preserve">기본</x:t>
        </x:is>
      </x:c>
      <x:c r="K274" s="7" t="inlineStr">
        <x:is>
          <x:t xml:space="preserve">수륙</x:t>
        </x:is>
      </x:c>
      <x:c r="L274" s="7" t="inlineStr">
        <x:is>
          <x:t xml:space="preserve">습지</x:t>
        </x:is>
      </x:c>
      <x:c r="M274" s="7" t="inlineStr">
        <x:is>
          <x:t xml:space="preserve">온대</x:t>
        </x:is>
      </x:c>
      <x:c r="N274" s="7" t="inlineStr">
        <x:is>
          <x:t xml:space="preserve">다습</x:t>
        </x:is>
      </x:c>
      <x:c r="O274" s="7" t="inlineStr">
        <x:is>
          <x:t xml:space="preserve">비</x:t>
        </x:is>
      </x:c>
      <x:c r="P274" s="7" t="inlineStr">
        <x:is>
          <x:t xml:space="preserve">무관</x:t>
        </x:is>
      </x:c>
      <x:c r="Q274" s="7" t="inlineStr">
        <x:is>
          <x:t xml:space="preserve">흔함</x:t>
        </x:is>
      </x:c>
      <x:c r="R274" s="7" t="inlineStr">
        <x:is>
          <x:t xml:space="preserve">없음</x:t>
        </x:is>
      </x:c>
      <x:c r="S274" s="7" t="inlineStr">
        <x:is>
          <x:t xml:space="preserve">습지</x:t>
        </x:is>
      </x:c>
      <x:c r="T274" s="7" t="inlineStr">
        <x:is>
          <x:t xml:space="preserve"/>
        </x:is>
      </x:c>
      <x:c r="U274" s="8" t="str">
        <x:f>INDEX('서식지_점수'!$E$4:$P$4,1,MATCH(MAX('서식지_점수'!E274:P274),'서식지_점수'!E274:P274,0))</x:f>
        <x:v>습지</x:v>
      </x:c>
      <x:c r="V274" s="8" t="str">
        <x:f>IF(T274&lt;&gt;"",T274,U274)</x:f>
        <x:v>습지</x:v>
      </x:c>
      <x:c r="W274" s="8" t="str">
        <x:f>IFERROR(INDEX('서식지_점수'!$E$4:$P$4,1,MATCH(MAXIFS('서식지_점수'!E274:P274,'서식지_점수'!E274:P274,"&lt;"&amp;MAX('서식지_점수'!E274:P274)),'서식지_점수'!E274:P274,0)),"")</x:f>
        <x:v>담수</x:v>
      </x:c>
      <x:c r="X274" s="8" t="str">
        <x:f>IF(T274&lt;&gt;"","수동확정",IF(MAX('서식지_점수'!E274:P274)-LARGE('서식지_점수'!E274:P274,2)&gt;=15,"높음",IF(MAX('서식지_점수'!E274:P274)-LARGE('서식지_점수'!E274:P274,2)&gt;=8,"보통","검토필요")))</x:f>
        <x:v>검토필요</x:v>
      </x:c>
      <x:c r="Y274" s="9" t="n">
        <x:f>IF(Q274="전설",8,IF(Q274="희귀",7,IF(J274="기본",1,IF(J274="중간",3,IF(J274="최종",IF(I274="",5,IF(I274&lt;=20,3,IF(I274&lt;=35,4,IF(I274&lt;=50,6,7)))),IF(Q274="드묾",4,2))))))</x:f>
        <x:v>1</x:v>
      </x:c>
      <x:c r="Z274" s="5" t="inlineStr">
        <x:is>
          <x:t xml:space="preserve">#cobblemon:is_forest; #cobblemon:is_jungle; #cobblemon:is_swamp</x:t>
        </x:is>
      </x:c>
      <x:c r="AA274" s="5" t="inlineStr">
        <x:is>
          <x:t xml:space="preserve">common</x:t>
        </x:is>
      </x:c>
      <x:c r="AB274" s="5" t="inlineStr">
        <x:is>
          <x:t xml:space="preserve">예</x:t>
        </x:is>
      </x:c>
      <x:c r="AC274" s="8" t="str">
        <x:f>IF(T274&lt;&gt;"","수동확정",IF(X274="검토필요","검토필요",IF(S274="","원본없음","초기완료")))</x:f>
        <x:v>검토필요</x:v>
      </x:c>
      <x:c r="AD274" s="7" t="inlineStr">
        <x:is>
          <x:t xml:space="preserve"/>
        </x:is>
      </x:c>
      <x:c r="AE274" s="5" t="inlineStr">
        <x:is>
          <x:t xml:space="preserve">.tmp/cobblemon-1.7.3-source/common/src/main/resources/data/cobblemon/species/generation3/lotad.json</x:t>
        </x:is>
      </x:c>
      <x:c r="AF274" s="5" t="str">
        <x:f>"생활권|"&amp;K274</x:f>
        <x:v>생활권|수륙</x:v>
      </x:c>
      <x:c r="AG274" s="5" t="str">
        <x:f>"지형|"&amp;L274</x:f>
        <x:v>지형|습지</x:v>
      </x:c>
      <x:c r="AH274" s="5" t="str">
        <x:f>"온도|"&amp;M274</x:f>
        <x:v>온도|온대</x:v>
      </x:c>
      <x:c r="AI274" s="5" t="str">
        <x:f>"습도|"&amp;N274</x:f>
        <x:v>습도|다습</x:v>
      </x:c>
      <x:c r="AJ274" s="5" t="str">
        <x:f>"날씨|"&amp;O274</x:f>
        <x:v>날씨|비</x:v>
      </x:c>
      <x:c r="AK274" s="5" t="str">
        <x:f>"특수태그|"&amp;R274</x:f>
        <x:v>특수태그|없음</x:v>
      </x:c>
      <x:c r="AL274" s="5" t="str">
        <x:f>"원본서식지|"&amp;S274</x:f>
        <x:v>원본서식지|습지</x:v>
      </x:c>
      <x:c r="AM274" s="5" t="str">
        <x:f>"타입|"&amp;F274</x:f>
        <x:v>타입|물</x:v>
      </x:c>
      <x:c r="AN274" s="5" t="str">
        <x:f>"타입|"&amp;G274</x:f>
        <x:v>타입|풀</x:v>
      </x:c>
    </x:row>
    <x:row r="275" ht="24" customHeight="1">
      <x:c r="A275" s="5" t="n">
        <x:v>271</x:v>
      </x:c>
      <x:c r="B275" s="5" t="inlineStr">
        <x:is>
          <x:t xml:space="preserve">로토스</x:t>
        </x:is>
      </x:c>
      <x:c r="C275" s="5" t="inlineStr">
        <x:is>
          <x:t xml:space="preserve">lombre</x:t>
        </x:is>
      </x:c>
      <x:c r="D275" s="5" t="inlineStr">
        <x:is>
          <x:t xml:space="preserve">Lombre</x:t>
        </x:is>
      </x:c>
      <x:c r="E275" s="5" t="n">
        <x:v>3</x:v>
      </x:c>
      <x:c r="F275" s="5" t="inlineStr">
        <x:is>
          <x:t xml:space="preserve">물</x:t>
        </x:is>
      </x:c>
      <x:c r="G275" s="5" t="inlineStr">
        <x:is>
          <x:t xml:space="preserve">풀</x:t>
        </x:is>
      </x:c>
      <x:c r="H275" s="6" t="n">
        <x:v>32.5</x:v>
      </x:c>
      <x:c r="I275" s="5" t="n">
        <x:v>14</x:v>
      </x:c>
      <x:c r="J275" s="5" t="inlineStr">
        <x:is>
          <x:t xml:space="preserve">중간</x:t>
        </x:is>
      </x:c>
      <x:c r="K275" s="7" t="inlineStr">
        <x:is>
          <x:t xml:space="preserve">수륙</x:t>
        </x:is>
      </x:c>
      <x:c r="L275" s="7" t="inlineStr">
        <x:is>
          <x:t xml:space="preserve">습지</x:t>
        </x:is>
      </x:c>
      <x:c r="M275" s="7" t="inlineStr">
        <x:is>
          <x:t xml:space="preserve">온대</x:t>
        </x:is>
      </x:c>
      <x:c r="N275" s="7" t="inlineStr">
        <x:is>
          <x:t xml:space="preserve">다습</x:t>
        </x:is>
      </x:c>
      <x:c r="O275" s="7" t="inlineStr">
        <x:is>
          <x:t xml:space="preserve">비</x:t>
        </x:is>
      </x:c>
      <x:c r="P275" s="7" t="inlineStr">
        <x:is>
          <x:t xml:space="preserve">무관</x:t>
        </x:is>
      </x:c>
      <x:c r="Q275" s="7" t="inlineStr">
        <x:is>
          <x:t xml:space="preserve">흔함</x:t>
        </x:is>
      </x:c>
      <x:c r="R275" s="7" t="inlineStr">
        <x:is>
          <x:t xml:space="preserve">없음</x:t>
        </x:is>
      </x:c>
      <x:c r="S275" s="7" t="inlineStr">
        <x:is>
          <x:t xml:space="preserve">습지</x:t>
        </x:is>
      </x:c>
      <x:c r="T275" s="7" t="inlineStr">
        <x:is>
          <x:t xml:space="preserve"/>
        </x:is>
      </x:c>
      <x:c r="U275" s="8" t="str">
        <x:f>INDEX('서식지_점수'!$E$4:$P$4,1,MATCH(MAX('서식지_점수'!E275:P275),'서식지_점수'!E275:P275,0))</x:f>
        <x:v>습지</x:v>
      </x:c>
      <x:c r="V275" s="8" t="str">
        <x:f>IF(T275&lt;&gt;"",T275,U275)</x:f>
        <x:v>습지</x:v>
      </x:c>
      <x:c r="W275" s="8" t="str">
        <x:f>IFERROR(INDEX('서식지_점수'!$E$4:$P$4,1,MATCH(MAXIFS('서식지_점수'!E275:P275,'서식지_점수'!E275:P275,"&lt;"&amp;MAX('서식지_점수'!E275:P275)),'서식지_점수'!E275:P275,0)),"")</x:f>
        <x:v>담수</x:v>
      </x:c>
      <x:c r="X275" s="8" t="str">
        <x:f>IF(T275&lt;&gt;"","수동확정",IF(MAX('서식지_점수'!E275:P275)-LARGE('서식지_점수'!E275:P275,2)&gt;=15,"높음",IF(MAX('서식지_점수'!E275:P275)-LARGE('서식지_점수'!E275:P275,2)&gt;=8,"보통","검토필요")))</x:f>
        <x:v>검토필요</x:v>
      </x:c>
      <x:c r="Y275" s="9" t="n">
        <x:f>IF(Q275="전설",8,IF(Q275="희귀",7,IF(J275="기본",1,IF(J275="중간",3,IF(J275="최종",IF(I275="",5,IF(I275&lt;=20,3,IF(I275&lt;=35,4,IF(I275&lt;=50,6,7)))),IF(Q275="드묾",4,2))))))</x:f>
        <x:v>3</x:v>
      </x:c>
      <x:c r="Z275" s="5" t="inlineStr">
        <x:is>
          <x:t xml:space="preserve">#cobblemon:is_forest; #cobblemon:is_jungle; #cobblemon:is_swamp</x:t>
        </x:is>
      </x:c>
      <x:c r="AA275" s="5" t="inlineStr">
        <x:is>
          <x:t xml:space="preserve">common</x:t>
        </x:is>
      </x:c>
      <x:c r="AB275" s="5" t="inlineStr">
        <x:is>
          <x:t xml:space="preserve">예</x:t>
        </x:is>
      </x:c>
      <x:c r="AC275" s="8" t="str">
        <x:f>IF(T275&lt;&gt;"","수동확정",IF(X275="검토필요","검토필요",IF(S275="","원본없음","초기완료")))</x:f>
        <x:v>검토필요</x:v>
      </x:c>
      <x:c r="AD275" s="7" t="inlineStr">
        <x:is>
          <x:t xml:space="preserve"/>
        </x:is>
      </x:c>
      <x:c r="AE275" s="5" t="inlineStr">
        <x:is>
          <x:t xml:space="preserve">.tmp/cobblemon-1.7.3-source/common/src/main/resources/data/cobblemon/species/generation3/lombre.json</x:t>
        </x:is>
      </x:c>
      <x:c r="AF275" s="5" t="str">
        <x:f>"생활권|"&amp;K275</x:f>
        <x:v>생활권|수륙</x:v>
      </x:c>
      <x:c r="AG275" s="5" t="str">
        <x:f>"지형|"&amp;L275</x:f>
        <x:v>지형|습지</x:v>
      </x:c>
      <x:c r="AH275" s="5" t="str">
        <x:f>"온도|"&amp;M275</x:f>
        <x:v>온도|온대</x:v>
      </x:c>
      <x:c r="AI275" s="5" t="str">
        <x:f>"습도|"&amp;N275</x:f>
        <x:v>습도|다습</x:v>
      </x:c>
      <x:c r="AJ275" s="5" t="str">
        <x:f>"날씨|"&amp;O275</x:f>
        <x:v>날씨|비</x:v>
      </x:c>
      <x:c r="AK275" s="5" t="str">
        <x:f>"특수태그|"&amp;R275</x:f>
        <x:v>특수태그|없음</x:v>
      </x:c>
      <x:c r="AL275" s="5" t="str">
        <x:f>"원본서식지|"&amp;S275</x:f>
        <x:v>원본서식지|습지</x:v>
      </x:c>
      <x:c r="AM275" s="5" t="str">
        <x:f>"타입|"&amp;F275</x:f>
        <x:v>타입|물</x:v>
      </x:c>
      <x:c r="AN275" s="5" t="str">
        <x:f>"타입|"&amp;G275</x:f>
        <x:v>타입|풀</x:v>
      </x:c>
    </x:row>
    <x:row r="276" ht="24" customHeight="1">
      <x:c r="A276" s="5" t="n">
        <x:v>272</x:v>
      </x:c>
      <x:c r="B276" s="5" t="inlineStr">
        <x:is>
          <x:t xml:space="preserve">로파파</x:t>
        </x:is>
      </x:c>
      <x:c r="C276" s="5" t="inlineStr">
        <x:is>
          <x:t xml:space="preserve">ludicolo</x:t>
        </x:is>
      </x:c>
      <x:c r="D276" s="5" t="inlineStr">
        <x:is>
          <x:t xml:space="preserve">Ludicolo</x:t>
        </x:is>
      </x:c>
      <x:c r="E276" s="5" t="n">
        <x:v>3</x:v>
      </x:c>
      <x:c r="F276" s="5" t="inlineStr">
        <x:is>
          <x:t xml:space="preserve">물</x:t>
        </x:is>
      </x:c>
      <x:c r="G276" s="5" t="inlineStr">
        <x:is>
          <x:t xml:space="preserve">풀</x:t>
        </x:is>
      </x:c>
      <x:c r="H276" s="6" t="n">
        <x:v>55</x:v>
      </x:c>
      <x:c r="I276" s="5" t="n">
        <x:v>14</x:v>
      </x:c>
      <x:c r="J276" s="5" t="inlineStr">
        <x:is>
          <x:t xml:space="preserve">최종</x:t>
        </x:is>
      </x:c>
      <x:c r="K276" s="7" t="inlineStr">
        <x:is>
          <x:t xml:space="preserve">수륙</x:t>
        </x:is>
      </x:c>
      <x:c r="L276" s="7" t="inlineStr">
        <x:is>
          <x:t xml:space="preserve">습지</x:t>
        </x:is>
      </x:c>
      <x:c r="M276" s="7" t="inlineStr">
        <x:is>
          <x:t xml:space="preserve">온대</x:t>
        </x:is>
      </x:c>
      <x:c r="N276" s="7" t="inlineStr">
        <x:is>
          <x:t xml:space="preserve">다습</x:t>
        </x:is>
      </x:c>
      <x:c r="O276" s="7" t="inlineStr">
        <x:is>
          <x:t xml:space="preserve">비</x:t>
        </x:is>
      </x:c>
      <x:c r="P276" s="7" t="inlineStr">
        <x:is>
          <x:t xml:space="preserve">무관</x:t>
        </x:is>
      </x:c>
      <x:c r="Q276" s="7" t="inlineStr">
        <x:is>
          <x:t xml:space="preserve">흔함</x:t>
        </x:is>
      </x:c>
      <x:c r="R276" s="7" t="inlineStr">
        <x:is>
          <x:t xml:space="preserve">없음</x:t>
        </x:is>
      </x:c>
      <x:c r="S276" s="7" t="inlineStr">
        <x:is>
          <x:t xml:space="preserve">습지</x:t>
        </x:is>
      </x:c>
      <x:c r="T276" s="7" t="inlineStr">
        <x:is>
          <x:t xml:space="preserve"/>
        </x:is>
      </x:c>
      <x:c r="U276" s="8" t="str">
        <x:f>INDEX('서식지_점수'!$E$4:$P$4,1,MATCH(MAX('서식지_점수'!E276:P276),'서식지_점수'!E276:P276,0))</x:f>
        <x:v>습지</x:v>
      </x:c>
      <x:c r="V276" s="8" t="str">
        <x:f>IF(T276&lt;&gt;"",T276,U276)</x:f>
        <x:v>습지</x:v>
      </x:c>
      <x:c r="W276" s="8" t="str">
        <x:f>IFERROR(INDEX('서식지_점수'!$E$4:$P$4,1,MATCH(MAXIFS('서식지_점수'!E276:P276,'서식지_점수'!E276:P276,"&lt;"&amp;MAX('서식지_점수'!E276:P276)),'서식지_점수'!E276:P276,0)),"")</x:f>
        <x:v>담수</x:v>
      </x:c>
      <x:c r="X276" s="8" t="str">
        <x:f>IF(T276&lt;&gt;"","수동확정",IF(MAX('서식지_점수'!E276:P276)-LARGE('서식지_점수'!E276:P276,2)&gt;=15,"높음",IF(MAX('서식지_점수'!E276:P276)-LARGE('서식지_점수'!E276:P276,2)&gt;=8,"보통","검토필요")))</x:f>
        <x:v>검토필요</x:v>
      </x:c>
      <x:c r="Y276" s="9" t="n">
        <x:f>IF(Q276="전설",8,IF(Q276="희귀",7,IF(J276="기본",1,IF(J276="중간",3,IF(J276="최종",IF(I276="",5,IF(I276&lt;=20,3,IF(I276&lt;=35,4,IF(I276&lt;=50,6,7)))),IF(Q276="드묾",4,2))))))</x:f>
        <x:v>3</x:v>
      </x:c>
      <x:c r="Z276" s="5" t="inlineStr">
        <x:is>
          <x:t xml:space="preserve">#cobblemon:is_forest; #cobblemon:is_jungle; #cobblemon:is_swamp</x:t>
        </x:is>
      </x:c>
      <x:c r="AA276" s="5" t="inlineStr">
        <x:is>
          <x:t xml:space="preserve">common</x:t>
        </x:is>
      </x:c>
      <x:c r="AB276" s="5" t="inlineStr">
        <x:is>
          <x:t xml:space="preserve">예</x:t>
        </x:is>
      </x:c>
      <x:c r="AC276" s="8" t="str">
        <x:f>IF(T276&lt;&gt;"","수동확정",IF(X276="검토필요","검토필요",IF(S276="","원본없음","초기완료")))</x:f>
        <x:v>검토필요</x:v>
      </x:c>
      <x:c r="AD276" s="7" t="inlineStr">
        <x:is>
          <x:t xml:space="preserve"/>
        </x:is>
      </x:c>
      <x:c r="AE276" s="5" t="inlineStr">
        <x:is>
          <x:t xml:space="preserve">.tmp/cobblemon-1.7.3-source/common/src/main/resources/data/cobblemon/species/generation3/ludicolo.json</x:t>
        </x:is>
      </x:c>
      <x:c r="AF276" s="5" t="str">
        <x:f>"생활권|"&amp;K276</x:f>
        <x:v>생활권|수륙</x:v>
      </x:c>
      <x:c r="AG276" s="5" t="str">
        <x:f>"지형|"&amp;L276</x:f>
        <x:v>지형|습지</x:v>
      </x:c>
      <x:c r="AH276" s="5" t="str">
        <x:f>"온도|"&amp;M276</x:f>
        <x:v>온도|온대</x:v>
      </x:c>
      <x:c r="AI276" s="5" t="str">
        <x:f>"습도|"&amp;N276</x:f>
        <x:v>습도|다습</x:v>
      </x:c>
      <x:c r="AJ276" s="5" t="str">
        <x:f>"날씨|"&amp;O276</x:f>
        <x:v>날씨|비</x:v>
      </x:c>
      <x:c r="AK276" s="5" t="str">
        <x:f>"특수태그|"&amp;R276</x:f>
        <x:v>특수태그|없음</x:v>
      </x:c>
      <x:c r="AL276" s="5" t="str">
        <x:f>"원본서식지|"&amp;S276</x:f>
        <x:v>원본서식지|습지</x:v>
      </x:c>
      <x:c r="AM276" s="5" t="str">
        <x:f>"타입|"&amp;F276</x:f>
        <x:v>타입|물</x:v>
      </x:c>
      <x:c r="AN276" s="5" t="str">
        <x:f>"타입|"&amp;G276</x:f>
        <x:v>타입|풀</x:v>
      </x:c>
    </x:row>
    <x:row r="277" ht="24" customHeight="1">
      <x:c r="A277" s="5" t="n">
        <x:v>273</x:v>
      </x:c>
      <x:c r="B277" s="5" t="inlineStr">
        <x:is>
          <x:t xml:space="preserve">도토링</x:t>
        </x:is>
      </x:c>
      <x:c r="C277" s="5" t="inlineStr">
        <x:is>
          <x:t xml:space="preserve">seedot</x:t>
        </x:is>
      </x:c>
      <x:c r="D277" s="5" t="inlineStr">
        <x:is>
          <x:t xml:space="preserve">Seedot</x:t>
        </x:is>
      </x:c>
      <x:c r="E277" s="5" t="n">
        <x:v>3</x:v>
      </x:c>
      <x:c r="F277" s="5" t="inlineStr">
        <x:is>
          <x:t xml:space="preserve">풀</x:t>
        </x:is>
      </x:c>
      <x:c r="G277" s="5" t="inlineStr">
        <x:is>
          <x:t xml:space="preserve"/>
        </x:is>
      </x:c>
      <x:c r="H277" s="6" t="n">
        <x:v>4</x:v>
      </x:c>
      <x:c r="I277" s="5" t="n">
        <x:v>14</x:v>
      </x:c>
      <x:c r="J277" s="5" t="inlineStr">
        <x:is>
          <x:t xml:space="preserve">기본</x:t>
        </x:is>
      </x:c>
      <x:c r="K277" s="7" t="inlineStr">
        <x:is>
          <x:t xml:space="preserve">육상</x:t>
        </x:is>
      </x:c>
      <x:c r="L277" s="7" t="inlineStr">
        <x:is>
          <x:t xml:space="preserve">수목</x:t>
        </x:is>
      </x:c>
      <x:c r="M277" s="7" t="inlineStr">
        <x:is>
          <x:t xml:space="preserve">온대</x:t>
        </x:is>
      </x:c>
      <x:c r="N277" s="7" t="inlineStr">
        <x:is>
          <x:t xml:space="preserve">보통</x:t>
        </x:is>
      </x:c>
      <x:c r="O277" s="7" t="inlineStr">
        <x:is>
          <x:t xml:space="preserve">무관</x:t>
        </x:is>
      </x:c>
      <x:c r="P277" s="7" t="inlineStr">
        <x:is>
          <x:t xml:space="preserve">무관</x:t>
        </x:is>
      </x:c>
      <x:c r="Q277" s="7" t="inlineStr">
        <x:is>
          <x:t xml:space="preserve">흔함</x:t>
        </x:is>
      </x:c>
      <x:c r="R277" s="7" t="inlineStr">
        <x:is>
          <x:t xml:space="preserve">없음</x:t>
        </x:is>
      </x:c>
      <x:c r="S277" s="7" t="inlineStr">
        <x:is>
          <x:t xml:space="preserve">숲</x:t>
        </x:is>
      </x:c>
      <x:c r="T277" s="7" t="inlineStr">
        <x:is>
          <x:t xml:space="preserve"/>
        </x:is>
      </x:c>
      <x:c r="U277" s="8" t="str">
        <x:f>INDEX('서식지_점수'!$E$4:$P$4,1,MATCH(MAX('서식지_점수'!E277:P277),'서식지_점수'!E277:P277,0))</x:f>
        <x:v>평원</x:v>
      </x:c>
      <x:c r="V277" s="8" t="str">
        <x:f>IF(T277&lt;&gt;"",T277,U277)</x:f>
        <x:v>평원</x:v>
      </x:c>
      <x:c r="W277" s="8" t="str">
        <x:f>IFERROR(INDEX('서식지_점수'!$E$4:$P$4,1,MATCH(MAXIFS('서식지_점수'!E277:P277,'서식지_점수'!E277:P277,"&lt;"&amp;MAX('서식지_점수'!E277:P277)),'서식지_점수'!E277:P277,0)),"")</x:f>
        <x:v>숲</x:v>
      </x:c>
      <x:c r="X277" s="8" t="str">
        <x:f>IF(T277&lt;&gt;"","수동확정",IF(MAX('서식지_점수'!E277:P277)-LARGE('서식지_점수'!E277:P277,2)&gt;=15,"높음",IF(MAX('서식지_점수'!E277:P277)-LARGE('서식지_점수'!E277:P277,2)&gt;=8,"보통","검토필요")))</x:f>
        <x:v>검토필요</x:v>
      </x:c>
      <x:c r="Y277" s="9" t="n">
        <x:f>IF(Q277="전설",8,IF(Q277="희귀",7,IF(J277="기본",1,IF(J277="중간",3,IF(J277="최종",IF(I277="",5,IF(I277&lt;=20,3,IF(I277&lt;=35,4,IF(I277&lt;=50,6,7)))),IF(Q277="드묾",4,2))))))</x:f>
        <x:v>1</x:v>
      </x:c>
      <x:c r="Z277" s="5" t="inlineStr">
        <x:is>
          <x:t xml:space="preserve">#cobblemon:is_forest; aether:skyroot_forest; aether:skyroot_woodland</x:t>
        </x:is>
      </x:c>
      <x:c r="AA277" s="5" t="inlineStr">
        <x:is>
          <x:t xml:space="preserve">common</x:t>
        </x:is>
      </x:c>
      <x:c r="AB277" s="5" t="inlineStr">
        <x:is>
          <x:t xml:space="preserve">예</x:t>
        </x:is>
      </x:c>
      <x:c r="AC277" s="8" t="str">
        <x:f>IF(T277&lt;&gt;"","수동확정",IF(X277="검토필요","검토필요",IF(S277="","원본없음","초기완료")))</x:f>
        <x:v>검토필요</x:v>
      </x:c>
      <x:c r="AD277" s="7" t="inlineStr">
        <x:is>
          <x:t xml:space="preserve"/>
        </x:is>
      </x:c>
      <x:c r="AE277" s="5" t="inlineStr">
        <x:is>
          <x:t xml:space="preserve">.tmp/cobblemon-1.7.3-source/common/src/main/resources/data/cobblemon/species/generation3/seedot.json</x:t>
        </x:is>
      </x:c>
      <x:c r="AF277" s="5" t="str">
        <x:f>"생활권|"&amp;K277</x:f>
        <x:v>생활권|육상</x:v>
      </x:c>
      <x:c r="AG277" s="5" t="str">
        <x:f>"지형|"&amp;L277</x:f>
        <x:v>지형|수목</x:v>
      </x:c>
      <x:c r="AH277" s="5" t="str">
        <x:f>"온도|"&amp;M277</x:f>
        <x:v>온도|온대</x:v>
      </x:c>
      <x:c r="AI277" s="5" t="str">
        <x:f>"습도|"&amp;N277</x:f>
        <x:v>습도|보통</x:v>
      </x:c>
      <x:c r="AJ277" s="5" t="str">
        <x:f>"날씨|"&amp;O277</x:f>
        <x:v>날씨|무관</x:v>
      </x:c>
      <x:c r="AK277" s="5" t="str">
        <x:f>"특수태그|"&amp;R277</x:f>
        <x:v>특수태그|없음</x:v>
      </x:c>
      <x:c r="AL277" s="5" t="str">
        <x:f>"원본서식지|"&amp;S277</x:f>
        <x:v>원본서식지|숲</x:v>
      </x:c>
      <x:c r="AM277" s="5" t="str">
        <x:f>"타입|"&amp;F277</x:f>
        <x:v>타입|풀</x:v>
      </x:c>
      <x:c r="AN277" s="5" t="str">
        <x:f>"타입|"&amp;G277</x:f>
        <x:v>타입|</x:v>
      </x:c>
    </x:row>
    <x:row r="278" ht="24" customHeight="1">
      <x:c r="A278" s="5" t="n">
        <x:v>274</x:v>
      </x:c>
      <x:c r="B278" s="5" t="inlineStr">
        <x:is>
          <x:t xml:space="preserve">잎새코</x:t>
        </x:is>
      </x:c>
      <x:c r="C278" s="5" t="inlineStr">
        <x:is>
          <x:t xml:space="preserve">nuzleaf</x:t>
        </x:is>
      </x:c>
      <x:c r="D278" s="5" t="inlineStr">
        <x:is>
          <x:t xml:space="preserve">Nuzleaf</x:t>
        </x:is>
      </x:c>
      <x:c r="E278" s="5" t="n">
        <x:v>3</x:v>
      </x:c>
      <x:c r="F278" s="5" t="inlineStr">
        <x:is>
          <x:t xml:space="preserve">풀</x:t>
        </x:is>
      </x:c>
      <x:c r="G278" s="5" t="inlineStr">
        <x:is>
          <x:t xml:space="preserve">악</x:t>
        </x:is>
      </x:c>
      <x:c r="H278" s="6" t="n">
        <x:v>28</x:v>
      </x:c>
      <x:c r="I278" s="5" t="n">
        <x:v>14</x:v>
      </x:c>
      <x:c r="J278" s="5" t="inlineStr">
        <x:is>
          <x:t xml:space="preserve">중간</x:t>
        </x:is>
      </x:c>
      <x:c r="K278" s="7" t="inlineStr">
        <x:is>
          <x:t xml:space="preserve">육상</x:t>
        </x:is>
      </x:c>
      <x:c r="L278" s="7" t="inlineStr">
        <x:is>
          <x:t xml:space="preserve">수목</x:t>
        </x:is>
      </x:c>
      <x:c r="M278" s="7" t="inlineStr">
        <x:is>
          <x:t xml:space="preserve">온대</x:t>
        </x:is>
      </x:c>
      <x:c r="N278" s="7" t="inlineStr">
        <x:is>
          <x:t xml:space="preserve">보통</x:t>
        </x:is>
      </x:c>
      <x:c r="O278" s="7" t="inlineStr">
        <x:is>
          <x:t xml:space="preserve">무관</x:t>
        </x:is>
      </x:c>
      <x:c r="P278" s="7" t="inlineStr">
        <x:is>
          <x:t xml:space="preserve">밤</x:t>
        </x:is>
      </x:c>
      <x:c r="Q278" s="7" t="inlineStr">
        <x:is>
          <x:t xml:space="preserve">흔함</x:t>
        </x:is>
      </x:c>
      <x:c r="R278" s="7" t="inlineStr">
        <x:is>
          <x:t xml:space="preserve">없음</x:t>
        </x:is>
      </x:c>
      <x:c r="S278" s="7" t="inlineStr">
        <x:is>
          <x:t xml:space="preserve">숲</x:t>
        </x:is>
      </x:c>
      <x:c r="T278" s="7" t="inlineStr">
        <x:is>
          <x:t xml:space="preserve"/>
        </x:is>
      </x:c>
      <x:c r="U278" s="8" t="str">
        <x:f>INDEX('서식지_점수'!$E$4:$P$4,1,MATCH(MAX('서식지_점수'!E278:P278),'서식지_점수'!E278:P278,0))</x:f>
        <x:v>평원</x:v>
      </x:c>
      <x:c r="V278" s="8" t="str">
        <x:f>IF(T278&lt;&gt;"",T278,U278)</x:f>
        <x:v>평원</x:v>
      </x:c>
      <x:c r="W278" s="8" t="str">
        <x:f>IFERROR(INDEX('서식지_점수'!$E$4:$P$4,1,MATCH(MAXIFS('서식지_점수'!E278:P278,'서식지_점수'!E278:P278,"&lt;"&amp;MAX('서식지_점수'!E278:P278)),'서식지_점수'!E278:P278,0)),"")</x:f>
        <x:v>숲</x:v>
      </x:c>
      <x:c r="X278" s="8" t="str">
        <x:f>IF(T278&lt;&gt;"","수동확정",IF(MAX('서식지_점수'!E278:P278)-LARGE('서식지_점수'!E278:P278,2)&gt;=15,"높음",IF(MAX('서식지_점수'!E278:P278)-LARGE('서식지_점수'!E278:P278,2)&gt;=8,"보통","검토필요")))</x:f>
        <x:v>검토필요</x:v>
      </x:c>
      <x:c r="Y278" s="9" t="n">
        <x:f>IF(Q278="전설",8,IF(Q278="희귀",7,IF(J278="기본",1,IF(J278="중간",3,IF(J278="최종",IF(I278="",5,IF(I278&lt;=20,3,IF(I278&lt;=35,4,IF(I278&lt;=50,6,7)))),IF(Q278="드묾",4,2))))))</x:f>
        <x:v>3</x:v>
      </x:c>
      <x:c r="Z278" s="5" t="inlineStr">
        <x:is>
          <x:t xml:space="preserve">#cobblemon:is_forest; aether:skyroot_forest; aether:skyroot_woodland</x:t>
        </x:is>
      </x:c>
      <x:c r="AA278" s="5" t="inlineStr">
        <x:is>
          <x:t xml:space="preserve">common</x:t>
        </x:is>
      </x:c>
      <x:c r="AB278" s="5" t="inlineStr">
        <x:is>
          <x:t xml:space="preserve">예</x:t>
        </x:is>
      </x:c>
      <x:c r="AC278" s="8" t="str">
        <x:f>IF(T278&lt;&gt;"","수동확정",IF(X278="검토필요","검토필요",IF(S278="","원본없음","초기완료")))</x:f>
        <x:v>검토필요</x:v>
      </x:c>
      <x:c r="AD278" s="7" t="inlineStr">
        <x:is>
          <x:t xml:space="preserve"/>
        </x:is>
      </x:c>
      <x:c r="AE278" s="5" t="inlineStr">
        <x:is>
          <x:t xml:space="preserve">.tmp/cobblemon-1.7.3-source/common/src/main/resources/data/cobblemon/species/generation3/nuzleaf.json</x:t>
        </x:is>
      </x:c>
      <x:c r="AF278" s="5" t="str">
        <x:f>"생활권|"&amp;K278</x:f>
        <x:v>생활권|육상</x:v>
      </x:c>
      <x:c r="AG278" s="5" t="str">
        <x:f>"지형|"&amp;L278</x:f>
        <x:v>지형|수목</x:v>
      </x:c>
      <x:c r="AH278" s="5" t="str">
        <x:f>"온도|"&amp;M278</x:f>
        <x:v>온도|온대</x:v>
      </x:c>
      <x:c r="AI278" s="5" t="str">
        <x:f>"습도|"&amp;N278</x:f>
        <x:v>습도|보통</x:v>
      </x:c>
      <x:c r="AJ278" s="5" t="str">
        <x:f>"날씨|"&amp;O278</x:f>
        <x:v>날씨|무관</x:v>
      </x:c>
      <x:c r="AK278" s="5" t="str">
        <x:f>"특수태그|"&amp;R278</x:f>
        <x:v>특수태그|없음</x:v>
      </x:c>
      <x:c r="AL278" s="5" t="str">
        <x:f>"원본서식지|"&amp;S278</x:f>
        <x:v>원본서식지|숲</x:v>
      </x:c>
      <x:c r="AM278" s="5" t="str">
        <x:f>"타입|"&amp;F278</x:f>
        <x:v>타입|풀</x:v>
      </x:c>
      <x:c r="AN278" s="5" t="str">
        <x:f>"타입|"&amp;G278</x:f>
        <x:v>타입|악</x:v>
      </x:c>
    </x:row>
    <x:row r="279" ht="24" customHeight="1">
      <x:c r="A279" s="5" t="n">
        <x:v>275</x:v>
      </x:c>
      <x:c r="B279" s="5" t="inlineStr">
        <x:is>
          <x:t xml:space="preserve">다탱구</x:t>
        </x:is>
      </x:c>
      <x:c r="C279" s="5" t="inlineStr">
        <x:is>
          <x:t xml:space="preserve">shiftry</x:t>
        </x:is>
      </x:c>
      <x:c r="D279" s="5" t="inlineStr">
        <x:is>
          <x:t xml:space="preserve">Shiftry</x:t>
        </x:is>
      </x:c>
      <x:c r="E279" s="5" t="n">
        <x:v>3</x:v>
      </x:c>
      <x:c r="F279" s="5" t="inlineStr">
        <x:is>
          <x:t xml:space="preserve">풀</x:t>
        </x:is>
      </x:c>
      <x:c r="G279" s="5" t="inlineStr">
        <x:is>
          <x:t xml:space="preserve">악</x:t>
        </x:is>
      </x:c>
      <x:c r="H279" s="6" t="n">
        <x:v>59.6</x:v>
      </x:c>
      <x:c r="I279" s="5" t="n">
        <x:v>14</x:v>
      </x:c>
      <x:c r="J279" s="5" t="inlineStr">
        <x:is>
          <x:t xml:space="preserve">최종</x:t>
        </x:is>
      </x:c>
      <x:c r="K279" s="7" t="inlineStr">
        <x:is>
          <x:t xml:space="preserve">육상</x:t>
        </x:is>
      </x:c>
      <x:c r="L279" s="7" t="inlineStr">
        <x:is>
          <x:t xml:space="preserve">수목</x:t>
        </x:is>
      </x:c>
      <x:c r="M279" s="7" t="inlineStr">
        <x:is>
          <x:t xml:space="preserve">온대</x:t>
        </x:is>
      </x:c>
      <x:c r="N279" s="7" t="inlineStr">
        <x:is>
          <x:t xml:space="preserve">보통</x:t>
        </x:is>
      </x:c>
      <x:c r="O279" s="7" t="inlineStr">
        <x:is>
          <x:t xml:space="preserve">무관</x:t>
        </x:is>
      </x:c>
      <x:c r="P279" s="7" t="inlineStr">
        <x:is>
          <x:t xml:space="preserve">밤</x:t>
        </x:is>
      </x:c>
      <x:c r="Q279" s="7" t="inlineStr">
        <x:is>
          <x:t xml:space="preserve">흔함</x:t>
        </x:is>
      </x:c>
      <x:c r="R279" s="7" t="inlineStr">
        <x:is>
          <x:t xml:space="preserve">없음</x:t>
        </x:is>
      </x:c>
      <x:c r="S279" s="7" t="inlineStr">
        <x:is>
          <x:t xml:space="preserve">숲</x:t>
        </x:is>
      </x:c>
      <x:c r="T279" s="7" t="inlineStr">
        <x:is>
          <x:t xml:space="preserve"/>
        </x:is>
      </x:c>
      <x:c r="U279" s="8" t="str">
        <x:f>INDEX('서식지_점수'!$E$4:$P$4,1,MATCH(MAX('서식지_점수'!E279:P279),'서식지_점수'!E279:P279,0))</x:f>
        <x:v>평원</x:v>
      </x:c>
      <x:c r="V279" s="8" t="str">
        <x:f>IF(T279&lt;&gt;"",T279,U279)</x:f>
        <x:v>평원</x:v>
      </x:c>
      <x:c r="W279" s="8" t="str">
        <x:f>IFERROR(INDEX('서식지_점수'!$E$4:$P$4,1,MATCH(MAXIFS('서식지_점수'!E279:P279,'서식지_점수'!E279:P279,"&lt;"&amp;MAX('서식지_점수'!E279:P279)),'서식지_점수'!E279:P279,0)),"")</x:f>
        <x:v>숲</x:v>
      </x:c>
      <x:c r="X279" s="8" t="str">
        <x:f>IF(T279&lt;&gt;"","수동확정",IF(MAX('서식지_점수'!E279:P279)-LARGE('서식지_점수'!E279:P279,2)&gt;=15,"높음",IF(MAX('서식지_점수'!E279:P279)-LARGE('서식지_점수'!E279:P279,2)&gt;=8,"보통","검토필요")))</x:f>
        <x:v>검토필요</x:v>
      </x:c>
      <x:c r="Y279" s="9" t="n">
        <x:f>IF(Q279="전설",8,IF(Q279="희귀",7,IF(J279="기본",1,IF(J279="중간",3,IF(J279="최종",IF(I279="",5,IF(I279&lt;=20,3,IF(I279&lt;=35,4,IF(I279&lt;=50,6,7)))),IF(Q279="드묾",4,2))))))</x:f>
        <x:v>3</x:v>
      </x:c>
      <x:c r="Z279" s="5" t="inlineStr">
        <x:is>
          <x:t xml:space="preserve">#cobblemon:is_forest; aether:skyroot_forest; aether:skyroot_woodland</x:t>
        </x:is>
      </x:c>
      <x:c r="AA279" s="5" t="inlineStr">
        <x:is>
          <x:t xml:space="preserve">common</x:t>
        </x:is>
      </x:c>
      <x:c r="AB279" s="5" t="inlineStr">
        <x:is>
          <x:t xml:space="preserve">예</x:t>
        </x:is>
      </x:c>
      <x:c r="AC279" s="8" t="str">
        <x:f>IF(T279&lt;&gt;"","수동확정",IF(X279="검토필요","검토필요",IF(S279="","원본없음","초기완료")))</x:f>
        <x:v>검토필요</x:v>
      </x:c>
      <x:c r="AD279" s="7" t="inlineStr">
        <x:is>
          <x:t xml:space="preserve"/>
        </x:is>
      </x:c>
      <x:c r="AE279" s="5" t="inlineStr">
        <x:is>
          <x:t xml:space="preserve">.tmp/cobblemon-1.7.3-source/common/src/main/resources/data/cobblemon/species/generation3/shiftry.json</x:t>
        </x:is>
      </x:c>
      <x:c r="AF279" s="5" t="str">
        <x:f>"생활권|"&amp;K279</x:f>
        <x:v>생활권|육상</x:v>
      </x:c>
      <x:c r="AG279" s="5" t="str">
        <x:f>"지형|"&amp;L279</x:f>
        <x:v>지형|수목</x:v>
      </x:c>
      <x:c r="AH279" s="5" t="str">
        <x:f>"온도|"&amp;M279</x:f>
        <x:v>온도|온대</x:v>
      </x:c>
      <x:c r="AI279" s="5" t="str">
        <x:f>"습도|"&amp;N279</x:f>
        <x:v>습도|보통</x:v>
      </x:c>
      <x:c r="AJ279" s="5" t="str">
        <x:f>"날씨|"&amp;O279</x:f>
        <x:v>날씨|무관</x:v>
      </x:c>
      <x:c r="AK279" s="5" t="str">
        <x:f>"특수태그|"&amp;R279</x:f>
        <x:v>특수태그|없음</x:v>
      </x:c>
      <x:c r="AL279" s="5" t="str">
        <x:f>"원본서식지|"&amp;S279</x:f>
        <x:v>원본서식지|숲</x:v>
      </x:c>
      <x:c r="AM279" s="5" t="str">
        <x:f>"타입|"&amp;F279</x:f>
        <x:v>타입|풀</x:v>
      </x:c>
      <x:c r="AN279" s="5" t="str">
        <x:f>"타입|"&amp;G279</x:f>
        <x:v>타입|악</x:v>
      </x:c>
    </x:row>
    <x:row r="280" ht="24" customHeight="1">
      <x:c r="A280" s="5" t="n">
        <x:v>276</x:v>
      </x:c>
      <x:c r="B280" s="5" t="inlineStr">
        <x:is>
          <x:t xml:space="preserve">테일로</x:t>
        </x:is>
      </x:c>
      <x:c r="C280" s="5" t="inlineStr">
        <x:is>
          <x:t xml:space="preserve">taillow</x:t>
        </x:is>
      </x:c>
      <x:c r="D280" s="5" t="inlineStr">
        <x:is>
          <x:t xml:space="preserve">Taillow</x:t>
        </x:is>
      </x:c>
      <x:c r="E280" s="5" t="n">
        <x:v>3</x:v>
      </x:c>
      <x:c r="F280" s="5" t="inlineStr">
        <x:is>
          <x:t xml:space="preserve">노말</x:t>
        </x:is>
      </x:c>
      <x:c r="G280" s="5" t="inlineStr">
        <x:is>
          <x:t xml:space="preserve">비행</x:t>
        </x:is>
      </x:c>
      <x:c r="H280" s="6" t="n">
        <x:v>2.3</x:v>
      </x:c>
      <x:c r="I280" s="5" t="n">
        <x:v>22</x:v>
      </x:c>
      <x:c r="J280" s="5" t="inlineStr">
        <x:is>
          <x:t xml:space="preserve">기본</x:t>
        </x:is>
      </x:c>
      <x:c r="K280" s="7" t="inlineStr">
        <x:is>
          <x:t xml:space="preserve">비행</x:t>
        </x:is>
      </x:c>
      <x:c r="L280" s="7" t="inlineStr">
        <x:is>
          <x:t xml:space="preserve">개활지</x:t>
        </x:is>
      </x:c>
      <x:c r="M280" s="7" t="inlineStr">
        <x:is>
          <x:t xml:space="preserve">온대</x:t>
        </x:is>
      </x:c>
      <x:c r="N280" s="7" t="inlineStr">
        <x:is>
          <x:t xml:space="preserve">보통</x:t>
        </x:is>
      </x:c>
      <x:c r="O280" s="7" t="inlineStr">
        <x:is>
          <x:t xml:space="preserve">무관</x:t>
        </x:is>
      </x:c>
      <x:c r="P280" s="7" t="inlineStr">
        <x:is>
          <x:t xml:space="preserve">낮</x:t>
        </x:is>
      </x:c>
      <x:c r="Q280" s="7" t="inlineStr">
        <x:is>
          <x:t xml:space="preserve">흔함</x:t>
        </x:is>
      </x:c>
      <x:c r="R280" s="7" t="inlineStr">
        <x:is>
          <x:t xml:space="preserve">없음</x:t>
        </x:is>
      </x:c>
      <x:c r="S280" s="7" t="inlineStr">
        <x:is>
          <x:t xml:space="preserve"/>
        </x:is>
      </x:c>
      <x:c r="T280" s="7" t="inlineStr">
        <x:is>
          <x:t xml:space="preserve"/>
        </x:is>
      </x:c>
      <x:c r="U280" s="8" t="str">
        <x:f>INDEX('서식지_점수'!$E$4:$P$4,1,MATCH(MAX('서식지_점수'!E280:P280),'서식지_점수'!E280:P280,0))</x:f>
        <x:v>산악</x:v>
      </x:c>
      <x:c r="V280" s="8" t="str">
        <x:f>IF(T280&lt;&gt;"",T280,U280)</x:f>
        <x:v>산악</x:v>
      </x:c>
      <x:c r="W280" s="8" t="str">
        <x:f>IFERROR(INDEX('서식지_점수'!$E$4:$P$4,1,MATCH(MAXIFS('서식지_점수'!E280:P280,'서식지_점수'!E280:P280,"&lt;"&amp;MAX('서식지_점수'!E280:P280)),'서식지_점수'!E280:P280,0)),"")</x:f>
        <x:v>평원</x:v>
      </x:c>
      <x:c r="X280" s="8" t="str">
        <x:f>IF(T280&lt;&gt;"","수동확정",IF(MAX('서식지_점수'!E280:P280)-LARGE('서식지_점수'!E280:P280,2)&gt;=15,"높음",IF(MAX('서식지_점수'!E280:P280)-LARGE('서식지_점수'!E280:P280,2)&gt;=8,"보통","검토필요")))</x:f>
        <x:v>검토필요</x:v>
      </x:c>
      <x:c r="Y280" s="9" t="n">
        <x:f>IF(Q280="전설",8,IF(Q280="희귀",7,IF(J280="기본",1,IF(J280="중간",3,IF(J280="최종",IF(I280="",5,IF(I280&lt;=20,3,IF(I280&lt;=35,4,IF(I280&lt;=50,6,7)))),IF(Q280="드묾",4,2))))))</x:f>
        <x:v>1</x:v>
      </x:c>
      <x:c r="Z280" s="5" t="inlineStr">
        <x:is>
          <x:t xml:space="preserve">#aether:is_aether; #cobblemon:is_sky; #cobblemon:is_temperate</x:t>
        </x:is>
      </x:c>
      <x:c r="AA280" s="5" t="inlineStr">
        <x:is>
          <x:t xml:space="preserve">common</x:t>
        </x:is>
      </x:c>
      <x:c r="AB280" s="5" t="inlineStr">
        <x:is>
          <x:t xml:space="preserve">예</x:t>
        </x:is>
      </x:c>
      <x:c r="AC280" s="8" t="str">
        <x:f>IF(T280&lt;&gt;"","수동확정",IF(X280="검토필요","검토필요",IF(S280="","원본없음","초기완료")))</x:f>
        <x:v>검토필요</x:v>
      </x:c>
      <x:c r="AD280" s="7" t="inlineStr">
        <x:is>
          <x:t xml:space="preserve"/>
        </x:is>
      </x:c>
      <x:c r="AE280" s="5" t="inlineStr">
        <x:is>
          <x:t xml:space="preserve">.tmp/cobblemon-1.7.3-source/common/src/main/resources/data/cobblemon/species/generation3/taillow.json</x:t>
        </x:is>
      </x:c>
      <x:c r="AF280" s="5" t="str">
        <x:f>"생활권|"&amp;K280</x:f>
        <x:v>생활권|비행</x:v>
      </x:c>
      <x:c r="AG280" s="5" t="str">
        <x:f>"지형|"&amp;L280</x:f>
        <x:v>지형|개활지</x:v>
      </x:c>
      <x:c r="AH280" s="5" t="str">
        <x:f>"온도|"&amp;M280</x:f>
        <x:v>온도|온대</x:v>
      </x:c>
      <x:c r="AI280" s="5" t="str">
        <x:f>"습도|"&amp;N280</x:f>
        <x:v>습도|보통</x:v>
      </x:c>
      <x:c r="AJ280" s="5" t="str">
        <x:f>"날씨|"&amp;O280</x:f>
        <x:v>날씨|무관</x:v>
      </x:c>
      <x:c r="AK280" s="5" t="str">
        <x:f>"특수태그|"&amp;R280</x:f>
        <x:v>특수태그|없음</x:v>
      </x:c>
      <x:c r="AL280" s="5" t="str">
        <x:f>"원본서식지|"&amp;S280</x:f>
        <x:v>원본서식지|</x:v>
      </x:c>
      <x:c r="AM280" s="5" t="str">
        <x:f>"타입|"&amp;F280</x:f>
        <x:v>타입|노말</x:v>
      </x:c>
      <x:c r="AN280" s="5" t="str">
        <x:f>"타입|"&amp;G280</x:f>
        <x:v>타입|비행</x:v>
      </x:c>
    </x:row>
    <x:row r="281" ht="24" customHeight="1">
      <x:c r="A281" s="5" t="n">
        <x:v>277</x:v>
      </x:c>
      <x:c r="B281" s="5" t="inlineStr">
        <x:is>
          <x:t xml:space="preserve">스왈로</x:t>
        </x:is>
      </x:c>
      <x:c r="C281" s="5" t="inlineStr">
        <x:is>
          <x:t xml:space="preserve">swellow</x:t>
        </x:is>
      </x:c>
      <x:c r="D281" s="5" t="inlineStr">
        <x:is>
          <x:t xml:space="preserve">Swellow</x:t>
        </x:is>
      </x:c>
      <x:c r="E281" s="5" t="n">
        <x:v>3</x:v>
      </x:c>
      <x:c r="F281" s="5" t="inlineStr">
        <x:is>
          <x:t xml:space="preserve">노말</x:t>
        </x:is>
      </x:c>
      <x:c r="G281" s="5" t="inlineStr">
        <x:is>
          <x:t xml:space="preserve">비행</x:t>
        </x:is>
      </x:c>
      <x:c r="H281" s="6" t="n">
        <x:v>19.8</x:v>
      </x:c>
      <x:c r="I281" s="5" t="n">
        <x:v>22</x:v>
      </x:c>
      <x:c r="J281" s="5" t="inlineStr">
        <x:is>
          <x:t xml:space="preserve">최종</x:t>
        </x:is>
      </x:c>
      <x:c r="K281" s="7" t="inlineStr">
        <x:is>
          <x:t xml:space="preserve">비행</x:t>
        </x:is>
      </x:c>
      <x:c r="L281" s="7" t="inlineStr">
        <x:is>
          <x:t xml:space="preserve">개활지</x:t>
        </x:is>
      </x:c>
      <x:c r="M281" s="7" t="inlineStr">
        <x:is>
          <x:t xml:space="preserve">온대</x:t>
        </x:is>
      </x:c>
      <x:c r="N281" s="7" t="inlineStr">
        <x:is>
          <x:t xml:space="preserve">보통</x:t>
        </x:is>
      </x:c>
      <x:c r="O281" s="7" t="inlineStr">
        <x:is>
          <x:t xml:space="preserve">무관</x:t>
        </x:is>
      </x:c>
      <x:c r="P281" s="7" t="inlineStr">
        <x:is>
          <x:t xml:space="preserve">낮</x:t>
        </x:is>
      </x:c>
      <x:c r="Q281" s="7" t="inlineStr">
        <x:is>
          <x:t xml:space="preserve">흔함</x:t>
        </x:is>
      </x:c>
      <x:c r="R281" s="7" t="inlineStr">
        <x:is>
          <x:t xml:space="preserve">없음</x:t>
        </x:is>
      </x:c>
      <x:c r="S281" s="7" t="inlineStr">
        <x:is>
          <x:t xml:space="preserve"/>
        </x:is>
      </x:c>
      <x:c r="T281" s="7" t="inlineStr">
        <x:is>
          <x:t xml:space="preserve"/>
        </x:is>
      </x:c>
      <x:c r="U281" s="8" t="str">
        <x:f>INDEX('서식지_점수'!$E$4:$P$4,1,MATCH(MAX('서식지_점수'!E281:P281),'서식지_점수'!E281:P281,0))</x:f>
        <x:v>산악</x:v>
      </x:c>
      <x:c r="V281" s="8" t="str">
        <x:f>IF(T281&lt;&gt;"",T281,U281)</x:f>
        <x:v>산악</x:v>
      </x:c>
      <x:c r="W281" s="8" t="str">
        <x:f>IFERROR(INDEX('서식지_점수'!$E$4:$P$4,1,MATCH(MAXIFS('서식지_점수'!E281:P281,'서식지_점수'!E281:P281,"&lt;"&amp;MAX('서식지_점수'!E281:P281)),'서식지_점수'!E281:P281,0)),"")</x:f>
        <x:v>평원</x:v>
      </x:c>
      <x:c r="X281" s="8" t="str">
        <x:f>IF(T281&lt;&gt;"","수동확정",IF(MAX('서식지_점수'!E281:P281)-LARGE('서식지_점수'!E281:P281,2)&gt;=15,"높음",IF(MAX('서식지_점수'!E281:P281)-LARGE('서식지_점수'!E281:P281,2)&gt;=8,"보통","검토필요")))</x:f>
        <x:v>검토필요</x:v>
      </x:c>
      <x:c r="Y281" s="9" t="n">
        <x:f>IF(Q281="전설",8,IF(Q281="희귀",7,IF(J281="기본",1,IF(J281="중간",3,IF(J281="최종",IF(I281="",5,IF(I281&lt;=20,3,IF(I281&lt;=35,4,IF(I281&lt;=50,6,7)))),IF(Q281="드묾",4,2))))))</x:f>
        <x:v>4</x:v>
      </x:c>
      <x:c r="Z281" s="5" t="inlineStr">
        <x:is>
          <x:t xml:space="preserve">#aether:is_aether; #cobblemon:is_sky; #cobblemon:is_temperate</x:t>
        </x:is>
      </x:c>
      <x:c r="AA281" s="5" t="inlineStr">
        <x:is>
          <x:t xml:space="preserve">common</x:t>
        </x:is>
      </x:c>
      <x:c r="AB281" s="5" t="inlineStr">
        <x:is>
          <x:t xml:space="preserve">예</x:t>
        </x:is>
      </x:c>
      <x:c r="AC281" s="8" t="str">
        <x:f>IF(T281&lt;&gt;"","수동확정",IF(X281="검토필요","검토필요",IF(S281="","원본없음","초기완료")))</x:f>
        <x:v>검토필요</x:v>
      </x:c>
      <x:c r="AD281" s="7" t="inlineStr">
        <x:is>
          <x:t xml:space="preserve"/>
        </x:is>
      </x:c>
      <x:c r="AE281" s="5" t="inlineStr">
        <x:is>
          <x:t xml:space="preserve">.tmp/cobblemon-1.7.3-source/common/src/main/resources/data/cobblemon/species/generation3/swellow.json</x:t>
        </x:is>
      </x:c>
      <x:c r="AF281" s="5" t="str">
        <x:f>"생활권|"&amp;K281</x:f>
        <x:v>생활권|비행</x:v>
      </x:c>
      <x:c r="AG281" s="5" t="str">
        <x:f>"지형|"&amp;L281</x:f>
        <x:v>지형|개활지</x:v>
      </x:c>
      <x:c r="AH281" s="5" t="str">
        <x:f>"온도|"&amp;M281</x:f>
        <x:v>온도|온대</x:v>
      </x:c>
      <x:c r="AI281" s="5" t="str">
        <x:f>"습도|"&amp;N281</x:f>
        <x:v>습도|보통</x:v>
      </x:c>
      <x:c r="AJ281" s="5" t="str">
        <x:f>"날씨|"&amp;O281</x:f>
        <x:v>날씨|무관</x:v>
      </x:c>
      <x:c r="AK281" s="5" t="str">
        <x:f>"특수태그|"&amp;R281</x:f>
        <x:v>특수태그|없음</x:v>
      </x:c>
      <x:c r="AL281" s="5" t="str">
        <x:f>"원본서식지|"&amp;S281</x:f>
        <x:v>원본서식지|</x:v>
      </x:c>
      <x:c r="AM281" s="5" t="str">
        <x:f>"타입|"&amp;F281</x:f>
        <x:v>타입|노말</x:v>
      </x:c>
      <x:c r="AN281" s="5" t="str">
        <x:f>"타입|"&amp;G281</x:f>
        <x:v>타입|비행</x:v>
      </x:c>
    </x:row>
    <x:row r="282" ht="24" customHeight="1">
      <x:c r="A282" s="5" t="n">
        <x:v>278</x:v>
      </x:c>
      <x:c r="B282" s="5" t="inlineStr">
        <x:is>
          <x:t xml:space="preserve">갈모매</x:t>
        </x:is>
      </x:c>
      <x:c r="C282" s="5" t="inlineStr">
        <x:is>
          <x:t xml:space="preserve">wingull</x:t>
        </x:is>
      </x:c>
      <x:c r="D282" s="5" t="inlineStr">
        <x:is>
          <x:t xml:space="preserve">Wingull</x:t>
        </x:is>
      </x:c>
      <x:c r="E282" s="5" t="n">
        <x:v>3</x:v>
      </x:c>
      <x:c r="F282" s="5" t="inlineStr">
        <x:is>
          <x:t xml:space="preserve">물</x:t>
        </x:is>
      </x:c>
      <x:c r="G282" s="5" t="inlineStr">
        <x:is>
          <x:t xml:space="preserve">비행</x:t>
        </x:is>
      </x:c>
      <x:c r="H282" s="6" t="n">
        <x:v>9.5</x:v>
      </x:c>
      <x:c r="I282" s="5" t="n">
        <x:v>25</x:v>
      </x:c>
      <x:c r="J282" s="5" t="inlineStr">
        <x:is>
          <x:t xml:space="preserve">기본</x:t>
        </x:is>
      </x:c>
      <x:c r="K282" s="7" t="inlineStr">
        <x:is>
          <x:t xml:space="preserve">해양</x:t>
        </x:is>
      </x:c>
      <x:c r="L282" s="7" t="inlineStr">
        <x:is>
          <x:t xml:space="preserve">해안·해양</x:t>
        </x:is>
      </x:c>
      <x:c r="M282" s="7" t="inlineStr">
        <x:is>
          <x:t xml:space="preserve">온대</x:t>
        </x:is>
      </x:c>
      <x:c r="N282" s="7" t="inlineStr">
        <x:is>
          <x:t xml:space="preserve">수중</x:t>
        </x:is>
      </x:c>
      <x:c r="O282" s="7" t="inlineStr">
        <x:is>
          <x:t xml:space="preserve">비</x:t>
        </x:is>
      </x:c>
      <x:c r="P282" s="7" t="inlineStr">
        <x:is>
          <x:t xml:space="preserve">낮</x:t>
        </x:is>
      </x:c>
      <x:c r="Q282" s="7" t="inlineStr">
        <x:is>
          <x:t xml:space="preserve">흔함</x:t>
        </x:is>
      </x:c>
      <x:c r="R282" s="7" t="inlineStr">
        <x:is>
          <x:t xml:space="preserve">없음</x:t>
        </x:is>
      </x:c>
      <x:c r="S282" s="7" t="inlineStr">
        <x:is>
          <x:t xml:space="preserve">해양</x:t>
        </x:is>
      </x:c>
      <x:c r="T282" s="7" t="inlineStr">
        <x:is>
          <x:t xml:space="preserve"/>
        </x:is>
      </x:c>
      <x:c r="U282" s="8" t="str">
        <x:f>INDEX('서식지_점수'!$E$4:$P$4,1,MATCH(MAX('서식지_점수'!E282:P282),'서식지_점수'!E282:P282,0))</x:f>
        <x:v>해양</x:v>
      </x:c>
      <x:c r="V282" s="8" t="str">
        <x:f>IF(T282&lt;&gt;"",T282,U282)</x:f>
        <x:v>해양</x:v>
      </x:c>
      <x:c r="W282" s="8" t="str">
        <x:f>IFERROR(INDEX('서식지_점수'!$E$4:$P$4,1,MATCH(MAXIFS('서식지_점수'!E282:P282,'서식지_점수'!E282:P282,"&lt;"&amp;MAX('서식지_점수'!E282:P282)),'서식지_점수'!E282:P282,0)),"")</x:f>
        <x:v>습지</x:v>
      </x:c>
      <x:c r="X282" s="8" t="str">
        <x:f>IF(T282&lt;&gt;"","수동확정",IF(MAX('서식지_점수'!E282:P282)-LARGE('서식지_점수'!E282:P282,2)&gt;=15,"높음",IF(MAX('서식지_점수'!E282:P282)-LARGE('서식지_점수'!E282:P282,2)&gt;=8,"보통","검토필요")))</x:f>
        <x:v>높음</x:v>
      </x:c>
      <x:c r="Y282" s="9" t="n">
        <x:f>IF(Q282="전설",8,IF(Q282="희귀",7,IF(J282="기본",1,IF(J282="중간",3,IF(J282="최종",IF(I282="",5,IF(I282&lt;=20,3,IF(I282&lt;=35,4,IF(I282&lt;=50,6,7)))),IF(Q282="드묾",4,2))))))</x:f>
        <x:v>1</x:v>
      </x:c>
      <x:c r="Z282" s="5" t="inlineStr">
        <x:is>
          <x:t xml:space="preserve">#cobblemon:is_coast; #cobblemon:is_ocean; #cobblemon:is_sky; #cobblemon:is_tropical_island</x:t>
        </x:is>
      </x:c>
      <x:c r="AA282" s="5" t="inlineStr">
        <x:is>
          <x:t xml:space="preserve">common</x:t>
        </x:is>
      </x:c>
      <x:c r="AB282" s="5" t="inlineStr">
        <x:is>
          <x:t xml:space="preserve">예</x:t>
        </x:is>
      </x:c>
      <x:c r="AC282" s="8" t="str">
        <x:f>IF(T282&lt;&gt;"","수동확정",IF(X282="검토필요","검토필요",IF(S282="","원본없음","초기완료")))</x:f>
        <x:v>초기완료</x:v>
      </x:c>
      <x:c r="AD282" s="7" t="inlineStr">
        <x:is>
          <x:t xml:space="preserve"/>
        </x:is>
      </x:c>
      <x:c r="AE282" s="5" t="inlineStr">
        <x:is>
          <x:t xml:space="preserve">.tmp/cobblemon-1.7.3-source/common/src/main/resources/data/cobblemon/species/generation3/wingull.json</x:t>
        </x:is>
      </x:c>
      <x:c r="AF282" s="5" t="str">
        <x:f>"생활권|"&amp;K282</x:f>
        <x:v>생활권|해양</x:v>
      </x:c>
      <x:c r="AG282" s="5" t="str">
        <x:f>"지형|"&amp;L282</x:f>
        <x:v>지형|해안·해양</x:v>
      </x:c>
      <x:c r="AH282" s="5" t="str">
        <x:f>"온도|"&amp;M282</x:f>
        <x:v>온도|온대</x:v>
      </x:c>
      <x:c r="AI282" s="5" t="str">
        <x:f>"습도|"&amp;N282</x:f>
        <x:v>습도|수중</x:v>
      </x:c>
      <x:c r="AJ282" s="5" t="str">
        <x:f>"날씨|"&amp;O282</x:f>
        <x:v>날씨|비</x:v>
      </x:c>
      <x:c r="AK282" s="5" t="str">
        <x:f>"특수태그|"&amp;R282</x:f>
        <x:v>특수태그|없음</x:v>
      </x:c>
      <x:c r="AL282" s="5" t="str">
        <x:f>"원본서식지|"&amp;S282</x:f>
        <x:v>원본서식지|해양</x:v>
      </x:c>
      <x:c r="AM282" s="5" t="str">
        <x:f>"타입|"&amp;F282</x:f>
        <x:v>타입|물</x:v>
      </x:c>
      <x:c r="AN282" s="5" t="str">
        <x:f>"타입|"&amp;G282</x:f>
        <x:v>타입|비행</x:v>
      </x:c>
    </x:row>
    <x:row r="283" ht="24" customHeight="1">
      <x:c r="A283" s="5" t="n">
        <x:v>279</x:v>
      </x:c>
      <x:c r="B283" s="5" t="inlineStr">
        <x:is>
          <x:t xml:space="preserve">패리퍼</x:t>
        </x:is>
      </x:c>
      <x:c r="C283" s="5" t="inlineStr">
        <x:is>
          <x:t xml:space="preserve">pelipper</x:t>
        </x:is>
      </x:c>
      <x:c r="D283" s="5" t="inlineStr">
        <x:is>
          <x:t xml:space="preserve">Pelipper</x:t>
        </x:is>
      </x:c>
      <x:c r="E283" s="5" t="n">
        <x:v>3</x:v>
      </x:c>
      <x:c r="F283" s="5" t="inlineStr">
        <x:is>
          <x:t xml:space="preserve">물</x:t>
        </x:is>
      </x:c>
      <x:c r="G283" s="5" t="inlineStr">
        <x:is>
          <x:t xml:space="preserve">비행</x:t>
        </x:is>
      </x:c>
      <x:c r="H283" s="6" t="n">
        <x:v>28</x:v>
      </x:c>
      <x:c r="I283" s="5" t="n">
        <x:v>25</x:v>
      </x:c>
      <x:c r="J283" s="5" t="inlineStr">
        <x:is>
          <x:t xml:space="preserve">최종</x:t>
        </x:is>
      </x:c>
      <x:c r="K283" s="7" t="inlineStr">
        <x:is>
          <x:t xml:space="preserve">해양</x:t>
        </x:is>
      </x:c>
      <x:c r="L283" s="7" t="inlineStr">
        <x:is>
          <x:t xml:space="preserve">해안·해양</x:t>
        </x:is>
      </x:c>
      <x:c r="M283" s="7" t="inlineStr">
        <x:is>
          <x:t xml:space="preserve">온대</x:t>
        </x:is>
      </x:c>
      <x:c r="N283" s="7" t="inlineStr">
        <x:is>
          <x:t xml:space="preserve">수중</x:t>
        </x:is>
      </x:c>
      <x:c r="O283" s="7" t="inlineStr">
        <x:is>
          <x:t xml:space="preserve">비</x:t>
        </x:is>
      </x:c>
      <x:c r="P283" s="7" t="inlineStr">
        <x:is>
          <x:t xml:space="preserve">낮</x:t>
        </x:is>
      </x:c>
      <x:c r="Q283" s="7" t="inlineStr">
        <x:is>
          <x:t xml:space="preserve">흔함</x:t>
        </x:is>
      </x:c>
      <x:c r="R283" s="7" t="inlineStr">
        <x:is>
          <x:t xml:space="preserve">없음</x:t>
        </x:is>
      </x:c>
      <x:c r="S283" s="7" t="inlineStr">
        <x:is>
          <x:t xml:space="preserve">해양</x:t>
        </x:is>
      </x:c>
      <x:c r="T283" s="7" t="inlineStr">
        <x:is>
          <x:t xml:space="preserve"/>
        </x:is>
      </x:c>
      <x:c r="U283" s="8" t="str">
        <x:f>INDEX('서식지_점수'!$E$4:$P$4,1,MATCH(MAX('서식지_점수'!E283:P283),'서식지_점수'!E283:P283,0))</x:f>
        <x:v>해양</x:v>
      </x:c>
      <x:c r="V283" s="8" t="str">
        <x:f>IF(T283&lt;&gt;"",T283,U283)</x:f>
        <x:v>해양</x:v>
      </x:c>
      <x:c r="W283" s="8" t="str">
        <x:f>IFERROR(INDEX('서식지_점수'!$E$4:$P$4,1,MATCH(MAXIFS('서식지_점수'!E283:P283,'서식지_점수'!E283:P283,"&lt;"&amp;MAX('서식지_점수'!E283:P283)),'서식지_점수'!E283:P283,0)),"")</x:f>
        <x:v>습지</x:v>
      </x:c>
      <x:c r="X283" s="8" t="str">
        <x:f>IF(T283&lt;&gt;"","수동확정",IF(MAX('서식지_점수'!E283:P283)-LARGE('서식지_점수'!E283:P283,2)&gt;=15,"높음",IF(MAX('서식지_점수'!E283:P283)-LARGE('서식지_점수'!E283:P283,2)&gt;=8,"보통","검토필요")))</x:f>
        <x:v>높음</x:v>
      </x:c>
      <x:c r="Y283" s="9" t="n">
        <x:f>IF(Q283="전설",8,IF(Q283="희귀",7,IF(J283="기본",1,IF(J283="중간",3,IF(J283="최종",IF(I283="",5,IF(I283&lt;=20,3,IF(I283&lt;=35,4,IF(I283&lt;=50,6,7)))),IF(Q283="드묾",4,2))))))</x:f>
        <x:v>4</x:v>
      </x:c>
      <x:c r="Z283" s="5" t="inlineStr">
        <x:is>
          <x:t xml:space="preserve">#cobblemon:is_coast; #cobblemon:is_ocean; #cobblemon:is_sky; #cobblemon:is_tropical_island</x:t>
        </x:is>
      </x:c>
      <x:c r="AA283" s="5" t="inlineStr">
        <x:is>
          <x:t xml:space="preserve">common</x:t>
        </x:is>
      </x:c>
      <x:c r="AB283" s="5" t="inlineStr">
        <x:is>
          <x:t xml:space="preserve">예</x:t>
        </x:is>
      </x:c>
      <x:c r="AC283" s="8" t="str">
        <x:f>IF(T283&lt;&gt;"","수동확정",IF(X283="검토필요","검토필요",IF(S283="","원본없음","초기완료")))</x:f>
        <x:v>초기완료</x:v>
      </x:c>
      <x:c r="AD283" s="7" t="inlineStr">
        <x:is>
          <x:t xml:space="preserve"/>
        </x:is>
      </x:c>
      <x:c r="AE283" s="5" t="inlineStr">
        <x:is>
          <x:t xml:space="preserve">.tmp/cobblemon-1.7.3-source/common/src/main/resources/data/cobblemon/species/generation3/pelipper.json</x:t>
        </x:is>
      </x:c>
      <x:c r="AF283" s="5" t="str">
        <x:f>"생활권|"&amp;K283</x:f>
        <x:v>생활권|해양</x:v>
      </x:c>
      <x:c r="AG283" s="5" t="str">
        <x:f>"지형|"&amp;L283</x:f>
        <x:v>지형|해안·해양</x:v>
      </x:c>
      <x:c r="AH283" s="5" t="str">
        <x:f>"온도|"&amp;M283</x:f>
        <x:v>온도|온대</x:v>
      </x:c>
      <x:c r="AI283" s="5" t="str">
        <x:f>"습도|"&amp;N283</x:f>
        <x:v>습도|수중</x:v>
      </x:c>
      <x:c r="AJ283" s="5" t="str">
        <x:f>"날씨|"&amp;O283</x:f>
        <x:v>날씨|비</x:v>
      </x:c>
      <x:c r="AK283" s="5" t="str">
        <x:f>"특수태그|"&amp;R283</x:f>
        <x:v>특수태그|없음</x:v>
      </x:c>
      <x:c r="AL283" s="5" t="str">
        <x:f>"원본서식지|"&amp;S283</x:f>
        <x:v>원본서식지|해양</x:v>
      </x:c>
      <x:c r="AM283" s="5" t="str">
        <x:f>"타입|"&amp;F283</x:f>
        <x:v>타입|물</x:v>
      </x:c>
      <x:c r="AN283" s="5" t="str">
        <x:f>"타입|"&amp;G283</x:f>
        <x:v>타입|비행</x:v>
      </x:c>
    </x:row>
    <x:row r="284" ht="24" customHeight="1">
      <x:c r="A284" s="5" t="n">
        <x:v>280</x:v>
      </x:c>
      <x:c r="B284" s="5" t="inlineStr">
        <x:is>
          <x:t xml:space="preserve">랄토스</x:t>
        </x:is>
      </x:c>
      <x:c r="C284" s="5" t="inlineStr">
        <x:is>
          <x:t xml:space="preserve">ralts</x:t>
        </x:is>
      </x:c>
      <x:c r="D284" s="5" t="inlineStr">
        <x:is>
          <x:t xml:space="preserve">Ralts</x:t>
        </x:is>
      </x:c>
      <x:c r="E284" s="5" t="n">
        <x:v>3</x:v>
      </x:c>
      <x:c r="F284" s="5" t="inlineStr">
        <x:is>
          <x:t xml:space="preserve">에스퍼</x:t>
        </x:is>
      </x:c>
      <x:c r="G284" s="5" t="inlineStr">
        <x:is>
          <x:t xml:space="preserve">페어리</x:t>
        </x:is>
      </x:c>
      <x:c r="H284" s="6" t="n">
        <x:v>6.6</x:v>
      </x:c>
      <x:c r="I284" s="5" t="n">
        <x:v>30</x:v>
      </x:c>
      <x:c r="J284" s="5" t="inlineStr">
        <x:is>
          <x:t xml:space="preserve">기본</x:t>
        </x:is>
      </x:c>
      <x:c r="K284" s="7" t="inlineStr">
        <x:is>
          <x:t xml:space="preserve">육상</x:t>
        </x:is>
      </x:c>
      <x:c r="L284" s="7" t="inlineStr">
        <x:is>
          <x:t xml:space="preserve">수목</x:t>
        </x:is>
      </x:c>
      <x:c r="M284" s="7" t="inlineStr">
        <x:is>
          <x:t xml:space="preserve">온대</x:t>
        </x:is>
      </x:c>
      <x:c r="N284" s="7" t="inlineStr">
        <x:is>
          <x:t xml:space="preserve">보통</x:t>
        </x:is>
      </x:c>
      <x:c r="O284" s="7" t="inlineStr">
        <x:is>
          <x:t xml:space="preserve">무관</x:t>
        </x:is>
      </x:c>
      <x:c r="P284" s="7" t="inlineStr">
        <x:is>
          <x:t xml:space="preserve">무관</x:t>
        </x:is>
      </x:c>
      <x:c r="Q284" s="7" t="inlineStr">
        <x:is>
          <x:t xml:space="preserve">흔함</x:t>
        </x:is>
      </x:c>
      <x:c r="R284" s="7" t="inlineStr">
        <x:is>
          <x:t xml:space="preserve">없음</x:t>
        </x:is>
      </x:c>
      <x:c r="S284" s="7" t="inlineStr">
        <x:is>
          <x:t xml:space="preserve">숲</x:t>
        </x:is>
      </x:c>
      <x:c r="T284" s="7" t="inlineStr">
        <x:is>
          <x:t xml:space="preserve"/>
        </x:is>
      </x:c>
      <x:c r="U284" s="8" t="str">
        <x:f>INDEX('서식지_점수'!$E$4:$P$4,1,MATCH(MAX('서식지_점수'!E284:P284),'서식지_점수'!E284:P284,0))</x:f>
        <x:v>평원</x:v>
      </x:c>
      <x:c r="V284" s="8" t="str">
        <x:f>IF(T284&lt;&gt;"",T284,U284)</x:f>
        <x:v>평원</x:v>
      </x:c>
      <x:c r="W284" s="8" t="str">
        <x:f>IFERROR(INDEX('서식지_점수'!$E$4:$P$4,1,MATCH(MAXIFS('서식지_점수'!E284:P284,'서식지_점수'!E284:P284,"&lt;"&amp;MAX('서식지_점수'!E284:P284)),'서식지_점수'!E284:P284,0)),"")</x:f>
        <x:v>숲</x:v>
      </x:c>
      <x:c r="X284" s="8" t="str">
        <x:f>IF(T284&lt;&gt;"","수동확정",IF(MAX('서식지_점수'!E284:P284)-LARGE('서식지_점수'!E284:P284,2)&gt;=15,"높음",IF(MAX('서식지_점수'!E284:P284)-LARGE('서식지_점수'!E284:P284,2)&gt;=8,"보통","검토필요")))</x:f>
        <x:v>검토필요</x:v>
      </x:c>
      <x:c r="Y284" s="9" t="n">
        <x:f>IF(Q284="전설",8,IF(Q284="희귀",7,IF(J284="기본",1,IF(J284="중간",3,IF(J284="최종",IF(I284="",5,IF(I284&lt;=20,3,IF(I284&lt;=35,4,IF(I284&lt;=50,6,7)))),IF(Q284="드묾",4,2))))))</x:f>
        <x:v>1</x:v>
      </x:c>
      <x:c r="Z284" s="5" t="inlineStr">
        <x:is>
          <x:t xml:space="preserve">#cobblemon:is_floral; #cobblemon:is_magical; #cobblemon:is_overworld; #cobblemon:is_snowy_forest; aether:skyroot_grove; aether:skyroot_meadow</x:t>
        </x:is>
      </x:c>
      <x:c r="AA284" s="5" t="inlineStr">
        <x:is>
          <x:t xml:space="preserve">common; rare</x:t>
        </x:is>
      </x:c>
      <x:c r="AB284" s="5" t="inlineStr">
        <x:is>
          <x:t xml:space="preserve">예</x:t>
        </x:is>
      </x:c>
      <x:c r="AC284" s="8" t="str">
        <x:f>IF(T284&lt;&gt;"","수동확정",IF(X284="검토필요","검토필요",IF(S284="","원본없음","초기완료")))</x:f>
        <x:v>검토필요</x:v>
      </x:c>
      <x:c r="AD284" s="7" t="inlineStr">
        <x:is>
          <x:t xml:space="preserve"/>
        </x:is>
      </x:c>
      <x:c r="AE284" s="5" t="inlineStr">
        <x:is>
          <x:t xml:space="preserve">.tmp/cobblemon-1.7.3-source/common/src/main/resources/data/cobblemon/species/generation3/ralts.json</x:t>
        </x:is>
      </x:c>
      <x:c r="AF284" s="5" t="str">
        <x:f>"생활권|"&amp;K284</x:f>
        <x:v>생활권|육상</x:v>
      </x:c>
      <x:c r="AG284" s="5" t="str">
        <x:f>"지형|"&amp;L284</x:f>
        <x:v>지형|수목</x:v>
      </x:c>
      <x:c r="AH284" s="5" t="str">
        <x:f>"온도|"&amp;M284</x:f>
        <x:v>온도|온대</x:v>
      </x:c>
      <x:c r="AI284" s="5" t="str">
        <x:f>"습도|"&amp;N284</x:f>
        <x:v>습도|보통</x:v>
      </x:c>
      <x:c r="AJ284" s="5" t="str">
        <x:f>"날씨|"&amp;O284</x:f>
        <x:v>날씨|무관</x:v>
      </x:c>
      <x:c r="AK284" s="5" t="str">
        <x:f>"특수태그|"&amp;R284</x:f>
        <x:v>특수태그|없음</x:v>
      </x:c>
      <x:c r="AL284" s="5" t="str">
        <x:f>"원본서식지|"&amp;S284</x:f>
        <x:v>원본서식지|숲</x:v>
      </x:c>
      <x:c r="AM284" s="5" t="str">
        <x:f>"타입|"&amp;F284</x:f>
        <x:v>타입|에스퍼</x:v>
      </x:c>
      <x:c r="AN284" s="5" t="str">
        <x:f>"타입|"&amp;G284</x:f>
        <x:v>타입|페어리</x:v>
      </x:c>
    </x:row>
    <x:row r="285" ht="24" customHeight="1">
      <x:c r="A285" s="5" t="n">
        <x:v>281</x:v>
      </x:c>
      <x:c r="B285" s="5" t="inlineStr">
        <x:is>
          <x:t xml:space="preserve">킬리아</x:t>
        </x:is>
      </x:c>
      <x:c r="C285" s="5" t="inlineStr">
        <x:is>
          <x:t xml:space="preserve">kirlia</x:t>
        </x:is>
      </x:c>
      <x:c r="D285" s="5" t="inlineStr">
        <x:is>
          <x:t xml:space="preserve">Kirlia</x:t>
        </x:is>
      </x:c>
      <x:c r="E285" s="5" t="n">
        <x:v>3</x:v>
      </x:c>
      <x:c r="F285" s="5" t="inlineStr">
        <x:is>
          <x:t xml:space="preserve">에스퍼</x:t>
        </x:is>
      </x:c>
      <x:c r="G285" s="5" t="inlineStr">
        <x:is>
          <x:t xml:space="preserve">페어리</x:t>
        </x:is>
      </x:c>
      <x:c r="H285" s="6" t="n">
        <x:v>20.2</x:v>
      </x:c>
      <x:c r="I285" s="5" t="n">
        <x:v>30</x:v>
      </x:c>
      <x:c r="J285" s="5" t="inlineStr">
        <x:is>
          <x:t xml:space="preserve">중간</x:t>
        </x:is>
      </x:c>
      <x:c r="K285" s="7" t="inlineStr">
        <x:is>
          <x:t xml:space="preserve">육상</x:t>
        </x:is>
      </x:c>
      <x:c r="L285" s="7" t="inlineStr">
        <x:is>
          <x:t xml:space="preserve">수목</x:t>
        </x:is>
      </x:c>
      <x:c r="M285" s="7" t="inlineStr">
        <x:is>
          <x:t xml:space="preserve">온대</x:t>
        </x:is>
      </x:c>
      <x:c r="N285" s="7" t="inlineStr">
        <x:is>
          <x:t xml:space="preserve">보통</x:t>
        </x:is>
      </x:c>
      <x:c r="O285" s="7" t="inlineStr">
        <x:is>
          <x:t xml:space="preserve">무관</x:t>
        </x:is>
      </x:c>
      <x:c r="P285" s="7" t="inlineStr">
        <x:is>
          <x:t xml:space="preserve">무관</x:t>
        </x:is>
      </x:c>
      <x:c r="Q285" s="7" t="inlineStr">
        <x:is>
          <x:t xml:space="preserve">흔함</x:t>
        </x:is>
      </x:c>
      <x:c r="R285" s="7" t="inlineStr">
        <x:is>
          <x:t xml:space="preserve">없음</x:t>
        </x:is>
      </x:c>
      <x:c r="S285" s="7" t="inlineStr">
        <x:is>
          <x:t xml:space="preserve">숲</x:t>
        </x:is>
      </x:c>
      <x:c r="T285" s="7" t="inlineStr">
        <x:is>
          <x:t xml:space="preserve"/>
        </x:is>
      </x:c>
      <x:c r="U285" s="8" t="str">
        <x:f>INDEX('서식지_점수'!$E$4:$P$4,1,MATCH(MAX('서식지_점수'!E285:P285),'서식지_점수'!E285:P285,0))</x:f>
        <x:v>평원</x:v>
      </x:c>
      <x:c r="V285" s="8" t="str">
        <x:f>IF(T285&lt;&gt;"",T285,U285)</x:f>
        <x:v>평원</x:v>
      </x:c>
      <x:c r="W285" s="8" t="str">
        <x:f>IFERROR(INDEX('서식지_점수'!$E$4:$P$4,1,MATCH(MAXIFS('서식지_점수'!E285:P285,'서식지_점수'!E285:P285,"&lt;"&amp;MAX('서식지_점수'!E285:P285)),'서식지_점수'!E285:P285,0)),"")</x:f>
        <x:v>숲</x:v>
      </x:c>
      <x:c r="X285" s="8" t="str">
        <x:f>IF(T285&lt;&gt;"","수동확정",IF(MAX('서식지_점수'!E285:P285)-LARGE('서식지_점수'!E285:P285,2)&gt;=15,"높음",IF(MAX('서식지_점수'!E285:P285)-LARGE('서식지_점수'!E285:P285,2)&gt;=8,"보통","검토필요")))</x:f>
        <x:v>검토필요</x:v>
      </x:c>
      <x:c r="Y285" s="9" t="n">
        <x:f>IF(Q285="전설",8,IF(Q285="희귀",7,IF(J285="기본",1,IF(J285="중간",3,IF(J285="최종",IF(I285="",5,IF(I285&lt;=20,3,IF(I285&lt;=35,4,IF(I285&lt;=50,6,7)))),IF(Q285="드묾",4,2))))))</x:f>
        <x:v>3</x:v>
      </x:c>
      <x:c r="Z285" s="5" t="inlineStr">
        <x:is>
          <x:t xml:space="preserve">#cobblemon:is_floral; #cobblemon:is_magical; #cobblemon:is_overworld; #cobblemon:is_snowy_forest; aether:skyroot_grove; aether:skyroot_meadow</x:t>
        </x:is>
      </x:c>
      <x:c r="AA285" s="5" t="inlineStr">
        <x:is>
          <x:t xml:space="preserve">common; rare</x:t>
        </x:is>
      </x:c>
      <x:c r="AB285" s="5" t="inlineStr">
        <x:is>
          <x:t xml:space="preserve">예</x:t>
        </x:is>
      </x:c>
      <x:c r="AC285" s="8" t="str">
        <x:f>IF(T285&lt;&gt;"","수동확정",IF(X285="검토필요","검토필요",IF(S285="","원본없음","초기완료")))</x:f>
        <x:v>검토필요</x:v>
      </x:c>
      <x:c r="AD285" s="7" t="inlineStr">
        <x:is>
          <x:t xml:space="preserve"/>
        </x:is>
      </x:c>
      <x:c r="AE285" s="5" t="inlineStr">
        <x:is>
          <x:t xml:space="preserve">.tmp/cobblemon-1.7.3-source/common/src/main/resources/data/cobblemon/species/generation3/kirlia.json</x:t>
        </x:is>
      </x:c>
      <x:c r="AF285" s="5" t="str">
        <x:f>"생활권|"&amp;K285</x:f>
        <x:v>생활권|육상</x:v>
      </x:c>
      <x:c r="AG285" s="5" t="str">
        <x:f>"지형|"&amp;L285</x:f>
        <x:v>지형|수목</x:v>
      </x:c>
      <x:c r="AH285" s="5" t="str">
        <x:f>"온도|"&amp;M285</x:f>
        <x:v>온도|온대</x:v>
      </x:c>
      <x:c r="AI285" s="5" t="str">
        <x:f>"습도|"&amp;N285</x:f>
        <x:v>습도|보통</x:v>
      </x:c>
      <x:c r="AJ285" s="5" t="str">
        <x:f>"날씨|"&amp;O285</x:f>
        <x:v>날씨|무관</x:v>
      </x:c>
      <x:c r="AK285" s="5" t="str">
        <x:f>"특수태그|"&amp;R285</x:f>
        <x:v>특수태그|없음</x:v>
      </x:c>
      <x:c r="AL285" s="5" t="str">
        <x:f>"원본서식지|"&amp;S285</x:f>
        <x:v>원본서식지|숲</x:v>
      </x:c>
      <x:c r="AM285" s="5" t="str">
        <x:f>"타입|"&amp;F285</x:f>
        <x:v>타입|에스퍼</x:v>
      </x:c>
      <x:c r="AN285" s="5" t="str">
        <x:f>"타입|"&amp;G285</x:f>
        <x:v>타입|페어리</x:v>
      </x:c>
    </x:row>
    <x:row r="286" ht="24" customHeight="1">
      <x:c r="A286" s="5" t="n">
        <x:v>282</x:v>
      </x:c>
      <x:c r="B286" s="5" t="inlineStr">
        <x:is>
          <x:t xml:space="preserve">가디안</x:t>
        </x:is>
      </x:c>
      <x:c r="C286" s="5" t="inlineStr">
        <x:is>
          <x:t xml:space="preserve">gardevoir</x:t>
        </x:is>
      </x:c>
      <x:c r="D286" s="5" t="inlineStr">
        <x:is>
          <x:t xml:space="preserve">Gardevoir</x:t>
        </x:is>
      </x:c>
      <x:c r="E286" s="5" t="n">
        <x:v>3</x:v>
      </x:c>
      <x:c r="F286" s="5" t="inlineStr">
        <x:is>
          <x:t xml:space="preserve">에스퍼</x:t>
        </x:is>
      </x:c>
      <x:c r="G286" s="5" t="inlineStr">
        <x:is>
          <x:t xml:space="preserve">페어리</x:t>
        </x:is>
      </x:c>
      <x:c r="H286" s="6" t="n">
        <x:v>48.4</x:v>
      </x:c>
      <x:c r="I286" s="5" t="n">
        <x:v>30</x:v>
      </x:c>
      <x:c r="J286" s="5" t="inlineStr">
        <x:is>
          <x:t xml:space="preserve">최종</x:t>
        </x:is>
      </x:c>
      <x:c r="K286" s="7" t="inlineStr">
        <x:is>
          <x:t xml:space="preserve">육상</x:t>
        </x:is>
      </x:c>
      <x:c r="L286" s="7" t="inlineStr">
        <x:is>
          <x:t xml:space="preserve">수목</x:t>
        </x:is>
      </x:c>
      <x:c r="M286" s="7" t="inlineStr">
        <x:is>
          <x:t xml:space="preserve">온대</x:t>
        </x:is>
      </x:c>
      <x:c r="N286" s="7" t="inlineStr">
        <x:is>
          <x:t xml:space="preserve">보통</x:t>
        </x:is>
      </x:c>
      <x:c r="O286" s="7" t="inlineStr">
        <x:is>
          <x:t xml:space="preserve">무관</x:t>
        </x:is>
      </x:c>
      <x:c r="P286" s="7" t="inlineStr">
        <x:is>
          <x:t xml:space="preserve">무관</x:t>
        </x:is>
      </x:c>
      <x:c r="Q286" s="7" t="inlineStr">
        <x:is>
          <x:t xml:space="preserve">흔함</x:t>
        </x:is>
      </x:c>
      <x:c r="R286" s="7" t="inlineStr">
        <x:is>
          <x:t xml:space="preserve">없음</x:t>
        </x:is>
      </x:c>
      <x:c r="S286" s="7" t="inlineStr">
        <x:is>
          <x:t xml:space="preserve">숲</x:t>
        </x:is>
      </x:c>
      <x:c r="T286" s="7" t="inlineStr">
        <x:is>
          <x:t xml:space="preserve"/>
        </x:is>
      </x:c>
      <x:c r="U286" s="8" t="str">
        <x:f>INDEX('서식지_점수'!$E$4:$P$4,1,MATCH(MAX('서식지_점수'!E286:P286),'서식지_점수'!E286:P286,0))</x:f>
        <x:v>평원</x:v>
      </x:c>
      <x:c r="V286" s="8" t="str">
        <x:f>IF(T286&lt;&gt;"",T286,U286)</x:f>
        <x:v>평원</x:v>
      </x:c>
      <x:c r="W286" s="8" t="str">
        <x:f>IFERROR(INDEX('서식지_점수'!$E$4:$P$4,1,MATCH(MAXIFS('서식지_점수'!E286:P286,'서식지_점수'!E286:P286,"&lt;"&amp;MAX('서식지_점수'!E286:P286)),'서식지_점수'!E286:P286,0)),"")</x:f>
        <x:v>숲</x:v>
      </x:c>
      <x:c r="X286" s="8" t="str">
        <x:f>IF(T286&lt;&gt;"","수동확정",IF(MAX('서식지_점수'!E286:P286)-LARGE('서식지_점수'!E286:P286,2)&gt;=15,"높음",IF(MAX('서식지_점수'!E286:P286)-LARGE('서식지_점수'!E286:P286,2)&gt;=8,"보통","검토필요")))</x:f>
        <x:v>검토필요</x:v>
      </x:c>
      <x:c r="Y286" s="9" t="n">
        <x:f>IF(Q286="전설",8,IF(Q286="희귀",7,IF(J286="기본",1,IF(J286="중간",3,IF(J286="최종",IF(I286="",5,IF(I286&lt;=20,3,IF(I286&lt;=35,4,IF(I286&lt;=50,6,7)))),IF(Q286="드묾",4,2))))))</x:f>
        <x:v>4</x:v>
      </x:c>
      <x:c r="Z286" s="5" t="inlineStr">
        <x:is>
          <x:t xml:space="preserve">#cobblemon:is_floral; #cobblemon:is_magical; #cobblemon:is_overworld; #cobblemon:is_snowy_forest; aether:skyroot_grove; aether:skyroot_meadow</x:t>
        </x:is>
      </x:c>
      <x:c r="AA286" s="5" t="inlineStr">
        <x:is>
          <x:t xml:space="preserve">common; rare</x:t>
        </x:is>
      </x:c>
      <x:c r="AB286" s="5" t="inlineStr">
        <x:is>
          <x:t xml:space="preserve">예</x:t>
        </x:is>
      </x:c>
      <x:c r="AC286" s="8" t="str">
        <x:f>IF(T286&lt;&gt;"","수동확정",IF(X286="검토필요","검토필요",IF(S286="","원본없음","초기완료")))</x:f>
        <x:v>검토필요</x:v>
      </x:c>
      <x:c r="AD286" s="7" t="inlineStr">
        <x:is>
          <x:t xml:space="preserve"/>
        </x:is>
      </x:c>
      <x:c r="AE286" s="5" t="inlineStr">
        <x:is>
          <x:t xml:space="preserve">.tmp/cobblemon-1.7.3-source/common/src/main/resources/data/cobblemon/species/generation3/gardevoir.json</x:t>
        </x:is>
      </x:c>
      <x:c r="AF286" s="5" t="str">
        <x:f>"생활권|"&amp;K286</x:f>
        <x:v>생활권|육상</x:v>
      </x:c>
      <x:c r="AG286" s="5" t="str">
        <x:f>"지형|"&amp;L286</x:f>
        <x:v>지형|수목</x:v>
      </x:c>
      <x:c r="AH286" s="5" t="str">
        <x:f>"온도|"&amp;M286</x:f>
        <x:v>온도|온대</x:v>
      </x:c>
      <x:c r="AI286" s="5" t="str">
        <x:f>"습도|"&amp;N286</x:f>
        <x:v>습도|보통</x:v>
      </x:c>
      <x:c r="AJ286" s="5" t="str">
        <x:f>"날씨|"&amp;O286</x:f>
        <x:v>날씨|무관</x:v>
      </x:c>
      <x:c r="AK286" s="5" t="str">
        <x:f>"특수태그|"&amp;R286</x:f>
        <x:v>특수태그|없음</x:v>
      </x:c>
      <x:c r="AL286" s="5" t="str">
        <x:f>"원본서식지|"&amp;S286</x:f>
        <x:v>원본서식지|숲</x:v>
      </x:c>
      <x:c r="AM286" s="5" t="str">
        <x:f>"타입|"&amp;F286</x:f>
        <x:v>타입|에스퍼</x:v>
      </x:c>
      <x:c r="AN286" s="5" t="str">
        <x:f>"타입|"&amp;G286</x:f>
        <x:v>타입|페어리</x:v>
      </x:c>
    </x:row>
    <x:row r="287" ht="24" customHeight="1">
      <x:c r="A287" s="5" t="n">
        <x:v>283</x:v>
      </x:c>
      <x:c r="B287" s="5" t="inlineStr">
        <x:is>
          <x:t xml:space="preserve">비구술</x:t>
        </x:is>
      </x:c>
      <x:c r="C287" s="5" t="inlineStr">
        <x:is>
          <x:t xml:space="preserve">surskit</x:t>
        </x:is>
      </x:c>
      <x:c r="D287" s="5" t="inlineStr">
        <x:is>
          <x:t xml:space="preserve">Surskit</x:t>
        </x:is>
      </x:c>
      <x:c r="E287" s="5" t="n">
        <x:v>3</x:v>
      </x:c>
      <x:c r="F287" s="5" t="inlineStr">
        <x:is>
          <x:t xml:space="preserve">벌레</x:t>
        </x:is>
      </x:c>
      <x:c r="G287" s="5" t="inlineStr">
        <x:is>
          <x:t xml:space="preserve">물</x:t>
        </x:is>
      </x:c>
      <x:c r="H287" s="6" t="n">
        <x:v>1.7</x:v>
      </x:c>
      <x:c r="I287" s="5" t="n">
        <x:v>22</x:v>
      </x:c>
      <x:c r="J287" s="5" t="inlineStr">
        <x:is>
          <x:t xml:space="preserve">기본</x:t>
        </x:is>
      </x:c>
      <x:c r="K287" s="7" t="inlineStr">
        <x:is>
          <x:t xml:space="preserve">담수</x:t>
        </x:is>
      </x:c>
      <x:c r="L287" s="7" t="inlineStr">
        <x:is>
          <x:t xml:space="preserve">담수</x:t>
        </x:is>
      </x:c>
      <x:c r="M287" s="7" t="inlineStr">
        <x:is>
          <x:t xml:space="preserve">온대</x:t>
        </x:is>
      </x:c>
      <x:c r="N287" s="7" t="inlineStr">
        <x:is>
          <x:t xml:space="preserve">수중</x:t>
        </x:is>
      </x:c>
      <x:c r="O287" s="7" t="inlineStr">
        <x:is>
          <x:t xml:space="preserve">비</x:t>
        </x:is>
      </x:c>
      <x:c r="P287" s="7" t="inlineStr">
        <x:is>
          <x:t xml:space="preserve">무관</x:t>
        </x:is>
      </x:c>
      <x:c r="Q287" s="7" t="inlineStr">
        <x:is>
          <x:t xml:space="preserve">보통</x:t>
        </x:is>
      </x:c>
      <x:c r="R287" s="7" t="inlineStr">
        <x:is>
          <x:t xml:space="preserve">없음</x:t>
        </x:is>
      </x:c>
      <x:c r="S287" s="7" t="inlineStr">
        <x:is>
          <x:t xml:space="preserve">담수</x:t>
        </x:is>
      </x:c>
      <x:c r="T287" s="7" t="inlineStr">
        <x:is>
          <x:t xml:space="preserve"/>
        </x:is>
      </x:c>
      <x:c r="U287" s="8" t="str">
        <x:f>INDEX('서식지_점수'!$E$4:$P$4,1,MATCH(MAX('서식지_점수'!E287:P287),'서식지_점수'!E287:P287,0))</x:f>
        <x:v>담수</x:v>
      </x:c>
      <x:c r="V287" s="8" t="str">
        <x:f>IF(T287&lt;&gt;"",T287,U287)</x:f>
        <x:v>담수</x:v>
      </x:c>
      <x:c r="W287" s="8" t="str">
        <x:f>IFERROR(INDEX('서식지_점수'!$E$4:$P$4,1,MATCH(MAXIFS('서식지_점수'!E287:P287,'서식지_점수'!E287:P287,"&lt;"&amp;MAX('서식지_점수'!E287:P287)),'서식지_점수'!E287:P287,0)),"")</x:f>
        <x:v>습지</x:v>
      </x:c>
      <x:c r="X287" s="8" t="str">
        <x:f>IF(T287&lt;&gt;"","수동확정",IF(MAX('서식지_점수'!E287:P287)-LARGE('서식지_점수'!E287:P287,2)&gt;=15,"높음",IF(MAX('서식지_점수'!E287:P287)-LARGE('서식지_점수'!E287:P287,2)&gt;=8,"보통","검토필요")))</x:f>
        <x:v>높음</x:v>
      </x:c>
      <x:c r="Y287" s="9" t="n">
        <x:f>IF(Q287="전설",8,IF(Q287="희귀",7,IF(J287="기본",1,IF(J287="중간",3,IF(J287="최종",IF(I287="",5,IF(I287&lt;=20,3,IF(I287&lt;=35,4,IF(I287&lt;=50,6,7)))),IF(Q287="드묾",4,2))))))</x:f>
        <x:v>1</x:v>
      </x:c>
      <x:c r="Z287" s="5" t="inlineStr">
        <x:is>
          <x:t xml:space="preserve">#cobblemon:is_freshwater; #the_bumblezone:the_bumblezone</x:t>
        </x:is>
      </x:c>
      <x:c r="AA287" s="5" t="inlineStr">
        <x:is>
          <x:t xml:space="preserve">uncommon</x:t>
        </x:is>
      </x:c>
      <x:c r="AB287" s="5" t="inlineStr">
        <x:is>
          <x:t xml:space="preserve">예</x:t>
        </x:is>
      </x:c>
      <x:c r="AC287" s="8" t="str">
        <x:f>IF(T287&lt;&gt;"","수동확정",IF(X287="검토필요","검토필요",IF(S287="","원본없음","초기완료")))</x:f>
        <x:v>초기완료</x:v>
      </x:c>
      <x:c r="AD287" s="7" t="inlineStr">
        <x:is>
          <x:t xml:space="preserve"/>
        </x:is>
      </x:c>
      <x:c r="AE287" s="5" t="inlineStr">
        <x:is>
          <x:t xml:space="preserve">.tmp/cobblemon-1.7.3-source/common/src/main/resources/data/cobblemon/species/generation3/surskit.json</x:t>
        </x:is>
      </x:c>
      <x:c r="AF287" s="5" t="str">
        <x:f>"생활권|"&amp;K287</x:f>
        <x:v>생활권|담수</x:v>
      </x:c>
      <x:c r="AG287" s="5" t="str">
        <x:f>"지형|"&amp;L287</x:f>
        <x:v>지형|담수</x:v>
      </x:c>
      <x:c r="AH287" s="5" t="str">
        <x:f>"온도|"&amp;M287</x:f>
        <x:v>온도|온대</x:v>
      </x:c>
      <x:c r="AI287" s="5" t="str">
        <x:f>"습도|"&amp;N287</x:f>
        <x:v>습도|수중</x:v>
      </x:c>
      <x:c r="AJ287" s="5" t="str">
        <x:f>"날씨|"&amp;O287</x:f>
        <x:v>날씨|비</x:v>
      </x:c>
      <x:c r="AK287" s="5" t="str">
        <x:f>"특수태그|"&amp;R287</x:f>
        <x:v>특수태그|없음</x:v>
      </x:c>
      <x:c r="AL287" s="5" t="str">
        <x:f>"원본서식지|"&amp;S287</x:f>
        <x:v>원본서식지|담수</x:v>
      </x:c>
      <x:c r="AM287" s="5" t="str">
        <x:f>"타입|"&amp;F287</x:f>
        <x:v>타입|벌레</x:v>
      </x:c>
      <x:c r="AN287" s="5" t="str">
        <x:f>"타입|"&amp;G287</x:f>
        <x:v>타입|물</x:v>
      </x:c>
    </x:row>
    <x:row r="288" ht="24" customHeight="1">
      <x:c r="A288" s="5" t="n">
        <x:v>284</x:v>
      </x:c>
      <x:c r="B288" s="5" t="inlineStr">
        <x:is>
          <x:t xml:space="preserve">비나방</x:t>
        </x:is>
      </x:c>
      <x:c r="C288" s="5" t="inlineStr">
        <x:is>
          <x:t xml:space="preserve">masquerain</x:t>
        </x:is>
      </x:c>
      <x:c r="D288" s="5" t="inlineStr">
        <x:is>
          <x:t xml:space="preserve">Masquerain</x:t>
        </x:is>
      </x:c>
      <x:c r="E288" s="5" t="n">
        <x:v>3</x:v>
      </x:c>
      <x:c r="F288" s="5" t="inlineStr">
        <x:is>
          <x:t xml:space="preserve">벌레</x:t>
        </x:is>
      </x:c>
      <x:c r="G288" s="5" t="inlineStr">
        <x:is>
          <x:t xml:space="preserve">비행</x:t>
        </x:is>
      </x:c>
      <x:c r="H288" s="6" t="n">
        <x:v>3.6</x:v>
      </x:c>
      <x:c r="I288" s="5" t="n">
        <x:v>22</x:v>
      </x:c>
      <x:c r="J288" s="5" t="inlineStr">
        <x:is>
          <x:t xml:space="preserve">최종</x:t>
        </x:is>
      </x:c>
      <x:c r="K288" s="7" t="inlineStr">
        <x:is>
          <x:t xml:space="preserve">담수</x:t>
        </x:is>
      </x:c>
      <x:c r="L288" s="7" t="inlineStr">
        <x:is>
          <x:t xml:space="preserve">담수</x:t>
        </x:is>
      </x:c>
      <x:c r="M288" s="7" t="inlineStr">
        <x:is>
          <x:t xml:space="preserve">온대</x:t>
        </x:is>
      </x:c>
      <x:c r="N288" s="7" t="inlineStr">
        <x:is>
          <x:t xml:space="preserve">수중</x:t>
        </x:is>
      </x:c>
      <x:c r="O288" s="7" t="inlineStr">
        <x:is>
          <x:t xml:space="preserve">비</x:t>
        </x:is>
      </x:c>
      <x:c r="P288" s="7" t="inlineStr">
        <x:is>
          <x:t xml:space="preserve">무관</x:t>
        </x:is>
      </x:c>
      <x:c r="Q288" s="7" t="inlineStr">
        <x:is>
          <x:t xml:space="preserve">보통</x:t>
        </x:is>
      </x:c>
      <x:c r="R288" s="7" t="inlineStr">
        <x:is>
          <x:t xml:space="preserve">없음</x:t>
        </x:is>
      </x:c>
      <x:c r="S288" s="7" t="inlineStr">
        <x:is>
          <x:t xml:space="preserve">담수</x:t>
        </x:is>
      </x:c>
      <x:c r="T288" s="7" t="inlineStr">
        <x:is>
          <x:t xml:space="preserve"/>
        </x:is>
      </x:c>
      <x:c r="U288" s="8" t="str">
        <x:f>INDEX('서식지_점수'!$E$4:$P$4,1,MATCH(MAX('서식지_점수'!E288:P288),'서식지_점수'!E288:P288,0))</x:f>
        <x:v>담수</x:v>
      </x:c>
      <x:c r="V288" s="8" t="str">
        <x:f>IF(T288&lt;&gt;"",T288,U288)</x:f>
        <x:v>담수</x:v>
      </x:c>
      <x:c r="W288" s="8" t="str">
        <x:f>IFERROR(INDEX('서식지_점수'!$E$4:$P$4,1,MATCH(MAXIFS('서식지_점수'!E288:P288,'서식지_점수'!E288:P288,"&lt;"&amp;MAX('서식지_점수'!E288:P288)),'서식지_점수'!E288:P288,0)),"")</x:f>
        <x:v>습지</x:v>
      </x:c>
      <x:c r="X288" s="8" t="str">
        <x:f>IF(T288&lt;&gt;"","수동확정",IF(MAX('서식지_점수'!E288:P288)-LARGE('서식지_점수'!E288:P288,2)&gt;=15,"높음",IF(MAX('서식지_점수'!E288:P288)-LARGE('서식지_점수'!E288:P288,2)&gt;=8,"보통","검토필요")))</x:f>
        <x:v>높음</x:v>
      </x:c>
      <x:c r="Y288" s="9" t="n">
        <x:f>IF(Q288="전설",8,IF(Q288="희귀",7,IF(J288="기본",1,IF(J288="중간",3,IF(J288="최종",IF(I288="",5,IF(I288&lt;=20,3,IF(I288&lt;=35,4,IF(I288&lt;=50,6,7)))),IF(Q288="드묾",4,2))))))</x:f>
        <x:v>4</x:v>
      </x:c>
      <x:c r="Z288" s="5" t="inlineStr">
        <x:is>
          <x:t xml:space="preserve">#cobblemon:is_freshwater; #the_bumblezone:the_bumblezone</x:t>
        </x:is>
      </x:c>
      <x:c r="AA288" s="5" t="inlineStr">
        <x:is>
          <x:t xml:space="preserve">uncommon</x:t>
        </x:is>
      </x:c>
      <x:c r="AB288" s="5" t="inlineStr">
        <x:is>
          <x:t xml:space="preserve">예</x:t>
        </x:is>
      </x:c>
      <x:c r="AC288" s="8" t="str">
        <x:f>IF(T288&lt;&gt;"","수동확정",IF(X288="검토필요","검토필요",IF(S288="","원본없음","초기완료")))</x:f>
        <x:v>초기완료</x:v>
      </x:c>
      <x:c r="AD288" s="7" t="inlineStr">
        <x:is>
          <x:t xml:space="preserve"/>
        </x:is>
      </x:c>
      <x:c r="AE288" s="5" t="inlineStr">
        <x:is>
          <x:t xml:space="preserve">.tmp/cobblemon-1.7.3-source/common/src/main/resources/data/cobblemon/species/generation3/masquerain.json</x:t>
        </x:is>
      </x:c>
      <x:c r="AF288" s="5" t="str">
        <x:f>"생활권|"&amp;K288</x:f>
        <x:v>생활권|담수</x:v>
      </x:c>
      <x:c r="AG288" s="5" t="str">
        <x:f>"지형|"&amp;L288</x:f>
        <x:v>지형|담수</x:v>
      </x:c>
      <x:c r="AH288" s="5" t="str">
        <x:f>"온도|"&amp;M288</x:f>
        <x:v>온도|온대</x:v>
      </x:c>
      <x:c r="AI288" s="5" t="str">
        <x:f>"습도|"&amp;N288</x:f>
        <x:v>습도|수중</x:v>
      </x:c>
      <x:c r="AJ288" s="5" t="str">
        <x:f>"날씨|"&amp;O288</x:f>
        <x:v>날씨|비</x:v>
      </x:c>
      <x:c r="AK288" s="5" t="str">
        <x:f>"특수태그|"&amp;R288</x:f>
        <x:v>특수태그|없음</x:v>
      </x:c>
      <x:c r="AL288" s="5" t="str">
        <x:f>"원본서식지|"&amp;S288</x:f>
        <x:v>원본서식지|담수</x:v>
      </x:c>
      <x:c r="AM288" s="5" t="str">
        <x:f>"타입|"&amp;F288</x:f>
        <x:v>타입|벌레</x:v>
      </x:c>
      <x:c r="AN288" s="5" t="str">
        <x:f>"타입|"&amp;G288</x:f>
        <x:v>타입|비행</x:v>
      </x:c>
    </x:row>
    <x:row r="289" ht="24" customHeight="1">
      <x:c r="A289" s="5" t="n">
        <x:v>285</x:v>
      </x:c>
      <x:c r="B289" s="5" t="inlineStr">
        <x:is>
          <x:t xml:space="preserve">버섯꼬</x:t>
        </x:is>
      </x:c>
      <x:c r="C289" s="5" t="inlineStr">
        <x:is>
          <x:t xml:space="preserve">shroomish</x:t>
        </x:is>
      </x:c>
      <x:c r="D289" s="5" t="inlineStr">
        <x:is>
          <x:t xml:space="preserve">Shroomish</x:t>
        </x:is>
      </x:c>
      <x:c r="E289" s="5" t="n">
        <x:v>3</x:v>
      </x:c>
      <x:c r="F289" s="5" t="inlineStr">
        <x:is>
          <x:t xml:space="preserve">풀</x:t>
        </x:is>
      </x:c>
      <x:c r="G289" s="5" t="inlineStr">
        <x:is>
          <x:t xml:space="preserve"/>
        </x:is>
      </x:c>
      <x:c r="H289" s="6" t="n">
        <x:v>4.5</x:v>
      </x:c>
      <x:c r="I289" s="5" t="n">
        <x:v>23</x:v>
      </x:c>
      <x:c r="J289" s="5" t="inlineStr">
        <x:is>
          <x:t xml:space="preserve">기본</x:t>
        </x:is>
      </x:c>
      <x:c r="K289" s="7" t="inlineStr">
        <x:is>
          <x:t xml:space="preserve">육상</x:t>
        </x:is>
      </x:c>
      <x:c r="L289" s="7" t="inlineStr">
        <x:is>
          <x:t xml:space="preserve">수목</x:t>
        </x:is>
      </x:c>
      <x:c r="M289" s="7" t="inlineStr">
        <x:is>
          <x:t xml:space="preserve">온대</x:t>
        </x:is>
      </x:c>
      <x:c r="N289" s="7" t="inlineStr">
        <x:is>
          <x:t xml:space="preserve">보통</x:t>
        </x:is>
      </x:c>
      <x:c r="O289" s="7" t="inlineStr">
        <x:is>
          <x:t xml:space="preserve">무관</x:t>
        </x:is>
      </x:c>
      <x:c r="P289" s="7" t="inlineStr">
        <x:is>
          <x:t xml:space="preserve">무관</x:t>
        </x:is>
      </x:c>
      <x:c r="Q289" s="7" t="inlineStr">
        <x:is>
          <x:t xml:space="preserve">흔함</x:t>
        </x:is>
      </x:c>
      <x:c r="R289" s="7" t="inlineStr">
        <x:is>
          <x:t xml:space="preserve">없음</x:t>
        </x:is>
      </x:c>
      <x:c r="S289" s="7" t="inlineStr">
        <x:is>
          <x:t xml:space="preserve">숲</x:t>
        </x:is>
      </x:c>
      <x:c r="T289" s="7" t="inlineStr">
        <x:is>
          <x:t xml:space="preserve"/>
        </x:is>
      </x:c>
      <x:c r="U289" s="8" t="str">
        <x:f>INDEX('서식지_점수'!$E$4:$P$4,1,MATCH(MAX('서식지_점수'!E289:P289),'서식지_점수'!E289:P289,0))</x:f>
        <x:v>평원</x:v>
      </x:c>
      <x:c r="V289" s="8" t="str">
        <x:f>IF(T289&lt;&gt;"",T289,U289)</x:f>
        <x:v>평원</x:v>
      </x:c>
      <x:c r="W289" s="8" t="str">
        <x:f>IFERROR(INDEX('서식지_점수'!$E$4:$P$4,1,MATCH(MAXIFS('서식지_점수'!E289:P289,'서식지_점수'!E289:P289,"&lt;"&amp;MAX('서식지_점수'!E289:P289)),'서식지_점수'!E289:P289,0)),"")</x:f>
        <x:v>숲</x:v>
      </x:c>
      <x:c r="X289" s="8" t="str">
        <x:f>IF(T289&lt;&gt;"","수동확정",IF(MAX('서식지_점수'!E289:P289)-LARGE('서식지_점수'!E289:P289,2)&gt;=15,"높음",IF(MAX('서식지_점수'!E289:P289)-LARGE('서식지_점수'!E289:P289,2)&gt;=8,"보통","검토필요")))</x:f>
        <x:v>검토필요</x:v>
      </x:c>
      <x:c r="Y289" s="9" t="n">
        <x:f>IF(Q289="전설",8,IF(Q289="희귀",7,IF(J289="기본",1,IF(J289="중간",3,IF(J289="최종",IF(I289="",5,IF(I289&lt;=20,3,IF(I289&lt;=35,4,IF(I289&lt;=50,6,7)))),IF(Q289="드묾",4,2))))))</x:f>
        <x:v>1</x:v>
      </x:c>
      <x:c r="Z289" s="5" t="inlineStr">
        <x:is>
          <x:t xml:space="preserve">#cobblemon:is_forest; #cobblemon:is_mushroom; aether:skyroot_forest; aether:skyroot_woodland</x:t>
        </x:is>
      </x:c>
      <x:c r="AA289" s="5" t="inlineStr">
        <x:is>
          <x:t xml:space="preserve">common</x:t>
        </x:is>
      </x:c>
      <x:c r="AB289" s="5" t="inlineStr">
        <x:is>
          <x:t xml:space="preserve">예</x:t>
        </x:is>
      </x:c>
      <x:c r="AC289" s="8" t="str">
        <x:f>IF(T289&lt;&gt;"","수동확정",IF(X289="검토필요","검토필요",IF(S289="","원본없음","초기완료")))</x:f>
        <x:v>검토필요</x:v>
      </x:c>
      <x:c r="AD289" s="7" t="inlineStr">
        <x:is>
          <x:t xml:space="preserve"/>
        </x:is>
      </x:c>
      <x:c r="AE289" s="5" t="inlineStr">
        <x:is>
          <x:t xml:space="preserve">.tmp/cobblemon-1.7.3-source/common/src/main/resources/data/cobblemon/species/generation3/shroomish.json</x:t>
        </x:is>
      </x:c>
      <x:c r="AF289" s="5" t="str">
        <x:f>"생활권|"&amp;K289</x:f>
        <x:v>생활권|육상</x:v>
      </x:c>
      <x:c r="AG289" s="5" t="str">
        <x:f>"지형|"&amp;L289</x:f>
        <x:v>지형|수목</x:v>
      </x:c>
      <x:c r="AH289" s="5" t="str">
        <x:f>"온도|"&amp;M289</x:f>
        <x:v>온도|온대</x:v>
      </x:c>
      <x:c r="AI289" s="5" t="str">
        <x:f>"습도|"&amp;N289</x:f>
        <x:v>습도|보통</x:v>
      </x:c>
      <x:c r="AJ289" s="5" t="str">
        <x:f>"날씨|"&amp;O289</x:f>
        <x:v>날씨|무관</x:v>
      </x:c>
      <x:c r="AK289" s="5" t="str">
        <x:f>"특수태그|"&amp;R289</x:f>
        <x:v>특수태그|없음</x:v>
      </x:c>
      <x:c r="AL289" s="5" t="str">
        <x:f>"원본서식지|"&amp;S289</x:f>
        <x:v>원본서식지|숲</x:v>
      </x:c>
      <x:c r="AM289" s="5" t="str">
        <x:f>"타입|"&amp;F289</x:f>
        <x:v>타입|풀</x:v>
      </x:c>
      <x:c r="AN289" s="5" t="str">
        <x:f>"타입|"&amp;G289</x:f>
        <x:v>타입|</x:v>
      </x:c>
    </x:row>
    <x:row r="290" ht="24" customHeight="1">
      <x:c r="A290" s="5" t="n">
        <x:v>286</x:v>
      </x:c>
      <x:c r="B290" s="5" t="inlineStr">
        <x:is>
          <x:t xml:space="preserve">버섯모</x:t>
        </x:is>
      </x:c>
      <x:c r="C290" s="5" t="inlineStr">
        <x:is>
          <x:t xml:space="preserve">breloom</x:t>
        </x:is>
      </x:c>
      <x:c r="D290" s="5" t="inlineStr">
        <x:is>
          <x:t xml:space="preserve">Breloom</x:t>
        </x:is>
      </x:c>
      <x:c r="E290" s="5" t="n">
        <x:v>3</x:v>
      </x:c>
      <x:c r="F290" s="5" t="inlineStr">
        <x:is>
          <x:t xml:space="preserve">풀</x:t>
        </x:is>
      </x:c>
      <x:c r="G290" s="5" t="inlineStr">
        <x:is>
          <x:t xml:space="preserve">격투</x:t>
        </x:is>
      </x:c>
      <x:c r="H290" s="6" t="n">
        <x:v>39.2</x:v>
      </x:c>
      <x:c r="I290" s="5" t="n">
        <x:v>23</x:v>
      </x:c>
      <x:c r="J290" s="5" t="inlineStr">
        <x:is>
          <x:t xml:space="preserve">최종</x:t>
        </x:is>
      </x:c>
      <x:c r="K290" s="7" t="inlineStr">
        <x:is>
          <x:t xml:space="preserve">육상</x:t>
        </x:is>
      </x:c>
      <x:c r="L290" s="7" t="inlineStr">
        <x:is>
          <x:t xml:space="preserve">수목</x:t>
        </x:is>
      </x:c>
      <x:c r="M290" s="7" t="inlineStr">
        <x:is>
          <x:t xml:space="preserve">온대</x:t>
        </x:is>
      </x:c>
      <x:c r="N290" s="7" t="inlineStr">
        <x:is>
          <x:t xml:space="preserve">보통</x:t>
        </x:is>
      </x:c>
      <x:c r="O290" s="7" t="inlineStr">
        <x:is>
          <x:t xml:space="preserve">무관</x:t>
        </x:is>
      </x:c>
      <x:c r="P290" s="7" t="inlineStr">
        <x:is>
          <x:t xml:space="preserve">무관</x:t>
        </x:is>
      </x:c>
      <x:c r="Q290" s="7" t="inlineStr">
        <x:is>
          <x:t xml:space="preserve">흔함</x:t>
        </x:is>
      </x:c>
      <x:c r="R290" s="7" t="inlineStr">
        <x:is>
          <x:t xml:space="preserve">없음</x:t>
        </x:is>
      </x:c>
      <x:c r="S290" s="7" t="inlineStr">
        <x:is>
          <x:t xml:space="preserve">숲</x:t>
        </x:is>
      </x:c>
      <x:c r="T290" s="7" t="inlineStr">
        <x:is>
          <x:t xml:space="preserve"/>
        </x:is>
      </x:c>
      <x:c r="U290" s="8" t="str">
        <x:f>INDEX('서식지_점수'!$E$4:$P$4,1,MATCH(MAX('서식지_점수'!E290:P290),'서식지_점수'!E290:P290,0))</x:f>
        <x:v>평원</x:v>
      </x:c>
      <x:c r="V290" s="8" t="str">
        <x:f>IF(T290&lt;&gt;"",T290,U290)</x:f>
        <x:v>평원</x:v>
      </x:c>
      <x:c r="W290" s="8" t="str">
        <x:f>IFERROR(INDEX('서식지_점수'!$E$4:$P$4,1,MATCH(MAXIFS('서식지_점수'!E290:P290,'서식지_점수'!E290:P290,"&lt;"&amp;MAX('서식지_점수'!E290:P290)),'서식지_점수'!E290:P290,0)),"")</x:f>
        <x:v>숲</x:v>
      </x:c>
      <x:c r="X290" s="8" t="str">
        <x:f>IF(T290&lt;&gt;"","수동확정",IF(MAX('서식지_점수'!E290:P290)-LARGE('서식지_점수'!E290:P290,2)&gt;=15,"높음",IF(MAX('서식지_점수'!E290:P290)-LARGE('서식지_점수'!E290:P290,2)&gt;=8,"보통","검토필요")))</x:f>
        <x:v>검토필요</x:v>
      </x:c>
      <x:c r="Y290" s="9" t="n">
        <x:f>IF(Q290="전설",8,IF(Q290="희귀",7,IF(J290="기본",1,IF(J290="중간",3,IF(J290="최종",IF(I290="",5,IF(I290&lt;=20,3,IF(I290&lt;=35,4,IF(I290&lt;=50,6,7)))),IF(Q290="드묾",4,2))))))</x:f>
        <x:v>4</x:v>
      </x:c>
      <x:c r="Z290" s="5" t="inlineStr">
        <x:is>
          <x:t xml:space="preserve">#cobblemon:is_forest; #cobblemon:is_mushroom; aether:skyroot_forest; aether:skyroot_woodland</x:t>
        </x:is>
      </x:c>
      <x:c r="AA290" s="5" t="inlineStr">
        <x:is>
          <x:t xml:space="preserve">common</x:t>
        </x:is>
      </x:c>
      <x:c r="AB290" s="5" t="inlineStr">
        <x:is>
          <x:t xml:space="preserve">예</x:t>
        </x:is>
      </x:c>
      <x:c r="AC290" s="8" t="str">
        <x:f>IF(T290&lt;&gt;"","수동확정",IF(X290="검토필요","검토필요",IF(S290="","원본없음","초기완료")))</x:f>
        <x:v>검토필요</x:v>
      </x:c>
      <x:c r="AD290" s="7" t="inlineStr">
        <x:is>
          <x:t xml:space="preserve"/>
        </x:is>
      </x:c>
      <x:c r="AE290" s="5" t="inlineStr">
        <x:is>
          <x:t xml:space="preserve">.tmp/cobblemon-1.7.3-source/common/src/main/resources/data/cobblemon/species/generation3/breloom.json</x:t>
        </x:is>
      </x:c>
      <x:c r="AF290" s="5" t="str">
        <x:f>"생활권|"&amp;K290</x:f>
        <x:v>생활권|육상</x:v>
      </x:c>
      <x:c r="AG290" s="5" t="str">
        <x:f>"지형|"&amp;L290</x:f>
        <x:v>지형|수목</x:v>
      </x:c>
      <x:c r="AH290" s="5" t="str">
        <x:f>"온도|"&amp;M290</x:f>
        <x:v>온도|온대</x:v>
      </x:c>
      <x:c r="AI290" s="5" t="str">
        <x:f>"습도|"&amp;N290</x:f>
        <x:v>습도|보통</x:v>
      </x:c>
      <x:c r="AJ290" s="5" t="str">
        <x:f>"날씨|"&amp;O290</x:f>
        <x:v>날씨|무관</x:v>
      </x:c>
      <x:c r="AK290" s="5" t="str">
        <x:f>"특수태그|"&amp;R290</x:f>
        <x:v>특수태그|없음</x:v>
      </x:c>
      <x:c r="AL290" s="5" t="str">
        <x:f>"원본서식지|"&amp;S290</x:f>
        <x:v>원본서식지|숲</x:v>
      </x:c>
      <x:c r="AM290" s="5" t="str">
        <x:f>"타입|"&amp;F290</x:f>
        <x:v>타입|풀</x:v>
      </x:c>
      <x:c r="AN290" s="5" t="str">
        <x:f>"타입|"&amp;G290</x:f>
        <x:v>타입|격투</x:v>
      </x:c>
    </x:row>
    <x:row r="291" ht="24" customHeight="1">
      <x:c r="A291" s="5" t="n">
        <x:v>287</x:v>
      </x:c>
      <x:c r="B291" s="5" t="inlineStr">
        <x:is>
          <x:t xml:space="preserve">게을로</x:t>
        </x:is>
      </x:c>
      <x:c r="C291" s="5" t="inlineStr">
        <x:is>
          <x:t xml:space="preserve">slakoth</x:t>
        </x:is>
      </x:c>
      <x:c r="D291" s="5" t="inlineStr">
        <x:is>
          <x:t xml:space="preserve">Slakoth</x:t>
        </x:is>
      </x:c>
      <x:c r="E291" s="5" t="n">
        <x:v>3</x:v>
      </x:c>
      <x:c r="F291" s="5" t="inlineStr">
        <x:is>
          <x:t xml:space="preserve">노말</x:t>
        </x:is>
      </x:c>
      <x:c r="G291" s="5" t="inlineStr">
        <x:is>
          <x:t xml:space="preserve"/>
        </x:is>
      </x:c>
      <x:c r="H291" s="6" t="n">
        <x:v>24</x:v>
      </x:c>
      <x:c r="I291" s="5" t="n">
        <x:v>36</x:v>
      </x:c>
      <x:c r="J291" s="5" t="inlineStr">
        <x:is>
          <x:t xml:space="preserve">기본</x:t>
        </x:is>
      </x:c>
      <x:c r="K291" s="7" t="inlineStr">
        <x:is>
          <x:t xml:space="preserve">육상</x:t>
        </x:is>
      </x:c>
      <x:c r="L291" s="7" t="inlineStr">
        <x:is>
          <x:t xml:space="preserve">수목</x:t>
        </x:is>
      </x:c>
      <x:c r="M291" s="7" t="inlineStr">
        <x:is>
          <x:t xml:space="preserve">온대</x:t>
        </x:is>
      </x:c>
      <x:c r="N291" s="7" t="inlineStr">
        <x:is>
          <x:t xml:space="preserve">다습</x:t>
        </x:is>
      </x:c>
      <x:c r="O291" s="7" t="inlineStr">
        <x:is>
          <x:t xml:space="preserve">무관</x:t>
        </x:is>
      </x:c>
      <x:c r="P291" s="7" t="inlineStr">
        <x:is>
          <x:t xml:space="preserve">무관</x:t>
        </x:is>
      </x:c>
      <x:c r="Q291" s="7" t="inlineStr">
        <x:is>
          <x:t xml:space="preserve">흔함</x:t>
        </x:is>
      </x:c>
      <x:c r="R291" s="7" t="inlineStr">
        <x:is>
          <x:t xml:space="preserve">없음</x:t>
        </x:is>
      </x:c>
      <x:c r="S291" s="7" t="inlineStr">
        <x:is>
          <x:t xml:space="preserve">숲</x:t>
        </x:is>
      </x:c>
      <x:c r="T291" s="7" t="inlineStr">
        <x:is>
          <x:t xml:space="preserve"/>
        </x:is>
      </x:c>
      <x:c r="U291" s="8" t="str">
        <x:f>INDEX('서식지_점수'!$E$4:$P$4,1,MATCH(MAX('서식지_점수'!E291:P291),'서식지_점수'!E291:P291,0))</x:f>
        <x:v>평원</x:v>
      </x:c>
      <x:c r="V291" s="8" t="str">
        <x:f>IF(T291&lt;&gt;"",T291,U291)</x:f>
        <x:v>평원</x:v>
      </x:c>
      <x:c r="W291" s="8" t="str">
        <x:f>IFERROR(INDEX('서식지_점수'!$E$4:$P$4,1,MATCH(MAXIFS('서식지_점수'!E291:P291,'서식지_점수'!E291:P291,"&lt;"&amp;MAX('서식지_점수'!E291:P291)),'서식지_점수'!E291:P291,0)),"")</x:f>
        <x:v>숲</x:v>
      </x:c>
      <x:c r="X291" s="8" t="str">
        <x:f>IF(T291&lt;&gt;"","수동확정",IF(MAX('서식지_점수'!E291:P291)-LARGE('서식지_점수'!E291:P291,2)&gt;=15,"높음",IF(MAX('서식지_점수'!E291:P291)-LARGE('서식지_점수'!E291:P291,2)&gt;=8,"보통","검토필요")))</x:f>
        <x:v>검토필요</x:v>
      </x:c>
      <x:c r="Y291" s="9" t="n">
        <x:f>IF(Q291="전설",8,IF(Q291="희귀",7,IF(J291="기본",1,IF(J291="중간",3,IF(J291="최종",IF(I291="",5,IF(I291&lt;=20,3,IF(I291&lt;=35,4,IF(I291&lt;=50,6,7)))),IF(Q291="드묾",4,2))))))</x:f>
        <x:v>1</x:v>
      </x:c>
      <x:c r="Z291" s="5" t="inlineStr">
        <x:is>
          <x:t xml:space="preserve">#cobblemon:is_jungle</x:t>
        </x:is>
      </x:c>
      <x:c r="AA291" s="5" t="inlineStr">
        <x:is>
          <x:t xml:space="preserve">common</x:t>
        </x:is>
      </x:c>
      <x:c r="AB291" s="5" t="inlineStr">
        <x:is>
          <x:t xml:space="preserve">예</x:t>
        </x:is>
      </x:c>
      <x:c r="AC291" s="8" t="str">
        <x:f>IF(T291&lt;&gt;"","수동확정",IF(X291="검토필요","검토필요",IF(S291="","원본없음","초기완료")))</x:f>
        <x:v>검토필요</x:v>
      </x:c>
      <x:c r="AD291" s="7" t="inlineStr">
        <x:is>
          <x:t xml:space="preserve"/>
        </x:is>
      </x:c>
      <x:c r="AE291" s="5" t="inlineStr">
        <x:is>
          <x:t xml:space="preserve">.tmp/cobblemon-1.7.3-source/common/src/main/resources/data/cobblemon/species/generation3/slakoth.json</x:t>
        </x:is>
      </x:c>
      <x:c r="AF291" s="5" t="str">
        <x:f>"생활권|"&amp;K291</x:f>
        <x:v>생활권|육상</x:v>
      </x:c>
      <x:c r="AG291" s="5" t="str">
        <x:f>"지형|"&amp;L291</x:f>
        <x:v>지형|수목</x:v>
      </x:c>
      <x:c r="AH291" s="5" t="str">
        <x:f>"온도|"&amp;M291</x:f>
        <x:v>온도|온대</x:v>
      </x:c>
      <x:c r="AI291" s="5" t="str">
        <x:f>"습도|"&amp;N291</x:f>
        <x:v>습도|다습</x:v>
      </x:c>
      <x:c r="AJ291" s="5" t="str">
        <x:f>"날씨|"&amp;O291</x:f>
        <x:v>날씨|무관</x:v>
      </x:c>
      <x:c r="AK291" s="5" t="str">
        <x:f>"특수태그|"&amp;R291</x:f>
        <x:v>특수태그|없음</x:v>
      </x:c>
      <x:c r="AL291" s="5" t="str">
        <x:f>"원본서식지|"&amp;S291</x:f>
        <x:v>원본서식지|숲</x:v>
      </x:c>
      <x:c r="AM291" s="5" t="str">
        <x:f>"타입|"&amp;F291</x:f>
        <x:v>타입|노말</x:v>
      </x:c>
      <x:c r="AN291" s="5" t="str">
        <x:f>"타입|"&amp;G291</x:f>
        <x:v>타입|</x:v>
      </x:c>
    </x:row>
    <x:row r="292" ht="24" customHeight="1">
      <x:c r="A292" s="5" t="n">
        <x:v>288</x:v>
      </x:c>
      <x:c r="B292" s="5" t="inlineStr">
        <x:is>
          <x:t xml:space="preserve">발바로</x:t>
        </x:is>
      </x:c>
      <x:c r="C292" s="5" t="inlineStr">
        <x:is>
          <x:t xml:space="preserve">vigoroth</x:t>
        </x:is>
      </x:c>
      <x:c r="D292" s="5" t="inlineStr">
        <x:is>
          <x:t xml:space="preserve">Vigoroth</x:t>
        </x:is>
      </x:c>
      <x:c r="E292" s="5" t="n">
        <x:v>3</x:v>
      </x:c>
      <x:c r="F292" s="5" t="inlineStr">
        <x:is>
          <x:t xml:space="preserve">노말</x:t>
        </x:is>
      </x:c>
      <x:c r="G292" s="5" t="inlineStr">
        <x:is>
          <x:t xml:space="preserve"/>
        </x:is>
      </x:c>
      <x:c r="H292" s="6" t="n">
        <x:v>46.5</x:v>
      </x:c>
      <x:c r="I292" s="5" t="n">
        <x:v>36</x:v>
      </x:c>
      <x:c r="J292" s="5" t="inlineStr">
        <x:is>
          <x:t xml:space="preserve">중간</x:t>
        </x:is>
      </x:c>
      <x:c r="K292" s="7" t="inlineStr">
        <x:is>
          <x:t xml:space="preserve">육상</x:t>
        </x:is>
      </x:c>
      <x:c r="L292" s="7" t="inlineStr">
        <x:is>
          <x:t xml:space="preserve">수목</x:t>
        </x:is>
      </x:c>
      <x:c r="M292" s="7" t="inlineStr">
        <x:is>
          <x:t xml:space="preserve">온대</x:t>
        </x:is>
      </x:c>
      <x:c r="N292" s="7" t="inlineStr">
        <x:is>
          <x:t xml:space="preserve">다습</x:t>
        </x:is>
      </x:c>
      <x:c r="O292" s="7" t="inlineStr">
        <x:is>
          <x:t xml:space="preserve">무관</x:t>
        </x:is>
      </x:c>
      <x:c r="P292" s="7" t="inlineStr">
        <x:is>
          <x:t xml:space="preserve">무관</x:t>
        </x:is>
      </x:c>
      <x:c r="Q292" s="7" t="inlineStr">
        <x:is>
          <x:t xml:space="preserve">흔함</x:t>
        </x:is>
      </x:c>
      <x:c r="R292" s="7" t="inlineStr">
        <x:is>
          <x:t xml:space="preserve">없음</x:t>
        </x:is>
      </x:c>
      <x:c r="S292" s="7" t="inlineStr">
        <x:is>
          <x:t xml:space="preserve">숲</x:t>
        </x:is>
      </x:c>
      <x:c r="T292" s="7" t="inlineStr">
        <x:is>
          <x:t xml:space="preserve"/>
        </x:is>
      </x:c>
      <x:c r="U292" s="8" t="str">
        <x:f>INDEX('서식지_점수'!$E$4:$P$4,1,MATCH(MAX('서식지_점수'!E292:P292),'서식지_점수'!E292:P292,0))</x:f>
        <x:v>평원</x:v>
      </x:c>
      <x:c r="V292" s="8" t="str">
        <x:f>IF(T292&lt;&gt;"",T292,U292)</x:f>
        <x:v>평원</x:v>
      </x:c>
      <x:c r="W292" s="8" t="str">
        <x:f>IFERROR(INDEX('서식지_점수'!$E$4:$P$4,1,MATCH(MAXIFS('서식지_점수'!E292:P292,'서식지_점수'!E292:P292,"&lt;"&amp;MAX('서식지_점수'!E292:P292)),'서식지_점수'!E292:P292,0)),"")</x:f>
        <x:v>숲</x:v>
      </x:c>
      <x:c r="X292" s="8" t="str">
        <x:f>IF(T292&lt;&gt;"","수동확정",IF(MAX('서식지_점수'!E292:P292)-LARGE('서식지_점수'!E292:P292,2)&gt;=15,"높음",IF(MAX('서식지_점수'!E292:P292)-LARGE('서식지_점수'!E292:P292,2)&gt;=8,"보통","검토필요")))</x:f>
        <x:v>검토필요</x:v>
      </x:c>
      <x:c r="Y292" s="9" t="n">
        <x:f>IF(Q292="전설",8,IF(Q292="희귀",7,IF(J292="기본",1,IF(J292="중간",3,IF(J292="최종",IF(I292="",5,IF(I292&lt;=20,3,IF(I292&lt;=35,4,IF(I292&lt;=50,6,7)))),IF(Q292="드묾",4,2))))))</x:f>
        <x:v>3</x:v>
      </x:c>
      <x:c r="Z292" s="5" t="inlineStr">
        <x:is>
          <x:t xml:space="preserve">#cobblemon:is_jungle</x:t>
        </x:is>
      </x:c>
      <x:c r="AA292" s="5" t="inlineStr">
        <x:is>
          <x:t xml:space="preserve">common</x:t>
        </x:is>
      </x:c>
      <x:c r="AB292" s="5" t="inlineStr">
        <x:is>
          <x:t xml:space="preserve">예</x:t>
        </x:is>
      </x:c>
      <x:c r="AC292" s="8" t="str">
        <x:f>IF(T292&lt;&gt;"","수동확정",IF(X292="검토필요","검토필요",IF(S292="","원본없음","초기완료")))</x:f>
        <x:v>검토필요</x:v>
      </x:c>
      <x:c r="AD292" s="7" t="inlineStr">
        <x:is>
          <x:t xml:space="preserve"/>
        </x:is>
      </x:c>
      <x:c r="AE292" s="5" t="inlineStr">
        <x:is>
          <x:t xml:space="preserve">.tmp/cobblemon-1.7.3-source/common/src/main/resources/data/cobblemon/species/generation3/vigoroth.json</x:t>
        </x:is>
      </x:c>
      <x:c r="AF292" s="5" t="str">
        <x:f>"생활권|"&amp;K292</x:f>
        <x:v>생활권|육상</x:v>
      </x:c>
      <x:c r="AG292" s="5" t="str">
        <x:f>"지형|"&amp;L292</x:f>
        <x:v>지형|수목</x:v>
      </x:c>
      <x:c r="AH292" s="5" t="str">
        <x:f>"온도|"&amp;M292</x:f>
        <x:v>온도|온대</x:v>
      </x:c>
      <x:c r="AI292" s="5" t="str">
        <x:f>"습도|"&amp;N292</x:f>
        <x:v>습도|다습</x:v>
      </x:c>
      <x:c r="AJ292" s="5" t="str">
        <x:f>"날씨|"&amp;O292</x:f>
        <x:v>날씨|무관</x:v>
      </x:c>
      <x:c r="AK292" s="5" t="str">
        <x:f>"특수태그|"&amp;R292</x:f>
        <x:v>특수태그|없음</x:v>
      </x:c>
      <x:c r="AL292" s="5" t="str">
        <x:f>"원본서식지|"&amp;S292</x:f>
        <x:v>원본서식지|숲</x:v>
      </x:c>
      <x:c r="AM292" s="5" t="str">
        <x:f>"타입|"&amp;F292</x:f>
        <x:v>타입|노말</x:v>
      </x:c>
      <x:c r="AN292" s="5" t="str">
        <x:f>"타입|"&amp;G292</x:f>
        <x:v>타입|</x:v>
      </x:c>
    </x:row>
    <x:row r="293" ht="24" customHeight="1">
      <x:c r="A293" s="5" t="n">
        <x:v>289</x:v>
      </x:c>
      <x:c r="B293" s="5" t="inlineStr">
        <x:is>
          <x:t xml:space="preserve">게을킹</x:t>
        </x:is>
      </x:c>
      <x:c r="C293" s="5" t="inlineStr">
        <x:is>
          <x:t xml:space="preserve">slaking</x:t>
        </x:is>
      </x:c>
      <x:c r="D293" s="5" t="inlineStr">
        <x:is>
          <x:t xml:space="preserve">Slaking</x:t>
        </x:is>
      </x:c>
      <x:c r="E293" s="5" t="n">
        <x:v>3</x:v>
      </x:c>
      <x:c r="F293" s="5" t="inlineStr">
        <x:is>
          <x:t xml:space="preserve">노말</x:t>
        </x:is>
      </x:c>
      <x:c r="G293" s="5" t="inlineStr">
        <x:is>
          <x:t xml:space="preserve"/>
        </x:is>
      </x:c>
      <x:c r="H293" s="6" t="n">
        <x:v>130.5</x:v>
      </x:c>
      <x:c r="I293" s="5" t="n">
        <x:v>36</x:v>
      </x:c>
      <x:c r="J293" s="5" t="inlineStr">
        <x:is>
          <x:t xml:space="preserve">최종</x:t>
        </x:is>
      </x:c>
      <x:c r="K293" s="7" t="inlineStr">
        <x:is>
          <x:t xml:space="preserve">육상</x:t>
        </x:is>
      </x:c>
      <x:c r="L293" s="7" t="inlineStr">
        <x:is>
          <x:t xml:space="preserve">수목</x:t>
        </x:is>
      </x:c>
      <x:c r="M293" s="7" t="inlineStr">
        <x:is>
          <x:t xml:space="preserve">온대</x:t>
        </x:is>
      </x:c>
      <x:c r="N293" s="7" t="inlineStr">
        <x:is>
          <x:t xml:space="preserve">다습</x:t>
        </x:is>
      </x:c>
      <x:c r="O293" s="7" t="inlineStr">
        <x:is>
          <x:t xml:space="preserve">무관</x:t>
        </x:is>
      </x:c>
      <x:c r="P293" s="7" t="inlineStr">
        <x:is>
          <x:t xml:space="preserve">무관</x:t>
        </x:is>
      </x:c>
      <x:c r="Q293" s="7" t="inlineStr">
        <x:is>
          <x:t xml:space="preserve">흔함</x:t>
        </x:is>
      </x:c>
      <x:c r="R293" s="7" t="inlineStr">
        <x:is>
          <x:t xml:space="preserve">없음</x:t>
        </x:is>
      </x:c>
      <x:c r="S293" s="7" t="inlineStr">
        <x:is>
          <x:t xml:space="preserve">숲</x:t>
        </x:is>
      </x:c>
      <x:c r="T293" s="7" t="inlineStr">
        <x:is>
          <x:t xml:space="preserve"/>
        </x:is>
      </x:c>
      <x:c r="U293" s="8" t="str">
        <x:f>INDEX('서식지_점수'!$E$4:$P$4,1,MATCH(MAX('서식지_점수'!E293:P293),'서식지_점수'!E293:P293,0))</x:f>
        <x:v>평원</x:v>
      </x:c>
      <x:c r="V293" s="8" t="str">
        <x:f>IF(T293&lt;&gt;"",T293,U293)</x:f>
        <x:v>평원</x:v>
      </x:c>
      <x:c r="W293" s="8" t="str">
        <x:f>IFERROR(INDEX('서식지_점수'!$E$4:$P$4,1,MATCH(MAXIFS('서식지_점수'!E293:P293,'서식지_점수'!E293:P293,"&lt;"&amp;MAX('서식지_점수'!E293:P293)),'서식지_점수'!E293:P293,0)),"")</x:f>
        <x:v>숲</x:v>
      </x:c>
      <x:c r="X293" s="8" t="str">
        <x:f>IF(T293&lt;&gt;"","수동확정",IF(MAX('서식지_점수'!E293:P293)-LARGE('서식지_점수'!E293:P293,2)&gt;=15,"높음",IF(MAX('서식지_점수'!E293:P293)-LARGE('서식지_점수'!E293:P293,2)&gt;=8,"보통","검토필요")))</x:f>
        <x:v>검토필요</x:v>
      </x:c>
      <x:c r="Y293" s="9" t="n">
        <x:f>IF(Q293="전설",8,IF(Q293="희귀",7,IF(J293="기본",1,IF(J293="중간",3,IF(J293="최종",IF(I293="",5,IF(I293&lt;=20,3,IF(I293&lt;=35,4,IF(I293&lt;=50,6,7)))),IF(Q293="드묾",4,2))))))</x:f>
        <x:v>6</x:v>
      </x:c>
      <x:c r="Z293" s="5" t="inlineStr">
        <x:is>
          <x:t xml:space="preserve">#cobblemon:is_jungle</x:t>
        </x:is>
      </x:c>
      <x:c r="AA293" s="5" t="inlineStr">
        <x:is>
          <x:t xml:space="preserve">common</x:t>
        </x:is>
      </x:c>
      <x:c r="AB293" s="5" t="inlineStr">
        <x:is>
          <x:t xml:space="preserve">예</x:t>
        </x:is>
      </x:c>
      <x:c r="AC293" s="8" t="str">
        <x:f>IF(T293&lt;&gt;"","수동확정",IF(X293="검토필요","검토필요",IF(S293="","원본없음","초기완료")))</x:f>
        <x:v>검토필요</x:v>
      </x:c>
      <x:c r="AD293" s="7" t="inlineStr">
        <x:is>
          <x:t xml:space="preserve"/>
        </x:is>
      </x:c>
      <x:c r="AE293" s="5" t="inlineStr">
        <x:is>
          <x:t xml:space="preserve">.tmp/cobblemon-1.7.3-source/common/src/main/resources/data/cobblemon/species/generation3/slaking.json</x:t>
        </x:is>
      </x:c>
      <x:c r="AF293" s="5" t="str">
        <x:f>"생활권|"&amp;K293</x:f>
        <x:v>생활권|육상</x:v>
      </x:c>
      <x:c r="AG293" s="5" t="str">
        <x:f>"지형|"&amp;L293</x:f>
        <x:v>지형|수목</x:v>
      </x:c>
      <x:c r="AH293" s="5" t="str">
        <x:f>"온도|"&amp;M293</x:f>
        <x:v>온도|온대</x:v>
      </x:c>
      <x:c r="AI293" s="5" t="str">
        <x:f>"습도|"&amp;N293</x:f>
        <x:v>습도|다습</x:v>
      </x:c>
      <x:c r="AJ293" s="5" t="str">
        <x:f>"날씨|"&amp;O293</x:f>
        <x:v>날씨|무관</x:v>
      </x:c>
      <x:c r="AK293" s="5" t="str">
        <x:f>"특수태그|"&amp;R293</x:f>
        <x:v>특수태그|없음</x:v>
      </x:c>
      <x:c r="AL293" s="5" t="str">
        <x:f>"원본서식지|"&amp;S293</x:f>
        <x:v>원본서식지|숲</x:v>
      </x:c>
      <x:c r="AM293" s="5" t="str">
        <x:f>"타입|"&amp;F293</x:f>
        <x:v>타입|노말</x:v>
      </x:c>
      <x:c r="AN293" s="5" t="str">
        <x:f>"타입|"&amp;G293</x:f>
        <x:v>타입|</x:v>
      </x:c>
    </x:row>
    <x:row r="294" ht="24" customHeight="1">
      <x:c r="A294" s="5" t="n">
        <x:v>290</x:v>
      </x:c>
      <x:c r="B294" s="5" t="inlineStr">
        <x:is>
          <x:t xml:space="preserve">토중몬</x:t>
        </x:is>
      </x:c>
      <x:c r="C294" s="5" t="inlineStr">
        <x:is>
          <x:t xml:space="preserve">nincada</x:t>
        </x:is>
      </x:c>
      <x:c r="D294" s="5" t="inlineStr">
        <x:is>
          <x:t xml:space="preserve">Nincada</x:t>
        </x:is>
      </x:c>
      <x:c r="E294" s="5" t="n">
        <x:v>3</x:v>
      </x:c>
      <x:c r="F294" s="5" t="inlineStr">
        <x:is>
          <x:t xml:space="preserve">벌레</x:t>
        </x:is>
      </x:c>
      <x:c r="G294" s="5" t="inlineStr">
        <x:is>
          <x:t xml:space="preserve">땅</x:t>
        </x:is>
      </x:c>
      <x:c r="H294" s="6" t="n">
        <x:v>5.5</x:v>
      </x:c>
      <x:c r="I294" s="5" t="n">
        <x:v>20</x:v>
      </x:c>
      <x:c r="J294" s="5" t="inlineStr">
        <x:is>
          <x:t xml:space="preserve">기본</x:t>
        </x:is>
      </x:c>
      <x:c r="K294" s="7" t="inlineStr">
        <x:is>
          <x:t xml:space="preserve">육상</x:t>
        </x:is>
      </x:c>
      <x:c r="L294" s="7" t="inlineStr">
        <x:is>
          <x:t xml:space="preserve">수목</x:t>
        </x:is>
      </x:c>
      <x:c r="M294" s="7" t="inlineStr">
        <x:is>
          <x:t xml:space="preserve">온대</x:t>
        </x:is>
      </x:c>
      <x:c r="N294" s="7" t="inlineStr">
        <x:is>
          <x:t xml:space="preserve">다습</x:t>
        </x:is>
      </x:c>
      <x:c r="O294" s="7" t="inlineStr">
        <x:is>
          <x:t xml:space="preserve">무관</x:t>
        </x:is>
      </x:c>
      <x:c r="P294" s="7" t="inlineStr">
        <x:is>
          <x:t xml:space="preserve">무관</x:t>
        </x:is>
      </x:c>
      <x:c r="Q294" s="7" t="inlineStr">
        <x:is>
          <x:t xml:space="preserve">흔함</x:t>
        </x:is>
      </x:c>
      <x:c r="R294" s="7" t="inlineStr">
        <x:is>
          <x:t xml:space="preserve">없음</x:t>
        </x:is>
      </x:c>
      <x:c r="S294" s="7" t="inlineStr">
        <x:is>
          <x:t xml:space="preserve">숲</x:t>
        </x:is>
      </x:c>
      <x:c r="T294" s="7" t="inlineStr">
        <x:is>
          <x:t xml:space="preserve"/>
        </x:is>
      </x:c>
      <x:c r="U294" s="8" t="str">
        <x:f>INDEX('서식지_점수'!$E$4:$P$4,1,MATCH(MAX('서식지_점수'!E294:P294),'서식지_점수'!E294:P294,0))</x:f>
        <x:v>평원</x:v>
      </x:c>
      <x:c r="V294" s="8" t="str">
        <x:f>IF(T294&lt;&gt;"",T294,U294)</x:f>
        <x:v>평원</x:v>
      </x:c>
      <x:c r="W294" s="8" t="str">
        <x:f>IFERROR(INDEX('서식지_점수'!$E$4:$P$4,1,MATCH(MAXIFS('서식지_점수'!E294:P294,'서식지_점수'!E294:P294,"&lt;"&amp;MAX('서식지_점수'!E294:P294)),'서식지_점수'!E294:P294,0)),"")</x:f>
        <x:v>숲</x:v>
      </x:c>
      <x:c r="X294" s="8" t="str">
        <x:f>IF(T294&lt;&gt;"","수동확정",IF(MAX('서식지_점수'!E294:P294)-LARGE('서식지_점수'!E294:P294,2)&gt;=15,"높음",IF(MAX('서식지_점수'!E294:P294)-LARGE('서식지_점수'!E294:P294,2)&gt;=8,"보통","검토필요")))</x:f>
        <x:v>검토필요</x:v>
      </x:c>
      <x:c r="Y294" s="9" t="n">
        <x:f>IF(Q294="전설",8,IF(Q294="희귀",7,IF(J294="기본",1,IF(J294="중간",3,IF(J294="최종",IF(I294="",5,IF(I294&lt;=20,3,IF(I294&lt;=35,4,IF(I294&lt;=50,6,7)))),IF(Q294="드묾",4,2))))))</x:f>
        <x:v>1</x:v>
      </x:c>
      <x:c r="Z294" s="5" t="inlineStr">
        <x:is>
          <x:t xml:space="preserve">#cobblemon:is_forest; #cobblemon:is_jungle; aether:skyroot_forest; aether:skyroot_woodland</x:t>
        </x:is>
      </x:c>
      <x:c r="AA294" s="5" t="inlineStr">
        <x:is>
          <x:t xml:space="preserve">common</x:t>
        </x:is>
      </x:c>
      <x:c r="AB294" s="5" t="inlineStr">
        <x:is>
          <x:t xml:space="preserve">예</x:t>
        </x:is>
      </x:c>
      <x:c r="AC294" s="8" t="str">
        <x:f>IF(T294&lt;&gt;"","수동확정",IF(X294="검토필요","검토필요",IF(S294="","원본없음","초기완료")))</x:f>
        <x:v>검토필요</x:v>
      </x:c>
      <x:c r="AD294" s="7" t="inlineStr">
        <x:is>
          <x:t xml:space="preserve"/>
        </x:is>
      </x:c>
      <x:c r="AE294" s="5" t="inlineStr">
        <x:is>
          <x:t xml:space="preserve">.tmp/cobblemon-1.7.3-source/common/src/main/resources/data/cobblemon/species/generation3/nincada.json</x:t>
        </x:is>
      </x:c>
      <x:c r="AF294" s="5" t="str">
        <x:f>"생활권|"&amp;K294</x:f>
        <x:v>생활권|육상</x:v>
      </x:c>
      <x:c r="AG294" s="5" t="str">
        <x:f>"지형|"&amp;L294</x:f>
        <x:v>지형|수목</x:v>
      </x:c>
      <x:c r="AH294" s="5" t="str">
        <x:f>"온도|"&amp;M294</x:f>
        <x:v>온도|온대</x:v>
      </x:c>
      <x:c r="AI294" s="5" t="str">
        <x:f>"습도|"&amp;N294</x:f>
        <x:v>습도|다습</x:v>
      </x:c>
      <x:c r="AJ294" s="5" t="str">
        <x:f>"날씨|"&amp;O294</x:f>
        <x:v>날씨|무관</x:v>
      </x:c>
      <x:c r="AK294" s="5" t="str">
        <x:f>"특수태그|"&amp;R294</x:f>
        <x:v>특수태그|없음</x:v>
      </x:c>
      <x:c r="AL294" s="5" t="str">
        <x:f>"원본서식지|"&amp;S294</x:f>
        <x:v>원본서식지|숲</x:v>
      </x:c>
      <x:c r="AM294" s="5" t="str">
        <x:f>"타입|"&amp;F294</x:f>
        <x:v>타입|벌레</x:v>
      </x:c>
      <x:c r="AN294" s="5" t="str">
        <x:f>"타입|"&amp;G294</x:f>
        <x:v>타입|땅</x:v>
      </x:c>
    </x:row>
    <x:row r="295" ht="24" customHeight="1">
      <x:c r="A295" s="5" t="n">
        <x:v>291</x:v>
      </x:c>
      <x:c r="B295" s="5" t="inlineStr">
        <x:is>
          <x:t xml:space="preserve">아이스크</x:t>
        </x:is>
      </x:c>
      <x:c r="C295" s="5" t="inlineStr">
        <x:is>
          <x:t xml:space="preserve">ninjask</x:t>
        </x:is>
      </x:c>
      <x:c r="D295" s="5" t="inlineStr">
        <x:is>
          <x:t xml:space="preserve">Ninjask</x:t>
        </x:is>
      </x:c>
      <x:c r="E295" s="5" t="n">
        <x:v>3</x:v>
      </x:c>
      <x:c r="F295" s="5" t="inlineStr">
        <x:is>
          <x:t xml:space="preserve">벌레</x:t>
        </x:is>
      </x:c>
      <x:c r="G295" s="5" t="inlineStr">
        <x:is>
          <x:t xml:space="preserve">비행</x:t>
        </x:is>
      </x:c>
      <x:c r="H295" s="6" t="n">
        <x:v>12</x:v>
      </x:c>
      <x:c r="I295" s="5" t="n">
        <x:v>20</x:v>
      </x:c>
      <x:c r="J295" s="5" t="inlineStr">
        <x:is>
          <x:t xml:space="preserve">최종</x:t>
        </x:is>
      </x:c>
      <x:c r="K295" s="7" t="inlineStr">
        <x:is>
          <x:t xml:space="preserve">비행</x:t>
        </x:is>
      </x:c>
      <x:c r="L295" s="7" t="inlineStr">
        <x:is>
          <x:t xml:space="preserve">수목</x:t>
        </x:is>
      </x:c>
      <x:c r="M295" s="7" t="inlineStr">
        <x:is>
          <x:t xml:space="preserve">온대</x:t>
        </x:is>
      </x:c>
      <x:c r="N295" s="7" t="inlineStr">
        <x:is>
          <x:t xml:space="preserve">다습</x:t>
        </x:is>
      </x:c>
      <x:c r="O295" s="7" t="inlineStr">
        <x:is>
          <x:t xml:space="preserve">무관</x:t>
        </x:is>
      </x:c>
      <x:c r="P295" s="7" t="inlineStr">
        <x:is>
          <x:t xml:space="preserve">낮</x:t>
        </x:is>
      </x:c>
      <x:c r="Q295" s="7" t="inlineStr">
        <x:is>
          <x:t xml:space="preserve">흔함</x:t>
        </x:is>
      </x:c>
      <x:c r="R295" s="7" t="inlineStr">
        <x:is>
          <x:t xml:space="preserve">없음</x:t>
        </x:is>
      </x:c>
      <x:c r="S295" s="7" t="inlineStr">
        <x:is>
          <x:t xml:space="preserve">숲</x:t>
        </x:is>
      </x:c>
      <x:c r="T295" s="7" t="inlineStr">
        <x:is>
          <x:t xml:space="preserve"/>
        </x:is>
      </x:c>
      <x:c r="U295" s="8" t="str">
        <x:f>INDEX('서식지_점수'!$E$4:$P$4,1,MATCH(MAX('서식지_점수'!E295:P295),'서식지_점수'!E295:P295,0))</x:f>
        <x:v>산악</x:v>
      </x:c>
      <x:c r="V295" s="8" t="str">
        <x:f>IF(T295&lt;&gt;"",T295,U295)</x:f>
        <x:v>산악</x:v>
      </x:c>
      <x:c r="W295" s="8" t="str">
        <x:f>IFERROR(INDEX('서식지_점수'!$E$4:$P$4,1,MATCH(MAXIFS('서식지_점수'!E295:P295,'서식지_점수'!E295:P295,"&lt;"&amp;MAX('서식지_점수'!E295:P295)),'서식지_점수'!E295:P295,0)),"")</x:f>
        <x:v>평원</x:v>
      </x:c>
      <x:c r="X295" s="8" t="str">
        <x:f>IF(T295&lt;&gt;"","수동확정",IF(MAX('서식지_점수'!E295:P295)-LARGE('서식지_점수'!E295:P295,2)&gt;=15,"높음",IF(MAX('서식지_점수'!E295:P295)-LARGE('서식지_점수'!E295:P295,2)&gt;=8,"보통","검토필요")))</x:f>
        <x:v>검토필요</x:v>
      </x:c>
      <x:c r="Y295" s="9" t="n">
        <x:f>IF(Q295="전설",8,IF(Q295="희귀",7,IF(J295="기본",1,IF(J295="중간",3,IF(J295="최종",IF(I295="",5,IF(I295&lt;=20,3,IF(I295&lt;=35,4,IF(I295&lt;=50,6,7)))),IF(Q295="드묾",4,2))))))</x:f>
        <x:v>3</x:v>
      </x:c>
      <x:c r="Z295" s="5" t="inlineStr">
        <x:is>
          <x:t xml:space="preserve">#cobblemon:is_forest; #cobblemon:is_jungle; aether:skyroot_forest; aether:skyroot_woodland</x:t>
        </x:is>
      </x:c>
      <x:c r="AA295" s="5" t="inlineStr">
        <x:is>
          <x:t xml:space="preserve">common</x:t>
        </x:is>
      </x:c>
      <x:c r="AB295" s="5" t="inlineStr">
        <x:is>
          <x:t xml:space="preserve">예</x:t>
        </x:is>
      </x:c>
      <x:c r="AC295" s="8" t="str">
        <x:f>IF(T295&lt;&gt;"","수동확정",IF(X295="검토필요","검토필요",IF(S295="","원본없음","초기완료")))</x:f>
        <x:v>검토필요</x:v>
      </x:c>
      <x:c r="AD295" s="7" t="inlineStr">
        <x:is>
          <x:t xml:space="preserve"/>
        </x:is>
      </x:c>
      <x:c r="AE295" s="5" t="inlineStr">
        <x:is>
          <x:t xml:space="preserve">.tmp/cobblemon-1.7.3-source/common/src/main/resources/data/cobblemon/species/generation3/ninjask.json</x:t>
        </x:is>
      </x:c>
      <x:c r="AF295" s="5" t="str">
        <x:f>"생활권|"&amp;K295</x:f>
        <x:v>생활권|비행</x:v>
      </x:c>
      <x:c r="AG295" s="5" t="str">
        <x:f>"지형|"&amp;L295</x:f>
        <x:v>지형|수목</x:v>
      </x:c>
      <x:c r="AH295" s="5" t="str">
        <x:f>"온도|"&amp;M295</x:f>
        <x:v>온도|온대</x:v>
      </x:c>
      <x:c r="AI295" s="5" t="str">
        <x:f>"습도|"&amp;N295</x:f>
        <x:v>습도|다습</x:v>
      </x:c>
      <x:c r="AJ295" s="5" t="str">
        <x:f>"날씨|"&amp;O295</x:f>
        <x:v>날씨|무관</x:v>
      </x:c>
      <x:c r="AK295" s="5" t="str">
        <x:f>"특수태그|"&amp;R295</x:f>
        <x:v>특수태그|없음</x:v>
      </x:c>
      <x:c r="AL295" s="5" t="str">
        <x:f>"원본서식지|"&amp;S295</x:f>
        <x:v>원본서식지|숲</x:v>
      </x:c>
      <x:c r="AM295" s="5" t="str">
        <x:f>"타입|"&amp;F295</x:f>
        <x:v>타입|벌레</x:v>
      </x:c>
      <x:c r="AN295" s="5" t="str">
        <x:f>"타입|"&amp;G295</x:f>
        <x:v>타입|비행</x:v>
      </x:c>
    </x:row>
    <x:row r="296" ht="24" customHeight="1">
      <x:c r="A296" s="5" t="n">
        <x:v>292</x:v>
      </x:c>
      <x:c r="B296" s="5" t="inlineStr">
        <x:is>
          <x:t xml:space="preserve">껍질몬</x:t>
        </x:is>
      </x:c>
      <x:c r="C296" s="5" t="inlineStr">
        <x:is>
          <x:t xml:space="preserve">shedinja</x:t>
        </x:is>
      </x:c>
      <x:c r="D296" s="5" t="inlineStr">
        <x:is>
          <x:t xml:space="preserve">Shedinja</x:t>
        </x:is>
      </x:c>
      <x:c r="E296" s="5" t="n">
        <x:v>3</x:v>
      </x:c>
      <x:c r="F296" s="5" t="inlineStr">
        <x:is>
          <x:t xml:space="preserve">벌레</x:t>
        </x:is>
      </x:c>
      <x:c r="G296" s="5" t="inlineStr">
        <x:is>
          <x:t xml:space="preserve">고스트</x:t>
        </x:is>
      </x:c>
      <x:c r="H296" s="6" t="n">
        <x:v>1.2</x:v>
      </x:c>
      <x:c r="I296" s="5" t="n">
        <x:v>20</x:v>
      </x:c>
      <x:c r="J296" s="5" t="inlineStr">
        <x:is>
          <x:t xml:space="preserve">최종</x:t>
        </x:is>
      </x:c>
      <x:c r="K296" s="7" t="inlineStr">
        <x:is>
          <x:t xml:space="preserve">비행</x:t>
        </x:is>
      </x:c>
      <x:c r="L296" s="7" t="inlineStr">
        <x:is>
          <x:t xml:space="preserve">수목</x:t>
        </x:is>
      </x:c>
      <x:c r="M296" s="7" t="inlineStr">
        <x:is>
          <x:t xml:space="preserve">온대</x:t>
        </x:is>
      </x:c>
      <x:c r="N296" s="7" t="inlineStr">
        <x:is>
          <x:t xml:space="preserve">다습</x:t>
        </x:is>
      </x:c>
      <x:c r="O296" s="7" t="inlineStr">
        <x:is>
          <x:t xml:space="preserve">안개</x:t>
        </x:is>
      </x:c>
      <x:c r="P296" s="7" t="inlineStr">
        <x:is>
          <x:t xml:space="preserve">밤</x:t>
        </x:is>
      </x:c>
      <x:c r="Q296" s="7" t="inlineStr">
        <x:is>
          <x:t xml:space="preserve">보통</x:t>
        </x:is>
      </x:c>
      <x:c r="R296" s="7" t="inlineStr">
        <x:is>
          <x:t xml:space="preserve">영체</x:t>
        </x:is>
      </x:c>
      <x:c r="S296" s="7" t="inlineStr">
        <x:is>
          <x:t xml:space="preserve">숲</x:t>
        </x:is>
      </x:c>
      <x:c r="T296" s="7" t="inlineStr">
        <x:is>
          <x:t xml:space="preserve"/>
        </x:is>
      </x:c>
      <x:c r="U296" s="8" t="str">
        <x:f>INDEX('서식지_점수'!$E$4:$P$4,1,MATCH(MAX('서식지_점수'!E296:P296),'서식지_점수'!E296:P296,0))</x:f>
        <x:v>산악</x:v>
      </x:c>
      <x:c r="V296" s="8" t="str">
        <x:f>IF(T296&lt;&gt;"",T296,U296)</x:f>
        <x:v>산악</x:v>
      </x:c>
      <x:c r="W296" s="8" t="str">
        <x:f>IFERROR(INDEX('서식지_점수'!$E$4:$P$4,1,MATCH(MAXIFS('서식지_점수'!E296:P296,'서식지_점수'!E296:P296,"&lt;"&amp;MAX('서식지_점수'!E296:P296)),'서식지_점수'!E296:P296,0)),"")</x:f>
        <x:v>평원</x:v>
      </x:c>
      <x:c r="X296" s="8" t="str">
        <x:f>IF(T296&lt;&gt;"","수동확정",IF(MAX('서식지_점수'!E296:P296)-LARGE('서식지_점수'!E296:P296,2)&gt;=15,"높음",IF(MAX('서식지_점수'!E296:P296)-LARGE('서식지_점수'!E296:P296,2)&gt;=8,"보통","검토필요")))</x:f>
        <x:v>검토필요</x:v>
      </x:c>
      <x:c r="Y296" s="9" t="n">
        <x:f>IF(Q296="전설",8,IF(Q296="희귀",7,IF(J296="기본",1,IF(J296="중간",3,IF(J296="최종",IF(I296="",5,IF(I296&lt;=20,3,IF(I296&lt;=35,4,IF(I296&lt;=50,6,7)))),IF(Q296="드묾",4,2))))))</x:f>
        <x:v>3</x:v>
      </x:c>
      <x:c r="Z296" s="5" t="inlineStr">
        <x:is>
          <x:t xml:space="preserve">#cobblemon:is_forest; #cobblemon:is_jungle; aether:skyroot_forest; aether:skyroot_woodland</x:t>
        </x:is>
      </x:c>
      <x:c r="AA296" s="5" t="inlineStr">
        <x:is>
          <x:t xml:space="preserve">common; uncommon</x:t>
        </x:is>
      </x:c>
      <x:c r="AB296" s="5" t="inlineStr">
        <x:is>
          <x:t xml:space="preserve">예</x:t>
        </x:is>
      </x:c>
      <x:c r="AC296" s="8" t="str">
        <x:f>IF(T296&lt;&gt;"","수동확정",IF(X296="검토필요","검토필요",IF(S296="","원본없음","초기완료")))</x:f>
        <x:v>검토필요</x:v>
      </x:c>
      <x:c r="AD296" s="7" t="inlineStr">
        <x:is>
          <x:t xml:space="preserve"/>
        </x:is>
      </x:c>
      <x:c r="AE296" s="5" t="inlineStr">
        <x:is>
          <x:t xml:space="preserve">.tmp/cobblemon-1.7.3-source/common/src/main/resources/data/cobblemon/species/generation3/shedinja.json</x:t>
        </x:is>
      </x:c>
      <x:c r="AF296" s="5" t="str">
        <x:f>"생활권|"&amp;K296</x:f>
        <x:v>생활권|비행</x:v>
      </x:c>
      <x:c r="AG296" s="5" t="str">
        <x:f>"지형|"&amp;L296</x:f>
        <x:v>지형|수목</x:v>
      </x:c>
      <x:c r="AH296" s="5" t="str">
        <x:f>"온도|"&amp;M296</x:f>
        <x:v>온도|온대</x:v>
      </x:c>
      <x:c r="AI296" s="5" t="str">
        <x:f>"습도|"&amp;N296</x:f>
        <x:v>습도|다습</x:v>
      </x:c>
      <x:c r="AJ296" s="5" t="str">
        <x:f>"날씨|"&amp;O296</x:f>
        <x:v>날씨|안개</x:v>
      </x:c>
      <x:c r="AK296" s="5" t="str">
        <x:f>"특수태그|"&amp;R296</x:f>
        <x:v>특수태그|영체</x:v>
      </x:c>
      <x:c r="AL296" s="5" t="str">
        <x:f>"원본서식지|"&amp;S296</x:f>
        <x:v>원본서식지|숲</x:v>
      </x:c>
      <x:c r="AM296" s="5" t="str">
        <x:f>"타입|"&amp;F296</x:f>
        <x:v>타입|벌레</x:v>
      </x:c>
      <x:c r="AN296" s="5" t="str">
        <x:f>"타입|"&amp;G296</x:f>
        <x:v>타입|고스트</x:v>
      </x:c>
    </x:row>
    <x:row r="297" ht="24" customHeight="1">
      <x:c r="A297" s="5" t="n">
        <x:v>293</x:v>
      </x:c>
      <x:c r="B297" s="5" t="inlineStr">
        <x:is>
          <x:t xml:space="preserve">소곤룡</x:t>
        </x:is>
      </x:c>
      <x:c r="C297" s="5" t="inlineStr">
        <x:is>
          <x:t xml:space="preserve">whismur</x:t>
        </x:is>
      </x:c>
      <x:c r="D297" s="5" t="inlineStr">
        <x:is>
          <x:t xml:space="preserve">Whismur</x:t>
        </x:is>
      </x:c>
      <x:c r="E297" s="5" t="n">
        <x:v>3</x:v>
      </x:c>
      <x:c r="F297" s="5" t="inlineStr">
        <x:is>
          <x:t xml:space="preserve">노말</x:t>
        </x:is>
      </x:c>
      <x:c r="G297" s="5" t="inlineStr">
        <x:is>
          <x:t xml:space="preserve"/>
        </x:is>
      </x:c>
      <x:c r="H297" s="6" t="n">
        <x:v>16.3</x:v>
      </x:c>
      <x:c r="I297" s="5" t="n">
        <x:v>40</x:v>
      </x:c>
      <x:c r="J297" s="5" t="inlineStr">
        <x:is>
          <x:t xml:space="preserve">기본</x:t>
        </x:is>
      </x:c>
      <x:c r="K297" s="7" t="inlineStr">
        <x:is>
          <x:t xml:space="preserve">육상</x:t>
        </x:is>
      </x:c>
      <x:c r="L297" s="7" t="inlineStr">
        <x:is>
          <x:t xml:space="preserve">동굴</x:t>
        </x:is>
      </x:c>
      <x:c r="M297" s="7" t="inlineStr">
        <x:is>
          <x:t xml:space="preserve">온대</x:t>
        </x:is>
      </x:c>
      <x:c r="N297" s="7" t="inlineStr">
        <x:is>
          <x:t xml:space="preserve">보통</x:t>
        </x:is>
      </x:c>
      <x:c r="O297" s="7" t="inlineStr">
        <x:is>
          <x:t xml:space="preserve">무관</x:t>
        </x:is>
      </x:c>
      <x:c r="P297" s="7" t="inlineStr">
        <x:is>
          <x:t xml:space="preserve">무관</x:t>
        </x:is>
      </x:c>
      <x:c r="Q297" s="7" t="inlineStr">
        <x:is>
          <x:t xml:space="preserve">보통</x:t>
        </x:is>
      </x:c>
      <x:c r="R297" s="7" t="inlineStr">
        <x:is>
          <x:t xml:space="preserve">동굴</x:t>
        </x:is>
      </x:c>
      <x:c r="S297" s="7" t="inlineStr">
        <x:is>
          <x:t xml:space="preserve">동굴</x:t>
        </x:is>
      </x:c>
      <x:c r="T297" s="7" t="inlineStr">
        <x:is>
          <x:t xml:space="preserve"/>
        </x:is>
      </x:c>
      <x:c r="U297" s="8" t="str">
        <x:f>INDEX('서식지_점수'!$E$4:$P$4,1,MATCH(MAX('서식지_점수'!E297:P297),'서식지_점수'!E297:P297,0))</x:f>
        <x:v>평원</x:v>
      </x:c>
      <x:c r="V297" s="8" t="str">
        <x:f>IF(T297&lt;&gt;"",T297,U297)</x:f>
        <x:v>평원</x:v>
      </x:c>
      <x:c r="W297" s="8" t="str">
        <x:f>IFERROR(INDEX('서식지_점수'!$E$4:$P$4,1,MATCH(MAXIFS('서식지_점수'!E297:P297,'서식지_점수'!E297:P297,"&lt;"&amp;MAX('서식지_점수'!E297:P297)),'서식지_점수'!E297:P297,0)),"")</x:f>
        <x:v>숲</x:v>
      </x:c>
      <x:c r="X297" s="8" t="str">
        <x:f>IF(T297&lt;&gt;"","수동확정",IF(MAX('서식지_점수'!E297:P297)-LARGE('서식지_점수'!E297:P297,2)&gt;=15,"높음",IF(MAX('서식지_점수'!E297:P297)-LARGE('서식지_점수'!E297:P297,2)&gt;=8,"보통","검토필요")))</x:f>
        <x:v>검토필요</x:v>
      </x:c>
      <x:c r="Y297" s="9" t="n">
        <x:f>IF(Q297="전설",8,IF(Q297="희귀",7,IF(J297="기본",1,IF(J297="중간",3,IF(J297="최종",IF(I297="",5,IF(I297&lt;=20,3,IF(I297&lt;=35,4,IF(I297&lt;=50,6,7)))),IF(Q297="드묾",4,2))))))</x:f>
        <x:v>1</x:v>
      </x:c>
      <x:c r="Z297" s="5" t="inlineStr">
        <x:is>
          <x:t xml:space="preserve">#cobblemon:is_deep_dark; #cobblemon:is_overworld</x:t>
        </x:is>
      </x:c>
      <x:c r="AA297" s="5" t="inlineStr">
        <x:is>
          <x:t xml:space="preserve">common; uncommon</x:t>
        </x:is>
      </x:c>
      <x:c r="AB297" s="5" t="inlineStr">
        <x:is>
          <x:t xml:space="preserve">예</x:t>
        </x:is>
      </x:c>
      <x:c r="AC297" s="8" t="str">
        <x:f>IF(T297&lt;&gt;"","수동확정",IF(X297="검토필요","검토필요",IF(S297="","원본없음","초기완료")))</x:f>
        <x:v>검토필요</x:v>
      </x:c>
      <x:c r="AD297" s="7" t="inlineStr">
        <x:is>
          <x:t xml:space="preserve"/>
        </x:is>
      </x:c>
      <x:c r="AE297" s="5" t="inlineStr">
        <x:is>
          <x:t xml:space="preserve">.tmp/cobblemon-1.7.3-source/common/src/main/resources/data/cobblemon/species/generation3/whismur.json</x:t>
        </x:is>
      </x:c>
      <x:c r="AF297" s="5" t="str">
        <x:f>"생활권|"&amp;K297</x:f>
        <x:v>생활권|육상</x:v>
      </x:c>
      <x:c r="AG297" s="5" t="str">
        <x:f>"지형|"&amp;L297</x:f>
        <x:v>지형|동굴</x:v>
      </x:c>
      <x:c r="AH297" s="5" t="str">
        <x:f>"온도|"&amp;M297</x:f>
        <x:v>온도|온대</x:v>
      </x:c>
      <x:c r="AI297" s="5" t="str">
        <x:f>"습도|"&amp;N297</x:f>
        <x:v>습도|보통</x:v>
      </x:c>
      <x:c r="AJ297" s="5" t="str">
        <x:f>"날씨|"&amp;O297</x:f>
        <x:v>날씨|무관</x:v>
      </x:c>
      <x:c r="AK297" s="5" t="str">
        <x:f>"특수태그|"&amp;R297</x:f>
        <x:v>특수태그|동굴</x:v>
      </x:c>
      <x:c r="AL297" s="5" t="str">
        <x:f>"원본서식지|"&amp;S297</x:f>
        <x:v>원본서식지|동굴</x:v>
      </x:c>
      <x:c r="AM297" s="5" t="str">
        <x:f>"타입|"&amp;F297</x:f>
        <x:v>타입|노말</x:v>
      </x:c>
      <x:c r="AN297" s="5" t="str">
        <x:f>"타입|"&amp;G297</x:f>
        <x:v>타입|</x:v>
      </x:c>
    </x:row>
    <x:row r="298" ht="24" customHeight="1">
      <x:c r="A298" s="5" t="n">
        <x:v>294</x:v>
      </x:c>
      <x:c r="B298" s="5" t="inlineStr">
        <x:is>
          <x:t xml:space="preserve">노공룡</x:t>
        </x:is>
      </x:c>
      <x:c r="C298" s="5" t="inlineStr">
        <x:is>
          <x:t xml:space="preserve">loudred</x:t>
        </x:is>
      </x:c>
      <x:c r="D298" s="5" t="inlineStr">
        <x:is>
          <x:t xml:space="preserve">Loudred</x:t>
        </x:is>
      </x:c>
      <x:c r="E298" s="5" t="n">
        <x:v>3</x:v>
      </x:c>
      <x:c r="F298" s="5" t="inlineStr">
        <x:is>
          <x:t xml:space="preserve">노말</x:t>
        </x:is>
      </x:c>
      <x:c r="G298" s="5" t="inlineStr">
        <x:is>
          <x:t xml:space="preserve"/>
        </x:is>
      </x:c>
      <x:c r="H298" s="6" t="n">
        <x:v>40.5</x:v>
      </x:c>
      <x:c r="I298" s="5" t="n">
        <x:v>40</x:v>
      </x:c>
      <x:c r="J298" s="5" t="inlineStr">
        <x:is>
          <x:t xml:space="preserve">중간</x:t>
        </x:is>
      </x:c>
      <x:c r="K298" s="7" t="inlineStr">
        <x:is>
          <x:t xml:space="preserve">육상</x:t>
        </x:is>
      </x:c>
      <x:c r="L298" s="7" t="inlineStr">
        <x:is>
          <x:t xml:space="preserve">동굴</x:t>
        </x:is>
      </x:c>
      <x:c r="M298" s="7" t="inlineStr">
        <x:is>
          <x:t xml:space="preserve">온대</x:t>
        </x:is>
      </x:c>
      <x:c r="N298" s="7" t="inlineStr">
        <x:is>
          <x:t xml:space="preserve">보통</x:t>
        </x:is>
      </x:c>
      <x:c r="O298" s="7" t="inlineStr">
        <x:is>
          <x:t xml:space="preserve">무관</x:t>
        </x:is>
      </x:c>
      <x:c r="P298" s="7" t="inlineStr">
        <x:is>
          <x:t xml:space="preserve">무관</x:t>
        </x:is>
      </x:c>
      <x:c r="Q298" s="7" t="inlineStr">
        <x:is>
          <x:t xml:space="preserve">보통</x:t>
        </x:is>
      </x:c>
      <x:c r="R298" s="7" t="inlineStr">
        <x:is>
          <x:t xml:space="preserve">동굴</x:t>
        </x:is>
      </x:c>
      <x:c r="S298" s="7" t="inlineStr">
        <x:is>
          <x:t xml:space="preserve">동굴</x:t>
        </x:is>
      </x:c>
      <x:c r="T298" s="7" t="inlineStr">
        <x:is>
          <x:t xml:space="preserve"/>
        </x:is>
      </x:c>
      <x:c r="U298" s="8" t="str">
        <x:f>INDEX('서식지_점수'!$E$4:$P$4,1,MATCH(MAX('서식지_점수'!E298:P298),'서식지_점수'!E298:P298,0))</x:f>
        <x:v>평원</x:v>
      </x:c>
      <x:c r="V298" s="8" t="str">
        <x:f>IF(T298&lt;&gt;"",T298,U298)</x:f>
        <x:v>평원</x:v>
      </x:c>
      <x:c r="W298" s="8" t="str">
        <x:f>IFERROR(INDEX('서식지_점수'!$E$4:$P$4,1,MATCH(MAXIFS('서식지_점수'!E298:P298,'서식지_점수'!E298:P298,"&lt;"&amp;MAX('서식지_점수'!E298:P298)),'서식지_점수'!E298:P298,0)),"")</x:f>
        <x:v>숲</x:v>
      </x:c>
      <x:c r="X298" s="8" t="str">
        <x:f>IF(T298&lt;&gt;"","수동확정",IF(MAX('서식지_점수'!E298:P298)-LARGE('서식지_점수'!E298:P298,2)&gt;=15,"높음",IF(MAX('서식지_점수'!E298:P298)-LARGE('서식지_점수'!E298:P298,2)&gt;=8,"보통","검토필요")))</x:f>
        <x:v>검토필요</x:v>
      </x:c>
      <x:c r="Y298" s="9" t="n">
        <x:f>IF(Q298="전설",8,IF(Q298="희귀",7,IF(J298="기본",1,IF(J298="중간",3,IF(J298="최종",IF(I298="",5,IF(I298&lt;=20,3,IF(I298&lt;=35,4,IF(I298&lt;=50,6,7)))),IF(Q298="드묾",4,2))))))</x:f>
        <x:v>3</x:v>
      </x:c>
      <x:c r="Z298" s="5" t="inlineStr">
        <x:is>
          <x:t xml:space="preserve">#cobblemon:is_deep_dark; #cobblemon:is_overworld</x:t>
        </x:is>
      </x:c>
      <x:c r="AA298" s="5" t="inlineStr">
        <x:is>
          <x:t xml:space="preserve">common; uncommon</x:t>
        </x:is>
      </x:c>
      <x:c r="AB298" s="5" t="inlineStr">
        <x:is>
          <x:t xml:space="preserve">예</x:t>
        </x:is>
      </x:c>
      <x:c r="AC298" s="8" t="str">
        <x:f>IF(T298&lt;&gt;"","수동확정",IF(X298="검토필요","검토필요",IF(S298="","원본없음","초기완료")))</x:f>
        <x:v>검토필요</x:v>
      </x:c>
      <x:c r="AD298" s="7" t="inlineStr">
        <x:is>
          <x:t xml:space="preserve"/>
        </x:is>
      </x:c>
      <x:c r="AE298" s="5" t="inlineStr">
        <x:is>
          <x:t xml:space="preserve">.tmp/cobblemon-1.7.3-source/common/src/main/resources/data/cobblemon/species/generation3/loudred.json</x:t>
        </x:is>
      </x:c>
      <x:c r="AF298" s="5" t="str">
        <x:f>"생활권|"&amp;K298</x:f>
        <x:v>생활권|육상</x:v>
      </x:c>
      <x:c r="AG298" s="5" t="str">
        <x:f>"지형|"&amp;L298</x:f>
        <x:v>지형|동굴</x:v>
      </x:c>
      <x:c r="AH298" s="5" t="str">
        <x:f>"온도|"&amp;M298</x:f>
        <x:v>온도|온대</x:v>
      </x:c>
      <x:c r="AI298" s="5" t="str">
        <x:f>"습도|"&amp;N298</x:f>
        <x:v>습도|보통</x:v>
      </x:c>
      <x:c r="AJ298" s="5" t="str">
        <x:f>"날씨|"&amp;O298</x:f>
        <x:v>날씨|무관</x:v>
      </x:c>
      <x:c r="AK298" s="5" t="str">
        <x:f>"특수태그|"&amp;R298</x:f>
        <x:v>특수태그|동굴</x:v>
      </x:c>
      <x:c r="AL298" s="5" t="str">
        <x:f>"원본서식지|"&amp;S298</x:f>
        <x:v>원본서식지|동굴</x:v>
      </x:c>
      <x:c r="AM298" s="5" t="str">
        <x:f>"타입|"&amp;F298</x:f>
        <x:v>타입|노말</x:v>
      </x:c>
      <x:c r="AN298" s="5" t="str">
        <x:f>"타입|"&amp;G298</x:f>
        <x:v>타입|</x:v>
      </x:c>
    </x:row>
    <x:row r="299" ht="24" customHeight="1">
      <x:c r="A299" s="5" t="n">
        <x:v>295</x:v>
      </x:c>
      <x:c r="B299" s="5" t="inlineStr">
        <x:is>
          <x:t xml:space="preserve">폭음룡</x:t>
        </x:is>
      </x:c>
      <x:c r="C299" s="5" t="inlineStr">
        <x:is>
          <x:t xml:space="preserve">exploud</x:t>
        </x:is>
      </x:c>
      <x:c r="D299" s="5" t="inlineStr">
        <x:is>
          <x:t xml:space="preserve">Exploud</x:t>
        </x:is>
      </x:c>
      <x:c r="E299" s="5" t="n">
        <x:v>3</x:v>
      </x:c>
      <x:c r="F299" s="5" t="inlineStr">
        <x:is>
          <x:t xml:space="preserve">노말</x:t>
        </x:is>
      </x:c>
      <x:c r="G299" s="5" t="inlineStr">
        <x:is>
          <x:t xml:space="preserve"/>
        </x:is>
      </x:c>
      <x:c r="H299" s="6" t="n">
        <x:v>84</x:v>
      </x:c>
      <x:c r="I299" s="5" t="n">
        <x:v>40</x:v>
      </x:c>
      <x:c r="J299" s="5" t="inlineStr">
        <x:is>
          <x:t xml:space="preserve">최종</x:t>
        </x:is>
      </x:c>
      <x:c r="K299" s="7" t="inlineStr">
        <x:is>
          <x:t xml:space="preserve">육상</x:t>
        </x:is>
      </x:c>
      <x:c r="L299" s="7" t="inlineStr">
        <x:is>
          <x:t xml:space="preserve">동굴</x:t>
        </x:is>
      </x:c>
      <x:c r="M299" s="7" t="inlineStr">
        <x:is>
          <x:t xml:space="preserve">온대</x:t>
        </x:is>
      </x:c>
      <x:c r="N299" s="7" t="inlineStr">
        <x:is>
          <x:t xml:space="preserve">보통</x:t>
        </x:is>
      </x:c>
      <x:c r="O299" s="7" t="inlineStr">
        <x:is>
          <x:t xml:space="preserve">무관</x:t>
        </x:is>
      </x:c>
      <x:c r="P299" s="7" t="inlineStr">
        <x:is>
          <x:t xml:space="preserve">무관</x:t>
        </x:is>
      </x:c>
      <x:c r="Q299" s="7" t="inlineStr">
        <x:is>
          <x:t xml:space="preserve">보통</x:t>
        </x:is>
      </x:c>
      <x:c r="R299" s="7" t="inlineStr">
        <x:is>
          <x:t xml:space="preserve">동굴</x:t>
        </x:is>
      </x:c>
      <x:c r="S299" s="7" t="inlineStr">
        <x:is>
          <x:t xml:space="preserve">동굴</x:t>
        </x:is>
      </x:c>
      <x:c r="T299" s="7" t="inlineStr">
        <x:is>
          <x:t xml:space="preserve"/>
        </x:is>
      </x:c>
      <x:c r="U299" s="8" t="str">
        <x:f>INDEX('서식지_점수'!$E$4:$P$4,1,MATCH(MAX('서식지_점수'!E299:P299),'서식지_점수'!E299:P299,0))</x:f>
        <x:v>평원</x:v>
      </x:c>
      <x:c r="V299" s="8" t="str">
        <x:f>IF(T299&lt;&gt;"",T299,U299)</x:f>
        <x:v>평원</x:v>
      </x:c>
      <x:c r="W299" s="8" t="str">
        <x:f>IFERROR(INDEX('서식지_점수'!$E$4:$P$4,1,MATCH(MAXIFS('서식지_점수'!E299:P299,'서식지_점수'!E299:P299,"&lt;"&amp;MAX('서식지_점수'!E299:P299)),'서식지_점수'!E299:P299,0)),"")</x:f>
        <x:v>숲</x:v>
      </x:c>
      <x:c r="X299" s="8" t="str">
        <x:f>IF(T299&lt;&gt;"","수동확정",IF(MAX('서식지_점수'!E299:P299)-LARGE('서식지_점수'!E299:P299,2)&gt;=15,"높음",IF(MAX('서식지_점수'!E299:P299)-LARGE('서식지_점수'!E299:P299,2)&gt;=8,"보통","검토필요")))</x:f>
        <x:v>검토필요</x:v>
      </x:c>
      <x:c r="Y299" s="9" t="n">
        <x:f>IF(Q299="전설",8,IF(Q299="희귀",7,IF(J299="기본",1,IF(J299="중간",3,IF(J299="최종",IF(I299="",5,IF(I299&lt;=20,3,IF(I299&lt;=35,4,IF(I299&lt;=50,6,7)))),IF(Q299="드묾",4,2))))))</x:f>
        <x:v>6</x:v>
      </x:c>
      <x:c r="Z299" s="5" t="inlineStr">
        <x:is>
          <x:t xml:space="preserve">#cobblemon:is_deep_dark; #cobblemon:is_overworld</x:t>
        </x:is>
      </x:c>
      <x:c r="AA299" s="5" t="inlineStr">
        <x:is>
          <x:t xml:space="preserve">common; uncommon</x:t>
        </x:is>
      </x:c>
      <x:c r="AB299" s="5" t="inlineStr">
        <x:is>
          <x:t xml:space="preserve">예</x:t>
        </x:is>
      </x:c>
      <x:c r="AC299" s="8" t="str">
        <x:f>IF(T299&lt;&gt;"","수동확정",IF(X299="검토필요","검토필요",IF(S299="","원본없음","초기완료")))</x:f>
        <x:v>검토필요</x:v>
      </x:c>
      <x:c r="AD299" s="7" t="inlineStr">
        <x:is>
          <x:t xml:space="preserve"/>
        </x:is>
      </x:c>
      <x:c r="AE299" s="5" t="inlineStr">
        <x:is>
          <x:t xml:space="preserve">.tmp/cobblemon-1.7.3-source/common/src/main/resources/data/cobblemon/species/generation3/exploud.json</x:t>
        </x:is>
      </x:c>
      <x:c r="AF299" s="5" t="str">
        <x:f>"생활권|"&amp;K299</x:f>
        <x:v>생활권|육상</x:v>
      </x:c>
      <x:c r="AG299" s="5" t="str">
        <x:f>"지형|"&amp;L299</x:f>
        <x:v>지형|동굴</x:v>
      </x:c>
      <x:c r="AH299" s="5" t="str">
        <x:f>"온도|"&amp;M299</x:f>
        <x:v>온도|온대</x:v>
      </x:c>
      <x:c r="AI299" s="5" t="str">
        <x:f>"습도|"&amp;N299</x:f>
        <x:v>습도|보통</x:v>
      </x:c>
      <x:c r="AJ299" s="5" t="str">
        <x:f>"날씨|"&amp;O299</x:f>
        <x:v>날씨|무관</x:v>
      </x:c>
      <x:c r="AK299" s="5" t="str">
        <x:f>"특수태그|"&amp;R299</x:f>
        <x:v>특수태그|동굴</x:v>
      </x:c>
      <x:c r="AL299" s="5" t="str">
        <x:f>"원본서식지|"&amp;S299</x:f>
        <x:v>원본서식지|동굴</x:v>
      </x:c>
      <x:c r="AM299" s="5" t="str">
        <x:f>"타입|"&amp;F299</x:f>
        <x:v>타입|노말</x:v>
      </x:c>
      <x:c r="AN299" s="5" t="str">
        <x:f>"타입|"&amp;G299</x:f>
        <x:v>타입|</x:v>
      </x:c>
    </x:row>
    <x:row r="300" ht="24" customHeight="1">
      <x:c r="A300" s="5" t="n">
        <x:v>296</x:v>
      </x:c>
      <x:c r="B300" s="5" t="inlineStr">
        <x:is>
          <x:t xml:space="preserve">마크탕</x:t>
        </x:is>
      </x:c>
      <x:c r="C300" s="5" t="inlineStr">
        <x:is>
          <x:t xml:space="preserve">makuhita</x:t>
        </x:is>
      </x:c>
      <x:c r="D300" s="5" t="inlineStr">
        <x:is>
          <x:t xml:space="preserve">Makuhita</x:t>
        </x:is>
      </x:c>
      <x:c r="E300" s="5" t="n">
        <x:v>3</x:v>
      </x:c>
      <x:c r="F300" s="5" t="inlineStr">
        <x:is>
          <x:t xml:space="preserve">격투</x:t>
        </x:is>
      </x:c>
      <x:c r="G300" s="5" t="inlineStr">
        <x:is>
          <x:t xml:space="preserve"/>
        </x:is>
      </x:c>
      <x:c r="H300" s="6" t="n">
        <x:v>86.40000000000001</x:v>
      </x:c>
      <x:c r="I300" s="5" t="n">
        <x:v>24</x:v>
      </x:c>
      <x:c r="J300" s="5" t="inlineStr">
        <x:is>
          <x:t xml:space="preserve">기본</x:t>
        </x:is>
      </x:c>
      <x:c r="K300" s="7" t="inlineStr">
        <x:is>
          <x:t xml:space="preserve">육상</x:t>
        </x:is>
      </x:c>
      <x:c r="L300" s="7" t="inlineStr">
        <x:is>
          <x:t xml:space="preserve">암석</x:t>
        </x:is>
      </x:c>
      <x:c r="M300" s="7" t="inlineStr">
        <x:is>
          <x:t xml:space="preserve">온대</x:t>
        </x:is>
      </x:c>
      <x:c r="N300" s="7" t="inlineStr">
        <x:is>
          <x:t xml:space="preserve">보통</x:t>
        </x:is>
      </x:c>
      <x:c r="O300" s="7" t="inlineStr">
        <x:is>
          <x:t xml:space="preserve">무관</x:t>
        </x:is>
      </x:c>
      <x:c r="P300" s="7" t="inlineStr">
        <x:is>
          <x:t xml:space="preserve">무관</x:t>
        </x:is>
      </x:c>
      <x:c r="Q300" s="7" t="inlineStr">
        <x:is>
          <x:t xml:space="preserve">흔함</x:t>
        </x:is>
      </x:c>
      <x:c r="R300" s="7" t="inlineStr">
        <x:is>
          <x:t xml:space="preserve">없음</x:t>
        </x:is>
      </x:c>
      <x:c r="S300" s="7" t="inlineStr">
        <x:is>
          <x:t xml:space="preserve">산악</x:t>
        </x:is>
      </x:c>
      <x:c r="T300" s="7" t="inlineStr">
        <x:is>
          <x:t xml:space="preserve"/>
        </x:is>
      </x:c>
      <x:c r="U300" s="8" t="str">
        <x:f>INDEX('서식지_점수'!$E$4:$P$4,1,MATCH(MAX('서식지_점수'!E300:P300),'서식지_점수'!E300:P300,0))</x:f>
        <x:v>평원</x:v>
      </x:c>
      <x:c r="V300" s="8" t="str">
        <x:f>IF(T300&lt;&gt;"",T300,U300)</x:f>
        <x:v>평원</x:v>
      </x:c>
      <x:c r="W300" s="8" t="str">
        <x:f>IFERROR(INDEX('서식지_점수'!$E$4:$P$4,1,MATCH(MAXIFS('서식지_점수'!E300:P300,'서식지_점수'!E300:P300,"&lt;"&amp;MAX('서식지_점수'!E300:P300)),'서식지_점수'!E300:P300,0)),"")</x:f>
        <x:v>숲</x:v>
      </x:c>
      <x:c r="X300" s="8" t="str">
        <x:f>IF(T300&lt;&gt;"","수동확정",IF(MAX('서식지_점수'!E300:P300)-LARGE('서식지_점수'!E300:P300,2)&gt;=15,"높음",IF(MAX('서식지_점수'!E300:P300)-LARGE('서식지_점수'!E300:P300,2)&gt;=8,"보통","검토필요")))</x:f>
        <x:v>검토필요</x:v>
      </x:c>
      <x:c r="Y300" s="9" t="n">
        <x:f>IF(Q300="전설",8,IF(Q300="희귀",7,IF(J300="기본",1,IF(J300="중간",3,IF(J300="최종",IF(I300="",5,IF(I300&lt;=20,3,IF(I300&lt;=35,4,IF(I300&lt;=50,6,7)))),IF(Q300="드묾",4,2))))))</x:f>
        <x:v>1</x:v>
      </x:c>
      <x:c r="Z300" s="5" t="inlineStr">
        <x:is>
          <x:t xml:space="preserve">#cobblemon:is_mountain</x:t>
        </x:is>
      </x:c>
      <x:c r="AA300" s="5" t="inlineStr">
        <x:is>
          <x:t xml:space="preserve">common</x:t>
        </x:is>
      </x:c>
      <x:c r="AB300" s="5" t="inlineStr">
        <x:is>
          <x:t xml:space="preserve">예</x:t>
        </x:is>
      </x:c>
      <x:c r="AC300" s="8" t="str">
        <x:f>IF(T300&lt;&gt;"","수동확정",IF(X300="검토필요","검토필요",IF(S300="","원본없음","초기완료")))</x:f>
        <x:v>검토필요</x:v>
      </x:c>
      <x:c r="AD300" s="7" t="inlineStr">
        <x:is>
          <x:t xml:space="preserve"/>
        </x:is>
      </x:c>
      <x:c r="AE300" s="5" t="inlineStr">
        <x:is>
          <x:t xml:space="preserve">.tmp/cobblemon-1.7.3-source/common/src/main/resources/data/cobblemon/species/generation3/makuhita.json</x:t>
        </x:is>
      </x:c>
      <x:c r="AF300" s="5" t="str">
        <x:f>"생활권|"&amp;K300</x:f>
        <x:v>생활권|육상</x:v>
      </x:c>
      <x:c r="AG300" s="5" t="str">
        <x:f>"지형|"&amp;L300</x:f>
        <x:v>지형|암석</x:v>
      </x:c>
      <x:c r="AH300" s="5" t="str">
        <x:f>"온도|"&amp;M300</x:f>
        <x:v>온도|온대</x:v>
      </x:c>
      <x:c r="AI300" s="5" t="str">
        <x:f>"습도|"&amp;N300</x:f>
        <x:v>습도|보통</x:v>
      </x:c>
      <x:c r="AJ300" s="5" t="str">
        <x:f>"날씨|"&amp;O300</x:f>
        <x:v>날씨|무관</x:v>
      </x:c>
      <x:c r="AK300" s="5" t="str">
        <x:f>"특수태그|"&amp;R300</x:f>
        <x:v>특수태그|없음</x:v>
      </x:c>
      <x:c r="AL300" s="5" t="str">
        <x:f>"원본서식지|"&amp;S300</x:f>
        <x:v>원본서식지|산악</x:v>
      </x:c>
      <x:c r="AM300" s="5" t="str">
        <x:f>"타입|"&amp;F300</x:f>
        <x:v>타입|격투</x:v>
      </x:c>
      <x:c r="AN300" s="5" t="str">
        <x:f>"타입|"&amp;G300</x:f>
        <x:v>타입|</x:v>
      </x:c>
    </x:row>
    <x:row r="301" ht="24" customHeight="1">
      <x:c r="A301" s="5" t="n">
        <x:v>297</x:v>
      </x:c>
      <x:c r="B301" s="5" t="inlineStr">
        <x:is>
          <x:t xml:space="preserve">하리뭉</x:t>
        </x:is>
      </x:c>
      <x:c r="C301" s="5" t="inlineStr">
        <x:is>
          <x:t xml:space="preserve">hariyama</x:t>
        </x:is>
      </x:c>
      <x:c r="D301" s="5" t="inlineStr">
        <x:is>
          <x:t xml:space="preserve">Hariyama</x:t>
        </x:is>
      </x:c>
      <x:c r="E301" s="5" t="n">
        <x:v>3</x:v>
      </x:c>
      <x:c r="F301" s="5" t="inlineStr">
        <x:is>
          <x:t xml:space="preserve">격투</x:t>
        </x:is>
      </x:c>
      <x:c r="G301" s="5" t="inlineStr">
        <x:is>
          <x:t xml:space="preserve"/>
        </x:is>
      </x:c>
      <x:c r="H301" s="6" t="n">
        <x:v>253.8</x:v>
      </x:c>
      <x:c r="I301" s="5" t="n">
        <x:v>24</x:v>
      </x:c>
      <x:c r="J301" s="5" t="inlineStr">
        <x:is>
          <x:t xml:space="preserve">최종</x:t>
        </x:is>
      </x:c>
      <x:c r="K301" s="7" t="inlineStr">
        <x:is>
          <x:t xml:space="preserve">육상</x:t>
        </x:is>
      </x:c>
      <x:c r="L301" s="7" t="inlineStr">
        <x:is>
          <x:t xml:space="preserve">암석</x:t>
        </x:is>
      </x:c>
      <x:c r="M301" s="7" t="inlineStr">
        <x:is>
          <x:t xml:space="preserve">온대</x:t>
        </x:is>
      </x:c>
      <x:c r="N301" s="7" t="inlineStr">
        <x:is>
          <x:t xml:space="preserve">보통</x:t>
        </x:is>
      </x:c>
      <x:c r="O301" s="7" t="inlineStr">
        <x:is>
          <x:t xml:space="preserve">무관</x:t>
        </x:is>
      </x:c>
      <x:c r="P301" s="7" t="inlineStr">
        <x:is>
          <x:t xml:space="preserve">무관</x:t>
        </x:is>
      </x:c>
      <x:c r="Q301" s="7" t="inlineStr">
        <x:is>
          <x:t xml:space="preserve">흔함</x:t>
        </x:is>
      </x:c>
      <x:c r="R301" s="7" t="inlineStr">
        <x:is>
          <x:t xml:space="preserve">없음</x:t>
        </x:is>
      </x:c>
      <x:c r="S301" s="7" t="inlineStr">
        <x:is>
          <x:t xml:space="preserve">산악</x:t>
        </x:is>
      </x:c>
      <x:c r="T301" s="7" t="inlineStr">
        <x:is>
          <x:t xml:space="preserve"/>
        </x:is>
      </x:c>
      <x:c r="U301" s="8" t="str">
        <x:f>INDEX('서식지_점수'!$E$4:$P$4,1,MATCH(MAX('서식지_점수'!E301:P301),'서식지_점수'!E301:P301,0))</x:f>
        <x:v>평원</x:v>
      </x:c>
      <x:c r="V301" s="8" t="str">
        <x:f>IF(T301&lt;&gt;"",T301,U301)</x:f>
        <x:v>평원</x:v>
      </x:c>
      <x:c r="W301" s="8" t="str">
        <x:f>IFERROR(INDEX('서식지_점수'!$E$4:$P$4,1,MATCH(MAXIFS('서식지_점수'!E301:P301,'서식지_점수'!E301:P301,"&lt;"&amp;MAX('서식지_점수'!E301:P301)),'서식지_점수'!E301:P301,0)),"")</x:f>
        <x:v>숲</x:v>
      </x:c>
      <x:c r="X301" s="8" t="str">
        <x:f>IF(T301&lt;&gt;"","수동확정",IF(MAX('서식지_점수'!E301:P301)-LARGE('서식지_점수'!E301:P301,2)&gt;=15,"높음",IF(MAX('서식지_점수'!E301:P301)-LARGE('서식지_점수'!E301:P301,2)&gt;=8,"보통","검토필요")))</x:f>
        <x:v>검토필요</x:v>
      </x:c>
      <x:c r="Y301" s="9" t="n">
        <x:f>IF(Q301="전설",8,IF(Q301="희귀",7,IF(J301="기본",1,IF(J301="중간",3,IF(J301="최종",IF(I301="",5,IF(I301&lt;=20,3,IF(I301&lt;=35,4,IF(I301&lt;=50,6,7)))),IF(Q301="드묾",4,2))))))</x:f>
        <x:v>4</x:v>
      </x:c>
      <x:c r="Z301" s="5" t="inlineStr">
        <x:is>
          <x:t xml:space="preserve">#cobblemon:is_mountain</x:t>
        </x:is>
      </x:c>
      <x:c r="AA301" s="5" t="inlineStr">
        <x:is>
          <x:t xml:space="preserve">common</x:t>
        </x:is>
      </x:c>
      <x:c r="AB301" s="5" t="inlineStr">
        <x:is>
          <x:t xml:space="preserve">예</x:t>
        </x:is>
      </x:c>
      <x:c r="AC301" s="8" t="str">
        <x:f>IF(T301&lt;&gt;"","수동확정",IF(X301="검토필요","검토필요",IF(S301="","원본없음","초기완료")))</x:f>
        <x:v>검토필요</x:v>
      </x:c>
      <x:c r="AD301" s="7" t="inlineStr">
        <x:is>
          <x:t xml:space="preserve"/>
        </x:is>
      </x:c>
      <x:c r="AE301" s="5" t="inlineStr">
        <x:is>
          <x:t xml:space="preserve">.tmp/cobblemon-1.7.3-source/common/src/main/resources/data/cobblemon/species/generation3/hariyama.json</x:t>
        </x:is>
      </x:c>
      <x:c r="AF301" s="5" t="str">
        <x:f>"생활권|"&amp;K301</x:f>
        <x:v>생활권|육상</x:v>
      </x:c>
      <x:c r="AG301" s="5" t="str">
        <x:f>"지형|"&amp;L301</x:f>
        <x:v>지형|암석</x:v>
      </x:c>
      <x:c r="AH301" s="5" t="str">
        <x:f>"온도|"&amp;M301</x:f>
        <x:v>온도|온대</x:v>
      </x:c>
      <x:c r="AI301" s="5" t="str">
        <x:f>"습도|"&amp;N301</x:f>
        <x:v>습도|보통</x:v>
      </x:c>
      <x:c r="AJ301" s="5" t="str">
        <x:f>"날씨|"&amp;O301</x:f>
        <x:v>날씨|무관</x:v>
      </x:c>
      <x:c r="AK301" s="5" t="str">
        <x:f>"특수태그|"&amp;R301</x:f>
        <x:v>특수태그|없음</x:v>
      </x:c>
      <x:c r="AL301" s="5" t="str">
        <x:f>"원본서식지|"&amp;S301</x:f>
        <x:v>원본서식지|산악</x:v>
      </x:c>
      <x:c r="AM301" s="5" t="str">
        <x:f>"타입|"&amp;F301</x:f>
        <x:v>타입|격투</x:v>
      </x:c>
      <x:c r="AN301" s="5" t="str">
        <x:f>"타입|"&amp;G301</x:f>
        <x:v>타입|</x:v>
      </x:c>
    </x:row>
    <x:row r="302" ht="24" customHeight="1">
      <x:c r="A302" s="5" t="n">
        <x:v>298</x:v>
      </x:c>
      <x:c r="B302" s="5" t="inlineStr">
        <x:is>
          <x:t xml:space="preserve">루리리</x:t>
        </x:is>
      </x:c>
      <x:c r="C302" s="5" t="inlineStr">
        <x:is>
          <x:t xml:space="preserve">azurill</x:t>
        </x:is>
      </x:c>
      <x:c r="D302" s="5" t="inlineStr">
        <x:is>
          <x:t xml:space="preserve">Azurill</x:t>
        </x:is>
      </x:c>
      <x:c r="E302" s="5" t="n">
        <x:v>3</x:v>
      </x:c>
      <x:c r="F302" s="5" t="inlineStr">
        <x:is>
          <x:t xml:space="preserve">노말</x:t>
        </x:is>
      </x:c>
      <x:c r="G302" s="5" t="inlineStr">
        <x:is>
          <x:t xml:space="preserve">페어리</x:t>
        </x:is>
      </x:c>
      <x:c r="H302" s="6" t="n">
        <x:v>2</x:v>
      </x:c>
      <x:c r="I302" s="5" t="n">
        <x:v>18</x:v>
      </x:c>
      <x:c r="J302" s="5" t="inlineStr">
        <x:is>
          <x:t xml:space="preserve">기본</x:t>
        </x:is>
      </x:c>
      <x:c r="K302" s="7" t="inlineStr">
        <x:is>
          <x:t xml:space="preserve">육상</x:t>
        </x:is>
      </x:c>
      <x:c r="L302" s="7" t="inlineStr">
        <x:is>
          <x:t xml:space="preserve">수목</x:t>
        </x:is>
      </x:c>
      <x:c r="M302" s="7" t="inlineStr">
        <x:is>
          <x:t xml:space="preserve">서늘</x:t>
        </x:is>
      </x:c>
      <x:c r="N302" s="7" t="inlineStr">
        <x:is>
          <x:t xml:space="preserve">보통</x:t>
        </x:is>
      </x:c>
      <x:c r="O302" s="7" t="inlineStr">
        <x:is>
          <x:t xml:space="preserve">무관</x:t>
        </x:is>
      </x:c>
      <x:c r="P302" s="7" t="inlineStr">
        <x:is>
          <x:t xml:space="preserve">무관</x:t>
        </x:is>
      </x:c>
      <x:c r="Q302" s="7" t="inlineStr">
        <x:is>
          <x:t xml:space="preserve">보통</x:t>
        </x:is>
      </x:c>
      <x:c r="R302" s="7" t="inlineStr">
        <x:is>
          <x:t xml:space="preserve">없음</x:t>
        </x:is>
      </x:c>
      <x:c r="S302" s="7" t="inlineStr">
        <x:is>
          <x:t xml:space="preserve">숲</x:t>
        </x:is>
      </x:c>
      <x:c r="T302" s="7" t="inlineStr">
        <x:is>
          <x:t xml:space="preserve"/>
        </x:is>
      </x:c>
      <x:c r="U302" s="8" t="str">
        <x:f>INDEX('서식지_점수'!$E$4:$P$4,1,MATCH(MAX('서식지_점수'!E302:P302),'서식지_점수'!E302:P302,0))</x:f>
        <x:v>평원</x:v>
      </x:c>
      <x:c r="V302" s="8" t="str">
        <x:f>IF(T302&lt;&gt;"",T302,U302)</x:f>
        <x:v>평원</x:v>
      </x:c>
      <x:c r="W302" s="8" t="str">
        <x:f>IFERROR(INDEX('서식지_점수'!$E$4:$P$4,1,MATCH(MAXIFS('서식지_점수'!E302:P302,'서식지_점수'!E302:P302,"&lt;"&amp;MAX('서식지_점수'!E302:P302)),'서식지_점수'!E302:P302,0)),"")</x:f>
        <x:v>숲</x:v>
      </x:c>
      <x:c r="X302" s="8" t="str">
        <x:f>IF(T302&lt;&gt;"","수동확정",IF(MAX('서식지_점수'!E302:P302)-LARGE('서식지_점수'!E302:P302,2)&gt;=15,"높음",IF(MAX('서식지_점수'!E302:P302)-LARGE('서식지_점수'!E302:P302,2)&gt;=8,"보통","검토필요")))</x:f>
        <x:v>검토필요</x:v>
      </x:c>
      <x:c r="Y302" s="9" t="n">
        <x:f>IF(Q302="전설",8,IF(Q302="희귀",7,IF(J302="기본",1,IF(J302="중간",3,IF(J302="최종",IF(I302="",5,IF(I302&lt;=20,3,IF(I302&lt;=35,4,IF(I302&lt;=50,6,7)))),IF(Q302="드묾",4,2))))))</x:f>
        <x:v>1</x:v>
      </x:c>
      <x:c r="Z302" s="5" t="inlineStr">
        <x:is>
          <x:t xml:space="preserve">#cobblemon:is_floral; #cobblemon:is_hills; #cobblemon:is_magical; #cobblemon:is_river; #cobblemon:is_snowy_forest; #cobblemon:is_taiga; #cobblemon:is_temperate</x:t>
        </x:is>
      </x:c>
      <x:c r="AA302" s="5" t="inlineStr">
        <x:is>
          <x:t xml:space="preserve">common; uncommon</x:t>
        </x:is>
      </x:c>
      <x:c r="AB302" s="5" t="inlineStr">
        <x:is>
          <x:t xml:space="preserve">예</x:t>
        </x:is>
      </x:c>
      <x:c r="AC302" s="8" t="str">
        <x:f>IF(T302&lt;&gt;"","수동확정",IF(X302="검토필요","검토필요",IF(S302="","원본없음","초기완료")))</x:f>
        <x:v>검토필요</x:v>
      </x:c>
      <x:c r="AD302" s="7" t="inlineStr">
        <x:is>
          <x:t xml:space="preserve"/>
        </x:is>
      </x:c>
      <x:c r="AE302" s="5" t="inlineStr">
        <x:is>
          <x:t xml:space="preserve">.tmp/cobblemon-1.7.3-source/common/src/main/resources/data/cobblemon/species/generation3/azurill.json</x:t>
        </x:is>
      </x:c>
      <x:c r="AF302" s="5" t="str">
        <x:f>"생활권|"&amp;K302</x:f>
        <x:v>생활권|육상</x:v>
      </x:c>
      <x:c r="AG302" s="5" t="str">
        <x:f>"지형|"&amp;L302</x:f>
        <x:v>지형|수목</x:v>
      </x:c>
      <x:c r="AH302" s="5" t="str">
        <x:f>"온도|"&amp;M302</x:f>
        <x:v>온도|서늘</x:v>
      </x:c>
      <x:c r="AI302" s="5" t="str">
        <x:f>"습도|"&amp;N302</x:f>
        <x:v>습도|보통</x:v>
      </x:c>
      <x:c r="AJ302" s="5" t="str">
        <x:f>"날씨|"&amp;O302</x:f>
        <x:v>날씨|무관</x:v>
      </x:c>
      <x:c r="AK302" s="5" t="str">
        <x:f>"특수태그|"&amp;R302</x:f>
        <x:v>특수태그|없음</x:v>
      </x:c>
      <x:c r="AL302" s="5" t="str">
        <x:f>"원본서식지|"&amp;S302</x:f>
        <x:v>원본서식지|숲</x:v>
      </x:c>
      <x:c r="AM302" s="5" t="str">
        <x:f>"타입|"&amp;F302</x:f>
        <x:v>타입|노말</x:v>
      </x:c>
      <x:c r="AN302" s="5" t="str">
        <x:f>"타입|"&amp;G302</x:f>
        <x:v>타입|페어리</x:v>
      </x:c>
    </x:row>
    <x:row r="303" ht="24" customHeight="1">
      <x:c r="A303" s="5" t="n">
        <x:v>299</x:v>
      </x:c>
      <x:c r="B303" s="5" t="inlineStr">
        <x:is>
          <x:t xml:space="preserve">코코파스</x:t>
        </x:is>
      </x:c>
      <x:c r="C303" s="5" t="inlineStr">
        <x:is>
          <x:t xml:space="preserve">nosepass</x:t>
        </x:is>
      </x:c>
      <x:c r="D303" s="5" t="inlineStr">
        <x:is>
          <x:t xml:space="preserve">Nosepass</x:t>
        </x:is>
      </x:c>
      <x:c r="E303" s="5" t="n">
        <x:v>3</x:v>
      </x:c>
      <x:c r="F303" s="5" t="inlineStr">
        <x:is>
          <x:t xml:space="preserve">바위</x:t>
        </x:is>
      </x:c>
      <x:c r="G303" s="5" t="inlineStr">
        <x:is>
          <x:t xml:space="preserve"/>
        </x:is>
      </x:c>
      <x:c r="H303" s="6" t="n">
        <x:v>97</x:v>
      </x:c>
      <x:c r="I303" s="5" t="n"/>
      <x:c r="J303" s="5" t="inlineStr">
        <x:is>
          <x:t xml:space="preserve">기본</x:t>
        </x:is>
      </x:c>
      <x:c r="K303" s="7" t="inlineStr">
        <x:is>
          <x:t xml:space="preserve">육상</x:t>
        </x:is>
      </x:c>
      <x:c r="L303" s="7" t="inlineStr">
        <x:is>
          <x:t xml:space="preserve">암석</x:t>
        </x:is>
      </x:c>
      <x:c r="M303" s="7" t="inlineStr">
        <x:is>
          <x:t xml:space="preserve">온대</x:t>
        </x:is>
      </x:c>
      <x:c r="N303" s="7" t="inlineStr">
        <x:is>
          <x:t xml:space="preserve">보통</x:t>
        </x:is>
      </x:c>
      <x:c r="O303" s="7" t="inlineStr">
        <x:is>
          <x:t xml:space="preserve">무관</x:t>
        </x:is>
      </x:c>
      <x:c r="P303" s="7" t="inlineStr">
        <x:is>
          <x:t xml:space="preserve">무관</x:t>
        </x:is>
      </x:c>
      <x:c r="Q303" s="7" t="inlineStr">
        <x:is>
          <x:t xml:space="preserve">보통</x:t>
        </x:is>
      </x:c>
      <x:c r="R303" s="7" t="inlineStr">
        <x:is>
          <x:t xml:space="preserve">없음</x:t>
        </x:is>
      </x:c>
      <x:c r="S303" s="7" t="inlineStr">
        <x:is>
          <x:t xml:space="preserve"/>
        </x:is>
      </x:c>
      <x:c r="T303" s="7" t="inlineStr">
        <x:is>
          <x:t xml:space="preserve"/>
        </x:is>
      </x:c>
      <x:c r="U303" s="8" t="str">
        <x:f>INDEX('서식지_점수'!$E$4:$P$4,1,MATCH(MAX('서식지_점수'!E303:P303),'서식지_점수'!E303:P303,0))</x:f>
        <x:v>평원</x:v>
      </x:c>
      <x:c r="V303" s="8" t="str">
        <x:f>IF(T303&lt;&gt;"",T303,U303)</x:f>
        <x:v>평원</x:v>
      </x:c>
      <x:c r="W303" s="8" t="str">
        <x:f>IFERROR(INDEX('서식지_점수'!$E$4:$P$4,1,MATCH(MAXIFS('서식지_점수'!E303:P303,'서식지_점수'!E303:P303,"&lt;"&amp;MAX('서식지_점수'!E303:P303)),'서식지_점수'!E303:P303,0)),"")</x:f>
        <x:v>숲</x:v>
      </x:c>
      <x:c r="X303" s="8" t="str">
        <x:f>IF(T303&lt;&gt;"","수동확정",IF(MAX('서식지_점수'!E303:P303)-LARGE('서식지_점수'!E303:P303,2)&gt;=15,"높음",IF(MAX('서식지_점수'!E303:P303)-LARGE('서식지_점수'!E303:P303,2)&gt;=8,"보통","검토필요")))</x:f>
        <x:v>검토필요</x:v>
      </x:c>
      <x:c r="Y303" s="9" t="n">
        <x:f>IF(Q303="전설",8,IF(Q303="희귀",7,IF(J303="기본",1,IF(J303="중간",3,IF(J303="최종",IF(I303="",5,IF(I303&lt;=20,3,IF(I303&lt;=35,4,IF(I303&lt;=50,6,7)))),IF(Q303="드묾",4,2))))))</x:f>
        <x:v>1</x:v>
      </x:c>
      <x:c r="Z303" s="5" t="inlineStr">
        <x:is>
          <x:t xml:space="preserve">#cobblemon:is_overworld</x:t>
        </x:is>
      </x:c>
      <x:c r="AA303" s="5" t="inlineStr">
        <x:is>
          <x:t xml:space="preserve">uncommon</x:t>
        </x:is>
      </x:c>
      <x:c r="AB303" s="5" t="inlineStr">
        <x:is>
          <x:t xml:space="preserve">예</x:t>
        </x:is>
      </x:c>
      <x:c r="AC303" s="8" t="str">
        <x:f>IF(T303&lt;&gt;"","수동확정",IF(X303="검토필요","검토필요",IF(S303="","원본없음","초기완료")))</x:f>
        <x:v>검토필요</x:v>
      </x:c>
      <x:c r="AD303" s="7" t="inlineStr">
        <x:is>
          <x:t xml:space="preserve"/>
        </x:is>
      </x:c>
      <x:c r="AE303" s="5" t="inlineStr">
        <x:is>
          <x:t xml:space="preserve">.tmp/cobblemon-1.7.3-source/common/src/main/resources/data/cobblemon/species/generation3/nosepass.json</x:t>
        </x:is>
      </x:c>
      <x:c r="AF303" s="5" t="str">
        <x:f>"생활권|"&amp;K303</x:f>
        <x:v>생활권|육상</x:v>
      </x:c>
      <x:c r="AG303" s="5" t="str">
        <x:f>"지형|"&amp;L303</x:f>
        <x:v>지형|암석</x:v>
      </x:c>
      <x:c r="AH303" s="5" t="str">
        <x:f>"온도|"&amp;M303</x:f>
        <x:v>온도|온대</x:v>
      </x:c>
      <x:c r="AI303" s="5" t="str">
        <x:f>"습도|"&amp;N303</x:f>
        <x:v>습도|보통</x:v>
      </x:c>
      <x:c r="AJ303" s="5" t="str">
        <x:f>"날씨|"&amp;O303</x:f>
        <x:v>날씨|무관</x:v>
      </x:c>
      <x:c r="AK303" s="5" t="str">
        <x:f>"특수태그|"&amp;R303</x:f>
        <x:v>특수태그|없음</x:v>
      </x:c>
      <x:c r="AL303" s="5" t="str">
        <x:f>"원본서식지|"&amp;S303</x:f>
        <x:v>원본서식지|</x:v>
      </x:c>
      <x:c r="AM303" s="5" t="str">
        <x:f>"타입|"&amp;F303</x:f>
        <x:v>타입|바위</x:v>
      </x:c>
      <x:c r="AN303" s="5" t="str">
        <x:f>"타입|"&amp;G303</x:f>
        <x:v>타입|</x:v>
      </x:c>
    </x:row>
    <x:row r="304" ht="24" customHeight="1">
      <x:c r="A304" s="5" t="n">
        <x:v>300</x:v>
      </x:c>
      <x:c r="B304" s="5" t="inlineStr">
        <x:is>
          <x:t xml:space="preserve">에나비</x:t>
        </x:is>
      </x:c>
      <x:c r="C304" s="5" t="inlineStr">
        <x:is>
          <x:t xml:space="preserve">skitty</x:t>
        </x:is>
      </x:c>
      <x:c r="D304" s="5" t="inlineStr">
        <x:is>
          <x:t xml:space="preserve">Skitty</x:t>
        </x:is>
      </x:c>
      <x:c r="E304" s="5" t="n">
        <x:v>3</x:v>
      </x:c>
      <x:c r="F304" s="5" t="inlineStr">
        <x:is>
          <x:t xml:space="preserve">노말</x:t>
        </x:is>
      </x:c>
      <x:c r="G304" s="5" t="inlineStr">
        <x:is>
          <x:t xml:space="preserve"/>
        </x:is>
      </x:c>
      <x:c r="H304" s="6" t="n">
        <x:v>11</x:v>
      </x:c>
      <x:c r="I304" s="5" t="n"/>
      <x:c r="J304" s="5" t="inlineStr">
        <x:is>
          <x:t xml:space="preserve">기본</x:t>
        </x:is>
      </x:c>
      <x:c r="K304" s="7" t="inlineStr">
        <x:is>
          <x:t xml:space="preserve">육상</x:t>
        </x:is>
      </x:c>
      <x:c r="L304" s="7" t="inlineStr">
        <x:is>
          <x:t xml:space="preserve">건조</x:t>
        </x:is>
      </x:c>
      <x:c r="M304" s="7" t="inlineStr">
        <x:is>
          <x:t xml:space="preserve">고온</x:t>
        </x:is>
      </x:c>
      <x:c r="N304" s="7" t="inlineStr">
        <x:is>
          <x:t xml:space="preserve">건조</x:t>
        </x:is>
      </x:c>
      <x:c r="O304" s="7" t="inlineStr">
        <x:is>
          <x:t xml:space="preserve">맑음</x:t>
        </x:is>
      </x:c>
      <x:c r="P304" s="7" t="inlineStr">
        <x:is>
          <x:t xml:space="preserve">무관</x:t>
        </x:is>
      </x:c>
      <x:c r="Q304" s="7" t="inlineStr">
        <x:is>
          <x:t xml:space="preserve">흔함</x:t>
        </x:is>
      </x:c>
      <x:c r="R304" s="7" t="inlineStr">
        <x:is>
          <x:t xml:space="preserve">없음</x:t>
        </x:is>
      </x:c>
      <x:c r="S304" s="7" t="inlineStr">
        <x:is>
          <x:t xml:space="preserve">건조지</x:t>
        </x:is>
      </x:c>
      <x:c r="T304" s="7" t="inlineStr">
        <x:is>
          <x:t xml:space="preserve"/>
        </x:is>
      </x:c>
      <x:c r="U304" s="8" t="str">
        <x:f>INDEX('서식지_점수'!$E$4:$P$4,1,MATCH(MAX('서식지_점수'!E304:P304),'서식지_점수'!E304:P304,0))</x:f>
        <x:v>평원</x:v>
      </x:c>
      <x:c r="V304" s="8" t="str">
        <x:f>IF(T304&lt;&gt;"",T304,U304)</x:f>
        <x:v>평원</x:v>
      </x:c>
      <x:c r="W304" s="8" t="str">
        <x:f>IFERROR(INDEX('서식지_점수'!$E$4:$P$4,1,MATCH(MAXIFS('서식지_점수'!E304:P304,'서식지_점수'!E304:P304,"&lt;"&amp;MAX('서식지_점수'!E304:P304)),'서식지_점수'!E304:P304,0)),"")</x:f>
        <x:v>숲</x:v>
      </x:c>
      <x:c r="X304" s="8" t="str">
        <x:f>IF(T304&lt;&gt;"","수동확정",IF(MAX('서식지_점수'!E304:P304)-LARGE('서식지_점수'!E304:P304,2)&gt;=15,"높음",IF(MAX('서식지_점수'!E304:P304)-LARGE('서식지_점수'!E304:P304,2)&gt;=8,"보통","검토필요")))</x:f>
        <x:v>검토필요</x:v>
      </x:c>
      <x:c r="Y304" s="9" t="n">
        <x:f>IF(Q304="전설",8,IF(Q304="희귀",7,IF(J304="기본",1,IF(J304="중간",3,IF(J304="최종",IF(I304="",5,IF(I304&lt;=20,3,IF(I304&lt;=35,4,IF(I304&lt;=50,6,7)))),IF(Q304="드묾",4,2))))))</x:f>
        <x:v>1</x:v>
      </x:c>
      <x:c r="Z304" s="5" t="inlineStr">
        <x:is>
          <x:t xml:space="preserve">#cobblemon:is_arid; #cobblemon:is_overworld; minecraft:cherry_grove</x:t>
        </x:is>
      </x:c>
      <x:c r="AA304" s="5" t="inlineStr">
        <x:is>
          <x:t xml:space="preserve">common</x:t>
        </x:is>
      </x:c>
      <x:c r="AB304" s="5" t="inlineStr">
        <x:is>
          <x:t xml:space="preserve">아니오</x:t>
        </x:is>
      </x:c>
      <x:c r="AC304" s="8" t="str">
        <x:f>IF(T304&lt;&gt;"","수동확정",IF(X304="검토필요","검토필요",IF(S304="","원본없음","초기완료")))</x:f>
        <x:v>검토필요</x:v>
      </x:c>
      <x:c r="AD304" s="7" t="inlineStr">
        <x:is>
          <x:t xml:space="preserve"/>
        </x:is>
      </x:c>
      <x:c r="AE304" s="5" t="inlineStr">
        <x:is>
          <x:t xml:space="preserve">.tmp/cobblemon-1.7.3-source/common/src/main/resources/data/cobblemon/species/generation3/skitty.json</x:t>
        </x:is>
      </x:c>
      <x:c r="AF304" s="5" t="str">
        <x:f>"생활권|"&amp;K304</x:f>
        <x:v>생활권|육상</x:v>
      </x:c>
      <x:c r="AG304" s="5" t="str">
        <x:f>"지형|"&amp;L304</x:f>
        <x:v>지형|건조</x:v>
      </x:c>
      <x:c r="AH304" s="5" t="str">
        <x:f>"온도|"&amp;M304</x:f>
        <x:v>온도|고온</x:v>
      </x:c>
      <x:c r="AI304" s="5" t="str">
        <x:f>"습도|"&amp;N304</x:f>
        <x:v>습도|건조</x:v>
      </x:c>
      <x:c r="AJ304" s="5" t="str">
        <x:f>"날씨|"&amp;O304</x:f>
        <x:v>날씨|맑음</x:v>
      </x:c>
      <x:c r="AK304" s="5" t="str">
        <x:f>"특수태그|"&amp;R304</x:f>
        <x:v>특수태그|없음</x:v>
      </x:c>
      <x:c r="AL304" s="5" t="str">
        <x:f>"원본서식지|"&amp;S304</x:f>
        <x:v>원본서식지|건조지</x:v>
      </x:c>
      <x:c r="AM304" s="5" t="str">
        <x:f>"타입|"&amp;F304</x:f>
        <x:v>타입|노말</x:v>
      </x:c>
      <x:c r="AN304" s="5" t="str">
        <x:f>"타입|"&amp;G304</x:f>
        <x:v>타입|</x:v>
      </x:c>
    </x:row>
    <x:row r="305" ht="24" customHeight="1">
      <x:c r="A305" s="5" t="n">
        <x:v>301</x:v>
      </x:c>
      <x:c r="B305" s="5" t="inlineStr">
        <x:is>
          <x:t xml:space="preserve">델케티</x:t>
        </x:is>
      </x:c>
      <x:c r="C305" s="5" t="inlineStr">
        <x:is>
          <x:t xml:space="preserve">delcatty</x:t>
        </x:is>
      </x:c>
      <x:c r="D305" s="5" t="inlineStr">
        <x:is>
          <x:t xml:space="preserve">Delcatty</x:t>
        </x:is>
      </x:c>
      <x:c r="E305" s="5" t="n">
        <x:v>3</x:v>
      </x:c>
      <x:c r="F305" s="5" t="inlineStr">
        <x:is>
          <x:t xml:space="preserve">노말</x:t>
        </x:is>
      </x:c>
      <x:c r="G305" s="5" t="inlineStr">
        <x:is>
          <x:t xml:space="preserve"/>
        </x:is>
      </x:c>
      <x:c r="H305" s="6" t="n">
        <x:v>32.6</x:v>
      </x:c>
      <x:c r="I305" s="5" t="n"/>
      <x:c r="J305" s="5" t="inlineStr">
        <x:is>
          <x:t xml:space="preserve">최종</x:t>
        </x:is>
      </x:c>
      <x:c r="K305" s="7" t="inlineStr">
        <x:is>
          <x:t xml:space="preserve">육상</x:t>
        </x:is>
      </x:c>
      <x:c r="L305" s="7" t="inlineStr">
        <x:is>
          <x:t xml:space="preserve">건조</x:t>
        </x:is>
      </x:c>
      <x:c r="M305" s="7" t="inlineStr">
        <x:is>
          <x:t xml:space="preserve">고온</x:t>
        </x:is>
      </x:c>
      <x:c r="N305" s="7" t="inlineStr">
        <x:is>
          <x:t xml:space="preserve">건조</x:t>
        </x:is>
      </x:c>
      <x:c r="O305" s="7" t="inlineStr">
        <x:is>
          <x:t xml:space="preserve">맑음</x:t>
        </x:is>
      </x:c>
      <x:c r="P305" s="7" t="inlineStr">
        <x:is>
          <x:t xml:space="preserve">무관</x:t>
        </x:is>
      </x:c>
      <x:c r="Q305" s="7" t="inlineStr">
        <x:is>
          <x:t xml:space="preserve">보통</x:t>
        </x:is>
      </x:c>
      <x:c r="R305" s="7" t="inlineStr">
        <x:is>
          <x:t xml:space="preserve">없음</x:t>
        </x:is>
      </x:c>
      <x:c r="S305" s="7" t="inlineStr">
        <x:is>
          <x:t xml:space="preserve">건조지</x:t>
        </x:is>
      </x:c>
      <x:c r="T305" s="7" t="inlineStr">
        <x:is>
          <x:t xml:space="preserve"/>
        </x:is>
      </x:c>
      <x:c r="U305" s="8" t="str">
        <x:f>INDEX('서식지_점수'!$E$4:$P$4,1,MATCH(MAX('서식지_점수'!E305:P305),'서식지_점수'!E305:P305,0))</x:f>
        <x:v>평원</x:v>
      </x:c>
      <x:c r="V305" s="8" t="str">
        <x:f>IF(T305&lt;&gt;"",T305,U305)</x:f>
        <x:v>평원</x:v>
      </x:c>
      <x:c r="W305" s="8" t="str">
        <x:f>IFERROR(INDEX('서식지_점수'!$E$4:$P$4,1,MATCH(MAXIFS('서식지_점수'!E305:P305,'서식지_점수'!E305:P305,"&lt;"&amp;MAX('서식지_점수'!E305:P305)),'서식지_점수'!E305:P305,0)),"")</x:f>
        <x:v>숲</x:v>
      </x:c>
      <x:c r="X305" s="8" t="str">
        <x:f>IF(T305&lt;&gt;"","수동확정",IF(MAX('서식지_점수'!E305:P305)-LARGE('서식지_점수'!E305:P305,2)&gt;=15,"높음",IF(MAX('서식지_점수'!E305:P305)-LARGE('서식지_점수'!E305:P305,2)&gt;=8,"보통","검토필요")))</x:f>
        <x:v>검토필요</x:v>
      </x:c>
      <x:c r="Y305" s="9" t="n">
        <x:f>IF(Q305="전설",8,IF(Q305="희귀",7,IF(J305="기본",1,IF(J305="중간",3,IF(J305="최종",IF(I305="",5,IF(I305&lt;=20,3,IF(I305&lt;=35,4,IF(I305&lt;=50,6,7)))),IF(Q305="드묾",4,2))))))</x:f>
        <x:v>5</x:v>
      </x:c>
      <x:c r="Z305" s="5" t="inlineStr">
        <x:is>
          <x:t xml:space="preserve">#cobblemon:is_arid; #cobblemon:is_overworld; minecraft:cherry_grove</x:t>
        </x:is>
      </x:c>
      <x:c r="AA305" s="5" t="inlineStr">
        <x:is>
          <x:t xml:space="preserve">uncommon</x:t>
        </x:is>
      </x:c>
      <x:c r="AB305" s="5" t="inlineStr">
        <x:is>
          <x:t xml:space="preserve">아니오</x:t>
        </x:is>
      </x:c>
      <x:c r="AC305" s="8" t="str">
        <x:f>IF(T305&lt;&gt;"","수동확정",IF(X305="검토필요","검토필요",IF(S305="","원본없음","초기완료")))</x:f>
        <x:v>검토필요</x:v>
      </x:c>
      <x:c r="AD305" s="7" t="inlineStr">
        <x:is>
          <x:t xml:space="preserve"/>
        </x:is>
      </x:c>
      <x:c r="AE305" s="5" t="inlineStr">
        <x:is>
          <x:t xml:space="preserve">.tmp/cobblemon-1.7.3-source/common/src/main/resources/data/cobblemon/species/generation3/delcatty.json</x:t>
        </x:is>
      </x:c>
      <x:c r="AF305" s="5" t="str">
        <x:f>"생활권|"&amp;K305</x:f>
        <x:v>생활권|육상</x:v>
      </x:c>
      <x:c r="AG305" s="5" t="str">
        <x:f>"지형|"&amp;L305</x:f>
        <x:v>지형|건조</x:v>
      </x:c>
      <x:c r="AH305" s="5" t="str">
        <x:f>"온도|"&amp;M305</x:f>
        <x:v>온도|고온</x:v>
      </x:c>
      <x:c r="AI305" s="5" t="str">
        <x:f>"습도|"&amp;N305</x:f>
        <x:v>습도|건조</x:v>
      </x:c>
      <x:c r="AJ305" s="5" t="str">
        <x:f>"날씨|"&amp;O305</x:f>
        <x:v>날씨|맑음</x:v>
      </x:c>
      <x:c r="AK305" s="5" t="str">
        <x:f>"특수태그|"&amp;R305</x:f>
        <x:v>특수태그|없음</x:v>
      </x:c>
      <x:c r="AL305" s="5" t="str">
        <x:f>"원본서식지|"&amp;S305</x:f>
        <x:v>원본서식지|건조지</x:v>
      </x:c>
      <x:c r="AM305" s="5" t="str">
        <x:f>"타입|"&amp;F305</x:f>
        <x:v>타입|노말</x:v>
      </x:c>
      <x:c r="AN305" s="5" t="str">
        <x:f>"타입|"&amp;G305</x:f>
        <x:v>타입|</x:v>
      </x:c>
    </x:row>
    <x:row r="306" ht="24" customHeight="1">
      <x:c r="A306" s="5" t="n">
        <x:v>302</x:v>
      </x:c>
      <x:c r="B306" s="5" t="inlineStr">
        <x:is>
          <x:t xml:space="preserve">깜까미</x:t>
        </x:is>
      </x:c>
      <x:c r="C306" s="5" t="inlineStr">
        <x:is>
          <x:t xml:space="preserve">sableye</x:t>
        </x:is>
      </x:c>
      <x:c r="D306" s="5" t="inlineStr">
        <x:is>
          <x:t xml:space="preserve">Sableye</x:t>
        </x:is>
      </x:c>
      <x:c r="E306" s="5" t="n">
        <x:v>3</x:v>
      </x:c>
      <x:c r="F306" s="5" t="inlineStr">
        <x:is>
          <x:t xml:space="preserve">악</x:t>
        </x:is>
      </x:c>
      <x:c r="G306" s="5" t="inlineStr">
        <x:is>
          <x:t xml:space="preserve">고스트</x:t>
        </x:is>
      </x:c>
      <x:c r="H306" s="6" t="n">
        <x:v>11</x:v>
      </x:c>
      <x:c r="I306" s="5" t="n"/>
      <x:c r="J306" s="5" t="inlineStr">
        <x:is>
          <x:t xml:space="preserve">무진화</x:t>
        </x:is>
      </x:c>
      <x:c r="K306" s="7" t="inlineStr">
        <x:is>
          <x:t xml:space="preserve">지하</x:t>
        </x:is>
      </x:c>
      <x:c r="L306" s="7" t="inlineStr">
        <x:is>
          <x:t xml:space="preserve">동굴</x:t>
        </x:is>
      </x:c>
      <x:c r="M306" s="7" t="inlineStr">
        <x:is>
          <x:t xml:space="preserve">온대</x:t>
        </x:is>
      </x:c>
      <x:c r="N306" s="7" t="inlineStr">
        <x:is>
          <x:t xml:space="preserve">보통</x:t>
        </x:is>
      </x:c>
      <x:c r="O306" s="7" t="inlineStr">
        <x:is>
          <x:t xml:space="preserve">안개</x:t>
        </x:is>
      </x:c>
      <x:c r="P306" s="7" t="inlineStr">
        <x:is>
          <x:t xml:space="preserve">밤</x:t>
        </x:is>
      </x:c>
      <x:c r="Q306" s="7" t="inlineStr">
        <x:is>
          <x:t xml:space="preserve">흔함</x:t>
        </x:is>
      </x:c>
      <x:c r="R306" s="7" t="inlineStr">
        <x:is>
          <x:t xml:space="preserve">영체</x:t>
        </x:is>
      </x:c>
      <x:c r="S306" s="7" t="inlineStr">
        <x:is>
          <x:t xml:space="preserve">동굴</x:t>
        </x:is>
      </x:c>
      <x:c r="T306" s="7" t="inlineStr">
        <x:is>
          <x:t xml:space="preserve"/>
        </x:is>
      </x:c>
      <x:c r="U306" s="8" t="str">
        <x:f>INDEX('서식지_점수'!$E$4:$P$4,1,MATCH(MAX('서식지_점수'!E306:P306),'서식지_점수'!E306:P306,0))</x:f>
        <x:v>동굴</x:v>
      </x:c>
      <x:c r="V306" s="8" t="str">
        <x:f>IF(T306&lt;&gt;"",T306,U306)</x:f>
        <x:v>동굴</x:v>
      </x:c>
      <x:c r="W306" s="8" t="str">
        <x:f>IFERROR(INDEX('서식지_점수'!$E$4:$P$4,1,MATCH(MAXIFS('서식지_점수'!E306:P306,'서식지_점수'!E306:P306,"&lt;"&amp;MAX('서식지_점수'!E306:P306)),'서식지_점수'!E306:P306,0)),"")</x:f>
        <x:v>산악</x:v>
      </x:c>
      <x:c r="X306" s="8" t="str">
        <x:f>IF(T306&lt;&gt;"","수동확정",IF(MAX('서식지_점수'!E306:P306)-LARGE('서식지_점수'!E306:P306,2)&gt;=15,"높음",IF(MAX('서식지_점수'!E306:P306)-LARGE('서식지_점수'!E306:P306,2)&gt;=8,"보통","검토필요")))</x:f>
        <x:v>높음</x:v>
      </x:c>
      <x:c r="Y306" s="9" t="n">
        <x:f>IF(Q306="전설",8,IF(Q306="희귀",7,IF(J306="기본",1,IF(J306="중간",3,IF(J306="최종",IF(I306="",5,IF(I306&lt;=20,3,IF(I306&lt;=35,4,IF(I306&lt;=50,6,7)))),IF(Q306="드묾",4,2))))))</x:f>
        <x:v>2</x:v>
      </x:c>
      <x:c r="Z306" s="5" t="inlineStr">
        <x:is>
          <x:t xml:space="preserve">#cobblemon:is_deep_dark; #cobblemon:is_overworld</x:t>
        </x:is>
      </x:c>
      <x:c r="AA306" s="5" t="inlineStr">
        <x:is>
          <x:t xml:space="preserve">common; rare</x:t>
        </x:is>
      </x:c>
      <x:c r="AB306" s="5" t="inlineStr">
        <x:is>
          <x:t xml:space="preserve">예</x:t>
        </x:is>
      </x:c>
      <x:c r="AC306" s="8" t="str">
        <x:f>IF(T306&lt;&gt;"","수동확정",IF(X306="검토필요","검토필요",IF(S306="","원본없음","초기완료")))</x:f>
        <x:v>초기완료</x:v>
      </x:c>
      <x:c r="AD306" s="7" t="inlineStr">
        <x:is>
          <x:t xml:space="preserve"/>
        </x:is>
      </x:c>
      <x:c r="AE306" s="5" t="inlineStr">
        <x:is>
          <x:t xml:space="preserve">.tmp/cobblemon-1.7.3-source/common/src/main/resources/data/cobblemon/species/generation3/sableye.json</x:t>
        </x:is>
      </x:c>
      <x:c r="AF306" s="5" t="str">
        <x:f>"생활권|"&amp;K306</x:f>
        <x:v>생활권|지하</x:v>
      </x:c>
      <x:c r="AG306" s="5" t="str">
        <x:f>"지형|"&amp;L306</x:f>
        <x:v>지형|동굴</x:v>
      </x:c>
      <x:c r="AH306" s="5" t="str">
        <x:f>"온도|"&amp;M306</x:f>
        <x:v>온도|온대</x:v>
      </x:c>
      <x:c r="AI306" s="5" t="str">
        <x:f>"습도|"&amp;N306</x:f>
        <x:v>습도|보통</x:v>
      </x:c>
      <x:c r="AJ306" s="5" t="str">
        <x:f>"날씨|"&amp;O306</x:f>
        <x:v>날씨|안개</x:v>
      </x:c>
      <x:c r="AK306" s="5" t="str">
        <x:f>"특수태그|"&amp;R306</x:f>
        <x:v>특수태그|영체</x:v>
      </x:c>
      <x:c r="AL306" s="5" t="str">
        <x:f>"원본서식지|"&amp;S306</x:f>
        <x:v>원본서식지|동굴</x:v>
      </x:c>
      <x:c r="AM306" s="5" t="str">
        <x:f>"타입|"&amp;F306</x:f>
        <x:v>타입|악</x:v>
      </x:c>
      <x:c r="AN306" s="5" t="str">
        <x:f>"타입|"&amp;G306</x:f>
        <x:v>타입|고스트</x:v>
      </x:c>
    </x:row>
    <x:row r="307" ht="24" customHeight="1">
      <x:c r="A307" s="5" t="n">
        <x:v>303</x:v>
      </x:c>
      <x:c r="B307" s="5" t="inlineStr">
        <x:is>
          <x:t xml:space="preserve">입치트</x:t>
        </x:is>
      </x:c>
      <x:c r="C307" s="5" t="inlineStr">
        <x:is>
          <x:t xml:space="preserve">mawile</x:t>
        </x:is>
      </x:c>
      <x:c r="D307" s="5" t="inlineStr">
        <x:is>
          <x:t xml:space="preserve">Mawile</x:t>
        </x:is>
      </x:c>
      <x:c r="E307" s="5" t="n">
        <x:v>3</x:v>
      </x:c>
      <x:c r="F307" s="5" t="inlineStr">
        <x:is>
          <x:t xml:space="preserve">강철</x:t>
        </x:is>
      </x:c>
      <x:c r="G307" s="5" t="inlineStr">
        <x:is>
          <x:t xml:space="preserve">페어리</x:t>
        </x:is>
      </x:c>
      <x:c r="H307" s="6" t="n">
        <x:v>11.5</x:v>
      </x:c>
      <x:c r="I307" s="5" t="n"/>
      <x:c r="J307" s="5" t="inlineStr">
        <x:is>
          <x:t xml:space="preserve">무진화</x:t>
        </x:is>
      </x:c>
      <x:c r="K307" s="7" t="inlineStr">
        <x:is>
          <x:t xml:space="preserve">육상</x:t>
        </x:is>
      </x:c>
      <x:c r="L307" s="7" t="inlineStr">
        <x:is>
          <x:t xml:space="preserve">동굴</x:t>
        </x:is>
      </x:c>
      <x:c r="M307" s="7" t="inlineStr">
        <x:is>
          <x:t xml:space="preserve">온대</x:t>
        </x:is>
      </x:c>
      <x:c r="N307" s="7" t="inlineStr">
        <x:is>
          <x:t xml:space="preserve">보통</x:t>
        </x:is>
      </x:c>
      <x:c r="O307" s="7" t="inlineStr">
        <x:is>
          <x:t xml:space="preserve">무관</x:t>
        </x:is>
      </x:c>
      <x:c r="P307" s="7" t="inlineStr">
        <x:is>
          <x:t xml:space="preserve">무관</x:t>
        </x:is>
      </x:c>
      <x:c r="Q307" s="7" t="inlineStr">
        <x:is>
          <x:t xml:space="preserve">보통</x:t>
        </x:is>
      </x:c>
      <x:c r="R307" s="7" t="inlineStr">
        <x:is>
          <x:t xml:space="preserve">동굴</x:t>
        </x:is>
      </x:c>
      <x:c r="S307" s="7" t="inlineStr">
        <x:is>
          <x:t xml:space="preserve">동굴</x:t>
        </x:is>
      </x:c>
      <x:c r="T307" s="7" t="inlineStr">
        <x:is>
          <x:t xml:space="preserve"/>
        </x:is>
      </x:c>
      <x:c r="U307" s="8" t="str">
        <x:f>INDEX('서식지_점수'!$E$4:$P$4,1,MATCH(MAX('서식지_점수'!E307:P307),'서식지_점수'!E307:P307,0))</x:f>
        <x:v>평원</x:v>
      </x:c>
      <x:c r="V307" s="8" t="str">
        <x:f>IF(T307&lt;&gt;"",T307,U307)</x:f>
        <x:v>평원</x:v>
      </x:c>
      <x:c r="W307" s="8" t="str">
        <x:f>IFERROR(INDEX('서식지_점수'!$E$4:$P$4,1,MATCH(MAXIFS('서식지_점수'!E307:P307,'서식지_점수'!E307:P307,"&lt;"&amp;MAX('서식지_점수'!E307:P307)),'서식지_점수'!E307:P307,0)),"")</x:f>
        <x:v>숲</x:v>
      </x:c>
      <x:c r="X307" s="8" t="str">
        <x:f>IF(T307&lt;&gt;"","수동확정",IF(MAX('서식지_점수'!E307:P307)-LARGE('서식지_점수'!E307:P307,2)&gt;=15,"높음",IF(MAX('서식지_점수'!E307:P307)-LARGE('서식지_점수'!E307:P307,2)&gt;=8,"보통","검토필요")))</x:f>
        <x:v>검토필요</x:v>
      </x:c>
      <x:c r="Y307" s="9" t="n">
        <x:f>IF(Q307="전설",8,IF(Q307="희귀",7,IF(J307="기본",1,IF(J307="중간",3,IF(J307="최종",IF(I307="",5,IF(I307&lt;=20,3,IF(I307&lt;=35,4,IF(I307&lt;=50,6,7)))),IF(Q307="드묾",4,2))))))</x:f>
        <x:v>2</x:v>
      </x:c>
      <x:c r="Z307" s="5" t="inlineStr">
        <x:is>
          <x:t xml:space="preserve">#cobblemon:is_deep_dark; #cobblemon:is_overworld</x:t>
        </x:is>
      </x:c>
      <x:c r="AA307" s="5" t="inlineStr">
        <x:is>
          <x:t xml:space="preserve">rare; uncommon</x:t>
        </x:is>
      </x:c>
      <x:c r="AB307" s="5" t="inlineStr">
        <x:is>
          <x:t xml:space="preserve">예</x:t>
        </x:is>
      </x:c>
      <x:c r="AC307" s="8" t="str">
        <x:f>IF(T307&lt;&gt;"","수동확정",IF(X307="검토필요","검토필요",IF(S307="","원본없음","초기완료")))</x:f>
        <x:v>검토필요</x:v>
      </x:c>
      <x:c r="AD307" s="7" t="inlineStr">
        <x:is>
          <x:t xml:space="preserve"/>
        </x:is>
      </x:c>
      <x:c r="AE307" s="5" t="inlineStr">
        <x:is>
          <x:t xml:space="preserve">.tmp/cobblemon-1.7.3-source/common/src/main/resources/data/cobblemon/species/generation3/mawile.json</x:t>
        </x:is>
      </x:c>
      <x:c r="AF307" s="5" t="str">
        <x:f>"생활권|"&amp;K307</x:f>
        <x:v>생활권|육상</x:v>
      </x:c>
      <x:c r="AG307" s="5" t="str">
        <x:f>"지형|"&amp;L307</x:f>
        <x:v>지형|동굴</x:v>
      </x:c>
      <x:c r="AH307" s="5" t="str">
        <x:f>"온도|"&amp;M307</x:f>
        <x:v>온도|온대</x:v>
      </x:c>
      <x:c r="AI307" s="5" t="str">
        <x:f>"습도|"&amp;N307</x:f>
        <x:v>습도|보통</x:v>
      </x:c>
      <x:c r="AJ307" s="5" t="str">
        <x:f>"날씨|"&amp;O307</x:f>
        <x:v>날씨|무관</x:v>
      </x:c>
      <x:c r="AK307" s="5" t="str">
        <x:f>"특수태그|"&amp;R307</x:f>
        <x:v>특수태그|동굴</x:v>
      </x:c>
      <x:c r="AL307" s="5" t="str">
        <x:f>"원본서식지|"&amp;S307</x:f>
        <x:v>원본서식지|동굴</x:v>
      </x:c>
      <x:c r="AM307" s="5" t="str">
        <x:f>"타입|"&amp;F307</x:f>
        <x:v>타입|강철</x:v>
      </x:c>
      <x:c r="AN307" s="5" t="str">
        <x:f>"타입|"&amp;G307</x:f>
        <x:v>타입|페어리</x:v>
      </x:c>
    </x:row>
    <x:row r="308" ht="24" customHeight="1">
      <x:c r="A308" s="5" t="n">
        <x:v>304</x:v>
      </x:c>
      <x:c r="B308" s="5" t="inlineStr">
        <x:is>
          <x:t xml:space="preserve">가보리</x:t>
        </x:is>
      </x:c>
      <x:c r="C308" s="5" t="inlineStr">
        <x:is>
          <x:t xml:space="preserve">aron</x:t>
        </x:is>
      </x:c>
      <x:c r="D308" s="5" t="inlineStr">
        <x:is>
          <x:t xml:space="preserve">Aron</x:t>
        </x:is>
      </x:c>
      <x:c r="E308" s="5" t="n">
        <x:v>3</x:v>
      </x:c>
      <x:c r="F308" s="5" t="inlineStr">
        <x:is>
          <x:t xml:space="preserve">강철</x:t>
        </x:is>
      </x:c>
      <x:c r="G308" s="5" t="inlineStr">
        <x:is>
          <x:t xml:space="preserve">바위</x:t>
        </x:is>
      </x:c>
      <x:c r="H308" s="6" t="n">
        <x:v>60</x:v>
      </x:c>
      <x:c r="I308" s="5" t="n">
        <x:v>42</x:v>
      </x:c>
      <x:c r="J308" s="5" t="inlineStr">
        <x:is>
          <x:t xml:space="preserve">기본</x:t>
        </x:is>
      </x:c>
      <x:c r="K308" s="7" t="inlineStr">
        <x:is>
          <x:t xml:space="preserve">육상</x:t>
        </x:is>
      </x:c>
      <x:c r="L308" s="7" t="inlineStr">
        <x:is>
          <x:t xml:space="preserve">암석</x:t>
        </x:is>
      </x:c>
      <x:c r="M308" s="7" t="inlineStr">
        <x:is>
          <x:t xml:space="preserve">온대</x:t>
        </x:is>
      </x:c>
      <x:c r="N308" s="7" t="inlineStr">
        <x:is>
          <x:t xml:space="preserve">보통</x:t>
        </x:is>
      </x:c>
      <x:c r="O308" s="7" t="inlineStr">
        <x:is>
          <x:t xml:space="preserve">무관</x:t>
        </x:is>
      </x:c>
      <x:c r="P308" s="7" t="inlineStr">
        <x:is>
          <x:t xml:space="preserve">무관</x:t>
        </x:is>
      </x:c>
      <x:c r="Q308" s="7" t="inlineStr">
        <x:is>
          <x:t xml:space="preserve">흔함</x:t>
        </x:is>
      </x:c>
      <x:c r="R308" s="7" t="inlineStr">
        <x:is>
          <x:t xml:space="preserve">없음</x:t>
        </x:is>
      </x:c>
      <x:c r="S308" s="7" t="inlineStr">
        <x:is>
          <x:t xml:space="preserve">산악</x:t>
        </x:is>
      </x:c>
      <x:c r="T308" s="7" t="inlineStr">
        <x:is>
          <x:t xml:space="preserve"/>
        </x:is>
      </x:c>
      <x:c r="U308" s="8" t="str">
        <x:f>INDEX('서식지_점수'!$E$4:$P$4,1,MATCH(MAX('서식지_점수'!E308:P308),'서식지_점수'!E308:P308,0))</x:f>
        <x:v>평원</x:v>
      </x:c>
      <x:c r="V308" s="8" t="str">
        <x:f>IF(T308&lt;&gt;"",T308,U308)</x:f>
        <x:v>평원</x:v>
      </x:c>
      <x:c r="W308" s="8" t="str">
        <x:f>IFERROR(INDEX('서식지_점수'!$E$4:$P$4,1,MATCH(MAXIFS('서식지_점수'!E308:P308,'서식지_점수'!E308:P308,"&lt;"&amp;MAX('서식지_점수'!E308:P308)),'서식지_점수'!E308:P308,0)),"")</x:f>
        <x:v>숲</x:v>
      </x:c>
      <x:c r="X308" s="8" t="str">
        <x:f>IF(T308&lt;&gt;"","수동확정",IF(MAX('서식지_점수'!E308:P308)-LARGE('서식지_점수'!E308:P308,2)&gt;=15,"높음",IF(MAX('서식지_점수'!E308:P308)-LARGE('서식지_점수'!E308:P308,2)&gt;=8,"보통","검토필요")))</x:f>
        <x:v>검토필요</x:v>
      </x:c>
      <x:c r="Y308" s="9" t="n">
        <x:f>IF(Q308="전설",8,IF(Q308="희귀",7,IF(J308="기본",1,IF(J308="중간",3,IF(J308="최종",IF(I308="",5,IF(I308&lt;=20,3,IF(I308&lt;=35,4,IF(I308&lt;=50,6,7)))),IF(Q308="드묾",4,2))))))</x:f>
        <x:v>1</x:v>
      </x:c>
      <x:c r="Z308" s="5" t="inlineStr">
        <x:is>
          <x:t xml:space="preserve">#cobblemon:is_mountain; #cobblemon:is_overworld</x:t>
        </x:is>
      </x:c>
      <x:c r="AA308" s="5" t="inlineStr">
        <x:is>
          <x:t xml:space="preserve">common</x:t>
        </x:is>
      </x:c>
      <x:c r="AB308" s="5" t="inlineStr">
        <x:is>
          <x:t xml:space="preserve">예</x:t>
        </x:is>
      </x:c>
      <x:c r="AC308" s="8" t="str">
        <x:f>IF(T308&lt;&gt;"","수동확정",IF(X308="검토필요","검토필요",IF(S308="","원본없음","초기완료")))</x:f>
        <x:v>검토필요</x:v>
      </x:c>
      <x:c r="AD308" s="7" t="inlineStr">
        <x:is>
          <x:t xml:space="preserve"/>
        </x:is>
      </x:c>
      <x:c r="AE308" s="5" t="inlineStr">
        <x:is>
          <x:t xml:space="preserve">.tmp/cobblemon-1.7.3-source/common/src/main/resources/data/cobblemon/species/generation3/aron.json</x:t>
        </x:is>
      </x:c>
      <x:c r="AF308" s="5" t="str">
        <x:f>"생활권|"&amp;K308</x:f>
        <x:v>생활권|육상</x:v>
      </x:c>
      <x:c r="AG308" s="5" t="str">
        <x:f>"지형|"&amp;L308</x:f>
        <x:v>지형|암석</x:v>
      </x:c>
      <x:c r="AH308" s="5" t="str">
        <x:f>"온도|"&amp;M308</x:f>
        <x:v>온도|온대</x:v>
      </x:c>
      <x:c r="AI308" s="5" t="str">
        <x:f>"습도|"&amp;N308</x:f>
        <x:v>습도|보통</x:v>
      </x:c>
      <x:c r="AJ308" s="5" t="str">
        <x:f>"날씨|"&amp;O308</x:f>
        <x:v>날씨|무관</x:v>
      </x:c>
      <x:c r="AK308" s="5" t="str">
        <x:f>"특수태그|"&amp;R308</x:f>
        <x:v>특수태그|없음</x:v>
      </x:c>
      <x:c r="AL308" s="5" t="str">
        <x:f>"원본서식지|"&amp;S308</x:f>
        <x:v>원본서식지|산악</x:v>
      </x:c>
      <x:c r="AM308" s="5" t="str">
        <x:f>"타입|"&amp;F308</x:f>
        <x:v>타입|강철</x:v>
      </x:c>
      <x:c r="AN308" s="5" t="str">
        <x:f>"타입|"&amp;G308</x:f>
        <x:v>타입|바위</x:v>
      </x:c>
    </x:row>
    <x:row r="309" ht="24" customHeight="1">
      <x:c r="A309" s="5" t="n">
        <x:v>305</x:v>
      </x:c>
      <x:c r="B309" s="5" t="inlineStr">
        <x:is>
          <x:t xml:space="preserve">갱도라</x:t>
        </x:is>
      </x:c>
      <x:c r="C309" s="5" t="inlineStr">
        <x:is>
          <x:t xml:space="preserve">lairon</x:t>
        </x:is>
      </x:c>
      <x:c r="D309" s="5" t="inlineStr">
        <x:is>
          <x:t xml:space="preserve">Lairon</x:t>
        </x:is>
      </x:c>
      <x:c r="E309" s="5" t="n">
        <x:v>3</x:v>
      </x:c>
      <x:c r="F309" s="5" t="inlineStr">
        <x:is>
          <x:t xml:space="preserve">강철</x:t>
        </x:is>
      </x:c>
      <x:c r="G309" s="5" t="inlineStr">
        <x:is>
          <x:t xml:space="preserve">바위</x:t>
        </x:is>
      </x:c>
      <x:c r="H309" s="6" t="n">
        <x:v>120</x:v>
      </x:c>
      <x:c r="I309" s="5" t="n">
        <x:v>42</x:v>
      </x:c>
      <x:c r="J309" s="5" t="inlineStr">
        <x:is>
          <x:t xml:space="preserve">중간</x:t>
        </x:is>
      </x:c>
      <x:c r="K309" s="7" t="inlineStr">
        <x:is>
          <x:t xml:space="preserve">육상</x:t>
        </x:is>
      </x:c>
      <x:c r="L309" s="7" t="inlineStr">
        <x:is>
          <x:t xml:space="preserve">암석</x:t>
        </x:is>
      </x:c>
      <x:c r="M309" s="7" t="inlineStr">
        <x:is>
          <x:t xml:space="preserve">온대</x:t>
        </x:is>
      </x:c>
      <x:c r="N309" s="7" t="inlineStr">
        <x:is>
          <x:t xml:space="preserve">보통</x:t>
        </x:is>
      </x:c>
      <x:c r="O309" s="7" t="inlineStr">
        <x:is>
          <x:t xml:space="preserve">무관</x:t>
        </x:is>
      </x:c>
      <x:c r="P309" s="7" t="inlineStr">
        <x:is>
          <x:t xml:space="preserve">무관</x:t>
        </x:is>
      </x:c>
      <x:c r="Q309" s="7" t="inlineStr">
        <x:is>
          <x:t xml:space="preserve">흔함</x:t>
        </x:is>
      </x:c>
      <x:c r="R309" s="7" t="inlineStr">
        <x:is>
          <x:t xml:space="preserve">없음</x:t>
        </x:is>
      </x:c>
      <x:c r="S309" s="7" t="inlineStr">
        <x:is>
          <x:t xml:space="preserve">산악</x:t>
        </x:is>
      </x:c>
      <x:c r="T309" s="7" t="inlineStr">
        <x:is>
          <x:t xml:space="preserve"/>
        </x:is>
      </x:c>
      <x:c r="U309" s="8" t="str">
        <x:f>INDEX('서식지_점수'!$E$4:$P$4,1,MATCH(MAX('서식지_점수'!E309:P309),'서식지_점수'!E309:P309,0))</x:f>
        <x:v>평원</x:v>
      </x:c>
      <x:c r="V309" s="8" t="str">
        <x:f>IF(T309&lt;&gt;"",T309,U309)</x:f>
        <x:v>평원</x:v>
      </x:c>
      <x:c r="W309" s="8" t="str">
        <x:f>IFERROR(INDEX('서식지_점수'!$E$4:$P$4,1,MATCH(MAXIFS('서식지_점수'!E309:P309,'서식지_점수'!E309:P309,"&lt;"&amp;MAX('서식지_점수'!E309:P309)),'서식지_점수'!E309:P309,0)),"")</x:f>
        <x:v>숲</x:v>
      </x:c>
      <x:c r="X309" s="8" t="str">
        <x:f>IF(T309&lt;&gt;"","수동확정",IF(MAX('서식지_점수'!E309:P309)-LARGE('서식지_점수'!E309:P309,2)&gt;=15,"높음",IF(MAX('서식지_점수'!E309:P309)-LARGE('서식지_점수'!E309:P309,2)&gt;=8,"보통","검토필요")))</x:f>
        <x:v>검토필요</x:v>
      </x:c>
      <x:c r="Y309" s="9" t="n">
        <x:f>IF(Q309="전설",8,IF(Q309="희귀",7,IF(J309="기본",1,IF(J309="중간",3,IF(J309="최종",IF(I309="",5,IF(I309&lt;=20,3,IF(I309&lt;=35,4,IF(I309&lt;=50,6,7)))),IF(Q309="드묾",4,2))))))</x:f>
        <x:v>3</x:v>
      </x:c>
      <x:c r="Z309" s="5" t="inlineStr">
        <x:is>
          <x:t xml:space="preserve">#cobblemon:is_mountain; #cobblemon:is_overworld</x:t>
        </x:is>
      </x:c>
      <x:c r="AA309" s="5" t="inlineStr">
        <x:is>
          <x:t xml:space="preserve">common</x:t>
        </x:is>
      </x:c>
      <x:c r="AB309" s="5" t="inlineStr">
        <x:is>
          <x:t xml:space="preserve">예</x:t>
        </x:is>
      </x:c>
      <x:c r="AC309" s="8" t="str">
        <x:f>IF(T309&lt;&gt;"","수동확정",IF(X309="검토필요","검토필요",IF(S309="","원본없음","초기완료")))</x:f>
        <x:v>검토필요</x:v>
      </x:c>
      <x:c r="AD309" s="7" t="inlineStr">
        <x:is>
          <x:t xml:space="preserve"/>
        </x:is>
      </x:c>
      <x:c r="AE309" s="5" t="inlineStr">
        <x:is>
          <x:t xml:space="preserve">.tmp/cobblemon-1.7.3-source/common/src/main/resources/data/cobblemon/species/generation3/lairon.json</x:t>
        </x:is>
      </x:c>
      <x:c r="AF309" s="5" t="str">
        <x:f>"생활권|"&amp;K309</x:f>
        <x:v>생활권|육상</x:v>
      </x:c>
      <x:c r="AG309" s="5" t="str">
        <x:f>"지형|"&amp;L309</x:f>
        <x:v>지형|암석</x:v>
      </x:c>
      <x:c r="AH309" s="5" t="str">
        <x:f>"온도|"&amp;M309</x:f>
        <x:v>온도|온대</x:v>
      </x:c>
      <x:c r="AI309" s="5" t="str">
        <x:f>"습도|"&amp;N309</x:f>
        <x:v>습도|보통</x:v>
      </x:c>
      <x:c r="AJ309" s="5" t="str">
        <x:f>"날씨|"&amp;O309</x:f>
        <x:v>날씨|무관</x:v>
      </x:c>
      <x:c r="AK309" s="5" t="str">
        <x:f>"특수태그|"&amp;R309</x:f>
        <x:v>특수태그|없음</x:v>
      </x:c>
      <x:c r="AL309" s="5" t="str">
        <x:f>"원본서식지|"&amp;S309</x:f>
        <x:v>원본서식지|산악</x:v>
      </x:c>
      <x:c r="AM309" s="5" t="str">
        <x:f>"타입|"&amp;F309</x:f>
        <x:v>타입|강철</x:v>
      </x:c>
      <x:c r="AN309" s="5" t="str">
        <x:f>"타입|"&amp;G309</x:f>
        <x:v>타입|바위</x:v>
      </x:c>
    </x:row>
    <x:row r="310" ht="24" customHeight="1">
      <x:c r="A310" s="5" t="n">
        <x:v>306</x:v>
      </x:c>
      <x:c r="B310" s="5" t="inlineStr">
        <x:is>
          <x:t xml:space="preserve">보스로라</x:t>
        </x:is>
      </x:c>
      <x:c r="C310" s="5" t="inlineStr">
        <x:is>
          <x:t xml:space="preserve">aggron</x:t>
        </x:is>
      </x:c>
      <x:c r="D310" s="5" t="inlineStr">
        <x:is>
          <x:t xml:space="preserve">Aggron</x:t>
        </x:is>
      </x:c>
      <x:c r="E310" s="5" t="n">
        <x:v>3</x:v>
      </x:c>
      <x:c r="F310" s="5" t="inlineStr">
        <x:is>
          <x:t xml:space="preserve">강철</x:t>
        </x:is>
      </x:c>
      <x:c r="G310" s="5" t="inlineStr">
        <x:is>
          <x:t xml:space="preserve">바위</x:t>
        </x:is>
      </x:c>
      <x:c r="H310" s="6" t="n">
        <x:v>360</x:v>
      </x:c>
      <x:c r="I310" s="5" t="n">
        <x:v>42</x:v>
      </x:c>
      <x:c r="J310" s="5" t="inlineStr">
        <x:is>
          <x:t xml:space="preserve">최종</x:t>
        </x:is>
      </x:c>
      <x:c r="K310" s="7" t="inlineStr">
        <x:is>
          <x:t xml:space="preserve">육상</x:t>
        </x:is>
      </x:c>
      <x:c r="L310" s="7" t="inlineStr">
        <x:is>
          <x:t xml:space="preserve">암석</x:t>
        </x:is>
      </x:c>
      <x:c r="M310" s="7" t="inlineStr">
        <x:is>
          <x:t xml:space="preserve">온대</x:t>
        </x:is>
      </x:c>
      <x:c r="N310" s="7" t="inlineStr">
        <x:is>
          <x:t xml:space="preserve">보통</x:t>
        </x:is>
      </x:c>
      <x:c r="O310" s="7" t="inlineStr">
        <x:is>
          <x:t xml:space="preserve">무관</x:t>
        </x:is>
      </x:c>
      <x:c r="P310" s="7" t="inlineStr">
        <x:is>
          <x:t xml:space="preserve">무관</x:t>
        </x:is>
      </x:c>
      <x:c r="Q310" s="7" t="inlineStr">
        <x:is>
          <x:t xml:space="preserve">흔함</x:t>
        </x:is>
      </x:c>
      <x:c r="R310" s="7" t="inlineStr">
        <x:is>
          <x:t xml:space="preserve">없음</x:t>
        </x:is>
      </x:c>
      <x:c r="S310" s="7" t="inlineStr">
        <x:is>
          <x:t xml:space="preserve">산악</x:t>
        </x:is>
      </x:c>
      <x:c r="T310" s="7" t="inlineStr">
        <x:is>
          <x:t xml:space="preserve"/>
        </x:is>
      </x:c>
      <x:c r="U310" s="8" t="str">
        <x:f>INDEX('서식지_점수'!$E$4:$P$4,1,MATCH(MAX('서식지_점수'!E310:P310),'서식지_점수'!E310:P310,0))</x:f>
        <x:v>평원</x:v>
      </x:c>
      <x:c r="V310" s="8" t="str">
        <x:f>IF(T310&lt;&gt;"",T310,U310)</x:f>
        <x:v>평원</x:v>
      </x:c>
      <x:c r="W310" s="8" t="str">
        <x:f>IFERROR(INDEX('서식지_점수'!$E$4:$P$4,1,MATCH(MAXIFS('서식지_점수'!E310:P310,'서식지_점수'!E310:P310,"&lt;"&amp;MAX('서식지_점수'!E310:P310)),'서식지_점수'!E310:P310,0)),"")</x:f>
        <x:v>숲</x:v>
      </x:c>
      <x:c r="X310" s="8" t="str">
        <x:f>IF(T310&lt;&gt;"","수동확정",IF(MAX('서식지_점수'!E310:P310)-LARGE('서식지_점수'!E310:P310,2)&gt;=15,"높음",IF(MAX('서식지_점수'!E310:P310)-LARGE('서식지_점수'!E310:P310,2)&gt;=8,"보통","검토필요")))</x:f>
        <x:v>검토필요</x:v>
      </x:c>
      <x:c r="Y310" s="9" t="n">
        <x:f>IF(Q310="전설",8,IF(Q310="희귀",7,IF(J310="기본",1,IF(J310="중간",3,IF(J310="최종",IF(I310="",5,IF(I310&lt;=20,3,IF(I310&lt;=35,4,IF(I310&lt;=50,6,7)))),IF(Q310="드묾",4,2))))))</x:f>
        <x:v>6</x:v>
      </x:c>
      <x:c r="Z310" s="5" t="inlineStr">
        <x:is>
          <x:t xml:space="preserve">#cobblemon:is_mountain; #cobblemon:is_overworld</x:t>
        </x:is>
      </x:c>
      <x:c r="AA310" s="5" t="inlineStr">
        <x:is>
          <x:t xml:space="preserve">common</x:t>
        </x:is>
      </x:c>
      <x:c r="AB310" s="5" t="inlineStr">
        <x:is>
          <x:t xml:space="preserve">예</x:t>
        </x:is>
      </x:c>
      <x:c r="AC310" s="8" t="str">
        <x:f>IF(T310&lt;&gt;"","수동확정",IF(X310="검토필요","검토필요",IF(S310="","원본없음","초기완료")))</x:f>
        <x:v>검토필요</x:v>
      </x:c>
      <x:c r="AD310" s="7" t="inlineStr">
        <x:is>
          <x:t xml:space="preserve"/>
        </x:is>
      </x:c>
      <x:c r="AE310" s="5" t="inlineStr">
        <x:is>
          <x:t xml:space="preserve">.tmp/cobblemon-1.7.3-source/common/src/main/resources/data/cobblemon/species/generation3/aggron.json</x:t>
        </x:is>
      </x:c>
      <x:c r="AF310" s="5" t="str">
        <x:f>"생활권|"&amp;K310</x:f>
        <x:v>생활권|육상</x:v>
      </x:c>
      <x:c r="AG310" s="5" t="str">
        <x:f>"지형|"&amp;L310</x:f>
        <x:v>지형|암석</x:v>
      </x:c>
      <x:c r="AH310" s="5" t="str">
        <x:f>"온도|"&amp;M310</x:f>
        <x:v>온도|온대</x:v>
      </x:c>
      <x:c r="AI310" s="5" t="str">
        <x:f>"습도|"&amp;N310</x:f>
        <x:v>습도|보통</x:v>
      </x:c>
      <x:c r="AJ310" s="5" t="str">
        <x:f>"날씨|"&amp;O310</x:f>
        <x:v>날씨|무관</x:v>
      </x:c>
      <x:c r="AK310" s="5" t="str">
        <x:f>"특수태그|"&amp;R310</x:f>
        <x:v>특수태그|없음</x:v>
      </x:c>
      <x:c r="AL310" s="5" t="str">
        <x:f>"원본서식지|"&amp;S310</x:f>
        <x:v>원본서식지|산악</x:v>
      </x:c>
      <x:c r="AM310" s="5" t="str">
        <x:f>"타입|"&amp;F310</x:f>
        <x:v>타입|강철</x:v>
      </x:c>
      <x:c r="AN310" s="5" t="str">
        <x:f>"타입|"&amp;G310</x:f>
        <x:v>타입|바위</x:v>
      </x:c>
    </x:row>
    <x:row r="311" ht="24" customHeight="1">
      <x:c r="A311" s="5" t="n">
        <x:v>307</x:v>
      </x:c>
      <x:c r="B311" s="5" t="inlineStr">
        <x:is>
          <x:t xml:space="preserve">요가랑</x:t>
        </x:is>
      </x:c>
      <x:c r="C311" s="5" t="inlineStr">
        <x:is>
          <x:t xml:space="preserve">meditite</x:t>
        </x:is>
      </x:c>
      <x:c r="D311" s="5" t="inlineStr">
        <x:is>
          <x:t xml:space="preserve">Meditite</x:t>
        </x:is>
      </x:c>
      <x:c r="E311" s="5" t="n">
        <x:v>3</x:v>
      </x:c>
      <x:c r="F311" s="5" t="inlineStr">
        <x:is>
          <x:t xml:space="preserve">격투</x:t>
        </x:is>
      </x:c>
      <x:c r="G311" s="5" t="inlineStr">
        <x:is>
          <x:t xml:space="preserve">에스퍼</x:t>
        </x:is>
      </x:c>
      <x:c r="H311" s="6" t="n">
        <x:v>11.2</x:v>
      </x:c>
      <x:c r="I311" s="5" t="n">
        <x:v>37</x:v>
      </x:c>
      <x:c r="J311" s="5" t="inlineStr">
        <x:is>
          <x:t xml:space="preserve">기본</x:t>
        </x:is>
      </x:c>
      <x:c r="K311" s="7" t="inlineStr">
        <x:is>
          <x:t xml:space="preserve">육상</x:t>
        </x:is>
      </x:c>
      <x:c r="L311" s="7" t="inlineStr">
        <x:is>
          <x:t xml:space="preserve">암석</x:t>
        </x:is>
      </x:c>
      <x:c r="M311" s="7" t="inlineStr">
        <x:is>
          <x:t xml:space="preserve">온대</x:t>
        </x:is>
      </x:c>
      <x:c r="N311" s="7" t="inlineStr">
        <x:is>
          <x:t xml:space="preserve">보통</x:t>
        </x:is>
      </x:c>
      <x:c r="O311" s="7" t="inlineStr">
        <x:is>
          <x:t xml:space="preserve">무관</x:t>
        </x:is>
      </x:c>
      <x:c r="P311" s="7" t="inlineStr">
        <x:is>
          <x:t xml:space="preserve">무관</x:t>
        </x:is>
      </x:c>
      <x:c r="Q311" s="7" t="inlineStr">
        <x:is>
          <x:t xml:space="preserve">흔함</x:t>
        </x:is>
      </x:c>
      <x:c r="R311" s="7" t="inlineStr">
        <x:is>
          <x:t xml:space="preserve">없음</x:t>
        </x:is>
      </x:c>
      <x:c r="S311" s="7" t="inlineStr">
        <x:is>
          <x:t xml:space="preserve">산악</x:t>
        </x:is>
      </x:c>
      <x:c r="T311" s="7" t="inlineStr">
        <x:is>
          <x:t xml:space="preserve"/>
        </x:is>
      </x:c>
      <x:c r="U311" s="8" t="str">
        <x:f>INDEX('서식지_점수'!$E$4:$P$4,1,MATCH(MAX('서식지_점수'!E311:P311),'서식지_점수'!E311:P311,0))</x:f>
        <x:v>평원</x:v>
      </x:c>
      <x:c r="V311" s="8" t="str">
        <x:f>IF(T311&lt;&gt;"",T311,U311)</x:f>
        <x:v>평원</x:v>
      </x:c>
      <x:c r="W311" s="8" t="str">
        <x:f>IFERROR(INDEX('서식지_점수'!$E$4:$P$4,1,MATCH(MAXIFS('서식지_점수'!E311:P311,'서식지_점수'!E311:P311,"&lt;"&amp;MAX('서식지_점수'!E311:P311)),'서식지_점수'!E311:P311,0)),"")</x:f>
        <x:v>숲</x:v>
      </x:c>
      <x:c r="X311" s="8" t="str">
        <x:f>IF(T311&lt;&gt;"","수동확정",IF(MAX('서식지_점수'!E311:P311)-LARGE('서식지_점수'!E311:P311,2)&gt;=15,"높음",IF(MAX('서식지_점수'!E311:P311)-LARGE('서식지_점수'!E311:P311,2)&gt;=8,"보통","검토필요")))</x:f>
        <x:v>검토필요</x:v>
      </x:c>
      <x:c r="Y311" s="9" t="n">
        <x:f>IF(Q311="전설",8,IF(Q311="희귀",7,IF(J311="기본",1,IF(J311="중간",3,IF(J311="최종",IF(I311="",5,IF(I311&lt;=20,3,IF(I311&lt;=35,4,IF(I311&lt;=50,6,7)))),IF(Q311="드묾",4,2))))))</x:f>
        <x:v>1</x:v>
      </x:c>
      <x:c r="Z311" s="5" t="inlineStr">
        <x:is>
          <x:t xml:space="preserve">#cobblemon:is_peak</x:t>
        </x:is>
      </x:c>
      <x:c r="AA311" s="5" t="inlineStr">
        <x:is>
          <x:t xml:space="preserve">common</x:t>
        </x:is>
      </x:c>
      <x:c r="AB311" s="5" t="inlineStr">
        <x:is>
          <x:t xml:space="preserve">예</x:t>
        </x:is>
      </x:c>
      <x:c r="AC311" s="8" t="str">
        <x:f>IF(T311&lt;&gt;"","수동확정",IF(X311="검토필요","검토필요",IF(S311="","원본없음","초기완료")))</x:f>
        <x:v>검토필요</x:v>
      </x:c>
      <x:c r="AD311" s="7" t="inlineStr">
        <x:is>
          <x:t xml:space="preserve"/>
        </x:is>
      </x:c>
      <x:c r="AE311" s="5" t="inlineStr">
        <x:is>
          <x:t xml:space="preserve">.tmp/cobblemon-1.7.3-source/common/src/main/resources/data/cobblemon/species/generation3/meditite.json</x:t>
        </x:is>
      </x:c>
      <x:c r="AF311" s="5" t="str">
        <x:f>"생활권|"&amp;K311</x:f>
        <x:v>생활권|육상</x:v>
      </x:c>
      <x:c r="AG311" s="5" t="str">
        <x:f>"지형|"&amp;L311</x:f>
        <x:v>지형|암석</x:v>
      </x:c>
      <x:c r="AH311" s="5" t="str">
        <x:f>"온도|"&amp;M311</x:f>
        <x:v>온도|온대</x:v>
      </x:c>
      <x:c r="AI311" s="5" t="str">
        <x:f>"습도|"&amp;N311</x:f>
        <x:v>습도|보통</x:v>
      </x:c>
      <x:c r="AJ311" s="5" t="str">
        <x:f>"날씨|"&amp;O311</x:f>
        <x:v>날씨|무관</x:v>
      </x:c>
      <x:c r="AK311" s="5" t="str">
        <x:f>"특수태그|"&amp;R311</x:f>
        <x:v>특수태그|없음</x:v>
      </x:c>
      <x:c r="AL311" s="5" t="str">
        <x:f>"원본서식지|"&amp;S311</x:f>
        <x:v>원본서식지|산악</x:v>
      </x:c>
      <x:c r="AM311" s="5" t="str">
        <x:f>"타입|"&amp;F311</x:f>
        <x:v>타입|격투</x:v>
      </x:c>
      <x:c r="AN311" s="5" t="str">
        <x:f>"타입|"&amp;G311</x:f>
        <x:v>타입|에스퍼</x:v>
      </x:c>
    </x:row>
    <x:row r="312" ht="24" customHeight="1">
      <x:c r="A312" s="5" t="n">
        <x:v>308</x:v>
      </x:c>
      <x:c r="B312" s="5" t="inlineStr">
        <x:is>
          <x:t xml:space="preserve">요가램</x:t>
        </x:is>
      </x:c>
      <x:c r="C312" s="5" t="inlineStr">
        <x:is>
          <x:t xml:space="preserve">medicham</x:t>
        </x:is>
      </x:c>
      <x:c r="D312" s="5" t="inlineStr">
        <x:is>
          <x:t xml:space="preserve">Medicham</x:t>
        </x:is>
      </x:c>
      <x:c r="E312" s="5" t="n">
        <x:v>3</x:v>
      </x:c>
      <x:c r="F312" s="5" t="inlineStr">
        <x:is>
          <x:t xml:space="preserve">격투</x:t>
        </x:is>
      </x:c>
      <x:c r="G312" s="5" t="inlineStr">
        <x:is>
          <x:t xml:space="preserve">에스퍼</x:t>
        </x:is>
      </x:c>
      <x:c r="H312" s="6" t="n">
        <x:v>31.5</x:v>
      </x:c>
      <x:c r="I312" s="5" t="n">
        <x:v>37</x:v>
      </x:c>
      <x:c r="J312" s="5" t="inlineStr">
        <x:is>
          <x:t xml:space="preserve">최종</x:t>
        </x:is>
      </x:c>
      <x:c r="K312" s="7" t="inlineStr">
        <x:is>
          <x:t xml:space="preserve">육상</x:t>
        </x:is>
      </x:c>
      <x:c r="L312" s="7" t="inlineStr">
        <x:is>
          <x:t xml:space="preserve">암석</x:t>
        </x:is>
      </x:c>
      <x:c r="M312" s="7" t="inlineStr">
        <x:is>
          <x:t xml:space="preserve">온대</x:t>
        </x:is>
      </x:c>
      <x:c r="N312" s="7" t="inlineStr">
        <x:is>
          <x:t xml:space="preserve">보통</x:t>
        </x:is>
      </x:c>
      <x:c r="O312" s="7" t="inlineStr">
        <x:is>
          <x:t xml:space="preserve">무관</x:t>
        </x:is>
      </x:c>
      <x:c r="P312" s="7" t="inlineStr">
        <x:is>
          <x:t xml:space="preserve">무관</x:t>
        </x:is>
      </x:c>
      <x:c r="Q312" s="7" t="inlineStr">
        <x:is>
          <x:t xml:space="preserve">흔함</x:t>
        </x:is>
      </x:c>
      <x:c r="R312" s="7" t="inlineStr">
        <x:is>
          <x:t xml:space="preserve">없음</x:t>
        </x:is>
      </x:c>
      <x:c r="S312" s="7" t="inlineStr">
        <x:is>
          <x:t xml:space="preserve">산악</x:t>
        </x:is>
      </x:c>
      <x:c r="T312" s="7" t="inlineStr">
        <x:is>
          <x:t xml:space="preserve"/>
        </x:is>
      </x:c>
      <x:c r="U312" s="8" t="str">
        <x:f>INDEX('서식지_점수'!$E$4:$P$4,1,MATCH(MAX('서식지_점수'!E312:P312),'서식지_점수'!E312:P312,0))</x:f>
        <x:v>평원</x:v>
      </x:c>
      <x:c r="V312" s="8" t="str">
        <x:f>IF(T312&lt;&gt;"",T312,U312)</x:f>
        <x:v>평원</x:v>
      </x:c>
      <x:c r="W312" s="8" t="str">
        <x:f>IFERROR(INDEX('서식지_점수'!$E$4:$P$4,1,MATCH(MAXIFS('서식지_점수'!E312:P312,'서식지_점수'!E312:P312,"&lt;"&amp;MAX('서식지_점수'!E312:P312)),'서식지_점수'!E312:P312,0)),"")</x:f>
        <x:v>숲</x:v>
      </x:c>
      <x:c r="X312" s="8" t="str">
        <x:f>IF(T312&lt;&gt;"","수동확정",IF(MAX('서식지_점수'!E312:P312)-LARGE('서식지_점수'!E312:P312,2)&gt;=15,"높음",IF(MAX('서식지_점수'!E312:P312)-LARGE('서식지_점수'!E312:P312,2)&gt;=8,"보통","검토필요")))</x:f>
        <x:v>검토필요</x:v>
      </x:c>
      <x:c r="Y312" s="9" t="n">
        <x:f>IF(Q312="전설",8,IF(Q312="희귀",7,IF(J312="기본",1,IF(J312="중간",3,IF(J312="최종",IF(I312="",5,IF(I312&lt;=20,3,IF(I312&lt;=35,4,IF(I312&lt;=50,6,7)))),IF(Q312="드묾",4,2))))))</x:f>
        <x:v>6</x:v>
      </x:c>
      <x:c r="Z312" s="5" t="inlineStr">
        <x:is>
          <x:t xml:space="preserve">#cobblemon:is_overworld; #cobblemon:is_peak</x:t>
        </x:is>
      </x:c>
      <x:c r="AA312" s="5" t="inlineStr">
        <x:is>
          <x:t xml:space="preserve">common</x:t>
        </x:is>
      </x:c>
      <x:c r="AB312" s="5" t="inlineStr">
        <x:is>
          <x:t xml:space="preserve">예</x:t>
        </x:is>
      </x:c>
      <x:c r="AC312" s="8" t="str">
        <x:f>IF(T312&lt;&gt;"","수동확정",IF(X312="검토필요","검토필요",IF(S312="","원본없음","초기완료")))</x:f>
        <x:v>검토필요</x:v>
      </x:c>
      <x:c r="AD312" s="7" t="inlineStr">
        <x:is>
          <x:t xml:space="preserve"/>
        </x:is>
      </x:c>
      <x:c r="AE312" s="5" t="inlineStr">
        <x:is>
          <x:t xml:space="preserve">.tmp/cobblemon-1.7.3-source/common/src/main/resources/data/cobblemon/species/generation3/medicham.json</x:t>
        </x:is>
      </x:c>
      <x:c r="AF312" s="5" t="str">
        <x:f>"생활권|"&amp;K312</x:f>
        <x:v>생활권|육상</x:v>
      </x:c>
      <x:c r="AG312" s="5" t="str">
        <x:f>"지형|"&amp;L312</x:f>
        <x:v>지형|암석</x:v>
      </x:c>
      <x:c r="AH312" s="5" t="str">
        <x:f>"온도|"&amp;M312</x:f>
        <x:v>온도|온대</x:v>
      </x:c>
      <x:c r="AI312" s="5" t="str">
        <x:f>"습도|"&amp;N312</x:f>
        <x:v>습도|보통</x:v>
      </x:c>
      <x:c r="AJ312" s="5" t="str">
        <x:f>"날씨|"&amp;O312</x:f>
        <x:v>날씨|무관</x:v>
      </x:c>
      <x:c r="AK312" s="5" t="str">
        <x:f>"특수태그|"&amp;R312</x:f>
        <x:v>특수태그|없음</x:v>
      </x:c>
      <x:c r="AL312" s="5" t="str">
        <x:f>"원본서식지|"&amp;S312</x:f>
        <x:v>원본서식지|산악</x:v>
      </x:c>
      <x:c r="AM312" s="5" t="str">
        <x:f>"타입|"&amp;F312</x:f>
        <x:v>타입|격투</x:v>
      </x:c>
      <x:c r="AN312" s="5" t="str">
        <x:f>"타입|"&amp;G312</x:f>
        <x:v>타입|에스퍼</x:v>
      </x:c>
    </x:row>
    <x:row r="313" ht="24" customHeight="1">
      <x:c r="A313" s="5" t="n">
        <x:v>309</x:v>
      </x:c>
      <x:c r="B313" s="5" t="inlineStr">
        <x:is>
          <x:t xml:space="preserve">썬더라이</x:t>
        </x:is>
      </x:c>
      <x:c r="C313" s="5" t="inlineStr">
        <x:is>
          <x:t xml:space="preserve">electrike</x:t>
        </x:is>
      </x:c>
      <x:c r="D313" s="5" t="inlineStr">
        <x:is>
          <x:t xml:space="preserve">Electrike</x:t>
        </x:is>
      </x:c>
      <x:c r="E313" s="5" t="n">
        <x:v>3</x:v>
      </x:c>
      <x:c r="F313" s="5" t="inlineStr">
        <x:is>
          <x:t xml:space="preserve">전기</x:t>
        </x:is>
      </x:c>
      <x:c r="G313" s="5" t="inlineStr">
        <x:is>
          <x:t xml:space="preserve"/>
        </x:is>
      </x:c>
      <x:c r="H313" s="6" t="n">
        <x:v>15.2</x:v>
      </x:c>
      <x:c r="I313" s="5" t="n">
        <x:v>26</x:v>
      </x:c>
      <x:c r="J313" s="5" t="inlineStr">
        <x:is>
          <x:t xml:space="preserve">기본</x:t>
        </x:is>
      </x:c>
      <x:c r="K313" s="7" t="inlineStr">
        <x:is>
          <x:t xml:space="preserve">육상</x:t>
        </x:is>
      </x:c>
      <x:c r="L313" s="7" t="inlineStr">
        <x:is>
          <x:t xml:space="preserve">암석</x:t>
        </x:is>
      </x:c>
      <x:c r="M313" s="7" t="inlineStr">
        <x:is>
          <x:t xml:space="preserve">온대</x:t>
        </x:is>
      </x:c>
      <x:c r="N313" s="7" t="inlineStr">
        <x:is>
          <x:t xml:space="preserve">보통</x:t>
        </x:is>
      </x:c>
      <x:c r="O313" s="7" t="inlineStr">
        <x:is>
          <x:t xml:space="preserve">무관</x:t>
        </x:is>
      </x:c>
      <x:c r="P313" s="7" t="inlineStr">
        <x:is>
          <x:t xml:space="preserve">무관</x:t>
        </x:is>
      </x:c>
      <x:c r="Q313" s="7" t="inlineStr">
        <x:is>
          <x:t xml:space="preserve">흔함</x:t>
        </x:is>
      </x:c>
      <x:c r="R313" s="7" t="inlineStr">
        <x:is>
          <x:t xml:space="preserve">없음</x:t>
        </x:is>
      </x:c>
      <x:c r="S313" s="7" t="inlineStr">
        <x:is>
          <x:t xml:space="preserve">산악</x:t>
        </x:is>
      </x:c>
      <x:c r="T313" s="7" t="inlineStr">
        <x:is>
          <x:t xml:space="preserve"/>
        </x:is>
      </x:c>
      <x:c r="U313" s="8" t="str">
        <x:f>INDEX('서식지_점수'!$E$4:$P$4,1,MATCH(MAX('서식지_점수'!E313:P313),'서식지_점수'!E313:P313,0))</x:f>
        <x:v>평원</x:v>
      </x:c>
      <x:c r="V313" s="8" t="str">
        <x:f>IF(T313&lt;&gt;"",T313,U313)</x:f>
        <x:v>평원</x:v>
      </x:c>
      <x:c r="W313" s="8" t="str">
        <x:f>IFERROR(INDEX('서식지_점수'!$E$4:$P$4,1,MATCH(MAXIFS('서식지_점수'!E313:P313,'서식지_점수'!E313:P313,"&lt;"&amp;MAX('서식지_점수'!E313:P313)),'서식지_점수'!E313:P313,0)),"")</x:f>
        <x:v>숲</x:v>
      </x:c>
      <x:c r="X313" s="8" t="str">
        <x:f>IF(T313&lt;&gt;"","수동확정",IF(MAX('서식지_점수'!E313:P313)-LARGE('서식지_점수'!E313:P313,2)&gt;=15,"높음",IF(MAX('서식지_점수'!E313:P313)-LARGE('서식지_점수'!E313:P313,2)&gt;=8,"보통","검토필요")))</x:f>
        <x:v>검토필요</x:v>
      </x:c>
      <x:c r="Y313" s="9" t="n">
        <x:f>IF(Q313="전설",8,IF(Q313="희귀",7,IF(J313="기본",1,IF(J313="중간",3,IF(J313="최종",IF(I313="",5,IF(I313&lt;=20,3,IF(I313&lt;=35,4,IF(I313&lt;=50,6,7)))),IF(Q313="드묾",4,2))))))</x:f>
        <x:v>1</x:v>
      </x:c>
      <x:c r="Z313" s="5" t="inlineStr">
        <x:is>
          <x:t xml:space="preserve">#cobblemon:is_grassland; #cobblemon:is_hills</x:t>
        </x:is>
      </x:c>
      <x:c r="AA313" s="5" t="inlineStr">
        <x:is>
          <x:t xml:space="preserve">common</x:t>
        </x:is>
      </x:c>
      <x:c r="AB313" s="5" t="inlineStr">
        <x:is>
          <x:t xml:space="preserve">예</x:t>
        </x:is>
      </x:c>
      <x:c r="AC313" s="8" t="str">
        <x:f>IF(T313&lt;&gt;"","수동확정",IF(X313="검토필요","검토필요",IF(S313="","원본없음","초기완료")))</x:f>
        <x:v>검토필요</x:v>
      </x:c>
      <x:c r="AD313" s="7" t="inlineStr">
        <x:is>
          <x:t xml:space="preserve"/>
        </x:is>
      </x:c>
      <x:c r="AE313" s="5" t="inlineStr">
        <x:is>
          <x:t xml:space="preserve">.tmp/cobblemon-1.7.3-source/common/src/main/resources/data/cobblemon/species/generation3/electrike.json</x:t>
        </x:is>
      </x:c>
      <x:c r="AF313" s="5" t="str">
        <x:f>"생활권|"&amp;K313</x:f>
        <x:v>생활권|육상</x:v>
      </x:c>
      <x:c r="AG313" s="5" t="str">
        <x:f>"지형|"&amp;L313</x:f>
        <x:v>지형|암석</x:v>
      </x:c>
      <x:c r="AH313" s="5" t="str">
        <x:f>"온도|"&amp;M313</x:f>
        <x:v>온도|온대</x:v>
      </x:c>
      <x:c r="AI313" s="5" t="str">
        <x:f>"습도|"&amp;N313</x:f>
        <x:v>습도|보통</x:v>
      </x:c>
      <x:c r="AJ313" s="5" t="str">
        <x:f>"날씨|"&amp;O313</x:f>
        <x:v>날씨|무관</x:v>
      </x:c>
      <x:c r="AK313" s="5" t="str">
        <x:f>"특수태그|"&amp;R313</x:f>
        <x:v>특수태그|없음</x:v>
      </x:c>
      <x:c r="AL313" s="5" t="str">
        <x:f>"원본서식지|"&amp;S313</x:f>
        <x:v>원본서식지|산악</x:v>
      </x:c>
      <x:c r="AM313" s="5" t="str">
        <x:f>"타입|"&amp;F313</x:f>
        <x:v>타입|전기</x:v>
      </x:c>
      <x:c r="AN313" s="5" t="str">
        <x:f>"타입|"&amp;G313</x:f>
        <x:v>타입|</x:v>
      </x:c>
    </x:row>
    <x:row r="314" ht="24" customHeight="1">
      <x:c r="A314" s="5" t="n">
        <x:v>310</x:v>
      </x:c>
      <x:c r="B314" s="5" t="inlineStr">
        <x:is>
          <x:t xml:space="preserve">썬더볼트</x:t>
        </x:is>
      </x:c>
      <x:c r="C314" s="5" t="inlineStr">
        <x:is>
          <x:t xml:space="preserve">manectric</x:t>
        </x:is>
      </x:c>
      <x:c r="D314" s="5" t="inlineStr">
        <x:is>
          <x:t xml:space="preserve">Manectric</x:t>
        </x:is>
      </x:c>
      <x:c r="E314" s="5" t="n">
        <x:v>3</x:v>
      </x:c>
      <x:c r="F314" s="5" t="inlineStr">
        <x:is>
          <x:t xml:space="preserve">전기</x:t>
        </x:is>
      </x:c>
      <x:c r="G314" s="5" t="inlineStr">
        <x:is>
          <x:t xml:space="preserve"/>
        </x:is>
      </x:c>
      <x:c r="H314" s="6" t="n">
        <x:v>40.2</x:v>
      </x:c>
      <x:c r="I314" s="5" t="n">
        <x:v>26</x:v>
      </x:c>
      <x:c r="J314" s="5" t="inlineStr">
        <x:is>
          <x:t xml:space="preserve">최종</x:t>
        </x:is>
      </x:c>
      <x:c r="K314" s="7" t="inlineStr">
        <x:is>
          <x:t xml:space="preserve">육상</x:t>
        </x:is>
      </x:c>
      <x:c r="L314" s="7" t="inlineStr">
        <x:is>
          <x:t xml:space="preserve">암석</x:t>
        </x:is>
      </x:c>
      <x:c r="M314" s="7" t="inlineStr">
        <x:is>
          <x:t xml:space="preserve">온대</x:t>
        </x:is>
      </x:c>
      <x:c r="N314" s="7" t="inlineStr">
        <x:is>
          <x:t xml:space="preserve">보통</x:t>
        </x:is>
      </x:c>
      <x:c r="O314" s="7" t="inlineStr">
        <x:is>
          <x:t xml:space="preserve">무관</x:t>
        </x:is>
      </x:c>
      <x:c r="P314" s="7" t="inlineStr">
        <x:is>
          <x:t xml:space="preserve">무관</x:t>
        </x:is>
      </x:c>
      <x:c r="Q314" s="7" t="inlineStr">
        <x:is>
          <x:t xml:space="preserve">흔함</x:t>
        </x:is>
      </x:c>
      <x:c r="R314" s="7" t="inlineStr">
        <x:is>
          <x:t xml:space="preserve">없음</x:t>
        </x:is>
      </x:c>
      <x:c r="S314" s="7" t="inlineStr">
        <x:is>
          <x:t xml:space="preserve">산악</x:t>
        </x:is>
      </x:c>
      <x:c r="T314" s="7" t="inlineStr">
        <x:is>
          <x:t xml:space="preserve"/>
        </x:is>
      </x:c>
      <x:c r="U314" s="8" t="str">
        <x:f>INDEX('서식지_점수'!$E$4:$P$4,1,MATCH(MAX('서식지_점수'!E314:P314),'서식지_점수'!E314:P314,0))</x:f>
        <x:v>평원</x:v>
      </x:c>
      <x:c r="V314" s="8" t="str">
        <x:f>IF(T314&lt;&gt;"",T314,U314)</x:f>
        <x:v>평원</x:v>
      </x:c>
      <x:c r="W314" s="8" t="str">
        <x:f>IFERROR(INDEX('서식지_점수'!$E$4:$P$4,1,MATCH(MAXIFS('서식지_점수'!E314:P314,'서식지_점수'!E314:P314,"&lt;"&amp;MAX('서식지_점수'!E314:P314)),'서식지_점수'!E314:P314,0)),"")</x:f>
        <x:v>숲</x:v>
      </x:c>
      <x:c r="X314" s="8" t="str">
        <x:f>IF(T314&lt;&gt;"","수동확정",IF(MAX('서식지_점수'!E314:P314)-LARGE('서식지_점수'!E314:P314,2)&gt;=15,"높음",IF(MAX('서식지_점수'!E314:P314)-LARGE('서식지_점수'!E314:P314,2)&gt;=8,"보통","검토필요")))</x:f>
        <x:v>검토필요</x:v>
      </x:c>
      <x:c r="Y314" s="9" t="n">
        <x:f>IF(Q314="전설",8,IF(Q314="희귀",7,IF(J314="기본",1,IF(J314="중간",3,IF(J314="최종",IF(I314="",5,IF(I314&lt;=20,3,IF(I314&lt;=35,4,IF(I314&lt;=50,6,7)))),IF(Q314="드묾",4,2))))))</x:f>
        <x:v>4</x:v>
      </x:c>
      <x:c r="Z314" s="5" t="inlineStr">
        <x:is>
          <x:t xml:space="preserve">#cobblemon:is_grassland; #cobblemon:is_hills</x:t>
        </x:is>
      </x:c>
      <x:c r="AA314" s="5" t="inlineStr">
        <x:is>
          <x:t xml:space="preserve">common</x:t>
        </x:is>
      </x:c>
      <x:c r="AB314" s="5" t="inlineStr">
        <x:is>
          <x:t xml:space="preserve">예</x:t>
        </x:is>
      </x:c>
      <x:c r="AC314" s="8" t="str">
        <x:f>IF(T314&lt;&gt;"","수동확정",IF(X314="검토필요","검토필요",IF(S314="","원본없음","초기완료")))</x:f>
        <x:v>검토필요</x:v>
      </x:c>
      <x:c r="AD314" s="7" t="inlineStr">
        <x:is>
          <x:t xml:space="preserve"/>
        </x:is>
      </x:c>
      <x:c r="AE314" s="5" t="inlineStr">
        <x:is>
          <x:t xml:space="preserve">.tmp/cobblemon-1.7.3-source/common/src/main/resources/data/cobblemon/species/generation3/manectric.json</x:t>
        </x:is>
      </x:c>
      <x:c r="AF314" s="5" t="str">
        <x:f>"생활권|"&amp;K314</x:f>
        <x:v>생활권|육상</x:v>
      </x:c>
      <x:c r="AG314" s="5" t="str">
        <x:f>"지형|"&amp;L314</x:f>
        <x:v>지형|암석</x:v>
      </x:c>
      <x:c r="AH314" s="5" t="str">
        <x:f>"온도|"&amp;M314</x:f>
        <x:v>온도|온대</x:v>
      </x:c>
      <x:c r="AI314" s="5" t="str">
        <x:f>"습도|"&amp;N314</x:f>
        <x:v>습도|보통</x:v>
      </x:c>
      <x:c r="AJ314" s="5" t="str">
        <x:f>"날씨|"&amp;O314</x:f>
        <x:v>날씨|무관</x:v>
      </x:c>
      <x:c r="AK314" s="5" t="str">
        <x:f>"특수태그|"&amp;R314</x:f>
        <x:v>특수태그|없음</x:v>
      </x:c>
      <x:c r="AL314" s="5" t="str">
        <x:f>"원본서식지|"&amp;S314</x:f>
        <x:v>원본서식지|산악</x:v>
      </x:c>
      <x:c r="AM314" s="5" t="str">
        <x:f>"타입|"&amp;F314</x:f>
        <x:v>타입|전기</x:v>
      </x:c>
      <x:c r="AN314" s="5" t="str">
        <x:f>"타입|"&amp;G314</x:f>
        <x:v>타입|</x:v>
      </x:c>
    </x:row>
    <x:row r="315" ht="24" customHeight="1">
      <x:c r="A315" s="5" t="n">
        <x:v>311</x:v>
      </x:c>
      <x:c r="B315" s="5" t="inlineStr">
        <x:is>
          <x:t xml:space="preserve">플러시</x:t>
        </x:is>
      </x:c>
      <x:c r="C315" s="5" t="inlineStr">
        <x:is>
          <x:t xml:space="preserve">plusle</x:t>
        </x:is>
      </x:c>
      <x:c r="D315" s="5" t="inlineStr">
        <x:is>
          <x:t xml:space="preserve">Plusle</x:t>
        </x:is>
      </x:c>
      <x:c r="E315" s="5" t="n">
        <x:v>3</x:v>
      </x:c>
      <x:c r="F315" s="5" t="inlineStr">
        <x:is>
          <x:t xml:space="preserve">전기</x:t>
        </x:is>
      </x:c>
      <x:c r="G315" s="5" t="inlineStr">
        <x:is>
          <x:t xml:space="preserve"/>
        </x:is>
      </x:c>
      <x:c r="H315" s="6" t="n">
        <x:v>4.2</x:v>
      </x:c>
      <x:c r="I315" s="5" t="n"/>
      <x:c r="J315" s="5" t="inlineStr">
        <x:is>
          <x:t xml:space="preserve">무진화</x:t>
        </x:is>
      </x:c>
      <x:c r="K315" s="7" t="inlineStr">
        <x:is>
          <x:t xml:space="preserve">육상</x:t>
        </x:is>
      </x:c>
      <x:c r="L315" s="7" t="inlineStr">
        <x:is>
          <x:t xml:space="preserve">개활지</x:t>
        </x:is>
      </x:c>
      <x:c r="M315" s="7" t="inlineStr">
        <x:is>
          <x:t xml:space="preserve">온대</x:t>
        </x:is>
      </x:c>
      <x:c r="N315" s="7" t="inlineStr">
        <x:is>
          <x:t xml:space="preserve">보통</x:t>
        </x:is>
      </x:c>
      <x:c r="O315" s="7" t="inlineStr">
        <x:is>
          <x:t xml:space="preserve">무관</x:t>
        </x:is>
      </x:c>
      <x:c r="P315" s="7" t="inlineStr">
        <x:is>
          <x:t xml:space="preserve">무관</x:t>
        </x:is>
      </x:c>
      <x:c r="Q315" s="7" t="inlineStr">
        <x:is>
          <x:t xml:space="preserve">보통</x:t>
        </x:is>
      </x:c>
      <x:c r="R315" s="7" t="inlineStr">
        <x:is>
          <x:t xml:space="preserve">없음</x:t>
        </x:is>
      </x:c>
      <x:c r="S315" s="7" t="inlineStr">
        <x:is>
          <x:t xml:space="preserve">평원</x:t>
        </x:is>
      </x:c>
      <x:c r="T315" s="7" t="inlineStr">
        <x:is>
          <x:t xml:space="preserve"/>
        </x:is>
      </x:c>
      <x:c r="U315" s="8" t="str">
        <x:f>INDEX('서식지_점수'!$E$4:$P$4,1,MATCH(MAX('서식지_점수'!E315:P315),'서식지_점수'!E315:P315,0))</x:f>
        <x:v>평원</x:v>
      </x:c>
      <x:c r="V315" s="8" t="str">
        <x:f>IF(T315&lt;&gt;"",T315,U315)</x:f>
        <x:v>평원</x:v>
      </x:c>
      <x:c r="W315" s="8" t="str">
        <x:f>IFERROR(INDEX('서식지_점수'!$E$4:$P$4,1,MATCH(MAXIFS('서식지_점수'!E315:P315,'서식지_점수'!E315:P315,"&lt;"&amp;MAX('서식지_점수'!E315:P315)),'서식지_점수'!E315:P315,0)),"")</x:f>
        <x:v>숲</x:v>
      </x:c>
      <x:c r="X315" s="8" t="str">
        <x:f>IF(T315&lt;&gt;"","수동확정",IF(MAX('서식지_점수'!E315:P315)-LARGE('서식지_점수'!E315:P315,2)&gt;=15,"높음",IF(MAX('서식지_점수'!E315:P315)-LARGE('서식지_점수'!E315:P315,2)&gt;=8,"보통","검토필요")))</x:f>
        <x:v>검토필요</x:v>
      </x:c>
      <x:c r="Y315" s="9" t="n">
        <x:f>IF(Q315="전설",8,IF(Q315="희귀",7,IF(J315="기본",1,IF(J315="중간",3,IF(J315="최종",IF(I315="",5,IF(I315&lt;=20,3,IF(I315&lt;=35,4,IF(I315&lt;=50,6,7)))),IF(Q315="드묾",4,2))))))</x:f>
        <x:v>2</x:v>
      </x:c>
      <x:c r="Z315" s="5" t="inlineStr">
        <x:is>
          <x:t xml:space="preserve">#cobblemon:is_plains</x:t>
        </x:is>
      </x:c>
      <x:c r="AA315" s="5" t="inlineStr">
        <x:is>
          <x:t xml:space="preserve">uncommon</x:t>
        </x:is>
      </x:c>
      <x:c r="AB315" s="5" t="inlineStr">
        <x:is>
          <x:t xml:space="preserve">예</x:t>
        </x:is>
      </x:c>
      <x:c r="AC315" s="8" t="str">
        <x:f>IF(T315&lt;&gt;"","수동확정",IF(X315="검토필요","검토필요",IF(S315="","원본없음","초기완료")))</x:f>
        <x:v>검토필요</x:v>
      </x:c>
      <x:c r="AD315" s="7" t="inlineStr">
        <x:is>
          <x:t xml:space="preserve"/>
        </x:is>
      </x:c>
      <x:c r="AE315" s="5" t="inlineStr">
        <x:is>
          <x:t xml:space="preserve">.tmp/cobblemon-1.7.3-source/common/src/main/resources/data/cobblemon/species/generation3/plusle.json</x:t>
        </x:is>
      </x:c>
      <x:c r="AF315" s="5" t="str">
        <x:f>"생활권|"&amp;K315</x:f>
        <x:v>생활권|육상</x:v>
      </x:c>
      <x:c r="AG315" s="5" t="str">
        <x:f>"지형|"&amp;L315</x:f>
        <x:v>지형|개활지</x:v>
      </x:c>
      <x:c r="AH315" s="5" t="str">
        <x:f>"온도|"&amp;M315</x:f>
        <x:v>온도|온대</x:v>
      </x:c>
      <x:c r="AI315" s="5" t="str">
        <x:f>"습도|"&amp;N315</x:f>
        <x:v>습도|보통</x:v>
      </x:c>
      <x:c r="AJ315" s="5" t="str">
        <x:f>"날씨|"&amp;O315</x:f>
        <x:v>날씨|무관</x:v>
      </x:c>
      <x:c r="AK315" s="5" t="str">
        <x:f>"특수태그|"&amp;R315</x:f>
        <x:v>특수태그|없음</x:v>
      </x:c>
      <x:c r="AL315" s="5" t="str">
        <x:f>"원본서식지|"&amp;S315</x:f>
        <x:v>원본서식지|평원</x:v>
      </x:c>
      <x:c r="AM315" s="5" t="str">
        <x:f>"타입|"&amp;F315</x:f>
        <x:v>타입|전기</x:v>
      </x:c>
      <x:c r="AN315" s="5" t="str">
        <x:f>"타입|"&amp;G315</x:f>
        <x:v>타입|</x:v>
      </x:c>
    </x:row>
    <x:row r="316" ht="24" customHeight="1">
      <x:c r="A316" s="5" t="n">
        <x:v>312</x:v>
      </x:c>
      <x:c r="B316" s="5" t="inlineStr">
        <x:is>
          <x:t xml:space="preserve">마이농</x:t>
        </x:is>
      </x:c>
      <x:c r="C316" s="5" t="inlineStr">
        <x:is>
          <x:t xml:space="preserve">minun</x:t>
        </x:is>
      </x:c>
      <x:c r="D316" s="5" t="inlineStr">
        <x:is>
          <x:t xml:space="preserve">Minun</x:t>
        </x:is>
      </x:c>
      <x:c r="E316" s="5" t="n">
        <x:v>3</x:v>
      </x:c>
      <x:c r="F316" s="5" t="inlineStr">
        <x:is>
          <x:t xml:space="preserve">전기</x:t>
        </x:is>
      </x:c>
      <x:c r="G316" s="5" t="inlineStr">
        <x:is>
          <x:t xml:space="preserve"/>
        </x:is>
      </x:c>
      <x:c r="H316" s="6" t="n">
        <x:v>4.2</x:v>
      </x:c>
      <x:c r="I316" s="5" t="n"/>
      <x:c r="J316" s="5" t="inlineStr">
        <x:is>
          <x:t xml:space="preserve">무진화</x:t>
        </x:is>
      </x:c>
      <x:c r="K316" s="7" t="inlineStr">
        <x:is>
          <x:t xml:space="preserve">육상</x:t>
        </x:is>
      </x:c>
      <x:c r="L316" s="7" t="inlineStr">
        <x:is>
          <x:t xml:space="preserve">개활지</x:t>
        </x:is>
      </x:c>
      <x:c r="M316" s="7" t="inlineStr">
        <x:is>
          <x:t xml:space="preserve">온대</x:t>
        </x:is>
      </x:c>
      <x:c r="N316" s="7" t="inlineStr">
        <x:is>
          <x:t xml:space="preserve">보통</x:t>
        </x:is>
      </x:c>
      <x:c r="O316" s="7" t="inlineStr">
        <x:is>
          <x:t xml:space="preserve">무관</x:t>
        </x:is>
      </x:c>
      <x:c r="P316" s="7" t="inlineStr">
        <x:is>
          <x:t xml:space="preserve">무관</x:t>
        </x:is>
      </x:c>
      <x:c r="Q316" s="7" t="inlineStr">
        <x:is>
          <x:t xml:space="preserve">보통</x:t>
        </x:is>
      </x:c>
      <x:c r="R316" s="7" t="inlineStr">
        <x:is>
          <x:t xml:space="preserve">없음</x:t>
        </x:is>
      </x:c>
      <x:c r="S316" s="7" t="inlineStr">
        <x:is>
          <x:t xml:space="preserve">평원</x:t>
        </x:is>
      </x:c>
      <x:c r="T316" s="7" t="inlineStr">
        <x:is>
          <x:t xml:space="preserve"/>
        </x:is>
      </x:c>
      <x:c r="U316" s="8" t="str">
        <x:f>INDEX('서식지_점수'!$E$4:$P$4,1,MATCH(MAX('서식지_점수'!E316:P316),'서식지_점수'!E316:P316,0))</x:f>
        <x:v>평원</x:v>
      </x:c>
      <x:c r="V316" s="8" t="str">
        <x:f>IF(T316&lt;&gt;"",T316,U316)</x:f>
        <x:v>평원</x:v>
      </x:c>
      <x:c r="W316" s="8" t="str">
        <x:f>IFERROR(INDEX('서식지_점수'!$E$4:$P$4,1,MATCH(MAXIFS('서식지_점수'!E316:P316,'서식지_점수'!E316:P316,"&lt;"&amp;MAX('서식지_점수'!E316:P316)),'서식지_점수'!E316:P316,0)),"")</x:f>
        <x:v>숲</x:v>
      </x:c>
      <x:c r="X316" s="8" t="str">
        <x:f>IF(T316&lt;&gt;"","수동확정",IF(MAX('서식지_점수'!E316:P316)-LARGE('서식지_점수'!E316:P316,2)&gt;=15,"높음",IF(MAX('서식지_점수'!E316:P316)-LARGE('서식지_점수'!E316:P316,2)&gt;=8,"보통","검토필요")))</x:f>
        <x:v>검토필요</x:v>
      </x:c>
      <x:c r="Y316" s="9" t="n">
        <x:f>IF(Q316="전설",8,IF(Q316="희귀",7,IF(J316="기본",1,IF(J316="중간",3,IF(J316="최종",IF(I316="",5,IF(I316&lt;=20,3,IF(I316&lt;=35,4,IF(I316&lt;=50,6,7)))),IF(Q316="드묾",4,2))))))</x:f>
        <x:v>2</x:v>
      </x:c>
      <x:c r="Z316" s="5" t="inlineStr">
        <x:is>
          <x:t xml:space="preserve">#cobblemon:is_plains</x:t>
        </x:is>
      </x:c>
      <x:c r="AA316" s="5" t="inlineStr">
        <x:is>
          <x:t xml:space="preserve">uncommon</x:t>
        </x:is>
      </x:c>
      <x:c r="AB316" s="5" t="inlineStr">
        <x:is>
          <x:t xml:space="preserve">예</x:t>
        </x:is>
      </x:c>
      <x:c r="AC316" s="8" t="str">
        <x:f>IF(T316&lt;&gt;"","수동확정",IF(X316="검토필요","검토필요",IF(S316="","원본없음","초기완료")))</x:f>
        <x:v>검토필요</x:v>
      </x:c>
      <x:c r="AD316" s="7" t="inlineStr">
        <x:is>
          <x:t xml:space="preserve"/>
        </x:is>
      </x:c>
      <x:c r="AE316" s="5" t="inlineStr">
        <x:is>
          <x:t xml:space="preserve">.tmp/cobblemon-1.7.3-source/common/src/main/resources/data/cobblemon/species/generation3/minun.json</x:t>
        </x:is>
      </x:c>
      <x:c r="AF316" s="5" t="str">
        <x:f>"생활권|"&amp;K316</x:f>
        <x:v>생활권|육상</x:v>
      </x:c>
      <x:c r="AG316" s="5" t="str">
        <x:f>"지형|"&amp;L316</x:f>
        <x:v>지형|개활지</x:v>
      </x:c>
      <x:c r="AH316" s="5" t="str">
        <x:f>"온도|"&amp;M316</x:f>
        <x:v>온도|온대</x:v>
      </x:c>
      <x:c r="AI316" s="5" t="str">
        <x:f>"습도|"&amp;N316</x:f>
        <x:v>습도|보통</x:v>
      </x:c>
      <x:c r="AJ316" s="5" t="str">
        <x:f>"날씨|"&amp;O316</x:f>
        <x:v>날씨|무관</x:v>
      </x:c>
      <x:c r="AK316" s="5" t="str">
        <x:f>"특수태그|"&amp;R316</x:f>
        <x:v>특수태그|없음</x:v>
      </x:c>
      <x:c r="AL316" s="5" t="str">
        <x:f>"원본서식지|"&amp;S316</x:f>
        <x:v>원본서식지|평원</x:v>
      </x:c>
      <x:c r="AM316" s="5" t="str">
        <x:f>"타입|"&amp;F316</x:f>
        <x:v>타입|전기</x:v>
      </x:c>
      <x:c r="AN316" s="5" t="str">
        <x:f>"타입|"&amp;G316</x:f>
        <x:v>타입|</x:v>
      </x:c>
    </x:row>
    <x:row r="317" ht="24" customHeight="1">
      <x:c r="A317" s="5" t="n">
        <x:v>313</x:v>
      </x:c>
      <x:c r="B317" s="5" t="inlineStr">
        <x:is>
          <x:t xml:space="preserve">볼비트</x:t>
        </x:is>
      </x:c>
      <x:c r="C317" s="5" t="inlineStr">
        <x:is>
          <x:t xml:space="preserve">volbeat</x:t>
        </x:is>
      </x:c>
      <x:c r="D317" s="5" t="inlineStr">
        <x:is>
          <x:t xml:space="preserve">Volbeat</x:t>
        </x:is>
      </x:c>
      <x:c r="E317" s="5" t="n">
        <x:v>3</x:v>
      </x:c>
      <x:c r="F317" s="5" t="inlineStr">
        <x:is>
          <x:t xml:space="preserve">벌레</x:t>
        </x:is>
      </x:c>
      <x:c r="G317" s="5" t="inlineStr">
        <x:is>
          <x:t xml:space="preserve"/>
        </x:is>
      </x:c>
      <x:c r="H317" s="6" t="n">
        <x:v>17.7</x:v>
      </x:c>
      <x:c r="I317" s="5" t="n"/>
      <x:c r="J317" s="5" t="inlineStr">
        <x:is>
          <x:t xml:space="preserve">무진화</x:t>
        </x:is>
      </x:c>
      <x:c r="K317" s="7" t="inlineStr">
        <x:is>
          <x:t xml:space="preserve">담수</x:t>
        </x:is>
      </x:c>
      <x:c r="L317" s="7" t="inlineStr">
        <x:is>
          <x:t xml:space="preserve">담수</x:t>
        </x:is>
      </x:c>
      <x:c r="M317" s="7" t="inlineStr">
        <x:is>
          <x:t xml:space="preserve">온대</x:t>
        </x:is>
      </x:c>
      <x:c r="N317" s="7" t="inlineStr">
        <x:is>
          <x:t xml:space="preserve">수중</x:t>
        </x:is>
      </x:c>
      <x:c r="O317" s="7" t="inlineStr">
        <x:is>
          <x:t xml:space="preserve">비</x:t>
        </x:is>
      </x:c>
      <x:c r="P317" s="7" t="inlineStr">
        <x:is>
          <x:t xml:space="preserve">밤</x:t>
        </x:is>
      </x:c>
      <x:c r="Q317" s="7" t="inlineStr">
        <x:is>
          <x:t xml:space="preserve">보통</x:t>
        </x:is>
      </x:c>
      <x:c r="R317" s="7" t="inlineStr">
        <x:is>
          <x:t xml:space="preserve">없음</x:t>
        </x:is>
      </x:c>
      <x:c r="S317" s="7" t="inlineStr">
        <x:is>
          <x:t xml:space="preserve">담수</x:t>
        </x:is>
      </x:c>
      <x:c r="T317" s="7" t="inlineStr">
        <x:is>
          <x:t xml:space="preserve"/>
        </x:is>
      </x:c>
      <x:c r="U317" s="8" t="str">
        <x:f>INDEX('서식지_점수'!$E$4:$P$4,1,MATCH(MAX('서식지_점수'!E317:P317),'서식지_점수'!E317:P317,0))</x:f>
        <x:v>담수</x:v>
      </x:c>
      <x:c r="V317" s="8" t="str">
        <x:f>IF(T317&lt;&gt;"",T317,U317)</x:f>
        <x:v>담수</x:v>
      </x:c>
      <x:c r="W317" s="8" t="str">
        <x:f>IFERROR(INDEX('서식지_점수'!$E$4:$P$4,1,MATCH(MAXIFS('서식지_점수'!E317:P317,'서식지_점수'!E317:P317,"&lt;"&amp;MAX('서식지_점수'!E317:P317)),'서식지_점수'!E317:P317,0)),"")</x:f>
        <x:v>습지</x:v>
      </x:c>
      <x:c r="X317" s="8" t="str">
        <x:f>IF(T317&lt;&gt;"","수동확정",IF(MAX('서식지_점수'!E317:P317)-LARGE('서식지_점수'!E317:P317,2)&gt;=15,"높음",IF(MAX('서식지_점수'!E317:P317)-LARGE('서식지_점수'!E317:P317,2)&gt;=8,"보통","검토필요")))</x:f>
        <x:v>높음</x:v>
      </x:c>
      <x:c r="Y317" s="9" t="n">
        <x:f>IF(Q317="전설",8,IF(Q317="희귀",7,IF(J317="기본",1,IF(J317="중간",3,IF(J317="최종",IF(I317="",5,IF(I317&lt;=20,3,IF(I317&lt;=35,4,IF(I317&lt;=50,6,7)))),IF(Q317="드묾",4,2))))))</x:f>
        <x:v>2</x:v>
      </x:c>
      <x:c r="Z317" s="5" t="inlineStr">
        <x:is>
          <x:t xml:space="preserve">#cobblemon:is_freshwater; #the_bumblezone:the_bumblezone; the_bumblezone:floral_meadow</x:t>
        </x:is>
      </x:c>
      <x:c r="AA317" s="5" t="inlineStr">
        <x:is>
          <x:t xml:space="preserve">common; uncommon</x:t>
        </x:is>
      </x:c>
      <x:c r="AB317" s="5" t="inlineStr">
        <x:is>
          <x:t xml:space="preserve">예</x:t>
        </x:is>
      </x:c>
      <x:c r="AC317" s="8" t="str">
        <x:f>IF(T317&lt;&gt;"","수동확정",IF(X317="검토필요","검토필요",IF(S317="","원본없음","초기완료")))</x:f>
        <x:v>초기완료</x:v>
      </x:c>
      <x:c r="AD317" s="7" t="inlineStr">
        <x:is>
          <x:t xml:space="preserve"/>
        </x:is>
      </x:c>
      <x:c r="AE317" s="5" t="inlineStr">
        <x:is>
          <x:t xml:space="preserve">.tmp/cobblemon-1.7.3-source/common/src/main/resources/data/cobblemon/species/generation3/volbeat.json</x:t>
        </x:is>
      </x:c>
      <x:c r="AF317" s="5" t="str">
        <x:f>"생활권|"&amp;K317</x:f>
        <x:v>생활권|담수</x:v>
      </x:c>
      <x:c r="AG317" s="5" t="str">
        <x:f>"지형|"&amp;L317</x:f>
        <x:v>지형|담수</x:v>
      </x:c>
      <x:c r="AH317" s="5" t="str">
        <x:f>"온도|"&amp;M317</x:f>
        <x:v>온도|온대</x:v>
      </x:c>
      <x:c r="AI317" s="5" t="str">
        <x:f>"습도|"&amp;N317</x:f>
        <x:v>습도|수중</x:v>
      </x:c>
      <x:c r="AJ317" s="5" t="str">
        <x:f>"날씨|"&amp;O317</x:f>
        <x:v>날씨|비</x:v>
      </x:c>
      <x:c r="AK317" s="5" t="str">
        <x:f>"특수태그|"&amp;R317</x:f>
        <x:v>특수태그|없음</x:v>
      </x:c>
      <x:c r="AL317" s="5" t="str">
        <x:f>"원본서식지|"&amp;S317</x:f>
        <x:v>원본서식지|담수</x:v>
      </x:c>
      <x:c r="AM317" s="5" t="str">
        <x:f>"타입|"&amp;F317</x:f>
        <x:v>타입|벌레</x:v>
      </x:c>
      <x:c r="AN317" s="5" t="str">
        <x:f>"타입|"&amp;G317</x:f>
        <x:v>타입|</x:v>
      </x:c>
    </x:row>
    <x:row r="318" ht="24" customHeight="1">
      <x:c r="A318" s="5" t="n">
        <x:v>314</x:v>
      </x:c>
      <x:c r="B318" s="5" t="inlineStr">
        <x:is>
          <x:t xml:space="preserve">네오비트</x:t>
        </x:is>
      </x:c>
      <x:c r="C318" s="5" t="inlineStr">
        <x:is>
          <x:t xml:space="preserve">illumise</x:t>
        </x:is>
      </x:c>
      <x:c r="D318" s="5" t="inlineStr">
        <x:is>
          <x:t xml:space="preserve">Illumise</x:t>
        </x:is>
      </x:c>
      <x:c r="E318" s="5" t="n">
        <x:v>3</x:v>
      </x:c>
      <x:c r="F318" s="5" t="inlineStr">
        <x:is>
          <x:t xml:space="preserve">벌레</x:t>
        </x:is>
      </x:c>
      <x:c r="G318" s="5" t="inlineStr">
        <x:is>
          <x:t xml:space="preserve"/>
        </x:is>
      </x:c>
      <x:c r="H318" s="6" t="n">
        <x:v>17.7</x:v>
      </x:c>
      <x:c r="I318" s="5" t="n"/>
      <x:c r="J318" s="5" t="inlineStr">
        <x:is>
          <x:t xml:space="preserve">무진화</x:t>
        </x:is>
      </x:c>
      <x:c r="K318" s="7" t="inlineStr">
        <x:is>
          <x:t xml:space="preserve">담수</x:t>
        </x:is>
      </x:c>
      <x:c r="L318" s="7" t="inlineStr">
        <x:is>
          <x:t xml:space="preserve">담수</x:t>
        </x:is>
      </x:c>
      <x:c r="M318" s="7" t="inlineStr">
        <x:is>
          <x:t xml:space="preserve">온대</x:t>
        </x:is>
      </x:c>
      <x:c r="N318" s="7" t="inlineStr">
        <x:is>
          <x:t xml:space="preserve">수중</x:t>
        </x:is>
      </x:c>
      <x:c r="O318" s="7" t="inlineStr">
        <x:is>
          <x:t xml:space="preserve">비</x:t>
        </x:is>
      </x:c>
      <x:c r="P318" s="7" t="inlineStr">
        <x:is>
          <x:t xml:space="preserve">밤</x:t>
        </x:is>
      </x:c>
      <x:c r="Q318" s="7" t="inlineStr">
        <x:is>
          <x:t xml:space="preserve">보통</x:t>
        </x:is>
      </x:c>
      <x:c r="R318" s="7" t="inlineStr">
        <x:is>
          <x:t xml:space="preserve">없음</x:t>
        </x:is>
      </x:c>
      <x:c r="S318" s="7" t="inlineStr">
        <x:is>
          <x:t xml:space="preserve">담수</x:t>
        </x:is>
      </x:c>
      <x:c r="T318" s="7" t="inlineStr">
        <x:is>
          <x:t xml:space="preserve"/>
        </x:is>
      </x:c>
      <x:c r="U318" s="8" t="str">
        <x:f>INDEX('서식지_점수'!$E$4:$P$4,1,MATCH(MAX('서식지_점수'!E318:P318),'서식지_점수'!E318:P318,0))</x:f>
        <x:v>담수</x:v>
      </x:c>
      <x:c r="V318" s="8" t="str">
        <x:f>IF(T318&lt;&gt;"",T318,U318)</x:f>
        <x:v>담수</x:v>
      </x:c>
      <x:c r="W318" s="8" t="str">
        <x:f>IFERROR(INDEX('서식지_점수'!$E$4:$P$4,1,MATCH(MAXIFS('서식지_점수'!E318:P318,'서식지_점수'!E318:P318,"&lt;"&amp;MAX('서식지_점수'!E318:P318)),'서식지_점수'!E318:P318,0)),"")</x:f>
        <x:v>습지</x:v>
      </x:c>
      <x:c r="X318" s="8" t="str">
        <x:f>IF(T318&lt;&gt;"","수동확정",IF(MAX('서식지_점수'!E318:P318)-LARGE('서식지_점수'!E318:P318,2)&gt;=15,"높음",IF(MAX('서식지_점수'!E318:P318)-LARGE('서식지_점수'!E318:P318,2)&gt;=8,"보통","검토필요")))</x:f>
        <x:v>높음</x:v>
      </x:c>
      <x:c r="Y318" s="9" t="n">
        <x:f>IF(Q318="전설",8,IF(Q318="희귀",7,IF(J318="기본",1,IF(J318="중간",3,IF(J318="최종",IF(I318="",5,IF(I318&lt;=20,3,IF(I318&lt;=35,4,IF(I318&lt;=50,6,7)))),IF(Q318="드묾",4,2))))))</x:f>
        <x:v>2</x:v>
      </x:c>
      <x:c r="Z318" s="5" t="inlineStr">
        <x:is>
          <x:t xml:space="preserve">#cobblemon:is_freshwater; #the_bumblezone:the_bumblezone; the_bumblezone:floral_meadow</x:t>
        </x:is>
      </x:c>
      <x:c r="AA318" s="5" t="inlineStr">
        <x:is>
          <x:t xml:space="preserve">common; uncommon</x:t>
        </x:is>
      </x:c>
      <x:c r="AB318" s="5" t="inlineStr">
        <x:is>
          <x:t xml:space="preserve">예</x:t>
        </x:is>
      </x:c>
      <x:c r="AC318" s="8" t="str">
        <x:f>IF(T318&lt;&gt;"","수동확정",IF(X318="검토필요","검토필요",IF(S318="","원본없음","초기완료")))</x:f>
        <x:v>초기완료</x:v>
      </x:c>
      <x:c r="AD318" s="7" t="inlineStr">
        <x:is>
          <x:t xml:space="preserve"/>
        </x:is>
      </x:c>
      <x:c r="AE318" s="5" t="inlineStr">
        <x:is>
          <x:t xml:space="preserve">.tmp/cobblemon-1.7.3-source/common/src/main/resources/data/cobblemon/species/generation3/illumise.json</x:t>
        </x:is>
      </x:c>
      <x:c r="AF318" s="5" t="str">
        <x:f>"생활권|"&amp;K318</x:f>
        <x:v>생활권|담수</x:v>
      </x:c>
      <x:c r="AG318" s="5" t="str">
        <x:f>"지형|"&amp;L318</x:f>
        <x:v>지형|담수</x:v>
      </x:c>
      <x:c r="AH318" s="5" t="str">
        <x:f>"온도|"&amp;M318</x:f>
        <x:v>온도|온대</x:v>
      </x:c>
      <x:c r="AI318" s="5" t="str">
        <x:f>"습도|"&amp;N318</x:f>
        <x:v>습도|수중</x:v>
      </x:c>
      <x:c r="AJ318" s="5" t="str">
        <x:f>"날씨|"&amp;O318</x:f>
        <x:v>날씨|비</x:v>
      </x:c>
      <x:c r="AK318" s="5" t="str">
        <x:f>"특수태그|"&amp;R318</x:f>
        <x:v>특수태그|없음</x:v>
      </x:c>
      <x:c r="AL318" s="5" t="str">
        <x:f>"원본서식지|"&amp;S318</x:f>
        <x:v>원본서식지|담수</x:v>
      </x:c>
      <x:c r="AM318" s="5" t="str">
        <x:f>"타입|"&amp;F318</x:f>
        <x:v>타입|벌레</x:v>
      </x:c>
      <x:c r="AN318" s="5" t="str">
        <x:f>"타입|"&amp;G318</x:f>
        <x:v>타입|</x:v>
      </x:c>
    </x:row>
    <x:row r="319" ht="24" customHeight="1">
      <x:c r="A319" s="5" t="n">
        <x:v>315</x:v>
      </x:c>
      <x:c r="B319" s="5" t="inlineStr">
        <x:is>
          <x:t xml:space="preserve">로젤리아</x:t>
        </x:is>
      </x:c>
      <x:c r="C319" s="5" t="inlineStr">
        <x:is>
          <x:t xml:space="preserve">roselia</x:t>
        </x:is>
      </x:c>
      <x:c r="D319" s="5" t="inlineStr">
        <x:is>
          <x:t xml:space="preserve">Roselia</x:t>
        </x:is>
      </x:c>
      <x:c r="E319" s="5" t="n">
        <x:v>3</x:v>
      </x:c>
      <x:c r="F319" s="5" t="inlineStr">
        <x:is>
          <x:t xml:space="preserve">풀</x:t>
        </x:is>
      </x:c>
      <x:c r="G319" s="5" t="inlineStr">
        <x:is>
          <x:t xml:space="preserve">독</x:t>
        </x:is>
      </x:c>
      <x:c r="H319" s="6" t="n">
        <x:v>2</x:v>
      </x:c>
      <x:c r="I319" s="5" t="n"/>
      <x:c r="J319" s="5" t="inlineStr">
        <x:is>
          <x:t xml:space="preserve">중간</x:t>
        </x:is>
      </x:c>
      <x:c r="K319" s="7" t="inlineStr">
        <x:is>
          <x:t xml:space="preserve">육상</x:t>
        </x:is>
      </x:c>
      <x:c r="L319" s="7" t="inlineStr">
        <x:is>
          <x:t xml:space="preserve">수목</x:t>
        </x:is>
      </x:c>
      <x:c r="M319" s="7" t="inlineStr">
        <x:is>
          <x:t xml:space="preserve">온대</x:t>
        </x:is>
      </x:c>
      <x:c r="N319" s="7" t="inlineStr">
        <x:is>
          <x:t xml:space="preserve">보통</x:t>
        </x:is>
      </x:c>
      <x:c r="O319" s="7" t="inlineStr">
        <x:is>
          <x:t xml:space="preserve">무관</x:t>
        </x:is>
      </x:c>
      <x:c r="P319" s="7" t="inlineStr">
        <x:is>
          <x:t xml:space="preserve">무관</x:t>
        </x:is>
      </x:c>
      <x:c r="Q319" s="7" t="inlineStr">
        <x:is>
          <x:t xml:space="preserve">흔함</x:t>
        </x:is>
      </x:c>
      <x:c r="R319" s="7" t="inlineStr">
        <x:is>
          <x:t xml:space="preserve">없음</x:t>
        </x:is>
      </x:c>
      <x:c r="S319" s="7" t="inlineStr">
        <x:is>
          <x:t xml:space="preserve"/>
        </x:is>
      </x:c>
      <x:c r="T319" s="7" t="inlineStr">
        <x:is>
          <x:t xml:space="preserve"/>
        </x:is>
      </x:c>
      <x:c r="U319" s="8" t="str">
        <x:f>INDEX('서식지_점수'!$E$4:$P$4,1,MATCH(MAX('서식지_점수'!E319:P319),'서식지_점수'!E319:P319,0))</x:f>
        <x:v>평원</x:v>
      </x:c>
      <x:c r="V319" s="8" t="str">
        <x:f>IF(T319&lt;&gt;"",T319,U319)</x:f>
        <x:v>평원</x:v>
      </x:c>
      <x:c r="W319" s="8" t="str">
        <x:f>IFERROR(INDEX('서식지_점수'!$E$4:$P$4,1,MATCH(MAXIFS('서식지_점수'!E319:P319,'서식지_점수'!E319:P319,"&lt;"&amp;MAX('서식지_점수'!E319:P319)),'서식지_점수'!E319:P319,0)),"")</x:f>
        <x:v>숲</x:v>
      </x:c>
      <x:c r="X319" s="8" t="str">
        <x:f>IF(T319&lt;&gt;"","수동확정",IF(MAX('서식지_점수'!E319:P319)-LARGE('서식지_점수'!E319:P319,2)&gt;=15,"높음",IF(MAX('서식지_점수'!E319:P319)-LARGE('서식지_점수'!E319:P319,2)&gt;=8,"보통","검토필요")))</x:f>
        <x:v>검토필요</x:v>
      </x:c>
      <x:c r="Y319" s="9" t="n">
        <x:f>IF(Q319="전설",8,IF(Q319="희귀",7,IF(J319="기본",1,IF(J319="중간",3,IF(J319="최종",IF(I319="",5,IF(I319&lt;=20,3,IF(I319&lt;=35,4,IF(I319&lt;=50,6,7)))),IF(Q319="드묾",4,2))))))</x:f>
        <x:v>3</x:v>
      </x:c>
      <x:c r="Z319" s="5" t="inlineStr">
        <x:is>
          <x:t xml:space="preserve">#aether:is_aether; #cobblemon:is_floral</x:t>
        </x:is>
      </x:c>
      <x:c r="AA319" s="5" t="inlineStr">
        <x:is>
          <x:t xml:space="preserve">common</x:t>
        </x:is>
      </x:c>
      <x:c r="AB319" s="5" t="inlineStr">
        <x:is>
          <x:t xml:space="preserve">예</x:t>
        </x:is>
      </x:c>
      <x:c r="AC319" s="8" t="str">
        <x:f>IF(T319&lt;&gt;"","수동확정",IF(X319="검토필요","검토필요",IF(S319="","원본없음","초기완료")))</x:f>
        <x:v>검토필요</x:v>
      </x:c>
      <x:c r="AD319" s="7" t="inlineStr">
        <x:is>
          <x:t xml:space="preserve"/>
        </x:is>
      </x:c>
      <x:c r="AE319" s="5" t="inlineStr">
        <x:is>
          <x:t xml:space="preserve">.tmp/cobblemon-1.7.3-source/common/src/main/resources/data/cobblemon/species/generation3/roselia.json</x:t>
        </x:is>
      </x:c>
      <x:c r="AF319" s="5" t="str">
        <x:f>"생활권|"&amp;K319</x:f>
        <x:v>생활권|육상</x:v>
      </x:c>
      <x:c r="AG319" s="5" t="str">
        <x:f>"지형|"&amp;L319</x:f>
        <x:v>지형|수목</x:v>
      </x:c>
      <x:c r="AH319" s="5" t="str">
        <x:f>"온도|"&amp;M319</x:f>
        <x:v>온도|온대</x:v>
      </x:c>
      <x:c r="AI319" s="5" t="str">
        <x:f>"습도|"&amp;N319</x:f>
        <x:v>습도|보통</x:v>
      </x:c>
      <x:c r="AJ319" s="5" t="str">
        <x:f>"날씨|"&amp;O319</x:f>
        <x:v>날씨|무관</x:v>
      </x:c>
      <x:c r="AK319" s="5" t="str">
        <x:f>"특수태그|"&amp;R319</x:f>
        <x:v>특수태그|없음</x:v>
      </x:c>
      <x:c r="AL319" s="5" t="str">
        <x:f>"원본서식지|"&amp;S319</x:f>
        <x:v>원본서식지|</x:v>
      </x:c>
      <x:c r="AM319" s="5" t="str">
        <x:f>"타입|"&amp;F319</x:f>
        <x:v>타입|풀</x:v>
      </x:c>
      <x:c r="AN319" s="5" t="str">
        <x:f>"타입|"&amp;G319</x:f>
        <x:v>타입|독</x:v>
      </x:c>
    </x:row>
    <x:row r="320" ht="24" customHeight="1">
      <x:c r="A320" s="5" t="n">
        <x:v>316</x:v>
      </x:c>
      <x:c r="B320" s="5" t="inlineStr">
        <x:is>
          <x:t xml:space="preserve">꼴깍몬</x:t>
        </x:is>
      </x:c>
      <x:c r="C320" s="5" t="inlineStr">
        <x:is>
          <x:t xml:space="preserve">gulpin</x:t>
        </x:is>
      </x:c>
      <x:c r="D320" s="5" t="inlineStr">
        <x:is>
          <x:t xml:space="preserve">Gulpin</x:t>
        </x:is>
      </x:c>
      <x:c r="E320" s="5" t="n">
        <x:v>3</x:v>
      </x:c>
      <x:c r="F320" s="5" t="inlineStr">
        <x:is>
          <x:t xml:space="preserve">독</x:t>
        </x:is>
      </x:c>
      <x:c r="G320" s="5" t="inlineStr">
        <x:is>
          <x:t xml:space="preserve"/>
        </x:is>
      </x:c>
      <x:c r="H320" s="6" t="n">
        <x:v>10.3</x:v>
      </x:c>
      <x:c r="I320" s="5" t="n">
        <x:v>26</x:v>
      </x:c>
      <x:c r="J320" s="5" t="inlineStr">
        <x:is>
          <x:t xml:space="preserve">기본</x:t>
        </x:is>
      </x:c>
      <x:c r="K320" s="7" t="inlineStr">
        <x:is>
          <x:t xml:space="preserve">육상</x:t>
        </x:is>
      </x:c>
      <x:c r="L320" s="7" t="inlineStr">
        <x:is>
          <x:t xml:space="preserve">습지</x:t>
        </x:is>
      </x:c>
      <x:c r="M320" s="7" t="inlineStr">
        <x:is>
          <x:t xml:space="preserve">온대</x:t>
        </x:is>
      </x:c>
      <x:c r="N320" s="7" t="inlineStr">
        <x:is>
          <x:t xml:space="preserve">다습</x:t>
        </x:is>
      </x:c>
      <x:c r="O320" s="7" t="inlineStr">
        <x:is>
          <x:t xml:space="preserve">비</x:t>
        </x:is>
      </x:c>
      <x:c r="P320" s="7" t="inlineStr">
        <x:is>
          <x:t xml:space="preserve">무관</x:t>
        </x:is>
      </x:c>
      <x:c r="Q320" s="7" t="inlineStr">
        <x:is>
          <x:t xml:space="preserve">흔함</x:t>
        </x:is>
      </x:c>
      <x:c r="R320" s="7" t="inlineStr">
        <x:is>
          <x:t xml:space="preserve">없음</x:t>
        </x:is>
      </x:c>
      <x:c r="S320" s="7" t="inlineStr">
        <x:is>
          <x:t xml:space="preserve">습지</x:t>
        </x:is>
      </x:c>
      <x:c r="T320" s="7" t="inlineStr">
        <x:is>
          <x:t xml:space="preserve"/>
        </x:is>
      </x:c>
      <x:c r="U320" s="8" t="str">
        <x:f>INDEX('서식지_점수'!$E$4:$P$4,1,MATCH(MAX('서식지_점수'!E320:P320),'서식지_점수'!E320:P320,0))</x:f>
        <x:v>평원</x:v>
      </x:c>
      <x:c r="V320" s="8" t="str">
        <x:f>IF(T320&lt;&gt;"",T320,U320)</x:f>
        <x:v>평원</x:v>
      </x:c>
      <x:c r="W320" s="8" t="str">
        <x:f>IFERROR(INDEX('서식지_점수'!$E$4:$P$4,1,MATCH(MAXIFS('서식지_점수'!E320:P320,'서식지_점수'!E320:P320,"&lt;"&amp;MAX('서식지_점수'!E320:P320)),'서식지_점수'!E320:P320,0)),"")</x:f>
        <x:v>숲</x:v>
      </x:c>
      <x:c r="X320" s="8" t="str">
        <x:f>IF(T320&lt;&gt;"","수동확정",IF(MAX('서식지_점수'!E320:P320)-LARGE('서식지_점수'!E320:P320,2)&gt;=15,"높음",IF(MAX('서식지_점수'!E320:P320)-LARGE('서식지_점수'!E320:P320,2)&gt;=8,"보통","검토필요")))</x:f>
        <x:v>검토필요</x:v>
      </x:c>
      <x:c r="Y320" s="9" t="n">
        <x:f>IF(Q320="전설",8,IF(Q320="희귀",7,IF(J320="기본",1,IF(J320="중간",3,IF(J320="최종",IF(I320="",5,IF(I320&lt;=20,3,IF(I320&lt;=35,4,IF(I320&lt;=50,6,7)))),IF(Q320="드묾",4,2))))))</x:f>
        <x:v>1</x:v>
      </x:c>
      <x:c r="Z320" s="5" t="inlineStr">
        <x:is>
          <x:t xml:space="preserve">#cobblemon:is_swamp</x:t>
        </x:is>
      </x:c>
      <x:c r="AA320" s="5" t="inlineStr">
        <x:is>
          <x:t xml:space="preserve">common</x:t>
        </x:is>
      </x:c>
      <x:c r="AB320" s="5" t="inlineStr">
        <x:is>
          <x:t xml:space="preserve">아니오</x:t>
        </x:is>
      </x:c>
      <x:c r="AC320" s="8" t="str">
        <x:f>IF(T320&lt;&gt;"","수동확정",IF(X320="검토필요","검토필요",IF(S320="","원본없음","초기완료")))</x:f>
        <x:v>검토필요</x:v>
      </x:c>
      <x:c r="AD320" s="7" t="inlineStr">
        <x:is>
          <x:t xml:space="preserve"/>
        </x:is>
      </x:c>
      <x:c r="AE320" s="5" t="inlineStr">
        <x:is>
          <x:t xml:space="preserve">.tmp/cobblemon-1.7.3-source/common/src/main/resources/data/cobblemon/species/generation3/gulpin.json</x:t>
        </x:is>
      </x:c>
      <x:c r="AF320" s="5" t="str">
        <x:f>"생활권|"&amp;K320</x:f>
        <x:v>생활권|육상</x:v>
      </x:c>
      <x:c r="AG320" s="5" t="str">
        <x:f>"지형|"&amp;L320</x:f>
        <x:v>지형|습지</x:v>
      </x:c>
      <x:c r="AH320" s="5" t="str">
        <x:f>"온도|"&amp;M320</x:f>
        <x:v>온도|온대</x:v>
      </x:c>
      <x:c r="AI320" s="5" t="str">
        <x:f>"습도|"&amp;N320</x:f>
        <x:v>습도|다습</x:v>
      </x:c>
      <x:c r="AJ320" s="5" t="str">
        <x:f>"날씨|"&amp;O320</x:f>
        <x:v>날씨|비</x:v>
      </x:c>
      <x:c r="AK320" s="5" t="str">
        <x:f>"특수태그|"&amp;R320</x:f>
        <x:v>특수태그|없음</x:v>
      </x:c>
      <x:c r="AL320" s="5" t="str">
        <x:f>"원본서식지|"&amp;S320</x:f>
        <x:v>원본서식지|습지</x:v>
      </x:c>
      <x:c r="AM320" s="5" t="str">
        <x:f>"타입|"&amp;F320</x:f>
        <x:v>타입|독</x:v>
      </x:c>
      <x:c r="AN320" s="5" t="str">
        <x:f>"타입|"&amp;G320</x:f>
        <x:v>타입|</x:v>
      </x:c>
    </x:row>
    <x:row r="321" ht="24" customHeight="1">
      <x:c r="A321" s="5" t="n">
        <x:v>317</x:v>
      </x:c>
      <x:c r="B321" s="5" t="inlineStr">
        <x:is>
          <x:t xml:space="preserve">꿀꺽몬</x:t>
        </x:is>
      </x:c>
      <x:c r="C321" s="5" t="inlineStr">
        <x:is>
          <x:t xml:space="preserve">swalot</x:t>
        </x:is>
      </x:c>
      <x:c r="D321" s="5" t="inlineStr">
        <x:is>
          <x:t xml:space="preserve">Swalot</x:t>
        </x:is>
      </x:c>
      <x:c r="E321" s="5" t="n">
        <x:v>3</x:v>
      </x:c>
      <x:c r="F321" s="5" t="inlineStr">
        <x:is>
          <x:t xml:space="preserve">독</x:t>
        </x:is>
      </x:c>
      <x:c r="G321" s="5" t="inlineStr">
        <x:is>
          <x:t xml:space="preserve"/>
        </x:is>
      </x:c>
      <x:c r="H321" s="6" t="n">
        <x:v>80</x:v>
      </x:c>
      <x:c r="I321" s="5" t="n">
        <x:v>26</x:v>
      </x:c>
      <x:c r="J321" s="5" t="inlineStr">
        <x:is>
          <x:t xml:space="preserve">최종</x:t>
        </x:is>
      </x:c>
      <x:c r="K321" s="7" t="inlineStr">
        <x:is>
          <x:t xml:space="preserve">육상</x:t>
        </x:is>
      </x:c>
      <x:c r="L321" s="7" t="inlineStr">
        <x:is>
          <x:t xml:space="preserve">습지</x:t>
        </x:is>
      </x:c>
      <x:c r="M321" s="7" t="inlineStr">
        <x:is>
          <x:t xml:space="preserve">온대</x:t>
        </x:is>
      </x:c>
      <x:c r="N321" s="7" t="inlineStr">
        <x:is>
          <x:t xml:space="preserve">다습</x:t>
        </x:is>
      </x:c>
      <x:c r="O321" s="7" t="inlineStr">
        <x:is>
          <x:t xml:space="preserve">비</x:t>
        </x:is>
      </x:c>
      <x:c r="P321" s="7" t="inlineStr">
        <x:is>
          <x:t xml:space="preserve">무관</x:t>
        </x:is>
      </x:c>
      <x:c r="Q321" s="7" t="inlineStr">
        <x:is>
          <x:t xml:space="preserve">보통</x:t>
        </x:is>
      </x:c>
      <x:c r="R321" s="7" t="inlineStr">
        <x:is>
          <x:t xml:space="preserve">없음</x:t>
        </x:is>
      </x:c>
      <x:c r="S321" s="7" t="inlineStr">
        <x:is>
          <x:t xml:space="preserve">습지</x:t>
        </x:is>
      </x:c>
      <x:c r="T321" s="7" t="inlineStr">
        <x:is>
          <x:t xml:space="preserve"/>
        </x:is>
      </x:c>
      <x:c r="U321" s="8" t="str">
        <x:f>INDEX('서식지_점수'!$E$4:$P$4,1,MATCH(MAX('서식지_점수'!E321:P321),'서식지_점수'!E321:P321,0))</x:f>
        <x:v>평원</x:v>
      </x:c>
      <x:c r="V321" s="8" t="str">
        <x:f>IF(T321&lt;&gt;"",T321,U321)</x:f>
        <x:v>평원</x:v>
      </x:c>
      <x:c r="W321" s="8" t="str">
        <x:f>IFERROR(INDEX('서식지_점수'!$E$4:$P$4,1,MATCH(MAXIFS('서식지_점수'!E321:P321,'서식지_점수'!E321:P321,"&lt;"&amp;MAX('서식지_점수'!E321:P321)),'서식지_점수'!E321:P321,0)),"")</x:f>
        <x:v>숲</x:v>
      </x:c>
      <x:c r="X321" s="8" t="str">
        <x:f>IF(T321&lt;&gt;"","수동확정",IF(MAX('서식지_점수'!E321:P321)-LARGE('서식지_점수'!E321:P321,2)&gt;=15,"높음",IF(MAX('서식지_점수'!E321:P321)-LARGE('서식지_점수'!E321:P321,2)&gt;=8,"보통","검토필요")))</x:f>
        <x:v>검토필요</x:v>
      </x:c>
      <x:c r="Y321" s="9" t="n">
        <x:f>IF(Q321="전설",8,IF(Q321="희귀",7,IF(J321="기본",1,IF(J321="중간",3,IF(J321="최종",IF(I321="",5,IF(I321&lt;=20,3,IF(I321&lt;=35,4,IF(I321&lt;=50,6,7)))),IF(Q321="드묾",4,2))))))</x:f>
        <x:v>4</x:v>
      </x:c>
      <x:c r="Z321" s="5" t="inlineStr">
        <x:is>
          <x:t xml:space="preserve">#cobblemon:is_swamp</x:t>
        </x:is>
      </x:c>
      <x:c r="AA321" s="5" t="inlineStr">
        <x:is>
          <x:t xml:space="preserve">uncommon</x:t>
        </x:is>
      </x:c>
      <x:c r="AB321" s="5" t="inlineStr">
        <x:is>
          <x:t xml:space="preserve">아니오</x:t>
        </x:is>
      </x:c>
      <x:c r="AC321" s="8" t="str">
        <x:f>IF(T321&lt;&gt;"","수동확정",IF(X321="검토필요","검토필요",IF(S321="","원본없음","초기완료")))</x:f>
        <x:v>검토필요</x:v>
      </x:c>
      <x:c r="AD321" s="7" t="inlineStr">
        <x:is>
          <x:t xml:space="preserve"/>
        </x:is>
      </x:c>
      <x:c r="AE321" s="5" t="inlineStr">
        <x:is>
          <x:t xml:space="preserve">.tmp/cobblemon-1.7.3-source/common/src/main/resources/data/cobblemon/species/generation3/swalot.json</x:t>
        </x:is>
      </x:c>
      <x:c r="AF321" s="5" t="str">
        <x:f>"생활권|"&amp;K321</x:f>
        <x:v>생활권|육상</x:v>
      </x:c>
      <x:c r="AG321" s="5" t="str">
        <x:f>"지형|"&amp;L321</x:f>
        <x:v>지형|습지</x:v>
      </x:c>
      <x:c r="AH321" s="5" t="str">
        <x:f>"온도|"&amp;M321</x:f>
        <x:v>온도|온대</x:v>
      </x:c>
      <x:c r="AI321" s="5" t="str">
        <x:f>"습도|"&amp;N321</x:f>
        <x:v>습도|다습</x:v>
      </x:c>
      <x:c r="AJ321" s="5" t="str">
        <x:f>"날씨|"&amp;O321</x:f>
        <x:v>날씨|비</x:v>
      </x:c>
      <x:c r="AK321" s="5" t="str">
        <x:f>"특수태그|"&amp;R321</x:f>
        <x:v>특수태그|없음</x:v>
      </x:c>
      <x:c r="AL321" s="5" t="str">
        <x:f>"원본서식지|"&amp;S321</x:f>
        <x:v>원본서식지|습지</x:v>
      </x:c>
      <x:c r="AM321" s="5" t="str">
        <x:f>"타입|"&amp;F321</x:f>
        <x:v>타입|독</x:v>
      </x:c>
      <x:c r="AN321" s="5" t="str">
        <x:f>"타입|"&amp;G321</x:f>
        <x:v>타입|</x:v>
      </x:c>
    </x:row>
    <x:row r="322" ht="24" customHeight="1">
      <x:c r="A322" s="5" t="n">
        <x:v>318</x:v>
      </x:c>
      <x:c r="B322" s="5" t="inlineStr">
        <x:is>
          <x:t xml:space="preserve">샤프니아</x:t>
        </x:is>
      </x:c>
      <x:c r="C322" s="5" t="inlineStr">
        <x:is>
          <x:t xml:space="preserve">carvanha</x:t>
        </x:is>
      </x:c>
      <x:c r="D322" s="5" t="inlineStr">
        <x:is>
          <x:t xml:space="preserve">Carvanha</x:t>
        </x:is>
      </x:c>
      <x:c r="E322" s="5" t="n">
        <x:v>3</x:v>
      </x:c>
      <x:c r="F322" s="5" t="inlineStr">
        <x:is>
          <x:t xml:space="preserve">물</x:t>
        </x:is>
      </x:c>
      <x:c r="G322" s="5" t="inlineStr">
        <x:is>
          <x:t xml:space="preserve">악</x:t>
        </x:is>
      </x:c>
      <x:c r="H322" s="6" t="n">
        <x:v>20.8</x:v>
      </x:c>
      <x:c r="I322" s="5" t="n">
        <x:v>30</x:v>
      </x:c>
      <x:c r="J322" s="5" t="inlineStr">
        <x:is>
          <x:t xml:space="preserve">기본</x:t>
        </x:is>
      </x:c>
      <x:c r="K322" s="7" t="inlineStr">
        <x:is>
          <x:t xml:space="preserve">해양</x:t>
        </x:is>
      </x:c>
      <x:c r="L322" s="7" t="inlineStr">
        <x:is>
          <x:t xml:space="preserve">해안·해양</x:t>
        </x:is>
      </x:c>
      <x:c r="M322" s="7" t="inlineStr">
        <x:is>
          <x:t xml:space="preserve">온대</x:t>
        </x:is>
      </x:c>
      <x:c r="N322" s="7" t="inlineStr">
        <x:is>
          <x:t xml:space="preserve">수중</x:t>
        </x:is>
      </x:c>
      <x:c r="O322" s="7" t="inlineStr">
        <x:is>
          <x:t xml:space="preserve">비</x:t>
        </x:is>
      </x:c>
      <x:c r="P322" s="7" t="inlineStr">
        <x:is>
          <x:t xml:space="preserve">밤</x:t>
        </x:is>
      </x:c>
      <x:c r="Q322" s="7" t="inlineStr">
        <x:is>
          <x:t xml:space="preserve">흔함</x:t>
        </x:is>
      </x:c>
      <x:c r="R322" s="7" t="inlineStr">
        <x:is>
          <x:t xml:space="preserve">없음</x:t>
        </x:is>
      </x:c>
      <x:c r="S322" s="7" t="inlineStr">
        <x:is>
          <x:t xml:space="preserve">해양</x:t>
        </x:is>
      </x:c>
      <x:c r="T322" s="7" t="inlineStr">
        <x:is>
          <x:t xml:space="preserve"/>
        </x:is>
      </x:c>
      <x:c r="U322" s="8" t="str">
        <x:f>INDEX('서식지_점수'!$E$4:$P$4,1,MATCH(MAX('서식지_점수'!E322:P322),'서식지_점수'!E322:P322,0))</x:f>
        <x:v>해양</x:v>
      </x:c>
      <x:c r="V322" s="8" t="str">
        <x:f>IF(T322&lt;&gt;"",T322,U322)</x:f>
        <x:v>해양</x:v>
      </x:c>
      <x:c r="W322" s="8" t="str">
        <x:f>IFERROR(INDEX('서식지_점수'!$E$4:$P$4,1,MATCH(MAXIFS('서식지_점수'!E322:P322,'서식지_점수'!E322:P322,"&lt;"&amp;MAX('서식지_점수'!E322:P322)),'서식지_점수'!E322:P322,0)),"")</x:f>
        <x:v>습지</x:v>
      </x:c>
      <x:c r="X322" s="8" t="str">
        <x:f>IF(T322&lt;&gt;"","수동확정",IF(MAX('서식지_점수'!E322:P322)-LARGE('서식지_점수'!E322:P322,2)&gt;=15,"높음",IF(MAX('서식지_점수'!E322:P322)-LARGE('서식지_점수'!E322:P322,2)&gt;=8,"보통","검토필요")))</x:f>
        <x:v>높음</x:v>
      </x:c>
      <x:c r="Y322" s="9" t="n">
        <x:f>IF(Q322="전설",8,IF(Q322="희귀",7,IF(J322="기본",1,IF(J322="중간",3,IF(J322="최종",IF(I322="",5,IF(I322&lt;=20,3,IF(I322&lt;=35,4,IF(I322&lt;=50,6,7)))),IF(Q322="드묾",4,2))))))</x:f>
        <x:v>1</x:v>
      </x:c>
      <x:c r="Z322" s="5" t="inlineStr">
        <x:is>
          <x:t xml:space="preserve">#cobblemon:is_jungle; #cobblemon:is_ocean; #cobblemon:is_overworld; #cobblemon:is_swamp</x:t>
        </x:is>
      </x:c>
      <x:c r="AA322" s="5" t="inlineStr">
        <x:is>
          <x:t xml:space="preserve">common</x:t>
        </x:is>
      </x:c>
      <x:c r="AB322" s="5" t="inlineStr">
        <x:is>
          <x:t xml:space="preserve">예</x:t>
        </x:is>
      </x:c>
      <x:c r="AC322" s="8" t="str">
        <x:f>IF(T322&lt;&gt;"","수동확정",IF(X322="검토필요","검토필요",IF(S322="","원본없음","초기완료")))</x:f>
        <x:v>초기완료</x:v>
      </x:c>
      <x:c r="AD322" s="7" t="inlineStr">
        <x:is>
          <x:t xml:space="preserve"/>
        </x:is>
      </x:c>
      <x:c r="AE322" s="5" t="inlineStr">
        <x:is>
          <x:t xml:space="preserve">.tmp/cobblemon-1.7.3-source/common/src/main/resources/data/cobblemon/species/generation3/carvanha.json</x:t>
        </x:is>
      </x:c>
      <x:c r="AF322" s="5" t="str">
        <x:f>"생활권|"&amp;K322</x:f>
        <x:v>생활권|해양</x:v>
      </x:c>
      <x:c r="AG322" s="5" t="str">
        <x:f>"지형|"&amp;L322</x:f>
        <x:v>지형|해안·해양</x:v>
      </x:c>
      <x:c r="AH322" s="5" t="str">
        <x:f>"온도|"&amp;M322</x:f>
        <x:v>온도|온대</x:v>
      </x:c>
      <x:c r="AI322" s="5" t="str">
        <x:f>"습도|"&amp;N322</x:f>
        <x:v>습도|수중</x:v>
      </x:c>
      <x:c r="AJ322" s="5" t="str">
        <x:f>"날씨|"&amp;O322</x:f>
        <x:v>날씨|비</x:v>
      </x:c>
      <x:c r="AK322" s="5" t="str">
        <x:f>"특수태그|"&amp;R322</x:f>
        <x:v>특수태그|없음</x:v>
      </x:c>
      <x:c r="AL322" s="5" t="str">
        <x:f>"원본서식지|"&amp;S322</x:f>
        <x:v>원본서식지|해양</x:v>
      </x:c>
      <x:c r="AM322" s="5" t="str">
        <x:f>"타입|"&amp;F322</x:f>
        <x:v>타입|물</x:v>
      </x:c>
      <x:c r="AN322" s="5" t="str">
        <x:f>"타입|"&amp;G322</x:f>
        <x:v>타입|악</x:v>
      </x:c>
    </x:row>
    <x:row r="323" ht="24" customHeight="1">
      <x:c r="A323" s="5" t="n">
        <x:v>319</x:v>
      </x:c>
      <x:c r="B323" s="5" t="inlineStr">
        <x:is>
          <x:t xml:space="preserve">샤크니아</x:t>
        </x:is>
      </x:c>
      <x:c r="C323" s="5" t="inlineStr">
        <x:is>
          <x:t xml:space="preserve">sharpedo</x:t>
        </x:is>
      </x:c>
      <x:c r="D323" s="5" t="inlineStr">
        <x:is>
          <x:t xml:space="preserve">Sharpedo</x:t>
        </x:is>
      </x:c>
      <x:c r="E323" s="5" t="n">
        <x:v>3</x:v>
      </x:c>
      <x:c r="F323" s="5" t="inlineStr">
        <x:is>
          <x:t xml:space="preserve">물</x:t>
        </x:is>
      </x:c>
      <x:c r="G323" s="5" t="inlineStr">
        <x:is>
          <x:t xml:space="preserve">악</x:t>
        </x:is>
      </x:c>
      <x:c r="H323" s="6" t="n">
        <x:v>88.8</x:v>
      </x:c>
      <x:c r="I323" s="5" t="n">
        <x:v>30</x:v>
      </x:c>
      <x:c r="J323" s="5" t="inlineStr">
        <x:is>
          <x:t xml:space="preserve">최종</x:t>
        </x:is>
      </x:c>
      <x:c r="K323" s="7" t="inlineStr">
        <x:is>
          <x:t xml:space="preserve">해양</x:t>
        </x:is>
      </x:c>
      <x:c r="L323" s="7" t="inlineStr">
        <x:is>
          <x:t xml:space="preserve">해안·해양</x:t>
        </x:is>
      </x:c>
      <x:c r="M323" s="7" t="inlineStr">
        <x:is>
          <x:t xml:space="preserve">온대</x:t>
        </x:is>
      </x:c>
      <x:c r="N323" s="7" t="inlineStr">
        <x:is>
          <x:t xml:space="preserve">수중</x:t>
        </x:is>
      </x:c>
      <x:c r="O323" s="7" t="inlineStr">
        <x:is>
          <x:t xml:space="preserve">비</x:t>
        </x:is>
      </x:c>
      <x:c r="P323" s="7" t="inlineStr">
        <x:is>
          <x:t xml:space="preserve">밤</x:t>
        </x:is>
      </x:c>
      <x:c r="Q323" s="7" t="inlineStr">
        <x:is>
          <x:t xml:space="preserve">흔함</x:t>
        </x:is>
      </x:c>
      <x:c r="R323" s="7" t="inlineStr">
        <x:is>
          <x:t xml:space="preserve">없음</x:t>
        </x:is>
      </x:c>
      <x:c r="S323" s="7" t="inlineStr">
        <x:is>
          <x:t xml:space="preserve">해양</x:t>
        </x:is>
      </x:c>
      <x:c r="T323" s="7" t="inlineStr">
        <x:is>
          <x:t xml:space="preserve"/>
        </x:is>
      </x:c>
      <x:c r="U323" s="8" t="str">
        <x:f>INDEX('서식지_점수'!$E$4:$P$4,1,MATCH(MAX('서식지_점수'!E323:P323),'서식지_점수'!E323:P323,0))</x:f>
        <x:v>해양</x:v>
      </x:c>
      <x:c r="V323" s="8" t="str">
        <x:f>IF(T323&lt;&gt;"",T323,U323)</x:f>
        <x:v>해양</x:v>
      </x:c>
      <x:c r="W323" s="8" t="str">
        <x:f>IFERROR(INDEX('서식지_점수'!$E$4:$P$4,1,MATCH(MAXIFS('서식지_점수'!E323:P323,'서식지_점수'!E323:P323,"&lt;"&amp;MAX('서식지_점수'!E323:P323)),'서식지_점수'!E323:P323,0)),"")</x:f>
        <x:v>습지</x:v>
      </x:c>
      <x:c r="X323" s="8" t="str">
        <x:f>IF(T323&lt;&gt;"","수동확정",IF(MAX('서식지_점수'!E323:P323)-LARGE('서식지_점수'!E323:P323,2)&gt;=15,"높음",IF(MAX('서식지_점수'!E323:P323)-LARGE('서식지_점수'!E323:P323,2)&gt;=8,"보통","검토필요")))</x:f>
        <x:v>높음</x:v>
      </x:c>
      <x:c r="Y323" s="9" t="n">
        <x:f>IF(Q323="전설",8,IF(Q323="희귀",7,IF(J323="기본",1,IF(J323="중간",3,IF(J323="최종",IF(I323="",5,IF(I323&lt;=20,3,IF(I323&lt;=35,4,IF(I323&lt;=50,6,7)))),IF(Q323="드묾",4,2))))))</x:f>
        <x:v>4</x:v>
      </x:c>
      <x:c r="Z323" s="5" t="inlineStr">
        <x:is>
          <x:t xml:space="preserve">#cobblemon:is_ocean; #cobblemon:is_overworld</x:t>
        </x:is>
      </x:c>
      <x:c r="AA323" s="5" t="inlineStr">
        <x:is>
          <x:t xml:space="preserve">common</x:t>
        </x:is>
      </x:c>
      <x:c r="AB323" s="5" t="inlineStr">
        <x:is>
          <x:t xml:space="preserve">예</x:t>
        </x:is>
      </x:c>
      <x:c r="AC323" s="8" t="str">
        <x:f>IF(T323&lt;&gt;"","수동확정",IF(X323="검토필요","검토필요",IF(S323="","원본없음","초기완료")))</x:f>
        <x:v>초기완료</x:v>
      </x:c>
      <x:c r="AD323" s="7" t="inlineStr">
        <x:is>
          <x:t xml:space="preserve"/>
        </x:is>
      </x:c>
      <x:c r="AE323" s="5" t="inlineStr">
        <x:is>
          <x:t xml:space="preserve">.tmp/cobblemon-1.7.3-source/common/src/main/resources/data/cobblemon/species/generation3/sharpedo.json</x:t>
        </x:is>
      </x:c>
      <x:c r="AF323" s="5" t="str">
        <x:f>"생활권|"&amp;K323</x:f>
        <x:v>생활권|해양</x:v>
      </x:c>
      <x:c r="AG323" s="5" t="str">
        <x:f>"지형|"&amp;L323</x:f>
        <x:v>지형|해안·해양</x:v>
      </x:c>
      <x:c r="AH323" s="5" t="str">
        <x:f>"온도|"&amp;M323</x:f>
        <x:v>온도|온대</x:v>
      </x:c>
      <x:c r="AI323" s="5" t="str">
        <x:f>"습도|"&amp;N323</x:f>
        <x:v>습도|수중</x:v>
      </x:c>
      <x:c r="AJ323" s="5" t="str">
        <x:f>"날씨|"&amp;O323</x:f>
        <x:v>날씨|비</x:v>
      </x:c>
      <x:c r="AK323" s="5" t="str">
        <x:f>"특수태그|"&amp;R323</x:f>
        <x:v>특수태그|없음</x:v>
      </x:c>
      <x:c r="AL323" s="5" t="str">
        <x:f>"원본서식지|"&amp;S323</x:f>
        <x:v>원본서식지|해양</x:v>
      </x:c>
      <x:c r="AM323" s="5" t="str">
        <x:f>"타입|"&amp;F323</x:f>
        <x:v>타입|물</x:v>
      </x:c>
      <x:c r="AN323" s="5" t="str">
        <x:f>"타입|"&amp;G323</x:f>
        <x:v>타입|악</x:v>
      </x:c>
    </x:row>
    <x:row r="324" ht="24" customHeight="1">
      <x:c r="A324" s="5" t="n">
        <x:v>320</x:v>
      </x:c>
      <x:c r="B324" s="5" t="inlineStr">
        <x:is>
          <x:t xml:space="preserve">고래왕자</x:t>
        </x:is>
      </x:c>
      <x:c r="C324" s="5" t="inlineStr">
        <x:is>
          <x:t xml:space="preserve">wailmer</x:t>
        </x:is>
      </x:c>
      <x:c r="D324" s="5" t="inlineStr">
        <x:is>
          <x:t xml:space="preserve">Wailmer</x:t>
        </x:is>
      </x:c>
      <x:c r="E324" s="5" t="n">
        <x:v>3</x:v>
      </x:c>
      <x:c r="F324" s="5" t="inlineStr">
        <x:is>
          <x:t xml:space="preserve">물</x:t>
        </x:is>
      </x:c>
      <x:c r="G324" s="5" t="inlineStr">
        <x:is>
          <x:t xml:space="preserve"/>
        </x:is>
      </x:c>
      <x:c r="H324" s="6" t="n">
        <x:v>130</x:v>
      </x:c>
      <x:c r="I324" s="5" t="n">
        <x:v>40</x:v>
      </x:c>
      <x:c r="J324" s="5" t="inlineStr">
        <x:is>
          <x:t xml:space="preserve">기본</x:t>
        </x:is>
      </x:c>
      <x:c r="K324" s="7" t="inlineStr">
        <x:is>
          <x:t xml:space="preserve">해양</x:t>
        </x:is>
      </x:c>
      <x:c r="L324" s="7" t="inlineStr">
        <x:is>
          <x:t xml:space="preserve">해안·해양</x:t>
        </x:is>
      </x:c>
      <x:c r="M324" s="7" t="inlineStr">
        <x:is>
          <x:t xml:space="preserve">온대</x:t>
        </x:is>
      </x:c>
      <x:c r="N324" s="7" t="inlineStr">
        <x:is>
          <x:t xml:space="preserve">수중</x:t>
        </x:is>
      </x:c>
      <x:c r="O324" s="7" t="inlineStr">
        <x:is>
          <x:t xml:space="preserve">비</x:t>
        </x:is>
      </x:c>
      <x:c r="P324" s="7" t="inlineStr">
        <x:is>
          <x:t xml:space="preserve">무관</x:t>
        </x:is>
      </x:c>
      <x:c r="Q324" s="7" t="inlineStr">
        <x:is>
          <x:t xml:space="preserve">보통</x:t>
        </x:is>
      </x:c>
      <x:c r="R324" s="7" t="inlineStr">
        <x:is>
          <x:t xml:space="preserve">심해</x:t>
        </x:is>
      </x:c>
      <x:c r="S324" s="7" t="inlineStr">
        <x:is>
          <x:t xml:space="preserve">해양</x:t>
        </x:is>
      </x:c>
      <x:c r="T324" s="7" t="inlineStr">
        <x:is>
          <x:t xml:space="preserve"/>
        </x:is>
      </x:c>
      <x:c r="U324" s="8" t="str">
        <x:f>INDEX('서식지_점수'!$E$4:$P$4,1,MATCH(MAX('서식지_점수'!E324:P324),'서식지_점수'!E324:P324,0))</x:f>
        <x:v>해양</x:v>
      </x:c>
      <x:c r="V324" s="8" t="str">
        <x:f>IF(T324&lt;&gt;"",T324,U324)</x:f>
        <x:v>해양</x:v>
      </x:c>
      <x:c r="W324" s="8" t="str">
        <x:f>IFERROR(INDEX('서식지_점수'!$E$4:$P$4,1,MATCH(MAXIFS('서식지_점수'!E324:P324,'서식지_점수'!E324:P324,"&lt;"&amp;MAX('서식지_점수'!E324:P324)),'서식지_점수'!E324:P324,0)),"")</x:f>
        <x:v>습지</x:v>
      </x:c>
      <x:c r="X324" s="8" t="str">
        <x:f>IF(T324&lt;&gt;"","수동확정",IF(MAX('서식지_점수'!E324:P324)-LARGE('서식지_점수'!E324:P324,2)&gt;=15,"높음",IF(MAX('서식지_점수'!E324:P324)-LARGE('서식지_점수'!E324:P324,2)&gt;=8,"보통","검토필요")))</x:f>
        <x:v>높음</x:v>
      </x:c>
      <x:c r="Y324" s="9" t="n">
        <x:f>IF(Q324="전설",8,IF(Q324="희귀",7,IF(J324="기본",1,IF(J324="중간",3,IF(J324="최종",IF(I324="",5,IF(I324&lt;=20,3,IF(I324&lt;=35,4,IF(I324&lt;=50,6,7)))),IF(Q324="드묾",4,2))))))</x:f>
        <x:v>1</x:v>
      </x:c>
      <x:c r="Z324" s="5" t="inlineStr">
        <x:is>
          <x:t xml:space="preserve">#cobblemon:is_deep_ocean; #cobblemon:is_ocean</x:t>
        </x:is>
      </x:c>
      <x:c r="AA324" s="5" t="inlineStr">
        <x:is>
          <x:t xml:space="preserve">common; uncommon</x:t>
        </x:is>
      </x:c>
      <x:c r="AB324" s="5" t="inlineStr">
        <x:is>
          <x:t xml:space="preserve">예</x:t>
        </x:is>
      </x:c>
      <x:c r="AC324" s="8" t="str">
        <x:f>IF(T324&lt;&gt;"","수동확정",IF(X324="검토필요","검토필요",IF(S324="","원본없음","초기완료")))</x:f>
        <x:v>초기완료</x:v>
      </x:c>
      <x:c r="AD324" s="7" t="inlineStr">
        <x:is>
          <x:t xml:space="preserve"/>
        </x:is>
      </x:c>
      <x:c r="AE324" s="5" t="inlineStr">
        <x:is>
          <x:t xml:space="preserve">.tmp/cobblemon-1.7.3-source/common/src/main/resources/data/cobblemon/species/generation3/wailmer.json</x:t>
        </x:is>
      </x:c>
      <x:c r="AF324" s="5" t="str">
        <x:f>"생활권|"&amp;K324</x:f>
        <x:v>생활권|해양</x:v>
      </x:c>
      <x:c r="AG324" s="5" t="str">
        <x:f>"지형|"&amp;L324</x:f>
        <x:v>지형|해안·해양</x:v>
      </x:c>
      <x:c r="AH324" s="5" t="str">
        <x:f>"온도|"&amp;M324</x:f>
        <x:v>온도|온대</x:v>
      </x:c>
      <x:c r="AI324" s="5" t="str">
        <x:f>"습도|"&amp;N324</x:f>
        <x:v>습도|수중</x:v>
      </x:c>
      <x:c r="AJ324" s="5" t="str">
        <x:f>"날씨|"&amp;O324</x:f>
        <x:v>날씨|비</x:v>
      </x:c>
      <x:c r="AK324" s="5" t="str">
        <x:f>"특수태그|"&amp;R324</x:f>
        <x:v>특수태그|심해</x:v>
      </x:c>
      <x:c r="AL324" s="5" t="str">
        <x:f>"원본서식지|"&amp;S324</x:f>
        <x:v>원본서식지|해양</x:v>
      </x:c>
      <x:c r="AM324" s="5" t="str">
        <x:f>"타입|"&amp;F324</x:f>
        <x:v>타입|물</x:v>
      </x:c>
      <x:c r="AN324" s="5" t="str">
        <x:f>"타입|"&amp;G324</x:f>
        <x:v>타입|</x:v>
      </x:c>
    </x:row>
    <x:row r="325" ht="24" customHeight="1">
      <x:c r="A325" s="5" t="n">
        <x:v>321</x:v>
      </x:c>
      <x:c r="B325" s="5" t="inlineStr">
        <x:is>
          <x:t xml:space="preserve">고래왕</x:t>
        </x:is>
      </x:c>
      <x:c r="C325" s="5" t="inlineStr">
        <x:is>
          <x:t xml:space="preserve">wailord</x:t>
        </x:is>
      </x:c>
      <x:c r="D325" s="5" t="inlineStr">
        <x:is>
          <x:t xml:space="preserve">Wailord</x:t>
        </x:is>
      </x:c>
      <x:c r="E325" s="5" t="n">
        <x:v>3</x:v>
      </x:c>
      <x:c r="F325" s="5" t="inlineStr">
        <x:is>
          <x:t xml:space="preserve">물</x:t>
        </x:is>
      </x:c>
      <x:c r="G325" s="5" t="inlineStr">
        <x:is>
          <x:t xml:space="preserve"/>
        </x:is>
      </x:c>
      <x:c r="H325" s="6" t="n">
        <x:v>398</x:v>
      </x:c>
      <x:c r="I325" s="5" t="n">
        <x:v>40</x:v>
      </x:c>
      <x:c r="J325" s="5" t="inlineStr">
        <x:is>
          <x:t xml:space="preserve">최종</x:t>
        </x:is>
      </x:c>
      <x:c r="K325" s="7" t="inlineStr">
        <x:is>
          <x:t xml:space="preserve">해양</x:t>
        </x:is>
      </x:c>
      <x:c r="L325" s="7" t="inlineStr">
        <x:is>
          <x:t xml:space="preserve">해안·해양</x:t>
        </x:is>
      </x:c>
      <x:c r="M325" s="7" t="inlineStr">
        <x:is>
          <x:t xml:space="preserve">온대</x:t>
        </x:is>
      </x:c>
      <x:c r="N325" s="7" t="inlineStr">
        <x:is>
          <x:t xml:space="preserve">수중</x:t>
        </x:is>
      </x:c>
      <x:c r="O325" s="7" t="inlineStr">
        <x:is>
          <x:t xml:space="preserve">비</x:t>
        </x:is>
      </x:c>
      <x:c r="P325" s="7" t="inlineStr">
        <x:is>
          <x:t xml:space="preserve">무관</x:t>
        </x:is>
      </x:c>
      <x:c r="Q325" s="7" t="inlineStr">
        <x:is>
          <x:t xml:space="preserve">보통</x:t>
        </x:is>
      </x:c>
      <x:c r="R325" s="7" t="inlineStr">
        <x:is>
          <x:t xml:space="preserve">심해</x:t>
        </x:is>
      </x:c>
      <x:c r="S325" s="7" t="inlineStr">
        <x:is>
          <x:t xml:space="preserve">해양</x:t>
        </x:is>
      </x:c>
      <x:c r="T325" s="7" t="inlineStr">
        <x:is>
          <x:t xml:space="preserve"/>
        </x:is>
      </x:c>
      <x:c r="U325" s="8" t="str">
        <x:f>INDEX('서식지_점수'!$E$4:$P$4,1,MATCH(MAX('서식지_점수'!E325:P325),'서식지_점수'!E325:P325,0))</x:f>
        <x:v>해양</x:v>
      </x:c>
      <x:c r="V325" s="8" t="str">
        <x:f>IF(T325&lt;&gt;"",T325,U325)</x:f>
        <x:v>해양</x:v>
      </x:c>
      <x:c r="W325" s="8" t="str">
        <x:f>IFERROR(INDEX('서식지_점수'!$E$4:$P$4,1,MATCH(MAXIFS('서식지_점수'!E325:P325,'서식지_점수'!E325:P325,"&lt;"&amp;MAX('서식지_점수'!E325:P325)),'서식지_점수'!E325:P325,0)),"")</x:f>
        <x:v>습지</x:v>
      </x:c>
      <x:c r="X325" s="8" t="str">
        <x:f>IF(T325&lt;&gt;"","수동확정",IF(MAX('서식지_점수'!E325:P325)-LARGE('서식지_점수'!E325:P325,2)&gt;=15,"높음",IF(MAX('서식지_점수'!E325:P325)-LARGE('서식지_점수'!E325:P325,2)&gt;=8,"보통","검토필요")))</x:f>
        <x:v>높음</x:v>
      </x:c>
      <x:c r="Y325" s="9" t="n">
        <x:f>IF(Q325="전설",8,IF(Q325="희귀",7,IF(J325="기본",1,IF(J325="중간",3,IF(J325="최종",IF(I325="",5,IF(I325&lt;=20,3,IF(I325&lt;=35,4,IF(I325&lt;=50,6,7)))),IF(Q325="드묾",4,2))))))</x:f>
        <x:v>6</x:v>
      </x:c>
      <x:c r="Z325" s="5" t="inlineStr">
        <x:is>
          <x:t xml:space="preserve">#cobblemon:is_deep_ocean; #cobblemon:is_ocean</x:t>
        </x:is>
      </x:c>
      <x:c r="AA325" s="5" t="inlineStr">
        <x:is>
          <x:t xml:space="preserve">common; uncommon</x:t>
        </x:is>
      </x:c>
      <x:c r="AB325" s="5" t="inlineStr">
        <x:is>
          <x:t xml:space="preserve">예</x:t>
        </x:is>
      </x:c>
      <x:c r="AC325" s="8" t="str">
        <x:f>IF(T325&lt;&gt;"","수동확정",IF(X325="검토필요","검토필요",IF(S325="","원본없음","초기완료")))</x:f>
        <x:v>초기완료</x:v>
      </x:c>
      <x:c r="AD325" s="7" t="inlineStr">
        <x:is>
          <x:t xml:space="preserve"/>
        </x:is>
      </x:c>
      <x:c r="AE325" s="5" t="inlineStr">
        <x:is>
          <x:t xml:space="preserve">.tmp/cobblemon-1.7.3-source/common/src/main/resources/data/cobblemon/species/generation3/wailord.json</x:t>
        </x:is>
      </x:c>
      <x:c r="AF325" s="5" t="str">
        <x:f>"생활권|"&amp;K325</x:f>
        <x:v>생활권|해양</x:v>
      </x:c>
      <x:c r="AG325" s="5" t="str">
        <x:f>"지형|"&amp;L325</x:f>
        <x:v>지형|해안·해양</x:v>
      </x:c>
      <x:c r="AH325" s="5" t="str">
        <x:f>"온도|"&amp;M325</x:f>
        <x:v>온도|온대</x:v>
      </x:c>
      <x:c r="AI325" s="5" t="str">
        <x:f>"습도|"&amp;N325</x:f>
        <x:v>습도|수중</x:v>
      </x:c>
      <x:c r="AJ325" s="5" t="str">
        <x:f>"날씨|"&amp;O325</x:f>
        <x:v>날씨|비</x:v>
      </x:c>
      <x:c r="AK325" s="5" t="str">
        <x:f>"특수태그|"&amp;R325</x:f>
        <x:v>특수태그|심해</x:v>
      </x:c>
      <x:c r="AL325" s="5" t="str">
        <x:f>"원본서식지|"&amp;S325</x:f>
        <x:v>원본서식지|해양</x:v>
      </x:c>
      <x:c r="AM325" s="5" t="str">
        <x:f>"타입|"&amp;F325</x:f>
        <x:v>타입|물</x:v>
      </x:c>
      <x:c r="AN325" s="5" t="str">
        <x:f>"타입|"&amp;G325</x:f>
        <x:v>타입|</x:v>
      </x:c>
    </x:row>
    <x:row r="326" ht="24" customHeight="1">
      <x:c r="A326" s="5" t="n">
        <x:v>322</x:v>
      </x:c>
      <x:c r="B326" s="5" t="inlineStr">
        <x:is>
          <x:t xml:space="preserve">둔타</x:t>
        </x:is>
      </x:c>
      <x:c r="C326" s="5" t="inlineStr">
        <x:is>
          <x:t xml:space="preserve">numel</x:t>
        </x:is>
      </x:c>
      <x:c r="D326" s="5" t="inlineStr">
        <x:is>
          <x:t xml:space="preserve">Numel</x:t>
        </x:is>
      </x:c>
      <x:c r="E326" s="5" t="n">
        <x:v>3</x:v>
      </x:c>
      <x:c r="F326" s="5" t="inlineStr">
        <x:is>
          <x:t xml:space="preserve">불꽃</x:t>
        </x:is>
      </x:c>
      <x:c r="G326" s="5" t="inlineStr">
        <x:is>
          <x:t xml:space="preserve">땅</x:t>
        </x:is>
      </x:c>
      <x:c r="H326" s="6" t="n">
        <x:v>24</x:v>
      </x:c>
      <x:c r="I326" s="5" t="n">
        <x:v>33</x:v>
      </x:c>
      <x:c r="J326" s="5" t="inlineStr">
        <x:is>
          <x:t xml:space="preserve">기본</x:t>
        </x:is>
      </x:c>
      <x:c r="K326" s="7" t="inlineStr">
        <x:is>
          <x:t xml:space="preserve">육상</x:t>
        </x:is>
      </x:c>
      <x:c r="L326" s="7" t="inlineStr">
        <x:is>
          <x:t xml:space="preserve">화산</x:t>
        </x:is>
      </x:c>
      <x:c r="M326" s="7" t="inlineStr">
        <x:is>
          <x:t xml:space="preserve">고온</x:t>
        </x:is>
      </x:c>
      <x:c r="N326" s="7" t="inlineStr">
        <x:is>
          <x:t xml:space="preserve">건조</x:t>
        </x:is>
      </x:c>
      <x:c r="O326" s="7" t="inlineStr">
        <x:is>
          <x:t xml:space="preserve">맑음</x:t>
        </x:is>
      </x:c>
      <x:c r="P326" s="7" t="inlineStr">
        <x:is>
          <x:t xml:space="preserve">무관</x:t>
        </x:is>
      </x:c>
      <x:c r="Q326" s="7" t="inlineStr">
        <x:is>
          <x:t xml:space="preserve">흔함</x:t>
        </x:is>
      </x:c>
      <x:c r="R326" s="7" t="inlineStr">
        <x:is>
          <x:t xml:space="preserve">화산</x:t>
        </x:is>
      </x:c>
      <x:c r="S326" s="7" t="inlineStr">
        <x:is>
          <x:t xml:space="preserve">화산</x:t>
        </x:is>
      </x:c>
      <x:c r="T326" s="7" t="inlineStr">
        <x:is>
          <x:t xml:space="preserve"/>
        </x:is>
      </x:c>
      <x:c r="U326" s="8" t="str">
        <x:f>INDEX('서식지_점수'!$E$4:$P$4,1,MATCH(MAX('서식지_점수'!E326:P326),'서식지_점수'!E326:P326,0))</x:f>
        <x:v>평원</x:v>
      </x:c>
      <x:c r="V326" s="8" t="str">
        <x:f>IF(T326&lt;&gt;"",T326,U326)</x:f>
        <x:v>평원</x:v>
      </x:c>
      <x:c r="W326" s="8" t="str">
        <x:f>IFERROR(INDEX('서식지_점수'!$E$4:$P$4,1,MATCH(MAXIFS('서식지_점수'!E326:P326,'서식지_점수'!E326:P326,"&lt;"&amp;MAX('서식지_점수'!E326:P326)),'서식지_점수'!E326:P326,0)),"")</x:f>
        <x:v>숲</x:v>
      </x:c>
      <x:c r="X326" s="8" t="str">
        <x:f>IF(T326&lt;&gt;"","수동확정",IF(MAX('서식지_점수'!E326:P326)-LARGE('서식지_점수'!E326:P326,2)&gt;=15,"높음",IF(MAX('서식지_점수'!E326:P326)-LARGE('서식지_점수'!E326:P326,2)&gt;=8,"보통","검토필요")))</x:f>
        <x:v>검토필요</x:v>
      </x:c>
      <x:c r="Y326" s="9" t="n">
        <x:f>IF(Q326="전설",8,IF(Q326="희귀",7,IF(J326="기본",1,IF(J326="중간",3,IF(J326="최종",IF(I326="",5,IF(I326&lt;=20,3,IF(I326&lt;=35,4,IF(I326&lt;=50,6,7)))),IF(Q326="드묾",4,2))))))</x:f>
        <x:v>1</x:v>
      </x:c>
      <x:c r="Z326" s="5" t="inlineStr">
        <x:is>
          <x:t xml:space="preserve">#cobblemon:is_badlands; #cobblemon:is_volcanic; #cobblemon:nether/is_overgrowth; #cobblemon:nether/is_wasteland</x:t>
        </x:is>
      </x:c>
      <x:c r="AA326" s="5" t="inlineStr">
        <x:is>
          <x:t xml:space="preserve">common</x:t>
        </x:is>
      </x:c>
      <x:c r="AB326" s="5" t="inlineStr">
        <x:is>
          <x:t xml:space="preserve">예</x:t>
        </x:is>
      </x:c>
      <x:c r="AC326" s="8" t="str">
        <x:f>IF(T326&lt;&gt;"","수동확정",IF(X326="검토필요","검토필요",IF(S326="","원본없음","초기완료")))</x:f>
        <x:v>검토필요</x:v>
      </x:c>
      <x:c r="AD326" s="7" t="inlineStr">
        <x:is>
          <x:t xml:space="preserve"/>
        </x:is>
      </x:c>
      <x:c r="AE326" s="5" t="inlineStr">
        <x:is>
          <x:t xml:space="preserve">.tmp/cobblemon-1.7.3-source/common/src/main/resources/data/cobblemon/species/generation3/numel.json</x:t>
        </x:is>
      </x:c>
      <x:c r="AF326" s="5" t="str">
        <x:f>"생활권|"&amp;K326</x:f>
        <x:v>생활권|육상</x:v>
      </x:c>
      <x:c r="AG326" s="5" t="str">
        <x:f>"지형|"&amp;L326</x:f>
        <x:v>지형|화산</x:v>
      </x:c>
      <x:c r="AH326" s="5" t="str">
        <x:f>"온도|"&amp;M326</x:f>
        <x:v>온도|고온</x:v>
      </x:c>
      <x:c r="AI326" s="5" t="str">
        <x:f>"습도|"&amp;N326</x:f>
        <x:v>습도|건조</x:v>
      </x:c>
      <x:c r="AJ326" s="5" t="str">
        <x:f>"날씨|"&amp;O326</x:f>
        <x:v>날씨|맑음</x:v>
      </x:c>
      <x:c r="AK326" s="5" t="str">
        <x:f>"특수태그|"&amp;R326</x:f>
        <x:v>특수태그|화산</x:v>
      </x:c>
      <x:c r="AL326" s="5" t="str">
        <x:f>"원본서식지|"&amp;S326</x:f>
        <x:v>원본서식지|화산</x:v>
      </x:c>
      <x:c r="AM326" s="5" t="str">
        <x:f>"타입|"&amp;F326</x:f>
        <x:v>타입|불꽃</x:v>
      </x:c>
      <x:c r="AN326" s="5" t="str">
        <x:f>"타입|"&amp;G326</x:f>
        <x:v>타입|땅</x:v>
      </x:c>
    </x:row>
    <x:row r="327" ht="24" customHeight="1">
      <x:c r="A327" s="5" t="n">
        <x:v>323</x:v>
      </x:c>
      <x:c r="B327" s="5" t="inlineStr">
        <x:is>
          <x:t xml:space="preserve">폭타</x:t>
        </x:is>
      </x:c>
      <x:c r="C327" s="5" t="inlineStr">
        <x:is>
          <x:t xml:space="preserve">camerupt</x:t>
        </x:is>
      </x:c>
      <x:c r="D327" s="5" t="inlineStr">
        <x:is>
          <x:t xml:space="preserve">Camerupt</x:t>
        </x:is>
      </x:c>
      <x:c r="E327" s="5" t="n">
        <x:v>3</x:v>
      </x:c>
      <x:c r="F327" s="5" t="inlineStr">
        <x:is>
          <x:t xml:space="preserve">불꽃</x:t>
        </x:is>
      </x:c>
      <x:c r="G327" s="5" t="inlineStr">
        <x:is>
          <x:t xml:space="preserve">땅</x:t>
        </x:is>
      </x:c>
      <x:c r="H327" s="6" t="n">
        <x:v>220</x:v>
      </x:c>
      <x:c r="I327" s="5" t="n">
        <x:v>33</x:v>
      </x:c>
      <x:c r="J327" s="5" t="inlineStr">
        <x:is>
          <x:t xml:space="preserve">최종</x:t>
        </x:is>
      </x:c>
      <x:c r="K327" s="7" t="inlineStr">
        <x:is>
          <x:t xml:space="preserve">육상</x:t>
        </x:is>
      </x:c>
      <x:c r="L327" s="7" t="inlineStr">
        <x:is>
          <x:t xml:space="preserve">화산</x:t>
        </x:is>
      </x:c>
      <x:c r="M327" s="7" t="inlineStr">
        <x:is>
          <x:t xml:space="preserve">고온</x:t>
        </x:is>
      </x:c>
      <x:c r="N327" s="7" t="inlineStr">
        <x:is>
          <x:t xml:space="preserve">건조</x:t>
        </x:is>
      </x:c>
      <x:c r="O327" s="7" t="inlineStr">
        <x:is>
          <x:t xml:space="preserve">맑음</x:t>
        </x:is>
      </x:c>
      <x:c r="P327" s="7" t="inlineStr">
        <x:is>
          <x:t xml:space="preserve">무관</x:t>
        </x:is>
      </x:c>
      <x:c r="Q327" s="7" t="inlineStr">
        <x:is>
          <x:t xml:space="preserve">흔함</x:t>
        </x:is>
      </x:c>
      <x:c r="R327" s="7" t="inlineStr">
        <x:is>
          <x:t xml:space="preserve">화산</x:t>
        </x:is>
      </x:c>
      <x:c r="S327" s="7" t="inlineStr">
        <x:is>
          <x:t xml:space="preserve">화산</x:t>
        </x:is>
      </x:c>
      <x:c r="T327" s="7" t="inlineStr">
        <x:is>
          <x:t xml:space="preserve"/>
        </x:is>
      </x:c>
      <x:c r="U327" s="8" t="str">
        <x:f>INDEX('서식지_점수'!$E$4:$P$4,1,MATCH(MAX('서식지_점수'!E327:P327),'서식지_점수'!E327:P327,0))</x:f>
        <x:v>평원</x:v>
      </x:c>
      <x:c r="V327" s="8" t="str">
        <x:f>IF(T327&lt;&gt;"",T327,U327)</x:f>
        <x:v>평원</x:v>
      </x:c>
      <x:c r="W327" s="8" t="str">
        <x:f>IFERROR(INDEX('서식지_점수'!$E$4:$P$4,1,MATCH(MAXIFS('서식지_점수'!E327:P327,'서식지_점수'!E327:P327,"&lt;"&amp;MAX('서식지_점수'!E327:P327)),'서식지_점수'!E327:P327,0)),"")</x:f>
        <x:v>숲</x:v>
      </x:c>
      <x:c r="X327" s="8" t="str">
        <x:f>IF(T327&lt;&gt;"","수동확정",IF(MAX('서식지_점수'!E327:P327)-LARGE('서식지_점수'!E327:P327,2)&gt;=15,"높음",IF(MAX('서식지_점수'!E327:P327)-LARGE('서식지_점수'!E327:P327,2)&gt;=8,"보통","검토필요")))</x:f>
        <x:v>검토필요</x:v>
      </x:c>
      <x:c r="Y327" s="9" t="n">
        <x:f>IF(Q327="전설",8,IF(Q327="희귀",7,IF(J327="기본",1,IF(J327="중간",3,IF(J327="최종",IF(I327="",5,IF(I327&lt;=20,3,IF(I327&lt;=35,4,IF(I327&lt;=50,6,7)))),IF(Q327="드묾",4,2))))))</x:f>
        <x:v>4</x:v>
      </x:c>
      <x:c r="Z327" s="5" t="inlineStr">
        <x:is>
          <x:t xml:space="preserve">#cobblemon:is_badlands; #cobblemon:is_volcanic; #cobblemon:nether/is_overgrowth; #cobblemon:nether/is_wasteland</x:t>
        </x:is>
      </x:c>
      <x:c r="AA327" s="5" t="inlineStr">
        <x:is>
          <x:t xml:space="preserve">common</x:t>
        </x:is>
      </x:c>
      <x:c r="AB327" s="5" t="inlineStr">
        <x:is>
          <x:t xml:space="preserve">예</x:t>
        </x:is>
      </x:c>
      <x:c r="AC327" s="8" t="str">
        <x:f>IF(T327&lt;&gt;"","수동확정",IF(X327="검토필요","검토필요",IF(S327="","원본없음","초기완료")))</x:f>
        <x:v>검토필요</x:v>
      </x:c>
      <x:c r="AD327" s="7" t="inlineStr">
        <x:is>
          <x:t xml:space="preserve"/>
        </x:is>
      </x:c>
      <x:c r="AE327" s="5" t="inlineStr">
        <x:is>
          <x:t xml:space="preserve">.tmp/cobblemon-1.7.3-source/common/src/main/resources/data/cobblemon/species/generation3/camerupt.json</x:t>
        </x:is>
      </x:c>
      <x:c r="AF327" s="5" t="str">
        <x:f>"생활권|"&amp;K327</x:f>
        <x:v>생활권|육상</x:v>
      </x:c>
      <x:c r="AG327" s="5" t="str">
        <x:f>"지형|"&amp;L327</x:f>
        <x:v>지형|화산</x:v>
      </x:c>
      <x:c r="AH327" s="5" t="str">
        <x:f>"온도|"&amp;M327</x:f>
        <x:v>온도|고온</x:v>
      </x:c>
      <x:c r="AI327" s="5" t="str">
        <x:f>"습도|"&amp;N327</x:f>
        <x:v>습도|건조</x:v>
      </x:c>
      <x:c r="AJ327" s="5" t="str">
        <x:f>"날씨|"&amp;O327</x:f>
        <x:v>날씨|맑음</x:v>
      </x:c>
      <x:c r="AK327" s="5" t="str">
        <x:f>"특수태그|"&amp;R327</x:f>
        <x:v>특수태그|화산</x:v>
      </x:c>
      <x:c r="AL327" s="5" t="str">
        <x:f>"원본서식지|"&amp;S327</x:f>
        <x:v>원본서식지|화산</x:v>
      </x:c>
      <x:c r="AM327" s="5" t="str">
        <x:f>"타입|"&amp;F327</x:f>
        <x:v>타입|불꽃</x:v>
      </x:c>
      <x:c r="AN327" s="5" t="str">
        <x:f>"타입|"&amp;G327</x:f>
        <x:v>타입|땅</x:v>
      </x:c>
    </x:row>
    <x:row r="328" ht="24" customHeight="1">
      <x:c r="A328" s="5" t="n">
        <x:v>324</x:v>
      </x:c>
      <x:c r="B328" s="5" t="inlineStr">
        <x:is>
          <x:t xml:space="preserve">코터스</x:t>
        </x:is>
      </x:c>
      <x:c r="C328" s="5" t="inlineStr">
        <x:is>
          <x:t xml:space="preserve">torkoal</x:t>
        </x:is>
      </x:c>
      <x:c r="D328" s="5" t="inlineStr">
        <x:is>
          <x:t xml:space="preserve">Torkoal</x:t>
        </x:is>
      </x:c>
      <x:c r="E328" s="5" t="n">
        <x:v>3</x:v>
      </x:c>
      <x:c r="F328" s="5" t="inlineStr">
        <x:is>
          <x:t xml:space="preserve">불꽃</x:t>
        </x:is>
      </x:c>
      <x:c r="G328" s="5" t="inlineStr">
        <x:is>
          <x:t xml:space="preserve"/>
        </x:is>
      </x:c>
      <x:c r="H328" s="6" t="n">
        <x:v>80.40000000000001</x:v>
      </x:c>
      <x:c r="I328" s="5" t="n"/>
      <x:c r="J328" s="5" t="inlineStr">
        <x:is>
          <x:t xml:space="preserve">무진화</x:t>
        </x:is>
      </x:c>
      <x:c r="K328" s="7" t="inlineStr">
        <x:is>
          <x:t xml:space="preserve">육상</x:t>
        </x:is>
      </x:c>
      <x:c r="L328" s="7" t="inlineStr">
        <x:is>
          <x:t xml:space="preserve">화산</x:t>
        </x:is>
      </x:c>
      <x:c r="M328" s="7" t="inlineStr">
        <x:is>
          <x:t xml:space="preserve">고온</x:t>
        </x:is>
      </x:c>
      <x:c r="N328" s="7" t="inlineStr">
        <x:is>
          <x:t xml:space="preserve">건조</x:t>
        </x:is>
      </x:c>
      <x:c r="O328" s="7" t="inlineStr">
        <x:is>
          <x:t xml:space="preserve">맑음</x:t>
        </x:is>
      </x:c>
      <x:c r="P328" s="7" t="inlineStr">
        <x:is>
          <x:t xml:space="preserve">무관</x:t>
        </x:is>
      </x:c>
      <x:c r="Q328" s="7" t="inlineStr">
        <x:is>
          <x:t xml:space="preserve">보통</x:t>
        </x:is>
      </x:c>
      <x:c r="R328" s="7" t="inlineStr">
        <x:is>
          <x:t xml:space="preserve">화산</x:t>
        </x:is>
      </x:c>
      <x:c r="S328" s="7" t="inlineStr">
        <x:is>
          <x:t xml:space="preserve">화산</x:t>
        </x:is>
      </x:c>
      <x:c r="T328" s="7" t="inlineStr">
        <x:is>
          <x:t xml:space="preserve"/>
        </x:is>
      </x:c>
      <x:c r="U328" s="8" t="str">
        <x:f>INDEX('서식지_점수'!$E$4:$P$4,1,MATCH(MAX('서식지_점수'!E328:P328),'서식지_점수'!E328:P328,0))</x:f>
        <x:v>평원</x:v>
      </x:c>
      <x:c r="V328" s="8" t="str">
        <x:f>IF(T328&lt;&gt;"",T328,U328)</x:f>
        <x:v>평원</x:v>
      </x:c>
      <x:c r="W328" s="8" t="str">
        <x:f>IFERROR(INDEX('서식지_점수'!$E$4:$P$4,1,MATCH(MAXIFS('서식지_점수'!E328:P328,'서식지_점수'!E328:P328,"&lt;"&amp;MAX('서식지_점수'!E328:P328)),'서식지_점수'!E328:P328,0)),"")</x:f>
        <x:v>숲</x:v>
      </x:c>
      <x:c r="X328" s="8" t="str">
        <x:f>IF(T328&lt;&gt;"","수동확정",IF(MAX('서식지_점수'!E328:P328)-LARGE('서식지_점수'!E328:P328,2)&gt;=15,"높음",IF(MAX('서식지_점수'!E328:P328)-LARGE('서식지_점수'!E328:P328,2)&gt;=8,"보통","검토필요")))</x:f>
        <x:v>검토필요</x:v>
      </x:c>
      <x:c r="Y328" s="9" t="n">
        <x:f>IF(Q328="전설",8,IF(Q328="희귀",7,IF(J328="기본",1,IF(J328="중간",3,IF(J328="최종",IF(I328="",5,IF(I328&lt;=20,3,IF(I328&lt;=35,4,IF(I328&lt;=50,6,7)))),IF(Q328="드묾",4,2))))))</x:f>
        <x:v>2</x:v>
      </x:c>
      <x:c r="Z328" s="5" t="inlineStr">
        <x:is>
          <x:t xml:space="preserve">#cobblemon:is_mountain; #cobblemon:is_overworld; #cobblemon:is_thermal; #cobblemon:nether/is_basalt</x:t>
        </x:is>
      </x:c>
      <x:c r="AA328" s="5" t="inlineStr">
        <x:is>
          <x:t xml:space="preserve">common; uncommon</x:t>
        </x:is>
      </x:c>
      <x:c r="AB328" s="5" t="inlineStr">
        <x:is>
          <x:t xml:space="preserve">예</x:t>
        </x:is>
      </x:c>
      <x:c r="AC328" s="8" t="str">
        <x:f>IF(T328&lt;&gt;"","수동확정",IF(X328="검토필요","검토필요",IF(S328="","원본없음","초기완료")))</x:f>
        <x:v>검토필요</x:v>
      </x:c>
      <x:c r="AD328" s="7" t="inlineStr">
        <x:is>
          <x:t xml:space="preserve"/>
        </x:is>
      </x:c>
      <x:c r="AE328" s="5" t="inlineStr">
        <x:is>
          <x:t xml:space="preserve">.tmp/cobblemon-1.7.3-source/common/src/main/resources/data/cobblemon/species/generation3/torkoal.json</x:t>
        </x:is>
      </x:c>
      <x:c r="AF328" s="5" t="str">
        <x:f>"생활권|"&amp;K328</x:f>
        <x:v>생활권|육상</x:v>
      </x:c>
      <x:c r="AG328" s="5" t="str">
        <x:f>"지형|"&amp;L328</x:f>
        <x:v>지형|화산</x:v>
      </x:c>
      <x:c r="AH328" s="5" t="str">
        <x:f>"온도|"&amp;M328</x:f>
        <x:v>온도|고온</x:v>
      </x:c>
      <x:c r="AI328" s="5" t="str">
        <x:f>"습도|"&amp;N328</x:f>
        <x:v>습도|건조</x:v>
      </x:c>
      <x:c r="AJ328" s="5" t="str">
        <x:f>"날씨|"&amp;O328</x:f>
        <x:v>날씨|맑음</x:v>
      </x:c>
      <x:c r="AK328" s="5" t="str">
        <x:f>"특수태그|"&amp;R328</x:f>
        <x:v>특수태그|화산</x:v>
      </x:c>
      <x:c r="AL328" s="5" t="str">
        <x:f>"원본서식지|"&amp;S328</x:f>
        <x:v>원본서식지|화산</x:v>
      </x:c>
      <x:c r="AM328" s="5" t="str">
        <x:f>"타입|"&amp;F328</x:f>
        <x:v>타입|불꽃</x:v>
      </x:c>
      <x:c r="AN328" s="5" t="str">
        <x:f>"타입|"&amp;G328</x:f>
        <x:v>타입|</x:v>
      </x:c>
    </x:row>
    <x:row r="329" ht="24" customHeight="1">
      <x:c r="A329" s="5" t="n">
        <x:v>325</x:v>
      </x:c>
      <x:c r="B329" s="5" t="inlineStr">
        <x:is>
          <x:t xml:space="preserve">피그점프</x:t>
        </x:is>
      </x:c>
      <x:c r="C329" s="5" t="inlineStr">
        <x:is>
          <x:t xml:space="preserve">spoink</x:t>
        </x:is>
      </x:c>
      <x:c r="D329" s="5" t="inlineStr">
        <x:is>
          <x:t xml:space="preserve">Spoink</x:t>
        </x:is>
      </x:c>
      <x:c r="E329" s="5" t="n">
        <x:v>3</x:v>
      </x:c>
      <x:c r="F329" s="5" t="inlineStr">
        <x:is>
          <x:t xml:space="preserve">에스퍼</x:t>
        </x:is>
      </x:c>
      <x:c r="G329" s="5" t="inlineStr">
        <x:is>
          <x:t xml:space="preserve"/>
        </x:is>
      </x:c>
      <x:c r="H329" s="6" t="n">
        <x:v>30.6</x:v>
      </x:c>
      <x:c r="I329" s="5" t="n">
        <x:v>32</x:v>
      </x:c>
      <x:c r="J329" s="5" t="inlineStr">
        <x:is>
          <x:t xml:space="preserve">기본</x:t>
        </x:is>
      </x:c>
      <x:c r="K329" s="7" t="inlineStr">
        <x:is>
          <x:t xml:space="preserve">육상</x:t>
        </x:is>
      </x:c>
      <x:c r="L329" s="7" t="inlineStr">
        <x:is>
          <x:t xml:space="preserve">화산</x:t>
        </x:is>
      </x:c>
      <x:c r="M329" s="7" t="inlineStr">
        <x:is>
          <x:t xml:space="preserve">고온</x:t>
        </x:is>
      </x:c>
      <x:c r="N329" s="7" t="inlineStr">
        <x:is>
          <x:t xml:space="preserve">건조</x:t>
        </x:is>
      </x:c>
      <x:c r="O329" s="7" t="inlineStr">
        <x:is>
          <x:t xml:space="preserve">맑음</x:t>
        </x:is>
      </x:c>
      <x:c r="P329" s="7" t="inlineStr">
        <x:is>
          <x:t xml:space="preserve">무관</x:t>
        </x:is>
      </x:c>
      <x:c r="Q329" s="7" t="inlineStr">
        <x:is>
          <x:t xml:space="preserve">흔함</x:t>
        </x:is>
      </x:c>
      <x:c r="R329" s="7" t="inlineStr">
        <x:is>
          <x:t xml:space="preserve">화산</x:t>
        </x:is>
      </x:c>
      <x:c r="S329" s="7" t="inlineStr">
        <x:is>
          <x:t xml:space="preserve">화산</x:t>
        </x:is>
      </x:c>
      <x:c r="T329" s="7" t="inlineStr">
        <x:is>
          <x:t xml:space="preserve"/>
        </x:is>
      </x:c>
      <x:c r="U329" s="8" t="str">
        <x:f>INDEX('서식지_점수'!$E$4:$P$4,1,MATCH(MAX('서식지_점수'!E329:P329),'서식지_점수'!E329:P329,0))</x:f>
        <x:v>평원</x:v>
      </x:c>
      <x:c r="V329" s="8" t="str">
        <x:f>IF(T329&lt;&gt;"",T329,U329)</x:f>
        <x:v>평원</x:v>
      </x:c>
      <x:c r="W329" s="8" t="str">
        <x:f>IFERROR(INDEX('서식지_점수'!$E$4:$P$4,1,MATCH(MAXIFS('서식지_점수'!E329:P329,'서식지_점수'!E329:P329,"&lt;"&amp;MAX('서식지_점수'!E329:P329)),'서식지_점수'!E329:P329,0)),"")</x:f>
        <x:v>숲</x:v>
      </x:c>
      <x:c r="X329" s="8" t="str">
        <x:f>IF(T329&lt;&gt;"","수동확정",IF(MAX('서식지_점수'!E329:P329)-LARGE('서식지_점수'!E329:P329,2)&gt;=15,"높음",IF(MAX('서식지_점수'!E329:P329)-LARGE('서식지_점수'!E329:P329,2)&gt;=8,"보통","검토필요")))</x:f>
        <x:v>검토필요</x:v>
      </x:c>
      <x:c r="Y329" s="9" t="n">
        <x:f>IF(Q329="전설",8,IF(Q329="희귀",7,IF(J329="기본",1,IF(J329="중간",3,IF(J329="최종",IF(I329="",5,IF(I329&lt;=20,3,IF(I329&lt;=35,4,IF(I329&lt;=50,6,7)))),IF(Q329="드묾",4,2))))))</x:f>
        <x:v>1</x:v>
      </x:c>
      <x:c r="Z329" s="5" t="inlineStr">
        <x:is>
          <x:t xml:space="preserve">#cobblemon:is_hills; #cobblemon:nether/is_fungus</x:t>
        </x:is>
      </x:c>
      <x:c r="AA329" s="5" t="inlineStr">
        <x:is>
          <x:t xml:space="preserve">common</x:t>
        </x:is>
      </x:c>
      <x:c r="AB329" s="5" t="inlineStr">
        <x:is>
          <x:t xml:space="preserve">예</x:t>
        </x:is>
      </x:c>
      <x:c r="AC329" s="8" t="str">
        <x:f>IF(T329&lt;&gt;"","수동확정",IF(X329="검토필요","검토필요",IF(S329="","원본없음","초기완료")))</x:f>
        <x:v>검토필요</x:v>
      </x:c>
      <x:c r="AD329" s="7" t="inlineStr">
        <x:is>
          <x:t xml:space="preserve"/>
        </x:is>
      </x:c>
      <x:c r="AE329" s="5" t="inlineStr">
        <x:is>
          <x:t xml:space="preserve">.tmp/cobblemon-1.7.3-source/common/src/main/resources/data/cobblemon/species/generation3/spoink.json</x:t>
        </x:is>
      </x:c>
      <x:c r="AF329" s="5" t="str">
        <x:f>"생활권|"&amp;K329</x:f>
        <x:v>생활권|육상</x:v>
      </x:c>
      <x:c r="AG329" s="5" t="str">
        <x:f>"지형|"&amp;L329</x:f>
        <x:v>지형|화산</x:v>
      </x:c>
      <x:c r="AH329" s="5" t="str">
        <x:f>"온도|"&amp;M329</x:f>
        <x:v>온도|고온</x:v>
      </x:c>
      <x:c r="AI329" s="5" t="str">
        <x:f>"습도|"&amp;N329</x:f>
        <x:v>습도|건조</x:v>
      </x:c>
      <x:c r="AJ329" s="5" t="str">
        <x:f>"날씨|"&amp;O329</x:f>
        <x:v>날씨|맑음</x:v>
      </x:c>
      <x:c r="AK329" s="5" t="str">
        <x:f>"특수태그|"&amp;R329</x:f>
        <x:v>특수태그|화산</x:v>
      </x:c>
      <x:c r="AL329" s="5" t="str">
        <x:f>"원본서식지|"&amp;S329</x:f>
        <x:v>원본서식지|화산</x:v>
      </x:c>
      <x:c r="AM329" s="5" t="str">
        <x:f>"타입|"&amp;F329</x:f>
        <x:v>타입|에스퍼</x:v>
      </x:c>
      <x:c r="AN329" s="5" t="str">
        <x:f>"타입|"&amp;G329</x:f>
        <x:v>타입|</x:v>
      </x:c>
    </x:row>
    <x:row r="330" ht="24" customHeight="1">
      <x:c r="A330" s="5" t="n">
        <x:v>326</x:v>
      </x:c>
      <x:c r="B330" s="5" t="inlineStr">
        <x:is>
          <x:t xml:space="preserve">피그킹</x:t>
        </x:is>
      </x:c>
      <x:c r="C330" s="5" t="inlineStr">
        <x:is>
          <x:t xml:space="preserve">grumpig</x:t>
        </x:is>
      </x:c>
      <x:c r="D330" s="5" t="inlineStr">
        <x:is>
          <x:t xml:space="preserve">Grumpig</x:t>
        </x:is>
      </x:c>
      <x:c r="E330" s="5" t="n">
        <x:v>3</x:v>
      </x:c>
      <x:c r="F330" s="5" t="inlineStr">
        <x:is>
          <x:t xml:space="preserve">에스퍼</x:t>
        </x:is>
      </x:c>
      <x:c r="G330" s="5" t="inlineStr">
        <x:is>
          <x:t xml:space="preserve"/>
        </x:is>
      </x:c>
      <x:c r="H330" s="6" t="n">
        <x:v>71.5</x:v>
      </x:c>
      <x:c r="I330" s="5" t="n">
        <x:v>32</x:v>
      </x:c>
      <x:c r="J330" s="5" t="inlineStr">
        <x:is>
          <x:t xml:space="preserve">최종</x:t>
        </x:is>
      </x:c>
      <x:c r="K330" s="7" t="inlineStr">
        <x:is>
          <x:t xml:space="preserve">육상</x:t>
        </x:is>
      </x:c>
      <x:c r="L330" s="7" t="inlineStr">
        <x:is>
          <x:t xml:space="preserve">화산</x:t>
        </x:is>
      </x:c>
      <x:c r="M330" s="7" t="inlineStr">
        <x:is>
          <x:t xml:space="preserve">고온</x:t>
        </x:is>
      </x:c>
      <x:c r="N330" s="7" t="inlineStr">
        <x:is>
          <x:t xml:space="preserve">건조</x:t>
        </x:is>
      </x:c>
      <x:c r="O330" s="7" t="inlineStr">
        <x:is>
          <x:t xml:space="preserve">맑음</x:t>
        </x:is>
      </x:c>
      <x:c r="P330" s="7" t="inlineStr">
        <x:is>
          <x:t xml:space="preserve">무관</x:t>
        </x:is>
      </x:c>
      <x:c r="Q330" s="7" t="inlineStr">
        <x:is>
          <x:t xml:space="preserve">흔함</x:t>
        </x:is>
      </x:c>
      <x:c r="R330" s="7" t="inlineStr">
        <x:is>
          <x:t xml:space="preserve">화산</x:t>
        </x:is>
      </x:c>
      <x:c r="S330" s="7" t="inlineStr">
        <x:is>
          <x:t xml:space="preserve">화산</x:t>
        </x:is>
      </x:c>
      <x:c r="T330" s="7" t="inlineStr">
        <x:is>
          <x:t xml:space="preserve"/>
        </x:is>
      </x:c>
      <x:c r="U330" s="8" t="str">
        <x:f>INDEX('서식지_점수'!$E$4:$P$4,1,MATCH(MAX('서식지_점수'!E330:P330),'서식지_점수'!E330:P330,0))</x:f>
        <x:v>평원</x:v>
      </x:c>
      <x:c r="V330" s="8" t="str">
        <x:f>IF(T330&lt;&gt;"",T330,U330)</x:f>
        <x:v>평원</x:v>
      </x:c>
      <x:c r="W330" s="8" t="str">
        <x:f>IFERROR(INDEX('서식지_점수'!$E$4:$P$4,1,MATCH(MAXIFS('서식지_점수'!E330:P330,'서식지_점수'!E330:P330,"&lt;"&amp;MAX('서식지_점수'!E330:P330)),'서식지_점수'!E330:P330,0)),"")</x:f>
        <x:v>숲</x:v>
      </x:c>
      <x:c r="X330" s="8" t="str">
        <x:f>IF(T330&lt;&gt;"","수동확정",IF(MAX('서식지_점수'!E330:P330)-LARGE('서식지_점수'!E330:P330,2)&gt;=15,"높음",IF(MAX('서식지_점수'!E330:P330)-LARGE('서식지_점수'!E330:P330,2)&gt;=8,"보통","검토필요")))</x:f>
        <x:v>검토필요</x:v>
      </x:c>
      <x:c r="Y330" s="9" t="n">
        <x:f>IF(Q330="전설",8,IF(Q330="희귀",7,IF(J330="기본",1,IF(J330="중간",3,IF(J330="최종",IF(I330="",5,IF(I330&lt;=20,3,IF(I330&lt;=35,4,IF(I330&lt;=50,6,7)))),IF(Q330="드묾",4,2))))))</x:f>
        <x:v>4</x:v>
      </x:c>
      <x:c r="Z330" s="5" t="inlineStr">
        <x:is>
          <x:t xml:space="preserve">#cobblemon:is_hills; #cobblemon:nether/is_fungus</x:t>
        </x:is>
      </x:c>
      <x:c r="AA330" s="5" t="inlineStr">
        <x:is>
          <x:t xml:space="preserve">common</x:t>
        </x:is>
      </x:c>
      <x:c r="AB330" s="5" t="inlineStr">
        <x:is>
          <x:t xml:space="preserve">예</x:t>
        </x:is>
      </x:c>
      <x:c r="AC330" s="8" t="str">
        <x:f>IF(T330&lt;&gt;"","수동확정",IF(X330="검토필요","검토필요",IF(S330="","원본없음","초기완료")))</x:f>
        <x:v>검토필요</x:v>
      </x:c>
      <x:c r="AD330" s="7" t="inlineStr">
        <x:is>
          <x:t xml:space="preserve"/>
        </x:is>
      </x:c>
      <x:c r="AE330" s="5" t="inlineStr">
        <x:is>
          <x:t xml:space="preserve">.tmp/cobblemon-1.7.3-source/common/src/main/resources/data/cobblemon/species/generation3/grumpig.json</x:t>
        </x:is>
      </x:c>
      <x:c r="AF330" s="5" t="str">
        <x:f>"생활권|"&amp;K330</x:f>
        <x:v>생활권|육상</x:v>
      </x:c>
      <x:c r="AG330" s="5" t="str">
        <x:f>"지형|"&amp;L330</x:f>
        <x:v>지형|화산</x:v>
      </x:c>
      <x:c r="AH330" s="5" t="str">
        <x:f>"온도|"&amp;M330</x:f>
        <x:v>온도|고온</x:v>
      </x:c>
      <x:c r="AI330" s="5" t="str">
        <x:f>"습도|"&amp;N330</x:f>
        <x:v>습도|건조</x:v>
      </x:c>
      <x:c r="AJ330" s="5" t="str">
        <x:f>"날씨|"&amp;O330</x:f>
        <x:v>날씨|맑음</x:v>
      </x:c>
      <x:c r="AK330" s="5" t="str">
        <x:f>"특수태그|"&amp;R330</x:f>
        <x:v>특수태그|화산</x:v>
      </x:c>
      <x:c r="AL330" s="5" t="str">
        <x:f>"원본서식지|"&amp;S330</x:f>
        <x:v>원본서식지|화산</x:v>
      </x:c>
      <x:c r="AM330" s="5" t="str">
        <x:f>"타입|"&amp;F330</x:f>
        <x:v>타입|에스퍼</x:v>
      </x:c>
      <x:c r="AN330" s="5" t="str">
        <x:f>"타입|"&amp;G330</x:f>
        <x:v>타입|</x:v>
      </x:c>
    </x:row>
    <x:row r="331" ht="24" customHeight="1">
      <x:c r="A331" s="5" t="n">
        <x:v>327</x:v>
      </x:c>
      <x:c r="B331" s="5" t="inlineStr">
        <x:is>
          <x:t xml:space="preserve">얼루기</x:t>
        </x:is>
      </x:c>
      <x:c r="C331" s="5" t="inlineStr">
        <x:is>
          <x:t xml:space="preserve">spinda</x:t>
        </x:is>
      </x:c>
      <x:c r="D331" s="5" t="inlineStr">
        <x:is>
          <x:t xml:space="preserve">Spinda</x:t>
        </x:is>
      </x:c>
      <x:c r="E331" s="5" t="n">
        <x:v>3</x:v>
      </x:c>
      <x:c r="F331" s="5" t="inlineStr">
        <x:is>
          <x:t xml:space="preserve">노말</x:t>
        </x:is>
      </x:c>
      <x:c r="G331" s="5" t="inlineStr">
        <x:is>
          <x:t xml:space="preserve"/>
        </x:is>
      </x:c>
      <x:c r="H331" s="6" t="n">
        <x:v>5</x:v>
      </x:c>
      <x:c r="I331" s="5" t="n"/>
      <x:c r="J331" s="5" t="inlineStr">
        <x:is>
          <x:t xml:space="preserve">무진화</x:t>
        </x:is>
      </x:c>
      <x:c r="K331" s="7" t="inlineStr">
        <x:is>
          <x:t xml:space="preserve">육상</x:t>
        </x:is>
      </x:c>
      <x:c r="L331" s="7" t="inlineStr">
        <x:is>
          <x:t xml:space="preserve">암석</x:t>
        </x:is>
      </x:c>
      <x:c r="M331" s="7" t="inlineStr">
        <x:is>
          <x:t xml:space="preserve">온대</x:t>
        </x:is>
      </x:c>
      <x:c r="N331" s="7" t="inlineStr">
        <x:is>
          <x:t xml:space="preserve">보통</x:t>
        </x:is>
      </x:c>
      <x:c r="O331" s="7" t="inlineStr">
        <x:is>
          <x:t xml:space="preserve">무관</x:t>
        </x:is>
      </x:c>
      <x:c r="P331" s="7" t="inlineStr">
        <x:is>
          <x:t xml:space="preserve">무관</x:t>
        </x:is>
      </x:c>
      <x:c r="Q331" s="7" t="inlineStr">
        <x:is>
          <x:t xml:space="preserve">보통</x:t>
        </x:is>
      </x:c>
      <x:c r="R331" s="7" t="inlineStr">
        <x:is>
          <x:t xml:space="preserve">없음</x:t>
        </x:is>
      </x:c>
      <x:c r="S331" s="7" t="inlineStr">
        <x:is>
          <x:t xml:space="preserve">산악</x:t>
        </x:is>
      </x:c>
      <x:c r="T331" s="7" t="inlineStr">
        <x:is>
          <x:t xml:space="preserve"/>
        </x:is>
      </x:c>
      <x:c r="U331" s="8" t="str">
        <x:f>INDEX('서식지_점수'!$E$4:$P$4,1,MATCH(MAX('서식지_점수'!E331:P331),'서식지_점수'!E331:P331,0))</x:f>
        <x:v>평원</x:v>
      </x:c>
      <x:c r="V331" s="8" t="str">
        <x:f>IF(T331&lt;&gt;"",T331,U331)</x:f>
        <x:v>평원</x:v>
      </x:c>
      <x:c r="W331" s="8" t="str">
        <x:f>IFERROR(INDEX('서식지_점수'!$E$4:$P$4,1,MATCH(MAXIFS('서식지_점수'!E331:P331,'서식지_점수'!E331:P331,"&lt;"&amp;MAX('서식지_점수'!E331:P331)),'서식지_점수'!E331:P331,0)),"")</x:f>
        <x:v>숲</x:v>
      </x:c>
      <x:c r="X331" s="8" t="str">
        <x:f>IF(T331&lt;&gt;"","수동확정",IF(MAX('서식지_점수'!E331:P331)-LARGE('서식지_점수'!E331:P331,2)&gt;=15,"높음",IF(MAX('서식지_점수'!E331:P331)-LARGE('서식지_점수'!E331:P331,2)&gt;=8,"보통","검토필요")))</x:f>
        <x:v>검토필요</x:v>
      </x:c>
      <x:c r="Y331" s="9" t="n">
        <x:f>IF(Q331="전설",8,IF(Q331="희귀",7,IF(J331="기본",1,IF(J331="중간",3,IF(J331="최종",IF(I331="",5,IF(I331&lt;=20,3,IF(I331&lt;=35,4,IF(I331&lt;=50,6,7)))),IF(Q331="드묾",4,2))))))</x:f>
        <x:v>2</x:v>
      </x:c>
      <x:c r="Z331" s="5" t="inlineStr">
        <x:is>
          <x:t xml:space="preserve">#cobblemon:is_bamboo; #cobblemon:is_hills</x:t>
        </x:is>
      </x:c>
      <x:c r="AA331" s="5" t="inlineStr">
        <x:is>
          <x:t xml:space="preserve">uncommon</x:t>
        </x:is>
      </x:c>
      <x:c r="AB331" s="5" t="inlineStr">
        <x:is>
          <x:t xml:space="preserve">예</x:t>
        </x:is>
      </x:c>
      <x:c r="AC331" s="8" t="str">
        <x:f>IF(T331&lt;&gt;"","수동확정",IF(X331="검토필요","검토필요",IF(S331="","원본없음","초기완료")))</x:f>
        <x:v>검토필요</x:v>
      </x:c>
      <x:c r="AD331" s="7" t="inlineStr">
        <x:is>
          <x:t xml:space="preserve"/>
        </x:is>
      </x:c>
      <x:c r="AE331" s="5" t="inlineStr">
        <x:is>
          <x:t xml:space="preserve">.tmp/cobblemon-1.7.3-source/common/src/main/resources/data/cobblemon/species/generation3/spinda.json</x:t>
        </x:is>
      </x:c>
      <x:c r="AF331" s="5" t="str">
        <x:f>"생활권|"&amp;K331</x:f>
        <x:v>생활권|육상</x:v>
      </x:c>
      <x:c r="AG331" s="5" t="str">
        <x:f>"지형|"&amp;L331</x:f>
        <x:v>지형|암석</x:v>
      </x:c>
      <x:c r="AH331" s="5" t="str">
        <x:f>"온도|"&amp;M331</x:f>
        <x:v>온도|온대</x:v>
      </x:c>
      <x:c r="AI331" s="5" t="str">
        <x:f>"습도|"&amp;N331</x:f>
        <x:v>습도|보통</x:v>
      </x:c>
      <x:c r="AJ331" s="5" t="str">
        <x:f>"날씨|"&amp;O331</x:f>
        <x:v>날씨|무관</x:v>
      </x:c>
      <x:c r="AK331" s="5" t="str">
        <x:f>"특수태그|"&amp;R331</x:f>
        <x:v>특수태그|없음</x:v>
      </x:c>
      <x:c r="AL331" s="5" t="str">
        <x:f>"원본서식지|"&amp;S331</x:f>
        <x:v>원본서식지|산악</x:v>
      </x:c>
      <x:c r="AM331" s="5" t="str">
        <x:f>"타입|"&amp;F331</x:f>
        <x:v>타입|노말</x:v>
      </x:c>
      <x:c r="AN331" s="5" t="str">
        <x:f>"타입|"&amp;G331</x:f>
        <x:v>타입|</x:v>
      </x:c>
    </x:row>
    <x:row r="332" ht="24" customHeight="1">
      <x:c r="A332" s="5" t="n">
        <x:v>328</x:v>
      </x:c>
      <x:c r="B332" s="5" t="inlineStr">
        <x:is>
          <x:t xml:space="preserve">톱치</x:t>
        </x:is>
      </x:c>
      <x:c r="C332" s="5" t="inlineStr">
        <x:is>
          <x:t xml:space="preserve">trapinch</x:t>
        </x:is>
      </x:c>
      <x:c r="D332" s="5" t="inlineStr">
        <x:is>
          <x:t xml:space="preserve">Trapinch</x:t>
        </x:is>
      </x:c>
      <x:c r="E332" s="5" t="n">
        <x:v>3</x:v>
      </x:c>
      <x:c r="F332" s="5" t="inlineStr">
        <x:is>
          <x:t xml:space="preserve">땅</x:t>
        </x:is>
      </x:c>
      <x:c r="G332" s="5" t="inlineStr">
        <x:is>
          <x:t xml:space="preserve"/>
        </x:is>
      </x:c>
      <x:c r="H332" s="6" t="n">
        <x:v>15</x:v>
      </x:c>
      <x:c r="I332" s="5" t="n">
        <x:v>45</x:v>
      </x:c>
      <x:c r="J332" s="5" t="inlineStr">
        <x:is>
          <x:t xml:space="preserve">기본</x:t>
        </x:is>
      </x:c>
      <x:c r="K332" s="7" t="inlineStr">
        <x:is>
          <x:t xml:space="preserve">육상</x:t>
        </x:is>
      </x:c>
      <x:c r="L332" s="7" t="inlineStr">
        <x:is>
          <x:t xml:space="preserve">건조</x:t>
        </x:is>
      </x:c>
      <x:c r="M332" s="7" t="inlineStr">
        <x:is>
          <x:t xml:space="preserve">고온</x:t>
        </x:is>
      </x:c>
      <x:c r="N332" s="7" t="inlineStr">
        <x:is>
          <x:t xml:space="preserve">건조</x:t>
        </x:is>
      </x:c>
      <x:c r="O332" s="7" t="inlineStr">
        <x:is>
          <x:t xml:space="preserve">맑음</x:t>
        </x:is>
      </x:c>
      <x:c r="P332" s="7" t="inlineStr">
        <x:is>
          <x:t xml:space="preserve">무관</x:t>
        </x:is>
      </x:c>
      <x:c r="Q332" s="7" t="inlineStr">
        <x:is>
          <x:t xml:space="preserve">보통</x:t>
        </x:is>
      </x:c>
      <x:c r="R332" s="7" t="inlineStr">
        <x:is>
          <x:t xml:space="preserve">없음</x:t>
        </x:is>
      </x:c>
      <x:c r="S332" s="7" t="inlineStr">
        <x:is>
          <x:t xml:space="preserve">건조지</x:t>
        </x:is>
      </x:c>
      <x:c r="T332" s="7" t="inlineStr">
        <x:is>
          <x:t xml:space="preserve"/>
        </x:is>
      </x:c>
      <x:c r="U332" s="8" t="str">
        <x:f>INDEX('서식지_점수'!$E$4:$P$4,1,MATCH(MAX('서식지_점수'!E332:P332),'서식지_점수'!E332:P332,0))</x:f>
        <x:v>평원</x:v>
      </x:c>
      <x:c r="V332" s="8" t="str">
        <x:f>IF(T332&lt;&gt;"",T332,U332)</x:f>
        <x:v>평원</x:v>
      </x:c>
      <x:c r="W332" s="8" t="str">
        <x:f>IFERROR(INDEX('서식지_점수'!$E$4:$P$4,1,MATCH(MAXIFS('서식지_점수'!E332:P332,'서식지_점수'!E332:P332,"&lt;"&amp;MAX('서식지_점수'!E332:P332)),'서식지_점수'!E332:P332,0)),"")</x:f>
        <x:v>숲</x:v>
      </x:c>
      <x:c r="X332" s="8" t="str">
        <x:f>IF(T332&lt;&gt;"","수동확정",IF(MAX('서식지_점수'!E332:P332)-LARGE('서식지_점수'!E332:P332,2)&gt;=15,"높음",IF(MAX('서식지_점수'!E332:P332)-LARGE('서식지_점수'!E332:P332,2)&gt;=8,"보통","검토필요")))</x:f>
        <x:v>검토필요</x:v>
      </x:c>
      <x:c r="Y332" s="9" t="n">
        <x:f>IF(Q332="전설",8,IF(Q332="희귀",7,IF(J332="기본",1,IF(J332="중간",3,IF(J332="최종",IF(I332="",5,IF(I332&lt;=20,3,IF(I332&lt;=35,4,IF(I332&lt;=50,6,7)))),IF(Q332="드묾",4,2))))))</x:f>
        <x:v>1</x:v>
      </x:c>
      <x:c r="Z332" s="5" t="inlineStr">
        <x:is>
          <x:t xml:space="preserve">#cobblemon:is_desert</x:t>
        </x:is>
      </x:c>
      <x:c r="AA332" s="5" t="inlineStr">
        <x:is>
          <x:t xml:space="preserve">rare; uncommon</x:t>
        </x:is>
      </x:c>
      <x:c r="AB332" s="5" t="inlineStr">
        <x:is>
          <x:t xml:space="preserve">예</x:t>
        </x:is>
      </x:c>
      <x:c r="AC332" s="8" t="str">
        <x:f>IF(T332&lt;&gt;"","수동확정",IF(X332="검토필요","검토필요",IF(S332="","원본없음","초기완료")))</x:f>
        <x:v>검토필요</x:v>
      </x:c>
      <x:c r="AD332" s="7" t="inlineStr">
        <x:is>
          <x:t xml:space="preserve"/>
        </x:is>
      </x:c>
      <x:c r="AE332" s="5" t="inlineStr">
        <x:is>
          <x:t xml:space="preserve">.tmp/cobblemon-1.7.3-source/common/src/main/resources/data/cobblemon/species/generation3/trapinch.json</x:t>
        </x:is>
      </x:c>
      <x:c r="AF332" s="5" t="str">
        <x:f>"생활권|"&amp;K332</x:f>
        <x:v>생활권|육상</x:v>
      </x:c>
      <x:c r="AG332" s="5" t="str">
        <x:f>"지형|"&amp;L332</x:f>
        <x:v>지형|건조</x:v>
      </x:c>
      <x:c r="AH332" s="5" t="str">
        <x:f>"온도|"&amp;M332</x:f>
        <x:v>온도|고온</x:v>
      </x:c>
      <x:c r="AI332" s="5" t="str">
        <x:f>"습도|"&amp;N332</x:f>
        <x:v>습도|건조</x:v>
      </x:c>
      <x:c r="AJ332" s="5" t="str">
        <x:f>"날씨|"&amp;O332</x:f>
        <x:v>날씨|맑음</x:v>
      </x:c>
      <x:c r="AK332" s="5" t="str">
        <x:f>"특수태그|"&amp;R332</x:f>
        <x:v>특수태그|없음</x:v>
      </x:c>
      <x:c r="AL332" s="5" t="str">
        <x:f>"원본서식지|"&amp;S332</x:f>
        <x:v>원본서식지|건조지</x:v>
      </x:c>
      <x:c r="AM332" s="5" t="str">
        <x:f>"타입|"&amp;F332</x:f>
        <x:v>타입|땅</x:v>
      </x:c>
      <x:c r="AN332" s="5" t="str">
        <x:f>"타입|"&amp;G332</x:f>
        <x:v>타입|</x:v>
      </x:c>
    </x:row>
    <x:row r="333" ht="24" customHeight="1">
      <x:c r="A333" s="5" t="n">
        <x:v>329</x:v>
      </x:c>
      <x:c r="B333" s="5" t="inlineStr">
        <x:is>
          <x:t xml:space="preserve">비브라바</x:t>
        </x:is>
      </x:c>
      <x:c r="C333" s="5" t="inlineStr">
        <x:is>
          <x:t xml:space="preserve">vibrava</x:t>
        </x:is>
      </x:c>
      <x:c r="D333" s="5" t="inlineStr">
        <x:is>
          <x:t xml:space="preserve">Vibrava</x:t>
        </x:is>
      </x:c>
      <x:c r="E333" s="5" t="n">
        <x:v>3</x:v>
      </x:c>
      <x:c r="F333" s="5" t="inlineStr">
        <x:is>
          <x:t xml:space="preserve">땅</x:t>
        </x:is>
      </x:c>
      <x:c r="G333" s="5" t="inlineStr">
        <x:is>
          <x:t xml:space="preserve">드래곤</x:t>
        </x:is>
      </x:c>
      <x:c r="H333" s="6" t="n">
        <x:v>15.3</x:v>
      </x:c>
      <x:c r="I333" s="5" t="n">
        <x:v>45</x:v>
      </x:c>
      <x:c r="J333" s="5" t="inlineStr">
        <x:is>
          <x:t xml:space="preserve">중간</x:t>
        </x:is>
      </x:c>
      <x:c r="K333" s="7" t="inlineStr">
        <x:is>
          <x:t xml:space="preserve">비행</x:t>
        </x:is>
      </x:c>
      <x:c r="L333" s="7" t="inlineStr">
        <x:is>
          <x:t xml:space="preserve">건조</x:t>
        </x:is>
      </x:c>
      <x:c r="M333" s="7" t="inlineStr">
        <x:is>
          <x:t xml:space="preserve">고온</x:t>
        </x:is>
      </x:c>
      <x:c r="N333" s="7" t="inlineStr">
        <x:is>
          <x:t xml:space="preserve">건조</x:t>
        </x:is>
      </x:c>
      <x:c r="O333" s="7" t="inlineStr">
        <x:is>
          <x:t xml:space="preserve">맑음</x:t>
        </x:is>
      </x:c>
      <x:c r="P333" s="7" t="inlineStr">
        <x:is>
          <x:t xml:space="preserve">무관</x:t>
        </x:is>
      </x:c>
      <x:c r="Q333" s="7" t="inlineStr">
        <x:is>
          <x:t xml:space="preserve">드묾</x:t>
        </x:is>
      </x:c>
      <x:c r="R333" s="7" t="inlineStr">
        <x:is>
          <x:t xml:space="preserve">없음</x:t>
        </x:is>
      </x:c>
      <x:c r="S333" s="7" t="inlineStr">
        <x:is>
          <x:t xml:space="preserve">건조지</x:t>
        </x:is>
      </x:c>
      <x:c r="T333" s="7" t="inlineStr">
        <x:is>
          <x:t xml:space="preserve"/>
        </x:is>
      </x:c>
      <x:c r="U333" s="8" t="str">
        <x:f>INDEX('서식지_점수'!$E$4:$P$4,1,MATCH(MAX('서식지_점수'!E333:P333),'서식지_점수'!E333:P333,0))</x:f>
        <x:v>산악</x:v>
      </x:c>
      <x:c r="V333" s="8" t="str">
        <x:f>IF(T333&lt;&gt;"",T333,U333)</x:f>
        <x:v>산악</x:v>
      </x:c>
      <x:c r="W333" s="8" t="str">
        <x:f>IFERROR(INDEX('서식지_점수'!$E$4:$P$4,1,MATCH(MAXIFS('서식지_점수'!E333:P333,'서식지_점수'!E333:P333,"&lt;"&amp;MAX('서식지_점수'!E333:P333)),'서식지_점수'!E333:P333,0)),"")</x:f>
        <x:v>평원</x:v>
      </x:c>
      <x:c r="X333" s="8" t="str">
        <x:f>IF(T333&lt;&gt;"","수동확정",IF(MAX('서식지_점수'!E333:P333)-LARGE('서식지_점수'!E333:P333,2)&gt;=15,"높음",IF(MAX('서식지_점수'!E333:P333)-LARGE('서식지_점수'!E333:P333,2)&gt;=8,"보통","검토필요")))</x:f>
        <x:v>검토필요</x:v>
      </x:c>
      <x:c r="Y333" s="9" t="n">
        <x:f>IF(Q333="전설",8,IF(Q333="희귀",7,IF(J333="기본",1,IF(J333="중간",3,IF(J333="최종",IF(I333="",5,IF(I333&lt;=20,3,IF(I333&lt;=35,4,IF(I333&lt;=50,6,7)))),IF(Q333="드묾",4,2))))))</x:f>
        <x:v>3</x:v>
      </x:c>
      <x:c r="Z333" s="5" t="inlineStr">
        <x:is>
          <x:t xml:space="preserve">#cobblemon:is_desert</x:t>
        </x:is>
      </x:c>
      <x:c r="AA333" s="5" t="inlineStr">
        <x:is>
          <x:t xml:space="preserve">rare</x:t>
        </x:is>
      </x:c>
      <x:c r="AB333" s="5" t="inlineStr">
        <x:is>
          <x:t xml:space="preserve">예</x:t>
        </x:is>
      </x:c>
      <x:c r="AC333" s="8" t="str">
        <x:f>IF(T333&lt;&gt;"","수동확정",IF(X333="검토필요","검토필요",IF(S333="","원본없음","초기완료")))</x:f>
        <x:v>검토필요</x:v>
      </x:c>
      <x:c r="AD333" s="7" t="inlineStr">
        <x:is>
          <x:t xml:space="preserve"/>
        </x:is>
      </x:c>
      <x:c r="AE333" s="5" t="inlineStr">
        <x:is>
          <x:t xml:space="preserve">.tmp/cobblemon-1.7.3-source/common/src/main/resources/data/cobblemon/species/generation3/vibrava.json</x:t>
        </x:is>
      </x:c>
      <x:c r="AF333" s="5" t="str">
        <x:f>"생활권|"&amp;K333</x:f>
        <x:v>생활권|비행</x:v>
      </x:c>
      <x:c r="AG333" s="5" t="str">
        <x:f>"지형|"&amp;L333</x:f>
        <x:v>지형|건조</x:v>
      </x:c>
      <x:c r="AH333" s="5" t="str">
        <x:f>"온도|"&amp;M333</x:f>
        <x:v>온도|고온</x:v>
      </x:c>
      <x:c r="AI333" s="5" t="str">
        <x:f>"습도|"&amp;N333</x:f>
        <x:v>습도|건조</x:v>
      </x:c>
      <x:c r="AJ333" s="5" t="str">
        <x:f>"날씨|"&amp;O333</x:f>
        <x:v>날씨|맑음</x:v>
      </x:c>
      <x:c r="AK333" s="5" t="str">
        <x:f>"특수태그|"&amp;R333</x:f>
        <x:v>특수태그|없음</x:v>
      </x:c>
      <x:c r="AL333" s="5" t="str">
        <x:f>"원본서식지|"&amp;S333</x:f>
        <x:v>원본서식지|건조지</x:v>
      </x:c>
      <x:c r="AM333" s="5" t="str">
        <x:f>"타입|"&amp;F333</x:f>
        <x:v>타입|땅</x:v>
      </x:c>
      <x:c r="AN333" s="5" t="str">
        <x:f>"타입|"&amp;G333</x:f>
        <x:v>타입|드래곤</x:v>
      </x:c>
    </x:row>
    <x:row r="334" ht="24" customHeight="1">
      <x:c r="A334" s="5" t="n">
        <x:v>330</x:v>
      </x:c>
      <x:c r="B334" s="5" t="inlineStr">
        <x:is>
          <x:t xml:space="preserve">플라이곤</x:t>
        </x:is>
      </x:c>
      <x:c r="C334" s="5" t="inlineStr">
        <x:is>
          <x:t xml:space="preserve">flygon</x:t>
        </x:is>
      </x:c>
      <x:c r="D334" s="5" t="inlineStr">
        <x:is>
          <x:t xml:space="preserve">Flygon</x:t>
        </x:is>
      </x:c>
      <x:c r="E334" s="5" t="n">
        <x:v>3</x:v>
      </x:c>
      <x:c r="F334" s="5" t="inlineStr">
        <x:is>
          <x:t xml:space="preserve">땅</x:t>
        </x:is>
      </x:c>
      <x:c r="G334" s="5" t="inlineStr">
        <x:is>
          <x:t xml:space="preserve">드래곤</x:t>
        </x:is>
      </x:c>
      <x:c r="H334" s="6" t="n">
        <x:v>82</x:v>
      </x:c>
      <x:c r="I334" s="5" t="n">
        <x:v>45</x:v>
      </x:c>
      <x:c r="J334" s="5" t="inlineStr">
        <x:is>
          <x:t xml:space="preserve">최종</x:t>
        </x:is>
      </x:c>
      <x:c r="K334" s="7" t="inlineStr">
        <x:is>
          <x:t xml:space="preserve">비행</x:t>
        </x:is>
      </x:c>
      <x:c r="L334" s="7" t="inlineStr">
        <x:is>
          <x:t xml:space="preserve">건조</x:t>
        </x:is>
      </x:c>
      <x:c r="M334" s="7" t="inlineStr">
        <x:is>
          <x:t xml:space="preserve">고온</x:t>
        </x:is>
      </x:c>
      <x:c r="N334" s="7" t="inlineStr">
        <x:is>
          <x:t xml:space="preserve">건조</x:t>
        </x:is>
      </x:c>
      <x:c r="O334" s="7" t="inlineStr">
        <x:is>
          <x:t xml:space="preserve">맑음</x:t>
        </x:is>
      </x:c>
      <x:c r="P334" s="7" t="inlineStr">
        <x:is>
          <x:t xml:space="preserve">무관</x:t>
        </x:is>
      </x:c>
      <x:c r="Q334" s="7" t="inlineStr">
        <x:is>
          <x:t xml:space="preserve">드묾</x:t>
        </x:is>
      </x:c>
      <x:c r="R334" s="7" t="inlineStr">
        <x:is>
          <x:t xml:space="preserve">없음</x:t>
        </x:is>
      </x:c>
      <x:c r="S334" s="7" t="inlineStr">
        <x:is>
          <x:t xml:space="preserve">건조지</x:t>
        </x:is>
      </x:c>
      <x:c r="T334" s="7" t="inlineStr">
        <x:is>
          <x:t xml:space="preserve"/>
        </x:is>
      </x:c>
      <x:c r="U334" s="8" t="str">
        <x:f>INDEX('서식지_점수'!$E$4:$P$4,1,MATCH(MAX('서식지_점수'!E334:P334),'서식지_점수'!E334:P334,0))</x:f>
        <x:v>산악</x:v>
      </x:c>
      <x:c r="V334" s="8" t="str">
        <x:f>IF(T334&lt;&gt;"",T334,U334)</x:f>
        <x:v>산악</x:v>
      </x:c>
      <x:c r="W334" s="8" t="str">
        <x:f>IFERROR(INDEX('서식지_점수'!$E$4:$P$4,1,MATCH(MAXIFS('서식지_점수'!E334:P334,'서식지_점수'!E334:P334,"&lt;"&amp;MAX('서식지_점수'!E334:P334)),'서식지_점수'!E334:P334,0)),"")</x:f>
        <x:v>평원</x:v>
      </x:c>
      <x:c r="X334" s="8" t="str">
        <x:f>IF(T334&lt;&gt;"","수동확정",IF(MAX('서식지_점수'!E334:P334)-LARGE('서식지_점수'!E334:P334,2)&gt;=15,"높음",IF(MAX('서식지_점수'!E334:P334)-LARGE('서식지_점수'!E334:P334,2)&gt;=8,"보통","검토필요")))</x:f>
        <x:v>검토필요</x:v>
      </x:c>
      <x:c r="Y334" s="9" t="n">
        <x:f>IF(Q334="전설",8,IF(Q334="희귀",7,IF(J334="기본",1,IF(J334="중간",3,IF(J334="최종",IF(I334="",5,IF(I334&lt;=20,3,IF(I334&lt;=35,4,IF(I334&lt;=50,6,7)))),IF(Q334="드묾",4,2))))))</x:f>
        <x:v>6</x:v>
      </x:c>
      <x:c r="Z334" s="5" t="inlineStr">
        <x:is>
          <x:t xml:space="preserve">#cobblemon:is_desert</x:t>
        </x:is>
      </x:c>
      <x:c r="AA334" s="5" t="inlineStr">
        <x:is>
          <x:t xml:space="preserve">rare</x:t>
        </x:is>
      </x:c>
      <x:c r="AB334" s="5" t="inlineStr">
        <x:is>
          <x:t xml:space="preserve">예</x:t>
        </x:is>
      </x:c>
      <x:c r="AC334" s="8" t="str">
        <x:f>IF(T334&lt;&gt;"","수동확정",IF(X334="검토필요","검토필요",IF(S334="","원본없음","초기완료")))</x:f>
        <x:v>검토필요</x:v>
      </x:c>
      <x:c r="AD334" s="7" t="inlineStr">
        <x:is>
          <x:t xml:space="preserve"/>
        </x:is>
      </x:c>
      <x:c r="AE334" s="5" t="inlineStr">
        <x:is>
          <x:t xml:space="preserve">.tmp/cobblemon-1.7.3-source/common/src/main/resources/data/cobblemon/species/generation3/flygon.json</x:t>
        </x:is>
      </x:c>
      <x:c r="AF334" s="5" t="str">
        <x:f>"생활권|"&amp;K334</x:f>
        <x:v>생활권|비행</x:v>
      </x:c>
      <x:c r="AG334" s="5" t="str">
        <x:f>"지형|"&amp;L334</x:f>
        <x:v>지형|건조</x:v>
      </x:c>
      <x:c r="AH334" s="5" t="str">
        <x:f>"온도|"&amp;M334</x:f>
        <x:v>온도|고온</x:v>
      </x:c>
      <x:c r="AI334" s="5" t="str">
        <x:f>"습도|"&amp;N334</x:f>
        <x:v>습도|건조</x:v>
      </x:c>
      <x:c r="AJ334" s="5" t="str">
        <x:f>"날씨|"&amp;O334</x:f>
        <x:v>날씨|맑음</x:v>
      </x:c>
      <x:c r="AK334" s="5" t="str">
        <x:f>"특수태그|"&amp;R334</x:f>
        <x:v>특수태그|없음</x:v>
      </x:c>
      <x:c r="AL334" s="5" t="str">
        <x:f>"원본서식지|"&amp;S334</x:f>
        <x:v>원본서식지|건조지</x:v>
      </x:c>
      <x:c r="AM334" s="5" t="str">
        <x:f>"타입|"&amp;F334</x:f>
        <x:v>타입|땅</x:v>
      </x:c>
      <x:c r="AN334" s="5" t="str">
        <x:f>"타입|"&amp;G334</x:f>
        <x:v>타입|드래곤</x:v>
      </x:c>
    </x:row>
    <x:row r="335" ht="24" customHeight="1">
      <x:c r="A335" s="5" t="n">
        <x:v>331</x:v>
      </x:c>
      <x:c r="B335" s="5" t="inlineStr">
        <x:is>
          <x:t xml:space="preserve">선인왕</x:t>
        </x:is>
      </x:c>
      <x:c r="C335" s="5" t="inlineStr">
        <x:is>
          <x:t xml:space="preserve">cacnea</x:t>
        </x:is>
      </x:c>
      <x:c r="D335" s="5" t="inlineStr">
        <x:is>
          <x:t xml:space="preserve">Cacnea</x:t>
        </x:is>
      </x:c>
      <x:c r="E335" s="5" t="n">
        <x:v>3</x:v>
      </x:c>
      <x:c r="F335" s="5" t="inlineStr">
        <x:is>
          <x:t xml:space="preserve">풀</x:t>
        </x:is>
      </x:c>
      <x:c r="G335" s="5" t="inlineStr">
        <x:is>
          <x:t xml:space="preserve"/>
        </x:is>
      </x:c>
      <x:c r="H335" s="6" t="n">
        <x:v>51.3</x:v>
      </x:c>
      <x:c r="I335" s="5" t="n">
        <x:v>32</x:v>
      </x:c>
      <x:c r="J335" s="5" t="inlineStr">
        <x:is>
          <x:t xml:space="preserve">기본</x:t>
        </x:is>
      </x:c>
      <x:c r="K335" s="7" t="inlineStr">
        <x:is>
          <x:t xml:space="preserve">육상</x:t>
        </x:is>
      </x:c>
      <x:c r="L335" s="7" t="inlineStr">
        <x:is>
          <x:t xml:space="preserve">건조</x:t>
        </x:is>
      </x:c>
      <x:c r="M335" s="7" t="inlineStr">
        <x:is>
          <x:t xml:space="preserve">고온</x:t>
        </x:is>
      </x:c>
      <x:c r="N335" s="7" t="inlineStr">
        <x:is>
          <x:t xml:space="preserve">건조</x:t>
        </x:is>
      </x:c>
      <x:c r="O335" s="7" t="inlineStr">
        <x:is>
          <x:t xml:space="preserve">맑음</x:t>
        </x:is>
      </x:c>
      <x:c r="P335" s="7" t="inlineStr">
        <x:is>
          <x:t xml:space="preserve">무관</x:t>
        </x:is>
      </x:c>
      <x:c r="Q335" s="7" t="inlineStr">
        <x:is>
          <x:t xml:space="preserve">흔함</x:t>
        </x:is>
      </x:c>
      <x:c r="R335" s="7" t="inlineStr">
        <x:is>
          <x:t xml:space="preserve">없음</x:t>
        </x:is>
      </x:c>
      <x:c r="S335" s="7" t="inlineStr">
        <x:is>
          <x:t xml:space="preserve">건조지</x:t>
        </x:is>
      </x:c>
      <x:c r="T335" s="7" t="inlineStr">
        <x:is>
          <x:t xml:space="preserve"/>
        </x:is>
      </x:c>
      <x:c r="U335" s="8" t="str">
        <x:f>INDEX('서식지_점수'!$E$4:$P$4,1,MATCH(MAX('서식지_점수'!E335:P335),'서식지_점수'!E335:P335,0))</x:f>
        <x:v>평원</x:v>
      </x:c>
      <x:c r="V335" s="8" t="str">
        <x:f>IF(T335&lt;&gt;"",T335,U335)</x:f>
        <x:v>평원</x:v>
      </x:c>
      <x:c r="W335" s="8" t="str">
        <x:f>IFERROR(INDEX('서식지_점수'!$E$4:$P$4,1,MATCH(MAXIFS('서식지_점수'!E335:P335,'서식지_점수'!E335:P335,"&lt;"&amp;MAX('서식지_점수'!E335:P335)),'서식지_점수'!E335:P335,0)),"")</x:f>
        <x:v>숲</x:v>
      </x:c>
      <x:c r="X335" s="8" t="str">
        <x:f>IF(T335&lt;&gt;"","수동확정",IF(MAX('서식지_점수'!E335:P335)-LARGE('서식지_점수'!E335:P335,2)&gt;=15,"높음",IF(MAX('서식지_점수'!E335:P335)-LARGE('서식지_점수'!E335:P335,2)&gt;=8,"보통","검토필요")))</x:f>
        <x:v>검토필요</x:v>
      </x:c>
      <x:c r="Y335" s="9" t="n">
        <x:f>IF(Q335="전설",8,IF(Q335="희귀",7,IF(J335="기본",1,IF(J335="중간",3,IF(J335="최종",IF(I335="",5,IF(I335&lt;=20,3,IF(I335&lt;=35,4,IF(I335&lt;=50,6,7)))),IF(Q335="드묾",4,2))))))</x:f>
        <x:v>1</x:v>
      </x:c>
      <x:c r="Z335" s="5" t="inlineStr">
        <x:is>
          <x:t xml:space="preserve">#cobblemon:is_badlands; #cobblemon:is_desert</x:t>
        </x:is>
      </x:c>
      <x:c r="AA335" s="5" t="inlineStr">
        <x:is>
          <x:t xml:space="preserve">common</x:t>
        </x:is>
      </x:c>
      <x:c r="AB335" s="5" t="inlineStr">
        <x:is>
          <x:t xml:space="preserve">예</x:t>
        </x:is>
      </x:c>
      <x:c r="AC335" s="8" t="str">
        <x:f>IF(T335&lt;&gt;"","수동확정",IF(X335="검토필요","검토필요",IF(S335="","원본없음","초기완료")))</x:f>
        <x:v>검토필요</x:v>
      </x:c>
      <x:c r="AD335" s="7" t="inlineStr">
        <x:is>
          <x:t xml:space="preserve"/>
        </x:is>
      </x:c>
      <x:c r="AE335" s="5" t="inlineStr">
        <x:is>
          <x:t xml:space="preserve">.tmp/cobblemon-1.7.3-source/common/src/main/resources/data/cobblemon/species/generation3/cacnea.json</x:t>
        </x:is>
      </x:c>
      <x:c r="AF335" s="5" t="str">
        <x:f>"생활권|"&amp;K335</x:f>
        <x:v>생활권|육상</x:v>
      </x:c>
      <x:c r="AG335" s="5" t="str">
        <x:f>"지형|"&amp;L335</x:f>
        <x:v>지형|건조</x:v>
      </x:c>
      <x:c r="AH335" s="5" t="str">
        <x:f>"온도|"&amp;M335</x:f>
        <x:v>온도|고온</x:v>
      </x:c>
      <x:c r="AI335" s="5" t="str">
        <x:f>"습도|"&amp;N335</x:f>
        <x:v>습도|건조</x:v>
      </x:c>
      <x:c r="AJ335" s="5" t="str">
        <x:f>"날씨|"&amp;O335</x:f>
        <x:v>날씨|맑음</x:v>
      </x:c>
      <x:c r="AK335" s="5" t="str">
        <x:f>"특수태그|"&amp;R335</x:f>
        <x:v>특수태그|없음</x:v>
      </x:c>
      <x:c r="AL335" s="5" t="str">
        <x:f>"원본서식지|"&amp;S335</x:f>
        <x:v>원본서식지|건조지</x:v>
      </x:c>
      <x:c r="AM335" s="5" t="str">
        <x:f>"타입|"&amp;F335</x:f>
        <x:v>타입|풀</x:v>
      </x:c>
      <x:c r="AN335" s="5" t="str">
        <x:f>"타입|"&amp;G335</x:f>
        <x:v>타입|</x:v>
      </x:c>
    </x:row>
    <x:row r="336" ht="24" customHeight="1">
      <x:c r="A336" s="5" t="n">
        <x:v>332</x:v>
      </x:c>
      <x:c r="B336" s="5" t="inlineStr">
        <x:is>
          <x:t xml:space="preserve">밤선인</x:t>
        </x:is>
      </x:c>
      <x:c r="C336" s="5" t="inlineStr">
        <x:is>
          <x:t xml:space="preserve">cacturne</x:t>
        </x:is>
      </x:c>
      <x:c r="D336" s="5" t="inlineStr">
        <x:is>
          <x:t xml:space="preserve">Cacturne</x:t>
        </x:is>
      </x:c>
      <x:c r="E336" s="5" t="n">
        <x:v>3</x:v>
      </x:c>
      <x:c r="F336" s="5" t="inlineStr">
        <x:is>
          <x:t xml:space="preserve">풀</x:t>
        </x:is>
      </x:c>
      <x:c r="G336" s="5" t="inlineStr">
        <x:is>
          <x:t xml:space="preserve">악</x:t>
        </x:is>
      </x:c>
      <x:c r="H336" s="6" t="n">
        <x:v>77.40000000000001</x:v>
      </x:c>
      <x:c r="I336" s="5" t="n">
        <x:v>32</x:v>
      </x:c>
      <x:c r="J336" s="5" t="inlineStr">
        <x:is>
          <x:t xml:space="preserve">최종</x:t>
        </x:is>
      </x:c>
      <x:c r="K336" s="7" t="inlineStr">
        <x:is>
          <x:t xml:space="preserve">육상</x:t>
        </x:is>
      </x:c>
      <x:c r="L336" s="7" t="inlineStr">
        <x:is>
          <x:t xml:space="preserve">건조</x:t>
        </x:is>
      </x:c>
      <x:c r="M336" s="7" t="inlineStr">
        <x:is>
          <x:t xml:space="preserve">고온</x:t>
        </x:is>
      </x:c>
      <x:c r="N336" s="7" t="inlineStr">
        <x:is>
          <x:t xml:space="preserve">건조</x:t>
        </x:is>
      </x:c>
      <x:c r="O336" s="7" t="inlineStr">
        <x:is>
          <x:t xml:space="preserve">맑음</x:t>
        </x:is>
      </x:c>
      <x:c r="P336" s="7" t="inlineStr">
        <x:is>
          <x:t xml:space="preserve">밤</x:t>
        </x:is>
      </x:c>
      <x:c r="Q336" s="7" t="inlineStr">
        <x:is>
          <x:t xml:space="preserve">흔함</x:t>
        </x:is>
      </x:c>
      <x:c r="R336" s="7" t="inlineStr">
        <x:is>
          <x:t xml:space="preserve">없음</x:t>
        </x:is>
      </x:c>
      <x:c r="S336" s="7" t="inlineStr">
        <x:is>
          <x:t xml:space="preserve">건조지</x:t>
        </x:is>
      </x:c>
      <x:c r="T336" s="7" t="inlineStr">
        <x:is>
          <x:t xml:space="preserve"/>
        </x:is>
      </x:c>
      <x:c r="U336" s="8" t="str">
        <x:f>INDEX('서식지_점수'!$E$4:$P$4,1,MATCH(MAX('서식지_점수'!E336:P336),'서식지_점수'!E336:P336,0))</x:f>
        <x:v>평원</x:v>
      </x:c>
      <x:c r="V336" s="8" t="str">
        <x:f>IF(T336&lt;&gt;"",T336,U336)</x:f>
        <x:v>평원</x:v>
      </x:c>
      <x:c r="W336" s="8" t="str">
        <x:f>IFERROR(INDEX('서식지_점수'!$E$4:$P$4,1,MATCH(MAXIFS('서식지_점수'!E336:P336,'서식지_점수'!E336:P336,"&lt;"&amp;MAX('서식지_점수'!E336:P336)),'서식지_점수'!E336:P336,0)),"")</x:f>
        <x:v>숲</x:v>
      </x:c>
      <x:c r="X336" s="8" t="str">
        <x:f>IF(T336&lt;&gt;"","수동확정",IF(MAX('서식지_점수'!E336:P336)-LARGE('서식지_점수'!E336:P336,2)&gt;=15,"높음",IF(MAX('서식지_점수'!E336:P336)-LARGE('서식지_점수'!E336:P336,2)&gt;=8,"보통","검토필요")))</x:f>
        <x:v>검토필요</x:v>
      </x:c>
      <x:c r="Y336" s="9" t="n">
        <x:f>IF(Q336="전설",8,IF(Q336="희귀",7,IF(J336="기본",1,IF(J336="중간",3,IF(J336="최종",IF(I336="",5,IF(I336&lt;=20,3,IF(I336&lt;=35,4,IF(I336&lt;=50,6,7)))),IF(Q336="드묾",4,2))))))</x:f>
        <x:v>4</x:v>
      </x:c>
      <x:c r="Z336" s="5" t="inlineStr">
        <x:is>
          <x:t xml:space="preserve">#cobblemon:is_badlands; #cobblemon:is_desert</x:t>
        </x:is>
      </x:c>
      <x:c r="AA336" s="5" t="inlineStr">
        <x:is>
          <x:t xml:space="preserve">common</x:t>
        </x:is>
      </x:c>
      <x:c r="AB336" s="5" t="inlineStr">
        <x:is>
          <x:t xml:space="preserve">예</x:t>
        </x:is>
      </x:c>
      <x:c r="AC336" s="8" t="str">
        <x:f>IF(T336&lt;&gt;"","수동확정",IF(X336="검토필요","검토필요",IF(S336="","원본없음","초기완료")))</x:f>
        <x:v>검토필요</x:v>
      </x:c>
      <x:c r="AD336" s="7" t="inlineStr">
        <x:is>
          <x:t xml:space="preserve"/>
        </x:is>
      </x:c>
      <x:c r="AE336" s="5" t="inlineStr">
        <x:is>
          <x:t xml:space="preserve">.tmp/cobblemon-1.7.3-source/common/src/main/resources/data/cobblemon/species/generation3/cacturne.json</x:t>
        </x:is>
      </x:c>
      <x:c r="AF336" s="5" t="str">
        <x:f>"생활권|"&amp;K336</x:f>
        <x:v>생활권|육상</x:v>
      </x:c>
      <x:c r="AG336" s="5" t="str">
        <x:f>"지형|"&amp;L336</x:f>
        <x:v>지형|건조</x:v>
      </x:c>
      <x:c r="AH336" s="5" t="str">
        <x:f>"온도|"&amp;M336</x:f>
        <x:v>온도|고온</x:v>
      </x:c>
      <x:c r="AI336" s="5" t="str">
        <x:f>"습도|"&amp;N336</x:f>
        <x:v>습도|건조</x:v>
      </x:c>
      <x:c r="AJ336" s="5" t="str">
        <x:f>"날씨|"&amp;O336</x:f>
        <x:v>날씨|맑음</x:v>
      </x:c>
      <x:c r="AK336" s="5" t="str">
        <x:f>"특수태그|"&amp;R336</x:f>
        <x:v>특수태그|없음</x:v>
      </x:c>
      <x:c r="AL336" s="5" t="str">
        <x:f>"원본서식지|"&amp;S336</x:f>
        <x:v>원본서식지|건조지</x:v>
      </x:c>
      <x:c r="AM336" s="5" t="str">
        <x:f>"타입|"&amp;F336</x:f>
        <x:v>타입|풀</x:v>
      </x:c>
      <x:c r="AN336" s="5" t="str">
        <x:f>"타입|"&amp;G336</x:f>
        <x:v>타입|악</x:v>
      </x:c>
    </x:row>
    <x:row r="337" ht="24" customHeight="1">
      <x:c r="A337" s="5" t="n">
        <x:v>333</x:v>
      </x:c>
      <x:c r="B337" s="5" t="inlineStr">
        <x:is>
          <x:t xml:space="preserve">파비코</x:t>
        </x:is>
      </x:c>
      <x:c r="C337" s="5" t="inlineStr">
        <x:is>
          <x:t xml:space="preserve">swablu</x:t>
        </x:is>
      </x:c>
      <x:c r="D337" s="5" t="inlineStr">
        <x:is>
          <x:t xml:space="preserve">Swablu</x:t>
        </x:is>
      </x:c>
      <x:c r="E337" s="5" t="n">
        <x:v>3</x:v>
      </x:c>
      <x:c r="F337" s="5" t="inlineStr">
        <x:is>
          <x:t xml:space="preserve">노말</x:t>
        </x:is>
      </x:c>
      <x:c r="G337" s="5" t="inlineStr">
        <x:is>
          <x:t xml:space="preserve">비행</x:t>
        </x:is>
      </x:c>
      <x:c r="H337" s="6" t="n">
        <x:v>1.2</x:v>
      </x:c>
      <x:c r="I337" s="5" t="n">
        <x:v>35</x:v>
      </x:c>
      <x:c r="J337" s="5" t="inlineStr">
        <x:is>
          <x:t xml:space="preserve">기본</x:t>
        </x:is>
      </x:c>
      <x:c r="K337" s="7" t="inlineStr">
        <x:is>
          <x:t xml:space="preserve">비행</x:t>
        </x:is>
      </x:c>
      <x:c r="L337" s="7" t="inlineStr">
        <x:is>
          <x:t xml:space="preserve">암석</x:t>
        </x:is>
      </x:c>
      <x:c r="M337" s="7" t="inlineStr">
        <x:is>
          <x:t xml:space="preserve">온대</x:t>
        </x:is>
      </x:c>
      <x:c r="N337" s="7" t="inlineStr">
        <x:is>
          <x:t xml:space="preserve">보통</x:t>
        </x:is>
      </x:c>
      <x:c r="O337" s="7" t="inlineStr">
        <x:is>
          <x:t xml:space="preserve">무관</x:t>
        </x:is>
      </x:c>
      <x:c r="P337" s="7" t="inlineStr">
        <x:is>
          <x:t xml:space="preserve">무관</x:t>
        </x:is>
      </x:c>
      <x:c r="Q337" s="7" t="inlineStr">
        <x:is>
          <x:t xml:space="preserve">보통</x:t>
        </x:is>
      </x:c>
      <x:c r="R337" s="7" t="inlineStr">
        <x:is>
          <x:t xml:space="preserve">없음</x:t>
        </x:is>
      </x:c>
      <x:c r="S337" s="7" t="inlineStr">
        <x:is>
          <x:t xml:space="preserve">산악</x:t>
        </x:is>
      </x:c>
      <x:c r="T337" s="7" t="inlineStr">
        <x:is>
          <x:t xml:space="preserve"/>
        </x:is>
      </x:c>
      <x:c r="U337" s="8" t="str">
        <x:f>INDEX('서식지_점수'!$E$4:$P$4,1,MATCH(MAX('서식지_점수'!E337:P337),'서식지_점수'!E337:P337,0))</x:f>
        <x:v>산악</x:v>
      </x:c>
      <x:c r="V337" s="8" t="str">
        <x:f>IF(T337&lt;&gt;"",T337,U337)</x:f>
        <x:v>산악</x:v>
      </x:c>
      <x:c r="W337" s="8" t="str">
        <x:f>IFERROR(INDEX('서식지_점수'!$E$4:$P$4,1,MATCH(MAXIFS('서식지_점수'!E337:P337,'서식지_점수'!E337:P337,"&lt;"&amp;MAX('서식지_점수'!E337:P337)),'서식지_점수'!E337:P337,0)),"")</x:f>
        <x:v>평원</x:v>
      </x:c>
      <x:c r="X337" s="8" t="str">
        <x:f>IF(T337&lt;&gt;"","수동확정",IF(MAX('서식지_점수'!E337:P337)-LARGE('서식지_점수'!E337:P337,2)&gt;=15,"높음",IF(MAX('서식지_점수'!E337:P337)-LARGE('서식지_점수'!E337:P337,2)&gt;=8,"보통","검토필요")))</x:f>
        <x:v>검토필요</x:v>
      </x:c>
      <x:c r="Y337" s="9" t="n">
        <x:f>IF(Q337="전설",8,IF(Q337="희귀",7,IF(J337="기본",1,IF(J337="중간",3,IF(J337="최종",IF(I337="",5,IF(I337&lt;=20,3,IF(I337&lt;=35,4,IF(I337&lt;=50,6,7)))),IF(Q337="드묾",4,2))))))</x:f>
        <x:v>1</x:v>
      </x:c>
      <x:c r="Z337" s="5" t="inlineStr">
        <x:is>
          <x:t xml:space="preserve">#cobblemon:is_overworld; #cobblemon:is_peak; #cobblemon:is_sky; aether:skyroot_grove; aether:skyroot_meadow</x:t>
        </x:is>
      </x:c>
      <x:c r="AA337" s="5" t="inlineStr">
        <x:is>
          <x:t xml:space="preserve">common; uncommon</x:t>
        </x:is>
      </x:c>
      <x:c r="AB337" s="5" t="inlineStr">
        <x:is>
          <x:t xml:space="preserve">예</x:t>
        </x:is>
      </x:c>
      <x:c r="AC337" s="8" t="str">
        <x:f>IF(T337&lt;&gt;"","수동확정",IF(X337="검토필요","검토필요",IF(S337="","원본없음","초기완료")))</x:f>
        <x:v>검토필요</x:v>
      </x:c>
      <x:c r="AD337" s="7" t="inlineStr">
        <x:is>
          <x:t xml:space="preserve"/>
        </x:is>
      </x:c>
      <x:c r="AE337" s="5" t="inlineStr">
        <x:is>
          <x:t xml:space="preserve">.tmp/cobblemon-1.7.3-source/common/src/main/resources/data/cobblemon/species/generation3/swablu.json</x:t>
        </x:is>
      </x:c>
      <x:c r="AF337" s="5" t="str">
        <x:f>"생활권|"&amp;K337</x:f>
        <x:v>생활권|비행</x:v>
      </x:c>
      <x:c r="AG337" s="5" t="str">
        <x:f>"지형|"&amp;L337</x:f>
        <x:v>지형|암석</x:v>
      </x:c>
      <x:c r="AH337" s="5" t="str">
        <x:f>"온도|"&amp;M337</x:f>
        <x:v>온도|온대</x:v>
      </x:c>
      <x:c r="AI337" s="5" t="str">
        <x:f>"습도|"&amp;N337</x:f>
        <x:v>습도|보통</x:v>
      </x:c>
      <x:c r="AJ337" s="5" t="str">
        <x:f>"날씨|"&amp;O337</x:f>
        <x:v>날씨|무관</x:v>
      </x:c>
      <x:c r="AK337" s="5" t="str">
        <x:f>"특수태그|"&amp;R337</x:f>
        <x:v>특수태그|없음</x:v>
      </x:c>
      <x:c r="AL337" s="5" t="str">
        <x:f>"원본서식지|"&amp;S337</x:f>
        <x:v>원본서식지|산악</x:v>
      </x:c>
      <x:c r="AM337" s="5" t="str">
        <x:f>"타입|"&amp;F337</x:f>
        <x:v>타입|노말</x:v>
      </x:c>
      <x:c r="AN337" s="5" t="str">
        <x:f>"타입|"&amp;G337</x:f>
        <x:v>타입|비행</x:v>
      </x:c>
    </x:row>
    <x:row r="338" ht="24" customHeight="1">
      <x:c r="A338" s="5" t="n">
        <x:v>334</x:v>
      </x:c>
      <x:c r="B338" s="5" t="inlineStr">
        <x:is>
          <x:t xml:space="preserve">파비코리</x:t>
        </x:is>
      </x:c>
      <x:c r="C338" s="5" t="inlineStr">
        <x:is>
          <x:t xml:space="preserve">altaria</x:t>
        </x:is>
      </x:c>
      <x:c r="D338" s="5" t="inlineStr">
        <x:is>
          <x:t xml:space="preserve">Altaria</x:t>
        </x:is>
      </x:c>
      <x:c r="E338" s="5" t="n">
        <x:v>3</x:v>
      </x:c>
      <x:c r="F338" s="5" t="inlineStr">
        <x:is>
          <x:t xml:space="preserve">드래곤</x:t>
        </x:is>
      </x:c>
      <x:c r="G338" s="5" t="inlineStr">
        <x:is>
          <x:t xml:space="preserve">비행</x:t>
        </x:is>
      </x:c>
      <x:c r="H338" s="6" t="n">
        <x:v>20.6</x:v>
      </x:c>
      <x:c r="I338" s="5" t="n">
        <x:v>35</x:v>
      </x:c>
      <x:c r="J338" s="5" t="inlineStr">
        <x:is>
          <x:t xml:space="preserve">최종</x:t>
        </x:is>
      </x:c>
      <x:c r="K338" s="7" t="inlineStr">
        <x:is>
          <x:t xml:space="preserve">비행</x:t>
        </x:is>
      </x:c>
      <x:c r="L338" s="7" t="inlineStr">
        <x:is>
          <x:t xml:space="preserve">암석</x:t>
        </x:is>
      </x:c>
      <x:c r="M338" s="7" t="inlineStr">
        <x:is>
          <x:t xml:space="preserve">온대</x:t>
        </x:is>
      </x:c>
      <x:c r="N338" s="7" t="inlineStr">
        <x:is>
          <x:t xml:space="preserve">보통</x:t>
        </x:is>
      </x:c>
      <x:c r="O338" s="7" t="inlineStr">
        <x:is>
          <x:t xml:space="preserve">무관</x:t>
        </x:is>
      </x:c>
      <x:c r="P338" s="7" t="inlineStr">
        <x:is>
          <x:t xml:space="preserve">무관</x:t>
        </x:is>
      </x:c>
      <x:c r="Q338" s="7" t="inlineStr">
        <x:is>
          <x:t xml:space="preserve">보통</x:t>
        </x:is>
      </x:c>
      <x:c r="R338" s="7" t="inlineStr">
        <x:is>
          <x:t xml:space="preserve">없음</x:t>
        </x:is>
      </x:c>
      <x:c r="S338" s="7" t="inlineStr">
        <x:is>
          <x:t xml:space="preserve">산악</x:t>
        </x:is>
      </x:c>
      <x:c r="T338" s="7" t="inlineStr">
        <x:is>
          <x:t xml:space="preserve"/>
        </x:is>
      </x:c>
      <x:c r="U338" s="8" t="str">
        <x:f>INDEX('서식지_점수'!$E$4:$P$4,1,MATCH(MAX('서식지_점수'!E338:P338),'서식지_점수'!E338:P338,0))</x:f>
        <x:v>산악</x:v>
      </x:c>
      <x:c r="V338" s="8" t="str">
        <x:f>IF(T338&lt;&gt;"",T338,U338)</x:f>
        <x:v>산악</x:v>
      </x:c>
      <x:c r="W338" s="8" t="str">
        <x:f>IFERROR(INDEX('서식지_점수'!$E$4:$P$4,1,MATCH(MAXIFS('서식지_점수'!E338:P338,'서식지_점수'!E338:P338,"&lt;"&amp;MAX('서식지_점수'!E338:P338)),'서식지_점수'!E338:P338,0)),"")</x:f>
        <x:v>평원</x:v>
      </x:c>
      <x:c r="X338" s="8" t="str">
        <x:f>IF(T338&lt;&gt;"","수동확정",IF(MAX('서식지_점수'!E338:P338)-LARGE('서식지_점수'!E338:P338,2)&gt;=15,"높음",IF(MAX('서식지_점수'!E338:P338)-LARGE('서식지_점수'!E338:P338,2)&gt;=8,"보통","검토필요")))</x:f>
        <x:v>검토필요</x:v>
      </x:c>
      <x:c r="Y338" s="9" t="n">
        <x:f>IF(Q338="전설",8,IF(Q338="희귀",7,IF(J338="기본",1,IF(J338="중간",3,IF(J338="최종",IF(I338="",5,IF(I338&lt;=20,3,IF(I338&lt;=35,4,IF(I338&lt;=50,6,7)))),IF(Q338="드묾",4,2))))))</x:f>
        <x:v>4</x:v>
      </x:c>
      <x:c r="Z338" s="5" t="inlineStr">
        <x:is>
          <x:t xml:space="preserve">#cobblemon:is_overworld; #cobblemon:is_peak; #cobblemon:is_sky; aether:skyroot_grove; aether:skyroot_meadow</x:t>
        </x:is>
      </x:c>
      <x:c r="AA338" s="5" t="inlineStr">
        <x:is>
          <x:t xml:space="preserve">common; uncommon</x:t>
        </x:is>
      </x:c>
      <x:c r="AB338" s="5" t="inlineStr">
        <x:is>
          <x:t xml:space="preserve">예</x:t>
        </x:is>
      </x:c>
      <x:c r="AC338" s="8" t="str">
        <x:f>IF(T338&lt;&gt;"","수동확정",IF(X338="검토필요","검토필요",IF(S338="","원본없음","초기완료")))</x:f>
        <x:v>검토필요</x:v>
      </x:c>
      <x:c r="AD338" s="7" t="inlineStr">
        <x:is>
          <x:t xml:space="preserve"/>
        </x:is>
      </x:c>
      <x:c r="AE338" s="5" t="inlineStr">
        <x:is>
          <x:t xml:space="preserve">.tmp/cobblemon-1.7.3-source/common/src/main/resources/data/cobblemon/species/generation3/altaria.json</x:t>
        </x:is>
      </x:c>
      <x:c r="AF338" s="5" t="str">
        <x:f>"생활권|"&amp;K338</x:f>
        <x:v>생활권|비행</x:v>
      </x:c>
      <x:c r="AG338" s="5" t="str">
        <x:f>"지형|"&amp;L338</x:f>
        <x:v>지형|암석</x:v>
      </x:c>
      <x:c r="AH338" s="5" t="str">
        <x:f>"온도|"&amp;M338</x:f>
        <x:v>온도|온대</x:v>
      </x:c>
      <x:c r="AI338" s="5" t="str">
        <x:f>"습도|"&amp;N338</x:f>
        <x:v>습도|보통</x:v>
      </x:c>
      <x:c r="AJ338" s="5" t="str">
        <x:f>"날씨|"&amp;O338</x:f>
        <x:v>날씨|무관</x:v>
      </x:c>
      <x:c r="AK338" s="5" t="str">
        <x:f>"특수태그|"&amp;R338</x:f>
        <x:v>특수태그|없음</x:v>
      </x:c>
      <x:c r="AL338" s="5" t="str">
        <x:f>"원본서식지|"&amp;S338</x:f>
        <x:v>원본서식지|산악</x:v>
      </x:c>
      <x:c r="AM338" s="5" t="str">
        <x:f>"타입|"&amp;F338</x:f>
        <x:v>타입|드래곤</x:v>
      </x:c>
      <x:c r="AN338" s="5" t="str">
        <x:f>"타입|"&amp;G338</x:f>
        <x:v>타입|비행</x:v>
      </x:c>
    </x:row>
    <x:row r="339" ht="24" customHeight="1">
      <x:c r="A339" s="5" t="n">
        <x:v>335</x:v>
      </x:c>
      <x:c r="B339" s="5" t="inlineStr">
        <x:is>
          <x:t xml:space="preserve">쟝고</x:t>
        </x:is>
      </x:c>
      <x:c r="C339" s="5" t="inlineStr">
        <x:is>
          <x:t xml:space="preserve">zangoose</x:t>
        </x:is>
      </x:c>
      <x:c r="D339" s="5" t="inlineStr">
        <x:is>
          <x:t xml:space="preserve">Zangoose</x:t>
        </x:is>
      </x:c>
      <x:c r="E339" s="5" t="n">
        <x:v>3</x:v>
      </x:c>
      <x:c r="F339" s="5" t="inlineStr">
        <x:is>
          <x:t xml:space="preserve">노말</x:t>
        </x:is>
      </x:c>
      <x:c r="G339" s="5" t="inlineStr">
        <x:is>
          <x:t xml:space="preserve"/>
        </x:is>
      </x:c>
      <x:c r="H339" s="6" t="n">
        <x:v>40.3</x:v>
      </x:c>
      <x:c r="I339" s="5" t="n"/>
      <x:c r="J339" s="5" t="inlineStr">
        <x:is>
          <x:t xml:space="preserve">무진화</x:t>
        </x:is>
      </x:c>
      <x:c r="K339" s="7" t="inlineStr">
        <x:is>
          <x:t xml:space="preserve">육상</x:t>
        </x:is>
      </x:c>
      <x:c r="L339" s="7" t="inlineStr">
        <x:is>
          <x:t xml:space="preserve">개활지</x:t>
        </x:is>
      </x:c>
      <x:c r="M339" s="7" t="inlineStr">
        <x:is>
          <x:t xml:space="preserve">온대</x:t>
        </x:is>
      </x:c>
      <x:c r="N339" s="7" t="inlineStr">
        <x:is>
          <x:t xml:space="preserve">보통</x:t>
        </x:is>
      </x:c>
      <x:c r="O339" s="7" t="inlineStr">
        <x:is>
          <x:t xml:space="preserve">무관</x:t>
        </x:is>
      </x:c>
      <x:c r="P339" s="7" t="inlineStr">
        <x:is>
          <x:t xml:space="preserve">무관</x:t>
        </x:is>
      </x:c>
      <x:c r="Q339" s="7" t="inlineStr">
        <x:is>
          <x:t xml:space="preserve">보통</x:t>
        </x:is>
      </x:c>
      <x:c r="R339" s="7" t="inlineStr">
        <x:is>
          <x:t xml:space="preserve">없음</x:t>
        </x:is>
      </x:c>
      <x:c r="S339" s="7" t="inlineStr">
        <x:is>
          <x:t xml:space="preserve">평원</x:t>
        </x:is>
      </x:c>
      <x:c r="T339" s="7" t="inlineStr">
        <x:is>
          <x:t xml:space="preserve"/>
        </x:is>
      </x:c>
      <x:c r="U339" s="8" t="str">
        <x:f>INDEX('서식지_점수'!$E$4:$P$4,1,MATCH(MAX('서식지_점수'!E339:P339),'서식지_점수'!E339:P339,0))</x:f>
        <x:v>평원</x:v>
      </x:c>
      <x:c r="V339" s="8" t="str">
        <x:f>IF(T339&lt;&gt;"",T339,U339)</x:f>
        <x:v>평원</x:v>
      </x:c>
      <x:c r="W339" s="8" t="str">
        <x:f>IFERROR(INDEX('서식지_점수'!$E$4:$P$4,1,MATCH(MAXIFS('서식지_점수'!E339:P339,'서식지_점수'!E339:P339,"&lt;"&amp;MAX('서식지_점수'!E339:P339)),'서식지_점수'!E339:P339,0)),"")</x:f>
        <x:v>숲</x:v>
      </x:c>
      <x:c r="X339" s="8" t="str">
        <x:f>IF(T339&lt;&gt;"","수동확정",IF(MAX('서식지_점수'!E339:P339)-LARGE('서식지_점수'!E339:P339,2)&gt;=15,"높음",IF(MAX('서식지_점수'!E339:P339)-LARGE('서식지_점수'!E339:P339,2)&gt;=8,"보통","검토필요")))</x:f>
        <x:v>검토필요</x:v>
      </x:c>
      <x:c r="Y339" s="9" t="n">
        <x:f>IF(Q339="전설",8,IF(Q339="희귀",7,IF(J339="기본",1,IF(J339="중간",3,IF(J339="최종",IF(I339="",5,IF(I339&lt;=20,3,IF(I339&lt;=35,4,IF(I339&lt;=50,6,7)))),IF(Q339="드묾",4,2))))))</x:f>
        <x:v>2</x:v>
      </x:c>
      <x:c r="Z339" s="5" t="inlineStr">
        <x:is>
          <x:t xml:space="preserve">#cobblemon:is_plains</x:t>
        </x:is>
      </x:c>
      <x:c r="AA339" s="5" t="inlineStr">
        <x:is>
          <x:t xml:space="preserve">uncommon</x:t>
        </x:is>
      </x:c>
      <x:c r="AB339" s="5" t="inlineStr">
        <x:is>
          <x:t xml:space="preserve">아니오</x:t>
        </x:is>
      </x:c>
      <x:c r="AC339" s="8" t="str">
        <x:f>IF(T339&lt;&gt;"","수동확정",IF(X339="검토필요","검토필요",IF(S339="","원본없음","초기완료")))</x:f>
        <x:v>검토필요</x:v>
      </x:c>
      <x:c r="AD339" s="7" t="inlineStr">
        <x:is>
          <x:t xml:space="preserve"/>
        </x:is>
      </x:c>
      <x:c r="AE339" s="5" t="inlineStr">
        <x:is>
          <x:t xml:space="preserve">.tmp/cobblemon-1.7.3-source/common/src/main/resources/data/cobblemon/species/generation3/zangoose.json</x:t>
        </x:is>
      </x:c>
      <x:c r="AF339" s="5" t="str">
        <x:f>"생활권|"&amp;K339</x:f>
        <x:v>생활권|육상</x:v>
      </x:c>
      <x:c r="AG339" s="5" t="str">
        <x:f>"지형|"&amp;L339</x:f>
        <x:v>지형|개활지</x:v>
      </x:c>
      <x:c r="AH339" s="5" t="str">
        <x:f>"온도|"&amp;M339</x:f>
        <x:v>온도|온대</x:v>
      </x:c>
      <x:c r="AI339" s="5" t="str">
        <x:f>"습도|"&amp;N339</x:f>
        <x:v>습도|보통</x:v>
      </x:c>
      <x:c r="AJ339" s="5" t="str">
        <x:f>"날씨|"&amp;O339</x:f>
        <x:v>날씨|무관</x:v>
      </x:c>
      <x:c r="AK339" s="5" t="str">
        <x:f>"특수태그|"&amp;R339</x:f>
        <x:v>특수태그|없음</x:v>
      </x:c>
      <x:c r="AL339" s="5" t="str">
        <x:f>"원본서식지|"&amp;S339</x:f>
        <x:v>원본서식지|평원</x:v>
      </x:c>
      <x:c r="AM339" s="5" t="str">
        <x:f>"타입|"&amp;F339</x:f>
        <x:v>타입|노말</x:v>
      </x:c>
      <x:c r="AN339" s="5" t="str">
        <x:f>"타입|"&amp;G339</x:f>
        <x:v>타입|</x:v>
      </x:c>
    </x:row>
    <x:row r="340" ht="24" customHeight="1">
      <x:c r="A340" s="5" t="n">
        <x:v>336</x:v>
      </x:c>
      <x:c r="B340" s="5" t="inlineStr">
        <x:is>
          <x:t xml:space="preserve">세비퍼</x:t>
        </x:is>
      </x:c>
      <x:c r="C340" s="5" t="inlineStr">
        <x:is>
          <x:t xml:space="preserve">seviper</x:t>
        </x:is>
      </x:c>
      <x:c r="D340" s="5" t="inlineStr">
        <x:is>
          <x:t xml:space="preserve">Seviper</x:t>
        </x:is>
      </x:c>
      <x:c r="E340" s="5" t="n">
        <x:v>3</x:v>
      </x:c>
      <x:c r="F340" s="5" t="inlineStr">
        <x:is>
          <x:t xml:space="preserve">독</x:t>
        </x:is>
      </x:c>
      <x:c r="G340" s="5" t="inlineStr">
        <x:is>
          <x:t xml:space="preserve"/>
        </x:is>
      </x:c>
      <x:c r="H340" s="6" t="n">
        <x:v>52.5</x:v>
      </x:c>
      <x:c r="I340" s="5" t="n"/>
      <x:c r="J340" s="5" t="inlineStr">
        <x:is>
          <x:t xml:space="preserve">무진화</x:t>
        </x:is>
      </x:c>
      <x:c r="K340" s="7" t="inlineStr">
        <x:is>
          <x:t xml:space="preserve">육상</x:t>
        </x:is>
      </x:c>
      <x:c r="L340" s="7" t="inlineStr">
        <x:is>
          <x:t xml:space="preserve">건조</x:t>
        </x:is>
      </x:c>
      <x:c r="M340" s="7" t="inlineStr">
        <x:is>
          <x:t xml:space="preserve">고온</x:t>
        </x:is>
      </x:c>
      <x:c r="N340" s="7" t="inlineStr">
        <x:is>
          <x:t xml:space="preserve">건조</x:t>
        </x:is>
      </x:c>
      <x:c r="O340" s="7" t="inlineStr">
        <x:is>
          <x:t xml:space="preserve">맑음</x:t>
        </x:is>
      </x:c>
      <x:c r="P340" s="7" t="inlineStr">
        <x:is>
          <x:t xml:space="preserve">무관</x:t>
        </x:is>
      </x:c>
      <x:c r="Q340" s="7" t="inlineStr">
        <x:is>
          <x:t xml:space="preserve">보통</x:t>
        </x:is>
      </x:c>
      <x:c r="R340" s="7" t="inlineStr">
        <x:is>
          <x:t xml:space="preserve">없음</x:t>
        </x:is>
      </x:c>
      <x:c r="S340" s="7" t="inlineStr">
        <x:is>
          <x:t xml:space="preserve">건조지</x:t>
        </x:is>
      </x:c>
      <x:c r="T340" s="7" t="inlineStr">
        <x:is>
          <x:t xml:space="preserve"/>
        </x:is>
      </x:c>
      <x:c r="U340" s="8" t="str">
        <x:f>INDEX('서식지_점수'!$E$4:$P$4,1,MATCH(MAX('서식지_점수'!E340:P340),'서식지_점수'!E340:P340,0))</x:f>
        <x:v>평원</x:v>
      </x:c>
      <x:c r="V340" s="8" t="str">
        <x:f>IF(T340&lt;&gt;"",T340,U340)</x:f>
        <x:v>평원</x:v>
      </x:c>
      <x:c r="W340" s="8" t="str">
        <x:f>IFERROR(INDEX('서식지_점수'!$E$4:$P$4,1,MATCH(MAXIFS('서식지_점수'!E340:P340,'서식지_점수'!E340:P340,"&lt;"&amp;MAX('서식지_점수'!E340:P340)),'서식지_점수'!E340:P340,0)),"")</x:f>
        <x:v>숲</x:v>
      </x:c>
      <x:c r="X340" s="8" t="str">
        <x:f>IF(T340&lt;&gt;"","수동확정",IF(MAX('서식지_점수'!E340:P340)-LARGE('서식지_점수'!E340:P340,2)&gt;=15,"높음",IF(MAX('서식지_점수'!E340:P340)-LARGE('서식지_점수'!E340:P340,2)&gt;=8,"보통","검토필요")))</x:f>
        <x:v>검토필요</x:v>
      </x:c>
      <x:c r="Y340" s="9" t="n">
        <x:f>IF(Q340="전설",8,IF(Q340="희귀",7,IF(J340="기본",1,IF(J340="중간",3,IF(J340="최종",IF(I340="",5,IF(I340&lt;=20,3,IF(I340&lt;=35,4,IF(I340&lt;=50,6,7)))),IF(Q340="드묾",4,2))))))</x:f>
        <x:v>2</x:v>
      </x:c>
      <x:c r="Z340" s="5" t="inlineStr">
        <x:is>
          <x:t xml:space="preserve">#cobblemon:is_desert</x:t>
        </x:is>
      </x:c>
      <x:c r="AA340" s="5" t="inlineStr">
        <x:is>
          <x:t xml:space="preserve">uncommon</x:t>
        </x:is>
      </x:c>
      <x:c r="AB340" s="5" t="inlineStr">
        <x:is>
          <x:t xml:space="preserve">아니오</x:t>
        </x:is>
      </x:c>
      <x:c r="AC340" s="8" t="str">
        <x:f>IF(T340&lt;&gt;"","수동확정",IF(X340="검토필요","검토필요",IF(S340="","원본없음","초기완료")))</x:f>
        <x:v>검토필요</x:v>
      </x:c>
      <x:c r="AD340" s="7" t="inlineStr">
        <x:is>
          <x:t xml:space="preserve"/>
        </x:is>
      </x:c>
      <x:c r="AE340" s="5" t="inlineStr">
        <x:is>
          <x:t xml:space="preserve">.tmp/cobblemon-1.7.3-source/common/src/main/resources/data/cobblemon/species/generation3/seviper.json</x:t>
        </x:is>
      </x:c>
      <x:c r="AF340" s="5" t="str">
        <x:f>"생활권|"&amp;K340</x:f>
        <x:v>생활권|육상</x:v>
      </x:c>
      <x:c r="AG340" s="5" t="str">
        <x:f>"지형|"&amp;L340</x:f>
        <x:v>지형|건조</x:v>
      </x:c>
      <x:c r="AH340" s="5" t="str">
        <x:f>"온도|"&amp;M340</x:f>
        <x:v>온도|고온</x:v>
      </x:c>
      <x:c r="AI340" s="5" t="str">
        <x:f>"습도|"&amp;N340</x:f>
        <x:v>습도|건조</x:v>
      </x:c>
      <x:c r="AJ340" s="5" t="str">
        <x:f>"날씨|"&amp;O340</x:f>
        <x:v>날씨|맑음</x:v>
      </x:c>
      <x:c r="AK340" s="5" t="str">
        <x:f>"특수태그|"&amp;R340</x:f>
        <x:v>특수태그|없음</x:v>
      </x:c>
      <x:c r="AL340" s="5" t="str">
        <x:f>"원본서식지|"&amp;S340</x:f>
        <x:v>원본서식지|건조지</x:v>
      </x:c>
      <x:c r="AM340" s="5" t="str">
        <x:f>"타입|"&amp;F340</x:f>
        <x:v>타입|독</x:v>
      </x:c>
      <x:c r="AN340" s="5" t="str">
        <x:f>"타입|"&amp;G340</x:f>
        <x:v>타입|</x:v>
      </x:c>
    </x:row>
    <x:row r="341" ht="24" customHeight="1">
      <x:c r="A341" s="5" t="n">
        <x:v>337</x:v>
      </x:c>
      <x:c r="B341" s="5" t="inlineStr">
        <x:is>
          <x:t xml:space="preserve">루나톤</x:t>
        </x:is>
      </x:c>
      <x:c r="C341" s="5" t="inlineStr">
        <x:is>
          <x:t xml:space="preserve">lunatone</x:t>
        </x:is>
      </x:c>
      <x:c r="D341" s="5" t="inlineStr">
        <x:is>
          <x:t xml:space="preserve">Lunatone</x:t>
        </x:is>
      </x:c>
      <x:c r="E341" s="5" t="n">
        <x:v>3</x:v>
      </x:c>
      <x:c r="F341" s="5" t="inlineStr">
        <x:is>
          <x:t xml:space="preserve">바위</x:t>
        </x:is>
      </x:c>
      <x:c r="G341" s="5" t="inlineStr">
        <x:is>
          <x:t xml:space="preserve">에스퍼</x:t>
        </x:is>
      </x:c>
      <x:c r="H341" s="6" t="n">
        <x:v>168</x:v>
      </x:c>
      <x:c r="I341" s="5" t="n"/>
      <x:c r="J341" s="5" t="inlineStr">
        <x:is>
          <x:t xml:space="preserve">무진화</x:t>
        </x:is>
      </x:c>
      <x:c r="K341" s="7" t="inlineStr">
        <x:is>
          <x:t xml:space="preserve">지하</x:t>
        </x:is>
      </x:c>
      <x:c r="L341" s="7" t="inlineStr">
        <x:is>
          <x:t xml:space="preserve">동굴</x:t>
        </x:is>
      </x:c>
      <x:c r="M341" s="7" t="inlineStr">
        <x:is>
          <x:t xml:space="preserve">온대</x:t>
        </x:is>
      </x:c>
      <x:c r="N341" s="7" t="inlineStr">
        <x:is>
          <x:t xml:space="preserve">보통</x:t>
        </x:is>
      </x:c>
      <x:c r="O341" s="7" t="inlineStr">
        <x:is>
          <x:t xml:space="preserve">무관</x:t>
        </x:is>
      </x:c>
      <x:c r="P341" s="7" t="inlineStr">
        <x:is>
          <x:t xml:space="preserve">밤</x:t>
        </x:is>
      </x:c>
      <x:c r="Q341" s="7" t="inlineStr">
        <x:is>
          <x:t xml:space="preserve">보통</x:t>
        </x:is>
      </x:c>
      <x:c r="R341" s="7" t="inlineStr">
        <x:is>
          <x:t xml:space="preserve">동굴</x:t>
        </x:is>
      </x:c>
      <x:c r="S341" s="7" t="inlineStr">
        <x:is>
          <x:t xml:space="preserve">동굴</x:t>
        </x:is>
      </x:c>
      <x:c r="T341" s="7" t="inlineStr">
        <x:is>
          <x:t xml:space="preserve"/>
        </x:is>
      </x:c>
      <x:c r="U341" s="8" t="str">
        <x:f>INDEX('서식지_점수'!$E$4:$P$4,1,MATCH(MAX('서식지_점수'!E341:P341),'서식지_점수'!E341:P341,0))</x:f>
        <x:v>동굴</x:v>
      </x:c>
      <x:c r="V341" s="8" t="str">
        <x:f>IF(T341&lt;&gt;"",T341,U341)</x:f>
        <x:v>동굴</x:v>
      </x:c>
      <x:c r="W341" s="8" t="str">
        <x:f>IFERROR(INDEX('서식지_점수'!$E$4:$P$4,1,MATCH(MAXIFS('서식지_점수'!E341:P341,'서식지_점수'!E341:P341,"&lt;"&amp;MAX('서식지_점수'!E341:P341)),'서식지_점수'!E341:P341,0)),"")</x:f>
        <x:v>산악</x:v>
      </x:c>
      <x:c r="X341" s="8" t="str">
        <x:f>IF(T341&lt;&gt;"","수동확정",IF(MAX('서식지_점수'!E341:P341)-LARGE('서식지_점수'!E341:P341,2)&gt;=15,"높음",IF(MAX('서식지_점수'!E341:P341)-LARGE('서식지_점수'!E341:P341,2)&gt;=8,"보통","검토필요")))</x:f>
        <x:v>높음</x:v>
      </x:c>
      <x:c r="Y341" s="9" t="n">
        <x:f>IF(Q341="전설",8,IF(Q341="희귀",7,IF(J341="기본",1,IF(J341="중간",3,IF(J341="최종",IF(I341="",5,IF(I341&lt;=20,3,IF(I341&lt;=35,4,IF(I341&lt;=50,6,7)))),IF(Q341="드묾",4,2))))))</x:f>
        <x:v>2</x:v>
      </x:c>
      <x:c r="Z341" s="5" t="inlineStr">
        <x:is>
          <x:t xml:space="preserve">#cobblemon:is_dripstone; #cobblemon:is_mountain; #cobblemon:is_overworld</x:t>
        </x:is>
      </x:c>
      <x:c r="AA341" s="5" t="inlineStr">
        <x:is>
          <x:t xml:space="preserve">common; uncommon</x:t>
        </x:is>
      </x:c>
      <x:c r="AB341" s="5" t="inlineStr">
        <x:is>
          <x:t xml:space="preserve">예</x:t>
        </x:is>
      </x:c>
      <x:c r="AC341" s="8" t="str">
        <x:f>IF(T341&lt;&gt;"","수동확정",IF(X341="검토필요","검토필요",IF(S341="","원본없음","초기완료")))</x:f>
        <x:v>초기완료</x:v>
      </x:c>
      <x:c r="AD341" s="7" t="inlineStr">
        <x:is>
          <x:t xml:space="preserve"/>
        </x:is>
      </x:c>
      <x:c r="AE341" s="5" t="inlineStr">
        <x:is>
          <x:t xml:space="preserve">.tmp/cobblemon-1.7.3-source/common/src/main/resources/data/cobblemon/species/generation3/lunatone.json</x:t>
        </x:is>
      </x:c>
      <x:c r="AF341" s="5" t="str">
        <x:f>"생활권|"&amp;K341</x:f>
        <x:v>생활권|지하</x:v>
      </x:c>
      <x:c r="AG341" s="5" t="str">
        <x:f>"지형|"&amp;L341</x:f>
        <x:v>지형|동굴</x:v>
      </x:c>
      <x:c r="AH341" s="5" t="str">
        <x:f>"온도|"&amp;M341</x:f>
        <x:v>온도|온대</x:v>
      </x:c>
      <x:c r="AI341" s="5" t="str">
        <x:f>"습도|"&amp;N341</x:f>
        <x:v>습도|보통</x:v>
      </x:c>
      <x:c r="AJ341" s="5" t="str">
        <x:f>"날씨|"&amp;O341</x:f>
        <x:v>날씨|무관</x:v>
      </x:c>
      <x:c r="AK341" s="5" t="str">
        <x:f>"특수태그|"&amp;R341</x:f>
        <x:v>특수태그|동굴</x:v>
      </x:c>
      <x:c r="AL341" s="5" t="str">
        <x:f>"원본서식지|"&amp;S341</x:f>
        <x:v>원본서식지|동굴</x:v>
      </x:c>
      <x:c r="AM341" s="5" t="str">
        <x:f>"타입|"&amp;F341</x:f>
        <x:v>타입|바위</x:v>
      </x:c>
      <x:c r="AN341" s="5" t="str">
        <x:f>"타입|"&amp;G341</x:f>
        <x:v>타입|에스퍼</x:v>
      </x:c>
    </x:row>
    <x:row r="342" ht="24" customHeight="1">
      <x:c r="A342" s="5" t="n">
        <x:v>338</x:v>
      </x:c>
      <x:c r="B342" s="5" t="inlineStr">
        <x:is>
          <x:t xml:space="preserve">솔록</x:t>
        </x:is>
      </x:c>
      <x:c r="C342" s="5" t="inlineStr">
        <x:is>
          <x:t xml:space="preserve">solrock</x:t>
        </x:is>
      </x:c>
      <x:c r="D342" s="5" t="inlineStr">
        <x:is>
          <x:t xml:space="preserve">Solrock</x:t>
        </x:is>
      </x:c>
      <x:c r="E342" s="5" t="n">
        <x:v>3</x:v>
      </x:c>
      <x:c r="F342" s="5" t="inlineStr">
        <x:is>
          <x:t xml:space="preserve">바위</x:t>
        </x:is>
      </x:c>
      <x:c r="G342" s="5" t="inlineStr">
        <x:is>
          <x:t xml:space="preserve">에스퍼</x:t>
        </x:is>
      </x:c>
      <x:c r="H342" s="6" t="n">
        <x:v>154</x:v>
      </x:c>
      <x:c r="I342" s="5" t="n"/>
      <x:c r="J342" s="5" t="inlineStr">
        <x:is>
          <x:t xml:space="preserve">무진화</x:t>
        </x:is>
      </x:c>
      <x:c r="K342" s="7" t="inlineStr">
        <x:is>
          <x:t xml:space="preserve">지하</x:t>
        </x:is>
      </x:c>
      <x:c r="L342" s="7" t="inlineStr">
        <x:is>
          <x:t xml:space="preserve">동굴</x:t>
        </x:is>
      </x:c>
      <x:c r="M342" s="7" t="inlineStr">
        <x:is>
          <x:t xml:space="preserve">온대</x:t>
        </x:is>
      </x:c>
      <x:c r="N342" s="7" t="inlineStr">
        <x:is>
          <x:t xml:space="preserve">보통</x:t>
        </x:is>
      </x:c>
      <x:c r="O342" s="7" t="inlineStr">
        <x:is>
          <x:t xml:space="preserve">무관</x:t>
        </x:is>
      </x:c>
      <x:c r="P342" s="7" t="inlineStr">
        <x:is>
          <x:t xml:space="preserve">낮</x:t>
        </x:is>
      </x:c>
      <x:c r="Q342" s="7" t="inlineStr">
        <x:is>
          <x:t xml:space="preserve">보통</x:t>
        </x:is>
      </x:c>
      <x:c r="R342" s="7" t="inlineStr">
        <x:is>
          <x:t xml:space="preserve">동굴</x:t>
        </x:is>
      </x:c>
      <x:c r="S342" s="7" t="inlineStr">
        <x:is>
          <x:t xml:space="preserve">동굴</x:t>
        </x:is>
      </x:c>
      <x:c r="T342" s="7" t="inlineStr">
        <x:is>
          <x:t xml:space="preserve"/>
        </x:is>
      </x:c>
      <x:c r="U342" s="8" t="str">
        <x:f>INDEX('서식지_점수'!$E$4:$P$4,1,MATCH(MAX('서식지_점수'!E342:P342),'서식지_점수'!E342:P342,0))</x:f>
        <x:v>동굴</x:v>
      </x:c>
      <x:c r="V342" s="8" t="str">
        <x:f>IF(T342&lt;&gt;"",T342,U342)</x:f>
        <x:v>동굴</x:v>
      </x:c>
      <x:c r="W342" s="8" t="str">
        <x:f>IFERROR(INDEX('서식지_점수'!$E$4:$P$4,1,MATCH(MAXIFS('서식지_점수'!E342:P342,'서식지_점수'!E342:P342,"&lt;"&amp;MAX('서식지_점수'!E342:P342)),'서식지_점수'!E342:P342,0)),"")</x:f>
        <x:v>산악</x:v>
      </x:c>
      <x:c r="X342" s="8" t="str">
        <x:f>IF(T342&lt;&gt;"","수동확정",IF(MAX('서식지_점수'!E342:P342)-LARGE('서식지_점수'!E342:P342,2)&gt;=15,"높음",IF(MAX('서식지_점수'!E342:P342)-LARGE('서식지_점수'!E342:P342,2)&gt;=8,"보통","검토필요")))</x:f>
        <x:v>높음</x:v>
      </x:c>
      <x:c r="Y342" s="9" t="n">
        <x:f>IF(Q342="전설",8,IF(Q342="희귀",7,IF(J342="기본",1,IF(J342="중간",3,IF(J342="최종",IF(I342="",5,IF(I342&lt;=20,3,IF(I342&lt;=35,4,IF(I342&lt;=50,6,7)))),IF(Q342="드묾",4,2))))))</x:f>
        <x:v>2</x:v>
      </x:c>
      <x:c r="Z342" s="5" t="inlineStr">
        <x:is>
          <x:t xml:space="preserve">#cobblemon:is_dripstone; #cobblemon:is_mountain; #cobblemon:is_overworld; aether:skyroot_grove; aether:skyroot_meadow</x:t>
        </x:is>
      </x:c>
      <x:c r="AA342" s="5" t="inlineStr">
        <x:is>
          <x:t xml:space="preserve">common; uncommon</x:t>
        </x:is>
      </x:c>
      <x:c r="AB342" s="5" t="inlineStr">
        <x:is>
          <x:t xml:space="preserve">예</x:t>
        </x:is>
      </x:c>
      <x:c r="AC342" s="8" t="str">
        <x:f>IF(T342&lt;&gt;"","수동확정",IF(X342="검토필요","검토필요",IF(S342="","원본없음","초기완료")))</x:f>
        <x:v>초기완료</x:v>
      </x:c>
      <x:c r="AD342" s="7" t="inlineStr">
        <x:is>
          <x:t xml:space="preserve"/>
        </x:is>
      </x:c>
      <x:c r="AE342" s="5" t="inlineStr">
        <x:is>
          <x:t xml:space="preserve">.tmp/cobblemon-1.7.3-source/common/src/main/resources/data/cobblemon/species/generation3/solrock.json</x:t>
        </x:is>
      </x:c>
      <x:c r="AF342" s="5" t="str">
        <x:f>"생활권|"&amp;K342</x:f>
        <x:v>생활권|지하</x:v>
      </x:c>
      <x:c r="AG342" s="5" t="str">
        <x:f>"지형|"&amp;L342</x:f>
        <x:v>지형|동굴</x:v>
      </x:c>
      <x:c r="AH342" s="5" t="str">
        <x:f>"온도|"&amp;M342</x:f>
        <x:v>온도|온대</x:v>
      </x:c>
      <x:c r="AI342" s="5" t="str">
        <x:f>"습도|"&amp;N342</x:f>
        <x:v>습도|보통</x:v>
      </x:c>
      <x:c r="AJ342" s="5" t="str">
        <x:f>"날씨|"&amp;O342</x:f>
        <x:v>날씨|무관</x:v>
      </x:c>
      <x:c r="AK342" s="5" t="str">
        <x:f>"특수태그|"&amp;R342</x:f>
        <x:v>특수태그|동굴</x:v>
      </x:c>
      <x:c r="AL342" s="5" t="str">
        <x:f>"원본서식지|"&amp;S342</x:f>
        <x:v>원본서식지|동굴</x:v>
      </x:c>
      <x:c r="AM342" s="5" t="str">
        <x:f>"타입|"&amp;F342</x:f>
        <x:v>타입|바위</x:v>
      </x:c>
      <x:c r="AN342" s="5" t="str">
        <x:f>"타입|"&amp;G342</x:f>
        <x:v>타입|에스퍼</x:v>
      </x:c>
    </x:row>
    <x:row r="343" ht="24" customHeight="1">
      <x:c r="A343" s="5" t="n">
        <x:v>339</x:v>
      </x:c>
      <x:c r="B343" s="5" t="inlineStr">
        <x:is>
          <x:t xml:space="preserve">미꾸리</x:t>
        </x:is>
      </x:c>
      <x:c r="C343" s="5" t="inlineStr">
        <x:is>
          <x:t xml:space="preserve">barboach</x:t>
        </x:is>
      </x:c>
      <x:c r="D343" s="5" t="inlineStr">
        <x:is>
          <x:t xml:space="preserve">Barboach</x:t>
        </x:is>
      </x:c>
      <x:c r="E343" s="5" t="n">
        <x:v>3</x:v>
      </x:c>
      <x:c r="F343" s="5" t="inlineStr">
        <x:is>
          <x:t xml:space="preserve">물</x:t>
        </x:is>
      </x:c>
      <x:c r="G343" s="5" t="inlineStr">
        <x:is>
          <x:t xml:space="preserve">땅</x:t>
        </x:is>
      </x:c>
      <x:c r="H343" s="6" t="n">
        <x:v>1.9</x:v>
      </x:c>
      <x:c r="I343" s="5" t="n">
        <x:v>30</x:v>
      </x:c>
      <x:c r="J343" s="5" t="inlineStr">
        <x:is>
          <x:t xml:space="preserve">기본</x:t>
        </x:is>
      </x:c>
      <x:c r="K343" s="7" t="inlineStr">
        <x:is>
          <x:t xml:space="preserve">담수</x:t>
        </x:is>
      </x:c>
      <x:c r="L343" s="7" t="inlineStr">
        <x:is>
          <x:t xml:space="preserve">담수</x:t>
        </x:is>
      </x:c>
      <x:c r="M343" s="7" t="inlineStr">
        <x:is>
          <x:t xml:space="preserve">온대</x:t>
        </x:is>
      </x:c>
      <x:c r="N343" s="7" t="inlineStr">
        <x:is>
          <x:t xml:space="preserve">수중</x:t>
        </x:is>
      </x:c>
      <x:c r="O343" s="7" t="inlineStr">
        <x:is>
          <x:t xml:space="preserve">비</x:t>
        </x:is>
      </x:c>
      <x:c r="P343" s="7" t="inlineStr">
        <x:is>
          <x:t xml:space="preserve">무관</x:t>
        </x:is>
      </x:c>
      <x:c r="Q343" s="7" t="inlineStr">
        <x:is>
          <x:t xml:space="preserve">보통</x:t>
        </x:is>
      </x:c>
      <x:c r="R343" s="7" t="inlineStr">
        <x:is>
          <x:t xml:space="preserve">없음</x:t>
        </x:is>
      </x:c>
      <x:c r="S343" s="7" t="inlineStr">
        <x:is>
          <x:t xml:space="preserve">담수</x:t>
        </x:is>
      </x:c>
      <x:c r="T343" s="7" t="inlineStr">
        <x:is>
          <x:t xml:space="preserve"/>
        </x:is>
      </x:c>
      <x:c r="U343" s="8" t="str">
        <x:f>INDEX('서식지_점수'!$E$4:$P$4,1,MATCH(MAX('서식지_점수'!E343:P343),'서식지_점수'!E343:P343,0))</x:f>
        <x:v>담수</x:v>
      </x:c>
      <x:c r="V343" s="8" t="str">
        <x:f>IF(T343&lt;&gt;"",T343,U343)</x:f>
        <x:v>담수</x:v>
      </x:c>
      <x:c r="W343" s="8" t="str">
        <x:f>IFERROR(INDEX('서식지_점수'!$E$4:$P$4,1,MATCH(MAXIFS('서식지_점수'!E343:P343,'서식지_점수'!E343:P343,"&lt;"&amp;MAX('서식지_점수'!E343:P343)),'서식지_점수'!E343:P343,0)),"")</x:f>
        <x:v>습지</x:v>
      </x:c>
      <x:c r="X343" s="8" t="str">
        <x:f>IF(T343&lt;&gt;"","수동확정",IF(MAX('서식지_점수'!E343:P343)-LARGE('서식지_점수'!E343:P343,2)&gt;=15,"높음",IF(MAX('서식지_점수'!E343:P343)-LARGE('서식지_점수'!E343:P343,2)&gt;=8,"보통","검토필요")))</x:f>
        <x:v>높음</x:v>
      </x:c>
      <x:c r="Y343" s="9" t="n">
        <x:f>IF(Q343="전설",8,IF(Q343="희귀",7,IF(J343="기본",1,IF(J343="중간",3,IF(J343="최종",IF(I343="",5,IF(I343&lt;=20,3,IF(I343&lt;=35,4,IF(I343&lt;=50,6,7)))),IF(Q343="드묾",4,2))))))</x:f>
        <x:v>1</x:v>
      </x:c>
      <x:c r="Z343" s="5" t="inlineStr">
        <x:is>
          <x:t xml:space="preserve">#cobblemon:is_arid; #cobblemon:is_freshwater; #cobblemon:is_hills; #cobblemon:is_jungle; #cobblemon:is_mushroom; #cobblemon:is_overworld; #cobblemon:is_swamp; #cobblemon:is_temperate</x:t>
        </x:is>
      </x:c>
      <x:c r="AA343" s="5" t="inlineStr">
        <x:is>
          <x:t xml:space="preserve">common; uncommon</x:t>
        </x:is>
      </x:c>
      <x:c r="AB343" s="5" t="inlineStr">
        <x:is>
          <x:t xml:space="preserve">예</x:t>
        </x:is>
      </x:c>
      <x:c r="AC343" s="8" t="str">
        <x:f>IF(T343&lt;&gt;"","수동확정",IF(X343="검토필요","검토필요",IF(S343="","원본없음","초기완료")))</x:f>
        <x:v>초기완료</x:v>
      </x:c>
      <x:c r="AD343" s="7" t="inlineStr">
        <x:is>
          <x:t xml:space="preserve"/>
        </x:is>
      </x:c>
      <x:c r="AE343" s="5" t="inlineStr">
        <x:is>
          <x:t xml:space="preserve">.tmp/cobblemon-1.7.3-source/common/src/main/resources/data/cobblemon/species/generation3/barboach.json</x:t>
        </x:is>
      </x:c>
      <x:c r="AF343" s="5" t="str">
        <x:f>"생활권|"&amp;K343</x:f>
        <x:v>생활권|담수</x:v>
      </x:c>
      <x:c r="AG343" s="5" t="str">
        <x:f>"지형|"&amp;L343</x:f>
        <x:v>지형|담수</x:v>
      </x:c>
      <x:c r="AH343" s="5" t="str">
        <x:f>"온도|"&amp;M343</x:f>
        <x:v>온도|온대</x:v>
      </x:c>
      <x:c r="AI343" s="5" t="str">
        <x:f>"습도|"&amp;N343</x:f>
        <x:v>습도|수중</x:v>
      </x:c>
      <x:c r="AJ343" s="5" t="str">
        <x:f>"날씨|"&amp;O343</x:f>
        <x:v>날씨|비</x:v>
      </x:c>
      <x:c r="AK343" s="5" t="str">
        <x:f>"특수태그|"&amp;R343</x:f>
        <x:v>특수태그|없음</x:v>
      </x:c>
      <x:c r="AL343" s="5" t="str">
        <x:f>"원본서식지|"&amp;S343</x:f>
        <x:v>원본서식지|담수</x:v>
      </x:c>
      <x:c r="AM343" s="5" t="str">
        <x:f>"타입|"&amp;F343</x:f>
        <x:v>타입|물</x:v>
      </x:c>
      <x:c r="AN343" s="5" t="str">
        <x:f>"타입|"&amp;G343</x:f>
        <x:v>타입|땅</x:v>
      </x:c>
    </x:row>
    <x:row r="344" ht="24" customHeight="1">
      <x:c r="A344" s="5" t="n">
        <x:v>340</x:v>
      </x:c>
      <x:c r="B344" s="5" t="inlineStr">
        <x:is>
          <x:t xml:space="preserve">메깅</x:t>
        </x:is>
      </x:c>
      <x:c r="C344" s="5" t="inlineStr">
        <x:is>
          <x:t xml:space="preserve">whiscash</x:t>
        </x:is>
      </x:c>
      <x:c r="D344" s="5" t="inlineStr">
        <x:is>
          <x:t xml:space="preserve">Whiscash</x:t>
        </x:is>
      </x:c>
      <x:c r="E344" s="5" t="n">
        <x:v>3</x:v>
      </x:c>
      <x:c r="F344" s="5" t="inlineStr">
        <x:is>
          <x:t xml:space="preserve">물</x:t>
        </x:is>
      </x:c>
      <x:c r="G344" s="5" t="inlineStr">
        <x:is>
          <x:t xml:space="preserve">땅</x:t>
        </x:is>
      </x:c>
      <x:c r="H344" s="6" t="n">
        <x:v>23.6</x:v>
      </x:c>
      <x:c r="I344" s="5" t="n">
        <x:v>30</x:v>
      </x:c>
      <x:c r="J344" s="5" t="inlineStr">
        <x:is>
          <x:t xml:space="preserve">최종</x:t>
        </x:is>
      </x:c>
      <x:c r="K344" s="7" t="inlineStr">
        <x:is>
          <x:t xml:space="preserve">담수</x:t>
        </x:is>
      </x:c>
      <x:c r="L344" s="7" t="inlineStr">
        <x:is>
          <x:t xml:space="preserve">담수</x:t>
        </x:is>
      </x:c>
      <x:c r="M344" s="7" t="inlineStr">
        <x:is>
          <x:t xml:space="preserve">온대</x:t>
        </x:is>
      </x:c>
      <x:c r="N344" s="7" t="inlineStr">
        <x:is>
          <x:t xml:space="preserve">수중</x:t>
        </x:is>
      </x:c>
      <x:c r="O344" s="7" t="inlineStr">
        <x:is>
          <x:t xml:space="preserve">비</x:t>
        </x:is>
      </x:c>
      <x:c r="P344" s="7" t="inlineStr">
        <x:is>
          <x:t xml:space="preserve">무관</x:t>
        </x:is>
      </x:c>
      <x:c r="Q344" s="7" t="inlineStr">
        <x:is>
          <x:t xml:space="preserve">보통</x:t>
        </x:is>
      </x:c>
      <x:c r="R344" s="7" t="inlineStr">
        <x:is>
          <x:t xml:space="preserve">없음</x:t>
        </x:is>
      </x:c>
      <x:c r="S344" s="7" t="inlineStr">
        <x:is>
          <x:t xml:space="preserve">담수</x:t>
        </x:is>
      </x:c>
      <x:c r="T344" s="7" t="inlineStr">
        <x:is>
          <x:t xml:space="preserve"/>
        </x:is>
      </x:c>
      <x:c r="U344" s="8" t="str">
        <x:f>INDEX('서식지_점수'!$E$4:$P$4,1,MATCH(MAX('서식지_점수'!E344:P344),'서식지_점수'!E344:P344,0))</x:f>
        <x:v>담수</x:v>
      </x:c>
      <x:c r="V344" s="8" t="str">
        <x:f>IF(T344&lt;&gt;"",T344,U344)</x:f>
        <x:v>담수</x:v>
      </x:c>
      <x:c r="W344" s="8" t="str">
        <x:f>IFERROR(INDEX('서식지_점수'!$E$4:$P$4,1,MATCH(MAXIFS('서식지_점수'!E344:P344,'서식지_점수'!E344:P344,"&lt;"&amp;MAX('서식지_점수'!E344:P344)),'서식지_점수'!E344:P344,0)),"")</x:f>
        <x:v>습지</x:v>
      </x:c>
      <x:c r="X344" s="8" t="str">
        <x:f>IF(T344&lt;&gt;"","수동확정",IF(MAX('서식지_점수'!E344:P344)-LARGE('서식지_점수'!E344:P344,2)&gt;=15,"높음",IF(MAX('서식지_점수'!E344:P344)-LARGE('서식지_점수'!E344:P344,2)&gt;=8,"보통","검토필요")))</x:f>
        <x:v>높음</x:v>
      </x:c>
      <x:c r="Y344" s="9" t="n">
        <x:f>IF(Q344="전설",8,IF(Q344="희귀",7,IF(J344="기본",1,IF(J344="중간",3,IF(J344="최종",IF(I344="",5,IF(I344&lt;=20,3,IF(I344&lt;=35,4,IF(I344&lt;=50,6,7)))),IF(Q344="드묾",4,2))))))</x:f>
        <x:v>4</x:v>
      </x:c>
      <x:c r="Z344" s="5" t="inlineStr">
        <x:is>
          <x:t xml:space="preserve">#cobblemon:is_arid; #cobblemon:is_freshwater; #cobblemon:is_hills; #cobblemon:is_jungle; #cobblemon:is_mushroom; #cobblemon:is_overworld; #cobblemon:is_swamp; #cobblemon:is_temperate</x:t>
        </x:is>
      </x:c>
      <x:c r="AA344" s="5" t="inlineStr">
        <x:is>
          <x:t xml:space="preserve">common; rare; uncommon</x:t>
        </x:is>
      </x:c>
      <x:c r="AB344" s="5" t="inlineStr">
        <x:is>
          <x:t xml:space="preserve">예</x:t>
        </x:is>
      </x:c>
      <x:c r="AC344" s="8" t="str">
        <x:f>IF(T344&lt;&gt;"","수동확정",IF(X344="검토필요","검토필요",IF(S344="","원본없음","초기완료")))</x:f>
        <x:v>초기완료</x:v>
      </x:c>
      <x:c r="AD344" s="7" t="inlineStr">
        <x:is>
          <x:t xml:space="preserve"/>
        </x:is>
      </x:c>
      <x:c r="AE344" s="5" t="inlineStr">
        <x:is>
          <x:t xml:space="preserve">.tmp/cobblemon-1.7.3-source/common/src/main/resources/data/cobblemon/species/generation3/whiscash.json</x:t>
        </x:is>
      </x:c>
      <x:c r="AF344" s="5" t="str">
        <x:f>"생활권|"&amp;K344</x:f>
        <x:v>생활권|담수</x:v>
      </x:c>
      <x:c r="AG344" s="5" t="str">
        <x:f>"지형|"&amp;L344</x:f>
        <x:v>지형|담수</x:v>
      </x:c>
      <x:c r="AH344" s="5" t="str">
        <x:f>"온도|"&amp;M344</x:f>
        <x:v>온도|온대</x:v>
      </x:c>
      <x:c r="AI344" s="5" t="str">
        <x:f>"습도|"&amp;N344</x:f>
        <x:v>습도|수중</x:v>
      </x:c>
      <x:c r="AJ344" s="5" t="str">
        <x:f>"날씨|"&amp;O344</x:f>
        <x:v>날씨|비</x:v>
      </x:c>
      <x:c r="AK344" s="5" t="str">
        <x:f>"특수태그|"&amp;R344</x:f>
        <x:v>특수태그|없음</x:v>
      </x:c>
      <x:c r="AL344" s="5" t="str">
        <x:f>"원본서식지|"&amp;S344</x:f>
        <x:v>원본서식지|담수</x:v>
      </x:c>
      <x:c r="AM344" s="5" t="str">
        <x:f>"타입|"&amp;F344</x:f>
        <x:v>타입|물</x:v>
      </x:c>
      <x:c r="AN344" s="5" t="str">
        <x:f>"타입|"&amp;G344</x:f>
        <x:v>타입|땅</x:v>
      </x:c>
    </x:row>
    <x:row r="345" ht="24" customHeight="1">
      <x:c r="A345" s="5" t="n">
        <x:v>341</x:v>
      </x:c>
      <x:c r="B345" s="5" t="inlineStr">
        <x:is>
          <x:t xml:space="preserve">가재군</x:t>
        </x:is>
      </x:c>
      <x:c r="C345" s="5" t="inlineStr">
        <x:is>
          <x:t xml:space="preserve">corphish</x:t>
        </x:is>
      </x:c>
      <x:c r="D345" s="5" t="inlineStr">
        <x:is>
          <x:t xml:space="preserve">Corphish</x:t>
        </x:is>
      </x:c>
      <x:c r="E345" s="5" t="n">
        <x:v>3</x:v>
      </x:c>
      <x:c r="F345" s="5" t="inlineStr">
        <x:is>
          <x:t xml:space="preserve">물</x:t>
        </x:is>
      </x:c>
      <x:c r="G345" s="5" t="inlineStr">
        <x:is>
          <x:t xml:space="preserve"/>
        </x:is>
      </x:c>
      <x:c r="H345" s="6" t="n">
        <x:v>11.5</x:v>
      </x:c>
      <x:c r="I345" s="5" t="n">
        <x:v>30</x:v>
      </x:c>
      <x:c r="J345" s="5" t="inlineStr">
        <x:is>
          <x:t xml:space="preserve">기본</x:t>
        </x:is>
      </x:c>
      <x:c r="K345" s="7" t="inlineStr">
        <x:is>
          <x:t xml:space="preserve">담수</x:t>
        </x:is>
      </x:c>
      <x:c r="L345" s="7" t="inlineStr">
        <x:is>
          <x:t xml:space="preserve">담수</x:t>
        </x:is>
      </x:c>
      <x:c r="M345" s="7" t="inlineStr">
        <x:is>
          <x:t xml:space="preserve">온대</x:t>
        </x:is>
      </x:c>
      <x:c r="N345" s="7" t="inlineStr">
        <x:is>
          <x:t xml:space="preserve">수중</x:t>
        </x:is>
      </x:c>
      <x:c r="O345" s="7" t="inlineStr">
        <x:is>
          <x:t xml:space="preserve">비</x:t>
        </x:is>
      </x:c>
      <x:c r="P345" s="7" t="inlineStr">
        <x:is>
          <x:t xml:space="preserve">무관</x:t>
        </x:is>
      </x:c>
      <x:c r="Q345" s="7" t="inlineStr">
        <x:is>
          <x:t xml:space="preserve">흔함</x:t>
        </x:is>
      </x:c>
      <x:c r="R345" s="7" t="inlineStr">
        <x:is>
          <x:t xml:space="preserve">없음</x:t>
        </x:is>
      </x:c>
      <x:c r="S345" s="7" t="inlineStr">
        <x:is>
          <x:t xml:space="preserve">담수</x:t>
        </x:is>
      </x:c>
      <x:c r="T345" s="7" t="inlineStr">
        <x:is>
          <x:t xml:space="preserve"/>
        </x:is>
      </x:c>
      <x:c r="U345" s="8" t="str">
        <x:f>INDEX('서식지_점수'!$E$4:$P$4,1,MATCH(MAX('서식지_점수'!E345:P345),'서식지_점수'!E345:P345,0))</x:f>
        <x:v>담수</x:v>
      </x:c>
      <x:c r="V345" s="8" t="str">
        <x:f>IF(T345&lt;&gt;"",T345,U345)</x:f>
        <x:v>담수</x:v>
      </x:c>
      <x:c r="W345" s="8" t="str">
        <x:f>IFERROR(INDEX('서식지_점수'!$E$4:$P$4,1,MATCH(MAXIFS('서식지_점수'!E345:P345,'서식지_점수'!E345:P345,"&lt;"&amp;MAX('서식지_점수'!E345:P345)),'서식지_점수'!E345:P345,0)),"")</x:f>
        <x:v>습지</x:v>
      </x:c>
      <x:c r="X345" s="8" t="str">
        <x:f>IF(T345&lt;&gt;"","수동확정",IF(MAX('서식지_점수'!E345:P345)-LARGE('서식지_점수'!E345:P345,2)&gt;=15,"높음",IF(MAX('서식지_점수'!E345:P345)-LARGE('서식지_점수'!E345:P345,2)&gt;=8,"보통","검토필요")))</x:f>
        <x:v>높음</x:v>
      </x:c>
      <x:c r="Y345" s="9" t="n">
        <x:f>IF(Q345="전설",8,IF(Q345="희귀",7,IF(J345="기본",1,IF(J345="중간",3,IF(J345="최종",IF(I345="",5,IF(I345&lt;=20,3,IF(I345&lt;=35,4,IF(I345&lt;=50,6,7)))),IF(Q345="드묾",4,2))))))</x:f>
        <x:v>1</x:v>
      </x:c>
      <x:c r="Z345" s="5" t="inlineStr">
        <x:is>
          <x:t xml:space="preserve">#cobblemon:is_arid; #cobblemon:is_freshwater; #cobblemon:is_hills; #cobblemon:is_jungle; #cobblemon:is_temperate</x:t>
        </x:is>
      </x:c>
      <x:c r="AA345" s="5" t="inlineStr">
        <x:is>
          <x:t xml:space="preserve">common</x:t>
        </x:is>
      </x:c>
      <x:c r="AB345" s="5" t="inlineStr">
        <x:is>
          <x:t xml:space="preserve">예</x:t>
        </x:is>
      </x:c>
      <x:c r="AC345" s="8" t="str">
        <x:f>IF(T345&lt;&gt;"","수동확정",IF(X345="검토필요","검토필요",IF(S345="","원본없음","초기완료")))</x:f>
        <x:v>초기완료</x:v>
      </x:c>
      <x:c r="AD345" s="7" t="inlineStr">
        <x:is>
          <x:t xml:space="preserve"/>
        </x:is>
      </x:c>
      <x:c r="AE345" s="5" t="inlineStr">
        <x:is>
          <x:t xml:space="preserve">.tmp/cobblemon-1.7.3-source/common/src/main/resources/data/cobblemon/species/generation3/corphish.json</x:t>
        </x:is>
      </x:c>
      <x:c r="AF345" s="5" t="str">
        <x:f>"생활권|"&amp;K345</x:f>
        <x:v>생활권|담수</x:v>
      </x:c>
      <x:c r="AG345" s="5" t="str">
        <x:f>"지형|"&amp;L345</x:f>
        <x:v>지형|담수</x:v>
      </x:c>
      <x:c r="AH345" s="5" t="str">
        <x:f>"온도|"&amp;M345</x:f>
        <x:v>온도|온대</x:v>
      </x:c>
      <x:c r="AI345" s="5" t="str">
        <x:f>"습도|"&amp;N345</x:f>
        <x:v>습도|수중</x:v>
      </x:c>
      <x:c r="AJ345" s="5" t="str">
        <x:f>"날씨|"&amp;O345</x:f>
        <x:v>날씨|비</x:v>
      </x:c>
      <x:c r="AK345" s="5" t="str">
        <x:f>"특수태그|"&amp;R345</x:f>
        <x:v>특수태그|없음</x:v>
      </x:c>
      <x:c r="AL345" s="5" t="str">
        <x:f>"원본서식지|"&amp;S345</x:f>
        <x:v>원본서식지|담수</x:v>
      </x:c>
      <x:c r="AM345" s="5" t="str">
        <x:f>"타입|"&amp;F345</x:f>
        <x:v>타입|물</x:v>
      </x:c>
      <x:c r="AN345" s="5" t="str">
        <x:f>"타입|"&amp;G345</x:f>
        <x:v>타입|</x:v>
      </x:c>
    </x:row>
    <x:row r="346" ht="24" customHeight="1">
      <x:c r="A346" s="5" t="n">
        <x:v>342</x:v>
      </x:c>
      <x:c r="B346" s="5" t="inlineStr">
        <x:is>
          <x:t xml:space="preserve">가재장군</x:t>
        </x:is>
      </x:c>
      <x:c r="C346" s="5" t="inlineStr">
        <x:is>
          <x:t xml:space="preserve">crawdaunt</x:t>
        </x:is>
      </x:c>
      <x:c r="D346" s="5" t="inlineStr">
        <x:is>
          <x:t xml:space="preserve">Crawdaunt</x:t>
        </x:is>
      </x:c>
      <x:c r="E346" s="5" t="n">
        <x:v>3</x:v>
      </x:c>
      <x:c r="F346" s="5" t="inlineStr">
        <x:is>
          <x:t xml:space="preserve">물</x:t>
        </x:is>
      </x:c>
      <x:c r="G346" s="5" t="inlineStr">
        <x:is>
          <x:t xml:space="preserve">악</x:t>
        </x:is>
      </x:c>
      <x:c r="H346" s="6" t="n">
        <x:v>32.8</x:v>
      </x:c>
      <x:c r="I346" s="5" t="n">
        <x:v>30</x:v>
      </x:c>
      <x:c r="J346" s="5" t="inlineStr">
        <x:is>
          <x:t xml:space="preserve">최종</x:t>
        </x:is>
      </x:c>
      <x:c r="K346" s="7" t="inlineStr">
        <x:is>
          <x:t xml:space="preserve">담수</x:t>
        </x:is>
      </x:c>
      <x:c r="L346" s="7" t="inlineStr">
        <x:is>
          <x:t xml:space="preserve">담수</x:t>
        </x:is>
      </x:c>
      <x:c r="M346" s="7" t="inlineStr">
        <x:is>
          <x:t xml:space="preserve">온대</x:t>
        </x:is>
      </x:c>
      <x:c r="N346" s="7" t="inlineStr">
        <x:is>
          <x:t xml:space="preserve">수중</x:t>
        </x:is>
      </x:c>
      <x:c r="O346" s="7" t="inlineStr">
        <x:is>
          <x:t xml:space="preserve">비</x:t>
        </x:is>
      </x:c>
      <x:c r="P346" s="7" t="inlineStr">
        <x:is>
          <x:t xml:space="preserve">밤</x:t>
        </x:is>
      </x:c>
      <x:c r="Q346" s="7" t="inlineStr">
        <x:is>
          <x:t xml:space="preserve">흔함</x:t>
        </x:is>
      </x:c>
      <x:c r="R346" s="7" t="inlineStr">
        <x:is>
          <x:t xml:space="preserve">없음</x:t>
        </x:is>
      </x:c>
      <x:c r="S346" s="7" t="inlineStr">
        <x:is>
          <x:t xml:space="preserve">담수</x:t>
        </x:is>
      </x:c>
      <x:c r="T346" s="7" t="inlineStr">
        <x:is>
          <x:t xml:space="preserve"/>
        </x:is>
      </x:c>
      <x:c r="U346" s="8" t="str">
        <x:f>INDEX('서식지_점수'!$E$4:$P$4,1,MATCH(MAX('서식지_점수'!E346:P346),'서식지_점수'!E346:P346,0))</x:f>
        <x:v>담수</x:v>
      </x:c>
      <x:c r="V346" s="8" t="str">
        <x:f>IF(T346&lt;&gt;"",T346,U346)</x:f>
        <x:v>담수</x:v>
      </x:c>
      <x:c r="W346" s="8" t="str">
        <x:f>IFERROR(INDEX('서식지_점수'!$E$4:$P$4,1,MATCH(MAXIFS('서식지_점수'!E346:P346,'서식지_점수'!E346:P346,"&lt;"&amp;MAX('서식지_점수'!E346:P346)),'서식지_점수'!E346:P346,0)),"")</x:f>
        <x:v>습지</x:v>
      </x:c>
      <x:c r="X346" s="8" t="str">
        <x:f>IF(T346&lt;&gt;"","수동확정",IF(MAX('서식지_점수'!E346:P346)-LARGE('서식지_점수'!E346:P346,2)&gt;=15,"높음",IF(MAX('서식지_점수'!E346:P346)-LARGE('서식지_점수'!E346:P346,2)&gt;=8,"보통","검토필요")))</x:f>
        <x:v>높음</x:v>
      </x:c>
      <x:c r="Y346" s="9" t="n">
        <x:f>IF(Q346="전설",8,IF(Q346="희귀",7,IF(J346="기본",1,IF(J346="중간",3,IF(J346="최종",IF(I346="",5,IF(I346&lt;=20,3,IF(I346&lt;=35,4,IF(I346&lt;=50,6,7)))),IF(Q346="드묾",4,2))))))</x:f>
        <x:v>4</x:v>
      </x:c>
      <x:c r="Z346" s="5" t="inlineStr">
        <x:is>
          <x:t xml:space="preserve">#cobblemon:is_arid; #cobblemon:is_freshwater; #cobblemon:is_hills; #cobblemon:is_jungle; #cobblemon:is_temperate</x:t>
        </x:is>
      </x:c>
      <x:c r="AA346" s="5" t="inlineStr">
        <x:is>
          <x:t xml:space="preserve">common</x:t>
        </x:is>
      </x:c>
      <x:c r="AB346" s="5" t="inlineStr">
        <x:is>
          <x:t xml:space="preserve">예</x:t>
        </x:is>
      </x:c>
      <x:c r="AC346" s="8" t="str">
        <x:f>IF(T346&lt;&gt;"","수동확정",IF(X346="검토필요","검토필요",IF(S346="","원본없음","초기완료")))</x:f>
        <x:v>초기완료</x:v>
      </x:c>
      <x:c r="AD346" s="7" t="inlineStr">
        <x:is>
          <x:t xml:space="preserve"/>
        </x:is>
      </x:c>
      <x:c r="AE346" s="5" t="inlineStr">
        <x:is>
          <x:t xml:space="preserve">.tmp/cobblemon-1.7.3-source/common/src/main/resources/data/cobblemon/species/generation3/crawdaunt.json</x:t>
        </x:is>
      </x:c>
      <x:c r="AF346" s="5" t="str">
        <x:f>"생활권|"&amp;K346</x:f>
        <x:v>생활권|담수</x:v>
      </x:c>
      <x:c r="AG346" s="5" t="str">
        <x:f>"지형|"&amp;L346</x:f>
        <x:v>지형|담수</x:v>
      </x:c>
      <x:c r="AH346" s="5" t="str">
        <x:f>"온도|"&amp;M346</x:f>
        <x:v>온도|온대</x:v>
      </x:c>
      <x:c r="AI346" s="5" t="str">
        <x:f>"습도|"&amp;N346</x:f>
        <x:v>습도|수중</x:v>
      </x:c>
      <x:c r="AJ346" s="5" t="str">
        <x:f>"날씨|"&amp;O346</x:f>
        <x:v>날씨|비</x:v>
      </x:c>
      <x:c r="AK346" s="5" t="str">
        <x:f>"특수태그|"&amp;R346</x:f>
        <x:v>특수태그|없음</x:v>
      </x:c>
      <x:c r="AL346" s="5" t="str">
        <x:f>"원본서식지|"&amp;S346</x:f>
        <x:v>원본서식지|담수</x:v>
      </x:c>
      <x:c r="AM346" s="5" t="str">
        <x:f>"타입|"&amp;F346</x:f>
        <x:v>타입|물</x:v>
      </x:c>
      <x:c r="AN346" s="5" t="str">
        <x:f>"타입|"&amp;G346</x:f>
        <x:v>타입|악</x:v>
      </x:c>
    </x:row>
    <x:row r="347" ht="24" customHeight="1">
      <x:c r="A347" s="5" t="n">
        <x:v>343</x:v>
      </x:c>
      <x:c r="B347" s="5" t="inlineStr">
        <x:is>
          <x:t xml:space="preserve">오뚝군</x:t>
        </x:is>
      </x:c>
      <x:c r="C347" s="5" t="inlineStr">
        <x:is>
          <x:t xml:space="preserve">baltoy</x:t>
        </x:is>
      </x:c>
      <x:c r="D347" s="5" t="inlineStr">
        <x:is>
          <x:t xml:space="preserve">Baltoy</x:t>
        </x:is>
      </x:c>
      <x:c r="E347" s="5" t="n">
        <x:v>3</x:v>
      </x:c>
      <x:c r="F347" s="5" t="inlineStr">
        <x:is>
          <x:t xml:space="preserve">땅</x:t>
        </x:is>
      </x:c>
      <x:c r="G347" s="5" t="inlineStr">
        <x:is>
          <x:t xml:space="preserve">에스퍼</x:t>
        </x:is>
      </x:c>
      <x:c r="H347" s="6" t="n">
        <x:v>21.5</x:v>
      </x:c>
      <x:c r="I347" s="5" t="n">
        <x:v>36</x:v>
      </x:c>
      <x:c r="J347" s="5" t="inlineStr">
        <x:is>
          <x:t xml:space="preserve">기본</x:t>
        </x:is>
      </x:c>
      <x:c r="K347" s="7" t="inlineStr">
        <x:is>
          <x:t xml:space="preserve">인공</x:t>
        </x:is>
      </x:c>
      <x:c r="L347" s="7" t="inlineStr">
        <x:is>
          <x:t xml:space="preserve">건조</x:t>
        </x:is>
      </x:c>
      <x:c r="M347" s="7" t="inlineStr">
        <x:is>
          <x:t xml:space="preserve">고온</x:t>
        </x:is>
      </x:c>
      <x:c r="N347" s="7" t="inlineStr">
        <x:is>
          <x:t xml:space="preserve">건조</x:t>
        </x:is>
      </x:c>
      <x:c r="O347" s="7" t="inlineStr">
        <x:is>
          <x:t xml:space="preserve">맑음</x:t>
        </x:is>
      </x:c>
      <x:c r="P347" s="7" t="inlineStr">
        <x:is>
          <x:t xml:space="preserve">무관</x:t>
        </x:is>
      </x:c>
      <x:c r="Q347" s="7" t="inlineStr">
        <x:is>
          <x:t xml:space="preserve">보통</x:t>
        </x:is>
      </x:c>
      <x:c r="R347" s="7" t="inlineStr">
        <x:is>
          <x:t xml:space="preserve">도시</x:t>
        </x:is>
      </x:c>
      <x:c r="S347" s="7" t="inlineStr">
        <x:is>
          <x:t xml:space="preserve">건조지</x:t>
        </x:is>
      </x:c>
      <x:c r="T347" s="7" t="inlineStr">
        <x:is>
          <x:t xml:space="preserve"/>
        </x:is>
      </x:c>
      <x:c r="U347" s="8" t="str">
        <x:f>INDEX('서식지_점수'!$E$4:$P$4,1,MATCH(MAX('서식지_점수'!E347:P347),'서식지_점수'!E347:P347,0))</x:f>
        <x:v>도시</x:v>
      </x:c>
      <x:c r="V347" s="8" t="str">
        <x:f>IF(T347&lt;&gt;"",T347,U347)</x:f>
        <x:v>도시</x:v>
      </x:c>
      <x:c r="W347" s="8" t="str">
        <x:f>IFERROR(INDEX('서식지_점수'!$E$4:$P$4,1,MATCH(MAXIFS('서식지_점수'!E347:P347,'서식지_점수'!E347:P347,"&lt;"&amp;MAX('서식지_점수'!E347:P347)),'서식지_점수'!E347:P347,0)),"")</x:f>
        <x:v>특수</x:v>
      </x:c>
      <x:c r="X347" s="8" t="str">
        <x:f>IF(T347&lt;&gt;"","수동확정",IF(MAX('서식지_점수'!E347:P347)-LARGE('서식지_점수'!E347:P347,2)&gt;=15,"높음",IF(MAX('서식지_점수'!E347:P347)-LARGE('서식지_점수'!E347:P347,2)&gt;=8,"보통","검토필요")))</x:f>
        <x:v>높음</x:v>
      </x:c>
      <x:c r="Y347" s="9" t="n">
        <x:f>IF(Q347="전설",8,IF(Q347="희귀",7,IF(J347="기본",1,IF(J347="중간",3,IF(J347="최종",IF(I347="",5,IF(I347&lt;=20,3,IF(I347&lt;=35,4,IF(I347&lt;=50,6,7)))),IF(Q347="드묾",4,2))))))</x:f>
        <x:v>1</x:v>
      </x:c>
      <x:c r="Z347" s="5" t="inlineStr">
        <x:is>
          <x:t xml:space="preserve">#cobblemon:is_badlands; #cobblemon:is_desert</x:t>
        </x:is>
      </x:c>
      <x:c r="AA347" s="5" t="inlineStr">
        <x:is>
          <x:t xml:space="preserve">uncommon</x:t>
        </x:is>
      </x:c>
      <x:c r="AB347" s="5" t="inlineStr">
        <x:is>
          <x:t xml:space="preserve">예</x:t>
        </x:is>
      </x:c>
      <x:c r="AC347" s="8" t="str">
        <x:f>IF(T347&lt;&gt;"","수동확정",IF(X347="검토필요","검토필요",IF(S347="","원본없음","초기완료")))</x:f>
        <x:v>초기완료</x:v>
      </x:c>
      <x:c r="AD347" s="7" t="inlineStr">
        <x:is>
          <x:t xml:space="preserve"/>
        </x:is>
      </x:c>
      <x:c r="AE347" s="5" t="inlineStr">
        <x:is>
          <x:t xml:space="preserve">.tmp/cobblemon-1.7.3-source/common/src/main/resources/data/cobblemon/species/generation3/baltoy.json</x:t>
        </x:is>
      </x:c>
      <x:c r="AF347" s="5" t="str">
        <x:f>"생활권|"&amp;K347</x:f>
        <x:v>생활권|인공</x:v>
      </x:c>
      <x:c r="AG347" s="5" t="str">
        <x:f>"지형|"&amp;L347</x:f>
        <x:v>지형|건조</x:v>
      </x:c>
      <x:c r="AH347" s="5" t="str">
        <x:f>"온도|"&amp;M347</x:f>
        <x:v>온도|고온</x:v>
      </x:c>
      <x:c r="AI347" s="5" t="str">
        <x:f>"습도|"&amp;N347</x:f>
        <x:v>습도|건조</x:v>
      </x:c>
      <x:c r="AJ347" s="5" t="str">
        <x:f>"날씨|"&amp;O347</x:f>
        <x:v>날씨|맑음</x:v>
      </x:c>
      <x:c r="AK347" s="5" t="str">
        <x:f>"특수태그|"&amp;R347</x:f>
        <x:v>특수태그|도시</x:v>
      </x:c>
      <x:c r="AL347" s="5" t="str">
        <x:f>"원본서식지|"&amp;S347</x:f>
        <x:v>원본서식지|건조지</x:v>
      </x:c>
      <x:c r="AM347" s="5" t="str">
        <x:f>"타입|"&amp;F347</x:f>
        <x:v>타입|땅</x:v>
      </x:c>
      <x:c r="AN347" s="5" t="str">
        <x:f>"타입|"&amp;G347</x:f>
        <x:v>타입|에스퍼</x:v>
      </x:c>
    </x:row>
    <x:row r="348" ht="24" customHeight="1">
      <x:c r="A348" s="5" t="n">
        <x:v>344</x:v>
      </x:c>
      <x:c r="B348" s="5" t="inlineStr">
        <x:is>
          <x:t xml:space="preserve">점토도리</x:t>
        </x:is>
      </x:c>
      <x:c r="C348" s="5" t="inlineStr">
        <x:is>
          <x:t xml:space="preserve">claydol</x:t>
        </x:is>
      </x:c>
      <x:c r="D348" s="5" t="inlineStr">
        <x:is>
          <x:t xml:space="preserve">Claydol</x:t>
        </x:is>
      </x:c>
      <x:c r="E348" s="5" t="n">
        <x:v>3</x:v>
      </x:c>
      <x:c r="F348" s="5" t="inlineStr">
        <x:is>
          <x:t xml:space="preserve">땅</x:t>
        </x:is>
      </x:c>
      <x:c r="G348" s="5" t="inlineStr">
        <x:is>
          <x:t xml:space="preserve">에스퍼</x:t>
        </x:is>
      </x:c>
      <x:c r="H348" s="6" t="n">
        <x:v>108</x:v>
      </x:c>
      <x:c r="I348" s="5" t="n">
        <x:v>36</x:v>
      </x:c>
      <x:c r="J348" s="5" t="inlineStr">
        <x:is>
          <x:t xml:space="preserve">최종</x:t>
        </x:is>
      </x:c>
      <x:c r="K348" s="7" t="inlineStr">
        <x:is>
          <x:t xml:space="preserve">인공</x:t>
        </x:is>
      </x:c>
      <x:c r="L348" s="7" t="inlineStr">
        <x:is>
          <x:t xml:space="preserve">건조</x:t>
        </x:is>
      </x:c>
      <x:c r="M348" s="7" t="inlineStr">
        <x:is>
          <x:t xml:space="preserve">고온</x:t>
        </x:is>
      </x:c>
      <x:c r="N348" s="7" t="inlineStr">
        <x:is>
          <x:t xml:space="preserve">건조</x:t>
        </x:is>
      </x:c>
      <x:c r="O348" s="7" t="inlineStr">
        <x:is>
          <x:t xml:space="preserve">맑음</x:t>
        </x:is>
      </x:c>
      <x:c r="P348" s="7" t="inlineStr">
        <x:is>
          <x:t xml:space="preserve">무관</x:t>
        </x:is>
      </x:c>
      <x:c r="Q348" s="7" t="inlineStr">
        <x:is>
          <x:t xml:space="preserve">보통</x:t>
        </x:is>
      </x:c>
      <x:c r="R348" s="7" t="inlineStr">
        <x:is>
          <x:t xml:space="preserve">도시</x:t>
        </x:is>
      </x:c>
      <x:c r="S348" s="7" t="inlineStr">
        <x:is>
          <x:t xml:space="preserve">건조지</x:t>
        </x:is>
      </x:c>
      <x:c r="T348" s="7" t="inlineStr">
        <x:is>
          <x:t xml:space="preserve"/>
        </x:is>
      </x:c>
      <x:c r="U348" s="8" t="str">
        <x:f>INDEX('서식지_점수'!$E$4:$P$4,1,MATCH(MAX('서식지_점수'!E348:P348),'서식지_점수'!E348:P348,0))</x:f>
        <x:v>도시</x:v>
      </x:c>
      <x:c r="V348" s="8" t="str">
        <x:f>IF(T348&lt;&gt;"",T348,U348)</x:f>
        <x:v>도시</x:v>
      </x:c>
      <x:c r="W348" s="8" t="str">
        <x:f>IFERROR(INDEX('서식지_점수'!$E$4:$P$4,1,MATCH(MAXIFS('서식지_점수'!E348:P348,'서식지_점수'!E348:P348,"&lt;"&amp;MAX('서식지_점수'!E348:P348)),'서식지_점수'!E348:P348,0)),"")</x:f>
        <x:v>특수</x:v>
      </x:c>
      <x:c r="X348" s="8" t="str">
        <x:f>IF(T348&lt;&gt;"","수동확정",IF(MAX('서식지_점수'!E348:P348)-LARGE('서식지_점수'!E348:P348,2)&gt;=15,"높음",IF(MAX('서식지_점수'!E348:P348)-LARGE('서식지_점수'!E348:P348,2)&gt;=8,"보통","검토필요")))</x:f>
        <x:v>높음</x:v>
      </x:c>
      <x:c r="Y348" s="9" t="n">
        <x:f>IF(Q348="전설",8,IF(Q348="희귀",7,IF(J348="기본",1,IF(J348="중간",3,IF(J348="최종",IF(I348="",5,IF(I348&lt;=20,3,IF(I348&lt;=35,4,IF(I348&lt;=50,6,7)))),IF(Q348="드묾",4,2))))))</x:f>
        <x:v>6</x:v>
      </x:c>
      <x:c r="Z348" s="5" t="inlineStr">
        <x:is>
          <x:t xml:space="preserve">#cobblemon:is_badlands; #cobblemon:is_desert; #cobblemon:is_overworld</x:t>
        </x:is>
      </x:c>
      <x:c r="AA348" s="5" t="inlineStr">
        <x:is>
          <x:t xml:space="preserve">common; uncommon</x:t>
        </x:is>
      </x:c>
      <x:c r="AB348" s="5" t="inlineStr">
        <x:is>
          <x:t xml:space="preserve">예</x:t>
        </x:is>
      </x:c>
      <x:c r="AC348" s="8" t="str">
        <x:f>IF(T348&lt;&gt;"","수동확정",IF(X348="검토필요","검토필요",IF(S348="","원본없음","초기완료")))</x:f>
        <x:v>초기완료</x:v>
      </x:c>
      <x:c r="AD348" s="7" t="inlineStr">
        <x:is>
          <x:t xml:space="preserve"/>
        </x:is>
      </x:c>
      <x:c r="AE348" s="5" t="inlineStr">
        <x:is>
          <x:t xml:space="preserve">.tmp/cobblemon-1.7.3-source/common/src/main/resources/data/cobblemon/species/generation3/claydol.json</x:t>
        </x:is>
      </x:c>
      <x:c r="AF348" s="5" t="str">
        <x:f>"생활권|"&amp;K348</x:f>
        <x:v>생활권|인공</x:v>
      </x:c>
      <x:c r="AG348" s="5" t="str">
        <x:f>"지형|"&amp;L348</x:f>
        <x:v>지형|건조</x:v>
      </x:c>
      <x:c r="AH348" s="5" t="str">
        <x:f>"온도|"&amp;M348</x:f>
        <x:v>온도|고온</x:v>
      </x:c>
      <x:c r="AI348" s="5" t="str">
        <x:f>"습도|"&amp;N348</x:f>
        <x:v>습도|건조</x:v>
      </x:c>
      <x:c r="AJ348" s="5" t="str">
        <x:f>"날씨|"&amp;O348</x:f>
        <x:v>날씨|맑음</x:v>
      </x:c>
      <x:c r="AK348" s="5" t="str">
        <x:f>"특수태그|"&amp;R348</x:f>
        <x:v>특수태그|도시</x:v>
      </x:c>
      <x:c r="AL348" s="5" t="str">
        <x:f>"원본서식지|"&amp;S348</x:f>
        <x:v>원본서식지|건조지</x:v>
      </x:c>
      <x:c r="AM348" s="5" t="str">
        <x:f>"타입|"&amp;F348</x:f>
        <x:v>타입|땅</x:v>
      </x:c>
      <x:c r="AN348" s="5" t="str">
        <x:f>"타입|"&amp;G348</x:f>
        <x:v>타입|에스퍼</x:v>
      </x:c>
    </x:row>
    <x:row r="349" ht="24" customHeight="1">
      <x:c r="A349" s="5" t="n">
        <x:v>345</x:v>
      </x:c>
      <x:c r="B349" s="5" t="inlineStr">
        <x:is>
          <x:t xml:space="preserve">릴링</x:t>
        </x:is>
      </x:c>
      <x:c r="C349" s="5" t="inlineStr">
        <x:is>
          <x:t xml:space="preserve">lileep</x:t>
        </x:is>
      </x:c>
      <x:c r="D349" s="5" t="inlineStr">
        <x:is>
          <x:t xml:space="preserve">Lileep</x:t>
        </x:is>
      </x:c>
      <x:c r="E349" s="5" t="n">
        <x:v>3</x:v>
      </x:c>
      <x:c r="F349" s="5" t="inlineStr">
        <x:is>
          <x:t xml:space="preserve">바위</x:t>
        </x:is>
      </x:c>
      <x:c r="G349" s="5" t="inlineStr">
        <x:is>
          <x:t xml:space="preserve">풀</x:t>
        </x:is>
      </x:c>
      <x:c r="H349" s="6" t="n">
        <x:v>23.8</x:v>
      </x:c>
      <x:c r="I349" s="5" t="n">
        <x:v>40</x:v>
      </x:c>
      <x:c r="J349" s="5" t="inlineStr">
        <x:is>
          <x:t xml:space="preserve">기본</x:t>
        </x:is>
      </x:c>
      <x:c r="K349" s="7" t="inlineStr">
        <x:is>
          <x:t xml:space="preserve">육상</x:t>
        </x:is>
      </x:c>
      <x:c r="L349" s="7" t="inlineStr">
        <x:is>
          <x:t xml:space="preserve">암석</x:t>
        </x:is>
      </x:c>
      <x:c r="M349" s="7" t="inlineStr">
        <x:is>
          <x:t xml:space="preserve">온대</x:t>
        </x:is>
      </x:c>
      <x:c r="N349" s="7" t="inlineStr">
        <x:is>
          <x:t xml:space="preserve">보통</x:t>
        </x:is>
      </x:c>
      <x:c r="O349" s="7" t="inlineStr">
        <x:is>
          <x:t xml:space="preserve">무관</x:t>
        </x:is>
      </x:c>
      <x:c r="P349" s="7" t="inlineStr">
        <x:is>
          <x:t xml:space="preserve">무관</x:t>
        </x:is>
      </x:c>
      <x:c r="Q349" s="7" t="inlineStr">
        <x:is>
          <x:t xml:space="preserve">희귀</x:t>
        </x:is>
      </x:c>
      <x:c r="R349" s="7" t="inlineStr">
        <x:is>
          <x:t xml:space="preserve">없음</x:t>
        </x:is>
      </x:c>
      <x:c r="S349" s="7" t="inlineStr">
        <x:is>
          <x:t xml:space="preserve"/>
        </x:is>
      </x:c>
      <x:c r="T349" s="7" t="inlineStr">
        <x:is>
          <x:t xml:space="preserve"/>
        </x:is>
      </x:c>
      <x:c r="U349" s="8" t="str">
        <x:f>INDEX('서식지_점수'!$E$4:$P$4,1,MATCH(MAX('서식지_점수'!E349:P349),'서식지_점수'!E349:P349,0))</x:f>
        <x:v>평원</x:v>
      </x:c>
      <x:c r="V349" s="8" t="str">
        <x:f>IF(T349&lt;&gt;"",T349,U349)</x:f>
        <x:v>평원</x:v>
      </x:c>
      <x:c r="W349" s="8" t="str">
        <x:f>IFERROR(INDEX('서식지_점수'!$E$4:$P$4,1,MATCH(MAXIFS('서식지_점수'!E349:P349,'서식지_점수'!E349:P349,"&lt;"&amp;MAX('서식지_점수'!E349:P349)),'서식지_점수'!E349:P349,0)),"")</x:f>
        <x:v>숲</x:v>
      </x:c>
      <x:c r="X349" s="8" t="str">
        <x:f>IF(T349&lt;&gt;"","수동확정",IF(MAX('서식지_점수'!E349:P349)-LARGE('서식지_점수'!E349:P349,2)&gt;=15,"높음",IF(MAX('서식지_점수'!E349:P349)-LARGE('서식지_점수'!E349:P349,2)&gt;=8,"보통","검토필요")))</x:f>
        <x:v>검토필요</x:v>
      </x:c>
      <x:c r="Y349" s="9" t="n">
        <x:f>IF(Q349="전설",8,IF(Q349="희귀",7,IF(J349="기본",1,IF(J349="중간",3,IF(J349="최종",IF(I349="",5,IF(I349&lt;=20,3,IF(I349&lt;=35,4,IF(I349&lt;=50,6,7)))),IF(Q349="드묾",4,2))))))</x:f>
        <x:v>7</x:v>
      </x:c>
      <x:c r="Z349" s="5" t="inlineStr">
        <x:is>
          <x:t xml:space="preserve">#cobblemon:is_lush</x:t>
        </x:is>
      </x:c>
      <x:c r="AA349" s="5" t="inlineStr">
        <x:is>
          <x:t xml:space="preserve">ultra-rare</x:t>
        </x:is>
      </x:c>
      <x:c r="AB349" s="5" t="inlineStr">
        <x:is>
          <x:t xml:space="preserve">예</x:t>
        </x:is>
      </x:c>
      <x:c r="AC349" s="8" t="str">
        <x:f>IF(T349&lt;&gt;"","수동확정",IF(X349="검토필요","검토필요",IF(S349="","원본없음","초기완료")))</x:f>
        <x:v>검토필요</x:v>
      </x:c>
      <x:c r="AD349" s="7" t="inlineStr">
        <x:is>
          <x:t xml:space="preserve"/>
        </x:is>
      </x:c>
      <x:c r="AE349" s="5" t="inlineStr">
        <x:is>
          <x:t xml:space="preserve">.tmp/cobblemon-1.7.3-source/common/src/main/resources/data/cobblemon/species/generation3/lileep.json</x:t>
        </x:is>
      </x:c>
      <x:c r="AF349" s="5" t="str">
        <x:f>"생활권|"&amp;K349</x:f>
        <x:v>생활권|육상</x:v>
      </x:c>
      <x:c r="AG349" s="5" t="str">
        <x:f>"지형|"&amp;L349</x:f>
        <x:v>지형|암석</x:v>
      </x:c>
      <x:c r="AH349" s="5" t="str">
        <x:f>"온도|"&amp;M349</x:f>
        <x:v>온도|온대</x:v>
      </x:c>
      <x:c r="AI349" s="5" t="str">
        <x:f>"습도|"&amp;N349</x:f>
        <x:v>습도|보통</x:v>
      </x:c>
      <x:c r="AJ349" s="5" t="str">
        <x:f>"날씨|"&amp;O349</x:f>
        <x:v>날씨|무관</x:v>
      </x:c>
      <x:c r="AK349" s="5" t="str">
        <x:f>"특수태그|"&amp;R349</x:f>
        <x:v>특수태그|없음</x:v>
      </x:c>
      <x:c r="AL349" s="5" t="str">
        <x:f>"원본서식지|"&amp;S349</x:f>
        <x:v>원본서식지|</x:v>
      </x:c>
      <x:c r="AM349" s="5" t="str">
        <x:f>"타입|"&amp;F349</x:f>
        <x:v>타입|바위</x:v>
      </x:c>
      <x:c r="AN349" s="5" t="str">
        <x:f>"타입|"&amp;G349</x:f>
        <x:v>타입|풀</x:v>
      </x:c>
    </x:row>
    <x:row r="350" ht="24" customHeight="1">
      <x:c r="A350" s="5" t="n">
        <x:v>346</x:v>
      </x:c>
      <x:c r="B350" s="5" t="inlineStr">
        <x:is>
          <x:t xml:space="preserve">릴리요</x:t>
        </x:is>
      </x:c>
      <x:c r="C350" s="5" t="inlineStr">
        <x:is>
          <x:t xml:space="preserve">cradily</x:t>
        </x:is>
      </x:c>
      <x:c r="D350" s="5" t="inlineStr">
        <x:is>
          <x:t xml:space="preserve">Cradily</x:t>
        </x:is>
      </x:c>
      <x:c r="E350" s="5" t="n">
        <x:v>3</x:v>
      </x:c>
      <x:c r="F350" s="5" t="inlineStr">
        <x:is>
          <x:t xml:space="preserve">바위</x:t>
        </x:is>
      </x:c>
      <x:c r="G350" s="5" t="inlineStr">
        <x:is>
          <x:t xml:space="preserve">풀</x:t>
        </x:is>
      </x:c>
      <x:c r="H350" s="6" t="n">
        <x:v>60.4</x:v>
      </x:c>
      <x:c r="I350" s="5" t="n">
        <x:v>40</x:v>
      </x:c>
      <x:c r="J350" s="5" t="inlineStr">
        <x:is>
          <x:t xml:space="preserve">최종</x:t>
        </x:is>
      </x:c>
      <x:c r="K350" s="7" t="inlineStr">
        <x:is>
          <x:t xml:space="preserve">육상</x:t>
        </x:is>
      </x:c>
      <x:c r="L350" s="7" t="inlineStr">
        <x:is>
          <x:t xml:space="preserve">암석</x:t>
        </x:is>
      </x:c>
      <x:c r="M350" s="7" t="inlineStr">
        <x:is>
          <x:t xml:space="preserve">온대</x:t>
        </x:is>
      </x:c>
      <x:c r="N350" s="7" t="inlineStr">
        <x:is>
          <x:t xml:space="preserve">보통</x:t>
        </x:is>
      </x:c>
      <x:c r="O350" s="7" t="inlineStr">
        <x:is>
          <x:t xml:space="preserve">무관</x:t>
        </x:is>
      </x:c>
      <x:c r="P350" s="7" t="inlineStr">
        <x:is>
          <x:t xml:space="preserve">무관</x:t>
        </x:is>
      </x:c>
      <x:c r="Q350" s="7" t="inlineStr">
        <x:is>
          <x:t xml:space="preserve">희귀</x:t>
        </x:is>
      </x:c>
      <x:c r="R350" s="7" t="inlineStr">
        <x:is>
          <x:t xml:space="preserve">없음</x:t>
        </x:is>
      </x:c>
      <x:c r="S350" s="7" t="inlineStr">
        <x:is>
          <x:t xml:space="preserve"/>
        </x:is>
      </x:c>
      <x:c r="T350" s="7" t="inlineStr">
        <x:is>
          <x:t xml:space="preserve"/>
        </x:is>
      </x:c>
      <x:c r="U350" s="8" t="str">
        <x:f>INDEX('서식지_점수'!$E$4:$P$4,1,MATCH(MAX('서식지_점수'!E350:P350),'서식지_점수'!E350:P350,0))</x:f>
        <x:v>평원</x:v>
      </x:c>
      <x:c r="V350" s="8" t="str">
        <x:f>IF(T350&lt;&gt;"",T350,U350)</x:f>
        <x:v>평원</x:v>
      </x:c>
      <x:c r="W350" s="8" t="str">
        <x:f>IFERROR(INDEX('서식지_점수'!$E$4:$P$4,1,MATCH(MAXIFS('서식지_점수'!E350:P350,'서식지_점수'!E350:P350,"&lt;"&amp;MAX('서식지_점수'!E350:P350)),'서식지_점수'!E350:P350,0)),"")</x:f>
        <x:v>숲</x:v>
      </x:c>
      <x:c r="X350" s="8" t="str">
        <x:f>IF(T350&lt;&gt;"","수동확정",IF(MAX('서식지_점수'!E350:P350)-LARGE('서식지_점수'!E350:P350,2)&gt;=15,"높음",IF(MAX('서식지_점수'!E350:P350)-LARGE('서식지_점수'!E350:P350,2)&gt;=8,"보통","검토필요")))</x:f>
        <x:v>검토필요</x:v>
      </x:c>
      <x:c r="Y350" s="9" t="n">
        <x:f>IF(Q350="전설",8,IF(Q350="희귀",7,IF(J350="기본",1,IF(J350="중간",3,IF(J350="최종",IF(I350="",5,IF(I350&lt;=20,3,IF(I350&lt;=35,4,IF(I350&lt;=50,6,7)))),IF(Q350="드묾",4,2))))))</x:f>
        <x:v>7</x:v>
      </x:c>
      <x:c r="Z350" s="5" t="inlineStr">
        <x:is>
          <x:t xml:space="preserve">#cobblemon:is_lush</x:t>
        </x:is>
      </x:c>
      <x:c r="AA350" s="5" t="inlineStr">
        <x:is>
          <x:t xml:space="preserve">ultra-rare</x:t>
        </x:is>
      </x:c>
      <x:c r="AB350" s="5" t="inlineStr">
        <x:is>
          <x:t xml:space="preserve">예</x:t>
        </x:is>
      </x:c>
      <x:c r="AC350" s="8" t="str">
        <x:f>IF(T350&lt;&gt;"","수동확정",IF(X350="검토필요","검토필요",IF(S350="","원본없음","초기완료")))</x:f>
        <x:v>검토필요</x:v>
      </x:c>
      <x:c r="AD350" s="7" t="inlineStr">
        <x:is>
          <x:t xml:space="preserve"/>
        </x:is>
      </x:c>
      <x:c r="AE350" s="5" t="inlineStr">
        <x:is>
          <x:t xml:space="preserve">.tmp/cobblemon-1.7.3-source/common/src/main/resources/data/cobblemon/species/generation3/cradily.json</x:t>
        </x:is>
      </x:c>
      <x:c r="AF350" s="5" t="str">
        <x:f>"생활권|"&amp;K350</x:f>
        <x:v>생활권|육상</x:v>
      </x:c>
      <x:c r="AG350" s="5" t="str">
        <x:f>"지형|"&amp;L350</x:f>
        <x:v>지형|암석</x:v>
      </x:c>
      <x:c r="AH350" s="5" t="str">
        <x:f>"온도|"&amp;M350</x:f>
        <x:v>온도|온대</x:v>
      </x:c>
      <x:c r="AI350" s="5" t="str">
        <x:f>"습도|"&amp;N350</x:f>
        <x:v>습도|보통</x:v>
      </x:c>
      <x:c r="AJ350" s="5" t="str">
        <x:f>"날씨|"&amp;O350</x:f>
        <x:v>날씨|무관</x:v>
      </x:c>
      <x:c r="AK350" s="5" t="str">
        <x:f>"특수태그|"&amp;R350</x:f>
        <x:v>특수태그|없음</x:v>
      </x:c>
      <x:c r="AL350" s="5" t="str">
        <x:f>"원본서식지|"&amp;S350</x:f>
        <x:v>원본서식지|</x:v>
      </x:c>
      <x:c r="AM350" s="5" t="str">
        <x:f>"타입|"&amp;F350</x:f>
        <x:v>타입|바위</x:v>
      </x:c>
      <x:c r="AN350" s="5" t="str">
        <x:f>"타입|"&amp;G350</x:f>
        <x:v>타입|풀</x:v>
      </x:c>
    </x:row>
    <x:row r="351" ht="24" customHeight="1">
      <x:c r="A351" s="5" t="n">
        <x:v>347</x:v>
      </x:c>
      <x:c r="B351" s="5" t="inlineStr">
        <x:is>
          <x:t xml:space="preserve">아노딥스</x:t>
        </x:is>
      </x:c>
      <x:c r="C351" s="5" t="inlineStr">
        <x:is>
          <x:t xml:space="preserve">anorith</x:t>
        </x:is>
      </x:c>
      <x:c r="D351" s="5" t="inlineStr">
        <x:is>
          <x:t xml:space="preserve">Anorith</x:t>
        </x:is>
      </x:c>
      <x:c r="E351" s="5" t="n">
        <x:v>3</x:v>
      </x:c>
      <x:c r="F351" s="5" t="inlineStr">
        <x:is>
          <x:t xml:space="preserve">바위</x:t>
        </x:is>
      </x:c>
      <x:c r="G351" s="5" t="inlineStr">
        <x:is>
          <x:t xml:space="preserve">벌레</x:t>
        </x:is>
      </x:c>
      <x:c r="H351" s="6" t="n">
        <x:v>12.5</x:v>
      </x:c>
      <x:c r="I351" s="5" t="n">
        <x:v>40</x:v>
      </x:c>
      <x:c r="J351" s="5" t="inlineStr">
        <x:is>
          <x:t xml:space="preserve">기본</x:t>
        </x:is>
      </x:c>
      <x:c r="K351" s="7" t="inlineStr">
        <x:is>
          <x:t xml:space="preserve">육상</x:t>
        </x:is>
      </x:c>
      <x:c r="L351" s="7" t="inlineStr">
        <x:is>
          <x:t xml:space="preserve">암석</x:t>
        </x:is>
      </x:c>
      <x:c r="M351" s="7" t="inlineStr">
        <x:is>
          <x:t xml:space="preserve">온대</x:t>
        </x:is>
      </x:c>
      <x:c r="N351" s="7" t="inlineStr">
        <x:is>
          <x:t xml:space="preserve">보통</x:t>
        </x:is>
      </x:c>
      <x:c r="O351" s="7" t="inlineStr">
        <x:is>
          <x:t xml:space="preserve">무관</x:t>
        </x:is>
      </x:c>
      <x:c r="P351" s="7" t="inlineStr">
        <x:is>
          <x:t xml:space="preserve">무관</x:t>
        </x:is>
      </x:c>
      <x:c r="Q351" s="7" t="inlineStr">
        <x:is>
          <x:t xml:space="preserve">희귀</x:t>
        </x:is>
      </x:c>
      <x:c r="R351" s="7" t="inlineStr">
        <x:is>
          <x:t xml:space="preserve">없음</x:t>
        </x:is>
      </x:c>
      <x:c r="S351" s="7" t="inlineStr">
        <x:is>
          <x:t xml:space="preserve"/>
        </x:is>
      </x:c>
      <x:c r="T351" s="7" t="inlineStr">
        <x:is>
          <x:t xml:space="preserve"/>
        </x:is>
      </x:c>
      <x:c r="U351" s="8" t="str">
        <x:f>INDEX('서식지_점수'!$E$4:$P$4,1,MATCH(MAX('서식지_점수'!E351:P351),'서식지_점수'!E351:P351,0))</x:f>
        <x:v>평원</x:v>
      </x:c>
      <x:c r="V351" s="8" t="str">
        <x:f>IF(T351&lt;&gt;"",T351,U351)</x:f>
        <x:v>평원</x:v>
      </x:c>
      <x:c r="W351" s="8" t="str">
        <x:f>IFERROR(INDEX('서식지_점수'!$E$4:$P$4,1,MATCH(MAXIFS('서식지_점수'!E351:P351,'서식지_점수'!E351:P351,"&lt;"&amp;MAX('서식지_점수'!E351:P351)),'서식지_점수'!E351:P351,0)),"")</x:f>
        <x:v>숲</x:v>
      </x:c>
      <x:c r="X351" s="8" t="str">
        <x:f>IF(T351&lt;&gt;"","수동확정",IF(MAX('서식지_점수'!E351:P351)-LARGE('서식지_점수'!E351:P351,2)&gt;=15,"높음",IF(MAX('서식지_점수'!E351:P351)-LARGE('서식지_점수'!E351:P351,2)&gt;=8,"보통","검토필요")))</x:f>
        <x:v>검토필요</x:v>
      </x:c>
      <x:c r="Y351" s="9" t="n">
        <x:f>IF(Q351="전설",8,IF(Q351="희귀",7,IF(J351="기본",1,IF(J351="중간",3,IF(J351="최종",IF(I351="",5,IF(I351&lt;=20,3,IF(I351&lt;=35,4,IF(I351&lt;=50,6,7)))),IF(Q351="드묾",4,2))))))</x:f>
        <x:v>7</x:v>
      </x:c>
      <x:c r="Z351" s="5" t="inlineStr">
        <x:is>
          <x:t xml:space="preserve">#cobblemon:is_lush</x:t>
        </x:is>
      </x:c>
      <x:c r="AA351" s="5" t="inlineStr">
        <x:is>
          <x:t xml:space="preserve">ultra-rare</x:t>
        </x:is>
      </x:c>
      <x:c r="AB351" s="5" t="inlineStr">
        <x:is>
          <x:t xml:space="preserve">예</x:t>
        </x:is>
      </x:c>
      <x:c r="AC351" s="8" t="str">
        <x:f>IF(T351&lt;&gt;"","수동확정",IF(X351="검토필요","검토필요",IF(S351="","원본없음","초기완료")))</x:f>
        <x:v>검토필요</x:v>
      </x:c>
      <x:c r="AD351" s="7" t="inlineStr">
        <x:is>
          <x:t xml:space="preserve"/>
        </x:is>
      </x:c>
      <x:c r="AE351" s="5" t="inlineStr">
        <x:is>
          <x:t xml:space="preserve">.tmp/cobblemon-1.7.3-source/common/src/main/resources/data/cobblemon/species/generation3/anorith.json</x:t>
        </x:is>
      </x:c>
      <x:c r="AF351" s="5" t="str">
        <x:f>"생활권|"&amp;K351</x:f>
        <x:v>생활권|육상</x:v>
      </x:c>
      <x:c r="AG351" s="5" t="str">
        <x:f>"지형|"&amp;L351</x:f>
        <x:v>지형|암석</x:v>
      </x:c>
      <x:c r="AH351" s="5" t="str">
        <x:f>"온도|"&amp;M351</x:f>
        <x:v>온도|온대</x:v>
      </x:c>
      <x:c r="AI351" s="5" t="str">
        <x:f>"습도|"&amp;N351</x:f>
        <x:v>습도|보통</x:v>
      </x:c>
      <x:c r="AJ351" s="5" t="str">
        <x:f>"날씨|"&amp;O351</x:f>
        <x:v>날씨|무관</x:v>
      </x:c>
      <x:c r="AK351" s="5" t="str">
        <x:f>"특수태그|"&amp;R351</x:f>
        <x:v>특수태그|없음</x:v>
      </x:c>
      <x:c r="AL351" s="5" t="str">
        <x:f>"원본서식지|"&amp;S351</x:f>
        <x:v>원본서식지|</x:v>
      </x:c>
      <x:c r="AM351" s="5" t="str">
        <x:f>"타입|"&amp;F351</x:f>
        <x:v>타입|바위</x:v>
      </x:c>
      <x:c r="AN351" s="5" t="str">
        <x:f>"타입|"&amp;G351</x:f>
        <x:v>타입|벌레</x:v>
      </x:c>
    </x:row>
    <x:row r="352" ht="24" customHeight="1">
      <x:c r="A352" s="5" t="n">
        <x:v>348</x:v>
      </x:c>
      <x:c r="B352" s="5" t="inlineStr">
        <x:is>
          <x:t xml:space="preserve">아말도</x:t>
        </x:is>
      </x:c>
      <x:c r="C352" s="5" t="inlineStr">
        <x:is>
          <x:t xml:space="preserve">armaldo</x:t>
        </x:is>
      </x:c>
      <x:c r="D352" s="5" t="inlineStr">
        <x:is>
          <x:t xml:space="preserve">Armaldo</x:t>
        </x:is>
      </x:c>
      <x:c r="E352" s="5" t="n">
        <x:v>3</x:v>
      </x:c>
      <x:c r="F352" s="5" t="inlineStr">
        <x:is>
          <x:t xml:space="preserve">바위</x:t>
        </x:is>
      </x:c>
      <x:c r="G352" s="5" t="inlineStr">
        <x:is>
          <x:t xml:space="preserve">벌레</x:t>
        </x:is>
      </x:c>
      <x:c r="H352" s="6" t="n">
        <x:v>68.2</x:v>
      </x:c>
      <x:c r="I352" s="5" t="n">
        <x:v>40</x:v>
      </x:c>
      <x:c r="J352" s="5" t="inlineStr">
        <x:is>
          <x:t xml:space="preserve">최종</x:t>
        </x:is>
      </x:c>
      <x:c r="K352" s="7" t="inlineStr">
        <x:is>
          <x:t xml:space="preserve">육상</x:t>
        </x:is>
      </x:c>
      <x:c r="L352" s="7" t="inlineStr">
        <x:is>
          <x:t xml:space="preserve">암석</x:t>
        </x:is>
      </x:c>
      <x:c r="M352" s="7" t="inlineStr">
        <x:is>
          <x:t xml:space="preserve">온대</x:t>
        </x:is>
      </x:c>
      <x:c r="N352" s="7" t="inlineStr">
        <x:is>
          <x:t xml:space="preserve">보통</x:t>
        </x:is>
      </x:c>
      <x:c r="O352" s="7" t="inlineStr">
        <x:is>
          <x:t xml:space="preserve">무관</x:t>
        </x:is>
      </x:c>
      <x:c r="P352" s="7" t="inlineStr">
        <x:is>
          <x:t xml:space="preserve">무관</x:t>
        </x:is>
      </x:c>
      <x:c r="Q352" s="7" t="inlineStr">
        <x:is>
          <x:t xml:space="preserve">희귀</x:t>
        </x:is>
      </x:c>
      <x:c r="R352" s="7" t="inlineStr">
        <x:is>
          <x:t xml:space="preserve">없음</x:t>
        </x:is>
      </x:c>
      <x:c r="S352" s="7" t="inlineStr">
        <x:is>
          <x:t xml:space="preserve"/>
        </x:is>
      </x:c>
      <x:c r="T352" s="7" t="inlineStr">
        <x:is>
          <x:t xml:space="preserve"/>
        </x:is>
      </x:c>
      <x:c r="U352" s="8" t="str">
        <x:f>INDEX('서식지_점수'!$E$4:$P$4,1,MATCH(MAX('서식지_점수'!E352:P352),'서식지_점수'!E352:P352,0))</x:f>
        <x:v>평원</x:v>
      </x:c>
      <x:c r="V352" s="8" t="str">
        <x:f>IF(T352&lt;&gt;"",T352,U352)</x:f>
        <x:v>평원</x:v>
      </x:c>
      <x:c r="W352" s="8" t="str">
        <x:f>IFERROR(INDEX('서식지_점수'!$E$4:$P$4,1,MATCH(MAXIFS('서식지_점수'!E352:P352,'서식지_점수'!E352:P352,"&lt;"&amp;MAX('서식지_점수'!E352:P352)),'서식지_점수'!E352:P352,0)),"")</x:f>
        <x:v>숲</x:v>
      </x:c>
      <x:c r="X352" s="8" t="str">
        <x:f>IF(T352&lt;&gt;"","수동확정",IF(MAX('서식지_점수'!E352:P352)-LARGE('서식지_점수'!E352:P352,2)&gt;=15,"높음",IF(MAX('서식지_점수'!E352:P352)-LARGE('서식지_점수'!E352:P352,2)&gt;=8,"보통","검토필요")))</x:f>
        <x:v>검토필요</x:v>
      </x:c>
      <x:c r="Y352" s="9" t="n">
        <x:f>IF(Q352="전설",8,IF(Q352="희귀",7,IF(J352="기본",1,IF(J352="중간",3,IF(J352="최종",IF(I352="",5,IF(I352&lt;=20,3,IF(I352&lt;=35,4,IF(I352&lt;=50,6,7)))),IF(Q352="드묾",4,2))))))</x:f>
        <x:v>7</x:v>
      </x:c>
      <x:c r="Z352" s="5" t="inlineStr">
        <x:is>
          <x:t xml:space="preserve">#cobblemon:is_lush</x:t>
        </x:is>
      </x:c>
      <x:c r="AA352" s="5" t="inlineStr">
        <x:is>
          <x:t xml:space="preserve">ultra-rare</x:t>
        </x:is>
      </x:c>
      <x:c r="AB352" s="5" t="inlineStr">
        <x:is>
          <x:t xml:space="preserve">예</x:t>
        </x:is>
      </x:c>
      <x:c r="AC352" s="8" t="str">
        <x:f>IF(T352&lt;&gt;"","수동확정",IF(X352="검토필요","검토필요",IF(S352="","원본없음","초기완료")))</x:f>
        <x:v>검토필요</x:v>
      </x:c>
      <x:c r="AD352" s="7" t="inlineStr">
        <x:is>
          <x:t xml:space="preserve"/>
        </x:is>
      </x:c>
      <x:c r="AE352" s="5" t="inlineStr">
        <x:is>
          <x:t xml:space="preserve">.tmp/cobblemon-1.7.3-source/common/src/main/resources/data/cobblemon/species/generation3/armaldo.json</x:t>
        </x:is>
      </x:c>
      <x:c r="AF352" s="5" t="str">
        <x:f>"생활권|"&amp;K352</x:f>
        <x:v>생활권|육상</x:v>
      </x:c>
      <x:c r="AG352" s="5" t="str">
        <x:f>"지형|"&amp;L352</x:f>
        <x:v>지형|암석</x:v>
      </x:c>
      <x:c r="AH352" s="5" t="str">
        <x:f>"온도|"&amp;M352</x:f>
        <x:v>온도|온대</x:v>
      </x:c>
      <x:c r="AI352" s="5" t="str">
        <x:f>"습도|"&amp;N352</x:f>
        <x:v>습도|보통</x:v>
      </x:c>
      <x:c r="AJ352" s="5" t="str">
        <x:f>"날씨|"&amp;O352</x:f>
        <x:v>날씨|무관</x:v>
      </x:c>
      <x:c r="AK352" s="5" t="str">
        <x:f>"특수태그|"&amp;R352</x:f>
        <x:v>특수태그|없음</x:v>
      </x:c>
      <x:c r="AL352" s="5" t="str">
        <x:f>"원본서식지|"&amp;S352</x:f>
        <x:v>원본서식지|</x:v>
      </x:c>
      <x:c r="AM352" s="5" t="str">
        <x:f>"타입|"&amp;F352</x:f>
        <x:v>타입|바위</x:v>
      </x:c>
      <x:c r="AN352" s="5" t="str">
        <x:f>"타입|"&amp;G352</x:f>
        <x:v>타입|벌레</x:v>
      </x:c>
    </x:row>
    <x:row r="353" ht="24" customHeight="1">
      <x:c r="A353" s="5" t="n">
        <x:v>349</x:v>
      </x:c>
      <x:c r="B353" s="5" t="inlineStr">
        <x:is>
          <x:t xml:space="preserve">빈티나</x:t>
        </x:is>
      </x:c>
      <x:c r="C353" s="5" t="inlineStr">
        <x:is>
          <x:t xml:space="preserve">feebas</x:t>
        </x:is>
      </x:c>
      <x:c r="D353" s="5" t="inlineStr">
        <x:is>
          <x:t xml:space="preserve">Feebas</x:t>
        </x:is>
      </x:c>
      <x:c r="E353" s="5" t="n">
        <x:v>3</x:v>
      </x:c>
      <x:c r="F353" s="5" t="inlineStr">
        <x:is>
          <x:t xml:space="preserve">물</x:t>
        </x:is>
      </x:c>
      <x:c r="G353" s="5" t="inlineStr">
        <x:is>
          <x:t xml:space="preserve"/>
        </x:is>
      </x:c>
      <x:c r="H353" s="6" t="n">
        <x:v>7.4</x:v>
      </x:c>
      <x:c r="I353" s="5" t="n"/>
      <x:c r="J353" s="5" t="inlineStr">
        <x:is>
          <x:t xml:space="preserve">기본</x:t>
        </x:is>
      </x:c>
      <x:c r="K353" s="7" t="inlineStr">
        <x:is>
          <x:t xml:space="preserve">수륙</x:t>
        </x:is>
      </x:c>
      <x:c r="L353" s="7" t="inlineStr">
        <x:is>
          <x:t xml:space="preserve">담수</x:t>
        </x:is>
      </x:c>
      <x:c r="M353" s="7" t="inlineStr">
        <x:is>
          <x:t xml:space="preserve">온대</x:t>
        </x:is>
      </x:c>
      <x:c r="N353" s="7" t="inlineStr">
        <x:is>
          <x:t xml:space="preserve">보통</x:t>
        </x:is>
      </x:c>
      <x:c r="O353" s="7" t="inlineStr">
        <x:is>
          <x:t xml:space="preserve">무관</x:t>
        </x:is>
      </x:c>
      <x:c r="P353" s="7" t="inlineStr">
        <x:is>
          <x:t xml:space="preserve">무관</x:t>
        </x:is>
      </x:c>
      <x:c r="Q353" s="7" t="inlineStr">
        <x:is>
          <x:t xml:space="preserve">흔함</x:t>
        </x:is>
      </x:c>
      <x:c r="R353" s="7" t="inlineStr">
        <x:is>
          <x:t xml:space="preserve">없음</x:t>
        </x:is>
      </x:c>
      <x:c r="S353" s="7" t="inlineStr">
        <x:is>
          <x:t xml:space="preserve"/>
        </x:is>
      </x:c>
      <x:c r="T353" s="7" t="inlineStr">
        <x:is>
          <x:t xml:space="preserve"/>
        </x:is>
      </x:c>
      <x:c r="U353" s="8" t="str">
        <x:f>INDEX('서식지_점수'!$E$4:$P$4,1,MATCH(MAX('서식지_점수'!E353:P353),'서식지_점수'!E353:P353,0))</x:f>
        <x:v>습지</x:v>
      </x:c>
      <x:c r="V353" s="8" t="str">
        <x:f>IF(T353&lt;&gt;"",T353,U353)</x:f>
        <x:v>습지</x:v>
      </x:c>
      <x:c r="W353" s="8" t="str">
        <x:f>IFERROR(INDEX('서식지_점수'!$E$4:$P$4,1,MATCH(MAXIFS('서식지_점수'!E353:P353,'서식지_점수'!E353:P353,"&lt;"&amp;MAX('서식지_점수'!E353:P353)),'서식지_점수'!E353:P353,0)),"")</x:f>
        <x:v>담수</x:v>
      </x:c>
      <x:c r="X353" s="8" t="str">
        <x:f>IF(T353&lt;&gt;"","수동확정",IF(MAX('서식지_점수'!E353:P353)-LARGE('서식지_점수'!E353:P353,2)&gt;=15,"높음",IF(MAX('서식지_점수'!E353:P353)-LARGE('서식지_점수'!E353:P353,2)&gt;=8,"보통","검토필요")))</x:f>
        <x:v>검토필요</x:v>
      </x:c>
      <x:c r="Y353" s="9" t="n">
        <x:f>IF(Q353="전설",8,IF(Q353="희귀",7,IF(J353="기본",1,IF(J353="중간",3,IF(J353="최종",IF(I353="",5,IF(I353&lt;=20,3,IF(I353&lt;=35,4,IF(I353&lt;=50,6,7)))),IF(Q353="드묾",4,2))))))</x:f>
        <x:v>1</x:v>
      </x:c>
      <x:c r="Z353" s="5" t="inlineStr">
        <x:is>
          <x:t xml:space="preserve">#cobblemon:is_overworld</x:t>
        </x:is>
      </x:c>
      <x:c r="AA353" s="5" t="inlineStr">
        <x:is>
          <x:t xml:space="preserve">common</x:t>
        </x:is>
      </x:c>
      <x:c r="AB353" s="5" t="inlineStr">
        <x:is>
          <x:t xml:space="preserve">예</x:t>
        </x:is>
      </x:c>
      <x:c r="AC353" s="8" t="str">
        <x:f>IF(T353&lt;&gt;"","수동확정",IF(X353="검토필요","검토필요",IF(S353="","원본없음","초기완료")))</x:f>
        <x:v>검토필요</x:v>
      </x:c>
      <x:c r="AD353" s="7" t="inlineStr">
        <x:is>
          <x:t xml:space="preserve"/>
        </x:is>
      </x:c>
      <x:c r="AE353" s="5" t="inlineStr">
        <x:is>
          <x:t xml:space="preserve">.tmp/cobblemon-1.7.3-source/common/src/main/resources/data/cobblemon/species/generation3/feebas.json</x:t>
        </x:is>
      </x:c>
      <x:c r="AF353" s="5" t="str">
        <x:f>"생활권|"&amp;K353</x:f>
        <x:v>생활권|수륙</x:v>
      </x:c>
      <x:c r="AG353" s="5" t="str">
        <x:f>"지형|"&amp;L353</x:f>
        <x:v>지형|담수</x:v>
      </x:c>
      <x:c r="AH353" s="5" t="str">
        <x:f>"온도|"&amp;M353</x:f>
        <x:v>온도|온대</x:v>
      </x:c>
      <x:c r="AI353" s="5" t="str">
        <x:f>"습도|"&amp;N353</x:f>
        <x:v>습도|보통</x:v>
      </x:c>
      <x:c r="AJ353" s="5" t="str">
        <x:f>"날씨|"&amp;O353</x:f>
        <x:v>날씨|무관</x:v>
      </x:c>
      <x:c r="AK353" s="5" t="str">
        <x:f>"특수태그|"&amp;R353</x:f>
        <x:v>특수태그|없음</x:v>
      </x:c>
      <x:c r="AL353" s="5" t="str">
        <x:f>"원본서식지|"&amp;S353</x:f>
        <x:v>원본서식지|</x:v>
      </x:c>
      <x:c r="AM353" s="5" t="str">
        <x:f>"타입|"&amp;F353</x:f>
        <x:v>타입|물</x:v>
      </x:c>
      <x:c r="AN353" s="5" t="str">
        <x:f>"타입|"&amp;G353</x:f>
        <x:v>타입|</x:v>
      </x:c>
    </x:row>
    <x:row r="354" ht="24" customHeight="1">
      <x:c r="A354" s="5" t="n">
        <x:v>350</x:v>
      </x:c>
      <x:c r="B354" s="5" t="inlineStr">
        <x:is>
          <x:t xml:space="preserve">밀로틱</x:t>
        </x:is>
      </x:c>
      <x:c r="C354" s="5" t="inlineStr">
        <x:is>
          <x:t xml:space="preserve">milotic</x:t>
        </x:is>
      </x:c>
      <x:c r="D354" s="5" t="inlineStr">
        <x:is>
          <x:t xml:space="preserve">Milotic</x:t>
        </x:is>
      </x:c>
      <x:c r="E354" s="5" t="n">
        <x:v>3</x:v>
      </x:c>
      <x:c r="F354" s="5" t="inlineStr">
        <x:is>
          <x:t xml:space="preserve">물</x:t>
        </x:is>
      </x:c>
      <x:c r="G354" s="5" t="inlineStr">
        <x:is>
          <x:t xml:space="preserve"/>
        </x:is>
      </x:c>
      <x:c r="H354" s="6" t="n">
        <x:v>162</x:v>
      </x:c>
      <x:c r="I354" s="5" t="n"/>
      <x:c r="J354" s="5" t="inlineStr">
        <x:is>
          <x:t xml:space="preserve">최종</x:t>
        </x:is>
      </x:c>
      <x:c r="K354" s="7" t="inlineStr">
        <x:is>
          <x:t xml:space="preserve">수륙</x:t>
        </x:is>
      </x:c>
      <x:c r="L354" s="7" t="inlineStr">
        <x:is>
          <x:t xml:space="preserve">담수</x:t>
        </x:is>
      </x:c>
      <x:c r="M354" s="7" t="inlineStr">
        <x:is>
          <x:t xml:space="preserve">온대</x:t>
        </x:is>
      </x:c>
      <x:c r="N354" s="7" t="inlineStr">
        <x:is>
          <x:t xml:space="preserve">보통</x:t>
        </x:is>
      </x:c>
      <x:c r="O354" s="7" t="inlineStr">
        <x:is>
          <x:t xml:space="preserve">무관</x:t>
        </x:is>
      </x:c>
      <x:c r="P354" s="7" t="inlineStr">
        <x:is>
          <x:t xml:space="preserve">무관</x:t>
        </x:is>
      </x:c>
      <x:c r="Q354" s="7" t="inlineStr">
        <x:is>
          <x:t xml:space="preserve">흔함</x:t>
        </x:is>
      </x:c>
      <x:c r="R354" s="7" t="inlineStr">
        <x:is>
          <x:t xml:space="preserve">없음</x:t>
        </x:is>
      </x:c>
      <x:c r="S354" s="7" t="inlineStr">
        <x:is>
          <x:t xml:space="preserve"/>
        </x:is>
      </x:c>
      <x:c r="T354" s="7" t="inlineStr">
        <x:is>
          <x:t xml:space="preserve"/>
        </x:is>
      </x:c>
      <x:c r="U354" s="8" t="str">
        <x:f>INDEX('서식지_점수'!$E$4:$P$4,1,MATCH(MAX('서식지_점수'!E354:P354),'서식지_점수'!E354:P354,0))</x:f>
        <x:v>습지</x:v>
      </x:c>
      <x:c r="V354" s="8" t="str">
        <x:f>IF(T354&lt;&gt;"",T354,U354)</x:f>
        <x:v>습지</x:v>
      </x:c>
      <x:c r="W354" s="8" t="str">
        <x:f>IFERROR(INDEX('서식지_점수'!$E$4:$P$4,1,MATCH(MAXIFS('서식지_점수'!E354:P354,'서식지_점수'!E354:P354,"&lt;"&amp;MAX('서식지_점수'!E354:P354)),'서식지_점수'!E354:P354,0)),"")</x:f>
        <x:v>담수</x:v>
      </x:c>
      <x:c r="X354" s="8" t="str">
        <x:f>IF(T354&lt;&gt;"","수동확정",IF(MAX('서식지_점수'!E354:P354)-LARGE('서식지_점수'!E354:P354,2)&gt;=15,"높음",IF(MAX('서식지_점수'!E354:P354)-LARGE('서식지_점수'!E354:P354,2)&gt;=8,"보통","검토필요")))</x:f>
        <x:v>검토필요</x:v>
      </x:c>
      <x:c r="Y354" s="9" t="n">
        <x:f>IF(Q354="전설",8,IF(Q354="희귀",7,IF(J354="기본",1,IF(J354="중간",3,IF(J354="최종",IF(I354="",5,IF(I354&lt;=20,3,IF(I354&lt;=35,4,IF(I354&lt;=50,6,7)))),IF(Q354="드묾",4,2))))))</x:f>
        <x:v>5</x:v>
      </x:c>
      <x:c r="Z354" s="5" t="inlineStr">
        <x:is>
          <x:t xml:space="preserve">#cobblemon:is_overworld</x:t>
        </x:is>
      </x:c>
      <x:c r="AA354" s="5" t="inlineStr">
        <x:is>
          <x:t xml:space="preserve">common</x:t>
        </x:is>
      </x:c>
      <x:c r="AB354" s="5" t="inlineStr">
        <x:is>
          <x:t xml:space="preserve">예</x:t>
        </x:is>
      </x:c>
      <x:c r="AC354" s="8" t="str">
        <x:f>IF(T354&lt;&gt;"","수동확정",IF(X354="검토필요","검토필요",IF(S354="","원본없음","초기완료")))</x:f>
        <x:v>검토필요</x:v>
      </x:c>
      <x:c r="AD354" s="7" t="inlineStr">
        <x:is>
          <x:t xml:space="preserve"/>
        </x:is>
      </x:c>
      <x:c r="AE354" s="5" t="inlineStr">
        <x:is>
          <x:t xml:space="preserve">.tmp/cobblemon-1.7.3-source/common/src/main/resources/data/cobblemon/species/generation3/milotic.json</x:t>
        </x:is>
      </x:c>
      <x:c r="AF354" s="5" t="str">
        <x:f>"생활권|"&amp;K354</x:f>
        <x:v>생활권|수륙</x:v>
      </x:c>
      <x:c r="AG354" s="5" t="str">
        <x:f>"지형|"&amp;L354</x:f>
        <x:v>지형|담수</x:v>
      </x:c>
      <x:c r="AH354" s="5" t="str">
        <x:f>"온도|"&amp;M354</x:f>
        <x:v>온도|온대</x:v>
      </x:c>
      <x:c r="AI354" s="5" t="str">
        <x:f>"습도|"&amp;N354</x:f>
        <x:v>습도|보통</x:v>
      </x:c>
      <x:c r="AJ354" s="5" t="str">
        <x:f>"날씨|"&amp;O354</x:f>
        <x:v>날씨|무관</x:v>
      </x:c>
      <x:c r="AK354" s="5" t="str">
        <x:f>"특수태그|"&amp;R354</x:f>
        <x:v>특수태그|없음</x:v>
      </x:c>
      <x:c r="AL354" s="5" t="str">
        <x:f>"원본서식지|"&amp;S354</x:f>
        <x:v>원본서식지|</x:v>
      </x:c>
      <x:c r="AM354" s="5" t="str">
        <x:f>"타입|"&amp;F354</x:f>
        <x:v>타입|물</x:v>
      </x:c>
      <x:c r="AN354" s="5" t="str">
        <x:f>"타입|"&amp;G354</x:f>
        <x:v>타입|</x:v>
      </x:c>
    </x:row>
    <x:row r="355" ht="24" customHeight="1">
      <x:c r="A355" s="5" t="n">
        <x:v>351</x:v>
      </x:c>
      <x:c r="B355" s="5" t="inlineStr">
        <x:is>
          <x:t xml:space="preserve">캐스퐁</x:t>
        </x:is>
      </x:c>
      <x:c r="C355" s="5" t="inlineStr">
        <x:is>
          <x:t xml:space="preserve">castform</x:t>
        </x:is>
      </x:c>
      <x:c r="D355" s="5" t="inlineStr">
        <x:is>
          <x:t xml:space="preserve">Castform</x:t>
        </x:is>
      </x:c>
      <x:c r="E355" s="5" t="n">
        <x:v>3</x:v>
      </x:c>
      <x:c r="F355" s="5" t="inlineStr">
        <x:is>
          <x:t xml:space="preserve">노말</x:t>
        </x:is>
      </x:c>
      <x:c r="G355" s="5" t="inlineStr">
        <x:is>
          <x:t xml:space="preserve"/>
        </x:is>
      </x:c>
      <x:c r="H355" s="6" t="n">
        <x:v>0.8</x:v>
      </x:c>
      <x:c r="I355" s="5" t="n"/>
      <x:c r="J355" s="5" t="inlineStr">
        <x:is>
          <x:t xml:space="preserve">무진화</x:t>
        </x:is>
      </x:c>
      <x:c r="K355" s="7" t="inlineStr">
        <x:is>
          <x:t xml:space="preserve">인공</x:t>
        </x:is>
      </x:c>
      <x:c r="L355" s="7" t="inlineStr">
        <x:is>
          <x:t xml:space="preserve">해안·해양</x:t>
        </x:is>
      </x:c>
      <x:c r="M355" s="7" t="inlineStr">
        <x:is>
          <x:t xml:space="preserve">온대</x:t>
        </x:is>
      </x:c>
      <x:c r="N355" s="7" t="inlineStr">
        <x:is>
          <x:t xml:space="preserve">보통</x:t>
        </x:is>
      </x:c>
      <x:c r="O355" s="7" t="inlineStr">
        <x:is>
          <x:t xml:space="preserve">비</x:t>
        </x:is>
      </x:c>
      <x:c r="P355" s="7" t="inlineStr">
        <x:is>
          <x:t xml:space="preserve">낮</x:t>
        </x:is>
      </x:c>
      <x:c r="Q355" s="7" t="inlineStr">
        <x:is>
          <x:t xml:space="preserve">보통</x:t>
        </x:is>
      </x:c>
      <x:c r="R355" s="7" t="inlineStr">
        <x:is>
          <x:t xml:space="preserve">도시</x:t>
        </x:is>
      </x:c>
      <x:c r="S355" s="7" t="inlineStr">
        <x:is>
          <x:t xml:space="preserve">해양</x:t>
        </x:is>
      </x:c>
      <x:c r="T355" s="7" t="inlineStr">
        <x:is>
          <x:t xml:space="preserve"/>
        </x:is>
      </x:c>
      <x:c r="U355" s="8" t="str">
        <x:f>INDEX('서식지_점수'!$E$4:$P$4,1,MATCH(MAX('서식지_점수'!E355:P355),'서식지_점수'!E355:P355,0))</x:f>
        <x:v>도시</x:v>
      </x:c>
      <x:c r="V355" s="8" t="str">
        <x:f>IF(T355&lt;&gt;"",T355,U355)</x:f>
        <x:v>도시</x:v>
      </x:c>
      <x:c r="W355" s="8" t="str">
        <x:f>IFERROR(INDEX('서식지_점수'!$E$4:$P$4,1,MATCH(MAXIFS('서식지_점수'!E355:P355,'서식지_점수'!E355:P355,"&lt;"&amp;MAX('서식지_점수'!E355:P355)),'서식지_점수'!E355:P355,0)),"")</x:f>
        <x:v>특수</x:v>
      </x:c>
      <x:c r="X355" s="8" t="str">
        <x:f>IF(T355&lt;&gt;"","수동확정",IF(MAX('서식지_점수'!E355:P355)-LARGE('서식지_점수'!E355:P355,2)&gt;=15,"높음",IF(MAX('서식지_점수'!E355:P355)-LARGE('서식지_점수'!E355:P355,2)&gt;=8,"보통","검토필요")))</x:f>
        <x:v>높음</x:v>
      </x:c>
      <x:c r="Y355" s="9" t="n">
        <x:f>IF(Q355="전설",8,IF(Q355="희귀",7,IF(J355="기본",1,IF(J355="중간",3,IF(J355="최종",IF(I355="",5,IF(I355&lt;=20,3,IF(I355&lt;=35,4,IF(I355&lt;=50,6,7)))),IF(Q355="드묾",4,2))))))</x:f>
        <x:v>2</x:v>
      </x:c>
      <x:c r="Z355" s="5" t="inlineStr">
        <x:is>
          <x:t xml:space="preserve">#cobblemon:is_arid; #cobblemon:is_beach; #cobblemon:is_freezing; #cobblemon:is_plains; #minecraft:is_overworld</x:t>
        </x:is>
      </x:c>
      <x:c r="AA355" s="5" t="inlineStr">
        <x:is>
          <x:t xml:space="preserve">uncommon</x:t>
        </x:is>
      </x:c>
      <x:c r="AB355" s="5" t="inlineStr">
        <x:is>
          <x:t xml:space="preserve">아니오</x:t>
        </x:is>
      </x:c>
      <x:c r="AC355" s="8" t="str">
        <x:f>IF(T355&lt;&gt;"","수동확정",IF(X355="검토필요","검토필요",IF(S355="","원본없음","초기완료")))</x:f>
        <x:v>초기완료</x:v>
      </x:c>
      <x:c r="AD355" s="7" t="inlineStr">
        <x:is>
          <x:t xml:space="preserve"/>
        </x:is>
      </x:c>
      <x:c r="AE355" s="5" t="inlineStr">
        <x:is>
          <x:t xml:space="preserve">.tmp/cobblemon-1.7.3-source/common/src/main/resources/data/cobblemon/species/generation3/castform.json</x:t>
        </x:is>
      </x:c>
      <x:c r="AF355" s="5" t="str">
        <x:f>"생활권|"&amp;K355</x:f>
        <x:v>생활권|인공</x:v>
      </x:c>
      <x:c r="AG355" s="5" t="str">
        <x:f>"지형|"&amp;L355</x:f>
        <x:v>지형|해안·해양</x:v>
      </x:c>
      <x:c r="AH355" s="5" t="str">
        <x:f>"온도|"&amp;M355</x:f>
        <x:v>온도|온대</x:v>
      </x:c>
      <x:c r="AI355" s="5" t="str">
        <x:f>"습도|"&amp;N355</x:f>
        <x:v>습도|보통</x:v>
      </x:c>
      <x:c r="AJ355" s="5" t="str">
        <x:f>"날씨|"&amp;O355</x:f>
        <x:v>날씨|비</x:v>
      </x:c>
      <x:c r="AK355" s="5" t="str">
        <x:f>"특수태그|"&amp;R355</x:f>
        <x:v>특수태그|도시</x:v>
      </x:c>
      <x:c r="AL355" s="5" t="str">
        <x:f>"원본서식지|"&amp;S355</x:f>
        <x:v>원본서식지|해양</x:v>
      </x:c>
      <x:c r="AM355" s="5" t="str">
        <x:f>"타입|"&amp;F355</x:f>
        <x:v>타입|노말</x:v>
      </x:c>
      <x:c r="AN355" s="5" t="str">
        <x:f>"타입|"&amp;G355</x:f>
        <x:v>타입|</x:v>
      </x:c>
    </x:row>
    <x:row r="356" ht="24" customHeight="1">
      <x:c r="A356" s="5" t="n">
        <x:v>352</x:v>
      </x:c>
      <x:c r="B356" s="5" t="inlineStr">
        <x:is>
          <x:t xml:space="preserve">켈리몬</x:t>
        </x:is>
      </x:c>
      <x:c r="C356" s="5" t="inlineStr">
        <x:is>
          <x:t xml:space="preserve">kecleon</x:t>
        </x:is>
      </x:c>
      <x:c r="D356" s="5" t="inlineStr">
        <x:is>
          <x:t xml:space="preserve">Kecleon</x:t>
        </x:is>
      </x:c>
      <x:c r="E356" s="5" t="n">
        <x:v>3</x:v>
      </x:c>
      <x:c r="F356" s="5" t="inlineStr">
        <x:is>
          <x:t xml:space="preserve">노말</x:t>
        </x:is>
      </x:c>
      <x:c r="G356" s="5" t="inlineStr">
        <x:is>
          <x:t xml:space="preserve"/>
        </x:is>
      </x:c>
      <x:c r="H356" s="6" t="n">
        <x:v>22</x:v>
      </x:c>
      <x:c r="I356" s="5" t="n"/>
      <x:c r="J356" s="5" t="inlineStr">
        <x:is>
          <x:t xml:space="preserve">무진화</x:t>
        </x:is>
      </x:c>
      <x:c r="K356" s="7" t="inlineStr">
        <x:is>
          <x:t xml:space="preserve">육상</x:t>
        </x:is>
      </x:c>
      <x:c r="L356" s="7" t="inlineStr">
        <x:is>
          <x:t xml:space="preserve">수목</x:t>
        </x:is>
      </x:c>
      <x:c r="M356" s="7" t="inlineStr">
        <x:is>
          <x:t xml:space="preserve">온대</x:t>
        </x:is>
      </x:c>
      <x:c r="N356" s="7" t="inlineStr">
        <x:is>
          <x:t xml:space="preserve">다습</x:t>
        </x:is>
      </x:c>
      <x:c r="O356" s="7" t="inlineStr">
        <x:is>
          <x:t xml:space="preserve">무관</x:t>
        </x:is>
      </x:c>
      <x:c r="P356" s="7" t="inlineStr">
        <x:is>
          <x:t xml:space="preserve">무관</x:t>
        </x:is>
      </x:c>
      <x:c r="Q356" s="7" t="inlineStr">
        <x:is>
          <x:t xml:space="preserve">보통</x:t>
        </x:is>
      </x:c>
      <x:c r="R356" s="7" t="inlineStr">
        <x:is>
          <x:t xml:space="preserve">없음</x:t>
        </x:is>
      </x:c>
      <x:c r="S356" s="7" t="inlineStr">
        <x:is>
          <x:t xml:space="preserve">숲</x:t>
        </x:is>
      </x:c>
      <x:c r="T356" s="7" t="inlineStr">
        <x:is>
          <x:t xml:space="preserve"/>
        </x:is>
      </x:c>
      <x:c r="U356" s="8" t="str">
        <x:f>INDEX('서식지_점수'!$E$4:$P$4,1,MATCH(MAX('서식지_점수'!E356:P356),'서식지_점수'!E356:P356,0))</x:f>
        <x:v>평원</x:v>
      </x:c>
      <x:c r="V356" s="8" t="str">
        <x:f>IF(T356&lt;&gt;"",T356,U356)</x:f>
        <x:v>평원</x:v>
      </x:c>
      <x:c r="W356" s="8" t="str">
        <x:f>IFERROR(INDEX('서식지_점수'!$E$4:$P$4,1,MATCH(MAXIFS('서식지_점수'!E356:P356,'서식지_점수'!E356:P356,"&lt;"&amp;MAX('서식지_점수'!E356:P356)),'서식지_점수'!E356:P356,0)),"")</x:f>
        <x:v>숲</x:v>
      </x:c>
      <x:c r="X356" s="8" t="str">
        <x:f>IF(T356&lt;&gt;"","수동확정",IF(MAX('서식지_점수'!E356:P356)-LARGE('서식지_점수'!E356:P356,2)&gt;=15,"높음",IF(MAX('서식지_점수'!E356:P356)-LARGE('서식지_점수'!E356:P356,2)&gt;=8,"보통","검토필요")))</x:f>
        <x:v>검토필요</x:v>
      </x:c>
      <x:c r="Y356" s="9" t="n">
        <x:f>IF(Q356="전설",8,IF(Q356="희귀",7,IF(J356="기본",1,IF(J356="중간",3,IF(J356="최종",IF(I356="",5,IF(I356&lt;=20,3,IF(I356&lt;=35,4,IF(I356&lt;=50,6,7)))),IF(Q356="드묾",4,2))))))</x:f>
        <x:v>2</x:v>
      </x:c>
      <x:c r="Z356" s="5" t="inlineStr">
        <x:is>
          <x:t xml:space="preserve">#cobblemon:is_jungle; #cobblemon:is_tropical_island</x:t>
        </x:is>
      </x:c>
      <x:c r="AA356" s="5" t="inlineStr">
        <x:is>
          <x:t xml:space="preserve">uncommon</x:t>
        </x:is>
      </x:c>
      <x:c r="AB356" s="5" t="inlineStr">
        <x:is>
          <x:t xml:space="preserve">예</x:t>
        </x:is>
      </x:c>
      <x:c r="AC356" s="8" t="str">
        <x:f>IF(T356&lt;&gt;"","수동확정",IF(X356="검토필요","검토필요",IF(S356="","원본없음","초기완료")))</x:f>
        <x:v>검토필요</x:v>
      </x:c>
      <x:c r="AD356" s="7" t="inlineStr">
        <x:is>
          <x:t xml:space="preserve"/>
        </x:is>
      </x:c>
      <x:c r="AE356" s="5" t="inlineStr">
        <x:is>
          <x:t xml:space="preserve">.tmp/cobblemon-1.7.3-source/common/src/main/resources/data/cobblemon/species/generation3/kecleon.json</x:t>
        </x:is>
      </x:c>
      <x:c r="AF356" s="5" t="str">
        <x:f>"생활권|"&amp;K356</x:f>
        <x:v>생활권|육상</x:v>
      </x:c>
      <x:c r="AG356" s="5" t="str">
        <x:f>"지형|"&amp;L356</x:f>
        <x:v>지형|수목</x:v>
      </x:c>
      <x:c r="AH356" s="5" t="str">
        <x:f>"온도|"&amp;M356</x:f>
        <x:v>온도|온대</x:v>
      </x:c>
      <x:c r="AI356" s="5" t="str">
        <x:f>"습도|"&amp;N356</x:f>
        <x:v>습도|다습</x:v>
      </x:c>
      <x:c r="AJ356" s="5" t="str">
        <x:f>"날씨|"&amp;O356</x:f>
        <x:v>날씨|무관</x:v>
      </x:c>
      <x:c r="AK356" s="5" t="str">
        <x:f>"특수태그|"&amp;R356</x:f>
        <x:v>특수태그|없음</x:v>
      </x:c>
      <x:c r="AL356" s="5" t="str">
        <x:f>"원본서식지|"&amp;S356</x:f>
        <x:v>원본서식지|숲</x:v>
      </x:c>
      <x:c r="AM356" s="5" t="str">
        <x:f>"타입|"&amp;F356</x:f>
        <x:v>타입|노말</x:v>
      </x:c>
      <x:c r="AN356" s="5" t="str">
        <x:f>"타입|"&amp;G356</x:f>
        <x:v>타입|</x:v>
      </x:c>
    </x:row>
    <x:row r="357" ht="24" customHeight="1">
      <x:c r="A357" s="5" t="n">
        <x:v>353</x:v>
      </x:c>
      <x:c r="B357" s="5" t="inlineStr">
        <x:is>
          <x:t xml:space="preserve">어둠대신</x:t>
        </x:is>
      </x:c>
      <x:c r="C357" s="5" t="inlineStr">
        <x:is>
          <x:t xml:space="preserve">shuppet</x:t>
        </x:is>
      </x:c>
      <x:c r="D357" s="5" t="inlineStr">
        <x:is>
          <x:t xml:space="preserve">Shuppet</x:t>
        </x:is>
      </x:c>
      <x:c r="E357" s="5" t="n">
        <x:v>3</x:v>
      </x:c>
      <x:c r="F357" s="5" t="inlineStr">
        <x:is>
          <x:t xml:space="preserve">고스트</x:t>
        </x:is>
      </x:c>
      <x:c r="G357" s="5" t="inlineStr">
        <x:is>
          <x:t xml:space="preserve"/>
        </x:is>
      </x:c>
      <x:c r="H357" s="6" t="n">
        <x:v>2.3</x:v>
      </x:c>
      <x:c r="I357" s="5" t="n">
        <x:v>37</x:v>
      </x:c>
      <x:c r="J357" s="5" t="inlineStr">
        <x:is>
          <x:t xml:space="preserve">기본</x:t>
        </x:is>
      </x:c>
      <x:c r="K357" s="7" t="inlineStr">
        <x:is>
          <x:t xml:space="preserve">비행</x:t>
        </x:is>
      </x:c>
      <x:c r="L357" s="7" t="inlineStr">
        <x:is>
          <x:t xml:space="preserve">특수</x:t>
        </x:is>
      </x:c>
      <x:c r="M357" s="7" t="inlineStr">
        <x:is>
          <x:t xml:space="preserve">온대</x:t>
        </x:is>
      </x:c>
      <x:c r="N357" s="7" t="inlineStr">
        <x:is>
          <x:t xml:space="preserve">보통</x:t>
        </x:is>
      </x:c>
      <x:c r="O357" s="7" t="inlineStr">
        <x:is>
          <x:t xml:space="preserve">안개</x:t>
        </x:is>
      </x:c>
      <x:c r="P357" s="7" t="inlineStr">
        <x:is>
          <x:t xml:space="preserve">밤</x:t>
        </x:is>
      </x:c>
      <x:c r="Q357" s="7" t="inlineStr">
        <x:is>
          <x:t xml:space="preserve">보통</x:t>
        </x:is>
      </x:c>
      <x:c r="R357" s="7" t="inlineStr">
        <x:is>
          <x:t xml:space="preserve">영체</x:t>
        </x:is>
      </x:c>
      <x:c r="S357" s="7" t="inlineStr">
        <x:is>
          <x:t xml:space="preserve">특수</x:t>
        </x:is>
      </x:c>
      <x:c r="T357" s="7" t="inlineStr">
        <x:is>
          <x:t xml:space="preserve"/>
        </x:is>
      </x:c>
      <x:c r="U357" s="8" t="str">
        <x:f>INDEX('서식지_점수'!$E$4:$P$4,1,MATCH(MAX('서식지_점수'!E357:P357),'서식지_점수'!E357:P357,0))</x:f>
        <x:v>산악</x:v>
      </x:c>
      <x:c r="V357" s="8" t="str">
        <x:f>IF(T357&lt;&gt;"",T357,U357)</x:f>
        <x:v>산악</x:v>
      </x:c>
      <x:c r="W357" s="8" t="str">
        <x:f>IFERROR(INDEX('서식지_점수'!$E$4:$P$4,1,MATCH(MAXIFS('서식지_점수'!E357:P357,'서식지_점수'!E357:P357,"&lt;"&amp;MAX('서식지_점수'!E357:P357)),'서식지_점수'!E357:P357,0)),"")</x:f>
        <x:v>평원</x:v>
      </x:c>
      <x:c r="X357" s="8" t="str">
        <x:f>IF(T357&lt;&gt;"","수동확정",IF(MAX('서식지_점수'!E357:P357)-LARGE('서식지_점수'!E357:P357,2)&gt;=15,"높음",IF(MAX('서식지_점수'!E357:P357)-LARGE('서식지_점수'!E357:P357,2)&gt;=8,"보통","검토필요")))</x:f>
        <x:v>검토필요</x:v>
      </x:c>
      <x:c r="Y357" s="9" t="n">
        <x:f>IF(Q357="전설",8,IF(Q357="희귀",7,IF(J357="기본",1,IF(J357="중간",3,IF(J357="최종",IF(I357="",5,IF(I357&lt;=20,3,IF(I357&lt;=35,4,IF(I357&lt;=50,6,7)))),IF(Q357="드묾",4,2))))))</x:f>
        <x:v>1</x:v>
      </x:c>
      <x:c r="Z357" s="5" t="inlineStr">
        <x:is>
          <x:t xml:space="preserve">#cobblemon:is_overworld; #cobblemon:is_spooky</x:t>
        </x:is>
      </x:c>
      <x:c r="AA357" s="5" t="inlineStr">
        <x:is>
          <x:t xml:space="preserve">common; uncommon</x:t>
        </x:is>
      </x:c>
      <x:c r="AB357" s="5" t="inlineStr">
        <x:is>
          <x:t xml:space="preserve">예</x:t>
        </x:is>
      </x:c>
      <x:c r="AC357" s="8" t="str">
        <x:f>IF(T357&lt;&gt;"","수동확정",IF(X357="검토필요","검토필요",IF(S357="","원본없음","초기완료")))</x:f>
        <x:v>검토필요</x:v>
      </x:c>
      <x:c r="AD357" s="7" t="inlineStr">
        <x:is>
          <x:t xml:space="preserve"/>
        </x:is>
      </x:c>
      <x:c r="AE357" s="5" t="inlineStr">
        <x:is>
          <x:t xml:space="preserve">.tmp/cobblemon-1.7.3-source/common/src/main/resources/data/cobblemon/species/generation3/shuppet.json</x:t>
        </x:is>
      </x:c>
      <x:c r="AF357" s="5" t="str">
        <x:f>"생활권|"&amp;K357</x:f>
        <x:v>생활권|비행</x:v>
      </x:c>
      <x:c r="AG357" s="5" t="str">
        <x:f>"지형|"&amp;L357</x:f>
        <x:v>지형|특수</x:v>
      </x:c>
      <x:c r="AH357" s="5" t="str">
        <x:f>"온도|"&amp;M357</x:f>
        <x:v>온도|온대</x:v>
      </x:c>
      <x:c r="AI357" s="5" t="str">
        <x:f>"습도|"&amp;N357</x:f>
        <x:v>습도|보통</x:v>
      </x:c>
      <x:c r="AJ357" s="5" t="str">
        <x:f>"날씨|"&amp;O357</x:f>
        <x:v>날씨|안개</x:v>
      </x:c>
      <x:c r="AK357" s="5" t="str">
        <x:f>"특수태그|"&amp;R357</x:f>
        <x:v>특수태그|영체</x:v>
      </x:c>
      <x:c r="AL357" s="5" t="str">
        <x:f>"원본서식지|"&amp;S357</x:f>
        <x:v>원본서식지|특수</x:v>
      </x:c>
      <x:c r="AM357" s="5" t="str">
        <x:f>"타입|"&amp;F357</x:f>
        <x:v>타입|고스트</x:v>
      </x:c>
      <x:c r="AN357" s="5" t="str">
        <x:f>"타입|"&amp;G357</x:f>
        <x:v>타입|</x:v>
      </x:c>
    </x:row>
    <x:row r="358" ht="24" customHeight="1">
      <x:c r="A358" s="5" t="n">
        <x:v>354</x:v>
      </x:c>
      <x:c r="B358" s="5" t="inlineStr">
        <x:is>
          <x:t xml:space="preserve">다크펫</x:t>
        </x:is>
      </x:c>
      <x:c r="C358" s="5" t="inlineStr">
        <x:is>
          <x:t xml:space="preserve">banette</x:t>
        </x:is>
      </x:c>
      <x:c r="D358" s="5" t="inlineStr">
        <x:is>
          <x:t xml:space="preserve">Banette</x:t>
        </x:is>
      </x:c>
      <x:c r="E358" s="5" t="n">
        <x:v>3</x:v>
      </x:c>
      <x:c r="F358" s="5" t="inlineStr">
        <x:is>
          <x:t xml:space="preserve">고스트</x:t>
        </x:is>
      </x:c>
      <x:c r="G358" s="5" t="inlineStr">
        <x:is>
          <x:t xml:space="preserve"/>
        </x:is>
      </x:c>
      <x:c r="H358" s="6" t="n">
        <x:v>12.5</x:v>
      </x:c>
      <x:c r="I358" s="5" t="n">
        <x:v>37</x:v>
      </x:c>
      <x:c r="J358" s="5" t="inlineStr">
        <x:is>
          <x:t xml:space="preserve">최종</x:t>
        </x:is>
      </x:c>
      <x:c r="K358" s="7" t="inlineStr">
        <x:is>
          <x:t xml:space="preserve">비행</x:t>
        </x:is>
      </x:c>
      <x:c r="L358" s="7" t="inlineStr">
        <x:is>
          <x:t xml:space="preserve">특수</x:t>
        </x:is>
      </x:c>
      <x:c r="M358" s="7" t="inlineStr">
        <x:is>
          <x:t xml:space="preserve">온대</x:t>
        </x:is>
      </x:c>
      <x:c r="N358" s="7" t="inlineStr">
        <x:is>
          <x:t xml:space="preserve">보통</x:t>
        </x:is>
      </x:c>
      <x:c r="O358" s="7" t="inlineStr">
        <x:is>
          <x:t xml:space="preserve">안개</x:t>
        </x:is>
      </x:c>
      <x:c r="P358" s="7" t="inlineStr">
        <x:is>
          <x:t xml:space="preserve">밤</x:t>
        </x:is>
      </x:c>
      <x:c r="Q358" s="7" t="inlineStr">
        <x:is>
          <x:t xml:space="preserve">보통</x:t>
        </x:is>
      </x:c>
      <x:c r="R358" s="7" t="inlineStr">
        <x:is>
          <x:t xml:space="preserve">영체</x:t>
        </x:is>
      </x:c>
      <x:c r="S358" s="7" t="inlineStr">
        <x:is>
          <x:t xml:space="preserve">특수</x:t>
        </x:is>
      </x:c>
      <x:c r="T358" s="7" t="inlineStr">
        <x:is>
          <x:t xml:space="preserve"/>
        </x:is>
      </x:c>
      <x:c r="U358" s="8" t="str">
        <x:f>INDEX('서식지_점수'!$E$4:$P$4,1,MATCH(MAX('서식지_점수'!E358:P358),'서식지_점수'!E358:P358,0))</x:f>
        <x:v>산악</x:v>
      </x:c>
      <x:c r="V358" s="8" t="str">
        <x:f>IF(T358&lt;&gt;"",T358,U358)</x:f>
        <x:v>산악</x:v>
      </x:c>
      <x:c r="W358" s="8" t="str">
        <x:f>IFERROR(INDEX('서식지_점수'!$E$4:$P$4,1,MATCH(MAXIFS('서식지_점수'!E358:P358,'서식지_점수'!E358:P358,"&lt;"&amp;MAX('서식지_점수'!E358:P358)),'서식지_점수'!E358:P358,0)),"")</x:f>
        <x:v>평원</x:v>
      </x:c>
      <x:c r="X358" s="8" t="str">
        <x:f>IF(T358&lt;&gt;"","수동확정",IF(MAX('서식지_점수'!E358:P358)-LARGE('서식지_점수'!E358:P358,2)&gt;=15,"높음",IF(MAX('서식지_점수'!E358:P358)-LARGE('서식지_점수'!E358:P358,2)&gt;=8,"보통","검토필요")))</x:f>
        <x:v>검토필요</x:v>
      </x:c>
      <x:c r="Y358" s="9" t="n">
        <x:f>IF(Q358="전설",8,IF(Q358="희귀",7,IF(J358="기본",1,IF(J358="중간",3,IF(J358="최종",IF(I358="",5,IF(I358&lt;=20,3,IF(I358&lt;=35,4,IF(I358&lt;=50,6,7)))),IF(Q358="드묾",4,2))))))</x:f>
        <x:v>6</x:v>
      </x:c>
      <x:c r="Z358" s="5" t="inlineStr">
        <x:is>
          <x:t xml:space="preserve">#cobblemon:is_overworld; #cobblemon:is_spooky</x:t>
        </x:is>
      </x:c>
      <x:c r="AA358" s="5" t="inlineStr">
        <x:is>
          <x:t xml:space="preserve">common; uncommon</x:t>
        </x:is>
      </x:c>
      <x:c r="AB358" s="5" t="inlineStr">
        <x:is>
          <x:t xml:space="preserve">예</x:t>
        </x:is>
      </x:c>
      <x:c r="AC358" s="8" t="str">
        <x:f>IF(T358&lt;&gt;"","수동확정",IF(X358="검토필요","검토필요",IF(S358="","원본없음","초기완료")))</x:f>
        <x:v>검토필요</x:v>
      </x:c>
      <x:c r="AD358" s="7" t="inlineStr">
        <x:is>
          <x:t xml:space="preserve"/>
        </x:is>
      </x:c>
      <x:c r="AE358" s="5" t="inlineStr">
        <x:is>
          <x:t xml:space="preserve">.tmp/cobblemon-1.7.3-source/common/src/main/resources/data/cobblemon/species/generation3/banette.json</x:t>
        </x:is>
      </x:c>
      <x:c r="AF358" s="5" t="str">
        <x:f>"생활권|"&amp;K358</x:f>
        <x:v>생활권|비행</x:v>
      </x:c>
      <x:c r="AG358" s="5" t="str">
        <x:f>"지형|"&amp;L358</x:f>
        <x:v>지형|특수</x:v>
      </x:c>
      <x:c r="AH358" s="5" t="str">
        <x:f>"온도|"&amp;M358</x:f>
        <x:v>온도|온대</x:v>
      </x:c>
      <x:c r="AI358" s="5" t="str">
        <x:f>"습도|"&amp;N358</x:f>
        <x:v>습도|보통</x:v>
      </x:c>
      <x:c r="AJ358" s="5" t="str">
        <x:f>"날씨|"&amp;O358</x:f>
        <x:v>날씨|안개</x:v>
      </x:c>
      <x:c r="AK358" s="5" t="str">
        <x:f>"특수태그|"&amp;R358</x:f>
        <x:v>특수태그|영체</x:v>
      </x:c>
      <x:c r="AL358" s="5" t="str">
        <x:f>"원본서식지|"&amp;S358</x:f>
        <x:v>원본서식지|특수</x:v>
      </x:c>
      <x:c r="AM358" s="5" t="str">
        <x:f>"타입|"&amp;F358</x:f>
        <x:v>타입|고스트</x:v>
      </x:c>
      <x:c r="AN358" s="5" t="str">
        <x:f>"타입|"&amp;G358</x:f>
        <x:v>타입|</x:v>
      </x:c>
    </x:row>
    <x:row r="359" ht="24" customHeight="1">
      <x:c r="A359" s="5" t="n">
        <x:v>355</x:v>
      </x:c>
      <x:c r="B359" s="5" t="inlineStr">
        <x:is>
          <x:t xml:space="preserve">해골몽</x:t>
        </x:is>
      </x:c>
      <x:c r="C359" s="5" t="inlineStr">
        <x:is>
          <x:t xml:space="preserve">duskull</x:t>
        </x:is>
      </x:c>
      <x:c r="D359" s="5" t="inlineStr">
        <x:is>
          <x:t xml:space="preserve">Duskull</x:t>
        </x:is>
      </x:c>
      <x:c r="E359" s="5" t="n">
        <x:v>3</x:v>
      </x:c>
      <x:c r="F359" s="5" t="inlineStr">
        <x:is>
          <x:t xml:space="preserve">고스트</x:t>
        </x:is>
      </x:c>
      <x:c r="G359" s="5" t="inlineStr">
        <x:is>
          <x:t xml:space="preserve"/>
        </x:is>
      </x:c>
      <x:c r="H359" s="6" t="n">
        <x:v>15</x:v>
      </x:c>
      <x:c r="I359" s="5" t="n">
        <x:v>37</x:v>
      </x:c>
      <x:c r="J359" s="5" t="inlineStr">
        <x:is>
          <x:t xml:space="preserve">기본</x:t>
        </x:is>
      </x:c>
      <x:c r="K359" s="7" t="inlineStr">
        <x:is>
          <x:t xml:space="preserve">비행</x:t>
        </x:is>
      </x:c>
      <x:c r="L359" s="7" t="inlineStr">
        <x:is>
          <x:t xml:space="preserve">특수</x:t>
        </x:is>
      </x:c>
      <x:c r="M359" s="7" t="inlineStr">
        <x:is>
          <x:t xml:space="preserve">온대</x:t>
        </x:is>
      </x:c>
      <x:c r="N359" s="7" t="inlineStr">
        <x:is>
          <x:t xml:space="preserve">보통</x:t>
        </x:is>
      </x:c>
      <x:c r="O359" s="7" t="inlineStr">
        <x:is>
          <x:t xml:space="preserve">안개</x:t>
        </x:is>
      </x:c>
      <x:c r="P359" s="7" t="inlineStr">
        <x:is>
          <x:t xml:space="preserve">밤</x:t>
        </x:is>
      </x:c>
      <x:c r="Q359" s="7" t="inlineStr">
        <x:is>
          <x:t xml:space="preserve">흔함</x:t>
        </x:is>
      </x:c>
      <x:c r="R359" s="7" t="inlineStr">
        <x:is>
          <x:t xml:space="preserve">영체</x:t>
        </x:is>
      </x:c>
      <x:c r="S359" s="7" t="inlineStr">
        <x:is>
          <x:t xml:space="preserve">특수</x:t>
        </x:is>
      </x:c>
      <x:c r="T359" s="7" t="inlineStr">
        <x:is>
          <x:t xml:space="preserve"/>
        </x:is>
      </x:c>
      <x:c r="U359" s="8" t="str">
        <x:f>INDEX('서식지_점수'!$E$4:$P$4,1,MATCH(MAX('서식지_점수'!E359:P359),'서식지_점수'!E359:P359,0))</x:f>
        <x:v>산악</x:v>
      </x:c>
      <x:c r="V359" s="8" t="str">
        <x:f>IF(T359&lt;&gt;"",T359,U359)</x:f>
        <x:v>산악</x:v>
      </x:c>
      <x:c r="W359" s="8" t="str">
        <x:f>IFERROR(INDEX('서식지_점수'!$E$4:$P$4,1,MATCH(MAXIFS('서식지_점수'!E359:P359,'서식지_점수'!E359:P359,"&lt;"&amp;MAX('서식지_점수'!E359:P359)),'서식지_점수'!E359:P359,0)),"")</x:f>
        <x:v>평원</x:v>
      </x:c>
      <x:c r="X359" s="8" t="str">
        <x:f>IF(T359&lt;&gt;"","수동확정",IF(MAX('서식지_점수'!E359:P359)-LARGE('서식지_점수'!E359:P359,2)&gt;=15,"높음",IF(MAX('서식지_점수'!E359:P359)-LARGE('서식지_점수'!E359:P359,2)&gt;=8,"보통","검토필요")))</x:f>
        <x:v>검토필요</x:v>
      </x:c>
      <x:c r="Y359" s="9" t="n">
        <x:f>IF(Q359="전설",8,IF(Q359="희귀",7,IF(J359="기본",1,IF(J359="중간",3,IF(J359="최종",IF(I359="",5,IF(I359&lt;=20,3,IF(I359&lt;=35,4,IF(I359&lt;=50,6,7)))),IF(Q359="드묾",4,2))))))</x:f>
        <x:v>1</x:v>
      </x:c>
      <x:c r="Z359" s="5" t="inlineStr">
        <x:is>
          <x:t xml:space="preserve">#cobblemon:is_spooky; #cobblemon:nether/is_soul_sand</x:t>
        </x:is>
      </x:c>
      <x:c r="AA359" s="5" t="inlineStr">
        <x:is>
          <x:t xml:space="preserve">common</x:t>
        </x:is>
      </x:c>
      <x:c r="AB359" s="5" t="inlineStr">
        <x:is>
          <x:t xml:space="preserve">예</x:t>
        </x:is>
      </x:c>
      <x:c r="AC359" s="8" t="str">
        <x:f>IF(T359&lt;&gt;"","수동확정",IF(X359="검토필요","검토필요",IF(S359="","원본없음","초기완료")))</x:f>
        <x:v>검토필요</x:v>
      </x:c>
      <x:c r="AD359" s="7" t="inlineStr">
        <x:is>
          <x:t xml:space="preserve"/>
        </x:is>
      </x:c>
      <x:c r="AE359" s="5" t="inlineStr">
        <x:is>
          <x:t xml:space="preserve">.tmp/cobblemon-1.7.3-source/common/src/main/resources/data/cobblemon/species/generation3/duskull.json</x:t>
        </x:is>
      </x:c>
      <x:c r="AF359" s="5" t="str">
        <x:f>"생활권|"&amp;K359</x:f>
        <x:v>생활권|비행</x:v>
      </x:c>
      <x:c r="AG359" s="5" t="str">
        <x:f>"지형|"&amp;L359</x:f>
        <x:v>지형|특수</x:v>
      </x:c>
      <x:c r="AH359" s="5" t="str">
        <x:f>"온도|"&amp;M359</x:f>
        <x:v>온도|온대</x:v>
      </x:c>
      <x:c r="AI359" s="5" t="str">
        <x:f>"습도|"&amp;N359</x:f>
        <x:v>습도|보통</x:v>
      </x:c>
      <x:c r="AJ359" s="5" t="str">
        <x:f>"날씨|"&amp;O359</x:f>
        <x:v>날씨|안개</x:v>
      </x:c>
      <x:c r="AK359" s="5" t="str">
        <x:f>"특수태그|"&amp;R359</x:f>
        <x:v>특수태그|영체</x:v>
      </x:c>
      <x:c r="AL359" s="5" t="str">
        <x:f>"원본서식지|"&amp;S359</x:f>
        <x:v>원본서식지|특수</x:v>
      </x:c>
      <x:c r="AM359" s="5" t="str">
        <x:f>"타입|"&amp;F359</x:f>
        <x:v>타입|고스트</x:v>
      </x:c>
      <x:c r="AN359" s="5" t="str">
        <x:f>"타입|"&amp;G359</x:f>
        <x:v>타입|</x:v>
      </x:c>
    </x:row>
    <x:row r="360" ht="24" customHeight="1">
      <x:c r="A360" s="5" t="n">
        <x:v>356</x:v>
      </x:c>
      <x:c r="B360" s="5" t="inlineStr">
        <x:is>
          <x:t xml:space="preserve">미라몽</x:t>
        </x:is>
      </x:c>
      <x:c r="C360" s="5" t="inlineStr">
        <x:is>
          <x:t xml:space="preserve">dusclops</x:t>
        </x:is>
      </x:c>
      <x:c r="D360" s="5" t="inlineStr">
        <x:is>
          <x:t xml:space="preserve">Dusclops</x:t>
        </x:is>
      </x:c>
      <x:c r="E360" s="5" t="n">
        <x:v>3</x:v>
      </x:c>
      <x:c r="F360" s="5" t="inlineStr">
        <x:is>
          <x:t xml:space="preserve">고스트</x:t>
        </x:is>
      </x:c>
      <x:c r="G360" s="5" t="inlineStr">
        <x:is>
          <x:t xml:space="preserve"/>
        </x:is>
      </x:c>
      <x:c r="H360" s="6" t="n">
        <x:v>30.6</x:v>
      </x:c>
      <x:c r="I360" s="5" t="n">
        <x:v>37</x:v>
      </x:c>
      <x:c r="J360" s="5" t="inlineStr">
        <x:is>
          <x:t xml:space="preserve">중간</x:t>
        </x:is>
      </x:c>
      <x:c r="K360" s="7" t="inlineStr">
        <x:is>
          <x:t xml:space="preserve">비행</x:t>
        </x:is>
      </x:c>
      <x:c r="L360" s="7" t="inlineStr">
        <x:is>
          <x:t xml:space="preserve">특수</x:t>
        </x:is>
      </x:c>
      <x:c r="M360" s="7" t="inlineStr">
        <x:is>
          <x:t xml:space="preserve">온대</x:t>
        </x:is>
      </x:c>
      <x:c r="N360" s="7" t="inlineStr">
        <x:is>
          <x:t xml:space="preserve">보통</x:t>
        </x:is>
      </x:c>
      <x:c r="O360" s="7" t="inlineStr">
        <x:is>
          <x:t xml:space="preserve">안개</x:t>
        </x:is>
      </x:c>
      <x:c r="P360" s="7" t="inlineStr">
        <x:is>
          <x:t xml:space="preserve">밤</x:t>
        </x:is>
      </x:c>
      <x:c r="Q360" s="7" t="inlineStr">
        <x:is>
          <x:t xml:space="preserve">흔함</x:t>
        </x:is>
      </x:c>
      <x:c r="R360" s="7" t="inlineStr">
        <x:is>
          <x:t xml:space="preserve">영체</x:t>
        </x:is>
      </x:c>
      <x:c r="S360" s="7" t="inlineStr">
        <x:is>
          <x:t xml:space="preserve">특수</x:t>
        </x:is>
      </x:c>
      <x:c r="T360" s="7" t="inlineStr">
        <x:is>
          <x:t xml:space="preserve"/>
        </x:is>
      </x:c>
      <x:c r="U360" s="8" t="str">
        <x:f>INDEX('서식지_점수'!$E$4:$P$4,1,MATCH(MAX('서식지_점수'!E360:P360),'서식지_점수'!E360:P360,0))</x:f>
        <x:v>산악</x:v>
      </x:c>
      <x:c r="V360" s="8" t="str">
        <x:f>IF(T360&lt;&gt;"",T360,U360)</x:f>
        <x:v>산악</x:v>
      </x:c>
      <x:c r="W360" s="8" t="str">
        <x:f>IFERROR(INDEX('서식지_점수'!$E$4:$P$4,1,MATCH(MAXIFS('서식지_점수'!E360:P360,'서식지_점수'!E360:P360,"&lt;"&amp;MAX('서식지_점수'!E360:P360)),'서식지_점수'!E360:P360,0)),"")</x:f>
        <x:v>평원</x:v>
      </x:c>
      <x:c r="X360" s="8" t="str">
        <x:f>IF(T360&lt;&gt;"","수동확정",IF(MAX('서식지_점수'!E360:P360)-LARGE('서식지_점수'!E360:P360,2)&gt;=15,"높음",IF(MAX('서식지_점수'!E360:P360)-LARGE('서식지_점수'!E360:P360,2)&gt;=8,"보통","검토필요")))</x:f>
        <x:v>검토필요</x:v>
      </x:c>
      <x:c r="Y360" s="9" t="n">
        <x:f>IF(Q360="전설",8,IF(Q360="희귀",7,IF(J360="기본",1,IF(J360="중간",3,IF(J360="최종",IF(I360="",5,IF(I360&lt;=20,3,IF(I360&lt;=35,4,IF(I360&lt;=50,6,7)))),IF(Q360="드묾",4,2))))))</x:f>
        <x:v>3</x:v>
      </x:c>
      <x:c r="Z360" s="5" t="inlineStr">
        <x:is>
          <x:t xml:space="preserve">#cobblemon:is_spooky; #cobblemon:nether/is_soul_sand</x:t>
        </x:is>
      </x:c>
      <x:c r="AA360" s="5" t="inlineStr">
        <x:is>
          <x:t xml:space="preserve">common</x:t>
        </x:is>
      </x:c>
      <x:c r="AB360" s="5" t="inlineStr">
        <x:is>
          <x:t xml:space="preserve">예</x:t>
        </x:is>
      </x:c>
      <x:c r="AC360" s="8" t="str">
        <x:f>IF(T360&lt;&gt;"","수동확정",IF(X360="검토필요","검토필요",IF(S360="","원본없음","초기완료")))</x:f>
        <x:v>검토필요</x:v>
      </x:c>
      <x:c r="AD360" s="7" t="inlineStr">
        <x:is>
          <x:t xml:space="preserve"/>
        </x:is>
      </x:c>
      <x:c r="AE360" s="5" t="inlineStr">
        <x:is>
          <x:t xml:space="preserve">.tmp/cobblemon-1.7.3-source/common/src/main/resources/data/cobblemon/species/generation3/dusclops.json</x:t>
        </x:is>
      </x:c>
      <x:c r="AF360" s="5" t="str">
        <x:f>"생활권|"&amp;K360</x:f>
        <x:v>생활권|비행</x:v>
      </x:c>
      <x:c r="AG360" s="5" t="str">
        <x:f>"지형|"&amp;L360</x:f>
        <x:v>지형|특수</x:v>
      </x:c>
      <x:c r="AH360" s="5" t="str">
        <x:f>"온도|"&amp;M360</x:f>
        <x:v>온도|온대</x:v>
      </x:c>
      <x:c r="AI360" s="5" t="str">
        <x:f>"습도|"&amp;N360</x:f>
        <x:v>습도|보통</x:v>
      </x:c>
      <x:c r="AJ360" s="5" t="str">
        <x:f>"날씨|"&amp;O360</x:f>
        <x:v>날씨|안개</x:v>
      </x:c>
      <x:c r="AK360" s="5" t="str">
        <x:f>"특수태그|"&amp;R360</x:f>
        <x:v>특수태그|영체</x:v>
      </x:c>
      <x:c r="AL360" s="5" t="str">
        <x:f>"원본서식지|"&amp;S360</x:f>
        <x:v>원본서식지|특수</x:v>
      </x:c>
      <x:c r="AM360" s="5" t="str">
        <x:f>"타입|"&amp;F360</x:f>
        <x:v>타입|고스트</x:v>
      </x:c>
      <x:c r="AN360" s="5" t="str">
        <x:f>"타입|"&amp;G360</x:f>
        <x:v>타입|</x:v>
      </x:c>
    </x:row>
    <x:row r="361" ht="24" customHeight="1">
      <x:c r="A361" s="5" t="n">
        <x:v>357</x:v>
      </x:c>
      <x:c r="B361" s="5" t="inlineStr">
        <x:is>
          <x:t xml:space="preserve">트로피우스</x:t>
        </x:is>
      </x:c>
      <x:c r="C361" s="5" t="inlineStr">
        <x:is>
          <x:t xml:space="preserve">tropius</x:t>
        </x:is>
      </x:c>
      <x:c r="D361" s="5" t="inlineStr">
        <x:is>
          <x:t xml:space="preserve">Tropius</x:t>
        </x:is>
      </x:c>
      <x:c r="E361" s="5" t="n">
        <x:v>3</x:v>
      </x:c>
      <x:c r="F361" s="5" t="inlineStr">
        <x:is>
          <x:t xml:space="preserve">풀</x:t>
        </x:is>
      </x:c>
      <x:c r="G361" s="5" t="inlineStr">
        <x:is>
          <x:t xml:space="preserve">비행</x:t>
        </x:is>
      </x:c>
      <x:c r="H361" s="6" t="n">
        <x:v>100</x:v>
      </x:c>
      <x:c r="I361" s="5" t="n"/>
      <x:c r="J361" s="5" t="inlineStr">
        <x:is>
          <x:t xml:space="preserve">무진화</x:t>
        </x:is>
      </x:c>
      <x:c r="K361" s="7" t="inlineStr">
        <x:is>
          <x:t xml:space="preserve">비행</x:t>
        </x:is>
      </x:c>
      <x:c r="L361" s="7" t="inlineStr">
        <x:is>
          <x:t xml:space="preserve">수목</x:t>
        </x:is>
      </x:c>
      <x:c r="M361" s="7" t="inlineStr">
        <x:is>
          <x:t xml:space="preserve">온대</x:t>
        </x:is>
      </x:c>
      <x:c r="N361" s="7" t="inlineStr">
        <x:is>
          <x:t xml:space="preserve">다습</x:t>
        </x:is>
      </x:c>
      <x:c r="O361" s="7" t="inlineStr">
        <x:is>
          <x:t xml:space="preserve">무관</x:t>
        </x:is>
      </x:c>
      <x:c r="P361" s="7" t="inlineStr">
        <x:is>
          <x:t xml:space="preserve">무관</x:t>
        </x:is>
      </x:c>
      <x:c r="Q361" s="7" t="inlineStr">
        <x:is>
          <x:t xml:space="preserve">보통</x:t>
        </x:is>
      </x:c>
      <x:c r="R361" s="7" t="inlineStr">
        <x:is>
          <x:t xml:space="preserve">없음</x:t>
        </x:is>
      </x:c>
      <x:c r="S361" s="7" t="inlineStr">
        <x:is>
          <x:t xml:space="preserve">숲</x:t>
        </x:is>
      </x:c>
      <x:c r="T361" s="7" t="inlineStr">
        <x:is>
          <x:t xml:space="preserve"/>
        </x:is>
      </x:c>
      <x:c r="U361" s="8" t="str">
        <x:f>INDEX('서식지_점수'!$E$4:$P$4,1,MATCH(MAX('서식지_점수'!E361:P361),'서식지_점수'!E361:P361,0))</x:f>
        <x:v>산악</x:v>
      </x:c>
      <x:c r="V361" s="8" t="str">
        <x:f>IF(T361&lt;&gt;"",T361,U361)</x:f>
        <x:v>산악</x:v>
      </x:c>
      <x:c r="W361" s="8" t="str">
        <x:f>IFERROR(INDEX('서식지_점수'!$E$4:$P$4,1,MATCH(MAXIFS('서식지_점수'!E361:P361,'서식지_점수'!E361:P361,"&lt;"&amp;MAX('서식지_점수'!E361:P361)),'서식지_점수'!E361:P361,0)),"")</x:f>
        <x:v>평원</x:v>
      </x:c>
      <x:c r="X361" s="8" t="str">
        <x:f>IF(T361&lt;&gt;"","수동확정",IF(MAX('서식지_점수'!E361:P361)-LARGE('서식지_점수'!E361:P361,2)&gt;=15,"높음",IF(MAX('서식지_점수'!E361:P361)-LARGE('서식지_점수'!E361:P361,2)&gt;=8,"보통","검토필요")))</x:f>
        <x:v>검토필요</x:v>
      </x:c>
      <x:c r="Y361" s="9" t="n">
        <x:f>IF(Q361="전설",8,IF(Q361="희귀",7,IF(J361="기본",1,IF(J361="중간",3,IF(J361="최종",IF(I361="",5,IF(I361&lt;=20,3,IF(I361&lt;=35,4,IF(I361&lt;=50,6,7)))),IF(Q361="드묾",4,2))))))</x:f>
        <x:v>2</x:v>
      </x:c>
      <x:c r="Z361" s="5" t="inlineStr">
        <x:is>
          <x:t xml:space="preserve">#aether:is_aether; #cobblemon:is_jungle</x:t>
        </x:is>
      </x:c>
      <x:c r="AA361" s="5" t="inlineStr">
        <x:is>
          <x:t xml:space="preserve">uncommon</x:t>
        </x:is>
      </x:c>
      <x:c r="AB361" s="5" t="inlineStr">
        <x:is>
          <x:t xml:space="preserve">예</x:t>
        </x:is>
      </x:c>
      <x:c r="AC361" s="8" t="str">
        <x:f>IF(T361&lt;&gt;"","수동확정",IF(X361="검토필요","검토필요",IF(S361="","원본없음","초기완료")))</x:f>
        <x:v>검토필요</x:v>
      </x:c>
      <x:c r="AD361" s="7" t="inlineStr">
        <x:is>
          <x:t xml:space="preserve"/>
        </x:is>
      </x:c>
      <x:c r="AE361" s="5" t="inlineStr">
        <x:is>
          <x:t xml:space="preserve">.tmp/cobblemon-1.7.3-source/common/src/main/resources/data/cobblemon/species/generation3/tropius.json</x:t>
        </x:is>
      </x:c>
      <x:c r="AF361" s="5" t="str">
        <x:f>"생활권|"&amp;K361</x:f>
        <x:v>생활권|비행</x:v>
      </x:c>
      <x:c r="AG361" s="5" t="str">
        <x:f>"지형|"&amp;L361</x:f>
        <x:v>지형|수목</x:v>
      </x:c>
      <x:c r="AH361" s="5" t="str">
        <x:f>"온도|"&amp;M361</x:f>
        <x:v>온도|온대</x:v>
      </x:c>
      <x:c r="AI361" s="5" t="str">
        <x:f>"습도|"&amp;N361</x:f>
        <x:v>습도|다습</x:v>
      </x:c>
      <x:c r="AJ361" s="5" t="str">
        <x:f>"날씨|"&amp;O361</x:f>
        <x:v>날씨|무관</x:v>
      </x:c>
      <x:c r="AK361" s="5" t="str">
        <x:f>"특수태그|"&amp;R361</x:f>
        <x:v>특수태그|없음</x:v>
      </x:c>
      <x:c r="AL361" s="5" t="str">
        <x:f>"원본서식지|"&amp;S361</x:f>
        <x:v>원본서식지|숲</x:v>
      </x:c>
      <x:c r="AM361" s="5" t="str">
        <x:f>"타입|"&amp;F361</x:f>
        <x:v>타입|풀</x:v>
      </x:c>
      <x:c r="AN361" s="5" t="str">
        <x:f>"타입|"&amp;G361</x:f>
        <x:v>타입|비행</x:v>
      </x:c>
    </x:row>
    <x:row r="362" ht="24" customHeight="1">
      <x:c r="A362" s="5" t="n">
        <x:v>358</x:v>
      </x:c>
      <x:c r="B362" s="5" t="inlineStr">
        <x:is>
          <x:t xml:space="preserve">치렁</x:t>
        </x:is>
      </x:c>
      <x:c r="C362" s="5" t="inlineStr">
        <x:is>
          <x:t xml:space="preserve">chimecho</x:t>
        </x:is>
      </x:c>
      <x:c r="D362" s="5" t="inlineStr">
        <x:is>
          <x:t xml:space="preserve">Chimecho</x:t>
        </x:is>
      </x:c>
      <x:c r="E362" s="5" t="n">
        <x:v>3</x:v>
      </x:c>
      <x:c r="F362" s="5" t="inlineStr">
        <x:is>
          <x:t xml:space="preserve">에스퍼</x:t>
        </x:is>
      </x:c>
      <x:c r="G362" s="5" t="inlineStr">
        <x:is>
          <x:t xml:space="preserve"/>
        </x:is>
      </x:c>
      <x:c r="H362" s="6" t="n">
        <x:v>1</x:v>
      </x:c>
      <x:c r="I362" s="5" t="n"/>
      <x:c r="J362" s="5" t="inlineStr">
        <x:is>
          <x:t xml:space="preserve">최종</x:t>
        </x:is>
      </x:c>
      <x:c r="K362" s="7" t="inlineStr">
        <x:is>
          <x:t xml:space="preserve">비행</x:t>
        </x:is>
      </x:c>
      <x:c r="L362" s="7" t="inlineStr">
        <x:is>
          <x:t xml:space="preserve">수목</x:t>
        </x:is>
      </x:c>
      <x:c r="M362" s="7" t="inlineStr">
        <x:is>
          <x:t xml:space="preserve">서늘</x:t>
        </x:is>
      </x:c>
      <x:c r="N362" s="7" t="inlineStr">
        <x:is>
          <x:t xml:space="preserve">보통</x:t>
        </x:is>
      </x:c>
      <x:c r="O362" s="7" t="inlineStr">
        <x:is>
          <x:t xml:space="preserve">무관</x:t>
        </x:is>
      </x:c>
      <x:c r="P362" s="7" t="inlineStr">
        <x:is>
          <x:t xml:space="preserve">밤</x:t>
        </x:is>
      </x:c>
      <x:c r="Q362" s="7" t="inlineStr">
        <x:is>
          <x:t xml:space="preserve">보통</x:t>
        </x:is>
      </x:c>
      <x:c r="R362" s="7" t="inlineStr">
        <x:is>
          <x:t xml:space="preserve">영체</x:t>
        </x:is>
      </x:c>
      <x:c r="S362" s="7" t="inlineStr">
        <x:is>
          <x:t xml:space="preserve">숲</x:t>
        </x:is>
      </x:c>
      <x:c r="T362" s="7" t="inlineStr">
        <x:is>
          <x:t xml:space="preserve"/>
        </x:is>
      </x:c>
      <x:c r="U362" s="8" t="str">
        <x:f>INDEX('서식지_점수'!$E$4:$P$4,1,MATCH(MAX('서식지_점수'!E362:P362),'서식지_점수'!E362:P362,0))</x:f>
        <x:v>산악</x:v>
      </x:c>
      <x:c r="V362" s="8" t="str">
        <x:f>IF(T362&lt;&gt;"",T362,U362)</x:f>
        <x:v>산악</x:v>
      </x:c>
      <x:c r="W362" s="8" t="str">
        <x:f>IFERROR(INDEX('서식지_점수'!$E$4:$P$4,1,MATCH(MAXIFS('서식지_점수'!E362:P362,'서식지_점수'!E362:P362,"&lt;"&amp;MAX('서식지_점수'!E362:P362)),'서식지_점수'!E362:P362,0)),"")</x:f>
        <x:v>평원</x:v>
      </x:c>
      <x:c r="X362" s="8" t="str">
        <x:f>IF(T362&lt;&gt;"","수동확정",IF(MAX('서식지_점수'!E362:P362)-LARGE('서식지_점수'!E362:P362,2)&gt;=15,"높음",IF(MAX('서식지_점수'!E362:P362)-LARGE('서식지_점수'!E362:P362,2)&gt;=8,"보통","검토필요")))</x:f>
        <x:v>검토필요</x:v>
      </x:c>
      <x:c r="Y362" s="9" t="n">
        <x:f>IF(Q362="전설",8,IF(Q362="희귀",7,IF(J362="기본",1,IF(J362="중간",3,IF(J362="최종",IF(I362="",5,IF(I362&lt;=20,3,IF(I362&lt;=35,4,IF(I362&lt;=50,6,7)))),IF(Q362="드묾",4,2))))))</x:f>
        <x:v>5</x:v>
      </x:c>
      <x:c r="Z362" s="5" t="inlineStr">
        <x:is>
          <x:t xml:space="preserve">#cobblemon:is_forest; #cobblemon:is_magical; #cobblemon:is_mountain; #cobblemon:is_overworld; #cobblemon:is_spooky; #cobblemon:is_taiga</x:t>
        </x:is>
      </x:c>
      <x:c r="AA362" s="5" t="inlineStr">
        <x:is>
          <x:t xml:space="preserve">uncommon</x:t>
        </x:is>
      </x:c>
      <x:c r="AB362" s="5" t="inlineStr">
        <x:is>
          <x:t xml:space="preserve">예</x:t>
        </x:is>
      </x:c>
      <x:c r="AC362" s="8" t="str">
        <x:f>IF(T362&lt;&gt;"","수동확정",IF(X362="검토필요","검토필요",IF(S362="","원본없음","초기완료")))</x:f>
        <x:v>검토필요</x:v>
      </x:c>
      <x:c r="AD362" s="7" t="inlineStr">
        <x:is>
          <x:t xml:space="preserve"/>
        </x:is>
      </x:c>
      <x:c r="AE362" s="5" t="inlineStr">
        <x:is>
          <x:t xml:space="preserve">.tmp/cobblemon-1.7.3-source/common/src/main/resources/data/cobblemon/species/generation3/chimecho.json</x:t>
        </x:is>
      </x:c>
      <x:c r="AF362" s="5" t="str">
        <x:f>"생활권|"&amp;K362</x:f>
        <x:v>생활권|비행</x:v>
      </x:c>
      <x:c r="AG362" s="5" t="str">
        <x:f>"지형|"&amp;L362</x:f>
        <x:v>지형|수목</x:v>
      </x:c>
      <x:c r="AH362" s="5" t="str">
        <x:f>"온도|"&amp;M362</x:f>
        <x:v>온도|서늘</x:v>
      </x:c>
      <x:c r="AI362" s="5" t="str">
        <x:f>"습도|"&amp;N362</x:f>
        <x:v>습도|보통</x:v>
      </x:c>
      <x:c r="AJ362" s="5" t="str">
        <x:f>"날씨|"&amp;O362</x:f>
        <x:v>날씨|무관</x:v>
      </x:c>
      <x:c r="AK362" s="5" t="str">
        <x:f>"특수태그|"&amp;R362</x:f>
        <x:v>특수태그|영체</x:v>
      </x:c>
      <x:c r="AL362" s="5" t="str">
        <x:f>"원본서식지|"&amp;S362</x:f>
        <x:v>원본서식지|숲</x:v>
      </x:c>
      <x:c r="AM362" s="5" t="str">
        <x:f>"타입|"&amp;F362</x:f>
        <x:v>타입|에스퍼</x:v>
      </x:c>
      <x:c r="AN362" s="5" t="str">
        <x:f>"타입|"&amp;G362</x:f>
        <x:v>타입|</x:v>
      </x:c>
    </x:row>
    <x:row r="363" ht="24" customHeight="1">
      <x:c r="A363" s="5" t="n">
        <x:v>359</x:v>
      </x:c>
      <x:c r="B363" s="5" t="inlineStr">
        <x:is>
          <x:t xml:space="preserve">앱솔</x:t>
        </x:is>
      </x:c>
      <x:c r="C363" s="5" t="inlineStr">
        <x:is>
          <x:t xml:space="preserve">absol</x:t>
        </x:is>
      </x:c>
      <x:c r="D363" s="5" t="inlineStr">
        <x:is>
          <x:t xml:space="preserve">Absol</x:t>
        </x:is>
      </x:c>
      <x:c r="E363" s="5" t="n">
        <x:v>3</x:v>
      </x:c>
      <x:c r="F363" s="5" t="inlineStr">
        <x:is>
          <x:t xml:space="preserve">악</x:t>
        </x:is>
      </x:c>
      <x:c r="G363" s="5" t="inlineStr">
        <x:is>
          <x:t xml:space="preserve"/>
        </x:is>
      </x:c>
      <x:c r="H363" s="6" t="n">
        <x:v>47</x:v>
      </x:c>
      <x:c r="I363" s="5" t="n"/>
      <x:c r="J363" s="5" t="inlineStr">
        <x:is>
          <x:t xml:space="preserve">무진화</x:t>
        </x:is>
      </x:c>
      <x:c r="K363" s="7" t="inlineStr">
        <x:is>
          <x:t xml:space="preserve">육상</x:t>
        </x:is>
      </x:c>
      <x:c r="L363" s="7" t="inlineStr">
        <x:is>
          <x:t xml:space="preserve">수목</x:t>
        </x:is>
      </x:c>
      <x:c r="M363" s="7" t="inlineStr">
        <x:is>
          <x:t xml:space="preserve">서늘</x:t>
        </x:is>
      </x:c>
      <x:c r="N363" s="7" t="inlineStr">
        <x:is>
          <x:t xml:space="preserve">보통</x:t>
        </x:is>
      </x:c>
      <x:c r="O363" s="7" t="inlineStr">
        <x:is>
          <x:t xml:space="preserve">무관</x:t>
        </x:is>
      </x:c>
      <x:c r="P363" s="7" t="inlineStr">
        <x:is>
          <x:t xml:space="preserve">밤</x:t>
        </x:is>
      </x:c>
      <x:c r="Q363" s="7" t="inlineStr">
        <x:is>
          <x:t xml:space="preserve">드묾</x:t>
        </x:is>
      </x:c>
      <x:c r="R363" s="7" t="inlineStr">
        <x:is>
          <x:t xml:space="preserve">없음</x:t>
        </x:is>
      </x:c>
      <x:c r="S363" s="7" t="inlineStr">
        <x:is>
          <x:t xml:space="preserve">숲</x:t>
        </x:is>
      </x:c>
      <x:c r="T363" s="7" t="inlineStr">
        <x:is>
          <x:t xml:space="preserve"/>
        </x:is>
      </x:c>
      <x:c r="U363" s="8" t="str">
        <x:f>INDEX('서식지_점수'!$E$4:$P$4,1,MATCH(MAX('서식지_점수'!E363:P363),'서식지_점수'!E363:P363,0))</x:f>
        <x:v>평원</x:v>
      </x:c>
      <x:c r="V363" s="8" t="str">
        <x:f>IF(T363&lt;&gt;"",T363,U363)</x:f>
        <x:v>평원</x:v>
      </x:c>
      <x:c r="W363" s="8" t="str">
        <x:f>IFERROR(INDEX('서식지_점수'!$E$4:$P$4,1,MATCH(MAXIFS('서식지_점수'!E363:P363,'서식지_점수'!E363:P363,"&lt;"&amp;MAX('서식지_점수'!E363:P363)),'서식지_점수'!E363:P363,0)),"")</x:f>
        <x:v>숲</x:v>
      </x:c>
      <x:c r="X363" s="8" t="str">
        <x:f>IF(T363&lt;&gt;"","수동확정",IF(MAX('서식지_점수'!E363:P363)-LARGE('서식지_점수'!E363:P363,2)&gt;=15,"높음",IF(MAX('서식지_점수'!E363:P363)-LARGE('서식지_점수'!E363:P363,2)&gt;=8,"보통","검토필요")))</x:f>
        <x:v>검토필요</x:v>
      </x:c>
      <x:c r="Y363" s="9" t="n">
        <x:f>IF(Q363="전설",8,IF(Q363="희귀",7,IF(J363="기본",1,IF(J363="중간",3,IF(J363="최종",IF(I363="",5,IF(I363&lt;=20,3,IF(I363&lt;=35,4,IF(I363&lt;=50,6,7)))),IF(Q363="드묾",4,2))))))</x:f>
        <x:v>4</x:v>
      </x:c>
      <x:c r="Z363" s="5" t="inlineStr">
        <x:is>
          <x:t xml:space="preserve">#cobblemon:is_mountain; #cobblemon:is_snowy_forest; #cobblemon:is_taiga</x:t>
        </x:is>
      </x:c>
      <x:c r="AA363" s="5" t="inlineStr">
        <x:is>
          <x:t xml:space="preserve">rare</x:t>
        </x:is>
      </x:c>
      <x:c r="AB363" s="5" t="inlineStr">
        <x:is>
          <x:t xml:space="preserve">예</x:t>
        </x:is>
      </x:c>
      <x:c r="AC363" s="8" t="str">
        <x:f>IF(T363&lt;&gt;"","수동확정",IF(X363="검토필요","검토필요",IF(S363="","원본없음","초기완료")))</x:f>
        <x:v>검토필요</x:v>
      </x:c>
      <x:c r="AD363" s="7" t="inlineStr">
        <x:is>
          <x:t xml:space="preserve"/>
        </x:is>
      </x:c>
      <x:c r="AE363" s="5" t="inlineStr">
        <x:is>
          <x:t xml:space="preserve">.tmp/cobblemon-1.7.3-source/common/src/main/resources/data/cobblemon/species/generation3/absol.json</x:t>
        </x:is>
      </x:c>
      <x:c r="AF363" s="5" t="str">
        <x:f>"생활권|"&amp;K363</x:f>
        <x:v>생활권|육상</x:v>
      </x:c>
      <x:c r="AG363" s="5" t="str">
        <x:f>"지형|"&amp;L363</x:f>
        <x:v>지형|수목</x:v>
      </x:c>
      <x:c r="AH363" s="5" t="str">
        <x:f>"온도|"&amp;M363</x:f>
        <x:v>온도|서늘</x:v>
      </x:c>
      <x:c r="AI363" s="5" t="str">
        <x:f>"습도|"&amp;N363</x:f>
        <x:v>습도|보통</x:v>
      </x:c>
      <x:c r="AJ363" s="5" t="str">
        <x:f>"날씨|"&amp;O363</x:f>
        <x:v>날씨|무관</x:v>
      </x:c>
      <x:c r="AK363" s="5" t="str">
        <x:f>"특수태그|"&amp;R363</x:f>
        <x:v>특수태그|없음</x:v>
      </x:c>
      <x:c r="AL363" s="5" t="str">
        <x:f>"원본서식지|"&amp;S363</x:f>
        <x:v>원본서식지|숲</x:v>
      </x:c>
      <x:c r="AM363" s="5" t="str">
        <x:f>"타입|"&amp;F363</x:f>
        <x:v>타입|악</x:v>
      </x:c>
      <x:c r="AN363" s="5" t="str">
        <x:f>"타입|"&amp;G363</x:f>
        <x:v>타입|</x:v>
      </x:c>
    </x:row>
    <x:row r="364" ht="24" customHeight="1">
      <x:c r="A364" s="5" t="n">
        <x:v>360</x:v>
      </x:c>
      <x:c r="B364" s="5" t="inlineStr">
        <x:is>
          <x:t xml:space="preserve">마자</x:t>
        </x:is>
      </x:c>
      <x:c r="C364" s="5" t="inlineStr">
        <x:is>
          <x:t xml:space="preserve">wynaut</x:t>
        </x:is>
      </x:c>
      <x:c r="D364" s="5" t="inlineStr">
        <x:is>
          <x:t xml:space="preserve">Wynaut</x:t>
        </x:is>
      </x:c>
      <x:c r="E364" s="5" t="n">
        <x:v>3</x:v>
      </x:c>
      <x:c r="F364" s="5" t="inlineStr">
        <x:is>
          <x:t xml:space="preserve">에스퍼</x:t>
        </x:is>
      </x:c>
      <x:c r="G364" s="5" t="inlineStr">
        <x:is>
          <x:t xml:space="preserve"/>
        </x:is>
      </x:c>
      <x:c r="H364" s="6" t="n">
        <x:v>14</x:v>
      </x:c>
      <x:c r="I364" s="5" t="n">
        <x:v>15</x:v>
      </x:c>
      <x:c r="J364" s="5" t="inlineStr">
        <x:is>
          <x:t xml:space="preserve">기본</x:t>
        </x:is>
      </x:c>
      <x:c r="K364" s="7" t="inlineStr">
        <x:is>
          <x:t xml:space="preserve">육상</x:t>
        </x:is>
      </x:c>
      <x:c r="L364" s="7" t="inlineStr">
        <x:is>
          <x:t xml:space="preserve">개활지</x:t>
        </x:is>
      </x:c>
      <x:c r="M364" s="7" t="inlineStr">
        <x:is>
          <x:t xml:space="preserve">온대</x:t>
        </x:is>
      </x:c>
      <x:c r="N364" s="7" t="inlineStr">
        <x:is>
          <x:t xml:space="preserve">보통</x:t>
        </x:is>
      </x:c>
      <x:c r="O364" s="7" t="inlineStr">
        <x:is>
          <x:t xml:space="preserve">무관</x:t>
        </x:is>
      </x:c>
      <x:c r="P364" s="7" t="inlineStr">
        <x:is>
          <x:t xml:space="preserve">무관</x:t>
        </x:is>
      </x:c>
      <x:c r="Q364" s="7" t="inlineStr">
        <x:is>
          <x:t xml:space="preserve">드묾</x:t>
        </x:is>
      </x:c>
      <x:c r="R364" s="7" t="inlineStr">
        <x:is>
          <x:t xml:space="preserve">없음</x:t>
        </x:is>
      </x:c>
      <x:c r="S364" s="7" t="inlineStr">
        <x:is>
          <x:t xml:space="preserve">평원</x:t>
        </x:is>
      </x:c>
      <x:c r="T364" s="7" t="inlineStr">
        <x:is>
          <x:t xml:space="preserve"/>
        </x:is>
      </x:c>
      <x:c r="U364" s="8" t="str">
        <x:f>INDEX('서식지_점수'!$E$4:$P$4,1,MATCH(MAX('서식지_점수'!E364:P364),'서식지_점수'!E364:P364,0))</x:f>
        <x:v>평원</x:v>
      </x:c>
      <x:c r="V364" s="8" t="str">
        <x:f>IF(T364&lt;&gt;"",T364,U364)</x:f>
        <x:v>평원</x:v>
      </x:c>
      <x:c r="W364" s="8" t="str">
        <x:f>IFERROR(INDEX('서식지_점수'!$E$4:$P$4,1,MATCH(MAXIFS('서식지_점수'!E364:P364,'서식지_점수'!E364:P364,"&lt;"&amp;MAX('서식지_점수'!E364:P364)),'서식지_점수'!E364:P364,0)),"")</x:f>
        <x:v>숲</x:v>
      </x:c>
      <x:c r="X364" s="8" t="str">
        <x:f>IF(T364&lt;&gt;"","수동확정",IF(MAX('서식지_점수'!E364:P364)-LARGE('서식지_점수'!E364:P364,2)&gt;=15,"높음",IF(MAX('서식지_점수'!E364:P364)-LARGE('서식지_점수'!E364:P364,2)&gt;=8,"보통","검토필요")))</x:f>
        <x:v>검토필요</x:v>
      </x:c>
      <x:c r="Y364" s="9" t="n">
        <x:f>IF(Q364="전설",8,IF(Q364="희귀",7,IF(J364="기본",1,IF(J364="중간",3,IF(J364="최종",IF(I364="",5,IF(I364&lt;=20,3,IF(I364&lt;=35,4,IF(I364&lt;=50,6,7)))),IF(Q364="드묾",4,2))))))</x:f>
        <x:v>1</x:v>
      </x:c>
      <x:c r="Z364" s="5" t="inlineStr">
        <x:is>
          <x:t xml:space="preserve">#cobblemon:is_plains</x:t>
        </x:is>
      </x:c>
      <x:c r="AA364" s="5" t="inlineStr">
        <x:is>
          <x:t xml:space="preserve">rare</x:t>
        </x:is>
      </x:c>
      <x:c r="AB364" s="5" t="inlineStr">
        <x:is>
          <x:t xml:space="preserve">예</x:t>
        </x:is>
      </x:c>
      <x:c r="AC364" s="8" t="str">
        <x:f>IF(T364&lt;&gt;"","수동확정",IF(X364="검토필요","검토필요",IF(S364="","원본없음","초기완료")))</x:f>
        <x:v>검토필요</x:v>
      </x:c>
      <x:c r="AD364" s="7" t="inlineStr">
        <x:is>
          <x:t xml:space="preserve"/>
        </x:is>
      </x:c>
      <x:c r="AE364" s="5" t="inlineStr">
        <x:is>
          <x:t xml:space="preserve">.tmp/cobblemon-1.7.3-source/common/src/main/resources/data/cobblemon/species/generation3/wynaut.json</x:t>
        </x:is>
      </x:c>
      <x:c r="AF364" s="5" t="str">
        <x:f>"생활권|"&amp;K364</x:f>
        <x:v>생활권|육상</x:v>
      </x:c>
      <x:c r="AG364" s="5" t="str">
        <x:f>"지형|"&amp;L364</x:f>
        <x:v>지형|개활지</x:v>
      </x:c>
      <x:c r="AH364" s="5" t="str">
        <x:f>"온도|"&amp;M364</x:f>
        <x:v>온도|온대</x:v>
      </x:c>
      <x:c r="AI364" s="5" t="str">
        <x:f>"습도|"&amp;N364</x:f>
        <x:v>습도|보통</x:v>
      </x:c>
      <x:c r="AJ364" s="5" t="str">
        <x:f>"날씨|"&amp;O364</x:f>
        <x:v>날씨|무관</x:v>
      </x:c>
      <x:c r="AK364" s="5" t="str">
        <x:f>"특수태그|"&amp;R364</x:f>
        <x:v>특수태그|없음</x:v>
      </x:c>
      <x:c r="AL364" s="5" t="str">
        <x:f>"원본서식지|"&amp;S364</x:f>
        <x:v>원본서식지|평원</x:v>
      </x:c>
      <x:c r="AM364" s="5" t="str">
        <x:f>"타입|"&amp;F364</x:f>
        <x:v>타입|에스퍼</x:v>
      </x:c>
      <x:c r="AN364" s="5" t="str">
        <x:f>"타입|"&amp;G364</x:f>
        <x:v>타입|</x:v>
      </x:c>
    </x:row>
    <x:row r="365" ht="24" customHeight="1">
      <x:c r="A365" s="5" t="n">
        <x:v>361</x:v>
      </x:c>
      <x:c r="B365" s="5" t="inlineStr">
        <x:is>
          <x:t xml:space="preserve">눈꼬마</x:t>
        </x:is>
      </x:c>
      <x:c r="C365" s="5" t="inlineStr">
        <x:is>
          <x:t xml:space="preserve">snorunt</x:t>
        </x:is>
      </x:c>
      <x:c r="D365" s="5" t="inlineStr">
        <x:is>
          <x:t xml:space="preserve">Snorunt</x:t>
        </x:is>
      </x:c>
      <x:c r="E365" s="5" t="n">
        <x:v>3</x:v>
      </x:c>
      <x:c r="F365" s="5" t="inlineStr">
        <x:is>
          <x:t xml:space="preserve">얼음</x:t>
        </x:is>
      </x:c>
      <x:c r="G365" s="5" t="inlineStr">
        <x:is>
          <x:t xml:space="preserve"/>
        </x:is>
      </x:c>
      <x:c r="H365" s="6" t="n">
        <x:v>16.8</x:v>
      </x:c>
      <x:c r="I365" s="5" t="n">
        <x:v>42</x:v>
      </x:c>
      <x:c r="J365" s="5" t="inlineStr">
        <x:is>
          <x:t xml:space="preserve">기본</x:t>
        </x:is>
      </x:c>
      <x:c r="K365" s="7" t="inlineStr">
        <x:is>
          <x:t xml:space="preserve">육상</x:t>
        </x:is>
      </x:c>
      <x:c r="L365" s="7" t="inlineStr">
        <x:is>
          <x:t xml:space="preserve">설원</x:t>
        </x:is>
      </x:c>
      <x:c r="M365" s="7" t="inlineStr">
        <x:is>
          <x:t xml:space="preserve">한랭</x:t>
        </x:is>
      </x:c>
      <x:c r="N365" s="7" t="inlineStr">
        <x:is>
          <x:t xml:space="preserve">보통</x:t>
        </x:is>
      </x:c>
      <x:c r="O365" s="7" t="inlineStr">
        <x:is>
          <x:t xml:space="preserve">눈</x:t>
        </x:is>
      </x:c>
      <x:c r="P365" s="7" t="inlineStr">
        <x:is>
          <x:t xml:space="preserve">무관</x:t>
        </x:is>
      </x:c>
      <x:c r="Q365" s="7" t="inlineStr">
        <x:is>
          <x:t xml:space="preserve">보통</x:t>
        </x:is>
      </x:c>
      <x:c r="R365" s="7" t="inlineStr">
        <x:is>
          <x:t xml:space="preserve">없음</x:t>
        </x:is>
      </x:c>
      <x:c r="S365" s="7" t="inlineStr">
        <x:is>
          <x:t xml:space="preserve">설원</x:t>
        </x:is>
      </x:c>
      <x:c r="T365" s="7" t="inlineStr">
        <x:is>
          <x:t xml:space="preserve"/>
        </x:is>
      </x:c>
      <x:c r="U365" s="8" t="str">
        <x:f>INDEX('서식지_점수'!$E$4:$P$4,1,MATCH(MAX('서식지_점수'!E365:P365),'서식지_점수'!E365:P365,0))</x:f>
        <x:v>평원</x:v>
      </x:c>
      <x:c r="V365" s="8" t="str">
        <x:f>IF(T365&lt;&gt;"",T365,U365)</x:f>
        <x:v>평원</x:v>
      </x:c>
      <x:c r="W365" s="8" t="str">
        <x:f>IFERROR(INDEX('서식지_점수'!$E$4:$P$4,1,MATCH(MAXIFS('서식지_점수'!E365:P365,'서식지_점수'!E365:P365,"&lt;"&amp;MAX('서식지_점수'!E365:P365)),'서식지_점수'!E365:P365,0)),"")</x:f>
        <x:v>숲</x:v>
      </x:c>
      <x:c r="X365" s="8" t="str">
        <x:f>IF(T365&lt;&gt;"","수동확정",IF(MAX('서식지_점수'!E365:P365)-LARGE('서식지_점수'!E365:P365,2)&gt;=15,"높음",IF(MAX('서식지_점수'!E365:P365)-LARGE('서식지_점수'!E365:P365,2)&gt;=8,"보통","검토필요")))</x:f>
        <x:v>검토필요</x:v>
      </x:c>
      <x:c r="Y365" s="9" t="n">
        <x:f>IF(Q365="전설",8,IF(Q365="희귀",7,IF(J365="기본",1,IF(J365="중간",3,IF(J365="최종",IF(I365="",5,IF(I365&lt;=20,3,IF(I365&lt;=35,4,IF(I365&lt;=50,6,7)))),IF(Q365="드묾",4,2))))))</x:f>
        <x:v>1</x:v>
      </x:c>
      <x:c r="Z365" s="5" t="inlineStr">
        <x:is>
          <x:t xml:space="preserve">#cobblemon:is_glacial; #cobblemon:is_overworld; #cobblemon:is_snowy; #cobblemon:is_tundra; #cobblemon:nether/is_frozen</x:t>
        </x:is>
      </x:c>
      <x:c r="AA365" s="5" t="inlineStr">
        <x:is>
          <x:t xml:space="preserve">common; uncommon</x:t>
        </x:is>
      </x:c>
      <x:c r="AB365" s="5" t="inlineStr">
        <x:is>
          <x:t xml:space="preserve">예</x:t>
        </x:is>
      </x:c>
      <x:c r="AC365" s="8" t="str">
        <x:f>IF(T365&lt;&gt;"","수동확정",IF(X365="검토필요","검토필요",IF(S365="","원본없음","초기완료")))</x:f>
        <x:v>검토필요</x:v>
      </x:c>
      <x:c r="AD365" s="7" t="inlineStr">
        <x:is>
          <x:t xml:space="preserve"/>
        </x:is>
      </x:c>
      <x:c r="AE365" s="5" t="inlineStr">
        <x:is>
          <x:t xml:space="preserve">.tmp/cobblemon-1.7.3-source/common/src/main/resources/data/cobblemon/species/generation3/snorunt.json</x:t>
        </x:is>
      </x:c>
      <x:c r="AF365" s="5" t="str">
        <x:f>"생활권|"&amp;K365</x:f>
        <x:v>생활권|육상</x:v>
      </x:c>
      <x:c r="AG365" s="5" t="str">
        <x:f>"지형|"&amp;L365</x:f>
        <x:v>지형|설원</x:v>
      </x:c>
      <x:c r="AH365" s="5" t="str">
        <x:f>"온도|"&amp;M365</x:f>
        <x:v>온도|한랭</x:v>
      </x:c>
      <x:c r="AI365" s="5" t="str">
        <x:f>"습도|"&amp;N365</x:f>
        <x:v>습도|보통</x:v>
      </x:c>
      <x:c r="AJ365" s="5" t="str">
        <x:f>"날씨|"&amp;O365</x:f>
        <x:v>날씨|눈</x:v>
      </x:c>
      <x:c r="AK365" s="5" t="str">
        <x:f>"특수태그|"&amp;R365</x:f>
        <x:v>특수태그|없음</x:v>
      </x:c>
      <x:c r="AL365" s="5" t="str">
        <x:f>"원본서식지|"&amp;S365</x:f>
        <x:v>원본서식지|설원</x:v>
      </x:c>
      <x:c r="AM365" s="5" t="str">
        <x:f>"타입|"&amp;F365</x:f>
        <x:v>타입|얼음</x:v>
      </x:c>
      <x:c r="AN365" s="5" t="str">
        <x:f>"타입|"&amp;G365</x:f>
        <x:v>타입|</x:v>
      </x:c>
    </x:row>
    <x:row r="366" ht="24" customHeight="1">
      <x:c r="A366" s="5" t="n">
        <x:v>362</x:v>
      </x:c>
      <x:c r="B366" s="5" t="inlineStr">
        <x:is>
          <x:t xml:space="preserve">얼음귀신</x:t>
        </x:is>
      </x:c>
      <x:c r="C366" s="5" t="inlineStr">
        <x:is>
          <x:t xml:space="preserve">glalie</x:t>
        </x:is>
      </x:c>
      <x:c r="D366" s="5" t="inlineStr">
        <x:is>
          <x:t xml:space="preserve">Glalie</x:t>
        </x:is>
      </x:c>
      <x:c r="E366" s="5" t="n">
        <x:v>3</x:v>
      </x:c>
      <x:c r="F366" s="5" t="inlineStr">
        <x:is>
          <x:t xml:space="preserve">얼음</x:t>
        </x:is>
      </x:c>
      <x:c r="G366" s="5" t="inlineStr">
        <x:is>
          <x:t xml:space="preserve"/>
        </x:is>
      </x:c>
      <x:c r="H366" s="6" t="n">
        <x:v>256.5</x:v>
      </x:c>
      <x:c r="I366" s="5" t="n">
        <x:v>42</x:v>
      </x:c>
      <x:c r="J366" s="5" t="inlineStr">
        <x:is>
          <x:t xml:space="preserve">최종</x:t>
        </x:is>
      </x:c>
      <x:c r="K366" s="7" t="inlineStr">
        <x:is>
          <x:t xml:space="preserve">비행</x:t>
        </x:is>
      </x:c>
      <x:c r="L366" s="7" t="inlineStr">
        <x:is>
          <x:t xml:space="preserve">설원</x:t>
        </x:is>
      </x:c>
      <x:c r="M366" s="7" t="inlineStr">
        <x:is>
          <x:t xml:space="preserve">한랭</x:t>
        </x:is>
      </x:c>
      <x:c r="N366" s="7" t="inlineStr">
        <x:is>
          <x:t xml:space="preserve">보통</x:t>
        </x:is>
      </x:c>
      <x:c r="O366" s="7" t="inlineStr">
        <x:is>
          <x:t xml:space="preserve">눈</x:t>
        </x:is>
      </x:c>
      <x:c r="P366" s="7" t="inlineStr">
        <x:is>
          <x:t xml:space="preserve">무관</x:t>
        </x:is>
      </x:c>
      <x:c r="Q366" s="7" t="inlineStr">
        <x:is>
          <x:t xml:space="preserve">보통</x:t>
        </x:is>
      </x:c>
      <x:c r="R366" s="7" t="inlineStr">
        <x:is>
          <x:t xml:space="preserve">없음</x:t>
        </x:is>
      </x:c>
      <x:c r="S366" s="7" t="inlineStr">
        <x:is>
          <x:t xml:space="preserve">설원</x:t>
        </x:is>
      </x:c>
      <x:c r="T366" s="7" t="inlineStr">
        <x:is>
          <x:t xml:space="preserve"/>
        </x:is>
      </x:c>
      <x:c r="U366" s="8" t="str">
        <x:f>INDEX('서식지_점수'!$E$4:$P$4,1,MATCH(MAX('서식지_점수'!E366:P366),'서식지_점수'!E366:P366,0))</x:f>
        <x:v>산악</x:v>
      </x:c>
      <x:c r="V366" s="8" t="str">
        <x:f>IF(T366&lt;&gt;"",T366,U366)</x:f>
        <x:v>산악</x:v>
      </x:c>
      <x:c r="W366" s="8" t="str">
        <x:f>IFERROR(INDEX('서식지_점수'!$E$4:$P$4,1,MATCH(MAXIFS('서식지_점수'!E366:P366,'서식지_점수'!E366:P366,"&lt;"&amp;MAX('서식지_점수'!E366:P366)),'서식지_점수'!E366:P366,0)),"")</x:f>
        <x:v>평원</x:v>
      </x:c>
      <x:c r="X366" s="8" t="str">
        <x:f>IF(T366&lt;&gt;"","수동확정",IF(MAX('서식지_점수'!E366:P366)-LARGE('서식지_점수'!E366:P366,2)&gt;=15,"높음",IF(MAX('서식지_점수'!E366:P366)-LARGE('서식지_점수'!E366:P366,2)&gt;=8,"보통","검토필요")))</x:f>
        <x:v>검토필요</x:v>
      </x:c>
      <x:c r="Y366" s="9" t="n">
        <x:f>IF(Q366="전설",8,IF(Q366="희귀",7,IF(J366="기본",1,IF(J366="중간",3,IF(J366="최종",IF(I366="",5,IF(I366&lt;=20,3,IF(I366&lt;=35,4,IF(I366&lt;=50,6,7)))),IF(Q366="드묾",4,2))))))</x:f>
        <x:v>6</x:v>
      </x:c>
      <x:c r="Z366" s="5" t="inlineStr">
        <x:is>
          <x:t xml:space="preserve">#cobblemon:is_glacial; #cobblemon:is_snowy_forest; #cobblemon:is_tundra; #cobblemon:nether/is_frozen</x:t>
        </x:is>
      </x:c>
      <x:c r="AA366" s="5" t="inlineStr">
        <x:is>
          <x:t xml:space="preserve">uncommon</x:t>
        </x:is>
      </x:c>
      <x:c r="AB366" s="5" t="inlineStr">
        <x:is>
          <x:t xml:space="preserve">예</x:t>
        </x:is>
      </x:c>
      <x:c r="AC366" s="8" t="str">
        <x:f>IF(T366&lt;&gt;"","수동확정",IF(X366="검토필요","검토필요",IF(S366="","원본없음","초기완료")))</x:f>
        <x:v>검토필요</x:v>
      </x:c>
      <x:c r="AD366" s="7" t="inlineStr">
        <x:is>
          <x:t xml:space="preserve"/>
        </x:is>
      </x:c>
      <x:c r="AE366" s="5" t="inlineStr">
        <x:is>
          <x:t xml:space="preserve">.tmp/cobblemon-1.7.3-source/common/src/main/resources/data/cobblemon/species/generation3/glalie.json</x:t>
        </x:is>
      </x:c>
      <x:c r="AF366" s="5" t="str">
        <x:f>"생활권|"&amp;K366</x:f>
        <x:v>생활권|비행</x:v>
      </x:c>
      <x:c r="AG366" s="5" t="str">
        <x:f>"지형|"&amp;L366</x:f>
        <x:v>지형|설원</x:v>
      </x:c>
      <x:c r="AH366" s="5" t="str">
        <x:f>"온도|"&amp;M366</x:f>
        <x:v>온도|한랭</x:v>
      </x:c>
      <x:c r="AI366" s="5" t="str">
        <x:f>"습도|"&amp;N366</x:f>
        <x:v>습도|보통</x:v>
      </x:c>
      <x:c r="AJ366" s="5" t="str">
        <x:f>"날씨|"&amp;O366</x:f>
        <x:v>날씨|눈</x:v>
      </x:c>
      <x:c r="AK366" s="5" t="str">
        <x:f>"특수태그|"&amp;R366</x:f>
        <x:v>특수태그|없음</x:v>
      </x:c>
      <x:c r="AL366" s="5" t="str">
        <x:f>"원본서식지|"&amp;S366</x:f>
        <x:v>원본서식지|설원</x:v>
      </x:c>
      <x:c r="AM366" s="5" t="str">
        <x:f>"타입|"&amp;F366</x:f>
        <x:v>타입|얼음</x:v>
      </x:c>
      <x:c r="AN366" s="5" t="str">
        <x:f>"타입|"&amp;G366</x:f>
        <x:v>타입|</x:v>
      </x:c>
    </x:row>
    <x:row r="367" ht="24" customHeight="1">
      <x:c r="A367" s="5" t="n">
        <x:v>363</x:v>
      </x:c>
      <x:c r="B367" s="5" t="inlineStr">
        <x:is>
          <x:t xml:space="preserve">대굴레오</x:t>
        </x:is>
      </x:c>
      <x:c r="C367" s="5" t="inlineStr">
        <x:is>
          <x:t xml:space="preserve">spheal</x:t>
        </x:is>
      </x:c>
      <x:c r="D367" s="5" t="inlineStr">
        <x:is>
          <x:t xml:space="preserve">Spheal</x:t>
        </x:is>
      </x:c>
      <x:c r="E367" s="5" t="n">
        <x:v>3</x:v>
      </x:c>
      <x:c r="F367" s="5" t="inlineStr">
        <x:is>
          <x:t xml:space="preserve">얼음</x:t>
        </x:is>
      </x:c>
      <x:c r="G367" s="5" t="inlineStr">
        <x:is>
          <x:t xml:space="preserve">물</x:t>
        </x:is>
      </x:c>
      <x:c r="H367" s="6" t="n">
        <x:v>39.5</x:v>
      </x:c>
      <x:c r="I367" s="5" t="n">
        <x:v>44</x:v>
      </x:c>
      <x:c r="J367" s="5" t="inlineStr">
        <x:is>
          <x:t xml:space="preserve">기본</x:t>
        </x:is>
      </x:c>
      <x:c r="K367" s="7" t="inlineStr">
        <x:is>
          <x:t xml:space="preserve">해양</x:t>
        </x:is>
      </x:c>
      <x:c r="L367" s="7" t="inlineStr">
        <x:is>
          <x:t xml:space="preserve">해안·해양</x:t>
        </x:is>
      </x:c>
      <x:c r="M367" s="7" t="inlineStr">
        <x:is>
          <x:t xml:space="preserve">한랭</x:t>
        </x:is>
      </x:c>
      <x:c r="N367" s="7" t="inlineStr">
        <x:is>
          <x:t xml:space="preserve">수중</x:t>
        </x:is>
      </x:c>
      <x:c r="O367" s="7" t="inlineStr">
        <x:is>
          <x:t xml:space="preserve">비</x:t>
        </x:is>
      </x:c>
      <x:c r="P367" s="7" t="inlineStr">
        <x:is>
          <x:t xml:space="preserve">무관</x:t>
        </x:is>
      </x:c>
      <x:c r="Q367" s="7" t="inlineStr">
        <x:is>
          <x:t xml:space="preserve">흔함</x:t>
        </x:is>
      </x:c>
      <x:c r="R367" s="7" t="inlineStr">
        <x:is>
          <x:t xml:space="preserve">없음</x:t>
        </x:is>
      </x:c>
      <x:c r="S367" s="7" t="inlineStr">
        <x:is>
          <x:t xml:space="preserve">해양</x:t>
        </x:is>
      </x:c>
      <x:c r="T367" s="7" t="inlineStr">
        <x:is>
          <x:t xml:space="preserve"/>
        </x:is>
      </x:c>
      <x:c r="U367" s="8" t="str">
        <x:f>INDEX('서식지_점수'!$E$4:$P$4,1,MATCH(MAX('서식지_점수'!E367:P367),'서식지_점수'!E367:P367,0))</x:f>
        <x:v>해양</x:v>
      </x:c>
      <x:c r="V367" s="8" t="str">
        <x:f>IF(T367&lt;&gt;"",T367,U367)</x:f>
        <x:v>해양</x:v>
      </x:c>
      <x:c r="W367" s="8" t="str">
        <x:f>IFERROR(INDEX('서식지_점수'!$E$4:$P$4,1,MATCH(MAXIFS('서식지_점수'!E367:P367,'서식지_점수'!E367:P367,"&lt;"&amp;MAX('서식지_점수'!E367:P367)),'서식지_점수'!E367:P367,0)),"")</x:f>
        <x:v>습지</x:v>
      </x:c>
      <x:c r="X367" s="8" t="str">
        <x:f>IF(T367&lt;&gt;"","수동확정",IF(MAX('서식지_점수'!E367:P367)-LARGE('서식지_점수'!E367:P367,2)&gt;=15,"높음",IF(MAX('서식지_점수'!E367:P367)-LARGE('서식지_점수'!E367:P367,2)&gt;=8,"보통","검토필요")))</x:f>
        <x:v>높음</x:v>
      </x:c>
      <x:c r="Y367" s="9" t="n">
        <x:f>IF(Q367="전설",8,IF(Q367="희귀",7,IF(J367="기본",1,IF(J367="중간",3,IF(J367="최종",IF(I367="",5,IF(I367&lt;=20,3,IF(I367&lt;=35,4,IF(I367&lt;=50,6,7)))),IF(Q367="드묾",4,2))))))</x:f>
        <x:v>1</x:v>
      </x:c>
      <x:c r="Z367" s="5" t="inlineStr">
        <x:is>
          <x:t xml:space="preserve">#cobblemon:is_cold_ocean; #cobblemon:is_frozen_ocean</x:t>
        </x:is>
      </x:c>
      <x:c r="AA367" s="5" t="inlineStr">
        <x:is>
          <x:t xml:space="preserve">common</x:t>
        </x:is>
      </x:c>
      <x:c r="AB367" s="5" t="inlineStr">
        <x:is>
          <x:t xml:space="preserve">예</x:t>
        </x:is>
      </x:c>
      <x:c r="AC367" s="8" t="str">
        <x:f>IF(T367&lt;&gt;"","수동확정",IF(X367="검토필요","검토필요",IF(S367="","원본없음","초기완료")))</x:f>
        <x:v>초기완료</x:v>
      </x:c>
      <x:c r="AD367" s="7" t="inlineStr">
        <x:is>
          <x:t xml:space="preserve"/>
        </x:is>
      </x:c>
      <x:c r="AE367" s="5" t="inlineStr">
        <x:is>
          <x:t xml:space="preserve">.tmp/cobblemon-1.7.3-source/common/src/main/resources/data/cobblemon/species/generation3/spheal.json</x:t>
        </x:is>
      </x:c>
      <x:c r="AF367" s="5" t="str">
        <x:f>"생활권|"&amp;K367</x:f>
        <x:v>생활권|해양</x:v>
      </x:c>
      <x:c r="AG367" s="5" t="str">
        <x:f>"지형|"&amp;L367</x:f>
        <x:v>지형|해안·해양</x:v>
      </x:c>
      <x:c r="AH367" s="5" t="str">
        <x:f>"온도|"&amp;M367</x:f>
        <x:v>온도|한랭</x:v>
      </x:c>
      <x:c r="AI367" s="5" t="str">
        <x:f>"습도|"&amp;N367</x:f>
        <x:v>습도|수중</x:v>
      </x:c>
      <x:c r="AJ367" s="5" t="str">
        <x:f>"날씨|"&amp;O367</x:f>
        <x:v>날씨|비</x:v>
      </x:c>
      <x:c r="AK367" s="5" t="str">
        <x:f>"특수태그|"&amp;R367</x:f>
        <x:v>특수태그|없음</x:v>
      </x:c>
      <x:c r="AL367" s="5" t="str">
        <x:f>"원본서식지|"&amp;S367</x:f>
        <x:v>원본서식지|해양</x:v>
      </x:c>
      <x:c r="AM367" s="5" t="str">
        <x:f>"타입|"&amp;F367</x:f>
        <x:v>타입|얼음</x:v>
      </x:c>
      <x:c r="AN367" s="5" t="str">
        <x:f>"타입|"&amp;G367</x:f>
        <x:v>타입|물</x:v>
      </x:c>
    </x:row>
    <x:row r="368" ht="24" customHeight="1">
      <x:c r="A368" s="5" t="n">
        <x:v>364</x:v>
      </x:c>
      <x:c r="B368" s="5" t="inlineStr">
        <x:is>
          <x:t xml:space="preserve">씨레오</x:t>
        </x:is>
      </x:c>
      <x:c r="C368" s="5" t="inlineStr">
        <x:is>
          <x:t xml:space="preserve">sealeo</x:t>
        </x:is>
      </x:c>
      <x:c r="D368" s="5" t="inlineStr">
        <x:is>
          <x:t xml:space="preserve">Sealeo</x:t>
        </x:is>
      </x:c>
      <x:c r="E368" s="5" t="n">
        <x:v>3</x:v>
      </x:c>
      <x:c r="F368" s="5" t="inlineStr">
        <x:is>
          <x:t xml:space="preserve">얼음</x:t>
        </x:is>
      </x:c>
      <x:c r="G368" s="5" t="inlineStr">
        <x:is>
          <x:t xml:space="preserve">물</x:t>
        </x:is>
      </x:c>
      <x:c r="H368" s="6" t="n">
        <x:v>87.59999999999999</x:v>
      </x:c>
      <x:c r="I368" s="5" t="n">
        <x:v>44</x:v>
      </x:c>
      <x:c r="J368" s="5" t="inlineStr">
        <x:is>
          <x:t xml:space="preserve">중간</x:t>
        </x:is>
      </x:c>
      <x:c r="K368" s="7" t="inlineStr">
        <x:is>
          <x:t xml:space="preserve">해양</x:t>
        </x:is>
      </x:c>
      <x:c r="L368" s="7" t="inlineStr">
        <x:is>
          <x:t xml:space="preserve">해안·해양</x:t>
        </x:is>
      </x:c>
      <x:c r="M368" s="7" t="inlineStr">
        <x:is>
          <x:t xml:space="preserve">한랭</x:t>
        </x:is>
      </x:c>
      <x:c r="N368" s="7" t="inlineStr">
        <x:is>
          <x:t xml:space="preserve">수중</x:t>
        </x:is>
      </x:c>
      <x:c r="O368" s="7" t="inlineStr">
        <x:is>
          <x:t xml:space="preserve">비</x:t>
        </x:is>
      </x:c>
      <x:c r="P368" s="7" t="inlineStr">
        <x:is>
          <x:t xml:space="preserve">무관</x:t>
        </x:is>
      </x:c>
      <x:c r="Q368" s="7" t="inlineStr">
        <x:is>
          <x:t xml:space="preserve">흔함</x:t>
        </x:is>
      </x:c>
      <x:c r="R368" s="7" t="inlineStr">
        <x:is>
          <x:t xml:space="preserve">없음</x:t>
        </x:is>
      </x:c>
      <x:c r="S368" s="7" t="inlineStr">
        <x:is>
          <x:t xml:space="preserve">해양</x:t>
        </x:is>
      </x:c>
      <x:c r="T368" s="7" t="inlineStr">
        <x:is>
          <x:t xml:space="preserve"/>
        </x:is>
      </x:c>
      <x:c r="U368" s="8" t="str">
        <x:f>INDEX('서식지_점수'!$E$4:$P$4,1,MATCH(MAX('서식지_점수'!E368:P368),'서식지_점수'!E368:P368,0))</x:f>
        <x:v>해양</x:v>
      </x:c>
      <x:c r="V368" s="8" t="str">
        <x:f>IF(T368&lt;&gt;"",T368,U368)</x:f>
        <x:v>해양</x:v>
      </x:c>
      <x:c r="W368" s="8" t="str">
        <x:f>IFERROR(INDEX('서식지_점수'!$E$4:$P$4,1,MATCH(MAXIFS('서식지_점수'!E368:P368,'서식지_점수'!E368:P368,"&lt;"&amp;MAX('서식지_점수'!E368:P368)),'서식지_점수'!E368:P368,0)),"")</x:f>
        <x:v>습지</x:v>
      </x:c>
      <x:c r="X368" s="8" t="str">
        <x:f>IF(T368&lt;&gt;"","수동확정",IF(MAX('서식지_점수'!E368:P368)-LARGE('서식지_점수'!E368:P368,2)&gt;=15,"높음",IF(MAX('서식지_점수'!E368:P368)-LARGE('서식지_점수'!E368:P368,2)&gt;=8,"보통","검토필요")))</x:f>
        <x:v>높음</x:v>
      </x:c>
      <x:c r="Y368" s="9" t="n">
        <x:f>IF(Q368="전설",8,IF(Q368="희귀",7,IF(J368="기본",1,IF(J368="중간",3,IF(J368="최종",IF(I368="",5,IF(I368&lt;=20,3,IF(I368&lt;=35,4,IF(I368&lt;=50,6,7)))),IF(Q368="드묾",4,2))))))</x:f>
        <x:v>3</x:v>
      </x:c>
      <x:c r="Z368" s="5" t="inlineStr">
        <x:is>
          <x:t xml:space="preserve">#cobblemon:is_cold_ocean; #cobblemon:is_frozen_ocean</x:t>
        </x:is>
      </x:c>
      <x:c r="AA368" s="5" t="inlineStr">
        <x:is>
          <x:t xml:space="preserve">common</x:t>
        </x:is>
      </x:c>
      <x:c r="AB368" s="5" t="inlineStr">
        <x:is>
          <x:t xml:space="preserve">예</x:t>
        </x:is>
      </x:c>
      <x:c r="AC368" s="8" t="str">
        <x:f>IF(T368&lt;&gt;"","수동확정",IF(X368="검토필요","검토필요",IF(S368="","원본없음","초기완료")))</x:f>
        <x:v>초기완료</x:v>
      </x:c>
      <x:c r="AD368" s="7" t="inlineStr">
        <x:is>
          <x:t xml:space="preserve"/>
        </x:is>
      </x:c>
      <x:c r="AE368" s="5" t="inlineStr">
        <x:is>
          <x:t xml:space="preserve">.tmp/cobblemon-1.7.3-source/common/src/main/resources/data/cobblemon/species/generation3/sealeo.json</x:t>
        </x:is>
      </x:c>
      <x:c r="AF368" s="5" t="str">
        <x:f>"생활권|"&amp;K368</x:f>
        <x:v>생활권|해양</x:v>
      </x:c>
      <x:c r="AG368" s="5" t="str">
        <x:f>"지형|"&amp;L368</x:f>
        <x:v>지형|해안·해양</x:v>
      </x:c>
      <x:c r="AH368" s="5" t="str">
        <x:f>"온도|"&amp;M368</x:f>
        <x:v>온도|한랭</x:v>
      </x:c>
      <x:c r="AI368" s="5" t="str">
        <x:f>"습도|"&amp;N368</x:f>
        <x:v>습도|수중</x:v>
      </x:c>
      <x:c r="AJ368" s="5" t="str">
        <x:f>"날씨|"&amp;O368</x:f>
        <x:v>날씨|비</x:v>
      </x:c>
      <x:c r="AK368" s="5" t="str">
        <x:f>"특수태그|"&amp;R368</x:f>
        <x:v>특수태그|없음</x:v>
      </x:c>
      <x:c r="AL368" s="5" t="str">
        <x:f>"원본서식지|"&amp;S368</x:f>
        <x:v>원본서식지|해양</x:v>
      </x:c>
      <x:c r="AM368" s="5" t="str">
        <x:f>"타입|"&amp;F368</x:f>
        <x:v>타입|얼음</x:v>
      </x:c>
      <x:c r="AN368" s="5" t="str">
        <x:f>"타입|"&amp;G368</x:f>
        <x:v>타입|물</x:v>
      </x:c>
    </x:row>
    <x:row r="369" ht="24" customHeight="1">
      <x:c r="A369" s="5" t="n">
        <x:v>365</x:v>
      </x:c>
      <x:c r="B369" s="5" t="inlineStr">
        <x:is>
          <x:t xml:space="preserve">씨카이저</x:t>
        </x:is>
      </x:c>
      <x:c r="C369" s="5" t="inlineStr">
        <x:is>
          <x:t xml:space="preserve">walrein</x:t>
        </x:is>
      </x:c>
      <x:c r="D369" s="5" t="inlineStr">
        <x:is>
          <x:t xml:space="preserve">Walrein</x:t>
        </x:is>
      </x:c>
      <x:c r="E369" s="5" t="n">
        <x:v>3</x:v>
      </x:c>
      <x:c r="F369" s="5" t="inlineStr">
        <x:is>
          <x:t xml:space="preserve">얼음</x:t>
        </x:is>
      </x:c>
      <x:c r="G369" s="5" t="inlineStr">
        <x:is>
          <x:t xml:space="preserve">물</x:t>
        </x:is>
      </x:c>
      <x:c r="H369" s="6" t="n">
        <x:v>150.6</x:v>
      </x:c>
      <x:c r="I369" s="5" t="n">
        <x:v>44</x:v>
      </x:c>
      <x:c r="J369" s="5" t="inlineStr">
        <x:is>
          <x:t xml:space="preserve">최종</x:t>
        </x:is>
      </x:c>
      <x:c r="K369" s="7" t="inlineStr">
        <x:is>
          <x:t xml:space="preserve">해양</x:t>
        </x:is>
      </x:c>
      <x:c r="L369" s="7" t="inlineStr">
        <x:is>
          <x:t xml:space="preserve">해안·해양</x:t>
        </x:is>
      </x:c>
      <x:c r="M369" s="7" t="inlineStr">
        <x:is>
          <x:t xml:space="preserve">한랭</x:t>
        </x:is>
      </x:c>
      <x:c r="N369" s="7" t="inlineStr">
        <x:is>
          <x:t xml:space="preserve">수중</x:t>
        </x:is>
      </x:c>
      <x:c r="O369" s="7" t="inlineStr">
        <x:is>
          <x:t xml:space="preserve">비</x:t>
        </x:is>
      </x:c>
      <x:c r="P369" s="7" t="inlineStr">
        <x:is>
          <x:t xml:space="preserve">무관</x:t>
        </x:is>
      </x:c>
      <x:c r="Q369" s="7" t="inlineStr">
        <x:is>
          <x:t xml:space="preserve">흔함</x:t>
        </x:is>
      </x:c>
      <x:c r="R369" s="7" t="inlineStr">
        <x:is>
          <x:t xml:space="preserve">없음</x:t>
        </x:is>
      </x:c>
      <x:c r="S369" s="7" t="inlineStr">
        <x:is>
          <x:t xml:space="preserve">해양</x:t>
        </x:is>
      </x:c>
      <x:c r="T369" s="7" t="inlineStr">
        <x:is>
          <x:t xml:space="preserve"/>
        </x:is>
      </x:c>
      <x:c r="U369" s="8" t="str">
        <x:f>INDEX('서식지_점수'!$E$4:$P$4,1,MATCH(MAX('서식지_점수'!E369:P369),'서식지_점수'!E369:P369,0))</x:f>
        <x:v>해양</x:v>
      </x:c>
      <x:c r="V369" s="8" t="str">
        <x:f>IF(T369&lt;&gt;"",T369,U369)</x:f>
        <x:v>해양</x:v>
      </x:c>
      <x:c r="W369" s="8" t="str">
        <x:f>IFERROR(INDEX('서식지_점수'!$E$4:$P$4,1,MATCH(MAXIFS('서식지_점수'!E369:P369,'서식지_점수'!E369:P369,"&lt;"&amp;MAX('서식지_점수'!E369:P369)),'서식지_점수'!E369:P369,0)),"")</x:f>
        <x:v>습지</x:v>
      </x:c>
      <x:c r="X369" s="8" t="str">
        <x:f>IF(T369&lt;&gt;"","수동확정",IF(MAX('서식지_점수'!E369:P369)-LARGE('서식지_점수'!E369:P369,2)&gt;=15,"높음",IF(MAX('서식지_점수'!E369:P369)-LARGE('서식지_점수'!E369:P369,2)&gt;=8,"보통","검토필요")))</x:f>
        <x:v>높음</x:v>
      </x:c>
      <x:c r="Y369" s="9" t="n">
        <x:f>IF(Q369="전설",8,IF(Q369="희귀",7,IF(J369="기본",1,IF(J369="중간",3,IF(J369="최종",IF(I369="",5,IF(I369&lt;=20,3,IF(I369&lt;=35,4,IF(I369&lt;=50,6,7)))),IF(Q369="드묾",4,2))))))</x:f>
        <x:v>6</x:v>
      </x:c>
      <x:c r="Z369" s="5" t="inlineStr">
        <x:is>
          <x:t xml:space="preserve">#cobblemon:is_cold_ocean; #cobblemon:is_frozen_ocean</x:t>
        </x:is>
      </x:c>
      <x:c r="AA369" s="5" t="inlineStr">
        <x:is>
          <x:t xml:space="preserve">common</x:t>
        </x:is>
      </x:c>
      <x:c r="AB369" s="5" t="inlineStr">
        <x:is>
          <x:t xml:space="preserve">예</x:t>
        </x:is>
      </x:c>
      <x:c r="AC369" s="8" t="str">
        <x:f>IF(T369&lt;&gt;"","수동확정",IF(X369="검토필요","검토필요",IF(S369="","원본없음","초기완료")))</x:f>
        <x:v>초기완료</x:v>
      </x:c>
      <x:c r="AD369" s="7" t="inlineStr">
        <x:is>
          <x:t xml:space="preserve"/>
        </x:is>
      </x:c>
      <x:c r="AE369" s="5" t="inlineStr">
        <x:is>
          <x:t xml:space="preserve">.tmp/cobblemon-1.7.3-source/common/src/main/resources/data/cobblemon/species/generation3/walrein.json</x:t>
        </x:is>
      </x:c>
      <x:c r="AF369" s="5" t="str">
        <x:f>"생활권|"&amp;K369</x:f>
        <x:v>생활권|해양</x:v>
      </x:c>
      <x:c r="AG369" s="5" t="str">
        <x:f>"지형|"&amp;L369</x:f>
        <x:v>지형|해안·해양</x:v>
      </x:c>
      <x:c r="AH369" s="5" t="str">
        <x:f>"온도|"&amp;M369</x:f>
        <x:v>온도|한랭</x:v>
      </x:c>
      <x:c r="AI369" s="5" t="str">
        <x:f>"습도|"&amp;N369</x:f>
        <x:v>습도|수중</x:v>
      </x:c>
      <x:c r="AJ369" s="5" t="str">
        <x:f>"날씨|"&amp;O369</x:f>
        <x:v>날씨|비</x:v>
      </x:c>
      <x:c r="AK369" s="5" t="str">
        <x:f>"특수태그|"&amp;R369</x:f>
        <x:v>특수태그|없음</x:v>
      </x:c>
      <x:c r="AL369" s="5" t="str">
        <x:f>"원본서식지|"&amp;S369</x:f>
        <x:v>원본서식지|해양</x:v>
      </x:c>
      <x:c r="AM369" s="5" t="str">
        <x:f>"타입|"&amp;F369</x:f>
        <x:v>타입|얼음</x:v>
      </x:c>
      <x:c r="AN369" s="5" t="str">
        <x:f>"타입|"&amp;G369</x:f>
        <x:v>타입|물</x:v>
      </x:c>
    </x:row>
    <x:row r="370" ht="24" customHeight="1">
      <x:c r="A370" s="5" t="n">
        <x:v>366</x:v>
      </x:c>
      <x:c r="B370" s="5" t="inlineStr">
        <x:is>
          <x:t xml:space="preserve">진주몽</x:t>
        </x:is>
      </x:c>
      <x:c r="C370" s="5" t="inlineStr">
        <x:is>
          <x:t xml:space="preserve">clamperl</x:t>
        </x:is>
      </x:c>
      <x:c r="D370" s="5" t="inlineStr">
        <x:is>
          <x:t xml:space="preserve">Clamperl</x:t>
        </x:is>
      </x:c>
      <x:c r="E370" s="5" t="n">
        <x:v>3</x:v>
      </x:c>
      <x:c r="F370" s="5" t="inlineStr">
        <x:is>
          <x:t xml:space="preserve">물</x:t>
        </x:is>
      </x:c>
      <x:c r="G370" s="5" t="inlineStr">
        <x:is>
          <x:t xml:space="preserve"/>
        </x:is>
      </x:c>
      <x:c r="H370" s="6" t="n">
        <x:v>52.5</x:v>
      </x:c>
      <x:c r="I370" s="5" t="n"/>
      <x:c r="J370" s="5" t="inlineStr">
        <x:is>
          <x:t xml:space="preserve">기본</x:t>
        </x:is>
      </x:c>
      <x:c r="K370" s="7" t="inlineStr">
        <x:is>
          <x:t xml:space="preserve">해양</x:t>
        </x:is>
      </x:c>
      <x:c r="L370" s="7" t="inlineStr">
        <x:is>
          <x:t xml:space="preserve">해안·해양</x:t>
        </x:is>
      </x:c>
      <x:c r="M370" s="7" t="inlineStr">
        <x:is>
          <x:t xml:space="preserve">온대</x:t>
        </x:is>
      </x:c>
      <x:c r="N370" s="7" t="inlineStr">
        <x:is>
          <x:t xml:space="preserve">수중</x:t>
        </x:is>
      </x:c>
      <x:c r="O370" s="7" t="inlineStr">
        <x:is>
          <x:t xml:space="preserve">비</x:t>
        </x:is>
      </x:c>
      <x:c r="P370" s="7" t="inlineStr">
        <x:is>
          <x:t xml:space="preserve">무관</x:t>
        </x:is>
      </x:c>
      <x:c r="Q370" s="7" t="inlineStr">
        <x:is>
          <x:t xml:space="preserve">보통</x:t>
        </x:is>
      </x:c>
      <x:c r="R370" s="7" t="inlineStr">
        <x:is>
          <x:t xml:space="preserve">심해</x:t>
        </x:is>
      </x:c>
      <x:c r="S370" s="7" t="inlineStr">
        <x:is>
          <x:t xml:space="preserve">해양</x:t>
        </x:is>
      </x:c>
      <x:c r="T370" s="7" t="inlineStr">
        <x:is>
          <x:t xml:space="preserve"/>
        </x:is>
      </x:c>
      <x:c r="U370" s="8" t="str">
        <x:f>INDEX('서식지_점수'!$E$4:$P$4,1,MATCH(MAX('서식지_점수'!E370:P370),'서식지_점수'!E370:P370,0))</x:f>
        <x:v>해양</x:v>
      </x:c>
      <x:c r="V370" s="8" t="str">
        <x:f>IF(T370&lt;&gt;"",T370,U370)</x:f>
        <x:v>해양</x:v>
      </x:c>
      <x:c r="W370" s="8" t="str">
        <x:f>IFERROR(INDEX('서식지_점수'!$E$4:$P$4,1,MATCH(MAXIFS('서식지_점수'!E370:P370,'서식지_점수'!E370:P370,"&lt;"&amp;MAX('서식지_점수'!E370:P370)),'서식지_점수'!E370:P370,0)),"")</x:f>
        <x:v>습지</x:v>
      </x:c>
      <x:c r="X370" s="8" t="str">
        <x:f>IF(T370&lt;&gt;"","수동확정",IF(MAX('서식지_점수'!E370:P370)-LARGE('서식지_점수'!E370:P370,2)&gt;=15,"높음",IF(MAX('서식지_점수'!E370:P370)-LARGE('서식지_점수'!E370:P370,2)&gt;=8,"보통","검토필요")))</x:f>
        <x:v>높음</x:v>
      </x:c>
      <x:c r="Y370" s="9" t="n">
        <x:f>IF(Q370="전설",8,IF(Q370="희귀",7,IF(J370="기본",1,IF(J370="중간",3,IF(J370="최종",IF(I370="",5,IF(I370&lt;=20,3,IF(I370&lt;=35,4,IF(I370&lt;=50,6,7)))),IF(Q370="드묾",4,2))))))</x:f>
        <x:v>1</x:v>
      </x:c>
      <x:c r="Z370" s="5" t="inlineStr">
        <x:is>
          <x:t xml:space="preserve">#cobblemon:is_deep_ocean; #cobblemon:is_ocean; #cobblemon:is_overworld; #cobblemon:is_warm_ocean</x:t>
        </x:is>
      </x:c>
      <x:c r="AA370" s="5" t="inlineStr">
        <x:is>
          <x:t xml:space="preserve">rare; uncommon</x:t>
        </x:is>
      </x:c>
      <x:c r="AB370" s="5" t="inlineStr">
        <x:is>
          <x:t xml:space="preserve">예</x:t>
        </x:is>
      </x:c>
      <x:c r="AC370" s="8" t="str">
        <x:f>IF(T370&lt;&gt;"","수동확정",IF(X370="검토필요","검토필요",IF(S370="","원본없음","초기완료")))</x:f>
        <x:v>초기완료</x:v>
      </x:c>
      <x:c r="AD370" s="7" t="inlineStr">
        <x:is>
          <x:t xml:space="preserve"/>
        </x:is>
      </x:c>
      <x:c r="AE370" s="5" t="inlineStr">
        <x:is>
          <x:t xml:space="preserve">.tmp/cobblemon-1.7.3-source/common/src/main/resources/data/cobblemon/species/generation3/clamperl.json</x:t>
        </x:is>
      </x:c>
      <x:c r="AF370" s="5" t="str">
        <x:f>"생활권|"&amp;K370</x:f>
        <x:v>생활권|해양</x:v>
      </x:c>
      <x:c r="AG370" s="5" t="str">
        <x:f>"지형|"&amp;L370</x:f>
        <x:v>지형|해안·해양</x:v>
      </x:c>
      <x:c r="AH370" s="5" t="str">
        <x:f>"온도|"&amp;M370</x:f>
        <x:v>온도|온대</x:v>
      </x:c>
      <x:c r="AI370" s="5" t="str">
        <x:f>"습도|"&amp;N370</x:f>
        <x:v>습도|수중</x:v>
      </x:c>
      <x:c r="AJ370" s="5" t="str">
        <x:f>"날씨|"&amp;O370</x:f>
        <x:v>날씨|비</x:v>
      </x:c>
      <x:c r="AK370" s="5" t="str">
        <x:f>"특수태그|"&amp;R370</x:f>
        <x:v>특수태그|심해</x:v>
      </x:c>
      <x:c r="AL370" s="5" t="str">
        <x:f>"원본서식지|"&amp;S370</x:f>
        <x:v>원본서식지|해양</x:v>
      </x:c>
      <x:c r="AM370" s="5" t="str">
        <x:f>"타입|"&amp;F370</x:f>
        <x:v>타입|물</x:v>
      </x:c>
      <x:c r="AN370" s="5" t="str">
        <x:f>"타입|"&amp;G370</x:f>
        <x:v>타입|</x:v>
      </x:c>
    </x:row>
    <x:row r="371" ht="24" customHeight="1">
      <x:c r="A371" s="5" t="n">
        <x:v>367</x:v>
      </x:c>
      <x:c r="B371" s="5" t="inlineStr">
        <x:is>
          <x:t xml:space="preserve">헌테일</x:t>
        </x:is>
      </x:c>
      <x:c r="C371" s="5" t="inlineStr">
        <x:is>
          <x:t xml:space="preserve">huntail</x:t>
        </x:is>
      </x:c>
      <x:c r="D371" s="5" t="inlineStr">
        <x:is>
          <x:t xml:space="preserve">Huntail</x:t>
        </x:is>
      </x:c>
      <x:c r="E371" s="5" t="n">
        <x:v>3</x:v>
      </x:c>
      <x:c r="F371" s="5" t="inlineStr">
        <x:is>
          <x:t xml:space="preserve">물</x:t>
        </x:is>
      </x:c>
      <x:c r="G371" s="5" t="inlineStr">
        <x:is>
          <x:t xml:space="preserve"/>
        </x:is>
      </x:c>
      <x:c r="H371" s="6" t="n">
        <x:v>27</x:v>
      </x:c>
      <x:c r="I371" s="5" t="n"/>
      <x:c r="J371" s="5" t="inlineStr">
        <x:is>
          <x:t xml:space="preserve">최종</x:t>
        </x:is>
      </x:c>
      <x:c r="K371" s="7" t="inlineStr">
        <x:is>
          <x:t xml:space="preserve">해양</x:t>
        </x:is>
      </x:c>
      <x:c r="L371" s="7" t="inlineStr">
        <x:is>
          <x:t xml:space="preserve">해안·해양</x:t>
        </x:is>
      </x:c>
      <x:c r="M371" s="7" t="inlineStr">
        <x:is>
          <x:t xml:space="preserve">온대</x:t>
        </x:is>
      </x:c>
      <x:c r="N371" s="7" t="inlineStr">
        <x:is>
          <x:t xml:space="preserve">수중</x:t>
        </x:is>
      </x:c>
      <x:c r="O371" s="7" t="inlineStr">
        <x:is>
          <x:t xml:space="preserve">비</x:t>
        </x:is>
      </x:c>
      <x:c r="P371" s="7" t="inlineStr">
        <x:is>
          <x:t xml:space="preserve">무관</x:t>
        </x:is>
      </x:c>
      <x:c r="Q371" s="7" t="inlineStr">
        <x:is>
          <x:t xml:space="preserve">보통</x:t>
        </x:is>
      </x:c>
      <x:c r="R371" s="7" t="inlineStr">
        <x:is>
          <x:t xml:space="preserve">심해</x:t>
        </x:is>
      </x:c>
      <x:c r="S371" s="7" t="inlineStr">
        <x:is>
          <x:t xml:space="preserve">해양</x:t>
        </x:is>
      </x:c>
      <x:c r="T371" s="7" t="inlineStr">
        <x:is>
          <x:t xml:space="preserve"/>
        </x:is>
      </x:c>
      <x:c r="U371" s="8" t="str">
        <x:f>INDEX('서식지_점수'!$E$4:$P$4,1,MATCH(MAX('서식지_점수'!E371:P371),'서식지_점수'!E371:P371,0))</x:f>
        <x:v>해양</x:v>
      </x:c>
      <x:c r="V371" s="8" t="str">
        <x:f>IF(T371&lt;&gt;"",T371,U371)</x:f>
        <x:v>해양</x:v>
      </x:c>
      <x:c r="W371" s="8" t="str">
        <x:f>IFERROR(INDEX('서식지_점수'!$E$4:$P$4,1,MATCH(MAXIFS('서식지_점수'!E371:P371,'서식지_점수'!E371:P371,"&lt;"&amp;MAX('서식지_점수'!E371:P371)),'서식지_점수'!E371:P371,0)),"")</x:f>
        <x:v>습지</x:v>
      </x:c>
      <x:c r="X371" s="8" t="str">
        <x:f>IF(T371&lt;&gt;"","수동확정",IF(MAX('서식지_점수'!E371:P371)-LARGE('서식지_점수'!E371:P371,2)&gt;=15,"높음",IF(MAX('서식지_점수'!E371:P371)-LARGE('서식지_점수'!E371:P371,2)&gt;=8,"보통","검토필요")))</x:f>
        <x:v>높음</x:v>
      </x:c>
      <x:c r="Y371" s="9" t="n">
        <x:f>IF(Q371="전설",8,IF(Q371="희귀",7,IF(J371="기본",1,IF(J371="중간",3,IF(J371="최종",IF(I371="",5,IF(I371&lt;=20,3,IF(I371&lt;=35,4,IF(I371&lt;=50,6,7)))),IF(Q371="드묾",4,2))))))</x:f>
        <x:v>5</x:v>
      </x:c>
      <x:c r="Z371" s="5" t="inlineStr">
        <x:is>
          <x:t xml:space="preserve">#cobblemon:is_deep_ocean; #cobblemon:is_ocean; #cobblemon:is_overworld; #cobblemon:is_warm_ocean</x:t>
        </x:is>
      </x:c>
      <x:c r="AA371" s="5" t="inlineStr">
        <x:is>
          <x:t xml:space="preserve">rare; uncommon</x:t>
        </x:is>
      </x:c>
      <x:c r="AB371" s="5" t="inlineStr">
        <x:is>
          <x:t xml:space="preserve">예</x:t>
        </x:is>
      </x:c>
      <x:c r="AC371" s="8" t="str">
        <x:f>IF(T371&lt;&gt;"","수동확정",IF(X371="검토필요","검토필요",IF(S371="","원본없음","초기완료")))</x:f>
        <x:v>초기완료</x:v>
      </x:c>
      <x:c r="AD371" s="7" t="inlineStr">
        <x:is>
          <x:t xml:space="preserve"/>
        </x:is>
      </x:c>
      <x:c r="AE371" s="5" t="inlineStr">
        <x:is>
          <x:t xml:space="preserve">.tmp/cobblemon-1.7.3-source/common/src/main/resources/data/cobblemon/species/generation3/huntail.json</x:t>
        </x:is>
      </x:c>
      <x:c r="AF371" s="5" t="str">
        <x:f>"생활권|"&amp;K371</x:f>
        <x:v>생활권|해양</x:v>
      </x:c>
      <x:c r="AG371" s="5" t="str">
        <x:f>"지형|"&amp;L371</x:f>
        <x:v>지형|해안·해양</x:v>
      </x:c>
      <x:c r="AH371" s="5" t="str">
        <x:f>"온도|"&amp;M371</x:f>
        <x:v>온도|온대</x:v>
      </x:c>
      <x:c r="AI371" s="5" t="str">
        <x:f>"습도|"&amp;N371</x:f>
        <x:v>습도|수중</x:v>
      </x:c>
      <x:c r="AJ371" s="5" t="str">
        <x:f>"날씨|"&amp;O371</x:f>
        <x:v>날씨|비</x:v>
      </x:c>
      <x:c r="AK371" s="5" t="str">
        <x:f>"특수태그|"&amp;R371</x:f>
        <x:v>특수태그|심해</x:v>
      </x:c>
      <x:c r="AL371" s="5" t="str">
        <x:f>"원본서식지|"&amp;S371</x:f>
        <x:v>원본서식지|해양</x:v>
      </x:c>
      <x:c r="AM371" s="5" t="str">
        <x:f>"타입|"&amp;F371</x:f>
        <x:v>타입|물</x:v>
      </x:c>
      <x:c r="AN371" s="5" t="str">
        <x:f>"타입|"&amp;G371</x:f>
        <x:v>타입|</x:v>
      </x:c>
    </x:row>
    <x:row r="372" ht="24" customHeight="1">
      <x:c r="A372" s="5" t="n">
        <x:v>368</x:v>
      </x:c>
      <x:c r="B372" s="5" t="inlineStr">
        <x:is>
          <x:t xml:space="preserve">분홍장이</x:t>
        </x:is>
      </x:c>
      <x:c r="C372" s="5" t="inlineStr">
        <x:is>
          <x:t xml:space="preserve">gorebyss</x:t>
        </x:is>
      </x:c>
      <x:c r="D372" s="5" t="inlineStr">
        <x:is>
          <x:t xml:space="preserve">Gorebyss</x:t>
        </x:is>
      </x:c>
      <x:c r="E372" s="5" t="n">
        <x:v>3</x:v>
      </x:c>
      <x:c r="F372" s="5" t="inlineStr">
        <x:is>
          <x:t xml:space="preserve">물</x:t>
        </x:is>
      </x:c>
      <x:c r="G372" s="5" t="inlineStr">
        <x:is>
          <x:t xml:space="preserve"/>
        </x:is>
      </x:c>
      <x:c r="H372" s="6" t="n">
        <x:v>22.6</x:v>
      </x:c>
      <x:c r="I372" s="5" t="n"/>
      <x:c r="J372" s="5" t="inlineStr">
        <x:is>
          <x:t xml:space="preserve">최종</x:t>
        </x:is>
      </x:c>
      <x:c r="K372" s="7" t="inlineStr">
        <x:is>
          <x:t xml:space="preserve">해양</x:t>
        </x:is>
      </x:c>
      <x:c r="L372" s="7" t="inlineStr">
        <x:is>
          <x:t xml:space="preserve">해안·해양</x:t>
        </x:is>
      </x:c>
      <x:c r="M372" s="7" t="inlineStr">
        <x:is>
          <x:t xml:space="preserve">온대</x:t>
        </x:is>
      </x:c>
      <x:c r="N372" s="7" t="inlineStr">
        <x:is>
          <x:t xml:space="preserve">수중</x:t>
        </x:is>
      </x:c>
      <x:c r="O372" s="7" t="inlineStr">
        <x:is>
          <x:t xml:space="preserve">비</x:t>
        </x:is>
      </x:c>
      <x:c r="P372" s="7" t="inlineStr">
        <x:is>
          <x:t xml:space="preserve">무관</x:t>
        </x:is>
      </x:c>
      <x:c r="Q372" s="7" t="inlineStr">
        <x:is>
          <x:t xml:space="preserve">보통</x:t>
        </x:is>
      </x:c>
      <x:c r="R372" s="7" t="inlineStr">
        <x:is>
          <x:t xml:space="preserve">심해</x:t>
        </x:is>
      </x:c>
      <x:c r="S372" s="7" t="inlineStr">
        <x:is>
          <x:t xml:space="preserve">해양</x:t>
        </x:is>
      </x:c>
      <x:c r="T372" s="7" t="inlineStr">
        <x:is>
          <x:t xml:space="preserve"/>
        </x:is>
      </x:c>
      <x:c r="U372" s="8" t="str">
        <x:f>INDEX('서식지_점수'!$E$4:$P$4,1,MATCH(MAX('서식지_점수'!E372:P372),'서식지_점수'!E372:P372,0))</x:f>
        <x:v>해양</x:v>
      </x:c>
      <x:c r="V372" s="8" t="str">
        <x:f>IF(T372&lt;&gt;"",T372,U372)</x:f>
        <x:v>해양</x:v>
      </x:c>
      <x:c r="W372" s="8" t="str">
        <x:f>IFERROR(INDEX('서식지_점수'!$E$4:$P$4,1,MATCH(MAXIFS('서식지_점수'!E372:P372,'서식지_점수'!E372:P372,"&lt;"&amp;MAX('서식지_점수'!E372:P372)),'서식지_점수'!E372:P372,0)),"")</x:f>
        <x:v>습지</x:v>
      </x:c>
      <x:c r="X372" s="8" t="str">
        <x:f>IF(T372&lt;&gt;"","수동확정",IF(MAX('서식지_점수'!E372:P372)-LARGE('서식지_점수'!E372:P372,2)&gt;=15,"높음",IF(MAX('서식지_점수'!E372:P372)-LARGE('서식지_점수'!E372:P372,2)&gt;=8,"보통","검토필요")))</x:f>
        <x:v>높음</x:v>
      </x:c>
      <x:c r="Y372" s="9" t="n">
        <x:f>IF(Q372="전설",8,IF(Q372="희귀",7,IF(J372="기본",1,IF(J372="중간",3,IF(J372="최종",IF(I372="",5,IF(I372&lt;=20,3,IF(I372&lt;=35,4,IF(I372&lt;=50,6,7)))),IF(Q372="드묾",4,2))))))</x:f>
        <x:v>5</x:v>
      </x:c>
      <x:c r="Z372" s="5" t="inlineStr">
        <x:is>
          <x:t xml:space="preserve">#cobblemon:is_deep_ocean; #cobblemon:is_ocean; #cobblemon:is_overworld; #cobblemon:is_warm_ocean</x:t>
        </x:is>
      </x:c>
      <x:c r="AA372" s="5" t="inlineStr">
        <x:is>
          <x:t xml:space="preserve">rare; uncommon</x:t>
        </x:is>
      </x:c>
      <x:c r="AB372" s="5" t="inlineStr">
        <x:is>
          <x:t xml:space="preserve">예</x:t>
        </x:is>
      </x:c>
      <x:c r="AC372" s="8" t="str">
        <x:f>IF(T372&lt;&gt;"","수동확정",IF(X372="검토필요","검토필요",IF(S372="","원본없음","초기완료")))</x:f>
        <x:v>초기완료</x:v>
      </x:c>
      <x:c r="AD372" s="7" t="inlineStr">
        <x:is>
          <x:t xml:space="preserve"/>
        </x:is>
      </x:c>
      <x:c r="AE372" s="5" t="inlineStr">
        <x:is>
          <x:t xml:space="preserve">.tmp/cobblemon-1.7.3-source/common/src/main/resources/data/cobblemon/species/generation3/gorebyss.json</x:t>
        </x:is>
      </x:c>
      <x:c r="AF372" s="5" t="str">
        <x:f>"생활권|"&amp;K372</x:f>
        <x:v>생활권|해양</x:v>
      </x:c>
      <x:c r="AG372" s="5" t="str">
        <x:f>"지형|"&amp;L372</x:f>
        <x:v>지형|해안·해양</x:v>
      </x:c>
      <x:c r="AH372" s="5" t="str">
        <x:f>"온도|"&amp;M372</x:f>
        <x:v>온도|온대</x:v>
      </x:c>
      <x:c r="AI372" s="5" t="str">
        <x:f>"습도|"&amp;N372</x:f>
        <x:v>습도|수중</x:v>
      </x:c>
      <x:c r="AJ372" s="5" t="str">
        <x:f>"날씨|"&amp;O372</x:f>
        <x:v>날씨|비</x:v>
      </x:c>
      <x:c r="AK372" s="5" t="str">
        <x:f>"특수태그|"&amp;R372</x:f>
        <x:v>특수태그|심해</x:v>
      </x:c>
      <x:c r="AL372" s="5" t="str">
        <x:f>"원본서식지|"&amp;S372</x:f>
        <x:v>원본서식지|해양</x:v>
      </x:c>
      <x:c r="AM372" s="5" t="str">
        <x:f>"타입|"&amp;F372</x:f>
        <x:v>타입|물</x:v>
      </x:c>
      <x:c r="AN372" s="5" t="str">
        <x:f>"타입|"&amp;G372</x:f>
        <x:v>타입|</x:v>
      </x:c>
    </x:row>
    <x:row r="373" ht="24" customHeight="1">
      <x:c r="A373" s="5" t="n">
        <x:v>369</x:v>
      </x:c>
      <x:c r="B373" s="5" t="inlineStr">
        <x:is>
          <x:t xml:space="preserve">시라칸</x:t>
        </x:is>
      </x:c>
      <x:c r="C373" s="5" t="inlineStr">
        <x:is>
          <x:t xml:space="preserve">relicanth</x:t>
        </x:is>
      </x:c>
      <x:c r="D373" s="5" t="inlineStr">
        <x:is>
          <x:t xml:space="preserve">Relicanth</x:t>
        </x:is>
      </x:c>
      <x:c r="E373" s="5" t="n">
        <x:v>3</x:v>
      </x:c>
      <x:c r="F373" s="5" t="inlineStr">
        <x:is>
          <x:t xml:space="preserve">물</x:t>
        </x:is>
      </x:c>
      <x:c r="G373" s="5" t="inlineStr">
        <x:is>
          <x:t xml:space="preserve">바위</x:t>
        </x:is>
      </x:c>
      <x:c r="H373" s="6" t="n">
        <x:v>23.4</x:v>
      </x:c>
      <x:c r="I373" s="5" t="n"/>
      <x:c r="J373" s="5" t="inlineStr">
        <x:is>
          <x:t xml:space="preserve">무진화</x:t>
        </x:is>
      </x:c>
      <x:c r="K373" s="7" t="inlineStr">
        <x:is>
          <x:t xml:space="preserve">해양</x:t>
        </x:is>
      </x:c>
      <x:c r="L373" s="7" t="inlineStr">
        <x:is>
          <x:t xml:space="preserve">해안·해양</x:t>
        </x:is>
      </x:c>
      <x:c r="M373" s="7" t="inlineStr">
        <x:is>
          <x:t xml:space="preserve">온대</x:t>
        </x:is>
      </x:c>
      <x:c r="N373" s="7" t="inlineStr">
        <x:is>
          <x:t xml:space="preserve">수중</x:t>
        </x:is>
      </x:c>
      <x:c r="O373" s="7" t="inlineStr">
        <x:is>
          <x:t xml:space="preserve">비</x:t>
        </x:is>
      </x:c>
      <x:c r="P373" s="7" t="inlineStr">
        <x:is>
          <x:t xml:space="preserve">무관</x:t>
        </x:is>
      </x:c>
      <x:c r="Q373" s="7" t="inlineStr">
        <x:is>
          <x:t xml:space="preserve">보통</x:t>
        </x:is>
      </x:c>
      <x:c r="R373" s="7" t="inlineStr">
        <x:is>
          <x:t xml:space="preserve">심해</x:t>
        </x:is>
      </x:c>
      <x:c r="S373" s="7" t="inlineStr">
        <x:is>
          <x:t xml:space="preserve">해양</x:t>
        </x:is>
      </x:c>
      <x:c r="T373" s="7" t="inlineStr">
        <x:is>
          <x:t xml:space="preserve"/>
        </x:is>
      </x:c>
      <x:c r="U373" s="8" t="str">
        <x:f>INDEX('서식지_점수'!$E$4:$P$4,1,MATCH(MAX('서식지_점수'!E373:P373),'서식지_점수'!E373:P373,0))</x:f>
        <x:v>해양</x:v>
      </x:c>
      <x:c r="V373" s="8" t="str">
        <x:f>IF(T373&lt;&gt;"",T373,U373)</x:f>
        <x:v>해양</x:v>
      </x:c>
      <x:c r="W373" s="8" t="str">
        <x:f>IFERROR(INDEX('서식지_점수'!$E$4:$P$4,1,MATCH(MAXIFS('서식지_점수'!E373:P373,'서식지_점수'!E373:P373,"&lt;"&amp;MAX('서식지_점수'!E373:P373)),'서식지_점수'!E373:P373,0)),"")</x:f>
        <x:v>습지</x:v>
      </x:c>
      <x:c r="X373" s="8" t="str">
        <x:f>IF(T373&lt;&gt;"","수동확정",IF(MAX('서식지_점수'!E373:P373)-LARGE('서식지_점수'!E373:P373,2)&gt;=15,"높음",IF(MAX('서식지_점수'!E373:P373)-LARGE('서식지_점수'!E373:P373,2)&gt;=8,"보통","검토필요")))</x:f>
        <x:v>높음</x:v>
      </x:c>
      <x:c r="Y373" s="9" t="n">
        <x:f>IF(Q373="전설",8,IF(Q373="희귀",7,IF(J373="기본",1,IF(J373="중간",3,IF(J373="최종",IF(I373="",5,IF(I373&lt;=20,3,IF(I373&lt;=35,4,IF(I373&lt;=50,6,7)))),IF(Q373="드묾",4,2))))))</x:f>
        <x:v>2</x:v>
      </x:c>
      <x:c r="Z373" s="5" t="inlineStr">
        <x:is>
          <x:t xml:space="preserve">#cobblemon:is_deep_ocean; #cobblemon:is_ocean; #cobblemon:is_overworld</x:t>
        </x:is>
      </x:c>
      <x:c r="AA373" s="5" t="inlineStr">
        <x:is>
          <x:t xml:space="preserve">common; rare; uncommon</x:t>
        </x:is>
      </x:c>
      <x:c r="AB373" s="5" t="inlineStr">
        <x:is>
          <x:t xml:space="preserve">예</x:t>
        </x:is>
      </x:c>
      <x:c r="AC373" s="8" t="str">
        <x:f>IF(T373&lt;&gt;"","수동확정",IF(X373="검토필요","검토필요",IF(S373="","원본없음","초기완료")))</x:f>
        <x:v>초기완료</x:v>
      </x:c>
      <x:c r="AD373" s="7" t="inlineStr">
        <x:is>
          <x:t xml:space="preserve"/>
        </x:is>
      </x:c>
      <x:c r="AE373" s="5" t="inlineStr">
        <x:is>
          <x:t xml:space="preserve">.tmp/cobblemon-1.7.3-source/common/src/main/resources/data/cobblemon/species/generation3/relicanth.json</x:t>
        </x:is>
      </x:c>
      <x:c r="AF373" s="5" t="str">
        <x:f>"생활권|"&amp;K373</x:f>
        <x:v>생활권|해양</x:v>
      </x:c>
      <x:c r="AG373" s="5" t="str">
        <x:f>"지형|"&amp;L373</x:f>
        <x:v>지형|해안·해양</x:v>
      </x:c>
      <x:c r="AH373" s="5" t="str">
        <x:f>"온도|"&amp;M373</x:f>
        <x:v>온도|온대</x:v>
      </x:c>
      <x:c r="AI373" s="5" t="str">
        <x:f>"습도|"&amp;N373</x:f>
        <x:v>습도|수중</x:v>
      </x:c>
      <x:c r="AJ373" s="5" t="str">
        <x:f>"날씨|"&amp;O373</x:f>
        <x:v>날씨|비</x:v>
      </x:c>
      <x:c r="AK373" s="5" t="str">
        <x:f>"특수태그|"&amp;R373</x:f>
        <x:v>특수태그|심해</x:v>
      </x:c>
      <x:c r="AL373" s="5" t="str">
        <x:f>"원본서식지|"&amp;S373</x:f>
        <x:v>원본서식지|해양</x:v>
      </x:c>
      <x:c r="AM373" s="5" t="str">
        <x:f>"타입|"&amp;F373</x:f>
        <x:v>타입|물</x:v>
      </x:c>
      <x:c r="AN373" s="5" t="str">
        <x:f>"타입|"&amp;G373</x:f>
        <x:v>타입|바위</x:v>
      </x:c>
    </x:row>
    <x:row r="374" ht="24" customHeight="1">
      <x:c r="A374" s="5" t="n">
        <x:v>370</x:v>
      </x:c>
      <x:c r="B374" s="5" t="inlineStr">
        <x:is>
          <x:t xml:space="preserve">사랑동이</x:t>
        </x:is>
      </x:c>
      <x:c r="C374" s="5" t="inlineStr">
        <x:is>
          <x:t xml:space="preserve">luvdisc</x:t>
        </x:is>
      </x:c>
      <x:c r="D374" s="5" t="inlineStr">
        <x:is>
          <x:t xml:space="preserve">Luvdisc</x:t>
        </x:is>
      </x:c>
      <x:c r="E374" s="5" t="n">
        <x:v>3</x:v>
      </x:c>
      <x:c r="F374" s="5" t="inlineStr">
        <x:is>
          <x:t xml:space="preserve">물</x:t>
        </x:is>
      </x:c>
      <x:c r="G374" s="5" t="inlineStr">
        <x:is>
          <x:t xml:space="preserve"/>
        </x:is>
      </x:c>
      <x:c r="H374" s="6" t="n">
        <x:v>8.699999999999999</x:v>
      </x:c>
      <x:c r="I374" s="5" t="n"/>
      <x:c r="J374" s="5" t="inlineStr">
        <x:is>
          <x:t xml:space="preserve">무진화</x:t>
        </x:is>
      </x:c>
      <x:c r="K374" s="7" t="inlineStr">
        <x:is>
          <x:t xml:space="preserve">해양</x:t>
        </x:is>
      </x:c>
      <x:c r="L374" s="7" t="inlineStr">
        <x:is>
          <x:t xml:space="preserve">해안·해양</x:t>
        </x:is>
      </x:c>
      <x:c r="M374" s="7" t="inlineStr">
        <x:is>
          <x:t xml:space="preserve">온대</x:t>
        </x:is>
      </x:c>
      <x:c r="N374" s="7" t="inlineStr">
        <x:is>
          <x:t xml:space="preserve">수중</x:t>
        </x:is>
      </x:c>
      <x:c r="O374" s="7" t="inlineStr">
        <x:is>
          <x:t xml:space="preserve">비</x:t>
        </x:is>
      </x:c>
      <x:c r="P374" s="7" t="inlineStr">
        <x:is>
          <x:t xml:space="preserve">낮</x:t>
        </x:is>
      </x:c>
      <x:c r="Q374" s="7" t="inlineStr">
        <x:is>
          <x:t xml:space="preserve">흔함</x:t>
        </x:is>
      </x:c>
      <x:c r="R374" s="7" t="inlineStr">
        <x:is>
          <x:t xml:space="preserve">없음</x:t>
        </x:is>
      </x:c>
      <x:c r="S374" s="7" t="inlineStr">
        <x:is>
          <x:t xml:space="preserve">해양</x:t>
        </x:is>
      </x:c>
      <x:c r="T374" s="7" t="inlineStr">
        <x:is>
          <x:t xml:space="preserve"/>
        </x:is>
      </x:c>
      <x:c r="U374" s="8" t="str">
        <x:f>INDEX('서식지_점수'!$E$4:$P$4,1,MATCH(MAX('서식지_점수'!E374:P374),'서식지_점수'!E374:P374,0))</x:f>
        <x:v>해양</x:v>
      </x:c>
      <x:c r="V374" s="8" t="str">
        <x:f>IF(T374&lt;&gt;"",T374,U374)</x:f>
        <x:v>해양</x:v>
      </x:c>
      <x:c r="W374" s="8" t="str">
        <x:f>IFERROR(INDEX('서식지_점수'!$E$4:$P$4,1,MATCH(MAXIFS('서식지_점수'!E374:P374,'서식지_점수'!E374:P374,"&lt;"&amp;MAX('서식지_점수'!E374:P374)),'서식지_점수'!E374:P374,0)),"")</x:f>
        <x:v>습지</x:v>
      </x:c>
      <x:c r="X374" s="8" t="str">
        <x:f>IF(T374&lt;&gt;"","수동확정",IF(MAX('서식지_점수'!E374:P374)-LARGE('서식지_점수'!E374:P374,2)&gt;=15,"높음",IF(MAX('서식지_점수'!E374:P374)-LARGE('서식지_점수'!E374:P374,2)&gt;=8,"보통","검토필요")))</x:f>
        <x:v>높음</x:v>
      </x:c>
      <x:c r="Y374" s="9" t="n">
        <x:f>IF(Q374="전설",8,IF(Q374="희귀",7,IF(J374="기본",1,IF(J374="중간",3,IF(J374="최종",IF(I374="",5,IF(I374&lt;=20,3,IF(I374&lt;=35,4,IF(I374&lt;=50,6,7)))),IF(Q374="드묾",4,2))))))</x:f>
        <x:v>2</x:v>
      </x:c>
      <x:c r="Z374" s="5" t="inlineStr">
        <x:is>
          <x:t xml:space="preserve">#cobblemon:is_warm_ocean</x:t>
        </x:is>
      </x:c>
      <x:c r="AA374" s="5" t="inlineStr">
        <x:is>
          <x:t xml:space="preserve">common</x:t>
        </x:is>
      </x:c>
      <x:c r="AB374" s="5" t="inlineStr">
        <x:is>
          <x:t xml:space="preserve">예</x:t>
        </x:is>
      </x:c>
      <x:c r="AC374" s="8" t="str">
        <x:f>IF(T374&lt;&gt;"","수동확정",IF(X374="검토필요","검토필요",IF(S374="","원본없음","초기완료")))</x:f>
        <x:v>초기완료</x:v>
      </x:c>
      <x:c r="AD374" s="7" t="inlineStr">
        <x:is>
          <x:t xml:space="preserve"/>
        </x:is>
      </x:c>
      <x:c r="AE374" s="5" t="inlineStr">
        <x:is>
          <x:t xml:space="preserve">.tmp/cobblemon-1.7.3-source/common/src/main/resources/data/cobblemon/species/generation3/luvdisc.json</x:t>
        </x:is>
      </x:c>
      <x:c r="AF374" s="5" t="str">
        <x:f>"생활권|"&amp;K374</x:f>
        <x:v>생활권|해양</x:v>
      </x:c>
      <x:c r="AG374" s="5" t="str">
        <x:f>"지형|"&amp;L374</x:f>
        <x:v>지형|해안·해양</x:v>
      </x:c>
      <x:c r="AH374" s="5" t="str">
        <x:f>"온도|"&amp;M374</x:f>
        <x:v>온도|온대</x:v>
      </x:c>
      <x:c r="AI374" s="5" t="str">
        <x:f>"습도|"&amp;N374</x:f>
        <x:v>습도|수중</x:v>
      </x:c>
      <x:c r="AJ374" s="5" t="str">
        <x:f>"날씨|"&amp;O374</x:f>
        <x:v>날씨|비</x:v>
      </x:c>
      <x:c r="AK374" s="5" t="str">
        <x:f>"특수태그|"&amp;R374</x:f>
        <x:v>특수태그|없음</x:v>
      </x:c>
      <x:c r="AL374" s="5" t="str">
        <x:f>"원본서식지|"&amp;S374</x:f>
        <x:v>원본서식지|해양</x:v>
      </x:c>
      <x:c r="AM374" s="5" t="str">
        <x:f>"타입|"&amp;F374</x:f>
        <x:v>타입|물</x:v>
      </x:c>
      <x:c r="AN374" s="5" t="str">
        <x:f>"타입|"&amp;G374</x:f>
        <x:v>타입|</x:v>
      </x:c>
    </x:row>
    <x:row r="375" ht="24" customHeight="1">
      <x:c r="A375" s="5" t="n">
        <x:v>371</x:v>
      </x:c>
      <x:c r="B375" s="5" t="inlineStr">
        <x:is>
          <x:t xml:space="preserve">아공이</x:t>
        </x:is>
      </x:c>
      <x:c r="C375" s="5" t="inlineStr">
        <x:is>
          <x:t xml:space="preserve">bagon</x:t>
        </x:is>
      </x:c>
      <x:c r="D375" s="5" t="inlineStr">
        <x:is>
          <x:t xml:space="preserve">Bagon</x:t>
        </x:is>
      </x:c>
      <x:c r="E375" s="5" t="n">
        <x:v>3</x:v>
      </x:c>
      <x:c r="F375" s="5" t="inlineStr">
        <x:is>
          <x:t xml:space="preserve">드래곤</x:t>
        </x:is>
      </x:c>
      <x:c r="G375" s="5" t="inlineStr">
        <x:is>
          <x:t xml:space="preserve"/>
        </x:is>
      </x:c>
      <x:c r="H375" s="6" t="n">
        <x:v>42.1</x:v>
      </x:c>
      <x:c r="I375" s="5" t="n">
        <x:v>50</x:v>
      </x:c>
      <x:c r="J375" s="5" t="inlineStr">
        <x:is>
          <x:t xml:space="preserve">기본</x:t>
        </x:is>
      </x:c>
      <x:c r="K375" s="7" t="inlineStr">
        <x:is>
          <x:t xml:space="preserve">육상</x:t>
        </x:is>
      </x:c>
      <x:c r="L375" s="7" t="inlineStr">
        <x:is>
          <x:t xml:space="preserve">동굴</x:t>
        </x:is>
      </x:c>
      <x:c r="M375" s="7" t="inlineStr">
        <x:is>
          <x:t xml:space="preserve">온대</x:t>
        </x:is>
      </x:c>
      <x:c r="N375" s="7" t="inlineStr">
        <x:is>
          <x:t xml:space="preserve">보통</x:t>
        </x:is>
      </x:c>
      <x:c r="O375" s="7" t="inlineStr">
        <x:is>
          <x:t xml:space="preserve">무관</x:t>
        </x:is>
      </x:c>
      <x:c r="P375" s="7" t="inlineStr">
        <x:is>
          <x:t xml:space="preserve">무관</x:t>
        </x:is>
      </x:c>
      <x:c r="Q375" s="7" t="inlineStr">
        <x:is>
          <x:t xml:space="preserve">희귀</x:t>
        </x:is>
      </x:c>
      <x:c r="R375" s="7" t="inlineStr">
        <x:is>
          <x:t xml:space="preserve">동굴</x:t>
        </x:is>
      </x:c>
      <x:c r="S375" s="7" t="inlineStr">
        <x:is>
          <x:t xml:space="preserve">동굴</x:t>
        </x:is>
      </x:c>
      <x:c r="T375" s="7" t="inlineStr">
        <x:is>
          <x:t xml:space="preserve"/>
        </x:is>
      </x:c>
      <x:c r="U375" s="8" t="str">
        <x:f>INDEX('서식지_점수'!$E$4:$P$4,1,MATCH(MAX('서식지_점수'!E375:P375),'서식지_점수'!E375:P375,0))</x:f>
        <x:v>평원</x:v>
      </x:c>
      <x:c r="V375" s="8" t="str">
        <x:f>IF(T375&lt;&gt;"",T375,U375)</x:f>
        <x:v>평원</x:v>
      </x:c>
      <x:c r="W375" s="8" t="str">
        <x:f>IFERROR(INDEX('서식지_점수'!$E$4:$P$4,1,MATCH(MAXIFS('서식지_점수'!E375:P375,'서식지_점수'!E375:P375,"&lt;"&amp;MAX('서식지_점수'!E375:P375)),'서식지_점수'!E375:P375,0)),"")</x:f>
        <x:v>숲</x:v>
      </x:c>
      <x:c r="X375" s="8" t="str">
        <x:f>IF(T375&lt;&gt;"","수동확정",IF(MAX('서식지_점수'!E375:P375)-LARGE('서식지_점수'!E375:P375,2)&gt;=15,"높음",IF(MAX('서식지_점수'!E375:P375)-LARGE('서식지_점수'!E375:P375,2)&gt;=8,"보통","검토필요")))</x:f>
        <x:v>검토필요</x:v>
      </x:c>
      <x:c r="Y375" s="9" t="n">
        <x:f>IF(Q375="전설",8,IF(Q375="희귀",7,IF(J375="기본",1,IF(J375="중간",3,IF(J375="최종",IF(I375="",5,IF(I375&lt;=20,3,IF(I375&lt;=35,4,IF(I375&lt;=50,6,7)))),IF(Q375="드묾",4,2))))))</x:f>
        <x:v>7</x:v>
      </x:c>
      <x:c r="Z375" s="5" t="inlineStr">
        <x:is>
          <x:t xml:space="preserve">#aether:is_aether; #cobblemon:is_dripstone; #cobblemon:is_peak</x:t>
        </x:is>
      </x:c>
      <x:c r="AA375" s="5" t="inlineStr">
        <x:is>
          <x:t xml:space="preserve">rare; ultra-rare</x:t>
        </x:is>
      </x:c>
      <x:c r="AB375" s="5" t="inlineStr">
        <x:is>
          <x:t xml:space="preserve">예</x:t>
        </x:is>
      </x:c>
      <x:c r="AC375" s="8" t="str">
        <x:f>IF(T375&lt;&gt;"","수동확정",IF(X375="검토필요","검토필요",IF(S375="","원본없음","초기완료")))</x:f>
        <x:v>검토필요</x:v>
      </x:c>
      <x:c r="AD375" s="7" t="inlineStr">
        <x:is>
          <x:t xml:space="preserve"/>
        </x:is>
      </x:c>
      <x:c r="AE375" s="5" t="inlineStr">
        <x:is>
          <x:t xml:space="preserve">.tmp/cobblemon-1.7.3-source/common/src/main/resources/data/cobblemon/species/generation3/bagon.json</x:t>
        </x:is>
      </x:c>
      <x:c r="AF375" s="5" t="str">
        <x:f>"생활권|"&amp;K375</x:f>
        <x:v>생활권|육상</x:v>
      </x:c>
      <x:c r="AG375" s="5" t="str">
        <x:f>"지형|"&amp;L375</x:f>
        <x:v>지형|동굴</x:v>
      </x:c>
      <x:c r="AH375" s="5" t="str">
        <x:f>"온도|"&amp;M375</x:f>
        <x:v>온도|온대</x:v>
      </x:c>
      <x:c r="AI375" s="5" t="str">
        <x:f>"습도|"&amp;N375</x:f>
        <x:v>습도|보통</x:v>
      </x:c>
      <x:c r="AJ375" s="5" t="str">
        <x:f>"날씨|"&amp;O375</x:f>
        <x:v>날씨|무관</x:v>
      </x:c>
      <x:c r="AK375" s="5" t="str">
        <x:f>"특수태그|"&amp;R375</x:f>
        <x:v>특수태그|동굴</x:v>
      </x:c>
      <x:c r="AL375" s="5" t="str">
        <x:f>"원본서식지|"&amp;S375</x:f>
        <x:v>원본서식지|동굴</x:v>
      </x:c>
      <x:c r="AM375" s="5" t="str">
        <x:f>"타입|"&amp;F375</x:f>
        <x:v>타입|드래곤</x:v>
      </x:c>
      <x:c r="AN375" s="5" t="str">
        <x:f>"타입|"&amp;G375</x:f>
        <x:v>타입|</x:v>
      </x:c>
    </x:row>
    <x:row r="376" ht="24" customHeight="1">
      <x:c r="A376" s="5" t="n">
        <x:v>372</x:v>
      </x:c>
      <x:c r="B376" s="5" t="inlineStr">
        <x:is>
          <x:t xml:space="preserve">쉘곤</x:t>
        </x:is>
      </x:c>
      <x:c r="C376" s="5" t="inlineStr">
        <x:is>
          <x:t xml:space="preserve">shelgon</x:t>
        </x:is>
      </x:c>
      <x:c r="D376" s="5" t="inlineStr">
        <x:is>
          <x:t xml:space="preserve">Shelgon</x:t>
        </x:is>
      </x:c>
      <x:c r="E376" s="5" t="n">
        <x:v>3</x:v>
      </x:c>
      <x:c r="F376" s="5" t="inlineStr">
        <x:is>
          <x:t xml:space="preserve">드래곤</x:t>
        </x:is>
      </x:c>
      <x:c r="G376" s="5" t="inlineStr">
        <x:is>
          <x:t xml:space="preserve"/>
        </x:is>
      </x:c>
      <x:c r="H376" s="6" t="n">
        <x:v>110.5</x:v>
      </x:c>
      <x:c r="I376" s="5" t="n">
        <x:v>50</x:v>
      </x:c>
      <x:c r="J376" s="5" t="inlineStr">
        <x:is>
          <x:t xml:space="preserve">중간</x:t>
        </x:is>
      </x:c>
      <x:c r="K376" s="7" t="inlineStr">
        <x:is>
          <x:t xml:space="preserve">육상</x:t>
        </x:is>
      </x:c>
      <x:c r="L376" s="7" t="inlineStr">
        <x:is>
          <x:t xml:space="preserve">동굴</x:t>
        </x:is>
      </x:c>
      <x:c r="M376" s="7" t="inlineStr">
        <x:is>
          <x:t xml:space="preserve">온대</x:t>
        </x:is>
      </x:c>
      <x:c r="N376" s="7" t="inlineStr">
        <x:is>
          <x:t xml:space="preserve">보통</x:t>
        </x:is>
      </x:c>
      <x:c r="O376" s="7" t="inlineStr">
        <x:is>
          <x:t xml:space="preserve">무관</x:t>
        </x:is>
      </x:c>
      <x:c r="P376" s="7" t="inlineStr">
        <x:is>
          <x:t xml:space="preserve">무관</x:t>
        </x:is>
      </x:c>
      <x:c r="Q376" s="7" t="inlineStr">
        <x:is>
          <x:t xml:space="preserve">희귀</x:t>
        </x:is>
      </x:c>
      <x:c r="R376" s="7" t="inlineStr">
        <x:is>
          <x:t xml:space="preserve">동굴</x:t>
        </x:is>
      </x:c>
      <x:c r="S376" s="7" t="inlineStr">
        <x:is>
          <x:t xml:space="preserve">동굴</x:t>
        </x:is>
      </x:c>
      <x:c r="T376" s="7" t="inlineStr">
        <x:is>
          <x:t xml:space="preserve"/>
        </x:is>
      </x:c>
      <x:c r="U376" s="8" t="str">
        <x:f>INDEX('서식지_점수'!$E$4:$P$4,1,MATCH(MAX('서식지_점수'!E376:P376),'서식지_점수'!E376:P376,0))</x:f>
        <x:v>평원</x:v>
      </x:c>
      <x:c r="V376" s="8" t="str">
        <x:f>IF(T376&lt;&gt;"",T376,U376)</x:f>
        <x:v>평원</x:v>
      </x:c>
      <x:c r="W376" s="8" t="str">
        <x:f>IFERROR(INDEX('서식지_점수'!$E$4:$P$4,1,MATCH(MAXIFS('서식지_점수'!E376:P376,'서식지_점수'!E376:P376,"&lt;"&amp;MAX('서식지_점수'!E376:P376)),'서식지_점수'!E376:P376,0)),"")</x:f>
        <x:v>숲</x:v>
      </x:c>
      <x:c r="X376" s="8" t="str">
        <x:f>IF(T376&lt;&gt;"","수동확정",IF(MAX('서식지_점수'!E376:P376)-LARGE('서식지_점수'!E376:P376,2)&gt;=15,"높음",IF(MAX('서식지_점수'!E376:P376)-LARGE('서식지_점수'!E376:P376,2)&gt;=8,"보통","검토필요")))</x:f>
        <x:v>검토필요</x:v>
      </x:c>
      <x:c r="Y376" s="9" t="n">
        <x:f>IF(Q376="전설",8,IF(Q376="희귀",7,IF(J376="기본",1,IF(J376="중간",3,IF(J376="최종",IF(I376="",5,IF(I376&lt;=20,3,IF(I376&lt;=35,4,IF(I376&lt;=50,6,7)))),IF(Q376="드묾",4,2))))))</x:f>
        <x:v>7</x:v>
      </x:c>
      <x:c r="Z376" s="5" t="inlineStr">
        <x:is>
          <x:t xml:space="preserve">#aether:is_aether; #cobblemon:is_dripstone</x:t>
        </x:is>
      </x:c>
      <x:c r="AA376" s="5" t="inlineStr">
        <x:is>
          <x:t xml:space="preserve">rare; ultra-rare</x:t>
        </x:is>
      </x:c>
      <x:c r="AB376" s="5" t="inlineStr">
        <x:is>
          <x:t xml:space="preserve">예</x:t>
        </x:is>
      </x:c>
      <x:c r="AC376" s="8" t="str">
        <x:f>IF(T376&lt;&gt;"","수동확정",IF(X376="검토필요","검토필요",IF(S376="","원본없음","초기완료")))</x:f>
        <x:v>검토필요</x:v>
      </x:c>
      <x:c r="AD376" s="7" t="inlineStr">
        <x:is>
          <x:t xml:space="preserve"/>
        </x:is>
      </x:c>
      <x:c r="AE376" s="5" t="inlineStr">
        <x:is>
          <x:t xml:space="preserve">.tmp/cobblemon-1.7.3-source/common/src/main/resources/data/cobblemon/species/generation3/shelgon.json</x:t>
        </x:is>
      </x:c>
      <x:c r="AF376" s="5" t="str">
        <x:f>"생활권|"&amp;K376</x:f>
        <x:v>생활권|육상</x:v>
      </x:c>
      <x:c r="AG376" s="5" t="str">
        <x:f>"지형|"&amp;L376</x:f>
        <x:v>지형|동굴</x:v>
      </x:c>
      <x:c r="AH376" s="5" t="str">
        <x:f>"온도|"&amp;M376</x:f>
        <x:v>온도|온대</x:v>
      </x:c>
      <x:c r="AI376" s="5" t="str">
        <x:f>"습도|"&amp;N376</x:f>
        <x:v>습도|보통</x:v>
      </x:c>
      <x:c r="AJ376" s="5" t="str">
        <x:f>"날씨|"&amp;O376</x:f>
        <x:v>날씨|무관</x:v>
      </x:c>
      <x:c r="AK376" s="5" t="str">
        <x:f>"특수태그|"&amp;R376</x:f>
        <x:v>특수태그|동굴</x:v>
      </x:c>
      <x:c r="AL376" s="5" t="str">
        <x:f>"원본서식지|"&amp;S376</x:f>
        <x:v>원본서식지|동굴</x:v>
      </x:c>
      <x:c r="AM376" s="5" t="str">
        <x:f>"타입|"&amp;F376</x:f>
        <x:v>타입|드래곤</x:v>
      </x:c>
      <x:c r="AN376" s="5" t="str">
        <x:f>"타입|"&amp;G376</x:f>
        <x:v>타입|</x:v>
      </x:c>
    </x:row>
    <x:row r="377" ht="24" customHeight="1">
      <x:c r="A377" s="5" t="n">
        <x:v>373</x:v>
      </x:c>
      <x:c r="B377" s="5" t="inlineStr">
        <x:is>
          <x:t xml:space="preserve">보만다</x:t>
        </x:is>
      </x:c>
      <x:c r="C377" s="5" t="inlineStr">
        <x:is>
          <x:t xml:space="preserve">salamence</x:t>
        </x:is>
      </x:c>
      <x:c r="D377" s="5" t="inlineStr">
        <x:is>
          <x:t xml:space="preserve">Salamence</x:t>
        </x:is>
      </x:c>
      <x:c r="E377" s="5" t="n">
        <x:v>3</x:v>
      </x:c>
      <x:c r="F377" s="5" t="inlineStr">
        <x:is>
          <x:t xml:space="preserve">드래곤</x:t>
        </x:is>
      </x:c>
      <x:c r="G377" s="5" t="inlineStr">
        <x:is>
          <x:t xml:space="preserve">비행</x:t>
        </x:is>
      </x:c>
      <x:c r="H377" s="6" t="n">
        <x:v>102.6</x:v>
      </x:c>
      <x:c r="I377" s="5" t="n">
        <x:v>50</x:v>
      </x:c>
      <x:c r="J377" s="5" t="inlineStr">
        <x:is>
          <x:t xml:space="preserve">최종</x:t>
        </x:is>
      </x:c>
      <x:c r="K377" s="7" t="inlineStr">
        <x:is>
          <x:t xml:space="preserve">비행</x:t>
        </x:is>
      </x:c>
      <x:c r="L377" s="7" t="inlineStr">
        <x:is>
          <x:t xml:space="preserve">동굴</x:t>
        </x:is>
      </x:c>
      <x:c r="M377" s="7" t="inlineStr">
        <x:is>
          <x:t xml:space="preserve">온대</x:t>
        </x:is>
      </x:c>
      <x:c r="N377" s="7" t="inlineStr">
        <x:is>
          <x:t xml:space="preserve">보통</x:t>
        </x:is>
      </x:c>
      <x:c r="O377" s="7" t="inlineStr">
        <x:is>
          <x:t xml:space="preserve">무관</x:t>
        </x:is>
      </x:c>
      <x:c r="P377" s="7" t="inlineStr">
        <x:is>
          <x:t xml:space="preserve">무관</x:t>
        </x:is>
      </x:c>
      <x:c r="Q377" s="7" t="inlineStr">
        <x:is>
          <x:t xml:space="preserve">희귀</x:t>
        </x:is>
      </x:c>
      <x:c r="R377" s="7" t="inlineStr">
        <x:is>
          <x:t xml:space="preserve">동굴</x:t>
        </x:is>
      </x:c>
      <x:c r="S377" s="7" t="inlineStr">
        <x:is>
          <x:t xml:space="preserve">동굴</x:t>
        </x:is>
      </x:c>
      <x:c r="T377" s="7" t="inlineStr">
        <x:is>
          <x:t xml:space="preserve"/>
        </x:is>
      </x:c>
      <x:c r="U377" s="8" t="str">
        <x:f>INDEX('서식지_점수'!$E$4:$P$4,1,MATCH(MAX('서식지_점수'!E377:P377),'서식지_점수'!E377:P377,0))</x:f>
        <x:v>산악</x:v>
      </x:c>
      <x:c r="V377" s="8" t="str">
        <x:f>IF(T377&lt;&gt;"",T377,U377)</x:f>
        <x:v>산악</x:v>
      </x:c>
      <x:c r="W377" s="8" t="str">
        <x:f>IFERROR(INDEX('서식지_점수'!$E$4:$P$4,1,MATCH(MAXIFS('서식지_점수'!E377:P377,'서식지_점수'!E377:P377,"&lt;"&amp;MAX('서식지_점수'!E377:P377)),'서식지_점수'!E377:P377,0)),"")</x:f>
        <x:v>평원</x:v>
      </x:c>
      <x:c r="X377" s="8" t="str">
        <x:f>IF(T377&lt;&gt;"","수동확정",IF(MAX('서식지_점수'!E377:P377)-LARGE('서식지_점수'!E377:P377,2)&gt;=15,"높음",IF(MAX('서식지_점수'!E377:P377)-LARGE('서식지_점수'!E377:P377,2)&gt;=8,"보통","검토필요")))</x:f>
        <x:v>검토필요</x:v>
      </x:c>
      <x:c r="Y377" s="9" t="n">
        <x:f>IF(Q377="전설",8,IF(Q377="희귀",7,IF(J377="기본",1,IF(J377="중간",3,IF(J377="최종",IF(I377="",5,IF(I377&lt;=20,3,IF(I377&lt;=35,4,IF(I377&lt;=50,6,7)))),IF(Q377="드묾",4,2))))))</x:f>
        <x:v>7</x:v>
      </x:c>
      <x:c r="Z377" s="5" t="inlineStr">
        <x:is>
          <x:t xml:space="preserve">#aether:is_aether; #cobblemon:is_dripstone; #cobblemon:is_peak; #cobblemon:is_sky</x:t>
        </x:is>
      </x:c>
      <x:c r="AA377" s="5" t="inlineStr">
        <x:is>
          <x:t xml:space="preserve">rare; ultra-rare</x:t>
        </x:is>
      </x:c>
      <x:c r="AB377" s="5" t="inlineStr">
        <x:is>
          <x:t xml:space="preserve">예</x:t>
        </x:is>
      </x:c>
      <x:c r="AC377" s="8" t="str">
        <x:f>IF(T377&lt;&gt;"","수동확정",IF(X377="검토필요","검토필요",IF(S377="","원본없음","초기완료")))</x:f>
        <x:v>검토필요</x:v>
      </x:c>
      <x:c r="AD377" s="7" t="inlineStr">
        <x:is>
          <x:t xml:space="preserve"/>
        </x:is>
      </x:c>
      <x:c r="AE377" s="5" t="inlineStr">
        <x:is>
          <x:t xml:space="preserve">.tmp/cobblemon-1.7.3-source/common/src/main/resources/data/cobblemon/species/generation3/salamence.json</x:t>
        </x:is>
      </x:c>
      <x:c r="AF377" s="5" t="str">
        <x:f>"생활권|"&amp;K377</x:f>
        <x:v>생활권|비행</x:v>
      </x:c>
      <x:c r="AG377" s="5" t="str">
        <x:f>"지형|"&amp;L377</x:f>
        <x:v>지형|동굴</x:v>
      </x:c>
      <x:c r="AH377" s="5" t="str">
        <x:f>"온도|"&amp;M377</x:f>
        <x:v>온도|온대</x:v>
      </x:c>
      <x:c r="AI377" s="5" t="str">
        <x:f>"습도|"&amp;N377</x:f>
        <x:v>습도|보통</x:v>
      </x:c>
      <x:c r="AJ377" s="5" t="str">
        <x:f>"날씨|"&amp;O377</x:f>
        <x:v>날씨|무관</x:v>
      </x:c>
      <x:c r="AK377" s="5" t="str">
        <x:f>"특수태그|"&amp;R377</x:f>
        <x:v>특수태그|동굴</x:v>
      </x:c>
      <x:c r="AL377" s="5" t="str">
        <x:f>"원본서식지|"&amp;S377</x:f>
        <x:v>원본서식지|동굴</x:v>
      </x:c>
      <x:c r="AM377" s="5" t="str">
        <x:f>"타입|"&amp;F377</x:f>
        <x:v>타입|드래곤</x:v>
      </x:c>
      <x:c r="AN377" s="5" t="str">
        <x:f>"타입|"&amp;G377</x:f>
        <x:v>타입|비행</x:v>
      </x:c>
    </x:row>
    <x:row r="378" ht="24" customHeight="1">
      <x:c r="A378" s="5" t="n">
        <x:v>374</x:v>
      </x:c>
      <x:c r="B378" s="5" t="inlineStr">
        <x:is>
          <x:t xml:space="preserve">메탕</x:t>
        </x:is>
      </x:c>
      <x:c r="C378" s="5" t="inlineStr">
        <x:is>
          <x:t xml:space="preserve">beldum</x:t>
        </x:is>
      </x:c>
      <x:c r="D378" s="5" t="inlineStr">
        <x:is>
          <x:t xml:space="preserve">Beldum</x:t>
        </x:is>
      </x:c>
      <x:c r="E378" s="5" t="n">
        <x:v>3</x:v>
      </x:c>
      <x:c r="F378" s="5" t="inlineStr">
        <x:is>
          <x:t xml:space="preserve">강철</x:t>
        </x:is>
      </x:c>
      <x:c r="G378" s="5" t="inlineStr">
        <x:is>
          <x:t xml:space="preserve">에스퍼</x:t>
        </x:is>
      </x:c>
      <x:c r="H378" s="6" t="n">
        <x:v>95.2</x:v>
      </x:c>
      <x:c r="I378" s="5" t="n">
        <x:v>45</x:v>
      </x:c>
      <x:c r="J378" s="5" t="inlineStr">
        <x:is>
          <x:t xml:space="preserve">기본</x:t>
        </x:is>
      </x:c>
      <x:c r="K378" s="7" t="inlineStr">
        <x:is>
          <x:t xml:space="preserve">인공</x:t>
        </x:is>
      </x:c>
      <x:c r="L378" s="7" t="inlineStr">
        <x:is>
          <x:t xml:space="preserve">동굴</x:t>
        </x:is>
      </x:c>
      <x:c r="M378" s="7" t="inlineStr">
        <x:is>
          <x:t xml:space="preserve">온대</x:t>
        </x:is>
      </x:c>
      <x:c r="N378" s="7" t="inlineStr">
        <x:is>
          <x:t xml:space="preserve">보통</x:t>
        </x:is>
      </x:c>
      <x:c r="O378" s="7" t="inlineStr">
        <x:is>
          <x:t xml:space="preserve">무관</x:t>
        </x:is>
      </x:c>
      <x:c r="P378" s="7" t="inlineStr">
        <x:is>
          <x:t xml:space="preserve">무관</x:t>
        </x:is>
      </x:c>
      <x:c r="Q378" s="7" t="inlineStr">
        <x:is>
          <x:t xml:space="preserve">보통</x:t>
        </x:is>
      </x:c>
      <x:c r="R378" s="7" t="inlineStr">
        <x:is>
          <x:t xml:space="preserve">동굴</x:t>
        </x:is>
      </x:c>
      <x:c r="S378" s="7" t="inlineStr">
        <x:is>
          <x:t xml:space="preserve">동굴</x:t>
        </x:is>
      </x:c>
      <x:c r="T378" s="7" t="inlineStr">
        <x:is>
          <x:t xml:space="preserve"/>
        </x:is>
      </x:c>
      <x:c r="U378" s="8" t="str">
        <x:f>INDEX('서식지_점수'!$E$4:$P$4,1,MATCH(MAX('서식지_점수'!E378:P378),'서식지_점수'!E378:P378,0))</x:f>
        <x:v>도시</x:v>
      </x:c>
      <x:c r="V378" s="8" t="str">
        <x:f>IF(T378&lt;&gt;"",T378,U378)</x:f>
        <x:v>도시</x:v>
      </x:c>
      <x:c r="W378" s="8" t="str">
        <x:f>IFERROR(INDEX('서식지_점수'!$E$4:$P$4,1,MATCH(MAXIFS('서식지_점수'!E378:P378,'서식지_점수'!E378:P378,"&lt;"&amp;MAX('서식지_점수'!E378:P378)),'서식지_점수'!E378:P378,0)),"")</x:f>
        <x:v>특수</x:v>
      </x:c>
      <x:c r="X378" s="8" t="str">
        <x:f>IF(T378&lt;&gt;"","수동확정",IF(MAX('서식지_점수'!E378:P378)-LARGE('서식지_점수'!E378:P378,2)&gt;=15,"높음",IF(MAX('서식지_점수'!E378:P378)-LARGE('서식지_점수'!E378:P378,2)&gt;=8,"보통","검토필요")))</x:f>
        <x:v>높음</x:v>
      </x:c>
      <x:c r="Y378" s="9" t="n">
        <x:f>IF(Q378="전설",8,IF(Q378="희귀",7,IF(J378="기본",1,IF(J378="중간",3,IF(J378="최종",IF(I378="",5,IF(I378&lt;=20,3,IF(I378&lt;=35,4,IF(I378&lt;=50,6,7)))),IF(Q378="드묾",4,2))))))</x:f>
        <x:v>1</x:v>
      </x:c>
      <x:c r="Z378" s="5" t="inlineStr">
        <x:is>
          <x:t xml:space="preserve">#aether:is_aether; #cobblemon:is_dripstone; #cobblemon:is_end; #cobblemon:is_peak; the_bumblezone:howling_constructs</x:t>
        </x:is>
      </x:c>
      <x:c r="AA378" s="5" t="inlineStr">
        <x:is>
          <x:t xml:space="preserve">rare; ultra-rare; uncommon</x:t>
        </x:is>
      </x:c>
      <x:c r="AB378" s="5" t="inlineStr">
        <x:is>
          <x:t xml:space="preserve">예</x:t>
        </x:is>
      </x:c>
      <x:c r="AC378" s="8" t="str">
        <x:f>IF(T378&lt;&gt;"","수동확정",IF(X378="검토필요","검토필요",IF(S378="","원본없음","초기완료")))</x:f>
        <x:v>초기완료</x:v>
      </x:c>
      <x:c r="AD378" s="7" t="inlineStr">
        <x:is>
          <x:t xml:space="preserve"/>
        </x:is>
      </x:c>
      <x:c r="AE378" s="5" t="inlineStr">
        <x:is>
          <x:t xml:space="preserve">.tmp/cobblemon-1.7.3-source/common/src/main/resources/data/cobblemon/species/generation3/beldum.json</x:t>
        </x:is>
      </x:c>
      <x:c r="AF378" s="5" t="str">
        <x:f>"생활권|"&amp;K378</x:f>
        <x:v>생활권|인공</x:v>
      </x:c>
      <x:c r="AG378" s="5" t="str">
        <x:f>"지형|"&amp;L378</x:f>
        <x:v>지형|동굴</x:v>
      </x:c>
      <x:c r="AH378" s="5" t="str">
        <x:f>"온도|"&amp;M378</x:f>
        <x:v>온도|온대</x:v>
      </x:c>
      <x:c r="AI378" s="5" t="str">
        <x:f>"습도|"&amp;N378</x:f>
        <x:v>습도|보통</x:v>
      </x:c>
      <x:c r="AJ378" s="5" t="str">
        <x:f>"날씨|"&amp;O378</x:f>
        <x:v>날씨|무관</x:v>
      </x:c>
      <x:c r="AK378" s="5" t="str">
        <x:f>"특수태그|"&amp;R378</x:f>
        <x:v>특수태그|동굴</x:v>
      </x:c>
      <x:c r="AL378" s="5" t="str">
        <x:f>"원본서식지|"&amp;S378</x:f>
        <x:v>원본서식지|동굴</x:v>
      </x:c>
      <x:c r="AM378" s="5" t="str">
        <x:f>"타입|"&amp;F378</x:f>
        <x:v>타입|강철</x:v>
      </x:c>
      <x:c r="AN378" s="5" t="str">
        <x:f>"타입|"&amp;G378</x:f>
        <x:v>타입|에스퍼</x:v>
      </x:c>
    </x:row>
    <x:row r="379" ht="24" customHeight="1">
      <x:c r="A379" s="5" t="n">
        <x:v>375</x:v>
      </x:c>
      <x:c r="B379" s="5" t="inlineStr">
        <x:is>
          <x:t xml:space="preserve">메탕구</x:t>
        </x:is>
      </x:c>
      <x:c r="C379" s="5" t="inlineStr">
        <x:is>
          <x:t xml:space="preserve">metang</x:t>
        </x:is>
      </x:c>
      <x:c r="D379" s="5" t="inlineStr">
        <x:is>
          <x:t xml:space="preserve">Metang</x:t>
        </x:is>
      </x:c>
      <x:c r="E379" s="5" t="n">
        <x:v>3</x:v>
      </x:c>
      <x:c r="F379" s="5" t="inlineStr">
        <x:is>
          <x:t xml:space="preserve">강철</x:t>
        </x:is>
      </x:c>
      <x:c r="G379" s="5" t="inlineStr">
        <x:is>
          <x:t xml:space="preserve">에스퍼</x:t>
        </x:is>
      </x:c>
      <x:c r="H379" s="6" t="n">
        <x:v>202.5</x:v>
      </x:c>
      <x:c r="I379" s="5" t="n">
        <x:v>45</x:v>
      </x:c>
      <x:c r="J379" s="5" t="inlineStr">
        <x:is>
          <x:t xml:space="preserve">중간</x:t>
        </x:is>
      </x:c>
      <x:c r="K379" s="7" t="inlineStr">
        <x:is>
          <x:t xml:space="preserve">인공</x:t>
        </x:is>
      </x:c>
      <x:c r="L379" s="7" t="inlineStr">
        <x:is>
          <x:t xml:space="preserve">동굴</x:t>
        </x:is>
      </x:c>
      <x:c r="M379" s="7" t="inlineStr">
        <x:is>
          <x:t xml:space="preserve">온대</x:t>
        </x:is>
      </x:c>
      <x:c r="N379" s="7" t="inlineStr">
        <x:is>
          <x:t xml:space="preserve">보통</x:t>
        </x:is>
      </x:c>
      <x:c r="O379" s="7" t="inlineStr">
        <x:is>
          <x:t xml:space="preserve">무관</x:t>
        </x:is>
      </x:c>
      <x:c r="P379" s="7" t="inlineStr">
        <x:is>
          <x:t xml:space="preserve">무관</x:t>
        </x:is>
      </x:c>
      <x:c r="Q379" s="7" t="inlineStr">
        <x:is>
          <x:t xml:space="preserve">보통</x:t>
        </x:is>
      </x:c>
      <x:c r="R379" s="7" t="inlineStr">
        <x:is>
          <x:t xml:space="preserve">동굴</x:t>
        </x:is>
      </x:c>
      <x:c r="S379" s="7" t="inlineStr">
        <x:is>
          <x:t xml:space="preserve">동굴</x:t>
        </x:is>
      </x:c>
      <x:c r="T379" s="7" t="inlineStr">
        <x:is>
          <x:t xml:space="preserve"/>
        </x:is>
      </x:c>
      <x:c r="U379" s="8" t="str">
        <x:f>INDEX('서식지_점수'!$E$4:$P$4,1,MATCH(MAX('서식지_점수'!E379:P379),'서식지_점수'!E379:P379,0))</x:f>
        <x:v>도시</x:v>
      </x:c>
      <x:c r="V379" s="8" t="str">
        <x:f>IF(T379&lt;&gt;"",T379,U379)</x:f>
        <x:v>도시</x:v>
      </x:c>
      <x:c r="W379" s="8" t="str">
        <x:f>IFERROR(INDEX('서식지_점수'!$E$4:$P$4,1,MATCH(MAXIFS('서식지_점수'!E379:P379,'서식지_점수'!E379:P379,"&lt;"&amp;MAX('서식지_점수'!E379:P379)),'서식지_점수'!E379:P379,0)),"")</x:f>
        <x:v>특수</x:v>
      </x:c>
      <x:c r="X379" s="8" t="str">
        <x:f>IF(T379&lt;&gt;"","수동확정",IF(MAX('서식지_점수'!E379:P379)-LARGE('서식지_점수'!E379:P379,2)&gt;=15,"높음",IF(MAX('서식지_점수'!E379:P379)-LARGE('서식지_점수'!E379:P379,2)&gt;=8,"보통","검토필요")))</x:f>
        <x:v>높음</x:v>
      </x:c>
      <x:c r="Y379" s="9" t="n">
        <x:f>IF(Q379="전설",8,IF(Q379="희귀",7,IF(J379="기본",1,IF(J379="중간",3,IF(J379="최종",IF(I379="",5,IF(I379&lt;=20,3,IF(I379&lt;=35,4,IF(I379&lt;=50,6,7)))),IF(Q379="드묾",4,2))))))</x:f>
        <x:v>3</x:v>
      </x:c>
      <x:c r="Z379" s="5" t="inlineStr">
        <x:is>
          <x:t xml:space="preserve">#aether:is_aether; #cobblemon:is_dripstone; #cobblemon:is_end; #cobblemon:is_peak; the_bumblezone:howling_constructs</x:t>
        </x:is>
      </x:c>
      <x:c r="AA379" s="5" t="inlineStr">
        <x:is>
          <x:t xml:space="preserve">rare; ultra-rare; uncommon</x:t>
        </x:is>
      </x:c>
      <x:c r="AB379" s="5" t="inlineStr">
        <x:is>
          <x:t xml:space="preserve">예</x:t>
        </x:is>
      </x:c>
      <x:c r="AC379" s="8" t="str">
        <x:f>IF(T379&lt;&gt;"","수동확정",IF(X379="검토필요","검토필요",IF(S379="","원본없음","초기완료")))</x:f>
        <x:v>초기완료</x:v>
      </x:c>
      <x:c r="AD379" s="7" t="inlineStr">
        <x:is>
          <x:t xml:space="preserve"/>
        </x:is>
      </x:c>
      <x:c r="AE379" s="5" t="inlineStr">
        <x:is>
          <x:t xml:space="preserve">.tmp/cobblemon-1.7.3-source/common/src/main/resources/data/cobblemon/species/generation3/metang.json</x:t>
        </x:is>
      </x:c>
      <x:c r="AF379" s="5" t="str">
        <x:f>"생활권|"&amp;K379</x:f>
        <x:v>생활권|인공</x:v>
      </x:c>
      <x:c r="AG379" s="5" t="str">
        <x:f>"지형|"&amp;L379</x:f>
        <x:v>지형|동굴</x:v>
      </x:c>
      <x:c r="AH379" s="5" t="str">
        <x:f>"온도|"&amp;M379</x:f>
        <x:v>온도|온대</x:v>
      </x:c>
      <x:c r="AI379" s="5" t="str">
        <x:f>"습도|"&amp;N379</x:f>
        <x:v>습도|보통</x:v>
      </x:c>
      <x:c r="AJ379" s="5" t="str">
        <x:f>"날씨|"&amp;O379</x:f>
        <x:v>날씨|무관</x:v>
      </x:c>
      <x:c r="AK379" s="5" t="str">
        <x:f>"특수태그|"&amp;R379</x:f>
        <x:v>특수태그|동굴</x:v>
      </x:c>
      <x:c r="AL379" s="5" t="str">
        <x:f>"원본서식지|"&amp;S379</x:f>
        <x:v>원본서식지|동굴</x:v>
      </x:c>
      <x:c r="AM379" s="5" t="str">
        <x:f>"타입|"&amp;F379</x:f>
        <x:v>타입|강철</x:v>
      </x:c>
      <x:c r="AN379" s="5" t="str">
        <x:f>"타입|"&amp;G379</x:f>
        <x:v>타입|에스퍼</x:v>
      </x:c>
    </x:row>
    <x:row r="380" ht="24" customHeight="1">
      <x:c r="A380" s="5" t="n">
        <x:v>376</x:v>
      </x:c>
      <x:c r="B380" s="5" t="inlineStr">
        <x:is>
          <x:t xml:space="preserve">메타그로스</x:t>
        </x:is>
      </x:c>
      <x:c r="C380" s="5" t="inlineStr">
        <x:is>
          <x:t xml:space="preserve">metagross</x:t>
        </x:is>
      </x:c>
      <x:c r="D380" s="5" t="inlineStr">
        <x:is>
          <x:t xml:space="preserve">Metagross</x:t>
        </x:is>
      </x:c>
      <x:c r="E380" s="5" t="n">
        <x:v>3</x:v>
      </x:c>
      <x:c r="F380" s="5" t="inlineStr">
        <x:is>
          <x:t xml:space="preserve">강철</x:t>
        </x:is>
      </x:c>
      <x:c r="G380" s="5" t="inlineStr">
        <x:is>
          <x:t xml:space="preserve">에스퍼</x:t>
        </x:is>
      </x:c>
      <x:c r="H380" s="6" t="n">
        <x:v>550</x:v>
      </x:c>
      <x:c r="I380" s="5" t="n">
        <x:v>45</x:v>
      </x:c>
      <x:c r="J380" s="5" t="inlineStr">
        <x:is>
          <x:t xml:space="preserve">최종</x:t>
        </x:is>
      </x:c>
      <x:c r="K380" s="7" t="inlineStr">
        <x:is>
          <x:t xml:space="preserve">인공</x:t>
        </x:is>
      </x:c>
      <x:c r="L380" s="7" t="inlineStr">
        <x:is>
          <x:t xml:space="preserve">동굴</x:t>
        </x:is>
      </x:c>
      <x:c r="M380" s="7" t="inlineStr">
        <x:is>
          <x:t xml:space="preserve">온대</x:t>
        </x:is>
      </x:c>
      <x:c r="N380" s="7" t="inlineStr">
        <x:is>
          <x:t xml:space="preserve">보통</x:t>
        </x:is>
      </x:c>
      <x:c r="O380" s="7" t="inlineStr">
        <x:is>
          <x:t xml:space="preserve">무관</x:t>
        </x:is>
      </x:c>
      <x:c r="P380" s="7" t="inlineStr">
        <x:is>
          <x:t xml:space="preserve">무관</x:t>
        </x:is>
      </x:c>
      <x:c r="Q380" s="7" t="inlineStr">
        <x:is>
          <x:t xml:space="preserve">보통</x:t>
        </x:is>
      </x:c>
      <x:c r="R380" s="7" t="inlineStr">
        <x:is>
          <x:t xml:space="preserve">동굴</x:t>
        </x:is>
      </x:c>
      <x:c r="S380" s="7" t="inlineStr">
        <x:is>
          <x:t xml:space="preserve">동굴</x:t>
        </x:is>
      </x:c>
      <x:c r="T380" s="7" t="inlineStr">
        <x:is>
          <x:t xml:space="preserve"/>
        </x:is>
      </x:c>
      <x:c r="U380" s="8" t="str">
        <x:f>INDEX('서식지_점수'!$E$4:$P$4,1,MATCH(MAX('서식지_점수'!E380:P380),'서식지_점수'!E380:P380,0))</x:f>
        <x:v>도시</x:v>
      </x:c>
      <x:c r="V380" s="8" t="str">
        <x:f>IF(T380&lt;&gt;"",T380,U380)</x:f>
        <x:v>도시</x:v>
      </x:c>
      <x:c r="W380" s="8" t="str">
        <x:f>IFERROR(INDEX('서식지_점수'!$E$4:$P$4,1,MATCH(MAXIFS('서식지_점수'!E380:P380,'서식지_점수'!E380:P380,"&lt;"&amp;MAX('서식지_점수'!E380:P380)),'서식지_점수'!E380:P380,0)),"")</x:f>
        <x:v>특수</x:v>
      </x:c>
      <x:c r="X380" s="8" t="str">
        <x:f>IF(T380&lt;&gt;"","수동확정",IF(MAX('서식지_점수'!E380:P380)-LARGE('서식지_점수'!E380:P380,2)&gt;=15,"높음",IF(MAX('서식지_점수'!E380:P380)-LARGE('서식지_점수'!E380:P380,2)&gt;=8,"보통","검토필요")))</x:f>
        <x:v>높음</x:v>
      </x:c>
      <x:c r="Y380" s="9" t="n">
        <x:f>IF(Q380="전설",8,IF(Q380="희귀",7,IF(J380="기본",1,IF(J380="중간",3,IF(J380="최종",IF(I380="",5,IF(I380&lt;=20,3,IF(I380&lt;=35,4,IF(I380&lt;=50,6,7)))),IF(Q380="드묾",4,2))))))</x:f>
        <x:v>6</x:v>
      </x:c>
      <x:c r="Z380" s="5" t="inlineStr">
        <x:is>
          <x:t xml:space="preserve">#aether:is_aether; #cobblemon:is_dripstone; #cobblemon:is_end; #cobblemon:is_peak; the_bumblezone:howling_constructs</x:t>
        </x:is>
      </x:c>
      <x:c r="AA380" s="5" t="inlineStr">
        <x:is>
          <x:t xml:space="preserve">rare; ultra-rare; uncommon</x:t>
        </x:is>
      </x:c>
      <x:c r="AB380" s="5" t="inlineStr">
        <x:is>
          <x:t xml:space="preserve">예</x:t>
        </x:is>
      </x:c>
      <x:c r="AC380" s="8" t="str">
        <x:f>IF(T380&lt;&gt;"","수동확정",IF(X380="검토필요","검토필요",IF(S380="","원본없음","초기완료")))</x:f>
        <x:v>초기완료</x:v>
      </x:c>
      <x:c r="AD380" s="7" t="inlineStr">
        <x:is>
          <x:t xml:space="preserve"/>
        </x:is>
      </x:c>
      <x:c r="AE380" s="5" t="inlineStr">
        <x:is>
          <x:t xml:space="preserve">.tmp/cobblemon-1.7.3-source/common/src/main/resources/data/cobblemon/species/generation3/metagross.json</x:t>
        </x:is>
      </x:c>
      <x:c r="AF380" s="5" t="str">
        <x:f>"생활권|"&amp;K380</x:f>
        <x:v>생활권|인공</x:v>
      </x:c>
      <x:c r="AG380" s="5" t="str">
        <x:f>"지형|"&amp;L380</x:f>
        <x:v>지형|동굴</x:v>
      </x:c>
      <x:c r="AH380" s="5" t="str">
        <x:f>"온도|"&amp;M380</x:f>
        <x:v>온도|온대</x:v>
      </x:c>
      <x:c r="AI380" s="5" t="str">
        <x:f>"습도|"&amp;N380</x:f>
        <x:v>습도|보통</x:v>
      </x:c>
      <x:c r="AJ380" s="5" t="str">
        <x:f>"날씨|"&amp;O380</x:f>
        <x:v>날씨|무관</x:v>
      </x:c>
      <x:c r="AK380" s="5" t="str">
        <x:f>"특수태그|"&amp;R380</x:f>
        <x:v>특수태그|동굴</x:v>
      </x:c>
      <x:c r="AL380" s="5" t="str">
        <x:f>"원본서식지|"&amp;S380</x:f>
        <x:v>원본서식지|동굴</x:v>
      </x:c>
      <x:c r="AM380" s="5" t="str">
        <x:f>"타입|"&amp;F380</x:f>
        <x:v>타입|강철</x:v>
      </x:c>
      <x:c r="AN380" s="5" t="str">
        <x:f>"타입|"&amp;G380</x:f>
        <x:v>타입|에스퍼</x:v>
      </x:c>
    </x:row>
    <x:row r="381" ht="24" customHeight="1">
      <x:c r="A381" s="5" t="n">
        <x:v>377</x:v>
      </x:c>
      <x:c r="B381" s="5" t="inlineStr">
        <x:is>
          <x:t xml:space="preserve">레지락</x:t>
        </x:is>
      </x:c>
      <x:c r="C381" s="5" t="inlineStr">
        <x:is>
          <x:t xml:space="preserve">regirock</x:t>
        </x:is>
      </x:c>
      <x:c r="D381" s="5" t="inlineStr">
        <x:is>
          <x:t xml:space="preserve">Regirock</x:t>
        </x:is>
      </x:c>
      <x:c r="E381" s="5" t="n">
        <x:v>3</x:v>
      </x:c>
      <x:c r="F381" s="5" t="inlineStr">
        <x:is>
          <x:t xml:space="preserve">바위</x:t>
        </x:is>
      </x:c>
      <x:c r="G381" s="5" t="inlineStr">
        <x:is>
          <x:t xml:space="preserve"/>
        </x:is>
      </x:c>
      <x:c r="H381" s="6" t="n">
        <x:v>230</x:v>
      </x:c>
      <x:c r="I381" s="5" t="n"/>
      <x:c r="J381" s="5" t="inlineStr">
        <x:is>
          <x:t xml:space="preserve">무진화</x:t>
        </x:is>
      </x:c>
      <x:c r="K381" s="7" t="inlineStr">
        <x:is>
          <x:t xml:space="preserve">육상</x:t>
        </x:is>
      </x:c>
      <x:c r="L381" s="7" t="inlineStr">
        <x:is>
          <x:t xml:space="preserve">특수</x:t>
        </x:is>
      </x:c>
      <x:c r="M381" s="7" t="inlineStr">
        <x:is>
          <x:t xml:space="preserve">온대</x:t>
        </x:is>
      </x:c>
      <x:c r="N381" s="7" t="inlineStr">
        <x:is>
          <x:t xml:space="preserve">보통</x:t>
        </x:is>
      </x:c>
      <x:c r="O381" s="7" t="inlineStr">
        <x:is>
          <x:t xml:space="preserve">무관</x:t>
        </x:is>
      </x:c>
      <x:c r="P381" s="7" t="inlineStr">
        <x:is>
          <x:t xml:space="preserve">무관</x:t>
        </x:is>
      </x:c>
      <x:c r="Q381" s="7" t="inlineStr">
        <x:is>
          <x:t xml:space="preserve">전설</x:t>
        </x:is>
      </x:c>
      <x:c r="R381" s="7" t="inlineStr">
        <x:is>
          <x:t xml:space="preserve">전설</x:t>
        </x:is>
      </x:c>
      <x:c r="S381" s="7" t="inlineStr">
        <x:is>
          <x:t xml:space="preserve">특수</x:t>
        </x:is>
      </x:c>
      <x:c r="T381" s="7" t="inlineStr">
        <x:is>
          <x:t xml:space="preserve"/>
        </x:is>
      </x:c>
      <x:c r="U381" s="8" t="str">
        <x:f>INDEX('서식지_점수'!$E$4:$P$4,1,MATCH(MAX('서식지_점수'!E381:P381),'서식지_점수'!E381:P381,0))</x:f>
        <x:v>평원</x:v>
      </x:c>
      <x:c r="V381" s="8" t="str">
        <x:f>IF(T381&lt;&gt;"",T381,U381)</x:f>
        <x:v>평원</x:v>
      </x:c>
      <x:c r="W381" s="8" t="str">
        <x:f>IFERROR(INDEX('서식지_점수'!$E$4:$P$4,1,MATCH(MAXIFS('서식지_점수'!E381:P381,'서식지_점수'!E381:P381,"&lt;"&amp;MAX('서식지_점수'!E381:P381)),'서식지_점수'!E381:P381,0)),"")</x:f>
        <x:v>숲</x:v>
      </x:c>
      <x:c r="X381" s="8" t="str">
        <x:f>IF(T381&lt;&gt;"","수동확정",IF(MAX('서식지_점수'!E381:P381)-LARGE('서식지_점수'!E381:P381,2)&gt;=15,"높음",IF(MAX('서식지_점수'!E381:P381)-LARGE('서식지_점수'!E381:P381,2)&gt;=8,"보통","검토필요")))</x:f>
        <x:v>검토필요</x:v>
      </x:c>
      <x:c r="Y381" s="9" t="n">
        <x:f>IF(Q381="전설",8,IF(Q381="희귀",7,IF(J381="기본",1,IF(J381="중간",3,IF(J381="최종",IF(I381="",5,IF(I381&lt;=20,3,IF(I381&lt;=35,4,IF(I381&lt;=50,6,7)))),IF(Q381="드묾",4,2))))))</x:f>
        <x:v>8</x:v>
      </x:c>
      <x:c r="Z381" s="5" t="inlineStr">
        <x:is>
          <x:t xml:space="preserve">cobbleverse:custom_spawn/regirock_temple</x:t>
        </x:is>
      </x:c>
      <x:c r="AA381" s="5" t="inlineStr">
        <x:is>
          <x:t xml:space="preserve">ultra-rare</x:t>
        </x:is>
      </x:c>
      <x:c r="AB381" s="5" t="inlineStr">
        <x:is>
          <x:t xml:space="preserve">예</x:t>
        </x:is>
      </x:c>
      <x:c r="AC381" s="8" t="str">
        <x:f>IF(T381&lt;&gt;"","수동확정",IF(X381="검토필요","검토필요",IF(S381="","원본없음","초기완료")))</x:f>
        <x:v>검토필요</x:v>
      </x:c>
      <x:c r="AD381" s="7" t="inlineStr">
        <x:is>
          <x:t xml:space="preserve"/>
        </x:is>
      </x:c>
      <x:c r="AE381" s="5" t="inlineStr">
        <x:is>
          <x:t xml:space="preserve">.tmp/cobblemon-1.7.3-source/common/src/main/resources/data/cobblemon/species/generation3/regirock.json</x:t>
        </x:is>
      </x:c>
      <x:c r="AF381" s="5" t="str">
        <x:f>"생활권|"&amp;K381</x:f>
        <x:v>생활권|육상</x:v>
      </x:c>
      <x:c r="AG381" s="5" t="str">
        <x:f>"지형|"&amp;L381</x:f>
        <x:v>지형|특수</x:v>
      </x:c>
      <x:c r="AH381" s="5" t="str">
        <x:f>"온도|"&amp;M381</x:f>
        <x:v>온도|온대</x:v>
      </x:c>
      <x:c r="AI381" s="5" t="str">
        <x:f>"습도|"&amp;N381</x:f>
        <x:v>습도|보통</x:v>
      </x:c>
      <x:c r="AJ381" s="5" t="str">
        <x:f>"날씨|"&amp;O381</x:f>
        <x:v>날씨|무관</x:v>
      </x:c>
      <x:c r="AK381" s="5" t="str">
        <x:f>"특수태그|"&amp;R381</x:f>
        <x:v>특수태그|전설</x:v>
      </x:c>
      <x:c r="AL381" s="5" t="str">
        <x:f>"원본서식지|"&amp;S381</x:f>
        <x:v>원본서식지|특수</x:v>
      </x:c>
      <x:c r="AM381" s="5" t="str">
        <x:f>"타입|"&amp;F381</x:f>
        <x:v>타입|바위</x:v>
      </x:c>
      <x:c r="AN381" s="5" t="str">
        <x:f>"타입|"&amp;G381</x:f>
        <x:v>타입|</x:v>
      </x:c>
    </x:row>
    <x:row r="382" ht="24" customHeight="1">
      <x:c r="A382" s="5" t="n">
        <x:v>378</x:v>
      </x:c>
      <x:c r="B382" s="5" t="inlineStr">
        <x:is>
          <x:t xml:space="preserve">레지아이스</x:t>
        </x:is>
      </x:c>
      <x:c r="C382" s="5" t="inlineStr">
        <x:is>
          <x:t xml:space="preserve">regice</x:t>
        </x:is>
      </x:c>
      <x:c r="D382" s="5" t="inlineStr">
        <x:is>
          <x:t xml:space="preserve">Regice</x:t>
        </x:is>
      </x:c>
      <x:c r="E382" s="5" t="n">
        <x:v>3</x:v>
      </x:c>
      <x:c r="F382" s="5" t="inlineStr">
        <x:is>
          <x:t xml:space="preserve">얼음</x:t>
        </x:is>
      </x:c>
      <x:c r="G382" s="5" t="inlineStr">
        <x:is>
          <x:t xml:space="preserve"/>
        </x:is>
      </x:c>
      <x:c r="H382" s="6" t="n">
        <x:v>175</x:v>
      </x:c>
      <x:c r="I382" s="5" t="n"/>
      <x:c r="J382" s="5" t="inlineStr">
        <x:is>
          <x:t xml:space="preserve">무진화</x:t>
        </x:is>
      </x:c>
      <x:c r="K382" s="7" t="inlineStr">
        <x:is>
          <x:t xml:space="preserve">육상</x:t>
        </x:is>
      </x:c>
      <x:c r="L382" s="7" t="inlineStr">
        <x:is>
          <x:t xml:space="preserve">특수</x:t>
        </x:is>
      </x:c>
      <x:c r="M382" s="7" t="inlineStr">
        <x:is>
          <x:t xml:space="preserve">한랭</x:t>
        </x:is>
      </x:c>
      <x:c r="N382" s="7" t="inlineStr">
        <x:is>
          <x:t xml:space="preserve">보통</x:t>
        </x:is>
      </x:c>
      <x:c r="O382" s="7" t="inlineStr">
        <x:is>
          <x:t xml:space="preserve">무관</x:t>
        </x:is>
      </x:c>
      <x:c r="P382" s="7" t="inlineStr">
        <x:is>
          <x:t xml:space="preserve">무관</x:t>
        </x:is>
      </x:c>
      <x:c r="Q382" s="7" t="inlineStr">
        <x:is>
          <x:t xml:space="preserve">전설</x:t>
        </x:is>
      </x:c>
      <x:c r="R382" s="7" t="inlineStr">
        <x:is>
          <x:t xml:space="preserve">전설</x:t>
        </x:is>
      </x:c>
      <x:c r="S382" s="7" t="inlineStr">
        <x:is>
          <x:t xml:space="preserve">특수</x:t>
        </x:is>
      </x:c>
      <x:c r="T382" s="7" t="inlineStr">
        <x:is>
          <x:t xml:space="preserve"/>
        </x:is>
      </x:c>
      <x:c r="U382" s="8" t="str">
        <x:f>INDEX('서식지_점수'!$E$4:$P$4,1,MATCH(MAX('서식지_점수'!E382:P382),'서식지_점수'!E382:P382,0))</x:f>
        <x:v>평원</x:v>
      </x:c>
      <x:c r="V382" s="8" t="str">
        <x:f>IF(T382&lt;&gt;"",T382,U382)</x:f>
        <x:v>평원</x:v>
      </x:c>
      <x:c r="W382" s="8" t="str">
        <x:f>IFERROR(INDEX('서식지_점수'!$E$4:$P$4,1,MATCH(MAXIFS('서식지_점수'!E382:P382,'서식지_점수'!E382:P382,"&lt;"&amp;MAX('서식지_점수'!E382:P382)),'서식지_점수'!E382:P382,0)),"")</x:f>
        <x:v>숲</x:v>
      </x:c>
      <x:c r="X382" s="8" t="str">
        <x:f>IF(T382&lt;&gt;"","수동확정",IF(MAX('서식지_점수'!E382:P382)-LARGE('서식지_점수'!E382:P382,2)&gt;=15,"높음",IF(MAX('서식지_점수'!E382:P382)-LARGE('서식지_점수'!E382:P382,2)&gt;=8,"보통","검토필요")))</x:f>
        <x:v>검토필요</x:v>
      </x:c>
      <x:c r="Y382" s="9" t="n">
        <x:f>IF(Q382="전설",8,IF(Q382="희귀",7,IF(J382="기본",1,IF(J382="중간",3,IF(J382="최종",IF(I382="",5,IF(I382&lt;=20,3,IF(I382&lt;=35,4,IF(I382&lt;=50,6,7)))),IF(Q382="드묾",4,2))))))</x:f>
        <x:v>8</x:v>
      </x:c>
      <x:c r="Z382" s="5" t="inlineStr">
        <x:is>
          <x:t xml:space="preserve">cobbleverse:custom_spawn/regice_temple</x:t>
        </x:is>
      </x:c>
      <x:c r="AA382" s="5" t="inlineStr">
        <x:is>
          <x:t xml:space="preserve">ultra-rare</x:t>
        </x:is>
      </x:c>
      <x:c r="AB382" s="5" t="inlineStr">
        <x:is>
          <x:t xml:space="preserve">예</x:t>
        </x:is>
      </x:c>
      <x:c r="AC382" s="8" t="str">
        <x:f>IF(T382&lt;&gt;"","수동확정",IF(X382="검토필요","검토필요",IF(S382="","원본없음","초기완료")))</x:f>
        <x:v>검토필요</x:v>
      </x:c>
      <x:c r="AD382" s="7" t="inlineStr">
        <x:is>
          <x:t xml:space="preserve"/>
        </x:is>
      </x:c>
      <x:c r="AE382" s="5" t="inlineStr">
        <x:is>
          <x:t xml:space="preserve">.tmp/cobblemon-1.7.3-source/common/src/main/resources/data/cobblemon/species/generation3/regice.json</x:t>
        </x:is>
      </x:c>
      <x:c r="AF382" s="5" t="str">
        <x:f>"생활권|"&amp;K382</x:f>
        <x:v>생활권|육상</x:v>
      </x:c>
      <x:c r="AG382" s="5" t="str">
        <x:f>"지형|"&amp;L382</x:f>
        <x:v>지형|특수</x:v>
      </x:c>
      <x:c r="AH382" s="5" t="str">
        <x:f>"온도|"&amp;M382</x:f>
        <x:v>온도|한랭</x:v>
      </x:c>
      <x:c r="AI382" s="5" t="str">
        <x:f>"습도|"&amp;N382</x:f>
        <x:v>습도|보통</x:v>
      </x:c>
      <x:c r="AJ382" s="5" t="str">
        <x:f>"날씨|"&amp;O382</x:f>
        <x:v>날씨|무관</x:v>
      </x:c>
      <x:c r="AK382" s="5" t="str">
        <x:f>"특수태그|"&amp;R382</x:f>
        <x:v>특수태그|전설</x:v>
      </x:c>
      <x:c r="AL382" s="5" t="str">
        <x:f>"원본서식지|"&amp;S382</x:f>
        <x:v>원본서식지|특수</x:v>
      </x:c>
      <x:c r="AM382" s="5" t="str">
        <x:f>"타입|"&amp;F382</x:f>
        <x:v>타입|얼음</x:v>
      </x:c>
      <x:c r="AN382" s="5" t="str">
        <x:f>"타입|"&amp;G382</x:f>
        <x:v>타입|</x:v>
      </x:c>
    </x:row>
    <x:row r="383" ht="24" customHeight="1">
      <x:c r="A383" s="5" t="n">
        <x:v>379</x:v>
      </x:c>
      <x:c r="B383" s="5" t="inlineStr">
        <x:is>
          <x:t xml:space="preserve">레지스틸</x:t>
        </x:is>
      </x:c>
      <x:c r="C383" s="5" t="inlineStr">
        <x:is>
          <x:t xml:space="preserve">registeel</x:t>
        </x:is>
      </x:c>
      <x:c r="D383" s="5" t="inlineStr">
        <x:is>
          <x:t xml:space="preserve">Registeel</x:t>
        </x:is>
      </x:c>
      <x:c r="E383" s="5" t="n">
        <x:v>3</x:v>
      </x:c>
      <x:c r="F383" s="5" t="inlineStr">
        <x:is>
          <x:t xml:space="preserve">강철</x:t>
        </x:is>
      </x:c>
      <x:c r="G383" s="5" t="inlineStr">
        <x:is>
          <x:t xml:space="preserve"/>
        </x:is>
      </x:c>
      <x:c r="H383" s="6" t="n">
        <x:v>205</x:v>
      </x:c>
      <x:c r="I383" s="5" t="n"/>
      <x:c r="J383" s="5" t="inlineStr">
        <x:is>
          <x:t xml:space="preserve">무진화</x:t>
        </x:is>
      </x:c>
      <x:c r="K383" s="7" t="inlineStr">
        <x:is>
          <x:t xml:space="preserve">육상</x:t>
        </x:is>
      </x:c>
      <x:c r="L383" s="7" t="inlineStr">
        <x:is>
          <x:t xml:space="preserve">특수</x:t>
        </x:is>
      </x:c>
      <x:c r="M383" s="7" t="inlineStr">
        <x:is>
          <x:t xml:space="preserve">온대</x:t>
        </x:is>
      </x:c>
      <x:c r="N383" s="7" t="inlineStr">
        <x:is>
          <x:t xml:space="preserve">보통</x:t>
        </x:is>
      </x:c>
      <x:c r="O383" s="7" t="inlineStr">
        <x:is>
          <x:t xml:space="preserve">무관</x:t>
        </x:is>
      </x:c>
      <x:c r="P383" s="7" t="inlineStr">
        <x:is>
          <x:t xml:space="preserve">무관</x:t>
        </x:is>
      </x:c>
      <x:c r="Q383" s="7" t="inlineStr">
        <x:is>
          <x:t xml:space="preserve">전설</x:t>
        </x:is>
      </x:c>
      <x:c r="R383" s="7" t="inlineStr">
        <x:is>
          <x:t xml:space="preserve">전설</x:t>
        </x:is>
      </x:c>
      <x:c r="S383" s="7" t="inlineStr">
        <x:is>
          <x:t xml:space="preserve">특수</x:t>
        </x:is>
      </x:c>
      <x:c r="T383" s="7" t="inlineStr">
        <x:is>
          <x:t xml:space="preserve"/>
        </x:is>
      </x:c>
      <x:c r="U383" s="8" t="str">
        <x:f>INDEX('서식지_점수'!$E$4:$P$4,1,MATCH(MAX('서식지_점수'!E383:P383),'서식지_점수'!E383:P383,0))</x:f>
        <x:v>평원</x:v>
      </x:c>
      <x:c r="V383" s="8" t="str">
        <x:f>IF(T383&lt;&gt;"",T383,U383)</x:f>
        <x:v>평원</x:v>
      </x:c>
      <x:c r="W383" s="8" t="str">
        <x:f>IFERROR(INDEX('서식지_점수'!$E$4:$P$4,1,MATCH(MAXIFS('서식지_점수'!E383:P383,'서식지_점수'!E383:P383,"&lt;"&amp;MAX('서식지_점수'!E383:P383)),'서식지_점수'!E383:P383,0)),"")</x:f>
        <x:v>숲</x:v>
      </x:c>
      <x:c r="X383" s="8" t="str">
        <x:f>IF(T383&lt;&gt;"","수동확정",IF(MAX('서식지_점수'!E383:P383)-LARGE('서식지_점수'!E383:P383,2)&gt;=15,"높음",IF(MAX('서식지_점수'!E383:P383)-LARGE('서식지_점수'!E383:P383,2)&gt;=8,"보통","검토필요")))</x:f>
        <x:v>검토필요</x:v>
      </x:c>
      <x:c r="Y383" s="9" t="n">
        <x:f>IF(Q383="전설",8,IF(Q383="희귀",7,IF(J383="기본",1,IF(J383="중간",3,IF(J383="최종",IF(I383="",5,IF(I383&lt;=20,3,IF(I383&lt;=35,4,IF(I383&lt;=50,6,7)))),IF(Q383="드묾",4,2))))))</x:f>
        <x:v>8</x:v>
      </x:c>
      <x:c r="Z383" s="5" t="inlineStr">
        <x:is>
          <x:t xml:space="preserve">cobbleverse:custom_spawn/registeel_temple</x:t>
        </x:is>
      </x:c>
      <x:c r="AA383" s="5" t="inlineStr">
        <x:is>
          <x:t xml:space="preserve">ultra-rare</x:t>
        </x:is>
      </x:c>
      <x:c r="AB383" s="5" t="inlineStr">
        <x:is>
          <x:t xml:space="preserve">예</x:t>
        </x:is>
      </x:c>
      <x:c r="AC383" s="8" t="str">
        <x:f>IF(T383&lt;&gt;"","수동확정",IF(X383="검토필요","검토필요",IF(S383="","원본없음","초기완료")))</x:f>
        <x:v>검토필요</x:v>
      </x:c>
      <x:c r="AD383" s="7" t="inlineStr">
        <x:is>
          <x:t xml:space="preserve"/>
        </x:is>
      </x:c>
      <x:c r="AE383" s="5" t="inlineStr">
        <x:is>
          <x:t xml:space="preserve">.tmp/cobblemon-1.7.3-source/common/src/main/resources/data/cobblemon/species/generation3/registeel.json</x:t>
        </x:is>
      </x:c>
      <x:c r="AF383" s="5" t="str">
        <x:f>"생활권|"&amp;K383</x:f>
        <x:v>생활권|육상</x:v>
      </x:c>
      <x:c r="AG383" s="5" t="str">
        <x:f>"지형|"&amp;L383</x:f>
        <x:v>지형|특수</x:v>
      </x:c>
      <x:c r="AH383" s="5" t="str">
        <x:f>"온도|"&amp;M383</x:f>
        <x:v>온도|온대</x:v>
      </x:c>
      <x:c r="AI383" s="5" t="str">
        <x:f>"습도|"&amp;N383</x:f>
        <x:v>습도|보통</x:v>
      </x:c>
      <x:c r="AJ383" s="5" t="str">
        <x:f>"날씨|"&amp;O383</x:f>
        <x:v>날씨|무관</x:v>
      </x:c>
      <x:c r="AK383" s="5" t="str">
        <x:f>"특수태그|"&amp;R383</x:f>
        <x:v>특수태그|전설</x:v>
      </x:c>
      <x:c r="AL383" s="5" t="str">
        <x:f>"원본서식지|"&amp;S383</x:f>
        <x:v>원본서식지|특수</x:v>
      </x:c>
      <x:c r="AM383" s="5" t="str">
        <x:f>"타입|"&amp;F383</x:f>
        <x:v>타입|강철</x:v>
      </x:c>
      <x:c r="AN383" s="5" t="str">
        <x:f>"타입|"&amp;G383</x:f>
        <x:v>타입|</x:v>
      </x:c>
    </x:row>
    <x:row r="384" ht="24" customHeight="1">
      <x:c r="A384" s="5" t="n">
        <x:v>380</x:v>
      </x:c>
      <x:c r="B384" s="5" t="inlineStr">
        <x:is>
          <x:t xml:space="preserve">라티아스</x:t>
        </x:is>
      </x:c>
      <x:c r="C384" s="5" t="inlineStr">
        <x:is>
          <x:t xml:space="preserve">latias</x:t>
        </x:is>
      </x:c>
      <x:c r="D384" s="5" t="inlineStr">
        <x:is>
          <x:t xml:space="preserve">Latias</x:t>
        </x:is>
      </x:c>
      <x:c r="E384" s="5" t="n">
        <x:v>3</x:v>
      </x:c>
      <x:c r="F384" s="5" t="inlineStr">
        <x:is>
          <x:t xml:space="preserve">드래곤</x:t>
        </x:is>
      </x:c>
      <x:c r="G384" s="5" t="inlineStr">
        <x:is>
          <x:t xml:space="preserve">에스퍼</x:t>
        </x:is>
      </x:c>
      <x:c r="H384" s="6" t="n">
        <x:v>40</x:v>
      </x:c>
      <x:c r="I384" s="5" t="n"/>
      <x:c r="J384" s="5" t="inlineStr">
        <x:is>
          <x:t xml:space="preserve">무진화</x:t>
        </x:is>
      </x:c>
      <x:c r="K384" s="7" t="inlineStr">
        <x:is>
          <x:t xml:space="preserve">비행</x:t>
        </x:is>
      </x:c>
      <x:c r="L384" s="7" t="inlineStr">
        <x:is>
          <x:t xml:space="preserve">개활지</x:t>
        </x:is>
      </x:c>
      <x:c r="M384" s="7" t="inlineStr">
        <x:is>
          <x:t xml:space="preserve">온대</x:t>
        </x:is>
      </x:c>
      <x:c r="N384" s="7" t="inlineStr">
        <x:is>
          <x:t xml:space="preserve">보통</x:t>
        </x:is>
      </x:c>
      <x:c r="O384" s="7" t="inlineStr">
        <x:is>
          <x:t xml:space="preserve">무관</x:t>
        </x:is>
      </x:c>
      <x:c r="P384" s="7" t="inlineStr">
        <x:is>
          <x:t xml:space="preserve">무관</x:t>
        </x:is>
      </x:c>
      <x:c r="Q384" s="7" t="inlineStr">
        <x:is>
          <x:t xml:space="preserve">전설</x:t>
        </x:is>
      </x:c>
      <x:c r="R384" s="7" t="inlineStr">
        <x:is>
          <x:t xml:space="preserve">전설</x:t>
        </x:is>
      </x:c>
      <x:c r="S384" s="7" t="inlineStr">
        <x:is>
          <x:t xml:space="preserve"/>
        </x:is>
      </x:c>
      <x:c r="T384" s="7" t="inlineStr">
        <x:is>
          <x:t xml:space="preserve"/>
        </x:is>
      </x:c>
      <x:c r="U384" s="8" t="str">
        <x:f>INDEX('서식지_점수'!$E$4:$P$4,1,MATCH(MAX('서식지_점수'!E384:P384),'서식지_점수'!E384:P384,0))</x:f>
        <x:v>산악</x:v>
      </x:c>
      <x:c r="V384" s="8" t="str">
        <x:f>IF(T384&lt;&gt;"",T384,U384)</x:f>
        <x:v>산악</x:v>
      </x:c>
      <x:c r="W384" s="8" t="str">
        <x:f>IFERROR(INDEX('서식지_점수'!$E$4:$P$4,1,MATCH(MAXIFS('서식지_점수'!E384:P384,'서식지_점수'!E384:P384,"&lt;"&amp;MAX('서식지_점수'!E384:P384)),'서식지_점수'!E384:P384,0)),"")</x:f>
        <x:v>평원</x:v>
      </x:c>
      <x:c r="X384" s="8" t="str">
        <x:f>IF(T384&lt;&gt;"","수동확정",IF(MAX('서식지_점수'!E384:P384)-LARGE('서식지_점수'!E384:P384,2)&gt;=15,"높음",IF(MAX('서식지_점수'!E384:P384)-LARGE('서식지_점수'!E384:P384,2)&gt;=8,"보통","검토필요")))</x:f>
        <x:v>검토필요</x:v>
      </x:c>
      <x:c r="Y384" s="9" t="n">
        <x:f>IF(Q384="전설",8,IF(Q384="희귀",7,IF(J384="기본",1,IF(J384="중간",3,IF(J384="최종",IF(I384="",5,IF(I384&lt;=20,3,IF(I384&lt;=35,4,IF(I384&lt;=50,6,7)))),IF(Q384="드묾",4,2))))))</x:f>
        <x:v>8</x:v>
      </x:c>
      <x:c r="Z384" s="5" t="inlineStr">
        <x:is>
          <x:t xml:space="preserve">cobbleverse:custom_spawn/secret_garden</x:t>
        </x:is>
      </x:c>
      <x:c r="AA384" s="5" t="inlineStr">
        <x:is>
          <x:t xml:space="preserve">ultra-rare</x:t>
        </x:is>
      </x:c>
      <x:c r="AB384" s="5" t="inlineStr">
        <x:is>
          <x:t xml:space="preserve">예</x:t>
        </x:is>
      </x:c>
      <x:c r="AC384" s="8" t="str">
        <x:f>IF(T384&lt;&gt;"","수동확정",IF(X384="검토필요","검토필요",IF(S384="","원본없음","초기완료")))</x:f>
        <x:v>검토필요</x:v>
      </x:c>
      <x:c r="AD384" s="7" t="inlineStr">
        <x:is>
          <x:t xml:space="preserve"/>
        </x:is>
      </x:c>
      <x:c r="AE384" s="5" t="inlineStr">
        <x:is>
          <x:t xml:space="preserve">.tmp/cobblemon-1.7.3-source/common/src/main/resources/data/cobblemon/species/generation3/latias.json</x:t>
        </x:is>
      </x:c>
      <x:c r="AF384" s="5" t="str">
        <x:f>"생활권|"&amp;K384</x:f>
        <x:v>생활권|비행</x:v>
      </x:c>
      <x:c r="AG384" s="5" t="str">
        <x:f>"지형|"&amp;L384</x:f>
        <x:v>지형|개활지</x:v>
      </x:c>
      <x:c r="AH384" s="5" t="str">
        <x:f>"온도|"&amp;M384</x:f>
        <x:v>온도|온대</x:v>
      </x:c>
      <x:c r="AI384" s="5" t="str">
        <x:f>"습도|"&amp;N384</x:f>
        <x:v>습도|보통</x:v>
      </x:c>
      <x:c r="AJ384" s="5" t="str">
        <x:f>"날씨|"&amp;O384</x:f>
        <x:v>날씨|무관</x:v>
      </x:c>
      <x:c r="AK384" s="5" t="str">
        <x:f>"특수태그|"&amp;R384</x:f>
        <x:v>특수태그|전설</x:v>
      </x:c>
      <x:c r="AL384" s="5" t="str">
        <x:f>"원본서식지|"&amp;S384</x:f>
        <x:v>원본서식지|</x:v>
      </x:c>
      <x:c r="AM384" s="5" t="str">
        <x:f>"타입|"&amp;F384</x:f>
        <x:v>타입|드래곤</x:v>
      </x:c>
      <x:c r="AN384" s="5" t="str">
        <x:f>"타입|"&amp;G384</x:f>
        <x:v>타입|에스퍼</x:v>
      </x:c>
    </x:row>
    <x:row r="385" ht="24" customHeight="1">
      <x:c r="A385" s="5" t="n">
        <x:v>381</x:v>
      </x:c>
      <x:c r="B385" s="5" t="inlineStr">
        <x:is>
          <x:t xml:space="preserve">라티오스</x:t>
        </x:is>
      </x:c>
      <x:c r="C385" s="5" t="inlineStr">
        <x:is>
          <x:t xml:space="preserve">latios</x:t>
        </x:is>
      </x:c>
      <x:c r="D385" s="5" t="inlineStr">
        <x:is>
          <x:t xml:space="preserve">Latios</x:t>
        </x:is>
      </x:c>
      <x:c r="E385" s="5" t="n">
        <x:v>3</x:v>
      </x:c>
      <x:c r="F385" s="5" t="inlineStr">
        <x:is>
          <x:t xml:space="preserve">드래곤</x:t>
        </x:is>
      </x:c>
      <x:c r="G385" s="5" t="inlineStr">
        <x:is>
          <x:t xml:space="preserve">에스퍼</x:t>
        </x:is>
      </x:c>
      <x:c r="H385" s="6" t="n">
        <x:v>60</x:v>
      </x:c>
      <x:c r="I385" s="5" t="n"/>
      <x:c r="J385" s="5" t="inlineStr">
        <x:is>
          <x:t xml:space="preserve">무진화</x:t>
        </x:is>
      </x:c>
      <x:c r="K385" s="7" t="inlineStr">
        <x:is>
          <x:t xml:space="preserve">비행</x:t>
        </x:is>
      </x:c>
      <x:c r="L385" s="7" t="inlineStr">
        <x:is>
          <x:t xml:space="preserve">개활지</x:t>
        </x:is>
      </x:c>
      <x:c r="M385" s="7" t="inlineStr">
        <x:is>
          <x:t xml:space="preserve">온대</x:t>
        </x:is>
      </x:c>
      <x:c r="N385" s="7" t="inlineStr">
        <x:is>
          <x:t xml:space="preserve">보통</x:t>
        </x:is>
      </x:c>
      <x:c r="O385" s="7" t="inlineStr">
        <x:is>
          <x:t xml:space="preserve">무관</x:t>
        </x:is>
      </x:c>
      <x:c r="P385" s="7" t="inlineStr">
        <x:is>
          <x:t xml:space="preserve">무관</x:t>
        </x:is>
      </x:c>
      <x:c r="Q385" s="7" t="inlineStr">
        <x:is>
          <x:t xml:space="preserve">전설</x:t>
        </x:is>
      </x:c>
      <x:c r="R385" s="7" t="inlineStr">
        <x:is>
          <x:t xml:space="preserve">전설</x:t>
        </x:is>
      </x:c>
      <x:c r="S385" s="7" t="inlineStr">
        <x:is>
          <x:t xml:space="preserve"/>
        </x:is>
      </x:c>
      <x:c r="T385" s="7" t="inlineStr">
        <x:is>
          <x:t xml:space="preserve"/>
        </x:is>
      </x:c>
      <x:c r="U385" s="8" t="str">
        <x:f>INDEX('서식지_점수'!$E$4:$P$4,1,MATCH(MAX('서식지_점수'!E385:P385),'서식지_점수'!E385:P385,0))</x:f>
        <x:v>산악</x:v>
      </x:c>
      <x:c r="V385" s="8" t="str">
        <x:f>IF(T385&lt;&gt;"",T385,U385)</x:f>
        <x:v>산악</x:v>
      </x:c>
      <x:c r="W385" s="8" t="str">
        <x:f>IFERROR(INDEX('서식지_점수'!$E$4:$P$4,1,MATCH(MAXIFS('서식지_점수'!E385:P385,'서식지_점수'!E385:P385,"&lt;"&amp;MAX('서식지_점수'!E385:P385)),'서식지_점수'!E385:P385,0)),"")</x:f>
        <x:v>평원</x:v>
      </x:c>
      <x:c r="X385" s="8" t="str">
        <x:f>IF(T385&lt;&gt;"","수동확정",IF(MAX('서식지_점수'!E385:P385)-LARGE('서식지_점수'!E385:P385,2)&gt;=15,"높음",IF(MAX('서식지_점수'!E385:P385)-LARGE('서식지_점수'!E385:P385,2)&gt;=8,"보통","검토필요")))</x:f>
        <x:v>검토필요</x:v>
      </x:c>
      <x:c r="Y385" s="9" t="n">
        <x:f>IF(Q385="전설",8,IF(Q385="희귀",7,IF(J385="기본",1,IF(J385="중간",3,IF(J385="최종",IF(I385="",5,IF(I385&lt;=20,3,IF(I385&lt;=35,4,IF(I385&lt;=50,6,7)))),IF(Q385="드묾",4,2))))))</x:f>
        <x:v>8</x:v>
      </x:c>
      <x:c r="Z385" s="5" t="inlineStr">
        <x:is>
          <x:t xml:space="preserve">cobbleverse:custom_spawn/secret_garden</x:t>
        </x:is>
      </x:c>
      <x:c r="AA385" s="5" t="inlineStr">
        <x:is>
          <x:t xml:space="preserve">ultra-rare</x:t>
        </x:is>
      </x:c>
      <x:c r="AB385" s="5" t="inlineStr">
        <x:is>
          <x:t xml:space="preserve">예</x:t>
        </x:is>
      </x:c>
      <x:c r="AC385" s="8" t="str">
        <x:f>IF(T385&lt;&gt;"","수동확정",IF(X385="검토필요","검토필요",IF(S385="","원본없음","초기완료")))</x:f>
        <x:v>검토필요</x:v>
      </x:c>
      <x:c r="AD385" s="7" t="inlineStr">
        <x:is>
          <x:t xml:space="preserve"/>
        </x:is>
      </x:c>
      <x:c r="AE385" s="5" t="inlineStr">
        <x:is>
          <x:t xml:space="preserve">.tmp/cobblemon-1.7.3-source/common/src/main/resources/data/cobblemon/species/generation3/latios.json</x:t>
        </x:is>
      </x:c>
      <x:c r="AF385" s="5" t="str">
        <x:f>"생활권|"&amp;K385</x:f>
        <x:v>생활권|비행</x:v>
      </x:c>
      <x:c r="AG385" s="5" t="str">
        <x:f>"지형|"&amp;L385</x:f>
        <x:v>지형|개활지</x:v>
      </x:c>
      <x:c r="AH385" s="5" t="str">
        <x:f>"온도|"&amp;M385</x:f>
        <x:v>온도|온대</x:v>
      </x:c>
      <x:c r="AI385" s="5" t="str">
        <x:f>"습도|"&amp;N385</x:f>
        <x:v>습도|보통</x:v>
      </x:c>
      <x:c r="AJ385" s="5" t="str">
        <x:f>"날씨|"&amp;O385</x:f>
        <x:v>날씨|무관</x:v>
      </x:c>
      <x:c r="AK385" s="5" t="str">
        <x:f>"특수태그|"&amp;R385</x:f>
        <x:v>특수태그|전설</x:v>
      </x:c>
      <x:c r="AL385" s="5" t="str">
        <x:f>"원본서식지|"&amp;S385</x:f>
        <x:v>원본서식지|</x:v>
      </x:c>
      <x:c r="AM385" s="5" t="str">
        <x:f>"타입|"&amp;F385</x:f>
        <x:v>타입|드래곤</x:v>
      </x:c>
      <x:c r="AN385" s="5" t="str">
        <x:f>"타입|"&amp;G385</x:f>
        <x:v>타입|에스퍼</x:v>
      </x:c>
    </x:row>
    <x:row r="386" ht="24" customHeight="1">
      <x:c r="A386" s="5" t="n">
        <x:v>382</x:v>
      </x:c>
      <x:c r="B386" s="5" t="inlineStr">
        <x:is>
          <x:t xml:space="preserve">가이오가</x:t>
        </x:is>
      </x:c>
      <x:c r="C386" s="5" t="inlineStr">
        <x:is>
          <x:t xml:space="preserve">kyogre</x:t>
        </x:is>
      </x:c>
      <x:c r="D386" s="5" t="inlineStr">
        <x:is>
          <x:t xml:space="preserve">Kyogre</x:t>
        </x:is>
      </x:c>
      <x:c r="E386" s="5" t="n">
        <x:v>3</x:v>
      </x:c>
      <x:c r="F386" s="5" t="inlineStr">
        <x:is>
          <x:t xml:space="preserve">물</x:t>
        </x:is>
      </x:c>
      <x:c r="G386" s="5" t="inlineStr">
        <x:is>
          <x:t xml:space="preserve"/>
        </x:is>
      </x:c>
      <x:c r="H386" s="6" t="n">
        <x:v>352</x:v>
      </x:c>
      <x:c r="I386" s="5" t="n"/>
      <x:c r="J386" s="5" t="inlineStr">
        <x:is>
          <x:t xml:space="preserve">무진화</x:t>
        </x:is>
      </x:c>
      <x:c r="K386" s="7" t="inlineStr">
        <x:is>
          <x:t xml:space="preserve">수륙</x:t>
        </x:is>
      </x:c>
      <x:c r="L386" s="7" t="inlineStr">
        <x:is>
          <x:t xml:space="preserve">특수</x:t>
        </x:is>
      </x:c>
      <x:c r="M386" s="7" t="inlineStr">
        <x:is>
          <x:t xml:space="preserve">온대</x:t>
        </x:is>
      </x:c>
      <x:c r="N386" s="7" t="inlineStr">
        <x:is>
          <x:t xml:space="preserve">보통</x:t>
        </x:is>
      </x:c>
      <x:c r="O386" s="7" t="inlineStr">
        <x:is>
          <x:t xml:space="preserve">무관</x:t>
        </x:is>
      </x:c>
      <x:c r="P386" s="7" t="inlineStr">
        <x:is>
          <x:t xml:space="preserve">무관</x:t>
        </x:is>
      </x:c>
      <x:c r="Q386" s="7" t="inlineStr">
        <x:is>
          <x:t xml:space="preserve">전설</x:t>
        </x:is>
      </x:c>
      <x:c r="R386" s="7" t="inlineStr">
        <x:is>
          <x:t xml:space="preserve">전설</x:t>
        </x:is>
      </x:c>
      <x:c r="S386" s="7" t="inlineStr">
        <x:is>
          <x:t xml:space="preserve">특수</x:t>
        </x:is>
      </x:c>
      <x:c r="T386" s="7" t="inlineStr">
        <x:is>
          <x:t xml:space="preserve"/>
        </x:is>
      </x:c>
      <x:c r="U386" s="8" t="str">
        <x:f>INDEX('서식지_점수'!$E$4:$P$4,1,MATCH(MAX('서식지_점수'!E386:P386),'서식지_점수'!E386:P386,0))</x:f>
        <x:v>습지</x:v>
      </x:c>
      <x:c r="V386" s="8" t="str">
        <x:f>IF(T386&lt;&gt;"",T386,U386)</x:f>
        <x:v>습지</x:v>
      </x:c>
      <x:c r="W386" s="8" t="str">
        <x:f>IFERROR(INDEX('서식지_점수'!$E$4:$P$4,1,MATCH(MAXIFS('서식지_점수'!E386:P386,'서식지_점수'!E386:P386,"&lt;"&amp;MAX('서식지_점수'!E386:P386)),'서식지_점수'!E386:P386,0)),"")</x:f>
        <x:v>담수</x:v>
      </x:c>
      <x:c r="X386" s="8" t="str">
        <x:f>IF(T386&lt;&gt;"","수동확정",IF(MAX('서식지_점수'!E386:P386)-LARGE('서식지_점수'!E386:P386,2)&gt;=15,"높음",IF(MAX('서식지_점수'!E386:P386)-LARGE('서식지_점수'!E386:P386,2)&gt;=8,"보통","검토필요")))</x:f>
        <x:v>검토필요</x:v>
      </x:c>
      <x:c r="Y386" s="9" t="n">
        <x:f>IF(Q386="전설",8,IF(Q386="희귀",7,IF(J386="기본",1,IF(J386="중간",3,IF(J386="최종",IF(I386="",5,IF(I386&lt;=20,3,IF(I386&lt;=35,4,IF(I386&lt;=50,6,7)))),IF(Q386="드묾",4,2))))))</x:f>
        <x:v>8</x:v>
      </x:c>
      <x:c r="Z386" s="5" t="inlineStr">
        <x:is>
          <x:t xml:space="preserve">cobbleverse:custom_spawn/kyogre_temple</x:t>
        </x:is>
      </x:c>
      <x:c r="AA386" s="5" t="inlineStr">
        <x:is>
          <x:t xml:space="preserve">ultra-rare</x:t>
        </x:is>
      </x:c>
      <x:c r="AB386" s="5" t="inlineStr">
        <x:is>
          <x:t xml:space="preserve">아니오</x:t>
        </x:is>
      </x:c>
      <x:c r="AC386" s="8" t="str">
        <x:f>IF(T386&lt;&gt;"","수동확정",IF(X386="검토필요","검토필요",IF(S386="","원본없음","초기완료")))</x:f>
        <x:v>검토필요</x:v>
      </x:c>
      <x:c r="AD386" s="7" t="inlineStr">
        <x:is>
          <x:t xml:space="preserve"/>
        </x:is>
      </x:c>
      <x:c r="AE386" s="5" t="inlineStr">
        <x:is>
          <x:t xml:space="preserve">.tmp/cobblemon-1.7.3-source/common/src/main/resources/data/cobblemon/species/generation3/kyogre.json</x:t>
        </x:is>
      </x:c>
      <x:c r="AF386" s="5" t="str">
        <x:f>"생활권|"&amp;K386</x:f>
        <x:v>생활권|수륙</x:v>
      </x:c>
      <x:c r="AG386" s="5" t="str">
        <x:f>"지형|"&amp;L386</x:f>
        <x:v>지형|특수</x:v>
      </x:c>
      <x:c r="AH386" s="5" t="str">
        <x:f>"온도|"&amp;M386</x:f>
        <x:v>온도|온대</x:v>
      </x:c>
      <x:c r="AI386" s="5" t="str">
        <x:f>"습도|"&amp;N386</x:f>
        <x:v>습도|보통</x:v>
      </x:c>
      <x:c r="AJ386" s="5" t="str">
        <x:f>"날씨|"&amp;O386</x:f>
        <x:v>날씨|무관</x:v>
      </x:c>
      <x:c r="AK386" s="5" t="str">
        <x:f>"특수태그|"&amp;R386</x:f>
        <x:v>특수태그|전설</x:v>
      </x:c>
      <x:c r="AL386" s="5" t="str">
        <x:f>"원본서식지|"&amp;S386</x:f>
        <x:v>원본서식지|특수</x:v>
      </x:c>
      <x:c r="AM386" s="5" t="str">
        <x:f>"타입|"&amp;F386</x:f>
        <x:v>타입|물</x:v>
      </x:c>
      <x:c r="AN386" s="5" t="str">
        <x:f>"타입|"&amp;G386</x:f>
        <x:v>타입|</x:v>
      </x:c>
    </x:row>
    <x:row r="387" ht="24" customHeight="1">
      <x:c r="A387" s="5" t="n">
        <x:v>383</x:v>
      </x:c>
      <x:c r="B387" s="5" t="inlineStr">
        <x:is>
          <x:t xml:space="preserve">그란돈</x:t>
        </x:is>
      </x:c>
      <x:c r="C387" s="5" t="inlineStr">
        <x:is>
          <x:t xml:space="preserve">groudon</x:t>
        </x:is>
      </x:c>
      <x:c r="D387" s="5" t="inlineStr">
        <x:is>
          <x:t xml:space="preserve">Groudon</x:t>
        </x:is>
      </x:c>
      <x:c r="E387" s="5" t="n">
        <x:v>3</x:v>
      </x:c>
      <x:c r="F387" s="5" t="inlineStr">
        <x:is>
          <x:t xml:space="preserve">땅</x:t>
        </x:is>
      </x:c>
      <x:c r="G387" s="5" t="inlineStr">
        <x:is>
          <x:t xml:space="preserve"/>
        </x:is>
      </x:c>
      <x:c r="H387" s="6" t="n">
        <x:v>950</x:v>
      </x:c>
      <x:c r="I387" s="5" t="n"/>
      <x:c r="J387" s="5" t="inlineStr">
        <x:is>
          <x:t xml:space="preserve">무진화</x:t>
        </x:is>
      </x:c>
      <x:c r="K387" s="7" t="inlineStr">
        <x:is>
          <x:t xml:space="preserve">육상</x:t>
        </x:is>
      </x:c>
      <x:c r="L387" s="7" t="inlineStr">
        <x:is>
          <x:t xml:space="preserve">암석</x:t>
        </x:is>
      </x:c>
      <x:c r="M387" s="7" t="inlineStr">
        <x:is>
          <x:t xml:space="preserve">온대</x:t>
        </x:is>
      </x:c>
      <x:c r="N387" s="7" t="inlineStr">
        <x:is>
          <x:t xml:space="preserve">보통</x:t>
        </x:is>
      </x:c>
      <x:c r="O387" s="7" t="inlineStr">
        <x:is>
          <x:t xml:space="preserve">무관</x:t>
        </x:is>
      </x:c>
      <x:c r="P387" s="7" t="inlineStr">
        <x:is>
          <x:t xml:space="preserve">무관</x:t>
        </x:is>
      </x:c>
      <x:c r="Q387" s="7" t="inlineStr">
        <x:is>
          <x:t xml:space="preserve">전설</x:t>
        </x:is>
      </x:c>
      <x:c r="R387" s="7" t="inlineStr">
        <x:is>
          <x:t xml:space="preserve">전설</x:t>
        </x:is>
      </x:c>
      <x:c r="S387" s="7" t="inlineStr">
        <x:is>
          <x:t xml:space="preserve"/>
        </x:is>
      </x:c>
      <x:c r="T387" s="7" t="inlineStr">
        <x:is>
          <x:t xml:space="preserve"/>
        </x:is>
      </x:c>
      <x:c r="U387" s="8" t="str">
        <x:f>INDEX('서식지_점수'!$E$4:$P$4,1,MATCH(MAX('서식지_점수'!E387:P387),'서식지_점수'!E387:P387,0))</x:f>
        <x:v>평원</x:v>
      </x:c>
      <x:c r="V387" s="8" t="str">
        <x:f>IF(T387&lt;&gt;"",T387,U387)</x:f>
        <x:v>평원</x:v>
      </x:c>
      <x:c r="W387" s="8" t="str">
        <x:f>IFERROR(INDEX('서식지_점수'!$E$4:$P$4,1,MATCH(MAXIFS('서식지_점수'!E387:P387,'서식지_점수'!E387:P387,"&lt;"&amp;MAX('서식지_점수'!E387:P387)),'서식지_점수'!E387:P387,0)),"")</x:f>
        <x:v>숲</x:v>
      </x:c>
      <x:c r="X387" s="8" t="str">
        <x:f>IF(T387&lt;&gt;"","수동확정",IF(MAX('서식지_점수'!E387:P387)-LARGE('서식지_점수'!E387:P387,2)&gt;=15,"높음",IF(MAX('서식지_점수'!E387:P387)-LARGE('서식지_점수'!E387:P387,2)&gt;=8,"보통","검토필요")))</x:f>
        <x:v>검토필요</x:v>
      </x:c>
      <x:c r="Y387" s="9" t="n">
        <x:f>IF(Q387="전설",8,IF(Q387="희귀",7,IF(J387="기본",1,IF(J387="중간",3,IF(J387="최종",IF(I387="",5,IF(I387&lt;=20,3,IF(I387&lt;=35,4,IF(I387&lt;=50,6,7)))),IF(Q387="드묾",4,2))))))</x:f>
        <x:v>8</x:v>
      </x:c>
      <x:c r="Z387" s="5" t="inlineStr">
        <x:is>
          <x:t xml:space="preserve">cobbleverse:custom_spawn/groudon_vulcano</x:t>
        </x:is>
      </x:c>
      <x:c r="AA387" s="5" t="inlineStr">
        <x:is>
          <x:t xml:space="preserve">ultra-rare</x:t>
        </x:is>
      </x:c>
      <x:c r="AB387" s="5" t="inlineStr">
        <x:is>
          <x:t xml:space="preserve">아니오</x:t>
        </x:is>
      </x:c>
      <x:c r="AC387" s="8" t="str">
        <x:f>IF(T387&lt;&gt;"","수동확정",IF(X387="검토필요","검토필요",IF(S387="","원본없음","초기완료")))</x:f>
        <x:v>검토필요</x:v>
      </x:c>
      <x:c r="AD387" s="7" t="inlineStr">
        <x:is>
          <x:t xml:space="preserve"/>
        </x:is>
      </x:c>
      <x:c r="AE387" s="5" t="inlineStr">
        <x:is>
          <x:t xml:space="preserve">.tmp/cobblemon-1.7.3-source/common/src/main/resources/data/cobblemon/species/generation3/groudon.json</x:t>
        </x:is>
      </x:c>
      <x:c r="AF387" s="5" t="str">
        <x:f>"생활권|"&amp;K387</x:f>
        <x:v>생활권|육상</x:v>
      </x:c>
      <x:c r="AG387" s="5" t="str">
        <x:f>"지형|"&amp;L387</x:f>
        <x:v>지형|암석</x:v>
      </x:c>
      <x:c r="AH387" s="5" t="str">
        <x:f>"온도|"&amp;M387</x:f>
        <x:v>온도|온대</x:v>
      </x:c>
      <x:c r="AI387" s="5" t="str">
        <x:f>"습도|"&amp;N387</x:f>
        <x:v>습도|보통</x:v>
      </x:c>
      <x:c r="AJ387" s="5" t="str">
        <x:f>"날씨|"&amp;O387</x:f>
        <x:v>날씨|무관</x:v>
      </x:c>
      <x:c r="AK387" s="5" t="str">
        <x:f>"특수태그|"&amp;R387</x:f>
        <x:v>특수태그|전설</x:v>
      </x:c>
      <x:c r="AL387" s="5" t="str">
        <x:f>"원본서식지|"&amp;S387</x:f>
        <x:v>원본서식지|</x:v>
      </x:c>
      <x:c r="AM387" s="5" t="str">
        <x:f>"타입|"&amp;F387</x:f>
        <x:v>타입|땅</x:v>
      </x:c>
      <x:c r="AN387" s="5" t="str">
        <x:f>"타입|"&amp;G387</x:f>
        <x:v>타입|</x:v>
      </x:c>
    </x:row>
    <x:row r="388" ht="24" customHeight="1">
      <x:c r="A388" s="5" t="n">
        <x:v>384</x:v>
      </x:c>
      <x:c r="B388" s="5" t="inlineStr">
        <x:is>
          <x:t xml:space="preserve">레쿠쟈</x:t>
        </x:is>
      </x:c>
      <x:c r="C388" s="5" t="inlineStr">
        <x:is>
          <x:t xml:space="preserve">rayquaza</x:t>
        </x:is>
      </x:c>
      <x:c r="D388" s="5" t="inlineStr">
        <x:is>
          <x:t xml:space="preserve">Rayquaza</x:t>
        </x:is>
      </x:c>
      <x:c r="E388" s="5" t="n">
        <x:v>3</x:v>
      </x:c>
      <x:c r="F388" s="5" t="inlineStr">
        <x:is>
          <x:t xml:space="preserve">드래곤</x:t>
        </x:is>
      </x:c>
      <x:c r="G388" s="5" t="inlineStr">
        <x:is>
          <x:t xml:space="preserve">비행</x:t>
        </x:is>
      </x:c>
      <x:c r="H388" s="6" t="n">
        <x:v>206.5</x:v>
      </x:c>
      <x:c r="I388" s="5" t="n"/>
      <x:c r="J388" s="5" t="inlineStr">
        <x:is>
          <x:t xml:space="preserve">무진화</x:t>
        </x:is>
      </x:c>
      <x:c r="K388" s="7" t="inlineStr">
        <x:is>
          <x:t xml:space="preserve">비행</x:t>
        </x:is>
      </x:c>
      <x:c r="L388" s="7" t="inlineStr">
        <x:is>
          <x:t xml:space="preserve">개활지</x:t>
        </x:is>
      </x:c>
      <x:c r="M388" s="7" t="inlineStr">
        <x:is>
          <x:t xml:space="preserve">온대</x:t>
        </x:is>
      </x:c>
      <x:c r="N388" s="7" t="inlineStr">
        <x:is>
          <x:t xml:space="preserve">보통</x:t>
        </x:is>
      </x:c>
      <x:c r="O388" s="7" t="inlineStr">
        <x:is>
          <x:t xml:space="preserve">무관</x:t>
        </x:is>
      </x:c>
      <x:c r="P388" s="7" t="inlineStr">
        <x:is>
          <x:t xml:space="preserve">무관</x:t>
        </x:is>
      </x:c>
      <x:c r="Q388" s="7" t="inlineStr">
        <x:is>
          <x:t xml:space="preserve">전설</x:t>
        </x:is>
      </x:c>
      <x:c r="R388" s="7" t="inlineStr">
        <x:is>
          <x:t xml:space="preserve">전설</x:t>
        </x:is>
      </x:c>
      <x:c r="S388" s="7" t="inlineStr">
        <x:is>
          <x:t xml:space="preserve"/>
        </x:is>
      </x:c>
      <x:c r="T388" s="7" t="inlineStr">
        <x:is>
          <x:t xml:space="preserve"/>
        </x:is>
      </x:c>
      <x:c r="U388" s="8" t="str">
        <x:f>INDEX('서식지_점수'!$E$4:$P$4,1,MATCH(MAX('서식지_점수'!E388:P388),'서식지_점수'!E388:P388,0))</x:f>
        <x:v>산악</x:v>
      </x:c>
      <x:c r="V388" s="8" t="str">
        <x:f>IF(T388&lt;&gt;"",T388,U388)</x:f>
        <x:v>산악</x:v>
      </x:c>
      <x:c r="W388" s="8" t="str">
        <x:f>IFERROR(INDEX('서식지_점수'!$E$4:$P$4,1,MATCH(MAXIFS('서식지_점수'!E388:P388,'서식지_점수'!E388:P388,"&lt;"&amp;MAX('서식지_점수'!E388:P388)),'서식지_점수'!E388:P388,0)),"")</x:f>
        <x:v>평원</x:v>
      </x:c>
      <x:c r="X388" s="8" t="str">
        <x:f>IF(T388&lt;&gt;"","수동확정",IF(MAX('서식지_점수'!E388:P388)-LARGE('서식지_점수'!E388:P388,2)&gt;=15,"높음",IF(MAX('서식지_점수'!E388:P388)-LARGE('서식지_점수'!E388:P388,2)&gt;=8,"보통","검토필요")))</x:f>
        <x:v>검토필요</x:v>
      </x:c>
      <x:c r="Y388" s="9" t="n">
        <x:f>IF(Q388="전설",8,IF(Q388="희귀",7,IF(J388="기본",1,IF(J388="중간",3,IF(J388="최종",IF(I388="",5,IF(I388&lt;=20,3,IF(I388&lt;=35,4,IF(I388&lt;=50,6,7)))),IF(Q388="드묾",4,2))))))</x:f>
        <x:v>8</x:v>
      </x:c>
      <x:c r="Z388" s="5" t="inlineStr">
        <x:is>
          <x:t xml:space="preserve">cobbleverse:custom_spawn/sky_pillar</x:t>
        </x:is>
      </x:c>
      <x:c r="AA388" s="5" t="inlineStr">
        <x:is>
          <x:t xml:space="preserve">ultra-rare</x:t>
        </x:is>
      </x:c>
      <x:c r="AB388" s="5" t="inlineStr">
        <x:is>
          <x:t xml:space="preserve">예</x:t>
        </x:is>
      </x:c>
      <x:c r="AC388" s="8" t="str">
        <x:f>IF(T388&lt;&gt;"","수동확정",IF(X388="검토필요","검토필요",IF(S388="","원본없음","초기완료")))</x:f>
        <x:v>검토필요</x:v>
      </x:c>
      <x:c r="AD388" s="7" t="inlineStr">
        <x:is>
          <x:t xml:space="preserve"/>
        </x:is>
      </x:c>
      <x:c r="AE388" s="5" t="inlineStr">
        <x:is>
          <x:t xml:space="preserve">.tmp/cobblemon-1.7.3-source/common/src/main/resources/data/cobblemon/species/generation3/rayquaza.json</x:t>
        </x:is>
      </x:c>
      <x:c r="AF388" s="5" t="str">
        <x:f>"생활권|"&amp;K388</x:f>
        <x:v>생활권|비행</x:v>
      </x:c>
      <x:c r="AG388" s="5" t="str">
        <x:f>"지형|"&amp;L388</x:f>
        <x:v>지형|개활지</x:v>
      </x:c>
      <x:c r="AH388" s="5" t="str">
        <x:f>"온도|"&amp;M388</x:f>
        <x:v>온도|온대</x:v>
      </x:c>
      <x:c r="AI388" s="5" t="str">
        <x:f>"습도|"&amp;N388</x:f>
        <x:v>습도|보통</x:v>
      </x:c>
      <x:c r="AJ388" s="5" t="str">
        <x:f>"날씨|"&amp;O388</x:f>
        <x:v>날씨|무관</x:v>
      </x:c>
      <x:c r="AK388" s="5" t="str">
        <x:f>"특수태그|"&amp;R388</x:f>
        <x:v>특수태그|전설</x:v>
      </x:c>
      <x:c r="AL388" s="5" t="str">
        <x:f>"원본서식지|"&amp;S388</x:f>
        <x:v>원본서식지|</x:v>
      </x:c>
      <x:c r="AM388" s="5" t="str">
        <x:f>"타입|"&amp;F388</x:f>
        <x:v>타입|드래곤</x:v>
      </x:c>
      <x:c r="AN388" s="5" t="str">
        <x:f>"타입|"&amp;G388</x:f>
        <x:v>타입|비행</x:v>
      </x:c>
    </x:row>
    <x:row r="389" ht="24" customHeight="1">
      <x:c r="A389" s="5" t="n">
        <x:v>385</x:v>
      </x:c>
      <x:c r="B389" s="5" t="inlineStr">
        <x:is>
          <x:t xml:space="preserve">지라치</x:t>
        </x:is>
      </x:c>
      <x:c r="C389" s="5" t="inlineStr">
        <x:is>
          <x:t xml:space="preserve">jirachi</x:t>
        </x:is>
      </x:c>
      <x:c r="D389" s="5" t="inlineStr">
        <x:is>
          <x:t xml:space="preserve">Jirachi</x:t>
        </x:is>
      </x:c>
      <x:c r="E389" s="5" t="n">
        <x:v>3</x:v>
      </x:c>
      <x:c r="F389" s="5" t="inlineStr">
        <x:is>
          <x:t xml:space="preserve">강철</x:t>
        </x:is>
      </x:c>
      <x:c r="G389" s="5" t="inlineStr">
        <x:is>
          <x:t xml:space="preserve">에스퍼</x:t>
        </x:is>
      </x:c>
      <x:c r="H389" s="6" t="n">
        <x:v>1.1</x:v>
      </x:c>
      <x:c r="I389" s="5" t="n"/>
      <x:c r="J389" s="5" t="inlineStr">
        <x:is>
          <x:t xml:space="preserve">무진화</x:t>
        </x:is>
      </x:c>
      <x:c r="K389" s="7" t="inlineStr">
        <x:is>
          <x:t xml:space="preserve">비행</x:t>
        </x:is>
      </x:c>
      <x:c r="L389" s="7" t="inlineStr">
        <x:is>
          <x:t xml:space="preserve">개활지</x:t>
        </x:is>
      </x:c>
      <x:c r="M389" s="7" t="inlineStr">
        <x:is>
          <x:t xml:space="preserve">온대</x:t>
        </x:is>
      </x:c>
      <x:c r="N389" s="7" t="inlineStr">
        <x:is>
          <x:t xml:space="preserve">보통</x:t>
        </x:is>
      </x:c>
      <x:c r="O389" s="7" t="inlineStr">
        <x:is>
          <x:t xml:space="preserve">무관</x:t>
        </x:is>
      </x:c>
      <x:c r="P389" s="7" t="inlineStr">
        <x:is>
          <x:t xml:space="preserve">무관</x:t>
        </x:is>
      </x:c>
      <x:c r="Q389" s="7" t="inlineStr">
        <x:is>
          <x:t xml:space="preserve">전설</x:t>
        </x:is>
      </x:c>
      <x:c r="R389" s="7" t="inlineStr">
        <x:is>
          <x:t xml:space="preserve">전설</x:t>
        </x:is>
      </x:c>
      <x:c r="S389" s="7" t="inlineStr">
        <x:is>
          <x:t xml:space="preserve"/>
        </x:is>
      </x:c>
      <x:c r="T389" s="7" t="inlineStr">
        <x:is>
          <x:t xml:space="preserve"/>
        </x:is>
      </x:c>
      <x:c r="U389" s="8" t="str">
        <x:f>INDEX('서식지_점수'!$E$4:$P$4,1,MATCH(MAX('서식지_점수'!E389:P389),'서식지_점수'!E389:P389,0))</x:f>
        <x:v>산악</x:v>
      </x:c>
      <x:c r="V389" s="8" t="str">
        <x:f>IF(T389&lt;&gt;"",T389,U389)</x:f>
        <x:v>산악</x:v>
      </x:c>
      <x:c r="W389" s="8" t="str">
        <x:f>IFERROR(INDEX('서식지_점수'!$E$4:$P$4,1,MATCH(MAXIFS('서식지_점수'!E389:P389,'서식지_점수'!E389:P389,"&lt;"&amp;MAX('서식지_점수'!E389:P389)),'서식지_점수'!E389:P389,0)),"")</x:f>
        <x:v>평원</x:v>
      </x:c>
      <x:c r="X389" s="8" t="str">
        <x:f>IF(T389&lt;&gt;"","수동확정",IF(MAX('서식지_점수'!E389:P389)-LARGE('서식지_점수'!E389:P389,2)&gt;=15,"높음",IF(MAX('서식지_점수'!E389:P389)-LARGE('서식지_점수'!E389:P389,2)&gt;=8,"보통","검토필요")))</x:f>
        <x:v>검토필요</x:v>
      </x:c>
      <x:c r="Y389" s="9" t="n">
        <x:f>IF(Q389="전설",8,IF(Q389="희귀",7,IF(J389="기본",1,IF(J389="중간",3,IF(J389="최종",IF(I389="",5,IF(I389&lt;=20,3,IF(I389&lt;=35,4,IF(I389&lt;=50,6,7)))),IF(Q389="드묾",4,2))))))</x:f>
        <x:v>8</x:v>
      </x:c>
      <x:c r="Z389" s="5" t="inlineStr">
        <x:is>
          <x:t xml:space="preserve">cobbleverse:custom_spawn/jirachi_structure</x:t>
        </x:is>
      </x:c>
      <x:c r="AA389" s="5" t="inlineStr">
        <x:is>
          <x:t xml:space="preserve">ultra-rare</x:t>
        </x:is>
      </x:c>
      <x:c r="AB389" s="5" t="inlineStr">
        <x:is>
          <x:t xml:space="preserve">아니오</x:t>
        </x:is>
      </x:c>
      <x:c r="AC389" s="8" t="str">
        <x:f>IF(T389&lt;&gt;"","수동확정",IF(X389="검토필요","검토필요",IF(S389="","원본없음","초기완료")))</x:f>
        <x:v>검토필요</x:v>
      </x:c>
      <x:c r="AD389" s="7" t="inlineStr">
        <x:is>
          <x:t xml:space="preserve"/>
        </x:is>
      </x:c>
      <x:c r="AE389" s="5" t="inlineStr">
        <x:is>
          <x:t xml:space="preserve">.tmp/cobblemon-1.7.3-source/common/src/main/resources/data/cobblemon/species/generation3/jirachi.json</x:t>
        </x:is>
      </x:c>
      <x:c r="AF389" s="5" t="str">
        <x:f>"생활권|"&amp;K389</x:f>
        <x:v>생활권|비행</x:v>
      </x:c>
      <x:c r="AG389" s="5" t="str">
        <x:f>"지형|"&amp;L389</x:f>
        <x:v>지형|개활지</x:v>
      </x:c>
      <x:c r="AH389" s="5" t="str">
        <x:f>"온도|"&amp;M389</x:f>
        <x:v>온도|온대</x:v>
      </x:c>
      <x:c r="AI389" s="5" t="str">
        <x:f>"습도|"&amp;N389</x:f>
        <x:v>습도|보통</x:v>
      </x:c>
      <x:c r="AJ389" s="5" t="str">
        <x:f>"날씨|"&amp;O389</x:f>
        <x:v>날씨|무관</x:v>
      </x:c>
      <x:c r="AK389" s="5" t="str">
        <x:f>"특수태그|"&amp;R389</x:f>
        <x:v>특수태그|전설</x:v>
      </x:c>
      <x:c r="AL389" s="5" t="str">
        <x:f>"원본서식지|"&amp;S389</x:f>
        <x:v>원본서식지|</x:v>
      </x:c>
      <x:c r="AM389" s="5" t="str">
        <x:f>"타입|"&amp;F389</x:f>
        <x:v>타입|강철</x:v>
      </x:c>
      <x:c r="AN389" s="5" t="str">
        <x:f>"타입|"&amp;G389</x:f>
        <x:v>타입|에스퍼</x:v>
      </x:c>
    </x:row>
    <x:row r="390" ht="24" customHeight="1">
      <x:c r="A390" s="5" t="n">
        <x:v>386</x:v>
      </x:c>
      <x:c r="B390" s="5" t="inlineStr">
        <x:is>
          <x:t xml:space="preserve">테오키스</x:t>
        </x:is>
      </x:c>
      <x:c r="C390" s="5" t="inlineStr">
        <x:is>
          <x:t xml:space="preserve">deoxys</x:t>
        </x:is>
      </x:c>
      <x:c r="D390" s="5" t="inlineStr">
        <x:is>
          <x:t xml:space="preserve">Deoxys</x:t>
        </x:is>
      </x:c>
      <x:c r="E390" s="5" t="n">
        <x:v>3</x:v>
      </x:c>
      <x:c r="F390" s="5" t="inlineStr">
        <x:is>
          <x:t xml:space="preserve">에스퍼</x:t>
        </x:is>
      </x:c>
      <x:c r="G390" s="5" t="inlineStr">
        <x:is>
          <x:t xml:space="preserve"/>
        </x:is>
      </x:c>
      <x:c r="H390" s="6" t="n">
        <x:v>60.8</x:v>
      </x:c>
      <x:c r="I390" s="5" t="n"/>
      <x:c r="J390" s="5" t="inlineStr">
        <x:is>
          <x:t xml:space="preserve">무진화</x:t>
        </x:is>
      </x:c>
      <x:c r="K390" s="7" t="inlineStr">
        <x:is>
          <x:t xml:space="preserve">비행</x:t>
        </x:is>
      </x:c>
      <x:c r="L390" s="7" t="inlineStr">
        <x:is>
          <x:t xml:space="preserve">개활지</x:t>
        </x:is>
      </x:c>
      <x:c r="M390" s="7" t="inlineStr">
        <x:is>
          <x:t xml:space="preserve">온대</x:t>
        </x:is>
      </x:c>
      <x:c r="N390" s="7" t="inlineStr">
        <x:is>
          <x:t xml:space="preserve">보통</x:t>
        </x:is>
      </x:c>
      <x:c r="O390" s="7" t="inlineStr">
        <x:is>
          <x:t xml:space="preserve">무관</x:t>
        </x:is>
      </x:c>
      <x:c r="P390" s="7" t="inlineStr">
        <x:is>
          <x:t xml:space="preserve">무관</x:t>
        </x:is>
      </x:c>
      <x:c r="Q390" s="7" t="inlineStr">
        <x:is>
          <x:t xml:space="preserve">전설</x:t>
        </x:is>
      </x:c>
      <x:c r="R390" s="7" t="inlineStr">
        <x:is>
          <x:t xml:space="preserve">전설</x:t>
        </x:is>
      </x:c>
      <x:c r="S390" s="7" t="inlineStr">
        <x:is>
          <x:t xml:space="preserve"/>
        </x:is>
      </x:c>
      <x:c r="T390" s="7" t="inlineStr">
        <x:is>
          <x:t xml:space="preserve"/>
        </x:is>
      </x:c>
      <x:c r="U390" s="8" t="str">
        <x:f>INDEX('서식지_점수'!$E$4:$P$4,1,MATCH(MAX('서식지_점수'!E390:P390),'서식지_점수'!E390:P390,0))</x:f>
        <x:v>산악</x:v>
      </x:c>
      <x:c r="V390" s="8" t="str">
        <x:f>IF(T390&lt;&gt;"",T390,U390)</x:f>
        <x:v>산악</x:v>
      </x:c>
      <x:c r="W390" s="8" t="str">
        <x:f>IFERROR(INDEX('서식지_점수'!$E$4:$P$4,1,MATCH(MAXIFS('서식지_점수'!E390:P390,'서식지_점수'!E390:P390,"&lt;"&amp;MAX('서식지_점수'!E390:P390)),'서식지_점수'!E390:P390,0)),"")</x:f>
        <x:v>평원</x:v>
      </x:c>
      <x:c r="X390" s="8" t="str">
        <x:f>IF(T390&lt;&gt;"","수동확정",IF(MAX('서식지_점수'!E390:P390)-LARGE('서식지_점수'!E390:P390,2)&gt;=15,"높음",IF(MAX('서식지_점수'!E390:P390)-LARGE('서식지_점수'!E390:P390,2)&gt;=8,"보통","검토필요")))</x:f>
        <x:v>검토필요</x:v>
      </x:c>
      <x:c r="Y390" s="9" t="n">
        <x:f>IF(Q390="전설",8,IF(Q390="희귀",7,IF(J390="기본",1,IF(J390="중간",3,IF(J390="최종",IF(I390="",5,IF(I390&lt;=20,3,IF(I390&lt;=35,4,IF(I390&lt;=50,6,7)))),IF(Q390="드묾",4,2))))))</x:f>
        <x:v>8</x:v>
      </x:c>
      <x:c r="Z390" s="5" t="inlineStr">
        <x:is>
          <x:t xml:space="preserve">cobbleverse:custom_spawn/deoxys_meteorite</x:t>
        </x:is>
      </x:c>
      <x:c r="AA390" s="5" t="inlineStr">
        <x:is>
          <x:t xml:space="preserve">ultra-rare</x:t>
        </x:is>
      </x:c>
      <x:c r="AB390" s="5" t="inlineStr">
        <x:is>
          <x:t xml:space="preserve">아니오</x:t>
        </x:is>
      </x:c>
      <x:c r="AC390" s="8" t="str">
        <x:f>IF(T390&lt;&gt;"","수동확정",IF(X390="검토필요","검토필요",IF(S390="","원본없음","초기완료")))</x:f>
        <x:v>검토필요</x:v>
      </x:c>
      <x:c r="AD390" s="7" t="inlineStr">
        <x:is>
          <x:t xml:space="preserve"/>
        </x:is>
      </x:c>
      <x:c r="AE390" s="5" t="inlineStr">
        <x:is>
          <x:t xml:space="preserve">.tmp/cobblemon-1.7.3-source/common/src/main/resources/data/cobblemon/species/generation3/deoxys.json</x:t>
        </x:is>
      </x:c>
      <x:c r="AF390" s="5" t="str">
        <x:f>"생활권|"&amp;K390</x:f>
        <x:v>생활권|비행</x:v>
      </x:c>
      <x:c r="AG390" s="5" t="str">
        <x:f>"지형|"&amp;L390</x:f>
        <x:v>지형|개활지</x:v>
      </x:c>
      <x:c r="AH390" s="5" t="str">
        <x:f>"온도|"&amp;M390</x:f>
        <x:v>온도|온대</x:v>
      </x:c>
      <x:c r="AI390" s="5" t="str">
        <x:f>"습도|"&amp;N390</x:f>
        <x:v>습도|보통</x:v>
      </x:c>
      <x:c r="AJ390" s="5" t="str">
        <x:f>"날씨|"&amp;O390</x:f>
        <x:v>날씨|무관</x:v>
      </x:c>
      <x:c r="AK390" s="5" t="str">
        <x:f>"특수태그|"&amp;R390</x:f>
        <x:v>특수태그|전설</x:v>
      </x:c>
      <x:c r="AL390" s="5" t="str">
        <x:f>"원본서식지|"&amp;S390</x:f>
        <x:v>원본서식지|</x:v>
      </x:c>
      <x:c r="AM390" s="5" t="str">
        <x:f>"타입|"&amp;F390</x:f>
        <x:v>타입|에스퍼</x:v>
      </x:c>
      <x:c r="AN390" s="5" t="str">
        <x:f>"타입|"&amp;G390</x:f>
        <x:v>타입|</x:v>
      </x:c>
    </x:row>
    <x:row r="391" ht="24" customHeight="1">
      <x:c r="A391" s="5" t="n">
        <x:v>387</x:v>
      </x:c>
      <x:c r="B391" s="5" t="inlineStr">
        <x:is>
          <x:t xml:space="preserve">모부기</x:t>
        </x:is>
      </x:c>
      <x:c r="C391" s="5" t="inlineStr">
        <x:is>
          <x:t xml:space="preserve">turtwig</x:t>
        </x:is>
      </x:c>
      <x:c r="D391" s="5" t="inlineStr">
        <x:is>
          <x:t xml:space="preserve">Turtwig</x:t>
        </x:is>
      </x:c>
      <x:c r="E391" s="5" t="n">
        <x:v>4</x:v>
      </x:c>
      <x:c r="F391" s="5" t="inlineStr">
        <x:is>
          <x:t xml:space="preserve">풀</x:t>
        </x:is>
      </x:c>
      <x:c r="G391" s="5" t="inlineStr">
        <x:is>
          <x:t xml:space="preserve"/>
        </x:is>
      </x:c>
      <x:c r="H391" s="6" t="n">
        <x:v>10.2</x:v>
      </x:c>
      <x:c r="I391" s="5" t="n">
        <x:v>32</x:v>
      </x:c>
      <x:c r="J391" s="5" t="inlineStr">
        <x:is>
          <x:t xml:space="preserve">기본</x:t>
        </x:is>
      </x:c>
      <x:c r="K391" s="7" t="inlineStr">
        <x:is>
          <x:t xml:space="preserve">육상</x:t>
        </x:is>
      </x:c>
      <x:c r="L391" s="7" t="inlineStr">
        <x:is>
          <x:t xml:space="preserve">수목</x:t>
        </x:is>
      </x:c>
      <x:c r="M391" s="7" t="inlineStr">
        <x:is>
          <x:t xml:space="preserve">온대</x:t>
        </x:is>
      </x:c>
      <x:c r="N391" s="7" t="inlineStr">
        <x:is>
          <x:t xml:space="preserve">보통</x:t>
        </x:is>
      </x:c>
      <x:c r="O391" s="7" t="inlineStr">
        <x:is>
          <x:t xml:space="preserve">무관</x:t>
        </x:is>
      </x:c>
      <x:c r="P391" s="7" t="inlineStr">
        <x:is>
          <x:t xml:space="preserve">무관</x:t>
        </x:is>
      </x:c>
      <x:c r="Q391" s="7" t="inlineStr">
        <x:is>
          <x:t xml:space="preserve">희귀</x:t>
        </x:is>
      </x:c>
      <x:c r="R391" s="7" t="inlineStr">
        <x:is>
          <x:t xml:space="preserve">없음</x:t>
        </x:is>
      </x:c>
      <x:c r="S391" s="7" t="inlineStr">
        <x:is>
          <x:t xml:space="preserve">숲</x:t>
        </x:is>
      </x:c>
      <x:c r="T391" s="7" t="inlineStr">
        <x:is>
          <x:t xml:space="preserve"/>
        </x:is>
      </x:c>
      <x:c r="U391" s="8" t="str">
        <x:f>INDEX('서식지_점수'!$E$4:$P$4,1,MATCH(MAX('서식지_점수'!E391:P391),'서식지_점수'!E391:P391,0))</x:f>
        <x:v>평원</x:v>
      </x:c>
      <x:c r="V391" s="8" t="str">
        <x:f>IF(T391&lt;&gt;"",T391,U391)</x:f>
        <x:v>평원</x:v>
      </x:c>
      <x:c r="W391" s="8" t="str">
        <x:f>IFERROR(INDEX('서식지_점수'!$E$4:$P$4,1,MATCH(MAXIFS('서식지_점수'!E391:P391,'서식지_점수'!E391:P391,"&lt;"&amp;MAX('서식지_점수'!E391:P391)),'서식지_점수'!E391:P391,0)),"")</x:f>
        <x:v>숲</x:v>
      </x:c>
      <x:c r="X391" s="8" t="str">
        <x:f>IF(T391&lt;&gt;"","수동확정",IF(MAX('서식지_점수'!E391:P391)-LARGE('서식지_점수'!E391:P391,2)&gt;=15,"높음",IF(MAX('서식지_점수'!E391:P391)-LARGE('서식지_점수'!E391:P391,2)&gt;=8,"보통","검토필요")))</x:f>
        <x:v>검토필요</x:v>
      </x:c>
      <x:c r="Y391" s="9" t="n">
        <x:f>IF(Q391="전설",8,IF(Q391="희귀",7,IF(J391="기본",1,IF(J391="중간",3,IF(J391="최종",IF(I391="",5,IF(I391&lt;=20,3,IF(I391&lt;=35,4,IF(I391&lt;=50,6,7)))),IF(Q391="드묾",4,2))))))</x:f>
        <x:v>7</x:v>
      </x:c>
      <x:c r="Z391" s="5" t="inlineStr">
        <x:is>
          <x:t xml:space="preserve">#cobblemon:is_forest</x:t>
        </x:is>
      </x:c>
      <x:c r="AA391" s="5" t="inlineStr">
        <x:is>
          <x:t xml:space="preserve">ultra-rare</x:t>
        </x:is>
      </x:c>
      <x:c r="AB391" s="5" t="inlineStr">
        <x:is>
          <x:t xml:space="preserve">예</x:t>
        </x:is>
      </x:c>
      <x:c r="AC391" s="8" t="str">
        <x:f>IF(T391&lt;&gt;"","수동확정",IF(X391="검토필요","검토필요",IF(S391="","원본없음","초기완료")))</x:f>
        <x:v>검토필요</x:v>
      </x:c>
      <x:c r="AD391" s="7" t="inlineStr">
        <x:is>
          <x:t xml:space="preserve"/>
        </x:is>
      </x:c>
      <x:c r="AE391" s="5" t="inlineStr">
        <x:is>
          <x:t xml:space="preserve">.tmp/cobblemon-1.7.3-source/common/src/main/resources/data/cobblemon/species/generation4/turtwig.json</x:t>
        </x:is>
      </x:c>
      <x:c r="AF391" s="5" t="str">
        <x:f>"생활권|"&amp;K391</x:f>
        <x:v>생활권|육상</x:v>
      </x:c>
      <x:c r="AG391" s="5" t="str">
        <x:f>"지형|"&amp;L391</x:f>
        <x:v>지형|수목</x:v>
      </x:c>
      <x:c r="AH391" s="5" t="str">
        <x:f>"온도|"&amp;M391</x:f>
        <x:v>온도|온대</x:v>
      </x:c>
      <x:c r="AI391" s="5" t="str">
        <x:f>"습도|"&amp;N391</x:f>
        <x:v>습도|보통</x:v>
      </x:c>
      <x:c r="AJ391" s="5" t="str">
        <x:f>"날씨|"&amp;O391</x:f>
        <x:v>날씨|무관</x:v>
      </x:c>
      <x:c r="AK391" s="5" t="str">
        <x:f>"특수태그|"&amp;R391</x:f>
        <x:v>특수태그|없음</x:v>
      </x:c>
      <x:c r="AL391" s="5" t="str">
        <x:f>"원본서식지|"&amp;S391</x:f>
        <x:v>원본서식지|숲</x:v>
      </x:c>
      <x:c r="AM391" s="5" t="str">
        <x:f>"타입|"&amp;F391</x:f>
        <x:v>타입|풀</x:v>
      </x:c>
      <x:c r="AN391" s="5" t="str">
        <x:f>"타입|"&amp;G391</x:f>
        <x:v>타입|</x:v>
      </x:c>
    </x:row>
    <x:row r="392" ht="24" customHeight="1">
      <x:c r="A392" s="5" t="n">
        <x:v>388</x:v>
      </x:c>
      <x:c r="B392" s="5" t="inlineStr">
        <x:is>
          <x:t xml:space="preserve">수풀부기</x:t>
        </x:is>
      </x:c>
      <x:c r="C392" s="5" t="inlineStr">
        <x:is>
          <x:t xml:space="preserve">grotle</x:t>
        </x:is>
      </x:c>
      <x:c r="D392" s="5" t="inlineStr">
        <x:is>
          <x:t xml:space="preserve">Grotle</x:t>
        </x:is>
      </x:c>
      <x:c r="E392" s="5" t="n">
        <x:v>4</x:v>
      </x:c>
      <x:c r="F392" s="5" t="inlineStr">
        <x:is>
          <x:t xml:space="preserve">풀</x:t>
        </x:is>
      </x:c>
      <x:c r="G392" s="5" t="inlineStr">
        <x:is>
          <x:t xml:space="preserve"/>
        </x:is>
      </x:c>
      <x:c r="H392" s="6" t="n">
        <x:v>97</x:v>
      </x:c>
      <x:c r="I392" s="5" t="n">
        <x:v>32</x:v>
      </x:c>
      <x:c r="J392" s="5" t="inlineStr">
        <x:is>
          <x:t xml:space="preserve">중간</x:t>
        </x:is>
      </x:c>
      <x:c r="K392" s="7" t="inlineStr">
        <x:is>
          <x:t xml:space="preserve">육상</x:t>
        </x:is>
      </x:c>
      <x:c r="L392" s="7" t="inlineStr">
        <x:is>
          <x:t xml:space="preserve">수목</x:t>
        </x:is>
      </x:c>
      <x:c r="M392" s="7" t="inlineStr">
        <x:is>
          <x:t xml:space="preserve">온대</x:t>
        </x:is>
      </x:c>
      <x:c r="N392" s="7" t="inlineStr">
        <x:is>
          <x:t xml:space="preserve">보통</x:t>
        </x:is>
      </x:c>
      <x:c r="O392" s="7" t="inlineStr">
        <x:is>
          <x:t xml:space="preserve">무관</x:t>
        </x:is>
      </x:c>
      <x:c r="P392" s="7" t="inlineStr">
        <x:is>
          <x:t xml:space="preserve">무관</x:t>
        </x:is>
      </x:c>
      <x:c r="Q392" s="7" t="inlineStr">
        <x:is>
          <x:t xml:space="preserve">희귀</x:t>
        </x:is>
      </x:c>
      <x:c r="R392" s="7" t="inlineStr">
        <x:is>
          <x:t xml:space="preserve">없음</x:t>
        </x:is>
      </x:c>
      <x:c r="S392" s="7" t="inlineStr">
        <x:is>
          <x:t xml:space="preserve">숲</x:t>
        </x:is>
      </x:c>
      <x:c r="T392" s="7" t="inlineStr">
        <x:is>
          <x:t xml:space="preserve"/>
        </x:is>
      </x:c>
      <x:c r="U392" s="8" t="str">
        <x:f>INDEX('서식지_점수'!$E$4:$P$4,1,MATCH(MAX('서식지_점수'!E392:P392),'서식지_점수'!E392:P392,0))</x:f>
        <x:v>평원</x:v>
      </x:c>
      <x:c r="V392" s="8" t="str">
        <x:f>IF(T392&lt;&gt;"",T392,U392)</x:f>
        <x:v>평원</x:v>
      </x:c>
      <x:c r="W392" s="8" t="str">
        <x:f>IFERROR(INDEX('서식지_점수'!$E$4:$P$4,1,MATCH(MAXIFS('서식지_점수'!E392:P392,'서식지_점수'!E392:P392,"&lt;"&amp;MAX('서식지_점수'!E392:P392)),'서식지_점수'!E392:P392,0)),"")</x:f>
        <x:v>숲</x:v>
      </x:c>
      <x:c r="X392" s="8" t="str">
        <x:f>IF(T392&lt;&gt;"","수동확정",IF(MAX('서식지_점수'!E392:P392)-LARGE('서식지_점수'!E392:P392,2)&gt;=15,"높음",IF(MAX('서식지_점수'!E392:P392)-LARGE('서식지_점수'!E392:P392,2)&gt;=8,"보통","검토필요")))</x:f>
        <x:v>검토필요</x:v>
      </x:c>
      <x:c r="Y392" s="9" t="n">
        <x:f>IF(Q392="전설",8,IF(Q392="희귀",7,IF(J392="기본",1,IF(J392="중간",3,IF(J392="최종",IF(I392="",5,IF(I392&lt;=20,3,IF(I392&lt;=35,4,IF(I392&lt;=50,6,7)))),IF(Q392="드묾",4,2))))))</x:f>
        <x:v>7</x:v>
      </x:c>
      <x:c r="Z392" s="5" t="inlineStr">
        <x:is>
          <x:t xml:space="preserve">#cobblemon:is_forest</x:t>
        </x:is>
      </x:c>
      <x:c r="AA392" s="5" t="inlineStr">
        <x:is>
          <x:t xml:space="preserve">ultra-rare</x:t>
        </x:is>
      </x:c>
      <x:c r="AB392" s="5" t="inlineStr">
        <x:is>
          <x:t xml:space="preserve">예</x:t>
        </x:is>
      </x:c>
      <x:c r="AC392" s="8" t="str">
        <x:f>IF(T392&lt;&gt;"","수동확정",IF(X392="검토필요","검토필요",IF(S392="","원본없음","초기완료")))</x:f>
        <x:v>검토필요</x:v>
      </x:c>
      <x:c r="AD392" s="7" t="inlineStr">
        <x:is>
          <x:t xml:space="preserve"/>
        </x:is>
      </x:c>
      <x:c r="AE392" s="5" t="inlineStr">
        <x:is>
          <x:t xml:space="preserve">.tmp/cobblemon-1.7.3-source/common/src/main/resources/data/cobblemon/species/generation4/grotle.json</x:t>
        </x:is>
      </x:c>
      <x:c r="AF392" s="5" t="str">
        <x:f>"생활권|"&amp;K392</x:f>
        <x:v>생활권|육상</x:v>
      </x:c>
      <x:c r="AG392" s="5" t="str">
        <x:f>"지형|"&amp;L392</x:f>
        <x:v>지형|수목</x:v>
      </x:c>
      <x:c r="AH392" s="5" t="str">
        <x:f>"온도|"&amp;M392</x:f>
        <x:v>온도|온대</x:v>
      </x:c>
      <x:c r="AI392" s="5" t="str">
        <x:f>"습도|"&amp;N392</x:f>
        <x:v>습도|보통</x:v>
      </x:c>
      <x:c r="AJ392" s="5" t="str">
        <x:f>"날씨|"&amp;O392</x:f>
        <x:v>날씨|무관</x:v>
      </x:c>
      <x:c r="AK392" s="5" t="str">
        <x:f>"특수태그|"&amp;R392</x:f>
        <x:v>특수태그|없음</x:v>
      </x:c>
      <x:c r="AL392" s="5" t="str">
        <x:f>"원본서식지|"&amp;S392</x:f>
        <x:v>원본서식지|숲</x:v>
      </x:c>
      <x:c r="AM392" s="5" t="str">
        <x:f>"타입|"&amp;F392</x:f>
        <x:v>타입|풀</x:v>
      </x:c>
      <x:c r="AN392" s="5" t="str">
        <x:f>"타입|"&amp;G392</x:f>
        <x:v>타입|</x:v>
      </x:c>
    </x:row>
    <x:row r="393" ht="24" customHeight="1">
      <x:c r="A393" s="5" t="n">
        <x:v>389</x:v>
      </x:c>
      <x:c r="B393" s="5" t="inlineStr">
        <x:is>
          <x:t xml:space="preserve">토대부기</x:t>
        </x:is>
      </x:c>
      <x:c r="C393" s="5" t="inlineStr">
        <x:is>
          <x:t xml:space="preserve">torterra</x:t>
        </x:is>
      </x:c>
      <x:c r="D393" s="5" t="inlineStr">
        <x:is>
          <x:t xml:space="preserve">Torterra</x:t>
        </x:is>
      </x:c>
      <x:c r="E393" s="5" t="n">
        <x:v>4</x:v>
      </x:c>
      <x:c r="F393" s="5" t="inlineStr">
        <x:is>
          <x:t xml:space="preserve">풀</x:t>
        </x:is>
      </x:c>
      <x:c r="G393" s="5" t="inlineStr">
        <x:is>
          <x:t xml:space="preserve">땅</x:t>
        </x:is>
      </x:c>
      <x:c r="H393" s="6" t="n">
        <x:v>310</x:v>
      </x:c>
      <x:c r="I393" s="5" t="n">
        <x:v>32</x:v>
      </x:c>
      <x:c r="J393" s="5" t="inlineStr">
        <x:is>
          <x:t xml:space="preserve">최종</x:t>
        </x:is>
      </x:c>
      <x:c r="K393" s="7" t="inlineStr">
        <x:is>
          <x:t xml:space="preserve">육상</x:t>
        </x:is>
      </x:c>
      <x:c r="L393" s="7" t="inlineStr">
        <x:is>
          <x:t xml:space="preserve">수목</x:t>
        </x:is>
      </x:c>
      <x:c r="M393" s="7" t="inlineStr">
        <x:is>
          <x:t xml:space="preserve">온대</x:t>
        </x:is>
      </x:c>
      <x:c r="N393" s="7" t="inlineStr">
        <x:is>
          <x:t xml:space="preserve">보통</x:t>
        </x:is>
      </x:c>
      <x:c r="O393" s="7" t="inlineStr">
        <x:is>
          <x:t xml:space="preserve">무관</x:t>
        </x:is>
      </x:c>
      <x:c r="P393" s="7" t="inlineStr">
        <x:is>
          <x:t xml:space="preserve">무관</x:t>
        </x:is>
      </x:c>
      <x:c r="Q393" s="7" t="inlineStr">
        <x:is>
          <x:t xml:space="preserve">희귀</x:t>
        </x:is>
      </x:c>
      <x:c r="R393" s="7" t="inlineStr">
        <x:is>
          <x:t xml:space="preserve">없음</x:t>
        </x:is>
      </x:c>
      <x:c r="S393" s="7" t="inlineStr">
        <x:is>
          <x:t xml:space="preserve">숲</x:t>
        </x:is>
      </x:c>
      <x:c r="T393" s="7" t="inlineStr">
        <x:is>
          <x:t xml:space="preserve"/>
        </x:is>
      </x:c>
      <x:c r="U393" s="8" t="str">
        <x:f>INDEX('서식지_점수'!$E$4:$P$4,1,MATCH(MAX('서식지_점수'!E393:P393),'서식지_점수'!E393:P393,0))</x:f>
        <x:v>평원</x:v>
      </x:c>
      <x:c r="V393" s="8" t="str">
        <x:f>IF(T393&lt;&gt;"",T393,U393)</x:f>
        <x:v>평원</x:v>
      </x:c>
      <x:c r="W393" s="8" t="str">
        <x:f>IFERROR(INDEX('서식지_점수'!$E$4:$P$4,1,MATCH(MAXIFS('서식지_점수'!E393:P393,'서식지_점수'!E393:P393,"&lt;"&amp;MAX('서식지_점수'!E393:P393)),'서식지_점수'!E393:P393,0)),"")</x:f>
        <x:v>숲</x:v>
      </x:c>
      <x:c r="X393" s="8" t="str">
        <x:f>IF(T393&lt;&gt;"","수동확정",IF(MAX('서식지_점수'!E393:P393)-LARGE('서식지_점수'!E393:P393,2)&gt;=15,"높음",IF(MAX('서식지_점수'!E393:P393)-LARGE('서식지_점수'!E393:P393,2)&gt;=8,"보통","검토필요")))</x:f>
        <x:v>검토필요</x:v>
      </x:c>
      <x:c r="Y393" s="9" t="n">
        <x:f>IF(Q393="전설",8,IF(Q393="희귀",7,IF(J393="기본",1,IF(J393="중간",3,IF(J393="최종",IF(I393="",5,IF(I393&lt;=20,3,IF(I393&lt;=35,4,IF(I393&lt;=50,6,7)))),IF(Q393="드묾",4,2))))))</x:f>
        <x:v>7</x:v>
      </x:c>
      <x:c r="Z393" s="5" t="inlineStr">
        <x:is>
          <x:t xml:space="preserve">#cobblemon:is_forest</x:t>
        </x:is>
      </x:c>
      <x:c r="AA393" s="5" t="inlineStr">
        <x:is>
          <x:t xml:space="preserve">ultra-rare</x:t>
        </x:is>
      </x:c>
      <x:c r="AB393" s="5" t="inlineStr">
        <x:is>
          <x:t xml:space="preserve">예</x:t>
        </x:is>
      </x:c>
      <x:c r="AC393" s="8" t="str">
        <x:f>IF(T393&lt;&gt;"","수동확정",IF(X393="검토필요","검토필요",IF(S393="","원본없음","초기완료")))</x:f>
        <x:v>검토필요</x:v>
      </x:c>
      <x:c r="AD393" s="7" t="inlineStr">
        <x:is>
          <x:t xml:space="preserve"/>
        </x:is>
      </x:c>
      <x:c r="AE393" s="5" t="inlineStr">
        <x:is>
          <x:t xml:space="preserve">.tmp/cobblemon-1.7.3-source/common/src/main/resources/data/cobblemon/species/generation4/torterra.json</x:t>
        </x:is>
      </x:c>
      <x:c r="AF393" s="5" t="str">
        <x:f>"생활권|"&amp;K393</x:f>
        <x:v>생활권|육상</x:v>
      </x:c>
      <x:c r="AG393" s="5" t="str">
        <x:f>"지형|"&amp;L393</x:f>
        <x:v>지형|수목</x:v>
      </x:c>
      <x:c r="AH393" s="5" t="str">
        <x:f>"온도|"&amp;M393</x:f>
        <x:v>온도|온대</x:v>
      </x:c>
      <x:c r="AI393" s="5" t="str">
        <x:f>"습도|"&amp;N393</x:f>
        <x:v>습도|보통</x:v>
      </x:c>
      <x:c r="AJ393" s="5" t="str">
        <x:f>"날씨|"&amp;O393</x:f>
        <x:v>날씨|무관</x:v>
      </x:c>
      <x:c r="AK393" s="5" t="str">
        <x:f>"특수태그|"&amp;R393</x:f>
        <x:v>특수태그|없음</x:v>
      </x:c>
      <x:c r="AL393" s="5" t="str">
        <x:f>"원본서식지|"&amp;S393</x:f>
        <x:v>원본서식지|숲</x:v>
      </x:c>
      <x:c r="AM393" s="5" t="str">
        <x:f>"타입|"&amp;F393</x:f>
        <x:v>타입|풀</x:v>
      </x:c>
      <x:c r="AN393" s="5" t="str">
        <x:f>"타입|"&amp;G393</x:f>
        <x:v>타입|땅</x:v>
      </x:c>
    </x:row>
    <x:row r="394" ht="24" customHeight="1">
      <x:c r="A394" s="5" t="n">
        <x:v>390</x:v>
      </x:c>
      <x:c r="B394" s="5" t="inlineStr">
        <x:is>
          <x:t xml:space="preserve">불꽃숭이</x:t>
        </x:is>
      </x:c>
      <x:c r="C394" s="5" t="inlineStr">
        <x:is>
          <x:t xml:space="preserve">chimchar</x:t>
        </x:is>
      </x:c>
      <x:c r="D394" s="5" t="inlineStr">
        <x:is>
          <x:t xml:space="preserve">Chimchar</x:t>
        </x:is>
      </x:c>
      <x:c r="E394" s="5" t="n">
        <x:v>4</x:v>
      </x:c>
      <x:c r="F394" s="5" t="inlineStr">
        <x:is>
          <x:t xml:space="preserve">불꽃</x:t>
        </x:is>
      </x:c>
      <x:c r="G394" s="5" t="inlineStr">
        <x:is>
          <x:t xml:space="preserve"/>
        </x:is>
      </x:c>
      <x:c r="H394" s="6" t="n">
        <x:v>6.2</x:v>
      </x:c>
      <x:c r="I394" s="5" t="n">
        <x:v>36</x:v>
      </x:c>
      <x:c r="J394" s="5" t="inlineStr">
        <x:is>
          <x:t xml:space="preserve">기본</x:t>
        </x:is>
      </x:c>
      <x:c r="K394" s="7" t="inlineStr">
        <x:is>
          <x:t xml:space="preserve">육상</x:t>
        </x:is>
      </x:c>
      <x:c r="L394" s="7" t="inlineStr">
        <x:is>
          <x:t xml:space="preserve">화산</x:t>
        </x:is>
      </x:c>
      <x:c r="M394" s="7" t="inlineStr">
        <x:is>
          <x:t xml:space="preserve">고온</x:t>
        </x:is>
      </x:c>
      <x:c r="N394" s="7" t="inlineStr">
        <x:is>
          <x:t xml:space="preserve">건조</x:t>
        </x:is>
      </x:c>
      <x:c r="O394" s="7" t="inlineStr">
        <x:is>
          <x:t xml:space="preserve">맑음</x:t>
        </x:is>
      </x:c>
      <x:c r="P394" s="7" t="inlineStr">
        <x:is>
          <x:t xml:space="preserve">무관</x:t>
        </x:is>
      </x:c>
      <x:c r="Q394" s="7" t="inlineStr">
        <x:is>
          <x:t xml:space="preserve">희귀</x:t>
        </x:is>
      </x:c>
      <x:c r="R394" s="7" t="inlineStr">
        <x:is>
          <x:t xml:space="preserve">화산</x:t>
        </x:is>
      </x:c>
      <x:c r="S394" s="7" t="inlineStr">
        <x:is>
          <x:t xml:space="preserve">화산</x:t>
        </x:is>
      </x:c>
      <x:c r="T394" s="7" t="inlineStr">
        <x:is>
          <x:t xml:space="preserve"/>
        </x:is>
      </x:c>
      <x:c r="U394" s="8" t="str">
        <x:f>INDEX('서식지_점수'!$E$4:$P$4,1,MATCH(MAX('서식지_점수'!E394:P394),'서식지_점수'!E394:P394,0))</x:f>
        <x:v>평원</x:v>
      </x:c>
      <x:c r="V394" s="8" t="str">
        <x:f>IF(T394&lt;&gt;"",T394,U394)</x:f>
        <x:v>평원</x:v>
      </x:c>
      <x:c r="W394" s="8" t="str">
        <x:f>IFERROR(INDEX('서식지_점수'!$E$4:$P$4,1,MATCH(MAXIFS('서식지_점수'!E394:P394,'서식지_점수'!E394:P394,"&lt;"&amp;MAX('서식지_점수'!E394:P394)),'서식지_점수'!E394:P394,0)),"")</x:f>
        <x:v>숲</x:v>
      </x:c>
      <x:c r="X394" s="8" t="str">
        <x:f>IF(T394&lt;&gt;"","수동확정",IF(MAX('서식지_점수'!E394:P394)-LARGE('서식지_점수'!E394:P394,2)&gt;=15,"높음",IF(MAX('서식지_점수'!E394:P394)-LARGE('서식지_점수'!E394:P394,2)&gt;=8,"보통","검토필요")))</x:f>
        <x:v>검토필요</x:v>
      </x:c>
      <x:c r="Y394" s="9" t="n">
        <x:f>IF(Q394="전설",8,IF(Q394="희귀",7,IF(J394="기본",1,IF(J394="중간",3,IF(J394="최종",IF(I394="",5,IF(I394&lt;=20,3,IF(I394&lt;=35,4,IF(I394&lt;=50,6,7)))),IF(Q394="드묾",4,2))))))</x:f>
        <x:v>7</x:v>
      </x:c>
      <x:c r="Z394" s="5" t="inlineStr">
        <x:is>
          <x:t xml:space="preserve">#cobblemon:is_mountain; #cobblemon:nether/is_forest</x:t>
        </x:is>
      </x:c>
      <x:c r="AA394" s="5" t="inlineStr">
        <x:is>
          <x:t xml:space="preserve">ultra-rare</x:t>
        </x:is>
      </x:c>
      <x:c r="AB394" s="5" t="inlineStr">
        <x:is>
          <x:t xml:space="preserve">예</x:t>
        </x:is>
      </x:c>
      <x:c r="AC394" s="8" t="str">
        <x:f>IF(T394&lt;&gt;"","수동확정",IF(X394="검토필요","검토필요",IF(S394="","원본없음","초기완료")))</x:f>
        <x:v>검토필요</x:v>
      </x:c>
      <x:c r="AD394" s="7" t="inlineStr">
        <x:is>
          <x:t xml:space="preserve"/>
        </x:is>
      </x:c>
      <x:c r="AE394" s="5" t="inlineStr">
        <x:is>
          <x:t xml:space="preserve">.tmp/cobblemon-1.7.3-source/common/src/main/resources/data/cobblemon/species/generation4/chimchar.json</x:t>
        </x:is>
      </x:c>
      <x:c r="AF394" s="5" t="str">
        <x:f>"생활권|"&amp;K394</x:f>
        <x:v>생활권|육상</x:v>
      </x:c>
      <x:c r="AG394" s="5" t="str">
        <x:f>"지형|"&amp;L394</x:f>
        <x:v>지형|화산</x:v>
      </x:c>
      <x:c r="AH394" s="5" t="str">
        <x:f>"온도|"&amp;M394</x:f>
        <x:v>온도|고온</x:v>
      </x:c>
      <x:c r="AI394" s="5" t="str">
        <x:f>"습도|"&amp;N394</x:f>
        <x:v>습도|건조</x:v>
      </x:c>
      <x:c r="AJ394" s="5" t="str">
        <x:f>"날씨|"&amp;O394</x:f>
        <x:v>날씨|맑음</x:v>
      </x:c>
      <x:c r="AK394" s="5" t="str">
        <x:f>"특수태그|"&amp;R394</x:f>
        <x:v>특수태그|화산</x:v>
      </x:c>
      <x:c r="AL394" s="5" t="str">
        <x:f>"원본서식지|"&amp;S394</x:f>
        <x:v>원본서식지|화산</x:v>
      </x:c>
      <x:c r="AM394" s="5" t="str">
        <x:f>"타입|"&amp;F394</x:f>
        <x:v>타입|불꽃</x:v>
      </x:c>
      <x:c r="AN394" s="5" t="str">
        <x:f>"타입|"&amp;G394</x:f>
        <x:v>타입|</x:v>
      </x:c>
    </x:row>
    <x:row r="395" ht="24" customHeight="1">
      <x:c r="A395" s="5" t="n">
        <x:v>391</x:v>
      </x:c>
      <x:c r="B395" s="5" t="inlineStr">
        <x:is>
          <x:t xml:space="preserve">파이숭이</x:t>
        </x:is>
      </x:c>
      <x:c r="C395" s="5" t="inlineStr">
        <x:is>
          <x:t xml:space="preserve">monferno</x:t>
        </x:is>
      </x:c>
      <x:c r="D395" s="5" t="inlineStr">
        <x:is>
          <x:t xml:space="preserve">Monferno</x:t>
        </x:is>
      </x:c>
      <x:c r="E395" s="5" t="n">
        <x:v>4</x:v>
      </x:c>
      <x:c r="F395" s="5" t="inlineStr">
        <x:is>
          <x:t xml:space="preserve">불꽃</x:t>
        </x:is>
      </x:c>
      <x:c r="G395" s="5" t="inlineStr">
        <x:is>
          <x:t xml:space="preserve">격투</x:t>
        </x:is>
      </x:c>
      <x:c r="H395" s="6" t="n">
        <x:v>22</x:v>
      </x:c>
      <x:c r="I395" s="5" t="n">
        <x:v>36</x:v>
      </x:c>
      <x:c r="J395" s="5" t="inlineStr">
        <x:is>
          <x:t xml:space="preserve">중간</x:t>
        </x:is>
      </x:c>
      <x:c r="K395" s="7" t="inlineStr">
        <x:is>
          <x:t xml:space="preserve">육상</x:t>
        </x:is>
      </x:c>
      <x:c r="L395" s="7" t="inlineStr">
        <x:is>
          <x:t xml:space="preserve">화산</x:t>
        </x:is>
      </x:c>
      <x:c r="M395" s="7" t="inlineStr">
        <x:is>
          <x:t xml:space="preserve">고온</x:t>
        </x:is>
      </x:c>
      <x:c r="N395" s="7" t="inlineStr">
        <x:is>
          <x:t xml:space="preserve">건조</x:t>
        </x:is>
      </x:c>
      <x:c r="O395" s="7" t="inlineStr">
        <x:is>
          <x:t xml:space="preserve">맑음</x:t>
        </x:is>
      </x:c>
      <x:c r="P395" s="7" t="inlineStr">
        <x:is>
          <x:t xml:space="preserve">무관</x:t>
        </x:is>
      </x:c>
      <x:c r="Q395" s="7" t="inlineStr">
        <x:is>
          <x:t xml:space="preserve">희귀</x:t>
        </x:is>
      </x:c>
      <x:c r="R395" s="7" t="inlineStr">
        <x:is>
          <x:t xml:space="preserve">화산</x:t>
        </x:is>
      </x:c>
      <x:c r="S395" s="7" t="inlineStr">
        <x:is>
          <x:t xml:space="preserve">화산</x:t>
        </x:is>
      </x:c>
      <x:c r="T395" s="7" t="inlineStr">
        <x:is>
          <x:t xml:space="preserve"/>
        </x:is>
      </x:c>
      <x:c r="U395" s="8" t="str">
        <x:f>INDEX('서식지_점수'!$E$4:$P$4,1,MATCH(MAX('서식지_점수'!E395:P395),'서식지_점수'!E395:P395,0))</x:f>
        <x:v>평원</x:v>
      </x:c>
      <x:c r="V395" s="8" t="str">
        <x:f>IF(T395&lt;&gt;"",T395,U395)</x:f>
        <x:v>평원</x:v>
      </x:c>
      <x:c r="W395" s="8" t="str">
        <x:f>IFERROR(INDEX('서식지_점수'!$E$4:$P$4,1,MATCH(MAXIFS('서식지_점수'!E395:P395,'서식지_점수'!E395:P395,"&lt;"&amp;MAX('서식지_점수'!E395:P395)),'서식지_점수'!E395:P395,0)),"")</x:f>
        <x:v>숲</x:v>
      </x:c>
      <x:c r="X395" s="8" t="str">
        <x:f>IF(T395&lt;&gt;"","수동확정",IF(MAX('서식지_점수'!E395:P395)-LARGE('서식지_점수'!E395:P395,2)&gt;=15,"높음",IF(MAX('서식지_점수'!E395:P395)-LARGE('서식지_점수'!E395:P395,2)&gt;=8,"보통","검토필요")))</x:f>
        <x:v>검토필요</x:v>
      </x:c>
      <x:c r="Y395" s="9" t="n">
        <x:f>IF(Q395="전설",8,IF(Q395="희귀",7,IF(J395="기본",1,IF(J395="중간",3,IF(J395="최종",IF(I395="",5,IF(I395&lt;=20,3,IF(I395&lt;=35,4,IF(I395&lt;=50,6,7)))),IF(Q395="드묾",4,2))))))</x:f>
        <x:v>7</x:v>
      </x:c>
      <x:c r="Z395" s="5" t="inlineStr">
        <x:is>
          <x:t xml:space="preserve">#cobblemon:is_mountain; #cobblemon:nether/is_forest</x:t>
        </x:is>
      </x:c>
      <x:c r="AA395" s="5" t="inlineStr">
        <x:is>
          <x:t xml:space="preserve">ultra-rare</x:t>
        </x:is>
      </x:c>
      <x:c r="AB395" s="5" t="inlineStr">
        <x:is>
          <x:t xml:space="preserve">예</x:t>
        </x:is>
      </x:c>
      <x:c r="AC395" s="8" t="str">
        <x:f>IF(T395&lt;&gt;"","수동확정",IF(X395="검토필요","검토필요",IF(S395="","원본없음","초기완료")))</x:f>
        <x:v>검토필요</x:v>
      </x:c>
      <x:c r="AD395" s="7" t="inlineStr">
        <x:is>
          <x:t xml:space="preserve"/>
        </x:is>
      </x:c>
      <x:c r="AE395" s="5" t="inlineStr">
        <x:is>
          <x:t xml:space="preserve">.tmp/cobblemon-1.7.3-source/common/src/main/resources/data/cobblemon/species/generation4/monferno.json</x:t>
        </x:is>
      </x:c>
      <x:c r="AF395" s="5" t="str">
        <x:f>"생활권|"&amp;K395</x:f>
        <x:v>생활권|육상</x:v>
      </x:c>
      <x:c r="AG395" s="5" t="str">
        <x:f>"지형|"&amp;L395</x:f>
        <x:v>지형|화산</x:v>
      </x:c>
      <x:c r="AH395" s="5" t="str">
        <x:f>"온도|"&amp;M395</x:f>
        <x:v>온도|고온</x:v>
      </x:c>
      <x:c r="AI395" s="5" t="str">
        <x:f>"습도|"&amp;N395</x:f>
        <x:v>습도|건조</x:v>
      </x:c>
      <x:c r="AJ395" s="5" t="str">
        <x:f>"날씨|"&amp;O395</x:f>
        <x:v>날씨|맑음</x:v>
      </x:c>
      <x:c r="AK395" s="5" t="str">
        <x:f>"특수태그|"&amp;R395</x:f>
        <x:v>특수태그|화산</x:v>
      </x:c>
      <x:c r="AL395" s="5" t="str">
        <x:f>"원본서식지|"&amp;S395</x:f>
        <x:v>원본서식지|화산</x:v>
      </x:c>
      <x:c r="AM395" s="5" t="str">
        <x:f>"타입|"&amp;F395</x:f>
        <x:v>타입|불꽃</x:v>
      </x:c>
      <x:c r="AN395" s="5" t="str">
        <x:f>"타입|"&amp;G395</x:f>
        <x:v>타입|격투</x:v>
      </x:c>
    </x:row>
    <x:row r="396" ht="24" customHeight="1">
      <x:c r="A396" s="5" t="n">
        <x:v>392</x:v>
      </x:c>
      <x:c r="B396" s="5" t="inlineStr">
        <x:is>
          <x:t xml:space="preserve">초염몽</x:t>
        </x:is>
      </x:c>
      <x:c r="C396" s="5" t="inlineStr">
        <x:is>
          <x:t xml:space="preserve">infernape</x:t>
        </x:is>
      </x:c>
      <x:c r="D396" s="5" t="inlineStr">
        <x:is>
          <x:t xml:space="preserve">Infernape</x:t>
        </x:is>
      </x:c>
      <x:c r="E396" s="5" t="n">
        <x:v>4</x:v>
      </x:c>
      <x:c r="F396" s="5" t="inlineStr">
        <x:is>
          <x:t xml:space="preserve">불꽃</x:t>
        </x:is>
      </x:c>
      <x:c r="G396" s="5" t="inlineStr">
        <x:is>
          <x:t xml:space="preserve">격투</x:t>
        </x:is>
      </x:c>
      <x:c r="H396" s="6" t="n">
        <x:v>55</x:v>
      </x:c>
      <x:c r="I396" s="5" t="n">
        <x:v>36</x:v>
      </x:c>
      <x:c r="J396" s="5" t="inlineStr">
        <x:is>
          <x:t xml:space="preserve">최종</x:t>
        </x:is>
      </x:c>
      <x:c r="K396" s="7" t="inlineStr">
        <x:is>
          <x:t xml:space="preserve">육상</x:t>
        </x:is>
      </x:c>
      <x:c r="L396" s="7" t="inlineStr">
        <x:is>
          <x:t xml:space="preserve">화산</x:t>
        </x:is>
      </x:c>
      <x:c r="M396" s="7" t="inlineStr">
        <x:is>
          <x:t xml:space="preserve">고온</x:t>
        </x:is>
      </x:c>
      <x:c r="N396" s="7" t="inlineStr">
        <x:is>
          <x:t xml:space="preserve">건조</x:t>
        </x:is>
      </x:c>
      <x:c r="O396" s="7" t="inlineStr">
        <x:is>
          <x:t xml:space="preserve">맑음</x:t>
        </x:is>
      </x:c>
      <x:c r="P396" s="7" t="inlineStr">
        <x:is>
          <x:t xml:space="preserve">무관</x:t>
        </x:is>
      </x:c>
      <x:c r="Q396" s="7" t="inlineStr">
        <x:is>
          <x:t xml:space="preserve">희귀</x:t>
        </x:is>
      </x:c>
      <x:c r="R396" s="7" t="inlineStr">
        <x:is>
          <x:t xml:space="preserve">화산</x:t>
        </x:is>
      </x:c>
      <x:c r="S396" s="7" t="inlineStr">
        <x:is>
          <x:t xml:space="preserve">화산</x:t>
        </x:is>
      </x:c>
      <x:c r="T396" s="7" t="inlineStr">
        <x:is>
          <x:t xml:space="preserve"/>
        </x:is>
      </x:c>
      <x:c r="U396" s="8" t="str">
        <x:f>INDEX('서식지_점수'!$E$4:$P$4,1,MATCH(MAX('서식지_점수'!E396:P396),'서식지_점수'!E396:P396,0))</x:f>
        <x:v>평원</x:v>
      </x:c>
      <x:c r="V396" s="8" t="str">
        <x:f>IF(T396&lt;&gt;"",T396,U396)</x:f>
        <x:v>평원</x:v>
      </x:c>
      <x:c r="W396" s="8" t="str">
        <x:f>IFERROR(INDEX('서식지_점수'!$E$4:$P$4,1,MATCH(MAXIFS('서식지_점수'!E396:P396,'서식지_점수'!E396:P396,"&lt;"&amp;MAX('서식지_점수'!E396:P396)),'서식지_점수'!E396:P396,0)),"")</x:f>
        <x:v>숲</x:v>
      </x:c>
      <x:c r="X396" s="8" t="str">
        <x:f>IF(T396&lt;&gt;"","수동확정",IF(MAX('서식지_점수'!E396:P396)-LARGE('서식지_점수'!E396:P396,2)&gt;=15,"높음",IF(MAX('서식지_점수'!E396:P396)-LARGE('서식지_점수'!E396:P396,2)&gt;=8,"보통","검토필요")))</x:f>
        <x:v>검토필요</x:v>
      </x:c>
      <x:c r="Y396" s="9" t="n">
        <x:f>IF(Q396="전설",8,IF(Q396="희귀",7,IF(J396="기본",1,IF(J396="중간",3,IF(J396="최종",IF(I396="",5,IF(I396&lt;=20,3,IF(I396&lt;=35,4,IF(I396&lt;=50,6,7)))),IF(Q396="드묾",4,2))))))</x:f>
        <x:v>7</x:v>
      </x:c>
      <x:c r="Z396" s="5" t="inlineStr">
        <x:is>
          <x:t xml:space="preserve">#cobblemon:is_mountain; #cobblemon:nether/is_forest</x:t>
        </x:is>
      </x:c>
      <x:c r="AA396" s="5" t="inlineStr">
        <x:is>
          <x:t xml:space="preserve">ultra-rare</x:t>
        </x:is>
      </x:c>
      <x:c r="AB396" s="5" t="inlineStr">
        <x:is>
          <x:t xml:space="preserve">예</x:t>
        </x:is>
      </x:c>
      <x:c r="AC396" s="8" t="str">
        <x:f>IF(T396&lt;&gt;"","수동확정",IF(X396="검토필요","검토필요",IF(S396="","원본없음","초기완료")))</x:f>
        <x:v>검토필요</x:v>
      </x:c>
      <x:c r="AD396" s="7" t="inlineStr">
        <x:is>
          <x:t xml:space="preserve"/>
        </x:is>
      </x:c>
      <x:c r="AE396" s="5" t="inlineStr">
        <x:is>
          <x:t xml:space="preserve">.tmp/cobblemon-1.7.3-source/common/src/main/resources/data/cobblemon/species/generation4/infernape.json</x:t>
        </x:is>
      </x:c>
      <x:c r="AF396" s="5" t="str">
        <x:f>"생활권|"&amp;K396</x:f>
        <x:v>생활권|육상</x:v>
      </x:c>
      <x:c r="AG396" s="5" t="str">
        <x:f>"지형|"&amp;L396</x:f>
        <x:v>지형|화산</x:v>
      </x:c>
      <x:c r="AH396" s="5" t="str">
        <x:f>"온도|"&amp;M396</x:f>
        <x:v>온도|고온</x:v>
      </x:c>
      <x:c r="AI396" s="5" t="str">
        <x:f>"습도|"&amp;N396</x:f>
        <x:v>습도|건조</x:v>
      </x:c>
      <x:c r="AJ396" s="5" t="str">
        <x:f>"날씨|"&amp;O396</x:f>
        <x:v>날씨|맑음</x:v>
      </x:c>
      <x:c r="AK396" s="5" t="str">
        <x:f>"특수태그|"&amp;R396</x:f>
        <x:v>특수태그|화산</x:v>
      </x:c>
      <x:c r="AL396" s="5" t="str">
        <x:f>"원본서식지|"&amp;S396</x:f>
        <x:v>원본서식지|화산</x:v>
      </x:c>
      <x:c r="AM396" s="5" t="str">
        <x:f>"타입|"&amp;F396</x:f>
        <x:v>타입|불꽃</x:v>
      </x:c>
      <x:c r="AN396" s="5" t="str">
        <x:f>"타입|"&amp;G396</x:f>
        <x:v>타입|격투</x:v>
      </x:c>
    </x:row>
    <x:row r="397" ht="24" customHeight="1">
      <x:c r="A397" s="5" t="n">
        <x:v>393</x:v>
      </x:c>
      <x:c r="B397" s="5" t="inlineStr">
        <x:is>
          <x:t xml:space="preserve">팽도리</x:t>
        </x:is>
      </x:c>
      <x:c r="C397" s="5" t="inlineStr">
        <x:is>
          <x:t xml:space="preserve">piplup</x:t>
        </x:is>
      </x:c>
      <x:c r="D397" s="5" t="inlineStr">
        <x:is>
          <x:t xml:space="preserve">Piplup</x:t>
        </x:is>
      </x:c>
      <x:c r="E397" s="5" t="n">
        <x:v>4</x:v>
      </x:c>
      <x:c r="F397" s="5" t="inlineStr">
        <x:is>
          <x:t xml:space="preserve">물</x:t>
        </x:is>
      </x:c>
      <x:c r="G397" s="5" t="inlineStr">
        <x:is>
          <x:t xml:space="preserve"/>
        </x:is>
      </x:c>
      <x:c r="H397" s="6" t="n">
        <x:v>5.2</x:v>
      </x:c>
      <x:c r="I397" s="5" t="n">
        <x:v>36</x:v>
      </x:c>
      <x:c r="J397" s="5" t="inlineStr">
        <x:is>
          <x:t xml:space="preserve">기본</x:t>
        </x:is>
      </x:c>
      <x:c r="K397" s="7" t="inlineStr">
        <x:is>
          <x:t xml:space="preserve">해양</x:t>
        </x:is>
      </x:c>
      <x:c r="L397" s="7" t="inlineStr">
        <x:is>
          <x:t xml:space="preserve">해안·해양</x:t>
        </x:is>
      </x:c>
      <x:c r="M397" s="7" t="inlineStr">
        <x:is>
          <x:t xml:space="preserve">서늘</x:t>
        </x:is>
      </x:c>
      <x:c r="N397" s="7" t="inlineStr">
        <x:is>
          <x:t xml:space="preserve">수중</x:t>
        </x:is>
      </x:c>
      <x:c r="O397" s="7" t="inlineStr">
        <x:is>
          <x:t xml:space="preserve">비</x:t>
        </x:is>
      </x:c>
      <x:c r="P397" s="7" t="inlineStr">
        <x:is>
          <x:t xml:space="preserve">무관</x:t>
        </x:is>
      </x:c>
      <x:c r="Q397" s="7" t="inlineStr">
        <x:is>
          <x:t xml:space="preserve">희귀</x:t>
        </x:is>
      </x:c>
      <x:c r="R397" s="7" t="inlineStr">
        <x:is>
          <x:t xml:space="preserve">없음</x:t>
        </x:is>
      </x:c>
      <x:c r="S397" s="7" t="inlineStr">
        <x:is>
          <x:t xml:space="preserve">해양</x:t>
        </x:is>
      </x:c>
      <x:c r="T397" s="7" t="inlineStr">
        <x:is>
          <x:t xml:space="preserve"/>
        </x:is>
      </x:c>
      <x:c r="U397" s="8" t="str">
        <x:f>INDEX('서식지_점수'!$E$4:$P$4,1,MATCH(MAX('서식지_점수'!E397:P397),'서식지_점수'!E397:P397,0))</x:f>
        <x:v>해양</x:v>
      </x:c>
      <x:c r="V397" s="8" t="str">
        <x:f>IF(T397&lt;&gt;"",T397,U397)</x:f>
        <x:v>해양</x:v>
      </x:c>
      <x:c r="W397" s="8" t="str">
        <x:f>IFERROR(INDEX('서식지_점수'!$E$4:$P$4,1,MATCH(MAXIFS('서식지_점수'!E397:P397,'서식지_점수'!E397:P397,"&lt;"&amp;MAX('서식지_점수'!E397:P397)),'서식지_점수'!E397:P397,0)),"")</x:f>
        <x:v>습지</x:v>
      </x:c>
      <x:c r="X397" s="8" t="str">
        <x:f>IF(T397&lt;&gt;"","수동확정",IF(MAX('서식지_점수'!E397:P397)-LARGE('서식지_점수'!E397:P397,2)&gt;=15,"높음",IF(MAX('서식지_점수'!E397:P397)-LARGE('서식지_점수'!E397:P397,2)&gt;=8,"보통","검토필요")))</x:f>
        <x:v>높음</x:v>
      </x:c>
      <x:c r="Y397" s="9" t="n">
        <x:f>IF(Q397="전설",8,IF(Q397="희귀",7,IF(J397="기본",1,IF(J397="중간",3,IF(J397="최종",IF(I397="",5,IF(I397&lt;=20,3,IF(I397&lt;=35,4,IF(I397&lt;=50,6,7)))),IF(Q397="드묾",4,2))))))</x:f>
        <x:v>7</x:v>
      </x:c>
      <x:c r="Z397" s="5" t="inlineStr">
        <x:is>
          <x:t xml:space="preserve">#cobblemon:is_cold_ocean; #cobblemon:is_frozen_ocean; #cobblemon:is_glacial; #cobblemon:is_tundra; minecraft:frozen_river</x:t>
        </x:is>
      </x:c>
      <x:c r="AA397" s="5" t="inlineStr">
        <x:is>
          <x:t xml:space="preserve">ultra-rare</x:t>
        </x:is>
      </x:c>
      <x:c r="AB397" s="5" t="inlineStr">
        <x:is>
          <x:t xml:space="preserve">예</x:t>
        </x:is>
      </x:c>
      <x:c r="AC397" s="8" t="str">
        <x:f>IF(T397&lt;&gt;"","수동확정",IF(X397="검토필요","검토필요",IF(S397="","원본없음","초기완료")))</x:f>
        <x:v>초기완료</x:v>
      </x:c>
      <x:c r="AD397" s="7" t="inlineStr">
        <x:is>
          <x:t xml:space="preserve"/>
        </x:is>
      </x:c>
      <x:c r="AE397" s="5" t="inlineStr">
        <x:is>
          <x:t xml:space="preserve">.tmp/cobblemon-1.7.3-source/common/src/main/resources/data/cobblemon/species/generation4/piplup.json</x:t>
        </x:is>
      </x:c>
      <x:c r="AF397" s="5" t="str">
        <x:f>"생활권|"&amp;K397</x:f>
        <x:v>생활권|해양</x:v>
      </x:c>
      <x:c r="AG397" s="5" t="str">
        <x:f>"지형|"&amp;L397</x:f>
        <x:v>지형|해안·해양</x:v>
      </x:c>
      <x:c r="AH397" s="5" t="str">
        <x:f>"온도|"&amp;M397</x:f>
        <x:v>온도|서늘</x:v>
      </x:c>
      <x:c r="AI397" s="5" t="str">
        <x:f>"습도|"&amp;N397</x:f>
        <x:v>습도|수중</x:v>
      </x:c>
      <x:c r="AJ397" s="5" t="str">
        <x:f>"날씨|"&amp;O397</x:f>
        <x:v>날씨|비</x:v>
      </x:c>
      <x:c r="AK397" s="5" t="str">
        <x:f>"특수태그|"&amp;R397</x:f>
        <x:v>특수태그|없음</x:v>
      </x:c>
      <x:c r="AL397" s="5" t="str">
        <x:f>"원본서식지|"&amp;S397</x:f>
        <x:v>원본서식지|해양</x:v>
      </x:c>
      <x:c r="AM397" s="5" t="str">
        <x:f>"타입|"&amp;F397</x:f>
        <x:v>타입|물</x:v>
      </x:c>
      <x:c r="AN397" s="5" t="str">
        <x:f>"타입|"&amp;G397</x:f>
        <x:v>타입|</x:v>
      </x:c>
    </x:row>
    <x:row r="398" ht="24" customHeight="1">
      <x:c r="A398" s="5" t="n">
        <x:v>394</x:v>
      </x:c>
      <x:c r="B398" s="5" t="inlineStr">
        <x:is>
          <x:t xml:space="preserve">팽태자</x:t>
        </x:is>
      </x:c>
      <x:c r="C398" s="5" t="inlineStr">
        <x:is>
          <x:t xml:space="preserve">prinplup</x:t>
        </x:is>
      </x:c>
      <x:c r="D398" s="5" t="inlineStr">
        <x:is>
          <x:t xml:space="preserve">Prinplup</x:t>
        </x:is>
      </x:c>
      <x:c r="E398" s="5" t="n">
        <x:v>4</x:v>
      </x:c>
      <x:c r="F398" s="5" t="inlineStr">
        <x:is>
          <x:t xml:space="preserve">물</x:t>
        </x:is>
      </x:c>
      <x:c r="G398" s="5" t="inlineStr">
        <x:is>
          <x:t xml:space="preserve"/>
        </x:is>
      </x:c>
      <x:c r="H398" s="6" t="n">
        <x:v>23</x:v>
      </x:c>
      <x:c r="I398" s="5" t="n">
        <x:v>36</x:v>
      </x:c>
      <x:c r="J398" s="5" t="inlineStr">
        <x:is>
          <x:t xml:space="preserve">중간</x:t>
        </x:is>
      </x:c>
      <x:c r="K398" s="7" t="inlineStr">
        <x:is>
          <x:t xml:space="preserve">해양</x:t>
        </x:is>
      </x:c>
      <x:c r="L398" s="7" t="inlineStr">
        <x:is>
          <x:t xml:space="preserve">해안·해양</x:t>
        </x:is>
      </x:c>
      <x:c r="M398" s="7" t="inlineStr">
        <x:is>
          <x:t xml:space="preserve">서늘</x:t>
        </x:is>
      </x:c>
      <x:c r="N398" s="7" t="inlineStr">
        <x:is>
          <x:t xml:space="preserve">수중</x:t>
        </x:is>
      </x:c>
      <x:c r="O398" s="7" t="inlineStr">
        <x:is>
          <x:t xml:space="preserve">비</x:t>
        </x:is>
      </x:c>
      <x:c r="P398" s="7" t="inlineStr">
        <x:is>
          <x:t xml:space="preserve">무관</x:t>
        </x:is>
      </x:c>
      <x:c r="Q398" s="7" t="inlineStr">
        <x:is>
          <x:t xml:space="preserve">희귀</x:t>
        </x:is>
      </x:c>
      <x:c r="R398" s="7" t="inlineStr">
        <x:is>
          <x:t xml:space="preserve">없음</x:t>
        </x:is>
      </x:c>
      <x:c r="S398" s="7" t="inlineStr">
        <x:is>
          <x:t xml:space="preserve">해양</x:t>
        </x:is>
      </x:c>
      <x:c r="T398" s="7" t="inlineStr">
        <x:is>
          <x:t xml:space="preserve"/>
        </x:is>
      </x:c>
      <x:c r="U398" s="8" t="str">
        <x:f>INDEX('서식지_점수'!$E$4:$P$4,1,MATCH(MAX('서식지_점수'!E398:P398),'서식지_점수'!E398:P398,0))</x:f>
        <x:v>해양</x:v>
      </x:c>
      <x:c r="V398" s="8" t="str">
        <x:f>IF(T398&lt;&gt;"",T398,U398)</x:f>
        <x:v>해양</x:v>
      </x:c>
      <x:c r="W398" s="8" t="str">
        <x:f>IFERROR(INDEX('서식지_점수'!$E$4:$P$4,1,MATCH(MAXIFS('서식지_점수'!E398:P398,'서식지_점수'!E398:P398,"&lt;"&amp;MAX('서식지_점수'!E398:P398)),'서식지_점수'!E398:P398,0)),"")</x:f>
        <x:v>습지</x:v>
      </x:c>
      <x:c r="X398" s="8" t="str">
        <x:f>IF(T398&lt;&gt;"","수동확정",IF(MAX('서식지_점수'!E398:P398)-LARGE('서식지_점수'!E398:P398,2)&gt;=15,"높음",IF(MAX('서식지_점수'!E398:P398)-LARGE('서식지_점수'!E398:P398,2)&gt;=8,"보통","검토필요")))</x:f>
        <x:v>높음</x:v>
      </x:c>
      <x:c r="Y398" s="9" t="n">
        <x:f>IF(Q398="전설",8,IF(Q398="희귀",7,IF(J398="기본",1,IF(J398="중간",3,IF(J398="최종",IF(I398="",5,IF(I398&lt;=20,3,IF(I398&lt;=35,4,IF(I398&lt;=50,6,7)))),IF(Q398="드묾",4,2))))))</x:f>
        <x:v>7</x:v>
      </x:c>
      <x:c r="Z398" s="5" t="inlineStr">
        <x:is>
          <x:t xml:space="preserve">#cobblemon:is_cold_ocean; #cobblemon:is_frozen_ocean; #cobblemon:is_glacial; #cobblemon:is_tundra; minecraft:frozen_river</x:t>
        </x:is>
      </x:c>
      <x:c r="AA398" s="5" t="inlineStr">
        <x:is>
          <x:t xml:space="preserve">ultra-rare</x:t>
        </x:is>
      </x:c>
      <x:c r="AB398" s="5" t="inlineStr">
        <x:is>
          <x:t xml:space="preserve">예</x:t>
        </x:is>
      </x:c>
      <x:c r="AC398" s="8" t="str">
        <x:f>IF(T398&lt;&gt;"","수동확정",IF(X398="검토필요","검토필요",IF(S398="","원본없음","초기완료")))</x:f>
        <x:v>초기완료</x:v>
      </x:c>
      <x:c r="AD398" s="7" t="inlineStr">
        <x:is>
          <x:t xml:space="preserve"/>
        </x:is>
      </x:c>
      <x:c r="AE398" s="5" t="inlineStr">
        <x:is>
          <x:t xml:space="preserve">.tmp/cobblemon-1.7.3-source/common/src/main/resources/data/cobblemon/species/generation4/prinplup.json</x:t>
        </x:is>
      </x:c>
      <x:c r="AF398" s="5" t="str">
        <x:f>"생활권|"&amp;K398</x:f>
        <x:v>생활권|해양</x:v>
      </x:c>
      <x:c r="AG398" s="5" t="str">
        <x:f>"지형|"&amp;L398</x:f>
        <x:v>지형|해안·해양</x:v>
      </x:c>
      <x:c r="AH398" s="5" t="str">
        <x:f>"온도|"&amp;M398</x:f>
        <x:v>온도|서늘</x:v>
      </x:c>
      <x:c r="AI398" s="5" t="str">
        <x:f>"습도|"&amp;N398</x:f>
        <x:v>습도|수중</x:v>
      </x:c>
      <x:c r="AJ398" s="5" t="str">
        <x:f>"날씨|"&amp;O398</x:f>
        <x:v>날씨|비</x:v>
      </x:c>
      <x:c r="AK398" s="5" t="str">
        <x:f>"특수태그|"&amp;R398</x:f>
        <x:v>특수태그|없음</x:v>
      </x:c>
      <x:c r="AL398" s="5" t="str">
        <x:f>"원본서식지|"&amp;S398</x:f>
        <x:v>원본서식지|해양</x:v>
      </x:c>
      <x:c r="AM398" s="5" t="str">
        <x:f>"타입|"&amp;F398</x:f>
        <x:v>타입|물</x:v>
      </x:c>
      <x:c r="AN398" s="5" t="str">
        <x:f>"타입|"&amp;G398</x:f>
        <x:v>타입|</x:v>
      </x:c>
    </x:row>
    <x:row r="399" ht="24" customHeight="1">
      <x:c r="A399" s="5" t="n">
        <x:v>395</x:v>
      </x:c>
      <x:c r="B399" s="5" t="inlineStr">
        <x:is>
          <x:t xml:space="preserve">엠페르트</x:t>
        </x:is>
      </x:c>
      <x:c r="C399" s="5" t="inlineStr">
        <x:is>
          <x:t xml:space="preserve">empoleon</x:t>
        </x:is>
      </x:c>
      <x:c r="D399" s="5" t="inlineStr">
        <x:is>
          <x:t xml:space="preserve">Empoleon</x:t>
        </x:is>
      </x:c>
      <x:c r="E399" s="5" t="n">
        <x:v>4</x:v>
      </x:c>
      <x:c r="F399" s="5" t="inlineStr">
        <x:is>
          <x:t xml:space="preserve">물</x:t>
        </x:is>
      </x:c>
      <x:c r="G399" s="5" t="inlineStr">
        <x:is>
          <x:t xml:space="preserve">강철</x:t>
        </x:is>
      </x:c>
      <x:c r="H399" s="6" t="n">
        <x:v>84.5</x:v>
      </x:c>
      <x:c r="I399" s="5" t="n">
        <x:v>36</x:v>
      </x:c>
      <x:c r="J399" s="5" t="inlineStr">
        <x:is>
          <x:t xml:space="preserve">최종</x:t>
        </x:is>
      </x:c>
      <x:c r="K399" s="7" t="inlineStr">
        <x:is>
          <x:t xml:space="preserve">해양</x:t>
        </x:is>
      </x:c>
      <x:c r="L399" s="7" t="inlineStr">
        <x:is>
          <x:t xml:space="preserve">해안·해양</x:t>
        </x:is>
      </x:c>
      <x:c r="M399" s="7" t="inlineStr">
        <x:is>
          <x:t xml:space="preserve">서늘</x:t>
        </x:is>
      </x:c>
      <x:c r="N399" s="7" t="inlineStr">
        <x:is>
          <x:t xml:space="preserve">수중</x:t>
        </x:is>
      </x:c>
      <x:c r="O399" s="7" t="inlineStr">
        <x:is>
          <x:t xml:space="preserve">비</x:t>
        </x:is>
      </x:c>
      <x:c r="P399" s="7" t="inlineStr">
        <x:is>
          <x:t xml:space="preserve">무관</x:t>
        </x:is>
      </x:c>
      <x:c r="Q399" s="7" t="inlineStr">
        <x:is>
          <x:t xml:space="preserve">희귀</x:t>
        </x:is>
      </x:c>
      <x:c r="R399" s="7" t="inlineStr">
        <x:is>
          <x:t xml:space="preserve">없음</x:t>
        </x:is>
      </x:c>
      <x:c r="S399" s="7" t="inlineStr">
        <x:is>
          <x:t xml:space="preserve">해양</x:t>
        </x:is>
      </x:c>
      <x:c r="T399" s="7" t="inlineStr">
        <x:is>
          <x:t xml:space="preserve"/>
        </x:is>
      </x:c>
      <x:c r="U399" s="8" t="str">
        <x:f>INDEX('서식지_점수'!$E$4:$P$4,1,MATCH(MAX('서식지_점수'!E399:P399),'서식지_점수'!E399:P399,0))</x:f>
        <x:v>해양</x:v>
      </x:c>
      <x:c r="V399" s="8" t="str">
        <x:f>IF(T399&lt;&gt;"",T399,U399)</x:f>
        <x:v>해양</x:v>
      </x:c>
      <x:c r="W399" s="8" t="str">
        <x:f>IFERROR(INDEX('서식지_점수'!$E$4:$P$4,1,MATCH(MAXIFS('서식지_점수'!E399:P399,'서식지_점수'!E399:P399,"&lt;"&amp;MAX('서식지_점수'!E399:P399)),'서식지_점수'!E399:P399,0)),"")</x:f>
        <x:v>습지</x:v>
      </x:c>
      <x:c r="X399" s="8" t="str">
        <x:f>IF(T399&lt;&gt;"","수동확정",IF(MAX('서식지_점수'!E399:P399)-LARGE('서식지_점수'!E399:P399,2)&gt;=15,"높음",IF(MAX('서식지_점수'!E399:P399)-LARGE('서식지_점수'!E399:P399,2)&gt;=8,"보통","검토필요")))</x:f>
        <x:v>높음</x:v>
      </x:c>
      <x:c r="Y399" s="9" t="n">
        <x:f>IF(Q399="전설",8,IF(Q399="희귀",7,IF(J399="기본",1,IF(J399="중간",3,IF(J399="최종",IF(I399="",5,IF(I399&lt;=20,3,IF(I399&lt;=35,4,IF(I399&lt;=50,6,7)))),IF(Q399="드묾",4,2))))))</x:f>
        <x:v>7</x:v>
      </x:c>
      <x:c r="Z399" s="5" t="inlineStr">
        <x:is>
          <x:t xml:space="preserve">#cobblemon:is_cold_ocean; #cobblemon:is_frozen_ocean; #cobblemon:is_glacial; #cobblemon:is_tundra; minecraft:frozen_river</x:t>
        </x:is>
      </x:c>
      <x:c r="AA399" s="5" t="inlineStr">
        <x:is>
          <x:t xml:space="preserve">ultra-rare</x:t>
        </x:is>
      </x:c>
      <x:c r="AB399" s="5" t="inlineStr">
        <x:is>
          <x:t xml:space="preserve">예</x:t>
        </x:is>
      </x:c>
      <x:c r="AC399" s="8" t="str">
        <x:f>IF(T399&lt;&gt;"","수동확정",IF(X399="검토필요","검토필요",IF(S399="","원본없음","초기완료")))</x:f>
        <x:v>초기완료</x:v>
      </x:c>
      <x:c r="AD399" s="7" t="inlineStr">
        <x:is>
          <x:t xml:space="preserve"/>
        </x:is>
      </x:c>
      <x:c r="AE399" s="5" t="inlineStr">
        <x:is>
          <x:t xml:space="preserve">.tmp/cobblemon-1.7.3-source/common/src/main/resources/data/cobblemon/species/generation4/empoleon.json</x:t>
        </x:is>
      </x:c>
      <x:c r="AF399" s="5" t="str">
        <x:f>"생활권|"&amp;K399</x:f>
        <x:v>생활권|해양</x:v>
      </x:c>
      <x:c r="AG399" s="5" t="str">
        <x:f>"지형|"&amp;L399</x:f>
        <x:v>지형|해안·해양</x:v>
      </x:c>
      <x:c r="AH399" s="5" t="str">
        <x:f>"온도|"&amp;M399</x:f>
        <x:v>온도|서늘</x:v>
      </x:c>
      <x:c r="AI399" s="5" t="str">
        <x:f>"습도|"&amp;N399</x:f>
        <x:v>습도|수중</x:v>
      </x:c>
      <x:c r="AJ399" s="5" t="str">
        <x:f>"날씨|"&amp;O399</x:f>
        <x:v>날씨|비</x:v>
      </x:c>
      <x:c r="AK399" s="5" t="str">
        <x:f>"특수태그|"&amp;R399</x:f>
        <x:v>특수태그|없음</x:v>
      </x:c>
      <x:c r="AL399" s="5" t="str">
        <x:f>"원본서식지|"&amp;S399</x:f>
        <x:v>원본서식지|해양</x:v>
      </x:c>
      <x:c r="AM399" s="5" t="str">
        <x:f>"타입|"&amp;F399</x:f>
        <x:v>타입|물</x:v>
      </x:c>
      <x:c r="AN399" s="5" t="str">
        <x:f>"타입|"&amp;G399</x:f>
        <x:v>타입|강철</x:v>
      </x:c>
    </x:row>
    <x:row r="400" ht="24" customHeight="1">
      <x:c r="A400" s="5" t="n">
        <x:v>396</x:v>
      </x:c>
      <x:c r="B400" s="5" t="inlineStr">
        <x:is>
          <x:t xml:space="preserve">찌르꼬</x:t>
        </x:is>
      </x:c>
      <x:c r="C400" s="5" t="inlineStr">
        <x:is>
          <x:t xml:space="preserve">starly</x:t>
        </x:is>
      </x:c>
      <x:c r="D400" s="5" t="inlineStr">
        <x:is>
          <x:t xml:space="preserve">Starly</x:t>
        </x:is>
      </x:c>
      <x:c r="E400" s="5" t="n">
        <x:v>4</x:v>
      </x:c>
      <x:c r="F400" s="5" t="inlineStr">
        <x:is>
          <x:t xml:space="preserve">노말</x:t>
        </x:is>
      </x:c>
      <x:c r="G400" s="5" t="inlineStr">
        <x:is>
          <x:t xml:space="preserve">비행</x:t>
        </x:is>
      </x:c>
      <x:c r="H400" s="6" t="n">
        <x:v>2</x:v>
      </x:c>
      <x:c r="I400" s="5" t="n">
        <x:v>34</x:v>
      </x:c>
      <x:c r="J400" s="5" t="inlineStr">
        <x:is>
          <x:t xml:space="preserve">기본</x:t>
        </x:is>
      </x:c>
      <x:c r="K400" s="7" t="inlineStr">
        <x:is>
          <x:t xml:space="preserve">비행</x:t>
        </x:is>
      </x:c>
      <x:c r="L400" s="7" t="inlineStr">
        <x:is>
          <x:t xml:space="preserve">수목</x:t>
        </x:is>
      </x:c>
      <x:c r="M400" s="7" t="inlineStr">
        <x:is>
          <x:t xml:space="preserve">서늘</x:t>
        </x:is>
      </x:c>
      <x:c r="N400" s="7" t="inlineStr">
        <x:is>
          <x:t xml:space="preserve">보통</x:t>
        </x:is>
      </x:c>
      <x:c r="O400" s="7" t="inlineStr">
        <x:is>
          <x:t xml:space="preserve">무관</x:t>
        </x:is>
      </x:c>
      <x:c r="P400" s="7" t="inlineStr">
        <x:is>
          <x:t xml:space="preserve">낮</x:t>
        </x:is>
      </x:c>
      <x:c r="Q400" s="7" t="inlineStr">
        <x:is>
          <x:t xml:space="preserve">흔함</x:t>
        </x:is>
      </x:c>
      <x:c r="R400" s="7" t="inlineStr">
        <x:is>
          <x:t xml:space="preserve">없음</x:t>
        </x:is>
      </x:c>
      <x:c r="S400" s="7" t="inlineStr">
        <x:is>
          <x:t xml:space="preserve">숲</x:t>
        </x:is>
      </x:c>
      <x:c r="T400" s="7" t="inlineStr">
        <x:is>
          <x:t xml:space="preserve"/>
        </x:is>
      </x:c>
      <x:c r="U400" s="8" t="str">
        <x:f>INDEX('서식지_점수'!$E$4:$P$4,1,MATCH(MAX('서식지_점수'!E400:P400),'서식지_점수'!E400:P400,0))</x:f>
        <x:v>산악</x:v>
      </x:c>
      <x:c r="V400" s="8" t="str">
        <x:f>IF(T400&lt;&gt;"",T400,U400)</x:f>
        <x:v>산악</x:v>
      </x:c>
      <x:c r="W400" s="8" t="str">
        <x:f>IFERROR(INDEX('서식지_점수'!$E$4:$P$4,1,MATCH(MAXIFS('서식지_점수'!E400:P400,'서식지_점수'!E400:P400,"&lt;"&amp;MAX('서식지_점수'!E400:P400)),'서식지_점수'!E400:P400,0)),"")</x:f>
        <x:v>평원</x:v>
      </x:c>
      <x:c r="X400" s="8" t="str">
        <x:f>IF(T400&lt;&gt;"","수동확정",IF(MAX('서식지_점수'!E400:P400)-LARGE('서식지_점수'!E400:P400,2)&gt;=15,"높음",IF(MAX('서식지_점수'!E400:P400)-LARGE('서식지_점수'!E400:P400,2)&gt;=8,"보통","검토필요")))</x:f>
        <x:v>검토필요</x:v>
      </x:c>
      <x:c r="Y400" s="9" t="n">
        <x:f>IF(Q400="전설",8,IF(Q400="희귀",7,IF(J400="기본",1,IF(J400="중간",3,IF(J400="최종",IF(I400="",5,IF(I400&lt;=20,3,IF(I400&lt;=35,4,IF(I400&lt;=50,6,7)))),IF(Q400="드묾",4,2))))))</x:f>
        <x:v>1</x:v>
      </x:c>
      <x:c r="Z400" s="5" t="inlineStr">
        <x:is>
          <x:t xml:space="preserve">#cobblemon:is_hills; #cobblemon:is_sky; #cobblemon:is_snowy_forest; #cobblemon:is_taiga</x:t>
        </x:is>
      </x:c>
      <x:c r="AA400" s="5" t="inlineStr">
        <x:is>
          <x:t xml:space="preserve">common</x:t>
        </x:is>
      </x:c>
      <x:c r="AB400" s="5" t="inlineStr">
        <x:is>
          <x:t xml:space="preserve">예</x:t>
        </x:is>
      </x:c>
      <x:c r="AC400" s="8" t="str">
        <x:f>IF(T400&lt;&gt;"","수동확정",IF(X400="검토필요","검토필요",IF(S400="","원본없음","초기완료")))</x:f>
        <x:v>검토필요</x:v>
      </x:c>
      <x:c r="AD400" s="7" t="inlineStr">
        <x:is>
          <x:t xml:space="preserve"/>
        </x:is>
      </x:c>
      <x:c r="AE400" s="5" t="inlineStr">
        <x:is>
          <x:t xml:space="preserve">.tmp/cobblemon-1.7.3-source/common/src/main/resources/data/cobblemon/species/generation4/starly.json</x:t>
        </x:is>
      </x:c>
      <x:c r="AF400" s="5" t="str">
        <x:f>"생활권|"&amp;K400</x:f>
        <x:v>생활권|비행</x:v>
      </x:c>
      <x:c r="AG400" s="5" t="str">
        <x:f>"지형|"&amp;L400</x:f>
        <x:v>지형|수목</x:v>
      </x:c>
      <x:c r="AH400" s="5" t="str">
        <x:f>"온도|"&amp;M400</x:f>
        <x:v>온도|서늘</x:v>
      </x:c>
      <x:c r="AI400" s="5" t="str">
        <x:f>"습도|"&amp;N400</x:f>
        <x:v>습도|보통</x:v>
      </x:c>
      <x:c r="AJ400" s="5" t="str">
        <x:f>"날씨|"&amp;O400</x:f>
        <x:v>날씨|무관</x:v>
      </x:c>
      <x:c r="AK400" s="5" t="str">
        <x:f>"특수태그|"&amp;R400</x:f>
        <x:v>특수태그|없음</x:v>
      </x:c>
      <x:c r="AL400" s="5" t="str">
        <x:f>"원본서식지|"&amp;S400</x:f>
        <x:v>원본서식지|숲</x:v>
      </x:c>
      <x:c r="AM400" s="5" t="str">
        <x:f>"타입|"&amp;F400</x:f>
        <x:v>타입|노말</x:v>
      </x:c>
      <x:c r="AN400" s="5" t="str">
        <x:f>"타입|"&amp;G400</x:f>
        <x:v>타입|비행</x:v>
      </x:c>
    </x:row>
    <x:row r="401" ht="24" customHeight="1">
      <x:c r="A401" s="5" t="n">
        <x:v>397</x:v>
      </x:c>
      <x:c r="B401" s="5" t="inlineStr">
        <x:is>
          <x:t xml:space="preserve">찌르버드</x:t>
        </x:is>
      </x:c>
      <x:c r="C401" s="5" t="inlineStr">
        <x:is>
          <x:t xml:space="preserve">staravia</x:t>
        </x:is>
      </x:c>
      <x:c r="D401" s="5" t="inlineStr">
        <x:is>
          <x:t xml:space="preserve">Staravia</x:t>
        </x:is>
      </x:c>
      <x:c r="E401" s="5" t="n">
        <x:v>4</x:v>
      </x:c>
      <x:c r="F401" s="5" t="inlineStr">
        <x:is>
          <x:t xml:space="preserve">노말</x:t>
        </x:is>
      </x:c>
      <x:c r="G401" s="5" t="inlineStr">
        <x:is>
          <x:t xml:space="preserve">비행</x:t>
        </x:is>
      </x:c>
      <x:c r="H401" s="6" t="n">
        <x:v>15.5</x:v>
      </x:c>
      <x:c r="I401" s="5" t="n">
        <x:v>34</x:v>
      </x:c>
      <x:c r="J401" s="5" t="inlineStr">
        <x:is>
          <x:t xml:space="preserve">중간</x:t>
        </x:is>
      </x:c>
      <x:c r="K401" s="7" t="inlineStr">
        <x:is>
          <x:t xml:space="preserve">비행</x:t>
        </x:is>
      </x:c>
      <x:c r="L401" s="7" t="inlineStr">
        <x:is>
          <x:t xml:space="preserve">수목</x:t>
        </x:is>
      </x:c>
      <x:c r="M401" s="7" t="inlineStr">
        <x:is>
          <x:t xml:space="preserve">서늘</x:t>
        </x:is>
      </x:c>
      <x:c r="N401" s="7" t="inlineStr">
        <x:is>
          <x:t xml:space="preserve">보통</x:t>
        </x:is>
      </x:c>
      <x:c r="O401" s="7" t="inlineStr">
        <x:is>
          <x:t xml:space="preserve">무관</x:t>
        </x:is>
      </x:c>
      <x:c r="P401" s="7" t="inlineStr">
        <x:is>
          <x:t xml:space="preserve">낮</x:t>
        </x:is>
      </x:c>
      <x:c r="Q401" s="7" t="inlineStr">
        <x:is>
          <x:t xml:space="preserve">흔함</x:t>
        </x:is>
      </x:c>
      <x:c r="R401" s="7" t="inlineStr">
        <x:is>
          <x:t xml:space="preserve">없음</x:t>
        </x:is>
      </x:c>
      <x:c r="S401" s="7" t="inlineStr">
        <x:is>
          <x:t xml:space="preserve">숲</x:t>
        </x:is>
      </x:c>
      <x:c r="T401" s="7" t="inlineStr">
        <x:is>
          <x:t xml:space="preserve"/>
        </x:is>
      </x:c>
      <x:c r="U401" s="8" t="str">
        <x:f>INDEX('서식지_점수'!$E$4:$P$4,1,MATCH(MAX('서식지_점수'!E401:P401),'서식지_점수'!E401:P401,0))</x:f>
        <x:v>산악</x:v>
      </x:c>
      <x:c r="V401" s="8" t="str">
        <x:f>IF(T401&lt;&gt;"",T401,U401)</x:f>
        <x:v>산악</x:v>
      </x:c>
      <x:c r="W401" s="8" t="str">
        <x:f>IFERROR(INDEX('서식지_점수'!$E$4:$P$4,1,MATCH(MAXIFS('서식지_점수'!E401:P401,'서식지_점수'!E401:P401,"&lt;"&amp;MAX('서식지_점수'!E401:P401)),'서식지_점수'!E401:P401,0)),"")</x:f>
        <x:v>평원</x:v>
      </x:c>
      <x:c r="X401" s="8" t="str">
        <x:f>IF(T401&lt;&gt;"","수동확정",IF(MAX('서식지_점수'!E401:P401)-LARGE('서식지_점수'!E401:P401,2)&gt;=15,"높음",IF(MAX('서식지_점수'!E401:P401)-LARGE('서식지_점수'!E401:P401,2)&gt;=8,"보통","검토필요")))</x:f>
        <x:v>검토필요</x:v>
      </x:c>
      <x:c r="Y401" s="9" t="n">
        <x:f>IF(Q401="전설",8,IF(Q401="희귀",7,IF(J401="기본",1,IF(J401="중간",3,IF(J401="최종",IF(I401="",5,IF(I401&lt;=20,3,IF(I401&lt;=35,4,IF(I401&lt;=50,6,7)))),IF(Q401="드묾",4,2))))))</x:f>
        <x:v>3</x:v>
      </x:c>
      <x:c r="Z401" s="5" t="inlineStr">
        <x:is>
          <x:t xml:space="preserve">#cobblemon:is_hills; #cobblemon:is_sky; #cobblemon:is_snowy_forest; #cobblemon:is_taiga</x:t>
        </x:is>
      </x:c>
      <x:c r="AA401" s="5" t="inlineStr">
        <x:is>
          <x:t xml:space="preserve">common</x:t>
        </x:is>
      </x:c>
      <x:c r="AB401" s="5" t="inlineStr">
        <x:is>
          <x:t xml:space="preserve">예</x:t>
        </x:is>
      </x:c>
      <x:c r="AC401" s="8" t="str">
        <x:f>IF(T401&lt;&gt;"","수동확정",IF(X401="검토필요","검토필요",IF(S401="","원본없음","초기완료")))</x:f>
        <x:v>검토필요</x:v>
      </x:c>
      <x:c r="AD401" s="7" t="inlineStr">
        <x:is>
          <x:t xml:space="preserve"/>
        </x:is>
      </x:c>
      <x:c r="AE401" s="5" t="inlineStr">
        <x:is>
          <x:t xml:space="preserve">.tmp/cobblemon-1.7.3-source/common/src/main/resources/data/cobblemon/species/generation4/staravia.json</x:t>
        </x:is>
      </x:c>
      <x:c r="AF401" s="5" t="str">
        <x:f>"생활권|"&amp;K401</x:f>
        <x:v>생활권|비행</x:v>
      </x:c>
      <x:c r="AG401" s="5" t="str">
        <x:f>"지형|"&amp;L401</x:f>
        <x:v>지형|수목</x:v>
      </x:c>
      <x:c r="AH401" s="5" t="str">
        <x:f>"온도|"&amp;M401</x:f>
        <x:v>온도|서늘</x:v>
      </x:c>
      <x:c r="AI401" s="5" t="str">
        <x:f>"습도|"&amp;N401</x:f>
        <x:v>습도|보통</x:v>
      </x:c>
      <x:c r="AJ401" s="5" t="str">
        <x:f>"날씨|"&amp;O401</x:f>
        <x:v>날씨|무관</x:v>
      </x:c>
      <x:c r="AK401" s="5" t="str">
        <x:f>"특수태그|"&amp;R401</x:f>
        <x:v>특수태그|없음</x:v>
      </x:c>
      <x:c r="AL401" s="5" t="str">
        <x:f>"원본서식지|"&amp;S401</x:f>
        <x:v>원본서식지|숲</x:v>
      </x:c>
      <x:c r="AM401" s="5" t="str">
        <x:f>"타입|"&amp;F401</x:f>
        <x:v>타입|노말</x:v>
      </x:c>
      <x:c r="AN401" s="5" t="str">
        <x:f>"타입|"&amp;G401</x:f>
        <x:v>타입|비행</x:v>
      </x:c>
    </x:row>
    <x:row r="402" ht="24" customHeight="1">
      <x:c r="A402" s="5" t="n">
        <x:v>398</x:v>
      </x:c>
      <x:c r="B402" s="5" t="inlineStr">
        <x:is>
          <x:t xml:space="preserve">찌르호크</x:t>
        </x:is>
      </x:c>
      <x:c r="C402" s="5" t="inlineStr">
        <x:is>
          <x:t xml:space="preserve">staraptor</x:t>
        </x:is>
      </x:c>
      <x:c r="D402" s="5" t="inlineStr">
        <x:is>
          <x:t xml:space="preserve">Staraptor</x:t>
        </x:is>
      </x:c>
      <x:c r="E402" s="5" t="n">
        <x:v>4</x:v>
      </x:c>
      <x:c r="F402" s="5" t="inlineStr">
        <x:is>
          <x:t xml:space="preserve">노말</x:t>
        </x:is>
      </x:c>
      <x:c r="G402" s="5" t="inlineStr">
        <x:is>
          <x:t xml:space="preserve">비행</x:t>
        </x:is>
      </x:c>
      <x:c r="H402" s="6" t="n">
        <x:v>24.9</x:v>
      </x:c>
      <x:c r="I402" s="5" t="n">
        <x:v>34</x:v>
      </x:c>
      <x:c r="J402" s="5" t="inlineStr">
        <x:is>
          <x:t xml:space="preserve">최종</x:t>
        </x:is>
      </x:c>
      <x:c r="K402" s="7" t="inlineStr">
        <x:is>
          <x:t xml:space="preserve">비행</x:t>
        </x:is>
      </x:c>
      <x:c r="L402" s="7" t="inlineStr">
        <x:is>
          <x:t xml:space="preserve">수목</x:t>
        </x:is>
      </x:c>
      <x:c r="M402" s="7" t="inlineStr">
        <x:is>
          <x:t xml:space="preserve">서늘</x:t>
        </x:is>
      </x:c>
      <x:c r="N402" s="7" t="inlineStr">
        <x:is>
          <x:t xml:space="preserve">보통</x:t>
        </x:is>
      </x:c>
      <x:c r="O402" s="7" t="inlineStr">
        <x:is>
          <x:t xml:space="preserve">무관</x:t>
        </x:is>
      </x:c>
      <x:c r="P402" s="7" t="inlineStr">
        <x:is>
          <x:t xml:space="preserve">낮</x:t>
        </x:is>
      </x:c>
      <x:c r="Q402" s="7" t="inlineStr">
        <x:is>
          <x:t xml:space="preserve">흔함</x:t>
        </x:is>
      </x:c>
      <x:c r="R402" s="7" t="inlineStr">
        <x:is>
          <x:t xml:space="preserve">없음</x:t>
        </x:is>
      </x:c>
      <x:c r="S402" s="7" t="inlineStr">
        <x:is>
          <x:t xml:space="preserve">숲</x:t>
        </x:is>
      </x:c>
      <x:c r="T402" s="7" t="inlineStr">
        <x:is>
          <x:t xml:space="preserve"/>
        </x:is>
      </x:c>
      <x:c r="U402" s="8" t="str">
        <x:f>INDEX('서식지_점수'!$E$4:$P$4,1,MATCH(MAX('서식지_점수'!E402:P402),'서식지_점수'!E402:P402,0))</x:f>
        <x:v>산악</x:v>
      </x:c>
      <x:c r="V402" s="8" t="str">
        <x:f>IF(T402&lt;&gt;"",T402,U402)</x:f>
        <x:v>산악</x:v>
      </x:c>
      <x:c r="W402" s="8" t="str">
        <x:f>IFERROR(INDEX('서식지_점수'!$E$4:$P$4,1,MATCH(MAXIFS('서식지_점수'!E402:P402,'서식지_점수'!E402:P402,"&lt;"&amp;MAX('서식지_점수'!E402:P402)),'서식지_점수'!E402:P402,0)),"")</x:f>
        <x:v>평원</x:v>
      </x:c>
      <x:c r="X402" s="8" t="str">
        <x:f>IF(T402&lt;&gt;"","수동확정",IF(MAX('서식지_점수'!E402:P402)-LARGE('서식지_점수'!E402:P402,2)&gt;=15,"높음",IF(MAX('서식지_점수'!E402:P402)-LARGE('서식지_점수'!E402:P402,2)&gt;=8,"보통","검토필요")))</x:f>
        <x:v>검토필요</x:v>
      </x:c>
      <x:c r="Y402" s="9" t="n">
        <x:f>IF(Q402="전설",8,IF(Q402="희귀",7,IF(J402="기본",1,IF(J402="중간",3,IF(J402="최종",IF(I402="",5,IF(I402&lt;=20,3,IF(I402&lt;=35,4,IF(I402&lt;=50,6,7)))),IF(Q402="드묾",4,2))))))</x:f>
        <x:v>4</x:v>
      </x:c>
      <x:c r="Z402" s="5" t="inlineStr">
        <x:is>
          <x:t xml:space="preserve">#cobblemon:is_hills; #cobblemon:is_sky; #cobblemon:is_snowy_forest; #cobblemon:is_taiga</x:t>
        </x:is>
      </x:c>
      <x:c r="AA402" s="5" t="inlineStr">
        <x:is>
          <x:t xml:space="preserve">common</x:t>
        </x:is>
      </x:c>
      <x:c r="AB402" s="5" t="inlineStr">
        <x:is>
          <x:t xml:space="preserve">예</x:t>
        </x:is>
      </x:c>
      <x:c r="AC402" s="8" t="str">
        <x:f>IF(T402&lt;&gt;"","수동확정",IF(X402="검토필요","검토필요",IF(S402="","원본없음","초기완료")))</x:f>
        <x:v>검토필요</x:v>
      </x:c>
      <x:c r="AD402" s="7" t="inlineStr">
        <x:is>
          <x:t xml:space="preserve"/>
        </x:is>
      </x:c>
      <x:c r="AE402" s="5" t="inlineStr">
        <x:is>
          <x:t xml:space="preserve">.tmp/cobblemon-1.7.3-source/common/src/main/resources/data/cobblemon/species/generation4/staraptor.json</x:t>
        </x:is>
      </x:c>
      <x:c r="AF402" s="5" t="str">
        <x:f>"생활권|"&amp;K402</x:f>
        <x:v>생활권|비행</x:v>
      </x:c>
      <x:c r="AG402" s="5" t="str">
        <x:f>"지형|"&amp;L402</x:f>
        <x:v>지형|수목</x:v>
      </x:c>
      <x:c r="AH402" s="5" t="str">
        <x:f>"온도|"&amp;M402</x:f>
        <x:v>온도|서늘</x:v>
      </x:c>
      <x:c r="AI402" s="5" t="str">
        <x:f>"습도|"&amp;N402</x:f>
        <x:v>습도|보통</x:v>
      </x:c>
      <x:c r="AJ402" s="5" t="str">
        <x:f>"날씨|"&amp;O402</x:f>
        <x:v>날씨|무관</x:v>
      </x:c>
      <x:c r="AK402" s="5" t="str">
        <x:f>"특수태그|"&amp;R402</x:f>
        <x:v>특수태그|없음</x:v>
      </x:c>
      <x:c r="AL402" s="5" t="str">
        <x:f>"원본서식지|"&amp;S402</x:f>
        <x:v>원본서식지|숲</x:v>
      </x:c>
      <x:c r="AM402" s="5" t="str">
        <x:f>"타입|"&amp;F402</x:f>
        <x:v>타입|노말</x:v>
      </x:c>
      <x:c r="AN402" s="5" t="str">
        <x:f>"타입|"&amp;G402</x:f>
        <x:v>타입|비행</x:v>
      </x:c>
    </x:row>
    <x:row r="403" ht="24" customHeight="1">
      <x:c r="A403" s="5" t="n">
        <x:v>399</x:v>
      </x:c>
      <x:c r="B403" s="5" t="inlineStr">
        <x:is>
          <x:t xml:space="preserve">비버니</x:t>
        </x:is>
      </x:c>
      <x:c r="C403" s="5" t="inlineStr">
        <x:is>
          <x:t xml:space="preserve">bidoof</x:t>
        </x:is>
      </x:c>
      <x:c r="D403" s="5" t="inlineStr">
        <x:is>
          <x:t xml:space="preserve">Bidoof</x:t>
        </x:is>
      </x:c>
      <x:c r="E403" s="5" t="n">
        <x:v>4</x:v>
      </x:c>
      <x:c r="F403" s="5" t="inlineStr">
        <x:is>
          <x:t xml:space="preserve">노말</x:t>
        </x:is>
      </x:c>
      <x:c r="G403" s="5" t="inlineStr">
        <x:is>
          <x:t xml:space="preserve"/>
        </x:is>
      </x:c>
      <x:c r="H403" s="6" t="n">
        <x:v>20</x:v>
      </x:c>
      <x:c r="I403" s="5" t="n">
        <x:v>15</x:v>
      </x:c>
      <x:c r="J403" s="5" t="inlineStr">
        <x:is>
          <x:t xml:space="preserve">기본</x:t>
        </x:is>
      </x:c>
      <x:c r="K403" s="7" t="inlineStr">
        <x:is>
          <x:t xml:space="preserve">육상</x:t>
        </x:is>
      </x:c>
      <x:c r="L403" s="7" t="inlineStr">
        <x:is>
          <x:t xml:space="preserve">수목</x:t>
        </x:is>
      </x:c>
      <x:c r="M403" s="7" t="inlineStr">
        <x:is>
          <x:t xml:space="preserve">서늘</x:t>
        </x:is>
      </x:c>
      <x:c r="N403" s="7" t="inlineStr">
        <x:is>
          <x:t xml:space="preserve">보통</x:t>
        </x:is>
      </x:c>
      <x:c r="O403" s="7" t="inlineStr">
        <x:is>
          <x:t xml:space="preserve">무관</x:t>
        </x:is>
      </x:c>
      <x:c r="P403" s="7" t="inlineStr">
        <x:is>
          <x:t xml:space="preserve">무관</x:t>
        </x:is>
      </x:c>
      <x:c r="Q403" s="7" t="inlineStr">
        <x:is>
          <x:t xml:space="preserve">보통</x:t>
        </x:is>
      </x:c>
      <x:c r="R403" s="7" t="inlineStr">
        <x:is>
          <x:t xml:space="preserve">없음</x:t>
        </x:is>
      </x:c>
      <x:c r="S403" s="7" t="inlineStr">
        <x:is>
          <x:t xml:space="preserve">숲</x:t>
        </x:is>
      </x:c>
      <x:c r="T403" s="7" t="inlineStr">
        <x:is>
          <x:t xml:space="preserve"/>
        </x:is>
      </x:c>
      <x:c r="U403" s="8" t="str">
        <x:f>INDEX('서식지_점수'!$E$4:$P$4,1,MATCH(MAX('서식지_점수'!E403:P403),'서식지_점수'!E403:P403,0))</x:f>
        <x:v>평원</x:v>
      </x:c>
      <x:c r="V403" s="8" t="str">
        <x:f>IF(T403&lt;&gt;"",T403,U403)</x:f>
        <x:v>평원</x:v>
      </x:c>
      <x:c r="W403" s="8" t="str">
        <x:f>IFERROR(INDEX('서식지_점수'!$E$4:$P$4,1,MATCH(MAXIFS('서식지_점수'!E403:P403,'서식지_점수'!E403:P403,"&lt;"&amp;MAX('서식지_점수'!E403:P403)),'서식지_점수'!E403:P403,0)),"")</x:f>
        <x:v>숲</x:v>
      </x:c>
      <x:c r="X403" s="8" t="str">
        <x:f>IF(T403&lt;&gt;"","수동확정",IF(MAX('서식지_점수'!E403:P403)-LARGE('서식지_점수'!E403:P403,2)&gt;=15,"높음",IF(MAX('서식지_점수'!E403:P403)-LARGE('서식지_점수'!E403:P403,2)&gt;=8,"보통","검토필요")))</x:f>
        <x:v>검토필요</x:v>
      </x:c>
      <x:c r="Y403" s="9" t="n">
        <x:f>IF(Q403="전설",8,IF(Q403="희귀",7,IF(J403="기본",1,IF(J403="중간",3,IF(J403="최종",IF(I403="",5,IF(I403&lt;=20,3,IF(I403&lt;=35,4,IF(I403&lt;=50,6,7)))),IF(Q403="드묾",4,2))))))</x:f>
        <x:v>1</x:v>
      </x:c>
      <x:c r="Z403" s="5" t="inlineStr">
        <x:is>
          <x:t xml:space="preserve">#cobblemon:is_forest; #cobblemon:is_freshwater; #cobblemon:is_snowy_forest; #cobblemon:is_taiga</x:t>
        </x:is>
      </x:c>
      <x:c r="AA403" s="5" t="inlineStr">
        <x:is>
          <x:t xml:space="preserve">common; uncommon</x:t>
        </x:is>
      </x:c>
      <x:c r="AB403" s="5" t="inlineStr">
        <x:is>
          <x:t xml:space="preserve">예</x:t>
        </x:is>
      </x:c>
      <x:c r="AC403" s="8" t="str">
        <x:f>IF(T403&lt;&gt;"","수동확정",IF(X403="검토필요","검토필요",IF(S403="","원본없음","초기완료")))</x:f>
        <x:v>검토필요</x:v>
      </x:c>
      <x:c r="AD403" s="7" t="inlineStr">
        <x:is>
          <x:t xml:space="preserve"/>
        </x:is>
      </x:c>
      <x:c r="AE403" s="5" t="inlineStr">
        <x:is>
          <x:t xml:space="preserve">.tmp/cobblemon-1.7.3-source/common/src/main/resources/data/cobblemon/species/generation4/bidoof.json</x:t>
        </x:is>
      </x:c>
      <x:c r="AF403" s="5" t="str">
        <x:f>"생활권|"&amp;K403</x:f>
        <x:v>생활권|육상</x:v>
      </x:c>
      <x:c r="AG403" s="5" t="str">
        <x:f>"지형|"&amp;L403</x:f>
        <x:v>지형|수목</x:v>
      </x:c>
      <x:c r="AH403" s="5" t="str">
        <x:f>"온도|"&amp;M403</x:f>
        <x:v>온도|서늘</x:v>
      </x:c>
      <x:c r="AI403" s="5" t="str">
        <x:f>"습도|"&amp;N403</x:f>
        <x:v>습도|보통</x:v>
      </x:c>
      <x:c r="AJ403" s="5" t="str">
        <x:f>"날씨|"&amp;O403</x:f>
        <x:v>날씨|무관</x:v>
      </x:c>
      <x:c r="AK403" s="5" t="str">
        <x:f>"특수태그|"&amp;R403</x:f>
        <x:v>특수태그|없음</x:v>
      </x:c>
      <x:c r="AL403" s="5" t="str">
        <x:f>"원본서식지|"&amp;S403</x:f>
        <x:v>원본서식지|숲</x:v>
      </x:c>
      <x:c r="AM403" s="5" t="str">
        <x:f>"타입|"&amp;F403</x:f>
        <x:v>타입|노말</x:v>
      </x:c>
      <x:c r="AN403" s="5" t="str">
        <x:f>"타입|"&amp;G403</x:f>
        <x:v>타입|</x:v>
      </x:c>
    </x:row>
    <x:row r="404" ht="24" customHeight="1">
      <x:c r="A404" s="5" t="n">
        <x:v>400</x:v>
      </x:c>
      <x:c r="B404" s="5" t="inlineStr">
        <x:is>
          <x:t xml:space="preserve">비버통</x:t>
        </x:is>
      </x:c>
      <x:c r="C404" s="5" t="inlineStr">
        <x:is>
          <x:t xml:space="preserve">bibarel</x:t>
        </x:is>
      </x:c>
      <x:c r="D404" s="5" t="inlineStr">
        <x:is>
          <x:t xml:space="preserve">Bibarel</x:t>
        </x:is>
      </x:c>
      <x:c r="E404" s="5" t="n">
        <x:v>4</x:v>
      </x:c>
      <x:c r="F404" s="5" t="inlineStr">
        <x:is>
          <x:t xml:space="preserve">노말</x:t>
        </x:is>
      </x:c>
      <x:c r="G404" s="5" t="inlineStr">
        <x:is>
          <x:t xml:space="preserve">물</x:t>
        </x:is>
      </x:c>
      <x:c r="H404" s="6" t="n">
        <x:v>31.5</x:v>
      </x:c>
      <x:c r="I404" s="5" t="n">
        <x:v>15</x:v>
      </x:c>
      <x:c r="J404" s="5" t="inlineStr">
        <x:is>
          <x:t xml:space="preserve">최종</x:t>
        </x:is>
      </x:c>
      <x:c r="K404" s="7" t="inlineStr">
        <x:is>
          <x:t xml:space="preserve">담수</x:t>
        </x:is>
      </x:c>
      <x:c r="L404" s="7" t="inlineStr">
        <x:is>
          <x:t xml:space="preserve">담수</x:t>
        </x:is>
      </x:c>
      <x:c r="M404" s="7" t="inlineStr">
        <x:is>
          <x:t xml:space="preserve">서늘</x:t>
        </x:is>
      </x:c>
      <x:c r="N404" s="7" t="inlineStr">
        <x:is>
          <x:t xml:space="preserve">수중</x:t>
        </x:is>
      </x:c>
      <x:c r="O404" s="7" t="inlineStr">
        <x:is>
          <x:t xml:space="preserve">비</x:t>
        </x:is>
      </x:c>
      <x:c r="P404" s="7" t="inlineStr">
        <x:is>
          <x:t xml:space="preserve">무관</x:t>
        </x:is>
      </x:c>
      <x:c r="Q404" s="7" t="inlineStr">
        <x:is>
          <x:t xml:space="preserve">보통</x:t>
        </x:is>
      </x:c>
      <x:c r="R404" s="7" t="inlineStr">
        <x:is>
          <x:t xml:space="preserve">없음</x:t>
        </x:is>
      </x:c>
      <x:c r="S404" s="7" t="inlineStr">
        <x:is>
          <x:t xml:space="preserve">담수</x:t>
        </x:is>
      </x:c>
      <x:c r="T404" s="7" t="inlineStr">
        <x:is>
          <x:t xml:space="preserve"/>
        </x:is>
      </x:c>
      <x:c r="U404" s="8" t="str">
        <x:f>INDEX('서식지_점수'!$E$4:$P$4,1,MATCH(MAX('서식지_점수'!E404:P404),'서식지_점수'!E404:P404,0))</x:f>
        <x:v>담수</x:v>
      </x:c>
      <x:c r="V404" s="8" t="str">
        <x:f>IF(T404&lt;&gt;"",T404,U404)</x:f>
        <x:v>담수</x:v>
      </x:c>
      <x:c r="W404" s="8" t="str">
        <x:f>IFERROR(INDEX('서식지_점수'!$E$4:$P$4,1,MATCH(MAXIFS('서식지_점수'!E404:P404,'서식지_점수'!E404:P404,"&lt;"&amp;MAX('서식지_점수'!E404:P404)),'서식지_점수'!E404:P404,0)),"")</x:f>
        <x:v>습지</x:v>
      </x:c>
      <x:c r="X404" s="8" t="str">
        <x:f>IF(T404&lt;&gt;"","수동확정",IF(MAX('서식지_점수'!E404:P404)-LARGE('서식지_점수'!E404:P404,2)&gt;=15,"높음",IF(MAX('서식지_점수'!E404:P404)-LARGE('서식지_점수'!E404:P404,2)&gt;=8,"보통","검토필요")))</x:f>
        <x:v>높음</x:v>
      </x:c>
      <x:c r="Y404" s="9" t="n">
        <x:f>IF(Q404="전설",8,IF(Q404="희귀",7,IF(J404="기본",1,IF(J404="중간",3,IF(J404="최종",IF(I404="",5,IF(I404&lt;=20,3,IF(I404&lt;=35,4,IF(I404&lt;=50,6,7)))),IF(Q404="드묾",4,2))))))</x:f>
        <x:v>3</x:v>
      </x:c>
      <x:c r="Z404" s="5" t="inlineStr">
        <x:is>
          <x:t xml:space="preserve">#cobblemon:is_forest; #cobblemon:is_freshwater; #cobblemon:is_snowy_forest; #cobblemon:is_taiga</x:t>
        </x:is>
      </x:c>
      <x:c r="AA404" s="5" t="inlineStr">
        <x:is>
          <x:t xml:space="preserve">common; uncommon</x:t>
        </x:is>
      </x:c>
      <x:c r="AB404" s="5" t="inlineStr">
        <x:is>
          <x:t xml:space="preserve">예</x:t>
        </x:is>
      </x:c>
      <x:c r="AC404" s="8" t="str">
        <x:f>IF(T404&lt;&gt;"","수동확정",IF(X404="검토필요","검토필요",IF(S404="","원본없음","초기완료")))</x:f>
        <x:v>초기완료</x:v>
      </x:c>
      <x:c r="AD404" s="7" t="inlineStr">
        <x:is>
          <x:t xml:space="preserve"/>
        </x:is>
      </x:c>
      <x:c r="AE404" s="5" t="inlineStr">
        <x:is>
          <x:t xml:space="preserve">.tmp/cobblemon-1.7.3-source/common/src/main/resources/data/cobblemon/species/generation4/bibarel.json</x:t>
        </x:is>
      </x:c>
      <x:c r="AF404" s="5" t="str">
        <x:f>"생활권|"&amp;K404</x:f>
        <x:v>생활권|담수</x:v>
      </x:c>
      <x:c r="AG404" s="5" t="str">
        <x:f>"지형|"&amp;L404</x:f>
        <x:v>지형|담수</x:v>
      </x:c>
      <x:c r="AH404" s="5" t="str">
        <x:f>"온도|"&amp;M404</x:f>
        <x:v>온도|서늘</x:v>
      </x:c>
      <x:c r="AI404" s="5" t="str">
        <x:f>"습도|"&amp;N404</x:f>
        <x:v>습도|수중</x:v>
      </x:c>
      <x:c r="AJ404" s="5" t="str">
        <x:f>"날씨|"&amp;O404</x:f>
        <x:v>날씨|비</x:v>
      </x:c>
      <x:c r="AK404" s="5" t="str">
        <x:f>"특수태그|"&amp;R404</x:f>
        <x:v>특수태그|없음</x:v>
      </x:c>
      <x:c r="AL404" s="5" t="str">
        <x:f>"원본서식지|"&amp;S404</x:f>
        <x:v>원본서식지|담수</x:v>
      </x:c>
      <x:c r="AM404" s="5" t="str">
        <x:f>"타입|"&amp;F404</x:f>
        <x:v>타입|노말</x:v>
      </x:c>
      <x:c r="AN404" s="5" t="str">
        <x:f>"타입|"&amp;G404</x:f>
        <x:v>타입|물</x:v>
      </x:c>
    </x:row>
    <x:row r="405" ht="24" customHeight="1">
      <x:c r="A405" s="5" t="n">
        <x:v>401</x:v>
      </x:c>
      <x:c r="B405" s="5" t="inlineStr">
        <x:is>
          <x:t xml:space="preserve">귀뚤뚜기</x:t>
        </x:is>
      </x:c>
      <x:c r="C405" s="5" t="inlineStr">
        <x:is>
          <x:t xml:space="preserve">kricketot</x:t>
        </x:is>
      </x:c>
      <x:c r="D405" s="5" t="inlineStr">
        <x:is>
          <x:t xml:space="preserve">Kricketot</x:t>
        </x:is>
      </x:c>
      <x:c r="E405" s="5" t="n">
        <x:v>4</x:v>
      </x:c>
      <x:c r="F405" s="5" t="inlineStr">
        <x:is>
          <x:t xml:space="preserve">벌레</x:t>
        </x:is>
      </x:c>
      <x:c r="G405" s="5" t="inlineStr">
        <x:is>
          <x:t xml:space="preserve"/>
        </x:is>
      </x:c>
      <x:c r="H405" s="6" t="n">
        <x:v>2.2</x:v>
      </x:c>
      <x:c r="I405" s="5" t="n">
        <x:v>10</x:v>
      </x:c>
      <x:c r="J405" s="5" t="inlineStr">
        <x:is>
          <x:t xml:space="preserve">기본</x:t>
        </x:is>
      </x:c>
      <x:c r="K405" s="7" t="inlineStr">
        <x:is>
          <x:t xml:space="preserve">육상</x:t>
        </x:is>
      </x:c>
      <x:c r="L405" s="7" t="inlineStr">
        <x:is>
          <x:t xml:space="preserve">습지</x:t>
        </x:is>
      </x:c>
      <x:c r="M405" s="7" t="inlineStr">
        <x:is>
          <x:t xml:space="preserve">온대</x:t>
        </x:is>
      </x:c>
      <x:c r="N405" s="7" t="inlineStr">
        <x:is>
          <x:t xml:space="preserve">다습</x:t>
        </x:is>
      </x:c>
      <x:c r="O405" s="7" t="inlineStr">
        <x:is>
          <x:t xml:space="preserve">비</x:t>
        </x:is>
      </x:c>
      <x:c r="P405" s="7" t="inlineStr">
        <x:is>
          <x:t xml:space="preserve">밤</x:t>
        </x:is>
      </x:c>
      <x:c r="Q405" s="7" t="inlineStr">
        <x:is>
          <x:t xml:space="preserve">흔함</x:t>
        </x:is>
      </x:c>
      <x:c r="R405" s="7" t="inlineStr">
        <x:is>
          <x:t xml:space="preserve">없음</x:t>
        </x:is>
      </x:c>
      <x:c r="S405" s="7" t="inlineStr">
        <x:is>
          <x:t xml:space="preserve">습지</x:t>
        </x:is>
      </x:c>
      <x:c r="T405" s="7" t="inlineStr">
        <x:is>
          <x:t xml:space="preserve"/>
        </x:is>
      </x:c>
      <x:c r="U405" s="8" t="str">
        <x:f>INDEX('서식지_점수'!$E$4:$P$4,1,MATCH(MAX('서식지_점수'!E405:P405),'서식지_점수'!E405:P405,0))</x:f>
        <x:v>평원</x:v>
      </x:c>
      <x:c r="V405" s="8" t="str">
        <x:f>IF(T405&lt;&gt;"",T405,U405)</x:f>
        <x:v>평원</x:v>
      </x:c>
      <x:c r="W405" s="8" t="str">
        <x:f>IFERROR(INDEX('서식지_점수'!$E$4:$P$4,1,MATCH(MAXIFS('서식지_점수'!E405:P405,'서식지_점수'!E405:P405,"&lt;"&amp;MAX('서식지_점수'!E405:P405)),'서식지_점수'!E405:P405,0)),"")</x:f>
        <x:v>숲</x:v>
      </x:c>
      <x:c r="X405" s="8" t="str">
        <x:f>IF(T405&lt;&gt;"","수동확정",IF(MAX('서식지_점수'!E405:P405)-LARGE('서식지_점수'!E405:P405,2)&gt;=15,"높음",IF(MAX('서식지_점수'!E405:P405)-LARGE('서식지_점수'!E405:P405,2)&gt;=8,"보통","검토필요")))</x:f>
        <x:v>검토필요</x:v>
      </x:c>
      <x:c r="Y405" s="9" t="n">
        <x:f>IF(Q405="전설",8,IF(Q405="희귀",7,IF(J405="기본",1,IF(J405="중간",3,IF(J405="최종",IF(I405="",5,IF(I405&lt;=20,3,IF(I405&lt;=35,4,IF(I405&lt;=50,6,7)))),IF(Q405="드묾",4,2))))))</x:f>
        <x:v>1</x:v>
      </x:c>
      <x:c r="Z405" s="5" t="inlineStr">
        <x:is>
          <x:t xml:space="preserve">#cobblemon:is_forest; #cobblemon:is_swamp</x:t>
        </x:is>
      </x:c>
      <x:c r="AA405" s="5" t="inlineStr">
        <x:is>
          <x:t xml:space="preserve">common</x:t>
        </x:is>
      </x:c>
      <x:c r="AB405" s="5" t="inlineStr">
        <x:is>
          <x:t xml:space="preserve">예</x:t>
        </x:is>
      </x:c>
      <x:c r="AC405" s="8" t="str">
        <x:f>IF(T405&lt;&gt;"","수동확정",IF(X405="검토필요","검토필요",IF(S405="","원본없음","초기완료")))</x:f>
        <x:v>검토필요</x:v>
      </x:c>
      <x:c r="AD405" s="7" t="inlineStr">
        <x:is>
          <x:t xml:space="preserve"/>
        </x:is>
      </x:c>
      <x:c r="AE405" s="5" t="inlineStr">
        <x:is>
          <x:t xml:space="preserve">.tmp/cobblemon-1.7.3-source/common/src/main/resources/data/cobblemon/species/generation4/kricketot.json</x:t>
        </x:is>
      </x:c>
      <x:c r="AF405" s="5" t="str">
        <x:f>"생활권|"&amp;K405</x:f>
        <x:v>생활권|육상</x:v>
      </x:c>
      <x:c r="AG405" s="5" t="str">
        <x:f>"지형|"&amp;L405</x:f>
        <x:v>지형|습지</x:v>
      </x:c>
      <x:c r="AH405" s="5" t="str">
        <x:f>"온도|"&amp;M405</x:f>
        <x:v>온도|온대</x:v>
      </x:c>
      <x:c r="AI405" s="5" t="str">
        <x:f>"습도|"&amp;N405</x:f>
        <x:v>습도|다습</x:v>
      </x:c>
      <x:c r="AJ405" s="5" t="str">
        <x:f>"날씨|"&amp;O405</x:f>
        <x:v>날씨|비</x:v>
      </x:c>
      <x:c r="AK405" s="5" t="str">
        <x:f>"특수태그|"&amp;R405</x:f>
        <x:v>특수태그|없음</x:v>
      </x:c>
      <x:c r="AL405" s="5" t="str">
        <x:f>"원본서식지|"&amp;S405</x:f>
        <x:v>원본서식지|습지</x:v>
      </x:c>
      <x:c r="AM405" s="5" t="str">
        <x:f>"타입|"&amp;F405</x:f>
        <x:v>타입|벌레</x:v>
      </x:c>
      <x:c r="AN405" s="5" t="str">
        <x:f>"타입|"&amp;G405</x:f>
        <x:v>타입|</x:v>
      </x:c>
    </x:row>
    <x:row r="406" ht="24" customHeight="1">
      <x:c r="A406" s="5" t="n">
        <x:v>402</x:v>
      </x:c>
      <x:c r="B406" s="5" t="inlineStr">
        <x:is>
          <x:t xml:space="preserve">귀뚤톡크</x:t>
        </x:is>
      </x:c>
      <x:c r="C406" s="5" t="inlineStr">
        <x:is>
          <x:t xml:space="preserve">kricketune</x:t>
        </x:is>
      </x:c>
      <x:c r="D406" s="5" t="inlineStr">
        <x:is>
          <x:t xml:space="preserve">Kricketune</x:t>
        </x:is>
      </x:c>
      <x:c r="E406" s="5" t="n">
        <x:v>4</x:v>
      </x:c>
      <x:c r="F406" s="5" t="inlineStr">
        <x:is>
          <x:t xml:space="preserve">벌레</x:t>
        </x:is>
      </x:c>
      <x:c r="G406" s="5" t="inlineStr">
        <x:is>
          <x:t xml:space="preserve"/>
        </x:is>
      </x:c>
      <x:c r="H406" s="6" t="n">
        <x:v>25.5</x:v>
      </x:c>
      <x:c r="I406" s="5" t="n">
        <x:v>10</x:v>
      </x:c>
      <x:c r="J406" s="5" t="inlineStr">
        <x:is>
          <x:t xml:space="preserve">최종</x:t>
        </x:is>
      </x:c>
      <x:c r="K406" s="7" t="inlineStr">
        <x:is>
          <x:t xml:space="preserve">비행</x:t>
        </x:is>
      </x:c>
      <x:c r="L406" s="7" t="inlineStr">
        <x:is>
          <x:t xml:space="preserve">습지</x:t>
        </x:is>
      </x:c>
      <x:c r="M406" s="7" t="inlineStr">
        <x:is>
          <x:t xml:space="preserve">온대</x:t>
        </x:is>
      </x:c>
      <x:c r="N406" s="7" t="inlineStr">
        <x:is>
          <x:t xml:space="preserve">다습</x:t>
        </x:is>
      </x:c>
      <x:c r="O406" s="7" t="inlineStr">
        <x:is>
          <x:t xml:space="preserve">비</x:t>
        </x:is>
      </x:c>
      <x:c r="P406" s="7" t="inlineStr">
        <x:is>
          <x:t xml:space="preserve">밤</x:t>
        </x:is>
      </x:c>
      <x:c r="Q406" s="7" t="inlineStr">
        <x:is>
          <x:t xml:space="preserve">흔함</x:t>
        </x:is>
      </x:c>
      <x:c r="R406" s="7" t="inlineStr">
        <x:is>
          <x:t xml:space="preserve">없음</x:t>
        </x:is>
      </x:c>
      <x:c r="S406" s="7" t="inlineStr">
        <x:is>
          <x:t xml:space="preserve">습지</x:t>
        </x:is>
      </x:c>
      <x:c r="T406" s="7" t="inlineStr">
        <x:is>
          <x:t xml:space="preserve"/>
        </x:is>
      </x:c>
      <x:c r="U406" s="8" t="str">
        <x:f>INDEX('서식지_점수'!$E$4:$P$4,1,MATCH(MAX('서식지_점수'!E406:P406),'서식지_점수'!E406:P406,0))</x:f>
        <x:v>산악</x:v>
      </x:c>
      <x:c r="V406" s="8" t="str">
        <x:f>IF(T406&lt;&gt;"",T406,U406)</x:f>
        <x:v>산악</x:v>
      </x:c>
      <x:c r="W406" s="8" t="str">
        <x:f>IFERROR(INDEX('서식지_점수'!$E$4:$P$4,1,MATCH(MAXIFS('서식지_점수'!E406:P406,'서식지_점수'!E406:P406,"&lt;"&amp;MAX('서식지_점수'!E406:P406)),'서식지_점수'!E406:P406,0)),"")</x:f>
        <x:v>평원</x:v>
      </x:c>
      <x:c r="X406" s="8" t="str">
        <x:f>IF(T406&lt;&gt;"","수동확정",IF(MAX('서식지_점수'!E406:P406)-LARGE('서식지_점수'!E406:P406,2)&gt;=15,"높음",IF(MAX('서식지_점수'!E406:P406)-LARGE('서식지_점수'!E406:P406,2)&gt;=8,"보통","검토필요")))</x:f>
        <x:v>검토필요</x:v>
      </x:c>
      <x:c r="Y406" s="9" t="n">
        <x:f>IF(Q406="전설",8,IF(Q406="희귀",7,IF(J406="기본",1,IF(J406="중간",3,IF(J406="최종",IF(I406="",5,IF(I406&lt;=20,3,IF(I406&lt;=35,4,IF(I406&lt;=50,6,7)))),IF(Q406="드묾",4,2))))))</x:f>
        <x:v>3</x:v>
      </x:c>
      <x:c r="Z406" s="5" t="inlineStr">
        <x:is>
          <x:t xml:space="preserve">#cobblemon:is_forest; #cobblemon:is_swamp</x:t>
        </x:is>
      </x:c>
      <x:c r="AA406" s="5" t="inlineStr">
        <x:is>
          <x:t xml:space="preserve">common</x:t>
        </x:is>
      </x:c>
      <x:c r="AB406" s="5" t="inlineStr">
        <x:is>
          <x:t xml:space="preserve">예</x:t>
        </x:is>
      </x:c>
      <x:c r="AC406" s="8" t="str">
        <x:f>IF(T406&lt;&gt;"","수동확정",IF(X406="검토필요","검토필요",IF(S406="","원본없음","초기완료")))</x:f>
        <x:v>검토필요</x:v>
      </x:c>
      <x:c r="AD406" s="7" t="inlineStr">
        <x:is>
          <x:t xml:space="preserve"/>
        </x:is>
      </x:c>
      <x:c r="AE406" s="5" t="inlineStr">
        <x:is>
          <x:t xml:space="preserve">.tmp/cobblemon-1.7.3-source/common/src/main/resources/data/cobblemon/species/generation4/kricketune.json</x:t>
        </x:is>
      </x:c>
      <x:c r="AF406" s="5" t="str">
        <x:f>"생활권|"&amp;K406</x:f>
        <x:v>생활권|비행</x:v>
      </x:c>
      <x:c r="AG406" s="5" t="str">
        <x:f>"지형|"&amp;L406</x:f>
        <x:v>지형|습지</x:v>
      </x:c>
      <x:c r="AH406" s="5" t="str">
        <x:f>"온도|"&amp;M406</x:f>
        <x:v>온도|온대</x:v>
      </x:c>
      <x:c r="AI406" s="5" t="str">
        <x:f>"습도|"&amp;N406</x:f>
        <x:v>습도|다습</x:v>
      </x:c>
      <x:c r="AJ406" s="5" t="str">
        <x:f>"날씨|"&amp;O406</x:f>
        <x:v>날씨|비</x:v>
      </x:c>
      <x:c r="AK406" s="5" t="str">
        <x:f>"특수태그|"&amp;R406</x:f>
        <x:v>특수태그|없음</x:v>
      </x:c>
      <x:c r="AL406" s="5" t="str">
        <x:f>"원본서식지|"&amp;S406</x:f>
        <x:v>원본서식지|습지</x:v>
      </x:c>
      <x:c r="AM406" s="5" t="str">
        <x:f>"타입|"&amp;F406</x:f>
        <x:v>타입|벌레</x:v>
      </x:c>
      <x:c r="AN406" s="5" t="str">
        <x:f>"타입|"&amp;G406</x:f>
        <x:v>타입|</x:v>
      </x:c>
    </x:row>
    <x:row r="407" ht="24" customHeight="1">
      <x:c r="A407" s="5" t="n">
        <x:v>403</x:v>
      </x:c>
      <x:c r="B407" s="5" t="inlineStr">
        <x:is>
          <x:t xml:space="preserve">꼬링크</x:t>
        </x:is>
      </x:c>
      <x:c r="C407" s="5" t="inlineStr">
        <x:is>
          <x:t xml:space="preserve">shinx</x:t>
        </x:is>
      </x:c>
      <x:c r="D407" s="5" t="inlineStr">
        <x:is>
          <x:t xml:space="preserve">Shinx</x:t>
        </x:is>
      </x:c>
      <x:c r="E407" s="5" t="n">
        <x:v>4</x:v>
      </x:c>
      <x:c r="F407" s="5" t="inlineStr">
        <x:is>
          <x:t xml:space="preserve">전기</x:t>
        </x:is>
      </x:c>
      <x:c r="G407" s="5" t="inlineStr">
        <x:is>
          <x:t xml:space="preserve"/>
        </x:is>
      </x:c>
      <x:c r="H407" s="6" t="n">
        <x:v>9.5</x:v>
      </x:c>
      <x:c r="I407" s="5" t="n">
        <x:v>30</x:v>
      </x:c>
      <x:c r="J407" s="5" t="inlineStr">
        <x:is>
          <x:t xml:space="preserve">기본</x:t>
        </x:is>
      </x:c>
      <x:c r="K407" s="7" t="inlineStr">
        <x:is>
          <x:t xml:space="preserve">육상</x:t>
        </x:is>
      </x:c>
      <x:c r="L407" s="7" t="inlineStr">
        <x:is>
          <x:t xml:space="preserve">건조</x:t>
        </x:is>
      </x:c>
      <x:c r="M407" s="7" t="inlineStr">
        <x:is>
          <x:t xml:space="preserve">고온</x:t>
        </x:is>
      </x:c>
      <x:c r="N407" s="7" t="inlineStr">
        <x:is>
          <x:t xml:space="preserve">건조</x:t>
        </x:is>
      </x:c>
      <x:c r="O407" s="7" t="inlineStr">
        <x:is>
          <x:t xml:space="preserve">맑음</x:t>
        </x:is>
      </x:c>
      <x:c r="P407" s="7" t="inlineStr">
        <x:is>
          <x:t xml:space="preserve">무관</x:t>
        </x:is>
      </x:c>
      <x:c r="Q407" s="7" t="inlineStr">
        <x:is>
          <x:t xml:space="preserve">보통</x:t>
        </x:is>
      </x:c>
      <x:c r="R407" s="7" t="inlineStr">
        <x:is>
          <x:t xml:space="preserve">없음</x:t>
        </x:is>
      </x:c>
      <x:c r="S407" s="7" t="inlineStr">
        <x:is>
          <x:t xml:space="preserve">건조지</x:t>
        </x:is>
      </x:c>
      <x:c r="T407" s="7" t="inlineStr">
        <x:is>
          <x:t xml:space="preserve"/>
        </x:is>
      </x:c>
      <x:c r="U407" s="8" t="str">
        <x:f>INDEX('서식지_점수'!$E$4:$P$4,1,MATCH(MAX('서식지_점수'!E407:P407),'서식지_점수'!E407:P407,0))</x:f>
        <x:v>평원</x:v>
      </x:c>
      <x:c r="V407" s="8" t="str">
        <x:f>IF(T407&lt;&gt;"",T407,U407)</x:f>
        <x:v>평원</x:v>
      </x:c>
      <x:c r="W407" s="8" t="str">
        <x:f>IFERROR(INDEX('서식지_점수'!$E$4:$P$4,1,MATCH(MAXIFS('서식지_점수'!E407:P407,'서식지_점수'!E407:P407,"&lt;"&amp;MAX('서식지_점수'!E407:P407)),'서식지_점수'!E407:P407,0)),"")</x:f>
        <x:v>숲</x:v>
      </x:c>
      <x:c r="X407" s="8" t="str">
        <x:f>IF(T407&lt;&gt;"","수동확정",IF(MAX('서식지_점수'!E407:P407)-LARGE('서식지_점수'!E407:P407,2)&gt;=15,"높음",IF(MAX('서식지_점수'!E407:P407)-LARGE('서식지_점수'!E407:P407,2)&gt;=8,"보통","검토필요")))</x:f>
        <x:v>검토필요</x:v>
      </x:c>
      <x:c r="Y407" s="9" t="n">
        <x:f>IF(Q407="전설",8,IF(Q407="희귀",7,IF(J407="기본",1,IF(J407="중간",3,IF(J407="최종",IF(I407="",5,IF(I407&lt;=20,3,IF(I407&lt;=35,4,IF(I407&lt;=50,6,7)))),IF(Q407="드묾",4,2))))))</x:f>
        <x:v>1</x:v>
      </x:c>
      <x:c r="Z407" s="5" t="inlineStr">
        <x:is>
          <x:t xml:space="preserve">#cobblemon:is_desert; #cobblemon:is_savanna</x:t>
        </x:is>
      </x:c>
      <x:c r="AA407" s="5" t="inlineStr">
        <x:is>
          <x:t xml:space="preserve">uncommon</x:t>
        </x:is>
      </x:c>
      <x:c r="AB407" s="5" t="inlineStr">
        <x:is>
          <x:t xml:space="preserve">예</x:t>
        </x:is>
      </x:c>
      <x:c r="AC407" s="8" t="str">
        <x:f>IF(T407&lt;&gt;"","수동확정",IF(X407="검토필요","검토필요",IF(S407="","원본없음","초기완료")))</x:f>
        <x:v>검토필요</x:v>
      </x:c>
      <x:c r="AD407" s="7" t="inlineStr">
        <x:is>
          <x:t xml:space="preserve"/>
        </x:is>
      </x:c>
      <x:c r="AE407" s="5" t="inlineStr">
        <x:is>
          <x:t xml:space="preserve">.tmp/cobblemon-1.7.3-source/common/src/main/resources/data/cobblemon/species/generation4/shinx.json</x:t>
        </x:is>
      </x:c>
      <x:c r="AF407" s="5" t="str">
        <x:f>"생활권|"&amp;K407</x:f>
        <x:v>생활권|육상</x:v>
      </x:c>
      <x:c r="AG407" s="5" t="str">
        <x:f>"지형|"&amp;L407</x:f>
        <x:v>지형|건조</x:v>
      </x:c>
      <x:c r="AH407" s="5" t="str">
        <x:f>"온도|"&amp;M407</x:f>
        <x:v>온도|고온</x:v>
      </x:c>
      <x:c r="AI407" s="5" t="str">
        <x:f>"습도|"&amp;N407</x:f>
        <x:v>습도|건조</x:v>
      </x:c>
      <x:c r="AJ407" s="5" t="str">
        <x:f>"날씨|"&amp;O407</x:f>
        <x:v>날씨|맑음</x:v>
      </x:c>
      <x:c r="AK407" s="5" t="str">
        <x:f>"특수태그|"&amp;R407</x:f>
        <x:v>특수태그|없음</x:v>
      </x:c>
      <x:c r="AL407" s="5" t="str">
        <x:f>"원본서식지|"&amp;S407</x:f>
        <x:v>원본서식지|건조지</x:v>
      </x:c>
      <x:c r="AM407" s="5" t="str">
        <x:f>"타입|"&amp;F407</x:f>
        <x:v>타입|전기</x:v>
      </x:c>
      <x:c r="AN407" s="5" t="str">
        <x:f>"타입|"&amp;G407</x:f>
        <x:v>타입|</x:v>
      </x:c>
    </x:row>
    <x:row r="408" ht="24" customHeight="1">
      <x:c r="A408" s="5" t="n">
        <x:v>404</x:v>
      </x:c>
      <x:c r="B408" s="5" t="inlineStr">
        <x:is>
          <x:t xml:space="preserve">럭시오</x:t>
        </x:is>
      </x:c>
      <x:c r="C408" s="5" t="inlineStr">
        <x:is>
          <x:t xml:space="preserve">luxio</x:t>
        </x:is>
      </x:c>
      <x:c r="D408" s="5" t="inlineStr">
        <x:is>
          <x:t xml:space="preserve">Luxio</x:t>
        </x:is>
      </x:c>
      <x:c r="E408" s="5" t="n">
        <x:v>4</x:v>
      </x:c>
      <x:c r="F408" s="5" t="inlineStr">
        <x:is>
          <x:t xml:space="preserve">전기</x:t>
        </x:is>
      </x:c>
      <x:c r="G408" s="5" t="inlineStr">
        <x:is>
          <x:t xml:space="preserve"/>
        </x:is>
      </x:c>
      <x:c r="H408" s="6" t="n">
        <x:v>30.5</x:v>
      </x:c>
      <x:c r="I408" s="5" t="n">
        <x:v>30</x:v>
      </x:c>
      <x:c r="J408" s="5" t="inlineStr">
        <x:is>
          <x:t xml:space="preserve">중간</x:t>
        </x:is>
      </x:c>
      <x:c r="K408" s="7" t="inlineStr">
        <x:is>
          <x:t xml:space="preserve">육상</x:t>
        </x:is>
      </x:c>
      <x:c r="L408" s="7" t="inlineStr">
        <x:is>
          <x:t xml:space="preserve">건조</x:t>
        </x:is>
      </x:c>
      <x:c r="M408" s="7" t="inlineStr">
        <x:is>
          <x:t xml:space="preserve">고온</x:t>
        </x:is>
      </x:c>
      <x:c r="N408" s="7" t="inlineStr">
        <x:is>
          <x:t xml:space="preserve">건조</x:t>
        </x:is>
      </x:c>
      <x:c r="O408" s="7" t="inlineStr">
        <x:is>
          <x:t xml:space="preserve">맑음</x:t>
        </x:is>
      </x:c>
      <x:c r="P408" s="7" t="inlineStr">
        <x:is>
          <x:t xml:space="preserve">무관</x:t>
        </x:is>
      </x:c>
      <x:c r="Q408" s="7" t="inlineStr">
        <x:is>
          <x:t xml:space="preserve">보통</x:t>
        </x:is>
      </x:c>
      <x:c r="R408" s="7" t="inlineStr">
        <x:is>
          <x:t xml:space="preserve">없음</x:t>
        </x:is>
      </x:c>
      <x:c r="S408" s="7" t="inlineStr">
        <x:is>
          <x:t xml:space="preserve">건조지</x:t>
        </x:is>
      </x:c>
      <x:c r="T408" s="7" t="inlineStr">
        <x:is>
          <x:t xml:space="preserve"/>
        </x:is>
      </x:c>
      <x:c r="U408" s="8" t="str">
        <x:f>INDEX('서식지_점수'!$E$4:$P$4,1,MATCH(MAX('서식지_점수'!E408:P408),'서식지_점수'!E408:P408,0))</x:f>
        <x:v>평원</x:v>
      </x:c>
      <x:c r="V408" s="8" t="str">
        <x:f>IF(T408&lt;&gt;"",T408,U408)</x:f>
        <x:v>평원</x:v>
      </x:c>
      <x:c r="W408" s="8" t="str">
        <x:f>IFERROR(INDEX('서식지_점수'!$E$4:$P$4,1,MATCH(MAXIFS('서식지_점수'!E408:P408,'서식지_점수'!E408:P408,"&lt;"&amp;MAX('서식지_점수'!E408:P408)),'서식지_점수'!E408:P408,0)),"")</x:f>
        <x:v>숲</x:v>
      </x:c>
      <x:c r="X408" s="8" t="str">
        <x:f>IF(T408&lt;&gt;"","수동확정",IF(MAX('서식지_점수'!E408:P408)-LARGE('서식지_점수'!E408:P408,2)&gt;=15,"높음",IF(MAX('서식지_점수'!E408:P408)-LARGE('서식지_점수'!E408:P408,2)&gt;=8,"보통","검토필요")))</x:f>
        <x:v>검토필요</x:v>
      </x:c>
      <x:c r="Y408" s="9" t="n">
        <x:f>IF(Q408="전설",8,IF(Q408="희귀",7,IF(J408="기본",1,IF(J408="중간",3,IF(J408="최종",IF(I408="",5,IF(I408&lt;=20,3,IF(I408&lt;=35,4,IF(I408&lt;=50,6,7)))),IF(Q408="드묾",4,2))))))</x:f>
        <x:v>3</x:v>
      </x:c>
      <x:c r="Z408" s="5" t="inlineStr">
        <x:is>
          <x:t xml:space="preserve">#cobblemon:is_desert; #cobblemon:is_savanna</x:t>
        </x:is>
      </x:c>
      <x:c r="AA408" s="5" t="inlineStr">
        <x:is>
          <x:t xml:space="preserve">uncommon</x:t>
        </x:is>
      </x:c>
      <x:c r="AB408" s="5" t="inlineStr">
        <x:is>
          <x:t xml:space="preserve">예</x:t>
        </x:is>
      </x:c>
      <x:c r="AC408" s="8" t="str">
        <x:f>IF(T408&lt;&gt;"","수동확정",IF(X408="검토필요","검토필요",IF(S408="","원본없음","초기완료")))</x:f>
        <x:v>검토필요</x:v>
      </x:c>
      <x:c r="AD408" s="7" t="inlineStr">
        <x:is>
          <x:t xml:space="preserve"/>
        </x:is>
      </x:c>
      <x:c r="AE408" s="5" t="inlineStr">
        <x:is>
          <x:t xml:space="preserve">.tmp/cobblemon-1.7.3-source/common/src/main/resources/data/cobblemon/species/generation4/luxio.json</x:t>
        </x:is>
      </x:c>
      <x:c r="AF408" s="5" t="str">
        <x:f>"생활권|"&amp;K408</x:f>
        <x:v>생활권|육상</x:v>
      </x:c>
      <x:c r="AG408" s="5" t="str">
        <x:f>"지형|"&amp;L408</x:f>
        <x:v>지형|건조</x:v>
      </x:c>
      <x:c r="AH408" s="5" t="str">
        <x:f>"온도|"&amp;M408</x:f>
        <x:v>온도|고온</x:v>
      </x:c>
      <x:c r="AI408" s="5" t="str">
        <x:f>"습도|"&amp;N408</x:f>
        <x:v>습도|건조</x:v>
      </x:c>
      <x:c r="AJ408" s="5" t="str">
        <x:f>"날씨|"&amp;O408</x:f>
        <x:v>날씨|맑음</x:v>
      </x:c>
      <x:c r="AK408" s="5" t="str">
        <x:f>"특수태그|"&amp;R408</x:f>
        <x:v>특수태그|없음</x:v>
      </x:c>
      <x:c r="AL408" s="5" t="str">
        <x:f>"원본서식지|"&amp;S408</x:f>
        <x:v>원본서식지|건조지</x:v>
      </x:c>
      <x:c r="AM408" s="5" t="str">
        <x:f>"타입|"&amp;F408</x:f>
        <x:v>타입|전기</x:v>
      </x:c>
      <x:c r="AN408" s="5" t="str">
        <x:f>"타입|"&amp;G408</x:f>
        <x:v>타입|</x:v>
      </x:c>
    </x:row>
    <x:row r="409" ht="24" customHeight="1">
      <x:c r="A409" s="5" t="n">
        <x:v>405</x:v>
      </x:c>
      <x:c r="B409" s="5" t="inlineStr">
        <x:is>
          <x:t xml:space="preserve">렌트라</x:t>
        </x:is>
      </x:c>
      <x:c r="C409" s="5" t="inlineStr">
        <x:is>
          <x:t xml:space="preserve">luxray</x:t>
        </x:is>
      </x:c>
      <x:c r="D409" s="5" t="inlineStr">
        <x:is>
          <x:t xml:space="preserve">Luxray</x:t>
        </x:is>
      </x:c>
      <x:c r="E409" s="5" t="n">
        <x:v>4</x:v>
      </x:c>
      <x:c r="F409" s="5" t="inlineStr">
        <x:is>
          <x:t xml:space="preserve">전기</x:t>
        </x:is>
      </x:c>
      <x:c r="G409" s="5" t="inlineStr">
        <x:is>
          <x:t xml:space="preserve"/>
        </x:is>
      </x:c>
      <x:c r="H409" s="6" t="n">
        <x:v>42</x:v>
      </x:c>
      <x:c r="I409" s="5" t="n">
        <x:v>30</x:v>
      </x:c>
      <x:c r="J409" s="5" t="inlineStr">
        <x:is>
          <x:t xml:space="preserve">최종</x:t>
        </x:is>
      </x:c>
      <x:c r="K409" s="7" t="inlineStr">
        <x:is>
          <x:t xml:space="preserve">육상</x:t>
        </x:is>
      </x:c>
      <x:c r="L409" s="7" t="inlineStr">
        <x:is>
          <x:t xml:space="preserve">건조</x:t>
        </x:is>
      </x:c>
      <x:c r="M409" s="7" t="inlineStr">
        <x:is>
          <x:t xml:space="preserve">고온</x:t>
        </x:is>
      </x:c>
      <x:c r="N409" s="7" t="inlineStr">
        <x:is>
          <x:t xml:space="preserve">건조</x:t>
        </x:is>
      </x:c>
      <x:c r="O409" s="7" t="inlineStr">
        <x:is>
          <x:t xml:space="preserve">맑음</x:t>
        </x:is>
      </x:c>
      <x:c r="P409" s="7" t="inlineStr">
        <x:is>
          <x:t xml:space="preserve">무관</x:t>
        </x:is>
      </x:c>
      <x:c r="Q409" s="7" t="inlineStr">
        <x:is>
          <x:t xml:space="preserve">보통</x:t>
        </x:is>
      </x:c>
      <x:c r="R409" s="7" t="inlineStr">
        <x:is>
          <x:t xml:space="preserve">없음</x:t>
        </x:is>
      </x:c>
      <x:c r="S409" s="7" t="inlineStr">
        <x:is>
          <x:t xml:space="preserve">건조지</x:t>
        </x:is>
      </x:c>
      <x:c r="T409" s="7" t="inlineStr">
        <x:is>
          <x:t xml:space="preserve"/>
        </x:is>
      </x:c>
      <x:c r="U409" s="8" t="str">
        <x:f>INDEX('서식지_점수'!$E$4:$P$4,1,MATCH(MAX('서식지_점수'!E409:P409),'서식지_점수'!E409:P409,0))</x:f>
        <x:v>평원</x:v>
      </x:c>
      <x:c r="V409" s="8" t="str">
        <x:f>IF(T409&lt;&gt;"",T409,U409)</x:f>
        <x:v>평원</x:v>
      </x:c>
      <x:c r="W409" s="8" t="str">
        <x:f>IFERROR(INDEX('서식지_점수'!$E$4:$P$4,1,MATCH(MAXIFS('서식지_점수'!E409:P409,'서식지_점수'!E409:P409,"&lt;"&amp;MAX('서식지_점수'!E409:P409)),'서식지_점수'!E409:P409,0)),"")</x:f>
        <x:v>숲</x:v>
      </x:c>
      <x:c r="X409" s="8" t="str">
        <x:f>IF(T409&lt;&gt;"","수동확정",IF(MAX('서식지_점수'!E409:P409)-LARGE('서식지_점수'!E409:P409,2)&gt;=15,"높음",IF(MAX('서식지_점수'!E409:P409)-LARGE('서식지_점수'!E409:P409,2)&gt;=8,"보통","검토필요")))</x:f>
        <x:v>검토필요</x:v>
      </x:c>
      <x:c r="Y409" s="9" t="n">
        <x:f>IF(Q409="전설",8,IF(Q409="희귀",7,IF(J409="기본",1,IF(J409="중간",3,IF(J409="최종",IF(I409="",5,IF(I409&lt;=20,3,IF(I409&lt;=35,4,IF(I409&lt;=50,6,7)))),IF(Q409="드묾",4,2))))))</x:f>
        <x:v>4</x:v>
      </x:c>
      <x:c r="Z409" s="5" t="inlineStr">
        <x:is>
          <x:t xml:space="preserve">#cobblemon:is_desert; #cobblemon:is_savanna</x:t>
        </x:is>
      </x:c>
      <x:c r="AA409" s="5" t="inlineStr">
        <x:is>
          <x:t xml:space="preserve">uncommon</x:t>
        </x:is>
      </x:c>
      <x:c r="AB409" s="5" t="inlineStr">
        <x:is>
          <x:t xml:space="preserve">예</x:t>
        </x:is>
      </x:c>
      <x:c r="AC409" s="8" t="str">
        <x:f>IF(T409&lt;&gt;"","수동확정",IF(X409="검토필요","검토필요",IF(S409="","원본없음","초기완료")))</x:f>
        <x:v>검토필요</x:v>
      </x:c>
      <x:c r="AD409" s="7" t="inlineStr">
        <x:is>
          <x:t xml:space="preserve"/>
        </x:is>
      </x:c>
      <x:c r="AE409" s="5" t="inlineStr">
        <x:is>
          <x:t xml:space="preserve">.tmp/cobblemon-1.7.3-source/common/src/main/resources/data/cobblemon/species/generation4/luxray.json</x:t>
        </x:is>
      </x:c>
      <x:c r="AF409" s="5" t="str">
        <x:f>"생활권|"&amp;K409</x:f>
        <x:v>생활권|육상</x:v>
      </x:c>
      <x:c r="AG409" s="5" t="str">
        <x:f>"지형|"&amp;L409</x:f>
        <x:v>지형|건조</x:v>
      </x:c>
      <x:c r="AH409" s="5" t="str">
        <x:f>"온도|"&amp;M409</x:f>
        <x:v>온도|고온</x:v>
      </x:c>
      <x:c r="AI409" s="5" t="str">
        <x:f>"습도|"&amp;N409</x:f>
        <x:v>습도|건조</x:v>
      </x:c>
      <x:c r="AJ409" s="5" t="str">
        <x:f>"날씨|"&amp;O409</x:f>
        <x:v>날씨|맑음</x:v>
      </x:c>
      <x:c r="AK409" s="5" t="str">
        <x:f>"특수태그|"&amp;R409</x:f>
        <x:v>특수태그|없음</x:v>
      </x:c>
      <x:c r="AL409" s="5" t="str">
        <x:f>"원본서식지|"&amp;S409</x:f>
        <x:v>원본서식지|건조지</x:v>
      </x:c>
      <x:c r="AM409" s="5" t="str">
        <x:f>"타입|"&amp;F409</x:f>
        <x:v>타입|전기</x:v>
      </x:c>
      <x:c r="AN409" s="5" t="str">
        <x:f>"타입|"&amp;G409</x:f>
        <x:v>타입|</x:v>
      </x:c>
    </x:row>
    <x:row r="410" ht="24" customHeight="1">
      <x:c r="A410" s="5" t="n">
        <x:v>406</x:v>
      </x:c>
      <x:c r="B410" s="5" t="inlineStr">
        <x:is>
          <x:t xml:space="preserve">꼬몽울</x:t>
        </x:is>
      </x:c>
      <x:c r="C410" s="5" t="inlineStr">
        <x:is>
          <x:t xml:space="preserve">budew</x:t>
        </x:is>
      </x:c>
      <x:c r="D410" s="5" t="inlineStr">
        <x:is>
          <x:t xml:space="preserve">Budew</x:t>
        </x:is>
      </x:c>
      <x:c r="E410" s="5" t="n">
        <x:v>4</x:v>
      </x:c>
      <x:c r="F410" s="5" t="inlineStr">
        <x:is>
          <x:t xml:space="preserve">풀</x:t>
        </x:is>
      </x:c>
      <x:c r="G410" s="5" t="inlineStr">
        <x:is>
          <x:t xml:space="preserve">독</x:t>
        </x:is>
      </x:c>
      <x:c r="H410" s="6" t="n">
        <x:v>1.2</x:v>
      </x:c>
      <x:c r="I410" s="5" t="n"/>
      <x:c r="J410" s="5" t="inlineStr">
        <x:is>
          <x:t xml:space="preserve">기본</x:t>
        </x:is>
      </x:c>
      <x:c r="K410" s="7" t="inlineStr">
        <x:is>
          <x:t xml:space="preserve">육상</x:t>
        </x:is>
      </x:c>
      <x:c r="L410" s="7" t="inlineStr">
        <x:is>
          <x:t xml:space="preserve">개활지</x:t>
        </x:is>
      </x:c>
      <x:c r="M410" s="7" t="inlineStr">
        <x:is>
          <x:t xml:space="preserve">온대</x:t>
        </x:is>
      </x:c>
      <x:c r="N410" s="7" t="inlineStr">
        <x:is>
          <x:t xml:space="preserve">보통</x:t>
        </x:is>
      </x:c>
      <x:c r="O410" s="7" t="inlineStr">
        <x:is>
          <x:t xml:space="preserve">무관</x:t>
        </x:is>
      </x:c>
      <x:c r="P410" s="7" t="inlineStr">
        <x:is>
          <x:t xml:space="preserve">무관</x:t>
        </x:is>
      </x:c>
      <x:c r="Q410" s="7" t="inlineStr">
        <x:is>
          <x:t xml:space="preserve">흔함</x:t>
        </x:is>
      </x:c>
      <x:c r="R410" s="7" t="inlineStr">
        <x:is>
          <x:t xml:space="preserve">없음</x:t>
        </x:is>
      </x:c>
      <x:c r="S410" s="7" t="inlineStr">
        <x:is>
          <x:t xml:space="preserve">평원</x:t>
        </x:is>
      </x:c>
      <x:c r="T410" s="7" t="inlineStr">
        <x:is>
          <x:t xml:space="preserve"/>
        </x:is>
      </x:c>
      <x:c r="U410" s="8" t="str">
        <x:f>INDEX('서식지_점수'!$E$4:$P$4,1,MATCH(MAX('서식지_점수'!E410:P410),'서식지_점수'!E410:P410,0))</x:f>
        <x:v>평원</x:v>
      </x:c>
      <x:c r="V410" s="8" t="str">
        <x:f>IF(T410&lt;&gt;"",T410,U410)</x:f>
        <x:v>평원</x:v>
      </x:c>
      <x:c r="W410" s="8" t="str">
        <x:f>IFERROR(INDEX('서식지_점수'!$E$4:$P$4,1,MATCH(MAXIFS('서식지_점수'!E410:P410,'서식지_점수'!E410:P410,"&lt;"&amp;MAX('서식지_점수'!E410:P410)),'서식지_점수'!E410:P410,0)),"")</x:f>
        <x:v>숲</x:v>
      </x:c>
      <x:c r="X410" s="8" t="str">
        <x:f>IF(T410&lt;&gt;"","수동확정",IF(MAX('서식지_점수'!E410:P410)-LARGE('서식지_점수'!E410:P410,2)&gt;=15,"높음",IF(MAX('서식지_점수'!E410:P410)-LARGE('서식지_점수'!E410:P410,2)&gt;=8,"보통","검토필요")))</x:f>
        <x:v>검토필요</x:v>
      </x:c>
      <x:c r="Y410" s="9" t="n">
        <x:f>IF(Q410="전설",8,IF(Q410="희귀",7,IF(J410="기본",1,IF(J410="중간",3,IF(J410="최종",IF(I410="",5,IF(I410&lt;=20,3,IF(I410&lt;=35,4,IF(I410&lt;=50,6,7)))),IF(Q410="드묾",4,2))))))</x:f>
        <x:v>1</x:v>
      </x:c>
      <x:c r="Z410" s="5" t="inlineStr">
        <x:is>
          <x:t xml:space="preserve">#aether:is_aether; #cobblemon:is_floral; the_bumblezone:floral_meadow</x:t>
        </x:is>
      </x:c>
      <x:c r="AA410" s="5" t="inlineStr">
        <x:is>
          <x:t xml:space="preserve">common</x:t>
        </x:is>
      </x:c>
      <x:c r="AB410" s="5" t="inlineStr">
        <x:is>
          <x:t xml:space="preserve">예</x:t>
        </x:is>
      </x:c>
      <x:c r="AC410" s="8" t="str">
        <x:f>IF(T410&lt;&gt;"","수동확정",IF(X410="검토필요","검토필요",IF(S410="","원본없음","초기완료")))</x:f>
        <x:v>검토필요</x:v>
      </x:c>
      <x:c r="AD410" s="7" t="inlineStr">
        <x:is>
          <x:t xml:space="preserve"/>
        </x:is>
      </x:c>
      <x:c r="AE410" s="5" t="inlineStr">
        <x:is>
          <x:t xml:space="preserve">.tmp/cobblemon-1.7.3-source/common/src/main/resources/data/cobblemon/species/generation4/budew.json</x:t>
        </x:is>
      </x:c>
      <x:c r="AF410" s="5" t="str">
        <x:f>"생활권|"&amp;K410</x:f>
        <x:v>생활권|육상</x:v>
      </x:c>
      <x:c r="AG410" s="5" t="str">
        <x:f>"지형|"&amp;L410</x:f>
        <x:v>지형|개활지</x:v>
      </x:c>
      <x:c r="AH410" s="5" t="str">
        <x:f>"온도|"&amp;M410</x:f>
        <x:v>온도|온대</x:v>
      </x:c>
      <x:c r="AI410" s="5" t="str">
        <x:f>"습도|"&amp;N410</x:f>
        <x:v>습도|보통</x:v>
      </x:c>
      <x:c r="AJ410" s="5" t="str">
        <x:f>"날씨|"&amp;O410</x:f>
        <x:v>날씨|무관</x:v>
      </x:c>
      <x:c r="AK410" s="5" t="str">
        <x:f>"특수태그|"&amp;R410</x:f>
        <x:v>특수태그|없음</x:v>
      </x:c>
      <x:c r="AL410" s="5" t="str">
        <x:f>"원본서식지|"&amp;S410</x:f>
        <x:v>원본서식지|평원</x:v>
      </x:c>
      <x:c r="AM410" s="5" t="str">
        <x:f>"타입|"&amp;F410</x:f>
        <x:v>타입|풀</x:v>
      </x:c>
      <x:c r="AN410" s="5" t="str">
        <x:f>"타입|"&amp;G410</x:f>
        <x:v>타입|독</x:v>
      </x:c>
    </x:row>
    <x:row r="411" ht="24" customHeight="1">
      <x:c r="A411" s="5" t="n">
        <x:v>407</x:v>
      </x:c>
      <x:c r="B411" s="5" t="inlineStr">
        <x:is>
          <x:t xml:space="preserve">로즈레이드</x:t>
        </x:is>
      </x:c>
      <x:c r="C411" s="5" t="inlineStr">
        <x:is>
          <x:t xml:space="preserve">roserade</x:t>
        </x:is>
      </x:c>
      <x:c r="D411" s="5" t="inlineStr">
        <x:is>
          <x:t xml:space="preserve">Roserade</x:t>
        </x:is>
      </x:c>
      <x:c r="E411" s="5" t="n">
        <x:v>4</x:v>
      </x:c>
      <x:c r="F411" s="5" t="inlineStr">
        <x:is>
          <x:t xml:space="preserve">풀</x:t>
        </x:is>
      </x:c>
      <x:c r="G411" s="5" t="inlineStr">
        <x:is>
          <x:t xml:space="preserve">독</x:t>
        </x:is>
      </x:c>
      <x:c r="H411" s="6" t="n">
        <x:v>14.5</x:v>
      </x:c>
      <x:c r="I411" s="5" t="n"/>
      <x:c r="J411" s="5" t="inlineStr">
        <x:is>
          <x:t xml:space="preserve">최종</x:t>
        </x:is>
      </x:c>
      <x:c r="K411" s="7" t="inlineStr">
        <x:is>
          <x:t xml:space="preserve">육상</x:t>
        </x:is>
      </x:c>
      <x:c r="L411" s="7" t="inlineStr">
        <x:is>
          <x:t xml:space="preserve">개활지</x:t>
        </x:is>
      </x:c>
      <x:c r="M411" s="7" t="inlineStr">
        <x:is>
          <x:t xml:space="preserve">온대</x:t>
        </x:is>
      </x:c>
      <x:c r="N411" s="7" t="inlineStr">
        <x:is>
          <x:t xml:space="preserve">보통</x:t>
        </x:is>
      </x:c>
      <x:c r="O411" s="7" t="inlineStr">
        <x:is>
          <x:t xml:space="preserve">무관</x:t>
        </x:is>
      </x:c>
      <x:c r="P411" s="7" t="inlineStr">
        <x:is>
          <x:t xml:space="preserve">무관</x:t>
        </x:is>
      </x:c>
      <x:c r="Q411" s="7" t="inlineStr">
        <x:is>
          <x:t xml:space="preserve">흔함</x:t>
        </x:is>
      </x:c>
      <x:c r="R411" s="7" t="inlineStr">
        <x:is>
          <x:t xml:space="preserve">없음</x:t>
        </x:is>
      </x:c>
      <x:c r="S411" s="7" t="inlineStr">
        <x:is>
          <x:t xml:space="preserve">평원</x:t>
        </x:is>
      </x:c>
      <x:c r="T411" s="7" t="inlineStr">
        <x:is>
          <x:t xml:space="preserve"/>
        </x:is>
      </x:c>
      <x:c r="U411" s="8" t="str">
        <x:f>INDEX('서식지_점수'!$E$4:$P$4,1,MATCH(MAX('서식지_점수'!E411:P411),'서식지_점수'!E411:P411,0))</x:f>
        <x:v>평원</x:v>
      </x:c>
      <x:c r="V411" s="8" t="str">
        <x:f>IF(T411&lt;&gt;"",T411,U411)</x:f>
        <x:v>평원</x:v>
      </x:c>
      <x:c r="W411" s="8" t="str">
        <x:f>IFERROR(INDEX('서식지_점수'!$E$4:$P$4,1,MATCH(MAXIFS('서식지_점수'!E411:P411,'서식지_점수'!E411:P411,"&lt;"&amp;MAX('서식지_점수'!E411:P411)),'서식지_점수'!E411:P411,0)),"")</x:f>
        <x:v>숲</x:v>
      </x:c>
      <x:c r="X411" s="8" t="str">
        <x:f>IF(T411&lt;&gt;"","수동확정",IF(MAX('서식지_점수'!E411:P411)-LARGE('서식지_점수'!E411:P411,2)&gt;=15,"높음",IF(MAX('서식지_점수'!E411:P411)-LARGE('서식지_점수'!E411:P411,2)&gt;=8,"보통","검토필요")))</x:f>
        <x:v>검토필요</x:v>
      </x:c>
      <x:c r="Y411" s="9" t="n">
        <x:f>IF(Q411="전설",8,IF(Q411="희귀",7,IF(J411="기본",1,IF(J411="중간",3,IF(J411="최종",IF(I411="",5,IF(I411&lt;=20,3,IF(I411&lt;=35,4,IF(I411&lt;=50,6,7)))),IF(Q411="드묾",4,2))))))</x:f>
        <x:v>5</x:v>
      </x:c>
      <x:c r="Z411" s="5" t="inlineStr">
        <x:is>
          <x:t xml:space="preserve">#aether:is_aether; #cobblemon:is_floral; the_bumblezone:floral_meadow</x:t>
        </x:is>
      </x:c>
      <x:c r="AA411" s="5" t="inlineStr">
        <x:is>
          <x:t xml:space="preserve">common</x:t>
        </x:is>
      </x:c>
      <x:c r="AB411" s="5" t="inlineStr">
        <x:is>
          <x:t xml:space="preserve">예</x:t>
        </x:is>
      </x:c>
      <x:c r="AC411" s="8" t="str">
        <x:f>IF(T411&lt;&gt;"","수동확정",IF(X411="검토필요","검토필요",IF(S411="","원본없음","초기완료")))</x:f>
        <x:v>검토필요</x:v>
      </x:c>
      <x:c r="AD411" s="7" t="inlineStr">
        <x:is>
          <x:t xml:space="preserve"/>
        </x:is>
      </x:c>
      <x:c r="AE411" s="5" t="inlineStr">
        <x:is>
          <x:t xml:space="preserve">.tmp/cobblemon-1.7.3-source/common/src/main/resources/data/cobblemon/species/generation4/roserade.json</x:t>
        </x:is>
      </x:c>
      <x:c r="AF411" s="5" t="str">
        <x:f>"생활권|"&amp;K411</x:f>
        <x:v>생활권|육상</x:v>
      </x:c>
      <x:c r="AG411" s="5" t="str">
        <x:f>"지형|"&amp;L411</x:f>
        <x:v>지형|개활지</x:v>
      </x:c>
      <x:c r="AH411" s="5" t="str">
        <x:f>"온도|"&amp;M411</x:f>
        <x:v>온도|온대</x:v>
      </x:c>
      <x:c r="AI411" s="5" t="str">
        <x:f>"습도|"&amp;N411</x:f>
        <x:v>습도|보통</x:v>
      </x:c>
      <x:c r="AJ411" s="5" t="str">
        <x:f>"날씨|"&amp;O411</x:f>
        <x:v>날씨|무관</x:v>
      </x:c>
      <x:c r="AK411" s="5" t="str">
        <x:f>"특수태그|"&amp;R411</x:f>
        <x:v>특수태그|없음</x:v>
      </x:c>
      <x:c r="AL411" s="5" t="str">
        <x:f>"원본서식지|"&amp;S411</x:f>
        <x:v>원본서식지|평원</x:v>
      </x:c>
      <x:c r="AM411" s="5" t="str">
        <x:f>"타입|"&amp;F411</x:f>
        <x:v>타입|풀</x:v>
      </x:c>
      <x:c r="AN411" s="5" t="str">
        <x:f>"타입|"&amp;G411</x:f>
        <x:v>타입|독</x:v>
      </x:c>
    </x:row>
    <x:row r="412" ht="24" customHeight="1">
      <x:c r="A412" s="5" t="n">
        <x:v>408</x:v>
      </x:c>
      <x:c r="B412" s="5" t="inlineStr">
        <x:is>
          <x:t xml:space="preserve">두개도스</x:t>
        </x:is>
      </x:c>
      <x:c r="C412" s="5" t="inlineStr">
        <x:is>
          <x:t xml:space="preserve">cranidos</x:t>
        </x:is>
      </x:c>
      <x:c r="D412" s="5" t="inlineStr">
        <x:is>
          <x:t xml:space="preserve">Cranidos</x:t>
        </x:is>
      </x:c>
      <x:c r="E412" s="5" t="n">
        <x:v>4</x:v>
      </x:c>
      <x:c r="F412" s="5" t="inlineStr">
        <x:is>
          <x:t xml:space="preserve">바위</x:t>
        </x:is>
      </x:c>
      <x:c r="G412" s="5" t="inlineStr">
        <x:is>
          <x:t xml:space="preserve"/>
        </x:is>
      </x:c>
      <x:c r="H412" s="6" t="n">
        <x:v>31.5</x:v>
      </x:c>
      <x:c r="I412" s="5" t="n">
        <x:v>30</x:v>
      </x:c>
      <x:c r="J412" s="5" t="inlineStr">
        <x:is>
          <x:t xml:space="preserve">기본</x:t>
        </x:is>
      </x:c>
      <x:c r="K412" s="7" t="inlineStr">
        <x:is>
          <x:t xml:space="preserve">육상</x:t>
        </x:is>
      </x:c>
      <x:c r="L412" s="7" t="inlineStr">
        <x:is>
          <x:t xml:space="preserve">암석</x:t>
        </x:is>
      </x:c>
      <x:c r="M412" s="7" t="inlineStr">
        <x:is>
          <x:t xml:space="preserve">온대</x:t>
        </x:is>
      </x:c>
      <x:c r="N412" s="7" t="inlineStr">
        <x:is>
          <x:t xml:space="preserve">보통</x:t>
        </x:is>
      </x:c>
      <x:c r="O412" s="7" t="inlineStr">
        <x:is>
          <x:t xml:space="preserve">무관</x:t>
        </x:is>
      </x:c>
      <x:c r="P412" s="7" t="inlineStr">
        <x:is>
          <x:t xml:space="preserve">무관</x:t>
        </x:is>
      </x:c>
      <x:c r="Q412" s="7" t="inlineStr">
        <x:is>
          <x:t xml:space="preserve">희귀</x:t>
        </x:is>
      </x:c>
      <x:c r="R412" s="7" t="inlineStr">
        <x:is>
          <x:t xml:space="preserve">없음</x:t>
        </x:is>
      </x:c>
      <x:c r="S412" s="7" t="inlineStr">
        <x:is>
          <x:t xml:space="preserve"/>
        </x:is>
      </x:c>
      <x:c r="T412" s="7" t="inlineStr">
        <x:is>
          <x:t xml:space="preserve"/>
        </x:is>
      </x:c>
      <x:c r="U412" s="8" t="str">
        <x:f>INDEX('서식지_점수'!$E$4:$P$4,1,MATCH(MAX('서식지_점수'!E412:P412),'서식지_점수'!E412:P412,0))</x:f>
        <x:v>평원</x:v>
      </x:c>
      <x:c r="V412" s="8" t="str">
        <x:f>IF(T412&lt;&gt;"",T412,U412)</x:f>
        <x:v>평원</x:v>
      </x:c>
      <x:c r="W412" s="8" t="str">
        <x:f>IFERROR(INDEX('서식지_점수'!$E$4:$P$4,1,MATCH(MAXIFS('서식지_점수'!E412:P412,'서식지_점수'!E412:P412,"&lt;"&amp;MAX('서식지_점수'!E412:P412)),'서식지_점수'!E412:P412,0)),"")</x:f>
        <x:v>숲</x:v>
      </x:c>
      <x:c r="X412" s="8" t="str">
        <x:f>IF(T412&lt;&gt;"","수동확정",IF(MAX('서식지_점수'!E412:P412)-LARGE('서식지_점수'!E412:P412,2)&gt;=15,"높음",IF(MAX('서식지_점수'!E412:P412)-LARGE('서식지_점수'!E412:P412,2)&gt;=8,"보통","검토필요")))</x:f>
        <x:v>검토필요</x:v>
      </x:c>
      <x:c r="Y412" s="9" t="n">
        <x:f>IF(Q412="전설",8,IF(Q412="희귀",7,IF(J412="기본",1,IF(J412="중간",3,IF(J412="최종",IF(I412="",5,IF(I412&lt;=20,3,IF(I412&lt;=35,4,IF(I412&lt;=50,6,7)))),IF(Q412="드묾",4,2))))))</x:f>
        <x:v>7</x:v>
      </x:c>
      <x:c r="Z412" s="5" t="inlineStr">
        <x:is>
          <x:t xml:space="preserve">#cobblemon:is_lush</x:t>
        </x:is>
      </x:c>
      <x:c r="AA412" s="5" t="inlineStr">
        <x:is>
          <x:t xml:space="preserve">ultra-rare</x:t>
        </x:is>
      </x:c>
      <x:c r="AB412" s="5" t="inlineStr">
        <x:is>
          <x:t xml:space="preserve">예</x:t>
        </x:is>
      </x:c>
      <x:c r="AC412" s="8" t="str">
        <x:f>IF(T412&lt;&gt;"","수동확정",IF(X412="검토필요","검토필요",IF(S412="","원본없음","초기완료")))</x:f>
        <x:v>검토필요</x:v>
      </x:c>
      <x:c r="AD412" s="7" t="inlineStr">
        <x:is>
          <x:t xml:space="preserve"/>
        </x:is>
      </x:c>
      <x:c r="AE412" s="5" t="inlineStr">
        <x:is>
          <x:t xml:space="preserve">.tmp/cobblemon-1.7.3-source/common/src/main/resources/data/cobblemon/species/generation4/cranidos.json</x:t>
        </x:is>
      </x:c>
      <x:c r="AF412" s="5" t="str">
        <x:f>"생활권|"&amp;K412</x:f>
        <x:v>생활권|육상</x:v>
      </x:c>
      <x:c r="AG412" s="5" t="str">
        <x:f>"지형|"&amp;L412</x:f>
        <x:v>지형|암석</x:v>
      </x:c>
      <x:c r="AH412" s="5" t="str">
        <x:f>"온도|"&amp;M412</x:f>
        <x:v>온도|온대</x:v>
      </x:c>
      <x:c r="AI412" s="5" t="str">
        <x:f>"습도|"&amp;N412</x:f>
        <x:v>습도|보통</x:v>
      </x:c>
      <x:c r="AJ412" s="5" t="str">
        <x:f>"날씨|"&amp;O412</x:f>
        <x:v>날씨|무관</x:v>
      </x:c>
      <x:c r="AK412" s="5" t="str">
        <x:f>"특수태그|"&amp;R412</x:f>
        <x:v>특수태그|없음</x:v>
      </x:c>
      <x:c r="AL412" s="5" t="str">
        <x:f>"원본서식지|"&amp;S412</x:f>
        <x:v>원본서식지|</x:v>
      </x:c>
      <x:c r="AM412" s="5" t="str">
        <x:f>"타입|"&amp;F412</x:f>
        <x:v>타입|바위</x:v>
      </x:c>
      <x:c r="AN412" s="5" t="str">
        <x:f>"타입|"&amp;G412</x:f>
        <x:v>타입|</x:v>
      </x:c>
    </x:row>
    <x:row r="413" ht="24" customHeight="1">
      <x:c r="A413" s="5" t="n">
        <x:v>409</x:v>
      </x:c>
      <x:c r="B413" s="5" t="inlineStr">
        <x:is>
          <x:t xml:space="preserve">램펄드</x:t>
        </x:is>
      </x:c>
      <x:c r="C413" s="5" t="inlineStr">
        <x:is>
          <x:t xml:space="preserve">rampardos</x:t>
        </x:is>
      </x:c>
      <x:c r="D413" s="5" t="inlineStr">
        <x:is>
          <x:t xml:space="preserve">Rampardos</x:t>
        </x:is>
      </x:c>
      <x:c r="E413" s="5" t="n">
        <x:v>4</x:v>
      </x:c>
      <x:c r="F413" s="5" t="inlineStr">
        <x:is>
          <x:t xml:space="preserve">바위</x:t>
        </x:is>
      </x:c>
      <x:c r="G413" s="5" t="inlineStr">
        <x:is>
          <x:t xml:space="preserve"/>
        </x:is>
      </x:c>
      <x:c r="H413" s="6" t="n">
        <x:v>102.5</x:v>
      </x:c>
      <x:c r="I413" s="5" t="n">
        <x:v>30</x:v>
      </x:c>
      <x:c r="J413" s="5" t="inlineStr">
        <x:is>
          <x:t xml:space="preserve">최종</x:t>
        </x:is>
      </x:c>
      <x:c r="K413" s="7" t="inlineStr">
        <x:is>
          <x:t xml:space="preserve">육상</x:t>
        </x:is>
      </x:c>
      <x:c r="L413" s="7" t="inlineStr">
        <x:is>
          <x:t xml:space="preserve">암석</x:t>
        </x:is>
      </x:c>
      <x:c r="M413" s="7" t="inlineStr">
        <x:is>
          <x:t xml:space="preserve">온대</x:t>
        </x:is>
      </x:c>
      <x:c r="N413" s="7" t="inlineStr">
        <x:is>
          <x:t xml:space="preserve">보통</x:t>
        </x:is>
      </x:c>
      <x:c r="O413" s="7" t="inlineStr">
        <x:is>
          <x:t xml:space="preserve">무관</x:t>
        </x:is>
      </x:c>
      <x:c r="P413" s="7" t="inlineStr">
        <x:is>
          <x:t xml:space="preserve">무관</x:t>
        </x:is>
      </x:c>
      <x:c r="Q413" s="7" t="inlineStr">
        <x:is>
          <x:t xml:space="preserve">희귀</x:t>
        </x:is>
      </x:c>
      <x:c r="R413" s="7" t="inlineStr">
        <x:is>
          <x:t xml:space="preserve">없음</x:t>
        </x:is>
      </x:c>
      <x:c r="S413" s="7" t="inlineStr">
        <x:is>
          <x:t xml:space="preserve"/>
        </x:is>
      </x:c>
      <x:c r="T413" s="7" t="inlineStr">
        <x:is>
          <x:t xml:space="preserve"/>
        </x:is>
      </x:c>
      <x:c r="U413" s="8" t="str">
        <x:f>INDEX('서식지_점수'!$E$4:$P$4,1,MATCH(MAX('서식지_점수'!E413:P413),'서식지_점수'!E413:P413,0))</x:f>
        <x:v>평원</x:v>
      </x:c>
      <x:c r="V413" s="8" t="str">
        <x:f>IF(T413&lt;&gt;"",T413,U413)</x:f>
        <x:v>평원</x:v>
      </x:c>
      <x:c r="W413" s="8" t="str">
        <x:f>IFERROR(INDEX('서식지_점수'!$E$4:$P$4,1,MATCH(MAXIFS('서식지_점수'!E413:P413,'서식지_점수'!E413:P413,"&lt;"&amp;MAX('서식지_점수'!E413:P413)),'서식지_점수'!E413:P413,0)),"")</x:f>
        <x:v>숲</x:v>
      </x:c>
      <x:c r="X413" s="8" t="str">
        <x:f>IF(T413&lt;&gt;"","수동확정",IF(MAX('서식지_점수'!E413:P413)-LARGE('서식지_점수'!E413:P413,2)&gt;=15,"높음",IF(MAX('서식지_점수'!E413:P413)-LARGE('서식지_점수'!E413:P413,2)&gt;=8,"보통","검토필요")))</x:f>
        <x:v>검토필요</x:v>
      </x:c>
      <x:c r="Y413" s="9" t="n">
        <x:f>IF(Q413="전설",8,IF(Q413="희귀",7,IF(J413="기본",1,IF(J413="중간",3,IF(J413="최종",IF(I413="",5,IF(I413&lt;=20,3,IF(I413&lt;=35,4,IF(I413&lt;=50,6,7)))),IF(Q413="드묾",4,2))))))</x:f>
        <x:v>7</x:v>
      </x:c>
      <x:c r="Z413" s="5" t="inlineStr">
        <x:is>
          <x:t xml:space="preserve">#cobblemon:is_lush</x:t>
        </x:is>
      </x:c>
      <x:c r="AA413" s="5" t="inlineStr">
        <x:is>
          <x:t xml:space="preserve">ultra-rare</x:t>
        </x:is>
      </x:c>
      <x:c r="AB413" s="5" t="inlineStr">
        <x:is>
          <x:t xml:space="preserve">예</x:t>
        </x:is>
      </x:c>
      <x:c r="AC413" s="8" t="str">
        <x:f>IF(T413&lt;&gt;"","수동확정",IF(X413="검토필요","검토필요",IF(S413="","원본없음","초기완료")))</x:f>
        <x:v>검토필요</x:v>
      </x:c>
      <x:c r="AD413" s="7" t="inlineStr">
        <x:is>
          <x:t xml:space="preserve"/>
        </x:is>
      </x:c>
      <x:c r="AE413" s="5" t="inlineStr">
        <x:is>
          <x:t xml:space="preserve">.tmp/cobblemon-1.7.3-source/common/src/main/resources/data/cobblemon/species/generation4/rampardos.json</x:t>
        </x:is>
      </x:c>
      <x:c r="AF413" s="5" t="str">
        <x:f>"생활권|"&amp;K413</x:f>
        <x:v>생활권|육상</x:v>
      </x:c>
      <x:c r="AG413" s="5" t="str">
        <x:f>"지형|"&amp;L413</x:f>
        <x:v>지형|암석</x:v>
      </x:c>
      <x:c r="AH413" s="5" t="str">
        <x:f>"온도|"&amp;M413</x:f>
        <x:v>온도|온대</x:v>
      </x:c>
      <x:c r="AI413" s="5" t="str">
        <x:f>"습도|"&amp;N413</x:f>
        <x:v>습도|보통</x:v>
      </x:c>
      <x:c r="AJ413" s="5" t="str">
        <x:f>"날씨|"&amp;O413</x:f>
        <x:v>날씨|무관</x:v>
      </x:c>
      <x:c r="AK413" s="5" t="str">
        <x:f>"특수태그|"&amp;R413</x:f>
        <x:v>특수태그|없음</x:v>
      </x:c>
      <x:c r="AL413" s="5" t="str">
        <x:f>"원본서식지|"&amp;S413</x:f>
        <x:v>원본서식지|</x:v>
      </x:c>
      <x:c r="AM413" s="5" t="str">
        <x:f>"타입|"&amp;F413</x:f>
        <x:v>타입|바위</x:v>
      </x:c>
      <x:c r="AN413" s="5" t="str">
        <x:f>"타입|"&amp;G413</x:f>
        <x:v>타입|</x:v>
      </x:c>
    </x:row>
    <x:row r="414" ht="24" customHeight="1">
      <x:c r="A414" s="5" t="n">
        <x:v>410</x:v>
      </x:c>
      <x:c r="B414" s="5" t="inlineStr">
        <x:is>
          <x:t xml:space="preserve">방패톱스</x:t>
        </x:is>
      </x:c>
      <x:c r="C414" s="5" t="inlineStr">
        <x:is>
          <x:t xml:space="preserve">shieldon</x:t>
        </x:is>
      </x:c>
      <x:c r="D414" s="5" t="inlineStr">
        <x:is>
          <x:t xml:space="preserve">Shieldon</x:t>
        </x:is>
      </x:c>
      <x:c r="E414" s="5" t="n">
        <x:v>4</x:v>
      </x:c>
      <x:c r="F414" s="5" t="inlineStr">
        <x:is>
          <x:t xml:space="preserve">바위</x:t>
        </x:is>
      </x:c>
      <x:c r="G414" s="5" t="inlineStr">
        <x:is>
          <x:t xml:space="preserve">강철</x:t>
        </x:is>
      </x:c>
      <x:c r="H414" s="6" t="n">
        <x:v>57</x:v>
      </x:c>
      <x:c r="I414" s="5" t="n">
        <x:v>30</x:v>
      </x:c>
      <x:c r="J414" s="5" t="inlineStr">
        <x:is>
          <x:t xml:space="preserve">기본</x:t>
        </x:is>
      </x:c>
      <x:c r="K414" s="7" t="inlineStr">
        <x:is>
          <x:t xml:space="preserve">육상</x:t>
        </x:is>
      </x:c>
      <x:c r="L414" s="7" t="inlineStr">
        <x:is>
          <x:t xml:space="preserve">암석</x:t>
        </x:is>
      </x:c>
      <x:c r="M414" s="7" t="inlineStr">
        <x:is>
          <x:t xml:space="preserve">온대</x:t>
        </x:is>
      </x:c>
      <x:c r="N414" s="7" t="inlineStr">
        <x:is>
          <x:t xml:space="preserve">보통</x:t>
        </x:is>
      </x:c>
      <x:c r="O414" s="7" t="inlineStr">
        <x:is>
          <x:t xml:space="preserve">무관</x:t>
        </x:is>
      </x:c>
      <x:c r="P414" s="7" t="inlineStr">
        <x:is>
          <x:t xml:space="preserve">무관</x:t>
        </x:is>
      </x:c>
      <x:c r="Q414" s="7" t="inlineStr">
        <x:is>
          <x:t xml:space="preserve">희귀</x:t>
        </x:is>
      </x:c>
      <x:c r="R414" s="7" t="inlineStr">
        <x:is>
          <x:t xml:space="preserve">없음</x:t>
        </x:is>
      </x:c>
      <x:c r="S414" s="7" t="inlineStr">
        <x:is>
          <x:t xml:space="preserve"/>
        </x:is>
      </x:c>
      <x:c r="T414" s="7" t="inlineStr">
        <x:is>
          <x:t xml:space="preserve"/>
        </x:is>
      </x:c>
      <x:c r="U414" s="8" t="str">
        <x:f>INDEX('서식지_점수'!$E$4:$P$4,1,MATCH(MAX('서식지_점수'!E414:P414),'서식지_점수'!E414:P414,0))</x:f>
        <x:v>평원</x:v>
      </x:c>
      <x:c r="V414" s="8" t="str">
        <x:f>IF(T414&lt;&gt;"",T414,U414)</x:f>
        <x:v>평원</x:v>
      </x:c>
      <x:c r="W414" s="8" t="str">
        <x:f>IFERROR(INDEX('서식지_점수'!$E$4:$P$4,1,MATCH(MAXIFS('서식지_점수'!E414:P414,'서식지_점수'!E414:P414,"&lt;"&amp;MAX('서식지_점수'!E414:P414)),'서식지_점수'!E414:P414,0)),"")</x:f>
        <x:v>숲</x:v>
      </x:c>
      <x:c r="X414" s="8" t="str">
        <x:f>IF(T414&lt;&gt;"","수동확정",IF(MAX('서식지_점수'!E414:P414)-LARGE('서식지_점수'!E414:P414,2)&gt;=15,"높음",IF(MAX('서식지_점수'!E414:P414)-LARGE('서식지_점수'!E414:P414,2)&gt;=8,"보통","검토필요")))</x:f>
        <x:v>검토필요</x:v>
      </x:c>
      <x:c r="Y414" s="9" t="n">
        <x:f>IF(Q414="전설",8,IF(Q414="희귀",7,IF(J414="기본",1,IF(J414="중간",3,IF(J414="최종",IF(I414="",5,IF(I414&lt;=20,3,IF(I414&lt;=35,4,IF(I414&lt;=50,6,7)))),IF(Q414="드묾",4,2))))))</x:f>
        <x:v>7</x:v>
      </x:c>
      <x:c r="Z414" s="5" t="inlineStr">
        <x:is>
          <x:t xml:space="preserve">#cobblemon:is_lush</x:t>
        </x:is>
      </x:c>
      <x:c r="AA414" s="5" t="inlineStr">
        <x:is>
          <x:t xml:space="preserve">ultra-rare</x:t>
        </x:is>
      </x:c>
      <x:c r="AB414" s="5" t="inlineStr">
        <x:is>
          <x:t xml:space="preserve">예</x:t>
        </x:is>
      </x:c>
      <x:c r="AC414" s="8" t="str">
        <x:f>IF(T414&lt;&gt;"","수동확정",IF(X414="검토필요","검토필요",IF(S414="","원본없음","초기완료")))</x:f>
        <x:v>검토필요</x:v>
      </x:c>
      <x:c r="AD414" s="7" t="inlineStr">
        <x:is>
          <x:t xml:space="preserve"/>
        </x:is>
      </x:c>
      <x:c r="AE414" s="5" t="inlineStr">
        <x:is>
          <x:t xml:space="preserve">.tmp/cobblemon-1.7.3-source/common/src/main/resources/data/cobblemon/species/generation4/shieldon.json</x:t>
        </x:is>
      </x:c>
      <x:c r="AF414" s="5" t="str">
        <x:f>"생활권|"&amp;K414</x:f>
        <x:v>생활권|육상</x:v>
      </x:c>
      <x:c r="AG414" s="5" t="str">
        <x:f>"지형|"&amp;L414</x:f>
        <x:v>지형|암석</x:v>
      </x:c>
      <x:c r="AH414" s="5" t="str">
        <x:f>"온도|"&amp;M414</x:f>
        <x:v>온도|온대</x:v>
      </x:c>
      <x:c r="AI414" s="5" t="str">
        <x:f>"습도|"&amp;N414</x:f>
        <x:v>습도|보통</x:v>
      </x:c>
      <x:c r="AJ414" s="5" t="str">
        <x:f>"날씨|"&amp;O414</x:f>
        <x:v>날씨|무관</x:v>
      </x:c>
      <x:c r="AK414" s="5" t="str">
        <x:f>"특수태그|"&amp;R414</x:f>
        <x:v>특수태그|없음</x:v>
      </x:c>
      <x:c r="AL414" s="5" t="str">
        <x:f>"원본서식지|"&amp;S414</x:f>
        <x:v>원본서식지|</x:v>
      </x:c>
      <x:c r="AM414" s="5" t="str">
        <x:f>"타입|"&amp;F414</x:f>
        <x:v>타입|바위</x:v>
      </x:c>
      <x:c r="AN414" s="5" t="str">
        <x:f>"타입|"&amp;G414</x:f>
        <x:v>타입|강철</x:v>
      </x:c>
    </x:row>
    <x:row r="415" ht="24" customHeight="1">
      <x:c r="A415" s="5" t="n">
        <x:v>411</x:v>
      </x:c>
      <x:c r="B415" s="5" t="inlineStr">
        <x:is>
          <x:t xml:space="preserve">바리톱스</x:t>
        </x:is>
      </x:c>
      <x:c r="C415" s="5" t="inlineStr">
        <x:is>
          <x:t xml:space="preserve">bastiodon</x:t>
        </x:is>
      </x:c>
      <x:c r="D415" s="5" t="inlineStr">
        <x:is>
          <x:t xml:space="preserve">Bastiodon</x:t>
        </x:is>
      </x:c>
      <x:c r="E415" s="5" t="n">
        <x:v>4</x:v>
      </x:c>
      <x:c r="F415" s="5" t="inlineStr">
        <x:is>
          <x:t xml:space="preserve">바위</x:t>
        </x:is>
      </x:c>
      <x:c r="G415" s="5" t="inlineStr">
        <x:is>
          <x:t xml:space="preserve">강철</x:t>
        </x:is>
      </x:c>
      <x:c r="H415" s="6" t="n">
        <x:v>149.5</x:v>
      </x:c>
      <x:c r="I415" s="5" t="n">
        <x:v>30</x:v>
      </x:c>
      <x:c r="J415" s="5" t="inlineStr">
        <x:is>
          <x:t xml:space="preserve">최종</x:t>
        </x:is>
      </x:c>
      <x:c r="K415" s="7" t="inlineStr">
        <x:is>
          <x:t xml:space="preserve">육상</x:t>
        </x:is>
      </x:c>
      <x:c r="L415" s="7" t="inlineStr">
        <x:is>
          <x:t xml:space="preserve">암석</x:t>
        </x:is>
      </x:c>
      <x:c r="M415" s="7" t="inlineStr">
        <x:is>
          <x:t xml:space="preserve">온대</x:t>
        </x:is>
      </x:c>
      <x:c r="N415" s="7" t="inlineStr">
        <x:is>
          <x:t xml:space="preserve">보통</x:t>
        </x:is>
      </x:c>
      <x:c r="O415" s="7" t="inlineStr">
        <x:is>
          <x:t xml:space="preserve">무관</x:t>
        </x:is>
      </x:c>
      <x:c r="P415" s="7" t="inlineStr">
        <x:is>
          <x:t xml:space="preserve">무관</x:t>
        </x:is>
      </x:c>
      <x:c r="Q415" s="7" t="inlineStr">
        <x:is>
          <x:t xml:space="preserve">희귀</x:t>
        </x:is>
      </x:c>
      <x:c r="R415" s="7" t="inlineStr">
        <x:is>
          <x:t xml:space="preserve">없음</x:t>
        </x:is>
      </x:c>
      <x:c r="S415" s="7" t="inlineStr">
        <x:is>
          <x:t xml:space="preserve"/>
        </x:is>
      </x:c>
      <x:c r="T415" s="7" t="inlineStr">
        <x:is>
          <x:t xml:space="preserve"/>
        </x:is>
      </x:c>
      <x:c r="U415" s="8" t="str">
        <x:f>INDEX('서식지_점수'!$E$4:$P$4,1,MATCH(MAX('서식지_점수'!E415:P415),'서식지_점수'!E415:P415,0))</x:f>
        <x:v>평원</x:v>
      </x:c>
      <x:c r="V415" s="8" t="str">
        <x:f>IF(T415&lt;&gt;"",T415,U415)</x:f>
        <x:v>평원</x:v>
      </x:c>
      <x:c r="W415" s="8" t="str">
        <x:f>IFERROR(INDEX('서식지_점수'!$E$4:$P$4,1,MATCH(MAXIFS('서식지_점수'!E415:P415,'서식지_점수'!E415:P415,"&lt;"&amp;MAX('서식지_점수'!E415:P415)),'서식지_점수'!E415:P415,0)),"")</x:f>
        <x:v>숲</x:v>
      </x:c>
      <x:c r="X415" s="8" t="str">
        <x:f>IF(T415&lt;&gt;"","수동확정",IF(MAX('서식지_점수'!E415:P415)-LARGE('서식지_점수'!E415:P415,2)&gt;=15,"높음",IF(MAX('서식지_점수'!E415:P415)-LARGE('서식지_점수'!E415:P415,2)&gt;=8,"보통","검토필요")))</x:f>
        <x:v>검토필요</x:v>
      </x:c>
      <x:c r="Y415" s="9" t="n">
        <x:f>IF(Q415="전설",8,IF(Q415="희귀",7,IF(J415="기본",1,IF(J415="중간",3,IF(J415="최종",IF(I415="",5,IF(I415&lt;=20,3,IF(I415&lt;=35,4,IF(I415&lt;=50,6,7)))),IF(Q415="드묾",4,2))))))</x:f>
        <x:v>7</x:v>
      </x:c>
      <x:c r="Z415" s="5" t="inlineStr">
        <x:is>
          <x:t xml:space="preserve">#cobblemon:is_lush</x:t>
        </x:is>
      </x:c>
      <x:c r="AA415" s="5" t="inlineStr">
        <x:is>
          <x:t xml:space="preserve">ultra-rare</x:t>
        </x:is>
      </x:c>
      <x:c r="AB415" s="5" t="inlineStr">
        <x:is>
          <x:t xml:space="preserve">예</x:t>
        </x:is>
      </x:c>
      <x:c r="AC415" s="8" t="str">
        <x:f>IF(T415&lt;&gt;"","수동확정",IF(X415="검토필요","검토필요",IF(S415="","원본없음","초기완료")))</x:f>
        <x:v>검토필요</x:v>
      </x:c>
      <x:c r="AD415" s="7" t="inlineStr">
        <x:is>
          <x:t xml:space="preserve"/>
        </x:is>
      </x:c>
      <x:c r="AE415" s="5" t="inlineStr">
        <x:is>
          <x:t xml:space="preserve">.tmp/cobblemon-1.7.3-source/common/src/main/resources/data/cobblemon/species/generation4/bastiodon.json</x:t>
        </x:is>
      </x:c>
      <x:c r="AF415" s="5" t="str">
        <x:f>"생활권|"&amp;K415</x:f>
        <x:v>생활권|육상</x:v>
      </x:c>
      <x:c r="AG415" s="5" t="str">
        <x:f>"지형|"&amp;L415</x:f>
        <x:v>지형|암석</x:v>
      </x:c>
      <x:c r="AH415" s="5" t="str">
        <x:f>"온도|"&amp;M415</x:f>
        <x:v>온도|온대</x:v>
      </x:c>
      <x:c r="AI415" s="5" t="str">
        <x:f>"습도|"&amp;N415</x:f>
        <x:v>습도|보통</x:v>
      </x:c>
      <x:c r="AJ415" s="5" t="str">
        <x:f>"날씨|"&amp;O415</x:f>
        <x:v>날씨|무관</x:v>
      </x:c>
      <x:c r="AK415" s="5" t="str">
        <x:f>"특수태그|"&amp;R415</x:f>
        <x:v>특수태그|없음</x:v>
      </x:c>
      <x:c r="AL415" s="5" t="str">
        <x:f>"원본서식지|"&amp;S415</x:f>
        <x:v>원본서식지|</x:v>
      </x:c>
      <x:c r="AM415" s="5" t="str">
        <x:f>"타입|"&amp;F415</x:f>
        <x:v>타입|바위</x:v>
      </x:c>
      <x:c r="AN415" s="5" t="str">
        <x:f>"타입|"&amp;G415</x:f>
        <x:v>타입|강철</x:v>
      </x:c>
    </x:row>
    <x:row r="416" ht="24" customHeight="1">
      <x:c r="A416" s="5" t="n">
        <x:v>412</x:v>
      </x:c>
      <x:c r="B416" s="5" t="inlineStr">
        <x:is>
          <x:t xml:space="preserve">도롱충이</x:t>
        </x:is>
      </x:c>
      <x:c r="C416" s="5" t="inlineStr">
        <x:is>
          <x:t xml:space="preserve">burmy</x:t>
        </x:is>
      </x:c>
      <x:c r="D416" s="5" t="inlineStr">
        <x:is>
          <x:t xml:space="preserve">Burmy</x:t>
        </x:is>
      </x:c>
      <x:c r="E416" s="5" t="n">
        <x:v>4</x:v>
      </x:c>
      <x:c r="F416" s="5" t="inlineStr">
        <x:is>
          <x:t xml:space="preserve">벌레</x:t>
        </x:is>
      </x:c>
      <x:c r="G416" s="5" t="inlineStr">
        <x:is>
          <x:t xml:space="preserve"/>
        </x:is>
      </x:c>
      <x:c r="H416" s="6" t="n">
        <x:v>3.4</x:v>
      </x:c>
      <x:c r="I416" s="5" t="n">
        <x:v>20</x:v>
      </x:c>
      <x:c r="J416" s="5" t="inlineStr">
        <x:is>
          <x:t xml:space="preserve">기본</x:t>
        </x:is>
      </x:c>
      <x:c r="K416" s="7" t="inlineStr">
        <x:is>
          <x:t xml:space="preserve">육상</x:t>
        </x:is>
      </x:c>
      <x:c r="L416" s="7" t="inlineStr">
        <x:is>
          <x:t xml:space="preserve">건조</x:t>
        </x:is>
      </x:c>
      <x:c r="M416" s="7" t="inlineStr">
        <x:is>
          <x:t xml:space="preserve">고온</x:t>
        </x:is>
      </x:c>
      <x:c r="N416" s="7" t="inlineStr">
        <x:is>
          <x:t xml:space="preserve">건조</x:t>
        </x:is>
      </x:c>
      <x:c r="O416" s="7" t="inlineStr">
        <x:is>
          <x:t xml:space="preserve">맑음</x:t>
        </x:is>
      </x:c>
      <x:c r="P416" s="7" t="inlineStr">
        <x:is>
          <x:t xml:space="preserve">무관</x:t>
        </x:is>
      </x:c>
      <x:c r="Q416" s="7" t="inlineStr">
        <x:is>
          <x:t xml:space="preserve">보통</x:t>
        </x:is>
      </x:c>
      <x:c r="R416" s="7" t="inlineStr">
        <x:is>
          <x:t xml:space="preserve">없음</x:t>
        </x:is>
      </x:c>
      <x:c r="S416" s="7" t="inlineStr">
        <x:is>
          <x:t xml:space="preserve">건조지</x:t>
        </x:is>
      </x:c>
      <x:c r="T416" s="7" t="inlineStr">
        <x:is>
          <x:t xml:space="preserve"/>
        </x:is>
      </x:c>
      <x:c r="U416" s="8" t="str">
        <x:f>INDEX('서식지_점수'!$E$4:$P$4,1,MATCH(MAX('서식지_점수'!E416:P416),'서식지_점수'!E416:P416,0))</x:f>
        <x:v>평원</x:v>
      </x:c>
      <x:c r="V416" s="8" t="str">
        <x:f>IF(T416&lt;&gt;"",T416,U416)</x:f>
        <x:v>평원</x:v>
      </x:c>
      <x:c r="W416" s="8" t="str">
        <x:f>IFERROR(INDEX('서식지_점수'!$E$4:$P$4,1,MATCH(MAXIFS('서식지_점수'!E416:P416,'서식지_점수'!E416:P416,"&lt;"&amp;MAX('서식지_점수'!E416:P416)),'서식지_점수'!E416:P416,0)),"")</x:f>
        <x:v>숲</x:v>
      </x:c>
      <x:c r="X416" s="8" t="str">
        <x:f>IF(T416&lt;&gt;"","수동확정",IF(MAX('서식지_점수'!E416:P416)-LARGE('서식지_점수'!E416:P416,2)&gt;=15,"높음",IF(MAX('서식지_점수'!E416:P416)-LARGE('서식지_점수'!E416:P416,2)&gt;=8,"보통","검토필요")))</x:f>
        <x:v>검토필요</x:v>
      </x:c>
      <x:c r="Y416" s="9" t="n">
        <x:f>IF(Q416="전설",8,IF(Q416="희귀",7,IF(J416="기본",1,IF(J416="중간",3,IF(J416="최종",IF(I416="",5,IF(I416&lt;=20,3,IF(I416&lt;=35,4,IF(I416&lt;=50,6,7)))),IF(Q416="드묾",4,2))))))</x:f>
        <x:v>1</x:v>
      </x:c>
      <x:c r="Z416" s="5" t="inlineStr">
        <x:is>
          <x:t xml:space="preserve">#cobblemon:is_desert; #cobblemon:is_floral; #cobblemon:is_forest; #cobblemon:is_plains; #cobblemon:is_sandy</x:t>
        </x:is>
      </x:c>
      <x:c r="AA416" s="5" t="inlineStr">
        <x:is>
          <x:t xml:space="preserve">common; uncommon</x:t>
        </x:is>
      </x:c>
      <x:c r="AB416" s="5" t="inlineStr">
        <x:is>
          <x:t xml:space="preserve">아니오</x:t>
        </x:is>
      </x:c>
      <x:c r="AC416" s="8" t="str">
        <x:f>IF(T416&lt;&gt;"","수동확정",IF(X416="검토필요","검토필요",IF(S416="","원본없음","초기완료")))</x:f>
        <x:v>검토필요</x:v>
      </x:c>
      <x:c r="AD416" s="7" t="inlineStr">
        <x:is>
          <x:t xml:space="preserve"/>
        </x:is>
      </x:c>
      <x:c r="AE416" s="5" t="inlineStr">
        <x:is>
          <x:t xml:space="preserve">.tmp/cobblemon-1.7.3-source/common/src/main/resources/data/cobblemon/species/generation4/burmy.json</x:t>
        </x:is>
      </x:c>
      <x:c r="AF416" s="5" t="str">
        <x:f>"생활권|"&amp;K416</x:f>
        <x:v>생활권|육상</x:v>
      </x:c>
      <x:c r="AG416" s="5" t="str">
        <x:f>"지형|"&amp;L416</x:f>
        <x:v>지형|건조</x:v>
      </x:c>
      <x:c r="AH416" s="5" t="str">
        <x:f>"온도|"&amp;M416</x:f>
        <x:v>온도|고온</x:v>
      </x:c>
      <x:c r="AI416" s="5" t="str">
        <x:f>"습도|"&amp;N416</x:f>
        <x:v>습도|건조</x:v>
      </x:c>
      <x:c r="AJ416" s="5" t="str">
        <x:f>"날씨|"&amp;O416</x:f>
        <x:v>날씨|맑음</x:v>
      </x:c>
      <x:c r="AK416" s="5" t="str">
        <x:f>"특수태그|"&amp;R416</x:f>
        <x:v>특수태그|없음</x:v>
      </x:c>
      <x:c r="AL416" s="5" t="str">
        <x:f>"원본서식지|"&amp;S416</x:f>
        <x:v>원본서식지|건조지</x:v>
      </x:c>
      <x:c r="AM416" s="5" t="str">
        <x:f>"타입|"&amp;F416</x:f>
        <x:v>타입|벌레</x:v>
      </x:c>
      <x:c r="AN416" s="5" t="str">
        <x:f>"타입|"&amp;G416</x:f>
        <x:v>타입|</x:v>
      </x:c>
    </x:row>
    <x:row r="417" ht="24" customHeight="1">
      <x:c r="A417" s="5" t="n">
        <x:v>413</x:v>
      </x:c>
      <x:c r="B417" s="5" t="inlineStr">
        <x:is>
          <x:t xml:space="preserve">도롱마담</x:t>
        </x:is>
      </x:c>
      <x:c r="C417" s="5" t="inlineStr">
        <x:is>
          <x:t xml:space="preserve">wormadam</x:t>
        </x:is>
      </x:c>
      <x:c r="D417" s="5" t="inlineStr">
        <x:is>
          <x:t xml:space="preserve">Wormadam</x:t>
        </x:is>
      </x:c>
      <x:c r="E417" s="5" t="n">
        <x:v>4</x:v>
      </x:c>
      <x:c r="F417" s="5" t="inlineStr">
        <x:is>
          <x:t xml:space="preserve">벌레</x:t>
        </x:is>
      </x:c>
      <x:c r="G417" s="5" t="inlineStr">
        <x:is>
          <x:t xml:space="preserve">풀</x:t>
        </x:is>
      </x:c>
      <x:c r="H417" s="6" t="n">
        <x:v>6.5</x:v>
      </x:c>
      <x:c r="I417" s="5" t="n">
        <x:v>20</x:v>
      </x:c>
      <x:c r="J417" s="5" t="inlineStr">
        <x:is>
          <x:t xml:space="preserve">최종</x:t>
        </x:is>
      </x:c>
      <x:c r="K417" s="7" t="inlineStr">
        <x:is>
          <x:t xml:space="preserve">육상</x:t>
        </x:is>
      </x:c>
      <x:c r="L417" s="7" t="inlineStr">
        <x:is>
          <x:t xml:space="preserve">건조</x:t>
        </x:is>
      </x:c>
      <x:c r="M417" s="7" t="inlineStr">
        <x:is>
          <x:t xml:space="preserve">고온</x:t>
        </x:is>
      </x:c>
      <x:c r="N417" s="7" t="inlineStr">
        <x:is>
          <x:t xml:space="preserve">건조</x:t>
        </x:is>
      </x:c>
      <x:c r="O417" s="7" t="inlineStr">
        <x:is>
          <x:t xml:space="preserve">맑음</x:t>
        </x:is>
      </x:c>
      <x:c r="P417" s="7" t="inlineStr">
        <x:is>
          <x:t xml:space="preserve">무관</x:t>
        </x:is>
      </x:c>
      <x:c r="Q417" s="7" t="inlineStr">
        <x:is>
          <x:t xml:space="preserve">보통</x:t>
        </x:is>
      </x:c>
      <x:c r="R417" s="7" t="inlineStr">
        <x:is>
          <x:t xml:space="preserve">없음</x:t>
        </x:is>
      </x:c>
      <x:c r="S417" s="7" t="inlineStr">
        <x:is>
          <x:t xml:space="preserve">건조지</x:t>
        </x:is>
      </x:c>
      <x:c r="T417" s="7" t="inlineStr">
        <x:is>
          <x:t xml:space="preserve"/>
        </x:is>
      </x:c>
      <x:c r="U417" s="8" t="str">
        <x:f>INDEX('서식지_점수'!$E$4:$P$4,1,MATCH(MAX('서식지_점수'!E417:P417),'서식지_점수'!E417:P417,0))</x:f>
        <x:v>평원</x:v>
      </x:c>
      <x:c r="V417" s="8" t="str">
        <x:f>IF(T417&lt;&gt;"",T417,U417)</x:f>
        <x:v>평원</x:v>
      </x:c>
      <x:c r="W417" s="8" t="str">
        <x:f>IFERROR(INDEX('서식지_점수'!$E$4:$P$4,1,MATCH(MAXIFS('서식지_점수'!E417:P417,'서식지_점수'!E417:P417,"&lt;"&amp;MAX('서식지_점수'!E417:P417)),'서식지_점수'!E417:P417,0)),"")</x:f>
        <x:v>숲</x:v>
      </x:c>
      <x:c r="X417" s="8" t="str">
        <x:f>IF(T417&lt;&gt;"","수동확정",IF(MAX('서식지_점수'!E417:P417)-LARGE('서식지_점수'!E417:P417,2)&gt;=15,"높음",IF(MAX('서식지_점수'!E417:P417)-LARGE('서식지_점수'!E417:P417,2)&gt;=8,"보통","검토필요")))</x:f>
        <x:v>검토필요</x:v>
      </x:c>
      <x:c r="Y417" s="9" t="n">
        <x:f>IF(Q417="전설",8,IF(Q417="희귀",7,IF(J417="기본",1,IF(J417="중간",3,IF(J417="최종",IF(I417="",5,IF(I417&lt;=20,3,IF(I417&lt;=35,4,IF(I417&lt;=50,6,7)))),IF(Q417="드묾",4,2))))))</x:f>
        <x:v>3</x:v>
      </x:c>
      <x:c r="Z417" s="5" t="inlineStr">
        <x:is>
          <x:t xml:space="preserve">#cobblemon:is_desert; #cobblemon:is_floral; #cobblemon:is_forest; #cobblemon:is_sandy</x:t>
        </x:is>
      </x:c>
      <x:c r="AA417" s="5" t="inlineStr">
        <x:is>
          <x:t xml:space="preserve">uncommon</x:t>
        </x:is>
      </x:c>
      <x:c r="AB417" s="5" t="inlineStr">
        <x:is>
          <x:t xml:space="preserve">아니오</x:t>
        </x:is>
      </x:c>
      <x:c r="AC417" s="8" t="str">
        <x:f>IF(T417&lt;&gt;"","수동확정",IF(X417="검토필요","검토필요",IF(S417="","원본없음","초기완료")))</x:f>
        <x:v>검토필요</x:v>
      </x:c>
      <x:c r="AD417" s="7" t="inlineStr">
        <x:is>
          <x:t xml:space="preserve"/>
        </x:is>
      </x:c>
      <x:c r="AE417" s="5" t="inlineStr">
        <x:is>
          <x:t xml:space="preserve">.tmp/cobblemon-1.7.3-source/common/src/main/resources/data/cobblemon/species/generation4/wormadam.json</x:t>
        </x:is>
      </x:c>
      <x:c r="AF417" s="5" t="str">
        <x:f>"생활권|"&amp;K417</x:f>
        <x:v>생활권|육상</x:v>
      </x:c>
      <x:c r="AG417" s="5" t="str">
        <x:f>"지형|"&amp;L417</x:f>
        <x:v>지형|건조</x:v>
      </x:c>
      <x:c r="AH417" s="5" t="str">
        <x:f>"온도|"&amp;M417</x:f>
        <x:v>온도|고온</x:v>
      </x:c>
      <x:c r="AI417" s="5" t="str">
        <x:f>"습도|"&amp;N417</x:f>
        <x:v>습도|건조</x:v>
      </x:c>
      <x:c r="AJ417" s="5" t="str">
        <x:f>"날씨|"&amp;O417</x:f>
        <x:v>날씨|맑음</x:v>
      </x:c>
      <x:c r="AK417" s="5" t="str">
        <x:f>"특수태그|"&amp;R417</x:f>
        <x:v>특수태그|없음</x:v>
      </x:c>
      <x:c r="AL417" s="5" t="str">
        <x:f>"원본서식지|"&amp;S417</x:f>
        <x:v>원본서식지|건조지</x:v>
      </x:c>
      <x:c r="AM417" s="5" t="str">
        <x:f>"타입|"&amp;F417</x:f>
        <x:v>타입|벌레</x:v>
      </x:c>
      <x:c r="AN417" s="5" t="str">
        <x:f>"타입|"&amp;G417</x:f>
        <x:v>타입|풀</x:v>
      </x:c>
    </x:row>
    <x:row r="418" ht="24" customHeight="1">
      <x:c r="A418" s="5" t="n">
        <x:v>414</x:v>
      </x:c>
      <x:c r="B418" s="5" t="inlineStr">
        <x:is>
          <x:t xml:space="preserve">나메일</x:t>
        </x:is>
      </x:c>
      <x:c r="C418" s="5" t="inlineStr">
        <x:is>
          <x:t xml:space="preserve">mothim</x:t>
        </x:is>
      </x:c>
      <x:c r="D418" s="5" t="inlineStr">
        <x:is>
          <x:t xml:space="preserve">Mothim</x:t>
        </x:is>
      </x:c>
      <x:c r="E418" s="5" t="n">
        <x:v>4</x:v>
      </x:c>
      <x:c r="F418" s="5" t="inlineStr">
        <x:is>
          <x:t xml:space="preserve">벌레</x:t>
        </x:is>
      </x:c>
      <x:c r="G418" s="5" t="inlineStr">
        <x:is>
          <x:t xml:space="preserve">비행</x:t>
        </x:is>
      </x:c>
      <x:c r="H418" s="6" t="n">
        <x:v>23.3</x:v>
      </x:c>
      <x:c r="I418" s="5" t="n">
        <x:v>20</x:v>
      </x:c>
      <x:c r="J418" s="5" t="inlineStr">
        <x:is>
          <x:t xml:space="preserve">최종</x:t>
        </x:is>
      </x:c>
      <x:c r="K418" s="7" t="inlineStr">
        <x:is>
          <x:t xml:space="preserve">비행</x:t>
        </x:is>
      </x:c>
      <x:c r="L418" s="7" t="inlineStr">
        <x:is>
          <x:t xml:space="preserve">수목</x:t>
        </x:is>
      </x:c>
      <x:c r="M418" s="7" t="inlineStr">
        <x:is>
          <x:t xml:space="preserve">온대</x:t>
        </x:is>
      </x:c>
      <x:c r="N418" s="7" t="inlineStr">
        <x:is>
          <x:t xml:space="preserve">보통</x:t>
        </x:is>
      </x:c>
      <x:c r="O418" s="7" t="inlineStr">
        <x:is>
          <x:t xml:space="preserve">무관</x:t>
        </x:is>
      </x:c>
      <x:c r="P418" s="7" t="inlineStr">
        <x:is>
          <x:t xml:space="preserve">무관</x:t>
        </x:is>
      </x:c>
      <x:c r="Q418" s="7" t="inlineStr">
        <x:is>
          <x:t xml:space="preserve">드묾</x:t>
        </x:is>
      </x:c>
      <x:c r="R418" s="7" t="inlineStr">
        <x:is>
          <x:t xml:space="preserve">없음</x:t>
        </x:is>
      </x:c>
      <x:c r="S418" s="7" t="inlineStr">
        <x:is>
          <x:t xml:space="preserve">숲</x:t>
        </x:is>
      </x:c>
      <x:c r="T418" s="7" t="inlineStr">
        <x:is>
          <x:t xml:space="preserve"/>
        </x:is>
      </x:c>
      <x:c r="U418" s="8" t="str">
        <x:f>INDEX('서식지_점수'!$E$4:$P$4,1,MATCH(MAX('서식지_점수'!E418:P418),'서식지_점수'!E418:P418,0))</x:f>
        <x:v>산악</x:v>
      </x:c>
      <x:c r="V418" s="8" t="str">
        <x:f>IF(T418&lt;&gt;"",T418,U418)</x:f>
        <x:v>산악</x:v>
      </x:c>
      <x:c r="W418" s="8" t="str">
        <x:f>IFERROR(INDEX('서식지_점수'!$E$4:$P$4,1,MATCH(MAXIFS('서식지_점수'!E418:P418,'서식지_점수'!E418:P418,"&lt;"&amp;MAX('서식지_점수'!E418:P418)),'서식지_점수'!E418:P418,0)),"")</x:f>
        <x:v>평원</x:v>
      </x:c>
      <x:c r="X418" s="8" t="str">
        <x:f>IF(T418&lt;&gt;"","수동확정",IF(MAX('서식지_점수'!E418:P418)-LARGE('서식지_점수'!E418:P418,2)&gt;=15,"높음",IF(MAX('서식지_점수'!E418:P418)-LARGE('서식지_점수'!E418:P418,2)&gt;=8,"보통","검토필요")))</x:f>
        <x:v>검토필요</x:v>
      </x:c>
      <x:c r="Y418" s="9" t="n">
        <x:f>IF(Q418="전설",8,IF(Q418="희귀",7,IF(J418="기본",1,IF(J418="중간",3,IF(J418="최종",IF(I418="",5,IF(I418&lt;=20,3,IF(I418&lt;=35,4,IF(I418&lt;=50,6,7)))),IF(Q418="드묾",4,2))))))</x:f>
        <x:v>3</x:v>
      </x:c>
      <x:c r="Z418" s="5" t="inlineStr">
        <x:is>
          <x:t xml:space="preserve">#cobblemon:is_forest</x:t>
        </x:is>
      </x:c>
      <x:c r="AA418" s="5" t="inlineStr">
        <x:is>
          <x:t xml:space="preserve">rare</x:t>
        </x:is>
      </x:c>
      <x:c r="AB418" s="5" t="inlineStr">
        <x:is>
          <x:t xml:space="preserve">아니오</x:t>
        </x:is>
      </x:c>
      <x:c r="AC418" s="8" t="str">
        <x:f>IF(T418&lt;&gt;"","수동확정",IF(X418="검토필요","검토필요",IF(S418="","원본없음","초기완료")))</x:f>
        <x:v>검토필요</x:v>
      </x:c>
      <x:c r="AD418" s="7" t="inlineStr">
        <x:is>
          <x:t xml:space="preserve"/>
        </x:is>
      </x:c>
      <x:c r="AE418" s="5" t="inlineStr">
        <x:is>
          <x:t xml:space="preserve">.tmp/cobblemon-1.7.3-source/common/src/main/resources/data/cobblemon/species/generation4/mothim.json</x:t>
        </x:is>
      </x:c>
      <x:c r="AF418" s="5" t="str">
        <x:f>"생활권|"&amp;K418</x:f>
        <x:v>생활권|비행</x:v>
      </x:c>
      <x:c r="AG418" s="5" t="str">
        <x:f>"지형|"&amp;L418</x:f>
        <x:v>지형|수목</x:v>
      </x:c>
      <x:c r="AH418" s="5" t="str">
        <x:f>"온도|"&amp;M418</x:f>
        <x:v>온도|온대</x:v>
      </x:c>
      <x:c r="AI418" s="5" t="str">
        <x:f>"습도|"&amp;N418</x:f>
        <x:v>습도|보통</x:v>
      </x:c>
      <x:c r="AJ418" s="5" t="str">
        <x:f>"날씨|"&amp;O418</x:f>
        <x:v>날씨|무관</x:v>
      </x:c>
      <x:c r="AK418" s="5" t="str">
        <x:f>"특수태그|"&amp;R418</x:f>
        <x:v>특수태그|없음</x:v>
      </x:c>
      <x:c r="AL418" s="5" t="str">
        <x:f>"원본서식지|"&amp;S418</x:f>
        <x:v>원본서식지|숲</x:v>
      </x:c>
      <x:c r="AM418" s="5" t="str">
        <x:f>"타입|"&amp;F418</x:f>
        <x:v>타입|벌레</x:v>
      </x:c>
      <x:c r="AN418" s="5" t="str">
        <x:f>"타입|"&amp;G418</x:f>
        <x:v>타입|비행</x:v>
      </x:c>
    </x:row>
    <x:row r="419" ht="24" customHeight="1">
      <x:c r="A419" s="5" t="n">
        <x:v>415</x:v>
      </x:c>
      <x:c r="B419" s="5" t="inlineStr">
        <x:is>
          <x:t xml:space="preserve">세꿀버리</x:t>
        </x:is>
      </x:c>
      <x:c r="C419" s="5" t="inlineStr">
        <x:is>
          <x:t xml:space="preserve">combee</x:t>
        </x:is>
      </x:c>
      <x:c r="D419" s="5" t="inlineStr">
        <x:is>
          <x:t xml:space="preserve">Combee</x:t>
        </x:is>
      </x:c>
      <x:c r="E419" s="5" t="n">
        <x:v>4</x:v>
      </x:c>
      <x:c r="F419" s="5" t="inlineStr">
        <x:is>
          <x:t xml:space="preserve">벌레</x:t>
        </x:is>
      </x:c>
      <x:c r="G419" s="5" t="inlineStr">
        <x:is>
          <x:t xml:space="preserve">비행</x:t>
        </x:is>
      </x:c>
      <x:c r="H419" s="6" t="n">
        <x:v>5.5</x:v>
      </x:c>
      <x:c r="I419" s="5" t="n">
        <x:v>21</x:v>
      </x:c>
      <x:c r="J419" s="5" t="inlineStr">
        <x:is>
          <x:t xml:space="preserve">기본</x:t>
        </x:is>
      </x:c>
      <x:c r="K419" s="7" t="inlineStr">
        <x:is>
          <x:t xml:space="preserve">비행</x:t>
        </x:is>
      </x:c>
      <x:c r="L419" s="7" t="inlineStr">
        <x:is>
          <x:t xml:space="preserve">수목</x:t>
        </x:is>
      </x:c>
      <x:c r="M419" s="7" t="inlineStr">
        <x:is>
          <x:t xml:space="preserve">온대</x:t>
        </x:is>
      </x:c>
      <x:c r="N419" s="7" t="inlineStr">
        <x:is>
          <x:t xml:space="preserve">보통</x:t>
        </x:is>
      </x:c>
      <x:c r="O419" s="7" t="inlineStr">
        <x:is>
          <x:t xml:space="preserve">무관</x:t>
        </x:is>
      </x:c>
      <x:c r="P419" s="7" t="inlineStr">
        <x:is>
          <x:t xml:space="preserve">낮</x:t>
        </x:is>
      </x:c>
      <x:c r="Q419" s="7" t="inlineStr">
        <x:is>
          <x:t xml:space="preserve">흔함</x:t>
        </x:is>
      </x:c>
      <x:c r="R419" s="7" t="inlineStr">
        <x:is>
          <x:t xml:space="preserve">없음</x:t>
        </x:is>
      </x:c>
      <x:c r="S419" s="7" t="inlineStr">
        <x:is>
          <x:t xml:space="preserve"/>
        </x:is>
      </x:c>
      <x:c r="T419" s="7" t="inlineStr">
        <x:is>
          <x:t xml:space="preserve"/>
        </x:is>
      </x:c>
      <x:c r="U419" s="8" t="str">
        <x:f>INDEX('서식지_점수'!$E$4:$P$4,1,MATCH(MAX('서식지_점수'!E419:P419),'서식지_점수'!E419:P419,0))</x:f>
        <x:v>산악</x:v>
      </x:c>
      <x:c r="V419" s="8" t="str">
        <x:f>IF(T419&lt;&gt;"",T419,U419)</x:f>
        <x:v>산악</x:v>
      </x:c>
      <x:c r="W419" s="8" t="str">
        <x:f>IFERROR(INDEX('서식지_점수'!$E$4:$P$4,1,MATCH(MAXIFS('서식지_점수'!E419:P419,'서식지_점수'!E419:P419,"&lt;"&amp;MAX('서식지_점수'!E419:P419)),'서식지_점수'!E419:P419,0)),"")</x:f>
        <x:v>평원</x:v>
      </x:c>
      <x:c r="X419" s="8" t="str">
        <x:f>IF(T419&lt;&gt;"","수동확정",IF(MAX('서식지_점수'!E419:P419)-LARGE('서식지_점수'!E419:P419,2)&gt;=15,"높음",IF(MAX('서식지_점수'!E419:P419)-LARGE('서식지_점수'!E419:P419,2)&gt;=8,"보통","검토필요")))</x:f>
        <x:v>검토필요</x:v>
      </x:c>
      <x:c r="Y419" s="9" t="n">
        <x:f>IF(Q419="전설",8,IF(Q419="희귀",7,IF(J419="기본",1,IF(J419="중간",3,IF(J419="최종",IF(I419="",5,IF(I419&lt;=20,3,IF(I419&lt;=35,4,IF(I419&lt;=50,6,7)))),IF(Q419="드묾",4,2))))))</x:f>
        <x:v>1</x:v>
      </x:c>
      <x:c r="Z419" s="5" t="inlineStr">
        <x:is>
          <x:t xml:space="preserve">#aether:is_aether; #cobblemon:is_overworld; #cobblemon:is_temperate; #the_bumblezone:the_bumblezone</x:t>
        </x:is>
      </x:c>
      <x:c r="AA419" s="5" t="inlineStr">
        <x:is>
          <x:t xml:space="preserve">common</x:t>
        </x:is>
      </x:c>
      <x:c r="AB419" s="5" t="inlineStr">
        <x:is>
          <x:t xml:space="preserve">예</x:t>
        </x:is>
      </x:c>
      <x:c r="AC419" s="8" t="str">
        <x:f>IF(T419&lt;&gt;"","수동확정",IF(X419="검토필요","검토필요",IF(S419="","원본없음","초기완료")))</x:f>
        <x:v>검토필요</x:v>
      </x:c>
      <x:c r="AD419" s="7" t="inlineStr">
        <x:is>
          <x:t xml:space="preserve"/>
        </x:is>
      </x:c>
      <x:c r="AE419" s="5" t="inlineStr">
        <x:is>
          <x:t xml:space="preserve">.tmp/cobblemon-1.7.3-source/common/src/main/resources/data/cobblemon/species/generation4/combee.json</x:t>
        </x:is>
      </x:c>
      <x:c r="AF419" s="5" t="str">
        <x:f>"생활권|"&amp;K419</x:f>
        <x:v>생활권|비행</x:v>
      </x:c>
      <x:c r="AG419" s="5" t="str">
        <x:f>"지형|"&amp;L419</x:f>
        <x:v>지형|수목</x:v>
      </x:c>
      <x:c r="AH419" s="5" t="str">
        <x:f>"온도|"&amp;M419</x:f>
        <x:v>온도|온대</x:v>
      </x:c>
      <x:c r="AI419" s="5" t="str">
        <x:f>"습도|"&amp;N419</x:f>
        <x:v>습도|보통</x:v>
      </x:c>
      <x:c r="AJ419" s="5" t="str">
        <x:f>"날씨|"&amp;O419</x:f>
        <x:v>날씨|무관</x:v>
      </x:c>
      <x:c r="AK419" s="5" t="str">
        <x:f>"특수태그|"&amp;R419</x:f>
        <x:v>특수태그|없음</x:v>
      </x:c>
      <x:c r="AL419" s="5" t="str">
        <x:f>"원본서식지|"&amp;S419</x:f>
        <x:v>원본서식지|</x:v>
      </x:c>
      <x:c r="AM419" s="5" t="str">
        <x:f>"타입|"&amp;F419</x:f>
        <x:v>타입|벌레</x:v>
      </x:c>
      <x:c r="AN419" s="5" t="str">
        <x:f>"타입|"&amp;G419</x:f>
        <x:v>타입|비행</x:v>
      </x:c>
    </x:row>
    <x:row r="420" ht="24" customHeight="1">
      <x:c r="A420" s="5" t="n">
        <x:v>416</x:v>
      </x:c>
      <x:c r="B420" s="5" t="inlineStr">
        <x:is>
          <x:t xml:space="preserve">비퀸</x:t>
        </x:is>
      </x:c>
      <x:c r="C420" s="5" t="inlineStr">
        <x:is>
          <x:t xml:space="preserve">vespiquen</x:t>
        </x:is>
      </x:c>
      <x:c r="D420" s="5" t="inlineStr">
        <x:is>
          <x:t xml:space="preserve">Vespiquen</x:t>
        </x:is>
      </x:c>
      <x:c r="E420" s="5" t="n">
        <x:v>4</x:v>
      </x:c>
      <x:c r="F420" s="5" t="inlineStr">
        <x:is>
          <x:t xml:space="preserve">벌레</x:t>
        </x:is>
      </x:c>
      <x:c r="G420" s="5" t="inlineStr">
        <x:is>
          <x:t xml:space="preserve">비행</x:t>
        </x:is>
      </x:c>
      <x:c r="H420" s="6" t="n">
        <x:v>38.5</x:v>
      </x:c>
      <x:c r="I420" s="5" t="n">
        <x:v>21</x:v>
      </x:c>
      <x:c r="J420" s="5" t="inlineStr">
        <x:is>
          <x:t xml:space="preserve">최종</x:t>
        </x:is>
      </x:c>
      <x:c r="K420" s="7" t="inlineStr">
        <x:is>
          <x:t xml:space="preserve">비행</x:t>
        </x:is>
      </x:c>
      <x:c r="L420" s="7" t="inlineStr">
        <x:is>
          <x:t xml:space="preserve">수목</x:t>
        </x:is>
      </x:c>
      <x:c r="M420" s="7" t="inlineStr">
        <x:is>
          <x:t xml:space="preserve">온대</x:t>
        </x:is>
      </x:c>
      <x:c r="N420" s="7" t="inlineStr">
        <x:is>
          <x:t xml:space="preserve">보통</x:t>
        </x:is>
      </x:c>
      <x:c r="O420" s="7" t="inlineStr">
        <x:is>
          <x:t xml:space="preserve">무관</x:t>
        </x:is>
      </x:c>
      <x:c r="P420" s="7" t="inlineStr">
        <x:is>
          <x:t xml:space="preserve">낮</x:t>
        </x:is>
      </x:c>
      <x:c r="Q420" s="7" t="inlineStr">
        <x:is>
          <x:t xml:space="preserve">흔함</x:t>
        </x:is>
      </x:c>
      <x:c r="R420" s="7" t="inlineStr">
        <x:is>
          <x:t xml:space="preserve">없음</x:t>
        </x:is>
      </x:c>
      <x:c r="S420" s="7" t="inlineStr">
        <x:is>
          <x:t xml:space="preserve"/>
        </x:is>
      </x:c>
      <x:c r="T420" s="7" t="inlineStr">
        <x:is>
          <x:t xml:space="preserve"/>
        </x:is>
      </x:c>
      <x:c r="U420" s="8" t="str">
        <x:f>INDEX('서식지_점수'!$E$4:$P$4,1,MATCH(MAX('서식지_점수'!E420:P420),'서식지_점수'!E420:P420,0))</x:f>
        <x:v>산악</x:v>
      </x:c>
      <x:c r="V420" s="8" t="str">
        <x:f>IF(T420&lt;&gt;"",T420,U420)</x:f>
        <x:v>산악</x:v>
      </x:c>
      <x:c r="W420" s="8" t="str">
        <x:f>IFERROR(INDEX('서식지_점수'!$E$4:$P$4,1,MATCH(MAXIFS('서식지_점수'!E420:P420,'서식지_점수'!E420:P420,"&lt;"&amp;MAX('서식지_점수'!E420:P420)),'서식지_점수'!E420:P420,0)),"")</x:f>
        <x:v>평원</x:v>
      </x:c>
      <x:c r="X420" s="8" t="str">
        <x:f>IF(T420&lt;&gt;"","수동확정",IF(MAX('서식지_점수'!E420:P420)-LARGE('서식지_점수'!E420:P420,2)&gt;=15,"높음",IF(MAX('서식지_점수'!E420:P420)-LARGE('서식지_점수'!E420:P420,2)&gt;=8,"보통","검토필요")))</x:f>
        <x:v>검토필요</x:v>
      </x:c>
      <x:c r="Y420" s="9" t="n">
        <x:f>IF(Q420="전설",8,IF(Q420="희귀",7,IF(J420="기본",1,IF(J420="중간",3,IF(J420="최종",IF(I420="",5,IF(I420&lt;=20,3,IF(I420&lt;=35,4,IF(I420&lt;=50,6,7)))),IF(Q420="드묾",4,2))))))</x:f>
        <x:v>4</x:v>
      </x:c>
      <x:c r="Z420" s="5" t="inlineStr">
        <x:is>
          <x:t xml:space="preserve">#aether:is_aether; #cobblemon:is_overworld; #cobblemon:is_temperate; #the_bumblezone:the_bumblezone</x:t>
        </x:is>
      </x:c>
      <x:c r="AA420" s="5" t="inlineStr">
        <x:is>
          <x:t xml:space="preserve">common</x:t>
        </x:is>
      </x:c>
      <x:c r="AB420" s="5" t="inlineStr">
        <x:is>
          <x:t xml:space="preserve">예</x:t>
        </x:is>
      </x:c>
      <x:c r="AC420" s="8" t="str">
        <x:f>IF(T420&lt;&gt;"","수동확정",IF(X420="검토필요","검토필요",IF(S420="","원본없음","초기완료")))</x:f>
        <x:v>검토필요</x:v>
      </x:c>
      <x:c r="AD420" s="7" t="inlineStr">
        <x:is>
          <x:t xml:space="preserve"/>
        </x:is>
      </x:c>
      <x:c r="AE420" s="5" t="inlineStr">
        <x:is>
          <x:t xml:space="preserve">.tmp/cobblemon-1.7.3-source/common/src/main/resources/data/cobblemon/species/generation4/vespiquen.json</x:t>
        </x:is>
      </x:c>
      <x:c r="AF420" s="5" t="str">
        <x:f>"생활권|"&amp;K420</x:f>
        <x:v>생활권|비행</x:v>
      </x:c>
      <x:c r="AG420" s="5" t="str">
        <x:f>"지형|"&amp;L420</x:f>
        <x:v>지형|수목</x:v>
      </x:c>
      <x:c r="AH420" s="5" t="str">
        <x:f>"온도|"&amp;M420</x:f>
        <x:v>온도|온대</x:v>
      </x:c>
      <x:c r="AI420" s="5" t="str">
        <x:f>"습도|"&amp;N420</x:f>
        <x:v>습도|보통</x:v>
      </x:c>
      <x:c r="AJ420" s="5" t="str">
        <x:f>"날씨|"&amp;O420</x:f>
        <x:v>날씨|무관</x:v>
      </x:c>
      <x:c r="AK420" s="5" t="str">
        <x:f>"특수태그|"&amp;R420</x:f>
        <x:v>특수태그|없음</x:v>
      </x:c>
      <x:c r="AL420" s="5" t="str">
        <x:f>"원본서식지|"&amp;S420</x:f>
        <x:v>원본서식지|</x:v>
      </x:c>
      <x:c r="AM420" s="5" t="str">
        <x:f>"타입|"&amp;F420</x:f>
        <x:v>타입|벌레</x:v>
      </x:c>
      <x:c r="AN420" s="5" t="str">
        <x:f>"타입|"&amp;G420</x:f>
        <x:v>타입|비행</x:v>
      </x:c>
    </x:row>
    <x:row r="421" ht="24" customHeight="1">
      <x:c r="A421" s="5" t="n">
        <x:v>417</x:v>
      </x:c>
      <x:c r="B421" s="5" t="inlineStr">
        <x:is>
          <x:t xml:space="preserve">파치리스</x:t>
        </x:is>
      </x:c>
      <x:c r="C421" s="5" t="inlineStr">
        <x:is>
          <x:t xml:space="preserve">pachirisu</x:t>
        </x:is>
      </x:c>
      <x:c r="D421" s="5" t="inlineStr">
        <x:is>
          <x:t xml:space="preserve">Pachirisu</x:t>
        </x:is>
      </x:c>
      <x:c r="E421" s="5" t="n">
        <x:v>4</x:v>
      </x:c>
      <x:c r="F421" s="5" t="inlineStr">
        <x:is>
          <x:t xml:space="preserve">전기</x:t>
        </x:is>
      </x:c>
      <x:c r="G421" s="5" t="inlineStr">
        <x:is>
          <x:t xml:space="preserve"/>
        </x:is>
      </x:c>
      <x:c r="H421" s="6" t="n">
        <x:v>3.9</x:v>
      </x:c>
      <x:c r="I421" s="5" t="n"/>
      <x:c r="J421" s="5" t="inlineStr">
        <x:is>
          <x:t xml:space="preserve">무진화</x:t>
        </x:is>
      </x:c>
      <x:c r="K421" s="7" t="inlineStr">
        <x:is>
          <x:t xml:space="preserve">육상</x:t>
        </x:is>
      </x:c>
      <x:c r="L421" s="7" t="inlineStr">
        <x:is>
          <x:t xml:space="preserve">수목</x:t>
        </x:is>
      </x:c>
      <x:c r="M421" s="7" t="inlineStr">
        <x:is>
          <x:t xml:space="preserve">온대</x:t>
        </x:is>
      </x:c>
      <x:c r="N421" s="7" t="inlineStr">
        <x:is>
          <x:t xml:space="preserve">보통</x:t>
        </x:is>
      </x:c>
      <x:c r="O421" s="7" t="inlineStr">
        <x:is>
          <x:t xml:space="preserve">무관</x:t>
        </x:is>
      </x:c>
      <x:c r="P421" s="7" t="inlineStr">
        <x:is>
          <x:t xml:space="preserve">무관</x:t>
        </x:is>
      </x:c>
      <x:c r="Q421" s="7" t="inlineStr">
        <x:is>
          <x:t xml:space="preserve">보통</x:t>
        </x:is>
      </x:c>
      <x:c r="R421" s="7" t="inlineStr">
        <x:is>
          <x:t xml:space="preserve">없음</x:t>
        </x:is>
      </x:c>
      <x:c r="S421" s="7" t="inlineStr">
        <x:is>
          <x:t xml:space="preserve">숲</x:t>
        </x:is>
      </x:c>
      <x:c r="T421" s="7" t="inlineStr">
        <x:is>
          <x:t xml:space="preserve"/>
        </x:is>
      </x:c>
      <x:c r="U421" s="8" t="str">
        <x:f>INDEX('서식지_점수'!$E$4:$P$4,1,MATCH(MAX('서식지_점수'!E421:P421),'서식지_점수'!E421:P421,0))</x:f>
        <x:v>평원</x:v>
      </x:c>
      <x:c r="V421" s="8" t="str">
        <x:f>IF(T421&lt;&gt;"",T421,U421)</x:f>
        <x:v>평원</x:v>
      </x:c>
      <x:c r="W421" s="8" t="str">
        <x:f>IFERROR(INDEX('서식지_점수'!$E$4:$P$4,1,MATCH(MAXIFS('서식지_점수'!E421:P421,'서식지_점수'!E421:P421,"&lt;"&amp;MAX('서식지_점수'!E421:P421)),'서식지_점수'!E421:P421,0)),"")</x:f>
        <x:v>숲</x:v>
      </x:c>
      <x:c r="X421" s="8" t="str">
        <x:f>IF(T421&lt;&gt;"","수동확정",IF(MAX('서식지_점수'!E421:P421)-LARGE('서식지_점수'!E421:P421,2)&gt;=15,"높음",IF(MAX('서식지_점수'!E421:P421)-LARGE('서식지_점수'!E421:P421,2)&gt;=8,"보통","검토필요")))</x:f>
        <x:v>검토필요</x:v>
      </x:c>
      <x:c r="Y421" s="9" t="n">
        <x:f>IF(Q421="전설",8,IF(Q421="희귀",7,IF(J421="기본",1,IF(J421="중간",3,IF(J421="최종",IF(I421="",5,IF(I421&lt;=20,3,IF(I421&lt;=35,4,IF(I421&lt;=50,6,7)))),IF(Q421="드묾",4,2))))))</x:f>
        <x:v>2</x:v>
      </x:c>
      <x:c r="Z421" s="5" t="inlineStr">
        <x:is>
          <x:t xml:space="preserve">#cobblemon:is_forest; aether:skyroot_forest; aether:skyroot_woodland</x:t>
        </x:is>
      </x:c>
      <x:c r="AA421" s="5" t="inlineStr">
        <x:is>
          <x:t xml:space="preserve">uncommon</x:t>
        </x:is>
      </x:c>
      <x:c r="AB421" s="5" t="inlineStr">
        <x:is>
          <x:t xml:space="preserve">예</x:t>
        </x:is>
      </x:c>
      <x:c r="AC421" s="8" t="str">
        <x:f>IF(T421&lt;&gt;"","수동확정",IF(X421="검토필요","검토필요",IF(S421="","원본없음","초기완료")))</x:f>
        <x:v>검토필요</x:v>
      </x:c>
      <x:c r="AD421" s="7" t="inlineStr">
        <x:is>
          <x:t xml:space="preserve"/>
        </x:is>
      </x:c>
      <x:c r="AE421" s="5" t="inlineStr">
        <x:is>
          <x:t xml:space="preserve">.tmp/cobblemon-1.7.3-source/common/src/main/resources/data/cobblemon/species/generation4/pachirisu.json</x:t>
        </x:is>
      </x:c>
      <x:c r="AF421" s="5" t="str">
        <x:f>"생활권|"&amp;K421</x:f>
        <x:v>생활권|육상</x:v>
      </x:c>
      <x:c r="AG421" s="5" t="str">
        <x:f>"지형|"&amp;L421</x:f>
        <x:v>지형|수목</x:v>
      </x:c>
      <x:c r="AH421" s="5" t="str">
        <x:f>"온도|"&amp;M421</x:f>
        <x:v>온도|온대</x:v>
      </x:c>
      <x:c r="AI421" s="5" t="str">
        <x:f>"습도|"&amp;N421</x:f>
        <x:v>습도|보통</x:v>
      </x:c>
      <x:c r="AJ421" s="5" t="str">
        <x:f>"날씨|"&amp;O421</x:f>
        <x:v>날씨|무관</x:v>
      </x:c>
      <x:c r="AK421" s="5" t="str">
        <x:f>"특수태그|"&amp;R421</x:f>
        <x:v>특수태그|없음</x:v>
      </x:c>
      <x:c r="AL421" s="5" t="str">
        <x:f>"원본서식지|"&amp;S421</x:f>
        <x:v>원본서식지|숲</x:v>
      </x:c>
      <x:c r="AM421" s="5" t="str">
        <x:f>"타입|"&amp;F421</x:f>
        <x:v>타입|전기</x:v>
      </x:c>
      <x:c r="AN421" s="5" t="str">
        <x:f>"타입|"&amp;G421</x:f>
        <x:v>타입|</x:v>
      </x:c>
    </x:row>
    <x:row r="422" ht="24" customHeight="1">
      <x:c r="A422" s="5" t="n">
        <x:v>418</x:v>
      </x:c>
      <x:c r="B422" s="5" t="inlineStr">
        <x:is>
          <x:t xml:space="preserve">브이젤</x:t>
        </x:is>
      </x:c>
      <x:c r="C422" s="5" t="inlineStr">
        <x:is>
          <x:t xml:space="preserve">buizel</x:t>
        </x:is>
      </x:c>
      <x:c r="D422" s="5" t="inlineStr">
        <x:is>
          <x:t xml:space="preserve">Buizel</x:t>
        </x:is>
      </x:c>
      <x:c r="E422" s="5" t="n">
        <x:v>4</x:v>
      </x:c>
      <x:c r="F422" s="5" t="inlineStr">
        <x:is>
          <x:t xml:space="preserve">물</x:t>
        </x:is>
      </x:c>
      <x:c r="G422" s="5" t="inlineStr">
        <x:is>
          <x:t xml:space="preserve"/>
        </x:is>
      </x:c>
      <x:c r="H422" s="6" t="n">
        <x:v>29.5</x:v>
      </x:c>
      <x:c r="I422" s="5" t="n">
        <x:v>26</x:v>
      </x:c>
      <x:c r="J422" s="5" t="inlineStr">
        <x:is>
          <x:t xml:space="preserve">기본</x:t>
        </x:is>
      </x:c>
      <x:c r="K422" s="7" t="inlineStr">
        <x:is>
          <x:t xml:space="preserve">담수</x:t>
        </x:is>
      </x:c>
      <x:c r="L422" s="7" t="inlineStr">
        <x:is>
          <x:t xml:space="preserve">담수</x:t>
        </x:is>
      </x:c>
      <x:c r="M422" s="7" t="inlineStr">
        <x:is>
          <x:t xml:space="preserve">서늘</x:t>
        </x:is>
      </x:c>
      <x:c r="N422" s="7" t="inlineStr">
        <x:is>
          <x:t xml:space="preserve">수중</x:t>
        </x:is>
      </x:c>
      <x:c r="O422" s="7" t="inlineStr">
        <x:is>
          <x:t xml:space="preserve">비</x:t>
        </x:is>
      </x:c>
      <x:c r="P422" s="7" t="inlineStr">
        <x:is>
          <x:t xml:space="preserve">무관</x:t>
        </x:is>
      </x:c>
      <x:c r="Q422" s="7" t="inlineStr">
        <x:is>
          <x:t xml:space="preserve">보통</x:t>
        </x:is>
      </x:c>
      <x:c r="R422" s="7" t="inlineStr">
        <x:is>
          <x:t xml:space="preserve">없음</x:t>
        </x:is>
      </x:c>
      <x:c r="S422" s="7" t="inlineStr">
        <x:is>
          <x:t xml:space="preserve">담수</x:t>
        </x:is>
      </x:c>
      <x:c r="T422" s="7" t="inlineStr">
        <x:is>
          <x:t xml:space="preserve"/>
        </x:is>
      </x:c>
      <x:c r="U422" s="8" t="str">
        <x:f>INDEX('서식지_점수'!$E$4:$P$4,1,MATCH(MAX('서식지_점수'!E422:P422),'서식지_점수'!E422:P422,0))</x:f>
        <x:v>담수</x:v>
      </x:c>
      <x:c r="V422" s="8" t="str">
        <x:f>IF(T422&lt;&gt;"",T422,U422)</x:f>
        <x:v>담수</x:v>
      </x:c>
      <x:c r="W422" s="8" t="str">
        <x:f>IFERROR(INDEX('서식지_점수'!$E$4:$P$4,1,MATCH(MAXIFS('서식지_점수'!E422:P422,'서식지_점수'!E422:P422,"&lt;"&amp;MAX('서식지_점수'!E422:P422)),'서식지_점수'!E422:P422,0)),"")</x:f>
        <x:v>습지</x:v>
      </x:c>
      <x:c r="X422" s="8" t="str">
        <x:f>IF(T422&lt;&gt;"","수동확정",IF(MAX('서식지_점수'!E422:P422)-LARGE('서식지_점수'!E422:P422,2)&gt;=15,"높음",IF(MAX('서식지_점수'!E422:P422)-LARGE('서식지_점수'!E422:P422,2)&gt;=8,"보통","검토필요")))</x:f>
        <x:v>높음</x:v>
      </x:c>
      <x:c r="Y422" s="9" t="n">
        <x:f>IF(Q422="전설",8,IF(Q422="희귀",7,IF(J422="기본",1,IF(J422="중간",3,IF(J422="최종",IF(I422="",5,IF(I422&lt;=20,3,IF(I422&lt;=35,4,IF(I422&lt;=50,6,7)))),IF(Q422="드묾",4,2))))))</x:f>
        <x:v>1</x:v>
      </x:c>
      <x:c r="Z422" s="5" t="inlineStr">
        <x:is>
          <x:t xml:space="preserve">#cobblemon:is_forest; #cobblemon:is_freshwater; #cobblemon:is_grassland; #cobblemon:is_hills; #cobblemon:is_jungle; #cobblemon:is_taiga</x:t>
        </x:is>
      </x:c>
      <x:c r="AA422" s="5" t="inlineStr">
        <x:is>
          <x:t xml:space="preserve">common; uncommon</x:t>
        </x:is>
      </x:c>
      <x:c r="AB422" s="5" t="inlineStr">
        <x:is>
          <x:t xml:space="preserve">예</x:t>
        </x:is>
      </x:c>
      <x:c r="AC422" s="8" t="str">
        <x:f>IF(T422&lt;&gt;"","수동확정",IF(X422="검토필요","검토필요",IF(S422="","원본없음","초기완료")))</x:f>
        <x:v>초기완료</x:v>
      </x:c>
      <x:c r="AD422" s="7" t="inlineStr">
        <x:is>
          <x:t xml:space="preserve"/>
        </x:is>
      </x:c>
      <x:c r="AE422" s="5" t="inlineStr">
        <x:is>
          <x:t xml:space="preserve">.tmp/cobblemon-1.7.3-source/common/src/main/resources/data/cobblemon/species/generation4/buizel.json</x:t>
        </x:is>
      </x:c>
      <x:c r="AF422" s="5" t="str">
        <x:f>"생활권|"&amp;K422</x:f>
        <x:v>생활권|담수</x:v>
      </x:c>
      <x:c r="AG422" s="5" t="str">
        <x:f>"지형|"&amp;L422</x:f>
        <x:v>지형|담수</x:v>
      </x:c>
      <x:c r="AH422" s="5" t="str">
        <x:f>"온도|"&amp;M422</x:f>
        <x:v>온도|서늘</x:v>
      </x:c>
      <x:c r="AI422" s="5" t="str">
        <x:f>"습도|"&amp;N422</x:f>
        <x:v>습도|수중</x:v>
      </x:c>
      <x:c r="AJ422" s="5" t="str">
        <x:f>"날씨|"&amp;O422</x:f>
        <x:v>날씨|비</x:v>
      </x:c>
      <x:c r="AK422" s="5" t="str">
        <x:f>"특수태그|"&amp;R422</x:f>
        <x:v>특수태그|없음</x:v>
      </x:c>
      <x:c r="AL422" s="5" t="str">
        <x:f>"원본서식지|"&amp;S422</x:f>
        <x:v>원본서식지|담수</x:v>
      </x:c>
      <x:c r="AM422" s="5" t="str">
        <x:f>"타입|"&amp;F422</x:f>
        <x:v>타입|물</x:v>
      </x:c>
      <x:c r="AN422" s="5" t="str">
        <x:f>"타입|"&amp;G422</x:f>
        <x:v>타입|</x:v>
      </x:c>
    </x:row>
    <x:row r="423" ht="24" customHeight="1">
      <x:c r="A423" s="5" t="n">
        <x:v>419</x:v>
      </x:c>
      <x:c r="B423" s="5" t="inlineStr">
        <x:is>
          <x:t xml:space="preserve">플로젤</x:t>
        </x:is>
      </x:c>
      <x:c r="C423" s="5" t="inlineStr">
        <x:is>
          <x:t xml:space="preserve">floatzel</x:t>
        </x:is>
      </x:c>
      <x:c r="D423" s="5" t="inlineStr">
        <x:is>
          <x:t xml:space="preserve">Floatzel</x:t>
        </x:is>
      </x:c>
      <x:c r="E423" s="5" t="n">
        <x:v>4</x:v>
      </x:c>
      <x:c r="F423" s="5" t="inlineStr">
        <x:is>
          <x:t xml:space="preserve">물</x:t>
        </x:is>
      </x:c>
      <x:c r="G423" s="5" t="inlineStr">
        <x:is>
          <x:t xml:space="preserve"/>
        </x:is>
      </x:c>
      <x:c r="H423" s="6" t="n">
        <x:v>33.5</x:v>
      </x:c>
      <x:c r="I423" s="5" t="n">
        <x:v>26</x:v>
      </x:c>
      <x:c r="J423" s="5" t="inlineStr">
        <x:is>
          <x:t xml:space="preserve">최종</x:t>
        </x:is>
      </x:c>
      <x:c r="K423" s="7" t="inlineStr">
        <x:is>
          <x:t xml:space="preserve">담수</x:t>
        </x:is>
      </x:c>
      <x:c r="L423" s="7" t="inlineStr">
        <x:is>
          <x:t xml:space="preserve">담수</x:t>
        </x:is>
      </x:c>
      <x:c r="M423" s="7" t="inlineStr">
        <x:is>
          <x:t xml:space="preserve">서늘</x:t>
        </x:is>
      </x:c>
      <x:c r="N423" s="7" t="inlineStr">
        <x:is>
          <x:t xml:space="preserve">수중</x:t>
        </x:is>
      </x:c>
      <x:c r="O423" s="7" t="inlineStr">
        <x:is>
          <x:t xml:space="preserve">비</x:t>
        </x:is>
      </x:c>
      <x:c r="P423" s="7" t="inlineStr">
        <x:is>
          <x:t xml:space="preserve">무관</x:t>
        </x:is>
      </x:c>
      <x:c r="Q423" s="7" t="inlineStr">
        <x:is>
          <x:t xml:space="preserve">보통</x:t>
        </x:is>
      </x:c>
      <x:c r="R423" s="7" t="inlineStr">
        <x:is>
          <x:t xml:space="preserve">없음</x:t>
        </x:is>
      </x:c>
      <x:c r="S423" s="7" t="inlineStr">
        <x:is>
          <x:t xml:space="preserve">담수</x:t>
        </x:is>
      </x:c>
      <x:c r="T423" s="7" t="inlineStr">
        <x:is>
          <x:t xml:space="preserve"/>
        </x:is>
      </x:c>
      <x:c r="U423" s="8" t="str">
        <x:f>INDEX('서식지_점수'!$E$4:$P$4,1,MATCH(MAX('서식지_점수'!E423:P423),'서식지_점수'!E423:P423,0))</x:f>
        <x:v>담수</x:v>
      </x:c>
      <x:c r="V423" s="8" t="str">
        <x:f>IF(T423&lt;&gt;"",T423,U423)</x:f>
        <x:v>담수</x:v>
      </x:c>
      <x:c r="W423" s="8" t="str">
        <x:f>IFERROR(INDEX('서식지_점수'!$E$4:$P$4,1,MATCH(MAXIFS('서식지_점수'!E423:P423,'서식지_점수'!E423:P423,"&lt;"&amp;MAX('서식지_점수'!E423:P423)),'서식지_점수'!E423:P423,0)),"")</x:f>
        <x:v>습지</x:v>
      </x:c>
      <x:c r="X423" s="8" t="str">
        <x:f>IF(T423&lt;&gt;"","수동확정",IF(MAX('서식지_점수'!E423:P423)-LARGE('서식지_점수'!E423:P423,2)&gt;=15,"높음",IF(MAX('서식지_점수'!E423:P423)-LARGE('서식지_점수'!E423:P423,2)&gt;=8,"보통","검토필요")))</x:f>
        <x:v>높음</x:v>
      </x:c>
      <x:c r="Y423" s="9" t="n">
        <x:f>IF(Q423="전설",8,IF(Q423="희귀",7,IF(J423="기본",1,IF(J423="중간",3,IF(J423="최종",IF(I423="",5,IF(I423&lt;=20,3,IF(I423&lt;=35,4,IF(I423&lt;=50,6,7)))),IF(Q423="드묾",4,2))))))</x:f>
        <x:v>4</x:v>
      </x:c>
      <x:c r="Z423" s="5" t="inlineStr">
        <x:is>
          <x:t xml:space="preserve">#cobblemon:is_forest; #cobblemon:is_freshwater; #cobblemon:is_grassland; #cobblemon:is_hills; #cobblemon:is_jungle; #cobblemon:is_taiga</x:t>
        </x:is>
      </x:c>
      <x:c r="AA423" s="5" t="inlineStr">
        <x:is>
          <x:t xml:space="preserve">common; uncommon</x:t>
        </x:is>
      </x:c>
      <x:c r="AB423" s="5" t="inlineStr">
        <x:is>
          <x:t xml:space="preserve">예</x:t>
        </x:is>
      </x:c>
      <x:c r="AC423" s="8" t="str">
        <x:f>IF(T423&lt;&gt;"","수동확정",IF(X423="검토필요","검토필요",IF(S423="","원본없음","초기완료")))</x:f>
        <x:v>초기완료</x:v>
      </x:c>
      <x:c r="AD423" s="7" t="inlineStr">
        <x:is>
          <x:t xml:space="preserve"/>
        </x:is>
      </x:c>
      <x:c r="AE423" s="5" t="inlineStr">
        <x:is>
          <x:t xml:space="preserve">.tmp/cobblemon-1.7.3-source/common/src/main/resources/data/cobblemon/species/generation4/floatzel.json</x:t>
        </x:is>
      </x:c>
      <x:c r="AF423" s="5" t="str">
        <x:f>"생활권|"&amp;K423</x:f>
        <x:v>생활권|담수</x:v>
      </x:c>
      <x:c r="AG423" s="5" t="str">
        <x:f>"지형|"&amp;L423</x:f>
        <x:v>지형|담수</x:v>
      </x:c>
      <x:c r="AH423" s="5" t="str">
        <x:f>"온도|"&amp;M423</x:f>
        <x:v>온도|서늘</x:v>
      </x:c>
      <x:c r="AI423" s="5" t="str">
        <x:f>"습도|"&amp;N423</x:f>
        <x:v>습도|수중</x:v>
      </x:c>
      <x:c r="AJ423" s="5" t="str">
        <x:f>"날씨|"&amp;O423</x:f>
        <x:v>날씨|비</x:v>
      </x:c>
      <x:c r="AK423" s="5" t="str">
        <x:f>"특수태그|"&amp;R423</x:f>
        <x:v>특수태그|없음</x:v>
      </x:c>
      <x:c r="AL423" s="5" t="str">
        <x:f>"원본서식지|"&amp;S423</x:f>
        <x:v>원본서식지|담수</x:v>
      </x:c>
      <x:c r="AM423" s="5" t="str">
        <x:f>"타입|"&amp;F423</x:f>
        <x:v>타입|물</x:v>
      </x:c>
      <x:c r="AN423" s="5" t="str">
        <x:f>"타입|"&amp;G423</x:f>
        <x:v>타입|</x:v>
      </x:c>
    </x:row>
    <x:row r="424" ht="24" customHeight="1">
      <x:c r="A424" s="5" t="n">
        <x:v>420</x:v>
      </x:c>
      <x:c r="B424" s="5" t="inlineStr">
        <x:is>
          <x:t xml:space="preserve">체리버</x:t>
        </x:is>
      </x:c>
      <x:c r="C424" s="5" t="inlineStr">
        <x:is>
          <x:t xml:space="preserve">cherubi</x:t>
        </x:is>
      </x:c>
      <x:c r="D424" s="5" t="inlineStr">
        <x:is>
          <x:t xml:space="preserve">Cherubi</x:t>
        </x:is>
      </x:c>
      <x:c r="E424" s="5" t="n">
        <x:v>4</x:v>
      </x:c>
      <x:c r="F424" s="5" t="inlineStr">
        <x:is>
          <x:t xml:space="preserve">풀</x:t>
        </x:is>
      </x:c>
      <x:c r="G424" s="5" t="inlineStr">
        <x:is>
          <x:t xml:space="preserve"/>
        </x:is>
      </x:c>
      <x:c r="H424" s="6" t="n">
        <x:v>3.3</x:v>
      </x:c>
      <x:c r="I424" s="5" t="n">
        <x:v>25</x:v>
      </x:c>
      <x:c r="J424" s="5" t="inlineStr">
        <x:is>
          <x:t xml:space="preserve">기본</x:t>
        </x:is>
      </x:c>
      <x:c r="K424" s="7" t="inlineStr">
        <x:is>
          <x:t xml:space="preserve">육상</x:t>
        </x:is>
      </x:c>
      <x:c r="L424" s="7" t="inlineStr">
        <x:is>
          <x:t xml:space="preserve">수목</x:t>
        </x:is>
      </x:c>
      <x:c r="M424" s="7" t="inlineStr">
        <x:is>
          <x:t xml:space="preserve">서늘</x:t>
        </x:is>
      </x:c>
      <x:c r="N424" s="7" t="inlineStr">
        <x:is>
          <x:t xml:space="preserve">다습</x:t>
        </x:is>
      </x:c>
      <x:c r="O424" s="7" t="inlineStr">
        <x:is>
          <x:t xml:space="preserve">무관</x:t>
        </x:is>
      </x:c>
      <x:c r="P424" s="7" t="inlineStr">
        <x:is>
          <x:t xml:space="preserve">무관</x:t>
        </x:is>
      </x:c>
      <x:c r="Q424" s="7" t="inlineStr">
        <x:is>
          <x:t xml:space="preserve">흔함</x:t>
        </x:is>
      </x:c>
      <x:c r="R424" s="7" t="inlineStr">
        <x:is>
          <x:t xml:space="preserve">없음</x:t>
        </x:is>
      </x:c>
      <x:c r="S424" s="7" t="inlineStr">
        <x:is>
          <x:t xml:space="preserve">숲</x:t>
        </x:is>
      </x:c>
      <x:c r="T424" s="7" t="inlineStr">
        <x:is>
          <x:t xml:space="preserve"/>
        </x:is>
      </x:c>
      <x:c r="U424" s="8" t="str">
        <x:f>INDEX('서식지_점수'!$E$4:$P$4,1,MATCH(MAX('서식지_점수'!E424:P424),'서식지_점수'!E424:P424,0))</x:f>
        <x:v>평원</x:v>
      </x:c>
      <x:c r="V424" s="8" t="str">
        <x:f>IF(T424&lt;&gt;"",T424,U424)</x:f>
        <x:v>평원</x:v>
      </x:c>
      <x:c r="W424" s="8" t="str">
        <x:f>IFERROR(INDEX('서식지_점수'!$E$4:$P$4,1,MATCH(MAXIFS('서식지_점수'!E424:P424,'서식지_점수'!E424:P424,"&lt;"&amp;MAX('서식지_점수'!E424:P424)),'서식지_점수'!E424:P424,0)),"")</x:f>
        <x:v>숲</x:v>
      </x:c>
      <x:c r="X424" s="8" t="str">
        <x:f>IF(T424&lt;&gt;"","수동확정",IF(MAX('서식지_점수'!E424:P424)-LARGE('서식지_점수'!E424:P424,2)&gt;=15,"높음",IF(MAX('서식지_점수'!E424:P424)-LARGE('서식지_점수'!E424:P424,2)&gt;=8,"보통","검토필요")))</x:f>
        <x:v>검토필요</x:v>
      </x:c>
      <x:c r="Y424" s="9" t="n">
        <x:f>IF(Q424="전설",8,IF(Q424="희귀",7,IF(J424="기본",1,IF(J424="중간",3,IF(J424="최종",IF(I424="",5,IF(I424&lt;=20,3,IF(I424&lt;=35,4,IF(I424&lt;=50,6,7)))),IF(Q424="드묾",4,2))))))</x:f>
        <x:v>1</x:v>
      </x:c>
      <x:c r="Z424" s="5" t="inlineStr">
        <x:is>
          <x:t xml:space="preserve">#cobblemon:is_forest; #cobblemon:is_jungle; #cobblemon:is_taiga</x:t>
        </x:is>
      </x:c>
      <x:c r="AA424" s="5" t="inlineStr">
        <x:is>
          <x:t xml:space="preserve">common</x:t>
        </x:is>
      </x:c>
      <x:c r="AB424" s="5" t="inlineStr">
        <x:is>
          <x:t xml:space="preserve">아니오</x:t>
        </x:is>
      </x:c>
      <x:c r="AC424" s="8" t="str">
        <x:f>IF(T424&lt;&gt;"","수동확정",IF(X424="검토필요","검토필요",IF(S424="","원본없음","초기완료")))</x:f>
        <x:v>검토필요</x:v>
      </x:c>
      <x:c r="AD424" s="7" t="inlineStr">
        <x:is>
          <x:t xml:space="preserve"/>
        </x:is>
      </x:c>
      <x:c r="AE424" s="5" t="inlineStr">
        <x:is>
          <x:t xml:space="preserve">.tmp/cobblemon-1.7.3-source/common/src/main/resources/data/cobblemon/species/generation4/cherubi.json</x:t>
        </x:is>
      </x:c>
      <x:c r="AF424" s="5" t="str">
        <x:f>"생활권|"&amp;K424</x:f>
        <x:v>생활권|육상</x:v>
      </x:c>
      <x:c r="AG424" s="5" t="str">
        <x:f>"지형|"&amp;L424</x:f>
        <x:v>지형|수목</x:v>
      </x:c>
      <x:c r="AH424" s="5" t="str">
        <x:f>"온도|"&amp;M424</x:f>
        <x:v>온도|서늘</x:v>
      </x:c>
      <x:c r="AI424" s="5" t="str">
        <x:f>"습도|"&amp;N424</x:f>
        <x:v>습도|다습</x:v>
      </x:c>
      <x:c r="AJ424" s="5" t="str">
        <x:f>"날씨|"&amp;O424</x:f>
        <x:v>날씨|무관</x:v>
      </x:c>
      <x:c r="AK424" s="5" t="str">
        <x:f>"특수태그|"&amp;R424</x:f>
        <x:v>특수태그|없음</x:v>
      </x:c>
      <x:c r="AL424" s="5" t="str">
        <x:f>"원본서식지|"&amp;S424</x:f>
        <x:v>원본서식지|숲</x:v>
      </x:c>
      <x:c r="AM424" s="5" t="str">
        <x:f>"타입|"&amp;F424</x:f>
        <x:v>타입|풀</x:v>
      </x:c>
      <x:c r="AN424" s="5" t="str">
        <x:f>"타입|"&amp;G424</x:f>
        <x:v>타입|</x:v>
      </x:c>
    </x:row>
    <x:row r="425" ht="24" customHeight="1">
      <x:c r="A425" s="5" t="n">
        <x:v>421</x:v>
      </x:c>
      <x:c r="B425" s="5" t="inlineStr">
        <x:is>
          <x:t xml:space="preserve">체리꼬</x:t>
        </x:is>
      </x:c>
      <x:c r="C425" s="5" t="inlineStr">
        <x:is>
          <x:t xml:space="preserve">cherrim</x:t>
        </x:is>
      </x:c>
      <x:c r="D425" s="5" t="inlineStr">
        <x:is>
          <x:t xml:space="preserve">Cherrim</x:t>
        </x:is>
      </x:c>
      <x:c r="E425" s="5" t="n">
        <x:v>4</x:v>
      </x:c>
      <x:c r="F425" s="5" t="inlineStr">
        <x:is>
          <x:t xml:space="preserve">풀</x:t>
        </x:is>
      </x:c>
      <x:c r="G425" s="5" t="inlineStr">
        <x:is>
          <x:t xml:space="preserve"/>
        </x:is>
      </x:c>
      <x:c r="H425" s="6" t="n">
        <x:v>9.300000000000001</x:v>
      </x:c>
      <x:c r="I425" s="5" t="n">
        <x:v>25</x:v>
      </x:c>
      <x:c r="J425" s="5" t="inlineStr">
        <x:is>
          <x:t xml:space="preserve">최종</x:t>
        </x:is>
      </x:c>
      <x:c r="K425" s="7" t="inlineStr">
        <x:is>
          <x:t xml:space="preserve">육상</x:t>
        </x:is>
      </x:c>
      <x:c r="L425" s="7" t="inlineStr">
        <x:is>
          <x:t xml:space="preserve">수목</x:t>
        </x:is>
      </x:c>
      <x:c r="M425" s="7" t="inlineStr">
        <x:is>
          <x:t xml:space="preserve">서늘</x:t>
        </x:is>
      </x:c>
      <x:c r="N425" s="7" t="inlineStr">
        <x:is>
          <x:t xml:space="preserve">다습</x:t>
        </x:is>
      </x:c>
      <x:c r="O425" s="7" t="inlineStr">
        <x:is>
          <x:t xml:space="preserve">무관</x:t>
        </x:is>
      </x:c>
      <x:c r="P425" s="7" t="inlineStr">
        <x:is>
          <x:t xml:space="preserve">무관</x:t>
        </x:is>
      </x:c>
      <x:c r="Q425" s="7" t="inlineStr">
        <x:is>
          <x:t xml:space="preserve">보통</x:t>
        </x:is>
      </x:c>
      <x:c r="R425" s="7" t="inlineStr">
        <x:is>
          <x:t xml:space="preserve">없음</x:t>
        </x:is>
      </x:c>
      <x:c r="S425" s="7" t="inlineStr">
        <x:is>
          <x:t xml:space="preserve">숲</x:t>
        </x:is>
      </x:c>
      <x:c r="T425" s="7" t="inlineStr">
        <x:is>
          <x:t xml:space="preserve"/>
        </x:is>
      </x:c>
      <x:c r="U425" s="8" t="str">
        <x:f>INDEX('서식지_점수'!$E$4:$P$4,1,MATCH(MAX('서식지_점수'!E425:P425),'서식지_점수'!E425:P425,0))</x:f>
        <x:v>평원</x:v>
      </x:c>
      <x:c r="V425" s="8" t="str">
        <x:f>IF(T425&lt;&gt;"",T425,U425)</x:f>
        <x:v>평원</x:v>
      </x:c>
      <x:c r="W425" s="8" t="str">
        <x:f>IFERROR(INDEX('서식지_점수'!$E$4:$P$4,1,MATCH(MAXIFS('서식지_점수'!E425:P425,'서식지_점수'!E425:P425,"&lt;"&amp;MAX('서식지_점수'!E425:P425)),'서식지_점수'!E425:P425,0)),"")</x:f>
        <x:v>숲</x:v>
      </x:c>
      <x:c r="X425" s="8" t="str">
        <x:f>IF(T425&lt;&gt;"","수동확정",IF(MAX('서식지_점수'!E425:P425)-LARGE('서식지_점수'!E425:P425,2)&gt;=15,"높음",IF(MAX('서식지_점수'!E425:P425)-LARGE('서식지_점수'!E425:P425,2)&gt;=8,"보통","검토필요")))</x:f>
        <x:v>검토필요</x:v>
      </x:c>
      <x:c r="Y425" s="9" t="n">
        <x:f>IF(Q425="전설",8,IF(Q425="희귀",7,IF(J425="기본",1,IF(J425="중간",3,IF(J425="최종",IF(I425="",5,IF(I425&lt;=20,3,IF(I425&lt;=35,4,IF(I425&lt;=50,6,7)))),IF(Q425="드묾",4,2))))))</x:f>
        <x:v>4</x:v>
      </x:c>
      <x:c r="Z425" s="5" t="inlineStr">
        <x:is>
          <x:t xml:space="preserve">#cobblemon:is_forest; #cobblemon:is_jungle; #cobblemon:is_taiga</x:t>
        </x:is>
      </x:c>
      <x:c r="AA425" s="5" t="inlineStr">
        <x:is>
          <x:t xml:space="preserve">uncommon</x:t>
        </x:is>
      </x:c>
      <x:c r="AB425" s="5" t="inlineStr">
        <x:is>
          <x:t xml:space="preserve">아니오</x:t>
        </x:is>
      </x:c>
      <x:c r="AC425" s="8" t="str">
        <x:f>IF(T425&lt;&gt;"","수동확정",IF(X425="검토필요","검토필요",IF(S425="","원본없음","초기완료")))</x:f>
        <x:v>검토필요</x:v>
      </x:c>
      <x:c r="AD425" s="7" t="inlineStr">
        <x:is>
          <x:t xml:space="preserve"/>
        </x:is>
      </x:c>
      <x:c r="AE425" s="5" t="inlineStr">
        <x:is>
          <x:t xml:space="preserve">.tmp/cobblemon-1.7.3-source/common/src/main/resources/data/cobblemon/species/generation4/cherrim.json</x:t>
        </x:is>
      </x:c>
      <x:c r="AF425" s="5" t="str">
        <x:f>"생활권|"&amp;K425</x:f>
        <x:v>생활권|육상</x:v>
      </x:c>
      <x:c r="AG425" s="5" t="str">
        <x:f>"지형|"&amp;L425</x:f>
        <x:v>지형|수목</x:v>
      </x:c>
      <x:c r="AH425" s="5" t="str">
        <x:f>"온도|"&amp;M425</x:f>
        <x:v>온도|서늘</x:v>
      </x:c>
      <x:c r="AI425" s="5" t="str">
        <x:f>"습도|"&amp;N425</x:f>
        <x:v>습도|다습</x:v>
      </x:c>
      <x:c r="AJ425" s="5" t="str">
        <x:f>"날씨|"&amp;O425</x:f>
        <x:v>날씨|무관</x:v>
      </x:c>
      <x:c r="AK425" s="5" t="str">
        <x:f>"특수태그|"&amp;R425</x:f>
        <x:v>특수태그|없음</x:v>
      </x:c>
      <x:c r="AL425" s="5" t="str">
        <x:f>"원본서식지|"&amp;S425</x:f>
        <x:v>원본서식지|숲</x:v>
      </x:c>
      <x:c r="AM425" s="5" t="str">
        <x:f>"타입|"&amp;F425</x:f>
        <x:v>타입|풀</x:v>
      </x:c>
      <x:c r="AN425" s="5" t="str">
        <x:f>"타입|"&amp;G425</x:f>
        <x:v>타입|</x:v>
      </x:c>
    </x:row>
    <x:row r="426" ht="24" customHeight="1">
      <x:c r="A426" s="5" t="n">
        <x:v>422</x:v>
      </x:c>
      <x:c r="B426" s="5" t="inlineStr">
        <x:is>
          <x:t xml:space="preserve">깝질무</x:t>
        </x:is>
      </x:c>
      <x:c r="C426" s="5" t="inlineStr">
        <x:is>
          <x:t xml:space="preserve">shellos</x:t>
        </x:is>
      </x:c>
      <x:c r="D426" s="5" t="inlineStr">
        <x:is>
          <x:t xml:space="preserve">Shellos</x:t>
        </x:is>
      </x:c>
      <x:c r="E426" s="5" t="n">
        <x:v>4</x:v>
      </x:c>
      <x:c r="F426" s="5" t="inlineStr">
        <x:is>
          <x:t xml:space="preserve">물</x:t>
        </x:is>
      </x:c>
      <x:c r="G426" s="5" t="inlineStr">
        <x:is>
          <x:t xml:space="preserve"/>
        </x:is>
      </x:c>
      <x:c r="H426" s="6" t="n">
        <x:v>6.3</x:v>
      </x:c>
      <x:c r="I426" s="5" t="n">
        <x:v>30</x:v>
      </x:c>
      <x:c r="J426" s="5" t="inlineStr">
        <x:is>
          <x:t xml:space="preserve">기본</x:t>
        </x:is>
      </x:c>
      <x:c r="K426" s="7" t="inlineStr">
        <x:is>
          <x:t xml:space="preserve">해양</x:t>
        </x:is>
      </x:c>
      <x:c r="L426" s="7" t="inlineStr">
        <x:is>
          <x:t xml:space="preserve">해안·해양</x:t>
        </x:is>
      </x:c>
      <x:c r="M426" s="7" t="inlineStr">
        <x:is>
          <x:t xml:space="preserve">서늘</x:t>
        </x:is>
      </x:c>
      <x:c r="N426" s="7" t="inlineStr">
        <x:is>
          <x:t xml:space="preserve">수중</x:t>
        </x:is>
      </x:c>
      <x:c r="O426" s="7" t="inlineStr">
        <x:is>
          <x:t xml:space="preserve">비</x:t>
        </x:is>
      </x:c>
      <x:c r="P426" s="7" t="inlineStr">
        <x:is>
          <x:t xml:space="preserve">무관</x:t>
        </x:is>
      </x:c>
      <x:c r="Q426" s="7" t="inlineStr">
        <x:is>
          <x:t xml:space="preserve">보통</x:t>
        </x:is>
      </x:c>
      <x:c r="R426" s="7" t="inlineStr">
        <x:is>
          <x:t xml:space="preserve">없음</x:t>
        </x:is>
      </x:c>
      <x:c r="S426" s="7" t="inlineStr">
        <x:is>
          <x:t xml:space="preserve">해양</x:t>
        </x:is>
      </x:c>
      <x:c r="T426" s="7" t="inlineStr">
        <x:is>
          <x:t xml:space="preserve"/>
        </x:is>
      </x:c>
      <x:c r="U426" s="8" t="str">
        <x:f>INDEX('서식지_점수'!$E$4:$P$4,1,MATCH(MAX('서식지_점수'!E426:P426),'서식지_점수'!E426:P426,0))</x:f>
        <x:v>해양</x:v>
      </x:c>
      <x:c r="V426" s="8" t="str">
        <x:f>IF(T426&lt;&gt;"",T426,U426)</x:f>
        <x:v>해양</x:v>
      </x:c>
      <x:c r="W426" s="8" t="str">
        <x:f>IFERROR(INDEX('서식지_점수'!$E$4:$P$4,1,MATCH(MAXIFS('서식지_점수'!E426:P426,'서식지_점수'!E426:P426,"&lt;"&amp;MAX('서식지_점수'!E426:P426)),'서식지_점수'!E426:P426,0)),"")</x:f>
        <x:v>습지</x:v>
      </x:c>
      <x:c r="X426" s="8" t="str">
        <x:f>IF(T426&lt;&gt;"","수동확정",IF(MAX('서식지_점수'!E426:P426)-LARGE('서식지_점수'!E426:P426,2)&gt;=15,"높음",IF(MAX('서식지_점수'!E426:P426)-LARGE('서식지_점수'!E426:P426,2)&gt;=8,"보통","검토필요")))</x:f>
        <x:v>높음</x:v>
      </x:c>
      <x:c r="Y426" s="9" t="n">
        <x:f>IF(Q426="전설",8,IF(Q426="희귀",7,IF(J426="기본",1,IF(J426="중간",3,IF(J426="최종",IF(I426="",5,IF(I426&lt;=20,3,IF(I426&lt;=35,4,IF(I426&lt;=50,6,7)))),IF(Q426="드묾",4,2))))))</x:f>
        <x:v>1</x:v>
      </x:c>
      <x:c r="Z426" s="5" t="inlineStr">
        <x:is>
          <x:t xml:space="preserve">#cobblemon:is_beach; #cobblemon:is_cold_ocean; #cobblemon:is_frozen_ocean; #cobblemon:is_lukewarm_ocean; #cobblemon:is_warm_ocean</x:t>
        </x:is>
      </x:c>
      <x:c r="AA426" s="5" t="inlineStr">
        <x:is>
          <x:t xml:space="preserve">common; uncommon</x:t>
        </x:is>
      </x:c>
      <x:c r="AB426" s="5" t="inlineStr">
        <x:is>
          <x:t xml:space="preserve">예</x:t>
        </x:is>
      </x:c>
      <x:c r="AC426" s="8" t="str">
        <x:f>IF(T426&lt;&gt;"","수동확정",IF(X426="검토필요","검토필요",IF(S426="","원본없음","초기완료")))</x:f>
        <x:v>초기완료</x:v>
      </x:c>
      <x:c r="AD426" s="7" t="inlineStr">
        <x:is>
          <x:t xml:space="preserve"/>
        </x:is>
      </x:c>
      <x:c r="AE426" s="5" t="inlineStr">
        <x:is>
          <x:t xml:space="preserve">.tmp/cobblemon-1.7.3-source/common/src/main/resources/data/cobblemon/species/generation4/shellos.json</x:t>
        </x:is>
      </x:c>
      <x:c r="AF426" s="5" t="str">
        <x:f>"생활권|"&amp;K426</x:f>
        <x:v>생활권|해양</x:v>
      </x:c>
      <x:c r="AG426" s="5" t="str">
        <x:f>"지형|"&amp;L426</x:f>
        <x:v>지형|해안·해양</x:v>
      </x:c>
      <x:c r="AH426" s="5" t="str">
        <x:f>"온도|"&amp;M426</x:f>
        <x:v>온도|서늘</x:v>
      </x:c>
      <x:c r="AI426" s="5" t="str">
        <x:f>"습도|"&amp;N426</x:f>
        <x:v>습도|수중</x:v>
      </x:c>
      <x:c r="AJ426" s="5" t="str">
        <x:f>"날씨|"&amp;O426</x:f>
        <x:v>날씨|비</x:v>
      </x:c>
      <x:c r="AK426" s="5" t="str">
        <x:f>"특수태그|"&amp;R426</x:f>
        <x:v>특수태그|없음</x:v>
      </x:c>
      <x:c r="AL426" s="5" t="str">
        <x:f>"원본서식지|"&amp;S426</x:f>
        <x:v>원본서식지|해양</x:v>
      </x:c>
      <x:c r="AM426" s="5" t="str">
        <x:f>"타입|"&amp;F426</x:f>
        <x:v>타입|물</x:v>
      </x:c>
      <x:c r="AN426" s="5" t="str">
        <x:f>"타입|"&amp;G426</x:f>
        <x:v>타입|</x:v>
      </x:c>
    </x:row>
    <x:row r="427" ht="24" customHeight="1">
      <x:c r="A427" s="5" t="n">
        <x:v>423</x:v>
      </x:c>
      <x:c r="B427" s="5" t="inlineStr">
        <x:is>
          <x:t xml:space="preserve">트리토돈</x:t>
        </x:is>
      </x:c>
      <x:c r="C427" s="5" t="inlineStr">
        <x:is>
          <x:t xml:space="preserve">gastrodon</x:t>
        </x:is>
      </x:c>
      <x:c r="D427" s="5" t="inlineStr">
        <x:is>
          <x:t xml:space="preserve">Gastrodon</x:t>
        </x:is>
      </x:c>
      <x:c r="E427" s="5" t="n">
        <x:v>4</x:v>
      </x:c>
      <x:c r="F427" s="5" t="inlineStr">
        <x:is>
          <x:t xml:space="preserve">물</x:t>
        </x:is>
      </x:c>
      <x:c r="G427" s="5" t="inlineStr">
        <x:is>
          <x:t xml:space="preserve">땅</x:t>
        </x:is>
      </x:c>
      <x:c r="H427" s="6" t="n">
        <x:v>29.9</x:v>
      </x:c>
      <x:c r="I427" s="5" t="n">
        <x:v>30</x:v>
      </x:c>
      <x:c r="J427" s="5" t="inlineStr">
        <x:is>
          <x:t xml:space="preserve">최종</x:t>
        </x:is>
      </x:c>
      <x:c r="K427" s="7" t="inlineStr">
        <x:is>
          <x:t xml:space="preserve">해양</x:t>
        </x:is>
      </x:c>
      <x:c r="L427" s="7" t="inlineStr">
        <x:is>
          <x:t xml:space="preserve">해안·해양</x:t>
        </x:is>
      </x:c>
      <x:c r="M427" s="7" t="inlineStr">
        <x:is>
          <x:t xml:space="preserve">서늘</x:t>
        </x:is>
      </x:c>
      <x:c r="N427" s="7" t="inlineStr">
        <x:is>
          <x:t xml:space="preserve">수중</x:t>
        </x:is>
      </x:c>
      <x:c r="O427" s="7" t="inlineStr">
        <x:is>
          <x:t xml:space="preserve">비</x:t>
        </x:is>
      </x:c>
      <x:c r="P427" s="7" t="inlineStr">
        <x:is>
          <x:t xml:space="preserve">무관</x:t>
        </x:is>
      </x:c>
      <x:c r="Q427" s="7" t="inlineStr">
        <x:is>
          <x:t xml:space="preserve">보통</x:t>
        </x:is>
      </x:c>
      <x:c r="R427" s="7" t="inlineStr">
        <x:is>
          <x:t xml:space="preserve">없음</x:t>
        </x:is>
      </x:c>
      <x:c r="S427" s="7" t="inlineStr">
        <x:is>
          <x:t xml:space="preserve">해양</x:t>
        </x:is>
      </x:c>
      <x:c r="T427" s="7" t="inlineStr">
        <x:is>
          <x:t xml:space="preserve"/>
        </x:is>
      </x:c>
      <x:c r="U427" s="8" t="str">
        <x:f>INDEX('서식지_점수'!$E$4:$P$4,1,MATCH(MAX('서식지_점수'!E427:P427),'서식지_점수'!E427:P427,0))</x:f>
        <x:v>해양</x:v>
      </x:c>
      <x:c r="V427" s="8" t="str">
        <x:f>IF(T427&lt;&gt;"",T427,U427)</x:f>
        <x:v>해양</x:v>
      </x:c>
      <x:c r="W427" s="8" t="str">
        <x:f>IFERROR(INDEX('서식지_점수'!$E$4:$P$4,1,MATCH(MAXIFS('서식지_점수'!E427:P427,'서식지_점수'!E427:P427,"&lt;"&amp;MAX('서식지_점수'!E427:P427)),'서식지_점수'!E427:P427,0)),"")</x:f>
        <x:v>습지</x:v>
      </x:c>
      <x:c r="X427" s="8" t="str">
        <x:f>IF(T427&lt;&gt;"","수동확정",IF(MAX('서식지_점수'!E427:P427)-LARGE('서식지_점수'!E427:P427,2)&gt;=15,"높음",IF(MAX('서식지_점수'!E427:P427)-LARGE('서식지_점수'!E427:P427,2)&gt;=8,"보통","검토필요")))</x:f>
        <x:v>높음</x:v>
      </x:c>
      <x:c r="Y427" s="9" t="n">
        <x:f>IF(Q427="전설",8,IF(Q427="희귀",7,IF(J427="기본",1,IF(J427="중간",3,IF(J427="최종",IF(I427="",5,IF(I427&lt;=20,3,IF(I427&lt;=35,4,IF(I427&lt;=50,6,7)))),IF(Q427="드묾",4,2))))))</x:f>
        <x:v>4</x:v>
      </x:c>
      <x:c r="Z427" s="5" t="inlineStr">
        <x:is>
          <x:t xml:space="preserve">#cobblemon:is_beach; #cobblemon:is_cold_ocean; #cobblemon:is_frozen_ocean; #cobblemon:is_lukewarm_ocean; #cobblemon:is_warm_ocean</x:t>
        </x:is>
      </x:c>
      <x:c r="AA427" s="5" t="inlineStr">
        <x:is>
          <x:t xml:space="preserve">common; uncommon</x:t>
        </x:is>
      </x:c>
      <x:c r="AB427" s="5" t="inlineStr">
        <x:is>
          <x:t xml:space="preserve">예</x:t>
        </x:is>
      </x:c>
      <x:c r="AC427" s="8" t="str">
        <x:f>IF(T427&lt;&gt;"","수동확정",IF(X427="검토필요","검토필요",IF(S427="","원본없음","초기완료")))</x:f>
        <x:v>초기완료</x:v>
      </x:c>
      <x:c r="AD427" s="7" t="inlineStr">
        <x:is>
          <x:t xml:space="preserve"/>
        </x:is>
      </x:c>
      <x:c r="AE427" s="5" t="inlineStr">
        <x:is>
          <x:t xml:space="preserve">.tmp/cobblemon-1.7.3-source/common/src/main/resources/data/cobblemon/species/generation4/gastrodon.json</x:t>
        </x:is>
      </x:c>
      <x:c r="AF427" s="5" t="str">
        <x:f>"생활권|"&amp;K427</x:f>
        <x:v>생활권|해양</x:v>
      </x:c>
      <x:c r="AG427" s="5" t="str">
        <x:f>"지형|"&amp;L427</x:f>
        <x:v>지형|해안·해양</x:v>
      </x:c>
      <x:c r="AH427" s="5" t="str">
        <x:f>"온도|"&amp;M427</x:f>
        <x:v>온도|서늘</x:v>
      </x:c>
      <x:c r="AI427" s="5" t="str">
        <x:f>"습도|"&amp;N427</x:f>
        <x:v>습도|수중</x:v>
      </x:c>
      <x:c r="AJ427" s="5" t="str">
        <x:f>"날씨|"&amp;O427</x:f>
        <x:v>날씨|비</x:v>
      </x:c>
      <x:c r="AK427" s="5" t="str">
        <x:f>"특수태그|"&amp;R427</x:f>
        <x:v>특수태그|없음</x:v>
      </x:c>
      <x:c r="AL427" s="5" t="str">
        <x:f>"원본서식지|"&amp;S427</x:f>
        <x:v>원본서식지|해양</x:v>
      </x:c>
      <x:c r="AM427" s="5" t="str">
        <x:f>"타입|"&amp;F427</x:f>
        <x:v>타입|물</x:v>
      </x:c>
      <x:c r="AN427" s="5" t="str">
        <x:f>"타입|"&amp;G427</x:f>
        <x:v>타입|땅</x:v>
      </x:c>
    </x:row>
    <x:row r="428" ht="24" customHeight="1">
      <x:c r="A428" s="5" t="n">
        <x:v>424</x:v>
      </x:c>
      <x:c r="B428" s="5" t="inlineStr">
        <x:is>
          <x:t xml:space="preserve">겟핸보숭</x:t>
        </x:is>
      </x:c>
      <x:c r="C428" s="5" t="inlineStr">
        <x:is>
          <x:t xml:space="preserve">ambipom</x:t>
        </x:is>
      </x:c>
      <x:c r="D428" s="5" t="inlineStr">
        <x:is>
          <x:t xml:space="preserve">Ambipom</x:t>
        </x:is>
      </x:c>
      <x:c r="E428" s="5" t="n">
        <x:v>4</x:v>
      </x:c>
      <x:c r="F428" s="5" t="inlineStr">
        <x:is>
          <x:t xml:space="preserve">노말</x:t>
        </x:is>
      </x:c>
      <x:c r="G428" s="5" t="inlineStr">
        <x:is>
          <x:t xml:space="preserve"/>
        </x:is>
      </x:c>
      <x:c r="H428" s="6" t="n">
        <x:v>20.3</x:v>
      </x:c>
      <x:c r="I428" s="5" t="n"/>
      <x:c r="J428" s="5" t="inlineStr">
        <x:is>
          <x:t xml:space="preserve">최종</x:t>
        </x:is>
      </x:c>
      <x:c r="K428" s="7" t="inlineStr">
        <x:is>
          <x:t xml:space="preserve">육상</x:t>
        </x:is>
      </x:c>
      <x:c r="L428" s="7" t="inlineStr">
        <x:is>
          <x:t xml:space="preserve">수목</x:t>
        </x:is>
      </x:c>
      <x:c r="M428" s="7" t="inlineStr">
        <x:is>
          <x:t xml:space="preserve">온대</x:t>
        </x:is>
      </x:c>
      <x:c r="N428" s="7" t="inlineStr">
        <x:is>
          <x:t xml:space="preserve">다습</x:t>
        </x:is>
      </x:c>
      <x:c r="O428" s="7" t="inlineStr">
        <x:is>
          <x:t xml:space="preserve">무관</x:t>
        </x:is>
      </x:c>
      <x:c r="P428" s="7" t="inlineStr">
        <x:is>
          <x:t xml:space="preserve">무관</x:t>
        </x:is>
      </x:c>
      <x:c r="Q428" s="7" t="inlineStr">
        <x:is>
          <x:t xml:space="preserve">흔함</x:t>
        </x:is>
      </x:c>
      <x:c r="R428" s="7" t="inlineStr">
        <x:is>
          <x:t xml:space="preserve">없음</x:t>
        </x:is>
      </x:c>
      <x:c r="S428" s="7" t="inlineStr">
        <x:is>
          <x:t xml:space="preserve">숲</x:t>
        </x:is>
      </x:c>
      <x:c r="T428" s="7" t="inlineStr">
        <x:is>
          <x:t xml:space="preserve"/>
        </x:is>
      </x:c>
      <x:c r="U428" s="8" t="str">
        <x:f>INDEX('서식지_점수'!$E$4:$P$4,1,MATCH(MAX('서식지_점수'!E428:P428),'서식지_점수'!E428:P428,0))</x:f>
        <x:v>평원</x:v>
      </x:c>
      <x:c r="V428" s="8" t="str">
        <x:f>IF(T428&lt;&gt;"",T428,U428)</x:f>
        <x:v>평원</x:v>
      </x:c>
      <x:c r="W428" s="8" t="str">
        <x:f>IFERROR(INDEX('서식지_점수'!$E$4:$P$4,1,MATCH(MAXIFS('서식지_점수'!E428:P428,'서식지_점수'!E428:P428,"&lt;"&amp;MAX('서식지_점수'!E428:P428)),'서식지_점수'!E428:P428,0)),"")</x:f>
        <x:v>숲</x:v>
      </x:c>
      <x:c r="X428" s="8" t="str">
        <x:f>IF(T428&lt;&gt;"","수동확정",IF(MAX('서식지_점수'!E428:P428)-LARGE('서식지_점수'!E428:P428,2)&gt;=15,"높음",IF(MAX('서식지_점수'!E428:P428)-LARGE('서식지_점수'!E428:P428,2)&gt;=8,"보통","검토필요")))</x:f>
        <x:v>검토필요</x:v>
      </x:c>
      <x:c r="Y428" s="9" t="n">
        <x:f>IF(Q428="전설",8,IF(Q428="희귀",7,IF(J428="기본",1,IF(J428="중간",3,IF(J428="최종",IF(I428="",5,IF(I428&lt;=20,3,IF(I428&lt;=35,4,IF(I428&lt;=50,6,7)))),IF(Q428="드묾",4,2))))))</x:f>
        <x:v>5</x:v>
      </x:c>
      <x:c r="Z428" s="5" t="inlineStr">
        <x:is>
          <x:t xml:space="preserve">#cobblemon:is_jungle; #cobblemon:is_overworld; #cobblemon:is_tropical_island</x:t>
        </x:is>
      </x:c>
      <x:c r="AA428" s="5" t="inlineStr">
        <x:is>
          <x:t xml:space="preserve">common</x:t>
        </x:is>
      </x:c>
      <x:c r="AB428" s="5" t="inlineStr">
        <x:is>
          <x:t xml:space="preserve">예</x:t>
        </x:is>
      </x:c>
      <x:c r="AC428" s="8" t="str">
        <x:f>IF(T428&lt;&gt;"","수동확정",IF(X428="검토필요","검토필요",IF(S428="","원본없음","초기완료")))</x:f>
        <x:v>검토필요</x:v>
      </x:c>
      <x:c r="AD428" s="7" t="inlineStr">
        <x:is>
          <x:t xml:space="preserve"/>
        </x:is>
      </x:c>
      <x:c r="AE428" s="5" t="inlineStr">
        <x:is>
          <x:t xml:space="preserve">.tmp/cobblemon-1.7.3-source/common/src/main/resources/data/cobblemon/species/generation4/ambipom.json</x:t>
        </x:is>
      </x:c>
      <x:c r="AF428" s="5" t="str">
        <x:f>"생활권|"&amp;K428</x:f>
        <x:v>생활권|육상</x:v>
      </x:c>
      <x:c r="AG428" s="5" t="str">
        <x:f>"지형|"&amp;L428</x:f>
        <x:v>지형|수목</x:v>
      </x:c>
      <x:c r="AH428" s="5" t="str">
        <x:f>"온도|"&amp;M428</x:f>
        <x:v>온도|온대</x:v>
      </x:c>
      <x:c r="AI428" s="5" t="str">
        <x:f>"습도|"&amp;N428</x:f>
        <x:v>습도|다습</x:v>
      </x:c>
      <x:c r="AJ428" s="5" t="str">
        <x:f>"날씨|"&amp;O428</x:f>
        <x:v>날씨|무관</x:v>
      </x:c>
      <x:c r="AK428" s="5" t="str">
        <x:f>"특수태그|"&amp;R428</x:f>
        <x:v>특수태그|없음</x:v>
      </x:c>
      <x:c r="AL428" s="5" t="str">
        <x:f>"원본서식지|"&amp;S428</x:f>
        <x:v>원본서식지|숲</x:v>
      </x:c>
      <x:c r="AM428" s="5" t="str">
        <x:f>"타입|"&amp;F428</x:f>
        <x:v>타입|노말</x:v>
      </x:c>
      <x:c r="AN428" s="5" t="str">
        <x:f>"타입|"&amp;G428</x:f>
        <x:v>타입|</x:v>
      </x:c>
    </x:row>
    <x:row r="429" ht="24" customHeight="1">
      <x:c r="A429" s="5" t="n">
        <x:v>425</x:v>
      </x:c>
      <x:c r="B429" s="5" t="inlineStr">
        <x:is>
          <x:t xml:space="preserve">흔들풍손</x:t>
        </x:is>
      </x:c>
      <x:c r="C429" s="5" t="inlineStr">
        <x:is>
          <x:t xml:space="preserve">drifloon</x:t>
        </x:is>
      </x:c>
      <x:c r="D429" s="5" t="inlineStr">
        <x:is>
          <x:t xml:space="preserve">Drifloon</x:t>
        </x:is>
      </x:c>
      <x:c r="E429" s="5" t="n">
        <x:v>4</x:v>
      </x:c>
      <x:c r="F429" s="5" t="inlineStr">
        <x:is>
          <x:t xml:space="preserve">고스트</x:t>
        </x:is>
      </x:c>
      <x:c r="G429" s="5" t="inlineStr">
        <x:is>
          <x:t xml:space="preserve">비행</x:t>
        </x:is>
      </x:c>
      <x:c r="H429" s="6" t="n">
        <x:v>1.2</x:v>
      </x:c>
      <x:c r="I429" s="5" t="n">
        <x:v>28</x:v>
      </x:c>
      <x:c r="J429" s="5" t="inlineStr">
        <x:is>
          <x:t xml:space="preserve">기본</x:t>
        </x:is>
      </x:c>
      <x:c r="K429" s="7" t="inlineStr">
        <x:is>
          <x:t xml:space="preserve">비행</x:t>
        </x:is>
      </x:c>
      <x:c r="L429" s="7" t="inlineStr">
        <x:is>
          <x:t xml:space="preserve">특수</x:t>
        </x:is>
      </x:c>
      <x:c r="M429" s="7" t="inlineStr">
        <x:is>
          <x:t xml:space="preserve">온대</x:t>
        </x:is>
      </x:c>
      <x:c r="N429" s="7" t="inlineStr">
        <x:is>
          <x:t xml:space="preserve">보통</x:t>
        </x:is>
      </x:c>
      <x:c r="O429" s="7" t="inlineStr">
        <x:is>
          <x:t xml:space="preserve">안개</x:t>
        </x:is>
      </x:c>
      <x:c r="P429" s="7" t="inlineStr">
        <x:is>
          <x:t xml:space="preserve">밤</x:t>
        </x:is>
      </x:c>
      <x:c r="Q429" s="7" t="inlineStr">
        <x:is>
          <x:t xml:space="preserve">보통</x:t>
        </x:is>
      </x:c>
      <x:c r="R429" s="7" t="inlineStr">
        <x:is>
          <x:t xml:space="preserve">영체</x:t>
        </x:is>
      </x:c>
      <x:c r="S429" s="7" t="inlineStr">
        <x:is>
          <x:t xml:space="preserve"/>
        </x:is>
      </x:c>
      <x:c r="T429" s="7" t="inlineStr">
        <x:is>
          <x:t xml:space="preserve"/>
        </x:is>
      </x:c>
      <x:c r="U429" s="8" t="str">
        <x:f>INDEX('서식지_점수'!$E$4:$P$4,1,MATCH(MAX('서식지_점수'!E429:P429),'서식지_점수'!E429:P429,0))</x:f>
        <x:v>산악</x:v>
      </x:c>
      <x:c r="V429" s="8" t="str">
        <x:f>IF(T429&lt;&gt;"",T429,U429)</x:f>
        <x:v>산악</x:v>
      </x:c>
      <x:c r="W429" s="8" t="str">
        <x:f>IFERROR(INDEX('서식지_점수'!$E$4:$P$4,1,MATCH(MAXIFS('서식지_점수'!E429:P429,'서식지_점수'!E429:P429,"&lt;"&amp;MAX('서식지_점수'!E429:P429)),'서식지_점수'!E429:P429,0)),"")</x:f>
        <x:v>평원</x:v>
      </x:c>
      <x:c r="X429" s="8" t="str">
        <x:f>IF(T429&lt;&gt;"","수동확정",IF(MAX('서식지_점수'!E429:P429)-LARGE('서식지_점수'!E429:P429,2)&gt;=15,"높음",IF(MAX('서식지_점수'!E429:P429)-LARGE('서식지_점수'!E429:P429,2)&gt;=8,"보통","검토필요")))</x:f>
        <x:v>검토필요</x:v>
      </x:c>
      <x:c r="Y429" s="9" t="n">
        <x:f>IF(Q429="전설",8,IF(Q429="희귀",7,IF(J429="기본",1,IF(J429="중간",3,IF(J429="최종",IF(I429="",5,IF(I429&lt;=20,3,IF(I429&lt;=35,4,IF(I429&lt;=50,6,7)))),IF(Q429="드묾",4,2))))))</x:f>
        <x:v>1</x:v>
      </x:c>
      <x:c r="Z429" s="5" t="inlineStr">
        <x:is>
          <x:t xml:space="preserve">#cobblemon:is_overworld; #cobblemon:is_sky</x:t>
        </x:is>
      </x:c>
      <x:c r="AA429" s="5" t="inlineStr">
        <x:is>
          <x:t xml:space="preserve">common; uncommon</x:t>
        </x:is>
      </x:c>
      <x:c r="AB429" s="5" t="inlineStr">
        <x:is>
          <x:t xml:space="preserve">예</x:t>
        </x:is>
      </x:c>
      <x:c r="AC429" s="8" t="str">
        <x:f>IF(T429&lt;&gt;"","수동확정",IF(X429="검토필요","검토필요",IF(S429="","원본없음","초기완료")))</x:f>
        <x:v>검토필요</x:v>
      </x:c>
      <x:c r="AD429" s="7" t="inlineStr">
        <x:is>
          <x:t xml:space="preserve"/>
        </x:is>
      </x:c>
      <x:c r="AE429" s="5" t="inlineStr">
        <x:is>
          <x:t xml:space="preserve">.tmp/cobblemon-1.7.3-source/common/src/main/resources/data/cobblemon/species/generation4/drifloon.json</x:t>
        </x:is>
      </x:c>
      <x:c r="AF429" s="5" t="str">
        <x:f>"생활권|"&amp;K429</x:f>
        <x:v>생활권|비행</x:v>
      </x:c>
      <x:c r="AG429" s="5" t="str">
        <x:f>"지형|"&amp;L429</x:f>
        <x:v>지형|특수</x:v>
      </x:c>
      <x:c r="AH429" s="5" t="str">
        <x:f>"온도|"&amp;M429</x:f>
        <x:v>온도|온대</x:v>
      </x:c>
      <x:c r="AI429" s="5" t="str">
        <x:f>"습도|"&amp;N429</x:f>
        <x:v>습도|보통</x:v>
      </x:c>
      <x:c r="AJ429" s="5" t="str">
        <x:f>"날씨|"&amp;O429</x:f>
        <x:v>날씨|안개</x:v>
      </x:c>
      <x:c r="AK429" s="5" t="str">
        <x:f>"특수태그|"&amp;R429</x:f>
        <x:v>특수태그|영체</x:v>
      </x:c>
      <x:c r="AL429" s="5" t="str">
        <x:f>"원본서식지|"&amp;S429</x:f>
        <x:v>원본서식지|</x:v>
      </x:c>
      <x:c r="AM429" s="5" t="str">
        <x:f>"타입|"&amp;F429</x:f>
        <x:v>타입|고스트</x:v>
      </x:c>
      <x:c r="AN429" s="5" t="str">
        <x:f>"타입|"&amp;G429</x:f>
        <x:v>타입|비행</x:v>
      </x:c>
    </x:row>
    <x:row r="430" ht="24" customHeight="1">
      <x:c r="A430" s="5" t="n">
        <x:v>426</x:v>
      </x:c>
      <x:c r="B430" s="5" t="inlineStr">
        <x:is>
          <x:t xml:space="preserve">둥실라이드</x:t>
        </x:is>
      </x:c>
      <x:c r="C430" s="5" t="inlineStr">
        <x:is>
          <x:t xml:space="preserve">drifblim</x:t>
        </x:is>
      </x:c>
      <x:c r="D430" s="5" t="inlineStr">
        <x:is>
          <x:t xml:space="preserve">Drifblim</x:t>
        </x:is>
      </x:c>
      <x:c r="E430" s="5" t="n">
        <x:v>4</x:v>
      </x:c>
      <x:c r="F430" s="5" t="inlineStr">
        <x:is>
          <x:t xml:space="preserve">고스트</x:t>
        </x:is>
      </x:c>
      <x:c r="G430" s="5" t="inlineStr">
        <x:is>
          <x:t xml:space="preserve">비행</x:t>
        </x:is>
      </x:c>
      <x:c r="H430" s="6" t="n">
        <x:v>15</x:v>
      </x:c>
      <x:c r="I430" s="5" t="n">
        <x:v>28</x:v>
      </x:c>
      <x:c r="J430" s="5" t="inlineStr">
        <x:is>
          <x:t xml:space="preserve">최종</x:t>
        </x:is>
      </x:c>
      <x:c r="K430" s="7" t="inlineStr">
        <x:is>
          <x:t xml:space="preserve">비행</x:t>
        </x:is>
      </x:c>
      <x:c r="L430" s="7" t="inlineStr">
        <x:is>
          <x:t xml:space="preserve">특수</x:t>
        </x:is>
      </x:c>
      <x:c r="M430" s="7" t="inlineStr">
        <x:is>
          <x:t xml:space="preserve">온대</x:t>
        </x:is>
      </x:c>
      <x:c r="N430" s="7" t="inlineStr">
        <x:is>
          <x:t xml:space="preserve">보통</x:t>
        </x:is>
      </x:c>
      <x:c r="O430" s="7" t="inlineStr">
        <x:is>
          <x:t xml:space="preserve">안개</x:t>
        </x:is>
      </x:c>
      <x:c r="P430" s="7" t="inlineStr">
        <x:is>
          <x:t xml:space="preserve">밤</x:t>
        </x:is>
      </x:c>
      <x:c r="Q430" s="7" t="inlineStr">
        <x:is>
          <x:t xml:space="preserve">보통</x:t>
        </x:is>
      </x:c>
      <x:c r="R430" s="7" t="inlineStr">
        <x:is>
          <x:t xml:space="preserve">영체</x:t>
        </x:is>
      </x:c>
      <x:c r="S430" s="7" t="inlineStr">
        <x:is>
          <x:t xml:space="preserve"/>
        </x:is>
      </x:c>
      <x:c r="T430" s="7" t="inlineStr">
        <x:is>
          <x:t xml:space="preserve"/>
        </x:is>
      </x:c>
      <x:c r="U430" s="8" t="str">
        <x:f>INDEX('서식지_점수'!$E$4:$P$4,1,MATCH(MAX('서식지_점수'!E430:P430),'서식지_점수'!E430:P430,0))</x:f>
        <x:v>산악</x:v>
      </x:c>
      <x:c r="V430" s="8" t="str">
        <x:f>IF(T430&lt;&gt;"",T430,U430)</x:f>
        <x:v>산악</x:v>
      </x:c>
      <x:c r="W430" s="8" t="str">
        <x:f>IFERROR(INDEX('서식지_점수'!$E$4:$P$4,1,MATCH(MAXIFS('서식지_점수'!E430:P430,'서식지_점수'!E430:P430,"&lt;"&amp;MAX('서식지_점수'!E430:P430)),'서식지_점수'!E430:P430,0)),"")</x:f>
        <x:v>평원</x:v>
      </x:c>
      <x:c r="X430" s="8" t="str">
        <x:f>IF(T430&lt;&gt;"","수동확정",IF(MAX('서식지_점수'!E430:P430)-LARGE('서식지_점수'!E430:P430,2)&gt;=15,"높음",IF(MAX('서식지_점수'!E430:P430)-LARGE('서식지_점수'!E430:P430,2)&gt;=8,"보통","검토필요")))</x:f>
        <x:v>검토필요</x:v>
      </x:c>
      <x:c r="Y430" s="9" t="n">
        <x:f>IF(Q430="전설",8,IF(Q430="희귀",7,IF(J430="기본",1,IF(J430="중간",3,IF(J430="최종",IF(I430="",5,IF(I430&lt;=20,3,IF(I430&lt;=35,4,IF(I430&lt;=50,6,7)))),IF(Q430="드묾",4,2))))))</x:f>
        <x:v>4</x:v>
      </x:c>
      <x:c r="Z430" s="5" t="inlineStr">
        <x:is>
          <x:t xml:space="preserve">#cobblemon:is_overworld; #cobblemon:is_sky</x:t>
        </x:is>
      </x:c>
      <x:c r="AA430" s="5" t="inlineStr">
        <x:is>
          <x:t xml:space="preserve">common; uncommon</x:t>
        </x:is>
      </x:c>
      <x:c r="AB430" s="5" t="inlineStr">
        <x:is>
          <x:t xml:space="preserve">예</x:t>
        </x:is>
      </x:c>
      <x:c r="AC430" s="8" t="str">
        <x:f>IF(T430&lt;&gt;"","수동확정",IF(X430="검토필요","검토필요",IF(S430="","원본없음","초기완료")))</x:f>
        <x:v>검토필요</x:v>
      </x:c>
      <x:c r="AD430" s="7" t="inlineStr">
        <x:is>
          <x:t xml:space="preserve"/>
        </x:is>
      </x:c>
      <x:c r="AE430" s="5" t="inlineStr">
        <x:is>
          <x:t xml:space="preserve">.tmp/cobblemon-1.7.3-source/common/src/main/resources/data/cobblemon/species/generation4/drifblim.json</x:t>
        </x:is>
      </x:c>
      <x:c r="AF430" s="5" t="str">
        <x:f>"생활권|"&amp;K430</x:f>
        <x:v>생활권|비행</x:v>
      </x:c>
      <x:c r="AG430" s="5" t="str">
        <x:f>"지형|"&amp;L430</x:f>
        <x:v>지형|특수</x:v>
      </x:c>
      <x:c r="AH430" s="5" t="str">
        <x:f>"온도|"&amp;M430</x:f>
        <x:v>온도|온대</x:v>
      </x:c>
      <x:c r="AI430" s="5" t="str">
        <x:f>"습도|"&amp;N430</x:f>
        <x:v>습도|보통</x:v>
      </x:c>
      <x:c r="AJ430" s="5" t="str">
        <x:f>"날씨|"&amp;O430</x:f>
        <x:v>날씨|안개</x:v>
      </x:c>
      <x:c r="AK430" s="5" t="str">
        <x:f>"특수태그|"&amp;R430</x:f>
        <x:v>특수태그|영체</x:v>
      </x:c>
      <x:c r="AL430" s="5" t="str">
        <x:f>"원본서식지|"&amp;S430</x:f>
        <x:v>원본서식지|</x:v>
      </x:c>
      <x:c r="AM430" s="5" t="str">
        <x:f>"타입|"&amp;F430</x:f>
        <x:v>타입|고스트</x:v>
      </x:c>
      <x:c r="AN430" s="5" t="str">
        <x:f>"타입|"&amp;G430</x:f>
        <x:v>타입|비행</x:v>
      </x:c>
    </x:row>
    <x:row r="431" ht="24" customHeight="1">
      <x:c r="A431" s="5" t="n">
        <x:v>427</x:v>
      </x:c>
      <x:c r="B431" s="5" t="inlineStr">
        <x:is>
          <x:t xml:space="preserve">이어롤</x:t>
        </x:is>
      </x:c>
      <x:c r="C431" s="5" t="inlineStr">
        <x:is>
          <x:t xml:space="preserve">buneary</x:t>
        </x:is>
      </x:c>
      <x:c r="D431" s="5" t="inlineStr">
        <x:is>
          <x:t xml:space="preserve">Buneary</x:t>
        </x:is>
      </x:c>
      <x:c r="E431" s="5" t="n">
        <x:v>4</x:v>
      </x:c>
      <x:c r="F431" s="5" t="inlineStr">
        <x:is>
          <x:t xml:space="preserve">노말</x:t>
        </x:is>
      </x:c>
      <x:c r="G431" s="5" t="inlineStr">
        <x:is>
          <x:t xml:space="preserve"/>
        </x:is>
      </x:c>
      <x:c r="H431" s="6" t="n">
        <x:v>5.5</x:v>
      </x:c>
      <x:c r="I431" s="5" t="n"/>
      <x:c r="J431" s="5" t="inlineStr">
        <x:is>
          <x:t xml:space="preserve">기본</x:t>
        </x:is>
      </x:c>
      <x:c r="K431" s="7" t="inlineStr">
        <x:is>
          <x:t xml:space="preserve">육상</x:t>
        </x:is>
      </x:c>
      <x:c r="L431" s="7" t="inlineStr">
        <x:is>
          <x:t xml:space="preserve">수목</x:t>
        </x:is>
      </x:c>
      <x:c r="M431" s="7" t="inlineStr">
        <x:is>
          <x:t xml:space="preserve">서늘</x:t>
        </x:is>
      </x:c>
      <x:c r="N431" s="7" t="inlineStr">
        <x:is>
          <x:t xml:space="preserve">보통</x:t>
        </x:is>
      </x:c>
      <x:c r="O431" s="7" t="inlineStr">
        <x:is>
          <x:t xml:space="preserve">무관</x:t>
        </x:is>
      </x:c>
      <x:c r="P431" s="7" t="inlineStr">
        <x:is>
          <x:t xml:space="preserve">무관</x:t>
        </x:is>
      </x:c>
      <x:c r="Q431" s="7" t="inlineStr">
        <x:is>
          <x:t xml:space="preserve">흔함</x:t>
        </x:is>
      </x:c>
      <x:c r="R431" s="7" t="inlineStr">
        <x:is>
          <x:t xml:space="preserve">없음</x:t>
        </x:is>
      </x:c>
      <x:c r="S431" s="7" t="inlineStr">
        <x:is>
          <x:t xml:space="preserve">숲</x:t>
        </x:is>
      </x:c>
      <x:c r="T431" s="7" t="inlineStr">
        <x:is>
          <x:t xml:space="preserve"/>
        </x:is>
      </x:c>
      <x:c r="U431" s="8" t="str">
        <x:f>INDEX('서식지_점수'!$E$4:$P$4,1,MATCH(MAX('서식지_점수'!E431:P431),'서식지_점수'!E431:P431,0))</x:f>
        <x:v>평원</x:v>
      </x:c>
      <x:c r="V431" s="8" t="str">
        <x:f>IF(T431&lt;&gt;"",T431,U431)</x:f>
        <x:v>평원</x:v>
      </x:c>
      <x:c r="W431" s="8" t="str">
        <x:f>IFERROR(INDEX('서식지_점수'!$E$4:$P$4,1,MATCH(MAXIFS('서식지_점수'!E431:P431,'서식지_점수'!E431:P431,"&lt;"&amp;MAX('서식지_점수'!E431:P431)),'서식지_점수'!E431:P431,0)),"")</x:f>
        <x:v>숲</x:v>
      </x:c>
      <x:c r="X431" s="8" t="str">
        <x:f>IF(T431&lt;&gt;"","수동확정",IF(MAX('서식지_점수'!E431:P431)-LARGE('서식지_점수'!E431:P431,2)&gt;=15,"높음",IF(MAX('서식지_점수'!E431:P431)-LARGE('서식지_점수'!E431:P431,2)&gt;=8,"보통","검토필요")))</x:f>
        <x:v>검토필요</x:v>
      </x:c>
      <x:c r="Y431" s="9" t="n">
        <x:f>IF(Q431="전설",8,IF(Q431="희귀",7,IF(J431="기본",1,IF(J431="중간",3,IF(J431="최종",IF(I431="",5,IF(I431&lt;=20,3,IF(I431&lt;=35,4,IF(I431&lt;=50,6,7)))),IF(Q431="드묾",4,2))))))</x:f>
        <x:v>1</x:v>
      </x:c>
      <x:c r="Z431" s="5" t="inlineStr">
        <x:is>
          <x:t xml:space="preserve">#cobblemon:is_forest; #cobblemon:is_hills; #cobblemon:is_snowy_forest; #cobblemon:is_snowy_taiga; #cobblemon:is_taiga</x:t>
        </x:is>
      </x:c>
      <x:c r="AA431" s="5" t="inlineStr">
        <x:is>
          <x:t xml:space="preserve">common</x:t>
        </x:is>
      </x:c>
      <x:c r="AB431" s="5" t="inlineStr">
        <x:is>
          <x:t xml:space="preserve">예</x:t>
        </x:is>
      </x:c>
      <x:c r="AC431" s="8" t="str">
        <x:f>IF(T431&lt;&gt;"","수동확정",IF(X431="검토필요","검토필요",IF(S431="","원본없음","초기완료")))</x:f>
        <x:v>검토필요</x:v>
      </x:c>
      <x:c r="AD431" s="7" t="inlineStr">
        <x:is>
          <x:t xml:space="preserve"/>
        </x:is>
      </x:c>
      <x:c r="AE431" s="5" t="inlineStr">
        <x:is>
          <x:t xml:space="preserve">.tmp/cobblemon-1.7.3-source/common/src/main/resources/data/cobblemon/species/generation4/buneary.json</x:t>
        </x:is>
      </x:c>
      <x:c r="AF431" s="5" t="str">
        <x:f>"생활권|"&amp;K431</x:f>
        <x:v>생활권|육상</x:v>
      </x:c>
      <x:c r="AG431" s="5" t="str">
        <x:f>"지형|"&amp;L431</x:f>
        <x:v>지형|수목</x:v>
      </x:c>
      <x:c r="AH431" s="5" t="str">
        <x:f>"온도|"&amp;M431</x:f>
        <x:v>온도|서늘</x:v>
      </x:c>
      <x:c r="AI431" s="5" t="str">
        <x:f>"습도|"&amp;N431</x:f>
        <x:v>습도|보통</x:v>
      </x:c>
      <x:c r="AJ431" s="5" t="str">
        <x:f>"날씨|"&amp;O431</x:f>
        <x:v>날씨|무관</x:v>
      </x:c>
      <x:c r="AK431" s="5" t="str">
        <x:f>"특수태그|"&amp;R431</x:f>
        <x:v>특수태그|없음</x:v>
      </x:c>
      <x:c r="AL431" s="5" t="str">
        <x:f>"원본서식지|"&amp;S431</x:f>
        <x:v>원본서식지|숲</x:v>
      </x:c>
      <x:c r="AM431" s="5" t="str">
        <x:f>"타입|"&amp;F431</x:f>
        <x:v>타입|노말</x:v>
      </x:c>
      <x:c r="AN431" s="5" t="str">
        <x:f>"타입|"&amp;G431</x:f>
        <x:v>타입|</x:v>
      </x:c>
    </x:row>
    <x:row r="432" ht="24" customHeight="1">
      <x:c r="A432" s="5" t="n">
        <x:v>428</x:v>
      </x:c>
      <x:c r="B432" s="5" t="inlineStr">
        <x:is>
          <x:t xml:space="preserve">이어롭</x:t>
        </x:is>
      </x:c>
      <x:c r="C432" s="5" t="inlineStr">
        <x:is>
          <x:t xml:space="preserve">lopunny</x:t>
        </x:is>
      </x:c>
      <x:c r="D432" s="5" t="inlineStr">
        <x:is>
          <x:t xml:space="preserve">Lopunny</x:t>
        </x:is>
      </x:c>
      <x:c r="E432" s="5" t="n">
        <x:v>4</x:v>
      </x:c>
      <x:c r="F432" s="5" t="inlineStr">
        <x:is>
          <x:t xml:space="preserve">노말</x:t>
        </x:is>
      </x:c>
      <x:c r="G432" s="5" t="inlineStr">
        <x:is>
          <x:t xml:space="preserve"/>
        </x:is>
      </x:c>
      <x:c r="H432" s="6" t="n">
        <x:v>33.3</x:v>
      </x:c>
      <x:c r="I432" s="5" t="n"/>
      <x:c r="J432" s="5" t="inlineStr">
        <x:is>
          <x:t xml:space="preserve">최종</x:t>
        </x:is>
      </x:c>
      <x:c r="K432" s="7" t="inlineStr">
        <x:is>
          <x:t xml:space="preserve">육상</x:t>
        </x:is>
      </x:c>
      <x:c r="L432" s="7" t="inlineStr">
        <x:is>
          <x:t xml:space="preserve">수목</x:t>
        </x:is>
      </x:c>
      <x:c r="M432" s="7" t="inlineStr">
        <x:is>
          <x:t xml:space="preserve">서늘</x:t>
        </x:is>
      </x:c>
      <x:c r="N432" s="7" t="inlineStr">
        <x:is>
          <x:t xml:space="preserve">보통</x:t>
        </x:is>
      </x:c>
      <x:c r="O432" s="7" t="inlineStr">
        <x:is>
          <x:t xml:space="preserve">무관</x:t>
        </x:is>
      </x:c>
      <x:c r="P432" s="7" t="inlineStr">
        <x:is>
          <x:t xml:space="preserve">무관</x:t>
        </x:is>
      </x:c>
      <x:c r="Q432" s="7" t="inlineStr">
        <x:is>
          <x:t xml:space="preserve">흔함</x:t>
        </x:is>
      </x:c>
      <x:c r="R432" s="7" t="inlineStr">
        <x:is>
          <x:t xml:space="preserve">없음</x:t>
        </x:is>
      </x:c>
      <x:c r="S432" s="7" t="inlineStr">
        <x:is>
          <x:t xml:space="preserve">숲</x:t>
        </x:is>
      </x:c>
      <x:c r="T432" s="7" t="inlineStr">
        <x:is>
          <x:t xml:space="preserve"/>
        </x:is>
      </x:c>
      <x:c r="U432" s="8" t="str">
        <x:f>INDEX('서식지_점수'!$E$4:$P$4,1,MATCH(MAX('서식지_점수'!E432:P432),'서식지_점수'!E432:P432,0))</x:f>
        <x:v>평원</x:v>
      </x:c>
      <x:c r="V432" s="8" t="str">
        <x:f>IF(T432&lt;&gt;"",T432,U432)</x:f>
        <x:v>평원</x:v>
      </x:c>
      <x:c r="W432" s="8" t="str">
        <x:f>IFERROR(INDEX('서식지_점수'!$E$4:$P$4,1,MATCH(MAXIFS('서식지_점수'!E432:P432,'서식지_점수'!E432:P432,"&lt;"&amp;MAX('서식지_점수'!E432:P432)),'서식지_점수'!E432:P432,0)),"")</x:f>
        <x:v>숲</x:v>
      </x:c>
      <x:c r="X432" s="8" t="str">
        <x:f>IF(T432&lt;&gt;"","수동확정",IF(MAX('서식지_점수'!E432:P432)-LARGE('서식지_점수'!E432:P432,2)&gt;=15,"높음",IF(MAX('서식지_점수'!E432:P432)-LARGE('서식지_점수'!E432:P432,2)&gt;=8,"보통","검토필요")))</x:f>
        <x:v>검토필요</x:v>
      </x:c>
      <x:c r="Y432" s="9" t="n">
        <x:f>IF(Q432="전설",8,IF(Q432="희귀",7,IF(J432="기본",1,IF(J432="중간",3,IF(J432="최종",IF(I432="",5,IF(I432&lt;=20,3,IF(I432&lt;=35,4,IF(I432&lt;=50,6,7)))),IF(Q432="드묾",4,2))))))</x:f>
        <x:v>5</x:v>
      </x:c>
      <x:c r="Z432" s="5" t="inlineStr">
        <x:is>
          <x:t xml:space="preserve">#cobblemon:is_forest; #cobblemon:is_hills; #cobblemon:is_snowy_forest; #cobblemon:is_snowy_taiga; #cobblemon:is_taiga</x:t>
        </x:is>
      </x:c>
      <x:c r="AA432" s="5" t="inlineStr">
        <x:is>
          <x:t xml:space="preserve">common</x:t>
        </x:is>
      </x:c>
      <x:c r="AB432" s="5" t="inlineStr">
        <x:is>
          <x:t xml:space="preserve">예</x:t>
        </x:is>
      </x:c>
      <x:c r="AC432" s="8" t="str">
        <x:f>IF(T432&lt;&gt;"","수동확정",IF(X432="검토필요","검토필요",IF(S432="","원본없음","초기완료")))</x:f>
        <x:v>검토필요</x:v>
      </x:c>
      <x:c r="AD432" s="7" t="inlineStr">
        <x:is>
          <x:t xml:space="preserve"/>
        </x:is>
      </x:c>
      <x:c r="AE432" s="5" t="inlineStr">
        <x:is>
          <x:t xml:space="preserve">.tmp/cobblemon-1.7.3-source/common/src/main/resources/data/cobblemon/species/generation4/lopunny.json</x:t>
        </x:is>
      </x:c>
      <x:c r="AF432" s="5" t="str">
        <x:f>"생활권|"&amp;K432</x:f>
        <x:v>생활권|육상</x:v>
      </x:c>
      <x:c r="AG432" s="5" t="str">
        <x:f>"지형|"&amp;L432</x:f>
        <x:v>지형|수목</x:v>
      </x:c>
      <x:c r="AH432" s="5" t="str">
        <x:f>"온도|"&amp;M432</x:f>
        <x:v>온도|서늘</x:v>
      </x:c>
      <x:c r="AI432" s="5" t="str">
        <x:f>"습도|"&amp;N432</x:f>
        <x:v>습도|보통</x:v>
      </x:c>
      <x:c r="AJ432" s="5" t="str">
        <x:f>"날씨|"&amp;O432</x:f>
        <x:v>날씨|무관</x:v>
      </x:c>
      <x:c r="AK432" s="5" t="str">
        <x:f>"특수태그|"&amp;R432</x:f>
        <x:v>특수태그|없음</x:v>
      </x:c>
      <x:c r="AL432" s="5" t="str">
        <x:f>"원본서식지|"&amp;S432</x:f>
        <x:v>원본서식지|숲</x:v>
      </x:c>
      <x:c r="AM432" s="5" t="str">
        <x:f>"타입|"&amp;F432</x:f>
        <x:v>타입|노말</x:v>
      </x:c>
      <x:c r="AN432" s="5" t="str">
        <x:f>"타입|"&amp;G432</x:f>
        <x:v>타입|</x:v>
      </x:c>
    </x:row>
    <x:row r="433" ht="24" customHeight="1">
      <x:c r="A433" s="5" t="n">
        <x:v>429</x:v>
      </x:c>
      <x:c r="B433" s="5" t="inlineStr">
        <x:is>
          <x:t xml:space="preserve">무우마직</x:t>
        </x:is>
      </x:c>
      <x:c r="C433" s="5" t="inlineStr">
        <x:is>
          <x:t xml:space="preserve">mismagius</x:t>
        </x:is>
      </x:c>
      <x:c r="D433" s="5" t="inlineStr">
        <x:is>
          <x:t xml:space="preserve">Mismagius</x:t>
        </x:is>
      </x:c>
      <x:c r="E433" s="5" t="n">
        <x:v>4</x:v>
      </x:c>
      <x:c r="F433" s="5" t="inlineStr">
        <x:is>
          <x:t xml:space="preserve">고스트</x:t>
        </x:is>
      </x:c>
      <x:c r="G433" s="5" t="inlineStr">
        <x:is>
          <x:t xml:space="preserve"/>
        </x:is>
      </x:c>
      <x:c r="H433" s="6" t="n">
        <x:v>4.4</x:v>
      </x:c>
      <x:c r="I433" s="5" t="n"/>
      <x:c r="J433" s="5" t="inlineStr">
        <x:is>
          <x:t xml:space="preserve">최종</x:t>
        </x:is>
      </x:c>
      <x:c r="K433" s="7" t="inlineStr">
        <x:is>
          <x:t xml:space="preserve">비행</x:t>
        </x:is>
      </x:c>
      <x:c r="L433" s="7" t="inlineStr">
        <x:is>
          <x:t xml:space="preserve">특수</x:t>
        </x:is>
      </x:c>
      <x:c r="M433" s="7" t="inlineStr">
        <x:is>
          <x:t xml:space="preserve">온대</x:t>
        </x:is>
      </x:c>
      <x:c r="N433" s="7" t="inlineStr">
        <x:is>
          <x:t xml:space="preserve">보통</x:t>
        </x:is>
      </x:c>
      <x:c r="O433" s="7" t="inlineStr">
        <x:is>
          <x:t xml:space="preserve">안개</x:t>
        </x:is>
      </x:c>
      <x:c r="P433" s="7" t="inlineStr">
        <x:is>
          <x:t xml:space="preserve">밤</x:t>
        </x:is>
      </x:c>
      <x:c r="Q433" s="7" t="inlineStr">
        <x:is>
          <x:t xml:space="preserve">흔함</x:t>
        </x:is>
      </x:c>
      <x:c r="R433" s="7" t="inlineStr">
        <x:is>
          <x:t xml:space="preserve">영체</x:t>
        </x:is>
      </x:c>
      <x:c r="S433" s="7" t="inlineStr">
        <x:is>
          <x:t xml:space="preserve">특수</x:t>
        </x:is>
      </x:c>
      <x:c r="T433" s="7" t="inlineStr">
        <x:is>
          <x:t xml:space="preserve"/>
        </x:is>
      </x:c>
      <x:c r="U433" s="8" t="str">
        <x:f>INDEX('서식지_점수'!$E$4:$P$4,1,MATCH(MAX('서식지_점수'!E433:P433),'서식지_점수'!E433:P433,0))</x:f>
        <x:v>산악</x:v>
      </x:c>
      <x:c r="V433" s="8" t="str">
        <x:f>IF(T433&lt;&gt;"",T433,U433)</x:f>
        <x:v>산악</x:v>
      </x:c>
      <x:c r="W433" s="8" t="str">
        <x:f>IFERROR(INDEX('서식지_점수'!$E$4:$P$4,1,MATCH(MAXIFS('서식지_점수'!E433:P433,'서식지_점수'!E433:P433,"&lt;"&amp;MAX('서식지_점수'!E433:P433)),'서식지_점수'!E433:P433,0)),"")</x:f>
        <x:v>평원</x:v>
      </x:c>
      <x:c r="X433" s="8" t="str">
        <x:f>IF(T433&lt;&gt;"","수동확정",IF(MAX('서식지_점수'!E433:P433)-LARGE('서식지_점수'!E433:P433,2)&gt;=15,"높음",IF(MAX('서식지_점수'!E433:P433)-LARGE('서식지_점수'!E433:P433,2)&gt;=8,"보통","검토필요")))</x:f>
        <x:v>검토필요</x:v>
      </x:c>
      <x:c r="Y433" s="9" t="n">
        <x:f>IF(Q433="전설",8,IF(Q433="희귀",7,IF(J433="기본",1,IF(J433="중간",3,IF(J433="최종",IF(I433="",5,IF(I433&lt;=20,3,IF(I433&lt;=35,4,IF(I433&lt;=50,6,7)))),IF(Q433="드묾",4,2))))))</x:f>
        <x:v>5</x:v>
      </x:c>
      <x:c r="Z433" s="5" t="inlineStr">
        <x:is>
          <x:t xml:space="preserve">#cobblemon:is_overworld; #cobblemon:is_spooky; #cobblemon:is_swamp; #cobblemon:nether/is_warped</x:t>
        </x:is>
      </x:c>
      <x:c r="AA433" s="5" t="inlineStr">
        <x:is>
          <x:t xml:space="preserve">common</x:t>
        </x:is>
      </x:c>
      <x:c r="AB433" s="5" t="inlineStr">
        <x:is>
          <x:t xml:space="preserve">예</x:t>
        </x:is>
      </x:c>
      <x:c r="AC433" s="8" t="str">
        <x:f>IF(T433&lt;&gt;"","수동확정",IF(X433="검토필요","검토필요",IF(S433="","원본없음","초기완료")))</x:f>
        <x:v>검토필요</x:v>
      </x:c>
      <x:c r="AD433" s="7" t="inlineStr">
        <x:is>
          <x:t xml:space="preserve"/>
        </x:is>
      </x:c>
      <x:c r="AE433" s="5" t="inlineStr">
        <x:is>
          <x:t xml:space="preserve">.tmp/cobblemon-1.7.3-source/common/src/main/resources/data/cobblemon/species/generation4/mismagius.json</x:t>
        </x:is>
      </x:c>
      <x:c r="AF433" s="5" t="str">
        <x:f>"생활권|"&amp;K433</x:f>
        <x:v>생활권|비행</x:v>
      </x:c>
      <x:c r="AG433" s="5" t="str">
        <x:f>"지형|"&amp;L433</x:f>
        <x:v>지형|특수</x:v>
      </x:c>
      <x:c r="AH433" s="5" t="str">
        <x:f>"온도|"&amp;M433</x:f>
        <x:v>온도|온대</x:v>
      </x:c>
      <x:c r="AI433" s="5" t="str">
        <x:f>"습도|"&amp;N433</x:f>
        <x:v>습도|보통</x:v>
      </x:c>
      <x:c r="AJ433" s="5" t="str">
        <x:f>"날씨|"&amp;O433</x:f>
        <x:v>날씨|안개</x:v>
      </x:c>
      <x:c r="AK433" s="5" t="str">
        <x:f>"특수태그|"&amp;R433</x:f>
        <x:v>특수태그|영체</x:v>
      </x:c>
      <x:c r="AL433" s="5" t="str">
        <x:f>"원본서식지|"&amp;S433</x:f>
        <x:v>원본서식지|특수</x:v>
      </x:c>
      <x:c r="AM433" s="5" t="str">
        <x:f>"타입|"&amp;F433</x:f>
        <x:v>타입|고스트</x:v>
      </x:c>
      <x:c r="AN433" s="5" t="str">
        <x:f>"타입|"&amp;G433</x:f>
        <x:v>타입|</x:v>
      </x:c>
    </x:row>
    <x:row r="434" ht="24" customHeight="1">
      <x:c r="A434" s="5" t="n">
        <x:v>430</x:v>
      </x:c>
      <x:c r="B434" s="5" t="inlineStr">
        <x:is>
          <x:t xml:space="preserve">돈크로우</x:t>
        </x:is>
      </x:c>
      <x:c r="C434" s="5" t="inlineStr">
        <x:is>
          <x:t xml:space="preserve">honchkrow</x:t>
        </x:is>
      </x:c>
      <x:c r="D434" s="5" t="inlineStr">
        <x:is>
          <x:t xml:space="preserve">Honchkrow</x:t>
        </x:is>
      </x:c>
      <x:c r="E434" s="5" t="n">
        <x:v>4</x:v>
      </x:c>
      <x:c r="F434" s="5" t="inlineStr">
        <x:is>
          <x:t xml:space="preserve">악</x:t>
        </x:is>
      </x:c>
      <x:c r="G434" s="5" t="inlineStr">
        <x:is>
          <x:t xml:space="preserve">비행</x:t>
        </x:is>
      </x:c>
      <x:c r="H434" s="6" t="n">
        <x:v>27.3</x:v>
      </x:c>
      <x:c r="I434" s="5" t="n"/>
      <x:c r="J434" s="5" t="inlineStr">
        <x:is>
          <x:t xml:space="preserve">최종</x:t>
        </x:is>
      </x:c>
      <x:c r="K434" s="7" t="inlineStr">
        <x:is>
          <x:t xml:space="preserve">비행</x:t>
        </x:is>
      </x:c>
      <x:c r="L434" s="7" t="inlineStr">
        <x:is>
          <x:t xml:space="preserve">특수</x:t>
        </x:is>
      </x:c>
      <x:c r="M434" s="7" t="inlineStr">
        <x:is>
          <x:t xml:space="preserve">서늘</x:t>
        </x:is>
      </x:c>
      <x:c r="N434" s="7" t="inlineStr">
        <x:is>
          <x:t xml:space="preserve">보통</x:t>
        </x:is>
      </x:c>
      <x:c r="O434" s="7" t="inlineStr">
        <x:is>
          <x:t xml:space="preserve">무관</x:t>
        </x:is>
      </x:c>
      <x:c r="P434" s="7" t="inlineStr">
        <x:is>
          <x:t xml:space="preserve">밤</x:t>
        </x:is>
      </x:c>
      <x:c r="Q434" s="7" t="inlineStr">
        <x:is>
          <x:t xml:space="preserve">흔함</x:t>
        </x:is>
      </x:c>
      <x:c r="R434" s="7" t="inlineStr">
        <x:is>
          <x:t xml:space="preserve">영체</x:t>
        </x:is>
      </x:c>
      <x:c r="S434" s="7" t="inlineStr">
        <x:is>
          <x:t xml:space="preserve">특수</x:t>
        </x:is>
      </x:c>
      <x:c r="T434" s="7" t="inlineStr">
        <x:is>
          <x:t xml:space="preserve"/>
        </x:is>
      </x:c>
      <x:c r="U434" s="8" t="str">
        <x:f>INDEX('서식지_점수'!$E$4:$P$4,1,MATCH(MAX('서식지_점수'!E434:P434),'서식지_점수'!E434:P434,0))</x:f>
        <x:v>산악</x:v>
      </x:c>
      <x:c r="V434" s="8" t="str">
        <x:f>IF(T434&lt;&gt;"",T434,U434)</x:f>
        <x:v>산악</x:v>
      </x:c>
      <x:c r="W434" s="8" t="str">
        <x:f>IFERROR(INDEX('서식지_점수'!$E$4:$P$4,1,MATCH(MAXIFS('서식지_점수'!E434:P434,'서식지_점수'!E434:P434,"&lt;"&amp;MAX('서식지_점수'!E434:P434)),'서식지_점수'!E434:P434,0)),"")</x:f>
        <x:v>평원</x:v>
      </x:c>
      <x:c r="X434" s="8" t="str">
        <x:f>IF(T434&lt;&gt;"","수동확정",IF(MAX('서식지_점수'!E434:P434)-LARGE('서식지_점수'!E434:P434,2)&gt;=15,"높음",IF(MAX('서식지_점수'!E434:P434)-LARGE('서식지_점수'!E434:P434,2)&gt;=8,"보통","검토필요")))</x:f>
        <x:v>검토필요</x:v>
      </x:c>
      <x:c r="Y434" s="9" t="n">
        <x:f>IF(Q434="전설",8,IF(Q434="희귀",7,IF(J434="기본",1,IF(J434="중간",3,IF(J434="최종",IF(I434="",5,IF(I434&lt;=20,3,IF(I434&lt;=35,4,IF(I434&lt;=50,6,7)))),IF(Q434="드묾",4,2))))))</x:f>
        <x:v>5</x:v>
      </x:c>
      <x:c r="Z434" s="5" t="inlineStr">
        <x:is>
          <x:t xml:space="preserve">#cobblemon:is_sky; #cobblemon:is_spooky; #cobblemon:is_swamp; #cobblemon:is_taiga</x:t>
        </x:is>
      </x:c>
      <x:c r="AA434" s="5" t="inlineStr">
        <x:is>
          <x:t xml:space="preserve">common</x:t>
        </x:is>
      </x:c>
      <x:c r="AB434" s="5" t="inlineStr">
        <x:is>
          <x:t xml:space="preserve">예</x:t>
        </x:is>
      </x:c>
      <x:c r="AC434" s="8" t="str">
        <x:f>IF(T434&lt;&gt;"","수동확정",IF(X434="검토필요","검토필요",IF(S434="","원본없음","초기완료")))</x:f>
        <x:v>검토필요</x:v>
      </x:c>
      <x:c r="AD434" s="7" t="inlineStr">
        <x:is>
          <x:t xml:space="preserve"/>
        </x:is>
      </x:c>
      <x:c r="AE434" s="5" t="inlineStr">
        <x:is>
          <x:t xml:space="preserve">.tmp/cobblemon-1.7.3-source/common/src/main/resources/data/cobblemon/species/generation4/honchkrow.json</x:t>
        </x:is>
      </x:c>
      <x:c r="AF434" s="5" t="str">
        <x:f>"생활권|"&amp;K434</x:f>
        <x:v>생활권|비행</x:v>
      </x:c>
      <x:c r="AG434" s="5" t="str">
        <x:f>"지형|"&amp;L434</x:f>
        <x:v>지형|특수</x:v>
      </x:c>
      <x:c r="AH434" s="5" t="str">
        <x:f>"온도|"&amp;M434</x:f>
        <x:v>온도|서늘</x:v>
      </x:c>
      <x:c r="AI434" s="5" t="str">
        <x:f>"습도|"&amp;N434</x:f>
        <x:v>습도|보통</x:v>
      </x:c>
      <x:c r="AJ434" s="5" t="str">
        <x:f>"날씨|"&amp;O434</x:f>
        <x:v>날씨|무관</x:v>
      </x:c>
      <x:c r="AK434" s="5" t="str">
        <x:f>"특수태그|"&amp;R434</x:f>
        <x:v>특수태그|영체</x:v>
      </x:c>
      <x:c r="AL434" s="5" t="str">
        <x:f>"원본서식지|"&amp;S434</x:f>
        <x:v>원본서식지|특수</x:v>
      </x:c>
      <x:c r="AM434" s="5" t="str">
        <x:f>"타입|"&amp;F434</x:f>
        <x:v>타입|악</x:v>
      </x:c>
      <x:c r="AN434" s="5" t="str">
        <x:f>"타입|"&amp;G434</x:f>
        <x:v>타입|비행</x:v>
      </x:c>
    </x:row>
    <x:row r="435" ht="24" customHeight="1">
      <x:c r="A435" s="5" t="n">
        <x:v>431</x:v>
      </x:c>
      <x:c r="B435" s="5" t="inlineStr">
        <x:is>
          <x:t xml:space="preserve">나옹마</x:t>
        </x:is>
      </x:c>
      <x:c r="C435" s="5" t="inlineStr">
        <x:is>
          <x:t xml:space="preserve">glameow</x:t>
        </x:is>
      </x:c>
      <x:c r="D435" s="5" t="inlineStr">
        <x:is>
          <x:t xml:space="preserve">Glameow</x:t>
        </x:is>
      </x:c>
      <x:c r="E435" s="5" t="n">
        <x:v>4</x:v>
      </x:c>
      <x:c r="F435" s="5" t="inlineStr">
        <x:is>
          <x:t xml:space="preserve">노말</x:t>
        </x:is>
      </x:c>
      <x:c r="G435" s="5" t="inlineStr">
        <x:is>
          <x:t xml:space="preserve"/>
        </x:is>
      </x:c>
      <x:c r="H435" s="6" t="n">
        <x:v>3.9</x:v>
      </x:c>
      <x:c r="I435" s="5" t="n">
        <x:v>38</x:v>
      </x:c>
      <x:c r="J435" s="5" t="inlineStr">
        <x:is>
          <x:t xml:space="preserve">기본</x:t>
        </x:is>
      </x:c>
      <x:c r="K435" s="7" t="inlineStr">
        <x:is>
          <x:t xml:space="preserve">육상</x:t>
        </x:is>
      </x:c>
      <x:c r="L435" s="7" t="inlineStr">
        <x:is>
          <x:t xml:space="preserve">건조</x:t>
        </x:is>
      </x:c>
      <x:c r="M435" s="7" t="inlineStr">
        <x:is>
          <x:t xml:space="preserve">고온</x:t>
        </x:is>
      </x:c>
      <x:c r="N435" s="7" t="inlineStr">
        <x:is>
          <x:t xml:space="preserve">건조</x:t>
        </x:is>
      </x:c>
      <x:c r="O435" s="7" t="inlineStr">
        <x:is>
          <x:t xml:space="preserve">맑음</x:t>
        </x:is>
      </x:c>
      <x:c r="P435" s="7" t="inlineStr">
        <x:is>
          <x:t xml:space="preserve">무관</x:t>
        </x:is>
      </x:c>
      <x:c r="Q435" s="7" t="inlineStr">
        <x:is>
          <x:t xml:space="preserve">흔함</x:t>
        </x:is>
      </x:c>
      <x:c r="R435" s="7" t="inlineStr">
        <x:is>
          <x:t xml:space="preserve">없음</x:t>
        </x:is>
      </x:c>
      <x:c r="S435" s="7" t="inlineStr">
        <x:is>
          <x:t xml:space="preserve">건조지</x:t>
        </x:is>
      </x:c>
      <x:c r="T435" s="7" t="inlineStr">
        <x:is>
          <x:t xml:space="preserve"/>
        </x:is>
      </x:c>
      <x:c r="U435" s="8" t="str">
        <x:f>INDEX('서식지_점수'!$E$4:$P$4,1,MATCH(MAX('서식지_점수'!E435:P435),'서식지_점수'!E435:P435,0))</x:f>
        <x:v>평원</x:v>
      </x:c>
      <x:c r="V435" s="8" t="str">
        <x:f>IF(T435&lt;&gt;"",T435,U435)</x:f>
        <x:v>평원</x:v>
      </x:c>
      <x:c r="W435" s="8" t="str">
        <x:f>IFERROR(INDEX('서식지_점수'!$E$4:$P$4,1,MATCH(MAXIFS('서식지_점수'!E435:P435,'서식지_점수'!E435:P435,"&lt;"&amp;MAX('서식지_점수'!E435:P435)),'서식지_점수'!E435:P435,0)),"")</x:f>
        <x:v>숲</x:v>
      </x:c>
      <x:c r="X435" s="8" t="str">
        <x:f>IF(T435&lt;&gt;"","수동확정",IF(MAX('서식지_점수'!E435:P435)-LARGE('서식지_점수'!E435:P435,2)&gt;=15,"높음",IF(MAX('서식지_점수'!E435:P435)-LARGE('서식지_점수'!E435:P435,2)&gt;=8,"보통","검토필요")))</x:f>
        <x:v>검토필요</x:v>
      </x:c>
      <x:c r="Y435" s="9" t="n">
        <x:f>IF(Q435="전설",8,IF(Q435="희귀",7,IF(J435="기본",1,IF(J435="중간",3,IF(J435="최종",IF(I435="",5,IF(I435&lt;=20,3,IF(I435&lt;=35,4,IF(I435&lt;=50,6,7)))),IF(Q435="드묾",4,2))))))</x:f>
        <x:v>1</x:v>
      </x:c>
      <x:c r="Z435" s="5" t="inlineStr">
        <x:is>
          <x:t xml:space="preserve">#cobblemon:is_arid; #cobblemon:is_freezing; #cobblemon:is_overworld; #cobblemon:is_plains</x:t>
        </x:is>
      </x:c>
      <x:c r="AA435" s="5" t="inlineStr">
        <x:is>
          <x:t xml:space="preserve">common</x:t>
        </x:is>
      </x:c>
      <x:c r="AB435" s="5" t="inlineStr">
        <x:is>
          <x:t xml:space="preserve">예</x:t>
        </x:is>
      </x:c>
      <x:c r="AC435" s="8" t="str">
        <x:f>IF(T435&lt;&gt;"","수동확정",IF(X435="검토필요","검토필요",IF(S435="","원본없음","초기완료")))</x:f>
        <x:v>검토필요</x:v>
      </x:c>
      <x:c r="AD435" s="7" t="inlineStr">
        <x:is>
          <x:t xml:space="preserve"/>
        </x:is>
      </x:c>
      <x:c r="AE435" s="5" t="inlineStr">
        <x:is>
          <x:t xml:space="preserve">.tmp/cobblemon-1.7.3-source/common/src/main/resources/data/cobblemon/species/generation4/glameow.json</x:t>
        </x:is>
      </x:c>
      <x:c r="AF435" s="5" t="str">
        <x:f>"생활권|"&amp;K435</x:f>
        <x:v>생활권|육상</x:v>
      </x:c>
      <x:c r="AG435" s="5" t="str">
        <x:f>"지형|"&amp;L435</x:f>
        <x:v>지형|건조</x:v>
      </x:c>
      <x:c r="AH435" s="5" t="str">
        <x:f>"온도|"&amp;M435</x:f>
        <x:v>온도|고온</x:v>
      </x:c>
      <x:c r="AI435" s="5" t="str">
        <x:f>"습도|"&amp;N435</x:f>
        <x:v>습도|건조</x:v>
      </x:c>
      <x:c r="AJ435" s="5" t="str">
        <x:f>"날씨|"&amp;O435</x:f>
        <x:v>날씨|맑음</x:v>
      </x:c>
      <x:c r="AK435" s="5" t="str">
        <x:f>"특수태그|"&amp;R435</x:f>
        <x:v>특수태그|없음</x:v>
      </x:c>
      <x:c r="AL435" s="5" t="str">
        <x:f>"원본서식지|"&amp;S435</x:f>
        <x:v>원본서식지|건조지</x:v>
      </x:c>
      <x:c r="AM435" s="5" t="str">
        <x:f>"타입|"&amp;F435</x:f>
        <x:v>타입|노말</x:v>
      </x:c>
      <x:c r="AN435" s="5" t="str">
        <x:f>"타입|"&amp;G435</x:f>
        <x:v>타입|</x:v>
      </x:c>
    </x:row>
    <x:row r="436" ht="24" customHeight="1">
      <x:c r="A436" s="5" t="n">
        <x:v>432</x:v>
      </x:c>
      <x:c r="B436" s="5" t="inlineStr">
        <x:is>
          <x:t xml:space="preserve">몬냥이</x:t>
        </x:is>
      </x:c>
      <x:c r="C436" s="5" t="inlineStr">
        <x:is>
          <x:t xml:space="preserve">purugly</x:t>
        </x:is>
      </x:c>
      <x:c r="D436" s="5" t="inlineStr">
        <x:is>
          <x:t xml:space="preserve">Purugly</x:t>
        </x:is>
      </x:c>
      <x:c r="E436" s="5" t="n">
        <x:v>4</x:v>
      </x:c>
      <x:c r="F436" s="5" t="inlineStr">
        <x:is>
          <x:t xml:space="preserve">노말</x:t>
        </x:is>
      </x:c>
      <x:c r="G436" s="5" t="inlineStr">
        <x:is>
          <x:t xml:space="preserve"/>
        </x:is>
      </x:c>
      <x:c r="H436" s="6" t="n">
        <x:v>43.8</x:v>
      </x:c>
      <x:c r="I436" s="5" t="n">
        <x:v>38</x:v>
      </x:c>
      <x:c r="J436" s="5" t="inlineStr">
        <x:is>
          <x:t xml:space="preserve">최종</x:t>
        </x:is>
      </x:c>
      <x:c r="K436" s="7" t="inlineStr">
        <x:is>
          <x:t xml:space="preserve">육상</x:t>
        </x:is>
      </x:c>
      <x:c r="L436" s="7" t="inlineStr">
        <x:is>
          <x:t xml:space="preserve">건조</x:t>
        </x:is>
      </x:c>
      <x:c r="M436" s="7" t="inlineStr">
        <x:is>
          <x:t xml:space="preserve">고온</x:t>
        </x:is>
      </x:c>
      <x:c r="N436" s="7" t="inlineStr">
        <x:is>
          <x:t xml:space="preserve">건조</x:t>
        </x:is>
      </x:c>
      <x:c r="O436" s="7" t="inlineStr">
        <x:is>
          <x:t xml:space="preserve">맑음</x:t>
        </x:is>
      </x:c>
      <x:c r="P436" s="7" t="inlineStr">
        <x:is>
          <x:t xml:space="preserve">무관</x:t>
        </x:is>
      </x:c>
      <x:c r="Q436" s="7" t="inlineStr">
        <x:is>
          <x:t xml:space="preserve">흔함</x:t>
        </x:is>
      </x:c>
      <x:c r="R436" s="7" t="inlineStr">
        <x:is>
          <x:t xml:space="preserve">없음</x:t>
        </x:is>
      </x:c>
      <x:c r="S436" s="7" t="inlineStr">
        <x:is>
          <x:t xml:space="preserve">건조지</x:t>
        </x:is>
      </x:c>
      <x:c r="T436" s="7" t="inlineStr">
        <x:is>
          <x:t xml:space="preserve"/>
        </x:is>
      </x:c>
      <x:c r="U436" s="8" t="str">
        <x:f>INDEX('서식지_점수'!$E$4:$P$4,1,MATCH(MAX('서식지_점수'!E436:P436),'서식지_점수'!E436:P436,0))</x:f>
        <x:v>평원</x:v>
      </x:c>
      <x:c r="V436" s="8" t="str">
        <x:f>IF(T436&lt;&gt;"",T436,U436)</x:f>
        <x:v>평원</x:v>
      </x:c>
      <x:c r="W436" s="8" t="str">
        <x:f>IFERROR(INDEX('서식지_점수'!$E$4:$P$4,1,MATCH(MAXIFS('서식지_점수'!E436:P436,'서식지_점수'!E436:P436,"&lt;"&amp;MAX('서식지_점수'!E436:P436)),'서식지_점수'!E436:P436,0)),"")</x:f>
        <x:v>숲</x:v>
      </x:c>
      <x:c r="X436" s="8" t="str">
        <x:f>IF(T436&lt;&gt;"","수동확정",IF(MAX('서식지_점수'!E436:P436)-LARGE('서식지_점수'!E436:P436,2)&gt;=15,"높음",IF(MAX('서식지_점수'!E436:P436)-LARGE('서식지_점수'!E436:P436,2)&gt;=8,"보통","검토필요")))</x:f>
        <x:v>검토필요</x:v>
      </x:c>
      <x:c r="Y436" s="9" t="n">
        <x:f>IF(Q436="전설",8,IF(Q436="희귀",7,IF(J436="기본",1,IF(J436="중간",3,IF(J436="최종",IF(I436="",5,IF(I436&lt;=20,3,IF(I436&lt;=35,4,IF(I436&lt;=50,6,7)))),IF(Q436="드묾",4,2))))))</x:f>
        <x:v>6</x:v>
      </x:c>
      <x:c r="Z436" s="5" t="inlineStr">
        <x:is>
          <x:t xml:space="preserve">#cobblemon:is_arid; #cobblemon:is_freezing; #cobblemon:is_overworld</x:t>
        </x:is>
      </x:c>
      <x:c r="AA436" s="5" t="inlineStr">
        <x:is>
          <x:t xml:space="preserve">common</x:t>
        </x:is>
      </x:c>
      <x:c r="AB436" s="5" t="inlineStr">
        <x:is>
          <x:t xml:space="preserve">예</x:t>
        </x:is>
      </x:c>
      <x:c r="AC436" s="8" t="str">
        <x:f>IF(T436&lt;&gt;"","수동확정",IF(X436="검토필요","검토필요",IF(S436="","원본없음","초기완료")))</x:f>
        <x:v>검토필요</x:v>
      </x:c>
      <x:c r="AD436" s="7" t="inlineStr">
        <x:is>
          <x:t xml:space="preserve"/>
        </x:is>
      </x:c>
      <x:c r="AE436" s="5" t="inlineStr">
        <x:is>
          <x:t xml:space="preserve">.tmp/cobblemon-1.7.3-source/common/src/main/resources/data/cobblemon/species/generation4/purugly.json</x:t>
        </x:is>
      </x:c>
      <x:c r="AF436" s="5" t="str">
        <x:f>"생활권|"&amp;K436</x:f>
        <x:v>생활권|육상</x:v>
      </x:c>
      <x:c r="AG436" s="5" t="str">
        <x:f>"지형|"&amp;L436</x:f>
        <x:v>지형|건조</x:v>
      </x:c>
      <x:c r="AH436" s="5" t="str">
        <x:f>"온도|"&amp;M436</x:f>
        <x:v>온도|고온</x:v>
      </x:c>
      <x:c r="AI436" s="5" t="str">
        <x:f>"습도|"&amp;N436</x:f>
        <x:v>습도|건조</x:v>
      </x:c>
      <x:c r="AJ436" s="5" t="str">
        <x:f>"날씨|"&amp;O436</x:f>
        <x:v>날씨|맑음</x:v>
      </x:c>
      <x:c r="AK436" s="5" t="str">
        <x:f>"특수태그|"&amp;R436</x:f>
        <x:v>특수태그|없음</x:v>
      </x:c>
      <x:c r="AL436" s="5" t="str">
        <x:f>"원본서식지|"&amp;S436</x:f>
        <x:v>원본서식지|건조지</x:v>
      </x:c>
      <x:c r="AM436" s="5" t="str">
        <x:f>"타입|"&amp;F436</x:f>
        <x:v>타입|노말</x:v>
      </x:c>
      <x:c r="AN436" s="5" t="str">
        <x:f>"타입|"&amp;G436</x:f>
        <x:v>타입|</x:v>
      </x:c>
    </x:row>
    <x:row r="437" ht="24" customHeight="1">
      <x:c r="A437" s="5" t="n">
        <x:v>433</x:v>
      </x:c>
      <x:c r="B437" s="5" t="inlineStr">
        <x:is>
          <x:t xml:space="preserve">랑딸랑</x:t>
        </x:is>
      </x:c>
      <x:c r="C437" s="5" t="inlineStr">
        <x:is>
          <x:t xml:space="preserve">chingling</x:t>
        </x:is>
      </x:c>
      <x:c r="D437" s="5" t="inlineStr">
        <x:is>
          <x:t xml:space="preserve">Chingling</x:t>
        </x:is>
      </x:c>
      <x:c r="E437" s="5" t="n">
        <x:v>4</x:v>
      </x:c>
      <x:c r="F437" s="5" t="inlineStr">
        <x:is>
          <x:t xml:space="preserve">에스퍼</x:t>
        </x:is>
      </x:c>
      <x:c r="G437" s="5" t="inlineStr">
        <x:is>
          <x:t xml:space="preserve"/>
        </x:is>
      </x:c>
      <x:c r="H437" s="6" t="n">
        <x:v>0.6</x:v>
      </x:c>
      <x:c r="I437" s="5" t="n"/>
      <x:c r="J437" s="5" t="inlineStr">
        <x:is>
          <x:t xml:space="preserve">기본</x:t>
        </x:is>
      </x:c>
      <x:c r="K437" s="7" t="inlineStr">
        <x:is>
          <x:t xml:space="preserve">비행</x:t>
        </x:is>
      </x:c>
      <x:c r="L437" s="7" t="inlineStr">
        <x:is>
          <x:t xml:space="preserve">수목</x:t>
        </x:is>
      </x:c>
      <x:c r="M437" s="7" t="inlineStr">
        <x:is>
          <x:t xml:space="preserve">서늘</x:t>
        </x:is>
      </x:c>
      <x:c r="N437" s="7" t="inlineStr">
        <x:is>
          <x:t xml:space="preserve">보통</x:t>
        </x:is>
      </x:c>
      <x:c r="O437" s="7" t="inlineStr">
        <x:is>
          <x:t xml:space="preserve">무관</x:t>
        </x:is>
      </x:c>
      <x:c r="P437" s="7" t="inlineStr">
        <x:is>
          <x:t xml:space="preserve">밤</x:t>
        </x:is>
      </x:c>
      <x:c r="Q437" s="7" t="inlineStr">
        <x:is>
          <x:t xml:space="preserve">보통</x:t>
        </x:is>
      </x:c>
      <x:c r="R437" s="7" t="inlineStr">
        <x:is>
          <x:t xml:space="preserve">영체</x:t>
        </x:is>
      </x:c>
      <x:c r="S437" s="7" t="inlineStr">
        <x:is>
          <x:t xml:space="preserve">숲</x:t>
        </x:is>
      </x:c>
      <x:c r="T437" s="7" t="inlineStr">
        <x:is>
          <x:t xml:space="preserve"/>
        </x:is>
      </x:c>
      <x:c r="U437" s="8" t="str">
        <x:f>INDEX('서식지_점수'!$E$4:$P$4,1,MATCH(MAX('서식지_점수'!E437:P437),'서식지_점수'!E437:P437,0))</x:f>
        <x:v>산악</x:v>
      </x:c>
      <x:c r="V437" s="8" t="str">
        <x:f>IF(T437&lt;&gt;"",T437,U437)</x:f>
        <x:v>산악</x:v>
      </x:c>
      <x:c r="W437" s="8" t="str">
        <x:f>IFERROR(INDEX('서식지_점수'!$E$4:$P$4,1,MATCH(MAXIFS('서식지_점수'!E437:P437,'서식지_점수'!E437:P437,"&lt;"&amp;MAX('서식지_점수'!E437:P437)),'서식지_점수'!E437:P437,0)),"")</x:f>
        <x:v>평원</x:v>
      </x:c>
      <x:c r="X437" s="8" t="str">
        <x:f>IF(T437&lt;&gt;"","수동확정",IF(MAX('서식지_점수'!E437:P437)-LARGE('서식지_점수'!E437:P437,2)&gt;=15,"높음",IF(MAX('서식지_점수'!E437:P437)-LARGE('서식지_점수'!E437:P437,2)&gt;=8,"보통","검토필요")))</x:f>
        <x:v>검토필요</x:v>
      </x:c>
      <x:c r="Y437" s="9" t="n">
        <x:f>IF(Q437="전설",8,IF(Q437="희귀",7,IF(J437="기본",1,IF(J437="중간",3,IF(J437="최종",IF(I437="",5,IF(I437&lt;=20,3,IF(I437&lt;=35,4,IF(I437&lt;=50,6,7)))),IF(Q437="드묾",4,2))))))</x:f>
        <x:v>1</x:v>
      </x:c>
      <x:c r="Z437" s="5" t="inlineStr">
        <x:is>
          <x:t xml:space="preserve">#cobblemon:is_forest; #cobblemon:is_magical; #cobblemon:is_mountain; #cobblemon:is_overworld; #cobblemon:is_spooky; #cobblemon:is_taiga</x:t>
        </x:is>
      </x:c>
      <x:c r="AA437" s="5" t="inlineStr">
        <x:is>
          <x:t xml:space="preserve">uncommon</x:t>
        </x:is>
      </x:c>
      <x:c r="AB437" s="5" t="inlineStr">
        <x:is>
          <x:t xml:space="preserve">예</x:t>
        </x:is>
      </x:c>
      <x:c r="AC437" s="8" t="str">
        <x:f>IF(T437&lt;&gt;"","수동확정",IF(X437="검토필요","검토필요",IF(S437="","원본없음","초기완료")))</x:f>
        <x:v>검토필요</x:v>
      </x:c>
      <x:c r="AD437" s="7" t="inlineStr">
        <x:is>
          <x:t xml:space="preserve"/>
        </x:is>
      </x:c>
      <x:c r="AE437" s="5" t="inlineStr">
        <x:is>
          <x:t xml:space="preserve">.tmp/cobblemon-1.7.3-source/common/src/main/resources/data/cobblemon/species/generation4/chingling.json</x:t>
        </x:is>
      </x:c>
      <x:c r="AF437" s="5" t="str">
        <x:f>"생활권|"&amp;K437</x:f>
        <x:v>생활권|비행</x:v>
      </x:c>
      <x:c r="AG437" s="5" t="str">
        <x:f>"지형|"&amp;L437</x:f>
        <x:v>지형|수목</x:v>
      </x:c>
      <x:c r="AH437" s="5" t="str">
        <x:f>"온도|"&amp;M437</x:f>
        <x:v>온도|서늘</x:v>
      </x:c>
      <x:c r="AI437" s="5" t="str">
        <x:f>"습도|"&amp;N437</x:f>
        <x:v>습도|보통</x:v>
      </x:c>
      <x:c r="AJ437" s="5" t="str">
        <x:f>"날씨|"&amp;O437</x:f>
        <x:v>날씨|무관</x:v>
      </x:c>
      <x:c r="AK437" s="5" t="str">
        <x:f>"특수태그|"&amp;R437</x:f>
        <x:v>특수태그|영체</x:v>
      </x:c>
      <x:c r="AL437" s="5" t="str">
        <x:f>"원본서식지|"&amp;S437</x:f>
        <x:v>원본서식지|숲</x:v>
      </x:c>
      <x:c r="AM437" s="5" t="str">
        <x:f>"타입|"&amp;F437</x:f>
        <x:v>타입|에스퍼</x:v>
      </x:c>
      <x:c r="AN437" s="5" t="str">
        <x:f>"타입|"&amp;G437</x:f>
        <x:v>타입|</x:v>
      </x:c>
    </x:row>
    <x:row r="438" ht="24" customHeight="1">
      <x:c r="A438" s="5" t="n">
        <x:v>434</x:v>
      </x:c>
      <x:c r="B438" s="5" t="inlineStr">
        <x:is>
          <x:t xml:space="preserve">스컹뿡</x:t>
        </x:is>
      </x:c>
      <x:c r="C438" s="5" t="inlineStr">
        <x:is>
          <x:t xml:space="preserve">stunky</x:t>
        </x:is>
      </x:c>
      <x:c r="D438" s="5" t="inlineStr">
        <x:is>
          <x:t xml:space="preserve">Stunky</x:t>
        </x:is>
      </x:c>
      <x:c r="E438" s="5" t="n">
        <x:v>4</x:v>
      </x:c>
      <x:c r="F438" s="5" t="inlineStr">
        <x:is>
          <x:t xml:space="preserve">독</x:t>
        </x:is>
      </x:c>
      <x:c r="G438" s="5" t="inlineStr">
        <x:is>
          <x:t xml:space="preserve">악</x:t>
        </x:is>
      </x:c>
      <x:c r="H438" s="6" t="n">
        <x:v>19.2</x:v>
      </x:c>
      <x:c r="I438" s="5" t="n">
        <x:v>34</x:v>
      </x:c>
      <x:c r="J438" s="5" t="inlineStr">
        <x:is>
          <x:t xml:space="preserve">기본</x:t>
        </x:is>
      </x:c>
      <x:c r="K438" s="7" t="inlineStr">
        <x:is>
          <x:t xml:space="preserve">육상</x:t>
        </x:is>
      </x:c>
      <x:c r="L438" s="7" t="inlineStr">
        <x:is>
          <x:t xml:space="preserve">습지</x:t>
        </x:is>
      </x:c>
      <x:c r="M438" s="7" t="inlineStr">
        <x:is>
          <x:t xml:space="preserve">온대</x:t>
        </x:is>
      </x:c>
      <x:c r="N438" s="7" t="inlineStr">
        <x:is>
          <x:t xml:space="preserve">다습</x:t>
        </x:is>
      </x:c>
      <x:c r="O438" s="7" t="inlineStr">
        <x:is>
          <x:t xml:space="preserve">비</x:t>
        </x:is>
      </x:c>
      <x:c r="P438" s="7" t="inlineStr">
        <x:is>
          <x:t xml:space="preserve">밤</x:t>
        </x:is>
      </x:c>
      <x:c r="Q438" s="7" t="inlineStr">
        <x:is>
          <x:t xml:space="preserve">흔함</x:t>
        </x:is>
      </x:c>
      <x:c r="R438" s="7" t="inlineStr">
        <x:is>
          <x:t xml:space="preserve">없음</x:t>
        </x:is>
      </x:c>
      <x:c r="S438" s="7" t="inlineStr">
        <x:is>
          <x:t xml:space="preserve">습지</x:t>
        </x:is>
      </x:c>
      <x:c r="T438" s="7" t="inlineStr">
        <x:is>
          <x:t xml:space="preserve"/>
        </x:is>
      </x:c>
      <x:c r="U438" s="8" t="str">
        <x:f>INDEX('서식지_점수'!$E$4:$P$4,1,MATCH(MAX('서식지_점수'!E438:P438),'서식지_점수'!E438:P438,0))</x:f>
        <x:v>평원</x:v>
      </x:c>
      <x:c r="V438" s="8" t="str">
        <x:f>IF(T438&lt;&gt;"",T438,U438)</x:f>
        <x:v>평원</x:v>
      </x:c>
      <x:c r="W438" s="8" t="str">
        <x:f>IFERROR(INDEX('서식지_점수'!$E$4:$P$4,1,MATCH(MAXIFS('서식지_점수'!E438:P438,'서식지_점수'!E438:P438,"&lt;"&amp;MAX('서식지_점수'!E438:P438)),'서식지_점수'!E438:P438,0)),"")</x:f>
        <x:v>숲</x:v>
      </x:c>
      <x:c r="X438" s="8" t="str">
        <x:f>IF(T438&lt;&gt;"","수동확정",IF(MAX('서식지_점수'!E438:P438)-LARGE('서식지_점수'!E438:P438,2)&gt;=15,"높음",IF(MAX('서식지_점수'!E438:P438)-LARGE('서식지_점수'!E438:P438,2)&gt;=8,"보통","검토필요")))</x:f>
        <x:v>검토필요</x:v>
      </x:c>
      <x:c r="Y438" s="9" t="n">
        <x:f>IF(Q438="전설",8,IF(Q438="희귀",7,IF(J438="기본",1,IF(J438="중간",3,IF(J438="최종",IF(I438="",5,IF(I438&lt;=20,3,IF(I438&lt;=35,4,IF(I438&lt;=50,6,7)))),IF(Q438="드묾",4,2))))))</x:f>
        <x:v>1</x:v>
      </x:c>
      <x:c r="Z438" s="5" t="inlineStr">
        <x:is>
          <x:t xml:space="preserve">#cobblemon:is_swamp</x:t>
        </x:is>
      </x:c>
      <x:c r="AA438" s="5" t="inlineStr">
        <x:is>
          <x:t xml:space="preserve">common</x:t>
        </x:is>
      </x:c>
      <x:c r="AB438" s="5" t="inlineStr">
        <x:is>
          <x:t xml:space="preserve">아니오</x:t>
        </x:is>
      </x:c>
      <x:c r="AC438" s="8" t="str">
        <x:f>IF(T438&lt;&gt;"","수동확정",IF(X438="검토필요","검토필요",IF(S438="","원본없음","초기완료")))</x:f>
        <x:v>검토필요</x:v>
      </x:c>
      <x:c r="AD438" s="7" t="inlineStr">
        <x:is>
          <x:t xml:space="preserve"/>
        </x:is>
      </x:c>
      <x:c r="AE438" s="5" t="inlineStr">
        <x:is>
          <x:t xml:space="preserve">.tmp/cobblemon-1.7.3-source/common/src/main/resources/data/cobblemon/species/generation4/stunky.json</x:t>
        </x:is>
      </x:c>
      <x:c r="AF438" s="5" t="str">
        <x:f>"생활권|"&amp;K438</x:f>
        <x:v>생활권|육상</x:v>
      </x:c>
      <x:c r="AG438" s="5" t="str">
        <x:f>"지형|"&amp;L438</x:f>
        <x:v>지형|습지</x:v>
      </x:c>
      <x:c r="AH438" s="5" t="str">
        <x:f>"온도|"&amp;M438</x:f>
        <x:v>온도|온대</x:v>
      </x:c>
      <x:c r="AI438" s="5" t="str">
        <x:f>"습도|"&amp;N438</x:f>
        <x:v>습도|다습</x:v>
      </x:c>
      <x:c r="AJ438" s="5" t="str">
        <x:f>"날씨|"&amp;O438</x:f>
        <x:v>날씨|비</x:v>
      </x:c>
      <x:c r="AK438" s="5" t="str">
        <x:f>"특수태그|"&amp;R438</x:f>
        <x:v>특수태그|없음</x:v>
      </x:c>
      <x:c r="AL438" s="5" t="str">
        <x:f>"원본서식지|"&amp;S438</x:f>
        <x:v>원본서식지|습지</x:v>
      </x:c>
      <x:c r="AM438" s="5" t="str">
        <x:f>"타입|"&amp;F438</x:f>
        <x:v>타입|독</x:v>
      </x:c>
      <x:c r="AN438" s="5" t="str">
        <x:f>"타입|"&amp;G438</x:f>
        <x:v>타입|악</x:v>
      </x:c>
    </x:row>
    <x:row r="439" ht="24" customHeight="1">
      <x:c r="A439" s="5" t="n">
        <x:v>435</x:v>
      </x:c>
      <x:c r="B439" s="5" t="inlineStr">
        <x:is>
          <x:t xml:space="preserve">스컹탱크</x:t>
        </x:is>
      </x:c>
      <x:c r="C439" s="5" t="inlineStr">
        <x:is>
          <x:t xml:space="preserve">skuntank</x:t>
        </x:is>
      </x:c>
      <x:c r="D439" s="5" t="inlineStr">
        <x:is>
          <x:t xml:space="preserve">Skuntank</x:t>
        </x:is>
      </x:c>
      <x:c r="E439" s="5" t="n">
        <x:v>4</x:v>
      </x:c>
      <x:c r="F439" s="5" t="inlineStr">
        <x:is>
          <x:t xml:space="preserve">독</x:t>
        </x:is>
      </x:c>
      <x:c r="G439" s="5" t="inlineStr">
        <x:is>
          <x:t xml:space="preserve">악</x:t>
        </x:is>
      </x:c>
      <x:c r="H439" s="6" t="n">
        <x:v>38</x:v>
      </x:c>
      <x:c r="I439" s="5" t="n">
        <x:v>34</x:v>
      </x:c>
      <x:c r="J439" s="5" t="inlineStr">
        <x:is>
          <x:t xml:space="preserve">최종</x:t>
        </x:is>
      </x:c>
      <x:c r="K439" s="7" t="inlineStr">
        <x:is>
          <x:t xml:space="preserve">육상</x:t>
        </x:is>
      </x:c>
      <x:c r="L439" s="7" t="inlineStr">
        <x:is>
          <x:t xml:space="preserve">습지</x:t>
        </x:is>
      </x:c>
      <x:c r="M439" s="7" t="inlineStr">
        <x:is>
          <x:t xml:space="preserve">온대</x:t>
        </x:is>
      </x:c>
      <x:c r="N439" s="7" t="inlineStr">
        <x:is>
          <x:t xml:space="preserve">다습</x:t>
        </x:is>
      </x:c>
      <x:c r="O439" s="7" t="inlineStr">
        <x:is>
          <x:t xml:space="preserve">비</x:t>
        </x:is>
      </x:c>
      <x:c r="P439" s="7" t="inlineStr">
        <x:is>
          <x:t xml:space="preserve">밤</x:t>
        </x:is>
      </x:c>
      <x:c r="Q439" s="7" t="inlineStr">
        <x:is>
          <x:t xml:space="preserve">보통</x:t>
        </x:is>
      </x:c>
      <x:c r="R439" s="7" t="inlineStr">
        <x:is>
          <x:t xml:space="preserve">없음</x:t>
        </x:is>
      </x:c>
      <x:c r="S439" s="7" t="inlineStr">
        <x:is>
          <x:t xml:space="preserve">습지</x:t>
        </x:is>
      </x:c>
      <x:c r="T439" s="7" t="inlineStr">
        <x:is>
          <x:t xml:space="preserve"/>
        </x:is>
      </x:c>
      <x:c r="U439" s="8" t="str">
        <x:f>INDEX('서식지_점수'!$E$4:$P$4,1,MATCH(MAX('서식지_점수'!E439:P439),'서식지_점수'!E439:P439,0))</x:f>
        <x:v>평원</x:v>
      </x:c>
      <x:c r="V439" s="8" t="str">
        <x:f>IF(T439&lt;&gt;"",T439,U439)</x:f>
        <x:v>평원</x:v>
      </x:c>
      <x:c r="W439" s="8" t="str">
        <x:f>IFERROR(INDEX('서식지_점수'!$E$4:$P$4,1,MATCH(MAXIFS('서식지_점수'!E439:P439,'서식지_점수'!E439:P439,"&lt;"&amp;MAX('서식지_점수'!E439:P439)),'서식지_점수'!E439:P439,0)),"")</x:f>
        <x:v>숲</x:v>
      </x:c>
      <x:c r="X439" s="8" t="str">
        <x:f>IF(T439&lt;&gt;"","수동확정",IF(MAX('서식지_점수'!E439:P439)-LARGE('서식지_점수'!E439:P439,2)&gt;=15,"높음",IF(MAX('서식지_점수'!E439:P439)-LARGE('서식지_점수'!E439:P439,2)&gt;=8,"보통","검토필요")))</x:f>
        <x:v>검토필요</x:v>
      </x:c>
      <x:c r="Y439" s="9" t="n">
        <x:f>IF(Q439="전설",8,IF(Q439="희귀",7,IF(J439="기본",1,IF(J439="중간",3,IF(J439="최종",IF(I439="",5,IF(I439&lt;=20,3,IF(I439&lt;=35,4,IF(I439&lt;=50,6,7)))),IF(Q439="드묾",4,2))))))</x:f>
        <x:v>4</x:v>
      </x:c>
      <x:c r="Z439" s="5" t="inlineStr">
        <x:is>
          <x:t xml:space="preserve">#cobblemon:is_swamp</x:t>
        </x:is>
      </x:c>
      <x:c r="AA439" s="5" t="inlineStr">
        <x:is>
          <x:t xml:space="preserve">uncommon</x:t>
        </x:is>
      </x:c>
      <x:c r="AB439" s="5" t="inlineStr">
        <x:is>
          <x:t xml:space="preserve">아니오</x:t>
        </x:is>
      </x:c>
      <x:c r="AC439" s="8" t="str">
        <x:f>IF(T439&lt;&gt;"","수동확정",IF(X439="검토필요","검토필요",IF(S439="","원본없음","초기완료")))</x:f>
        <x:v>검토필요</x:v>
      </x:c>
      <x:c r="AD439" s="7" t="inlineStr">
        <x:is>
          <x:t xml:space="preserve"/>
        </x:is>
      </x:c>
      <x:c r="AE439" s="5" t="inlineStr">
        <x:is>
          <x:t xml:space="preserve">.tmp/cobblemon-1.7.3-source/common/src/main/resources/data/cobblemon/species/generation4/skuntank.json</x:t>
        </x:is>
      </x:c>
      <x:c r="AF439" s="5" t="str">
        <x:f>"생활권|"&amp;K439</x:f>
        <x:v>생활권|육상</x:v>
      </x:c>
      <x:c r="AG439" s="5" t="str">
        <x:f>"지형|"&amp;L439</x:f>
        <x:v>지형|습지</x:v>
      </x:c>
      <x:c r="AH439" s="5" t="str">
        <x:f>"온도|"&amp;M439</x:f>
        <x:v>온도|온대</x:v>
      </x:c>
      <x:c r="AI439" s="5" t="str">
        <x:f>"습도|"&amp;N439</x:f>
        <x:v>습도|다습</x:v>
      </x:c>
      <x:c r="AJ439" s="5" t="str">
        <x:f>"날씨|"&amp;O439</x:f>
        <x:v>날씨|비</x:v>
      </x:c>
      <x:c r="AK439" s="5" t="str">
        <x:f>"특수태그|"&amp;R439</x:f>
        <x:v>특수태그|없음</x:v>
      </x:c>
      <x:c r="AL439" s="5" t="str">
        <x:f>"원본서식지|"&amp;S439</x:f>
        <x:v>원본서식지|습지</x:v>
      </x:c>
      <x:c r="AM439" s="5" t="str">
        <x:f>"타입|"&amp;F439</x:f>
        <x:v>타입|독</x:v>
      </x:c>
      <x:c r="AN439" s="5" t="str">
        <x:f>"타입|"&amp;G439</x:f>
        <x:v>타입|악</x:v>
      </x:c>
    </x:row>
    <x:row r="440" ht="24" customHeight="1">
      <x:c r="A440" s="5" t="n">
        <x:v>436</x:v>
      </x:c>
      <x:c r="B440" s="5" t="inlineStr">
        <x:is>
          <x:t xml:space="preserve">동미러</x:t>
        </x:is>
      </x:c>
      <x:c r="C440" s="5" t="inlineStr">
        <x:is>
          <x:t xml:space="preserve">bronzor</x:t>
        </x:is>
      </x:c>
      <x:c r="D440" s="5" t="inlineStr">
        <x:is>
          <x:t xml:space="preserve">Bronzor</x:t>
        </x:is>
      </x:c>
      <x:c r="E440" s="5" t="n">
        <x:v>4</x:v>
      </x:c>
      <x:c r="F440" s="5" t="inlineStr">
        <x:is>
          <x:t xml:space="preserve">강철</x:t>
        </x:is>
      </x:c>
      <x:c r="G440" s="5" t="inlineStr">
        <x:is>
          <x:t xml:space="preserve">에스퍼</x:t>
        </x:is>
      </x:c>
      <x:c r="H440" s="6" t="n">
        <x:v>60.5</x:v>
      </x:c>
      <x:c r="I440" s="5" t="n">
        <x:v>33</x:v>
      </x:c>
      <x:c r="J440" s="5" t="inlineStr">
        <x:is>
          <x:t xml:space="preserve">기본</x:t>
        </x:is>
      </x:c>
      <x:c r="K440" s="7" t="inlineStr">
        <x:is>
          <x:t xml:space="preserve">인공</x:t>
        </x:is>
      </x:c>
      <x:c r="L440" s="7" t="inlineStr">
        <x:is>
          <x:t xml:space="preserve">암석</x:t>
        </x:is>
      </x:c>
      <x:c r="M440" s="7" t="inlineStr">
        <x:is>
          <x:t xml:space="preserve">온대</x:t>
        </x:is>
      </x:c>
      <x:c r="N440" s="7" t="inlineStr">
        <x:is>
          <x:t xml:space="preserve">다습</x:t>
        </x:is>
      </x:c>
      <x:c r="O440" s="7" t="inlineStr">
        <x:is>
          <x:t xml:space="preserve">무관</x:t>
        </x:is>
      </x:c>
      <x:c r="P440" s="7" t="inlineStr">
        <x:is>
          <x:t xml:space="preserve">무관</x:t>
        </x:is>
      </x:c>
      <x:c r="Q440" s="7" t="inlineStr">
        <x:is>
          <x:t xml:space="preserve">보통</x:t>
        </x:is>
      </x:c>
      <x:c r="R440" s="7" t="inlineStr">
        <x:is>
          <x:t xml:space="preserve">도시</x:t>
        </x:is>
      </x:c>
      <x:c r="S440" s="7" t="inlineStr">
        <x:is>
          <x:t xml:space="preserve">산악</x:t>
        </x:is>
      </x:c>
      <x:c r="T440" s="7" t="inlineStr">
        <x:is>
          <x:t xml:space="preserve"/>
        </x:is>
      </x:c>
      <x:c r="U440" s="8" t="str">
        <x:f>INDEX('서식지_점수'!$E$4:$P$4,1,MATCH(MAX('서식지_점수'!E440:P440),'서식지_점수'!E440:P440,0))</x:f>
        <x:v>도시</x:v>
      </x:c>
      <x:c r="V440" s="8" t="str">
        <x:f>IF(T440&lt;&gt;"",T440,U440)</x:f>
        <x:v>도시</x:v>
      </x:c>
      <x:c r="W440" s="8" t="str">
        <x:f>IFERROR(INDEX('서식지_점수'!$E$4:$P$4,1,MATCH(MAXIFS('서식지_점수'!E440:P440,'서식지_점수'!E440:P440,"&lt;"&amp;MAX('서식지_점수'!E440:P440)),'서식지_점수'!E440:P440,0)),"")</x:f>
        <x:v>특수</x:v>
      </x:c>
      <x:c r="X440" s="8" t="str">
        <x:f>IF(T440&lt;&gt;"","수동확정",IF(MAX('서식지_점수'!E440:P440)-LARGE('서식지_점수'!E440:P440,2)&gt;=15,"높음",IF(MAX('서식지_점수'!E440:P440)-LARGE('서식지_점수'!E440:P440,2)&gt;=8,"보통","검토필요")))</x:f>
        <x:v>높음</x:v>
      </x:c>
      <x:c r="Y440" s="9" t="n">
        <x:f>IF(Q440="전설",8,IF(Q440="희귀",7,IF(J440="기본",1,IF(J440="중간",3,IF(J440="최종",IF(I440="",5,IF(I440&lt;=20,3,IF(I440&lt;=35,4,IF(I440&lt;=50,6,7)))),IF(Q440="드묾",4,2))))))</x:f>
        <x:v>1</x:v>
      </x:c>
      <x:c r="Z440" s="5" t="inlineStr">
        <x:is>
          <x:t xml:space="preserve">#cobblemon:is_jungle; #cobblemon:is_overworld; #cobblemon:is_peak; the_bumblezone:howling_constructs</x:t>
        </x:is>
      </x:c>
      <x:c r="AA440" s="5" t="inlineStr">
        <x:is>
          <x:t xml:space="preserve">common; uncommon</x:t>
        </x:is>
      </x:c>
      <x:c r="AB440" s="5" t="inlineStr">
        <x:is>
          <x:t xml:space="preserve">예</x:t>
        </x:is>
      </x:c>
      <x:c r="AC440" s="8" t="str">
        <x:f>IF(T440&lt;&gt;"","수동확정",IF(X440="검토필요","검토필요",IF(S440="","원본없음","초기완료")))</x:f>
        <x:v>초기완료</x:v>
      </x:c>
      <x:c r="AD440" s="7" t="inlineStr">
        <x:is>
          <x:t xml:space="preserve"/>
        </x:is>
      </x:c>
      <x:c r="AE440" s="5" t="inlineStr">
        <x:is>
          <x:t xml:space="preserve">.tmp/cobblemon-1.7.3-source/common/src/main/resources/data/cobblemon/species/generation4/bronzor.json</x:t>
        </x:is>
      </x:c>
      <x:c r="AF440" s="5" t="str">
        <x:f>"생활권|"&amp;K440</x:f>
        <x:v>생활권|인공</x:v>
      </x:c>
      <x:c r="AG440" s="5" t="str">
        <x:f>"지형|"&amp;L440</x:f>
        <x:v>지형|암석</x:v>
      </x:c>
      <x:c r="AH440" s="5" t="str">
        <x:f>"온도|"&amp;M440</x:f>
        <x:v>온도|온대</x:v>
      </x:c>
      <x:c r="AI440" s="5" t="str">
        <x:f>"습도|"&amp;N440</x:f>
        <x:v>습도|다습</x:v>
      </x:c>
      <x:c r="AJ440" s="5" t="str">
        <x:f>"날씨|"&amp;O440</x:f>
        <x:v>날씨|무관</x:v>
      </x:c>
      <x:c r="AK440" s="5" t="str">
        <x:f>"특수태그|"&amp;R440</x:f>
        <x:v>특수태그|도시</x:v>
      </x:c>
      <x:c r="AL440" s="5" t="str">
        <x:f>"원본서식지|"&amp;S440</x:f>
        <x:v>원본서식지|산악</x:v>
      </x:c>
      <x:c r="AM440" s="5" t="str">
        <x:f>"타입|"&amp;F440</x:f>
        <x:v>타입|강철</x:v>
      </x:c>
      <x:c r="AN440" s="5" t="str">
        <x:f>"타입|"&amp;G440</x:f>
        <x:v>타입|에스퍼</x:v>
      </x:c>
    </x:row>
    <x:row r="441" ht="24" customHeight="1">
      <x:c r="A441" s="5" t="n">
        <x:v>437</x:v>
      </x:c>
      <x:c r="B441" s="5" t="inlineStr">
        <x:is>
          <x:t xml:space="preserve">동탁군</x:t>
        </x:is>
      </x:c>
      <x:c r="C441" s="5" t="inlineStr">
        <x:is>
          <x:t xml:space="preserve">bronzong</x:t>
        </x:is>
      </x:c>
      <x:c r="D441" s="5" t="inlineStr">
        <x:is>
          <x:t xml:space="preserve">Bronzong</x:t>
        </x:is>
      </x:c>
      <x:c r="E441" s="5" t="n">
        <x:v>4</x:v>
      </x:c>
      <x:c r="F441" s="5" t="inlineStr">
        <x:is>
          <x:t xml:space="preserve">강철</x:t>
        </x:is>
      </x:c>
      <x:c r="G441" s="5" t="inlineStr">
        <x:is>
          <x:t xml:space="preserve">에스퍼</x:t>
        </x:is>
      </x:c>
      <x:c r="H441" s="6" t="n">
        <x:v>187</x:v>
      </x:c>
      <x:c r="I441" s="5" t="n">
        <x:v>33</x:v>
      </x:c>
      <x:c r="J441" s="5" t="inlineStr">
        <x:is>
          <x:t xml:space="preserve">최종</x:t>
        </x:is>
      </x:c>
      <x:c r="K441" s="7" t="inlineStr">
        <x:is>
          <x:t xml:space="preserve">인공</x:t>
        </x:is>
      </x:c>
      <x:c r="L441" s="7" t="inlineStr">
        <x:is>
          <x:t xml:space="preserve">암석</x:t>
        </x:is>
      </x:c>
      <x:c r="M441" s="7" t="inlineStr">
        <x:is>
          <x:t xml:space="preserve">온대</x:t>
        </x:is>
      </x:c>
      <x:c r="N441" s="7" t="inlineStr">
        <x:is>
          <x:t xml:space="preserve">다습</x:t>
        </x:is>
      </x:c>
      <x:c r="O441" s="7" t="inlineStr">
        <x:is>
          <x:t xml:space="preserve">무관</x:t>
        </x:is>
      </x:c>
      <x:c r="P441" s="7" t="inlineStr">
        <x:is>
          <x:t xml:space="preserve">무관</x:t>
        </x:is>
      </x:c>
      <x:c r="Q441" s="7" t="inlineStr">
        <x:is>
          <x:t xml:space="preserve">보통</x:t>
        </x:is>
      </x:c>
      <x:c r="R441" s="7" t="inlineStr">
        <x:is>
          <x:t xml:space="preserve">도시</x:t>
        </x:is>
      </x:c>
      <x:c r="S441" s="7" t="inlineStr">
        <x:is>
          <x:t xml:space="preserve">산악</x:t>
        </x:is>
      </x:c>
      <x:c r="T441" s="7" t="inlineStr">
        <x:is>
          <x:t xml:space="preserve"/>
        </x:is>
      </x:c>
      <x:c r="U441" s="8" t="str">
        <x:f>INDEX('서식지_점수'!$E$4:$P$4,1,MATCH(MAX('서식지_점수'!E441:P441),'서식지_점수'!E441:P441,0))</x:f>
        <x:v>도시</x:v>
      </x:c>
      <x:c r="V441" s="8" t="str">
        <x:f>IF(T441&lt;&gt;"",T441,U441)</x:f>
        <x:v>도시</x:v>
      </x:c>
      <x:c r="W441" s="8" t="str">
        <x:f>IFERROR(INDEX('서식지_점수'!$E$4:$P$4,1,MATCH(MAXIFS('서식지_점수'!E441:P441,'서식지_점수'!E441:P441,"&lt;"&amp;MAX('서식지_점수'!E441:P441)),'서식지_점수'!E441:P441,0)),"")</x:f>
        <x:v>특수</x:v>
      </x:c>
      <x:c r="X441" s="8" t="str">
        <x:f>IF(T441&lt;&gt;"","수동확정",IF(MAX('서식지_점수'!E441:P441)-LARGE('서식지_점수'!E441:P441,2)&gt;=15,"높음",IF(MAX('서식지_점수'!E441:P441)-LARGE('서식지_점수'!E441:P441,2)&gt;=8,"보통","검토필요")))</x:f>
        <x:v>높음</x:v>
      </x:c>
      <x:c r="Y441" s="9" t="n">
        <x:f>IF(Q441="전설",8,IF(Q441="희귀",7,IF(J441="기본",1,IF(J441="중간",3,IF(J441="최종",IF(I441="",5,IF(I441&lt;=20,3,IF(I441&lt;=35,4,IF(I441&lt;=50,6,7)))),IF(Q441="드묾",4,2))))))</x:f>
        <x:v>4</x:v>
      </x:c>
      <x:c r="Z441" s="5" t="inlineStr">
        <x:is>
          <x:t xml:space="preserve">#cobblemon:is_jungle; #cobblemon:is_overworld; #cobblemon:is_peak; the_bumblezone:howling_constructs</x:t>
        </x:is>
      </x:c>
      <x:c r="AA441" s="5" t="inlineStr">
        <x:is>
          <x:t xml:space="preserve">common; uncommon</x:t>
        </x:is>
      </x:c>
      <x:c r="AB441" s="5" t="inlineStr">
        <x:is>
          <x:t xml:space="preserve">예</x:t>
        </x:is>
      </x:c>
      <x:c r="AC441" s="8" t="str">
        <x:f>IF(T441&lt;&gt;"","수동확정",IF(X441="검토필요","검토필요",IF(S441="","원본없음","초기완료")))</x:f>
        <x:v>초기완료</x:v>
      </x:c>
      <x:c r="AD441" s="7" t="inlineStr">
        <x:is>
          <x:t xml:space="preserve"/>
        </x:is>
      </x:c>
      <x:c r="AE441" s="5" t="inlineStr">
        <x:is>
          <x:t xml:space="preserve">.tmp/cobblemon-1.7.3-source/common/src/main/resources/data/cobblemon/species/generation4/bronzong.json</x:t>
        </x:is>
      </x:c>
      <x:c r="AF441" s="5" t="str">
        <x:f>"생활권|"&amp;K441</x:f>
        <x:v>생활권|인공</x:v>
      </x:c>
      <x:c r="AG441" s="5" t="str">
        <x:f>"지형|"&amp;L441</x:f>
        <x:v>지형|암석</x:v>
      </x:c>
      <x:c r="AH441" s="5" t="str">
        <x:f>"온도|"&amp;M441</x:f>
        <x:v>온도|온대</x:v>
      </x:c>
      <x:c r="AI441" s="5" t="str">
        <x:f>"습도|"&amp;N441</x:f>
        <x:v>습도|다습</x:v>
      </x:c>
      <x:c r="AJ441" s="5" t="str">
        <x:f>"날씨|"&amp;O441</x:f>
        <x:v>날씨|무관</x:v>
      </x:c>
      <x:c r="AK441" s="5" t="str">
        <x:f>"특수태그|"&amp;R441</x:f>
        <x:v>특수태그|도시</x:v>
      </x:c>
      <x:c r="AL441" s="5" t="str">
        <x:f>"원본서식지|"&amp;S441</x:f>
        <x:v>원본서식지|산악</x:v>
      </x:c>
      <x:c r="AM441" s="5" t="str">
        <x:f>"타입|"&amp;F441</x:f>
        <x:v>타입|강철</x:v>
      </x:c>
      <x:c r="AN441" s="5" t="str">
        <x:f>"타입|"&amp;G441</x:f>
        <x:v>타입|에스퍼</x:v>
      </x:c>
    </x:row>
    <x:row r="442" ht="24" customHeight="1">
      <x:c r="A442" s="5" t="n">
        <x:v>438</x:v>
      </x:c>
      <x:c r="B442" s="5" t="inlineStr">
        <x:is>
          <x:t xml:space="preserve">꼬지지</x:t>
        </x:is>
      </x:c>
      <x:c r="C442" s="5" t="inlineStr">
        <x:is>
          <x:t xml:space="preserve">bonsly</x:t>
        </x:is>
      </x:c>
      <x:c r="D442" s="5" t="inlineStr">
        <x:is>
          <x:t xml:space="preserve">Bonsly</x:t>
        </x:is>
      </x:c>
      <x:c r="E442" s="5" t="n">
        <x:v>4</x:v>
      </x:c>
      <x:c r="F442" s="5" t="inlineStr">
        <x:is>
          <x:t xml:space="preserve">바위</x:t>
        </x:is>
      </x:c>
      <x:c r="G442" s="5" t="inlineStr">
        <x:is>
          <x:t xml:space="preserve"/>
        </x:is>
      </x:c>
      <x:c r="H442" s="6" t="n">
        <x:v>15</x:v>
      </x:c>
      <x:c r="I442" s="5" t="n"/>
      <x:c r="J442" s="5" t="inlineStr">
        <x:is>
          <x:t xml:space="preserve">기본</x:t>
        </x:is>
      </x:c>
      <x:c r="K442" s="7" t="inlineStr">
        <x:is>
          <x:t xml:space="preserve">육상</x:t>
        </x:is>
      </x:c>
      <x:c r="L442" s="7" t="inlineStr">
        <x:is>
          <x:t xml:space="preserve">수목</x:t>
        </x:is>
      </x:c>
      <x:c r="M442" s="7" t="inlineStr">
        <x:is>
          <x:t xml:space="preserve">온대</x:t>
        </x:is>
      </x:c>
      <x:c r="N442" s="7" t="inlineStr">
        <x:is>
          <x:t xml:space="preserve">보통</x:t>
        </x:is>
      </x:c>
      <x:c r="O442" s="7" t="inlineStr">
        <x:is>
          <x:t xml:space="preserve">무관</x:t>
        </x:is>
      </x:c>
      <x:c r="P442" s="7" t="inlineStr">
        <x:is>
          <x:t xml:space="preserve">무관</x:t>
        </x:is>
      </x:c>
      <x:c r="Q442" s="7" t="inlineStr">
        <x:is>
          <x:t xml:space="preserve">보통</x:t>
        </x:is>
      </x:c>
      <x:c r="R442" s="7" t="inlineStr">
        <x:is>
          <x:t xml:space="preserve">없음</x:t>
        </x:is>
      </x:c>
      <x:c r="S442" s="7" t="inlineStr">
        <x:is>
          <x:t xml:space="preserve">숲</x:t>
        </x:is>
      </x:c>
      <x:c r="T442" s="7" t="inlineStr">
        <x:is>
          <x:t xml:space="preserve"/>
        </x:is>
      </x:c>
      <x:c r="U442" s="8" t="str">
        <x:f>INDEX('서식지_점수'!$E$4:$P$4,1,MATCH(MAX('서식지_점수'!E442:P442),'서식지_점수'!E442:P442,0))</x:f>
        <x:v>평원</x:v>
      </x:c>
      <x:c r="V442" s="8" t="str">
        <x:f>IF(T442&lt;&gt;"",T442,U442)</x:f>
        <x:v>평원</x:v>
      </x:c>
      <x:c r="W442" s="8" t="str">
        <x:f>IFERROR(INDEX('서식지_점수'!$E$4:$P$4,1,MATCH(MAXIFS('서식지_점수'!E442:P442,'서식지_점수'!E442:P442,"&lt;"&amp;MAX('서식지_점수'!E442:P442)),'서식지_점수'!E442:P442,0)),"")</x:f>
        <x:v>숲</x:v>
      </x:c>
      <x:c r="X442" s="8" t="str">
        <x:f>IF(T442&lt;&gt;"","수동확정",IF(MAX('서식지_점수'!E442:P442)-LARGE('서식지_점수'!E442:P442,2)&gt;=15,"높음",IF(MAX('서식지_점수'!E442:P442)-LARGE('서식지_점수'!E442:P442,2)&gt;=8,"보통","검토필요")))</x:f>
        <x:v>검토필요</x:v>
      </x:c>
      <x:c r="Y442" s="9" t="n">
        <x:f>IF(Q442="전설",8,IF(Q442="희귀",7,IF(J442="기본",1,IF(J442="중간",3,IF(J442="최종",IF(I442="",5,IF(I442&lt;=20,3,IF(I442&lt;=35,4,IF(I442&lt;=50,6,7)))),IF(Q442="드묾",4,2))))))</x:f>
        <x:v>1</x:v>
      </x:c>
      <x:c r="Z442" s="5" t="inlineStr">
        <x:is>
          <x:t xml:space="preserve">#cobblemon:is_forest</x:t>
        </x:is>
      </x:c>
      <x:c r="AA442" s="5" t="inlineStr">
        <x:is>
          <x:t xml:space="preserve">uncommon</x:t>
        </x:is>
      </x:c>
      <x:c r="AB442" s="5" t="inlineStr">
        <x:is>
          <x:t xml:space="preserve">예</x:t>
        </x:is>
      </x:c>
      <x:c r="AC442" s="8" t="str">
        <x:f>IF(T442&lt;&gt;"","수동확정",IF(X442="검토필요","검토필요",IF(S442="","원본없음","초기완료")))</x:f>
        <x:v>검토필요</x:v>
      </x:c>
      <x:c r="AD442" s="7" t="inlineStr">
        <x:is>
          <x:t xml:space="preserve"/>
        </x:is>
      </x:c>
      <x:c r="AE442" s="5" t="inlineStr">
        <x:is>
          <x:t xml:space="preserve">.tmp/cobblemon-1.7.3-source/common/src/main/resources/data/cobblemon/species/generation4/bonsly.json</x:t>
        </x:is>
      </x:c>
      <x:c r="AF442" s="5" t="str">
        <x:f>"생활권|"&amp;K442</x:f>
        <x:v>생활권|육상</x:v>
      </x:c>
      <x:c r="AG442" s="5" t="str">
        <x:f>"지형|"&amp;L442</x:f>
        <x:v>지형|수목</x:v>
      </x:c>
      <x:c r="AH442" s="5" t="str">
        <x:f>"온도|"&amp;M442</x:f>
        <x:v>온도|온대</x:v>
      </x:c>
      <x:c r="AI442" s="5" t="str">
        <x:f>"습도|"&amp;N442</x:f>
        <x:v>습도|보통</x:v>
      </x:c>
      <x:c r="AJ442" s="5" t="str">
        <x:f>"날씨|"&amp;O442</x:f>
        <x:v>날씨|무관</x:v>
      </x:c>
      <x:c r="AK442" s="5" t="str">
        <x:f>"특수태그|"&amp;R442</x:f>
        <x:v>특수태그|없음</x:v>
      </x:c>
      <x:c r="AL442" s="5" t="str">
        <x:f>"원본서식지|"&amp;S442</x:f>
        <x:v>원본서식지|숲</x:v>
      </x:c>
      <x:c r="AM442" s="5" t="str">
        <x:f>"타입|"&amp;F442</x:f>
        <x:v>타입|바위</x:v>
      </x:c>
      <x:c r="AN442" s="5" t="str">
        <x:f>"타입|"&amp;G442</x:f>
        <x:v>타입|</x:v>
      </x:c>
    </x:row>
    <x:row r="443" ht="24" customHeight="1">
      <x:c r="A443" s="5" t="n">
        <x:v>439</x:v>
      </x:c>
      <x:c r="B443" s="5" t="inlineStr">
        <x:is>
          <x:t xml:space="preserve">흉내내</x:t>
        </x:is>
      </x:c>
      <x:c r="C443" s="5" t="inlineStr">
        <x:is>
          <x:t xml:space="preserve">mimejr</x:t>
        </x:is>
      </x:c>
      <x:c r="D443" s="5" t="inlineStr">
        <x:is>
          <x:t xml:space="preserve">Mime Jr.</x:t>
        </x:is>
      </x:c>
      <x:c r="E443" s="5" t="n">
        <x:v>4</x:v>
      </x:c>
      <x:c r="F443" s="5" t="inlineStr">
        <x:is>
          <x:t xml:space="preserve">에스퍼</x:t>
        </x:is>
      </x:c>
      <x:c r="G443" s="5" t="inlineStr">
        <x:is>
          <x:t xml:space="preserve">페어리</x:t>
        </x:is>
      </x:c>
      <x:c r="H443" s="6" t="n">
        <x:v>13</x:v>
      </x:c>
      <x:c r="I443" s="5" t="n"/>
      <x:c r="J443" s="5" t="inlineStr">
        <x:is>
          <x:t xml:space="preserve">기본</x:t>
        </x:is>
      </x:c>
      <x:c r="K443" s="7" t="inlineStr">
        <x:is>
          <x:t xml:space="preserve">육상</x:t>
        </x:is>
      </x:c>
      <x:c r="L443" s="7" t="inlineStr">
        <x:is>
          <x:t xml:space="preserve">개활지</x:t>
        </x:is>
      </x:c>
      <x:c r="M443" s="7" t="inlineStr">
        <x:is>
          <x:t xml:space="preserve">온대</x:t>
        </x:is>
      </x:c>
      <x:c r="N443" s="7" t="inlineStr">
        <x:is>
          <x:t xml:space="preserve">보통</x:t>
        </x:is>
      </x:c>
      <x:c r="O443" s="7" t="inlineStr">
        <x:is>
          <x:t xml:space="preserve">무관</x:t>
        </x:is>
      </x:c>
      <x:c r="P443" s="7" t="inlineStr">
        <x:is>
          <x:t xml:space="preserve">무관</x:t>
        </x:is>
      </x:c>
      <x:c r="Q443" s="7" t="inlineStr">
        <x:is>
          <x:t xml:space="preserve">보통</x:t>
        </x:is>
      </x:c>
      <x:c r="R443" s="7" t="inlineStr">
        <x:is>
          <x:t xml:space="preserve">없음</x:t>
        </x:is>
      </x:c>
      <x:c r="S443" s="7" t="inlineStr">
        <x:is>
          <x:t xml:space="preserve"/>
        </x:is>
      </x:c>
      <x:c r="T443" s="7" t="inlineStr">
        <x:is>
          <x:t xml:space="preserve"/>
        </x:is>
      </x:c>
      <x:c r="U443" s="8" t="str">
        <x:f>INDEX('서식지_점수'!$E$4:$P$4,1,MATCH(MAX('서식지_점수'!E443:P443),'서식지_점수'!E443:P443,0))</x:f>
        <x:v>평원</x:v>
      </x:c>
      <x:c r="V443" s="8" t="str">
        <x:f>IF(T443&lt;&gt;"",T443,U443)</x:f>
        <x:v>평원</x:v>
      </x:c>
      <x:c r="W443" s="8" t="str">
        <x:f>IFERROR(INDEX('서식지_점수'!$E$4:$P$4,1,MATCH(MAXIFS('서식지_점수'!E443:P443,'서식지_점수'!E443:P443,"&lt;"&amp;MAX('서식지_점수'!E443:P443)),'서식지_점수'!E443:P443,0)),"")</x:f>
        <x:v>숲</x:v>
      </x:c>
      <x:c r="X443" s="8" t="str">
        <x:f>IF(T443&lt;&gt;"","수동확정",IF(MAX('서식지_점수'!E443:P443)-LARGE('서식지_점수'!E443:P443,2)&gt;=15,"높음",IF(MAX('서식지_점수'!E443:P443)-LARGE('서식지_점수'!E443:P443,2)&gt;=8,"보통","검토필요")))</x:f>
        <x:v>검토필요</x:v>
      </x:c>
      <x:c r="Y443" s="9" t="n">
        <x:f>IF(Q443="전설",8,IF(Q443="희귀",7,IF(J443="기본",1,IF(J443="중간",3,IF(J443="최종",IF(I443="",5,IF(I443&lt;=20,3,IF(I443&lt;=35,4,IF(I443&lt;=50,6,7)))),IF(Q443="드묾",4,2))))))</x:f>
        <x:v>1</x:v>
      </x:c>
      <x:c r="Z443" s="5" t="inlineStr">
        <x:is>
          <x:t xml:space="preserve">#cobblemon:is_freezing; #cobblemon:is_overworld</x:t>
        </x:is>
      </x:c>
      <x:c r="AA443" s="5" t="inlineStr">
        <x:is>
          <x:t xml:space="preserve">common; uncommon</x:t>
        </x:is>
      </x:c>
      <x:c r="AB443" s="5" t="inlineStr">
        <x:is>
          <x:t xml:space="preserve">예</x:t>
        </x:is>
      </x:c>
      <x:c r="AC443" s="8" t="str">
        <x:f>IF(T443&lt;&gt;"","수동확정",IF(X443="검토필요","검토필요",IF(S443="","원본없음","초기완료")))</x:f>
        <x:v>검토필요</x:v>
      </x:c>
      <x:c r="AD443" s="7" t="inlineStr">
        <x:is>
          <x:t xml:space="preserve"/>
        </x:is>
      </x:c>
      <x:c r="AE443" s="5" t="inlineStr">
        <x:is>
          <x:t xml:space="preserve">.tmp/cobblemon-1.7.3-source/common/src/main/resources/data/cobblemon/species/generation4/mimejr.json</x:t>
        </x:is>
      </x:c>
      <x:c r="AF443" s="5" t="str">
        <x:f>"생활권|"&amp;K443</x:f>
        <x:v>생활권|육상</x:v>
      </x:c>
      <x:c r="AG443" s="5" t="str">
        <x:f>"지형|"&amp;L443</x:f>
        <x:v>지형|개활지</x:v>
      </x:c>
      <x:c r="AH443" s="5" t="str">
        <x:f>"온도|"&amp;M443</x:f>
        <x:v>온도|온대</x:v>
      </x:c>
      <x:c r="AI443" s="5" t="str">
        <x:f>"습도|"&amp;N443</x:f>
        <x:v>습도|보통</x:v>
      </x:c>
      <x:c r="AJ443" s="5" t="str">
        <x:f>"날씨|"&amp;O443</x:f>
        <x:v>날씨|무관</x:v>
      </x:c>
      <x:c r="AK443" s="5" t="str">
        <x:f>"특수태그|"&amp;R443</x:f>
        <x:v>특수태그|없음</x:v>
      </x:c>
      <x:c r="AL443" s="5" t="str">
        <x:f>"원본서식지|"&amp;S443</x:f>
        <x:v>원본서식지|</x:v>
      </x:c>
      <x:c r="AM443" s="5" t="str">
        <x:f>"타입|"&amp;F443</x:f>
        <x:v>타입|에스퍼</x:v>
      </x:c>
      <x:c r="AN443" s="5" t="str">
        <x:f>"타입|"&amp;G443</x:f>
        <x:v>타입|페어리</x:v>
      </x:c>
    </x:row>
    <x:row r="444" ht="24" customHeight="1">
      <x:c r="A444" s="5" t="n">
        <x:v>440</x:v>
      </x:c>
      <x:c r="B444" s="5" t="inlineStr">
        <x:is>
          <x:t xml:space="preserve">핑복</x:t>
        </x:is>
      </x:c>
      <x:c r="C444" s="5" t="inlineStr">
        <x:is>
          <x:t xml:space="preserve">happiny</x:t>
        </x:is>
      </x:c>
      <x:c r="D444" s="5" t="inlineStr">
        <x:is>
          <x:t xml:space="preserve">Happiny</x:t>
        </x:is>
      </x:c>
      <x:c r="E444" s="5" t="n">
        <x:v>4</x:v>
      </x:c>
      <x:c r="F444" s="5" t="inlineStr">
        <x:is>
          <x:t xml:space="preserve">노말</x:t>
        </x:is>
      </x:c>
      <x:c r="G444" s="5" t="inlineStr">
        <x:is>
          <x:t xml:space="preserve"/>
        </x:is>
      </x:c>
      <x:c r="H444" s="6" t="n">
        <x:v>24.4</x:v>
      </x:c>
      <x:c r="I444" s="5" t="n"/>
      <x:c r="J444" s="5" t="inlineStr">
        <x:is>
          <x:t xml:space="preserve">기본</x:t>
        </x:is>
      </x:c>
      <x:c r="K444" s="7" t="inlineStr">
        <x:is>
          <x:t xml:space="preserve">육상</x:t>
        </x:is>
      </x:c>
      <x:c r="L444" s="7" t="inlineStr">
        <x:is>
          <x:t xml:space="preserve">개활지</x:t>
        </x:is>
      </x:c>
      <x:c r="M444" s="7" t="inlineStr">
        <x:is>
          <x:t xml:space="preserve">온대</x:t>
        </x:is>
      </x:c>
      <x:c r="N444" s="7" t="inlineStr">
        <x:is>
          <x:t xml:space="preserve">보통</x:t>
        </x:is>
      </x:c>
      <x:c r="O444" s="7" t="inlineStr">
        <x:is>
          <x:t xml:space="preserve">무관</x:t>
        </x:is>
      </x:c>
      <x:c r="P444" s="7" t="inlineStr">
        <x:is>
          <x:t xml:space="preserve">무관</x:t>
        </x:is>
      </x:c>
      <x:c r="Q444" s="7" t="inlineStr">
        <x:is>
          <x:t xml:space="preserve">드묾</x:t>
        </x:is>
      </x:c>
      <x:c r="R444" s="7" t="inlineStr">
        <x:is>
          <x:t xml:space="preserve">없음</x:t>
        </x:is>
      </x:c>
      <x:c r="S444" s="7" t="inlineStr">
        <x:is>
          <x:t xml:space="preserve"/>
        </x:is>
      </x:c>
      <x:c r="T444" s="7" t="inlineStr">
        <x:is>
          <x:t xml:space="preserve"/>
        </x:is>
      </x:c>
      <x:c r="U444" s="8" t="str">
        <x:f>INDEX('서식지_점수'!$E$4:$P$4,1,MATCH(MAX('서식지_점수'!E444:P444),'서식지_점수'!E444:P444,0))</x:f>
        <x:v>평원</x:v>
      </x:c>
      <x:c r="V444" s="8" t="str">
        <x:f>IF(T444&lt;&gt;"",T444,U444)</x:f>
        <x:v>평원</x:v>
      </x:c>
      <x:c r="W444" s="8" t="str">
        <x:f>IFERROR(INDEX('서식지_점수'!$E$4:$P$4,1,MATCH(MAXIFS('서식지_점수'!E444:P444,'서식지_점수'!E444:P444,"&lt;"&amp;MAX('서식지_점수'!E444:P444)),'서식지_점수'!E444:P444,0)),"")</x:f>
        <x:v>숲</x:v>
      </x:c>
      <x:c r="X444" s="8" t="str">
        <x:f>IF(T444&lt;&gt;"","수동확정",IF(MAX('서식지_점수'!E444:P444)-LARGE('서식지_점수'!E444:P444,2)&gt;=15,"높음",IF(MAX('서식지_점수'!E444:P444)-LARGE('서식지_점수'!E444:P444,2)&gt;=8,"보통","검토필요")))</x:f>
        <x:v>검토필요</x:v>
      </x:c>
      <x:c r="Y444" s="9" t="n">
        <x:f>IF(Q444="전설",8,IF(Q444="희귀",7,IF(J444="기본",1,IF(J444="중간",3,IF(J444="최종",IF(I444="",5,IF(I444&lt;=20,3,IF(I444&lt;=35,4,IF(I444&lt;=50,6,7)))),IF(Q444="드묾",4,2))))))</x:f>
        <x:v>1</x:v>
      </x:c>
      <x:c r="Z444" s="5" t="inlineStr">
        <x:is>
          <x:t xml:space="preserve">#aether:is_aether; #cobblemon:is_overworld</x:t>
        </x:is>
      </x:c>
      <x:c r="AA444" s="5" t="inlineStr">
        <x:is>
          <x:t xml:space="preserve">rare</x:t>
        </x:is>
      </x:c>
      <x:c r="AB444" s="5" t="inlineStr">
        <x:is>
          <x:t xml:space="preserve">예</x:t>
        </x:is>
      </x:c>
      <x:c r="AC444" s="8" t="str">
        <x:f>IF(T444&lt;&gt;"","수동확정",IF(X444="검토필요","검토필요",IF(S444="","원본없음","초기완료")))</x:f>
        <x:v>검토필요</x:v>
      </x:c>
      <x:c r="AD444" s="7" t="inlineStr">
        <x:is>
          <x:t xml:space="preserve"/>
        </x:is>
      </x:c>
      <x:c r="AE444" s="5" t="inlineStr">
        <x:is>
          <x:t xml:space="preserve">.tmp/cobblemon-1.7.3-source/common/src/main/resources/data/cobblemon/species/generation4/happiny.json</x:t>
        </x:is>
      </x:c>
      <x:c r="AF444" s="5" t="str">
        <x:f>"생활권|"&amp;K444</x:f>
        <x:v>생활권|육상</x:v>
      </x:c>
      <x:c r="AG444" s="5" t="str">
        <x:f>"지형|"&amp;L444</x:f>
        <x:v>지형|개활지</x:v>
      </x:c>
      <x:c r="AH444" s="5" t="str">
        <x:f>"온도|"&amp;M444</x:f>
        <x:v>온도|온대</x:v>
      </x:c>
      <x:c r="AI444" s="5" t="str">
        <x:f>"습도|"&amp;N444</x:f>
        <x:v>습도|보통</x:v>
      </x:c>
      <x:c r="AJ444" s="5" t="str">
        <x:f>"날씨|"&amp;O444</x:f>
        <x:v>날씨|무관</x:v>
      </x:c>
      <x:c r="AK444" s="5" t="str">
        <x:f>"특수태그|"&amp;R444</x:f>
        <x:v>특수태그|없음</x:v>
      </x:c>
      <x:c r="AL444" s="5" t="str">
        <x:f>"원본서식지|"&amp;S444</x:f>
        <x:v>원본서식지|</x:v>
      </x:c>
      <x:c r="AM444" s="5" t="str">
        <x:f>"타입|"&amp;F444</x:f>
        <x:v>타입|노말</x:v>
      </x:c>
      <x:c r="AN444" s="5" t="str">
        <x:f>"타입|"&amp;G444</x:f>
        <x:v>타입|</x:v>
      </x:c>
    </x:row>
    <x:row r="445" ht="24" customHeight="1">
      <x:c r="A445" s="5" t="n">
        <x:v>441</x:v>
      </x:c>
      <x:c r="B445" s="5" t="inlineStr">
        <x:is>
          <x:t xml:space="preserve">페라페</x:t>
        </x:is>
      </x:c>
      <x:c r="C445" s="5" t="inlineStr">
        <x:is>
          <x:t xml:space="preserve">chatot</x:t>
        </x:is>
      </x:c>
      <x:c r="D445" s="5" t="inlineStr">
        <x:is>
          <x:t xml:space="preserve">Chatot</x:t>
        </x:is>
      </x:c>
      <x:c r="E445" s="5" t="n">
        <x:v>4</x:v>
      </x:c>
      <x:c r="F445" s="5" t="inlineStr">
        <x:is>
          <x:t xml:space="preserve">노말</x:t>
        </x:is>
      </x:c>
      <x:c r="G445" s="5" t="inlineStr">
        <x:is>
          <x:t xml:space="preserve">비행</x:t>
        </x:is>
      </x:c>
      <x:c r="H445" s="6" t="n">
        <x:v>1.9</x:v>
      </x:c>
      <x:c r="I445" s="5" t="n"/>
      <x:c r="J445" s="5" t="inlineStr">
        <x:is>
          <x:t xml:space="preserve">무진화</x:t>
        </x:is>
      </x:c>
      <x:c r="K445" s="7" t="inlineStr">
        <x:is>
          <x:t xml:space="preserve">비행</x:t>
        </x:is>
      </x:c>
      <x:c r="L445" s="7" t="inlineStr">
        <x:is>
          <x:t xml:space="preserve">수목</x:t>
        </x:is>
      </x:c>
      <x:c r="M445" s="7" t="inlineStr">
        <x:is>
          <x:t xml:space="preserve">온대</x:t>
        </x:is>
      </x:c>
      <x:c r="N445" s="7" t="inlineStr">
        <x:is>
          <x:t xml:space="preserve">다습</x:t>
        </x:is>
      </x:c>
      <x:c r="O445" s="7" t="inlineStr">
        <x:is>
          <x:t xml:space="preserve">무관</x:t>
        </x:is>
      </x:c>
      <x:c r="P445" s="7" t="inlineStr">
        <x:is>
          <x:t xml:space="preserve">낮</x:t>
        </x:is>
      </x:c>
      <x:c r="Q445" s="7" t="inlineStr">
        <x:is>
          <x:t xml:space="preserve">보통</x:t>
        </x:is>
      </x:c>
      <x:c r="R445" s="7" t="inlineStr">
        <x:is>
          <x:t xml:space="preserve">없음</x:t>
        </x:is>
      </x:c>
      <x:c r="S445" s="7" t="inlineStr">
        <x:is>
          <x:t xml:space="preserve">숲</x:t>
        </x:is>
      </x:c>
      <x:c r="T445" s="7" t="inlineStr">
        <x:is>
          <x:t xml:space="preserve"/>
        </x:is>
      </x:c>
      <x:c r="U445" s="8" t="str">
        <x:f>INDEX('서식지_점수'!$E$4:$P$4,1,MATCH(MAX('서식지_점수'!E445:P445),'서식지_점수'!E445:P445,0))</x:f>
        <x:v>산악</x:v>
      </x:c>
      <x:c r="V445" s="8" t="str">
        <x:f>IF(T445&lt;&gt;"",T445,U445)</x:f>
        <x:v>산악</x:v>
      </x:c>
      <x:c r="W445" s="8" t="str">
        <x:f>IFERROR(INDEX('서식지_점수'!$E$4:$P$4,1,MATCH(MAXIFS('서식지_점수'!E445:P445,'서식지_점수'!E445:P445,"&lt;"&amp;MAX('서식지_점수'!E445:P445)),'서식지_점수'!E445:P445,0)),"")</x:f>
        <x:v>평원</x:v>
      </x:c>
      <x:c r="X445" s="8" t="str">
        <x:f>IF(T445&lt;&gt;"","수동확정",IF(MAX('서식지_점수'!E445:P445)-LARGE('서식지_점수'!E445:P445,2)&gt;=15,"높음",IF(MAX('서식지_점수'!E445:P445)-LARGE('서식지_점수'!E445:P445,2)&gt;=8,"보통","검토필요")))</x:f>
        <x:v>검토필요</x:v>
      </x:c>
      <x:c r="Y445" s="9" t="n">
        <x:f>IF(Q445="전설",8,IF(Q445="희귀",7,IF(J445="기본",1,IF(J445="중간",3,IF(J445="최종",IF(I445="",5,IF(I445&lt;=20,3,IF(I445&lt;=35,4,IF(I445&lt;=50,6,7)))),IF(Q445="드묾",4,2))))))</x:f>
        <x:v>2</x:v>
      </x:c>
      <x:c r="Z445" s="5" t="inlineStr">
        <x:is>
          <x:t xml:space="preserve">#cobblemon:is_jungle; #cobblemon:is_overworld; #cobblemon:is_sky; #cobblemon:is_tropical_island; aether:skyroot_forest; aether:skyroot_woodland</x:t>
        </x:is>
      </x:c>
      <x:c r="AA445" s="5" t="inlineStr">
        <x:is>
          <x:t xml:space="preserve">common; uncommon</x:t>
        </x:is>
      </x:c>
      <x:c r="AB445" s="5" t="inlineStr">
        <x:is>
          <x:t xml:space="preserve">예</x:t>
        </x:is>
      </x:c>
      <x:c r="AC445" s="8" t="str">
        <x:f>IF(T445&lt;&gt;"","수동확정",IF(X445="검토필요","검토필요",IF(S445="","원본없음","초기완료")))</x:f>
        <x:v>검토필요</x:v>
      </x:c>
      <x:c r="AD445" s="7" t="inlineStr">
        <x:is>
          <x:t xml:space="preserve"/>
        </x:is>
      </x:c>
      <x:c r="AE445" s="5" t="inlineStr">
        <x:is>
          <x:t xml:space="preserve">.tmp/cobblemon-1.7.3-source/common/src/main/resources/data/cobblemon/species/generation4/chatot.json</x:t>
        </x:is>
      </x:c>
      <x:c r="AF445" s="5" t="str">
        <x:f>"생활권|"&amp;K445</x:f>
        <x:v>생활권|비행</x:v>
      </x:c>
      <x:c r="AG445" s="5" t="str">
        <x:f>"지형|"&amp;L445</x:f>
        <x:v>지형|수목</x:v>
      </x:c>
      <x:c r="AH445" s="5" t="str">
        <x:f>"온도|"&amp;M445</x:f>
        <x:v>온도|온대</x:v>
      </x:c>
      <x:c r="AI445" s="5" t="str">
        <x:f>"습도|"&amp;N445</x:f>
        <x:v>습도|다습</x:v>
      </x:c>
      <x:c r="AJ445" s="5" t="str">
        <x:f>"날씨|"&amp;O445</x:f>
        <x:v>날씨|무관</x:v>
      </x:c>
      <x:c r="AK445" s="5" t="str">
        <x:f>"특수태그|"&amp;R445</x:f>
        <x:v>특수태그|없음</x:v>
      </x:c>
      <x:c r="AL445" s="5" t="str">
        <x:f>"원본서식지|"&amp;S445</x:f>
        <x:v>원본서식지|숲</x:v>
      </x:c>
      <x:c r="AM445" s="5" t="str">
        <x:f>"타입|"&amp;F445</x:f>
        <x:v>타입|노말</x:v>
      </x:c>
      <x:c r="AN445" s="5" t="str">
        <x:f>"타입|"&amp;G445</x:f>
        <x:v>타입|비행</x:v>
      </x:c>
    </x:row>
    <x:row r="446" ht="24" customHeight="1">
      <x:c r="A446" s="5" t="n">
        <x:v>442</x:v>
      </x:c>
      <x:c r="B446" s="5" t="inlineStr">
        <x:is>
          <x:t xml:space="preserve">화강돌</x:t>
        </x:is>
      </x:c>
      <x:c r="C446" s="5" t="inlineStr">
        <x:is>
          <x:t xml:space="preserve">spiritomb</x:t>
        </x:is>
      </x:c>
      <x:c r="D446" s="5" t="inlineStr">
        <x:is>
          <x:t xml:space="preserve">Spiritomb</x:t>
        </x:is>
      </x:c>
      <x:c r="E446" s="5" t="n">
        <x:v>4</x:v>
      </x:c>
      <x:c r="F446" s="5" t="inlineStr">
        <x:is>
          <x:t xml:space="preserve">고스트</x:t>
        </x:is>
      </x:c>
      <x:c r="G446" s="5" t="inlineStr">
        <x:is>
          <x:t xml:space="preserve">악</x:t>
        </x:is>
      </x:c>
      <x:c r="H446" s="6" t="n">
        <x:v>108</x:v>
      </x:c>
      <x:c r="I446" s="5" t="n"/>
      <x:c r="J446" s="5" t="inlineStr">
        <x:is>
          <x:t xml:space="preserve">무진화</x:t>
        </x:is>
      </x:c>
      <x:c r="K446" s="7" t="inlineStr">
        <x:is>
          <x:t xml:space="preserve">지하</x:t>
        </x:is>
      </x:c>
      <x:c r="L446" s="7" t="inlineStr">
        <x:is>
          <x:t xml:space="preserve">동굴</x:t>
        </x:is>
      </x:c>
      <x:c r="M446" s="7" t="inlineStr">
        <x:is>
          <x:t xml:space="preserve">온대</x:t>
        </x:is>
      </x:c>
      <x:c r="N446" s="7" t="inlineStr">
        <x:is>
          <x:t xml:space="preserve">다습</x:t>
        </x:is>
      </x:c>
      <x:c r="O446" s="7" t="inlineStr">
        <x:is>
          <x:t xml:space="preserve">안개</x:t>
        </x:is>
      </x:c>
      <x:c r="P446" s="7" t="inlineStr">
        <x:is>
          <x:t xml:space="preserve">밤</x:t>
        </x:is>
      </x:c>
      <x:c r="Q446" s="7" t="inlineStr">
        <x:is>
          <x:t xml:space="preserve">보통</x:t>
        </x:is>
      </x:c>
      <x:c r="R446" s="7" t="inlineStr">
        <x:is>
          <x:t xml:space="preserve">영체</x:t>
        </x:is>
      </x:c>
      <x:c r="S446" s="7" t="inlineStr">
        <x:is>
          <x:t xml:space="preserve">동굴</x:t>
        </x:is>
      </x:c>
      <x:c r="T446" s="7" t="inlineStr">
        <x:is>
          <x:t xml:space="preserve"/>
        </x:is>
      </x:c>
      <x:c r="U446" s="8" t="str">
        <x:f>INDEX('서식지_점수'!$E$4:$P$4,1,MATCH(MAX('서식지_점수'!E446:P446),'서식지_점수'!E446:P446,0))</x:f>
        <x:v>동굴</x:v>
      </x:c>
      <x:c r="V446" s="8" t="str">
        <x:f>IF(T446&lt;&gt;"",T446,U446)</x:f>
        <x:v>동굴</x:v>
      </x:c>
      <x:c r="W446" s="8" t="str">
        <x:f>IFERROR(INDEX('서식지_점수'!$E$4:$P$4,1,MATCH(MAXIFS('서식지_점수'!E446:P446,'서식지_점수'!E446:P446,"&lt;"&amp;MAX('서식지_점수'!E446:P446)),'서식지_점수'!E446:P446,0)),"")</x:f>
        <x:v>산악</x:v>
      </x:c>
      <x:c r="X446" s="8" t="str">
        <x:f>IF(T446&lt;&gt;"","수동확정",IF(MAX('서식지_점수'!E446:P446)-LARGE('서식지_점수'!E446:P446,2)&gt;=15,"높음",IF(MAX('서식지_점수'!E446:P446)-LARGE('서식지_점수'!E446:P446,2)&gt;=8,"보통","검토필요")))</x:f>
        <x:v>높음</x:v>
      </x:c>
      <x:c r="Y446" s="9" t="n">
        <x:f>IF(Q446="전설",8,IF(Q446="희귀",7,IF(J446="기본",1,IF(J446="중간",3,IF(J446="최종",IF(I446="",5,IF(I446&lt;=20,3,IF(I446&lt;=35,4,IF(I446&lt;=50,6,7)))),IF(Q446="드묾",4,2))))))</x:f>
        <x:v>2</x:v>
      </x:c>
      <x:c r="Z446" s="5" t="inlineStr">
        <x:is>
          <x:t xml:space="preserve">#cobblemon:is_deep_dark; #cobblemon:is_desert; #cobblemon:is_jungle; #cobblemon:is_overworld; the_bumblezone:howling_constructs</x:t>
        </x:is>
      </x:c>
      <x:c r="AA446" s="5" t="inlineStr">
        <x:is>
          <x:t xml:space="preserve">rare; uncommon</x:t>
        </x:is>
      </x:c>
      <x:c r="AB446" s="5" t="inlineStr">
        <x:is>
          <x:t xml:space="preserve">예</x:t>
        </x:is>
      </x:c>
      <x:c r="AC446" s="8" t="str">
        <x:f>IF(T446&lt;&gt;"","수동확정",IF(X446="검토필요","검토필요",IF(S446="","원본없음","초기완료")))</x:f>
        <x:v>초기완료</x:v>
      </x:c>
      <x:c r="AD446" s="7" t="inlineStr">
        <x:is>
          <x:t xml:space="preserve"/>
        </x:is>
      </x:c>
      <x:c r="AE446" s="5" t="inlineStr">
        <x:is>
          <x:t xml:space="preserve">.tmp/cobblemon-1.7.3-source/common/src/main/resources/data/cobblemon/species/generation4/spiritomb.json</x:t>
        </x:is>
      </x:c>
      <x:c r="AF446" s="5" t="str">
        <x:f>"생활권|"&amp;K446</x:f>
        <x:v>생활권|지하</x:v>
      </x:c>
      <x:c r="AG446" s="5" t="str">
        <x:f>"지형|"&amp;L446</x:f>
        <x:v>지형|동굴</x:v>
      </x:c>
      <x:c r="AH446" s="5" t="str">
        <x:f>"온도|"&amp;M446</x:f>
        <x:v>온도|온대</x:v>
      </x:c>
      <x:c r="AI446" s="5" t="str">
        <x:f>"습도|"&amp;N446</x:f>
        <x:v>습도|다습</x:v>
      </x:c>
      <x:c r="AJ446" s="5" t="str">
        <x:f>"날씨|"&amp;O446</x:f>
        <x:v>날씨|안개</x:v>
      </x:c>
      <x:c r="AK446" s="5" t="str">
        <x:f>"특수태그|"&amp;R446</x:f>
        <x:v>특수태그|영체</x:v>
      </x:c>
      <x:c r="AL446" s="5" t="str">
        <x:f>"원본서식지|"&amp;S446</x:f>
        <x:v>원본서식지|동굴</x:v>
      </x:c>
      <x:c r="AM446" s="5" t="str">
        <x:f>"타입|"&amp;F446</x:f>
        <x:v>타입|고스트</x:v>
      </x:c>
      <x:c r="AN446" s="5" t="str">
        <x:f>"타입|"&amp;G446</x:f>
        <x:v>타입|악</x:v>
      </x:c>
    </x:row>
    <x:row r="447" ht="24" customHeight="1">
      <x:c r="A447" s="5" t="n">
        <x:v>443</x:v>
      </x:c>
      <x:c r="B447" s="5" t="inlineStr">
        <x:is>
          <x:t xml:space="preserve">딥상어동</x:t>
        </x:is>
      </x:c>
      <x:c r="C447" s="5" t="inlineStr">
        <x:is>
          <x:t xml:space="preserve">gible</x:t>
        </x:is>
      </x:c>
      <x:c r="D447" s="5" t="inlineStr">
        <x:is>
          <x:t xml:space="preserve">Gible</x:t>
        </x:is>
      </x:c>
      <x:c r="E447" s="5" t="n">
        <x:v>4</x:v>
      </x:c>
      <x:c r="F447" s="5" t="inlineStr">
        <x:is>
          <x:t xml:space="preserve">드래곤</x:t>
        </x:is>
      </x:c>
      <x:c r="G447" s="5" t="inlineStr">
        <x:is>
          <x:t xml:space="preserve">땅</x:t>
        </x:is>
      </x:c>
      <x:c r="H447" s="6" t="n">
        <x:v>20.5</x:v>
      </x:c>
      <x:c r="I447" s="5" t="n">
        <x:v>48</x:v>
      </x:c>
      <x:c r="J447" s="5" t="inlineStr">
        <x:is>
          <x:t xml:space="preserve">기본</x:t>
        </x:is>
      </x:c>
      <x:c r="K447" s="7" t="inlineStr">
        <x:is>
          <x:t xml:space="preserve">육상</x:t>
        </x:is>
      </x:c>
      <x:c r="L447" s="7" t="inlineStr">
        <x:is>
          <x:t xml:space="preserve">암석</x:t>
        </x:is>
      </x:c>
      <x:c r="M447" s="7" t="inlineStr">
        <x:is>
          <x:t xml:space="preserve">온대</x:t>
        </x:is>
      </x:c>
      <x:c r="N447" s="7" t="inlineStr">
        <x:is>
          <x:t xml:space="preserve">보통</x:t>
        </x:is>
      </x:c>
      <x:c r="O447" s="7" t="inlineStr">
        <x:is>
          <x:t xml:space="preserve">무관</x:t>
        </x:is>
      </x:c>
      <x:c r="P447" s="7" t="inlineStr">
        <x:is>
          <x:t xml:space="preserve">무관</x:t>
        </x:is>
      </x:c>
      <x:c r="Q447" s="7" t="inlineStr">
        <x:is>
          <x:t xml:space="preserve">희귀</x:t>
        </x:is>
      </x:c>
      <x:c r="R447" s="7" t="inlineStr">
        <x:is>
          <x:t xml:space="preserve">없음</x:t>
        </x:is>
      </x:c>
      <x:c r="S447" s="7" t="inlineStr">
        <x:is>
          <x:t xml:space="preserve">산악</x:t>
        </x:is>
      </x:c>
      <x:c r="T447" s="7" t="inlineStr">
        <x:is>
          <x:t xml:space="preserve"/>
        </x:is>
      </x:c>
      <x:c r="U447" s="8" t="str">
        <x:f>INDEX('서식지_점수'!$E$4:$P$4,1,MATCH(MAX('서식지_점수'!E447:P447),'서식지_점수'!E447:P447,0))</x:f>
        <x:v>평원</x:v>
      </x:c>
      <x:c r="V447" s="8" t="str">
        <x:f>IF(T447&lt;&gt;"",T447,U447)</x:f>
        <x:v>평원</x:v>
      </x:c>
      <x:c r="W447" s="8" t="str">
        <x:f>IFERROR(INDEX('서식지_점수'!$E$4:$P$4,1,MATCH(MAXIFS('서식지_점수'!E447:P447,'서식지_점수'!E447:P447,"&lt;"&amp;MAX('서식지_점수'!E447:P447)),'서식지_점수'!E447:P447,0)),"")</x:f>
        <x:v>숲</x:v>
      </x:c>
      <x:c r="X447" s="8" t="str">
        <x:f>IF(T447&lt;&gt;"","수동확정",IF(MAX('서식지_점수'!E447:P447)-LARGE('서식지_점수'!E447:P447,2)&gt;=15,"높음",IF(MAX('서식지_점수'!E447:P447)-LARGE('서식지_점수'!E447:P447,2)&gt;=8,"보통","검토필요")))</x:f>
        <x:v>검토필요</x:v>
      </x:c>
      <x:c r="Y447" s="9" t="n">
        <x:f>IF(Q447="전설",8,IF(Q447="희귀",7,IF(J447="기본",1,IF(J447="중간",3,IF(J447="최종",IF(I447="",5,IF(I447&lt;=20,3,IF(I447&lt;=35,4,IF(I447&lt;=50,6,7)))),IF(Q447="드묾",4,2))))))</x:f>
        <x:v>7</x:v>
      </x:c>
      <x:c r="Z447" s="5" t="inlineStr">
        <x:is>
          <x:t xml:space="preserve">#aether:is_aether; #cobblemon:is_badlands; #cobblemon:is_mountain; #cobblemon:is_overworld; #cobblemon:is_thermal</x:t>
        </x:is>
      </x:c>
      <x:c r="AA447" s="5" t="inlineStr">
        <x:is>
          <x:t xml:space="preserve">rare; ultra-rare</x:t>
        </x:is>
      </x:c>
      <x:c r="AB447" s="5" t="inlineStr">
        <x:is>
          <x:t xml:space="preserve">예</x:t>
        </x:is>
      </x:c>
      <x:c r="AC447" s="8" t="str">
        <x:f>IF(T447&lt;&gt;"","수동확정",IF(X447="검토필요","검토필요",IF(S447="","원본없음","초기완료")))</x:f>
        <x:v>검토필요</x:v>
      </x:c>
      <x:c r="AD447" s="7" t="inlineStr">
        <x:is>
          <x:t xml:space="preserve"/>
        </x:is>
      </x:c>
      <x:c r="AE447" s="5" t="inlineStr">
        <x:is>
          <x:t xml:space="preserve">.tmp/cobblemon-1.7.3-source/common/src/main/resources/data/cobblemon/species/generation4/gible.json</x:t>
        </x:is>
      </x:c>
      <x:c r="AF447" s="5" t="str">
        <x:f>"생활권|"&amp;K447</x:f>
        <x:v>생활권|육상</x:v>
      </x:c>
      <x:c r="AG447" s="5" t="str">
        <x:f>"지형|"&amp;L447</x:f>
        <x:v>지형|암석</x:v>
      </x:c>
      <x:c r="AH447" s="5" t="str">
        <x:f>"온도|"&amp;M447</x:f>
        <x:v>온도|온대</x:v>
      </x:c>
      <x:c r="AI447" s="5" t="str">
        <x:f>"습도|"&amp;N447</x:f>
        <x:v>습도|보통</x:v>
      </x:c>
      <x:c r="AJ447" s="5" t="str">
        <x:f>"날씨|"&amp;O447</x:f>
        <x:v>날씨|무관</x:v>
      </x:c>
      <x:c r="AK447" s="5" t="str">
        <x:f>"특수태그|"&amp;R447</x:f>
        <x:v>특수태그|없음</x:v>
      </x:c>
      <x:c r="AL447" s="5" t="str">
        <x:f>"원본서식지|"&amp;S447</x:f>
        <x:v>원본서식지|산악</x:v>
      </x:c>
      <x:c r="AM447" s="5" t="str">
        <x:f>"타입|"&amp;F447</x:f>
        <x:v>타입|드래곤</x:v>
      </x:c>
      <x:c r="AN447" s="5" t="str">
        <x:f>"타입|"&amp;G447</x:f>
        <x:v>타입|땅</x:v>
      </x:c>
    </x:row>
    <x:row r="448" ht="24" customHeight="1">
      <x:c r="A448" s="5" t="n">
        <x:v>444</x:v>
      </x:c>
      <x:c r="B448" s="5" t="inlineStr">
        <x:is>
          <x:t xml:space="preserve">한바이트</x:t>
        </x:is>
      </x:c>
      <x:c r="C448" s="5" t="inlineStr">
        <x:is>
          <x:t xml:space="preserve">gabite</x:t>
        </x:is>
      </x:c>
      <x:c r="D448" s="5" t="inlineStr">
        <x:is>
          <x:t xml:space="preserve">Gabite</x:t>
        </x:is>
      </x:c>
      <x:c r="E448" s="5" t="n">
        <x:v>4</x:v>
      </x:c>
      <x:c r="F448" s="5" t="inlineStr">
        <x:is>
          <x:t xml:space="preserve">드래곤</x:t>
        </x:is>
      </x:c>
      <x:c r="G448" s="5" t="inlineStr">
        <x:is>
          <x:t xml:space="preserve">땅</x:t>
        </x:is>
      </x:c>
      <x:c r="H448" s="6" t="n">
        <x:v>56</x:v>
      </x:c>
      <x:c r="I448" s="5" t="n">
        <x:v>48</x:v>
      </x:c>
      <x:c r="J448" s="5" t="inlineStr">
        <x:is>
          <x:t xml:space="preserve">중간</x:t>
        </x:is>
      </x:c>
      <x:c r="K448" s="7" t="inlineStr">
        <x:is>
          <x:t xml:space="preserve">육상</x:t>
        </x:is>
      </x:c>
      <x:c r="L448" s="7" t="inlineStr">
        <x:is>
          <x:t xml:space="preserve">암석</x:t>
        </x:is>
      </x:c>
      <x:c r="M448" s="7" t="inlineStr">
        <x:is>
          <x:t xml:space="preserve">온대</x:t>
        </x:is>
      </x:c>
      <x:c r="N448" s="7" t="inlineStr">
        <x:is>
          <x:t xml:space="preserve">보통</x:t>
        </x:is>
      </x:c>
      <x:c r="O448" s="7" t="inlineStr">
        <x:is>
          <x:t xml:space="preserve">무관</x:t>
        </x:is>
      </x:c>
      <x:c r="P448" s="7" t="inlineStr">
        <x:is>
          <x:t xml:space="preserve">무관</x:t>
        </x:is>
      </x:c>
      <x:c r="Q448" s="7" t="inlineStr">
        <x:is>
          <x:t xml:space="preserve">희귀</x:t>
        </x:is>
      </x:c>
      <x:c r="R448" s="7" t="inlineStr">
        <x:is>
          <x:t xml:space="preserve">없음</x:t>
        </x:is>
      </x:c>
      <x:c r="S448" s="7" t="inlineStr">
        <x:is>
          <x:t xml:space="preserve">산악</x:t>
        </x:is>
      </x:c>
      <x:c r="T448" s="7" t="inlineStr">
        <x:is>
          <x:t xml:space="preserve"/>
        </x:is>
      </x:c>
      <x:c r="U448" s="8" t="str">
        <x:f>INDEX('서식지_점수'!$E$4:$P$4,1,MATCH(MAX('서식지_점수'!E448:P448),'서식지_점수'!E448:P448,0))</x:f>
        <x:v>평원</x:v>
      </x:c>
      <x:c r="V448" s="8" t="str">
        <x:f>IF(T448&lt;&gt;"",T448,U448)</x:f>
        <x:v>평원</x:v>
      </x:c>
      <x:c r="W448" s="8" t="str">
        <x:f>IFERROR(INDEX('서식지_점수'!$E$4:$P$4,1,MATCH(MAXIFS('서식지_점수'!E448:P448,'서식지_점수'!E448:P448,"&lt;"&amp;MAX('서식지_점수'!E448:P448)),'서식지_점수'!E448:P448,0)),"")</x:f>
        <x:v>숲</x:v>
      </x:c>
      <x:c r="X448" s="8" t="str">
        <x:f>IF(T448&lt;&gt;"","수동확정",IF(MAX('서식지_점수'!E448:P448)-LARGE('서식지_점수'!E448:P448,2)&gt;=15,"높음",IF(MAX('서식지_점수'!E448:P448)-LARGE('서식지_점수'!E448:P448,2)&gt;=8,"보통","검토필요")))</x:f>
        <x:v>검토필요</x:v>
      </x:c>
      <x:c r="Y448" s="9" t="n">
        <x:f>IF(Q448="전설",8,IF(Q448="희귀",7,IF(J448="기본",1,IF(J448="중간",3,IF(J448="최종",IF(I448="",5,IF(I448&lt;=20,3,IF(I448&lt;=35,4,IF(I448&lt;=50,6,7)))),IF(Q448="드묾",4,2))))))</x:f>
        <x:v>7</x:v>
      </x:c>
      <x:c r="Z448" s="5" t="inlineStr">
        <x:is>
          <x:t xml:space="preserve">#aether:is_aether; #cobblemon:is_badlands; #cobblemon:is_mountain; #cobblemon:is_overworld; #cobblemon:is_thermal</x:t>
        </x:is>
      </x:c>
      <x:c r="AA448" s="5" t="inlineStr">
        <x:is>
          <x:t xml:space="preserve">rare; ultra-rare</x:t>
        </x:is>
      </x:c>
      <x:c r="AB448" s="5" t="inlineStr">
        <x:is>
          <x:t xml:space="preserve">예</x:t>
        </x:is>
      </x:c>
      <x:c r="AC448" s="8" t="str">
        <x:f>IF(T448&lt;&gt;"","수동확정",IF(X448="검토필요","검토필요",IF(S448="","원본없음","초기완료")))</x:f>
        <x:v>검토필요</x:v>
      </x:c>
      <x:c r="AD448" s="7" t="inlineStr">
        <x:is>
          <x:t xml:space="preserve"/>
        </x:is>
      </x:c>
      <x:c r="AE448" s="5" t="inlineStr">
        <x:is>
          <x:t xml:space="preserve">.tmp/cobblemon-1.7.3-source/common/src/main/resources/data/cobblemon/species/generation4/gabite.json</x:t>
        </x:is>
      </x:c>
      <x:c r="AF448" s="5" t="str">
        <x:f>"생활권|"&amp;K448</x:f>
        <x:v>생활권|육상</x:v>
      </x:c>
      <x:c r="AG448" s="5" t="str">
        <x:f>"지형|"&amp;L448</x:f>
        <x:v>지형|암석</x:v>
      </x:c>
      <x:c r="AH448" s="5" t="str">
        <x:f>"온도|"&amp;M448</x:f>
        <x:v>온도|온대</x:v>
      </x:c>
      <x:c r="AI448" s="5" t="str">
        <x:f>"습도|"&amp;N448</x:f>
        <x:v>습도|보통</x:v>
      </x:c>
      <x:c r="AJ448" s="5" t="str">
        <x:f>"날씨|"&amp;O448</x:f>
        <x:v>날씨|무관</x:v>
      </x:c>
      <x:c r="AK448" s="5" t="str">
        <x:f>"특수태그|"&amp;R448</x:f>
        <x:v>특수태그|없음</x:v>
      </x:c>
      <x:c r="AL448" s="5" t="str">
        <x:f>"원본서식지|"&amp;S448</x:f>
        <x:v>원본서식지|산악</x:v>
      </x:c>
      <x:c r="AM448" s="5" t="str">
        <x:f>"타입|"&amp;F448</x:f>
        <x:v>타입|드래곤</x:v>
      </x:c>
      <x:c r="AN448" s="5" t="str">
        <x:f>"타입|"&amp;G448</x:f>
        <x:v>타입|땅</x:v>
      </x:c>
    </x:row>
    <x:row r="449" ht="24" customHeight="1">
      <x:c r="A449" s="5" t="n">
        <x:v>445</x:v>
      </x:c>
      <x:c r="B449" s="5" t="inlineStr">
        <x:is>
          <x:t xml:space="preserve">한카리아스</x:t>
        </x:is>
      </x:c>
      <x:c r="C449" s="5" t="inlineStr">
        <x:is>
          <x:t xml:space="preserve">garchomp</x:t>
        </x:is>
      </x:c>
      <x:c r="D449" s="5" t="inlineStr">
        <x:is>
          <x:t xml:space="preserve">Garchomp</x:t>
        </x:is>
      </x:c>
      <x:c r="E449" s="5" t="n">
        <x:v>4</x:v>
      </x:c>
      <x:c r="F449" s="5" t="inlineStr">
        <x:is>
          <x:t xml:space="preserve">드래곤</x:t>
        </x:is>
      </x:c>
      <x:c r="G449" s="5" t="inlineStr">
        <x:is>
          <x:t xml:space="preserve">땅</x:t>
        </x:is>
      </x:c>
      <x:c r="H449" s="6" t="n">
        <x:v>95</x:v>
      </x:c>
      <x:c r="I449" s="5" t="n">
        <x:v>48</x:v>
      </x:c>
      <x:c r="J449" s="5" t="inlineStr">
        <x:is>
          <x:t xml:space="preserve">최종</x:t>
        </x:is>
      </x:c>
      <x:c r="K449" s="7" t="inlineStr">
        <x:is>
          <x:t xml:space="preserve">비행</x:t>
        </x:is>
      </x:c>
      <x:c r="L449" s="7" t="inlineStr">
        <x:is>
          <x:t xml:space="preserve">암석</x:t>
        </x:is>
      </x:c>
      <x:c r="M449" s="7" t="inlineStr">
        <x:is>
          <x:t xml:space="preserve">온대</x:t>
        </x:is>
      </x:c>
      <x:c r="N449" s="7" t="inlineStr">
        <x:is>
          <x:t xml:space="preserve">보통</x:t>
        </x:is>
      </x:c>
      <x:c r="O449" s="7" t="inlineStr">
        <x:is>
          <x:t xml:space="preserve">무관</x:t>
        </x:is>
      </x:c>
      <x:c r="P449" s="7" t="inlineStr">
        <x:is>
          <x:t xml:space="preserve">무관</x:t>
        </x:is>
      </x:c>
      <x:c r="Q449" s="7" t="inlineStr">
        <x:is>
          <x:t xml:space="preserve">희귀</x:t>
        </x:is>
      </x:c>
      <x:c r="R449" s="7" t="inlineStr">
        <x:is>
          <x:t xml:space="preserve">없음</x:t>
        </x:is>
      </x:c>
      <x:c r="S449" s="7" t="inlineStr">
        <x:is>
          <x:t xml:space="preserve">산악</x:t>
        </x:is>
      </x:c>
      <x:c r="T449" s="7" t="inlineStr">
        <x:is>
          <x:t xml:space="preserve"/>
        </x:is>
      </x:c>
      <x:c r="U449" s="8" t="str">
        <x:f>INDEX('서식지_점수'!$E$4:$P$4,1,MATCH(MAX('서식지_점수'!E449:P449),'서식지_점수'!E449:P449,0))</x:f>
        <x:v>산악</x:v>
      </x:c>
      <x:c r="V449" s="8" t="str">
        <x:f>IF(T449&lt;&gt;"",T449,U449)</x:f>
        <x:v>산악</x:v>
      </x:c>
      <x:c r="W449" s="8" t="str">
        <x:f>IFERROR(INDEX('서식지_점수'!$E$4:$P$4,1,MATCH(MAXIFS('서식지_점수'!E449:P449,'서식지_점수'!E449:P449,"&lt;"&amp;MAX('서식지_점수'!E449:P449)),'서식지_점수'!E449:P449,0)),"")</x:f>
        <x:v>평원</x:v>
      </x:c>
      <x:c r="X449" s="8" t="str">
        <x:f>IF(T449&lt;&gt;"","수동확정",IF(MAX('서식지_점수'!E449:P449)-LARGE('서식지_점수'!E449:P449,2)&gt;=15,"높음",IF(MAX('서식지_점수'!E449:P449)-LARGE('서식지_점수'!E449:P449,2)&gt;=8,"보통","검토필요")))</x:f>
        <x:v>검토필요</x:v>
      </x:c>
      <x:c r="Y449" s="9" t="n">
        <x:f>IF(Q449="전설",8,IF(Q449="희귀",7,IF(J449="기본",1,IF(J449="중간",3,IF(J449="최종",IF(I449="",5,IF(I449&lt;=20,3,IF(I449&lt;=35,4,IF(I449&lt;=50,6,7)))),IF(Q449="드묾",4,2))))))</x:f>
        <x:v>7</x:v>
      </x:c>
      <x:c r="Z449" s="5" t="inlineStr">
        <x:is>
          <x:t xml:space="preserve">#aether:is_aether; #cobblemon:is_badlands; #cobblemon:is_mountain; #cobblemon:is_overworld; #cobblemon:is_thermal</x:t>
        </x:is>
      </x:c>
      <x:c r="AA449" s="5" t="inlineStr">
        <x:is>
          <x:t xml:space="preserve">rare; ultra-rare</x:t>
        </x:is>
      </x:c>
      <x:c r="AB449" s="5" t="inlineStr">
        <x:is>
          <x:t xml:space="preserve">예</x:t>
        </x:is>
      </x:c>
      <x:c r="AC449" s="8" t="str">
        <x:f>IF(T449&lt;&gt;"","수동확정",IF(X449="검토필요","검토필요",IF(S449="","원본없음","초기완료")))</x:f>
        <x:v>검토필요</x:v>
      </x:c>
      <x:c r="AD449" s="7" t="inlineStr">
        <x:is>
          <x:t xml:space="preserve"/>
        </x:is>
      </x:c>
      <x:c r="AE449" s="5" t="inlineStr">
        <x:is>
          <x:t xml:space="preserve">.tmp/cobblemon-1.7.3-source/common/src/main/resources/data/cobblemon/species/generation4/garchomp.json</x:t>
        </x:is>
      </x:c>
      <x:c r="AF449" s="5" t="str">
        <x:f>"생활권|"&amp;K449</x:f>
        <x:v>생활권|비행</x:v>
      </x:c>
      <x:c r="AG449" s="5" t="str">
        <x:f>"지형|"&amp;L449</x:f>
        <x:v>지형|암석</x:v>
      </x:c>
      <x:c r="AH449" s="5" t="str">
        <x:f>"온도|"&amp;M449</x:f>
        <x:v>온도|온대</x:v>
      </x:c>
      <x:c r="AI449" s="5" t="str">
        <x:f>"습도|"&amp;N449</x:f>
        <x:v>습도|보통</x:v>
      </x:c>
      <x:c r="AJ449" s="5" t="str">
        <x:f>"날씨|"&amp;O449</x:f>
        <x:v>날씨|무관</x:v>
      </x:c>
      <x:c r="AK449" s="5" t="str">
        <x:f>"특수태그|"&amp;R449</x:f>
        <x:v>특수태그|없음</x:v>
      </x:c>
      <x:c r="AL449" s="5" t="str">
        <x:f>"원본서식지|"&amp;S449</x:f>
        <x:v>원본서식지|산악</x:v>
      </x:c>
      <x:c r="AM449" s="5" t="str">
        <x:f>"타입|"&amp;F449</x:f>
        <x:v>타입|드래곤</x:v>
      </x:c>
      <x:c r="AN449" s="5" t="str">
        <x:f>"타입|"&amp;G449</x:f>
        <x:v>타입|땅</x:v>
      </x:c>
    </x:row>
    <x:row r="450" ht="24" customHeight="1">
      <x:c r="A450" s="5" t="n">
        <x:v>446</x:v>
      </x:c>
      <x:c r="B450" s="5" t="inlineStr">
        <x:is>
          <x:t xml:space="preserve">먹고자</x:t>
        </x:is>
      </x:c>
      <x:c r="C450" s="5" t="inlineStr">
        <x:is>
          <x:t xml:space="preserve">munchlax</x:t>
        </x:is>
      </x:c>
      <x:c r="D450" s="5" t="inlineStr">
        <x:is>
          <x:t xml:space="preserve">Munchlax</x:t>
        </x:is>
      </x:c>
      <x:c r="E450" s="5" t="n">
        <x:v>4</x:v>
      </x:c>
      <x:c r="F450" s="5" t="inlineStr">
        <x:is>
          <x:t xml:space="preserve">노말</x:t>
        </x:is>
      </x:c>
      <x:c r="G450" s="5" t="inlineStr">
        <x:is>
          <x:t xml:space="preserve"/>
        </x:is>
      </x:c>
      <x:c r="H450" s="6" t="n">
        <x:v>105</x:v>
      </x:c>
      <x:c r="I450" s="5" t="n"/>
      <x:c r="J450" s="5" t="inlineStr">
        <x:is>
          <x:t xml:space="preserve">기본</x:t>
        </x:is>
      </x:c>
      <x:c r="K450" s="7" t="inlineStr">
        <x:is>
          <x:t xml:space="preserve">육상</x:t>
        </x:is>
      </x:c>
      <x:c r="L450" s="7" t="inlineStr">
        <x:is>
          <x:t xml:space="preserve">수목</x:t>
        </x:is>
      </x:c>
      <x:c r="M450" s="7" t="inlineStr">
        <x:is>
          <x:t xml:space="preserve">온대</x:t>
        </x:is>
      </x:c>
      <x:c r="N450" s="7" t="inlineStr">
        <x:is>
          <x:t xml:space="preserve">보통</x:t>
        </x:is>
      </x:c>
      <x:c r="O450" s="7" t="inlineStr">
        <x:is>
          <x:t xml:space="preserve">무관</x:t>
        </x:is>
      </x:c>
      <x:c r="P450" s="7" t="inlineStr">
        <x:is>
          <x:t xml:space="preserve">무관</x:t>
        </x:is>
      </x:c>
      <x:c r="Q450" s="7" t="inlineStr">
        <x:is>
          <x:t xml:space="preserve">보통</x:t>
        </x:is>
      </x:c>
      <x:c r="R450" s="7" t="inlineStr">
        <x:is>
          <x:t xml:space="preserve">없음</x:t>
        </x:is>
      </x:c>
      <x:c r="S450" s="7" t="inlineStr">
        <x:is>
          <x:t xml:space="preserve">숲</x:t>
        </x:is>
      </x:c>
      <x:c r="T450" s="7" t="inlineStr">
        <x:is>
          <x:t xml:space="preserve"/>
        </x:is>
      </x:c>
      <x:c r="U450" s="8" t="str">
        <x:f>INDEX('서식지_점수'!$E$4:$P$4,1,MATCH(MAX('서식지_점수'!E450:P450),'서식지_점수'!E450:P450,0))</x:f>
        <x:v>평원</x:v>
      </x:c>
      <x:c r="V450" s="8" t="str">
        <x:f>IF(T450&lt;&gt;"",T450,U450)</x:f>
        <x:v>평원</x:v>
      </x:c>
      <x:c r="W450" s="8" t="str">
        <x:f>IFERROR(INDEX('서식지_점수'!$E$4:$P$4,1,MATCH(MAXIFS('서식지_점수'!E450:P450,'서식지_점수'!E450:P450,"&lt;"&amp;MAX('서식지_점수'!E450:P450)),'서식지_점수'!E450:P450,0)),"")</x:f>
        <x:v>숲</x:v>
      </x:c>
      <x:c r="X450" s="8" t="str">
        <x:f>IF(T450&lt;&gt;"","수동확정",IF(MAX('서식지_점수'!E450:P450)-LARGE('서식지_점수'!E450:P450,2)&gt;=15,"높음",IF(MAX('서식지_점수'!E450:P450)-LARGE('서식지_점수'!E450:P450,2)&gt;=8,"보통","검토필요")))</x:f>
        <x:v>검토필요</x:v>
      </x:c>
      <x:c r="Y450" s="9" t="n">
        <x:f>IF(Q450="전설",8,IF(Q450="희귀",7,IF(J450="기본",1,IF(J450="중간",3,IF(J450="최종",IF(I450="",5,IF(I450&lt;=20,3,IF(I450&lt;=35,4,IF(I450&lt;=50,6,7)))),IF(Q450="드묾",4,2))))))</x:f>
        <x:v>1</x:v>
      </x:c>
      <x:c r="Z450" s="5" t="inlineStr">
        <x:is>
          <x:t xml:space="preserve">#aether:is_aether; #cobblemon:is_forest; #cobblemon:is_hills; #cobblemon:is_overworld; #cobblemon:is_snowy_forest; aether:skyroot_forest; aether:skyroot_woodland</x:t>
        </x:is>
      </x:c>
      <x:c r="AA450" s="5" t="inlineStr">
        <x:is>
          <x:t xml:space="preserve">rare; uncommon</x:t>
        </x:is>
      </x:c>
      <x:c r="AB450" s="5" t="inlineStr">
        <x:is>
          <x:t xml:space="preserve">예</x:t>
        </x:is>
      </x:c>
      <x:c r="AC450" s="8" t="str">
        <x:f>IF(T450&lt;&gt;"","수동확정",IF(X450="검토필요","검토필요",IF(S450="","원본없음","초기완료")))</x:f>
        <x:v>검토필요</x:v>
      </x:c>
      <x:c r="AD450" s="7" t="inlineStr">
        <x:is>
          <x:t xml:space="preserve"/>
        </x:is>
      </x:c>
      <x:c r="AE450" s="5" t="inlineStr">
        <x:is>
          <x:t xml:space="preserve">.tmp/cobblemon-1.7.3-source/common/src/main/resources/data/cobblemon/species/generation4/munchlax.json</x:t>
        </x:is>
      </x:c>
      <x:c r="AF450" s="5" t="str">
        <x:f>"생활권|"&amp;K450</x:f>
        <x:v>생활권|육상</x:v>
      </x:c>
      <x:c r="AG450" s="5" t="str">
        <x:f>"지형|"&amp;L450</x:f>
        <x:v>지형|수목</x:v>
      </x:c>
      <x:c r="AH450" s="5" t="str">
        <x:f>"온도|"&amp;M450</x:f>
        <x:v>온도|온대</x:v>
      </x:c>
      <x:c r="AI450" s="5" t="str">
        <x:f>"습도|"&amp;N450</x:f>
        <x:v>습도|보통</x:v>
      </x:c>
      <x:c r="AJ450" s="5" t="str">
        <x:f>"날씨|"&amp;O450</x:f>
        <x:v>날씨|무관</x:v>
      </x:c>
      <x:c r="AK450" s="5" t="str">
        <x:f>"특수태그|"&amp;R450</x:f>
        <x:v>특수태그|없음</x:v>
      </x:c>
      <x:c r="AL450" s="5" t="str">
        <x:f>"원본서식지|"&amp;S450</x:f>
        <x:v>원본서식지|숲</x:v>
      </x:c>
      <x:c r="AM450" s="5" t="str">
        <x:f>"타입|"&amp;F450</x:f>
        <x:v>타입|노말</x:v>
      </x:c>
      <x:c r="AN450" s="5" t="str">
        <x:f>"타입|"&amp;G450</x:f>
        <x:v>타입|</x:v>
      </x:c>
    </x:row>
    <x:row r="451" ht="24" customHeight="1">
      <x:c r="A451" s="5" t="n">
        <x:v>447</x:v>
      </x:c>
      <x:c r="B451" s="5" t="inlineStr">
        <x:is>
          <x:t xml:space="preserve">리오르</x:t>
        </x:is>
      </x:c>
      <x:c r="C451" s="5" t="inlineStr">
        <x:is>
          <x:t xml:space="preserve">riolu</x:t>
        </x:is>
      </x:c>
      <x:c r="D451" s="5" t="inlineStr">
        <x:is>
          <x:t xml:space="preserve">Riolu</x:t>
        </x:is>
      </x:c>
      <x:c r="E451" s="5" t="n">
        <x:v>4</x:v>
      </x:c>
      <x:c r="F451" s="5" t="inlineStr">
        <x:is>
          <x:t xml:space="preserve">격투</x:t>
        </x:is>
      </x:c>
      <x:c r="G451" s="5" t="inlineStr">
        <x:is>
          <x:t xml:space="preserve"/>
        </x:is>
      </x:c>
      <x:c r="H451" s="6" t="n">
        <x:v>20.2</x:v>
      </x:c>
      <x:c r="I451" s="5" t="n"/>
      <x:c r="J451" s="5" t="inlineStr">
        <x:is>
          <x:t xml:space="preserve">기본</x:t>
        </x:is>
      </x:c>
      <x:c r="K451" s="7" t="inlineStr">
        <x:is>
          <x:t xml:space="preserve">육상</x:t>
        </x:is>
      </x:c>
      <x:c r="L451" s="7" t="inlineStr">
        <x:is>
          <x:t xml:space="preserve">암석</x:t>
        </x:is>
      </x:c>
      <x:c r="M451" s="7" t="inlineStr">
        <x:is>
          <x:t xml:space="preserve">온대</x:t>
        </x:is>
      </x:c>
      <x:c r="N451" s="7" t="inlineStr">
        <x:is>
          <x:t xml:space="preserve">보통</x:t>
        </x:is>
      </x:c>
      <x:c r="O451" s="7" t="inlineStr">
        <x:is>
          <x:t xml:space="preserve">무관</x:t>
        </x:is>
      </x:c>
      <x:c r="P451" s="7" t="inlineStr">
        <x:is>
          <x:t xml:space="preserve">무관</x:t>
        </x:is>
      </x:c>
      <x:c r="Q451" s="7" t="inlineStr">
        <x:is>
          <x:t xml:space="preserve">드묾</x:t>
        </x:is>
      </x:c>
      <x:c r="R451" s="7" t="inlineStr">
        <x:is>
          <x:t xml:space="preserve">없음</x:t>
        </x:is>
      </x:c>
      <x:c r="S451" s="7" t="inlineStr">
        <x:is>
          <x:t xml:space="preserve">산악</x:t>
        </x:is>
      </x:c>
      <x:c r="T451" s="7" t="inlineStr">
        <x:is>
          <x:t xml:space="preserve"/>
        </x:is>
      </x:c>
      <x:c r="U451" s="8" t="str">
        <x:f>INDEX('서식지_점수'!$E$4:$P$4,1,MATCH(MAX('서식지_점수'!E451:P451),'서식지_점수'!E451:P451,0))</x:f>
        <x:v>평원</x:v>
      </x:c>
      <x:c r="V451" s="8" t="str">
        <x:f>IF(T451&lt;&gt;"",T451,U451)</x:f>
        <x:v>평원</x:v>
      </x:c>
      <x:c r="W451" s="8" t="str">
        <x:f>IFERROR(INDEX('서식지_점수'!$E$4:$P$4,1,MATCH(MAXIFS('서식지_점수'!E451:P451,'서식지_점수'!E451:P451,"&lt;"&amp;MAX('서식지_점수'!E451:P451)),'서식지_점수'!E451:P451,0)),"")</x:f>
        <x:v>숲</x:v>
      </x:c>
      <x:c r="X451" s="8" t="str">
        <x:f>IF(T451&lt;&gt;"","수동확정",IF(MAX('서식지_점수'!E451:P451)-LARGE('서식지_점수'!E451:P451,2)&gt;=15,"높음",IF(MAX('서식지_점수'!E451:P451)-LARGE('서식지_점수'!E451:P451,2)&gt;=8,"보통","검토필요")))</x:f>
        <x:v>검토필요</x:v>
      </x:c>
      <x:c r="Y451" s="9" t="n">
        <x:f>IF(Q451="전설",8,IF(Q451="희귀",7,IF(J451="기본",1,IF(J451="중간",3,IF(J451="최종",IF(I451="",5,IF(I451&lt;=20,3,IF(I451&lt;=35,4,IF(I451&lt;=50,6,7)))),IF(Q451="드묾",4,2))))))</x:f>
        <x:v>1</x:v>
      </x:c>
      <x:c r="Z451" s="5" t="inlineStr">
        <x:is>
          <x:t xml:space="preserve">#aether:is_aether; #cobblemon:is_mountain</x:t>
        </x:is>
      </x:c>
      <x:c r="AA451" s="5" t="inlineStr">
        <x:is>
          <x:t xml:space="preserve">rare</x:t>
        </x:is>
      </x:c>
      <x:c r="AB451" s="5" t="inlineStr">
        <x:is>
          <x:t xml:space="preserve">예</x:t>
        </x:is>
      </x:c>
      <x:c r="AC451" s="8" t="str">
        <x:f>IF(T451&lt;&gt;"","수동확정",IF(X451="검토필요","검토필요",IF(S451="","원본없음","초기완료")))</x:f>
        <x:v>검토필요</x:v>
      </x:c>
      <x:c r="AD451" s="7" t="inlineStr">
        <x:is>
          <x:t xml:space="preserve"/>
        </x:is>
      </x:c>
      <x:c r="AE451" s="5" t="inlineStr">
        <x:is>
          <x:t xml:space="preserve">.tmp/cobblemon-1.7.3-source/common/src/main/resources/data/cobblemon/species/generation4/riolu.json</x:t>
        </x:is>
      </x:c>
      <x:c r="AF451" s="5" t="str">
        <x:f>"생활권|"&amp;K451</x:f>
        <x:v>생활권|육상</x:v>
      </x:c>
      <x:c r="AG451" s="5" t="str">
        <x:f>"지형|"&amp;L451</x:f>
        <x:v>지형|암석</x:v>
      </x:c>
      <x:c r="AH451" s="5" t="str">
        <x:f>"온도|"&amp;M451</x:f>
        <x:v>온도|온대</x:v>
      </x:c>
      <x:c r="AI451" s="5" t="str">
        <x:f>"습도|"&amp;N451</x:f>
        <x:v>습도|보통</x:v>
      </x:c>
      <x:c r="AJ451" s="5" t="str">
        <x:f>"날씨|"&amp;O451</x:f>
        <x:v>날씨|무관</x:v>
      </x:c>
      <x:c r="AK451" s="5" t="str">
        <x:f>"특수태그|"&amp;R451</x:f>
        <x:v>특수태그|없음</x:v>
      </x:c>
      <x:c r="AL451" s="5" t="str">
        <x:f>"원본서식지|"&amp;S451</x:f>
        <x:v>원본서식지|산악</x:v>
      </x:c>
      <x:c r="AM451" s="5" t="str">
        <x:f>"타입|"&amp;F451</x:f>
        <x:v>타입|격투</x:v>
      </x:c>
      <x:c r="AN451" s="5" t="str">
        <x:f>"타입|"&amp;G451</x:f>
        <x:v>타입|</x:v>
      </x:c>
    </x:row>
    <x:row r="452" ht="24" customHeight="1">
      <x:c r="A452" s="5" t="n">
        <x:v>448</x:v>
      </x:c>
      <x:c r="B452" s="5" t="inlineStr">
        <x:is>
          <x:t xml:space="preserve">루카리오</x:t>
        </x:is>
      </x:c>
      <x:c r="C452" s="5" t="inlineStr">
        <x:is>
          <x:t xml:space="preserve">lucario</x:t>
        </x:is>
      </x:c>
      <x:c r="D452" s="5" t="inlineStr">
        <x:is>
          <x:t xml:space="preserve">Lucario</x:t>
        </x:is>
      </x:c>
      <x:c r="E452" s="5" t="n">
        <x:v>4</x:v>
      </x:c>
      <x:c r="F452" s="5" t="inlineStr">
        <x:is>
          <x:t xml:space="preserve">격투</x:t>
        </x:is>
      </x:c>
      <x:c r="G452" s="5" t="inlineStr">
        <x:is>
          <x:t xml:space="preserve">강철</x:t>
        </x:is>
      </x:c>
      <x:c r="H452" s="6" t="n">
        <x:v>54</x:v>
      </x:c>
      <x:c r="I452" s="5" t="n"/>
      <x:c r="J452" s="5" t="inlineStr">
        <x:is>
          <x:t xml:space="preserve">최종</x:t>
        </x:is>
      </x:c>
      <x:c r="K452" s="7" t="inlineStr">
        <x:is>
          <x:t xml:space="preserve">육상</x:t>
        </x:is>
      </x:c>
      <x:c r="L452" s="7" t="inlineStr">
        <x:is>
          <x:t xml:space="preserve">암석</x:t>
        </x:is>
      </x:c>
      <x:c r="M452" s="7" t="inlineStr">
        <x:is>
          <x:t xml:space="preserve">온대</x:t>
        </x:is>
      </x:c>
      <x:c r="N452" s="7" t="inlineStr">
        <x:is>
          <x:t xml:space="preserve">보통</x:t>
        </x:is>
      </x:c>
      <x:c r="O452" s="7" t="inlineStr">
        <x:is>
          <x:t xml:space="preserve">무관</x:t>
        </x:is>
      </x:c>
      <x:c r="P452" s="7" t="inlineStr">
        <x:is>
          <x:t xml:space="preserve">무관</x:t>
        </x:is>
      </x:c>
      <x:c r="Q452" s="7" t="inlineStr">
        <x:is>
          <x:t xml:space="preserve">드묾</x:t>
        </x:is>
      </x:c>
      <x:c r="R452" s="7" t="inlineStr">
        <x:is>
          <x:t xml:space="preserve">없음</x:t>
        </x:is>
      </x:c>
      <x:c r="S452" s="7" t="inlineStr">
        <x:is>
          <x:t xml:space="preserve">산악</x:t>
        </x:is>
      </x:c>
      <x:c r="T452" s="7" t="inlineStr">
        <x:is>
          <x:t xml:space="preserve"/>
        </x:is>
      </x:c>
      <x:c r="U452" s="8" t="str">
        <x:f>INDEX('서식지_점수'!$E$4:$P$4,1,MATCH(MAX('서식지_점수'!E452:P452),'서식지_점수'!E452:P452,0))</x:f>
        <x:v>평원</x:v>
      </x:c>
      <x:c r="V452" s="8" t="str">
        <x:f>IF(T452&lt;&gt;"",T452,U452)</x:f>
        <x:v>평원</x:v>
      </x:c>
      <x:c r="W452" s="8" t="str">
        <x:f>IFERROR(INDEX('서식지_점수'!$E$4:$P$4,1,MATCH(MAXIFS('서식지_점수'!E452:P452,'서식지_점수'!E452:P452,"&lt;"&amp;MAX('서식지_점수'!E452:P452)),'서식지_점수'!E452:P452,0)),"")</x:f>
        <x:v>숲</x:v>
      </x:c>
      <x:c r="X452" s="8" t="str">
        <x:f>IF(T452&lt;&gt;"","수동확정",IF(MAX('서식지_점수'!E452:P452)-LARGE('서식지_점수'!E452:P452,2)&gt;=15,"높음",IF(MAX('서식지_점수'!E452:P452)-LARGE('서식지_점수'!E452:P452,2)&gt;=8,"보통","검토필요")))</x:f>
        <x:v>검토필요</x:v>
      </x:c>
      <x:c r="Y452" s="9" t="n">
        <x:f>IF(Q452="전설",8,IF(Q452="희귀",7,IF(J452="기본",1,IF(J452="중간",3,IF(J452="최종",IF(I452="",5,IF(I452&lt;=20,3,IF(I452&lt;=35,4,IF(I452&lt;=50,6,7)))),IF(Q452="드묾",4,2))))))</x:f>
        <x:v>5</x:v>
      </x:c>
      <x:c r="Z452" s="5" t="inlineStr">
        <x:is>
          <x:t xml:space="preserve">#aether:is_aether; #cobblemon:is_mountain</x:t>
        </x:is>
      </x:c>
      <x:c r="AA452" s="5" t="inlineStr">
        <x:is>
          <x:t xml:space="preserve">rare</x:t>
        </x:is>
      </x:c>
      <x:c r="AB452" s="5" t="inlineStr">
        <x:is>
          <x:t xml:space="preserve">예</x:t>
        </x:is>
      </x:c>
      <x:c r="AC452" s="8" t="str">
        <x:f>IF(T452&lt;&gt;"","수동확정",IF(X452="검토필요","검토필요",IF(S452="","원본없음","초기완료")))</x:f>
        <x:v>검토필요</x:v>
      </x:c>
      <x:c r="AD452" s="7" t="inlineStr">
        <x:is>
          <x:t xml:space="preserve"/>
        </x:is>
      </x:c>
      <x:c r="AE452" s="5" t="inlineStr">
        <x:is>
          <x:t xml:space="preserve">.tmp/cobblemon-1.7.3-source/common/src/main/resources/data/cobblemon/species/generation4/lucario.json</x:t>
        </x:is>
      </x:c>
      <x:c r="AF452" s="5" t="str">
        <x:f>"생활권|"&amp;K452</x:f>
        <x:v>생활권|육상</x:v>
      </x:c>
      <x:c r="AG452" s="5" t="str">
        <x:f>"지형|"&amp;L452</x:f>
        <x:v>지형|암석</x:v>
      </x:c>
      <x:c r="AH452" s="5" t="str">
        <x:f>"온도|"&amp;M452</x:f>
        <x:v>온도|온대</x:v>
      </x:c>
      <x:c r="AI452" s="5" t="str">
        <x:f>"습도|"&amp;N452</x:f>
        <x:v>습도|보통</x:v>
      </x:c>
      <x:c r="AJ452" s="5" t="str">
        <x:f>"날씨|"&amp;O452</x:f>
        <x:v>날씨|무관</x:v>
      </x:c>
      <x:c r="AK452" s="5" t="str">
        <x:f>"특수태그|"&amp;R452</x:f>
        <x:v>특수태그|없음</x:v>
      </x:c>
      <x:c r="AL452" s="5" t="str">
        <x:f>"원본서식지|"&amp;S452</x:f>
        <x:v>원본서식지|산악</x:v>
      </x:c>
      <x:c r="AM452" s="5" t="str">
        <x:f>"타입|"&amp;F452</x:f>
        <x:v>타입|격투</x:v>
      </x:c>
      <x:c r="AN452" s="5" t="str">
        <x:f>"타입|"&amp;G452</x:f>
        <x:v>타입|강철</x:v>
      </x:c>
    </x:row>
    <x:row r="453" ht="24" customHeight="1">
      <x:c r="A453" s="5" t="n">
        <x:v>449</x:v>
      </x:c>
      <x:c r="B453" s="5" t="inlineStr">
        <x:is>
          <x:t xml:space="preserve">히포포타스</x:t>
        </x:is>
      </x:c>
      <x:c r="C453" s="5" t="inlineStr">
        <x:is>
          <x:t xml:space="preserve">hippopotas</x:t>
        </x:is>
      </x:c>
      <x:c r="D453" s="5" t="inlineStr">
        <x:is>
          <x:t xml:space="preserve">Hippopotas</x:t>
        </x:is>
      </x:c>
      <x:c r="E453" s="5" t="n">
        <x:v>4</x:v>
      </x:c>
      <x:c r="F453" s="5" t="inlineStr">
        <x:is>
          <x:t xml:space="preserve">땅</x:t>
        </x:is>
      </x:c>
      <x:c r="G453" s="5" t="inlineStr">
        <x:is>
          <x:t xml:space="preserve"/>
        </x:is>
      </x:c>
      <x:c r="H453" s="6" t="n">
        <x:v>49.5</x:v>
      </x:c>
      <x:c r="I453" s="5" t="n">
        <x:v>34</x:v>
      </x:c>
      <x:c r="J453" s="5" t="inlineStr">
        <x:is>
          <x:t xml:space="preserve">기본</x:t>
        </x:is>
      </x:c>
      <x:c r="K453" s="7" t="inlineStr">
        <x:is>
          <x:t xml:space="preserve">육상</x:t>
        </x:is>
      </x:c>
      <x:c r="L453" s="7" t="inlineStr">
        <x:is>
          <x:t xml:space="preserve">건조</x:t>
        </x:is>
      </x:c>
      <x:c r="M453" s="7" t="inlineStr">
        <x:is>
          <x:t xml:space="preserve">고온</x:t>
        </x:is>
      </x:c>
      <x:c r="N453" s="7" t="inlineStr">
        <x:is>
          <x:t xml:space="preserve">건조</x:t>
        </x:is>
      </x:c>
      <x:c r="O453" s="7" t="inlineStr">
        <x:is>
          <x:t xml:space="preserve">맑음</x:t>
        </x:is>
      </x:c>
      <x:c r="P453" s="7" t="inlineStr">
        <x:is>
          <x:t xml:space="preserve">무관</x:t>
        </x:is>
      </x:c>
      <x:c r="Q453" s="7" t="inlineStr">
        <x:is>
          <x:t xml:space="preserve">흔함</x:t>
        </x:is>
      </x:c>
      <x:c r="R453" s="7" t="inlineStr">
        <x:is>
          <x:t xml:space="preserve">없음</x:t>
        </x:is>
      </x:c>
      <x:c r="S453" s="7" t="inlineStr">
        <x:is>
          <x:t xml:space="preserve">건조지</x:t>
        </x:is>
      </x:c>
      <x:c r="T453" s="7" t="inlineStr">
        <x:is>
          <x:t xml:space="preserve"/>
        </x:is>
      </x:c>
      <x:c r="U453" s="8" t="str">
        <x:f>INDEX('서식지_점수'!$E$4:$P$4,1,MATCH(MAX('서식지_점수'!E453:P453),'서식지_점수'!E453:P453,0))</x:f>
        <x:v>평원</x:v>
      </x:c>
      <x:c r="V453" s="8" t="str">
        <x:f>IF(T453&lt;&gt;"",T453,U453)</x:f>
        <x:v>평원</x:v>
      </x:c>
      <x:c r="W453" s="8" t="str">
        <x:f>IFERROR(INDEX('서식지_점수'!$E$4:$P$4,1,MATCH(MAXIFS('서식지_점수'!E453:P453,'서식지_점수'!E453:P453,"&lt;"&amp;MAX('서식지_점수'!E453:P453)),'서식지_점수'!E453:P453,0)),"")</x:f>
        <x:v>숲</x:v>
      </x:c>
      <x:c r="X453" s="8" t="str">
        <x:f>IF(T453&lt;&gt;"","수동확정",IF(MAX('서식지_점수'!E453:P453)-LARGE('서식지_점수'!E453:P453,2)&gt;=15,"높음",IF(MAX('서식지_점수'!E453:P453)-LARGE('서식지_점수'!E453:P453,2)&gt;=8,"보통","검토필요")))</x:f>
        <x:v>검토필요</x:v>
      </x:c>
      <x:c r="Y453" s="9" t="n">
        <x:f>IF(Q453="전설",8,IF(Q453="희귀",7,IF(J453="기본",1,IF(J453="중간",3,IF(J453="최종",IF(I453="",5,IF(I453&lt;=20,3,IF(I453&lt;=35,4,IF(I453&lt;=50,6,7)))),IF(Q453="드묾",4,2))))))</x:f>
        <x:v>1</x:v>
      </x:c>
      <x:c r="Z453" s="5" t="inlineStr">
        <x:is>
          <x:t xml:space="preserve">#cobblemon:is_desert</x:t>
        </x:is>
      </x:c>
      <x:c r="AA453" s="5" t="inlineStr">
        <x:is>
          <x:t xml:space="preserve">common</x:t>
        </x:is>
      </x:c>
      <x:c r="AB453" s="5" t="inlineStr">
        <x:is>
          <x:t xml:space="preserve">예</x:t>
        </x:is>
      </x:c>
      <x:c r="AC453" s="8" t="str">
        <x:f>IF(T453&lt;&gt;"","수동확정",IF(X453="검토필요","검토필요",IF(S453="","원본없음","초기완료")))</x:f>
        <x:v>검토필요</x:v>
      </x:c>
      <x:c r="AD453" s="7" t="inlineStr">
        <x:is>
          <x:t xml:space="preserve"/>
        </x:is>
      </x:c>
      <x:c r="AE453" s="5" t="inlineStr">
        <x:is>
          <x:t xml:space="preserve">.tmp/cobblemon-1.7.3-source/common/src/main/resources/data/cobblemon/species/generation4/hippopotas.json</x:t>
        </x:is>
      </x:c>
      <x:c r="AF453" s="5" t="str">
        <x:f>"생활권|"&amp;K453</x:f>
        <x:v>생활권|육상</x:v>
      </x:c>
      <x:c r="AG453" s="5" t="str">
        <x:f>"지형|"&amp;L453</x:f>
        <x:v>지형|건조</x:v>
      </x:c>
      <x:c r="AH453" s="5" t="str">
        <x:f>"온도|"&amp;M453</x:f>
        <x:v>온도|고온</x:v>
      </x:c>
      <x:c r="AI453" s="5" t="str">
        <x:f>"습도|"&amp;N453</x:f>
        <x:v>습도|건조</x:v>
      </x:c>
      <x:c r="AJ453" s="5" t="str">
        <x:f>"날씨|"&amp;O453</x:f>
        <x:v>날씨|맑음</x:v>
      </x:c>
      <x:c r="AK453" s="5" t="str">
        <x:f>"특수태그|"&amp;R453</x:f>
        <x:v>특수태그|없음</x:v>
      </x:c>
      <x:c r="AL453" s="5" t="str">
        <x:f>"원본서식지|"&amp;S453</x:f>
        <x:v>원본서식지|건조지</x:v>
      </x:c>
      <x:c r="AM453" s="5" t="str">
        <x:f>"타입|"&amp;F453</x:f>
        <x:v>타입|땅</x:v>
      </x:c>
      <x:c r="AN453" s="5" t="str">
        <x:f>"타입|"&amp;G453</x:f>
        <x:v>타입|</x:v>
      </x:c>
    </x:row>
    <x:row r="454" ht="24" customHeight="1">
      <x:c r="A454" s="5" t="n">
        <x:v>450</x:v>
      </x:c>
      <x:c r="B454" s="5" t="inlineStr">
        <x:is>
          <x:t xml:space="preserve">하마돈</x:t>
        </x:is>
      </x:c>
      <x:c r="C454" s="5" t="inlineStr">
        <x:is>
          <x:t xml:space="preserve">hippowdon</x:t>
        </x:is>
      </x:c>
      <x:c r="D454" s="5" t="inlineStr">
        <x:is>
          <x:t xml:space="preserve">Hippowdon</x:t>
        </x:is>
      </x:c>
      <x:c r="E454" s="5" t="n">
        <x:v>4</x:v>
      </x:c>
      <x:c r="F454" s="5" t="inlineStr">
        <x:is>
          <x:t xml:space="preserve">땅</x:t>
        </x:is>
      </x:c>
      <x:c r="G454" s="5" t="inlineStr">
        <x:is>
          <x:t xml:space="preserve"/>
        </x:is>
      </x:c>
      <x:c r="H454" s="6" t="n">
        <x:v>300</x:v>
      </x:c>
      <x:c r="I454" s="5" t="n">
        <x:v>34</x:v>
      </x:c>
      <x:c r="J454" s="5" t="inlineStr">
        <x:is>
          <x:t xml:space="preserve">최종</x:t>
        </x:is>
      </x:c>
      <x:c r="K454" s="7" t="inlineStr">
        <x:is>
          <x:t xml:space="preserve">육상</x:t>
        </x:is>
      </x:c>
      <x:c r="L454" s="7" t="inlineStr">
        <x:is>
          <x:t xml:space="preserve">건조</x:t>
        </x:is>
      </x:c>
      <x:c r="M454" s="7" t="inlineStr">
        <x:is>
          <x:t xml:space="preserve">고온</x:t>
        </x:is>
      </x:c>
      <x:c r="N454" s="7" t="inlineStr">
        <x:is>
          <x:t xml:space="preserve">건조</x:t>
        </x:is>
      </x:c>
      <x:c r="O454" s="7" t="inlineStr">
        <x:is>
          <x:t xml:space="preserve">맑음</x:t>
        </x:is>
      </x:c>
      <x:c r="P454" s="7" t="inlineStr">
        <x:is>
          <x:t xml:space="preserve">무관</x:t>
        </x:is>
      </x:c>
      <x:c r="Q454" s="7" t="inlineStr">
        <x:is>
          <x:t xml:space="preserve">흔함</x:t>
        </x:is>
      </x:c>
      <x:c r="R454" s="7" t="inlineStr">
        <x:is>
          <x:t xml:space="preserve">없음</x:t>
        </x:is>
      </x:c>
      <x:c r="S454" s="7" t="inlineStr">
        <x:is>
          <x:t xml:space="preserve">건조지</x:t>
        </x:is>
      </x:c>
      <x:c r="T454" s="7" t="inlineStr">
        <x:is>
          <x:t xml:space="preserve"/>
        </x:is>
      </x:c>
      <x:c r="U454" s="8" t="str">
        <x:f>INDEX('서식지_점수'!$E$4:$P$4,1,MATCH(MAX('서식지_점수'!E454:P454),'서식지_점수'!E454:P454,0))</x:f>
        <x:v>평원</x:v>
      </x:c>
      <x:c r="V454" s="8" t="str">
        <x:f>IF(T454&lt;&gt;"",T454,U454)</x:f>
        <x:v>평원</x:v>
      </x:c>
      <x:c r="W454" s="8" t="str">
        <x:f>IFERROR(INDEX('서식지_점수'!$E$4:$P$4,1,MATCH(MAXIFS('서식지_점수'!E454:P454,'서식지_점수'!E454:P454,"&lt;"&amp;MAX('서식지_점수'!E454:P454)),'서식지_점수'!E454:P454,0)),"")</x:f>
        <x:v>숲</x:v>
      </x:c>
      <x:c r="X454" s="8" t="str">
        <x:f>IF(T454&lt;&gt;"","수동확정",IF(MAX('서식지_점수'!E454:P454)-LARGE('서식지_점수'!E454:P454,2)&gt;=15,"높음",IF(MAX('서식지_점수'!E454:P454)-LARGE('서식지_점수'!E454:P454,2)&gt;=8,"보통","검토필요")))</x:f>
        <x:v>검토필요</x:v>
      </x:c>
      <x:c r="Y454" s="9" t="n">
        <x:f>IF(Q454="전설",8,IF(Q454="희귀",7,IF(J454="기본",1,IF(J454="중간",3,IF(J454="최종",IF(I454="",5,IF(I454&lt;=20,3,IF(I454&lt;=35,4,IF(I454&lt;=50,6,7)))),IF(Q454="드묾",4,2))))))</x:f>
        <x:v>4</x:v>
      </x:c>
      <x:c r="Z454" s="5" t="inlineStr">
        <x:is>
          <x:t xml:space="preserve">#cobblemon:is_desert</x:t>
        </x:is>
      </x:c>
      <x:c r="AA454" s="5" t="inlineStr">
        <x:is>
          <x:t xml:space="preserve">common</x:t>
        </x:is>
      </x:c>
      <x:c r="AB454" s="5" t="inlineStr">
        <x:is>
          <x:t xml:space="preserve">예</x:t>
        </x:is>
      </x:c>
      <x:c r="AC454" s="8" t="str">
        <x:f>IF(T454&lt;&gt;"","수동확정",IF(X454="검토필요","검토필요",IF(S454="","원본없음","초기완료")))</x:f>
        <x:v>검토필요</x:v>
      </x:c>
      <x:c r="AD454" s="7" t="inlineStr">
        <x:is>
          <x:t xml:space="preserve"/>
        </x:is>
      </x:c>
      <x:c r="AE454" s="5" t="inlineStr">
        <x:is>
          <x:t xml:space="preserve">.tmp/cobblemon-1.7.3-source/common/src/main/resources/data/cobblemon/species/generation4/hippowdon.json</x:t>
        </x:is>
      </x:c>
      <x:c r="AF454" s="5" t="str">
        <x:f>"생활권|"&amp;K454</x:f>
        <x:v>생활권|육상</x:v>
      </x:c>
      <x:c r="AG454" s="5" t="str">
        <x:f>"지형|"&amp;L454</x:f>
        <x:v>지형|건조</x:v>
      </x:c>
      <x:c r="AH454" s="5" t="str">
        <x:f>"온도|"&amp;M454</x:f>
        <x:v>온도|고온</x:v>
      </x:c>
      <x:c r="AI454" s="5" t="str">
        <x:f>"습도|"&amp;N454</x:f>
        <x:v>습도|건조</x:v>
      </x:c>
      <x:c r="AJ454" s="5" t="str">
        <x:f>"날씨|"&amp;O454</x:f>
        <x:v>날씨|맑음</x:v>
      </x:c>
      <x:c r="AK454" s="5" t="str">
        <x:f>"특수태그|"&amp;R454</x:f>
        <x:v>특수태그|없음</x:v>
      </x:c>
      <x:c r="AL454" s="5" t="str">
        <x:f>"원본서식지|"&amp;S454</x:f>
        <x:v>원본서식지|건조지</x:v>
      </x:c>
      <x:c r="AM454" s="5" t="str">
        <x:f>"타입|"&amp;F454</x:f>
        <x:v>타입|땅</x:v>
      </x:c>
      <x:c r="AN454" s="5" t="str">
        <x:f>"타입|"&amp;G454</x:f>
        <x:v>타입|</x:v>
      </x:c>
    </x:row>
    <x:row r="455" ht="24" customHeight="1">
      <x:c r="A455" s="5" t="n">
        <x:v>451</x:v>
      </x:c>
      <x:c r="B455" s="5" t="inlineStr">
        <x:is>
          <x:t xml:space="preserve">스콜피</x:t>
        </x:is>
      </x:c>
      <x:c r="C455" s="5" t="inlineStr">
        <x:is>
          <x:t xml:space="preserve">skorupi</x:t>
        </x:is>
      </x:c>
      <x:c r="D455" s="5" t="inlineStr">
        <x:is>
          <x:t xml:space="preserve">Skorupi</x:t>
        </x:is>
      </x:c>
      <x:c r="E455" s="5" t="n">
        <x:v>4</x:v>
      </x:c>
      <x:c r="F455" s="5" t="inlineStr">
        <x:is>
          <x:t xml:space="preserve">독</x:t>
        </x:is>
      </x:c>
      <x:c r="G455" s="5" t="inlineStr">
        <x:is>
          <x:t xml:space="preserve">벌레</x:t>
        </x:is>
      </x:c>
      <x:c r="H455" s="6" t="n">
        <x:v>12</x:v>
      </x:c>
      <x:c r="I455" s="5" t="n">
        <x:v>40</x:v>
      </x:c>
      <x:c r="J455" s="5" t="inlineStr">
        <x:is>
          <x:t xml:space="preserve">기본</x:t>
        </x:is>
      </x:c>
      <x:c r="K455" s="7" t="inlineStr">
        <x:is>
          <x:t xml:space="preserve">육상</x:t>
        </x:is>
      </x:c>
      <x:c r="L455" s="7" t="inlineStr">
        <x:is>
          <x:t xml:space="preserve">건조</x:t>
        </x:is>
      </x:c>
      <x:c r="M455" s="7" t="inlineStr">
        <x:is>
          <x:t xml:space="preserve">고온</x:t>
        </x:is>
      </x:c>
      <x:c r="N455" s="7" t="inlineStr">
        <x:is>
          <x:t xml:space="preserve">건조</x:t>
        </x:is>
      </x:c>
      <x:c r="O455" s="7" t="inlineStr">
        <x:is>
          <x:t xml:space="preserve">맑음</x:t>
        </x:is>
      </x:c>
      <x:c r="P455" s="7" t="inlineStr">
        <x:is>
          <x:t xml:space="preserve">무관</x:t>
        </x:is>
      </x:c>
      <x:c r="Q455" s="7" t="inlineStr">
        <x:is>
          <x:t xml:space="preserve">흔함</x:t>
        </x:is>
      </x:c>
      <x:c r="R455" s="7" t="inlineStr">
        <x:is>
          <x:t xml:space="preserve">없음</x:t>
        </x:is>
      </x:c>
      <x:c r="S455" s="7" t="inlineStr">
        <x:is>
          <x:t xml:space="preserve">건조지</x:t>
        </x:is>
      </x:c>
      <x:c r="T455" s="7" t="inlineStr">
        <x:is>
          <x:t xml:space="preserve"/>
        </x:is>
      </x:c>
      <x:c r="U455" s="8" t="str">
        <x:f>INDEX('서식지_점수'!$E$4:$P$4,1,MATCH(MAX('서식지_점수'!E455:P455),'서식지_점수'!E455:P455,0))</x:f>
        <x:v>평원</x:v>
      </x:c>
      <x:c r="V455" s="8" t="str">
        <x:f>IF(T455&lt;&gt;"",T455,U455)</x:f>
        <x:v>평원</x:v>
      </x:c>
      <x:c r="W455" s="8" t="str">
        <x:f>IFERROR(INDEX('서식지_점수'!$E$4:$P$4,1,MATCH(MAXIFS('서식지_점수'!E455:P455,'서식지_점수'!E455:P455,"&lt;"&amp;MAX('서식지_점수'!E455:P455)),'서식지_점수'!E455:P455,0)),"")</x:f>
        <x:v>숲</x:v>
      </x:c>
      <x:c r="X455" s="8" t="str">
        <x:f>IF(T455&lt;&gt;"","수동확정",IF(MAX('서식지_점수'!E455:P455)-LARGE('서식지_점수'!E455:P455,2)&gt;=15,"높음",IF(MAX('서식지_점수'!E455:P455)-LARGE('서식지_점수'!E455:P455,2)&gt;=8,"보통","검토필요")))</x:f>
        <x:v>검토필요</x:v>
      </x:c>
      <x:c r="Y455" s="9" t="n">
        <x:f>IF(Q455="전설",8,IF(Q455="희귀",7,IF(J455="기본",1,IF(J455="중간",3,IF(J455="최종",IF(I455="",5,IF(I455&lt;=20,3,IF(I455&lt;=35,4,IF(I455&lt;=50,6,7)))),IF(Q455="드묾",4,2))))))</x:f>
        <x:v>1</x:v>
      </x:c>
      <x:c r="Z455" s="5" t="inlineStr">
        <x:is>
          <x:t xml:space="preserve">#cobblemon:is_badlands; #cobblemon:is_desert; #cobblemon:is_swamp</x:t>
        </x:is>
      </x:c>
      <x:c r="AA455" s="5" t="inlineStr">
        <x:is>
          <x:t xml:space="preserve">common</x:t>
        </x:is>
      </x:c>
      <x:c r="AB455" s="5" t="inlineStr">
        <x:is>
          <x:t xml:space="preserve">예</x:t>
        </x:is>
      </x:c>
      <x:c r="AC455" s="8" t="str">
        <x:f>IF(T455&lt;&gt;"","수동확정",IF(X455="검토필요","검토필요",IF(S455="","원본없음","초기완료")))</x:f>
        <x:v>검토필요</x:v>
      </x:c>
      <x:c r="AD455" s="7" t="inlineStr">
        <x:is>
          <x:t xml:space="preserve"/>
        </x:is>
      </x:c>
      <x:c r="AE455" s="5" t="inlineStr">
        <x:is>
          <x:t xml:space="preserve">.tmp/cobblemon-1.7.3-source/common/src/main/resources/data/cobblemon/species/generation4/skorupi.json</x:t>
        </x:is>
      </x:c>
      <x:c r="AF455" s="5" t="str">
        <x:f>"생활권|"&amp;K455</x:f>
        <x:v>생활권|육상</x:v>
      </x:c>
      <x:c r="AG455" s="5" t="str">
        <x:f>"지형|"&amp;L455</x:f>
        <x:v>지형|건조</x:v>
      </x:c>
      <x:c r="AH455" s="5" t="str">
        <x:f>"온도|"&amp;M455</x:f>
        <x:v>온도|고온</x:v>
      </x:c>
      <x:c r="AI455" s="5" t="str">
        <x:f>"습도|"&amp;N455</x:f>
        <x:v>습도|건조</x:v>
      </x:c>
      <x:c r="AJ455" s="5" t="str">
        <x:f>"날씨|"&amp;O455</x:f>
        <x:v>날씨|맑음</x:v>
      </x:c>
      <x:c r="AK455" s="5" t="str">
        <x:f>"특수태그|"&amp;R455</x:f>
        <x:v>특수태그|없음</x:v>
      </x:c>
      <x:c r="AL455" s="5" t="str">
        <x:f>"원본서식지|"&amp;S455</x:f>
        <x:v>원본서식지|건조지</x:v>
      </x:c>
      <x:c r="AM455" s="5" t="str">
        <x:f>"타입|"&amp;F455</x:f>
        <x:v>타입|독</x:v>
      </x:c>
      <x:c r="AN455" s="5" t="str">
        <x:f>"타입|"&amp;G455</x:f>
        <x:v>타입|벌레</x:v>
      </x:c>
    </x:row>
    <x:row r="456" ht="24" customHeight="1">
      <x:c r="A456" s="5" t="n">
        <x:v>452</x:v>
      </x:c>
      <x:c r="B456" s="5" t="inlineStr">
        <x:is>
          <x:t xml:space="preserve">드래피온</x:t>
        </x:is>
      </x:c>
      <x:c r="C456" s="5" t="inlineStr">
        <x:is>
          <x:t xml:space="preserve">drapion</x:t>
        </x:is>
      </x:c>
      <x:c r="D456" s="5" t="inlineStr">
        <x:is>
          <x:t xml:space="preserve">Drapion</x:t>
        </x:is>
      </x:c>
      <x:c r="E456" s="5" t="n">
        <x:v>4</x:v>
      </x:c>
      <x:c r="F456" s="5" t="inlineStr">
        <x:is>
          <x:t xml:space="preserve">독</x:t>
        </x:is>
      </x:c>
      <x:c r="G456" s="5" t="inlineStr">
        <x:is>
          <x:t xml:space="preserve">악</x:t>
        </x:is>
      </x:c>
      <x:c r="H456" s="6" t="n">
        <x:v>61.5</x:v>
      </x:c>
      <x:c r="I456" s="5" t="n">
        <x:v>40</x:v>
      </x:c>
      <x:c r="J456" s="5" t="inlineStr">
        <x:is>
          <x:t xml:space="preserve">최종</x:t>
        </x:is>
      </x:c>
      <x:c r="K456" s="7" t="inlineStr">
        <x:is>
          <x:t xml:space="preserve">육상</x:t>
        </x:is>
      </x:c>
      <x:c r="L456" s="7" t="inlineStr">
        <x:is>
          <x:t xml:space="preserve">건조</x:t>
        </x:is>
      </x:c>
      <x:c r="M456" s="7" t="inlineStr">
        <x:is>
          <x:t xml:space="preserve">고온</x:t>
        </x:is>
      </x:c>
      <x:c r="N456" s="7" t="inlineStr">
        <x:is>
          <x:t xml:space="preserve">건조</x:t>
        </x:is>
      </x:c>
      <x:c r="O456" s="7" t="inlineStr">
        <x:is>
          <x:t xml:space="preserve">맑음</x:t>
        </x:is>
      </x:c>
      <x:c r="P456" s="7" t="inlineStr">
        <x:is>
          <x:t xml:space="preserve">밤</x:t>
        </x:is>
      </x:c>
      <x:c r="Q456" s="7" t="inlineStr">
        <x:is>
          <x:t xml:space="preserve">흔함</x:t>
        </x:is>
      </x:c>
      <x:c r="R456" s="7" t="inlineStr">
        <x:is>
          <x:t xml:space="preserve">없음</x:t>
        </x:is>
      </x:c>
      <x:c r="S456" s="7" t="inlineStr">
        <x:is>
          <x:t xml:space="preserve">건조지</x:t>
        </x:is>
      </x:c>
      <x:c r="T456" s="7" t="inlineStr">
        <x:is>
          <x:t xml:space="preserve"/>
        </x:is>
      </x:c>
      <x:c r="U456" s="8" t="str">
        <x:f>INDEX('서식지_점수'!$E$4:$P$4,1,MATCH(MAX('서식지_점수'!E456:P456),'서식지_점수'!E456:P456,0))</x:f>
        <x:v>평원</x:v>
      </x:c>
      <x:c r="V456" s="8" t="str">
        <x:f>IF(T456&lt;&gt;"",T456,U456)</x:f>
        <x:v>평원</x:v>
      </x:c>
      <x:c r="W456" s="8" t="str">
        <x:f>IFERROR(INDEX('서식지_점수'!$E$4:$P$4,1,MATCH(MAXIFS('서식지_점수'!E456:P456,'서식지_점수'!E456:P456,"&lt;"&amp;MAX('서식지_점수'!E456:P456)),'서식지_점수'!E456:P456,0)),"")</x:f>
        <x:v>숲</x:v>
      </x:c>
      <x:c r="X456" s="8" t="str">
        <x:f>IF(T456&lt;&gt;"","수동확정",IF(MAX('서식지_점수'!E456:P456)-LARGE('서식지_점수'!E456:P456,2)&gt;=15,"높음",IF(MAX('서식지_점수'!E456:P456)-LARGE('서식지_점수'!E456:P456,2)&gt;=8,"보통","검토필요")))</x:f>
        <x:v>검토필요</x:v>
      </x:c>
      <x:c r="Y456" s="9" t="n">
        <x:f>IF(Q456="전설",8,IF(Q456="희귀",7,IF(J456="기본",1,IF(J456="중간",3,IF(J456="최종",IF(I456="",5,IF(I456&lt;=20,3,IF(I456&lt;=35,4,IF(I456&lt;=50,6,7)))),IF(Q456="드묾",4,2))))))</x:f>
        <x:v>6</x:v>
      </x:c>
      <x:c r="Z456" s="5" t="inlineStr">
        <x:is>
          <x:t xml:space="preserve">#cobblemon:is_badlands; #cobblemon:is_desert; #cobblemon:is_swamp</x:t>
        </x:is>
      </x:c>
      <x:c r="AA456" s="5" t="inlineStr">
        <x:is>
          <x:t xml:space="preserve">common</x:t>
        </x:is>
      </x:c>
      <x:c r="AB456" s="5" t="inlineStr">
        <x:is>
          <x:t xml:space="preserve">예</x:t>
        </x:is>
      </x:c>
      <x:c r="AC456" s="8" t="str">
        <x:f>IF(T456&lt;&gt;"","수동확정",IF(X456="검토필요","검토필요",IF(S456="","원본없음","초기완료")))</x:f>
        <x:v>검토필요</x:v>
      </x:c>
      <x:c r="AD456" s="7" t="inlineStr">
        <x:is>
          <x:t xml:space="preserve"/>
        </x:is>
      </x:c>
      <x:c r="AE456" s="5" t="inlineStr">
        <x:is>
          <x:t xml:space="preserve">.tmp/cobblemon-1.7.3-source/common/src/main/resources/data/cobblemon/species/generation4/drapion.json</x:t>
        </x:is>
      </x:c>
      <x:c r="AF456" s="5" t="str">
        <x:f>"생활권|"&amp;K456</x:f>
        <x:v>생활권|육상</x:v>
      </x:c>
      <x:c r="AG456" s="5" t="str">
        <x:f>"지형|"&amp;L456</x:f>
        <x:v>지형|건조</x:v>
      </x:c>
      <x:c r="AH456" s="5" t="str">
        <x:f>"온도|"&amp;M456</x:f>
        <x:v>온도|고온</x:v>
      </x:c>
      <x:c r="AI456" s="5" t="str">
        <x:f>"습도|"&amp;N456</x:f>
        <x:v>습도|건조</x:v>
      </x:c>
      <x:c r="AJ456" s="5" t="str">
        <x:f>"날씨|"&amp;O456</x:f>
        <x:v>날씨|맑음</x:v>
      </x:c>
      <x:c r="AK456" s="5" t="str">
        <x:f>"특수태그|"&amp;R456</x:f>
        <x:v>특수태그|없음</x:v>
      </x:c>
      <x:c r="AL456" s="5" t="str">
        <x:f>"원본서식지|"&amp;S456</x:f>
        <x:v>원본서식지|건조지</x:v>
      </x:c>
      <x:c r="AM456" s="5" t="str">
        <x:f>"타입|"&amp;F456</x:f>
        <x:v>타입|독</x:v>
      </x:c>
      <x:c r="AN456" s="5" t="str">
        <x:f>"타입|"&amp;G456</x:f>
        <x:v>타입|악</x:v>
      </x:c>
    </x:row>
    <x:row r="457" ht="24" customHeight="1">
      <x:c r="A457" s="5" t="n">
        <x:v>453</x:v>
      </x:c>
      <x:c r="B457" s="5" t="inlineStr">
        <x:is>
          <x:t xml:space="preserve">삐딱구리</x:t>
        </x:is>
      </x:c>
      <x:c r="C457" s="5" t="inlineStr">
        <x:is>
          <x:t xml:space="preserve">croagunk</x:t>
        </x:is>
      </x:c>
      <x:c r="D457" s="5" t="inlineStr">
        <x:is>
          <x:t xml:space="preserve">Croagunk</x:t>
        </x:is>
      </x:c>
      <x:c r="E457" s="5" t="n">
        <x:v>4</x:v>
      </x:c>
      <x:c r="F457" s="5" t="inlineStr">
        <x:is>
          <x:t xml:space="preserve">독</x:t>
        </x:is>
      </x:c>
      <x:c r="G457" s="5" t="inlineStr">
        <x:is>
          <x:t xml:space="preserve">격투</x:t>
        </x:is>
      </x:c>
      <x:c r="H457" s="6" t="n">
        <x:v>23</x:v>
      </x:c>
      <x:c r="I457" s="5" t="n">
        <x:v>37</x:v>
      </x:c>
      <x:c r="J457" s="5" t="inlineStr">
        <x:is>
          <x:t xml:space="preserve">기본</x:t>
        </x:is>
      </x:c>
      <x:c r="K457" s="7" t="inlineStr">
        <x:is>
          <x:t xml:space="preserve">육상</x:t>
        </x:is>
      </x:c>
      <x:c r="L457" s="7" t="inlineStr">
        <x:is>
          <x:t xml:space="preserve">습지</x:t>
        </x:is>
      </x:c>
      <x:c r="M457" s="7" t="inlineStr">
        <x:is>
          <x:t xml:space="preserve">온대</x:t>
        </x:is>
      </x:c>
      <x:c r="N457" s="7" t="inlineStr">
        <x:is>
          <x:t xml:space="preserve">다습</x:t>
        </x:is>
      </x:c>
      <x:c r="O457" s="7" t="inlineStr">
        <x:is>
          <x:t xml:space="preserve">비</x:t>
        </x:is>
      </x:c>
      <x:c r="P457" s="7" t="inlineStr">
        <x:is>
          <x:t xml:space="preserve">무관</x:t>
        </x:is>
      </x:c>
      <x:c r="Q457" s="7" t="inlineStr">
        <x:is>
          <x:t xml:space="preserve">흔함</x:t>
        </x:is>
      </x:c>
      <x:c r="R457" s="7" t="inlineStr">
        <x:is>
          <x:t xml:space="preserve">없음</x:t>
        </x:is>
      </x:c>
      <x:c r="S457" s="7" t="inlineStr">
        <x:is>
          <x:t xml:space="preserve">습지</x:t>
        </x:is>
      </x:c>
      <x:c r="T457" s="7" t="inlineStr">
        <x:is>
          <x:t xml:space="preserve"/>
        </x:is>
      </x:c>
      <x:c r="U457" s="8" t="str">
        <x:f>INDEX('서식지_점수'!$E$4:$P$4,1,MATCH(MAX('서식지_점수'!E457:P457),'서식지_점수'!E457:P457,0))</x:f>
        <x:v>평원</x:v>
      </x:c>
      <x:c r="V457" s="8" t="str">
        <x:f>IF(T457&lt;&gt;"",T457,U457)</x:f>
        <x:v>평원</x:v>
      </x:c>
      <x:c r="W457" s="8" t="str">
        <x:f>IFERROR(INDEX('서식지_점수'!$E$4:$P$4,1,MATCH(MAXIFS('서식지_점수'!E457:P457,'서식지_점수'!E457:P457,"&lt;"&amp;MAX('서식지_점수'!E457:P457)),'서식지_점수'!E457:P457,0)),"")</x:f>
        <x:v>숲</x:v>
      </x:c>
      <x:c r="X457" s="8" t="str">
        <x:f>IF(T457&lt;&gt;"","수동확정",IF(MAX('서식지_점수'!E457:P457)-LARGE('서식지_점수'!E457:P457,2)&gt;=15,"높음",IF(MAX('서식지_점수'!E457:P457)-LARGE('서식지_점수'!E457:P457,2)&gt;=8,"보통","검토필요")))</x:f>
        <x:v>검토필요</x:v>
      </x:c>
      <x:c r="Y457" s="9" t="n">
        <x:f>IF(Q457="전설",8,IF(Q457="희귀",7,IF(J457="기본",1,IF(J457="중간",3,IF(J457="최종",IF(I457="",5,IF(I457&lt;=20,3,IF(I457&lt;=35,4,IF(I457&lt;=50,6,7)))),IF(Q457="드묾",4,2))))))</x:f>
        <x:v>1</x:v>
      </x:c>
      <x:c r="Z457" s="5" t="inlineStr">
        <x:is>
          <x:t xml:space="preserve">#cobblemon:is_jungle; #cobblemon:is_swamp</x:t>
        </x:is>
      </x:c>
      <x:c r="AA457" s="5" t="inlineStr">
        <x:is>
          <x:t xml:space="preserve">common</x:t>
        </x:is>
      </x:c>
      <x:c r="AB457" s="5" t="inlineStr">
        <x:is>
          <x:t xml:space="preserve">예</x:t>
        </x:is>
      </x:c>
      <x:c r="AC457" s="8" t="str">
        <x:f>IF(T457&lt;&gt;"","수동확정",IF(X457="검토필요","검토필요",IF(S457="","원본없음","초기완료")))</x:f>
        <x:v>검토필요</x:v>
      </x:c>
      <x:c r="AD457" s="7" t="inlineStr">
        <x:is>
          <x:t xml:space="preserve"/>
        </x:is>
      </x:c>
      <x:c r="AE457" s="5" t="inlineStr">
        <x:is>
          <x:t xml:space="preserve">.tmp/cobblemon-1.7.3-source/common/src/main/resources/data/cobblemon/species/generation4/croagunk.json</x:t>
        </x:is>
      </x:c>
      <x:c r="AF457" s="5" t="str">
        <x:f>"생활권|"&amp;K457</x:f>
        <x:v>생활권|육상</x:v>
      </x:c>
      <x:c r="AG457" s="5" t="str">
        <x:f>"지형|"&amp;L457</x:f>
        <x:v>지형|습지</x:v>
      </x:c>
      <x:c r="AH457" s="5" t="str">
        <x:f>"온도|"&amp;M457</x:f>
        <x:v>온도|온대</x:v>
      </x:c>
      <x:c r="AI457" s="5" t="str">
        <x:f>"습도|"&amp;N457</x:f>
        <x:v>습도|다습</x:v>
      </x:c>
      <x:c r="AJ457" s="5" t="str">
        <x:f>"날씨|"&amp;O457</x:f>
        <x:v>날씨|비</x:v>
      </x:c>
      <x:c r="AK457" s="5" t="str">
        <x:f>"특수태그|"&amp;R457</x:f>
        <x:v>특수태그|없음</x:v>
      </x:c>
      <x:c r="AL457" s="5" t="str">
        <x:f>"원본서식지|"&amp;S457</x:f>
        <x:v>원본서식지|습지</x:v>
      </x:c>
      <x:c r="AM457" s="5" t="str">
        <x:f>"타입|"&amp;F457</x:f>
        <x:v>타입|독</x:v>
      </x:c>
      <x:c r="AN457" s="5" t="str">
        <x:f>"타입|"&amp;G457</x:f>
        <x:v>타입|격투</x:v>
      </x:c>
    </x:row>
    <x:row r="458" ht="24" customHeight="1">
      <x:c r="A458" s="5" t="n">
        <x:v>454</x:v>
      </x:c>
      <x:c r="B458" s="5" t="inlineStr">
        <x:is>
          <x:t xml:space="preserve">독개굴</x:t>
        </x:is>
      </x:c>
      <x:c r="C458" s="5" t="inlineStr">
        <x:is>
          <x:t xml:space="preserve">toxicroak</x:t>
        </x:is>
      </x:c>
      <x:c r="D458" s="5" t="inlineStr">
        <x:is>
          <x:t xml:space="preserve">Toxicroak</x:t>
        </x:is>
      </x:c>
      <x:c r="E458" s="5" t="n">
        <x:v>4</x:v>
      </x:c>
      <x:c r="F458" s="5" t="inlineStr">
        <x:is>
          <x:t xml:space="preserve">독</x:t>
        </x:is>
      </x:c>
      <x:c r="G458" s="5" t="inlineStr">
        <x:is>
          <x:t xml:space="preserve">격투</x:t>
        </x:is>
      </x:c>
      <x:c r="H458" s="6" t="n">
        <x:v>44.4</x:v>
      </x:c>
      <x:c r="I458" s="5" t="n">
        <x:v>37</x:v>
      </x:c>
      <x:c r="J458" s="5" t="inlineStr">
        <x:is>
          <x:t xml:space="preserve">최종</x:t>
        </x:is>
      </x:c>
      <x:c r="K458" s="7" t="inlineStr">
        <x:is>
          <x:t xml:space="preserve">육상</x:t>
        </x:is>
      </x:c>
      <x:c r="L458" s="7" t="inlineStr">
        <x:is>
          <x:t xml:space="preserve">습지</x:t>
        </x:is>
      </x:c>
      <x:c r="M458" s="7" t="inlineStr">
        <x:is>
          <x:t xml:space="preserve">온대</x:t>
        </x:is>
      </x:c>
      <x:c r="N458" s="7" t="inlineStr">
        <x:is>
          <x:t xml:space="preserve">다습</x:t>
        </x:is>
      </x:c>
      <x:c r="O458" s="7" t="inlineStr">
        <x:is>
          <x:t xml:space="preserve">비</x:t>
        </x:is>
      </x:c>
      <x:c r="P458" s="7" t="inlineStr">
        <x:is>
          <x:t xml:space="preserve">무관</x:t>
        </x:is>
      </x:c>
      <x:c r="Q458" s="7" t="inlineStr">
        <x:is>
          <x:t xml:space="preserve">흔함</x:t>
        </x:is>
      </x:c>
      <x:c r="R458" s="7" t="inlineStr">
        <x:is>
          <x:t xml:space="preserve">없음</x:t>
        </x:is>
      </x:c>
      <x:c r="S458" s="7" t="inlineStr">
        <x:is>
          <x:t xml:space="preserve">습지</x:t>
        </x:is>
      </x:c>
      <x:c r="T458" s="7" t="inlineStr">
        <x:is>
          <x:t xml:space="preserve"/>
        </x:is>
      </x:c>
      <x:c r="U458" s="8" t="str">
        <x:f>INDEX('서식지_점수'!$E$4:$P$4,1,MATCH(MAX('서식지_점수'!E458:P458),'서식지_점수'!E458:P458,0))</x:f>
        <x:v>평원</x:v>
      </x:c>
      <x:c r="V458" s="8" t="str">
        <x:f>IF(T458&lt;&gt;"",T458,U458)</x:f>
        <x:v>평원</x:v>
      </x:c>
      <x:c r="W458" s="8" t="str">
        <x:f>IFERROR(INDEX('서식지_점수'!$E$4:$P$4,1,MATCH(MAXIFS('서식지_점수'!E458:P458,'서식지_점수'!E458:P458,"&lt;"&amp;MAX('서식지_점수'!E458:P458)),'서식지_점수'!E458:P458,0)),"")</x:f>
        <x:v>숲</x:v>
      </x:c>
      <x:c r="X458" s="8" t="str">
        <x:f>IF(T458&lt;&gt;"","수동확정",IF(MAX('서식지_점수'!E458:P458)-LARGE('서식지_점수'!E458:P458,2)&gt;=15,"높음",IF(MAX('서식지_점수'!E458:P458)-LARGE('서식지_점수'!E458:P458,2)&gt;=8,"보통","검토필요")))</x:f>
        <x:v>검토필요</x:v>
      </x:c>
      <x:c r="Y458" s="9" t="n">
        <x:f>IF(Q458="전설",8,IF(Q458="희귀",7,IF(J458="기본",1,IF(J458="중간",3,IF(J458="최종",IF(I458="",5,IF(I458&lt;=20,3,IF(I458&lt;=35,4,IF(I458&lt;=50,6,7)))),IF(Q458="드묾",4,2))))))</x:f>
        <x:v>6</x:v>
      </x:c>
      <x:c r="Z458" s="5" t="inlineStr">
        <x:is>
          <x:t xml:space="preserve">#cobblemon:is_jungle; #cobblemon:is_swamp</x:t>
        </x:is>
      </x:c>
      <x:c r="AA458" s="5" t="inlineStr">
        <x:is>
          <x:t xml:space="preserve">common</x:t>
        </x:is>
      </x:c>
      <x:c r="AB458" s="5" t="inlineStr">
        <x:is>
          <x:t xml:space="preserve">예</x:t>
        </x:is>
      </x:c>
      <x:c r="AC458" s="8" t="str">
        <x:f>IF(T458&lt;&gt;"","수동확정",IF(X458="검토필요","검토필요",IF(S458="","원본없음","초기완료")))</x:f>
        <x:v>검토필요</x:v>
      </x:c>
      <x:c r="AD458" s="7" t="inlineStr">
        <x:is>
          <x:t xml:space="preserve"/>
        </x:is>
      </x:c>
      <x:c r="AE458" s="5" t="inlineStr">
        <x:is>
          <x:t xml:space="preserve">.tmp/cobblemon-1.7.3-source/common/src/main/resources/data/cobblemon/species/generation4/toxicroak.json</x:t>
        </x:is>
      </x:c>
      <x:c r="AF458" s="5" t="str">
        <x:f>"생활권|"&amp;K458</x:f>
        <x:v>생활권|육상</x:v>
      </x:c>
      <x:c r="AG458" s="5" t="str">
        <x:f>"지형|"&amp;L458</x:f>
        <x:v>지형|습지</x:v>
      </x:c>
      <x:c r="AH458" s="5" t="str">
        <x:f>"온도|"&amp;M458</x:f>
        <x:v>온도|온대</x:v>
      </x:c>
      <x:c r="AI458" s="5" t="str">
        <x:f>"습도|"&amp;N458</x:f>
        <x:v>습도|다습</x:v>
      </x:c>
      <x:c r="AJ458" s="5" t="str">
        <x:f>"날씨|"&amp;O458</x:f>
        <x:v>날씨|비</x:v>
      </x:c>
      <x:c r="AK458" s="5" t="str">
        <x:f>"특수태그|"&amp;R458</x:f>
        <x:v>특수태그|없음</x:v>
      </x:c>
      <x:c r="AL458" s="5" t="str">
        <x:f>"원본서식지|"&amp;S458</x:f>
        <x:v>원본서식지|습지</x:v>
      </x:c>
      <x:c r="AM458" s="5" t="str">
        <x:f>"타입|"&amp;F458</x:f>
        <x:v>타입|독</x:v>
      </x:c>
      <x:c r="AN458" s="5" t="str">
        <x:f>"타입|"&amp;G458</x:f>
        <x:v>타입|격투</x:v>
      </x:c>
    </x:row>
    <x:row r="459" ht="24" customHeight="1">
      <x:c r="A459" s="5" t="n">
        <x:v>455</x:v>
      </x:c>
      <x:c r="B459" s="5" t="inlineStr">
        <x:is>
          <x:t xml:space="preserve">무스틈니</x:t>
        </x:is>
      </x:c>
      <x:c r="C459" s="5" t="inlineStr">
        <x:is>
          <x:t xml:space="preserve">carnivine</x:t>
        </x:is>
      </x:c>
      <x:c r="D459" s="5" t="inlineStr">
        <x:is>
          <x:t xml:space="preserve">Carnivine</x:t>
        </x:is>
      </x:c>
      <x:c r="E459" s="5" t="n">
        <x:v>4</x:v>
      </x:c>
      <x:c r="F459" s="5" t="inlineStr">
        <x:is>
          <x:t xml:space="preserve">풀</x:t>
        </x:is>
      </x:c>
      <x:c r="G459" s="5" t="inlineStr">
        <x:is>
          <x:t xml:space="preserve"/>
        </x:is>
      </x:c>
      <x:c r="H459" s="6" t="n">
        <x:v>27</x:v>
      </x:c>
      <x:c r="I459" s="5" t="n"/>
      <x:c r="J459" s="5" t="inlineStr">
        <x:is>
          <x:t xml:space="preserve">무진화</x:t>
        </x:is>
      </x:c>
      <x:c r="K459" s="7" t="inlineStr">
        <x:is>
          <x:t xml:space="preserve">비행</x:t>
        </x:is>
      </x:c>
      <x:c r="L459" s="7" t="inlineStr">
        <x:is>
          <x:t xml:space="preserve">수목</x:t>
        </x:is>
      </x:c>
      <x:c r="M459" s="7" t="inlineStr">
        <x:is>
          <x:t xml:space="preserve">온대</x:t>
        </x:is>
      </x:c>
      <x:c r="N459" s="7" t="inlineStr">
        <x:is>
          <x:t xml:space="preserve">보통</x:t>
        </x:is>
      </x:c>
      <x:c r="O459" s="7" t="inlineStr">
        <x:is>
          <x:t xml:space="preserve">무관</x:t>
        </x:is>
      </x:c>
      <x:c r="P459" s="7" t="inlineStr">
        <x:is>
          <x:t xml:space="preserve">무관</x:t>
        </x:is>
      </x:c>
      <x:c r="Q459" s="7" t="inlineStr">
        <x:is>
          <x:t xml:space="preserve">보통</x:t>
        </x:is>
      </x:c>
      <x:c r="R459" s="7" t="inlineStr">
        <x:is>
          <x:t xml:space="preserve">없음</x:t>
        </x:is>
      </x:c>
      <x:c r="S459" s="7" t="inlineStr">
        <x:is>
          <x:t xml:space="preserve">숲</x:t>
        </x:is>
      </x:c>
      <x:c r="T459" s="7" t="inlineStr">
        <x:is>
          <x:t xml:space="preserve"/>
        </x:is>
      </x:c>
      <x:c r="U459" s="8" t="str">
        <x:f>INDEX('서식지_점수'!$E$4:$P$4,1,MATCH(MAX('서식지_점수'!E459:P459),'서식지_점수'!E459:P459,0))</x:f>
        <x:v>산악</x:v>
      </x:c>
      <x:c r="V459" s="8" t="str">
        <x:f>IF(T459&lt;&gt;"",T459,U459)</x:f>
        <x:v>산악</x:v>
      </x:c>
      <x:c r="W459" s="8" t="str">
        <x:f>IFERROR(INDEX('서식지_점수'!$E$4:$P$4,1,MATCH(MAXIFS('서식지_점수'!E459:P459,'서식지_점수'!E459:P459,"&lt;"&amp;MAX('서식지_점수'!E459:P459)),'서식지_점수'!E459:P459,0)),"")</x:f>
        <x:v>평원</x:v>
      </x:c>
      <x:c r="X459" s="8" t="str">
        <x:f>IF(T459&lt;&gt;"","수동확정",IF(MAX('서식지_점수'!E459:P459)-LARGE('서식지_점수'!E459:P459,2)&gt;=15,"높음",IF(MAX('서식지_점수'!E459:P459)-LARGE('서식지_점수'!E459:P459,2)&gt;=8,"보통","검토필요")))</x:f>
        <x:v>검토필요</x:v>
      </x:c>
      <x:c r="Y459" s="9" t="n">
        <x:f>IF(Q459="전설",8,IF(Q459="희귀",7,IF(J459="기본",1,IF(J459="중간",3,IF(J459="최종",IF(I459="",5,IF(I459&lt;=20,3,IF(I459&lt;=35,4,IF(I459&lt;=50,6,7)))),IF(Q459="드묾",4,2))))))</x:f>
        <x:v>2</x:v>
      </x:c>
      <x:c r="Z459" s="5" t="inlineStr">
        <x:is>
          <x:t xml:space="preserve">#cobblemon:is_lush; #cobblemon:is_overworld; #cobblemon:is_swamp; aether:skyroot_forest; aether:skyroot_woodland</x:t>
        </x:is>
      </x:c>
      <x:c r="AA459" s="5" t="inlineStr">
        <x:is>
          <x:t xml:space="preserve">uncommon</x:t>
        </x:is>
      </x:c>
      <x:c r="AB459" s="5" t="inlineStr">
        <x:is>
          <x:t xml:space="preserve">예</x:t>
        </x:is>
      </x:c>
      <x:c r="AC459" s="8" t="str">
        <x:f>IF(T459&lt;&gt;"","수동확정",IF(X459="검토필요","검토필요",IF(S459="","원본없음","초기완료")))</x:f>
        <x:v>검토필요</x:v>
      </x:c>
      <x:c r="AD459" s="7" t="inlineStr">
        <x:is>
          <x:t xml:space="preserve"/>
        </x:is>
      </x:c>
      <x:c r="AE459" s="5" t="inlineStr">
        <x:is>
          <x:t xml:space="preserve">.tmp/cobblemon-1.7.3-source/common/src/main/resources/data/cobblemon/species/generation4/carnivine.json</x:t>
        </x:is>
      </x:c>
      <x:c r="AF459" s="5" t="str">
        <x:f>"생활권|"&amp;K459</x:f>
        <x:v>생활권|비행</x:v>
      </x:c>
      <x:c r="AG459" s="5" t="str">
        <x:f>"지형|"&amp;L459</x:f>
        <x:v>지형|수목</x:v>
      </x:c>
      <x:c r="AH459" s="5" t="str">
        <x:f>"온도|"&amp;M459</x:f>
        <x:v>온도|온대</x:v>
      </x:c>
      <x:c r="AI459" s="5" t="str">
        <x:f>"습도|"&amp;N459</x:f>
        <x:v>습도|보통</x:v>
      </x:c>
      <x:c r="AJ459" s="5" t="str">
        <x:f>"날씨|"&amp;O459</x:f>
        <x:v>날씨|무관</x:v>
      </x:c>
      <x:c r="AK459" s="5" t="str">
        <x:f>"특수태그|"&amp;R459</x:f>
        <x:v>특수태그|없음</x:v>
      </x:c>
      <x:c r="AL459" s="5" t="str">
        <x:f>"원본서식지|"&amp;S459</x:f>
        <x:v>원본서식지|숲</x:v>
      </x:c>
      <x:c r="AM459" s="5" t="str">
        <x:f>"타입|"&amp;F459</x:f>
        <x:v>타입|풀</x:v>
      </x:c>
      <x:c r="AN459" s="5" t="str">
        <x:f>"타입|"&amp;G459</x:f>
        <x:v>타입|</x:v>
      </x:c>
    </x:row>
    <x:row r="460" ht="24" customHeight="1">
      <x:c r="A460" s="5" t="n">
        <x:v>456</x:v>
      </x:c>
      <x:c r="B460" s="5" t="inlineStr">
        <x:is>
          <x:t xml:space="preserve">형광어</x:t>
        </x:is>
      </x:c>
      <x:c r="C460" s="5" t="inlineStr">
        <x:is>
          <x:t xml:space="preserve">finneon</x:t>
        </x:is>
      </x:c>
      <x:c r="D460" s="5" t="inlineStr">
        <x:is>
          <x:t xml:space="preserve">Finneon</x:t>
        </x:is>
      </x:c>
      <x:c r="E460" s="5" t="n">
        <x:v>4</x:v>
      </x:c>
      <x:c r="F460" s="5" t="inlineStr">
        <x:is>
          <x:t xml:space="preserve">물</x:t>
        </x:is>
      </x:c>
      <x:c r="G460" s="5" t="inlineStr">
        <x:is>
          <x:t xml:space="preserve"/>
        </x:is>
      </x:c>
      <x:c r="H460" s="6" t="n">
        <x:v>7</x:v>
      </x:c>
      <x:c r="I460" s="5" t="n">
        <x:v>31</x:v>
      </x:c>
      <x:c r="J460" s="5" t="inlineStr">
        <x:is>
          <x:t xml:space="preserve">기본</x:t>
        </x:is>
      </x:c>
      <x:c r="K460" s="7" t="inlineStr">
        <x:is>
          <x:t xml:space="preserve">해양</x:t>
        </x:is>
      </x:c>
      <x:c r="L460" s="7" t="inlineStr">
        <x:is>
          <x:t xml:space="preserve">해안·해양</x:t>
        </x:is>
      </x:c>
      <x:c r="M460" s="7" t="inlineStr">
        <x:is>
          <x:t xml:space="preserve">온대</x:t>
        </x:is>
      </x:c>
      <x:c r="N460" s="7" t="inlineStr">
        <x:is>
          <x:t xml:space="preserve">수중</x:t>
        </x:is>
      </x:c>
      <x:c r="O460" s="7" t="inlineStr">
        <x:is>
          <x:t xml:space="preserve">비</x:t>
        </x:is>
      </x:c>
      <x:c r="P460" s="7" t="inlineStr">
        <x:is>
          <x:t xml:space="preserve">무관</x:t>
        </x:is>
      </x:c>
      <x:c r="Q460" s="7" t="inlineStr">
        <x:is>
          <x:t xml:space="preserve">흔함</x:t>
        </x:is>
      </x:c>
      <x:c r="R460" s="7" t="inlineStr">
        <x:is>
          <x:t xml:space="preserve">심해</x:t>
        </x:is>
      </x:c>
      <x:c r="S460" s="7" t="inlineStr">
        <x:is>
          <x:t xml:space="preserve">해양</x:t>
        </x:is>
      </x:c>
      <x:c r="T460" s="7" t="inlineStr">
        <x:is>
          <x:t xml:space="preserve"/>
        </x:is>
      </x:c>
      <x:c r="U460" s="8" t="str">
        <x:f>INDEX('서식지_점수'!$E$4:$P$4,1,MATCH(MAX('서식지_점수'!E460:P460),'서식지_점수'!E460:P460,0))</x:f>
        <x:v>해양</x:v>
      </x:c>
      <x:c r="V460" s="8" t="str">
        <x:f>IF(T460&lt;&gt;"",T460,U460)</x:f>
        <x:v>해양</x:v>
      </x:c>
      <x:c r="W460" s="8" t="str">
        <x:f>IFERROR(INDEX('서식지_점수'!$E$4:$P$4,1,MATCH(MAXIFS('서식지_점수'!E460:P460,'서식지_점수'!E460:P460,"&lt;"&amp;MAX('서식지_점수'!E460:P460)),'서식지_점수'!E460:P460,0)),"")</x:f>
        <x:v>습지</x:v>
      </x:c>
      <x:c r="X460" s="8" t="str">
        <x:f>IF(T460&lt;&gt;"","수동확정",IF(MAX('서식지_점수'!E460:P460)-LARGE('서식지_점수'!E460:P460,2)&gt;=15,"높음",IF(MAX('서식지_점수'!E460:P460)-LARGE('서식지_점수'!E460:P460,2)&gt;=8,"보통","검토필요")))</x:f>
        <x:v>높음</x:v>
      </x:c>
      <x:c r="Y460" s="9" t="n">
        <x:f>IF(Q460="전설",8,IF(Q460="희귀",7,IF(J460="기본",1,IF(J460="중간",3,IF(J460="최종",IF(I460="",5,IF(I460&lt;=20,3,IF(I460&lt;=35,4,IF(I460&lt;=50,6,7)))),IF(Q460="드묾",4,2))))))</x:f>
        <x:v>1</x:v>
      </x:c>
      <x:c r="Z460" s="5" t="inlineStr">
        <x:is>
          <x:t xml:space="preserve">#cobblemon:is_deep_ocean; #cobblemon:is_ocean; #cobblemon:is_overworld</x:t>
        </x:is>
      </x:c>
      <x:c r="AA460" s="5" t="inlineStr">
        <x:is>
          <x:t xml:space="preserve">common</x:t>
        </x:is>
      </x:c>
      <x:c r="AB460" s="5" t="inlineStr">
        <x:is>
          <x:t xml:space="preserve">예</x:t>
        </x:is>
      </x:c>
      <x:c r="AC460" s="8" t="str">
        <x:f>IF(T460&lt;&gt;"","수동확정",IF(X460="검토필요","검토필요",IF(S460="","원본없음","초기완료")))</x:f>
        <x:v>초기완료</x:v>
      </x:c>
      <x:c r="AD460" s="7" t="inlineStr">
        <x:is>
          <x:t xml:space="preserve"/>
        </x:is>
      </x:c>
      <x:c r="AE460" s="5" t="inlineStr">
        <x:is>
          <x:t xml:space="preserve">.tmp/cobblemon-1.7.3-source/common/src/main/resources/data/cobblemon/species/generation4/finneon.json</x:t>
        </x:is>
      </x:c>
      <x:c r="AF460" s="5" t="str">
        <x:f>"생활권|"&amp;K460</x:f>
        <x:v>생활권|해양</x:v>
      </x:c>
      <x:c r="AG460" s="5" t="str">
        <x:f>"지형|"&amp;L460</x:f>
        <x:v>지형|해안·해양</x:v>
      </x:c>
      <x:c r="AH460" s="5" t="str">
        <x:f>"온도|"&amp;M460</x:f>
        <x:v>온도|온대</x:v>
      </x:c>
      <x:c r="AI460" s="5" t="str">
        <x:f>"습도|"&amp;N460</x:f>
        <x:v>습도|수중</x:v>
      </x:c>
      <x:c r="AJ460" s="5" t="str">
        <x:f>"날씨|"&amp;O460</x:f>
        <x:v>날씨|비</x:v>
      </x:c>
      <x:c r="AK460" s="5" t="str">
        <x:f>"특수태그|"&amp;R460</x:f>
        <x:v>특수태그|심해</x:v>
      </x:c>
      <x:c r="AL460" s="5" t="str">
        <x:f>"원본서식지|"&amp;S460</x:f>
        <x:v>원본서식지|해양</x:v>
      </x:c>
      <x:c r="AM460" s="5" t="str">
        <x:f>"타입|"&amp;F460</x:f>
        <x:v>타입|물</x:v>
      </x:c>
      <x:c r="AN460" s="5" t="str">
        <x:f>"타입|"&amp;G460</x:f>
        <x:v>타입|</x:v>
      </x:c>
    </x:row>
    <x:row r="461" ht="24" customHeight="1">
      <x:c r="A461" s="5" t="n">
        <x:v>457</x:v>
      </x:c>
      <x:c r="B461" s="5" t="inlineStr">
        <x:is>
          <x:t xml:space="preserve">네오라이트</x:t>
        </x:is>
      </x:c>
      <x:c r="C461" s="5" t="inlineStr">
        <x:is>
          <x:t xml:space="preserve">lumineon</x:t>
        </x:is>
      </x:c>
      <x:c r="D461" s="5" t="inlineStr">
        <x:is>
          <x:t xml:space="preserve">Lumineon</x:t>
        </x:is>
      </x:c>
      <x:c r="E461" s="5" t="n">
        <x:v>4</x:v>
      </x:c>
      <x:c r="F461" s="5" t="inlineStr">
        <x:is>
          <x:t xml:space="preserve">물</x:t>
        </x:is>
      </x:c>
      <x:c r="G461" s="5" t="inlineStr">
        <x:is>
          <x:t xml:space="preserve"/>
        </x:is>
      </x:c>
      <x:c r="H461" s="6" t="n">
        <x:v>24</x:v>
      </x:c>
      <x:c r="I461" s="5" t="n">
        <x:v>31</x:v>
      </x:c>
      <x:c r="J461" s="5" t="inlineStr">
        <x:is>
          <x:t xml:space="preserve">최종</x:t>
        </x:is>
      </x:c>
      <x:c r="K461" s="7" t="inlineStr">
        <x:is>
          <x:t xml:space="preserve">해양</x:t>
        </x:is>
      </x:c>
      <x:c r="L461" s="7" t="inlineStr">
        <x:is>
          <x:t xml:space="preserve">해안·해양</x:t>
        </x:is>
      </x:c>
      <x:c r="M461" s="7" t="inlineStr">
        <x:is>
          <x:t xml:space="preserve">온대</x:t>
        </x:is>
      </x:c>
      <x:c r="N461" s="7" t="inlineStr">
        <x:is>
          <x:t xml:space="preserve">수중</x:t>
        </x:is>
      </x:c>
      <x:c r="O461" s="7" t="inlineStr">
        <x:is>
          <x:t xml:space="preserve">비</x:t>
        </x:is>
      </x:c>
      <x:c r="P461" s="7" t="inlineStr">
        <x:is>
          <x:t xml:space="preserve">무관</x:t>
        </x:is>
      </x:c>
      <x:c r="Q461" s="7" t="inlineStr">
        <x:is>
          <x:t xml:space="preserve">흔함</x:t>
        </x:is>
      </x:c>
      <x:c r="R461" s="7" t="inlineStr">
        <x:is>
          <x:t xml:space="preserve">심해</x:t>
        </x:is>
      </x:c>
      <x:c r="S461" s="7" t="inlineStr">
        <x:is>
          <x:t xml:space="preserve">해양</x:t>
        </x:is>
      </x:c>
      <x:c r="T461" s="7" t="inlineStr">
        <x:is>
          <x:t xml:space="preserve"/>
        </x:is>
      </x:c>
      <x:c r="U461" s="8" t="str">
        <x:f>INDEX('서식지_점수'!$E$4:$P$4,1,MATCH(MAX('서식지_점수'!E461:P461),'서식지_점수'!E461:P461,0))</x:f>
        <x:v>해양</x:v>
      </x:c>
      <x:c r="V461" s="8" t="str">
        <x:f>IF(T461&lt;&gt;"",T461,U461)</x:f>
        <x:v>해양</x:v>
      </x:c>
      <x:c r="W461" s="8" t="str">
        <x:f>IFERROR(INDEX('서식지_점수'!$E$4:$P$4,1,MATCH(MAXIFS('서식지_점수'!E461:P461,'서식지_점수'!E461:P461,"&lt;"&amp;MAX('서식지_점수'!E461:P461)),'서식지_점수'!E461:P461,0)),"")</x:f>
        <x:v>습지</x:v>
      </x:c>
      <x:c r="X461" s="8" t="str">
        <x:f>IF(T461&lt;&gt;"","수동확정",IF(MAX('서식지_점수'!E461:P461)-LARGE('서식지_점수'!E461:P461,2)&gt;=15,"높음",IF(MAX('서식지_점수'!E461:P461)-LARGE('서식지_점수'!E461:P461,2)&gt;=8,"보통","검토필요")))</x:f>
        <x:v>높음</x:v>
      </x:c>
      <x:c r="Y461" s="9" t="n">
        <x:f>IF(Q461="전설",8,IF(Q461="희귀",7,IF(J461="기본",1,IF(J461="중간",3,IF(J461="최종",IF(I461="",5,IF(I461&lt;=20,3,IF(I461&lt;=35,4,IF(I461&lt;=50,6,7)))),IF(Q461="드묾",4,2))))))</x:f>
        <x:v>4</x:v>
      </x:c>
      <x:c r="Z461" s="5" t="inlineStr">
        <x:is>
          <x:t xml:space="preserve">#cobblemon:is_deep_ocean; #cobblemon:is_ocean; #cobblemon:is_overworld</x:t>
        </x:is>
      </x:c>
      <x:c r="AA461" s="5" t="inlineStr">
        <x:is>
          <x:t xml:space="preserve">common</x:t>
        </x:is>
      </x:c>
      <x:c r="AB461" s="5" t="inlineStr">
        <x:is>
          <x:t xml:space="preserve">예</x:t>
        </x:is>
      </x:c>
      <x:c r="AC461" s="8" t="str">
        <x:f>IF(T461&lt;&gt;"","수동확정",IF(X461="검토필요","검토필요",IF(S461="","원본없음","초기완료")))</x:f>
        <x:v>초기완료</x:v>
      </x:c>
      <x:c r="AD461" s="7" t="inlineStr">
        <x:is>
          <x:t xml:space="preserve"/>
        </x:is>
      </x:c>
      <x:c r="AE461" s="5" t="inlineStr">
        <x:is>
          <x:t xml:space="preserve">.tmp/cobblemon-1.7.3-source/common/src/main/resources/data/cobblemon/species/generation4/lumineon.json</x:t>
        </x:is>
      </x:c>
      <x:c r="AF461" s="5" t="str">
        <x:f>"생활권|"&amp;K461</x:f>
        <x:v>생활권|해양</x:v>
      </x:c>
      <x:c r="AG461" s="5" t="str">
        <x:f>"지형|"&amp;L461</x:f>
        <x:v>지형|해안·해양</x:v>
      </x:c>
      <x:c r="AH461" s="5" t="str">
        <x:f>"온도|"&amp;M461</x:f>
        <x:v>온도|온대</x:v>
      </x:c>
      <x:c r="AI461" s="5" t="str">
        <x:f>"습도|"&amp;N461</x:f>
        <x:v>습도|수중</x:v>
      </x:c>
      <x:c r="AJ461" s="5" t="str">
        <x:f>"날씨|"&amp;O461</x:f>
        <x:v>날씨|비</x:v>
      </x:c>
      <x:c r="AK461" s="5" t="str">
        <x:f>"특수태그|"&amp;R461</x:f>
        <x:v>특수태그|심해</x:v>
      </x:c>
      <x:c r="AL461" s="5" t="str">
        <x:f>"원본서식지|"&amp;S461</x:f>
        <x:v>원본서식지|해양</x:v>
      </x:c>
      <x:c r="AM461" s="5" t="str">
        <x:f>"타입|"&amp;F461</x:f>
        <x:v>타입|물</x:v>
      </x:c>
      <x:c r="AN461" s="5" t="str">
        <x:f>"타입|"&amp;G461</x:f>
        <x:v>타입|</x:v>
      </x:c>
    </x:row>
    <x:row r="462" ht="24" customHeight="1">
      <x:c r="A462" s="5" t="n">
        <x:v>458</x:v>
      </x:c>
      <x:c r="B462" s="5" t="inlineStr">
        <x:is>
          <x:t xml:space="preserve">타만타</x:t>
        </x:is>
      </x:c>
      <x:c r="C462" s="5" t="inlineStr">
        <x:is>
          <x:t xml:space="preserve">mantyke</x:t>
        </x:is>
      </x:c>
      <x:c r="D462" s="5" t="inlineStr">
        <x:is>
          <x:t xml:space="preserve">Mantyke</x:t>
        </x:is>
      </x:c>
      <x:c r="E462" s="5" t="n">
        <x:v>4</x:v>
      </x:c>
      <x:c r="F462" s="5" t="inlineStr">
        <x:is>
          <x:t xml:space="preserve">물</x:t>
        </x:is>
      </x:c>
      <x:c r="G462" s="5" t="inlineStr">
        <x:is>
          <x:t xml:space="preserve">비행</x:t>
        </x:is>
      </x:c>
      <x:c r="H462" s="6" t="n">
        <x:v>65</x:v>
      </x:c>
      <x:c r="I462" s="5" t="n"/>
      <x:c r="J462" s="5" t="inlineStr">
        <x:is>
          <x:t xml:space="preserve">기본</x:t>
        </x:is>
      </x:c>
      <x:c r="K462" s="7" t="inlineStr">
        <x:is>
          <x:t xml:space="preserve">해양</x:t>
        </x:is>
      </x:c>
      <x:c r="L462" s="7" t="inlineStr">
        <x:is>
          <x:t xml:space="preserve">해안·해양</x:t>
        </x:is>
      </x:c>
      <x:c r="M462" s="7" t="inlineStr">
        <x:is>
          <x:t xml:space="preserve">온대</x:t>
        </x:is>
      </x:c>
      <x:c r="N462" s="7" t="inlineStr">
        <x:is>
          <x:t xml:space="preserve">수중</x:t>
        </x:is>
      </x:c>
      <x:c r="O462" s="7" t="inlineStr">
        <x:is>
          <x:t xml:space="preserve">비</x:t>
        </x:is>
      </x:c>
      <x:c r="P462" s="7" t="inlineStr">
        <x:is>
          <x:t xml:space="preserve">무관</x:t>
        </x:is>
      </x:c>
      <x:c r="Q462" s="7" t="inlineStr">
        <x:is>
          <x:t xml:space="preserve">보통</x:t>
        </x:is>
      </x:c>
      <x:c r="R462" s="7" t="inlineStr">
        <x:is>
          <x:t xml:space="preserve">없음</x:t>
        </x:is>
      </x:c>
      <x:c r="S462" s="7" t="inlineStr">
        <x:is>
          <x:t xml:space="preserve">해양</x:t>
        </x:is>
      </x:c>
      <x:c r="T462" s="7" t="inlineStr">
        <x:is>
          <x:t xml:space="preserve"/>
        </x:is>
      </x:c>
      <x:c r="U462" s="8" t="str">
        <x:f>INDEX('서식지_점수'!$E$4:$P$4,1,MATCH(MAX('서식지_점수'!E462:P462),'서식지_점수'!E462:P462,0))</x:f>
        <x:v>해양</x:v>
      </x:c>
      <x:c r="V462" s="8" t="str">
        <x:f>IF(T462&lt;&gt;"",T462,U462)</x:f>
        <x:v>해양</x:v>
      </x:c>
      <x:c r="W462" s="8" t="str">
        <x:f>IFERROR(INDEX('서식지_점수'!$E$4:$P$4,1,MATCH(MAXIFS('서식지_점수'!E462:P462,'서식지_점수'!E462:P462,"&lt;"&amp;MAX('서식지_점수'!E462:P462)),'서식지_점수'!E462:P462,0)),"")</x:f>
        <x:v>습지</x:v>
      </x:c>
      <x:c r="X462" s="8" t="str">
        <x:f>IF(T462&lt;&gt;"","수동확정",IF(MAX('서식지_점수'!E462:P462)-LARGE('서식지_점수'!E462:P462,2)&gt;=15,"높음",IF(MAX('서식지_점수'!E462:P462)-LARGE('서식지_점수'!E462:P462,2)&gt;=8,"보통","검토필요")))</x:f>
        <x:v>높음</x:v>
      </x:c>
      <x:c r="Y462" s="9" t="n">
        <x:f>IF(Q462="전설",8,IF(Q462="희귀",7,IF(J462="기본",1,IF(J462="중간",3,IF(J462="최종",IF(I462="",5,IF(I462&lt;=20,3,IF(I462&lt;=35,4,IF(I462&lt;=50,6,7)))),IF(Q462="드묾",4,2))))))</x:f>
        <x:v>1</x:v>
      </x:c>
      <x:c r="Z462" s="5" t="inlineStr">
        <x:is>
          <x:t xml:space="preserve">#cobblemon:is_lukewarm_ocean; #cobblemon:is_ocean; #cobblemon:is_warm_ocean</x:t>
        </x:is>
      </x:c>
      <x:c r="AA462" s="5" t="inlineStr">
        <x:is>
          <x:t xml:space="preserve">common; uncommon</x:t>
        </x:is>
      </x:c>
      <x:c r="AB462" s="5" t="inlineStr">
        <x:is>
          <x:t xml:space="preserve">예</x:t>
        </x:is>
      </x:c>
      <x:c r="AC462" s="8" t="str">
        <x:f>IF(T462&lt;&gt;"","수동확정",IF(X462="검토필요","검토필요",IF(S462="","원본없음","초기완료")))</x:f>
        <x:v>초기완료</x:v>
      </x:c>
      <x:c r="AD462" s="7" t="inlineStr">
        <x:is>
          <x:t xml:space="preserve"/>
        </x:is>
      </x:c>
      <x:c r="AE462" s="5" t="inlineStr">
        <x:is>
          <x:t xml:space="preserve">.tmp/cobblemon-1.7.3-source/common/src/main/resources/data/cobblemon/species/generation4/mantyke.json</x:t>
        </x:is>
      </x:c>
      <x:c r="AF462" s="5" t="str">
        <x:f>"생활권|"&amp;K462</x:f>
        <x:v>생활권|해양</x:v>
      </x:c>
      <x:c r="AG462" s="5" t="str">
        <x:f>"지형|"&amp;L462</x:f>
        <x:v>지형|해안·해양</x:v>
      </x:c>
      <x:c r="AH462" s="5" t="str">
        <x:f>"온도|"&amp;M462</x:f>
        <x:v>온도|온대</x:v>
      </x:c>
      <x:c r="AI462" s="5" t="str">
        <x:f>"습도|"&amp;N462</x:f>
        <x:v>습도|수중</x:v>
      </x:c>
      <x:c r="AJ462" s="5" t="str">
        <x:f>"날씨|"&amp;O462</x:f>
        <x:v>날씨|비</x:v>
      </x:c>
      <x:c r="AK462" s="5" t="str">
        <x:f>"특수태그|"&amp;R462</x:f>
        <x:v>특수태그|없음</x:v>
      </x:c>
      <x:c r="AL462" s="5" t="str">
        <x:f>"원본서식지|"&amp;S462</x:f>
        <x:v>원본서식지|해양</x:v>
      </x:c>
      <x:c r="AM462" s="5" t="str">
        <x:f>"타입|"&amp;F462</x:f>
        <x:v>타입|물</x:v>
      </x:c>
      <x:c r="AN462" s="5" t="str">
        <x:f>"타입|"&amp;G462</x:f>
        <x:v>타입|비행</x:v>
      </x:c>
    </x:row>
    <x:row r="463" ht="24" customHeight="1">
      <x:c r="A463" s="5" t="n">
        <x:v>459</x:v>
      </x:c>
      <x:c r="B463" s="5" t="inlineStr">
        <x:is>
          <x:t xml:space="preserve">눈쓰개</x:t>
        </x:is>
      </x:c>
      <x:c r="C463" s="5" t="inlineStr">
        <x:is>
          <x:t xml:space="preserve">snover</x:t>
        </x:is>
      </x:c>
      <x:c r="D463" s="5" t="inlineStr">
        <x:is>
          <x:t xml:space="preserve">Snover</x:t>
        </x:is>
      </x:c>
      <x:c r="E463" s="5" t="n">
        <x:v>4</x:v>
      </x:c>
      <x:c r="F463" s="5" t="inlineStr">
        <x:is>
          <x:t xml:space="preserve">풀</x:t>
        </x:is>
      </x:c>
      <x:c r="G463" s="5" t="inlineStr">
        <x:is>
          <x:t xml:space="preserve">얼음</x:t>
        </x:is>
      </x:c>
      <x:c r="H463" s="6" t="n">
        <x:v>50.5</x:v>
      </x:c>
      <x:c r="I463" s="5" t="n">
        <x:v>40</x:v>
      </x:c>
      <x:c r="J463" s="5" t="inlineStr">
        <x:is>
          <x:t xml:space="preserve">기본</x:t>
        </x:is>
      </x:c>
      <x:c r="K463" s="7" t="inlineStr">
        <x:is>
          <x:t xml:space="preserve">육상</x:t>
        </x:is>
      </x:c>
      <x:c r="L463" s="7" t="inlineStr">
        <x:is>
          <x:t xml:space="preserve">설원</x:t>
        </x:is>
      </x:c>
      <x:c r="M463" s="7" t="inlineStr">
        <x:is>
          <x:t xml:space="preserve">한랭</x:t>
        </x:is>
      </x:c>
      <x:c r="N463" s="7" t="inlineStr">
        <x:is>
          <x:t xml:space="preserve">보통</x:t>
        </x:is>
      </x:c>
      <x:c r="O463" s="7" t="inlineStr">
        <x:is>
          <x:t xml:space="preserve">눈</x:t>
        </x:is>
      </x:c>
      <x:c r="P463" s="7" t="inlineStr">
        <x:is>
          <x:t xml:space="preserve">무관</x:t>
        </x:is>
      </x:c>
      <x:c r="Q463" s="7" t="inlineStr">
        <x:is>
          <x:t xml:space="preserve">흔함</x:t>
        </x:is>
      </x:c>
      <x:c r="R463" s="7" t="inlineStr">
        <x:is>
          <x:t xml:space="preserve">없음</x:t>
        </x:is>
      </x:c>
      <x:c r="S463" s="7" t="inlineStr">
        <x:is>
          <x:t xml:space="preserve">설원</x:t>
        </x:is>
      </x:c>
      <x:c r="T463" s="7" t="inlineStr">
        <x:is>
          <x:t xml:space="preserve"/>
        </x:is>
      </x:c>
      <x:c r="U463" s="8" t="str">
        <x:f>INDEX('서식지_점수'!$E$4:$P$4,1,MATCH(MAX('서식지_점수'!E463:P463),'서식지_점수'!E463:P463,0))</x:f>
        <x:v>평원</x:v>
      </x:c>
      <x:c r="V463" s="8" t="str">
        <x:f>IF(T463&lt;&gt;"",T463,U463)</x:f>
        <x:v>평원</x:v>
      </x:c>
      <x:c r="W463" s="8" t="str">
        <x:f>IFERROR(INDEX('서식지_점수'!$E$4:$P$4,1,MATCH(MAXIFS('서식지_점수'!E463:P463,'서식지_점수'!E463:P463,"&lt;"&amp;MAX('서식지_점수'!E463:P463)),'서식지_점수'!E463:P463,0)),"")</x:f>
        <x:v>숲</x:v>
      </x:c>
      <x:c r="X463" s="8" t="str">
        <x:f>IF(T463&lt;&gt;"","수동확정",IF(MAX('서식지_점수'!E463:P463)-LARGE('서식지_점수'!E463:P463,2)&gt;=15,"높음",IF(MAX('서식지_점수'!E463:P463)-LARGE('서식지_점수'!E463:P463,2)&gt;=8,"보통","검토필요")))</x:f>
        <x:v>검토필요</x:v>
      </x:c>
      <x:c r="Y463" s="9" t="n">
        <x:f>IF(Q463="전설",8,IF(Q463="희귀",7,IF(J463="기본",1,IF(J463="중간",3,IF(J463="최종",IF(I463="",5,IF(I463&lt;=20,3,IF(I463&lt;=35,4,IF(I463&lt;=50,6,7)))),IF(Q463="드묾",4,2))))))</x:f>
        <x:v>1</x:v>
      </x:c>
      <x:c r="Z463" s="5" t="inlineStr">
        <x:is>
          <x:t xml:space="preserve">#cobblemon:is_snowy_forest; #cobblemon:is_snowy_taiga</x:t>
        </x:is>
      </x:c>
      <x:c r="AA463" s="5" t="inlineStr">
        <x:is>
          <x:t xml:space="preserve">common</x:t>
        </x:is>
      </x:c>
      <x:c r="AB463" s="5" t="inlineStr">
        <x:is>
          <x:t xml:space="preserve">아니오</x:t>
        </x:is>
      </x:c>
      <x:c r="AC463" s="8" t="str">
        <x:f>IF(T463&lt;&gt;"","수동확정",IF(X463="검토필요","검토필요",IF(S463="","원본없음","초기완료")))</x:f>
        <x:v>검토필요</x:v>
      </x:c>
      <x:c r="AD463" s="7" t="inlineStr">
        <x:is>
          <x:t xml:space="preserve"/>
        </x:is>
      </x:c>
      <x:c r="AE463" s="5" t="inlineStr">
        <x:is>
          <x:t xml:space="preserve">.tmp/cobblemon-1.7.3-source/common/src/main/resources/data/cobblemon/species/generation4/snover.json</x:t>
        </x:is>
      </x:c>
      <x:c r="AF463" s="5" t="str">
        <x:f>"생활권|"&amp;K463</x:f>
        <x:v>생활권|육상</x:v>
      </x:c>
      <x:c r="AG463" s="5" t="str">
        <x:f>"지형|"&amp;L463</x:f>
        <x:v>지형|설원</x:v>
      </x:c>
      <x:c r="AH463" s="5" t="str">
        <x:f>"온도|"&amp;M463</x:f>
        <x:v>온도|한랭</x:v>
      </x:c>
      <x:c r="AI463" s="5" t="str">
        <x:f>"습도|"&amp;N463</x:f>
        <x:v>습도|보통</x:v>
      </x:c>
      <x:c r="AJ463" s="5" t="str">
        <x:f>"날씨|"&amp;O463</x:f>
        <x:v>날씨|눈</x:v>
      </x:c>
      <x:c r="AK463" s="5" t="str">
        <x:f>"특수태그|"&amp;R463</x:f>
        <x:v>특수태그|없음</x:v>
      </x:c>
      <x:c r="AL463" s="5" t="str">
        <x:f>"원본서식지|"&amp;S463</x:f>
        <x:v>원본서식지|설원</x:v>
      </x:c>
      <x:c r="AM463" s="5" t="str">
        <x:f>"타입|"&amp;F463</x:f>
        <x:v>타입|풀</x:v>
      </x:c>
      <x:c r="AN463" s="5" t="str">
        <x:f>"타입|"&amp;G463</x:f>
        <x:v>타입|얼음</x:v>
      </x:c>
    </x:row>
    <x:row r="464" ht="24" customHeight="1">
      <x:c r="A464" s="5" t="n">
        <x:v>460</x:v>
      </x:c>
      <x:c r="B464" s="5" t="inlineStr">
        <x:is>
          <x:t xml:space="preserve">눈설왕</x:t>
        </x:is>
      </x:c>
      <x:c r="C464" s="5" t="inlineStr">
        <x:is>
          <x:t xml:space="preserve">abomasnow</x:t>
        </x:is>
      </x:c>
      <x:c r="D464" s="5" t="inlineStr">
        <x:is>
          <x:t xml:space="preserve">Abomasnow</x:t>
        </x:is>
      </x:c>
      <x:c r="E464" s="5" t="n">
        <x:v>4</x:v>
      </x:c>
      <x:c r="F464" s="5" t="inlineStr">
        <x:is>
          <x:t xml:space="preserve">풀</x:t>
        </x:is>
      </x:c>
      <x:c r="G464" s="5" t="inlineStr">
        <x:is>
          <x:t xml:space="preserve">얼음</x:t>
        </x:is>
      </x:c>
      <x:c r="H464" s="6" t="n">
        <x:v>135.5</x:v>
      </x:c>
      <x:c r="I464" s="5" t="n">
        <x:v>40</x:v>
      </x:c>
      <x:c r="J464" s="5" t="inlineStr">
        <x:is>
          <x:t xml:space="preserve">최종</x:t>
        </x:is>
      </x:c>
      <x:c r="K464" s="7" t="inlineStr">
        <x:is>
          <x:t xml:space="preserve">육상</x:t>
        </x:is>
      </x:c>
      <x:c r="L464" s="7" t="inlineStr">
        <x:is>
          <x:t xml:space="preserve">설원</x:t>
        </x:is>
      </x:c>
      <x:c r="M464" s="7" t="inlineStr">
        <x:is>
          <x:t xml:space="preserve">한랭</x:t>
        </x:is>
      </x:c>
      <x:c r="N464" s="7" t="inlineStr">
        <x:is>
          <x:t xml:space="preserve">보통</x:t>
        </x:is>
      </x:c>
      <x:c r="O464" s="7" t="inlineStr">
        <x:is>
          <x:t xml:space="preserve">눈</x:t>
        </x:is>
      </x:c>
      <x:c r="P464" s="7" t="inlineStr">
        <x:is>
          <x:t xml:space="preserve">무관</x:t>
        </x:is>
      </x:c>
      <x:c r="Q464" s="7" t="inlineStr">
        <x:is>
          <x:t xml:space="preserve">보통</x:t>
        </x:is>
      </x:c>
      <x:c r="R464" s="7" t="inlineStr">
        <x:is>
          <x:t xml:space="preserve">없음</x:t>
        </x:is>
      </x:c>
      <x:c r="S464" s="7" t="inlineStr">
        <x:is>
          <x:t xml:space="preserve">설원</x:t>
        </x:is>
      </x:c>
      <x:c r="T464" s="7" t="inlineStr">
        <x:is>
          <x:t xml:space="preserve"/>
        </x:is>
      </x:c>
      <x:c r="U464" s="8" t="str">
        <x:f>INDEX('서식지_점수'!$E$4:$P$4,1,MATCH(MAX('서식지_점수'!E464:P464),'서식지_점수'!E464:P464,0))</x:f>
        <x:v>평원</x:v>
      </x:c>
      <x:c r="V464" s="8" t="str">
        <x:f>IF(T464&lt;&gt;"",T464,U464)</x:f>
        <x:v>평원</x:v>
      </x:c>
      <x:c r="W464" s="8" t="str">
        <x:f>IFERROR(INDEX('서식지_점수'!$E$4:$P$4,1,MATCH(MAXIFS('서식지_점수'!E464:P464,'서식지_점수'!E464:P464,"&lt;"&amp;MAX('서식지_점수'!E464:P464)),'서식지_점수'!E464:P464,0)),"")</x:f>
        <x:v>숲</x:v>
      </x:c>
      <x:c r="X464" s="8" t="str">
        <x:f>IF(T464&lt;&gt;"","수동확정",IF(MAX('서식지_점수'!E464:P464)-LARGE('서식지_점수'!E464:P464,2)&gt;=15,"높음",IF(MAX('서식지_점수'!E464:P464)-LARGE('서식지_점수'!E464:P464,2)&gt;=8,"보통","검토필요")))</x:f>
        <x:v>검토필요</x:v>
      </x:c>
      <x:c r="Y464" s="9" t="n">
        <x:f>IF(Q464="전설",8,IF(Q464="희귀",7,IF(J464="기본",1,IF(J464="중간",3,IF(J464="최종",IF(I464="",5,IF(I464&lt;=20,3,IF(I464&lt;=35,4,IF(I464&lt;=50,6,7)))),IF(Q464="드묾",4,2))))))</x:f>
        <x:v>6</x:v>
      </x:c>
      <x:c r="Z464" s="5" t="inlineStr">
        <x:is>
          <x:t xml:space="preserve">#cobblemon:is_snowy_forest; #cobblemon:is_snowy_taiga</x:t>
        </x:is>
      </x:c>
      <x:c r="AA464" s="5" t="inlineStr">
        <x:is>
          <x:t xml:space="preserve">uncommon</x:t>
        </x:is>
      </x:c>
      <x:c r="AB464" s="5" t="inlineStr">
        <x:is>
          <x:t xml:space="preserve">아니오</x:t>
        </x:is>
      </x:c>
      <x:c r="AC464" s="8" t="str">
        <x:f>IF(T464&lt;&gt;"","수동확정",IF(X464="검토필요","검토필요",IF(S464="","원본없음","초기완료")))</x:f>
        <x:v>검토필요</x:v>
      </x:c>
      <x:c r="AD464" s="7" t="inlineStr">
        <x:is>
          <x:t xml:space="preserve"/>
        </x:is>
      </x:c>
      <x:c r="AE464" s="5" t="inlineStr">
        <x:is>
          <x:t xml:space="preserve">.tmp/cobblemon-1.7.3-source/common/src/main/resources/data/cobblemon/species/generation4/abomasnow.json</x:t>
        </x:is>
      </x:c>
      <x:c r="AF464" s="5" t="str">
        <x:f>"생활권|"&amp;K464</x:f>
        <x:v>생활권|육상</x:v>
      </x:c>
      <x:c r="AG464" s="5" t="str">
        <x:f>"지형|"&amp;L464</x:f>
        <x:v>지형|설원</x:v>
      </x:c>
      <x:c r="AH464" s="5" t="str">
        <x:f>"온도|"&amp;M464</x:f>
        <x:v>온도|한랭</x:v>
      </x:c>
      <x:c r="AI464" s="5" t="str">
        <x:f>"습도|"&amp;N464</x:f>
        <x:v>습도|보통</x:v>
      </x:c>
      <x:c r="AJ464" s="5" t="str">
        <x:f>"날씨|"&amp;O464</x:f>
        <x:v>날씨|눈</x:v>
      </x:c>
      <x:c r="AK464" s="5" t="str">
        <x:f>"특수태그|"&amp;R464</x:f>
        <x:v>특수태그|없음</x:v>
      </x:c>
      <x:c r="AL464" s="5" t="str">
        <x:f>"원본서식지|"&amp;S464</x:f>
        <x:v>원본서식지|설원</x:v>
      </x:c>
      <x:c r="AM464" s="5" t="str">
        <x:f>"타입|"&amp;F464</x:f>
        <x:v>타입|풀</x:v>
      </x:c>
      <x:c r="AN464" s="5" t="str">
        <x:f>"타입|"&amp;G464</x:f>
        <x:v>타입|얼음</x:v>
      </x:c>
    </x:row>
    <x:row r="465" ht="24" customHeight="1">
      <x:c r="A465" s="5" t="n">
        <x:v>461</x:v>
      </x:c>
      <x:c r="B465" s="5" t="inlineStr">
        <x:is>
          <x:t xml:space="preserve">포푸니라</x:t>
        </x:is>
      </x:c>
      <x:c r="C465" s="5" t="inlineStr">
        <x:is>
          <x:t xml:space="preserve">weavile</x:t>
        </x:is>
      </x:c>
      <x:c r="D465" s="5" t="inlineStr">
        <x:is>
          <x:t xml:space="preserve">Weavile</x:t>
        </x:is>
      </x:c>
      <x:c r="E465" s="5" t="n">
        <x:v>4</x:v>
      </x:c>
      <x:c r="F465" s="5" t="inlineStr">
        <x:is>
          <x:t xml:space="preserve">악</x:t>
        </x:is>
      </x:c>
      <x:c r="G465" s="5" t="inlineStr">
        <x:is>
          <x:t xml:space="preserve">얼음</x:t>
        </x:is>
      </x:c>
      <x:c r="H465" s="6" t="n">
        <x:v>34</x:v>
      </x:c>
      <x:c r="I465" s="5" t="n"/>
      <x:c r="J465" s="5" t="inlineStr">
        <x:is>
          <x:t xml:space="preserve">최종</x:t>
        </x:is>
      </x:c>
      <x:c r="K465" s="7" t="inlineStr">
        <x:is>
          <x:t xml:space="preserve">육상</x:t>
        </x:is>
      </x:c>
      <x:c r="L465" s="7" t="inlineStr">
        <x:is>
          <x:t xml:space="preserve">수목</x:t>
        </x:is>
      </x:c>
      <x:c r="M465" s="7" t="inlineStr">
        <x:is>
          <x:t xml:space="preserve">한랭</x:t>
        </x:is>
      </x:c>
      <x:c r="N465" s="7" t="inlineStr">
        <x:is>
          <x:t xml:space="preserve">보통</x:t>
        </x:is>
      </x:c>
      <x:c r="O465" s="7" t="inlineStr">
        <x:is>
          <x:t xml:space="preserve">무관</x:t>
        </x:is>
      </x:c>
      <x:c r="P465" s="7" t="inlineStr">
        <x:is>
          <x:t xml:space="preserve">밤</x:t>
        </x:is>
      </x:c>
      <x:c r="Q465" s="7" t="inlineStr">
        <x:is>
          <x:t xml:space="preserve">보통</x:t>
        </x:is>
      </x:c>
      <x:c r="R465" s="7" t="inlineStr">
        <x:is>
          <x:t xml:space="preserve">없음</x:t>
        </x:is>
      </x:c>
      <x:c r="S465" s="7" t="inlineStr">
        <x:is>
          <x:t xml:space="preserve">숲</x:t>
        </x:is>
      </x:c>
      <x:c r="T465" s="7" t="inlineStr">
        <x:is>
          <x:t xml:space="preserve"/>
        </x:is>
      </x:c>
      <x:c r="U465" s="8" t="str">
        <x:f>INDEX('서식지_점수'!$E$4:$P$4,1,MATCH(MAX('서식지_점수'!E465:P465),'서식지_점수'!E465:P465,0))</x:f>
        <x:v>평원</x:v>
      </x:c>
      <x:c r="V465" s="8" t="str">
        <x:f>IF(T465&lt;&gt;"",T465,U465)</x:f>
        <x:v>평원</x:v>
      </x:c>
      <x:c r="W465" s="8" t="str">
        <x:f>IFERROR(INDEX('서식지_점수'!$E$4:$P$4,1,MATCH(MAXIFS('서식지_점수'!E465:P465,'서식지_점수'!E465:P465,"&lt;"&amp;MAX('서식지_점수'!E465:P465)),'서식지_점수'!E465:P465,0)),"")</x:f>
        <x:v>숲</x:v>
      </x:c>
      <x:c r="X465" s="8" t="str">
        <x:f>IF(T465&lt;&gt;"","수동확정",IF(MAX('서식지_점수'!E465:P465)-LARGE('서식지_점수'!E465:P465,2)&gt;=15,"높음",IF(MAX('서식지_점수'!E465:P465)-LARGE('서식지_점수'!E465:P465,2)&gt;=8,"보통","검토필요")))</x:f>
        <x:v>검토필요</x:v>
      </x:c>
      <x:c r="Y465" s="9" t="n">
        <x:f>IF(Q465="전설",8,IF(Q465="희귀",7,IF(J465="기본",1,IF(J465="중간",3,IF(J465="최종",IF(I465="",5,IF(I465&lt;=20,3,IF(I465&lt;=35,4,IF(I465&lt;=50,6,7)))),IF(Q465="드묾",4,2))))))</x:f>
        <x:v>5</x:v>
      </x:c>
      <x:c r="Z465" s="5" t="inlineStr">
        <x:is>
          <x:t xml:space="preserve">#cobblemon:is_taiga</x:t>
        </x:is>
      </x:c>
      <x:c r="AA465" s="5" t="inlineStr">
        <x:is>
          <x:t xml:space="preserve">uncommon</x:t>
        </x:is>
      </x:c>
      <x:c r="AB465" s="5" t="inlineStr">
        <x:is>
          <x:t xml:space="preserve">예</x:t>
        </x:is>
      </x:c>
      <x:c r="AC465" s="8" t="str">
        <x:f>IF(T465&lt;&gt;"","수동확정",IF(X465="검토필요","검토필요",IF(S465="","원본없음","초기완료")))</x:f>
        <x:v>검토필요</x:v>
      </x:c>
      <x:c r="AD465" s="7" t="inlineStr">
        <x:is>
          <x:t xml:space="preserve"/>
        </x:is>
      </x:c>
      <x:c r="AE465" s="5" t="inlineStr">
        <x:is>
          <x:t xml:space="preserve">.tmp/cobblemon-1.7.3-source/common/src/main/resources/data/cobblemon/species/generation4/weavile.json</x:t>
        </x:is>
      </x:c>
      <x:c r="AF465" s="5" t="str">
        <x:f>"생활권|"&amp;K465</x:f>
        <x:v>생활권|육상</x:v>
      </x:c>
      <x:c r="AG465" s="5" t="str">
        <x:f>"지형|"&amp;L465</x:f>
        <x:v>지형|수목</x:v>
      </x:c>
      <x:c r="AH465" s="5" t="str">
        <x:f>"온도|"&amp;M465</x:f>
        <x:v>온도|한랭</x:v>
      </x:c>
      <x:c r="AI465" s="5" t="str">
        <x:f>"습도|"&amp;N465</x:f>
        <x:v>습도|보통</x:v>
      </x:c>
      <x:c r="AJ465" s="5" t="str">
        <x:f>"날씨|"&amp;O465</x:f>
        <x:v>날씨|무관</x:v>
      </x:c>
      <x:c r="AK465" s="5" t="str">
        <x:f>"특수태그|"&amp;R465</x:f>
        <x:v>특수태그|없음</x:v>
      </x:c>
      <x:c r="AL465" s="5" t="str">
        <x:f>"원본서식지|"&amp;S465</x:f>
        <x:v>원본서식지|숲</x:v>
      </x:c>
      <x:c r="AM465" s="5" t="str">
        <x:f>"타입|"&amp;F465</x:f>
        <x:v>타입|악</x:v>
      </x:c>
      <x:c r="AN465" s="5" t="str">
        <x:f>"타입|"&amp;G465</x:f>
        <x:v>타입|얼음</x:v>
      </x:c>
    </x:row>
    <x:row r="466" ht="24" customHeight="1">
      <x:c r="A466" s="5" t="n">
        <x:v>462</x:v>
      </x:c>
      <x:c r="B466" s="5" t="inlineStr">
        <x:is>
          <x:t xml:space="preserve">자포코일</x:t>
        </x:is>
      </x:c>
      <x:c r="C466" s="5" t="inlineStr">
        <x:is>
          <x:t xml:space="preserve">magnezone</x:t>
        </x:is>
      </x:c>
      <x:c r="D466" s="5" t="inlineStr">
        <x:is>
          <x:t xml:space="preserve">Magnezone</x:t>
        </x:is>
      </x:c>
      <x:c r="E466" s="5" t="n">
        <x:v>4</x:v>
      </x:c>
      <x:c r="F466" s="5" t="inlineStr">
        <x:is>
          <x:t xml:space="preserve">전기</x:t>
        </x:is>
      </x:c>
      <x:c r="G466" s="5" t="inlineStr">
        <x:is>
          <x:t xml:space="preserve">강철</x:t>
        </x:is>
      </x:c>
      <x:c r="H466" s="6" t="n">
        <x:v>180</x:v>
      </x:c>
      <x:c r="I466" s="5" t="n">
        <x:v>30</x:v>
      </x:c>
      <x:c r="J466" s="5" t="inlineStr">
        <x:is>
          <x:t xml:space="preserve">최종</x:t>
        </x:is>
      </x:c>
      <x:c r="K466" s="7" t="inlineStr">
        <x:is>
          <x:t xml:space="preserve">인공</x:t>
        </x:is>
      </x:c>
      <x:c r="L466" s="7" t="inlineStr">
        <x:is>
          <x:t xml:space="preserve">건조</x:t>
        </x:is>
      </x:c>
      <x:c r="M466" s="7" t="inlineStr">
        <x:is>
          <x:t xml:space="preserve">고온</x:t>
        </x:is>
      </x:c>
      <x:c r="N466" s="7" t="inlineStr">
        <x:is>
          <x:t xml:space="preserve">건조</x:t>
        </x:is>
      </x:c>
      <x:c r="O466" s="7" t="inlineStr">
        <x:is>
          <x:t xml:space="preserve">맑음</x:t>
        </x:is>
      </x:c>
      <x:c r="P466" s="7" t="inlineStr">
        <x:is>
          <x:t xml:space="preserve">무관</x:t>
        </x:is>
      </x:c>
      <x:c r="Q466" s="7" t="inlineStr">
        <x:is>
          <x:t xml:space="preserve">보통</x:t>
        </x:is>
      </x:c>
      <x:c r="R466" s="7" t="inlineStr">
        <x:is>
          <x:t xml:space="preserve">도시</x:t>
        </x:is>
      </x:c>
      <x:c r="S466" s="7" t="inlineStr">
        <x:is>
          <x:t xml:space="preserve">건조지</x:t>
        </x:is>
      </x:c>
      <x:c r="T466" s="7" t="inlineStr">
        <x:is>
          <x:t xml:space="preserve"/>
        </x:is>
      </x:c>
      <x:c r="U466" s="8" t="str">
        <x:f>INDEX('서식지_점수'!$E$4:$P$4,1,MATCH(MAX('서식지_점수'!E466:P466),'서식지_점수'!E466:P466,0))</x:f>
        <x:v>도시</x:v>
      </x:c>
      <x:c r="V466" s="8" t="str">
        <x:f>IF(T466&lt;&gt;"",T466,U466)</x:f>
        <x:v>도시</x:v>
      </x:c>
      <x:c r="W466" s="8" t="str">
        <x:f>IFERROR(INDEX('서식지_점수'!$E$4:$P$4,1,MATCH(MAXIFS('서식지_점수'!E466:P466,'서식지_점수'!E466:P466,"&lt;"&amp;MAX('서식지_점수'!E466:P466)),'서식지_점수'!E466:P466,0)),"")</x:f>
        <x:v>특수</x:v>
      </x:c>
      <x:c r="X466" s="8" t="str">
        <x:f>IF(T466&lt;&gt;"","수동확정",IF(MAX('서식지_점수'!E466:P466)-LARGE('서식지_점수'!E466:P466,2)&gt;=15,"높음",IF(MAX('서식지_점수'!E466:P466)-LARGE('서식지_점수'!E466:P466,2)&gt;=8,"보통","검토필요")))</x:f>
        <x:v>높음</x:v>
      </x:c>
      <x:c r="Y466" s="9" t="n">
        <x:f>IF(Q466="전설",8,IF(Q466="희귀",7,IF(J466="기본",1,IF(J466="중간",3,IF(J466="최종",IF(I466="",5,IF(I466&lt;=20,3,IF(I466&lt;=35,4,IF(I466&lt;=50,6,7)))),IF(Q466="드묾",4,2))))))</x:f>
        <x:v>4</x:v>
      </x:c>
      <x:c r="Z466" s="5" t="inlineStr">
        <x:is>
          <x:t xml:space="preserve">#cobblemon:is_overworld; #cobblemon:is_sandy</x:t>
        </x:is>
      </x:c>
      <x:c r="AA466" s="5" t="inlineStr">
        <x:is>
          <x:t xml:space="preserve">common; uncommon</x:t>
        </x:is>
      </x:c>
      <x:c r="AB466" s="5" t="inlineStr">
        <x:is>
          <x:t xml:space="preserve">예</x:t>
        </x:is>
      </x:c>
      <x:c r="AC466" s="8" t="str">
        <x:f>IF(T466&lt;&gt;"","수동확정",IF(X466="검토필요","검토필요",IF(S466="","원본없음","초기완료")))</x:f>
        <x:v>초기완료</x:v>
      </x:c>
      <x:c r="AD466" s="7" t="inlineStr">
        <x:is>
          <x:t xml:space="preserve"/>
        </x:is>
      </x:c>
      <x:c r="AE466" s="5" t="inlineStr">
        <x:is>
          <x:t xml:space="preserve">.tmp/cobblemon-1.7.3-source/common/src/main/resources/data/cobblemon/species/generation4/magnezone.json</x:t>
        </x:is>
      </x:c>
      <x:c r="AF466" s="5" t="str">
        <x:f>"생활권|"&amp;K466</x:f>
        <x:v>생활권|인공</x:v>
      </x:c>
      <x:c r="AG466" s="5" t="str">
        <x:f>"지형|"&amp;L466</x:f>
        <x:v>지형|건조</x:v>
      </x:c>
      <x:c r="AH466" s="5" t="str">
        <x:f>"온도|"&amp;M466</x:f>
        <x:v>온도|고온</x:v>
      </x:c>
      <x:c r="AI466" s="5" t="str">
        <x:f>"습도|"&amp;N466</x:f>
        <x:v>습도|건조</x:v>
      </x:c>
      <x:c r="AJ466" s="5" t="str">
        <x:f>"날씨|"&amp;O466</x:f>
        <x:v>날씨|맑음</x:v>
      </x:c>
      <x:c r="AK466" s="5" t="str">
        <x:f>"특수태그|"&amp;R466</x:f>
        <x:v>특수태그|도시</x:v>
      </x:c>
      <x:c r="AL466" s="5" t="str">
        <x:f>"원본서식지|"&amp;S466</x:f>
        <x:v>원본서식지|건조지</x:v>
      </x:c>
      <x:c r="AM466" s="5" t="str">
        <x:f>"타입|"&amp;F466</x:f>
        <x:v>타입|전기</x:v>
      </x:c>
      <x:c r="AN466" s="5" t="str">
        <x:f>"타입|"&amp;G466</x:f>
        <x:v>타입|강철</x:v>
      </x:c>
    </x:row>
    <x:row r="467" ht="24" customHeight="1">
      <x:c r="A467" s="5" t="n">
        <x:v>463</x:v>
      </x:c>
      <x:c r="B467" s="5" t="inlineStr">
        <x:is>
          <x:t xml:space="preserve">내룸벨트</x:t>
        </x:is>
      </x:c>
      <x:c r="C467" s="5" t="inlineStr">
        <x:is>
          <x:t xml:space="preserve">lickilicky</x:t>
        </x:is>
      </x:c>
      <x:c r="D467" s="5" t="inlineStr">
        <x:is>
          <x:t xml:space="preserve">Lickilicky</x:t>
        </x:is>
      </x:c>
      <x:c r="E467" s="5" t="n">
        <x:v>4</x:v>
      </x:c>
      <x:c r="F467" s="5" t="inlineStr">
        <x:is>
          <x:t xml:space="preserve">노말</x:t>
        </x:is>
      </x:c>
      <x:c r="G467" s="5" t="inlineStr">
        <x:is>
          <x:t xml:space="preserve"/>
        </x:is>
      </x:c>
      <x:c r="H467" s="6" t="n">
        <x:v>140</x:v>
      </x:c>
      <x:c r="I467" s="5" t="n"/>
      <x:c r="J467" s="5" t="inlineStr">
        <x:is>
          <x:t xml:space="preserve">최종</x:t>
        </x:is>
      </x:c>
      <x:c r="K467" s="7" t="inlineStr">
        <x:is>
          <x:t xml:space="preserve">육상</x:t>
        </x:is>
      </x:c>
      <x:c r="L467" s="7" t="inlineStr">
        <x:is>
          <x:t xml:space="preserve">개활지</x:t>
        </x:is>
      </x:c>
      <x:c r="M467" s="7" t="inlineStr">
        <x:is>
          <x:t xml:space="preserve">온대</x:t>
        </x:is>
      </x:c>
      <x:c r="N467" s="7" t="inlineStr">
        <x:is>
          <x:t xml:space="preserve">보통</x:t>
        </x:is>
      </x:c>
      <x:c r="O467" s="7" t="inlineStr">
        <x:is>
          <x:t xml:space="preserve">무관</x:t>
        </x:is>
      </x:c>
      <x:c r="P467" s="7" t="inlineStr">
        <x:is>
          <x:t xml:space="preserve">무관</x:t>
        </x:is>
      </x:c>
      <x:c r="Q467" s="7" t="inlineStr">
        <x:is>
          <x:t xml:space="preserve">보통</x:t>
        </x:is>
      </x:c>
      <x:c r="R467" s="7" t="inlineStr">
        <x:is>
          <x:t xml:space="preserve">없음</x:t>
        </x:is>
      </x:c>
      <x:c r="S467" s="7" t="inlineStr">
        <x:is>
          <x:t xml:space="preserve">평원</x:t>
        </x:is>
      </x:c>
      <x:c r="T467" s="7" t="inlineStr">
        <x:is>
          <x:t xml:space="preserve"/>
        </x:is>
      </x:c>
      <x:c r="U467" s="8" t="str">
        <x:f>INDEX('서식지_점수'!$E$4:$P$4,1,MATCH(MAX('서식지_점수'!E467:P467),'서식지_점수'!E467:P467,0))</x:f>
        <x:v>평원</x:v>
      </x:c>
      <x:c r="V467" s="8" t="str">
        <x:f>IF(T467&lt;&gt;"",T467,U467)</x:f>
        <x:v>평원</x:v>
      </x:c>
      <x:c r="W467" s="8" t="str">
        <x:f>IFERROR(INDEX('서식지_점수'!$E$4:$P$4,1,MATCH(MAXIFS('서식지_점수'!E467:P467,'서식지_점수'!E467:P467,"&lt;"&amp;MAX('서식지_점수'!E467:P467)),'서식지_점수'!E467:P467,0)),"")</x:f>
        <x:v>숲</x:v>
      </x:c>
      <x:c r="X467" s="8" t="str">
        <x:f>IF(T467&lt;&gt;"","수동확정",IF(MAX('서식지_점수'!E467:P467)-LARGE('서식지_점수'!E467:P467,2)&gt;=15,"높음",IF(MAX('서식지_점수'!E467:P467)-LARGE('서식지_점수'!E467:P467,2)&gt;=8,"보통","검토필요")))</x:f>
        <x:v>검토필요</x:v>
      </x:c>
      <x:c r="Y467" s="9" t="n">
        <x:f>IF(Q467="전설",8,IF(Q467="희귀",7,IF(J467="기본",1,IF(J467="중간",3,IF(J467="최종",IF(I467="",5,IF(I467&lt;=20,3,IF(I467&lt;=35,4,IF(I467&lt;=50,6,7)))),IF(Q467="드묾",4,2))))))</x:f>
        <x:v>5</x:v>
      </x:c>
      <x:c r="Z467" s="5" t="inlineStr">
        <x:is>
          <x:t xml:space="preserve">#cobblemon:is_grassland</x:t>
        </x:is>
      </x:c>
      <x:c r="AA467" s="5" t="inlineStr">
        <x:is>
          <x:t xml:space="preserve">uncommon</x:t>
        </x:is>
      </x:c>
      <x:c r="AB467" s="5" t="inlineStr">
        <x:is>
          <x:t xml:space="preserve">예</x:t>
        </x:is>
      </x:c>
      <x:c r="AC467" s="8" t="str">
        <x:f>IF(T467&lt;&gt;"","수동확정",IF(X467="검토필요","검토필요",IF(S467="","원본없음","초기완료")))</x:f>
        <x:v>검토필요</x:v>
      </x:c>
      <x:c r="AD467" s="7" t="inlineStr">
        <x:is>
          <x:t xml:space="preserve"/>
        </x:is>
      </x:c>
      <x:c r="AE467" s="5" t="inlineStr">
        <x:is>
          <x:t xml:space="preserve">.tmp/cobblemon-1.7.3-source/common/src/main/resources/data/cobblemon/species/generation4/lickilicky.json</x:t>
        </x:is>
      </x:c>
      <x:c r="AF467" s="5" t="str">
        <x:f>"생활권|"&amp;K467</x:f>
        <x:v>생활권|육상</x:v>
      </x:c>
      <x:c r="AG467" s="5" t="str">
        <x:f>"지형|"&amp;L467</x:f>
        <x:v>지형|개활지</x:v>
      </x:c>
      <x:c r="AH467" s="5" t="str">
        <x:f>"온도|"&amp;M467</x:f>
        <x:v>온도|온대</x:v>
      </x:c>
      <x:c r="AI467" s="5" t="str">
        <x:f>"습도|"&amp;N467</x:f>
        <x:v>습도|보통</x:v>
      </x:c>
      <x:c r="AJ467" s="5" t="str">
        <x:f>"날씨|"&amp;O467</x:f>
        <x:v>날씨|무관</x:v>
      </x:c>
      <x:c r="AK467" s="5" t="str">
        <x:f>"특수태그|"&amp;R467</x:f>
        <x:v>특수태그|없음</x:v>
      </x:c>
      <x:c r="AL467" s="5" t="str">
        <x:f>"원본서식지|"&amp;S467</x:f>
        <x:v>원본서식지|평원</x:v>
      </x:c>
      <x:c r="AM467" s="5" t="str">
        <x:f>"타입|"&amp;F467</x:f>
        <x:v>타입|노말</x:v>
      </x:c>
      <x:c r="AN467" s="5" t="str">
        <x:f>"타입|"&amp;G467</x:f>
        <x:v>타입|</x:v>
      </x:c>
    </x:row>
    <x:row r="468" ht="24" customHeight="1">
      <x:c r="A468" s="5" t="n">
        <x:v>464</x:v>
      </x:c>
      <x:c r="B468" s="5" t="inlineStr">
        <x:is>
          <x:t xml:space="preserve">거대코뿌리</x:t>
        </x:is>
      </x:c>
      <x:c r="C468" s="5" t="inlineStr">
        <x:is>
          <x:t xml:space="preserve">rhyperior</x:t>
        </x:is>
      </x:c>
      <x:c r="D468" s="5" t="inlineStr">
        <x:is>
          <x:t xml:space="preserve">Rhyperior</x:t>
        </x:is>
      </x:c>
      <x:c r="E468" s="5" t="n">
        <x:v>4</x:v>
      </x:c>
      <x:c r="F468" s="5" t="inlineStr">
        <x:is>
          <x:t xml:space="preserve">땅</x:t>
        </x:is>
      </x:c>
      <x:c r="G468" s="5" t="inlineStr">
        <x:is>
          <x:t xml:space="preserve">바위</x:t>
        </x:is>
      </x:c>
      <x:c r="H468" s="6" t="n">
        <x:v>282.8</x:v>
      </x:c>
      <x:c r="I468" s="5" t="n">
        <x:v>42</x:v>
      </x:c>
      <x:c r="J468" s="5" t="inlineStr">
        <x:is>
          <x:t xml:space="preserve">최종</x:t>
        </x:is>
      </x:c>
      <x:c r="K468" s="7" t="inlineStr">
        <x:is>
          <x:t xml:space="preserve">육상</x:t>
        </x:is>
      </x:c>
      <x:c r="L468" s="7" t="inlineStr">
        <x:is>
          <x:t xml:space="preserve">암석</x:t>
        </x:is>
      </x:c>
      <x:c r="M468" s="7" t="inlineStr">
        <x:is>
          <x:t xml:space="preserve">온대</x:t>
        </x:is>
      </x:c>
      <x:c r="N468" s="7" t="inlineStr">
        <x:is>
          <x:t xml:space="preserve">보통</x:t>
        </x:is>
      </x:c>
      <x:c r="O468" s="7" t="inlineStr">
        <x:is>
          <x:t xml:space="preserve">무관</x:t>
        </x:is>
      </x:c>
      <x:c r="P468" s="7" t="inlineStr">
        <x:is>
          <x:t xml:space="preserve">무관</x:t>
        </x:is>
      </x:c>
      <x:c r="Q468" s="7" t="inlineStr">
        <x:is>
          <x:t xml:space="preserve">흔함</x:t>
        </x:is>
      </x:c>
      <x:c r="R468" s="7" t="inlineStr">
        <x:is>
          <x:t xml:space="preserve">없음</x:t>
        </x:is>
      </x:c>
      <x:c r="S468" s="7" t="inlineStr">
        <x:is>
          <x:t xml:space="preserve">산악</x:t>
        </x:is>
      </x:c>
      <x:c r="T468" s="7" t="inlineStr">
        <x:is>
          <x:t xml:space="preserve"/>
        </x:is>
      </x:c>
      <x:c r="U468" s="8" t="str">
        <x:f>INDEX('서식지_점수'!$E$4:$P$4,1,MATCH(MAX('서식지_점수'!E468:P468),'서식지_점수'!E468:P468,0))</x:f>
        <x:v>평원</x:v>
      </x:c>
      <x:c r="V468" s="8" t="str">
        <x:f>IF(T468&lt;&gt;"",T468,U468)</x:f>
        <x:v>평원</x:v>
      </x:c>
      <x:c r="W468" s="8" t="str">
        <x:f>IFERROR(INDEX('서식지_점수'!$E$4:$P$4,1,MATCH(MAXIFS('서식지_점수'!E468:P468,'서식지_점수'!E468:P468,"&lt;"&amp;MAX('서식지_점수'!E468:P468)),'서식지_점수'!E468:P468,0)),"")</x:f>
        <x:v>숲</x:v>
      </x:c>
      <x:c r="X468" s="8" t="str">
        <x:f>IF(T468&lt;&gt;"","수동확정",IF(MAX('서식지_점수'!E468:P468)-LARGE('서식지_점수'!E468:P468,2)&gt;=15,"높음",IF(MAX('서식지_점수'!E468:P468)-LARGE('서식지_점수'!E468:P468,2)&gt;=8,"보통","검토필요")))</x:f>
        <x:v>검토필요</x:v>
      </x:c>
      <x:c r="Y468" s="9" t="n">
        <x:f>IF(Q468="전설",8,IF(Q468="희귀",7,IF(J468="기본",1,IF(J468="중간",3,IF(J468="최종",IF(I468="",5,IF(I468&lt;=20,3,IF(I468&lt;=35,4,IF(I468&lt;=50,6,7)))),IF(Q468="드묾",4,2))))))</x:f>
        <x:v>6</x:v>
      </x:c>
      <x:c r="Z468" s="5" t="inlineStr">
        <x:is>
          <x:t xml:space="preserve">#cobblemon:is_mountain; #cobblemon:is_savanna</x:t>
        </x:is>
      </x:c>
      <x:c r="AA468" s="5" t="inlineStr">
        <x:is>
          <x:t xml:space="preserve">common</x:t>
        </x:is>
      </x:c>
      <x:c r="AB468" s="5" t="inlineStr">
        <x:is>
          <x:t xml:space="preserve">예</x:t>
        </x:is>
      </x:c>
      <x:c r="AC468" s="8" t="str">
        <x:f>IF(T468&lt;&gt;"","수동확정",IF(X468="검토필요","검토필요",IF(S468="","원본없음","초기완료")))</x:f>
        <x:v>검토필요</x:v>
      </x:c>
      <x:c r="AD468" s="7" t="inlineStr">
        <x:is>
          <x:t xml:space="preserve"/>
        </x:is>
      </x:c>
      <x:c r="AE468" s="5" t="inlineStr">
        <x:is>
          <x:t xml:space="preserve">.tmp/cobblemon-1.7.3-source/common/src/main/resources/data/cobblemon/species/generation4/rhyperior.json</x:t>
        </x:is>
      </x:c>
      <x:c r="AF468" s="5" t="str">
        <x:f>"생활권|"&amp;K468</x:f>
        <x:v>생활권|육상</x:v>
      </x:c>
      <x:c r="AG468" s="5" t="str">
        <x:f>"지형|"&amp;L468</x:f>
        <x:v>지형|암석</x:v>
      </x:c>
      <x:c r="AH468" s="5" t="str">
        <x:f>"온도|"&amp;M468</x:f>
        <x:v>온도|온대</x:v>
      </x:c>
      <x:c r="AI468" s="5" t="str">
        <x:f>"습도|"&amp;N468</x:f>
        <x:v>습도|보통</x:v>
      </x:c>
      <x:c r="AJ468" s="5" t="str">
        <x:f>"날씨|"&amp;O468</x:f>
        <x:v>날씨|무관</x:v>
      </x:c>
      <x:c r="AK468" s="5" t="str">
        <x:f>"특수태그|"&amp;R468</x:f>
        <x:v>특수태그|없음</x:v>
      </x:c>
      <x:c r="AL468" s="5" t="str">
        <x:f>"원본서식지|"&amp;S468</x:f>
        <x:v>원본서식지|산악</x:v>
      </x:c>
      <x:c r="AM468" s="5" t="str">
        <x:f>"타입|"&amp;F468</x:f>
        <x:v>타입|땅</x:v>
      </x:c>
      <x:c r="AN468" s="5" t="str">
        <x:f>"타입|"&amp;G468</x:f>
        <x:v>타입|바위</x:v>
      </x:c>
    </x:row>
    <x:row r="469" ht="24" customHeight="1">
      <x:c r="A469" s="5" t="n">
        <x:v>465</x:v>
      </x:c>
      <x:c r="B469" s="5" t="inlineStr">
        <x:is>
          <x:t xml:space="preserve">덩쿠림보</x:t>
        </x:is>
      </x:c>
      <x:c r="C469" s="5" t="inlineStr">
        <x:is>
          <x:t xml:space="preserve">tangrowth</x:t>
        </x:is>
      </x:c>
      <x:c r="D469" s="5" t="inlineStr">
        <x:is>
          <x:t xml:space="preserve">Tangrowth</x:t>
        </x:is>
      </x:c>
      <x:c r="E469" s="5" t="n">
        <x:v>4</x:v>
      </x:c>
      <x:c r="F469" s="5" t="inlineStr">
        <x:is>
          <x:t xml:space="preserve">풀</x:t>
        </x:is>
      </x:c>
      <x:c r="G469" s="5" t="inlineStr">
        <x:is>
          <x:t xml:space="preserve"/>
        </x:is>
      </x:c>
      <x:c r="H469" s="6" t="n">
        <x:v>128.6</x:v>
      </x:c>
      <x:c r="I469" s="5" t="n"/>
      <x:c r="J469" s="5" t="inlineStr">
        <x:is>
          <x:t xml:space="preserve">최종</x:t>
        </x:is>
      </x:c>
      <x:c r="K469" s="7" t="inlineStr">
        <x:is>
          <x:t xml:space="preserve">육상</x:t>
        </x:is>
      </x:c>
      <x:c r="L469" s="7" t="inlineStr">
        <x:is>
          <x:t xml:space="preserve">수목</x:t>
        </x:is>
      </x:c>
      <x:c r="M469" s="7" t="inlineStr">
        <x:is>
          <x:t xml:space="preserve">온대</x:t>
        </x:is>
      </x:c>
      <x:c r="N469" s="7" t="inlineStr">
        <x:is>
          <x:t xml:space="preserve">다습</x:t>
        </x:is>
      </x:c>
      <x:c r="O469" s="7" t="inlineStr">
        <x:is>
          <x:t xml:space="preserve">무관</x:t>
        </x:is>
      </x:c>
      <x:c r="P469" s="7" t="inlineStr">
        <x:is>
          <x:t xml:space="preserve">무관</x:t>
        </x:is>
      </x:c>
      <x:c r="Q469" s="7" t="inlineStr">
        <x:is>
          <x:t xml:space="preserve">흔함</x:t>
        </x:is>
      </x:c>
      <x:c r="R469" s="7" t="inlineStr">
        <x:is>
          <x:t xml:space="preserve">없음</x:t>
        </x:is>
      </x:c>
      <x:c r="S469" s="7" t="inlineStr">
        <x:is>
          <x:t xml:space="preserve">숲</x:t>
        </x:is>
      </x:c>
      <x:c r="T469" s="7" t="inlineStr">
        <x:is>
          <x:t xml:space="preserve"/>
        </x:is>
      </x:c>
      <x:c r="U469" s="8" t="str">
        <x:f>INDEX('서식지_점수'!$E$4:$P$4,1,MATCH(MAX('서식지_점수'!E469:P469),'서식지_점수'!E469:P469,0))</x:f>
        <x:v>평원</x:v>
      </x:c>
      <x:c r="V469" s="8" t="str">
        <x:f>IF(T469&lt;&gt;"",T469,U469)</x:f>
        <x:v>평원</x:v>
      </x:c>
      <x:c r="W469" s="8" t="str">
        <x:f>IFERROR(INDEX('서식지_점수'!$E$4:$P$4,1,MATCH(MAXIFS('서식지_점수'!E469:P469,'서식지_점수'!E469:P469,"&lt;"&amp;MAX('서식지_점수'!E469:P469)),'서식지_점수'!E469:P469,0)),"")</x:f>
        <x:v>숲</x:v>
      </x:c>
      <x:c r="X469" s="8" t="str">
        <x:f>IF(T469&lt;&gt;"","수동확정",IF(MAX('서식지_점수'!E469:P469)-LARGE('서식지_점수'!E469:P469,2)&gt;=15,"높음",IF(MAX('서식지_점수'!E469:P469)-LARGE('서식지_점수'!E469:P469,2)&gt;=8,"보통","검토필요")))</x:f>
        <x:v>검토필요</x:v>
      </x:c>
      <x:c r="Y469" s="9" t="n">
        <x:f>IF(Q469="전설",8,IF(Q469="희귀",7,IF(J469="기본",1,IF(J469="중간",3,IF(J469="최종",IF(I469="",5,IF(I469&lt;=20,3,IF(I469&lt;=35,4,IF(I469&lt;=50,6,7)))),IF(Q469="드묾",4,2))))))</x:f>
        <x:v>5</x:v>
      </x:c>
      <x:c r="Z469" s="5" t="inlineStr">
        <x:is>
          <x:t xml:space="preserve">#cobblemon:is_jungle</x:t>
        </x:is>
      </x:c>
      <x:c r="AA469" s="5" t="inlineStr">
        <x:is>
          <x:t xml:space="preserve">common</x:t>
        </x:is>
      </x:c>
      <x:c r="AB469" s="5" t="inlineStr">
        <x:is>
          <x:t xml:space="preserve">예</x:t>
        </x:is>
      </x:c>
      <x:c r="AC469" s="8" t="str">
        <x:f>IF(T469&lt;&gt;"","수동확정",IF(X469="검토필요","검토필요",IF(S469="","원본없음","초기완료")))</x:f>
        <x:v>검토필요</x:v>
      </x:c>
      <x:c r="AD469" s="7" t="inlineStr">
        <x:is>
          <x:t xml:space="preserve"/>
        </x:is>
      </x:c>
      <x:c r="AE469" s="5" t="inlineStr">
        <x:is>
          <x:t xml:space="preserve">.tmp/cobblemon-1.7.3-source/common/src/main/resources/data/cobblemon/species/generation4/tangrowth.json</x:t>
        </x:is>
      </x:c>
      <x:c r="AF469" s="5" t="str">
        <x:f>"생활권|"&amp;K469</x:f>
        <x:v>생활권|육상</x:v>
      </x:c>
      <x:c r="AG469" s="5" t="str">
        <x:f>"지형|"&amp;L469</x:f>
        <x:v>지형|수목</x:v>
      </x:c>
      <x:c r="AH469" s="5" t="str">
        <x:f>"온도|"&amp;M469</x:f>
        <x:v>온도|온대</x:v>
      </x:c>
      <x:c r="AI469" s="5" t="str">
        <x:f>"습도|"&amp;N469</x:f>
        <x:v>습도|다습</x:v>
      </x:c>
      <x:c r="AJ469" s="5" t="str">
        <x:f>"날씨|"&amp;O469</x:f>
        <x:v>날씨|무관</x:v>
      </x:c>
      <x:c r="AK469" s="5" t="str">
        <x:f>"특수태그|"&amp;R469</x:f>
        <x:v>특수태그|없음</x:v>
      </x:c>
      <x:c r="AL469" s="5" t="str">
        <x:f>"원본서식지|"&amp;S469</x:f>
        <x:v>원본서식지|숲</x:v>
      </x:c>
      <x:c r="AM469" s="5" t="str">
        <x:f>"타입|"&amp;F469</x:f>
        <x:v>타입|풀</x:v>
      </x:c>
      <x:c r="AN469" s="5" t="str">
        <x:f>"타입|"&amp;G469</x:f>
        <x:v>타입|</x:v>
      </x:c>
    </x:row>
    <x:row r="470" ht="24" customHeight="1">
      <x:c r="A470" s="5" t="n">
        <x:v>466</x:v>
      </x:c>
      <x:c r="B470" s="5" t="inlineStr">
        <x:is>
          <x:t xml:space="preserve">에레키블</x:t>
        </x:is>
      </x:c>
      <x:c r="C470" s="5" t="inlineStr">
        <x:is>
          <x:t xml:space="preserve">electivire</x:t>
        </x:is>
      </x:c>
      <x:c r="D470" s="5" t="inlineStr">
        <x:is>
          <x:t xml:space="preserve">Electivire</x:t>
        </x:is>
      </x:c>
      <x:c r="E470" s="5" t="n">
        <x:v>4</x:v>
      </x:c>
      <x:c r="F470" s="5" t="inlineStr">
        <x:is>
          <x:t xml:space="preserve">전기</x:t>
        </x:is>
      </x:c>
      <x:c r="G470" s="5" t="inlineStr">
        <x:is>
          <x:t xml:space="preserve"/>
        </x:is>
      </x:c>
      <x:c r="H470" s="6" t="n">
        <x:v>138.6</x:v>
      </x:c>
      <x:c r="I470" s="5" t="n">
        <x:v>30</x:v>
      </x:c>
      <x:c r="J470" s="5" t="inlineStr">
        <x:is>
          <x:t xml:space="preserve">최종</x:t>
        </x:is>
      </x:c>
      <x:c r="K470" s="7" t="inlineStr">
        <x:is>
          <x:t xml:space="preserve">육상</x:t>
        </x:is>
      </x:c>
      <x:c r="L470" s="7" t="inlineStr">
        <x:is>
          <x:t xml:space="preserve">암석</x:t>
        </x:is>
      </x:c>
      <x:c r="M470" s="7" t="inlineStr">
        <x:is>
          <x:t xml:space="preserve">온대</x:t>
        </x:is>
      </x:c>
      <x:c r="N470" s="7" t="inlineStr">
        <x:is>
          <x:t xml:space="preserve">보통</x:t>
        </x:is>
      </x:c>
      <x:c r="O470" s="7" t="inlineStr">
        <x:is>
          <x:t xml:space="preserve">무관</x:t>
        </x:is>
      </x:c>
      <x:c r="P470" s="7" t="inlineStr">
        <x:is>
          <x:t xml:space="preserve">무관</x:t>
        </x:is>
      </x:c>
      <x:c r="Q470" s="7" t="inlineStr">
        <x:is>
          <x:t xml:space="preserve">보통</x:t>
        </x:is>
      </x:c>
      <x:c r="R470" s="7" t="inlineStr">
        <x:is>
          <x:t xml:space="preserve">없음</x:t>
        </x:is>
      </x:c>
      <x:c r="S470" s="7" t="inlineStr">
        <x:is>
          <x:t xml:space="preserve">산악</x:t>
        </x:is>
      </x:c>
      <x:c r="T470" s="7" t="inlineStr">
        <x:is>
          <x:t xml:space="preserve"/>
        </x:is>
      </x:c>
      <x:c r="U470" s="8" t="str">
        <x:f>INDEX('서식지_점수'!$E$4:$P$4,1,MATCH(MAX('서식지_점수'!E470:P470),'서식지_점수'!E470:P470,0))</x:f>
        <x:v>평원</x:v>
      </x:c>
      <x:c r="V470" s="8" t="str">
        <x:f>IF(T470&lt;&gt;"",T470,U470)</x:f>
        <x:v>평원</x:v>
      </x:c>
      <x:c r="W470" s="8" t="str">
        <x:f>IFERROR(INDEX('서식지_점수'!$E$4:$P$4,1,MATCH(MAXIFS('서식지_점수'!E470:P470,'서식지_점수'!E470:P470,"&lt;"&amp;MAX('서식지_점수'!E470:P470)),'서식지_점수'!E470:P470,0)),"")</x:f>
        <x:v>숲</x:v>
      </x:c>
      <x:c r="X470" s="8" t="str">
        <x:f>IF(T470&lt;&gt;"","수동확정",IF(MAX('서식지_점수'!E470:P470)-LARGE('서식지_점수'!E470:P470,2)&gt;=15,"높음",IF(MAX('서식지_점수'!E470:P470)-LARGE('서식지_점수'!E470:P470,2)&gt;=8,"보통","검토필요")))</x:f>
        <x:v>검토필요</x:v>
      </x:c>
      <x:c r="Y470" s="9" t="n">
        <x:f>IF(Q470="전설",8,IF(Q470="희귀",7,IF(J470="기본",1,IF(J470="중간",3,IF(J470="최종",IF(I470="",5,IF(I470&lt;=20,3,IF(I470&lt;=35,4,IF(I470&lt;=50,6,7)))),IF(Q470="드묾",4,2))))))</x:f>
        <x:v>4</x:v>
      </x:c>
      <x:c r="Z470" s="5" t="inlineStr">
        <x:is>
          <x:t xml:space="preserve">#cobblemon:is_hills; #cobblemon:is_plains</x:t>
        </x:is>
      </x:c>
      <x:c r="AA470" s="5" t="inlineStr">
        <x:is>
          <x:t xml:space="preserve">uncommon</x:t>
        </x:is>
      </x:c>
      <x:c r="AB470" s="5" t="inlineStr">
        <x:is>
          <x:t xml:space="preserve">예</x:t>
        </x:is>
      </x:c>
      <x:c r="AC470" s="8" t="str">
        <x:f>IF(T470&lt;&gt;"","수동확정",IF(X470="검토필요","검토필요",IF(S470="","원본없음","초기완료")))</x:f>
        <x:v>검토필요</x:v>
      </x:c>
      <x:c r="AD470" s="7" t="inlineStr">
        <x:is>
          <x:t xml:space="preserve"/>
        </x:is>
      </x:c>
      <x:c r="AE470" s="5" t="inlineStr">
        <x:is>
          <x:t xml:space="preserve">.tmp/cobblemon-1.7.3-source/common/src/main/resources/data/cobblemon/species/generation4/electivire.json</x:t>
        </x:is>
      </x:c>
      <x:c r="AF470" s="5" t="str">
        <x:f>"생활권|"&amp;K470</x:f>
        <x:v>생활권|육상</x:v>
      </x:c>
      <x:c r="AG470" s="5" t="str">
        <x:f>"지형|"&amp;L470</x:f>
        <x:v>지형|암석</x:v>
      </x:c>
      <x:c r="AH470" s="5" t="str">
        <x:f>"온도|"&amp;M470</x:f>
        <x:v>온도|온대</x:v>
      </x:c>
      <x:c r="AI470" s="5" t="str">
        <x:f>"습도|"&amp;N470</x:f>
        <x:v>습도|보통</x:v>
      </x:c>
      <x:c r="AJ470" s="5" t="str">
        <x:f>"날씨|"&amp;O470</x:f>
        <x:v>날씨|무관</x:v>
      </x:c>
      <x:c r="AK470" s="5" t="str">
        <x:f>"특수태그|"&amp;R470</x:f>
        <x:v>특수태그|없음</x:v>
      </x:c>
      <x:c r="AL470" s="5" t="str">
        <x:f>"원본서식지|"&amp;S470</x:f>
        <x:v>원본서식지|산악</x:v>
      </x:c>
      <x:c r="AM470" s="5" t="str">
        <x:f>"타입|"&amp;F470</x:f>
        <x:v>타입|전기</x:v>
      </x:c>
      <x:c r="AN470" s="5" t="str">
        <x:f>"타입|"&amp;G470</x:f>
        <x:v>타입|</x:v>
      </x:c>
    </x:row>
    <x:row r="471" ht="24" customHeight="1">
      <x:c r="A471" s="5" t="n">
        <x:v>467</x:v>
      </x:c>
      <x:c r="B471" s="5" t="inlineStr">
        <x:is>
          <x:t xml:space="preserve">마그마번</x:t>
        </x:is>
      </x:c>
      <x:c r="C471" s="5" t="inlineStr">
        <x:is>
          <x:t xml:space="preserve">magmortar</x:t>
        </x:is>
      </x:c>
      <x:c r="D471" s="5" t="inlineStr">
        <x:is>
          <x:t xml:space="preserve">Magmortar</x:t>
        </x:is>
      </x:c>
      <x:c r="E471" s="5" t="n">
        <x:v>4</x:v>
      </x:c>
      <x:c r="F471" s="5" t="inlineStr">
        <x:is>
          <x:t xml:space="preserve">불꽃</x:t>
        </x:is>
      </x:c>
      <x:c r="G471" s="5" t="inlineStr">
        <x:is>
          <x:t xml:space="preserve"/>
        </x:is>
      </x:c>
      <x:c r="H471" s="6" t="n">
        <x:v>68</x:v>
      </x:c>
      <x:c r="I471" s="5" t="n">
        <x:v>30</x:v>
      </x:c>
      <x:c r="J471" s="5" t="inlineStr">
        <x:is>
          <x:t xml:space="preserve">최종</x:t>
        </x:is>
      </x:c>
      <x:c r="K471" s="7" t="inlineStr">
        <x:is>
          <x:t xml:space="preserve">육상</x:t>
        </x:is>
      </x:c>
      <x:c r="L471" s="7" t="inlineStr">
        <x:is>
          <x:t xml:space="preserve">화산</x:t>
        </x:is>
      </x:c>
      <x:c r="M471" s="7" t="inlineStr">
        <x:is>
          <x:t xml:space="preserve">고온</x:t>
        </x:is>
      </x:c>
      <x:c r="N471" s="7" t="inlineStr">
        <x:is>
          <x:t xml:space="preserve">건조</x:t>
        </x:is>
      </x:c>
      <x:c r="O471" s="7" t="inlineStr">
        <x:is>
          <x:t xml:space="preserve">맑음</x:t>
        </x:is>
      </x:c>
      <x:c r="P471" s="7" t="inlineStr">
        <x:is>
          <x:t xml:space="preserve">무관</x:t>
        </x:is>
      </x:c>
      <x:c r="Q471" s="7" t="inlineStr">
        <x:is>
          <x:t xml:space="preserve">흔함</x:t>
        </x:is>
      </x:c>
      <x:c r="R471" s="7" t="inlineStr">
        <x:is>
          <x:t xml:space="preserve">화산</x:t>
        </x:is>
      </x:c>
      <x:c r="S471" s="7" t="inlineStr">
        <x:is>
          <x:t xml:space="preserve">화산</x:t>
        </x:is>
      </x:c>
      <x:c r="T471" s="7" t="inlineStr">
        <x:is>
          <x:t xml:space="preserve"/>
        </x:is>
      </x:c>
      <x:c r="U471" s="8" t="str">
        <x:f>INDEX('서식지_점수'!$E$4:$P$4,1,MATCH(MAX('서식지_점수'!E471:P471),'서식지_점수'!E471:P471,0))</x:f>
        <x:v>평원</x:v>
      </x:c>
      <x:c r="V471" s="8" t="str">
        <x:f>IF(T471&lt;&gt;"",T471,U471)</x:f>
        <x:v>평원</x:v>
      </x:c>
      <x:c r="W471" s="8" t="str">
        <x:f>IFERROR(INDEX('서식지_점수'!$E$4:$P$4,1,MATCH(MAXIFS('서식지_점수'!E471:P471,'서식지_점수'!E471:P471,"&lt;"&amp;MAX('서식지_점수'!E471:P471)),'서식지_점수'!E471:P471,0)),"")</x:f>
        <x:v>숲</x:v>
      </x:c>
      <x:c r="X471" s="8" t="str">
        <x:f>IF(T471&lt;&gt;"","수동확정",IF(MAX('서식지_점수'!E471:P471)-LARGE('서식지_점수'!E471:P471,2)&gt;=15,"높음",IF(MAX('서식지_점수'!E471:P471)-LARGE('서식지_점수'!E471:P471,2)&gt;=8,"보통","검토필요")))</x:f>
        <x:v>검토필요</x:v>
      </x:c>
      <x:c r="Y471" s="9" t="n">
        <x:f>IF(Q471="전설",8,IF(Q471="희귀",7,IF(J471="기본",1,IF(J471="중간",3,IF(J471="최종",IF(I471="",5,IF(I471&lt;=20,3,IF(I471&lt;=35,4,IF(I471&lt;=50,6,7)))),IF(Q471="드묾",4,2))))))</x:f>
        <x:v>4</x:v>
      </x:c>
      <x:c r="Z471" s="5" t="inlineStr">
        <x:is>
          <x:t xml:space="preserve">#cobblemon:is_hills; #cobblemon:is_volcanic; #cobblemon:nether/is_basalt; #cobblemon:nether/is_wasteland</x:t>
        </x:is>
      </x:c>
      <x:c r="AA471" s="5" t="inlineStr">
        <x:is>
          <x:t xml:space="preserve">common</x:t>
        </x:is>
      </x:c>
      <x:c r="AB471" s="5" t="inlineStr">
        <x:is>
          <x:t xml:space="preserve">예</x:t>
        </x:is>
      </x:c>
      <x:c r="AC471" s="8" t="str">
        <x:f>IF(T471&lt;&gt;"","수동확정",IF(X471="검토필요","검토필요",IF(S471="","원본없음","초기완료")))</x:f>
        <x:v>검토필요</x:v>
      </x:c>
      <x:c r="AD471" s="7" t="inlineStr">
        <x:is>
          <x:t xml:space="preserve"/>
        </x:is>
      </x:c>
      <x:c r="AE471" s="5" t="inlineStr">
        <x:is>
          <x:t xml:space="preserve">.tmp/cobblemon-1.7.3-source/common/src/main/resources/data/cobblemon/species/generation4/magmortar.json</x:t>
        </x:is>
      </x:c>
      <x:c r="AF471" s="5" t="str">
        <x:f>"생활권|"&amp;K471</x:f>
        <x:v>생활권|육상</x:v>
      </x:c>
      <x:c r="AG471" s="5" t="str">
        <x:f>"지형|"&amp;L471</x:f>
        <x:v>지형|화산</x:v>
      </x:c>
      <x:c r="AH471" s="5" t="str">
        <x:f>"온도|"&amp;M471</x:f>
        <x:v>온도|고온</x:v>
      </x:c>
      <x:c r="AI471" s="5" t="str">
        <x:f>"습도|"&amp;N471</x:f>
        <x:v>습도|건조</x:v>
      </x:c>
      <x:c r="AJ471" s="5" t="str">
        <x:f>"날씨|"&amp;O471</x:f>
        <x:v>날씨|맑음</x:v>
      </x:c>
      <x:c r="AK471" s="5" t="str">
        <x:f>"특수태그|"&amp;R471</x:f>
        <x:v>특수태그|화산</x:v>
      </x:c>
      <x:c r="AL471" s="5" t="str">
        <x:f>"원본서식지|"&amp;S471</x:f>
        <x:v>원본서식지|화산</x:v>
      </x:c>
      <x:c r="AM471" s="5" t="str">
        <x:f>"타입|"&amp;F471</x:f>
        <x:v>타입|불꽃</x:v>
      </x:c>
      <x:c r="AN471" s="5" t="str">
        <x:f>"타입|"&amp;G471</x:f>
        <x:v>타입|</x:v>
      </x:c>
    </x:row>
    <x:row r="472" ht="24" customHeight="1">
      <x:c r="A472" s="5" t="n">
        <x:v>468</x:v>
      </x:c>
      <x:c r="B472" s="5" t="inlineStr">
        <x:is>
          <x:t xml:space="preserve">토게키스</x:t>
        </x:is>
      </x:c>
      <x:c r="C472" s="5" t="inlineStr">
        <x:is>
          <x:t xml:space="preserve">togekiss</x:t>
        </x:is>
      </x:c>
      <x:c r="D472" s="5" t="inlineStr">
        <x:is>
          <x:t xml:space="preserve">Togekiss</x:t>
        </x:is>
      </x:c>
      <x:c r="E472" s="5" t="n">
        <x:v>4</x:v>
      </x:c>
      <x:c r="F472" s="5" t="inlineStr">
        <x:is>
          <x:t xml:space="preserve">페어리</x:t>
        </x:is>
      </x:c>
      <x:c r="G472" s="5" t="inlineStr">
        <x:is>
          <x:t xml:space="preserve">비행</x:t>
        </x:is>
      </x:c>
      <x:c r="H472" s="6" t="n">
        <x:v>38</x:v>
      </x:c>
      <x:c r="I472" s="5" t="n"/>
      <x:c r="J472" s="5" t="inlineStr">
        <x:is>
          <x:t xml:space="preserve">최종</x:t>
        </x:is>
      </x:c>
      <x:c r="K472" s="7" t="inlineStr">
        <x:is>
          <x:t xml:space="preserve">비행</x:t>
        </x:is>
      </x:c>
      <x:c r="L472" s="7" t="inlineStr">
        <x:is>
          <x:t xml:space="preserve">개활지</x:t>
        </x:is>
      </x:c>
      <x:c r="M472" s="7" t="inlineStr">
        <x:is>
          <x:t xml:space="preserve">온대</x:t>
        </x:is>
      </x:c>
      <x:c r="N472" s="7" t="inlineStr">
        <x:is>
          <x:t xml:space="preserve">보통</x:t>
        </x:is>
      </x:c>
      <x:c r="O472" s="7" t="inlineStr">
        <x:is>
          <x:t xml:space="preserve">무관</x:t>
        </x:is>
      </x:c>
      <x:c r="P472" s="7" t="inlineStr">
        <x:is>
          <x:t xml:space="preserve">낮</x:t>
        </x:is>
      </x:c>
      <x:c r="Q472" s="7" t="inlineStr">
        <x:is>
          <x:t xml:space="preserve">드묾</x:t>
        </x:is>
      </x:c>
      <x:c r="R472" s="7" t="inlineStr">
        <x:is>
          <x:t xml:space="preserve">없음</x:t>
        </x:is>
      </x:c>
      <x:c r="S472" s="7" t="inlineStr">
        <x:is>
          <x:t xml:space="preserve">평원</x:t>
        </x:is>
      </x:c>
      <x:c r="T472" s="7" t="inlineStr">
        <x:is>
          <x:t xml:space="preserve"/>
        </x:is>
      </x:c>
      <x:c r="U472" s="8" t="str">
        <x:f>INDEX('서식지_점수'!$E$4:$P$4,1,MATCH(MAX('서식지_점수'!E472:P472),'서식지_점수'!E472:P472,0))</x:f>
        <x:v>산악</x:v>
      </x:c>
      <x:c r="V472" s="8" t="str">
        <x:f>IF(T472&lt;&gt;"",T472,U472)</x:f>
        <x:v>산악</x:v>
      </x:c>
      <x:c r="W472" s="8" t="str">
        <x:f>IFERROR(INDEX('서식지_점수'!$E$4:$P$4,1,MATCH(MAXIFS('서식지_점수'!E472:P472,'서식지_점수'!E472:P472,"&lt;"&amp;MAX('서식지_점수'!E472:P472)),'서식지_점수'!E472:P472,0)),"")</x:f>
        <x:v>평원</x:v>
      </x:c>
      <x:c r="X472" s="8" t="str">
        <x:f>IF(T472&lt;&gt;"","수동확정",IF(MAX('서식지_점수'!E472:P472)-LARGE('서식지_점수'!E472:P472,2)&gt;=15,"높음",IF(MAX('서식지_점수'!E472:P472)-LARGE('서식지_점수'!E472:P472,2)&gt;=8,"보통","검토필요")))</x:f>
        <x:v>검토필요</x:v>
      </x:c>
      <x:c r="Y472" s="9" t="n">
        <x:f>IF(Q472="전설",8,IF(Q472="희귀",7,IF(J472="기본",1,IF(J472="중간",3,IF(J472="최종",IF(I472="",5,IF(I472&lt;=20,3,IF(I472&lt;=35,4,IF(I472&lt;=50,6,7)))),IF(Q472="드묾",4,2))))))</x:f>
        <x:v>5</x:v>
      </x:c>
      <x:c r="Z472" s="5" t="inlineStr">
        <x:is>
          <x:t xml:space="preserve">#cobblemon:is_floral; #cobblemon:is_magical; #cobblemon:is_sky; aether:skyroot_grove; aether:skyroot_meadow; the_bumblezone:floral_meadow</x:t>
        </x:is>
      </x:c>
      <x:c r="AA472" s="5" t="inlineStr">
        <x:is>
          <x:t xml:space="preserve">rare</x:t>
        </x:is>
      </x:c>
      <x:c r="AB472" s="5" t="inlineStr">
        <x:is>
          <x:t xml:space="preserve">예</x:t>
        </x:is>
      </x:c>
      <x:c r="AC472" s="8" t="str">
        <x:f>IF(T472&lt;&gt;"","수동확정",IF(X472="검토필요","검토필요",IF(S472="","원본없음","초기완료")))</x:f>
        <x:v>검토필요</x:v>
      </x:c>
      <x:c r="AD472" s="7" t="inlineStr">
        <x:is>
          <x:t xml:space="preserve"/>
        </x:is>
      </x:c>
      <x:c r="AE472" s="5" t="inlineStr">
        <x:is>
          <x:t xml:space="preserve">.tmp/cobblemon-1.7.3-source/common/src/main/resources/data/cobblemon/species/generation4/togekiss.json</x:t>
        </x:is>
      </x:c>
      <x:c r="AF472" s="5" t="str">
        <x:f>"생활권|"&amp;K472</x:f>
        <x:v>생활권|비행</x:v>
      </x:c>
      <x:c r="AG472" s="5" t="str">
        <x:f>"지형|"&amp;L472</x:f>
        <x:v>지형|개활지</x:v>
      </x:c>
      <x:c r="AH472" s="5" t="str">
        <x:f>"온도|"&amp;M472</x:f>
        <x:v>온도|온대</x:v>
      </x:c>
      <x:c r="AI472" s="5" t="str">
        <x:f>"습도|"&amp;N472</x:f>
        <x:v>습도|보통</x:v>
      </x:c>
      <x:c r="AJ472" s="5" t="str">
        <x:f>"날씨|"&amp;O472</x:f>
        <x:v>날씨|무관</x:v>
      </x:c>
      <x:c r="AK472" s="5" t="str">
        <x:f>"특수태그|"&amp;R472</x:f>
        <x:v>특수태그|없음</x:v>
      </x:c>
      <x:c r="AL472" s="5" t="str">
        <x:f>"원본서식지|"&amp;S472</x:f>
        <x:v>원본서식지|평원</x:v>
      </x:c>
      <x:c r="AM472" s="5" t="str">
        <x:f>"타입|"&amp;F472</x:f>
        <x:v>타입|페어리</x:v>
      </x:c>
      <x:c r="AN472" s="5" t="str">
        <x:f>"타입|"&amp;G472</x:f>
        <x:v>타입|비행</x:v>
      </x:c>
    </x:row>
    <x:row r="473" ht="24" customHeight="1">
      <x:c r="A473" s="5" t="n">
        <x:v>469</x:v>
      </x:c>
      <x:c r="B473" s="5" t="inlineStr">
        <x:is>
          <x:t xml:space="preserve">메가자리</x:t>
        </x:is>
      </x:c>
      <x:c r="C473" s="5" t="inlineStr">
        <x:is>
          <x:t xml:space="preserve">yanmega</x:t>
        </x:is>
      </x:c>
      <x:c r="D473" s="5" t="inlineStr">
        <x:is>
          <x:t xml:space="preserve">Yanmega</x:t>
        </x:is>
      </x:c>
      <x:c r="E473" s="5" t="n">
        <x:v>4</x:v>
      </x:c>
      <x:c r="F473" s="5" t="inlineStr">
        <x:is>
          <x:t xml:space="preserve">벌레</x:t>
        </x:is>
      </x:c>
      <x:c r="G473" s="5" t="inlineStr">
        <x:is>
          <x:t xml:space="preserve">비행</x:t>
        </x:is>
      </x:c>
      <x:c r="H473" s="6" t="n">
        <x:v>51.5</x:v>
      </x:c>
      <x:c r="I473" s="5" t="n"/>
      <x:c r="J473" s="5" t="inlineStr">
        <x:is>
          <x:t xml:space="preserve">최종</x:t>
        </x:is>
      </x:c>
      <x:c r="K473" s="7" t="inlineStr">
        <x:is>
          <x:t xml:space="preserve">담수</x:t>
        </x:is>
      </x:c>
      <x:c r="L473" s="7" t="inlineStr">
        <x:is>
          <x:t xml:space="preserve">담수</x:t>
        </x:is>
      </x:c>
      <x:c r="M473" s="7" t="inlineStr">
        <x:is>
          <x:t xml:space="preserve">온대</x:t>
        </x:is>
      </x:c>
      <x:c r="N473" s="7" t="inlineStr">
        <x:is>
          <x:t xml:space="preserve">수중</x:t>
        </x:is>
      </x:c>
      <x:c r="O473" s="7" t="inlineStr">
        <x:is>
          <x:t xml:space="preserve">비</x:t>
        </x:is>
      </x:c>
      <x:c r="P473" s="7" t="inlineStr">
        <x:is>
          <x:t xml:space="preserve">낮</x:t>
        </x:is>
      </x:c>
      <x:c r="Q473" s="7" t="inlineStr">
        <x:is>
          <x:t xml:space="preserve">보통</x:t>
        </x:is>
      </x:c>
      <x:c r="R473" s="7" t="inlineStr">
        <x:is>
          <x:t xml:space="preserve">없음</x:t>
        </x:is>
      </x:c>
      <x:c r="S473" s="7" t="inlineStr">
        <x:is>
          <x:t xml:space="preserve">담수</x:t>
        </x:is>
      </x:c>
      <x:c r="T473" s="7" t="inlineStr">
        <x:is>
          <x:t xml:space="preserve"/>
        </x:is>
      </x:c>
      <x:c r="U473" s="8" t="str">
        <x:f>INDEX('서식지_점수'!$E$4:$P$4,1,MATCH(MAX('서식지_점수'!E473:P473),'서식지_점수'!E473:P473,0))</x:f>
        <x:v>담수</x:v>
      </x:c>
      <x:c r="V473" s="8" t="str">
        <x:f>IF(T473&lt;&gt;"",T473,U473)</x:f>
        <x:v>담수</x:v>
      </x:c>
      <x:c r="W473" s="8" t="str">
        <x:f>IFERROR(INDEX('서식지_점수'!$E$4:$P$4,1,MATCH(MAXIFS('서식지_점수'!E473:P473,'서식지_점수'!E473:P473,"&lt;"&amp;MAX('서식지_점수'!E473:P473)),'서식지_점수'!E473:P473,0)),"")</x:f>
        <x:v>습지</x:v>
      </x:c>
      <x:c r="X473" s="8" t="str">
        <x:f>IF(T473&lt;&gt;"","수동확정",IF(MAX('서식지_점수'!E473:P473)-LARGE('서식지_점수'!E473:P473,2)&gt;=15,"높음",IF(MAX('서식지_점수'!E473:P473)-LARGE('서식지_점수'!E473:P473,2)&gt;=8,"보통","검토필요")))</x:f>
        <x:v>높음</x:v>
      </x:c>
      <x:c r="Y473" s="9" t="n">
        <x:f>IF(Q473="전설",8,IF(Q473="희귀",7,IF(J473="기본",1,IF(J473="중간",3,IF(J473="최종",IF(I473="",5,IF(I473&lt;=20,3,IF(I473&lt;=35,4,IF(I473&lt;=50,6,7)))),IF(Q473="드묾",4,2))))))</x:f>
        <x:v>5</x:v>
      </x:c>
      <x:c r="Z473" s="5" t="inlineStr">
        <x:is>
          <x:t xml:space="preserve">#aether:is_aether; #cobblemon:is_freshwater; #cobblemon:is_lush; #cobblemon:is_overworld; #the_bumblezone:the_bumblezone</x:t>
        </x:is>
      </x:c>
      <x:c r="AA473" s="5" t="inlineStr">
        <x:is>
          <x:t xml:space="preserve">uncommon</x:t>
        </x:is>
      </x:c>
      <x:c r="AB473" s="5" t="inlineStr">
        <x:is>
          <x:t xml:space="preserve">예</x:t>
        </x:is>
      </x:c>
      <x:c r="AC473" s="8" t="str">
        <x:f>IF(T473&lt;&gt;"","수동확정",IF(X473="검토필요","검토필요",IF(S473="","원본없음","초기완료")))</x:f>
        <x:v>초기완료</x:v>
      </x:c>
      <x:c r="AD473" s="7" t="inlineStr">
        <x:is>
          <x:t xml:space="preserve"/>
        </x:is>
      </x:c>
      <x:c r="AE473" s="5" t="inlineStr">
        <x:is>
          <x:t xml:space="preserve">.tmp/cobblemon-1.7.3-source/common/src/main/resources/data/cobblemon/species/generation4/yanmega.json</x:t>
        </x:is>
      </x:c>
      <x:c r="AF473" s="5" t="str">
        <x:f>"생활권|"&amp;K473</x:f>
        <x:v>생활권|담수</x:v>
      </x:c>
      <x:c r="AG473" s="5" t="str">
        <x:f>"지형|"&amp;L473</x:f>
        <x:v>지형|담수</x:v>
      </x:c>
      <x:c r="AH473" s="5" t="str">
        <x:f>"온도|"&amp;M473</x:f>
        <x:v>온도|온대</x:v>
      </x:c>
      <x:c r="AI473" s="5" t="str">
        <x:f>"습도|"&amp;N473</x:f>
        <x:v>습도|수중</x:v>
      </x:c>
      <x:c r="AJ473" s="5" t="str">
        <x:f>"날씨|"&amp;O473</x:f>
        <x:v>날씨|비</x:v>
      </x:c>
      <x:c r="AK473" s="5" t="str">
        <x:f>"특수태그|"&amp;R473</x:f>
        <x:v>특수태그|없음</x:v>
      </x:c>
      <x:c r="AL473" s="5" t="str">
        <x:f>"원본서식지|"&amp;S473</x:f>
        <x:v>원본서식지|담수</x:v>
      </x:c>
      <x:c r="AM473" s="5" t="str">
        <x:f>"타입|"&amp;F473</x:f>
        <x:v>타입|벌레</x:v>
      </x:c>
      <x:c r="AN473" s="5" t="str">
        <x:f>"타입|"&amp;G473</x:f>
        <x:v>타입|비행</x:v>
      </x:c>
    </x:row>
    <x:row r="474" ht="24" customHeight="1">
      <x:c r="A474" s="5" t="n">
        <x:v>470</x:v>
      </x:c>
      <x:c r="B474" s="5" t="inlineStr">
        <x:is>
          <x:t xml:space="preserve">리피아</x:t>
        </x:is>
      </x:c>
      <x:c r="C474" s="5" t="inlineStr">
        <x:is>
          <x:t xml:space="preserve">leafeon</x:t>
        </x:is>
      </x:c>
      <x:c r="D474" s="5" t="inlineStr">
        <x:is>
          <x:t xml:space="preserve">Leafeon</x:t>
        </x:is>
      </x:c>
      <x:c r="E474" s="5" t="n">
        <x:v>4</x:v>
      </x:c>
      <x:c r="F474" s="5" t="inlineStr">
        <x:is>
          <x:t xml:space="preserve">풀</x:t>
        </x:is>
      </x:c>
      <x:c r="G474" s="5" t="inlineStr">
        <x:is>
          <x:t xml:space="preserve"/>
        </x:is>
      </x:c>
      <x:c r="H474" s="6" t="n">
        <x:v>25.5</x:v>
      </x:c>
      <x:c r="I474" s="5" t="n"/>
      <x:c r="J474" s="5" t="inlineStr">
        <x:is>
          <x:t xml:space="preserve">최종</x:t>
        </x:is>
      </x:c>
      <x:c r="K474" s="7" t="inlineStr">
        <x:is>
          <x:t xml:space="preserve">육상</x:t>
        </x:is>
      </x:c>
      <x:c r="L474" s="7" t="inlineStr">
        <x:is>
          <x:t xml:space="preserve">수목</x:t>
        </x:is>
      </x:c>
      <x:c r="M474" s="7" t="inlineStr">
        <x:is>
          <x:t xml:space="preserve">온대</x:t>
        </x:is>
      </x:c>
      <x:c r="N474" s="7" t="inlineStr">
        <x:is>
          <x:t xml:space="preserve">다습</x:t>
        </x:is>
      </x:c>
      <x:c r="O474" s="7" t="inlineStr">
        <x:is>
          <x:t xml:space="preserve">무관</x:t>
        </x:is>
      </x:c>
      <x:c r="P474" s="7" t="inlineStr">
        <x:is>
          <x:t xml:space="preserve">무관</x:t>
        </x:is>
      </x:c>
      <x:c r="Q474" s="7" t="inlineStr">
        <x:is>
          <x:t xml:space="preserve">보통</x:t>
        </x:is>
      </x:c>
      <x:c r="R474" s="7" t="inlineStr">
        <x:is>
          <x:t xml:space="preserve">없음</x:t>
        </x:is>
      </x:c>
      <x:c r="S474" s="7" t="inlineStr">
        <x:is>
          <x:t xml:space="preserve">숲</x:t>
        </x:is>
      </x:c>
      <x:c r="T474" s="7" t="inlineStr">
        <x:is>
          <x:t xml:space="preserve"/>
        </x:is>
      </x:c>
      <x:c r="U474" s="8" t="str">
        <x:f>INDEX('서식지_점수'!$E$4:$P$4,1,MATCH(MAX('서식지_점수'!E474:P474),'서식지_점수'!E474:P474,0))</x:f>
        <x:v>평원</x:v>
      </x:c>
      <x:c r="V474" s="8" t="str">
        <x:f>IF(T474&lt;&gt;"",T474,U474)</x:f>
        <x:v>평원</x:v>
      </x:c>
      <x:c r="W474" s="8" t="str">
        <x:f>IFERROR(INDEX('서식지_점수'!$E$4:$P$4,1,MATCH(MAXIFS('서식지_점수'!E474:P474,'서식지_점수'!E474:P474,"&lt;"&amp;MAX('서식지_점수'!E474:P474)),'서식지_점수'!E474:P474,0)),"")</x:f>
        <x:v>숲</x:v>
      </x:c>
      <x:c r="X474" s="8" t="str">
        <x:f>IF(T474&lt;&gt;"","수동확정",IF(MAX('서식지_점수'!E474:P474)-LARGE('서식지_점수'!E474:P474,2)&gt;=15,"높음",IF(MAX('서식지_점수'!E474:P474)-LARGE('서식지_점수'!E474:P474,2)&gt;=8,"보통","검토필요")))</x:f>
        <x:v>검토필요</x:v>
      </x:c>
      <x:c r="Y474" s="9" t="n">
        <x:f>IF(Q474="전설",8,IF(Q474="희귀",7,IF(J474="기본",1,IF(J474="중간",3,IF(J474="최종",IF(I474="",5,IF(I474&lt;=20,3,IF(I474&lt;=35,4,IF(I474&lt;=50,6,7)))),IF(Q474="드묾",4,2))))))</x:f>
        <x:v>5</x:v>
      </x:c>
      <x:c r="Z474" s="5" t="inlineStr">
        <x:is>
          <x:t xml:space="preserve">#cobblemon:is_forest; #cobblemon:is_jungle; #cobblemon:is_overworld; aether:skyroot_forest; aether:skyroot_woodland</x:t>
        </x:is>
      </x:c>
      <x:c r="AA474" s="5" t="inlineStr">
        <x:is>
          <x:t xml:space="preserve">ultra-rare; uncommon</x:t>
        </x:is>
      </x:c>
      <x:c r="AB474" s="5" t="inlineStr">
        <x:is>
          <x:t xml:space="preserve">예</x:t>
        </x:is>
      </x:c>
      <x:c r="AC474" s="8" t="str">
        <x:f>IF(T474&lt;&gt;"","수동확정",IF(X474="검토필요","검토필요",IF(S474="","원본없음","초기완료")))</x:f>
        <x:v>검토필요</x:v>
      </x:c>
      <x:c r="AD474" s="7" t="inlineStr">
        <x:is>
          <x:t xml:space="preserve"/>
        </x:is>
      </x:c>
      <x:c r="AE474" s="5" t="inlineStr">
        <x:is>
          <x:t xml:space="preserve">.tmp/cobblemon-1.7.3-source/common/src/main/resources/data/cobblemon/species/generation4/leafeon.json</x:t>
        </x:is>
      </x:c>
      <x:c r="AF474" s="5" t="str">
        <x:f>"생활권|"&amp;K474</x:f>
        <x:v>생활권|육상</x:v>
      </x:c>
      <x:c r="AG474" s="5" t="str">
        <x:f>"지형|"&amp;L474</x:f>
        <x:v>지형|수목</x:v>
      </x:c>
      <x:c r="AH474" s="5" t="str">
        <x:f>"온도|"&amp;M474</x:f>
        <x:v>온도|온대</x:v>
      </x:c>
      <x:c r="AI474" s="5" t="str">
        <x:f>"습도|"&amp;N474</x:f>
        <x:v>습도|다습</x:v>
      </x:c>
      <x:c r="AJ474" s="5" t="str">
        <x:f>"날씨|"&amp;O474</x:f>
        <x:v>날씨|무관</x:v>
      </x:c>
      <x:c r="AK474" s="5" t="str">
        <x:f>"특수태그|"&amp;R474</x:f>
        <x:v>특수태그|없음</x:v>
      </x:c>
      <x:c r="AL474" s="5" t="str">
        <x:f>"원본서식지|"&amp;S474</x:f>
        <x:v>원본서식지|숲</x:v>
      </x:c>
      <x:c r="AM474" s="5" t="str">
        <x:f>"타입|"&amp;F474</x:f>
        <x:v>타입|풀</x:v>
      </x:c>
      <x:c r="AN474" s="5" t="str">
        <x:f>"타입|"&amp;G474</x:f>
        <x:v>타입|</x:v>
      </x:c>
    </x:row>
    <x:row r="475" ht="24" customHeight="1">
      <x:c r="A475" s="5" t="n">
        <x:v>471</x:v>
      </x:c>
      <x:c r="B475" s="5" t="inlineStr">
        <x:is>
          <x:t xml:space="preserve">글레이시아</x:t>
        </x:is>
      </x:c>
      <x:c r="C475" s="5" t="inlineStr">
        <x:is>
          <x:t xml:space="preserve">glaceon</x:t>
        </x:is>
      </x:c>
      <x:c r="D475" s="5" t="inlineStr">
        <x:is>
          <x:t xml:space="preserve">Glaceon</x:t>
        </x:is>
      </x:c>
      <x:c r="E475" s="5" t="n">
        <x:v>4</x:v>
      </x:c>
      <x:c r="F475" s="5" t="inlineStr">
        <x:is>
          <x:t xml:space="preserve">얼음</x:t>
        </x:is>
      </x:c>
      <x:c r="G475" s="5" t="inlineStr">
        <x:is>
          <x:t xml:space="preserve"/>
        </x:is>
      </x:c>
      <x:c r="H475" s="6" t="n">
        <x:v>25.9</x:v>
      </x:c>
      <x:c r="I475" s="5" t="n"/>
      <x:c r="J475" s="5" t="inlineStr">
        <x:is>
          <x:t xml:space="preserve">최종</x:t>
        </x:is>
      </x:c>
      <x:c r="K475" s="7" t="inlineStr">
        <x:is>
          <x:t xml:space="preserve">육상</x:t>
        </x:is>
      </x:c>
      <x:c r="L475" s="7" t="inlineStr">
        <x:is>
          <x:t xml:space="preserve">설원</x:t>
        </x:is>
      </x:c>
      <x:c r="M475" s="7" t="inlineStr">
        <x:is>
          <x:t xml:space="preserve">한랭</x:t>
        </x:is>
      </x:c>
      <x:c r="N475" s="7" t="inlineStr">
        <x:is>
          <x:t xml:space="preserve">보통</x:t>
        </x:is>
      </x:c>
      <x:c r="O475" s="7" t="inlineStr">
        <x:is>
          <x:t xml:space="preserve">무관</x:t>
        </x:is>
      </x:c>
      <x:c r="P475" s="7" t="inlineStr">
        <x:is>
          <x:t xml:space="preserve">무관</x:t>
        </x:is>
      </x:c>
      <x:c r="Q475" s="7" t="inlineStr">
        <x:is>
          <x:t xml:space="preserve">보통</x:t>
        </x:is>
      </x:c>
      <x:c r="R475" s="7" t="inlineStr">
        <x:is>
          <x:t xml:space="preserve">없음</x:t>
        </x:is>
      </x:c>
      <x:c r="S475" s="7" t="inlineStr">
        <x:is>
          <x:t xml:space="preserve"/>
        </x:is>
      </x:c>
      <x:c r="T475" s="7" t="inlineStr">
        <x:is>
          <x:t xml:space="preserve"/>
        </x:is>
      </x:c>
      <x:c r="U475" s="8" t="str">
        <x:f>INDEX('서식지_점수'!$E$4:$P$4,1,MATCH(MAX('서식지_점수'!E475:P475),'서식지_점수'!E475:P475,0))</x:f>
        <x:v>평원</x:v>
      </x:c>
      <x:c r="V475" s="8" t="str">
        <x:f>IF(T475&lt;&gt;"",T475,U475)</x:f>
        <x:v>평원</x:v>
      </x:c>
      <x:c r="W475" s="8" t="str">
        <x:f>IFERROR(INDEX('서식지_점수'!$E$4:$P$4,1,MATCH(MAXIFS('서식지_점수'!E475:P475,'서식지_점수'!E475:P475,"&lt;"&amp;MAX('서식지_점수'!E475:P475)),'서식지_점수'!E475:P475,0)),"")</x:f>
        <x:v>숲</x:v>
      </x:c>
      <x:c r="X475" s="8" t="str">
        <x:f>IF(T475&lt;&gt;"","수동확정",IF(MAX('서식지_점수'!E475:P475)-LARGE('서식지_점수'!E475:P475,2)&gt;=15,"높음",IF(MAX('서식지_점수'!E475:P475)-LARGE('서식지_점수'!E475:P475,2)&gt;=8,"보통","검토필요")))</x:f>
        <x:v>검토필요</x:v>
      </x:c>
      <x:c r="Y475" s="9" t="n">
        <x:f>IF(Q475="전설",8,IF(Q475="희귀",7,IF(J475="기본",1,IF(J475="중간",3,IF(J475="최종",IF(I475="",5,IF(I475&lt;=20,3,IF(I475&lt;=35,4,IF(I475&lt;=50,6,7)))),IF(Q475="드묾",4,2))))))</x:f>
        <x:v>5</x:v>
      </x:c>
      <x:c r="Z475" s="5" t="inlineStr">
        <x:is>
          <x:t xml:space="preserve">#cobblemon:is_freezing; #cobblemon:is_overworld</x:t>
        </x:is>
      </x:c>
      <x:c r="AA475" s="5" t="inlineStr">
        <x:is>
          <x:t xml:space="preserve">ultra-rare; uncommon</x:t>
        </x:is>
      </x:c>
      <x:c r="AB475" s="5" t="inlineStr">
        <x:is>
          <x:t xml:space="preserve">예</x:t>
        </x:is>
      </x:c>
      <x:c r="AC475" s="8" t="str">
        <x:f>IF(T475&lt;&gt;"","수동확정",IF(X475="검토필요","검토필요",IF(S475="","원본없음","초기완료")))</x:f>
        <x:v>검토필요</x:v>
      </x:c>
      <x:c r="AD475" s="7" t="inlineStr">
        <x:is>
          <x:t xml:space="preserve"/>
        </x:is>
      </x:c>
      <x:c r="AE475" s="5" t="inlineStr">
        <x:is>
          <x:t xml:space="preserve">.tmp/cobblemon-1.7.3-source/common/src/main/resources/data/cobblemon/species/generation4/glaceon.json</x:t>
        </x:is>
      </x:c>
      <x:c r="AF475" s="5" t="str">
        <x:f>"생활권|"&amp;K475</x:f>
        <x:v>생활권|육상</x:v>
      </x:c>
      <x:c r="AG475" s="5" t="str">
        <x:f>"지형|"&amp;L475</x:f>
        <x:v>지형|설원</x:v>
      </x:c>
      <x:c r="AH475" s="5" t="str">
        <x:f>"온도|"&amp;M475</x:f>
        <x:v>온도|한랭</x:v>
      </x:c>
      <x:c r="AI475" s="5" t="str">
        <x:f>"습도|"&amp;N475</x:f>
        <x:v>습도|보통</x:v>
      </x:c>
      <x:c r="AJ475" s="5" t="str">
        <x:f>"날씨|"&amp;O475</x:f>
        <x:v>날씨|무관</x:v>
      </x:c>
      <x:c r="AK475" s="5" t="str">
        <x:f>"특수태그|"&amp;R475</x:f>
        <x:v>특수태그|없음</x:v>
      </x:c>
      <x:c r="AL475" s="5" t="str">
        <x:f>"원본서식지|"&amp;S475</x:f>
        <x:v>원본서식지|</x:v>
      </x:c>
      <x:c r="AM475" s="5" t="str">
        <x:f>"타입|"&amp;F475</x:f>
        <x:v>타입|얼음</x:v>
      </x:c>
      <x:c r="AN475" s="5" t="str">
        <x:f>"타입|"&amp;G475</x:f>
        <x:v>타입|</x:v>
      </x:c>
    </x:row>
    <x:row r="476" ht="24" customHeight="1">
      <x:c r="A476" s="5" t="n">
        <x:v>472</x:v>
      </x:c>
      <x:c r="B476" s="5" t="inlineStr">
        <x:is>
          <x:t xml:space="preserve">글라이온</x:t>
        </x:is>
      </x:c>
      <x:c r="C476" s="5" t="inlineStr">
        <x:is>
          <x:t xml:space="preserve">gliscor</x:t>
        </x:is>
      </x:c>
      <x:c r="D476" s="5" t="inlineStr">
        <x:is>
          <x:t xml:space="preserve">Gliscor</x:t>
        </x:is>
      </x:c>
      <x:c r="E476" s="5" t="n">
        <x:v>4</x:v>
      </x:c>
      <x:c r="F476" s="5" t="inlineStr">
        <x:is>
          <x:t xml:space="preserve">땅</x:t>
        </x:is>
      </x:c>
      <x:c r="G476" s="5" t="inlineStr">
        <x:is>
          <x:t xml:space="preserve">비행</x:t>
        </x:is>
      </x:c>
      <x:c r="H476" s="6" t="n">
        <x:v>42.5</x:v>
      </x:c>
      <x:c r="I476" s="5" t="n"/>
      <x:c r="J476" s="5" t="inlineStr">
        <x:is>
          <x:t xml:space="preserve">최종</x:t>
        </x:is>
      </x:c>
      <x:c r="K476" s="7" t="inlineStr">
        <x:is>
          <x:t xml:space="preserve">비행</x:t>
        </x:is>
      </x:c>
      <x:c r="L476" s="7" t="inlineStr">
        <x:is>
          <x:t xml:space="preserve">화산</x:t>
        </x:is>
      </x:c>
      <x:c r="M476" s="7" t="inlineStr">
        <x:is>
          <x:t xml:space="preserve">고온</x:t>
        </x:is>
      </x:c>
      <x:c r="N476" s="7" t="inlineStr">
        <x:is>
          <x:t xml:space="preserve">건조</x:t>
        </x:is>
      </x:c>
      <x:c r="O476" s="7" t="inlineStr">
        <x:is>
          <x:t xml:space="preserve">맑음</x:t>
        </x:is>
      </x:c>
      <x:c r="P476" s="7" t="inlineStr">
        <x:is>
          <x:t xml:space="preserve">밤</x:t>
        </x:is>
      </x:c>
      <x:c r="Q476" s="7" t="inlineStr">
        <x:is>
          <x:t xml:space="preserve">보통</x:t>
        </x:is>
      </x:c>
      <x:c r="R476" s="7" t="inlineStr">
        <x:is>
          <x:t xml:space="preserve">화산</x:t>
        </x:is>
      </x:c>
      <x:c r="S476" s="7" t="inlineStr">
        <x:is>
          <x:t xml:space="preserve">화산</x:t>
        </x:is>
      </x:c>
      <x:c r="T476" s="7" t="inlineStr">
        <x:is>
          <x:t xml:space="preserve"/>
        </x:is>
      </x:c>
      <x:c r="U476" s="8" t="str">
        <x:f>INDEX('서식지_점수'!$E$4:$P$4,1,MATCH(MAX('서식지_점수'!E476:P476),'서식지_점수'!E476:P476,0))</x:f>
        <x:v>산악</x:v>
      </x:c>
      <x:c r="V476" s="8" t="str">
        <x:f>IF(T476&lt;&gt;"",T476,U476)</x:f>
        <x:v>산악</x:v>
      </x:c>
      <x:c r="W476" s="8" t="str">
        <x:f>IFERROR(INDEX('서식지_점수'!$E$4:$P$4,1,MATCH(MAXIFS('서식지_점수'!E476:P476,'서식지_점수'!E476:P476,"&lt;"&amp;MAX('서식지_점수'!E476:P476)),'서식지_점수'!E476:P476,0)),"")</x:f>
        <x:v>평원</x:v>
      </x:c>
      <x:c r="X476" s="8" t="str">
        <x:f>IF(T476&lt;&gt;"","수동확정",IF(MAX('서식지_점수'!E476:P476)-LARGE('서식지_점수'!E476:P476,2)&gt;=15,"높음",IF(MAX('서식지_점수'!E476:P476)-LARGE('서식지_점수'!E476:P476,2)&gt;=8,"보통","검토필요")))</x:f>
        <x:v>검토필요</x:v>
      </x:c>
      <x:c r="Y476" s="9" t="n">
        <x:f>IF(Q476="전설",8,IF(Q476="희귀",7,IF(J476="기본",1,IF(J476="중간",3,IF(J476="최종",IF(I476="",5,IF(I476&lt;=20,3,IF(I476&lt;=35,4,IF(I476&lt;=50,6,7)))),IF(Q476="드묾",4,2))))))</x:f>
        <x:v>5</x:v>
      </x:c>
      <x:c r="Z476" s="5" t="inlineStr">
        <x:is>
          <x:t xml:space="preserve">#cobblemon:is_badlands; #cobblemon:nether/is_mountain</x:t>
        </x:is>
      </x:c>
      <x:c r="AA476" s="5" t="inlineStr">
        <x:is>
          <x:t xml:space="preserve">common; uncommon</x:t>
        </x:is>
      </x:c>
      <x:c r="AB476" s="5" t="inlineStr">
        <x:is>
          <x:t xml:space="preserve">예</x:t>
        </x:is>
      </x:c>
      <x:c r="AC476" s="8" t="str">
        <x:f>IF(T476&lt;&gt;"","수동확정",IF(X476="검토필요","검토필요",IF(S476="","원본없음","초기완료")))</x:f>
        <x:v>검토필요</x:v>
      </x:c>
      <x:c r="AD476" s="7" t="inlineStr">
        <x:is>
          <x:t xml:space="preserve"/>
        </x:is>
      </x:c>
      <x:c r="AE476" s="5" t="inlineStr">
        <x:is>
          <x:t xml:space="preserve">.tmp/cobblemon-1.7.3-source/common/src/main/resources/data/cobblemon/species/generation4/gliscor.json</x:t>
        </x:is>
      </x:c>
      <x:c r="AF476" s="5" t="str">
        <x:f>"생활권|"&amp;K476</x:f>
        <x:v>생활권|비행</x:v>
      </x:c>
      <x:c r="AG476" s="5" t="str">
        <x:f>"지형|"&amp;L476</x:f>
        <x:v>지형|화산</x:v>
      </x:c>
      <x:c r="AH476" s="5" t="str">
        <x:f>"온도|"&amp;M476</x:f>
        <x:v>온도|고온</x:v>
      </x:c>
      <x:c r="AI476" s="5" t="str">
        <x:f>"습도|"&amp;N476</x:f>
        <x:v>습도|건조</x:v>
      </x:c>
      <x:c r="AJ476" s="5" t="str">
        <x:f>"날씨|"&amp;O476</x:f>
        <x:v>날씨|맑음</x:v>
      </x:c>
      <x:c r="AK476" s="5" t="str">
        <x:f>"특수태그|"&amp;R476</x:f>
        <x:v>특수태그|화산</x:v>
      </x:c>
      <x:c r="AL476" s="5" t="str">
        <x:f>"원본서식지|"&amp;S476</x:f>
        <x:v>원본서식지|화산</x:v>
      </x:c>
      <x:c r="AM476" s="5" t="str">
        <x:f>"타입|"&amp;F476</x:f>
        <x:v>타입|땅</x:v>
      </x:c>
      <x:c r="AN476" s="5" t="str">
        <x:f>"타입|"&amp;G476</x:f>
        <x:v>타입|비행</x:v>
      </x:c>
    </x:row>
    <x:row r="477" ht="24" customHeight="1">
      <x:c r="A477" s="5" t="n">
        <x:v>473</x:v>
      </x:c>
      <x:c r="B477" s="5" t="inlineStr">
        <x:is>
          <x:t xml:space="preserve">맘모꾸리</x:t>
        </x:is>
      </x:c>
      <x:c r="C477" s="5" t="inlineStr">
        <x:is>
          <x:t xml:space="preserve">mamoswine</x:t>
        </x:is>
      </x:c>
      <x:c r="D477" s="5" t="inlineStr">
        <x:is>
          <x:t xml:space="preserve">Mamoswine</x:t>
        </x:is>
      </x:c>
      <x:c r="E477" s="5" t="n">
        <x:v>4</x:v>
      </x:c>
      <x:c r="F477" s="5" t="inlineStr">
        <x:is>
          <x:t xml:space="preserve">얼음</x:t>
        </x:is>
      </x:c>
      <x:c r="G477" s="5" t="inlineStr">
        <x:is>
          <x:t xml:space="preserve">땅</x:t>
        </x:is>
      </x:c>
      <x:c r="H477" s="6" t="n">
        <x:v>291</x:v>
      </x:c>
      <x:c r="I477" s="5" t="n">
        <x:v>33</x:v>
      </x:c>
      <x:c r="J477" s="5" t="inlineStr">
        <x:is>
          <x:t xml:space="preserve">최종</x:t>
        </x:is>
      </x:c>
      <x:c r="K477" s="7" t="inlineStr">
        <x:is>
          <x:t xml:space="preserve">육상</x:t>
        </x:is>
      </x:c>
      <x:c r="L477" s="7" t="inlineStr">
        <x:is>
          <x:t xml:space="preserve">암석</x:t>
        </x:is>
      </x:c>
      <x:c r="M477" s="7" t="inlineStr">
        <x:is>
          <x:t xml:space="preserve">한랭</x:t>
        </x:is>
      </x:c>
      <x:c r="N477" s="7" t="inlineStr">
        <x:is>
          <x:t xml:space="preserve">보통</x:t>
        </x:is>
      </x:c>
      <x:c r="O477" s="7" t="inlineStr">
        <x:is>
          <x:t xml:space="preserve">무관</x:t>
        </x:is>
      </x:c>
      <x:c r="P477" s="7" t="inlineStr">
        <x:is>
          <x:t xml:space="preserve">무관</x:t>
        </x:is>
      </x:c>
      <x:c r="Q477" s="7" t="inlineStr">
        <x:is>
          <x:t xml:space="preserve">흔함</x:t>
        </x:is>
      </x:c>
      <x:c r="R477" s="7" t="inlineStr">
        <x:is>
          <x:t xml:space="preserve">없음</x:t>
        </x:is>
      </x:c>
      <x:c r="S477" s="7" t="inlineStr">
        <x:is>
          <x:t xml:space="preserve"/>
        </x:is>
      </x:c>
      <x:c r="T477" s="7" t="inlineStr">
        <x:is>
          <x:t xml:space="preserve"/>
        </x:is>
      </x:c>
      <x:c r="U477" s="8" t="str">
        <x:f>INDEX('서식지_점수'!$E$4:$P$4,1,MATCH(MAX('서식지_점수'!E477:P477),'서식지_점수'!E477:P477,0))</x:f>
        <x:v>평원</x:v>
      </x:c>
      <x:c r="V477" s="8" t="str">
        <x:f>IF(T477&lt;&gt;"",T477,U477)</x:f>
        <x:v>평원</x:v>
      </x:c>
      <x:c r="W477" s="8" t="str">
        <x:f>IFERROR(INDEX('서식지_점수'!$E$4:$P$4,1,MATCH(MAXIFS('서식지_점수'!E477:P477,'서식지_점수'!E477:P477,"&lt;"&amp;MAX('서식지_점수'!E477:P477)),'서식지_점수'!E477:P477,0)),"")</x:f>
        <x:v>숲</x:v>
      </x:c>
      <x:c r="X477" s="8" t="str">
        <x:f>IF(T477&lt;&gt;"","수동확정",IF(MAX('서식지_점수'!E477:P477)-LARGE('서식지_점수'!E477:P477,2)&gt;=15,"높음",IF(MAX('서식지_점수'!E477:P477)-LARGE('서식지_점수'!E477:P477,2)&gt;=8,"보통","검토필요")))</x:f>
        <x:v>검토필요</x:v>
      </x:c>
      <x:c r="Y477" s="9" t="n">
        <x:f>IF(Q477="전설",8,IF(Q477="희귀",7,IF(J477="기본",1,IF(J477="중간",3,IF(J477="최종",IF(I477="",5,IF(I477&lt;=20,3,IF(I477&lt;=35,4,IF(I477&lt;=50,6,7)))),IF(Q477="드묾",4,2))))))</x:f>
        <x:v>4</x:v>
      </x:c>
      <x:c r="Z477" s="5" t="inlineStr">
        <x:is>
          <x:t xml:space="preserve">#cobblemon:is_tundra</x:t>
        </x:is>
      </x:c>
      <x:c r="AA477" s="5" t="inlineStr">
        <x:is>
          <x:t xml:space="preserve">common</x:t>
        </x:is>
      </x:c>
      <x:c r="AB477" s="5" t="inlineStr">
        <x:is>
          <x:t xml:space="preserve">예</x:t>
        </x:is>
      </x:c>
      <x:c r="AC477" s="8" t="str">
        <x:f>IF(T477&lt;&gt;"","수동확정",IF(X477="검토필요","검토필요",IF(S477="","원본없음","초기완료")))</x:f>
        <x:v>검토필요</x:v>
      </x:c>
      <x:c r="AD477" s="7" t="inlineStr">
        <x:is>
          <x:t xml:space="preserve"/>
        </x:is>
      </x:c>
      <x:c r="AE477" s="5" t="inlineStr">
        <x:is>
          <x:t xml:space="preserve">.tmp/cobblemon-1.7.3-source/common/src/main/resources/data/cobblemon/species/generation4/mamoswine.json</x:t>
        </x:is>
      </x:c>
      <x:c r="AF477" s="5" t="str">
        <x:f>"생활권|"&amp;K477</x:f>
        <x:v>생활권|육상</x:v>
      </x:c>
      <x:c r="AG477" s="5" t="str">
        <x:f>"지형|"&amp;L477</x:f>
        <x:v>지형|암석</x:v>
      </x:c>
      <x:c r="AH477" s="5" t="str">
        <x:f>"온도|"&amp;M477</x:f>
        <x:v>온도|한랭</x:v>
      </x:c>
      <x:c r="AI477" s="5" t="str">
        <x:f>"습도|"&amp;N477</x:f>
        <x:v>습도|보통</x:v>
      </x:c>
      <x:c r="AJ477" s="5" t="str">
        <x:f>"날씨|"&amp;O477</x:f>
        <x:v>날씨|무관</x:v>
      </x:c>
      <x:c r="AK477" s="5" t="str">
        <x:f>"특수태그|"&amp;R477</x:f>
        <x:v>특수태그|없음</x:v>
      </x:c>
      <x:c r="AL477" s="5" t="str">
        <x:f>"원본서식지|"&amp;S477</x:f>
        <x:v>원본서식지|</x:v>
      </x:c>
      <x:c r="AM477" s="5" t="str">
        <x:f>"타입|"&amp;F477</x:f>
        <x:v>타입|얼음</x:v>
      </x:c>
      <x:c r="AN477" s="5" t="str">
        <x:f>"타입|"&amp;G477</x:f>
        <x:v>타입|땅</x:v>
      </x:c>
    </x:row>
    <x:row r="478" ht="24" customHeight="1">
      <x:c r="A478" s="5" t="n">
        <x:v>474</x:v>
      </x:c>
      <x:c r="B478" s="5" t="inlineStr">
        <x:is>
          <x:t xml:space="preserve">폴리곤Z</x:t>
        </x:is>
      </x:c>
      <x:c r="C478" s="5" t="inlineStr">
        <x:is>
          <x:t xml:space="preserve">porygonz</x:t>
        </x:is>
      </x:c>
      <x:c r="D478" s="5" t="inlineStr">
        <x:is>
          <x:t xml:space="preserve">Porygon-Z</x:t>
        </x:is>
      </x:c>
      <x:c r="E478" s="5" t="n">
        <x:v>4</x:v>
      </x:c>
      <x:c r="F478" s="5" t="inlineStr">
        <x:is>
          <x:t xml:space="preserve">노말</x:t>
        </x:is>
      </x:c>
      <x:c r="G478" s="5" t="inlineStr">
        <x:is>
          <x:t xml:space="preserve"/>
        </x:is>
      </x:c>
      <x:c r="H478" s="6" t="n">
        <x:v>34</x:v>
      </x:c>
      <x:c r="I478" s="5" t="n"/>
      <x:c r="J478" s="5" t="inlineStr">
        <x:is>
          <x:t xml:space="preserve">최종</x:t>
        </x:is>
      </x:c>
      <x:c r="K478" s="7" t="inlineStr">
        <x:is>
          <x:t xml:space="preserve">인공</x:t>
        </x:is>
      </x:c>
      <x:c r="L478" s="7" t="inlineStr">
        <x:is>
          <x:t xml:space="preserve">도시</x:t>
        </x:is>
      </x:c>
      <x:c r="M478" s="7" t="inlineStr">
        <x:is>
          <x:t xml:space="preserve">온대</x:t>
        </x:is>
      </x:c>
      <x:c r="N478" s="7" t="inlineStr">
        <x:is>
          <x:t xml:space="preserve">보통</x:t>
        </x:is>
      </x:c>
      <x:c r="O478" s="7" t="inlineStr">
        <x:is>
          <x:t xml:space="preserve">무관</x:t>
        </x:is>
      </x:c>
      <x:c r="P478" s="7" t="inlineStr">
        <x:is>
          <x:t xml:space="preserve">무관</x:t>
        </x:is>
      </x:c>
      <x:c r="Q478" s="7" t="inlineStr">
        <x:is>
          <x:t xml:space="preserve">드묾</x:t>
        </x:is>
      </x:c>
      <x:c r="R478" s="7" t="inlineStr">
        <x:is>
          <x:t xml:space="preserve">도시</x:t>
        </x:is>
      </x:c>
      <x:c r="S478" s="7" t="inlineStr">
        <x:is>
          <x:t xml:space="preserve"/>
        </x:is>
      </x:c>
      <x:c r="T478" s="7" t="inlineStr">
        <x:is>
          <x:t xml:space="preserve"/>
        </x:is>
      </x:c>
      <x:c r="U478" s="8" t="str">
        <x:f>INDEX('서식지_점수'!$E$4:$P$4,1,MATCH(MAX('서식지_점수'!E478:P478),'서식지_점수'!E478:P478,0))</x:f>
        <x:v>도시</x:v>
      </x:c>
      <x:c r="V478" s="8" t="str">
        <x:f>IF(T478&lt;&gt;"",T478,U478)</x:f>
        <x:v>도시</x:v>
      </x:c>
      <x:c r="W478" s="8" t="str">
        <x:f>IFERROR(INDEX('서식지_점수'!$E$4:$P$4,1,MATCH(MAXIFS('서식지_점수'!E478:P478,'서식지_점수'!E478:P478,"&lt;"&amp;MAX('서식지_점수'!E478:P478)),'서식지_점수'!E478:P478,0)),"")</x:f>
        <x:v>특수</x:v>
      </x:c>
      <x:c r="X478" s="8" t="str">
        <x:f>IF(T478&lt;&gt;"","수동확정",IF(MAX('서식지_점수'!E478:P478)-LARGE('서식지_점수'!E478:P478,2)&gt;=15,"높음",IF(MAX('서식지_점수'!E478:P478)-LARGE('서식지_점수'!E478:P478,2)&gt;=8,"보통","검토필요")))</x:f>
        <x:v>높음</x:v>
      </x:c>
      <x:c r="Y478" s="9" t="n">
        <x:f>IF(Q478="전설",8,IF(Q478="희귀",7,IF(J478="기본",1,IF(J478="중간",3,IF(J478="최종",IF(I478="",5,IF(I478&lt;=20,3,IF(I478&lt;=35,4,IF(I478&lt;=50,6,7)))),IF(Q478="드묾",4,2))))))</x:f>
        <x:v>5</x:v>
      </x:c>
      <x:c r="Z478" s="5" t="inlineStr">
        <x:is>
          <x:t xml:space="preserve">#cobblemon:is_end</x:t>
        </x:is>
      </x:c>
      <x:c r="AA478" s="5" t="inlineStr">
        <x:is>
          <x:t xml:space="preserve">rare</x:t>
        </x:is>
      </x:c>
      <x:c r="AB478" s="5" t="inlineStr">
        <x:is>
          <x:t xml:space="preserve">예</x:t>
        </x:is>
      </x:c>
      <x:c r="AC478" s="8" t="str">
        <x:f>IF(T478&lt;&gt;"","수동확정",IF(X478="검토필요","검토필요",IF(S478="","원본없음","초기완료")))</x:f>
        <x:v>원본없음</x:v>
      </x:c>
      <x:c r="AD478" s="7" t="inlineStr">
        <x:is>
          <x:t xml:space="preserve"/>
        </x:is>
      </x:c>
      <x:c r="AE478" s="5" t="inlineStr">
        <x:is>
          <x:t xml:space="preserve">.tmp/cobblemon-1.7.3-source/common/src/main/resources/data/cobblemon/species/generation4/porygonz.json</x:t>
        </x:is>
      </x:c>
      <x:c r="AF478" s="5" t="str">
        <x:f>"생활권|"&amp;K478</x:f>
        <x:v>생활권|인공</x:v>
      </x:c>
      <x:c r="AG478" s="5" t="str">
        <x:f>"지형|"&amp;L478</x:f>
        <x:v>지형|도시</x:v>
      </x:c>
      <x:c r="AH478" s="5" t="str">
        <x:f>"온도|"&amp;M478</x:f>
        <x:v>온도|온대</x:v>
      </x:c>
      <x:c r="AI478" s="5" t="str">
        <x:f>"습도|"&amp;N478</x:f>
        <x:v>습도|보통</x:v>
      </x:c>
      <x:c r="AJ478" s="5" t="str">
        <x:f>"날씨|"&amp;O478</x:f>
        <x:v>날씨|무관</x:v>
      </x:c>
      <x:c r="AK478" s="5" t="str">
        <x:f>"특수태그|"&amp;R478</x:f>
        <x:v>특수태그|도시</x:v>
      </x:c>
      <x:c r="AL478" s="5" t="str">
        <x:f>"원본서식지|"&amp;S478</x:f>
        <x:v>원본서식지|</x:v>
      </x:c>
      <x:c r="AM478" s="5" t="str">
        <x:f>"타입|"&amp;F478</x:f>
        <x:v>타입|노말</x:v>
      </x:c>
      <x:c r="AN478" s="5" t="str">
        <x:f>"타입|"&amp;G478</x:f>
        <x:v>타입|</x:v>
      </x:c>
    </x:row>
    <x:row r="479" ht="24" customHeight="1">
      <x:c r="A479" s="5" t="n">
        <x:v>475</x:v>
      </x:c>
      <x:c r="B479" s="5" t="inlineStr">
        <x:is>
          <x:t xml:space="preserve">엘레이드</x:t>
        </x:is>
      </x:c>
      <x:c r="C479" s="5" t="inlineStr">
        <x:is>
          <x:t xml:space="preserve">gallade</x:t>
        </x:is>
      </x:c>
      <x:c r="D479" s="5" t="inlineStr">
        <x:is>
          <x:t xml:space="preserve">Gallade</x:t>
        </x:is>
      </x:c>
      <x:c r="E479" s="5" t="n">
        <x:v>4</x:v>
      </x:c>
      <x:c r="F479" s="5" t="inlineStr">
        <x:is>
          <x:t xml:space="preserve">에스퍼</x:t>
        </x:is>
      </x:c>
      <x:c r="G479" s="5" t="inlineStr">
        <x:is>
          <x:t xml:space="preserve">격투</x:t>
        </x:is>
      </x:c>
      <x:c r="H479" s="6" t="n">
        <x:v>52</x:v>
      </x:c>
      <x:c r="I479" s="5" t="n">
        <x:v>30</x:v>
      </x:c>
      <x:c r="J479" s="5" t="inlineStr">
        <x:is>
          <x:t xml:space="preserve">최종</x:t>
        </x:is>
      </x:c>
      <x:c r="K479" s="7" t="inlineStr">
        <x:is>
          <x:t xml:space="preserve">육상</x:t>
        </x:is>
      </x:c>
      <x:c r="L479" s="7" t="inlineStr">
        <x:is>
          <x:t xml:space="preserve">수목</x:t>
        </x:is>
      </x:c>
      <x:c r="M479" s="7" t="inlineStr">
        <x:is>
          <x:t xml:space="preserve">온대</x:t>
        </x:is>
      </x:c>
      <x:c r="N479" s="7" t="inlineStr">
        <x:is>
          <x:t xml:space="preserve">보통</x:t>
        </x:is>
      </x:c>
      <x:c r="O479" s="7" t="inlineStr">
        <x:is>
          <x:t xml:space="preserve">무관</x:t>
        </x:is>
      </x:c>
      <x:c r="P479" s="7" t="inlineStr">
        <x:is>
          <x:t xml:space="preserve">무관</x:t>
        </x:is>
      </x:c>
      <x:c r="Q479" s="7" t="inlineStr">
        <x:is>
          <x:t xml:space="preserve">흔함</x:t>
        </x:is>
      </x:c>
      <x:c r="R479" s="7" t="inlineStr">
        <x:is>
          <x:t xml:space="preserve">없음</x:t>
        </x:is>
      </x:c>
      <x:c r="S479" s="7" t="inlineStr">
        <x:is>
          <x:t xml:space="preserve">숲</x:t>
        </x:is>
      </x:c>
      <x:c r="T479" s="7" t="inlineStr">
        <x:is>
          <x:t xml:space="preserve"/>
        </x:is>
      </x:c>
      <x:c r="U479" s="8" t="str">
        <x:f>INDEX('서식지_점수'!$E$4:$P$4,1,MATCH(MAX('서식지_점수'!E479:P479),'서식지_점수'!E479:P479,0))</x:f>
        <x:v>평원</x:v>
      </x:c>
      <x:c r="V479" s="8" t="str">
        <x:f>IF(T479&lt;&gt;"",T479,U479)</x:f>
        <x:v>평원</x:v>
      </x:c>
      <x:c r="W479" s="8" t="str">
        <x:f>IFERROR(INDEX('서식지_점수'!$E$4:$P$4,1,MATCH(MAXIFS('서식지_점수'!E479:P479,'서식지_점수'!E479:P479,"&lt;"&amp;MAX('서식지_점수'!E479:P479)),'서식지_점수'!E479:P479,0)),"")</x:f>
        <x:v>숲</x:v>
      </x:c>
      <x:c r="X479" s="8" t="str">
        <x:f>IF(T479&lt;&gt;"","수동확정",IF(MAX('서식지_점수'!E479:P479)-LARGE('서식지_점수'!E479:P479,2)&gt;=15,"높음",IF(MAX('서식지_점수'!E479:P479)-LARGE('서식지_점수'!E479:P479,2)&gt;=8,"보통","검토필요")))</x:f>
        <x:v>검토필요</x:v>
      </x:c>
      <x:c r="Y479" s="9" t="n">
        <x:f>IF(Q479="전설",8,IF(Q479="희귀",7,IF(J479="기본",1,IF(J479="중간",3,IF(J479="최종",IF(I479="",5,IF(I479&lt;=20,3,IF(I479&lt;=35,4,IF(I479&lt;=50,6,7)))),IF(Q479="드묾",4,2))))))</x:f>
        <x:v>4</x:v>
      </x:c>
      <x:c r="Z479" s="5" t="inlineStr">
        <x:is>
          <x:t xml:space="preserve">#cobblemon:is_floral; #cobblemon:is_magical; #cobblemon:is_overworld; #cobblemon:is_snowy_forest; aether:skyroot_grove; aether:skyroot_meadow</x:t>
        </x:is>
      </x:c>
      <x:c r="AA479" s="5" t="inlineStr">
        <x:is>
          <x:t xml:space="preserve">common; rare</x:t>
        </x:is>
      </x:c>
      <x:c r="AB479" s="5" t="inlineStr">
        <x:is>
          <x:t xml:space="preserve">예</x:t>
        </x:is>
      </x:c>
      <x:c r="AC479" s="8" t="str">
        <x:f>IF(T479&lt;&gt;"","수동확정",IF(X479="검토필요","검토필요",IF(S479="","원본없음","초기완료")))</x:f>
        <x:v>검토필요</x:v>
      </x:c>
      <x:c r="AD479" s="7" t="inlineStr">
        <x:is>
          <x:t xml:space="preserve"/>
        </x:is>
      </x:c>
      <x:c r="AE479" s="5" t="inlineStr">
        <x:is>
          <x:t xml:space="preserve">.tmp/cobblemon-1.7.3-source/common/src/main/resources/data/cobblemon/species/generation4/gallade.json</x:t>
        </x:is>
      </x:c>
      <x:c r="AF479" s="5" t="str">
        <x:f>"생활권|"&amp;K479</x:f>
        <x:v>생활권|육상</x:v>
      </x:c>
      <x:c r="AG479" s="5" t="str">
        <x:f>"지형|"&amp;L479</x:f>
        <x:v>지형|수목</x:v>
      </x:c>
      <x:c r="AH479" s="5" t="str">
        <x:f>"온도|"&amp;M479</x:f>
        <x:v>온도|온대</x:v>
      </x:c>
      <x:c r="AI479" s="5" t="str">
        <x:f>"습도|"&amp;N479</x:f>
        <x:v>습도|보통</x:v>
      </x:c>
      <x:c r="AJ479" s="5" t="str">
        <x:f>"날씨|"&amp;O479</x:f>
        <x:v>날씨|무관</x:v>
      </x:c>
      <x:c r="AK479" s="5" t="str">
        <x:f>"특수태그|"&amp;R479</x:f>
        <x:v>특수태그|없음</x:v>
      </x:c>
      <x:c r="AL479" s="5" t="str">
        <x:f>"원본서식지|"&amp;S479</x:f>
        <x:v>원본서식지|숲</x:v>
      </x:c>
      <x:c r="AM479" s="5" t="str">
        <x:f>"타입|"&amp;F479</x:f>
        <x:v>타입|에스퍼</x:v>
      </x:c>
      <x:c r="AN479" s="5" t="str">
        <x:f>"타입|"&amp;G479</x:f>
        <x:v>타입|격투</x:v>
      </x:c>
    </x:row>
    <x:row r="480" ht="24" customHeight="1">
      <x:c r="A480" s="5" t="n">
        <x:v>476</x:v>
      </x:c>
      <x:c r="B480" s="5" t="inlineStr">
        <x:is>
          <x:t xml:space="preserve">대코파스</x:t>
        </x:is>
      </x:c>
      <x:c r="C480" s="5" t="inlineStr">
        <x:is>
          <x:t xml:space="preserve">probopass</x:t>
        </x:is>
      </x:c>
      <x:c r="D480" s="5" t="inlineStr">
        <x:is>
          <x:t xml:space="preserve">Probopass</x:t>
        </x:is>
      </x:c>
      <x:c r="E480" s="5" t="n">
        <x:v>4</x:v>
      </x:c>
      <x:c r="F480" s="5" t="inlineStr">
        <x:is>
          <x:t xml:space="preserve">바위</x:t>
        </x:is>
      </x:c>
      <x:c r="G480" s="5" t="inlineStr">
        <x:is>
          <x:t xml:space="preserve">강철</x:t>
        </x:is>
      </x:c>
      <x:c r="H480" s="6" t="n">
        <x:v>340</x:v>
      </x:c>
      <x:c r="I480" s="5" t="n"/>
      <x:c r="J480" s="5" t="inlineStr">
        <x:is>
          <x:t xml:space="preserve">최종</x:t>
        </x:is>
      </x:c>
      <x:c r="K480" s="7" t="inlineStr">
        <x:is>
          <x:t xml:space="preserve">비행</x:t>
        </x:is>
      </x:c>
      <x:c r="L480" s="7" t="inlineStr">
        <x:is>
          <x:t xml:space="preserve">암석</x:t>
        </x:is>
      </x:c>
      <x:c r="M480" s="7" t="inlineStr">
        <x:is>
          <x:t xml:space="preserve">온대</x:t>
        </x:is>
      </x:c>
      <x:c r="N480" s="7" t="inlineStr">
        <x:is>
          <x:t xml:space="preserve">보통</x:t>
        </x:is>
      </x:c>
      <x:c r="O480" s="7" t="inlineStr">
        <x:is>
          <x:t xml:space="preserve">무관</x:t>
        </x:is>
      </x:c>
      <x:c r="P480" s="7" t="inlineStr">
        <x:is>
          <x:t xml:space="preserve">무관</x:t>
        </x:is>
      </x:c>
      <x:c r="Q480" s="7" t="inlineStr">
        <x:is>
          <x:t xml:space="preserve">보통</x:t>
        </x:is>
      </x:c>
      <x:c r="R480" s="7" t="inlineStr">
        <x:is>
          <x:t xml:space="preserve">없음</x:t>
        </x:is>
      </x:c>
      <x:c r="S480" s="7" t="inlineStr">
        <x:is>
          <x:t xml:space="preserve"/>
        </x:is>
      </x:c>
      <x:c r="T480" s="7" t="inlineStr">
        <x:is>
          <x:t xml:space="preserve"/>
        </x:is>
      </x:c>
      <x:c r="U480" s="8" t="str">
        <x:f>INDEX('서식지_점수'!$E$4:$P$4,1,MATCH(MAX('서식지_점수'!E480:P480),'서식지_점수'!E480:P480,0))</x:f>
        <x:v>산악</x:v>
      </x:c>
      <x:c r="V480" s="8" t="str">
        <x:f>IF(T480&lt;&gt;"",T480,U480)</x:f>
        <x:v>산악</x:v>
      </x:c>
      <x:c r="W480" s="8" t="str">
        <x:f>IFERROR(INDEX('서식지_점수'!$E$4:$P$4,1,MATCH(MAXIFS('서식지_점수'!E480:P480,'서식지_점수'!E480:P480,"&lt;"&amp;MAX('서식지_점수'!E480:P480)),'서식지_점수'!E480:P480,0)),"")</x:f>
        <x:v>평원</x:v>
      </x:c>
      <x:c r="X480" s="8" t="str">
        <x:f>IF(T480&lt;&gt;"","수동확정",IF(MAX('서식지_점수'!E480:P480)-LARGE('서식지_점수'!E480:P480,2)&gt;=15,"높음",IF(MAX('서식지_점수'!E480:P480)-LARGE('서식지_점수'!E480:P480,2)&gt;=8,"보통","검토필요")))</x:f>
        <x:v>검토필요</x:v>
      </x:c>
      <x:c r="Y480" s="9" t="n">
        <x:f>IF(Q480="전설",8,IF(Q480="희귀",7,IF(J480="기본",1,IF(J480="중간",3,IF(J480="최종",IF(I480="",5,IF(I480&lt;=20,3,IF(I480&lt;=35,4,IF(I480&lt;=50,6,7)))),IF(Q480="드묾",4,2))))))</x:f>
        <x:v>5</x:v>
      </x:c>
      <x:c r="Z480" s="5" t="inlineStr">
        <x:is>
          <x:t xml:space="preserve">#cobblemon:is_overworld</x:t>
        </x:is>
      </x:c>
      <x:c r="AA480" s="5" t="inlineStr">
        <x:is>
          <x:t xml:space="preserve">uncommon</x:t>
        </x:is>
      </x:c>
      <x:c r="AB480" s="5" t="inlineStr">
        <x:is>
          <x:t xml:space="preserve">예</x:t>
        </x:is>
      </x:c>
      <x:c r="AC480" s="8" t="str">
        <x:f>IF(T480&lt;&gt;"","수동확정",IF(X480="검토필요","검토필요",IF(S480="","원본없음","초기완료")))</x:f>
        <x:v>검토필요</x:v>
      </x:c>
      <x:c r="AD480" s="7" t="inlineStr">
        <x:is>
          <x:t xml:space="preserve"/>
        </x:is>
      </x:c>
      <x:c r="AE480" s="5" t="inlineStr">
        <x:is>
          <x:t xml:space="preserve">.tmp/cobblemon-1.7.3-source/common/src/main/resources/data/cobblemon/species/generation4/probopass.json</x:t>
        </x:is>
      </x:c>
      <x:c r="AF480" s="5" t="str">
        <x:f>"생활권|"&amp;K480</x:f>
        <x:v>생활권|비행</x:v>
      </x:c>
      <x:c r="AG480" s="5" t="str">
        <x:f>"지형|"&amp;L480</x:f>
        <x:v>지형|암석</x:v>
      </x:c>
      <x:c r="AH480" s="5" t="str">
        <x:f>"온도|"&amp;M480</x:f>
        <x:v>온도|온대</x:v>
      </x:c>
      <x:c r="AI480" s="5" t="str">
        <x:f>"습도|"&amp;N480</x:f>
        <x:v>습도|보통</x:v>
      </x:c>
      <x:c r="AJ480" s="5" t="str">
        <x:f>"날씨|"&amp;O480</x:f>
        <x:v>날씨|무관</x:v>
      </x:c>
      <x:c r="AK480" s="5" t="str">
        <x:f>"특수태그|"&amp;R480</x:f>
        <x:v>특수태그|없음</x:v>
      </x:c>
      <x:c r="AL480" s="5" t="str">
        <x:f>"원본서식지|"&amp;S480</x:f>
        <x:v>원본서식지|</x:v>
      </x:c>
      <x:c r="AM480" s="5" t="str">
        <x:f>"타입|"&amp;F480</x:f>
        <x:v>타입|바위</x:v>
      </x:c>
      <x:c r="AN480" s="5" t="str">
        <x:f>"타입|"&amp;G480</x:f>
        <x:v>타입|강철</x:v>
      </x:c>
    </x:row>
    <x:row r="481" ht="24" customHeight="1">
      <x:c r="A481" s="5" t="n">
        <x:v>477</x:v>
      </x:c>
      <x:c r="B481" s="5" t="inlineStr">
        <x:is>
          <x:t xml:space="preserve">야느와르몽</x:t>
        </x:is>
      </x:c>
      <x:c r="C481" s="5" t="inlineStr">
        <x:is>
          <x:t xml:space="preserve">dusknoir</x:t>
        </x:is>
      </x:c>
      <x:c r="D481" s="5" t="inlineStr">
        <x:is>
          <x:t xml:space="preserve">Dusknoir</x:t>
        </x:is>
      </x:c>
      <x:c r="E481" s="5" t="n">
        <x:v>4</x:v>
      </x:c>
      <x:c r="F481" s="5" t="inlineStr">
        <x:is>
          <x:t xml:space="preserve">고스트</x:t>
        </x:is>
      </x:c>
      <x:c r="G481" s="5" t="inlineStr">
        <x:is>
          <x:t xml:space="preserve"/>
        </x:is>
      </x:c>
      <x:c r="H481" s="6" t="n">
        <x:v>106.6</x:v>
      </x:c>
      <x:c r="I481" s="5" t="n">
        <x:v>37</x:v>
      </x:c>
      <x:c r="J481" s="5" t="inlineStr">
        <x:is>
          <x:t xml:space="preserve">최종</x:t>
        </x:is>
      </x:c>
      <x:c r="K481" s="7" t="inlineStr">
        <x:is>
          <x:t xml:space="preserve">비행</x:t>
        </x:is>
      </x:c>
      <x:c r="L481" s="7" t="inlineStr">
        <x:is>
          <x:t xml:space="preserve">특수</x:t>
        </x:is>
      </x:c>
      <x:c r="M481" s="7" t="inlineStr">
        <x:is>
          <x:t xml:space="preserve">온대</x:t>
        </x:is>
      </x:c>
      <x:c r="N481" s="7" t="inlineStr">
        <x:is>
          <x:t xml:space="preserve">보통</x:t>
        </x:is>
      </x:c>
      <x:c r="O481" s="7" t="inlineStr">
        <x:is>
          <x:t xml:space="preserve">안개</x:t>
        </x:is>
      </x:c>
      <x:c r="P481" s="7" t="inlineStr">
        <x:is>
          <x:t xml:space="preserve">밤</x:t>
        </x:is>
      </x:c>
      <x:c r="Q481" s="7" t="inlineStr">
        <x:is>
          <x:t xml:space="preserve">흔함</x:t>
        </x:is>
      </x:c>
      <x:c r="R481" s="7" t="inlineStr">
        <x:is>
          <x:t xml:space="preserve">영체</x:t>
        </x:is>
      </x:c>
      <x:c r="S481" s="7" t="inlineStr">
        <x:is>
          <x:t xml:space="preserve">특수</x:t>
        </x:is>
      </x:c>
      <x:c r="T481" s="7" t="inlineStr">
        <x:is>
          <x:t xml:space="preserve"/>
        </x:is>
      </x:c>
      <x:c r="U481" s="8" t="str">
        <x:f>INDEX('서식지_점수'!$E$4:$P$4,1,MATCH(MAX('서식지_점수'!E481:P481),'서식지_점수'!E481:P481,0))</x:f>
        <x:v>산악</x:v>
      </x:c>
      <x:c r="V481" s="8" t="str">
        <x:f>IF(T481&lt;&gt;"",T481,U481)</x:f>
        <x:v>산악</x:v>
      </x:c>
      <x:c r="W481" s="8" t="str">
        <x:f>IFERROR(INDEX('서식지_점수'!$E$4:$P$4,1,MATCH(MAXIFS('서식지_점수'!E481:P481,'서식지_점수'!E481:P481,"&lt;"&amp;MAX('서식지_점수'!E481:P481)),'서식지_점수'!E481:P481,0)),"")</x:f>
        <x:v>평원</x:v>
      </x:c>
      <x:c r="X481" s="8" t="str">
        <x:f>IF(T481&lt;&gt;"","수동확정",IF(MAX('서식지_점수'!E481:P481)-LARGE('서식지_점수'!E481:P481,2)&gt;=15,"높음",IF(MAX('서식지_점수'!E481:P481)-LARGE('서식지_점수'!E481:P481,2)&gt;=8,"보통","검토필요")))</x:f>
        <x:v>검토필요</x:v>
      </x:c>
      <x:c r="Y481" s="9" t="n">
        <x:f>IF(Q481="전설",8,IF(Q481="희귀",7,IF(J481="기본",1,IF(J481="중간",3,IF(J481="최종",IF(I481="",5,IF(I481&lt;=20,3,IF(I481&lt;=35,4,IF(I481&lt;=50,6,7)))),IF(Q481="드묾",4,2))))))</x:f>
        <x:v>6</x:v>
      </x:c>
      <x:c r="Z481" s="5" t="inlineStr">
        <x:is>
          <x:t xml:space="preserve">#cobblemon:is_spooky; #cobblemon:nether/is_soul_sand</x:t>
        </x:is>
      </x:c>
      <x:c r="AA481" s="5" t="inlineStr">
        <x:is>
          <x:t xml:space="preserve">common</x:t>
        </x:is>
      </x:c>
      <x:c r="AB481" s="5" t="inlineStr">
        <x:is>
          <x:t xml:space="preserve">예</x:t>
        </x:is>
      </x:c>
      <x:c r="AC481" s="8" t="str">
        <x:f>IF(T481&lt;&gt;"","수동확정",IF(X481="검토필요","검토필요",IF(S481="","원본없음","초기완료")))</x:f>
        <x:v>검토필요</x:v>
      </x:c>
      <x:c r="AD481" s="7" t="inlineStr">
        <x:is>
          <x:t xml:space="preserve"/>
        </x:is>
      </x:c>
      <x:c r="AE481" s="5" t="inlineStr">
        <x:is>
          <x:t xml:space="preserve">.tmp/cobblemon-1.7.3-source/common/src/main/resources/data/cobblemon/species/generation4/dusknoir.json</x:t>
        </x:is>
      </x:c>
      <x:c r="AF481" s="5" t="str">
        <x:f>"생활권|"&amp;K481</x:f>
        <x:v>생활권|비행</x:v>
      </x:c>
      <x:c r="AG481" s="5" t="str">
        <x:f>"지형|"&amp;L481</x:f>
        <x:v>지형|특수</x:v>
      </x:c>
      <x:c r="AH481" s="5" t="str">
        <x:f>"온도|"&amp;M481</x:f>
        <x:v>온도|온대</x:v>
      </x:c>
      <x:c r="AI481" s="5" t="str">
        <x:f>"습도|"&amp;N481</x:f>
        <x:v>습도|보통</x:v>
      </x:c>
      <x:c r="AJ481" s="5" t="str">
        <x:f>"날씨|"&amp;O481</x:f>
        <x:v>날씨|안개</x:v>
      </x:c>
      <x:c r="AK481" s="5" t="str">
        <x:f>"특수태그|"&amp;R481</x:f>
        <x:v>특수태그|영체</x:v>
      </x:c>
      <x:c r="AL481" s="5" t="str">
        <x:f>"원본서식지|"&amp;S481</x:f>
        <x:v>원본서식지|특수</x:v>
      </x:c>
      <x:c r="AM481" s="5" t="str">
        <x:f>"타입|"&amp;F481</x:f>
        <x:v>타입|고스트</x:v>
      </x:c>
      <x:c r="AN481" s="5" t="str">
        <x:f>"타입|"&amp;G481</x:f>
        <x:v>타입|</x:v>
      </x:c>
    </x:row>
    <x:row r="482" ht="24" customHeight="1">
      <x:c r="A482" s="5" t="n">
        <x:v>478</x:v>
      </x:c>
      <x:c r="B482" s="5" t="inlineStr">
        <x:is>
          <x:t xml:space="preserve">눈여아</x:t>
        </x:is>
      </x:c>
      <x:c r="C482" s="5" t="inlineStr">
        <x:is>
          <x:t xml:space="preserve">froslass</x:t>
        </x:is>
      </x:c>
      <x:c r="D482" s="5" t="inlineStr">
        <x:is>
          <x:t xml:space="preserve">Froslass</x:t>
        </x:is>
      </x:c>
      <x:c r="E482" s="5" t="n">
        <x:v>4</x:v>
      </x:c>
      <x:c r="F482" s="5" t="inlineStr">
        <x:is>
          <x:t xml:space="preserve">얼음</x:t>
        </x:is>
      </x:c>
      <x:c r="G482" s="5" t="inlineStr">
        <x:is>
          <x:t xml:space="preserve">고스트</x:t>
        </x:is>
      </x:c>
      <x:c r="H482" s="6" t="n">
        <x:v>26.6</x:v>
      </x:c>
      <x:c r="I482" s="5" t="n">
        <x:v>42</x:v>
      </x:c>
      <x:c r="J482" s="5" t="inlineStr">
        <x:is>
          <x:t xml:space="preserve">최종</x:t>
        </x:is>
      </x:c>
      <x:c r="K482" s="7" t="inlineStr">
        <x:is>
          <x:t xml:space="preserve">비행</x:t>
        </x:is>
      </x:c>
      <x:c r="L482" s="7" t="inlineStr">
        <x:is>
          <x:t xml:space="preserve">설원</x:t>
        </x:is>
      </x:c>
      <x:c r="M482" s="7" t="inlineStr">
        <x:is>
          <x:t xml:space="preserve">한랭</x:t>
        </x:is>
      </x:c>
      <x:c r="N482" s="7" t="inlineStr">
        <x:is>
          <x:t xml:space="preserve">보통</x:t>
        </x:is>
      </x:c>
      <x:c r="O482" s="7" t="inlineStr">
        <x:is>
          <x:t xml:space="preserve">눈</x:t>
        </x:is>
      </x:c>
      <x:c r="P482" s="7" t="inlineStr">
        <x:is>
          <x:t xml:space="preserve">밤</x:t>
        </x:is>
      </x:c>
      <x:c r="Q482" s="7" t="inlineStr">
        <x:is>
          <x:t xml:space="preserve">보통</x:t>
        </x:is>
      </x:c>
      <x:c r="R482" s="7" t="inlineStr">
        <x:is>
          <x:t xml:space="preserve">영체</x:t>
        </x:is>
      </x:c>
      <x:c r="S482" s="7" t="inlineStr">
        <x:is>
          <x:t xml:space="preserve">설원</x:t>
        </x:is>
      </x:c>
      <x:c r="T482" s="7" t="inlineStr">
        <x:is>
          <x:t xml:space="preserve"/>
        </x:is>
      </x:c>
      <x:c r="U482" s="8" t="str">
        <x:f>INDEX('서식지_점수'!$E$4:$P$4,1,MATCH(MAX('서식지_점수'!E482:P482),'서식지_점수'!E482:P482,0))</x:f>
        <x:v>산악</x:v>
      </x:c>
      <x:c r="V482" s="8" t="str">
        <x:f>IF(T482&lt;&gt;"",T482,U482)</x:f>
        <x:v>산악</x:v>
      </x:c>
      <x:c r="W482" s="8" t="str">
        <x:f>IFERROR(INDEX('서식지_점수'!$E$4:$P$4,1,MATCH(MAXIFS('서식지_점수'!E482:P482,'서식지_점수'!E482:P482,"&lt;"&amp;MAX('서식지_점수'!E482:P482)),'서식지_점수'!E482:P482,0)),"")</x:f>
        <x:v>평원</x:v>
      </x:c>
      <x:c r="X482" s="8" t="str">
        <x:f>IF(T482&lt;&gt;"","수동확정",IF(MAX('서식지_점수'!E482:P482)-LARGE('서식지_점수'!E482:P482,2)&gt;=15,"높음",IF(MAX('서식지_점수'!E482:P482)-LARGE('서식지_점수'!E482:P482,2)&gt;=8,"보통","검토필요")))</x:f>
        <x:v>검토필요</x:v>
      </x:c>
      <x:c r="Y482" s="9" t="n">
        <x:f>IF(Q482="전설",8,IF(Q482="희귀",7,IF(J482="기본",1,IF(J482="중간",3,IF(J482="최종",IF(I482="",5,IF(I482&lt;=20,3,IF(I482&lt;=35,4,IF(I482&lt;=50,6,7)))),IF(Q482="드묾",4,2))))))</x:f>
        <x:v>6</x:v>
      </x:c>
      <x:c r="Z482" s="5" t="inlineStr">
        <x:is>
          <x:t xml:space="preserve">#cobblemon:is_glacial; #cobblemon:is_overworld; #cobblemon:is_snowy; #cobblemon:is_tundra; #cobblemon:nether/is_frozen</x:t>
        </x:is>
      </x:c>
      <x:c r="AA482" s="5" t="inlineStr">
        <x:is>
          <x:t xml:space="preserve">common; uncommon</x:t>
        </x:is>
      </x:c>
      <x:c r="AB482" s="5" t="inlineStr">
        <x:is>
          <x:t xml:space="preserve">예</x:t>
        </x:is>
      </x:c>
      <x:c r="AC482" s="8" t="str">
        <x:f>IF(T482&lt;&gt;"","수동확정",IF(X482="검토필요","검토필요",IF(S482="","원본없음","초기완료")))</x:f>
        <x:v>검토필요</x:v>
      </x:c>
      <x:c r="AD482" s="7" t="inlineStr">
        <x:is>
          <x:t xml:space="preserve"/>
        </x:is>
      </x:c>
      <x:c r="AE482" s="5" t="inlineStr">
        <x:is>
          <x:t xml:space="preserve">.tmp/cobblemon-1.7.3-source/common/src/main/resources/data/cobblemon/species/generation4/froslass.json</x:t>
        </x:is>
      </x:c>
      <x:c r="AF482" s="5" t="str">
        <x:f>"생활권|"&amp;K482</x:f>
        <x:v>생활권|비행</x:v>
      </x:c>
      <x:c r="AG482" s="5" t="str">
        <x:f>"지형|"&amp;L482</x:f>
        <x:v>지형|설원</x:v>
      </x:c>
      <x:c r="AH482" s="5" t="str">
        <x:f>"온도|"&amp;M482</x:f>
        <x:v>온도|한랭</x:v>
      </x:c>
      <x:c r="AI482" s="5" t="str">
        <x:f>"습도|"&amp;N482</x:f>
        <x:v>습도|보통</x:v>
      </x:c>
      <x:c r="AJ482" s="5" t="str">
        <x:f>"날씨|"&amp;O482</x:f>
        <x:v>날씨|눈</x:v>
      </x:c>
      <x:c r="AK482" s="5" t="str">
        <x:f>"특수태그|"&amp;R482</x:f>
        <x:v>특수태그|영체</x:v>
      </x:c>
      <x:c r="AL482" s="5" t="str">
        <x:f>"원본서식지|"&amp;S482</x:f>
        <x:v>원본서식지|설원</x:v>
      </x:c>
      <x:c r="AM482" s="5" t="str">
        <x:f>"타입|"&amp;F482</x:f>
        <x:v>타입|얼음</x:v>
      </x:c>
      <x:c r="AN482" s="5" t="str">
        <x:f>"타입|"&amp;G482</x:f>
        <x:v>타입|고스트</x:v>
      </x:c>
    </x:row>
    <x:row r="483" ht="24" customHeight="1">
      <x:c r="A483" s="5" t="n">
        <x:v>479</x:v>
      </x:c>
      <x:c r="B483" s="5" t="inlineStr">
        <x:is>
          <x:t xml:space="preserve">로토무</x:t>
        </x:is>
      </x:c>
      <x:c r="C483" s="5" t="inlineStr">
        <x:is>
          <x:t xml:space="preserve">rotom</x:t>
        </x:is>
      </x:c>
      <x:c r="D483" s="5" t="inlineStr">
        <x:is>
          <x:t xml:space="preserve">Rotom</x:t>
        </x:is>
      </x:c>
      <x:c r="E483" s="5" t="n">
        <x:v>4</x:v>
      </x:c>
      <x:c r="F483" s="5" t="inlineStr">
        <x:is>
          <x:t xml:space="preserve">전기</x:t>
        </x:is>
      </x:c>
      <x:c r="G483" s="5" t="inlineStr">
        <x:is>
          <x:t xml:space="preserve">고스트</x:t>
        </x:is>
      </x:c>
      <x:c r="H483" s="6" t="n">
        <x:v>0.3</x:v>
      </x:c>
      <x:c r="I483" s="5" t="n"/>
      <x:c r="J483" s="5" t="inlineStr">
        <x:is>
          <x:t xml:space="preserve">무진화</x:t>
        </x:is>
      </x:c>
      <x:c r="K483" s="7" t="inlineStr">
        <x:is>
          <x:t xml:space="preserve">인공</x:t>
        </x:is>
      </x:c>
      <x:c r="L483" s="7" t="inlineStr">
        <x:is>
          <x:t xml:space="preserve">도시</x:t>
        </x:is>
      </x:c>
      <x:c r="M483" s="7" t="inlineStr">
        <x:is>
          <x:t xml:space="preserve">온대</x:t>
        </x:is>
      </x:c>
      <x:c r="N483" s="7" t="inlineStr">
        <x:is>
          <x:t xml:space="preserve">보통</x:t>
        </x:is>
      </x:c>
      <x:c r="O483" s="7" t="inlineStr">
        <x:is>
          <x:t xml:space="preserve">안개</x:t>
        </x:is>
      </x:c>
      <x:c r="P483" s="7" t="inlineStr">
        <x:is>
          <x:t xml:space="preserve">밤</x:t>
        </x:is>
      </x:c>
      <x:c r="Q483" s="7" t="inlineStr">
        <x:is>
          <x:t xml:space="preserve">드묾</x:t>
        </x:is>
      </x:c>
      <x:c r="R483" s="7" t="inlineStr">
        <x:is>
          <x:t xml:space="preserve">영체</x:t>
        </x:is>
      </x:c>
      <x:c r="S483" s="7" t="inlineStr">
        <x:is>
          <x:t xml:space="preserve"/>
        </x:is>
      </x:c>
      <x:c r="T483" s="7" t="inlineStr">
        <x:is>
          <x:t xml:space="preserve"/>
        </x:is>
      </x:c>
      <x:c r="U483" s="8" t="str">
        <x:f>INDEX('서식지_점수'!$E$4:$P$4,1,MATCH(MAX('서식지_점수'!E483:P483),'서식지_점수'!E483:P483,0))</x:f>
        <x:v>도시</x:v>
      </x:c>
      <x:c r="V483" s="8" t="str">
        <x:f>IF(T483&lt;&gt;"",T483,U483)</x:f>
        <x:v>도시</x:v>
      </x:c>
      <x:c r="W483" s="8" t="str">
        <x:f>IFERROR(INDEX('서식지_점수'!$E$4:$P$4,1,MATCH(MAXIFS('서식지_점수'!E483:P483,'서식지_점수'!E483:P483,"&lt;"&amp;MAX('서식지_점수'!E483:P483)),'서식지_점수'!E483:P483,0)),"")</x:f>
        <x:v>특수</x:v>
      </x:c>
      <x:c r="X483" s="8" t="str">
        <x:f>IF(T483&lt;&gt;"","수동확정",IF(MAX('서식지_점수'!E483:P483)-LARGE('서식지_점수'!E483:P483,2)&gt;=15,"높음",IF(MAX('서식지_점수'!E483:P483)-LARGE('서식지_점수'!E483:P483,2)&gt;=8,"보통","검토필요")))</x:f>
        <x:v>높음</x:v>
      </x:c>
      <x:c r="Y483" s="9" t="n">
        <x:f>IF(Q483="전설",8,IF(Q483="희귀",7,IF(J483="기본",1,IF(J483="중간",3,IF(J483="최종",IF(I483="",5,IF(I483&lt;=20,3,IF(I483&lt;=35,4,IF(I483&lt;=50,6,7)))),IF(Q483="드묾",4,2))))))</x:f>
        <x:v>4</x:v>
      </x:c>
      <x:c r="Z483" s="5" t="inlineStr">
        <x:is>
          <x:t xml:space="preserve">#cobblemon:is_overworld</x:t>
        </x:is>
      </x:c>
      <x:c r="AA483" s="5" t="inlineStr">
        <x:is>
          <x:t xml:space="preserve">rare</x:t>
        </x:is>
      </x:c>
      <x:c r="AB483" s="5" t="inlineStr">
        <x:is>
          <x:t xml:space="preserve">예</x:t>
        </x:is>
      </x:c>
      <x:c r="AC483" s="8" t="str">
        <x:f>IF(T483&lt;&gt;"","수동확정",IF(X483="검토필요","검토필요",IF(S483="","원본없음","초기완료")))</x:f>
        <x:v>원본없음</x:v>
      </x:c>
      <x:c r="AD483" s="7" t="inlineStr">
        <x:is>
          <x:t xml:space="preserve"/>
        </x:is>
      </x:c>
      <x:c r="AE483" s="5" t="inlineStr">
        <x:is>
          <x:t xml:space="preserve">.tmp/cobblemon-1.7.3-source/common/src/main/resources/data/cobblemon/species/generation4/rotom.json</x:t>
        </x:is>
      </x:c>
      <x:c r="AF483" s="5" t="str">
        <x:f>"생활권|"&amp;K483</x:f>
        <x:v>생활권|인공</x:v>
      </x:c>
      <x:c r="AG483" s="5" t="str">
        <x:f>"지형|"&amp;L483</x:f>
        <x:v>지형|도시</x:v>
      </x:c>
      <x:c r="AH483" s="5" t="str">
        <x:f>"온도|"&amp;M483</x:f>
        <x:v>온도|온대</x:v>
      </x:c>
      <x:c r="AI483" s="5" t="str">
        <x:f>"습도|"&amp;N483</x:f>
        <x:v>습도|보통</x:v>
      </x:c>
      <x:c r="AJ483" s="5" t="str">
        <x:f>"날씨|"&amp;O483</x:f>
        <x:v>날씨|안개</x:v>
      </x:c>
      <x:c r="AK483" s="5" t="str">
        <x:f>"특수태그|"&amp;R483</x:f>
        <x:v>특수태그|영체</x:v>
      </x:c>
      <x:c r="AL483" s="5" t="str">
        <x:f>"원본서식지|"&amp;S483</x:f>
        <x:v>원본서식지|</x:v>
      </x:c>
      <x:c r="AM483" s="5" t="str">
        <x:f>"타입|"&amp;F483</x:f>
        <x:v>타입|전기</x:v>
      </x:c>
      <x:c r="AN483" s="5" t="str">
        <x:f>"타입|"&amp;G483</x:f>
        <x:v>타입|고스트</x:v>
      </x:c>
    </x:row>
    <x:row r="484" ht="24" customHeight="1">
      <x:c r="A484" s="5" t="n">
        <x:v>480</x:v>
      </x:c>
      <x:c r="B484" s="5" t="inlineStr">
        <x:is>
          <x:t xml:space="preserve">유크시</x:t>
        </x:is>
      </x:c>
      <x:c r="C484" s="5" t="inlineStr">
        <x:is>
          <x:t xml:space="preserve">uxie</x:t>
        </x:is>
      </x:c>
      <x:c r="D484" s="5" t="inlineStr">
        <x:is>
          <x:t xml:space="preserve">Uxie</x:t>
        </x:is>
      </x:c>
      <x:c r="E484" s="5" t="n">
        <x:v>4</x:v>
      </x:c>
      <x:c r="F484" s="5" t="inlineStr">
        <x:is>
          <x:t xml:space="preserve">에스퍼</x:t>
        </x:is>
      </x:c>
      <x:c r="G484" s="5" t="inlineStr">
        <x:is>
          <x:t xml:space="preserve"/>
        </x:is>
      </x:c>
      <x:c r="H484" s="6" t="n">
        <x:v>0.3</x:v>
      </x:c>
      <x:c r="I484" s="5" t="n"/>
      <x:c r="J484" s="5" t="inlineStr">
        <x:is>
          <x:t xml:space="preserve">무진화</x:t>
        </x:is>
      </x:c>
      <x:c r="K484" s="7" t="inlineStr">
        <x:is>
          <x:t xml:space="preserve">비행</x:t>
        </x:is>
      </x:c>
      <x:c r="L484" s="7" t="inlineStr">
        <x:is>
          <x:t xml:space="preserve">개활지</x:t>
        </x:is>
      </x:c>
      <x:c r="M484" s="7" t="inlineStr">
        <x:is>
          <x:t xml:space="preserve">온대</x:t>
        </x:is>
      </x:c>
      <x:c r="N484" s="7" t="inlineStr">
        <x:is>
          <x:t xml:space="preserve">보통</x:t>
        </x:is>
      </x:c>
      <x:c r="O484" s="7" t="inlineStr">
        <x:is>
          <x:t xml:space="preserve">무관</x:t>
        </x:is>
      </x:c>
      <x:c r="P484" s="7" t="inlineStr">
        <x:is>
          <x:t xml:space="preserve">무관</x:t>
        </x:is>
      </x:c>
      <x:c r="Q484" s="7" t="inlineStr">
        <x:is>
          <x:t xml:space="preserve">전설</x:t>
        </x:is>
      </x:c>
      <x:c r="R484" s="7" t="inlineStr">
        <x:is>
          <x:t xml:space="preserve">전설</x:t>
        </x:is>
      </x:c>
      <x:c r="S484" s="7" t="inlineStr">
        <x:is>
          <x:t xml:space="preserve"/>
        </x:is>
      </x:c>
      <x:c r="T484" s="7" t="inlineStr">
        <x:is>
          <x:t xml:space="preserve"/>
        </x:is>
      </x:c>
      <x:c r="U484" s="8" t="str">
        <x:f>INDEX('서식지_점수'!$E$4:$P$4,1,MATCH(MAX('서식지_점수'!E484:P484),'서식지_점수'!E484:P484,0))</x:f>
        <x:v>산악</x:v>
      </x:c>
      <x:c r="V484" s="8" t="str">
        <x:f>IF(T484&lt;&gt;"",T484,U484)</x:f>
        <x:v>산악</x:v>
      </x:c>
      <x:c r="W484" s="8" t="str">
        <x:f>IFERROR(INDEX('서식지_점수'!$E$4:$P$4,1,MATCH(MAXIFS('서식지_점수'!E484:P484,'서식지_점수'!E484:P484,"&lt;"&amp;MAX('서식지_점수'!E484:P484)),'서식지_점수'!E484:P484,0)),"")</x:f>
        <x:v>평원</x:v>
      </x:c>
      <x:c r="X484" s="8" t="str">
        <x:f>IF(T484&lt;&gt;"","수동확정",IF(MAX('서식지_점수'!E484:P484)-LARGE('서식지_점수'!E484:P484,2)&gt;=15,"높음",IF(MAX('서식지_점수'!E484:P484)-LARGE('서식지_점수'!E484:P484,2)&gt;=8,"보통","검토필요")))</x:f>
        <x:v>검토필요</x:v>
      </x:c>
      <x:c r="Y484" s="9" t="n">
        <x:f>IF(Q484="전설",8,IF(Q484="희귀",7,IF(J484="기본",1,IF(J484="중간",3,IF(J484="최종",IF(I484="",5,IF(I484&lt;=20,3,IF(I484&lt;=35,4,IF(I484&lt;=50,6,7)))),IF(Q484="드묾",4,2))))))</x:f>
        <x:v>8</x:v>
      </x:c>
      <x:c r="Z484" s="5" t="inlineStr">
        <x:is>
          <x:t xml:space="preserve">cobbleverse:custom_spawn</x:t>
        </x:is>
      </x:c>
      <x:c r="AA484" s="5" t="inlineStr">
        <x:is>
          <x:t xml:space="preserve">ultra-rare</x:t>
        </x:is>
      </x:c>
      <x:c r="AB484" s="5" t="inlineStr">
        <x:is>
          <x:t xml:space="preserve">아니오</x:t>
        </x:is>
      </x:c>
      <x:c r="AC484" s="8" t="str">
        <x:f>IF(T484&lt;&gt;"","수동확정",IF(X484="검토필요","검토필요",IF(S484="","원본없음","초기완료")))</x:f>
        <x:v>검토필요</x:v>
      </x:c>
      <x:c r="AD484" s="7" t="inlineStr">
        <x:is>
          <x:t xml:space="preserve"/>
        </x:is>
      </x:c>
      <x:c r="AE484" s="5" t="inlineStr">
        <x:is>
          <x:t xml:space="preserve">.tmp/cobblemon-1.7.3-source/common/src/main/resources/data/cobblemon/species/generation4/uxie.json</x:t>
        </x:is>
      </x:c>
      <x:c r="AF484" s="5" t="str">
        <x:f>"생활권|"&amp;K484</x:f>
        <x:v>생활권|비행</x:v>
      </x:c>
      <x:c r="AG484" s="5" t="str">
        <x:f>"지형|"&amp;L484</x:f>
        <x:v>지형|개활지</x:v>
      </x:c>
      <x:c r="AH484" s="5" t="str">
        <x:f>"온도|"&amp;M484</x:f>
        <x:v>온도|온대</x:v>
      </x:c>
      <x:c r="AI484" s="5" t="str">
        <x:f>"습도|"&amp;N484</x:f>
        <x:v>습도|보통</x:v>
      </x:c>
      <x:c r="AJ484" s="5" t="str">
        <x:f>"날씨|"&amp;O484</x:f>
        <x:v>날씨|무관</x:v>
      </x:c>
      <x:c r="AK484" s="5" t="str">
        <x:f>"특수태그|"&amp;R484</x:f>
        <x:v>특수태그|전설</x:v>
      </x:c>
      <x:c r="AL484" s="5" t="str">
        <x:f>"원본서식지|"&amp;S484</x:f>
        <x:v>원본서식지|</x:v>
      </x:c>
      <x:c r="AM484" s="5" t="str">
        <x:f>"타입|"&amp;F484</x:f>
        <x:v>타입|에스퍼</x:v>
      </x:c>
      <x:c r="AN484" s="5" t="str">
        <x:f>"타입|"&amp;G484</x:f>
        <x:v>타입|</x:v>
      </x:c>
    </x:row>
    <x:row r="485" ht="24" customHeight="1">
      <x:c r="A485" s="5" t="n">
        <x:v>481</x:v>
      </x:c>
      <x:c r="B485" s="5" t="inlineStr">
        <x:is>
          <x:t xml:space="preserve">엠라이트</x:t>
        </x:is>
      </x:c>
      <x:c r="C485" s="5" t="inlineStr">
        <x:is>
          <x:t xml:space="preserve">mesprit</x:t>
        </x:is>
      </x:c>
      <x:c r="D485" s="5" t="inlineStr">
        <x:is>
          <x:t xml:space="preserve">Mesprit</x:t>
        </x:is>
      </x:c>
      <x:c r="E485" s="5" t="n">
        <x:v>4</x:v>
      </x:c>
      <x:c r="F485" s="5" t="inlineStr">
        <x:is>
          <x:t xml:space="preserve">에스퍼</x:t>
        </x:is>
      </x:c>
      <x:c r="G485" s="5" t="inlineStr">
        <x:is>
          <x:t xml:space="preserve"/>
        </x:is>
      </x:c>
      <x:c r="H485" s="6" t="n">
        <x:v>0.3</x:v>
      </x:c>
      <x:c r="I485" s="5" t="n"/>
      <x:c r="J485" s="5" t="inlineStr">
        <x:is>
          <x:t xml:space="preserve">무진화</x:t>
        </x:is>
      </x:c>
      <x:c r="K485" s="7" t="inlineStr">
        <x:is>
          <x:t xml:space="preserve">비행</x:t>
        </x:is>
      </x:c>
      <x:c r="L485" s="7" t="inlineStr">
        <x:is>
          <x:t xml:space="preserve">개활지</x:t>
        </x:is>
      </x:c>
      <x:c r="M485" s="7" t="inlineStr">
        <x:is>
          <x:t xml:space="preserve">온대</x:t>
        </x:is>
      </x:c>
      <x:c r="N485" s="7" t="inlineStr">
        <x:is>
          <x:t xml:space="preserve">보통</x:t>
        </x:is>
      </x:c>
      <x:c r="O485" s="7" t="inlineStr">
        <x:is>
          <x:t xml:space="preserve">무관</x:t>
        </x:is>
      </x:c>
      <x:c r="P485" s="7" t="inlineStr">
        <x:is>
          <x:t xml:space="preserve">무관</x:t>
        </x:is>
      </x:c>
      <x:c r="Q485" s="7" t="inlineStr">
        <x:is>
          <x:t xml:space="preserve">전설</x:t>
        </x:is>
      </x:c>
      <x:c r="R485" s="7" t="inlineStr">
        <x:is>
          <x:t xml:space="preserve">전설</x:t>
        </x:is>
      </x:c>
      <x:c r="S485" s="7" t="inlineStr">
        <x:is>
          <x:t xml:space="preserve"/>
        </x:is>
      </x:c>
      <x:c r="T485" s="7" t="inlineStr">
        <x:is>
          <x:t xml:space="preserve"/>
        </x:is>
      </x:c>
      <x:c r="U485" s="8" t="str">
        <x:f>INDEX('서식지_점수'!$E$4:$P$4,1,MATCH(MAX('서식지_점수'!E485:P485),'서식지_점수'!E485:P485,0))</x:f>
        <x:v>산악</x:v>
      </x:c>
      <x:c r="V485" s="8" t="str">
        <x:f>IF(T485&lt;&gt;"",T485,U485)</x:f>
        <x:v>산악</x:v>
      </x:c>
      <x:c r="W485" s="8" t="str">
        <x:f>IFERROR(INDEX('서식지_점수'!$E$4:$P$4,1,MATCH(MAXIFS('서식지_점수'!E485:P485,'서식지_점수'!E485:P485,"&lt;"&amp;MAX('서식지_점수'!E485:P485)),'서식지_점수'!E485:P485,0)),"")</x:f>
        <x:v>평원</x:v>
      </x:c>
      <x:c r="X485" s="8" t="str">
        <x:f>IF(T485&lt;&gt;"","수동확정",IF(MAX('서식지_점수'!E485:P485)-LARGE('서식지_점수'!E485:P485,2)&gt;=15,"높음",IF(MAX('서식지_점수'!E485:P485)-LARGE('서식지_점수'!E485:P485,2)&gt;=8,"보통","검토필요")))</x:f>
        <x:v>검토필요</x:v>
      </x:c>
      <x:c r="Y485" s="9" t="n">
        <x:f>IF(Q485="전설",8,IF(Q485="희귀",7,IF(J485="기본",1,IF(J485="중간",3,IF(J485="최종",IF(I485="",5,IF(I485&lt;=20,3,IF(I485&lt;=35,4,IF(I485&lt;=50,6,7)))),IF(Q485="드묾",4,2))))))</x:f>
        <x:v>8</x:v>
      </x:c>
      <x:c r="Z485" s="5" t="inlineStr">
        <x:is>
          <x:t xml:space="preserve">cobbleverse:custom_spawn</x:t>
        </x:is>
      </x:c>
      <x:c r="AA485" s="5" t="inlineStr">
        <x:is>
          <x:t xml:space="preserve">ultra-rare</x:t>
        </x:is>
      </x:c>
      <x:c r="AB485" s="5" t="inlineStr">
        <x:is>
          <x:t xml:space="preserve">아니오</x:t>
        </x:is>
      </x:c>
      <x:c r="AC485" s="8" t="str">
        <x:f>IF(T485&lt;&gt;"","수동확정",IF(X485="검토필요","검토필요",IF(S485="","원본없음","초기완료")))</x:f>
        <x:v>검토필요</x:v>
      </x:c>
      <x:c r="AD485" s="7" t="inlineStr">
        <x:is>
          <x:t xml:space="preserve"/>
        </x:is>
      </x:c>
      <x:c r="AE485" s="5" t="inlineStr">
        <x:is>
          <x:t xml:space="preserve">.tmp/cobblemon-1.7.3-source/common/src/main/resources/data/cobblemon/species/generation4/mesprit.json</x:t>
        </x:is>
      </x:c>
      <x:c r="AF485" s="5" t="str">
        <x:f>"생활권|"&amp;K485</x:f>
        <x:v>생활권|비행</x:v>
      </x:c>
      <x:c r="AG485" s="5" t="str">
        <x:f>"지형|"&amp;L485</x:f>
        <x:v>지형|개활지</x:v>
      </x:c>
      <x:c r="AH485" s="5" t="str">
        <x:f>"온도|"&amp;M485</x:f>
        <x:v>온도|온대</x:v>
      </x:c>
      <x:c r="AI485" s="5" t="str">
        <x:f>"습도|"&amp;N485</x:f>
        <x:v>습도|보통</x:v>
      </x:c>
      <x:c r="AJ485" s="5" t="str">
        <x:f>"날씨|"&amp;O485</x:f>
        <x:v>날씨|무관</x:v>
      </x:c>
      <x:c r="AK485" s="5" t="str">
        <x:f>"특수태그|"&amp;R485</x:f>
        <x:v>특수태그|전설</x:v>
      </x:c>
      <x:c r="AL485" s="5" t="str">
        <x:f>"원본서식지|"&amp;S485</x:f>
        <x:v>원본서식지|</x:v>
      </x:c>
      <x:c r="AM485" s="5" t="str">
        <x:f>"타입|"&amp;F485</x:f>
        <x:v>타입|에스퍼</x:v>
      </x:c>
      <x:c r="AN485" s="5" t="str">
        <x:f>"타입|"&amp;G485</x:f>
        <x:v>타입|</x:v>
      </x:c>
    </x:row>
    <x:row r="486" ht="24" customHeight="1">
      <x:c r="A486" s="5" t="n">
        <x:v>482</x:v>
      </x:c>
      <x:c r="B486" s="5" t="inlineStr">
        <x:is>
          <x:t xml:space="preserve">아그놈</x:t>
        </x:is>
      </x:c>
      <x:c r="C486" s="5" t="inlineStr">
        <x:is>
          <x:t xml:space="preserve">azelf</x:t>
        </x:is>
      </x:c>
      <x:c r="D486" s="5" t="inlineStr">
        <x:is>
          <x:t xml:space="preserve">Azelf</x:t>
        </x:is>
      </x:c>
      <x:c r="E486" s="5" t="n">
        <x:v>4</x:v>
      </x:c>
      <x:c r="F486" s="5" t="inlineStr">
        <x:is>
          <x:t xml:space="preserve">에스퍼</x:t>
        </x:is>
      </x:c>
      <x:c r="G486" s="5" t="inlineStr">
        <x:is>
          <x:t xml:space="preserve"/>
        </x:is>
      </x:c>
      <x:c r="H486" s="6" t="n">
        <x:v>0.3</x:v>
      </x:c>
      <x:c r="I486" s="5" t="n"/>
      <x:c r="J486" s="5" t="inlineStr">
        <x:is>
          <x:t xml:space="preserve">무진화</x:t>
        </x:is>
      </x:c>
      <x:c r="K486" s="7" t="inlineStr">
        <x:is>
          <x:t xml:space="preserve">비행</x:t>
        </x:is>
      </x:c>
      <x:c r="L486" s="7" t="inlineStr">
        <x:is>
          <x:t xml:space="preserve">개활지</x:t>
        </x:is>
      </x:c>
      <x:c r="M486" s="7" t="inlineStr">
        <x:is>
          <x:t xml:space="preserve">온대</x:t>
        </x:is>
      </x:c>
      <x:c r="N486" s="7" t="inlineStr">
        <x:is>
          <x:t xml:space="preserve">보통</x:t>
        </x:is>
      </x:c>
      <x:c r="O486" s="7" t="inlineStr">
        <x:is>
          <x:t xml:space="preserve">무관</x:t>
        </x:is>
      </x:c>
      <x:c r="P486" s="7" t="inlineStr">
        <x:is>
          <x:t xml:space="preserve">무관</x:t>
        </x:is>
      </x:c>
      <x:c r="Q486" s="7" t="inlineStr">
        <x:is>
          <x:t xml:space="preserve">전설</x:t>
        </x:is>
      </x:c>
      <x:c r="R486" s="7" t="inlineStr">
        <x:is>
          <x:t xml:space="preserve">전설</x:t>
        </x:is>
      </x:c>
      <x:c r="S486" s="7" t="inlineStr">
        <x:is>
          <x:t xml:space="preserve"/>
        </x:is>
      </x:c>
      <x:c r="T486" s="7" t="inlineStr">
        <x:is>
          <x:t xml:space="preserve"/>
        </x:is>
      </x:c>
      <x:c r="U486" s="8" t="str">
        <x:f>INDEX('서식지_점수'!$E$4:$P$4,1,MATCH(MAX('서식지_점수'!E486:P486),'서식지_점수'!E486:P486,0))</x:f>
        <x:v>산악</x:v>
      </x:c>
      <x:c r="V486" s="8" t="str">
        <x:f>IF(T486&lt;&gt;"",T486,U486)</x:f>
        <x:v>산악</x:v>
      </x:c>
      <x:c r="W486" s="8" t="str">
        <x:f>IFERROR(INDEX('서식지_점수'!$E$4:$P$4,1,MATCH(MAXIFS('서식지_점수'!E486:P486,'서식지_점수'!E486:P486,"&lt;"&amp;MAX('서식지_점수'!E486:P486)),'서식지_점수'!E486:P486,0)),"")</x:f>
        <x:v>평원</x:v>
      </x:c>
      <x:c r="X486" s="8" t="str">
        <x:f>IF(T486&lt;&gt;"","수동확정",IF(MAX('서식지_점수'!E486:P486)-LARGE('서식지_점수'!E486:P486,2)&gt;=15,"높음",IF(MAX('서식지_점수'!E486:P486)-LARGE('서식지_점수'!E486:P486,2)&gt;=8,"보통","검토필요")))</x:f>
        <x:v>검토필요</x:v>
      </x:c>
      <x:c r="Y486" s="9" t="n">
        <x:f>IF(Q486="전설",8,IF(Q486="희귀",7,IF(J486="기본",1,IF(J486="중간",3,IF(J486="최종",IF(I486="",5,IF(I486&lt;=20,3,IF(I486&lt;=35,4,IF(I486&lt;=50,6,7)))),IF(Q486="드묾",4,2))))))</x:f>
        <x:v>8</x:v>
      </x:c>
      <x:c r="Z486" s="5" t="inlineStr">
        <x:is>
          <x:t xml:space="preserve">cobbleverse:custom_spawn</x:t>
        </x:is>
      </x:c>
      <x:c r="AA486" s="5" t="inlineStr">
        <x:is>
          <x:t xml:space="preserve">ultra-rare</x:t>
        </x:is>
      </x:c>
      <x:c r="AB486" s="5" t="inlineStr">
        <x:is>
          <x:t xml:space="preserve">아니오</x:t>
        </x:is>
      </x:c>
      <x:c r="AC486" s="8" t="str">
        <x:f>IF(T486&lt;&gt;"","수동확정",IF(X486="검토필요","검토필요",IF(S486="","원본없음","초기완료")))</x:f>
        <x:v>검토필요</x:v>
      </x:c>
      <x:c r="AD486" s="7" t="inlineStr">
        <x:is>
          <x:t xml:space="preserve"/>
        </x:is>
      </x:c>
      <x:c r="AE486" s="5" t="inlineStr">
        <x:is>
          <x:t xml:space="preserve">.tmp/cobblemon-1.7.3-source/common/src/main/resources/data/cobblemon/species/generation4/azelf.json</x:t>
        </x:is>
      </x:c>
      <x:c r="AF486" s="5" t="str">
        <x:f>"생활권|"&amp;K486</x:f>
        <x:v>생활권|비행</x:v>
      </x:c>
      <x:c r="AG486" s="5" t="str">
        <x:f>"지형|"&amp;L486</x:f>
        <x:v>지형|개활지</x:v>
      </x:c>
      <x:c r="AH486" s="5" t="str">
        <x:f>"온도|"&amp;M486</x:f>
        <x:v>온도|온대</x:v>
      </x:c>
      <x:c r="AI486" s="5" t="str">
        <x:f>"습도|"&amp;N486</x:f>
        <x:v>습도|보통</x:v>
      </x:c>
      <x:c r="AJ486" s="5" t="str">
        <x:f>"날씨|"&amp;O486</x:f>
        <x:v>날씨|무관</x:v>
      </x:c>
      <x:c r="AK486" s="5" t="str">
        <x:f>"특수태그|"&amp;R486</x:f>
        <x:v>특수태그|전설</x:v>
      </x:c>
      <x:c r="AL486" s="5" t="str">
        <x:f>"원본서식지|"&amp;S486</x:f>
        <x:v>원본서식지|</x:v>
      </x:c>
      <x:c r="AM486" s="5" t="str">
        <x:f>"타입|"&amp;F486</x:f>
        <x:v>타입|에스퍼</x:v>
      </x:c>
      <x:c r="AN486" s="5" t="str">
        <x:f>"타입|"&amp;G486</x:f>
        <x:v>타입|</x:v>
      </x:c>
    </x:row>
    <x:row r="487" ht="24" customHeight="1">
      <x:c r="A487" s="5" t="n">
        <x:v>483</x:v>
      </x:c>
      <x:c r="B487" s="5" t="inlineStr">
        <x:is>
          <x:t xml:space="preserve">디아루가</x:t>
        </x:is>
      </x:c>
      <x:c r="C487" s="5" t="inlineStr">
        <x:is>
          <x:t xml:space="preserve">dialga</x:t>
        </x:is>
      </x:c>
      <x:c r="D487" s="5" t="inlineStr">
        <x:is>
          <x:t xml:space="preserve">Dialga</x:t>
        </x:is>
      </x:c>
      <x:c r="E487" s="5" t="n">
        <x:v>4</x:v>
      </x:c>
      <x:c r="F487" s="5" t="inlineStr">
        <x:is>
          <x:t xml:space="preserve">강철</x:t>
        </x:is>
      </x:c>
      <x:c r="G487" s="5" t="inlineStr">
        <x:is>
          <x:t xml:space="preserve">드래곤</x:t>
        </x:is>
      </x:c>
      <x:c r="H487" s="6" t="n">
        <x:v>683</x:v>
      </x:c>
      <x:c r="I487" s="5" t="n"/>
      <x:c r="J487" s="5" t="inlineStr">
        <x:is>
          <x:t xml:space="preserve">무진화</x:t>
        </x:is>
      </x:c>
      <x:c r="K487" s="7" t="inlineStr">
        <x:is>
          <x:t xml:space="preserve">비행</x:t>
        </x:is>
      </x:c>
      <x:c r="L487" s="7" t="inlineStr">
        <x:is>
          <x:t xml:space="preserve">개활지</x:t>
        </x:is>
      </x:c>
      <x:c r="M487" s="7" t="inlineStr">
        <x:is>
          <x:t xml:space="preserve">온대</x:t>
        </x:is>
      </x:c>
      <x:c r="N487" s="7" t="inlineStr">
        <x:is>
          <x:t xml:space="preserve">보통</x:t>
        </x:is>
      </x:c>
      <x:c r="O487" s="7" t="inlineStr">
        <x:is>
          <x:t xml:space="preserve">무관</x:t>
        </x:is>
      </x:c>
      <x:c r="P487" s="7" t="inlineStr">
        <x:is>
          <x:t xml:space="preserve">무관</x:t>
        </x:is>
      </x:c>
      <x:c r="Q487" s="7" t="inlineStr">
        <x:is>
          <x:t xml:space="preserve">전설</x:t>
        </x:is>
      </x:c>
      <x:c r="R487" s="7" t="inlineStr">
        <x:is>
          <x:t xml:space="preserve">전설</x:t>
        </x:is>
      </x:c>
      <x:c r="S487" s="7" t="inlineStr">
        <x:is>
          <x:t xml:space="preserve"/>
        </x:is>
      </x:c>
      <x:c r="T487" s="7" t="inlineStr">
        <x:is>
          <x:t xml:space="preserve"/>
        </x:is>
      </x:c>
      <x:c r="U487" s="8" t="str">
        <x:f>INDEX('서식지_점수'!$E$4:$P$4,1,MATCH(MAX('서식지_점수'!E487:P487),'서식지_점수'!E487:P487,0))</x:f>
        <x:v>산악</x:v>
      </x:c>
      <x:c r="V487" s="8" t="str">
        <x:f>IF(T487&lt;&gt;"",T487,U487)</x:f>
        <x:v>산악</x:v>
      </x:c>
      <x:c r="W487" s="8" t="str">
        <x:f>IFERROR(INDEX('서식지_점수'!$E$4:$P$4,1,MATCH(MAXIFS('서식지_점수'!E487:P487,'서식지_점수'!E487:P487,"&lt;"&amp;MAX('서식지_점수'!E487:P487)),'서식지_점수'!E487:P487,0)),"")</x:f>
        <x:v>평원</x:v>
      </x:c>
      <x:c r="X487" s="8" t="str">
        <x:f>IF(T487&lt;&gt;"","수동확정",IF(MAX('서식지_점수'!E487:P487)-LARGE('서식지_점수'!E487:P487,2)&gt;=15,"높음",IF(MAX('서식지_점수'!E487:P487)-LARGE('서식지_점수'!E487:P487,2)&gt;=8,"보통","검토필요")))</x:f>
        <x:v>검토필요</x:v>
      </x:c>
      <x:c r="Y487" s="9" t="n">
        <x:f>IF(Q487="전설",8,IF(Q487="희귀",7,IF(J487="기본",1,IF(J487="중간",3,IF(J487="최종",IF(I487="",5,IF(I487&lt;=20,3,IF(I487&lt;=35,4,IF(I487&lt;=50,6,7)))),IF(Q487="드묾",4,2))))))</x:f>
        <x:v>8</x:v>
      </x:c>
      <x:c r="Z487" s="5" t="inlineStr">
        <x:is>
          <x:t xml:space="preserve">cobbleverse:custom_spawn</x:t>
        </x:is>
      </x:c>
      <x:c r="AA487" s="5" t="inlineStr">
        <x:is>
          <x:t xml:space="preserve">ultra-rare</x:t>
        </x:is>
      </x:c>
      <x:c r="AB487" s="5" t="inlineStr">
        <x:is>
          <x:t xml:space="preserve">아니오</x:t>
        </x:is>
      </x:c>
      <x:c r="AC487" s="8" t="str">
        <x:f>IF(T487&lt;&gt;"","수동확정",IF(X487="검토필요","검토필요",IF(S487="","원본없음","초기완료")))</x:f>
        <x:v>검토필요</x:v>
      </x:c>
      <x:c r="AD487" s="7" t="inlineStr">
        <x:is>
          <x:t xml:space="preserve"/>
        </x:is>
      </x:c>
      <x:c r="AE487" s="5" t="inlineStr">
        <x:is>
          <x:t xml:space="preserve">.tmp/cobblemon-1.7.3-source/common/src/main/resources/data/cobblemon/species/generation4/dialga.json</x:t>
        </x:is>
      </x:c>
      <x:c r="AF487" s="5" t="str">
        <x:f>"생활권|"&amp;K487</x:f>
        <x:v>생활권|비행</x:v>
      </x:c>
      <x:c r="AG487" s="5" t="str">
        <x:f>"지형|"&amp;L487</x:f>
        <x:v>지형|개활지</x:v>
      </x:c>
      <x:c r="AH487" s="5" t="str">
        <x:f>"온도|"&amp;M487</x:f>
        <x:v>온도|온대</x:v>
      </x:c>
      <x:c r="AI487" s="5" t="str">
        <x:f>"습도|"&amp;N487</x:f>
        <x:v>습도|보통</x:v>
      </x:c>
      <x:c r="AJ487" s="5" t="str">
        <x:f>"날씨|"&amp;O487</x:f>
        <x:v>날씨|무관</x:v>
      </x:c>
      <x:c r="AK487" s="5" t="str">
        <x:f>"특수태그|"&amp;R487</x:f>
        <x:v>특수태그|전설</x:v>
      </x:c>
      <x:c r="AL487" s="5" t="str">
        <x:f>"원본서식지|"&amp;S487</x:f>
        <x:v>원본서식지|</x:v>
      </x:c>
      <x:c r="AM487" s="5" t="str">
        <x:f>"타입|"&amp;F487</x:f>
        <x:v>타입|강철</x:v>
      </x:c>
      <x:c r="AN487" s="5" t="str">
        <x:f>"타입|"&amp;G487</x:f>
        <x:v>타입|드래곤</x:v>
      </x:c>
    </x:row>
    <x:row r="488" ht="24" customHeight="1">
      <x:c r="A488" s="5" t="n">
        <x:v>484</x:v>
      </x:c>
      <x:c r="B488" s="5" t="inlineStr">
        <x:is>
          <x:t xml:space="preserve">펄기아</x:t>
        </x:is>
      </x:c>
      <x:c r="C488" s="5" t="inlineStr">
        <x:is>
          <x:t xml:space="preserve">palkia</x:t>
        </x:is>
      </x:c>
      <x:c r="D488" s="5" t="inlineStr">
        <x:is>
          <x:t xml:space="preserve">Palkia</x:t>
        </x:is>
      </x:c>
      <x:c r="E488" s="5" t="n">
        <x:v>4</x:v>
      </x:c>
      <x:c r="F488" s="5" t="inlineStr">
        <x:is>
          <x:t xml:space="preserve">물</x:t>
        </x:is>
      </x:c>
      <x:c r="G488" s="5" t="inlineStr">
        <x:is>
          <x:t xml:space="preserve">드래곤</x:t>
        </x:is>
      </x:c>
      <x:c r="H488" s="6" t="n">
        <x:v>336</x:v>
      </x:c>
      <x:c r="I488" s="5" t="n"/>
      <x:c r="J488" s="5" t="inlineStr">
        <x:is>
          <x:t xml:space="preserve">무진화</x:t>
        </x:is>
      </x:c>
      <x:c r="K488" s="7" t="inlineStr">
        <x:is>
          <x:t xml:space="preserve">비행</x:t>
        </x:is>
      </x:c>
      <x:c r="L488" s="7" t="inlineStr">
        <x:is>
          <x:t xml:space="preserve">담수</x:t>
        </x:is>
      </x:c>
      <x:c r="M488" s="7" t="inlineStr">
        <x:is>
          <x:t xml:space="preserve">온대</x:t>
        </x:is>
      </x:c>
      <x:c r="N488" s="7" t="inlineStr">
        <x:is>
          <x:t xml:space="preserve">보통</x:t>
        </x:is>
      </x:c>
      <x:c r="O488" s="7" t="inlineStr">
        <x:is>
          <x:t xml:space="preserve">무관</x:t>
        </x:is>
      </x:c>
      <x:c r="P488" s="7" t="inlineStr">
        <x:is>
          <x:t xml:space="preserve">무관</x:t>
        </x:is>
      </x:c>
      <x:c r="Q488" s="7" t="inlineStr">
        <x:is>
          <x:t xml:space="preserve">전설</x:t>
        </x:is>
      </x:c>
      <x:c r="R488" s="7" t="inlineStr">
        <x:is>
          <x:t xml:space="preserve">전설</x:t>
        </x:is>
      </x:c>
      <x:c r="S488" s="7" t="inlineStr">
        <x:is>
          <x:t xml:space="preserve"/>
        </x:is>
      </x:c>
      <x:c r="T488" s="7" t="inlineStr">
        <x:is>
          <x:t xml:space="preserve"/>
        </x:is>
      </x:c>
      <x:c r="U488" s="8" t="str">
        <x:f>INDEX('서식지_점수'!$E$4:$P$4,1,MATCH(MAX('서식지_점수'!E488:P488),'서식지_점수'!E488:P488,0))</x:f>
        <x:v>산악</x:v>
      </x:c>
      <x:c r="V488" s="8" t="str">
        <x:f>IF(T488&lt;&gt;"",T488,U488)</x:f>
        <x:v>산악</x:v>
      </x:c>
      <x:c r="W488" s="8" t="str">
        <x:f>IFERROR(INDEX('서식지_점수'!$E$4:$P$4,1,MATCH(MAXIFS('서식지_점수'!E488:P488,'서식지_점수'!E488:P488,"&lt;"&amp;MAX('서식지_점수'!E488:P488)),'서식지_점수'!E488:P488,0)),"")</x:f>
        <x:v>평원</x:v>
      </x:c>
      <x:c r="X488" s="8" t="str">
        <x:f>IF(T488&lt;&gt;"","수동확정",IF(MAX('서식지_점수'!E488:P488)-LARGE('서식지_점수'!E488:P488,2)&gt;=15,"높음",IF(MAX('서식지_점수'!E488:P488)-LARGE('서식지_점수'!E488:P488,2)&gt;=8,"보통","검토필요")))</x:f>
        <x:v>검토필요</x:v>
      </x:c>
      <x:c r="Y488" s="9" t="n">
        <x:f>IF(Q488="전설",8,IF(Q488="희귀",7,IF(J488="기본",1,IF(J488="중간",3,IF(J488="최종",IF(I488="",5,IF(I488&lt;=20,3,IF(I488&lt;=35,4,IF(I488&lt;=50,6,7)))),IF(Q488="드묾",4,2))))))</x:f>
        <x:v>8</x:v>
      </x:c>
      <x:c r="Z488" s="5" t="inlineStr">
        <x:is>
          <x:t xml:space="preserve">cobbleverse:custom_spawn</x:t>
        </x:is>
      </x:c>
      <x:c r="AA488" s="5" t="inlineStr">
        <x:is>
          <x:t xml:space="preserve">ultra-rare</x:t>
        </x:is>
      </x:c>
      <x:c r="AB488" s="5" t="inlineStr">
        <x:is>
          <x:t xml:space="preserve">아니오</x:t>
        </x:is>
      </x:c>
      <x:c r="AC488" s="8" t="str">
        <x:f>IF(T488&lt;&gt;"","수동확정",IF(X488="검토필요","검토필요",IF(S488="","원본없음","초기완료")))</x:f>
        <x:v>검토필요</x:v>
      </x:c>
      <x:c r="AD488" s="7" t="inlineStr">
        <x:is>
          <x:t xml:space="preserve"/>
        </x:is>
      </x:c>
      <x:c r="AE488" s="5" t="inlineStr">
        <x:is>
          <x:t xml:space="preserve">.tmp/cobblemon-1.7.3-source/common/src/main/resources/data/cobblemon/species/generation4/palkia.json</x:t>
        </x:is>
      </x:c>
      <x:c r="AF488" s="5" t="str">
        <x:f>"생활권|"&amp;K488</x:f>
        <x:v>생활권|비행</x:v>
      </x:c>
      <x:c r="AG488" s="5" t="str">
        <x:f>"지형|"&amp;L488</x:f>
        <x:v>지형|담수</x:v>
      </x:c>
      <x:c r="AH488" s="5" t="str">
        <x:f>"온도|"&amp;M488</x:f>
        <x:v>온도|온대</x:v>
      </x:c>
      <x:c r="AI488" s="5" t="str">
        <x:f>"습도|"&amp;N488</x:f>
        <x:v>습도|보통</x:v>
      </x:c>
      <x:c r="AJ488" s="5" t="str">
        <x:f>"날씨|"&amp;O488</x:f>
        <x:v>날씨|무관</x:v>
      </x:c>
      <x:c r="AK488" s="5" t="str">
        <x:f>"특수태그|"&amp;R488</x:f>
        <x:v>특수태그|전설</x:v>
      </x:c>
      <x:c r="AL488" s="5" t="str">
        <x:f>"원본서식지|"&amp;S488</x:f>
        <x:v>원본서식지|</x:v>
      </x:c>
      <x:c r="AM488" s="5" t="str">
        <x:f>"타입|"&amp;F488</x:f>
        <x:v>타입|물</x:v>
      </x:c>
      <x:c r="AN488" s="5" t="str">
        <x:f>"타입|"&amp;G488</x:f>
        <x:v>타입|드래곤</x:v>
      </x:c>
    </x:row>
    <x:row r="489" ht="24" customHeight="1">
      <x:c r="A489" s="5" t="n">
        <x:v>485</x:v>
      </x:c>
      <x:c r="B489" s="5" t="inlineStr">
        <x:is>
          <x:t xml:space="preserve">히드런</x:t>
        </x:is>
      </x:c>
      <x:c r="C489" s="5" t="inlineStr">
        <x:is>
          <x:t xml:space="preserve">heatran</x:t>
        </x:is>
      </x:c>
      <x:c r="D489" s="5" t="inlineStr">
        <x:is>
          <x:t xml:space="preserve">Heatran</x:t>
        </x:is>
      </x:c>
      <x:c r="E489" s="5" t="n">
        <x:v>4</x:v>
      </x:c>
      <x:c r="F489" s="5" t="inlineStr">
        <x:is>
          <x:t xml:space="preserve">불꽃</x:t>
        </x:is>
      </x:c>
      <x:c r="G489" s="5" t="inlineStr">
        <x:is>
          <x:t xml:space="preserve">강철</x:t>
        </x:is>
      </x:c>
      <x:c r="H489" s="6" t="n">
        <x:v>430</x:v>
      </x:c>
      <x:c r="I489" s="5" t="n"/>
      <x:c r="J489" s="5" t="inlineStr">
        <x:is>
          <x:t xml:space="preserve">무진화</x:t>
        </x:is>
      </x:c>
      <x:c r="K489" s="7" t="inlineStr">
        <x:is>
          <x:t xml:space="preserve">육상</x:t>
        </x:is>
      </x:c>
      <x:c r="L489" s="7" t="inlineStr">
        <x:is>
          <x:t xml:space="preserve">개활지</x:t>
        </x:is>
      </x:c>
      <x:c r="M489" s="7" t="inlineStr">
        <x:is>
          <x:t xml:space="preserve">고온</x:t>
        </x:is>
      </x:c>
      <x:c r="N489" s="7" t="inlineStr">
        <x:is>
          <x:t xml:space="preserve">보통</x:t>
        </x:is>
      </x:c>
      <x:c r="O489" s="7" t="inlineStr">
        <x:is>
          <x:t xml:space="preserve">무관</x:t>
        </x:is>
      </x:c>
      <x:c r="P489" s="7" t="inlineStr">
        <x:is>
          <x:t xml:space="preserve">무관</x:t>
        </x:is>
      </x:c>
      <x:c r="Q489" s="7" t="inlineStr">
        <x:is>
          <x:t xml:space="preserve">전설</x:t>
        </x:is>
      </x:c>
      <x:c r="R489" s="7" t="inlineStr">
        <x:is>
          <x:t xml:space="preserve">전설</x:t>
        </x:is>
      </x:c>
      <x:c r="S489" s="7" t="inlineStr">
        <x:is>
          <x:t xml:space="preserve"/>
        </x:is>
      </x:c>
      <x:c r="T489" s="7" t="inlineStr">
        <x:is>
          <x:t xml:space="preserve"/>
        </x:is>
      </x:c>
      <x:c r="U489" s="8" t="str">
        <x:f>INDEX('서식지_점수'!$E$4:$P$4,1,MATCH(MAX('서식지_점수'!E489:P489),'서식지_점수'!E489:P489,0))</x:f>
        <x:v>평원</x:v>
      </x:c>
      <x:c r="V489" s="8" t="str">
        <x:f>IF(T489&lt;&gt;"",T489,U489)</x:f>
        <x:v>평원</x:v>
      </x:c>
      <x:c r="W489" s="8" t="str">
        <x:f>IFERROR(INDEX('서식지_점수'!$E$4:$P$4,1,MATCH(MAXIFS('서식지_점수'!E489:P489,'서식지_점수'!E489:P489,"&lt;"&amp;MAX('서식지_점수'!E489:P489)),'서식지_점수'!E489:P489,0)),"")</x:f>
        <x:v>숲</x:v>
      </x:c>
      <x:c r="X489" s="8" t="str">
        <x:f>IF(T489&lt;&gt;"","수동확정",IF(MAX('서식지_점수'!E489:P489)-LARGE('서식지_점수'!E489:P489,2)&gt;=15,"높음",IF(MAX('서식지_점수'!E489:P489)-LARGE('서식지_점수'!E489:P489,2)&gt;=8,"보통","검토필요")))</x:f>
        <x:v>검토필요</x:v>
      </x:c>
      <x:c r="Y489" s="9" t="n">
        <x:f>IF(Q489="전설",8,IF(Q489="희귀",7,IF(J489="기본",1,IF(J489="중간",3,IF(J489="최종",IF(I489="",5,IF(I489&lt;=20,3,IF(I489&lt;=35,4,IF(I489&lt;=50,6,7)))),IF(Q489="드묾",4,2))))))</x:f>
        <x:v>8</x:v>
      </x:c>
      <x:c r="Z489" s="5" t="inlineStr">
        <x:is>
          <x:t xml:space="preserve">cobbleverse:custom_spawn</x:t>
        </x:is>
      </x:c>
      <x:c r="AA489" s="5" t="inlineStr">
        <x:is>
          <x:t xml:space="preserve">ultra-rare</x:t>
        </x:is>
      </x:c>
      <x:c r="AB489" s="5" t="inlineStr">
        <x:is>
          <x:t xml:space="preserve">아니오</x:t>
        </x:is>
      </x:c>
      <x:c r="AC489" s="8" t="str">
        <x:f>IF(T489&lt;&gt;"","수동확정",IF(X489="검토필요","검토필요",IF(S489="","원본없음","초기완료")))</x:f>
        <x:v>검토필요</x:v>
      </x:c>
      <x:c r="AD489" s="7" t="inlineStr">
        <x:is>
          <x:t xml:space="preserve"/>
        </x:is>
      </x:c>
      <x:c r="AE489" s="5" t="inlineStr">
        <x:is>
          <x:t xml:space="preserve">.tmp/cobblemon-1.7.3-source/common/src/main/resources/data/cobblemon/species/generation4/heatran.json</x:t>
        </x:is>
      </x:c>
      <x:c r="AF489" s="5" t="str">
        <x:f>"생활권|"&amp;K489</x:f>
        <x:v>생활권|육상</x:v>
      </x:c>
      <x:c r="AG489" s="5" t="str">
        <x:f>"지형|"&amp;L489</x:f>
        <x:v>지형|개활지</x:v>
      </x:c>
      <x:c r="AH489" s="5" t="str">
        <x:f>"온도|"&amp;M489</x:f>
        <x:v>온도|고온</x:v>
      </x:c>
      <x:c r="AI489" s="5" t="str">
        <x:f>"습도|"&amp;N489</x:f>
        <x:v>습도|보통</x:v>
      </x:c>
      <x:c r="AJ489" s="5" t="str">
        <x:f>"날씨|"&amp;O489</x:f>
        <x:v>날씨|무관</x:v>
      </x:c>
      <x:c r="AK489" s="5" t="str">
        <x:f>"특수태그|"&amp;R489</x:f>
        <x:v>특수태그|전설</x:v>
      </x:c>
      <x:c r="AL489" s="5" t="str">
        <x:f>"원본서식지|"&amp;S489</x:f>
        <x:v>원본서식지|</x:v>
      </x:c>
      <x:c r="AM489" s="5" t="str">
        <x:f>"타입|"&amp;F489</x:f>
        <x:v>타입|불꽃</x:v>
      </x:c>
      <x:c r="AN489" s="5" t="str">
        <x:f>"타입|"&amp;G489</x:f>
        <x:v>타입|강철</x:v>
      </x:c>
    </x:row>
    <x:row r="490" ht="24" customHeight="1">
      <x:c r="A490" s="5" t="n">
        <x:v>486</x:v>
      </x:c>
      <x:c r="B490" s="5" t="inlineStr">
        <x:is>
          <x:t xml:space="preserve">레지기가스</x:t>
        </x:is>
      </x:c>
      <x:c r="C490" s="5" t="inlineStr">
        <x:is>
          <x:t xml:space="preserve">regigigas</x:t>
        </x:is>
      </x:c>
      <x:c r="D490" s="5" t="inlineStr">
        <x:is>
          <x:t xml:space="preserve">Regigigas</x:t>
        </x:is>
      </x:c>
      <x:c r="E490" s="5" t="n">
        <x:v>4</x:v>
      </x:c>
      <x:c r="F490" s="5" t="inlineStr">
        <x:is>
          <x:t xml:space="preserve">노말</x:t>
        </x:is>
      </x:c>
      <x:c r="G490" s="5" t="inlineStr">
        <x:is>
          <x:t xml:space="preserve"/>
        </x:is>
      </x:c>
      <x:c r="H490" s="6" t="n">
        <x:v>420</x:v>
      </x:c>
      <x:c r="I490" s="5" t="n"/>
      <x:c r="J490" s="5" t="inlineStr">
        <x:is>
          <x:t xml:space="preserve">무진화</x:t>
        </x:is>
      </x:c>
      <x:c r="K490" s="7" t="inlineStr">
        <x:is>
          <x:t xml:space="preserve">육상</x:t>
        </x:is>
      </x:c>
      <x:c r="L490" s="7" t="inlineStr">
        <x:is>
          <x:t xml:space="preserve">개활지</x:t>
        </x:is>
      </x:c>
      <x:c r="M490" s="7" t="inlineStr">
        <x:is>
          <x:t xml:space="preserve">온대</x:t>
        </x:is>
      </x:c>
      <x:c r="N490" s="7" t="inlineStr">
        <x:is>
          <x:t xml:space="preserve">보통</x:t>
        </x:is>
      </x:c>
      <x:c r="O490" s="7" t="inlineStr">
        <x:is>
          <x:t xml:space="preserve">무관</x:t>
        </x:is>
      </x:c>
      <x:c r="P490" s="7" t="inlineStr">
        <x:is>
          <x:t xml:space="preserve">무관</x:t>
        </x:is>
      </x:c>
      <x:c r="Q490" s="7" t="inlineStr">
        <x:is>
          <x:t xml:space="preserve">전설</x:t>
        </x:is>
      </x:c>
      <x:c r="R490" s="7" t="inlineStr">
        <x:is>
          <x:t xml:space="preserve">전설</x:t>
        </x:is>
      </x:c>
      <x:c r="S490" s="7" t="inlineStr">
        <x:is>
          <x:t xml:space="preserve"/>
        </x:is>
      </x:c>
      <x:c r="T490" s="7" t="inlineStr">
        <x:is>
          <x:t xml:space="preserve"/>
        </x:is>
      </x:c>
      <x:c r="U490" s="8" t="str">
        <x:f>INDEX('서식지_점수'!$E$4:$P$4,1,MATCH(MAX('서식지_점수'!E490:P490),'서식지_점수'!E490:P490,0))</x:f>
        <x:v>평원</x:v>
      </x:c>
      <x:c r="V490" s="8" t="str">
        <x:f>IF(T490&lt;&gt;"",T490,U490)</x:f>
        <x:v>평원</x:v>
      </x:c>
      <x:c r="W490" s="8" t="str">
        <x:f>IFERROR(INDEX('서식지_점수'!$E$4:$P$4,1,MATCH(MAXIFS('서식지_점수'!E490:P490,'서식지_점수'!E490:P490,"&lt;"&amp;MAX('서식지_점수'!E490:P490)),'서식지_점수'!E490:P490,0)),"")</x:f>
        <x:v>숲</x:v>
      </x:c>
      <x:c r="X490" s="8" t="str">
        <x:f>IF(T490&lt;&gt;"","수동확정",IF(MAX('서식지_점수'!E490:P490)-LARGE('서식지_점수'!E490:P490,2)&gt;=15,"높음",IF(MAX('서식지_점수'!E490:P490)-LARGE('서식지_점수'!E490:P490,2)&gt;=8,"보통","검토필요")))</x:f>
        <x:v>검토필요</x:v>
      </x:c>
      <x:c r="Y490" s="9" t="n">
        <x:f>IF(Q490="전설",8,IF(Q490="희귀",7,IF(J490="기본",1,IF(J490="중간",3,IF(J490="최종",IF(I490="",5,IF(I490&lt;=20,3,IF(I490&lt;=35,4,IF(I490&lt;=50,6,7)))),IF(Q490="드묾",4,2))))))</x:f>
        <x:v>8</x:v>
      </x:c>
      <x:c r="Z490" s="5" t="inlineStr">
        <x:is>
          <x:t xml:space="preserve">cobbleverse:custom_spawn</x:t>
        </x:is>
      </x:c>
      <x:c r="AA490" s="5" t="inlineStr">
        <x:is>
          <x:t xml:space="preserve">ultra-rare</x:t>
        </x:is>
      </x:c>
      <x:c r="AB490" s="5" t="inlineStr">
        <x:is>
          <x:t xml:space="preserve">예</x:t>
        </x:is>
      </x:c>
      <x:c r="AC490" s="8" t="str">
        <x:f>IF(T490&lt;&gt;"","수동확정",IF(X490="검토필요","검토필요",IF(S490="","원본없음","초기완료")))</x:f>
        <x:v>검토필요</x:v>
      </x:c>
      <x:c r="AD490" s="7" t="inlineStr">
        <x:is>
          <x:t xml:space="preserve"/>
        </x:is>
      </x:c>
      <x:c r="AE490" s="5" t="inlineStr">
        <x:is>
          <x:t xml:space="preserve">.tmp/cobblemon-1.7.3-source/common/src/main/resources/data/cobblemon/species/generation4/regigigas.json</x:t>
        </x:is>
      </x:c>
      <x:c r="AF490" s="5" t="str">
        <x:f>"생활권|"&amp;K490</x:f>
        <x:v>생활권|육상</x:v>
      </x:c>
      <x:c r="AG490" s="5" t="str">
        <x:f>"지형|"&amp;L490</x:f>
        <x:v>지형|개활지</x:v>
      </x:c>
      <x:c r="AH490" s="5" t="str">
        <x:f>"온도|"&amp;M490</x:f>
        <x:v>온도|온대</x:v>
      </x:c>
      <x:c r="AI490" s="5" t="str">
        <x:f>"습도|"&amp;N490</x:f>
        <x:v>습도|보통</x:v>
      </x:c>
      <x:c r="AJ490" s="5" t="str">
        <x:f>"날씨|"&amp;O490</x:f>
        <x:v>날씨|무관</x:v>
      </x:c>
      <x:c r="AK490" s="5" t="str">
        <x:f>"특수태그|"&amp;R490</x:f>
        <x:v>특수태그|전설</x:v>
      </x:c>
      <x:c r="AL490" s="5" t="str">
        <x:f>"원본서식지|"&amp;S490</x:f>
        <x:v>원본서식지|</x:v>
      </x:c>
      <x:c r="AM490" s="5" t="str">
        <x:f>"타입|"&amp;F490</x:f>
        <x:v>타입|노말</x:v>
      </x:c>
      <x:c r="AN490" s="5" t="str">
        <x:f>"타입|"&amp;G490</x:f>
        <x:v>타입|</x:v>
      </x:c>
    </x:row>
    <x:row r="491" ht="24" customHeight="1">
      <x:c r="A491" s="5" t="n">
        <x:v>487</x:v>
      </x:c>
      <x:c r="B491" s="5" t="inlineStr">
        <x:is>
          <x:t xml:space="preserve">기라티나</x:t>
        </x:is>
      </x:c>
      <x:c r="C491" s="5" t="inlineStr">
        <x:is>
          <x:t xml:space="preserve">giratina</x:t>
        </x:is>
      </x:c>
      <x:c r="D491" s="5" t="inlineStr">
        <x:is>
          <x:t xml:space="preserve">Giratina</x:t>
        </x:is>
      </x:c>
      <x:c r="E491" s="5" t="n">
        <x:v>4</x:v>
      </x:c>
      <x:c r="F491" s="5" t="inlineStr">
        <x:is>
          <x:t xml:space="preserve">고스트</x:t>
        </x:is>
      </x:c>
      <x:c r="G491" s="5" t="inlineStr">
        <x:is>
          <x:t xml:space="preserve">드래곤</x:t>
        </x:is>
      </x:c>
      <x:c r="H491" s="6" t="n">
        <x:v>750</x:v>
      </x:c>
      <x:c r="I491" s="5" t="n"/>
      <x:c r="J491" s="5" t="inlineStr">
        <x:is>
          <x:t xml:space="preserve">무진화</x:t>
        </x:is>
      </x:c>
      <x:c r="K491" s="7" t="inlineStr">
        <x:is>
          <x:t xml:space="preserve">영체</x:t>
        </x:is>
      </x:c>
      <x:c r="L491" s="7" t="inlineStr">
        <x:is>
          <x:t xml:space="preserve">특수</x:t>
        </x:is>
      </x:c>
      <x:c r="M491" s="7" t="inlineStr">
        <x:is>
          <x:t xml:space="preserve">온대</x:t>
        </x:is>
      </x:c>
      <x:c r="N491" s="7" t="inlineStr">
        <x:is>
          <x:t xml:space="preserve">보통</x:t>
        </x:is>
      </x:c>
      <x:c r="O491" s="7" t="inlineStr">
        <x:is>
          <x:t xml:space="preserve">안개</x:t>
        </x:is>
      </x:c>
      <x:c r="P491" s="7" t="inlineStr">
        <x:is>
          <x:t xml:space="preserve">밤</x:t>
        </x:is>
      </x:c>
      <x:c r="Q491" s="7" t="inlineStr">
        <x:is>
          <x:t xml:space="preserve">전설</x:t>
        </x:is>
      </x:c>
      <x:c r="R491" s="7" t="inlineStr">
        <x:is>
          <x:t xml:space="preserve">전설</x:t>
        </x:is>
      </x:c>
      <x:c r="S491" s="7" t="inlineStr">
        <x:is>
          <x:t xml:space="preserve"/>
        </x:is>
      </x:c>
      <x:c r="T491" s="7" t="inlineStr">
        <x:is>
          <x:t xml:space="preserve"/>
        </x:is>
      </x:c>
      <x:c r="U491" s="8" t="str">
        <x:f>INDEX('서식지_점수'!$E$4:$P$4,1,MATCH(MAX('서식지_점수'!E491:P491),'서식지_점수'!E491:P491,0))</x:f>
        <x:v>특수</x:v>
      </x:c>
      <x:c r="V491" s="8" t="str">
        <x:f>IF(T491&lt;&gt;"",T491,U491)</x:f>
        <x:v>특수</x:v>
      </x:c>
      <x:c r="W491" s="8" t="str">
        <x:f>IFERROR(INDEX('서식지_점수'!$E$4:$P$4,1,MATCH(MAXIFS('서식지_점수'!E491:P491,'서식지_점수'!E491:P491,"&lt;"&amp;MAX('서식지_점수'!E491:P491)),'서식지_점수'!E491:P491,0)),"")</x:f>
        <x:v>동굴</x:v>
      </x:c>
      <x:c r="X491" s="8" t="str">
        <x:f>IF(T491&lt;&gt;"","수동확정",IF(MAX('서식지_점수'!E491:P491)-LARGE('서식지_점수'!E491:P491,2)&gt;=15,"높음",IF(MAX('서식지_점수'!E491:P491)-LARGE('서식지_점수'!E491:P491,2)&gt;=8,"보통","검토필요")))</x:f>
        <x:v>높음</x:v>
      </x:c>
      <x:c r="Y491" s="9" t="n">
        <x:f>IF(Q491="전설",8,IF(Q491="희귀",7,IF(J491="기본",1,IF(J491="중간",3,IF(J491="최종",IF(I491="",5,IF(I491&lt;=20,3,IF(I491&lt;=35,4,IF(I491&lt;=50,6,7)))),IF(Q491="드묾",4,2))))))</x:f>
        <x:v>8</x:v>
      </x:c>
      <x:c r="Z491" s="5" t="inlineStr">
        <x:is>
          <x:t xml:space="preserve">cobbleverse:custom_spawn</x:t>
        </x:is>
      </x:c>
      <x:c r="AA491" s="5" t="inlineStr">
        <x:is>
          <x:t xml:space="preserve">ultra-rare</x:t>
        </x:is>
      </x:c>
      <x:c r="AB491" s="5" t="inlineStr">
        <x:is>
          <x:t xml:space="preserve">아니오</x:t>
        </x:is>
      </x:c>
      <x:c r="AC491" s="8" t="str">
        <x:f>IF(T491&lt;&gt;"","수동확정",IF(X491="검토필요","검토필요",IF(S491="","원본없음","초기완료")))</x:f>
        <x:v>원본없음</x:v>
      </x:c>
      <x:c r="AD491" s="7" t="inlineStr">
        <x:is>
          <x:t xml:space="preserve"/>
        </x:is>
      </x:c>
      <x:c r="AE491" s="5" t="inlineStr">
        <x:is>
          <x:t xml:space="preserve">.tmp/cobblemon-1.7.3-source/common/src/main/resources/data/cobblemon/species/generation4/giratina.json</x:t>
        </x:is>
      </x:c>
      <x:c r="AF491" s="5" t="str">
        <x:f>"생활권|"&amp;K491</x:f>
        <x:v>생활권|영체</x:v>
      </x:c>
      <x:c r="AG491" s="5" t="str">
        <x:f>"지형|"&amp;L491</x:f>
        <x:v>지형|특수</x:v>
      </x:c>
      <x:c r="AH491" s="5" t="str">
        <x:f>"온도|"&amp;M491</x:f>
        <x:v>온도|온대</x:v>
      </x:c>
      <x:c r="AI491" s="5" t="str">
        <x:f>"습도|"&amp;N491</x:f>
        <x:v>습도|보통</x:v>
      </x:c>
      <x:c r="AJ491" s="5" t="str">
        <x:f>"날씨|"&amp;O491</x:f>
        <x:v>날씨|안개</x:v>
      </x:c>
      <x:c r="AK491" s="5" t="str">
        <x:f>"특수태그|"&amp;R491</x:f>
        <x:v>특수태그|전설</x:v>
      </x:c>
      <x:c r="AL491" s="5" t="str">
        <x:f>"원본서식지|"&amp;S491</x:f>
        <x:v>원본서식지|</x:v>
      </x:c>
      <x:c r="AM491" s="5" t="str">
        <x:f>"타입|"&amp;F491</x:f>
        <x:v>타입|고스트</x:v>
      </x:c>
      <x:c r="AN491" s="5" t="str">
        <x:f>"타입|"&amp;G491</x:f>
        <x:v>타입|드래곤</x:v>
      </x:c>
    </x:row>
    <x:row r="492" ht="24" customHeight="1">
      <x:c r="A492" s="5" t="n">
        <x:v>488</x:v>
      </x:c>
      <x:c r="B492" s="5" t="inlineStr">
        <x:is>
          <x:t xml:space="preserve">크레세리아</x:t>
        </x:is>
      </x:c>
      <x:c r="C492" s="5" t="inlineStr">
        <x:is>
          <x:t xml:space="preserve">cresselia</x:t>
        </x:is>
      </x:c>
      <x:c r="D492" s="5" t="inlineStr">
        <x:is>
          <x:t xml:space="preserve">Cresselia</x:t>
        </x:is>
      </x:c>
      <x:c r="E492" s="5" t="n">
        <x:v>4</x:v>
      </x:c>
      <x:c r="F492" s="5" t="inlineStr">
        <x:is>
          <x:t xml:space="preserve">에스퍼</x:t>
        </x:is>
      </x:c>
      <x:c r="G492" s="5" t="inlineStr">
        <x:is>
          <x:t xml:space="preserve"/>
        </x:is>
      </x:c>
      <x:c r="H492" s="6" t="n">
        <x:v>85.59999999999999</x:v>
      </x:c>
      <x:c r="I492" s="5" t="n"/>
      <x:c r="J492" s="5" t="inlineStr">
        <x:is>
          <x:t xml:space="preserve">무진화</x:t>
        </x:is>
      </x:c>
      <x:c r="K492" s="7" t="inlineStr">
        <x:is>
          <x:t xml:space="preserve">비행</x:t>
        </x:is>
      </x:c>
      <x:c r="L492" s="7" t="inlineStr">
        <x:is>
          <x:t xml:space="preserve">개활지</x:t>
        </x:is>
      </x:c>
      <x:c r="M492" s="7" t="inlineStr">
        <x:is>
          <x:t xml:space="preserve">온대</x:t>
        </x:is>
      </x:c>
      <x:c r="N492" s="7" t="inlineStr">
        <x:is>
          <x:t xml:space="preserve">보통</x:t>
        </x:is>
      </x:c>
      <x:c r="O492" s="7" t="inlineStr">
        <x:is>
          <x:t xml:space="preserve">무관</x:t>
        </x:is>
      </x:c>
      <x:c r="P492" s="7" t="inlineStr">
        <x:is>
          <x:t xml:space="preserve">무관</x:t>
        </x:is>
      </x:c>
      <x:c r="Q492" s="7" t="inlineStr">
        <x:is>
          <x:t xml:space="preserve">전설</x:t>
        </x:is>
      </x:c>
      <x:c r="R492" s="7" t="inlineStr">
        <x:is>
          <x:t xml:space="preserve">전설</x:t>
        </x:is>
      </x:c>
      <x:c r="S492" s="7" t="inlineStr">
        <x:is>
          <x:t xml:space="preserve"/>
        </x:is>
      </x:c>
      <x:c r="T492" s="7" t="inlineStr">
        <x:is>
          <x:t xml:space="preserve"/>
        </x:is>
      </x:c>
      <x:c r="U492" s="8" t="str">
        <x:f>INDEX('서식지_점수'!$E$4:$P$4,1,MATCH(MAX('서식지_점수'!E492:P492),'서식지_점수'!E492:P492,0))</x:f>
        <x:v>산악</x:v>
      </x:c>
      <x:c r="V492" s="8" t="str">
        <x:f>IF(T492&lt;&gt;"",T492,U492)</x:f>
        <x:v>산악</x:v>
      </x:c>
      <x:c r="W492" s="8" t="str">
        <x:f>IFERROR(INDEX('서식지_점수'!$E$4:$P$4,1,MATCH(MAXIFS('서식지_점수'!E492:P492,'서식지_점수'!E492:P492,"&lt;"&amp;MAX('서식지_점수'!E492:P492)),'서식지_점수'!E492:P492,0)),"")</x:f>
        <x:v>평원</x:v>
      </x:c>
      <x:c r="X492" s="8" t="str">
        <x:f>IF(T492&lt;&gt;"","수동확정",IF(MAX('서식지_점수'!E492:P492)-LARGE('서식지_점수'!E492:P492,2)&gt;=15,"높음",IF(MAX('서식지_점수'!E492:P492)-LARGE('서식지_점수'!E492:P492,2)&gt;=8,"보통","검토필요")))</x:f>
        <x:v>검토필요</x:v>
      </x:c>
      <x:c r="Y492" s="9" t="n">
        <x:f>IF(Q492="전설",8,IF(Q492="희귀",7,IF(J492="기본",1,IF(J492="중간",3,IF(J492="최종",IF(I492="",5,IF(I492&lt;=20,3,IF(I492&lt;=35,4,IF(I492&lt;=50,6,7)))),IF(Q492="드묾",4,2))))))</x:f>
        <x:v>8</x:v>
      </x:c>
      <x:c r="Z492" s="5" t="inlineStr">
        <x:is>
          <x:t xml:space="preserve">cobbleverse:custom_spawn</x:t>
        </x:is>
      </x:c>
      <x:c r="AA492" s="5" t="inlineStr">
        <x:is>
          <x:t xml:space="preserve">ultra-rare</x:t>
        </x:is>
      </x:c>
      <x:c r="AB492" s="5" t="inlineStr">
        <x:is>
          <x:t xml:space="preserve">아니오</x:t>
        </x:is>
      </x:c>
      <x:c r="AC492" s="8" t="str">
        <x:f>IF(T492&lt;&gt;"","수동확정",IF(X492="검토필요","검토필요",IF(S492="","원본없음","초기완료")))</x:f>
        <x:v>검토필요</x:v>
      </x:c>
      <x:c r="AD492" s="7" t="inlineStr">
        <x:is>
          <x:t xml:space="preserve"/>
        </x:is>
      </x:c>
      <x:c r="AE492" s="5" t="inlineStr">
        <x:is>
          <x:t xml:space="preserve">.tmp/cobblemon-1.7.3-source/common/src/main/resources/data/cobblemon/species/generation4/cresselia.json</x:t>
        </x:is>
      </x:c>
      <x:c r="AF492" s="5" t="str">
        <x:f>"생활권|"&amp;K492</x:f>
        <x:v>생활권|비행</x:v>
      </x:c>
      <x:c r="AG492" s="5" t="str">
        <x:f>"지형|"&amp;L492</x:f>
        <x:v>지형|개활지</x:v>
      </x:c>
      <x:c r="AH492" s="5" t="str">
        <x:f>"온도|"&amp;M492</x:f>
        <x:v>온도|온대</x:v>
      </x:c>
      <x:c r="AI492" s="5" t="str">
        <x:f>"습도|"&amp;N492</x:f>
        <x:v>습도|보통</x:v>
      </x:c>
      <x:c r="AJ492" s="5" t="str">
        <x:f>"날씨|"&amp;O492</x:f>
        <x:v>날씨|무관</x:v>
      </x:c>
      <x:c r="AK492" s="5" t="str">
        <x:f>"특수태그|"&amp;R492</x:f>
        <x:v>특수태그|전설</x:v>
      </x:c>
      <x:c r="AL492" s="5" t="str">
        <x:f>"원본서식지|"&amp;S492</x:f>
        <x:v>원본서식지|</x:v>
      </x:c>
      <x:c r="AM492" s="5" t="str">
        <x:f>"타입|"&amp;F492</x:f>
        <x:v>타입|에스퍼</x:v>
      </x:c>
      <x:c r="AN492" s="5" t="str">
        <x:f>"타입|"&amp;G492</x:f>
        <x:v>타입|</x:v>
      </x:c>
    </x:row>
    <x:row r="493" ht="24" customHeight="1">
      <x:c r="A493" s="5" t="n">
        <x:v>489</x:v>
      </x:c>
      <x:c r="B493" s="5" t="inlineStr">
        <x:is>
          <x:t xml:space="preserve">피오네</x:t>
        </x:is>
      </x:c>
      <x:c r="C493" s="5" t="inlineStr">
        <x:is>
          <x:t xml:space="preserve">phione</x:t>
        </x:is>
      </x:c>
      <x:c r="D493" s="5" t="inlineStr">
        <x:is>
          <x:t xml:space="preserve">Phione</x:t>
        </x:is>
      </x:c>
      <x:c r="E493" s="5" t="n">
        <x:v>4</x:v>
      </x:c>
      <x:c r="F493" s="5" t="inlineStr">
        <x:is>
          <x:t xml:space="preserve">물</x:t>
        </x:is>
      </x:c>
      <x:c r="G493" s="5" t="inlineStr">
        <x:is>
          <x:t xml:space="preserve"/>
        </x:is>
      </x:c>
      <x:c r="H493" s="6" t="n">
        <x:v>3.1</x:v>
      </x:c>
      <x:c r="I493" s="5" t="n"/>
      <x:c r="J493" s="5" t="inlineStr">
        <x:is>
          <x:t xml:space="preserve">무진화</x:t>
        </x:is>
      </x:c>
      <x:c r="K493" s="7" t="inlineStr">
        <x:is>
          <x:t xml:space="preserve">수륙</x:t>
        </x:is>
      </x:c>
      <x:c r="L493" s="7" t="inlineStr">
        <x:is>
          <x:t xml:space="preserve">담수</x:t>
        </x:is>
      </x:c>
      <x:c r="M493" s="7" t="inlineStr">
        <x:is>
          <x:t xml:space="preserve">온대</x:t>
        </x:is>
      </x:c>
      <x:c r="N493" s="7" t="inlineStr">
        <x:is>
          <x:t xml:space="preserve">보통</x:t>
        </x:is>
      </x:c>
      <x:c r="O493" s="7" t="inlineStr">
        <x:is>
          <x:t xml:space="preserve">무관</x:t>
        </x:is>
      </x:c>
      <x:c r="P493" s="7" t="inlineStr">
        <x:is>
          <x:t xml:space="preserve">무관</x:t>
        </x:is>
      </x:c>
      <x:c r="Q493" s="7" t="inlineStr">
        <x:is>
          <x:t xml:space="preserve">전설</x:t>
        </x:is>
      </x:c>
      <x:c r="R493" s="7" t="inlineStr">
        <x:is>
          <x:t xml:space="preserve">전설</x:t>
        </x:is>
      </x:c>
      <x:c r="S493" s="7" t="inlineStr">
        <x:is>
          <x:t xml:space="preserve"/>
        </x:is>
      </x:c>
      <x:c r="T493" s="7" t="inlineStr">
        <x:is>
          <x:t xml:space="preserve"/>
        </x:is>
      </x:c>
      <x:c r="U493" s="8" t="str">
        <x:f>INDEX('서식지_점수'!$E$4:$P$4,1,MATCH(MAX('서식지_점수'!E493:P493),'서식지_점수'!E493:P493,0))</x:f>
        <x:v>습지</x:v>
      </x:c>
      <x:c r="V493" s="8" t="str">
        <x:f>IF(T493&lt;&gt;"",T493,U493)</x:f>
        <x:v>습지</x:v>
      </x:c>
      <x:c r="W493" s="8" t="str">
        <x:f>IFERROR(INDEX('서식지_점수'!$E$4:$P$4,1,MATCH(MAXIFS('서식지_점수'!E493:P493,'서식지_점수'!E493:P493,"&lt;"&amp;MAX('서식지_점수'!E493:P493)),'서식지_점수'!E493:P493,0)),"")</x:f>
        <x:v>담수</x:v>
      </x:c>
      <x:c r="X493" s="8" t="str">
        <x:f>IF(T493&lt;&gt;"","수동확정",IF(MAX('서식지_점수'!E493:P493)-LARGE('서식지_점수'!E493:P493,2)&gt;=15,"높음",IF(MAX('서식지_점수'!E493:P493)-LARGE('서식지_점수'!E493:P493,2)&gt;=8,"보통","검토필요")))</x:f>
        <x:v>검토필요</x:v>
      </x:c>
      <x:c r="Y493" s="9" t="n">
        <x:f>IF(Q493="전설",8,IF(Q493="희귀",7,IF(J493="기본",1,IF(J493="중간",3,IF(J493="최종",IF(I493="",5,IF(I493&lt;=20,3,IF(I493&lt;=35,4,IF(I493&lt;=50,6,7)))),IF(Q493="드묾",4,2))))))</x:f>
        <x:v>8</x:v>
      </x:c>
      <x:c r="Z493" s="5" t="inlineStr">
        <x:is>
          <x:t xml:space="preserve">cobbleverse:custom_spawn</x:t>
        </x:is>
      </x:c>
      <x:c r="AA493" s="5" t="inlineStr">
        <x:is>
          <x:t xml:space="preserve">ultra-rare</x:t>
        </x:is>
      </x:c>
      <x:c r="AB493" s="5" t="inlineStr">
        <x:is>
          <x:t xml:space="preserve">아니오</x:t>
        </x:is>
      </x:c>
      <x:c r="AC493" s="8" t="str">
        <x:f>IF(T493&lt;&gt;"","수동확정",IF(X493="검토필요","검토필요",IF(S493="","원본없음","초기완료")))</x:f>
        <x:v>검토필요</x:v>
      </x:c>
      <x:c r="AD493" s="7" t="inlineStr">
        <x:is>
          <x:t xml:space="preserve"/>
        </x:is>
      </x:c>
      <x:c r="AE493" s="5" t="inlineStr">
        <x:is>
          <x:t xml:space="preserve">.tmp/cobblemon-1.7.3-source/common/src/main/resources/data/cobblemon/species/generation4/phione.json</x:t>
        </x:is>
      </x:c>
      <x:c r="AF493" s="5" t="str">
        <x:f>"생활권|"&amp;K493</x:f>
        <x:v>생활권|수륙</x:v>
      </x:c>
      <x:c r="AG493" s="5" t="str">
        <x:f>"지형|"&amp;L493</x:f>
        <x:v>지형|담수</x:v>
      </x:c>
      <x:c r="AH493" s="5" t="str">
        <x:f>"온도|"&amp;M493</x:f>
        <x:v>온도|온대</x:v>
      </x:c>
      <x:c r="AI493" s="5" t="str">
        <x:f>"습도|"&amp;N493</x:f>
        <x:v>습도|보통</x:v>
      </x:c>
      <x:c r="AJ493" s="5" t="str">
        <x:f>"날씨|"&amp;O493</x:f>
        <x:v>날씨|무관</x:v>
      </x:c>
      <x:c r="AK493" s="5" t="str">
        <x:f>"특수태그|"&amp;R493</x:f>
        <x:v>특수태그|전설</x:v>
      </x:c>
      <x:c r="AL493" s="5" t="str">
        <x:f>"원본서식지|"&amp;S493</x:f>
        <x:v>원본서식지|</x:v>
      </x:c>
      <x:c r="AM493" s="5" t="str">
        <x:f>"타입|"&amp;F493</x:f>
        <x:v>타입|물</x:v>
      </x:c>
      <x:c r="AN493" s="5" t="str">
        <x:f>"타입|"&amp;G493</x:f>
        <x:v>타입|</x:v>
      </x:c>
    </x:row>
    <x:row r="494" ht="24" customHeight="1">
      <x:c r="A494" s="5" t="n">
        <x:v>490</x:v>
      </x:c>
      <x:c r="B494" s="5" t="inlineStr">
        <x:is>
          <x:t xml:space="preserve">마나피</x:t>
        </x:is>
      </x:c>
      <x:c r="C494" s="5" t="inlineStr">
        <x:is>
          <x:t xml:space="preserve">manaphy</x:t>
        </x:is>
      </x:c>
      <x:c r="D494" s="5" t="inlineStr">
        <x:is>
          <x:t xml:space="preserve">Manaphy</x:t>
        </x:is>
      </x:c>
      <x:c r="E494" s="5" t="n">
        <x:v>4</x:v>
      </x:c>
      <x:c r="F494" s="5" t="inlineStr">
        <x:is>
          <x:t xml:space="preserve">물</x:t>
        </x:is>
      </x:c>
      <x:c r="G494" s="5" t="inlineStr">
        <x:is>
          <x:t xml:space="preserve"/>
        </x:is>
      </x:c>
      <x:c r="H494" s="6" t="n">
        <x:v>1.4</x:v>
      </x:c>
      <x:c r="I494" s="5" t="n"/>
      <x:c r="J494" s="5" t="inlineStr">
        <x:is>
          <x:t xml:space="preserve">무진화</x:t>
        </x:is>
      </x:c>
      <x:c r="K494" s="7" t="inlineStr">
        <x:is>
          <x:t xml:space="preserve">수륙</x:t>
        </x:is>
      </x:c>
      <x:c r="L494" s="7" t="inlineStr">
        <x:is>
          <x:t xml:space="preserve">담수</x:t>
        </x:is>
      </x:c>
      <x:c r="M494" s="7" t="inlineStr">
        <x:is>
          <x:t xml:space="preserve">온대</x:t>
        </x:is>
      </x:c>
      <x:c r="N494" s="7" t="inlineStr">
        <x:is>
          <x:t xml:space="preserve">보통</x:t>
        </x:is>
      </x:c>
      <x:c r="O494" s="7" t="inlineStr">
        <x:is>
          <x:t xml:space="preserve">무관</x:t>
        </x:is>
      </x:c>
      <x:c r="P494" s="7" t="inlineStr">
        <x:is>
          <x:t xml:space="preserve">무관</x:t>
        </x:is>
      </x:c>
      <x:c r="Q494" s="7" t="inlineStr">
        <x:is>
          <x:t xml:space="preserve">전설</x:t>
        </x:is>
      </x:c>
      <x:c r="R494" s="7" t="inlineStr">
        <x:is>
          <x:t xml:space="preserve">전설</x:t>
        </x:is>
      </x:c>
      <x:c r="S494" s="7" t="inlineStr">
        <x:is>
          <x:t xml:space="preserve"/>
        </x:is>
      </x:c>
      <x:c r="T494" s="7" t="inlineStr">
        <x:is>
          <x:t xml:space="preserve"/>
        </x:is>
      </x:c>
      <x:c r="U494" s="8" t="str">
        <x:f>INDEX('서식지_점수'!$E$4:$P$4,1,MATCH(MAX('서식지_점수'!E494:P494),'서식지_점수'!E494:P494,0))</x:f>
        <x:v>습지</x:v>
      </x:c>
      <x:c r="V494" s="8" t="str">
        <x:f>IF(T494&lt;&gt;"",T494,U494)</x:f>
        <x:v>습지</x:v>
      </x:c>
      <x:c r="W494" s="8" t="str">
        <x:f>IFERROR(INDEX('서식지_점수'!$E$4:$P$4,1,MATCH(MAXIFS('서식지_점수'!E494:P494,'서식지_점수'!E494:P494,"&lt;"&amp;MAX('서식지_점수'!E494:P494)),'서식지_점수'!E494:P494,0)),"")</x:f>
        <x:v>담수</x:v>
      </x:c>
      <x:c r="X494" s="8" t="str">
        <x:f>IF(T494&lt;&gt;"","수동확정",IF(MAX('서식지_점수'!E494:P494)-LARGE('서식지_점수'!E494:P494,2)&gt;=15,"높음",IF(MAX('서식지_점수'!E494:P494)-LARGE('서식지_점수'!E494:P494,2)&gt;=8,"보통","검토필요")))</x:f>
        <x:v>검토필요</x:v>
      </x:c>
      <x:c r="Y494" s="9" t="n">
        <x:f>IF(Q494="전설",8,IF(Q494="희귀",7,IF(J494="기본",1,IF(J494="중간",3,IF(J494="최종",IF(I494="",5,IF(I494&lt;=20,3,IF(I494&lt;=35,4,IF(I494&lt;=50,6,7)))),IF(Q494="드묾",4,2))))))</x:f>
        <x:v>8</x:v>
      </x:c>
      <x:c r="Z494" s="5" t="inlineStr">
        <x:is>
          <x:t xml:space="preserve">cobbleverse:custom_spawn</x:t>
        </x:is>
      </x:c>
      <x:c r="AA494" s="5" t="inlineStr">
        <x:is>
          <x:t xml:space="preserve">ultra-rare</x:t>
        </x:is>
      </x:c>
      <x:c r="AB494" s="5" t="inlineStr">
        <x:is>
          <x:t xml:space="preserve">아니오</x:t>
        </x:is>
      </x:c>
      <x:c r="AC494" s="8" t="str">
        <x:f>IF(T494&lt;&gt;"","수동확정",IF(X494="검토필요","검토필요",IF(S494="","원본없음","초기완료")))</x:f>
        <x:v>검토필요</x:v>
      </x:c>
      <x:c r="AD494" s="7" t="inlineStr">
        <x:is>
          <x:t xml:space="preserve"/>
        </x:is>
      </x:c>
      <x:c r="AE494" s="5" t="inlineStr">
        <x:is>
          <x:t xml:space="preserve">.tmp/cobblemon-1.7.3-source/common/src/main/resources/data/cobblemon/species/generation4/manaphy.json</x:t>
        </x:is>
      </x:c>
      <x:c r="AF494" s="5" t="str">
        <x:f>"생활권|"&amp;K494</x:f>
        <x:v>생활권|수륙</x:v>
      </x:c>
      <x:c r="AG494" s="5" t="str">
        <x:f>"지형|"&amp;L494</x:f>
        <x:v>지형|담수</x:v>
      </x:c>
      <x:c r="AH494" s="5" t="str">
        <x:f>"온도|"&amp;M494</x:f>
        <x:v>온도|온대</x:v>
      </x:c>
      <x:c r="AI494" s="5" t="str">
        <x:f>"습도|"&amp;N494</x:f>
        <x:v>습도|보통</x:v>
      </x:c>
      <x:c r="AJ494" s="5" t="str">
        <x:f>"날씨|"&amp;O494</x:f>
        <x:v>날씨|무관</x:v>
      </x:c>
      <x:c r="AK494" s="5" t="str">
        <x:f>"특수태그|"&amp;R494</x:f>
        <x:v>특수태그|전설</x:v>
      </x:c>
      <x:c r="AL494" s="5" t="str">
        <x:f>"원본서식지|"&amp;S494</x:f>
        <x:v>원본서식지|</x:v>
      </x:c>
      <x:c r="AM494" s="5" t="str">
        <x:f>"타입|"&amp;F494</x:f>
        <x:v>타입|물</x:v>
      </x:c>
      <x:c r="AN494" s="5" t="str">
        <x:f>"타입|"&amp;G494</x:f>
        <x:v>타입|</x:v>
      </x:c>
    </x:row>
    <x:row r="495" ht="24" customHeight="1">
      <x:c r="A495" s="5" t="n">
        <x:v>491</x:v>
      </x:c>
      <x:c r="B495" s="5" t="inlineStr">
        <x:is>
          <x:t xml:space="preserve">다크라이</x:t>
        </x:is>
      </x:c>
      <x:c r="C495" s="5" t="inlineStr">
        <x:is>
          <x:t xml:space="preserve">darkrai</x:t>
        </x:is>
      </x:c>
      <x:c r="D495" s="5" t="inlineStr">
        <x:is>
          <x:t xml:space="preserve">Darkrai</x:t>
        </x:is>
      </x:c>
      <x:c r="E495" s="5" t="n">
        <x:v>4</x:v>
      </x:c>
      <x:c r="F495" s="5" t="inlineStr">
        <x:is>
          <x:t xml:space="preserve">악</x:t>
        </x:is>
      </x:c>
      <x:c r="G495" s="5" t="inlineStr">
        <x:is>
          <x:t xml:space="preserve"/>
        </x:is>
      </x:c>
      <x:c r="H495" s="6" t="n">
        <x:v>50.5</x:v>
      </x:c>
      <x:c r="I495" s="5" t="n"/>
      <x:c r="J495" s="5" t="inlineStr">
        <x:is>
          <x:t xml:space="preserve">무진화</x:t>
        </x:is>
      </x:c>
      <x:c r="K495" s="7" t="inlineStr">
        <x:is>
          <x:t xml:space="preserve">비행</x:t>
        </x:is>
      </x:c>
      <x:c r="L495" s="7" t="inlineStr">
        <x:is>
          <x:t xml:space="preserve">특수</x:t>
        </x:is>
      </x:c>
      <x:c r="M495" s="7" t="inlineStr">
        <x:is>
          <x:t xml:space="preserve">온대</x:t>
        </x:is>
      </x:c>
      <x:c r="N495" s="7" t="inlineStr">
        <x:is>
          <x:t xml:space="preserve">보통</x:t>
        </x:is>
      </x:c>
      <x:c r="O495" s="7" t="inlineStr">
        <x:is>
          <x:t xml:space="preserve">무관</x:t>
        </x:is>
      </x:c>
      <x:c r="P495" s="7" t="inlineStr">
        <x:is>
          <x:t xml:space="preserve">밤</x:t>
        </x:is>
      </x:c>
      <x:c r="Q495" s="7" t="inlineStr">
        <x:is>
          <x:t xml:space="preserve">전설</x:t>
        </x:is>
      </x:c>
      <x:c r="R495" s="7" t="inlineStr">
        <x:is>
          <x:t xml:space="preserve">전설</x:t>
        </x:is>
      </x:c>
      <x:c r="S495" s="7" t="inlineStr">
        <x:is>
          <x:t xml:space="preserve"/>
        </x:is>
      </x:c>
      <x:c r="T495" s="7" t="inlineStr">
        <x:is>
          <x:t xml:space="preserve"/>
        </x:is>
      </x:c>
      <x:c r="U495" s="8" t="str">
        <x:f>INDEX('서식지_점수'!$E$4:$P$4,1,MATCH(MAX('서식지_점수'!E495:P495),'서식지_점수'!E495:P495,0))</x:f>
        <x:v>산악</x:v>
      </x:c>
      <x:c r="V495" s="8" t="str">
        <x:f>IF(T495&lt;&gt;"",T495,U495)</x:f>
        <x:v>산악</x:v>
      </x:c>
      <x:c r="W495" s="8" t="str">
        <x:f>IFERROR(INDEX('서식지_점수'!$E$4:$P$4,1,MATCH(MAXIFS('서식지_점수'!E495:P495,'서식지_점수'!E495:P495,"&lt;"&amp;MAX('서식지_점수'!E495:P495)),'서식지_점수'!E495:P495,0)),"")</x:f>
        <x:v>평원</x:v>
      </x:c>
      <x:c r="X495" s="8" t="str">
        <x:f>IF(T495&lt;&gt;"","수동확정",IF(MAX('서식지_점수'!E495:P495)-LARGE('서식지_점수'!E495:P495,2)&gt;=15,"높음",IF(MAX('서식지_점수'!E495:P495)-LARGE('서식지_점수'!E495:P495,2)&gt;=8,"보통","검토필요")))</x:f>
        <x:v>검토필요</x:v>
      </x:c>
      <x:c r="Y495" s="9" t="n">
        <x:f>IF(Q495="전설",8,IF(Q495="희귀",7,IF(J495="기본",1,IF(J495="중간",3,IF(J495="최종",IF(I495="",5,IF(I495&lt;=20,3,IF(I495&lt;=35,4,IF(I495&lt;=50,6,7)))),IF(Q495="드묾",4,2))))))</x:f>
        <x:v>8</x:v>
      </x:c>
      <x:c r="Z495" s="5" t="inlineStr">
        <x:is>
          <x:t xml:space="preserve">cobbleverse:custom_spawn/newmoon_island</x:t>
        </x:is>
      </x:c>
      <x:c r="AA495" s="5" t="inlineStr">
        <x:is>
          <x:t xml:space="preserve">ultra-rare</x:t>
        </x:is>
      </x:c>
      <x:c r="AB495" s="5" t="inlineStr">
        <x:is>
          <x:t xml:space="preserve">아니오</x:t>
        </x:is>
      </x:c>
      <x:c r="AC495" s="8" t="str">
        <x:f>IF(T495&lt;&gt;"","수동확정",IF(X495="검토필요","검토필요",IF(S495="","원본없음","초기완료")))</x:f>
        <x:v>검토필요</x:v>
      </x:c>
      <x:c r="AD495" s="7" t="inlineStr">
        <x:is>
          <x:t xml:space="preserve"/>
        </x:is>
      </x:c>
      <x:c r="AE495" s="5" t="inlineStr">
        <x:is>
          <x:t xml:space="preserve">.tmp/cobblemon-1.7.3-source/common/src/main/resources/data/cobblemon/species/generation4/darkrai.json</x:t>
        </x:is>
      </x:c>
      <x:c r="AF495" s="5" t="str">
        <x:f>"생활권|"&amp;K495</x:f>
        <x:v>생활권|비행</x:v>
      </x:c>
      <x:c r="AG495" s="5" t="str">
        <x:f>"지형|"&amp;L495</x:f>
        <x:v>지형|특수</x:v>
      </x:c>
      <x:c r="AH495" s="5" t="str">
        <x:f>"온도|"&amp;M495</x:f>
        <x:v>온도|온대</x:v>
      </x:c>
      <x:c r="AI495" s="5" t="str">
        <x:f>"습도|"&amp;N495</x:f>
        <x:v>습도|보통</x:v>
      </x:c>
      <x:c r="AJ495" s="5" t="str">
        <x:f>"날씨|"&amp;O495</x:f>
        <x:v>날씨|무관</x:v>
      </x:c>
      <x:c r="AK495" s="5" t="str">
        <x:f>"특수태그|"&amp;R495</x:f>
        <x:v>특수태그|전설</x:v>
      </x:c>
      <x:c r="AL495" s="5" t="str">
        <x:f>"원본서식지|"&amp;S495</x:f>
        <x:v>원본서식지|</x:v>
      </x:c>
      <x:c r="AM495" s="5" t="str">
        <x:f>"타입|"&amp;F495</x:f>
        <x:v>타입|악</x:v>
      </x:c>
      <x:c r="AN495" s="5" t="str">
        <x:f>"타입|"&amp;G495</x:f>
        <x:v>타입|</x:v>
      </x:c>
    </x:row>
    <x:row r="496" ht="24" customHeight="1">
      <x:c r="A496" s="5" t="n">
        <x:v>492</x:v>
      </x:c>
      <x:c r="B496" s="5" t="inlineStr">
        <x:is>
          <x:t xml:space="preserve">쉐이미</x:t>
        </x:is>
      </x:c>
      <x:c r="C496" s="5" t="inlineStr">
        <x:is>
          <x:t xml:space="preserve">shaymin</x:t>
        </x:is>
      </x:c>
      <x:c r="D496" s="5" t="inlineStr">
        <x:is>
          <x:t xml:space="preserve">Shaymin</x:t>
        </x:is>
      </x:c>
      <x:c r="E496" s="5" t="n">
        <x:v>4</x:v>
      </x:c>
      <x:c r="F496" s="5" t="inlineStr">
        <x:is>
          <x:t xml:space="preserve">풀</x:t>
        </x:is>
      </x:c>
      <x:c r="G496" s="5" t="inlineStr">
        <x:is>
          <x:t xml:space="preserve"/>
        </x:is>
      </x:c>
      <x:c r="H496" s="6" t="n">
        <x:v>2.1</x:v>
      </x:c>
      <x:c r="I496" s="5" t="n"/>
      <x:c r="J496" s="5" t="inlineStr">
        <x:is>
          <x:t xml:space="preserve">무진화</x:t>
        </x:is>
      </x:c>
      <x:c r="K496" s="7" t="inlineStr">
        <x:is>
          <x:t xml:space="preserve">육상</x:t>
        </x:is>
      </x:c>
      <x:c r="L496" s="7" t="inlineStr">
        <x:is>
          <x:t xml:space="preserve">수목</x:t>
        </x:is>
      </x:c>
      <x:c r="M496" s="7" t="inlineStr">
        <x:is>
          <x:t xml:space="preserve">온대</x:t>
        </x:is>
      </x:c>
      <x:c r="N496" s="7" t="inlineStr">
        <x:is>
          <x:t xml:space="preserve">보통</x:t>
        </x:is>
      </x:c>
      <x:c r="O496" s="7" t="inlineStr">
        <x:is>
          <x:t xml:space="preserve">무관</x:t>
        </x:is>
      </x:c>
      <x:c r="P496" s="7" t="inlineStr">
        <x:is>
          <x:t xml:space="preserve">무관</x:t>
        </x:is>
      </x:c>
      <x:c r="Q496" s="7" t="inlineStr">
        <x:is>
          <x:t xml:space="preserve">전설</x:t>
        </x:is>
      </x:c>
      <x:c r="R496" s="7" t="inlineStr">
        <x:is>
          <x:t xml:space="preserve">전설</x:t>
        </x:is>
      </x:c>
      <x:c r="S496" s="7" t="inlineStr">
        <x:is>
          <x:t xml:space="preserve"/>
        </x:is>
      </x:c>
      <x:c r="T496" s="7" t="inlineStr">
        <x:is>
          <x:t xml:space="preserve"/>
        </x:is>
      </x:c>
      <x:c r="U496" s="8" t="str">
        <x:f>INDEX('서식지_점수'!$E$4:$P$4,1,MATCH(MAX('서식지_점수'!E496:P496),'서식지_점수'!E496:P496,0))</x:f>
        <x:v>평원</x:v>
      </x:c>
      <x:c r="V496" s="8" t="str">
        <x:f>IF(T496&lt;&gt;"",T496,U496)</x:f>
        <x:v>평원</x:v>
      </x:c>
      <x:c r="W496" s="8" t="str">
        <x:f>IFERROR(INDEX('서식지_점수'!$E$4:$P$4,1,MATCH(MAXIFS('서식지_점수'!E496:P496,'서식지_점수'!E496:P496,"&lt;"&amp;MAX('서식지_점수'!E496:P496)),'서식지_점수'!E496:P496,0)),"")</x:f>
        <x:v>숲</x:v>
      </x:c>
      <x:c r="X496" s="8" t="str">
        <x:f>IF(T496&lt;&gt;"","수동확정",IF(MAX('서식지_점수'!E496:P496)-LARGE('서식지_점수'!E496:P496,2)&gt;=15,"높음",IF(MAX('서식지_점수'!E496:P496)-LARGE('서식지_점수'!E496:P496,2)&gt;=8,"보통","검토필요")))</x:f>
        <x:v>검토필요</x:v>
      </x:c>
      <x:c r="Y496" s="9" t="n">
        <x:f>IF(Q496="전설",8,IF(Q496="희귀",7,IF(J496="기본",1,IF(J496="중간",3,IF(J496="최종",IF(I496="",5,IF(I496&lt;=20,3,IF(I496&lt;=35,4,IF(I496&lt;=50,6,7)))),IF(Q496="드묾",4,2))))))</x:f>
        <x:v>8</x:v>
      </x:c>
      <x:c r="Z496" s="5" t="inlineStr">
        <x:is>
          <x:t xml:space="preserve">cobbleverse:custom_spawn/flower_paradise</x:t>
        </x:is>
      </x:c>
      <x:c r="AA496" s="5" t="inlineStr">
        <x:is>
          <x:t xml:space="preserve">ultra-rare</x:t>
        </x:is>
      </x:c>
      <x:c r="AB496" s="5" t="inlineStr">
        <x:is>
          <x:t xml:space="preserve">아니오</x:t>
        </x:is>
      </x:c>
      <x:c r="AC496" s="8" t="str">
        <x:f>IF(T496&lt;&gt;"","수동확정",IF(X496="검토필요","검토필요",IF(S496="","원본없음","초기완료")))</x:f>
        <x:v>검토필요</x:v>
      </x:c>
      <x:c r="AD496" s="7" t="inlineStr">
        <x:is>
          <x:t xml:space="preserve"/>
        </x:is>
      </x:c>
      <x:c r="AE496" s="5" t="inlineStr">
        <x:is>
          <x:t xml:space="preserve">.tmp/cobblemon-1.7.3-source/common/src/main/resources/data/cobblemon/species/generation4/shaymin.json</x:t>
        </x:is>
      </x:c>
      <x:c r="AF496" s="5" t="str">
        <x:f>"생활권|"&amp;K496</x:f>
        <x:v>생활권|육상</x:v>
      </x:c>
      <x:c r="AG496" s="5" t="str">
        <x:f>"지형|"&amp;L496</x:f>
        <x:v>지형|수목</x:v>
      </x:c>
      <x:c r="AH496" s="5" t="str">
        <x:f>"온도|"&amp;M496</x:f>
        <x:v>온도|온대</x:v>
      </x:c>
      <x:c r="AI496" s="5" t="str">
        <x:f>"습도|"&amp;N496</x:f>
        <x:v>습도|보통</x:v>
      </x:c>
      <x:c r="AJ496" s="5" t="str">
        <x:f>"날씨|"&amp;O496</x:f>
        <x:v>날씨|무관</x:v>
      </x:c>
      <x:c r="AK496" s="5" t="str">
        <x:f>"특수태그|"&amp;R496</x:f>
        <x:v>특수태그|전설</x:v>
      </x:c>
      <x:c r="AL496" s="5" t="str">
        <x:f>"원본서식지|"&amp;S496</x:f>
        <x:v>원본서식지|</x:v>
      </x:c>
      <x:c r="AM496" s="5" t="str">
        <x:f>"타입|"&amp;F496</x:f>
        <x:v>타입|풀</x:v>
      </x:c>
      <x:c r="AN496" s="5" t="str">
        <x:f>"타입|"&amp;G496</x:f>
        <x:v>타입|</x:v>
      </x:c>
    </x:row>
    <x:row r="497" ht="24" customHeight="1">
      <x:c r="A497" s="5" t="n">
        <x:v>493</x:v>
      </x:c>
      <x:c r="B497" s="5" t="inlineStr">
        <x:is>
          <x:t xml:space="preserve">아르세우스</x:t>
        </x:is>
      </x:c>
      <x:c r="C497" s="5" t="inlineStr">
        <x:is>
          <x:t xml:space="preserve">arceus</x:t>
        </x:is>
      </x:c>
      <x:c r="D497" s="5" t="inlineStr">
        <x:is>
          <x:t xml:space="preserve">Arceus</x:t>
        </x:is>
      </x:c>
      <x:c r="E497" s="5" t="n">
        <x:v>4</x:v>
      </x:c>
      <x:c r="F497" s="5" t="inlineStr">
        <x:is>
          <x:t xml:space="preserve">노말</x:t>
        </x:is>
      </x:c>
      <x:c r="G497" s="5" t="inlineStr">
        <x:is>
          <x:t xml:space="preserve"/>
        </x:is>
      </x:c>
      <x:c r="H497" s="6" t="n">
        <x:v>320</x:v>
      </x:c>
      <x:c r="I497" s="5" t="n"/>
      <x:c r="J497" s="5" t="inlineStr">
        <x:is>
          <x:t xml:space="preserve">무진화</x:t>
        </x:is>
      </x:c>
      <x:c r="K497" s="7" t="inlineStr">
        <x:is>
          <x:t xml:space="preserve">비행</x:t>
        </x:is>
      </x:c>
      <x:c r="L497" s="7" t="inlineStr">
        <x:is>
          <x:t xml:space="preserve">특수</x:t>
        </x:is>
      </x:c>
      <x:c r="M497" s="7" t="inlineStr">
        <x:is>
          <x:t xml:space="preserve">온대</x:t>
        </x:is>
      </x:c>
      <x:c r="N497" s="7" t="inlineStr">
        <x:is>
          <x:t xml:space="preserve">보통</x:t>
        </x:is>
      </x:c>
      <x:c r="O497" s="7" t="inlineStr">
        <x:is>
          <x:t xml:space="preserve">무관</x:t>
        </x:is>
      </x:c>
      <x:c r="P497" s="7" t="inlineStr">
        <x:is>
          <x:t xml:space="preserve">무관</x:t>
        </x:is>
      </x:c>
      <x:c r="Q497" s="7" t="inlineStr">
        <x:is>
          <x:t xml:space="preserve">전설</x:t>
        </x:is>
      </x:c>
      <x:c r="R497" s="7" t="inlineStr">
        <x:is>
          <x:t xml:space="preserve">전설</x:t>
        </x:is>
      </x:c>
      <x:c r="S497" s="7" t="inlineStr">
        <x:is>
          <x:t xml:space="preserve">특수</x:t>
        </x:is>
      </x:c>
      <x:c r="T497" s="7" t="inlineStr">
        <x:is>
          <x:t xml:space="preserve"/>
        </x:is>
      </x:c>
      <x:c r="U497" s="8" t="str">
        <x:f>INDEX('서식지_점수'!$E$4:$P$4,1,MATCH(MAX('서식지_점수'!E497:P497),'서식지_점수'!E497:P497,0))</x:f>
        <x:v>산악</x:v>
      </x:c>
      <x:c r="V497" s="8" t="str">
        <x:f>IF(T497&lt;&gt;"",T497,U497)</x:f>
        <x:v>산악</x:v>
      </x:c>
      <x:c r="W497" s="8" t="str">
        <x:f>IFERROR(INDEX('서식지_점수'!$E$4:$P$4,1,MATCH(MAXIFS('서식지_점수'!E497:P497,'서식지_점수'!E497:P497,"&lt;"&amp;MAX('서식지_점수'!E497:P497)),'서식지_점수'!E497:P497,0)),"")</x:f>
        <x:v>평원</x:v>
      </x:c>
      <x:c r="X497" s="8" t="str">
        <x:f>IF(T497&lt;&gt;"","수동확정",IF(MAX('서식지_점수'!E497:P497)-LARGE('서식지_점수'!E497:P497,2)&gt;=15,"높음",IF(MAX('서식지_점수'!E497:P497)-LARGE('서식지_점수'!E497:P497,2)&gt;=8,"보통","검토필요")))</x:f>
        <x:v>검토필요</x:v>
      </x:c>
      <x:c r="Y497" s="9" t="n">
        <x:f>IF(Q497="전설",8,IF(Q497="희귀",7,IF(J497="기본",1,IF(J497="중간",3,IF(J497="최종",IF(I497="",5,IF(I497&lt;=20,3,IF(I497&lt;=35,4,IF(I497&lt;=50,6,7)))),IF(Q497="드묾",4,2))))))</x:f>
        <x:v>8</x:v>
      </x:c>
      <x:c r="Z497" s="5" t="inlineStr">
        <x:is>
          <x:t xml:space="preserve">cobbleverse:custom_spawn/sinnoh_temple</x:t>
        </x:is>
      </x:c>
      <x:c r="AA497" s="5" t="inlineStr">
        <x:is>
          <x:t xml:space="preserve">ultra-rare</x:t>
        </x:is>
      </x:c>
      <x:c r="AB497" s="5" t="inlineStr">
        <x:is>
          <x:t xml:space="preserve">아니오</x:t>
        </x:is>
      </x:c>
      <x:c r="AC497" s="8" t="str">
        <x:f>IF(T497&lt;&gt;"","수동확정",IF(X497="검토필요","검토필요",IF(S497="","원본없음","초기완료")))</x:f>
        <x:v>검토필요</x:v>
      </x:c>
      <x:c r="AD497" s="7" t="inlineStr">
        <x:is>
          <x:t xml:space="preserve"/>
        </x:is>
      </x:c>
      <x:c r="AE497" s="5" t="inlineStr">
        <x:is>
          <x:t xml:space="preserve">.tmp/cobblemon-1.7.3-source/common/src/main/resources/data/cobblemon/species/generation4/arceus.json</x:t>
        </x:is>
      </x:c>
      <x:c r="AF497" s="5" t="str">
        <x:f>"생활권|"&amp;K497</x:f>
        <x:v>생활권|비행</x:v>
      </x:c>
      <x:c r="AG497" s="5" t="str">
        <x:f>"지형|"&amp;L497</x:f>
        <x:v>지형|특수</x:v>
      </x:c>
      <x:c r="AH497" s="5" t="str">
        <x:f>"온도|"&amp;M497</x:f>
        <x:v>온도|온대</x:v>
      </x:c>
      <x:c r="AI497" s="5" t="str">
        <x:f>"습도|"&amp;N497</x:f>
        <x:v>습도|보통</x:v>
      </x:c>
      <x:c r="AJ497" s="5" t="str">
        <x:f>"날씨|"&amp;O497</x:f>
        <x:v>날씨|무관</x:v>
      </x:c>
      <x:c r="AK497" s="5" t="str">
        <x:f>"특수태그|"&amp;R497</x:f>
        <x:v>특수태그|전설</x:v>
      </x:c>
      <x:c r="AL497" s="5" t="str">
        <x:f>"원본서식지|"&amp;S497</x:f>
        <x:v>원본서식지|특수</x:v>
      </x:c>
      <x:c r="AM497" s="5" t="str">
        <x:f>"타입|"&amp;F497</x:f>
        <x:v>타입|노말</x:v>
      </x:c>
      <x:c r="AN497" s="5" t="str">
        <x:f>"타입|"&amp;G497</x:f>
        <x:v>타입|</x:v>
      </x:c>
    </x:row>
    <x:row r="498" ht="24" customHeight="1">
      <x:c r="A498" s="5" t="n">
        <x:v>494</x:v>
      </x:c>
      <x:c r="B498" s="5" t="inlineStr">
        <x:is>
          <x:t xml:space="preserve">비크티니</x:t>
        </x:is>
      </x:c>
      <x:c r="C498" s="5" t="inlineStr">
        <x:is>
          <x:t xml:space="preserve">victini</x:t>
        </x:is>
      </x:c>
      <x:c r="D498" s="5" t="inlineStr">
        <x:is>
          <x:t xml:space="preserve">Victini</x:t>
        </x:is>
      </x:c>
      <x:c r="E498" s="5" t="n">
        <x:v>5</x:v>
      </x:c>
      <x:c r="F498" s="5" t="inlineStr">
        <x:is>
          <x:t xml:space="preserve">에스퍼</x:t>
        </x:is>
      </x:c>
      <x:c r="G498" s="5" t="inlineStr">
        <x:is>
          <x:t xml:space="preserve">불꽃</x:t>
        </x:is>
      </x:c>
      <x:c r="H498" s="6" t="n">
        <x:v>4</x:v>
      </x:c>
      <x:c r="I498" s="5" t="n"/>
      <x:c r="J498" s="5" t="inlineStr">
        <x:is>
          <x:t xml:space="preserve">무진화</x:t>
        </x:is>
      </x:c>
      <x:c r="K498" s="7" t="inlineStr">
        <x:is>
          <x:t xml:space="preserve">비행</x:t>
        </x:is>
      </x:c>
      <x:c r="L498" s="7" t="inlineStr">
        <x:is>
          <x:t xml:space="preserve">수목</x:t>
        </x:is>
      </x:c>
      <x:c r="M498" s="7" t="inlineStr">
        <x:is>
          <x:t xml:space="preserve">고온</x:t>
        </x:is>
      </x:c>
      <x:c r="N498" s="7" t="inlineStr">
        <x:is>
          <x:t xml:space="preserve">보통</x:t>
        </x:is>
      </x:c>
      <x:c r="O498" s="7" t="inlineStr">
        <x:is>
          <x:t xml:space="preserve">무관</x:t>
        </x:is>
      </x:c>
      <x:c r="P498" s="7" t="inlineStr">
        <x:is>
          <x:t xml:space="preserve">무관</x:t>
        </x:is>
      </x:c>
      <x:c r="Q498" s="7" t="inlineStr">
        <x:is>
          <x:t xml:space="preserve">전설</x:t>
        </x:is>
      </x:c>
      <x:c r="R498" s="7" t="inlineStr">
        <x:is>
          <x:t xml:space="preserve">전설</x:t>
        </x:is>
      </x:c>
      <x:c r="S498" s="7" t="inlineStr">
        <x:is>
          <x:t xml:space="preserve">숲</x:t>
        </x:is>
      </x:c>
      <x:c r="T498" s="7" t="inlineStr">
        <x:is>
          <x:t xml:space="preserve"/>
        </x:is>
      </x:c>
      <x:c r="U498" s="8" t="str">
        <x:f>INDEX('서식지_점수'!$E$4:$P$4,1,MATCH(MAX('서식지_점수'!E498:P498),'서식지_점수'!E498:P498,0))</x:f>
        <x:v>산악</x:v>
      </x:c>
      <x:c r="V498" s="8" t="str">
        <x:f>IF(T498&lt;&gt;"",T498,U498)</x:f>
        <x:v>산악</x:v>
      </x:c>
      <x:c r="W498" s="8" t="str">
        <x:f>IFERROR(INDEX('서식지_점수'!$E$4:$P$4,1,MATCH(MAXIFS('서식지_점수'!E498:P498,'서식지_점수'!E498:P498,"&lt;"&amp;MAX('서식지_점수'!E498:P498)),'서식지_점수'!E498:P498,0)),"")</x:f>
        <x:v>평원</x:v>
      </x:c>
      <x:c r="X498" s="8" t="str">
        <x:f>IF(T498&lt;&gt;"","수동확정",IF(MAX('서식지_점수'!E498:P498)-LARGE('서식지_점수'!E498:P498,2)&gt;=15,"높음",IF(MAX('서식지_점수'!E498:P498)-LARGE('서식지_점수'!E498:P498,2)&gt;=8,"보통","검토필요")))</x:f>
        <x:v>검토필요</x:v>
      </x:c>
      <x:c r="Y498" s="9" t="n">
        <x:f>IF(Q498="전설",8,IF(Q498="희귀",7,IF(J498="기본",1,IF(J498="중간",3,IF(J498="최종",IF(I498="",5,IF(I498&lt;=20,3,IF(I498&lt;=35,4,IF(I498&lt;=50,6,7)))),IF(Q498="드묾",4,2))))))</x:f>
        <x:v>8</x:v>
      </x:c>
      <x:c r="Z498" s="5" t="inlineStr">
        <x:is>
          <x:t xml:space="preserve">minecraft:crimson_forest</x:t>
        </x:is>
      </x:c>
      <x:c r="AA498" s="5" t="inlineStr">
        <x:is>
          <x:t xml:space="preserve">ultra-rare</x:t>
        </x:is>
      </x:c>
      <x:c r="AB498" s="5" t="inlineStr">
        <x:is>
          <x:t xml:space="preserve">아니오</x:t>
        </x:is>
      </x:c>
      <x:c r="AC498" s="8" t="str">
        <x:f>IF(T498&lt;&gt;"","수동확정",IF(X498="검토필요","검토필요",IF(S498="","원본없음","초기완료")))</x:f>
        <x:v>검토필요</x:v>
      </x:c>
      <x:c r="AD498" s="7" t="inlineStr">
        <x:is>
          <x:t xml:space="preserve"/>
        </x:is>
      </x:c>
      <x:c r="AE498" s="5" t="inlineStr">
        <x:is>
          <x:t xml:space="preserve">.tmp/cobblemon-1.7.3-source/common/src/main/resources/data/cobblemon/species/generation5/victini.json</x:t>
        </x:is>
      </x:c>
      <x:c r="AF498" s="5" t="str">
        <x:f>"생활권|"&amp;K498</x:f>
        <x:v>생활권|비행</x:v>
      </x:c>
      <x:c r="AG498" s="5" t="str">
        <x:f>"지형|"&amp;L498</x:f>
        <x:v>지형|수목</x:v>
      </x:c>
      <x:c r="AH498" s="5" t="str">
        <x:f>"온도|"&amp;M498</x:f>
        <x:v>온도|고온</x:v>
      </x:c>
      <x:c r="AI498" s="5" t="str">
        <x:f>"습도|"&amp;N498</x:f>
        <x:v>습도|보통</x:v>
      </x:c>
      <x:c r="AJ498" s="5" t="str">
        <x:f>"날씨|"&amp;O498</x:f>
        <x:v>날씨|무관</x:v>
      </x:c>
      <x:c r="AK498" s="5" t="str">
        <x:f>"특수태그|"&amp;R498</x:f>
        <x:v>특수태그|전설</x:v>
      </x:c>
      <x:c r="AL498" s="5" t="str">
        <x:f>"원본서식지|"&amp;S498</x:f>
        <x:v>원본서식지|숲</x:v>
      </x:c>
      <x:c r="AM498" s="5" t="str">
        <x:f>"타입|"&amp;F498</x:f>
        <x:v>타입|에스퍼</x:v>
      </x:c>
      <x:c r="AN498" s="5" t="str">
        <x:f>"타입|"&amp;G498</x:f>
        <x:v>타입|불꽃</x:v>
      </x:c>
    </x:row>
    <x:row r="499" ht="24" customHeight="1">
      <x:c r="A499" s="5" t="n">
        <x:v>495</x:v>
      </x:c>
      <x:c r="B499" s="5" t="inlineStr">
        <x:is>
          <x:t xml:space="preserve">주리비얀</x:t>
        </x:is>
      </x:c>
      <x:c r="C499" s="5" t="inlineStr">
        <x:is>
          <x:t xml:space="preserve">snivy</x:t>
        </x:is>
      </x:c>
      <x:c r="D499" s="5" t="inlineStr">
        <x:is>
          <x:t xml:space="preserve">Snivy</x:t>
        </x:is>
      </x:c>
      <x:c r="E499" s="5" t="n">
        <x:v>5</x:v>
      </x:c>
      <x:c r="F499" s="5" t="inlineStr">
        <x:is>
          <x:t xml:space="preserve">풀</x:t>
        </x:is>
      </x:c>
      <x:c r="G499" s="5" t="inlineStr">
        <x:is>
          <x:t xml:space="preserve"/>
        </x:is>
      </x:c>
      <x:c r="H499" s="6" t="n">
        <x:v>8.1</x:v>
      </x:c>
      <x:c r="I499" s="5" t="n">
        <x:v>36</x:v>
      </x:c>
      <x:c r="J499" s="5" t="inlineStr">
        <x:is>
          <x:t xml:space="preserve">기본</x:t>
        </x:is>
      </x:c>
      <x:c r="K499" s="7" t="inlineStr">
        <x:is>
          <x:t xml:space="preserve">육상</x:t>
        </x:is>
      </x:c>
      <x:c r="L499" s="7" t="inlineStr">
        <x:is>
          <x:t xml:space="preserve">수목</x:t>
        </x:is>
      </x:c>
      <x:c r="M499" s="7" t="inlineStr">
        <x:is>
          <x:t xml:space="preserve">온대</x:t>
        </x:is>
      </x:c>
      <x:c r="N499" s="7" t="inlineStr">
        <x:is>
          <x:t xml:space="preserve">다습</x:t>
        </x:is>
      </x:c>
      <x:c r="O499" s="7" t="inlineStr">
        <x:is>
          <x:t xml:space="preserve">무관</x:t>
        </x:is>
      </x:c>
      <x:c r="P499" s="7" t="inlineStr">
        <x:is>
          <x:t xml:space="preserve">무관</x:t>
        </x:is>
      </x:c>
      <x:c r="Q499" s="7" t="inlineStr">
        <x:is>
          <x:t xml:space="preserve">희귀</x:t>
        </x:is>
      </x:c>
      <x:c r="R499" s="7" t="inlineStr">
        <x:is>
          <x:t xml:space="preserve">없음</x:t>
        </x:is>
      </x:c>
      <x:c r="S499" s="7" t="inlineStr">
        <x:is>
          <x:t xml:space="preserve">숲</x:t>
        </x:is>
      </x:c>
      <x:c r="T499" s="7" t="inlineStr">
        <x:is>
          <x:t xml:space="preserve"/>
        </x:is>
      </x:c>
      <x:c r="U499" s="8" t="str">
        <x:f>INDEX('서식지_점수'!$E$4:$P$4,1,MATCH(MAX('서식지_점수'!E499:P499),'서식지_점수'!E499:P499,0))</x:f>
        <x:v>평원</x:v>
      </x:c>
      <x:c r="V499" s="8" t="str">
        <x:f>IF(T499&lt;&gt;"",T499,U499)</x:f>
        <x:v>평원</x:v>
      </x:c>
      <x:c r="W499" s="8" t="str">
        <x:f>IFERROR(INDEX('서식지_점수'!$E$4:$P$4,1,MATCH(MAXIFS('서식지_점수'!E499:P499,'서식지_점수'!E499:P499,"&lt;"&amp;MAX('서식지_점수'!E499:P499)),'서식지_점수'!E499:P499,0)),"")</x:f>
        <x:v>숲</x:v>
      </x:c>
      <x:c r="X499" s="8" t="str">
        <x:f>IF(T499&lt;&gt;"","수동확정",IF(MAX('서식지_점수'!E499:P499)-LARGE('서식지_점수'!E499:P499,2)&gt;=15,"높음",IF(MAX('서식지_점수'!E499:P499)-LARGE('서식지_점수'!E499:P499,2)&gt;=8,"보통","검토필요")))</x:f>
        <x:v>검토필요</x:v>
      </x:c>
      <x:c r="Y499" s="9" t="n">
        <x:f>IF(Q499="전설",8,IF(Q499="희귀",7,IF(J499="기본",1,IF(J499="중간",3,IF(J499="최종",IF(I499="",5,IF(I499&lt;=20,3,IF(I499&lt;=35,4,IF(I499&lt;=50,6,7)))),IF(Q499="드묾",4,2))))))</x:f>
        <x:v>7</x:v>
      </x:c>
      <x:c r="Z499" s="5" t="inlineStr">
        <x:is>
          <x:t xml:space="preserve">#cobblemon:is_jungle</x:t>
        </x:is>
      </x:c>
      <x:c r="AA499" s="5" t="inlineStr">
        <x:is>
          <x:t xml:space="preserve">ultra-rare</x:t>
        </x:is>
      </x:c>
      <x:c r="AB499" s="5" t="inlineStr">
        <x:is>
          <x:t xml:space="preserve">예</x:t>
        </x:is>
      </x:c>
      <x:c r="AC499" s="8" t="str">
        <x:f>IF(T499&lt;&gt;"","수동확정",IF(X499="검토필요","검토필요",IF(S499="","원본없음","초기완료")))</x:f>
        <x:v>검토필요</x:v>
      </x:c>
      <x:c r="AD499" s="7" t="inlineStr">
        <x:is>
          <x:t xml:space="preserve"/>
        </x:is>
      </x:c>
      <x:c r="AE499" s="5" t="inlineStr">
        <x:is>
          <x:t xml:space="preserve">.tmp/cobblemon-1.7.3-source/common/src/main/resources/data/cobblemon/species/generation5/snivy.json</x:t>
        </x:is>
      </x:c>
      <x:c r="AF499" s="5" t="str">
        <x:f>"생활권|"&amp;K499</x:f>
        <x:v>생활권|육상</x:v>
      </x:c>
      <x:c r="AG499" s="5" t="str">
        <x:f>"지형|"&amp;L499</x:f>
        <x:v>지형|수목</x:v>
      </x:c>
      <x:c r="AH499" s="5" t="str">
        <x:f>"온도|"&amp;M499</x:f>
        <x:v>온도|온대</x:v>
      </x:c>
      <x:c r="AI499" s="5" t="str">
        <x:f>"습도|"&amp;N499</x:f>
        <x:v>습도|다습</x:v>
      </x:c>
      <x:c r="AJ499" s="5" t="str">
        <x:f>"날씨|"&amp;O499</x:f>
        <x:v>날씨|무관</x:v>
      </x:c>
      <x:c r="AK499" s="5" t="str">
        <x:f>"특수태그|"&amp;R499</x:f>
        <x:v>특수태그|없음</x:v>
      </x:c>
      <x:c r="AL499" s="5" t="str">
        <x:f>"원본서식지|"&amp;S499</x:f>
        <x:v>원본서식지|숲</x:v>
      </x:c>
      <x:c r="AM499" s="5" t="str">
        <x:f>"타입|"&amp;F499</x:f>
        <x:v>타입|풀</x:v>
      </x:c>
      <x:c r="AN499" s="5" t="str">
        <x:f>"타입|"&amp;G499</x:f>
        <x:v>타입|</x:v>
      </x:c>
    </x:row>
    <x:row r="500" ht="24" customHeight="1">
      <x:c r="A500" s="5" t="n">
        <x:v>496</x:v>
      </x:c>
      <x:c r="B500" s="5" t="inlineStr">
        <x:is>
          <x:t xml:space="preserve">샤비</x:t>
        </x:is>
      </x:c>
      <x:c r="C500" s="5" t="inlineStr">
        <x:is>
          <x:t xml:space="preserve">servine</x:t>
        </x:is>
      </x:c>
      <x:c r="D500" s="5" t="inlineStr">
        <x:is>
          <x:t xml:space="preserve">Servine</x:t>
        </x:is>
      </x:c>
      <x:c r="E500" s="5" t="n">
        <x:v>5</x:v>
      </x:c>
      <x:c r="F500" s="5" t="inlineStr">
        <x:is>
          <x:t xml:space="preserve">풀</x:t>
        </x:is>
      </x:c>
      <x:c r="G500" s="5" t="inlineStr">
        <x:is>
          <x:t xml:space="preserve"/>
        </x:is>
      </x:c>
      <x:c r="H500" s="6" t="n">
        <x:v>16</x:v>
      </x:c>
      <x:c r="I500" s="5" t="n">
        <x:v>36</x:v>
      </x:c>
      <x:c r="J500" s="5" t="inlineStr">
        <x:is>
          <x:t xml:space="preserve">중간</x:t>
        </x:is>
      </x:c>
      <x:c r="K500" s="7" t="inlineStr">
        <x:is>
          <x:t xml:space="preserve">육상</x:t>
        </x:is>
      </x:c>
      <x:c r="L500" s="7" t="inlineStr">
        <x:is>
          <x:t xml:space="preserve">수목</x:t>
        </x:is>
      </x:c>
      <x:c r="M500" s="7" t="inlineStr">
        <x:is>
          <x:t xml:space="preserve">온대</x:t>
        </x:is>
      </x:c>
      <x:c r="N500" s="7" t="inlineStr">
        <x:is>
          <x:t xml:space="preserve">다습</x:t>
        </x:is>
      </x:c>
      <x:c r="O500" s="7" t="inlineStr">
        <x:is>
          <x:t xml:space="preserve">무관</x:t>
        </x:is>
      </x:c>
      <x:c r="P500" s="7" t="inlineStr">
        <x:is>
          <x:t xml:space="preserve">무관</x:t>
        </x:is>
      </x:c>
      <x:c r="Q500" s="7" t="inlineStr">
        <x:is>
          <x:t xml:space="preserve">희귀</x:t>
        </x:is>
      </x:c>
      <x:c r="R500" s="7" t="inlineStr">
        <x:is>
          <x:t xml:space="preserve">없음</x:t>
        </x:is>
      </x:c>
      <x:c r="S500" s="7" t="inlineStr">
        <x:is>
          <x:t xml:space="preserve">숲</x:t>
        </x:is>
      </x:c>
      <x:c r="T500" s="7" t="inlineStr">
        <x:is>
          <x:t xml:space="preserve"/>
        </x:is>
      </x:c>
      <x:c r="U500" s="8" t="str">
        <x:f>INDEX('서식지_점수'!$E$4:$P$4,1,MATCH(MAX('서식지_점수'!E500:P500),'서식지_점수'!E500:P500,0))</x:f>
        <x:v>평원</x:v>
      </x:c>
      <x:c r="V500" s="8" t="str">
        <x:f>IF(T500&lt;&gt;"",T500,U500)</x:f>
        <x:v>평원</x:v>
      </x:c>
      <x:c r="W500" s="8" t="str">
        <x:f>IFERROR(INDEX('서식지_점수'!$E$4:$P$4,1,MATCH(MAXIFS('서식지_점수'!E500:P500,'서식지_점수'!E500:P500,"&lt;"&amp;MAX('서식지_점수'!E500:P500)),'서식지_점수'!E500:P500,0)),"")</x:f>
        <x:v>숲</x:v>
      </x:c>
      <x:c r="X500" s="8" t="str">
        <x:f>IF(T500&lt;&gt;"","수동확정",IF(MAX('서식지_점수'!E500:P500)-LARGE('서식지_점수'!E500:P500,2)&gt;=15,"높음",IF(MAX('서식지_점수'!E500:P500)-LARGE('서식지_점수'!E500:P500,2)&gt;=8,"보통","검토필요")))</x:f>
        <x:v>검토필요</x:v>
      </x:c>
      <x:c r="Y500" s="9" t="n">
        <x:f>IF(Q500="전설",8,IF(Q500="희귀",7,IF(J500="기본",1,IF(J500="중간",3,IF(J500="최종",IF(I500="",5,IF(I500&lt;=20,3,IF(I500&lt;=35,4,IF(I500&lt;=50,6,7)))),IF(Q500="드묾",4,2))))))</x:f>
        <x:v>7</x:v>
      </x:c>
      <x:c r="Z500" s="5" t="inlineStr">
        <x:is>
          <x:t xml:space="preserve">#cobblemon:is_jungle</x:t>
        </x:is>
      </x:c>
      <x:c r="AA500" s="5" t="inlineStr">
        <x:is>
          <x:t xml:space="preserve">ultra-rare</x:t>
        </x:is>
      </x:c>
      <x:c r="AB500" s="5" t="inlineStr">
        <x:is>
          <x:t xml:space="preserve">예</x:t>
        </x:is>
      </x:c>
      <x:c r="AC500" s="8" t="str">
        <x:f>IF(T500&lt;&gt;"","수동확정",IF(X500="검토필요","검토필요",IF(S500="","원본없음","초기완료")))</x:f>
        <x:v>검토필요</x:v>
      </x:c>
      <x:c r="AD500" s="7" t="inlineStr">
        <x:is>
          <x:t xml:space="preserve"/>
        </x:is>
      </x:c>
      <x:c r="AE500" s="5" t="inlineStr">
        <x:is>
          <x:t xml:space="preserve">.tmp/cobblemon-1.7.3-source/common/src/main/resources/data/cobblemon/species/generation5/servine.json</x:t>
        </x:is>
      </x:c>
      <x:c r="AF500" s="5" t="str">
        <x:f>"생활권|"&amp;K500</x:f>
        <x:v>생활권|육상</x:v>
      </x:c>
      <x:c r="AG500" s="5" t="str">
        <x:f>"지형|"&amp;L500</x:f>
        <x:v>지형|수목</x:v>
      </x:c>
      <x:c r="AH500" s="5" t="str">
        <x:f>"온도|"&amp;M500</x:f>
        <x:v>온도|온대</x:v>
      </x:c>
      <x:c r="AI500" s="5" t="str">
        <x:f>"습도|"&amp;N500</x:f>
        <x:v>습도|다습</x:v>
      </x:c>
      <x:c r="AJ500" s="5" t="str">
        <x:f>"날씨|"&amp;O500</x:f>
        <x:v>날씨|무관</x:v>
      </x:c>
      <x:c r="AK500" s="5" t="str">
        <x:f>"특수태그|"&amp;R500</x:f>
        <x:v>특수태그|없음</x:v>
      </x:c>
      <x:c r="AL500" s="5" t="str">
        <x:f>"원본서식지|"&amp;S500</x:f>
        <x:v>원본서식지|숲</x:v>
      </x:c>
      <x:c r="AM500" s="5" t="str">
        <x:f>"타입|"&amp;F500</x:f>
        <x:v>타입|풀</x:v>
      </x:c>
      <x:c r="AN500" s="5" t="str">
        <x:f>"타입|"&amp;G500</x:f>
        <x:v>타입|</x:v>
      </x:c>
    </x:row>
    <x:row r="501" ht="24" customHeight="1">
      <x:c r="A501" s="5" t="n">
        <x:v>497</x:v>
      </x:c>
      <x:c r="B501" s="5" t="inlineStr">
        <x:is>
          <x:t xml:space="preserve">샤로다</x:t>
        </x:is>
      </x:c>
      <x:c r="C501" s="5" t="inlineStr">
        <x:is>
          <x:t xml:space="preserve">serperior</x:t>
        </x:is>
      </x:c>
      <x:c r="D501" s="5" t="inlineStr">
        <x:is>
          <x:t xml:space="preserve">Serperior</x:t>
        </x:is>
      </x:c>
      <x:c r="E501" s="5" t="n">
        <x:v>5</x:v>
      </x:c>
      <x:c r="F501" s="5" t="inlineStr">
        <x:is>
          <x:t xml:space="preserve">풀</x:t>
        </x:is>
      </x:c>
      <x:c r="G501" s="5" t="inlineStr">
        <x:is>
          <x:t xml:space="preserve"/>
        </x:is>
      </x:c>
      <x:c r="H501" s="6" t="n">
        <x:v>63</x:v>
      </x:c>
      <x:c r="I501" s="5" t="n">
        <x:v>36</x:v>
      </x:c>
      <x:c r="J501" s="5" t="inlineStr">
        <x:is>
          <x:t xml:space="preserve">최종</x:t>
        </x:is>
      </x:c>
      <x:c r="K501" s="7" t="inlineStr">
        <x:is>
          <x:t xml:space="preserve">육상</x:t>
        </x:is>
      </x:c>
      <x:c r="L501" s="7" t="inlineStr">
        <x:is>
          <x:t xml:space="preserve">수목</x:t>
        </x:is>
      </x:c>
      <x:c r="M501" s="7" t="inlineStr">
        <x:is>
          <x:t xml:space="preserve">온대</x:t>
        </x:is>
      </x:c>
      <x:c r="N501" s="7" t="inlineStr">
        <x:is>
          <x:t xml:space="preserve">다습</x:t>
        </x:is>
      </x:c>
      <x:c r="O501" s="7" t="inlineStr">
        <x:is>
          <x:t xml:space="preserve">무관</x:t>
        </x:is>
      </x:c>
      <x:c r="P501" s="7" t="inlineStr">
        <x:is>
          <x:t xml:space="preserve">무관</x:t>
        </x:is>
      </x:c>
      <x:c r="Q501" s="7" t="inlineStr">
        <x:is>
          <x:t xml:space="preserve">희귀</x:t>
        </x:is>
      </x:c>
      <x:c r="R501" s="7" t="inlineStr">
        <x:is>
          <x:t xml:space="preserve">없음</x:t>
        </x:is>
      </x:c>
      <x:c r="S501" s="7" t="inlineStr">
        <x:is>
          <x:t xml:space="preserve">숲</x:t>
        </x:is>
      </x:c>
      <x:c r="T501" s="7" t="inlineStr">
        <x:is>
          <x:t xml:space="preserve"/>
        </x:is>
      </x:c>
      <x:c r="U501" s="8" t="str">
        <x:f>INDEX('서식지_점수'!$E$4:$P$4,1,MATCH(MAX('서식지_점수'!E501:P501),'서식지_점수'!E501:P501,0))</x:f>
        <x:v>평원</x:v>
      </x:c>
      <x:c r="V501" s="8" t="str">
        <x:f>IF(T501&lt;&gt;"",T501,U501)</x:f>
        <x:v>평원</x:v>
      </x:c>
      <x:c r="W501" s="8" t="str">
        <x:f>IFERROR(INDEX('서식지_점수'!$E$4:$P$4,1,MATCH(MAXIFS('서식지_점수'!E501:P501,'서식지_점수'!E501:P501,"&lt;"&amp;MAX('서식지_점수'!E501:P501)),'서식지_점수'!E501:P501,0)),"")</x:f>
        <x:v>숲</x:v>
      </x:c>
      <x:c r="X501" s="8" t="str">
        <x:f>IF(T501&lt;&gt;"","수동확정",IF(MAX('서식지_점수'!E501:P501)-LARGE('서식지_점수'!E501:P501,2)&gt;=15,"높음",IF(MAX('서식지_점수'!E501:P501)-LARGE('서식지_점수'!E501:P501,2)&gt;=8,"보통","검토필요")))</x:f>
        <x:v>검토필요</x:v>
      </x:c>
      <x:c r="Y501" s="9" t="n">
        <x:f>IF(Q501="전설",8,IF(Q501="희귀",7,IF(J501="기본",1,IF(J501="중간",3,IF(J501="최종",IF(I501="",5,IF(I501&lt;=20,3,IF(I501&lt;=35,4,IF(I501&lt;=50,6,7)))),IF(Q501="드묾",4,2))))))</x:f>
        <x:v>7</x:v>
      </x:c>
      <x:c r="Z501" s="5" t="inlineStr">
        <x:is>
          <x:t xml:space="preserve">#cobblemon:is_jungle</x:t>
        </x:is>
      </x:c>
      <x:c r="AA501" s="5" t="inlineStr">
        <x:is>
          <x:t xml:space="preserve">ultra-rare</x:t>
        </x:is>
      </x:c>
      <x:c r="AB501" s="5" t="inlineStr">
        <x:is>
          <x:t xml:space="preserve">예</x:t>
        </x:is>
      </x:c>
      <x:c r="AC501" s="8" t="str">
        <x:f>IF(T501&lt;&gt;"","수동확정",IF(X501="검토필요","검토필요",IF(S501="","원본없음","초기완료")))</x:f>
        <x:v>검토필요</x:v>
      </x:c>
      <x:c r="AD501" s="7" t="inlineStr">
        <x:is>
          <x:t xml:space="preserve"/>
        </x:is>
      </x:c>
      <x:c r="AE501" s="5" t="inlineStr">
        <x:is>
          <x:t xml:space="preserve">.tmp/cobblemon-1.7.3-source/common/src/main/resources/data/cobblemon/species/generation5/serperior.json</x:t>
        </x:is>
      </x:c>
      <x:c r="AF501" s="5" t="str">
        <x:f>"생활권|"&amp;K501</x:f>
        <x:v>생활권|육상</x:v>
      </x:c>
      <x:c r="AG501" s="5" t="str">
        <x:f>"지형|"&amp;L501</x:f>
        <x:v>지형|수목</x:v>
      </x:c>
      <x:c r="AH501" s="5" t="str">
        <x:f>"온도|"&amp;M501</x:f>
        <x:v>온도|온대</x:v>
      </x:c>
      <x:c r="AI501" s="5" t="str">
        <x:f>"습도|"&amp;N501</x:f>
        <x:v>습도|다습</x:v>
      </x:c>
      <x:c r="AJ501" s="5" t="str">
        <x:f>"날씨|"&amp;O501</x:f>
        <x:v>날씨|무관</x:v>
      </x:c>
      <x:c r="AK501" s="5" t="str">
        <x:f>"특수태그|"&amp;R501</x:f>
        <x:v>특수태그|없음</x:v>
      </x:c>
      <x:c r="AL501" s="5" t="str">
        <x:f>"원본서식지|"&amp;S501</x:f>
        <x:v>원본서식지|숲</x:v>
      </x:c>
      <x:c r="AM501" s="5" t="str">
        <x:f>"타입|"&amp;F501</x:f>
        <x:v>타입|풀</x:v>
      </x:c>
      <x:c r="AN501" s="5" t="str">
        <x:f>"타입|"&amp;G501</x:f>
        <x:v>타입|</x:v>
      </x:c>
    </x:row>
    <x:row r="502" ht="24" customHeight="1">
      <x:c r="A502" s="5" t="n">
        <x:v>498</x:v>
      </x:c>
      <x:c r="B502" s="5" t="inlineStr">
        <x:is>
          <x:t xml:space="preserve">뚜꾸리</x:t>
        </x:is>
      </x:c>
      <x:c r="C502" s="5" t="inlineStr">
        <x:is>
          <x:t xml:space="preserve">tepig</x:t>
        </x:is>
      </x:c>
      <x:c r="D502" s="5" t="inlineStr">
        <x:is>
          <x:t xml:space="preserve">Tepig</x:t>
        </x:is>
      </x:c>
      <x:c r="E502" s="5" t="n">
        <x:v>5</x:v>
      </x:c>
      <x:c r="F502" s="5" t="inlineStr">
        <x:is>
          <x:t xml:space="preserve">불꽃</x:t>
        </x:is>
      </x:c>
      <x:c r="G502" s="5" t="inlineStr">
        <x:is>
          <x:t xml:space="preserve"/>
        </x:is>
      </x:c>
      <x:c r="H502" s="6" t="n">
        <x:v>9.9</x:v>
      </x:c>
      <x:c r="I502" s="5" t="n">
        <x:v>36</x:v>
      </x:c>
      <x:c r="J502" s="5" t="inlineStr">
        <x:is>
          <x:t xml:space="preserve">기본</x:t>
        </x:is>
      </x:c>
      <x:c r="K502" s="7" t="inlineStr">
        <x:is>
          <x:t xml:space="preserve">육상</x:t>
        </x:is>
      </x:c>
      <x:c r="L502" s="7" t="inlineStr">
        <x:is>
          <x:t xml:space="preserve">화산</x:t>
        </x:is>
      </x:c>
      <x:c r="M502" s="7" t="inlineStr">
        <x:is>
          <x:t xml:space="preserve">고온</x:t>
        </x:is>
      </x:c>
      <x:c r="N502" s="7" t="inlineStr">
        <x:is>
          <x:t xml:space="preserve">건조</x:t>
        </x:is>
      </x:c>
      <x:c r="O502" s="7" t="inlineStr">
        <x:is>
          <x:t xml:space="preserve">맑음</x:t>
        </x:is>
      </x:c>
      <x:c r="P502" s="7" t="inlineStr">
        <x:is>
          <x:t xml:space="preserve">무관</x:t>
        </x:is>
      </x:c>
      <x:c r="Q502" s="7" t="inlineStr">
        <x:is>
          <x:t xml:space="preserve">희귀</x:t>
        </x:is>
      </x:c>
      <x:c r="R502" s="7" t="inlineStr">
        <x:is>
          <x:t xml:space="preserve">화산</x:t>
        </x:is>
      </x:c>
      <x:c r="S502" s="7" t="inlineStr">
        <x:is>
          <x:t xml:space="preserve">화산</x:t>
        </x:is>
      </x:c>
      <x:c r="T502" s="7" t="inlineStr">
        <x:is>
          <x:t xml:space="preserve"/>
        </x:is>
      </x:c>
      <x:c r="U502" s="8" t="str">
        <x:f>INDEX('서식지_점수'!$E$4:$P$4,1,MATCH(MAX('서식지_점수'!E502:P502),'서식지_점수'!E502:P502,0))</x:f>
        <x:v>평원</x:v>
      </x:c>
      <x:c r="V502" s="8" t="str">
        <x:f>IF(T502&lt;&gt;"",T502,U502)</x:f>
        <x:v>평원</x:v>
      </x:c>
      <x:c r="W502" s="8" t="str">
        <x:f>IFERROR(INDEX('서식지_점수'!$E$4:$P$4,1,MATCH(MAXIFS('서식지_점수'!E502:P502,'서식지_점수'!E502:P502,"&lt;"&amp;MAX('서식지_점수'!E502:P502)),'서식지_점수'!E502:P502,0)),"")</x:f>
        <x:v>숲</x:v>
      </x:c>
      <x:c r="X502" s="8" t="str">
        <x:f>IF(T502&lt;&gt;"","수동확정",IF(MAX('서식지_점수'!E502:P502)-LARGE('서식지_점수'!E502:P502,2)&gt;=15,"높음",IF(MAX('서식지_점수'!E502:P502)-LARGE('서식지_점수'!E502:P502,2)&gt;=8,"보통","검토필요")))</x:f>
        <x:v>검토필요</x:v>
      </x:c>
      <x:c r="Y502" s="9" t="n">
        <x:f>IF(Q502="전설",8,IF(Q502="희귀",7,IF(J502="기본",1,IF(J502="중간",3,IF(J502="최종",IF(I502="",5,IF(I502&lt;=20,3,IF(I502&lt;=35,4,IF(I502&lt;=50,6,7)))),IF(Q502="드묾",4,2))))))</x:f>
        <x:v>7</x:v>
      </x:c>
      <x:c r="Z502" s="5" t="inlineStr">
        <x:is>
          <x:t xml:space="preserve">#cobblemon:is_plains; #cobblemon:nether/is_crimson; #cobblemon:nether/is_overgrowth</x:t>
        </x:is>
      </x:c>
      <x:c r="AA502" s="5" t="inlineStr">
        <x:is>
          <x:t xml:space="preserve">ultra-rare</x:t>
        </x:is>
      </x:c>
      <x:c r="AB502" s="5" t="inlineStr">
        <x:is>
          <x:t xml:space="preserve">예</x:t>
        </x:is>
      </x:c>
      <x:c r="AC502" s="8" t="str">
        <x:f>IF(T502&lt;&gt;"","수동확정",IF(X502="검토필요","검토필요",IF(S502="","원본없음","초기완료")))</x:f>
        <x:v>검토필요</x:v>
      </x:c>
      <x:c r="AD502" s="7" t="inlineStr">
        <x:is>
          <x:t xml:space="preserve"/>
        </x:is>
      </x:c>
      <x:c r="AE502" s="5" t="inlineStr">
        <x:is>
          <x:t xml:space="preserve">.tmp/cobblemon-1.7.3-source/common/src/main/resources/data/cobblemon/species/generation5/tepig.json</x:t>
        </x:is>
      </x:c>
      <x:c r="AF502" s="5" t="str">
        <x:f>"생활권|"&amp;K502</x:f>
        <x:v>생활권|육상</x:v>
      </x:c>
      <x:c r="AG502" s="5" t="str">
        <x:f>"지형|"&amp;L502</x:f>
        <x:v>지형|화산</x:v>
      </x:c>
      <x:c r="AH502" s="5" t="str">
        <x:f>"온도|"&amp;M502</x:f>
        <x:v>온도|고온</x:v>
      </x:c>
      <x:c r="AI502" s="5" t="str">
        <x:f>"습도|"&amp;N502</x:f>
        <x:v>습도|건조</x:v>
      </x:c>
      <x:c r="AJ502" s="5" t="str">
        <x:f>"날씨|"&amp;O502</x:f>
        <x:v>날씨|맑음</x:v>
      </x:c>
      <x:c r="AK502" s="5" t="str">
        <x:f>"특수태그|"&amp;R502</x:f>
        <x:v>특수태그|화산</x:v>
      </x:c>
      <x:c r="AL502" s="5" t="str">
        <x:f>"원본서식지|"&amp;S502</x:f>
        <x:v>원본서식지|화산</x:v>
      </x:c>
      <x:c r="AM502" s="5" t="str">
        <x:f>"타입|"&amp;F502</x:f>
        <x:v>타입|불꽃</x:v>
      </x:c>
      <x:c r="AN502" s="5" t="str">
        <x:f>"타입|"&amp;G502</x:f>
        <x:v>타입|</x:v>
      </x:c>
    </x:row>
    <x:row r="503" ht="24" customHeight="1">
      <x:c r="A503" s="5" t="n">
        <x:v>499</x:v>
      </x:c>
      <x:c r="B503" s="5" t="inlineStr">
        <x:is>
          <x:t xml:space="preserve">차오꿀</x:t>
        </x:is>
      </x:c>
      <x:c r="C503" s="5" t="inlineStr">
        <x:is>
          <x:t xml:space="preserve">pignite</x:t>
        </x:is>
      </x:c>
      <x:c r="D503" s="5" t="inlineStr">
        <x:is>
          <x:t xml:space="preserve">Pignite</x:t>
        </x:is>
      </x:c>
      <x:c r="E503" s="5" t="n">
        <x:v>5</x:v>
      </x:c>
      <x:c r="F503" s="5" t="inlineStr">
        <x:is>
          <x:t xml:space="preserve">불꽃</x:t>
        </x:is>
      </x:c>
      <x:c r="G503" s="5" t="inlineStr">
        <x:is>
          <x:t xml:space="preserve">격투</x:t>
        </x:is>
      </x:c>
      <x:c r="H503" s="6" t="n">
        <x:v>55.5</x:v>
      </x:c>
      <x:c r="I503" s="5" t="n">
        <x:v>36</x:v>
      </x:c>
      <x:c r="J503" s="5" t="inlineStr">
        <x:is>
          <x:t xml:space="preserve">중간</x:t>
        </x:is>
      </x:c>
      <x:c r="K503" s="7" t="inlineStr">
        <x:is>
          <x:t xml:space="preserve">육상</x:t>
        </x:is>
      </x:c>
      <x:c r="L503" s="7" t="inlineStr">
        <x:is>
          <x:t xml:space="preserve">화산</x:t>
        </x:is>
      </x:c>
      <x:c r="M503" s="7" t="inlineStr">
        <x:is>
          <x:t xml:space="preserve">고온</x:t>
        </x:is>
      </x:c>
      <x:c r="N503" s="7" t="inlineStr">
        <x:is>
          <x:t xml:space="preserve">건조</x:t>
        </x:is>
      </x:c>
      <x:c r="O503" s="7" t="inlineStr">
        <x:is>
          <x:t xml:space="preserve">맑음</x:t>
        </x:is>
      </x:c>
      <x:c r="P503" s="7" t="inlineStr">
        <x:is>
          <x:t xml:space="preserve">무관</x:t>
        </x:is>
      </x:c>
      <x:c r="Q503" s="7" t="inlineStr">
        <x:is>
          <x:t xml:space="preserve">희귀</x:t>
        </x:is>
      </x:c>
      <x:c r="R503" s="7" t="inlineStr">
        <x:is>
          <x:t xml:space="preserve">화산</x:t>
        </x:is>
      </x:c>
      <x:c r="S503" s="7" t="inlineStr">
        <x:is>
          <x:t xml:space="preserve">화산</x:t>
        </x:is>
      </x:c>
      <x:c r="T503" s="7" t="inlineStr">
        <x:is>
          <x:t xml:space="preserve"/>
        </x:is>
      </x:c>
      <x:c r="U503" s="8" t="str">
        <x:f>INDEX('서식지_점수'!$E$4:$P$4,1,MATCH(MAX('서식지_점수'!E503:P503),'서식지_점수'!E503:P503,0))</x:f>
        <x:v>평원</x:v>
      </x:c>
      <x:c r="V503" s="8" t="str">
        <x:f>IF(T503&lt;&gt;"",T503,U503)</x:f>
        <x:v>평원</x:v>
      </x:c>
      <x:c r="W503" s="8" t="str">
        <x:f>IFERROR(INDEX('서식지_점수'!$E$4:$P$4,1,MATCH(MAXIFS('서식지_점수'!E503:P503,'서식지_점수'!E503:P503,"&lt;"&amp;MAX('서식지_점수'!E503:P503)),'서식지_점수'!E503:P503,0)),"")</x:f>
        <x:v>숲</x:v>
      </x:c>
      <x:c r="X503" s="8" t="str">
        <x:f>IF(T503&lt;&gt;"","수동확정",IF(MAX('서식지_점수'!E503:P503)-LARGE('서식지_점수'!E503:P503,2)&gt;=15,"높음",IF(MAX('서식지_점수'!E503:P503)-LARGE('서식지_점수'!E503:P503,2)&gt;=8,"보통","검토필요")))</x:f>
        <x:v>검토필요</x:v>
      </x:c>
      <x:c r="Y503" s="9" t="n">
        <x:f>IF(Q503="전설",8,IF(Q503="희귀",7,IF(J503="기본",1,IF(J503="중간",3,IF(J503="최종",IF(I503="",5,IF(I503&lt;=20,3,IF(I503&lt;=35,4,IF(I503&lt;=50,6,7)))),IF(Q503="드묾",4,2))))))</x:f>
        <x:v>7</x:v>
      </x:c>
      <x:c r="Z503" s="5" t="inlineStr">
        <x:is>
          <x:t xml:space="preserve">#cobblemon:is_plains; #cobblemon:nether/is_crimson; #cobblemon:nether/is_overgrowth</x:t>
        </x:is>
      </x:c>
      <x:c r="AA503" s="5" t="inlineStr">
        <x:is>
          <x:t xml:space="preserve">ultra-rare</x:t>
        </x:is>
      </x:c>
      <x:c r="AB503" s="5" t="inlineStr">
        <x:is>
          <x:t xml:space="preserve">예</x:t>
        </x:is>
      </x:c>
      <x:c r="AC503" s="8" t="str">
        <x:f>IF(T503&lt;&gt;"","수동확정",IF(X503="검토필요","검토필요",IF(S503="","원본없음","초기완료")))</x:f>
        <x:v>검토필요</x:v>
      </x:c>
      <x:c r="AD503" s="7" t="inlineStr">
        <x:is>
          <x:t xml:space="preserve"/>
        </x:is>
      </x:c>
      <x:c r="AE503" s="5" t="inlineStr">
        <x:is>
          <x:t xml:space="preserve">.tmp/cobblemon-1.7.3-source/common/src/main/resources/data/cobblemon/species/generation5/pignite.json</x:t>
        </x:is>
      </x:c>
      <x:c r="AF503" s="5" t="str">
        <x:f>"생활권|"&amp;K503</x:f>
        <x:v>생활권|육상</x:v>
      </x:c>
      <x:c r="AG503" s="5" t="str">
        <x:f>"지형|"&amp;L503</x:f>
        <x:v>지형|화산</x:v>
      </x:c>
      <x:c r="AH503" s="5" t="str">
        <x:f>"온도|"&amp;M503</x:f>
        <x:v>온도|고온</x:v>
      </x:c>
      <x:c r="AI503" s="5" t="str">
        <x:f>"습도|"&amp;N503</x:f>
        <x:v>습도|건조</x:v>
      </x:c>
      <x:c r="AJ503" s="5" t="str">
        <x:f>"날씨|"&amp;O503</x:f>
        <x:v>날씨|맑음</x:v>
      </x:c>
      <x:c r="AK503" s="5" t="str">
        <x:f>"특수태그|"&amp;R503</x:f>
        <x:v>특수태그|화산</x:v>
      </x:c>
      <x:c r="AL503" s="5" t="str">
        <x:f>"원본서식지|"&amp;S503</x:f>
        <x:v>원본서식지|화산</x:v>
      </x:c>
      <x:c r="AM503" s="5" t="str">
        <x:f>"타입|"&amp;F503</x:f>
        <x:v>타입|불꽃</x:v>
      </x:c>
      <x:c r="AN503" s="5" t="str">
        <x:f>"타입|"&amp;G503</x:f>
        <x:v>타입|격투</x:v>
      </x:c>
    </x:row>
    <x:row r="504" ht="24" customHeight="1">
      <x:c r="A504" s="5" t="n">
        <x:v>500</x:v>
      </x:c>
      <x:c r="B504" s="5" t="inlineStr">
        <x:is>
          <x:t xml:space="preserve">염무왕</x:t>
        </x:is>
      </x:c>
      <x:c r="C504" s="5" t="inlineStr">
        <x:is>
          <x:t xml:space="preserve">emboar</x:t>
        </x:is>
      </x:c>
      <x:c r="D504" s="5" t="inlineStr">
        <x:is>
          <x:t xml:space="preserve">Emboar</x:t>
        </x:is>
      </x:c>
      <x:c r="E504" s="5" t="n">
        <x:v>5</x:v>
      </x:c>
      <x:c r="F504" s="5" t="inlineStr">
        <x:is>
          <x:t xml:space="preserve">불꽃</x:t>
        </x:is>
      </x:c>
      <x:c r="G504" s="5" t="inlineStr">
        <x:is>
          <x:t xml:space="preserve">격투</x:t>
        </x:is>
      </x:c>
      <x:c r="H504" s="6" t="n">
        <x:v>150</x:v>
      </x:c>
      <x:c r="I504" s="5" t="n">
        <x:v>36</x:v>
      </x:c>
      <x:c r="J504" s="5" t="inlineStr">
        <x:is>
          <x:t xml:space="preserve">최종</x:t>
        </x:is>
      </x:c>
      <x:c r="K504" s="7" t="inlineStr">
        <x:is>
          <x:t xml:space="preserve">육상</x:t>
        </x:is>
      </x:c>
      <x:c r="L504" s="7" t="inlineStr">
        <x:is>
          <x:t xml:space="preserve">화산</x:t>
        </x:is>
      </x:c>
      <x:c r="M504" s="7" t="inlineStr">
        <x:is>
          <x:t xml:space="preserve">고온</x:t>
        </x:is>
      </x:c>
      <x:c r="N504" s="7" t="inlineStr">
        <x:is>
          <x:t xml:space="preserve">건조</x:t>
        </x:is>
      </x:c>
      <x:c r="O504" s="7" t="inlineStr">
        <x:is>
          <x:t xml:space="preserve">맑음</x:t>
        </x:is>
      </x:c>
      <x:c r="P504" s="7" t="inlineStr">
        <x:is>
          <x:t xml:space="preserve">무관</x:t>
        </x:is>
      </x:c>
      <x:c r="Q504" s="7" t="inlineStr">
        <x:is>
          <x:t xml:space="preserve">희귀</x:t>
        </x:is>
      </x:c>
      <x:c r="R504" s="7" t="inlineStr">
        <x:is>
          <x:t xml:space="preserve">화산</x:t>
        </x:is>
      </x:c>
      <x:c r="S504" s="7" t="inlineStr">
        <x:is>
          <x:t xml:space="preserve">화산</x:t>
        </x:is>
      </x:c>
      <x:c r="T504" s="7" t="inlineStr">
        <x:is>
          <x:t xml:space="preserve"/>
        </x:is>
      </x:c>
      <x:c r="U504" s="8" t="str">
        <x:f>INDEX('서식지_점수'!$E$4:$P$4,1,MATCH(MAX('서식지_점수'!E504:P504),'서식지_점수'!E504:P504,0))</x:f>
        <x:v>평원</x:v>
      </x:c>
      <x:c r="V504" s="8" t="str">
        <x:f>IF(T504&lt;&gt;"",T504,U504)</x:f>
        <x:v>평원</x:v>
      </x:c>
      <x:c r="W504" s="8" t="str">
        <x:f>IFERROR(INDEX('서식지_점수'!$E$4:$P$4,1,MATCH(MAXIFS('서식지_점수'!E504:P504,'서식지_점수'!E504:P504,"&lt;"&amp;MAX('서식지_점수'!E504:P504)),'서식지_점수'!E504:P504,0)),"")</x:f>
        <x:v>숲</x:v>
      </x:c>
      <x:c r="X504" s="8" t="str">
        <x:f>IF(T504&lt;&gt;"","수동확정",IF(MAX('서식지_점수'!E504:P504)-LARGE('서식지_점수'!E504:P504,2)&gt;=15,"높음",IF(MAX('서식지_점수'!E504:P504)-LARGE('서식지_점수'!E504:P504,2)&gt;=8,"보통","검토필요")))</x:f>
        <x:v>검토필요</x:v>
      </x:c>
      <x:c r="Y504" s="9" t="n">
        <x:f>IF(Q504="전설",8,IF(Q504="희귀",7,IF(J504="기본",1,IF(J504="중간",3,IF(J504="최종",IF(I504="",5,IF(I504&lt;=20,3,IF(I504&lt;=35,4,IF(I504&lt;=50,6,7)))),IF(Q504="드묾",4,2))))))</x:f>
        <x:v>7</x:v>
      </x:c>
      <x:c r="Z504" s="5" t="inlineStr">
        <x:is>
          <x:t xml:space="preserve">#cobblemon:is_plains; #cobblemon:nether/is_crimson; #cobblemon:nether/is_overgrowth</x:t>
        </x:is>
      </x:c>
      <x:c r="AA504" s="5" t="inlineStr">
        <x:is>
          <x:t xml:space="preserve">ultra-rare</x:t>
        </x:is>
      </x:c>
      <x:c r="AB504" s="5" t="inlineStr">
        <x:is>
          <x:t xml:space="preserve">예</x:t>
        </x:is>
      </x:c>
      <x:c r="AC504" s="8" t="str">
        <x:f>IF(T504&lt;&gt;"","수동확정",IF(X504="검토필요","검토필요",IF(S504="","원본없음","초기완료")))</x:f>
        <x:v>검토필요</x:v>
      </x:c>
      <x:c r="AD504" s="7" t="inlineStr">
        <x:is>
          <x:t xml:space="preserve"/>
        </x:is>
      </x:c>
      <x:c r="AE504" s="5" t="inlineStr">
        <x:is>
          <x:t xml:space="preserve">.tmp/cobblemon-1.7.3-source/common/src/main/resources/data/cobblemon/species/generation5/emboar.json</x:t>
        </x:is>
      </x:c>
      <x:c r="AF504" s="5" t="str">
        <x:f>"생활권|"&amp;K504</x:f>
        <x:v>생활권|육상</x:v>
      </x:c>
      <x:c r="AG504" s="5" t="str">
        <x:f>"지형|"&amp;L504</x:f>
        <x:v>지형|화산</x:v>
      </x:c>
      <x:c r="AH504" s="5" t="str">
        <x:f>"온도|"&amp;M504</x:f>
        <x:v>온도|고온</x:v>
      </x:c>
      <x:c r="AI504" s="5" t="str">
        <x:f>"습도|"&amp;N504</x:f>
        <x:v>습도|건조</x:v>
      </x:c>
      <x:c r="AJ504" s="5" t="str">
        <x:f>"날씨|"&amp;O504</x:f>
        <x:v>날씨|맑음</x:v>
      </x:c>
      <x:c r="AK504" s="5" t="str">
        <x:f>"특수태그|"&amp;R504</x:f>
        <x:v>특수태그|화산</x:v>
      </x:c>
      <x:c r="AL504" s="5" t="str">
        <x:f>"원본서식지|"&amp;S504</x:f>
        <x:v>원본서식지|화산</x:v>
      </x:c>
      <x:c r="AM504" s="5" t="str">
        <x:f>"타입|"&amp;F504</x:f>
        <x:v>타입|불꽃</x:v>
      </x:c>
      <x:c r="AN504" s="5" t="str">
        <x:f>"타입|"&amp;G504</x:f>
        <x:v>타입|격투</x:v>
      </x:c>
    </x:row>
    <x:row r="505" ht="24" customHeight="1">
      <x:c r="A505" s="5" t="n">
        <x:v>501</x:v>
      </x:c>
      <x:c r="B505" s="5" t="inlineStr">
        <x:is>
          <x:t xml:space="preserve">수댕이</x:t>
        </x:is>
      </x:c>
      <x:c r="C505" s="5" t="inlineStr">
        <x:is>
          <x:t xml:space="preserve">oshawott</x:t>
        </x:is>
      </x:c>
      <x:c r="D505" s="5" t="inlineStr">
        <x:is>
          <x:t xml:space="preserve">Oshawott</x:t>
        </x:is>
      </x:c>
      <x:c r="E505" s="5" t="n">
        <x:v>5</x:v>
      </x:c>
      <x:c r="F505" s="5" t="inlineStr">
        <x:is>
          <x:t xml:space="preserve">물</x:t>
        </x:is>
      </x:c>
      <x:c r="G505" s="5" t="inlineStr">
        <x:is>
          <x:t xml:space="preserve"/>
        </x:is>
      </x:c>
      <x:c r="H505" s="6" t="n">
        <x:v>5.9</x:v>
      </x:c>
      <x:c r="I505" s="5" t="n">
        <x:v>36</x:v>
      </x:c>
      <x:c r="J505" s="5" t="inlineStr">
        <x:is>
          <x:t xml:space="preserve">기본</x:t>
        </x:is>
      </x:c>
      <x:c r="K505" s="7" t="inlineStr">
        <x:is>
          <x:t xml:space="preserve">해양</x:t>
        </x:is>
      </x:c>
      <x:c r="L505" s="7" t="inlineStr">
        <x:is>
          <x:t xml:space="preserve">해안·해양</x:t>
        </x:is>
      </x:c>
      <x:c r="M505" s="7" t="inlineStr">
        <x:is>
          <x:t xml:space="preserve">서늘</x:t>
        </x:is>
      </x:c>
      <x:c r="N505" s="7" t="inlineStr">
        <x:is>
          <x:t xml:space="preserve">수중</x:t>
        </x:is>
      </x:c>
      <x:c r="O505" s="7" t="inlineStr">
        <x:is>
          <x:t xml:space="preserve">비</x:t>
        </x:is>
      </x:c>
      <x:c r="P505" s="7" t="inlineStr">
        <x:is>
          <x:t xml:space="preserve">무관</x:t>
        </x:is>
      </x:c>
      <x:c r="Q505" s="7" t="inlineStr">
        <x:is>
          <x:t xml:space="preserve">희귀</x:t>
        </x:is>
      </x:c>
      <x:c r="R505" s="7" t="inlineStr">
        <x:is>
          <x:t xml:space="preserve">없음</x:t>
        </x:is>
      </x:c>
      <x:c r="S505" s="7" t="inlineStr">
        <x:is>
          <x:t xml:space="preserve">해양</x:t>
        </x:is>
      </x:c>
      <x:c r="T505" s="7" t="inlineStr">
        <x:is>
          <x:t xml:space="preserve"/>
        </x:is>
      </x:c>
      <x:c r="U505" s="8" t="str">
        <x:f>INDEX('서식지_점수'!$E$4:$P$4,1,MATCH(MAX('서식지_점수'!E505:P505),'서식지_점수'!E505:P505,0))</x:f>
        <x:v>해양</x:v>
      </x:c>
      <x:c r="V505" s="8" t="str">
        <x:f>IF(T505&lt;&gt;"",T505,U505)</x:f>
        <x:v>해양</x:v>
      </x:c>
      <x:c r="W505" s="8" t="str">
        <x:f>IFERROR(INDEX('서식지_점수'!$E$4:$P$4,1,MATCH(MAXIFS('서식지_점수'!E505:P505,'서식지_점수'!E505:P505,"&lt;"&amp;MAX('서식지_점수'!E505:P505)),'서식지_점수'!E505:P505,0)),"")</x:f>
        <x:v>습지</x:v>
      </x:c>
      <x:c r="X505" s="8" t="str">
        <x:f>IF(T505&lt;&gt;"","수동확정",IF(MAX('서식지_점수'!E505:P505)-LARGE('서식지_점수'!E505:P505,2)&gt;=15,"높음",IF(MAX('서식지_점수'!E505:P505)-LARGE('서식지_점수'!E505:P505,2)&gt;=8,"보통","검토필요")))</x:f>
        <x:v>높음</x:v>
      </x:c>
      <x:c r="Y505" s="9" t="n">
        <x:f>IF(Q505="전설",8,IF(Q505="희귀",7,IF(J505="기본",1,IF(J505="중간",3,IF(J505="최종",IF(I505="",5,IF(I505&lt;=20,3,IF(I505&lt;=35,4,IF(I505&lt;=50,6,7)))),IF(Q505="드묾",4,2))))))</x:f>
        <x:v>7</x:v>
      </x:c>
      <x:c r="Z505" s="5" t="inlineStr">
        <x:is>
          <x:t xml:space="preserve">#cobblemon:is_beach; #cobblemon:is_coast; #cobblemon:is_cold_ocean; #cobblemon:is_ocean; #cobblemon:is_tropical_island; minecraft:snowy_beach</x:t>
        </x:is>
      </x:c>
      <x:c r="AA505" s="5" t="inlineStr">
        <x:is>
          <x:t xml:space="preserve">ultra-rare</x:t>
        </x:is>
      </x:c>
      <x:c r="AB505" s="5" t="inlineStr">
        <x:is>
          <x:t xml:space="preserve">예</x:t>
        </x:is>
      </x:c>
      <x:c r="AC505" s="8" t="str">
        <x:f>IF(T505&lt;&gt;"","수동확정",IF(X505="검토필요","검토필요",IF(S505="","원본없음","초기완료")))</x:f>
        <x:v>초기완료</x:v>
      </x:c>
      <x:c r="AD505" s="7" t="inlineStr">
        <x:is>
          <x:t xml:space="preserve"/>
        </x:is>
      </x:c>
      <x:c r="AE505" s="5" t="inlineStr">
        <x:is>
          <x:t xml:space="preserve">.tmp/cobblemon-1.7.3-source/common/src/main/resources/data/cobblemon/species/generation5/oshawott.json</x:t>
        </x:is>
      </x:c>
      <x:c r="AF505" s="5" t="str">
        <x:f>"생활권|"&amp;K505</x:f>
        <x:v>생활권|해양</x:v>
      </x:c>
      <x:c r="AG505" s="5" t="str">
        <x:f>"지형|"&amp;L505</x:f>
        <x:v>지형|해안·해양</x:v>
      </x:c>
      <x:c r="AH505" s="5" t="str">
        <x:f>"온도|"&amp;M505</x:f>
        <x:v>온도|서늘</x:v>
      </x:c>
      <x:c r="AI505" s="5" t="str">
        <x:f>"습도|"&amp;N505</x:f>
        <x:v>습도|수중</x:v>
      </x:c>
      <x:c r="AJ505" s="5" t="str">
        <x:f>"날씨|"&amp;O505</x:f>
        <x:v>날씨|비</x:v>
      </x:c>
      <x:c r="AK505" s="5" t="str">
        <x:f>"특수태그|"&amp;R505</x:f>
        <x:v>특수태그|없음</x:v>
      </x:c>
      <x:c r="AL505" s="5" t="str">
        <x:f>"원본서식지|"&amp;S505</x:f>
        <x:v>원본서식지|해양</x:v>
      </x:c>
      <x:c r="AM505" s="5" t="str">
        <x:f>"타입|"&amp;F505</x:f>
        <x:v>타입|물</x:v>
      </x:c>
      <x:c r="AN505" s="5" t="str">
        <x:f>"타입|"&amp;G505</x:f>
        <x:v>타입|</x:v>
      </x:c>
    </x:row>
    <x:row r="506" ht="24" customHeight="1">
      <x:c r="A506" s="5" t="n">
        <x:v>502</x:v>
      </x:c>
      <x:c r="B506" s="5" t="inlineStr">
        <x:is>
          <x:t xml:space="preserve">쌍검자비</x:t>
        </x:is>
      </x:c>
      <x:c r="C506" s="5" t="inlineStr">
        <x:is>
          <x:t xml:space="preserve">dewott</x:t>
        </x:is>
      </x:c>
      <x:c r="D506" s="5" t="inlineStr">
        <x:is>
          <x:t xml:space="preserve">Dewott</x:t>
        </x:is>
      </x:c>
      <x:c r="E506" s="5" t="n">
        <x:v>5</x:v>
      </x:c>
      <x:c r="F506" s="5" t="inlineStr">
        <x:is>
          <x:t xml:space="preserve">물</x:t>
        </x:is>
      </x:c>
      <x:c r="G506" s="5" t="inlineStr">
        <x:is>
          <x:t xml:space="preserve"/>
        </x:is>
      </x:c>
      <x:c r="H506" s="6" t="n">
        <x:v>24.5</x:v>
      </x:c>
      <x:c r="I506" s="5" t="n">
        <x:v>36</x:v>
      </x:c>
      <x:c r="J506" s="5" t="inlineStr">
        <x:is>
          <x:t xml:space="preserve">중간</x:t>
        </x:is>
      </x:c>
      <x:c r="K506" s="7" t="inlineStr">
        <x:is>
          <x:t xml:space="preserve">해양</x:t>
        </x:is>
      </x:c>
      <x:c r="L506" s="7" t="inlineStr">
        <x:is>
          <x:t xml:space="preserve">해안·해양</x:t>
        </x:is>
      </x:c>
      <x:c r="M506" s="7" t="inlineStr">
        <x:is>
          <x:t xml:space="preserve">서늘</x:t>
        </x:is>
      </x:c>
      <x:c r="N506" s="7" t="inlineStr">
        <x:is>
          <x:t xml:space="preserve">수중</x:t>
        </x:is>
      </x:c>
      <x:c r="O506" s="7" t="inlineStr">
        <x:is>
          <x:t xml:space="preserve">비</x:t>
        </x:is>
      </x:c>
      <x:c r="P506" s="7" t="inlineStr">
        <x:is>
          <x:t xml:space="preserve">무관</x:t>
        </x:is>
      </x:c>
      <x:c r="Q506" s="7" t="inlineStr">
        <x:is>
          <x:t xml:space="preserve">희귀</x:t>
        </x:is>
      </x:c>
      <x:c r="R506" s="7" t="inlineStr">
        <x:is>
          <x:t xml:space="preserve">없음</x:t>
        </x:is>
      </x:c>
      <x:c r="S506" s="7" t="inlineStr">
        <x:is>
          <x:t xml:space="preserve">해양</x:t>
        </x:is>
      </x:c>
      <x:c r="T506" s="7" t="inlineStr">
        <x:is>
          <x:t xml:space="preserve"/>
        </x:is>
      </x:c>
      <x:c r="U506" s="8" t="str">
        <x:f>INDEX('서식지_점수'!$E$4:$P$4,1,MATCH(MAX('서식지_점수'!E506:P506),'서식지_점수'!E506:P506,0))</x:f>
        <x:v>해양</x:v>
      </x:c>
      <x:c r="V506" s="8" t="str">
        <x:f>IF(T506&lt;&gt;"",T506,U506)</x:f>
        <x:v>해양</x:v>
      </x:c>
      <x:c r="W506" s="8" t="str">
        <x:f>IFERROR(INDEX('서식지_점수'!$E$4:$P$4,1,MATCH(MAXIFS('서식지_점수'!E506:P506,'서식지_점수'!E506:P506,"&lt;"&amp;MAX('서식지_점수'!E506:P506)),'서식지_점수'!E506:P506,0)),"")</x:f>
        <x:v>습지</x:v>
      </x:c>
      <x:c r="X506" s="8" t="str">
        <x:f>IF(T506&lt;&gt;"","수동확정",IF(MAX('서식지_점수'!E506:P506)-LARGE('서식지_점수'!E506:P506,2)&gt;=15,"높음",IF(MAX('서식지_점수'!E506:P506)-LARGE('서식지_점수'!E506:P506,2)&gt;=8,"보통","검토필요")))</x:f>
        <x:v>높음</x:v>
      </x:c>
      <x:c r="Y506" s="9" t="n">
        <x:f>IF(Q506="전설",8,IF(Q506="희귀",7,IF(J506="기본",1,IF(J506="중간",3,IF(J506="최종",IF(I506="",5,IF(I506&lt;=20,3,IF(I506&lt;=35,4,IF(I506&lt;=50,6,7)))),IF(Q506="드묾",4,2))))))</x:f>
        <x:v>7</x:v>
      </x:c>
      <x:c r="Z506" s="5" t="inlineStr">
        <x:is>
          <x:t xml:space="preserve">#cobblemon:is_beach; #cobblemon:is_coast; #cobblemon:is_cold_ocean; #cobblemon:is_ocean; #cobblemon:is_tropical_island; minecraft:snowy_beach</x:t>
        </x:is>
      </x:c>
      <x:c r="AA506" s="5" t="inlineStr">
        <x:is>
          <x:t xml:space="preserve">ultra-rare</x:t>
        </x:is>
      </x:c>
      <x:c r="AB506" s="5" t="inlineStr">
        <x:is>
          <x:t xml:space="preserve">예</x:t>
        </x:is>
      </x:c>
      <x:c r="AC506" s="8" t="str">
        <x:f>IF(T506&lt;&gt;"","수동확정",IF(X506="검토필요","검토필요",IF(S506="","원본없음","초기완료")))</x:f>
        <x:v>초기완료</x:v>
      </x:c>
      <x:c r="AD506" s="7" t="inlineStr">
        <x:is>
          <x:t xml:space="preserve"/>
        </x:is>
      </x:c>
      <x:c r="AE506" s="5" t="inlineStr">
        <x:is>
          <x:t xml:space="preserve">.tmp/cobblemon-1.7.3-source/common/src/main/resources/data/cobblemon/species/generation5/dewott.json</x:t>
        </x:is>
      </x:c>
      <x:c r="AF506" s="5" t="str">
        <x:f>"생활권|"&amp;K506</x:f>
        <x:v>생활권|해양</x:v>
      </x:c>
      <x:c r="AG506" s="5" t="str">
        <x:f>"지형|"&amp;L506</x:f>
        <x:v>지형|해안·해양</x:v>
      </x:c>
      <x:c r="AH506" s="5" t="str">
        <x:f>"온도|"&amp;M506</x:f>
        <x:v>온도|서늘</x:v>
      </x:c>
      <x:c r="AI506" s="5" t="str">
        <x:f>"습도|"&amp;N506</x:f>
        <x:v>습도|수중</x:v>
      </x:c>
      <x:c r="AJ506" s="5" t="str">
        <x:f>"날씨|"&amp;O506</x:f>
        <x:v>날씨|비</x:v>
      </x:c>
      <x:c r="AK506" s="5" t="str">
        <x:f>"특수태그|"&amp;R506</x:f>
        <x:v>특수태그|없음</x:v>
      </x:c>
      <x:c r="AL506" s="5" t="str">
        <x:f>"원본서식지|"&amp;S506</x:f>
        <x:v>원본서식지|해양</x:v>
      </x:c>
      <x:c r="AM506" s="5" t="str">
        <x:f>"타입|"&amp;F506</x:f>
        <x:v>타입|물</x:v>
      </x:c>
      <x:c r="AN506" s="5" t="str">
        <x:f>"타입|"&amp;G506</x:f>
        <x:v>타입|</x:v>
      </x:c>
    </x:row>
    <x:row r="507" ht="24" customHeight="1">
      <x:c r="A507" s="5" t="n">
        <x:v>503</x:v>
      </x:c>
      <x:c r="B507" s="5" t="inlineStr">
        <x:is>
          <x:t xml:space="preserve">대검귀</x:t>
        </x:is>
      </x:c>
      <x:c r="C507" s="5" t="inlineStr">
        <x:is>
          <x:t xml:space="preserve">samurott</x:t>
        </x:is>
      </x:c>
      <x:c r="D507" s="5" t="inlineStr">
        <x:is>
          <x:t xml:space="preserve">Samurott</x:t>
        </x:is>
      </x:c>
      <x:c r="E507" s="5" t="n">
        <x:v>5</x:v>
      </x:c>
      <x:c r="F507" s="5" t="inlineStr">
        <x:is>
          <x:t xml:space="preserve">물</x:t>
        </x:is>
      </x:c>
      <x:c r="G507" s="5" t="inlineStr">
        <x:is>
          <x:t xml:space="preserve"/>
        </x:is>
      </x:c>
      <x:c r="H507" s="6" t="n">
        <x:v>94.59999999999999</x:v>
      </x:c>
      <x:c r="I507" s="5" t="n">
        <x:v>36</x:v>
      </x:c>
      <x:c r="J507" s="5" t="inlineStr">
        <x:is>
          <x:t xml:space="preserve">최종</x:t>
        </x:is>
      </x:c>
      <x:c r="K507" s="7" t="inlineStr">
        <x:is>
          <x:t xml:space="preserve">해양</x:t>
        </x:is>
      </x:c>
      <x:c r="L507" s="7" t="inlineStr">
        <x:is>
          <x:t xml:space="preserve">해안·해양</x:t>
        </x:is>
      </x:c>
      <x:c r="M507" s="7" t="inlineStr">
        <x:is>
          <x:t xml:space="preserve">서늘</x:t>
        </x:is>
      </x:c>
      <x:c r="N507" s="7" t="inlineStr">
        <x:is>
          <x:t xml:space="preserve">수중</x:t>
        </x:is>
      </x:c>
      <x:c r="O507" s="7" t="inlineStr">
        <x:is>
          <x:t xml:space="preserve">비</x:t>
        </x:is>
      </x:c>
      <x:c r="P507" s="7" t="inlineStr">
        <x:is>
          <x:t xml:space="preserve">무관</x:t>
        </x:is>
      </x:c>
      <x:c r="Q507" s="7" t="inlineStr">
        <x:is>
          <x:t xml:space="preserve">희귀</x:t>
        </x:is>
      </x:c>
      <x:c r="R507" s="7" t="inlineStr">
        <x:is>
          <x:t xml:space="preserve">없음</x:t>
        </x:is>
      </x:c>
      <x:c r="S507" s="7" t="inlineStr">
        <x:is>
          <x:t xml:space="preserve">해양</x:t>
        </x:is>
      </x:c>
      <x:c r="T507" s="7" t="inlineStr">
        <x:is>
          <x:t xml:space="preserve"/>
        </x:is>
      </x:c>
      <x:c r="U507" s="8" t="str">
        <x:f>INDEX('서식지_점수'!$E$4:$P$4,1,MATCH(MAX('서식지_점수'!E507:P507),'서식지_점수'!E507:P507,0))</x:f>
        <x:v>해양</x:v>
      </x:c>
      <x:c r="V507" s="8" t="str">
        <x:f>IF(T507&lt;&gt;"",T507,U507)</x:f>
        <x:v>해양</x:v>
      </x:c>
      <x:c r="W507" s="8" t="str">
        <x:f>IFERROR(INDEX('서식지_점수'!$E$4:$P$4,1,MATCH(MAXIFS('서식지_점수'!E507:P507,'서식지_점수'!E507:P507,"&lt;"&amp;MAX('서식지_점수'!E507:P507)),'서식지_점수'!E507:P507,0)),"")</x:f>
        <x:v>습지</x:v>
      </x:c>
      <x:c r="X507" s="8" t="str">
        <x:f>IF(T507&lt;&gt;"","수동확정",IF(MAX('서식지_점수'!E507:P507)-LARGE('서식지_점수'!E507:P507,2)&gt;=15,"높음",IF(MAX('서식지_점수'!E507:P507)-LARGE('서식지_점수'!E507:P507,2)&gt;=8,"보통","검토필요")))</x:f>
        <x:v>높음</x:v>
      </x:c>
      <x:c r="Y507" s="9" t="n">
        <x:f>IF(Q507="전설",8,IF(Q507="희귀",7,IF(J507="기본",1,IF(J507="중간",3,IF(J507="최종",IF(I507="",5,IF(I507&lt;=20,3,IF(I507&lt;=35,4,IF(I507&lt;=50,6,7)))),IF(Q507="드묾",4,2))))))</x:f>
        <x:v>7</x:v>
      </x:c>
      <x:c r="Z507" s="5" t="inlineStr">
        <x:is>
          <x:t xml:space="preserve">#cobblemon:is_beach; #cobblemon:is_coast; #cobblemon:is_cold_ocean; #cobblemon:is_ocean; #cobblemon:is_tropical_island; minecraft:snowy_beach</x:t>
        </x:is>
      </x:c>
      <x:c r="AA507" s="5" t="inlineStr">
        <x:is>
          <x:t xml:space="preserve">ultra-rare</x:t>
        </x:is>
      </x:c>
      <x:c r="AB507" s="5" t="inlineStr">
        <x:is>
          <x:t xml:space="preserve">예</x:t>
        </x:is>
      </x:c>
      <x:c r="AC507" s="8" t="str">
        <x:f>IF(T507&lt;&gt;"","수동확정",IF(X507="검토필요","검토필요",IF(S507="","원본없음","초기완료")))</x:f>
        <x:v>초기완료</x:v>
      </x:c>
      <x:c r="AD507" s="7" t="inlineStr">
        <x:is>
          <x:t xml:space="preserve"/>
        </x:is>
      </x:c>
      <x:c r="AE507" s="5" t="inlineStr">
        <x:is>
          <x:t xml:space="preserve">.tmp/cobblemon-1.7.3-source/common/src/main/resources/data/cobblemon/species/generation5/samurott.json</x:t>
        </x:is>
      </x:c>
      <x:c r="AF507" s="5" t="str">
        <x:f>"생활권|"&amp;K507</x:f>
        <x:v>생활권|해양</x:v>
      </x:c>
      <x:c r="AG507" s="5" t="str">
        <x:f>"지형|"&amp;L507</x:f>
        <x:v>지형|해안·해양</x:v>
      </x:c>
      <x:c r="AH507" s="5" t="str">
        <x:f>"온도|"&amp;M507</x:f>
        <x:v>온도|서늘</x:v>
      </x:c>
      <x:c r="AI507" s="5" t="str">
        <x:f>"습도|"&amp;N507</x:f>
        <x:v>습도|수중</x:v>
      </x:c>
      <x:c r="AJ507" s="5" t="str">
        <x:f>"날씨|"&amp;O507</x:f>
        <x:v>날씨|비</x:v>
      </x:c>
      <x:c r="AK507" s="5" t="str">
        <x:f>"특수태그|"&amp;R507</x:f>
        <x:v>특수태그|없음</x:v>
      </x:c>
      <x:c r="AL507" s="5" t="str">
        <x:f>"원본서식지|"&amp;S507</x:f>
        <x:v>원본서식지|해양</x:v>
      </x:c>
      <x:c r="AM507" s="5" t="str">
        <x:f>"타입|"&amp;F507</x:f>
        <x:v>타입|물</x:v>
      </x:c>
      <x:c r="AN507" s="5" t="str">
        <x:f>"타입|"&amp;G507</x:f>
        <x:v>타입|</x:v>
      </x:c>
    </x:row>
    <x:row r="508" ht="24" customHeight="1">
      <x:c r="A508" s="5" t="n">
        <x:v>504</x:v>
      </x:c>
      <x:c r="B508" s="5" t="inlineStr">
        <x:is>
          <x:t xml:space="preserve">보르쥐</x:t>
        </x:is>
      </x:c>
      <x:c r="C508" s="5" t="inlineStr">
        <x:is>
          <x:t xml:space="preserve">patrat</x:t>
        </x:is>
      </x:c>
      <x:c r="D508" s="5" t="inlineStr">
        <x:is>
          <x:t xml:space="preserve">Patrat</x:t>
        </x:is>
      </x:c>
      <x:c r="E508" s="5" t="n">
        <x:v>5</x:v>
      </x:c>
      <x:c r="F508" s="5" t="inlineStr">
        <x:is>
          <x:t xml:space="preserve">노말</x:t>
        </x:is>
      </x:c>
      <x:c r="G508" s="5" t="inlineStr">
        <x:is>
          <x:t xml:space="preserve"/>
        </x:is>
      </x:c>
      <x:c r="H508" s="6" t="n">
        <x:v>11.6</x:v>
      </x:c>
      <x:c r="I508" s="5" t="n">
        <x:v>20</x:v>
      </x:c>
      <x:c r="J508" s="5" t="inlineStr">
        <x:is>
          <x:t xml:space="preserve">기본</x:t>
        </x:is>
      </x:c>
      <x:c r="K508" s="7" t="inlineStr">
        <x:is>
          <x:t xml:space="preserve">육상</x:t>
        </x:is>
      </x:c>
      <x:c r="L508" s="7" t="inlineStr">
        <x:is>
          <x:t xml:space="preserve">개활지</x:t>
        </x:is>
      </x:c>
      <x:c r="M508" s="7" t="inlineStr">
        <x:is>
          <x:t xml:space="preserve">온대</x:t>
        </x:is>
      </x:c>
      <x:c r="N508" s="7" t="inlineStr">
        <x:is>
          <x:t xml:space="preserve">보통</x:t>
        </x:is>
      </x:c>
      <x:c r="O508" s="7" t="inlineStr">
        <x:is>
          <x:t xml:space="preserve">무관</x:t>
        </x:is>
      </x:c>
      <x:c r="P508" s="7" t="inlineStr">
        <x:is>
          <x:t xml:space="preserve">무관</x:t>
        </x:is>
      </x:c>
      <x:c r="Q508" s="7" t="inlineStr">
        <x:is>
          <x:t xml:space="preserve">흔함</x:t>
        </x:is>
      </x:c>
      <x:c r="R508" s="7" t="inlineStr">
        <x:is>
          <x:t xml:space="preserve">없음</x:t>
        </x:is>
      </x:c>
      <x:c r="S508" s="7" t="inlineStr">
        <x:is>
          <x:t xml:space="preserve">평원</x:t>
        </x:is>
      </x:c>
      <x:c r="T508" s="7" t="inlineStr">
        <x:is>
          <x:t xml:space="preserve"/>
        </x:is>
      </x:c>
      <x:c r="U508" s="8" t="str">
        <x:f>INDEX('서식지_점수'!$E$4:$P$4,1,MATCH(MAX('서식지_점수'!E508:P508),'서식지_점수'!E508:P508,0))</x:f>
        <x:v>평원</x:v>
      </x:c>
      <x:c r="V508" s="8" t="str">
        <x:f>IF(T508&lt;&gt;"",T508,U508)</x:f>
        <x:v>평원</x:v>
      </x:c>
      <x:c r="W508" s="8" t="str">
        <x:f>IFERROR(INDEX('서식지_점수'!$E$4:$P$4,1,MATCH(MAXIFS('서식지_점수'!E508:P508,'서식지_점수'!E508:P508,"&lt;"&amp;MAX('서식지_점수'!E508:P508)),'서식지_점수'!E508:P508,0)),"")</x:f>
        <x:v>숲</x:v>
      </x:c>
      <x:c r="X508" s="8" t="str">
        <x:f>IF(T508&lt;&gt;"","수동확정",IF(MAX('서식지_점수'!E508:P508)-LARGE('서식지_점수'!E508:P508,2)&gt;=15,"높음",IF(MAX('서식지_점수'!E508:P508)-LARGE('서식지_점수'!E508:P508,2)&gt;=8,"보통","검토필요")))</x:f>
        <x:v>검토필요</x:v>
      </x:c>
      <x:c r="Y508" s="9" t="n">
        <x:f>IF(Q508="전설",8,IF(Q508="희귀",7,IF(J508="기본",1,IF(J508="중간",3,IF(J508="최종",IF(I508="",5,IF(I508&lt;=20,3,IF(I508&lt;=35,4,IF(I508&lt;=50,6,7)))),IF(Q508="드묾",4,2))))))</x:f>
        <x:v>1</x:v>
      </x:c>
      <x:c r="Z508" s="5" t="inlineStr">
        <x:is>
          <x:t xml:space="preserve">#cobblemon:is_grassland</x:t>
        </x:is>
      </x:c>
      <x:c r="AA508" s="5" t="inlineStr">
        <x:is>
          <x:t xml:space="preserve">common</x:t>
        </x:is>
      </x:c>
      <x:c r="AB508" s="5" t="inlineStr">
        <x:is>
          <x:t xml:space="preserve">예</x:t>
        </x:is>
      </x:c>
      <x:c r="AC508" s="8" t="str">
        <x:f>IF(T508&lt;&gt;"","수동확정",IF(X508="검토필요","검토필요",IF(S508="","원본없음","초기완료")))</x:f>
        <x:v>검토필요</x:v>
      </x:c>
      <x:c r="AD508" s="7" t="inlineStr">
        <x:is>
          <x:t xml:space="preserve"/>
        </x:is>
      </x:c>
      <x:c r="AE508" s="5" t="inlineStr">
        <x:is>
          <x:t xml:space="preserve">.tmp/cobblemon-1.7.3-source/common/src/main/resources/data/cobblemon/species/generation5/patrat.json</x:t>
        </x:is>
      </x:c>
      <x:c r="AF508" s="5" t="str">
        <x:f>"생활권|"&amp;K508</x:f>
        <x:v>생활권|육상</x:v>
      </x:c>
      <x:c r="AG508" s="5" t="str">
        <x:f>"지형|"&amp;L508</x:f>
        <x:v>지형|개활지</x:v>
      </x:c>
      <x:c r="AH508" s="5" t="str">
        <x:f>"온도|"&amp;M508</x:f>
        <x:v>온도|온대</x:v>
      </x:c>
      <x:c r="AI508" s="5" t="str">
        <x:f>"습도|"&amp;N508</x:f>
        <x:v>습도|보통</x:v>
      </x:c>
      <x:c r="AJ508" s="5" t="str">
        <x:f>"날씨|"&amp;O508</x:f>
        <x:v>날씨|무관</x:v>
      </x:c>
      <x:c r="AK508" s="5" t="str">
        <x:f>"특수태그|"&amp;R508</x:f>
        <x:v>특수태그|없음</x:v>
      </x:c>
      <x:c r="AL508" s="5" t="str">
        <x:f>"원본서식지|"&amp;S508</x:f>
        <x:v>원본서식지|평원</x:v>
      </x:c>
      <x:c r="AM508" s="5" t="str">
        <x:f>"타입|"&amp;F508</x:f>
        <x:v>타입|노말</x:v>
      </x:c>
      <x:c r="AN508" s="5" t="str">
        <x:f>"타입|"&amp;G508</x:f>
        <x:v>타입|</x:v>
      </x:c>
    </x:row>
    <x:row r="509" ht="24" customHeight="1">
      <x:c r="A509" s="5" t="n">
        <x:v>505</x:v>
      </x:c>
      <x:c r="B509" s="5" t="inlineStr">
        <x:is>
          <x:t xml:space="preserve">보르그</x:t>
        </x:is>
      </x:c>
      <x:c r="C509" s="5" t="inlineStr">
        <x:is>
          <x:t xml:space="preserve">watchog</x:t>
        </x:is>
      </x:c>
      <x:c r="D509" s="5" t="inlineStr">
        <x:is>
          <x:t xml:space="preserve">Watchog</x:t>
        </x:is>
      </x:c>
      <x:c r="E509" s="5" t="n">
        <x:v>5</x:v>
      </x:c>
      <x:c r="F509" s="5" t="inlineStr">
        <x:is>
          <x:t xml:space="preserve">노말</x:t>
        </x:is>
      </x:c>
      <x:c r="G509" s="5" t="inlineStr">
        <x:is>
          <x:t xml:space="preserve"/>
        </x:is>
      </x:c>
      <x:c r="H509" s="6" t="n">
        <x:v>27</x:v>
      </x:c>
      <x:c r="I509" s="5" t="n">
        <x:v>20</x:v>
      </x:c>
      <x:c r="J509" s="5" t="inlineStr">
        <x:is>
          <x:t xml:space="preserve">최종</x:t>
        </x:is>
      </x:c>
      <x:c r="K509" s="7" t="inlineStr">
        <x:is>
          <x:t xml:space="preserve">육상</x:t>
        </x:is>
      </x:c>
      <x:c r="L509" s="7" t="inlineStr">
        <x:is>
          <x:t xml:space="preserve">개활지</x:t>
        </x:is>
      </x:c>
      <x:c r="M509" s="7" t="inlineStr">
        <x:is>
          <x:t xml:space="preserve">온대</x:t>
        </x:is>
      </x:c>
      <x:c r="N509" s="7" t="inlineStr">
        <x:is>
          <x:t xml:space="preserve">보통</x:t>
        </x:is>
      </x:c>
      <x:c r="O509" s="7" t="inlineStr">
        <x:is>
          <x:t xml:space="preserve">무관</x:t>
        </x:is>
      </x:c>
      <x:c r="P509" s="7" t="inlineStr">
        <x:is>
          <x:t xml:space="preserve">무관</x:t>
        </x:is>
      </x:c>
      <x:c r="Q509" s="7" t="inlineStr">
        <x:is>
          <x:t xml:space="preserve">흔함</x:t>
        </x:is>
      </x:c>
      <x:c r="R509" s="7" t="inlineStr">
        <x:is>
          <x:t xml:space="preserve">없음</x:t>
        </x:is>
      </x:c>
      <x:c r="S509" s="7" t="inlineStr">
        <x:is>
          <x:t xml:space="preserve">평원</x:t>
        </x:is>
      </x:c>
      <x:c r="T509" s="7" t="inlineStr">
        <x:is>
          <x:t xml:space="preserve"/>
        </x:is>
      </x:c>
      <x:c r="U509" s="8" t="str">
        <x:f>INDEX('서식지_점수'!$E$4:$P$4,1,MATCH(MAX('서식지_점수'!E509:P509),'서식지_점수'!E509:P509,0))</x:f>
        <x:v>평원</x:v>
      </x:c>
      <x:c r="V509" s="8" t="str">
        <x:f>IF(T509&lt;&gt;"",T509,U509)</x:f>
        <x:v>평원</x:v>
      </x:c>
      <x:c r="W509" s="8" t="str">
        <x:f>IFERROR(INDEX('서식지_점수'!$E$4:$P$4,1,MATCH(MAXIFS('서식지_점수'!E509:P509,'서식지_점수'!E509:P509,"&lt;"&amp;MAX('서식지_점수'!E509:P509)),'서식지_점수'!E509:P509,0)),"")</x:f>
        <x:v>숲</x:v>
      </x:c>
      <x:c r="X509" s="8" t="str">
        <x:f>IF(T509&lt;&gt;"","수동확정",IF(MAX('서식지_점수'!E509:P509)-LARGE('서식지_점수'!E509:P509,2)&gt;=15,"높음",IF(MAX('서식지_점수'!E509:P509)-LARGE('서식지_점수'!E509:P509,2)&gt;=8,"보통","검토필요")))</x:f>
        <x:v>검토필요</x:v>
      </x:c>
      <x:c r="Y509" s="9" t="n">
        <x:f>IF(Q509="전설",8,IF(Q509="희귀",7,IF(J509="기본",1,IF(J509="중간",3,IF(J509="최종",IF(I509="",5,IF(I509&lt;=20,3,IF(I509&lt;=35,4,IF(I509&lt;=50,6,7)))),IF(Q509="드묾",4,2))))))</x:f>
        <x:v>3</x:v>
      </x:c>
      <x:c r="Z509" s="5" t="inlineStr">
        <x:is>
          <x:t xml:space="preserve">#cobblemon:is_grassland</x:t>
        </x:is>
      </x:c>
      <x:c r="AA509" s="5" t="inlineStr">
        <x:is>
          <x:t xml:space="preserve">common</x:t>
        </x:is>
      </x:c>
      <x:c r="AB509" s="5" t="inlineStr">
        <x:is>
          <x:t xml:space="preserve">예</x:t>
        </x:is>
      </x:c>
      <x:c r="AC509" s="8" t="str">
        <x:f>IF(T509&lt;&gt;"","수동확정",IF(X509="검토필요","검토필요",IF(S509="","원본없음","초기완료")))</x:f>
        <x:v>검토필요</x:v>
      </x:c>
      <x:c r="AD509" s="7" t="inlineStr">
        <x:is>
          <x:t xml:space="preserve"/>
        </x:is>
      </x:c>
      <x:c r="AE509" s="5" t="inlineStr">
        <x:is>
          <x:t xml:space="preserve">.tmp/cobblemon-1.7.3-source/common/src/main/resources/data/cobblemon/species/generation5/watchog.json</x:t>
        </x:is>
      </x:c>
      <x:c r="AF509" s="5" t="str">
        <x:f>"생활권|"&amp;K509</x:f>
        <x:v>생활권|육상</x:v>
      </x:c>
      <x:c r="AG509" s="5" t="str">
        <x:f>"지형|"&amp;L509</x:f>
        <x:v>지형|개활지</x:v>
      </x:c>
      <x:c r="AH509" s="5" t="str">
        <x:f>"온도|"&amp;M509</x:f>
        <x:v>온도|온대</x:v>
      </x:c>
      <x:c r="AI509" s="5" t="str">
        <x:f>"습도|"&amp;N509</x:f>
        <x:v>습도|보통</x:v>
      </x:c>
      <x:c r="AJ509" s="5" t="str">
        <x:f>"날씨|"&amp;O509</x:f>
        <x:v>날씨|무관</x:v>
      </x:c>
      <x:c r="AK509" s="5" t="str">
        <x:f>"특수태그|"&amp;R509</x:f>
        <x:v>특수태그|없음</x:v>
      </x:c>
      <x:c r="AL509" s="5" t="str">
        <x:f>"원본서식지|"&amp;S509</x:f>
        <x:v>원본서식지|평원</x:v>
      </x:c>
      <x:c r="AM509" s="5" t="str">
        <x:f>"타입|"&amp;F509</x:f>
        <x:v>타입|노말</x:v>
      </x:c>
      <x:c r="AN509" s="5" t="str">
        <x:f>"타입|"&amp;G509</x:f>
        <x:v>타입|</x:v>
      </x:c>
    </x:row>
    <x:row r="510" ht="24" customHeight="1">
      <x:c r="A510" s="5" t="n">
        <x:v>506</x:v>
      </x:c>
      <x:c r="B510" s="5" t="inlineStr">
        <x:is>
          <x:t xml:space="preserve">요테리</x:t>
        </x:is>
      </x:c>
      <x:c r="C510" s="5" t="inlineStr">
        <x:is>
          <x:t xml:space="preserve">lillipup</x:t>
        </x:is>
      </x:c>
      <x:c r="D510" s="5" t="inlineStr">
        <x:is>
          <x:t xml:space="preserve">Lillipup</x:t>
        </x:is>
      </x:c>
      <x:c r="E510" s="5" t="n">
        <x:v>5</x:v>
      </x:c>
      <x:c r="F510" s="5" t="inlineStr">
        <x:is>
          <x:t xml:space="preserve">노말</x:t>
        </x:is>
      </x:c>
      <x:c r="G510" s="5" t="inlineStr">
        <x:is>
          <x:t xml:space="preserve"/>
        </x:is>
      </x:c>
      <x:c r="H510" s="6" t="n">
        <x:v>4.1</x:v>
      </x:c>
      <x:c r="I510" s="5" t="n">
        <x:v>32</x:v>
      </x:c>
      <x:c r="J510" s="5" t="inlineStr">
        <x:is>
          <x:t xml:space="preserve">기본</x:t>
        </x:is>
      </x:c>
      <x:c r="K510" s="7" t="inlineStr">
        <x:is>
          <x:t xml:space="preserve">육상</x:t>
        </x:is>
      </x:c>
      <x:c r="L510" s="7" t="inlineStr">
        <x:is>
          <x:t xml:space="preserve">개활지</x:t>
        </x:is>
      </x:c>
      <x:c r="M510" s="7" t="inlineStr">
        <x:is>
          <x:t xml:space="preserve">온대</x:t>
        </x:is>
      </x:c>
      <x:c r="N510" s="7" t="inlineStr">
        <x:is>
          <x:t xml:space="preserve">보통</x:t>
        </x:is>
      </x:c>
      <x:c r="O510" s="7" t="inlineStr">
        <x:is>
          <x:t xml:space="preserve">무관</x:t>
        </x:is>
      </x:c>
      <x:c r="P510" s="7" t="inlineStr">
        <x:is>
          <x:t xml:space="preserve">무관</x:t>
        </x:is>
      </x:c>
      <x:c r="Q510" s="7" t="inlineStr">
        <x:is>
          <x:t xml:space="preserve">흔함</x:t>
        </x:is>
      </x:c>
      <x:c r="R510" s="7" t="inlineStr">
        <x:is>
          <x:t xml:space="preserve">없음</x:t>
        </x:is>
      </x:c>
      <x:c r="S510" s="7" t="inlineStr">
        <x:is>
          <x:t xml:space="preserve"/>
        </x:is>
      </x:c>
      <x:c r="T510" s="7" t="inlineStr">
        <x:is>
          <x:t xml:space="preserve"/>
        </x:is>
      </x:c>
      <x:c r="U510" s="8" t="str">
        <x:f>INDEX('서식지_점수'!$E$4:$P$4,1,MATCH(MAX('서식지_점수'!E510:P510),'서식지_점수'!E510:P510,0))</x:f>
        <x:v>평원</x:v>
      </x:c>
      <x:c r="V510" s="8" t="str">
        <x:f>IF(T510&lt;&gt;"",T510,U510)</x:f>
        <x:v>평원</x:v>
      </x:c>
      <x:c r="W510" s="8" t="str">
        <x:f>IFERROR(INDEX('서식지_점수'!$E$4:$P$4,1,MATCH(MAXIFS('서식지_점수'!E510:P510,'서식지_점수'!E510:P510,"&lt;"&amp;MAX('서식지_점수'!E510:P510)),'서식지_점수'!E510:P510,0)),"")</x:f>
        <x:v>숲</x:v>
      </x:c>
      <x:c r="X510" s="8" t="str">
        <x:f>IF(T510&lt;&gt;"","수동확정",IF(MAX('서식지_점수'!E510:P510)-LARGE('서식지_점수'!E510:P510,2)&gt;=15,"높음",IF(MAX('서식지_점수'!E510:P510)-LARGE('서식지_점수'!E510:P510,2)&gt;=8,"보통","검토필요")))</x:f>
        <x:v>검토필요</x:v>
      </x:c>
      <x:c r="Y510" s="9" t="n">
        <x:f>IF(Q510="전설",8,IF(Q510="희귀",7,IF(J510="기본",1,IF(J510="중간",3,IF(J510="최종",IF(I510="",5,IF(I510&lt;=20,3,IF(I510&lt;=35,4,IF(I510&lt;=50,6,7)))),IF(Q510="드묾",4,2))))))</x:f>
        <x:v>1</x:v>
      </x:c>
      <x:c r="Z510" s="5" t="inlineStr">
        <x:is>
          <x:t xml:space="preserve">#cobblemon:is_overworld</x:t>
        </x:is>
      </x:c>
      <x:c r="AA510" s="5" t="inlineStr">
        <x:is>
          <x:t xml:space="preserve">common</x:t>
        </x:is>
      </x:c>
      <x:c r="AB510" s="5" t="inlineStr">
        <x:is>
          <x:t xml:space="preserve">예</x:t>
        </x:is>
      </x:c>
      <x:c r="AC510" s="8" t="str">
        <x:f>IF(T510&lt;&gt;"","수동확정",IF(X510="검토필요","검토필요",IF(S510="","원본없음","초기완료")))</x:f>
        <x:v>검토필요</x:v>
      </x:c>
      <x:c r="AD510" s="7" t="inlineStr">
        <x:is>
          <x:t xml:space="preserve"/>
        </x:is>
      </x:c>
      <x:c r="AE510" s="5" t="inlineStr">
        <x:is>
          <x:t xml:space="preserve">.tmp/cobblemon-1.7.3-source/common/src/main/resources/data/cobblemon/species/generation5/lillipup.json</x:t>
        </x:is>
      </x:c>
      <x:c r="AF510" s="5" t="str">
        <x:f>"생활권|"&amp;K510</x:f>
        <x:v>생활권|육상</x:v>
      </x:c>
      <x:c r="AG510" s="5" t="str">
        <x:f>"지형|"&amp;L510</x:f>
        <x:v>지형|개활지</x:v>
      </x:c>
      <x:c r="AH510" s="5" t="str">
        <x:f>"온도|"&amp;M510</x:f>
        <x:v>온도|온대</x:v>
      </x:c>
      <x:c r="AI510" s="5" t="str">
        <x:f>"습도|"&amp;N510</x:f>
        <x:v>습도|보통</x:v>
      </x:c>
      <x:c r="AJ510" s="5" t="str">
        <x:f>"날씨|"&amp;O510</x:f>
        <x:v>날씨|무관</x:v>
      </x:c>
      <x:c r="AK510" s="5" t="str">
        <x:f>"특수태그|"&amp;R510</x:f>
        <x:v>특수태그|없음</x:v>
      </x:c>
      <x:c r="AL510" s="5" t="str">
        <x:f>"원본서식지|"&amp;S510</x:f>
        <x:v>원본서식지|</x:v>
      </x:c>
      <x:c r="AM510" s="5" t="str">
        <x:f>"타입|"&amp;F510</x:f>
        <x:v>타입|노말</x:v>
      </x:c>
      <x:c r="AN510" s="5" t="str">
        <x:f>"타입|"&amp;G510</x:f>
        <x:v>타입|</x:v>
      </x:c>
    </x:row>
    <x:row r="511" ht="24" customHeight="1">
      <x:c r="A511" s="5" t="n">
        <x:v>507</x:v>
      </x:c>
      <x:c r="B511" s="5" t="inlineStr">
        <x:is>
          <x:t xml:space="preserve">하데리어</x:t>
        </x:is>
      </x:c>
      <x:c r="C511" s="5" t="inlineStr">
        <x:is>
          <x:t xml:space="preserve">herdier</x:t>
        </x:is>
      </x:c>
      <x:c r="D511" s="5" t="inlineStr">
        <x:is>
          <x:t xml:space="preserve">Herdier</x:t>
        </x:is>
      </x:c>
      <x:c r="E511" s="5" t="n">
        <x:v>5</x:v>
      </x:c>
      <x:c r="F511" s="5" t="inlineStr">
        <x:is>
          <x:t xml:space="preserve">노말</x:t>
        </x:is>
      </x:c>
      <x:c r="G511" s="5" t="inlineStr">
        <x:is>
          <x:t xml:space="preserve"/>
        </x:is>
      </x:c>
      <x:c r="H511" s="6" t="n">
        <x:v>14.7</x:v>
      </x:c>
      <x:c r="I511" s="5" t="n">
        <x:v>32</x:v>
      </x:c>
      <x:c r="J511" s="5" t="inlineStr">
        <x:is>
          <x:t xml:space="preserve">중간</x:t>
        </x:is>
      </x:c>
      <x:c r="K511" s="7" t="inlineStr">
        <x:is>
          <x:t xml:space="preserve">육상</x:t>
        </x:is>
      </x:c>
      <x:c r="L511" s="7" t="inlineStr">
        <x:is>
          <x:t xml:space="preserve">개활지</x:t>
        </x:is>
      </x:c>
      <x:c r="M511" s="7" t="inlineStr">
        <x:is>
          <x:t xml:space="preserve">온대</x:t>
        </x:is>
      </x:c>
      <x:c r="N511" s="7" t="inlineStr">
        <x:is>
          <x:t xml:space="preserve">보통</x:t>
        </x:is>
      </x:c>
      <x:c r="O511" s="7" t="inlineStr">
        <x:is>
          <x:t xml:space="preserve">무관</x:t>
        </x:is>
      </x:c>
      <x:c r="P511" s="7" t="inlineStr">
        <x:is>
          <x:t xml:space="preserve">무관</x:t>
        </x:is>
      </x:c>
      <x:c r="Q511" s="7" t="inlineStr">
        <x:is>
          <x:t xml:space="preserve">흔함</x:t>
        </x:is>
      </x:c>
      <x:c r="R511" s="7" t="inlineStr">
        <x:is>
          <x:t xml:space="preserve">없음</x:t>
        </x:is>
      </x:c>
      <x:c r="S511" s="7" t="inlineStr">
        <x:is>
          <x:t xml:space="preserve"/>
        </x:is>
      </x:c>
      <x:c r="T511" s="7" t="inlineStr">
        <x:is>
          <x:t xml:space="preserve"/>
        </x:is>
      </x:c>
      <x:c r="U511" s="8" t="str">
        <x:f>INDEX('서식지_점수'!$E$4:$P$4,1,MATCH(MAX('서식지_점수'!E511:P511),'서식지_점수'!E511:P511,0))</x:f>
        <x:v>평원</x:v>
      </x:c>
      <x:c r="V511" s="8" t="str">
        <x:f>IF(T511&lt;&gt;"",T511,U511)</x:f>
        <x:v>평원</x:v>
      </x:c>
      <x:c r="W511" s="8" t="str">
        <x:f>IFERROR(INDEX('서식지_점수'!$E$4:$P$4,1,MATCH(MAXIFS('서식지_점수'!E511:P511,'서식지_점수'!E511:P511,"&lt;"&amp;MAX('서식지_점수'!E511:P511)),'서식지_점수'!E511:P511,0)),"")</x:f>
        <x:v>숲</x:v>
      </x:c>
      <x:c r="X511" s="8" t="str">
        <x:f>IF(T511&lt;&gt;"","수동확정",IF(MAX('서식지_점수'!E511:P511)-LARGE('서식지_점수'!E511:P511,2)&gt;=15,"높음",IF(MAX('서식지_점수'!E511:P511)-LARGE('서식지_점수'!E511:P511,2)&gt;=8,"보통","검토필요")))</x:f>
        <x:v>검토필요</x:v>
      </x:c>
      <x:c r="Y511" s="9" t="n">
        <x:f>IF(Q511="전설",8,IF(Q511="희귀",7,IF(J511="기본",1,IF(J511="중간",3,IF(J511="최종",IF(I511="",5,IF(I511&lt;=20,3,IF(I511&lt;=35,4,IF(I511&lt;=50,6,7)))),IF(Q511="드묾",4,2))))))</x:f>
        <x:v>3</x:v>
      </x:c>
      <x:c r="Z511" s="5" t="inlineStr">
        <x:is>
          <x:t xml:space="preserve">#cobblemon:is_overworld</x:t>
        </x:is>
      </x:c>
      <x:c r="AA511" s="5" t="inlineStr">
        <x:is>
          <x:t xml:space="preserve">common</x:t>
        </x:is>
      </x:c>
      <x:c r="AB511" s="5" t="inlineStr">
        <x:is>
          <x:t xml:space="preserve">예</x:t>
        </x:is>
      </x:c>
      <x:c r="AC511" s="8" t="str">
        <x:f>IF(T511&lt;&gt;"","수동확정",IF(X511="검토필요","검토필요",IF(S511="","원본없음","초기완료")))</x:f>
        <x:v>검토필요</x:v>
      </x:c>
      <x:c r="AD511" s="7" t="inlineStr">
        <x:is>
          <x:t xml:space="preserve"/>
        </x:is>
      </x:c>
      <x:c r="AE511" s="5" t="inlineStr">
        <x:is>
          <x:t xml:space="preserve">.tmp/cobblemon-1.7.3-source/common/src/main/resources/data/cobblemon/species/generation5/herdier.json</x:t>
        </x:is>
      </x:c>
      <x:c r="AF511" s="5" t="str">
        <x:f>"생활권|"&amp;K511</x:f>
        <x:v>생활권|육상</x:v>
      </x:c>
      <x:c r="AG511" s="5" t="str">
        <x:f>"지형|"&amp;L511</x:f>
        <x:v>지형|개활지</x:v>
      </x:c>
      <x:c r="AH511" s="5" t="str">
        <x:f>"온도|"&amp;M511</x:f>
        <x:v>온도|온대</x:v>
      </x:c>
      <x:c r="AI511" s="5" t="str">
        <x:f>"습도|"&amp;N511</x:f>
        <x:v>습도|보통</x:v>
      </x:c>
      <x:c r="AJ511" s="5" t="str">
        <x:f>"날씨|"&amp;O511</x:f>
        <x:v>날씨|무관</x:v>
      </x:c>
      <x:c r="AK511" s="5" t="str">
        <x:f>"특수태그|"&amp;R511</x:f>
        <x:v>특수태그|없음</x:v>
      </x:c>
      <x:c r="AL511" s="5" t="str">
        <x:f>"원본서식지|"&amp;S511</x:f>
        <x:v>원본서식지|</x:v>
      </x:c>
      <x:c r="AM511" s="5" t="str">
        <x:f>"타입|"&amp;F511</x:f>
        <x:v>타입|노말</x:v>
      </x:c>
      <x:c r="AN511" s="5" t="str">
        <x:f>"타입|"&amp;G511</x:f>
        <x:v>타입|</x:v>
      </x:c>
    </x:row>
    <x:row r="512" ht="24" customHeight="1">
      <x:c r="A512" s="5" t="n">
        <x:v>508</x:v>
      </x:c>
      <x:c r="B512" s="5" t="inlineStr">
        <x:is>
          <x:t xml:space="preserve">바랜드</x:t>
        </x:is>
      </x:c>
      <x:c r="C512" s="5" t="inlineStr">
        <x:is>
          <x:t xml:space="preserve">stoutland</x:t>
        </x:is>
      </x:c>
      <x:c r="D512" s="5" t="inlineStr">
        <x:is>
          <x:t xml:space="preserve">Stoutland</x:t>
        </x:is>
      </x:c>
      <x:c r="E512" s="5" t="n">
        <x:v>5</x:v>
      </x:c>
      <x:c r="F512" s="5" t="inlineStr">
        <x:is>
          <x:t xml:space="preserve">노말</x:t>
        </x:is>
      </x:c>
      <x:c r="G512" s="5" t="inlineStr">
        <x:is>
          <x:t xml:space="preserve"/>
        </x:is>
      </x:c>
      <x:c r="H512" s="6" t="n">
        <x:v>61</x:v>
      </x:c>
      <x:c r="I512" s="5" t="n">
        <x:v>32</x:v>
      </x:c>
      <x:c r="J512" s="5" t="inlineStr">
        <x:is>
          <x:t xml:space="preserve">최종</x:t>
        </x:is>
      </x:c>
      <x:c r="K512" s="7" t="inlineStr">
        <x:is>
          <x:t xml:space="preserve">육상</x:t>
        </x:is>
      </x:c>
      <x:c r="L512" s="7" t="inlineStr">
        <x:is>
          <x:t xml:space="preserve">개활지</x:t>
        </x:is>
      </x:c>
      <x:c r="M512" s="7" t="inlineStr">
        <x:is>
          <x:t xml:space="preserve">온대</x:t>
        </x:is>
      </x:c>
      <x:c r="N512" s="7" t="inlineStr">
        <x:is>
          <x:t xml:space="preserve">보통</x:t>
        </x:is>
      </x:c>
      <x:c r="O512" s="7" t="inlineStr">
        <x:is>
          <x:t xml:space="preserve">무관</x:t>
        </x:is>
      </x:c>
      <x:c r="P512" s="7" t="inlineStr">
        <x:is>
          <x:t xml:space="preserve">무관</x:t>
        </x:is>
      </x:c>
      <x:c r="Q512" s="7" t="inlineStr">
        <x:is>
          <x:t xml:space="preserve">흔함</x:t>
        </x:is>
      </x:c>
      <x:c r="R512" s="7" t="inlineStr">
        <x:is>
          <x:t xml:space="preserve">없음</x:t>
        </x:is>
      </x:c>
      <x:c r="S512" s="7" t="inlineStr">
        <x:is>
          <x:t xml:space="preserve"/>
        </x:is>
      </x:c>
      <x:c r="T512" s="7" t="inlineStr">
        <x:is>
          <x:t xml:space="preserve"/>
        </x:is>
      </x:c>
      <x:c r="U512" s="8" t="str">
        <x:f>INDEX('서식지_점수'!$E$4:$P$4,1,MATCH(MAX('서식지_점수'!E512:P512),'서식지_점수'!E512:P512,0))</x:f>
        <x:v>평원</x:v>
      </x:c>
      <x:c r="V512" s="8" t="str">
        <x:f>IF(T512&lt;&gt;"",T512,U512)</x:f>
        <x:v>평원</x:v>
      </x:c>
      <x:c r="W512" s="8" t="str">
        <x:f>IFERROR(INDEX('서식지_점수'!$E$4:$P$4,1,MATCH(MAXIFS('서식지_점수'!E512:P512,'서식지_점수'!E512:P512,"&lt;"&amp;MAX('서식지_점수'!E512:P512)),'서식지_점수'!E512:P512,0)),"")</x:f>
        <x:v>숲</x:v>
      </x:c>
      <x:c r="X512" s="8" t="str">
        <x:f>IF(T512&lt;&gt;"","수동확정",IF(MAX('서식지_점수'!E512:P512)-LARGE('서식지_점수'!E512:P512,2)&gt;=15,"높음",IF(MAX('서식지_점수'!E512:P512)-LARGE('서식지_점수'!E512:P512,2)&gt;=8,"보통","검토필요")))</x:f>
        <x:v>검토필요</x:v>
      </x:c>
      <x:c r="Y512" s="9" t="n">
        <x:f>IF(Q512="전설",8,IF(Q512="희귀",7,IF(J512="기본",1,IF(J512="중간",3,IF(J512="최종",IF(I512="",5,IF(I512&lt;=20,3,IF(I512&lt;=35,4,IF(I512&lt;=50,6,7)))),IF(Q512="드묾",4,2))))))</x:f>
        <x:v>4</x:v>
      </x:c>
      <x:c r="Z512" s="5" t="inlineStr">
        <x:is>
          <x:t xml:space="preserve">#cobblemon:is_overworld</x:t>
        </x:is>
      </x:c>
      <x:c r="AA512" s="5" t="inlineStr">
        <x:is>
          <x:t xml:space="preserve">common</x:t>
        </x:is>
      </x:c>
      <x:c r="AB512" s="5" t="inlineStr">
        <x:is>
          <x:t xml:space="preserve">예</x:t>
        </x:is>
      </x:c>
      <x:c r="AC512" s="8" t="str">
        <x:f>IF(T512&lt;&gt;"","수동확정",IF(X512="검토필요","검토필요",IF(S512="","원본없음","초기완료")))</x:f>
        <x:v>검토필요</x:v>
      </x:c>
      <x:c r="AD512" s="7" t="inlineStr">
        <x:is>
          <x:t xml:space="preserve"/>
        </x:is>
      </x:c>
      <x:c r="AE512" s="5" t="inlineStr">
        <x:is>
          <x:t xml:space="preserve">.tmp/cobblemon-1.7.3-source/common/src/main/resources/data/cobblemon/species/generation5/stoutland.json</x:t>
        </x:is>
      </x:c>
      <x:c r="AF512" s="5" t="str">
        <x:f>"생활권|"&amp;K512</x:f>
        <x:v>생활권|육상</x:v>
      </x:c>
      <x:c r="AG512" s="5" t="str">
        <x:f>"지형|"&amp;L512</x:f>
        <x:v>지형|개활지</x:v>
      </x:c>
      <x:c r="AH512" s="5" t="str">
        <x:f>"온도|"&amp;M512</x:f>
        <x:v>온도|온대</x:v>
      </x:c>
      <x:c r="AI512" s="5" t="str">
        <x:f>"습도|"&amp;N512</x:f>
        <x:v>습도|보통</x:v>
      </x:c>
      <x:c r="AJ512" s="5" t="str">
        <x:f>"날씨|"&amp;O512</x:f>
        <x:v>날씨|무관</x:v>
      </x:c>
      <x:c r="AK512" s="5" t="str">
        <x:f>"특수태그|"&amp;R512</x:f>
        <x:v>특수태그|없음</x:v>
      </x:c>
      <x:c r="AL512" s="5" t="str">
        <x:f>"원본서식지|"&amp;S512</x:f>
        <x:v>원본서식지|</x:v>
      </x:c>
      <x:c r="AM512" s="5" t="str">
        <x:f>"타입|"&amp;F512</x:f>
        <x:v>타입|노말</x:v>
      </x:c>
      <x:c r="AN512" s="5" t="str">
        <x:f>"타입|"&amp;G512</x:f>
        <x:v>타입|</x:v>
      </x:c>
    </x:row>
    <x:row r="513" ht="24" customHeight="1">
      <x:c r="A513" s="5" t="n">
        <x:v>509</x:v>
      </x:c>
      <x:c r="B513" s="5" t="inlineStr">
        <x:is>
          <x:t xml:space="preserve">쌔비냥</x:t>
        </x:is>
      </x:c>
      <x:c r="C513" s="5" t="inlineStr">
        <x:is>
          <x:t xml:space="preserve">purrloin</x:t>
        </x:is>
      </x:c>
      <x:c r="D513" s="5" t="inlineStr">
        <x:is>
          <x:t xml:space="preserve">Purrloin</x:t>
        </x:is>
      </x:c>
      <x:c r="E513" s="5" t="n">
        <x:v>5</x:v>
      </x:c>
      <x:c r="F513" s="5" t="inlineStr">
        <x:is>
          <x:t xml:space="preserve">악</x:t>
        </x:is>
      </x:c>
      <x:c r="G513" s="5" t="inlineStr">
        <x:is>
          <x:t xml:space="preserve"/>
        </x:is>
      </x:c>
      <x:c r="H513" s="6" t="n">
        <x:v>10.1</x:v>
      </x:c>
      <x:c r="I513" s="5" t="n">
        <x:v>20</x:v>
      </x:c>
      <x:c r="J513" s="5" t="inlineStr">
        <x:is>
          <x:t xml:space="preserve">기본</x:t>
        </x:is>
      </x:c>
      <x:c r="K513" s="7" t="inlineStr">
        <x:is>
          <x:t xml:space="preserve">육상</x:t>
        </x:is>
      </x:c>
      <x:c r="L513" s="7" t="inlineStr">
        <x:is>
          <x:t xml:space="preserve">습지</x:t>
        </x:is>
      </x:c>
      <x:c r="M513" s="7" t="inlineStr">
        <x:is>
          <x:t xml:space="preserve">온대</x:t>
        </x:is>
      </x:c>
      <x:c r="N513" s="7" t="inlineStr">
        <x:is>
          <x:t xml:space="preserve">다습</x:t>
        </x:is>
      </x:c>
      <x:c r="O513" s="7" t="inlineStr">
        <x:is>
          <x:t xml:space="preserve">비</x:t>
        </x:is>
      </x:c>
      <x:c r="P513" s="7" t="inlineStr">
        <x:is>
          <x:t xml:space="preserve">밤</x:t>
        </x:is>
      </x:c>
      <x:c r="Q513" s="7" t="inlineStr">
        <x:is>
          <x:t xml:space="preserve">흔함</x:t>
        </x:is>
      </x:c>
      <x:c r="R513" s="7" t="inlineStr">
        <x:is>
          <x:t xml:space="preserve">없음</x:t>
        </x:is>
      </x:c>
      <x:c r="S513" s="7" t="inlineStr">
        <x:is>
          <x:t xml:space="preserve">습지</x:t>
        </x:is>
      </x:c>
      <x:c r="T513" s="7" t="inlineStr">
        <x:is>
          <x:t xml:space="preserve"/>
        </x:is>
      </x:c>
      <x:c r="U513" s="8" t="str">
        <x:f>INDEX('서식지_점수'!$E$4:$P$4,1,MATCH(MAX('서식지_점수'!E513:P513),'서식지_점수'!E513:P513,0))</x:f>
        <x:v>평원</x:v>
      </x:c>
      <x:c r="V513" s="8" t="str">
        <x:f>IF(T513&lt;&gt;"",T513,U513)</x:f>
        <x:v>평원</x:v>
      </x:c>
      <x:c r="W513" s="8" t="str">
        <x:f>IFERROR(INDEX('서식지_점수'!$E$4:$P$4,1,MATCH(MAXIFS('서식지_점수'!E513:P513,'서식지_점수'!E513:P513,"&lt;"&amp;MAX('서식지_점수'!E513:P513)),'서식지_점수'!E513:P513,0)),"")</x:f>
        <x:v>숲</x:v>
      </x:c>
      <x:c r="X513" s="8" t="str">
        <x:f>IF(T513&lt;&gt;"","수동확정",IF(MAX('서식지_점수'!E513:P513)-LARGE('서식지_점수'!E513:P513,2)&gt;=15,"높음",IF(MAX('서식지_점수'!E513:P513)-LARGE('서식지_점수'!E513:P513,2)&gt;=8,"보통","검토필요")))</x:f>
        <x:v>검토필요</x:v>
      </x:c>
      <x:c r="Y513" s="9" t="n">
        <x:f>IF(Q513="전설",8,IF(Q513="희귀",7,IF(J513="기본",1,IF(J513="중간",3,IF(J513="최종",IF(I513="",5,IF(I513&lt;=20,3,IF(I513&lt;=35,4,IF(I513&lt;=50,6,7)))),IF(Q513="드묾",4,2))))))</x:f>
        <x:v>1</x:v>
      </x:c>
      <x:c r="Z513" s="5" t="inlineStr">
        <x:is>
          <x:t xml:space="preserve">#cobblemon:is_jungle; #cobblemon:is_overworld; #cobblemon:is_savanna; #cobblemon:is_swamp; #cobblemon:is_temperate</x:t>
        </x:is>
      </x:c>
      <x:c r="AA513" s="5" t="inlineStr">
        <x:is>
          <x:t xml:space="preserve">common</x:t>
        </x:is>
      </x:c>
      <x:c r="AB513" s="5" t="inlineStr">
        <x:is>
          <x:t xml:space="preserve">예</x:t>
        </x:is>
      </x:c>
      <x:c r="AC513" s="8" t="str">
        <x:f>IF(T513&lt;&gt;"","수동확정",IF(X513="검토필요","검토필요",IF(S513="","원본없음","초기완료")))</x:f>
        <x:v>검토필요</x:v>
      </x:c>
      <x:c r="AD513" s="7" t="inlineStr">
        <x:is>
          <x:t xml:space="preserve"/>
        </x:is>
      </x:c>
      <x:c r="AE513" s="5" t="inlineStr">
        <x:is>
          <x:t xml:space="preserve">.tmp/cobblemon-1.7.3-source/common/src/main/resources/data/cobblemon/species/generation5/purrloin.json</x:t>
        </x:is>
      </x:c>
      <x:c r="AF513" s="5" t="str">
        <x:f>"생활권|"&amp;K513</x:f>
        <x:v>생활권|육상</x:v>
      </x:c>
      <x:c r="AG513" s="5" t="str">
        <x:f>"지형|"&amp;L513</x:f>
        <x:v>지형|습지</x:v>
      </x:c>
      <x:c r="AH513" s="5" t="str">
        <x:f>"온도|"&amp;M513</x:f>
        <x:v>온도|온대</x:v>
      </x:c>
      <x:c r="AI513" s="5" t="str">
        <x:f>"습도|"&amp;N513</x:f>
        <x:v>습도|다습</x:v>
      </x:c>
      <x:c r="AJ513" s="5" t="str">
        <x:f>"날씨|"&amp;O513</x:f>
        <x:v>날씨|비</x:v>
      </x:c>
      <x:c r="AK513" s="5" t="str">
        <x:f>"특수태그|"&amp;R513</x:f>
        <x:v>특수태그|없음</x:v>
      </x:c>
      <x:c r="AL513" s="5" t="str">
        <x:f>"원본서식지|"&amp;S513</x:f>
        <x:v>원본서식지|습지</x:v>
      </x:c>
      <x:c r="AM513" s="5" t="str">
        <x:f>"타입|"&amp;F513</x:f>
        <x:v>타입|악</x:v>
      </x:c>
      <x:c r="AN513" s="5" t="str">
        <x:f>"타입|"&amp;G513</x:f>
        <x:v>타입|</x:v>
      </x:c>
    </x:row>
    <x:row r="514" ht="24" customHeight="1">
      <x:c r="A514" s="5" t="n">
        <x:v>510</x:v>
      </x:c>
      <x:c r="B514" s="5" t="inlineStr">
        <x:is>
          <x:t xml:space="preserve">레파르다스</x:t>
        </x:is>
      </x:c>
      <x:c r="C514" s="5" t="inlineStr">
        <x:is>
          <x:t xml:space="preserve">liepard</x:t>
        </x:is>
      </x:c>
      <x:c r="D514" s="5" t="inlineStr">
        <x:is>
          <x:t xml:space="preserve">Liepard</x:t>
        </x:is>
      </x:c>
      <x:c r="E514" s="5" t="n">
        <x:v>5</x:v>
      </x:c>
      <x:c r="F514" s="5" t="inlineStr">
        <x:is>
          <x:t xml:space="preserve">악</x:t>
        </x:is>
      </x:c>
      <x:c r="G514" s="5" t="inlineStr">
        <x:is>
          <x:t xml:space="preserve"/>
        </x:is>
      </x:c>
      <x:c r="H514" s="6" t="n">
        <x:v>37.5</x:v>
      </x:c>
      <x:c r="I514" s="5" t="n">
        <x:v>20</x:v>
      </x:c>
      <x:c r="J514" s="5" t="inlineStr">
        <x:is>
          <x:t xml:space="preserve">최종</x:t>
        </x:is>
      </x:c>
      <x:c r="K514" s="7" t="inlineStr">
        <x:is>
          <x:t xml:space="preserve">육상</x:t>
        </x:is>
      </x:c>
      <x:c r="L514" s="7" t="inlineStr">
        <x:is>
          <x:t xml:space="preserve">습지</x:t>
        </x:is>
      </x:c>
      <x:c r="M514" s="7" t="inlineStr">
        <x:is>
          <x:t xml:space="preserve">온대</x:t>
        </x:is>
      </x:c>
      <x:c r="N514" s="7" t="inlineStr">
        <x:is>
          <x:t xml:space="preserve">다습</x:t>
        </x:is>
      </x:c>
      <x:c r="O514" s="7" t="inlineStr">
        <x:is>
          <x:t xml:space="preserve">비</x:t>
        </x:is>
      </x:c>
      <x:c r="P514" s="7" t="inlineStr">
        <x:is>
          <x:t xml:space="preserve">밤</x:t>
        </x:is>
      </x:c>
      <x:c r="Q514" s="7" t="inlineStr">
        <x:is>
          <x:t xml:space="preserve">흔함</x:t>
        </x:is>
      </x:c>
      <x:c r="R514" s="7" t="inlineStr">
        <x:is>
          <x:t xml:space="preserve">없음</x:t>
        </x:is>
      </x:c>
      <x:c r="S514" s="7" t="inlineStr">
        <x:is>
          <x:t xml:space="preserve">습지</x:t>
        </x:is>
      </x:c>
      <x:c r="T514" s="7" t="inlineStr">
        <x:is>
          <x:t xml:space="preserve"/>
        </x:is>
      </x:c>
      <x:c r="U514" s="8" t="str">
        <x:f>INDEX('서식지_점수'!$E$4:$P$4,1,MATCH(MAX('서식지_점수'!E514:P514),'서식지_점수'!E514:P514,0))</x:f>
        <x:v>평원</x:v>
      </x:c>
      <x:c r="V514" s="8" t="str">
        <x:f>IF(T514&lt;&gt;"",T514,U514)</x:f>
        <x:v>평원</x:v>
      </x:c>
      <x:c r="W514" s="8" t="str">
        <x:f>IFERROR(INDEX('서식지_점수'!$E$4:$P$4,1,MATCH(MAXIFS('서식지_점수'!E514:P514,'서식지_점수'!E514:P514,"&lt;"&amp;MAX('서식지_점수'!E514:P514)),'서식지_점수'!E514:P514,0)),"")</x:f>
        <x:v>숲</x:v>
      </x:c>
      <x:c r="X514" s="8" t="str">
        <x:f>IF(T514&lt;&gt;"","수동확정",IF(MAX('서식지_점수'!E514:P514)-LARGE('서식지_점수'!E514:P514,2)&gt;=15,"높음",IF(MAX('서식지_점수'!E514:P514)-LARGE('서식지_점수'!E514:P514,2)&gt;=8,"보통","검토필요")))</x:f>
        <x:v>검토필요</x:v>
      </x:c>
      <x:c r="Y514" s="9" t="n">
        <x:f>IF(Q514="전설",8,IF(Q514="희귀",7,IF(J514="기본",1,IF(J514="중간",3,IF(J514="최종",IF(I514="",5,IF(I514&lt;=20,3,IF(I514&lt;=35,4,IF(I514&lt;=50,6,7)))),IF(Q514="드묾",4,2))))))</x:f>
        <x:v>3</x:v>
      </x:c>
      <x:c r="Z514" s="5" t="inlineStr">
        <x:is>
          <x:t xml:space="preserve">#cobblemon:is_jungle; #cobblemon:is_overworld; #cobblemon:is_savanna; #cobblemon:is_swamp; #cobblemon:is_temperate</x:t>
        </x:is>
      </x:c>
      <x:c r="AA514" s="5" t="inlineStr">
        <x:is>
          <x:t xml:space="preserve">common</x:t>
        </x:is>
      </x:c>
      <x:c r="AB514" s="5" t="inlineStr">
        <x:is>
          <x:t xml:space="preserve">예</x:t>
        </x:is>
      </x:c>
      <x:c r="AC514" s="8" t="str">
        <x:f>IF(T514&lt;&gt;"","수동확정",IF(X514="검토필요","검토필요",IF(S514="","원본없음","초기완료")))</x:f>
        <x:v>검토필요</x:v>
      </x:c>
      <x:c r="AD514" s="7" t="inlineStr">
        <x:is>
          <x:t xml:space="preserve"/>
        </x:is>
      </x:c>
      <x:c r="AE514" s="5" t="inlineStr">
        <x:is>
          <x:t xml:space="preserve">.tmp/cobblemon-1.7.3-source/common/src/main/resources/data/cobblemon/species/generation5/liepard.json</x:t>
        </x:is>
      </x:c>
      <x:c r="AF514" s="5" t="str">
        <x:f>"생활권|"&amp;K514</x:f>
        <x:v>생활권|육상</x:v>
      </x:c>
      <x:c r="AG514" s="5" t="str">
        <x:f>"지형|"&amp;L514</x:f>
        <x:v>지형|습지</x:v>
      </x:c>
      <x:c r="AH514" s="5" t="str">
        <x:f>"온도|"&amp;M514</x:f>
        <x:v>온도|온대</x:v>
      </x:c>
      <x:c r="AI514" s="5" t="str">
        <x:f>"습도|"&amp;N514</x:f>
        <x:v>습도|다습</x:v>
      </x:c>
      <x:c r="AJ514" s="5" t="str">
        <x:f>"날씨|"&amp;O514</x:f>
        <x:v>날씨|비</x:v>
      </x:c>
      <x:c r="AK514" s="5" t="str">
        <x:f>"특수태그|"&amp;R514</x:f>
        <x:v>특수태그|없음</x:v>
      </x:c>
      <x:c r="AL514" s="5" t="str">
        <x:f>"원본서식지|"&amp;S514</x:f>
        <x:v>원본서식지|습지</x:v>
      </x:c>
      <x:c r="AM514" s="5" t="str">
        <x:f>"타입|"&amp;F514</x:f>
        <x:v>타입|악</x:v>
      </x:c>
      <x:c r="AN514" s="5" t="str">
        <x:f>"타입|"&amp;G514</x:f>
        <x:v>타입|</x:v>
      </x:c>
    </x:row>
    <x:row r="515" ht="24" customHeight="1">
      <x:c r="A515" s="5" t="n">
        <x:v>511</x:v>
      </x:c>
      <x:c r="B515" s="5" t="inlineStr">
        <x:is>
          <x:t xml:space="preserve">야나프</x:t>
        </x:is>
      </x:c>
      <x:c r="C515" s="5" t="inlineStr">
        <x:is>
          <x:t xml:space="preserve">pansage</x:t>
        </x:is>
      </x:c>
      <x:c r="D515" s="5" t="inlineStr">
        <x:is>
          <x:t xml:space="preserve">Pansage</x:t>
        </x:is>
      </x:c>
      <x:c r="E515" s="5" t="n">
        <x:v>5</x:v>
      </x:c>
      <x:c r="F515" s="5" t="inlineStr">
        <x:is>
          <x:t xml:space="preserve">풀</x:t>
        </x:is>
      </x:c>
      <x:c r="G515" s="5" t="inlineStr">
        <x:is>
          <x:t xml:space="preserve"/>
        </x:is>
      </x:c>
      <x:c r="H515" s="6" t="n">
        <x:v>10.5</x:v>
      </x:c>
      <x:c r="I515" s="5" t="n"/>
      <x:c r="J515" s="5" t="inlineStr">
        <x:is>
          <x:t xml:space="preserve">기본</x:t>
        </x:is>
      </x:c>
      <x:c r="K515" s="7" t="inlineStr">
        <x:is>
          <x:t xml:space="preserve">육상</x:t>
        </x:is>
      </x:c>
      <x:c r="L515" s="7" t="inlineStr">
        <x:is>
          <x:t xml:space="preserve">수목</x:t>
        </x:is>
      </x:c>
      <x:c r="M515" s="7" t="inlineStr">
        <x:is>
          <x:t xml:space="preserve">온대</x:t>
        </x:is>
      </x:c>
      <x:c r="N515" s="7" t="inlineStr">
        <x:is>
          <x:t xml:space="preserve">다습</x:t>
        </x:is>
      </x:c>
      <x:c r="O515" s="7" t="inlineStr">
        <x:is>
          <x:t xml:space="preserve">무관</x:t>
        </x:is>
      </x:c>
      <x:c r="P515" s="7" t="inlineStr">
        <x:is>
          <x:t xml:space="preserve">무관</x:t>
        </x:is>
      </x:c>
      <x:c r="Q515" s="7" t="inlineStr">
        <x:is>
          <x:t xml:space="preserve">보통</x:t>
        </x:is>
      </x:c>
      <x:c r="R515" s="7" t="inlineStr">
        <x:is>
          <x:t xml:space="preserve">없음</x:t>
        </x:is>
      </x:c>
      <x:c r="S515" s="7" t="inlineStr">
        <x:is>
          <x:t xml:space="preserve">숲</x:t>
        </x:is>
      </x:c>
      <x:c r="T515" s="7" t="inlineStr">
        <x:is>
          <x:t xml:space="preserve"/>
        </x:is>
      </x:c>
      <x:c r="U515" s="8" t="str">
        <x:f>INDEX('서식지_점수'!$E$4:$P$4,1,MATCH(MAX('서식지_점수'!E515:P515),'서식지_점수'!E515:P515,0))</x:f>
        <x:v>평원</x:v>
      </x:c>
      <x:c r="V515" s="8" t="str">
        <x:f>IF(T515&lt;&gt;"",T515,U515)</x:f>
        <x:v>평원</x:v>
      </x:c>
      <x:c r="W515" s="8" t="str">
        <x:f>IFERROR(INDEX('서식지_점수'!$E$4:$P$4,1,MATCH(MAXIFS('서식지_점수'!E515:P515,'서식지_점수'!E515:P515,"&lt;"&amp;MAX('서식지_점수'!E515:P515)),'서식지_점수'!E515:P515,0)),"")</x:f>
        <x:v>숲</x:v>
      </x:c>
      <x:c r="X515" s="8" t="str">
        <x:f>IF(T515&lt;&gt;"","수동확정",IF(MAX('서식지_점수'!E515:P515)-LARGE('서식지_점수'!E515:P515,2)&gt;=15,"높음",IF(MAX('서식지_점수'!E515:P515)-LARGE('서식지_점수'!E515:P515,2)&gt;=8,"보통","검토필요")))</x:f>
        <x:v>검토필요</x:v>
      </x:c>
      <x:c r="Y515" s="9" t="n">
        <x:f>IF(Q515="전설",8,IF(Q515="희귀",7,IF(J515="기본",1,IF(J515="중간",3,IF(J515="최종",IF(I515="",5,IF(I515&lt;=20,3,IF(I515&lt;=35,4,IF(I515&lt;=50,6,7)))),IF(Q515="드묾",4,2))))))</x:f>
        <x:v>1</x:v>
      </x:c>
      <x:c r="Z515" s="5" t="inlineStr">
        <x:is>
          <x:t xml:space="preserve">#cobblemon:is_forest; #cobblemon:is_jungle; #cobblemon:is_tropical_island; aether:skyroot_forest; aether:skyroot_woodland</x:t>
        </x:is>
      </x:c>
      <x:c r="AA515" s="5" t="inlineStr">
        <x:is>
          <x:t xml:space="preserve">uncommon</x:t>
        </x:is>
      </x:c>
      <x:c r="AB515" s="5" t="inlineStr">
        <x:is>
          <x:t xml:space="preserve">예</x:t>
        </x:is>
      </x:c>
      <x:c r="AC515" s="8" t="str">
        <x:f>IF(T515&lt;&gt;"","수동확정",IF(X515="검토필요","검토필요",IF(S515="","원본없음","초기완료")))</x:f>
        <x:v>검토필요</x:v>
      </x:c>
      <x:c r="AD515" s="7" t="inlineStr">
        <x:is>
          <x:t xml:space="preserve"/>
        </x:is>
      </x:c>
      <x:c r="AE515" s="5" t="inlineStr">
        <x:is>
          <x:t xml:space="preserve">.tmp/cobblemon-1.7.3-source/common/src/main/resources/data/cobblemon/species/generation5/pansage.json</x:t>
        </x:is>
      </x:c>
      <x:c r="AF515" s="5" t="str">
        <x:f>"생활권|"&amp;K515</x:f>
        <x:v>생활권|육상</x:v>
      </x:c>
      <x:c r="AG515" s="5" t="str">
        <x:f>"지형|"&amp;L515</x:f>
        <x:v>지형|수목</x:v>
      </x:c>
      <x:c r="AH515" s="5" t="str">
        <x:f>"온도|"&amp;M515</x:f>
        <x:v>온도|온대</x:v>
      </x:c>
      <x:c r="AI515" s="5" t="str">
        <x:f>"습도|"&amp;N515</x:f>
        <x:v>습도|다습</x:v>
      </x:c>
      <x:c r="AJ515" s="5" t="str">
        <x:f>"날씨|"&amp;O515</x:f>
        <x:v>날씨|무관</x:v>
      </x:c>
      <x:c r="AK515" s="5" t="str">
        <x:f>"특수태그|"&amp;R515</x:f>
        <x:v>특수태그|없음</x:v>
      </x:c>
      <x:c r="AL515" s="5" t="str">
        <x:f>"원본서식지|"&amp;S515</x:f>
        <x:v>원본서식지|숲</x:v>
      </x:c>
      <x:c r="AM515" s="5" t="str">
        <x:f>"타입|"&amp;F515</x:f>
        <x:v>타입|풀</x:v>
      </x:c>
      <x:c r="AN515" s="5" t="str">
        <x:f>"타입|"&amp;G515</x:f>
        <x:v>타입|</x:v>
      </x:c>
    </x:row>
    <x:row r="516" ht="24" customHeight="1">
      <x:c r="A516" s="5" t="n">
        <x:v>512</x:v>
      </x:c>
      <x:c r="B516" s="5" t="inlineStr">
        <x:is>
          <x:t xml:space="preserve">야나키</x:t>
        </x:is>
      </x:c>
      <x:c r="C516" s="5" t="inlineStr">
        <x:is>
          <x:t xml:space="preserve">simisage</x:t>
        </x:is>
      </x:c>
      <x:c r="D516" s="5" t="inlineStr">
        <x:is>
          <x:t xml:space="preserve">Simisage</x:t>
        </x:is>
      </x:c>
      <x:c r="E516" s="5" t="n">
        <x:v>5</x:v>
      </x:c>
      <x:c r="F516" s="5" t="inlineStr">
        <x:is>
          <x:t xml:space="preserve">풀</x:t>
        </x:is>
      </x:c>
      <x:c r="G516" s="5" t="inlineStr">
        <x:is>
          <x:t xml:space="preserve"/>
        </x:is>
      </x:c>
      <x:c r="H516" s="6" t="n">
        <x:v>30.5</x:v>
      </x:c>
      <x:c r="I516" s="5" t="n"/>
      <x:c r="J516" s="5" t="inlineStr">
        <x:is>
          <x:t xml:space="preserve">최종</x:t>
        </x:is>
      </x:c>
      <x:c r="K516" s="7" t="inlineStr">
        <x:is>
          <x:t xml:space="preserve">육상</x:t>
        </x:is>
      </x:c>
      <x:c r="L516" s="7" t="inlineStr">
        <x:is>
          <x:t xml:space="preserve">수목</x:t>
        </x:is>
      </x:c>
      <x:c r="M516" s="7" t="inlineStr">
        <x:is>
          <x:t xml:space="preserve">온대</x:t>
        </x:is>
      </x:c>
      <x:c r="N516" s="7" t="inlineStr">
        <x:is>
          <x:t xml:space="preserve">다습</x:t>
        </x:is>
      </x:c>
      <x:c r="O516" s="7" t="inlineStr">
        <x:is>
          <x:t xml:space="preserve">무관</x:t>
        </x:is>
      </x:c>
      <x:c r="P516" s="7" t="inlineStr">
        <x:is>
          <x:t xml:space="preserve">무관</x:t>
        </x:is>
      </x:c>
      <x:c r="Q516" s="7" t="inlineStr">
        <x:is>
          <x:t xml:space="preserve">보통</x:t>
        </x:is>
      </x:c>
      <x:c r="R516" s="7" t="inlineStr">
        <x:is>
          <x:t xml:space="preserve">없음</x:t>
        </x:is>
      </x:c>
      <x:c r="S516" s="7" t="inlineStr">
        <x:is>
          <x:t xml:space="preserve">숲</x:t>
        </x:is>
      </x:c>
      <x:c r="T516" s="7" t="inlineStr">
        <x:is>
          <x:t xml:space="preserve"/>
        </x:is>
      </x:c>
      <x:c r="U516" s="8" t="str">
        <x:f>INDEX('서식지_점수'!$E$4:$P$4,1,MATCH(MAX('서식지_점수'!E516:P516),'서식지_점수'!E516:P516,0))</x:f>
        <x:v>평원</x:v>
      </x:c>
      <x:c r="V516" s="8" t="str">
        <x:f>IF(T516&lt;&gt;"",T516,U516)</x:f>
        <x:v>평원</x:v>
      </x:c>
      <x:c r="W516" s="8" t="str">
        <x:f>IFERROR(INDEX('서식지_점수'!$E$4:$P$4,1,MATCH(MAXIFS('서식지_점수'!E516:P516,'서식지_점수'!E516:P516,"&lt;"&amp;MAX('서식지_점수'!E516:P516)),'서식지_점수'!E516:P516,0)),"")</x:f>
        <x:v>숲</x:v>
      </x:c>
      <x:c r="X516" s="8" t="str">
        <x:f>IF(T516&lt;&gt;"","수동확정",IF(MAX('서식지_점수'!E516:P516)-LARGE('서식지_점수'!E516:P516,2)&gt;=15,"높음",IF(MAX('서식지_점수'!E516:P516)-LARGE('서식지_점수'!E516:P516,2)&gt;=8,"보통","검토필요")))</x:f>
        <x:v>검토필요</x:v>
      </x:c>
      <x:c r="Y516" s="9" t="n">
        <x:f>IF(Q516="전설",8,IF(Q516="희귀",7,IF(J516="기본",1,IF(J516="중간",3,IF(J516="최종",IF(I516="",5,IF(I516&lt;=20,3,IF(I516&lt;=35,4,IF(I516&lt;=50,6,7)))),IF(Q516="드묾",4,2))))))</x:f>
        <x:v>5</x:v>
      </x:c>
      <x:c r="Z516" s="5" t="inlineStr">
        <x:is>
          <x:t xml:space="preserve">#cobblemon:is_forest; #cobblemon:is_jungle; #cobblemon:is_tropical_island; aether:skyroot_forest; aether:skyroot_woodland</x:t>
        </x:is>
      </x:c>
      <x:c r="AA516" s="5" t="inlineStr">
        <x:is>
          <x:t xml:space="preserve">uncommon</x:t>
        </x:is>
      </x:c>
      <x:c r="AB516" s="5" t="inlineStr">
        <x:is>
          <x:t xml:space="preserve">예</x:t>
        </x:is>
      </x:c>
      <x:c r="AC516" s="8" t="str">
        <x:f>IF(T516&lt;&gt;"","수동확정",IF(X516="검토필요","검토필요",IF(S516="","원본없음","초기완료")))</x:f>
        <x:v>검토필요</x:v>
      </x:c>
      <x:c r="AD516" s="7" t="inlineStr">
        <x:is>
          <x:t xml:space="preserve"/>
        </x:is>
      </x:c>
      <x:c r="AE516" s="5" t="inlineStr">
        <x:is>
          <x:t xml:space="preserve">.tmp/cobblemon-1.7.3-source/common/src/main/resources/data/cobblemon/species/generation5/simisage.json</x:t>
        </x:is>
      </x:c>
      <x:c r="AF516" s="5" t="str">
        <x:f>"생활권|"&amp;K516</x:f>
        <x:v>생활권|육상</x:v>
      </x:c>
      <x:c r="AG516" s="5" t="str">
        <x:f>"지형|"&amp;L516</x:f>
        <x:v>지형|수목</x:v>
      </x:c>
      <x:c r="AH516" s="5" t="str">
        <x:f>"온도|"&amp;M516</x:f>
        <x:v>온도|온대</x:v>
      </x:c>
      <x:c r="AI516" s="5" t="str">
        <x:f>"습도|"&amp;N516</x:f>
        <x:v>습도|다습</x:v>
      </x:c>
      <x:c r="AJ516" s="5" t="str">
        <x:f>"날씨|"&amp;O516</x:f>
        <x:v>날씨|무관</x:v>
      </x:c>
      <x:c r="AK516" s="5" t="str">
        <x:f>"특수태그|"&amp;R516</x:f>
        <x:v>특수태그|없음</x:v>
      </x:c>
      <x:c r="AL516" s="5" t="str">
        <x:f>"원본서식지|"&amp;S516</x:f>
        <x:v>원본서식지|숲</x:v>
      </x:c>
      <x:c r="AM516" s="5" t="str">
        <x:f>"타입|"&amp;F516</x:f>
        <x:v>타입|풀</x:v>
      </x:c>
      <x:c r="AN516" s="5" t="str">
        <x:f>"타입|"&amp;G516</x:f>
        <x:v>타입|</x:v>
      </x:c>
    </x:row>
    <x:row r="517" ht="24" customHeight="1">
      <x:c r="A517" s="5" t="n">
        <x:v>513</x:v>
      </x:c>
      <x:c r="B517" s="5" t="inlineStr">
        <x:is>
          <x:t xml:space="preserve">바오프</x:t>
        </x:is>
      </x:c>
      <x:c r="C517" s="5" t="inlineStr">
        <x:is>
          <x:t xml:space="preserve">pansear</x:t>
        </x:is>
      </x:c>
      <x:c r="D517" s="5" t="inlineStr">
        <x:is>
          <x:t xml:space="preserve">Pansear</x:t>
        </x:is>
      </x:c>
      <x:c r="E517" s="5" t="n">
        <x:v>5</x:v>
      </x:c>
      <x:c r="F517" s="5" t="inlineStr">
        <x:is>
          <x:t xml:space="preserve">불꽃</x:t>
        </x:is>
      </x:c>
      <x:c r="G517" s="5" t="inlineStr">
        <x:is>
          <x:t xml:space="preserve"/>
        </x:is>
      </x:c>
      <x:c r="H517" s="6" t="n">
        <x:v>11</x:v>
      </x:c>
      <x:c r="I517" s="5" t="n"/>
      <x:c r="J517" s="5" t="inlineStr">
        <x:is>
          <x:t xml:space="preserve">기본</x:t>
        </x:is>
      </x:c>
      <x:c r="K517" s="7" t="inlineStr">
        <x:is>
          <x:t xml:space="preserve">육상</x:t>
        </x:is>
      </x:c>
      <x:c r="L517" s="7" t="inlineStr">
        <x:is>
          <x:t xml:space="preserve">화산</x:t>
        </x:is>
      </x:c>
      <x:c r="M517" s="7" t="inlineStr">
        <x:is>
          <x:t xml:space="preserve">고온</x:t>
        </x:is>
      </x:c>
      <x:c r="N517" s="7" t="inlineStr">
        <x:is>
          <x:t xml:space="preserve">다습</x:t>
        </x:is>
      </x:c>
      <x:c r="O517" s="7" t="inlineStr">
        <x:is>
          <x:t xml:space="preserve">맑음</x:t>
        </x:is>
      </x:c>
      <x:c r="P517" s="7" t="inlineStr">
        <x:is>
          <x:t xml:space="preserve">무관</x:t>
        </x:is>
      </x:c>
      <x:c r="Q517" s="7" t="inlineStr">
        <x:is>
          <x:t xml:space="preserve">보통</x:t>
        </x:is>
      </x:c>
      <x:c r="R517" s="7" t="inlineStr">
        <x:is>
          <x:t xml:space="preserve">화산</x:t>
        </x:is>
      </x:c>
      <x:c r="S517" s="7" t="inlineStr">
        <x:is>
          <x:t xml:space="preserve">화산</x:t>
        </x:is>
      </x:c>
      <x:c r="T517" s="7" t="inlineStr">
        <x:is>
          <x:t xml:space="preserve"/>
        </x:is>
      </x:c>
      <x:c r="U517" s="8" t="str">
        <x:f>INDEX('서식지_점수'!$E$4:$P$4,1,MATCH(MAX('서식지_점수'!E517:P517),'서식지_점수'!E517:P517,0))</x:f>
        <x:v>평원</x:v>
      </x:c>
      <x:c r="V517" s="8" t="str">
        <x:f>IF(T517&lt;&gt;"",T517,U517)</x:f>
        <x:v>평원</x:v>
      </x:c>
      <x:c r="W517" s="8" t="str">
        <x:f>IFERROR(INDEX('서식지_점수'!$E$4:$P$4,1,MATCH(MAXIFS('서식지_점수'!E517:P517,'서식지_점수'!E517:P517,"&lt;"&amp;MAX('서식지_점수'!E517:P517)),'서식지_점수'!E517:P517,0)),"")</x:f>
        <x:v>숲</x:v>
      </x:c>
      <x:c r="X517" s="8" t="str">
        <x:f>IF(T517&lt;&gt;"","수동확정",IF(MAX('서식지_점수'!E517:P517)-LARGE('서식지_점수'!E517:P517,2)&gt;=15,"높음",IF(MAX('서식지_점수'!E517:P517)-LARGE('서식지_점수'!E517:P517,2)&gt;=8,"보통","검토필요")))</x:f>
        <x:v>검토필요</x:v>
      </x:c>
      <x:c r="Y517" s="9" t="n">
        <x:f>IF(Q517="전설",8,IF(Q517="희귀",7,IF(J517="기본",1,IF(J517="중간",3,IF(J517="최종",IF(I517="",5,IF(I517&lt;=20,3,IF(I517&lt;=35,4,IF(I517&lt;=50,6,7)))),IF(Q517="드묾",4,2))))))</x:f>
        <x:v>1</x:v>
      </x:c>
      <x:c r="Z517" s="5" t="inlineStr">
        <x:is>
          <x:t xml:space="preserve">#cobblemon:is_jungle; #cobblemon:is_tropical_island; #cobblemon:is_volcanic</x:t>
        </x:is>
      </x:c>
      <x:c r="AA517" s="5" t="inlineStr">
        <x:is>
          <x:t xml:space="preserve">uncommon</x:t>
        </x:is>
      </x:c>
      <x:c r="AB517" s="5" t="inlineStr">
        <x:is>
          <x:t xml:space="preserve">예</x:t>
        </x:is>
      </x:c>
      <x:c r="AC517" s="8" t="str">
        <x:f>IF(T517&lt;&gt;"","수동확정",IF(X517="검토필요","검토필요",IF(S517="","원본없음","초기완료")))</x:f>
        <x:v>검토필요</x:v>
      </x:c>
      <x:c r="AD517" s="7" t="inlineStr">
        <x:is>
          <x:t xml:space="preserve"/>
        </x:is>
      </x:c>
      <x:c r="AE517" s="5" t="inlineStr">
        <x:is>
          <x:t xml:space="preserve">.tmp/cobblemon-1.7.3-source/common/src/main/resources/data/cobblemon/species/generation5/pansear.json</x:t>
        </x:is>
      </x:c>
      <x:c r="AF517" s="5" t="str">
        <x:f>"생활권|"&amp;K517</x:f>
        <x:v>생활권|육상</x:v>
      </x:c>
      <x:c r="AG517" s="5" t="str">
        <x:f>"지형|"&amp;L517</x:f>
        <x:v>지형|화산</x:v>
      </x:c>
      <x:c r="AH517" s="5" t="str">
        <x:f>"온도|"&amp;M517</x:f>
        <x:v>온도|고온</x:v>
      </x:c>
      <x:c r="AI517" s="5" t="str">
        <x:f>"습도|"&amp;N517</x:f>
        <x:v>습도|다습</x:v>
      </x:c>
      <x:c r="AJ517" s="5" t="str">
        <x:f>"날씨|"&amp;O517</x:f>
        <x:v>날씨|맑음</x:v>
      </x:c>
      <x:c r="AK517" s="5" t="str">
        <x:f>"특수태그|"&amp;R517</x:f>
        <x:v>특수태그|화산</x:v>
      </x:c>
      <x:c r="AL517" s="5" t="str">
        <x:f>"원본서식지|"&amp;S517</x:f>
        <x:v>원본서식지|화산</x:v>
      </x:c>
      <x:c r="AM517" s="5" t="str">
        <x:f>"타입|"&amp;F517</x:f>
        <x:v>타입|불꽃</x:v>
      </x:c>
      <x:c r="AN517" s="5" t="str">
        <x:f>"타입|"&amp;G517</x:f>
        <x:v>타입|</x:v>
      </x:c>
    </x:row>
    <x:row r="518" ht="24" customHeight="1">
      <x:c r="A518" s="5" t="n">
        <x:v>514</x:v>
      </x:c>
      <x:c r="B518" s="5" t="inlineStr">
        <x:is>
          <x:t xml:space="preserve">바오키</x:t>
        </x:is>
      </x:c>
      <x:c r="C518" s="5" t="inlineStr">
        <x:is>
          <x:t xml:space="preserve">simisear</x:t>
        </x:is>
      </x:c>
      <x:c r="D518" s="5" t="inlineStr">
        <x:is>
          <x:t xml:space="preserve">Simisear</x:t>
        </x:is>
      </x:c>
      <x:c r="E518" s="5" t="n">
        <x:v>5</x:v>
      </x:c>
      <x:c r="F518" s="5" t="inlineStr">
        <x:is>
          <x:t xml:space="preserve">불꽃</x:t>
        </x:is>
      </x:c>
      <x:c r="G518" s="5" t="inlineStr">
        <x:is>
          <x:t xml:space="preserve"/>
        </x:is>
      </x:c>
      <x:c r="H518" s="6" t="n">
        <x:v>28</x:v>
      </x:c>
      <x:c r="I518" s="5" t="n"/>
      <x:c r="J518" s="5" t="inlineStr">
        <x:is>
          <x:t xml:space="preserve">최종</x:t>
        </x:is>
      </x:c>
      <x:c r="K518" s="7" t="inlineStr">
        <x:is>
          <x:t xml:space="preserve">육상</x:t>
        </x:is>
      </x:c>
      <x:c r="L518" s="7" t="inlineStr">
        <x:is>
          <x:t xml:space="preserve">화산</x:t>
        </x:is>
      </x:c>
      <x:c r="M518" s="7" t="inlineStr">
        <x:is>
          <x:t xml:space="preserve">고온</x:t>
        </x:is>
      </x:c>
      <x:c r="N518" s="7" t="inlineStr">
        <x:is>
          <x:t xml:space="preserve">다습</x:t>
        </x:is>
      </x:c>
      <x:c r="O518" s="7" t="inlineStr">
        <x:is>
          <x:t xml:space="preserve">맑음</x:t>
        </x:is>
      </x:c>
      <x:c r="P518" s="7" t="inlineStr">
        <x:is>
          <x:t xml:space="preserve">무관</x:t>
        </x:is>
      </x:c>
      <x:c r="Q518" s="7" t="inlineStr">
        <x:is>
          <x:t xml:space="preserve">보통</x:t>
        </x:is>
      </x:c>
      <x:c r="R518" s="7" t="inlineStr">
        <x:is>
          <x:t xml:space="preserve">화산</x:t>
        </x:is>
      </x:c>
      <x:c r="S518" s="7" t="inlineStr">
        <x:is>
          <x:t xml:space="preserve">화산</x:t>
        </x:is>
      </x:c>
      <x:c r="T518" s="7" t="inlineStr">
        <x:is>
          <x:t xml:space="preserve"/>
        </x:is>
      </x:c>
      <x:c r="U518" s="8" t="str">
        <x:f>INDEX('서식지_점수'!$E$4:$P$4,1,MATCH(MAX('서식지_점수'!E518:P518),'서식지_점수'!E518:P518,0))</x:f>
        <x:v>평원</x:v>
      </x:c>
      <x:c r="V518" s="8" t="str">
        <x:f>IF(T518&lt;&gt;"",T518,U518)</x:f>
        <x:v>평원</x:v>
      </x:c>
      <x:c r="W518" s="8" t="str">
        <x:f>IFERROR(INDEX('서식지_점수'!$E$4:$P$4,1,MATCH(MAXIFS('서식지_점수'!E518:P518,'서식지_점수'!E518:P518,"&lt;"&amp;MAX('서식지_점수'!E518:P518)),'서식지_점수'!E518:P518,0)),"")</x:f>
        <x:v>숲</x:v>
      </x:c>
      <x:c r="X518" s="8" t="str">
        <x:f>IF(T518&lt;&gt;"","수동확정",IF(MAX('서식지_점수'!E518:P518)-LARGE('서식지_점수'!E518:P518,2)&gt;=15,"높음",IF(MAX('서식지_점수'!E518:P518)-LARGE('서식지_점수'!E518:P518,2)&gt;=8,"보통","검토필요")))</x:f>
        <x:v>검토필요</x:v>
      </x:c>
      <x:c r="Y518" s="9" t="n">
        <x:f>IF(Q518="전설",8,IF(Q518="희귀",7,IF(J518="기본",1,IF(J518="중간",3,IF(J518="최종",IF(I518="",5,IF(I518&lt;=20,3,IF(I518&lt;=35,4,IF(I518&lt;=50,6,7)))),IF(Q518="드묾",4,2))))))</x:f>
        <x:v>5</x:v>
      </x:c>
      <x:c r="Z518" s="5" t="inlineStr">
        <x:is>
          <x:t xml:space="preserve">#cobblemon:is_jungle; #cobblemon:is_tropical_island; #cobblemon:is_volcanic</x:t>
        </x:is>
      </x:c>
      <x:c r="AA518" s="5" t="inlineStr">
        <x:is>
          <x:t xml:space="preserve">uncommon</x:t>
        </x:is>
      </x:c>
      <x:c r="AB518" s="5" t="inlineStr">
        <x:is>
          <x:t xml:space="preserve">예</x:t>
        </x:is>
      </x:c>
      <x:c r="AC518" s="8" t="str">
        <x:f>IF(T518&lt;&gt;"","수동확정",IF(X518="검토필요","검토필요",IF(S518="","원본없음","초기완료")))</x:f>
        <x:v>검토필요</x:v>
      </x:c>
      <x:c r="AD518" s="7" t="inlineStr">
        <x:is>
          <x:t xml:space="preserve"/>
        </x:is>
      </x:c>
      <x:c r="AE518" s="5" t="inlineStr">
        <x:is>
          <x:t xml:space="preserve">.tmp/cobblemon-1.7.3-source/common/src/main/resources/data/cobblemon/species/generation5/simisear.json</x:t>
        </x:is>
      </x:c>
      <x:c r="AF518" s="5" t="str">
        <x:f>"생활권|"&amp;K518</x:f>
        <x:v>생활권|육상</x:v>
      </x:c>
      <x:c r="AG518" s="5" t="str">
        <x:f>"지형|"&amp;L518</x:f>
        <x:v>지형|화산</x:v>
      </x:c>
      <x:c r="AH518" s="5" t="str">
        <x:f>"온도|"&amp;M518</x:f>
        <x:v>온도|고온</x:v>
      </x:c>
      <x:c r="AI518" s="5" t="str">
        <x:f>"습도|"&amp;N518</x:f>
        <x:v>습도|다습</x:v>
      </x:c>
      <x:c r="AJ518" s="5" t="str">
        <x:f>"날씨|"&amp;O518</x:f>
        <x:v>날씨|맑음</x:v>
      </x:c>
      <x:c r="AK518" s="5" t="str">
        <x:f>"특수태그|"&amp;R518</x:f>
        <x:v>특수태그|화산</x:v>
      </x:c>
      <x:c r="AL518" s="5" t="str">
        <x:f>"원본서식지|"&amp;S518</x:f>
        <x:v>원본서식지|화산</x:v>
      </x:c>
      <x:c r="AM518" s="5" t="str">
        <x:f>"타입|"&amp;F518</x:f>
        <x:v>타입|불꽃</x:v>
      </x:c>
      <x:c r="AN518" s="5" t="str">
        <x:f>"타입|"&amp;G518</x:f>
        <x:v>타입|</x:v>
      </x:c>
    </x:row>
    <x:row r="519" ht="24" customHeight="1">
      <x:c r="A519" s="5" t="n">
        <x:v>515</x:v>
      </x:c>
      <x:c r="B519" s="5" t="inlineStr">
        <x:is>
          <x:t xml:space="preserve">앗차프</x:t>
        </x:is>
      </x:c>
      <x:c r="C519" s="5" t="inlineStr">
        <x:is>
          <x:t xml:space="preserve">panpour</x:t>
        </x:is>
      </x:c>
      <x:c r="D519" s="5" t="inlineStr">
        <x:is>
          <x:t xml:space="preserve">Panpour</x:t>
        </x:is>
      </x:c>
      <x:c r="E519" s="5" t="n">
        <x:v>5</x:v>
      </x:c>
      <x:c r="F519" s="5" t="inlineStr">
        <x:is>
          <x:t xml:space="preserve">물</x:t>
        </x:is>
      </x:c>
      <x:c r="G519" s="5" t="inlineStr">
        <x:is>
          <x:t xml:space="preserve"/>
        </x:is>
      </x:c>
      <x:c r="H519" s="6" t="n">
        <x:v>13.5</x:v>
      </x:c>
      <x:c r="I519" s="5" t="n"/>
      <x:c r="J519" s="5" t="inlineStr">
        <x:is>
          <x:t xml:space="preserve">기본</x:t>
        </x:is>
      </x:c>
      <x:c r="K519" s="7" t="inlineStr">
        <x:is>
          <x:t xml:space="preserve">담수</x:t>
        </x:is>
      </x:c>
      <x:c r="L519" s="7" t="inlineStr">
        <x:is>
          <x:t xml:space="preserve">담수</x:t>
        </x:is>
      </x:c>
      <x:c r="M519" s="7" t="inlineStr">
        <x:is>
          <x:t xml:space="preserve">온대</x:t>
        </x:is>
      </x:c>
      <x:c r="N519" s="7" t="inlineStr">
        <x:is>
          <x:t xml:space="preserve">수중</x:t>
        </x:is>
      </x:c>
      <x:c r="O519" s="7" t="inlineStr">
        <x:is>
          <x:t xml:space="preserve">비</x:t>
        </x:is>
      </x:c>
      <x:c r="P519" s="7" t="inlineStr">
        <x:is>
          <x:t xml:space="preserve">무관</x:t>
        </x:is>
      </x:c>
      <x:c r="Q519" s="7" t="inlineStr">
        <x:is>
          <x:t xml:space="preserve">보통</x:t>
        </x:is>
      </x:c>
      <x:c r="R519" s="7" t="inlineStr">
        <x:is>
          <x:t xml:space="preserve">없음</x:t>
        </x:is>
      </x:c>
      <x:c r="S519" s="7" t="inlineStr">
        <x:is>
          <x:t xml:space="preserve">담수</x:t>
        </x:is>
      </x:c>
      <x:c r="T519" s="7" t="inlineStr">
        <x:is>
          <x:t xml:space="preserve"/>
        </x:is>
      </x:c>
      <x:c r="U519" s="8" t="str">
        <x:f>INDEX('서식지_점수'!$E$4:$P$4,1,MATCH(MAX('서식지_점수'!E519:P519),'서식지_점수'!E519:P519,0))</x:f>
        <x:v>담수</x:v>
      </x:c>
      <x:c r="V519" s="8" t="str">
        <x:f>IF(T519&lt;&gt;"",T519,U519)</x:f>
        <x:v>담수</x:v>
      </x:c>
      <x:c r="W519" s="8" t="str">
        <x:f>IFERROR(INDEX('서식지_점수'!$E$4:$P$4,1,MATCH(MAXIFS('서식지_점수'!E519:P519,'서식지_점수'!E519:P519,"&lt;"&amp;MAX('서식지_점수'!E519:P519)),'서식지_점수'!E519:P519,0)),"")</x:f>
        <x:v>습지</x:v>
      </x:c>
      <x:c r="X519" s="8" t="str">
        <x:f>IF(T519&lt;&gt;"","수동확정",IF(MAX('서식지_점수'!E519:P519)-LARGE('서식지_점수'!E519:P519,2)&gt;=15,"높음",IF(MAX('서식지_점수'!E519:P519)-LARGE('서식지_점수'!E519:P519,2)&gt;=8,"보통","검토필요")))</x:f>
        <x:v>높음</x:v>
      </x:c>
      <x:c r="Y519" s="9" t="n">
        <x:f>IF(Q519="전설",8,IF(Q519="희귀",7,IF(J519="기본",1,IF(J519="중간",3,IF(J519="최종",IF(I519="",5,IF(I519&lt;=20,3,IF(I519&lt;=35,4,IF(I519&lt;=50,6,7)))),IF(Q519="드묾",4,2))))))</x:f>
        <x:v>1</x:v>
      </x:c>
      <x:c r="Z519" s="5" t="inlineStr">
        <x:is>
          <x:t xml:space="preserve">#cobblemon:is_jungle; #cobblemon:is_river; #cobblemon:is_tropical_island</x:t>
        </x:is>
      </x:c>
      <x:c r="AA519" s="5" t="inlineStr">
        <x:is>
          <x:t xml:space="preserve">uncommon</x:t>
        </x:is>
      </x:c>
      <x:c r="AB519" s="5" t="inlineStr">
        <x:is>
          <x:t xml:space="preserve">예</x:t>
        </x:is>
      </x:c>
      <x:c r="AC519" s="8" t="str">
        <x:f>IF(T519&lt;&gt;"","수동확정",IF(X519="검토필요","검토필요",IF(S519="","원본없음","초기완료")))</x:f>
        <x:v>초기완료</x:v>
      </x:c>
      <x:c r="AD519" s="7" t="inlineStr">
        <x:is>
          <x:t xml:space="preserve"/>
        </x:is>
      </x:c>
      <x:c r="AE519" s="5" t="inlineStr">
        <x:is>
          <x:t xml:space="preserve">.tmp/cobblemon-1.7.3-source/common/src/main/resources/data/cobblemon/species/generation5/panpour.json</x:t>
        </x:is>
      </x:c>
      <x:c r="AF519" s="5" t="str">
        <x:f>"생활권|"&amp;K519</x:f>
        <x:v>생활권|담수</x:v>
      </x:c>
      <x:c r="AG519" s="5" t="str">
        <x:f>"지형|"&amp;L519</x:f>
        <x:v>지형|담수</x:v>
      </x:c>
      <x:c r="AH519" s="5" t="str">
        <x:f>"온도|"&amp;M519</x:f>
        <x:v>온도|온대</x:v>
      </x:c>
      <x:c r="AI519" s="5" t="str">
        <x:f>"습도|"&amp;N519</x:f>
        <x:v>습도|수중</x:v>
      </x:c>
      <x:c r="AJ519" s="5" t="str">
        <x:f>"날씨|"&amp;O519</x:f>
        <x:v>날씨|비</x:v>
      </x:c>
      <x:c r="AK519" s="5" t="str">
        <x:f>"특수태그|"&amp;R519</x:f>
        <x:v>특수태그|없음</x:v>
      </x:c>
      <x:c r="AL519" s="5" t="str">
        <x:f>"원본서식지|"&amp;S519</x:f>
        <x:v>원본서식지|담수</x:v>
      </x:c>
      <x:c r="AM519" s="5" t="str">
        <x:f>"타입|"&amp;F519</x:f>
        <x:v>타입|물</x:v>
      </x:c>
      <x:c r="AN519" s="5" t="str">
        <x:f>"타입|"&amp;G519</x:f>
        <x:v>타입|</x:v>
      </x:c>
    </x:row>
    <x:row r="520" ht="24" customHeight="1">
      <x:c r="A520" s="5" t="n">
        <x:v>516</x:v>
      </x:c>
      <x:c r="B520" s="5" t="inlineStr">
        <x:is>
          <x:t xml:space="preserve">앗차키</x:t>
        </x:is>
      </x:c>
      <x:c r="C520" s="5" t="inlineStr">
        <x:is>
          <x:t xml:space="preserve">simipour</x:t>
        </x:is>
      </x:c>
      <x:c r="D520" s="5" t="inlineStr">
        <x:is>
          <x:t xml:space="preserve">Simipour</x:t>
        </x:is>
      </x:c>
      <x:c r="E520" s="5" t="n">
        <x:v>5</x:v>
      </x:c>
      <x:c r="F520" s="5" t="inlineStr">
        <x:is>
          <x:t xml:space="preserve">물</x:t>
        </x:is>
      </x:c>
      <x:c r="G520" s="5" t="inlineStr">
        <x:is>
          <x:t xml:space="preserve"/>
        </x:is>
      </x:c>
      <x:c r="H520" s="6" t="n">
        <x:v>29</x:v>
      </x:c>
      <x:c r="I520" s="5" t="n"/>
      <x:c r="J520" s="5" t="inlineStr">
        <x:is>
          <x:t xml:space="preserve">최종</x:t>
        </x:is>
      </x:c>
      <x:c r="K520" s="7" t="inlineStr">
        <x:is>
          <x:t xml:space="preserve">담수</x:t>
        </x:is>
      </x:c>
      <x:c r="L520" s="7" t="inlineStr">
        <x:is>
          <x:t xml:space="preserve">담수</x:t>
        </x:is>
      </x:c>
      <x:c r="M520" s="7" t="inlineStr">
        <x:is>
          <x:t xml:space="preserve">온대</x:t>
        </x:is>
      </x:c>
      <x:c r="N520" s="7" t="inlineStr">
        <x:is>
          <x:t xml:space="preserve">수중</x:t>
        </x:is>
      </x:c>
      <x:c r="O520" s="7" t="inlineStr">
        <x:is>
          <x:t xml:space="preserve">비</x:t>
        </x:is>
      </x:c>
      <x:c r="P520" s="7" t="inlineStr">
        <x:is>
          <x:t xml:space="preserve">무관</x:t>
        </x:is>
      </x:c>
      <x:c r="Q520" s="7" t="inlineStr">
        <x:is>
          <x:t xml:space="preserve">보통</x:t>
        </x:is>
      </x:c>
      <x:c r="R520" s="7" t="inlineStr">
        <x:is>
          <x:t xml:space="preserve">없음</x:t>
        </x:is>
      </x:c>
      <x:c r="S520" s="7" t="inlineStr">
        <x:is>
          <x:t xml:space="preserve">담수</x:t>
        </x:is>
      </x:c>
      <x:c r="T520" s="7" t="inlineStr">
        <x:is>
          <x:t xml:space="preserve"/>
        </x:is>
      </x:c>
      <x:c r="U520" s="8" t="str">
        <x:f>INDEX('서식지_점수'!$E$4:$P$4,1,MATCH(MAX('서식지_점수'!E520:P520),'서식지_점수'!E520:P520,0))</x:f>
        <x:v>담수</x:v>
      </x:c>
      <x:c r="V520" s="8" t="str">
        <x:f>IF(T520&lt;&gt;"",T520,U520)</x:f>
        <x:v>담수</x:v>
      </x:c>
      <x:c r="W520" s="8" t="str">
        <x:f>IFERROR(INDEX('서식지_점수'!$E$4:$P$4,1,MATCH(MAXIFS('서식지_점수'!E520:P520,'서식지_점수'!E520:P520,"&lt;"&amp;MAX('서식지_점수'!E520:P520)),'서식지_점수'!E520:P520,0)),"")</x:f>
        <x:v>습지</x:v>
      </x:c>
      <x:c r="X520" s="8" t="str">
        <x:f>IF(T520&lt;&gt;"","수동확정",IF(MAX('서식지_점수'!E520:P520)-LARGE('서식지_점수'!E520:P520,2)&gt;=15,"높음",IF(MAX('서식지_점수'!E520:P520)-LARGE('서식지_점수'!E520:P520,2)&gt;=8,"보통","검토필요")))</x:f>
        <x:v>높음</x:v>
      </x:c>
      <x:c r="Y520" s="9" t="n">
        <x:f>IF(Q520="전설",8,IF(Q520="희귀",7,IF(J520="기본",1,IF(J520="중간",3,IF(J520="최종",IF(I520="",5,IF(I520&lt;=20,3,IF(I520&lt;=35,4,IF(I520&lt;=50,6,7)))),IF(Q520="드묾",4,2))))))</x:f>
        <x:v>5</x:v>
      </x:c>
      <x:c r="Z520" s="5" t="inlineStr">
        <x:is>
          <x:t xml:space="preserve">#cobblemon:is_jungle; #cobblemon:is_river; #cobblemon:is_tropical_island</x:t>
        </x:is>
      </x:c>
      <x:c r="AA520" s="5" t="inlineStr">
        <x:is>
          <x:t xml:space="preserve">uncommon</x:t>
        </x:is>
      </x:c>
      <x:c r="AB520" s="5" t="inlineStr">
        <x:is>
          <x:t xml:space="preserve">예</x:t>
        </x:is>
      </x:c>
      <x:c r="AC520" s="8" t="str">
        <x:f>IF(T520&lt;&gt;"","수동확정",IF(X520="검토필요","검토필요",IF(S520="","원본없음","초기완료")))</x:f>
        <x:v>초기완료</x:v>
      </x:c>
      <x:c r="AD520" s="7" t="inlineStr">
        <x:is>
          <x:t xml:space="preserve"/>
        </x:is>
      </x:c>
      <x:c r="AE520" s="5" t="inlineStr">
        <x:is>
          <x:t xml:space="preserve">.tmp/cobblemon-1.7.3-source/common/src/main/resources/data/cobblemon/species/generation5/simipour.json</x:t>
        </x:is>
      </x:c>
      <x:c r="AF520" s="5" t="str">
        <x:f>"생활권|"&amp;K520</x:f>
        <x:v>생활권|담수</x:v>
      </x:c>
      <x:c r="AG520" s="5" t="str">
        <x:f>"지형|"&amp;L520</x:f>
        <x:v>지형|담수</x:v>
      </x:c>
      <x:c r="AH520" s="5" t="str">
        <x:f>"온도|"&amp;M520</x:f>
        <x:v>온도|온대</x:v>
      </x:c>
      <x:c r="AI520" s="5" t="str">
        <x:f>"습도|"&amp;N520</x:f>
        <x:v>습도|수중</x:v>
      </x:c>
      <x:c r="AJ520" s="5" t="str">
        <x:f>"날씨|"&amp;O520</x:f>
        <x:v>날씨|비</x:v>
      </x:c>
      <x:c r="AK520" s="5" t="str">
        <x:f>"특수태그|"&amp;R520</x:f>
        <x:v>특수태그|없음</x:v>
      </x:c>
      <x:c r="AL520" s="5" t="str">
        <x:f>"원본서식지|"&amp;S520</x:f>
        <x:v>원본서식지|담수</x:v>
      </x:c>
      <x:c r="AM520" s="5" t="str">
        <x:f>"타입|"&amp;F520</x:f>
        <x:v>타입|물</x:v>
      </x:c>
      <x:c r="AN520" s="5" t="str">
        <x:f>"타입|"&amp;G520</x:f>
        <x:v>타입|</x:v>
      </x:c>
    </x:row>
    <x:row r="521" ht="24" customHeight="1">
      <x:c r="A521" s="5" t="n">
        <x:v>517</x:v>
      </x:c>
      <x:c r="B521" s="5" t="inlineStr">
        <x:is>
          <x:t xml:space="preserve">몽나</x:t>
        </x:is>
      </x:c>
      <x:c r="C521" s="5" t="inlineStr">
        <x:is>
          <x:t xml:space="preserve">munna</x:t>
        </x:is>
      </x:c>
      <x:c r="D521" s="5" t="inlineStr">
        <x:is>
          <x:t xml:space="preserve">Munna</x:t>
        </x:is>
      </x:c>
      <x:c r="E521" s="5" t="n">
        <x:v>5</x:v>
      </x:c>
      <x:c r="F521" s="5" t="inlineStr">
        <x:is>
          <x:t xml:space="preserve">에스퍼</x:t>
        </x:is>
      </x:c>
      <x:c r="G521" s="5" t="inlineStr">
        <x:is>
          <x:t xml:space="preserve"/>
        </x:is>
      </x:c>
      <x:c r="H521" s="6" t="n">
        <x:v>23.3</x:v>
      </x:c>
      <x:c r="I521" s="5" t="n"/>
      <x:c r="J521" s="5" t="inlineStr">
        <x:is>
          <x:t xml:space="preserve">기본</x:t>
        </x:is>
      </x:c>
      <x:c r="K521" s="7" t="inlineStr">
        <x:is>
          <x:t xml:space="preserve">비행</x:t>
        </x:is>
      </x:c>
      <x:c r="L521" s="7" t="inlineStr">
        <x:is>
          <x:t xml:space="preserve">개활지</x:t>
        </x:is>
      </x:c>
      <x:c r="M521" s="7" t="inlineStr">
        <x:is>
          <x:t xml:space="preserve">온대</x:t>
        </x:is>
      </x:c>
      <x:c r="N521" s="7" t="inlineStr">
        <x:is>
          <x:t xml:space="preserve">보통</x:t>
        </x:is>
      </x:c>
      <x:c r="O521" s="7" t="inlineStr">
        <x:is>
          <x:t xml:space="preserve">무관</x:t>
        </x:is>
      </x:c>
      <x:c r="P521" s="7" t="inlineStr">
        <x:is>
          <x:t xml:space="preserve">밤</x:t>
        </x:is>
      </x:c>
      <x:c r="Q521" s="7" t="inlineStr">
        <x:is>
          <x:t xml:space="preserve">흔함</x:t>
        </x:is>
      </x:c>
      <x:c r="R521" s="7" t="inlineStr">
        <x:is>
          <x:t xml:space="preserve">없음</x:t>
        </x:is>
      </x:c>
      <x:c r="S521" s="7" t="inlineStr">
        <x:is>
          <x:t xml:space="preserve"/>
        </x:is>
      </x:c>
      <x:c r="T521" s="7" t="inlineStr">
        <x:is>
          <x:t xml:space="preserve"/>
        </x:is>
      </x:c>
      <x:c r="U521" s="8" t="str">
        <x:f>INDEX('서식지_점수'!$E$4:$P$4,1,MATCH(MAX('서식지_점수'!E521:P521),'서식지_점수'!E521:P521,0))</x:f>
        <x:v>산악</x:v>
      </x:c>
      <x:c r="V521" s="8" t="str">
        <x:f>IF(T521&lt;&gt;"",T521,U521)</x:f>
        <x:v>산악</x:v>
      </x:c>
      <x:c r="W521" s="8" t="str">
        <x:f>IFERROR(INDEX('서식지_점수'!$E$4:$P$4,1,MATCH(MAXIFS('서식지_점수'!E521:P521,'서식지_점수'!E521:P521,"&lt;"&amp;MAX('서식지_점수'!E521:P521)),'서식지_점수'!E521:P521,0)),"")</x:f>
        <x:v>평원</x:v>
      </x:c>
      <x:c r="X521" s="8" t="str">
        <x:f>IF(T521&lt;&gt;"","수동확정",IF(MAX('서식지_점수'!E521:P521)-LARGE('서식지_점수'!E521:P521,2)&gt;=15,"높음",IF(MAX('서식지_점수'!E521:P521)-LARGE('서식지_점수'!E521:P521,2)&gt;=8,"보통","검토필요")))</x:f>
        <x:v>검토필요</x:v>
      </x:c>
      <x:c r="Y521" s="9" t="n">
        <x:f>IF(Q521="전설",8,IF(Q521="희귀",7,IF(J521="기본",1,IF(J521="중간",3,IF(J521="최종",IF(I521="",5,IF(I521&lt;=20,3,IF(I521&lt;=35,4,IF(I521&lt;=50,6,7)))),IF(Q521="드묾",4,2))))))</x:f>
        <x:v>1</x:v>
      </x:c>
      <x:c r="Z521" s="5" t="inlineStr">
        <x:is>
          <x:t xml:space="preserve">#cobblemon:is_overworld</x:t>
        </x:is>
      </x:c>
      <x:c r="AA521" s="5" t="inlineStr">
        <x:is>
          <x:t xml:space="preserve">common</x:t>
        </x:is>
      </x:c>
      <x:c r="AB521" s="5" t="inlineStr">
        <x:is>
          <x:t xml:space="preserve">예</x:t>
        </x:is>
      </x:c>
      <x:c r="AC521" s="8" t="str">
        <x:f>IF(T521&lt;&gt;"","수동확정",IF(X521="검토필요","검토필요",IF(S521="","원본없음","초기완료")))</x:f>
        <x:v>검토필요</x:v>
      </x:c>
      <x:c r="AD521" s="7" t="inlineStr">
        <x:is>
          <x:t xml:space="preserve"/>
        </x:is>
      </x:c>
      <x:c r="AE521" s="5" t="inlineStr">
        <x:is>
          <x:t xml:space="preserve">.tmp/cobblemon-1.7.3-source/common/src/main/resources/data/cobblemon/species/generation5/munna.json</x:t>
        </x:is>
      </x:c>
      <x:c r="AF521" s="5" t="str">
        <x:f>"생활권|"&amp;K521</x:f>
        <x:v>생활권|비행</x:v>
      </x:c>
      <x:c r="AG521" s="5" t="str">
        <x:f>"지형|"&amp;L521</x:f>
        <x:v>지형|개활지</x:v>
      </x:c>
      <x:c r="AH521" s="5" t="str">
        <x:f>"온도|"&amp;M521</x:f>
        <x:v>온도|온대</x:v>
      </x:c>
      <x:c r="AI521" s="5" t="str">
        <x:f>"습도|"&amp;N521</x:f>
        <x:v>습도|보통</x:v>
      </x:c>
      <x:c r="AJ521" s="5" t="str">
        <x:f>"날씨|"&amp;O521</x:f>
        <x:v>날씨|무관</x:v>
      </x:c>
      <x:c r="AK521" s="5" t="str">
        <x:f>"특수태그|"&amp;R521</x:f>
        <x:v>특수태그|없음</x:v>
      </x:c>
      <x:c r="AL521" s="5" t="str">
        <x:f>"원본서식지|"&amp;S521</x:f>
        <x:v>원본서식지|</x:v>
      </x:c>
      <x:c r="AM521" s="5" t="str">
        <x:f>"타입|"&amp;F521</x:f>
        <x:v>타입|에스퍼</x:v>
      </x:c>
      <x:c r="AN521" s="5" t="str">
        <x:f>"타입|"&amp;G521</x:f>
        <x:v>타입|</x:v>
      </x:c>
    </x:row>
    <x:row r="522" ht="24" customHeight="1">
      <x:c r="A522" s="5" t="n">
        <x:v>518</x:v>
      </x:c>
      <x:c r="B522" s="5" t="inlineStr">
        <x:is>
          <x:t xml:space="preserve">몽얌나</x:t>
        </x:is>
      </x:c>
      <x:c r="C522" s="5" t="inlineStr">
        <x:is>
          <x:t xml:space="preserve">musharna</x:t>
        </x:is>
      </x:c>
      <x:c r="D522" s="5" t="inlineStr">
        <x:is>
          <x:t xml:space="preserve">Musharna</x:t>
        </x:is>
      </x:c>
      <x:c r="E522" s="5" t="n">
        <x:v>5</x:v>
      </x:c>
      <x:c r="F522" s="5" t="inlineStr">
        <x:is>
          <x:t xml:space="preserve">에스퍼</x:t>
        </x:is>
      </x:c>
      <x:c r="G522" s="5" t="inlineStr">
        <x:is>
          <x:t xml:space="preserve"/>
        </x:is>
      </x:c>
      <x:c r="H522" s="6" t="n">
        <x:v>60.5</x:v>
      </x:c>
      <x:c r="I522" s="5" t="n"/>
      <x:c r="J522" s="5" t="inlineStr">
        <x:is>
          <x:t xml:space="preserve">최종</x:t>
        </x:is>
      </x:c>
      <x:c r="K522" s="7" t="inlineStr">
        <x:is>
          <x:t xml:space="preserve">비행</x:t>
        </x:is>
      </x:c>
      <x:c r="L522" s="7" t="inlineStr">
        <x:is>
          <x:t xml:space="preserve">개활지</x:t>
        </x:is>
      </x:c>
      <x:c r="M522" s="7" t="inlineStr">
        <x:is>
          <x:t xml:space="preserve">온대</x:t>
        </x:is>
      </x:c>
      <x:c r="N522" s="7" t="inlineStr">
        <x:is>
          <x:t xml:space="preserve">보통</x:t>
        </x:is>
      </x:c>
      <x:c r="O522" s="7" t="inlineStr">
        <x:is>
          <x:t xml:space="preserve">무관</x:t>
        </x:is>
      </x:c>
      <x:c r="P522" s="7" t="inlineStr">
        <x:is>
          <x:t xml:space="preserve">밤</x:t>
        </x:is>
      </x:c>
      <x:c r="Q522" s="7" t="inlineStr">
        <x:is>
          <x:t xml:space="preserve">흔함</x:t>
        </x:is>
      </x:c>
      <x:c r="R522" s="7" t="inlineStr">
        <x:is>
          <x:t xml:space="preserve">없음</x:t>
        </x:is>
      </x:c>
      <x:c r="S522" s="7" t="inlineStr">
        <x:is>
          <x:t xml:space="preserve"/>
        </x:is>
      </x:c>
      <x:c r="T522" s="7" t="inlineStr">
        <x:is>
          <x:t xml:space="preserve"/>
        </x:is>
      </x:c>
      <x:c r="U522" s="8" t="str">
        <x:f>INDEX('서식지_점수'!$E$4:$P$4,1,MATCH(MAX('서식지_점수'!E522:P522),'서식지_점수'!E522:P522,0))</x:f>
        <x:v>산악</x:v>
      </x:c>
      <x:c r="V522" s="8" t="str">
        <x:f>IF(T522&lt;&gt;"",T522,U522)</x:f>
        <x:v>산악</x:v>
      </x:c>
      <x:c r="W522" s="8" t="str">
        <x:f>IFERROR(INDEX('서식지_점수'!$E$4:$P$4,1,MATCH(MAXIFS('서식지_점수'!E522:P522,'서식지_점수'!E522:P522,"&lt;"&amp;MAX('서식지_점수'!E522:P522)),'서식지_점수'!E522:P522,0)),"")</x:f>
        <x:v>평원</x:v>
      </x:c>
      <x:c r="X522" s="8" t="str">
        <x:f>IF(T522&lt;&gt;"","수동확정",IF(MAX('서식지_점수'!E522:P522)-LARGE('서식지_점수'!E522:P522,2)&gt;=15,"높음",IF(MAX('서식지_점수'!E522:P522)-LARGE('서식지_점수'!E522:P522,2)&gt;=8,"보통","검토필요")))</x:f>
        <x:v>검토필요</x:v>
      </x:c>
      <x:c r="Y522" s="9" t="n">
        <x:f>IF(Q522="전설",8,IF(Q522="희귀",7,IF(J522="기본",1,IF(J522="중간",3,IF(J522="최종",IF(I522="",5,IF(I522&lt;=20,3,IF(I522&lt;=35,4,IF(I522&lt;=50,6,7)))),IF(Q522="드묾",4,2))))))</x:f>
        <x:v>5</x:v>
      </x:c>
      <x:c r="Z522" s="5" t="inlineStr">
        <x:is>
          <x:t xml:space="preserve">#cobblemon:is_overworld</x:t>
        </x:is>
      </x:c>
      <x:c r="AA522" s="5" t="inlineStr">
        <x:is>
          <x:t xml:space="preserve">common</x:t>
        </x:is>
      </x:c>
      <x:c r="AB522" s="5" t="inlineStr">
        <x:is>
          <x:t xml:space="preserve">예</x:t>
        </x:is>
      </x:c>
      <x:c r="AC522" s="8" t="str">
        <x:f>IF(T522&lt;&gt;"","수동확정",IF(X522="검토필요","검토필요",IF(S522="","원본없음","초기완료")))</x:f>
        <x:v>검토필요</x:v>
      </x:c>
      <x:c r="AD522" s="7" t="inlineStr">
        <x:is>
          <x:t xml:space="preserve"/>
        </x:is>
      </x:c>
      <x:c r="AE522" s="5" t="inlineStr">
        <x:is>
          <x:t xml:space="preserve">.tmp/cobblemon-1.7.3-source/common/src/main/resources/data/cobblemon/species/generation5/musharna.json</x:t>
        </x:is>
      </x:c>
      <x:c r="AF522" s="5" t="str">
        <x:f>"생활권|"&amp;K522</x:f>
        <x:v>생활권|비행</x:v>
      </x:c>
      <x:c r="AG522" s="5" t="str">
        <x:f>"지형|"&amp;L522</x:f>
        <x:v>지형|개활지</x:v>
      </x:c>
      <x:c r="AH522" s="5" t="str">
        <x:f>"온도|"&amp;M522</x:f>
        <x:v>온도|온대</x:v>
      </x:c>
      <x:c r="AI522" s="5" t="str">
        <x:f>"습도|"&amp;N522</x:f>
        <x:v>습도|보통</x:v>
      </x:c>
      <x:c r="AJ522" s="5" t="str">
        <x:f>"날씨|"&amp;O522</x:f>
        <x:v>날씨|무관</x:v>
      </x:c>
      <x:c r="AK522" s="5" t="str">
        <x:f>"특수태그|"&amp;R522</x:f>
        <x:v>특수태그|없음</x:v>
      </x:c>
      <x:c r="AL522" s="5" t="str">
        <x:f>"원본서식지|"&amp;S522</x:f>
        <x:v>원본서식지|</x:v>
      </x:c>
      <x:c r="AM522" s="5" t="str">
        <x:f>"타입|"&amp;F522</x:f>
        <x:v>타입|에스퍼</x:v>
      </x:c>
      <x:c r="AN522" s="5" t="str">
        <x:f>"타입|"&amp;G522</x:f>
        <x:v>타입|</x:v>
      </x:c>
    </x:row>
    <x:row r="523" ht="24" customHeight="1">
      <x:c r="A523" s="5" t="n">
        <x:v>519</x:v>
      </x:c>
      <x:c r="B523" s="5" t="inlineStr">
        <x:is>
          <x:t xml:space="preserve">콩둘기</x:t>
        </x:is>
      </x:c>
      <x:c r="C523" s="5" t="inlineStr">
        <x:is>
          <x:t xml:space="preserve">pidove</x:t>
        </x:is>
      </x:c>
      <x:c r="D523" s="5" t="inlineStr">
        <x:is>
          <x:t xml:space="preserve">Pidove</x:t>
        </x:is>
      </x:c>
      <x:c r="E523" s="5" t="n">
        <x:v>5</x:v>
      </x:c>
      <x:c r="F523" s="5" t="inlineStr">
        <x:is>
          <x:t xml:space="preserve">노말</x:t>
        </x:is>
      </x:c>
      <x:c r="G523" s="5" t="inlineStr">
        <x:is>
          <x:t xml:space="preserve">비행</x:t>
        </x:is>
      </x:c>
      <x:c r="H523" s="6" t="n">
        <x:v>2.1</x:v>
      </x:c>
      <x:c r="I523" s="5" t="n">
        <x:v>32</x:v>
      </x:c>
      <x:c r="J523" s="5" t="inlineStr">
        <x:is>
          <x:t xml:space="preserve">기본</x:t>
        </x:is>
      </x:c>
      <x:c r="K523" s="7" t="inlineStr">
        <x:is>
          <x:t xml:space="preserve">비행</x:t>
        </x:is>
      </x:c>
      <x:c r="L523" s="7" t="inlineStr">
        <x:is>
          <x:t xml:space="preserve">암석</x:t>
        </x:is>
      </x:c>
      <x:c r="M523" s="7" t="inlineStr">
        <x:is>
          <x:t xml:space="preserve">온대</x:t>
        </x:is>
      </x:c>
      <x:c r="N523" s="7" t="inlineStr">
        <x:is>
          <x:t xml:space="preserve">보통</x:t>
        </x:is>
      </x:c>
      <x:c r="O523" s="7" t="inlineStr">
        <x:is>
          <x:t xml:space="preserve">무관</x:t>
        </x:is>
      </x:c>
      <x:c r="P523" s="7" t="inlineStr">
        <x:is>
          <x:t xml:space="preserve">낮</x:t>
        </x:is>
      </x:c>
      <x:c r="Q523" s="7" t="inlineStr">
        <x:is>
          <x:t xml:space="preserve">흔함</x:t>
        </x:is>
      </x:c>
      <x:c r="R523" s="7" t="inlineStr">
        <x:is>
          <x:t xml:space="preserve">없음</x:t>
        </x:is>
      </x:c>
      <x:c r="S523" s="7" t="inlineStr">
        <x:is>
          <x:t xml:space="preserve">산악</x:t>
        </x:is>
      </x:c>
      <x:c r="T523" s="7" t="inlineStr">
        <x:is>
          <x:t xml:space="preserve"/>
        </x:is>
      </x:c>
      <x:c r="U523" s="8" t="str">
        <x:f>INDEX('서식지_점수'!$E$4:$P$4,1,MATCH(MAX('서식지_점수'!E523:P523),'서식지_점수'!E523:P523,0))</x:f>
        <x:v>산악</x:v>
      </x:c>
      <x:c r="V523" s="8" t="str">
        <x:f>IF(T523&lt;&gt;"",T523,U523)</x:f>
        <x:v>산악</x:v>
      </x:c>
      <x:c r="W523" s="8" t="str">
        <x:f>IFERROR(INDEX('서식지_점수'!$E$4:$P$4,1,MATCH(MAXIFS('서식지_점수'!E523:P523,'서식지_점수'!E523:P523,"&lt;"&amp;MAX('서식지_점수'!E523:P523)),'서식지_점수'!E523:P523,0)),"")</x:f>
        <x:v>평원</x:v>
      </x:c>
      <x:c r="X523" s="8" t="str">
        <x:f>IF(T523&lt;&gt;"","수동확정",IF(MAX('서식지_점수'!E523:P523)-LARGE('서식지_점수'!E523:P523,2)&gt;=15,"높음",IF(MAX('서식지_점수'!E523:P523)-LARGE('서식지_점수'!E523:P523,2)&gt;=8,"보통","검토필요")))</x:f>
        <x:v>검토필요</x:v>
      </x:c>
      <x:c r="Y523" s="9" t="n">
        <x:f>IF(Q523="전설",8,IF(Q523="희귀",7,IF(J523="기본",1,IF(J523="중간",3,IF(J523="최종",IF(I523="",5,IF(I523&lt;=20,3,IF(I523&lt;=35,4,IF(I523&lt;=50,6,7)))),IF(Q523="드묾",4,2))))))</x:f>
        <x:v>1</x:v>
      </x:c>
      <x:c r="Z523" s="5" t="inlineStr">
        <x:is>
          <x:t xml:space="preserve">#cobblemon:is_mountain; #cobblemon:is_overworld; #cobblemon:is_sky</x:t>
        </x:is>
      </x:c>
      <x:c r="AA523" s="5" t="inlineStr">
        <x:is>
          <x:t xml:space="preserve">common</x:t>
        </x:is>
      </x:c>
      <x:c r="AB523" s="5" t="inlineStr">
        <x:is>
          <x:t xml:space="preserve">예</x:t>
        </x:is>
      </x:c>
      <x:c r="AC523" s="8" t="str">
        <x:f>IF(T523&lt;&gt;"","수동확정",IF(X523="검토필요","검토필요",IF(S523="","원본없음","초기완료")))</x:f>
        <x:v>검토필요</x:v>
      </x:c>
      <x:c r="AD523" s="7" t="inlineStr">
        <x:is>
          <x:t xml:space="preserve"/>
        </x:is>
      </x:c>
      <x:c r="AE523" s="5" t="inlineStr">
        <x:is>
          <x:t xml:space="preserve">.tmp/cobblemon-1.7.3-source/common/src/main/resources/data/cobblemon/species/generation5/pidove.json</x:t>
        </x:is>
      </x:c>
      <x:c r="AF523" s="5" t="str">
        <x:f>"생활권|"&amp;K523</x:f>
        <x:v>생활권|비행</x:v>
      </x:c>
      <x:c r="AG523" s="5" t="str">
        <x:f>"지형|"&amp;L523</x:f>
        <x:v>지형|암석</x:v>
      </x:c>
      <x:c r="AH523" s="5" t="str">
        <x:f>"온도|"&amp;M523</x:f>
        <x:v>온도|온대</x:v>
      </x:c>
      <x:c r="AI523" s="5" t="str">
        <x:f>"습도|"&amp;N523</x:f>
        <x:v>습도|보통</x:v>
      </x:c>
      <x:c r="AJ523" s="5" t="str">
        <x:f>"날씨|"&amp;O523</x:f>
        <x:v>날씨|무관</x:v>
      </x:c>
      <x:c r="AK523" s="5" t="str">
        <x:f>"특수태그|"&amp;R523</x:f>
        <x:v>특수태그|없음</x:v>
      </x:c>
      <x:c r="AL523" s="5" t="str">
        <x:f>"원본서식지|"&amp;S523</x:f>
        <x:v>원본서식지|산악</x:v>
      </x:c>
      <x:c r="AM523" s="5" t="str">
        <x:f>"타입|"&amp;F523</x:f>
        <x:v>타입|노말</x:v>
      </x:c>
      <x:c r="AN523" s="5" t="str">
        <x:f>"타입|"&amp;G523</x:f>
        <x:v>타입|비행</x:v>
      </x:c>
    </x:row>
    <x:row r="524" ht="24" customHeight="1">
      <x:c r="A524" s="5" t="n">
        <x:v>520</x:v>
      </x:c>
      <x:c r="B524" s="5" t="inlineStr">
        <x:is>
          <x:t xml:space="preserve">유토브</x:t>
        </x:is>
      </x:c>
      <x:c r="C524" s="5" t="inlineStr">
        <x:is>
          <x:t xml:space="preserve">tranquill</x:t>
        </x:is>
      </x:c>
      <x:c r="D524" s="5" t="inlineStr">
        <x:is>
          <x:t xml:space="preserve">Tranquill</x:t>
        </x:is>
      </x:c>
      <x:c r="E524" s="5" t="n">
        <x:v>5</x:v>
      </x:c>
      <x:c r="F524" s="5" t="inlineStr">
        <x:is>
          <x:t xml:space="preserve">노말</x:t>
        </x:is>
      </x:c>
      <x:c r="G524" s="5" t="inlineStr">
        <x:is>
          <x:t xml:space="preserve">비행</x:t>
        </x:is>
      </x:c>
      <x:c r="H524" s="6" t="n">
        <x:v>15</x:v>
      </x:c>
      <x:c r="I524" s="5" t="n">
        <x:v>32</x:v>
      </x:c>
      <x:c r="J524" s="5" t="inlineStr">
        <x:is>
          <x:t xml:space="preserve">중간</x:t>
        </x:is>
      </x:c>
      <x:c r="K524" s="7" t="inlineStr">
        <x:is>
          <x:t xml:space="preserve">비행</x:t>
        </x:is>
      </x:c>
      <x:c r="L524" s="7" t="inlineStr">
        <x:is>
          <x:t xml:space="preserve">암석</x:t>
        </x:is>
      </x:c>
      <x:c r="M524" s="7" t="inlineStr">
        <x:is>
          <x:t xml:space="preserve">온대</x:t>
        </x:is>
      </x:c>
      <x:c r="N524" s="7" t="inlineStr">
        <x:is>
          <x:t xml:space="preserve">보통</x:t>
        </x:is>
      </x:c>
      <x:c r="O524" s="7" t="inlineStr">
        <x:is>
          <x:t xml:space="preserve">무관</x:t>
        </x:is>
      </x:c>
      <x:c r="P524" s="7" t="inlineStr">
        <x:is>
          <x:t xml:space="preserve">낮</x:t>
        </x:is>
      </x:c>
      <x:c r="Q524" s="7" t="inlineStr">
        <x:is>
          <x:t xml:space="preserve">흔함</x:t>
        </x:is>
      </x:c>
      <x:c r="R524" s="7" t="inlineStr">
        <x:is>
          <x:t xml:space="preserve">없음</x:t>
        </x:is>
      </x:c>
      <x:c r="S524" s="7" t="inlineStr">
        <x:is>
          <x:t xml:space="preserve">산악</x:t>
        </x:is>
      </x:c>
      <x:c r="T524" s="7" t="inlineStr">
        <x:is>
          <x:t xml:space="preserve"/>
        </x:is>
      </x:c>
      <x:c r="U524" s="8" t="str">
        <x:f>INDEX('서식지_점수'!$E$4:$P$4,1,MATCH(MAX('서식지_점수'!E524:P524),'서식지_점수'!E524:P524,0))</x:f>
        <x:v>산악</x:v>
      </x:c>
      <x:c r="V524" s="8" t="str">
        <x:f>IF(T524&lt;&gt;"",T524,U524)</x:f>
        <x:v>산악</x:v>
      </x:c>
      <x:c r="W524" s="8" t="str">
        <x:f>IFERROR(INDEX('서식지_점수'!$E$4:$P$4,1,MATCH(MAXIFS('서식지_점수'!E524:P524,'서식지_점수'!E524:P524,"&lt;"&amp;MAX('서식지_점수'!E524:P524)),'서식지_점수'!E524:P524,0)),"")</x:f>
        <x:v>평원</x:v>
      </x:c>
      <x:c r="X524" s="8" t="str">
        <x:f>IF(T524&lt;&gt;"","수동확정",IF(MAX('서식지_점수'!E524:P524)-LARGE('서식지_점수'!E524:P524,2)&gt;=15,"높음",IF(MAX('서식지_점수'!E524:P524)-LARGE('서식지_점수'!E524:P524,2)&gt;=8,"보통","검토필요")))</x:f>
        <x:v>검토필요</x:v>
      </x:c>
      <x:c r="Y524" s="9" t="n">
        <x:f>IF(Q524="전설",8,IF(Q524="희귀",7,IF(J524="기본",1,IF(J524="중간",3,IF(J524="최종",IF(I524="",5,IF(I524&lt;=20,3,IF(I524&lt;=35,4,IF(I524&lt;=50,6,7)))),IF(Q524="드묾",4,2))))))</x:f>
        <x:v>3</x:v>
      </x:c>
      <x:c r="Z524" s="5" t="inlineStr">
        <x:is>
          <x:t xml:space="preserve">#cobblemon:is_mountain; #cobblemon:is_overworld; #cobblemon:is_sky</x:t>
        </x:is>
      </x:c>
      <x:c r="AA524" s="5" t="inlineStr">
        <x:is>
          <x:t xml:space="preserve">common</x:t>
        </x:is>
      </x:c>
      <x:c r="AB524" s="5" t="inlineStr">
        <x:is>
          <x:t xml:space="preserve">예</x:t>
        </x:is>
      </x:c>
      <x:c r="AC524" s="8" t="str">
        <x:f>IF(T524&lt;&gt;"","수동확정",IF(X524="검토필요","검토필요",IF(S524="","원본없음","초기완료")))</x:f>
        <x:v>검토필요</x:v>
      </x:c>
      <x:c r="AD524" s="7" t="inlineStr">
        <x:is>
          <x:t xml:space="preserve"/>
        </x:is>
      </x:c>
      <x:c r="AE524" s="5" t="inlineStr">
        <x:is>
          <x:t xml:space="preserve">.tmp/cobblemon-1.7.3-source/common/src/main/resources/data/cobblemon/species/generation5/tranquill.json</x:t>
        </x:is>
      </x:c>
      <x:c r="AF524" s="5" t="str">
        <x:f>"생활권|"&amp;K524</x:f>
        <x:v>생활권|비행</x:v>
      </x:c>
      <x:c r="AG524" s="5" t="str">
        <x:f>"지형|"&amp;L524</x:f>
        <x:v>지형|암석</x:v>
      </x:c>
      <x:c r="AH524" s="5" t="str">
        <x:f>"온도|"&amp;M524</x:f>
        <x:v>온도|온대</x:v>
      </x:c>
      <x:c r="AI524" s="5" t="str">
        <x:f>"습도|"&amp;N524</x:f>
        <x:v>습도|보통</x:v>
      </x:c>
      <x:c r="AJ524" s="5" t="str">
        <x:f>"날씨|"&amp;O524</x:f>
        <x:v>날씨|무관</x:v>
      </x:c>
      <x:c r="AK524" s="5" t="str">
        <x:f>"특수태그|"&amp;R524</x:f>
        <x:v>특수태그|없음</x:v>
      </x:c>
      <x:c r="AL524" s="5" t="str">
        <x:f>"원본서식지|"&amp;S524</x:f>
        <x:v>원본서식지|산악</x:v>
      </x:c>
      <x:c r="AM524" s="5" t="str">
        <x:f>"타입|"&amp;F524</x:f>
        <x:v>타입|노말</x:v>
      </x:c>
      <x:c r="AN524" s="5" t="str">
        <x:f>"타입|"&amp;G524</x:f>
        <x:v>타입|비행</x:v>
      </x:c>
    </x:row>
    <x:row r="525" ht="24" customHeight="1">
      <x:c r="A525" s="5" t="n">
        <x:v>521</x:v>
      </x:c>
      <x:c r="B525" s="5" t="inlineStr">
        <x:is>
          <x:t xml:space="preserve">켄호로우</x:t>
        </x:is>
      </x:c>
      <x:c r="C525" s="5" t="inlineStr">
        <x:is>
          <x:t xml:space="preserve">unfezant</x:t>
        </x:is>
      </x:c>
      <x:c r="D525" s="5" t="inlineStr">
        <x:is>
          <x:t xml:space="preserve">Unfezant</x:t>
        </x:is>
      </x:c>
      <x:c r="E525" s="5" t="n">
        <x:v>5</x:v>
      </x:c>
      <x:c r="F525" s="5" t="inlineStr">
        <x:is>
          <x:t xml:space="preserve">노말</x:t>
        </x:is>
      </x:c>
      <x:c r="G525" s="5" t="inlineStr">
        <x:is>
          <x:t xml:space="preserve">비행</x:t>
        </x:is>
      </x:c>
      <x:c r="H525" s="6" t="n">
        <x:v>29</x:v>
      </x:c>
      <x:c r="I525" s="5" t="n">
        <x:v>32</x:v>
      </x:c>
      <x:c r="J525" s="5" t="inlineStr">
        <x:is>
          <x:t xml:space="preserve">최종</x:t>
        </x:is>
      </x:c>
      <x:c r="K525" s="7" t="inlineStr">
        <x:is>
          <x:t xml:space="preserve">비행</x:t>
        </x:is>
      </x:c>
      <x:c r="L525" s="7" t="inlineStr">
        <x:is>
          <x:t xml:space="preserve">암석</x:t>
        </x:is>
      </x:c>
      <x:c r="M525" s="7" t="inlineStr">
        <x:is>
          <x:t xml:space="preserve">온대</x:t>
        </x:is>
      </x:c>
      <x:c r="N525" s="7" t="inlineStr">
        <x:is>
          <x:t xml:space="preserve">보통</x:t>
        </x:is>
      </x:c>
      <x:c r="O525" s="7" t="inlineStr">
        <x:is>
          <x:t xml:space="preserve">무관</x:t>
        </x:is>
      </x:c>
      <x:c r="P525" s="7" t="inlineStr">
        <x:is>
          <x:t xml:space="preserve">낮</x:t>
        </x:is>
      </x:c>
      <x:c r="Q525" s="7" t="inlineStr">
        <x:is>
          <x:t xml:space="preserve">흔함</x:t>
        </x:is>
      </x:c>
      <x:c r="R525" s="7" t="inlineStr">
        <x:is>
          <x:t xml:space="preserve">없음</x:t>
        </x:is>
      </x:c>
      <x:c r="S525" s="7" t="inlineStr">
        <x:is>
          <x:t xml:space="preserve">산악</x:t>
        </x:is>
      </x:c>
      <x:c r="T525" s="7" t="inlineStr">
        <x:is>
          <x:t xml:space="preserve"/>
        </x:is>
      </x:c>
      <x:c r="U525" s="8" t="str">
        <x:f>INDEX('서식지_점수'!$E$4:$P$4,1,MATCH(MAX('서식지_점수'!E525:P525),'서식지_점수'!E525:P525,0))</x:f>
        <x:v>산악</x:v>
      </x:c>
      <x:c r="V525" s="8" t="str">
        <x:f>IF(T525&lt;&gt;"",T525,U525)</x:f>
        <x:v>산악</x:v>
      </x:c>
      <x:c r="W525" s="8" t="str">
        <x:f>IFERROR(INDEX('서식지_점수'!$E$4:$P$4,1,MATCH(MAXIFS('서식지_점수'!E525:P525,'서식지_점수'!E525:P525,"&lt;"&amp;MAX('서식지_점수'!E525:P525)),'서식지_점수'!E525:P525,0)),"")</x:f>
        <x:v>평원</x:v>
      </x:c>
      <x:c r="X525" s="8" t="str">
        <x:f>IF(T525&lt;&gt;"","수동확정",IF(MAX('서식지_점수'!E525:P525)-LARGE('서식지_점수'!E525:P525,2)&gt;=15,"높음",IF(MAX('서식지_점수'!E525:P525)-LARGE('서식지_점수'!E525:P525,2)&gt;=8,"보통","검토필요")))</x:f>
        <x:v>검토필요</x:v>
      </x:c>
      <x:c r="Y525" s="9" t="n">
        <x:f>IF(Q525="전설",8,IF(Q525="희귀",7,IF(J525="기본",1,IF(J525="중간",3,IF(J525="최종",IF(I525="",5,IF(I525&lt;=20,3,IF(I525&lt;=35,4,IF(I525&lt;=50,6,7)))),IF(Q525="드묾",4,2))))))</x:f>
        <x:v>4</x:v>
      </x:c>
      <x:c r="Z525" s="5" t="inlineStr">
        <x:is>
          <x:t xml:space="preserve">#cobblemon:is_mountain; #cobblemon:is_overworld; #cobblemon:is_sky</x:t>
        </x:is>
      </x:c>
      <x:c r="AA525" s="5" t="inlineStr">
        <x:is>
          <x:t xml:space="preserve">common</x:t>
        </x:is>
      </x:c>
      <x:c r="AB525" s="5" t="inlineStr">
        <x:is>
          <x:t xml:space="preserve">예</x:t>
        </x:is>
      </x:c>
      <x:c r="AC525" s="8" t="str">
        <x:f>IF(T525&lt;&gt;"","수동확정",IF(X525="검토필요","검토필요",IF(S525="","원본없음","초기완료")))</x:f>
        <x:v>검토필요</x:v>
      </x:c>
      <x:c r="AD525" s="7" t="inlineStr">
        <x:is>
          <x:t xml:space="preserve"/>
        </x:is>
      </x:c>
      <x:c r="AE525" s="5" t="inlineStr">
        <x:is>
          <x:t xml:space="preserve">.tmp/cobblemon-1.7.3-source/common/src/main/resources/data/cobblemon/species/generation5/unfezant.json</x:t>
        </x:is>
      </x:c>
      <x:c r="AF525" s="5" t="str">
        <x:f>"생활권|"&amp;K525</x:f>
        <x:v>생활권|비행</x:v>
      </x:c>
      <x:c r="AG525" s="5" t="str">
        <x:f>"지형|"&amp;L525</x:f>
        <x:v>지형|암석</x:v>
      </x:c>
      <x:c r="AH525" s="5" t="str">
        <x:f>"온도|"&amp;M525</x:f>
        <x:v>온도|온대</x:v>
      </x:c>
      <x:c r="AI525" s="5" t="str">
        <x:f>"습도|"&amp;N525</x:f>
        <x:v>습도|보통</x:v>
      </x:c>
      <x:c r="AJ525" s="5" t="str">
        <x:f>"날씨|"&amp;O525</x:f>
        <x:v>날씨|무관</x:v>
      </x:c>
      <x:c r="AK525" s="5" t="str">
        <x:f>"특수태그|"&amp;R525</x:f>
        <x:v>특수태그|없음</x:v>
      </x:c>
      <x:c r="AL525" s="5" t="str">
        <x:f>"원본서식지|"&amp;S525</x:f>
        <x:v>원본서식지|산악</x:v>
      </x:c>
      <x:c r="AM525" s="5" t="str">
        <x:f>"타입|"&amp;F525</x:f>
        <x:v>타입|노말</x:v>
      </x:c>
      <x:c r="AN525" s="5" t="str">
        <x:f>"타입|"&amp;G525</x:f>
        <x:v>타입|비행</x:v>
      </x:c>
    </x:row>
    <x:row r="526" ht="24" customHeight="1">
      <x:c r="A526" s="5" t="n">
        <x:v>522</x:v>
      </x:c>
      <x:c r="B526" s="5" t="inlineStr">
        <x:is>
          <x:t xml:space="preserve">줄뮤마</x:t>
        </x:is>
      </x:c>
      <x:c r="C526" s="5" t="inlineStr">
        <x:is>
          <x:t xml:space="preserve">blitzle</x:t>
        </x:is>
      </x:c>
      <x:c r="D526" s="5" t="inlineStr">
        <x:is>
          <x:t xml:space="preserve">Blitzle</x:t>
        </x:is>
      </x:c>
      <x:c r="E526" s="5" t="n">
        <x:v>5</x:v>
      </x:c>
      <x:c r="F526" s="5" t="inlineStr">
        <x:is>
          <x:t xml:space="preserve">전기</x:t>
        </x:is>
      </x:c>
      <x:c r="G526" s="5" t="inlineStr">
        <x:is>
          <x:t xml:space="preserve"/>
        </x:is>
      </x:c>
      <x:c r="H526" s="6" t="n">
        <x:v>29.8</x:v>
      </x:c>
      <x:c r="I526" s="5" t="n">
        <x:v>27</x:v>
      </x:c>
      <x:c r="J526" s="5" t="inlineStr">
        <x:is>
          <x:t xml:space="preserve">기본</x:t>
        </x:is>
      </x:c>
      <x:c r="K526" s="7" t="inlineStr">
        <x:is>
          <x:t xml:space="preserve">육상</x:t>
        </x:is>
      </x:c>
      <x:c r="L526" s="7" t="inlineStr">
        <x:is>
          <x:t xml:space="preserve">개활지</x:t>
        </x:is>
      </x:c>
      <x:c r="M526" s="7" t="inlineStr">
        <x:is>
          <x:t xml:space="preserve">온대</x:t>
        </x:is>
      </x:c>
      <x:c r="N526" s="7" t="inlineStr">
        <x:is>
          <x:t xml:space="preserve">보통</x:t>
        </x:is>
      </x:c>
      <x:c r="O526" s="7" t="inlineStr">
        <x:is>
          <x:t xml:space="preserve">무관</x:t>
        </x:is>
      </x:c>
      <x:c r="P526" s="7" t="inlineStr">
        <x:is>
          <x:t xml:space="preserve">무관</x:t>
        </x:is>
      </x:c>
      <x:c r="Q526" s="7" t="inlineStr">
        <x:is>
          <x:t xml:space="preserve">흔함</x:t>
        </x:is>
      </x:c>
      <x:c r="R526" s="7" t="inlineStr">
        <x:is>
          <x:t xml:space="preserve">없음</x:t>
        </x:is>
      </x:c>
      <x:c r="S526" s="7" t="inlineStr">
        <x:is>
          <x:t xml:space="preserve">평원</x:t>
        </x:is>
      </x:c>
      <x:c r="T526" s="7" t="inlineStr">
        <x:is>
          <x:t xml:space="preserve"/>
        </x:is>
      </x:c>
      <x:c r="U526" s="8" t="str">
        <x:f>INDEX('서식지_점수'!$E$4:$P$4,1,MATCH(MAX('서식지_점수'!E526:P526),'서식지_점수'!E526:P526,0))</x:f>
        <x:v>평원</x:v>
      </x:c>
      <x:c r="V526" s="8" t="str">
        <x:f>IF(T526&lt;&gt;"",T526,U526)</x:f>
        <x:v>평원</x:v>
      </x:c>
      <x:c r="W526" s="8" t="str">
        <x:f>IFERROR(INDEX('서식지_점수'!$E$4:$P$4,1,MATCH(MAXIFS('서식지_점수'!E526:P526,'서식지_점수'!E526:P526,"&lt;"&amp;MAX('서식지_점수'!E526:P526)),'서식지_점수'!E526:P526,0)),"")</x:f>
        <x:v>숲</x:v>
      </x:c>
      <x:c r="X526" s="8" t="str">
        <x:f>IF(T526&lt;&gt;"","수동확정",IF(MAX('서식지_점수'!E526:P526)-LARGE('서식지_점수'!E526:P526,2)&gt;=15,"높음",IF(MAX('서식지_점수'!E526:P526)-LARGE('서식지_점수'!E526:P526,2)&gt;=8,"보통","검토필요")))</x:f>
        <x:v>검토필요</x:v>
      </x:c>
      <x:c r="Y526" s="9" t="n">
        <x:f>IF(Q526="전설",8,IF(Q526="희귀",7,IF(J526="기본",1,IF(J526="중간",3,IF(J526="최종",IF(I526="",5,IF(I526&lt;=20,3,IF(I526&lt;=35,4,IF(I526&lt;=50,6,7)))),IF(Q526="드묾",4,2))))))</x:f>
        <x:v>1</x:v>
      </x:c>
      <x:c r="Z526" s="5" t="inlineStr">
        <x:is>
          <x:t xml:space="preserve">#cobblemon:is_savanna</x:t>
        </x:is>
      </x:c>
      <x:c r="AA526" s="5" t="inlineStr">
        <x:is>
          <x:t xml:space="preserve">common</x:t>
        </x:is>
      </x:c>
      <x:c r="AB526" s="5" t="inlineStr">
        <x:is>
          <x:t xml:space="preserve">예</x:t>
        </x:is>
      </x:c>
      <x:c r="AC526" s="8" t="str">
        <x:f>IF(T526&lt;&gt;"","수동확정",IF(X526="검토필요","검토필요",IF(S526="","원본없음","초기완료")))</x:f>
        <x:v>검토필요</x:v>
      </x:c>
      <x:c r="AD526" s="7" t="inlineStr">
        <x:is>
          <x:t xml:space="preserve"/>
        </x:is>
      </x:c>
      <x:c r="AE526" s="5" t="inlineStr">
        <x:is>
          <x:t xml:space="preserve">.tmp/cobblemon-1.7.3-source/common/src/main/resources/data/cobblemon/species/generation5/blitzle.json</x:t>
        </x:is>
      </x:c>
      <x:c r="AF526" s="5" t="str">
        <x:f>"생활권|"&amp;K526</x:f>
        <x:v>생활권|육상</x:v>
      </x:c>
      <x:c r="AG526" s="5" t="str">
        <x:f>"지형|"&amp;L526</x:f>
        <x:v>지형|개활지</x:v>
      </x:c>
      <x:c r="AH526" s="5" t="str">
        <x:f>"온도|"&amp;M526</x:f>
        <x:v>온도|온대</x:v>
      </x:c>
      <x:c r="AI526" s="5" t="str">
        <x:f>"습도|"&amp;N526</x:f>
        <x:v>습도|보통</x:v>
      </x:c>
      <x:c r="AJ526" s="5" t="str">
        <x:f>"날씨|"&amp;O526</x:f>
        <x:v>날씨|무관</x:v>
      </x:c>
      <x:c r="AK526" s="5" t="str">
        <x:f>"특수태그|"&amp;R526</x:f>
        <x:v>특수태그|없음</x:v>
      </x:c>
      <x:c r="AL526" s="5" t="str">
        <x:f>"원본서식지|"&amp;S526</x:f>
        <x:v>원본서식지|평원</x:v>
      </x:c>
      <x:c r="AM526" s="5" t="str">
        <x:f>"타입|"&amp;F526</x:f>
        <x:v>타입|전기</x:v>
      </x:c>
      <x:c r="AN526" s="5" t="str">
        <x:f>"타입|"&amp;G526</x:f>
        <x:v>타입|</x:v>
      </x:c>
    </x:row>
    <x:row r="527" ht="24" customHeight="1">
      <x:c r="A527" s="5" t="n">
        <x:v>523</x:v>
      </x:c>
      <x:c r="B527" s="5" t="inlineStr">
        <x:is>
          <x:t xml:space="preserve">제브라이카</x:t>
        </x:is>
      </x:c>
      <x:c r="C527" s="5" t="inlineStr">
        <x:is>
          <x:t xml:space="preserve">zebstrika</x:t>
        </x:is>
      </x:c>
      <x:c r="D527" s="5" t="inlineStr">
        <x:is>
          <x:t xml:space="preserve">Zebstrika</x:t>
        </x:is>
      </x:c>
      <x:c r="E527" s="5" t="n">
        <x:v>5</x:v>
      </x:c>
      <x:c r="F527" s="5" t="inlineStr">
        <x:is>
          <x:t xml:space="preserve">전기</x:t>
        </x:is>
      </x:c>
      <x:c r="G527" s="5" t="inlineStr">
        <x:is>
          <x:t xml:space="preserve"/>
        </x:is>
      </x:c>
      <x:c r="H527" s="6" t="n">
        <x:v>79.5</x:v>
      </x:c>
      <x:c r="I527" s="5" t="n">
        <x:v>27</x:v>
      </x:c>
      <x:c r="J527" s="5" t="inlineStr">
        <x:is>
          <x:t xml:space="preserve">최종</x:t>
        </x:is>
      </x:c>
      <x:c r="K527" s="7" t="inlineStr">
        <x:is>
          <x:t xml:space="preserve">육상</x:t>
        </x:is>
      </x:c>
      <x:c r="L527" s="7" t="inlineStr">
        <x:is>
          <x:t xml:space="preserve">개활지</x:t>
        </x:is>
      </x:c>
      <x:c r="M527" s="7" t="inlineStr">
        <x:is>
          <x:t xml:space="preserve">온대</x:t>
        </x:is>
      </x:c>
      <x:c r="N527" s="7" t="inlineStr">
        <x:is>
          <x:t xml:space="preserve">보통</x:t>
        </x:is>
      </x:c>
      <x:c r="O527" s="7" t="inlineStr">
        <x:is>
          <x:t xml:space="preserve">무관</x:t>
        </x:is>
      </x:c>
      <x:c r="P527" s="7" t="inlineStr">
        <x:is>
          <x:t xml:space="preserve">무관</x:t>
        </x:is>
      </x:c>
      <x:c r="Q527" s="7" t="inlineStr">
        <x:is>
          <x:t xml:space="preserve">흔함</x:t>
        </x:is>
      </x:c>
      <x:c r="R527" s="7" t="inlineStr">
        <x:is>
          <x:t xml:space="preserve">없음</x:t>
        </x:is>
      </x:c>
      <x:c r="S527" s="7" t="inlineStr">
        <x:is>
          <x:t xml:space="preserve">평원</x:t>
        </x:is>
      </x:c>
      <x:c r="T527" s="7" t="inlineStr">
        <x:is>
          <x:t xml:space="preserve"/>
        </x:is>
      </x:c>
      <x:c r="U527" s="8" t="str">
        <x:f>INDEX('서식지_점수'!$E$4:$P$4,1,MATCH(MAX('서식지_점수'!E527:P527),'서식지_점수'!E527:P527,0))</x:f>
        <x:v>평원</x:v>
      </x:c>
      <x:c r="V527" s="8" t="str">
        <x:f>IF(T527&lt;&gt;"",T527,U527)</x:f>
        <x:v>평원</x:v>
      </x:c>
      <x:c r="W527" s="8" t="str">
        <x:f>IFERROR(INDEX('서식지_점수'!$E$4:$P$4,1,MATCH(MAXIFS('서식지_점수'!E527:P527,'서식지_점수'!E527:P527,"&lt;"&amp;MAX('서식지_점수'!E527:P527)),'서식지_점수'!E527:P527,0)),"")</x:f>
        <x:v>숲</x:v>
      </x:c>
      <x:c r="X527" s="8" t="str">
        <x:f>IF(T527&lt;&gt;"","수동확정",IF(MAX('서식지_점수'!E527:P527)-LARGE('서식지_점수'!E527:P527,2)&gt;=15,"높음",IF(MAX('서식지_점수'!E527:P527)-LARGE('서식지_점수'!E527:P527,2)&gt;=8,"보통","검토필요")))</x:f>
        <x:v>검토필요</x:v>
      </x:c>
      <x:c r="Y527" s="9" t="n">
        <x:f>IF(Q527="전설",8,IF(Q527="희귀",7,IF(J527="기본",1,IF(J527="중간",3,IF(J527="최종",IF(I527="",5,IF(I527&lt;=20,3,IF(I527&lt;=35,4,IF(I527&lt;=50,6,7)))),IF(Q527="드묾",4,2))))))</x:f>
        <x:v>4</x:v>
      </x:c>
      <x:c r="Z527" s="5" t="inlineStr">
        <x:is>
          <x:t xml:space="preserve">#cobblemon:is_savanna</x:t>
        </x:is>
      </x:c>
      <x:c r="AA527" s="5" t="inlineStr">
        <x:is>
          <x:t xml:space="preserve">common</x:t>
        </x:is>
      </x:c>
      <x:c r="AB527" s="5" t="inlineStr">
        <x:is>
          <x:t xml:space="preserve">예</x:t>
        </x:is>
      </x:c>
      <x:c r="AC527" s="8" t="str">
        <x:f>IF(T527&lt;&gt;"","수동확정",IF(X527="검토필요","검토필요",IF(S527="","원본없음","초기완료")))</x:f>
        <x:v>검토필요</x:v>
      </x:c>
      <x:c r="AD527" s="7" t="inlineStr">
        <x:is>
          <x:t xml:space="preserve"/>
        </x:is>
      </x:c>
      <x:c r="AE527" s="5" t="inlineStr">
        <x:is>
          <x:t xml:space="preserve">.tmp/cobblemon-1.7.3-source/common/src/main/resources/data/cobblemon/species/generation5/zebstrika.json</x:t>
        </x:is>
      </x:c>
      <x:c r="AF527" s="5" t="str">
        <x:f>"생활권|"&amp;K527</x:f>
        <x:v>생활권|육상</x:v>
      </x:c>
      <x:c r="AG527" s="5" t="str">
        <x:f>"지형|"&amp;L527</x:f>
        <x:v>지형|개활지</x:v>
      </x:c>
      <x:c r="AH527" s="5" t="str">
        <x:f>"온도|"&amp;M527</x:f>
        <x:v>온도|온대</x:v>
      </x:c>
      <x:c r="AI527" s="5" t="str">
        <x:f>"습도|"&amp;N527</x:f>
        <x:v>습도|보통</x:v>
      </x:c>
      <x:c r="AJ527" s="5" t="str">
        <x:f>"날씨|"&amp;O527</x:f>
        <x:v>날씨|무관</x:v>
      </x:c>
      <x:c r="AK527" s="5" t="str">
        <x:f>"특수태그|"&amp;R527</x:f>
        <x:v>특수태그|없음</x:v>
      </x:c>
      <x:c r="AL527" s="5" t="str">
        <x:f>"원본서식지|"&amp;S527</x:f>
        <x:v>원본서식지|평원</x:v>
      </x:c>
      <x:c r="AM527" s="5" t="str">
        <x:f>"타입|"&amp;F527</x:f>
        <x:v>타입|전기</x:v>
      </x:c>
      <x:c r="AN527" s="5" t="str">
        <x:f>"타입|"&amp;G527</x:f>
        <x:v>타입|</x:v>
      </x:c>
    </x:row>
    <x:row r="528" ht="24" customHeight="1">
      <x:c r="A528" s="5" t="n">
        <x:v>524</x:v>
      </x:c>
      <x:c r="B528" s="5" t="inlineStr">
        <x:is>
          <x:t xml:space="preserve">단굴</x:t>
        </x:is>
      </x:c>
      <x:c r="C528" s="5" t="inlineStr">
        <x:is>
          <x:t xml:space="preserve">roggenrola</x:t>
        </x:is>
      </x:c>
      <x:c r="D528" s="5" t="inlineStr">
        <x:is>
          <x:t xml:space="preserve">Roggenrola</x:t>
        </x:is>
      </x:c>
      <x:c r="E528" s="5" t="n">
        <x:v>5</x:v>
      </x:c>
      <x:c r="F528" s="5" t="inlineStr">
        <x:is>
          <x:t xml:space="preserve">바위</x:t>
        </x:is>
      </x:c>
      <x:c r="G528" s="5" t="inlineStr">
        <x:is>
          <x:t xml:space="preserve"/>
        </x:is>
      </x:c>
      <x:c r="H528" s="6" t="n">
        <x:v>18</x:v>
      </x:c>
      <x:c r="I528" s="5" t="n">
        <x:v>25</x:v>
      </x:c>
      <x:c r="J528" s="5" t="inlineStr">
        <x:is>
          <x:t xml:space="preserve">기본</x:t>
        </x:is>
      </x:c>
      <x:c r="K528" s="7" t="inlineStr">
        <x:is>
          <x:t xml:space="preserve">지하</x:t>
        </x:is>
      </x:c>
      <x:c r="L528" s="7" t="inlineStr">
        <x:is>
          <x:t xml:space="preserve">동굴</x:t>
        </x:is>
      </x:c>
      <x:c r="M528" s="7" t="inlineStr">
        <x:is>
          <x:t xml:space="preserve">온대</x:t>
        </x:is>
      </x:c>
      <x:c r="N528" s="7" t="inlineStr">
        <x:is>
          <x:t xml:space="preserve">보통</x:t>
        </x:is>
      </x:c>
      <x:c r="O528" s="7" t="inlineStr">
        <x:is>
          <x:t xml:space="preserve">무관</x:t>
        </x:is>
      </x:c>
      <x:c r="P528" s="7" t="inlineStr">
        <x:is>
          <x:t xml:space="preserve">무관</x:t>
        </x:is>
      </x:c>
      <x:c r="Q528" s="7" t="inlineStr">
        <x:is>
          <x:t xml:space="preserve">보통</x:t>
        </x:is>
      </x:c>
      <x:c r="R528" s="7" t="inlineStr">
        <x:is>
          <x:t xml:space="preserve">동굴</x:t>
        </x:is>
      </x:c>
      <x:c r="S528" s="7" t="inlineStr">
        <x:is>
          <x:t xml:space="preserve">동굴</x:t>
        </x:is>
      </x:c>
      <x:c r="T528" s="7" t="inlineStr">
        <x:is>
          <x:t xml:space="preserve"/>
        </x:is>
      </x:c>
      <x:c r="U528" s="8" t="str">
        <x:f>INDEX('서식지_점수'!$E$4:$P$4,1,MATCH(MAX('서식지_점수'!E528:P528),'서식지_점수'!E528:P528,0))</x:f>
        <x:v>동굴</x:v>
      </x:c>
      <x:c r="V528" s="8" t="str">
        <x:f>IF(T528&lt;&gt;"",T528,U528)</x:f>
        <x:v>동굴</x:v>
      </x:c>
      <x:c r="W528" s="8" t="str">
        <x:f>IFERROR(INDEX('서식지_점수'!$E$4:$P$4,1,MATCH(MAXIFS('서식지_점수'!E528:P528,'서식지_점수'!E528:P528,"&lt;"&amp;MAX('서식지_점수'!E528:P528)),'서식지_점수'!E528:P528,0)),"")</x:f>
        <x:v>산악</x:v>
      </x:c>
      <x:c r="X528" s="8" t="str">
        <x:f>IF(T528&lt;&gt;"","수동확정",IF(MAX('서식지_점수'!E528:P528)-LARGE('서식지_점수'!E528:P528,2)&gt;=15,"높음",IF(MAX('서식지_점수'!E528:P528)-LARGE('서식지_점수'!E528:P528,2)&gt;=8,"보통","검토필요")))</x:f>
        <x:v>높음</x:v>
      </x:c>
      <x:c r="Y528" s="9" t="n">
        <x:f>IF(Q528="전설",8,IF(Q528="희귀",7,IF(J528="기본",1,IF(J528="중간",3,IF(J528="최종",IF(I528="",5,IF(I528&lt;=20,3,IF(I528&lt;=35,4,IF(I528&lt;=50,6,7)))),IF(Q528="드묾",4,2))))))</x:f>
        <x:v>1</x:v>
      </x:c>
      <x:c r="Z528" s="5" t="inlineStr">
        <x:is>
          <x:t xml:space="preserve">#cobblemon:is_deep_dark; #cobblemon:is_overworld</x:t>
        </x:is>
      </x:c>
      <x:c r="AA528" s="5" t="inlineStr">
        <x:is>
          <x:t xml:space="preserve">common; uncommon</x:t>
        </x:is>
      </x:c>
      <x:c r="AB528" s="5" t="inlineStr">
        <x:is>
          <x:t xml:space="preserve">예</x:t>
        </x:is>
      </x:c>
      <x:c r="AC528" s="8" t="str">
        <x:f>IF(T528&lt;&gt;"","수동확정",IF(X528="검토필요","검토필요",IF(S528="","원본없음","초기완료")))</x:f>
        <x:v>초기완료</x:v>
      </x:c>
      <x:c r="AD528" s="7" t="inlineStr">
        <x:is>
          <x:t xml:space="preserve"/>
        </x:is>
      </x:c>
      <x:c r="AE528" s="5" t="inlineStr">
        <x:is>
          <x:t xml:space="preserve">.tmp/cobblemon-1.7.3-source/common/src/main/resources/data/cobblemon/species/generation5/roggenrola.json</x:t>
        </x:is>
      </x:c>
      <x:c r="AF528" s="5" t="str">
        <x:f>"생활권|"&amp;K528</x:f>
        <x:v>생활권|지하</x:v>
      </x:c>
      <x:c r="AG528" s="5" t="str">
        <x:f>"지형|"&amp;L528</x:f>
        <x:v>지형|동굴</x:v>
      </x:c>
      <x:c r="AH528" s="5" t="str">
        <x:f>"온도|"&amp;M528</x:f>
        <x:v>온도|온대</x:v>
      </x:c>
      <x:c r="AI528" s="5" t="str">
        <x:f>"습도|"&amp;N528</x:f>
        <x:v>습도|보통</x:v>
      </x:c>
      <x:c r="AJ528" s="5" t="str">
        <x:f>"날씨|"&amp;O528</x:f>
        <x:v>날씨|무관</x:v>
      </x:c>
      <x:c r="AK528" s="5" t="str">
        <x:f>"특수태그|"&amp;R528</x:f>
        <x:v>특수태그|동굴</x:v>
      </x:c>
      <x:c r="AL528" s="5" t="str">
        <x:f>"원본서식지|"&amp;S528</x:f>
        <x:v>원본서식지|동굴</x:v>
      </x:c>
      <x:c r="AM528" s="5" t="str">
        <x:f>"타입|"&amp;F528</x:f>
        <x:v>타입|바위</x:v>
      </x:c>
      <x:c r="AN528" s="5" t="str">
        <x:f>"타입|"&amp;G528</x:f>
        <x:v>타입|</x:v>
      </x:c>
    </x:row>
    <x:row r="529" ht="24" customHeight="1">
      <x:c r="A529" s="5" t="n">
        <x:v>525</x:v>
      </x:c>
      <x:c r="B529" s="5" t="inlineStr">
        <x:is>
          <x:t xml:space="preserve">암트르</x:t>
        </x:is>
      </x:c>
      <x:c r="C529" s="5" t="inlineStr">
        <x:is>
          <x:t xml:space="preserve">boldore</x:t>
        </x:is>
      </x:c>
      <x:c r="D529" s="5" t="inlineStr">
        <x:is>
          <x:t xml:space="preserve">Boldore</x:t>
        </x:is>
      </x:c>
      <x:c r="E529" s="5" t="n">
        <x:v>5</x:v>
      </x:c>
      <x:c r="F529" s="5" t="inlineStr">
        <x:is>
          <x:t xml:space="preserve">바위</x:t>
        </x:is>
      </x:c>
      <x:c r="G529" s="5" t="inlineStr">
        <x:is>
          <x:t xml:space="preserve"/>
        </x:is>
      </x:c>
      <x:c r="H529" s="6" t="n">
        <x:v>102</x:v>
      </x:c>
      <x:c r="I529" s="5" t="n">
        <x:v>25</x:v>
      </x:c>
      <x:c r="J529" s="5" t="inlineStr">
        <x:is>
          <x:t xml:space="preserve">중간</x:t>
        </x:is>
      </x:c>
      <x:c r="K529" s="7" t="inlineStr">
        <x:is>
          <x:t xml:space="preserve">지하</x:t>
        </x:is>
      </x:c>
      <x:c r="L529" s="7" t="inlineStr">
        <x:is>
          <x:t xml:space="preserve">동굴</x:t>
        </x:is>
      </x:c>
      <x:c r="M529" s="7" t="inlineStr">
        <x:is>
          <x:t xml:space="preserve">온대</x:t>
        </x:is>
      </x:c>
      <x:c r="N529" s="7" t="inlineStr">
        <x:is>
          <x:t xml:space="preserve">보통</x:t>
        </x:is>
      </x:c>
      <x:c r="O529" s="7" t="inlineStr">
        <x:is>
          <x:t xml:space="preserve">무관</x:t>
        </x:is>
      </x:c>
      <x:c r="P529" s="7" t="inlineStr">
        <x:is>
          <x:t xml:space="preserve">무관</x:t>
        </x:is>
      </x:c>
      <x:c r="Q529" s="7" t="inlineStr">
        <x:is>
          <x:t xml:space="preserve">보통</x:t>
        </x:is>
      </x:c>
      <x:c r="R529" s="7" t="inlineStr">
        <x:is>
          <x:t xml:space="preserve">동굴</x:t>
        </x:is>
      </x:c>
      <x:c r="S529" s="7" t="inlineStr">
        <x:is>
          <x:t xml:space="preserve">동굴</x:t>
        </x:is>
      </x:c>
      <x:c r="T529" s="7" t="inlineStr">
        <x:is>
          <x:t xml:space="preserve"/>
        </x:is>
      </x:c>
      <x:c r="U529" s="8" t="str">
        <x:f>INDEX('서식지_점수'!$E$4:$P$4,1,MATCH(MAX('서식지_점수'!E529:P529),'서식지_점수'!E529:P529,0))</x:f>
        <x:v>동굴</x:v>
      </x:c>
      <x:c r="V529" s="8" t="str">
        <x:f>IF(T529&lt;&gt;"",T529,U529)</x:f>
        <x:v>동굴</x:v>
      </x:c>
      <x:c r="W529" s="8" t="str">
        <x:f>IFERROR(INDEX('서식지_점수'!$E$4:$P$4,1,MATCH(MAXIFS('서식지_점수'!E529:P529,'서식지_점수'!E529:P529,"&lt;"&amp;MAX('서식지_점수'!E529:P529)),'서식지_점수'!E529:P529,0)),"")</x:f>
        <x:v>산악</x:v>
      </x:c>
      <x:c r="X529" s="8" t="str">
        <x:f>IF(T529&lt;&gt;"","수동확정",IF(MAX('서식지_점수'!E529:P529)-LARGE('서식지_점수'!E529:P529,2)&gt;=15,"높음",IF(MAX('서식지_점수'!E529:P529)-LARGE('서식지_점수'!E529:P529,2)&gt;=8,"보통","검토필요")))</x:f>
        <x:v>높음</x:v>
      </x:c>
      <x:c r="Y529" s="9" t="n">
        <x:f>IF(Q529="전설",8,IF(Q529="희귀",7,IF(J529="기본",1,IF(J529="중간",3,IF(J529="최종",IF(I529="",5,IF(I529&lt;=20,3,IF(I529&lt;=35,4,IF(I529&lt;=50,6,7)))),IF(Q529="드묾",4,2))))))</x:f>
        <x:v>3</x:v>
      </x:c>
      <x:c r="Z529" s="5" t="inlineStr">
        <x:is>
          <x:t xml:space="preserve">#cobblemon:is_deep_dark; #cobblemon:is_overworld</x:t>
        </x:is>
      </x:c>
      <x:c r="AA529" s="5" t="inlineStr">
        <x:is>
          <x:t xml:space="preserve">common; uncommon</x:t>
        </x:is>
      </x:c>
      <x:c r="AB529" s="5" t="inlineStr">
        <x:is>
          <x:t xml:space="preserve">예</x:t>
        </x:is>
      </x:c>
      <x:c r="AC529" s="8" t="str">
        <x:f>IF(T529&lt;&gt;"","수동확정",IF(X529="검토필요","검토필요",IF(S529="","원본없음","초기완료")))</x:f>
        <x:v>초기완료</x:v>
      </x:c>
      <x:c r="AD529" s="7" t="inlineStr">
        <x:is>
          <x:t xml:space="preserve"/>
        </x:is>
      </x:c>
      <x:c r="AE529" s="5" t="inlineStr">
        <x:is>
          <x:t xml:space="preserve">.tmp/cobblemon-1.7.3-source/common/src/main/resources/data/cobblemon/species/generation5/boldore.json</x:t>
        </x:is>
      </x:c>
      <x:c r="AF529" s="5" t="str">
        <x:f>"생활권|"&amp;K529</x:f>
        <x:v>생활권|지하</x:v>
      </x:c>
      <x:c r="AG529" s="5" t="str">
        <x:f>"지형|"&amp;L529</x:f>
        <x:v>지형|동굴</x:v>
      </x:c>
      <x:c r="AH529" s="5" t="str">
        <x:f>"온도|"&amp;M529</x:f>
        <x:v>온도|온대</x:v>
      </x:c>
      <x:c r="AI529" s="5" t="str">
        <x:f>"습도|"&amp;N529</x:f>
        <x:v>습도|보통</x:v>
      </x:c>
      <x:c r="AJ529" s="5" t="str">
        <x:f>"날씨|"&amp;O529</x:f>
        <x:v>날씨|무관</x:v>
      </x:c>
      <x:c r="AK529" s="5" t="str">
        <x:f>"특수태그|"&amp;R529</x:f>
        <x:v>특수태그|동굴</x:v>
      </x:c>
      <x:c r="AL529" s="5" t="str">
        <x:f>"원본서식지|"&amp;S529</x:f>
        <x:v>원본서식지|동굴</x:v>
      </x:c>
      <x:c r="AM529" s="5" t="str">
        <x:f>"타입|"&amp;F529</x:f>
        <x:v>타입|바위</x:v>
      </x:c>
      <x:c r="AN529" s="5" t="str">
        <x:f>"타입|"&amp;G529</x:f>
        <x:v>타입|</x:v>
      </x:c>
    </x:row>
    <x:row r="530" ht="24" customHeight="1">
      <x:c r="A530" s="5" t="n">
        <x:v>526</x:v>
      </x:c>
      <x:c r="B530" s="5" t="inlineStr">
        <x:is>
          <x:t xml:space="preserve">기가이어스</x:t>
        </x:is>
      </x:c>
      <x:c r="C530" s="5" t="inlineStr">
        <x:is>
          <x:t xml:space="preserve">gigalith</x:t>
        </x:is>
      </x:c>
      <x:c r="D530" s="5" t="inlineStr">
        <x:is>
          <x:t xml:space="preserve">Gigalith</x:t>
        </x:is>
      </x:c>
      <x:c r="E530" s="5" t="n">
        <x:v>5</x:v>
      </x:c>
      <x:c r="F530" s="5" t="inlineStr">
        <x:is>
          <x:t xml:space="preserve">바위</x:t>
        </x:is>
      </x:c>
      <x:c r="G530" s="5" t="inlineStr">
        <x:is>
          <x:t xml:space="preserve"/>
        </x:is>
      </x:c>
      <x:c r="H530" s="6" t="n">
        <x:v>260</x:v>
      </x:c>
      <x:c r="I530" s="5" t="n">
        <x:v>25</x:v>
      </x:c>
      <x:c r="J530" s="5" t="inlineStr">
        <x:is>
          <x:t xml:space="preserve">최종</x:t>
        </x:is>
      </x:c>
      <x:c r="K530" s="7" t="inlineStr">
        <x:is>
          <x:t xml:space="preserve">지하</x:t>
        </x:is>
      </x:c>
      <x:c r="L530" s="7" t="inlineStr">
        <x:is>
          <x:t xml:space="preserve">동굴</x:t>
        </x:is>
      </x:c>
      <x:c r="M530" s="7" t="inlineStr">
        <x:is>
          <x:t xml:space="preserve">온대</x:t>
        </x:is>
      </x:c>
      <x:c r="N530" s="7" t="inlineStr">
        <x:is>
          <x:t xml:space="preserve">보통</x:t>
        </x:is>
      </x:c>
      <x:c r="O530" s="7" t="inlineStr">
        <x:is>
          <x:t xml:space="preserve">무관</x:t>
        </x:is>
      </x:c>
      <x:c r="P530" s="7" t="inlineStr">
        <x:is>
          <x:t xml:space="preserve">무관</x:t>
        </x:is>
      </x:c>
      <x:c r="Q530" s="7" t="inlineStr">
        <x:is>
          <x:t xml:space="preserve">보통</x:t>
        </x:is>
      </x:c>
      <x:c r="R530" s="7" t="inlineStr">
        <x:is>
          <x:t xml:space="preserve">동굴</x:t>
        </x:is>
      </x:c>
      <x:c r="S530" s="7" t="inlineStr">
        <x:is>
          <x:t xml:space="preserve">동굴</x:t>
        </x:is>
      </x:c>
      <x:c r="T530" s="7" t="inlineStr">
        <x:is>
          <x:t xml:space="preserve"/>
        </x:is>
      </x:c>
      <x:c r="U530" s="8" t="str">
        <x:f>INDEX('서식지_점수'!$E$4:$P$4,1,MATCH(MAX('서식지_점수'!E530:P530),'서식지_점수'!E530:P530,0))</x:f>
        <x:v>동굴</x:v>
      </x:c>
      <x:c r="V530" s="8" t="str">
        <x:f>IF(T530&lt;&gt;"",T530,U530)</x:f>
        <x:v>동굴</x:v>
      </x:c>
      <x:c r="W530" s="8" t="str">
        <x:f>IFERROR(INDEX('서식지_점수'!$E$4:$P$4,1,MATCH(MAXIFS('서식지_점수'!E530:P530,'서식지_점수'!E530:P530,"&lt;"&amp;MAX('서식지_점수'!E530:P530)),'서식지_점수'!E530:P530,0)),"")</x:f>
        <x:v>산악</x:v>
      </x:c>
      <x:c r="X530" s="8" t="str">
        <x:f>IF(T530&lt;&gt;"","수동확정",IF(MAX('서식지_점수'!E530:P530)-LARGE('서식지_점수'!E530:P530,2)&gt;=15,"높음",IF(MAX('서식지_점수'!E530:P530)-LARGE('서식지_점수'!E530:P530,2)&gt;=8,"보통","검토필요")))</x:f>
        <x:v>높음</x:v>
      </x:c>
      <x:c r="Y530" s="9" t="n">
        <x:f>IF(Q530="전설",8,IF(Q530="희귀",7,IF(J530="기본",1,IF(J530="중간",3,IF(J530="최종",IF(I530="",5,IF(I530&lt;=20,3,IF(I530&lt;=35,4,IF(I530&lt;=50,6,7)))),IF(Q530="드묾",4,2))))))</x:f>
        <x:v>4</x:v>
      </x:c>
      <x:c r="Z530" s="5" t="inlineStr">
        <x:is>
          <x:t xml:space="preserve">#cobblemon:is_deep_dark; #cobblemon:is_overworld</x:t>
        </x:is>
      </x:c>
      <x:c r="AA530" s="5" t="inlineStr">
        <x:is>
          <x:t xml:space="preserve">common; uncommon</x:t>
        </x:is>
      </x:c>
      <x:c r="AB530" s="5" t="inlineStr">
        <x:is>
          <x:t xml:space="preserve">예</x:t>
        </x:is>
      </x:c>
      <x:c r="AC530" s="8" t="str">
        <x:f>IF(T530&lt;&gt;"","수동확정",IF(X530="검토필요","검토필요",IF(S530="","원본없음","초기완료")))</x:f>
        <x:v>초기완료</x:v>
      </x:c>
      <x:c r="AD530" s="7" t="inlineStr">
        <x:is>
          <x:t xml:space="preserve"/>
        </x:is>
      </x:c>
      <x:c r="AE530" s="5" t="inlineStr">
        <x:is>
          <x:t xml:space="preserve">.tmp/cobblemon-1.7.3-source/common/src/main/resources/data/cobblemon/species/generation5/gigalith.json</x:t>
        </x:is>
      </x:c>
      <x:c r="AF530" s="5" t="str">
        <x:f>"생활권|"&amp;K530</x:f>
        <x:v>생활권|지하</x:v>
      </x:c>
      <x:c r="AG530" s="5" t="str">
        <x:f>"지형|"&amp;L530</x:f>
        <x:v>지형|동굴</x:v>
      </x:c>
      <x:c r="AH530" s="5" t="str">
        <x:f>"온도|"&amp;M530</x:f>
        <x:v>온도|온대</x:v>
      </x:c>
      <x:c r="AI530" s="5" t="str">
        <x:f>"습도|"&amp;N530</x:f>
        <x:v>습도|보통</x:v>
      </x:c>
      <x:c r="AJ530" s="5" t="str">
        <x:f>"날씨|"&amp;O530</x:f>
        <x:v>날씨|무관</x:v>
      </x:c>
      <x:c r="AK530" s="5" t="str">
        <x:f>"특수태그|"&amp;R530</x:f>
        <x:v>특수태그|동굴</x:v>
      </x:c>
      <x:c r="AL530" s="5" t="str">
        <x:f>"원본서식지|"&amp;S530</x:f>
        <x:v>원본서식지|동굴</x:v>
      </x:c>
      <x:c r="AM530" s="5" t="str">
        <x:f>"타입|"&amp;F530</x:f>
        <x:v>타입|바위</x:v>
      </x:c>
      <x:c r="AN530" s="5" t="str">
        <x:f>"타입|"&amp;G530</x:f>
        <x:v>타입|</x:v>
      </x:c>
    </x:row>
    <x:row r="531" ht="24" customHeight="1">
      <x:c r="A531" s="5" t="n">
        <x:v>527</x:v>
      </x:c>
      <x:c r="B531" s="5" t="inlineStr">
        <x:is>
          <x:t xml:space="preserve">또르박쥐</x:t>
        </x:is>
      </x:c>
      <x:c r="C531" s="5" t="inlineStr">
        <x:is>
          <x:t xml:space="preserve">woobat</x:t>
        </x:is>
      </x:c>
      <x:c r="D531" s="5" t="inlineStr">
        <x:is>
          <x:t xml:space="preserve">Woobat</x:t>
        </x:is>
      </x:c>
      <x:c r="E531" s="5" t="n">
        <x:v>5</x:v>
      </x:c>
      <x:c r="F531" s="5" t="inlineStr">
        <x:is>
          <x:t xml:space="preserve">에스퍼</x:t>
        </x:is>
      </x:c>
      <x:c r="G531" s="5" t="inlineStr">
        <x:is>
          <x:t xml:space="preserve">비행</x:t>
        </x:is>
      </x:c>
      <x:c r="H531" s="6" t="n">
        <x:v>2.1</x:v>
      </x:c>
      <x:c r="I531" s="5" t="n"/>
      <x:c r="J531" s="5" t="inlineStr">
        <x:is>
          <x:t xml:space="preserve">기본</x:t>
        </x:is>
      </x:c>
      <x:c r="K531" s="7" t="inlineStr">
        <x:is>
          <x:t xml:space="preserve">비행</x:t>
        </x:is>
      </x:c>
      <x:c r="L531" s="7" t="inlineStr">
        <x:is>
          <x:t xml:space="preserve">수목</x:t>
        </x:is>
      </x:c>
      <x:c r="M531" s="7" t="inlineStr">
        <x:is>
          <x:t xml:space="preserve">온대</x:t>
        </x:is>
      </x:c>
      <x:c r="N531" s="7" t="inlineStr">
        <x:is>
          <x:t xml:space="preserve">다습</x:t>
        </x:is>
      </x:c>
      <x:c r="O531" s="7" t="inlineStr">
        <x:is>
          <x:t xml:space="preserve">무관</x:t>
        </x:is>
      </x:c>
      <x:c r="P531" s="7" t="inlineStr">
        <x:is>
          <x:t xml:space="preserve">밤</x:t>
        </x:is>
      </x:c>
      <x:c r="Q531" s="7" t="inlineStr">
        <x:is>
          <x:t xml:space="preserve">흔함</x:t>
        </x:is>
      </x:c>
      <x:c r="R531" s="7" t="inlineStr">
        <x:is>
          <x:t xml:space="preserve">없음</x:t>
        </x:is>
      </x:c>
      <x:c r="S531" s="7" t="inlineStr">
        <x:is>
          <x:t xml:space="preserve">숲</x:t>
        </x:is>
      </x:c>
      <x:c r="T531" s="7" t="inlineStr">
        <x:is>
          <x:t xml:space="preserve"/>
        </x:is>
      </x:c>
      <x:c r="U531" s="8" t="str">
        <x:f>INDEX('서식지_점수'!$E$4:$P$4,1,MATCH(MAX('서식지_점수'!E531:P531),'서식지_점수'!E531:P531,0))</x:f>
        <x:v>산악</x:v>
      </x:c>
      <x:c r="V531" s="8" t="str">
        <x:f>IF(T531&lt;&gt;"",T531,U531)</x:f>
        <x:v>산악</x:v>
      </x:c>
      <x:c r="W531" s="8" t="str">
        <x:f>IFERROR(INDEX('서식지_점수'!$E$4:$P$4,1,MATCH(MAXIFS('서식지_점수'!E531:P531,'서식지_점수'!E531:P531,"&lt;"&amp;MAX('서식지_점수'!E531:P531)),'서식지_점수'!E531:P531,0)),"")</x:f>
        <x:v>평원</x:v>
      </x:c>
      <x:c r="X531" s="8" t="str">
        <x:f>IF(T531&lt;&gt;"","수동확정",IF(MAX('서식지_점수'!E531:P531)-LARGE('서식지_점수'!E531:P531,2)&gt;=15,"높음",IF(MAX('서식지_점수'!E531:P531)-LARGE('서식지_점수'!E531:P531,2)&gt;=8,"보통","검토필요")))</x:f>
        <x:v>검토필요</x:v>
      </x:c>
      <x:c r="Y531" s="9" t="n">
        <x:f>IF(Q531="전설",8,IF(Q531="희귀",7,IF(J531="기본",1,IF(J531="중간",3,IF(J531="최종",IF(I531="",5,IF(I531&lt;=20,3,IF(I531&lt;=35,4,IF(I531&lt;=50,6,7)))),IF(Q531="드묾",4,2))))))</x:f>
        <x:v>1</x:v>
      </x:c>
      <x:c r="Z531" s="5" t="inlineStr">
        <x:is>
          <x:t xml:space="preserve">#cobblemon:is_jungle; #cobblemon:is_savanna</x:t>
        </x:is>
      </x:c>
      <x:c r="AA531" s="5" t="inlineStr">
        <x:is>
          <x:t xml:space="preserve">common</x:t>
        </x:is>
      </x:c>
      <x:c r="AB531" s="5" t="inlineStr">
        <x:is>
          <x:t xml:space="preserve">예</x:t>
        </x:is>
      </x:c>
      <x:c r="AC531" s="8" t="str">
        <x:f>IF(T531&lt;&gt;"","수동확정",IF(X531="검토필요","검토필요",IF(S531="","원본없음","초기완료")))</x:f>
        <x:v>검토필요</x:v>
      </x:c>
      <x:c r="AD531" s="7" t="inlineStr">
        <x:is>
          <x:t xml:space="preserve"/>
        </x:is>
      </x:c>
      <x:c r="AE531" s="5" t="inlineStr">
        <x:is>
          <x:t xml:space="preserve">.tmp/cobblemon-1.7.3-source/common/src/main/resources/data/cobblemon/species/generation5/woobat.json</x:t>
        </x:is>
      </x:c>
      <x:c r="AF531" s="5" t="str">
        <x:f>"생활권|"&amp;K531</x:f>
        <x:v>생활권|비행</x:v>
      </x:c>
      <x:c r="AG531" s="5" t="str">
        <x:f>"지형|"&amp;L531</x:f>
        <x:v>지형|수목</x:v>
      </x:c>
      <x:c r="AH531" s="5" t="str">
        <x:f>"온도|"&amp;M531</x:f>
        <x:v>온도|온대</x:v>
      </x:c>
      <x:c r="AI531" s="5" t="str">
        <x:f>"습도|"&amp;N531</x:f>
        <x:v>습도|다습</x:v>
      </x:c>
      <x:c r="AJ531" s="5" t="str">
        <x:f>"날씨|"&amp;O531</x:f>
        <x:v>날씨|무관</x:v>
      </x:c>
      <x:c r="AK531" s="5" t="str">
        <x:f>"특수태그|"&amp;R531</x:f>
        <x:v>특수태그|없음</x:v>
      </x:c>
      <x:c r="AL531" s="5" t="str">
        <x:f>"원본서식지|"&amp;S531</x:f>
        <x:v>원본서식지|숲</x:v>
      </x:c>
      <x:c r="AM531" s="5" t="str">
        <x:f>"타입|"&amp;F531</x:f>
        <x:v>타입|에스퍼</x:v>
      </x:c>
      <x:c r="AN531" s="5" t="str">
        <x:f>"타입|"&amp;G531</x:f>
        <x:v>타입|비행</x:v>
      </x:c>
    </x:row>
    <x:row r="532" ht="24" customHeight="1">
      <x:c r="A532" s="5" t="n">
        <x:v>528</x:v>
      </x:c>
      <x:c r="B532" s="5" t="inlineStr">
        <x:is>
          <x:t xml:space="preserve">맘박쥐</x:t>
        </x:is>
      </x:c>
      <x:c r="C532" s="5" t="inlineStr">
        <x:is>
          <x:t xml:space="preserve">swoobat</x:t>
        </x:is>
      </x:c>
      <x:c r="D532" s="5" t="inlineStr">
        <x:is>
          <x:t xml:space="preserve">Swoobat</x:t>
        </x:is>
      </x:c>
      <x:c r="E532" s="5" t="n">
        <x:v>5</x:v>
      </x:c>
      <x:c r="F532" s="5" t="inlineStr">
        <x:is>
          <x:t xml:space="preserve">에스퍼</x:t>
        </x:is>
      </x:c>
      <x:c r="G532" s="5" t="inlineStr">
        <x:is>
          <x:t xml:space="preserve">비행</x:t>
        </x:is>
      </x:c>
      <x:c r="H532" s="6" t="n">
        <x:v>10.5</x:v>
      </x:c>
      <x:c r="I532" s="5" t="n"/>
      <x:c r="J532" s="5" t="inlineStr">
        <x:is>
          <x:t xml:space="preserve">최종</x:t>
        </x:is>
      </x:c>
      <x:c r="K532" s="7" t="inlineStr">
        <x:is>
          <x:t xml:space="preserve">비행</x:t>
        </x:is>
      </x:c>
      <x:c r="L532" s="7" t="inlineStr">
        <x:is>
          <x:t xml:space="preserve">수목</x:t>
        </x:is>
      </x:c>
      <x:c r="M532" s="7" t="inlineStr">
        <x:is>
          <x:t xml:space="preserve">온대</x:t>
        </x:is>
      </x:c>
      <x:c r="N532" s="7" t="inlineStr">
        <x:is>
          <x:t xml:space="preserve">다습</x:t>
        </x:is>
      </x:c>
      <x:c r="O532" s="7" t="inlineStr">
        <x:is>
          <x:t xml:space="preserve">무관</x:t>
        </x:is>
      </x:c>
      <x:c r="P532" s="7" t="inlineStr">
        <x:is>
          <x:t xml:space="preserve">밤</x:t>
        </x:is>
      </x:c>
      <x:c r="Q532" s="7" t="inlineStr">
        <x:is>
          <x:t xml:space="preserve">흔함</x:t>
        </x:is>
      </x:c>
      <x:c r="R532" s="7" t="inlineStr">
        <x:is>
          <x:t xml:space="preserve">없음</x:t>
        </x:is>
      </x:c>
      <x:c r="S532" s="7" t="inlineStr">
        <x:is>
          <x:t xml:space="preserve">숲</x:t>
        </x:is>
      </x:c>
      <x:c r="T532" s="7" t="inlineStr">
        <x:is>
          <x:t xml:space="preserve"/>
        </x:is>
      </x:c>
      <x:c r="U532" s="8" t="str">
        <x:f>INDEX('서식지_점수'!$E$4:$P$4,1,MATCH(MAX('서식지_점수'!E532:P532),'서식지_점수'!E532:P532,0))</x:f>
        <x:v>산악</x:v>
      </x:c>
      <x:c r="V532" s="8" t="str">
        <x:f>IF(T532&lt;&gt;"",T532,U532)</x:f>
        <x:v>산악</x:v>
      </x:c>
      <x:c r="W532" s="8" t="str">
        <x:f>IFERROR(INDEX('서식지_점수'!$E$4:$P$4,1,MATCH(MAXIFS('서식지_점수'!E532:P532,'서식지_점수'!E532:P532,"&lt;"&amp;MAX('서식지_점수'!E532:P532)),'서식지_점수'!E532:P532,0)),"")</x:f>
        <x:v>평원</x:v>
      </x:c>
      <x:c r="X532" s="8" t="str">
        <x:f>IF(T532&lt;&gt;"","수동확정",IF(MAX('서식지_점수'!E532:P532)-LARGE('서식지_점수'!E532:P532,2)&gt;=15,"높음",IF(MAX('서식지_점수'!E532:P532)-LARGE('서식지_점수'!E532:P532,2)&gt;=8,"보통","검토필요")))</x:f>
        <x:v>검토필요</x:v>
      </x:c>
      <x:c r="Y532" s="9" t="n">
        <x:f>IF(Q532="전설",8,IF(Q532="희귀",7,IF(J532="기본",1,IF(J532="중간",3,IF(J532="최종",IF(I532="",5,IF(I532&lt;=20,3,IF(I532&lt;=35,4,IF(I532&lt;=50,6,7)))),IF(Q532="드묾",4,2))))))</x:f>
        <x:v>5</x:v>
      </x:c>
      <x:c r="Z532" s="5" t="inlineStr">
        <x:is>
          <x:t xml:space="preserve">#cobblemon:is_jungle; #cobblemon:is_savanna</x:t>
        </x:is>
      </x:c>
      <x:c r="AA532" s="5" t="inlineStr">
        <x:is>
          <x:t xml:space="preserve">common</x:t>
        </x:is>
      </x:c>
      <x:c r="AB532" s="5" t="inlineStr">
        <x:is>
          <x:t xml:space="preserve">예</x:t>
        </x:is>
      </x:c>
      <x:c r="AC532" s="8" t="str">
        <x:f>IF(T532&lt;&gt;"","수동확정",IF(X532="검토필요","검토필요",IF(S532="","원본없음","초기완료")))</x:f>
        <x:v>검토필요</x:v>
      </x:c>
      <x:c r="AD532" s="7" t="inlineStr">
        <x:is>
          <x:t xml:space="preserve"/>
        </x:is>
      </x:c>
      <x:c r="AE532" s="5" t="inlineStr">
        <x:is>
          <x:t xml:space="preserve">.tmp/cobblemon-1.7.3-source/common/src/main/resources/data/cobblemon/species/generation5/swoobat.json</x:t>
        </x:is>
      </x:c>
      <x:c r="AF532" s="5" t="str">
        <x:f>"생활권|"&amp;K532</x:f>
        <x:v>생활권|비행</x:v>
      </x:c>
      <x:c r="AG532" s="5" t="str">
        <x:f>"지형|"&amp;L532</x:f>
        <x:v>지형|수목</x:v>
      </x:c>
      <x:c r="AH532" s="5" t="str">
        <x:f>"온도|"&amp;M532</x:f>
        <x:v>온도|온대</x:v>
      </x:c>
      <x:c r="AI532" s="5" t="str">
        <x:f>"습도|"&amp;N532</x:f>
        <x:v>습도|다습</x:v>
      </x:c>
      <x:c r="AJ532" s="5" t="str">
        <x:f>"날씨|"&amp;O532</x:f>
        <x:v>날씨|무관</x:v>
      </x:c>
      <x:c r="AK532" s="5" t="str">
        <x:f>"특수태그|"&amp;R532</x:f>
        <x:v>특수태그|없음</x:v>
      </x:c>
      <x:c r="AL532" s="5" t="str">
        <x:f>"원본서식지|"&amp;S532</x:f>
        <x:v>원본서식지|숲</x:v>
      </x:c>
      <x:c r="AM532" s="5" t="str">
        <x:f>"타입|"&amp;F532</x:f>
        <x:v>타입|에스퍼</x:v>
      </x:c>
      <x:c r="AN532" s="5" t="str">
        <x:f>"타입|"&amp;G532</x:f>
        <x:v>타입|비행</x:v>
      </x:c>
    </x:row>
    <x:row r="533" ht="24" customHeight="1">
      <x:c r="A533" s="5" t="n">
        <x:v>529</x:v>
      </x:c>
      <x:c r="B533" s="5" t="inlineStr">
        <x:is>
          <x:t xml:space="preserve">두더류</x:t>
        </x:is>
      </x:c>
      <x:c r="C533" s="5" t="inlineStr">
        <x:is>
          <x:t xml:space="preserve">drilbur</x:t>
        </x:is>
      </x:c>
      <x:c r="D533" s="5" t="inlineStr">
        <x:is>
          <x:t xml:space="preserve">Drilbur</x:t>
        </x:is>
      </x:c>
      <x:c r="E533" s="5" t="n">
        <x:v>5</x:v>
      </x:c>
      <x:c r="F533" s="5" t="inlineStr">
        <x:is>
          <x:t xml:space="preserve">땅</x:t>
        </x:is>
      </x:c>
      <x:c r="G533" s="5" t="inlineStr">
        <x:is>
          <x:t xml:space="preserve"/>
        </x:is>
      </x:c>
      <x:c r="H533" s="6" t="n">
        <x:v>8.5</x:v>
      </x:c>
      <x:c r="I533" s="5" t="n">
        <x:v>31</x:v>
      </x:c>
      <x:c r="J533" s="5" t="inlineStr">
        <x:is>
          <x:t xml:space="preserve">기본</x:t>
        </x:is>
      </x:c>
      <x:c r="K533" s="7" t="inlineStr">
        <x:is>
          <x:t xml:space="preserve">육상</x:t>
        </x:is>
      </x:c>
      <x:c r="L533" s="7" t="inlineStr">
        <x:is>
          <x:t xml:space="preserve">암석</x:t>
        </x:is>
      </x:c>
      <x:c r="M533" s="7" t="inlineStr">
        <x:is>
          <x:t xml:space="preserve">온대</x:t>
        </x:is>
      </x:c>
      <x:c r="N533" s="7" t="inlineStr">
        <x:is>
          <x:t xml:space="preserve">보통</x:t>
        </x:is>
      </x:c>
      <x:c r="O533" s="7" t="inlineStr">
        <x:is>
          <x:t xml:space="preserve">무관</x:t>
        </x:is>
      </x:c>
      <x:c r="P533" s="7" t="inlineStr">
        <x:is>
          <x:t xml:space="preserve">무관</x:t>
        </x:is>
      </x:c>
      <x:c r="Q533" s="7" t="inlineStr">
        <x:is>
          <x:t xml:space="preserve">흔함</x:t>
        </x:is>
      </x:c>
      <x:c r="R533" s="7" t="inlineStr">
        <x:is>
          <x:t xml:space="preserve">없음</x:t>
        </x:is>
      </x:c>
      <x:c r="S533" s="7" t="inlineStr">
        <x:is>
          <x:t xml:space="preserve"/>
        </x:is>
      </x:c>
      <x:c r="T533" s="7" t="inlineStr">
        <x:is>
          <x:t xml:space="preserve"/>
        </x:is>
      </x:c>
      <x:c r="U533" s="8" t="str">
        <x:f>INDEX('서식지_점수'!$E$4:$P$4,1,MATCH(MAX('서식지_점수'!E533:P533),'서식지_점수'!E533:P533,0))</x:f>
        <x:v>평원</x:v>
      </x:c>
      <x:c r="V533" s="8" t="str">
        <x:f>IF(T533&lt;&gt;"",T533,U533)</x:f>
        <x:v>평원</x:v>
      </x:c>
      <x:c r="W533" s="8" t="str">
        <x:f>IFERROR(INDEX('서식지_점수'!$E$4:$P$4,1,MATCH(MAXIFS('서식지_점수'!E533:P533,'서식지_점수'!E533:P533,"&lt;"&amp;MAX('서식지_점수'!E533:P533)),'서식지_점수'!E533:P533,0)),"")</x:f>
        <x:v>숲</x:v>
      </x:c>
      <x:c r="X533" s="8" t="str">
        <x:f>IF(T533&lt;&gt;"","수동확정",IF(MAX('서식지_점수'!E533:P533)-LARGE('서식지_점수'!E533:P533,2)&gt;=15,"높음",IF(MAX('서식지_점수'!E533:P533)-LARGE('서식지_점수'!E533:P533,2)&gt;=8,"보통","검토필요")))</x:f>
        <x:v>검토필요</x:v>
      </x:c>
      <x:c r="Y533" s="9" t="n">
        <x:f>IF(Q533="전설",8,IF(Q533="희귀",7,IF(J533="기본",1,IF(J533="중간",3,IF(J533="최종",IF(I533="",5,IF(I533&lt;=20,3,IF(I533&lt;=35,4,IF(I533&lt;=50,6,7)))),IF(Q533="드묾",4,2))))))</x:f>
        <x:v>1</x:v>
      </x:c>
      <x:c r="Z533" s="5" t="inlineStr">
        <x:is>
          <x:t xml:space="preserve">#cobblemon:is_overworld</x:t>
        </x:is>
      </x:c>
      <x:c r="AA533" s="5" t="inlineStr">
        <x:is>
          <x:t xml:space="preserve">common</x:t>
        </x:is>
      </x:c>
      <x:c r="AB533" s="5" t="inlineStr">
        <x:is>
          <x:t xml:space="preserve">예</x:t>
        </x:is>
      </x:c>
      <x:c r="AC533" s="8" t="str">
        <x:f>IF(T533&lt;&gt;"","수동확정",IF(X533="검토필요","검토필요",IF(S533="","원본없음","초기완료")))</x:f>
        <x:v>검토필요</x:v>
      </x:c>
      <x:c r="AD533" s="7" t="inlineStr">
        <x:is>
          <x:t xml:space="preserve"/>
        </x:is>
      </x:c>
      <x:c r="AE533" s="5" t="inlineStr">
        <x:is>
          <x:t xml:space="preserve">.tmp/cobblemon-1.7.3-source/common/src/main/resources/data/cobblemon/species/generation5/drilbur.json</x:t>
        </x:is>
      </x:c>
      <x:c r="AF533" s="5" t="str">
        <x:f>"생활권|"&amp;K533</x:f>
        <x:v>생활권|육상</x:v>
      </x:c>
      <x:c r="AG533" s="5" t="str">
        <x:f>"지형|"&amp;L533</x:f>
        <x:v>지형|암석</x:v>
      </x:c>
      <x:c r="AH533" s="5" t="str">
        <x:f>"온도|"&amp;M533</x:f>
        <x:v>온도|온대</x:v>
      </x:c>
      <x:c r="AI533" s="5" t="str">
        <x:f>"습도|"&amp;N533</x:f>
        <x:v>습도|보통</x:v>
      </x:c>
      <x:c r="AJ533" s="5" t="str">
        <x:f>"날씨|"&amp;O533</x:f>
        <x:v>날씨|무관</x:v>
      </x:c>
      <x:c r="AK533" s="5" t="str">
        <x:f>"특수태그|"&amp;R533</x:f>
        <x:v>특수태그|없음</x:v>
      </x:c>
      <x:c r="AL533" s="5" t="str">
        <x:f>"원본서식지|"&amp;S533</x:f>
        <x:v>원본서식지|</x:v>
      </x:c>
      <x:c r="AM533" s="5" t="str">
        <x:f>"타입|"&amp;F533</x:f>
        <x:v>타입|땅</x:v>
      </x:c>
      <x:c r="AN533" s="5" t="str">
        <x:f>"타입|"&amp;G533</x:f>
        <x:v>타입|</x:v>
      </x:c>
    </x:row>
    <x:row r="534" ht="24" customHeight="1">
      <x:c r="A534" s="5" t="n">
        <x:v>530</x:v>
      </x:c>
      <x:c r="B534" s="5" t="inlineStr">
        <x:is>
          <x:t xml:space="preserve">몰드류</x:t>
        </x:is>
      </x:c>
      <x:c r="C534" s="5" t="inlineStr">
        <x:is>
          <x:t xml:space="preserve">excadrill</x:t>
        </x:is>
      </x:c>
      <x:c r="D534" s="5" t="inlineStr">
        <x:is>
          <x:t xml:space="preserve">Excadrill</x:t>
        </x:is>
      </x:c>
      <x:c r="E534" s="5" t="n">
        <x:v>5</x:v>
      </x:c>
      <x:c r="F534" s="5" t="inlineStr">
        <x:is>
          <x:t xml:space="preserve">땅</x:t>
        </x:is>
      </x:c>
      <x:c r="G534" s="5" t="inlineStr">
        <x:is>
          <x:t xml:space="preserve">강철</x:t>
        </x:is>
      </x:c>
      <x:c r="H534" s="6" t="n">
        <x:v>40.4</x:v>
      </x:c>
      <x:c r="I534" s="5" t="n">
        <x:v>31</x:v>
      </x:c>
      <x:c r="J534" s="5" t="inlineStr">
        <x:is>
          <x:t xml:space="preserve">최종</x:t>
        </x:is>
      </x:c>
      <x:c r="K534" s="7" t="inlineStr">
        <x:is>
          <x:t xml:space="preserve">육상</x:t>
        </x:is>
      </x:c>
      <x:c r="L534" s="7" t="inlineStr">
        <x:is>
          <x:t xml:space="preserve">암석</x:t>
        </x:is>
      </x:c>
      <x:c r="M534" s="7" t="inlineStr">
        <x:is>
          <x:t xml:space="preserve">온대</x:t>
        </x:is>
      </x:c>
      <x:c r="N534" s="7" t="inlineStr">
        <x:is>
          <x:t xml:space="preserve">보통</x:t>
        </x:is>
      </x:c>
      <x:c r="O534" s="7" t="inlineStr">
        <x:is>
          <x:t xml:space="preserve">무관</x:t>
        </x:is>
      </x:c>
      <x:c r="P534" s="7" t="inlineStr">
        <x:is>
          <x:t xml:space="preserve">무관</x:t>
        </x:is>
      </x:c>
      <x:c r="Q534" s="7" t="inlineStr">
        <x:is>
          <x:t xml:space="preserve">흔함</x:t>
        </x:is>
      </x:c>
      <x:c r="R534" s="7" t="inlineStr">
        <x:is>
          <x:t xml:space="preserve">없음</x:t>
        </x:is>
      </x:c>
      <x:c r="S534" s="7" t="inlineStr">
        <x:is>
          <x:t xml:space="preserve"/>
        </x:is>
      </x:c>
      <x:c r="T534" s="7" t="inlineStr">
        <x:is>
          <x:t xml:space="preserve"/>
        </x:is>
      </x:c>
      <x:c r="U534" s="8" t="str">
        <x:f>INDEX('서식지_점수'!$E$4:$P$4,1,MATCH(MAX('서식지_점수'!E534:P534),'서식지_점수'!E534:P534,0))</x:f>
        <x:v>평원</x:v>
      </x:c>
      <x:c r="V534" s="8" t="str">
        <x:f>IF(T534&lt;&gt;"",T534,U534)</x:f>
        <x:v>평원</x:v>
      </x:c>
      <x:c r="W534" s="8" t="str">
        <x:f>IFERROR(INDEX('서식지_점수'!$E$4:$P$4,1,MATCH(MAXIFS('서식지_점수'!E534:P534,'서식지_점수'!E534:P534,"&lt;"&amp;MAX('서식지_점수'!E534:P534)),'서식지_점수'!E534:P534,0)),"")</x:f>
        <x:v>숲</x:v>
      </x:c>
      <x:c r="X534" s="8" t="str">
        <x:f>IF(T534&lt;&gt;"","수동확정",IF(MAX('서식지_점수'!E534:P534)-LARGE('서식지_점수'!E534:P534,2)&gt;=15,"높음",IF(MAX('서식지_점수'!E534:P534)-LARGE('서식지_점수'!E534:P534,2)&gt;=8,"보통","검토필요")))</x:f>
        <x:v>검토필요</x:v>
      </x:c>
      <x:c r="Y534" s="9" t="n">
        <x:f>IF(Q534="전설",8,IF(Q534="희귀",7,IF(J534="기본",1,IF(J534="중간",3,IF(J534="최종",IF(I534="",5,IF(I534&lt;=20,3,IF(I534&lt;=35,4,IF(I534&lt;=50,6,7)))),IF(Q534="드묾",4,2))))))</x:f>
        <x:v>4</x:v>
      </x:c>
      <x:c r="Z534" s="5" t="inlineStr">
        <x:is>
          <x:t xml:space="preserve">#cobblemon:is_overworld</x:t>
        </x:is>
      </x:c>
      <x:c r="AA534" s="5" t="inlineStr">
        <x:is>
          <x:t xml:space="preserve">common</x:t>
        </x:is>
      </x:c>
      <x:c r="AB534" s="5" t="inlineStr">
        <x:is>
          <x:t xml:space="preserve">예</x:t>
        </x:is>
      </x:c>
      <x:c r="AC534" s="8" t="str">
        <x:f>IF(T534&lt;&gt;"","수동확정",IF(X534="검토필요","검토필요",IF(S534="","원본없음","초기완료")))</x:f>
        <x:v>검토필요</x:v>
      </x:c>
      <x:c r="AD534" s="7" t="inlineStr">
        <x:is>
          <x:t xml:space="preserve"/>
        </x:is>
      </x:c>
      <x:c r="AE534" s="5" t="inlineStr">
        <x:is>
          <x:t xml:space="preserve">.tmp/cobblemon-1.7.3-source/common/src/main/resources/data/cobblemon/species/generation5/excadrill.json</x:t>
        </x:is>
      </x:c>
      <x:c r="AF534" s="5" t="str">
        <x:f>"생활권|"&amp;K534</x:f>
        <x:v>생활권|육상</x:v>
      </x:c>
      <x:c r="AG534" s="5" t="str">
        <x:f>"지형|"&amp;L534</x:f>
        <x:v>지형|암석</x:v>
      </x:c>
      <x:c r="AH534" s="5" t="str">
        <x:f>"온도|"&amp;M534</x:f>
        <x:v>온도|온대</x:v>
      </x:c>
      <x:c r="AI534" s="5" t="str">
        <x:f>"습도|"&amp;N534</x:f>
        <x:v>습도|보통</x:v>
      </x:c>
      <x:c r="AJ534" s="5" t="str">
        <x:f>"날씨|"&amp;O534</x:f>
        <x:v>날씨|무관</x:v>
      </x:c>
      <x:c r="AK534" s="5" t="str">
        <x:f>"특수태그|"&amp;R534</x:f>
        <x:v>특수태그|없음</x:v>
      </x:c>
      <x:c r="AL534" s="5" t="str">
        <x:f>"원본서식지|"&amp;S534</x:f>
        <x:v>원본서식지|</x:v>
      </x:c>
      <x:c r="AM534" s="5" t="str">
        <x:f>"타입|"&amp;F534</x:f>
        <x:v>타입|땅</x:v>
      </x:c>
      <x:c r="AN534" s="5" t="str">
        <x:f>"타입|"&amp;G534</x:f>
        <x:v>타입|강철</x:v>
      </x:c>
    </x:row>
    <x:row r="535" ht="24" customHeight="1">
      <x:c r="A535" s="5" t="n">
        <x:v>531</x:v>
      </x:c>
      <x:c r="B535" s="5" t="inlineStr">
        <x:is>
          <x:t xml:space="preserve">다부니</x:t>
        </x:is>
      </x:c>
      <x:c r="C535" s="5" t="inlineStr">
        <x:is>
          <x:t xml:space="preserve">audino</x:t>
        </x:is>
      </x:c>
      <x:c r="D535" s="5" t="inlineStr">
        <x:is>
          <x:t xml:space="preserve">Audino</x:t>
        </x:is>
      </x:c>
      <x:c r="E535" s="5" t="n">
        <x:v>5</x:v>
      </x:c>
      <x:c r="F535" s="5" t="inlineStr">
        <x:is>
          <x:t xml:space="preserve">노말</x:t>
        </x:is>
      </x:c>
      <x:c r="G535" s="5" t="inlineStr">
        <x:is>
          <x:t xml:space="preserve"/>
        </x:is>
      </x:c>
      <x:c r="H535" s="6" t="n">
        <x:v>31</x:v>
      </x:c>
      <x:c r="I535" s="5" t="n"/>
      <x:c r="J535" s="5" t="inlineStr">
        <x:is>
          <x:t xml:space="preserve">무진화</x:t>
        </x:is>
      </x:c>
      <x:c r="K535" s="7" t="inlineStr">
        <x:is>
          <x:t xml:space="preserve">육상</x:t>
        </x:is>
      </x:c>
      <x:c r="L535" s="7" t="inlineStr">
        <x:is>
          <x:t xml:space="preserve">암석</x:t>
        </x:is>
      </x:c>
      <x:c r="M535" s="7" t="inlineStr">
        <x:is>
          <x:t xml:space="preserve">온대</x:t>
        </x:is>
      </x:c>
      <x:c r="N535" s="7" t="inlineStr">
        <x:is>
          <x:t xml:space="preserve">보통</x:t>
        </x:is>
      </x:c>
      <x:c r="O535" s="7" t="inlineStr">
        <x:is>
          <x:t xml:space="preserve">무관</x:t>
        </x:is>
      </x:c>
      <x:c r="P535" s="7" t="inlineStr">
        <x:is>
          <x:t xml:space="preserve">무관</x:t>
        </x:is>
      </x:c>
      <x:c r="Q535" s="7" t="inlineStr">
        <x:is>
          <x:t xml:space="preserve">드묾</x:t>
        </x:is>
      </x:c>
      <x:c r="R535" s="7" t="inlineStr">
        <x:is>
          <x:t xml:space="preserve">없음</x:t>
        </x:is>
      </x:c>
      <x:c r="S535" s="7" t="inlineStr">
        <x:is>
          <x:t xml:space="preserve">산악</x:t>
        </x:is>
      </x:c>
      <x:c r="T535" s="7" t="inlineStr">
        <x:is>
          <x:t xml:space="preserve"/>
        </x:is>
      </x:c>
      <x:c r="U535" s="8" t="str">
        <x:f>INDEX('서식지_점수'!$E$4:$P$4,1,MATCH(MAX('서식지_점수'!E535:P535),'서식지_점수'!E535:P535,0))</x:f>
        <x:v>평원</x:v>
      </x:c>
      <x:c r="V535" s="8" t="str">
        <x:f>IF(T535&lt;&gt;"",T535,U535)</x:f>
        <x:v>평원</x:v>
      </x:c>
      <x:c r="W535" s="8" t="str">
        <x:f>IFERROR(INDEX('서식지_점수'!$E$4:$P$4,1,MATCH(MAXIFS('서식지_점수'!E535:P535,'서식지_점수'!E535:P535,"&lt;"&amp;MAX('서식지_점수'!E535:P535)),'서식지_점수'!E535:P535,0)),"")</x:f>
        <x:v>숲</x:v>
      </x:c>
      <x:c r="X535" s="8" t="str">
        <x:f>IF(T535&lt;&gt;"","수동확정",IF(MAX('서식지_점수'!E535:P535)-LARGE('서식지_점수'!E535:P535,2)&gt;=15,"높음",IF(MAX('서식지_점수'!E535:P535)-LARGE('서식지_점수'!E535:P535,2)&gt;=8,"보통","검토필요")))</x:f>
        <x:v>검토필요</x:v>
      </x:c>
      <x:c r="Y535" s="9" t="n">
        <x:f>IF(Q535="전설",8,IF(Q535="희귀",7,IF(J535="기본",1,IF(J535="중간",3,IF(J535="최종",IF(I535="",5,IF(I535&lt;=20,3,IF(I535&lt;=35,4,IF(I535&lt;=50,6,7)))),IF(Q535="드묾",4,2))))))</x:f>
        <x:v>4</x:v>
      </x:c>
      <x:c r="Z535" s="5" t="inlineStr">
        <x:is>
          <x:t xml:space="preserve">#cobblemon:is_forest; #cobblemon:is_highlands; #cobblemon:is_plains</x:t>
        </x:is>
      </x:c>
      <x:c r="AA535" s="5" t="inlineStr">
        <x:is>
          <x:t xml:space="preserve">rare</x:t>
        </x:is>
      </x:c>
      <x:c r="AB535" s="5" t="inlineStr">
        <x:is>
          <x:t xml:space="preserve">아니오</x:t>
        </x:is>
      </x:c>
      <x:c r="AC535" s="8" t="str">
        <x:f>IF(T535&lt;&gt;"","수동확정",IF(X535="검토필요","검토필요",IF(S535="","원본없음","초기완료")))</x:f>
        <x:v>검토필요</x:v>
      </x:c>
      <x:c r="AD535" s="7" t="inlineStr">
        <x:is>
          <x:t xml:space="preserve"/>
        </x:is>
      </x:c>
      <x:c r="AE535" s="5" t="inlineStr">
        <x:is>
          <x:t xml:space="preserve">.tmp/cobblemon-1.7.3-source/common/src/main/resources/data/cobblemon/species/generation5/audino.json</x:t>
        </x:is>
      </x:c>
      <x:c r="AF535" s="5" t="str">
        <x:f>"생활권|"&amp;K535</x:f>
        <x:v>생활권|육상</x:v>
      </x:c>
      <x:c r="AG535" s="5" t="str">
        <x:f>"지형|"&amp;L535</x:f>
        <x:v>지형|암석</x:v>
      </x:c>
      <x:c r="AH535" s="5" t="str">
        <x:f>"온도|"&amp;M535</x:f>
        <x:v>온도|온대</x:v>
      </x:c>
      <x:c r="AI535" s="5" t="str">
        <x:f>"습도|"&amp;N535</x:f>
        <x:v>습도|보통</x:v>
      </x:c>
      <x:c r="AJ535" s="5" t="str">
        <x:f>"날씨|"&amp;O535</x:f>
        <x:v>날씨|무관</x:v>
      </x:c>
      <x:c r="AK535" s="5" t="str">
        <x:f>"특수태그|"&amp;R535</x:f>
        <x:v>특수태그|없음</x:v>
      </x:c>
      <x:c r="AL535" s="5" t="str">
        <x:f>"원본서식지|"&amp;S535</x:f>
        <x:v>원본서식지|산악</x:v>
      </x:c>
      <x:c r="AM535" s="5" t="str">
        <x:f>"타입|"&amp;F535</x:f>
        <x:v>타입|노말</x:v>
      </x:c>
      <x:c r="AN535" s="5" t="str">
        <x:f>"타입|"&amp;G535</x:f>
        <x:v>타입|</x:v>
      </x:c>
    </x:row>
    <x:row r="536" ht="24" customHeight="1">
      <x:c r="A536" s="5" t="n">
        <x:v>532</x:v>
      </x:c>
      <x:c r="B536" s="5" t="inlineStr">
        <x:is>
          <x:t xml:space="preserve">으랏차</x:t>
        </x:is>
      </x:c>
      <x:c r="C536" s="5" t="inlineStr">
        <x:is>
          <x:t xml:space="preserve">timburr</x:t>
        </x:is>
      </x:c>
      <x:c r="D536" s="5" t="inlineStr">
        <x:is>
          <x:t xml:space="preserve">Timburr</x:t>
        </x:is>
      </x:c>
      <x:c r="E536" s="5" t="n">
        <x:v>5</x:v>
      </x:c>
      <x:c r="F536" s="5" t="inlineStr">
        <x:is>
          <x:t xml:space="preserve">격투</x:t>
        </x:is>
      </x:c>
      <x:c r="G536" s="5" t="inlineStr">
        <x:is>
          <x:t xml:space="preserve"/>
        </x:is>
      </x:c>
      <x:c r="H536" s="6" t="n">
        <x:v>12.5</x:v>
      </x:c>
      <x:c r="I536" s="5" t="n">
        <x:v>25</x:v>
      </x:c>
      <x:c r="J536" s="5" t="inlineStr">
        <x:is>
          <x:t xml:space="preserve">기본</x:t>
        </x:is>
      </x:c>
      <x:c r="K536" s="7" t="inlineStr">
        <x:is>
          <x:t xml:space="preserve">육상</x:t>
        </x:is>
      </x:c>
      <x:c r="L536" s="7" t="inlineStr">
        <x:is>
          <x:t xml:space="preserve">개활지</x:t>
        </x:is>
      </x:c>
      <x:c r="M536" s="7" t="inlineStr">
        <x:is>
          <x:t xml:space="preserve">온대</x:t>
        </x:is>
      </x:c>
      <x:c r="N536" s="7" t="inlineStr">
        <x:is>
          <x:t xml:space="preserve">보통</x:t>
        </x:is>
      </x:c>
      <x:c r="O536" s="7" t="inlineStr">
        <x:is>
          <x:t xml:space="preserve">무관</x:t>
        </x:is>
      </x:c>
      <x:c r="P536" s="7" t="inlineStr">
        <x:is>
          <x:t xml:space="preserve">무관</x:t>
        </x:is>
      </x:c>
      <x:c r="Q536" s="7" t="inlineStr">
        <x:is>
          <x:t xml:space="preserve">흔함</x:t>
        </x:is>
      </x:c>
      <x:c r="R536" s="7" t="inlineStr">
        <x:is>
          <x:t xml:space="preserve">없음</x:t>
        </x:is>
      </x:c>
      <x:c r="S536" s="7" t="inlineStr">
        <x:is>
          <x:t xml:space="preserve"/>
        </x:is>
      </x:c>
      <x:c r="T536" s="7" t="inlineStr">
        <x:is>
          <x:t xml:space="preserve"/>
        </x:is>
      </x:c>
      <x:c r="U536" s="8" t="str">
        <x:f>INDEX('서식지_점수'!$E$4:$P$4,1,MATCH(MAX('서식지_점수'!E536:P536),'서식지_점수'!E536:P536,0))</x:f>
        <x:v>평원</x:v>
      </x:c>
      <x:c r="V536" s="8" t="str">
        <x:f>IF(T536&lt;&gt;"",T536,U536)</x:f>
        <x:v>평원</x:v>
      </x:c>
      <x:c r="W536" s="8" t="str">
        <x:f>IFERROR(INDEX('서식지_점수'!$E$4:$P$4,1,MATCH(MAXIFS('서식지_점수'!E536:P536,'서식지_점수'!E536:P536,"&lt;"&amp;MAX('서식지_점수'!E536:P536)),'서식지_점수'!E536:P536,0)),"")</x:f>
        <x:v>숲</x:v>
      </x:c>
      <x:c r="X536" s="8" t="str">
        <x:f>IF(T536&lt;&gt;"","수동확정",IF(MAX('서식지_점수'!E536:P536)-LARGE('서식지_점수'!E536:P536,2)&gt;=15,"높음",IF(MAX('서식지_점수'!E536:P536)-LARGE('서식지_점수'!E536:P536,2)&gt;=8,"보통","검토필요")))</x:f>
        <x:v>검토필요</x:v>
      </x:c>
      <x:c r="Y536" s="9" t="n">
        <x:f>IF(Q536="전설",8,IF(Q536="희귀",7,IF(J536="기본",1,IF(J536="중간",3,IF(J536="최종",IF(I536="",5,IF(I536&lt;=20,3,IF(I536&lt;=35,4,IF(I536&lt;=50,6,7)))),IF(Q536="드묾",4,2))))))</x:f>
        <x:v>1</x:v>
      </x:c>
      <x:c r="Z536" s="5" t="inlineStr">
        <x:is>
          <x:t xml:space="preserve">#cobblemon:is_overworld</x:t>
        </x:is>
      </x:c>
      <x:c r="AA536" s="5" t="inlineStr">
        <x:is>
          <x:t xml:space="preserve">common</x:t>
        </x:is>
      </x:c>
      <x:c r="AB536" s="5" t="inlineStr">
        <x:is>
          <x:t xml:space="preserve">예</x:t>
        </x:is>
      </x:c>
      <x:c r="AC536" s="8" t="str">
        <x:f>IF(T536&lt;&gt;"","수동확정",IF(X536="검토필요","검토필요",IF(S536="","원본없음","초기완료")))</x:f>
        <x:v>검토필요</x:v>
      </x:c>
      <x:c r="AD536" s="7" t="inlineStr">
        <x:is>
          <x:t xml:space="preserve"/>
        </x:is>
      </x:c>
      <x:c r="AE536" s="5" t="inlineStr">
        <x:is>
          <x:t xml:space="preserve">.tmp/cobblemon-1.7.3-source/common/src/main/resources/data/cobblemon/species/generation5/timburr.json</x:t>
        </x:is>
      </x:c>
      <x:c r="AF536" s="5" t="str">
        <x:f>"생활권|"&amp;K536</x:f>
        <x:v>생활권|육상</x:v>
      </x:c>
      <x:c r="AG536" s="5" t="str">
        <x:f>"지형|"&amp;L536</x:f>
        <x:v>지형|개활지</x:v>
      </x:c>
      <x:c r="AH536" s="5" t="str">
        <x:f>"온도|"&amp;M536</x:f>
        <x:v>온도|온대</x:v>
      </x:c>
      <x:c r="AI536" s="5" t="str">
        <x:f>"습도|"&amp;N536</x:f>
        <x:v>습도|보통</x:v>
      </x:c>
      <x:c r="AJ536" s="5" t="str">
        <x:f>"날씨|"&amp;O536</x:f>
        <x:v>날씨|무관</x:v>
      </x:c>
      <x:c r="AK536" s="5" t="str">
        <x:f>"특수태그|"&amp;R536</x:f>
        <x:v>특수태그|없음</x:v>
      </x:c>
      <x:c r="AL536" s="5" t="str">
        <x:f>"원본서식지|"&amp;S536</x:f>
        <x:v>원본서식지|</x:v>
      </x:c>
      <x:c r="AM536" s="5" t="str">
        <x:f>"타입|"&amp;F536</x:f>
        <x:v>타입|격투</x:v>
      </x:c>
      <x:c r="AN536" s="5" t="str">
        <x:f>"타입|"&amp;G536</x:f>
        <x:v>타입|</x:v>
      </x:c>
    </x:row>
    <x:row r="537" ht="24" customHeight="1">
      <x:c r="A537" s="5" t="n">
        <x:v>533</x:v>
      </x:c>
      <x:c r="B537" s="5" t="inlineStr">
        <x:is>
          <x:t xml:space="preserve">토쇠골</x:t>
        </x:is>
      </x:c>
      <x:c r="C537" s="5" t="inlineStr">
        <x:is>
          <x:t xml:space="preserve">gurdurr</x:t>
        </x:is>
      </x:c>
      <x:c r="D537" s="5" t="inlineStr">
        <x:is>
          <x:t xml:space="preserve">Gurdurr</x:t>
        </x:is>
      </x:c>
      <x:c r="E537" s="5" t="n">
        <x:v>5</x:v>
      </x:c>
      <x:c r="F537" s="5" t="inlineStr">
        <x:is>
          <x:t xml:space="preserve">격투</x:t>
        </x:is>
      </x:c>
      <x:c r="G537" s="5" t="inlineStr">
        <x:is>
          <x:t xml:space="preserve"/>
        </x:is>
      </x:c>
      <x:c r="H537" s="6" t="n">
        <x:v>40</x:v>
      </x:c>
      <x:c r="I537" s="5" t="n">
        <x:v>25</x:v>
      </x:c>
      <x:c r="J537" s="5" t="inlineStr">
        <x:is>
          <x:t xml:space="preserve">중간</x:t>
        </x:is>
      </x:c>
      <x:c r="K537" s="7" t="inlineStr">
        <x:is>
          <x:t xml:space="preserve">육상</x:t>
        </x:is>
      </x:c>
      <x:c r="L537" s="7" t="inlineStr">
        <x:is>
          <x:t xml:space="preserve">개활지</x:t>
        </x:is>
      </x:c>
      <x:c r="M537" s="7" t="inlineStr">
        <x:is>
          <x:t xml:space="preserve">온대</x:t>
        </x:is>
      </x:c>
      <x:c r="N537" s="7" t="inlineStr">
        <x:is>
          <x:t xml:space="preserve">보통</x:t>
        </x:is>
      </x:c>
      <x:c r="O537" s="7" t="inlineStr">
        <x:is>
          <x:t xml:space="preserve">무관</x:t>
        </x:is>
      </x:c>
      <x:c r="P537" s="7" t="inlineStr">
        <x:is>
          <x:t xml:space="preserve">무관</x:t>
        </x:is>
      </x:c>
      <x:c r="Q537" s="7" t="inlineStr">
        <x:is>
          <x:t xml:space="preserve">흔함</x:t>
        </x:is>
      </x:c>
      <x:c r="R537" s="7" t="inlineStr">
        <x:is>
          <x:t xml:space="preserve">없음</x:t>
        </x:is>
      </x:c>
      <x:c r="S537" s="7" t="inlineStr">
        <x:is>
          <x:t xml:space="preserve"/>
        </x:is>
      </x:c>
      <x:c r="T537" s="7" t="inlineStr">
        <x:is>
          <x:t xml:space="preserve"/>
        </x:is>
      </x:c>
      <x:c r="U537" s="8" t="str">
        <x:f>INDEX('서식지_점수'!$E$4:$P$4,1,MATCH(MAX('서식지_점수'!E537:P537),'서식지_점수'!E537:P537,0))</x:f>
        <x:v>평원</x:v>
      </x:c>
      <x:c r="V537" s="8" t="str">
        <x:f>IF(T537&lt;&gt;"",T537,U537)</x:f>
        <x:v>평원</x:v>
      </x:c>
      <x:c r="W537" s="8" t="str">
        <x:f>IFERROR(INDEX('서식지_점수'!$E$4:$P$4,1,MATCH(MAXIFS('서식지_점수'!E537:P537,'서식지_점수'!E537:P537,"&lt;"&amp;MAX('서식지_점수'!E537:P537)),'서식지_점수'!E537:P537,0)),"")</x:f>
        <x:v>숲</x:v>
      </x:c>
      <x:c r="X537" s="8" t="str">
        <x:f>IF(T537&lt;&gt;"","수동확정",IF(MAX('서식지_점수'!E537:P537)-LARGE('서식지_점수'!E537:P537,2)&gt;=15,"높음",IF(MAX('서식지_점수'!E537:P537)-LARGE('서식지_점수'!E537:P537,2)&gt;=8,"보통","검토필요")))</x:f>
        <x:v>검토필요</x:v>
      </x:c>
      <x:c r="Y537" s="9" t="n">
        <x:f>IF(Q537="전설",8,IF(Q537="희귀",7,IF(J537="기본",1,IF(J537="중간",3,IF(J537="최종",IF(I537="",5,IF(I537&lt;=20,3,IF(I537&lt;=35,4,IF(I537&lt;=50,6,7)))),IF(Q537="드묾",4,2))))))</x:f>
        <x:v>3</x:v>
      </x:c>
      <x:c r="Z537" s="5" t="inlineStr">
        <x:is>
          <x:t xml:space="preserve">#cobblemon:is_overworld</x:t>
        </x:is>
      </x:c>
      <x:c r="AA537" s="5" t="inlineStr">
        <x:is>
          <x:t xml:space="preserve">common</x:t>
        </x:is>
      </x:c>
      <x:c r="AB537" s="5" t="inlineStr">
        <x:is>
          <x:t xml:space="preserve">예</x:t>
        </x:is>
      </x:c>
      <x:c r="AC537" s="8" t="str">
        <x:f>IF(T537&lt;&gt;"","수동확정",IF(X537="검토필요","검토필요",IF(S537="","원본없음","초기완료")))</x:f>
        <x:v>검토필요</x:v>
      </x:c>
      <x:c r="AD537" s="7" t="inlineStr">
        <x:is>
          <x:t xml:space="preserve"/>
        </x:is>
      </x:c>
      <x:c r="AE537" s="5" t="inlineStr">
        <x:is>
          <x:t xml:space="preserve">.tmp/cobblemon-1.7.3-source/common/src/main/resources/data/cobblemon/species/generation5/gurdurr.json</x:t>
        </x:is>
      </x:c>
      <x:c r="AF537" s="5" t="str">
        <x:f>"생활권|"&amp;K537</x:f>
        <x:v>생활권|육상</x:v>
      </x:c>
      <x:c r="AG537" s="5" t="str">
        <x:f>"지형|"&amp;L537</x:f>
        <x:v>지형|개활지</x:v>
      </x:c>
      <x:c r="AH537" s="5" t="str">
        <x:f>"온도|"&amp;M537</x:f>
        <x:v>온도|온대</x:v>
      </x:c>
      <x:c r="AI537" s="5" t="str">
        <x:f>"습도|"&amp;N537</x:f>
        <x:v>습도|보통</x:v>
      </x:c>
      <x:c r="AJ537" s="5" t="str">
        <x:f>"날씨|"&amp;O537</x:f>
        <x:v>날씨|무관</x:v>
      </x:c>
      <x:c r="AK537" s="5" t="str">
        <x:f>"특수태그|"&amp;R537</x:f>
        <x:v>특수태그|없음</x:v>
      </x:c>
      <x:c r="AL537" s="5" t="str">
        <x:f>"원본서식지|"&amp;S537</x:f>
        <x:v>원본서식지|</x:v>
      </x:c>
      <x:c r="AM537" s="5" t="str">
        <x:f>"타입|"&amp;F537</x:f>
        <x:v>타입|격투</x:v>
      </x:c>
      <x:c r="AN537" s="5" t="str">
        <x:f>"타입|"&amp;G537</x:f>
        <x:v>타입|</x:v>
      </x:c>
    </x:row>
    <x:row r="538" ht="24" customHeight="1">
      <x:c r="A538" s="5" t="n">
        <x:v>534</x:v>
      </x:c>
      <x:c r="B538" s="5" t="inlineStr">
        <x:is>
          <x:t xml:space="preserve">노보청</x:t>
        </x:is>
      </x:c>
      <x:c r="C538" s="5" t="inlineStr">
        <x:is>
          <x:t xml:space="preserve">conkeldurr</x:t>
        </x:is>
      </x:c>
      <x:c r="D538" s="5" t="inlineStr">
        <x:is>
          <x:t xml:space="preserve">Conkeldurr</x:t>
        </x:is>
      </x:c>
      <x:c r="E538" s="5" t="n">
        <x:v>5</x:v>
      </x:c>
      <x:c r="F538" s="5" t="inlineStr">
        <x:is>
          <x:t xml:space="preserve">격투</x:t>
        </x:is>
      </x:c>
      <x:c r="G538" s="5" t="inlineStr">
        <x:is>
          <x:t xml:space="preserve"/>
        </x:is>
      </x:c>
      <x:c r="H538" s="6" t="n">
        <x:v>87</x:v>
      </x:c>
      <x:c r="I538" s="5" t="n">
        <x:v>25</x:v>
      </x:c>
      <x:c r="J538" s="5" t="inlineStr">
        <x:is>
          <x:t xml:space="preserve">최종</x:t>
        </x:is>
      </x:c>
      <x:c r="K538" s="7" t="inlineStr">
        <x:is>
          <x:t xml:space="preserve">육상</x:t>
        </x:is>
      </x:c>
      <x:c r="L538" s="7" t="inlineStr">
        <x:is>
          <x:t xml:space="preserve">개활지</x:t>
        </x:is>
      </x:c>
      <x:c r="M538" s="7" t="inlineStr">
        <x:is>
          <x:t xml:space="preserve">온대</x:t>
        </x:is>
      </x:c>
      <x:c r="N538" s="7" t="inlineStr">
        <x:is>
          <x:t xml:space="preserve">보통</x:t>
        </x:is>
      </x:c>
      <x:c r="O538" s="7" t="inlineStr">
        <x:is>
          <x:t xml:space="preserve">무관</x:t>
        </x:is>
      </x:c>
      <x:c r="P538" s="7" t="inlineStr">
        <x:is>
          <x:t xml:space="preserve">무관</x:t>
        </x:is>
      </x:c>
      <x:c r="Q538" s="7" t="inlineStr">
        <x:is>
          <x:t xml:space="preserve">흔함</x:t>
        </x:is>
      </x:c>
      <x:c r="R538" s="7" t="inlineStr">
        <x:is>
          <x:t xml:space="preserve">없음</x:t>
        </x:is>
      </x:c>
      <x:c r="S538" s="7" t="inlineStr">
        <x:is>
          <x:t xml:space="preserve"/>
        </x:is>
      </x:c>
      <x:c r="T538" s="7" t="inlineStr">
        <x:is>
          <x:t xml:space="preserve"/>
        </x:is>
      </x:c>
      <x:c r="U538" s="8" t="str">
        <x:f>INDEX('서식지_점수'!$E$4:$P$4,1,MATCH(MAX('서식지_점수'!E538:P538),'서식지_점수'!E538:P538,0))</x:f>
        <x:v>평원</x:v>
      </x:c>
      <x:c r="V538" s="8" t="str">
        <x:f>IF(T538&lt;&gt;"",T538,U538)</x:f>
        <x:v>평원</x:v>
      </x:c>
      <x:c r="W538" s="8" t="str">
        <x:f>IFERROR(INDEX('서식지_점수'!$E$4:$P$4,1,MATCH(MAXIFS('서식지_점수'!E538:P538,'서식지_점수'!E538:P538,"&lt;"&amp;MAX('서식지_점수'!E538:P538)),'서식지_점수'!E538:P538,0)),"")</x:f>
        <x:v>숲</x:v>
      </x:c>
      <x:c r="X538" s="8" t="str">
        <x:f>IF(T538&lt;&gt;"","수동확정",IF(MAX('서식지_점수'!E538:P538)-LARGE('서식지_점수'!E538:P538,2)&gt;=15,"높음",IF(MAX('서식지_점수'!E538:P538)-LARGE('서식지_점수'!E538:P538,2)&gt;=8,"보통","검토필요")))</x:f>
        <x:v>검토필요</x:v>
      </x:c>
      <x:c r="Y538" s="9" t="n">
        <x:f>IF(Q538="전설",8,IF(Q538="희귀",7,IF(J538="기본",1,IF(J538="중간",3,IF(J538="최종",IF(I538="",5,IF(I538&lt;=20,3,IF(I538&lt;=35,4,IF(I538&lt;=50,6,7)))),IF(Q538="드묾",4,2))))))</x:f>
        <x:v>4</x:v>
      </x:c>
      <x:c r="Z538" s="5" t="inlineStr">
        <x:is>
          <x:t xml:space="preserve">#cobblemon:is_overworld</x:t>
        </x:is>
      </x:c>
      <x:c r="AA538" s="5" t="inlineStr">
        <x:is>
          <x:t xml:space="preserve">common</x:t>
        </x:is>
      </x:c>
      <x:c r="AB538" s="5" t="inlineStr">
        <x:is>
          <x:t xml:space="preserve">예</x:t>
        </x:is>
      </x:c>
      <x:c r="AC538" s="8" t="str">
        <x:f>IF(T538&lt;&gt;"","수동확정",IF(X538="검토필요","검토필요",IF(S538="","원본없음","초기완료")))</x:f>
        <x:v>검토필요</x:v>
      </x:c>
      <x:c r="AD538" s="7" t="inlineStr">
        <x:is>
          <x:t xml:space="preserve"/>
        </x:is>
      </x:c>
      <x:c r="AE538" s="5" t="inlineStr">
        <x:is>
          <x:t xml:space="preserve">.tmp/cobblemon-1.7.3-source/common/src/main/resources/data/cobblemon/species/generation5/conkeldurr.json</x:t>
        </x:is>
      </x:c>
      <x:c r="AF538" s="5" t="str">
        <x:f>"생활권|"&amp;K538</x:f>
        <x:v>생활권|육상</x:v>
      </x:c>
      <x:c r="AG538" s="5" t="str">
        <x:f>"지형|"&amp;L538</x:f>
        <x:v>지형|개활지</x:v>
      </x:c>
      <x:c r="AH538" s="5" t="str">
        <x:f>"온도|"&amp;M538</x:f>
        <x:v>온도|온대</x:v>
      </x:c>
      <x:c r="AI538" s="5" t="str">
        <x:f>"습도|"&amp;N538</x:f>
        <x:v>습도|보통</x:v>
      </x:c>
      <x:c r="AJ538" s="5" t="str">
        <x:f>"날씨|"&amp;O538</x:f>
        <x:v>날씨|무관</x:v>
      </x:c>
      <x:c r="AK538" s="5" t="str">
        <x:f>"특수태그|"&amp;R538</x:f>
        <x:v>특수태그|없음</x:v>
      </x:c>
      <x:c r="AL538" s="5" t="str">
        <x:f>"원본서식지|"&amp;S538</x:f>
        <x:v>원본서식지|</x:v>
      </x:c>
      <x:c r="AM538" s="5" t="str">
        <x:f>"타입|"&amp;F538</x:f>
        <x:v>타입|격투</x:v>
      </x:c>
      <x:c r="AN538" s="5" t="str">
        <x:f>"타입|"&amp;G538</x:f>
        <x:v>타입|</x:v>
      </x:c>
    </x:row>
    <x:row r="539" ht="24" customHeight="1">
      <x:c r="A539" s="5" t="n">
        <x:v>535</x:v>
      </x:c>
      <x:c r="B539" s="5" t="inlineStr">
        <x:is>
          <x:t xml:space="preserve">동챙이</x:t>
        </x:is>
      </x:c>
      <x:c r="C539" s="5" t="inlineStr">
        <x:is>
          <x:t xml:space="preserve">tympole</x:t>
        </x:is>
      </x:c>
      <x:c r="D539" s="5" t="inlineStr">
        <x:is>
          <x:t xml:space="preserve">Tympole</x:t>
        </x:is>
      </x:c>
      <x:c r="E539" s="5" t="n">
        <x:v>5</x:v>
      </x:c>
      <x:c r="F539" s="5" t="inlineStr">
        <x:is>
          <x:t xml:space="preserve">물</x:t>
        </x:is>
      </x:c>
      <x:c r="G539" s="5" t="inlineStr">
        <x:is>
          <x:t xml:space="preserve"/>
        </x:is>
      </x:c>
      <x:c r="H539" s="6" t="n">
        <x:v>4.5</x:v>
      </x:c>
      <x:c r="I539" s="5" t="n">
        <x:v>36</x:v>
      </x:c>
      <x:c r="J539" s="5" t="inlineStr">
        <x:is>
          <x:t xml:space="preserve">기본</x:t>
        </x:is>
      </x:c>
      <x:c r="K539" s="7" t="inlineStr">
        <x:is>
          <x:t xml:space="preserve">수륙</x:t>
        </x:is>
      </x:c>
      <x:c r="L539" s="7" t="inlineStr">
        <x:is>
          <x:t xml:space="preserve">습지</x:t>
        </x:is>
      </x:c>
      <x:c r="M539" s="7" t="inlineStr">
        <x:is>
          <x:t xml:space="preserve">온대</x:t>
        </x:is>
      </x:c>
      <x:c r="N539" s="7" t="inlineStr">
        <x:is>
          <x:t xml:space="preserve">다습</x:t>
        </x:is>
      </x:c>
      <x:c r="O539" s="7" t="inlineStr">
        <x:is>
          <x:t xml:space="preserve">비</x:t>
        </x:is>
      </x:c>
      <x:c r="P539" s="7" t="inlineStr">
        <x:is>
          <x:t xml:space="preserve">무관</x:t>
        </x:is>
      </x:c>
      <x:c r="Q539" s="7" t="inlineStr">
        <x:is>
          <x:t xml:space="preserve">보통</x:t>
        </x:is>
      </x:c>
      <x:c r="R539" s="7" t="inlineStr">
        <x:is>
          <x:t xml:space="preserve">없음</x:t>
        </x:is>
      </x:c>
      <x:c r="S539" s="7" t="inlineStr">
        <x:is>
          <x:t xml:space="preserve">습지</x:t>
        </x:is>
      </x:c>
      <x:c r="T539" s="7" t="inlineStr">
        <x:is>
          <x:t xml:space="preserve"/>
        </x:is>
      </x:c>
      <x:c r="U539" s="8" t="str">
        <x:f>INDEX('서식지_점수'!$E$4:$P$4,1,MATCH(MAX('서식지_점수'!E539:P539),'서식지_점수'!E539:P539,0))</x:f>
        <x:v>습지</x:v>
      </x:c>
      <x:c r="V539" s="8" t="str">
        <x:f>IF(T539&lt;&gt;"",T539,U539)</x:f>
        <x:v>습지</x:v>
      </x:c>
      <x:c r="W539" s="8" t="str">
        <x:f>IFERROR(INDEX('서식지_점수'!$E$4:$P$4,1,MATCH(MAXIFS('서식지_점수'!E539:P539,'서식지_점수'!E539:P539,"&lt;"&amp;MAX('서식지_점수'!E539:P539)),'서식지_점수'!E539:P539,0)),"")</x:f>
        <x:v>담수</x:v>
      </x:c>
      <x:c r="X539" s="8" t="str">
        <x:f>IF(T539&lt;&gt;"","수동확정",IF(MAX('서식지_점수'!E539:P539)-LARGE('서식지_점수'!E539:P539,2)&gt;=15,"높음",IF(MAX('서식지_점수'!E539:P539)-LARGE('서식지_점수'!E539:P539,2)&gt;=8,"보통","검토필요")))</x:f>
        <x:v>검토필요</x:v>
      </x:c>
      <x:c r="Y539" s="9" t="n">
        <x:f>IF(Q539="전설",8,IF(Q539="희귀",7,IF(J539="기본",1,IF(J539="중간",3,IF(J539="최종",IF(I539="",5,IF(I539&lt;=20,3,IF(I539&lt;=35,4,IF(I539&lt;=50,6,7)))),IF(Q539="드묾",4,2))))))</x:f>
        <x:v>1</x:v>
      </x:c>
      <x:c r="Z539" s="5" t="inlineStr">
        <x:is>
          <x:t xml:space="preserve">#aether:is_aether; #cobblemon:has_block/mud; #cobblemon:is_arid; #cobblemon:is_lush; #cobblemon:is_mushroom; #cobblemon:is_overworld; #cobblemon:is_savanna; #cobblemon:is_swamp</x:t>
        </x:is>
      </x:c>
      <x:c r="AA539" s="5" t="inlineStr">
        <x:is>
          <x:t xml:space="preserve">common; uncommon</x:t>
        </x:is>
      </x:c>
      <x:c r="AB539" s="5" t="inlineStr">
        <x:is>
          <x:t xml:space="preserve">아니오</x:t>
        </x:is>
      </x:c>
      <x:c r="AC539" s="8" t="str">
        <x:f>IF(T539&lt;&gt;"","수동확정",IF(X539="검토필요","검토필요",IF(S539="","원본없음","초기완료")))</x:f>
        <x:v>검토필요</x:v>
      </x:c>
      <x:c r="AD539" s="7" t="inlineStr">
        <x:is>
          <x:t xml:space="preserve"/>
        </x:is>
      </x:c>
      <x:c r="AE539" s="5" t="inlineStr">
        <x:is>
          <x:t xml:space="preserve">.tmp/cobblemon-1.7.3-source/common/src/main/resources/data/cobblemon/species/generation5/tympole.json</x:t>
        </x:is>
      </x:c>
      <x:c r="AF539" s="5" t="str">
        <x:f>"생활권|"&amp;K539</x:f>
        <x:v>생활권|수륙</x:v>
      </x:c>
      <x:c r="AG539" s="5" t="str">
        <x:f>"지형|"&amp;L539</x:f>
        <x:v>지형|습지</x:v>
      </x:c>
      <x:c r="AH539" s="5" t="str">
        <x:f>"온도|"&amp;M539</x:f>
        <x:v>온도|온대</x:v>
      </x:c>
      <x:c r="AI539" s="5" t="str">
        <x:f>"습도|"&amp;N539</x:f>
        <x:v>습도|다습</x:v>
      </x:c>
      <x:c r="AJ539" s="5" t="str">
        <x:f>"날씨|"&amp;O539</x:f>
        <x:v>날씨|비</x:v>
      </x:c>
      <x:c r="AK539" s="5" t="str">
        <x:f>"특수태그|"&amp;R539</x:f>
        <x:v>특수태그|없음</x:v>
      </x:c>
      <x:c r="AL539" s="5" t="str">
        <x:f>"원본서식지|"&amp;S539</x:f>
        <x:v>원본서식지|습지</x:v>
      </x:c>
      <x:c r="AM539" s="5" t="str">
        <x:f>"타입|"&amp;F539</x:f>
        <x:v>타입|물</x:v>
      </x:c>
      <x:c r="AN539" s="5" t="str">
        <x:f>"타입|"&amp;G539</x:f>
        <x:v>타입|</x:v>
      </x:c>
    </x:row>
    <x:row r="540" ht="24" customHeight="1">
      <x:c r="A540" s="5" t="n">
        <x:v>536</x:v>
      </x:c>
      <x:c r="B540" s="5" t="inlineStr">
        <x:is>
          <x:t xml:space="preserve">두까비</x:t>
        </x:is>
      </x:c>
      <x:c r="C540" s="5" t="inlineStr">
        <x:is>
          <x:t xml:space="preserve">palpitoad</x:t>
        </x:is>
      </x:c>
      <x:c r="D540" s="5" t="inlineStr">
        <x:is>
          <x:t xml:space="preserve">Palpitoad</x:t>
        </x:is>
      </x:c>
      <x:c r="E540" s="5" t="n">
        <x:v>5</x:v>
      </x:c>
      <x:c r="F540" s="5" t="inlineStr">
        <x:is>
          <x:t xml:space="preserve">물</x:t>
        </x:is>
      </x:c>
      <x:c r="G540" s="5" t="inlineStr">
        <x:is>
          <x:t xml:space="preserve">땅</x:t>
        </x:is>
      </x:c>
      <x:c r="H540" s="6" t="n">
        <x:v>17</x:v>
      </x:c>
      <x:c r="I540" s="5" t="n">
        <x:v>36</x:v>
      </x:c>
      <x:c r="J540" s="5" t="inlineStr">
        <x:is>
          <x:t xml:space="preserve">중간</x:t>
        </x:is>
      </x:c>
      <x:c r="K540" s="7" t="inlineStr">
        <x:is>
          <x:t xml:space="preserve">수륙</x:t>
        </x:is>
      </x:c>
      <x:c r="L540" s="7" t="inlineStr">
        <x:is>
          <x:t xml:space="preserve">습지</x:t>
        </x:is>
      </x:c>
      <x:c r="M540" s="7" t="inlineStr">
        <x:is>
          <x:t xml:space="preserve">온대</x:t>
        </x:is>
      </x:c>
      <x:c r="N540" s="7" t="inlineStr">
        <x:is>
          <x:t xml:space="preserve">다습</x:t>
        </x:is>
      </x:c>
      <x:c r="O540" s="7" t="inlineStr">
        <x:is>
          <x:t xml:space="preserve">비</x:t>
        </x:is>
      </x:c>
      <x:c r="P540" s="7" t="inlineStr">
        <x:is>
          <x:t xml:space="preserve">무관</x:t>
        </x:is>
      </x:c>
      <x:c r="Q540" s="7" t="inlineStr">
        <x:is>
          <x:t xml:space="preserve">보통</x:t>
        </x:is>
      </x:c>
      <x:c r="R540" s="7" t="inlineStr">
        <x:is>
          <x:t xml:space="preserve">없음</x:t>
        </x:is>
      </x:c>
      <x:c r="S540" s="7" t="inlineStr">
        <x:is>
          <x:t xml:space="preserve">습지</x:t>
        </x:is>
      </x:c>
      <x:c r="T540" s="7" t="inlineStr">
        <x:is>
          <x:t xml:space="preserve"/>
        </x:is>
      </x:c>
      <x:c r="U540" s="8" t="str">
        <x:f>INDEX('서식지_점수'!$E$4:$P$4,1,MATCH(MAX('서식지_점수'!E540:P540),'서식지_점수'!E540:P540,0))</x:f>
        <x:v>습지</x:v>
      </x:c>
      <x:c r="V540" s="8" t="str">
        <x:f>IF(T540&lt;&gt;"",T540,U540)</x:f>
        <x:v>습지</x:v>
      </x:c>
      <x:c r="W540" s="8" t="str">
        <x:f>IFERROR(INDEX('서식지_점수'!$E$4:$P$4,1,MATCH(MAXIFS('서식지_점수'!E540:P540,'서식지_점수'!E540:P540,"&lt;"&amp;MAX('서식지_점수'!E540:P540)),'서식지_점수'!E540:P540,0)),"")</x:f>
        <x:v>담수</x:v>
      </x:c>
      <x:c r="X540" s="8" t="str">
        <x:f>IF(T540&lt;&gt;"","수동확정",IF(MAX('서식지_점수'!E540:P540)-LARGE('서식지_점수'!E540:P540,2)&gt;=15,"높음",IF(MAX('서식지_점수'!E540:P540)-LARGE('서식지_점수'!E540:P540,2)&gt;=8,"보통","검토필요")))</x:f>
        <x:v>검토필요</x:v>
      </x:c>
      <x:c r="Y540" s="9" t="n">
        <x:f>IF(Q540="전설",8,IF(Q540="희귀",7,IF(J540="기본",1,IF(J540="중간",3,IF(J540="최종",IF(I540="",5,IF(I540&lt;=20,3,IF(I540&lt;=35,4,IF(I540&lt;=50,6,7)))),IF(Q540="드묾",4,2))))))</x:f>
        <x:v>3</x:v>
      </x:c>
      <x:c r="Z540" s="5" t="inlineStr">
        <x:is>
          <x:t xml:space="preserve">#aether:is_aether; #cobblemon:is_lush; #cobblemon:is_mushroom; #cobblemon:is_overworld; #cobblemon:is_swamp</x:t>
        </x:is>
      </x:c>
      <x:c r="AA540" s="5" t="inlineStr">
        <x:is>
          <x:t xml:space="preserve">common; uncommon</x:t>
        </x:is>
      </x:c>
      <x:c r="AB540" s="5" t="inlineStr">
        <x:is>
          <x:t xml:space="preserve">아니오</x:t>
        </x:is>
      </x:c>
      <x:c r="AC540" s="8" t="str">
        <x:f>IF(T540&lt;&gt;"","수동확정",IF(X540="검토필요","검토필요",IF(S540="","원본없음","초기완료")))</x:f>
        <x:v>검토필요</x:v>
      </x:c>
      <x:c r="AD540" s="7" t="inlineStr">
        <x:is>
          <x:t xml:space="preserve"/>
        </x:is>
      </x:c>
      <x:c r="AE540" s="5" t="inlineStr">
        <x:is>
          <x:t xml:space="preserve">.tmp/cobblemon-1.7.3-source/common/src/main/resources/data/cobblemon/species/generation5/palpitoad.json</x:t>
        </x:is>
      </x:c>
      <x:c r="AF540" s="5" t="str">
        <x:f>"생활권|"&amp;K540</x:f>
        <x:v>생활권|수륙</x:v>
      </x:c>
      <x:c r="AG540" s="5" t="str">
        <x:f>"지형|"&amp;L540</x:f>
        <x:v>지형|습지</x:v>
      </x:c>
      <x:c r="AH540" s="5" t="str">
        <x:f>"온도|"&amp;M540</x:f>
        <x:v>온도|온대</x:v>
      </x:c>
      <x:c r="AI540" s="5" t="str">
        <x:f>"습도|"&amp;N540</x:f>
        <x:v>습도|다습</x:v>
      </x:c>
      <x:c r="AJ540" s="5" t="str">
        <x:f>"날씨|"&amp;O540</x:f>
        <x:v>날씨|비</x:v>
      </x:c>
      <x:c r="AK540" s="5" t="str">
        <x:f>"특수태그|"&amp;R540</x:f>
        <x:v>특수태그|없음</x:v>
      </x:c>
      <x:c r="AL540" s="5" t="str">
        <x:f>"원본서식지|"&amp;S540</x:f>
        <x:v>원본서식지|습지</x:v>
      </x:c>
      <x:c r="AM540" s="5" t="str">
        <x:f>"타입|"&amp;F540</x:f>
        <x:v>타입|물</x:v>
      </x:c>
      <x:c r="AN540" s="5" t="str">
        <x:f>"타입|"&amp;G540</x:f>
        <x:v>타입|땅</x:v>
      </x:c>
    </x:row>
    <x:row r="541" ht="24" customHeight="1">
      <x:c r="A541" s="5" t="n">
        <x:v>537</x:v>
      </x:c>
      <x:c r="B541" s="5" t="inlineStr">
        <x:is>
          <x:t xml:space="preserve">두빅굴</x:t>
        </x:is>
      </x:c>
      <x:c r="C541" s="5" t="inlineStr">
        <x:is>
          <x:t xml:space="preserve">seismitoad</x:t>
        </x:is>
      </x:c>
      <x:c r="D541" s="5" t="inlineStr">
        <x:is>
          <x:t xml:space="preserve">Seismitoad</x:t>
        </x:is>
      </x:c>
      <x:c r="E541" s="5" t="n">
        <x:v>5</x:v>
      </x:c>
      <x:c r="F541" s="5" t="inlineStr">
        <x:is>
          <x:t xml:space="preserve">물</x:t>
        </x:is>
      </x:c>
      <x:c r="G541" s="5" t="inlineStr">
        <x:is>
          <x:t xml:space="preserve">땅</x:t>
        </x:is>
      </x:c>
      <x:c r="H541" s="6" t="n">
        <x:v>62</x:v>
      </x:c>
      <x:c r="I541" s="5" t="n">
        <x:v>36</x:v>
      </x:c>
      <x:c r="J541" s="5" t="inlineStr">
        <x:is>
          <x:t xml:space="preserve">최종</x:t>
        </x:is>
      </x:c>
      <x:c r="K541" s="7" t="inlineStr">
        <x:is>
          <x:t xml:space="preserve">수륙</x:t>
        </x:is>
      </x:c>
      <x:c r="L541" s="7" t="inlineStr">
        <x:is>
          <x:t xml:space="preserve">습지</x:t>
        </x:is>
      </x:c>
      <x:c r="M541" s="7" t="inlineStr">
        <x:is>
          <x:t xml:space="preserve">온대</x:t>
        </x:is>
      </x:c>
      <x:c r="N541" s="7" t="inlineStr">
        <x:is>
          <x:t xml:space="preserve">다습</x:t>
        </x:is>
      </x:c>
      <x:c r="O541" s="7" t="inlineStr">
        <x:is>
          <x:t xml:space="preserve">비</x:t>
        </x:is>
      </x:c>
      <x:c r="P541" s="7" t="inlineStr">
        <x:is>
          <x:t xml:space="preserve">무관</x:t>
        </x:is>
      </x:c>
      <x:c r="Q541" s="7" t="inlineStr">
        <x:is>
          <x:t xml:space="preserve">보통</x:t>
        </x:is>
      </x:c>
      <x:c r="R541" s="7" t="inlineStr">
        <x:is>
          <x:t xml:space="preserve">없음</x:t>
        </x:is>
      </x:c>
      <x:c r="S541" s="7" t="inlineStr">
        <x:is>
          <x:t xml:space="preserve">습지</x:t>
        </x:is>
      </x:c>
      <x:c r="T541" s="7" t="inlineStr">
        <x:is>
          <x:t xml:space="preserve"/>
        </x:is>
      </x:c>
      <x:c r="U541" s="8" t="str">
        <x:f>INDEX('서식지_점수'!$E$4:$P$4,1,MATCH(MAX('서식지_점수'!E541:P541),'서식지_점수'!E541:P541,0))</x:f>
        <x:v>습지</x:v>
      </x:c>
      <x:c r="V541" s="8" t="str">
        <x:f>IF(T541&lt;&gt;"",T541,U541)</x:f>
        <x:v>습지</x:v>
      </x:c>
      <x:c r="W541" s="8" t="str">
        <x:f>IFERROR(INDEX('서식지_점수'!$E$4:$P$4,1,MATCH(MAXIFS('서식지_점수'!E541:P541,'서식지_점수'!E541:P541,"&lt;"&amp;MAX('서식지_점수'!E541:P541)),'서식지_점수'!E541:P541,0)),"")</x:f>
        <x:v>담수</x:v>
      </x:c>
      <x:c r="X541" s="8" t="str">
        <x:f>IF(T541&lt;&gt;"","수동확정",IF(MAX('서식지_점수'!E541:P541)-LARGE('서식지_점수'!E541:P541,2)&gt;=15,"높음",IF(MAX('서식지_점수'!E541:P541)-LARGE('서식지_점수'!E541:P541,2)&gt;=8,"보통","검토필요")))</x:f>
        <x:v>검토필요</x:v>
      </x:c>
      <x:c r="Y541" s="9" t="n">
        <x:f>IF(Q541="전설",8,IF(Q541="희귀",7,IF(J541="기본",1,IF(J541="중간",3,IF(J541="최종",IF(I541="",5,IF(I541&lt;=20,3,IF(I541&lt;=35,4,IF(I541&lt;=50,6,7)))),IF(Q541="드묾",4,2))))))</x:f>
        <x:v>6</x:v>
      </x:c>
      <x:c r="Z541" s="5" t="inlineStr">
        <x:is>
          <x:t xml:space="preserve">#aether:is_aether; #cobblemon:is_lush; #cobblemon:is_mushroom; #cobblemon:is_overworld; #cobblemon:is_swamp</x:t>
        </x:is>
      </x:c>
      <x:c r="AA541" s="5" t="inlineStr">
        <x:is>
          <x:t xml:space="preserve">common; uncommon</x:t>
        </x:is>
      </x:c>
      <x:c r="AB541" s="5" t="inlineStr">
        <x:is>
          <x:t xml:space="preserve">아니오</x:t>
        </x:is>
      </x:c>
      <x:c r="AC541" s="8" t="str">
        <x:f>IF(T541&lt;&gt;"","수동확정",IF(X541="검토필요","검토필요",IF(S541="","원본없음","초기완료")))</x:f>
        <x:v>검토필요</x:v>
      </x:c>
      <x:c r="AD541" s="7" t="inlineStr">
        <x:is>
          <x:t xml:space="preserve"/>
        </x:is>
      </x:c>
      <x:c r="AE541" s="5" t="inlineStr">
        <x:is>
          <x:t xml:space="preserve">.tmp/cobblemon-1.7.3-source/common/src/main/resources/data/cobblemon/species/generation5/seismitoad.json</x:t>
        </x:is>
      </x:c>
      <x:c r="AF541" s="5" t="str">
        <x:f>"생활권|"&amp;K541</x:f>
        <x:v>생활권|수륙</x:v>
      </x:c>
      <x:c r="AG541" s="5" t="str">
        <x:f>"지형|"&amp;L541</x:f>
        <x:v>지형|습지</x:v>
      </x:c>
      <x:c r="AH541" s="5" t="str">
        <x:f>"온도|"&amp;M541</x:f>
        <x:v>온도|온대</x:v>
      </x:c>
      <x:c r="AI541" s="5" t="str">
        <x:f>"습도|"&amp;N541</x:f>
        <x:v>습도|다습</x:v>
      </x:c>
      <x:c r="AJ541" s="5" t="str">
        <x:f>"날씨|"&amp;O541</x:f>
        <x:v>날씨|비</x:v>
      </x:c>
      <x:c r="AK541" s="5" t="str">
        <x:f>"특수태그|"&amp;R541</x:f>
        <x:v>특수태그|없음</x:v>
      </x:c>
      <x:c r="AL541" s="5" t="str">
        <x:f>"원본서식지|"&amp;S541</x:f>
        <x:v>원본서식지|습지</x:v>
      </x:c>
      <x:c r="AM541" s="5" t="str">
        <x:f>"타입|"&amp;F541</x:f>
        <x:v>타입|물</x:v>
      </x:c>
      <x:c r="AN541" s="5" t="str">
        <x:f>"타입|"&amp;G541</x:f>
        <x:v>타입|땅</x:v>
      </x:c>
    </x:row>
    <x:row r="542" ht="24" customHeight="1">
      <x:c r="A542" s="5" t="n">
        <x:v>538</x:v>
      </x:c>
      <x:c r="B542" s="5" t="inlineStr">
        <x:is>
          <x:t xml:space="preserve">던지미</x:t>
        </x:is>
      </x:c>
      <x:c r="C542" s="5" t="inlineStr">
        <x:is>
          <x:t xml:space="preserve">throh</x:t>
        </x:is>
      </x:c>
      <x:c r="D542" s="5" t="inlineStr">
        <x:is>
          <x:t xml:space="preserve">Throh</x:t>
        </x:is>
      </x:c>
      <x:c r="E542" s="5" t="n">
        <x:v>5</x:v>
      </x:c>
      <x:c r="F542" s="5" t="inlineStr">
        <x:is>
          <x:t xml:space="preserve">격투</x:t>
        </x:is>
      </x:c>
      <x:c r="G542" s="5" t="inlineStr">
        <x:is>
          <x:t xml:space="preserve"/>
        </x:is>
      </x:c>
      <x:c r="H542" s="6" t="n">
        <x:v>55.5</x:v>
      </x:c>
      <x:c r="I542" s="5" t="n"/>
      <x:c r="J542" s="5" t="inlineStr">
        <x:is>
          <x:t xml:space="preserve">무진화</x:t>
        </x:is>
      </x:c>
      <x:c r="K542" s="7" t="inlineStr">
        <x:is>
          <x:t xml:space="preserve">육상</x:t>
        </x:is>
      </x:c>
      <x:c r="L542" s="7" t="inlineStr">
        <x:is>
          <x:t xml:space="preserve">건조</x:t>
        </x:is>
      </x:c>
      <x:c r="M542" s="7" t="inlineStr">
        <x:is>
          <x:t xml:space="preserve">고온</x:t>
        </x:is>
      </x:c>
      <x:c r="N542" s="7" t="inlineStr">
        <x:is>
          <x:t xml:space="preserve">건조</x:t>
        </x:is>
      </x:c>
      <x:c r="O542" s="7" t="inlineStr">
        <x:is>
          <x:t xml:space="preserve">맑음</x:t>
        </x:is>
      </x:c>
      <x:c r="P542" s="7" t="inlineStr">
        <x:is>
          <x:t xml:space="preserve">무관</x:t>
        </x:is>
      </x:c>
      <x:c r="Q542" s="7" t="inlineStr">
        <x:is>
          <x:t xml:space="preserve">드묾</x:t>
        </x:is>
      </x:c>
      <x:c r="R542" s="7" t="inlineStr">
        <x:is>
          <x:t xml:space="preserve">없음</x:t>
        </x:is>
      </x:c>
      <x:c r="S542" s="7" t="inlineStr">
        <x:is>
          <x:t xml:space="preserve">건조지</x:t>
        </x:is>
      </x:c>
      <x:c r="T542" s="7" t="inlineStr">
        <x:is>
          <x:t xml:space="preserve"/>
        </x:is>
      </x:c>
      <x:c r="U542" s="8" t="str">
        <x:f>INDEX('서식지_점수'!$E$4:$P$4,1,MATCH(MAX('서식지_점수'!E542:P542),'서식지_점수'!E542:P542,0))</x:f>
        <x:v>평원</x:v>
      </x:c>
      <x:c r="V542" s="8" t="str">
        <x:f>IF(T542&lt;&gt;"",T542,U542)</x:f>
        <x:v>평원</x:v>
      </x:c>
      <x:c r="W542" s="8" t="str">
        <x:f>IFERROR(INDEX('서식지_점수'!$E$4:$P$4,1,MATCH(MAXIFS('서식지_점수'!E542:P542,'서식지_점수'!E542:P542,"&lt;"&amp;MAX('서식지_점수'!E542:P542)),'서식지_점수'!E542:P542,0)),"")</x:f>
        <x:v>숲</x:v>
      </x:c>
      <x:c r="X542" s="8" t="str">
        <x:f>IF(T542&lt;&gt;"","수동확정",IF(MAX('서식지_점수'!E542:P542)-LARGE('서식지_점수'!E542:P542,2)&gt;=15,"높음",IF(MAX('서식지_점수'!E542:P542)-LARGE('서식지_점수'!E542:P542,2)&gt;=8,"보통","검토필요")))</x:f>
        <x:v>검토필요</x:v>
      </x:c>
      <x:c r="Y542" s="9" t="n">
        <x:f>IF(Q542="전설",8,IF(Q542="희귀",7,IF(J542="기본",1,IF(J542="중간",3,IF(J542="최종",IF(I542="",5,IF(I542&lt;=20,3,IF(I542&lt;=35,4,IF(I542&lt;=50,6,7)))),IF(Q542="드묾",4,2))))))</x:f>
        <x:v>4</x:v>
      </x:c>
      <x:c r="Z542" s="5" t="inlineStr">
        <x:is>
          <x:t xml:space="preserve">#cobblemon:is_arid</x:t>
        </x:is>
      </x:c>
      <x:c r="AA542" s="5" t="inlineStr">
        <x:is>
          <x:t xml:space="preserve">rare</x:t>
        </x:is>
      </x:c>
      <x:c r="AB542" s="5" t="inlineStr">
        <x:is>
          <x:t xml:space="preserve">예</x:t>
        </x:is>
      </x:c>
      <x:c r="AC542" s="8" t="str">
        <x:f>IF(T542&lt;&gt;"","수동확정",IF(X542="검토필요","검토필요",IF(S542="","원본없음","초기완료")))</x:f>
        <x:v>검토필요</x:v>
      </x:c>
      <x:c r="AD542" s="7" t="inlineStr">
        <x:is>
          <x:t xml:space="preserve"/>
        </x:is>
      </x:c>
      <x:c r="AE542" s="5" t="inlineStr">
        <x:is>
          <x:t xml:space="preserve">.tmp/cobblemon-1.7.3-source/common/src/main/resources/data/cobblemon/species/generation5/throh.json</x:t>
        </x:is>
      </x:c>
      <x:c r="AF542" s="5" t="str">
        <x:f>"생활권|"&amp;K542</x:f>
        <x:v>생활권|육상</x:v>
      </x:c>
      <x:c r="AG542" s="5" t="str">
        <x:f>"지형|"&amp;L542</x:f>
        <x:v>지형|건조</x:v>
      </x:c>
      <x:c r="AH542" s="5" t="str">
        <x:f>"온도|"&amp;M542</x:f>
        <x:v>온도|고온</x:v>
      </x:c>
      <x:c r="AI542" s="5" t="str">
        <x:f>"습도|"&amp;N542</x:f>
        <x:v>습도|건조</x:v>
      </x:c>
      <x:c r="AJ542" s="5" t="str">
        <x:f>"날씨|"&amp;O542</x:f>
        <x:v>날씨|맑음</x:v>
      </x:c>
      <x:c r="AK542" s="5" t="str">
        <x:f>"특수태그|"&amp;R542</x:f>
        <x:v>특수태그|없음</x:v>
      </x:c>
      <x:c r="AL542" s="5" t="str">
        <x:f>"원본서식지|"&amp;S542</x:f>
        <x:v>원본서식지|건조지</x:v>
      </x:c>
      <x:c r="AM542" s="5" t="str">
        <x:f>"타입|"&amp;F542</x:f>
        <x:v>타입|격투</x:v>
      </x:c>
      <x:c r="AN542" s="5" t="str">
        <x:f>"타입|"&amp;G542</x:f>
        <x:v>타입|</x:v>
      </x:c>
    </x:row>
    <x:row r="543" ht="24" customHeight="1">
      <x:c r="A543" s="5" t="n">
        <x:v>539</x:v>
      </x:c>
      <x:c r="B543" s="5" t="inlineStr">
        <x:is>
          <x:t xml:space="preserve">타격귀</x:t>
        </x:is>
      </x:c>
      <x:c r="C543" s="5" t="inlineStr">
        <x:is>
          <x:t xml:space="preserve">sawk</x:t>
        </x:is>
      </x:c>
      <x:c r="D543" s="5" t="inlineStr">
        <x:is>
          <x:t xml:space="preserve">Sawk</x:t>
        </x:is>
      </x:c>
      <x:c r="E543" s="5" t="n">
        <x:v>5</x:v>
      </x:c>
      <x:c r="F543" s="5" t="inlineStr">
        <x:is>
          <x:t xml:space="preserve">격투</x:t>
        </x:is>
      </x:c>
      <x:c r="G543" s="5" t="inlineStr">
        <x:is>
          <x:t xml:space="preserve"/>
        </x:is>
      </x:c>
      <x:c r="H543" s="6" t="n">
        <x:v>51</x:v>
      </x:c>
      <x:c r="I543" s="5" t="n"/>
      <x:c r="J543" s="5" t="inlineStr">
        <x:is>
          <x:t xml:space="preserve">무진화</x:t>
        </x:is>
      </x:c>
      <x:c r="K543" s="7" t="inlineStr">
        <x:is>
          <x:t xml:space="preserve">육상</x:t>
        </x:is>
      </x:c>
      <x:c r="L543" s="7" t="inlineStr">
        <x:is>
          <x:t xml:space="preserve">건조</x:t>
        </x:is>
      </x:c>
      <x:c r="M543" s="7" t="inlineStr">
        <x:is>
          <x:t xml:space="preserve">고온</x:t>
        </x:is>
      </x:c>
      <x:c r="N543" s="7" t="inlineStr">
        <x:is>
          <x:t xml:space="preserve">건조</x:t>
        </x:is>
      </x:c>
      <x:c r="O543" s="7" t="inlineStr">
        <x:is>
          <x:t xml:space="preserve">맑음</x:t>
        </x:is>
      </x:c>
      <x:c r="P543" s="7" t="inlineStr">
        <x:is>
          <x:t xml:space="preserve">무관</x:t>
        </x:is>
      </x:c>
      <x:c r="Q543" s="7" t="inlineStr">
        <x:is>
          <x:t xml:space="preserve">드묾</x:t>
        </x:is>
      </x:c>
      <x:c r="R543" s="7" t="inlineStr">
        <x:is>
          <x:t xml:space="preserve">없음</x:t>
        </x:is>
      </x:c>
      <x:c r="S543" s="7" t="inlineStr">
        <x:is>
          <x:t xml:space="preserve">건조지</x:t>
        </x:is>
      </x:c>
      <x:c r="T543" s="7" t="inlineStr">
        <x:is>
          <x:t xml:space="preserve"/>
        </x:is>
      </x:c>
      <x:c r="U543" s="8" t="str">
        <x:f>INDEX('서식지_점수'!$E$4:$P$4,1,MATCH(MAX('서식지_점수'!E543:P543),'서식지_점수'!E543:P543,0))</x:f>
        <x:v>평원</x:v>
      </x:c>
      <x:c r="V543" s="8" t="str">
        <x:f>IF(T543&lt;&gt;"",T543,U543)</x:f>
        <x:v>평원</x:v>
      </x:c>
      <x:c r="W543" s="8" t="str">
        <x:f>IFERROR(INDEX('서식지_점수'!$E$4:$P$4,1,MATCH(MAXIFS('서식지_점수'!E543:P543,'서식지_점수'!E543:P543,"&lt;"&amp;MAX('서식지_점수'!E543:P543)),'서식지_점수'!E543:P543,0)),"")</x:f>
        <x:v>숲</x:v>
      </x:c>
      <x:c r="X543" s="8" t="str">
        <x:f>IF(T543&lt;&gt;"","수동확정",IF(MAX('서식지_점수'!E543:P543)-LARGE('서식지_점수'!E543:P543,2)&gt;=15,"높음",IF(MAX('서식지_점수'!E543:P543)-LARGE('서식지_점수'!E543:P543,2)&gt;=8,"보통","검토필요")))</x:f>
        <x:v>검토필요</x:v>
      </x:c>
      <x:c r="Y543" s="9" t="n">
        <x:f>IF(Q543="전설",8,IF(Q543="희귀",7,IF(J543="기본",1,IF(J543="중간",3,IF(J543="최종",IF(I543="",5,IF(I543&lt;=20,3,IF(I543&lt;=35,4,IF(I543&lt;=50,6,7)))),IF(Q543="드묾",4,2))))))</x:f>
        <x:v>4</x:v>
      </x:c>
      <x:c r="Z543" s="5" t="inlineStr">
        <x:is>
          <x:t xml:space="preserve">#cobblemon:is_arid</x:t>
        </x:is>
      </x:c>
      <x:c r="AA543" s="5" t="inlineStr">
        <x:is>
          <x:t xml:space="preserve">rare</x:t>
        </x:is>
      </x:c>
      <x:c r="AB543" s="5" t="inlineStr">
        <x:is>
          <x:t xml:space="preserve">예</x:t>
        </x:is>
      </x:c>
      <x:c r="AC543" s="8" t="str">
        <x:f>IF(T543&lt;&gt;"","수동확정",IF(X543="검토필요","검토필요",IF(S543="","원본없음","초기완료")))</x:f>
        <x:v>검토필요</x:v>
      </x:c>
      <x:c r="AD543" s="7" t="inlineStr">
        <x:is>
          <x:t xml:space="preserve"/>
        </x:is>
      </x:c>
      <x:c r="AE543" s="5" t="inlineStr">
        <x:is>
          <x:t xml:space="preserve">.tmp/cobblemon-1.7.3-source/common/src/main/resources/data/cobblemon/species/generation5/sawk.json</x:t>
        </x:is>
      </x:c>
      <x:c r="AF543" s="5" t="str">
        <x:f>"생활권|"&amp;K543</x:f>
        <x:v>생활권|육상</x:v>
      </x:c>
      <x:c r="AG543" s="5" t="str">
        <x:f>"지형|"&amp;L543</x:f>
        <x:v>지형|건조</x:v>
      </x:c>
      <x:c r="AH543" s="5" t="str">
        <x:f>"온도|"&amp;M543</x:f>
        <x:v>온도|고온</x:v>
      </x:c>
      <x:c r="AI543" s="5" t="str">
        <x:f>"습도|"&amp;N543</x:f>
        <x:v>습도|건조</x:v>
      </x:c>
      <x:c r="AJ543" s="5" t="str">
        <x:f>"날씨|"&amp;O543</x:f>
        <x:v>날씨|맑음</x:v>
      </x:c>
      <x:c r="AK543" s="5" t="str">
        <x:f>"특수태그|"&amp;R543</x:f>
        <x:v>특수태그|없음</x:v>
      </x:c>
      <x:c r="AL543" s="5" t="str">
        <x:f>"원본서식지|"&amp;S543</x:f>
        <x:v>원본서식지|건조지</x:v>
      </x:c>
      <x:c r="AM543" s="5" t="str">
        <x:f>"타입|"&amp;F543</x:f>
        <x:v>타입|격투</x:v>
      </x:c>
      <x:c r="AN543" s="5" t="str">
        <x:f>"타입|"&amp;G543</x:f>
        <x:v>타입|</x:v>
      </x:c>
    </x:row>
    <x:row r="544" ht="24" customHeight="1">
      <x:c r="A544" s="5" t="n">
        <x:v>540</x:v>
      </x:c>
      <x:c r="B544" s="5" t="inlineStr">
        <x:is>
          <x:t xml:space="preserve">두르보</x:t>
        </x:is>
      </x:c>
      <x:c r="C544" s="5" t="inlineStr">
        <x:is>
          <x:t xml:space="preserve">sewaddle</x:t>
        </x:is>
      </x:c>
      <x:c r="D544" s="5" t="inlineStr">
        <x:is>
          <x:t xml:space="preserve">Sewaddle</x:t>
        </x:is>
      </x:c>
      <x:c r="E544" s="5" t="n">
        <x:v>5</x:v>
      </x:c>
      <x:c r="F544" s="5" t="inlineStr">
        <x:is>
          <x:t xml:space="preserve">벌레</x:t>
        </x:is>
      </x:c>
      <x:c r="G544" s="5" t="inlineStr">
        <x:is>
          <x:t xml:space="preserve">풀</x:t>
        </x:is>
      </x:c>
      <x:c r="H544" s="6" t="n">
        <x:v>2.5</x:v>
      </x:c>
      <x:c r="I544" s="5" t="n">
        <x:v>20</x:v>
      </x:c>
      <x:c r="J544" s="5" t="inlineStr">
        <x:is>
          <x:t xml:space="preserve">기본</x:t>
        </x:is>
      </x:c>
      <x:c r="K544" s="7" t="inlineStr">
        <x:is>
          <x:t xml:space="preserve">육상</x:t>
        </x:is>
      </x:c>
      <x:c r="L544" s="7" t="inlineStr">
        <x:is>
          <x:t xml:space="preserve">수목</x:t>
        </x:is>
      </x:c>
      <x:c r="M544" s="7" t="inlineStr">
        <x:is>
          <x:t xml:space="preserve">온대</x:t>
        </x:is>
      </x:c>
      <x:c r="N544" s="7" t="inlineStr">
        <x:is>
          <x:t xml:space="preserve">보통</x:t>
        </x:is>
      </x:c>
      <x:c r="O544" s="7" t="inlineStr">
        <x:is>
          <x:t xml:space="preserve">무관</x:t>
        </x:is>
      </x:c>
      <x:c r="P544" s="7" t="inlineStr">
        <x:is>
          <x:t xml:space="preserve">무관</x:t>
        </x:is>
      </x:c>
      <x:c r="Q544" s="7" t="inlineStr">
        <x:is>
          <x:t xml:space="preserve">흔함</x:t>
        </x:is>
      </x:c>
      <x:c r="R544" s="7" t="inlineStr">
        <x:is>
          <x:t xml:space="preserve">없음</x:t>
        </x:is>
      </x:c>
      <x:c r="S544" s="7" t="inlineStr">
        <x:is>
          <x:t xml:space="preserve">숲</x:t>
        </x:is>
      </x:c>
      <x:c r="T544" s="7" t="inlineStr">
        <x:is>
          <x:t xml:space="preserve"/>
        </x:is>
      </x:c>
      <x:c r="U544" s="8" t="str">
        <x:f>INDEX('서식지_점수'!$E$4:$P$4,1,MATCH(MAX('서식지_점수'!E544:P544),'서식지_점수'!E544:P544,0))</x:f>
        <x:v>평원</x:v>
      </x:c>
      <x:c r="V544" s="8" t="str">
        <x:f>IF(T544&lt;&gt;"",T544,U544)</x:f>
        <x:v>평원</x:v>
      </x:c>
      <x:c r="W544" s="8" t="str">
        <x:f>IFERROR(INDEX('서식지_점수'!$E$4:$P$4,1,MATCH(MAXIFS('서식지_점수'!E544:P544,'서식지_점수'!E544:P544,"&lt;"&amp;MAX('서식지_점수'!E544:P544)),'서식지_점수'!E544:P544,0)),"")</x:f>
        <x:v>숲</x:v>
      </x:c>
      <x:c r="X544" s="8" t="str">
        <x:f>IF(T544&lt;&gt;"","수동확정",IF(MAX('서식지_점수'!E544:P544)-LARGE('서식지_점수'!E544:P544,2)&gt;=15,"높음",IF(MAX('서식지_점수'!E544:P544)-LARGE('서식지_점수'!E544:P544,2)&gt;=8,"보통","검토필요")))</x:f>
        <x:v>검토필요</x:v>
      </x:c>
      <x:c r="Y544" s="9" t="n">
        <x:f>IF(Q544="전설",8,IF(Q544="희귀",7,IF(J544="기본",1,IF(J544="중간",3,IF(J544="최종",IF(I544="",5,IF(I544&lt;=20,3,IF(I544&lt;=35,4,IF(I544&lt;=50,6,7)))),IF(Q544="드묾",4,2))))))</x:f>
        <x:v>1</x:v>
      </x:c>
      <x:c r="Z544" s="5" t="inlineStr">
        <x:is>
          <x:t xml:space="preserve">#cobblemon:is_forest</x:t>
        </x:is>
      </x:c>
      <x:c r="AA544" s="5" t="inlineStr">
        <x:is>
          <x:t xml:space="preserve">common</x:t>
        </x:is>
      </x:c>
      <x:c r="AB544" s="5" t="inlineStr">
        <x:is>
          <x:t xml:space="preserve">예</x:t>
        </x:is>
      </x:c>
      <x:c r="AC544" s="8" t="str">
        <x:f>IF(T544&lt;&gt;"","수동확정",IF(X544="검토필요","검토필요",IF(S544="","원본없음","초기완료")))</x:f>
        <x:v>검토필요</x:v>
      </x:c>
      <x:c r="AD544" s="7" t="inlineStr">
        <x:is>
          <x:t xml:space="preserve"/>
        </x:is>
      </x:c>
      <x:c r="AE544" s="5" t="inlineStr">
        <x:is>
          <x:t xml:space="preserve">.tmp/cobblemon-1.7.3-source/common/src/main/resources/data/cobblemon/species/generation5/sewaddle.json</x:t>
        </x:is>
      </x:c>
      <x:c r="AF544" s="5" t="str">
        <x:f>"생활권|"&amp;K544</x:f>
        <x:v>생활권|육상</x:v>
      </x:c>
      <x:c r="AG544" s="5" t="str">
        <x:f>"지형|"&amp;L544</x:f>
        <x:v>지형|수목</x:v>
      </x:c>
      <x:c r="AH544" s="5" t="str">
        <x:f>"온도|"&amp;M544</x:f>
        <x:v>온도|온대</x:v>
      </x:c>
      <x:c r="AI544" s="5" t="str">
        <x:f>"습도|"&amp;N544</x:f>
        <x:v>습도|보통</x:v>
      </x:c>
      <x:c r="AJ544" s="5" t="str">
        <x:f>"날씨|"&amp;O544</x:f>
        <x:v>날씨|무관</x:v>
      </x:c>
      <x:c r="AK544" s="5" t="str">
        <x:f>"특수태그|"&amp;R544</x:f>
        <x:v>특수태그|없음</x:v>
      </x:c>
      <x:c r="AL544" s="5" t="str">
        <x:f>"원본서식지|"&amp;S544</x:f>
        <x:v>원본서식지|숲</x:v>
      </x:c>
      <x:c r="AM544" s="5" t="str">
        <x:f>"타입|"&amp;F544</x:f>
        <x:v>타입|벌레</x:v>
      </x:c>
      <x:c r="AN544" s="5" t="str">
        <x:f>"타입|"&amp;G544</x:f>
        <x:v>타입|풀</x:v>
      </x:c>
    </x:row>
    <x:row r="545" ht="24" customHeight="1">
      <x:c r="A545" s="5" t="n">
        <x:v>541</x:v>
      </x:c>
      <x:c r="B545" s="5" t="inlineStr">
        <x:is>
          <x:t xml:space="preserve">두르쿤</x:t>
        </x:is>
      </x:c>
      <x:c r="C545" s="5" t="inlineStr">
        <x:is>
          <x:t xml:space="preserve">swadloon</x:t>
        </x:is>
      </x:c>
      <x:c r="D545" s="5" t="inlineStr">
        <x:is>
          <x:t xml:space="preserve">Swadloon</x:t>
        </x:is>
      </x:c>
      <x:c r="E545" s="5" t="n">
        <x:v>5</x:v>
      </x:c>
      <x:c r="F545" s="5" t="inlineStr">
        <x:is>
          <x:t xml:space="preserve">벌레</x:t>
        </x:is>
      </x:c>
      <x:c r="G545" s="5" t="inlineStr">
        <x:is>
          <x:t xml:space="preserve">풀</x:t>
        </x:is>
      </x:c>
      <x:c r="H545" s="6" t="n">
        <x:v>7.3</x:v>
      </x:c>
      <x:c r="I545" s="5" t="n">
        <x:v>20</x:v>
      </x:c>
      <x:c r="J545" s="5" t="inlineStr">
        <x:is>
          <x:t xml:space="preserve">중간</x:t>
        </x:is>
      </x:c>
      <x:c r="K545" s="7" t="inlineStr">
        <x:is>
          <x:t xml:space="preserve">육상</x:t>
        </x:is>
      </x:c>
      <x:c r="L545" s="7" t="inlineStr">
        <x:is>
          <x:t xml:space="preserve">수목</x:t>
        </x:is>
      </x:c>
      <x:c r="M545" s="7" t="inlineStr">
        <x:is>
          <x:t xml:space="preserve">온대</x:t>
        </x:is>
      </x:c>
      <x:c r="N545" s="7" t="inlineStr">
        <x:is>
          <x:t xml:space="preserve">보통</x:t>
        </x:is>
      </x:c>
      <x:c r="O545" s="7" t="inlineStr">
        <x:is>
          <x:t xml:space="preserve">무관</x:t>
        </x:is>
      </x:c>
      <x:c r="P545" s="7" t="inlineStr">
        <x:is>
          <x:t xml:space="preserve">무관</x:t>
        </x:is>
      </x:c>
      <x:c r="Q545" s="7" t="inlineStr">
        <x:is>
          <x:t xml:space="preserve">흔함</x:t>
        </x:is>
      </x:c>
      <x:c r="R545" s="7" t="inlineStr">
        <x:is>
          <x:t xml:space="preserve">없음</x:t>
        </x:is>
      </x:c>
      <x:c r="S545" s="7" t="inlineStr">
        <x:is>
          <x:t xml:space="preserve">숲</x:t>
        </x:is>
      </x:c>
      <x:c r="T545" s="7" t="inlineStr">
        <x:is>
          <x:t xml:space="preserve"/>
        </x:is>
      </x:c>
      <x:c r="U545" s="8" t="str">
        <x:f>INDEX('서식지_점수'!$E$4:$P$4,1,MATCH(MAX('서식지_점수'!E545:P545),'서식지_점수'!E545:P545,0))</x:f>
        <x:v>평원</x:v>
      </x:c>
      <x:c r="V545" s="8" t="str">
        <x:f>IF(T545&lt;&gt;"",T545,U545)</x:f>
        <x:v>평원</x:v>
      </x:c>
      <x:c r="W545" s="8" t="str">
        <x:f>IFERROR(INDEX('서식지_점수'!$E$4:$P$4,1,MATCH(MAXIFS('서식지_점수'!E545:P545,'서식지_점수'!E545:P545,"&lt;"&amp;MAX('서식지_점수'!E545:P545)),'서식지_점수'!E545:P545,0)),"")</x:f>
        <x:v>숲</x:v>
      </x:c>
      <x:c r="X545" s="8" t="str">
        <x:f>IF(T545&lt;&gt;"","수동확정",IF(MAX('서식지_점수'!E545:P545)-LARGE('서식지_점수'!E545:P545,2)&gt;=15,"높음",IF(MAX('서식지_점수'!E545:P545)-LARGE('서식지_점수'!E545:P545,2)&gt;=8,"보통","검토필요")))</x:f>
        <x:v>검토필요</x:v>
      </x:c>
      <x:c r="Y545" s="9" t="n">
        <x:f>IF(Q545="전설",8,IF(Q545="희귀",7,IF(J545="기본",1,IF(J545="중간",3,IF(J545="최종",IF(I545="",5,IF(I545&lt;=20,3,IF(I545&lt;=35,4,IF(I545&lt;=50,6,7)))),IF(Q545="드묾",4,2))))))</x:f>
        <x:v>3</x:v>
      </x:c>
      <x:c r="Z545" s="5" t="inlineStr">
        <x:is>
          <x:t xml:space="preserve">#cobblemon:is_forest</x:t>
        </x:is>
      </x:c>
      <x:c r="AA545" s="5" t="inlineStr">
        <x:is>
          <x:t xml:space="preserve">common</x:t>
        </x:is>
      </x:c>
      <x:c r="AB545" s="5" t="inlineStr">
        <x:is>
          <x:t xml:space="preserve">예</x:t>
        </x:is>
      </x:c>
      <x:c r="AC545" s="8" t="str">
        <x:f>IF(T545&lt;&gt;"","수동확정",IF(X545="검토필요","검토필요",IF(S545="","원본없음","초기완료")))</x:f>
        <x:v>검토필요</x:v>
      </x:c>
      <x:c r="AD545" s="7" t="inlineStr">
        <x:is>
          <x:t xml:space="preserve"/>
        </x:is>
      </x:c>
      <x:c r="AE545" s="5" t="inlineStr">
        <x:is>
          <x:t xml:space="preserve">.tmp/cobblemon-1.7.3-source/common/src/main/resources/data/cobblemon/species/generation5/swadloon.json</x:t>
        </x:is>
      </x:c>
      <x:c r="AF545" s="5" t="str">
        <x:f>"생활권|"&amp;K545</x:f>
        <x:v>생활권|육상</x:v>
      </x:c>
      <x:c r="AG545" s="5" t="str">
        <x:f>"지형|"&amp;L545</x:f>
        <x:v>지형|수목</x:v>
      </x:c>
      <x:c r="AH545" s="5" t="str">
        <x:f>"온도|"&amp;M545</x:f>
        <x:v>온도|온대</x:v>
      </x:c>
      <x:c r="AI545" s="5" t="str">
        <x:f>"습도|"&amp;N545</x:f>
        <x:v>습도|보통</x:v>
      </x:c>
      <x:c r="AJ545" s="5" t="str">
        <x:f>"날씨|"&amp;O545</x:f>
        <x:v>날씨|무관</x:v>
      </x:c>
      <x:c r="AK545" s="5" t="str">
        <x:f>"특수태그|"&amp;R545</x:f>
        <x:v>특수태그|없음</x:v>
      </x:c>
      <x:c r="AL545" s="5" t="str">
        <x:f>"원본서식지|"&amp;S545</x:f>
        <x:v>원본서식지|숲</x:v>
      </x:c>
      <x:c r="AM545" s="5" t="str">
        <x:f>"타입|"&amp;F545</x:f>
        <x:v>타입|벌레</x:v>
      </x:c>
      <x:c r="AN545" s="5" t="str">
        <x:f>"타입|"&amp;G545</x:f>
        <x:v>타입|풀</x:v>
      </x:c>
    </x:row>
    <x:row r="546" ht="24" customHeight="1">
      <x:c r="A546" s="5" t="n">
        <x:v>542</x:v>
      </x:c>
      <x:c r="B546" s="5" t="inlineStr">
        <x:is>
          <x:t xml:space="preserve">모아머</x:t>
        </x:is>
      </x:c>
      <x:c r="C546" s="5" t="inlineStr">
        <x:is>
          <x:t xml:space="preserve">leavanny</x:t>
        </x:is>
      </x:c>
      <x:c r="D546" s="5" t="inlineStr">
        <x:is>
          <x:t xml:space="preserve">Leavanny</x:t>
        </x:is>
      </x:c>
      <x:c r="E546" s="5" t="n">
        <x:v>5</x:v>
      </x:c>
      <x:c r="F546" s="5" t="inlineStr">
        <x:is>
          <x:t xml:space="preserve">벌레</x:t>
        </x:is>
      </x:c>
      <x:c r="G546" s="5" t="inlineStr">
        <x:is>
          <x:t xml:space="preserve">풀</x:t>
        </x:is>
      </x:c>
      <x:c r="H546" s="6" t="n">
        <x:v>20.5</x:v>
      </x:c>
      <x:c r="I546" s="5" t="n">
        <x:v>20</x:v>
      </x:c>
      <x:c r="J546" s="5" t="inlineStr">
        <x:is>
          <x:t xml:space="preserve">최종</x:t>
        </x:is>
      </x:c>
      <x:c r="K546" s="7" t="inlineStr">
        <x:is>
          <x:t xml:space="preserve">육상</x:t>
        </x:is>
      </x:c>
      <x:c r="L546" s="7" t="inlineStr">
        <x:is>
          <x:t xml:space="preserve">수목</x:t>
        </x:is>
      </x:c>
      <x:c r="M546" s="7" t="inlineStr">
        <x:is>
          <x:t xml:space="preserve">온대</x:t>
        </x:is>
      </x:c>
      <x:c r="N546" s="7" t="inlineStr">
        <x:is>
          <x:t xml:space="preserve">보통</x:t>
        </x:is>
      </x:c>
      <x:c r="O546" s="7" t="inlineStr">
        <x:is>
          <x:t xml:space="preserve">무관</x:t>
        </x:is>
      </x:c>
      <x:c r="P546" s="7" t="inlineStr">
        <x:is>
          <x:t xml:space="preserve">무관</x:t>
        </x:is>
      </x:c>
      <x:c r="Q546" s="7" t="inlineStr">
        <x:is>
          <x:t xml:space="preserve">흔함</x:t>
        </x:is>
      </x:c>
      <x:c r="R546" s="7" t="inlineStr">
        <x:is>
          <x:t xml:space="preserve">없음</x:t>
        </x:is>
      </x:c>
      <x:c r="S546" s="7" t="inlineStr">
        <x:is>
          <x:t xml:space="preserve">숲</x:t>
        </x:is>
      </x:c>
      <x:c r="T546" s="7" t="inlineStr">
        <x:is>
          <x:t xml:space="preserve"/>
        </x:is>
      </x:c>
      <x:c r="U546" s="8" t="str">
        <x:f>INDEX('서식지_점수'!$E$4:$P$4,1,MATCH(MAX('서식지_점수'!E546:P546),'서식지_점수'!E546:P546,0))</x:f>
        <x:v>평원</x:v>
      </x:c>
      <x:c r="V546" s="8" t="str">
        <x:f>IF(T546&lt;&gt;"",T546,U546)</x:f>
        <x:v>평원</x:v>
      </x:c>
      <x:c r="W546" s="8" t="str">
        <x:f>IFERROR(INDEX('서식지_점수'!$E$4:$P$4,1,MATCH(MAXIFS('서식지_점수'!E546:P546,'서식지_점수'!E546:P546,"&lt;"&amp;MAX('서식지_점수'!E546:P546)),'서식지_점수'!E546:P546,0)),"")</x:f>
        <x:v>숲</x:v>
      </x:c>
      <x:c r="X546" s="8" t="str">
        <x:f>IF(T546&lt;&gt;"","수동확정",IF(MAX('서식지_점수'!E546:P546)-LARGE('서식지_점수'!E546:P546,2)&gt;=15,"높음",IF(MAX('서식지_점수'!E546:P546)-LARGE('서식지_점수'!E546:P546,2)&gt;=8,"보통","검토필요")))</x:f>
        <x:v>검토필요</x:v>
      </x:c>
      <x:c r="Y546" s="9" t="n">
        <x:f>IF(Q546="전설",8,IF(Q546="희귀",7,IF(J546="기본",1,IF(J546="중간",3,IF(J546="최종",IF(I546="",5,IF(I546&lt;=20,3,IF(I546&lt;=35,4,IF(I546&lt;=50,6,7)))),IF(Q546="드묾",4,2))))))</x:f>
        <x:v>3</x:v>
      </x:c>
      <x:c r="Z546" s="5" t="inlineStr">
        <x:is>
          <x:t xml:space="preserve">#cobblemon:is_forest</x:t>
        </x:is>
      </x:c>
      <x:c r="AA546" s="5" t="inlineStr">
        <x:is>
          <x:t xml:space="preserve">common</x:t>
        </x:is>
      </x:c>
      <x:c r="AB546" s="5" t="inlineStr">
        <x:is>
          <x:t xml:space="preserve">예</x:t>
        </x:is>
      </x:c>
      <x:c r="AC546" s="8" t="str">
        <x:f>IF(T546&lt;&gt;"","수동확정",IF(X546="검토필요","검토필요",IF(S546="","원본없음","초기완료")))</x:f>
        <x:v>검토필요</x:v>
      </x:c>
      <x:c r="AD546" s="7" t="inlineStr">
        <x:is>
          <x:t xml:space="preserve"/>
        </x:is>
      </x:c>
      <x:c r="AE546" s="5" t="inlineStr">
        <x:is>
          <x:t xml:space="preserve">.tmp/cobblemon-1.7.3-source/common/src/main/resources/data/cobblemon/species/generation5/leavanny.json</x:t>
        </x:is>
      </x:c>
      <x:c r="AF546" s="5" t="str">
        <x:f>"생활권|"&amp;K546</x:f>
        <x:v>생활권|육상</x:v>
      </x:c>
      <x:c r="AG546" s="5" t="str">
        <x:f>"지형|"&amp;L546</x:f>
        <x:v>지형|수목</x:v>
      </x:c>
      <x:c r="AH546" s="5" t="str">
        <x:f>"온도|"&amp;M546</x:f>
        <x:v>온도|온대</x:v>
      </x:c>
      <x:c r="AI546" s="5" t="str">
        <x:f>"습도|"&amp;N546</x:f>
        <x:v>습도|보통</x:v>
      </x:c>
      <x:c r="AJ546" s="5" t="str">
        <x:f>"날씨|"&amp;O546</x:f>
        <x:v>날씨|무관</x:v>
      </x:c>
      <x:c r="AK546" s="5" t="str">
        <x:f>"특수태그|"&amp;R546</x:f>
        <x:v>특수태그|없음</x:v>
      </x:c>
      <x:c r="AL546" s="5" t="str">
        <x:f>"원본서식지|"&amp;S546</x:f>
        <x:v>원본서식지|숲</x:v>
      </x:c>
      <x:c r="AM546" s="5" t="str">
        <x:f>"타입|"&amp;F546</x:f>
        <x:v>타입|벌레</x:v>
      </x:c>
      <x:c r="AN546" s="5" t="str">
        <x:f>"타입|"&amp;G546</x:f>
        <x:v>타입|풀</x:v>
      </x:c>
    </x:row>
    <x:row r="547" ht="24" customHeight="1">
      <x:c r="A547" s="5" t="n">
        <x:v>543</x:v>
      </x:c>
      <x:c r="B547" s="5" t="inlineStr">
        <x:is>
          <x:t xml:space="preserve">마디네</x:t>
        </x:is>
      </x:c>
      <x:c r="C547" s="5" t="inlineStr">
        <x:is>
          <x:t xml:space="preserve">venipede</x:t>
        </x:is>
      </x:c>
      <x:c r="D547" s="5" t="inlineStr">
        <x:is>
          <x:t xml:space="preserve">Venipede</x:t>
        </x:is>
      </x:c>
      <x:c r="E547" s="5" t="n">
        <x:v>5</x:v>
      </x:c>
      <x:c r="F547" s="5" t="inlineStr">
        <x:is>
          <x:t xml:space="preserve">벌레</x:t>
        </x:is>
      </x:c>
      <x:c r="G547" s="5" t="inlineStr">
        <x:is>
          <x:t xml:space="preserve">독</x:t>
        </x:is>
      </x:c>
      <x:c r="H547" s="6" t="n">
        <x:v>5.3</x:v>
      </x:c>
      <x:c r="I547" s="5" t="n">
        <x:v>30</x:v>
      </x:c>
      <x:c r="J547" s="5" t="inlineStr">
        <x:is>
          <x:t xml:space="preserve">기본</x:t>
        </x:is>
      </x:c>
      <x:c r="K547" s="7" t="inlineStr">
        <x:is>
          <x:t xml:space="preserve">육상</x:t>
        </x:is>
      </x:c>
      <x:c r="L547" s="7" t="inlineStr">
        <x:is>
          <x:t xml:space="preserve">수목</x:t>
        </x:is>
      </x:c>
      <x:c r="M547" s="7" t="inlineStr">
        <x:is>
          <x:t xml:space="preserve">온대</x:t>
        </x:is>
      </x:c>
      <x:c r="N547" s="7" t="inlineStr">
        <x:is>
          <x:t xml:space="preserve">다습</x:t>
        </x:is>
      </x:c>
      <x:c r="O547" s="7" t="inlineStr">
        <x:is>
          <x:t xml:space="preserve">무관</x:t>
        </x:is>
      </x:c>
      <x:c r="P547" s="7" t="inlineStr">
        <x:is>
          <x:t xml:space="preserve">밤</x:t>
        </x:is>
      </x:c>
      <x:c r="Q547" s="7" t="inlineStr">
        <x:is>
          <x:t xml:space="preserve">흔함</x:t>
        </x:is>
      </x:c>
      <x:c r="R547" s="7" t="inlineStr">
        <x:is>
          <x:t xml:space="preserve">없음</x:t>
        </x:is>
      </x:c>
      <x:c r="S547" s="7" t="inlineStr">
        <x:is>
          <x:t xml:space="preserve">숲</x:t>
        </x:is>
      </x:c>
      <x:c r="T547" s="7" t="inlineStr">
        <x:is>
          <x:t xml:space="preserve"/>
        </x:is>
      </x:c>
      <x:c r="U547" s="8" t="str">
        <x:f>INDEX('서식지_점수'!$E$4:$P$4,1,MATCH(MAX('서식지_점수'!E547:P547),'서식지_점수'!E547:P547,0))</x:f>
        <x:v>평원</x:v>
      </x:c>
      <x:c r="V547" s="8" t="str">
        <x:f>IF(T547&lt;&gt;"",T547,U547)</x:f>
        <x:v>평원</x:v>
      </x:c>
      <x:c r="W547" s="8" t="str">
        <x:f>IFERROR(INDEX('서식지_점수'!$E$4:$P$4,1,MATCH(MAXIFS('서식지_점수'!E547:P547,'서식지_점수'!E547:P547,"&lt;"&amp;MAX('서식지_점수'!E547:P547)),'서식지_점수'!E547:P547,0)),"")</x:f>
        <x:v>숲</x:v>
      </x:c>
      <x:c r="X547" s="8" t="str">
        <x:f>IF(T547&lt;&gt;"","수동확정",IF(MAX('서식지_점수'!E547:P547)-LARGE('서식지_점수'!E547:P547,2)&gt;=15,"높음",IF(MAX('서식지_점수'!E547:P547)-LARGE('서식지_점수'!E547:P547,2)&gt;=8,"보통","검토필요")))</x:f>
        <x:v>검토필요</x:v>
      </x:c>
      <x:c r="Y547" s="9" t="n">
        <x:f>IF(Q547="전설",8,IF(Q547="희귀",7,IF(J547="기본",1,IF(J547="중간",3,IF(J547="최종",IF(I547="",5,IF(I547&lt;=20,3,IF(I547&lt;=35,4,IF(I547&lt;=50,6,7)))),IF(Q547="드묾",4,2))))))</x:f>
        <x:v>1</x:v>
      </x:c>
      <x:c r="Z547" s="5" t="inlineStr">
        <x:is>
          <x:t xml:space="preserve">#cobblemon:is_forest; #cobblemon:is_jungle; #cobblemon:is_lush; #cobblemon:is_overworld; #cobblemon:nether/is_forest; #cobblemon:nether/is_fungus</x:t>
        </x:is>
      </x:c>
      <x:c r="AA547" s="5" t="inlineStr">
        <x:is>
          <x:t xml:space="preserve">common</x:t>
        </x:is>
      </x:c>
      <x:c r="AB547" s="5" t="inlineStr">
        <x:is>
          <x:t xml:space="preserve">예</x:t>
        </x:is>
      </x:c>
      <x:c r="AC547" s="8" t="str">
        <x:f>IF(T547&lt;&gt;"","수동확정",IF(X547="검토필요","검토필요",IF(S547="","원본없음","초기완료")))</x:f>
        <x:v>검토필요</x:v>
      </x:c>
      <x:c r="AD547" s="7" t="inlineStr">
        <x:is>
          <x:t xml:space="preserve"/>
        </x:is>
      </x:c>
      <x:c r="AE547" s="5" t="inlineStr">
        <x:is>
          <x:t xml:space="preserve">.tmp/cobblemon-1.7.3-source/common/src/main/resources/data/cobblemon/species/generation5/venipede.json</x:t>
        </x:is>
      </x:c>
      <x:c r="AF547" s="5" t="str">
        <x:f>"생활권|"&amp;K547</x:f>
        <x:v>생활권|육상</x:v>
      </x:c>
      <x:c r="AG547" s="5" t="str">
        <x:f>"지형|"&amp;L547</x:f>
        <x:v>지형|수목</x:v>
      </x:c>
      <x:c r="AH547" s="5" t="str">
        <x:f>"온도|"&amp;M547</x:f>
        <x:v>온도|온대</x:v>
      </x:c>
      <x:c r="AI547" s="5" t="str">
        <x:f>"습도|"&amp;N547</x:f>
        <x:v>습도|다습</x:v>
      </x:c>
      <x:c r="AJ547" s="5" t="str">
        <x:f>"날씨|"&amp;O547</x:f>
        <x:v>날씨|무관</x:v>
      </x:c>
      <x:c r="AK547" s="5" t="str">
        <x:f>"특수태그|"&amp;R547</x:f>
        <x:v>특수태그|없음</x:v>
      </x:c>
      <x:c r="AL547" s="5" t="str">
        <x:f>"원본서식지|"&amp;S547</x:f>
        <x:v>원본서식지|숲</x:v>
      </x:c>
      <x:c r="AM547" s="5" t="str">
        <x:f>"타입|"&amp;F547</x:f>
        <x:v>타입|벌레</x:v>
      </x:c>
      <x:c r="AN547" s="5" t="str">
        <x:f>"타입|"&amp;G547</x:f>
        <x:v>타입|독</x:v>
      </x:c>
    </x:row>
    <x:row r="548" ht="24" customHeight="1">
      <x:c r="A548" s="5" t="n">
        <x:v>544</x:v>
      </x:c>
      <x:c r="B548" s="5" t="inlineStr">
        <x:is>
          <x:t xml:space="preserve">휠구</x:t>
        </x:is>
      </x:c>
      <x:c r="C548" s="5" t="inlineStr">
        <x:is>
          <x:t xml:space="preserve">whirlipede</x:t>
        </x:is>
      </x:c>
      <x:c r="D548" s="5" t="inlineStr">
        <x:is>
          <x:t xml:space="preserve">Whirlipede</x:t>
        </x:is>
      </x:c>
      <x:c r="E548" s="5" t="n">
        <x:v>5</x:v>
      </x:c>
      <x:c r="F548" s="5" t="inlineStr">
        <x:is>
          <x:t xml:space="preserve">벌레</x:t>
        </x:is>
      </x:c>
      <x:c r="G548" s="5" t="inlineStr">
        <x:is>
          <x:t xml:space="preserve">독</x:t>
        </x:is>
      </x:c>
      <x:c r="H548" s="6" t="n">
        <x:v>58.5</x:v>
      </x:c>
      <x:c r="I548" s="5" t="n">
        <x:v>30</x:v>
      </x:c>
      <x:c r="J548" s="5" t="inlineStr">
        <x:is>
          <x:t xml:space="preserve">중간</x:t>
        </x:is>
      </x:c>
      <x:c r="K548" s="7" t="inlineStr">
        <x:is>
          <x:t xml:space="preserve">육상</x:t>
        </x:is>
      </x:c>
      <x:c r="L548" s="7" t="inlineStr">
        <x:is>
          <x:t xml:space="preserve">수목</x:t>
        </x:is>
      </x:c>
      <x:c r="M548" s="7" t="inlineStr">
        <x:is>
          <x:t xml:space="preserve">온대</x:t>
        </x:is>
      </x:c>
      <x:c r="N548" s="7" t="inlineStr">
        <x:is>
          <x:t xml:space="preserve">다습</x:t>
        </x:is>
      </x:c>
      <x:c r="O548" s="7" t="inlineStr">
        <x:is>
          <x:t xml:space="preserve">무관</x:t>
        </x:is>
      </x:c>
      <x:c r="P548" s="7" t="inlineStr">
        <x:is>
          <x:t xml:space="preserve">밤</x:t>
        </x:is>
      </x:c>
      <x:c r="Q548" s="7" t="inlineStr">
        <x:is>
          <x:t xml:space="preserve">흔함</x:t>
        </x:is>
      </x:c>
      <x:c r="R548" s="7" t="inlineStr">
        <x:is>
          <x:t xml:space="preserve">없음</x:t>
        </x:is>
      </x:c>
      <x:c r="S548" s="7" t="inlineStr">
        <x:is>
          <x:t xml:space="preserve">숲</x:t>
        </x:is>
      </x:c>
      <x:c r="T548" s="7" t="inlineStr">
        <x:is>
          <x:t xml:space="preserve"/>
        </x:is>
      </x:c>
      <x:c r="U548" s="8" t="str">
        <x:f>INDEX('서식지_점수'!$E$4:$P$4,1,MATCH(MAX('서식지_점수'!E548:P548),'서식지_점수'!E548:P548,0))</x:f>
        <x:v>평원</x:v>
      </x:c>
      <x:c r="V548" s="8" t="str">
        <x:f>IF(T548&lt;&gt;"",T548,U548)</x:f>
        <x:v>평원</x:v>
      </x:c>
      <x:c r="W548" s="8" t="str">
        <x:f>IFERROR(INDEX('서식지_점수'!$E$4:$P$4,1,MATCH(MAXIFS('서식지_점수'!E548:P548,'서식지_점수'!E548:P548,"&lt;"&amp;MAX('서식지_점수'!E548:P548)),'서식지_점수'!E548:P548,0)),"")</x:f>
        <x:v>숲</x:v>
      </x:c>
      <x:c r="X548" s="8" t="str">
        <x:f>IF(T548&lt;&gt;"","수동확정",IF(MAX('서식지_점수'!E548:P548)-LARGE('서식지_점수'!E548:P548,2)&gt;=15,"높음",IF(MAX('서식지_점수'!E548:P548)-LARGE('서식지_점수'!E548:P548,2)&gt;=8,"보통","검토필요")))</x:f>
        <x:v>검토필요</x:v>
      </x:c>
      <x:c r="Y548" s="9" t="n">
        <x:f>IF(Q548="전설",8,IF(Q548="희귀",7,IF(J548="기본",1,IF(J548="중간",3,IF(J548="최종",IF(I548="",5,IF(I548&lt;=20,3,IF(I548&lt;=35,4,IF(I548&lt;=50,6,7)))),IF(Q548="드묾",4,2))))))</x:f>
        <x:v>3</x:v>
      </x:c>
      <x:c r="Z548" s="5" t="inlineStr">
        <x:is>
          <x:t xml:space="preserve">#cobblemon:is_forest; #cobblemon:is_jungle; #cobblemon:is_lush; #cobblemon:is_overworld; #cobblemon:nether/is_forest; #cobblemon:nether/is_fungus</x:t>
        </x:is>
      </x:c>
      <x:c r="AA548" s="5" t="inlineStr">
        <x:is>
          <x:t xml:space="preserve">common</x:t>
        </x:is>
      </x:c>
      <x:c r="AB548" s="5" t="inlineStr">
        <x:is>
          <x:t xml:space="preserve">예</x:t>
        </x:is>
      </x:c>
      <x:c r="AC548" s="8" t="str">
        <x:f>IF(T548&lt;&gt;"","수동확정",IF(X548="검토필요","검토필요",IF(S548="","원본없음","초기완료")))</x:f>
        <x:v>검토필요</x:v>
      </x:c>
      <x:c r="AD548" s="7" t="inlineStr">
        <x:is>
          <x:t xml:space="preserve"/>
        </x:is>
      </x:c>
      <x:c r="AE548" s="5" t="inlineStr">
        <x:is>
          <x:t xml:space="preserve">.tmp/cobblemon-1.7.3-source/common/src/main/resources/data/cobblemon/species/generation5/whirlipede.json</x:t>
        </x:is>
      </x:c>
      <x:c r="AF548" s="5" t="str">
        <x:f>"생활권|"&amp;K548</x:f>
        <x:v>생활권|육상</x:v>
      </x:c>
      <x:c r="AG548" s="5" t="str">
        <x:f>"지형|"&amp;L548</x:f>
        <x:v>지형|수목</x:v>
      </x:c>
      <x:c r="AH548" s="5" t="str">
        <x:f>"온도|"&amp;M548</x:f>
        <x:v>온도|온대</x:v>
      </x:c>
      <x:c r="AI548" s="5" t="str">
        <x:f>"습도|"&amp;N548</x:f>
        <x:v>습도|다습</x:v>
      </x:c>
      <x:c r="AJ548" s="5" t="str">
        <x:f>"날씨|"&amp;O548</x:f>
        <x:v>날씨|무관</x:v>
      </x:c>
      <x:c r="AK548" s="5" t="str">
        <x:f>"특수태그|"&amp;R548</x:f>
        <x:v>특수태그|없음</x:v>
      </x:c>
      <x:c r="AL548" s="5" t="str">
        <x:f>"원본서식지|"&amp;S548</x:f>
        <x:v>원본서식지|숲</x:v>
      </x:c>
      <x:c r="AM548" s="5" t="str">
        <x:f>"타입|"&amp;F548</x:f>
        <x:v>타입|벌레</x:v>
      </x:c>
      <x:c r="AN548" s="5" t="str">
        <x:f>"타입|"&amp;G548</x:f>
        <x:v>타입|독</x:v>
      </x:c>
    </x:row>
    <x:row r="549" ht="24" customHeight="1">
      <x:c r="A549" s="5" t="n">
        <x:v>545</x:v>
      </x:c>
      <x:c r="B549" s="5" t="inlineStr">
        <x:is>
          <x:t xml:space="preserve">펜드라</x:t>
        </x:is>
      </x:c>
      <x:c r="C549" s="5" t="inlineStr">
        <x:is>
          <x:t xml:space="preserve">scolipede</x:t>
        </x:is>
      </x:c>
      <x:c r="D549" s="5" t="inlineStr">
        <x:is>
          <x:t xml:space="preserve">Scolipede</x:t>
        </x:is>
      </x:c>
      <x:c r="E549" s="5" t="n">
        <x:v>5</x:v>
      </x:c>
      <x:c r="F549" s="5" t="inlineStr">
        <x:is>
          <x:t xml:space="preserve">벌레</x:t>
        </x:is>
      </x:c>
      <x:c r="G549" s="5" t="inlineStr">
        <x:is>
          <x:t xml:space="preserve">독</x:t>
        </x:is>
      </x:c>
      <x:c r="H549" s="6" t="n">
        <x:v>200.5</x:v>
      </x:c>
      <x:c r="I549" s="5" t="n">
        <x:v>30</x:v>
      </x:c>
      <x:c r="J549" s="5" t="inlineStr">
        <x:is>
          <x:t xml:space="preserve">최종</x:t>
        </x:is>
      </x:c>
      <x:c r="K549" s="7" t="inlineStr">
        <x:is>
          <x:t xml:space="preserve">육상</x:t>
        </x:is>
      </x:c>
      <x:c r="L549" s="7" t="inlineStr">
        <x:is>
          <x:t xml:space="preserve">수목</x:t>
        </x:is>
      </x:c>
      <x:c r="M549" s="7" t="inlineStr">
        <x:is>
          <x:t xml:space="preserve">온대</x:t>
        </x:is>
      </x:c>
      <x:c r="N549" s="7" t="inlineStr">
        <x:is>
          <x:t xml:space="preserve">다습</x:t>
        </x:is>
      </x:c>
      <x:c r="O549" s="7" t="inlineStr">
        <x:is>
          <x:t xml:space="preserve">무관</x:t>
        </x:is>
      </x:c>
      <x:c r="P549" s="7" t="inlineStr">
        <x:is>
          <x:t xml:space="preserve">밤</x:t>
        </x:is>
      </x:c>
      <x:c r="Q549" s="7" t="inlineStr">
        <x:is>
          <x:t xml:space="preserve">흔함</x:t>
        </x:is>
      </x:c>
      <x:c r="R549" s="7" t="inlineStr">
        <x:is>
          <x:t xml:space="preserve">없음</x:t>
        </x:is>
      </x:c>
      <x:c r="S549" s="7" t="inlineStr">
        <x:is>
          <x:t xml:space="preserve">숲</x:t>
        </x:is>
      </x:c>
      <x:c r="T549" s="7" t="inlineStr">
        <x:is>
          <x:t xml:space="preserve"/>
        </x:is>
      </x:c>
      <x:c r="U549" s="8" t="str">
        <x:f>INDEX('서식지_점수'!$E$4:$P$4,1,MATCH(MAX('서식지_점수'!E549:P549),'서식지_점수'!E549:P549,0))</x:f>
        <x:v>평원</x:v>
      </x:c>
      <x:c r="V549" s="8" t="str">
        <x:f>IF(T549&lt;&gt;"",T549,U549)</x:f>
        <x:v>평원</x:v>
      </x:c>
      <x:c r="W549" s="8" t="str">
        <x:f>IFERROR(INDEX('서식지_점수'!$E$4:$P$4,1,MATCH(MAXIFS('서식지_점수'!E549:P549,'서식지_점수'!E549:P549,"&lt;"&amp;MAX('서식지_점수'!E549:P549)),'서식지_점수'!E549:P549,0)),"")</x:f>
        <x:v>숲</x:v>
      </x:c>
      <x:c r="X549" s="8" t="str">
        <x:f>IF(T549&lt;&gt;"","수동확정",IF(MAX('서식지_점수'!E549:P549)-LARGE('서식지_점수'!E549:P549,2)&gt;=15,"높음",IF(MAX('서식지_점수'!E549:P549)-LARGE('서식지_점수'!E549:P549,2)&gt;=8,"보통","검토필요")))</x:f>
        <x:v>검토필요</x:v>
      </x:c>
      <x:c r="Y549" s="9" t="n">
        <x:f>IF(Q549="전설",8,IF(Q549="희귀",7,IF(J549="기본",1,IF(J549="중간",3,IF(J549="최종",IF(I549="",5,IF(I549&lt;=20,3,IF(I549&lt;=35,4,IF(I549&lt;=50,6,7)))),IF(Q549="드묾",4,2))))))</x:f>
        <x:v>4</x:v>
      </x:c>
      <x:c r="Z549" s="5" t="inlineStr">
        <x:is>
          <x:t xml:space="preserve">#cobblemon:is_forest; #cobblemon:is_jungle; #cobblemon:is_lush; #cobblemon:is_overworld; #cobblemon:nether/is_forest; #cobblemon:nether/is_fungus</x:t>
        </x:is>
      </x:c>
      <x:c r="AA549" s="5" t="inlineStr">
        <x:is>
          <x:t xml:space="preserve">common</x:t>
        </x:is>
      </x:c>
      <x:c r="AB549" s="5" t="inlineStr">
        <x:is>
          <x:t xml:space="preserve">예</x:t>
        </x:is>
      </x:c>
      <x:c r="AC549" s="8" t="str">
        <x:f>IF(T549&lt;&gt;"","수동확정",IF(X549="검토필요","검토필요",IF(S549="","원본없음","초기완료")))</x:f>
        <x:v>검토필요</x:v>
      </x:c>
      <x:c r="AD549" s="7" t="inlineStr">
        <x:is>
          <x:t xml:space="preserve"/>
        </x:is>
      </x:c>
      <x:c r="AE549" s="5" t="inlineStr">
        <x:is>
          <x:t xml:space="preserve">.tmp/cobblemon-1.7.3-source/common/src/main/resources/data/cobblemon/species/generation5/scolipede.json</x:t>
        </x:is>
      </x:c>
      <x:c r="AF549" s="5" t="str">
        <x:f>"생활권|"&amp;K549</x:f>
        <x:v>생활권|육상</x:v>
      </x:c>
      <x:c r="AG549" s="5" t="str">
        <x:f>"지형|"&amp;L549</x:f>
        <x:v>지형|수목</x:v>
      </x:c>
      <x:c r="AH549" s="5" t="str">
        <x:f>"온도|"&amp;M549</x:f>
        <x:v>온도|온대</x:v>
      </x:c>
      <x:c r="AI549" s="5" t="str">
        <x:f>"습도|"&amp;N549</x:f>
        <x:v>습도|다습</x:v>
      </x:c>
      <x:c r="AJ549" s="5" t="str">
        <x:f>"날씨|"&amp;O549</x:f>
        <x:v>날씨|무관</x:v>
      </x:c>
      <x:c r="AK549" s="5" t="str">
        <x:f>"특수태그|"&amp;R549</x:f>
        <x:v>특수태그|없음</x:v>
      </x:c>
      <x:c r="AL549" s="5" t="str">
        <x:f>"원본서식지|"&amp;S549</x:f>
        <x:v>원본서식지|숲</x:v>
      </x:c>
      <x:c r="AM549" s="5" t="str">
        <x:f>"타입|"&amp;F549</x:f>
        <x:v>타입|벌레</x:v>
      </x:c>
      <x:c r="AN549" s="5" t="str">
        <x:f>"타입|"&amp;G549</x:f>
        <x:v>타입|독</x:v>
      </x:c>
    </x:row>
    <x:row r="550" ht="24" customHeight="1">
      <x:c r="A550" s="5" t="n">
        <x:v>546</x:v>
      </x:c>
      <x:c r="B550" s="5" t="inlineStr">
        <x:is>
          <x:t xml:space="preserve">소미안</x:t>
        </x:is>
      </x:c>
      <x:c r="C550" s="5" t="inlineStr">
        <x:is>
          <x:t xml:space="preserve">cottonee</x:t>
        </x:is>
      </x:c>
      <x:c r="D550" s="5" t="inlineStr">
        <x:is>
          <x:t xml:space="preserve">Cottonee</x:t>
        </x:is>
      </x:c>
      <x:c r="E550" s="5" t="n">
        <x:v>5</x:v>
      </x:c>
      <x:c r="F550" s="5" t="inlineStr">
        <x:is>
          <x:t xml:space="preserve">풀</x:t>
        </x:is>
      </x:c>
      <x:c r="G550" s="5" t="inlineStr">
        <x:is>
          <x:t xml:space="preserve">페어리</x:t>
        </x:is>
      </x:c>
      <x:c r="H550" s="6" t="n">
        <x:v>0.6</x:v>
      </x:c>
      <x:c r="I550" s="5" t="n"/>
      <x:c r="J550" s="5" t="inlineStr">
        <x:is>
          <x:t xml:space="preserve">기본</x:t>
        </x:is>
      </x:c>
      <x:c r="K550" s="7" t="inlineStr">
        <x:is>
          <x:t xml:space="preserve">비행</x:t>
        </x:is>
      </x:c>
      <x:c r="L550" s="7" t="inlineStr">
        <x:is>
          <x:t xml:space="preserve">개활지</x:t>
        </x:is>
      </x:c>
      <x:c r="M550" s="7" t="inlineStr">
        <x:is>
          <x:t xml:space="preserve">온대</x:t>
        </x:is>
      </x:c>
      <x:c r="N550" s="7" t="inlineStr">
        <x:is>
          <x:t xml:space="preserve">보통</x:t>
        </x:is>
      </x:c>
      <x:c r="O550" s="7" t="inlineStr">
        <x:is>
          <x:t xml:space="preserve">무관</x:t>
        </x:is>
      </x:c>
      <x:c r="P550" s="7" t="inlineStr">
        <x:is>
          <x:t xml:space="preserve">무관</x:t>
        </x:is>
      </x:c>
      <x:c r="Q550" s="7" t="inlineStr">
        <x:is>
          <x:t xml:space="preserve">흔함</x:t>
        </x:is>
      </x:c>
      <x:c r="R550" s="7" t="inlineStr">
        <x:is>
          <x:t xml:space="preserve">없음</x:t>
        </x:is>
      </x:c>
      <x:c r="S550" s="7" t="inlineStr">
        <x:is>
          <x:t xml:space="preserve">평원</x:t>
        </x:is>
      </x:c>
      <x:c r="T550" s="7" t="inlineStr">
        <x:is>
          <x:t xml:space="preserve"/>
        </x:is>
      </x:c>
      <x:c r="U550" s="8" t="str">
        <x:f>INDEX('서식지_점수'!$E$4:$P$4,1,MATCH(MAX('서식지_점수'!E550:P550),'서식지_점수'!E550:P550,0))</x:f>
        <x:v>산악</x:v>
      </x:c>
      <x:c r="V550" s="8" t="str">
        <x:f>IF(T550&lt;&gt;"",T550,U550)</x:f>
        <x:v>산악</x:v>
      </x:c>
      <x:c r="W550" s="8" t="str">
        <x:f>IFERROR(INDEX('서식지_점수'!$E$4:$P$4,1,MATCH(MAXIFS('서식지_점수'!E550:P550,'서식지_점수'!E550:P550,"&lt;"&amp;MAX('서식지_점수'!E550:P550)),'서식지_점수'!E550:P550,0)),"")</x:f>
        <x:v>평원</x:v>
      </x:c>
      <x:c r="X550" s="8" t="str">
        <x:f>IF(T550&lt;&gt;"","수동확정",IF(MAX('서식지_점수'!E550:P550)-LARGE('서식지_점수'!E550:P550,2)&gt;=15,"높음",IF(MAX('서식지_점수'!E550:P550)-LARGE('서식지_점수'!E550:P550,2)&gt;=8,"보통","검토필요")))</x:f>
        <x:v>검토필요</x:v>
      </x:c>
      <x:c r="Y550" s="9" t="n">
        <x:f>IF(Q550="전설",8,IF(Q550="희귀",7,IF(J550="기본",1,IF(J550="중간",3,IF(J550="최종",IF(I550="",5,IF(I550&lt;=20,3,IF(I550&lt;=35,4,IF(I550&lt;=50,6,7)))),IF(Q550="드묾",4,2))))))</x:f>
        <x:v>1</x:v>
      </x:c>
      <x:c r="Z550" s="5" t="inlineStr">
        <x:is>
          <x:t xml:space="preserve">#cobblemon:is_plains; aether:skyroot_grove; aether:skyroot_meadow</x:t>
        </x:is>
      </x:c>
      <x:c r="AA550" s="5" t="inlineStr">
        <x:is>
          <x:t xml:space="preserve">common</x:t>
        </x:is>
      </x:c>
      <x:c r="AB550" s="5" t="inlineStr">
        <x:is>
          <x:t xml:space="preserve">예</x:t>
        </x:is>
      </x:c>
      <x:c r="AC550" s="8" t="str">
        <x:f>IF(T550&lt;&gt;"","수동확정",IF(X550="검토필요","검토필요",IF(S550="","원본없음","초기완료")))</x:f>
        <x:v>검토필요</x:v>
      </x:c>
      <x:c r="AD550" s="7" t="inlineStr">
        <x:is>
          <x:t xml:space="preserve"/>
        </x:is>
      </x:c>
      <x:c r="AE550" s="5" t="inlineStr">
        <x:is>
          <x:t xml:space="preserve">.tmp/cobblemon-1.7.3-source/common/src/main/resources/data/cobblemon/species/generation5/cottonee.json</x:t>
        </x:is>
      </x:c>
      <x:c r="AF550" s="5" t="str">
        <x:f>"생활권|"&amp;K550</x:f>
        <x:v>생활권|비행</x:v>
      </x:c>
      <x:c r="AG550" s="5" t="str">
        <x:f>"지형|"&amp;L550</x:f>
        <x:v>지형|개활지</x:v>
      </x:c>
      <x:c r="AH550" s="5" t="str">
        <x:f>"온도|"&amp;M550</x:f>
        <x:v>온도|온대</x:v>
      </x:c>
      <x:c r="AI550" s="5" t="str">
        <x:f>"습도|"&amp;N550</x:f>
        <x:v>습도|보통</x:v>
      </x:c>
      <x:c r="AJ550" s="5" t="str">
        <x:f>"날씨|"&amp;O550</x:f>
        <x:v>날씨|무관</x:v>
      </x:c>
      <x:c r="AK550" s="5" t="str">
        <x:f>"특수태그|"&amp;R550</x:f>
        <x:v>특수태그|없음</x:v>
      </x:c>
      <x:c r="AL550" s="5" t="str">
        <x:f>"원본서식지|"&amp;S550</x:f>
        <x:v>원본서식지|평원</x:v>
      </x:c>
      <x:c r="AM550" s="5" t="str">
        <x:f>"타입|"&amp;F550</x:f>
        <x:v>타입|풀</x:v>
      </x:c>
      <x:c r="AN550" s="5" t="str">
        <x:f>"타입|"&amp;G550</x:f>
        <x:v>타입|페어리</x:v>
      </x:c>
    </x:row>
    <x:row r="551" ht="24" customHeight="1">
      <x:c r="A551" s="5" t="n">
        <x:v>547</x:v>
      </x:c>
      <x:c r="B551" s="5" t="inlineStr">
        <x:is>
          <x:t xml:space="preserve">엘풍</x:t>
        </x:is>
      </x:c>
      <x:c r="C551" s="5" t="inlineStr">
        <x:is>
          <x:t xml:space="preserve">whimsicott</x:t>
        </x:is>
      </x:c>
      <x:c r="D551" s="5" t="inlineStr">
        <x:is>
          <x:t xml:space="preserve">Whimsicott</x:t>
        </x:is>
      </x:c>
      <x:c r="E551" s="5" t="n">
        <x:v>5</x:v>
      </x:c>
      <x:c r="F551" s="5" t="inlineStr">
        <x:is>
          <x:t xml:space="preserve">풀</x:t>
        </x:is>
      </x:c>
      <x:c r="G551" s="5" t="inlineStr">
        <x:is>
          <x:t xml:space="preserve">페어리</x:t>
        </x:is>
      </x:c>
      <x:c r="H551" s="6" t="n">
        <x:v>6.6</x:v>
      </x:c>
      <x:c r="I551" s="5" t="n"/>
      <x:c r="J551" s="5" t="inlineStr">
        <x:is>
          <x:t xml:space="preserve">최종</x:t>
        </x:is>
      </x:c>
      <x:c r="K551" s="7" t="inlineStr">
        <x:is>
          <x:t xml:space="preserve">비행</x:t>
        </x:is>
      </x:c>
      <x:c r="L551" s="7" t="inlineStr">
        <x:is>
          <x:t xml:space="preserve">개활지</x:t>
        </x:is>
      </x:c>
      <x:c r="M551" s="7" t="inlineStr">
        <x:is>
          <x:t xml:space="preserve">온대</x:t>
        </x:is>
      </x:c>
      <x:c r="N551" s="7" t="inlineStr">
        <x:is>
          <x:t xml:space="preserve">보통</x:t>
        </x:is>
      </x:c>
      <x:c r="O551" s="7" t="inlineStr">
        <x:is>
          <x:t xml:space="preserve">무관</x:t>
        </x:is>
      </x:c>
      <x:c r="P551" s="7" t="inlineStr">
        <x:is>
          <x:t xml:space="preserve">무관</x:t>
        </x:is>
      </x:c>
      <x:c r="Q551" s="7" t="inlineStr">
        <x:is>
          <x:t xml:space="preserve">흔함</x:t>
        </x:is>
      </x:c>
      <x:c r="R551" s="7" t="inlineStr">
        <x:is>
          <x:t xml:space="preserve">없음</x:t>
        </x:is>
      </x:c>
      <x:c r="S551" s="7" t="inlineStr">
        <x:is>
          <x:t xml:space="preserve">평원</x:t>
        </x:is>
      </x:c>
      <x:c r="T551" s="7" t="inlineStr">
        <x:is>
          <x:t xml:space="preserve"/>
        </x:is>
      </x:c>
      <x:c r="U551" s="8" t="str">
        <x:f>INDEX('서식지_점수'!$E$4:$P$4,1,MATCH(MAX('서식지_점수'!E551:P551),'서식지_점수'!E551:P551,0))</x:f>
        <x:v>산악</x:v>
      </x:c>
      <x:c r="V551" s="8" t="str">
        <x:f>IF(T551&lt;&gt;"",T551,U551)</x:f>
        <x:v>산악</x:v>
      </x:c>
      <x:c r="W551" s="8" t="str">
        <x:f>IFERROR(INDEX('서식지_점수'!$E$4:$P$4,1,MATCH(MAXIFS('서식지_점수'!E551:P551,'서식지_점수'!E551:P551,"&lt;"&amp;MAX('서식지_점수'!E551:P551)),'서식지_점수'!E551:P551,0)),"")</x:f>
        <x:v>평원</x:v>
      </x:c>
      <x:c r="X551" s="8" t="str">
        <x:f>IF(T551&lt;&gt;"","수동확정",IF(MAX('서식지_점수'!E551:P551)-LARGE('서식지_점수'!E551:P551,2)&gt;=15,"높음",IF(MAX('서식지_점수'!E551:P551)-LARGE('서식지_점수'!E551:P551,2)&gt;=8,"보통","검토필요")))</x:f>
        <x:v>검토필요</x:v>
      </x:c>
      <x:c r="Y551" s="9" t="n">
        <x:f>IF(Q551="전설",8,IF(Q551="희귀",7,IF(J551="기본",1,IF(J551="중간",3,IF(J551="최종",IF(I551="",5,IF(I551&lt;=20,3,IF(I551&lt;=35,4,IF(I551&lt;=50,6,7)))),IF(Q551="드묾",4,2))))))</x:f>
        <x:v>5</x:v>
      </x:c>
      <x:c r="Z551" s="5" t="inlineStr">
        <x:is>
          <x:t xml:space="preserve">#cobblemon:is_plains; aether:skyroot_grove; aether:skyroot_meadow</x:t>
        </x:is>
      </x:c>
      <x:c r="AA551" s="5" t="inlineStr">
        <x:is>
          <x:t xml:space="preserve">common</x:t>
        </x:is>
      </x:c>
      <x:c r="AB551" s="5" t="inlineStr">
        <x:is>
          <x:t xml:space="preserve">예</x:t>
        </x:is>
      </x:c>
      <x:c r="AC551" s="8" t="str">
        <x:f>IF(T551&lt;&gt;"","수동확정",IF(X551="검토필요","검토필요",IF(S551="","원본없음","초기완료")))</x:f>
        <x:v>검토필요</x:v>
      </x:c>
      <x:c r="AD551" s="7" t="inlineStr">
        <x:is>
          <x:t xml:space="preserve"/>
        </x:is>
      </x:c>
      <x:c r="AE551" s="5" t="inlineStr">
        <x:is>
          <x:t xml:space="preserve">.tmp/cobblemon-1.7.3-source/common/src/main/resources/data/cobblemon/species/generation5/whimsicott.json</x:t>
        </x:is>
      </x:c>
      <x:c r="AF551" s="5" t="str">
        <x:f>"생활권|"&amp;K551</x:f>
        <x:v>생활권|비행</x:v>
      </x:c>
      <x:c r="AG551" s="5" t="str">
        <x:f>"지형|"&amp;L551</x:f>
        <x:v>지형|개활지</x:v>
      </x:c>
      <x:c r="AH551" s="5" t="str">
        <x:f>"온도|"&amp;M551</x:f>
        <x:v>온도|온대</x:v>
      </x:c>
      <x:c r="AI551" s="5" t="str">
        <x:f>"습도|"&amp;N551</x:f>
        <x:v>습도|보통</x:v>
      </x:c>
      <x:c r="AJ551" s="5" t="str">
        <x:f>"날씨|"&amp;O551</x:f>
        <x:v>날씨|무관</x:v>
      </x:c>
      <x:c r="AK551" s="5" t="str">
        <x:f>"특수태그|"&amp;R551</x:f>
        <x:v>특수태그|없음</x:v>
      </x:c>
      <x:c r="AL551" s="5" t="str">
        <x:f>"원본서식지|"&amp;S551</x:f>
        <x:v>원본서식지|평원</x:v>
      </x:c>
      <x:c r="AM551" s="5" t="str">
        <x:f>"타입|"&amp;F551</x:f>
        <x:v>타입|풀</x:v>
      </x:c>
      <x:c r="AN551" s="5" t="str">
        <x:f>"타입|"&amp;G551</x:f>
        <x:v>타입|페어리</x:v>
      </x:c>
    </x:row>
    <x:row r="552" ht="24" customHeight="1">
      <x:c r="A552" s="5" t="n">
        <x:v>548</x:v>
      </x:c>
      <x:c r="B552" s="5" t="inlineStr">
        <x:is>
          <x:t xml:space="preserve">치릴리</x:t>
        </x:is>
      </x:c>
      <x:c r="C552" s="5" t="inlineStr">
        <x:is>
          <x:t xml:space="preserve">petilil</x:t>
        </x:is>
      </x:c>
      <x:c r="D552" s="5" t="inlineStr">
        <x:is>
          <x:t xml:space="preserve">Petilil</x:t>
        </x:is>
      </x:c>
      <x:c r="E552" s="5" t="n">
        <x:v>5</x:v>
      </x:c>
      <x:c r="F552" s="5" t="inlineStr">
        <x:is>
          <x:t xml:space="preserve">풀</x:t>
        </x:is>
      </x:c>
      <x:c r="G552" s="5" t="inlineStr">
        <x:is>
          <x:t xml:space="preserve"/>
        </x:is>
      </x:c>
      <x:c r="H552" s="6" t="n">
        <x:v>6.6</x:v>
      </x:c>
      <x:c r="I552" s="5" t="n"/>
      <x:c r="J552" s="5" t="inlineStr">
        <x:is>
          <x:t xml:space="preserve">기본</x:t>
        </x:is>
      </x:c>
      <x:c r="K552" s="7" t="inlineStr">
        <x:is>
          <x:t xml:space="preserve">육상</x:t>
        </x:is>
      </x:c>
      <x:c r="L552" s="7" t="inlineStr">
        <x:is>
          <x:t xml:space="preserve">암석</x:t>
        </x:is>
      </x:c>
      <x:c r="M552" s="7" t="inlineStr">
        <x:is>
          <x:t xml:space="preserve">온대</x:t>
        </x:is>
      </x:c>
      <x:c r="N552" s="7" t="inlineStr">
        <x:is>
          <x:t xml:space="preserve">보통</x:t>
        </x:is>
      </x:c>
      <x:c r="O552" s="7" t="inlineStr">
        <x:is>
          <x:t xml:space="preserve">무관</x:t>
        </x:is>
      </x:c>
      <x:c r="P552" s="7" t="inlineStr">
        <x:is>
          <x:t xml:space="preserve">무관</x:t>
        </x:is>
      </x:c>
      <x:c r="Q552" s="7" t="inlineStr">
        <x:is>
          <x:t xml:space="preserve">흔함</x:t>
        </x:is>
      </x:c>
      <x:c r="R552" s="7" t="inlineStr">
        <x:is>
          <x:t xml:space="preserve">없음</x:t>
        </x:is>
      </x:c>
      <x:c r="S552" s="7" t="inlineStr">
        <x:is>
          <x:t xml:space="preserve">산악</x:t>
        </x:is>
      </x:c>
      <x:c r="T552" s="7" t="inlineStr">
        <x:is>
          <x:t xml:space="preserve"/>
        </x:is>
      </x:c>
      <x:c r="U552" s="8" t="str">
        <x:f>INDEX('서식지_점수'!$E$4:$P$4,1,MATCH(MAX('서식지_점수'!E552:P552),'서식지_점수'!E552:P552,0))</x:f>
        <x:v>평원</x:v>
      </x:c>
      <x:c r="V552" s="8" t="str">
        <x:f>IF(T552&lt;&gt;"",T552,U552)</x:f>
        <x:v>평원</x:v>
      </x:c>
      <x:c r="W552" s="8" t="str">
        <x:f>IFERROR(INDEX('서식지_점수'!$E$4:$P$4,1,MATCH(MAXIFS('서식지_점수'!E552:P552,'서식지_점수'!E552:P552,"&lt;"&amp;MAX('서식지_점수'!E552:P552)),'서식지_점수'!E552:P552,0)),"")</x:f>
        <x:v>숲</x:v>
      </x:c>
      <x:c r="X552" s="8" t="str">
        <x:f>IF(T552&lt;&gt;"","수동확정",IF(MAX('서식지_점수'!E552:P552)-LARGE('서식지_점수'!E552:P552,2)&gt;=15,"높음",IF(MAX('서식지_점수'!E552:P552)-LARGE('서식지_점수'!E552:P552,2)&gt;=8,"보통","검토필요")))</x:f>
        <x:v>검토필요</x:v>
      </x:c>
      <x:c r="Y552" s="9" t="n">
        <x:f>IF(Q552="전설",8,IF(Q552="희귀",7,IF(J552="기본",1,IF(J552="중간",3,IF(J552="최종",IF(I552="",5,IF(I552&lt;=20,3,IF(I552&lt;=35,4,IF(I552&lt;=50,6,7)))),IF(Q552="드묾",4,2))))))</x:f>
        <x:v>1</x:v>
      </x:c>
      <x:c r="Z552" s="5" t="inlineStr">
        <x:is>
          <x:t xml:space="preserve">#aether:is_aether; #cobblemon:is_floral; #cobblemon:is_forest; #cobblemon:is_hills; #cobblemon:is_tropical_island; the_bumblezone:floral_meadow</x:t>
        </x:is>
      </x:c>
      <x:c r="AA552" s="5" t="inlineStr">
        <x:is>
          <x:t xml:space="preserve">common</x:t>
        </x:is>
      </x:c>
      <x:c r="AB552" s="5" t="inlineStr">
        <x:is>
          <x:t xml:space="preserve">예</x:t>
        </x:is>
      </x:c>
      <x:c r="AC552" s="8" t="str">
        <x:f>IF(T552&lt;&gt;"","수동확정",IF(X552="검토필요","검토필요",IF(S552="","원본없음","초기완료")))</x:f>
        <x:v>검토필요</x:v>
      </x:c>
      <x:c r="AD552" s="7" t="inlineStr">
        <x:is>
          <x:t xml:space="preserve"/>
        </x:is>
      </x:c>
      <x:c r="AE552" s="5" t="inlineStr">
        <x:is>
          <x:t xml:space="preserve">.tmp/cobblemon-1.7.3-source/common/src/main/resources/data/cobblemon/species/generation5/petilil.json</x:t>
        </x:is>
      </x:c>
      <x:c r="AF552" s="5" t="str">
        <x:f>"생활권|"&amp;K552</x:f>
        <x:v>생활권|육상</x:v>
      </x:c>
      <x:c r="AG552" s="5" t="str">
        <x:f>"지형|"&amp;L552</x:f>
        <x:v>지형|암석</x:v>
      </x:c>
      <x:c r="AH552" s="5" t="str">
        <x:f>"온도|"&amp;M552</x:f>
        <x:v>온도|온대</x:v>
      </x:c>
      <x:c r="AI552" s="5" t="str">
        <x:f>"습도|"&amp;N552</x:f>
        <x:v>습도|보통</x:v>
      </x:c>
      <x:c r="AJ552" s="5" t="str">
        <x:f>"날씨|"&amp;O552</x:f>
        <x:v>날씨|무관</x:v>
      </x:c>
      <x:c r="AK552" s="5" t="str">
        <x:f>"특수태그|"&amp;R552</x:f>
        <x:v>특수태그|없음</x:v>
      </x:c>
      <x:c r="AL552" s="5" t="str">
        <x:f>"원본서식지|"&amp;S552</x:f>
        <x:v>원본서식지|산악</x:v>
      </x:c>
      <x:c r="AM552" s="5" t="str">
        <x:f>"타입|"&amp;F552</x:f>
        <x:v>타입|풀</x:v>
      </x:c>
      <x:c r="AN552" s="5" t="str">
        <x:f>"타입|"&amp;G552</x:f>
        <x:v>타입|</x:v>
      </x:c>
    </x:row>
    <x:row r="553" ht="24" customHeight="1">
      <x:c r="A553" s="5" t="n">
        <x:v>549</x:v>
      </x:c>
      <x:c r="B553" s="5" t="inlineStr">
        <x:is>
          <x:t xml:space="preserve">드레디어</x:t>
        </x:is>
      </x:c>
      <x:c r="C553" s="5" t="inlineStr">
        <x:is>
          <x:t xml:space="preserve">lilligant</x:t>
        </x:is>
      </x:c>
      <x:c r="D553" s="5" t="inlineStr">
        <x:is>
          <x:t xml:space="preserve">Lilligant</x:t>
        </x:is>
      </x:c>
      <x:c r="E553" s="5" t="n">
        <x:v>5</x:v>
      </x:c>
      <x:c r="F553" s="5" t="inlineStr">
        <x:is>
          <x:t xml:space="preserve">풀</x:t>
        </x:is>
      </x:c>
      <x:c r="G553" s="5" t="inlineStr">
        <x:is>
          <x:t xml:space="preserve"/>
        </x:is>
      </x:c>
      <x:c r="H553" s="6" t="n">
        <x:v>16.3</x:v>
      </x:c>
      <x:c r="I553" s="5" t="n"/>
      <x:c r="J553" s="5" t="inlineStr">
        <x:is>
          <x:t xml:space="preserve">최종</x:t>
        </x:is>
      </x:c>
      <x:c r="K553" s="7" t="inlineStr">
        <x:is>
          <x:t xml:space="preserve">육상</x:t>
        </x:is>
      </x:c>
      <x:c r="L553" s="7" t="inlineStr">
        <x:is>
          <x:t xml:space="preserve">암석</x:t>
        </x:is>
      </x:c>
      <x:c r="M553" s="7" t="inlineStr">
        <x:is>
          <x:t xml:space="preserve">온대</x:t>
        </x:is>
      </x:c>
      <x:c r="N553" s="7" t="inlineStr">
        <x:is>
          <x:t xml:space="preserve">보통</x:t>
        </x:is>
      </x:c>
      <x:c r="O553" s="7" t="inlineStr">
        <x:is>
          <x:t xml:space="preserve">무관</x:t>
        </x:is>
      </x:c>
      <x:c r="P553" s="7" t="inlineStr">
        <x:is>
          <x:t xml:space="preserve">무관</x:t>
        </x:is>
      </x:c>
      <x:c r="Q553" s="7" t="inlineStr">
        <x:is>
          <x:t xml:space="preserve">흔함</x:t>
        </x:is>
      </x:c>
      <x:c r="R553" s="7" t="inlineStr">
        <x:is>
          <x:t xml:space="preserve">없음</x:t>
        </x:is>
      </x:c>
      <x:c r="S553" s="7" t="inlineStr">
        <x:is>
          <x:t xml:space="preserve">산악</x:t>
        </x:is>
      </x:c>
      <x:c r="T553" s="7" t="inlineStr">
        <x:is>
          <x:t xml:space="preserve"/>
        </x:is>
      </x:c>
      <x:c r="U553" s="8" t="str">
        <x:f>INDEX('서식지_점수'!$E$4:$P$4,1,MATCH(MAX('서식지_점수'!E553:P553),'서식지_점수'!E553:P553,0))</x:f>
        <x:v>평원</x:v>
      </x:c>
      <x:c r="V553" s="8" t="str">
        <x:f>IF(T553&lt;&gt;"",T553,U553)</x:f>
        <x:v>평원</x:v>
      </x:c>
      <x:c r="W553" s="8" t="str">
        <x:f>IFERROR(INDEX('서식지_점수'!$E$4:$P$4,1,MATCH(MAXIFS('서식지_점수'!E553:P553,'서식지_점수'!E553:P553,"&lt;"&amp;MAX('서식지_점수'!E553:P553)),'서식지_점수'!E553:P553,0)),"")</x:f>
        <x:v>숲</x:v>
      </x:c>
      <x:c r="X553" s="8" t="str">
        <x:f>IF(T553&lt;&gt;"","수동확정",IF(MAX('서식지_점수'!E553:P553)-LARGE('서식지_점수'!E553:P553,2)&gt;=15,"높음",IF(MAX('서식지_점수'!E553:P553)-LARGE('서식지_점수'!E553:P553,2)&gt;=8,"보통","검토필요")))</x:f>
        <x:v>검토필요</x:v>
      </x:c>
      <x:c r="Y553" s="9" t="n">
        <x:f>IF(Q553="전설",8,IF(Q553="희귀",7,IF(J553="기본",1,IF(J553="중간",3,IF(J553="최종",IF(I553="",5,IF(I553&lt;=20,3,IF(I553&lt;=35,4,IF(I553&lt;=50,6,7)))),IF(Q553="드묾",4,2))))))</x:f>
        <x:v>5</x:v>
      </x:c>
      <x:c r="Z553" s="5" t="inlineStr">
        <x:is>
          <x:t xml:space="preserve">#aether:is_aether; #cobblemon:is_floral; #cobblemon:is_forest; #cobblemon:is_hills; #cobblemon:is_tropical_island; the_bumblezone:floral_meadow</x:t>
        </x:is>
      </x:c>
      <x:c r="AA553" s="5" t="inlineStr">
        <x:is>
          <x:t xml:space="preserve">common</x:t>
        </x:is>
      </x:c>
      <x:c r="AB553" s="5" t="inlineStr">
        <x:is>
          <x:t xml:space="preserve">예</x:t>
        </x:is>
      </x:c>
      <x:c r="AC553" s="8" t="str">
        <x:f>IF(T553&lt;&gt;"","수동확정",IF(X553="검토필요","검토필요",IF(S553="","원본없음","초기완료")))</x:f>
        <x:v>검토필요</x:v>
      </x:c>
      <x:c r="AD553" s="7" t="inlineStr">
        <x:is>
          <x:t xml:space="preserve"/>
        </x:is>
      </x:c>
      <x:c r="AE553" s="5" t="inlineStr">
        <x:is>
          <x:t xml:space="preserve">.tmp/cobblemon-1.7.3-source/common/src/main/resources/data/cobblemon/species/generation5/lilligant.json</x:t>
        </x:is>
      </x:c>
      <x:c r="AF553" s="5" t="str">
        <x:f>"생활권|"&amp;K553</x:f>
        <x:v>생활권|육상</x:v>
      </x:c>
      <x:c r="AG553" s="5" t="str">
        <x:f>"지형|"&amp;L553</x:f>
        <x:v>지형|암석</x:v>
      </x:c>
      <x:c r="AH553" s="5" t="str">
        <x:f>"온도|"&amp;M553</x:f>
        <x:v>온도|온대</x:v>
      </x:c>
      <x:c r="AI553" s="5" t="str">
        <x:f>"습도|"&amp;N553</x:f>
        <x:v>습도|보통</x:v>
      </x:c>
      <x:c r="AJ553" s="5" t="str">
        <x:f>"날씨|"&amp;O553</x:f>
        <x:v>날씨|무관</x:v>
      </x:c>
      <x:c r="AK553" s="5" t="str">
        <x:f>"특수태그|"&amp;R553</x:f>
        <x:v>특수태그|없음</x:v>
      </x:c>
      <x:c r="AL553" s="5" t="str">
        <x:f>"원본서식지|"&amp;S553</x:f>
        <x:v>원본서식지|산악</x:v>
      </x:c>
      <x:c r="AM553" s="5" t="str">
        <x:f>"타입|"&amp;F553</x:f>
        <x:v>타입|풀</x:v>
      </x:c>
      <x:c r="AN553" s="5" t="str">
        <x:f>"타입|"&amp;G553</x:f>
        <x:v>타입|</x:v>
      </x:c>
    </x:row>
    <x:row r="554" ht="24" customHeight="1">
      <x:c r="A554" s="5" t="n">
        <x:v>550</x:v>
      </x:c>
      <x:c r="B554" s="5" t="inlineStr">
        <x:is>
          <x:t xml:space="preserve">배쓰나이</x:t>
        </x:is>
      </x:c>
      <x:c r="C554" s="5" t="inlineStr">
        <x:is>
          <x:t xml:space="preserve">basculin</x:t>
        </x:is>
      </x:c>
      <x:c r="D554" s="5" t="inlineStr">
        <x:is>
          <x:t xml:space="preserve">Basculin</x:t>
        </x:is>
      </x:c>
      <x:c r="E554" s="5" t="n">
        <x:v>5</x:v>
      </x:c>
      <x:c r="F554" s="5" t="inlineStr">
        <x:is>
          <x:t xml:space="preserve">물</x:t>
        </x:is>
      </x:c>
      <x:c r="G554" s="5" t="inlineStr">
        <x:is>
          <x:t xml:space="preserve"/>
        </x:is>
      </x:c>
      <x:c r="H554" s="6" t="n">
        <x:v>18</x:v>
      </x:c>
      <x:c r="I554" s="5" t="n"/>
      <x:c r="J554" s="5" t="inlineStr">
        <x:is>
          <x:t xml:space="preserve">무진화</x:t>
        </x:is>
      </x:c>
      <x:c r="K554" s="7" t="inlineStr">
        <x:is>
          <x:t xml:space="preserve">담수</x:t>
        </x:is>
      </x:c>
      <x:c r="L554" s="7" t="inlineStr">
        <x:is>
          <x:t xml:space="preserve">담수</x:t>
        </x:is>
      </x:c>
      <x:c r="M554" s="7" t="inlineStr">
        <x:is>
          <x:t xml:space="preserve">서늘</x:t>
        </x:is>
      </x:c>
      <x:c r="N554" s="7" t="inlineStr">
        <x:is>
          <x:t xml:space="preserve">수중</x:t>
        </x:is>
      </x:c>
      <x:c r="O554" s="7" t="inlineStr">
        <x:is>
          <x:t xml:space="preserve">비</x:t>
        </x:is>
      </x:c>
      <x:c r="P554" s="7" t="inlineStr">
        <x:is>
          <x:t xml:space="preserve">무관</x:t>
        </x:is>
      </x:c>
      <x:c r="Q554" s="7" t="inlineStr">
        <x:is>
          <x:t xml:space="preserve">흔함</x:t>
        </x:is>
      </x:c>
      <x:c r="R554" s="7" t="inlineStr">
        <x:is>
          <x:t xml:space="preserve">없음</x:t>
        </x:is>
      </x:c>
      <x:c r="S554" s="7" t="inlineStr">
        <x:is>
          <x:t xml:space="preserve">담수</x:t>
        </x:is>
      </x:c>
      <x:c r="T554" s="7" t="inlineStr">
        <x:is>
          <x:t xml:space="preserve"/>
        </x:is>
      </x:c>
      <x:c r="U554" s="8" t="str">
        <x:f>INDEX('서식지_점수'!$E$4:$P$4,1,MATCH(MAX('서식지_점수'!E554:P554),'서식지_점수'!E554:P554,0))</x:f>
        <x:v>담수</x:v>
      </x:c>
      <x:c r="V554" s="8" t="str">
        <x:f>IF(T554&lt;&gt;"",T554,U554)</x:f>
        <x:v>담수</x:v>
      </x:c>
      <x:c r="W554" s="8" t="str">
        <x:f>IFERROR(INDEX('서식지_점수'!$E$4:$P$4,1,MATCH(MAXIFS('서식지_점수'!E554:P554,'서식지_점수'!E554:P554,"&lt;"&amp;MAX('서식지_점수'!E554:P554)),'서식지_점수'!E554:P554,0)),"")</x:f>
        <x:v>습지</x:v>
      </x:c>
      <x:c r="X554" s="8" t="str">
        <x:f>IF(T554&lt;&gt;"","수동확정",IF(MAX('서식지_점수'!E554:P554)-LARGE('서식지_점수'!E554:P554,2)&gt;=15,"높음",IF(MAX('서식지_점수'!E554:P554)-LARGE('서식지_점수'!E554:P554,2)&gt;=8,"보통","검토필요")))</x:f>
        <x:v>높음</x:v>
      </x:c>
      <x:c r="Y554" s="9" t="n">
        <x:f>IF(Q554="전설",8,IF(Q554="희귀",7,IF(J554="기본",1,IF(J554="중간",3,IF(J554="최종",IF(I554="",5,IF(I554&lt;=20,3,IF(I554&lt;=35,4,IF(I554&lt;=50,6,7)))),IF(Q554="드묾",4,2))))))</x:f>
        <x:v>2</x:v>
      </x:c>
      <x:c r="Z554" s="5" t="inlineStr">
        <x:is>
          <x:t xml:space="preserve">#cobblemon:is_arid; #cobblemon:is_forest; #cobblemon:is_freshwater; #cobblemon:is_grassland; #cobblemon:is_jungle; #cobblemon:is_mountain; #cobblemon:is_snowy_forest; #cobblemon:is_taiga; #cobblemon:is_tundra</x:t>
        </x:is>
      </x:c>
      <x:c r="AA554" s="5" t="inlineStr">
        <x:is>
          <x:t xml:space="preserve">common</x:t>
        </x:is>
      </x:c>
      <x:c r="AB554" s="5" t="inlineStr">
        <x:is>
          <x:t xml:space="preserve">예</x:t>
        </x:is>
      </x:c>
      <x:c r="AC554" s="8" t="str">
        <x:f>IF(T554&lt;&gt;"","수동확정",IF(X554="검토필요","검토필요",IF(S554="","원본없음","초기완료")))</x:f>
        <x:v>초기완료</x:v>
      </x:c>
      <x:c r="AD554" s="7" t="inlineStr">
        <x:is>
          <x:t xml:space="preserve"/>
        </x:is>
      </x:c>
      <x:c r="AE554" s="5" t="inlineStr">
        <x:is>
          <x:t xml:space="preserve">.tmp/cobblemon-1.7.3-source/common/src/main/resources/data/cobblemon/species/generation5/basculin.json</x:t>
        </x:is>
      </x:c>
      <x:c r="AF554" s="5" t="str">
        <x:f>"생활권|"&amp;K554</x:f>
        <x:v>생활권|담수</x:v>
      </x:c>
      <x:c r="AG554" s="5" t="str">
        <x:f>"지형|"&amp;L554</x:f>
        <x:v>지형|담수</x:v>
      </x:c>
      <x:c r="AH554" s="5" t="str">
        <x:f>"온도|"&amp;M554</x:f>
        <x:v>온도|서늘</x:v>
      </x:c>
      <x:c r="AI554" s="5" t="str">
        <x:f>"습도|"&amp;N554</x:f>
        <x:v>습도|수중</x:v>
      </x:c>
      <x:c r="AJ554" s="5" t="str">
        <x:f>"날씨|"&amp;O554</x:f>
        <x:v>날씨|비</x:v>
      </x:c>
      <x:c r="AK554" s="5" t="str">
        <x:f>"특수태그|"&amp;R554</x:f>
        <x:v>특수태그|없음</x:v>
      </x:c>
      <x:c r="AL554" s="5" t="str">
        <x:f>"원본서식지|"&amp;S554</x:f>
        <x:v>원본서식지|담수</x:v>
      </x:c>
      <x:c r="AM554" s="5" t="str">
        <x:f>"타입|"&amp;F554</x:f>
        <x:v>타입|물</x:v>
      </x:c>
      <x:c r="AN554" s="5" t="str">
        <x:f>"타입|"&amp;G554</x:f>
        <x:v>타입|</x:v>
      </x:c>
    </x:row>
    <x:row r="555" ht="24" customHeight="1">
      <x:c r="A555" s="5" t="n">
        <x:v>551</x:v>
      </x:c>
      <x:c r="B555" s="5" t="inlineStr">
        <x:is>
          <x:t xml:space="preserve">깜눈크</x:t>
        </x:is>
      </x:c>
      <x:c r="C555" s="5" t="inlineStr">
        <x:is>
          <x:t xml:space="preserve">sandile</x:t>
        </x:is>
      </x:c>
      <x:c r="D555" s="5" t="inlineStr">
        <x:is>
          <x:t xml:space="preserve">Sandile</x:t>
        </x:is>
      </x:c>
      <x:c r="E555" s="5" t="n">
        <x:v>5</x:v>
      </x:c>
      <x:c r="F555" s="5" t="inlineStr">
        <x:is>
          <x:t xml:space="preserve">땅</x:t>
        </x:is>
      </x:c>
      <x:c r="G555" s="5" t="inlineStr">
        <x:is>
          <x:t xml:space="preserve">악</x:t>
        </x:is>
      </x:c>
      <x:c r="H555" s="6" t="n">
        <x:v>15.2</x:v>
      </x:c>
      <x:c r="I555" s="5" t="n">
        <x:v>40</x:v>
      </x:c>
      <x:c r="J555" s="5" t="inlineStr">
        <x:is>
          <x:t xml:space="preserve">기본</x:t>
        </x:is>
      </x:c>
      <x:c r="K555" s="7" t="inlineStr">
        <x:is>
          <x:t xml:space="preserve">육상</x:t>
        </x:is>
      </x:c>
      <x:c r="L555" s="7" t="inlineStr">
        <x:is>
          <x:t xml:space="preserve">건조</x:t>
        </x:is>
      </x:c>
      <x:c r="M555" s="7" t="inlineStr">
        <x:is>
          <x:t xml:space="preserve">고온</x:t>
        </x:is>
      </x:c>
      <x:c r="N555" s="7" t="inlineStr">
        <x:is>
          <x:t xml:space="preserve">건조</x:t>
        </x:is>
      </x:c>
      <x:c r="O555" s="7" t="inlineStr">
        <x:is>
          <x:t xml:space="preserve">맑음</x:t>
        </x:is>
      </x:c>
      <x:c r="P555" s="7" t="inlineStr">
        <x:is>
          <x:t xml:space="preserve">밤</x:t>
        </x:is>
      </x:c>
      <x:c r="Q555" s="7" t="inlineStr">
        <x:is>
          <x:t xml:space="preserve">흔함</x:t>
        </x:is>
      </x:c>
      <x:c r="R555" s="7" t="inlineStr">
        <x:is>
          <x:t xml:space="preserve">없음</x:t>
        </x:is>
      </x:c>
      <x:c r="S555" s="7" t="inlineStr">
        <x:is>
          <x:t xml:space="preserve">건조지</x:t>
        </x:is>
      </x:c>
      <x:c r="T555" s="7" t="inlineStr">
        <x:is>
          <x:t xml:space="preserve"/>
        </x:is>
      </x:c>
      <x:c r="U555" s="8" t="str">
        <x:f>INDEX('서식지_점수'!$E$4:$P$4,1,MATCH(MAX('서식지_점수'!E555:P555),'서식지_점수'!E555:P555,0))</x:f>
        <x:v>평원</x:v>
      </x:c>
      <x:c r="V555" s="8" t="str">
        <x:f>IF(T555&lt;&gt;"",T555,U555)</x:f>
        <x:v>평원</x:v>
      </x:c>
      <x:c r="W555" s="8" t="str">
        <x:f>IFERROR(INDEX('서식지_점수'!$E$4:$P$4,1,MATCH(MAXIFS('서식지_점수'!E555:P555,'서식지_점수'!E555:P555,"&lt;"&amp;MAX('서식지_점수'!E555:P555)),'서식지_점수'!E555:P555,0)),"")</x:f>
        <x:v>숲</x:v>
      </x:c>
      <x:c r="X555" s="8" t="str">
        <x:f>IF(T555&lt;&gt;"","수동확정",IF(MAX('서식지_점수'!E555:P555)-LARGE('서식지_점수'!E555:P555,2)&gt;=15,"높음",IF(MAX('서식지_점수'!E555:P555)-LARGE('서식지_점수'!E555:P555,2)&gt;=8,"보통","검토필요")))</x:f>
        <x:v>검토필요</x:v>
      </x:c>
      <x:c r="Y555" s="9" t="n">
        <x:f>IF(Q555="전설",8,IF(Q555="희귀",7,IF(J555="기본",1,IF(J555="중간",3,IF(J555="최종",IF(I555="",5,IF(I555&lt;=20,3,IF(I555&lt;=35,4,IF(I555&lt;=50,6,7)))),IF(Q555="드묾",4,2))))))</x:f>
        <x:v>1</x:v>
      </x:c>
      <x:c r="Z555" s="5" t="inlineStr">
        <x:is>
          <x:t xml:space="preserve">#cobblemon:is_desert</x:t>
        </x:is>
      </x:c>
      <x:c r="AA555" s="5" t="inlineStr">
        <x:is>
          <x:t xml:space="preserve">common</x:t>
        </x:is>
      </x:c>
      <x:c r="AB555" s="5" t="inlineStr">
        <x:is>
          <x:t xml:space="preserve">예</x:t>
        </x:is>
      </x:c>
      <x:c r="AC555" s="8" t="str">
        <x:f>IF(T555&lt;&gt;"","수동확정",IF(X555="검토필요","검토필요",IF(S555="","원본없음","초기완료")))</x:f>
        <x:v>검토필요</x:v>
      </x:c>
      <x:c r="AD555" s="7" t="inlineStr">
        <x:is>
          <x:t xml:space="preserve"/>
        </x:is>
      </x:c>
      <x:c r="AE555" s="5" t="inlineStr">
        <x:is>
          <x:t xml:space="preserve">.tmp/cobblemon-1.7.3-source/common/src/main/resources/data/cobblemon/species/generation5/sandile.json</x:t>
        </x:is>
      </x:c>
      <x:c r="AF555" s="5" t="str">
        <x:f>"생활권|"&amp;K555</x:f>
        <x:v>생활권|육상</x:v>
      </x:c>
      <x:c r="AG555" s="5" t="str">
        <x:f>"지형|"&amp;L555</x:f>
        <x:v>지형|건조</x:v>
      </x:c>
      <x:c r="AH555" s="5" t="str">
        <x:f>"온도|"&amp;M555</x:f>
        <x:v>온도|고온</x:v>
      </x:c>
      <x:c r="AI555" s="5" t="str">
        <x:f>"습도|"&amp;N555</x:f>
        <x:v>습도|건조</x:v>
      </x:c>
      <x:c r="AJ555" s="5" t="str">
        <x:f>"날씨|"&amp;O555</x:f>
        <x:v>날씨|맑음</x:v>
      </x:c>
      <x:c r="AK555" s="5" t="str">
        <x:f>"특수태그|"&amp;R555</x:f>
        <x:v>특수태그|없음</x:v>
      </x:c>
      <x:c r="AL555" s="5" t="str">
        <x:f>"원본서식지|"&amp;S555</x:f>
        <x:v>원본서식지|건조지</x:v>
      </x:c>
      <x:c r="AM555" s="5" t="str">
        <x:f>"타입|"&amp;F555</x:f>
        <x:v>타입|땅</x:v>
      </x:c>
      <x:c r="AN555" s="5" t="str">
        <x:f>"타입|"&amp;G555</x:f>
        <x:v>타입|악</x:v>
      </x:c>
    </x:row>
    <x:row r="556" ht="24" customHeight="1">
      <x:c r="A556" s="5" t="n">
        <x:v>552</x:v>
      </x:c>
      <x:c r="B556" s="5" t="inlineStr">
        <x:is>
          <x:t xml:space="preserve">악비르</x:t>
        </x:is>
      </x:c>
      <x:c r="C556" s="5" t="inlineStr">
        <x:is>
          <x:t xml:space="preserve">krokorok</x:t>
        </x:is>
      </x:c>
      <x:c r="D556" s="5" t="inlineStr">
        <x:is>
          <x:t xml:space="preserve">Krokorok</x:t>
        </x:is>
      </x:c>
      <x:c r="E556" s="5" t="n">
        <x:v>5</x:v>
      </x:c>
      <x:c r="F556" s="5" t="inlineStr">
        <x:is>
          <x:t xml:space="preserve">땅</x:t>
        </x:is>
      </x:c>
      <x:c r="G556" s="5" t="inlineStr">
        <x:is>
          <x:t xml:space="preserve">악</x:t>
        </x:is>
      </x:c>
      <x:c r="H556" s="6" t="n">
        <x:v>33.4</x:v>
      </x:c>
      <x:c r="I556" s="5" t="n">
        <x:v>40</x:v>
      </x:c>
      <x:c r="J556" s="5" t="inlineStr">
        <x:is>
          <x:t xml:space="preserve">중간</x:t>
        </x:is>
      </x:c>
      <x:c r="K556" s="7" t="inlineStr">
        <x:is>
          <x:t xml:space="preserve">육상</x:t>
        </x:is>
      </x:c>
      <x:c r="L556" s="7" t="inlineStr">
        <x:is>
          <x:t xml:space="preserve">건조</x:t>
        </x:is>
      </x:c>
      <x:c r="M556" s="7" t="inlineStr">
        <x:is>
          <x:t xml:space="preserve">고온</x:t>
        </x:is>
      </x:c>
      <x:c r="N556" s="7" t="inlineStr">
        <x:is>
          <x:t xml:space="preserve">건조</x:t>
        </x:is>
      </x:c>
      <x:c r="O556" s="7" t="inlineStr">
        <x:is>
          <x:t xml:space="preserve">맑음</x:t>
        </x:is>
      </x:c>
      <x:c r="P556" s="7" t="inlineStr">
        <x:is>
          <x:t xml:space="preserve">밤</x:t>
        </x:is>
      </x:c>
      <x:c r="Q556" s="7" t="inlineStr">
        <x:is>
          <x:t xml:space="preserve">흔함</x:t>
        </x:is>
      </x:c>
      <x:c r="R556" s="7" t="inlineStr">
        <x:is>
          <x:t xml:space="preserve">없음</x:t>
        </x:is>
      </x:c>
      <x:c r="S556" s="7" t="inlineStr">
        <x:is>
          <x:t xml:space="preserve">건조지</x:t>
        </x:is>
      </x:c>
      <x:c r="T556" s="7" t="inlineStr">
        <x:is>
          <x:t xml:space="preserve"/>
        </x:is>
      </x:c>
      <x:c r="U556" s="8" t="str">
        <x:f>INDEX('서식지_점수'!$E$4:$P$4,1,MATCH(MAX('서식지_점수'!E556:P556),'서식지_점수'!E556:P556,0))</x:f>
        <x:v>평원</x:v>
      </x:c>
      <x:c r="V556" s="8" t="str">
        <x:f>IF(T556&lt;&gt;"",T556,U556)</x:f>
        <x:v>평원</x:v>
      </x:c>
      <x:c r="W556" s="8" t="str">
        <x:f>IFERROR(INDEX('서식지_점수'!$E$4:$P$4,1,MATCH(MAXIFS('서식지_점수'!E556:P556,'서식지_점수'!E556:P556,"&lt;"&amp;MAX('서식지_점수'!E556:P556)),'서식지_점수'!E556:P556,0)),"")</x:f>
        <x:v>숲</x:v>
      </x:c>
      <x:c r="X556" s="8" t="str">
        <x:f>IF(T556&lt;&gt;"","수동확정",IF(MAX('서식지_점수'!E556:P556)-LARGE('서식지_점수'!E556:P556,2)&gt;=15,"높음",IF(MAX('서식지_점수'!E556:P556)-LARGE('서식지_점수'!E556:P556,2)&gt;=8,"보통","검토필요")))</x:f>
        <x:v>검토필요</x:v>
      </x:c>
      <x:c r="Y556" s="9" t="n">
        <x:f>IF(Q556="전설",8,IF(Q556="희귀",7,IF(J556="기본",1,IF(J556="중간",3,IF(J556="최종",IF(I556="",5,IF(I556&lt;=20,3,IF(I556&lt;=35,4,IF(I556&lt;=50,6,7)))),IF(Q556="드묾",4,2))))))</x:f>
        <x:v>3</x:v>
      </x:c>
      <x:c r="Z556" s="5" t="inlineStr">
        <x:is>
          <x:t xml:space="preserve">#cobblemon:is_desert</x:t>
        </x:is>
      </x:c>
      <x:c r="AA556" s="5" t="inlineStr">
        <x:is>
          <x:t xml:space="preserve">common</x:t>
        </x:is>
      </x:c>
      <x:c r="AB556" s="5" t="inlineStr">
        <x:is>
          <x:t xml:space="preserve">예</x:t>
        </x:is>
      </x:c>
      <x:c r="AC556" s="8" t="str">
        <x:f>IF(T556&lt;&gt;"","수동확정",IF(X556="검토필요","검토필요",IF(S556="","원본없음","초기완료")))</x:f>
        <x:v>검토필요</x:v>
      </x:c>
      <x:c r="AD556" s="7" t="inlineStr">
        <x:is>
          <x:t xml:space="preserve"/>
        </x:is>
      </x:c>
      <x:c r="AE556" s="5" t="inlineStr">
        <x:is>
          <x:t xml:space="preserve">.tmp/cobblemon-1.7.3-source/common/src/main/resources/data/cobblemon/species/generation5/krokorok.json</x:t>
        </x:is>
      </x:c>
      <x:c r="AF556" s="5" t="str">
        <x:f>"생활권|"&amp;K556</x:f>
        <x:v>생활권|육상</x:v>
      </x:c>
      <x:c r="AG556" s="5" t="str">
        <x:f>"지형|"&amp;L556</x:f>
        <x:v>지형|건조</x:v>
      </x:c>
      <x:c r="AH556" s="5" t="str">
        <x:f>"온도|"&amp;M556</x:f>
        <x:v>온도|고온</x:v>
      </x:c>
      <x:c r="AI556" s="5" t="str">
        <x:f>"습도|"&amp;N556</x:f>
        <x:v>습도|건조</x:v>
      </x:c>
      <x:c r="AJ556" s="5" t="str">
        <x:f>"날씨|"&amp;O556</x:f>
        <x:v>날씨|맑음</x:v>
      </x:c>
      <x:c r="AK556" s="5" t="str">
        <x:f>"특수태그|"&amp;R556</x:f>
        <x:v>특수태그|없음</x:v>
      </x:c>
      <x:c r="AL556" s="5" t="str">
        <x:f>"원본서식지|"&amp;S556</x:f>
        <x:v>원본서식지|건조지</x:v>
      </x:c>
      <x:c r="AM556" s="5" t="str">
        <x:f>"타입|"&amp;F556</x:f>
        <x:v>타입|땅</x:v>
      </x:c>
      <x:c r="AN556" s="5" t="str">
        <x:f>"타입|"&amp;G556</x:f>
        <x:v>타입|악</x:v>
      </x:c>
    </x:row>
    <x:row r="557" ht="24" customHeight="1">
      <x:c r="A557" s="5" t="n">
        <x:v>553</x:v>
      </x:c>
      <x:c r="B557" s="5" t="inlineStr">
        <x:is>
          <x:t xml:space="preserve">악비아르</x:t>
        </x:is>
      </x:c>
      <x:c r="C557" s="5" t="inlineStr">
        <x:is>
          <x:t xml:space="preserve">krookodile</x:t>
        </x:is>
      </x:c>
      <x:c r="D557" s="5" t="inlineStr">
        <x:is>
          <x:t xml:space="preserve">Krookodile</x:t>
        </x:is>
      </x:c>
      <x:c r="E557" s="5" t="n">
        <x:v>5</x:v>
      </x:c>
      <x:c r="F557" s="5" t="inlineStr">
        <x:is>
          <x:t xml:space="preserve">땅</x:t>
        </x:is>
      </x:c>
      <x:c r="G557" s="5" t="inlineStr">
        <x:is>
          <x:t xml:space="preserve">악</x:t>
        </x:is>
      </x:c>
      <x:c r="H557" s="6" t="n">
        <x:v>96.3</x:v>
      </x:c>
      <x:c r="I557" s="5" t="n">
        <x:v>40</x:v>
      </x:c>
      <x:c r="J557" s="5" t="inlineStr">
        <x:is>
          <x:t xml:space="preserve">최종</x:t>
        </x:is>
      </x:c>
      <x:c r="K557" s="7" t="inlineStr">
        <x:is>
          <x:t xml:space="preserve">육상</x:t>
        </x:is>
      </x:c>
      <x:c r="L557" s="7" t="inlineStr">
        <x:is>
          <x:t xml:space="preserve">건조</x:t>
        </x:is>
      </x:c>
      <x:c r="M557" s="7" t="inlineStr">
        <x:is>
          <x:t xml:space="preserve">고온</x:t>
        </x:is>
      </x:c>
      <x:c r="N557" s="7" t="inlineStr">
        <x:is>
          <x:t xml:space="preserve">건조</x:t>
        </x:is>
      </x:c>
      <x:c r="O557" s="7" t="inlineStr">
        <x:is>
          <x:t xml:space="preserve">맑음</x:t>
        </x:is>
      </x:c>
      <x:c r="P557" s="7" t="inlineStr">
        <x:is>
          <x:t xml:space="preserve">밤</x:t>
        </x:is>
      </x:c>
      <x:c r="Q557" s="7" t="inlineStr">
        <x:is>
          <x:t xml:space="preserve">흔함</x:t>
        </x:is>
      </x:c>
      <x:c r="R557" s="7" t="inlineStr">
        <x:is>
          <x:t xml:space="preserve">없음</x:t>
        </x:is>
      </x:c>
      <x:c r="S557" s="7" t="inlineStr">
        <x:is>
          <x:t xml:space="preserve">건조지</x:t>
        </x:is>
      </x:c>
      <x:c r="T557" s="7" t="inlineStr">
        <x:is>
          <x:t xml:space="preserve"/>
        </x:is>
      </x:c>
      <x:c r="U557" s="8" t="str">
        <x:f>INDEX('서식지_점수'!$E$4:$P$4,1,MATCH(MAX('서식지_점수'!E557:P557),'서식지_점수'!E557:P557,0))</x:f>
        <x:v>평원</x:v>
      </x:c>
      <x:c r="V557" s="8" t="str">
        <x:f>IF(T557&lt;&gt;"",T557,U557)</x:f>
        <x:v>평원</x:v>
      </x:c>
      <x:c r="W557" s="8" t="str">
        <x:f>IFERROR(INDEX('서식지_점수'!$E$4:$P$4,1,MATCH(MAXIFS('서식지_점수'!E557:P557,'서식지_점수'!E557:P557,"&lt;"&amp;MAX('서식지_점수'!E557:P557)),'서식지_점수'!E557:P557,0)),"")</x:f>
        <x:v>숲</x:v>
      </x:c>
      <x:c r="X557" s="8" t="str">
        <x:f>IF(T557&lt;&gt;"","수동확정",IF(MAX('서식지_점수'!E557:P557)-LARGE('서식지_점수'!E557:P557,2)&gt;=15,"높음",IF(MAX('서식지_점수'!E557:P557)-LARGE('서식지_점수'!E557:P557,2)&gt;=8,"보통","검토필요")))</x:f>
        <x:v>검토필요</x:v>
      </x:c>
      <x:c r="Y557" s="9" t="n">
        <x:f>IF(Q557="전설",8,IF(Q557="희귀",7,IF(J557="기본",1,IF(J557="중간",3,IF(J557="최종",IF(I557="",5,IF(I557&lt;=20,3,IF(I557&lt;=35,4,IF(I557&lt;=50,6,7)))),IF(Q557="드묾",4,2))))))</x:f>
        <x:v>6</x:v>
      </x:c>
      <x:c r="Z557" s="5" t="inlineStr">
        <x:is>
          <x:t xml:space="preserve">#cobblemon:is_desert</x:t>
        </x:is>
      </x:c>
      <x:c r="AA557" s="5" t="inlineStr">
        <x:is>
          <x:t xml:space="preserve">common</x:t>
        </x:is>
      </x:c>
      <x:c r="AB557" s="5" t="inlineStr">
        <x:is>
          <x:t xml:space="preserve">예</x:t>
        </x:is>
      </x:c>
      <x:c r="AC557" s="8" t="str">
        <x:f>IF(T557&lt;&gt;"","수동확정",IF(X557="검토필요","검토필요",IF(S557="","원본없음","초기완료")))</x:f>
        <x:v>검토필요</x:v>
      </x:c>
      <x:c r="AD557" s="7" t="inlineStr">
        <x:is>
          <x:t xml:space="preserve"/>
        </x:is>
      </x:c>
      <x:c r="AE557" s="5" t="inlineStr">
        <x:is>
          <x:t xml:space="preserve">.tmp/cobblemon-1.7.3-source/common/src/main/resources/data/cobblemon/species/generation5/krookodile.json</x:t>
        </x:is>
      </x:c>
      <x:c r="AF557" s="5" t="str">
        <x:f>"생활권|"&amp;K557</x:f>
        <x:v>생활권|육상</x:v>
      </x:c>
      <x:c r="AG557" s="5" t="str">
        <x:f>"지형|"&amp;L557</x:f>
        <x:v>지형|건조</x:v>
      </x:c>
      <x:c r="AH557" s="5" t="str">
        <x:f>"온도|"&amp;M557</x:f>
        <x:v>온도|고온</x:v>
      </x:c>
      <x:c r="AI557" s="5" t="str">
        <x:f>"습도|"&amp;N557</x:f>
        <x:v>습도|건조</x:v>
      </x:c>
      <x:c r="AJ557" s="5" t="str">
        <x:f>"날씨|"&amp;O557</x:f>
        <x:v>날씨|맑음</x:v>
      </x:c>
      <x:c r="AK557" s="5" t="str">
        <x:f>"특수태그|"&amp;R557</x:f>
        <x:v>특수태그|없음</x:v>
      </x:c>
      <x:c r="AL557" s="5" t="str">
        <x:f>"원본서식지|"&amp;S557</x:f>
        <x:v>원본서식지|건조지</x:v>
      </x:c>
      <x:c r="AM557" s="5" t="str">
        <x:f>"타입|"&amp;F557</x:f>
        <x:v>타입|땅</x:v>
      </x:c>
      <x:c r="AN557" s="5" t="str">
        <x:f>"타입|"&amp;G557</x:f>
        <x:v>타입|악</x:v>
      </x:c>
    </x:row>
    <x:row r="558" ht="24" customHeight="1">
      <x:c r="A558" s="5" t="n">
        <x:v>554</x:v>
      </x:c>
      <x:c r="B558" s="5" t="inlineStr">
        <x:is>
          <x:t xml:space="preserve">달막화</x:t>
        </x:is>
      </x:c>
      <x:c r="C558" s="5" t="inlineStr">
        <x:is>
          <x:t xml:space="preserve">darumaka</x:t>
        </x:is>
      </x:c>
      <x:c r="D558" s="5" t="inlineStr">
        <x:is>
          <x:t xml:space="preserve">Darumaka</x:t>
        </x:is>
      </x:c>
      <x:c r="E558" s="5" t="n">
        <x:v>5</x:v>
      </x:c>
      <x:c r="F558" s="5" t="inlineStr">
        <x:is>
          <x:t xml:space="preserve">불꽃</x:t>
        </x:is>
      </x:c>
      <x:c r="G558" s="5" t="inlineStr">
        <x:is>
          <x:t xml:space="preserve"/>
        </x:is>
      </x:c>
      <x:c r="H558" s="6" t="n">
        <x:v>37.5</x:v>
      </x:c>
      <x:c r="I558" s="5" t="n">
        <x:v>35</x:v>
      </x:c>
      <x:c r="J558" s="5" t="inlineStr">
        <x:is>
          <x:t xml:space="preserve">기본</x:t>
        </x:is>
      </x:c>
      <x:c r="K558" s="7" t="inlineStr">
        <x:is>
          <x:t xml:space="preserve">육상</x:t>
        </x:is>
      </x:c>
      <x:c r="L558" s="7" t="inlineStr">
        <x:is>
          <x:t xml:space="preserve">설원</x:t>
        </x:is>
      </x:c>
      <x:c r="M558" s="7" t="inlineStr">
        <x:is>
          <x:t xml:space="preserve">한랭</x:t>
        </x:is>
      </x:c>
      <x:c r="N558" s="7" t="inlineStr">
        <x:is>
          <x:t xml:space="preserve">다습</x:t>
        </x:is>
      </x:c>
      <x:c r="O558" s="7" t="inlineStr">
        <x:is>
          <x:t xml:space="preserve">눈</x:t>
        </x:is>
      </x:c>
      <x:c r="P558" s="7" t="inlineStr">
        <x:is>
          <x:t xml:space="preserve">무관</x:t>
        </x:is>
      </x:c>
      <x:c r="Q558" s="7" t="inlineStr">
        <x:is>
          <x:t xml:space="preserve">보통</x:t>
        </x:is>
      </x:c>
      <x:c r="R558" s="7" t="inlineStr">
        <x:is>
          <x:t xml:space="preserve">없음</x:t>
        </x:is>
      </x:c>
      <x:c r="S558" s="7" t="inlineStr">
        <x:is>
          <x:t xml:space="preserve">설원</x:t>
        </x:is>
      </x:c>
      <x:c r="T558" s="7" t="inlineStr">
        <x:is>
          <x:t xml:space="preserve"/>
        </x:is>
      </x:c>
      <x:c r="U558" s="8" t="str">
        <x:f>INDEX('서식지_점수'!$E$4:$P$4,1,MATCH(MAX('서식지_점수'!E558:P558),'서식지_점수'!E558:P558,0))</x:f>
        <x:v>평원</x:v>
      </x:c>
      <x:c r="V558" s="8" t="str">
        <x:f>IF(T558&lt;&gt;"",T558,U558)</x:f>
        <x:v>평원</x:v>
      </x:c>
      <x:c r="W558" s="8" t="str">
        <x:f>IFERROR(INDEX('서식지_점수'!$E$4:$P$4,1,MATCH(MAXIFS('서식지_점수'!E558:P558,'서식지_점수'!E558:P558,"&lt;"&amp;MAX('서식지_점수'!E558:P558)),'서식지_점수'!E558:P558,0)),"")</x:f>
        <x:v>숲</x:v>
      </x:c>
      <x:c r="X558" s="8" t="str">
        <x:f>IF(T558&lt;&gt;"","수동확정",IF(MAX('서식지_점수'!E558:P558)-LARGE('서식지_점수'!E558:P558,2)&gt;=15,"높음",IF(MAX('서식지_점수'!E558:P558)-LARGE('서식지_점수'!E558:P558,2)&gt;=8,"보통","검토필요")))</x:f>
        <x:v>검토필요</x:v>
      </x:c>
      <x:c r="Y558" s="9" t="n">
        <x:f>IF(Q558="전설",8,IF(Q558="희귀",7,IF(J558="기본",1,IF(J558="중간",3,IF(J558="최종",IF(I558="",5,IF(I558&lt;=20,3,IF(I558&lt;=35,4,IF(I558&lt;=50,6,7)))),IF(Q558="드묾",4,2))))))</x:f>
        <x:v>1</x:v>
      </x:c>
      <x:c r="Z558" s="5" t="inlineStr">
        <x:is>
          <x:t xml:space="preserve">#cobblemon:is_cold; #cobblemon:is_desert; #cobblemon:is_freezing; #cobblemon:is_jungle; #minecraft:is_nether; minecraft:frozen_peaks; minecraft:ice_spikes</x:t>
        </x:is>
      </x:c>
      <x:c r="AA558" s="5" t="inlineStr">
        <x:is>
          <x:t xml:space="preserve">common; uncommon</x:t>
        </x:is>
      </x:c>
      <x:c r="AB558" s="5" t="inlineStr">
        <x:is>
          <x:t xml:space="preserve">예</x:t>
        </x:is>
      </x:c>
      <x:c r="AC558" s="8" t="str">
        <x:f>IF(T558&lt;&gt;"","수동확정",IF(X558="검토필요","검토필요",IF(S558="","원본없음","초기완료")))</x:f>
        <x:v>검토필요</x:v>
      </x:c>
      <x:c r="AD558" s="7" t="inlineStr">
        <x:is>
          <x:t xml:space="preserve"/>
        </x:is>
      </x:c>
      <x:c r="AE558" s="5" t="inlineStr">
        <x:is>
          <x:t xml:space="preserve">.tmp/cobblemon-1.7.3-source/common/src/main/resources/data/cobblemon/species/generation5/darumaka.json</x:t>
        </x:is>
      </x:c>
      <x:c r="AF558" s="5" t="str">
        <x:f>"생활권|"&amp;K558</x:f>
        <x:v>생활권|육상</x:v>
      </x:c>
      <x:c r="AG558" s="5" t="str">
        <x:f>"지형|"&amp;L558</x:f>
        <x:v>지형|설원</x:v>
      </x:c>
      <x:c r="AH558" s="5" t="str">
        <x:f>"온도|"&amp;M558</x:f>
        <x:v>온도|한랭</x:v>
      </x:c>
      <x:c r="AI558" s="5" t="str">
        <x:f>"습도|"&amp;N558</x:f>
        <x:v>습도|다습</x:v>
      </x:c>
      <x:c r="AJ558" s="5" t="str">
        <x:f>"날씨|"&amp;O558</x:f>
        <x:v>날씨|눈</x:v>
      </x:c>
      <x:c r="AK558" s="5" t="str">
        <x:f>"특수태그|"&amp;R558</x:f>
        <x:v>특수태그|없음</x:v>
      </x:c>
      <x:c r="AL558" s="5" t="str">
        <x:f>"원본서식지|"&amp;S558</x:f>
        <x:v>원본서식지|설원</x:v>
      </x:c>
      <x:c r="AM558" s="5" t="str">
        <x:f>"타입|"&amp;F558</x:f>
        <x:v>타입|불꽃</x:v>
      </x:c>
      <x:c r="AN558" s="5" t="str">
        <x:f>"타입|"&amp;G558</x:f>
        <x:v>타입|</x:v>
      </x:c>
    </x:row>
    <x:row r="559" ht="24" customHeight="1">
      <x:c r="A559" s="5" t="n">
        <x:v>555</x:v>
      </x:c>
      <x:c r="B559" s="5" t="inlineStr">
        <x:is>
          <x:t xml:space="preserve">불비달마</x:t>
        </x:is>
      </x:c>
      <x:c r="C559" s="5" t="inlineStr">
        <x:is>
          <x:t xml:space="preserve">darmanitan</x:t>
        </x:is>
      </x:c>
      <x:c r="D559" s="5" t="inlineStr">
        <x:is>
          <x:t xml:space="preserve">Darmanitan</x:t>
        </x:is>
      </x:c>
      <x:c r="E559" s="5" t="n">
        <x:v>5</x:v>
      </x:c>
      <x:c r="F559" s="5" t="inlineStr">
        <x:is>
          <x:t xml:space="preserve">불꽃</x:t>
        </x:is>
      </x:c>
      <x:c r="G559" s="5" t="inlineStr">
        <x:is>
          <x:t xml:space="preserve"/>
        </x:is>
      </x:c>
      <x:c r="H559" s="6" t="n">
        <x:v>92.90000000000001</x:v>
      </x:c>
      <x:c r="I559" s="5" t="n">
        <x:v>35</x:v>
      </x:c>
      <x:c r="J559" s="5" t="inlineStr">
        <x:is>
          <x:t xml:space="preserve">최종</x:t>
        </x:is>
      </x:c>
      <x:c r="K559" s="7" t="inlineStr">
        <x:is>
          <x:t xml:space="preserve">육상</x:t>
        </x:is>
      </x:c>
      <x:c r="L559" s="7" t="inlineStr">
        <x:is>
          <x:t xml:space="preserve">설원</x:t>
        </x:is>
      </x:c>
      <x:c r="M559" s="7" t="inlineStr">
        <x:is>
          <x:t xml:space="preserve">한랭</x:t>
        </x:is>
      </x:c>
      <x:c r="N559" s="7" t="inlineStr">
        <x:is>
          <x:t xml:space="preserve">다습</x:t>
        </x:is>
      </x:c>
      <x:c r="O559" s="7" t="inlineStr">
        <x:is>
          <x:t xml:space="preserve">눈</x:t>
        </x:is>
      </x:c>
      <x:c r="P559" s="7" t="inlineStr">
        <x:is>
          <x:t xml:space="preserve">무관</x:t>
        </x:is>
      </x:c>
      <x:c r="Q559" s="7" t="inlineStr">
        <x:is>
          <x:t xml:space="preserve">흔함</x:t>
        </x:is>
      </x:c>
      <x:c r="R559" s="7" t="inlineStr">
        <x:is>
          <x:t xml:space="preserve">없음</x:t>
        </x:is>
      </x:c>
      <x:c r="S559" s="7" t="inlineStr">
        <x:is>
          <x:t xml:space="preserve">설원</x:t>
        </x:is>
      </x:c>
      <x:c r="T559" s="7" t="inlineStr">
        <x:is>
          <x:t xml:space="preserve"/>
        </x:is>
      </x:c>
      <x:c r="U559" s="8" t="str">
        <x:f>INDEX('서식지_점수'!$E$4:$P$4,1,MATCH(MAX('서식지_점수'!E559:P559),'서식지_점수'!E559:P559,0))</x:f>
        <x:v>평원</x:v>
      </x:c>
      <x:c r="V559" s="8" t="str">
        <x:f>IF(T559&lt;&gt;"",T559,U559)</x:f>
        <x:v>평원</x:v>
      </x:c>
      <x:c r="W559" s="8" t="str">
        <x:f>IFERROR(INDEX('서식지_점수'!$E$4:$P$4,1,MATCH(MAXIFS('서식지_점수'!E559:P559,'서식지_점수'!E559:P559,"&lt;"&amp;MAX('서식지_점수'!E559:P559)),'서식지_점수'!E559:P559,0)),"")</x:f>
        <x:v>숲</x:v>
      </x:c>
      <x:c r="X559" s="8" t="str">
        <x:f>IF(T559&lt;&gt;"","수동확정",IF(MAX('서식지_점수'!E559:P559)-LARGE('서식지_점수'!E559:P559,2)&gt;=15,"높음",IF(MAX('서식지_점수'!E559:P559)-LARGE('서식지_점수'!E559:P559,2)&gt;=8,"보통","검토필요")))</x:f>
        <x:v>검토필요</x:v>
      </x:c>
      <x:c r="Y559" s="9" t="n">
        <x:f>IF(Q559="전설",8,IF(Q559="희귀",7,IF(J559="기본",1,IF(J559="중간",3,IF(J559="최종",IF(I559="",5,IF(I559&lt;=20,3,IF(I559&lt;=35,4,IF(I559&lt;=50,6,7)))),IF(Q559="드묾",4,2))))))</x:f>
        <x:v>4</x:v>
      </x:c>
      <x:c r="Z559" s="5" t="inlineStr">
        <x:is>
          <x:t xml:space="preserve">#cobblemon:is_cold; #cobblemon:is_desert; #cobblemon:is_freezing; #cobblemon:is_jungle; #minecraft:is_nether; minecraft:frozen_peaks; minecraft:ice_spikes</x:t>
        </x:is>
      </x:c>
      <x:c r="AA559" s="5" t="inlineStr">
        <x:is>
          <x:t xml:space="preserve">common; rare</x:t>
        </x:is>
      </x:c>
      <x:c r="AB559" s="5" t="inlineStr">
        <x:is>
          <x:t xml:space="preserve">예</x:t>
        </x:is>
      </x:c>
      <x:c r="AC559" s="8" t="str">
        <x:f>IF(T559&lt;&gt;"","수동확정",IF(X559="검토필요","검토필요",IF(S559="","원본없음","초기완료")))</x:f>
        <x:v>검토필요</x:v>
      </x:c>
      <x:c r="AD559" s="7" t="inlineStr">
        <x:is>
          <x:t xml:space="preserve"/>
        </x:is>
      </x:c>
      <x:c r="AE559" s="5" t="inlineStr">
        <x:is>
          <x:t xml:space="preserve">.tmp/cobblemon-1.7.3-source/common/src/main/resources/data/cobblemon/species/generation5/darmanitan.json</x:t>
        </x:is>
      </x:c>
      <x:c r="AF559" s="5" t="str">
        <x:f>"생활권|"&amp;K559</x:f>
        <x:v>생활권|육상</x:v>
      </x:c>
      <x:c r="AG559" s="5" t="str">
        <x:f>"지형|"&amp;L559</x:f>
        <x:v>지형|설원</x:v>
      </x:c>
      <x:c r="AH559" s="5" t="str">
        <x:f>"온도|"&amp;M559</x:f>
        <x:v>온도|한랭</x:v>
      </x:c>
      <x:c r="AI559" s="5" t="str">
        <x:f>"습도|"&amp;N559</x:f>
        <x:v>습도|다습</x:v>
      </x:c>
      <x:c r="AJ559" s="5" t="str">
        <x:f>"날씨|"&amp;O559</x:f>
        <x:v>날씨|눈</x:v>
      </x:c>
      <x:c r="AK559" s="5" t="str">
        <x:f>"특수태그|"&amp;R559</x:f>
        <x:v>특수태그|없음</x:v>
      </x:c>
      <x:c r="AL559" s="5" t="str">
        <x:f>"원본서식지|"&amp;S559</x:f>
        <x:v>원본서식지|설원</x:v>
      </x:c>
      <x:c r="AM559" s="5" t="str">
        <x:f>"타입|"&amp;F559</x:f>
        <x:v>타입|불꽃</x:v>
      </x:c>
      <x:c r="AN559" s="5" t="str">
        <x:f>"타입|"&amp;G559</x:f>
        <x:v>타입|</x:v>
      </x:c>
    </x:row>
    <x:row r="560" ht="24" customHeight="1">
      <x:c r="A560" s="5" t="n">
        <x:v>556</x:v>
      </x:c>
      <x:c r="B560" s="5" t="inlineStr">
        <x:is>
          <x:t xml:space="preserve">마라카치</x:t>
        </x:is>
      </x:c>
      <x:c r="C560" s="5" t="inlineStr">
        <x:is>
          <x:t xml:space="preserve">maractus</x:t>
        </x:is>
      </x:c>
      <x:c r="D560" s="5" t="inlineStr">
        <x:is>
          <x:t xml:space="preserve">Maractus</x:t>
        </x:is>
      </x:c>
      <x:c r="E560" s="5" t="n">
        <x:v>5</x:v>
      </x:c>
      <x:c r="F560" s="5" t="inlineStr">
        <x:is>
          <x:t xml:space="preserve">풀</x:t>
        </x:is>
      </x:c>
      <x:c r="G560" s="5" t="inlineStr">
        <x:is>
          <x:t xml:space="preserve"/>
        </x:is>
      </x:c>
      <x:c r="H560" s="6" t="n">
        <x:v>28</x:v>
      </x:c>
      <x:c r="I560" s="5" t="n"/>
      <x:c r="J560" s="5" t="inlineStr">
        <x:is>
          <x:t xml:space="preserve">무진화</x:t>
        </x:is>
      </x:c>
      <x:c r="K560" s="7" t="inlineStr">
        <x:is>
          <x:t xml:space="preserve">육상</x:t>
        </x:is>
      </x:c>
      <x:c r="L560" s="7" t="inlineStr">
        <x:is>
          <x:t xml:space="preserve">건조</x:t>
        </x:is>
      </x:c>
      <x:c r="M560" s="7" t="inlineStr">
        <x:is>
          <x:t xml:space="preserve">고온</x:t>
        </x:is>
      </x:c>
      <x:c r="N560" s="7" t="inlineStr">
        <x:is>
          <x:t xml:space="preserve">건조</x:t>
        </x:is>
      </x:c>
      <x:c r="O560" s="7" t="inlineStr">
        <x:is>
          <x:t xml:space="preserve">맑음</x:t>
        </x:is>
      </x:c>
      <x:c r="P560" s="7" t="inlineStr">
        <x:is>
          <x:t xml:space="preserve">무관</x:t>
        </x:is>
      </x:c>
      <x:c r="Q560" s="7" t="inlineStr">
        <x:is>
          <x:t xml:space="preserve">흔함</x:t>
        </x:is>
      </x:c>
      <x:c r="R560" s="7" t="inlineStr">
        <x:is>
          <x:t xml:space="preserve">없음</x:t>
        </x:is>
      </x:c>
      <x:c r="S560" s="7" t="inlineStr">
        <x:is>
          <x:t xml:space="preserve">건조지</x:t>
        </x:is>
      </x:c>
      <x:c r="T560" s="7" t="inlineStr">
        <x:is>
          <x:t xml:space="preserve"/>
        </x:is>
      </x:c>
      <x:c r="U560" s="8" t="str">
        <x:f>INDEX('서식지_점수'!$E$4:$P$4,1,MATCH(MAX('서식지_점수'!E560:P560),'서식지_점수'!E560:P560,0))</x:f>
        <x:v>평원</x:v>
      </x:c>
      <x:c r="V560" s="8" t="str">
        <x:f>IF(T560&lt;&gt;"",T560,U560)</x:f>
        <x:v>평원</x:v>
      </x:c>
      <x:c r="W560" s="8" t="str">
        <x:f>IFERROR(INDEX('서식지_점수'!$E$4:$P$4,1,MATCH(MAXIFS('서식지_점수'!E560:P560,'서식지_점수'!E560:P560,"&lt;"&amp;MAX('서식지_점수'!E560:P560)),'서식지_점수'!E560:P560,0)),"")</x:f>
        <x:v>숲</x:v>
      </x:c>
      <x:c r="X560" s="8" t="str">
        <x:f>IF(T560&lt;&gt;"","수동확정",IF(MAX('서식지_점수'!E560:P560)-LARGE('서식지_점수'!E560:P560,2)&gt;=15,"높음",IF(MAX('서식지_점수'!E560:P560)-LARGE('서식지_점수'!E560:P560,2)&gt;=8,"보통","검토필요")))</x:f>
        <x:v>검토필요</x:v>
      </x:c>
      <x:c r="Y560" s="9" t="n">
        <x:f>IF(Q560="전설",8,IF(Q560="희귀",7,IF(J560="기본",1,IF(J560="중간",3,IF(J560="최종",IF(I560="",5,IF(I560&lt;=20,3,IF(I560&lt;=35,4,IF(I560&lt;=50,6,7)))),IF(Q560="드묾",4,2))))))</x:f>
        <x:v>2</x:v>
      </x:c>
      <x:c r="Z560" s="5" t="inlineStr">
        <x:is>
          <x:t xml:space="preserve">#cobblemon:is_badlands; #cobblemon:is_desert</x:t>
        </x:is>
      </x:c>
      <x:c r="AA560" s="5" t="inlineStr">
        <x:is>
          <x:t xml:space="preserve">common</x:t>
        </x:is>
      </x:c>
      <x:c r="AB560" s="5" t="inlineStr">
        <x:is>
          <x:t xml:space="preserve">예</x:t>
        </x:is>
      </x:c>
      <x:c r="AC560" s="8" t="str">
        <x:f>IF(T560&lt;&gt;"","수동확정",IF(X560="검토필요","검토필요",IF(S560="","원본없음","초기완료")))</x:f>
        <x:v>검토필요</x:v>
      </x:c>
      <x:c r="AD560" s="7" t="inlineStr">
        <x:is>
          <x:t xml:space="preserve"/>
        </x:is>
      </x:c>
      <x:c r="AE560" s="5" t="inlineStr">
        <x:is>
          <x:t xml:space="preserve">.tmp/cobblemon-1.7.3-source/common/src/main/resources/data/cobblemon/species/generation5/maractus.json</x:t>
        </x:is>
      </x:c>
      <x:c r="AF560" s="5" t="str">
        <x:f>"생활권|"&amp;K560</x:f>
        <x:v>생활권|육상</x:v>
      </x:c>
      <x:c r="AG560" s="5" t="str">
        <x:f>"지형|"&amp;L560</x:f>
        <x:v>지형|건조</x:v>
      </x:c>
      <x:c r="AH560" s="5" t="str">
        <x:f>"온도|"&amp;M560</x:f>
        <x:v>온도|고온</x:v>
      </x:c>
      <x:c r="AI560" s="5" t="str">
        <x:f>"습도|"&amp;N560</x:f>
        <x:v>습도|건조</x:v>
      </x:c>
      <x:c r="AJ560" s="5" t="str">
        <x:f>"날씨|"&amp;O560</x:f>
        <x:v>날씨|맑음</x:v>
      </x:c>
      <x:c r="AK560" s="5" t="str">
        <x:f>"특수태그|"&amp;R560</x:f>
        <x:v>특수태그|없음</x:v>
      </x:c>
      <x:c r="AL560" s="5" t="str">
        <x:f>"원본서식지|"&amp;S560</x:f>
        <x:v>원본서식지|건조지</x:v>
      </x:c>
      <x:c r="AM560" s="5" t="str">
        <x:f>"타입|"&amp;F560</x:f>
        <x:v>타입|풀</x:v>
      </x:c>
      <x:c r="AN560" s="5" t="str">
        <x:f>"타입|"&amp;G560</x:f>
        <x:v>타입|</x:v>
      </x:c>
    </x:row>
    <x:row r="561" ht="24" customHeight="1">
      <x:c r="A561" s="5" t="n">
        <x:v>557</x:v>
      </x:c>
      <x:c r="B561" s="5" t="inlineStr">
        <x:is>
          <x:t xml:space="preserve">돌살이</x:t>
        </x:is>
      </x:c>
      <x:c r="C561" s="5" t="inlineStr">
        <x:is>
          <x:t xml:space="preserve">dwebble</x:t>
        </x:is>
      </x:c>
      <x:c r="D561" s="5" t="inlineStr">
        <x:is>
          <x:t xml:space="preserve">Dwebble</x:t>
        </x:is>
      </x:c>
      <x:c r="E561" s="5" t="n">
        <x:v>5</x:v>
      </x:c>
      <x:c r="F561" s="5" t="inlineStr">
        <x:is>
          <x:t xml:space="preserve">벌레</x:t>
        </x:is>
      </x:c>
      <x:c r="G561" s="5" t="inlineStr">
        <x:is>
          <x:t xml:space="preserve">바위</x:t>
        </x:is>
      </x:c>
      <x:c r="H561" s="6" t="n">
        <x:v>14.5</x:v>
      </x:c>
      <x:c r="I561" s="5" t="n">
        <x:v>34</x:v>
      </x:c>
      <x:c r="J561" s="5" t="inlineStr">
        <x:is>
          <x:t xml:space="preserve">기본</x:t>
        </x:is>
      </x:c>
      <x:c r="K561" s="7" t="inlineStr">
        <x:is>
          <x:t xml:space="preserve">육상</x:t>
        </x:is>
      </x:c>
      <x:c r="L561" s="7" t="inlineStr">
        <x:is>
          <x:t xml:space="preserve">건조</x:t>
        </x:is>
      </x:c>
      <x:c r="M561" s="7" t="inlineStr">
        <x:is>
          <x:t xml:space="preserve">고온</x:t>
        </x:is>
      </x:c>
      <x:c r="N561" s="7" t="inlineStr">
        <x:is>
          <x:t xml:space="preserve">건조</x:t>
        </x:is>
      </x:c>
      <x:c r="O561" s="7" t="inlineStr">
        <x:is>
          <x:t xml:space="preserve">맑음</x:t>
        </x:is>
      </x:c>
      <x:c r="P561" s="7" t="inlineStr">
        <x:is>
          <x:t xml:space="preserve">무관</x:t>
        </x:is>
      </x:c>
      <x:c r="Q561" s="7" t="inlineStr">
        <x:is>
          <x:t xml:space="preserve">흔함</x:t>
        </x:is>
      </x:c>
      <x:c r="R561" s="7" t="inlineStr">
        <x:is>
          <x:t xml:space="preserve">없음</x:t>
        </x:is>
      </x:c>
      <x:c r="S561" s="7" t="inlineStr">
        <x:is>
          <x:t xml:space="preserve">건조지</x:t>
        </x:is>
      </x:c>
      <x:c r="T561" s="7" t="inlineStr">
        <x:is>
          <x:t xml:space="preserve"/>
        </x:is>
      </x:c>
      <x:c r="U561" s="8" t="str">
        <x:f>INDEX('서식지_점수'!$E$4:$P$4,1,MATCH(MAX('서식지_점수'!E561:P561),'서식지_점수'!E561:P561,0))</x:f>
        <x:v>평원</x:v>
      </x:c>
      <x:c r="V561" s="8" t="str">
        <x:f>IF(T561&lt;&gt;"",T561,U561)</x:f>
        <x:v>평원</x:v>
      </x:c>
      <x:c r="W561" s="8" t="str">
        <x:f>IFERROR(INDEX('서식지_점수'!$E$4:$P$4,1,MATCH(MAXIFS('서식지_점수'!E561:P561,'서식지_점수'!E561:P561,"&lt;"&amp;MAX('서식지_점수'!E561:P561)),'서식지_점수'!E561:P561,0)),"")</x:f>
        <x:v>숲</x:v>
      </x:c>
      <x:c r="X561" s="8" t="str">
        <x:f>IF(T561&lt;&gt;"","수동확정",IF(MAX('서식지_점수'!E561:P561)-LARGE('서식지_점수'!E561:P561,2)&gt;=15,"높음",IF(MAX('서식지_점수'!E561:P561)-LARGE('서식지_점수'!E561:P561,2)&gt;=8,"보통","검토필요")))</x:f>
        <x:v>검토필요</x:v>
      </x:c>
      <x:c r="Y561" s="9" t="n">
        <x:f>IF(Q561="전설",8,IF(Q561="희귀",7,IF(J561="기본",1,IF(J561="중간",3,IF(J561="최종",IF(I561="",5,IF(I561&lt;=20,3,IF(I561&lt;=35,4,IF(I561&lt;=50,6,7)))),IF(Q561="드묾",4,2))))))</x:f>
        <x:v>1</x:v>
      </x:c>
      <x:c r="Z561" s="5" t="inlineStr">
        <x:is>
          <x:t xml:space="preserve">#cobblemon:is_badlands</x:t>
        </x:is>
      </x:c>
      <x:c r="AA561" s="5" t="inlineStr">
        <x:is>
          <x:t xml:space="preserve">common</x:t>
        </x:is>
      </x:c>
      <x:c r="AB561" s="5" t="inlineStr">
        <x:is>
          <x:t xml:space="preserve">예</x:t>
        </x:is>
      </x:c>
      <x:c r="AC561" s="8" t="str">
        <x:f>IF(T561&lt;&gt;"","수동확정",IF(X561="검토필요","검토필요",IF(S561="","원본없음","초기완료")))</x:f>
        <x:v>검토필요</x:v>
      </x:c>
      <x:c r="AD561" s="7" t="inlineStr">
        <x:is>
          <x:t xml:space="preserve"/>
        </x:is>
      </x:c>
      <x:c r="AE561" s="5" t="inlineStr">
        <x:is>
          <x:t xml:space="preserve">.tmp/cobblemon-1.7.3-source/common/src/main/resources/data/cobblemon/species/generation5/dwebble.json</x:t>
        </x:is>
      </x:c>
      <x:c r="AF561" s="5" t="str">
        <x:f>"생활권|"&amp;K561</x:f>
        <x:v>생활권|육상</x:v>
      </x:c>
      <x:c r="AG561" s="5" t="str">
        <x:f>"지형|"&amp;L561</x:f>
        <x:v>지형|건조</x:v>
      </x:c>
      <x:c r="AH561" s="5" t="str">
        <x:f>"온도|"&amp;M561</x:f>
        <x:v>온도|고온</x:v>
      </x:c>
      <x:c r="AI561" s="5" t="str">
        <x:f>"습도|"&amp;N561</x:f>
        <x:v>습도|건조</x:v>
      </x:c>
      <x:c r="AJ561" s="5" t="str">
        <x:f>"날씨|"&amp;O561</x:f>
        <x:v>날씨|맑음</x:v>
      </x:c>
      <x:c r="AK561" s="5" t="str">
        <x:f>"특수태그|"&amp;R561</x:f>
        <x:v>특수태그|없음</x:v>
      </x:c>
      <x:c r="AL561" s="5" t="str">
        <x:f>"원본서식지|"&amp;S561</x:f>
        <x:v>원본서식지|건조지</x:v>
      </x:c>
      <x:c r="AM561" s="5" t="str">
        <x:f>"타입|"&amp;F561</x:f>
        <x:v>타입|벌레</x:v>
      </x:c>
      <x:c r="AN561" s="5" t="str">
        <x:f>"타입|"&amp;G561</x:f>
        <x:v>타입|바위</x:v>
      </x:c>
    </x:row>
    <x:row r="562" ht="24" customHeight="1">
      <x:c r="A562" s="5" t="n">
        <x:v>558</x:v>
      </x:c>
      <x:c r="B562" s="5" t="inlineStr">
        <x:is>
          <x:t xml:space="preserve">암팰리스</x:t>
        </x:is>
      </x:c>
      <x:c r="C562" s="5" t="inlineStr">
        <x:is>
          <x:t xml:space="preserve">crustle</x:t>
        </x:is>
      </x:c>
      <x:c r="D562" s="5" t="inlineStr">
        <x:is>
          <x:t xml:space="preserve">Crustle</x:t>
        </x:is>
      </x:c>
      <x:c r="E562" s="5" t="n">
        <x:v>5</x:v>
      </x:c>
      <x:c r="F562" s="5" t="inlineStr">
        <x:is>
          <x:t xml:space="preserve">벌레</x:t>
        </x:is>
      </x:c>
      <x:c r="G562" s="5" t="inlineStr">
        <x:is>
          <x:t xml:space="preserve">바위</x:t>
        </x:is>
      </x:c>
      <x:c r="H562" s="6" t="n">
        <x:v>200</x:v>
      </x:c>
      <x:c r="I562" s="5" t="n">
        <x:v>34</x:v>
      </x:c>
      <x:c r="J562" s="5" t="inlineStr">
        <x:is>
          <x:t xml:space="preserve">최종</x:t>
        </x:is>
      </x:c>
      <x:c r="K562" s="7" t="inlineStr">
        <x:is>
          <x:t xml:space="preserve">육상</x:t>
        </x:is>
      </x:c>
      <x:c r="L562" s="7" t="inlineStr">
        <x:is>
          <x:t xml:space="preserve">건조</x:t>
        </x:is>
      </x:c>
      <x:c r="M562" s="7" t="inlineStr">
        <x:is>
          <x:t xml:space="preserve">고온</x:t>
        </x:is>
      </x:c>
      <x:c r="N562" s="7" t="inlineStr">
        <x:is>
          <x:t xml:space="preserve">건조</x:t>
        </x:is>
      </x:c>
      <x:c r="O562" s="7" t="inlineStr">
        <x:is>
          <x:t xml:space="preserve">맑음</x:t>
        </x:is>
      </x:c>
      <x:c r="P562" s="7" t="inlineStr">
        <x:is>
          <x:t xml:space="preserve">무관</x:t>
        </x:is>
      </x:c>
      <x:c r="Q562" s="7" t="inlineStr">
        <x:is>
          <x:t xml:space="preserve">흔함</x:t>
        </x:is>
      </x:c>
      <x:c r="R562" s="7" t="inlineStr">
        <x:is>
          <x:t xml:space="preserve">없음</x:t>
        </x:is>
      </x:c>
      <x:c r="S562" s="7" t="inlineStr">
        <x:is>
          <x:t xml:space="preserve">건조지</x:t>
        </x:is>
      </x:c>
      <x:c r="T562" s="7" t="inlineStr">
        <x:is>
          <x:t xml:space="preserve"/>
        </x:is>
      </x:c>
      <x:c r="U562" s="8" t="str">
        <x:f>INDEX('서식지_점수'!$E$4:$P$4,1,MATCH(MAX('서식지_점수'!E562:P562),'서식지_점수'!E562:P562,0))</x:f>
        <x:v>평원</x:v>
      </x:c>
      <x:c r="V562" s="8" t="str">
        <x:f>IF(T562&lt;&gt;"",T562,U562)</x:f>
        <x:v>평원</x:v>
      </x:c>
      <x:c r="W562" s="8" t="str">
        <x:f>IFERROR(INDEX('서식지_점수'!$E$4:$P$4,1,MATCH(MAXIFS('서식지_점수'!E562:P562,'서식지_점수'!E562:P562,"&lt;"&amp;MAX('서식지_점수'!E562:P562)),'서식지_점수'!E562:P562,0)),"")</x:f>
        <x:v>숲</x:v>
      </x:c>
      <x:c r="X562" s="8" t="str">
        <x:f>IF(T562&lt;&gt;"","수동확정",IF(MAX('서식지_점수'!E562:P562)-LARGE('서식지_점수'!E562:P562,2)&gt;=15,"높음",IF(MAX('서식지_점수'!E562:P562)-LARGE('서식지_점수'!E562:P562,2)&gt;=8,"보통","검토필요")))</x:f>
        <x:v>검토필요</x:v>
      </x:c>
      <x:c r="Y562" s="9" t="n">
        <x:f>IF(Q562="전설",8,IF(Q562="희귀",7,IF(J562="기본",1,IF(J562="중간",3,IF(J562="최종",IF(I562="",5,IF(I562&lt;=20,3,IF(I562&lt;=35,4,IF(I562&lt;=50,6,7)))),IF(Q562="드묾",4,2))))))</x:f>
        <x:v>4</x:v>
      </x:c>
      <x:c r="Z562" s="5" t="inlineStr">
        <x:is>
          <x:t xml:space="preserve">#cobblemon:is_badlands</x:t>
        </x:is>
      </x:c>
      <x:c r="AA562" s="5" t="inlineStr">
        <x:is>
          <x:t xml:space="preserve">common</x:t>
        </x:is>
      </x:c>
      <x:c r="AB562" s="5" t="inlineStr">
        <x:is>
          <x:t xml:space="preserve">예</x:t>
        </x:is>
      </x:c>
      <x:c r="AC562" s="8" t="str">
        <x:f>IF(T562&lt;&gt;"","수동확정",IF(X562="검토필요","검토필요",IF(S562="","원본없음","초기완료")))</x:f>
        <x:v>검토필요</x:v>
      </x:c>
      <x:c r="AD562" s="7" t="inlineStr">
        <x:is>
          <x:t xml:space="preserve"/>
        </x:is>
      </x:c>
      <x:c r="AE562" s="5" t="inlineStr">
        <x:is>
          <x:t xml:space="preserve">.tmp/cobblemon-1.7.3-source/common/src/main/resources/data/cobblemon/species/generation5/crustle.json</x:t>
        </x:is>
      </x:c>
      <x:c r="AF562" s="5" t="str">
        <x:f>"생활권|"&amp;K562</x:f>
        <x:v>생활권|육상</x:v>
      </x:c>
      <x:c r="AG562" s="5" t="str">
        <x:f>"지형|"&amp;L562</x:f>
        <x:v>지형|건조</x:v>
      </x:c>
      <x:c r="AH562" s="5" t="str">
        <x:f>"온도|"&amp;M562</x:f>
        <x:v>온도|고온</x:v>
      </x:c>
      <x:c r="AI562" s="5" t="str">
        <x:f>"습도|"&amp;N562</x:f>
        <x:v>습도|건조</x:v>
      </x:c>
      <x:c r="AJ562" s="5" t="str">
        <x:f>"날씨|"&amp;O562</x:f>
        <x:v>날씨|맑음</x:v>
      </x:c>
      <x:c r="AK562" s="5" t="str">
        <x:f>"특수태그|"&amp;R562</x:f>
        <x:v>특수태그|없음</x:v>
      </x:c>
      <x:c r="AL562" s="5" t="str">
        <x:f>"원본서식지|"&amp;S562</x:f>
        <x:v>원본서식지|건조지</x:v>
      </x:c>
      <x:c r="AM562" s="5" t="str">
        <x:f>"타입|"&amp;F562</x:f>
        <x:v>타입|벌레</x:v>
      </x:c>
      <x:c r="AN562" s="5" t="str">
        <x:f>"타입|"&amp;G562</x:f>
        <x:v>타입|바위</x:v>
      </x:c>
    </x:row>
    <x:row r="563" ht="24" customHeight="1">
      <x:c r="A563" s="5" t="n">
        <x:v>559</x:v>
      </x:c>
      <x:c r="B563" s="5" t="inlineStr">
        <x:is>
          <x:t xml:space="preserve">곤율랭</x:t>
        </x:is>
      </x:c>
      <x:c r="C563" s="5" t="inlineStr">
        <x:is>
          <x:t xml:space="preserve">scraggy</x:t>
        </x:is>
      </x:c>
      <x:c r="D563" s="5" t="inlineStr">
        <x:is>
          <x:t xml:space="preserve">Scraggy</x:t>
        </x:is>
      </x:c>
      <x:c r="E563" s="5" t="n">
        <x:v>5</x:v>
      </x:c>
      <x:c r="F563" s="5" t="inlineStr">
        <x:is>
          <x:t xml:space="preserve">악</x:t>
        </x:is>
      </x:c>
      <x:c r="G563" s="5" t="inlineStr">
        <x:is>
          <x:t xml:space="preserve">격투</x:t>
        </x:is>
      </x:c>
      <x:c r="H563" s="6" t="n">
        <x:v>11.8</x:v>
      </x:c>
      <x:c r="I563" s="5" t="n">
        <x:v>39</x:v>
      </x:c>
      <x:c r="J563" s="5" t="inlineStr">
        <x:is>
          <x:t xml:space="preserve">기본</x:t>
        </x:is>
      </x:c>
      <x:c r="K563" s="7" t="inlineStr">
        <x:is>
          <x:t xml:space="preserve">육상</x:t>
        </x:is>
      </x:c>
      <x:c r="L563" s="7" t="inlineStr">
        <x:is>
          <x:t xml:space="preserve">건조</x:t>
        </x:is>
      </x:c>
      <x:c r="M563" s="7" t="inlineStr">
        <x:is>
          <x:t xml:space="preserve">고온</x:t>
        </x:is>
      </x:c>
      <x:c r="N563" s="7" t="inlineStr">
        <x:is>
          <x:t xml:space="preserve">건조</x:t>
        </x:is>
      </x:c>
      <x:c r="O563" s="7" t="inlineStr">
        <x:is>
          <x:t xml:space="preserve">맑음</x:t>
        </x:is>
      </x:c>
      <x:c r="P563" s="7" t="inlineStr">
        <x:is>
          <x:t xml:space="preserve">밤</x:t>
        </x:is>
      </x:c>
      <x:c r="Q563" s="7" t="inlineStr">
        <x:is>
          <x:t xml:space="preserve">흔함</x:t>
        </x:is>
      </x:c>
      <x:c r="R563" s="7" t="inlineStr">
        <x:is>
          <x:t xml:space="preserve">없음</x:t>
        </x:is>
      </x:c>
      <x:c r="S563" s="7" t="inlineStr">
        <x:is>
          <x:t xml:space="preserve">건조지</x:t>
        </x:is>
      </x:c>
      <x:c r="T563" s="7" t="inlineStr">
        <x:is>
          <x:t xml:space="preserve"/>
        </x:is>
      </x:c>
      <x:c r="U563" s="8" t="str">
        <x:f>INDEX('서식지_점수'!$E$4:$P$4,1,MATCH(MAX('서식지_점수'!E563:P563),'서식지_점수'!E563:P563,0))</x:f>
        <x:v>평원</x:v>
      </x:c>
      <x:c r="V563" s="8" t="str">
        <x:f>IF(T563&lt;&gt;"",T563,U563)</x:f>
        <x:v>평원</x:v>
      </x:c>
      <x:c r="W563" s="8" t="str">
        <x:f>IFERROR(INDEX('서식지_점수'!$E$4:$P$4,1,MATCH(MAXIFS('서식지_점수'!E563:P563,'서식지_점수'!E563:P563,"&lt;"&amp;MAX('서식지_점수'!E563:P563)),'서식지_점수'!E563:P563,0)),"")</x:f>
        <x:v>숲</x:v>
      </x:c>
      <x:c r="X563" s="8" t="str">
        <x:f>IF(T563&lt;&gt;"","수동확정",IF(MAX('서식지_점수'!E563:P563)-LARGE('서식지_점수'!E563:P563,2)&gt;=15,"높음",IF(MAX('서식지_점수'!E563:P563)-LARGE('서식지_점수'!E563:P563,2)&gt;=8,"보통","검토필요")))</x:f>
        <x:v>검토필요</x:v>
      </x:c>
      <x:c r="Y563" s="9" t="n">
        <x:f>IF(Q563="전설",8,IF(Q563="희귀",7,IF(J563="기본",1,IF(J563="중간",3,IF(J563="최종",IF(I563="",5,IF(I563&lt;=20,3,IF(I563&lt;=35,4,IF(I563&lt;=50,6,7)))),IF(Q563="드묾",4,2))))))</x:f>
        <x:v>1</x:v>
      </x:c>
      <x:c r="Z563" s="5" t="inlineStr">
        <x:is>
          <x:t xml:space="preserve">#cobblemon:is_arid; #cobblemon:is_badlands</x:t>
        </x:is>
      </x:c>
      <x:c r="AA563" s="5" t="inlineStr">
        <x:is>
          <x:t xml:space="preserve">common</x:t>
        </x:is>
      </x:c>
      <x:c r="AB563" s="5" t="inlineStr">
        <x:is>
          <x:t xml:space="preserve">예</x:t>
        </x:is>
      </x:c>
      <x:c r="AC563" s="8" t="str">
        <x:f>IF(T563&lt;&gt;"","수동확정",IF(X563="검토필요","검토필요",IF(S563="","원본없음","초기완료")))</x:f>
        <x:v>검토필요</x:v>
      </x:c>
      <x:c r="AD563" s="7" t="inlineStr">
        <x:is>
          <x:t xml:space="preserve"/>
        </x:is>
      </x:c>
      <x:c r="AE563" s="5" t="inlineStr">
        <x:is>
          <x:t xml:space="preserve">.tmp/cobblemon-1.7.3-source/common/src/main/resources/data/cobblemon/species/generation5/scraggy.json</x:t>
        </x:is>
      </x:c>
      <x:c r="AF563" s="5" t="str">
        <x:f>"생활권|"&amp;K563</x:f>
        <x:v>생활권|육상</x:v>
      </x:c>
      <x:c r="AG563" s="5" t="str">
        <x:f>"지형|"&amp;L563</x:f>
        <x:v>지형|건조</x:v>
      </x:c>
      <x:c r="AH563" s="5" t="str">
        <x:f>"온도|"&amp;M563</x:f>
        <x:v>온도|고온</x:v>
      </x:c>
      <x:c r="AI563" s="5" t="str">
        <x:f>"습도|"&amp;N563</x:f>
        <x:v>습도|건조</x:v>
      </x:c>
      <x:c r="AJ563" s="5" t="str">
        <x:f>"날씨|"&amp;O563</x:f>
        <x:v>날씨|맑음</x:v>
      </x:c>
      <x:c r="AK563" s="5" t="str">
        <x:f>"특수태그|"&amp;R563</x:f>
        <x:v>특수태그|없음</x:v>
      </x:c>
      <x:c r="AL563" s="5" t="str">
        <x:f>"원본서식지|"&amp;S563</x:f>
        <x:v>원본서식지|건조지</x:v>
      </x:c>
      <x:c r="AM563" s="5" t="str">
        <x:f>"타입|"&amp;F563</x:f>
        <x:v>타입|악</x:v>
      </x:c>
      <x:c r="AN563" s="5" t="str">
        <x:f>"타입|"&amp;G563</x:f>
        <x:v>타입|격투</x:v>
      </x:c>
    </x:row>
    <x:row r="564" ht="24" customHeight="1">
      <x:c r="A564" s="5" t="n">
        <x:v>560</x:v>
      </x:c>
      <x:c r="B564" s="5" t="inlineStr">
        <x:is>
          <x:t xml:space="preserve">곤율거니</x:t>
        </x:is>
      </x:c>
      <x:c r="C564" s="5" t="inlineStr">
        <x:is>
          <x:t xml:space="preserve">scrafty</x:t>
        </x:is>
      </x:c>
      <x:c r="D564" s="5" t="inlineStr">
        <x:is>
          <x:t xml:space="preserve">Scrafty</x:t>
        </x:is>
      </x:c>
      <x:c r="E564" s="5" t="n">
        <x:v>5</x:v>
      </x:c>
      <x:c r="F564" s="5" t="inlineStr">
        <x:is>
          <x:t xml:space="preserve">악</x:t>
        </x:is>
      </x:c>
      <x:c r="G564" s="5" t="inlineStr">
        <x:is>
          <x:t xml:space="preserve">격투</x:t>
        </x:is>
      </x:c>
      <x:c r="H564" s="6" t="n">
        <x:v>30</x:v>
      </x:c>
      <x:c r="I564" s="5" t="n">
        <x:v>39</x:v>
      </x:c>
      <x:c r="J564" s="5" t="inlineStr">
        <x:is>
          <x:t xml:space="preserve">최종</x:t>
        </x:is>
      </x:c>
      <x:c r="K564" s="7" t="inlineStr">
        <x:is>
          <x:t xml:space="preserve">육상</x:t>
        </x:is>
      </x:c>
      <x:c r="L564" s="7" t="inlineStr">
        <x:is>
          <x:t xml:space="preserve">건조</x:t>
        </x:is>
      </x:c>
      <x:c r="M564" s="7" t="inlineStr">
        <x:is>
          <x:t xml:space="preserve">고온</x:t>
        </x:is>
      </x:c>
      <x:c r="N564" s="7" t="inlineStr">
        <x:is>
          <x:t xml:space="preserve">건조</x:t>
        </x:is>
      </x:c>
      <x:c r="O564" s="7" t="inlineStr">
        <x:is>
          <x:t xml:space="preserve">맑음</x:t>
        </x:is>
      </x:c>
      <x:c r="P564" s="7" t="inlineStr">
        <x:is>
          <x:t xml:space="preserve">밤</x:t>
        </x:is>
      </x:c>
      <x:c r="Q564" s="7" t="inlineStr">
        <x:is>
          <x:t xml:space="preserve">흔함</x:t>
        </x:is>
      </x:c>
      <x:c r="R564" s="7" t="inlineStr">
        <x:is>
          <x:t xml:space="preserve">없음</x:t>
        </x:is>
      </x:c>
      <x:c r="S564" s="7" t="inlineStr">
        <x:is>
          <x:t xml:space="preserve">건조지</x:t>
        </x:is>
      </x:c>
      <x:c r="T564" s="7" t="inlineStr">
        <x:is>
          <x:t xml:space="preserve"/>
        </x:is>
      </x:c>
      <x:c r="U564" s="8" t="str">
        <x:f>INDEX('서식지_점수'!$E$4:$P$4,1,MATCH(MAX('서식지_점수'!E564:P564),'서식지_점수'!E564:P564,0))</x:f>
        <x:v>평원</x:v>
      </x:c>
      <x:c r="V564" s="8" t="str">
        <x:f>IF(T564&lt;&gt;"",T564,U564)</x:f>
        <x:v>평원</x:v>
      </x:c>
      <x:c r="W564" s="8" t="str">
        <x:f>IFERROR(INDEX('서식지_점수'!$E$4:$P$4,1,MATCH(MAXIFS('서식지_점수'!E564:P564,'서식지_점수'!E564:P564,"&lt;"&amp;MAX('서식지_점수'!E564:P564)),'서식지_점수'!E564:P564,0)),"")</x:f>
        <x:v>숲</x:v>
      </x:c>
      <x:c r="X564" s="8" t="str">
        <x:f>IF(T564&lt;&gt;"","수동확정",IF(MAX('서식지_점수'!E564:P564)-LARGE('서식지_점수'!E564:P564,2)&gt;=15,"높음",IF(MAX('서식지_점수'!E564:P564)-LARGE('서식지_점수'!E564:P564,2)&gt;=8,"보통","검토필요")))</x:f>
        <x:v>검토필요</x:v>
      </x:c>
      <x:c r="Y564" s="9" t="n">
        <x:f>IF(Q564="전설",8,IF(Q564="희귀",7,IF(J564="기본",1,IF(J564="중간",3,IF(J564="최종",IF(I564="",5,IF(I564&lt;=20,3,IF(I564&lt;=35,4,IF(I564&lt;=50,6,7)))),IF(Q564="드묾",4,2))))))</x:f>
        <x:v>6</x:v>
      </x:c>
      <x:c r="Z564" s="5" t="inlineStr">
        <x:is>
          <x:t xml:space="preserve">#cobblemon:is_arid; #cobblemon:is_badlands</x:t>
        </x:is>
      </x:c>
      <x:c r="AA564" s="5" t="inlineStr">
        <x:is>
          <x:t xml:space="preserve">common</x:t>
        </x:is>
      </x:c>
      <x:c r="AB564" s="5" t="inlineStr">
        <x:is>
          <x:t xml:space="preserve">예</x:t>
        </x:is>
      </x:c>
      <x:c r="AC564" s="8" t="str">
        <x:f>IF(T564&lt;&gt;"","수동확정",IF(X564="검토필요","검토필요",IF(S564="","원본없음","초기완료")))</x:f>
        <x:v>검토필요</x:v>
      </x:c>
      <x:c r="AD564" s="7" t="inlineStr">
        <x:is>
          <x:t xml:space="preserve"/>
        </x:is>
      </x:c>
      <x:c r="AE564" s="5" t="inlineStr">
        <x:is>
          <x:t xml:space="preserve">.tmp/cobblemon-1.7.3-source/common/src/main/resources/data/cobblemon/species/generation5/scrafty.json</x:t>
        </x:is>
      </x:c>
      <x:c r="AF564" s="5" t="str">
        <x:f>"생활권|"&amp;K564</x:f>
        <x:v>생활권|육상</x:v>
      </x:c>
      <x:c r="AG564" s="5" t="str">
        <x:f>"지형|"&amp;L564</x:f>
        <x:v>지형|건조</x:v>
      </x:c>
      <x:c r="AH564" s="5" t="str">
        <x:f>"온도|"&amp;M564</x:f>
        <x:v>온도|고온</x:v>
      </x:c>
      <x:c r="AI564" s="5" t="str">
        <x:f>"습도|"&amp;N564</x:f>
        <x:v>습도|건조</x:v>
      </x:c>
      <x:c r="AJ564" s="5" t="str">
        <x:f>"날씨|"&amp;O564</x:f>
        <x:v>날씨|맑음</x:v>
      </x:c>
      <x:c r="AK564" s="5" t="str">
        <x:f>"특수태그|"&amp;R564</x:f>
        <x:v>특수태그|없음</x:v>
      </x:c>
      <x:c r="AL564" s="5" t="str">
        <x:f>"원본서식지|"&amp;S564</x:f>
        <x:v>원본서식지|건조지</x:v>
      </x:c>
      <x:c r="AM564" s="5" t="str">
        <x:f>"타입|"&amp;F564</x:f>
        <x:v>타입|악</x:v>
      </x:c>
      <x:c r="AN564" s="5" t="str">
        <x:f>"타입|"&amp;G564</x:f>
        <x:v>타입|격투</x:v>
      </x:c>
    </x:row>
    <x:row r="565" ht="24" customHeight="1">
      <x:c r="A565" s="5" t="n">
        <x:v>561</x:v>
      </x:c>
      <x:c r="B565" s="5" t="inlineStr">
        <x:is>
          <x:t xml:space="preserve">심보러</x:t>
        </x:is>
      </x:c>
      <x:c r="C565" s="5" t="inlineStr">
        <x:is>
          <x:t xml:space="preserve">sigilyph</x:t>
        </x:is>
      </x:c>
      <x:c r="D565" s="5" t="inlineStr">
        <x:is>
          <x:t xml:space="preserve">Sigilyph</x:t>
        </x:is>
      </x:c>
      <x:c r="E565" s="5" t="n">
        <x:v>5</x:v>
      </x:c>
      <x:c r="F565" s="5" t="inlineStr">
        <x:is>
          <x:t xml:space="preserve">에스퍼</x:t>
        </x:is>
      </x:c>
      <x:c r="G565" s="5" t="inlineStr">
        <x:is>
          <x:t xml:space="preserve">비행</x:t>
        </x:is>
      </x:c>
      <x:c r="H565" s="6" t="n">
        <x:v>14</x:v>
      </x:c>
      <x:c r="I565" s="5" t="n"/>
      <x:c r="J565" s="5" t="inlineStr">
        <x:is>
          <x:t xml:space="preserve">무진화</x:t>
        </x:is>
      </x:c>
      <x:c r="K565" s="7" t="inlineStr">
        <x:is>
          <x:t xml:space="preserve">비행</x:t>
        </x:is>
      </x:c>
      <x:c r="L565" s="7" t="inlineStr">
        <x:is>
          <x:t xml:space="preserve">건조</x:t>
        </x:is>
      </x:c>
      <x:c r="M565" s="7" t="inlineStr">
        <x:is>
          <x:t xml:space="preserve">고온</x:t>
        </x:is>
      </x:c>
      <x:c r="N565" s="7" t="inlineStr">
        <x:is>
          <x:t xml:space="preserve">건조</x:t>
        </x:is>
      </x:c>
      <x:c r="O565" s="7" t="inlineStr">
        <x:is>
          <x:t xml:space="preserve">맑음</x:t>
        </x:is>
      </x:c>
      <x:c r="P565" s="7" t="inlineStr">
        <x:is>
          <x:t xml:space="preserve">무관</x:t>
        </x:is>
      </x:c>
      <x:c r="Q565" s="7" t="inlineStr">
        <x:is>
          <x:t xml:space="preserve">보통</x:t>
        </x:is>
      </x:c>
      <x:c r="R565" s="7" t="inlineStr">
        <x:is>
          <x:t xml:space="preserve">없음</x:t>
        </x:is>
      </x:c>
      <x:c r="S565" s="7" t="inlineStr">
        <x:is>
          <x:t xml:space="preserve">건조지</x:t>
        </x:is>
      </x:c>
      <x:c r="T565" s="7" t="inlineStr">
        <x:is>
          <x:t xml:space="preserve"/>
        </x:is>
      </x:c>
      <x:c r="U565" s="8" t="str">
        <x:f>INDEX('서식지_점수'!$E$4:$P$4,1,MATCH(MAX('서식지_점수'!E565:P565),'서식지_점수'!E565:P565,0))</x:f>
        <x:v>산악</x:v>
      </x:c>
      <x:c r="V565" s="8" t="str">
        <x:f>IF(T565&lt;&gt;"",T565,U565)</x:f>
        <x:v>산악</x:v>
      </x:c>
      <x:c r="W565" s="8" t="str">
        <x:f>IFERROR(INDEX('서식지_점수'!$E$4:$P$4,1,MATCH(MAXIFS('서식지_점수'!E565:P565,'서식지_점수'!E565:P565,"&lt;"&amp;MAX('서식지_점수'!E565:P565)),'서식지_점수'!E565:P565,0)),"")</x:f>
        <x:v>평원</x:v>
      </x:c>
      <x:c r="X565" s="8" t="str">
        <x:f>IF(T565&lt;&gt;"","수동확정",IF(MAX('서식지_점수'!E565:P565)-LARGE('서식지_점수'!E565:P565,2)&gt;=15,"높음",IF(MAX('서식지_점수'!E565:P565)-LARGE('서식지_점수'!E565:P565,2)&gt;=8,"보통","검토필요")))</x:f>
        <x:v>검토필요</x:v>
      </x:c>
      <x:c r="Y565" s="9" t="n">
        <x:f>IF(Q565="전설",8,IF(Q565="희귀",7,IF(J565="기본",1,IF(J565="중간",3,IF(J565="최종",IF(I565="",5,IF(I565&lt;=20,3,IF(I565&lt;=35,4,IF(I565&lt;=50,6,7)))),IF(Q565="드묾",4,2))))))</x:f>
        <x:v>2</x:v>
      </x:c>
      <x:c r="Z565" s="5" t="inlineStr">
        <x:is>
          <x:t xml:space="preserve">#aether:is_aether; #cobblemon:is_badlands; #cobblemon:is_desert; #cobblemon:is_end; #cobblemon:is_overworld; the_bumblezone:howling_constructs</x:t>
        </x:is>
      </x:c>
      <x:c r="AA565" s="5" t="inlineStr">
        <x:is>
          <x:t xml:space="preserve">common; uncommon</x:t>
        </x:is>
      </x:c>
      <x:c r="AB565" s="5" t="inlineStr">
        <x:is>
          <x:t xml:space="preserve">예</x:t>
        </x:is>
      </x:c>
      <x:c r="AC565" s="8" t="str">
        <x:f>IF(T565&lt;&gt;"","수동확정",IF(X565="검토필요","검토필요",IF(S565="","원본없음","초기완료")))</x:f>
        <x:v>검토필요</x:v>
      </x:c>
      <x:c r="AD565" s="7" t="inlineStr">
        <x:is>
          <x:t xml:space="preserve"/>
        </x:is>
      </x:c>
      <x:c r="AE565" s="5" t="inlineStr">
        <x:is>
          <x:t xml:space="preserve">.tmp/cobblemon-1.7.3-source/common/src/main/resources/data/cobblemon/species/generation5/sigilyph.json</x:t>
        </x:is>
      </x:c>
      <x:c r="AF565" s="5" t="str">
        <x:f>"생활권|"&amp;K565</x:f>
        <x:v>생활권|비행</x:v>
      </x:c>
      <x:c r="AG565" s="5" t="str">
        <x:f>"지형|"&amp;L565</x:f>
        <x:v>지형|건조</x:v>
      </x:c>
      <x:c r="AH565" s="5" t="str">
        <x:f>"온도|"&amp;M565</x:f>
        <x:v>온도|고온</x:v>
      </x:c>
      <x:c r="AI565" s="5" t="str">
        <x:f>"습도|"&amp;N565</x:f>
        <x:v>습도|건조</x:v>
      </x:c>
      <x:c r="AJ565" s="5" t="str">
        <x:f>"날씨|"&amp;O565</x:f>
        <x:v>날씨|맑음</x:v>
      </x:c>
      <x:c r="AK565" s="5" t="str">
        <x:f>"특수태그|"&amp;R565</x:f>
        <x:v>특수태그|없음</x:v>
      </x:c>
      <x:c r="AL565" s="5" t="str">
        <x:f>"원본서식지|"&amp;S565</x:f>
        <x:v>원본서식지|건조지</x:v>
      </x:c>
      <x:c r="AM565" s="5" t="str">
        <x:f>"타입|"&amp;F565</x:f>
        <x:v>타입|에스퍼</x:v>
      </x:c>
      <x:c r="AN565" s="5" t="str">
        <x:f>"타입|"&amp;G565</x:f>
        <x:v>타입|비행</x:v>
      </x:c>
    </x:row>
    <x:row r="566" ht="24" customHeight="1">
      <x:c r="A566" s="5" t="n">
        <x:v>562</x:v>
      </x:c>
      <x:c r="B566" s="5" t="inlineStr">
        <x:is>
          <x:t xml:space="preserve">데스마스</x:t>
        </x:is>
      </x:c>
      <x:c r="C566" s="5" t="inlineStr">
        <x:is>
          <x:t xml:space="preserve">yamask</x:t>
        </x:is>
      </x:c>
      <x:c r="D566" s="5" t="inlineStr">
        <x:is>
          <x:t xml:space="preserve">Yamask</x:t>
        </x:is>
      </x:c>
      <x:c r="E566" s="5" t="n">
        <x:v>5</x:v>
      </x:c>
      <x:c r="F566" s="5" t="inlineStr">
        <x:is>
          <x:t xml:space="preserve">고스트</x:t>
        </x:is>
      </x:c>
      <x:c r="G566" s="5" t="inlineStr">
        <x:is>
          <x:t xml:space="preserve"/>
        </x:is>
      </x:c>
      <x:c r="H566" s="6" t="n">
        <x:v>1.5</x:v>
      </x:c>
      <x:c r="I566" s="5" t="n">
        <x:v>34</x:v>
      </x:c>
      <x:c r="J566" s="5" t="inlineStr">
        <x:is>
          <x:t xml:space="preserve">기본</x:t>
        </x:is>
      </x:c>
      <x:c r="K566" s="7" t="inlineStr">
        <x:is>
          <x:t xml:space="preserve">비행</x:t>
        </x:is>
      </x:c>
      <x:c r="L566" s="7" t="inlineStr">
        <x:is>
          <x:t xml:space="preserve">건조</x:t>
        </x:is>
      </x:c>
      <x:c r="M566" s="7" t="inlineStr">
        <x:is>
          <x:t xml:space="preserve">고온</x:t>
        </x:is>
      </x:c>
      <x:c r="N566" s="7" t="inlineStr">
        <x:is>
          <x:t xml:space="preserve">건조</x:t>
        </x:is>
      </x:c>
      <x:c r="O566" s="7" t="inlineStr">
        <x:is>
          <x:t xml:space="preserve">맑음</x:t>
        </x:is>
      </x:c>
      <x:c r="P566" s="7" t="inlineStr">
        <x:is>
          <x:t xml:space="preserve">밤</x:t>
        </x:is>
      </x:c>
      <x:c r="Q566" s="7" t="inlineStr">
        <x:is>
          <x:t xml:space="preserve">보통</x:t>
        </x:is>
      </x:c>
      <x:c r="R566" s="7" t="inlineStr">
        <x:is>
          <x:t xml:space="preserve">영체</x:t>
        </x:is>
      </x:c>
      <x:c r="S566" s="7" t="inlineStr">
        <x:is>
          <x:t xml:space="preserve">건조지</x:t>
        </x:is>
      </x:c>
      <x:c r="T566" s="7" t="inlineStr">
        <x:is>
          <x:t xml:space="preserve"/>
        </x:is>
      </x:c>
      <x:c r="U566" s="8" t="str">
        <x:f>INDEX('서식지_점수'!$E$4:$P$4,1,MATCH(MAX('서식지_점수'!E566:P566),'서식지_점수'!E566:P566,0))</x:f>
        <x:v>산악</x:v>
      </x:c>
      <x:c r="V566" s="8" t="str">
        <x:f>IF(T566&lt;&gt;"",T566,U566)</x:f>
        <x:v>산악</x:v>
      </x:c>
      <x:c r="W566" s="8" t="str">
        <x:f>IFERROR(INDEX('서식지_점수'!$E$4:$P$4,1,MATCH(MAXIFS('서식지_점수'!E566:P566,'서식지_점수'!E566:P566,"&lt;"&amp;MAX('서식지_점수'!E566:P566)),'서식지_점수'!E566:P566,0)),"")</x:f>
        <x:v>평원</x:v>
      </x:c>
      <x:c r="X566" s="8" t="str">
        <x:f>IF(T566&lt;&gt;"","수동확정",IF(MAX('서식지_점수'!E566:P566)-LARGE('서식지_점수'!E566:P566,2)&gt;=15,"높음",IF(MAX('서식지_점수'!E566:P566)-LARGE('서식지_점수'!E566:P566,2)&gt;=8,"보통","검토필요")))</x:f>
        <x:v>검토필요</x:v>
      </x:c>
      <x:c r="Y566" s="9" t="n">
        <x:f>IF(Q566="전설",8,IF(Q566="희귀",7,IF(J566="기본",1,IF(J566="중간",3,IF(J566="최종",IF(I566="",5,IF(I566&lt;=20,3,IF(I566&lt;=35,4,IF(I566&lt;=50,6,7)))),IF(Q566="드묾",4,2))))))</x:f>
        <x:v>1</x:v>
      </x:c>
      <x:c r="Z566" s="5" t="inlineStr">
        <x:is>
          <x:t xml:space="preserve">#cobblemon:is_desert; #cobblemon:is_overworld</x:t>
        </x:is>
      </x:c>
      <x:c r="AA566" s="5" t="inlineStr">
        <x:is>
          <x:t xml:space="preserve">common; uncommon</x:t>
        </x:is>
      </x:c>
      <x:c r="AB566" s="5" t="inlineStr">
        <x:is>
          <x:t xml:space="preserve">예</x:t>
        </x:is>
      </x:c>
      <x:c r="AC566" s="8" t="str">
        <x:f>IF(T566&lt;&gt;"","수동확정",IF(X566="검토필요","검토필요",IF(S566="","원본없음","초기완료")))</x:f>
        <x:v>검토필요</x:v>
      </x:c>
      <x:c r="AD566" s="7" t="inlineStr">
        <x:is>
          <x:t xml:space="preserve"/>
        </x:is>
      </x:c>
      <x:c r="AE566" s="5" t="inlineStr">
        <x:is>
          <x:t xml:space="preserve">.tmp/cobblemon-1.7.3-source/common/src/main/resources/data/cobblemon/species/generation5/yamask.json</x:t>
        </x:is>
      </x:c>
      <x:c r="AF566" s="5" t="str">
        <x:f>"생활권|"&amp;K566</x:f>
        <x:v>생활권|비행</x:v>
      </x:c>
      <x:c r="AG566" s="5" t="str">
        <x:f>"지형|"&amp;L566</x:f>
        <x:v>지형|건조</x:v>
      </x:c>
      <x:c r="AH566" s="5" t="str">
        <x:f>"온도|"&amp;M566</x:f>
        <x:v>온도|고온</x:v>
      </x:c>
      <x:c r="AI566" s="5" t="str">
        <x:f>"습도|"&amp;N566</x:f>
        <x:v>습도|건조</x:v>
      </x:c>
      <x:c r="AJ566" s="5" t="str">
        <x:f>"날씨|"&amp;O566</x:f>
        <x:v>날씨|맑음</x:v>
      </x:c>
      <x:c r="AK566" s="5" t="str">
        <x:f>"특수태그|"&amp;R566</x:f>
        <x:v>특수태그|영체</x:v>
      </x:c>
      <x:c r="AL566" s="5" t="str">
        <x:f>"원본서식지|"&amp;S566</x:f>
        <x:v>원본서식지|건조지</x:v>
      </x:c>
      <x:c r="AM566" s="5" t="str">
        <x:f>"타입|"&amp;F566</x:f>
        <x:v>타입|고스트</x:v>
      </x:c>
      <x:c r="AN566" s="5" t="str">
        <x:f>"타입|"&amp;G566</x:f>
        <x:v>타입|</x:v>
      </x:c>
    </x:row>
    <x:row r="567" ht="24" customHeight="1">
      <x:c r="A567" s="5" t="n">
        <x:v>563</x:v>
      </x:c>
      <x:c r="B567" s="5" t="inlineStr">
        <x:is>
          <x:t xml:space="preserve">데스니칸</x:t>
        </x:is>
      </x:c>
      <x:c r="C567" s="5" t="inlineStr">
        <x:is>
          <x:t xml:space="preserve">cofagrigus</x:t>
        </x:is>
      </x:c>
      <x:c r="D567" s="5" t="inlineStr">
        <x:is>
          <x:t xml:space="preserve">Cofagrigus</x:t>
        </x:is>
      </x:c>
      <x:c r="E567" s="5" t="n">
        <x:v>5</x:v>
      </x:c>
      <x:c r="F567" s="5" t="inlineStr">
        <x:is>
          <x:t xml:space="preserve">고스트</x:t>
        </x:is>
      </x:c>
      <x:c r="G567" s="5" t="inlineStr">
        <x:is>
          <x:t xml:space="preserve"/>
        </x:is>
      </x:c>
      <x:c r="H567" s="6" t="n">
        <x:v>76.5</x:v>
      </x:c>
      <x:c r="I567" s="5" t="n">
        <x:v>34</x:v>
      </x:c>
      <x:c r="J567" s="5" t="inlineStr">
        <x:is>
          <x:t xml:space="preserve">최종</x:t>
        </x:is>
      </x:c>
      <x:c r="K567" s="7" t="inlineStr">
        <x:is>
          <x:t xml:space="preserve">비행</x:t>
        </x:is>
      </x:c>
      <x:c r="L567" s="7" t="inlineStr">
        <x:is>
          <x:t xml:space="preserve">건조</x:t>
        </x:is>
      </x:c>
      <x:c r="M567" s="7" t="inlineStr">
        <x:is>
          <x:t xml:space="preserve">고온</x:t>
        </x:is>
      </x:c>
      <x:c r="N567" s="7" t="inlineStr">
        <x:is>
          <x:t xml:space="preserve">건조</x:t>
        </x:is>
      </x:c>
      <x:c r="O567" s="7" t="inlineStr">
        <x:is>
          <x:t xml:space="preserve">맑음</x:t>
        </x:is>
      </x:c>
      <x:c r="P567" s="7" t="inlineStr">
        <x:is>
          <x:t xml:space="preserve">밤</x:t>
        </x:is>
      </x:c>
      <x:c r="Q567" s="7" t="inlineStr">
        <x:is>
          <x:t xml:space="preserve">보통</x:t>
        </x:is>
      </x:c>
      <x:c r="R567" s="7" t="inlineStr">
        <x:is>
          <x:t xml:space="preserve">영체</x:t>
        </x:is>
      </x:c>
      <x:c r="S567" s="7" t="inlineStr">
        <x:is>
          <x:t xml:space="preserve">건조지</x:t>
        </x:is>
      </x:c>
      <x:c r="T567" s="7" t="inlineStr">
        <x:is>
          <x:t xml:space="preserve"/>
        </x:is>
      </x:c>
      <x:c r="U567" s="8" t="str">
        <x:f>INDEX('서식지_점수'!$E$4:$P$4,1,MATCH(MAX('서식지_점수'!E567:P567),'서식지_점수'!E567:P567,0))</x:f>
        <x:v>산악</x:v>
      </x:c>
      <x:c r="V567" s="8" t="str">
        <x:f>IF(T567&lt;&gt;"",T567,U567)</x:f>
        <x:v>산악</x:v>
      </x:c>
      <x:c r="W567" s="8" t="str">
        <x:f>IFERROR(INDEX('서식지_점수'!$E$4:$P$4,1,MATCH(MAXIFS('서식지_점수'!E567:P567,'서식지_점수'!E567:P567,"&lt;"&amp;MAX('서식지_점수'!E567:P567)),'서식지_점수'!E567:P567,0)),"")</x:f>
        <x:v>평원</x:v>
      </x:c>
      <x:c r="X567" s="8" t="str">
        <x:f>IF(T567&lt;&gt;"","수동확정",IF(MAX('서식지_점수'!E567:P567)-LARGE('서식지_점수'!E567:P567,2)&gt;=15,"높음",IF(MAX('서식지_점수'!E567:P567)-LARGE('서식지_점수'!E567:P567,2)&gt;=8,"보통","검토필요")))</x:f>
        <x:v>검토필요</x:v>
      </x:c>
      <x:c r="Y567" s="9" t="n">
        <x:f>IF(Q567="전설",8,IF(Q567="희귀",7,IF(J567="기본",1,IF(J567="중간",3,IF(J567="최종",IF(I567="",5,IF(I567&lt;=20,3,IF(I567&lt;=35,4,IF(I567&lt;=50,6,7)))),IF(Q567="드묾",4,2))))))</x:f>
        <x:v>4</x:v>
      </x:c>
      <x:c r="Z567" s="5" t="inlineStr">
        <x:is>
          <x:t xml:space="preserve">#cobblemon:is_desert; #cobblemon:is_overworld</x:t>
        </x:is>
      </x:c>
      <x:c r="AA567" s="5" t="inlineStr">
        <x:is>
          <x:t xml:space="preserve">common; uncommon</x:t>
        </x:is>
      </x:c>
      <x:c r="AB567" s="5" t="inlineStr">
        <x:is>
          <x:t xml:space="preserve">예</x:t>
        </x:is>
      </x:c>
      <x:c r="AC567" s="8" t="str">
        <x:f>IF(T567&lt;&gt;"","수동확정",IF(X567="검토필요","검토필요",IF(S567="","원본없음","초기완료")))</x:f>
        <x:v>검토필요</x:v>
      </x:c>
      <x:c r="AD567" s="7" t="inlineStr">
        <x:is>
          <x:t xml:space="preserve"/>
        </x:is>
      </x:c>
      <x:c r="AE567" s="5" t="inlineStr">
        <x:is>
          <x:t xml:space="preserve">.tmp/cobblemon-1.7.3-source/common/src/main/resources/data/cobblemon/species/generation5/cofagrigus.json</x:t>
        </x:is>
      </x:c>
      <x:c r="AF567" s="5" t="str">
        <x:f>"생활권|"&amp;K567</x:f>
        <x:v>생활권|비행</x:v>
      </x:c>
      <x:c r="AG567" s="5" t="str">
        <x:f>"지형|"&amp;L567</x:f>
        <x:v>지형|건조</x:v>
      </x:c>
      <x:c r="AH567" s="5" t="str">
        <x:f>"온도|"&amp;M567</x:f>
        <x:v>온도|고온</x:v>
      </x:c>
      <x:c r="AI567" s="5" t="str">
        <x:f>"습도|"&amp;N567</x:f>
        <x:v>습도|건조</x:v>
      </x:c>
      <x:c r="AJ567" s="5" t="str">
        <x:f>"날씨|"&amp;O567</x:f>
        <x:v>날씨|맑음</x:v>
      </x:c>
      <x:c r="AK567" s="5" t="str">
        <x:f>"특수태그|"&amp;R567</x:f>
        <x:v>특수태그|영체</x:v>
      </x:c>
      <x:c r="AL567" s="5" t="str">
        <x:f>"원본서식지|"&amp;S567</x:f>
        <x:v>원본서식지|건조지</x:v>
      </x:c>
      <x:c r="AM567" s="5" t="str">
        <x:f>"타입|"&amp;F567</x:f>
        <x:v>타입|고스트</x:v>
      </x:c>
      <x:c r="AN567" s="5" t="str">
        <x:f>"타입|"&amp;G567</x:f>
        <x:v>타입|</x:v>
      </x:c>
    </x:row>
    <x:row r="568" ht="24" customHeight="1">
      <x:c r="A568" s="5" t="n">
        <x:v>564</x:v>
      </x:c>
      <x:c r="B568" s="5" t="inlineStr">
        <x:is>
          <x:t xml:space="preserve">프로토가</x:t>
        </x:is>
      </x:c>
      <x:c r="C568" s="5" t="inlineStr">
        <x:is>
          <x:t xml:space="preserve">tirtouga</x:t>
        </x:is>
      </x:c>
      <x:c r="D568" s="5" t="inlineStr">
        <x:is>
          <x:t xml:space="preserve">Tirtouga</x:t>
        </x:is>
      </x:c>
      <x:c r="E568" s="5" t="n">
        <x:v>5</x:v>
      </x:c>
      <x:c r="F568" s="5" t="inlineStr">
        <x:is>
          <x:t xml:space="preserve">물</x:t>
        </x:is>
      </x:c>
      <x:c r="G568" s="5" t="inlineStr">
        <x:is>
          <x:t xml:space="preserve">바위</x:t>
        </x:is>
      </x:c>
      <x:c r="H568" s="6" t="n">
        <x:v>16.5</x:v>
      </x:c>
      <x:c r="I568" s="5" t="n">
        <x:v>37</x:v>
      </x:c>
      <x:c r="J568" s="5" t="inlineStr">
        <x:is>
          <x:t xml:space="preserve">기본</x:t>
        </x:is>
      </x:c>
      <x:c r="K568" s="7" t="inlineStr">
        <x:is>
          <x:t xml:space="preserve">수륙</x:t>
        </x:is>
      </x:c>
      <x:c r="L568" s="7" t="inlineStr">
        <x:is>
          <x:t xml:space="preserve">암석</x:t>
        </x:is>
      </x:c>
      <x:c r="M568" s="7" t="inlineStr">
        <x:is>
          <x:t xml:space="preserve">온대</x:t>
        </x:is>
      </x:c>
      <x:c r="N568" s="7" t="inlineStr">
        <x:is>
          <x:t xml:space="preserve">보통</x:t>
        </x:is>
      </x:c>
      <x:c r="O568" s="7" t="inlineStr">
        <x:is>
          <x:t xml:space="preserve">무관</x:t>
        </x:is>
      </x:c>
      <x:c r="P568" s="7" t="inlineStr">
        <x:is>
          <x:t xml:space="preserve">무관</x:t>
        </x:is>
      </x:c>
      <x:c r="Q568" s="7" t="inlineStr">
        <x:is>
          <x:t xml:space="preserve">희귀</x:t>
        </x:is>
      </x:c>
      <x:c r="R568" s="7" t="inlineStr">
        <x:is>
          <x:t xml:space="preserve">없음</x:t>
        </x:is>
      </x:c>
      <x:c r="S568" s="7" t="inlineStr">
        <x:is>
          <x:t xml:space="preserve"/>
        </x:is>
      </x:c>
      <x:c r="T568" s="7" t="inlineStr">
        <x:is>
          <x:t xml:space="preserve"/>
        </x:is>
      </x:c>
      <x:c r="U568" s="8" t="str">
        <x:f>INDEX('서식지_점수'!$E$4:$P$4,1,MATCH(MAX('서식지_점수'!E568:P568),'서식지_점수'!E568:P568,0))</x:f>
        <x:v>습지</x:v>
      </x:c>
      <x:c r="V568" s="8" t="str">
        <x:f>IF(T568&lt;&gt;"",T568,U568)</x:f>
        <x:v>습지</x:v>
      </x:c>
      <x:c r="W568" s="8" t="str">
        <x:f>IFERROR(INDEX('서식지_점수'!$E$4:$P$4,1,MATCH(MAXIFS('서식지_점수'!E568:P568,'서식지_점수'!E568:P568,"&lt;"&amp;MAX('서식지_점수'!E568:P568)),'서식지_점수'!E568:P568,0)),"")</x:f>
        <x:v>담수</x:v>
      </x:c>
      <x:c r="X568" s="8" t="str">
        <x:f>IF(T568&lt;&gt;"","수동확정",IF(MAX('서식지_점수'!E568:P568)-LARGE('서식지_점수'!E568:P568,2)&gt;=15,"높음",IF(MAX('서식지_점수'!E568:P568)-LARGE('서식지_점수'!E568:P568,2)&gt;=8,"보통","검토필요")))</x:f>
        <x:v>검토필요</x:v>
      </x:c>
      <x:c r="Y568" s="9" t="n">
        <x:f>IF(Q568="전설",8,IF(Q568="희귀",7,IF(J568="기본",1,IF(J568="중간",3,IF(J568="최종",IF(I568="",5,IF(I568&lt;=20,3,IF(I568&lt;=35,4,IF(I568&lt;=50,6,7)))),IF(Q568="드묾",4,2))))))</x:f>
        <x:v>7</x:v>
      </x:c>
      <x:c r="Z568" s="5" t="inlineStr">
        <x:is>
          <x:t xml:space="preserve">#cobblemon:is_lush</x:t>
        </x:is>
      </x:c>
      <x:c r="AA568" s="5" t="inlineStr">
        <x:is>
          <x:t xml:space="preserve">ultra-rare</x:t>
        </x:is>
      </x:c>
      <x:c r="AB568" s="5" t="inlineStr">
        <x:is>
          <x:t xml:space="preserve">예</x:t>
        </x:is>
      </x:c>
      <x:c r="AC568" s="8" t="str">
        <x:f>IF(T568&lt;&gt;"","수동확정",IF(X568="검토필요","검토필요",IF(S568="","원본없음","초기완료")))</x:f>
        <x:v>검토필요</x:v>
      </x:c>
      <x:c r="AD568" s="7" t="inlineStr">
        <x:is>
          <x:t xml:space="preserve"/>
        </x:is>
      </x:c>
      <x:c r="AE568" s="5" t="inlineStr">
        <x:is>
          <x:t xml:space="preserve">.tmp/cobblemon-1.7.3-source/common/src/main/resources/data/cobblemon/species/generation5/tirtouga.json</x:t>
        </x:is>
      </x:c>
      <x:c r="AF568" s="5" t="str">
        <x:f>"생활권|"&amp;K568</x:f>
        <x:v>생활권|수륙</x:v>
      </x:c>
      <x:c r="AG568" s="5" t="str">
        <x:f>"지형|"&amp;L568</x:f>
        <x:v>지형|암석</x:v>
      </x:c>
      <x:c r="AH568" s="5" t="str">
        <x:f>"온도|"&amp;M568</x:f>
        <x:v>온도|온대</x:v>
      </x:c>
      <x:c r="AI568" s="5" t="str">
        <x:f>"습도|"&amp;N568</x:f>
        <x:v>습도|보통</x:v>
      </x:c>
      <x:c r="AJ568" s="5" t="str">
        <x:f>"날씨|"&amp;O568</x:f>
        <x:v>날씨|무관</x:v>
      </x:c>
      <x:c r="AK568" s="5" t="str">
        <x:f>"특수태그|"&amp;R568</x:f>
        <x:v>특수태그|없음</x:v>
      </x:c>
      <x:c r="AL568" s="5" t="str">
        <x:f>"원본서식지|"&amp;S568</x:f>
        <x:v>원본서식지|</x:v>
      </x:c>
      <x:c r="AM568" s="5" t="str">
        <x:f>"타입|"&amp;F568</x:f>
        <x:v>타입|물</x:v>
      </x:c>
      <x:c r="AN568" s="5" t="str">
        <x:f>"타입|"&amp;G568</x:f>
        <x:v>타입|바위</x:v>
      </x:c>
    </x:row>
    <x:row r="569" ht="24" customHeight="1">
      <x:c r="A569" s="5" t="n">
        <x:v>565</x:v>
      </x:c>
      <x:c r="B569" s="5" t="inlineStr">
        <x:is>
          <x:t xml:space="preserve">늑골라</x:t>
        </x:is>
      </x:c>
      <x:c r="C569" s="5" t="inlineStr">
        <x:is>
          <x:t xml:space="preserve">carracosta</x:t>
        </x:is>
      </x:c>
      <x:c r="D569" s="5" t="inlineStr">
        <x:is>
          <x:t xml:space="preserve">Carracosta</x:t>
        </x:is>
      </x:c>
      <x:c r="E569" s="5" t="n">
        <x:v>5</x:v>
      </x:c>
      <x:c r="F569" s="5" t="inlineStr">
        <x:is>
          <x:t xml:space="preserve">물</x:t>
        </x:is>
      </x:c>
      <x:c r="G569" s="5" t="inlineStr">
        <x:is>
          <x:t xml:space="preserve">바위</x:t>
        </x:is>
      </x:c>
      <x:c r="H569" s="6" t="n">
        <x:v>81</x:v>
      </x:c>
      <x:c r="I569" s="5" t="n">
        <x:v>37</x:v>
      </x:c>
      <x:c r="J569" s="5" t="inlineStr">
        <x:is>
          <x:t xml:space="preserve">최종</x:t>
        </x:is>
      </x:c>
      <x:c r="K569" s="7" t="inlineStr">
        <x:is>
          <x:t xml:space="preserve">수륙</x:t>
        </x:is>
      </x:c>
      <x:c r="L569" s="7" t="inlineStr">
        <x:is>
          <x:t xml:space="preserve">암석</x:t>
        </x:is>
      </x:c>
      <x:c r="M569" s="7" t="inlineStr">
        <x:is>
          <x:t xml:space="preserve">온대</x:t>
        </x:is>
      </x:c>
      <x:c r="N569" s="7" t="inlineStr">
        <x:is>
          <x:t xml:space="preserve">보통</x:t>
        </x:is>
      </x:c>
      <x:c r="O569" s="7" t="inlineStr">
        <x:is>
          <x:t xml:space="preserve">무관</x:t>
        </x:is>
      </x:c>
      <x:c r="P569" s="7" t="inlineStr">
        <x:is>
          <x:t xml:space="preserve">무관</x:t>
        </x:is>
      </x:c>
      <x:c r="Q569" s="7" t="inlineStr">
        <x:is>
          <x:t xml:space="preserve">희귀</x:t>
        </x:is>
      </x:c>
      <x:c r="R569" s="7" t="inlineStr">
        <x:is>
          <x:t xml:space="preserve">없음</x:t>
        </x:is>
      </x:c>
      <x:c r="S569" s="7" t="inlineStr">
        <x:is>
          <x:t xml:space="preserve"/>
        </x:is>
      </x:c>
      <x:c r="T569" s="7" t="inlineStr">
        <x:is>
          <x:t xml:space="preserve"/>
        </x:is>
      </x:c>
      <x:c r="U569" s="8" t="str">
        <x:f>INDEX('서식지_점수'!$E$4:$P$4,1,MATCH(MAX('서식지_점수'!E569:P569),'서식지_점수'!E569:P569,0))</x:f>
        <x:v>습지</x:v>
      </x:c>
      <x:c r="V569" s="8" t="str">
        <x:f>IF(T569&lt;&gt;"",T569,U569)</x:f>
        <x:v>습지</x:v>
      </x:c>
      <x:c r="W569" s="8" t="str">
        <x:f>IFERROR(INDEX('서식지_점수'!$E$4:$P$4,1,MATCH(MAXIFS('서식지_점수'!E569:P569,'서식지_점수'!E569:P569,"&lt;"&amp;MAX('서식지_점수'!E569:P569)),'서식지_점수'!E569:P569,0)),"")</x:f>
        <x:v>담수</x:v>
      </x:c>
      <x:c r="X569" s="8" t="str">
        <x:f>IF(T569&lt;&gt;"","수동확정",IF(MAX('서식지_점수'!E569:P569)-LARGE('서식지_점수'!E569:P569,2)&gt;=15,"높음",IF(MAX('서식지_점수'!E569:P569)-LARGE('서식지_점수'!E569:P569,2)&gt;=8,"보통","검토필요")))</x:f>
        <x:v>검토필요</x:v>
      </x:c>
      <x:c r="Y569" s="9" t="n">
        <x:f>IF(Q569="전설",8,IF(Q569="희귀",7,IF(J569="기본",1,IF(J569="중간",3,IF(J569="최종",IF(I569="",5,IF(I569&lt;=20,3,IF(I569&lt;=35,4,IF(I569&lt;=50,6,7)))),IF(Q569="드묾",4,2))))))</x:f>
        <x:v>7</x:v>
      </x:c>
      <x:c r="Z569" s="5" t="inlineStr">
        <x:is>
          <x:t xml:space="preserve">#cobblemon:is_lush</x:t>
        </x:is>
      </x:c>
      <x:c r="AA569" s="5" t="inlineStr">
        <x:is>
          <x:t xml:space="preserve">ultra-rare</x:t>
        </x:is>
      </x:c>
      <x:c r="AB569" s="5" t="inlineStr">
        <x:is>
          <x:t xml:space="preserve">예</x:t>
        </x:is>
      </x:c>
      <x:c r="AC569" s="8" t="str">
        <x:f>IF(T569&lt;&gt;"","수동확정",IF(X569="검토필요","검토필요",IF(S569="","원본없음","초기완료")))</x:f>
        <x:v>검토필요</x:v>
      </x:c>
      <x:c r="AD569" s="7" t="inlineStr">
        <x:is>
          <x:t xml:space="preserve"/>
        </x:is>
      </x:c>
      <x:c r="AE569" s="5" t="inlineStr">
        <x:is>
          <x:t xml:space="preserve">.tmp/cobblemon-1.7.3-source/common/src/main/resources/data/cobblemon/species/generation5/carracosta.json</x:t>
        </x:is>
      </x:c>
      <x:c r="AF569" s="5" t="str">
        <x:f>"생활권|"&amp;K569</x:f>
        <x:v>생활권|수륙</x:v>
      </x:c>
      <x:c r="AG569" s="5" t="str">
        <x:f>"지형|"&amp;L569</x:f>
        <x:v>지형|암석</x:v>
      </x:c>
      <x:c r="AH569" s="5" t="str">
        <x:f>"온도|"&amp;M569</x:f>
        <x:v>온도|온대</x:v>
      </x:c>
      <x:c r="AI569" s="5" t="str">
        <x:f>"습도|"&amp;N569</x:f>
        <x:v>습도|보통</x:v>
      </x:c>
      <x:c r="AJ569" s="5" t="str">
        <x:f>"날씨|"&amp;O569</x:f>
        <x:v>날씨|무관</x:v>
      </x:c>
      <x:c r="AK569" s="5" t="str">
        <x:f>"특수태그|"&amp;R569</x:f>
        <x:v>특수태그|없음</x:v>
      </x:c>
      <x:c r="AL569" s="5" t="str">
        <x:f>"원본서식지|"&amp;S569</x:f>
        <x:v>원본서식지|</x:v>
      </x:c>
      <x:c r="AM569" s="5" t="str">
        <x:f>"타입|"&amp;F569</x:f>
        <x:v>타입|물</x:v>
      </x:c>
      <x:c r="AN569" s="5" t="str">
        <x:f>"타입|"&amp;G569</x:f>
        <x:v>타입|바위</x:v>
      </x:c>
    </x:row>
    <x:row r="570" ht="24" customHeight="1">
      <x:c r="A570" s="5" t="n">
        <x:v>566</x:v>
      </x:c>
      <x:c r="B570" s="5" t="inlineStr">
        <x:is>
          <x:t xml:space="preserve">아켄</x:t>
        </x:is>
      </x:c>
      <x:c r="C570" s="5" t="inlineStr">
        <x:is>
          <x:t xml:space="preserve">archen</x:t>
        </x:is>
      </x:c>
      <x:c r="D570" s="5" t="inlineStr">
        <x:is>
          <x:t xml:space="preserve">Archen</x:t>
        </x:is>
      </x:c>
      <x:c r="E570" s="5" t="n">
        <x:v>5</x:v>
      </x:c>
      <x:c r="F570" s="5" t="inlineStr">
        <x:is>
          <x:t xml:space="preserve">바위</x:t>
        </x:is>
      </x:c>
      <x:c r="G570" s="5" t="inlineStr">
        <x:is>
          <x:t xml:space="preserve">비행</x:t>
        </x:is>
      </x:c>
      <x:c r="H570" s="6" t="n">
        <x:v>9.5</x:v>
      </x:c>
      <x:c r="I570" s="5" t="n">
        <x:v>37</x:v>
      </x:c>
      <x:c r="J570" s="5" t="inlineStr">
        <x:is>
          <x:t xml:space="preserve">기본</x:t>
        </x:is>
      </x:c>
      <x:c r="K570" s="7" t="inlineStr">
        <x:is>
          <x:t xml:space="preserve">비행</x:t>
        </x:is>
      </x:c>
      <x:c r="L570" s="7" t="inlineStr">
        <x:is>
          <x:t xml:space="preserve">암석</x:t>
        </x:is>
      </x:c>
      <x:c r="M570" s="7" t="inlineStr">
        <x:is>
          <x:t xml:space="preserve">온대</x:t>
        </x:is>
      </x:c>
      <x:c r="N570" s="7" t="inlineStr">
        <x:is>
          <x:t xml:space="preserve">보통</x:t>
        </x:is>
      </x:c>
      <x:c r="O570" s="7" t="inlineStr">
        <x:is>
          <x:t xml:space="preserve">무관</x:t>
        </x:is>
      </x:c>
      <x:c r="P570" s="7" t="inlineStr">
        <x:is>
          <x:t xml:space="preserve">무관</x:t>
        </x:is>
      </x:c>
      <x:c r="Q570" s="7" t="inlineStr">
        <x:is>
          <x:t xml:space="preserve">희귀</x:t>
        </x:is>
      </x:c>
      <x:c r="R570" s="7" t="inlineStr">
        <x:is>
          <x:t xml:space="preserve">없음</x:t>
        </x:is>
      </x:c>
      <x:c r="S570" s="7" t="inlineStr">
        <x:is>
          <x:t xml:space="preserve"/>
        </x:is>
      </x:c>
      <x:c r="T570" s="7" t="inlineStr">
        <x:is>
          <x:t xml:space="preserve"/>
        </x:is>
      </x:c>
      <x:c r="U570" s="8" t="str">
        <x:f>INDEX('서식지_점수'!$E$4:$P$4,1,MATCH(MAX('서식지_점수'!E570:P570),'서식지_점수'!E570:P570,0))</x:f>
        <x:v>산악</x:v>
      </x:c>
      <x:c r="V570" s="8" t="str">
        <x:f>IF(T570&lt;&gt;"",T570,U570)</x:f>
        <x:v>산악</x:v>
      </x:c>
      <x:c r="W570" s="8" t="str">
        <x:f>IFERROR(INDEX('서식지_점수'!$E$4:$P$4,1,MATCH(MAXIFS('서식지_점수'!E570:P570,'서식지_점수'!E570:P570,"&lt;"&amp;MAX('서식지_점수'!E570:P570)),'서식지_점수'!E570:P570,0)),"")</x:f>
        <x:v>평원</x:v>
      </x:c>
      <x:c r="X570" s="8" t="str">
        <x:f>IF(T570&lt;&gt;"","수동확정",IF(MAX('서식지_점수'!E570:P570)-LARGE('서식지_점수'!E570:P570,2)&gt;=15,"높음",IF(MAX('서식지_점수'!E570:P570)-LARGE('서식지_점수'!E570:P570,2)&gt;=8,"보통","검토필요")))</x:f>
        <x:v>검토필요</x:v>
      </x:c>
      <x:c r="Y570" s="9" t="n">
        <x:f>IF(Q570="전설",8,IF(Q570="희귀",7,IF(J570="기본",1,IF(J570="중간",3,IF(J570="최종",IF(I570="",5,IF(I570&lt;=20,3,IF(I570&lt;=35,4,IF(I570&lt;=50,6,7)))),IF(Q570="드묾",4,2))))))</x:f>
        <x:v>7</x:v>
      </x:c>
      <x:c r="Z570" s="5" t="inlineStr">
        <x:is>
          <x:t xml:space="preserve">#cobblemon:is_lush</x:t>
        </x:is>
      </x:c>
      <x:c r="AA570" s="5" t="inlineStr">
        <x:is>
          <x:t xml:space="preserve">ultra-rare</x:t>
        </x:is>
      </x:c>
      <x:c r="AB570" s="5" t="inlineStr">
        <x:is>
          <x:t xml:space="preserve">예</x:t>
        </x:is>
      </x:c>
      <x:c r="AC570" s="8" t="str">
        <x:f>IF(T570&lt;&gt;"","수동확정",IF(X570="검토필요","검토필요",IF(S570="","원본없음","초기완료")))</x:f>
        <x:v>검토필요</x:v>
      </x:c>
      <x:c r="AD570" s="7" t="inlineStr">
        <x:is>
          <x:t xml:space="preserve"/>
        </x:is>
      </x:c>
      <x:c r="AE570" s="5" t="inlineStr">
        <x:is>
          <x:t xml:space="preserve">.tmp/cobblemon-1.7.3-source/common/src/main/resources/data/cobblemon/species/generation5/archen.json</x:t>
        </x:is>
      </x:c>
      <x:c r="AF570" s="5" t="str">
        <x:f>"생활권|"&amp;K570</x:f>
        <x:v>생활권|비행</x:v>
      </x:c>
      <x:c r="AG570" s="5" t="str">
        <x:f>"지형|"&amp;L570</x:f>
        <x:v>지형|암석</x:v>
      </x:c>
      <x:c r="AH570" s="5" t="str">
        <x:f>"온도|"&amp;M570</x:f>
        <x:v>온도|온대</x:v>
      </x:c>
      <x:c r="AI570" s="5" t="str">
        <x:f>"습도|"&amp;N570</x:f>
        <x:v>습도|보통</x:v>
      </x:c>
      <x:c r="AJ570" s="5" t="str">
        <x:f>"날씨|"&amp;O570</x:f>
        <x:v>날씨|무관</x:v>
      </x:c>
      <x:c r="AK570" s="5" t="str">
        <x:f>"특수태그|"&amp;R570</x:f>
        <x:v>특수태그|없음</x:v>
      </x:c>
      <x:c r="AL570" s="5" t="str">
        <x:f>"원본서식지|"&amp;S570</x:f>
        <x:v>원본서식지|</x:v>
      </x:c>
      <x:c r="AM570" s="5" t="str">
        <x:f>"타입|"&amp;F570</x:f>
        <x:v>타입|바위</x:v>
      </x:c>
      <x:c r="AN570" s="5" t="str">
        <x:f>"타입|"&amp;G570</x:f>
        <x:v>타입|비행</x:v>
      </x:c>
    </x:row>
    <x:row r="571" ht="24" customHeight="1">
      <x:c r="A571" s="5" t="n">
        <x:v>567</x:v>
      </x:c>
      <x:c r="B571" s="5" t="inlineStr">
        <x:is>
          <x:t xml:space="preserve">아케오스</x:t>
        </x:is>
      </x:c>
      <x:c r="C571" s="5" t="inlineStr">
        <x:is>
          <x:t xml:space="preserve">archeops</x:t>
        </x:is>
      </x:c>
      <x:c r="D571" s="5" t="inlineStr">
        <x:is>
          <x:t xml:space="preserve">Archeops</x:t>
        </x:is>
      </x:c>
      <x:c r="E571" s="5" t="n">
        <x:v>5</x:v>
      </x:c>
      <x:c r="F571" s="5" t="inlineStr">
        <x:is>
          <x:t xml:space="preserve">바위</x:t>
        </x:is>
      </x:c>
      <x:c r="G571" s="5" t="inlineStr">
        <x:is>
          <x:t xml:space="preserve">비행</x:t>
        </x:is>
      </x:c>
      <x:c r="H571" s="6" t="n">
        <x:v>32</x:v>
      </x:c>
      <x:c r="I571" s="5" t="n">
        <x:v>37</x:v>
      </x:c>
      <x:c r="J571" s="5" t="inlineStr">
        <x:is>
          <x:t xml:space="preserve">최종</x:t>
        </x:is>
      </x:c>
      <x:c r="K571" s="7" t="inlineStr">
        <x:is>
          <x:t xml:space="preserve">비행</x:t>
        </x:is>
      </x:c>
      <x:c r="L571" s="7" t="inlineStr">
        <x:is>
          <x:t xml:space="preserve">암석</x:t>
        </x:is>
      </x:c>
      <x:c r="M571" s="7" t="inlineStr">
        <x:is>
          <x:t xml:space="preserve">온대</x:t>
        </x:is>
      </x:c>
      <x:c r="N571" s="7" t="inlineStr">
        <x:is>
          <x:t xml:space="preserve">보통</x:t>
        </x:is>
      </x:c>
      <x:c r="O571" s="7" t="inlineStr">
        <x:is>
          <x:t xml:space="preserve">무관</x:t>
        </x:is>
      </x:c>
      <x:c r="P571" s="7" t="inlineStr">
        <x:is>
          <x:t xml:space="preserve">무관</x:t>
        </x:is>
      </x:c>
      <x:c r="Q571" s="7" t="inlineStr">
        <x:is>
          <x:t xml:space="preserve">희귀</x:t>
        </x:is>
      </x:c>
      <x:c r="R571" s="7" t="inlineStr">
        <x:is>
          <x:t xml:space="preserve">없음</x:t>
        </x:is>
      </x:c>
      <x:c r="S571" s="7" t="inlineStr">
        <x:is>
          <x:t xml:space="preserve"/>
        </x:is>
      </x:c>
      <x:c r="T571" s="7" t="inlineStr">
        <x:is>
          <x:t xml:space="preserve"/>
        </x:is>
      </x:c>
      <x:c r="U571" s="8" t="str">
        <x:f>INDEX('서식지_점수'!$E$4:$P$4,1,MATCH(MAX('서식지_점수'!E571:P571),'서식지_점수'!E571:P571,0))</x:f>
        <x:v>산악</x:v>
      </x:c>
      <x:c r="V571" s="8" t="str">
        <x:f>IF(T571&lt;&gt;"",T571,U571)</x:f>
        <x:v>산악</x:v>
      </x:c>
      <x:c r="W571" s="8" t="str">
        <x:f>IFERROR(INDEX('서식지_점수'!$E$4:$P$4,1,MATCH(MAXIFS('서식지_점수'!E571:P571,'서식지_점수'!E571:P571,"&lt;"&amp;MAX('서식지_점수'!E571:P571)),'서식지_점수'!E571:P571,0)),"")</x:f>
        <x:v>평원</x:v>
      </x:c>
      <x:c r="X571" s="8" t="str">
        <x:f>IF(T571&lt;&gt;"","수동확정",IF(MAX('서식지_점수'!E571:P571)-LARGE('서식지_점수'!E571:P571,2)&gt;=15,"높음",IF(MAX('서식지_점수'!E571:P571)-LARGE('서식지_점수'!E571:P571,2)&gt;=8,"보통","검토필요")))</x:f>
        <x:v>검토필요</x:v>
      </x:c>
      <x:c r="Y571" s="9" t="n">
        <x:f>IF(Q571="전설",8,IF(Q571="희귀",7,IF(J571="기본",1,IF(J571="중간",3,IF(J571="최종",IF(I571="",5,IF(I571&lt;=20,3,IF(I571&lt;=35,4,IF(I571&lt;=50,6,7)))),IF(Q571="드묾",4,2))))))</x:f>
        <x:v>7</x:v>
      </x:c>
      <x:c r="Z571" s="5" t="inlineStr">
        <x:is>
          <x:t xml:space="preserve">#cobblemon:is_lush</x:t>
        </x:is>
      </x:c>
      <x:c r="AA571" s="5" t="inlineStr">
        <x:is>
          <x:t xml:space="preserve">ultra-rare</x:t>
        </x:is>
      </x:c>
      <x:c r="AB571" s="5" t="inlineStr">
        <x:is>
          <x:t xml:space="preserve">예</x:t>
        </x:is>
      </x:c>
      <x:c r="AC571" s="8" t="str">
        <x:f>IF(T571&lt;&gt;"","수동확정",IF(X571="검토필요","검토필요",IF(S571="","원본없음","초기완료")))</x:f>
        <x:v>검토필요</x:v>
      </x:c>
      <x:c r="AD571" s="7" t="inlineStr">
        <x:is>
          <x:t xml:space="preserve"/>
        </x:is>
      </x:c>
      <x:c r="AE571" s="5" t="inlineStr">
        <x:is>
          <x:t xml:space="preserve">.tmp/cobblemon-1.7.3-source/common/src/main/resources/data/cobblemon/species/generation5/archeops.json</x:t>
        </x:is>
      </x:c>
      <x:c r="AF571" s="5" t="str">
        <x:f>"생활권|"&amp;K571</x:f>
        <x:v>생활권|비행</x:v>
      </x:c>
      <x:c r="AG571" s="5" t="str">
        <x:f>"지형|"&amp;L571</x:f>
        <x:v>지형|암석</x:v>
      </x:c>
      <x:c r="AH571" s="5" t="str">
        <x:f>"온도|"&amp;M571</x:f>
        <x:v>온도|온대</x:v>
      </x:c>
      <x:c r="AI571" s="5" t="str">
        <x:f>"습도|"&amp;N571</x:f>
        <x:v>습도|보통</x:v>
      </x:c>
      <x:c r="AJ571" s="5" t="str">
        <x:f>"날씨|"&amp;O571</x:f>
        <x:v>날씨|무관</x:v>
      </x:c>
      <x:c r="AK571" s="5" t="str">
        <x:f>"특수태그|"&amp;R571</x:f>
        <x:v>특수태그|없음</x:v>
      </x:c>
      <x:c r="AL571" s="5" t="str">
        <x:f>"원본서식지|"&amp;S571</x:f>
        <x:v>원본서식지|</x:v>
      </x:c>
      <x:c r="AM571" s="5" t="str">
        <x:f>"타입|"&amp;F571</x:f>
        <x:v>타입|바위</x:v>
      </x:c>
      <x:c r="AN571" s="5" t="str">
        <x:f>"타입|"&amp;G571</x:f>
        <x:v>타입|비행</x:v>
      </x:c>
    </x:row>
    <x:row r="572" ht="24" customHeight="1">
      <x:c r="A572" s="5" t="n">
        <x:v>568</x:v>
      </x:c>
      <x:c r="B572" s="5" t="inlineStr">
        <x:is>
          <x:t xml:space="preserve">깨봉이</x:t>
        </x:is>
      </x:c>
      <x:c r="C572" s="5" t="inlineStr">
        <x:is>
          <x:t xml:space="preserve">trubbish</x:t>
        </x:is>
      </x:c>
      <x:c r="D572" s="5" t="inlineStr">
        <x:is>
          <x:t xml:space="preserve">Trubbish</x:t>
        </x:is>
      </x:c>
      <x:c r="E572" s="5" t="n">
        <x:v>5</x:v>
      </x:c>
      <x:c r="F572" s="5" t="inlineStr">
        <x:is>
          <x:t xml:space="preserve">독</x:t>
        </x:is>
      </x:c>
      <x:c r="G572" s="5" t="inlineStr">
        <x:is>
          <x:t xml:space="preserve"/>
        </x:is>
      </x:c>
      <x:c r="H572" s="6" t="n">
        <x:v>31</x:v>
      </x:c>
      <x:c r="I572" s="5" t="n">
        <x:v>36</x:v>
      </x:c>
      <x:c r="J572" s="5" t="inlineStr">
        <x:is>
          <x:t xml:space="preserve">기본</x:t>
        </x:is>
      </x:c>
      <x:c r="K572" s="7" t="inlineStr">
        <x:is>
          <x:t xml:space="preserve">육상</x:t>
        </x:is>
      </x:c>
      <x:c r="L572" s="7" t="inlineStr">
        <x:is>
          <x:t xml:space="preserve">습지</x:t>
        </x:is>
      </x:c>
      <x:c r="M572" s="7" t="inlineStr">
        <x:is>
          <x:t xml:space="preserve">온대</x:t>
        </x:is>
      </x:c>
      <x:c r="N572" s="7" t="inlineStr">
        <x:is>
          <x:t xml:space="preserve">다습</x:t>
        </x:is>
      </x:c>
      <x:c r="O572" s="7" t="inlineStr">
        <x:is>
          <x:t xml:space="preserve">비</x:t>
        </x:is>
      </x:c>
      <x:c r="P572" s="7" t="inlineStr">
        <x:is>
          <x:t xml:space="preserve">무관</x:t>
        </x:is>
      </x:c>
      <x:c r="Q572" s="7" t="inlineStr">
        <x:is>
          <x:t xml:space="preserve">흔함</x:t>
        </x:is>
      </x:c>
      <x:c r="R572" s="7" t="inlineStr">
        <x:is>
          <x:t xml:space="preserve">없음</x:t>
        </x:is>
      </x:c>
      <x:c r="S572" s="7" t="inlineStr">
        <x:is>
          <x:t xml:space="preserve">습지</x:t>
        </x:is>
      </x:c>
      <x:c r="T572" s="7" t="inlineStr">
        <x:is>
          <x:t xml:space="preserve"/>
        </x:is>
      </x:c>
      <x:c r="U572" s="8" t="str">
        <x:f>INDEX('서식지_점수'!$E$4:$P$4,1,MATCH(MAX('서식지_점수'!E572:P572),'서식지_점수'!E572:P572,0))</x:f>
        <x:v>평원</x:v>
      </x:c>
      <x:c r="V572" s="8" t="str">
        <x:f>IF(T572&lt;&gt;"",T572,U572)</x:f>
        <x:v>평원</x:v>
      </x:c>
      <x:c r="W572" s="8" t="str">
        <x:f>IFERROR(INDEX('서식지_점수'!$E$4:$P$4,1,MATCH(MAXIFS('서식지_점수'!E572:P572,'서식지_점수'!E572:P572,"&lt;"&amp;MAX('서식지_점수'!E572:P572)),'서식지_점수'!E572:P572,0)),"")</x:f>
        <x:v>숲</x:v>
      </x:c>
      <x:c r="X572" s="8" t="str">
        <x:f>IF(T572&lt;&gt;"","수동확정",IF(MAX('서식지_점수'!E572:P572)-LARGE('서식지_점수'!E572:P572,2)&gt;=15,"높음",IF(MAX('서식지_점수'!E572:P572)-LARGE('서식지_점수'!E572:P572,2)&gt;=8,"보통","검토필요")))</x:f>
        <x:v>검토필요</x:v>
      </x:c>
      <x:c r="Y572" s="9" t="n">
        <x:f>IF(Q572="전설",8,IF(Q572="희귀",7,IF(J572="기본",1,IF(J572="중간",3,IF(J572="최종",IF(I572="",5,IF(I572&lt;=20,3,IF(I572&lt;=35,4,IF(I572&lt;=50,6,7)))),IF(Q572="드묾",4,2))))))</x:f>
        <x:v>1</x:v>
      </x:c>
      <x:c r="Z572" s="5" t="inlineStr">
        <x:is>
          <x:t xml:space="preserve">#cobblemon:is_overworld; #cobblemon:is_swamp</x:t>
        </x:is>
      </x:c>
      <x:c r="AA572" s="5" t="inlineStr">
        <x:is>
          <x:t xml:space="preserve">common</x:t>
        </x:is>
      </x:c>
      <x:c r="AB572" s="5" t="inlineStr">
        <x:is>
          <x:t xml:space="preserve">예</x:t>
        </x:is>
      </x:c>
      <x:c r="AC572" s="8" t="str">
        <x:f>IF(T572&lt;&gt;"","수동확정",IF(X572="검토필요","검토필요",IF(S572="","원본없음","초기완료")))</x:f>
        <x:v>검토필요</x:v>
      </x:c>
      <x:c r="AD572" s="7" t="inlineStr">
        <x:is>
          <x:t xml:space="preserve"/>
        </x:is>
      </x:c>
      <x:c r="AE572" s="5" t="inlineStr">
        <x:is>
          <x:t xml:space="preserve">.tmp/cobblemon-1.7.3-source/common/src/main/resources/data/cobblemon/species/generation5/trubbish.json</x:t>
        </x:is>
      </x:c>
      <x:c r="AF572" s="5" t="str">
        <x:f>"생활권|"&amp;K572</x:f>
        <x:v>생활권|육상</x:v>
      </x:c>
      <x:c r="AG572" s="5" t="str">
        <x:f>"지형|"&amp;L572</x:f>
        <x:v>지형|습지</x:v>
      </x:c>
      <x:c r="AH572" s="5" t="str">
        <x:f>"온도|"&amp;M572</x:f>
        <x:v>온도|온대</x:v>
      </x:c>
      <x:c r="AI572" s="5" t="str">
        <x:f>"습도|"&amp;N572</x:f>
        <x:v>습도|다습</x:v>
      </x:c>
      <x:c r="AJ572" s="5" t="str">
        <x:f>"날씨|"&amp;O572</x:f>
        <x:v>날씨|비</x:v>
      </x:c>
      <x:c r="AK572" s="5" t="str">
        <x:f>"특수태그|"&amp;R572</x:f>
        <x:v>특수태그|없음</x:v>
      </x:c>
      <x:c r="AL572" s="5" t="str">
        <x:f>"원본서식지|"&amp;S572</x:f>
        <x:v>원본서식지|습지</x:v>
      </x:c>
      <x:c r="AM572" s="5" t="str">
        <x:f>"타입|"&amp;F572</x:f>
        <x:v>타입|독</x:v>
      </x:c>
      <x:c r="AN572" s="5" t="str">
        <x:f>"타입|"&amp;G572</x:f>
        <x:v>타입|</x:v>
      </x:c>
    </x:row>
    <x:row r="573" ht="24" customHeight="1">
      <x:c r="A573" s="5" t="n">
        <x:v>569</x:v>
      </x:c>
      <x:c r="B573" s="5" t="inlineStr">
        <x:is>
          <x:t xml:space="preserve">더스트나</x:t>
        </x:is>
      </x:c>
      <x:c r="C573" s="5" t="inlineStr">
        <x:is>
          <x:t xml:space="preserve">garbodor</x:t>
        </x:is>
      </x:c>
      <x:c r="D573" s="5" t="inlineStr">
        <x:is>
          <x:t xml:space="preserve">Garbodor</x:t>
        </x:is>
      </x:c>
      <x:c r="E573" s="5" t="n">
        <x:v>5</x:v>
      </x:c>
      <x:c r="F573" s="5" t="inlineStr">
        <x:is>
          <x:t xml:space="preserve">독</x:t>
        </x:is>
      </x:c>
      <x:c r="G573" s="5" t="inlineStr">
        <x:is>
          <x:t xml:space="preserve"/>
        </x:is>
      </x:c>
      <x:c r="H573" s="6" t="n">
        <x:v>107.3</x:v>
      </x:c>
      <x:c r="I573" s="5" t="n">
        <x:v>36</x:v>
      </x:c>
      <x:c r="J573" s="5" t="inlineStr">
        <x:is>
          <x:t xml:space="preserve">최종</x:t>
        </x:is>
      </x:c>
      <x:c r="K573" s="7" t="inlineStr">
        <x:is>
          <x:t xml:space="preserve">육상</x:t>
        </x:is>
      </x:c>
      <x:c r="L573" s="7" t="inlineStr">
        <x:is>
          <x:t xml:space="preserve">습지</x:t>
        </x:is>
      </x:c>
      <x:c r="M573" s="7" t="inlineStr">
        <x:is>
          <x:t xml:space="preserve">온대</x:t>
        </x:is>
      </x:c>
      <x:c r="N573" s="7" t="inlineStr">
        <x:is>
          <x:t xml:space="preserve">다습</x:t>
        </x:is>
      </x:c>
      <x:c r="O573" s="7" t="inlineStr">
        <x:is>
          <x:t xml:space="preserve">비</x:t>
        </x:is>
      </x:c>
      <x:c r="P573" s="7" t="inlineStr">
        <x:is>
          <x:t xml:space="preserve">무관</x:t>
        </x:is>
      </x:c>
      <x:c r="Q573" s="7" t="inlineStr">
        <x:is>
          <x:t xml:space="preserve">흔함</x:t>
        </x:is>
      </x:c>
      <x:c r="R573" s="7" t="inlineStr">
        <x:is>
          <x:t xml:space="preserve">없음</x:t>
        </x:is>
      </x:c>
      <x:c r="S573" s="7" t="inlineStr">
        <x:is>
          <x:t xml:space="preserve">습지</x:t>
        </x:is>
      </x:c>
      <x:c r="T573" s="7" t="inlineStr">
        <x:is>
          <x:t xml:space="preserve"/>
        </x:is>
      </x:c>
      <x:c r="U573" s="8" t="str">
        <x:f>INDEX('서식지_점수'!$E$4:$P$4,1,MATCH(MAX('서식지_점수'!E573:P573),'서식지_점수'!E573:P573,0))</x:f>
        <x:v>평원</x:v>
      </x:c>
      <x:c r="V573" s="8" t="str">
        <x:f>IF(T573&lt;&gt;"",T573,U573)</x:f>
        <x:v>평원</x:v>
      </x:c>
      <x:c r="W573" s="8" t="str">
        <x:f>IFERROR(INDEX('서식지_점수'!$E$4:$P$4,1,MATCH(MAXIFS('서식지_점수'!E573:P573,'서식지_점수'!E573:P573,"&lt;"&amp;MAX('서식지_점수'!E573:P573)),'서식지_점수'!E573:P573,0)),"")</x:f>
        <x:v>숲</x:v>
      </x:c>
      <x:c r="X573" s="8" t="str">
        <x:f>IF(T573&lt;&gt;"","수동확정",IF(MAX('서식지_점수'!E573:P573)-LARGE('서식지_점수'!E573:P573,2)&gt;=15,"높음",IF(MAX('서식지_점수'!E573:P573)-LARGE('서식지_점수'!E573:P573,2)&gt;=8,"보통","검토필요")))</x:f>
        <x:v>검토필요</x:v>
      </x:c>
      <x:c r="Y573" s="9" t="n">
        <x:f>IF(Q573="전설",8,IF(Q573="희귀",7,IF(J573="기본",1,IF(J573="중간",3,IF(J573="최종",IF(I573="",5,IF(I573&lt;=20,3,IF(I573&lt;=35,4,IF(I573&lt;=50,6,7)))),IF(Q573="드묾",4,2))))))</x:f>
        <x:v>6</x:v>
      </x:c>
      <x:c r="Z573" s="5" t="inlineStr">
        <x:is>
          <x:t xml:space="preserve">#cobblemon:is_overworld; #cobblemon:is_swamp</x:t>
        </x:is>
      </x:c>
      <x:c r="AA573" s="5" t="inlineStr">
        <x:is>
          <x:t xml:space="preserve">common</x:t>
        </x:is>
      </x:c>
      <x:c r="AB573" s="5" t="inlineStr">
        <x:is>
          <x:t xml:space="preserve">예</x:t>
        </x:is>
      </x:c>
      <x:c r="AC573" s="8" t="str">
        <x:f>IF(T573&lt;&gt;"","수동확정",IF(X573="검토필요","검토필요",IF(S573="","원본없음","초기완료")))</x:f>
        <x:v>검토필요</x:v>
      </x:c>
      <x:c r="AD573" s="7" t="inlineStr">
        <x:is>
          <x:t xml:space="preserve"/>
        </x:is>
      </x:c>
      <x:c r="AE573" s="5" t="inlineStr">
        <x:is>
          <x:t xml:space="preserve">.tmp/cobblemon-1.7.3-source/common/src/main/resources/data/cobblemon/species/generation5/garbodor.json</x:t>
        </x:is>
      </x:c>
      <x:c r="AF573" s="5" t="str">
        <x:f>"생활권|"&amp;K573</x:f>
        <x:v>생활권|육상</x:v>
      </x:c>
      <x:c r="AG573" s="5" t="str">
        <x:f>"지형|"&amp;L573</x:f>
        <x:v>지형|습지</x:v>
      </x:c>
      <x:c r="AH573" s="5" t="str">
        <x:f>"온도|"&amp;M573</x:f>
        <x:v>온도|온대</x:v>
      </x:c>
      <x:c r="AI573" s="5" t="str">
        <x:f>"습도|"&amp;N573</x:f>
        <x:v>습도|다습</x:v>
      </x:c>
      <x:c r="AJ573" s="5" t="str">
        <x:f>"날씨|"&amp;O573</x:f>
        <x:v>날씨|비</x:v>
      </x:c>
      <x:c r="AK573" s="5" t="str">
        <x:f>"특수태그|"&amp;R573</x:f>
        <x:v>특수태그|없음</x:v>
      </x:c>
      <x:c r="AL573" s="5" t="str">
        <x:f>"원본서식지|"&amp;S573</x:f>
        <x:v>원본서식지|습지</x:v>
      </x:c>
      <x:c r="AM573" s="5" t="str">
        <x:f>"타입|"&amp;F573</x:f>
        <x:v>타입|독</x:v>
      </x:c>
      <x:c r="AN573" s="5" t="str">
        <x:f>"타입|"&amp;G573</x:f>
        <x:v>타입|</x:v>
      </x:c>
    </x:row>
    <x:row r="574" ht="24" customHeight="1">
      <x:c r="A574" s="5" t="n">
        <x:v>570</x:v>
      </x:c>
      <x:c r="B574" s="5" t="inlineStr">
        <x:is>
          <x:t xml:space="preserve">조로아</x:t>
        </x:is>
      </x:c>
      <x:c r="C574" s="5" t="inlineStr">
        <x:is>
          <x:t xml:space="preserve">zorua</x:t>
        </x:is>
      </x:c>
      <x:c r="D574" s="5" t="inlineStr">
        <x:is>
          <x:t xml:space="preserve">Zorua</x:t>
        </x:is>
      </x:c>
      <x:c r="E574" s="5" t="n">
        <x:v>5</x:v>
      </x:c>
      <x:c r="F574" s="5" t="inlineStr">
        <x:is>
          <x:t xml:space="preserve">악</x:t>
        </x:is>
      </x:c>
      <x:c r="G574" s="5" t="inlineStr">
        <x:is>
          <x:t xml:space="preserve"/>
        </x:is>
      </x:c>
      <x:c r="H574" s="6" t="n">
        <x:v>12.5</x:v>
      </x:c>
      <x:c r="I574" s="5" t="n">
        <x:v>30</x:v>
      </x:c>
      <x:c r="J574" s="5" t="inlineStr">
        <x:is>
          <x:t xml:space="preserve">기본</x:t>
        </x:is>
      </x:c>
      <x:c r="K574" s="7" t="inlineStr">
        <x:is>
          <x:t xml:space="preserve">육상</x:t>
        </x:is>
      </x:c>
      <x:c r="L574" s="7" t="inlineStr">
        <x:is>
          <x:t xml:space="preserve">수목</x:t>
        </x:is>
      </x:c>
      <x:c r="M574" s="7" t="inlineStr">
        <x:is>
          <x:t xml:space="preserve">서늘</x:t>
        </x:is>
      </x:c>
      <x:c r="N574" s="7" t="inlineStr">
        <x:is>
          <x:t xml:space="preserve">보통</x:t>
        </x:is>
      </x:c>
      <x:c r="O574" s="7" t="inlineStr">
        <x:is>
          <x:t xml:space="preserve">무관</x:t>
        </x:is>
      </x:c>
      <x:c r="P574" s="7" t="inlineStr">
        <x:is>
          <x:t xml:space="preserve">밤</x:t>
        </x:is>
      </x:c>
      <x:c r="Q574" s="7" t="inlineStr">
        <x:is>
          <x:t xml:space="preserve">보통</x:t>
        </x:is>
      </x:c>
      <x:c r="R574" s="7" t="inlineStr">
        <x:is>
          <x:t xml:space="preserve">없음</x:t>
        </x:is>
      </x:c>
      <x:c r="S574" s="7" t="inlineStr">
        <x:is>
          <x:t xml:space="preserve">숲</x:t>
        </x:is>
      </x:c>
      <x:c r="T574" s="7" t="inlineStr">
        <x:is>
          <x:t xml:space="preserve"/>
        </x:is>
      </x:c>
      <x:c r="U574" s="8" t="str">
        <x:f>INDEX('서식지_점수'!$E$4:$P$4,1,MATCH(MAX('서식지_점수'!E574:P574),'서식지_점수'!E574:P574,0))</x:f>
        <x:v>평원</x:v>
      </x:c>
      <x:c r="V574" s="8" t="str">
        <x:f>IF(T574&lt;&gt;"",T574,U574)</x:f>
        <x:v>평원</x:v>
      </x:c>
      <x:c r="W574" s="8" t="str">
        <x:f>IFERROR(INDEX('서식지_점수'!$E$4:$P$4,1,MATCH(MAXIFS('서식지_점수'!E574:P574,'서식지_점수'!E574:P574,"&lt;"&amp;MAX('서식지_점수'!E574:P574)),'서식지_점수'!E574:P574,0)),"")</x:f>
        <x:v>숲</x:v>
      </x:c>
      <x:c r="X574" s="8" t="str">
        <x:f>IF(T574&lt;&gt;"","수동확정",IF(MAX('서식지_점수'!E574:P574)-LARGE('서식지_점수'!E574:P574,2)&gt;=15,"높음",IF(MAX('서식지_점수'!E574:P574)-LARGE('서식지_점수'!E574:P574,2)&gt;=8,"보통","검토필요")))</x:f>
        <x:v>검토필요</x:v>
      </x:c>
      <x:c r="Y574" s="9" t="n">
        <x:f>IF(Q574="전설",8,IF(Q574="희귀",7,IF(J574="기본",1,IF(J574="중간",3,IF(J574="최종",IF(I574="",5,IF(I574&lt;=20,3,IF(I574&lt;=35,4,IF(I574&lt;=50,6,7)))),IF(Q574="드묾",4,2))))))</x:f>
        <x:v>1</x:v>
      </x:c>
      <x:c r="Z574" s="5" t="inlineStr">
        <x:is>
          <x:t xml:space="preserve">#cobblemon:is_forest; #cobblemon:is_snowy_forest; #cobblemon:is_snowy_taiga; #minecraft:is_nether</x:t>
        </x:is>
      </x:c>
      <x:c r="AA574" s="5" t="inlineStr">
        <x:is>
          <x:t xml:space="preserve">uncommon</x:t>
        </x:is>
      </x:c>
      <x:c r="AB574" s="5" t="inlineStr">
        <x:is>
          <x:t xml:space="preserve">예</x:t>
        </x:is>
      </x:c>
      <x:c r="AC574" s="8" t="str">
        <x:f>IF(T574&lt;&gt;"","수동확정",IF(X574="검토필요","검토필요",IF(S574="","원본없음","초기완료")))</x:f>
        <x:v>검토필요</x:v>
      </x:c>
      <x:c r="AD574" s="7" t="inlineStr">
        <x:is>
          <x:t xml:space="preserve"/>
        </x:is>
      </x:c>
      <x:c r="AE574" s="5" t="inlineStr">
        <x:is>
          <x:t xml:space="preserve">.tmp/cobblemon-1.7.3-source/common/src/main/resources/data/cobblemon/species/generation5/zorua.json</x:t>
        </x:is>
      </x:c>
      <x:c r="AF574" s="5" t="str">
        <x:f>"생활권|"&amp;K574</x:f>
        <x:v>생활권|육상</x:v>
      </x:c>
      <x:c r="AG574" s="5" t="str">
        <x:f>"지형|"&amp;L574</x:f>
        <x:v>지형|수목</x:v>
      </x:c>
      <x:c r="AH574" s="5" t="str">
        <x:f>"온도|"&amp;M574</x:f>
        <x:v>온도|서늘</x:v>
      </x:c>
      <x:c r="AI574" s="5" t="str">
        <x:f>"습도|"&amp;N574</x:f>
        <x:v>습도|보통</x:v>
      </x:c>
      <x:c r="AJ574" s="5" t="str">
        <x:f>"날씨|"&amp;O574</x:f>
        <x:v>날씨|무관</x:v>
      </x:c>
      <x:c r="AK574" s="5" t="str">
        <x:f>"특수태그|"&amp;R574</x:f>
        <x:v>특수태그|없음</x:v>
      </x:c>
      <x:c r="AL574" s="5" t="str">
        <x:f>"원본서식지|"&amp;S574</x:f>
        <x:v>원본서식지|숲</x:v>
      </x:c>
      <x:c r="AM574" s="5" t="str">
        <x:f>"타입|"&amp;F574</x:f>
        <x:v>타입|악</x:v>
      </x:c>
      <x:c r="AN574" s="5" t="str">
        <x:f>"타입|"&amp;G574</x:f>
        <x:v>타입|</x:v>
      </x:c>
    </x:row>
    <x:row r="575" ht="24" customHeight="1">
      <x:c r="A575" s="5" t="n">
        <x:v>571</x:v>
      </x:c>
      <x:c r="B575" s="5" t="inlineStr">
        <x:is>
          <x:t xml:space="preserve">조로아크</x:t>
        </x:is>
      </x:c>
      <x:c r="C575" s="5" t="inlineStr">
        <x:is>
          <x:t xml:space="preserve">zoroark</x:t>
        </x:is>
      </x:c>
      <x:c r="D575" s="5" t="inlineStr">
        <x:is>
          <x:t xml:space="preserve">Zoroark</x:t>
        </x:is>
      </x:c>
      <x:c r="E575" s="5" t="n">
        <x:v>5</x:v>
      </x:c>
      <x:c r="F575" s="5" t="inlineStr">
        <x:is>
          <x:t xml:space="preserve">악</x:t>
        </x:is>
      </x:c>
      <x:c r="G575" s="5" t="inlineStr">
        <x:is>
          <x:t xml:space="preserve"/>
        </x:is>
      </x:c>
      <x:c r="H575" s="6" t="n">
        <x:v>81.09999999999999</x:v>
      </x:c>
      <x:c r="I575" s="5" t="n">
        <x:v>30</x:v>
      </x:c>
      <x:c r="J575" s="5" t="inlineStr">
        <x:is>
          <x:t xml:space="preserve">최종</x:t>
        </x:is>
      </x:c>
      <x:c r="K575" s="7" t="inlineStr">
        <x:is>
          <x:t xml:space="preserve">육상</x:t>
        </x:is>
      </x:c>
      <x:c r="L575" s="7" t="inlineStr">
        <x:is>
          <x:t xml:space="preserve">수목</x:t>
        </x:is>
      </x:c>
      <x:c r="M575" s="7" t="inlineStr">
        <x:is>
          <x:t xml:space="preserve">서늘</x:t>
        </x:is>
      </x:c>
      <x:c r="N575" s="7" t="inlineStr">
        <x:is>
          <x:t xml:space="preserve">보통</x:t>
        </x:is>
      </x:c>
      <x:c r="O575" s="7" t="inlineStr">
        <x:is>
          <x:t xml:space="preserve">무관</x:t>
        </x:is>
      </x:c>
      <x:c r="P575" s="7" t="inlineStr">
        <x:is>
          <x:t xml:space="preserve">밤</x:t>
        </x:is>
      </x:c>
      <x:c r="Q575" s="7" t="inlineStr">
        <x:is>
          <x:t xml:space="preserve">보통</x:t>
        </x:is>
      </x:c>
      <x:c r="R575" s="7" t="inlineStr">
        <x:is>
          <x:t xml:space="preserve">없음</x:t>
        </x:is>
      </x:c>
      <x:c r="S575" s="7" t="inlineStr">
        <x:is>
          <x:t xml:space="preserve">숲</x:t>
        </x:is>
      </x:c>
      <x:c r="T575" s="7" t="inlineStr">
        <x:is>
          <x:t xml:space="preserve"/>
        </x:is>
      </x:c>
      <x:c r="U575" s="8" t="str">
        <x:f>INDEX('서식지_점수'!$E$4:$P$4,1,MATCH(MAX('서식지_점수'!E575:P575),'서식지_점수'!E575:P575,0))</x:f>
        <x:v>평원</x:v>
      </x:c>
      <x:c r="V575" s="8" t="str">
        <x:f>IF(T575&lt;&gt;"",T575,U575)</x:f>
        <x:v>평원</x:v>
      </x:c>
      <x:c r="W575" s="8" t="str">
        <x:f>IFERROR(INDEX('서식지_점수'!$E$4:$P$4,1,MATCH(MAXIFS('서식지_점수'!E575:P575,'서식지_점수'!E575:P575,"&lt;"&amp;MAX('서식지_점수'!E575:P575)),'서식지_점수'!E575:P575,0)),"")</x:f>
        <x:v>숲</x:v>
      </x:c>
      <x:c r="X575" s="8" t="str">
        <x:f>IF(T575&lt;&gt;"","수동확정",IF(MAX('서식지_점수'!E575:P575)-LARGE('서식지_점수'!E575:P575,2)&gt;=15,"높음",IF(MAX('서식지_점수'!E575:P575)-LARGE('서식지_점수'!E575:P575,2)&gt;=8,"보통","검토필요")))</x:f>
        <x:v>검토필요</x:v>
      </x:c>
      <x:c r="Y575" s="9" t="n">
        <x:f>IF(Q575="전설",8,IF(Q575="희귀",7,IF(J575="기본",1,IF(J575="중간",3,IF(J575="최종",IF(I575="",5,IF(I575&lt;=20,3,IF(I575&lt;=35,4,IF(I575&lt;=50,6,7)))),IF(Q575="드묾",4,2))))))</x:f>
        <x:v>4</x:v>
      </x:c>
      <x:c r="Z575" s="5" t="inlineStr">
        <x:is>
          <x:t xml:space="preserve">#cobblemon:is_forest; #cobblemon:is_snowy_forest; #cobblemon:is_snowy_taiga; #minecraft:is_nether</x:t>
        </x:is>
      </x:c>
      <x:c r="AA575" s="5" t="inlineStr">
        <x:is>
          <x:t xml:space="preserve">uncommon</x:t>
        </x:is>
      </x:c>
      <x:c r="AB575" s="5" t="inlineStr">
        <x:is>
          <x:t xml:space="preserve">예</x:t>
        </x:is>
      </x:c>
      <x:c r="AC575" s="8" t="str">
        <x:f>IF(T575&lt;&gt;"","수동확정",IF(X575="검토필요","검토필요",IF(S575="","원본없음","초기완료")))</x:f>
        <x:v>검토필요</x:v>
      </x:c>
      <x:c r="AD575" s="7" t="inlineStr">
        <x:is>
          <x:t xml:space="preserve"/>
        </x:is>
      </x:c>
      <x:c r="AE575" s="5" t="inlineStr">
        <x:is>
          <x:t xml:space="preserve">.tmp/cobblemon-1.7.3-source/common/src/main/resources/data/cobblemon/species/generation5/zoroark.json</x:t>
        </x:is>
      </x:c>
      <x:c r="AF575" s="5" t="str">
        <x:f>"생활권|"&amp;K575</x:f>
        <x:v>생활권|육상</x:v>
      </x:c>
      <x:c r="AG575" s="5" t="str">
        <x:f>"지형|"&amp;L575</x:f>
        <x:v>지형|수목</x:v>
      </x:c>
      <x:c r="AH575" s="5" t="str">
        <x:f>"온도|"&amp;M575</x:f>
        <x:v>온도|서늘</x:v>
      </x:c>
      <x:c r="AI575" s="5" t="str">
        <x:f>"습도|"&amp;N575</x:f>
        <x:v>습도|보통</x:v>
      </x:c>
      <x:c r="AJ575" s="5" t="str">
        <x:f>"날씨|"&amp;O575</x:f>
        <x:v>날씨|무관</x:v>
      </x:c>
      <x:c r="AK575" s="5" t="str">
        <x:f>"특수태그|"&amp;R575</x:f>
        <x:v>특수태그|없음</x:v>
      </x:c>
      <x:c r="AL575" s="5" t="str">
        <x:f>"원본서식지|"&amp;S575</x:f>
        <x:v>원본서식지|숲</x:v>
      </x:c>
      <x:c r="AM575" s="5" t="str">
        <x:f>"타입|"&amp;F575</x:f>
        <x:v>타입|악</x:v>
      </x:c>
      <x:c r="AN575" s="5" t="str">
        <x:f>"타입|"&amp;G575</x:f>
        <x:v>타입|</x:v>
      </x:c>
    </x:row>
    <x:row r="576" ht="24" customHeight="1">
      <x:c r="A576" s="5" t="n">
        <x:v>572</x:v>
      </x:c>
      <x:c r="B576" s="5" t="inlineStr">
        <x:is>
          <x:t xml:space="preserve">치라미</x:t>
        </x:is>
      </x:c>
      <x:c r="C576" s="5" t="inlineStr">
        <x:is>
          <x:t xml:space="preserve">minccino</x:t>
        </x:is>
      </x:c>
      <x:c r="D576" s="5" t="inlineStr">
        <x:is>
          <x:t xml:space="preserve">Minccino</x:t>
        </x:is>
      </x:c>
      <x:c r="E576" s="5" t="n">
        <x:v>5</x:v>
      </x:c>
      <x:c r="F576" s="5" t="inlineStr">
        <x:is>
          <x:t xml:space="preserve">노말</x:t>
        </x:is>
      </x:c>
      <x:c r="G576" s="5" t="inlineStr">
        <x:is>
          <x:t xml:space="preserve"/>
        </x:is>
      </x:c>
      <x:c r="H576" s="6" t="n">
        <x:v>5.8</x:v>
      </x:c>
      <x:c r="I576" s="5" t="n"/>
      <x:c r="J576" s="5" t="inlineStr">
        <x:is>
          <x:t xml:space="preserve">기본</x:t>
        </x:is>
      </x:c>
      <x:c r="K576" s="7" t="inlineStr">
        <x:is>
          <x:t xml:space="preserve">육상</x:t>
        </x:is>
      </x:c>
      <x:c r="L576" s="7" t="inlineStr">
        <x:is>
          <x:t xml:space="preserve">개활지</x:t>
        </x:is>
      </x:c>
      <x:c r="M576" s="7" t="inlineStr">
        <x:is>
          <x:t xml:space="preserve">온대</x:t>
        </x:is>
      </x:c>
      <x:c r="N576" s="7" t="inlineStr">
        <x:is>
          <x:t xml:space="preserve">보통</x:t>
        </x:is>
      </x:c>
      <x:c r="O576" s="7" t="inlineStr">
        <x:is>
          <x:t xml:space="preserve">무관</x:t>
        </x:is>
      </x:c>
      <x:c r="P576" s="7" t="inlineStr">
        <x:is>
          <x:t xml:space="preserve">무관</x:t>
        </x:is>
      </x:c>
      <x:c r="Q576" s="7" t="inlineStr">
        <x:is>
          <x:t xml:space="preserve">흔함</x:t>
        </x:is>
      </x:c>
      <x:c r="R576" s="7" t="inlineStr">
        <x:is>
          <x:t xml:space="preserve">없음</x:t>
        </x:is>
      </x:c>
      <x:c r="S576" s="7" t="inlineStr">
        <x:is>
          <x:t xml:space="preserve"/>
        </x:is>
      </x:c>
      <x:c r="T576" s="7" t="inlineStr">
        <x:is>
          <x:t xml:space="preserve"/>
        </x:is>
      </x:c>
      <x:c r="U576" s="8" t="str">
        <x:f>INDEX('서식지_점수'!$E$4:$P$4,1,MATCH(MAX('서식지_점수'!E576:P576),'서식지_점수'!E576:P576,0))</x:f>
        <x:v>평원</x:v>
      </x:c>
      <x:c r="V576" s="8" t="str">
        <x:f>IF(T576&lt;&gt;"",T576,U576)</x:f>
        <x:v>평원</x:v>
      </x:c>
      <x:c r="W576" s="8" t="str">
        <x:f>IFERROR(INDEX('서식지_점수'!$E$4:$P$4,1,MATCH(MAXIFS('서식지_점수'!E576:P576,'서식지_점수'!E576:P576,"&lt;"&amp;MAX('서식지_점수'!E576:P576)),'서식지_점수'!E576:P576,0)),"")</x:f>
        <x:v>숲</x:v>
      </x:c>
      <x:c r="X576" s="8" t="str">
        <x:f>IF(T576&lt;&gt;"","수동확정",IF(MAX('서식지_점수'!E576:P576)-LARGE('서식지_점수'!E576:P576,2)&gt;=15,"높음",IF(MAX('서식지_점수'!E576:P576)-LARGE('서식지_점수'!E576:P576,2)&gt;=8,"보통","검토필요")))</x:f>
        <x:v>검토필요</x:v>
      </x:c>
      <x:c r="Y576" s="9" t="n">
        <x:f>IF(Q576="전설",8,IF(Q576="희귀",7,IF(J576="기본",1,IF(J576="중간",3,IF(J576="최종",IF(I576="",5,IF(I576&lt;=20,3,IF(I576&lt;=35,4,IF(I576&lt;=50,6,7)))),IF(Q576="드묾",4,2))))))</x:f>
        <x:v>1</x:v>
      </x:c>
      <x:c r="Z576" s="5" t="inlineStr">
        <x:is>
          <x:t xml:space="preserve">#cobblemon:is_magical; #cobblemon:is_overworld</x:t>
        </x:is>
      </x:c>
      <x:c r="AA576" s="5" t="inlineStr">
        <x:is>
          <x:t xml:space="preserve">common</x:t>
        </x:is>
      </x:c>
      <x:c r="AB576" s="5" t="inlineStr">
        <x:is>
          <x:t xml:space="preserve">예</x:t>
        </x:is>
      </x:c>
      <x:c r="AC576" s="8" t="str">
        <x:f>IF(T576&lt;&gt;"","수동확정",IF(X576="검토필요","검토필요",IF(S576="","원본없음","초기완료")))</x:f>
        <x:v>검토필요</x:v>
      </x:c>
      <x:c r="AD576" s="7" t="inlineStr">
        <x:is>
          <x:t xml:space="preserve"/>
        </x:is>
      </x:c>
      <x:c r="AE576" s="5" t="inlineStr">
        <x:is>
          <x:t xml:space="preserve">.tmp/cobblemon-1.7.3-source/common/src/main/resources/data/cobblemon/species/generation5/minccino.json</x:t>
        </x:is>
      </x:c>
      <x:c r="AF576" s="5" t="str">
        <x:f>"생활권|"&amp;K576</x:f>
        <x:v>생활권|육상</x:v>
      </x:c>
      <x:c r="AG576" s="5" t="str">
        <x:f>"지형|"&amp;L576</x:f>
        <x:v>지형|개활지</x:v>
      </x:c>
      <x:c r="AH576" s="5" t="str">
        <x:f>"온도|"&amp;M576</x:f>
        <x:v>온도|온대</x:v>
      </x:c>
      <x:c r="AI576" s="5" t="str">
        <x:f>"습도|"&amp;N576</x:f>
        <x:v>습도|보통</x:v>
      </x:c>
      <x:c r="AJ576" s="5" t="str">
        <x:f>"날씨|"&amp;O576</x:f>
        <x:v>날씨|무관</x:v>
      </x:c>
      <x:c r="AK576" s="5" t="str">
        <x:f>"특수태그|"&amp;R576</x:f>
        <x:v>특수태그|없음</x:v>
      </x:c>
      <x:c r="AL576" s="5" t="str">
        <x:f>"원본서식지|"&amp;S576</x:f>
        <x:v>원본서식지|</x:v>
      </x:c>
      <x:c r="AM576" s="5" t="str">
        <x:f>"타입|"&amp;F576</x:f>
        <x:v>타입|노말</x:v>
      </x:c>
      <x:c r="AN576" s="5" t="str">
        <x:f>"타입|"&amp;G576</x:f>
        <x:v>타입|</x:v>
      </x:c>
    </x:row>
    <x:row r="577" ht="24" customHeight="1">
      <x:c r="A577" s="5" t="n">
        <x:v>573</x:v>
      </x:c>
      <x:c r="B577" s="5" t="inlineStr">
        <x:is>
          <x:t xml:space="preserve">치라치노</x:t>
        </x:is>
      </x:c>
      <x:c r="C577" s="5" t="inlineStr">
        <x:is>
          <x:t xml:space="preserve">cinccino</x:t>
        </x:is>
      </x:c>
      <x:c r="D577" s="5" t="inlineStr">
        <x:is>
          <x:t xml:space="preserve">Cinccino</x:t>
        </x:is>
      </x:c>
      <x:c r="E577" s="5" t="n">
        <x:v>5</x:v>
      </x:c>
      <x:c r="F577" s="5" t="inlineStr">
        <x:is>
          <x:t xml:space="preserve">노말</x:t>
        </x:is>
      </x:c>
      <x:c r="G577" s="5" t="inlineStr">
        <x:is>
          <x:t xml:space="preserve"/>
        </x:is>
      </x:c>
      <x:c r="H577" s="6" t="n">
        <x:v>7.5</x:v>
      </x:c>
      <x:c r="I577" s="5" t="n"/>
      <x:c r="J577" s="5" t="inlineStr">
        <x:is>
          <x:t xml:space="preserve">최종</x:t>
        </x:is>
      </x:c>
      <x:c r="K577" s="7" t="inlineStr">
        <x:is>
          <x:t xml:space="preserve">육상</x:t>
        </x:is>
      </x:c>
      <x:c r="L577" s="7" t="inlineStr">
        <x:is>
          <x:t xml:space="preserve">개활지</x:t>
        </x:is>
      </x:c>
      <x:c r="M577" s="7" t="inlineStr">
        <x:is>
          <x:t xml:space="preserve">온대</x:t>
        </x:is>
      </x:c>
      <x:c r="N577" s="7" t="inlineStr">
        <x:is>
          <x:t xml:space="preserve">보통</x:t>
        </x:is>
      </x:c>
      <x:c r="O577" s="7" t="inlineStr">
        <x:is>
          <x:t xml:space="preserve">무관</x:t>
        </x:is>
      </x:c>
      <x:c r="P577" s="7" t="inlineStr">
        <x:is>
          <x:t xml:space="preserve">무관</x:t>
        </x:is>
      </x:c>
      <x:c r="Q577" s="7" t="inlineStr">
        <x:is>
          <x:t xml:space="preserve">흔함</x:t>
        </x:is>
      </x:c>
      <x:c r="R577" s="7" t="inlineStr">
        <x:is>
          <x:t xml:space="preserve">없음</x:t>
        </x:is>
      </x:c>
      <x:c r="S577" s="7" t="inlineStr">
        <x:is>
          <x:t xml:space="preserve"/>
        </x:is>
      </x:c>
      <x:c r="T577" s="7" t="inlineStr">
        <x:is>
          <x:t xml:space="preserve"/>
        </x:is>
      </x:c>
      <x:c r="U577" s="8" t="str">
        <x:f>INDEX('서식지_점수'!$E$4:$P$4,1,MATCH(MAX('서식지_점수'!E577:P577),'서식지_점수'!E577:P577,0))</x:f>
        <x:v>평원</x:v>
      </x:c>
      <x:c r="V577" s="8" t="str">
        <x:f>IF(T577&lt;&gt;"",T577,U577)</x:f>
        <x:v>평원</x:v>
      </x:c>
      <x:c r="W577" s="8" t="str">
        <x:f>IFERROR(INDEX('서식지_점수'!$E$4:$P$4,1,MATCH(MAXIFS('서식지_점수'!E577:P577,'서식지_점수'!E577:P577,"&lt;"&amp;MAX('서식지_점수'!E577:P577)),'서식지_점수'!E577:P577,0)),"")</x:f>
        <x:v>숲</x:v>
      </x:c>
      <x:c r="X577" s="8" t="str">
        <x:f>IF(T577&lt;&gt;"","수동확정",IF(MAX('서식지_점수'!E577:P577)-LARGE('서식지_점수'!E577:P577,2)&gt;=15,"높음",IF(MAX('서식지_점수'!E577:P577)-LARGE('서식지_점수'!E577:P577,2)&gt;=8,"보통","검토필요")))</x:f>
        <x:v>검토필요</x:v>
      </x:c>
      <x:c r="Y577" s="9" t="n">
        <x:f>IF(Q577="전설",8,IF(Q577="희귀",7,IF(J577="기본",1,IF(J577="중간",3,IF(J577="최종",IF(I577="",5,IF(I577&lt;=20,3,IF(I577&lt;=35,4,IF(I577&lt;=50,6,7)))),IF(Q577="드묾",4,2))))))</x:f>
        <x:v>5</x:v>
      </x:c>
      <x:c r="Z577" s="5" t="inlineStr">
        <x:is>
          <x:t xml:space="preserve">#cobblemon:is_magical; #cobblemon:is_overworld</x:t>
        </x:is>
      </x:c>
      <x:c r="AA577" s="5" t="inlineStr">
        <x:is>
          <x:t xml:space="preserve">common</x:t>
        </x:is>
      </x:c>
      <x:c r="AB577" s="5" t="inlineStr">
        <x:is>
          <x:t xml:space="preserve">예</x:t>
        </x:is>
      </x:c>
      <x:c r="AC577" s="8" t="str">
        <x:f>IF(T577&lt;&gt;"","수동확정",IF(X577="검토필요","검토필요",IF(S577="","원본없음","초기완료")))</x:f>
        <x:v>검토필요</x:v>
      </x:c>
      <x:c r="AD577" s="7" t="inlineStr">
        <x:is>
          <x:t xml:space="preserve"/>
        </x:is>
      </x:c>
      <x:c r="AE577" s="5" t="inlineStr">
        <x:is>
          <x:t xml:space="preserve">.tmp/cobblemon-1.7.3-source/common/src/main/resources/data/cobblemon/species/generation5/cinccino.json</x:t>
        </x:is>
      </x:c>
      <x:c r="AF577" s="5" t="str">
        <x:f>"생활권|"&amp;K577</x:f>
        <x:v>생활권|육상</x:v>
      </x:c>
      <x:c r="AG577" s="5" t="str">
        <x:f>"지형|"&amp;L577</x:f>
        <x:v>지형|개활지</x:v>
      </x:c>
      <x:c r="AH577" s="5" t="str">
        <x:f>"온도|"&amp;M577</x:f>
        <x:v>온도|온대</x:v>
      </x:c>
      <x:c r="AI577" s="5" t="str">
        <x:f>"습도|"&amp;N577</x:f>
        <x:v>습도|보통</x:v>
      </x:c>
      <x:c r="AJ577" s="5" t="str">
        <x:f>"날씨|"&amp;O577</x:f>
        <x:v>날씨|무관</x:v>
      </x:c>
      <x:c r="AK577" s="5" t="str">
        <x:f>"특수태그|"&amp;R577</x:f>
        <x:v>특수태그|없음</x:v>
      </x:c>
      <x:c r="AL577" s="5" t="str">
        <x:f>"원본서식지|"&amp;S577</x:f>
        <x:v>원본서식지|</x:v>
      </x:c>
      <x:c r="AM577" s="5" t="str">
        <x:f>"타입|"&amp;F577</x:f>
        <x:v>타입|노말</x:v>
      </x:c>
      <x:c r="AN577" s="5" t="str">
        <x:f>"타입|"&amp;G577</x:f>
        <x:v>타입|</x:v>
      </x:c>
    </x:row>
    <x:row r="578" ht="24" customHeight="1">
      <x:c r="A578" s="5" t="n">
        <x:v>574</x:v>
      </x:c>
      <x:c r="B578" s="5" t="inlineStr">
        <x:is>
          <x:t xml:space="preserve">고디탱</x:t>
        </x:is>
      </x:c>
      <x:c r="C578" s="5" t="inlineStr">
        <x:is>
          <x:t xml:space="preserve">gothita</x:t>
        </x:is>
      </x:c>
      <x:c r="D578" s="5" t="inlineStr">
        <x:is>
          <x:t xml:space="preserve">Gothita</x:t>
        </x:is>
      </x:c>
      <x:c r="E578" s="5" t="n">
        <x:v>5</x:v>
      </x:c>
      <x:c r="F578" s="5" t="inlineStr">
        <x:is>
          <x:t xml:space="preserve">에스퍼</x:t>
        </x:is>
      </x:c>
      <x:c r="G578" s="5" t="inlineStr">
        <x:is>
          <x:t xml:space="preserve"/>
        </x:is>
      </x:c>
      <x:c r="H578" s="6" t="n">
        <x:v>5.8</x:v>
      </x:c>
      <x:c r="I578" s="5" t="n">
        <x:v>41</x:v>
      </x:c>
      <x:c r="J578" s="5" t="inlineStr">
        <x:is>
          <x:t xml:space="preserve">기본</x:t>
        </x:is>
      </x:c>
      <x:c r="K578" s="7" t="inlineStr">
        <x:is>
          <x:t xml:space="preserve">육상</x:t>
        </x:is>
      </x:c>
      <x:c r="L578" s="7" t="inlineStr">
        <x:is>
          <x:t xml:space="preserve">개활지</x:t>
        </x:is>
      </x:c>
      <x:c r="M578" s="7" t="inlineStr">
        <x:is>
          <x:t xml:space="preserve">온대</x:t>
        </x:is>
      </x:c>
      <x:c r="N578" s="7" t="inlineStr">
        <x:is>
          <x:t xml:space="preserve">보통</x:t>
        </x:is>
      </x:c>
      <x:c r="O578" s="7" t="inlineStr">
        <x:is>
          <x:t xml:space="preserve">무관</x:t>
        </x:is>
      </x:c>
      <x:c r="P578" s="7" t="inlineStr">
        <x:is>
          <x:t xml:space="preserve">무관</x:t>
        </x:is>
      </x:c>
      <x:c r="Q578" s="7" t="inlineStr">
        <x:is>
          <x:t xml:space="preserve">보통</x:t>
        </x:is>
      </x:c>
      <x:c r="R578" s="7" t="inlineStr">
        <x:is>
          <x:t xml:space="preserve">없음</x:t>
        </x:is>
      </x:c>
      <x:c r="S578" s="7" t="inlineStr">
        <x:is>
          <x:t xml:space="preserve"/>
        </x:is>
      </x:c>
      <x:c r="T578" s="7" t="inlineStr">
        <x:is>
          <x:t xml:space="preserve"/>
        </x:is>
      </x:c>
      <x:c r="U578" s="8" t="str">
        <x:f>INDEX('서식지_점수'!$E$4:$P$4,1,MATCH(MAX('서식지_점수'!E578:P578),'서식지_점수'!E578:P578,0))</x:f>
        <x:v>평원</x:v>
      </x:c>
      <x:c r="V578" s="8" t="str">
        <x:f>IF(T578&lt;&gt;"",T578,U578)</x:f>
        <x:v>평원</x:v>
      </x:c>
      <x:c r="W578" s="8" t="str">
        <x:f>IFERROR(INDEX('서식지_점수'!$E$4:$P$4,1,MATCH(MAXIFS('서식지_점수'!E578:P578,'서식지_점수'!E578:P578,"&lt;"&amp;MAX('서식지_점수'!E578:P578)),'서식지_점수'!E578:P578,0)),"")</x:f>
        <x:v>숲</x:v>
      </x:c>
      <x:c r="X578" s="8" t="str">
        <x:f>IF(T578&lt;&gt;"","수동확정",IF(MAX('서식지_점수'!E578:P578)-LARGE('서식지_점수'!E578:P578,2)&gt;=15,"높음",IF(MAX('서식지_점수'!E578:P578)-LARGE('서식지_점수'!E578:P578,2)&gt;=8,"보통","검토필요")))</x:f>
        <x:v>검토필요</x:v>
      </x:c>
      <x:c r="Y578" s="9" t="n">
        <x:f>IF(Q578="전설",8,IF(Q578="희귀",7,IF(J578="기본",1,IF(J578="중간",3,IF(J578="최종",IF(I578="",5,IF(I578&lt;=20,3,IF(I578&lt;=35,4,IF(I578&lt;=50,6,7)))),IF(Q578="드묾",4,2))))))</x:f>
        <x:v>1</x:v>
      </x:c>
      <x:c r="Z578" s="5" t="inlineStr">
        <x:is>
          <x:t xml:space="preserve">#cobblemon:is_end; #cobblemon:is_overworld</x:t>
        </x:is>
      </x:c>
      <x:c r="AA578" s="5" t="inlineStr">
        <x:is>
          <x:t xml:space="preserve">common; uncommon</x:t>
        </x:is>
      </x:c>
      <x:c r="AB578" s="5" t="inlineStr">
        <x:is>
          <x:t xml:space="preserve">예</x:t>
        </x:is>
      </x:c>
      <x:c r="AC578" s="8" t="str">
        <x:f>IF(T578&lt;&gt;"","수동확정",IF(X578="검토필요","검토필요",IF(S578="","원본없음","초기완료")))</x:f>
        <x:v>검토필요</x:v>
      </x:c>
      <x:c r="AD578" s="7" t="inlineStr">
        <x:is>
          <x:t xml:space="preserve"/>
        </x:is>
      </x:c>
      <x:c r="AE578" s="5" t="inlineStr">
        <x:is>
          <x:t xml:space="preserve">.tmp/cobblemon-1.7.3-source/common/src/main/resources/data/cobblemon/species/generation5/gothita.json</x:t>
        </x:is>
      </x:c>
      <x:c r="AF578" s="5" t="str">
        <x:f>"생활권|"&amp;K578</x:f>
        <x:v>생활권|육상</x:v>
      </x:c>
      <x:c r="AG578" s="5" t="str">
        <x:f>"지형|"&amp;L578</x:f>
        <x:v>지형|개활지</x:v>
      </x:c>
      <x:c r="AH578" s="5" t="str">
        <x:f>"온도|"&amp;M578</x:f>
        <x:v>온도|온대</x:v>
      </x:c>
      <x:c r="AI578" s="5" t="str">
        <x:f>"습도|"&amp;N578</x:f>
        <x:v>습도|보통</x:v>
      </x:c>
      <x:c r="AJ578" s="5" t="str">
        <x:f>"날씨|"&amp;O578</x:f>
        <x:v>날씨|무관</x:v>
      </x:c>
      <x:c r="AK578" s="5" t="str">
        <x:f>"특수태그|"&amp;R578</x:f>
        <x:v>특수태그|없음</x:v>
      </x:c>
      <x:c r="AL578" s="5" t="str">
        <x:f>"원본서식지|"&amp;S578</x:f>
        <x:v>원본서식지|</x:v>
      </x:c>
      <x:c r="AM578" s="5" t="str">
        <x:f>"타입|"&amp;F578</x:f>
        <x:v>타입|에스퍼</x:v>
      </x:c>
      <x:c r="AN578" s="5" t="str">
        <x:f>"타입|"&amp;G578</x:f>
        <x:v>타입|</x:v>
      </x:c>
    </x:row>
    <x:row r="579" ht="24" customHeight="1">
      <x:c r="A579" s="5" t="n">
        <x:v>575</x:v>
      </x:c>
      <x:c r="B579" s="5" t="inlineStr">
        <x:is>
          <x:t xml:space="preserve">고디보미</x:t>
        </x:is>
      </x:c>
      <x:c r="C579" s="5" t="inlineStr">
        <x:is>
          <x:t xml:space="preserve">gothorita</x:t>
        </x:is>
      </x:c>
      <x:c r="D579" s="5" t="inlineStr">
        <x:is>
          <x:t xml:space="preserve">Gothorita</x:t>
        </x:is>
      </x:c>
      <x:c r="E579" s="5" t="n">
        <x:v>5</x:v>
      </x:c>
      <x:c r="F579" s="5" t="inlineStr">
        <x:is>
          <x:t xml:space="preserve">에스퍼</x:t>
        </x:is>
      </x:c>
      <x:c r="G579" s="5" t="inlineStr">
        <x:is>
          <x:t xml:space="preserve"/>
        </x:is>
      </x:c>
      <x:c r="H579" s="6" t="n">
        <x:v>18</x:v>
      </x:c>
      <x:c r="I579" s="5" t="n">
        <x:v>41</x:v>
      </x:c>
      <x:c r="J579" s="5" t="inlineStr">
        <x:is>
          <x:t xml:space="preserve">중간</x:t>
        </x:is>
      </x:c>
      <x:c r="K579" s="7" t="inlineStr">
        <x:is>
          <x:t xml:space="preserve">육상</x:t>
        </x:is>
      </x:c>
      <x:c r="L579" s="7" t="inlineStr">
        <x:is>
          <x:t xml:space="preserve">개활지</x:t>
        </x:is>
      </x:c>
      <x:c r="M579" s="7" t="inlineStr">
        <x:is>
          <x:t xml:space="preserve">온대</x:t>
        </x:is>
      </x:c>
      <x:c r="N579" s="7" t="inlineStr">
        <x:is>
          <x:t xml:space="preserve">보통</x:t>
        </x:is>
      </x:c>
      <x:c r="O579" s="7" t="inlineStr">
        <x:is>
          <x:t xml:space="preserve">무관</x:t>
        </x:is>
      </x:c>
      <x:c r="P579" s="7" t="inlineStr">
        <x:is>
          <x:t xml:space="preserve">무관</x:t>
        </x:is>
      </x:c>
      <x:c r="Q579" s="7" t="inlineStr">
        <x:is>
          <x:t xml:space="preserve">보통</x:t>
        </x:is>
      </x:c>
      <x:c r="R579" s="7" t="inlineStr">
        <x:is>
          <x:t xml:space="preserve">없음</x:t>
        </x:is>
      </x:c>
      <x:c r="S579" s="7" t="inlineStr">
        <x:is>
          <x:t xml:space="preserve"/>
        </x:is>
      </x:c>
      <x:c r="T579" s="7" t="inlineStr">
        <x:is>
          <x:t xml:space="preserve"/>
        </x:is>
      </x:c>
      <x:c r="U579" s="8" t="str">
        <x:f>INDEX('서식지_점수'!$E$4:$P$4,1,MATCH(MAX('서식지_점수'!E579:P579),'서식지_점수'!E579:P579,0))</x:f>
        <x:v>평원</x:v>
      </x:c>
      <x:c r="V579" s="8" t="str">
        <x:f>IF(T579&lt;&gt;"",T579,U579)</x:f>
        <x:v>평원</x:v>
      </x:c>
      <x:c r="W579" s="8" t="str">
        <x:f>IFERROR(INDEX('서식지_점수'!$E$4:$P$4,1,MATCH(MAXIFS('서식지_점수'!E579:P579,'서식지_점수'!E579:P579,"&lt;"&amp;MAX('서식지_점수'!E579:P579)),'서식지_점수'!E579:P579,0)),"")</x:f>
        <x:v>숲</x:v>
      </x:c>
      <x:c r="X579" s="8" t="str">
        <x:f>IF(T579&lt;&gt;"","수동확정",IF(MAX('서식지_점수'!E579:P579)-LARGE('서식지_점수'!E579:P579,2)&gt;=15,"높음",IF(MAX('서식지_점수'!E579:P579)-LARGE('서식지_점수'!E579:P579,2)&gt;=8,"보통","검토필요")))</x:f>
        <x:v>검토필요</x:v>
      </x:c>
      <x:c r="Y579" s="9" t="n">
        <x:f>IF(Q579="전설",8,IF(Q579="희귀",7,IF(J579="기본",1,IF(J579="중간",3,IF(J579="최종",IF(I579="",5,IF(I579&lt;=20,3,IF(I579&lt;=35,4,IF(I579&lt;=50,6,7)))),IF(Q579="드묾",4,2))))))</x:f>
        <x:v>3</x:v>
      </x:c>
      <x:c r="Z579" s="5" t="inlineStr">
        <x:is>
          <x:t xml:space="preserve">#cobblemon:is_end; #cobblemon:is_overworld</x:t>
        </x:is>
      </x:c>
      <x:c r="AA579" s="5" t="inlineStr">
        <x:is>
          <x:t xml:space="preserve">common; uncommon</x:t>
        </x:is>
      </x:c>
      <x:c r="AB579" s="5" t="inlineStr">
        <x:is>
          <x:t xml:space="preserve">예</x:t>
        </x:is>
      </x:c>
      <x:c r="AC579" s="8" t="str">
        <x:f>IF(T579&lt;&gt;"","수동확정",IF(X579="검토필요","검토필요",IF(S579="","원본없음","초기완료")))</x:f>
        <x:v>검토필요</x:v>
      </x:c>
      <x:c r="AD579" s="7" t="inlineStr">
        <x:is>
          <x:t xml:space="preserve"/>
        </x:is>
      </x:c>
      <x:c r="AE579" s="5" t="inlineStr">
        <x:is>
          <x:t xml:space="preserve">.tmp/cobblemon-1.7.3-source/common/src/main/resources/data/cobblemon/species/generation5/gothorita.json</x:t>
        </x:is>
      </x:c>
      <x:c r="AF579" s="5" t="str">
        <x:f>"생활권|"&amp;K579</x:f>
        <x:v>생활권|육상</x:v>
      </x:c>
      <x:c r="AG579" s="5" t="str">
        <x:f>"지형|"&amp;L579</x:f>
        <x:v>지형|개활지</x:v>
      </x:c>
      <x:c r="AH579" s="5" t="str">
        <x:f>"온도|"&amp;M579</x:f>
        <x:v>온도|온대</x:v>
      </x:c>
      <x:c r="AI579" s="5" t="str">
        <x:f>"습도|"&amp;N579</x:f>
        <x:v>습도|보통</x:v>
      </x:c>
      <x:c r="AJ579" s="5" t="str">
        <x:f>"날씨|"&amp;O579</x:f>
        <x:v>날씨|무관</x:v>
      </x:c>
      <x:c r="AK579" s="5" t="str">
        <x:f>"특수태그|"&amp;R579</x:f>
        <x:v>특수태그|없음</x:v>
      </x:c>
      <x:c r="AL579" s="5" t="str">
        <x:f>"원본서식지|"&amp;S579</x:f>
        <x:v>원본서식지|</x:v>
      </x:c>
      <x:c r="AM579" s="5" t="str">
        <x:f>"타입|"&amp;F579</x:f>
        <x:v>타입|에스퍼</x:v>
      </x:c>
      <x:c r="AN579" s="5" t="str">
        <x:f>"타입|"&amp;G579</x:f>
        <x:v>타입|</x:v>
      </x:c>
    </x:row>
    <x:row r="580" ht="24" customHeight="1">
      <x:c r="A580" s="5" t="n">
        <x:v>576</x:v>
      </x:c>
      <x:c r="B580" s="5" t="inlineStr">
        <x:is>
          <x:t xml:space="preserve">고디모아젤</x:t>
        </x:is>
      </x:c>
      <x:c r="C580" s="5" t="inlineStr">
        <x:is>
          <x:t xml:space="preserve">gothitelle</x:t>
        </x:is>
      </x:c>
      <x:c r="D580" s="5" t="inlineStr">
        <x:is>
          <x:t xml:space="preserve">Gothitelle</x:t>
        </x:is>
      </x:c>
      <x:c r="E580" s="5" t="n">
        <x:v>5</x:v>
      </x:c>
      <x:c r="F580" s="5" t="inlineStr">
        <x:is>
          <x:t xml:space="preserve">에스퍼</x:t>
        </x:is>
      </x:c>
      <x:c r="G580" s="5" t="inlineStr">
        <x:is>
          <x:t xml:space="preserve"/>
        </x:is>
      </x:c>
      <x:c r="H580" s="6" t="n">
        <x:v>44</x:v>
      </x:c>
      <x:c r="I580" s="5" t="n">
        <x:v>41</x:v>
      </x:c>
      <x:c r="J580" s="5" t="inlineStr">
        <x:is>
          <x:t xml:space="preserve">최종</x:t>
        </x:is>
      </x:c>
      <x:c r="K580" s="7" t="inlineStr">
        <x:is>
          <x:t xml:space="preserve">육상</x:t>
        </x:is>
      </x:c>
      <x:c r="L580" s="7" t="inlineStr">
        <x:is>
          <x:t xml:space="preserve">개활지</x:t>
        </x:is>
      </x:c>
      <x:c r="M580" s="7" t="inlineStr">
        <x:is>
          <x:t xml:space="preserve">온대</x:t>
        </x:is>
      </x:c>
      <x:c r="N580" s="7" t="inlineStr">
        <x:is>
          <x:t xml:space="preserve">보통</x:t>
        </x:is>
      </x:c>
      <x:c r="O580" s="7" t="inlineStr">
        <x:is>
          <x:t xml:space="preserve">무관</x:t>
        </x:is>
      </x:c>
      <x:c r="P580" s="7" t="inlineStr">
        <x:is>
          <x:t xml:space="preserve">무관</x:t>
        </x:is>
      </x:c>
      <x:c r="Q580" s="7" t="inlineStr">
        <x:is>
          <x:t xml:space="preserve">보통</x:t>
        </x:is>
      </x:c>
      <x:c r="R580" s="7" t="inlineStr">
        <x:is>
          <x:t xml:space="preserve">없음</x:t>
        </x:is>
      </x:c>
      <x:c r="S580" s="7" t="inlineStr">
        <x:is>
          <x:t xml:space="preserve"/>
        </x:is>
      </x:c>
      <x:c r="T580" s="7" t="inlineStr">
        <x:is>
          <x:t xml:space="preserve"/>
        </x:is>
      </x:c>
      <x:c r="U580" s="8" t="str">
        <x:f>INDEX('서식지_점수'!$E$4:$P$4,1,MATCH(MAX('서식지_점수'!E580:P580),'서식지_점수'!E580:P580,0))</x:f>
        <x:v>평원</x:v>
      </x:c>
      <x:c r="V580" s="8" t="str">
        <x:f>IF(T580&lt;&gt;"",T580,U580)</x:f>
        <x:v>평원</x:v>
      </x:c>
      <x:c r="W580" s="8" t="str">
        <x:f>IFERROR(INDEX('서식지_점수'!$E$4:$P$4,1,MATCH(MAXIFS('서식지_점수'!E580:P580,'서식지_점수'!E580:P580,"&lt;"&amp;MAX('서식지_점수'!E580:P580)),'서식지_점수'!E580:P580,0)),"")</x:f>
        <x:v>숲</x:v>
      </x:c>
      <x:c r="X580" s="8" t="str">
        <x:f>IF(T580&lt;&gt;"","수동확정",IF(MAX('서식지_점수'!E580:P580)-LARGE('서식지_점수'!E580:P580,2)&gt;=15,"높음",IF(MAX('서식지_점수'!E580:P580)-LARGE('서식지_점수'!E580:P580,2)&gt;=8,"보통","검토필요")))</x:f>
        <x:v>검토필요</x:v>
      </x:c>
      <x:c r="Y580" s="9" t="n">
        <x:f>IF(Q580="전설",8,IF(Q580="희귀",7,IF(J580="기본",1,IF(J580="중간",3,IF(J580="최종",IF(I580="",5,IF(I580&lt;=20,3,IF(I580&lt;=35,4,IF(I580&lt;=50,6,7)))),IF(Q580="드묾",4,2))))))</x:f>
        <x:v>6</x:v>
      </x:c>
      <x:c r="Z580" s="5" t="inlineStr">
        <x:is>
          <x:t xml:space="preserve">#cobblemon:is_end; #cobblemon:is_overworld</x:t>
        </x:is>
      </x:c>
      <x:c r="AA580" s="5" t="inlineStr">
        <x:is>
          <x:t xml:space="preserve">common; uncommon</x:t>
        </x:is>
      </x:c>
      <x:c r="AB580" s="5" t="inlineStr">
        <x:is>
          <x:t xml:space="preserve">예</x:t>
        </x:is>
      </x:c>
      <x:c r="AC580" s="8" t="str">
        <x:f>IF(T580&lt;&gt;"","수동확정",IF(X580="검토필요","검토필요",IF(S580="","원본없음","초기완료")))</x:f>
        <x:v>검토필요</x:v>
      </x:c>
      <x:c r="AD580" s="7" t="inlineStr">
        <x:is>
          <x:t xml:space="preserve"/>
        </x:is>
      </x:c>
      <x:c r="AE580" s="5" t="inlineStr">
        <x:is>
          <x:t xml:space="preserve">.tmp/cobblemon-1.7.3-source/common/src/main/resources/data/cobblemon/species/generation5/gothitelle.json</x:t>
        </x:is>
      </x:c>
      <x:c r="AF580" s="5" t="str">
        <x:f>"생활권|"&amp;K580</x:f>
        <x:v>생활권|육상</x:v>
      </x:c>
      <x:c r="AG580" s="5" t="str">
        <x:f>"지형|"&amp;L580</x:f>
        <x:v>지형|개활지</x:v>
      </x:c>
      <x:c r="AH580" s="5" t="str">
        <x:f>"온도|"&amp;M580</x:f>
        <x:v>온도|온대</x:v>
      </x:c>
      <x:c r="AI580" s="5" t="str">
        <x:f>"습도|"&amp;N580</x:f>
        <x:v>습도|보통</x:v>
      </x:c>
      <x:c r="AJ580" s="5" t="str">
        <x:f>"날씨|"&amp;O580</x:f>
        <x:v>날씨|무관</x:v>
      </x:c>
      <x:c r="AK580" s="5" t="str">
        <x:f>"특수태그|"&amp;R580</x:f>
        <x:v>특수태그|없음</x:v>
      </x:c>
      <x:c r="AL580" s="5" t="str">
        <x:f>"원본서식지|"&amp;S580</x:f>
        <x:v>원본서식지|</x:v>
      </x:c>
      <x:c r="AM580" s="5" t="str">
        <x:f>"타입|"&amp;F580</x:f>
        <x:v>타입|에스퍼</x:v>
      </x:c>
      <x:c r="AN580" s="5" t="str">
        <x:f>"타입|"&amp;G580</x:f>
        <x:v>타입|</x:v>
      </x:c>
    </x:row>
    <x:row r="581" ht="24" customHeight="1">
      <x:c r="A581" s="5" t="n">
        <x:v>577</x:v>
      </x:c>
      <x:c r="B581" s="5" t="inlineStr">
        <x:is>
          <x:t xml:space="preserve">유니란</x:t>
        </x:is>
      </x:c>
      <x:c r="C581" s="5" t="inlineStr">
        <x:is>
          <x:t xml:space="preserve">solosis</x:t>
        </x:is>
      </x:c>
      <x:c r="D581" s="5" t="inlineStr">
        <x:is>
          <x:t xml:space="preserve">Solosis</x:t>
        </x:is>
      </x:c>
      <x:c r="E581" s="5" t="n">
        <x:v>5</x:v>
      </x:c>
      <x:c r="F581" s="5" t="inlineStr">
        <x:is>
          <x:t xml:space="preserve">에스퍼</x:t>
        </x:is>
      </x:c>
      <x:c r="G581" s="5" t="inlineStr">
        <x:is>
          <x:t xml:space="preserve"/>
        </x:is>
      </x:c>
      <x:c r="H581" s="6" t="n">
        <x:v>1</x:v>
      </x:c>
      <x:c r="I581" s="5" t="n">
        <x:v>41</x:v>
      </x:c>
      <x:c r="J581" s="5" t="inlineStr">
        <x:is>
          <x:t xml:space="preserve">기본</x:t>
        </x:is>
      </x:c>
      <x:c r="K581" s="7" t="inlineStr">
        <x:is>
          <x:t xml:space="preserve">비행</x:t>
        </x:is>
      </x:c>
      <x:c r="L581" s="7" t="inlineStr">
        <x:is>
          <x:t xml:space="preserve">개활지</x:t>
        </x:is>
      </x:c>
      <x:c r="M581" s="7" t="inlineStr">
        <x:is>
          <x:t xml:space="preserve">온대</x:t>
        </x:is>
      </x:c>
      <x:c r="N581" s="7" t="inlineStr">
        <x:is>
          <x:t xml:space="preserve">보통</x:t>
        </x:is>
      </x:c>
      <x:c r="O581" s="7" t="inlineStr">
        <x:is>
          <x:t xml:space="preserve">무관</x:t>
        </x:is>
      </x:c>
      <x:c r="P581" s="7" t="inlineStr">
        <x:is>
          <x:t xml:space="preserve">무관</x:t>
        </x:is>
      </x:c>
      <x:c r="Q581" s="7" t="inlineStr">
        <x:is>
          <x:t xml:space="preserve">드묾</x:t>
        </x:is>
      </x:c>
      <x:c r="R581" s="7" t="inlineStr">
        <x:is>
          <x:t xml:space="preserve">없음</x:t>
        </x:is>
      </x:c>
      <x:c r="S581" s="7" t="inlineStr">
        <x:is>
          <x:t xml:space="preserve"/>
        </x:is>
      </x:c>
      <x:c r="T581" s="7" t="inlineStr">
        <x:is>
          <x:t xml:space="preserve"/>
        </x:is>
      </x:c>
      <x:c r="U581" s="8" t="str">
        <x:f>INDEX('서식지_점수'!$E$4:$P$4,1,MATCH(MAX('서식지_점수'!E581:P581),'서식지_점수'!E581:P581,0))</x:f>
        <x:v>산악</x:v>
      </x:c>
      <x:c r="V581" s="8" t="str">
        <x:f>IF(T581&lt;&gt;"",T581,U581)</x:f>
        <x:v>산악</x:v>
      </x:c>
      <x:c r="W581" s="8" t="str">
        <x:f>IFERROR(INDEX('서식지_점수'!$E$4:$P$4,1,MATCH(MAXIFS('서식지_점수'!E581:P581,'서식지_점수'!E581:P581,"&lt;"&amp;MAX('서식지_점수'!E581:P581)),'서식지_점수'!E581:P581,0)),"")</x:f>
        <x:v>평원</x:v>
      </x:c>
      <x:c r="X581" s="8" t="str">
        <x:f>IF(T581&lt;&gt;"","수동확정",IF(MAX('서식지_점수'!E581:P581)-LARGE('서식지_점수'!E581:P581,2)&gt;=15,"높음",IF(MAX('서식지_점수'!E581:P581)-LARGE('서식지_점수'!E581:P581,2)&gt;=8,"보통","검토필요")))</x:f>
        <x:v>검토필요</x:v>
      </x:c>
      <x:c r="Y581" s="9" t="n">
        <x:f>IF(Q581="전설",8,IF(Q581="희귀",7,IF(J581="기본",1,IF(J581="중간",3,IF(J581="최종",IF(I581="",5,IF(I581&lt;=20,3,IF(I581&lt;=35,4,IF(I581&lt;=50,6,7)))),IF(Q581="드묾",4,2))))))</x:f>
        <x:v>1</x:v>
      </x:c>
      <x:c r="Z581" s="5" t="inlineStr">
        <x:is>
          <x:t xml:space="preserve">#cobblemon:is_end; #cobblemon:is_lush</x:t>
        </x:is>
      </x:c>
      <x:c r="AA581" s="5" t="inlineStr">
        <x:is>
          <x:t xml:space="preserve">rare</x:t>
        </x:is>
      </x:c>
      <x:c r="AB581" s="5" t="inlineStr">
        <x:is>
          <x:t xml:space="preserve">예</x:t>
        </x:is>
      </x:c>
      <x:c r="AC581" s="8" t="str">
        <x:f>IF(T581&lt;&gt;"","수동확정",IF(X581="검토필요","검토필요",IF(S581="","원본없음","초기완료")))</x:f>
        <x:v>검토필요</x:v>
      </x:c>
      <x:c r="AD581" s="7" t="inlineStr">
        <x:is>
          <x:t xml:space="preserve"/>
        </x:is>
      </x:c>
      <x:c r="AE581" s="5" t="inlineStr">
        <x:is>
          <x:t xml:space="preserve">.tmp/cobblemon-1.7.3-source/common/src/main/resources/data/cobblemon/species/generation5/solosis.json</x:t>
        </x:is>
      </x:c>
      <x:c r="AF581" s="5" t="str">
        <x:f>"생활권|"&amp;K581</x:f>
        <x:v>생활권|비행</x:v>
      </x:c>
      <x:c r="AG581" s="5" t="str">
        <x:f>"지형|"&amp;L581</x:f>
        <x:v>지형|개활지</x:v>
      </x:c>
      <x:c r="AH581" s="5" t="str">
        <x:f>"온도|"&amp;M581</x:f>
        <x:v>온도|온대</x:v>
      </x:c>
      <x:c r="AI581" s="5" t="str">
        <x:f>"습도|"&amp;N581</x:f>
        <x:v>습도|보통</x:v>
      </x:c>
      <x:c r="AJ581" s="5" t="str">
        <x:f>"날씨|"&amp;O581</x:f>
        <x:v>날씨|무관</x:v>
      </x:c>
      <x:c r="AK581" s="5" t="str">
        <x:f>"특수태그|"&amp;R581</x:f>
        <x:v>특수태그|없음</x:v>
      </x:c>
      <x:c r="AL581" s="5" t="str">
        <x:f>"원본서식지|"&amp;S581</x:f>
        <x:v>원본서식지|</x:v>
      </x:c>
      <x:c r="AM581" s="5" t="str">
        <x:f>"타입|"&amp;F581</x:f>
        <x:v>타입|에스퍼</x:v>
      </x:c>
      <x:c r="AN581" s="5" t="str">
        <x:f>"타입|"&amp;G581</x:f>
        <x:v>타입|</x:v>
      </x:c>
    </x:row>
    <x:row r="582" ht="24" customHeight="1">
      <x:c r="A582" s="5" t="n">
        <x:v>578</x:v>
      </x:c>
      <x:c r="B582" s="5" t="inlineStr">
        <x:is>
          <x:t xml:space="preserve">듀란</x:t>
        </x:is>
      </x:c>
      <x:c r="C582" s="5" t="inlineStr">
        <x:is>
          <x:t xml:space="preserve">duosion</x:t>
        </x:is>
      </x:c>
      <x:c r="D582" s="5" t="inlineStr">
        <x:is>
          <x:t xml:space="preserve">Duosion</x:t>
        </x:is>
      </x:c>
      <x:c r="E582" s="5" t="n">
        <x:v>5</x:v>
      </x:c>
      <x:c r="F582" s="5" t="inlineStr">
        <x:is>
          <x:t xml:space="preserve">에스퍼</x:t>
        </x:is>
      </x:c>
      <x:c r="G582" s="5" t="inlineStr">
        <x:is>
          <x:t xml:space="preserve"/>
        </x:is>
      </x:c>
      <x:c r="H582" s="6" t="n">
        <x:v>8</x:v>
      </x:c>
      <x:c r="I582" s="5" t="n">
        <x:v>41</x:v>
      </x:c>
      <x:c r="J582" s="5" t="inlineStr">
        <x:is>
          <x:t xml:space="preserve">중간</x:t>
        </x:is>
      </x:c>
      <x:c r="K582" s="7" t="inlineStr">
        <x:is>
          <x:t xml:space="preserve">비행</x:t>
        </x:is>
      </x:c>
      <x:c r="L582" s="7" t="inlineStr">
        <x:is>
          <x:t xml:space="preserve">개활지</x:t>
        </x:is>
      </x:c>
      <x:c r="M582" s="7" t="inlineStr">
        <x:is>
          <x:t xml:space="preserve">온대</x:t>
        </x:is>
      </x:c>
      <x:c r="N582" s="7" t="inlineStr">
        <x:is>
          <x:t xml:space="preserve">보통</x:t>
        </x:is>
      </x:c>
      <x:c r="O582" s="7" t="inlineStr">
        <x:is>
          <x:t xml:space="preserve">무관</x:t>
        </x:is>
      </x:c>
      <x:c r="P582" s="7" t="inlineStr">
        <x:is>
          <x:t xml:space="preserve">무관</x:t>
        </x:is>
      </x:c>
      <x:c r="Q582" s="7" t="inlineStr">
        <x:is>
          <x:t xml:space="preserve">보통</x:t>
        </x:is>
      </x:c>
      <x:c r="R582" s="7" t="inlineStr">
        <x:is>
          <x:t xml:space="preserve">없음</x:t>
        </x:is>
      </x:c>
      <x:c r="S582" s="7" t="inlineStr">
        <x:is>
          <x:t xml:space="preserve"/>
        </x:is>
      </x:c>
      <x:c r="T582" s="7" t="inlineStr">
        <x:is>
          <x:t xml:space="preserve"/>
        </x:is>
      </x:c>
      <x:c r="U582" s="8" t="str">
        <x:f>INDEX('서식지_점수'!$E$4:$P$4,1,MATCH(MAX('서식지_점수'!E582:P582),'서식지_점수'!E582:P582,0))</x:f>
        <x:v>산악</x:v>
      </x:c>
      <x:c r="V582" s="8" t="str">
        <x:f>IF(T582&lt;&gt;"",T582,U582)</x:f>
        <x:v>산악</x:v>
      </x:c>
      <x:c r="W582" s="8" t="str">
        <x:f>IFERROR(INDEX('서식지_점수'!$E$4:$P$4,1,MATCH(MAXIFS('서식지_점수'!E582:P582,'서식지_점수'!E582:P582,"&lt;"&amp;MAX('서식지_점수'!E582:P582)),'서식지_점수'!E582:P582,0)),"")</x:f>
        <x:v>평원</x:v>
      </x:c>
      <x:c r="X582" s="8" t="str">
        <x:f>IF(T582&lt;&gt;"","수동확정",IF(MAX('서식지_점수'!E582:P582)-LARGE('서식지_점수'!E582:P582,2)&gt;=15,"높음",IF(MAX('서식지_점수'!E582:P582)-LARGE('서식지_점수'!E582:P582,2)&gt;=8,"보통","검토필요")))</x:f>
        <x:v>검토필요</x:v>
      </x:c>
      <x:c r="Y582" s="9" t="n">
        <x:f>IF(Q582="전설",8,IF(Q582="희귀",7,IF(J582="기본",1,IF(J582="중간",3,IF(J582="최종",IF(I582="",5,IF(I582&lt;=20,3,IF(I582&lt;=35,4,IF(I582&lt;=50,6,7)))),IF(Q582="드묾",4,2))))))</x:f>
        <x:v>3</x:v>
      </x:c>
      <x:c r="Z582" s="5" t="inlineStr">
        <x:is>
          <x:t xml:space="preserve">#cobblemon:is_end; #cobblemon:lush</x:t>
        </x:is>
      </x:c>
      <x:c r="AA582" s="5" t="inlineStr">
        <x:is>
          <x:t xml:space="preserve">uncommon</x:t>
        </x:is>
      </x:c>
      <x:c r="AB582" s="5" t="inlineStr">
        <x:is>
          <x:t xml:space="preserve">예</x:t>
        </x:is>
      </x:c>
      <x:c r="AC582" s="8" t="str">
        <x:f>IF(T582&lt;&gt;"","수동확정",IF(X582="검토필요","검토필요",IF(S582="","원본없음","초기완료")))</x:f>
        <x:v>검토필요</x:v>
      </x:c>
      <x:c r="AD582" s="7" t="inlineStr">
        <x:is>
          <x:t xml:space="preserve"/>
        </x:is>
      </x:c>
      <x:c r="AE582" s="5" t="inlineStr">
        <x:is>
          <x:t xml:space="preserve">.tmp/cobblemon-1.7.3-source/common/src/main/resources/data/cobblemon/species/generation5/duosion.json</x:t>
        </x:is>
      </x:c>
      <x:c r="AF582" s="5" t="str">
        <x:f>"생활권|"&amp;K582</x:f>
        <x:v>생활권|비행</x:v>
      </x:c>
      <x:c r="AG582" s="5" t="str">
        <x:f>"지형|"&amp;L582</x:f>
        <x:v>지형|개활지</x:v>
      </x:c>
      <x:c r="AH582" s="5" t="str">
        <x:f>"온도|"&amp;M582</x:f>
        <x:v>온도|온대</x:v>
      </x:c>
      <x:c r="AI582" s="5" t="str">
        <x:f>"습도|"&amp;N582</x:f>
        <x:v>습도|보통</x:v>
      </x:c>
      <x:c r="AJ582" s="5" t="str">
        <x:f>"날씨|"&amp;O582</x:f>
        <x:v>날씨|무관</x:v>
      </x:c>
      <x:c r="AK582" s="5" t="str">
        <x:f>"특수태그|"&amp;R582</x:f>
        <x:v>특수태그|없음</x:v>
      </x:c>
      <x:c r="AL582" s="5" t="str">
        <x:f>"원본서식지|"&amp;S582</x:f>
        <x:v>원본서식지|</x:v>
      </x:c>
      <x:c r="AM582" s="5" t="str">
        <x:f>"타입|"&amp;F582</x:f>
        <x:v>타입|에스퍼</x:v>
      </x:c>
      <x:c r="AN582" s="5" t="str">
        <x:f>"타입|"&amp;G582</x:f>
        <x:v>타입|</x:v>
      </x:c>
    </x:row>
    <x:row r="583" ht="24" customHeight="1">
      <x:c r="A583" s="5" t="n">
        <x:v>579</x:v>
      </x:c>
      <x:c r="B583" s="5" t="inlineStr">
        <x:is>
          <x:t xml:space="preserve">란쿨루스</x:t>
        </x:is>
      </x:c>
      <x:c r="C583" s="5" t="inlineStr">
        <x:is>
          <x:t xml:space="preserve">reuniclus</x:t>
        </x:is>
      </x:c>
      <x:c r="D583" s="5" t="inlineStr">
        <x:is>
          <x:t xml:space="preserve">Reuniclus</x:t>
        </x:is>
      </x:c>
      <x:c r="E583" s="5" t="n">
        <x:v>5</x:v>
      </x:c>
      <x:c r="F583" s="5" t="inlineStr">
        <x:is>
          <x:t xml:space="preserve">에스퍼</x:t>
        </x:is>
      </x:c>
      <x:c r="G583" s="5" t="inlineStr">
        <x:is>
          <x:t xml:space="preserve"/>
        </x:is>
      </x:c>
      <x:c r="H583" s="6" t="n">
        <x:v>20.1</x:v>
      </x:c>
      <x:c r="I583" s="5" t="n">
        <x:v>41</x:v>
      </x:c>
      <x:c r="J583" s="5" t="inlineStr">
        <x:is>
          <x:t xml:space="preserve">최종</x:t>
        </x:is>
      </x:c>
      <x:c r="K583" s="7" t="inlineStr">
        <x:is>
          <x:t xml:space="preserve">비행</x:t>
        </x:is>
      </x:c>
      <x:c r="L583" s="7" t="inlineStr">
        <x:is>
          <x:t xml:space="preserve">개활지</x:t>
        </x:is>
      </x:c>
      <x:c r="M583" s="7" t="inlineStr">
        <x:is>
          <x:t xml:space="preserve">온대</x:t>
        </x:is>
      </x:c>
      <x:c r="N583" s="7" t="inlineStr">
        <x:is>
          <x:t xml:space="preserve">보통</x:t>
        </x:is>
      </x:c>
      <x:c r="O583" s="7" t="inlineStr">
        <x:is>
          <x:t xml:space="preserve">무관</x:t>
        </x:is>
      </x:c>
      <x:c r="P583" s="7" t="inlineStr">
        <x:is>
          <x:t xml:space="preserve">무관</x:t>
        </x:is>
      </x:c>
      <x:c r="Q583" s="7" t="inlineStr">
        <x:is>
          <x:t xml:space="preserve">보통</x:t>
        </x:is>
      </x:c>
      <x:c r="R583" s="7" t="inlineStr">
        <x:is>
          <x:t xml:space="preserve">없음</x:t>
        </x:is>
      </x:c>
      <x:c r="S583" s="7" t="inlineStr">
        <x:is>
          <x:t xml:space="preserve"/>
        </x:is>
      </x:c>
      <x:c r="T583" s="7" t="inlineStr">
        <x:is>
          <x:t xml:space="preserve"/>
        </x:is>
      </x:c>
      <x:c r="U583" s="8" t="str">
        <x:f>INDEX('서식지_점수'!$E$4:$P$4,1,MATCH(MAX('서식지_점수'!E583:P583),'서식지_점수'!E583:P583,0))</x:f>
        <x:v>산악</x:v>
      </x:c>
      <x:c r="V583" s="8" t="str">
        <x:f>IF(T583&lt;&gt;"",T583,U583)</x:f>
        <x:v>산악</x:v>
      </x:c>
      <x:c r="W583" s="8" t="str">
        <x:f>IFERROR(INDEX('서식지_점수'!$E$4:$P$4,1,MATCH(MAXIFS('서식지_점수'!E583:P583,'서식지_점수'!E583:P583,"&lt;"&amp;MAX('서식지_점수'!E583:P583)),'서식지_점수'!E583:P583,0)),"")</x:f>
        <x:v>평원</x:v>
      </x:c>
      <x:c r="X583" s="8" t="str">
        <x:f>IF(T583&lt;&gt;"","수동확정",IF(MAX('서식지_점수'!E583:P583)-LARGE('서식지_점수'!E583:P583,2)&gt;=15,"높음",IF(MAX('서식지_점수'!E583:P583)-LARGE('서식지_점수'!E583:P583,2)&gt;=8,"보통","검토필요")))</x:f>
        <x:v>검토필요</x:v>
      </x:c>
      <x:c r="Y583" s="9" t="n">
        <x:f>IF(Q583="전설",8,IF(Q583="희귀",7,IF(J583="기본",1,IF(J583="중간",3,IF(J583="최종",IF(I583="",5,IF(I583&lt;=20,3,IF(I583&lt;=35,4,IF(I583&lt;=50,6,7)))),IF(Q583="드묾",4,2))))))</x:f>
        <x:v>6</x:v>
      </x:c>
      <x:c r="Z583" s="5" t="inlineStr">
        <x:is>
          <x:t xml:space="preserve">#cobblemon:is_end; #cobblemon:is_lush</x:t>
        </x:is>
      </x:c>
      <x:c r="AA583" s="5" t="inlineStr">
        <x:is>
          <x:t xml:space="preserve">uncommon</x:t>
        </x:is>
      </x:c>
      <x:c r="AB583" s="5" t="inlineStr">
        <x:is>
          <x:t xml:space="preserve">예</x:t>
        </x:is>
      </x:c>
      <x:c r="AC583" s="8" t="str">
        <x:f>IF(T583&lt;&gt;"","수동확정",IF(X583="검토필요","검토필요",IF(S583="","원본없음","초기완료")))</x:f>
        <x:v>검토필요</x:v>
      </x:c>
      <x:c r="AD583" s="7" t="inlineStr">
        <x:is>
          <x:t xml:space="preserve"/>
        </x:is>
      </x:c>
      <x:c r="AE583" s="5" t="inlineStr">
        <x:is>
          <x:t xml:space="preserve">.tmp/cobblemon-1.7.3-source/common/src/main/resources/data/cobblemon/species/generation5/reuniclus.json</x:t>
        </x:is>
      </x:c>
      <x:c r="AF583" s="5" t="str">
        <x:f>"생활권|"&amp;K583</x:f>
        <x:v>생활권|비행</x:v>
      </x:c>
      <x:c r="AG583" s="5" t="str">
        <x:f>"지형|"&amp;L583</x:f>
        <x:v>지형|개활지</x:v>
      </x:c>
      <x:c r="AH583" s="5" t="str">
        <x:f>"온도|"&amp;M583</x:f>
        <x:v>온도|온대</x:v>
      </x:c>
      <x:c r="AI583" s="5" t="str">
        <x:f>"습도|"&amp;N583</x:f>
        <x:v>습도|보통</x:v>
      </x:c>
      <x:c r="AJ583" s="5" t="str">
        <x:f>"날씨|"&amp;O583</x:f>
        <x:v>날씨|무관</x:v>
      </x:c>
      <x:c r="AK583" s="5" t="str">
        <x:f>"특수태그|"&amp;R583</x:f>
        <x:v>특수태그|없음</x:v>
      </x:c>
      <x:c r="AL583" s="5" t="str">
        <x:f>"원본서식지|"&amp;S583</x:f>
        <x:v>원본서식지|</x:v>
      </x:c>
      <x:c r="AM583" s="5" t="str">
        <x:f>"타입|"&amp;F583</x:f>
        <x:v>타입|에스퍼</x:v>
      </x:c>
      <x:c r="AN583" s="5" t="str">
        <x:f>"타입|"&amp;G583</x:f>
        <x:v>타입|</x:v>
      </x:c>
    </x:row>
    <x:row r="584" ht="24" customHeight="1">
      <x:c r="A584" s="5" t="n">
        <x:v>580</x:v>
      </x:c>
      <x:c r="B584" s="5" t="inlineStr">
        <x:is>
          <x:t xml:space="preserve">꼬지보리</x:t>
        </x:is>
      </x:c>
      <x:c r="C584" s="5" t="inlineStr">
        <x:is>
          <x:t xml:space="preserve">ducklett</x:t>
        </x:is>
      </x:c>
      <x:c r="D584" s="5" t="inlineStr">
        <x:is>
          <x:t xml:space="preserve">Ducklett</x:t>
        </x:is>
      </x:c>
      <x:c r="E584" s="5" t="n">
        <x:v>5</x:v>
      </x:c>
      <x:c r="F584" s="5" t="inlineStr">
        <x:is>
          <x:t xml:space="preserve">물</x:t>
        </x:is>
      </x:c>
      <x:c r="G584" s="5" t="inlineStr">
        <x:is>
          <x:t xml:space="preserve">비행</x:t>
        </x:is>
      </x:c>
      <x:c r="H584" s="6" t="n">
        <x:v>5.5</x:v>
      </x:c>
      <x:c r="I584" s="5" t="n">
        <x:v>35</x:v>
      </x:c>
      <x:c r="J584" s="5" t="inlineStr">
        <x:is>
          <x:t xml:space="preserve">기본</x:t>
        </x:is>
      </x:c>
      <x:c r="K584" s="7" t="inlineStr">
        <x:is>
          <x:t xml:space="preserve">담수</x:t>
        </x:is>
      </x:c>
      <x:c r="L584" s="7" t="inlineStr">
        <x:is>
          <x:t xml:space="preserve">담수</x:t>
        </x:is>
      </x:c>
      <x:c r="M584" s="7" t="inlineStr">
        <x:is>
          <x:t xml:space="preserve">온대</x:t>
        </x:is>
      </x:c>
      <x:c r="N584" s="7" t="inlineStr">
        <x:is>
          <x:t xml:space="preserve">수중</x:t>
        </x:is>
      </x:c>
      <x:c r="O584" s="7" t="inlineStr">
        <x:is>
          <x:t xml:space="preserve">비</x:t>
        </x:is>
      </x:c>
      <x:c r="P584" s="7" t="inlineStr">
        <x:is>
          <x:t xml:space="preserve">낮</x:t>
        </x:is>
      </x:c>
      <x:c r="Q584" s="7" t="inlineStr">
        <x:is>
          <x:t xml:space="preserve">보통</x:t>
        </x:is>
      </x:c>
      <x:c r="R584" s="7" t="inlineStr">
        <x:is>
          <x:t xml:space="preserve">없음</x:t>
        </x:is>
      </x:c>
      <x:c r="S584" s="7" t="inlineStr">
        <x:is>
          <x:t xml:space="preserve">담수</x:t>
        </x:is>
      </x:c>
      <x:c r="T584" s="7" t="inlineStr">
        <x:is>
          <x:t xml:space="preserve"/>
        </x:is>
      </x:c>
      <x:c r="U584" s="8" t="str">
        <x:f>INDEX('서식지_점수'!$E$4:$P$4,1,MATCH(MAX('서식지_점수'!E584:P584),'서식지_점수'!E584:P584,0))</x:f>
        <x:v>담수</x:v>
      </x:c>
      <x:c r="V584" s="8" t="str">
        <x:f>IF(T584&lt;&gt;"",T584,U584)</x:f>
        <x:v>담수</x:v>
      </x:c>
      <x:c r="W584" s="8" t="str">
        <x:f>IFERROR(INDEX('서식지_점수'!$E$4:$P$4,1,MATCH(MAXIFS('서식지_점수'!E584:P584,'서식지_점수'!E584:P584,"&lt;"&amp;MAX('서식지_점수'!E584:P584)),'서식지_점수'!E584:P584,0)),"")</x:f>
        <x:v>습지</x:v>
      </x:c>
      <x:c r="X584" s="8" t="str">
        <x:f>IF(T584&lt;&gt;"","수동확정",IF(MAX('서식지_점수'!E584:P584)-LARGE('서식지_점수'!E584:P584,2)&gt;=15,"높음",IF(MAX('서식지_점수'!E584:P584)-LARGE('서식지_점수'!E584:P584,2)&gt;=8,"보통","검토필요")))</x:f>
        <x:v>높음</x:v>
      </x:c>
      <x:c r="Y584" s="9" t="n">
        <x:f>IF(Q584="전설",8,IF(Q584="희귀",7,IF(J584="기본",1,IF(J584="중간",3,IF(J584="최종",IF(I584="",5,IF(I584&lt;=20,3,IF(I584&lt;=35,4,IF(I584&lt;=50,6,7)))),IF(Q584="드묾",4,2))))))</x:f>
        <x:v>1</x:v>
      </x:c>
      <x:c r="Z584" s="5" t="inlineStr">
        <x:is>
          <x:t xml:space="preserve">#aether:is_aether; #cobblemon:is_freshwater; #cobblemon:is_sky</x:t>
        </x:is>
      </x:c>
      <x:c r="AA584" s="5" t="inlineStr">
        <x:is>
          <x:t xml:space="preserve">common; uncommon</x:t>
        </x:is>
      </x:c>
      <x:c r="AB584" s="5" t="inlineStr">
        <x:is>
          <x:t xml:space="preserve">예</x:t>
        </x:is>
      </x:c>
      <x:c r="AC584" s="8" t="str">
        <x:f>IF(T584&lt;&gt;"","수동확정",IF(X584="검토필요","검토필요",IF(S584="","원본없음","초기완료")))</x:f>
        <x:v>초기완료</x:v>
      </x:c>
      <x:c r="AD584" s="7" t="inlineStr">
        <x:is>
          <x:t xml:space="preserve"/>
        </x:is>
      </x:c>
      <x:c r="AE584" s="5" t="inlineStr">
        <x:is>
          <x:t xml:space="preserve">.tmp/cobblemon-1.7.3-source/common/src/main/resources/data/cobblemon/species/generation5/ducklett.json</x:t>
        </x:is>
      </x:c>
      <x:c r="AF584" s="5" t="str">
        <x:f>"생활권|"&amp;K584</x:f>
        <x:v>생활권|담수</x:v>
      </x:c>
      <x:c r="AG584" s="5" t="str">
        <x:f>"지형|"&amp;L584</x:f>
        <x:v>지형|담수</x:v>
      </x:c>
      <x:c r="AH584" s="5" t="str">
        <x:f>"온도|"&amp;M584</x:f>
        <x:v>온도|온대</x:v>
      </x:c>
      <x:c r="AI584" s="5" t="str">
        <x:f>"습도|"&amp;N584</x:f>
        <x:v>습도|수중</x:v>
      </x:c>
      <x:c r="AJ584" s="5" t="str">
        <x:f>"날씨|"&amp;O584</x:f>
        <x:v>날씨|비</x:v>
      </x:c>
      <x:c r="AK584" s="5" t="str">
        <x:f>"특수태그|"&amp;R584</x:f>
        <x:v>특수태그|없음</x:v>
      </x:c>
      <x:c r="AL584" s="5" t="str">
        <x:f>"원본서식지|"&amp;S584</x:f>
        <x:v>원본서식지|담수</x:v>
      </x:c>
      <x:c r="AM584" s="5" t="str">
        <x:f>"타입|"&amp;F584</x:f>
        <x:v>타입|물</x:v>
      </x:c>
      <x:c r="AN584" s="5" t="str">
        <x:f>"타입|"&amp;G584</x:f>
        <x:v>타입|비행</x:v>
      </x:c>
    </x:row>
    <x:row r="585" ht="24" customHeight="1">
      <x:c r="A585" s="5" t="n">
        <x:v>581</x:v>
      </x:c>
      <x:c r="B585" s="5" t="inlineStr">
        <x:is>
          <x:t xml:space="preserve">스완나</x:t>
        </x:is>
      </x:c>
      <x:c r="C585" s="5" t="inlineStr">
        <x:is>
          <x:t xml:space="preserve">swanna</x:t>
        </x:is>
      </x:c>
      <x:c r="D585" s="5" t="inlineStr">
        <x:is>
          <x:t xml:space="preserve">Swanna</x:t>
        </x:is>
      </x:c>
      <x:c r="E585" s="5" t="n">
        <x:v>5</x:v>
      </x:c>
      <x:c r="F585" s="5" t="inlineStr">
        <x:is>
          <x:t xml:space="preserve">물</x:t>
        </x:is>
      </x:c>
      <x:c r="G585" s="5" t="inlineStr">
        <x:is>
          <x:t xml:space="preserve">비행</x:t>
        </x:is>
      </x:c>
      <x:c r="H585" s="6" t="n">
        <x:v>24.2</x:v>
      </x:c>
      <x:c r="I585" s="5" t="n">
        <x:v>35</x:v>
      </x:c>
      <x:c r="J585" s="5" t="inlineStr">
        <x:is>
          <x:t xml:space="preserve">최종</x:t>
        </x:is>
      </x:c>
      <x:c r="K585" s="7" t="inlineStr">
        <x:is>
          <x:t xml:space="preserve">담수</x:t>
        </x:is>
      </x:c>
      <x:c r="L585" s="7" t="inlineStr">
        <x:is>
          <x:t xml:space="preserve">담수</x:t>
        </x:is>
      </x:c>
      <x:c r="M585" s="7" t="inlineStr">
        <x:is>
          <x:t xml:space="preserve">온대</x:t>
        </x:is>
      </x:c>
      <x:c r="N585" s="7" t="inlineStr">
        <x:is>
          <x:t xml:space="preserve">수중</x:t>
        </x:is>
      </x:c>
      <x:c r="O585" s="7" t="inlineStr">
        <x:is>
          <x:t xml:space="preserve">비</x:t>
        </x:is>
      </x:c>
      <x:c r="P585" s="7" t="inlineStr">
        <x:is>
          <x:t xml:space="preserve">낮</x:t>
        </x:is>
      </x:c>
      <x:c r="Q585" s="7" t="inlineStr">
        <x:is>
          <x:t xml:space="preserve">보통</x:t>
        </x:is>
      </x:c>
      <x:c r="R585" s="7" t="inlineStr">
        <x:is>
          <x:t xml:space="preserve">없음</x:t>
        </x:is>
      </x:c>
      <x:c r="S585" s="7" t="inlineStr">
        <x:is>
          <x:t xml:space="preserve">담수</x:t>
        </x:is>
      </x:c>
      <x:c r="T585" s="7" t="inlineStr">
        <x:is>
          <x:t xml:space="preserve"/>
        </x:is>
      </x:c>
      <x:c r="U585" s="8" t="str">
        <x:f>INDEX('서식지_점수'!$E$4:$P$4,1,MATCH(MAX('서식지_점수'!E585:P585),'서식지_점수'!E585:P585,0))</x:f>
        <x:v>담수</x:v>
      </x:c>
      <x:c r="V585" s="8" t="str">
        <x:f>IF(T585&lt;&gt;"",T585,U585)</x:f>
        <x:v>담수</x:v>
      </x:c>
      <x:c r="W585" s="8" t="str">
        <x:f>IFERROR(INDEX('서식지_점수'!$E$4:$P$4,1,MATCH(MAXIFS('서식지_점수'!E585:P585,'서식지_점수'!E585:P585,"&lt;"&amp;MAX('서식지_점수'!E585:P585)),'서식지_점수'!E585:P585,0)),"")</x:f>
        <x:v>습지</x:v>
      </x:c>
      <x:c r="X585" s="8" t="str">
        <x:f>IF(T585&lt;&gt;"","수동확정",IF(MAX('서식지_점수'!E585:P585)-LARGE('서식지_점수'!E585:P585,2)&gt;=15,"높음",IF(MAX('서식지_점수'!E585:P585)-LARGE('서식지_점수'!E585:P585,2)&gt;=8,"보통","검토필요")))</x:f>
        <x:v>높음</x:v>
      </x:c>
      <x:c r="Y585" s="9" t="n">
        <x:f>IF(Q585="전설",8,IF(Q585="희귀",7,IF(J585="기본",1,IF(J585="중간",3,IF(J585="최종",IF(I585="",5,IF(I585&lt;=20,3,IF(I585&lt;=35,4,IF(I585&lt;=50,6,7)))),IF(Q585="드묾",4,2))))))</x:f>
        <x:v>4</x:v>
      </x:c>
      <x:c r="Z585" s="5" t="inlineStr">
        <x:is>
          <x:t xml:space="preserve">#aether:is_aether; #cobblemon:is_freshwater; #cobblemon:is_sky</x:t>
        </x:is>
      </x:c>
      <x:c r="AA585" s="5" t="inlineStr">
        <x:is>
          <x:t xml:space="preserve">common; uncommon</x:t>
        </x:is>
      </x:c>
      <x:c r="AB585" s="5" t="inlineStr">
        <x:is>
          <x:t xml:space="preserve">예</x:t>
        </x:is>
      </x:c>
      <x:c r="AC585" s="8" t="str">
        <x:f>IF(T585&lt;&gt;"","수동확정",IF(X585="검토필요","검토필요",IF(S585="","원본없음","초기완료")))</x:f>
        <x:v>초기완료</x:v>
      </x:c>
      <x:c r="AD585" s="7" t="inlineStr">
        <x:is>
          <x:t xml:space="preserve"/>
        </x:is>
      </x:c>
      <x:c r="AE585" s="5" t="inlineStr">
        <x:is>
          <x:t xml:space="preserve">.tmp/cobblemon-1.7.3-source/common/src/main/resources/data/cobblemon/species/generation5/swanna.json</x:t>
        </x:is>
      </x:c>
      <x:c r="AF585" s="5" t="str">
        <x:f>"생활권|"&amp;K585</x:f>
        <x:v>생활권|담수</x:v>
      </x:c>
      <x:c r="AG585" s="5" t="str">
        <x:f>"지형|"&amp;L585</x:f>
        <x:v>지형|담수</x:v>
      </x:c>
      <x:c r="AH585" s="5" t="str">
        <x:f>"온도|"&amp;M585</x:f>
        <x:v>온도|온대</x:v>
      </x:c>
      <x:c r="AI585" s="5" t="str">
        <x:f>"습도|"&amp;N585</x:f>
        <x:v>습도|수중</x:v>
      </x:c>
      <x:c r="AJ585" s="5" t="str">
        <x:f>"날씨|"&amp;O585</x:f>
        <x:v>날씨|비</x:v>
      </x:c>
      <x:c r="AK585" s="5" t="str">
        <x:f>"특수태그|"&amp;R585</x:f>
        <x:v>특수태그|없음</x:v>
      </x:c>
      <x:c r="AL585" s="5" t="str">
        <x:f>"원본서식지|"&amp;S585</x:f>
        <x:v>원본서식지|담수</x:v>
      </x:c>
      <x:c r="AM585" s="5" t="str">
        <x:f>"타입|"&amp;F585</x:f>
        <x:v>타입|물</x:v>
      </x:c>
      <x:c r="AN585" s="5" t="str">
        <x:f>"타입|"&amp;G585</x:f>
        <x:v>타입|비행</x:v>
      </x:c>
    </x:row>
    <x:row r="586" ht="24" customHeight="1">
      <x:c r="A586" s="5" t="n">
        <x:v>582</x:v>
      </x:c>
      <x:c r="B586" s="5" t="inlineStr">
        <x:is>
          <x:t xml:space="preserve">바닐프티</x:t>
        </x:is>
      </x:c>
      <x:c r="C586" s="5" t="inlineStr">
        <x:is>
          <x:t xml:space="preserve">vanillite</x:t>
        </x:is>
      </x:c>
      <x:c r="D586" s="5" t="inlineStr">
        <x:is>
          <x:t xml:space="preserve">Vanillite</x:t>
        </x:is>
      </x:c>
      <x:c r="E586" s="5" t="n">
        <x:v>5</x:v>
      </x:c>
      <x:c r="F586" s="5" t="inlineStr">
        <x:is>
          <x:t xml:space="preserve">얼음</x:t>
        </x:is>
      </x:c>
      <x:c r="G586" s="5" t="inlineStr">
        <x:is>
          <x:t xml:space="preserve"/>
        </x:is>
      </x:c>
      <x:c r="H586" s="6" t="n">
        <x:v>5.7</x:v>
      </x:c>
      <x:c r="I586" s="5" t="n">
        <x:v>47</x:v>
      </x:c>
      <x:c r="J586" s="5" t="inlineStr">
        <x:is>
          <x:t xml:space="preserve">기본</x:t>
        </x:is>
      </x:c>
      <x:c r="K586" s="7" t="inlineStr">
        <x:is>
          <x:t xml:space="preserve">비행</x:t>
        </x:is>
      </x:c>
      <x:c r="L586" s="7" t="inlineStr">
        <x:is>
          <x:t xml:space="preserve">화산</x:t>
        </x:is>
      </x:c>
      <x:c r="M586" s="7" t="inlineStr">
        <x:is>
          <x:t xml:space="preserve">한랭</x:t>
        </x:is>
      </x:c>
      <x:c r="N586" s="7" t="inlineStr">
        <x:is>
          <x:t xml:space="preserve">건조</x:t>
        </x:is>
      </x:c>
      <x:c r="O586" s="7" t="inlineStr">
        <x:is>
          <x:t xml:space="preserve">맑음</x:t>
        </x:is>
      </x:c>
      <x:c r="P586" s="7" t="inlineStr">
        <x:is>
          <x:t xml:space="preserve">무관</x:t>
        </x:is>
      </x:c>
      <x:c r="Q586" s="7" t="inlineStr">
        <x:is>
          <x:t xml:space="preserve">보통</x:t>
        </x:is>
      </x:c>
      <x:c r="R586" s="7" t="inlineStr">
        <x:is>
          <x:t xml:space="preserve">화산</x:t>
        </x:is>
      </x:c>
      <x:c r="S586" s="7" t="inlineStr">
        <x:is>
          <x:t xml:space="preserve">화산</x:t>
        </x:is>
      </x:c>
      <x:c r="T586" s="7" t="inlineStr">
        <x:is>
          <x:t xml:space="preserve"/>
        </x:is>
      </x:c>
      <x:c r="U586" s="8" t="str">
        <x:f>INDEX('서식지_점수'!$E$4:$P$4,1,MATCH(MAX('서식지_점수'!E586:P586),'서식지_점수'!E586:P586,0))</x:f>
        <x:v>산악</x:v>
      </x:c>
      <x:c r="V586" s="8" t="str">
        <x:f>IF(T586&lt;&gt;"",T586,U586)</x:f>
        <x:v>산악</x:v>
      </x:c>
      <x:c r="W586" s="8" t="str">
        <x:f>IFERROR(INDEX('서식지_점수'!$E$4:$P$4,1,MATCH(MAXIFS('서식지_점수'!E586:P586,'서식지_점수'!E586:P586,"&lt;"&amp;MAX('서식지_점수'!E586:P586)),'서식지_점수'!E586:P586,0)),"")</x:f>
        <x:v>평원</x:v>
      </x:c>
      <x:c r="X586" s="8" t="str">
        <x:f>IF(T586&lt;&gt;"","수동확정",IF(MAX('서식지_점수'!E586:P586)-LARGE('서식지_점수'!E586:P586,2)&gt;=15,"높음",IF(MAX('서식지_점수'!E586:P586)-LARGE('서식지_점수'!E586:P586,2)&gt;=8,"보통","검토필요")))</x:f>
        <x:v>검토필요</x:v>
      </x:c>
      <x:c r="Y586" s="9" t="n">
        <x:f>IF(Q586="전설",8,IF(Q586="희귀",7,IF(J586="기본",1,IF(J586="중간",3,IF(J586="최종",IF(I586="",5,IF(I586&lt;=20,3,IF(I586&lt;=35,4,IF(I586&lt;=50,6,7)))),IF(Q586="드묾",4,2))))))</x:f>
        <x:v>1</x:v>
      </x:c>
      <x:c r="Z586" s="5" t="inlineStr">
        <x:is>
          <x:t xml:space="preserve">#cobblemon:is_freezing; #cobblemon:nether/is_frozen</x:t>
        </x:is>
      </x:c>
      <x:c r="AA586" s="5" t="inlineStr">
        <x:is>
          <x:t xml:space="preserve">common; uncommon</x:t>
        </x:is>
      </x:c>
      <x:c r="AB586" s="5" t="inlineStr">
        <x:is>
          <x:t xml:space="preserve">예</x:t>
        </x:is>
      </x:c>
      <x:c r="AC586" s="8" t="str">
        <x:f>IF(T586&lt;&gt;"","수동확정",IF(X586="검토필요","검토필요",IF(S586="","원본없음","초기완료")))</x:f>
        <x:v>검토필요</x:v>
      </x:c>
      <x:c r="AD586" s="7" t="inlineStr">
        <x:is>
          <x:t xml:space="preserve"/>
        </x:is>
      </x:c>
      <x:c r="AE586" s="5" t="inlineStr">
        <x:is>
          <x:t xml:space="preserve">.tmp/cobblemon-1.7.3-source/common/src/main/resources/data/cobblemon/species/generation5/vanillite.json</x:t>
        </x:is>
      </x:c>
      <x:c r="AF586" s="5" t="str">
        <x:f>"생활권|"&amp;K586</x:f>
        <x:v>생활권|비행</x:v>
      </x:c>
      <x:c r="AG586" s="5" t="str">
        <x:f>"지형|"&amp;L586</x:f>
        <x:v>지형|화산</x:v>
      </x:c>
      <x:c r="AH586" s="5" t="str">
        <x:f>"온도|"&amp;M586</x:f>
        <x:v>온도|한랭</x:v>
      </x:c>
      <x:c r="AI586" s="5" t="str">
        <x:f>"습도|"&amp;N586</x:f>
        <x:v>습도|건조</x:v>
      </x:c>
      <x:c r="AJ586" s="5" t="str">
        <x:f>"날씨|"&amp;O586</x:f>
        <x:v>날씨|맑음</x:v>
      </x:c>
      <x:c r="AK586" s="5" t="str">
        <x:f>"특수태그|"&amp;R586</x:f>
        <x:v>특수태그|화산</x:v>
      </x:c>
      <x:c r="AL586" s="5" t="str">
        <x:f>"원본서식지|"&amp;S586</x:f>
        <x:v>원본서식지|화산</x:v>
      </x:c>
      <x:c r="AM586" s="5" t="str">
        <x:f>"타입|"&amp;F586</x:f>
        <x:v>타입|얼음</x:v>
      </x:c>
      <x:c r="AN586" s="5" t="str">
        <x:f>"타입|"&amp;G586</x:f>
        <x:v>타입|</x:v>
      </x:c>
    </x:row>
    <x:row r="587" ht="24" customHeight="1">
      <x:c r="A587" s="5" t="n">
        <x:v>583</x:v>
      </x:c>
      <x:c r="B587" s="5" t="inlineStr">
        <x:is>
          <x:t xml:space="preserve">바닐리치</x:t>
        </x:is>
      </x:c>
      <x:c r="C587" s="5" t="inlineStr">
        <x:is>
          <x:t xml:space="preserve">vanillish</x:t>
        </x:is>
      </x:c>
      <x:c r="D587" s="5" t="inlineStr">
        <x:is>
          <x:t xml:space="preserve">Vanillish</x:t>
        </x:is>
      </x:c>
      <x:c r="E587" s="5" t="n">
        <x:v>5</x:v>
      </x:c>
      <x:c r="F587" s="5" t="inlineStr">
        <x:is>
          <x:t xml:space="preserve">얼음</x:t>
        </x:is>
      </x:c>
      <x:c r="G587" s="5" t="inlineStr">
        <x:is>
          <x:t xml:space="preserve"/>
        </x:is>
      </x:c>
      <x:c r="H587" s="6" t="n">
        <x:v>41</x:v>
      </x:c>
      <x:c r="I587" s="5" t="n">
        <x:v>47</x:v>
      </x:c>
      <x:c r="J587" s="5" t="inlineStr">
        <x:is>
          <x:t xml:space="preserve">중간</x:t>
        </x:is>
      </x:c>
      <x:c r="K587" s="7" t="inlineStr">
        <x:is>
          <x:t xml:space="preserve">비행</x:t>
        </x:is>
      </x:c>
      <x:c r="L587" s="7" t="inlineStr">
        <x:is>
          <x:t xml:space="preserve">화산</x:t>
        </x:is>
      </x:c>
      <x:c r="M587" s="7" t="inlineStr">
        <x:is>
          <x:t xml:space="preserve">한랭</x:t>
        </x:is>
      </x:c>
      <x:c r="N587" s="7" t="inlineStr">
        <x:is>
          <x:t xml:space="preserve">건조</x:t>
        </x:is>
      </x:c>
      <x:c r="O587" s="7" t="inlineStr">
        <x:is>
          <x:t xml:space="preserve">맑음</x:t>
        </x:is>
      </x:c>
      <x:c r="P587" s="7" t="inlineStr">
        <x:is>
          <x:t xml:space="preserve">무관</x:t>
        </x:is>
      </x:c>
      <x:c r="Q587" s="7" t="inlineStr">
        <x:is>
          <x:t xml:space="preserve">보통</x:t>
        </x:is>
      </x:c>
      <x:c r="R587" s="7" t="inlineStr">
        <x:is>
          <x:t xml:space="preserve">화산</x:t>
        </x:is>
      </x:c>
      <x:c r="S587" s="7" t="inlineStr">
        <x:is>
          <x:t xml:space="preserve">화산</x:t>
        </x:is>
      </x:c>
      <x:c r="T587" s="7" t="inlineStr">
        <x:is>
          <x:t xml:space="preserve"/>
        </x:is>
      </x:c>
      <x:c r="U587" s="8" t="str">
        <x:f>INDEX('서식지_점수'!$E$4:$P$4,1,MATCH(MAX('서식지_점수'!E587:P587),'서식지_점수'!E587:P587,0))</x:f>
        <x:v>산악</x:v>
      </x:c>
      <x:c r="V587" s="8" t="str">
        <x:f>IF(T587&lt;&gt;"",T587,U587)</x:f>
        <x:v>산악</x:v>
      </x:c>
      <x:c r="W587" s="8" t="str">
        <x:f>IFERROR(INDEX('서식지_점수'!$E$4:$P$4,1,MATCH(MAXIFS('서식지_점수'!E587:P587,'서식지_점수'!E587:P587,"&lt;"&amp;MAX('서식지_점수'!E587:P587)),'서식지_점수'!E587:P587,0)),"")</x:f>
        <x:v>평원</x:v>
      </x:c>
      <x:c r="X587" s="8" t="str">
        <x:f>IF(T587&lt;&gt;"","수동확정",IF(MAX('서식지_점수'!E587:P587)-LARGE('서식지_점수'!E587:P587,2)&gt;=15,"높음",IF(MAX('서식지_점수'!E587:P587)-LARGE('서식지_점수'!E587:P587,2)&gt;=8,"보통","검토필요")))</x:f>
        <x:v>검토필요</x:v>
      </x:c>
      <x:c r="Y587" s="9" t="n">
        <x:f>IF(Q587="전설",8,IF(Q587="희귀",7,IF(J587="기본",1,IF(J587="중간",3,IF(J587="최종",IF(I587="",5,IF(I587&lt;=20,3,IF(I587&lt;=35,4,IF(I587&lt;=50,6,7)))),IF(Q587="드묾",4,2))))))</x:f>
        <x:v>3</x:v>
      </x:c>
      <x:c r="Z587" s="5" t="inlineStr">
        <x:is>
          <x:t xml:space="preserve">#cobblemon:is_freezing; #cobblemon:nether/is_frozen</x:t>
        </x:is>
      </x:c>
      <x:c r="AA587" s="5" t="inlineStr">
        <x:is>
          <x:t xml:space="preserve">common; uncommon</x:t>
        </x:is>
      </x:c>
      <x:c r="AB587" s="5" t="inlineStr">
        <x:is>
          <x:t xml:space="preserve">예</x:t>
        </x:is>
      </x:c>
      <x:c r="AC587" s="8" t="str">
        <x:f>IF(T587&lt;&gt;"","수동확정",IF(X587="검토필요","검토필요",IF(S587="","원본없음","초기완료")))</x:f>
        <x:v>검토필요</x:v>
      </x:c>
      <x:c r="AD587" s="7" t="inlineStr">
        <x:is>
          <x:t xml:space="preserve"/>
        </x:is>
      </x:c>
      <x:c r="AE587" s="5" t="inlineStr">
        <x:is>
          <x:t xml:space="preserve">.tmp/cobblemon-1.7.3-source/common/src/main/resources/data/cobblemon/species/generation5/vanillish.json</x:t>
        </x:is>
      </x:c>
      <x:c r="AF587" s="5" t="str">
        <x:f>"생활권|"&amp;K587</x:f>
        <x:v>생활권|비행</x:v>
      </x:c>
      <x:c r="AG587" s="5" t="str">
        <x:f>"지형|"&amp;L587</x:f>
        <x:v>지형|화산</x:v>
      </x:c>
      <x:c r="AH587" s="5" t="str">
        <x:f>"온도|"&amp;M587</x:f>
        <x:v>온도|한랭</x:v>
      </x:c>
      <x:c r="AI587" s="5" t="str">
        <x:f>"습도|"&amp;N587</x:f>
        <x:v>습도|건조</x:v>
      </x:c>
      <x:c r="AJ587" s="5" t="str">
        <x:f>"날씨|"&amp;O587</x:f>
        <x:v>날씨|맑음</x:v>
      </x:c>
      <x:c r="AK587" s="5" t="str">
        <x:f>"특수태그|"&amp;R587</x:f>
        <x:v>특수태그|화산</x:v>
      </x:c>
      <x:c r="AL587" s="5" t="str">
        <x:f>"원본서식지|"&amp;S587</x:f>
        <x:v>원본서식지|화산</x:v>
      </x:c>
      <x:c r="AM587" s="5" t="str">
        <x:f>"타입|"&amp;F587</x:f>
        <x:v>타입|얼음</x:v>
      </x:c>
      <x:c r="AN587" s="5" t="str">
        <x:f>"타입|"&amp;G587</x:f>
        <x:v>타입|</x:v>
      </x:c>
    </x:row>
    <x:row r="588" ht="24" customHeight="1">
      <x:c r="A588" s="5" t="n">
        <x:v>584</x:v>
      </x:c>
      <x:c r="B588" s="5" t="inlineStr">
        <x:is>
          <x:t xml:space="preserve">배바닐라</x:t>
        </x:is>
      </x:c>
      <x:c r="C588" s="5" t="inlineStr">
        <x:is>
          <x:t xml:space="preserve">vanilluxe</x:t>
        </x:is>
      </x:c>
      <x:c r="D588" s="5" t="inlineStr">
        <x:is>
          <x:t xml:space="preserve">Vanilluxe</x:t>
        </x:is>
      </x:c>
      <x:c r="E588" s="5" t="n">
        <x:v>5</x:v>
      </x:c>
      <x:c r="F588" s="5" t="inlineStr">
        <x:is>
          <x:t xml:space="preserve">얼음</x:t>
        </x:is>
      </x:c>
      <x:c r="G588" s="5" t="inlineStr">
        <x:is>
          <x:t xml:space="preserve"/>
        </x:is>
      </x:c>
      <x:c r="H588" s="6" t="n">
        <x:v>57.5</x:v>
      </x:c>
      <x:c r="I588" s="5" t="n">
        <x:v>47</x:v>
      </x:c>
      <x:c r="J588" s="5" t="inlineStr">
        <x:is>
          <x:t xml:space="preserve">최종</x:t>
        </x:is>
      </x:c>
      <x:c r="K588" s="7" t="inlineStr">
        <x:is>
          <x:t xml:space="preserve">비행</x:t>
        </x:is>
      </x:c>
      <x:c r="L588" s="7" t="inlineStr">
        <x:is>
          <x:t xml:space="preserve">화산</x:t>
        </x:is>
      </x:c>
      <x:c r="M588" s="7" t="inlineStr">
        <x:is>
          <x:t xml:space="preserve">한랭</x:t>
        </x:is>
      </x:c>
      <x:c r="N588" s="7" t="inlineStr">
        <x:is>
          <x:t xml:space="preserve">건조</x:t>
        </x:is>
      </x:c>
      <x:c r="O588" s="7" t="inlineStr">
        <x:is>
          <x:t xml:space="preserve">맑음</x:t>
        </x:is>
      </x:c>
      <x:c r="P588" s="7" t="inlineStr">
        <x:is>
          <x:t xml:space="preserve">무관</x:t>
        </x:is>
      </x:c>
      <x:c r="Q588" s="7" t="inlineStr">
        <x:is>
          <x:t xml:space="preserve">보통</x:t>
        </x:is>
      </x:c>
      <x:c r="R588" s="7" t="inlineStr">
        <x:is>
          <x:t xml:space="preserve">화산</x:t>
        </x:is>
      </x:c>
      <x:c r="S588" s="7" t="inlineStr">
        <x:is>
          <x:t xml:space="preserve">화산</x:t>
        </x:is>
      </x:c>
      <x:c r="T588" s="7" t="inlineStr">
        <x:is>
          <x:t xml:space="preserve"/>
        </x:is>
      </x:c>
      <x:c r="U588" s="8" t="str">
        <x:f>INDEX('서식지_점수'!$E$4:$P$4,1,MATCH(MAX('서식지_점수'!E588:P588),'서식지_점수'!E588:P588,0))</x:f>
        <x:v>산악</x:v>
      </x:c>
      <x:c r="V588" s="8" t="str">
        <x:f>IF(T588&lt;&gt;"",T588,U588)</x:f>
        <x:v>산악</x:v>
      </x:c>
      <x:c r="W588" s="8" t="str">
        <x:f>IFERROR(INDEX('서식지_점수'!$E$4:$P$4,1,MATCH(MAXIFS('서식지_점수'!E588:P588,'서식지_점수'!E588:P588,"&lt;"&amp;MAX('서식지_점수'!E588:P588)),'서식지_점수'!E588:P588,0)),"")</x:f>
        <x:v>평원</x:v>
      </x:c>
      <x:c r="X588" s="8" t="str">
        <x:f>IF(T588&lt;&gt;"","수동확정",IF(MAX('서식지_점수'!E588:P588)-LARGE('서식지_점수'!E588:P588,2)&gt;=15,"높음",IF(MAX('서식지_점수'!E588:P588)-LARGE('서식지_점수'!E588:P588,2)&gt;=8,"보통","검토필요")))</x:f>
        <x:v>검토필요</x:v>
      </x:c>
      <x:c r="Y588" s="9" t="n">
        <x:f>IF(Q588="전설",8,IF(Q588="희귀",7,IF(J588="기본",1,IF(J588="중간",3,IF(J588="최종",IF(I588="",5,IF(I588&lt;=20,3,IF(I588&lt;=35,4,IF(I588&lt;=50,6,7)))),IF(Q588="드묾",4,2))))))</x:f>
        <x:v>6</x:v>
      </x:c>
      <x:c r="Z588" s="5" t="inlineStr">
        <x:is>
          <x:t xml:space="preserve">#cobblemon:is_freezing; #cobblemon:nether/is_frozen</x:t>
        </x:is>
      </x:c>
      <x:c r="AA588" s="5" t="inlineStr">
        <x:is>
          <x:t xml:space="preserve">common; uncommon</x:t>
        </x:is>
      </x:c>
      <x:c r="AB588" s="5" t="inlineStr">
        <x:is>
          <x:t xml:space="preserve">예</x:t>
        </x:is>
      </x:c>
      <x:c r="AC588" s="8" t="str">
        <x:f>IF(T588&lt;&gt;"","수동확정",IF(X588="검토필요","검토필요",IF(S588="","원본없음","초기완료")))</x:f>
        <x:v>검토필요</x:v>
      </x:c>
      <x:c r="AD588" s="7" t="inlineStr">
        <x:is>
          <x:t xml:space="preserve"/>
        </x:is>
      </x:c>
      <x:c r="AE588" s="5" t="inlineStr">
        <x:is>
          <x:t xml:space="preserve">.tmp/cobblemon-1.7.3-source/common/src/main/resources/data/cobblemon/species/generation5/vanilluxe.json</x:t>
        </x:is>
      </x:c>
      <x:c r="AF588" s="5" t="str">
        <x:f>"생활권|"&amp;K588</x:f>
        <x:v>생활권|비행</x:v>
      </x:c>
      <x:c r="AG588" s="5" t="str">
        <x:f>"지형|"&amp;L588</x:f>
        <x:v>지형|화산</x:v>
      </x:c>
      <x:c r="AH588" s="5" t="str">
        <x:f>"온도|"&amp;M588</x:f>
        <x:v>온도|한랭</x:v>
      </x:c>
      <x:c r="AI588" s="5" t="str">
        <x:f>"습도|"&amp;N588</x:f>
        <x:v>습도|건조</x:v>
      </x:c>
      <x:c r="AJ588" s="5" t="str">
        <x:f>"날씨|"&amp;O588</x:f>
        <x:v>날씨|맑음</x:v>
      </x:c>
      <x:c r="AK588" s="5" t="str">
        <x:f>"특수태그|"&amp;R588</x:f>
        <x:v>특수태그|화산</x:v>
      </x:c>
      <x:c r="AL588" s="5" t="str">
        <x:f>"원본서식지|"&amp;S588</x:f>
        <x:v>원본서식지|화산</x:v>
      </x:c>
      <x:c r="AM588" s="5" t="str">
        <x:f>"타입|"&amp;F588</x:f>
        <x:v>타입|얼음</x:v>
      </x:c>
      <x:c r="AN588" s="5" t="str">
        <x:f>"타입|"&amp;G588</x:f>
        <x:v>타입|</x:v>
      </x:c>
    </x:row>
    <x:row r="589" ht="24" customHeight="1">
      <x:c r="A589" s="5" t="n">
        <x:v>585</x:v>
      </x:c>
      <x:c r="B589" s="5" t="inlineStr">
        <x:is>
          <x:t xml:space="preserve">사철록</x:t>
        </x:is>
      </x:c>
      <x:c r="C589" s="5" t="inlineStr">
        <x:is>
          <x:t xml:space="preserve">deerling</x:t>
        </x:is>
      </x:c>
      <x:c r="D589" s="5" t="inlineStr">
        <x:is>
          <x:t xml:space="preserve">Deerling</x:t>
        </x:is>
      </x:c>
      <x:c r="E589" s="5" t="n">
        <x:v>5</x:v>
      </x:c>
      <x:c r="F589" s="5" t="inlineStr">
        <x:is>
          <x:t xml:space="preserve">노말</x:t>
        </x:is>
      </x:c>
      <x:c r="G589" s="5" t="inlineStr">
        <x:is>
          <x:t xml:space="preserve">풀</x:t>
        </x:is>
      </x:c>
      <x:c r="H589" s="6" t="n">
        <x:v>19.5</x:v>
      </x:c>
      <x:c r="I589" s="5" t="n">
        <x:v>34</x:v>
      </x:c>
      <x:c r="J589" s="5" t="inlineStr">
        <x:is>
          <x:t xml:space="preserve">기본</x:t>
        </x:is>
      </x:c>
      <x:c r="K589" s="7" t="inlineStr">
        <x:is>
          <x:t xml:space="preserve">육상</x:t>
        </x:is>
      </x:c>
      <x:c r="L589" s="7" t="inlineStr">
        <x:is>
          <x:t xml:space="preserve">수목</x:t>
        </x:is>
      </x:c>
      <x:c r="M589" s="7" t="inlineStr">
        <x:is>
          <x:t xml:space="preserve">서늘</x:t>
        </x:is>
      </x:c>
      <x:c r="N589" s="7" t="inlineStr">
        <x:is>
          <x:t xml:space="preserve">보통</x:t>
        </x:is>
      </x:c>
      <x:c r="O589" s="7" t="inlineStr">
        <x:is>
          <x:t xml:space="preserve">무관</x:t>
        </x:is>
      </x:c>
      <x:c r="P589" s="7" t="inlineStr">
        <x:is>
          <x:t xml:space="preserve">무관</x:t>
        </x:is>
      </x:c>
      <x:c r="Q589" s="7" t="inlineStr">
        <x:is>
          <x:t xml:space="preserve">보통</x:t>
        </x:is>
      </x:c>
      <x:c r="R589" s="7" t="inlineStr">
        <x:is>
          <x:t xml:space="preserve">없음</x:t>
        </x:is>
      </x:c>
      <x:c r="S589" s="7" t="inlineStr">
        <x:is>
          <x:t xml:space="preserve">숲</x:t>
        </x:is>
      </x:c>
      <x:c r="T589" s="7" t="inlineStr">
        <x:is>
          <x:t xml:space="preserve"/>
        </x:is>
      </x:c>
      <x:c r="U589" s="8" t="str">
        <x:f>INDEX('서식지_점수'!$E$4:$P$4,1,MATCH(MAX('서식지_점수'!E589:P589),'서식지_점수'!E589:P589,0))</x:f>
        <x:v>평원</x:v>
      </x:c>
      <x:c r="V589" s="8" t="str">
        <x:f>IF(T589&lt;&gt;"",T589,U589)</x:f>
        <x:v>평원</x:v>
      </x:c>
      <x:c r="W589" s="8" t="str">
        <x:f>IFERROR(INDEX('서식지_점수'!$E$4:$P$4,1,MATCH(MAXIFS('서식지_점수'!E589:P589,'서식지_점수'!E589:P589,"&lt;"&amp;MAX('서식지_점수'!E589:P589)),'서식지_점수'!E589:P589,0)),"")</x:f>
        <x:v>숲</x:v>
      </x:c>
      <x:c r="X589" s="8" t="str">
        <x:f>IF(T589&lt;&gt;"","수동확정",IF(MAX('서식지_점수'!E589:P589)-LARGE('서식지_점수'!E589:P589,2)&gt;=15,"높음",IF(MAX('서식지_점수'!E589:P589)-LARGE('서식지_점수'!E589:P589,2)&gt;=8,"보통","검토필요")))</x:f>
        <x:v>검토필요</x:v>
      </x:c>
      <x:c r="Y589" s="9" t="n">
        <x:f>IF(Q589="전설",8,IF(Q589="희귀",7,IF(J589="기본",1,IF(J589="중간",3,IF(J589="최종",IF(I589="",5,IF(I589&lt;=20,3,IF(I589&lt;=35,4,IF(I589&lt;=50,6,7)))),IF(Q589="드묾",4,2))))))</x:f>
        <x:v>1</x:v>
      </x:c>
      <x:c r="Z589" s="5" t="inlineStr">
        <x:is>
          <x:t xml:space="preserve">#aether:is_aether; #cobblemon:is_floral; #cobblemon:is_forest; #cobblemon:is_hills; #cobblemon:is_plains; #cobblemon:is_snowy_forest; #cobblemon:is_taiga; the_bumblezone:floral_meadow</x:t>
        </x:is>
      </x:c>
      <x:c r="AA589" s="5" t="inlineStr">
        <x:is>
          <x:t xml:space="preserve">common; uncommon</x:t>
        </x:is>
      </x:c>
      <x:c r="AB589" s="5" t="inlineStr">
        <x:is>
          <x:t xml:space="preserve">예</x:t>
        </x:is>
      </x:c>
      <x:c r="AC589" s="8" t="str">
        <x:f>IF(T589&lt;&gt;"","수동확정",IF(X589="검토필요","검토필요",IF(S589="","원본없음","초기완료")))</x:f>
        <x:v>검토필요</x:v>
      </x:c>
      <x:c r="AD589" s="7" t="inlineStr">
        <x:is>
          <x:t xml:space="preserve"/>
        </x:is>
      </x:c>
      <x:c r="AE589" s="5" t="inlineStr">
        <x:is>
          <x:t xml:space="preserve">.tmp/cobblemon-1.7.3-source/common/src/main/resources/data/cobblemon/species/generation5/deerling.json</x:t>
        </x:is>
      </x:c>
      <x:c r="AF589" s="5" t="str">
        <x:f>"생활권|"&amp;K589</x:f>
        <x:v>생활권|육상</x:v>
      </x:c>
      <x:c r="AG589" s="5" t="str">
        <x:f>"지형|"&amp;L589</x:f>
        <x:v>지형|수목</x:v>
      </x:c>
      <x:c r="AH589" s="5" t="str">
        <x:f>"온도|"&amp;M589</x:f>
        <x:v>온도|서늘</x:v>
      </x:c>
      <x:c r="AI589" s="5" t="str">
        <x:f>"습도|"&amp;N589</x:f>
        <x:v>습도|보통</x:v>
      </x:c>
      <x:c r="AJ589" s="5" t="str">
        <x:f>"날씨|"&amp;O589</x:f>
        <x:v>날씨|무관</x:v>
      </x:c>
      <x:c r="AK589" s="5" t="str">
        <x:f>"특수태그|"&amp;R589</x:f>
        <x:v>특수태그|없음</x:v>
      </x:c>
      <x:c r="AL589" s="5" t="str">
        <x:f>"원본서식지|"&amp;S589</x:f>
        <x:v>원본서식지|숲</x:v>
      </x:c>
      <x:c r="AM589" s="5" t="str">
        <x:f>"타입|"&amp;F589</x:f>
        <x:v>타입|노말</x:v>
      </x:c>
      <x:c r="AN589" s="5" t="str">
        <x:f>"타입|"&amp;G589</x:f>
        <x:v>타입|풀</x:v>
      </x:c>
    </x:row>
    <x:row r="590" ht="24" customHeight="1">
      <x:c r="A590" s="5" t="n">
        <x:v>586</x:v>
      </x:c>
      <x:c r="B590" s="5" t="inlineStr">
        <x:is>
          <x:t xml:space="preserve">바라철록</x:t>
        </x:is>
      </x:c>
      <x:c r="C590" s="5" t="inlineStr">
        <x:is>
          <x:t xml:space="preserve">sawsbuck</x:t>
        </x:is>
      </x:c>
      <x:c r="D590" s="5" t="inlineStr">
        <x:is>
          <x:t xml:space="preserve">Sawsbuck</x:t>
        </x:is>
      </x:c>
      <x:c r="E590" s="5" t="n">
        <x:v>5</x:v>
      </x:c>
      <x:c r="F590" s="5" t="inlineStr">
        <x:is>
          <x:t xml:space="preserve">노말</x:t>
        </x:is>
      </x:c>
      <x:c r="G590" s="5" t="inlineStr">
        <x:is>
          <x:t xml:space="preserve">풀</x:t>
        </x:is>
      </x:c>
      <x:c r="H590" s="6" t="n">
        <x:v>92.5</x:v>
      </x:c>
      <x:c r="I590" s="5" t="n">
        <x:v>34</x:v>
      </x:c>
      <x:c r="J590" s="5" t="inlineStr">
        <x:is>
          <x:t xml:space="preserve">최종</x:t>
        </x:is>
      </x:c>
      <x:c r="K590" s="7" t="inlineStr">
        <x:is>
          <x:t xml:space="preserve">육상</x:t>
        </x:is>
      </x:c>
      <x:c r="L590" s="7" t="inlineStr">
        <x:is>
          <x:t xml:space="preserve">수목</x:t>
        </x:is>
      </x:c>
      <x:c r="M590" s="7" t="inlineStr">
        <x:is>
          <x:t xml:space="preserve">서늘</x:t>
        </x:is>
      </x:c>
      <x:c r="N590" s="7" t="inlineStr">
        <x:is>
          <x:t xml:space="preserve">보통</x:t>
        </x:is>
      </x:c>
      <x:c r="O590" s="7" t="inlineStr">
        <x:is>
          <x:t xml:space="preserve">무관</x:t>
        </x:is>
      </x:c>
      <x:c r="P590" s="7" t="inlineStr">
        <x:is>
          <x:t xml:space="preserve">무관</x:t>
        </x:is>
      </x:c>
      <x:c r="Q590" s="7" t="inlineStr">
        <x:is>
          <x:t xml:space="preserve">보통</x:t>
        </x:is>
      </x:c>
      <x:c r="R590" s="7" t="inlineStr">
        <x:is>
          <x:t xml:space="preserve">없음</x:t>
        </x:is>
      </x:c>
      <x:c r="S590" s="7" t="inlineStr">
        <x:is>
          <x:t xml:space="preserve">숲</x:t>
        </x:is>
      </x:c>
      <x:c r="T590" s="7" t="inlineStr">
        <x:is>
          <x:t xml:space="preserve"/>
        </x:is>
      </x:c>
      <x:c r="U590" s="8" t="str">
        <x:f>INDEX('서식지_점수'!$E$4:$P$4,1,MATCH(MAX('서식지_점수'!E590:P590),'서식지_점수'!E590:P590,0))</x:f>
        <x:v>평원</x:v>
      </x:c>
      <x:c r="V590" s="8" t="str">
        <x:f>IF(T590&lt;&gt;"",T590,U590)</x:f>
        <x:v>평원</x:v>
      </x:c>
      <x:c r="W590" s="8" t="str">
        <x:f>IFERROR(INDEX('서식지_점수'!$E$4:$P$4,1,MATCH(MAXIFS('서식지_점수'!E590:P590,'서식지_점수'!E590:P590,"&lt;"&amp;MAX('서식지_점수'!E590:P590)),'서식지_점수'!E590:P590,0)),"")</x:f>
        <x:v>숲</x:v>
      </x:c>
      <x:c r="X590" s="8" t="str">
        <x:f>IF(T590&lt;&gt;"","수동확정",IF(MAX('서식지_점수'!E590:P590)-LARGE('서식지_점수'!E590:P590,2)&gt;=15,"높음",IF(MAX('서식지_점수'!E590:P590)-LARGE('서식지_점수'!E590:P590,2)&gt;=8,"보통","검토필요")))</x:f>
        <x:v>검토필요</x:v>
      </x:c>
      <x:c r="Y590" s="9" t="n">
        <x:f>IF(Q590="전설",8,IF(Q590="희귀",7,IF(J590="기본",1,IF(J590="중간",3,IF(J590="최종",IF(I590="",5,IF(I590&lt;=20,3,IF(I590&lt;=35,4,IF(I590&lt;=50,6,7)))),IF(Q590="드묾",4,2))))))</x:f>
        <x:v>4</x:v>
      </x:c>
      <x:c r="Z590" s="5" t="inlineStr">
        <x:is>
          <x:t xml:space="preserve">#aether:is_aether; #cobblemon:is_floral; #cobblemon:is_forest; #cobblemon:is_hills; #cobblemon:is_plains; #cobblemon:is_snowy_forest; #cobblemon:is_taiga; the_bumblezone:floral_meadow</x:t>
        </x:is>
      </x:c>
      <x:c r="AA590" s="5" t="inlineStr">
        <x:is>
          <x:t xml:space="preserve">common; uncommon</x:t>
        </x:is>
      </x:c>
      <x:c r="AB590" s="5" t="inlineStr">
        <x:is>
          <x:t xml:space="preserve">예</x:t>
        </x:is>
      </x:c>
      <x:c r="AC590" s="8" t="str">
        <x:f>IF(T590&lt;&gt;"","수동확정",IF(X590="검토필요","검토필요",IF(S590="","원본없음","초기완료")))</x:f>
        <x:v>검토필요</x:v>
      </x:c>
      <x:c r="AD590" s="7" t="inlineStr">
        <x:is>
          <x:t xml:space="preserve"/>
        </x:is>
      </x:c>
      <x:c r="AE590" s="5" t="inlineStr">
        <x:is>
          <x:t xml:space="preserve">.tmp/cobblemon-1.7.3-source/common/src/main/resources/data/cobblemon/species/generation5/sawsbuck.json</x:t>
        </x:is>
      </x:c>
      <x:c r="AF590" s="5" t="str">
        <x:f>"생활권|"&amp;K590</x:f>
        <x:v>생활권|육상</x:v>
      </x:c>
      <x:c r="AG590" s="5" t="str">
        <x:f>"지형|"&amp;L590</x:f>
        <x:v>지형|수목</x:v>
      </x:c>
      <x:c r="AH590" s="5" t="str">
        <x:f>"온도|"&amp;M590</x:f>
        <x:v>온도|서늘</x:v>
      </x:c>
      <x:c r="AI590" s="5" t="str">
        <x:f>"습도|"&amp;N590</x:f>
        <x:v>습도|보통</x:v>
      </x:c>
      <x:c r="AJ590" s="5" t="str">
        <x:f>"날씨|"&amp;O590</x:f>
        <x:v>날씨|무관</x:v>
      </x:c>
      <x:c r="AK590" s="5" t="str">
        <x:f>"특수태그|"&amp;R590</x:f>
        <x:v>특수태그|없음</x:v>
      </x:c>
      <x:c r="AL590" s="5" t="str">
        <x:f>"원본서식지|"&amp;S590</x:f>
        <x:v>원본서식지|숲</x:v>
      </x:c>
      <x:c r="AM590" s="5" t="str">
        <x:f>"타입|"&amp;F590</x:f>
        <x:v>타입|노말</x:v>
      </x:c>
      <x:c r="AN590" s="5" t="str">
        <x:f>"타입|"&amp;G590</x:f>
        <x:v>타입|풀</x:v>
      </x:c>
    </x:row>
    <x:row r="591" ht="24" customHeight="1">
      <x:c r="A591" s="5" t="n">
        <x:v>587</x:v>
      </x:c>
      <x:c r="B591" s="5" t="inlineStr">
        <x:is>
          <x:t xml:space="preserve">에몽가</x:t>
        </x:is>
      </x:c>
      <x:c r="C591" s="5" t="inlineStr">
        <x:is>
          <x:t xml:space="preserve">emolga</x:t>
        </x:is>
      </x:c>
      <x:c r="D591" s="5" t="inlineStr">
        <x:is>
          <x:t xml:space="preserve">Emolga</x:t>
        </x:is>
      </x:c>
      <x:c r="E591" s="5" t="n">
        <x:v>5</x:v>
      </x:c>
      <x:c r="F591" s="5" t="inlineStr">
        <x:is>
          <x:t xml:space="preserve">전기</x:t>
        </x:is>
      </x:c>
      <x:c r="G591" s="5" t="inlineStr">
        <x:is>
          <x:t xml:space="preserve">비행</x:t>
        </x:is>
      </x:c>
      <x:c r="H591" s="6" t="n">
        <x:v>5</x:v>
      </x:c>
      <x:c r="I591" s="5" t="n"/>
      <x:c r="J591" s="5" t="inlineStr">
        <x:is>
          <x:t xml:space="preserve">무진화</x:t>
        </x:is>
      </x:c>
      <x:c r="K591" s="7" t="inlineStr">
        <x:is>
          <x:t xml:space="preserve">비행</x:t>
        </x:is>
      </x:c>
      <x:c r="L591" s="7" t="inlineStr">
        <x:is>
          <x:t xml:space="preserve">수목</x:t>
        </x:is>
      </x:c>
      <x:c r="M591" s="7" t="inlineStr">
        <x:is>
          <x:t xml:space="preserve">서늘</x:t>
        </x:is>
      </x:c>
      <x:c r="N591" s="7" t="inlineStr">
        <x:is>
          <x:t xml:space="preserve">보통</x:t>
        </x:is>
      </x:c>
      <x:c r="O591" s="7" t="inlineStr">
        <x:is>
          <x:t xml:space="preserve">무관</x:t>
        </x:is>
      </x:c>
      <x:c r="P591" s="7" t="inlineStr">
        <x:is>
          <x:t xml:space="preserve">무관</x:t>
        </x:is>
      </x:c>
      <x:c r="Q591" s="7" t="inlineStr">
        <x:is>
          <x:t xml:space="preserve">보통</x:t>
        </x:is>
      </x:c>
      <x:c r="R591" s="7" t="inlineStr">
        <x:is>
          <x:t xml:space="preserve">없음</x:t>
        </x:is>
      </x:c>
      <x:c r="S591" s="7" t="inlineStr">
        <x:is>
          <x:t xml:space="preserve">숲</x:t>
        </x:is>
      </x:c>
      <x:c r="T591" s="7" t="inlineStr">
        <x:is>
          <x:t xml:space="preserve"/>
        </x:is>
      </x:c>
      <x:c r="U591" s="8" t="str">
        <x:f>INDEX('서식지_점수'!$E$4:$P$4,1,MATCH(MAX('서식지_점수'!E591:P591),'서식지_점수'!E591:P591,0))</x:f>
        <x:v>산악</x:v>
      </x:c>
      <x:c r="V591" s="8" t="str">
        <x:f>IF(T591&lt;&gt;"",T591,U591)</x:f>
        <x:v>산악</x:v>
      </x:c>
      <x:c r="W591" s="8" t="str">
        <x:f>IFERROR(INDEX('서식지_점수'!$E$4:$P$4,1,MATCH(MAXIFS('서식지_점수'!E591:P591,'서식지_점수'!E591:P591,"&lt;"&amp;MAX('서식지_점수'!E591:P591)),'서식지_점수'!E591:P591,0)),"")</x:f>
        <x:v>평원</x:v>
      </x:c>
      <x:c r="X591" s="8" t="str">
        <x:f>IF(T591&lt;&gt;"","수동확정",IF(MAX('서식지_점수'!E591:P591)-LARGE('서식지_점수'!E591:P591,2)&gt;=15,"높음",IF(MAX('서식지_점수'!E591:P591)-LARGE('서식지_점수'!E591:P591,2)&gt;=8,"보통","검토필요")))</x:f>
        <x:v>검토필요</x:v>
      </x:c>
      <x:c r="Y591" s="9" t="n">
        <x:f>IF(Q591="전설",8,IF(Q591="희귀",7,IF(J591="기본",1,IF(J591="중간",3,IF(J591="최종",IF(I591="",5,IF(I591&lt;=20,3,IF(I591&lt;=35,4,IF(I591&lt;=50,6,7)))),IF(Q591="드묾",4,2))))))</x:f>
        <x:v>2</x:v>
      </x:c>
      <x:c r="Z591" s="5" t="inlineStr">
        <x:is>
          <x:t xml:space="preserve">#cobblemon:is_taiga</x:t>
        </x:is>
      </x:c>
      <x:c r="AA591" s="5" t="inlineStr">
        <x:is>
          <x:t xml:space="preserve">uncommon</x:t>
        </x:is>
      </x:c>
      <x:c r="AB591" s="5" t="inlineStr">
        <x:is>
          <x:t xml:space="preserve">예</x:t>
        </x:is>
      </x:c>
      <x:c r="AC591" s="8" t="str">
        <x:f>IF(T591&lt;&gt;"","수동확정",IF(X591="검토필요","검토필요",IF(S591="","원본없음","초기완료")))</x:f>
        <x:v>검토필요</x:v>
      </x:c>
      <x:c r="AD591" s="7" t="inlineStr">
        <x:is>
          <x:t xml:space="preserve"/>
        </x:is>
      </x:c>
      <x:c r="AE591" s="5" t="inlineStr">
        <x:is>
          <x:t xml:space="preserve">.tmp/cobblemon-1.7.3-source/common/src/main/resources/data/cobblemon/species/generation5/emolga.json</x:t>
        </x:is>
      </x:c>
      <x:c r="AF591" s="5" t="str">
        <x:f>"생활권|"&amp;K591</x:f>
        <x:v>생활권|비행</x:v>
      </x:c>
      <x:c r="AG591" s="5" t="str">
        <x:f>"지형|"&amp;L591</x:f>
        <x:v>지형|수목</x:v>
      </x:c>
      <x:c r="AH591" s="5" t="str">
        <x:f>"온도|"&amp;M591</x:f>
        <x:v>온도|서늘</x:v>
      </x:c>
      <x:c r="AI591" s="5" t="str">
        <x:f>"습도|"&amp;N591</x:f>
        <x:v>습도|보통</x:v>
      </x:c>
      <x:c r="AJ591" s="5" t="str">
        <x:f>"날씨|"&amp;O591</x:f>
        <x:v>날씨|무관</x:v>
      </x:c>
      <x:c r="AK591" s="5" t="str">
        <x:f>"특수태그|"&amp;R591</x:f>
        <x:v>특수태그|없음</x:v>
      </x:c>
      <x:c r="AL591" s="5" t="str">
        <x:f>"원본서식지|"&amp;S591</x:f>
        <x:v>원본서식지|숲</x:v>
      </x:c>
      <x:c r="AM591" s="5" t="str">
        <x:f>"타입|"&amp;F591</x:f>
        <x:v>타입|전기</x:v>
      </x:c>
      <x:c r="AN591" s="5" t="str">
        <x:f>"타입|"&amp;G591</x:f>
        <x:v>타입|비행</x:v>
      </x:c>
    </x:row>
    <x:row r="592" ht="24" customHeight="1">
      <x:c r="A592" s="5" t="n">
        <x:v>588</x:v>
      </x:c>
      <x:c r="B592" s="5" t="inlineStr">
        <x:is>
          <x:t xml:space="preserve">딱정곤</x:t>
        </x:is>
      </x:c>
      <x:c r="C592" s="5" t="inlineStr">
        <x:is>
          <x:t xml:space="preserve">karrablast</x:t>
        </x:is>
      </x:c>
      <x:c r="D592" s="5" t="inlineStr">
        <x:is>
          <x:t xml:space="preserve">Karrablast</x:t>
        </x:is>
      </x:c>
      <x:c r="E592" s="5" t="n">
        <x:v>5</x:v>
      </x:c>
      <x:c r="F592" s="5" t="inlineStr">
        <x:is>
          <x:t xml:space="preserve">벌레</x:t>
        </x:is>
      </x:c>
      <x:c r="G592" s="5" t="inlineStr">
        <x:is>
          <x:t xml:space="preserve"/>
        </x:is>
      </x:c>
      <x:c r="H592" s="6" t="n">
        <x:v>5.9</x:v>
      </x:c>
      <x:c r="I592" s="5" t="n"/>
      <x:c r="J592" s="5" t="inlineStr">
        <x:is>
          <x:t xml:space="preserve">기본</x:t>
        </x:is>
      </x:c>
      <x:c r="K592" s="7" t="inlineStr">
        <x:is>
          <x:t xml:space="preserve">육상</x:t>
        </x:is>
      </x:c>
      <x:c r="L592" s="7" t="inlineStr">
        <x:is>
          <x:t xml:space="preserve">습지</x:t>
        </x:is>
      </x:c>
      <x:c r="M592" s="7" t="inlineStr">
        <x:is>
          <x:t xml:space="preserve">온대</x:t>
        </x:is>
      </x:c>
      <x:c r="N592" s="7" t="inlineStr">
        <x:is>
          <x:t xml:space="preserve">다습</x:t>
        </x:is>
      </x:c>
      <x:c r="O592" s="7" t="inlineStr">
        <x:is>
          <x:t xml:space="preserve">비</x:t>
        </x:is>
      </x:c>
      <x:c r="P592" s="7" t="inlineStr">
        <x:is>
          <x:t xml:space="preserve">무관</x:t>
        </x:is>
      </x:c>
      <x:c r="Q592" s="7" t="inlineStr">
        <x:is>
          <x:t xml:space="preserve">흔함</x:t>
        </x:is>
      </x:c>
      <x:c r="R592" s="7" t="inlineStr">
        <x:is>
          <x:t xml:space="preserve">없음</x:t>
        </x:is>
      </x:c>
      <x:c r="S592" s="7" t="inlineStr">
        <x:is>
          <x:t xml:space="preserve">습지</x:t>
        </x:is>
      </x:c>
      <x:c r="T592" s="7" t="inlineStr">
        <x:is>
          <x:t xml:space="preserve"/>
        </x:is>
      </x:c>
      <x:c r="U592" s="8" t="str">
        <x:f>INDEX('서식지_점수'!$E$4:$P$4,1,MATCH(MAX('서식지_점수'!E592:P592),'서식지_점수'!E592:P592,0))</x:f>
        <x:v>평원</x:v>
      </x:c>
      <x:c r="V592" s="8" t="str">
        <x:f>IF(T592&lt;&gt;"",T592,U592)</x:f>
        <x:v>평원</x:v>
      </x:c>
      <x:c r="W592" s="8" t="str">
        <x:f>IFERROR(INDEX('서식지_점수'!$E$4:$P$4,1,MATCH(MAXIFS('서식지_점수'!E592:P592,'서식지_점수'!E592:P592,"&lt;"&amp;MAX('서식지_점수'!E592:P592)),'서식지_점수'!E592:P592,0)),"")</x:f>
        <x:v>숲</x:v>
      </x:c>
      <x:c r="X592" s="8" t="str">
        <x:f>IF(T592&lt;&gt;"","수동확정",IF(MAX('서식지_점수'!E592:P592)-LARGE('서식지_점수'!E592:P592,2)&gt;=15,"높음",IF(MAX('서식지_점수'!E592:P592)-LARGE('서식지_점수'!E592:P592,2)&gt;=8,"보통","검토필요")))</x:f>
        <x:v>검토필요</x:v>
      </x:c>
      <x:c r="Y592" s="9" t="n">
        <x:f>IF(Q592="전설",8,IF(Q592="희귀",7,IF(J592="기본",1,IF(J592="중간",3,IF(J592="최종",IF(I592="",5,IF(I592&lt;=20,3,IF(I592&lt;=35,4,IF(I592&lt;=50,6,7)))),IF(Q592="드묾",4,2))))))</x:f>
        <x:v>1</x:v>
      </x:c>
      <x:c r="Z592" s="5" t="inlineStr">
        <x:is>
          <x:t xml:space="preserve">#cobblemon:is_swamp</x:t>
        </x:is>
      </x:c>
      <x:c r="AA592" s="5" t="inlineStr">
        <x:is>
          <x:t xml:space="preserve">common</x:t>
        </x:is>
      </x:c>
      <x:c r="AB592" s="5" t="inlineStr">
        <x:is>
          <x:t xml:space="preserve">예</x:t>
        </x:is>
      </x:c>
      <x:c r="AC592" s="8" t="str">
        <x:f>IF(T592&lt;&gt;"","수동확정",IF(X592="검토필요","검토필요",IF(S592="","원본없음","초기완료")))</x:f>
        <x:v>검토필요</x:v>
      </x:c>
      <x:c r="AD592" s="7" t="inlineStr">
        <x:is>
          <x:t xml:space="preserve"/>
        </x:is>
      </x:c>
      <x:c r="AE592" s="5" t="inlineStr">
        <x:is>
          <x:t xml:space="preserve">.tmp/cobblemon-1.7.3-source/common/src/main/resources/data/cobblemon/species/generation5/karrablast.json</x:t>
        </x:is>
      </x:c>
      <x:c r="AF592" s="5" t="str">
        <x:f>"생활권|"&amp;K592</x:f>
        <x:v>생활권|육상</x:v>
      </x:c>
      <x:c r="AG592" s="5" t="str">
        <x:f>"지형|"&amp;L592</x:f>
        <x:v>지형|습지</x:v>
      </x:c>
      <x:c r="AH592" s="5" t="str">
        <x:f>"온도|"&amp;M592</x:f>
        <x:v>온도|온대</x:v>
      </x:c>
      <x:c r="AI592" s="5" t="str">
        <x:f>"습도|"&amp;N592</x:f>
        <x:v>습도|다습</x:v>
      </x:c>
      <x:c r="AJ592" s="5" t="str">
        <x:f>"날씨|"&amp;O592</x:f>
        <x:v>날씨|비</x:v>
      </x:c>
      <x:c r="AK592" s="5" t="str">
        <x:f>"특수태그|"&amp;R592</x:f>
        <x:v>특수태그|없음</x:v>
      </x:c>
      <x:c r="AL592" s="5" t="str">
        <x:f>"원본서식지|"&amp;S592</x:f>
        <x:v>원본서식지|습지</x:v>
      </x:c>
      <x:c r="AM592" s="5" t="str">
        <x:f>"타입|"&amp;F592</x:f>
        <x:v>타입|벌레</x:v>
      </x:c>
      <x:c r="AN592" s="5" t="str">
        <x:f>"타입|"&amp;G592</x:f>
        <x:v>타입|</x:v>
      </x:c>
    </x:row>
    <x:row r="593" ht="24" customHeight="1">
      <x:c r="A593" s="5" t="n">
        <x:v>589</x:v>
      </x:c>
      <x:c r="B593" s="5" t="inlineStr">
        <x:is>
          <x:t xml:space="preserve">슈바르고</x:t>
        </x:is>
      </x:c>
      <x:c r="C593" s="5" t="inlineStr">
        <x:is>
          <x:t xml:space="preserve">escavalier</x:t>
        </x:is>
      </x:c>
      <x:c r="D593" s="5" t="inlineStr">
        <x:is>
          <x:t xml:space="preserve">Escavalier</x:t>
        </x:is>
      </x:c>
      <x:c r="E593" s="5" t="n">
        <x:v>5</x:v>
      </x:c>
      <x:c r="F593" s="5" t="inlineStr">
        <x:is>
          <x:t xml:space="preserve">벌레</x:t>
        </x:is>
      </x:c>
      <x:c r="G593" s="5" t="inlineStr">
        <x:is>
          <x:t xml:space="preserve">강철</x:t>
        </x:is>
      </x:c>
      <x:c r="H593" s="6" t="n">
        <x:v>33</x:v>
      </x:c>
      <x:c r="I593" s="5" t="n"/>
      <x:c r="J593" s="5" t="inlineStr">
        <x:is>
          <x:t xml:space="preserve">최종</x:t>
        </x:is>
      </x:c>
      <x:c r="K593" s="7" t="inlineStr">
        <x:is>
          <x:t xml:space="preserve">비행</x:t>
        </x:is>
      </x:c>
      <x:c r="L593" s="7" t="inlineStr">
        <x:is>
          <x:t xml:space="preserve">습지</x:t>
        </x:is>
      </x:c>
      <x:c r="M593" s="7" t="inlineStr">
        <x:is>
          <x:t xml:space="preserve">온대</x:t>
        </x:is>
      </x:c>
      <x:c r="N593" s="7" t="inlineStr">
        <x:is>
          <x:t xml:space="preserve">다습</x:t>
        </x:is>
      </x:c>
      <x:c r="O593" s="7" t="inlineStr">
        <x:is>
          <x:t xml:space="preserve">비</x:t>
        </x:is>
      </x:c>
      <x:c r="P593" s="7" t="inlineStr">
        <x:is>
          <x:t xml:space="preserve">무관</x:t>
        </x:is>
      </x:c>
      <x:c r="Q593" s="7" t="inlineStr">
        <x:is>
          <x:t xml:space="preserve">흔함</x:t>
        </x:is>
      </x:c>
      <x:c r="R593" s="7" t="inlineStr">
        <x:is>
          <x:t xml:space="preserve">없음</x:t>
        </x:is>
      </x:c>
      <x:c r="S593" s="7" t="inlineStr">
        <x:is>
          <x:t xml:space="preserve">습지</x:t>
        </x:is>
      </x:c>
      <x:c r="T593" s="7" t="inlineStr">
        <x:is>
          <x:t xml:space="preserve"/>
        </x:is>
      </x:c>
      <x:c r="U593" s="8" t="str">
        <x:f>INDEX('서식지_점수'!$E$4:$P$4,1,MATCH(MAX('서식지_점수'!E593:P593),'서식지_점수'!E593:P593,0))</x:f>
        <x:v>산악</x:v>
      </x:c>
      <x:c r="V593" s="8" t="str">
        <x:f>IF(T593&lt;&gt;"",T593,U593)</x:f>
        <x:v>산악</x:v>
      </x:c>
      <x:c r="W593" s="8" t="str">
        <x:f>IFERROR(INDEX('서식지_점수'!$E$4:$P$4,1,MATCH(MAXIFS('서식지_점수'!E593:P593,'서식지_점수'!E593:P593,"&lt;"&amp;MAX('서식지_점수'!E593:P593)),'서식지_점수'!E593:P593,0)),"")</x:f>
        <x:v>평원</x:v>
      </x:c>
      <x:c r="X593" s="8" t="str">
        <x:f>IF(T593&lt;&gt;"","수동확정",IF(MAX('서식지_점수'!E593:P593)-LARGE('서식지_점수'!E593:P593,2)&gt;=15,"높음",IF(MAX('서식지_점수'!E593:P593)-LARGE('서식지_점수'!E593:P593,2)&gt;=8,"보통","검토필요")))</x:f>
        <x:v>검토필요</x:v>
      </x:c>
      <x:c r="Y593" s="9" t="n">
        <x:f>IF(Q593="전설",8,IF(Q593="희귀",7,IF(J593="기본",1,IF(J593="중간",3,IF(J593="최종",IF(I593="",5,IF(I593&lt;=20,3,IF(I593&lt;=35,4,IF(I593&lt;=50,6,7)))),IF(Q593="드묾",4,2))))))</x:f>
        <x:v>5</x:v>
      </x:c>
      <x:c r="Z593" s="5" t="inlineStr">
        <x:is>
          <x:t xml:space="preserve">#cobblemon:is_swamp</x:t>
        </x:is>
      </x:c>
      <x:c r="AA593" s="5" t="inlineStr">
        <x:is>
          <x:t xml:space="preserve">common</x:t>
        </x:is>
      </x:c>
      <x:c r="AB593" s="5" t="inlineStr">
        <x:is>
          <x:t xml:space="preserve">예</x:t>
        </x:is>
      </x:c>
      <x:c r="AC593" s="8" t="str">
        <x:f>IF(T593&lt;&gt;"","수동확정",IF(X593="검토필요","검토필요",IF(S593="","원본없음","초기완료")))</x:f>
        <x:v>검토필요</x:v>
      </x:c>
      <x:c r="AD593" s="7" t="inlineStr">
        <x:is>
          <x:t xml:space="preserve"/>
        </x:is>
      </x:c>
      <x:c r="AE593" s="5" t="inlineStr">
        <x:is>
          <x:t xml:space="preserve">.tmp/cobblemon-1.7.3-source/common/src/main/resources/data/cobblemon/species/generation5/escavalier.json</x:t>
        </x:is>
      </x:c>
      <x:c r="AF593" s="5" t="str">
        <x:f>"생활권|"&amp;K593</x:f>
        <x:v>생활권|비행</x:v>
      </x:c>
      <x:c r="AG593" s="5" t="str">
        <x:f>"지형|"&amp;L593</x:f>
        <x:v>지형|습지</x:v>
      </x:c>
      <x:c r="AH593" s="5" t="str">
        <x:f>"온도|"&amp;M593</x:f>
        <x:v>온도|온대</x:v>
      </x:c>
      <x:c r="AI593" s="5" t="str">
        <x:f>"습도|"&amp;N593</x:f>
        <x:v>습도|다습</x:v>
      </x:c>
      <x:c r="AJ593" s="5" t="str">
        <x:f>"날씨|"&amp;O593</x:f>
        <x:v>날씨|비</x:v>
      </x:c>
      <x:c r="AK593" s="5" t="str">
        <x:f>"특수태그|"&amp;R593</x:f>
        <x:v>특수태그|없음</x:v>
      </x:c>
      <x:c r="AL593" s="5" t="str">
        <x:f>"원본서식지|"&amp;S593</x:f>
        <x:v>원본서식지|습지</x:v>
      </x:c>
      <x:c r="AM593" s="5" t="str">
        <x:f>"타입|"&amp;F593</x:f>
        <x:v>타입|벌레</x:v>
      </x:c>
      <x:c r="AN593" s="5" t="str">
        <x:f>"타입|"&amp;G593</x:f>
        <x:v>타입|강철</x:v>
      </x:c>
    </x:row>
    <x:row r="594" ht="24" customHeight="1">
      <x:c r="A594" s="5" t="n">
        <x:v>590</x:v>
      </x:c>
      <x:c r="B594" s="5" t="inlineStr">
        <x:is>
          <x:t xml:space="preserve">깜놀버슬</x:t>
        </x:is>
      </x:c>
      <x:c r="C594" s="5" t="inlineStr">
        <x:is>
          <x:t xml:space="preserve">foongus</x:t>
        </x:is>
      </x:c>
      <x:c r="D594" s="5" t="inlineStr">
        <x:is>
          <x:t xml:space="preserve">Foongus</x:t>
        </x:is>
      </x:c>
      <x:c r="E594" s="5" t="n">
        <x:v>5</x:v>
      </x:c>
      <x:c r="F594" s="5" t="inlineStr">
        <x:is>
          <x:t xml:space="preserve">풀</x:t>
        </x:is>
      </x:c>
      <x:c r="G594" s="5" t="inlineStr">
        <x:is>
          <x:t xml:space="preserve">독</x:t>
        </x:is>
      </x:c>
      <x:c r="H594" s="6" t="n">
        <x:v>1</x:v>
      </x:c>
      <x:c r="I594" s="5" t="n">
        <x:v>39</x:v>
      </x:c>
      <x:c r="J594" s="5" t="inlineStr">
        <x:is>
          <x:t xml:space="preserve">기본</x:t>
        </x:is>
      </x:c>
      <x:c r="K594" s="7" t="inlineStr">
        <x:is>
          <x:t xml:space="preserve">육상</x:t>
        </x:is>
      </x:c>
      <x:c r="L594" s="7" t="inlineStr">
        <x:is>
          <x:t xml:space="preserve">습지</x:t>
        </x:is>
      </x:c>
      <x:c r="M594" s="7" t="inlineStr">
        <x:is>
          <x:t xml:space="preserve">온대</x:t>
        </x:is>
      </x:c>
      <x:c r="N594" s="7" t="inlineStr">
        <x:is>
          <x:t xml:space="preserve">다습</x:t>
        </x:is>
      </x:c>
      <x:c r="O594" s="7" t="inlineStr">
        <x:is>
          <x:t xml:space="preserve">비</x:t>
        </x:is>
      </x:c>
      <x:c r="P594" s="7" t="inlineStr">
        <x:is>
          <x:t xml:space="preserve">무관</x:t>
        </x:is>
      </x:c>
      <x:c r="Q594" s="7" t="inlineStr">
        <x:is>
          <x:t xml:space="preserve">흔함</x:t>
        </x:is>
      </x:c>
      <x:c r="R594" s="7" t="inlineStr">
        <x:is>
          <x:t xml:space="preserve">없음</x:t>
        </x:is>
      </x:c>
      <x:c r="S594" s="7" t="inlineStr">
        <x:is>
          <x:t xml:space="preserve">습지</x:t>
        </x:is>
      </x:c>
      <x:c r="T594" s="7" t="inlineStr">
        <x:is>
          <x:t xml:space="preserve"/>
        </x:is>
      </x:c>
      <x:c r="U594" s="8" t="str">
        <x:f>INDEX('서식지_점수'!$E$4:$P$4,1,MATCH(MAX('서식지_점수'!E594:P594),'서식지_점수'!E594:P594,0))</x:f>
        <x:v>평원</x:v>
      </x:c>
      <x:c r="V594" s="8" t="str">
        <x:f>IF(T594&lt;&gt;"",T594,U594)</x:f>
        <x:v>평원</x:v>
      </x:c>
      <x:c r="W594" s="8" t="str">
        <x:f>IFERROR(INDEX('서식지_점수'!$E$4:$P$4,1,MATCH(MAXIFS('서식지_점수'!E594:P594,'서식지_점수'!E594:P594,"&lt;"&amp;MAX('서식지_점수'!E594:P594)),'서식지_점수'!E594:P594,0)),"")</x:f>
        <x:v>숲</x:v>
      </x:c>
      <x:c r="X594" s="8" t="str">
        <x:f>IF(T594&lt;&gt;"","수동확정",IF(MAX('서식지_점수'!E594:P594)-LARGE('서식지_점수'!E594:P594,2)&gt;=15,"높음",IF(MAX('서식지_점수'!E594:P594)-LARGE('서식지_점수'!E594:P594,2)&gt;=8,"보통","검토필요")))</x:f>
        <x:v>검토필요</x:v>
      </x:c>
      <x:c r="Y594" s="9" t="n">
        <x:f>IF(Q594="전설",8,IF(Q594="희귀",7,IF(J594="기본",1,IF(J594="중간",3,IF(J594="최종",IF(I594="",5,IF(I594&lt;=20,3,IF(I594&lt;=35,4,IF(I594&lt;=50,6,7)))),IF(Q594="드묾",4,2))))))</x:f>
        <x:v>1</x:v>
      </x:c>
      <x:c r="Z594" s="5" t="inlineStr">
        <x:is>
          <x:t xml:space="preserve">#cobblemon:is_mushroom; #cobblemon:is_swamp</x:t>
        </x:is>
      </x:c>
      <x:c r="AA594" s="5" t="inlineStr">
        <x:is>
          <x:t xml:space="preserve">common</x:t>
        </x:is>
      </x:c>
      <x:c r="AB594" s="5" t="inlineStr">
        <x:is>
          <x:t xml:space="preserve">예</x:t>
        </x:is>
      </x:c>
      <x:c r="AC594" s="8" t="str">
        <x:f>IF(T594&lt;&gt;"","수동확정",IF(X594="검토필요","검토필요",IF(S594="","원본없음","초기완료")))</x:f>
        <x:v>검토필요</x:v>
      </x:c>
      <x:c r="AD594" s="7" t="inlineStr">
        <x:is>
          <x:t xml:space="preserve"/>
        </x:is>
      </x:c>
      <x:c r="AE594" s="5" t="inlineStr">
        <x:is>
          <x:t xml:space="preserve">.tmp/cobblemon-1.7.3-source/common/src/main/resources/data/cobblemon/species/generation5/foongus.json</x:t>
        </x:is>
      </x:c>
      <x:c r="AF594" s="5" t="str">
        <x:f>"생활권|"&amp;K594</x:f>
        <x:v>생활권|육상</x:v>
      </x:c>
      <x:c r="AG594" s="5" t="str">
        <x:f>"지형|"&amp;L594</x:f>
        <x:v>지형|습지</x:v>
      </x:c>
      <x:c r="AH594" s="5" t="str">
        <x:f>"온도|"&amp;M594</x:f>
        <x:v>온도|온대</x:v>
      </x:c>
      <x:c r="AI594" s="5" t="str">
        <x:f>"습도|"&amp;N594</x:f>
        <x:v>습도|다습</x:v>
      </x:c>
      <x:c r="AJ594" s="5" t="str">
        <x:f>"날씨|"&amp;O594</x:f>
        <x:v>날씨|비</x:v>
      </x:c>
      <x:c r="AK594" s="5" t="str">
        <x:f>"특수태그|"&amp;R594</x:f>
        <x:v>특수태그|없음</x:v>
      </x:c>
      <x:c r="AL594" s="5" t="str">
        <x:f>"원본서식지|"&amp;S594</x:f>
        <x:v>원본서식지|습지</x:v>
      </x:c>
      <x:c r="AM594" s="5" t="str">
        <x:f>"타입|"&amp;F594</x:f>
        <x:v>타입|풀</x:v>
      </x:c>
      <x:c r="AN594" s="5" t="str">
        <x:f>"타입|"&amp;G594</x:f>
        <x:v>타입|독</x:v>
      </x:c>
    </x:row>
    <x:row r="595" ht="24" customHeight="1">
      <x:c r="A595" s="5" t="n">
        <x:v>591</x:v>
      </x:c>
      <x:c r="B595" s="5" t="inlineStr">
        <x:is>
          <x:t xml:space="preserve">뽀록나</x:t>
        </x:is>
      </x:c>
      <x:c r="C595" s="5" t="inlineStr">
        <x:is>
          <x:t xml:space="preserve">amoonguss</x:t>
        </x:is>
      </x:c>
      <x:c r="D595" s="5" t="inlineStr">
        <x:is>
          <x:t xml:space="preserve">Amoonguss</x:t>
        </x:is>
      </x:c>
      <x:c r="E595" s="5" t="n">
        <x:v>5</x:v>
      </x:c>
      <x:c r="F595" s="5" t="inlineStr">
        <x:is>
          <x:t xml:space="preserve">풀</x:t>
        </x:is>
      </x:c>
      <x:c r="G595" s="5" t="inlineStr">
        <x:is>
          <x:t xml:space="preserve">독</x:t>
        </x:is>
      </x:c>
      <x:c r="H595" s="6" t="n">
        <x:v>10.5</x:v>
      </x:c>
      <x:c r="I595" s="5" t="n">
        <x:v>39</x:v>
      </x:c>
      <x:c r="J595" s="5" t="inlineStr">
        <x:is>
          <x:t xml:space="preserve">최종</x:t>
        </x:is>
      </x:c>
      <x:c r="K595" s="7" t="inlineStr">
        <x:is>
          <x:t xml:space="preserve">육상</x:t>
        </x:is>
      </x:c>
      <x:c r="L595" s="7" t="inlineStr">
        <x:is>
          <x:t xml:space="preserve">습지</x:t>
        </x:is>
      </x:c>
      <x:c r="M595" s="7" t="inlineStr">
        <x:is>
          <x:t xml:space="preserve">온대</x:t>
        </x:is>
      </x:c>
      <x:c r="N595" s="7" t="inlineStr">
        <x:is>
          <x:t xml:space="preserve">다습</x:t>
        </x:is>
      </x:c>
      <x:c r="O595" s="7" t="inlineStr">
        <x:is>
          <x:t xml:space="preserve">비</x:t>
        </x:is>
      </x:c>
      <x:c r="P595" s="7" t="inlineStr">
        <x:is>
          <x:t xml:space="preserve">무관</x:t>
        </x:is>
      </x:c>
      <x:c r="Q595" s="7" t="inlineStr">
        <x:is>
          <x:t xml:space="preserve">흔함</x:t>
        </x:is>
      </x:c>
      <x:c r="R595" s="7" t="inlineStr">
        <x:is>
          <x:t xml:space="preserve">없음</x:t>
        </x:is>
      </x:c>
      <x:c r="S595" s="7" t="inlineStr">
        <x:is>
          <x:t xml:space="preserve">습지</x:t>
        </x:is>
      </x:c>
      <x:c r="T595" s="7" t="inlineStr">
        <x:is>
          <x:t xml:space="preserve"/>
        </x:is>
      </x:c>
      <x:c r="U595" s="8" t="str">
        <x:f>INDEX('서식지_점수'!$E$4:$P$4,1,MATCH(MAX('서식지_점수'!E595:P595),'서식지_점수'!E595:P595,0))</x:f>
        <x:v>평원</x:v>
      </x:c>
      <x:c r="V595" s="8" t="str">
        <x:f>IF(T595&lt;&gt;"",T595,U595)</x:f>
        <x:v>평원</x:v>
      </x:c>
      <x:c r="W595" s="8" t="str">
        <x:f>IFERROR(INDEX('서식지_점수'!$E$4:$P$4,1,MATCH(MAXIFS('서식지_점수'!E595:P595,'서식지_점수'!E595:P595,"&lt;"&amp;MAX('서식지_점수'!E595:P595)),'서식지_점수'!E595:P595,0)),"")</x:f>
        <x:v>숲</x:v>
      </x:c>
      <x:c r="X595" s="8" t="str">
        <x:f>IF(T595&lt;&gt;"","수동확정",IF(MAX('서식지_점수'!E595:P595)-LARGE('서식지_점수'!E595:P595,2)&gt;=15,"높음",IF(MAX('서식지_점수'!E595:P595)-LARGE('서식지_점수'!E595:P595,2)&gt;=8,"보통","검토필요")))</x:f>
        <x:v>검토필요</x:v>
      </x:c>
      <x:c r="Y595" s="9" t="n">
        <x:f>IF(Q595="전설",8,IF(Q595="희귀",7,IF(J595="기본",1,IF(J595="중간",3,IF(J595="최종",IF(I595="",5,IF(I595&lt;=20,3,IF(I595&lt;=35,4,IF(I595&lt;=50,6,7)))),IF(Q595="드묾",4,2))))))</x:f>
        <x:v>6</x:v>
      </x:c>
      <x:c r="Z595" s="5" t="inlineStr">
        <x:is>
          <x:t xml:space="preserve">#cobblemon:is_mushroom; #cobblemon:is_swamp</x:t>
        </x:is>
      </x:c>
      <x:c r="AA595" s="5" t="inlineStr">
        <x:is>
          <x:t xml:space="preserve">common</x:t>
        </x:is>
      </x:c>
      <x:c r="AB595" s="5" t="inlineStr">
        <x:is>
          <x:t xml:space="preserve">예</x:t>
        </x:is>
      </x:c>
      <x:c r="AC595" s="8" t="str">
        <x:f>IF(T595&lt;&gt;"","수동확정",IF(X595="검토필요","검토필요",IF(S595="","원본없음","초기완료")))</x:f>
        <x:v>검토필요</x:v>
      </x:c>
      <x:c r="AD595" s="7" t="inlineStr">
        <x:is>
          <x:t xml:space="preserve"/>
        </x:is>
      </x:c>
      <x:c r="AE595" s="5" t="inlineStr">
        <x:is>
          <x:t xml:space="preserve">.tmp/cobblemon-1.7.3-source/common/src/main/resources/data/cobblemon/species/generation5/amoonguss.json</x:t>
        </x:is>
      </x:c>
      <x:c r="AF595" s="5" t="str">
        <x:f>"생활권|"&amp;K595</x:f>
        <x:v>생활권|육상</x:v>
      </x:c>
      <x:c r="AG595" s="5" t="str">
        <x:f>"지형|"&amp;L595</x:f>
        <x:v>지형|습지</x:v>
      </x:c>
      <x:c r="AH595" s="5" t="str">
        <x:f>"온도|"&amp;M595</x:f>
        <x:v>온도|온대</x:v>
      </x:c>
      <x:c r="AI595" s="5" t="str">
        <x:f>"습도|"&amp;N595</x:f>
        <x:v>습도|다습</x:v>
      </x:c>
      <x:c r="AJ595" s="5" t="str">
        <x:f>"날씨|"&amp;O595</x:f>
        <x:v>날씨|비</x:v>
      </x:c>
      <x:c r="AK595" s="5" t="str">
        <x:f>"특수태그|"&amp;R595</x:f>
        <x:v>특수태그|없음</x:v>
      </x:c>
      <x:c r="AL595" s="5" t="str">
        <x:f>"원본서식지|"&amp;S595</x:f>
        <x:v>원본서식지|습지</x:v>
      </x:c>
      <x:c r="AM595" s="5" t="str">
        <x:f>"타입|"&amp;F595</x:f>
        <x:v>타입|풀</x:v>
      </x:c>
      <x:c r="AN595" s="5" t="str">
        <x:f>"타입|"&amp;G595</x:f>
        <x:v>타입|독</x:v>
      </x:c>
    </x:row>
    <x:row r="596" ht="24" customHeight="1">
      <x:c r="A596" s="5" t="n">
        <x:v>592</x:v>
      </x:c>
      <x:c r="B596" s="5" t="inlineStr">
        <x:is>
          <x:t xml:space="preserve">탱그릴</x:t>
        </x:is>
      </x:c>
      <x:c r="C596" s="5" t="inlineStr">
        <x:is>
          <x:t xml:space="preserve">frillish</x:t>
        </x:is>
      </x:c>
      <x:c r="D596" s="5" t="inlineStr">
        <x:is>
          <x:t xml:space="preserve">Frillish</x:t>
        </x:is>
      </x:c>
      <x:c r="E596" s="5" t="n">
        <x:v>5</x:v>
      </x:c>
      <x:c r="F596" s="5" t="inlineStr">
        <x:is>
          <x:t xml:space="preserve">물</x:t>
        </x:is>
      </x:c>
      <x:c r="G596" s="5" t="inlineStr">
        <x:is>
          <x:t xml:space="preserve">고스트</x:t>
        </x:is>
      </x:c>
      <x:c r="H596" s="6" t="n">
        <x:v>33</x:v>
      </x:c>
      <x:c r="I596" s="5" t="n">
        <x:v>40</x:v>
      </x:c>
      <x:c r="J596" s="5" t="inlineStr">
        <x:is>
          <x:t xml:space="preserve">기본</x:t>
        </x:is>
      </x:c>
      <x:c r="K596" s="7" t="inlineStr">
        <x:is>
          <x:t xml:space="preserve">해양</x:t>
        </x:is>
      </x:c>
      <x:c r="L596" s="7" t="inlineStr">
        <x:is>
          <x:t xml:space="preserve">해안·해양</x:t>
        </x:is>
      </x:c>
      <x:c r="M596" s="7" t="inlineStr">
        <x:is>
          <x:t xml:space="preserve">온대</x:t>
        </x:is>
      </x:c>
      <x:c r="N596" s="7" t="inlineStr">
        <x:is>
          <x:t xml:space="preserve">수중</x:t>
        </x:is>
      </x:c>
      <x:c r="O596" s="7" t="inlineStr">
        <x:is>
          <x:t xml:space="preserve">비</x:t>
        </x:is>
      </x:c>
      <x:c r="P596" s="7" t="inlineStr">
        <x:is>
          <x:t xml:space="preserve">밤</x:t>
        </x:is>
      </x:c>
      <x:c r="Q596" s="7" t="inlineStr">
        <x:is>
          <x:t xml:space="preserve">흔함</x:t>
        </x:is>
      </x:c>
      <x:c r="R596" s="7" t="inlineStr">
        <x:is>
          <x:t xml:space="preserve">영체</x:t>
        </x:is>
      </x:c>
      <x:c r="S596" s="7" t="inlineStr">
        <x:is>
          <x:t xml:space="preserve">해양</x:t>
        </x:is>
      </x:c>
      <x:c r="T596" s="7" t="inlineStr">
        <x:is>
          <x:t xml:space="preserve"/>
        </x:is>
      </x:c>
      <x:c r="U596" s="8" t="str">
        <x:f>INDEX('서식지_점수'!$E$4:$P$4,1,MATCH(MAX('서식지_점수'!E596:P596),'서식지_점수'!E596:P596,0))</x:f>
        <x:v>해양</x:v>
      </x:c>
      <x:c r="V596" s="8" t="str">
        <x:f>IF(T596&lt;&gt;"",T596,U596)</x:f>
        <x:v>해양</x:v>
      </x:c>
      <x:c r="W596" s="8" t="str">
        <x:f>IFERROR(INDEX('서식지_점수'!$E$4:$P$4,1,MATCH(MAXIFS('서식지_점수'!E596:P596,'서식지_점수'!E596:P596,"&lt;"&amp;MAX('서식지_점수'!E596:P596)),'서식지_점수'!E596:P596,0)),"")</x:f>
        <x:v>습지</x:v>
      </x:c>
      <x:c r="X596" s="8" t="str">
        <x:f>IF(T596&lt;&gt;"","수동확정",IF(MAX('서식지_점수'!E596:P596)-LARGE('서식지_점수'!E596:P596,2)&gt;=15,"높음",IF(MAX('서식지_점수'!E596:P596)-LARGE('서식지_점수'!E596:P596,2)&gt;=8,"보통","검토필요")))</x:f>
        <x:v>높음</x:v>
      </x:c>
      <x:c r="Y596" s="9" t="n">
        <x:f>IF(Q596="전설",8,IF(Q596="희귀",7,IF(J596="기본",1,IF(J596="중간",3,IF(J596="최종",IF(I596="",5,IF(I596&lt;=20,3,IF(I596&lt;=35,4,IF(I596&lt;=50,6,7)))),IF(Q596="드묾",4,2))))))</x:f>
        <x:v>1</x:v>
      </x:c>
      <x:c r="Z596" s="5" t="inlineStr">
        <x:is>
          <x:t xml:space="preserve">#cobblemon:is_ocean; #cobblemon:is_overworld</x:t>
        </x:is>
      </x:c>
      <x:c r="AA596" s="5" t="inlineStr">
        <x:is>
          <x:t xml:space="preserve">common</x:t>
        </x:is>
      </x:c>
      <x:c r="AB596" s="5" t="inlineStr">
        <x:is>
          <x:t xml:space="preserve">예</x:t>
        </x:is>
      </x:c>
      <x:c r="AC596" s="8" t="str">
        <x:f>IF(T596&lt;&gt;"","수동확정",IF(X596="검토필요","검토필요",IF(S596="","원본없음","초기완료")))</x:f>
        <x:v>초기완료</x:v>
      </x:c>
      <x:c r="AD596" s="7" t="inlineStr">
        <x:is>
          <x:t xml:space="preserve"/>
        </x:is>
      </x:c>
      <x:c r="AE596" s="5" t="inlineStr">
        <x:is>
          <x:t xml:space="preserve">.tmp/cobblemon-1.7.3-source/common/src/main/resources/data/cobblemon/species/generation5/frillish.json</x:t>
        </x:is>
      </x:c>
      <x:c r="AF596" s="5" t="str">
        <x:f>"생활권|"&amp;K596</x:f>
        <x:v>생활권|해양</x:v>
      </x:c>
      <x:c r="AG596" s="5" t="str">
        <x:f>"지형|"&amp;L596</x:f>
        <x:v>지형|해안·해양</x:v>
      </x:c>
      <x:c r="AH596" s="5" t="str">
        <x:f>"온도|"&amp;M596</x:f>
        <x:v>온도|온대</x:v>
      </x:c>
      <x:c r="AI596" s="5" t="str">
        <x:f>"습도|"&amp;N596</x:f>
        <x:v>습도|수중</x:v>
      </x:c>
      <x:c r="AJ596" s="5" t="str">
        <x:f>"날씨|"&amp;O596</x:f>
        <x:v>날씨|비</x:v>
      </x:c>
      <x:c r="AK596" s="5" t="str">
        <x:f>"특수태그|"&amp;R596</x:f>
        <x:v>특수태그|영체</x:v>
      </x:c>
      <x:c r="AL596" s="5" t="str">
        <x:f>"원본서식지|"&amp;S596</x:f>
        <x:v>원본서식지|해양</x:v>
      </x:c>
      <x:c r="AM596" s="5" t="str">
        <x:f>"타입|"&amp;F596</x:f>
        <x:v>타입|물</x:v>
      </x:c>
      <x:c r="AN596" s="5" t="str">
        <x:f>"타입|"&amp;G596</x:f>
        <x:v>타입|고스트</x:v>
      </x:c>
    </x:row>
    <x:row r="597" ht="24" customHeight="1">
      <x:c r="A597" s="5" t="n">
        <x:v>593</x:v>
      </x:c>
      <x:c r="B597" s="5" t="inlineStr">
        <x:is>
          <x:t xml:space="preserve">탱탱겔</x:t>
        </x:is>
      </x:c>
      <x:c r="C597" s="5" t="inlineStr">
        <x:is>
          <x:t xml:space="preserve">jellicent</x:t>
        </x:is>
      </x:c>
      <x:c r="D597" s="5" t="inlineStr">
        <x:is>
          <x:t xml:space="preserve">Jellicent</x:t>
        </x:is>
      </x:c>
      <x:c r="E597" s="5" t="n">
        <x:v>5</x:v>
      </x:c>
      <x:c r="F597" s="5" t="inlineStr">
        <x:is>
          <x:t xml:space="preserve">물</x:t>
        </x:is>
      </x:c>
      <x:c r="G597" s="5" t="inlineStr">
        <x:is>
          <x:t xml:space="preserve">고스트</x:t>
        </x:is>
      </x:c>
      <x:c r="H597" s="6" t="n">
        <x:v>135</x:v>
      </x:c>
      <x:c r="I597" s="5" t="n">
        <x:v>40</x:v>
      </x:c>
      <x:c r="J597" s="5" t="inlineStr">
        <x:is>
          <x:t xml:space="preserve">최종</x:t>
        </x:is>
      </x:c>
      <x:c r="K597" s="7" t="inlineStr">
        <x:is>
          <x:t xml:space="preserve">해양</x:t>
        </x:is>
      </x:c>
      <x:c r="L597" s="7" t="inlineStr">
        <x:is>
          <x:t xml:space="preserve">해안·해양</x:t>
        </x:is>
      </x:c>
      <x:c r="M597" s="7" t="inlineStr">
        <x:is>
          <x:t xml:space="preserve">온대</x:t>
        </x:is>
      </x:c>
      <x:c r="N597" s="7" t="inlineStr">
        <x:is>
          <x:t xml:space="preserve">수중</x:t>
        </x:is>
      </x:c>
      <x:c r="O597" s="7" t="inlineStr">
        <x:is>
          <x:t xml:space="preserve">비</x:t>
        </x:is>
      </x:c>
      <x:c r="P597" s="7" t="inlineStr">
        <x:is>
          <x:t xml:space="preserve">밤</x:t>
        </x:is>
      </x:c>
      <x:c r="Q597" s="7" t="inlineStr">
        <x:is>
          <x:t xml:space="preserve">흔함</x:t>
        </x:is>
      </x:c>
      <x:c r="R597" s="7" t="inlineStr">
        <x:is>
          <x:t xml:space="preserve">영체</x:t>
        </x:is>
      </x:c>
      <x:c r="S597" s="7" t="inlineStr">
        <x:is>
          <x:t xml:space="preserve">해양</x:t>
        </x:is>
      </x:c>
      <x:c r="T597" s="7" t="inlineStr">
        <x:is>
          <x:t xml:space="preserve"/>
        </x:is>
      </x:c>
      <x:c r="U597" s="8" t="str">
        <x:f>INDEX('서식지_점수'!$E$4:$P$4,1,MATCH(MAX('서식지_점수'!E597:P597),'서식지_점수'!E597:P597,0))</x:f>
        <x:v>해양</x:v>
      </x:c>
      <x:c r="V597" s="8" t="str">
        <x:f>IF(T597&lt;&gt;"",T597,U597)</x:f>
        <x:v>해양</x:v>
      </x:c>
      <x:c r="W597" s="8" t="str">
        <x:f>IFERROR(INDEX('서식지_점수'!$E$4:$P$4,1,MATCH(MAXIFS('서식지_점수'!E597:P597,'서식지_점수'!E597:P597,"&lt;"&amp;MAX('서식지_점수'!E597:P597)),'서식지_점수'!E597:P597,0)),"")</x:f>
        <x:v>습지</x:v>
      </x:c>
      <x:c r="X597" s="8" t="str">
        <x:f>IF(T597&lt;&gt;"","수동확정",IF(MAX('서식지_점수'!E597:P597)-LARGE('서식지_점수'!E597:P597,2)&gt;=15,"높음",IF(MAX('서식지_점수'!E597:P597)-LARGE('서식지_점수'!E597:P597,2)&gt;=8,"보통","검토필요")))</x:f>
        <x:v>높음</x:v>
      </x:c>
      <x:c r="Y597" s="9" t="n">
        <x:f>IF(Q597="전설",8,IF(Q597="희귀",7,IF(J597="기본",1,IF(J597="중간",3,IF(J597="최종",IF(I597="",5,IF(I597&lt;=20,3,IF(I597&lt;=35,4,IF(I597&lt;=50,6,7)))),IF(Q597="드묾",4,2))))))</x:f>
        <x:v>6</x:v>
      </x:c>
      <x:c r="Z597" s="5" t="inlineStr">
        <x:is>
          <x:t xml:space="preserve">#cobblemon:is_ocean; #cobblemon:is_overworld</x:t>
        </x:is>
      </x:c>
      <x:c r="AA597" s="5" t="inlineStr">
        <x:is>
          <x:t xml:space="preserve">common</x:t>
        </x:is>
      </x:c>
      <x:c r="AB597" s="5" t="inlineStr">
        <x:is>
          <x:t xml:space="preserve">예</x:t>
        </x:is>
      </x:c>
      <x:c r="AC597" s="8" t="str">
        <x:f>IF(T597&lt;&gt;"","수동확정",IF(X597="검토필요","검토필요",IF(S597="","원본없음","초기완료")))</x:f>
        <x:v>초기완료</x:v>
      </x:c>
      <x:c r="AD597" s="7" t="inlineStr">
        <x:is>
          <x:t xml:space="preserve"/>
        </x:is>
      </x:c>
      <x:c r="AE597" s="5" t="inlineStr">
        <x:is>
          <x:t xml:space="preserve">.tmp/cobblemon-1.7.3-source/common/src/main/resources/data/cobblemon/species/generation5/jellicent.json</x:t>
        </x:is>
      </x:c>
      <x:c r="AF597" s="5" t="str">
        <x:f>"생활권|"&amp;K597</x:f>
        <x:v>생활권|해양</x:v>
      </x:c>
      <x:c r="AG597" s="5" t="str">
        <x:f>"지형|"&amp;L597</x:f>
        <x:v>지형|해안·해양</x:v>
      </x:c>
      <x:c r="AH597" s="5" t="str">
        <x:f>"온도|"&amp;M597</x:f>
        <x:v>온도|온대</x:v>
      </x:c>
      <x:c r="AI597" s="5" t="str">
        <x:f>"습도|"&amp;N597</x:f>
        <x:v>습도|수중</x:v>
      </x:c>
      <x:c r="AJ597" s="5" t="str">
        <x:f>"날씨|"&amp;O597</x:f>
        <x:v>날씨|비</x:v>
      </x:c>
      <x:c r="AK597" s="5" t="str">
        <x:f>"특수태그|"&amp;R597</x:f>
        <x:v>특수태그|영체</x:v>
      </x:c>
      <x:c r="AL597" s="5" t="str">
        <x:f>"원본서식지|"&amp;S597</x:f>
        <x:v>원본서식지|해양</x:v>
      </x:c>
      <x:c r="AM597" s="5" t="str">
        <x:f>"타입|"&amp;F597</x:f>
        <x:v>타입|물</x:v>
      </x:c>
      <x:c r="AN597" s="5" t="str">
        <x:f>"타입|"&amp;G597</x:f>
        <x:v>타입|고스트</x:v>
      </x:c>
    </x:row>
    <x:row r="598" ht="24" customHeight="1">
      <x:c r="A598" s="5" t="n">
        <x:v>594</x:v>
      </x:c>
      <x:c r="B598" s="5" t="inlineStr">
        <x:is>
          <x:t xml:space="preserve">맘복치</x:t>
        </x:is>
      </x:c>
      <x:c r="C598" s="5" t="inlineStr">
        <x:is>
          <x:t xml:space="preserve">alomomola</x:t>
        </x:is>
      </x:c>
      <x:c r="D598" s="5" t="inlineStr">
        <x:is>
          <x:t xml:space="preserve">Alomomola</x:t>
        </x:is>
      </x:c>
      <x:c r="E598" s="5" t="n">
        <x:v>5</x:v>
      </x:c>
      <x:c r="F598" s="5" t="inlineStr">
        <x:is>
          <x:t xml:space="preserve">물</x:t>
        </x:is>
      </x:c>
      <x:c r="G598" s="5" t="inlineStr">
        <x:is>
          <x:t xml:space="preserve"/>
        </x:is>
      </x:c>
      <x:c r="H598" s="6" t="n">
        <x:v>31.6</x:v>
      </x:c>
      <x:c r="I598" s="5" t="n"/>
      <x:c r="J598" s="5" t="inlineStr">
        <x:is>
          <x:t xml:space="preserve">무진화</x:t>
        </x:is>
      </x:c>
      <x:c r="K598" s="7" t="inlineStr">
        <x:is>
          <x:t xml:space="preserve">해양</x:t>
        </x:is>
      </x:c>
      <x:c r="L598" s="7" t="inlineStr">
        <x:is>
          <x:t xml:space="preserve">해안·해양</x:t>
        </x:is>
      </x:c>
      <x:c r="M598" s="7" t="inlineStr">
        <x:is>
          <x:t xml:space="preserve">온대</x:t>
        </x:is>
      </x:c>
      <x:c r="N598" s="7" t="inlineStr">
        <x:is>
          <x:t xml:space="preserve">수중</x:t>
        </x:is>
      </x:c>
      <x:c r="O598" s="7" t="inlineStr">
        <x:is>
          <x:t xml:space="preserve">비</x:t>
        </x:is>
      </x:c>
      <x:c r="P598" s="7" t="inlineStr">
        <x:is>
          <x:t xml:space="preserve">무관</x:t>
        </x:is>
      </x:c>
      <x:c r="Q598" s="7" t="inlineStr">
        <x:is>
          <x:t xml:space="preserve">보통</x:t>
        </x:is>
      </x:c>
      <x:c r="R598" s="7" t="inlineStr">
        <x:is>
          <x:t xml:space="preserve">심해</x:t>
        </x:is>
      </x:c>
      <x:c r="S598" s="7" t="inlineStr">
        <x:is>
          <x:t xml:space="preserve">해양</x:t>
        </x:is>
      </x:c>
      <x:c r="T598" s="7" t="inlineStr">
        <x:is>
          <x:t xml:space="preserve"/>
        </x:is>
      </x:c>
      <x:c r="U598" s="8" t="str">
        <x:f>INDEX('서식지_점수'!$E$4:$P$4,1,MATCH(MAX('서식지_점수'!E598:P598),'서식지_점수'!E598:P598,0))</x:f>
        <x:v>해양</x:v>
      </x:c>
      <x:c r="V598" s="8" t="str">
        <x:f>IF(T598&lt;&gt;"",T598,U598)</x:f>
        <x:v>해양</x:v>
      </x:c>
      <x:c r="W598" s="8" t="str">
        <x:f>IFERROR(INDEX('서식지_점수'!$E$4:$P$4,1,MATCH(MAXIFS('서식지_점수'!E598:P598,'서식지_점수'!E598:P598,"&lt;"&amp;MAX('서식지_점수'!E598:P598)),'서식지_점수'!E598:P598,0)),"")</x:f>
        <x:v>습지</x:v>
      </x:c>
      <x:c r="X598" s="8" t="str">
        <x:f>IF(T598&lt;&gt;"","수동확정",IF(MAX('서식지_점수'!E598:P598)-LARGE('서식지_점수'!E598:P598,2)&gt;=15,"높음",IF(MAX('서식지_점수'!E598:P598)-LARGE('서식지_점수'!E598:P598,2)&gt;=8,"보통","검토필요")))</x:f>
        <x:v>높음</x:v>
      </x:c>
      <x:c r="Y598" s="9" t="n">
        <x:f>IF(Q598="전설",8,IF(Q598="희귀",7,IF(J598="기본",1,IF(J598="중간",3,IF(J598="최종",IF(I598="",5,IF(I598&lt;=20,3,IF(I598&lt;=35,4,IF(I598&lt;=50,6,7)))),IF(Q598="드묾",4,2))))))</x:f>
        <x:v>2</x:v>
      </x:c>
      <x:c r="Z598" s="5" t="inlineStr">
        <x:is>
          <x:t xml:space="preserve">#cobblemon:is_deep_ocean; #cobblemon:is_ocean</x:t>
        </x:is>
      </x:c>
      <x:c r="AA598" s="5" t="inlineStr">
        <x:is>
          <x:t xml:space="preserve">common; uncommon</x:t>
        </x:is>
      </x:c>
      <x:c r="AB598" s="5" t="inlineStr">
        <x:is>
          <x:t xml:space="preserve">예</x:t>
        </x:is>
      </x:c>
      <x:c r="AC598" s="8" t="str">
        <x:f>IF(T598&lt;&gt;"","수동확정",IF(X598="검토필요","검토필요",IF(S598="","원본없음","초기완료")))</x:f>
        <x:v>초기완료</x:v>
      </x:c>
      <x:c r="AD598" s="7" t="inlineStr">
        <x:is>
          <x:t xml:space="preserve"/>
        </x:is>
      </x:c>
      <x:c r="AE598" s="5" t="inlineStr">
        <x:is>
          <x:t xml:space="preserve">.tmp/cobblemon-1.7.3-source/common/src/main/resources/data/cobblemon/species/generation5/alomomola.json</x:t>
        </x:is>
      </x:c>
      <x:c r="AF598" s="5" t="str">
        <x:f>"생활권|"&amp;K598</x:f>
        <x:v>생활권|해양</x:v>
      </x:c>
      <x:c r="AG598" s="5" t="str">
        <x:f>"지형|"&amp;L598</x:f>
        <x:v>지형|해안·해양</x:v>
      </x:c>
      <x:c r="AH598" s="5" t="str">
        <x:f>"온도|"&amp;M598</x:f>
        <x:v>온도|온대</x:v>
      </x:c>
      <x:c r="AI598" s="5" t="str">
        <x:f>"습도|"&amp;N598</x:f>
        <x:v>습도|수중</x:v>
      </x:c>
      <x:c r="AJ598" s="5" t="str">
        <x:f>"날씨|"&amp;O598</x:f>
        <x:v>날씨|비</x:v>
      </x:c>
      <x:c r="AK598" s="5" t="str">
        <x:f>"특수태그|"&amp;R598</x:f>
        <x:v>특수태그|심해</x:v>
      </x:c>
      <x:c r="AL598" s="5" t="str">
        <x:f>"원본서식지|"&amp;S598</x:f>
        <x:v>원본서식지|해양</x:v>
      </x:c>
      <x:c r="AM598" s="5" t="str">
        <x:f>"타입|"&amp;F598</x:f>
        <x:v>타입|물</x:v>
      </x:c>
      <x:c r="AN598" s="5" t="str">
        <x:f>"타입|"&amp;G598</x:f>
        <x:v>타입|</x:v>
      </x:c>
    </x:row>
    <x:row r="599" ht="24" customHeight="1">
      <x:c r="A599" s="5" t="n">
        <x:v>595</x:v>
      </x:c>
      <x:c r="B599" s="5" t="inlineStr">
        <x:is>
          <x:t xml:space="preserve">파쪼옥</x:t>
        </x:is>
      </x:c>
      <x:c r="C599" s="5" t="inlineStr">
        <x:is>
          <x:t xml:space="preserve">joltik</x:t>
        </x:is>
      </x:c>
      <x:c r="D599" s="5" t="inlineStr">
        <x:is>
          <x:t xml:space="preserve">Joltik</x:t>
        </x:is>
      </x:c>
      <x:c r="E599" s="5" t="n">
        <x:v>5</x:v>
      </x:c>
      <x:c r="F599" s="5" t="inlineStr">
        <x:is>
          <x:t xml:space="preserve">벌레</x:t>
        </x:is>
      </x:c>
      <x:c r="G599" s="5" t="inlineStr">
        <x:is>
          <x:t xml:space="preserve">전기</x:t>
        </x:is>
      </x:c>
      <x:c r="H599" s="6" t="n">
        <x:v>0.6</x:v>
      </x:c>
      <x:c r="I599" s="5" t="n">
        <x:v>36</x:v>
      </x:c>
      <x:c r="J599" s="5" t="inlineStr">
        <x:is>
          <x:t xml:space="preserve">기본</x:t>
        </x:is>
      </x:c>
      <x:c r="K599" s="7" t="inlineStr">
        <x:is>
          <x:t xml:space="preserve">육상</x:t>
        </x:is>
      </x:c>
      <x:c r="L599" s="7" t="inlineStr">
        <x:is>
          <x:t xml:space="preserve">건조</x:t>
        </x:is>
      </x:c>
      <x:c r="M599" s="7" t="inlineStr">
        <x:is>
          <x:t xml:space="preserve">고온</x:t>
        </x:is>
      </x:c>
      <x:c r="N599" s="7" t="inlineStr">
        <x:is>
          <x:t xml:space="preserve">다습</x:t>
        </x:is>
      </x:c>
      <x:c r="O599" s="7" t="inlineStr">
        <x:is>
          <x:t xml:space="preserve">맑음</x:t>
        </x:is>
      </x:c>
      <x:c r="P599" s="7" t="inlineStr">
        <x:is>
          <x:t xml:space="preserve">밤</x:t>
        </x:is>
      </x:c>
      <x:c r="Q599" s="7" t="inlineStr">
        <x:is>
          <x:t xml:space="preserve">흔함</x:t>
        </x:is>
      </x:c>
      <x:c r="R599" s="7" t="inlineStr">
        <x:is>
          <x:t xml:space="preserve">없음</x:t>
        </x:is>
      </x:c>
      <x:c r="S599" s="7" t="inlineStr">
        <x:is>
          <x:t xml:space="preserve">건조지</x:t>
        </x:is>
      </x:c>
      <x:c r="T599" s="7" t="inlineStr">
        <x:is>
          <x:t xml:space="preserve"/>
        </x:is>
      </x:c>
      <x:c r="U599" s="8" t="str">
        <x:f>INDEX('서식지_점수'!$E$4:$P$4,1,MATCH(MAX('서식지_점수'!E599:P599),'서식지_점수'!E599:P599,0))</x:f>
        <x:v>평원</x:v>
      </x:c>
      <x:c r="V599" s="8" t="str">
        <x:f>IF(T599&lt;&gt;"",T599,U599)</x:f>
        <x:v>평원</x:v>
      </x:c>
      <x:c r="W599" s="8" t="str">
        <x:f>IFERROR(INDEX('서식지_점수'!$E$4:$P$4,1,MATCH(MAXIFS('서식지_점수'!E599:P599,'서식지_점수'!E599:P599,"&lt;"&amp;MAX('서식지_점수'!E599:P599)),'서식지_점수'!E599:P599,0)),"")</x:f>
        <x:v>숲</x:v>
      </x:c>
      <x:c r="X599" s="8" t="str">
        <x:f>IF(T599&lt;&gt;"","수동확정",IF(MAX('서식지_점수'!E599:P599)-LARGE('서식지_점수'!E599:P599,2)&gt;=15,"높음",IF(MAX('서식지_점수'!E599:P599)-LARGE('서식지_점수'!E599:P599,2)&gt;=8,"보통","검토필요")))</x:f>
        <x:v>검토필요</x:v>
      </x:c>
      <x:c r="Y599" s="9" t="n">
        <x:f>IF(Q599="전설",8,IF(Q599="희귀",7,IF(J599="기본",1,IF(J599="중간",3,IF(J599="최종",IF(I599="",5,IF(I599&lt;=20,3,IF(I599&lt;=35,4,IF(I599&lt;=50,6,7)))),IF(Q599="드묾",4,2))))))</x:f>
        <x:v>1</x:v>
      </x:c>
      <x:c r="Z599" s="5" t="inlineStr">
        <x:is>
          <x:t xml:space="preserve">#cobblemon:is_badlands; #cobblemon:is_jungle; #cobblemon:is_overworld; #cobblemon:is_savanna</x:t>
        </x:is>
      </x:c>
      <x:c r="AA599" s="5" t="inlineStr">
        <x:is>
          <x:t xml:space="preserve">common</x:t>
        </x:is>
      </x:c>
      <x:c r="AB599" s="5" t="inlineStr">
        <x:is>
          <x:t xml:space="preserve">예</x:t>
        </x:is>
      </x:c>
      <x:c r="AC599" s="8" t="str">
        <x:f>IF(T599&lt;&gt;"","수동확정",IF(X599="검토필요","검토필요",IF(S599="","원본없음","초기완료")))</x:f>
        <x:v>검토필요</x:v>
      </x:c>
      <x:c r="AD599" s="7" t="inlineStr">
        <x:is>
          <x:t xml:space="preserve"/>
        </x:is>
      </x:c>
      <x:c r="AE599" s="5" t="inlineStr">
        <x:is>
          <x:t xml:space="preserve">.tmp/cobblemon-1.7.3-source/common/src/main/resources/data/cobblemon/species/generation5/joltik.json</x:t>
        </x:is>
      </x:c>
      <x:c r="AF599" s="5" t="str">
        <x:f>"생활권|"&amp;K599</x:f>
        <x:v>생활권|육상</x:v>
      </x:c>
      <x:c r="AG599" s="5" t="str">
        <x:f>"지형|"&amp;L599</x:f>
        <x:v>지형|건조</x:v>
      </x:c>
      <x:c r="AH599" s="5" t="str">
        <x:f>"온도|"&amp;M599</x:f>
        <x:v>온도|고온</x:v>
      </x:c>
      <x:c r="AI599" s="5" t="str">
        <x:f>"습도|"&amp;N599</x:f>
        <x:v>습도|다습</x:v>
      </x:c>
      <x:c r="AJ599" s="5" t="str">
        <x:f>"날씨|"&amp;O599</x:f>
        <x:v>날씨|맑음</x:v>
      </x:c>
      <x:c r="AK599" s="5" t="str">
        <x:f>"특수태그|"&amp;R599</x:f>
        <x:v>특수태그|없음</x:v>
      </x:c>
      <x:c r="AL599" s="5" t="str">
        <x:f>"원본서식지|"&amp;S599</x:f>
        <x:v>원본서식지|건조지</x:v>
      </x:c>
      <x:c r="AM599" s="5" t="str">
        <x:f>"타입|"&amp;F599</x:f>
        <x:v>타입|벌레</x:v>
      </x:c>
      <x:c r="AN599" s="5" t="str">
        <x:f>"타입|"&amp;G599</x:f>
        <x:v>타입|전기</x:v>
      </x:c>
    </x:row>
    <x:row r="600" ht="24" customHeight="1">
      <x:c r="A600" s="5" t="n">
        <x:v>596</x:v>
      </x:c>
      <x:c r="B600" s="5" t="inlineStr">
        <x:is>
          <x:t xml:space="preserve">전툴라</x:t>
        </x:is>
      </x:c>
      <x:c r="C600" s="5" t="inlineStr">
        <x:is>
          <x:t xml:space="preserve">galvantula</x:t>
        </x:is>
      </x:c>
      <x:c r="D600" s="5" t="inlineStr">
        <x:is>
          <x:t xml:space="preserve">Galvantula</x:t>
        </x:is>
      </x:c>
      <x:c r="E600" s="5" t="n">
        <x:v>5</x:v>
      </x:c>
      <x:c r="F600" s="5" t="inlineStr">
        <x:is>
          <x:t xml:space="preserve">벌레</x:t>
        </x:is>
      </x:c>
      <x:c r="G600" s="5" t="inlineStr">
        <x:is>
          <x:t xml:space="preserve">전기</x:t>
        </x:is>
      </x:c>
      <x:c r="H600" s="6" t="n">
        <x:v>14.3</x:v>
      </x:c>
      <x:c r="I600" s="5" t="n">
        <x:v>36</x:v>
      </x:c>
      <x:c r="J600" s="5" t="inlineStr">
        <x:is>
          <x:t xml:space="preserve">최종</x:t>
        </x:is>
      </x:c>
      <x:c r="K600" s="7" t="inlineStr">
        <x:is>
          <x:t xml:space="preserve">육상</x:t>
        </x:is>
      </x:c>
      <x:c r="L600" s="7" t="inlineStr">
        <x:is>
          <x:t xml:space="preserve">건조</x:t>
        </x:is>
      </x:c>
      <x:c r="M600" s="7" t="inlineStr">
        <x:is>
          <x:t xml:space="preserve">고온</x:t>
        </x:is>
      </x:c>
      <x:c r="N600" s="7" t="inlineStr">
        <x:is>
          <x:t xml:space="preserve">다습</x:t>
        </x:is>
      </x:c>
      <x:c r="O600" s="7" t="inlineStr">
        <x:is>
          <x:t xml:space="preserve">맑음</x:t>
        </x:is>
      </x:c>
      <x:c r="P600" s="7" t="inlineStr">
        <x:is>
          <x:t xml:space="preserve">밤</x:t>
        </x:is>
      </x:c>
      <x:c r="Q600" s="7" t="inlineStr">
        <x:is>
          <x:t xml:space="preserve">흔함</x:t>
        </x:is>
      </x:c>
      <x:c r="R600" s="7" t="inlineStr">
        <x:is>
          <x:t xml:space="preserve">없음</x:t>
        </x:is>
      </x:c>
      <x:c r="S600" s="7" t="inlineStr">
        <x:is>
          <x:t xml:space="preserve">건조지</x:t>
        </x:is>
      </x:c>
      <x:c r="T600" s="7" t="inlineStr">
        <x:is>
          <x:t xml:space="preserve"/>
        </x:is>
      </x:c>
      <x:c r="U600" s="8" t="str">
        <x:f>INDEX('서식지_점수'!$E$4:$P$4,1,MATCH(MAX('서식지_점수'!E600:P600),'서식지_점수'!E600:P600,0))</x:f>
        <x:v>평원</x:v>
      </x:c>
      <x:c r="V600" s="8" t="str">
        <x:f>IF(T600&lt;&gt;"",T600,U600)</x:f>
        <x:v>평원</x:v>
      </x:c>
      <x:c r="W600" s="8" t="str">
        <x:f>IFERROR(INDEX('서식지_점수'!$E$4:$P$4,1,MATCH(MAXIFS('서식지_점수'!E600:P600,'서식지_점수'!E600:P600,"&lt;"&amp;MAX('서식지_점수'!E600:P600)),'서식지_점수'!E600:P600,0)),"")</x:f>
        <x:v>숲</x:v>
      </x:c>
      <x:c r="X600" s="8" t="str">
        <x:f>IF(T600&lt;&gt;"","수동확정",IF(MAX('서식지_점수'!E600:P600)-LARGE('서식지_점수'!E600:P600,2)&gt;=15,"높음",IF(MAX('서식지_점수'!E600:P600)-LARGE('서식지_점수'!E600:P600,2)&gt;=8,"보통","검토필요")))</x:f>
        <x:v>검토필요</x:v>
      </x:c>
      <x:c r="Y600" s="9" t="n">
        <x:f>IF(Q600="전설",8,IF(Q600="희귀",7,IF(J600="기본",1,IF(J600="중간",3,IF(J600="최종",IF(I600="",5,IF(I600&lt;=20,3,IF(I600&lt;=35,4,IF(I600&lt;=50,6,7)))),IF(Q600="드묾",4,2))))))</x:f>
        <x:v>6</x:v>
      </x:c>
      <x:c r="Z600" s="5" t="inlineStr">
        <x:is>
          <x:t xml:space="preserve">#cobblemon:is_badlands; #cobblemon:is_jungle; #cobblemon:is_overworld; #cobblemon:is_savanna</x:t>
        </x:is>
      </x:c>
      <x:c r="AA600" s="5" t="inlineStr">
        <x:is>
          <x:t xml:space="preserve">common</x:t>
        </x:is>
      </x:c>
      <x:c r="AB600" s="5" t="inlineStr">
        <x:is>
          <x:t xml:space="preserve">예</x:t>
        </x:is>
      </x:c>
      <x:c r="AC600" s="8" t="str">
        <x:f>IF(T600&lt;&gt;"","수동확정",IF(X600="검토필요","검토필요",IF(S600="","원본없음","초기완료")))</x:f>
        <x:v>검토필요</x:v>
      </x:c>
      <x:c r="AD600" s="7" t="inlineStr">
        <x:is>
          <x:t xml:space="preserve"/>
        </x:is>
      </x:c>
      <x:c r="AE600" s="5" t="inlineStr">
        <x:is>
          <x:t xml:space="preserve">.tmp/cobblemon-1.7.3-source/common/src/main/resources/data/cobblemon/species/generation5/galvantula.json</x:t>
        </x:is>
      </x:c>
      <x:c r="AF600" s="5" t="str">
        <x:f>"생활권|"&amp;K600</x:f>
        <x:v>생활권|육상</x:v>
      </x:c>
      <x:c r="AG600" s="5" t="str">
        <x:f>"지형|"&amp;L600</x:f>
        <x:v>지형|건조</x:v>
      </x:c>
      <x:c r="AH600" s="5" t="str">
        <x:f>"온도|"&amp;M600</x:f>
        <x:v>온도|고온</x:v>
      </x:c>
      <x:c r="AI600" s="5" t="str">
        <x:f>"습도|"&amp;N600</x:f>
        <x:v>습도|다습</x:v>
      </x:c>
      <x:c r="AJ600" s="5" t="str">
        <x:f>"날씨|"&amp;O600</x:f>
        <x:v>날씨|맑음</x:v>
      </x:c>
      <x:c r="AK600" s="5" t="str">
        <x:f>"특수태그|"&amp;R600</x:f>
        <x:v>특수태그|없음</x:v>
      </x:c>
      <x:c r="AL600" s="5" t="str">
        <x:f>"원본서식지|"&amp;S600</x:f>
        <x:v>원본서식지|건조지</x:v>
      </x:c>
      <x:c r="AM600" s="5" t="str">
        <x:f>"타입|"&amp;F600</x:f>
        <x:v>타입|벌레</x:v>
      </x:c>
      <x:c r="AN600" s="5" t="str">
        <x:f>"타입|"&amp;G600</x:f>
        <x:v>타입|전기</x:v>
      </x:c>
    </x:row>
    <x:row r="601" ht="24" customHeight="1">
      <x:c r="A601" s="5" t="n">
        <x:v>597</x:v>
      </x:c>
      <x:c r="B601" s="5" t="inlineStr">
        <x:is>
          <x:t xml:space="preserve">철시드</x:t>
        </x:is>
      </x:c>
      <x:c r="C601" s="5" t="inlineStr">
        <x:is>
          <x:t xml:space="preserve">ferroseed</x:t>
        </x:is>
      </x:c>
      <x:c r="D601" s="5" t="inlineStr">
        <x:is>
          <x:t xml:space="preserve">Ferroseed</x:t>
        </x:is>
      </x:c>
      <x:c r="E601" s="5" t="n">
        <x:v>5</x:v>
      </x:c>
      <x:c r="F601" s="5" t="inlineStr">
        <x:is>
          <x:t xml:space="preserve">풀</x:t>
        </x:is>
      </x:c>
      <x:c r="G601" s="5" t="inlineStr">
        <x:is>
          <x:t xml:space="preserve">강철</x:t>
        </x:is>
      </x:c>
      <x:c r="H601" s="6" t="n">
        <x:v>18.8</x:v>
      </x:c>
      <x:c r="I601" s="5" t="n">
        <x:v>40</x:v>
      </x:c>
      <x:c r="J601" s="5" t="inlineStr">
        <x:is>
          <x:t xml:space="preserve">기본</x:t>
        </x:is>
      </x:c>
      <x:c r="K601" s="7" t="inlineStr">
        <x:is>
          <x:t xml:space="preserve">육상</x:t>
        </x:is>
      </x:c>
      <x:c r="L601" s="7" t="inlineStr">
        <x:is>
          <x:t xml:space="preserve">수목</x:t>
        </x:is>
      </x:c>
      <x:c r="M601" s="7" t="inlineStr">
        <x:is>
          <x:t xml:space="preserve">온대</x:t>
        </x:is>
      </x:c>
      <x:c r="N601" s="7" t="inlineStr">
        <x:is>
          <x:t xml:space="preserve">보통</x:t>
        </x:is>
      </x:c>
      <x:c r="O601" s="7" t="inlineStr">
        <x:is>
          <x:t xml:space="preserve">무관</x:t>
        </x:is>
      </x:c>
      <x:c r="P601" s="7" t="inlineStr">
        <x:is>
          <x:t xml:space="preserve">무관</x:t>
        </x:is>
      </x:c>
      <x:c r="Q601" s="7" t="inlineStr">
        <x:is>
          <x:t xml:space="preserve">흔함</x:t>
        </x:is>
      </x:c>
      <x:c r="R601" s="7" t="inlineStr">
        <x:is>
          <x:t xml:space="preserve">없음</x:t>
        </x:is>
      </x:c>
      <x:c r="S601" s="7" t="inlineStr">
        <x:is>
          <x:t xml:space="preserve"/>
        </x:is>
      </x:c>
      <x:c r="T601" s="7" t="inlineStr">
        <x:is>
          <x:t xml:space="preserve"/>
        </x:is>
      </x:c>
      <x:c r="U601" s="8" t="str">
        <x:f>INDEX('서식지_점수'!$E$4:$P$4,1,MATCH(MAX('서식지_점수'!E601:P601),'서식지_점수'!E601:P601,0))</x:f>
        <x:v>평원</x:v>
      </x:c>
      <x:c r="V601" s="8" t="str">
        <x:f>IF(T601&lt;&gt;"",T601,U601)</x:f>
        <x:v>평원</x:v>
      </x:c>
      <x:c r="W601" s="8" t="str">
        <x:f>IFERROR(INDEX('서식지_점수'!$E$4:$P$4,1,MATCH(MAXIFS('서식지_점수'!E601:P601,'서식지_점수'!E601:P601,"&lt;"&amp;MAX('서식지_점수'!E601:P601)),'서식지_점수'!E601:P601,0)),"")</x:f>
        <x:v>숲</x:v>
      </x:c>
      <x:c r="X601" s="8" t="str">
        <x:f>IF(T601&lt;&gt;"","수동확정",IF(MAX('서식지_점수'!E601:P601)-LARGE('서식지_점수'!E601:P601,2)&gt;=15,"높음",IF(MAX('서식지_점수'!E601:P601)-LARGE('서식지_점수'!E601:P601,2)&gt;=8,"보통","검토필요")))</x:f>
        <x:v>검토필요</x:v>
      </x:c>
      <x:c r="Y601" s="9" t="n">
        <x:f>IF(Q601="전설",8,IF(Q601="희귀",7,IF(J601="기본",1,IF(J601="중간",3,IF(J601="최종",IF(I601="",5,IF(I601&lt;=20,3,IF(I601&lt;=35,4,IF(I601&lt;=50,6,7)))),IF(Q601="드묾",4,2))))))</x:f>
        <x:v>1</x:v>
      </x:c>
      <x:c r="Z601" s="5" t="inlineStr">
        <x:is>
          <x:t xml:space="preserve">#cobblemon:is_lush; #cobblemon:is_overworld</x:t>
        </x:is>
      </x:c>
      <x:c r="AA601" s="5" t="inlineStr">
        <x:is>
          <x:t xml:space="preserve">common</x:t>
        </x:is>
      </x:c>
      <x:c r="AB601" s="5" t="inlineStr">
        <x:is>
          <x:t xml:space="preserve">예</x:t>
        </x:is>
      </x:c>
      <x:c r="AC601" s="8" t="str">
        <x:f>IF(T601&lt;&gt;"","수동확정",IF(X601="검토필요","검토필요",IF(S601="","원본없음","초기완료")))</x:f>
        <x:v>검토필요</x:v>
      </x:c>
      <x:c r="AD601" s="7" t="inlineStr">
        <x:is>
          <x:t xml:space="preserve"/>
        </x:is>
      </x:c>
      <x:c r="AE601" s="5" t="inlineStr">
        <x:is>
          <x:t xml:space="preserve">.tmp/cobblemon-1.7.3-source/common/src/main/resources/data/cobblemon/species/generation5/ferroseed.json</x:t>
        </x:is>
      </x:c>
      <x:c r="AF601" s="5" t="str">
        <x:f>"생활권|"&amp;K601</x:f>
        <x:v>생활권|육상</x:v>
      </x:c>
      <x:c r="AG601" s="5" t="str">
        <x:f>"지형|"&amp;L601</x:f>
        <x:v>지형|수목</x:v>
      </x:c>
      <x:c r="AH601" s="5" t="str">
        <x:f>"온도|"&amp;M601</x:f>
        <x:v>온도|온대</x:v>
      </x:c>
      <x:c r="AI601" s="5" t="str">
        <x:f>"습도|"&amp;N601</x:f>
        <x:v>습도|보통</x:v>
      </x:c>
      <x:c r="AJ601" s="5" t="str">
        <x:f>"날씨|"&amp;O601</x:f>
        <x:v>날씨|무관</x:v>
      </x:c>
      <x:c r="AK601" s="5" t="str">
        <x:f>"특수태그|"&amp;R601</x:f>
        <x:v>특수태그|없음</x:v>
      </x:c>
      <x:c r="AL601" s="5" t="str">
        <x:f>"원본서식지|"&amp;S601</x:f>
        <x:v>원본서식지|</x:v>
      </x:c>
      <x:c r="AM601" s="5" t="str">
        <x:f>"타입|"&amp;F601</x:f>
        <x:v>타입|풀</x:v>
      </x:c>
      <x:c r="AN601" s="5" t="str">
        <x:f>"타입|"&amp;G601</x:f>
        <x:v>타입|강철</x:v>
      </x:c>
    </x:row>
    <x:row r="602" ht="24" customHeight="1">
      <x:c r="A602" s="5" t="n">
        <x:v>598</x:v>
      </x:c>
      <x:c r="B602" s="5" t="inlineStr">
        <x:is>
          <x:t xml:space="preserve">너트령</x:t>
        </x:is>
      </x:c>
      <x:c r="C602" s="5" t="inlineStr">
        <x:is>
          <x:t xml:space="preserve">ferrothorn</x:t>
        </x:is>
      </x:c>
      <x:c r="D602" s="5" t="inlineStr">
        <x:is>
          <x:t xml:space="preserve">Ferrothorn</x:t>
        </x:is>
      </x:c>
      <x:c r="E602" s="5" t="n">
        <x:v>5</x:v>
      </x:c>
      <x:c r="F602" s="5" t="inlineStr">
        <x:is>
          <x:t xml:space="preserve">풀</x:t>
        </x:is>
      </x:c>
      <x:c r="G602" s="5" t="inlineStr">
        <x:is>
          <x:t xml:space="preserve">강철</x:t>
        </x:is>
      </x:c>
      <x:c r="H602" s="6" t="n">
        <x:v>110</x:v>
      </x:c>
      <x:c r="I602" s="5" t="n">
        <x:v>40</x:v>
      </x:c>
      <x:c r="J602" s="5" t="inlineStr">
        <x:is>
          <x:t xml:space="preserve">최종</x:t>
        </x:is>
      </x:c>
      <x:c r="K602" s="7" t="inlineStr">
        <x:is>
          <x:t xml:space="preserve">육상</x:t>
        </x:is>
      </x:c>
      <x:c r="L602" s="7" t="inlineStr">
        <x:is>
          <x:t xml:space="preserve">수목</x:t>
        </x:is>
      </x:c>
      <x:c r="M602" s="7" t="inlineStr">
        <x:is>
          <x:t xml:space="preserve">온대</x:t>
        </x:is>
      </x:c>
      <x:c r="N602" s="7" t="inlineStr">
        <x:is>
          <x:t xml:space="preserve">보통</x:t>
        </x:is>
      </x:c>
      <x:c r="O602" s="7" t="inlineStr">
        <x:is>
          <x:t xml:space="preserve">무관</x:t>
        </x:is>
      </x:c>
      <x:c r="P602" s="7" t="inlineStr">
        <x:is>
          <x:t xml:space="preserve">무관</x:t>
        </x:is>
      </x:c>
      <x:c r="Q602" s="7" t="inlineStr">
        <x:is>
          <x:t xml:space="preserve">흔함</x:t>
        </x:is>
      </x:c>
      <x:c r="R602" s="7" t="inlineStr">
        <x:is>
          <x:t xml:space="preserve">없음</x:t>
        </x:is>
      </x:c>
      <x:c r="S602" s="7" t="inlineStr">
        <x:is>
          <x:t xml:space="preserve"/>
        </x:is>
      </x:c>
      <x:c r="T602" s="7" t="inlineStr">
        <x:is>
          <x:t xml:space="preserve"/>
        </x:is>
      </x:c>
      <x:c r="U602" s="8" t="str">
        <x:f>INDEX('서식지_점수'!$E$4:$P$4,1,MATCH(MAX('서식지_점수'!E602:P602),'서식지_점수'!E602:P602,0))</x:f>
        <x:v>평원</x:v>
      </x:c>
      <x:c r="V602" s="8" t="str">
        <x:f>IF(T602&lt;&gt;"",T602,U602)</x:f>
        <x:v>평원</x:v>
      </x:c>
      <x:c r="W602" s="8" t="str">
        <x:f>IFERROR(INDEX('서식지_점수'!$E$4:$P$4,1,MATCH(MAXIFS('서식지_점수'!E602:P602,'서식지_점수'!E602:P602,"&lt;"&amp;MAX('서식지_점수'!E602:P602)),'서식지_점수'!E602:P602,0)),"")</x:f>
        <x:v>숲</x:v>
      </x:c>
      <x:c r="X602" s="8" t="str">
        <x:f>IF(T602&lt;&gt;"","수동확정",IF(MAX('서식지_점수'!E602:P602)-LARGE('서식지_점수'!E602:P602,2)&gt;=15,"높음",IF(MAX('서식지_점수'!E602:P602)-LARGE('서식지_점수'!E602:P602,2)&gt;=8,"보통","검토필요")))</x:f>
        <x:v>검토필요</x:v>
      </x:c>
      <x:c r="Y602" s="9" t="n">
        <x:f>IF(Q602="전설",8,IF(Q602="희귀",7,IF(J602="기본",1,IF(J602="중간",3,IF(J602="최종",IF(I602="",5,IF(I602&lt;=20,3,IF(I602&lt;=35,4,IF(I602&lt;=50,6,7)))),IF(Q602="드묾",4,2))))))</x:f>
        <x:v>6</x:v>
      </x:c>
      <x:c r="Z602" s="5" t="inlineStr">
        <x:is>
          <x:t xml:space="preserve">#cobblemon:is_lush; #cobblemon:is_overworld</x:t>
        </x:is>
      </x:c>
      <x:c r="AA602" s="5" t="inlineStr">
        <x:is>
          <x:t xml:space="preserve">common</x:t>
        </x:is>
      </x:c>
      <x:c r="AB602" s="5" t="inlineStr">
        <x:is>
          <x:t xml:space="preserve">예</x:t>
        </x:is>
      </x:c>
      <x:c r="AC602" s="8" t="str">
        <x:f>IF(T602&lt;&gt;"","수동확정",IF(X602="검토필요","검토필요",IF(S602="","원본없음","초기완료")))</x:f>
        <x:v>검토필요</x:v>
      </x:c>
      <x:c r="AD602" s="7" t="inlineStr">
        <x:is>
          <x:t xml:space="preserve"/>
        </x:is>
      </x:c>
      <x:c r="AE602" s="5" t="inlineStr">
        <x:is>
          <x:t xml:space="preserve">.tmp/cobblemon-1.7.3-source/common/src/main/resources/data/cobblemon/species/generation5/ferrothorn.json</x:t>
        </x:is>
      </x:c>
      <x:c r="AF602" s="5" t="str">
        <x:f>"생활권|"&amp;K602</x:f>
        <x:v>생활권|육상</x:v>
      </x:c>
      <x:c r="AG602" s="5" t="str">
        <x:f>"지형|"&amp;L602</x:f>
        <x:v>지형|수목</x:v>
      </x:c>
      <x:c r="AH602" s="5" t="str">
        <x:f>"온도|"&amp;M602</x:f>
        <x:v>온도|온대</x:v>
      </x:c>
      <x:c r="AI602" s="5" t="str">
        <x:f>"습도|"&amp;N602</x:f>
        <x:v>습도|보통</x:v>
      </x:c>
      <x:c r="AJ602" s="5" t="str">
        <x:f>"날씨|"&amp;O602</x:f>
        <x:v>날씨|무관</x:v>
      </x:c>
      <x:c r="AK602" s="5" t="str">
        <x:f>"특수태그|"&amp;R602</x:f>
        <x:v>특수태그|없음</x:v>
      </x:c>
      <x:c r="AL602" s="5" t="str">
        <x:f>"원본서식지|"&amp;S602</x:f>
        <x:v>원본서식지|</x:v>
      </x:c>
      <x:c r="AM602" s="5" t="str">
        <x:f>"타입|"&amp;F602</x:f>
        <x:v>타입|풀</x:v>
      </x:c>
      <x:c r="AN602" s="5" t="str">
        <x:f>"타입|"&amp;G602</x:f>
        <x:v>타입|강철</x:v>
      </x:c>
    </x:row>
    <x:row r="603" ht="24" customHeight="1">
      <x:c r="A603" s="5" t="n">
        <x:v>599</x:v>
      </x:c>
      <x:c r="B603" s="5" t="inlineStr">
        <x:is>
          <x:t xml:space="preserve">기어르</x:t>
        </x:is>
      </x:c>
      <x:c r="C603" s="5" t="inlineStr">
        <x:is>
          <x:t xml:space="preserve">klink</x:t>
        </x:is>
      </x:c>
      <x:c r="D603" s="5" t="inlineStr">
        <x:is>
          <x:t xml:space="preserve">Klink</x:t>
        </x:is>
      </x:c>
      <x:c r="E603" s="5" t="n">
        <x:v>5</x:v>
      </x:c>
      <x:c r="F603" s="5" t="inlineStr">
        <x:is>
          <x:t xml:space="preserve">강철</x:t>
        </x:is>
      </x:c>
      <x:c r="G603" s="5" t="inlineStr">
        <x:is>
          <x:t xml:space="preserve"/>
        </x:is>
      </x:c>
      <x:c r="H603" s="6" t="n">
        <x:v>21</x:v>
      </x:c>
      <x:c r="I603" s="5" t="n">
        <x:v>49</x:v>
      </x:c>
      <x:c r="J603" s="5" t="inlineStr">
        <x:is>
          <x:t xml:space="preserve">기본</x:t>
        </x:is>
      </x:c>
      <x:c r="K603" s="7" t="inlineStr">
        <x:is>
          <x:t xml:space="preserve">인공</x:t>
        </x:is>
      </x:c>
      <x:c r="L603" s="7" t="inlineStr">
        <x:is>
          <x:t xml:space="preserve">동굴</x:t>
        </x:is>
      </x:c>
      <x:c r="M603" s="7" t="inlineStr">
        <x:is>
          <x:t xml:space="preserve">온대</x:t>
        </x:is>
      </x:c>
      <x:c r="N603" s="7" t="inlineStr">
        <x:is>
          <x:t xml:space="preserve">보통</x:t>
        </x:is>
      </x:c>
      <x:c r="O603" s="7" t="inlineStr">
        <x:is>
          <x:t xml:space="preserve">무관</x:t>
        </x:is>
      </x:c>
      <x:c r="P603" s="7" t="inlineStr">
        <x:is>
          <x:t xml:space="preserve">무관</x:t>
        </x:is>
      </x:c>
      <x:c r="Q603" s="7" t="inlineStr">
        <x:is>
          <x:t xml:space="preserve">흔함</x:t>
        </x:is>
      </x:c>
      <x:c r="R603" s="7" t="inlineStr">
        <x:is>
          <x:t xml:space="preserve">동굴</x:t>
        </x:is>
      </x:c>
      <x:c r="S603" s="7" t="inlineStr">
        <x:is>
          <x:t xml:space="preserve">동굴</x:t>
        </x:is>
      </x:c>
      <x:c r="T603" s="7" t="inlineStr">
        <x:is>
          <x:t xml:space="preserve"/>
        </x:is>
      </x:c>
      <x:c r="U603" s="8" t="str">
        <x:f>INDEX('서식지_점수'!$E$4:$P$4,1,MATCH(MAX('서식지_점수'!E603:P603),'서식지_점수'!E603:P603,0))</x:f>
        <x:v>도시</x:v>
      </x:c>
      <x:c r="V603" s="8" t="str">
        <x:f>IF(T603&lt;&gt;"",T603,U603)</x:f>
        <x:v>도시</x:v>
      </x:c>
      <x:c r="W603" s="8" t="str">
        <x:f>IFERROR(INDEX('서식지_점수'!$E$4:$P$4,1,MATCH(MAXIFS('서식지_점수'!E603:P603,'서식지_점수'!E603:P603,"&lt;"&amp;MAX('서식지_점수'!E603:P603)),'서식지_점수'!E603:P603,0)),"")</x:f>
        <x:v>특수</x:v>
      </x:c>
      <x:c r="X603" s="8" t="str">
        <x:f>IF(T603&lt;&gt;"","수동확정",IF(MAX('서식지_점수'!E603:P603)-LARGE('서식지_점수'!E603:P603,2)&gt;=15,"높음",IF(MAX('서식지_점수'!E603:P603)-LARGE('서식지_점수'!E603:P603,2)&gt;=8,"보통","검토필요")))</x:f>
        <x:v>높음</x:v>
      </x:c>
      <x:c r="Y603" s="9" t="n">
        <x:f>IF(Q603="전설",8,IF(Q603="희귀",7,IF(J603="기본",1,IF(J603="중간",3,IF(J603="최종",IF(I603="",5,IF(I603&lt;=20,3,IF(I603&lt;=35,4,IF(I603&lt;=50,6,7)))),IF(Q603="드묾",4,2))))))</x:f>
        <x:v>1</x:v>
      </x:c>
      <x:c r="Z603" s="5" t="inlineStr">
        <x:is>
          <x:t xml:space="preserve">#cobblemon:is_badlands; #cobblemon:is_cave</x:t>
        </x:is>
      </x:c>
      <x:c r="AA603" s="5" t="inlineStr">
        <x:is>
          <x:t xml:space="preserve">common</x:t>
        </x:is>
      </x:c>
      <x:c r="AB603" s="5" t="inlineStr">
        <x:is>
          <x:t xml:space="preserve">예</x:t>
        </x:is>
      </x:c>
      <x:c r="AC603" s="8" t="str">
        <x:f>IF(T603&lt;&gt;"","수동확정",IF(X603="검토필요","검토필요",IF(S603="","원본없음","초기완료")))</x:f>
        <x:v>초기완료</x:v>
      </x:c>
      <x:c r="AD603" s="7" t="inlineStr">
        <x:is>
          <x:t xml:space="preserve"/>
        </x:is>
      </x:c>
      <x:c r="AE603" s="5" t="inlineStr">
        <x:is>
          <x:t xml:space="preserve">.tmp/cobblemon-1.7.3-source/common/src/main/resources/data/cobblemon/species/generation5/klink.json</x:t>
        </x:is>
      </x:c>
      <x:c r="AF603" s="5" t="str">
        <x:f>"생활권|"&amp;K603</x:f>
        <x:v>생활권|인공</x:v>
      </x:c>
      <x:c r="AG603" s="5" t="str">
        <x:f>"지형|"&amp;L603</x:f>
        <x:v>지형|동굴</x:v>
      </x:c>
      <x:c r="AH603" s="5" t="str">
        <x:f>"온도|"&amp;M603</x:f>
        <x:v>온도|온대</x:v>
      </x:c>
      <x:c r="AI603" s="5" t="str">
        <x:f>"습도|"&amp;N603</x:f>
        <x:v>습도|보통</x:v>
      </x:c>
      <x:c r="AJ603" s="5" t="str">
        <x:f>"날씨|"&amp;O603</x:f>
        <x:v>날씨|무관</x:v>
      </x:c>
      <x:c r="AK603" s="5" t="str">
        <x:f>"특수태그|"&amp;R603</x:f>
        <x:v>특수태그|동굴</x:v>
      </x:c>
      <x:c r="AL603" s="5" t="str">
        <x:f>"원본서식지|"&amp;S603</x:f>
        <x:v>원본서식지|동굴</x:v>
      </x:c>
      <x:c r="AM603" s="5" t="str">
        <x:f>"타입|"&amp;F603</x:f>
        <x:v>타입|강철</x:v>
      </x:c>
      <x:c r="AN603" s="5" t="str">
        <x:f>"타입|"&amp;G603</x:f>
        <x:v>타입|</x:v>
      </x:c>
    </x:row>
    <x:row r="604" ht="24" customHeight="1">
      <x:c r="A604" s="5" t="n">
        <x:v>600</x:v>
      </x:c>
      <x:c r="B604" s="5" t="inlineStr">
        <x:is>
          <x:t xml:space="preserve">기기어르</x:t>
        </x:is>
      </x:c>
      <x:c r="C604" s="5" t="inlineStr">
        <x:is>
          <x:t xml:space="preserve">klang</x:t>
        </x:is>
      </x:c>
      <x:c r="D604" s="5" t="inlineStr">
        <x:is>
          <x:t xml:space="preserve">Klang</x:t>
        </x:is>
      </x:c>
      <x:c r="E604" s="5" t="n">
        <x:v>5</x:v>
      </x:c>
      <x:c r="F604" s="5" t="inlineStr">
        <x:is>
          <x:t xml:space="preserve">강철</x:t>
        </x:is>
      </x:c>
      <x:c r="G604" s="5" t="inlineStr">
        <x:is>
          <x:t xml:space="preserve"/>
        </x:is>
      </x:c>
      <x:c r="H604" s="6" t="n">
        <x:v>51</x:v>
      </x:c>
      <x:c r="I604" s="5" t="n">
        <x:v>49</x:v>
      </x:c>
      <x:c r="J604" s="5" t="inlineStr">
        <x:is>
          <x:t xml:space="preserve">중간</x:t>
        </x:is>
      </x:c>
      <x:c r="K604" s="7" t="inlineStr">
        <x:is>
          <x:t xml:space="preserve">인공</x:t>
        </x:is>
      </x:c>
      <x:c r="L604" s="7" t="inlineStr">
        <x:is>
          <x:t xml:space="preserve">동굴</x:t>
        </x:is>
      </x:c>
      <x:c r="M604" s="7" t="inlineStr">
        <x:is>
          <x:t xml:space="preserve">온대</x:t>
        </x:is>
      </x:c>
      <x:c r="N604" s="7" t="inlineStr">
        <x:is>
          <x:t xml:space="preserve">보통</x:t>
        </x:is>
      </x:c>
      <x:c r="O604" s="7" t="inlineStr">
        <x:is>
          <x:t xml:space="preserve">무관</x:t>
        </x:is>
      </x:c>
      <x:c r="P604" s="7" t="inlineStr">
        <x:is>
          <x:t xml:space="preserve">무관</x:t>
        </x:is>
      </x:c>
      <x:c r="Q604" s="7" t="inlineStr">
        <x:is>
          <x:t xml:space="preserve">흔함</x:t>
        </x:is>
      </x:c>
      <x:c r="R604" s="7" t="inlineStr">
        <x:is>
          <x:t xml:space="preserve">동굴</x:t>
        </x:is>
      </x:c>
      <x:c r="S604" s="7" t="inlineStr">
        <x:is>
          <x:t xml:space="preserve">동굴</x:t>
        </x:is>
      </x:c>
      <x:c r="T604" s="7" t="inlineStr">
        <x:is>
          <x:t xml:space="preserve"/>
        </x:is>
      </x:c>
      <x:c r="U604" s="8" t="str">
        <x:f>INDEX('서식지_점수'!$E$4:$P$4,1,MATCH(MAX('서식지_점수'!E604:P604),'서식지_점수'!E604:P604,0))</x:f>
        <x:v>도시</x:v>
      </x:c>
      <x:c r="V604" s="8" t="str">
        <x:f>IF(T604&lt;&gt;"",T604,U604)</x:f>
        <x:v>도시</x:v>
      </x:c>
      <x:c r="W604" s="8" t="str">
        <x:f>IFERROR(INDEX('서식지_점수'!$E$4:$P$4,1,MATCH(MAXIFS('서식지_점수'!E604:P604,'서식지_점수'!E604:P604,"&lt;"&amp;MAX('서식지_점수'!E604:P604)),'서식지_점수'!E604:P604,0)),"")</x:f>
        <x:v>특수</x:v>
      </x:c>
      <x:c r="X604" s="8" t="str">
        <x:f>IF(T604&lt;&gt;"","수동확정",IF(MAX('서식지_점수'!E604:P604)-LARGE('서식지_점수'!E604:P604,2)&gt;=15,"높음",IF(MAX('서식지_점수'!E604:P604)-LARGE('서식지_점수'!E604:P604,2)&gt;=8,"보통","검토필요")))</x:f>
        <x:v>높음</x:v>
      </x:c>
      <x:c r="Y604" s="9" t="n">
        <x:f>IF(Q604="전설",8,IF(Q604="희귀",7,IF(J604="기본",1,IF(J604="중간",3,IF(J604="최종",IF(I604="",5,IF(I604&lt;=20,3,IF(I604&lt;=35,4,IF(I604&lt;=50,6,7)))),IF(Q604="드묾",4,2))))))</x:f>
        <x:v>3</x:v>
      </x:c>
      <x:c r="Z604" s="5" t="inlineStr">
        <x:is>
          <x:t xml:space="preserve">#cobblemon:is_badlands; #cobblemon:is_cave</x:t>
        </x:is>
      </x:c>
      <x:c r="AA604" s="5" t="inlineStr">
        <x:is>
          <x:t xml:space="preserve">common</x:t>
        </x:is>
      </x:c>
      <x:c r="AB604" s="5" t="inlineStr">
        <x:is>
          <x:t xml:space="preserve">예</x:t>
        </x:is>
      </x:c>
      <x:c r="AC604" s="8" t="str">
        <x:f>IF(T604&lt;&gt;"","수동확정",IF(X604="검토필요","검토필요",IF(S604="","원본없음","초기완료")))</x:f>
        <x:v>초기완료</x:v>
      </x:c>
      <x:c r="AD604" s="7" t="inlineStr">
        <x:is>
          <x:t xml:space="preserve"/>
        </x:is>
      </x:c>
      <x:c r="AE604" s="5" t="inlineStr">
        <x:is>
          <x:t xml:space="preserve">.tmp/cobblemon-1.7.3-source/common/src/main/resources/data/cobblemon/species/generation5/klang.json</x:t>
        </x:is>
      </x:c>
      <x:c r="AF604" s="5" t="str">
        <x:f>"생활권|"&amp;K604</x:f>
        <x:v>생활권|인공</x:v>
      </x:c>
      <x:c r="AG604" s="5" t="str">
        <x:f>"지형|"&amp;L604</x:f>
        <x:v>지형|동굴</x:v>
      </x:c>
      <x:c r="AH604" s="5" t="str">
        <x:f>"온도|"&amp;M604</x:f>
        <x:v>온도|온대</x:v>
      </x:c>
      <x:c r="AI604" s="5" t="str">
        <x:f>"습도|"&amp;N604</x:f>
        <x:v>습도|보통</x:v>
      </x:c>
      <x:c r="AJ604" s="5" t="str">
        <x:f>"날씨|"&amp;O604</x:f>
        <x:v>날씨|무관</x:v>
      </x:c>
      <x:c r="AK604" s="5" t="str">
        <x:f>"특수태그|"&amp;R604</x:f>
        <x:v>특수태그|동굴</x:v>
      </x:c>
      <x:c r="AL604" s="5" t="str">
        <x:f>"원본서식지|"&amp;S604</x:f>
        <x:v>원본서식지|동굴</x:v>
      </x:c>
      <x:c r="AM604" s="5" t="str">
        <x:f>"타입|"&amp;F604</x:f>
        <x:v>타입|강철</x:v>
      </x:c>
      <x:c r="AN604" s="5" t="str">
        <x:f>"타입|"&amp;G604</x:f>
        <x:v>타입|</x:v>
      </x:c>
    </x:row>
    <x:row r="605" ht="24" customHeight="1">
      <x:c r="A605" s="5" t="n">
        <x:v>601</x:v>
      </x:c>
      <x:c r="B605" s="5" t="inlineStr">
        <x:is>
          <x:t xml:space="preserve">기기기어르</x:t>
        </x:is>
      </x:c>
      <x:c r="C605" s="5" t="inlineStr">
        <x:is>
          <x:t xml:space="preserve">klinklang</x:t>
        </x:is>
      </x:c>
      <x:c r="D605" s="5" t="inlineStr">
        <x:is>
          <x:t xml:space="preserve">Klinklang</x:t>
        </x:is>
      </x:c>
      <x:c r="E605" s="5" t="n">
        <x:v>5</x:v>
      </x:c>
      <x:c r="F605" s="5" t="inlineStr">
        <x:is>
          <x:t xml:space="preserve">강철</x:t>
        </x:is>
      </x:c>
      <x:c r="G605" s="5" t="inlineStr">
        <x:is>
          <x:t xml:space="preserve"/>
        </x:is>
      </x:c>
      <x:c r="H605" s="6" t="n">
        <x:v>81</x:v>
      </x:c>
      <x:c r="I605" s="5" t="n">
        <x:v>49</x:v>
      </x:c>
      <x:c r="J605" s="5" t="inlineStr">
        <x:is>
          <x:t xml:space="preserve">최종</x:t>
        </x:is>
      </x:c>
      <x:c r="K605" s="7" t="inlineStr">
        <x:is>
          <x:t xml:space="preserve">인공</x:t>
        </x:is>
      </x:c>
      <x:c r="L605" s="7" t="inlineStr">
        <x:is>
          <x:t xml:space="preserve">동굴</x:t>
        </x:is>
      </x:c>
      <x:c r="M605" s="7" t="inlineStr">
        <x:is>
          <x:t xml:space="preserve">온대</x:t>
        </x:is>
      </x:c>
      <x:c r="N605" s="7" t="inlineStr">
        <x:is>
          <x:t xml:space="preserve">보통</x:t>
        </x:is>
      </x:c>
      <x:c r="O605" s="7" t="inlineStr">
        <x:is>
          <x:t xml:space="preserve">무관</x:t>
        </x:is>
      </x:c>
      <x:c r="P605" s="7" t="inlineStr">
        <x:is>
          <x:t xml:space="preserve">무관</x:t>
        </x:is>
      </x:c>
      <x:c r="Q605" s="7" t="inlineStr">
        <x:is>
          <x:t xml:space="preserve">흔함</x:t>
        </x:is>
      </x:c>
      <x:c r="R605" s="7" t="inlineStr">
        <x:is>
          <x:t xml:space="preserve">동굴</x:t>
        </x:is>
      </x:c>
      <x:c r="S605" s="7" t="inlineStr">
        <x:is>
          <x:t xml:space="preserve">동굴</x:t>
        </x:is>
      </x:c>
      <x:c r="T605" s="7" t="inlineStr">
        <x:is>
          <x:t xml:space="preserve"/>
        </x:is>
      </x:c>
      <x:c r="U605" s="8" t="str">
        <x:f>INDEX('서식지_점수'!$E$4:$P$4,1,MATCH(MAX('서식지_점수'!E605:P605),'서식지_점수'!E605:P605,0))</x:f>
        <x:v>도시</x:v>
      </x:c>
      <x:c r="V605" s="8" t="str">
        <x:f>IF(T605&lt;&gt;"",T605,U605)</x:f>
        <x:v>도시</x:v>
      </x:c>
      <x:c r="W605" s="8" t="str">
        <x:f>IFERROR(INDEX('서식지_점수'!$E$4:$P$4,1,MATCH(MAXIFS('서식지_점수'!E605:P605,'서식지_점수'!E605:P605,"&lt;"&amp;MAX('서식지_점수'!E605:P605)),'서식지_점수'!E605:P605,0)),"")</x:f>
        <x:v>특수</x:v>
      </x:c>
      <x:c r="X605" s="8" t="str">
        <x:f>IF(T605&lt;&gt;"","수동확정",IF(MAX('서식지_점수'!E605:P605)-LARGE('서식지_점수'!E605:P605,2)&gt;=15,"높음",IF(MAX('서식지_점수'!E605:P605)-LARGE('서식지_점수'!E605:P605,2)&gt;=8,"보통","검토필요")))</x:f>
        <x:v>높음</x:v>
      </x:c>
      <x:c r="Y605" s="9" t="n">
        <x:f>IF(Q605="전설",8,IF(Q605="희귀",7,IF(J605="기본",1,IF(J605="중간",3,IF(J605="최종",IF(I605="",5,IF(I605&lt;=20,3,IF(I605&lt;=35,4,IF(I605&lt;=50,6,7)))),IF(Q605="드묾",4,2))))))</x:f>
        <x:v>6</x:v>
      </x:c>
      <x:c r="Z605" s="5" t="inlineStr">
        <x:is>
          <x:t xml:space="preserve">#cobblemon:is_badlands; #cobblemon:is_cave</x:t>
        </x:is>
      </x:c>
      <x:c r="AA605" s="5" t="inlineStr">
        <x:is>
          <x:t xml:space="preserve">common</x:t>
        </x:is>
      </x:c>
      <x:c r="AB605" s="5" t="inlineStr">
        <x:is>
          <x:t xml:space="preserve">예</x:t>
        </x:is>
      </x:c>
      <x:c r="AC605" s="8" t="str">
        <x:f>IF(T605&lt;&gt;"","수동확정",IF(X605="검토필요","검토필요",IF(S605="","원본없음","초기완료")))</x:f>
        <x:v>초기완료</x:v>
      </x:c>
      <x:c r="AD605" s="7" t="inlineStr">
        <x:is>
          <x:t xml:space="preserve"/>
        </x:is>
      </x:c>
      <x:c r="AE605" s="5" t="inlineStr">
        <x:is>
          <x:t xml:space="preserve">.tmp/cobblemon-1.7.3-source/common/src/main/resources/data/cobblemon/species/generation5/klinklang.json</x:t>
        </x:is>
      </x:c>
      <x:c r="AF605" s="5" t="str">
        <x:f>"생활권|"&amp;K605</x:f>
        <x:v>생활권|인공</x:v>
      </x:c>
      <x:c r="AG605" s="5" t="str">
        <x:f>"지형|"&amp;L605</x:f>
        <x:v>지형|동굴</x:v>
      </x:c>
      <x:c r="AH605" s="5" t="str">
        <x:f>"온도|"&amp;M605</x:f>
        <x:v>온도|온대</x:v>
      </x:c>
      <x:c r="AI605" s="5" t="str">
        <x:f>"습도|"&amp;N605</x:f>
        <x:v>습도|보통</x:v>
      </x:c>
      <x:c r="AJ605" s="5" t="str">
        <x:f>"날씨|"&amp;O605</x:f>
        <x:v>날씨|무관</x:v>
      </x:c>
      <x:c r="AK605" s="5" t="str">
        <x:f>"특수태그|"&amp;R605</x:f>
        <x:v>특수태그|동굴</x:v>
      </x:c>
      <x:c r="AL605" s="5" t="str">
        <x:f>"원본서식지|"&amp;S605</x:f>
        <x:v>원본서식지|동굴</x:v>
      </x:c>
      <x:c r="AM605" s="5" t="str">
        <x:f>"타입|"&amp;F605</x:f>
        <x:v>타입|강철</x:v>
      </x:c>
      <x:c r="AN605" s="5" t="str">
        <x:f>"타입|"&amp;G605</x:f>
        <x:v>타입|</x:v>
      </x:c>
    </x:row>
    <x:row r="606" ht="24" customHeight="1">
      <x:c r="A606" s="5" t="n">
        <x:v>602</x:v>
      </x:c>
      <x:c r="B606" s="5" t="inlineStr">
        <x:is>
          <x:t xml:space="preserve">저리어</x:t>
        </x:is>
      </x:c>
      <x:c r="C606" s="5" t="inlineStr">
        <x:is>
          <x:t xml:space="preserve">tynamo</x:t>
        </x:is>
      </x:c>
      <x:c r="D606" s="5" t="inlineStr">
        <x:is>
          <x:t xml:space="preserve">Tynamo</x:t>
        </x:is>
      </x:c>
      <x:c r="E606" s="5" t="n">
        <x:v>5</x:v>
      </x:c>
      <x:c r="F606" s="5" t="inlineStr">
        <x:is>
          <x:t xml:space="preserve">전기</x:t>
        </x:is>
      </x:c>
      <x:c r="G606" s="5" t="inlineStr">
        <x:is>
          <x:t xml:space="preserve"/>
        </x:is>
      </x:c>
      <x:c r="H606" s="6" t="n">
        <x:v>0.3</x:v>
      </x:c>
      <x:c r="I606" s="5" t="n">
        <x:v>39</x:v>
      </x:c>
      <x:c r="J606" s="5" t="inlineStr">
        <x:is>
          <x:t xml:space="preserve">기본</x:t>
        </x:is>
      </x:c>
      <x:c r="K606" s="7" t="inlineStr">
        <x:is>
          <x:t xml:space="preserve">해양</x:t>
        </x:is>
      </x:c>
      <x:c r="L606" s="7" t="inlineStr">
        <x:is>
          <x:t xml:space="preserve">해안·해양</x:t>
        </x:is>
      </x:c>
      <x:c r="M606" s="7" t="inlineStr">
        <x:is>
          <x:t xml:space="preserve">온대</x:t>
        </x:is>
      </x:c>
      <x:c r="N606" s="7" t="inlineStr">
        <x:is>
          <x:t xml:space="preserve">수중</x:t>
        </x:is>
      </x:c>
      <x:c r="O606" s="7" t="inlineStr">
        <x:is>
          <x:t xml:space="preserve">비</x:t>
        </x:is>
      </x:c>
      <x:c r="P606" s="7" t="inlineStr">
        <x:is>
          <x:t xml:space="preserve">무관</x:t>
        </x:is>
      </x:c>
      <x:c r="Q606" s="7" t="inlineStr">
        <x:is>
          <x:t xml:space="preserve">보통</x:t>
        </x:is>
      </x:c>
      <x:c r="R606" s="7" t="inlineStr">
        <x:is>
          <x:t xml:space="preserve">없음</x:t>
        </x:is>
      </x:c>
      <x:c r="S606" s="7" t="inlineStr">
        <x:is>
          <x:t xml:space="preserve">해양</x:t>
        </x:is>
      </x:c>
      <x:c r="T606" s="7" t="inlineStr">
        <x:is>
          <x:t xml:space="preserve"/>
        </x:is>
      </x:c>
      <x:c r="U606" s="8" t="str">
        <x:f>INDEX('서식지_점수'!$E$4:$P$4,1,MATCH(MAX('서식지_점수'!E606:P606),'서식지_점수'!E606:P606,0))</x:f>
        <x:v>해양</x:v>
      </x:c>
      <x:c r="V606" s="8" t="str">
        <x:f>IF(T606&lt;&gt;"",T606,U606)</x:f>
        <x:v>해양</x:v>
      </x:c>
      <x:c r="W606" s="8" t="str">
        <x:f>IFERROR(INDEX('서식지_점수'!$E$4:$P$4,1,MATCH(MAXIFS('서식지_점수'!E606:P606,'서식지_점수'!E606:P606,"&lt;"&amp;MAX('서식지_점수'!E606:P606)),'서식지_점수'!E606:P606,0)),"")</x:f>
        <x:v>습지</x:v>
      </x:c>
      <x:c r="X606" s="8" t="str">
        <x:f>IF(T606&lt;&gt;"","수동확정",IF(MAX('서식지_점수'!E606:P606)-LARGE('서식지_점수'!E606:P606,2)&gt;=15,"높음",IF(MAX('서식지_점수'!E606:P606)-LARGE('서식지_점수'!E606:P606,2)&gt;=8,"보통","검토필요")))</x:f>
        <x:v>높음</x:v>
      </x:c>
      <x:c r="Y606" s="9" t="n">
        <x:f>IF(Q606="전설",8,IF(Q606="희귀",7,IF(J606="기본",1,IF(J606="중간",3,IF(J606="최종",IF(I606="",5,IF(I606&lt;=20,3,IF(I606&lt;=35,4,IF(I606&lt;=50,6,7)))),IF(Q606="드묾",4,2))))))</x:f>
        <x:v>1</x:v>
      </x:c>
      <x:c r="Z606" s="5" t="inlineStr">
        <x:is>
          <x:t xml:space="preserve">#cobblemon:is_ocean; #cobblemon:is_overworld</x:t>
        </x:is>
      </x:c>
      <x:c r="AA606" s="5" t="inlineStr">
        <x:is>
          <x:t xml:space="preserve">common; uncommon</x:t>
        </x:is>
      </x:c>
      <x:c r="AB606" s="5" t="inlineStr">
        <x:is>
          <x:t xml:space="preserve">예</x:t>
        </x:is>
      </x:c>
      <x:c r="AC606" s="8" t="str">
        <x:f>IF(T606&lt;&gt;"","수동확정",IF(X606="검토필요","검토필요",IF(S606="","원본없음","초기완료")))</x:f>
        <x:v>초기완료</x:v>
      </x:c>
      <x:c r="AD606" s="7" t="inlineStr">
        <x:is>
          <x:t xml:space="preserve"/>
        </x:is>
      </x:c>
      <x:c r="AE606" s="5" t="inlineStr">
        <x:is>
          <x:t xml:space="preserve">.tmp/cobblemon-1.7.3-source/common/src/main/resources/data/cobblemon/species/generation5/tynamo.json</x:t>
        </x:is>
      </x:c>
      <x:c r="AF606" s="5" t="str">
        <x:f>"생활권|"&amp;K606</x:f>
        <x:v>생활권|해양</x:v>
      </x:c>
      <x:c r="AG606" s="5" t="str">
        <x:f>"지형|"&amp;L606</x:f>
        <x:v>지형|해안·해양</x:v>
      </x:c>
      <x:c r="AH606" s="5" t="str">
        <x:f>"온도|"&amp;M606</x:f>
        <x:v>온도|온대</x:v>
      </x:c>
      <x:c r="AI606" s="5" t="str">
        <x:f>"습도|"&amp;N606</x:f>
        <x:v>습도|수중</x:v>
      </x:c>
      <x:c r="AJ606" s="5" t="str">
        <x:f>"날씨|"&amp;O606</x:f>
        <x:v>날씨|비</x:v>
      </x:c>
      <x:c r="AK606" s="5" t="str">
        <x:f>"특수태그|"&amp;R606</x:f>
        <x:v>특수태그|없음</x:v>
      </x:c>
      <x:c r="AL606" s="5" t="str">
        <x:f>"원본서식지|"&amp;S606</x:f>
        <x:v>원본서식지|해양</x:v>
      </x:c>
      <x:c r="AM606" s="5" t="str">
        <x:f>"타입|"&amp;F606</x:f>
        <x:v>타입|전기</x:v>
      </x:c>
      <x:c r="AN606" s="5" t="str">
        <x:f>"타입|"&amp;G606</x:f>
        <x:v>타입|</x:v>
      </x:c>
    </x:row>
    <x:row r="607" ht="24" customHeight="1">
      <x:c r="A607" s="5" t="n">
        <x:v>603</x:v>
      </x:c>
      <x:c r="B607" s="5" t="inlineStr">
        <x:is>
          <x:t xml:space="preserve">저리릴</x:t>
        </x:is>
      </x:c>
      <x:c r="C607" s="5" t="inlineStr">
        <x:is>
          <x:t xml:space="preserve">eelektrik</x:t>
        </x:is>
      </x:c>
      <x:c r="D607" s="5" t="inlineStr">
        <x:is>
          <x:t xml:space="preserve">Eelektrik</x:t>
        </x:is>
      </x:c>
      <x:c r="E607" s="5" t="n">
        <x:v>5</x:v>
      </x:c>
      <x:c r="F607" s="5" t="inlineStr">
        <x:is>
          <x:t xml:space="preserve">전기</x:t>
        </x:is>
      </x:c>
      <x:c r="G607" s="5" t="inlineStr">
        <x:is>
          <x:t xml:space="preserve"/>
        </x:is>
      </x:c>
      <x:c r="H607" s="6" t="n">
        <x:v>22</x:v>
      </x:c>
      <x:c r="I607" s="5" t="n">
        <x:v>39</x:v>
      </x:c>
      <x:c r="J607" s="5" t="inlineStr">
        <x:is>
          <x:t xml:space="preserve">중간</x:t>
        </x:is>
      </x:c>
      <x:c r="K607" s="7" t="inlineStr">
        <x:is>
          <x:t xml:space="preserve">해양</x:t>
        </x:is>
      </x:c>
      <x:c r="L607" s="7" t="inlineStr">
        <x:is>
          <x:t xml:space="preserve">해안·해양</x:t>
        </x:is>
      </x:c>
      <x:c r="M607" s="7" t="inlineStr">
        <x:is>
          <x:t xml:space="preserve">온대</x:t>
        </x:is>
      </x:c>
      <x:c r="N607" s="7" t="inlineStr">
        <x:is>
          <x:t xml:space="preserve">수중</x:t>
        </x:is>
      </x:c>
      <x:c r="O607" s="7" t="inlineStr">
        <x:is>
          <x:t xml:space="preserve">비</x:t>
        </x:is>
      </x:c>
      <x:c r="P607" s="7" t="inlineStr">
        <x:is>
          <x:t xml:space="preserve">무관</x:t>
        </x:is>
      </x:c>
      <x:c r="Q607" s="7" t="inlineStr">
        <x:is>
          <x:t xml:space="preserve">보통</x:t>
        </x:is>
      </x:c>
      <x:c r="R607" s="7" t="inlineStr">
        <x:is>
          <x:t xml:space="preserve">없음</x:t>
        </x:is>
      </x:c>
      <x:c r="S607" s="7" t="inlineStr">
        <x:is>
          <x:t xml:space="preserve">해양</x:t>
        </x:is>
      </x:c>
      <x:c r="T607" s="7" t="inlineStr">
        <x:is>
          <x:t xml:space="preserve"/>
        </x:is>
      </x:c>
      <x:c r="U607" s="8" t="str">
        <x:f>INDEX('서식지_점수'!$E$4:$P$4,1,MATCH(MAX('서식지_점수'!E607:P607),'서식지_점수'!E607:P607,0))</x:f>
        <x:v>해양</x:v>
      </x:c>
      <x:c r="V607" s="8" t="str">
        <x:f>IF(T607&lt;&gt;"",T607,U607)</x:f>
        <x:v>해양</x:v>
      </x:c>
      <x:c r="W607" s="8" t="str">
        <x:f>IFERROR(INDEX('서식지_점수'!$E$4:$P$4,1,MATCH(MAXIFS('서식지_점수'!E607:P607,'서식지_점수'!E607:P607,"&lt;"&amp;MAX('서식지_점수'!E607:P607)),'서식지_점수'!E607:P607,0)),"")</x:f>
        <x:v>습지</x:v>
      </x:c>
      <x:c r="X607" s="8" t="str">
        <x:f>IF(T607&lt;&gt;"","수동확정",IF(MAX('서식지_점수'!E607:P607)-LARGE('서식지_점수'!E607:P607,2)&gt;=15,"높음",IF(MAX('서식지_점수'!E607:P607)-LARGE('서식지_점수'!E607:P607,2)&gt;=8,"보통","검토필요")))</x:f>
        <x:v>높음</x:v>
      </x:c>
      <x:c r="Y607" s="9" t="n">
        <x:f>IF(Q607="전설",8,IF(Q607="희귀",7,IF(J607="기본",1,IF(J607="중간",3,IF(J607="최종",IF(I607="",5,IF(I607&lt;=20,3,IF(I607&lt;=35,4,IF(I607&lt;=50,6,7)))),IF(Q607="드묾",4,2))))))</x:f>
        <x:v>3</x:v>
      </x:c>
      <x:c r="Z607" s="5" t="inlineStr">
        <x:is>
          <x:t xml:space="preserve">#cobblemon:is_ocean; #cobblemon:is_overworld</x:t>
        </x:is>
      </x:c>
      <x:c r="AA607" s="5" t="inlineStr">
        <x:is>
          <x:t xml:space="preserve">common; uncommon</x:t>
        </x:is>
      </x:c>
      <x:c r="AB607" s="5" t="inlineStr">
        <x:is>
          <x:t xml:space="preserve">예</x:t>
        </x:is>
      </x:c>
      <x:c r="AC607" s="8" t="str">
        <x:f>IF(T607&lt;&gt;"","수동확정",IF(X607="검토필요","검토필요",IF(S607="","원본없음","초기완료")))</x:f>
        <x:v>초기완료</x:v>
      </x:c>
      <x:c r="AD607" s="7" t="inlineStr">
        <x:is>
          <x:t xml:space="preserve"/>
        </x:is>
      </x:c>
      <x:c r="AE607" s="5" t="inlineStr">
        <x:is>
          <x:t xml:space="preserve">.tmp/cobblemon-1.7.3-source/common/src/main/resources/data/cobblemon/species/generation5/eelektrik.json</x:t>
        </x:is>
      </x:c>
      <x:c r="AF607" s="5" t="str">
        <x:f>"생활권|"&amp;K607</x:f>
        <x:v>생활권|해양</x:v>
      </x:c>
      <x:c r="AG607" s="5" t="str">
        <x:f>"지형|"&amp;L607</x:f>
        <x:v>지형|해안·해양</x:v>
      </x:c>
      <x:c r="AH607" s="5" t="str">
        <x:f>"온도|"&amp;M607</x:f>
        <x:v>온도|온대</x:v>
      </x:c>
      <x:c r="AI607" s="5" t="str">
        <x:f>"습도|"&amp;N607</x:f>
        <x:v>습도|수중</x:v>
      </x:c>
      <x:c r="AJ607" s="5" t="str">
        <x:f>"날씨|"&amp;O607</x:f>
        <x:v>날씨|비</x:v>
      </x:c>
      <x:c r="AK607" s="5" t="str">
        <x:f>"특수태그|"&amp;R607</x:f>
        <x:v>특수태그|없음</x:v>
      </x:c>
      <x:c r="AL607" s="5" t="str">
        <x:f>"원본서식지|"&amp;S607</x:f>
        <x:v>원본서식지|해양</x:v>
      </x:c>
      <x:c r="AM607" s="5" t="str">
        <x:f>"타입|"&amp;F607</x:f>
        <x:v>타입|전기</x:v>
      </x:c>
      <x:c r="AN607" s="5" t="str">
        <x:f>"타입|"&amp;G607</x:f>
        <x:v>타입|</x:v>
      </x:c>
    </x:row>
    <x:row r="608" ht="24" customHeight="1">
      <x:c r="A608" s="5" t="n">
        <x:v>604</x:v>
      </x:c>
      <x:c r="B608" s="5" t="inlineStr">
        <x:is>
          <x:t xml:space="preserve">저리더프</x:t>
        </x:is>
      </x:c>
      <x:c r="C608" s="5" t="inlineStr">
        <x:is>
          <x:t xml:space="preserve">eelektross</x:t>
        </x:is>
      </x:c>
      <x:c r="D608" s="5" t="inlineStr">
        <x:is>
          <x:t xml:space="preserve">Eelektross</x:t>
        </x:is>
      </x:c>
      <x:c r="E608" s="5" t="n">
        <x:v>5</x:v>
      </x:c>
      <x:c r="F608" s="5" t="inlineStr">
        <x:is>
          <x:t xml:space="preserve">전기</x:t>
        </x:is>
      </x:c>
      <x:c r="G608" s="5" t="inlineStr">
        <x:is>
          <x:t xml:space="preserve"/>
        </x:is>
      </x:c>
      <x:c r="H608" s="6" t="n">
        <x:v>80.5</x:v>
      </x:c>
      <x:c r="I608" s="5" t="n">
        <x:v>39</x:v>
      </x:c>
      <x:c r="J608" s="5" t="inlineStr">
        <x:is>
          <x:t xml:space="preserve">최종</x:t>
        </x:is>
      </x:c>
      <x:c r="K608" s="7" t="inlineStr">
        <x:is>
          <x:t xml:space="preserve">해양</x:t>
        </x:is>
      </x:c>
      <x:c r="L608" s="7" t="inlineStr">
        <x:is>
          <x:t xml:space="preserve">해안·해양</x:t>
        </x:is>
      </x:c>
      <x:c r="M608" s="7" t="inlineStr">
        <x:is>
          <x:t xml:space="preserve">온대</x:t>
        </x:is>
      </x:c>
      <x:c r="N608" s="7" t="inlineStr">
        <x:is>
          <x:t xml:space="preserve">수중</x:t>
        </x:is>
      </x:c>
      <x:c r="O608" s="7" t="inlineStr">
        <x:is>
          <x:t xml:space="preserve">비</x:t>
        </x:is>
      </x:c>
      <x:c r="P608" s="7" t="inlineStr">
        <x:is>
          <x:t xml:space="preserve">무관</x:t>
        </x:is>
      </x:c>
      <x:c r="Q608" s="7" t="inlineStr">
        <x:is>
          <x:t xml:space="preserve">보통</x:t>
        </x:is>
      </x:c>
      <x:c r="R608" s="7" t="inlineStr">
        <x:is>
          <x:t xml:space="preserve">없음</x:t>
        </x:is>
      </x:c>
      <x:c r="S608" s="7" t="inlineStr">
        <x:is>
          <x:t xml:space="preserve">해양</x:t>
        </x:is>
      </x:c>
      <x:c r="T608" s="7" t="inlineStr">
        <x:is>
          <x:t xml:space="preserve"/>
        </x:is>
      </x:c>
      <x:c r="U608" s="8" t="str">
        <x:f>INDEX('서식지_점수'!$E$4:$P$4,1,MATCH(MAX('서식지_점수'!E608:P608),'서식지_점수'!E608:P608,0))</x:f>
        <x:v>해양</x:v>
      </x:c>
      <x:c r="V608" s="8" t="str">
        <x:f>IF(T608&lt;&gt;"",T608,U608)</x:f>
        <x:v>해양</x:v>
      </x:c>
      <x:c r="W608" s="8" t="str">
        <x:f>IFERROR(INDEX('서식지_점수'!$E$4:$P$4,1,MATCH(MAXIFS('서식지_점수'!E608:P608,'서식지_점수'!E608:P608,"&lt;"&amp;MAX('서식지_점수'!E608:P608)),'서식지_점수'!E608:P608,0)),"")</x:f>
        <x:v>습지</x:v>
      </x:c>
      <x:c r="X608" s="8" t="str">
        <x:f>IF(T608&lt;&gt;"","수동확정",IF(MAX('서식지_점수'!E608:P608)-LARGE('서식지_점수'!E608:P608,2)&gt;=15,"높음",IF(MAX('서식지_점수'!E608:P608)-LARGE('서식지_점수'!E608:P608,2)&gt;=8,"보통","검토필요")))</x:f>
        <x:v>높음</x:v>
      </x:c>
      <x:c r="Y608" s="9" t="n">
        <x:f>IF(Q608="전설",8,IF(Q608="희귀",7,IF(J608="기본",1,IF(J608="중간",3,IF(J608="최종",IF(I608="",5,IF(I608&lt;=20,3,IF(I608&lt;=35,4,IF(I608&lt;=50,6,7)))),IF(Q608="드묾",4,2))))))</x:f>
        <x:v>6</x:v>
      </x:c>
      <x:c r="Z608" s="5" t="inlineStr">
        <x:is>
          <x:t xml:space="preserve">#cobblemon:is_ocean; #cobblemon:is_overworld</x:t>
        </x:is>
      </x:c>
      <x:c r="AA608" s="5" t="inlineStr">
        <x:is>
          <x:t xml:space="preserve">common; uncommon</x:t>
        </x:is>
      </x:c>
      <x:c r="AB608" s="5" t="inlineStr">
        <x:is>
          <x:t xml:space="preserve">예</x:t>
        </x:is>
      </x:c>
      <x:c r="AC608" s="8" t="str">
        <x:f>IF(T608&lt;&gt;"","수동확정",IF(X608="검토필요","검토필요",IF(S608="","원본없음","초기완료")))</x:f>
        <x:v>초기완료</x:v>
      </x:c>
      <x:c r="AD608" s="7" t="inlineStr">
        <x:is>
          <x:t xml:space="preserve"/>
        </x:is>
      </x:c>
      <x:c r="AE608" s="5" t="inlineStr">
        <x:is>
          <x:t xml:space="preserve">.tmp/cobblemon-1.7.3-source/common/src/main/resources/data/cobblemon/species/generation5/eelektross.json</x:t>
        </x:is>
      </x:c>
      <x:c r="AF608" s="5" t="str">
        <x:f>"생활권|"&amp;K608</x:f>
        <x:v>생활권|해양</x:v>
      </x:c>
      <x:c r="AG608" s="5" t="str">
        <x:f>"지형|"&amp;L608</x:f>
        <x:v>지형|해안·해양</x:v>
      </x:c>
      <x:c r="AH608" s="5" t="str">
        <x:f>"온도|"&amp;M608</x:f>
        <x:v>온도|온대</x:v>
      </x:c>
      <x:c r="AI608" s="5" t="str">
        <x:f>"습도|"&amp;N608</x:f>
        <x:v>습도|수중</x:v>
      </x:c>
      <x:c r="AJ608" s="5" t="str">
        <x:f>"날씨|"&amp;O608</x:f>
        <x:v>날씨|비</x:v>
      </x:c>
      <x:c r="AK608" s="5" t="str">
        <x:f>"특수태그|"&amp;R608</x:f>
        <x:v>특수태그|없음</x:v>
      </x:c>
      <x:c r="AL608" s="5" t="str">
        <x:f>"원본서식지|"&amp;S608</x:f>
        <x:v>원본서식지|해양</x:v>
      </x:c>
      <x:c r="AM608" s="5" t="str">
        <x:f>"타입|"&amp;F608</x:f>
        <x:v>타입|전기</x:v>
      </x:c>
      <x:c r="AN608" s="5" t="str">
        <x:f>"타입|"&amp;G608</x:f>
        <x:v>타입|</x:v>
      </x:c>
    </x:row>
    <x:row r="609" ht="24" customHeight="1">
      <x:c r="A609" s="5" t="n">
        <x:v>605</x:v>
      </x:c>
      <x:c r="B609" s="5" t="inlineStr">
        <x:is>
          <x:t xml:space="preserve">리그레</x:t>
        </x:is>
      </x:c>
      <x:c r="C609" s="5" t="inlineStr">
        <x:is>
          <x:t xml:space="preserve">elgyem</x:t>
        </x:is>
      </x:c>
      <x:c r="D609" s="5" t="inlineStr">
        <x:is>
          <x:t xml:space="preserve">Elgyem</x:t>
        </x:is>
      </x:c>
      <x:c r="E609" s="5" t="n">
        <x:v>5</x:v>
      </x:c>
      <x:c r="F609" s="5" t="inlineStr">
        <x:is>
          <x:t xml:space="preserve">에스퍼</x:t>
        </x:is>
      </x:c>
      <x:c r="G609" s="5" t="inlineStr">
        <x:is>
          <x:t xml:space="preserve"/>
        </x:is>
      </x:c>
      <x:c r="H609" s="6" t="n">
        <x:v>9</x:v>
      </x:c>
      <x:c r="I609" s="5" t="n">
        <x:v>42</x:v>
      </x:c>
      <x:c r="J609" s="5" t="inlineStr">
        <x:is>
          <x:t xml:space="preserve">기본</x:t>
        </x:is>
      </x:c>
      <x:c r="K609" s="7" t="inlineStr">
        <x:is>
          <x:t xml:space="preserve">비행</x:t>
        </x:is>
      </x:c>
      <x:c r="L609" s="7" t="inlineStr">
        <x:is>
          <x:t xml:space="preserve">개활지</x:t>
        </x:is>
      </x:c>
      <x:c r="M609" s="7" t="inlineStr">
        <x:is>
          <x:t xml:space="preserve">온대</x:t>
        </x:is>
      </x:c>
      <x:c r="N609" s="7" t="inlineStr">
        <x:is>
          <x:t xml:space="preserve">보통</x:t>
        </x:is>
      </x:c>
      <x:c r="O609" s="7" t="inlineStr">
        <x:is>
          <x:t xml:space="preserve">무관</x:t>
        </x:is>
      </x:c>
      <x:c r="P609" s="7" t="inlineStr">
        <x:is>
          <x:t xml:space="preserve">무관</x:t>
        </x:is>
      </x:c>
      <x:c r="Q609" s="7" t="inlineStr">
        <x:is>
          <x:t xml:space="preserve">보통</x:t>
        </x:is>
      </x:c>
      <x:c r="R609" s="7" t="inlineStr">
        <x:is>
          <x:t xml:space="preserve">없음</x:t>
        </x:is>
      </x:c>
      <x:c r="S609" s="7" t="inlineStr">
        <x:is>
          <x:t xml:space="preserve"/>
        </x:is>
      </x:c>
      <x:c r="T609" s="7" t="inlineStr">
        <x:is>
          <x:t xml:space="preserve"/>
        </x:is>
      </x:c>
      <x:c r="U609" s="8" t="str">
        <x:f>INDEX('서식지_점수'!$E$4:$P$4,1,MATCH(MAX('서식지_점수'!E609:P609),'서식지_점수'!E609:P609,0))</x:f>
        <x:v>산악</x:v>
      </x:c>
      <x:c r="V609" s="8" t="str">
        <x:f>IF(T609&lt;&gt;"",T609,U609)</x:f>
        <x:v>산악</x:v>
      </x:c>
      <x:c r="W609" s="8" t="str">
        <x:f>IFERROR(INDEX('서식지_점수'!$E$4:$P$4,1,MATCH(MAXIFS('서식지_점수'!E609:P609,'서식지_점수'!E609:P609,"&lt;"&amp;MAX('서식지_점수'!E609:P609)),'서식지_점수'!E609:P609,0)),"")</x:f>
        <x:v>평원</x:v>
      </x:c>
      <x:c r="X609" s="8" t="str">
        <x:f>IF(T609&lt;&gt;"","수동확정",IF(MAX('서식지_점수'!E609:P609)-LARGE('서식지_점수'!E609:P609,2)&gt;=15,"높음",IF(MAX('서식지_점수'!E609:P609)-LARGE('서식지_점수'!E609:P609,2)&gt;=8,"보통","검토필요")))</x:f>
        <x:v>검토필요</x:v>
      </x:c>
      <x:c r="Y609" s="9" t="n">
        <x:f>IF(Q609="전설",8,IF(Q609="희귀",7,IF(J609="기본",1,IF(J609="중간",3,IF(J609="최종",IF(I609="",5,IF(I609&lt;=20,3,IF(I609&lt;=35,4,IF(I609&lt;=50,6,7)))),IF(Q609="드묾",4,2))))))</x:f>
        <x:v>1</x:v>
      </x:c>
      <x:c r="Z609" s="5" t="inlineStr">
        <x:is>
          <x:t xml:space="preserve">#cobblemon:is_end; the_bumblezone:howling_constructs</x:t>
        </x:is>
      </x:c>
      <x:c r="AA609" s="5" t="inlineStr">
        <x:is>
          <x:t xml:space="preserve">common; uncommon</x:t>
        </x:is>
      </x:c>
      <x:c r="AB609" s="5" t="inlineStr">
        <x:is>
          <x:t xml:space="preserve">예</x:t>
        </x:is>
      </x:c>
      <x:c r="AC609" s="8" t="str">
        <x:f>IF(T609&lt;&gt;"","수동확정",IF(X609="검토필요","검토필요",IF(S609="","원본없음","초기완료")))</x:f>
        <x:v>검토필요</x:v>
      </x:c>
      <x:c r="AD609" s="7" t="inlineStr">
        <x:is>
          <x:t xml:space="preserve"/>
        </x:is>
      </x:c>
      <x:c r="AE609" s="5" t="inlineStr">
        <x:is>
          <x:t xml:space="preserve">.tmp/cobblemon-1.7.3-source/common/src/main/resources/data/cobblemon/species/generation5/elgyem.json</x:t>
        </x:is>
      </x:c>
      <x:c r="AF609" s="5" t="str">
        <x:f>"생활권|"&amp;K609</x:f>
        <x:v>생활권|비행</x:v>
      </x:c>
      <x:c r="AG609" s="5" t="str">
        <x:f>"지형|"&amp;L609</x:f>
        <x:v>지형|개활지</x:v>
      </x:c>
      <x:c r="AH609" s="5" t="str">
        <x:f>"온도|"&amp;M609</x:f>
        <x:v>온도|온대</x:v>
      </x:c>
      <x:c r="AI609" s="5" t="str">
        <x:f>"습도|"&amp;N609</x:f>
        <x:v>습도|보통</x:v>
      </x:c>
      <x:c r="AJ609" s="5" t="str">
        <x:f>"날씨|"&amp;O609</x:f>
        <x:v>날씨|무관</x:v>
      </x:c>
      <x:c r="AK609" s="5" t="str">
        <x:f>"특수태그|"&amp;R609</x:f>
        <x:v>특수태그|없음</x:v>
      </x:c>
      <x:c r="AL609" s="5" t="str">
        <x:f>"원본서식지|"&amp;S609</x:f>
        <x:v>원본서식지|</x:v>
      </x:c>
      <x:c r="AM609" s="5" t="str">
        <x:f>"타입|"&amp;F609</x:f>
        <x:v>타입|에스퍼</x:v>
      </x:c>
      <x:c r="AN609" s="5" t="str">
        <x:f>"타입|"&amp;G609</x:f>
        <x:v>타입|</x:v>
      </x:c>
    </x:row>
    <x:row r="610" ht="24" customHeight="1">
      <x:c r="A610" s="5" t="n">
        <x:v>606</x:v>
      </x:c>
      <x:c r="B610" s="5" t="inlineStr">
        <x:is>
          <x:t xml:space="preserve">벰크</x:t>
        </x:is>
      </x:c>
      <x:c r="C610" s="5" t="inlineStr">
        <x:is>
          <x:t xml:space="preserve">beheeyem</x:t>
        </x:is>
      </x:c>
      <x:c r="D610" s="5" t="inlineStr">
        <x:is>
          <x:t xml:space="preserve">Beheeyem</x:t>
        </x:is>
      </x:c>
      <x:c r="E610" s="5" t="n">
        <x:v>5</x:v>
      </x:c>
      <x:c r="F610" s="5" t="inlineStr">
        <x:is>
          <x:t xml:space="preserve">에스퍼</x:t>
        </x:is>
      </x:c>
      <x:c r="G610" s="5" t="inlineStr">
        <x:is>
          <x:t xml:space="preserve"/>
        </x:is>
      </x:c>
      <x:c r="H610" s="6" t="n">
        <x:v>34.5</x:v>
      </x:c>
      <x:c r="I610" s="5" t="n">
        <x:v>42</x:v>
      </x:c>
      <x:c r="J610" s="5" t="inlineStr">
        <x:is>
          <x:t xml:space="preserve">최종</x:t>
        </x:is>
      </x:c>
      <x:c r="K610" s="7" t="inlineStr">
        <x:is>
          <x:t xml:space="preserve">비행</x:t>
        </x:is>
      </x:c>
      <x:c r="L610" s="7" t="inlineStr">
        <x:is>
          <x:t xml:space="preserve">개활지</x:t>
        </x:is>
      </x:c>
      <x:c r="M610" s="7" t="inlineStr">
        <x:is>
          <x:t xml:space="preserve">온대</x:t>
        </x:is>
      </x:c>
      <x:c r="N610" s="7" t="inlineStr">
        <x:is>
          <x:t xml:space="preserve">보통</x:t>
        </x:is>
      </x:c>
      <x:c r="O610" s="7" t="inlineStr">
        <x:is>
          <x:t xml:space="preserve">무관</x:t>
        </x:is>
      </x:c>
      <x:c r="P610" s="7" t="inlineStr">
        <x:is>
          <x:t xml:space="preserve">무관</x:t>
        </x:is>
      </x:c>
      <x:c r="Q610" s="7" t="inlineStr">
        <x:is>
          <x:t xml:space="preserve">보통</x:t>
        </x:is>
      </x:c>
      <x:c r="R610" s="7" t="inlineStr">
        <x:is>
          <x:t xml:space="preserve">없음</x:t>
        </x:is>
      </x:c>
      <x:c r="S610" s="7" t="inlineStr">
        <x:is>
          <x:t xml:space="preserve"/>
        </x:is>
      </x:c>
      <x:c r="T610" s="7" t="inlineStr">
        <x:is>
          <x:t xml:space="preserve"/>
        </x:is>
      </x:c>
      <x:c r="U610" s="8" t="str">
        <x:f>INDEX('서식지_점수'!$E$4:$P$4,1,MATCH(MAX('서식지_점수'!E610:P610),'서식지_점수'!E610:P610,0))</x:f>
        <x:v>산악</x:v>
      </x:c>
      <x:c r="V610" s="8" t="str">
        <x:f>IF(T610&lt;&gt;"",T610,U610)</x:f>
        <x:v>산악</x:v>
      </x:c>
      <x:c r="W610" s="8" t="str">
        <x:f>IFERROR(INDEX('서식지_점수'!$E$4:$P$4,1,MATCH(MAXIFS('서식지_점수'!E610:P610,'서식지_점수'!E610:P610,"&lt;"&amp;MAX('서식지_점수'!E610:P610)),'서식지_점수'!E610:P610,0)),"")</x:f>
        <x:v>평원</x:v>
      </x:c>
      <x:c r="X610" s="8" t="str">
        <x:f>IF(T610&lt;&gt;"","수동확정",IF(MAX('서식지_점수'!E610:P610)-LARGE('서식지_점수'!E610:P610,2)&gt;=15,"높음",IF(MAX('서식지_점수'!E610:P610)-LARGE('서식지_점수'!E610:P610,2)&gt;=8,"보통","검토필요")))</x:f>
        <x:v>검토필요</x:v>
      </x:c>
      <x:c r="Y610" s="9" t="n">
        <x:f>IF(Q610="전설",8,IF(Q610="희귀",7,IF(J610="기본",1,IF(J610="중간",3,IF(J610="최종",IF(I610="",5,IF(I610&lt;=20,3,IF(I610&lt;=35,4,IF(I610&lt;=50,6,7)))),IF(Q610="드묾",4,2))))))</x:f>
        <x:v>6</x:v>
      </x:c>
      <x:c r="Z610" s="5" t="inlineStr">
        <x:is>
          <x:t xml:space="preserve">#cobblemon:is_end; the_bumblezone:howling_constructs</x:t>
        </x:is>
      </x:c>
      <x:c r="AA610" s="5" t="inlineStr">
        <x:is>
          <x:t xml:space="preserve">common; uncommon</x:t>
        </x:is>
      </x:c>
      <x:c r="AB610" s="5" t="inlineStr">
        <x:is>
          <x:t xml:space="preserve">예</x:t>
        </x:is>
      </x:c>
      <x:c r="AC610" s="8" t="str">
        <x:f>IF(T610&lt;&gt;"","수동확정",IF(X610="검토필요","검토필요",IF(S610="","원본없음","초기완료")))</x:f>
        <x:v>검토필요</x:v>
      </x:c>
      <x:c r="AD610" s="7" t="inlineStr">
        <x:is>
          <x:t xml:space="preserve"/>
        </x:is>
      </x:c>
      <x:c r="AE610" s="5" t="inlineStr">
        <x:is>
          <x:t xml:space="preserve">.tmp/cobblemon-1.7.3-source/common/src/main/resources/data/cobblemon/species/generation5/beheeyem.json</x:t>
        </x:is>
      </x:c>
      <x:c r="AF610" s="5" t="str">
        <x:f>"생활권|"&amp;K610</x:f>
        <x:v>생활권|비행</x:v>
      </x:c>
      <x:c r="AG610" s="5" t="str">
        <x:f>"지형|"&amp;L610</x:f>
        <x:v>지형|개활지</x:v>
      </x:c>
      <x:c r="AH610" s="5" t="str">
        <x:f>"온도|"&amp;M610</x:f>
        <x:v>온도|온대</x:v>
      </x:c>
      <x:c r="AI610" s="5" t="str">
        <x:f>"습도|"&amp;N610</x:f>
        <x:v>습도|보통</x:v>
      </x:c>
      <x:c r="AJ610" s="5" t="str">
        <x:f>"날씨|"&amp;O610</x:f>
        <x:v>날씨|무관</x:v>
      </x:c>
      <x:c r="AK610" s="5" t="str">
        <x:f>"특수태그|"&amp;R610</x:f>
        <x:v>특수태그|없음</x:v>
      </x:c>
      <x:c r="AL610" s="5" t="str">
        <x:f>"원본서식지|"&amp;S610</x:f>
        <x:v>원본서식지|</x:v>
      </x:c>
      <x:c r="AM610" s="5" t="str">
        <x:f>"타입|"&amp;F610</x:f>
        <x:v>타입|에스퍼</x:v>
      </x:c>
      <x:c r="AN610" s="5" t="str">
        <x:f>"타입|"&amp;G610</x:f>
        <x:v>타입|</x:v>
      </x:c>
    </x:row>
    <x:row r="611" ht="24" customHeight="1">
      <x:c r="A611" s="5" t="n">
        <x:v>607</x:v>
      </x:c>
      <x:c r="B611" s="5" t="inlineStr">
        <x:is>
          <x:t xml:space="preserve">불켜미</x:t>
        </x:is>
      </x:c>
      <x:c r="C611" s="5" t="inlineStr">
        <x:is>
          <x:t xml:space="preserve">litwick</x:t>
        </x:is>
      </x:c>
      <x:c r="D611" s="5" t="inlineStr">
        <x:is>
          <x:t xml:space="preserve">Litwick</x:t>
        </x:is>
      </x:c>
      <x:c r="E611" s="5" t="n">
        <x:v>5</x:v>
      </x:c>
      <x:c r="F611" s="5" t="inlineStr">
        <x:is>
          <x:t xml:space="preserve">고스트</x:t>
        </x:is>
      </x:c>
      <x:c r="G611" s="5" t="inlineStr">
        <x:is>
          <x:t xml:space="preserve">불꽃</x:t>
        </x:is>
      </x:c>
      <x:c r="H611" s="6" t="n">
        <x:v>3.1</x:v>
      </x:c>
      <x:c r="I611" s="5" t="n">
        <x:v>41</x:v>
      </x:c>
      <x:c r="J611" s="5" t="inlineStr">
        <x:is>
          <x:t xml:space="preserve">기본</x:t>
        </x:is>
      </x:c>
      <x:c r="K611" s="7" t="inlineStr">
        <x:is>
          <x:t xml:space="preserve">영체</x:t>
        </x:is>
      </x:c>
      <x:c r="L611" s="7" t="inlineStr">
        <x:is>
          <x:t xml:space="preserve">화산</x:t>
        </x:is>
      </x:c>
      <x:c r="M611" s="7" t="inlineStr">
        <x:is>
          <x:t xml:space="preserve">고온</x:t>
        </x:is>
      </x:c>
      <x:c r="N611" s="7" t="inlineStr">
        <x:is>
          <x:t xml:space="preserve">건조</x:t>
        </x:is>
      </x:c>
      <x:c r="O611" s="7" t="inlineStr">
        <x:is>
          <x:t xml:space="preserve">맑음</x:t>
        </x:is>
      </x:c>
      <x:c r="P611" s="7" t="inlineStr">
        <x:is>
          <x:t xml:space="preserve">밤</x:t>
        </x:is>
      </x:c>
      <x:c r="Q611" s="7" t="inlineStr">
        <x:is>
          <x:t xml:space="preserve">흔함</x:t>
        </x:is>
      </x:c>
      <x:c r="R611" s="7" t="inlineStr">
        <x:is>
          <x:t xml:space="preserve">영체</x:t>
        </x:is>
      </x:c>
      <x:c r="S611" s="7" t="inlineStr">
        <x:is>
          <x:t xml:space="preserve">화산</x:t>
        </x:is>
      </x:c>
      <x:c r="T611" s="7" t="inlineStr">
        <x:is>
          <x:t xml:space="preserve"/>
        </x:is>
      </x:c>
      <x:c r="U611" s="8" t="str">
        <x:f>INDEX('서식지_점수'!$E$4:$P$4,1,MATCH(MAX('서식지_점수'!E611:P611),'서식지_점수'!E611:P611,0))</x:f>
        <x:v>특수</x:v>
      </x:c>
      <x:c r="V611" s="8" t="str">
        <x:f>IF(T611&lt;&gt;"",T611,U611)</x:f>
        <x:v>특수</x:v>
      </x:c>
      <x:c r="W611" s="8" t="str">
        <x:f>IFERROR(INDEX('서식지_점수'!$E$4:$P$4,1,MATCH(MAXIFS('서식지_점수'!E611:P611,'서식지_점수'!E611:P611,"&lt;"&amp;MAX('서식지_점수'!E611:P611)),'서식지_점수'!E611:P611,0)),"")</x:f>
        <x:v>동굴</x:v>
      </x:c>
      <x:c r="X611" s="8" t="str">
        <x:f>IF(T611&lt;&gt;"","수동확정",IF(MAX('서식지_점수'!E611:P611)-LARGE('서식지_점수'!E611:P611,2)&gt;=15,"높음",IF(MAX('서식지_점수'!E611:P611)-LARGE('서식지_점수'!E611:P611,2)&gt;=8,"보통","검토필요")))</x:f>
        <x:v>높음</x:v>
      </x:c>
      <x:c r="Y611" s="9" t="n">
        <x:f>IF(Q611="전설",8,IF(Q611="희귀",7,IF(J611="기본",1,IF(J611="중간",3,IF(J611="최종",IF(I611="",5,IF(I611&lt;=20,3,IF(I611&lt;=35,4,IF(I611&lt;=50,6,7)))),IF(Q611="드묾",4,2))))))</x:f>
        <x:v>1</x:v>
      </x:c>
      <x:c r="Z611" s="5" t="inlineStr">
        <x:is>
          <x:t xml:space="preserve">#cobblemon:is_overworld; #cobblemon:nether/is_soul_fire</x:t>
        </x:is>
      </x:c>
      <x:c r="AA611" s="5" t="inlineStr">
        <x:is>
          <x:t xml:space="preserve">common</x:t>
        </x:is>
      </x:c>
      <x:c r="AB611" s="5" t="inlineStr">
        <x:is>
          <x:t xml:space="preserve">예</x:t>
        </x:is>
      </x:c>
      <x:c r="AC611" s="8" t="str">
        <x:f>IF(T611&lt;&gt;"","수동확정",IF(X611="검토필요","검토필요",IF(S611="","원본없음","초기완료")))</x:f>
        <x:v>초기완료</x:v>
      </x:c>
      <x:c r="AD611" s="7" t="inlineStr">
        <x:is>
          <x:t xml:space="preserve"/>
        </x:is>
      </x:c>
      <x:c r="AE611" s="5" t="inlineStr">
        <x:is>
          <x:t xml:space="preserve">.tmp/cobblemon-1.7.3-source/common/src/main/resources/data/cobblemon/species/generation5/litwick.json</x:t>
        </x:is>
      </x:c>
      <x:c r="AF611" s="5" t="str">
        <x:f>"생활권|"&amp;K611</x:f>
        <x:v>생활권|영체</x:v>
      </x:c>
      <x:c r="AG611" s="5" t="str">
        <x:f>"지형|"&amp;L611</x:f>
        <x:v>지형|화산</x:v>
      </x:c>
      <x:c r="AH611" s="5" t="str">
        <x:f>"온도|"&amp;M611</x:f>
        <x:v>온도|고온</x:v>
      </x:c>
      <x:c r="AI611" s="5" t="str">
        <x:f>"습도|"&amp;N611</x:f>
        <x:v>습도|건조</x:v>
      </x:c>
      <x:c r="AJ611" s="5" t="str">
        <x:f>"날씨|"&amp;O611</x:f>
        <x:v>날씨|맑음</x:v>
      </x:c>
      <x:c r="AK611" s="5" t="str">
        <x:f>"특수태그|"&amp;R611</x:f>
        <x:v>특수태그|영체</x:v>
      </x:c>
      <x:c r="AL611" s="5" t="str">
        <x:f>"원본서식지|"&amp;S611</x:f>
        <x:v>원본서식지|화산</x:v>
      </x:c>
      <x:c r="AM611" s="5" t="str">
        <x:f>"타입|"&amp;F611</x:f>
        <x:v>타입|고스트</x:v>
      </x:c>
      <x:c r="AN611" s="5" t="str">
        <x:f>"타입|"&amp;G611</x:f>
        <x:v>타입|불꽃</x:v>
      </x:c>
    </x:row>
    <x:row r="612" ht="24" customHeight="1">
      <x:c r="A612" s="5" t="n">
        <x:v>608</x:v>
      </x:c>
      <x:c r="B612" s="5" t="inlineStr">
        <x:is>
          <x:t xml:space="preserve">램프라</x:t>
        </x:is>
      </x:c>
      <x:c r="C612" s="5" t="inlineStr">
        <x:is>
          <x:t xml:space="preserve">lampent</x:t>
        </x:is>
      </x:c>
      <x:c r="D612" s="5" t="inlineStr">
        <x:is>
          <x:t xml:space="preserve">Lampent</x:t>
        </x:is>
      </x:c>
      <x:c r="E612" s="5" t="n">
        <x:v>5</x:v>
      </x:c>
      <x:c r="F612" s="5" t="inlineStr">
        <x:is>
          <x:t xml:space="preserve">고스트</x:t>
        </x:is>
      </x:c>
      <x:c r="G612" s="5" t="inlineStr">
        <x:is>
          <x:t xml:space="preserve">불꽃</x:t>
        </x:is>
      </x:c>
      <x:c r="H612" s="6" t="n">
        <x:v>13</x:v>
      </x:c>
      <x:c r="I612" s="5" t="n">
        <x:v>41</x:v>
      </x:c>
      <x:c r="J612" s="5" t="inlineStr">
        <x:is>
          <x:t xml:space="preserve">중간</x:t>
        </x:is>
      </x:c>
      <x:c r="K612" s="7" t="inlineStr">
        <x:is>
          <x:t xml:space="preserve">비행</x:t>
        </x:is>
      </x:c>
      <x:c r="L612" s="7" t="inlineStr">
        <x:is>
          <x:t xml:space="preserve">화산</x:t>
        </x:is>
      </x:c>
      <x:c r="M612" s="7" t="inlineStr">
        <x:is>
          <x:t xml:space="preserve">고온</x:t>
        </x:is>
      </x:c>
      <x:c r="N612" s="7" t="inlineStr">
        <x:is>
          <x:t xml:space="preserve">건조</x:t>
        </x:is>
      </x:c>
      <x:c r="O612" s="7" t="inlineStr">
        <x:is>
          <x:t xml:space="preserve">맑음</x:t>
        </x:is>
      </x:c>
      <x:c r="P612" s="7" t="inlineStr">
        <x:is>
          <x:t xml:space="preserve">밤</x:t>
        </x:is>
      </x:c>
      <x:c r="Q612" s="7" t="inlineStr">
        <x:is>
          <x:t xml:space="preserve">흔함</x:t>
        </x:is>
      </x:c>
      <x:c r="R612" s="7" t="inlineStr">
        <x:is>
          <x:t xml:space="preserve">영체</x:t>
        </x:is>
      </x:c>
      <x:c r="S612" s="7" t="inlineStr">
        <x:is>
          <x:t xml:space="preserve">화산</x:t>
        </x:is>
      </x:c>
      <x:c r="T612" s="7" t="inlineStr">
        <x:is>
          <x:t xml:space="preserve"/>
        </x:is>
      </x:c>
      <x:c r="U612" s="8" t="str">
        <x:f>INDEX('서식지_점수'!$E$4:$P$4,1,MATCH(MAX('서식지_점수'!E612:P612),'서식지_점수'!E612:P612,0))</x:f>
        <x:v>산악</x:v>
      </x:c>
      <x:c r="V612" s="8" t="str">
        <x:f>IF(T612&lt;&gt;"",T612,U612)</x:f>
        <x:v>산악</x:v>
      </x:c>
      <x:c r="W612" s="8" t="str">
        <x:f>IFERROR(INDEX('서식지_점수'!$E$4:$P$4,1,MATCH(MAXIFS('서식지_점수'!E612:P612,'서식지_점수'!E612:P612,"&lt;"&amp;MAX('서식지_점수'!E612:P612)),'서식지_점수'!E612:P612,0)),"")</x:f>
        <x:v>평원</x:v>
      </x:c>
      <x:c r="X612" s="8" t="str">
        <x:f>IF(T612&lt;&gt;"","수동확정",IF(MAX('서식지_점수'!E612:P612)-LARGE('서식지_점수'!E612:P612,2)&gt;=15,"높음",IF(MAX('서식지_점수'!E612:P612)-LARGE('서식지_점수'!E612:P612,2)&gt;=8,"보통","검토필요")))</x:f>
        <x:v>검토필요</x:v>
      </x:c>
      <x:c r="Y612" s="9" t="n">
        <x:f>IF(Q612="전설",8,IF(Q612="희귀",7,IF(J612="기본",1,IF(J612="중간",3,IF(J612="최종",IF(I612="",5,IF(I612&lt;=20,3,IF(I612&lt;=35,4,IF(I612&lt;=50,6,7)))),IF(Q612="드묾",4,2))))))</x:f>
        <x:v>3</x:v>
      </x:c>
      <x:c r="Z612" s="5" t="inlineStr">
        <x:is>
          <x:t xml:space="preserve">#cobblemon:is_overworld; #cobblemon:nether/is_soul_fire</x:t>
        </x:is>
      </x:c>
      <x:c r="AA612" s="5" t="inlineStr">
        <x:is>
          <x:t xml:space="preserve">common</x:t>
        </x:is>
      </x:c>
      <x:c r="AB612" s="5" t="inlineStr">
        <x:is>
          <x:t xml:space="preserve">예</x:t>
        </x:is>
      </x:c>
      <x:c r="AC612" s="8" t="str">
        <x:f>IF(T612&lt;&gt;"","수동확정",IF(X612="검토필요","검토필요",IF(S612="","원본없음","초기완료")))</x:f>
        <x:v>검토필요</x:v>
      </x:c>
      <x:c r="AD612" s="7" t="inlineStr">
        <x:is>
          <x:t xml:space="preserve"/>
        </x:is>
      </x:c>
      <x:c r="AE612" s="5" t="inlineStr">
        <x:is>
          <x:t xml:space="preserve">.tmp/cobblemon-1.7.3-source/common/src/main/resources/data/cobblemon/species/generation5/lampent.json</x:t>
        </x:is>
      </x:c>
      <x:c r="AF612" s="5" t="str">
        <x:f>"생활권|"&amp;K612</x:f>
        <x:v>생활권|비행</x:v>
      </x:c>
      <x:c r="AG612" s="5" t="str">
        <x:f>"지형|"&amp;L612</x:f>
        <x:v>지형|화산</x:v>
      </x:c>
      <x:c r="AH612" s="5" t="str">
        <x:f>"온도|"&amp;M612</x:f>
        <x:v>온도|고온</x:v>
      </x:c>
      <x:c r="AI612" s="5" t="str">
        <x:f>"습도|"&amp;N612</x:f>
        <x:v>습도|건조</x:v>
      </x:c>
      <x:c r="AJ612" s="5" t="str">
        <x:f>"날씨|"&amp;O612</x:f>
        <x:v>날씨|맑음</x:v>
      </x:c>
      <x:c r="AK612" s="5" t="str">
        <x:f>"특수태그|"&amp;R612</x:f>
        <x:v>특수태그|영체</x:v>
      </x:c>
      <x:c r="AL612" s="5" t="str">
        <x:f>"원본서식지|"&amp;S612</x:f>
        <x:v>원본서식지|화산</x:v>
      </x:c>
      <x:c r="AM612" s="5" t="str">
        <x:f>"타입|"&amp;F612</x:f>
        <x:v>타입|고스트</x:v>
      </x:c>
      <x:c r="AN612" s="5" t="str">
        <x:f>"타입|"&amp;G612</x:f>
        <x:v>타입|불꽃</x:v>
      </x:c>
    </x:row>
    <x:row r="613" ht="24" customHeight="1">
      <x:c r="A613" s="5" t="n">
        <x:v>609</x:v>
      </x:c>
      <x:c r="B613" s="5" t="inlineStr">
        <x:is>
          <x:t xml:space="preserve">샹델라</x:t>
        </x:is>
      </x:c>
      <x:c r="C613" s="5" t="inlineStr">
        <x:is>
          <x:t xml:space="preserve">chandelure</x:t>
        </x:is>
      </x:c>
      <x:c r="D613" s="5" t="inlineStr">
        <x:is>
          <x:t xml:space="preserve">Chandelure</x:t>
        </x:is>
      </x:c>
      <x:c r="E613" s="5" t="n">
        <x:v>5</x:v>
      </x:c>
      <x:c r="F613" s="5" t="inlineStr">
        <x:is>
          <x:t xml:space="preserve">고스트</x:t>
        </x:is>
      </x:c>
      <x:c r="G613" s="5" t="inlineStr">
        <x:is>
          <x:t xml:space="preserve">불꽃</x:t>
        </x:is>
      </x:c>
      <x:c r="H613" s="6" t="n">
        <x:v>34.3</x:v>
      </x:c>
      <x:c r="I613" s="5" t="n">
        <x:v>41</x:v>
      </x:c>
      <x:c r="J613" s="5" t="inlineStr">
        <x:is>
          <x:t xml:space="preserve">최종</x:t>
        </x:is>
      </x:c>
      <x:c r="K613" s="7" t="inlineStr">
        <x:is>
          <x:t xml:space="preserve">비행</x:t>
        </x:is>
      </x:c>
      <x:c r="L613" s="7" t="inlineStr">
        <x:is>
          <x:t xml:space="preserve">화산</x:t>
        </x:is>
      </x:c>
      <x:c r="M613" s="7" t="inlineStr">
        <x:is>
          <x:t xml:space="preserve">고온</x:t>
        </x:is>
      </x:c>
      <x:c r="N613" s="7" t="inlineStr">
        <x:is>
          <x:t xml:space="preserve">건조</x:t>
        </x:is>
      </x:c>
      <x:c r="O613" s="7" t="inlineStr">
        <x:is>
          <x:t xml:space="preserve">맑음</x:t>
        </x:is>
      </x:c>
      <x:c r="P613" s="7" t="inlineStr">
        <x:is>
          <x:t xml:space="preserve">밤</x:t>
        </x:is>
      </x:c>
      <x:c r="Q613" s="7" t="inlineStr">
        <x:is>
          <x:t xml:space="preserve">흔함</x:t>
        </x:is>
      </x:c>
      <x:c r="R613" s="7" t="inlineStr">
        <x:is>
          <x:t xml:space="preserve">영체</x:t>
        </x:is>
      </x:c>
      <x:c r="S613" s="7" t="inlineStr">
        <x:is>
          <x:t xml:space="preserve">화산</x:t>
        </x:is>
      </x:c>
      <x:c r="T613" s="7" t="inlineStr">
        <x:is>
          <x:t xml:space="preserve"/>
        </x:is>
      </x:c>
      <x:c r="U613" s="8" t="str">
        <x:f>INDEX('서식지_점수'!$E$4:$P$4,1,MATCH(MAX('서식지_점수'!E613:P613),'서식지_점수'!E613:P613,0))</x:f>
        <x:v>산악</x:v>
      </x:c>
      <x:c r="V613" s="8" t="str">
        <x:f>IF(T613&lt;&gt;"",T613,U613)</x:f>
        <x:v>산악</x:v>
      </x:c>
      <x:c r="W613" s="8" t="str">
        <x:f>IFERROR(INDEX('서식지_점수'!$E$4:$P$4,1,MATCH(MAXIFS('서식지_점수'!E613:P613,'서식지_점수'!E613:P613,"&lt;"&amp;MAX('서식지_점수'!E613:P613)),'서식지_점수'!E613:P613,0)),"")</x:f>
        <x:v>평원</x:v>
      </x:c>
      <x:c r="X613" s="8" t="str">
        <x:f>IF(T613&lt;&gt;"","수동확정",IF(MAX('서식지_점수'!E613:P613)-LARGE('서식지_점수'!E613:P613,2)&gt;=15,"높음",IF(MAX('서식지_점수'!E613:P613)-LARGE('서식지_점수'!E613:P613,2)&gt;=8,"보통","검토필요")))</x:f>
        <x:v>검토필요</x:v>
      </x:c>
      <x:c r="Y613" s="9" t="n">
        <x:f>IF(Q613="전설",8,IF(Q613="희귀",7,IF(J613="기본",1,IF(J613="중간",3,IF(J613="최종",IF(I613="",5,IF(I613&lt;=20,3,IF(I613&lt;=35,4,IF(I613&lt;=50,6,7)))),IF(Q613="드묾",4,2))))))</x:f>
        <x:v>6</x:v>
      </x:c>
      <x:c r="Z613" s="5" t="inlineStr">
        <x:is>
          <x:t xml:space="preserve">#cobblemon:is_overworld; #cobblemon:nether/is_soul_fire</x:t>
        </x:is>
      </x:c>
      <x:c r="AA613" s="5" t="inlineStr">
        <x:is>
          <x:t xml:space="preserve">common</x:t>
        </x:is>
      </x:c>
      <x:c r="AB613" s="5" t="inlineStr">
        <x:is>
          <x:t xml:space="preserve">예</x:t>
        </x:is>
      </x:c>
      <x:c r="AC613" s="8" t="str">
        <x:f>IF(T613&lt;&gt;"","수동확정",IF(X613="검토필요","검토필요",IF(S613="","원본없음","초기완료")))</x:f>
        <x:v>검토필요</x:v>
      </x:c>
      <x:c r="AD613" s="7" t="inlineStr">
        <x:is>
          <x:t xml:space="preserve"/>
        </x:is>
      </x:c>
      <x:c r="AE613" s="5" t="inlineStr">
        <x:is>
          <x:t xml:space="preserve">.tmp/cobblemon-1.7.3-source/common/src/main/resources/data/cobblemon/species/generation5/chandelure.json</x:t>
        </x:is>
      </x:c>
      <x:c r="AF613" s="5" t="str">
        <x:f>"생활권|"&amp;K613</x:f>
        <x:v>생활권|비행</x:v>
      </x:c>
      <x:c r="AG613" s="5" t="str">
        <x:f>"지형|"&amp;L613</x:f>
        <x:v>지형|화산</x:v>
      </x:c>
      <x:c r="AH613" s="5" t="str">
        <x:f>"온도|"&amp;M613</x:f>
        <x:v>온도|고온</x:v>
      </x:c>
      <x:c r="AI613" s="5" t="str">
        <x:f>"습도|"&amp;N613</x:f>
        <x:v>습도|건조</x:v>
      </x:c>
      <x:c r="AJ613" s="5" t="str">
        <x:f>"날씨|"&amp;O613</x:f>
        <x:v>날씨|맑음</x:v>
      </x:c>
      <x:c r="AK613" s="5" t="str">
        <x:f>"특수태그|"&amp;R613</x:f>
        <x:v>특수태그|영체</x:v>
      </x:c>
      <x:c r="AL613" s="5" t="str">
        <x:f>"원본서식지|"&amp;S613</x:f>
        <x:v>원본서식지|화산</x:v>
      </x:c>
      <x:c r="AM613" s="5" t="str">
        <x:f>"타입|"&amp;F613</x:f>
        <x:v>타입|고스트</x:v>
      </x:c>
      <x:c r="AN613" s="5" t="str">
        <x:f>"타입|"&amp;G613</x:f>
        <x:v>타입|불꽃</x:v>
      </x:c>
    </x:row>
    <x:row r="614" ht="24" customHeight="1">
      <x:c r="A614" s="5" t="n">
        <x:v>610</x:v>
      </x:c>
      <x:c r="B614" s="5" t="inlineStr">
        <x:is>
          <x:t xml:space="preserve">터검니</x:t>
        </x:is>
      </x:c>
      <x:c r="C614" s="5" t="inlineStr">
        <x:is>
          <x:t xml:space="preserve">axew</x:t>
        </x:is>
      </x:c>
      <x:c r="D614" s="5" t="inlineStr">
        <x:is>
          <x:t xml:space="preserve">Axew</x:t>
        </x:is>
      </x:c>
      <x:c r="E614" s="5" t="n">
        <x:v>5</x:v>
      </x:c>
      <x:c r="F614" s="5" t="inlineStr">
        <x:is>
          <x:t xml:space="preserve">드래곤</x:t>
        </x:is>
      </x:c>
      <x:c r="G614" s="5" t="inlineStr">
        <x:is>
          <x:t xml:space="preserve"/>
        </x:is>
      </x:c>
      <x:c r="H614" s="6" t="n">
        <x:v>18</x:v>
      </x:c>
      <x:c r="I614" s="5" t="n">
        <x:v>48</x:v>
      </x:c>
      <x:c r="J614" s="5" t="inlineStr">
        <x:is>
          <x:t xml:space="preserve">기본</x:t>
        </x:is>
      </x:c>
      <x:c r="K614" s="7" t="inlineStr">
        <x:is>
          <x:t xml:space="preserve">육상</x:t>
        </x:is>
      </x:c>
      <x:c r="L614" s="7" t="inlineStr">
        <x:is>
          <x:t xml:space="preserve">암석</x:t>
        </x:is>
      </x:c>
      <x:c r="M614" s="7" t="inlineStr">
        <x:is>
          <x:t xml:space="preserve">온대</x:t>
        </x:is>
      </x:c>
      <x:c r="N614" s="7" t="inlineStr">
        <x:is>
          <x:t xml:space="preserve">보통</x:t>
        </x:is>
      </x:c>
      <x:c r="O614" s="7" t="inlineStr">
        <x:is>
          <x:t xml:space="preserve">무관</x:t>
        </x:is>
      </x:c>
      <x:c r="P614" s="7" t="inlineStr">
        <x:is>
          <x:t xml:space="preserve">무관</x:t>
        </x:is>
      </x:c>
      <x:c r="Q614" s="7" t="inlineStr">
        <x:is>
          <x:t xml:space="preserve">희귀</x:t>
        </x:is>
      </x:c>
      <x:c r="R614" s="7" t="inlineStr">
        <x:is>
          <x:t xml:space="preserve">없음</x:t>
        </x:is>
      </x:c>
      <x:c r="S614" s="7" t="inlineStr">
        <x:is>
          <x:t xml:space="preserve">산악</x:t>
        </x:is>
      </x:c>
      <x:c r="T614" s="7" t="inlineStr">
        <x:is>
          <x:t xml:space="preserve"/>
        </x:is>
      </x:c>
      <x:c r="U614" s="8" t="str">
        <x:f>INDEX('서식지_점수'!$E$4:$P$4,1,MATCH(MAX('서식지_점수'!E614:P614),'서식지_점수'!E614:P614,0))</x:f>
        <x:v>평원</x:v>
      </x:c>
      <x:c r="V614" s="8" t="str">
        <x:f>IF(T614&lt;&gt;"",T614,U614)</x:f>
        <x:v>평원</x:v>
      </x:c>
      <x:c r="W614" s="8" t="str">
        <x:f>IFERROR(INDEX('서식지_점수'!$E$4:$P$4,1,MATCH(MAXIFS('서식지_점수'!E614:P614,'서식지_점수'!E614:P614,"&lt;"&amp;MAX('서식지_점수'!E614:P614)),'서식지_점수'!E614:P614,0)),"")</x:f>
        <x:v>숲</x:v>
      </x:c>
      <x:c r="X614" s="8" t="str">
        <x:f>IF(T614&lt;&gt;"","수동확정",IF(MAX('서식지_점수'!E614:P614)-LARGE('서식지_점수'!E614:P614,2)&gt;=15,"높음",IF(MAX('서식지_점수'!E614:P614)-LARGE('서식지_점수'!E614:P614,2)&gt;=8,"보통","검토필요")))</x:f>
        <x:v>검토필요</x:v>
      </x:c>
      <x:c r="Y614" s="9" t="n">
        <x:f>IF(Q614="전설",8,IF(Q614="희귀",7,IF(J614="기본",1,IF(J614="중간",3,IF(J614="최종",IF(I614="",5,IF(I614&lt;=20,3,IF(I614&lt;=35,4,IF(I614&lt;=50,6,7)))),IF(Q614="드묾",4,2))))))</x:f>
        <x:v>7</x:v>
      </x:c>
      <x:c r="Z614" s="5" t="inlineStr">
        <x:is>
          <x:t xml:space="preserve">#cobblemon:is_mountain</x:t>
        </x:is>
      </x:c>
      <x:c r="AA614" s="5" t="inlineStr">
        <x:is>
          <x:t xml:space="preserve">ultra-rare</x:t>
        </x:is>
      </x:c>
      <x:c r="AB614" s="5" t="inlineStr">
        <x:is>
          <x:t xml:space="preserve">예</x:t>
        </x:is>
      </x:c>
      <x:c r="AC614" s="8" t="str">
        <x:f>IF(T614&lt;&gt;"","수동확정",IF(X614="검토필요","검토필요",IF(S614="","원본없음","초기완료")))</x:f>
        <x:v>검토필요</x:v>
      </x:c>
      <x:c r="AD614" s="7" t="inlineStr">
        <x:is>
          <x:t xml:space="preserve"/>
        </x:is>
      </x:c>
      <x:c r="AE614" s="5" t="inlineStr">
        <x:is>
          <x:t xml:space="preserve">.tmp/cobblemon-1.7.3-source/common/src/main/resources/data/cobblemon/species/generation5/axew.json</x:t>
        </x:is>
      </x:c>
      <x:c r="AF614" s="5" t="str">
        <x:f>"생활권|"&amp;K614</x:f>
        <x:v>생활권|육상</x:v>
      </x:c>
      <x:c r="AG614" s="5" t="str">
        <x:f>"지형|"&amp;L614</x:f>
        <x:v>지형|암석</x:v>
      </x:c>
      <x:c r="AH614" s="5" t="str">
        <x:f>"온도|"&amp;M614</x:f>
        <x:v>온도|온대</x:v>
      </x:c>
      <x:c r="AI614" s="5" t="str">
        <x:f>"습도|"&amp;N614</x:f>
        <x:v>습도|보통</x:v>
      </x:c>
      <x:c r="AJ614" s="5" t="str">
        <x:f>"날씨|"&amp;O614</x:f>
        <x:v>날씨|무관</x:v>
      </x:c>
      <x:c r="AK614" s="5" t="str">
        <x:f>"특수태그|"&amp;R614</x:f>
        <x:v>특수태그|없음</x:v>
      </x:c>
      <x:c r="AL614" s="5" t="str">
        <x:f>"원본서식지|"&amp;S614</x:f>
        <x:v>원본서식지|산악</x:v>
      </x:c>
      <x:c r="AM614" s="5" t="str">
        <x:f>"타입|"&amp;F614</x:f>
        <x:v>타입|드래곤</x:v>
      </x:c>
      <x:c r="AN614" s="5" t="str">
        <x:f>"타입|"&amp;G614</x:f>
        <x:v>타입|</x:v>
      </x:c>
    </x:row>
    <x:row r="615" ht="24" customHeight="1">
      <x:c r="A615" s="5" t="n">
        <x:v>611</x:v>
      </x:c>
      <x:c r="B615" s="5" t="inlineStr">
        <x:is>
          <x:t xml:space="preserve">액슨도</x:t>
        </x:is>
      </x:c>
      <x:c r="C615" s="5" t="inlineStr">
        <x:is>
          <x:t xml:space="preserve">fraxure</x:t>
        </x:is>
      </x:c>
      <x:c r="D615" s="5" t="inlineStr">
        <x:is>
          <x:t xml:space="preserve">Fraxure</x:t>
        </x:is>
      </x:c>
      <x:c r="E615" s="5" t="n">
        <x:v>5</x:v>
      </x:c>
      <x:c r="F615" s="5" t="inlineStr">
        <x:is>
          <x:t xml:space="preserve">드래곤</x:t>
        </x:is>
      </x:c>
      <x:c r="G615" s="5" t="inlineStr">
        <x:is>
          <x:t xml:space="preserve"/>
        </x:is>
      </x:c>
      <x:c r="H615" s="6" t="n">
        <x:v>36</x:v>
      </x:c>
      <x:c r="I615" s="5" t="n">
        <x:v>48</x:v>
      </x:c>
      <x:c r="J615" s="5" t="inlineStr">
        <x:is>
          <x:t xml:space="preserve">중간</x:t>
        </x:is>
      </x:c>
      <x:c r="K615" s="7" t="inlineStr">
        <x:is>
          <x:t xml:space="preserve">육상</x:t>
        </x:is>
      </x:c>
      <x:c r="L615" s="7" t="inlineStr">
        <x:is>
          <x:t xml:space="preserve">암석</x:t>
        </x:is>
      </x:c>
      <x:c r="M615" s="7" t="inlineStr">
        <x:is>
          <x:t xml:space="preserve">온대</x:t>
        </x:is>
      </x:c>
      <x:c r="N615" s="7" t="inlineStr">
        <x:is>
          <x:t xml:space="preserve">보통</x:t>
        </x:is>
      </x:c>
      <x:c r="O615" s="7" t="inlineStr">
        <x:is>
          <x:t xml:space="preserve">무관</x:t>
        </x:is>
      </x:c>
      <x:c r="P615" s="7" t="inlineStr">
        <x:is>
          <x:t xml:space="preserve">무관</x:t>
        </x:is>
      </x:c>
      <x:c r="Q615" s="7" t="inlineStr">
        <x:is>
          <x:t xml:space="preserve">희귀</x:t>
        </x:is>
      </x:c>
      <x:c r="R615" s="7" t="inlineStr">
        <x:is>
          <x:t xml:space="preserve">없음</x:t>
        </x:is>
      </x:c>
      <x:c r="S615" s="7" t="inlineStr">
        <x:is>
          <x:t xml:space="preserve">산악</x:t>
        </x:is>
      </x:c>
      <x:c r="T615" s="7" t="inlineStr">
        <x:is>
          <x:t xml:space="preserve"/>
        </x:is>
      </x:c>
      <x:c r="U615" s="8" t="str">
        <x:f>INDEX('서식지_점수'!$E$4:$P$4,1,MATCH(MAX('서식지_점수'!E615:P615),'서식지_점수'!E615:P615,0))</x:f>
        <x:v>평원</x:v>
      </x:c>
      <x:c r="V615" s="8" t="str">
        <x:f>IF(T615&lt;&gt;"",T615,U615)</x:f>
        <x:v>평원</x:v>
      </x:c>
      <x:c r="W615" s="8" t="str">
        <x:f>IFERROR(INDEX('서식지_점수'!$E$4:$P$4,1,MATCH(MAXIFS('서식지_점수'!E615:P615,'서식지_점수'!E615:P615,"&lt;"&amp;MAX('서식지_점수'!E615:P615)),'서식지_점수'!E615:P615,0)),"")</x:f>
        <x:v>숲</x:v>
      </x:c>
      <x:c r="X615" s="8" t="str">
        <x:f>IF(T615&lt;&gt;"","수동확정",IF(MAX('서식지_점수'!E615:P615)-LARGE('서식지_점수'!E615:P615,2)&gt;=15,"높음",IF(MAX('서식지_점수'!E615:P615)-LARGE('서식지_점수'!E615:P615,2)&gt;=8,"보통","검토필요")))</x:f>
        <x:v>검토필요</x:v>
      </x:c>
      <x:c r="Y615" s="9" t="n">
        <x:f>IF(Q615="전설",8,IF(Q615="희귀",7,IF(J615="기본",1,IF(J615="중간",3,IF(J615="최종",IF(I615="",5,IF(I615&lt;=20,3,IF(I615&lt;=35,4,IF(I615&lt;=50,6,7)))),IF(Q615="드묾",4,2))))))</x:f>
        <x:v>7</x:v>
      </x:c>
      <x:c r="Z615" s="5" t="inlineStr">
        <x:is>
          <x:t xml:space="preserve">#cobblemon:is_mountain</x:t>
        </x:is>
      </x:c>
      <x:c r="AA615" s="5" t="inlineStr">
        <x:is>
          <x:t xml:space="preserve">ultra-rare</x:t>
        </x:is>
      </x:c>
      <x:c r="AB615" s="5" t="inlineStr">
        <x:is>
          <x:t xml:space="preserve">예</x:t>
        </x:is>
      </x:c>
      <x:c r="AC615" s="8" t="str">
        <x:f>IF(T615&lt;&gt;"","수동확정",IF(X615="검토필요","검토필요",IF(S615="","원본없음","초기완료")))</x:f>
        <x:v>검토필요</x:v>
      </x:c>
      <x:c r="AD615" s="7" t="inlineStr">
        <x:is>
          <x:t xml:space="preserve"/>
        </x:is>
      </x:c>
      <x:c r="AE615" s="5" t="inlineStr">
        <x:is>
          <x:t xml:space="preserve">.tmp/cobblemon-1.7.3-source/common/src/main/resources/data/cobblemon/species/generation5/fraxure.json</x:t>
        </x:is>
      </x:c>
      <x:c r="AF615" s="5" t="str">
        <x:f>"생활권|"&amp;K615</x:f>
        <x:v>생활권|육상</x:v>
      </x:c>
      <x:c r="AG615" s="5" t="str">
        <x:f>"지형|"&amp;L615</x:f>
        <x:v>지형|암석</x:v>
      </x:c>
      <x:c r="AH615" s="5" t="str">
        <x:f>"온도|"&amp;M615</x:f>
        <x:v>온도|온대</x:v>
      </x:c>
      <x:c r="AI615" s="5" t="str">
        <x:f>"습도|"&amp;N615</x:f>
        <x:v>습도|보통</x:v>
      </x:c>
      <x:c r="AJ615" s="5" t="str">
        <x:f>"날씨|"&amp;O615</x:f>
        <x:v>날씨|무관</x:v>
      </x:c>
      <x:c r="AK615" s="5" t="str">
        <x:f>"특수태그|"&amp;R615</x:f>
        <x:v>특수태그|없음</x:v>
      </x:c>
      <x:c r="AL615" s="5" t="str">
        <x:f>"원본서식지|"&amp;S615</x:f>
        <x:v>원본서식지|산악</x:v>
      </x:c>
      <x:c r="AM615" s="5" t="str">
        <x:f>"타입|"&amp;F615</x:f>
        <x:v>타입|드래곤</x:v>
      </x:c>
      <x:c r="AN615" s="5" t="str">
        <x:f>"타입|"&amp;G615</x:f>
        <x:v>타입|</x:v>
      </x:c>
    </x:row>
    <x:row r="616" ht="24" customHeight="1">
      <x:c r="A616" s="5" t="n">
        <x:v>612</x:v>
      </x:c>
      <x:c r="B616" s="5" t="inlineStr">
        <x:is>
          <x:t xml:space="preserve">액스라이즈</x:t>
        </x:is>
      </x:c>
      <x:c r="C616" s="5" t="inlineStr">
        <x:is>
          <x:t xml:space="preserve">haxorus</x:t>
        </x:is>
      </x:c>
      <x:c r="D616" s="5" t="inlineStr">
        <x:is>
          <x:t xml:space="preserve">Haxorus</x:t>
        </x:is>
      </x:c>
      <x:c r="E616" s="5" t="n">
        <x:v>5</x:v>
      </x:c>
      <x:c r="F616" s="5" t="inlineStr">
        <x:is>
          <x:t xml:space="preserve">드래곤</x:t>
        </x:is>
      </x:c>
      <x:c r="G616" s="5" t="inlineStr">
        <x:is>
          <x:t xml:space="preserve"/>
        </x:is>
      </x:c>
      <x:c r="H616" s="6" t="n">
        <x:v>105.5</x:v>
      </x:c>
      <x:c r="I616" s="5" t="n">
        <x:v>48</x:v>
      </x:c>
      <x:c r="J616" s="5" t="inlineStr">
        <x:is>
          <x:t xml:space="preserve">최종</x:t>
        </x:is>
      </x:c>
      <x:c r="K616" s="7" t="inlineStr">
        <x:is>
          <x:t xml:space="preserve">육상</x:t>
        </x:is>
      </x:c>
      <x:c r="L616" s="7" t="inlineStr">
        <x:is>
          <x:t xml:space="preserve">암석</x:t>
        </x:is>
      </x:c>
      <x:c r="M616" s="7" t="inlineStr">
        <x:is>
          <x:t xml:space="preserve">온대</x:t>
        </x:is>
      </x:c>
      <x:c r="N616" s="7" t="inlineStr">
        <x:is>
          <x:t xml:space="preserve">보통</x:t>
        </x:is>
      </x:c>
      <x:c r="O616" s="7" t="inlineStr">
        <x:is>
          <x:t xml:space="preserve">무관</x:t>
        </x:is>
      </x:c>
      <x:c r="P616" s="7" t="inlineStr">
        <x:is>
          <x:t xml:space="preserve">무관</x:t>
        </x:is>
      </x:c>
      <x:c r="Q616" s="7" t="inlineStr">
        <x:is>
          <x:t xml:space="preserve">희귀</x:t>
        </x:is>
      </x:c>
      <x:c r="R616" s="7" t="inlineStr">
        <x:is>
          <x:t xml:space="preserve">없음</x:t>
        </x:is>
      </x:c>
      <x:c r="S616" s="7" t="inlineStr">
        <x:is>
          <x:t xml:space="preserve">산악</x:t>
        </x:is>
      </x:c>
      <x:c r="T616" s="7" t="inlineStr">
        <x:is>
          <x:t xml:space="preserve"/>
        </x:is>
      </x:c>
      <x:c r="U616" s="8" t="str">
        <x:f>INDEX('서식지_점수'!$E$4:$P$4,1,MATCH(MAX('서식지_점수'!E616:P616),'서식지_점수'!E616:P616,0))</x:f>
        <x:v>평원</x:v>
      </x:c>
      <x:c r="V616" s="8" t="str">
        <x:f>IF(T616&lt;&gt;"",T616,U616)</x:f>
        <x:v>평원</x:v>
      </x:c>
      <x:c r="W616" s="8" t="str">
        <x:f>IFERROR(INDEX('서식지_점수'!$E$4:$P$4,1,MATCH(MAXIFS('서식지_점수'!E616:P616,'서식지_점수'!E616:P616,"&lt;"&amp;MAX('서식지_점수'!E616:P616)),'서식지_점수'!E616:P616,0)),"")</x:f>
        <x:v>숲</x:v>
      </x:c>
      <x:c r="X616" s="8" t="str">
        <x:f>IF(T616&lt;&gt;"","수동확정",IF(MAX('서식지_점수'!E616:P616)-LARGE('서식지_점수'!E616:P616,2)&gt;=15,"높음",IF(MAX('서식지_점수'!E616:P616)-LARGE('서식지_점수'!E616:P616,2)&gt;=8,"보통","검토필요")))</x:f>
        <x:v>검토필요</x:v>
      </x:c>
      <x:c r="Y616" s="9" t="n">
        <x:f>IF(Q616="전설",8,IF(Q616="희귀",7,IF(J616="기본",1,IF(J616="중간",3,IF(J616="최종",IF(I616="",5,IF(I616&lt;=20,3,IF(I616&lt;=35,4,IF(I616&lt;=50,6,7)))),IF(Q616="드묾",4,2))))))</x:f>
        <x:v>7</x:v>
      </x:c>
      <x:c r="Z616" s="5" t="inlineStr">
        <x:is>
          <x:t xml:space="preserve">#cobblemon:is_mountain</x:t>
        </x:is>
      </x:c>
      <x:c r="AA616" s="5" t="inlineStr">
        <x:is>
          <x:t xml:space="preserve">ultra-rare</x:t>
        </x:is>
      </x:c>
      <x:c r="AB616" s="5" t="inlineStr">
        <x:is>
          <x:t xml:space="preserve">예</x:t>
        </x:is>
      </x:c>
      <x:c r="AC616" s="8" t="str">
        <x:f>IF(T616&lt;&gt;"","수동확정",IF(X616="검토필요","검토필요",IF(S616="","원본없음","초기완료")))</x:f>
        <x:v>검토필요</x:v>
      </x:c>
      <x:c r="AD616" s="7" t="inlineStr">
        <x:is>
          <x:t xml:space="preserve"/>
        </x:is>
      </x:c>
      <x:c r="AE616" s="5" t="inlineStr">
        <x:is>
          <x:t xml:space="preserve">.tmp/cobblemon-1.7.3-source/common/src/main/resources/data/cobblemon/species/generation5/haxorus.json</x:t>
        </x:is>
      </x:c>
      <x:c r="AF616" s="5" t="str">
        <x:f>"생활권|"&amp;K616</x:f>
        <x:v>생활권|육상</x:v>
      </x:c>
      <x:c r="AG616" s="5" t="str">
        <x:f>"지형|"&amp;L616</x:f>
        <x:v>지형|암석</x:v>
      </x:c>
      <x:c r="AH616" s="5" t="str">
        <x:f>"온도|"&amp;M616</x:f>
        <x:v>온도|온대</x:v>
      </x:c>
      <x:c r="AI616" s="5" t="str">
        <x:f>"습도|"&amp;N616</x:f>
        <x:v>습도|보통</x:v>
      </x:c>
      <x:c r="AJ616" s="5" t="str">
        <x:f>"날씨|"&amp;O616</x:f>
        <x:v>날씨|무관</x:v>
      </x:c>
      <x:c r="AK616" s="5" t="str">
        <x:f>"특수태그|"&amp;R616</x:f>
        <x:v>특수태그|없음</x:v>
      </x:c>
      <x:c r="AL616" s="5" t="str">
        <x:f>"원본서식지|"&amp;S616</x:f>
        <x:v>원본서식지|산악</x:v>
      </x:c>
      <x:c r="AM616" s="5" t="str">
        <x:f>"타입|"&amp;F616</x:f>
        <x:v>타입|드래곤</x:v>
      </x:c>
      <x:c r="AN616" s="5" t="str">
        <x:f>"타입|"&amp;G616</x:f>
        <x:v>타입|</x:v>
      </x:c>
    </x:row>
    <x:row r="617" ht="24" customHeight="1">
      <x:c r="A617" s="5" t="n">
        <x:v>613</x:v>
      </x:c>
      <x:c r="B617" s="5" t="inlineStr">
        <x:is>
          <x:t xml:space="preserve">코고미</x:t>
        </x:is>
      </x:c>
      <x:c r="C617" s="5" t="inlineStr">
        <x:is>
          <x:t xml:space="preserve">cubchoo</x:t>
        </x:is>
      </x:c>
      <x:c r="D617" s="5" t="inlineStr">
        <x:is>
          <x:t xml:space="preserve">Cubchoo</x:t>
        </x:is>
      </x:c>
      <x:c r="E617" s="5" t="n">
        <x:v>5</x:v>
      </x:c>
      <x:c r="F617" s="5" t="inlineStr">
        <x:is>
          <x:t xml:space="preserve">얼음</x:t>
        </x:is>
      </x:c>
      <x:c r="G617" s="5" t="inlineStr">
        <x:is>
          <x:t xml:space="preserve"/>
        </x:is>
      </x:c>
      <x:c r="H617" s="6" t="n">
        <x:v>8.5</x:v>
      </x:c>
      <x:c r="I617" s="5" t="n">
        <x:v>37</x:v>
      </x:c>
      <x:c r="J617" s="5" t="inlineStr">
        <x:is>
          <x:t xml:space="preserve">기본</x:t>
        </x:is>
      </x:c>
      <x:c r="K617" s="7" t="inlineStr">
        <x:is>
          <x:t xml:space="preserve">육상</x:t>
        </x:is>
      </x:c>
      <x:c r="L617" s="7" t="inlineStr">
        <x:is>
          <x:t xml:space="preserve">설원</x:t>
        </x:is>
      </x:c>
      <x:c r="M617" s="7" t="inlineStr">
        <x:is>
          <x:t xml:space="preserve">한랭</x:t>
        </x:is>
      </x:c>
      <x:c r="N617" s="7" t="inlineStr">
        <x:is>
          <x:t xml:space="preserve">보통</x:t>
        </x:is>
      </x:c>
      <x:c r="O617" s="7" t="inlineStr">
        <x:is>
          <x:t xml:space="preserve">눈</x:t>
        </x:is>
      </x:c>
      <x:c r="P617" s="7" t="inlineStr">
        <x:is>
          <x:t xml:space="preserve">무관</x:t>
        </x:is>
      </x:c>
      <x:c r="Q617" s="7" t="inlineStr">
        <x:is>
          <x:t xml:space="preserve">흔함</x:t>
        </x:is>
      </x:c>
      <x:c r="R617" s="7" t="inlineStr">
        <x:is>
          <x:t xml:space="preserve">없음</x:t>
        </x:is>
      </x:c>
      <x:c r="S617" s="7" t="inlineStr">
        <x:is>
          <x:t xml:space="preserve">설원</x:t>
        </x:is>
      </x:c>
      <x:c r="T617" s="7" t="inlineStr">
        <x:is>
          <x:t xml:space="preserve"/>
        </x:is>
      </x:c>
      <x:c r="U617" s="8" t="str">
        <x:f>INDEX('서식지_점수'!$E$4:$P$4,1,MATCH(MAX('서식지_점수'!E617:P617),'서식지_점수'!E617:P617,0))</x:f>
        <x:v>평원</x:v>
      </x:c>
      <x:c r="V617" s="8" t="str">
        <x:f>IF(T617&lt;&gt;"",T617,U617)</x:f>
        <x:v>평원</x:v>
      </x:c>
      <x:c r="W617" s="8" t="str">
        <x:f>IFERROR(INDEX('서식지_점수'!$E$4:$P$4,1,MATCH(MAXIFS('서식지_점수'!E617:P617,'서식지_점수'!E617:P617,"&lt;"&amp;MAX('서식지_점수'!E617:P617)),'서식지_점수'!E617:P617,0)),"")</x:f>
        <x:v>숲</x:v>
      </x:c>
      <x:c r="X617" s="8" t="str">
        <x:f>IF(T617&lt;&gt;"","수동확정",IF(MAX('서식지_점수'!E617:P617)-LARGE('서식지_점수'!E617:P617,2)&gt;=15,"높음",IF(MAX('서식지_점수'!E617:P617)-LARGE('서식지_점수'!E617:P617,2)&gt;=8,"보통","검토필요")))</x:f>
        <x:v>검토필요</x:v>
      </x:c>
      <x:c r="Y617" s="9" t="n">
        <x:f>IF(Q617="전설",8,IF(Q617="희귀",7,IF(J617="기본",1,IF(J617="중간",3,IF(J617="최종",IF(I617="",5,IF(I617&lt;=20,3,IF(I617&lt;=35,4,IF(I617&lt;=50,6,7)))),IF(Q617="드묾",4,2))))))</x:f>
        <x:v>1</x:v>
      </x:c>
      <x:c r="Z617" s="5" t="inlineStr">
        <x:is>
          <x:t xml:space="preserve">#cobblemon:is_frozen_ocean</x:t>
        </x:is>
      </x:c>
      <x:c r="AA617" s="5" t="inlineStr">
        <x:is>
          <x:t xml:space="preserve">common</x:t>
        </x:is>
      </x:c>
      <x:c r="AB617" s="5" t="inlineStr">
        <x:is>
          <x:t xml:space="preserve">예</x:t>
        </x:is>
      </x:c>
      <x:c r="AC617" s="8" t="str">
        <x:f>IF(T617&lt;&gt;"","수동확정",IF(X617="검토필요","검토필요",IF(S617="","원본없음","초기완료")))</x:f>
        <x:v>검토필요</x:v>
      </x:c>
      <x:c r="AD617" s="7" t="inlineStr">
        <x:is>
          <x:t xml:space="preserve"/>
        </x:is>
      </x:c>
      <x:c r="AE617" s="5" t="inlineStr">
        <x:is>
          <x:t xml:space="preserve">.tmp/cobblemon-1.7.3-source/common/src/main/resources/data/cobblemon/species/generation5/cubchoo.json</x:t>
        </x:is>
      </x:c>
      <x:c r="AF617" s="5" t="str">
        <x:f>"생활권|"&amp;K617</x:f>
        <x:v>생활권|육상</x:v>
      </x:c>
      <x:c r="AG617" s="5" t="str">
        <x:f>"지형|"&amp;L617</x:f>
        <x:v>지형|설원</x:v>
      </x:c>
      <x:c r="AH617" s="5" t="str">
        <x:f>"온도|"&amp;M617</x:f>
        <x:v>온도|한랭</x:v>
      </x:c>
      <x:c r="AI617" s="5" t="str">
        <x:f>"습도|"&amp;N617</x:f>
        <x:v>습도|보통</x:v>
      </x:c>
      <x:c r="AJ617" s="5" t="str">
        <x:f>"날씨|"&amp;O617</x:f>
        <x:v>날씨|눈</x:v>
      </x:c>
      <x:c r="AK617" s="5" t="str">
        <x:f>"특수태그|"&amp;R617</x:f>
        <x:v>특수태그|없음</x:v>
      </x:c>
      <x:c r="AL617" s="5" t="str">
        <x:f>"원본서식지|"&amp;S617</x:f>
        <x:v>원본서식지|설원</x:v>
      </x:c>
      <x:c r="AM617" s="5" t="str">
        <x:f>"타입|"&amp;F617</x:f>
        <x:v>타입|얼음</x:v>
      </x:c>
      <x:c r="AN617" s="5" t="str">
        <x:f>"타입|"&amp;G617</x:f>
        <x:v>타입|</x:v>
      </x:c>
    </x:row>
    <x:row r="618" ht="24" customHeight="1">
      <x:c r="A618" s="5" t="n">
        <x:v>614</x:v>
      </x:c>
      <x:c r="B618" s="5" t="inlineStr">
        <x:is>
          <x:t xml:space="preserve">툰베어</x:t>
        </x:is>
      </x:c>
      <x:c r="C618" s="5" t="inlineStr">
        <x:is>
          <x:t xml:space="preserve">beartic</x:t>
        </x:is>
      </x:c>
      <x:c r="D618" s="5" t="inlineStr">
        <x:is>
          <x:t xml:space="preserve">Beartic</x:t>
        </x:is>
      </x:c>
      <x:c r="E618" s="5" t="n">
        <x:v>5</x:v>
      </x:c>
      <x:c r="F618" s="5" t="inlineStr">
        <x:is>
          <x:t xml:space="preserve">얼음</x:t>
        </x:is>
      </x:c>
      <x:c r="G618" s="5" t="inlineStr">
        <x:is>
          <x:t xml:space="preserve"/>
        </x:is>
      </x:c>
      <x:c r="H618" s="6" t="n">
        <x:v>260</x:v>
      </x:c>
      <x:c r="I618" s="5" t="n">
        <x:v>37</x:v>
      </x:c>
      <x:c r="J618" s="5" t="inlineStr">
        <x:is>
          <x:t xml:space="preserve">최종</x:t>
        </x:is>
      </x:c>
      <x:c r="K618" s="7" t="inlineStr">
        <x:is>
          <x:t xml:space="preserve">육상</x:t>
        </x:is>
      </x:c>
      <x:c r="L618" s="7" t="inlineStr">
        <x:is>
          <x:t xml:space="preserve">설원</x:t>
        </x:is>
      </x:c>
      <x:c r="M618" s="7" t="inlineStr">
        <x:is>
          <x:t xml:space="preserve">한랭</x:t>
        </x:is>
      </x:c>
      <x:c r="N618" s="7" t="inlineStr">
        <x:is>
          <x:t xml:space="preserve">보통</x:t>
        </x:is>
      </x:c>
      <x:c r="O618" s="7" t="inlineStr">
        <x:is>
          <x:t xml:space="preserve">눈</x:t>
        </x:is>
      </x:c>
      <x:c r="P618" s="7" t="inlineStr">
        <x:is>
          <x:t xml:space="preserve">무관</x:t>
        </x:is>
      </x:c>
      <x:c r="Q618" s="7" t="inlineStr">
        <x:is>
          <x:t xml:space="preserve">흔함</x:t>
        </x:is>
      </x:c>
      <x:c r="R618" s="7" t="inlineStr">
        <x:is>
          <x:t xml:space="preserve">없음</x:t>
        </x:is>
      </x:c>
      <x:c r="S618" s="7" t="inlineStr">
        <x:is>
          <x:t xml:space="preserve">설원</x:t>
        </x:is>
      </x:c>
      <x:c r="T618" s="7" t="inlineStr">
        <x:is>
          <x:t xml:space="preserve"/>
        </x:is>
      </x:c>
      <x:c r="U618" s="8" t="str">
        <x:f>INDEX('서식지_점수'!$E$4:$P$4,1,MATCH(MAX('서식지_점수'!E618:P618),'서식지_점수'!E618:P618,0))</x:f>
        <x:v>평원</x:v>
      </x:c>
      <x:c r="V618" s="8" t="str">
        <x:f>IF(T618&lt;&gt;"",T618,U618)</x:f>
        <x:v>평원</x:v>
      </x:c>
      <x:c r="W618" s="8" t="str">
        <x:f>IFERROR(INDEX('서식지_점수'!$E$4:$P$4,1,MATCH(MAXIFS('서식지_점수'!E618:P618,'서식지_점수'!E618:P618,"&lt;"&amp;MAX('서식지_점수'!E618:P618)),'서식지_점수'!E618:P618,0)),"")</x:f>
        <x:v>숲</x:v>
      </x:c>
      <x:c r="X618" s="8" t="str">
        <x:f>IF(T618&lt;&gt;"","수동확정",IF(MAX('서식지_점수'!E618:P618)-LARGE('서식지_점수'!E618:P618,2)&gt;=15,"높음",IF(MAX('서식지_점수'!E618:P618)-LARGE('서식지_점수'!E618:P618,2)&gt;=8,"보통","검토필요")))</x:f>
        <x:v>검토필요</x:v>
      </x:c>
      <x:c r="Y618" s="9" t="n">
        <x:f>IF(Q618="전설",8,IF(Q618="희귀",7,IF(J618="기본",1,IF(J618="중간",3,IF(J618="최종",IF(I618="",5,IF(I618&lt;=20,3,IF(I618&lt;=35,4,IF(I618&lt;=50,6,7)))),IF(Q618="드묾",4,2))))))</x:f>
        <x:v>6</x:v>
      </x:c>
      <x:c r="Z618" s="5" t="inlineStr">
        <x:is>
          <x:t xml:space="preserve">#cobblemon:is_frozen_ocean</x:t>
        </x:is>
      </x:c>
      <x:c r="AA618" s="5" t="inlineStr">
        <x:is>
          <x:t xml:space="preserve">common</x:t>
        </x:is>
      </x:c>
      <x:c r="AB618" s="5" t="inlineStr">
        <x:is>
          <x:t xml:space="preserve">예</x:t>
        </x:is>
      </x:c>
      <x:c r="AC618" s="8" t="str">
        <x:f>IF(T618&lt;&gt;"","수동확정",IF(X618="검토필요","검토필요",IF(S618="","원본없음","초기완료")))</x:f>
        <x:v>검토필요</x:v>
      </x:c>
      <x:c r="AD618" s="7" t="inlineStr">
        <x:is>
          <x:t xml:space="preserve"/>
        </x:is>
      </x:c>
      <x:c r="AE618" s="5" t="inlineStr">
        <x:is>
          <x:t xml:space="preserve">.tmp/cobblemon-1.7.3-source/common/src/main/resources/data/cobblemon/species/generation5/beartic.json</x:t>
        </x:is>
      </x:c>
      <x:c r="AF618" s="5" t="str">
        <x:f>"생활권|"&amp;K618</x:f>
        <x:v>생활권|육상</x:v>
      </x:c>
      <x:c r="AG618" s="5" t="str">
        <x:f>"지형|"&amp;L618</x:f>
        <x:v>지형|설원</x:v>
      </x:c>
      <x:c r="AH618" s="5" t="str">
        <x:f>"온도|"&amp;M618</x:f>
        <x:v>온도|한랭</x:v>
      </x:c>
      <x:c r="AI618" s="5" t="str">
        <x:f>"습도|"&amp;N618</x:f>
        <x:v>습도|보통</x:v>
      </x:c>
      <x:c r="AJ618" s="5" t="str">
        <x:f>"날씨|"&amp;O618</x:f>
        <x:v>날씨|눈</x:v>
      </x:c>
      <x:c r="AK618" s="5" t="str">
        <x:f>"특수태그|"&amp;R618</x:f>
        <x:v>특수태그|없음</x:v>
      </x:c>
      <x:c r="AL618" s="5" t="str">
        <x:f>"원본서식지|"&amp;S618</x:f>
        <x:v>원본서식지|설원</x:v>
      </x:c>
      <x:c r="AM618" s="5" t="str">
        <x:f>"타입|"&amp;F618</x:f>
        <x:v>타입|얼음</x:v>
      </x:c>
      <x:c r="AN618" s="5" t="str">
        <x:f>"타입|"&amp;G618</x:f>
        <x:v>타입|</x:v>
      </x:c>
    </x:row>
    <x:row r="619" ht="24" customHeight="1">
      <x:c r="A619" s="5" t="n">
        <x:v>615</x:v>
      </x:c>
      <x:c r="B619" s="5" t="inlineStr">
        <x:is>
          <x:t xml:space="preserve">프리지오</x:t>
        </x:is>
      </x:c>
      <x:c r="C619" s="5" t="inlineStr">
        <x:is>
          <x:t xml:space="preserve">cryogonal</x:t>
        </x:is>
      </x:c>
      <x:c r="D619" s="5" t="inlineStr">
        <x:is>
          <x:t xml:space="preserve">Cryogonal</x:t>
        </x:is>
      </x:c>
      <x:c r="E619" s="5" t="n">
        <x:v>5</x:v>
      </x:c>
      <x:c r="F619" s="5" t="inlineStr">
        <x:is>
          <x:t xml:space="preserve">얼음</x:t>
        </x:is>
      </x:c>
      <x:c r="G619" s="5" t="inlineStr">
        <x:is>
          <x:t xml:space="preserve"/>
        </x:is>
      </x:c>
      <x:c r="H619" s="6" t="n">
        <x:v>148</x:v>
      </x:c>
      <x:c r="I619" s="5" t="n"/>
      <x:c r="J619" s="5" t="inlineStr">
        <x:is>
          <x:t xml:space="preserve">무진화</x:t>
        </x:is>
      </x:c>
      <x:c r="K619" s="7" t="inlineStr">
        <x:is>
          <x:t xml:space="preserve">비행</x:t>
        </x:is>
      </x:c>
      <x:c r="L619" s="7" t="inlineStr">
        <x:is>
          <x:t xml:space="preserve">화산</x:t>
        </x:is>
      </x:c>
      <x:c r="M619" s="7" t="inlineStr">
        <x:is>
          <x:t xml:space="preserve">한랭</x:t>
        </x:is>
      </x:c>
      <x:c r="N619" s="7" t="inlineStr">
        <x:is>
          <x:t xml:space="preserve">건조</x:t>
        </x:is>
      </x:c>
      <x:c r="O619" s="7" t="inlineStr">
        <x:is>
          <x:t xml:space="preserve">맑음</x:t>
        </x:is>
      </x:c>
      <x:c r="P619" s="7" t="inlineStr">
        <x:is>
          <x:t xml:space="preserve">무관</x:t>
        </x:is>
      </x:c>
      <x:c r="Q619" s="7" t="inlineStr">
        <x:is>
          <x:t xml:space="preserve">보통</x:t>
        </x:is>
      </x:c>
      <x:c r="R619" s="7" t="inlineStr">
        <x:is>
          <x:t xml:space="preserve">화산</x:t>
        </x:is>
      </x:c>
      <x:c r="S619" s="7" t="inlineStr">
        <x:is>
          <x:t xml:space="preserve">화산</x:t>
        </x:is>
      </x:c>
      <x:c r="T619" s="7" t="inlineStr">
        <x:is>
          <x:t xml:space="preserve"/>
        </x:is>
      </x:c>
      <x:c r="U619" s="8" t="str">
        <x:f>INDEX('서식지_점수'!$E$4:$P$4,1,MATCH(MAX('서식지_점수'!E619:P619),'서식지_점수'!E619:P619,0))</x:f>
        <x:v>산악</x:v>
      </x:c>
      <x:c r="V619" s="8" t="str">
        <x:f>IF(T619&lt;&gt;"",T619,U619)</x:f>
        <x:v>산악</x:v>
      </x:c>
      <x:c r="W619" s="8" t="str">
        <x:f>IFERROR(INDEX('서식지_점수'!$E$4:$P$4,1,MATCH(MAXIFS('서식지_점수'!E619:P619,'서식지_점수'!E619:P619,"&lt;"&amp;MAX('서식지_점수'!E619:P619)),'서식지_점수'!E619:P619,0)),"")</x:f>
        <x:v>평원</x:v>
      </x:c>
      <x:c r="X619" s="8" t="str">
        <x:f>IF(T619&lt;&gt;"","수동확정",IF(MAX('서식지_점수'!E619:P619)-LARGE('서식지_점수'!E619:P619,2)&gt;=15,"높음",IF(MAX('서식지_점수'!E619:P619)-LARGE('서식지_점수'!E619:P619,2)&gt;=8,"보통","검토필요")))</x:f>
        <x:v>검토필요</x:v>
      </x:c>
      <x:c r="Y619" s="9" t="n">
        <x:f>IF(Q619="전설",8,IF(Q619="희귀",7,IF(J619="기본",1,IF(J619="중간",3,IF(J619="최종",IF(I619="",5,IF(I619&lt;=20,3,IF(I619&lt;=35,4,IF(I619&lt;=50,6,7)))),IF(Q619="드묾",4,2))))))</x:f>
        <x:v>2</x:v>
      </x:c>
      <x:c r="Z619" s="5" t="inlineStr">
        <x:is>
          <x:t xml:space="preserve">#cobblemon:is_freezing; #cobblemon:nether/is_frozen</x:t>
        </x:is>
      </x:c>
      <x:c r="AA619" s="5" t="inlineStr">
        <x:is>
          <x:t xml:space="preserve">common; uncommon</x:t>
        </x:is>
      </x:c>
      <x:c r="AB619" s="5" t="inlineStr">
        <x:is>
          <x:t xml:space="preserve">예</x:t>
        </x:is>
      </x:c>
      <x:c r="AC619" s="8" t="str">
        <x:f>IF(T619&lt;&gt;"","수동확정",IF(X619="검토필요","검토필요",IF(S619="","원본없음","초기완료")))</x:f>
        <x:v>검토필요</x:v>
      </x:c>
      <x:c r="AD619" s="7" t="inlineStr">
        <x:is>
          <x:t xml:space="preserve"/>
        </x:is>
      </x:c>
      <x:c r="AE619" s="5" t="inlineStr">
        <x:is>
          <x:t xml:space="preserve">.tmp/cobblemon-1.7.3-source/common/src/main/resources/data/cobblemon/species/generation5/cryogonal.json</x:t>
        </x:is>
      </x:c>
      <x:c r="AF619" s="5" t="str">
        <x:f>"생활권|"&amp;K619</x:f>
        <x:v>생활권|비행</x:v>
      </x:c>
      <x:c r="AG619" s="5" t="str">
        <x:f>"지형|"&amp;L619</x:f>
        <x:v>지형|화산</x:v>
      </x:c>
      <x:c r="AH619" s="5" t="str">
        <x:f>"온도|"&amp;M619</x:f>
        <x:v>온도|한랭</x:v>
      </x:c>
      <x:c r="AI619" s="5" t="str">
        <x:f>"습도|"&amp;N619</x:f>
        <x:v>습도|건조</x:v>
      </x:c>
      <x:c r="AJ619" s="5" t="str">
        <x:f>"날씨|"&amp;O619</x:f>
        <x:v>날씨|맑음</x:v>
      </x:c>
      <x:c r="AK619" s="5" t="str">
        <x:f>"특수태그|"&amp;R619</x:f>
        <x:v>특수태그|화산</x:v>
      </x:c>
      <x:c r="AL619" s="5" t="str">
        <x:f>"원본서식지|"&amp;S619</x:f>
        <x:v>원본서식지|화산</x:v>
      </x:c>
      <x:c r="AM619" s="5" t="str">
        <x:f>"타입|"&amp;F619</x:f>
        <x:v>타입|얼음</x:v>
      </x:c>
      <x:c r="AN619" s="5" t="str">
        <x:f>"타입|"&amp;G619</x:f>
        <x:v>타입|</x:v>
      </x:c>
    </x:row>
    <x:row r="620" ht="24" customHeight="1">
      <x:c r="A620" s="5" t="n">
        <x:v>616</x:v>
      </x:c>
      <x:c r="B620" s="5" t="inlineStr">
        <x:is>
          <x:t xml:space="preserve">쪼마리</x:t>
        </x:is>
      </x:c>
      <x:c r="C620" s="5" t="inlineStr">
        <x:is>
          <x:t xml:space="preserve">shelmet</x:t>
        </x:is>
      </x:c>
      <x:c r="D620" s="5" t="inlineStr">
        <x:is>
          <x:t xml:space="preserve">Shelmet</x:t>
        </x:is>
      </x:c>
      <x:c r="E620" s="5" t="n">
        <x:v>5</x:v>
      </x:c>
      <x:c r="F620" s="5" t="inlineStr">
        <x:is>
          <x:t xml:space="preserve">벌레</x:t>
        </x:is>
      </x:c>
      <x:c r="G620" s="5" t="inlineStr">
        <x:is>
          <x:t xml:space="preserve"/>
        </x:is>
      </x:c>
      <x:c r="H620" s="6" t="n">
        <x:v>7.7</x:v>
      </x:c>
      <x:c r="I620" s="5" t="n"/>
      <x:c r="J620" s="5" t="inlineStr">
        <x:is>
          <x:t xml:space="preserve">기본</x:t>
        </x:is>
      </x:c>
      <x:c r="K620" s="7" t="inlineStr">
        <x:is>
          <x:t xml:space="preserve">육상</x:t>
        </x:is>
      </x:c>
      <x:c r="L620" s="7" t="inlineStr">
        <x:is>
          <x:t xml:space="preserve">습지</x:t>
        </x:is>
      </x:c>
      <x:c r="M620" s="7" t="inlineStr">
        <x:is>
          <x:t xml:space="preserve">온대</x:t>
        </x:is>
      </x:c>
      <x:c r="N620" s="7" t="inlineStr">
        <x:is>
          <x:t xml:space="preserve">다습</x:t>
        </x:is>
      </x:c>
      <x:c r="O620" s="7" t="inlineStr">
        <x:is>
          <x:t xml:space="preserve">비</x:t>
        </x:is>
      </x:c>
      <x:c r="P620" s="7" t="inlineStr">
        <x:is>
          <x:t xml:space="preserve">무관</x:t>
        </x:is>
      </x:c>
      <x:c r="Q620" s="7" t="inlineStr">
        <x:is>
          <x:t xml:space="preserve">흔함</x:t>
        </x:is>
      </x:c>
      <x:c r="R620" s="7" t="inlineStr">
        <x:is>
          <x:t xml:space="preserve">없음</x:t>
        </x:is>
      </x:c>
      <x:c r="S620" s="7" t="inlineStr">
        <x:is>
          <x:t xml:space="preserve">습지</x:t>
        </x:is>
      </x:c>
      <x:c r="T620" s="7" t="inlineStr">
        <x:is>
          <x:t xml:space="preserve"/>
        </x:is>
      </x:c>
      <x:c r="U620" s="8" t="str">
        <x:f>INDEX('서식지_점수'!$E$4:$P$4,1,MATCH(MAX('서식지_점수'!E620:P620),'서식지_점수'!E620:P620,0))</x:f>
        <x:v>평원</x:v>
      </x:c>
      <x:c r="V620" s="8" t="str">
        <x:f>IF(T620&lt;&gt;"",T620,U620)</x:f>
        <x:v>평원</x:v>
      </x:c>
      <x:c r="W620" s="8" t="str">
        <x:f>IFERROR(INDEX('서식지_점수'!$E$4:$P$4,1,MATCH(MAXIFS('서식지_점수'!E620:P620,'서식지_점수'!E620:P620,"&lt;"&amp;MAX('서식지_점수'!E620:P620)),'서식지_점수'!E620:P620,0)),"")</x:f>
        <x:v>숲</x:v>
      </x:c>
      <x:c r="X620" s="8" t="str">
        <x:f>IF(T620&lt;&gt;"","수동확정",IF(MAX('서식지_점수'!E620:P620)-LARGE('서식지_점수'!E620:P620,2)&gt;=15,"높음",IF(MAX('서식지_점수'!E620:P620)-LARGE('서식지_점수'!E620:P620,2)&gt;=8,"보통","검토필요")))</x:f>
        <x:v>검토필요</x:v>
      </x:c>
      <x:c r="Y620" s="9" t="n">
        <x:f>IF(Q620="전설",8,IF(Q620="희귀",7,IF(J620="기본",1,IF(J620="중간",3,IF(J620="최종",IF(I620="",5,IF(I620&lt;=20,3,IF(I620&lt;=35,4,IF(I620&lt;=50,6,7)))),IF(Q620="드묾",4,2))))))</x:f>
        <x:v>1</x:v>
      </x:c>
      <x:c r="Z620" s="5" t="inlineStr">
        <x:is>
          <x:t xml:space="preserve">#cobblemon:is_swamp</x:t>
        </x:is>
      </x:c>
      <x:c r="AA620" s="5" t="inlineStr">
        <x:is>
          <x:t xml:space="preserve">common</x:t>
        </x:is>
      </x:c>
      <x:c r="AB620" s="5" t="inlineStr">
        <x:is>
          <x:t xml:space="preserve">예</x:t>
        </x:is>
      </x:c>
      <x:c r="AC620" s="8" t="str">
        <x:f>IF(T620&lt;&gt;"","수동확정",IF(X620="검토필요","검토필요",IF(S620="","원본없음","초기완료")))</x:f>
        <x:v>검토필요</x:v>
      </x:c>
      <x:c r="AD620" s="7" t="inlineStr">
        <x:is>
          <x:t xml:space="preserve"/>
        </x:is>
      </x:c>
      <x:c r="AE620" s="5" t="inlineStr">
        <x:is>
          <x:t xml:space="preserve">.tmp/cobblemon-1.7.3-source/common/src/main/resources/data/cobblemon/species/generation5/shelmet.json</x:t>
        </x:is>
      </x:c>
      <x:c r="AF620" s="5" t="str">
        <x:f>"생활권|"&amp;K620</x:f>
        <x:v>생활권|육상</x:v>
      </x:c>
      <x:c r="AG620" s="5" t="str">
        <x:f>"지형|"&amp;L620</x:f>
        <x:v>지형|습지</x:v>
      </x:c>
      <x:c r="AH620" s="5" t="str">
        <x:f>"온도|"&amp;M620</x:f>
        <x:v>온도|온대</x:v>
      </x:c>
      <x:c r="AI620" s="5" t="str">
        <x:f>"습도|"&amp;N620</x:f>
        <x:v>습도|다습</x:v>
      </x:c>
      <x:c r="AJ620" s="5" t="str">
        <x:f>"날씨|"&amp;O620</x:f>
        <x:v>날씨|비</x:v>
      </x:c>
      <x:c r="AK620" s="5" t="str">
        <x:f>"특수태그|"&amp;R620</x:f>
        <x:v>특수태그|없음</x:v>
      </x:c>
      <x:c r="AL620" s="5" t="str">
        <x:f>"원본서식지|"&amp;S620</x:f>
        <x:v>원본서식지|습지</x:v>
      </x:c>
      <x:c r="AM620" s="5" t="str">
        <x:f>"타입|"&amp;F620</x:f>
        <x:v>타입|벌레</x:v>
      </x:c>
      <x:c r="AN620" s="5" t="str">
        <x:f>"타입|"&amp;G620</x:f>
        <x:v>타입|</x:v>
      </x:c>
    </x:row>
    <x:row r="621" ht="24" customHeight="1">
      <x:c r="A621" s="5" t="n">
        <x:v>617</x:v>
      </x:c>
      <x:c r="B621" s="5" t="inlineStr">
        <x:is>
          <x:t xml:space="preserve">어지리더</x:t>
        </x:is>
      </x:c>
      <x:c r="C621" s="5" t="inlineStr">
        <x:is>
          <x:t xml:space="preserve">accelgor</x:t>
        </x:is>
      </x:c>
      <x:c r="D621" s="5" t="inlineStr">
        <x:is>
          <x:t xml:space="preserve">Accelgor</x:t>
        </x:is>
      </x:c>
      <x:c r="E621" s="5" t="n">
        <x:v>5</x:v>
      </x:c>
      <x:c r="F621" s="5" t="inlineStr">
        <x:is>
          <x:t xml:space="preserve">벌레</x:t>
        </x:is>
      </x:c>
      <x:c r="G621" s="5" t="inlineStr">
        <x:is>
          <x:t xml:space="preserve"/>
        </x:is>
      </x:c>
      <x:c r="H621" s="6" t="n">
        <x:v>25.3</x:v>
      </x:c>
      <x:c r="I621" s="5" t="n"/>
      <x:c r="J621" s="5" t="inlineStr">
        <x:is>
          <x:t xml:space="preserve">최종</x:t>
        </x:is>
      </x:c>
      <x:c r="K621" s="7" t="inlineStr">
        <x:is>
          <x:t xml:space="preserve">육상</x:t>
        </x:is>
      </x:c>
      <x:c r="L621" s="7" t="inlineStr">
        <x:is>
          <x:t xml:space="preserve">습지</x:t>
        </x:is>
      </x:c>
      <x:c r="M621" s="7" t="inlineStr">
        <x:is>
          <x:t xml:space="preserve">온대</x:t>
        </x:is>
      </x:c>
      <x:c r="N621" s="7" t="inlineStr">
        <x:is>
          <x:t xml:space="preserve">다습</x:t>
        </x:is>
      </x:c>
      <x:c r="O621" s="7" t="inlineStr">
        <x:is>
          <x:t xml:space="preserve">비</x:t>
        </x:is>
      </x:c>
      <x:c r="P621" s="7" t="inlineStr">
        <x:is>
          <x:t xml:space="preserve">무관</x:t>
        </x:is>
      </x:c>
      <x:c r="Q621" s="7" t="inlineStr">
        <x:is>
          <x:t xml:space="preserve">흔함</x:t>
        </x:is>
      </x:c>
      <x:c r="R621" s="7" t="inlineStr">
        <x:is>
          <x:t xml:space="preserve">없음</x:t>
        </x:is>
      </x:c>
      <x:c r="S621" s="7" t="inlineStr">
        <x:is>
          <x:t xml:space="preserve">습지</x:t>
        </x:is>
      </x:c>
      <x:c r="T621" s="7" t="inlineStr">
        <x:is>
          <x:t xml:space="preserve"/>
        </x:is>
      </x:c>
      <x:c r="U621" s="8" t="str">
        <x:f>INDEX('서식지_점수'!$E$4:$P$4,1,MATCH(MAX('서식지_점수'!E621:P621),'서식지_점수'!E621:P621,0))</x:f>
        <x:v>평원</x:v>
      </x:c>
      <x:c r="V621" s="8" t="str">
        <x:f>IF(T621&lt;&gt;"",T621,U621)</x:f>
        <x:v>평원</x:v>
      </x:c>
      <x:c r="W621" s="8" t="str">
        <x:f>IFERROR(INDEX('서식지_점수'!$E$4:$P$4,1,MATCH(MAXIFS('서식지_점수'!E621:P621,'서식지_점수'!E621:P621,"&lt;"&amp;MAX('서식지_점수'!E621:P621)),'서식지_점수'!E621:P621,0)),"")</x:f>
        <x:v>숲</x:v>
      </x:c>
      <x:c r="X621" s="8" t="str">
        <x:f>IF(T621&lt;&gt;"","수동확정",IF(MAX('서식지_점수'!E621:P621)-LARGE('서식지_점수'!E621:P621,2)&gt;=15,"높음",IF(MAX('서식지_점수'!E621:P621)-LARGE('서식지_점수'!E621:P621,2)&gt;=8,"보통","검토필요")))</x:f>
        <x:v>검토필요</x:v>
      </x:c>
      <x:c r="Y621" s="9" t="n">
        <x:f>IF(Q621="전설",8,IF(Q621="희귀",7,IF(J621="기본",1,IF(J621="중간",3,IF(J621="최종",IF(I621="",5,IF(I621&lt;=20,3,IF(I621&lt;=35,4,IF(I621&lt;=50,6,7)))),IF(Q621="드묾",4,2))))))</x:f>
        <x:v>5</x:v>
      </x:c>
      <x:c r="Z621" s="5" t="inlineStr">
        <x:is>
          <x:t xml:space="preserve">#cobblemon:is_swamp</x:t>
        </x:is>
      </x:c>
      <x:c r="AA621" s="5" t="inlineStr">
        <x:is>
          <x:t xml:space="preserve">common</x:t>
        </x:is>
      </x:c>
      <x:c r="AB621" s="5" t="inlineStr">
        <x:is>
          <x:t xml:space="preserve">예</x:t>
        </x:is>
      </x:c>
      <x:c r="AC621" s="8" t="str">
        <x:f>IF(T621&lt;&gt;"","수동확정",IF(X621="검토필요","검토필요",IF(S621="","원본없음","초기완료")))</x:f>
        <x:v>검토필요</x:v>
      </x:c>
      <x:c r="AD621" s="7" t="inlineStr">
        <x:is>
          <x:t xml:space="preserve"/>
        </x:is>
      </x:c>
      <x:c r="AE621" s="5" t="inlineStr">
        <x:is>
          <x:t xml:space="preserve">.tmp/cobblemon-1.7.3-source/common/src/main/resources/data/cobblemon/species/generation5/accelgor.json</x:t>
        </x:is>
      </x:c>
      <x:c r="AF621" s="5" t="str">
        <x:f>"생활권|"&amp;K621</x:f>
        <x:v>생활권|육상</x:v>
      </x:c>
      <x:c r="AG621" s="5" t="str">
        <x:f>"지형|"&amp;L621</x:f>
        <x:v>지형|습지</x:v>
      </x:c>
      <x:c r="AH621" s="5" t="str">
        <x:f>"온도|"&amp;M621</x:f>
        <x:v>온도|온대</x:v>
      </x:c>
      <x:c r="AI621" s="5" t="str">
        <x:f>"습도|"&amp;N621</x:f>
        <x:v>습도|다습</x:v>
      </x:c>
      <x:c r="AJ621" s="5" t="str">
        <x:f>"날씨|"&amp;O621</x:f>
        <x:v>날씨|비</x:v>
      </x:c>
      <x:c r="AK621" s="5" t="str">
        <x:f>"특수태그|"&amp;R621</x:f>
        <x:v>특수태그|없음</x:v>
      </x:c>
      <x:c r="AL621" s="5" t="str">
        <x:f>"원본서식지|"&amp;S621</x:f>
        <x:v>원본서식지|습지</x:v>
      </x:c>
      <x:c r="AM621" s="5" t="str">
        <x:f>"타입|"&amp;F621</x:f>
        <x:v>타입|벌레</x:v>
      </x:c>
      <x:c r="AN621" s="5" t="str">
        <x:f>"타입|"&amp;G621</x:f>
        <x:v>타입|</x:v>
      </x:c>
    </x:row>
    <x:row r="622" ht="24" customHeight="1">
      <x:c r="A622" s="5" t="n">
        <x:v>618</x:v>
      </x:c>
      <x:c r="B622" s="5" t="inlineStr">
        <x:is>
          <x:t xml:space="preserve">메더</x:t>
        </x:is>
      </x:c>
      <x:c r="C622" s="5" t="inlineStr">
        <x:is>
          <x:t xml:space="preserve">stunfisk</x:t>
        </x:is>
      </x:c>
      <x:c r="D622" s="5" t="inlineStr">
        <x:is>
          <x:t xml:space="preserve">Stunfisk</x:t>
        </x:is>
      </x:c>
      <x:c r="E622" s="5" t="n">
        <x:v>5</x:v>
      </x:c>
      <x:c r="F622" s="5" t="inlineStr">
        <x:is>
          <x:t xml:space="preserve">땅</x:t>
        </x:is>
      </x:c>
      <x:c r="G622" s="5" t="inlineStr">
        <x:is>
          <x:t xml:space="preserve">전기</x:t>
        </x:is>
      </x:c>
      <x:c r="H622" s="6" t="n">
        <x:v>11</x:v>
      </x:c>
      <x:c r="I622" s="5" t="n"/>
      <x:c r="J622" s="5" t="inlineStr">
        <x:is>
          <x:t xml:space="preserve">무진화</x:t>
        </x:is>
      </x:c>
      <x:c r="K622" s="7" t="inlineStr">
        <x:is>
          <x:t xml:space="preserve">육상</x:t>
        </x:is>
      </x:c>
      <x:c r="L622" s="7" t="inlineStr">
        <x:is>
          <x:t xml:space="preserve">습지</x:t>
        </x:is>
      </x:c>
      <x:c r="M622" s="7" t="inlineStr">
        <x:is>
          <x:t xml:space="preserve">온대</x:t>
        </x:is>
      </x:c>
      <x:c r="N622" s="7" t="inlineStr">
        <x:is>
          <x:t xml:space="preserve">다습</x:t>
        </x:is>
      </x:c>
      <x:c r="O622" s="7" t="inlineStr">
        <x:is>
          <x:t xml:space="preserve">비</x:t>
        </x:is>
      </x:c>
      <x:c r="P622" s="7" t="inlineStr">
        <x:is>
          <x:t xml:space="preserve">무관</x:t>
        </x:is>
      </x:c>
      <x:c r="Q622" s="7" t="inlineStr">
        <x:is>
          <x:t xml:space="preserve">흔함</x:t>
        </x:is>
      </x:c>
      <x:c r="R622" s="7" t="inlineStr">
        <x:is>
          <x:t xml:space="preserve">없음</x:t>
        </x:is>
      </x:c>
      <x:c r="S622" s="7" t="inlineStr">
        <x:is>
          <x:t xml:space="preserve">습지</x:t>
        </x:is>
      </x:c>
      <x:c r="T622" s="7" t="inlineStr">
        <x:is>
          <x:t xml:space="preserve"/>
        </x:is>
      </x:c>
      <x:c r="U622" s="8" t="str">
        <x:f>INDEX('서식지_점수'!$E$4:$P$4,1,MATCH(MAX('서식지_점수'!E622:P622),'서식지_점수'!E622:P622,0))</x:f>
        <x:v>평원</x:v>
      </x:c>
      <x:c r="V622" s="8" t="str">
        <x:f>IF(T622&lt;&gt;"",T622,U622)</x:f>
        <x:v>평원</x:v>
      </x:c>
      <x:c r="W622" s="8" t="str">
        <x:f>IFERROR(INDEX('서식지_점수'!$E$4:$P$4,1,MATCH(MAXIFS('서식지_점수'!E622:P622,'서식지_점수'!E622:P622,"&lt;"&amp;MAX('서식지_점수'!E622:P622)),'서식지_점수'!E622:P622,0)),"")</x:f>
        <x:v>숲</x:v>
      </x:c>
      <x:c r="X622" s="8" t="str">
        <x:f>IF(T622&lt;&gt;"","수동확정",IF(MAX('서식지_점수'!E622:P622)-LARGE('서식지_점수'!E622:P622,2)&gt;=15,"높음",IF(MAX('서식지_점수'!E622:P622)-LARGE('서식지_점수'!E622:P622,2)&gt;=8,"보통","검토필요")))</x:f>
        <x:v>검토필요</x:v>
      </x:c>
      <x:c r="Y622" s="9" t="n">
        <x:f>IF(Q622="전설",8,IF(Q622="희귀",7,IF(J622="기본",1,IF(J622="중간",3,IF(J622="최종",IF(I622="",5,IF(I622&lt;=20,3,IF(I622&lt;=35,4,IF(I622&lt;=50,6,7)))),IF(Q622="드묾",4,2))))))</x:f>
        <x:v>2</x:v>
      </x:c>
      <x:c r="Z622" s="5" t="inlineStr">
        <x:is>
          <x:t xml:space="preserve">#cobblemon:is_arid; #cobblemon:is_jungle; #cobblemon:is_swamp</x:t>
        </x:is>
      </x:c>
      <x:c r="AA622" s="5" t="inlineStr">
        <x:is>
          <x:t xml:space="preserve">common</x:t>
        </x:is>
      </x:c>
      <x:c r="AB622" s="5" t="inlineStr">
        <x:is>
          <x:t xml:space="preserve">예</x:t>
        </x:is>
      </x:c>
      <x:c r="AC622" s="8" t="str">
        <x:f>IF(T622&lt;&gt;"","수동확정",IF(X622="검토필요","검토필요",IF(S622="","원본없음","초기완료")))</x:f>
        <x:v>검토필요</x:v>
      </x:c>
      <x:c r="AD622" s="7" t="inlineStr">
        <x:is>
          <x:t xml:space="preserve"/>
        </x:is>
      </x:c>
      <x:c r="AE622" s="5" t="inlineStr">
        <x:is>
          <x:t xml:space="preserve">.tmp/cobblemon-1.7.3-source/common/src/main/resources/data/cobblemon/species/generation5/stunfisk.json</x:t>
        </x:is>
      </x:c>
      <x:c r="AF622" s="5" t="str">
        <x:f>"생활권|"&amp;K622</x:f>
        <x:v>생활권|육상</x:v>
      </x:c>
      <x:c r="AG622" s="5" t="str">
        <x:f>"지형|"&amp;L622</x:f>
        <x:v>지형|습지</x:v>
      </x:c>
      <x:c r="AH622" s="5" t="str">
        <x:f>"온도|"&amp;M622</x:f>
        <x:v>온도|온대</x:v>
      </x:c>
      <x:c r="AI622" s="5" t="str">
        <x:f>"습도|"&amp;N622</x:f>
        <x:v>습도|다습</x:v>
      </x:c>
      <x:c r="AJ622" s="5" t="str">
        <x:f>"날씨|"&amp;O622</x:f>
        <x:v>날씨|비</x:v>
      </x:c>
      <x:c r="AK622" s="5" t="str">
        <x:f>"특수태그|"&amp;R622</x:f>
        <x:v>특수태그|없음</x:v>
      </x:c>
      <x:c r="AL622" s="5" t="str">
        <x:f>"원본서식지|"&amp;S622</x:f>
        <x:v>원본서식지|습지</x:v>
      </x:c>
      <x:c r="AM622" s="5" t="str">
        <x:f>"타입|"&amp;F622</x:f>
        <x:v>타입|땅</x:v>
      </x:c>
      <x:c r="AN622" s="5" t="str">
        <x:f>"타입|"&amp;G622</x:f>
        <x:v>타입|전기</x:v>
      </x:c>
    </x:row>
    <x:row r="623" ht="24" customHeight="1">
      <x:c r="A623" s="5" t="n">
        <x:v>619</x:v>
      </x:c>
      <x:c r="B623" s="5" t="inlineStr">
        <x:is>
          <x:t xml:space="preserve">비조푸</x:t>
        </x:is>
      </x:c>
      <x:c r="C623" s="5" t="inlineStr">
        <x:is>
          <x:t xml:space="preserve">mienfoo</x:t>
        </x:is>
      </x:c>
      <x:c r="D623" s="5" t="inlineStr">
        <x:is>
          <x:t xml:space="preserve">Mienfoo</x:t>
        </x:is>
      </x:c>
      <x:c r="E623" s="5" t="n">
        <x:v>5</x:v>
      </x:c>
      <x:c r="F623" s="5" t="inlineStr">
        <x:is>
          <x:t xml:space="preserve">격투</x:t>
        </x:is>
      </x:c>
      <x:c r="G623" s="5" t="inlineStr">
        <x:is>
          <x:t xml:space="preserve"/>
        </x:is>
      </x:c>
      <x:c r="H623" s="6" t="n">
        <x:v>20</x:v>
      </x:c>
      <x:c r="I623" s="5" t="n">
        <x:v>50</x:v>
      </x:c>
      <x:c r="J623" s="5" t="inlineStr">
        <x:is>
          <x:t xml:space="preserve">기본</x:t>
        </x:is>
      </x:c>
      <x:c r="K623" s="7" t="inlineStr">
        <x:is>
          <x:t xml:space="preserve">육상</x:t>
        </x:is>
      </x:c>
      <x:c r="L623" s="7" t="inlineStr">
        <x:is>
          <x:t xml:space="preserve">암석</x:t>
        </x:is>
      </x:c>
      <x:c r="M623" s="7" t="inlineStr">
        <x:is>
          <x:t xml:space="preserve">온대</x:t>
        </x:is>
      </x:c>
      <x:c r="N623" s="7" t="inlineStr">
        <x:is>
          <x:t xml:space="preserve">보통</x:t>
        </x:is>
      </x:c>
      <x:c r="O623" s="7" t="inlineStr">
        <x:is>
          <x:t xml:space="preserve">무관</x:t>
        </x:is>
      </x:c>
      <x:c r="P623" s="7" t="inlineStr">
        <x:is>
          <x:t xml:space="preserve">무관</x:t>
        </x:is>
      </x:c>
      <x:c r="Q623" s="7" t="inlineStr">
        <x:is>
          <x:t xml:space="preserve">보통</x:t>
        </x:is>
      </x:c>
      <x:c r="R623" s="7" t="inlineStr">
        <x:is>
          <x:t xml:space="preserve">없음</x:t>
        </x:is>
      </x:c>
      <x:c r="S623" s="7" t="inlineStr">
        <x:is>
          <x:t xml:space="preserve">산악</x:t>
        </x:is>
      </x:c>
      <x:c r="T623" s="7" t="inlineStr">
        <x:is>
          <x:t xml:space="preserve"/>
        </x:is>
      </x:c>
      <x:c r="U623" s="8" t="str">
        <x:f>INDEX('서식지_점수'!$E$4:$P$4,1,MATCH(MAX('서식지_점수'!E623:P623),'서식지_점수'!E623:P623,0))</x:f>
        <x:v>평원</x:v>
      </x:c>
      <x:c r="V623" s="8" t="str">
        <x:f>IF(T623&lt;&gt;"",T623,U623)</x:f>
        <x:v>평원</x:v>
      </x:c>
      <x:c r="W623" s="8" t="str">
        <x:f>IFERROR(INDEX('서식지_점수'!$E$4:$P$4,1,MATCH(MAXIFS('서식지_점수'!E623:P623,'서식지_점수'!E623:P623,"&lt;"&amp;MAX('서식지_점수'!E623:P623)),'서식지_점수'!E623:P623,0)),"")</x:f>
        <x:v>숲</x:v>
      </x:c>
      <x:c r="X623" s="8" t="str">
        <x:f>IF(T623&lt;&gt;"","수동확정",IF(MAX('서식지_점수'!E623:P623)-LARGE('서식지_점수'!E623:P623,2)&gt;=15,"높음",IF(MAX('서식지_점수'!E623:P623)-LARGE('서식지_점수'!E623:P623,2)&gt;=8,"보통","검토필요")))</x:f>
        <x:v>검토필요</x:v>
      </x:c>
      <x:c r="Y623" s="9" t="n">
        <x:f>IF(Q623="전설",8,IF(Q623="희귀",7,IF(J623="기본",1,IF(J623="중간",3,IF(J623="최종",IF(I623="",5,IF(I623&lt;=20,3,IF(I623&lt;=35,4,IF(I623&lt;=50,6,7)))),IF(Q623="드묾",4,2))))))</x:f>
        <x:v>1</x:v>
      </x:c>
      <x:c r="Z623" s="5" t="inlineStr">
        <x:is>
          <x:t xml:space="preserve">#cobblemon:is_mountain</x:t>
        </x:is>
      </x:c>
      <x:c r="AA623" s="5" t="inlineStr">
        <x:is>
          <x:t xml:space="preserve">uncommon</x:t>
        </x:is>
      </x:c>
      <x:c r="AB623" s="5" t="inlineStr">
        <x:is>
          <x:t xml:space="preserve">예</x:t>
        </x:is>
      </x:c>
      <x:c r="AC623" s="8" t="str">
        <x:f>IF(T623&lt;&gt;"","수동확정",IF(X623="검토필요","검토필요",IF(S623="","원본없음","초기완료")))</x:f>
        <x:v>검토필요</x:v>
      </x:c>
      <x:c r="AD623" s="7" t="inlineStr">
        <x:is>
          <x:t xml:space="preserve"/>
        </x:is>
      </x:c>
      <x:c r="AE623" s="5" t="inlineStr">
        <x:is>
          <x:t xml:space="preserve">.tmp/cobblemon-1.7.3-source/common/src/main/resources/data/cobblemon/species/generation5/mienfoo.json</x:t>
        </x:is>
      </x:c>
      <x:c r="AF623" s="5" t="str">
        <x:f>"생활권|"&amp;K623</x:f>
        <x:v>생활권|육상</x:v>
      </x:c>
      <x:c r="AG623" s="5" t="str">
        <x:f>"지형|"&amp;L623</x:f>
        <x:v>지형|암석</x:v>
      </x:c>
      <x:c r="AH623" s="5" t="str">
        <x:f>"온도|"&amp;M623</x:f>
        <x:v>온도|온대</x:v>
      </x:c>
      <x:c r="AI623" s="5" t="str">
        <x:f>"습도|"&amp;N623</x:f>
        <x:v>습도|보통</x:v>
      </x:c>
      <x:c r="AJ623" s="5" t="str">
        <x:f>"날씨|"&amp;O623</x:f>
        <x:v>날씨|무관</x:v>
      </x:c>
      <x:c r="AK623" s="5" t="str">
        <x:f>"특수태그|"&amp;R623</x:f>
        <x:v>특수태그|없음</x:v>
      </x:c>
      <x:c r="AL623" s="5" t="str">
        <x:f>"원본서식지|"&amp;S623</x:f>
        <x:v>원본서식지|산악</x:v>
      </x:c>
      <x:c r="AM623" s="5" t="str">
        <x:f>"타입|"&amp;F623</x:f>
        <x:v>타입|격투</x:v>
      </x:c>
      <x:c r="AN623" s="5" t="str">
        <x:f>"타입|"&amp;G623</x:f>
        <x:v>타입|</x:v>
      </x:c>
    </x:row>
    <x:row r="624" ht="24" customHeight="1">
      <x:c r="A624" s="5" t="n">
        <x:v>620</x:v>
      </x:c>
      <x:c r="B624" s="5" t="inlineStr">
        <x:is>
          <x:t xml:space="preserve">비조도</x:t>
        </x:is>
      </x:c>
      <x:c r="C624" s="5" t="inlineStr">
        <x:is>
          <x:t xml:space="preserve">mienshao</x:t>
        </x:is>
      </x:c>
      <x:c r="D624" s="5" t="inlineStr">
        <x:is>
          <x:t xml:space="preserve">Mienshao</x:t>
        </x:is>
      </x:c>
      <x:c r="E624" s="5" t="n">
        <x:v>5</x:v>
      </x:c>
      <x:c r="F624" s="5" t="inlineStr">
        <x:is>
          <x:t xml:space="preserve">격투</x:t>
        </x:is>
      </x:c>
      <x:c r="G624" s="5" t="inlineStr">
        <x:is>
          <x:t xml:space="preserve"/>
        </x:is>
      </x:c>
      <x:c r="H624" s="6" t="n">
        <x:v>35.5</x:v>
      </x:c>
      <x:c r="I624" s="5" t="n">
        <x:v>50</x:v>
      </x:c>
      <x:c r="J624" s="5" t="inlineStr">
        <x:is>
          <x:t xml:space="preserve">최종</x:t>
        </x:is>
      </x:c>
      <x:c r="K624" s="7" t="inlineStr">
        <x:is>
          <x:t xml:space="preserve">육상</x:t>
        </x:is>
      </x:c>
      <x:c r="L624" s="7" t="inlineStr">
        <x:is>
          <x:t xml:space="preserve">암석</x:t>
        </x:is>
      </x:c>
      <x:c r="M624" s="7" t="inlineStr">
        <x:is>
          <x:t xml:space="preserve">온대</x:t>
        </x:is>
      </x:c>
      <x:c r="N624" s="7" t="inlineStr">
        <x:is>
          <x:t xml:space="preserve">보통</x:t>
        </x:is>
      </x:c>
      <x:c r="O624" s="7" t="inlineStr">
        <x:is>
          <x:t xml:space="preserve">무관</x:t>
        </x:is>
      </x:c>
      <x:c r="P624" s="7" t="inlineStr">
        <x:is>
          <x:t xml:space="preserve">무관</x:t>
        </x:is>
      </x:c>
      <x:c r="Q624" s="7" t="inlineStr">
        <x:is>
          <x:t xml:space="preserve">보통</x:t>
        </x:is>
      </x:c>
      <x:c r="R624" s="7" t="inlineStr">
        <x:is>
          <x:t xml:space="preserve">없음</x:t>
        </x:is>
      </x:c>
      <x:c r="S624" s="7" t="inlineStr">
        <x:is>
          <x:t xml:space="preserve">산악</x:t>
        </x:is>
      </x:c>
      <x:c r="T624" s="7" t="inlineStr">
        <x:is>
          <x:t xml:space="preserve"/>
        </x:is>
      </x:c>
      <x:c r="U624" s="8" t="str">
        <x:f>INDEX('서식지_점수'!$E$4:$P$4,1,MATCH(MAX('서식지_점수'!E624:P624),'서식지_점수'!E624:P624,0))</x:f>
        <x:v>평원</x:v>
      </x:c>
      <x:c r="V624" s="8" t="str">
        <x:f>IF(T624&lt;&gt;"",T624,U624)</x:f>
        <x:v>평원</x:v>
      </x:c>
      <x:c r="W624" s="8" t="str">
        <x:f>IFERROR(INDEX('서식지_점수'!$E$4:$P$4,1,MATCH(MAXIFS('서식지_점수'!E624:P624,'서식지_점수'!E624:P624,"&lt;"&amp;MAX('서식지_점수'!E624:P624)),'서식지_점수'!E624:P624,0)),"")</x:f>
        <x:v>숲</x:v>
      </x:c>
      <x:c r="X624" s="8" t="str">
        <x:f>IF(T624&lt;&gt;"","수동확정",IF(MAX('서식지_점수'!E624:P624)-LARGE('서식지_점수'!E624:P624,2)&gt;=15,"높음",IF(MAX('서식지_점수'!E624:P624)-LARGE('서식지_점수'!E624:P624,2)&gt;=8,"보통","검토필요")))</x:f>
        <x:v>검토필요</x:v>
      </x:c>
      <x:c r="Y624" s="9" t="n">
        <x:f>IF(Q624="전설",8,IF(Q624="희귀",7,IF(J624="기본",1,IF(J624="중간",3,IF(J624="최종",IF(I624="",5,IF(I624&lt;=20,3,IF(I624&lt;=35,4,IF(I624&lt;=50,6,7)))),IF(Q624="드묾",4,2))))))</x:f>
        <x:v>6</x:v>
      </x:c>
      <x:c r="Z624" s="5" t="inlineStr">
        <x:is>
          <x:t xml:space="preserve">#cobblemon:is_mountain</x:t>
        </x:is>
      </x:c>
      <x:c r="AA624" s="5" t="inlineStr">
        <x:is>
          <x:t xml:space="preserve">uncommon</x:t>
        </x:is>
      </x:c>
      <x:c r="AB624" s="5" t="inlineStr">
        <x:is>
          <x:t xml:space="preserve">예</x:t>
        </x:is>
      </x:c>
      <x:c r="AC624" s="8" t="str">
        <x:f>IF(T624&lt;&gt;"","수동확정",IF(X624="검토필요","검토필요",IF(S624="","원본없음","초기완료")))</x:f>
        <x:v>검토필요</x:v>
      </x:c>
      <x:c r="AD624" s="7" t="inlineStr">
        <x:is>
          <x:t xml:space="preserve"/>
        </x:is>
      </x:c>
      <x:c r="AE624" s="5" t="inlineStr">
        <x:is>
          <x:t xml:space="preserve">.tmp/cobblemon-1.7.3-source/common/src/main/resources/data/cobblemon/species/generation5/mienshao.json</x:t>
        </x:is>
      </x:c>
      <x:c r="AF624" s="5" t="str">
        <x:f>"생활권|"&amp;K624</x:f>
        <x:v>생활권|육상</x:v>
      </x:c>
      <x:c r="AG624" s="5" t="str">
        <x:f>"지형|"&amp;L624</x:f>
        <x:v>지형|암석</x:v>
      </x:c>
      <x:c r="AH624" s="5" t="str">
        <x:f>"온도|"&amp;M624</x:f>
        <x:v>온도|온대</x:v>
      </x:c>
      <x:c r="AI624" s="5" t="str">
        <x:f>"습도|"&amp;N624</x:f>
        <x:v>습도|보통</x:v>
      </x:c>
      <x:c r="AJ624" s="5" t="str">
        <x:f>"날씨|"&amp;O624</x:f>
        <x:v>날씨|무관</x:v>
      </x:c>
      <x:c r="AK624" s="5" t="str">
        <x:f>"특수태그|"&amp;R624</x:f>
        <x:v>특수태그|없음</x:v>
      </x:c>
      <x:c r="AL624" s="5" t="str">
        <x:f>"원본서식지|"&amp;S624</x:f>
        <x:v>원본서식지|산악</x:v>
      </x:c>
      <x:c r="AM624" s="5" t="str">
        <x:f>"타입|"&amp;F624</x:f>
        <x:v>타입|격투</x:v>
      </x:c>
      <x:c r="AN624" s="5" t="str">
        <x:f>"타입|"&amp;G624</x:f>
        <x:v>타입|</x:v>
      </x:c>
    </x:row>
    <x:row r="625" ht="24" customHeight="1">
      <x:c r="A625" s="5" t="n">
        <x:v>621</x:v>
      </x:c>
      <x:c r="B625" s="5" t="inlineStr">
        <x:is>
          <x:t xml:space="preserve">크리만</x:t>
        </x:is>
      </x:c>
      <x:c r="C625" s="5" t="inlineStr">
        <x:is>
          <x:t xml:space="preserve">druddigon</x:t>
        </x:is>
      </x:c>
      <x:c r="D625" s="5" t="inlineStr">
        <x:is>
          <x:t xml:space="preserve">Druddigon</x:t>
        </x:is>
      </x:c>
      <x:c r="E625" s="5" t="n">
        <x:v>5</x:v>
      </x:c>
      <x:c r="F625" s="5" t="inlineStr">
        <x:is>
          <x:t xml:space="preserve">드래곤</x:t>
        </x:is>
      </x:c>
      <x:c r="G625" s="5" t="inlineStr">
        <x:is>
          <x:t xml:space="preserve"/>
        </x:is>
      </x:c>
      <x:c r="H625" s="6" t="n">
        <x:v>139</x:v>
      </x:c>
      <x:c r="I625" s="5" t="n"/>
      <x:c r="J625" s="5" t="inlineStr">
        <x:is>
          <x:t xml:space="preserve">무진화</x:t>
        </x:is>
      </x:c>
      <x:c r="K625" s="7" t="inlineStr">
        <x:is>
          <x:t xml:space="preserve">육상</x:t>
        </x:is>
      </x:c>
      <x:c r="L625" s="7" t="inlineStr">
        <x:is>
          <x:t xml:space="preserve">암석</x:t>
        </x:is>
      </x:c>
      <x:c r="M625" s="7" t="inlineStr">
        <x:is>
          <x:t xml:space="preserve">온대</x:t>
        </x:is>
      </x:c>
      <x:c r="N625" s="7" t="inlineStr">
        <x:is>
          <x:t xml:space="preserve">보통</x:t>
        </x:is>
      </x:c>
      <x:c r="O625" s="7" t="inlineStr">
        <x:is>
          <x:t xml:space="preserve">무관</x:t>
        </x:is>
      </x:c>
      <x:c r="P625" s="7" t="inlineStr">
        <x:is>
          <x:t xml:space="preserve">낮</x:t>
        </x:is>
      </x:c>
      <x:c r="Q625" s="7" t="inlineStr">
        <x:is>
          <x:t xml:space="preserve">보통</x:t>
        </x:is>
      </x:c>
      <x:c r="R625" s="7" t="inlineStr">
        <x:is>
          <x:t xml:space="preserve">없음</x:t>
        </x:is>
      </x:c>
      <x:c r="S625" s="7" t="inlineStr">
        <x:is>
          <x:t xml:space="preserve">산악</x:t>
        </x:is>
      </x:c>
      <x:c r="T625" s="7" t="inlineStr">
        <x:is>
          <x:t xml:space="preserve"/>
        </x:is>
      </x:c>
      <x:c r="U625" s="8" t="str">
        <x:f>INDEX('서식지_점수'!$E$4:$P$4,1,MATCH(MAX('서식지_점수'!E625:P625),'서식지_점수'!E625:P625,0))</x:f>
        <x:v>평원</x:v>
      </x:c>
      <x:c r="V625" s="8" t="str">
        <x:f>IF(T625&lt;&gt;"",T625,U625)</x:f>
        <x:v>평원</x:v>
      </x:c>
      <x:c r="W625" s="8" t="str">
        <x:f>IFERROR(INDEX('서식지_점수'!$E$4:$P$4,1,MATCH(MAXIFS('서식지_점수'!E625:P625,'서식지_점수'!E625:P625,"&lt;"&amp;MAX('서식지_점수'!E625:P625)),'서식지_점수'!E625:P625,0)),"")</x:f>
        <x:v>숲</x:v>
      </x:c>
      <x:c r="X625" s="8" t="str">
        <x:f>IF(T625&lt;&gt;"","수동확정",IF(MAX('서식지_점수'!E625:P625)-LARGE('서식지_점수'!E625:P625,2)&gt;=15,"높음",IF(MAX('서식지_점수'!E625:P625)-LARGE('서식지_점수'!E625:P625,2)&gt;=8,"보통","검토필요")))</x:f>
        <x:v>검토필요</x:v>
      </x:c>
      <x:c r="Y625" s="9" t="n">
        <x:f>IF(Q625="전설",8,IF(Q625="희귀",7,IF(J625="기본",1,IF(J625="중간",3,IF(J625="최종",IF(I625="",5,IF(I625&lt;=20,3,IF(I625&lt;=35,4,IF(I625&lt;=50,6,7)))),IF(Q625="드묾",4,2))))))</x:f>
        <x:v>2</x:v>
      </x:c>
      <x:c r="Z625" s="5" t="inlineStr">
        <x:is>
          <x:t xml:space="preserve">#cobblemon:is_mountain; #cobblemon:is_overworld</x:t>
        </x:is>
      </x:c>
      <x:c r="AA625" s="5" t="inlineStr">
        <x:is>
          <x:t xml:space="preserve">rare; uncommon</x:t>
        </x:is>
      </x:c>
      <x:c r="AB625" s="5" t="inlineStr">
        <x:is>
          <x:t xml:space="preserve">예</x:t>
        </x:is>
      </x:c>
      <x:c r="AC625" s="8" t="str">
        <x:f>IF(T625&lt;&gt;"","수동확정",IF(X625="검토필요","검토필요",IF(S625="","원본없음","초기완료")))</x:f>
        <x:v>검토필요</x:v>
      </x:c>
      <x:c r="AD625" s="7" t="inlineStr">
        <x:is>
          <x:t xml:space="preserve"/>
        </x:is>
      </x:c>
      <x:c r="AE625" s="5" t="inlineStr">
        <x:is>
          <x:t xml:space="preserve">.tmp/cobblemon-1.7.3-source/common/src/main/resources/data/cobblemon/species/generation5/druddigon.json</x:t>
        </x:is>
      </x:c>
      <x:c r="AF625" s="5" t="str">
        <x:f>"생활권|"&amp;K625</x:f>
        <x:v>생활권|육상</x:v>
      </x:c>
      <x:c r="AG625" s="5" t="str">
        <x:f>"지형|"&amp;L625</x:f>
        <x:v>지형|암석</x:v>
      </x:c>
      <x:c r="AH625" s="5" t="str">
        <x:f>"온도|"&amp;M625</x:f>
        <x:v>온도|온대</x:v>
      </x:c>
      <x:c r="AI625" s="5" t="str">
        <x:f>"습도|"&amp;N625</x:f>
        <x:v>습도|보통</x:v>
      </x:c>
      <x:c r="AJ625" s="5" t="str">
        <x:f>"날씨|"&amp;O625</x:f>
        <x:v>날씨|무관</x:v>
      </x:c>
      <x:c r="AK625" s="5" t="str">
        <x:f>"특수태그|"&amp;R625</x:f>
        <x:v>특수태그|없음</x:v>
      </x:c>
      <x:c r="AL625" s="5" t="str">
        <x:f>"원본서식지|"&amp;S625</x:f>
        <x:v>원본서식지|산악</x:v>
      </x:c>
      <x:c r="AM625" s="5" t="str">
        <x:f>"타입|"&amp;F625</x:f>
        <x:v>타입|드래곤</x:v>
      </x:c>
      <x:c r="AN625" s="5" t="str">
        <x:f>"타입|"&amp;G625</x:f>
        <x:v>타입|</x:v>
      </x:c>
    </x:row>
    <x:row r="626" ht="24" customHeight="1">
      <x:c r="A626" s="5" t="n">
        <x:v>622</x:v>
      </x:c>
      <x:c r="B626" s="5" t="inlineStr">
        <x:is>
          <x:t xml:space="preserve">골비람</x:t>
        </x:is>
      </x:c>
      <x:c r="C626" s="5" t="inlineStr">
        <x:is>
          <x:t xml:space="preserve">golett</x:t>
        </x:is>
      </x:c>
      <x:c r="D626" s="5" t="inlineStr">
        <x:is>
          <x:t xml:space="preserve">Golett</x:t>
        </x:is>
      </x:c>
      <x:c r="E626" s="5" t="n">
        <x:v>5</x:v>
      </x:c>
      <x:c r="F626" s="5" t="inlineStr">
        <x:is>
          <x:t xml:space="preserve">땅</x:t>
        </x:is>
      </x:c>
      <x:c r="G626" s="5" t="inlineStr">
        <x:is>
          <x:t xml:space="preserve">고스트</x:t>
        </x:is>
      </x:c>
      <x:c r="H626" s="6" t="n">
        <x:v>92</x:v>
      </x:c>
      <x:c r="I626" s="5" t="n">
        <x:v>43</x:v>
      </x:c>
      <x:c r="J626" s="5" t="inlineStr">
        <x:is>
          <x:t xml:space="preserve">기본</x:t>
        </x:is>
      </x:c>
      <x:c r="K626" s="7" t="inlineStr">
        <x:is>
          <x:t xml:space="preserve">인공</x:t>
        </x:is>
      </x:c>
      <x:c r="L626" s="7" t="inlineStr">
        <x:is>
          <x:t xml:space="preserve">동굴</x:t>
        </x:is>
      </x:c>
      <x:c r="M626" s="7" t="inlineStr">
        <x:is>
          <x:t xml:space="preserve">온대</x:t>
        </x:is>
      </x:c>
      <x:c r="N626" s="7" t="inlineStr">
        <x:is>
          <x:t xml:space="preserve">다습</x:t>
        </x:is>
      </x:c>
      <x:c r="O626" s="7" t="inlineStr">
        <x:is>
          <x:t xml:space="preserve">안개</x:t>
        </x:is>
      </x:c>
      <x:c r="P626" s="7" t="inlineStr">
        <x:is>
          <x:t xml:space="preserve">밤</x:t>
        </x:is>
      </x:c>
      <x:c r="Q626" s="7" t="inlineStr">
        <x:is>
          <x:t xml:space="preserve">보통</x:t>
        </x:is>
      </x:c>
      <x:c r="R626" s="7" t="inlineStr">
        <x:is>
          <x:t xml:space="preserve">영체</x:t>
        </x:is>
      </x:c>
      <x:c r="S626" s="7" t="inlineStr">
        <x:is>
          <x:t xml:space="preserve">동굴</x:t>
        </x:is>
      </x:c>
      <x:c r="T626" s="7" t="inlineStr">
        <x:is>
          <x:t xml:space="preserve"/>
        </x:is>
      </x:c>
      <x:c r="U626" s="8" t="str">
        <x:f>INDEX('서식지_점수'!$E$4:$P$4,1,MATCH(MAX('서식지_점수'!E626:P626),'서식지_점수'!E626:P626,0))</x:f>
        <x:v>도시</x:v>
      </x:c>
      <x:c r="V626" s="8" t="str">
        <x:f>IF(T626&lt;&gt;"",T626,U626)</x:f>
        <x:v>도시</x:v>
      </x:c>
      <x:c r="W626" s="8" t="str">
        <x:f>IFERROR(INDEX('서식지_점수'!$E$4:$P$4,1,MATCH(MAXIFS('서식지_점수'!E626:P626,'서식지_점수'!E626:P626,"&lt;"&amp;MAX('서식지_점수'!E626:P626)),'서식지_점수'!E626:P626,0)),"")</x:f>
        <x:v>특수</x:v>
      </x:c>
      <x:c r="X626" s="8" t="str">
        <x:f>IF(T626&lt;&gt;"","수동확정",IF(MAX('서식지_점수'!E626:P626)-LARGE('서식지_점수'!E626:P626,2)&gt;=15,"높음",IF(MAX('서식지_점수'!E626:P626)-LARGE('서식지_점수'!E626:P626,2)&gt;=8,"보통","검토필요")))</x:f>
        <x:v>높음</x:v>
      </x:c>
      <x:c r="Y626" s="9" t="n">
        <x:f>IF(Q626="전설",8,IF(Q626="희귀",7,IF(J626="기본",1,IF(J626="중간",3,IF(J626="최종",IF(I626="",5,IF(I626&lt;=20,3,IF(I626&lt;=35,4,IF(I626&lt;=50,6,7)))),IF(Q626="드묾",4,2))))))</x:f>
        <x:v>1</x:v>
      </x:c>
      <x:c r="Z626" s="5" t="inlineStr">
        <x:is>
          <x:t xml:space="preserve">#cobblemon:is_deep_dark; #cobblemon:is_desert; #cobblemon:is_jungle; #cobblemon:is_overworld; the_bumblezone:howling_constructs</x:t>
        </x:is>
      </x:c>
      <x:c r="AA626" s="5" t="inlineStr">
        <x:is>
          <x:t xml:space="preserve">common; rare; uncommon</x:t>
        </x:is>
      </x:c>
      <x:c r="AB626" s="5" t="inlineStr">
        <x:is>
          <x:t xml:space="preserve">예</x:t>
        </x:is>
      </x:c>
      <x:c r="AC626" s="8" t="str">
        <x:f>IF(T626&lt;&gt;"","수동확정",IF(X626="검토필요","검토필요",IF(S626="","원본없음","초기완료")))</x:f>
        <x:v>초기완료</x:v>
      </x:c>
      <x:c r="AD626" s="7" t="inlineStr">
        <x:is>
          <x:t xml:space="preserve"/>
        </x:is>
      </x:c>
      <x:c r="AE626" s="5" t="inlineStr">
        <x:is>
          <x:t xml:space="preserve">.tmp/cobblemon-1.7.3-source/common/src/main/resources/data/cobblemon/species/generation5/golett.json</x:t>
        </x:is>
      </x:c>
      <x:c r="AF626" s="5" t="str">
        <x:f>"생활권|"&amp;K626</x:f>
        <x:v>생활권|인공</x:v>
      </x:c>
      <x:c r="AG626" s="5" t="str">
        <x:f>"지형|"&amp;L626</x:f>
        <x:v>지형|동굴</x:v>
      </x:c>
      <x:c r="AH626" s="5" t="str">
        <x:f>"온도|"&amp;M626</x:f>
        <x:v>온도|온대</x:v>
      </x:c>
      <x:c r="AI626" s="5" t="str">
        <x:f>"습도|"&amp;N626</x:f>
        <x:v>습도|다습</x:v>
      </x:c>
      <x:c r="AJ626" s="5" t="str">
        <x:f>"날씨|"&amp;O626</x:f>
        <x:v>날씨|안개</x:v>
      </x:c>
      <x:c r="AK626" s="5" t="str">
        <x:f>"특수태그|"&amp;R626</x:f>
        <x:v>특수태그|영체</x:v>
      </x:c>
      <x:c r="AL626" s="5" t="str">
        <x:f>"원본서식지|"&amp;S626</x:f>
        <x:v>원본서식지|동굴</x:v>
      </x:c>
      <x:c r="AM626" s="5" t="str">
        <x:f>"타입|"&amp;F626</x:f>
        <x:v>타입|땅</x:v>
      </x:c>
      <x:c r="AN626" s="5" t="str">
        <x:f>"타입|"&amp;G626</x:f>
        <x:v>타입|고스트</x:v>
      </x:c>
    </x:row>
    <x:row r="627" ht="24" customHeight="1">
      <x:c r="A627" s="5" t="n">
        <x:v>623</x:v>
      </x:c>
      <x:c r="B627" s="5" t="inlineStr">
        <x:is>
          <x:t xml:space="preserve">골루그</x:t>
        </x:is>
      </x:c>
      <x:c r="C627" s="5" t="inlineStr">
        <x:is>
          <x:t xml:space="preserve">golurk</x:t>
        </x:is>
      </x:c>
      <x:c r="D627" s="5" t="inlineStr">
        <x:is>
          <x:t xml:space="preserve">Golurk</x:t>
        </x:is>
      </x:c>
      <x:c r="E627" s="5" t="n">
        <x:v>5</x:v>
      </x:c>
      <x:c r="F627" s="5" t="inlineStr">
        <x:is>
          <x:t xml:space="preserve">땅</x:t>
        </x:is>
      </x:c>
      <x:c r="G627" s="5" t="inlineStr">
        <x:is>
          <x:t xml:space="preserve">고스트</x:t>
        </x:is>
      </x:c>
      <x:c r="H627" s="6" t="n">
        <x:v>330</x:v>
      </x:c>
      <x:c r="I627" s="5" t="n">
        <x:v>43</x:v>
      </x:c>
      <x:c r="J627" s="5" t="inlineStr">
        <x:is>
          <x:t xml:space="preserve">최종</x:t>
        </x:is>
      </x:c>
      <x:c r="K627" s="7" t="inlineStr">
        <x:is>
          <x:t xml:space="preserve">인공</x:t>
        </x:is>
      </x:c>
      <x:c r="L627" s="7" t="inlineStr">
        <x:is>
          <x:t xml:space="preserve">동굴</x:t>
        </x:is>
      </x:c>
      <x:c r="M627" s="7" t="inlineStr">
        <x:is>
          <x:t xml:space="preserve">온대</x:t>
        </x:is>
      </x:c>
      <x:c r="N627" s="7" t="inlineStr">
        <x:is>
          <x:t xml:space="preserve">다습</x:t>
        </x:is>
      </x:c>
      <x:c r="O627" s="7" t="inlineStr">
        <x:is>
          <x:t xml:space="preserve">안개</x:t>
        </x:is>
      </x:c>
      <x:c r="P627" s="7" t="inlineStr">
        <x:is>
          <x:t xml:space="preserve">밤</x:t>
        </x:is>
      </x:c>
      <x:c r="Q627" s="7" t="inlineStr">
        <x:is>
          <x:t xml:space="preserve">보통</x:t>
        </x:is>
      </x:c>
      <x:c r="R627" s="7" t="inlineStr">
        <x:is>
          <x:t xml:space="preserve">영체</x:t>
        </x:is>
      </x:c>
      <x:c r="S627" s="7" t="inlineStr">
        <x:is>
          <x:t xml:space="preserve">동굴</x:t>
        </x:is>
      </x:c>
      <x:c r="T627" s="7" t="inlineStr">
        <x:is>
          <x:t xml:space="preserve"/>
        </x:is>
      </x:c>
      <x:c r="U627" s="8" t="str">
        <x:f>INDEX('서식지_점수'!$E$4:$P$4,1,MATCH(MAX('서식지_점수'!E627:P627),'서식지_점수'!E627:P627,0))</x:f>
        <x:v>도시</x:v>
      </x:c>
      <x:c r="V627" s="8" t="str">
        <x:f>IF(T627&lt;&gt;"",T627,U627)</x:f>
        <x:v>도시</x:v>
      </x:c>
      <x:c r="W627" s="8" t="str">
        <x:f>IFERROR(INDEX('서식지_점수'!$E$4:$P$4,1,MATCH(MAXIFS('서식지_점수'!E627:P627,'서식지_점수'!E627:P627,"&lt;"&amp;MAX('서식지_점수'!E627:P627)),'서식지_점수'!E627:P627,0)),"")</x:f>
        <x:v>특수</x:v>
      </x:c>
      <x:c r="X627" s="8" t="str">
        <x:f>IF(T627&lt;&gt;"","수동확정",IF(MAX('서식지_점수'!E627:P627)-LARGE('서식지_점수'!E627:P627,2)&gt;=15,"높음",IF(MAX('서식지_점수'!E627:P627)-LARGE('서식지_점수'!E627:P627,2)&gt;=8,"보통","검토필요")))</x:f>
        <x:v>높음</x:v>
      </x:c>
      <x:c r="Y627" s="9" t="n">
        <x:f>IF(Q627="전설",8,IF(Q627="희귀",7,IF(J627="기본",1,IF(J627="중간",3,IF(J627="최종",IF(I627="",5,IF(I627&lt;=20,3,IF(I627&lt;=35,4,IF(I627&lt;=50,6,7)))),IF(Q627="드묾",4,2))))))</x:f>
        <x:v>6</x:v>
      </x:c>
      <x:c r="Z627" s="5" t="inlineStr">
        <x:is>
          <x:t xml:space="preserve">#cobblemon:is_deep_dark; #cobblemon:is_desert; #cobblemon:is_jungle; #cobblemon:is_overworld; the_bumblezone:howling_constructs</x:t>
        </x:is>
      </x:c>
      <x:c r="AA627" s="5" t="inlineStr">
        <x:is>
          <x:t xml:space="preserve">common; rare; uncommon</x:t>
        </x:is>
      </x:c>
      <x:c r="AB627" s="5" t="inlineStr">
        <x:is>
          <x:t xml:space="preserve">예</x:t>
        </x:is>
      </x:c>
      <x:c r="AC627" s="8" t="str">
        <x:f>IF(T627&lt;&gt;"","수동확정",IF(X627="검토필요","검토필요",IF(S627="","원본없음","초기완료")))</x:f>
        <x:v>초기완료</x:v>
      </x:c>
      <x:c r="AD627" s="7" t="inlineStr">
        <x:is>
          <x:t xml:space="preserve"/>
        </x:is>
      </x:c>
      <x:c r="AE627" s="5" t="inlineStr">
        <x:is>
          <x:t xml:space="preserve">.tmp/cobblemon-1.7.3-source/common/src/main/resources/data/cobblemon/species/generation5/golurk.json</x:t>
        </x:is>
      </x:c>
      <x:c r="AF627" s="5" t="str">
        <x:f>"생활권|"&amp;K627</x:f>
        <x:v>생활권|인공</x:v>
      </x:c>
      <x:c r="AG627" s="5" t="str">
        <x:f>"지형|"&amp;L627</x:f>
        <x:v>지형|동굴</x:v>
      </x:c>
      <x:c r="AH627" s="5" t="str">
        <x:f>"온도|"&amp;M627</x:f>
        <x:v>온도|온대</x:v>
      </x:c>
      <x:c r="AI627" s="5" t="str">
        <x:f>"습도|"&amp;N627</x:f>
        <x:v>습도|다습</x:v>
      </x:c>
      <x:c r="AJ627" s="5" t="str">
        <x:f>"날씨|"&amp;O627</x:f>
        <x:v>날씨|안개</x:v>
      </x:c>
      <x:c r="AK627" s="5" t="str">
        <x:f>"특수태그|"&amp;R627</x:f>
        <x:v>특수태그|영체</x:v>
      </x:c>
      <x:c r="AL627" s="5" t="str">
        <x:f>"원본서식지|"&amp;S627</x:f>
        <x:v>원본서식지|동굴</x:v>
      </x:c>
      <x:c r="AM627" s="5" t="str">
        <x:f>"타입|"&amp;F627</x:f>
        <x:v>타입|땅</x:v>
      </x:c>
      <x:c r="AN627" s="5" t="str">
        <x:f>"타입|"&amp;G627</x:f>
        <x:v>타입|고스트</x:v>
      </x:c>
    </x:row>
    <x:row r="628" ht="24" customHeight="1">
      <x:c r="A628" s="5" t="n">
        <x:v>624</x:v>
      </x:c>
      <x:c r="B628" s="5" t="inlineStr">
        <x:is>
          <x:t xml:space="preserve">자망칼</x:t>
        </x:is>
      </x:c>
      <x:c r="C628" s="5" t="inlineStr">
        <x:is>
          <x:t xml:space="preserve">pawniard</x:t>
        </x:is>
      </x:c>
      <x:c r="D628" s="5" t="inlineStr">
        <x:is>
          <x:t xml:space="preserve">Pawniard</x:t>
        </x:is>
      </x:c>
      <x:c r="E628" s="5" t="n">
        <x:v>5</x:v>
      </x:c>
      <x:c r="F628" s="5" t="inlineStr">
        <x:is>
          <x:t xml:space="preserve">악</x:t>
        </x:is>
      </x:c>
      <x:c r="G628" s="5" t="inlineStr">
        <x:is>
          <x:t xml:space="preserve">강철</x:t>
        </x:is>
      </x:c>
      <x:c r="H628" s="6" t="n">
        <x:v>10.2</x:v>
      </x:c>
      <x:c r="I628" s="5" t="n">
        <x:v>52</x:v>
      </x:c>
      <x:c r="J628" s="5" t="inlineStr">
        <x:is>
          <x:t xml:space="preserve">기본</x:t>
        </x:is>
      </x:c>
      <x:c r="K628" s="7" t="inlineStr">
        <x:is>
          <x:t xml:space="preserve">육상</x:t>
        </x:is>
      </x:c>
      <x:c r="L628" s="7" t="inlineStr">
        <x:is>
          <x:t xml:space="preserve">수목</x:t>
        </x:is>
      </x:c>
      <x:c r="M628" s="7" t="inlineStr">
        <x:is>
          <x:t xml:space="preserve">온대</x:t>
        </x:is>
      </x:c>
      <x:c r="N628" s="7" t="inlineStr">
        <x:is>
          <x:t xml:space="preserve">다습</x:t>
        </x:is>
      </x:c>
      <x:c r="O628" s="7" t="inlineStr">
        <x:is>
          <x:t xml:space="preserve">무관</x:t>
        </x:is>
      </x:c>
      <x:c r="P628" s="7" t="inlineStr">
        <x:is>
          <x:t xml:space="preserve">밤</x:t>
        </x:is>
      </x:c>
      <x:c r="Q628" s="7" t="inlineStr">
        <x:is>
          <x:t xml:space="preserve">보통</x:t>
        </x:is>
      </x:c>
      <x:c r="R628" s="7" t="inlineStr">
        <x:is>
          <x:t xml:space="preserve">없음</x:t>
        </x:is>
      </x:c>
      <x:c r="S628" s="7" t="inlineStr">
        <x:is>
          <x:t xml:space="preserve">숲</x:t>
        </x:is>
      </x:c>
      <x:c r="T628" s="7" t="inlineStr">
        <x:is>
          <x:t xml:space="preserve"/>
        </x:is>
      </x:c>
      <x:c r="U628" s="8" t="str">
        <x:f>INDEX('서식지_점수'!$E$4:$P$4,1,MATCH(MAX('서식지_점수'!E628:P628),'서식지_점수'!E628:P628,0))</x:f>
        <x:v>평원</x:v>
      </x:c>
      <x:c r="V628" s="8" t="str">
        <x:f>IF(T628&lt;&gt;"",T628,U628)</x:f>
        <x:v>평원</x:v>
      </x:c>
      <x:c r="W628" s="8" t="str">
        <x:f>IFERROR(INDEX('서식지_점수'!$E$4:$P$4,1,MATCH(MAXIFS('서식지_점수'!E628:P628,'서식지_점수'!E628:P628,"&lt;"&amp;MAX('서식지_점수'!E628:P628)),'서식지_점수'!E628:P628,0)),"")</x:f>
        <x:v>숲</x:v>
      </x:c>
      <x:c r="X628" s="8" t="str">
        <x:f>IF(T628&lt;&gt;"","수동확정",IF(MAX('서식지_점수'!E628:P628)-LARGE('서식지_점수'!E628:P628,2)&gt;=15,"높음",IF(MAX('서식지_점수'!E628:P628)-LARGE('서식지_점수'!E628:P628,2)&gt;=8,"보통","검토필요")))</x:f>
        <x:v>검토필요</x:v>
      </x:c>
      <x:c r="Y628" s="9" t="n">
        <x:f>IF(Q628="전설",8,IF(Q628="희귀",7,IF(J628="기본",1,IF(J628="중간",3,IF(J628="최종",IF(I628="",5,IF(I628&lt;=20,3,IF(I628&lt;=35,4,IF(I628&lt;=50,6,7)))),IF(Q628="드묾",4,2))))))</x:f>
        <x:v>1</x:v>
      </x:c>
      <x:c r="Z628" s="5" t="inlineStr">
        <x:is>
          <x:t xml:space="preserve">minecraft:bamboo_jungle</x:t>
        </x:is>
      </x:c>
      <x:c r="AA628" s="5" t="inlineStr">
        <x:is>
          <x:t xml:space="preserve">uncommon</x:t>
        </x:is>
      </x:c>
      <x:c r="AB628" s="5" t="inlineStr">
        <x:is>
          <x:t xml:space="preserve">아니오</x:t>
        </x:is>
      </x:c>
      <x:c r="AC628" s="8" t="str">
        <x:f>IF(T628&lt;&gt;"","수동확정",IF(X628="검토필요","검토필요",IF(S628="","원본없음","초기완료")))</x:f>
        <x:v>검토필요</x:v>
      </x:c>
      <x:c r="AD628" s="7" t="inlineStr">
        <x:is>
          <x:t xml:space="preserve"/>
        </x:is>
      </x:c>
      <x:c r="AE628" s="5" t="inlineStr">
        <x:is>
          <x:t xml:space="preserve">.tmp/cobblemon-1.7.3-source/common/src/main/resources/data/cobblemon/species/generation5/pawniard.json</x:t>
        </x:is>
      </x:c>
      <x:c r="AF628" s="5" t="str">
        <x:f>"생활권|"&amp;K628</x:f>
        <x:v>생활권|육상</x:v>
      </x:c>
      <x:c r="AG628" s="5" t="str">
        <x:f>"지형|"&amp;L628</x:f>
        <x:v>지형|수목</x:v>
      </x:c>
      <x:c r="AH628" s="5" t="str">
        <x:f>"온도|"&amp;M628</x:f>
        <x:v>온도|온대</x:v>
      </x:c>
      <x:c r="AI628" s="5" t="str">
        <x:f>"습도|"&amp;N628</x:f>
        <x:v>습도|다습</x:v>
      </x:c>
      <x:c r="AJ628" s="5" t="str">
        <x:f>"날씨|"&amp;O628</x:f>
        <x:v>날씨|무관</x:v>
      </x:c>
      <x:c r="AK628" s="5" t="str">
        <x:f>"특수태그|"&amp;R628</x:f>
        <x:v>특수태그|없음</x:v>
      </x:c>
      <x:c r="AL628" s="5" t="str">
        <x:f>"원본서식지|"&amp;S628</x:f>
        <x:v>원본서식지|숲</x:v>
      </x:c>
      <x:c r="AM628" s="5" t="str">
        <x:f>"타입|"&amp;F628</x:f>
        <x:v>타입|악</x:v>
      </x:c>
      <x:c r="AN628" s="5" t="str">
        <x:f>"타입|"&amp;G628</x:f>
        <x:v>타입|강철</x:v>
      </x:c>
    </x:row>
    <x:row r="629" ht="24" customHeight="1">
      <x:c r="A629" s="5" t="n">
        <x:v>625</x:v>
      </x:c>
      <x:c r="B629" s="5" t="inlineStr">
        <x:is>
          <x:t xml:space="preserve">절각참</x:t>
        </x:is>
      </x:c>
      <x:c r="C629" s="5" t="inlineStr">
        <x:is>
          <x:t xml:space="preserve">bisharp</x:t>
        </x:is>
      </x:c>
      <x:c r="D629" s="5" t="inlineStr">
        <x:is>
          <x:t xml:space="preserve">Bisharp</x:t>
        </x:is>
      </x:c>
      <x:c r="E629" s="5" t="n">
        <x:v>5</x:v>
      </x:c>
      <x:c r="F629" s="5" t="inlineStr">
        <x:is>
          <x:t xml:space="preserve">악</x:t>
        </x:is>
      </x:c>
      <x:c r="G629" s="5" t="inlineStr">
        <x:is>
          <x:t xml:space="preserve">강철</x:t>
        </x:is>
      </x:c>
      <x:c r="H629" s="6" t="n">
        <x:v>70</x:v>
      </x:c>
      <x:c r="I629" s="5" t="n">
        <x:v>52</x:v>
      </x:c>
      <x:c r="J629" s="5" t="inlineStr">
        <x:is>
          <x:t xml:space="preserve">중간</x:t>
        </x:is>
      </x:c>
      <x:c r="K629" s="7" t="inlineStr">
        <x:is>
          <x:t xml:space="preserve">육상</x:t>
        </x:is>
      </x:c>
      <x:c r="L629" s="7" t="inlineStr">
        <x:is>
          <x:t xml:space="preserve">수목</x:t>
        </x:is>
      </x:c>
      <x:c r="M629" s="7" t="inlineStr">
        <x:is>
          <x:t xml:space="preserve">온대</x:t>
        </x:is>
      </x:c>
      <x:c r="N629" s="7" t="inlineStr">
        <x:is>
          <x:t xml:space="preserve">다습</x:t>
        </x:is>
      </x:c>
      <x:c r="O629" s="7" t="inlineStr">
        <x:is>
          <x:t xml:space="preserve">무관</x:t>
        </x:is>
      </x:c>
      <x:c r="P629" s="7" t="inlineStr">
        <x:is>
          <x:t xml:space="preserve">밤</x:t>
        </x:is>
      </x:c>
      <x:c r="Q629" s="7" t="inlineStr">
        <x:is>
          <x:t xml:space="preserve">드묾</x:t>
        </x:is>
      </x:c>
      <x:c r="R629" s="7" t="inlineStr">
        <x:is>
          <x:t xml:space="preserve">없음</x:t>
        </x:is>
      </x:c>
      <x:c r="S629" s="7" t="inlineStr">
        <x:is>
          <x:t xml:space="preserve">숲</x:t>
        </x:is>
      </x:c>
      <x:c r="T629" s="7" t="inlineStr">
        <x:is>
          <x:t xml:space="preserve"/>
        </x:is>
      </x:c>
      <x:c r="U629" s="8" t="str">
        <x:f>INDEX('서식지_점수'!$E$4:$P$4,1,MATCH(MAX('서식지_점수'!E629:P629),'서식지_점수'!E629:P629,0))</x:f>
        <x:v>평원</x:v>
      </x:c>
      <x:c r="V629" s="8" t="str">
        <x:f>IF(T629&lt;&gt;"",T629,U629)</x:f>
        <x:v>평원</x:v>
      </x:c>
      <x:c r="W629" s="8" t="str">
        <x:f>IFERROR(INDEX('서식지_점수'!$E$4:$P$4,1,MATCH(MAXIFS('서식지_점수'!E629:P629,'서식지_점수'!E629:P629,"&lt;"&amp;MAX('서식지_점수'!E629:P629)),'서식지_점수'!E629:P629,0)),"")</x:f>
        <x:v>숲</x:v>
      </x:c>
      <x:c r="X629" s="8" t="str">
        <x:f>IF(T629&lt;&gt;"","수동확정",IF(MAX('서식지_점수'!E629:P629)-LARGE('서식지_점수'!E629:P629,2)&gt;=15,"높음",IF(MAX('서식지_점수'!E629:P629)-LARGE('서식지_점수'!E629:P629,2)&gt;=8,"보통","검토필요")))</x:f>
        <x:v>검토필요</x:v>
      </x:c>
      <x:c r="Y629" s="9" t="n">
        <x:f>IF(Q629="전설",8,IF(Q629="희귀",7,IF(J629="기본",1,IF(J629="중간",3,IF(J629="최종",IF(I629="",5,IF(I629&lt;=20,3,IF(I629&lt;=35,4,IF(I629&lt;=50,6,7)))),IF(Q629="드묾",4,2))))))</x:f>
        <x:v>3</x:v>
      </x:c>
      <x:c r="Z629" s="5" t="inlineStr">
        <x:is>
          <x:t xml:space="preserve">minecraft:bamboo_jungle</x:t>
        </x:is>
      </x:c>
      <x:c r="AA629" s="5" t="inlineStr">
        <x:is>
          <x:t xml:space="preserve">rare</x:t>
        </x:is>
      </x:c>
      <x:c r="AB629" s="5" t="inlineStr">
        <x:is>
          <x:t xml:space="preserve">아니오</x:t>
        </x:is>
      </x:c>
      <x:c r="AC629" s="8" t="str">
        <x:f>IF(T629&lt;&gt;"","수동확정",IF(X629="검토필요","검토필요",IF(S629="","원본없음","초기완료")))</x:f>
        <x:v>검토필요</x:v>
      </x:c>
      <x:c r="AD629" s="7" t="inlineStr">
        <x:is>
          <x:t xml:space="preserve"/>
        </x:is>
      </x:c>
      <x:c r="AE629" s="5" t="inlineStr">
        <x:is>
          <x:t xml:space="preserve">.tmp/cobblemon-1.7.3-source/common/src/main/resources/data/cobblemon/species/generation5/bisharp.json</x:t>
        </x:is>
      </x:c>
      <x:c r="AF629" s="5" t="str">
        <x:f>"생활권|"&amp;K629</x:f>
        <x:v>생활권|육상</x:v>
      </x:c>
      <x:c r="AG629" s="5" t="str">
        <x:f>"지형|"&amp;L629</x:f>
        <x:v>지형|수목</x:v>
      </x:c>
      <x:c r="AH629" s="5" t="str">
        <x:f>"온도|"&amp;M629</x:f>
        <x:v>온도|온대</x:v>
      </x:c>
      <x:c r="AI629" s="5" t="str">
        <x:f>"습도|"&amp;N629</x:f>
        <x:v>습도|다습</x:v>
      </x:c>
      <x:c r="AJ629" s="5" t="str">
        <x:f>"날씨|"&amp;O629</x:f>
        <x:v>날씨|무관</x:v>
      </x:c>
      <x:c r="AK629" s="5" t="str">
        <x:f>"특수태그|"&amp;R629</x:f>
        <x:v>특수태그|없음</x:v>
      </x:c>
      <x:c r="AL629" s="5" t="str">
        <x:f>"원본서식지|"&amp;S629</x:f>
        <x:v>원본서식지|숲</x:v>
      </x:c>
      <x:c r="AM629" s="5" t="str">
        <x:f>"타입|"&amp;F629</x:f>
        <x:v>타입|악</x:v>
      </x:c>
      <x:c r="AN629" s="5" t="str">
        <x:f>"타입|"&amp;G629</x:f>
        <x:v>타입|강철</x:v>
      </x:c>
    </x:row>
    <x:row r="630" ht="24" customHeight="1">
      <x:c r="A630" s="5" t="n">
        <x:v>626</x:v>
      </x:c>
      <x:c r="B630" s="5" t="inlineStr">
        <x:is>
          <x:t xml:space="preserve">버프론</x:t>
        </x:is>
      </x:c>
      <x:c r="C630" s="5" t="inlineStr">
        <x:is>
          <x:t xml:space="preserve">bouffalant</x:t>
        </x:is>
      </x:c>
      <x:c r="D630" s="5" t="inlineStr">
        <x:is>
          <x:t xml:space="preserve">Bouffalant</x:t>
        </x:is>
      </x:c>
      <x:c r="E630" s="5" t="n">
        <x:v>5</x:v>
      </x:c>
      <x:c r="F630" s="5" t="inlineStr">
        <x:is>
          <x:t xml:space="preserve">노말</x:t>
        </x:is>
      </x:c>
      <x:c r="G630" s="5" t="inlineStr">
        <x:is>
          <x:t xml:space="preserve"/>
        </x:is>
      </x:c>
      <x:c r="H630" s="6" t="n">
        <x:v>94.59999999999999</x:v>
      </x:c>
      <x:c r="I630" s="5" t="n"/>
      <x:c r="J630" s="5" t="inlineStr">
        <x:is>
          <x:t xml:space="preserve">무진화</x:t>
        </x:is>
      </x:c>
      <x:c r="K630" s="7" t="inlineStr">
        <x:is>
          <x:t xml:space="preserve">육상</x:t>
        </x:is>
      </x:c>
      <x:c r="L630" s="7" t="inlineStr">
        <x:is>
          <x:t xml:space="preserve">개활지</x:t>
        </x:is>
      </x:c>
      <x:c r="M630" s="7" t="inlineStr">
        <x:is>
          <x:t xml:space="preserve">온대</x:t>
        </x:is>
      </x:c>
      <x:c r="N630" s="7" t="inlineStr">
        <x:is>
          <x:t xml:space="preserve">보통</x:t>
        </x:is>
      </x:c>
      <x:c r="O630" s="7" t="inlineStr">
        <x:is>
          <x:t xml:space="preserve">무관</x:t>
        </x:is>
      </x:c>
      <x:c r="P630" s="7" t="inlineStr">
        <x:is>
          <x:t xml:space="preserve">무관</x:t>
        </x:is>
      </x:c>
      <x:c r="Q630" s="7" t="inlineStr">
        <x:is>
          <x:t xml:space="preserve">흔함</x:t>
        </x:is>
      </x:c>
      <x:c r="R630" s="7" t="inlineStr">
        <x:is>
          <x:t xml:space="preserve">없음</x:t>
        </x:is>
      </x:c>
      <x:c r="S630" s="7" t="inlineStr">
        <x:is>
          <x:t xml:space="preserve">평원</x:t>
        </x:is>
      </x:c>
      <x:c r="T630" s="7" t="inlineStr">
        <x:is>
          <x:t xml:space="preserve"/>
        </x:is>
      </x:c>
      <x:c r="U630" s="8" t="str">
        <x:f>INDEX('서식지_점수'!$E$4:$P$4,1,MATCH(MAX('서식지_점수'!E630:P630),'서식지_점수'!E630:P630,0))</x:f>
        <x:v>평원</x:v>
      </x:c>
      <x:c r="V630" s="8" t="str">
        <x:f>IF(T630&lt;&gt;"",T630,U630)</x:f>
        <x:v>평원</x:v>
      </x:c>
      <x:c r="W630" s="8" t="str">
        <x:f>IFERROR(INDEX('서식지_점수'!$E$4:$P$4,1,MATCH(MAXIFS('서식지_점수'!E630:P630,'서식지_점수'!E630:P630,"&lt;"&amp;MAX('서식지_점수'!E630:P630)),'서식지_점수'!E630:P630,0)),"")</x:f>
        <x:v>숲</x:v>
      </x:c>
      <x:c r="X630" s="8" t="str">
        <x:f>IF(T630&lt;&gt;"","수동확정",IF(MAX('서식지_점수'!E630:P630)-LARGE('서식지_점수'!E630:P630,2)&gt;=15,"높음",IF(MAX('서식지_점수'!E630:P630)-LARGE('서식지_점수'!E630:P630,2)&gt;=8,"보통","검토필요")))</x:f>
        <x:v>검토필요</x:v>
      </x:c>
      <x:c r="Y630" s="9" t="n">
        <x:f>IF(Q630="전설",8,IF(Q630="희귀",7,IF(J630="기본",1,IF(J630="중간",3,IF(J630="최종",IF(I630="",5,IF(I630&lt;=20,3,IF(I630&lt;=35,4,IF(I630&lt;=50,6,7)))),IF(Q630="드묾",4,2))))))</x:f>
        <x:v>2</x:v>
      </x:c>
      <x:c r="Z630" s="5" t="inlineStr">
        <x:is>
          <x:t xml:space="preserve">#cobblemon:is_plains</x:t>
        </x:is>
      </x:c>
      <x:c r="AA630" s="5" t="inlineStr">
        <x:is>
          <x:t xml:space="preserve">common</x:t>
        </x:is>
      </x:c>
      <x:c r="AB630" s="5" t="inlineStr">
        <x:is>
          <x:t xml:space="preserve">예</x:t>
        </x:is>
      </x:c>
      <x:c r="AC630" s="8" t="str">
        <x:f>IF(T630&lt;&gt;"","수동확정",IF(X630="검토필요","검토필요",IF(S630="","원본없음","초기완료")))</x:f>
        <x:v>검토필요</x:v>
      </x:c>
      <x:c r="AD630" s="7" t="inlineStr">
        <x:is>
          <x:t xml:space="preserve"/>
        </x:is>
      </x:c>
      <x:c r="AE630" s="5" t="inlineStr">
        <x:is>
          <x:t xml:space="preserve">.tmp/cobblemon-1.7.3-source/common/src/main/resources/data/cobblemon/species/generation5/bouffalant.json</x:t>
        </x:is>
      </x:c>
      <x:c r="AF630" s="5" t="str">
        <x:f>"생활권|"&amp;K630</x:f>
        <x:v>생활권|육상</x:v>
      </x:c>
      <x:c r="AG630" s="5" t="str">
        <x:f>"지형|"&amp;L630</x:f>
        <x:v>지형|개활지</x:v>
      </x:c>
      <x:c r="AH630" s="5" t="str">
        <x:f>"온도|"&amp;M630</x:f>
        <x:v>온도|온대</x:v>
      </x:c>
      <x:c r="AI630" s="5" t="str">
        <x:f>"습도|"&amp;N630</x:f>
        <x:v>습도|보통</x:v>
      </x:c>
      <x:c r="AJ630" s="5" t="str">
        <x:f>"날씨|"&amp;O630</x:f>
        <x:v>날씨|무관</x:v>
      </x:c>
      <x:c r="AK630" s="5" t="str">
        <x:f>"특수태그|"&amp;R630</x:f>
        <x:v>특수태그|없음</x:v>
      </x:c>
      <x:c r="AL630" s="5" t="str">
        <x:f>"원본서식지|"&amp;S630</x:f>
        <x:v>원본서식지|평원</x:v>
      </x:c>
      <x:c r="AM630" s="5" t="str">
        <x:f>"타입|"&amp;F630</x:f>
        <x:v>타입|노말</x:v>
      </x:c>
      <x:c r="AN630" s="5" t="str">
        <x:f>"타입|"&amp;G630</x:f>
        <x:v>타입|</x:v>
      </x:c>
    </x:row>
    <x:row r="631" ht="24" customHeight="1">
      <x:c r="A631" s="5" t="n">
        <x:v>627</x:v>
      </x:c>
      <x:c r="B631" s="5" t="inlineStr">
        <x:is>
          <x:t xml:space="preserve">수리둥보</x:t>
        </x:is>
      </x:c>
      <x:c r="C631" s="5" t="inlineStr">
        <x:is>
          <x:t xml:space="preserve">rufflet</x:t>
        </x:is>
      </x:c>
      <x:c r="D631" s="5" t="inlineStr">
        <x:is>
          <x:t xml:space="preserve">Rufflet</x:t>
        </x:is>
      </x:c>
      <x:c r="E631" s="5" t="n">
        <x:v>5</x:v>
      </x:c>
      <x:c r="F631" s="5" t="inlineStr">
        <x:is>
          <x:t xml:space="preserve">노말</x:t>
        </x:is>
      </x:c>
      <x:c r="G631" s="5" t="inlineStr">
        <x:is>
          <x:t xml:space="preserve">비행</x:t>
        </x:is>
      </x:c>
      <x:c r="H631" s="6" t="n">
        <x:v>10.5</x:v>
      </x:c>
      <x:c r="I631" s="5" t="n">
        <x:v>54</x:v>
      </x:c>
      <x:c r="J631" s="5" t="inlineStr">
        <x:is>
          <x:t xml:space="preserve">기본</x:t>
        </x:is>
      </x:c>
      <x:c r="K631" s="7" t="inlineStr">
        <x:is>
          <x:t xml:space="preserve">비행</x:t>
        </x:is>
      </x:c>
      <x:c r="L631" s="7" t="inlineStr">
        <x:is>
          <x:t xml:space="preserve">암석</x:t>
        </x:is>
      </x:c>
      <x:c r="M631" s="7" t="inlineStr">
        <x:is>
          <x:t xml:space="preserve">온대</x:t>
        </x:is>
      </x:c>
      <x:c r="N631" s="7" t="inlineStr">
        <x:is>
          <x:t xml:space="preserve">보통</x:t>
        </x:is>
      </x:c>
      <x:c r="O631" s="7" t="inlineStr">
        <x:is>
          <x:t xml:space="preserve">무관</x:t>
        </x:is>
      </x:c>
      <x:c r="P631" s="7" t="inlineStr">
        <x:is>
          <x:t xml:space="preserve">낮</x:t>
        </x:is>
      </x:c>
      <x:c r="Q631" s="7" t="inlineStr">
        <x:is>
          <x:t xml:space="preserve">보통</x:t>
        </x:is>
      </x:c>
      <x:c r="R631" s="7" t="inlineStr">
        <x:is>
          <x:t xml:space="preserve">없음</x:t>
        </x:is>
      </x:c>
      <x:c r="S631" s="7" t="inlineStr">
        <x:is>
          <x:t xml:space="preserve">산악</x:t>
        </x:is>
      </x:c>
      <x:c r="T631" s="7" t="inlineStr">
        <x:is>
          <x:t xml:space="preserve"/>
        </x:is>
      </x:c>
      <x:c r="U631" s="8" t="str">
        <x:f>INDEX('서식지_점수'!$E$4:$P$4,1,MATCH(MAX('서식지_점수'!E631:P631),'서식지_점수'!E631:P631,0))</x:f>
        <x:v>산악</x:v>
      </x:c>
      <x:c r="V631" s="8" t="str">
        <x:f>IF(T631&lt;&gt;"",T631,U631)</x:f>
        <x:v>산악</x:v>
      </x:c>
      <x:c r="W631" s="8" t="str">
        <x:f>IFERROR(INDEX('서식지_점수'!$E$4:$P$4,1,MATCH(MAXIFS('서식지_점수'!E631:P631,'서식지_점수'!E631:P631,"&lt;"&amp;MAX('서식지_점수'!E631:P631)),'서식지_점수'!E631:P631,0)),"")</x:f>
        <x:v>평원</x:v>
      </x:c>
      <x:c r="X631" s="8" t="str">
        <x:f>IF(T631&lt;&gt;"","수동확정",IF(MAX('서식지_점수'!E631:P631)-LARGE('서식지_점수'!E631:P631,2)&gt;=15,"높음",IF(MAX('서식지_점수'!E631:P631)-LARGE('서식지_점수'!E631:P631,2)&gt;=8,"보통","검토필요")))</x:f>
        <x:v>검토필요</x:v>
      </x:c>
      <x:c r="Y631" s="9" t="n">
        <x:f>IF(Q631="전설",8,IF(Q631="희귀",7,IF(J631="기본",1,IF(J631="중간",3,IF(J631="최종",IF(I631="",5,IF(I631&lt;=20,3,IF(I631&lt;=35,4,IF(I631&lt;=50,6,7)))),IF(Q631="드묾",4,2))))))</x:f>
        <x:v>1</x:v>
      </x:c>
      <x:c r="Z631" s="5" t="inlineStr">
        <x:is>
          <x:t xml:space="preserve">#cobblemon:is_badlands; #cobblemon:is_hills; #cobblemon:is_mountain; #cobblemon:is_sky</x:t>
        </x:is>
      </x:c>
      <x:c r="AA631" s="5" t="inlineStr">
        <x:is>
          <x:t xml:space="preserve">common; uncommon</x:t>
        </x:is>
      </x:c>
      <x:c r="AB631" s="5" t="inlineStr">
        <x:is>
          <x:t xml:space="preserve">예</x:t>
        </x:is>
      </x:c>
      <x:c r="AC631" s="8" t="str">
        <x:f>IF(T631&lt;&gt;"","수동확정",IF(X631="검토필요","검토필요",IF(S631="","원본없음","초기완료")))</x:f>
        <x:v>검토필요</x:v>
      </x:c>
      <x:c r="AD631" s="7" t="inlineStr">
        <x:is>
          <x:t xml:space="preserve"/>
        </x:is>
      </x:c>
      <x:c r="AE631" s="5" t="inlineStr">
        <x:is>
          <x:t xml:space="preserve">.tmp/cobblemon-1.7.3-source/common/src/main/resources/data/cobblemon/species/generation5/rufflet.json</x:t>
        </x:is>
      </x:c>
      <x:c r="AF631" s="5" t="str">
        <x:f>"생활권|"&amp;K631</x:f>
        <x:v>생활권|비행</x:v>
      </x:c>
      <x:c r="AG631" s="5" t="str">
        <x:f>"지형|"&amp;L631</x:f>
        <x:v>지형|암석</x:v>
      </x:c>
      <x:c r="AH631" s="5" t="str">
        <x:f>"온도|"&amp;M631</x:f>
        <x:v>온도|온대</x:v>
      </x:c>
      <x:c r="AI631" s="5" t="str">
        <x:f>"습도|"&amp;N631</x:f>
        <x:v>습도|보통</x:v>
      </x:c>
      <x:c r="AJ631" s="5" t="str">
        <x:f>"날씨|"&amp;O631</x:f>
        <x:v>날씨|무관</x:v>
      </x:c>
      <x:c r="AK631" s="5" t="str">
        <x:f>"특수태그|"&amp;R631</x:f>
        <x:v>특수태그|없음</x:v>
      </x:c>
      <x:c r="AL631" s="5" t="str">
        <x:f>"원본서식지|"&amp;S631</x:f>
        <x:v>원본서식지|산악</x:v>
      </x:c>
      <x:c r="AM631" s="5" t="str">
        <x:f>"타입|"&amp;F631</x:f>
        <x:v>타입|노말</x:v>
      </x:c>
      <x:c r="AN631" s="5" t="str">
        <x:f>"타입|"&amp;G631</x:f>
        <x:v>타입|비행</x:v>
      </x:c>
    </x:row>
    <x:row r="632" ht="24" customHeight="1">
      <x:c r="A632" s="5" t="n">
        <x:v>628</x:v>
      </x:c>
      <x:c r="B632" s="5" t="inlineStr">
        <x:is>
          <x:t xml:space="preserve">워글</x:t>
        </x:is>
      </x:c>
      <x:c r="C632" s="5" t="inlineStr">
        <x:is>
          <x:t xml:space="preserve">braviary</x:t>
        </x:is>
      </x:c>
      <x:c r="D632" s="5" t="inlineStr">
        <x:is>
          <x:t xml:space="preserve">Braviary</x:t>
        </x:is>
      </x:c>
      <x:c r="E632" s="5" t="n">
        <x:v>5</x:v>
      </x:c>
      <x:c r="F632" s="5" t="inlineStr">
        <x:is>
          <x:t xml:space="preserve">노말</x:t>
        </x:is>
      </x:c>
      <x:c r="G632" s="5" t="inlineStr">
        <x:is>
          <x:t xml:space="preserve">비행</x:t>
        </x:is>
      </x:c>
      <x:c r="H632" s="6" t="n">
        <x:v>41</x:v>
      </x:c>
      <x:c r="I632" s="5" t="n">
        <x:v>54</x:v>
      </x:c>
      <x:c r="J632" s="5" t="inlineStr">
        <x:is>
          <x:t xml:space="preserve">최종</x:t>
        </x:is>
      </x:c>
      <x:c r="K632" s="7" t="inlineStr">
        <x:is>
          <x:t xml:space="preserve">비행</x:t>
        </x:is>
      </x:c>
      <x:c r="L632" s="7" t="inlineStr">
        <x:is>
          <x:t xml:space="preserve">암석</x:t>
        </x:is>
      </x:c>
      <x:c r="M632" s="7" t="inlineStr">
        <x:is>
          <x:t xml:space="preserve">온대</x:t>
        </x:is>
      </x:c>
      <x:c r="N632" s="7" t="inlineStr">
        <x:is>
          <x:t xml:space="preserve">보통</x:t>
        </x:is>
      </x:c>
      <x:c r="O632" s="7" t="inlineStr">
        <x:is>
          <x:t xml:space="preserve">무관</x:t>
        </x:is>
      </x:c>
      <x:c r="P632" s="7" t="inlineStr">
        <x:is>
          <x:t xml:space="preserve">낮</x:t>
        </x:is>
      </x:c>
      <x:c r="Q632" s="7" t="inlineStr">
        <x:is>
          <x:t xml:space="preserve">보통</x:t>
        </x:is>
      </x:c>
      <x:c r="R632" s="7" t="inlineStr">
        <x:is>
          <x:t xml:space="preserve">없음</x:t>
        </x:is>
      </x:c>
      <x:c r="S632" s="7" t="inlineStr">
        <x:is>
          <x:t xml:space="preserve">산악</x:t>
        </x:is>
      </x:c>
      <x:c r="T632" s="7" t="inlineStr">
        <x:is>
          <x:t xml:space="preserve"/>
        </x:is>
      </x:c>
      <x:c r="U632" s="8" t="str">
        <x:f>INDEX('서식지_점수'!$E$4:$P$4,1,MATCH(MAX('서식지_점수'!E632:P632),'서식지_점수'!E632:P632,0))</x:f>
        <x:v>산악</x:v>
      </x:c>
      <x:c r="V632" s="8" t="str">
        <x:f>IF(T632&lt;&gt;"",T632,U632)</x:f>
        <x:v>산악</x:v>
      </x:c>
      <x:c r="W632" s="8" t="str">
        <x:f>IFERROR(INDEX('서식지_점수'!$E$4:$P$4,1,MATCH(MAXIFS('서식지_점수'!E632:P632,'서식지_점수'!E632:P632,"&lt;"&amp;MAX('서식지_점수'!E632:P632)),'서식지_점수'!E632:P632,0)),"")</x:f>
        <x:v>평원</x:v>
      </x:c>
      <x:c r="X632" s="8" t="str">
        <x:f>IF(T632&lt;&gt;"","수동확정",IF(MAX('서식지_점수'!E632:P632)-LARGE('서식지_점수'!E632:P632,2)&gt;=15,"높음",IF(MAX('서식지_점수'!E632:P632)-LARGE('서식지_점수'!E632:P632,2)&gt;=8,"보통","검토필요")))</x:f>
        <x:v>검토필요</x:v>
      </x:c>
      <x:c r="Y632" s="9" t="n">
        <x:f>IF(Q632="전설",8,IF(Q632="희귀",7,IF(J632="기본",1,IF(J632="중간",3,IF(J632="최종",IF(I632="",5,IF(I632&lt;=20,3,IF(I632&lt;=35,4,IF(I632&lt;=50,6,7)))),IF(Q632="드묾",4,2))))))</x:f>
        <x:v>7</x:v>
      </x:c>
      <x:c r="Z632" s="5" t="inlineStr">
        <x:is>
          <x:t xml:space="preserve">#cobblemon:is_badlands; #cobblemon:is_hills; #cobblemon:is_mountain; #cobblemon:is_sky</x:t>
        </x:is>
      </x:c>
      <x:c r="AA632" s="5" t="inlineStr">
        <x:is>
          <x:t xml:space="preserve">common; uncommon</x:t>
        </x:is>
      </x:c>
      <x:c r="AB632" s="5" t="inlineStr">
        <x:is>
          <x:t xml:space="preserve">예</x:t>
        </x:is>
      </x:c>
      <x:c r="AC632" s="8" t="str">
        <x:f>IF(T632&lt;&gt;"","수동확정",IF(X632="검토필요","검토필요",IF(S632="","원본없음","초기완료")))</x:f>
        <x:v>검토필요</x:v>
      </x:c>
      <x:c r="AD632" s="7" t="inlineStr">
        <x:is>
          <x:t xml:space="preserve"/>
        </x:is>
      </x:c>
      <x:c r="AE632" s="5" t="inlineStr">
        <x:is>
          <x:t xml:space="preserve">.tmp/cobblemon-1.7.3-source/common/src/main/resources/data/cobblemon/species/generation5/braviary.json</x:t>
        </x:is>
      </x:c>
      <x:c r="AF632" s="5" t="str">
        <x:f>"생활권|"&amp;K632</x:f>
        <x:v>생활권|비행</x:v>
      </x:c>
      <x:c r="AG632" s="5" t="str">
        <x:f>"지형|"&amp;L632</x:f>
        <x:v>지형|암석</x:v>
      </x:c>
      <x:c r="AH632" s="5" t="str">
        <x:f>"온도|"&amp;M632</x:f>
        <x:v>온도|온대</x:v>
      </x:c>
      <x:c r="AI632" s="5" t="str">
        <x:f>"습도|"&amp;N632</x:f>
        <x:v>습도|보통</x:v>
      </x:c>
      <x:c r="AJ632" s="5" t="str">
        <x:f>"날씨|"&amp;O632</x:f>
        <x:v>날씨|무관</x:v>
      </x:c>
      <x:c r="AK632" s="5" t="str">
        <x:f>"특수태그|"&amp;R632</x:f>
        <x:v>특수태그|없음</x:v>
      </x:c>
      <x:c r="AL632" s="5" t="str">
        <x:f>"원본서식지|"&amp;S632</x:f>
        <x:v>원본서식지|산악</x:v>
      </x:c>
      <x:c r="AM632" s="5" t="str">
        <x:f>"타입|"&amp;F632</x:f>
        <x:v>타입|노말</x:v>
      </x:c>
      <x:c r="AN632" s="5" t="str">
        <x:f>"타입|"&amp;G632</x:f>
        <x:v>타입|비행</x:v>
      </x:c>
    </x:row>
    <x:row r="633" ht="24" customHeight="1">
      <x:c r="A633" s="5" t="n">
        <x:v>629</x:v>
      </x:c>
      <x:c r="B633" s="5" t="inlineStr">
        <x:is>
          <x:t xml:space="preserve">벌차이</x:t>
        </x:is>
      </x:c>
      <x:c r="C633" s="5" t="inlineStr">
        <x:is>
          <x:t xml:space="preserve">vullaby</x:t>
        </x:is>
      </x:c>
      <x:c r="D633" s="5" t="inlineStr">
        <x:is>
          <x:t xml:space="preserve">Vullaby</x:t>
        </x:is>
      </x:c>
      <x:c r="E633" s="5" t="n">
        <x:v>5</x:v>
      </x:c>
      <x:c r="F633" s="5" t="inlineStr">
        <x:is>
          <x:t xml:space="preserve">악</x:t>
        </x:is>
      </x:c>
      <x:c r="G633" s="5" t="inlineStr">
        <x:is>
          <x:t xml:space="preserve">비행</x:t>
        </x:is>
      </x:c>
      <x:c r="H633" s="6" t="n">
        <x:v>9</x:v>
      </x:c>
      <x:c r="I633" s="5" t="n">
        <x:v>54</x:v>
      </x:c>
      <x:c r="J633" s="5" t="inlineStr">
        <x:is>
          <x:t xml:space="preserve">기본</x:t>
        </x:is>
      </x:c>
      <x:c r="K633" s="7" t="inlineStr">
        <x:is>
          <x:t xml:space="preserve">비행</x:t>
        </x:is>
      </x:c>
      <x:c r="L633" s="7" t="inlineStr">
        <x:is>
          <x:t xml:space="preserve">건조</x:t>
        </x:is>
      </x:c>
      <x:c r="M633" s="7" t="inlineStr">
        <x:is>
          <x:t xml:space="preserve">고온</x:t>
        </x:is>
      </x:c>
      <x:c r="N633" s="7" t="inlineStr">
        <x:is>
          <x:t xml:space="preserve">건조</x:t>
        </x:is>
      </x:c>
      <x:c r="O633" s="7" t="inlineStr">
        <x:is>
          <x:t xml:space="preserve">맑음</x:t>
        </x:is>
      </x:c>
      <x:c r="P633" s="7" t="inlineStr">
        <x:is>
          <x:t xml:space="preserve">밤</x:t>
        </x:is>
      </x:c>
      <x:c r="Q633" s="7" t="inlineStr">
        <x:is>
          <x:t xml:space="preserve">흔함</x:t>
        </x:is>
      </x:c>
      <x:c r="R633" s="7" t="inlineStr">
        <x:is>
          <x:t xml:space="preserve">없음</x:t>
        </x:is>
      </x:c>
      <x:c r="S633" s="7" t="inlineStr">
        <x:is>
          <x:t xml:space="preserve">건조지</x:t>
        </x:is>
      </x:c>
      <x:c r="T633" s="7" t="inlineStr">
        <x:is>
          <x:t xml:space="preserve"/>
        </x:is>
      </x:c>
      <x:c r="U633" s="8" t="str">
        <x:f>INDEX('서식지_점수'!$E$4:$P$4,1,MATCH(MAX('서식지_점수'!E633:P633),'서식지_점수'!E633:P633,0))</x:f>
        <x:v>산악</x:v>
      </x:c>
      <x:c r="V633" s="8" t="str">
        <x:f>IF(T633&lt;&gt;"",T633,U633)</x:f>
        <x:v>산악</x:v>
      </x:c>
      <x:c r="W633" s="8" t="str">
        <x:f>IFERROR(INDEX('서식지_점수'!$E$4:$P$4,1,MATCH(MAXIFS('서식지_점수'!E633:P633,'서식지_점수'!E633:P633,"&lt;"&amp;MAX('서식지_점수'!E633:P633)),'서식지_점수'!E633:P633,0)),"")</x:f>
        <x:v>평원</x:v>
      </x:c>
      <x:c r="X633" s="8" t="str">
        <x:f>IF(T633&lt;&gt;"","수동확정",IF(MAX('서식지_점수'!E633:P633)-LARGE('서식지_점수'!E633:P633,2)&gt;=15,"높음",IF(MAX('서식지_점수'!E633:P633)-LARGE('서식지_점수'!E633:P633,2)&gt;=8,"보통","검토필요")))</x:f>
        <x:v>검토필요</x:v>
      </x:c>
      <x:c r="Y633" s="9" t="n">
        <x:f>IF(Q633="전설",8,IF(Q633="희귀",7,IF(J633="기본",1,IF(J633="중간",3,IF(J633="최종",IF(I633="",5,IF(I633&lt;=20,3,IF(I633&lt;=35,4,IF(I633&lt;=50,6,7)))),IF(Q633="드묾",4,2))))))</x:f>
        <x:v>1</x:v>
      </x:c>
      <x:c r="Z633" s="5" t="inlineStr">
        <x:is>
          <x:t xml:space="preserve">#cobblemon:is_badlands; #cobblemon:is_desert</x:t>
        </x:is>
      </x:c>
      <x:c r="AA633" s="5" t="inlineStr">
        <x:is>
          <x:t xml:space="preserve">common</x:t>
        </x:is>
      </x:c>
      <x:c r="AB633" s="5" t="inlineStr">
        <x:is>
          <x:t xml:space="preserve">아니오</x:t>
        </x:is>
      </x:c>
      <x:c r="AC633" s="8" t="str">
        <x:f>IF(T633&lt;&gt;"","수동확정",IF(X633="검토필요","검토필요",IF(S633="","원본없음","초기완료")))</x:f>
        <x:v>검토필요</x:v>
      </x:c>
      <x:c r="AD633" s="7" t="inlineStr">
        <x:is>
          <x:t xml:space="preserve"/>
        </x:is>
      </x:c>
      <x:c r="AE633" s="5" t="inlineStr">
        <x:is>
          <x:t xml:space="preserve">.tmp/cobblemon-1.7.3-source/common/src/main/resources/data/cobblemon/species/generation5/vullaby.json</x:t>
        </x:is>
      </x:c>
      <x:c r="AF633" s="5" t="str">
        <x:f>"생활권|"&amp;K633</x:f>
        <x:v>생활권|비행</x:v>
      </x:c>
      <x:c r="AG633" s="5" t="str">
        <x:f>"지형|"&amp;L633</x:f>
        <x:v>지형|건조</x:v>
      </x:c>
      <x:c r="AH633" s="5" t="str">
        <x:f>"온도|"&amp;M633</x:f>
        <x:v>온도|고온</x:v>
      </x:c>
      <x:c r="AI633" s="5" t="str">
        <x:f>"습도|"&amp;N633</x:f>
        <x:v>습도|건조</x:v>
      </x:c>
      <x:c r="AJ633" s="5" t="str">
        <x:f>"날씨|"&amp;O633</x:f>
        <x:v>날씨|맑음</x:v>
      </x:c>
      <x:c r="AK633" s="5" t="str">
        <x:f>"특수태그|"&amp;R633</x:f>
        <x:v>특수태그|없음</x:v>
      </x:c>
      <x:c r="AL633" s="5" t="str">
        <x:f>"원본서식지|"&amp;S633</x:f>
        <x:v>원본서식지|건조지</x:v>
      </x:c>
      <x:c r="AM633" s="5" t="str">
        <x:f>"타입|"&amp;F633</x:f>
        <x:v>타입|악</x:v>
      </x:c>
      <x:c r="AN633" s="5" t="str">
        <x:f>"타입|"&amp;G633</x:f>
        <x:v>타입|비행</x:v>
      </x:c>
    </x:row>
    <x:row r="634" ht="24" customHeight="1">
      <x:c r="A634" s="5" t="n">
        <x:v>630</x:v>
      </x:c>
      <x:c r="B634" s="5" t="inlineStr">
        <x:is>
          <x:t xml:space="preserve">버랜지나</x:t>
        </x:is>
      </x:c>
      <x:c r="C634" s="5" t="inlineStr">
        <x:is>
          <x:t xml:space="preserve">mandibuzz</x:t>
        </x:is>
      </x:c>
      <x:c r="D634" s="5" t="inlineStr">
        <x:is>
          <x:t xml:space="preserve">Mandibuzz</x:t>
        </x:is>
      </x:c>
      <x:c r="E634" s="5" t="n">
        <x:v>5</x:v>
      </x:c>
      <x:c r="F634" s="5" t="inlineStr">
        <x:is>
          <x:t xml:space="preserve">악</x:t>
        </x:is>
      </x:c>
      <x:c r="G634" s="5" t="inlineStr">
        <x:is>
          <x:t xml:space="preserve">비행</x:t>
        </x:is>
      </x:c>
      <x:c r="H634" s="6" t="n">
        <x:v>39.5</x:v>
      </x:c>
      <x:c r="I634" s="5" t="n">
        <x:v>54</x:v>
      </x:c>
      <x:c r="J634" s="5" t="inlineStr">
        <x:is>
          <x:t xml:space="preserve">최종</x:t>
        </x:is>
      </x:c>
      <x:c r="K634" s="7" t="inlineStr">
        <x:is>
          <x:t xml:space="preserve">비행</x:t>
        </x:is>
      </x:c>
      <x:c r="L634" s="7" t="inlineStr">
        <x:is>
          <x:t xml:space="preserve">건조</x:t>
        </x:is>
      </x:c>
      <x:c r="M634" s="7" t="inlineStr">
        <x:is>
          <x:t xml:space="preserve">고온</x:t>
        </x:is>
      </x:c>
      <x:c r="N634" s="7" t="inlineStr">
        <x:is>
          <x:t xml:space="preserve">건조</x:t>
        </x:is>
      </x:c>
      <x:c r="O634" s="7" t="inlineStr">
        <x:is>
          <x:t xml:space="preserve">맑음</x:t>
        </x:is>
      </x:c>
      <x:c r="P634" s="7" t="inlineStr">
        <x:is>
          <x:t xml:space="preserve">밤</x:t>
        </x:is>
      </x:c>
      <x:c r="Q634" s="7" t="inlineStr">
        <x:is>
          <x:t xml:space="preserve">보통</x:t>
        </x:is>
      </x:c>
      <x:c r="R634" s="7" t="inlineStr">
        <x:is>
          <x:t xml:space="preserve">없음</x:t>
        </x:is>
      </x:c>
      <x:c r="S634" s="7" t="inlineStr">
        <x:is>
          <x:t xml:space="preserve">건조지</x:t>
        </x:is>
      </x:c>
      <x:c r="T634" s="7" t="inlineStr">
        <x:is>
          <x:t xml:space="preserve"/>
        </x:is>
      </x:c>
      <x:c r="U634" s="8" t="str">
        <x:f>INDEX('서식지_점수'!$E$4:$P$4,1,MATCH(MAX('서식지_점수'!E634:P634),'서식지_점수'!E634:P634,0))</x:f>
        <x:v>산악</x:v>
      </x:c>
      <x:c r="V634" s="8" t="str">
        <x:f>IF(T634&lt;&gt;"",T634,U634)</x:f>
        <x:v>산악</x:v>
      </x:c>
      <x:c r="W634" s="8" t="str">
        <x:f>IFERROR(INDEX('서식지_점수'!$E$4:$P$4,1,MATCH(MAXIFS('서식지_점수'!E634:P634,'서식지_점수'!E634:P634,"&lt;"&amp;MAX('서식지_점수'!E634:P634)),'서식지_점수'!E634:P634,0)),"")</x:f>
        <x:v>평원</x:v>
      </x:c>
      <x:c r="X634" s="8" t="str">
        <x:f>IF(T634&lt;&gt;"","수동확정",IF(MAX('서식지_점수'!E634:P634)-LARGE('서식지_점수'!E634:P634,2)&gt;=15,"높음",IF(MAX('서식지_점수'!E634:P634)-LARGE('서식지_점수'!E634:P634,2)&gt;=8,"보통","검토필요")))</x:f>
        <x:v>검토필요</x:v>
      </x:c>
      <x:c r="Y634" s="9" t="n">
        <x:f>IF(Q634="전설",8,IF(Q634="희귀",7,IF(J634="기본",1,IF(J634="중간",3,IF(J634="최종",IF(I634="",5,IF(I634&lt;=20,3,IF(I634&lt;=35,4,IF(I634&lt;=50,6,7)))),IF(Q634="드묾",4,2))))))</x:f>
        <x:v>7</x:v>
      </x:c>
      <x:c r="Z634" s="5" t="inlineStr">
        <x:is>
          <x:t xml:space="preserve">#cobblemon:is_badlands; #cobblemon:is_desert</x:t>
        </x:is>
      </x:c>
      <x:c r="AA634" s="5" t="inlineStr">
        <x:is>
          <x:t xml:space="preserve">uncommon</x:t>
        </x:is>
      </x:c>
      <x:c r="AB634" s="5" t="inlineStr">
        <x:is>
          <x:t xml:space="preserve">아니오</x:t>
        </x:is>
      </x:c>
      <x:c r="AC634" s="8" t="str">
        <x:f>IF(T634&lt;&gt;"","수동확정",IF(X634="검토필요","검토필요",IF(S634="","원본없음","초기완료")))</x:f>
        <x:v>검토필요</x:v>
      </x:c>
      <x:c r="AD634" s="7" t="inlineStr">
        <x:is>
          <x:t xml:space="preserve"/>
        </x:is>
      </x:c>
      <x:c r="AE634" s="5" t="inlineStr">
        <x:is>
          <x:t xml:space="preserve">.tmp/cobblemon-1.7.3-source/common/src/main/resources/data/cobblemon/species/generation5/mandibuzz.json</x:t>
        </x:is>
      </x:c>
      <x:c r="AF634" s="5" t="str">
        <x:f>"생활권|"&amp;K634</x:f>
        <x:v>생활권|비행</x:v>
      </x:c>
      <x:c r="AG634" s="5" t="str">
        <x:f>"지형|"&amp;L634</x:f>
        <x:v>지형|건조</x:v>
      </x:c>
      <x:c r="AH634" s="5" t="str">
        <x:f>"온도|"&amp;M634</x:f>
        <x:v>온도|고온</x:v>
      </x:c>
      <x:c r="AI634" s="5" t="str">
        <x:f>"습도|"&amp;N634</x:f>
        <x:v>습도|건조</x:v>
      </x:c>
      <x:c r="AJ634" s="5" t="str">
        <x:f>"날씨|"&amp;O634</x:f>
        <x:v>날씨|맑음</x:v>
      </x:c>
      <x:c r="AK634" s="5" t="str">
        <x:f>"특수태그|"&amp;R634</x:f>
        <x:v>특수태그|없음</x:v>
      </x:c>
      <x:c r="AL634" s="5" t="str">
        <x:f>"원본서식지|"&amp;S634</x:f>
        <x:v>원본서식지|건조지</x:v>
      </x:c>
      <x:c r="AM634" s="5" t="str">
        <x:f>"타입|"&amp;F634</x:f>
        <x:v>타입|악</x:v>
      </x:c>
      <x:c r="AN634" s="5" t="str">
        <x:f>"타입|"&amp;G634</x:f>
        <x:v>타입|비행</x:v>
      </x:c>
    </x:row>
    <x:row r="635" ht="24" customHeight="1">
      <x:c r="A635" s="5" t="n">
        <x:v>631</x:v>
      </x:c>
      <x:c r="B635" s="5" t="inlineStr">
        <x:is>
          <x:t xml:space="preserve">앤티골</x:t>
        </x:is>
      </x:c>
      <x:c r="C635" s="5" t="inlineStr">
        <x:is>
          <x:t xml:space="preserve">heatmor</x:t>
        </x:is>
      </x:c>
      <x:c r="D635" s="5" t="inlineStr">
        <x:is>
          <x:t xml:space="preserve">Heatmor</x:t>
        </x:is>
      </x:c>
      <x:c r="E635" s="5" t="n">
        <x:v>5</x:v>
      </x:c>
      <x:c r="F635" s="5" t="inlineStr">
        <x:is>
          <x:t xml:space="preserve">불꽃</x:t>
        </x:is>
      </x:c>
      <x:c r="G635" s="5" t="inlineStr">
        <x:is>
          <x:t xml:space="preserve"/>
        </x:is>
      </x:c>
      <x:c r="H635" s="6" t="n">
        <x:v>58</x:v>
      </x:c>
      <x:c r="I635" s="5" t="n"/>
      <x:c r="J635" s="5" t="inlineStr">
        <x:is>
          <x:t xml:space="preserve">무진화</x:t>
        </x:is>
      </x:c>
      <x:c r="K635" s="7" t="inlineStr">
        <x:is>
          <x:t xml:space="preserve">육상</x:t>
        </x:is>
      </x:c>
      <x:c r="L635" s="7" t="inlineStr">
        <x:is>
          <x:t xml:space="preserve">암석</x:t>
        </x:is>
      </x:c>
      <x:c r="M635" s="7" t="inlineStr">
        <x:is>
          <x:t xml:space="preserve">고온</x:t>
        </x:is>
      </x:c>
      <x:c r="N635" s="7" t="inlineStr">
        <x:is>
          <x:t xml:space="preserve">보통</x:t>
        </x:is>
      </x:c>
      <x:c r="O635" s="7" t="inlineStr">
        <x:is>
          <x:t xml:space="preserve">무관</x:t>
        </x:is>
      </x:c>
      <x:c r="P635" s="7" t="inlineStr">
        <x:is>
          <x:t xml:space="preserve">무관</x:t>
        </x:is>
      </x:c>
      <x:c r="Q635" s="7" t="inlineStr">
        <x:is>
          <x:t xml:space="preserve">보통</x:t>
        </x:is>
      </x:c>
      <x:c r="R635" s="7" t="inlineStr">
        <x:is>
          <x:t xml:space="preserve">없음</x:t>
        </x:is>
      </x:c>
      <x:c r="S635" s="7" t="inlineStr">
        <x:is>
          <x:t xml:space="preserve">산악</x:t>
        </x:is>
      </x:c>
      <x:c r="T635" s="7" t="inlineStr">
        <x:is>
          <x:t xml:space="preserve"/>
        </x:is>
      </x:c>
      <x:c r="U635" s="8" t="str">
        <x:f>INDEX('서식지_점수'!$E$4:$P$4,1,MATCH(MAX('서식지_점수'!E635:P635),'서식지_점수'!E635:P635,0))</x:f>
        <x:v>평원</x:v>
      </x:c>
      <x:c r="V635" s="8" t="str">
        <x:f>IF(T635&lt;&gt;"",T635,U635)</x:f>
        <x:v>평원</x:v>
      </x:c>
      <x:c r="W635" s="8" t="str">
        <x:f>IFERROR(INDEX('서식지_점수'!$E$4:$P$4,1,MATCH(MAXIFS('서식지_점수'!E635:P635,'서식지_점수'!E635:P635,"&lt;"&amp;MAX('서식지_점수'!E635:P635)),'서식지_점수'!E635:P635,0)),"")</x:f>
        <x:v>숲</x:v>
      </x:c>
      <x:c r="X635" s="8" t="str">
        <x:f>IF(T635&lt;&gt;"","수동확정",IF(MAX('서식지_점수'!E635:P635)-LARGE('서식지_점수'!E635:P635,2)&gt;=15,"높음",IF(MAX('서식지_점수'!E635:P635)-LARGE('서식지_점수'!E635:P635,2)&gt;=8,"보통","검토필요")))</x:f>
        <x:v>검토필요</x:v>
      </x:c>
      <x:c r="Y635" s="9" t="n">
        <x:f>IF(Q635="전설",8,IF(Q635="희귀",7,IF(J635="기본",1,IF(J635="중간",3,IF(J635="최종",IF(I635="",5,IF(I635&lt;=20,3,IF(I635&lt;=35,4,IF(I635&lt;=50,6,7)))),IF(Q635="드묾",4,2))))))</x:f>
        <x:v>2</x:v>
      </x:c>
      <x:c r="Z635" s="5" t="inlineStr">
        <x:is>
          <x:t xml:space="preserve">#cobblemon:is_badlands; #cobblemon:is_hills; #cobblemon:nether/is_mountain</x:t>
        </x:is>
      </x:c>
      <x:c r="AA635" s="5" t="inlineStr">
        <x:is>
          <x:t xml:space="preserve">common; uncommon</x:t>
        </x:is>
      </x:c>
      <x:c r="AB635" s="5" t="inlineStr">
        <x:is>
          <x:t xml:space="preserve">예</x:t>
        </x:is>
      </x:c>
      <x:c r="AC635" s="8" t="str">
        <x:f>IF(T635&lt;&gt;"","수동확정",IF(X635="검토필요","검토필요",IF(S635="","원본없음","초기완료")))</x:f>
        <x:v>검토필요</x:v>
      </x:c>
      <x:c r="AD635" s="7" t="inlineStr">
        <x:is>
          <x:t xml:space="preserve"/>
        </x:is>
      </x:c>
      <x:c r="AE635" s="5" t="inlineStr">
        <x:is>
          <x:t xml:space="preserve">.tmp/cobblemon-1.7.3-source/common/src/main/resources/data/cobblemon/species/generation5/heatmor.json</x:t>
        </x:is>
      </x:c>
      <x:c r="AF635" s="5" t="str">
        <x:f>"생활권|"&amp;K635</x:f>
        <x:v>생활권|육상</x:v>
      </x:c>
      <x:c r="AG635" s="5" t="str">
        <x:f>"지형|"&amp;L635</x:f>
        <x:v>지형|암석</x:v>
      </x:c>
      <x:c r="AH635" s="5" t="str">
        <x:f>"온도|"&amp;M635</x:f>
        <x:v>온도|고온</x:v>
      </x:c>
      <x:c r="AI635" s="5" t="str">
        <x:f>"습도|"&amp;N635</x:f>
        <x:v>습도|보통</x:v>
      </x:c>
      <x:c r="AJ635" s="5" t="str">
        <x:f>"날씨|"&amp;O635</x:f>
        <x:v>날씨|무관</x:v>
      </x:c>
      <x:c r="AK635" s="5" t="str">
        <x:f>"특수태그|"&amp;R635</x:f>
        <x:v>특수태그|없음</x:v>
      </x:c>
      <x:c r="AL635" s="5" t="str">
        <x:f>"원본서식지|"&amp;S635</x:f>
        <x:v>원본서식지|산악</x:v>
      </x:c>
      <x:c r="AM635" s="5" t="str">
        <x:f>"타입|"&amp;F635</x:f>
        <x:v>타입|불꽃</x:v>
      </x:c>
      <x:c r="AN635" s="5" t="str">
        <x:f>"타입|"&amp;G635</x:f>
        <x:v>타입|</x:v>
      </x:c>
    </x:row>
    <x:row r="636" ht="24" customHeight="1">
      <x:c r="A636" s="5" t="n">
        <x:v>632</x:v>
      </x:c>
      <x:c r="B636" s="5" t="inlineStr">
        <x:is>
          <x:t xml:space="preserve">아이앤트</x:t>
        </x:is>
      </x:c>
      <x:c r="C636" s="5" t="inlineStr">
        <x:is>
          <x:t xml:space="preserve">durant</x:t>
        </x:is>
      </x:c>
      <x:c r="D636" s="5" t="inlineStr">
        <x:is>
          <x:t xml:space="preserve">Durant</x:t>
        </x:is>
      </x:c>
      <x:c r="E636" s="5" t="n">
        <x:v>5</x:v>
      </x:c>
      <x:c r="F636" s="5" t="inlineStr">
        <x:is>
          <x:t xml:space="preserve">벌레</x:t>
        </x:is>
      </x:c>
      <x:c r="G636" s="5" t="inlineStr">
        <x:is>
          <x:t xml:space="preserve">강철</x:t>
        </x:is>
      </x:c>
      <x:c r="H636" s="6" t="n">
        <x:v>33</x:v>
      </x:c>
      <x:c r="I636" s="5" t="n"/>
      <x:c r="J636" s="5" t="inlineStr">
        <x:is>
          <x:t xml:space="preserve">무진화</x:t>
        </x:is>
      </x:c>
      <x:c r="K636" s="7" t="inlineStr">
        <x:is>
          <x:t xml:space="preserve">육상</x:t>
        </x:is>
      </x:c>
      <x:c r="L636" s="7" t="inlineStr">
        <x:is>
          <x:t xml:space="preserve">암석</x:t>
        </x:is>
      </x:c>
      <x:c r="M636" s="7" t="inlineStr">
        <x:is>
          <x:t xml:space="preserve">온대</x:t>
        </x:is>
      </x:c>
      <x:c r="N636" s="7" t="inlineStr">
        <x:is>
          <x:t xml:space="preserve">보통</x:t>
        </x:is>
      </x:c>
      <x:c r="O636" s="7" t="inlineStr">
        <x:is>
          <x:t xml:space="preserve">무관</x:t>
        </x:is>
      </x:c>
      <x:c r="P636" s="7" t="inlineStr">
        <x:is>
          <x:t xml:space="preserve">무관</x:t>
        </x:is>
      </x:c>
      <x:c r="Q636" s="7" t="inlineStr">
        <x:is>
          <x:t xml:space="preserve">흔함</x:t>
        </x:is>
      </x:c>
      <x:c r="R636" s="7" t="inlineStr">
        <x:is>
          <x:t xml:space="preserve">없음</x:t>
        </x:is>
      </x:c>
      <x:c r="S636" s="7" t="inlineStr">
        <x:is>
          <x:t xml:space="preserve">산악</x:t>
        </x:is>
      </x:c>
      <x:c r="T636" s="7" t="inlineStr">
        <x:is>
          <x:t xml:space="preserve"/>
        </x:is>
      </x:c>
      <x:c r="U636" s="8" t="str">
        <x:f>INDEX('서식지_점수'!$E$4:$P$4,1,MATCH(MAX('서식지_점수'!E636:P636),'서식지_점수'!E636:P636,0))</x:f>
        <x:v>평원</x:v>
      </x:c>
      <x:c r="V636" s="8" t="str">
        <x:f>IF(T636&lt;&gt;"",T636,U636)</x:f>
        <x:v>평원</x:v>
      </x:c>
      <x:c r="W636" s="8" t="str">
        <x:f>IFERROR(INDEX('서식지_점수'!$E$4:$P$4,1,MATCH(MAXIFS('서식지_점수'!E636:P636,'서식지_점수'!E636:P636,"&lt;"&amp;MAX('서식지_점수'!E636:P636)),'서식지_점수'!E636:P636,0)),"")</x:f>
        <x:v>숲</x:v>
      </x:c>
      <x:c r="X636" s="8" t="str">
        <x:f>IF(T636&lt;&gt;"","수동확정",IF(MAX('서식지_점수'!E636:P636)-LARGE('서식지_점수'!E636:P636,2)&gt;=15,"높음",IF(MAX('서식지_점수'!E636:P636)-LARGE('서식지_점수'!E636:P636,2)&gt;=8,"보통","검토필요")))</x:f>
        <x:v>검토필요</x:v>
      </x:c>
      <x:c r="Y636" s="9" t="n">
        <x:f>IF(Q636="전설",8,IF(Q636="희귀",7,IF(J636="기본",1,IF(J636="중간",3,IF(J636="최종",IF(I636="",5,IF(I636&lt;=20,3,IF(I636&lt;=35,4,IF(I636&lt;=50,6,7)))),IF(Q636="드묾",4,2))))))</x:f>
        <x:v>2</x:v>
      </x:c>
      <x:c r="Z636" s="5" t="inlineStr">
        <x:is>
          <x:t xml:space="preserve">#cobblemon:is_badlands; #cobblemon:is_hills; #cobblemon:nether/is_mountain</x:t>
        </x:is>
      </x:c>
      <x:c r="AA636" s="5" t="inlineStr">
        <x:is>
          <x:t xml:space="preserve">common</x:t>
        </x:is>
      </x:c>
      <x:c r="AB636" s="5" t="inlineStr">
        <x:is>
          <x:t xml:space="preserve">예</x:t>
        </x:is>
      </x:c>
      <x:c r="AC636" s="8" t="str">
        <x:f>IF(T636&lt;&gt;"","수동확정",IF(X636="검토필요","검토필요",IF(S636="","원본없음","초기완료")))</x:f>
        <x:v>검토필요</x:v>
      </x:c>
      <x:c r="AD636" s="7" t="inlineStr">
        <x:is>
          <x:t xml:space="preserve"/>
        </x:is>
      </x:c>
      <x:c r="AE636" s="5" t="inlineStr">
        <x:is>
          <x:t xml:space="preserve">.tmp/cobblemon-1.7.3-source/common/src/main/resources/data/cobblemon/species/generation5/durant.json</x:t>
        </x:is>
      </x:c>
      <x:c r="AF636" s="5" t="str">
        <x:f>"생활권|"&amp;K636</x:f>
        <x:v>생활권|육상</x:v>
      </x:c>
      <x:c r="AG636" s="5" t="str">
        <x:f>"지형|"&amp;L636</x:f>
        <x:v>지형|암석</x:v>
      </x:c>
      <x:c r="AH636" s="5" t="str">
        <x:f>"온도|"&amp;M636</x:f>
        <x:v>온도|온대</x:v>
      </x:c>
      <x:c r="AI636" s="5" t="str">
        <x:f>"습도|"&amp;N636</x:f>
        <x:v>습도|보통</x:v>
      </x:c>
      <x:c r="AJ636" s="5" t="str">
        <x:f>"날씨|"&amp;O636</x:f>
        <x:v>날씨|무관</x:v>
      </x:c>
      <x:c r="AK636" s="5" t="str">
        <x:f>"특수태그|"&amp;R636</x:f>
        <x:v>특수태그|없음</x:v>
      </x:c>
      <x:c r="AL636" s="5" t="str">
        <x:f>"원본서식지|"&amp;S636</x:f>
        <x:v>원본서식지|산악</x:v>
      </x:c>
      <x:c r="AM636" s="5" t="str">
        <x:f>"타입|"&amp;F636</x:f>
        <x:v>타입|벌레</x:v>
      </x:c>
      <x:c r="AN636" s="5" t="str">
        <x:f>"타입|"&amp;G636</x:f>
        <x:v>타입|강철</x:v>
      </x:c>
    </x:row>
    <x:row r="637" ht="24" customHeight="1">
      <x:c r="A637" s="5" t="n">
        <x:v>633</x:v>
      </x:c>
      <x:c r="B637" s="5" t="inlineStr">
        <x:is>
          <x:t xml:space="preserve">모노두</x:t>
        </x:is>
      </x:c>
      <x:c r="C637" s="5" t="inlineStr">
        <x:is>
          <x:t xml:space="preserve">deino</x:t>
        </x:is>
      </x:c>
      <x:c r="D637" s="5" t="inlineStr">
        <x:is>
          <x:t xml:space="preserve">Deino</x:t>
        </x:is>
      </x:c>
      <x:c r="E637" s="5" t="n">
        <x:v>5</x:v>
      </x:c>
      <x:c r="F637" s="5" t="inlineStr">
        <x:is>
          <x:t xml:space="preserve">악</x:t>
        </x:is>
      </x:c>
      <x:c r="G637" s="5" t="inlineStr">
        <x:is>
          <x:t xml:space="preserve">드래곤</x:t>
        </x:is>
      </x:c>
      <x:c r="H637" s="6" t="n">
        <x:v>17.3</x:v>
      </x:c>
      <x:c r="I637" s="5" t="n">
        <x:v>64</x:v>
      </x:c>
      <x:c r="J637" s="5" t="inlineStr">
        <x:is>
          <x:t xml:space="preserve">기본</x:t>
        </x:is>
      </x:c>
      <x:c r="K637" s="7" t="inlineStr">
        <x:is>
          <x:t xml:space="preserve">지하</x:t>
        </x:is>
      </x:c>
      <x:c r="L637" s="7" t="inlineStr">
        <x:is>
          <x:t xml:space="preserve">동굴</x:t>
        </x:is>
      </x:c>
      <x:c r="M637" s="7" t="inlineStr">
        <x:is>
          <x:t xml:space="preserve">온대</x:t>
        </x:is>
      </x:c>
      <x:c r="N637" s="7" t="inlineStr">
        <x:is>
          <x:t xml:space="preserve">보통</x:t>
        </x:is>
      </x:c>
      <x:c r="O637" s="7" t="inlineStr">
        <x:is>
          <x:t xml:space="preserve">무관</x:t>
        </x:is>
      </x:c>
      <x:c r="P637" s="7" t="inlineStr">
        <x:is>
          <x:t xml:space="preserve">밤</x:t>
        </x:is>
      </x:c>
      <x:c r="Q637" s="7" t="inlineStr">
        <x:is>
          <x:t xml:space="preserve">희귀</x:t>
        </x:is>
      </x:c>
      <x:c r="R637" s="7" t="inlineStr">
        <x:is>
          <x:t xml:space="preserve">동굴</x:t>
        </x:is>
      </x:c>
      <x:c r="S637" s="7" t="inlineStr">
        <x:is>
          <x:t xml:space="preserve">동굴</x:t>
        </x:is>
      </x:c>
      <x:c r="T637" s="7" t="inlineStr">
        <x:is>
          <x:t xml:space="preserve"/>
        </x:is>
      </x:c>
      <x:c r="U637" s="8" t="str">
        <x:f>INDEX('서식지_점수'!$E$4:$P$4,1,MATCH(MAX('서식지_점수'!E637:P637),'서식지_점수'!E637:P637,0))</x:f>
        <x:v>동굴</x:v>
      </x:c>
      <x:c r="V637" s="8" t="str">
        <x:f>IF(T637&lt;&gt;"",T637,U637)</x:f>
        <x:v>동굴</x:v>
      </x:c>
      <x:c r="W637" s="8" t="str">
        <x:f>IFERROR(INDEX('서식지_점수'!$E$4:$P$4,1,MATCH(MAXIFS('서식지_점수'!E637:P637,'서식지_점수'!E637:P637,"&lt;"&amp;MAX('서식지_점수'!E637:P637)),'서식지_점수'!E637:P637,0)),"")</x:f>
        <x:v>산악</x:v>
      </x:c>
      <x:c r="X637" s="8" t="str">
        <x:f>IF(T637&lt;&gt;"","수동확정",IF(MAX('서식지_점수'!E637:P637)-LARGE('서식지_점수'!E637:P637,2)&gt;=15,"높음",IF(MAX('서식지_점수'!E637:P637)-LARGE('서식지_점수'!E637:P637,2)&gt;=8,"보통","검토필요")))</x:f>
        <x:v>높음</x:v>
      </x:c>
      <x:c r="Y637" s="9" t="n">
        <x:f>IF(Q637="전설",8,IF(Q637="희귀",7,IF(J637="기본",1,IF(J637="중간",3,IF(J637="최종",IF(I637="",5,IF(I637&lt;=20,3,IF(I637&lt;=35,4,IF(I637&lt;=50,6,7)))),IF(Q637="드묾",4,2))))))</x:f>
        <x:v>7</x:v>
      </x:c>
      <x:c r="Z637" s="5" t="inlineStr">
        <x:is>
          <x:t xml:space="preserve">#aether:is_aether; #cobblemon:is_deep_dark; #cobblemon:is_overworld</x:t>
        </x:is>
      </x:c>
      <x:c r="AA637" s="5" t="inlineStr">
        <x:is>
          <x:t xml:space="preserve">rare; ultra-rare</x:t>
        </x:is>
      </x:c>
      <x:c r="AB637" s="5" t="inlineStr">
        <x:is>
          <x:t xml:space="preserve">예</x:t>
        </x:is>
      </x:c>
      <x:c r="AC637" s="8" t="str">
        <x:f>IF(T637&lt;&gt;"","수동확정",IF(X637="검토필요","검토필요",IF(S637="","원본없음","초기완료")))</x:f>
        <x:v>초기완료</x:v>
      </x:c>
      <x:c r="AD637" s="7" t="inlineStr">
        <x:is>
          <x:t xml:space="preserve"/>
        </x:is>
      </x:c>
      <x:c r="AE637" s="5" t="inlineStr">
        <x:is>
          <x:t xml:space="preserve">.tmp/cobblemon-1.7.3-source/common/src/main/resources/data/cobblemon/species/generation5/deino.json</x:t>
        </x:is>
      </x:c>
      <x:c r="AF637" s="5" t="str">
        <x:f>"생활권|"&amp;K637</x:f>
        <x:v>생활권|지하</x:v>
      </x:c>
      <x:c r="AG637" s="5" t="str">
        <x:f>"지형|"&amp;L637</x:f>
        <x:v>지형|동굴</x:v>
      </x:c>
      <x:c r="AH637" s="5" t="str">
        <x:f>"온도|"&amp;M637</x:f>
        <x:v>온도|온대</x:v>
      </x:c>
      <x:c r="AI637" s="5" t="str">
        <x:f>"습도|"&amp;N637</x:f>
        <x:v>습도|보통</x:v>
      </x:c>
      <x:c r="AJ637" s="5" t="str">
        <x:f>"날씨|"&amp;O637</x:f>
        <x:v>날씨|무관</x:v>
      </x:c>
      <x:c r="AK637" s="5" t="str">
        <x:f>"특수태그|"&amp;R637</x:f>
        <x:v>특수태그|동굴</x:v>
      </x:c>
      <x:c r="AL637" s="5" t="str">
        <x:f>"원본서식지|"&amp;S637</x:f>
        <x:v>원본서식지|동굴</x:v>
      </x:c>
      <x:c r="AM637" s="5" t="str">
        <x:f>"타입|"&amp;F637</x:f>
        <x:v>타입|악</x:v>
      </x:c>
      <x:c r="AN637" s="5" t="str">
        <x:f>"타입|"&amp;G637</x:f>
        <x:v>타입|드래곤</x:v>
      </x:c>
    </x:row>
    <x:row r="638" ht="24" customHeight="1">
      <x:c r="A638" s="5" t="n">
        <x:v>634</x:v>
      </x:c>
      <x:c r="B638" s="5" t="inlineStr">
        <x:is>
          <x:t xml:space="preserve">디헤드</x:t>
        </x:is>
      </x:c>
      <x:c r="C638" s="5" t="inlineStr">
        <x:is>
          <x:t xml:space="preserve">zweilous</x:t>
        </x:is>
      </x:c>
      <x:c r="D638" s="5" t="inlineStr">
        <x:is>
          <x:t xml:space="preserve">Zweilous</x:t>
        </x:is>
      </x:c>
      <x:c r="E638" s="5" t="n">
        <x:v>5</x:v>
      </x:c>
      <x:c r="F638" s="5" t="inlineStr">
        <x:is>
          <x:t xml:space="preserve">악</x:t>
        </x:is>
      </x:c>
      <x:c r="G638" s="5" t="inlineStr">
        <x:is>
          <x:t xml:space="preserve">드래곤</x:t>
        </x:is>
      </x:c>
      <x:c r="H638" s="6" t="n">
        <x:v>50</x:v>
      </x:c>
      <x:c r="I638" s="5" t="n">
        <x:v>64</x:v>
      </x:c>
      <x:c r="J638" s="5" t="inlineStr">
        <x:is>
          <x:t xml:space="preserve">중간</x:t>
        </x:is>
      </x:c>
      <x:c r="K638" s="7" t="inlineStr">
        <x:is>
          <x:t xml:space="preserve">지하</x:t>
        </x:is>
      </x:c>
      <x:c r="L638" s="7" t="inlineStr">
        <x:is>
          <x:t xml:space="preserve">동굴</x:t>
        </x:is>
      </x:c>
      <x:c r="M638" s="7" t="inlineStr">
        <x:is>
          <x:t xml:space="preserve">온대</x:t>
        </x:is>
      </x:c>
      <x:c r="N638" s="7" t="inlineStr">
        <x:is>
          <x:t xml:space="preserve">보통</x:t>
        </x:is>
      </x:c>
      <x:c r="O638" s="7" t="inlineStr">
        <x:is>
          <x:t xml:space="preserve">무관</x:t>
        </x:is>
      </x:c>
      <x:c r="P638" s="7" t="inlineStr">
        <x:is>
          <x:t xml:space="preserve">밤</x:t>
        </x:is>
      </x:c>
      <x:c r="Q638" s="7" t="inlineStr">
        <x:is>
          <x:t xml:space="preserve">희귀</x:t>
        </x:is>
      </x:c>
      <x:c r="R638" s="7" t="inlineStr">
        <x:is>
          <x:t xml:space="preserve">동굴</x:t>
        </x:is>
      </x:c>
      <x:c r="S638" s="7" t="inlineStr">
        <x:is>
          <x:t xml:space="preserve">동굴</x:t>
        </x:is>
      </x:c>
      <x:c r="T638" s="7" t="inlineStr">
        <x:is>
          <x:t xml:space="preserve"/>
        </x:is>
      </x:c>
      <x:c r="U638" s="8" t="str">
        <x:f>INDEX('서식지_점수'!$E$4:$P$4,1,MATCH(MAX('서식지_점수'!E638:P638),'서식지_점수'!E638:P638,0))</x:f>
        <x:v>동굴</x:v>
      </x:c>
      <x:c r="V638" s="8" t="str">
        <x:f>IF(T638&lt;&gt;"",T638,U638)</x:f>
        <x:v>동굴</x:v>
      </x:c>
      <x:c r="W638" s="8" t="str">
        <x:f>IFERROR(INDEX('서식지_점수'!$E$4:$P$4,1,MATCH(MAXIFS('서식지_점수'!E638:P638,'서식지_점수'!E638:P638,"&lt;"&amp;MAX('서식지_점수'!E638:P638)),'서식지_점수'!E638:P638,0)),"")</x:f>
        <x:v>산악</x:v>
      </x:c>
      <x:c r="X638" s="8" t="str">
        <x:f>IF(T638&lt;&gt;"","수동확정",IF(MAX('서식지_점수'!E638:P638)-LARGE('서식지_점수'!E638:P638,2)&gt;=15,"높음",IF(MAX('서식지_점수'!E638:P638)-LARGE('서식지_점수'!E638:P638,2)&gt;=8,"보통","검토필요")))</x:f>
        <x:v>높음</x:v>
      </x:c>
      <x:c r="Y638" s="9" t="n">
        <x:f>IF(Q638="전설",8,IF(Q638="희귀",7,IF(J638="기본",1,IF(J638="중간",3,IF(J638="최종",IF(I638="",5,IF(I638&lt;=20,3,IF(I638&lt;=35,4,IF(I638&lt;=50,6,7)))),IF(Q638="드묾",4,2))))))</x:f>
        <x:v>7</x:v>
      </x:c>
      <x:c r="Z638" s="5" t="inlineStr">
        <x:is>
          <x:t xml:space="preserve">#aether:is_aether; #cobblemon:is_deep_dark; #cobblemon:is_overworld</x:t>
        </x:is>
      </x:c>
      <x:c r="AA638" s="5" t="inlineStr">
        <x:is>
          <x:t xml:space="preserve">rare; ultra-rare</x:t>
        </x:is>
      </x:c>
      <x:c r="AB638" s="5" t="inlineStr">
        <x:is>
          <x:t xml:space="preserve">예</x:t>
        </x:is>
      </x:c>
      <x:c r="AC638" s="8" t="str">
        <x:f>IF(T638&lt;&gt;"","수동확정",IF(X638="검토필요","검토필요",IF(S638="","원본없음","초기완료")))</x:f>
        <x:v>초기완료</x:v>
      </x:c>
      <x:c r="AD638" s="7" t="inlineStr">
        <x:is>
          <x:t xml:space="preserve"/>
        </x:is>
      </x:c>
      <x:c r="AE638" s="5" t="inlineStr">
        <x:is>
          <x:t xml:space="preserve">.tmp/cobblemon-1.7.3-source/common/src/main/resources/data/cobblemon/species/generation5/zweilous.json</x:t>
        </x:is>
      </x:c>
      <x:c r="AF638" s="5" t="str">
        <x:f>"생활권|"&amp;K638</x:f>
        <x:v>생활권|지하</x:v>
      </x:c>
      <x:c r="AG638" s="5" t="str">
        <x:f>"지형|"&amp;L638</x:f>
        <x:v>지형|동굴</x:v>
      </x:c>
      <x:c r="AH638" s="5" t="str">
        <x:f>"온도|"&amp;M638</x:f>
        <x:v>온도|온대</x:v>
      </x:c>
      <x:c r="AI638" s="5" t="str">
        <x:f>"습도|"&amp;N638</x:f>
        <x:v>습도|보통</x:v>
      </x:c>
      <x:c r="AJ638" s="5" t="str">
        <x:f>"날씨|"&amp;O638</x:f>
        <x:v>날씨|무관</x:v>
      </x:c>
      <x:c r="AK638" s="5" t="str">
        <x:f>"특수태그|"&amp;R638</x:f>
        <x:v>특수태그|동굴</x:v>
      </x:c>
      <x:c r="AL638" s="5" t="str">
        <x:f>"원본서식지|"&amp;S638</x:f>
        <x:v>원본서식지|동굴</x:v>
      </x:c>
      <x:c r="AM638" s="5" t="str">
        <x:f>"타입|"&amp;F638</x:f>
        <x:v>타입|악</x:v>
      </x:c>
      <x:c r="AN638" s="5" t="str">
        <x:f>"타입|"&amp;G638</x:f>
        <x:v>타입|드래곤</x:v>
      </x:c>
    </x:row>
    <x:row r="639" ht="24" customHeight="1">
      <x:c r="A639" s="5" t="n">
        <x:v>635</x:v>
      </x:c>
      <x:c r="B639" s="5" t="inlineStr">
        <x:is>
          <x:t xml:space="preserve">삼삼드래</x:t>
        </x:is>
      </x:c>
      <x:c r="C639" s="5" t="inlineStr">
        <x:is>
          <x:t xml:space="preserve">hydreigon</x:t>
        </x:is>
      </x:c>
      <x:c r="D639" s="5" t="inlineStr">
        <x:is>
          <x:t xml:space="preserve">Hydreigon</x:t>
        </x:is>
      </x:c>
      <x:c r="E639" s="5" t="n">
        <x:v>5</x:v>
      </x:c>
      <x:c r="F639" s="5" t="inlineStr">
        <x:is>
          <x:t xml:space="preserve">악</x:t>
        </x:is>
      </x:c>
      <x:c r="G639" s="5" t="inlineStr">
        <x:is>
          <x:t xml:space="preserve">드래곤</x:t>
        </x:is>
      </x:c>
      <x:c r="H639" s="6" t="n">
        <x:v>160</x:v>
      </x:c>
      <x:c r="I639" s="5" t="n">
        <x:v>64</x:v>
      </x:c>
      <x:c r="J639" s="5" t="inlineStr">
        <x:is>
          <x:t xml:space="preserve">최종</x:t>
        </x:is>
      </x:c>
      <x:c r="K639" s="7" t="inlineStr">
        <x:is>
          <x:t xml:space="preserve">지하</x:t>
        </x:is>
      </x:c>
      <x:c r="L639" s="7" t="inlineStr">
        <x:is>
          <x:t xml:space="preserve">동굴</x:t>
        </x:is>
      </x:c>
      <x:c r="M639" s="7" t="inlineStr">
        <x:is>
          <x:t xml:space="preserve">온대</x:t>
        </x:is>
      </x:c>
      <x:c r="N639" s="7" t="inlineStr">
        <x:is>
          <x:t xml:space="preserve">보통</x:t>
        </x:is>
      </x:c>
      <x:c r="O639" s="7" t="inlineStr">
        <x:is>
          <x:t xml:space="preserve">무관</x:t>
        </x:is>
      </x:c>
      <x:c r="P639" s="7" t="inlineStr">
        <x:is>
          <x:t xml:space="preserve">밤</x:t>
        </x:is>
      </x:c>
      <x:c r="Q639" s="7" t="inlineStr">
        <x:is>
          <x:t xml:space="preserve">희귀</x:t>
        </x:is>
      </x:c>
      <x:c r="R639" s="7" t="inlineStr">
        <x:is>
          <x:t xml:space="preserve">동굴</x:t>
        </x:is>
      </x:c>
      <x:c r="S639" s="7" t="inlineStr">
        <x:is>
          <x:t xml:space="preserve">동굴</x:t>
        </x:is>
      </x:c>
      <x:c r="T639" s="7" t="inlineStr">
        <x:is>
          <x:t xml:space="preserve"/>
        </x:is>
      </x:c>
      <x:c r="U639" s="8" t="str">
        <x:f>INDEX('서식지_점수'!$E$4:$P$4,1,MATCH(MAX('서식지_점수'!E639:P639),'서식지_점수'!E639:P639,0))</x:f>
        <x:v>동굴</x:v>
      </x:c>
      <x:c r="V639" s="8" t="str">
        <x:f>IF(T639&lt;&gt;"",T639,U639)</x:f>
        <x:v>동굴</x:v>
      </x:c>
      <x:c r="W639" s="8" t="str">
        <x:f>IFERROR(INDEX('서식지_점수'!$E$4:$P$4,1,MATCH(MAXIFS('서식지_점수'!E639:P639,'서식지_점수'!E639:P639,"&lt;"&amp;MAX('서식지_점수'!E639:P639)),'서식지_점수'!E639:P639,0)),"")</x:f>
        <x:v>산악</x:v>
      </x:c>
      <x:c r="X639" s="8" t="str">
        <x:f>IF(T639&lt;&gt;"","수동확정",IF(MAX('서식지_점수'!E639:P639)-LARGE('서식지_점수'!E639:P639,2)&gt;=15,"높음",IF(MAX('서식지_점수'!E639:P639)-LARGE('서식지_점수'!E639:P639,2)&gt;=8,"보통","검토필요")))</x:f>
        <x:v>높음</x:v>
      </x:c>
      <x:c r="Y639" s="9" t="n">
        <x:f>IF(Q639="전설",8,IF(Q639="희귀",7,IF(J639="기본",1,IF(J639="중간",3,IF(J639="최종",IF(I639="",5,IF(I639&lt;=20,3,IF(I639&lt;=35,4,IF(I639&lt;=50,6,7)))),IF(Q639="드묾",4,2))))))</x:f>
        <x:v>7</x:v>
      </x:c>
      <x:c r="Z639" s="5" t="inlineStr">
        <x:is>
          <x:t xml:space="preserve">#aether:is_aether; #cobblemon:is_deep_dark; #cobblemon:is_overworld</x:t>
        </x:is>
      </x:c>
      <x:c r="AA639" s="5" t="inlineStr">
        <x:is>
          <x:t xml:space="preserve">rare; ultra-rare</x:t>
        </x:is>
      </x:c>
      <x:c r="AB639" s="5" t="inlineStr">
        <x:is>
          <x:t xml:space="preserve">예</x:t>
        </x:is>
      </x:c>
      <x:c r="AC639" s="8" t="str">
        <x:f>IF(T639&lt;&gt;"","수동확정",IF(X639="검토필요","검토필요",IF(S639="","원본없음","초기완료")))</x:f>
        <x:v>초기완료</x:v>
      </x:c>
      <x:c r="AD639" s="7" t="inlineStr">
        <x:is>
          <x:t xml:space="preserve"/>
        </x:is>
      </x:c>
      <x:c r="AE639" s="5" t="inlineStr">
        <x:is>
          <x:t xml:space="preserve">.tmp/cobblemon-1.7.3-source/common/src/main/resources/data/cobblemon/species/generation5/hydreigon.json</x:t>
        </x:is>
      </x:c>
      <x:c r="AF639" s="5" t="str">
        <x:f>"생활권|"&amp;K639</x:f>
        <x:v>생활권|지하</x:v>
      </x:c>
      <x:c r="AG639" s="5" t="str">
        <x:f>"지형|"&amp;L639</x:f>
        <x:v>지형|동굴</x:v>
      </x:c>
      <x:c r="AH639" s="5" t="str">
        <x:f>"온도|"&amp;M639</x:f>
        <x:v>온도|온대</x:v>
      </x:c>
      <x:c r="AI639" s="5" t="str">
        <x:f>"습도|"&amp;N639</x:f>
        <x:v>습도|보통</x:v>
      </x:c>
      <x:c r="AJ639" s="5" t="str">
        <x:f>"날씨|"&amp;O639</x:f>
        <x:v>날씨|무관</x:v>
      </x:c>
      <x:c r="AK639" s="5" t="str">
        <x:f>"특수태그|"&amp;R639</x:f>
        <x:v>특수태그|동굴</x:v>
      </x:c>
      <x:c r="AL639" s="5" t="str">
        <x:f>"원본서식지|"&amp;S639</x:f>
        <x:v>원본서식지|동굴</x:v>
      </x:c>
      <x:c r="AM639" s="5" t="str">
        <x:f>"타입|"&amp;F639</x:f>
        <x:v>타입|악</x:v>
      </x:c>
      <x:c r="AN639" s="5" t="str">
        <x:f>"타입|"&amp;G639</x:f>
        <x:v>타입|드래곤</x:v>
      </x:c>
    </x:row>
    <x:row r="640" ht="24" customHeight="1">
      <x:c r="A640" s="5" t="n">
        <x:v>636</x:v>
      </x:c>
      <x:c r="B640" s="5" t="inlineStr">
        <x:is>
          <x:t xml:space="preserve">활화르바</x:t>
        </x:is>
      </x:c>
      <x:c r="C640" s="5" t="inlineStr">
        <x:is>
          <x:t xml:space="preserve">larvesta</x:t>
        </x:is>
      </x:c>
      <x:c r="D640" s="5" t="inlineStr">
        <x:is>
          <x:t xml:space="preserve">Larvesta</x:t>
        </x:is>
      </x:c>
      <x:c r="E640" s="5" t="n">
        <x:v>5</x:v>
      </x:c>
      <x:c r="F640" s="5" t="inlineStr">
        <x:is>
          <x:t xml:space="preserve">벌레</x:t>
        </x:is>
      </x:c>
      <x:c r="G640" s="5" t="inlineStr">
        <x:is>
          <x:t xml:space="preserve">불꽃</x:t>
        </x:is>
      </x:c>
      <x:c r="H640" s="6" t="n">
        <x:v>28.8</x:v>
      </x:c>
      <x:c r="I640" s="5" t="n">
        <x:v>59</x:v>
      </x:c>
      <x:c r="J640" s="5" t="inlineStr">
        <x:is>
          <x:t xml:space="preserve">기본</x:t>
        </x:is>
      </x:c>
      <x:c r="K640" s="7" t="inlineStr">
        <x:is>
          <x:t xml:space="preserve">육상</x:t>
        </x:is>
      </x:c>
      <x:c r="L640" s="7" t="inlineStr">
        <x:is>
          <x:t xml:space="preserve">화산</x:t>
        </x:is>
      </x:c>
      <x:c r="M640" s="7" t="inlineStr">
        <x:is>
          <x:t xml:space="preserve">고온</x:t>
        </x:is>
      </x:c>
      <x:c r="N640" s="7" t="inlineStr">
        <x:is>
          <x:t xml:space="preserve">다습</x:t>
        </x:is>
      </x:c>
      <x:c r="O640" s="7" t="inlineStr">
        <x:is>
          <x:t xml:space="preserve">맑음</x:t>
        </x:is>
      </x:c>
      <x:c r="P640" s="7" t="inlineStr">
        <x:is>
          <x:t xml:space="preserve">무관</x:t>
        </x:is>
      </x:c>
      <x:c r="Q640" s="7" t="inlineStr">
        <x:is>
          <x:t xml:space="preserve">보통</x:t>
        </x:is>
      </x:c>
      <x:c r="R640" s="7" t="inlineStr">
        <x:is>
          <x:t xml:space="preserve">화산</x:t>
        </x:is>
      </x:c>
      <x:c r="S640" s="7" t="inlineStr">
        <x:is>
          <x:t xml:space="preserve">화산</x:t>
        </x:is>
      </x:c>
      <x:c r="T640" s="7" t="inlineStr">
        <x:is>
          <x:t xml:space="preserve"/>
        </x:is>
      </x:c>
      <x:c r="U640" s="8" t="str">
        <x:f>INDEX('서식지_점수'!$E$4:$P$4,1,MATCH(MAX('서식지_점수'!E640:P640),'서식지_점수'!E640:P640,0))</x:f>
        <x:v>평원</x:v>
      </x:c>
      <x:c r="V640" s="8" t="str">
        <x:f>IF(T640&lt;&gt;"",T640,U640)</x:f>
        <x:v>평원</x:v>
      </x:c>
      <x:c r="W640" s="8" t="str">
        <x:f>IFERROR(INDEX('서식지_점수'!$E$4:$P$4,1,MATCH(MAXIFS('서식지_점수'!E640:P640,'서식지_점수'!E640:P640,"&lt;"&amp;MAX('서식지_점수'!E640:P640)),'서식지_점수'!E640:P640,0)),"")</x:f>
        <x:v>숲</x:v>
      </x:c>
      <x:c r="X640" s="8" t="str">
        <x:f>IF(T640&lt;&gt;"","수동확정",IF(MAX('서식지_점수'!E640:P640)-LARGE('서식지_점수'!E640:P640,2)&gt;=15,"높음",IF(MAX('서식지_점수'!E640:P640)-LARGE('서식지_점수'!E640:P640,2)&gt;=8,"보통","검토필요")))</x:f>
        <x:v>검토필요</x:v>
      </x:c>
      <x:c r="Y640" s="9" t="n">
        <x:f>IF(Q640="전설",8,IF(Q640="희귀",7,IF(J640="기본",1,IF(J640="중간",3,IF(J640="최종",IF(I640="",5,IF(I640&lt;=20,3,IF(I640&lt;=35,4,IF(I640&lt;=50,6,7)))),IF(Q640="드묾",4,2))))))</x:f>
        <x:v>1</x:v>
      </x:c>
      <x:c r="Z640" s="5" t="inlineStr">
        <x:is>
          <x:t xml:space="preserve">#aether:is_aether; #cobblemon:is_desert; #cobblemon:is_jungle; #cobblemon:nether/is_crimson; #cobblemon:nether/is_forest</x:t>
        </x:is>
      </x:c>
      <x:c r="AA640" s="5" t="inlineStr">
        <x:is>
          <x:t xml:space="preserve">uncommon</x:t>
        </x:is>
      </x:c>
      <x:c r="AB640" s="5" t="inlineStr">
        <x:is>
          <x:t xml:space="preserve">예</x:t>
        </x:is>
      </x:c>
      <x:c r="AC640" s="8" t="str">
        <x:f>IF(T640&lt;&gt;"","수동확정",IF(X640="검토필요","검토필요",IF(S640="","원본없음","초기완료")))</x:f>
        <x:v>검토필요</x:v>
      </x:c>
      <x:c r="AD640" s="7" t="inlineStr">
        <x:is>
          <x:t xml:space="preserve"/>
        </x:is>
      </x:c>
      <x:c r="AE640" s="5" t="inlineStr">
        <x:is>
          <x:t xml:space="preserve">.tmp/cobblemon-1.7.3-source/common/src/main/resources/data/cobblemon/species/generation5/larvesta.json</x:t>
        </x:is>
      </x:c>
      <x:c r="AF640" s="5" t="str">
        <x:f>"생활권|"&amp;K640</x:f>
        <x:v>생활권|육상</x:v>
      </x:c>
      <x:c r="AG640" s="5" t="str">
        <x:f>"지형|"&amp;L640</x:f>
        <x:v>지형|화산</x:v>
      </x:c>
      <x:c r="AH640" s="5" t="str">
        <x:f>"온도|"&amp;M640</x:f>
        <x:v>온도|고온</x:v>
      </x:c>
      <x:c r="AI640" s="5" t="str">
        <x:f>"습도|"&amp;N640</x:f>
        <x:v>습도|다습</x:v>
      </x:c>
      <x:c r="AJ640" s="5" t="str">
        <x:f>"날씨|"&amp;O640</x:f>
        <x:v>날씨|맑음</x:v>
      </x:c>
      <x:c r="AK640" s="5" t="str">
        <x:f>"특수태그|"&amp;R640</x:f>
        <x:v>특수태그|화산</x:v>
      </x:c>
      <x:c r="AL640" s="5" t="str">
        <x:f>"원본서식지|"&amp;S640</x:f>
        <x:v>원본서식지|화산</x:v>
      </x:c>
      <x:c r="AM640" s="5" t="str">
        <x:f>"타입|"&amp;F640</x:f>
        <x:v>타입|벌레</x:v>
      </x:c>
      <x:c r="AN640" s="5" t="str">
        <x:f>"타입|"&amp;G640</x:f>
        <x:v>타입|불꽃</x:v>
      </x:c>
    </x:row>
    <x:row r="641" ht="24" customHeight="1">
      <x:c r="A641" s="5" t="n">
        <x:v>637</x:v>
      </x:c>
      <x:c r="B641" s="5" t="inlineStr">
        <x:is>
          <x:t xml:space="preserve">불카모스</x:t>
        </x:is>
      </x:c>
      <x:c r="C641" s="5" t="inlineStr">
        <x:is>
          <x:t xml:space="preserve">volcarona</x:t>
        </x:is>
      </x:c>
      <x:c r="D641" s="5" t="inlineStr">
        <x:is>
          <x:t xml:space="preserve">Volcarona</x:t>
        </x:is>
      </x:c>
      <x:c r="E641" s="5" t="n">
        <x:v>5</x:v>
      </x:c>
      <x:c r="F641" s="5" t="inlineStr">
        <x:is>
          <x:t xml:space="preserve">벌레</x:t>
        </x:is>
      </x:c>
      <x:c r="G641" s="5" t="inlineStr">
        <x:is>
          <x:t xml:space="preserve">불꽃</x:t>
        </x:is>
      </x:c>
      <x:c r="H641" s="6" t="n">
        <x:v>46</x:v>
      </x:c>
      <x:c r="I641" s="5" t="n">
        <x:v>59</x:v>
      </x:c>
      <x:c r="J641" s="5" t="inlineStr">
        <x:is>
          <x:t xml:space="preserve">최종</x:t>
        </x:is>
      </x:c>
      <x:c r="K641" s="7" t="inlineStr">
        <x:is>
          <x:t xml:space="preserve">비행</x:t>
        </x:is>
      </x:c>
      <x:c r="L641" s="7" t="inlineStr">
        <x:is>
          <x:t xml:space="preserve">화산</x:t>
        </x:is>
      </x:c>
      <x:c r="M641" s="7" t="inlineStr">
        <x:is>
          <x:t xml:space="preserve">고온</x:t>
        </x:is>
      </x:c>
      <x:c r="N641" s="7" t="inlineStr">
        <x:is>
          <x:t xml:space="preserve">다습</x:t>
        </x:is>
      </x:c>
      <x:c r="O641" s="7" t="inlineStr">
        <x:is>
          <x:t xml:space="preserve">맑음</x:t>
        </x:is>
      </x:c>
      <x:c r="P641" s="7" t="inlineStr">
        <x:is>
          <x:t xml:space="preserve">무관</x:t>
        </x:is>
      </x:c>
      <x:c r="Q641" s="7" t="inlineStr">
        <x:is>
          <x:t xml:space="preserve">보통</x:t>
        </x:is>
      </x:c>
      <x:c r="R641" s="7" t="inlineStr">
        <x:is>
          <x:t xml:space="preserve">화산</x:t>
        </x:is>
      </x:c>
      <x:c r="S641" s="7" t="inlineStr">
        <x:is>
          <x:t xml:space="preserve">화산</x:t>
        </x:is>
      </x:c>
      <x:c r="T641" s="7" t="inlineStr">
        <x:is>
          <x:t xml:space="preserve"/>
        </x:is>
      </x:c>
      <x:c r="U641" s="8" t="str">
        <x:f>INDEX('서식지_점수'!$E$4:$P$4,1,MATCH(MAX('서식지_점수'!E641:P641),'서식지_점수'!E641:P641,0))</x:f>
        <x:v>산악</x:v>
      </x:c>
      <x:c r="V641" s="8" t="str">
        <x:f>IF(T641&lt;&gt;"",T641,U641)</x:f>
        <x:v>산악</x:v>
      </x:c>
      <x:c r="W641" s="8" t="str">
        <x:f>IFERROR(INDEX('서식지_점수'!$E$4:$P$4,1,MATCH(MAXIFS('서식지_점수'!E641:P641,'서식지_점수'!E641:P641,"&lt;"&amp;MAX('서식지_점수'!E641:P641)),'서식지_점수'!E641:P641,0)),"")</x:f>
        <x:v>평원</x:v>
      </x:c>
      <x:c r="X641" s="8" t="str">
        <x:f>IF(T641&lt;&gt;"","수동확정",IF(MAX('서식지_점수'!E641:P641)-LARGE('서식지_점수'!E641:P641,2)&gt;=15,"높음",IF(MAX('서식지_점수'!E641:P641)-LARGE('서식지_점수'!E641:P641,2)&gt;=8,"보통","검토필요")))</x:f>
        <x:v>검토필요</x:v>
      </x:c>
      <x:c r="Y641" s="9" t="n">
        <x:f>IF(Q641="전설",8,IF(Q641="희귀",7,IF(J641="기본",1,IF(J641="중간",3,IF(J641="최종",IF(I641="",5,IF(I641&lt;=20,3,IF(I641&lt;=35,4,IF(I641&lt;=50,6,7)))),IF(Q641="드묾",4,2))))))</x:f>
        <x:v>7</x:v>
      </x:c>
      <x:c r="Z641" s="5" t="inlineStr">
        <x:is>
          <x:t xml:space="preserve">#aether:is_aether; #cobblemon:is_desert; #cobblemon:is_jungle; #cobblemon:nether/is_crimson; #cobblemon:nether/is_forest</x:t>
        </x:is>
      </x:c>
      <x:c r="AA641" s="5" t="inlineStr">
        <x:is>
          <x:t xml:space="preserve">uncommon</x:t>
        </x:is>
      </x:c>
      <x:c r="AB641" s="5" t="inlineStr">
        <x:is>
          <x:t xml:space="preserve">예</x:t>
        </x:is>
      </x:c>
      <x:c r="AC641" s="8" t="str">
        <x:f>IF(T641&lt;&gt;"","수동확정",IF(X641="검토필요","검토필요",IF(S641="","원본없음","초기완료")))</x:f>
        <x:v>검토필요</x:v>
      </x:c>
      <x:c r="AD641" s="7" t="inlineStr">
        <x:is>
          <x:t xml:space="preserve"/>
        </x:is>
      </x:c>
      <x:c r="AE641" s="5" t="inlineStr">
        <x:is>
          <x:t xml:space="preserve">.tmp/cobblemon-1.7.3-source/common/src/main/resources/data/cobblemon/species/generation5/volcarona.json</x:t>
        </x:is>
      </x:c>
      <x:c r="AF641" s="5" t="str">
        <x:f>"생활권|"&amp;K641</x:f>
        <x:v>생활권|비행</x:v>
      </x:c>
      <x:c r="AG641" s="5" t="str">
        <x:f>"지형|"&amp;L641</x:f>
        <x:v>지형|화산</x:v>
      </x:c>
      <x:c r="AH641" s="5" t="str">
        <x:f>"온도|"&amp;M641</x:f>
        <x:v>온도|고온</x:v>
      </x:c>
      <x:c r="AI641" s="5" t="str">
        <x:f>"습도|"&amp;N641</x:f>
        <x:v>습도|다습</x:v>
      </x:c>
      <x:c r="AJ641" s="5" t="str">
        <x:f>"날씨|"&amp;O641</x:f>
        <x:v>날씨|맑음</x:v>
      </x:c>
      <x:c r="AK641" s="5" t="str">
        <x:f>"특수태그|"&amp;R641</x:f>
        <x:v>특수태그|화산</x:v>
      </x:c>
      <x:c r="AL641" s="5" t="str">
        <x:f>"원본서식지|"&amp;S641</x:f>
        <x:v>원본서식지|화산</x:v>
      </x:c>
      <x:c r="AM641" s="5" t="str">
        <x:f>"타입|"&amp;F641</x:f>
        <x:v>타입|벌레</x:v>
      </x:c>
      <x:c r="AN641" s="5" t="str">
        <x:f>"타입|"&amp;G641</x:f>
        <x:v>타입|불꽃</x:v>
      </x:c>
    </x:row>
    <x:row r="642" ht="24" customHeight="1">
      <x:c r="A642" s="5" t="n">
        <x:v>638</x:v>
      </x:c>
      <x:c r="B642" s="5" t="inlineStr">
        <x:is>
          <x:t xml:space="preserve">코바르온</x:t>
        </x:is>
      </x:c>
      <x:c r="C642" s="5" t="inlineStr">
        <x:is>
          <x:t xml:space="preserve">cobalion</x:t>
        </x:is>
      </x:c>
      <x:c r="D642" s="5" t="inlineStr">
        <x:is>
          <x:t xml:space="preserve">Cobalion</x:t>
        </x:is>
      </x:c>
      <x:c r="E642" s="5" t="n">
        <x:v>5</x:v>
      </x:c>
      <x:c r="F642" s="5" t="inlineStr">
        <x:is>
          <x:t xml:space="preserve">강철</x:t>
        </x:is>
      </x:c>
      <x:c r="G642" s="5" t="inlineStr">
        <x:is>
          <x:t xml:space="preserve">격투</x:t>
        </x:is>
      </x:c>
      <x:c r="H642" s="6" t="n">
        <x:v>250</x:v>
      </x:c>
      <x:c r="I642" s="5" t="n"/>
      <x:c r="J642" s="5" t="inlineStr">
        <x:is>
          <x:t xml:space="preserve">무진화</x:t>
        </x:is>
      </x:c>
      <x:c r="K642" s="7" t="inlineStr">
        <x:is>
          <x:t xml:space="preserve">육상</x:t>
        </x:is>
      </x:c>
      <x:c r="L642" s="7" t="inlineStr">
        <x:is>
          <x:t xml:space="preserve">암석</x:t>
        </x:is>
      </x:c>
      <x:c r="M642" s="7" t="inlineStr">
        <x:is>
          <x:t xml:space="preserve">서늘</x:t>
        </x:is>
      </x:c>
      <x:c r="N642" s="7" t="inlineStr">
        <x:is>
          <x:t xml:space="preserve">보통</x:t>
        </x:is>
      </x:c>
      <x:c r="O642" s="7" t="inlineStr">
        <x:is>
          <x:t xml:space="preserve">무관</x:t>
        </x:is>
      </x:c>
      <x:c r="P642" s="7" t="inlineStr">
        <x:is>
          <x:t xml:space="preserve">무관</x:t>
        </x:is>
      </x:c>
      <x:c r="Q642" s="7" t="inlineStr">
        <x:is>
          <x:t xml:space="preserve">전설</x:t>
        </x:is>
      </x:c>
      <x:c r="R642" s="7" t="inlineStr">
        <x:is>
          <x:t xml:space="preserve">전설</x:t>
        </x:is>
      </x:c>
      <x:c r="S642" s="7" t="inlineStr">
        <x:is>
          <x:t xml:space="preserve">산악</x:t>
        </x:is>
      </x:c>
      <x:c r="T642" s="7" t="inlineStr">
        <x:is>
          <x:t xml:space="preserve"/>
        </x:is>
      </x:c>
      <x:c r="U642" s="8" t="str">
        <x:f>INDEX('서식지_점수'!$E$4:$P$4,1,MATCH(MAX('서식지_점수'!E642:P642),'서식지_점수'!E642:P642,0))</x:f>
        <x:v>평원</x:v>
      </x:c>
      <x:c r="V642" s="8" t="str">
        <x:f>IF(T642&lt;&gt;"",T642,U642)</x:f>
        <x:v>평원</x:v>
      </x:c>
      <x:c r="W642" s="8" t="str">
        <x:f>IFERROR(INDEX('서식지_점수'!$E$4:$P$4,1,MATCH(MAXIFS('서식지_점수'!E642:P642,'서식지_점수'!E642:P642,"&lt;"&amp;MAX('서식지_점수'!E642:P642)),'서식지_점수'!E642:P642,0)),"")</x:f>
        <x:v>숲</x:v>
      </x:c>
      <x:c r="X642" s="8" t="str">
        <x:f>IF(T642&lt;&gt;"","수동확정",IF(MAX('서식지_점수'!E642:P642)-LARGE('서식지_점수'!E642:P642,2)&gt;=15,"높음",IF(MAX('서식지_점수'!E642:P642)-LARGE('서식지_점수'!E642:P642,2)&gt;=8,"보통","검토필요")))</x:f>
        <x:v>검토필요</x:v>
      </x:c>
      <x:c r="Y642" s="9" t="n">
        <x:f>IF(Q642="전설",8,IF(Q642="희귀",7,IF(J642="기본",1,IF(J642="중간",3,IF(J642="최종",IF(I642="",5,IF(I642&lt;=20,3,IF(I642&lt;=35,4,IF(I642&lt;=50,6,7)))),IF(Q642="드묾",4,2))))))</x:f>
        <x:v>8</x:v>
      </x:c>
      <x:c r="Z642" s="5" t="inlineStr">
        <x:is>
          <x:t xml:space="preserve">minecraft:windswept_forest</x:t>
        </x:is>
      </x:c>
      <x:c r="AA642" s="5" t="inlineStr">
        <x:is>
          <x:t xml:space="preserve">ultra-rare</x:t>
        </x:is>
      </x:c>
      <x:c r="AB642" s="5" t="inlineStr">
        <x:is>
          <x:t xml:space="preserve">아니오</x:t>
        </x:is>
      </x:c>
      <x:c r="AC642" s="8" t="str">
        <x:f>IF(T642&lt;&gt;"","수동확정",IF(X642="검토필요","검토필요",IF(S642="","원본없음","초기완료")))</x:f>
        <x:v>검토필요</x:v>
      </x:c>
      <x:c r="AD642" s="7" t="inlineStr">
        <x:is>
          <x:t xml:space="preserve"/>
        </x:is>
      </x:c>
      <x:c r="AE642" s="5" t="inlineStr">
        <x:is>
          <x:t xml:space="preserve">.tmp/cobblemon-1.7.3-source/common/src/main/resources/data/cobblemon/species/generation5/cobalion.json</x:t>
        </x:is>
      </x:c>
      <x:c r="AF642" s="5" t="str">
        <x:f>"생활권|"&amp;K642</x:f>
        <x:v>생활권|육상</x:v>
      </x:c>
      <x:c r="AG642" s="5" t="str">
        <x:f>"지형|"&amp;L642</x:f>
        <x:v>지형|암석</x:v>
      </x:c>
      <x:c r="AH642" s="5" t="str">
        <x:f>"온도|"&amp;M642</x:f>
        <x:v>온도|서늘</x:v>
      </x:c>
      <x:c r="AI642" s="5" t="str">
        <x:f>"습도|"&amp;N642</x:f>
        <x:v>습도|보통</x:v>
      </x:c>
      <x:c r="AJ642" s="5" t="str">
        <x:f>"날씨|"&amp;O642</x:f>
        <x:v>날씨|무관</x:v>
      </x:c>
      <x:c r="AK642" s="5" t="str">
        <x:f>"특수태그|"&amp;R642</x:f>
        <x:v>특수태그|전설</x:v>
      </x:c>
      <x:c r="AL642" s="5" t="str">
        <x:f>"원본서식지|"&amp;S642</x:f>
        <x:v>원본서식지|산악</x:v>
      </x:c>
      <x:c r="AM642" s="5" t="str">
        <x:f>"타입|"&amp;F642</x:f>
        <x:v>타입|강철</x:v>
      </x:c>
      <x:c r="AN642" s="5" t="str">
        <x:f>"타입|"&amp;G642</x:f>
        <x:v>타입|격투</x:v>
      </x:c>
    </x:row>
    <x:row r="643" ht="24" customHeight="1">
      <x:c r="A643" s="5" t="n">
        <x:v>639</x:v>
      </x:c>
      <x:c r="B643" s="5" t="inlineStr">
        <x:is>
          <x:t xml:space="preserve">테라키온</x:t>
        </x:is>
      </x:c>
      <x:c r="C643" s="5" t="inlineStr">
        <x:is>
          <x:t xml:space="preserve">terrakion</x:t>
        </x:is>
      </x:c>
      <x:c r="D643" s="5" t="inlineStr">
        <x:is>
          <x:t xml:space="preserve">Terrakion</x:t>
        </x:is>
      </x:c>
      <x:c r="E643" s="5" t="n">
        <x:v>5</x:v>
      </x:c>
      <x:c r="F643" s="5" t="inlineStr">
        <x:is>
          <x:t xml:space="preserve">바위</x:t>
        </x:is>
      </x:c>
      <x:c r="G643" s="5" t="inlineStr">
        <x:is>
          <x:t xml:space="preserve">격투</x:t>
        </x:is>
      </x:c>
      <x:c r="H643" s="6" t="n">
        <x:v>260</x:v>
      </x:c>
      <x:c r="I643" s="5" t="n"/>
      <x:c r="J643" s="5" t="inlineStr">
        <x:is>
          <x:t xml:space="preserve">무진화</x:t>
        </x:is>
      </x:c>
      <x:c r="K643" s="7" t="inlineStr">
        <x:is>
          <x:t xml:space="preserve">육상</x:t>
        </x:is>
      </x:c>
      <x:c r="L643" s="7" t="inlineStr">
        <x:is>
          <x:t xml:space="preserve">개활지</x:t>
        </x:is>
      </x:c>
      <x:c r="M643" s="7" t="inlineStr">
        <x:is>
          <x:t xml:space="preserve">온대</x:t>
        </x:is>
      </x:c>
      <x:c r="N643" s="7" t="inlineStr">
        <x:is>
          <x:t xml:space="preserve">보통</x:t>
        </x:is>
      </x:c>
      <x:c r="O643" s="7" t="inlineStr">
        <x:is>
          <x:t xml:space="preserve">무관</x:t>
        </x:is>
      </x:c>
      <x:c r="P643" s="7" t="inlineStr">
        <x:is>
          <x:t xml:space="preserve">무관</x:t>
        </x:is>
      </x:c>
      <x:c r="Q643" s="7" t="inlineStr">
        <x:is>
          <x:t xml:space="preserve">전설</x:t>
        </x:is>
      </x:c>
      <x:c r="R643" s="7" t="inlineStr">
        <x:is>
          <x:t xml:space="preserve">전설</x:t>
        </x:is>
      </x:c>
      <x:c r="S643" s="7" t="inlineStr">
        <x:is>
          <x:t xml:space="preserve">평원</x:t>
        </x:is>
      </x:c>
      <x:c r="T643" s="7" t="inlineStr">
        <x:is>
          <x:t xml:space="preserve"/>
        </x:is>
      </x:c>
      <x:c r="U643" s="8" t="str">
        <x:f>INDEX('서식지_점수'!$E$4:$P$4,1,MATCH(MAX('서식지_점수'!E643:P643),'서식지_점수'!E643:P643,0))</x:f>
        <x:v>평원</x:v>
      </x:c>
      <x:c r="V643" s="8" t="str">
        <x:f>IF(T643&lt;&gt;"",T643,U643)</x:f>
        <x:v>평원</x:v>
      </x:c>
      <x:c r="W643" s="8" t="str">
        <x:f>IFERROR(INDEX('서식지_점수'!$E$4:$P$4,1,MATCH(MAXIFS('서식지_점수'!E643:P643,'서식지_점수'!E643:P643,"&lt;"&amp;MAX('서식지_점수'!E643:P643)),'서식지_점수'!E643:P643,0)),"")</x:f>
        <x:v>숲</x:v>
      </x:c>
      <x:c r="X643" s="8" t="str">
        <x:f>IF(T643&lt;&gt;"","수동확정",IF(MAX('서식지_점수'!E643:P643)-LARGE('서식지_점수'!E643:P643,2)&gt;=15,"높음",IF(MAX('서식지_점수'!E643:P643)-LARGE('서식지_점수'!E643:P643,2)&gt;=8,"보통","검토필요")))</x:f>
        <x:v>검토필요</x:v>
      </x:c>
      <x:c r="Y643" s="9" t="n">
        <x:f>IF(Q643="전설",8,IF(Q643="희귀",7,IF(J643="기본",1,IF(J643="중간",3,IF(J643="최종",IF(I643="",5,IF(I643&lt;=20,3,IF(I643&lt;=35,4,IF(I643&lt;=50,6,7)))),IF(Q643="드묾",4,2))))))</x:f>
        <x:v>8</x:v>
      </x:c>
      <x:c r="Z643" s="5" t="inlineStr">
        <x:is>
          <x:t xml:space="preserve">#cobblemon:is_savanna</x:t>
        </x:is>
      </x:c>
      <x:c r="AA643" s="5" t="inlineStr">
        <x:is>
          <x:t xml:space="preserve">ultra-rare</x:t>
        </x:is>
      </x:c>
      <x:c r="AB643" s="5" t="inlineStr">
        <x:is>
          <x:t xml:space="preserve">아니오</x:t>
        </x:is>
      </x:c>
      <x:c r="AC643" s="8" t="str">
        <x:f>IF(T643&lt;&gt;"","수동확정",IF(X643="검토필요","검토필요",IF(S643="","원본없음","초기완료")))</x:f>
        <x:v>검토필요</x:v>
      </x:c>
      <x:c r="AD643" s="7" t="inlineStr">
        <x:is>
          <x:t xml:space="preserve"/>
        </x:is>
      </x:c>
      <x:c r="AE643" s="5" t="inlineStr">
        <x:is>
          <x:t xml:space="preserve">.tmp/cobblemon-1.7.3-source/common/src/main/resources/data/cobblemon/species/generation5/terrakion.json</x:t>
        </x:is>
      </x:c>
      <x:c r="AF643" s="5" t="str">
        <x:f>"생활권|"&amp;K643</x:f>
        <x:v>생활권|육상</x:v>
      </x:c>
      <x:c r="AG643" s="5" t="str">
        <x:f>"지형|"&amp;L643</x:f>
        <x:v>지형|개활지</x:v>
      </x:c>
      <x:c r="AH643" s="5" t="str">
        <x:f>"온도|"&amp;M643</x:f>
        <x:v>온도|온대</x:v>
      </x:c>
      <x:c r="AI643" s="5" t="str">
        <x:f>"습도|"&amp;N643</x:f>
        <x:v>습도|보통</x:v>
      </x:c>
      <x:c r="AJ643" s="5" t="str">
        <x:f>"날씨|"&amp;O643</x:f>
        <x:v>날씨|무관</x:v>
      </x:c>
      <x:c r="AK643" s="5" t="str">
        <x:f>"특수태그|"&amp;R643</x:f>
        <x:v>특수태그|전설</x:v>
      </x:c>
      <x:c r="AL643" s="5" t="str">
        <x:f>"원본서식지|"&amp;S643</x:f>
        <x:v>원본서식지|평원</x:v>
      </x:c>
      <x:c r="AM643" s="5" t="str">
        <x:f>"타입|"&amp;F643</x:f>
        <x:v>타입|바위</x:v>
      </x:c>
      <x:c r="AN643" s="5" t="str">
        <x:f>"타입|"&amp;G643</x:f>
        <x:v>타입|격투</x:v>
      </x:c>
    </x:row>
    <x:row r="644" ht="24" customHeight="1">
      <x:c r="A644" s="5" t="n">
        <x:v>640</x:v>
      </x:c>
      <x:c r="B644" s="5" t="inlineStr">
        <x:is>
          <x:t xml:space="preserve">비리디온</x:t>
        </x:is>
      </x:c>
      <x:c r="C644" s="5" t="inlineStr">
        <x:is>
          <x:t xml:space="preserve">virizion</x:t>
        </x:is>
      </x:c>
      <x:c r="D644" s="5" t="inlineStr">
        <x:is>
          <x:t xml:space="preserve">Virizion</x:t>
        </x:is>
      </x:c>
      <x:c r="E644" s="5" t="n">
        <x:v>5</x:v>
      </x:c>
      <x:c r="F644" s="5" t="inlineStr">
        <x:is>
          <x:t xml:space="preserve">풀</x:t>
        </x:is>
      </x:c>
      <x:c r="G644" s="5" t="inlineStr">
        <x:is>
          <x:t xml:space="preserve">격투</x:t>
        </x:is>
      </x:c>
      <x:c r="H644" s="6" t="n">
        <x:v>200</x:v>
      </x:c>
      <x:c r="I644" s="5" t="n"/>
      <x:c r="J644" s="5" t="inlineStr">
        <x:is>
          <x:t xml:space="preserve">무진화</x:t>
        </x:is>
      </x:c>
      <x:c r="K644" s="7" t="inlineStr">
        <x:is>
          <x:t xml:space="preserve">육상</x:t>
        </x:is>
      </x:c>
      <x:c r="L644" s="7" t="inlineStr">
        <x:is>
          <x:t xml:space="preserve">수목</x:t>
        </x:is>
      </x:c>
      <x:c r="M644" s="7" t="inlineStr">
        <x:is>
          <x:t xml:space="preserve">온대</x:t>
        </x:is>
      </x:c>
      <x:c r="N644" s="7" t="inlineStr">
        <x:is>
          <x:t xml:space="preserve">보통</x:t>
        </x:is>
      </x:c>
      <x:c r="O644" s="7" t="inlineStr">
        <x:is>
          <x:t xml:space="preserve">무관</x:t>
        </x:is>
      </x:c>
      <x:c r="P644" s="7" t="inlineStr">
        <x:is>
          <x:t xml:space="preserve">무관</x:t>
        </x:is>
      </x:c>
      <x:c r="Q644" s="7" t="inlineStr">
        <x:is>
          <x:t xml:space="preserve">전설</x:t>
        </x:is>
      </x:c>
      <x:c r="R644" s="7" t="inlineStr">
        <x:is>
          <x:t xml:space="preserve">전설</x:t>
        </x:is>
      </x:c>
      <x:c r="S644" s="7" t="inlineStr">
        <x:is>
          <x:t xml:space="preserve">숲</x:t>
        </x:is>
      </x:c>
      <x:c r="T644" s="7" t="inlineStr">
        <x:is>
          <x:t xml:space="preserve"/>
        </x:is>
      </x:c>
      <x:c r="U644" s="8" t="str">
        <x:f>INDEX('서식지_점수'!$E$4:$P$4,1,MATCH(MAX('서식지_점수'!E644:P644),'서식지_점수'!E644:P644,0))</x:f>
        <x:v>평원</x:v>
      </x:c>
      <x:c r="V644" s="8" t="str">
        <x:f>IF(T644&lt;&gt;"",T644,U644)</x:f>
        <x:v>평원</x:v>
      </x:c>
      <x:c r="W644" s="8" t="str">
        <x:f>IFERROR(INDEX('서식지_점수'!$E$4:$P$4,1,MATCH(MAXIFS('서식지_점수'!E644:P644,'서식지_점수'!E644:P644,"&lt;"&amp;MAX('서식지_점수'!E644:P644)),'서식지_점수'!E644:P644,0)),"")</x:f>
        <x:v>숲</x:v>
      </x:c>
      <x:c r="X644" s="8" t="str">
        <x:f>IF(T644&lt;&gt;"","수동확정",IF(MAX('서식지_점수'!E644:P644)-LARGE('서식지_점수'!E644:P644,2)&gt;=15,"높음",IF(MAX('서식지_점수'!E644:P644)-LARGE('서식지_점수'!E644:P644,2)&gt;=8,"보통","검토필요")))</x:f>
        <x:v>검토필요</x:v>
      </x:c>
      <x:c r="Y644" s="9" t="n">
        <x:f>IF(Q644="전설",8,IF(Q644="희귀",7,IF(J644="기본",1,IF(J644="중간",3,IF(J644="최종",IF(I644="",5,IF(I644&lt;=20,3,IF(I644&lt;=35,4,IF(I644&lt;=50,6,7)))),IF(Q644="드묾",4,2))))))</x:f>
        <x:v>8</x:v>
      </x:c>
      <x:c r="Z644" s="5" t="inlineStr">
        <x:is>
          <x:t xml:space="preserve">#cobblemon:is_forest</x:t>
        </x:is>
      </x:c>
      <x:c r="AA644" s="5" t="inlineStr">
        <x:is>
          <x:t xml:space="preserve">ultra-rare</x:t>
        </x:is>
      </x:c>
      <x:c r="AB644" s="5" t="inlineStr">
        <x:is>
          <x:t xml:space="preserve">아니오</x:t>
        </x:is>
      </x:c>
      <x:c r="AC644" s="8" t="str">
        <x:f>IF(T644&lt;&gt;"","수동확정",IF(X644="검토필요","검토필요",IF(S644="","원본없음","초기완료")))</x:f>
        <x:v>검토필요</x:v>
      </x:c>
      <x:c r="AD644" s="7" t="inlineStr">
        <x:is>
          <x:t xml:space="preserve"/>
        </x:is>
      </x:c>
      <x:c r="AE644" s="5" t="inlineStr">
        <x:is>
          <x:t xml:space="preserve">.tmp/cobblemon-1.7.3-source/common/src/main/resources/data/cobblemon/species/generation5/virizion.json</x:t>
        </x:is>
      </x:c>
      <x:c r="AF644" s="5" t="str">
        <x:f>"생활권|"&amp;K644</x:f>
        <x:v>생활권|육상</x:v>
      </x:c>
      <x:c r="AG644" s="5" t="str">
        <x:f>"지형|"&amp;L644</x:f>
        <x:v>지형|수목</x:v>
      </x:c>
      <x:c r="AH644" s="5" t="str">
        <x:f>"온도|"&amp;M644</x:f>
        <x:v>온도|온대</x:v>
      </x:c>
      <x:c r="AI644" s="5" t="str">
        <x:f>"습도|"&amp;N644</x:f>
        <x:v>습도|보통</x:v>
      </x:c>
      <x:c r="AJ644" s="5" t="str">
        <x:f>"날씨|"&amp;O644</x:f>
        <x:v>날씨|무관</x:v>
      </x:c>
      <x:c r="AK644" s="5" t="str">
        <x:f>"특수태그|"&amp;R644</x:f>
        <x:v>특수태그|전설</x:v>
      </x:c>
      <x:c r="AL644" s="5" t="str">
        <x:f>"원본서식지|"&amp;S644</x:f>
        <x:v>원본서식지|숲</x:v>
      </x:c>
      <x:c r="AM644" s="5" t="str">
        <x:f>"타입|"&amp;F644</x:f>
        <x:v>타입|풀</x:v>
      </x:c>
      <x:c r="AN644" s="5" t="str">
        <x:f>"타입|"&amp;G644</x:f>
        <x:v>타입|격투</x:v>
      </x:c>
    </x:row>
    <x:row r="645" ht="24" customHeight="1">
      <x:c r="A645" s="5" t="n">
        <x:v>641</x:v>
      </x:c>
      <x:c r="B645" s="5" t="inlineStr">
        <x:is>
          <x:t xml:space="preserve">토네로스</x:t>
        </x:is>
      </x:c>
      <x:c r="C645" s="5" t="inlineStr">
        <x:is>
          <x:t xml:space="preserve">tornadus</x:t>
        </x:is>
      </x:c>
      <x:c r="D645" s="5" t="inlineStr">
        <x:is>
          <x:t xml:space="preserve">Tornadus</x:t>
        </x:is>
      </x:c>
      <x:c r="E645" s="5" t="n">
        <x:v>5</x:v>
      </x:c>
      <x:c r="F645" s="5" t="inlineStr">
        <x:is>
          <x:t xml:space="preserve">비행</x:t>
        </x:is>
      </x:c>
      <x:c r="G645" s="5" t="inlineStr">
        <x:is>
          <x:t xml:space="preserve"/>
        </x:is>
      </x:c>
      <x:c r="H645" s="6" t="n">
        <x:v>63</x:v>
      </x:c>
      <x:c r="I645" s="5" t="n"/>
      <x:c r="J645" s="5" t="inlineStr">
        <x:is>
          <x:t xml:space="preserve">무진화</x:t>
        </x:is>
      </x:c>
      <x:c r="K645" s="7" t="inlineStr">
        <x:is>
          <x:t xml:space="preserve">해양</x:t>
        </x:is>
      </x:c>
      <x:c r="L645" s="7" t="inlineStr">
        <x:is>
          <x:t xml:space="preserve">해안·해양</x:t>
        </x:is>
      </x:c>
      <x:c r="M645" s="7" t="inlineStr">
        <x:is>
          <x:t xml:space="preserve">온대</x:t>
        </x:is>
      </x:c>
      <x:c r="N645" s="7" t="inlineStr">
        <x:is>
          <x:t xml:space="preserve">수중</x:t>
        </x:is>
      </x:c>
      <x:c r="O645" s="7" t="inlineStr">
        <x:is>
          <x:t xml:space="preserve">비</x:t>
        </x:is>
      </x:c>
      <x:c r="P645" s="7" t="inlineStr">
        <x:is>
          <x:t xml:space="preserve">무관</x:t>
        </x:is>
      </x:c>
      <x:c r="Q645" s="7" t="inlineStr">
        <x:is>
          <x:t xml:space="preserve">전설</x:t>
        </x:is>
      </x:c>
      <x:c r="R645" s="7" t="inlineStr">
        <x:is>
          <x:t xml:space="preserve">전설</x:t>
        </x:is>
      </x:c>
      <x:c r="S645" s="7" t="inlineStr">
        <x:is>
          <x:t xml:space="preserve">해양</x:t>
        </x:is>
      </x:c>
      <x:c r="T645" s="7" t="inlineStr">
        <x:is>
          <x:t xml:space="preserve"/>
        </x:is>
      </x:c>
      <x:c r="U645" s="8" t="str">
        <x:f>INDEX('서식지_점수'!$E$4:$P$4,1,MATCH(MAX('서식지_점수'!E645:P645),'서식지_점수'!E645:P645,0))</x:f>
        <x:v>해양</x:v>
      </x:c>
      <x:c r="V645" s="8" t="str">
        <x:f>IF(T645&lt;&gt;"",T645,U645)</x:f>
        <x:v>해양</x:v>
      </x:c>
      <x:c r="W645" s="8" t="str">
        <x:f>IFERROR(INDEX('서식지_점수'!$E$4:$P$4,1,MATCH(MAXIFS('서식지_점수'!E645:P645,'서식지_점수'!E645:P645,"&lt;"&amp;MAX('서식지_점수'!E645:P645)),'서식지_점수'!E645:P645,0)),"")</x:f>
        <x:v>습지</x:v>
      </x:c>
      <x:c r="X645" s="8" t="str">
        <x:f>IF(T645&lt;&gt;"","수동확정",IF(MAX('서식지_점수'!E645:P645)-LARGE('서식지_점수'!E645:P645,2)&gt;=15,"높음",IF(MAX('서식지_점수'!E645:P645)-LARGE('서식지_점수'!E645:P645,2)&gt;=8,"보통","검토필요")))</x:f>
        <x:v>높음</x:v>
      </x:c>
      <x:c r="Y645" s="9" t="n">
        <x:f>IF(Q645="전설",8,IF(Q645="희귀",7,IF(J645="기본",1,IF(J645="중간",3,IF(J645="최종",IF(I645="",5,IF(I645&lt;=20,3,IF(I645&lt;=35,4,IF(I645&lt;=50,6,7)))),IF(Q645="드묾",4,2))))))</x:f>
        <x:v>8</x:v>
      </x:c>
      <x:c r="Z645" s="5" t="inlineStr">
        <x:is>
          <x:t xml:space="preserve">#cobblemon:is_ocean</x:t>
        </x:is>
      </x:c>
      <x:c r="AA645" s="5" t="inlineStr">
        <x:is>
          <x:t xml:space="preserve">ultra-rare</x:t>
        </x:is>
      </x:c>
      <x:c r="AB645" s="5" t="inlineStr">
        <x:is>
          <x:t xml:space="preserve">아니오</x:t>
        </x:is>
      </x:c>
      <x:c r="AC645" s="8" t="str">
        <x:f>IF(T645&lt;&gt;"","수동확정",IF(X645="검토필요","검토필요",IF(S645="","원본없음","초기완료")))</x:f>
        <x:v>초기완료</x:v>
      </x:c>
      <x:c r="AD645" s="7" t="inlineStr">
        <x:is>
          <x:t xml:space="preserve"/>
        </x:is>
      </x:c>
      <x:c r="AE645" s="5" t="inlineStr">
        <x:is>
          <x:t xml:space="preserve">.tmp/cobblemon-1.7.3-source/common/src/main/resources/data/cobblemon/species/generation5/tornadus.json</x:t>
        </x:is>
      </x:c>
      <x:c r="AF645" s="5" t="str">
        <x:f>"생활권|"&amp;K645</x:f>
        <x:v>생활권|해양</x:v>
      </x:c>
      <x:c r="AG645" s="5" t="str">
        <x:f>"지형|"&amp;L645</x:f>
        <x:v>지형|해안·해양</x:v>
      </x:c>
      <x:c r="AH645" s="5" t="str">
        <x:f>"온도|"&amp;M645</x:f>
        <x:v>온도|온대</x:v>
      </x:c>
      <x:c r="AI645" s="5" t="str">
        <x:f>"습도|"&amp;N645</x:f>
        <x:v>습도|수중</x:v>
      </x:c>
      <x:c r="AJ645" s="5" t="str">
        <x:f>"날씨|"&amp;O645</x:f>
        <x:v>날씨|비</x:v>
      </x:c>
      <x:c r="AK645" s="5" t="str">
        <x:f>"특수태그|"&amp;R645</x:f>
        <x:v>특수태그|전설</x:v>
      </x:c>
      <x:c r="AL645" s="5" t="str">
        <x:f>"원본서식지|"&amp;S645</x:f>
        <x:v>원본서식지|해양</x:v>
      </x:c>
      <x:c r="AM645" s="5" t="str">
        <x:f>"타입|"&amp;F645</x:f>
        <x:v>타입|비행</x:v>
      </x:c>
      <x:c r="AN645" s="5" t="str">
        <x:f>"타입|"&amp;G645</x:f>
        <x:v>타입|</x:v>
      </x:c>
    </x:row>
    <x:row r="646" ht="24" customHeight="1">
      <x:c r="A646" s="5" t="n">
        <x:v>642</x:v>
      </x:c>
      <x:c r="B646" s="5" t="inlineStr">
        <x:is>
          <x:t xml:space="preserve">볼트로스</x:t>
        </x:is>
      </x:c>
      <x:c r="C646" s="5" t="inlineStr">
        <x:is>
          <x:t xml:space="preserve">thundurus</x:t>
        </x:is>
      </x:c>
      <x:c r="D646" s="5" t="inlineStr">
        <x:is>
          <x:t xml:space="preserve">Thundurus</x:t>
        </x:is>
      </x:c>
      <x:c r="E646" s="5" t="n">
        <x:v>5</x:v>
      </x:c>
      <x:c r="F646" s="5" t="inlineStr">
        <x:is>
          <x:t xml:space="preserve">전기</x:t>
        </x:is>
      </x:c>
      <x:c r="G646" s="5" t="inlineStr">
        <x:is>
          <x:t xml:space="preserve">비행</x:t>
        </x:is>
      </x:c>
      <x:c r="H646" s="6" t="n">
        <x:v>61</x:v>
      </x:c>
      <x:c r="I646" s="5" t="n"/>
      <x:c r="J646" s="5" t="inlineStr">
        <x:is>
          <x:t xml:space="preserve">무진화</x:t>
        </x:is>
      </x:c>
      <x:c r="K646" s="7" t="inlineStr">
        <x:is>
          <x:t xml:space="preserve">비행</x:t>
        </x:is>
      </x:c>
      <x:c r="L646" s="7" t="inlineStr">
        <x:is>
          <x:t xml:space="preserve">암석</x:t>
        </x:is>
      </x:c>
      <x:c r="M646" s="7" t="inlineStr">
        <x:is>
          <x:t xml:space="preserve">온대</x:t>
        </x:is>
      </x:c>
      <x:c r="N646" s="7" t="inlineStr">
        <x:is>
          <x:t xml:space="preserve">보통</x:t>
        </x:is>
      </x:c>
      <x:c r="O646" s="7" t="inlineStr">
        <x:is>
          <x:t xml:space="preserve">무관</x:t>
        </x:is>
      </x:c>
      <x:c r="P646" s="7" t="inlineStr">
        <x:is>
          <x:t xml:space="preserve">무관</x:t>
        </x:is>
      </x:c>
      <x:c r="Q646" s="7" t="inlineStr">
        <x:is>
          <x:t xml:space="preserve">전설</x:t>
        </x:is>
      </x:c>
      <x:c r="R646" s="7" t="inlineStr">
        <x:is>
          <x:t xml:space="preserve">전설</x:t>
        </x:is>
      </x:c>
      <x:c r="S646" s="7" t="inlineStr">
        <x:is>
          <x:t xml:space="preserve">산악</x:t>
        </x:is>
      </x:c>
      <x:c r="T646" s="7" t="inlineStr">
        <x:is>
          <x:t xml:space="preserve"/>
        </x:is>
      </x:c>
      <x:c r="U646" s="8" t="str">
        <x:f>INDEX('서식지_점수'!$E$4:$P$4,1,MATCH(MAX('서식지_점수'!E646:P646),'서식지_점수'!E646:P646,0))</x:f>
        <x:v>산악</x:v>
      </x:c>
      <x:c r="V646" s="8" t="str">
        <x:f>IF(T646&lt;&gt;"",T646,U646)</x:f>
        <x:v>산악</x:v>
      </x:c>
      <x:c r="W646" s="8" t="str">
        <x:f>IFERROR(INDEX('서식지_점수'!$E$4:$P$4,1,MATCH(MAXIFS('서식지_점수'!E646:P646,'서식지_점수'!E646:P646,"&lt;"&amp;MAX('서식지_점수'!E646:P646)),'서식지_점수'!E646:P646,0)),"")</x:f>
        <x:v>평원</x:v>
      </x:c>
      <x:c r="X646" s="8" t="str">
        <x:f>IF(T646&lt;&gt;"","수동확정",IF(MAX('서식지_점수'!E646:P646)-LARGE('서식지_점수'!E646:P646,2)&gt;=15,"높음",IF(MAX('서식지_점수'!E646:P646)-LARGE('서식지_점수'!E646:P646,2)&gt;=8,"보통","검토필요")))</x:f>
        <x:v>검토필요</x:v>
      </x:c>
      <x:c r="Y646" s="9" t="n">
        <x:f>IF(Q646="전설",8,IF(Q646="희귀",7,IF(J646="기본",1,IF(J646="중간",3,IF(J646="최종",IF(I646="",5,IF(I646&lt;=20,3,IF(I646&lt;=35,4,IF(I646&lt;=50,6,7)))),IF(Q646="드묾",4,2))))))</x:f>
        <x:v>8</x:v>
      </x:c>
      <x:c r="Z646" s="5" t="inlineStr">
        <x:is>
          <x:t xml:space="preserve">#cobblemon:is_mountain</x:t>
        </x:is>
      </x:c>
      <x:c r="AA646" s="5" t="inlineStr">
        <x:is>
          <x:t xml:space="preserve">ultra-rare</x:t>
        </x:is>
      </x:c>
      <x:c r="AB646" s="5" t="inlineStr">
        <x:is>
          <x:t xml:space="preserve">아니오</x:t>
        </x:is>
      </x:c>
      <x:c r="AC646" s="8" t="str">
        <x:f>IF(T646&lt;&gt;"","수동확정",IF(X646="검토필요","검토필요",IF(S646="","원본없음","초기완료")))</x:f>
        <x:v>검토필요</x:v>
      </x:c>
      <x:c r="AD646" s="7" t="inlineStr">
        <x:is>
          <x:t xml:space="preserve"/>
        </x:is>
      </x:c>
      <x:c r="AE646" s="5" t="inlineStr">
        <x:is>
          <x:t xml:space="preserve">.tmp/cobblemon-1.7.3-source/common/src/main/resources/data/cobblemon/species/generation5/thundurus.json</x:t>
        </x:is>
      </x:c>
      <x:c r="AF646" s="5" t="str">
        <x:f>"생활권|"&amp;K646</x:f>
        <x:v>생활권|비행</x:v>
      </x:c>
      <x:c r="AG646" s="5" t="str">
        <x:f>"지형|"&amp;L646</x:f>
        <x:v>지형|암석</x:v>
      </x:c>
      <x:c r="AH646" s="5" t="str">
        <x:f>"온도|"&amp;M646</x:f>
        <x:v>온도|온대</x:v>
      </x:c>
      <x:c r="AI646" s="5" t="str">
        <x:f>"습도|"&amp;N646</x:f>
        <x:v>습도|보통</x:v>
      </x:c>
      <x:c r="AJ646" s="5" t="str">
        <x:f>"날씨|"&amp;O646</x:f>
        <x:v>날씨|무관</x:v>
      </x:c>
      <x:c r="AK646" s="5" t="str">
        <x:f>"특수태그|"&amp;R646</x:f>
        <x:v>특수태그|전설</x:v>
      </x:c>
      <x:c r="AL646" s="5" t="str">
        <x:f>"원본서식지|"&amp;S646</x:f>
        <x:v>원본서식지|산악</x:v>
      </x:c>
      <x:c r="AM646" s="5" t="str">
        <x:f>"타입|"&amp;F646</x:f>
        <x:v>타입|전기</x:v>
      </x:c>
      <x:c r="AN646" s="5" t="str">
        <x:f>"타입|"&amp;G646</x:f>
        <x:v>타입|비행</x:v>
      </x:c>
    </x:row>
    <x:row r="647" ht="24" customHeight="1">
      <x:c r="A647" s="5" t="n">
        <x:v>643</x:v>
      </x:c>
      <x:c r="B647" s="5" t="inlineStr">
        <x:is>
          <x:t xml:space="preserve">레시라무</x:t>
        </x:is>
      </x:c>
      <x:c r="C647" s="5" t="inlineStr">
        <x:is>
          <x:t xml:space="preserve">reshiram</x:t>
        </x:is>
      </x:c>
      <x:c r="D647" s="5" t="inlineStr">
        <x:is>
          <x:t xml:space="preserve">Reshiram</x:t>
        </x:is>
      </x:c>
      <x:c r="E647" s="5" t="n">
        <x:v>5</x:v>
      </x:c>
      <x:c r="F647" s="5" t="inlineStr">
        <x:is>
          <x:t xml:space="preserve">드래곤</x:t>
        </x:is>
      </x:c>
      <x:c r="G647" s="5" t="inlineStr">
        <x:is>
          <x:t xml:space="preserve">불꽃</x:t>
        </x:is>
      </x:c>
      <x:c r="H647" s="6" t="n">
        <x:v>330</x:v>
      </x:c>
      <x:c r="I647" s="5" t="n"/>
      <x:c r="J647" s="5" t="inlineStr">
        <x:is>
          <x:t xml:space="preserve">무진화</x:t>
        </x:is>
      </x:c>
      <x:c r="K647" s="7" t="inlineStr">
        <x:is>
          <x:t xml:space="preserve">비행</x:t>
        </x:is>
      </x:c>
      <x:c r="L647" s="7" t="inlineStr">
        <x:is>
          <x:t xml:space="preserve">암석</x:t>
        </x:is>
      </x:c>
      <x:c r="M647" s="7" t="inlineStr">
        <x:is>
          <x:t xml:space="preserve">고온</x:t>
        </x:is>
      </x:c>
      <x:c r="N647" s="7" t="inlineStr">
        <x:is>
          <x:t xml:space="preserve">보통</x:t>
        </x:is>
      </x:c>
      <x:c r="O647" s="7" t="inlineStr">
        <x:is>
          <x:t xml:space="preserve">무관</x:t>
        </x:is>
      </x:c>
      <x:c r="P647" s="7" t="inlineStr">
        <x:is>
          <x:t xml:space="preserve">무관</x:t>
        </x:is>
      </x:c>
      <x:c r="Q647" s="7" t="inlineStr">
        <x:is>
          <x:t xml:space="preserve">전설</x:t>
        </x:is>
      </x:c>
      <x:c r="R647" s="7" t="inlineStr">
        <x:is>
          <x:t xml:space="preserve">전설</x:t>
        </x:is>
      </x:c>
      <x:c r="S647" s="7" t="inlineStr">
        <x:is>
          <x:t xml:space="preserve">산악</x:t>
        </x:is>
      </x:c>
      <x:c r="T647" s="7" t="inlineStr">
        <x:is>
          <x:t xml:space="preserve"/>
        </x:is>
      </x:c>
      <x:c r="U647" s="8" t="str">
        <x:f>INDEX('서식지_점수'!$E$4:$P$4,1,MATCH(MAX('서식지_점수'!E647:P647),'서식지_점수'!E647:P647,0))</x:f>
        <x:v>산악</x:v>
      </x:c>
      <x:c r="V647" s="8" t="str">
        <x:f>IF(T647&lt;&gt;"",T647,U647)</x:f>
        <x:v>산악</x:v>
      </x:c>
      <x:c r="W647" s="8" t="str">
        <x:f>IFERROR(INDEX('서식지_점수'!$E$4:$P$4,1,MATCH(MAXIFS('서식지_점수'!E647:P647,'서식지_점수'!E647:P647,"&lt;"&amp;MAX('서식지_점수'!E647:P647)),'서식지_점수'!E647:P647,0)),"")</x:f>
        <x:v>평원</x:v>
      </x:c>
      <x:c r="X647" s="8" t="str">
        <x:f>IF(T647&lt;&gt;"","수동확정",IF(MAX('서식지_점수'!E647:P647)-LARGE('서식지_점수'!E647:P647,2)&gt;=15,"높음",IF(MAX('서식지_점수'!E647:P647)-LARGE('서식지_점수'!E647:P647,2)&gt;=8,"보통","검토필요")))</x:f>
        <x:v>검토필요</x:v>
      </x:c>
      <x:c r="Y647" s="9" t="n">
        <x:f>IF(Q647="전설",8,IF(Q647="희귀",7,IF(J647="기본",1,IF(J647="중간",3,IF(J647="최종",IF(I647="",5,IF(I647&lt;=20,3,IF(I647&lt;=35,4,IF(I647&lt;=50,6,7)))),IF(Q647="드묾",4,2))))))</x:f>
        <x:v>8</x:v>
      </x:c>
      <x:c r="Z647" s="5" t="inlineStr">
        <x:is>
          <x:t xml:space="preserve">#cobblemon:is_mountain</x:t>
        </x:is>
      </x:c>
      <x:c r="AA647" s="5" t="inlineStr">
        <x:is>
          <x:t xml:space="preserve">ultra-rare</x:t>
        </x:is>
      </x:c>
      <x:c r="AB647" s="5" t="inlineStr">
        <x:is>
          <x:t xml:space="preserve">아니오</x:t>
        </x:is>
      </x:c>
      <x:c r="AC647" s="8" t="str">
        <x:f>IF(T647&lt;&gt;"","수동확정",IF(X647="검토필요","검토필요",IF(S647="","원본없음","초기완료")))</x:f>
        <x:v>검토필요</x:v>
      </x:c>
      <x:c r="AD647" s="7" t="inlineStr">
        <x:is>
          <x:t xml:space="preserve"/>
        </x:is>
      </x:c>
      <x:c r="AE647" s="5" t="inlineStr">
        <x:is>
          <x:t xml:space="preserve">.tmp/cobblemon-1.7.3-source/common/src/main/resources/data/cobblemon/species/generation5/reshiram.json</x:t>
        </x:is>
      </x:c>
      <x:c r="AF647" s="5" t="str">
        <x:f>"생활권|"&amp;K647</x:f>
        <x:v>생활권|비행</x:v>
      </x:c>
      <x:c r="AG647" s="5" t="str">
        <x:f>"지형|"&amp;L647</x:f>
        <x:v>지형|암석</x:v>
      </x:c>
      <x:c r="AH647" s="5" t="str">
        <x:f>"온도|"&amp;M647</x:f>
        <x:v>온도|고온</x:v>
      </x:c>
      <x:c r="AI647" s="5" t="str">
        <x:f>"습도|"&amp;N647</x:f>
        <x:v>습도|보통</x:v>
      </x:c>
      <x:c r="AJ647" s="5" t="str">
        <x:f>"날씨|"&amp;O647</x:f>
        <x:v>날씨|무관</x:v>
      </x:c>
      <x:c r="AK647" s="5" t="str">
        <x:f>"특수태그|"&amp;R647</x:f>
        <x:v>특수태그|전설</x:v>
      </x:c>
      <x:c r="AL647" s="5" t="str">
        <x:f>"원본서식지|"&amp;S647</x:f>
        <x:v>원본서식지|산악</x:v>
      </x:c>
      <x:c r="AM647" s="5" t="str">
        <x:f>"타입|"&amp;F647</x:f>
        <x:v>타입|드래곤</x:v>
      </x:c>
      <x:c r="AN647" s="5" t="str">
        <x:f>"타입|"&amp;G647</x:f>
        <x:v>타입|불꽃</x:v>
      </x:c>
    </x:row>
    <x:row r="648" ht="24" customHeight="1">
      <x:c r="A648" s="5" t="n">
        <x:v>644</x:v>
      </x:c>
      <x:c r="B648" s="5" t="inlineStr">
        <x:is>
          <x:t xml:space="preserve">제크로무</x:t>
        </x:is>
      </x:c>
      <x:c r="C648" s="5" t="inlineStr">
        <x:is>
          <x:t xml:space="preserve">zekrom</x:t>
        </x:is>
      </x:c>
      <x:c r="D648" s="5" t="inlineStr">
        <x:is>
          <x:t xml:space="preserve">Zekrom</x:t>
        </x:is>
      </x:c>
      <x:c r="E648" s="5" t="n">
        <x:v>5</x:v>
      </x:c>
      <x:c r="F648" s="5" t="inlineStr">
        <x:is>
          <x:t xml:space="preserve">드래곤</x:t>
        </x:is>
      </x:c>
      <x:c r="G648" s="5" t="inlineStr">
        <x:is>
          <x:t xml:space="preserve">전기</x:t>
        </x:is>
      </x:c>
      <x:c r="H648" s="6" t="n">
        <x:v>345</x:v>
      </x:c>
      <x:c r="I648" s="5" t="n"/>
      <x:c r="J648" s="5" t="inlineStr">
        <x:is>
          <x:t xml:space="preserve">무진화</x:t>
        </x:is>
      </x:c>
      <x:c r="K648" s="7" t="inlineStr">
        <x:is>
          <x:t xml:space="preserve">비행</x:t>
        </x:is>
      </x:c>
      <x:c r="L648" s="7" t="inlineStr">
        <x:is>
          <x:t xml:space="preserve">암석</x:t>
        </x:is>
      </x:c>
      <x:c r="M648" s="7" t="inlineStr">
        <x:is>
          <x:t xml:space="preserve">온대</x:t>
        </x:is>
      </x:c>
      <x:c r="N648" s="7" t="inlineStr">
        <x:is>
          <x:t xml:space="preserve">보통</x:t>
        </x:is>
      </x:c>
      <x:c r="O648" s="7" t="inlineStr">
        <x:is>
          <x:t xml:space="preserve">무관</x:t>
        </x:is>
      </x:c>
      <x:c r="P648" s="7" t="inlineStr">
        <x:is>
          <x:t xml:space="preserve">무관</x:t>
        </x:is>
      </x:c>
      <x:c r="Q648" s="7" t="inlineStr">
        <x:is>
          <x:t xml:space="preserve">전설</x:t>
        </x:is>
      </x:c>
      <x:c r="R648" s="7" t="inlineStr">
        <x:is>
          <x:t xml:space="preserve">전설</x:t>
        </x:is>
      </x:c>
      <x:c r="S648" s="7" t="inlineStr">
        <x:is>
          <x:t xml:space="preserve">산악</x:t>
        </x:is>
      </x:c>
      <x:c r="T648" s="7" t="inlineStr">
        <x:is>
          <x:t xml:space="preserve"/>
        </x:is>
      </x:c>
      <x:c r="U648" s="8" t="str">
        <x:f>INDEX('서식지_점수'!$E$4:$P$4,1,MATCH(MAX('서식지_점수'!E648:P648),'서식지_점수'!E648:P648,0))</x:f>
        <x:v>산악</x:v>
      </x:c>
      <x:c r="V648" s="8" t="str">
        <x:f>IF(T648&lt;&gt;"",T648,U648)</x:f>
        <x:v>산악</x:v>
      </x:c>
      <x:c r="W648" s="8" t="str">
        <x:f>IFERROR(INDEX('서식지_점수'!$E$4:$P$4,1,MATCH(MAXIFS('서식지_점수'!E648:P648,'서식지_점수'!E648:P648,"&lt;"&amp;MAX('서식지_점수'!E648:P648)),'서식지_점수'!E648:P648,0)),"")</x:f>
        <x:v>평원</x:v>
      </x:c>
      <x:c r="X648" s="8" t="str">
        <x:f>IF(T648&lt;&gt;"","수동확정",IF(MAX('서식지_점수'!E648:P648)-LARGE('서식지_점수'!E648:P648,2)&gt;=15,"높음",IF(MAX('서식지_점수'!E648:P648)-LARGE('서식지_점수'!E648:P648,2)&gt;=8,"보통","검토필요")))</x:f>
        <x:v>검토필요</x:v>
      </x:c>
      <x:c r="Y648" s="9" t="n">
        <x:f>IF(Q648="전설",8,IF(Q648="희귀",7,IF(J648="기본",1,IF(J648="중간",3,IF(J648="최종",IF(I648="",5,IF(I648&lt;=20,3,IF(I648&lt;=35,4,IF(I648&lt;=50,6,7)))),IF(Q648="드묾",4,2))))))</x:f>
        <x:v>8</x:v>
      </x:c>
      <x:c r="Z648" s="5" t="inlineStr">
        <x:is>
          <x:t xml:space="preserve">#cobblemon:is_mountain</x:t>
        </x:is>
      </x:c>
      <x:c r="AA648" s="5" t="inlineStr">
        <x:is>
          <x:t xml:space="preserve">ultra-rare</x:t>
        </x:is>
      </x:c>
      <x:c r="AB648" s="5" t="inlineStr">
        <x:is>
          <x:t xml:space="preserve">아니오</x:t>
        </x:is>
      </x:c>
      <x:c r="AC648" s="8" t="str">
        <x:f>IF(T648&lt;&gt;"","수동확정",IF(X648="검토필요","검토필요",IF(S648="","원본없음","초기완료")))</x:f>
        <x:v>검토필요</x:v>
      </x:c>
      <x:c r="AD648" s="7" t="inlineStr">
        <x:is>
          <x:t xml:space="preserve"/>
        </x:is>
      </x:c>
      <x:c r="AE648" s="5" t="inlineStr">
        <x:is>
          <x:t xml:space="preserve">.tmp/cobblemon-1.7.3-source/common/src/main/resources/data/cobblemon/species/generation5/zekrom.json</x:t>
        </x:is>
      </x:c>
      <x:c r="AF648" s="5" t="str">
        <x:f>"생활권|"&amp;K648</x:f>
        <x:v>생활권|비행</x:v>
      </x:c>
      <x:c r="AG648" s="5" t="str">
        <x:f>"지형|"&amp;L648</x:f>
        <x:v>지형|암석</x:v>
      </x:c>
      <x:c r="AH648" s="5" t="str">
        <x:f>"온도|"&amp;M648</x:f>
        <x:v>온도|온대</x:v>
      </x:c>
      <x:c r="AI648" s="5" t="str">
        <x:f>"습도|"&amp;N648</x:f>
        <x:v>습도|보통</x:v>
      </x:c>
      <x:c r="AJ648" s="5" t="str">
        <x:f>"날씨|"&amp;O648</x:f>
        <x:v>날씨|무관</x:v>
      </x:c>
      <x:c r="AK648" s="5" t="str">
        <x:f>"특수태그|"&amp;R648</x:f>
        <x:v>특수태그|전설</x:v>
      </x:c>
      <x:c r="AL648" s="5" t="str">
        <x:f>"원본서식지|"&amp;S648</x:f>
        <x:v>원본서식지|산악</x:v>
      </x:c>
      <x:c r="AM648" s="5" t="str">
        <x:f>"타입|"&amp;F648</x:f>
        <x:v>타입|드래곤</x:v>
      </x:c>
      <x:c r="AN648" s="5" t="str">
        <x:f>"타입|"&amp;G648</x:f>
        <x:v>타입|전기</x:v>
      </x:c>
    </x:row>
    <x:row r="649" ht="24" customHeight="1">
      <x:c r="A649" s="5" t="n">
        <x:v>645</x:v>
      </x:c>
      <x:c r="B649" s="5" t="inlineStr">
        <x:is>
          <x:t xml:space="preserve">랜드로스</x:t>
        </x:is>
      </x:c>
      <x:c r="C649" s="5" t="inlineStr">
        <x:is>
          <x:t xml:space="preserve">landorus</x:t>
        </x:is>
      </x:c>
      <x:c r="D649" s="5" t="inlineStr">
        <x:is>
          <x:t xml:space="preserve">Landorus</x:t>
        </x:is>
      </x:c>
      <x:c r="E649" s="5" t="n">
        <x:v>5</x:v>
      </x:c>
      <x:c r="F649" s="5" t="inlineStr">
        <x:is>
          <x:t xml:space="preserve">땅</x:t>
        </x:is>
      </x:c>
      <x:c r="G649" s="5" t="inlineStr">
        <x:is>
          <x:t xml:space="preserve">비행</x:t>
        </x:is>
      </x:c>
      <x:c r="H649" s="6" t="n">
        <x:v>68</x:v>
      </x:c>
      <x:c r="I649" s="5" t="n"/>
      <x:c r="J649" s="5" t="inlineStr">
        <x:is>
          <x:t xml:space="preserve">무진화</x:t>
        </x:is>
      </x:c>
      <x:c r="K649" s="7" t="inlineStr">
        <x:is>
          <x:t xml:space="preserve">비행</x:t>
        </x:is>
      </x:c>
      <x:c r="L649" s="7" t="inlineStr">
        <x:is>
          <x:t xml:space="preserve">건조</x:t>
        </x:is>
      </x:c>
      <x:c r="M649" s="7" t="inlineStr">
        <x:is>
          <x:t xml:space="preserve">고온</x:t>
        </x:is>
      </x:c>
      <x:c r="N649" s="7" t="inlineStr">
        <x:is>
          <x:t xml:space="preserve">건조</x:t>
        </x:is>
      </x:c>
      <x:c r="O649" s="7" t="inlineStr">
        <x:is>
          <x:t xml:space="preserve">맑음</x:t>
        </x:is>
      </x:c>
      <x:c r="P649" s="7" t="inlineStr">
        <x:is>
          <x:t xml:space="preserve">무관</x:t>
        </x:is>
      </x:c>
      <x:c r="Q649" s="7" t="inlineStr">
        <x:is>
          <x:t xml:space="preserve">전설</x:t>
        </x:is>
      </x:c>
      <x:c r="R649" s="7" t="inlineStr">
        <x:is>
          <x:t xml:space="preserve">전설</x:t>
        </x:is>
      </x:c>
      <x:c r="S649" s="7" t="inlineStr">
        <x:is>
          <x:t xml:space="preserve">건조지</x:t>
        </x:is>
      </x:c>
      <x:c r="T649" s="7" t="inlineStr">
        <x:is>
          <x:t xml:space="preserve"/>
        </x:is>
      </x:c>
      <x:c r="U649" s="8" t="str">
        <x:f>INDEX('서식지_점수'!$E$4:$P$4,1,MATCH(MAX('서식지_점수'!E649:P649),'서식지_점수'!E649:P649,0))</x:f>
        <x:v>산악</x:v>
      </x:c>
      <x:c r="V649" s="8" t="str">
        <x:f>IF(T649&lt;&gt;"",T649,U649)</x:f>
        <x:v>산악</x:v>
      </x:c>
      <x:c r="W649" s="8" t="str">
        <x:f>IFERROR(INDEX('서식지_점수'!$E$4:$P$4,1,MATCH(MAXIFS('서식지_점수'!E649:P649,'서식지_점수'!E649:P649,"&lt;"&amp;MAX('서식지_점수'!E649:P649)),'서식지_점수'!E649:P649,0)),"")</x:f>
        <x:v>평원</x:v>
      </x:c>
      <x:c r="X649" s="8" t="str">
        <x:f>IF(T649&lt;&gt;"","수동확정",IF(MAX('서식지_점수'!E649:P649)-LARGE('서식지_점수'!E649:P649,2)&gt;=15,"높음",IF(MAX('서식지_점수'!E649:P649)-LARGE('서식지_점수'!E649:P649,2)&gt;=8,"보통","검토필요")))</x:f>
        <x:v>검토필요</x:v>
      </x:c>
      <x:c r="Y649" s="9" t="n">
        <x:f>IF(Q649="전설",8,IF(Q649="희귀",7,IF(J649="기본",1,IF(J649="중간",3,IF(J649="최종",IF(I649="",5,IF(I649&lt;=20,3,IF(I649&lt;=35,4,IF(I649&lt;=50,6,7)))),IF(Q649="드묾",4,2))))))</x:f>
        <x:v>8</x:v>
      </x:c>
      <x:c r="Z649" s="5" t="inlineStr">
        <x:is>
          <x:t xml:space="preserve">#cobblemon:is_badlands</x:t>
        </x:is>
      </x:c>
      <x:c r="AA649" s="5" t="inlineStr">
        <x:is>
          <x:t xml:space="preserve">ultra-rare</x:t>
        </x:is>
      </x:c>
      <x:c r="AB649" s="5" t="inlineStr">
        <x:is>
          <x:t xml:space="preserve">아니오</x:t>
        </x:is>
      </x:c>
      <x:c r="AC649" s="8" t="str">
        <x:f>IF(T649&lt;&gt;"","수동확정",IF(X649="검토필요","검토필요",IF(S649="","원본없음","초기완료")))</x:f>
        <x:v>검토필요</x:v>
      </x:c>
      <x:c r="AD649" s="7" t="inlineStr">
        <x:is>
          <x:t xml:space="preserve"/>
        </x:is>
      </x:c>
      <x:c r="AE649" s="5" t="inlineStr">
        <x:is>
          <x:t xml:space="preserve">.tmp/cobblemon-1.7.3-source/common/src/main/resources/data/cobblemon/species/generation5/landorus.json</x:t>
        </x:is>
      </x:c>
      <x:c r="AF649" s="5" t="str">
        <x:f>"생활권|"&amp;K649</x:f>
        <x:v>생활권|비행</x:v>
      </x:c>
      <x:c r="AG649" s="5" t="str">
        <x:f>"지형|"&amp;L649</x:f>
        <x:v>지형|건조</x:v>
      </x:c>
      <x:c r="AH649" s="5" t="str">
        <x:f>"온도|"&amp;M649</x:f>
        <x:v>온도|고온</x:v>
      </x:c>
      <x:c r="AI649" s="5" t="str">
        <x:f>"습도|"&amp;N649</x:f>
        <x:v>습도|건조</x:v>
      </x:c>
      <x:c r="AJ649" s="5" t="str">
        <x:f>"날씨|"&amp;O649</x:f>
        <x:v>날씨|맑음</x:v>
      </x:c>
      <x:c r="AK649" s="5" t="str">
        <x:f>"특수태그|"&amp;R649</x:f>
        <x:v>특수태그|전설</x:v>
      </x:c>
      <x:c r="AL649" s="5" t="str">
        <x:f>"원본서식지|"&amp;S649</x:f>
        <x:v>원본서식지|건조지</x:v>
      </x:c>
      <x:c r="AM649" s="5" t="str">
        <x:f>"타입|"&amp;F649</x:f>
        <x:v>타입|땅</x:v>
      </x:c>
      <x:c r="AN649" s="5" t="str">
        <x:f>"타입|"&amp;G649</x:f>
        <x:v>타입|비행</x:v>
      </x:c>
    </x:row>
    <x:row r="650" ht="24" customHeight="1">
      <x:c r="A650" s="5" t="n">
        <x:v>646</x:v>
      </x:c>
      <x:c r="B650" s="5" t="inlineStr">
        <x:is>
          <x:t xml:space="preserve">큐레무</x:t>
        </x:is>
      </x:c>
      <x:c r="C650" s="5" t="inlineStr">
        <x:is>
          <x:t xml:space="preserve">kyurem</x:t>
        </x:is>
      </x:c>
      <x:c r="D650" s="5" t="inlineStr">
        <x:is>
          <x:t xml:space="preserve">Kyurem</x:t>
        </x:is>
      </x:c>
      <x:c r="E650" s="5" t="n">
        <x:v>5</x:v>
      </x:c>
      <x:c r="F650" s="5" t="inlineStr">
        <x:is>
          <x:t xml:space="preserve">드래곤</x:t>
        </x:is>
      </x:c>
      <x:c r="G650" s="5" t="inlineStr">
        <x:is>
          <x:t xml:space="preserve">얼음</x:t>
        </x:is>
      </x:c>
      <x:c r="H650" s="6" t="n">
        <x:v>325</x:v>
      </x:c>
      <x:c r="I650" s="5" t="n"/>
      <x:c r="J650" s="5" t="inlineStr">
        <x:is>
          <x:t xml:space="preserve">무진화</x:t>
        </x:is>
      </x:c>
      <x:c r="K650" s="7" t="inlineStr">
        <x:is>
          <x:t xml:space="preserve">비행</x:t>
        </x:is>
      </x:c>
      <x:c r="L650" s="7" t="inlineStr">
        <x:is>
          <x:t xml:space="preserve">설원</x:t>
        </x:is>
      </x:c>
      <x:c r="M650" s="7" t="inlineStr">
        <x:is>
          <x:t xml:space="preserve">한랭</x:t>
        </x:is>
      </x:c>
      <x:c r="N650" s="7" t="inlineStr">
        <x:is>
          <x:t xml:space="preserve">보통</x:t>
        </x:is>
      </x:c>
      <x:c r="O650" s="7" t="inlineStr">
        <x:is>
          <x:t xml:space="preserve">눈</x:t>
        </x:is>
      </x:c>
      <x:c r="P650" s="7" t="inlineStr">
        <x:is>
          <x:t xml:space="preserve">무관</x:t>
        </x:is>
      </x:c>
      <x:c r="Q650" s="7" t="inlineStr">
        <x:is>
          <x:t xml:space="preserve">전설</x:t>
        </x:is>
      </x:c>
      <x:c r="R650" s="7" t="inlineStr">
        <x:is>
          <x:t xml:space="preserve">전설</x:t>
        </x:is>
      </x:c>
      <x:c r="S650" s="7" t="inlineStr">
        <x:is>
          <x:t xml:space="preserve">설원</x:t>
        </x:is>
      </x:c>
      <x:c r="T650" s="7" t="inlineStr">
        <x:is>
          <x:t xml:space="preserve"/>
        </x:is>
      </x:c>
      <x:c r="U650" s="8" t="str">
        <x:f>INDEX('서식지_점수'!$E$4:$P$4,1,MATCH(MAX('서식지_점수'!E650:P650),'서식지_점수'!E650:P650,0))</x:f>
        <x:v>산악</x:v>
      </x:c>
      <x:c r="V650" s="8" t="str">
        <x:f>IF(T650&lt;&gt;"",T650,U650)</x:f>
        <x:v>산악</x:v>
      </x:c>
      <x:c r="W650" s="8" t="str">
        <x:f>IFERROR(INDEX('서식지_점수'!$E$4:$P$4,1,MATCH(MAXIFS('서식지_점수'!E650:P650,'서식지_점수'!E650:P650,"&lt;"&amp;MAX('서식지_점수'!E650:P650)),'서식지_점수'!E650:P650,0)),"")</x:f>
        <x:v>평원</x:v>
      </x:c>
      <x:c r="X650" s="8" t="str">
        <x:f>IF(T650&lt;&gt;"","수동확정",IF(MAX('서식지_점수'!E650:P650)-LARGE('서식지_점수'!E650:P650,2)&gt;=15,"높음",IF(MAX('서식지_점수'!E650:P650)-LARGE('서식지_점수'!E650:P650,2)&gt;=8,"보통","검토필요")))</x:f>
        <x:v>검토필요</x:v>
      </x:c>
      <x:c r="Y650" s="9" t="n">
        <x:f>IF(Q650="전설",8,IF(Q650="희귀",7,IF(J650="기본",1,IF(J650="중간",3,IF(J650="최종",IF(I650="",5,IF(I650&lt;=20,3,IF(I650&lt;=35,4,IF(I650&lt;=50,6,7)))),IF(Q650="드묾",4,2))))))</x:f>
        <x:v>8</x:v>
      </x:c>
      <x:c r="Z650" s="5" t="inlineStr">
        <x:is>
          <x:t xml:space="preserve">minecraft:ice_spikes</x:t>
        </x:is>
      </x:c>
      <x:c r="AA650" s="5" t="inlineStr">
        <x:is>
          <x:t xml:space="preserve">ultra-rare</x:t>
        </x:is>
      </x:c>
      <x:c r="AB650" s="5" t="inlineStr">
        <x:is>
          <x:t xml:space="preserve">아니오</x:t>
        </x:is>
      </x:c>
      <x:c r="AC650" s="8" t="str">
        <x:f>IF(T650&lt;&gt;"","수동확정",IF(X650="검토필요","검토필요",IF(S650="","원본없음","초기완료")))</x:f>
        <x:v>검토필요</x:v>
      </x:c>
      <x:c r="AD650" s="7" t="inlineStr">
        <x:is>
          <x:t xml:space="preserve"/>
        </x:is>
      </x:c>
      <x:c r="AE650" s="5" t="inlineStr">
        <x:is>
          <x:t xml:space="preserve">.tmp/cobblemon-1.7.3-source/common/src/main/resources/data/cobblemon/species/generation5/kyurem.json</x:t>
        </x:is>
      </x:c>
      <x:c r="AF650" s="5" t="str">
        <x:f>"생활권|"&amp;K650</x:f>
        <x:v>생활권|비행</x:v>
      </x:c>
      <x:c r="AG650" s="5" t="str">
        <x:f>"지형|"&amp;L650</x:f>
        <x:v>지형|설원</x:v>
      </x:c>
      <x:c r="AH650" s="5" t="str">
        <x:f>"온도|"&amp;M650</x:f>
        <x:v>온도|한랭</x:v>
      </x:c>
      <x:c r="AI650" s="5" t="str">
        <x:f>"습도|"&amp;N650</x:f>
        <x:v>습도|보통</x:v>
      </x:c>
      <x:c r="AJ650" s="5" t="str">
        <x:f>"날씨|"&amp;O650</x:f>
        <x:v>날씨|눈</x:v>
      </x:c>
      <x:c r="AK650" s="5" t="str">
        <x:f>"특수태그|"&amp;R650</x:f>
        <x:v>특수태그|전설</x:v>
      </x:c>
      <x:c r="AL650" s="5" t="str">
        <x:f>"원본서식지|"&amp;S650</x:f>
        <x:v>원본서식지|설원</x:v>
      </x:c>
      <x:c r="AM650" s="5" t="str">
        <x:f>"타입|"&amp;F650</x:f>
        <x:v>타입|드래곤</x:v>
      </x:c>
      <x:c r="AN650" s="5" t="str">
        <x:f>"타입|"&amp;G650</x:f>
        <x:v>타입|얼음</x:v>
      </x:c>
    </x:row>
    <x:row r="651" ht="24" customHeight="1">
      <x:c r="A651" s="5" t="n">
        <x:v>647</x:v>
      </x:c>
      <x:c r="B651" s="5" t="inlineStr">
        <x:is>
          <x:t xml:space="preserve">케르디오</x:t>
        </x:is>
      </x:c>
      <x:c r="C651" s="5" t="inlineStr">
        <x:is>
          <x:t xml:space="preserve">keldeo</x:t>
        </x:is>
      </x:c>
      <x:c r="D651" s="5" t="inlineStr">
        <x:is>
          <x:t xml:space="preserve">Keldeo</x:t>
        </x:is>
      </x:c>
      <x:c r="E651" s="5" t="n">
        <x:v>5</x:v>
      </x:c>
      <x:c r="F651" s="5" t="inlineStr">
        <x:is>
          <x:t xml:space="preserve">물</x:t>
        </x:is>
      </x:c>
      <x:c r="G651" s="5" t="inlineStr">
        <x:is>
          <x:t xml:space="preserve">격투</x:t>
        </x:is>
      </x:c>
      <x:c r="H651" s="6" t="n">
        <x:v>48.5</x:v>
      </x:c>
      <x:c r="I651" s="5" t="n"/>
      <x:c r="J651" s="5" t="inlineStr">
        <x:is>
          <x:t xml:space="preserve">무진화</x:t>
        </x:is>
      </x:c>
      <x:c r="K651" s="7" t="inlineStr">
        <x:is>
          <x:t xml:space="preserve">수륙</x:t>
        </x:is>
      </x:c>
      <x:c r="L651" s="7" t="inlineStr">
        <x:is>
          <x:t xml:space="preserve">수목</x:t>
        </x:is>
      </x:c>
      <x:c r="M651" s="7" t="inlineStr">
        <x:is>
          <x:t xml:space="preserve">온대</x:t>
        </x:is>
      </x:c>
      <x:c r="N651" s="7" t="inlineStr">
        <x:is>
          <x:t xml:space="preserve">보통</x:t>
        </x:is>
      </x:c>
      <x:c r="O651" s="7" t="inlineStr">
        <x:is>
          <x:t xml:space="preserve">무관</x:t>
        </x:is>
      </x:c>
      <x:c r="P651" s="7" t="inlineStr">
        <x:is>
          <x:t xml:space="preserve">무관</x:t>
        </x:is>
      </x:c>
      <x:c r="Q651" s="7" t="inlineStr">
        <x:is>
          <x:t xml:space="preserve">전설</x:t>
        </x:is>
      </x:c>
      <x:c r="R651" s="7" t="inlineStr">
        <x:is>
          <x:t xml:space="preserve">전설</x:t>
        </x:is>
      </x:c>
      <x:c r="S651" s="7" t="inlineStr">
        <x:is>
          <x:t xml:space="preserve">숲</x:t>
        </x:is>
      </x:c>
      <x:c r="T651" s="7" t="inlineStr">
        <x:is>
          <x:t xml:space="preserve"/>
        </x:is>
      </x:c>
      <x:c r="U651" s="8" t="str">
        <x:f>INDEX('서식지_점수'!$E$4:$P$4,1,MATCH(MAX('서식지_점수'!E651:P651),'서식지_점수'!E651:P651,0))</x:f>
        <x:v>습지</x:v>
      </x:c>
      <x:c r="V651" s="8" t="str">
        <x:f>IF(T651&lt;&gt;"",T651,U651)</x:f>
        <x:v>습지</x:v>
      </x:c>
      <x:c r="W651" s="8" t="str">
        <x:f>IFERROR(INDEX('서식지_점수'!$E$4:$P$4,1,MATCH(MAXIFS('서식지_점수'!E651:P651,'서식지_점수'!E651:P651,"&lt;"&amp;MAX('서식지_점수'!E651:P651)),'서식지_점수'!E651:P651,0)),"")</x:f>
        <x:v>담수</x:v>
      </x:c>
      <x:c r="X651" s="8" t="str">
        <x:f>IF(T651&lt;&gt;"","수동확정",IF(MAX('서식지_점수'!E651:P651)-LARGE('서식지_점수'!E651:P651,2)&gt;=15,"높음",IF(MAX('서식지_점수'!E651:P651)-LARGE('서식지_점수'!E651:P651,2)&gt;=8,"보통","검토필요")))</x:f>
        <x:v>검토필요</x:v>
      </x:c>
      <x:c r="Y651" s="9" t="n">
        <x:f>IF(Q651="전설",8,IF(Q651="희귀",7,IF(J651="기본",1,IF(J651="중간",3,IF(J651="최종",IF(I651="",5,IF(I651&lt;=20,3,IF(I651&lt;=35,4,IF(I651&lt;=50,6,7)))),IF(Q651="드묾",4,2))))))</x:f>
        <x:v>8</x:v>
      </x:c>
      <x:c r="Z651" s="5" t="inlineStr">
        <x:is>
          <x:t xml:space="preserve">terralith:sakura_grove; terralith:sakura_valley</x:t>
        </x:is>
      </x:c>
      <x:c r="AA651" s="5" t="inlineStr">
        <x:is>
          <x:t xml:space="preserve">ultra-rare</x:t>
        </x:is>
      </x:c>
      <x:c r="AB651" s="5" t="inlineStr">
        <x:is>
          <x:t xml:space="preserve">아니오</x:t>
        </x:is>
      </x:c>
      <x:c r="AC651" s="8" t="str">
        <x:f>IF(T651&lt;&gt;"","수동확정",IF(X651="검토필요","검토필요",IF(S651="","원본없음","초기완료")))</x:f>
        <x:v>검토필요</x:v>
      </x:c>
      <x:c r="AD651" s="7" t="inlineStr">
        <x:is>
          <x:t xml:space="preserve"/>
        </x:is>
      </x:c>
      <x:c r="AE651" s="5" t="inlineStr">
        <x:is>
          <x:t xml:space="preserve">.tmp/cobblemon-1.7.3-source/common/src/main/resources/data/cobblemon/species/generation5/keldeo.json</x:t>
        </x:is>
      </x:c>
      <x:c r="AF651" s="5" t="str">
        <x:f>"생활권|"&amp;K651</x:f>
        <x:v>생활권|수륙</x:v>
      </x:c>
      <x:c r="AG651" s="5" t="str">
        <x:f>"지형|"&amp;L651</x:f>
        <x:v>지형|수목</x:v>
      </x:c>
      <x:c r="AH651" s="5" t="str">
        <x:f>"온도|"&amp;M651</x:f>
        <x:v>온도|온대</x:v>
      </x:c>
      <x:c r="AI651" s="5" t="str">
        <x:f>"습도|"&amp;N651</x:f>
        <x:v>습도|보통</x:v>
      </x:c>
      <x:c r="AJ651" s="5" t="str">
        <x:f>"날씨|"&amp;O651</x:f>
        <x:v>날씨|무관</x:v>
      </x:c>
      <x:c r="AK651" s="5" t="str">
        <x:f>"특수태그|"&amp;R651</x:f>
        <x:v>특수태그|전설</x:v>
      </x:c>
      <x:c r="AL651" s="5" t="str">
        <x:f>"원본서식지|"&amp;S651</x:f>
        <x:v>원본서식지|숲</x:v>
      </x:c>
      <x:c r="AM651" s="5" t="str">
        <x:f>"타입|"&amp;F651</x:f>
        <x:v>타입|물</x:v>
      </x:c>
      <x:c r="AN651" s="5" t="str">
        <x:f>"타입|"&amp;G651</x:f>
        <x:v>타입|격투</x:v>
      </x:c>
    </x:row>
    <x:row r="652" ht="24" customHeight="1">
      <x:c r="A652" s="5" t="n">
        <x:v>648</x:v>
      </x:c>
      <x:c r="B652" s="5" t="inlineStr">
        <x:is>
          <x:t xml:space="preserve">메로엣타</x:t>
        </x:is>
      </x:c>
      <x:c r="C652" s="5" t="inlineStr">
        <x:is>
          <x:t xml:space="preserve">meloetta</x:t>
        </x:is>
      </x:c>
      <x:c r="D652" s="5" t="inlineStr">
        <x:is>
          <x:t xml:space="preserve">Meloetta</x:t>
        </x:is>
      </x:c>
      <x:c r="E652" s="5" t="n">
        <x:v>5</x:v>
      </x:c>
      <x:c r="F652" s="5" t="inlineStr">
        <x:is>
          <x:t xml:space="preserve">노말</x:t>
        </x:is>
      </x:c>
      <x:c r="G652" s="5" t="inlineStr">
        <x:is>
          <x:t xml:space="preserve">에스퍼</x:t>
        </x:is>
      </x:c>
      <x:c r="H652" s="6" t="n">
        <x:v>6.5</x:v>
      </x:c>
      <x:c r="I652" s="5" t="n"/>
      <x:c r="J652" s="5" t="inlineStr">
        <x:is>
          <x:t xml:space="preserve">무진화</x:t>
        </x:is>
      </x:c>
      <x:c r="K652" s="7" t="inlineStr">
        <x:is>
          <x:t xml:space="preserve">비행</x:t>
        </x:is>
      </x:c>
      <x:c r="L652" s="7" t="inlineStr">
        <x:is>
          <x:t xml:space="preserve">개활지</x:t>
        </x:is>
      </x:c>
      <x:c r="M652" s="7" t="inlineStr">
        <x:is>
          <x:t xml:space="preserve">온대</x:t>
        </x:is>
      </x:c>
      <x:c r="N652" s="7" t="inlineStr">
        <x:is>
          <x:t xml:space="preserve">보통</x:t>
        </x:is>
      </x:c>
      <x:c r="O652" s="7" t="inlineStr">
        <x:is>
          <x:t xml:space="preserve">무관</x:t>
        </x:is>
      </x:c>
      <x:c r="P652" s="7" t="inlineStr">
        <x:is>
          <x:t xml:space="preserve">무관</x:t>
        </x:is>
      </x:c>
      <x:c r="Q652" s="7" t="inlineStr">
        <x:is>
          <x:t xml:space="preserve">전설</x:t>
        </x:is>
      </x:c>
      <x:c r="R652" s="7" t="inlineStr">
        <x:is>
          <x:t xml:space="preserve">전설</x:t>
        </x:is>
      </x:c>
      <x:c r="S652" s="7" t="inlineStr">
        <x:is>
          <x:t xml:space="preserve">평원</x:t>
        </x:is>
      </x:c>
      <x:c r="T652" s="7" t="inlineStr">
        <x:is>
          <x:t xml:space="preserve"/>
        </x:is>
      </x:c>
      <x:c r="U652" s="8" t="str">
        <x:f>INDEX('서식지_점수'!$E$4:$P$4,1,MATCH(MAX('서식지_점수'!E652:P652),'서식지_점수'!E652:P652,0))</x:f>
        <x:v>산악</x:v>
      </x:c>
      <x:c r="V652" s="8" t="str">
        <x:f>IF(T652&lt;&gt;"",T652,U652)</x:f>
        <x:v>산악</x:v>
      </x:c>
      <x:c r="W652" s="8" t="str">
        <x:f>IFERROR(INDEX('서식지_점수'!$E$4:$P$4,1,MATCH(MAXIFS('서식지_점수'!E652:P652,'서식지_점수'!E652:P652,"&lt;"&amp;MAX('서식지_점수'!E652:P652)),'서식지_점수'!E652:P652,0)),"")</x:f>
        <x:v>평원</x:v>
      </x:c>
      <x:c r="X652" s="8" t="str">
        <x:f>IF(T652&lt;&gt;"","수동확정",IF(MAX('서식지_점수'!E652:P652)-LARGE('서식지_점수'!E652:P652,2)&gt;=15,"높음",IF(MAX('서식지_점수'!E652:P652)-LARGE('서식지_점수'!E652:P652,2)&gt;=8,"보통","검토필요")))</x:f>
        <x:v>검토필요</x:v>
      </x:c>
      <x:c r="Y652" s="9" t="n">
        <x:f>IF(Q652="전설",8,IF(Q652="희귀",7,IF(J652="기본",1,IF(J652="중간",3,IF(J652="최종",IF(I652="",5,IF(I652&lt;=20,3,IF(I652&lt;=35,4,IF(I652&lt;=50,6,7)))),IF(Q652="드묾",4,2))))))</x:f>
        <x:v>8</x:v>
      </x:c>
      <x:c r="Z652" s="5" t="inlineStr">
        <x:is>
          <x:t xml:space="preserve">minecraft:sunflower_plains</x:t>
        </x:is>
      </x:c>
      <x:c r="AA652" s="5" t="inlineStr">
        <x:is>
          <x:t xml:space="preserve">rare</x:t>
        </x:is>
      </x:c>
      <x:c r="AB652" s="5" t="inlineStr">
        <x:is>
          <x:t xml:space="preserve">아니오</x:t>
        </x:is>
      </x:c>
      <x:c r="AC652" s="8" t="str">
        <x:f>IF(T652&lt;&gt;"","수동확정",IF(X652="검토필요","검토필요",IF(S652="","원본없음","초기완료")))</x:f>
        <x:v>검토필요</x:v>
      </x:c>
      <x:c r="AD652" s="7" t="inlineStr">
        <x:is>
          <x:t xml:space="preserve"/>
        </x:is>
      </x:c>
      <x:c r="AE652" s="5" t="inlineStr">
        <x:is>
          <x:t xml:space="preserve">.tmp/cobblemon-1.7.3-source/common/src/main/resources/data/cobblemon/species/generation5/meloetta.json</x:t>
        </x:is>
      </x:c>
      <x:c r="AF652" s="5" t="str">
        <x:f>"생활권|"&amp;K652</x:f>
        <x:v>생활권|비행</x:v>
      </x:c>
      <x:c r="AG652" s="5" t="str">
        <x:f>"지형|"&amp;L652</x:f>
        <x:v>지형|개활지</x:v>
      </x:c>
      <x:c r="AH652" s="5" t="str">
        <x:f>"온도|"&amp;M652</x:f>
        <x:v>온도|온대</x:v>
      </x:c>
      <x:c r="AI652" s="5" t="str">
        <x:f>"습도|"&amp;N652</x:f>
        <x:v>습도|보통</x:v>
      </x:c>
      <x:c r="AJ652" s="5" t="str">
        <x:f>"날씨|"&amp;O652</x:f>
        <x:v>날씨|무관</x:v>
      </x:c>
      <x:c r="AK652" s="5" t="str">
        <x:f>"특수태그|"&amp;R652</x:f>
        <x:v>특수태그|전설</x:v>
      </x:c>
      <x:c r="AL652" s="5" t="str">
        <x:f>"원본서식지|"&amp;S652</x:f>
        <x:v>원본서식지|평원</x:v>
      </x:c>
      <x:c r="AM652" s="5" t="str">
        <x:f>"타입|"&amp;F652</x:f>
        <x:v>타입|노말</x:v>
      </x:c>
      <x:c r="AN652" s="5" t="str">
        <x:f>"타입|"&amp;G652</x:f>
        <x:v>타입|에스퍼</x:v>
      </x:c>
    </x:row>
    <x:row r="653" ht="24" customHeight="1">
      <x:c r="A653" s="5" t="n">
        <x:v>649</x:v>
      </x:c>
      <x:c r="B653" s="5" t="inlineStr">
        <x:is>
          <x:t xml:space="preserve">게노세크트</x:t>
        </x:is>
      </x:c>
      <x:c r="C653" s="5" t="inlineStr">
        <x:is>
          <x:t xml:space="preserve">genesect</x:t>
        </x:is>
      </x:c>
      <x:c r="D653" s="5" t="inlineStr">
        <x:is>
          <x:t xml:space="preserve">Genesect</x:t>
        </x:is>
      </x:c>
      <x:c r="E653" s="5" t="n">
        <x:v>5</x:v>
      </x:c>
      <x:c r="F653" s="5" t="inlineStr">
        <x:is>
          <x:t xml:space="preserve">벌레</x:t>
        </x:is>
      </x:c>
      <x:c r="G653" s="5" t="inlineStr">
        <x:is>
          <x:t xml:space="preserve">강철</x:t>
        </x:is>
      </x:c>
      <x:c r="H653" s="6" t="n">
        <x:v>82.5</x:v>
      </x:c>
      <x:c r="I653" s="5" t="n"/>
      <x:c r="J653" s="5" t="inlineStr">
        <x:is>
          <x:t xml:space="preserve">무진화</x:t>
        </x:is>
      </x:c>
      <x:c r="K653" s="7" t="inlineStr">
        <x:is>
          <x:t xml:space="preserve">인공</x:t>
        </x:is>
      </x:c>
      <x:c r="L653" s="7" t="inlineStr">
        <x:is>
          <x:t xml:space="preserve">동굴</x:t>
        </x:is>
      </x:c>
      <x:c r="M653" s="7" t="inlineStr">
        <x:is>
          <x:t xml:space="preserve">온대</x:t>
        </x:is>
      </x:c>
      <x:c r="N653" s="7" t="inlineStr">
        <x:is>
          <x:t xml:space="preserve">보통</x:t>
        </x:is>
      </x:c>
      <x:c r="O653" s="7" t="inlineStr">
        <x:is>
          <x:t xml:space="preserve">무관</x:t>
        </x:is>
      </x:c>
      <x:c r="P653" s="7" t="inlineStr">
        <x:is>
          <x:t xml:space="preserve">무관</x:t>
        </x:is>
      </x:c>
      <x:c r="Q653" s="7" t="inlineStr">
        <x:is>
          <x:t xml:space="preserve">전설</x:t>
        </x:is>
      </x:c>
      <x:c r="R653" s="7" t="inlineStr">
        <x:is>
          <x:t xml:space="preserve">전설</x:t>
        </x:is>
      </x:c>
      <x:c r="S653" s="7" t="inlineStr">
        <x:is>
          <x:t xml:space="preserve">동굴</x:t>
        </x:is>
      </x:c>
      <x:c r="T653" s="7" t="inlineStr">
        <x:is>
          <x:t xml:space="preserve"/>
        </x:is>
      </x:c>
      <x:c r="U653" s="8" t="str">
        <x:f>INDEX('서식지_점수'!$E$4:$P$4,1,MATCH(MAX('서식지_점수'!E653:P653),'서식지_점수'!E653:P653,0))</x:f>
        <x:v>도시</x:v>
      </x:c>
      <x:c r="V653" s="8" t="str">
        <x:f>IF(T653&lt;&gt;"",T653,U653)</x:f>
        <x:v>도시</x:v>
      </x:c>
      <x:c r="W653" s="8" t="str">
        <x:f>IFERROR(INDEX('서식지_점수'!$E$4:$P$4,1,MATCH(MAXIFS('서식지_점수'!E653:P653,'서식지_점수'!E653:P653,"&lt;"&amp;MAX('서식지_점수'!E653:P653)),'서식지_점수'!E653:P653,0)),"")</x:f>
        <x:v>특수</x:v>
      </x:c>
      <x:c r="X653" s="8" t="str">
        <x:f>IF(T653&lt;&gt;"","수동확정",IF(MAX('서식지_점수'!E653:P653)-LARGE('서식지_점수'!E653:P653,2)&gt;=15,"높음",IF(MAX('서식지_점수'!E653:P653)-LARGE('서식지_점수'!E653:P653,2)&gt;=8,"보통","검토필요")))</x:f>
        <x:v>높음</x:v>
      </x:c>
      <x:c r="Y653" s="9" t="n">
        <x:f>IF(Q653="전설",8,IF(Q653="희귀",7,IF(J653="기본",1,IF(J653="중간",3,IF(J653="최종",IF(I653="",5,IF(I653&lt;=20,3,IF(I653&lt;=35,4,IF(I653&lt;=50,6,7)))),IF(Q653="드묾",4,2))))))</x:f>
        <x:v>8</x:v>
      </x:c>
      <x:c r="Z653" s="5" t="inlineStr">
        <x:is>
          <x:t xml:space="preserve">#cobblemon:is_dripstone</x:t>
        </x:is>
      </x:c>
      <x:c r="AA653" s="5" t="inlineStr">
        <x:is>
          <x:t xml:space="preserve">ultra-rare</x:t>
        </x:is>
      </x:c>
      <x:c r="AB653" s="5" t="inlineStr">
        <x:is>
          <x:t xml:space="preserve">아니오</x:t>
        </x:is>
      </x:c>
      <x:c r="AC653" s="8" t="str">
        <x:f>IF(T653&lt;&gt;"","수동확정",IF(X653="검토필요","검토필요",IF(S653="","원본없음","초기완료")))</x:f>
        <x:v>초기완료</x:v>
      </x:c>
      <x:c r="AD653" s="7" t="inlineStr">
        <x:is>
          <x:t xml:space="preserve"/>
        </x:is>
      </x:c>
      <x:c r="AE653" s="5" t="inlineStr">
        <x:is>
          <x:t xml:space="preserve">.tmp/cobblemon-1.7.3-source/common/src/main/resources/data/cobblemon/species/generation5/genesect.json</x:t>
        </x:is>
      </x:c>
      <x:c r="AF653" s="5" t="str">
        <x:f>"생활권|"&amp;K653</x:f>
        <x:v>생활권|인공</x:v>
      </x:c>
      <x:c r="AG653" s="5" t="str">
        <x:f>"지형|"&amp;L653</x:f>
        <x:v>지형|동굴</x:v>
      </x:c>
      <x:c r="AH653" s="5" t="str">
        <x:f>"온도|"&amp;M653</x:f>
        <x:v>온도|온대</x:v>
      </x:c>
      <x:c r="AI653" s="5" t="str">
        <x:f>"습도|"&amp;N653</x:f>
        <x:v>습도|보통</x:v>
      </x:c>
      <x:c r="AJ653" s="5" t="str">
        <x:f>"날씨|"&amp;O653</x:f>
        <x:v>날씨|무관</x:v>
      </x:c>
      <x:c r="AK653" s="5" t="str">
        <x:f>"특수태그|"&amp;R653</x:f>
        <x:v>특수태그|전설</x:v>
      </x:c>
      <x:c r="AL653" s="5" t="str">
        <x:f>"원본서식지|"&amp;S653</x:f>
        <x:v>원본서식지|동굴</x:v>
      </x:c>
      <x:c r="AM653" s="5" t="str">
        <x:f>"타입|"&amp;F653</x:f>
        <x:v>타입|벌레</x:v>
      </x:c>
      <x:c r="AN653" s="5" t="str">
        <x:f>"타입|"&amp;G653</x:f>
        <x:v>타입|강철</x:v>
      </x:c>
    </x:row>
    <x:row r="654" ht="24" customHeight="1">
      <x:c r="A654" s="5" t="n">
        <x:v>650</x:v>
      </x:c>
      <x:c r="B654" s="5" t="inlineStr">
        <x:is>
          <x:t xml:space="preserve">도치마론</x:t>
        </x:is>
      </x:c>
      <x:c r="C654" s="5" t="inlineStr">
        <x:is>
          <x:t xml:space="preserve">chespin</x:t>
        </x:is>
      </x:c>
      <x:c r="D654" s="5" t="inlineStr">
        <x:is>
          <x:t xml:space="preserve">Chespin</x:t>
        </x:is>
      </x:c>
      <x:c r="E654" s="5" t="n">
        <x:v>6</x:v>
      </x:c>
      <x:c r="F654" s="5" t="inlineStr">
        <x:is>
          <x:t xml:space="preserve">풀</x:t>
        </x:is>
      </x:c>
      <x:c r="G654" s="5" t="inlineStr">
        <x:is>
          <x:t xml:space="preserve"/>
        </x:is>
      </x:c>
      <x:c r="H654" s="6" t="n">
        <x:v>9</x:v>
      </x:c>
      <x:c r="I654" s="5" t="n">
        <x:v>36</x:v>
      </x:c>
      <x:c r="J654" s="5" t="inlineStr">
        <x:is>
          <x:t xml:space="preserve">기본</x:t>
        </x:is>
      </x:c>
      <x:c r="K654" s="7" t="inlineStr">
        <x:is>
          <x:t xml:space="preserve">육상</x:t>
        </x:is>
      </x:c>
      <x:c r="L654" s="7" t="inlineStr">
        <x:is>
          <x:t xml:space="preserve">수목</x:t>
        </x:is>
      </x:c>
      <x:c r="M654" s="7" t="inlineStr">
        <x:is>
          <x:t xml:space="preserve">온대</x:t>
        </x:is>
      </x:c>
      <x:c r="N654" s="7" t="inlineStr">
        <x:is>
          <x:t xml:space="preserve">보통</x:t>
        </x:is>
      </x:c>
      <x:c r="O654" s="7" t="inlineStr">
        <x:is>
          <x:t xml:space="preserve">무관</x:t>
        </x:is>
      </x:c>
      <x:c r="P654" s="7" t="inlineStr">
        <x:is>
          <x:t xml:space="preserve">무관</x:t>
        </x:is>
      </x:c>
      <x:c r="Q654" s="7" t="inlineStr">
        <x:is>
          <x:t xml:space="preserve">희귀</x:t>
        </x:is>
      </x:c>
      <x:c r="R654" s="7" t="inlineStr">
        <x:is>
          <x:t xml:space="preserve">없음</x:t>
        </x:is>
      </x:c>
      <x:c r="S654" s="7" t="inlineStr">
        <x:is>
          <x:t xml:space="preserve">숲</x:t>
        </x:is>
      </x:c>
      <x:c r="T654" s="7" t="inlineStr">
        <x:is>
          <x:t xml:space="preserve"/>
        </x:is>
      </x:c>
      <x:c r="U654" s="8" t="str">
        <x:f>INDEX('서식지_점수'!$E$4:$P$4,1,MATCH(MAX('서식지_점수'!E654:P654),'서식지_점수'!E654:P654,0))</x:f>
        <x:v>평원</x:v>
      </x:c>
      <x:c r="V654" s="8" t="str">
        <x:f>IF(T654&lt;&gt;"",T654,U654)</x:f>
        <x:v>평원</x:v>
      </x:c>
      <x:c r="W654" s="8" t="str">
        <x:f>IFERROR(INDEX('서식지_점수'!$E$4:$P$4,1,MATCH(MAXIFS('서식지_점수'!E654:P654,'서식지_점수'!E654:P654,"&lt;"&amp;MAX('서식지_점수'!E654:P654)),'서식지_점수'!E654:P654,0)),"")</x:f>
        <x:v>숲</x:v>
      </x:c>
      <x:c r="X654" s="8" t="str">
        <x:f>IF(T654&lt;&gt;"","수동확정",IF(MAX('서식지_점수'!E654:P654)-LARGE('서식지_점수'!E654:P654,2)&gt;=15,"높음",IF(MAX('서식지_점수'!E654:P654)-LARGE('서식지_점수'!E654:P654,2)&gt;=8,"보통","검토필요")))</x:f>
        <x:v>검토필요</x:v>
      </x:c>
      <x:c r="Y654" s="9" t="n">
        <x:f>IF(Q654="전설",8,IF(Q654="희귀",7,IF(J654="기본",1,IF(J654="중간",3,IF(J654="최종",IF(I654="",5,IF(I654&lt;=20,3,IF(I654&lt;=35,4,IF(I654&lt;=50,6,7)))),IF(Q654="드묾",4,2))))))</x:f>
        <x:v>7</x:v>
      </x:c>
      <x:c r="Z654" s="5" t="inlineStr">
        <x:is>
          <x:t xml:space="preserve">#cobblemon:is_forest</x:t>
        </x:is>
      </x:c>
      <x:c r="AA654" s="5" t="inlineStr">
        <x:is>
          <x:t xml:space="preserve">ultra-rare</x:t>
        </x:is>
      </x:c>
      <x:c r="AB654" s="5" t="inlineStr">
        <x:is>
          <x:t xml:space="preserve">예</x:t>
        </x:is>
      </x:c>
      <x:c r="AC654" s="8" t="str">
        <x:f>IF(T654&lt;&gt;"","수동확정",IF(X654="검토필요","검토필요",IF(S654="","원본없음","초기완료")))</x:f>
        <x:v>검토필요</x:v>
      </x:c>
      <x:c r="AD654" s="7" t="inlineStr">
        <x:is>
          <x:t xml:space="preserve"/>
        </x:is>
      </x:c>
      <x:c r="AE654" s="5" t="inlineStr">
        <x:is>
          <x:t xml:space="preserve">.tmp/cobblemon-1.7.3-source/common/src/main/resources/data/cobblemon/species/generation6/chespin.json</x:t>
        </x:is>
      </x:c>
      <x:c r="AF654" s="5" t="str">
        <x:f>"생활권|"&amp;K654</x:f>
        <x:v>생활권|육상</x:v>
      </x:c>
      <x:c r="AG654" s="5" t="str">
        <x:f>"지형|"&amp;L654</x:f>
        <x:v>지형|수목</x:v>
      </x:c>
      <x:c r="AH654" s="5" t="str">
        <x:f>"온도|"&amp;M654</x:f>
        <x:v>온도|온대</x:v>
      </x:c>
      <x:c r="AI654" s="5" t="str">
        <x:f>"습도|"&amp;N654</x:f>
        <x:v>습도|보통</x:v>
      </x:c>
      <x:c r="AJ654" s="5" t="str">
        <x:f>"날씨|"&amp;O654</x:f>
        <x:v>날씨|무관</x:v>
      </x:c>
      <x:c r="AK654" s="5" t="str">
        <x:f>"특수태그|"&amp;R654</x:f>
        <x:v>특수태그|없음</x:v>
      </x:c>
      <x:c r="AL654" s="5" t="str">
        <x:f>"원본서식지|"&amp;S654</x:f>
        <x:v>원본서식지|숲</x:v>
      </x:c>
      <x:c r="AM654" s="5" t="str">
        <x:f>"타입|"&amp;F654</x:f>
        <x:v>타입|풀</x:v>
      </x:c>
      <x:c r="AN654" s="5" t="str">
        <x:f>"타입|"&amp;G654</x:f>
        <x:v>타입|</x:v>
      </x:c>
    </x:row>
    <x:row r="655" ht="24" customHeight="1">
      <x:c r="A655" s="5" t="n">
        <x:v>651</x:v>
      </x:c>
      <x:c r="B655" s="5" t="inlineStr">
        <x:is>
          <x:t xml:space="preserve">도치보구</x:t>
        </x:is>
      </x:c>
      <x:c r="C655" s="5" t="inlineStr">
        <x:is>
          <x:t xml:space="preserve">quilladin</x:t>
        </x:is>
      </x:c>
      <x:c r="D655" s="5" t="inlineStr">
        <x:is>
          <x:t xml:space="preserve">Quilladin</x:t>
        </x:is>
      </x:c>
      <x:c r="E655" s="5" t="n">
        <x:v>6</x:v>
      </x:c>
      <x:c r="F655" s="5" t="inlineStr">
        <x:is>
          <x:t xml:space="preserve">풀</x:t>
        </x:is>
      </x:c>
      <x:c r="G655" s="5" t="inlineStr">
        <x:is>
          <x:t xml:space="preserve"/>
        </x:is>
      </x:c>
      <x:c r="H655" s="6" t="n">
        <x:v>29</x:v>
      </x:c>
      <x:c r="I655" s="5" t="n">
        <x:v>36</x:v>
      </x:c>
      <x:c r="J655" s="5" t="inlineStr">
        <x:is>
          <x:t xml:space="preserve">중간</x:t>
        </x:is>
      </x:c>
      <x:c r="K655" s="7" t="inlineStr">
        <x:is>
          <x:t xml:space="preserve">육상</x:t>
        </x:is>
      </x:c>
      <x:c r="L655" s="7" t="inlineStr">
        <x:is>
          <x:t xml:space="preserve">수목</x:t>
        </x:is>
      </x:c>
      <x:c r="M655" s="7" t="inlineStr">
        <x:is>
          <x:t xml:space="preserve">온대</x:t>
        </x:is>
      </x:c>
      <x:c r="N655" s="7" t="inlineStr">
        <x:is>
          <x:t xml:space="preserve">보통</x:t>
        </x:is>
      </x:c>
      <x:c r="O655" s="7" t="inlineStr">
        <x:is>
          <x:t xml:space="preserve">무관</x:t>
        </x:is>
      </x:c>
      <x:c r="P655" s="7" t="inlineStr">
        <x:is>
          <x:t xml:space="preserve">무관</x:t>
        </x:is>
      </x:c>
      <x:c r="Q655" s="7" t="inlineStr">
        <x:is>
          <x:t xml:space="preserve">희귀</x:t>
        </x:is>
      </x:c>
      <x:c r="R655" s="7" t="inlineStr">
        <x:is>
          <x:t xml:space="preserve">없음</x:t>
        </x:is>
      </x:c>
      <x:c r="S655" s="7" t="inlineStr">
        <x:is>
          <x:t xml:space="preserve">숲</x:t>
        </x:is>
      </x:c>
      <x:c r="T655" s="7" t="inlineStr">
        <x:is>
          <x:t xml:space="preserve"/>
        </x:is>
      </x:c>
      <x:c r="U655" s="8" t="str">
        <x:f>INDEX('서식지_점수'!$E$4:$P$4,1,MATCH(MAX('서식지_점수'!E655:P655),'서식지_점수'!E655:P655,0))</x:f>
        <x:v>평원</x:v>
      </x:c>
      <x:c r="V655" s="8" t="str">
        <x:f>IF(T655&lt;&gt;"",T655,U655)</x:f>
        <x:v>평원</x:v>
      </x:c>
      <x:c r="W655" s="8" t="str">
        <x:f>IFERROR(INDEX('서식지_점수'!$E$4:$P$4,1,MATCH(MAXIFS('서식지_점수'!E655:P655,'서식지_점수'!E655:P655,"&lt;"&amp;MAX('서식지_점수'!E655:P655)),'서식지_점수'!E655:P655,0)),"")</x:f>
        <x:v>숲</x:v>
      </x:c>
      <x:c r="X655" s="8" t="str">
        <x:f>IF(T655&lt;&gt;"","수동확정",IF(MAX('서식지_점수'!E655:P655)-LARGE('서식지_점수'!E655:P655,2)&gt;=15,"높음",IF(MAX('서식지_점수'!E655:P655)-LARGE('서식지_점수'!E655:P655,2)&gt;=8,"보통","검토필요")))</x:f>
        <x:v>검토필요</x:v>
      </x:c>
      <x:c r="Y655" s="9" t="n">
        <x:f>IF(Q655="전설",8,IF(Q655="희귀",7,IF(J655="기본",1,IF(J655="중간",3,IF(J655="최종",IF(I655="",5,IF(I655&lt;=20,3,IF(I655&lt;=35,4,IF(I655&lt;=50,6,7)))),IF(Q655="드묾",4,2))))))</x:f>
        <x:v>7</x:v>
      </x:c>
      <x:c r="Z655" s="5" t="inlineStr">
        <x:is>
          <x:t xml:space="preserve">#cobblemon:is_forest</x:t>
        </x:is>
      </x:c>
      <x:c r="AA655" s="5" t="inlineStr">
        <x:is>
          <x:t xml:space="preserve">ultra-rare</x:t>
        </x:is>
      </x:c>
      <x:c r="AB655" s="5" t="inlineStr">
        <x:is>
          <x:t xml:space="preserve">예</x:t>
        </x:is>
      </x:c>
      <x:c r="AC655" s="8" t="str">
        <x:f>IF(T655&lt;&gt;"","수동확정",IF(X655="검토필요","검토필요",IF(S655="","원본없음","초기완료")))</x:f>
        <x:v>검토필요</x:v>
      </x:c>
      <x:c r="AD655" s="7" t="inlineStr">
        <x:is>
          <x:t xml:space="preserve"/>
        </x:is>
      </x:c>
      <x:c r="AE655" s="5" t="inlineStr">
        <x:is>
          <x:t xml:space="preserve">.tmp/cobblemon-1.7.3-source/common/src/main/resources/data/cobblemon/species/generation6/quilladin.json</x:t>
        </x:is>
      </x:c>
      <x:c r="AF655" s="5" t="str">
        <x:f>"생활권|"&amp;K655</x:f>
        <x:v>생활권|육상</x:v>
      </x:c>
      <x:c r="AG655" s="5" t="str">
        <x:f>"지형|"&amp;L655</x:f>
        <x:v>지형|수목</x:v>
      </x:c>
      <x:c r="AH655" s="5" t="str">
        <x:f>"온도|"&amp;M655</x:f>
        <x:v>온도|온대</x:v>
      </x:c>
      <x:c r="AI655" s="5" t="str">
        <x:f>"습도|"&amp;N655</x:f>
        <x:v>습도|보통</x:v>
      </x:c>
      <x:c r="AJ655" s="5" t="str">
        <x:f>"날씨|"&amp;O655</x:f>
        <x:v>날씨|무관</x:v>
      </x:c>
      <x:c r="AK655" s="5" t="str">
        <x:f>"특수태그|"&amp;R655</x:f>
        <x:v>특수태그|없음</x:v>
      </x:c>
      <x:c r="AL655" s="5" t="str">
        <x:f>"원본서식지|"&amp;S655</x:f>
        <x:v>원본서식지|숲</x:v>
      </x:c>
      <x:c r="AM655" s="5" t="str">
        <x:f>"타입|"&amp;F655</x:f>
        <x:v>타입|풀</x:v>
      </x:c>
      <x:c r="AN655" s="5" t="str">
        <x:f>"타입|"&amp;G655</x:f>
        <x:v>타입|</x:v>
      </x:c>
    </x:row>
    <x:row r="656" ht="24" customHeight="1">
      <x:c r="A656" s="5" t="n">
        <x:v>652</x:v>
      </x:c>
      <x:c r="B656" s="5" t="inlineStr">
        <x:is>
          <x:t xml:space="preserve">브리가론</x:t>
        </x:is>
      </x:c>
      <x:c r="C656" s="5" t="inlineStr">
        <x:is>
          <x:t xml:space="preserve">chesnaught</x:t>
        </x:is>
      </x:c>
      <x:c r="D656" s="5" t="inlineStr">
        <x:is>
          <x:t xml:space="preserve">Chesnaught</x:t>
        </x:is>
      </x:c>
      <x:c r="E656" s="5" t="n">
        <x:v>6</x:v>
      </x:c>
      <x:c r="F656" s="5" t="inlineStr">
        <x:is>
          <x:t xml:space="preserve">풀</x:t>
        </x:is>
      </x:c>
      <x:c r="G656" s="5" t="inlineStr">
        <x:is>
          <x:t xml:space="preserve">격투</x:t>
        </x:is>
      </x:c>
      <x:c r="H656" s="6" t="n">
        <x:v>90</x:v>
      </x:c>
      <x:c r="I656" s="5" t="n">
        <x:v>36</x:v>
      </x:c>
      <x:c r="J656" s="5" t="inlineStr">
        <x:is>
          <x:t xml:space="preserve">최종</x:t>
        </x:is>
      </x:c>
      <x:c r="K656" s="7" t="inlineStr">
        <x:is>
          <x:t xml:space="preserve">육상</x:t>
        </x:is>
      </x:c>
      <x:c r="L656" s="7" t="inlineStr">
        <x:is>
          <x:t xml:space="preserve">수목</x:t>
        </x:is>
      </x:c>
      <x:c r="M656" s="7" t="inlineStr">
        <x:is>
          <x:t xml:space="preserve">온대</x:t>
        </x:is>
      </x:c>
      <x:c r="N656" s="7" t="inlineStr">
        <x:is>
          <x:t xml:space="preserve">보통</x:t>
        </x:is>
      </x:c>
      <x:c r="O656" s="7" t="inlineStr">
        <x:is>
          <x:t xml:space="preserve">무관</x:t>
        </x:is>
      </x:c>
      <x:c r="P656" s="7" t="inlineStr">
        <x:is>
          <x:t xml:space="preserve">무관</x:t>
        </x:is>
      </x:c>
      <x:c r="Q656" s="7" t="inlineStr">
        <x:is>
          <x:t xml:space="preserve">희귀</x:t>
        </x:is>
      </x:c>
      <x:c r="R656" s="7" t="inlineStr">
        <x:is>
          <x:t xml:space="preserve">없음</x:t>
        </x:is>
      </x:c>
      <x:c r="S656" s="7" t="inlineStr">
        <x:is>
          <x:t xml:space="preserve">숲</x:t>
        </x:is>
      </x:c>
      <x:c r="T656" s="7" t="inlineStr">
        <x:is>
          <x:t xml:space="preserve"/>
        </x:is>
      </x:c>
      <x:c r="U656" s="8" t="str">
        <x:f>INDEX('서식지_점수'!$E$4:$P$4,1,MATCH(MAX('서식지_점수'!E656:P656),'서식지_점수'!E656:P656,0))</x:f>
        <x:v>평원</x:v>
      </x:c>
      <x:c r="V656" s="8" t="str">
        <x:f>IF(T656&lt;&gt;"",T656,U656)</x:f>
        <x:v>평원</x:v>
      </x:c>
      <x:c r="W656" s="8" t="str">
        <x:f>IFERROR(INDEX('서식지_점수'!$E$4:$P$4,1,MATCH(MAXIFS('서식지_점수'!E656:P656,'서식지_점수'!E656:P656,"&lt;"&amp;MAX('서식지_점수'!E656:P656)),'서식지_점수'!E656:P656,0)),"")</x:f>
        <x:v>숲</x:v>
      </x:c>
      <x:c r="X656" s="8" t="str">
        <x:f>IF(T656&lt;&gt;"","수동확정",IF(MAX('서식지_점수'!E656:P656)-LARGE('서식지_점수'!E656:P656,2)&gt;=15,"높음",IF(MAX('서식지_점수'!E656:P656)-LARGE('서식지_점수'!E656:P656,2)&gt;=8,"보통","검토필요")))</x:f>
        <x:v>검토필요</x:v>
      </x:c>
      <x:c r="Y656" s="9" t="n">
        <x:f>IF(Q656="전설",8,IF(Q656="희귀",7,IF(J656="기본",1,IF(J656="중간",3,IF(J656="최종",IF(I656="",5,IF(I656&lt;=20,3,IF(I656&lt;=35,4,IF(I656&lt;=50,6,7)))),IF(Q656="드묾",4,2))))))</x:f>
        <x:v>7</x:v>
      </x:c>
      <x:c r="Z656" s="5" t="inlineStr">
        <x:is>
          <x:t xml:space="preserve">#cobblemon:is_forest</x:t>
        </x:is>
      </x:c>
      <x:c r="AA656" s="5" t="inlineStr">
        <x:is>
          <x:t xml:space="preserve">ultra-rare</x:t>
        </x:is>
      </x:c>
      <x:c r="AB656" s="5" t="inlineStr">
        <x:is>
          <x:t xml:space="preserve">예</x:t>
        </x:is>
      </x:c>
      <x:c r="AC656" s="8" t="str">
        <x:f>IF(T656&lt;&gt;"","수동확정",IF(X656="검토필요","검토필요",IF(S656="","원본없음","초기완료")))</x:f>
        <x:v>검토필요</x:v>
      </x:c>
      <x:c r="AD656" s="7" t="inlineStr">
        <x:is>
          <x:t xml:space="preserve"/>
        </x:is>
      </x:c>
      <x:c r="AE656" s="5" t="inlineStr">
        <x:is>
          <x:t xml:space="preserve">.tmp/cobblemon-1.7.3-source/common/src/main/resources/data/cobblemon/species/generation6/chesnaught.json</x:t>
        </x:is>
      </x:c>
      <x:c r="AF656" s="5" t="str">
        <x:f>"생활권|"&amp;K656</x:f>
        <x:v>생활권|육상</x:v>
      </x:c>
      <x:c r="AG656" s="5" t="str">
        <x:f>"지형|"&amp;L656</x:f>
        <x:v>지형|수목</x:v>
      </x:c>
      <x:c r="AH656" s="5" t="str">
        <x:f>"온도|"&amp;M656</x:f>
        <x:v>온도|온대</x:v>
      </x:c>
      <x:c r="AI656" s="5" t="str">
        <x:f>"습도|"&amp;N656</x:f>
        <x:v>습도|보통</x:v>
      </x:c>
      <x:c r="AJ656" s="5" t="str">
        <x:f>"날씨|"&amp;O656</x:f>
        <x:v>날씨|무관</x:v>
      </x:c>
      <x:c r="AK656" s="5" t="str">
        <x:f>"특수태그|"&amp;R656</x:f>
        <x:v>특수태그|없음</x:v>
      </x:c>
      <x:c r="AL656" s="5" t="str">
        <x:f>"원본서식지|"&amp;S656</x:f>
        <x:v>원본서식지|숲</x:v>
      </x:c>
      <x:c r="AM656" s="5" t="str">
        <x:f>"타입|"&amp;F656</x:f>
        <x:v>타입|풀</x:v>
      </x:c>
      <x:c r="AN656" s="5" t="str">
        <x:f>"타입|"&amp;G656</x:f>
        <x:v>타입|격투</x:v>
      </x:c>
    </x:row>
    <x:row r="657" ht="24" customHeight="1">
      <x:c r="A657" s="5" t="n">
        <x:v>653</x:v>
      </x:c>
      <x:c r="B657" s="5" t="inlineStr">
        <x:is>
          <x:t xml:space="preserve">푸호꼬</x:t>
        </x:is>
      </x:c>
      <x:c r="C657" s="5" t="inlineStr">
        <x:is>
          <x:t xml:space="preserve">fennekin</x:t>
        </x:is>
      </x:c>
      <x:c r="D657" s="5" t="inlineStr">
        <x:is>
          <x:t xml:space="preserve">Fennekin</x:t>
        </x:is>
      </x:c>
      <x:c r="E657" s="5" t="n">
        <x:v>6</x:v>
      </x:c>
      <x:c r="F657" s="5" t="inlineStr">
        <x:is>
          <x:t xml:space="preserve">불꽃</x:t>
        </x:is>
      </x:c>
      <x:c r="G657" s="5" t="inlineStr">
        <x:is>
          <x:t xml:space="preserve"/>
        </x:is>
      </x:c>
      <x:c r="H657" s="6" t="n">
        <x:v>9.4</x:v>
      </x:c>
      <x:c r="I657" s="5" t="n">
        <x:v>36</x:v>
      </x:c>
      <x:c r="J657" s="5" t="inlineStr">
        <x:is>
          <x:t xml:space="preserve">기본</x:t>
        </x:is>
      </x:c>
      <x:c r="K657" s="7" t="inlineStr">
        <x:is>
          <x:t xml:space="preserve">육상</x:t>
        </x:is>
      </x:c>
      <x:c r="L657" s="7" t="inlineStr">
        <x:is>
          <x:t xml:space="preserve">건조</x:t>
        </x:is>
      </x:c>
      <x:c r="M657" s="7" t="inlineStr">
        <x:is>
          <x:t xml:space="preserve">고온</x:t>
        </x:is>
      </x:c>
      <x:c r="N657" s="7" t="inlineStr">
        <x:is>
          <x:t xml:space="preserve">건조</x:t>
        </x:is>
      </x:c>
      <x:c r="O657" s="7" t="inlineStr">
        <x:is>
          <x:t xml:space="preserve">맑음</x:t>
        </x:is>
      </x:c>
      <x:c r="P657" s="7" t="inlineStr">
        <x:is>
          <x:t xml:space="preserve">무관</x:t>
        </x:is>
      </x:c>
      <x:c r="Q657" s="7" t="inlineStr">
        <x:is>
          <x:t xml:space="preserve">희귀</x:t>
        </x:is>
      </x:c>
      <x:c r="R657" s="7" t="inlineStr">
        <x:is>
          <x:t xml:space="preserve">없음</x:t>
        </x:is>
      </x:c>
      <x:c r="S657" s="7" t="inlineStr">
        <x:is>
          <x:t xml:space="preserve">건조지</x:t>
        </x:is>
      </x:c>
      <x:c r="T657" s="7" t="inlineStr">
        <x:is>
          <x:t xml:space="preserve"/>
        </x:is>
      </x:c>
      <x:c r="U657" s="8" t="str">
        <x:f>INDEX('서식지_점수'!$E$4:$P$4,1,MATCH(MAX('서식지_점수'!E657:P657),'서식지_점수'!E657:P657,0))</x:f>
        <x:v>평원</x:v>
      </x:c>
      <x:c r="V657" s="8" t="str">
        <x:f>IF(T657&lt;&gt;"",T657,U657)</x:f>
        <x:v>평원</x:v>
      </x:c>
      <x:c r="W657" s="8" t="str">
        <x:f>IFERROR(INDEX('서식지_점수'!$E$4:$P$4,1,MATCH(MAXIFS('서식지_점수'!E657:P657,'서식지_점수'!E657:P657,"&lt;"&amp;MAX('서식지_점수'!E657:P657)),'서식지_점수'!E657:P657,0)),"")</x:f>
        <x:v>숲</x:v>
      </x:c>
      <x:c r="X657" s="8" t="str">
        <x:f>IF(T657&lt;&gt;"","수동확정",IF(MAX('서식지_점수'!E657:P657)-LARGE('서식지_점수'!E657:P657,2)&gt;=15,"높음",IF(MAX('서식지_점수'!E657:P657)-LARGE('서식지_점수'!E657:P657,2)&gt;=8,"보통","검토필요")))</x:f>
        <x:v>검토필요</x:v>
      </x:c>
      <x:c r="Y657" s="9" t="n">
        <x:f>IF(Q657="전설",8,IF(Q657="희귀",7,IF(J657="기본",1,IF(J657="중간",3,IF(J657="최종",IF(I657="",5,IF(I657&lt;=20,3,IF(I657&lt;=35,4,IF(I657&lt;=50,6,7)))),IF(Q657="드묾",4,2))))))</x:f>
        <x:v>7</x:v>
      </x:c>
      <x:c r="Z657" s="5" t="inlineStr">
        <x:is>
          <x:t xml:space="preserve">#cobblemon:is_desert</x:t>
        </x:is>
      </x:c>
      <x:c r="AA657" s="5" t="inlineStr">
        <x:is>
          <x:t xml:space="preserve">ultra-rare</x:t>
        </x:is>
      </x:c>
      <x:c r="AB657" s="5" t="inlineStr">
        <x:is>
          <x:t xml:space="preserve">예</x:t>
        </x:is>
      </x:c>
      <x:c r="AC657" s="8" t="str">
        <x:f>IF(T657&lt;&gt;"","수동확정",IF(X657="검토필요","검토필요",IF(S657="","원본없음","초기완료")))</x:f>
        <x:v>검토필요</x:v>
      </x:c>
      <x:c r="AD657" s="7" t="inlineStr">
        <x:is>
          <x:t xml:space="preserve"/>
        </x:is>
      </x:c>
      <x:c r="AE657" s="5" t="inlineStr">
        <x:is>
          <x:t xml:space="preserve">.tmp/cobblemon-1.7.3-source/common/src/main/resources/data/cobblemon/species/generation6/fennekin.json</x:t>
        </x:is>
      </x:c>
      <x:c r="AF657" s="5" t="str">
        <x:f>"생활권|"&amp;K657</x:f>
        <x:v>생활권|육상</x:v>
      </x:c>
      <x:c r="AG657" s="5" t="str">
        <x:f>"지형|"&amp;L657</x:f>
        <x:v>지형|건조</x:v>
      </x:c>
      <x:c r="AH657" s="5" t="str">
        <x:f>"온도|"&amp;M657</x:f>
        <x:v>온도|고온</x:v>
      </x:c>
      <x:c r="AI657" s="5" t="str">
        <x:f>"습도|"&amp;N657</x:f>
        <x:v>습도|건조</x:v>
      </x:c>
      <x:c r="AJ657" s="5" t="str">
        <x:f>"날씨|"&amp;O657</x:f>
        <x:v>날씨|맑음</x:v>
      </x:c>
      <x:c r="AK657" s="5" t="str">
        <x:f>"특수태그|"&amp;R657</x:f>
        <x:v>특수태그|없음</x:v>
      </x:c>
      <x:c r="AL657" s="5" t="str">
        <x:f>"원본서식지|"&amp;S657</x:f>
        <x:v>원본서식지|건조지</x:v>
      </x:c>
      <x:c r="AM657" s="5" t="str">
        <x:f>"타입|"&amp;F657</x:f>
        <x:v>타입|불꽃</x:v>
      </x:c>
      <x:c r="AN657" s="5" t="str">
        <x:f>"타입|"&amp;G657</x:f>
        <x:v>타입|</x:v>
      </x:c>
    </x:row>
    <x:row r="658" ht="24" customHeight="1">
      <x:c r="A658" s="5" t="n">
        <x:v>654</x:v>
      </x:c>
      <x:c r="B658" s="5" t="inlineStr">
        <x:is>
          <x:t xml:space="preserve">테르나</x:t>
        </x:is>
      </x:c>
      <x:c r="C658" s="5" t="inlineStr">
        <x:is>
          <x:t xml:space="preserve">braixen</x:t>
        </x:is>
      </x:c>
      <x:c r="D658" s="5" t="inlineStr">
        <x:is>
          <x:t xml:space="preserve">Braixen</x:t>
        </x:is>
      </x:c>
      <x:c r="E658" s="5" t="n">
        <x:v>6</x:v>
      </x:c>
      <x:c r="F658" s="5" t="inlineStr">
        <x:is>
          <x:t xml:space="preserve">불꽃</x:t>
        </x:is>
      </x:c>
      <x:c r="G658" s="5" t="inlineStr">
        <x:is>
          <x:t xml:space="preserve"/>
        </x:is>
      </x:c>
      <x:c r="H658" s="6" t="n">
        <x:v>14.5</x:v>
      </x:c>
      <x:c r="I658" s="5" t="n">
        <x:v>36</x:v>
      </x:c>
      <x:c r="J658" s="5" t="inlineStr">
        <x:is>
          <x:t xml:space="preserve">중간</x:t>
        </x:is>
      </x:c>
      <x:c r="K658" s="7" t="inlineStr">
        <x:is>
          <x:t xml:space="preserve">육상</x:t>
        </x:is>
      </x:c>
      <x:c r="L658" s="7" t="inlineStr">
        <x:is>
          <x:t xml:space="preserve">건조</x:t>
        </x:is>
      </x:c>
      <x:c r="M658" s="7" t="inlineStr">
        <x:is>
          <x:t xml:space="preserve">고온</x:t>
        </x:is>
      </x:c>
      <x:c r="N658" s="7" t="inlineStr">
        <x:is>
          <x:t xml:space="preserve">건조</x:t>
        </x:is>
      </x:c>
      <x:c r="O658" s="7" t="inlineStr">
        <x:is>
          <x:t xml:space="preserve">맑음</x:t>
        </x:is>
      </x:c>
      <x:c r="P658" s="7" t="inlineStr">
        <x:is>
          <x:t xml:space="preserve">무관</x:t>
        </x:is>
      </x:c>
      <x:c r="Q658" s="7" t="inlineStr">
        <x:is>
          <x:t xml:space="preserve">희귀</x:t>
        </x:is>
      </x:c>
      <x:c r="R658" s="7" t="inlineStr">
        <x:is>
          <x:t xml:space="preserve">없음</x:t>
        </x:is>
      </x:c>
      <x:c r="S658" s="7" t="inlineStr">
        <x:is>
          <x:t xml:space="preserve">건조지</x:t>
        </x:is>
      </x:c>
      <x:c r="T658" s="7" t="inlineStr">
        <x:is>
          <x:t xml:space="preserve"/>
        </x:is>
      </x:c>
      <x:c r="U658" s="8" t="str">
        <x:f>INDEX('서식지_점수'!$E$4:$P$4,1,MATCH(MAX('서식지_점수'!E658:P658),'서식지_점수'!E658:P658,0))</x:f>
        <x:v>평원</x:v>
      </x:c>
      <x:c r="V658" s="8" t="str">
        <x:f>IF(T658&lt;&gt;"",T658,U658)</x:f>
        <x:v>평원</x:v>
      </x:c>
      <x:c r="W658" s="8" t="str">
        <x:f>IFERROR(INDEX('서식지_점수'!$E$4:$P$4,1,MATCH(MAXIFS('서식지_점수'!E658:P658,'서식지_점수'!E658:P658,"&lt;"&amp;MAX('서식지_점수'!E658:P658)),'서식지_점수'!E658:P658,0)),"")</x:f>
        <x:v>숲</x:v>
      </x:c>
      <x:c r="X658" s="8" t="str">
        <x:f>IF(T658&lt;&gt;"","수동확정",IF(MAX('서식지_점수'!E658:P658)-LARGE('서식지_점수'!E658:P658,2)&gt;=15,"높음",IF(MAX('서식지_점수'!E658:P658)-LARGE('서식지_점수'!E658:P658,2)&gt;=8,"보통","검토필요")))</x:f>
        <x:v>검토필요</x:v>
      </x:c>
      <x:c r="Y658" s="9" t="n">
        <x:f>IF(Q658="전설",8,IF(Q658="희귀",7,IF(J658="기본",1,IF(J658="중간",3,IF(J658="최종",IF(I658="",5,IF(I658&lt;=20,3,IF(I658&lt;=35,4,IF(I658&lt;=50,6,7)))),IF(Q658="드묾",4,2))))))</x:f>
        <x:v>7</x:v>
      </x:c>
      <x:c r="Z658" s="5" t="inlineStr">
        <x:is>
          <x:t xml:space="preserve">#cobblemon:is_desert</x:t>
        </x:is>
      </x:c>
      <x:c r="AA658" s="5" t="inlineStr">
        <x:is>
          <x:t xml:space="preserve">ultra-rare</x:t>
        </x:is>
      </x:c>
      <x:c r="AB658" s="5" t="inlineStr">
        <x:is>
          <x:t xml:space="preserve">예</x:t>
        </x:is>
      </x:c>
      <x:c r="AC658" s="8" t="str">
        <x:f>IF(T658&lt;&gt;"","수동확정",IF(X658="검토필요","검토필요",IF(S658="","원본없음","초기완료")))</x:f>
        <x:v>검토필요</x:v>
      </x:c>
      <x:c r="AD658" s="7" t="inlineStr">
        <x:is>
          <x:t xml:space="preserve"/>
        </x:is>
      </x:c>
      <x:c r="AE658" s="5" t="inlineStr">
        <x:is>
          <x:t xml:space="preserve">.tmp/cobblemon-1.7.3-source/common/src/main/resources/data/cobblemon/species/generation6/braixen.json</x:t>
        </x:is>
      </x:c>
      <x:c r="AF658" s="5" t="str">
        <x:f>"생활권|"&amp;K658</x:f>
        <x:v>생활권|육상</x:v>
      </x:c>
      <x:c r="AG658" s="5" t="str">
        <x:f>"지형|"&amp;L658</x:f>
        <x:v>지형|건조</x:v>
      </x:c>
      <x:c r="AH658" s="5" t="str">
        <x:f>"온도|"&amp;M658</x:f>
        <x:v>온도|고온</x:v>
      </x:c>
      <x:c r="AI658" s="5" t="str">
        <x:f>"습도|"&amp;N658</x:f>
        <x:v>습도|건조</x:v>
      </x:c>
      <x:c r="AJ658" s="5" t="str">
        <x:f>"날씨|"&amp;O658</x:f>
        <x:v>날씨|맑음</x:v>
      </x:c>
      <x:c r="AK658" s="5" t="str">
        <x:f>"특수태그|"&amp;R658</x:f>
        <x:v>특수태그|없음</x:v>
      </x:c>
      <x:c r="AL658" s="5" t="str">
        <x:f>"원본서식지|"&amp;S658</x:f>
        <x:v>원본서식지|건조지</x:v>
      </x:c>
      <x:c r="AM658" s="5" t="str">
        <x:f>"타입|"&amp;F658</x:f>
        <x:v>타입|불꽃</x:v>
      </x:c>
      <x:c r="AN658" s="5" t="str">
        <x:f>"타입|"&amp;G658</x:f>
        <x:v>타입|</x:v>
      </x:c>
    </x:row>
    <x:row r="659" ht="24" customHeight="1">
      <x:c r="A659" s="5" t="n">
        <x:v>655</x:v>
      </x:c>
      <x:c r="B659" s="5" t="inlineStr">
        <x:is>
          <x:t xml:space="preserve">마폭시</x:t>
        </x:is>
      </x:c>
      <x:c r="C659" s="5" t="inlineStr">
        <x:is>
          <x:t xml:space="preserve">delphox</x:t>
        </x:is>
      </x:c>
      <x:c r="D659" s="5" t="inlineStr">
        <x:is>
          <x:t xml:space="preserve">Delphox</x:t>
        </x:is>
      </x:c>
      <x:c r="E659" s="5" t="n">
        <x:v>6</x:v>
      </x:c>
      <x:c r="F659" s="5" t="inlineStr">
        <x:is>
          <x:t xml:space="preserve">불꽃</x:t>
        </x:is>
      </x:c>
      <x:c r="G659" s="5" t="inlineStr">
        <x:is>
          <x:t xml:space="preserve">에스퍼</x:t>
        </x:is>
      </x:c>
      <x:c r="H659" s="6" t="n">
        <x:v>39</x:v>
      </x:c>
      <x:c r="I659" s="5" t="n">
        <x:v>36</x:v>
      </x:c>
      <x:c r="J659" s="5" t="inlineStr">
        <x:is>
          <x:t xml:space="preserve">최종</x:t>
        </x:is>
      </x:c>
      <x:c r="K659" s="7" t="inlineStr">
        <x:is>
          <x:t xml:space="preserve">육상</x:t>
        </x:is>
      </x:c>
      <x:c r="L659" s="7" t="inlineStr">
        <x:is>
          <x:t xml:space="preserve">건조</x:t>
        </x:is>
      </x:c>
      <x:c r="M659" s="7" t="inlineStr">
        <x:is>
          <x:t xml:space="preserve">고온</x:t>
        </x:is>
      </x:c>
      <x:c r="N659" s="7" t="inlineStr">
        <x:is>
          <x:t xml:space="preserve">건조</x:t>
        </x:is>
      </x:c>
      <x:c r="O659" s="7" t="inlineStr">
        <x:is>
          <x:t xml:space="preserve">맑음</x:t>
        </x:is>
      </x:c>
      <x:c r="P659" s="7" t="inlineStr">
        <x:is>
          <x:t xml:space="preserve">무관</x:t>
        </x:is>
      </x:c>
      <x:c r="Q659" s="7" t="inlineStr">
        <x:is>
          <x:t xml:space="preserve">희귀</x:t>
        </x:is>
      </x:c>
      <x:c r="R659" s="7" t="inlineStr">
        <x:is>
          <x:t xml:space="preserve">없음</x:t>
        </x:is>
      </x:c>
      <x:c r="S659" s="7" t="inlineStr">
        <x:is>
          <x:t xml:space="preserve">건조지</x:t>
        </x:is>
      </x:c>
      <x:c r="T659" s="7" t="inlineStr">
        <x:is>
          <x:t xml:space="preserve"/>
        </x:is>
      </x:c>
      <x:c r="U659" s="8" t="str">
        <x:f>INDEX('서식지_점수'!$E$4:$P$4,1,MATCH(MAX('서식지_점수'!E659:P659),'서식지_점수'!E659:P659,0))</x:f>
        <x:v>평원</x:v>
      </x:c>
      <x:c r="V659" s="8" t="str">
        <x:f>IF(T659&lt;&gt;"",T659,U659)</x:f>
        <x:v>평원</x:v>
      </x:c>
      <x:c r="W659" s="8" t="str">
        <x:f>IFERROR(INDEX('서식지_점수'!$E$4:$P$4,1,MATCH(MAXIFS('서식지_점수'!E659:P659,'서식지_점수'!E659:P659,"&lt;"&amp;MAX('서식지_점수'!E659:P659)),'서식지_점수'!E659:P659,0)),"")</x:f>
        <x:v>숲</x:v>
      </x:c>
      <x:c r="X659" s="8" t="str">
        <x:f>IF(T659&lt;&gt;"","수동확정",IF(MAX('서식지_점수'!E659:P659)-LARGE('서식지_점수'!E659:P659,2)&gt;=15,"높음",IF(MAX('서식지_점수'!E659:P659)-LARGE('서식지_점수'!E659:P659,2)&gt;=8,"보통","검토필요")))</x:f>
        <x:v>검토필요</x:v>
      </x:c>
      <x:c r="Y659" s="9" t="n">
        <x:f>IF(Q659="전설",8,IF(Q659="희귀",7,IF(J659="기본",1,IF(J659="중간",3,IF(J659="최종",IF(I659="",5,IF(I659&lt;=20,3,IF(I659&lt;=35,4,IF(I659&lt;=50,6,7)))),IF(Q659="드묾",4,2))))))</x:f>
        <x:v>7</x:v>
      </x:c>
      <x:c r="Z659" s="5" t="inlineStr">
        <x:is>
          <x:t xml:space="preserve">#cobblemon:is_desert</x:t>
        </x:is>
      </x:c>
      <x:c r="AA659" s="5" t="inlineStr">
        <x:is>
          <x:t xml:space="preserve">ultra-rare</x:t>
        </x:is>
      </x:c>
      <x:c r="AB659" s="5" t="inlineStr">
        <x:is>
          <x:t xml:space="preserve">예</x:t>
        </x:is>
      </x:c>
      <x:c r="AC659" s="8" t="str">
        <x:f>IF(T659&lt;&gt;"","수동확정",IF(X659="검토필요","검토필요",IF(S659="","원본없음","초기완료")))</x:f>
        <x:v>검토필요</x:v>
      </x:c>
      <x:c r="AD659" s="7" t="inlineStr">
        <x:is>
          <x:t xml:space="preserve"/>
        </x:is>
      </x:c>
      <x:c r="AE659" s="5" t="inlineStr">
        <x:is>
          <x:t xml:space="preserve">.tmp/cobblemon-1.7.3-source/common/src/main/resources/data/cobblemon/species/generation6/delphox.json</x:t>
        </x:is>
      </x:c>
      <x:c r="AF659" s="5" t="str">
        <x:f>"생활권|"&amp;K659</x:f>
        <x:v>생활권|육상</x:v>
      </x:c>
      <x:c r="AG659" s="5" t="str">
        <x:f>"지형|"&amp;L659</x:f>
        <x:v>지형|건조</x:v>
      </x:c>
      <x:c r="AH659" s="5" t="str">
        <x:f>"온도|"&amp;M659</x:f>
        <x:v>온도|고온</x:v>
      </x:c>
      <x:c r="AI659" s="5" t="str">
        <x:f>"습도|"&amp;N659</x:f>
        <x:v>습도|건조</x:v>
      </x:c>
      <x:c r="AJ659" s="5" t="str">
        <x:f>"날씨|"&amp;O659</x:f>
        <x:v>날씨|맑음</x:v>
      </x:c>
      <x:c r="AK659" s="5" t="str">
        <x:f>"특수태그|"&amp;R659</x:f>
        <x:v>특수태그|없음</x:v>
      </x:c>
      <x:c r="AL659" s="5" t="str">
        <x:f>"원본서식지|"&amp;S659</x:f>
        <x:v>원본서식지|건조지</x:v>
      </x:c>
      <x:c r="AM659" s="5" t="str">
        <x:f>"타입|"&amp;F659</x:f>
        <x:v>타입|불꽃</x:v>
      </x:c>
      <x:c r="AN659" s="5" t="str">
        <x:f>"타입|"&amp;G659</x:f>
        <x:v>타입|에스퍼</x:v>
      </x:c>
    </x:row>
    <x:row r="660" ht="24" customHeight="1">
      <x:c r="A660" s="5" t="n">
        <x:v>656</x:v>
      </x:c>
      <x:c r="B660" s="5" t="inlineStr">
        <x:is>
          <x:t xml:space="preserve">개구마르</x:t>
        </x:is>
      </x:c>
      <x:c r="C660" s="5" t="inlineStr">
        <x:is>
          <x:t xml:space="preserve">froakie</x:t>
        </x:is>
      </x:c>
      <x:c r="D660" s="5" t="inlineStr">
        <x:is>
          <x:t xml:space="preserve">Froakie</x:t>
        </x:is>
      </x:c>
      <x:c r="E660" s="5" t="n">
        <x:v>6</x:v>
      </x:c>
      <x:c r="F660" s="5" t="inlineStr">
        <x:is>
          <x:t xml:space="preserve">물</x:t>
        </x:is>
      </x:c>
      <x:c r="G660" s="5" t="inlineStr">
        <x:is>
          <x:t xml:space="preserve"/>
        </x:is>
      </x:c>
      <x:c r="H660" s="6" t="n">
        <x:v>7</x:v>
      </x:c>
      <x:c r="I660" s="5" t="n">
        <x:v>36</x:v>
      </x:c>
      <x:c r="J660" s="5" t="inlineStr">
        <x:is>
          <x:t xml:space="preserve">기본</x:t>
        </x:is>
      </x:c>
      <x:c r="K660" s="7" t="inlineStr">
        <x:is>
          <x:t xml:space="preserve">담수</x:t>
        </x:is>
      </x:c>
      <x:c r="L660" s="7" t="inlineStr">
        <x:is>
          <x:t xml:space="preserve">담수</x:t>
        </x:is>
      </x:c>
      <x:c r="M660" s="7" t="inlineStr">
        <x:is>
          <x:t xml:space="preserve">온대</x:t>
        </x:is>
      </x:c>
      <x:c r="N660" s="7" t="inlineStr">
        <x:is>
          <x:t xml:space="preserve">수중</x:t>
        </x:is>
      </x:c>
      <x:c r="O660" s="7" t="inlineStr">
        <x:is>
          <x:t xml:space="preserve">비</x:t>
        </x:is>
      </x:c>
      <x:c r="P660" s="7" t="inlineStr">
        <x:is>
          <x:t xml:space="preserve">무관</x:t>
        </x:is>
      </x:c>
      <x:c r="Q660" s="7" t="inlineStr">
        <x:is>
          <x:t xml:space="preserve">희귀</x:t>
        </x:is>
      </x:c>
      <x:c r="R660" s="7" t="inlineStr">
        <x:is>
          <x:t xml:space="preserve">없음</x:t>
        </x:is>
      </x:c>
      <x:c r="S660" s="7" t="inlineStr">
        <x:is>
          <x:t xml:space="preserve">담수</x:t>
        </x:is>
      </x:c>
      <x:c r="T660" s="7" t="inlineStr">
        <x:is>
          <x:t xml:space="preserve"/>
        </x:is>
      </x:c>
      <x:c r="U660" s="8" t="str">
        <x:f>INDEX('서식지_점수'!$E$4:$P$4,1,MATCH(MAX('서식지_점수'!E660:P660),'서식지_점수'!E660:P660,0))</x:f>
        <x:v>담수</x:v>
      </x:c>
      <x:c r="V660" s="8" t="str">
        <x:f>IF(T660&lt;&gt;"",T660,U660)</x:f>
        <x:v>담수</x:v>
      </x:c>
      <x:c r="W660" s="8" t="str">
        <x:f>IFERROR(INDEX('서식지_점수'!$E$4:$P$4,1,MATCH(MAXIFS('서식지_점수'!E660:P660,'서식지_점수'!E660:P660,"&lt;"&amp;MAX('서식지_점수'!E660:P660)),'서식지_점수'!E660:P660,0)),"")</x:f>
        <x:v>습지</x:v>
      </x:c>
      <x:c r="X660" s="8" t="str">
        <x:f>IF(T660&lt;&gt;"","수동확정",IF(MAX('서식지_점수'!E660:P660)-LARGE('서식지_점수'!E660:P660,2)&gt;=15,"높음",IF(MAX('서식지_점수'!E660:P660)-LARGE('서식지_점수'!E660:P660,2)&gt;=8,"보통","검토필요")))</x:f>
        <x:v>높음</x:v>
      </x:c>
      <x:c r="Y660" s="9" t="n">
        <x:f>IF(Q660="전설",8,IF(Q660="희귀",7,IF(J660="기본",1,IF(J660="중간",3,IF(J660="최종",IF(I660="",5,IF(I660&lt;=20,3,IF(I660&lt;=35,4,IF(I660&lt;=50,6,7)))),IF(Q660="드묾",4,2))))))</x:f>
        <x:v>7</x:v>
      </x:c>
      <x:c r="Z660" s="5" t="inlineStr">
        <x:is>
          <x:t xml:space="preserve">#cobblemon:is_bamboo; #cobblemon:is_freshwater; #cobblemon:is_jungle</x:t>
        </x:is>
      </x:c>
      <x:c r="AA660" s="5" t="inlineStr">
        <x:is>
          <x:t xml:space="preserve">ultra-rare</x:t>
        </x:is>
      </x:c>
      <x:c r="AB660" s="5" t="inlineStr">
        <x:is>
          <x:t xml:space="preserve">예</x:t>
        </x:is>
      </x:c>
      <x:c r="AC660" s="8" t="str">
        <x:f>IF(T660&lt;&gt;"","수동확정",IF(X660="검토필요","검토필요",IF(S660="","원본없음","초기완료")))</x:f>
        <x:v>초기완료</x:v>
      </x:c>
      <x:c r="AD660" s="7" t="inlineStr">
        <x:is>
          <x:t xml:space="preserve"/>
        </x:is>
      </x:c>
      <x:c r="AE660" s="5" t="inlineStr">
        <x:is>
          <x:t xml:space="preserve">.tmp/cobblemon-1.7.3-source/common/src/main/resources/data/cobblemon/species/generation6/froakie.json</x:t>
        </x:is>
      </x:c>
      <x:c r="AF660" s="5" t="str">
        <x:f>"생활권|"&amp;K660</x:f>
        <x:v>생활권|담수</x:v>
      </x:c>
      <x:c r="AG660" s="5" t="str">
        <x:f>"지형|"&amp;L660</x:f>
        <x:v>지형|담수</x:v>
      </x:c>
      <x:c r="AH660" s="5" t="str">
        <x:f>"온도|"&amp;M660</x:f>
        <x:v>온도|온대</x:v>
      </x:c>
      <x:c r="AI660" s="5" t="str">
        <x:f>"습도|"&amp;N660</x:f>
        <x:v>습도|수중</x:v>
      </x:c>
      <x:c r="AJ660" s="5" t="str">
        <x:f>"날씨|"&amp;O660</x:f>
        <x:v>날씨|비</x:v>
      </x:c>
      <x:c r="AK660" s="5" t="str">
        <x:f>"특수태그|"&amp;R660</x:f>
        <x:v>특수태그|없음</x:v>
      </x:c>
      <x:c r="AL660" s="5" t="str">
        <x:f>"원본서식지|"&amp;S660</x:f>
        <x:v>원본서식지|담수</x:v>
      </x:c>
      <x:c r="AM660" s="5" t="str">
        <x:f>"타입|"&amp;F660</x:f>
        <x:v>타입|물</x:v>
      </x:c>
      <x:c r="AN660" s="5" t="str">
        <x:f>"타입|"&amp;G660</x:f>
        <x:v>타입|</x:v>
      </x:c>
    </x:row>
    <x:row r="661" ht="24" customHeight="1">
      <x:c r="A661" s="5" t="n">
        <x:v>657</x:v>
      </x:c>
      <x:c r="B661" s="5" t="inlineStr">
        <x:is>
          <x:t xml:space="preserve">개굴반장</x:t>
        </x:is>
      </x:c>
      <x:c r="C661" s="5" t="inlineStr">
        <x:is>
          <x:t xml:space="preserve">frogadier</x:t>
        </x:is>
      </x:c>
      <x:c r="D661" s="5" t="inlineStr">
        <x:is>
          <x:t xml:space="preserve">Frogadier</x:t>
        </x:is>
      </x:c>
      <x:c r="E661" s="5" t="n">
        <x:v>6</x:v>
      </x:c>
      <x:c r="F661" s="5" t="inlineStr">
        <x:is>
          <x:t xml:space="preserve">물</x:t>
        </x:is>
      </x:c>
      <x:c r="G661" s="5" t="inlineStr">
        <x:is>
          <x:t xml:space="preserve"/>
        </x:is>
      </x:c>
      <x:c r="H661" s="6" t="n">
        <x:v>10.9</x:v>
      </x:c>
      <x:c r="I661" s="5" t="n">
        <x:v>36</x:v>
      </x:c>
      <x:c r="J661" s="5" t="inlineStr">
        <x:is>
          <x:t xml:space="preserve">중간</x:t>
        </x:is>
      </x:c>
      <x:c r="K661" s="7" t="inlineStr">
        <x:is>
          <x:t xml:space="preserve">담수</x:t>
        </x:is>
      </x:c>
      <x:c r="L661" s="7" t="inlineStr">
        <x:is>
          <x:t xml:space="preserve">담수</x:t>
        </x:is>
      </x:c>
      <x:c r="M661" s="7" t="inlineStr">
        <x:is>
          <x:t xml:space="preserve">온대</x:t>
        </x:is>
      </x:c>
      <x:c r="N661" s="7" t="inlineStr">
        <x:is>
          <x:t xml:space="preserve">수중</x:t>
        </x:is>
      </x:c>
      <x:c r="O661" s="7" t="inlineStr">
        <x:is>
          <x:t xml:space="preserve">비</x:t>
        </x:is>
      </x:c>
      <x:c r="P661" s="7" t="inlineStr">
        <x:is>
          <x:t xml:space="preserve">무관</x:t>
        </x:is>
      </x:c>
      <x:c r="Q661" s="7" t="inlineStr">
        <x:is>
          <x:t xml:space="preserve">희귀</x:t>
        </x:is>
      </x:c>
      <x:c r="R661" s="7" t="inlineStr">
        <x:is>
          <x:t xml:space="preserve">없음</x:t>
        </x:is>
      </x:c>
      <x:c r="S661" s="7" t="inlineStr">
        <x:is>
          <x:t xml:space="preserve">담수</x:t>
        </x:is>
      </x:c>
      <x:c r="T661" s="7" t="inlineStr">
        <x:is>
          <x:t xml:space="preserve"/>
        </x:is>
      </x:c>
      <x:c r="U661" s="8" t="str">
        <x:f>INDEX('서식지_점수'!$E$4:$P$4,1,MATCH(MAX('서식지_점수'!E661:P661),'서식지_점수'!E661:P661,0))</x:f>
        <x:v>담수</x:v>
      </x:c>
      <x:c r="V661" s="8" t="str">
        <x:f>IF(T661&lt;&gt;"",T661,U661)</x:f>
        <x:v>담수</x:v>
      </x:c>
      <x:c r="W661" s="8" t="str">
        <x:f>IFERROR(INDEX('서식지_점수'!$E$4:$P$4,1,MATCH(MAXIFS('서식지_점수'!E661:P661,'서식지_점수'!E661:P661,"&lt;"&amp;MAX('서식지_점수'!E661:P661)),'서식지_점수'!E661:P661,0)),"")</x:f>
        <x:v>습지</x:v>
      </x:c>
      <x:c r="X661" s="8" t="str">
        <x:f>IF(T661&lt;&gt;"","수동확정",IF(MAX('서식지_점수'!E661:P661)-LARGE('서식지_점수'!E661:P661,2)&gt;=15,"높음",IF(MAX('서식지_점수'!E661:P661)-LARGE('서식지_점수'!E661:P661,2)&gt;=8,"보통","검토필요")))</x:f>
        <x:v>높음</x:v>
      </x:c>
      <x:c r="Y661" s="9" t="n">
        <x:f>IF(Q661="전설",8,IF(Q661="희귀",7,IF(J661="기본",1,IF(J661="중간",3,IF(J661="최종",IF(I661="",5,IF(I661&lt;=20,3,IF(I661&lt;=35,4,IF(I661&lt;=50,6,7)))),IF(Q661="드묾",4,2))))))</x:f>
        <x:v>7</x:v>
      </x:c>
      <x:c r="Z661" s="5" t="inlineStr">
        <x:is>
          <x:t xml:space="preserve">#cobblemon:is_bamboo; #cobblemon:is_freshwater; #cobblemon:is_jungle</x:t>
        </x:is>
      </x:c>
      <x:c r="AA661" s="5" t="inlineStr">
        <x:is>
          <x:t xml:space="preserve">ultra-rare</x:t>
        </x:is>
      </x:c>
      <x:c r="AB661" s="5" t="inlineStr">
        <x:is>
          <x:t xml:space="preserve">예</x:t>
        </x:is>
      </x:c>
      <x:c r="AC661" s="8" t="str">
        <x:f>IF(T661&lt;&gt;"","수동확정",IF(X661="검토필요","검토필요",IF(S661="","원본없음","초기완료")))</x:f>
        <x:v>초기완료</x:v>
      </x:c>
      <x:c r="AD661" s="7" t="inlineStr">
        <x:is>
          <x:t xml:space="preserve"/>
        </x:is>
      </x:c>
      <x:c r="AE661" s="5" t="inlineStr">
        <x:is>
          <x:t xml:space="preserve">.tmp/cobblemon-1.7.3-source/common/src/main/resources/data/cobblemon/species/generation6/frogadier.json</x:t>
        </x:is>
      </x:c>
      <x:c r="AF661" s="5" t="str">
        <x:f>"생활권|"&amp;K661</x:f>
        <x:v>생활권|담수</x:v>
      </x:c>
      <x:c r="AG661" s="5" t="str">
        <x:f>"지형|"&amp;L661</x:f>
        <x:v>지형|담수</x:v>
      </x:c>
      <x:c r="AH661" s="5" t="str">
        <x:f>"온도|"&amp;M661</x:f>
        <x:v>온도|온대</x:v>
      </x:c>
      <x:c r="AI661" s="5" t="str">
        <x:f>"습도|"&amp;N661</x:f>
        <x:v>습도|수중</x:v>
      </x:c>
      <x:c r="AJ661" s="5" t="str">
        <x:f>"날씨|"&amp;O661</x:f>
        <x:v>날씨|비</x:v>
      </x:c>
      <x:c r="AK661" s="5" t="str">
        <x:f>"특수태그|"&amp;R661</x:f>
        <x:v>특수태그|없음</x:v>
      </x:c>
      <x:c r="AL661" s="5" t="str">
        <x:f>"원본서식지|"&amp;S661</x:f>
        <x:v>원본서식지|담수</x:v>
      </x:c>
      <x:c r="AM661" s="5" t="str">
        <x:f>"타입|"&amp;F661</x:f>
        <x:v>타입|물</x:v>
      </x:c>
      <x:c r="AN661" s="5" t="str">
        <x:f>"타입|"&amp;G661</x:f>
        <x:v>타입|</x:v>
      </x:c>
    </x:row>
    <x:row r="662" ht="24" customHeight="1">
      <x:c r="A662" s="5" t="n">
        <x:v>658</x:v>
      </x:c>
      <x:c r="B662" s="5" t="inlineStr">
        <x:is>
          <x:t xml:space="preserve">개굴닌자</x:t>
        </x:is>
      </x:c>
      <x:c r="C662" s="5" t="inlineStr">
        <x:is>
          <x:t xml:space="preserve">greninja</x:t>
        </x:is>
      </x:c>
      <x:c r="D662" s="5" t="inlineStr">
        <x:is>
          <x:t xml:space="preserve">Greninja</x:t>
        </x:is>
      </x:c>
      <x:c r="E662" s="5" t="n">
        <x:v>6</x:v>
      </x:c>
      <x:c r="F662" s="5" t="inlineStr">
        <x:is>
          <x:t xml:space="preserve">물</x:t>
        </x:is>
      </x:c>
      <x:c r="G662" s="5" t="inlineStr">
        <x:is>
          <x:t xml:space="preserve">악</x:t>
        </x:is>
      </x:c>
      <x:c r="H662" s="6" t="n">
        <x:v>40</x:v>
      </x:c>
      <x:c r="I662" s="5" t="n">
        <x:v>36</x:v>
      </x:c>
      <x:c r="J662" s="5" t="inlineStr">
        <x:is>
          <x:t xml:space="preserve">최종</x:t>
        </x:is>
      </x:c>
      <x:c r="K662" s="7" t="inlineStr">
        <x:is>
          <x:t xml:space="preserve">담수</x:t>
        </x:is>
      </x:c>
      <x:c r="L662" s="7" t="inlineStr">
        <x:is>
          <x:t xml:space="preserve">담수</x:t>
        </x:is>
      </x:c>
      <x:c r="M662" s="7" t="inlineStr">
        <x:is>
          <x:t xml:space="preserve">온대</x:t>
        </x:is>
      </x:c>
      <x:c r="N662" s="7" t="inlineStr">
        <x:is>
          <x:t xml:space="preserve">수중</x:t>
        </x:is>
      </x:c>
      <x:c r="O662" s="7" t="inlineStr">
        <x:is>
          <x:t xml:space="preserve">비</x:t>
        </x:is>
      </x:c>
      <x:c r="P662" s="7" t="inlineStr">
        <x:is>
          <x:t xml:space="preserve">밤</x:t>
        </x:is>
      </x:c>
      <x:c r="Q662" s="7" t="inlineStr">
        <x:is>
          <x:t xml:space="preserve">희귀</x:t>
        </x:is>
      </x:c>
      <x:c r="R662" s="7" t="inlineStr">
        <x:is>
          <x:t xml:space="preserve">없음</x:t>
        </x:is>
      </x:c>
      <x:c r="S662" s="7" t="inlineStr">
        <x:is>
          <x:t xml:space="preserve">담수</x:t>
        </x:is>
      </x:c>
      <x:c r="T662" s="7" t="inlineStr">
        <x:is>
          <x:t xml:space="preserve"/>
        </x:is>
      </x:c>
      <x:c r="U662" s="8" t="str">
        <x:f>INDEX('서식지_점수'!$E$4:$P$4,1,MATCH(MAX('서식지_점수'!E662:P662),'서식지_점수'!E662:P662,0))</x:f>
        <x:v>담수</x:v>
      </x:c>
      <x:c r="V662" s="8" t="str">
        <x:f>IF(T662&lt;&gt;"",T662,U662)</x:f>
        <x:v>담수</x:v>
      </x:c>
      <x:c r="W662" s="8" t="str">
        <x:f>IFERROR(INDEX('서식지_점수'!$E$4:$P$4,1,MATCH(MAXIFS('서식지_점수'!E662:P662,'서식지_점수'!E662:P662,"&lt;"&amp;MAX('서식지_점수'!E662:P662)),'서식지_점수'!E662:P662,0)),"")</x:f>
        <x:v>습지</x:v>
      </x:c>
      <x:c r="X662" s="8" t="str">
        <x:f>IF(T662&lt;&gt;"","수동확정",IF(MAX('서식지_점수'!E662:P662)-LARGE('서식지_점수'!E662:P662,2)&gt;=15,"높음",IF(MAX('서식지_점수'!E662:P662)-LARGE('서식지_점수'!E662:P662,2)&gt;=8,"보통","검토필요")))</x:f>
        <x:v>높음</x:v>
      </x:c>
      <x:c r="Y662" s="9" t="n">
        <x:f>IF(Q662="전설",8,IF(Q662="희귀",7,IF(J662="기본",1,IF(J662="중간",3,IF(J662="최종",IF(I662="",5,IF(I662&lt;=20,3,IF(I662&lt;=35,4,IF(I662&lt;=50,6,7)))),IF(Q662="드묾",4,2))))))</x:f>
        <x:v>7</x:v>
      </x:c>
      <x:c r="Z662" s="5" t="inlineStr">
        <x:is>
          <x:t xml:space="preserve">#cobblemon:is_bamboo; #cobblemon:is_freshwater; #cobblemon:is_jungle</x:t>
        </x:is>
      </x:c>
      <x:c r="AA662" s="5" t="inlineStr">
        <x:is>
          <x:t xml:space="preserve">ultra-rare</x:t>
        </x:is>
      </x:c>
      <x:c r="AB662" s="5" t="inlineStr">
        <x:is>
          <x:t xml:space="preserve">예</x:t>
        </x:is>
      </x:c>
      <x:c r="AC662" s="8" t="str">
        <x:f>IF(T662&lt;&gt;"","수동확정",IF(X662="검토필요","검토필요",IF(S662="","원본없음","초기완료")))</x:f>
        <x:v>초기완료</x:v>
      </x:c>
      <x:c r="AD662" s="7" t="inlineStr">
        <x:is>
          <x:t xml:space="preserve"/>
        </x:is>
      </x:c>
      <x:c r="AE662" s="5" t="inlineStr">
        <x:is>
          <x:t xml:space="preserve">.tmp/cobblemon-1.7.3-source/common/src/main/resources/data/cobblemon/species/generation6/greninja.json</x:t>
        </x:is>
      </x:c>
      <x:c r="AF662" s="5" t="str">
        <x:f>"생활권|"&amp;K662</x:f>
        <x:v>생활권|담수</x:v>
      </x:c>
      <x:c r="AG662" s="5" t="str">
        <x:f>"지형|"&amp;L662</x:f>
        <x:v>지형|담수</x:v>
      </x:c>
      <x:c r="AH662" s="5" t="str">
        <x:f>"온도|"&amp;M662</x:f>
        <x:v>온도|온대</x:v>
      </x:c>
      <x:c r="AI662" s="5" t="str">
        <x:f>"습도|"&amp;N662</x:f>
        <x:v>습도|수중</x:v>
      </x:c>
      <x:c r="AJ662" s="5" t="str">
        <x:f>"날씨|"&amp;O662</x:f>
        <x:v>날씨|비</x:v>
      </x:c>
      <x:c r="AK662" s="5" t="str">
        <x:f>"특수태그|"&amp;R662</x:f>
        <x:v>특수태그|없음</x:v>
      </x:c>
      <x:c r="AL662" s="5" t="str">
        <x:f>"원본서식지|"&amp;S662</x:f>
        <x:v>원본서식지|담수</x:v>
      </x:c>
      <x:c r="AM662" s="5" t="str">
        <x:f>"타입|"&amp;F662</x:f>
        <x:v>타입|물</x:v>
      </x:c>
      <x:c r="AN662" s="5" t="str">
        <x:f>"타입|"&amp;G662</x:f>
        <x:v>타입|악</x:v>
      </x:c>
    </x:row>
    <x:row r="663" ht="24" customHeight="1">
      <x:c r="A663" s="5" t="n">
        <x:v>659</x:v>
      </x:c>
      <x:c r="B663" s="5" t="inlineStr">
        <x:is>
          <x:t xml:space="preserve">파르빗</x:t>
        </x:is>
      </x:c>
      <x:c r="C663" s="5" t="inlineStr">
        <x:is>
          <x:t xml:space="preserve">bunnelby</x:t>
        </x:is>
      </x:c>
      <x:c r="D663" s="5" t="inlineStr">
        <x:is>
          <x:t xml:space="preserve">Bunnelby</x:t>
        </x:is>
      </x:c>
      <x:c r="E663" s="5" t="n">
        <x:v>6</x:v>
      </x:c>
      <x:c r="F663" s="5" t="inlineStr">
        <x:is>
          <x:t xml:space="preserve">노말</x:t>
        </x:is>
      </x:c>
      <x:c r="G663" s="5" t="inlineStr">
        <x:is>
          <x:t xml:space="preserve"/>
        </x:is>
      </x:c>
      <x:c r="H663" s="6" t="n">
        <x:v>5</x:v>
      </x:c>
      <x:c r="I663" s="5" t="n">
        <x:v>20</x:v>
      </x:c>
      <x:c r="J663" s="5" t="inlineStr">
        <x:is>
          <x:t xml:space="preserve">기본</x:t>
        </x:is>
      </x:c>
      <x:c r="K663" s="7" t="inlineStr">
        <x:is>
          <x:t xml:space="preserve">육상</x:t>
        </x:is>
      </x:c>
      <x:c r="L663" s="7" t="inlineStr">
        <x:is>
          <x:t xml:space="preserve">암석</x:t>
        </x:is>
      </x:c>
      <x:c r="M663" s="7" t="inlineStr">
        <x:is>
          <x:t xml:space="preserve">온대</x:t>
        </x:is>
      </x:c>
      <x:c r="N663" s="7" t="inlineStr">
        <x:is>
          <x:t xml:space="preserve">보통</x:t>
        </x:is>
      </x:c>
      <x:c r="O663" s="7" t="inlineStr">
        <x:is>
          <x:t xml:space="preserve">무관</x:t>
        </x:is>
      </x:c>
      <x:c r="P663" s="7" t="inlineStr">
        <x:is>
          <x:t xml:space="preserve">무관</x:t>
        </x:is>
      </x:c>
      <x:c r="Q663" s="7" t="inlineStr">
        <x:is>
          <x:t xml:space="preserve">흔함</x:t>
        </x:is>
      </x:c>
      <x:c r="R663" s="7" t="inlineStr">
        <x:is>
          <x:t xml:space="preserve">없음</x:t>
        </x:is>
      </x:c>
      <x:c r="S663" s="7" t="inlineStr">
        <x:is>
          <x:t xml:space="preserve">산악</x:t>
        </x:is>
      </x:c>
      <x:c r="T663" s="7" t="inlineStr">
        <x:is>
          <x:t xml:space="preserve"/>
        </x:is>
      </x:c>
      <x:c r="U663" s="8" t="str">
        <x:f>INDEX('서식지_점수'!$E$4:$P$4,1,MATCH(MAX('서식지_점수'!E663:P663),'서식지_점수'!E663:P663,0))</x:f>
        <x:v>평원</x:v>
      </x:c>
      <x:c r="V663" s="8" t="str">
        <x:f>IF(T663&lt;&gt;"",T663,U663)</x:f>
        <x:v>평원</x:v>
      </x:c>
      <x:c r="W663" s="8" t="str">
        <x:f>IFERROR(INDEX('서식지_점수'!$E$4:$P$4,1,MATCH(MAXIFS('서식지_점수'!E663:P663,'서식지_점수'!E663:P663,"&lt;"&amp;MAX('서식지_점수'!E663:P663)),'서식지_점수'!E663:P663,0)),"")</x:f>
        <x:v>숲</x:v>
      </x:c>
      <x:c r="X663" s="8" t="str">
        <x:f>IF(T663&lt;&gt;"","수동확정",IF(MAX('서식지_점수'!E663:P663)-LARGE('서식지_점수'!E663:P663,2)&gt;=15,"높음",IF(MAX('서식지_점수'!E663:P663)-LARGE('서식지_점수'!E663:P663,2)&gt;=8,"보통","검토필요")))</x:f>
        <x:v>검토필요</x:v>
      </x:c>
      <x:c r="Y663" s="9" t="n">
        <x:f>IF(Q663="전설",8,IF(Q663="희귀",7,IF(J663="기본",1,IF(J663="중간",3,IF(J663="최종",IF(I663="",5,IF(I663&lt;=20,3,IF(I663&lt;=35,4,IF(I663&lt;=50,6,7)))),IF(Q663="드묾",4,2))))))</x:f>
        <x:v>1</x:v>
      </x:c>
      <x:c r="Z663" s="5" t="inlineStr">
        <x:is>
          <x:t xml:space="preserve">#cobblemon:is_hills; #cobblemon:is_temperate</x:t>
        </x:is>
      </x:c>
      <x:c r="AA663" s="5" t="inlineStr">
        <x:is>
          <x:t xml:space="preserve">common</x:t>
        </x:is>
      </x:c>
      <x:c r="AB663" s="5" t="inlineStr">
        <x:is>
          <x:t xml:space="preserve">예</x:t>
        </x:is>
      </x:c>
      <x:c r="AC663" s="8" t="str">
        <x:f>IF(T663&lt;&gt;"","수동확정",IF(X663="검토필요","검토필요",IF(S663="","원본없음","초기완료")))</x:f>
        <x:v>검토필요</x:v>
      </x:c>
      <x:c r="AD663" s="7" t="inlineStr">
        <x:is>
          <x:t xml:space="preserve"/>
        </x:is>
      </x:c>
      <x:c r="AE663" s="5" t="inlineStr">
        <x:is>
          <x:t xml:space="preserve">.tmp/cobblemon-1.7.3-source/common/src/main/resources/data/cobblemon/species/generation6/bunnelby.json</x:t>
        </x:is>
      </x:c>
      <x:c r="AF663" s="5" t="str">
        <x:f>"생활권|"&amp;K663</x:f>
        <x:v>생활권|육상</x:v>
      </x:c>
      <x:c r="AG663" s="5" t="str">
        <x:f>"지형|"&amp;L663</x:f>
        <x:v>지형|암석</x:v>
      </x:c>
      <x:c r="AH663" s="5" t="str">
        <x:f>"온도|"&amp;M663</x:f>
        <x:v>온도|온대</x:v>
      </x:c>
      <x:c r="AI663" s="5" t="str">
        <x:f>"습도|"&amp;N663</x:f>
        <x:v>습도|보통</x:v>
      </x:c>
      <x:c r="AJ663" s="5" t="str">
        <x:f>"날씨|"&amp;O663</x:f>
        <x:v>날씨|무관</x:v>
      </x:c>
      <x:c r="AK663" s="5" t="str">
        <x:f>"특수태그|"&amp;R663</x:f>
        <x:v>특수태그|없음</x:v>
      </x:c>
      <x:c r="AL663" s="5" t="str">
        <x:f>"원본서식지|"&amp;S663</x:f>
        <x:v>원본서식지|산악</x:v>
      </x:c>
      <x:c r="AM663" s="5" t="str">
        <x:f>"타입|"&amp;F663</x:f>
        <x:v>타입|노말</x:v>
      </x:c>
      <x:c r="AN663" s="5" t="str">
        <x:f>"타입|"&amp;G663</x:f>
        <x:v>타입|</x:v>
      </x:c>
    </x:row>
    <x:row r="664" ht="24" customHeight="1">
      <x:c r="A664" s="5" t="n">
        <x:v>660</x:v>
      </x:c>
      <x:c r="B664" s="5" t="inlineStr">
        <x:is>
          <x:t xml:space="preserve">파르토</x:t>
        </x:is>
      </x:c>
      <x:c r="C664" s="5" t="inlineStr">
        <x:is>
          <x:t xml:space="preserve">diggersby</x:t>
        </x:is>
      </x:c>
      <x:c r="D664" s="5" t="inlineStr">
        <x:is>
          <x:t xml:space="preserve">Diggersby</x:t>
        </x:is>
      </x:c>
      <x:c r="E664" s="5" t="n">
        <x:v>6</x:v>
      </x:c>
      <x:c r="F664" s="5" t="inlineStr">
        <x:is>
          <x:t xml:space="preserve">노말</x:t>
        </x:is>
      </x:c>
      <x:c r="G664" s="5" t="inlineStr">
        <x:is>
          <x:t xml:space="preserve">땅</x:t>
        </x:is>
      </x:c>
      <x:c r="H664" s="6" t="n">
        <x:v>42.4</x:v>
      </x:c>
      <x:c r="I664" s="5" t="n">
        <x:v>20</x:v>
      </x:c>
      <x:c r="J664" s="5" t="inlineStr">
        <x:is>
          <x:t xml:space="preserve">최종</x:t>
        </x:is>
      </x:c>
      <x:c r="K664" s="7" t="inlineStr">
        <x:is>
          <x:t xml:space="preserve">육상</x:t>
        </x:is>
      </x:c>
      <x:c r="L664" s="7" t="inlineStr">
        <x:is>
          <x:t xml:space="preserve">암석</x:t>
        </x:is>
      </x:c>
      <x:c r="M664" s="7" t="inlineStr">
        <x:is>
          <x:t xml:space="preserve">온대</x:t>
        </x:is>
      </x:c>
      <x:c r="N664" s="7" t="inlineStr">
        <x:is>
          <x:t xml:space="preserve">보통</x:t>
        </x:is>
      </x:c>
      <x:c r="O664" s="7" t="inlineStr">
        <x:is>
          <x:t xml:space="preserve">무관</x:t>
        </x:is>
      </x:c>
      <x:c r="P664" s="7" t="inlineStr">
        <x:is>
          <x:t xml:space="preserve">무관</x:t>
        </x:is>
      </x:c>
      <x:c r="Q664" s="7" t="inlineStr">
        <x:is>
          <x:t xml:space="preserve">흔함</x:t>
        </x:is>
      </x:c>
      <x:c r="R664" s="7" t="inlineStr">
        <x:is>
          <x:t xml:space="preserve">없음</x:t>
        </x:is>
      </x:c>
      <x:c r="S664" s="7" t="inlineStr">
        <x:is>
          <x:t xml:space="preserve">산악</x:t>
        </x:is>
      </x:c>
      <x:c r="T664" s="7" t="inlineStr">
        <x:is>
          <x:t xml:space="preserve"/>
        </x:is>
      </x:c>
      <x:c r="U664" s="8" t="str">
        <x:f>INDEX('서식지_점수'!$E$4:$P$4,1,MATCH(MAX('서식지_점수'!E664:P664),'서식지_점수'!E664:P664,0))</x:f>
        <x:v>평원</x:v>
      </x:c>
      <x:c r="V664" s="8" t="str">
        <x:f>IF(T664&lt;&gt;"",T664,U664)</x:f>
        <x:v>평원</x:v>
      </x:c>
      <x:c r="W664" s="8" t="str">
        <x:f>IFERROR(INDEX('서식지_점수'!$E$4:$P$4,1,MATCH(MAXIFS('서식지_점수'!E664:P664,'서식지_점수'!E664:P664,"&lt;"&amp;MAX('서식지_점수'!E664:P664)),'서식지_점수'!E664:P664,0)),"")</x:f>
        <x:v>숲</x:v>
      </x:c>
      <x:c r="X664" s="8" t="str">
        <x:f>IF(T664&lt;&gt;"","수동확정",IF(MAX('서식지_점수'!E664:P664)-LARGE('서식지_점수'!E664:P664,2)&gt;=15,"높음",IF(MAX('서식지_점수'!E664:P664)-LARGE('서식지_점수'!E664:P664,2)&gt;=8,"보통","검토필요")))</x:f>
        <x:v>검토필요</x:v>
      </x:c>
      <x:c r="Y664" s="9" t="n">
        <x:f>IF(Q664="전설",8,IF(Q664="희귀",7,IF(J664="기본",1,IF(J664="중간",3,IF(J664="최종",IF(I664="",5,IF(I664&lt;=20,3,IF(I664&lt;=35,4,IF(I664&lt;=50,6,7)))),IF(Q664="드묾",4,2))))))</x:f>
        <x:v>3</x:v>
      </x:c>
      <x:c r="Z664" s="5" t="inlineStr">
        <x:is>
          <x:t xml:space="preserve">#cobblemon:is_hills; #cobblemon:is_temperate</x:t>
        </x:is>
      </x:c>
      <x:c r="AA664" s="5" t="inlineStr">
        <x:is>
          <x:t xml:space="preserve">common</x:t>
        </x:is>
      </x:c>
      <x:c r="AB664" s="5" t="inlineStr">
        <x:is>
          <x:t xml:space="preserve">예</x:t>
        </x:is>
      </x:c>
      <x:c r="AC664" s="8" t="str">
        <x:f>IF(T664&lt;&gt;"","수동확정",IF(X664="검토필요","검토필요",IF(S664="","원본없음","초기완료")))</x:f>
        <x:v>검토필요</x:v>
      </x:c>
      <x:c r="AD664" s="7" t="inlineStr">
        <x:is>
          <x:t xml:space="preserve"/>
        </x:is>
      </x:c>
      <x:c r="AE664" s="5" t="inlineStr">
        <x:is>
          <x:t xml:space="preserve">.tmp/cobblemon-1.7.3-source/common/src/main/resources/data/cobblemon/species/generation6/diggersby.json</x:t>
        </x:is>
      </x:c>
      <x:c r="AF664" s="5" t="str">
        <x:f>"생활권|"&amp;K664</x:f>
        <x:v>생활권|육상</x:v>
      </x:c>
      <x:c r="AG664" s="5" t="str">
        <x:f>"지형|"&amp;L664</x:f>
        <x:v>지형|암석</x:v>
      </x:c>
      <x:c r="AH664" s="5" t="str">
        <x:f>"온도|"&amp;M664</x:f>
        <x:v>온도|온대</x:v>
      </x:c>
      <x:c r="AI664" s="5" t="str">
        <x:f>"습도|"&amp;N664</x:f>
        <x:v>습도|보통</x:v>
      </x:c>
      <x:c r="AJ664" s="5" t="str">
        <x:f>"날씨|"&amp;O664</x:f>
        <x:v>날씨|무관</x:v>
      </x:c>
      <x:c r="AK664" s="5" t="str">
        <x:f>"특수태그|"&amp;R664</x:f>
        <x:v>특수태그|없음</x:v>
      </x:c>
      <x:c r="AL664" s="5" t="str">
        <x:f>"원본서식지|"&amp;S664</x:f>
        <x:v>원본서식지|산악</x:v>
      </x:c>
      <x:c r="AM664" s="5" t="str">
        <x:f>"타입|"&amp;F664</x:f>
        <x:v>타입|노말</x:v>
      </x:c>
      <x:c r="AN664" s="5" t="str">
        <x:f>"타입|"&amp;G664</x:f>
        <x:v>타입|땅</x:v>
      </x:c>
    </x:row>
    <x:row r="665" ht="24" customHeight="1">
      <x:c r="A665" s="5" t="n">
        <x:v>661</x:v>
      </x:c>
      <x:c r="B665" s="5" t="inlineStr">
        <x:is>
          <x:t xml:space="preserve">화살꼬빈</x:t>
        </x:is>
      </x:c>
      <x:c r="C665" s="5" t="inlineStr">
        <x:is>
          <x:t xml:space="preserve">fletchling</x:t>
        </x:is>
      </x:c>
      <x:c r="D665" s="5" t="inlineStr">
        <x:is>
          <x:t xml:space="preserve">Fletchling</x:t>
        </x:is>
      </x:c>
      <x:c r="E665" s="5" t="n">
        <x:v>6</x:v>
      </x:c>
      <x:c r="F665" s="5" t="inlineStr">
        <x:is>
          <x:t xml:space="preserve">노말</x:t>
        </x:is>
      </x:c>
      <x:c r="G665" s="5" t="inlineStr">
        <x:is>
          <x:t xml:space="preserve">비행</x:t>
        </x:is>
      </x:c>
      <x:c r="H665" s="6" t="n">
        <x:v>1.7</x:v>
      </x:c>
      <x:c r="I665" s="5" t="n">
        <x:v>35</x:v>
      </x:c>
      <x:c r="J665" s="5" t="inlineStr">
        <x:is>
          <x:t xml:space="preserve">기본</x:t>
        </x:is>
      </x:c>
      <x:c r="K665" s="7" t="inlineStr">
        <x:is>
          <x:t xml:space="preserve">비행</x:t>
        </x:is>
      </x:c>
      <x:c r="L665" s="7" t="inlineStr">
        <x:is>
          <x:t xml:space="preserve">수목</x:t>
        </x:is>
      </x:c>
      <x:c r="M665" s="7" t="inlineStr">
        <x:is>
          <x:t xml:space="preserve">서늘</x:t>
        </x:is>
      </x:c>
      <x:c r="N665" s="7" t="inlineStr">
        <x:is>
          <x:t xml:space="preserve">보통</x:t>
        </x:is>
      </x:c>
      <x:c r="O665" s="7" t="inlineStr">
        <x:is>
          <x:t xml:space="preserve">무관</x:t>
        </x:is>
      </x:c>
      <x:c r="P665" s="7" t="inlineStr">
        <x:is>
          <x:t xml:space="preserve">낮</x:t>
        </x:is>
      </x:c>
      <x:c r="Q665" s="7" t="inlineStr">
        <x:is>
          <x:t xml:space="preserve">흔함</x:t>
        </x:is>
      </x:c>
      <x:c r="R665" s="7" t="inlineStr">
        <x:is>
          <x:t xml:space="preserve">없음</x:t>
        </x:is>
      </x:c>
      <x:c r="S665" s="7" t="inlineStr">
        <x:is>
          <x:t xml:space="preserve">숲</x:t>
        </x:is>
      </x:c>
      <x:c r="T665" s="7" t="inlineStr">
        <x:is>
          <x:t xml:space="preserve"/>
        </x:is>
      </x:c>
      <x:c r="U665" s="8" t="str">
        <x:f>INDEX('서식지_점수'!$E$4:$P$4,1,MATCH(MAX('서식지_점수'!E665:P665),'서식지_점수'!E665:P665,0))</x:f>
        <x:v>산악</x:v>
      </x:c>
      <x:c r="V665" s="8" t="str">
        <x:f>IF(T665&lt;&gt;"",T665,U665)</x:f>
        <x:v>산악</x:v>
      </x:c>
      <x:c r="W665" s="8" t="str">
        <x:f>IFERROR(INDEX('서식지_점수'!$E$4:$P$4,1,MATCH(MAXIFS('서식지_점수'!E665:P665,'서식지_점수'!E665:P665,"&lt;"&amp;MAX('서식지_점수'!E665:P665)),'서식지_점수'!E665:P665,0)),"")</x:f>
        <x:v>평원</x:v>
      </x:c>
      <x:c r="X665" s="8" t="str">
        <x:f>IF(T665&lt;&gt;"","수동확정",IF(MAX('서식지_점수'!E665:P665)-LARGE('서식지_점수'!E665:P665,2)&gt;=15,"높음",IF(MAX('서식지_점수'!E665:P665)-LARGE('서식지_점수'!E665:P665,2)&gt;=8,"보통","검토필요")))</x:f>
        <x:v>검토필요</x:v>
      </x:c>
      <x:c r="Y665" s="9" t="n">
        <x:f>IF(Q665="전설",8,IF(Q665="희귀",7,IF(J665="기본",1,IF(J665="중간",3,IF(J665="최종",IF(I665="",5,IF(I665&lt;=20,3,IF(I665&lt;=35,4,IF(I665&lt;=50,6,7)))),IF(Q665="드묾",4,2))))))</x:f>
        <x:v>1</x:v>
      </x:c>
      <x:c r="Z665" s="5" t="inlineStr">
        <x:is>
          <x:t xml:space="preserve">#cobblemon:is_forest; #cobblemon:is_sky; #cobblemon:is_taiga; #cobblemon:nether/is_forest; #cobblemon:nether/is_fungus; aether:skyroot_forest; aether:skyroot_woodland</x:t>
        </x:is>
      </x:c>
      <x:c r="AA665" s="5" t="inlineStr">
        <x:is>
          <x:t xml:space="preserve">common</x:t>
        </x:is>
      </x:c>
      <x:c r="AB665" s="5" t="inlineStr">
        <x:is>
          <x:t xml:space="preserve">예</x:t>
        </x:is>
      </x:c>
      <x:c r="AC665" s="8" t="str">
        <x:f>IF(T665&lt;&gt;"","수동확정",IF(X665="검토필요","검토필요",IF(S665="","원본없음","초기완료")))</x:f>
        <x:v>검토필요</x:v>
      </x:c>
      <x:c r="AD665" s="7" t="inlineStr">
        <x:is>
          <x:t xml:space="preserve"/>
        </x:is>
      </x:c>
      <x:c r="AE665" s="5" t="inlineStr">
        <x:is>
          <x:t xml:space="preserve">.tmp/cobblemon-1.7.3-source/common/src/main/resources/data/cobblemon/species/generation6/fletchling.json</x:t>
        </x:is>
      </x:c>
      <x:c r="AF665" s="5" t="str">
        <x:f>"생활권|"&amp;K665</x:f>
        <x:v>생활권|비행</x:v>
      </x:c>
      <x:c r="AG665" s="5" t="str">
        <x:f>"지형|"&amp;L665</x:f>
        <x:v>지형|수목</x:v>
      </x:c>
      <x:c r="AH665" s="5" t="str">
        <x:f>"온도|"&amp;M665</x:f>
        <x:v>온도|서늘</x:v>
      </x:c>
      <x:c r="AI665" s="5" t="str">
        <x:f>"습도|"&amp;N665</x:f>
        <x:v>습도|보통</x:v>
      </x:c>
      <x:c r="AJ665" s="5" t="str">
        <x:f>"날씨|"&amp;O665</x:f>
        <x:v>날씨|무관</x:v>
      </x:c>
      <x:c r="AK665" s="5" t="str">
        <x:f>"특수태그|"&amp;R665</x:f>
        <x:v>특수태그|없음</x:v>
      </x:c>
      <x:c r="AL665" s="5" t="str">
        <x:f>"원본서식지|"&amp;S665</x:f>
        <x:v>원본서식지|숲</x:v>
      </x:c>
      <x:c r="AM665" s="5" t="str">
        <x:f>"타입|"&amp;F665</x:f>
        <x:v>타입|노말</x:v>
      </x:c>
      <x:c r="AN665" s="5" t="str">
        <x:f>"타입|"&amp;G665</x:f>
        <x:v>타입|비행</x:v>
      </x:c>
    </x:row>
    <x:row r="666" ht="24" customHeight="1">
      <x:c r="A666" s="5" t="n">
        <x:v>662</x:v>
      </x:c>
      <x:c r="B666" s="5" t="inlineStr">
        <x:is>
          <x:t xml:space="preserve">불화살빈</x:t>
        </x:is>
      </x:c>
      <x:c r="C666" s="5" t="inlineStr">
        <x:is>
          <x:t xml:space="preserve">fletchinder</x:t>
        </x:is>
      </x:c>
      <x:c r="D666" s="5" t="inlineStr">
        <x:is>
          <x:t xml:space="preserve">Fletchinder</x:t>
        </x:is>
      </x:c>
      <x:c r="E666" s="5" t="n">
        <x:v>6</x:v>
      </x:c>
      <x:c r="F666" s="5" t="inlineStr">
        <x:is>
          <x:t xml:space="preserve">불꽃</x:t>
        </x:is>
      </x:c>
      <x:c r="G666" s="5" t="inlineStr">
        <x:is>
          <x:t xml:space="preserve">비행</x:t>
        </x:is>
      </x:c>
      <x:c r="H666" s="6" t="n">
        <x:v>16</x:v>
      </x:c>
      <x:c r="I666" s="5" t="n">
        <x:v>35</x:v>
      </x:c>
      <x:c r="J666" s="5" t="inlineStr">
        <x:is>
          <x:t xml:space="preserve">중간</x:t>
        </x:is>
      </x:c>
      <x:c r="K666" s="7" t="inlineStr">
        <x:is>
          <x:t xml:space="preserve">비행</x:t>
        </x:is>
      </x:c>
      <x:c r="L666" s="7" t="inlineStr">
        <x:is>
          <x:t xml:space="preserve">수목</x:t>
        </x:is>
      </x:c>
      <x:c r="M666" s="7" t="inlineStr">
        <x:is>
          <x:t xml:space="preserve">서늘</x:t>
        </x:is>
      </x:c>
      <x:c r="N666" s="7" t="inlineStr">
        <x:is>
          <x:t xml:space="preserve">보통</x:t>
        </x:is>
      </x:c>
      <x:c r="O666" s="7" t="inlineStr">
        <x:is>
          <x:t xml:space="preserve">무관</x:t>
        </x:is>
      </x:c>
      <x:c r="P666" s="7" t="inlineStr">
        <x:is>
          <x:t xml:space="preserve">낮</x:t>
        </x:is>
      </x:c>
      <x:c r="Q666" s="7" t="inlineStr">
        <x:is>
          <x:t xml:space="preserve">흔함</x:t>
        </x:is>
      </x:c>
      <x:c r="R666" s="7" t="inlineStr">
        <x:is>
          <x:t xml:space="preserve">없음</x:t>
        </x:is>
      </x:c>
      <x:c r="S666" s="7" t="inlineStr">
        <x:is>
          <x:t xml:space="preserve">숲</x:t>
        </x:is>
      </x:c>
      <x:c r="T666" s="7" t="inlineStr">
        <x:is>
          <x:t xml:space="preserve"/>
        </x:is>
      </x:c>
      <x:c r="U666" s="8" t="str">
        <x:f>INDEX('서식지_점수'!$E$4:$P$4,1,MATCH(MAX('서식지_점수'!E666:P666),'서식지_점수'!E666:P666,0))</x:f>
        <x:v>산악</x:v>
      </x:c>
      <x:c r="V666" s="8" t="str">
        <x:f>IF(T666&lt;&gt;"",T666,U666)</x:f>
        <x:v>산악</x:v>
      </x:c>
      <x:c r="W666" s="8" t="str">
        <x:f>IFERROR(INDEX('서식지_점수'!$E$4:$P$4,1,MATCH(MAXIFS('서식지_점수'!E666:P666,'서식지_점수'!E666:P666,"&lt;"&amp;MAX('서식지_점수'!E666:P666)),'서식지_점수'!E666:P666,0)),"")</x:f>
        <x:v>평원</x:v>
      </x:c>
      <x:c r="X666" s="8" t="str">
        <x:f>IF(T666&lt;&gt;"","수동확정",IF(MAX('서식지_점수'!E666:P666)-LARGE('서식지_점수'!E666:P666,2)&gt;=15,"높음",IF(MAX('서식지_점수'!E666:P666)-LARGE('서식지_점수'!E666:P666,2)&gt;=8,"보통","검토필요")))</x:f>
        <x:v>검토필요</x:v>
      </x:c>
      <x:c r="Y666" s="9" t="n">
        <x:f>IF(Q666="전설",8,IF(Q666="희귀",7,IF(J666="기본",1,IF(J666="중간",3,IF(J666="최종",IF(I666="",5,IF(I666&lt;=20,3,IF(I666&lt;=35,4,IF(I666&lt;=50,6,7)))),IF(Q666="드묾",4,2))))))</x:f>
        <x:v>3</x:v>
      </x:c>
      <x:c r="Z666" s="5" t="inlineStr">
        <x:is>
          <x:t xml:space="preserve">#cobblemon:is_forest; #cobblemon:is_sky; #cobblemon:is_taiga; #cobblemon:nether/is_forest; #cobblemon:nether/is_fungus; aether:skyroot_forest; aether:skyroot_woodland</x:t>
        </x:is>
      </x:c>
      <x:c r="AA666" s="5" t="inlineStr">
        <x:is>
          <x:t xml:space="preserve">common</x:t>
        </x:is>
      </x:c>
      <x:c r="AB666" s="5" t="inlineStr">
        <x:is>
          <x:t xml:space="preserve">예</x:t>
        </x:is>
      </x:c>
      <x:c r="AC666" s="8" t="str">
        <x:f>IF(T666&lt;&gt;"","수동확정",IF(X666="검토필요","검토필요",IF(S666="","원본없음","초기완료")))</x:f>
        <x:v>검토필요</x:v>
      </x:c>
      <x:c r="AD666" s="7" t="inlineStr">
        <x:is>
          <x:t xml:space="preserve"/>
        </x:is>
      </x:c>
      <x:c r="AE666" s="5" t="inlineStr">
        <x:is>
          <x:t xml:space="preserve">.tmp/cobblemon-1.7.3-source/common/src/main/resources/data/cobblemon/species/generation6/fletchinder.json</x:t>
        </x:is>
      </x:c>
      <x:c r="AF666" s="5" t="str">
        <x:f>"생활권|"&amp;K666</x:f>
        <x:v>생활권|비행</x:v>
      </x:c>
      <x:c r="AG666" s="5" t="str">
        <x:f>"지형|"&amp;L666</x:f>
        <x:v>지형|수목</x:v>
      </x:c>
      <x:c r="AH666" s="5" t="str">
        <x:f>"온도|"&amp;M666</x:f>
        <x:v>온도|서늘</x:v>
      </x:c>
      <x:c r="AI666" s="5" t="str">
        <x:f>"습도|"&amp;N666</x:f>
        <x:v>습도|보통</x:v>
      </x:c>
      <x:c r="AJ666" s="5" t="str">
        <x:f>"날씨|"&amp;O666</x:f>
        <x:v>날씨|무관</x:v>
      </x:c>
      <x:c r="AK666" s="5" t="str">
        <x:f>"특수태그|"&amp;R666</x:f>
        <x:v>특수태그|없음</x:v>
      </x:c>
      <x:c r="AL666" s="5" t="str">
        <x:f>"원본서식지|"&amp;S666</x:f>
        <x:v>원본서식지|숲</x:v>
      </x:c>
      <x:c r="AM666" s="5" t="str">
        <x:f>"타입|"&amp;F666</x:f>
        <x:v>타입|불꽃</x:v>
      </x:c>
      <x:c r="AN666" s="5" t="str">
        <x:f>"타입|"&amp;G666</x:f>
        <x:v>타입|비행</x:v>
      </x:c>
    </x:row>
    <x:row r="667" ht="24" customHeight="1">
      <x:c r="A667" s="5" t="n">
        <x:v>663</x:v>
      </x:c>
      <x:c r="B667" s="5" t="inlineStr">
        <x:is>
          <x:t xml:space="preserve">파이어로</x:t>
        </x:is>
      </x:c>
      <x:c r="C667" s="5" t="inlineStr">
        <x:is>
          <x:t xml:space="preserve">talonflame</x:t>
        </x:is>
      </x:c>
      <x:c r="D667" s="5" t="inlineStr">
        <x:is>
          <x:t xml:space="preserve">Talonflame</x:t>
        </x:is>
      </x:c>
      <x:c r="E667" s="5" t="n">
        <x:v>6</x:v>
      </x:c>
      <x:c r="F667" s="5" t="inlineStr">
        <x:is>
          <x:t xml:space="preserve">불꽃</x:t>
        </x:is>
      </x:c>
      <x:c r="G667" s="5" t="inlineStr">
        <x:is>
          <x:t xml:space="preserve">비행</x:t>
        </x:is>
      </x:c>
      <x:c r="H667" s="6" t="n">
        <x:v>24.5</x:v>
      </x:c>
      <x:c r="I667" s="5" t="n">
        <x:v>35</x:v>
      </x:c>
      <x:c r="J667" s="5" t="inlineStr">
        <x:is>
          <x:t xml:space="preserve">최종</x:t>
        </x:is>
      </x:c>
      <x:c r="K667" s="7" t="inlineStr">
        <x:is>
          <x:t xml:space="preserve">비행</x:t>
        </x:is>
      </x:c>
      <x:c r="L667" s="7" t="inlineStr">
        <x:is>
          <x:t xml:space="preserve">수목</x:t>
        </x:is>
      </x:c>
      <x:c r="M667" s="7" t="inlineStr">
        <x:is>
          <x:t xml:space="preserve">서늘</x:t>
        </x:is>
      </x:c>
      <x:c r="N667" s="7" t="inlineStr">
        <x:is>
          <x:t xml:space="preserve">보통</x:t>
        </x:is>
      </x:c>
      <x:c r="O667" s="7" t="inlineStr">
        <x:is>
          <x:t xml:space="preserve">무관</x:t>
        </x:is>
      </x:c>
      <x:c r="P667" s="7" t="inlineStr">
        <x:is>
          <x:t xml:space="preserve">낮</x:t>
        </x:is>
      </x:c>
      <x:c r="Q667" s="7" t="inlineStr">
        <x:is>
          <x:t xml:space="preserve">흔함</x:t>
        </x:is>
      </x:c>
      <x:c r="R667" s="7" t="inlineStr">
        <x:is>
          <x:t xml:space="preserve">없음</x:t>
        </x:is>
      </x:c>
      <x:c r="S667" s="7" t="inlineStr">
        <x:is>
          <x:t xml:space="preserve">숲</x:t>
        </x:is>
      </x:c>
      <x:c r="T667" s="7" t="inlineStr">
        <x:is>
          <x:t xml:space="preserve"/>
        </x:is>
      </x:c>
      <x:c r="U667" s="8" t="str">
        <x:f>INDEX('서식지_점수'!$E$4:$P$4,1,MATCH(MAX('서식지_점수'!E667:P667),'서식지_점수'!E667:P667,0))</x:f>
        <x:v>산악</x:v>
      </x:c>
      <x:c r="V667" s="8" t="str">
        <x:f>IF(T667&lt;&gt;"",T667,U667)</x:f>
        <x:v>산악</x:v>
      </x:c>
      <x:c r="W667" s="8" t="str">
        <x:f>IFERROR(INDEX('서식지_점수'!$E$4:$P$4,1,MATCH(MAXIFS('서식지_점수'!E667:P667,'서식지_점수'!E667:P667,"&lt;"&amp;MAX('서식지_점수'!E667:P667)),'서식지_점수'!E667:P667,0)),"")</x:f>
        <x:v>평원</x:v>
      </x:c>
      <x:c r="X667" s="8" t="str">
        <x:f>IF(T667&lt;&gt;"","수동확정",IF(MAX('서식지_점수'!E667:P667)-LARGE('서식지_점수'!E667:P667,2)&gt;=15,"높음",IF(MAX('서식지_점수'!E667:P667)-LARGE('서식지_점수'!E667:P667,2)&gt;=8,"보통","검토필요")))</x:f>
        <x:v>검토필요</x:v>
      </x:c>
      <x:c r="Y667" s="9" t="n">
        <x:f>IF(Q667="전설",8,IF(Q667="희귀",7,IF(J667="기본",1,IF(J667="중간",3,IF(J667="최종",IF(I667="",5,IF(I667&lt;=20,3,IF(I667&lt;=35,4,IF(I667&lt;=50,6,7)))),IF(Q667="드묾",4,2))))))</x:f>
        <x:v>4</x:v>
      </x:c>
      <x:c r="Z667" s="5" t="inlineStr">
        <x:is>
          <x:t xml:space="preserve">#cobblemon:is_forest; #cobblemon:is_sky; #cobblemon:is_taiga; #cobblemon:nether/is_forest; #cobblemon:nether/is_fungus; aether:skyroot_forest; aether:skyroot_woodland</x:t>
        </x:is>
      </x:c>
      <x:c r="AA667" s="5" t="inlineStr">
        <x:is>
          <x:t xml:space="preserve">common</x:t>
        </x:is>
      </x:c>
      <x:c r="AB667" s="5" t="inlineStr">
        <x:is>
          <x:t xml:space="preserve">예</x:t>
        </x:is>
      </x:c>
      <x:c r="AC667" s="8" t="str">
        <x:f>IF(T667&lt;&gt;"","수동확정",IF(X667="검토필요","검토필요",IF(S667="","원본없음","초기완료")))</x:f>
        <x:v>검토필요</x:v>
      </x:c>
      <x:c r="AD667" s="7" t="inlineStr">
        <x:is>
          <x:t xml:space="preserve"/>
        </x:is>
      </x:c>
      <x:c r="AE667" s="5" t="inlineStr">
        <x:is>
          <x:t xml:space="preserve">.tmp/cobblemon-1.7.3-source/common/src/main/resources/data/cobblemon/species/generation6/talonflame.json</x:t>
        </x:is>
      </x:c>
      <x:c r="AF667" s="5" t="str">
        <x:f>"생활권|"&amp;K667</x:f>
        <x:v>생활권|비행</x:v>
      </x:c>
      <x:c r="AG667" s="5" t="str">
        <x:f>"지형|"&amp;L667</x:f>
        <x:v>지형|수목</x:v>
      </x:c>
      <x:c r="AH667" s="5" t="str">
        <x:f>"온도|"&amp;M667</x:f>
        <x:v>온도|서늘</x:v>
      </x:c>
      <x:c r="AI667" s="5" t="str">
        <x:f>"습도|"&amp;N667</x:f>
        <x:v>습도|보통</x:v>
      </x:c>
      <x:c r="AJ667" s="5" t="str">
        <x:f>"날씨|"&amp;O667</x:f>
        <x:v>날씨|무관</x:v>
      </x:c>
      <x:c r="AK667" s="5" t="str">
        <x:f>"특수태그|"&amp;R667</x:f>
        <x:v>특수태그|없음</x:v>
      </x:c>
      <x:c r="AL667" s="5" t="str">
        <x:f>"원본서식지|"&amp;S667</x:f>
        <x:v>원본서식지|숲</x:v>
      </x:c>
      <x:c r="AM667" s="5" t="str">
        <x:f>"타입|"&amp;F667</x:f>
        <x:v>타입|불꽃</x:v>
      </x:c>
      <x:c r="AN667" s="5" t="str">
        <x:f>"타입|"&amp;G667</x:f>
        <x:v>타입|비행</x:v>
      </x:c>
    </x:row>
    <x:row r="668" ht="24" customHeight="1">
      <x:c r="A668" s="5" t="n">
        <x:v>664</x:v>
      </x:c>
      <x:c r="B668" s="5" t="inlineStr">
        <x:is>
          <x:t xml:space="preserve">분이벌레</x:t>
        </x:is>
      </x:c>
      <x:c r="C668" s="5" t="inlineStr">
        <x:is>
          <x:t xml:space="preserve">scatterbug</x:t>
        </x:is>
      </x:c>
      <x:c r="D668" s="5" t="inlineStr">
        <x:is>
          <x:t xml:space="preserve">Scatterbug</x:t>
        </x:is>
      </x:c>
      <x:c r="E668" s="5" t="n">
        <x:v>6</x:v>
      </x:c>
      <x:c r="F668" s="5" t="inlineStr">
        <x:is>
          <x:t xml:space="preserve">벌레</x:t>
        </x:is>
      </x:c>
      <x:c r="G668" s="5" t="inlineStr">
        <x:is>
          <x:t xml:space="preserve"/>
        </x:is>
      </x:c>
      <x:c r="H668" s="6" t="n">
        <x:v>2.5</x:v>
      </x:c>
      <x:c r="I668" s="5" t="n">
        <x:v>12</x:v>
      </x:c>
      <x:c r="J668" s="5" t="inlineStr">
        <x:is>
          <x:t xml:space="preserve">기본</x:t>
        </x:is>
      </x:c>
      <x:c r="K668" s="7" t="inlineStr">
        <x:is>
          <x:t xml:space="preserve">육상</x:t>
        </x:is>
      </x:c>
      <x:c r="L668" s="7" t="inlineStr">
        <x:is>
          <x:t xml:space="preserve">개활지</x:t>
        </x:is>
      </x:c>
      <x:c r="M668" s="7" t="inlineStr">
        <x:is>
          <x:t xml:space="preserve">온대</x:t>
        </x:is>
      </x:c>
      <x:c r="N668" s="7" t="inlineStr">
        <x:is>
          <x:t xml:space="preserve">보통</x:t>
        </x:is>
      </x:c>
      <x:c r="O668" s="7" t="inlineStr">
        <x:is>
          <x:t xml:space="preserve">무관</x:t>
        </x:is>
      </x:c>
      <x:c r="P668" s="7" t="inlineStr">
        <x:is>
          <x:t xml:space="preserve">무관</x:t>
        </x:is>
      </x:c>
      <x:c r="Q668" s="7" t="inlineStr">
        <x:is>
          <x:t xml:space="preserve">흔함</x:t>
        </x:is>
      </x:c>
      <x:c r="R668" s="7" t="inlineStr">
        <x:is>
          <x:t xml:space="preserve">없음</x:t>
        </x:is>
      </x:c>
      <x:c r="S668" s="7" t="inlineStr">
        <x:is>
          <x:t xml:space="preserve">평원</x:t>
        </x:is>
      </x:c>
      <x:c r="T668" s="7" t="inlineStr">
        <x:is>
          <x:t xml:space="preserve"/>
        </x:is>
      </x:c>
      <x:c r="U668" s="8" t="str">
        <x:f>INDEX('서식지_점수'!$E$4:$P$4,1,MATCH(MAX('서식지_점수'!E668:P668),'서식지_점수'!E668:P668,0))</x:f>
        <x:v>평원</x:v>
      </x:c>
      <x:c r="V668" s="8" t="str">
        <x:f>IF(T668&lt;&gt;"",T668,U668)</x:f>
        <x:v>평원</x:v>
      </x:c>
      <x:c r="W668" s="8" t="str">
        <x:f>IFERROR(INDEX('서식지_점수'!$E$4:$P$4,1,MATCH(MAXIFS('서식지_점수'!E668:P668,'서식지_점수'!E668:P668,"&lt;"&amp;MAX('서식지_점수'!E668:P668)),'서식지_점수'!E668:P668,0)),"")</x:f>
        <x:v>숲</x:v>
      </x:c>
      <x:c r="X668" s="8" t="str">
        <x:f>IF(T668&lt;&gt;"","수동확정",IF(MAX('서식지_점수'!E668:P668)-LARGE('서식지_점수'!E668:P668,2)&gt;=15,"높음",IF(MAX('서식지_점수'!E668:P668)-LARGE('서식지_점수'!E668:P668,2)&gt;=8,"보통","검토필요")))</x:f>
        <x:v>검토필요</x:v>
      </x:c>
      <x:c r="Y668" s="9" t="n">
        <x:f>IF(Q668="전설",8,IF(Q668="희귀",7,IF(J668="기본",1,IF(J668="중간",3,IF(J668="최종",IF(I668="",5,IF(I668&lt;=20,3,IF(I668&lt;=35,4,IF(I668&lt;=50,6,7)))),IF(Q668="드묾",4,2))))))</x:f>
        <x:v>1</x:v>
      </x:c>
      <x:c r="Z668" s="5" t="inlineStr">
        <x:is>
          <x:t xml:space="preserve">#aether:is_aether; #cobblemon:is_floral; #cobblemon:is_plains; #cobblemon:is_savanna; the_bumblezone:floral_meadow</x:t>
        </x:is>
      </x:c>
      <x:c r="AA668" s="5" t="inlineStr">
        <x:is>
          <x:t xml:space="preserve">common</x:t>
        </x:is>
      </x:c>
      <x:c r="AB668" s="5" t="inlineStr">
        <x:is>
          <x:t xml:space="preserve">예</x:t>
        </x:is>
      </x:c>
      <x:c r="AC668" s="8" t="str">
        <x:f>IF(T668&lt;&gt;"","수동확정",IF(X668="검토필요","검토필요",IF(S668="","원본없음","초기완료")))</x:f>
        <x:v>검토필요</x:v>
      </x:c>
      <x:c r="AD668" s="7" t="inlineStr">
        <x:is>
          <x:t xml:space="preserve"/>
        </x:is>
      </x:c>
      <x:c r="AE668" s="5" t="inlineStr">
        <x:is>
          <x:t xml:space="preserve">.tmp/cobblemon-1.7.3-source/common/src/main/resources/data/cobblemon/species/generation6/scatterbug.json</x:t>
        </x:is>
      </x:c>
      <x:c r="AF668" s="5" t="str">
        <x:f>"생활권|"&amp;K668</x:f>
        <x:v>생활권|육상</x:v>
      </x:c>
      <x:c r="AG668" s="5" t="str">
        <x:f>"지형|"&amp;L668</x:f>
        <x:v>지형|개활지</x:v>
      </x:c>
      <x:c r="AH668" s="5" t="str">
        <x:f>"온도|"&amp;M668</x:f>
        <x:v>온도|온대</x:v>
      </x:c>
      <x:c r="AI668" s="5" t="str">
        <x:f>"습도|"&amp;N668</x:f>
        <x:v>습도|보통</x:v>
      </x:c>
      <x:c r="AJ668" s="5" t="str">
        <x:f>"날씨|"&amp;O668</x:f>
        <x:v>날씨|무관</x:v>
      </x:c>
      <x:c r="AK668" s="5" t="str">
        <x:f>"특수태그|"&amp;R668</x:f>
        <x:v>특수태그|없음</x:v>
      </x:c>
      <x:c r="AL668" s="5" t="str">
        <x:f>"원본서식지|"&amp;S668</x:f>
        <x:v>원본서식지|평원</x:v>
      </x:c>
      <x:c r="AM668" s="5" t="str">
        <x:f>"타입|"&amp;F668</x:f>
        <x:v>타입|벌레</x:v>
      </x:c>
      <x:c r="AN668" s="5" t="str">
        <x:f>"타입|"&amp;G668</x:f>
        <x:v>타입|</x:v>
      </x:c>
    </x:row>
    <x:row r="669" ht="24" customHeight="1">
      <x:c r="A669" s="5" t="n">
        <x:v>665</x:v>
      </x:c>
      <x:c r="B669" s="5" t="inlineStr">
        <x:is>
          <x:t xml:space="preserve">분떠도리</x:t>
        </x:is>
      </x:c>
      <x:c r="C669" s="5" t="inlineStr">
        <x:is>
          <x:t xml:space="preserve">spewpa</x:t>
        </x:is>
      </x:c>
      <x:c r="D669" s="5" t="inlineStr">
        <x:is>
          <x:t xml:space="preserve">Spewpa</x:t>
        </x:is>
      </x:c>
      <x:c r="E669" s="5" t="n">
        <x:v>6</x:v>
      </x:c>
      <x:c r="F669" s="5" t="inlineStr">
        <x:is>
          <x:t xml:space="preserve">벌레</x:t>
        </x:is>
      </x:c>
      <x:c r="G669" s="5" t="inlineStr">
        <x:is>
          <x:t xml:space="preserve"/>
        </x:is>
      </x:c>
      <x:c r="H669" s="6" t="n">
        <x:v>8.4</x:v>
      </x:c>
      <x:c r="I669" s="5" t="n">
        <x:v>12</x:v>
      </x:c>
      <x:c r="J669" s="5" t="inlineStr">
        <x:is>
          <x:t xml:space="preserve">중간</x:t>
        </x:is>
      </x:c>
      <x:c r="K669" s="7" t="inlineStr">
        <x:is>
          <x:t xml:space="preserve">육상</x:t>
        </x:is>
      </x:c>
      <x:c r="L669" s="7" t="inlineStr">
        <x:is>
          <x:t xml:space="preserve">개활지</x:t>
        </x:is>
      </x:c>
      <x:c r="M669" s="7" t="inlineStr">
        <x:is>
          <x:t xml:space="preserve">온대</x:t>
        </x:is>
      </x:c>
      <x:c r="N669" s="7" t="inlineStr">
        <x:is>
          <x:t xml:space="preserve">보통</x:t>
        </x:is>
      </x:c>
      <x:c r="O669" s="7" t="inlineStr">
        <x:is>
          <x:t xml:space="preserve">무관</x:t>
        </x:is>
      </x:c>
      <x:c r="P669" s="7" t="inlineStr">
        <x:is>
          <x:t xml:space="preserve">무관</x:t>
        </x:is>
      </x:c>
      <x:c r="Q669" s="7" t="inlineStr">
        <x:is>
          <x:t xml:space="preserve">흔함</x:t>
        </x:is>
      </x:c>
      <x:c r="R669" s="7" t="inlineStr">
        <x:is>
          <x:t xml:space="preserve">없음</x:t>
        </x:is>
      </x:c>
      <x:c r="S669" s="7" t="inlineStr">
        <x:is>
          <x:t xml:space="preserve">평원</x:t>
        </x:is>
      </x:c>
      <x:c r="T669" s="7" t="inlineStr">
        <x:is>
          <x:t xml:space="preserve"/>
        </x:is>
      </x:c>
      <x:c r="U669" s="8" t="str">
        <x:f>INDEX('서식지_점수'!$E$4:$P$4,1,MATCH(MAX('서식지_점수'!E669:P669),'서식지_점수'!E669:P669,0))</x:f>
        <x:v>평원</x:v>
      </x:c>
      <x:c r="V669" s="8" t="str">
        <x:f>IF(T669&lt;&gt;"",T669,U669)</x:f>
        <x:v>평원</x:v>
      </x:c>
      <x:c r="W669" s="8" t="str">
        <x:f>IFERROR(INDEX('서식지_점수'!$E$4:$P$4,1,MATCH(MAXIFS('서식지_점수'!E669:P669,'서식지_점수'!E669:P669,"&lt;"&amp;MAX('서식지_점수'!E669:P669)),'서식지_점수'!E669:P669,0)),"")</x:f>
        <x:v>숲</x:v>
      </x:c>
      <x:c r="X669" s="8" t="str">
        <x:f>IF(T669&lt;&gt;"","수동확정",IF(MAX('서식지_점수'!E669:P669)-LARGE('서식지_점수'!E669:P669,2)&gt;=15,"높음",IF(MAX('서식지_점수'!E669:P669)-LARGE('서식지_점수'!E669:P669,2)&gt;=8,"보통","검토필요")))</x:f>
        <x:v>검토필요</x:v>
      </x:c>
      <x:c r="Y669" s="9" t="n">
        <x:f>IF(Q669="전설",8,IF(Q669="희귀",7,IF(J669="기본",1,IF(J669="중간",3,IF(J669="최종",IF(I669="",5,IF(I669&lt;=20,3,IF(I669&lt;=35,4,IF(I669&lt;=50,6,7)))),IF(Q669="드묾",4,2))))))</x:f>
        <x:v>3</x:v>
      </x:c>
      <x:c r="Z669" s="5" t="inlineStr">
        <x:is>
          <x:t xml:space="preserve">#aether:is_aether; #cobblemon:is_floral; #cobblemon:is_plains; #cobblemon:is_savanna; the_bumblezone:floral_meadow</x:t>
        </x:is>
      </x:c>
      <x:c r="AA669" s="5" t="inlineStr">
        <x:is>
          <x:t xml:space="preserve">common</x:t>
        </x:is>
      </x:c>
      <x:c r="AB669" s="5" t="inlineStr">
        <x:is>
          <x:t xml:space="preserve">예</x:t>
        </x:is>
      </x:c>
      <x:c r="AC669" s="8" t="str">
        <x:f>IF(T669&lt;&gt;"","수동확정",IF(X669="검토필요","검토필요",IF(S669="","원본없음","초기완료")))</x:f>
        <x:v>검토필요</x:v>
      </x:c>
      <x:c r="AD669" s="7" t="inlineStr">
        <x:is>
          <x:t xml:space="preserve"/>
        </x:is>
      </x:c>
      <x:c r="AE669" s="5" t="inlineStr">
        <x:is>
          <x:t xml:space="preserve">.tmp/cobblemon-1.7.3-source/common/src/main/resources/data/cobblemon/species/generation6/spewpa.json</x:t>
        </x:is>
      </x:c>
      <x:c r="AF669" s="5" t="str">
        <x:f>"생활권|"&amp;K669</x:f>
        <x:v>생활권|육상</x:v>
      </x:c>
      <x:c r="AG669" s="5" t="str">
        <x:f>"지형|"&amp;L669</x:f>
        <x:v>지형|개활지</x:v>
      </x:c>
      <x:c r="AH669" s="5" t="str">
        <x:f>"온도|"&amp;M669</x:f>
        <x:v>온도|온대</x:v>
      </x:c>
      <x:c r="AI669" s="5" t="str">
        <x:f>"습도|"&amp;N669</x:f>
        <x:v>습도|보통</x:v>
      </x:c>
      <x:c r="AJ669" s="5" t="str">
        <x:f>"날씨|"&amp;O669</x:f>
        <x:v>날씨|무관</x:v>
      </x:c>
      <x:c r="AK669" s="5" t="str">
        <x:f>"특수태그|"&amp;R669</x:f>
        <x:v>특수태그|없음</x:v>
      </x:c>
      <x:c r="AL669" s="5" t="str">
        <x:f>"원본서식지|"&amp;S669</x:f>
        <x:v>원본서식지|평원</x:v>
      </x:c>
      <x:c r="AM669" s="5" t="str">
        <x:f>"타입|"&amp;F669</x:f>
        <x:v>타입|벌레</x:v>
      </x:c>
      <x:c r="AN669" s="5" t="str">
        <x:f>"타입|"&amp;G669</x:f>
        <x:v>타입|</x:v>
      </x:c>
    </x:row>
    <x:row r="670" ht="24" customHeight="1">
      <x:c r="A670" s="5" t="n">
        <x:v>666</x:v>
      </x:c>
      <x:c r="B670" s="5" t="inlineStr">
        <x:is>
          <x:t xml:space="preserve">비비용</x:t>
        </x:is>
      </x:c>
      <x:c r="C670" s="5" t="inlineStr">
        <x:is>
          <x:t xml:space="preserve">vivillon</x:t>
        </x:is>
      </x:c>
      <x:c r="D670" s="5" t="inlineStr">
        <x:is>
          <x:t xml:space="preserve">Vivillon</x:t>
        </x:is>
      </x:c>
      <x:c r="E670" s="5" t="n">
        <x:v>6</x:v>
      </x:c>
      <x:c r="F670" s="5" t="inlineStr">
        <x:is>
          <x:t xml:space="preserve">벌레</x:t>
        </x:is>
      </x:c>
      <x:c r="G670" s="5" t="inlineStr">
        <x:is>
          <x:t xml:space="preserve">비행</x:t>
        </x:is>
      </x:c>
      <x:c r="H670" s="6" t="n">
        <x:v>17</x:v>
      </x:c>
      <x:c r="I670" s="5" t="n">
        <x:v>12</x:v>
      </x:c>
      <x:c r="J670" s="5" t="inlineStr">
        <x:is>
          <x:t xml:space="preserve">최종</x:t>
        </x:is>
      </x:c>
      <x:c r="K670" s="7" t="inlineStr">
        <x:is>
          <x:t xml:space="preserve">해양</x:t>
        </x:is>
      </x:c>
      <x:c r="L670" s="7" t="inlineStr">
        <x:is>
          <x:t xml:space="preserve">해안·해양</x:t>
        </x:is>
      </x:c>
      <x:c r="M670" s="7" t="inlineStr">
        <x:is>
          <x:t xml:space="preserve">서늘</x:t>
        </x:is>
      </x:c>
      <x:c r="N670" s="7" t="inlineStr">
        <x:is>
          <x:t xml:space="preserve">수중</x:t>
        </x:is>
      </x:c>
      <x:c r="O670" s="7" t="inlineStr">
        <x:is>
          <x:t xml:space="preserve">비</x:t>
        </x:is>
      </x:c>
      <x:c r="P670" s="7" t="inlineStr">
        <x:is>
          <x:t xml:space="preserve">낮</x:t>
        </x:is>
      </x:c>
      <x:c r="Q670" s="7" t="inlineStr">
        <x:is>
          <x:t xml:space="preserve">흔함</x:t>
        </x:is>
      </x:c>
      <x:c r="R670" s="7" t="inlineStr">
        <x:is>
          <x:t xml:space="preserve">영체</x:t>
        </x:is>
      </x:c>
      <x:c r="S670" s="7" t="inlineStr">
        <x:is>
          <x:t xml:space="preserve">해양</x:t>
        </x:is>
      </x:c>
      <x:c r="T670" s="7" t="inlineStr">
        <x:is>
          <x:t xml:space="preserve"/>
        </x:is>
      </x:c>
      <x:c r="U670" s="8" t="str">
        <x:f>INDEX('서식지_점수'!$E$4:$P$4,1,MATCH(MAX('서식지_점수'!E670:P670),'서식지_점수'!E670:P670,0))</x:f>
        <x:v>해양</x:v>
      </x:c>
      <x:c r="V670" s="8" t="str">
        <x:f>IF(T670&lt;&gt;"",T670,U670)</x:f>
        <x:v>해양</x:v>
      </x:c>
      <x:c r="W670" s="8" t="str">
        <x:f>IFERROR(INDEX('서식지_점수'!$E$4:$P$4,1,MATCH(MAXIFS('서식지_점수'!E670:P670,'서식지_점수'!E670:P670,"&lt;"&amp;MAX('서식지_점수'!E670:P670)),'서식지_점수'!E670:P670,0)),"")</x:f>
        <x:v>습지</x:v>
      </x:c>
      <x:c r="X670" s="8" t="str">
        <x:f>IF(T670&lt;&gt;"","수동확정",IF(MAX('서식지_점수'!E670:P670)-LARGE('서식지_점수'!E670:P670,2)&gt;=15,"높음",IF(MAX('서식지_점수'!E670:P670)-LARGE('서식지_점수'!E670:P670,2)&gt;=8,"보통","검토필요")))</x:f>
        <x:v>높음</x:v>
      </x:c>
      <x:c r="Y670" s="9" t="n">
        <x:f>IF(Q670="전설",8,IF(Q670="희귀",7,IF(J670="기본",1,IF(J670="중간",3,IF(J670="최종",IF(I670="",5,IF(I670&lt;=20,3,IF(I670&lt;=35,4,IF(I670&lt;=50,6,7)))),IF(Q670="드묾",4,2))))))</x:f>
        <x:v>3</x:v>
      </x:c>
      <x:c r="Z670" s="5" t="inlineStr">
        <x:is>
          <x:t xml:space="preserve">#aether:is_aether; #cobblemon:is_badlands; #cobblemon:is_cherry_blossom; #cobblemon:is_coast; #cobblemon:is_desert; #cobblemon:is_floral; #cobblemon:is_forest; #cobblemon:is_freshwater; #cobblemon:is_frozen_ocean; #cobblemon:is_glacial; #cobblemon:is_jungle; #cobblemon:is_magical; #cobblemon:is_mountain; #cobblemon:is_mushroom; #cobblemon:is_ocean; #cobblemon:is_overworld; #cobblemon:is_plains; #cobblemon:is_savanna; #cobblemon:is_sky; #cobblemon:is_snowy_forest; #cobblemon:is_spooky; #cobblemon:is_taiga; #cobblemon:is_tropical_island; #cobblemon:is_tundra; #cobblemon:is_warm_ocean; minecraft:sunflower_plains; the_bumblezone:floral_meadow</x:t>
        </x:is>
      </x:c>
      <x:c r="AA670" s="5" t="inlineStr">
        <x:is>
          <x:t xml:space="preserve">common</x:t>
        </x:is>
      </x:c>
      <x:c r="AB670" s="5" t="inlineStr">
        <x:is>
          <x:t xml:space="preserve">예</x:t>
        </x:is>
      </x:c>
      <x:c r="AC670" s="8" t="str">
        <x:f>IF(T670&lt;&gt;"","수동확정",IF(X670="검토필요","검토필요",IF(S670="","원본없음","초기완료")))</x:f>
        <x:v>초기완료</x:v>
      </x:c>
      <x:c r="AD670" s="7" t="inlineStr">
        <x:is>
          <x:t xml:space="preserve"/>
        </x:is>
      </x:c>
      <x:c r="AE670" s="5" t="inlineStr">
        <x:is>
          <x:t xml:space="preserve">.tmp/cobblemon-1.7.3-source/common/src/main/resources/data/cobblemon/species/generation6/vivillon.json</x:t>
        </x:is>
      </x:c>
      <x:c r="AF670" s="5" t="str">
        <x:f>"생활권|"&amp;K670</x:f>
        <x:v>생활권|해양</x:v>
      </x:c>
      <x:c r="AG670" s="5" t="str">
        <x:f>"지형|"&amp;L670</x:f>
        <x:v>지형|해안·해양</x:v>
      </x:c>
      <x:c r="AH670" s="5" t="str">
        <x:f>"온도|"&amp;M670</x:f>
        <x:v>온도|서늘</x:v>
      </x:c>
      <x:c r="AI670" s="5" t="str">
        <x:f>"습도|"&amp;N670</x:f>
        <x:v>습도|수중</x:v>
      </x:c>
      <x:c r="AJ670" s="5" t="str">
        <x:f>"날씨|"&amp;O670</x:f>
        <x:v>날씨|비</x:v>
      </x:c>
      <x:c r="AK670" s="5" t="str">
        <x:f>"특수태그|"&amp;R670</x:f>
        <x:v>특수태그|영체</x:v>
      </x:c>
      <x:c r="AL670" s="5" t="str">
        <x:f>"원본서식지|"&amp;S670</x:f>
        <x:v>원본서식지|해양</x:v>
      </x:c>
      <x:c r="AM670" s="5" t="str">
        <x:f>"타입|"&amp;F670</x:f>
        <x:v>타입|벌레</x:v>
      </x:c>
      <x:c r="AN670" s="5" t="str">
        <x:f>"타입|"&amp;G670</x:f>
        <x:v>타입|비행</x:v>
      </x:c>
    </x:row>
    <x:row r="671" ht="24" customHeight="1">
      <x:c r="A671" s="5" t="n">
        <x:v>667</x:v>
      </x:c>
      <x:c r="B671" s="5" t="inlineStr">
        <x:is>
          <x:t xml:space="preserve">레오꼬</x:t>
        </x:is>
      </x:c>
      <x:c r="C671" s="5" t="inlineStr">
        <x:is>
          <x:t xml:space="preserve">litleo</x:t>
        </x:is>
      </x:c>
      <x:c r="D671" s="5" t="inlineStr">
        <x:is>
          <x:t xml:space="preserve">Litleo</x:t>
        </x:is>
      </x:c>
      <x:c r="E671" s="5" t="n">
        <x:v>6</x:v>
      </x:c>
      <x:c r="F671" s="5" t="inlineStr">
        <x:is>
          <x:t xml:space="preserve">불꽃</x:t>
        </x:is>
      </x:c>
      <x:c r="G671" s="5" t="inlineStr">
        <x:is>
          <x:t xml:space="preserve">노말</x:t>
        </x:is>
      </x:c>
      <x:c r="H671" s="6" t="n">
        <x:v>13.5</x:v>
      </x:c>
      <x:c r="I671" s="5" t="n">
        <x:v>35</x:v>
      </x:c>
      <x:c r="J671" s="5" t="inlineStr">
        <x:is>
          <x:t xml:space="preserve">기본</x:t>
        </x:is>
      </x:c>
      <x:c r="K671" s="7" t="inlineStr">
        <x:is>
          <x:t xml:space="preserve">육상</x:t>
        </x:is>
      </x:c>
      <x:c r="L671" s="7" t="inlineStr">
        <x:is>
          <x:t xml:space="preserve">건조</x:t>
        </x:is>
      </x:c>
      <x:c r="M671" s="7" t="inlineStr">
        <x:is>
          <x:t xml:space="preserve">고온</x:t>
        </x:is>
      </x:c>
      <x:c r="N671" s="7" t="inlineStr">
        <x:is>
          <x:t xml:space="preserve">다습</x:t>
        </x:is>
      </x:c>
      <x:c r="O671" s="7" t="inlineStr">
        <x:is>
          <x:t xml:space="preserve">맑음</x:t>
        </x:is>
      </x:c>
      <x:c r="P671" s="7" t="inlineStr">
        <x:is>
          <x:t xml:space="preserve">무관</x:t>
        </x:is>
      </x:c>
      <x:c r="Q671" s="7" t="inlineStr">
        <x:is>
          <x:t xml:space="preserve">흔함</x:t>
        </x:is>
      </x:c>
      <x:c r="R671" s="7" t="inlineStr">
        <x:is>
          <x:t xml:space="preserve">없음</x:t>
        </x:is>
      </x:c>
      <x:c r="S671" s="7" t="inlineStr">
        <x:is>
          <x:t xml:space="preserve">건조지</x:t>
        </x:is>
      </x:c>
      <x:c r="T671" s="7" t="inlineStr">
        <x:is>
          <x:t xml:space="preserve"/>
        </x:is>
      </x:c>
      <x:c r="U671" s="8" t="str">
        <x:f>INDEX('서식지_점수'!$E$4:$P$4,1,MATCH(MAX('서식지_점수'!E671:P671),'서식지_점수'!E671:P671,0))</x:f>
        <x:v>평원</x:v>
      </x:c>
      <x:c r="V671" s="8" t="str">
        <x:f>IF(T671&lt;&gt;"",T671,U671)</x:f>
        <x:v>평원</x:v>
      </x:c>
      <x:c r="W671" s="8" t="str">
        <x:f>IFERROR(INDEX('서식지_점수'!$E$4:$P$4,1,MATCH(MAXIFS('서식지_점수'!E671:P671,'서식지_점수'!E671:P671,"&lt;"&amp;MAX('서식지_점수'!E671:P671)),'서식지_점수'!E671:P671,0)),"")</x:f>
        <x:v>숲</x:v>
      </x:c>
      <x:c r="X671" s="8" t="str">
        <x:f>IF(T671&lt;&gt;"","수동확정",IF(MAX('서식지_점수'!E671:P671)-LARGE('서식지_점수'!E671:P671,2)&gt;=15,"높음",IF(MAX('서식지_점수'!E671:P671)-LARGE('서식지_점수'!E671:P671,2)&gt;=8,"보통","검토필요")))</x:f>
        <x:v>검토필요</x:v>
      </x:c>
      <x:c r="Y671" s="9" t="n">
        <x:f>IF(Q671="전설",8,IF(Q671="희귀",7,IF(J671="기본",1,IF(J671="중간",3,IF(J671="최종",IF(I671="",5,IF(I671&lt;=20,3,IF(I671&lt;=35,4,IF(I671&lt;=50,6,7)))),IF(Q671="드묾",4,2))))))</x:f>
        <x:v>1</x:v>
      </x:c>
      <x:c r="Z671" s="5" t="inlineStr">
        <x:is>
          <x:t xml:space="preserve">#cobblemon:is_badlands; #cobblemon:is_jungle; #cobblemon:is_savanna</x:t>
        </x:is>
      </x:c>
      <x:c r="AA671" s="5" t="inlineStr">
        <x:is>
          <x:t xml:space="preserve">common</x:t>
        </x:is>
      </x:c>
      <x:c r="AB671" s="5" t="inlineStr">
        <x:is>
          <x:t xml:space="preserve">예</x:t>
        </x:is>
      </x:c>
      <x:c r="AC671" s="8" t="str">
        <x:f>IF(T671&lt;&gt;"","수동확정",IF(X671="검토필요","검토필요",IF(S671="","원본없음","초기완료")))</x:f>
        <x:v>검토필요</x:v>
      </x:c>
      <x:c r="AD671" s="7" t="inlineStr">
        <x:is>
          <x:t xml:space="preserve"/>
        </x:is>
      </x:c>
      <x:c r="AE671" s="5" t="inlineStr">
        <x:is>
          <x:t xml:space="preserve">.tmp/cobblemon-1.7.3-source/common/src/main/resources/data/cobblemon/species/generation6/litleo.json</x:t>
        </x:is>
      </x:c>
      <x:c r="AF671" s="5" t="str">
        <x:f>"생활권|"&amp;K671</x:f>
        <x:v>생활권|육상</x:v>
      </x:c>
      <x:c r="AG671" s="5" t="str">
        <x:f>"지형|"&amp;L671</x:f>
        <x:v>지형|건조</x:v>
      </x:c>
      <x:c r="AH671" s="5" t="str">
        <x:f>"온도|"&amp;M671</x:f>
        <x:v>온도|고온</x:v>
      </x:c>
      <x:c r="AI671" s="5" t="str">
        <x:f>"습도|"&amp;N671</x:f>
        <x:v>습도|다습</x:v>
      </x:c>
      <x:c r="AJ671" s="5" t="str">
        <x:f>"날씨|"&amp;O671</x:f>
        <x:v>날씨|맑음</x:v>
      </x:c>
      <x:c r="AK671" s="5" t="str">
        <x:f>"특수태그|"&amp;R671</x:f>
        <x:v>특수태그|없음</x:v>
      </x:c>
      <x:c r="AL671" s="5" t="str">
        <x:f>"원본서식지|"&amp;S671</x:f>
        <x:v>원본서식지|건조지</x:v>
      </x:c>
      <x:c r="AM671" s="5" t="str">
        <x:f>"타입|"&amp;F671</x:f>
        <x:v>타입|불꽃</x:v>
      </x:c>
      <x:c r="AN671" s="5" t="str">
        <x:f>"타입|"&amp;G671</x:f>
        <x:v>타입|노말</x:v>
      </x:c>
    </x:row>
    <x:row r="672" ht="24" customHeight="1">
      <x:c r="A672" s="5" t="n">
        <x:v>668</x:v>
      </x:c>
      <x:c r="B672" s="5" t="inlineStr">
        <x:is>
          <x:t xml:space="preserve">화염레오</x:t>
        </x:is>
      </x:c>
      <x:c r="C672" s="5" t="inlineStr">
        <x:is>
          <x:t xml:space="preserve">pyroar</x:t>
        </x:is>
      </x:c>
      <x:c r="D672" s="5" t="inlineStr">
        <x:is>
          <x:t xml:space="preserve">Pyroar</x:t>
        </x:is>
      </x:c>
      <x:c r="E672" s="5" t="n">
        <x:v>6</x:v>
      </x:c>
      <x:c r="F672" s="5" t="inlineStr">
        <x:is>
          <x:t xml:space="preserve">불꽃</x:t>
        </x:is>
      </x:c>
      <x:c r="G672" s="5" t="inlineStr">
        <x:is>
          <x:t xml:space="preserve">노말</x:t>
        </x:is>
      </x:c>
      <x:c r="H672" s="6" t="n">
        <x:v>81.5</x:v>
      </x:c>
      <x:c r="I672" s="5" t="n">
        <x:v>35</x:v>
      </x:c>
      <x:c r="J672" s="5" t="inlineStr">
        <x:is>
          <x:t xml:space="preserve">최종</x:t>
        </x:is>
      </x:c>
      <x:c r="K672" s="7" t="inlineStr">
        <x:is>
          <x:t xml:space="preserve">육상</x:t>
        </x:is>
      </x:c>
      <x:c r="L672" s="7" t="inlineStr">
        <x:is>
          <x:t xml:space="preserve">건조</x:t>
        </x:is>
      </x:c>
      <x:c r="M672" s="7" t="inlineStr">
        <x:is>
          <x:t xml:space="preserve">고온</x:t>
        </x:is>
      </x:c>
      <x:c r="N672" s="7" t="inlineStr">
        <x:is>
          <x:t xml:space="preserve">다습</x:t>
        </x:is>
      </x:c>
      <x:c r="O672" s="7" t="inlineStr">
        <x:is>
          <x:t xml:space="preserve">맑음</x:t>
        </x:is>
      </x:c>
      <x:c r="P672" s="7" t="inlineStr">
        <x:is>
          <x:t xml:space="preserve">무관</x:t>
        </x:is>
      </x:c>
      <x:c r="Q672" s="7" t="inlineStr">
        <x:is>
          <x:t xml:space="preserve">보통</x:t>
        </x:is>
      </x:c>
      <x:c r="R672" s="7" t="inlineStr">
        <x:is>
          <x:t xml:space="preserve">없음</x:t>
        </x:is>
      </x:c>
      <x:c r="S672" s="7" t="inlineStr">
        <x:is>
          <x:t xml:space="preserve">건조지</x:t>
        </x:is>
      </x:c>
      <x:c r="T672" s="7" t="inlineStr">
        <x:is>
          <x:t xml:space="preserve"/>
        </x:is>
      </x:c>
      <x:c r="U672" s="8" t="str">
        <x:f>INDEX('서식지_점수'!$E$4:$P$4,1,MATCH(MAX('서식지_점수'!E672:P672),'서식지_점수'!E672:P672,0))</x:f>
        <x:v>평원</x:v>
      </x:c>
      <x:c r="V672" s="8" t="str">
        <x:f>IF(T672&lt;&gt;"",T672,U672)</x:f>
        <x:v>평원</x:v>
      </x:c>
      <x:c r="W672" s="8" t="str">
        <x:f>IFERROR(INDEX('서식지_점수'!$E$4:$P$4,1,MATCH(MAXIFS('서식지_점수'!E672:P672,'서식지_점수'!E672:P672,"&lt;"&amp;MAX('서식지_점수'!E672:P672)),'서식지_점수'!E672:P672,0)),"")</x:f>
        <x:v>숲</x:v>
      </x:c>
      <x:c r="X672" s="8" t="str">
        <x:f>IF(T672&lt;&gt;"","수동확정",IF(MAX('서식지_점수'!E672:P672)-LARGE('서식지_점수'!E672:P672,2)&gt;=15,"높음",IF(MAX('서식지_점수'!E672:P672)-LARGE('서식지_점수'!E672:P672,2)&gt;=8,"보통","검토필요")))</x:f>
        <x:v>검토필요</x:v>
      </x:c>
      <x:c r="Y672" s="9" t="n">
        <x:f>IF(Q672="전설",8,IF(Q672="희귀",7,IF(J672="기본",1,IF(J672="중간",3,IF(J672="최종",IF(I672="",5,IF(I672&lt;=20,3,IF(I672&lt;=35,4,IF(I672&lt;=50,6,7)))),IF(Q672="드묾",4,2))))))</x:f>
        <x:v>4</x:v>
      </x:c>
      <x:c r="Z672" s="5" t="inlineStr">
        <x:is>
          <x:t xml:space="preserve">#cobblemon:is_badlands; #cobblemon:is_jungle; #cobblemon:is_savanna</x:t>
        </x:is>
      </x:c>
      <x:c r="AA672" s="5" t="inlineStr">
        <x:is>
          <x:t xml:space="preserve">uncommon</x:t>
        </x:is>
      </x:c>
      <x:c r="AB672" s="5" t="inlineStr">
        <x:is>
          <x:t xml:space="preserve">예</x:t>
        </x:is>
      </x:c>
      <x:c r="AC672" s="8" t="str">
        <x:f>IF(T672&lt;&gt;"","수동확정",IF(X672="검토필요","검토필요",IF(S672="","원본없음","초기완료")))</x:f>
        <x:v>검토필요</x:v>
      </x:c>
      <x:c r="AD672" s="7" t="inlineStr">
        <x:is>
          <x:t xml:space="preserve"/>
        </x:is>
      </x:c>
      <x:c r="AE672" s="5" t="inlineStr">
        <x:is>
          <x:t xml:space="preserve">.tmp/cobblemon-1.7.3-source/common/src/main/resources/data/cobblemon/species/generation6/pyroar.json</x:t>
        </x:is>
      </x:c>
      <x:c r="AF672" s="5" t="str">
        <x:f>"생활권|"&amp;K672</x:f>
        <x:v>생활권|육상</x:v>
      </x:c>
      <x:c r="AG672" s="5" t="str">
        <x:f>"지형|"&amp;L672</x:f>
        <x:v>지형|건조</x:v>
      </x:c>
      <x:c r="AH672" s="5" t="str">
        <x:f>"온도|"&amp;M672</x:f>
        <x:v>온도|고온</x:v>
      </x:c>
      <x:c r="AI672" s="5" t="str">
        <x:f>"습도|"&amp;N672</x:f>
        <x:v>습도|다습</x:v>
      </x:c>
      <x:c r="AJ672" s="5" t="str">
        <x:f>"날씨|"&amp;O672</x:f>
        <x:v>날씨|맑음</x:v>
      </x:c>
      <x:c r="AK672" s="5" t="str">
        <x:f>"특수태그|"&amp;R672</x:f>
        <x:v>특수태그|없음</x:v>
      </x:c>
      <x:c r="AL672" s="5" t="str">
        <x:f>"원본서식지|"&amp;S672</x:f>
        <x:v>원본서식지|건조지</x:v>
      </x:c>
      <x:c r="AM672" s="5" t="str">
        <x:f>"타입|"&amp;F672</x:f>
        <x:v>타입|불꽃</x:v>
      </x:c>
      <x:c r="AN672" s="5" t="str">
        <x:f>"타입|"&amp;G672</x:f>
        <x:v>타입|노말</x:v>
      </x:c>
    </x:row>
    <x:row r="673" ht="24" customHeight="1">
      <x:c r="A673" s="5" t="n">
        <x:v>669</x:v>
      </x:c>
      <x:c r="B673" s="5" t="inlineStr">
        <x:is>
          <x:t xml:space="preserve">플라베베</x:t>
        </x:is>
      </x:c>
      <x:c r="C673" s="5" t="inlineStr">
        <x:is>
          <x:t xml:space="preserve">flabebe</x:t>
        </x:is>
      </x:c>
      <x:c r="D673" s="5" t="inlineStr">
        <x:is>
          <x:t xml:space="preserve">Flabébé</x:t>
        </x:is>
      </x:c>
      <x:c r="E673" s="5" t="n">
        <x:v>6</x:v>
      </x:c>
      <x:c r="F673" s="5" t="inlineStr">
        <x:is>
          <x:t xml:space="preserve">페어리</x:t>
        </x:is>
      </x:c>
      <x:c r="G673" s="5" t="inlineStr">
        <x:is>
          <x:t xml:space="preserve"/>
        </x:is>
      </x:c>
      <x:c r="H673" s="6" t="n">
        <x:v>0.1</x:v>
      </x:c>
      <x:c r="I673" s="5" t="n">
        <x:v>19</x:v>
      </x:c>
      <x:c r="J673" s="5" t="inlineStr">
        <x:is>
          <x:t xml:space="preserve">기본</x:t>
        </x:is>
      </x:c>
      <x:c r="K673" s="7" t="inlineStr">
        <x:is>
          <x:t xml:space="preserve">비행</x:t>
        </x:is>
      </x:c>
      <x:c r="L673" s="7" t="inlineStr">
        <x:is>
          <x:t xml:space="preserve">개활지</x:t>
        </x:is>
      </x:c>
      <x:c r="M673" s="7" t="inlineStr">
        <x:is>
          <x:t xml:space="preserve">온대</x:t>
        </x:is>
      </x:c>
      <x:c r="N673" s="7" t="inlineStr">
        <x:is>
          <x:t xml:space="preserve">보통</x:t>
        </x:is>
      </x:c>
      <x:c r="O673" s="7" t="inlineStr">
        <x:is>
          <x:t xml:space="preserve">무관</x:t>
        </x:is>
      </x:c>
      <x:c r="P673" s="7" t="inlineStr">
        <x:is>
          <x:t xml:space="preserve">무관</x:t>
        </x:is>
      </x:c>
      <x:c r="Q673" s="7" t="inlineStr">
        <x:is>
          <x:t xml:space="preserve">흔함</x:t>
        </x:is>
      </x:c>
      <x:c r="R673" s="7" t="inlineStr">
        <x:is>
          <x:t xml:space="preserve">없음</x:t>
        </x:is>
      </x:c>
      <x:c r="S673" s="7" t="inlineStr">
        <x:is>
          <x:t xml:space="preserve">평원</x:t>
        </x:is>
      </x:c>
      <x:c r="T673" s="7" t="inlineStr">
        <x:is>
          <x:t xml:space="preserve"/>
        </x:is>
      </x:c>
      <x:c r="U673" s="8" t="str">
        <x:f>INDEX('서식지_점수'!$E$4:$P$4,1,MATCH(MAX('서식지_점수'!E673:P673),'서식지_점수'!E673:P673,0))</x:f>
        <x:v>산악</x:v>
      </x:c>
      <x:c r="V673" s="8" t="str">
        <x:f>IF(T673&lt;&gt;"",T673,U673)</x:f>
        <x:v>산악</x:v>
      </x:c>
      <x:c r="W673" s="8" t="str">
        <x:f>IFERROR(INDEX('서식지_점수'!$E$4:$P$4,1,MATCH(MAXIFS('서식지_점수'!E673:P673,'서식지_점수'!E673:P673,"&lt;"&amp;MAX('서식지_점수'!E673:P673)),'서식지_점수'!E673:P673,0)),"")</x:f>
        <x:v>평원</x:v>
      </x:c>
      <x:c r="X673" s="8" t="str">
        <x:f>IF(T673&lt;&gt;"","수동확정",IF(MAX('서식지_점수'!E673:P673)-LARGE('서식지_점수'!E673:P673,2)&gt;=15,"높음",IF(MAX('서식지_점수'!E673:P673)-LARGE('서식지_점수'!E673:P673,2)&gt;=8,"보통","검토필요")))</x:f>
        <x:v>검토필요</x:v>
      </x:c>
      <x:c r="Y673" s="9" t="n">
        <x:f>IF(Q673="전설",8,IF(Q673="희귀",7,IF(J673="기본",1,IF(J673="중간",3,IF(J673="최종",IF(I673="",5,IF(I673&lt;=20,3,IF(I673&lt;=35,4,IF(I673&lt;=50,6,7)))),IF(Q673="드묾",4,2))))))</x:f>
        <x:v>1</x:v>
      </x:c>
      <x:c r="Z673" s="5" t="inlineStr">
        <x:is>
          <x:t xml:space="preserve">#aether:is_aether; #cobblemon:is_overworld; the_bumblezone:floral_meadow</x:t>
        </x:is>
      </x:c>
      <x:c r="AA673" s="5" t="inlineStr">
        <x:is>
          <x:t xml:space="preserve">common</x:t>
        </x:is>
      </x:c>
      <x:c r="AB673" s="5" t="inlineStr">
        <x:is>
          <x:t xml:space="preserve">예</x:t>
        </x:is>
      </x:c>
      <x:c r="AC673" s="8" t="str">
        <x:f>IF(T673&lt;&gt;"","수동확정",IF(X673="검토필요","검토필요",IF(S673="","원본없음","초기완료")))</x:f>
        <x:v>검토필요</x:v>
      </x:c>
      <x:c r="AD673" s="7" t="inlineStr">
        <x:is>
          <x:t xml:space="preserve"/>
        </x:is>
      </x:c>
      <x:c r="AE673" s="5" t="inlineStr">
        <x:is>
          <x:t xml:space="preserve">.tmp/cobblemon-1.7.3-source/common/src/main/resources/data/cobblemon/species/generation6/flabebe.json</x:t>
        </x:is>
      </x:c>
      <x:c r="AF673" s="5" t="str">
        <x:f>"생활권|"&amp;K673</x:f>
        <x:v>생활권|비행</x:v>
      </x:c>
      <x:c r="AG673" s="5" t="str">
        <x:f>"지형|"&amp;L673</x:f>
        <x:v>지형|개활지</x:v>
      </x:c>
      <x:c r="AH673" s="5" t="str">
        <x:f>"온도|"&amp;M673</x:f>
        <x:v>온도|온대</x:v>
      </x:c>
      <x:c r="AI673" s="5" t="str">
        <x:f>"습도|"&amp;N673</x:f>
        <x:v>습도|보통</x:v>
      </x:c>
      <x:c r="AJ673" s="5" t="str">
        <x:f>"날씨|"&amp;O673</x:f>
        <x:v>날씨|무관</x:v>
      </x:c>
      <x:c r="AK673" s="5" t="str">
        <x:f>"특수태그|"&amp;R673</x:f>
        <x:v>특수태그|없음</x:v>
      </x:c>
      <x:c r="AL673" s="5" t="str">
        <x:f>"원본서식지|"&amp;S673</x:f>
        <x:v>원본서식지|평원</x:v>
      </x:c>
      <x:c r="AM673" s="5" t="str">
        <x:f>"타입|"&amp;F673</x:f>
        <x:v>타입|페어리</x:v>
      </x:c>
      <x:c r="AN673" s="5" t="str">
        <x:f>"타입|"&amp;G673</x:f>
        <x:v>타입|</x:v>
      </x:c>
    </x:row>
    <x:row r="674" ht="24" customHeight="1">
      <x:c r="A674" s="5" t="n">
        <x:v>670</x:v>
      </x:c>
      <x:c r="B674" s="5" t="inlineStr">
        <x:is>
          <x:t xml:space="preserve">플라엣테</x:t>
        </x:is>
      </x:c>
      <x:c r="C674" s="5" t="inlineStr">
        <x:is>
          <x:t xml:space="preserve">floette</x:t>
        </x:is>
      </x:c>
      <x:c r="D674" s="5" t="inlineStr">
        <x:is>
          <x:t xml:space="preserve">Floette</x:t>
        </x:is>
      </x:c>
      <x:c r="E674" s="5" t="n">
        <x:v>6</x:v>
      </x:c>
      <x:c r="F674" s="5" t="inlineStr">
        <x:is>
          <x:t xml:space="preserve">페어리</x:t>
        </x:is>
      </x:c>
      <x:c r="G674" s="5" t="inlineStr">
        <x:is>
          <x:t xml:space="preserve"/>
        </x:is>
      </x:c>
      <x:c r="H674" s="6" t="n">
        <x:v>0.9</x:v>
      </x:c>
      <x:c r="I674" s="5" t="n">
        <x:v>19</x:v>
      </x:c>
      <x:c r="J674" s="5" t="inlineStr">
        <x:is>
          <x:t xml:space="preserve">중간</x:t>
        </x:is>
      </x:c>
      <x:c r="K674" s="7" t="inlineStr">
        <x:is>
          <x:t xml:space="preserve">비행</x:t>
        </x:is>
      </x:c>
      <x:c r="L674" s="7" t="inlineStr">
        <x:is>
          <x:t xml:space="preserve">개활지</x:t>
        </x:is>
      </x:c>
      <x:c r="M674" s="7" t="inlineStr">
        <x:is>
          <x:t xml:space="preserve">온대</x:t>
        </x:is>
      </x:c>
      <x:c r="N674" s="7" t="inlineStr">
        <x:is>
          <x:t xml:space="preserve">보통</x:t>
        </x:is>
      </x:c>
      <x:c r="O674" s="7" t="inlineStr">
        <x:is>
          <x:t xml:space="preserve">무관</x:t>
        </x:is>
      </x:c>
      <x:c r="P674" s="7" t="inlineStr">
        <x:is>
          <x:t xml:space="preserve">밤</x:t>
        </x:is>
      </x:c>
      <x:c r="Q674" s="7" t="inlineStr">
        <x:is>
          <x:t xml:space="preserve">흔함</x:t>
        </x:is>
      </x:c>
      <x:c r="R674" s="7" t="inlineStr">
        <x:is>
          <x:t xml:space="preserve">없음</x:t>
        </x:is>
      </x:c>
      <x:c r="S674" s="7" t="inlineStr">
        <x:is>
          <x:t xml:space="preserve"/>
        </x:is>
      </x:c>
      <x:c r="T674" s="7" t="inlineStr">
        <x:is>
          <x:t xml:space="preserve"/>
        </x:is>
      </x:c>
      <x:c r="U674" s="8" t="str">
        <x:f>INDEX('서식지_점수'!$E$4:$P$4,1,MATCH(MAX('서식지_점수'!E674:P674),'서식지_점수'!E674:P674,0))</x:f>
        <x:v>산악</x:v>
      </x:c>
      <x:c r="V674" s="8" t="str">
        <x:f>IF(T674&lt;&gt;"",T674,U674)</x:f>
        <x:v>산악</x:v>
      </x:c>
      <x:c r="W674" s="8" t="str">
        <x:f>IFERROR(INDEX('서식지_점수'!$E$4:$P$4,1,MATCH(MAXIFS('서식지_점수'!E674:P674,'서식지_점수'!E674:P674,"&lt;"&amp;MAX('서식지_점수'!E674:P674)),'서식지_점수'!E674:P674,0)),"")</x:f>
        <x:v>평원</x:v>
      </x:c>
      <x:c r="X674" s="8" t="str">
        <x:f>IF(T674&lt;&gt;"","수동확정",IF(MAX('서식지_점수'!E674:P674)-LARGE('서식지_점수'!E674:P674,2)&gt;=15,"높음",IF(MAX('서식지_점수'!E674:P674)-LARGE('서식지_점수'!E674:P674,2)&gt;=8,"보통","검토필요")))</x:f>
        <x:v>검토필요</x:v>
      </x:c>
      <x:c r="Y674" s="9" t="n">
        <x:f>IF(Q674="전설",8,IF(Q674="희귀",7,IF(J674="기본",1,IF(J674="중간",3,IF(J674="최종",IF(I674="",5,IF(I674&lt;=20,3,IF(I674&lt;=35,4,IF(I674&lt;=50,6,7)))),IF(Q674="드묾",4,2))))))</x:f>
        <x:v>3</x:v>
      </x:c>
      <x:c r="Z674" s="5" t="inlineStr">
        <x:is>
          <x:t xml:space="preserve">#aether:is_aether; #cobblemon:is_overworld</x:t>
        </x:is>
      </x:c>
      <x:c r="AA674" s="5" t="inlineStr">
        <x:is>
          <x:t xml:space="preserve">common; ultra-rare</x:t>
        </x:is>
      </x:c>
      <x:c r="AB674" s="5" t="inlineStr">
        <x:is>
          <x:t xml:space="preserve">예</x:t>
        </x:is>
      </x:c>
      <x:c r="AC674" s="8" t="str">
        <x:f>IF(T674&lt;&gt;"","수동확정",IF(X674="검토필요","검토필요",IF(S674="","원본없음","초기완료")))</x:f>
        <x:v>검토필요</x:v>
      </x:c>
      <x:c r="AD674" s="7" t="inlineStr">
        <x:is>
          <x:t xml:space="preserve"/>
        </x:is>
      </x:c>
      <x:c r="AE674" s="5" t="inlineStr">
        <x:is>
          <x:t xml:space="preserve">.tmp/cobblemon-1.7.3-source/common/src/main/resources/data/cobblemon/species/generation6/floette.json</x:t>
        </x:is>
      </x:c>
      <x:c r="AF674" s="5" t="str">
        <x:f>"생활권|"&amp;K674</x:f>
        <x:v>생활권|비행</x:v>
      </x:c>
      <x:c r="AG674" s="5" t="str">
        <x:f>"지형|"&amp;L674</x:f>
        <x:v>지형|개활지</x:v>
      </x:c>
      <x:c r="AH674" s="5" t="str">
        <x:f>"온도|"&amp;M674</x:f>
        <x:v>온도|온대</x:v>
      </x:c>
      <x:c r="AI674" s="5" t="str">
        <x:f>"습도|"&amp;N674</x:f>
        <x:v>습도|보통</x:v>
      </x:c>
      <x:c r="AJ674" s="5" t="str">
        <x:f>"날씨|"&amp;O674</x:f>
        <x:v>날씨|무관</x:v>
      </x:c>
      <x:c r="AK674" s="5" t="str">
        <x:f>"특수태그|"&amp;R674</x:f>
        <x:v>특수태그|없음</x:v>
      </x:c>
      <x:c r="AL674" s="5" t="str">
        <x:f>"원본서식지|"&amp;S674</x:f>
        <x:v>원본서식지|</x:v>
      </x:c>
      <x:c r="AM674" s="5" t="str">
        <x:f>"타입|"&amp;F674</x:f>
        <x:v>타입|페어리</x:v>
      </x:c>
      <x:c r="AN674" s="5" t="str">
        <x:f>"타입|"&amp;G674</x:f>
        <x:v>타입|</x:v>
      </x:c>
    </x:row>
    <x:row r="675" ht="24" customHeight="1">
      <x:c r="A675" s="5" t="n">
        <x:v>671</x:v>
      </x:c>
      <x:c r="B675" s="5" t="inlineStr">
        <x:is>
          <x:t xml:space="preserve">플라제스</x:t>
        </x:is>
      </x:c>
      <x:c r="C675" s="5" t="inlineStr">
        <x:is>
          <x:t xml:space="preserve">florges</x:t>
        </x:is>
      </x:c>
      <x:c r="D675" s="5" t="inlineStr">
        <x:is>
          <x:t xml:space="preserve">Florges</x:t>
        </x:is>
      </x:c>
      <x:c r="E675" s="5" t="n">
        <x:v>6</x:v>
      </x:c>
      <x:c r="F675" s="5" t="inlineStr">
        <x:is>
          <x:t xml:space="preserve">페어리</x:t>
        </x:is>
      </x:c>
      <x:c r="G675" s="5" t="inlineStr">
        <x:is>
          <x:t xml:space="preserve"/>
        </x:is>
      </x:c>
      <x:c r="H675" s="6" t="n">
        <x:v>10</x:v>
      </x:c>
      <x:c r="I675" s="5" t="n">
        <x:v>19</x:v>
      </x:c>
      <x:c r="J675" s="5" t="inlineStr">
        <x:is>
          <x:t xml:space="preserve">최종</x:t>
        </x:is>
      </x:c>
      <x:c r="K675" s="7" t="inlineStr">
        <x:is>
          <x:t xml:space="preserve">비행</x:t>
        </x:is>
      </x:c>
      <x:c r="L675" s="7" t="inlineStr">
        <x:is>
          <x:t xml:space="preserve">개활지</x:t>
        </x:is>
      </x:c>
      <x:c r="M675" s="7" t="inlineStr">
        <x:is>
          <x:t xml:space="preserve">온대</x:t>
        </x:is>
      </x:c>
      <x:c r="N675" s="7" t="inlineStr">
        <x:is>
          <x:t xml:space="preserve">보통</x:t>
        </x:is>
      </x:c>
      <x:c r="O675" s="7" t="inlineStr">
        <x:is>
          <x:t xml:space="preserve">무관</x:t>
        </x:is>
      </x:c>
      <x:c r="P675" s="7" t="inlineStr">
        <x:is>
          <x:t xml:space="preserve">무관</x:t>
        </x:is>
      </x:c>
      <x:c r="Q675" s="7" t="inlineStr">
        <x:is>
          <x:t xml:space="preserve">흔함</x:t>
        </x:is>
      </x:c>
      <x:c r="R675" s="7" t="inlineStr">
        <x:is>
          <x:t xml:space="preserve">없음</x:t>
        </x:is>
      </x:c>
      <x:c r="S675" s="7" t="inlineStr">
        <x:is>
          <x:t xml:space="preserve">평원</x:t>
        </x:is>
      </x:c>
      <x:c r="T675" s="7" t="inlineStr">
        <x:is>
          <x:t xml:space="preserve"/>
        </x:is>
      </x:c>
      <x:c r="U675" s="8" t="str">
        <x:f>INDEX('서식지_점수'!$E$4:$P$4,1,MATCH(MAX('서식지_점수'!E675:P675),'서식지_점수'!E675:P675,0))</x:f>
        <x:v>산악</x:v>
      </x:c>
      <x:c r="V675" s="8" t="str">
        <x:f>IF(T675&lt;&gt;"",T675,U675)</x:f>
        <x:v>산악</x:v>
      </x:c>
      <x:c r="W675" s="8" t="str">
        <x:f>IFERROR(INDEX('서식지_점수'!$E$4:$P$4,1,MATCH(MAXIFS('서식지_점수'!E675:P675,'서식지_점수'!E675:P675,"&lt;"&amp;MAX('서식지_점수'!E675:P675)),'서식지_점수'!E675:P675,0)),"")</x:f>
        <x:v>평원</x:v>
      </x:c>
      <x:c r="X675" s="8" t="str">
        <x:f>IF(T675&lt;&gt;"","수동확정",IF(MAX('서식지_점수'!E675:P675)-LARGE('서식지_점수'!E675:P675,2)&gt;=15,"높음",IF(MAX('서식지_점수'!E675:P675)-LARGE('서식지_점수'!E675:P675,2)&gt;=8,"보통","검토필요")))</x:f>
        <x:v>검토필요</x:v>
      </x:c>
      <x:c r="Y675" s="9" t="n">
        <x:f>IF(Q675="전설",8,IF(Q675="희귀",7,IF(J675="기본",1,IF(J675="중간",3,IF(J675="최종",IF(I675="",5,IF(I675&lt;=20,3,IF(I675&lt;=35,4,IF(I675&lt;=50,6,7)))),IF(Q675="드묾",4,2))))))</x:f>
        <x:v>3</x:v>
      </x:c>
      <x:c r="Z675" s="5" t="inlineStr">
        <x:is>
          <x:t xml:space="preserve">#aether:is_aether; #cobblemon:is_overworld; the_bumblezone:floral_meadow</x:t>
        </x:is>
      </x:c>
      <x:c r="AA675" s="5" t="inlineStr">
        <x:is>
          <x:t xml:space="preserve">common</x:t>
        </x:is>
      </x:c>
      <x:c r="AB675" s="5" t="inlineStr">
        <x:is>
          <x:t xml:space="preserve">예</x:t>
        </x:is>
      </x:c>
      <x:c r="AC675" s="8" t="str">
        <x:f>IF(T675&lt;&gt;"","수동확정",IF(X675="검토필요","검토필요",IF(S675="","원본없음","초기완료")))</x:f>
        <x:v>검토필요</x:v>
      </x:c>
      <x:c r="AD675" s="7" t="inlineStr">
        <x:is>
          <x:t xml:space="preserve"/>
        </x:is>
      </x:c>
      <x:c r="AE675" s="5" t="inlineStr">
        <x:is>
          <x:t xml:space="preserve">.tmp/cobblemon-1.7.3-source/common/src/main/resources/data/cobblemon/species/generation6/florges.json</x:t>
        </x:is>
      </x:c>
      <x:c r="AF675" s="5" t="str">
        <x:f>"생활권|"&amp;K675</x:f>
        <x:v>생활권|비행</x:v>
      </x:c>
      <x:c r="AG675" s="5" t="str">
        <x:f>"지형|"&amp;L675</x:f>
        <x:v>지형|개활지</x:v>
      </x:c>
      <x:c r="AH675" s="5" t="str">
        <x:f>"온도|"&amp;M675</x:f>
        <x:v>온도|온대</x:v>
      </x:c>
      <x:c r="AI675" s="5" t="str">
        <x:f>"습도|"&amp;N675</x:f>
        <x:v>습도|보통</x:v>
      </x:c>
      <x:c r="AJ675" s="5" t="str">
        <x:f>"날씨|"&amp;O675</x:f>
        <x:v>날씨|무관</x:v>
      </x:c>
      <x:c r="AK675" s="5" t="str">
        <x:f>"특수태그|"&amp;R675</x:f>
        <x:v>특수태그|없음</x:v>
      </x:c>
      <x:c r="AL675" s="5" t="str">
        <x:f>"원본서식지|"&amp;S675</x:f>
        <x:v>원본서식지|평원</x:v>
      </x:c>
      <x:c r="AM675" s="5" t="str">
        <x:f>"타입|"&amp;F675</x:f>
        <x:v>타입|페어리</x:v>
      </x:c>
      <x:c r="AN675" s="5" t="str">
        <x:f>"타입|"&amp;G675</x:f>
        <x:v>타입|</x:v>
      </x:c>
    </x:row>
    <x:row r="676" ht="24" customHeight="1">
      <x:c r="A676" s="5" t="n">
        <x:v>672</x:v>
      </x:c>
      <x:c r="B676" s="5" t="inlineStr">
        <x:is>
          <x:t xml:space="preserve">메이클</x:t>
        </x:is>
      </x:c>
      <x:c r="C676" s="5" t="inlineStr">
        <x:is>
          <x:t xml:space="preserve">skiddo</x:t>
        </x:is>
      </x:c>
      <x:c r="D676" s="5" t="inlineStr">
        <x:is>
          <x:t xml:space="preserve">Skiddo</x:t>
        </x:is>
      </x:c>
      <x:c r="E676" s="5" t="n">
        <x:v>6</x:v>
      </x:c>
      <x:c r="F676" s="5" t="inlineStr">
        <x:is>
          <x:t xml:space="preserve">풀</x:t>
        </x:is>
      </x:c>
      <x:c r="G676" s="5" t="inlineStr">
        <x:is>
          <x:t xml:space="preserve"/>
        </x:is>
      </x:c>
      <x:c r="H676" s="6" t="n">
        <x:v>31</x:v>
      </x:c>
      <x:c r="I676" s="5" t="n">
        <x:v>32</x:v>
      </x:c>
      <x:c r="J676" s="5" t="inlineStr">
        <x:is>
          <x:t xml:space="preserve">기본</x:t>
        </x:is>
      </x:c>
      <x:c r="K676" s="7" t="inlineStr">
        <x:is>
          <x:t xml:space="preserve">육상</x:t>
        </x:is>
      </x:c>
      <x:c r="L676" s="7" t="inlineStr">
        <x:is>
          <x:t xml:space="preserve">암석</x:t>
        </x:is>
      </x:c>
      <x:c r="M676" s="7" t="inlineStr">
        <x:is>
          <x:t xml:space="preserve">온대</x:t>
        </x:is>
      </x:c>
      <x:c r="N676" s="7" t="inlineStr">
        <x:is>
          <x:t xml:space="preserve">보통</x:t>
        </x:is>
      </x:c>
      <x:c r="O676" s="7" t="inlineStr">
        <x:is>
          <x:t xml:space="preserve">무관</x:t>
        </x:is>
      </x:c>
      <x:c r="P676" s="7" t="inlineStr">
        <x:is>
          <x:t xml:space="preserve">무관</x:t>
        </x:is>
      </x:c>
      <x:c r="Q676" s="7" t="inlineStr">
        <x:is>
          <x:t xml:space="preserve">흔함</x:t>
        </x:is>
      </x:c>
      <x:c r="R676" s="7" t="inlineStr">
        <x:is>
          <x:t xml:space="preserve">없음</x:t>
        </x:is>
      </x:c>
      <x:c r="S676" s="7" t="inlineStr">
        <x:is>
          <x:t xml:space="preserve">산악</x:t>
        </x:is>
      </x:c>
      <x:c r="T676" s="7" t="inlineStr">
        <x:is>
          <x:t xml:space="preserve"/>
        </x:is>
      </x:c>
      <x:c r="U676" s="8" t="str">
        <x:f>INDEX('서식지_점수'!$E$4:$P$4,1,MATCH(MAX('서식지_점수'!E676:P676),'서식지_점수'!E676:P676,0))</x:f>
        <x:v>평원</x:v>
      </x:c>
      <x:c r="V676" s="8" t="str">
        <x:f>IF(T676&lt;&gt;"",T676,U676)</x:f>
        <x:v>평원</x:v>
      </x:c>
      <x:c r="W676" s="8" t="str">
        <x:f>IFERROR(INDEX('서식지_점수'!$E$4:$P$4,1,MATCH(MAXIFS('서식지_점수'!E676:P676,'서식지_점수'!E676:P676,"&lt;"&amp;MAX('서식지_점수'!E676:P676)),'서식지_점수'!E676:P676,0)),"")</x:f>
        <x:v>숲</x:v>
      </x:c>
      <x:c r="X676" s="8" t="str">
        <x:f>IF(T676&lt;&gt;"","수동확정",IF(MAX('서식지_점수'!E676:P676)-LARGE('서식지_점수'!E676:P676,2)&gt;=15,"높음",IF(MAX('서식지_점수'!E676:P676)-LARGE('서식지_점수'!E676:P676,2)&gt;=8,"보통","검토필요")))</x:f>
        <x:v>검토필요</x:v>
      </x:c>
      <x:c r="Y676" s="9" t="n">
        <x:f>IF(Q676="전설",8,IF(Q676="희귀",7,IF(J676="기본",1,IF(J676="중간",3,IF(J676="최종",IF(I676="",5,IF(I676&lt;=20,3,IF(I676&lt;=35,4,IF(I676&lt;=50,6,7)))),IF(Q676="드묾",4,2))))))</x:f>
        <x:v>1</x:v>
      </x:c>
      <x:c r="Z676" s="5" t="inlineStr">
        <x:is>
          <x:t xml:space="preserve">#cobblemon:is_mountain</x:t>
        </x:is>
      </x:c>
      <x:c r="AA676" s="5" t="inlineStr">
        <x:is>
          <x:t xml:space="preserve">common</x:t>
        </x:is>
      </x:c>
      <x:c r="AB676" s="5" t="inlineStr">
        <x:is>
          <x:t xml:space="preserve">예</x:t>
        </x:is>
      </x:c>
      <x:c r="AC676" s="8" t="str">
        <x:f>IF(T676&lt;&gt;"","수동확정",IF(X676="검토필요","검토필요",IF(S676="","원본없음","초기완료")))</x:f>
        <x:v>검토필요</x:v>
      </x:c>
      <x:c r="AD676" s="7" t="inlineStr">
        <x:is>
          <x:t xml:space="preserve"/>
        </x:is>
      </x:c>
      <x:c r="AE676" s="5" t="inlineStr">
        <x:is>
          <x:t xml:space="preserve">.tmp/cobblemon-1.7.3-source/common/src/main/resources/data/cobblemon/species/generation6/skiddo.json</x:t>
        </x:is>
      </x:c>
      <x:c r="AF676" s="5" t="str">
        <x:f>"생활권|"&amp;K676</x:f>
        <x:v>생활권|육상</x:v>
      </x:c>
      <x:c r="AG676" s="5" t="str">
        <x:f>"지형|"&amp;L676</x:f>
        <x:v>지형|암석</x:v>
      </x:c>
      <x:c r="AH676" s="5" t="str">
        <x:f>"온도|"&amp;M676</x:f>
        <x:v>온도|온대</x:v>
      </x:c>
      <x:c r="AI676" s="5" t="str">
        <x:f>"습도|"&amp;N676</x:f>
        <x:v>습도|보통</x:v>
      </x:c>
      <x:c r="AJ676" s="5" t="str">
        <x:f>"날씨|"&amp;O676</x:f>
        <x:v>날씨|무관</x:v>
      </x:c>
      <x:c r="AK676" s="5" t="str">
        <x:f>"특수태그|"&amp;R676</x:f>
        <x:v>특수태그|없음</x:v>
      </x:c>
      <x:c r="AL676" s="5" t="str">
        <x:f>"원본서식지|"&amp;S676</x:f>
        <x:v>원본서식지|산악</x:v>
      </x:c>
      <x:c r="AM676" s="5" t="str">
        <x:f>"타입|"&amp;F676</x:f>
        <x:v>타입|풀</x:v>
      </x:c>
      <x:c r="AN676" s="5" t="str">
        <x:f>"타입|"&amp;G676</x:f>
        <x:v>타입|</x:v>
      </x:c>
    </x:row>
    <x:row r="677" ht="24" customHeight="1">
      <x:c r="A677" s="5" t="n">
        <x:v>673</x:v>
      </x:c>
      <x:c r="B677" s="5" t="inlineStr">
        <x:is>
          <x:t xml:space="preserve">고고트</x:t>
        </x:is>
      </x:c>
      <x:c r="C677" s="5" t="inlineStr">
        <x:is>
          <x:t xml:space="preserve">gogoat</x:t>
        </x:is>
      </x:c>
      <x:c r="D677" s="5" t="inlineStr">
        <x:is>
          <x:t xml:space="preserve">Gogoat</x:t>
        </x:is>
      </x:c>
      <x:c r="E677" s="5" t="n">
        <x:v>6</x:v>
      </x:c>
      <x:c r="F677" s="5" t="inlineStr">
        <x:is>
          <x:t xml:space="preserve">풀</x:t>
        </x:is>
      </x:c>
      <x:c r="G677" s="5" t="inlineStr">
        <x:is>
          <x:t xml:space="preserve"/>
        </x:is>
      </x:c>
      <x:c r="H677" s="6" t="n">
        <x:v>91</x:v>
      </x:c>
      <x:c r="I677" s="5" t="n">
        <x:v>32</x:v>
      </x:c>
      <x:c r="J677" s="5" t="inlineStr">
        <x:is>
          <x:t xml:space="preserve">최종</x:t>
        </x:is>
      </x:c>
      <x:c r="K677" s="7" t="inlineStr">
        <x:is>
          <x:t xml:space="preserve">육상</x:t>
        </x:is>
      </x:c>
      <x:c r="L677" s="7" t="inlineStr">
        <x:is>
          <x:t xml:space="preserve">암석</x:t>
        </x:is>
      </x:c>
      <x:c r="M677" s="7" t="inlineStr">
        <x:is>
          <x:t xml:space="preserve">온대</x:t>
        </x:is>
      </x:c>
      <x:c r="N677" s="7" t="inlineStr">
        <x:is>
          <x:t xml:space="preserve">보통</x:t>
        </x:is>
      </x:c>
      <x:c r="O677" s="7" t="inlineStr">
        <x:is>
          <x:t xml:space="preserve">무관</x:t>
        </x:is>
      </x:c>
      <x:c r="P677" s="7" t="inlineStr">
        <x:is>
          <x:t xml:space="preserve">무관</x:t>
        </x:is>
      </x:c>
      <x:c r="Q677" s="7" t="inlineStr">
        <x:is>
          <x:t xml:space="preserve">흔함</x:t>
        </x:is>
      </x:c>
      <x:c r="R677" s="7" t="inlineStr">
        <x:is>
          <x:t xml:space="preserve">없음</x:t>
        </x:is>
      </x:c>
      <x:c r="S677" s="7" t="inlineStr">
        <x:is>
          <x:t xml:space="preserve">산악</x:t>
        </x:is>
      </x:c>
      <x:c r="T677" s="7" t="inlineStr">
        <x:is>
          <x:t xml:space="preserve"/>
        </x:is>
      </x:c>
      <x:c r="U677" s="8" t="str">
        <x:f>INDEX('서식지_점수'!$E$4:$P$4,1,MATCH(MAX('서식지_점수'!E677:P677),'서식지_점수'!E677:P677,0))</x:f>
        <x:v>평원</x:v>
      </x:c>
      <x:c r="V677" s="8" t="str">
        <x:f>IF(T677&lt;&gt;"",T677,U677)</x:f>
        <x:v>평원</x:v>
      </x:c>
      <x:c r="W677" s="8" t="str">
        <x:f>IFERROR(INDEX('서식지_점수'!$E$4:$P$4,1,MATCH(MAXIFS('서식지_점수'!E677:P677,'서식지_점수'!E677:P677,"&lt;"&amp;MAX('서식지_점수'!E677:P677)),'서식지_점수'!E677:P677,0)),"")</x:f>
        <x:v>숲</x:v>
      </x:c>
      <x:c r="X677" s="8" t="str">
        <x:f>IF(T677&lt;&gt;"","수동확정",IF(MAX('서식지_점수'!E677:P677)-LARGE('서식지_점수'!E677:P677,2)&gt;=15,"높음",IF(MAX('서식지_점수'!E677:P677)-LARGE('서식지_점수'!E677:P677,2)&gt;=8,"보통","검토필요")))</x:f>
        <x:v>검토필요</x:v>
      </x:c>
      <x:c r="Y677" s="9" t="n">
        <x:f>IF(Q677="전설",8,IF(Q677="희귀",7,IF(J677="기본",1,IF(J677="중간",3,IF(J677="최종",IF(I677="",5,IF(I677&lt;=20,3,IF(I677&lt;=35,4,IF(I677&lt;=50,6,7)))),IF(Q677="드묾",4,2))))))</x:f>
        <x:v>4</x:v>
      </x:c>
      <x:c r="Z677" s="5" t="inlineStr">
        <x:is>
          <x:t xml:space="preserve">#cobblemon:is_mountain</x:t>
        </x:is>
      </x:c>
      <x:c r="AA677" s="5" t="inlineStr">
        <x:is>
          <x:t xml:space="preserve">common</x:t>
        </x:is>
      </x:c>
      <x:c r="AB677" s="5" t="inlineStr">
        <x:is>
          <x:t xml:space="preserve">예</x:t>
        </x:is>
      </x:c>
      <x:c r="AC677" s="8" t="str">
        <x:f>IF(T677&lt;&gt;"","수동확정",IF(X677="검토필요","검토필요",IF(S677="","원본없음","초기완료")))</x:f>
        <x:v>검토필요</x:v>
      </x:c>
      <x:c r="AD677" s="7" t="inlineStr">
        <x:is>
          <x:t xml:space="preserve"/>
        </x:is>
      </x:c>
      <x:c r="AE677" s="5" t="inlineStr">
        <x:is>
          <x:t xml:space="preserve">.tmp/cobblemon-1.7.3-source/common/src/main/resources/data/cobblemon/species/generation6/gogoat.json</x:t>
        </x:is>
      </x:c>
      <x:c r="AF677" s="5" t="str">
        <x:f>"생활권|"&amp;K677</x:f>
        <x:v>생활권|육상</x:v>
      </x:c>
      <x:c r="AG677" s="5" t="str">
        <x:f>"지형|"&amp;L677</x:f>
        <x:v>지형|암석</x:v>
      </x:c>
      <x:c r="AH677" s="5" t="str">
        <x:f>"온도|"&amp;M677</x:f>
        <x:v>온도|온대</x:v>
      </x:c>
      <x:c r="AI677" s="5" t="str">
        <x:f>"습도|"&amp;N677</x:f>
        <x:v>습도|보통</x:v>
      </x:c>
      <x:c r="AJ677" s="5" t="str">
        <x:f>"날씨|"&amp;O677</x:f>
        <x:v>날씨|무관</x:v>
      </x:c>
      <x:c r="AK677" s="5" t="str">
        <x:f>"특수태그|"&amp;R677</x:f>
        <x:v>특수태그|없음</x:v>
      </x:c>
      <x:c r="AL677" s="5" t="str">
        <x:f>"원본서식지|"&amp;S677</x:f>
        <x:v>원본서식지|산악</x:v>
      </x:c>
      <x:c r="AM677" s="5" t="str">
        <x:f>"타입|"&amp;F677</x:f>
        <x:v>타입|풀</x:v>
      </x:c>
      <x:c r="AN677" s="5" t="str">
        <x:f>"타입|"&amp;G677</x:f>
        <x:v>타입|</x:v>
      </x:c>
    </x:row>
    <x:row r="678" ht="24" customHeight="1">
      <x:c r="A678" s="5" t="n">
        <x:v>674</x:v>
      </x:c>
      <x:c r="B678" s="5" t="inlineStr">
        <x:is>
          <x:t xml:space="preserve">판짱</x:t>
        </x:is>
      </x:c>
      <x:c r="C678" s="5" t="inlineStr">
        <x:is>
          <x:t xml:space="preserve">pancham</x:t>
        </x:is>
      </x:c>
      <x:c r="D678" s="5" t="inlineStr">
        <x:is>
          <x:t xml:space="preserve">Pancham</x:t>
        </x:is>
      </x:c>
      <x:c r="E678" s="5" t="n">
        <x:v>6</x:v>
      </x:c>
      <x:c r="F678" s="5" t="inlineStr">
        <x:is>
          <x:t xml:space="preserve">격투</x:t>
        </x:is>
      </x:c>
      <x:c r="G678" s="5" t="inlineStr">
        <x:is>
          <x:t xml:space="preserve"/>
        </x:is>
      </x:c>
      <x:c r="H678" s="6" t="n">
        <x:v>8</x:v>
      </x:c>
      <x:c r="I678" s="5" t="n">
        <x:v>32</x:v>
      </x:c>
      <x:c r="J678" s="5" t="inlineStr">
        <x:is>
          <x:t xml:space="preserve">기본</x:t>
        </x:is>
      </x:c>
      <x:c r="K678" s="7" t="inlineStr">
        <x:is>
          <x:t xml:space="preserve">육상</x:t>
        </x:is>
      </x:c>
      <x:c r="L678" s="7" t="inlineStr">
        <x:is>
          <x:t xml:space="preserve">수목</x:t>
        </x:is>
      </x:c>
      <x:c r="M678" s="7" t="inlineStr">
        <x:is>
          <x:t xml:space="preserve">온대</x:t>
        </x:is>
      </x:c>
      <x:c r="N678" s="7" t="inlineStr">
        <x:is>
          <x:t xml:space="preserve">다습</x:t>
        </x:is>
      </x:c>
      <x:c r="O678" s="7" t="inlineStr">
        <x:is>
          <x:t xml:space="preserve">무관</x:t>
        </x:is>
      </x:c>
      <x:c r="P678" s="7" t="inlineStr">
        <x:is>
          <x:t xml:space="preserve">무관</x:t>
        </x:is>
      </x:c>
      <x:c r="Q678" s="7" t="inlineStr">
        <x:is>
          <x:t xml:space="preserve">흔함</x:t>
        </x:is>
      </x:c>
      <x:c r="R678" s="7" t="inlineStr">
        <x:is>
          <x:t xml:space="preserve">없음</x:t>
        </x:is>
      </x:c>
      <x:c r="S678" s="7" t="inlineStr">
        <x:is>
          <x:t xml:space="preserve">숲</x:t>
        </x:is>
      </x:c>
      <x:c r="T678" s="7" t="inlineStr">
        <x:is>
          <x:t xml:space="preserve"/>
        </x:is>
      </x:c>
      <x:c r="U678" s="8" t="str">
        <x:f>INDEX('서식지_점수'!$E$4:$P$4,1,MATCH(MAX('서식지_점수'!E678:P678),'서식지_점수'!E678:P678,0))</x:f>
        <x:v>평원</x:v>
      </x:c>
      <x:c r="V678" s="8" t="str">
        <x:f>IF(T678&lt;&gt;"",T678,U678)</x:f>
        <x:v>평원</x:v>
      </x:c>
      <x:c r="W678" s="8" t="str">
        <x:f>IFERROR(INDEX('서식지_점수'!$E$4:$P$4,1,MATCH(MAXIFS('서식지_점수'!E678:P678,'서식지_점수'!E678:P678,"&lt;"&amp;MAX('서식지_점수'!E678:P678)),'서식지_점수'!E678:P678,0)),"")</x:f>
        <x:v>숲</x:v>
      </x:c>
      <x:c r="X678" s="8" t="str">
        <x:f>IF(T678&lt;&gt;"","수동확정",IF(MAX('서식지_점수'!E678:P678)-LARGE('서식지_점수'!E678:P678,2)&gt;=15,"높음",IF(MAX('서식지_점수'!E678:P678)-LARGE('서식지_점수'!E678:P678,2)&gt;=8,"보통","검토필요")))</x:f>
        <x:v>검토필요</x:v>
      </x:c>
      <x:c r="Y678" s="9" t="n">
        <x:f>IF(Q678="전설",8,IF(Q678="희귀",7,IF(J678="기본",1,IF(J678="중간",3,IF(J678="최종",IF(I678="",5,IF(I678&lt;=20,3,IF(I678&lt;=35,4,IF(I678&lt;=50,6,7)))),IF(Q678="드묾",4,2))))))</x:f>
        <x:v>1</x:v>
      </x:c>
      <x:c r="Z678" s="5" t="inlineStr">
        <x:is>
          <x:t xml:space="preserve">#cobblemon:is_forest; #cobblemon:is_jungle</x:t>
        </x:is>
      </x:c>
      <x:c r="AA678" s="5" t="inlineStr">
        <x:is>
          <x:t xml:space="preserve">common; rare</x:t>
        </x:is>
      </x:c>
      <x:c r="AB678" s="5" t="inlineStr">
        <x:is>
          <x:t xml:space="preserve">아니오</x:t>
        </x:is>
      </x:c>
      <x:c r="AC678" s="8" t="str">
        <x:f>IF(T678&lt;&gt;"","수동확정",IF(X678="검토필요","검토필요",IF(S678="","원본없음","초기완료")))</x:f>
        <x:v>검토필요</x:v>
      </x:c>
      <x:c r="AD678" s="7" t="inlineStr">
        <x:is>
          <x:t xml:space="preserve"/>
        </x:is>
      </x:c>
      <x:c r="AE678" s="5" t="inlineStr">
        <x:is>
          <x:t xml:space="preserve">.tmp/cobblemon-1.7.3-source/common/src/main/resources/data/cobblemon/species/generation6/pancham.json</x:t>
        </x:is>
      </x:c>
      <x:c r="AF678" s="5" t="str">
        <x:f>"생활권|"&amp;K678</x:f>
        <x:v>생활권|육상</x:v>
      </x:c>
      <x:c r="AG678" s="5" t="str">
        <x:f>"지형|"&amp;L678</x:f>
        <x:v>지형|수목</x:v>
      </x:c>
      <x:c r="AH678" s="5" t="str">
        <x:f>"온도|"&amp;M678</x:f>
        <x:v>온도|온대</x:v>
      </x:c>
      <x:c r="AI678" s="5" t="str">
        <x:f>"습도|"&amp;N678</x:f>
        <x:v>습도|다습</x:v>
      </x:c>
      <x:c r="AJ678" s="5" t="str">
        <x:f>"날씨|"&amp;O678</x:f>
        <x:v>날씨|무관</x:v>
      </x:c>
      <x:c r="AK678" s="5" t="str">
        <x:f>"특수태그|"&amp;R678</x:f>
        <x:v>특수태그|없음</x:v>
      </x:c>
      <x:c r="AL678" s="5" t="str">
        <x:f>"원본서식지|"&amp;S678</x:f>
        <x:v>원본서식지|숲</x:v>
      </x:c>
      <x:c r="AM678" s="5" t="str">
        <x:f>"타입|"&amp;F678</x:f>
        <x:v>타입|격투</x:v>
      </x:c>
      <x:c r="AN678" s="5" t="str">
        <x:f>"타입|"&amp;G678</x:f>
        <x:v>타입|</x:v>
      </x:c>
    </x:row>
    <x:row r="679" ht="24" customHeight="1">
      <x:c r="A679" s="5" t="n">
        <x:v>675</x:v>
      </x:c>
      <x:c r="B679" s="5" t="inlineStr">
        <x:is>
          <x:t xml:space="preserve">부란다</x:t>
        </x:is>
      </x:c>
      <x:c r="C679" s="5" t="inlineStr">
        <x:is>
          <x:t xml:space="preserve">pangoro</x:t>
        </x:is>
      </x:c>
      <x:c r="D679" s="5" t="inlineStr">
        <x:is>
          <x:t xml:space="preserve">Pangoro</x:t>
        </x:is>
      </x:c>
      <x:c r="E679" s="5" t="n">
        <x:v>6</x:v>
      </x:c>
      <x:c r="F679" s="5" t="inlineStr">
        <x:is>
          <x:t xml:space="preserve">격투</x:t>
        </x:is>
      </x:c>
      <x:c r="G679" s="5" t="inlineStr">
        <x:is>
          <x:t xml:space="preserve">악</x:t>
        </x:is>
      </x:c>
      <x:c r="H679" s="6" t="n">
        <x:v>136</x:v>
      </x:c>
      <x:c r="I679" s="5" t="n">
        <x:v>32</x:v>
      </x:c>
      <x:c r="J679" s="5" t="inlineStr">
        <x:is>
          <x:t xml:space="preserve">최종</x:t>
        </x:is>
      </x:c>
      <x:c r="K679" s="7" t="inlineStr">
        <x:is>
          <x:t xml:space="preserve">육상</x:t>
        </x:is>
      </x:c>
      <x:c r="L679" s="7" t="inlineStr">
        <x:is>
          <x:t xml:space="preserve">수목</x:t>
        </x:is>
      </x:c>
      <x:c r="M679" s="7" t="inlineStr">
        <x:is>
          <x:t xml:space="preserve">온대</x:t>
        </x:is>
      </x:c>
      <x:c r="N679" s="7" t="inlineStr">
        <x:is>
          <x:t xml:space="preserve">다습</x:t>
        </x:is>
      </x:c>
      <x:c r="O679" s="7" t="inlineStr">
        <x:is>
          <x:t xml:space="preserve">무관</x:t>
        </x:is>
      </x:c>
      <x:c r="P679" s="7" t="inlineStr">
        <x:is>
          <x:t xml:space="preserve">밤</x:t>
        </x:is>
      </x:c>
      <x:c r="Q679" s="7" t="inlineStr">
        <x:is>
          <x:t xml:space="preserve">보통</x:t>
        </x:is>
      </x:c>
      <x:c r="R679" s="7" t="inlineStr">
        <x:is>
          <x:t xml:space="preserve">없음</x:t>
        </x:is>
      </x:c>
      <x:c r="S679" s="7" t="inlineStr">
        <x:is>
          <x:t xml:space="preserve">숲</x:t>
        </x:is>
      </x:c>
      <x:c r="T679" s="7" t="inlineStr">
        <x:is>
          <x:t xml:space="preserve"/>
        </x:is>
      </x:c>
      <x:c r="U679" s="8" t="str">
        <x:f>INDEX('서식지_점수'!$E$4:$P$4,1,MATCH(MAX('서식지_점수'!E679:P679),'서식지_점수'!E679:P679,0))</x:f>
        <x:v>평원</x:v>
      </x:c>
      <x:c r="V679" s="8" t="str">
        <x:f>IF(T679&lt;&gt;"",T679,U679)</x:f>
        <x:v>평원</x:v>
      </x:c>
      <x:c r="W679" s="8" t="str">
        <x:f>IFERROR(INDEX('서식지_점수'!$E$4:$P$4,1,MATCH(MAXIFS('서식지_점수'!E679:P679,'서식지_점수'!E679:P679,"&lt;"&amp;MAX('서식지_점수'!E679:P679)),'서식지_점수'!E679:P679,0)),"")</x:f>
        <x:v>숲</x:v>
      </x:c>
      <x:c r="X679" s="8" t="str">
        <x:f>IF(T679&lt;&gt;"","수동확정",IF(MAX('서식지_점수'!E679:P679)-LARGE('서식지_점수'!E679:P679,2)&gt;=15,"높음",IF(MAX('서식지_점수'!E679:P679)-LARGE('서식지_점수'!E679:P679,2)&gt;=8,"보통","검토필요")))</x:f>
        <x:v>검토필요</x:v>
      </x:c>
      <x:c r="Y679" s="9" t="n">
        <x:f>IF(Q679="전설",8,IF(Q679="희귀",7,IF(J679="기본",1,IF(J679="중간",3,IF(J679="최종",IF(I679="",5,IF(I679&lt;=20,3,IF(I679&lt;=35,4,IF(I679&lt;=50,6,7)))),IF(Q679="드묾",4,2))))))</x:f>
        <x:v>4</x:v>
      </x:c>
      <x:c r="Z679" s="5" t="inlineStr">
        <x:is>
          <x:t xml:space="preserve">#cobblemon:is_forest; #cobblemon:is_jungle</x:t>
        </x:is>
      </x:c>
      <x:c r="AA679" s="5" t="inlineStr">
        <x:is>
          <x:t xml:space="preserve">rare; uncommon</x:t>
        </x:is>
      </x:c>
      <x:c r="AB679" s="5" t="inlineStr">
        <x:is>
          <x:t xml:space="preserve">아니오</x:t>
        </x:is>
      </x:c>
      <x:c r="AC679" s="8" t="str">
        <x:f>IF(T679&lt;&gt;"","수동확정",IF(X679="검토필요","검토필요",IF(S679="","원본없음","초기완료")))</x:f>
        <x:v>검토필요</x:v>
      </x:c>
      <x:c r="AD679" s="7" t="inlineStr">
        <x:is>
          <x:t xml:space="preserve"/>
        </x:is>
      </x:c>
      <x:c r="AE679" s="5" t="inlineStr">
        <x:is>
          <x:t xml:space="preserve">.tmp/cobblemon-1.7.3-source/common/src/main/resources/data/cobblemon/species/generation6/pangoro.json</x:t>
        </x:is>
      </x:c>
      <x:c r="AF679" s="5" t="str">
        <x:f>"생활권|"&amp;K679</x:f>
        <x:v>생활권|육상</x:v>
      </x:c>
      <x:c r="AG679" s="5" t="str">
        <x:f>"지형|"&amp;L679</x:f>
        <x:v>지형|수목</x:v>
      </x:c>
      <x:c r="AH679" s="5" t="str">
        <x:f>"온도|"&amp;M679</x:f>
        <x:v>온도|온대</x:v>
      </x:c>
      <x:c r="AI679" s="5" t="str">
        <x:f>"습도|"&amp;N679</x:f>
        <x:v>습도|다습</x:v>
      </x:c>
      <x:c r="AJ679" s="5" t="str">
        <x:f>"날씨|"&amp;O679</x:f>
        <x:v>날씨|무관</x:v>
      </x:c>
      <x:c r="AK679" s="5" t="str">
        <x:f>"특수태그|"&amp;R679</x:f>
        <x:v>특수태그|없음</x:v>
      </x:c>
      <x:c r="AL679" s="5" t="str">
        <x:f>"원본서식지|"&amp;S679</x:f>
        <x:v>원본서식지|숲</x:v>
      </x:c>
      <x:c r="AM679" s="5" t="str">
        <x:f>"타입|"&amp;F679</x:f>
        <x:v>타입|격투</x:v>
      </x:c>
      <x:c r="AN679" s="5" t="str">
        <x:f>"타입|"&amp;G679</x:f>
        <x:v>타입|악</x:v>
      </x:c>
    </x:row>
    <x:row r="680" ht="24" customHeight="1">
      <x:c r="A680" s="5" t="n">
        <x:v>676</x:v>
      </x:c>
      <x:c r="B680" s="5" t="inlineStr">
        <x:is>
          <x:t xml:space="preserve">트리미앙</x:t>
        </x:is>
      </x:c>
      <x:c r="C680" s="5" t="inlineStr">
        <x:is>
          <x:t xml:space="preserve">furfrou</x:t>
        </x:is>
      </x:c>
      <x:c r="D680" s="5" t="inlineStr">
        <x:is>
          <x:t xml:space="preserve">Furfrou</x:t>
        </x:is>
      </x:c>
      <x:c r="E680" s="5" t="n">
        <x:v>6</x:v>
      </x:c>
      <x:c r="F680" s="5" t="inlineStr">
        <x:is>
          <x:t xml:space="preserve">노말</x:t>
        </x:is>
      </x:c>
      <x:c r="G680" s="5" t="inlineStr">
        <x:is>
          <x:t xml:space="preserve"/>
        </x:is>
      </x:c>
      <x:c r="H680" s="6" t="n">
        <x:v>28</x:v>
      </x:c>
      <x:c r="I680" s="5" t="n"/>
      <x:c r="J680" s="5" t="inlineStr">
        <x:is>
          <x:t xml:space="preserve">무진화</x:t>
        </x:is>
      </x:c>
      <x:c r="K680" s="7" t="inlineStr">
        <x:is>
          <x:t xml:space="preserve">육상</x:t>
        </x:is>
      </x:c>
      <x:c r="L680" s="7" t="inlineStr">
        <x:is>
          <x:t xml:space="preserve">개활지</x:t>
        </x:is>
      </x:c>
      <x:c r="M680" s="7" t="inlineStr">
        <x:is>
          <x:t xml:space="preserve">온대</x:t>
        </x:is>
      </x:c>
      <x:c r="N680" s="7" t="inlineStr">
        <x:is>
          <x:t xml:space="preserve">보통</x:t>
        </x:is>
      </x:c>
      <x:c r="O680" s="7" t="inlineStr">
        <x:is>
          <x:t xml:space="preserve">무관</x:t>
        </x:is>
      </x:c>
      <x:c r="P680" s="7" t="inlineStr">
        <x:is>
          <x:t xml:space="preserve">무관</x:t>
        </x:is>
      </x:c>
      <x:c r="Q680" s="7" t="inlineStr">
        <x:is>
          <x:t xml:space="preserve">보통</x:t>
        </x:is>
      </x:c>
      <x:c r="R680" s="7" t="inlineStr">
        <x:is>
          <x:t xml:space="preserve">없음</x:t>
        </x:is>
      </x:c>
      <x:c r="S680" s="7" t="inlineStr">
        <x:is>
          <x:t xml:space="preserve"/>
        </x:is>
      </x:c>
      <x:c r="T680" s="7" t="inlineStr">
        <x:is>
          <x:t xml:space="preserve"/>
        </x:is>
      </x:c>
      <x:c r="U680" s="8" t="str">
        <x:f>INDEX('서식지_점수'!$E$4:$P$4,1,MATCH(MAX('서식지_점수'!E680:P680),'서식지_점수'!E680:P680,0))</x:f>
        <x:v>평원</x:v>
      </x:c>
      <x:c r="V680" s="8" t="str">
        <x:f>IF(T680&lt;&gt;"",T680,U680)</x:f>
        <x:v>평원</x:v>
      </x:c>
      <x:c r="W680" s="8" t="str">
        <x:f>IFERROR(INDEX('서식지_점수'!$E$4:$P$4,1,MATCH(MAXIFS('서식지_점수'!E680:P680,'서식지_점수'!E680:P680,"&lt;"&amp;MAX('서식지_점수'!E680:P680)),'서식지_점수'!E680:P680,0)),"")</x:f>
        <x:v>숲</x:v>
      </x:c>
      <x:c r="X680" s="8" t="str">
        <x:f>IF(T680&lt;&gt;"","수동확정",IF(MAX('서식지_점수'!E680:P680)-LARGE('서식지_점수'!E680:P680,2)&gt;=15,"높음",IF(MAX('서식지_점수'!E680:P680)-LARGE('서식지_점수'!E680:P680,2)&gt;=8,"보통","검토필요")))</x:f>
        <x:v>검토필요</x:v>
      </x:c>
      <x:c r="Y680" s="9" t="n">
        <x:f>IF(Q680="전설",8,IF(Q680="희귀",7,IF(J680="기본",1,IF(J680="중간",3,IF(J680="최종",IF(I680="",5,IF(I680&lt;=20,3,IF(I680&lt;=35,4,IF(I680&lt;=50,6,7)))),IF(Q680="드묾",4,2))))))</x:f>
        <x:v>2</x:v>
      </x:c>
      <x:c r="Z680" s="5" t="inlineStr">
        <x:is>
          <x:t xml:space="preserve">#cobblemon:is_floral; #cobblemon:is_overworld</x:t>
        </x:is>
      </x:c>
      <x:c r="AA680" s="5" t="inlineStr">
        <x:is>
          <x:t xml:space="preserve">common; uncommon</x:t>
        </x:is>
      </x:c>
      <x:c r="AB680" s="5" t="inlineStr">
        <x:is>
          <x:t xml:space="preserve">예</x:t>
        </x:is>
      </x:c>
      <x:c r="AC680" s="8" t="str">
        <x:f>IF(T680&lt;&gt;"","수동확정",IF(X680="검토필요","검토필요",IF(S680="","원본없음","초기완료")))</x:f>
        <x:v>검토필요</x:v>
      </x:c>
      <x:c r="AD680" s="7" t="inlineStr">
        <x:is>
          <x:t xml:space="preserve"/>
        </x:is>
      </x:c>
      <x:c r="AE680" s="5" t="inlineStr">
        <x:is>
          <x:t xml:space="preserve">.tmp/cobblemon-1.7.3-source/common/src/main/resources/data/cobblemon/species/generation6/furfrou.json</x:t>
        </x:is>
      </x:c>
      <x:c r="AF680" s="5" t="str">
        <x:f>"생활권|"&amp;K680</x:f>
        <x:v>생활권|육상</x:v>
      </x:c>
      <x:c r="AG680" s="5" t="str">
        <x:f>"지형|"&amp;L680</x:f>
        <x:v>지형|개활지</x:v>
      </x:c>
      <x:c r="AH680" s="5" t="str">
        <x:f>"온도|"&amp;M680</x:f>
        <x:v>온도|온대</x:v>
      </x:c>
      <x:c r="AI680" s="5" t="str">
        <x:f>"습도|"&amp;N680</x:f>
        <x:v>습도|보통</x:v>
      </x:c>
      <x:c r="AJ680" s="5" t="str">
        <x:f>"날씨|"&amp;O680</x:f>
        <x:v>날씨|무관</x:v>
      </x:c>
      <x:c r="AK680" s="5" t="str">
        <x:f>"특수태그|"&amp;R680</x:f>
        <x:v>특수태그|없음</x:v>
      </x:c>
      <x:c r="AL680" s="5" t="str">
        <x:f>"원본서식지|"&amp;S680</x:f>
        <x:v>원본서식지|</x:v>
      </x:c>
      <x:c r="AM680" s="5" t="str">
        <x:f>"타입|"&amp;F680</x:f>
        <x:v>타입|노말</x:v>
      </x:c>
      <x:c r="AN680" s="5" t="str">
        <x:f>"타입|"&amp;G680</x:f>
        <x:v>타입|</x:v>
      </x:c>
    </x:row>
    <x:row r="681" ht="24" customHeight="1">
      <x:c r="A681" s="5" t="n">
        <x:v>677</x:v>
      </x:c>
      <x:c r="B681" s="5" t="inlineStr">
        <x:is>
          <x:t xml:space="preserve">냐스퍼</x:t>
        </x:is>
      </x:c>
      <x:c r="C681" s="5" t="inlineStr">
        <x:is>
          <x:t xml:space="preserve">espurr</x:t>
        </x:is>
      </x:c>
      <x:c r="D681" s="5" t="inlineStr">
        <x:is>
          <x:t xml:space="preserve">Espurr</x:t>
        </x:is>
      </x:c>
      <x:c r="E681" s="5" t="n">
        <x:v>6</x:v>
      </x:c>
      <x:c r="F681" s="5" t="inlineStr">
        <x:is>
          <x:t xml:space="preserve">에스퍼</x:t>
        </x:is>
      </x:c>
      <x:c r="G681" s="5" t="inlineStr">
        <x:is>
          <x:t xml:space="preserve"/>
        </x:is>
      </x:c>
      <x:c r="H681" s="6" t="n">
        <x:v>3.5</x:v>
      </x:c>
      <x:c r="I681" s="5" t="n">
        <x:v>25</x:v>
      </x:c>
      <x:c r="J681" s="5" t="inlineStr">
        <x:is>
          <x:t xml:space="preserve">기본</x:t>
        </x:is>
      </x:c>
      <x:c r="K681" s="7" t="inlineStr">
        <x:is>
          <x:t xml:space="preserve">육상</x:t>
        </x:is>
      </x:c>
      <x:c r="L681" s="7" t="inlineStr">
        <x:is>
          <x:t xml:space="preserve">건조</x:t>
        </x:is>
      </x:c>
      <x:c r="M681" s="7" t="inlineStr">
        <x:is>
          <x:t xml:space="preserve">고온</x:t>
        </x:is>
      </x:c>
      <x:c r="N681" s="7" t="inlineStr">
        <x:is>
          <x:t xml:space="preserve">건조</x:t>
        </x:is>
      </x:c>
      <x:c r="O681" s="7" t="inlineStr">
        <x:is>
          <x:t xml:space="preserve">맑음</x:t>
        </x:is>
      </x:c>
      <x:c r="P681" s="7" t="inlineStr">
        <x:is>
          <x:t xml:space="preserve">무관</x:t>
        </x:is>
      </x:c>
      <x:c r="Q681" s="7" t="inlineStr">
        <x:is>
          <x:t xml:space="preserve">흔함</x:t>
        </x:is>
      </x:c>
      <x:c r="R681" s="7" t="inlineStr">
        <x:is>
          <x:t xml:space="preserve">없음</x:t>
        </x:is>
      </x:c>
      <x:c r="S681" s="7" t="inlineStr">
        <x:is>
          <x:t xml:space="preserve">건조지</x:t>
        </x:is>
      </x:c>
      <x:c r="T681" s="7" t="inlineStr">
        <x:is>
          <x:t xml:space="preserve"/>
        </x:is>
      </x:c>
      <x:c r="U681" s="8" t="str">
        <x:f>INDEX('서식지_점수'!$E$4:$P$4,1,MATCH(MAX('서식지_점수'!E681:P681),'서식지_점수'!E681:P681,0))</x:f>
        <x:v>평원</x:v>
      </x:c>
      <x:c r="V681" s="8" t="str">
        <x:f>IF(T681&lt;&gt;"",T681,U681)</x:f>
        <x:v>평원</x:v>
      </x:c>
      <x:c r="W681" s="8" t="str">
        <x:f>IFERROR(INDEX('서식지_점수'!$E$4:$P$4,1,MATCH(MAXIFS('서식지_점수'!E681:P681,'서식지_점수'!E681:P681,"&lt;"&amp;MAX('서식지_점수'!E681:P681)),'서식지_점수'!E681:P681,0)),"")</x:f>
        <x:v>숲</x:v>
      </x:c>
      <x:c r="X681" s="8" t="str">
        <x:f>IF(T681&lt;&gt;"","수동확정",IF(MAX('서식지_점수'!E681:P681)-LARGE('서식지_점수'!E681:P681,2)&gt;=15,"높음",IF(MAX('서식지_점수'!E681:P681)-LARGE('서식지_점수'!E681:P681,2)&gt;=8,"보통","검토필요")))</x:f>
        <x:v>검토필요</x:v>
      </x:c>
      <x:c r="Y681" s="9" t="n">
        <x:f>IF(Q681="전설",8,IF(Q681="희귀",7,IF(J681="기본",1,IF(J681="중간",3,IF(J681="최종",IF(I681="",5,IF(I681&lt;=20,3,IF(I681&lt;=35,4,IF(I681&lt;=50,6,7)))),IF(Q681="드묾",4,2))))))</x:f>
        <x:v>1</x:v>
      </x:c>
      <x:c r="Z681" s="5" t="inlineStr">
        <x:is>
          <x:t xml:space="preserve">#cobblemon:is_arid; #cobblemon:is_end; #cobblemon:is_freezing; #cobblemon:is_overworld</x:t>
        </x:is>
      </x:c>
      <x:c r="AA681" s="5" t="inlineStr">
        <x:is>
          <x:t xml:space="preserve">common</x:t>
        </x:is>
      </x:c>
      <x:c r="AB681" s="5" t="inlineStr">
        <x:is>
          <x:t xml:space="preserve">예</x:t>
        </x:is>
      </x:c>
      <x:c r="AC681" s="8" t="str">
        <x:f>IF(T681&lt;&gt;"","수동확정",IF(X681="검토필요","검토필요",IF(S681="","원본없음","초기완료")))</x:f>
        <x:v>검토필요</x:v>
      </x:c>
      <x:c r="AD681" s="7" t="inlineStr">
        <x:is>
          <x:t xml:space="preserve"/>
        </x:is>
      </x:c>
      <x:c r="AE681" s="5" t="inlineStr">
        <x:is>
          <x:t xml:space="preserve">.tmp/cobblemon-1.7.3-source/common/src/main/resources/data/cobblemon/species/generation6/espurr.json</x:t>
        </x:is>
      </x:c>
      <x:c r="AF681" s="5" t="str">
        <x:f>"생활권|"&amp;K681</x:f>
        <x:v>생활권|육상</x:v>
      </x:c>
      <x:c r="AG681" s="5" t="str">
        <x:f>"지형|"&amp;L681</x:f>
        <x:v>지형|건조</x:v>
      </x:c>
      <x:c r="AH681" s="5" t="str">
        <x:f>"온도|"&amp;M681</x:f>
        <x:v>온도|고온</x:v>
      </x:c>
      <x:c r="AI681" s="5" t="str">
        <x:f>"습도|"&amp;N681</x:f>
        <x:v>습도|건조</x:v>
      </x:c>
      <x:c r="AJ681" s="5" t="str">
        <x:f>"날씨|"&amp;O681</x:f>
        <x:v>날씨|맑음</x:v>
      </x:c>
      <x:c r="AK681" s="5" t="str">
        <x:f>"특수태그|"&amp;R681</x:f>
        <x:v>특수태그|없음</x:v>
      </x:c>
      <x:c r="AL681" s="5" t="str">
        <x:f>"원본서식지|"&amp;S681</x:f>
        <x:v>원본서식지|건조지</x:v>
      </x:c>
      <x:c r="AM681" s="5" t="str">
        <x:f>"타입|"&amp;F681</x:f>
        <x:v>타입|에스퍼</x:v>
      </x:c>
      <x:c r="AN681" s="5" t="str">
        <x:f>"타입|"&amp;G681</x:f>
        <x:v>타입|</x:v>
      </x:c>
    </x:row>
    <x:row r="682" ht="24" customHeight="1">
      <x:c r="A682" s="5" t="n">
        <x:v>678</x:v>
      </x:c>
      <x:c r="B682" s="5" t="inlineStr">
        <x:is>
          <x:t xml:space="preserve">냐오닉스</x:t>
        </x:is>
      </x:c>
      <x:c r="C682" s="5" t="inlineStr">
        <x:is>
          <x:t xml:space="preserve">meowstic</x:t>
        </x:is>
      </x:c>
      <x:c r="D682" s="5" t="inlineStr">
        <x:is>
          <x:t xml:space="preserve">Meowstic</x:t>
        </x:is>
      </x:c>
      <x:c r="E682" s="5" t="n">
        <x:v>6</x:v>
      </x:c>
      <x:c r="F682" s="5" t="inlineStr">
        <x:is>
          <x:t xml:space="preserve">에스퍼</x:t>
        </x:is>
      </x:c>
      <x:c r="G682" s="5" t="inlineStr">
        <x:is>
          <x:t xml:space="preserve"/>
        </x:is>
      </x:c>
      <x:c r="H682" s="6" t="n">
        <x:v>8.5</x:v>
      </x:c>
      <x:c r="I682" s="5" t="n">
        <x:v>25</x:v>
      </x:c>
      <x:c r="J682" s="5" t="inlineStr">
        <x:is>
          <x:t xml:space="preserve">최종</x:t>
        </x:is>
      </x:c>
      <x:c r="K682" s="7" t="inlineStr">
        <x:is>
          <x:t xml:space="preserve">육상</x:t>
        </x:is>
      </x:c>
      <x:c r="L682" s="7" t="inlineStr">
        <x:is>
          <x:t xml:space="preserve">건조</x:t>
        </x:is>
      </x:c>
      <x:c r="M682" s="7" t="inlineStr">
        <x:is>
          <x:t xml:space="preserve">고온</x:t>
        </x:is>
      </x:c>
      <x:c r="N682" s="7" t="inlineStr">
        <x:is>
          <x:t xml:space="preserve">건조</x:t>
        </x:is>
      </x:c>
      <x:c r="O682" s="7" t="inlineStr">
        <x:is>
          <x:t xml:space="preserve">맑음</x:t>
        </x:is>
      </x:c>
      <x:c r="P682" s="7" t="inlineStr">
        <x:is>
          <x:t xml:space="preserve">무관</x:t>
        </x:is>
      </x:c>
      <x:c r="Q682" s="7" t="inlineStr">
        <x:is>
          <x:t xml:space="preserve">흔함</x:t>
        </x:is>
      </x:c>
      <x:c r="R682" s="7" t="inlineStr">
        <x:is>
          <x:t xml:space="preserve">없음</x:t>
        </x:is>
      </x:c>
      <x:c r="S682" s="7" t="inlineStr">
        <x:is>
          <x:t xml:space="preserve">건조지</x:t>
        </x:is>
      </x:c>
      <x:c r="T682" s="7" t="inlineStr">
        <x:is>
          <x:t xml:space="preserve"/>
        </x:is>
      </x:c>
      <x:c r="U682" s="8" t="str">
        <x:f>INDEX('서식지_점수'!$E$4:$P$4,1,MATCH(MAX('서식지_점수'!E682:P682),'서식지_점수'!E682:P682,0))</x:f>
        <x:v>평원</x:v>
      </x:c>
      <x:c r="V682" s="8" t="str">
        <x:f>IF(T682&lt;&gt;"",T682,U682)</x:f>
        <x:v>평원</x:v>
      </x:c>
      <x:c r="W682" s="8" t="str">
        <x:f>IFERROR(INDEX('서식지_점수'!$E$4:$P$4,1,MATCH(MAXIFS('서식지_점수'!E682:P682,'서식지_점수'!E682:P682,"&lt;"&amp;MAX('서식지_점수'!E682:P682)),'서식지_점수'!E682:P682,0)),"")</x:f>
        <x:v>숲</x:v>
      </x:c>
      <x:c r="X682" s="8" t="str">
        <x:f>IF(T682&lt;&gt;"","수동확정",IF(MAX('서식지_점수'!E682:P682)-LARGE('서식지_점수'!E682:P682,2)&gt;=15,"높음",IF(MAX('서식지_점수'!E682:P682)-LARGE('서식지_점수'!E682:P682,2)&gt;=8,"보통","검토필요")))</x:f>
        <x:v>검토필요</x:v>
      </x:c>
      <x:c r="Y682" s="9" t="n">
        <x:f>IF(Q682="전설",8,IF(Q682="희귀",7,IF(J682="기본",1,IF(J682="중간",3,IF(J682="최종",IF(I682="",5,IF(I682&lt;=20,3,IF(I682&lt;=35,4,IF(I682&lt;=50,6,7)))),IF(Q682="드묾",4,2))))))</x:f>
        <x:v>4</x:v>
      </x:c>
      <x:c r="Z682" s="5" t="inlineStr">
        <x:is>
          <x:t xml:space="preserve">#cobblemon:is_arid; #cobblemon:is_end; #cobblemon:is_freezing; #cobblemon:is_overworld</x:t>
        </x:is>
      </x:c>
      <x:c r="AA682" s="5" t="inlineStr">
        <x:is>
          <x:t xml:space="preserve">common</x:t>
        </x:is>
      </x:c>
      <x:c r="AB682" s="5" t="inlineStr">
        <x:is>
          <x:t xml:space="preserve">예</x:t>
        </x:is>
      </x:c>
      <x:c r="AC682" s="8" t="str">
        <x:f>IF(T682&lt;&gt;"","수동확정",IF(X682="검토필요","검토필요",IF(S682="","원본없음","초기완료")))</x:f>
        <x:v>검토필요</x:v>
      </x:c>
      <x:c r="AD682" s="7" t="inlineStr">
        <x:is>
          <x:t xml:space="preserve"/>
        </x:is>
      </x:c>
      <x:c r="AE682" s="5" t="inlineStr">
        <x:is>
          <x:t xml:space="preserve">.tmp/cobblemon-1.7.3-source/common/src/main/resources/data/cobblemon/species/generation6/meowstic.json</x:t>
        </x:is>
      </x:c>
      <x:c r="AF682" s="5" t="str">
        <x:f>"생활권|"&amp;K682</x:f>
        <x:v>생활권|육상</x:v>
      </x:c>
      <x:c r="AG682" s="5" t="str">
        <x:f>"지형|"&amp;L682</x:f>
        <x:v>지형|건조</x:v>
      </x:c>
      <x:c r="AH682" s="5" t="str">
        <x:f>"온도|"&amp;M682</x:f>
        <x:v>온도|고온</x:v>
      </x:c>
      <x:c r="AI682" s="5" t="str">
        <x:f>"습도|"&amp;N682</x:f>
        <x:v>습도|건조</x:v>
      </x:c>
      <x:c r="AJ682" s="5" t="str">
        <x:f>"날씨|"&amp;O682</x:f>
        <x:v>날씨|맑음</x:v>
      </x:c>
      <x:c r="AK682" s="5" t="str">
        <x:f>"특수태그|"&amp;R682</x:f>
        <x:v>특수태그|없음</x:v>
      </x:c>
      <x:c r="AL682" s="5" t="str">
        <x:f>"원본서식지|"&amp;S682</x:f>
        <x:v>원본서식지|건조지</x:v>
      </x:c>
      <x:c r="AM682" s="5" t="str">
        <x:f>"타입|"&amp;F682</x:f>
        <x:v>타입|에스퍼</x:v>
      </x:c>
      <x:c r="AN682" s="5" t="str">
        <x:f>"타입|"&amp;G682</x:f>
        <x:v>타입|</x:v>
      </x:c>
    </x:row>
    <x:row r="683" ht="24" customHeight="1">
      <x:c r="A683" s="5" t="n">
        <x:v>679</x:v>
      </x:c>
      <x:c r="B683" s="5" t="inlineStr">
        <x:is>
          <x:t xml:space="preserve">단칼빙</x:t>
        </x:is>
      </x:c>
      <x:c r="C683" s="5" t="inlineStr">
        <x:is>
          <x:t xml:space="preserve">honedge</x:t>
        </x:is>
      </x:c>
      <x:c r="D683" s="5" t="inlineStr">
        <x:is>
          <x:t xml:space="preserve">Honedge</x:t>
        </x:is>
      </x:c>
      <x:c r="E683" s="5" t="n">
        <x:v>6</x:v>
      </x:c>
      <x:c r="F683" s="5" t="inlineStr">
        <x:is>
          <x:t xml:space="preserve">강철</x:t>
        </x:is>
      </x:c>
      <x:c r="G683" s="5" t="inlineStr">
        <x:is>
          <x:t xml:space="preserve">고스트</x:t>
        </x:is>
      </x:c>
      <x:c r="H683" s="6" t="n">
        <x:v>2</x:v>
      </x:c>
      <x:c r="I683" s="5" t="n">
        <x:v>35</x:v>
      </x:c>
      <x:c r="J683" s="5" t="inlineStr">
        <x:is>
          <x:t xml:space="preserve">기본</x:t>
        </x:is>
      </x:c>
      <x:c r="K683" s="7" t="inlineStr">
        <x:is>
          <x:t xml:space="preserve">비행</x:t>
        </x:is>
      </x:c>
      <x:c r="L683" s="7" t="inlineStr">
        <x:is>
          <x:t xml:space="preserve">화산</x:t>
        </x:is>
      </x:c>
      <x:c r="M683" s="7" t="inlineStr">
        <x:is>
          <x:t xml:space="preserve">고온</x:t>
        </x:is>
      </x:c>
      <x:c r="N683" s="7" t="inlineStr">
        <x:is>
          <x:t xml:space="preserve">건조</x:t>
        </x:is>
      </x:c>
      <x:c r="O683" s="7" t="inlineStr">
        <x:is>
          <x:t xml:space="preserve">맑음</x:t>
        </x:is>
      </x:c>
      <x:c r="P683" s="7" t="inlineStr">
        <x:is>
          <x:t xml:space="preserve">밤</x:t>
        </x:is>
      </x:c>
      <x:c r="Q683" s="7" t="inlineStr">
        <x:is>
          <x:t xml:space="preserve">보통</x:t>
        </x:is>
      </x:c>
      <x:c r="R683" s="7" t="inlineStr">
        <x:is>
          <x:t xml:space="preserve">영체</x:t>
        </x:is>
      </x:c>
      <x:c r="S683" s="7" t="inlineStr">
        <x:is>
          <x:t xml:space="preserve">화산</x:t>
        </x:is>
      </x:c>
      <x:c r="T683" s="7" t="inlineStr">
        <x:is>
          <x:t xml:space="preserve"/>
        </x:is>
      </x:c>
      <x:c r="U683" s="8" t="str">
        <x:f>INDEX('서식지_점수'!$E$4:$P$4,1,MATCH(MAX('서식지_점수'!E683:P683),'서식지_점수'!E683:P683,0))</x:f>
        <x:v>산악</x:v>
      </x:c>
      <x:c r="V683" s="8" t="str">
        <x:f>IF(T683&lt;&gt;"",T683,U683)</x:f>
        <x:v>산악</x:v>
      </x:c>
      <x:c r="W683" s="8" t="str">
        <x:f>IFERROR(INDEX('서식지_점수'!$E$4:$P$4,1,MATCH(MAXIFS('서식지_점수'!E683:P683,'서식지_점수'!E683:P683,"&lt;"&amp;MAX('서식지_점수'!E683:P683)),'서식지_점수'!E683:P683,0)),"")</x:f>
        <x:v>평원</x:v>
      </x:c>
      <x:c r="X683" s="8" t="str">
        <x:f>IF(T683&lt;&gt;"","수동확정",IF(MAX('서식지_점수'!E683:P683)-LARGE('서식지_점수'!E683:P683,2)&gt;=15,"높음",IF(MAX('서식지_점수'!E683:P683)-LARGE('서식지_점수'!E683:P683,2)&gt;=8,"보통","검토필요")))</x:f>
        <x:v>검토필요</x:v>
      </x:c>
      <x:c r="Y683" s="9" t="n">
        <x:f>IF(Q683="전설",8,IF(Q683="희귀",7,IF(J683="기본",1,IF(J683="중간",3,IF(J683="최종",IF(I683="",5,IF(I683&lt;=20,3,IF(I683&lt;=35,4,IF(I683&lt;=50,6,7)))),IF(Q683="드묾",4,2))))))</x:f>
        <x:v>1</x:v>
      </x:c>
      <x:c r="Z683" s="5" t="inlineStr">
        <x:is>
          <x:t xml:space="preserve">#aether:is_aether; #cobblemon:is_overworld; #minecraft:is_nether</x:t>
        </x:is>
      </x:c>
      <x:c r="AA683" s="5" t="inlineStr">
        <x:is>
          <x:t xml:space="preserve">uncommon</x:t>
        </x:is>
      </x:c>
      <x:c r="AB683" s="5" t="inlineStr">
        <x:is>
          <x:t xml:space="preserve">예</x:t>
        </x:is>
      </x:c>
      <x:c r="AC683" s="8" t="str">
        <x:f>IF(T683&lt;&gt;"","수동확정",IF(X683="검토필요","검토필요",IF(S683="","원본없음","초기완료")))</x:f>
        <x:v>검토필요</x:v>
      </x:c>
      <x:c r="AD683" s="7" t="inlineStr">
        <x:is>
          <x:t xml:space="preserve"/>
        </x:is>
      </x:c>
      <x:c r="AE683" s="5" t="inlineStr">
        <x:is>
          <x:t xml:space="preserve">.tmp/cobblemon-1.7.3-source/common/src/main/resources/data/cobblemon/species/generation6/honedge.json</x:t>
        </x:is>
      </x:c>
      <x:c r="AF683" s="5" t="str">
        <x:f>"생활권|"&amp;K683</x:f>
        <x:v>생활권|비행</x:v>
      </x:c>
      <x:c r="AG683" s="5" t="str">
        <x:f>"지형|"&amp;L683</x:f>
        <x:v>지형|화산</x:v>
      </x:c>
      <x:c r="AH683" s="5" t="str">
        <x:f>"온도|"&amp;M683</x:f>
        <x:v>온도|고온</x:v>
      </x:c>
      <x:c r="AI683" s="5" t="str">
        <x:f>"습도|"&amp;N683</x:f>
        <x:v>습도|건조</x:v>
      </x:c>
      <x:c r="AJ683" s="5" t="str">
        <x:f>"날씨|"&amp;O683</x:f>
        <x:v>날씨|맑음</x:v>
      </x:c>
      <x:c r="AK683" s="5" t="str">
        <x:f>"특수태그|"&amp;R683</x:f>
        <x:v>특수태그|영체</x:v>
      </x:c>
      <x:c r="AL683" s="5" t="str">
        <x:f>"원본서식지|"&amp;S683</x:f>
        <x:v>원본서식지|화산</x:v>
      </x:c>
      <x:c r="AM683" s="5" t="str">
        <x:f>"타입|"&amp;F683</x:f>
        <x:v>타입|강철</x:v>
      </x:c>
      <x:c r="AN683" s="5" t="str">
        <x:f>"타입|"&amp;G683</x:f>
        <x:v>타입|고스트</x:v>
      </x:c>
    </x:row>
    <x:row r="684" ht="24" customHeight="1">
      <x:c r="A684" s="5" t="n">
        <x:v>680</x:v>
      </x:c>
      <x:c r="B684" s="5" t="inlineStr">
        <x:is>
          <x:t xml:space="preserve">쌍검킬</x:t>
        </x:is>
      </x:c>
      <x:c r="C684" s="5" t="inlineStr">
        <x:is>
          <x:t xml:space="preserve">doublade</x:t>
        </x:is>
      </x:c>
      <x:c r="D684" s="5" t="inlineStr">
        <x:is>
          <x:t xml:space="preserve">Doublade</x:t>
        </x:is>
      </x:c>
      <x:c r="E684" s="5" t="n">
        <x:v>6</x:v>
      </x:c>
      <x:c r="F684" s="5" t="inlineStr">
        <x:is>
          <x:t xml:space="preserve">강철</x:t>
        </x:is>
      </x:c>
      <x:c r="G684" s="5" t="inlineStr">
        <x:is>
          <x:t xml:space="preserve">고스트</x:t>
        </x:is>
      </x:c>
      <x:c r="H684" s="6" t="n">
        <x:v>4.5</x:v>
      </x:c>
      <x:c r="I684" s="5" t="n">
        <x:v>35</x:v>
      </x:c>
      <x:c r="J684" s="5" t="inlineStr">
        <x:is>
          <x:t xml:space="preserve">중간</x:t>
        </x:is>
      </x:c>
      <x:c r="K684" s="7" t="inlineStr">
        <x:is>
          <x:t xml:space="preserve">비행</x:t>
        </x:is>
      </x:c>
      <x:c r="L684" s="7" t="inlineStr">
        <x:is>
          <x:t xml:space="preserve">화산</x:t>
        </x:is>
      </x:c>
      <x:c r="M684" s="7" t="inlineStr">
        <x:is>
          <x:t xml:space="preserve">고온</x:t>
        </x:is>
      </x:c>
      <x:c r="N684" s="7" t="inlineStr">
        <x:is>
          <x:t xml:space="preserve">건조</x:t>
        </x:is>
      </x:c>
      <x:c r="O684" s="7" t="inlineStr">
        <x:is>
          <x:t xml:space="preserve">맑음</x:t>
        </x:is>
      </x:c>
      <x:c r="P684" s="7" t="inlineStr">
        <x:is>
          <x:t xml:space="preserve">밤</x:t>
        </x:is>
      </x:c>
      <x:c r="Q684" s="7" t="inlineStr">
        <x:is>
          <x:t xml:space="preserve">보통</x:t>
        </x:is>
      </x:c>
      <x:c r="R684" s="7" t="inlineStr">
        <x:is>
          <x:t xml:space="preserve">영체</x:t>
        </x:is>
      </x:c>
      <x:c r="S684" s="7" t="inlineStr">
        <x:is>
          <x:t xml:space="preserve">화산</x:t>
        </x:is>
      </x:c>
      <x:c r="T684" s="7" t="inlineStr">
        <x:is>
          <x:t xml:space="preserve"/>
        </x:is>
      </x:c>
      <x:c r="U684" s="8" t="str">
        <x:f>INDEX('서식지_점수'!$E$4:$P$4,1,MATCH(MAX('서식지_점수'!E684:P684),'서식지_점수'!E684:P684,0))</x:f>
        <x:v>산악</x:v>
      </x:c>
      <x:c r="V684" s="8" t="str">
        <x:f>IF(T684&lt;&gt;"",T684,U684)</x:f>
        <x:v>산악</x:v>
      </x:c>
      <x:c r="W684" s="8" t="str">
        <x:f>IFERROR(INDEX('서식지_점수'!$E$4:$P$4,1,MATCH(MAXIFS('서식지_점수'!E684:P684,'서식지_점수'!E684:P684,"&lt;"&amp;MAX('서식지_점수'!E684:P684)),'서식지_점수'!E684:P684,0)),"")</x:f>
        <x:v>평원</x:v>
      </x:c>
      <x:c r="X684" s="8" t="str">
        <x:f>IF(T684&lt;&gt;"","수동확정",IF(MAX('서식지_점수'!E684:P684)-LARGE('서식지_점수'!E684:P684,2)&gt;=15,"높음",IF(MAX('서식지_점수'!E684:P684)-LARGE('서식지_점수'!E684:P684,2)&gt;=8,"보통","검토필요")))</x:f>
        <x:v>검토필요</x:v>
      </x:c>
      <x:c r="Y684" s="9" t="n">
        <x:f>IF(Q684="전설",8,IF(Q684="희귀",7,IF(J684="기본",1,IF(J684="중간",3,IF(J684="최종",IF(I684="",5,IF(I684&lt;=20,3,IF(I684&lt;=35,4,IF(I684&lt;=50,6,7)))),IF(Q684="드묾",4,2))))))</x:f>
        <x:v>3</x:v>
      </x:c>
      <x:c r="Z684" s="5" t="inlineStr">
        <x:is>
          <x:t xml:space="preserve">#aether:is_aether; #cobblemon:is_overworld; #minecraft:is_nether</x:t>
        </x:is>
      </x:c>
      <x:c r="AA684" s="5" t="inlineStr">
        <x:is>
          <x:t xml:space="preserve">uncommon</x:t>
        </x:is>
      </x:c>
      <x:c r="AB684" s="5" t="inlineStr">
        <x:is>
          <x:t xml:space="preserve">예</x:t>
        </x:is>
      </x:c>
      <x:c r="AC684" s="8" t="str">
        <x:f>IF(T684&lt;&gt;"","수동확정",IF(X684="검토필요","검토필요",IF(S684="","원본없음","초기완료")))</x:f>
        <x:v>검토필요</x:v>
      </x:c>
      <x:c r="AD684" s="7" t="inlineStr">
        <x:is>
          <x:t xml:space="preserve"/>
        </x:is>
      </x:c>
      <x:c r="AE684" s="5" t="inlineStr">
        <x:is>
          <x:t xml:space="preserve">.tmp/cobblemon-1.7.3-source/common/src/main/resources/data/cobblemon/species/generation6/doublade.json</x:t>
        </x:is>
      </x:c>
      <x:c r="AF684" s="5" t="str">
        <x:f>"생활권|"&amp;K684</x:f>
        <x:v>생활권|비행</x:v>
      </x:c>
      <x:c r="AG684" s="5" t="str">
        <x:f>"지형|"&amp;L684</x:f>
        <x:v>지형|화산</x:v>
      </x:c>
      <x:c r="AH684" s="5" t="str">
        <x:f>"온도|"&amp;M684</x:f>
        <x:v>온도|고온</x:v>
      </x:c>
      <x:c r="AI684" s="5" t="str">
        <x:f>"습도|"&amp;N684</x:f>
        <x:v>습도|건조</x:v>
      </x:c>
      <x:c r="AJ684" s="5" t="str">
        <x:f>"날씨|"&amp;O684</x:f>
        <x:v>날씨|맑음</x:v>
      </x:c>
      <x:c r="AK684" s="5" t="str">
        <x:f>"특수태그|"&amp;R684</x:f>
        <x:v>특수태그|영체</x:v>
      </x:c>
      <x:c r="AL684" s="5" t="str">
        <x:f>"원본서식지|"&amp;S684</x:f>
        <x:v>원본서식지|화산</x:v>
      </x:c>
      <x:c r="AM684" s="5" t="str">
        <x:f>"타입|"&amp;F684</x:f>
        <x:v>타입|강철</x:v>
      </x:c>
      <x:c r="AN684" s="5" t="str">
        <x:f>"타입|"&amp;G684</x:f>
        <x:v>타입|고스트</x:v>
      </x:c>
    </x:row>
    <x:row r="685" ht="24" customHeight="1">
      <x:c r="A685" s="5" t="n">
        <x:v>681</x:v>
      </x:c>
      <x:c r="B685" s="5" t="inlineStr">
        <x:is>
          <x:t xml:space="preserve">킬가르도</x:t>
        </x:is>
      </x:c>
      <x:c r="C685" s="5" t="inlineStr">
        <x:is>
          <x:t xml:space="preserve">aegislash</x:t>
        </x:is>
      </x:c>
      <x:c r="D685" s="5" t="inlineStr">
        <x:is>
          <x:t xml:space="preserve">Aegislash</x:t>
        </x:is>
      </x:c>
      <x:c r="E685" s="5" t="n">
        <x:v>6</x:v>
      </x:c>
      <x:c r="F685" s="5" t="inlineStr">
        <x:is>
          <x:t xml:space="preserve">강철</x:t>
        </x:is>
      </x:c>
      <x:c r="G685" s="5" t="inlineStr">
        <x:is>
          <x:t xml:space="preserve">고스트</x:t>
        </x:is>
      </x:c>
      <x:c r="H685" s="6" t="n">
        <x:v>53</x:v>
      </x:c>
      <x:c r="I685" s="5" t="n">
        <x:v>35</x:v>
      </x:c>
      <x:c r="J685" s="5" t="inlineStr">
        <x:is>
          <x:t xml:space="preserve">최종</x:t>
        </x:is>
      </x:c>
      <x:c r="K685" s="7" t="inlineStr">
        <x:is>
          <x:t xml:space="preserve">비행</x:t>
        </x:is>
      </x:c>
      <x:c r="L685" s="7" t="inlineStr">
        <x:is>
          <x:t xml:space="preserve">화산</x:t>
        </x:is>
      </x:c>
      <x:c r="M685" s="7" t="inlineStr">
        <x:is>
          <x:t xml:space="preserve">고온</x:t>
        </x:is>
      </x:c>
      <x:c r="N685" s="7" t="inlineStr">
        <x:is>
          <x:t xml:space="preserve">건조</x:t>
        </x:is>
      </x:c>
      <x:c r="O685" s="7" t="inlineStr">
        <x:is>
          <x:t xml:space="preserve">맑음</x:t>
        </x:is>
      </x:c>
      <x:c r="P685" s="7" t="inlineStr">
        <x:is>
          <x:t xml:space="preserve">밤</x:t>
        </x:is>
      </x:c>
      <x:c r="Q685" s="7" t="inlineStr">
        <x:is>
          <x:t xml:space="preserve">보통</x:t>
        </x:is>
      </x:c>
      <x:c r="R685" s="7" t="inlineStr">
        <x:is>
          <x:t xml:space="preserve">영체</x:t>
        </x:is>
      </x:c>
      <x:c r="S685" s="7" t="inlineStr">
        <x:is>
          <x:t xml:space="preserve">화산</x:t>
        </x:is>
      </x:c>
      <x:c r="T685" s="7" t="inlineStr">
        <x:is>
          <x:t xml:space="preserve"/>
        </x:is>
      </x:c>
      <x:c r="U685" s="8" t="str">
        <x:f>INDEX('서식지_점수'!$E$4:$P$4,1,MATCH(MAX('서식지_점수'!E685:P685),'서식지_점수'!E685:P685,0))</x:f>
        <x:v>산악</x:v>
      </x:c>
      <x:c r="V685" s="8" t="str">
        <x:f>IF(T685&lt;&gt;"",T685,U685)</x:f>
        <x:v>산악</x:v>
      </x:c>
      <x:c r="W685" s="8" t="str">
        <x:f>IFERROR(INDEX('서식지_점수'!$E$4:$P$4,1,MATCH(MAXIFS('서식지_점수'!E685:P685,'서식지_점수'!E685:P685,"&lt;"&amp;MAX('서식지_점수'!E685:P685)),'서식지_점수'!E685:P685,0)),"")</x:f>
        <x:v>평원</x:v>
      </x:c>
      <x:c r="X685" s="8" t="str">
        <x:f>IF(T685&lt;&gt;"","수동확정",IF(MAX('서식지_점수'!E685:P685)-LARGE('서식지_점수'!E685:P685,2)&gt;=15,"높음",IF(MAX('서식지_점수'!E685:P685)-LARGE('서식지_점수'!E685:P685,2)&gt;=8,"보통","검토필요")))</x:f>
        <x:v>검토필요</x:v>
      </x:c>
      <x:c r="Y685" s="9" t="n">
        <x:f>IF(Q685="전설",8,IF(Q685="희귀",7,IF(J685="기본",1,IF(J685="중간",3,IF(J685="최종",IF(I685="",5,IF(I685&lt;=20,3,IF(I685&lt;=35,4,IF(I685&lt;=50,6,7)))),IF(Q685="드묾",4,2))))))</x:f>
        <x:v>4</x:v>
      </x:c>
      <x:c r="Z685" s="5" t="inlineStr">
        <x:is>
          <x:t xml:space="preserve">#aether:is_aether; #cobblemon:is_overworld; #minecraft:is_nether</x:t>
        </x:is>
      </x:c>
      <x:c r="AA685" s="5" t="inlineStr">
        <x:is>
          <x:t xml:space="preserve">uncommon</x:t>
        </x:is>
      </x:c>
      <x:c r="AB685" s="5" t="inlineStr">
        <x:is>
          <x:t xml:space="preserve">예</x:t>
        </x:is>
      </x:c>
      <x:c r="AC685" s="8" t="str">
        <x:f>IF(T685&lt;&gt;"","수동확정",IF(X685="검토필요","검토필요",IF(S685="","원본없음","초기완료")))</x:f>
        <x:v>검토필요</x:v>
      </x:c>
      <x:c r="AD685" s="7" t="inlineStr">
        <x:is>
          <x:t xml:space="preserve"/>
        </x:is>
      </x:c>
      <x:c r="AE685" s="5" t="inlineStr">
        <x:is>
          <x:t xml:space="preserve">.tmp/cobblemon-1.7.3-source/common/src/main/resources/data/cobblemon/species/generation6/aegislash.json</x:t>
        </x:is>
      </x:c>
      <x:c r="AF685" s="5" t="str">
        <x:f>"생활권|"&amp;K685</x:f>
        <x:v>생활권|비행</x:v>
      </x:c>
      <x:c r="AG685" s="5" t="str">
        <x:f>"지형|"&amp;L685</x:f>
        <x:v>지형|화산</x:v>
      </x:c>
      <x:c r="AH685" s="5" t="str">
        <x:f>"온도|"&amp;M685</x:f>
        <x:v>온도|고온</x:v>
      </x:c>
      <x:c r="AI685" s="5" t="str">
        <x:f>"습도|"&amp;N685</x:f>
        <x:v>습도|건조</x:v>
      </x:c>
      <x:c r="AJ685" s="5" t="str">
        <x:f>"날씨|"&amp;O685</x:f>
        <x:v>날씨|맑음</x:v>
      </x:c>
      <x:c r="AK685" s="5" t="str">
        <x:f>"특수태그|"&amp;R685</x:f>
        <x:v>특수태그|영체</x:v>
      </x:c>
      <x:c r="AL685" s="5" t="str">
        <x:f>"원본서식지|"&amp;S685</x:f>
        <x:v>원본서식지|화산</x:v>
      </x:c>
      <x:c r="AM685" s="5" t="str">
        <x:f>"타입|"&amp;F685</x:f>
        <x:v>타입|강철</x:v>
      </x:c>
      <x:c r="AN685" s="5" t="str">
        <x:f>"타입|"&amp;G685</x:f>
        <x:v>타입|고스트</x:v>
      </x:c>
    </x:row>
    <x:row r="686" ht="24" customHeight="1">
      <x:c r="A686" s="5" t="n">
        <x:v>682</x:v>
      </x:c>
      <x:c r="B686" s="5" t="inlineStr">
        <x:is>
          <x:t xml:space="preserve">슈쁘</x:t>
        </x:is>
      </x:c>
      <x:c r="C686" s="5" t="inlineStr">
        <x:is>
          <x:t xml:space="preserve">spritzee</x:t>
        </x:is>
      </x:c>
      <x:c r="D686" s="5" t="inlineStr">
        <x:is>
          <x:t xml:space="preserve">Spritzee</x:t>
        </x:is>
      </x:c>
      <x:c r="E686" s="5" t="n">
        <x:v>6</x:v>
      </x:c>
      <x:c r="F686" s="5" t="inlineStr">
        <x:is>
          <x:t xml:space="preserve">페어리</x:t>
        </x:is>
      </x:c>
      <x:c r="G686" s="5" t="inlineStr">
        <x:is>
          <x:t xml:space="preserve"/>
        </x:is>
      </x:c>
      <x:c r="H686" s="6" t="n">
        <x:v>0.5</x:v>
      </x:c>
      <x:c r="I686" s="5" t="n"/>
      <x:c r="J686" s="5" t="inlineStr">
        <x:is>
          <x:t xml:space="preserve">기본</x:t>
        </x:is>
      </x:c>
      <x:c r="K686" s="7" t="inlineStr">
        <x:is>
          <x:t xml:space="preserve">비행</x:t>
        </x:is>
      </x:c>
      <x:c r="L686" s="7" t="inlineStr">
        <x:is>
          <x:t xml:space="preserve">수목</x:t>
        </x:is>
      </x:c>
      <x:c r="M686" s="7" t="inlineStr">
        <x:is>
          <x:t xml:space="preserve">온대</x:t>
        </x:is>
      </x:c>
      <x:c r="N686" s="7" t="inlineStr">
        <x:is>
          <x:t xml:space="preserve">보통</x:t>
        </x:is>
      </x:c>
      <x:c r="O686" s="7" t="inlineStr">
        <x:is>
          <x:t xml:space="preserve">무관</x:t>
        </x:is>
      </x:c>
      <x:c r="P686" s="7" t="inlineStr">
        <x:is>
          <x:t xml:space="preserve">무관</x:t>
        </x:is>
      </x:c>
      <x:c r="Q686" s="7" t="inlineStr">
        <x:is>
          <x:t xml:space="preserve">흔함</x:t>
        </x:is>
      </x:c>
      <x:c r="R686" s="7" t="inlineStr">
        <x:is>
          <x:t xml:space="preserve">없음</x:t>
        </x:is>
      </x:c>
      <x:c r="S686" s="7" t="inlineStr">
        <x:is>
          <x:t xml:space="preserve">숲</x:t>
        </x:is>
      </x:c>
      <x:c r="T686" s="7" t="inlineStr">
        <x:is>
          <x:t xml:space="preserve"/>
        </x:is>
      </x:c>
      <x:c r="U686" s="8" t="str">
        <x:f>INDEX('서식지_점수'!$E$4:$P$4,1,MATCH(MAX('서식지_점수'!E686:P686),'서식지_점수'!E686:P686,0))</x:f>
        <x:v>산악</x:v>
      </x:c>
      <x:c r="V686" s="8" t="str">
        <x:f>IF(T686&lt;&gt;"",T686,U686)</x:f>
        <x:v>산악</x:v>
      </x:c>
      <x:c r="W686" s="8" t="str">
        <x:f>IFERROR(INDEX('서식지_점수'!$E$4:$P$4,1,MATCH(MAXIFS('서식지_점수'!E686:P686,'서식지_점수'!E686:P686,"&lt;"&amp;MAX('서식지_점수'!E686:P686)),'서식지_점수'!E686:P686,0)),"")</x:f>
        <x:v>평원</x:v>
      </x:c>
      <x:c r="X686" s="8" t="str">
        <x:f>IF(T686&lt;&gt;"","수동확정",IF(MAX('서식지_점수'!E686:P686)-LARGE('서식지_점수'!E686:P686,2)&gt;=15,"높음",IF(MAX('서식지_점수'!E686:P686)-LARGE('서식지_점수'!E686:P686,2)&gt;=8,"보통","검토필요")))</x:f>
        <x:v>검토필요</x:v>
      </x:c>
      <x:c r="Y686" s="9" t="n">
        <x:f>IF(Q686="전설",8,IF(Q686="희귀",7,IF(J686="기본",1,IF(J686="중간",3,IF(J686="최종",IF(I686="",5,IF(I686&lt;=20,3,IF(I686&lt;=35,4,IF(I686&lt;=50,6,7)))),IF(Q686="드묾",4,2))))))</x:f>
        <x:v>1</x:v>
      </x:c>
      <x:c r="Z686" s="5" t="inlineStr">
        <x:is>
          <x:t xml:space="preserve">#cobblemon:is_floral; #cobblemon:is_forest</x:t>
        </x:is>
      </x:c>
      <x:c r="AA686" s="5" t="inlineStr">
        <x:is>
          <x:t xml:space="preserve">common</x:t>
        </x:is>
      </x:c>
      <x:c r="AB686" s="5" t="inlineStr">
        <x:is>
          <x:t xml:space="preserve">예</x:t>
        </x:is>
      </x:c>
      <x:c r="AC686" s="8" t="str">
        <x:f>IF(T686&lt;&gt;"","수동확정",IF(X686="검토필요","검토필요",IF(S686="","원본없음","초기완료")))</x:f>
        <x:v>검토필요</x:v>
      </x:c>
      <x:c r="AD686" s="7" t="inlineStr">
        <x:is>
          <x:t xml:space="preserve"/>
        </x:is>
      </x:c>
      <x:c r="AE686" s="5" t="inlineStr">
        <x:is>
          <x:t xml:space="preserve">.tmp/cobblemon-1.7.3-source/common/src/main/resources/data/cobblemon/species/generation6/spritzee.json</x:t>
        </x:is>
      </x:c>
      <x:c r="AF686" s="5" t="str">
        <x:f>"생활권|"&amp;K686</x:f>
        <x:v>생활권|비행</x:v>
      </x:c>
      <x:c r="AG686" s="5" t="str">
        <x:f>"지형|"&amp;L686</x:f>
        <x:v>지형|수목</x:v>
      </x:c>
      <x:c r="AH686" s="5" t="str">
        <x:f>"온도|"&amp;M686</x:f>
        <x:v>온도|온대</x:v>
      </x:c>
      <x:c r="AI686" s="5" t="str">
        <x:f>"습도|"&amp;N686</x:f>
        <x:v>습도|보통</x:v>
      </x:c>
      <x:c r="AJ686" s="5" t="str">
        <x:f>"날씨|"&amp;O686</x:f>
        <x:v>날씨|무관</x:v>
      </x:c>
      <x:c r="AK686" s="5" t="str">
        <x:f>"특수태그|"&amp;R686</x:f>
        <x:v>특수태그|없음</x:v>
      </x:c>
      <x:c r="AL686" s="5" t="str">
        <x:f>"원본서식지|"&amp;S686</x:f>
        <x:v>원본서식지|숲</x:v>
      </x:c>
      <x:c r="AM686" s="5" t="str">
        <x:f>"타입|"&amp;F686</x:f>
        <x:v>타입|페어리</x:v>
      </x:c>
      <x:c r="AN686" s="5" t="str">
        <x:f>"타입|"&amp;G686</x:f>
        <x:v>타입|</x:v>
      </x:c>
    </x:row>
    <x:row r="687" ht="24" customHeight="1">
      <x:c r="A687" s="5" t="n">
        <x:v>683</x:v>
      </x:c>
      <x:c r="B687" s="5" t="inlineStr">
        <x:is>
          <x:t xml:space="preserve">프레프티르</x:t>
        </x:is>
      </x:c>
      <x:c r="C687" s="5" t="inlineStr">
        <x:is>
          <x:t xml:space="preserve">aromatisse</x:t>
        </x:is>
      </x:c>
      <x:c r="D687" s="5" t="inlineStr">
        <x:is>
          <x:t xml:space="preserve">Aromatisse</x:t>
        </x:is>
      </x:c>
      <x:c r="E687" s="5" t="n">
        <x:v>6</x:v>
      </x:c>
      <x:c r="F687" s="5" t="inlineStr">
        <x:is>
          <x:t xml:space="preserve">페어리</x:t>
        </x:is>
      </x:c>
      <x:c r="G687" s="5" t="inlineStr">
        <x:is>
          <x:t xml:space="preserve"/>
        </x:is>
      </x:c>
      <x:c r="H687" s="6" t="n">
        <x:v>15.5</x:v>
      </x:c>
      <x:c r="I687" s="5" t="n"/>
      <x:c r="J687" s="5" t="inlineStr">
        <x:is>
          <x:t xml:space="preserve">최종</x:t>
        </x:is>
      </x:c>
      <x:c r="K687" s="7" t="inlineStr">
        <x:is>
          <x:t xml:space="preserve">육상</x:t>
        </x:is>
      </x:c>
      <x:c r="L687" s="7" t="inlineStr">
        <x:is>
          <x:t xml:space="preserve">수목</x:t>
        </x:is>
      </x:c>
      <x:c r="M687" s="7" t="inlineStr">
        <x:is>
          <x:t xml:space="preserve">온대</x:t>
        </x:is>
      </x:c>
      <x:c r="N687" s="7" t="inlineStr">
        <x:is>
          <x:t xml:space="preserve">보통</x:t>
        </x:is>
      </x:c>
      <x:c r="O687" s="7" t="inlineStr">
        <x:is>
          <x:t xml:space="preserve">무관</x:t>
        </x:is>
      </x:c>
      <x:c r="P687" s="7" t="inlineStr">
        <x:is>
          <x:t xml:space="preserve">무관</x:t>
        </x:is>
      </x:c>
      <x:c r="Q687" s="7" t="inlineStr">
        <x:is>
          <x:t xml:space="preserve">보통</x:t>
        </x:is>
      </x:c>
      <x:c r="R687" s="7" t="inlineStr">
        <x:is>
          <x:t xml:space="preserve">없음</x:t>
        </x:is>
      </x:c>
      <x:c r="S687" s="7" t="inlineStr">
        <x:is>
          <x:t xml:space="preserve">숲</x:t>
        </x:is>
      </x:c>
      <x:c r="T687" s="7" t="inlineStr">
        <x:is>
          <x:t xml:space="preserve"/>
        </x:is>
      </x:c>
      <x:c r="U687" s="8" t="str">
        <x:f>INDEX('서식지_점수'!$E$4:$P$4,1,MATCH(MAX('서식지_점수'!E687:P687),'서식지_점수'!E687:P687,0))</x:f>
        <x:v>평원</x:v>
      </x:c>
      <x:c r="V687" s="8" t="str">
        <x:f>IF(T687&lt;&gt;"",T687,U687)</x:f>
        <x:v>평원</x:v>
      </x:c>
      <x:c r="W687" s="8" t="str">
        <x:f>IFERROR(INDEX('서식지_점수'!$E$4:$P$4,1,MATCH(MAXIFS('서식지_점수'!E687:P687,'서식지_점수'!E687:P687,"&lt;"&amp;MAX('서식지_점수'!E687:P687)),'서식지_점수'!E687:P687,0)),"")</x:f>
        <x:v>숲</x:v>
      </x:c>
      <x:c r="X687" s="8" t="str">
        <x:f>IF(T687&lt;&gt;"","수동확정",IF(MAX('서식지_점수'!E687:P687)-LARGE('서식지_점수'!E687:P687,2)&gt;=15,"높음",IF(MAX('서식지_점수'!E687:P687)-LARGE('서식지_점수'!E687:P687,2)&gt;=8,"보통","검토필요")))</x:f>
        <x:v>검토필요</x:v>
      </x:c>
      <x:c r="Y687" s="9" t="n">
        <x:f>IF(Q687="전설",8,IF(Q687="희귀",7,IF(J687="기본",1,IF(J687="중간",3,IF(J687="최종",IF(I687="",5,IF(I687&lt;=20,3,IF(I687&lt;=35,4,IF(I687&lt;=50,6,7)))),IF(Q687="드묾",4,2))))))</x:f>
        <x:v>5</x:v>
      </x:c>
      <x:c r="Z687" s="5" t="inlineStr">
        <x:is>
          <x:t xml:space="preserve">#cobblemon:is_floral; #cobblemon:is_forest</x:t>
        </x:is>
      </x:c>
      <x:c r="AA687" s="5" t="inlineStr">
        <x:is>
          <x:t xml:space="preserve">uncommon</x:t>
        </x:is>
      </x:c>
      <x:c r="AB687" s="5" t="inlineStr">
        <x:is>
          <x:t xml:space="preserve">예</x:t>
        </x:is>
      </x:c>
      <x:c r="AC687" s="8" t="str">
        <x:f>IF(T687&lt;&gt;"","수동확정",IF(X687="검토필요","검토필요",IF(S687="","원본없음","초기완료")))</x:f>
        <x:v>검토필요</x:v>
      </x:c>
      <x:c r="AD687" s="7" t="inlineStr">
        <x:is>
          <x:t xml:space="preserve"/>
        </x:is>
      </x:c>
      <x:c r="AE687" s="5" t="inlineStr">
        <x:is>
          <x:t xml:space="preserve">.tmp/cobblemon-1.7.3-source/common/src/main/resources/data/cobblemon/species/generation6/aromatisse.json</x:t>
        </x:is>
      </x:c>
      <x:c r="AF687" s="5" t="str">
        <x:f>"생활권|"&amp;K687</x:f>
        <x:v>생활권|육상</x:v>
      </x:c>
      <x:c r="AG687" s="5" t="str">
        <x:f>"지형|"&amp;L687</x:f>
        <x:v>지형|수목</x:v>
      </x:c>
      <x:c r="AH687" s="5" t="str">
        <x:f>"온도|"&amp;M687</x:f>
        <x:v>온도|온대</x:v>
      </x:c>
      <x:c r="AI687" s="5" t="str">
        <x:f>"습도|"&amp;N687</x:f>
        <x:v>습도|보통</x:v>
      </x:c>
      <x:c r="AJ687" s="5" t="str">
        <x:f>"날씨|"&amp;O687</x:f>
        <x:v>날씨|무관</x:v>
      </x:c>
      <x:c r="AK687" s="5" t="str">
        <x:f>"특수태그|"&amp;R687</x:f>
        <x:v>특수태그|없음</x:v>
      </x:c>
      <x:c r="AL687" s="5" t="str">
        <x:f>"원본서식지|"&amp;S687</x:f>
        <x:v>원본서식지|숲</x:v>
      </x:c>
      <x:c r="AM687" s="5" t="str">
        <x:f>"타입|"&amp;F687</x:f>
        <x:v>타입|페어리</x:v>
      </x:c>
      <x:c r="AN687" s="5" t="str">
        <x:f>"타입|"&amp;G687</x:f>
        <x:v>타입|</x:v>
      </x:c>
    </x:row>
    <x:row r="688" ht="24" customHeight="1">
      <x:c r="A688" s="5" t="n">
        <x:v>684</x:v>
      </x:c>
      <x:c r="B688" s="5" t="inlineStr">
        <x:is>
          <x:t xml:space="preserve">나룸퍼프</x:t>
        </x:is>
      </x:c>
      <x:c r="C688" s="5" t="inlineStr">
        <x:is>
          <x:t xml:space="preserve">swirlix</x:t>
        </x:is>
      </x:c>
      <x:c r="D688" s="5" t="inlineStr">
        <x:is>
          <x:t xml:space="preserve">Swirlix</x:t>
        </x:is>
      </x:c>
      <x:c r="E688" s="5" t="n">
        <x:v>6</x:v>
      </x:c>
      <x:c r="F688" s="5" t="inlineStr">
        <x:is>
          <x:t xml:space="preserve">페어리</x:t>
        </x:is>
      </x:c>
      <x:c r="G688" s="5" t="inlineStr">
        <x:is>
          <x:t xml:space="preserve"/>
        </x:is>
      </x:c>
      <x:c r="H688" s="6" t="n">
        <x:v>3.5</x:v>
      </x:c>
      <x:c r="I688" s="5" t="n"/>
      <x:c r="J688" s="5" t="inlineStr">
        <x:is>
          <x:t xml:space="preserve">기본</x:t>
        </x:is>
      </x:c>
      <x:c r="K688" s="7" t="inlineStr">
        <x:is>
          <x:t xml:space="preserve">비행</x:t>
        </x:is>
      </x:c>
      <x:c r="L688" s="7" t="inlineStr">
        <x:is>
          <x:t xml:space="preserve">수목</x:t>
        </x:is>
      </x:c>
      <x:c r="M688" s="7" t="inlineStr">
        <x:is>
          <x:t xml:space="preserve">온대</x:t>
        </x:is>
      </x:c>
      <x:c r="N688" s="7" t="inlineStr">
        <x:is>
          <x:t xml:space="preserve">보통</x:t>
        </x:is>
      </x:c>
      <x:c r="O688" s="7" t="inlineStr">
        <x:is>
          <x:t xml:space="preserve">무관</x:t>
        </x:is>
      </x:c>
      <x:c r="P688" s="7" t="inlineStr">
        <x:is>
          <x:t xml:space="preserve">무관</x:t>
        </x:is>
      </x:c>
      <x:c r="Q688" s="7" t="inlineStr">
        <x:is>
          <x:t xml:space="preserve">흔함</x:t>
        </x:is>
      </x:c>
      <x:c r="R688" s="7" t="inlineStr">
        <x:is>
          <x:t xml:space="preserve">없음</x:t>
        </x:is>
      </x:c>
      <x:c r="S688" s="7" t="inlineStr">
        <x:is>
          <x:t xml:space="preserve">숲</x:t>
        </x:is>
      </x:c>
      <x:c r="T688" s="7" t="inlineStr">
        <x:is>
          <x:t xml:space="preserve"/>
        </x:is>
      </x:c>
      <x:c r="U688" s="8" t="str">
        <x:f>INDEX('서식지_점수'!$E$4:$P$4,1,MATCH(MAX('서식지_점수'!E688:P688),'서식지_점수'!E688:P688,0))</x:f>
        <x:v>산악</x:v>
      </x:c>
      <x:c r="V688" s="8" t="str">
        <x:f>IF(T688&lt;&gt;"",T688,U688)</x:f>
        <x:v>산악</x:v>
      </x:c>
      <x:c r="W688" s="8" t="str">
        <x:f>IFERROR(INDEX('서식지_점수'!$E$4:$P$4,1,MATCH(MAXIFS('서식지_점수'!E688:P688,'서식지_점수'!E688:P688,"&lt;"&amp;MAX('서식지_점수'!E688:P688)),'서식지_점수'!E688:P688,0)),"")</x:f>
        <x:v>평원</x:v>
      </x:c>
      <x:c r="X688" s="8" t="str">
        <x:f>IF(T688&lt;&gt;"","수동확정",IF(MAX('서식지_점수'!E688:P688)-LARGE('서식지_점수'!E688:P688,2)&gt;=15,"높음",IF(MAX('서식지_점수'!E688:P688)-LARGE('서식지_점수'!E688:P688,2)&gt;=8,"보통","검토필요")))</x:f>
        <x:v>검토필요</x:v>
      </x:c>
      <x:c r="Y688" s="9" t="n">
        <x:f>IF(Q688="전설",8,IF(Q688="희귀",7,IF(J688="기본",1,IF(J688="중간",3,IF(J688="최종",IF(I688="",5,IF(I688&lt;=20,3,IF(I688&lt;=35,4,IF(I688&lt;=50,6,7)))),IF(Q688="드묾",4,2))))))</x:f>
        <x:v>1</x:v>
      </x:c>
      <x:c r="Z688" s="5" t="inlineStr">
        <x:is>
          <x:t xml:space="preserve">minecraft:cherry_grove; minecraft:flower_forest</x:t>
        </x:is>
      </x:c>
      <x:c r="AA688" s="5" t="inlineStr">
        <x:is>
          <x:t xml:space="preserve">common</x:t>
        </x:is>
      </x:c>
      <x:c r="AB688" s="5" t="inlineStr">
        <x:is>
          <x:t xml:space="preserve">예</x:t>
        </x:is>
      </x:c>
      <x:c r="AC688" s="8" t="str">
        <x:f>IF(T688&lt;&gt;"","수동확정",IF(X688="검토필요","검토필요",IF(S688="","원본없음","초기완료")))</x:f>
        <x:v>검토필요</x:v>
      </x:c>
      <x:c r="AD688" s="7" t="inlineStr">
        <x:is>
          <x:t xml:space="preserve"/>
        </x:is>
      </x:c>
      <x:c r="AE688" s="5" t="inlineStr">
        <x:is>
          <x:t xml:space="preserve">.tmp/cobblemon-1.7.3-source/common/src/main/resources/data/cobblemon/species/generation6/swirlix.json</x:t>
        </x:is>
      </x:c>
      <x:c r="AF688" s="5" t="str">
        <x:f>"생활권|"&amp;K688</x:f>
        <x:v>생활권|비행</x:v>
      </x:c>
      <x:c r="AG688" s="5" t="str">
        <x:f>"지형|"&amp;L688</x:f>
        <x:v>지형|수목</x:v>
      </x:c>
      <x:c r="AH688" s="5" t="str">
        <x:f>"온도|"&amp;M688</x:f>
        <x:v>온도|온대</x:v>
      </x:c>
      <x:c r="AI688" s="5" t="str">
        <x:f>"습도|"&amp;N688</x:f>
        <x:v>습도|보통</x:v>
      </x:c>
      <x:c r="AJ688" s="5" t="str">
        <x:f>"날씨|"&amp;O688</x:f>
        <x:v>날씨|무관</x:v>
      </x:c>
      <x:c r="AK688" s="5" t="str">
        <x:f>"특수태그|"&amp;R688</x:f>
        <x:v>특수태그|없음</x:v>
      </x:c>
      <x:c r="AL688" s="5" t="str">
        <x:f>"원본서식지|"&amp;S688</x:f>
        <x:v>원본서식지|숲</x:v>
      </x:c>
      <x:c r="AM688" s="5" t="str">
        <x:f>"타입|"&amp;F688</x:f>
        <x:v>타입|페어리</x:v>
      </x:c>
      <x:c r="AN688" s="5" t="str">
        <x:f>"타입|"&amp;G688</x:f>
        <x:v>타입|</x:v>
      </x:c>
    </x:row>
    <x:row r="689" ht="24" customHeight="1">
      <x:c r="A689" s="5" t="n">
        <x:v>685</x:v>
      </x:c>
      <x:c r="B689" s="5" t="inlineStr">
        <x:is>
          <x:t xml:space="preserve">나루림</x:t>
        </x:is>
      </x:c>
      <x:c r="C689" s="5" t="inlineStr">
        <x:is>
          <x:t xml:space="preserve">slurpuff</x:t>
        </x:is>
      </x:c>
      <x:c r="D689" s="5" t="inlineStr">
        <x:is>
          <x:t xml:space="preserve">Slurpuff</x:t>
        </x:is>
      </x:c>
      <x:c r="E689" s="5" t="n">
        <x:v>6</x:v>
      </x:c>
      <x:c r="F689" s="5" t="inlineStr">
        <x:is>
          <x:t xml:space="preserve">페어리</x:t>
        </x:is>
      </x:c>
      <x:c r="G689" s="5" t="inlineStr">
        <x:is>
          <x:t xml:space="preserve"/>
        </x:is>
      </x:c>
      <x:c r="H689" s="6" t="n">
        <x:v>5</x:v>
      </x:c>
      <x:c r="I689" s="5" t="n"/>
      <x:c r="J689" s="5" t="inlineStr">
        <x:is>
          <x:t xml:space="preserve">최종</x:t>
        </x:is>
      </x:c>
      <x:c r="K689" s="7" t="inlineStr">
        <x:is>
          <x:t xml:space="preserve">육상</x:t>
        </x:is>
      </x:c>
      <x:c r="L689" s="7" t="inlineStr">
        <x:is>
          <x:t xml:space="preserve">수목</x:t>
        </x:is>
      </x:c>
      <x:c r="M689" s="7" t="inlineStr">
        <x:is>
          <x:t xml:space="preserve">온대</x:t>
        </x:is>
      </x:c>
      <x:c r="N689" s="7" t="inlineStr">
        <x:is>
          <x:t xml:space="preserve">보통</x:t>
        </x:is>
      </x:c>
      <x:c r="O689" s="7" t="inlineStr">
        <x:is>
          <x:t xml:space="preserve">무관</x:t>
        </x:is>
      </x:c>
      <x:c r="P689" s="7" t="inlineStr">
        <x:is>
          <x:t xml:space="preserve">무관</x:t>
        </x:is>
      </x:c>
      <x:c r="Q689" s="7" t="inlineStr">
        <x:is>
          <x:t xml:space="preserve">드묾</x:t>
        </x:is>
      </x:c>
      <x:c r="R689" s="7" t="inlineStr">
        <x:is>
          <x:t xml:space="preserve">없음</x:t>
        </x:is>
      </x:c>
      <x:c r="S689" s="7" t="inlineStr">
        <x:is>
          <x:t xml:space="preserve">숲</x:t>
        </x:is>
      </x:c>
      <x:c r="T689" s="7" t="inlineStr">
        <x:is>
          <x:t xml:space="preserve"/>
        </x:is>
      </x:c>
      <x:c r="U689" s="8" t="str">
        <x:f>INDEX('서식지_점수'!$E$4:$P$4,1,MATCH(MAX('서식지_점수'!E689:P689),'서식지_점수'!E689:P689,0))</x:f>
        <x:v>평원</x:v>
      </x:c>
      <x:c r="V689" s="8" t="str">
        <x:f>IF(T689&lt;&gt;"",T689,U689)</x:f>
        <x:v>평원</x:v>
      </x:c>
      <x:c r="W689" s="8" t="str">
        <x:f>IFERROR(INDEX('서식지_점수'!$E$4:$P$4,1,MATCH(MAXIFS('서식지_점수'!E689:P689,'서식지_점수'!E689:P689,"&lt;"&amp;MAX('서식지_점수'!E689:P689)),'서식지_점수'!E689:P689,0)),"")</x:f>
        <x:v>숲</x:v>
      </x:c>
      <x:c r="X689" s="8" t="str">
        <x:f>IF(T689&lt;&gt;"","수동확정",IF(MAX('서식지_점수'!E689:P689)-LARGE('서식지_점수'!E689:P689,2)&gt;=15,"높음",IF(MAX('서식지_점수'!E689:P689)-LARGE('서식지_점수'!E689:P689,2)&gt;=8,"보통","검토필요")))</x:f>
        <x:v>검토필요</x:v>
      </x:c>
      <x:c r="Y689" s="9" t="n">
        <x:f>IF(Q689="전설",8,IF(Q689="희귀",7,IF(J689="기본",1,IF(J689="중간",3,IF(J689="최종",IF(I689="",5,IF(I689&lt;=20,3,IF(I689&lt;=35,4,IF(I689&lt;=50,6,7)))),IF(Q689="드묾",4,2))))))</x:f>
        <x:v>5</x:v>
      </x:c>
      <x:c r="Z689" s="5" t="inlineStr">
        <x:is>
          <x:t xml:space="preserve">minecraft:cherry_grove; minecraft:flower_forest</x:t>
        </x:is>
      </x:c>
      <x:c r="AA689" s="5" t="inlineStr">
        <x:is>
          <x:t xml:space="preserve">rare</x:t>
        </x:is>
      </x:c>
      <x:c r="AB689" s="5" t="inlineStr">
        <x:is>
          <x:t xml:space="preserve">예</x:t>
        </x:is>
      </x:c>
      <x:c r="AC689" s="8" t="str">
        <x:f>IF(T689&lt;&gt;"","수동확정",IF(X689="검토필요","검토필요",IF(S689="","원본없음","초기완료")))</x:f>
        <x:v>검토필요</x:v>
      </x:c>
      <x:c r="AD689" s="7" t="inlineStr">
        <x:is>
          <x:t xml:space="preserve"/>
        </x:is>
      </x:c>
      <x:c r="AE689" s="5" t="inlineStr">
        <x:is>
          <x:t xml:space="preserve">.tmp/cobblemon-1.7.3-source/common/src/main/resources/data/cobblemon/species/generation6/slurpuff.json</x:t>
        </x:is>
      </x:c>
      <x:c r="AF689" s="5" t="str">
        <x:f>"생활권|"&amp;K689</x:f>
        <x:v>생활권|육상</x:v>
      </x:c>
      <x:c r="AG689" s="5" t="str">
        <x:f>"지형|"&amp;L689</x:f>
        <x:v>지형|수목</x:v>
      </x:c>
      <x:c r="AH689" s="5" t="str">
        <x:f>"온도|"&amp;M689</x:f>
        <x:v>온도|온대</x:v>
      </x:c>
      <x:c r="AI689" s="5" t="str">
        <x:f>"습도|"&amp;N689</x:f>
        <x:v>습도|보통</x:v>
      </x:c>
      <x:c r="AJ689" s="5" t="str">
        <x:f>"날씨|"&amp;O689</x:f>
        <x:v>날씨|무관</x:v>
      </x:c>
      <x:c r="AK689" s="5" t="str">
        <x:f>"특수태그|"&amp;R689</x:f>
        <x:v>특수태그|없음</x:v>
      </x:c>
      <x:c r="AL689" s="5" t="str">
        <x:f>"원본서식지|"&amp;S689</x:f>
        <x:v>원본서식지|숲</x:v>
      </x:c>
      <x:c r="AM689" s="5" t="str">
        <x:f>"타입|"&amp;F689</x:f>
        <x:v>타입|페어리</x:v>
      </x:c>
      <x:c r="AN689" s="5" t="str">
        <x:f>"타입|"&amp;G689</x:f>
        <x:v>타입|</x:v>
      </x:c>
    </x:row>
    <x:row r="690" ht="24" customHeight="1">
      <x:c r="A690" s="5" t="n">
        <x:v>686</x:v>
      </x:c>
      <x:c r="B690" s="5" t="inlineStr">
        <x:is>
          <x:t xml:space="preserve">오케이징</x:t>
        </x:is>
      </x:c>
      <x:c r="C690" s="5" t="inlineStr">
        <x:is>
          <x:t xml:space="preserve">inkay</x:t>
        </x:is>
      </x:c>
      <x:c r="D690" s="5" t="inlineStr">
        <x:is>
          <x:t xml:space="preserve">Inkay</x:t>
        </x:is>
      </x:c>
      <x:c r="E690" s="5" t="n">
        <x:v>6</x:v>
      </x:c>
      <x:c r="F690" s="5" t="inlineStr">
        <x:is>
          <x:t xml:space="preserve">악</x:t>
        </x:is>
      </x:c>
      <x:c r="G690" s="5" t="inlineStr">
        <x:is>
          <x:t xml:space="preserve">에스퍼</x:t>
        </x:is>
      </x:c>
      <x:c r="H690" s="6" t="n">
        <x:v>3.5</x:v>
      </x:c>
      <x:c r="I690" s="5" t="n">
        <x:v>30</x:v>
      </x:c>
      <x:c r="J690" s="5" t="inlineStr">
        <x:is>
          <x:t xml:space="preserve">기본</x:t>
        </x:is>
      </x:c>
      <x:c r="K690" s="7" t="inlineStr">
        <x:is>
          <x:t xml:space="preserve">해양</x:t>
        </x:is>
      </x:c>
      <x:c r="L690" s="7" t="inlineStr">
        <x:is>
          <x:t xml:space="preserve">해안·해양</x:t>
        </x:is>
      </x:c>
      <x:c r="M690" s="7" t="inlineStr">
        <x:is>
          <x:t xml:space="preserve">온대</x:t>
        </x:is>
      </x:c>
      <x:c r="N690" s="7" t="inlineStr">
        <x:is>
          <x:t xml:space="preserve">수중</x:t>
        </x:is>
      </x:c>
      <x:c r="O690" s="7" t="inlineStr">
        <x:is>
          <x:t xml:space="preserve">비</x:t>
        </x:is>
      </x:c>
      <x:c r="P690" s="7" t="inlineStr">
        <x:is>
          <x:t xml:space="preserve">밤</x:t>
        </x:is>
      </x:c>
      <x:c r="Q690" s="7" t="inlineStr">
        <x:is>
          <x:t xml:space="preserve">보통</x:t>
        </x:is>
      </x:c>
      <x:c r="R690" s="7" t="inlineStr">
        <x:is>
          <x:t xml:space="preserve">없음</x:t>
        </x:is>
      </x:c>
      <x:c r="S690" s="7" t="inlineStr">
        <x:is>
          <x:t xml:space="preserve">해양</x:t>
        </x:is>
      </x:c>
      <x:c r="T690" s="7" t="inlineStr">
        <x:is>
          <x:t xml:space="preserve"/>
        </x:is>
      </x:c>
      <x:c r="U690" s="8" t="str">
        <x:f>INDEX('서식지_점수'!$E$4:$P$4,1,MATCH(MAX('서식지_점수'!E690:P690),'서식지_점수'!E690:P690,0))</x:f>
        <x:v>해양</x:v>
      </x:c>
      <x:c r="V690" s="8" t="str">
        <x:f>IF(T690&lt;&gt;"",T690,U690)</x:f>
        <x:v>해양</x:v>
      </x:c>
      <x:c r="W690" s="8" t="str">
        <x:f>IFERROR(INDEX('서식지_점수'!$E$4:$P$4,1,MATCH(MAXIFS('서식지_점수'!E690:P690,'서식지_점수'!E690:P690,"&lt;"&amp;MAX('서식지_점수'!E690:P690)),'서식지_점수'!E690:P690,0)),"")</x:f>
        <x:v>습지</x:v>
      </x:c>
      <x:c r="X690" s="8" t="str">
        <x:f>IF(T690&lt;&gt;"","수동확정",IF(MAX('서식지_점수'!E690:P690)-LARGE('서식지_점수'!E690:P690,2)&gt;=15,"높음",IF(MAX('서식지_점수'!E690:P690)-LARGE('서식지_점수'!E690:P690,2)&gt;=8,"보통","검토필요")))</x:f>
        <x:v>높음</x:v>
      </x:c>
      <x:c r="Y690" s="9" t="n">
        <x:f>IF(Q690="전설",8,IF(Q690="희귀",7,IF(J690="기본",1,IF(J690="중간",3,IF(J690="최종",IF(I690="",5,IF(I690&lt;=20,3,IF(I690&lt;=35,4,IF(I690&lt;=50,6,7)))),IF(Q690="드묾",4,2))))))</x:f>
        <x:v>1</x:v>
      </x:c>
      <x:c r="Z690" s="5" t="inlineStr">
        <x:is>
          <x:t xml:space="preserve">#cobblemon:is_coast; #cobblemon:is_end; #cobblemon:is_ocean; #cobblemon:is_overworld</x:t>
        </x:is>
      </x:c>
      <x:c r="AA690" s="5" t="inlineStr">
        <x:is>
          <x:t xml:space="preserve">common; uncommon</x:t>
        </x:is>
      </x:c>
      <x:c r="AB690" s="5" t="inlineStr">
        <x:is>
          <x:t xml:space="preserve">예</x:t>
        </x:is>
      </x:c>
      <x:c r="AC690" s="8" t="str">
        <x:f>IF(T690&lt;&gt;"","수동확정",IF(X690="검토필요","검토필요",IF(S690="","원본없음","초기완료")))</x:f>
        <x:v>초기완료</x:v>
      </x:c>
      <x:c r="AD690" s="7" t="inlineStr">
        <x:is>
          <x:t xml:space="preserve"/>
        </x:is>
      </x:c>
      <x:c r="AE690" s="5" t="inlineStr">
        <x:is>
          <x:t xml:space="preserve">.tmp/cobblemon-1.7.3-source/common/src/main/resources/data/cobblemon/species/generation6/inkay.json</x:t>
        </x:is>
      </x:c>
      <x:c r="AF690" s="5" t="str">
        <x:f>"생활권|"&amp;K690</x:f>
        <x:v>생활권|해양</x:v>
      </x:c>
      <x:c r="AG690" s="5" t="str">
        <x:f>"지형|"&amp;L690</x:f>
        <x:v>지형|해안·해양</x:v>
      </x:c>
      <x:c r="AH690" s="5" t="str">
        <x:f>"온도|"&amp;M690</x:f>
        <x:v>온도|온대</x:v>
      </x:c>
      <x:c r="AI690" s="5" t="str">
        <x:f>"습도|"&amp;N690</x:f>
        <x:v>습도|수중</x:v>
      </x:c>
      <x:c r="AJ690" s="5" t="str">
        <x:f>"날씨|"&amp;O690</x:f>
        <x:v>날씨|비</x:v>
      </x:c>
      <x:c r="AK690" s="5" t="str">
        <x:f>"특수태그|"&amp;R690</x:f>
        <x:v>특수태그|없음</x:v>
      </x:c>
      <x:c r="AL690" s="5" t="str">
        <x:f>"원본서식지|"&amp;S690</x:f>
        <x:v>원본서식지|해양</x:v>
      </x:c>
      <x:c r="AM690" s="5" t="str">
        <x:f>"타입|"&amp;F690</x:f>
        <x:v>타입|악</x:v>
      </x:c>
      <x:c r="AN690" s="5" t="str">
        <x:f>"타입|"&amp;G690</x:f>
        <x:v>타입|에스퍼</x:v>
      </x:c>
    </x:row>
    <x:row r="691" ht="24" customHeight="1">
      <x:c r="A691" s="5" t="n">
        <x:v>687</x:v>
      </x:c>
      <x:c r="B691" s="5" t="inlineStr">
        <x:is>
          <x:t xml:space="preserve">칼라마네로</x:t>
        </x:is>
      </x:c>
      <x:c r="C691" s="5" t="inlineStr">
        <x:is>
          <x:t xml:space="preserve">malamar</x:t>
        </x:is>
      </x:c>
      <x:c r="D691" s="5" t="inlineStr">
        <x:is>
          <x:t xml:space="preserve">Malamar</x:t>
        </x:is>
      </x:c>
      <x:c r="E691" s="5" t="n">
        <x:v>6</x:v>
      </x:c>
      <x:c r="F691" s="5" t="inlineStr">
        <x:is>
          <x:t xml:space="preserve">악</x:t>
        </x:is>
      </x:c>
      <x:c r="G691" s="5" t="inlineStr">
        <x:is>
          <x:t xml:space="preserve">에스퍼</x:t>
        </x:is>
      </x:c>
      <x:c r="H691" s="6" t="n">
        <x:v>47</x:v>
      </x:c>
      <x:c r="I691" s="5" t="n">
        <x:v>30</x:v>
      </x:c>
      <x:c r="J691" s="5" t="inlineStr">
        <x:is>
          <x:t xml:space="preserve">최종</x:t>
        </x:is>
      </x:c>
      <x:c r="K691" s="7" t="inlineStr">
        <x:is>
          <x:t xml:space="preserve">해양</x:t>
        </x:is>
      </x:c>
      <x:c r="L691" s="7" t="inlineStr">
        <x:is>
          <x:t xml:space="preserve">해안·해양</x:t>
        </x:is>
      </x:c>
      <x:c r="M691" s="7" t="inlineStr">
        <x:is>
          <x:t xml:space="preserve">온대</x:t>
        </x:is>
      </x:c>
      <x:c r="N691" s="7" t="inlineStr">
        <x:is>
          <x:t xml:space="preserve">수중</x:t>
        </x:is>
      </x:c>
      <x:c r="O691" s="7" t="inlineStr">
        <x:is>
          <x:t xml:space="preserve">비</x:t>
        </x:is>
      </x:c>
      <x:c r="P691" s="7" t="inlineStr">
        <x:is>
          <x:t xml:space="preserve">밤</x:t>
        </x:is>
      </x:c>
      <x:c r="Q691" s="7" t="inlineStr">
        <x:is>
          <x:t xml:space="preserve">보통</x:t>
        </x:is>
      </x:c>
      <x:c r="R691" s="7" t="inlineStr">
        <x:is>
          <x:t xml:space="preserve">없음</x:t>
        </x:is>
      </x:c>
      <x:c r="S691" s="7" t="inlineStr">
        <x:is>
          <x:t xml:space="preserve">해양</x:t>
        </x:is>
      </x:c>
      <x:c r="T691" s="7" t="inlineStr">
        <x:is>
          <x:t xml:space="preserve"/>
        </x:is>
      </x:c>
      <x:c r="U691" s="8" t="str">
        <x:f>INDEX('서식지_점수'!$E$4:$P$4,1,MATCH(MAX('서식지_점수'!E691:P691),'서식지_점수'!E691:P691,0))</x:f>
        <x:v>해양</x:v>
      </x:c>
      <x:c r="V691" s="8" t="str">
        <x:f>IF(T691&lt;&gt;"",T691,U691)</x:f>
        <x:v>해양</x:v>
      </x:c>
      <x:c r="W691" s="8" t="str">
        <x:f>IFERROR(INDEX('서식지_점수'!$E$4:$P$4,1,MATCH(MAXIFS('서식지_점수'!E691:P691,'서식지_점수'!E691:P691,"&lt;"&amp;MAX('서식지_점수'!E691:P691)),'서식지_점수'!E691:P691,0)),"")</x:f>
        <x:v>습지</x:v>
      </x:c>
      <x:c r="X691" s="8" t="str">
        <x:f>IF(T691&lt;&gt;"","수동확정",IF(MAX('서식지_점수'!E691:P691)-LARGE('서식지_점수'!E691:P691,2)&gt;=15,"높음",IF(MAX('서식지_점수'!E691:P691)-LARGE('서식지_점수'!E691:P691,2)&gt;=8,"보통","검토필요")))</x:f>
        <x:v>높음</x:v>
      </x:c>
      <x:c r="Y691" s="9" t="n">
        <x:f>IF(Q691="전설",8,IF(Q691="희귀",7,IF(J691="기본",1,IF(J691="중간",3,IF(J691="최종",IF(I691="",5,IF(I691&lt;=20,3,IF(I691&lt;=35,4,IF(I691&lt;=50,6,7)))),IF(Q691="드묾",4,2))))))</x:f>
        <x:v>4</x:v>
      </x:c>
      <x:c r="Z691" s="5" t="inlineStr">
        <x:is>
          <x:t xml:space="preserve">#cobblemon:is_coast; #cobblemon:is_end; #cobblemon:is_ocean; #cobblemon:is_overworld</x:t>
        </x:is>
      </x:c>
      <x:c r="AA691" s="5" t="inlineStr">
        <x:is>
          <x:t xml:space="preserve">common; uncommon</x:t>
        </x:is>
      </x:c>
      <x:c r="AB691" s="5" t="inlineStr">
        <x:is>
          <x:t xml:space="preserve">예</x:t>
        </x:is>
      </x:c>
      <x:c r="AC691" s="8" t="str">
        <x:f>IF(T691&lt;&gt;"","수동확정",IF(X691="검토필요","검토필요",IF(S691="","원본없음","초기완료")))</x:f>
        <x:v>초기완료</x:v>
      </x:c>
      <x:c r="AD691" s="7" t="inlineStr">
        <x:is>
          <x:t xml:space="preserve"/>
        </x:is>
      </x:c>
      <x:c r="AE691" s="5" t="inlineStr">
        <x:is>
          <x:t xml:space="preserve">.tmp/cobblemon-1.7.3-source/common/src/main/resources/data/cobblemon/species/generation6/malamar.json</x:t>
        </x:is>
      </x:c>
      <x:c r="AF691" s="5" t="str">
        <x:f>"생활권|"&amp;K691</x:f>
        <x:v>생활권|해양</x:v>
      </x:c>
      <x:c r="AG691" s="5" t="str">
        <x:f>"지형|"&amp;L691</x:f>
        <x:v>지형|해안·해양</x:v>
      </x:c>
      <x:c r="AH691" s="5" t="str">
        <x:f>"온도|"&amp;M691</x:f>
        <x:v>온도|온대</x:v>
      </x:c>
      <x:c r="AI691" s="5" t="str">
        <x:f>"습도|"&amp;N691</x:f>
        <x:v>습도|수중</x:v>
      </x:c>
      <x:c r="AJ691" s="5" t="str">
        <x:f>"날씨|"&amp;O691</x:f>
        <x:v>날씨|비</x:v>
      </x:c>
      <x:c r="AK691" s="5" t="str">
        <x:f>"특수태그|"&amp;R691</x:f>
        <x:v>특수태그|없음</x:v>
      </x:c>
      <x:c r="AL691" s="5" t="str">
        <x:f>"원본서식지|"&amp;S691</x:f>
        <x:v>원본서식지|해양</x:v>
      </x:c>
      <x:c r="AM691" s="5" t="str">
        <x:f>"타입|"&amp;F691</x:f>
        <x:v>타입|악</x:v>
      </x:c>
      <x:c r="AN691" s="5" t="str">
        <x:f>"타입|"&amp;G691</x:f>
        <x:v>타입|에스퍼</x:v>
      </x:c>
    </x:row>
    <x:row r="692" ht="24" customHeight="1">
      <x:c r="A692" s="5" t="n">
        <x:v>688</x:v>
      </x:c>
      <x:c r="B692" s="5" t="inlineStr">
        <x:is>
          <x:t xml:space="preserve">거북손손</x:t>
        </x:is>
      </x:c>
      <x:c r="C692" s="5" t="inlineStr">
        <x:is>
          <x:t xml:space="preserve">binacle</x:t>
        </x:is>
      </x:c>
      <x:c r="D692" s="5" t="inlineStr">
        <x:is>
          <x:t xml:space="preserve">Binacle</x:t>
        </x:is>
      </x:c>
      <x:c r="E692" s="5" t="n">
        <x:v>6</x:v>
      </x:c>
      <x:c r="F692" s="5" t="inlineStr">
        <x:is>
          <x:t xml:space="preserve">바위</x:t>
        </x:is>
      </x:c>
      <x:c r="G692" s="5" t="inlineStr">
        <x:is>
          <x:t xml:space="preserve">물</x:t>
        </x:is>
      </x:c>
      <x:c r="H692" s="6" t="n">
        <x:v>31</x:v>
      </x:c>
      <x:c r="I692" s="5" t="n">
        <x:v>39</x:v>
      </x:c>
      <x:c r="J692" s="5" t="inlineStr">
        <x:is>
          <x:t xml:space="preserve">기본</x:t>
        </x:is>
      </x:c>
      <x:c r="K692" s="7" t="inlineStr">
        <x:is>
          <x:t xml:space="preserve">해양</x:t>
        </x:is>
      </x:c>
      <x:c r="L692" s="7" t="inlineStr">
        <x:is>
          <x:t xml:space="preserve">해안·해양</x:t>
        </x:is>
      </x:c>
      <x:c r="M692" s="7" t="inlineStr">
        <x:is>
          <x:t xml:space="preserve">온대</x:t>
        </x:is>
      </x:c>
      <x:c r="N692" s="7" t="inlineStr">
        <x:is>
          <x:t xml:space="preserve">수중</x:t>
        </x:is>
      </x:c>
      <x:c r="O692" s="7" t="inlineStr">
        <x:is>
          <x:t xml:space="preserve">비</x:t>
        </x:is>
      </x:c>
      <x:c r="P692" s="7" t="inlineStr">
        <x:is>
          <x:t xml:space="preserve">무관</x:t>
        </x:is>
      </x:c>
      <x:c r="Q692" s="7" t="inlineStr">
        <x:is>
          <x:t xml:space="preserve">보통</x:t>
        </x:is>
      </x:c>
      <x:c r="R692" s="7" t="inlineStr">
        <x:is>
          <x:t xml:space="preserve">없음</x:t>
        </x:is>
      </x:c>
      <x:c r="S692" s="7" t="inlineStr">
        <x:is>
          <x:t xml:space="preserve">해양</x:t>
        </x:is>
      </x:c>
      <x:c r="T692" s="7" t="inlineStr">
        <x:is>
          <x:t xml:space="preserve"/>
        </x:is>
      </x:c>
      <x:c r="U692" s="8" t="str">
        <x:f>INDEX('서식지_점수'!$E$4:$P$4,1,MATCH(MAX('서식지_점수'!E692:P692),'서식지_점수'!E692:P692,0))</x:f>
        <x:v>해양</x:v>
      </x:c>
      <x:c r="V692" s="8" t="str">
        <x:f>IF(T692&lt;&gt;"",T692,U692)</x:f>
        <x:v>해양</x:v>
      </x:c>
      <x:c r="W692" s="8" t="str">
        <x:f>IFERROR(INDEX('서식지_점수'!$E$4:$P$4,1,MATCH(MAXIFS('서식지_점수'!E692:P692,'서식지_점수'!E692:P692,"&lt;"&amp;MAX('서식지_점수'!E692:P692)),'서식지_점수'!E692:P692,0)),"")</x:f>
        <x:v>습지</x:v>
      </x:c>
      <x:c r="X692" s="8" t="str">
        <x:f>IF(T692&lt;&gt;"","수동확정",IF(MAX('서식지_점수'!E692:P692)-LARGE('서식지_점수'!E692:P692,2)&gt;=15,"높음",IF(MAX('서식지_점수'!E692:P692)-LARGE('서식지_점수'!E692:P692,2)&gt;=8,"보통","검토필요")))</x:f>
        <x:v>높음</x:v>
      </x:c>
      <x:c r="Y692" s="9" t="n">
        <x:f>IF(Q692="전설",8,IF(Q692="희귀",7,IF(J692="기본",1,IF(J692="중간",3,IF(J692="최종",IF(I692="",5,IF(I692&lt;=20,3,IF(I692&lt;=35,4,IF(I692&lt;=50,6,7)))),IF(Q692="드묾",4,2))))))</x:f>
        <x:v>1</x:v>
      </x:c>
      <x:c r="Z692" s="5" t="inlineStr">
        <x:is>
          <x:t xml:space="preserve">#cobblemon:is_coast; #cobblemon:is_ocean</x:t>
        </x:is>
      </x:c>
      <x:c r="AA692" s="5" t="inlineStr">
        <x:is>
          <x:t xml:space="preserve">common; uncommon</x:t>
        </x:is>
      </x:c>
      <x:c r="AB692" s="5" t="inlineStr">
        <x:is>
          <x:t xml:space="preserve">예</x:t>
        </x:is>
      </x:c>
      <x:c r="AC692" s="8" t="str">
        <x:f>IF(T692&lt;&gt;"","수동확정",IF(X692="검토필요","검토필요",IF(S692="","원본없음","초기완료")))</x:f>
        <x:v>초기완료</x:v>
      </x:c>
      <x:c r="AD692" s="7" t="inlineStr">
        <x:is>
          <x:t xml:space="preserve"/>
        </x:is>
      </x:c>
      <x:c r="AE692" s="5" t="inlineStr">
        <x:is>
          <x:t xml:space="preserve">.tmp/cobblemon-1.7.3-source/common/src/main/resources/data/cobblemon/species/generation6/binacle.json</x:t>
        </x:is>
      </x:c>
      <x:c r="AF692" s="5" t="str">
        <x:f>"생활권|"&amp;K692</x:f>
        <x:v>생활권|해양</x:v>
      </x:c>
      <x:c r="AG692" s="5" t="str">
        <x:f>"지형|"&amp;L692</x:f>
        <x:v>지형|해안·해양</x:v>
      </x:c>
      <x:c r="AH692" s="5" t="str">
        <x:f>"온도|"&amp;M692</x:f>
        <x:v>온도|온대</x:v>
      </x:c>
      <x:c r="AI692" s="5" t="str">
        <x:f>"습도|"&amp;N692</x:f>
        <x:v>습도|수중</x:v>
      </x:c>
      <x:c r="AJ692" s="5" t="str">
        <x:f>"날씨|"&amp;O692</x:f>
        <x:v>날씨|비</x:v>
      </x:c>
      <x:c r="AK692" s="5" t="str">
        <x:f>"특수태그|"&amp;R692</x:f>
        <x:v>특수태그|없음</x:v>
      </x:c>
      <x:c r="AL692" s="5" t="str">
        <x:f>"원본서식지|"&amp;S692</x:f>
        <x:v>원본서식지|해양</x:v>
      </x:c>
      <x:c r="AM692" s="5" t="str">
        <x:f>"타입|"&amp;F692</x:f>
        <x:v>타입|바위</x:v>
      </x:c>
      <x:c r="AN692" s="5" t="str">
        <x:f>"타입|"&amp;G692</x:f>
        <x:v>타입|물</x:v>
      </x:c>
    </x:row>
    <x:row r="693" ht="24" customHeight="1">
      <x:c r="A693" s="5" t="n">
        <x:v>689</x:v>
      </x:c>
      <x:c r="B693" s="5" t="inlineStr">
        <x:is>
          <x:t xml:space="preserve">거북손데스</x:t>
        </x:is>
      </x:c>
      <x:c r="C693" s="5" t="inlineStr">
        <x:is>
          <x:t xml:space="preserve">barbaracle</x:t>
        </x:is>
      </x:c>
      <x:c r="D693" s="5" t="inlineStr">
        <x:is>
          <x:t xml:space="preserve">Barbaracle</x:t>
        </x:is>
      </x:c>
      <x:c r="E693" s="5" t="n">
        <x:v>6</x:v>
      </x:c>
      <x:c r="F693" s="5" t="inlineStr">
        <x:is>
          <x:t xml:space="preserve">바위</x:t>
        </x:is>
      </x:c>
      <x:c r="G693" s="5" t="inlineStr">
        <x:is>
          <x:t xml:space="preserve">물</x:t>
        </x:is>
      </x:c>
      <x:c r="H693" s="6" t="n">
        <x:v>96</x:v>
      </x:c>
      <x:c r="I693" s="5" t="n">
        <x:v>39</x:v>
      </x:c>
      <x:c r="J693" s="5" t="inlineStr">
        <x:is>
          <x:t xml:space="preserve">최종</x:t>
        </x:is>
      </x:c>
      <x:c r="K693" s="7" t="inlineStr">
        <x:is>
          <x:t xml:space="preserve">해양</x:t>
        </x:is>
      </x:c>
      <x:c r="L693" s="7" t="inlineStr">
        <x:is>
          <x:t xml:space="preserve">해안·해양</x:t>
        </x:is>
      </x:c>
      <x:c r="M693" s="7" t="inlineStr">
        <x:is>
          <x:t xml:space="preserve">온대</x:t>
        </x:is>
      </x:c>
      <x:c r="N693" s="7" t="inlineStr">
        <x:is>
          <x:t xml:space="preserve">수중</x:t>
        </x:is>
      </x:c>
      <x:c r="O693" s="7" t="inlineStr">
        <x:is>
          <x:t xml:space="preserve">비</x:t>
        </x:is>
      </x:c>
      <x:c r="P693" s="7" t="inlineStr">
        <x:is>
          <x:t xml:space="preserve">무관</x:t>
        </x:is>
      </x:c>
      <x:c r="Q693" s="7" t="inlineStr">
        <x:is>
          <x:t xml:space="preserve">보통</x:t>
        </x:is>
      </x:c>
      <x:c r="R693" s="7" t="inlineStr">
        <x:is>
          <x:t xml:space="preserve">없음</x:t>
        </x:is>
      </x:c>
      <x:c r="S693" s="7" t="inlineStr">
        <x:is>
          <x:t xml:space="preserve">해양</x:t>
        </x:is>
      </x:c>
      <x:c r="T693" s="7" t="inlineStr">
        <x:is>
          <x:t xml:space="preserve"/>
        </x:is>
      </x:c>
      <x:c r="U693" s="8" t="str">
        <x:f>INDEX('서식지_점수'!$E$4:$P$4,1,MATCH(MAX('서식지_점수'!E693:P693),'서식지_점수'!E693:P693,0))</x:f>
        <x:v>해양</x:v>
      </x:c>
      <x:c r="V693" s="8" t="str">
        <x:f>IF(T693&lt;&gt;"",T693,U693)</x:f>
        <x:v>해양</x:v>
      </x:c>
      <x:c r="W693" s="8" t="str">
        <x:f>IFERROR(INDEX('서식지_점수'!$E$4:$P$4,1,MATCH(MAXIFS('서식지_점수'!E693:P693,'서식지_점수'!E693:P693,"&lt;"&amp;MAX('서식지_점수'!E693:P693)),'서식지_점수'!E693:P693,0)),"")</x:f>
        <x:v>습지</x:v>
      </x:c>
      <x:c r="X693" s="8" t="str">
        <x:f>IF(T693&lt;&gt;"","수동확정",IF(MAX('서식지_점수'!E693:P693)-LARGE('서식지_점수'!E693:P693,2)&gt;=15,"높음",IF(MAX('서식지_점수'!E693:P693)-LARGE('서식지_점수'!E693:P693,2)&gt;=8,"보통","검토필요")))</x:f>
        <x:v>높음</x:v>
      </x:c>
      <x:c r="Y693" s="9" t="n">
        <x:f>IF(Q693="전설",8,IF(Q693="희귀",7,IF(J693="기본",1,IF(J693="중간",3,IF(J693="최종",IF(I693="",5,IF(I693&lt;=20,3,IF(I693&lt;=35,4,IF(I693&lt;=50,6,7)))),IF(Q693="드묾",4,2))))))</x:f>
        <x:v>6</x:v>
      </x:c>
      <x:c r="Z693" s="5" t="inlineStr">
        <x:is>
          <x:t xml:space="preserve">#cobblemon:is_coast; #cobblemon:is_ocean</x:t>
        </x:is>
      </x:c>
      <x:c r="AA693" s="5" t="inlineStr">
        <x:is>
          <x:t xml:space="preserve">common; uncommon</x:t>
        </x:is>
      </x:c>
      <x:c r="AB693" s="5" t="inlineStr">
        <x:is>
          <x:t xml:space="preserve">예</x:t>
        </x:is>
      </x:c>
      <x:c r="AC693" s="8" t="str">
        <x:f>IF(T693&lt;&gt;"","수동확정",IF(X693="검토필요","검토필요",IF(S693="","원본없음","초기완료")))</x:f>
        <x:v>초기완료</x:v>
      </x:c>
      <x:c r="AD693" s="7" t="inlineStr">
        <x:is>
          <x:t xml:space="preserve"/>
        </x:is>
      </x:c>
      <x:c r="AE693" s="5" t="inlineStr">
        <x:is>
          <x:t xml:space="preserve">.tmp/cobblemon-1.7.3-source/common/src/main/resources/data/cobblemon/species/generation6/barbaracle.json</x:t>
        </x:is>
      </x:c>
      <x:c r="AF693" s="5" t="str">
        <x:f>"생활권|"&amp;K693</x:f>
        <x:v>생활권|해양</x:v>
      </x:c>
      <x:c r="AG693" s="5" t="str">
        <x:f>"지형|"&amp;L693</x:f>
        <x:v>지형|해안·해양</x:v>
      </x:c>
      <x:c r="AH693" s="5" t="str">
        <x:f>"온도|"&amp;M693</x:f>
        <x:v>온도|온대</x:v>
      </x:c>
      <x:c r="AI693" s="5" t="str">
        <x:f>"습도|"&amp;N693</x:f>
        <x:v>습도|수중</x:v>
      </x:c>
      <x:c r="AJ693" s="5" t="str">
        <x:f>"날씨|"&amp;O693</x:f>
        <x:v>날씨|비</x:v>
      </x:c>
      <x:c r="AK693" s="5" t="str">
        <x:f>"특수태그|"&amp;R693</x:f>
        <x:v>특수태그|없음</x:v>
      </x:c>
      <x:c r="AL693" s="5" t="str">
        <x:f>"원본서식지|"&amp;S693</x:f>
        <x:v>원본서식지|해양</x:v>
      </x:c>
      <x:c r="AM693" s="5" t="str">
        <x:f>"타입|"&amp;F693</x:f>
        <x:v>타입|바위</x:v>
      </x:c>
      <x:c r="AN693" s="5" t="str">
        <x:f>"타입|"&amp;G693</x:f>
        <x:v>타입|물</x:v>
      </x:c>
    </x:row>
    <x:row r="694" ht="24" customHeight="1">
      <x:c r="A694" s="5" t="n">
        <x:v>690</x:v>
      </x:c>
      <x:c r="B694" s="5" t="inlineStr">
        <x:is>
          <x:t xml:space="preserve">수레기</x:t>
        </x:is>
      </x:c>
      <x:c r="C694" s="5" t="inlineStr">
        <x:is>
          <x:t xml:space="preserve">skrelp</x:t>
        </x:is>
      </x:c>
      <x:c r="D694" s="5" t="inlineStr">
        <x:is>
          <x:t xml:space="preserve">Skrelp</x:t>
        </x:is>
      </x:c>
      <x:c r="E694" s="5" t="n">
        <x:v>6</x:v>
      </x:c>
      <x:c r="F694" s="5" t="inlineStr">
        <x:is>
          <x:t xml:space="preserve">독</x:t>
        </x:is>
      </x:c>
      <x:c r="G694" s="5" t="inlineStr">
        <x:is>
          <x:t xml:space="preserve">물</x:t>
        </x:is>
      </x:c>
      <x:c r="H694" s="6" t="n">
        <x:v>7.3</x:v>
      </x:c>
      <x:c r="I694" s="5" t="n">
        <x:v>48</x:v>
      </x:c>
      <x:c r="J694" s="5" t="inlineStr">
        <x:is>
          <x:t xml:space="preserve">기본</x:t>
        </x:is>
      </x:c>
      <x:c r="K694" s="7" t="inlineStr">
        <x:is>
          <x:t xml:space="preserve">해양</x:t>
        </x:is>
      </x:c>
      <x:c r="L694" s="7" t="inlineStr">
        <x:is>
          <x:t xml:space="preserve">해안·해양</x:t>
        </x:is>
      </x:c>
      <x:c r="M694" s="7" t="inlineStr">
        <x:is>
          <x:t xml:space="preserve">온대</x:t>
        </x:is>
      </x:c>
      <x:c r="N694" s="7" t="inlineStr">
        <x:is>
          <x:t xml:space="preserve">수중</x:t>
        </x:is>
      </x:c>
      <x:c r="O694" s="7" t="inlineStr">
        <x:is>
          <x:t xml:space="preserve">비</x:t>
        </x:is>
      </x:c>
      <x:c r="P694" s="7" t="inlineStr">
        <x:is>
          <x:t xml:space="preserve">무관</x:t>
        </x:is>
      </x:c>
      <x:c r="Q694" s="7" t="inlineStr">
        <x:is>
          <x:t xml:space="preserve">흔함</x:t>
        </x:is>
      </x:c>
      <x:c r="R694" s="7" t="inlineStr">
        <x:is>
          <x:t xml:space="preserve">없음</x:t>
        </x:is>
      </x:c>
      <x:c r="S694" s="7" t="inlineStr">
        <x:is>
          <x:t xml:space="preserve">해양</x:t>
        </x:is>
      </x:c>
      <x:c r="T694" s="7" t="inlineStr">
        <x:is>
          <x:t xml:space="preserve"/>
        </x:is>
      </x:c>
      <x:c r="U694" s="8" t="str">
        <x:f>INDEX('서식지_점수'!$E$4:$P$4,1,MATCH(MAX('서식지_점수'!E694:P694),'서식지_점수'!E694:P694,0))</x:f>
        <x:v>해양</x:v>
      </x:c>
      <x:c r="V694" s="8" t="str">
        <x:f>IF(T694&lt;&gt;"",T694,U694)</x:f>
        <x:v>해양</x:v>
      </x:c>
      <x:c r="W694" s="8" t="str">
        <x:f>IFERROR(INDEX('서식지_점수'!$E$4:$P$4,1,MATCH(MAXIFS('서식지_점수'!E694:P694,'서식지_점수'!E694:P694,"&lt;"&amp;MAX('서식지_점수'!E694:P694)),'서식지_점수'!E694:P694,0)),"")</x:f>
        <x:v>습지</x:v>
      </x:c>
      <x:c r="X694" s="8" t="str">
        <x:f>IF(T694&lt;&gt;"","수동확정",IF(MAX('서식지_점수'!E694:P694)-LARGE('서식지_점수'!E694:P694,2)&gt;=15,"높음",IF(MAX('서식지_점수'!E694:P694)-LARGE('서식지_점수'!E694:P694,2)&gt;=8,"보통","검토필요")))</x:f>
        <x:v>높음</x:v>
      </x:c>
      <x:c r="Y694" s="9" t="n">
        <x:f>IF(Q694="전설",8,IF(Q694="희귀",7,IF(J694="기본",1,IF(J694="중간",3,IF(J694="최종",IF(I694="",5,IF(I694&lt;=20,3,IF(I694&lt;=35,4,IF(I694&lt;=50,6,7)))),IF(Q694="드묾",4,2))))))</x:f>
        <x:v>1</x:v>
      </x:c>
      <x:c r="Z694" s="5" t="inlineStr">
        <x:is>
          <x:t xml:space="preserve">#cobblemon:is_coast; #cobblemon:is_ocean; #cobblemon:is_overworld</x:t>
        </x:is>
      </x:c>
      <x:c r="AA694" s="5" t="inlineStr">
        <x:is>
          <x:t xml:space="preserve">common</x:t>
        </x:is>
      </x:c>
      <x:c r="AB694" s="5" t="inlineStr">
        <x:is>
          <x:t xml:space="preserve">예</x:t>
        </x:is>
      </x:c>
      <x:c r="AC694" s="8" t="str">
        <x:f>IF(T694&lt;&gt;"","수동확정",IF(X694="검토필요","검토필요",IF(S694="","원본없음","초기완료")))</x:f>
        <x:v>초기완료</x:v>
      </x:c>
      <x:c r="AD694" s="7" t="inlineStr">
        <x:is>
          <x:t xml:space="preserve"/>
        </x:is>
      </x:c>
      <x:c r="AE694" s="5" t="inlineStr">
        <x:is>
          <x:t xml:space="preserve">.tmp/cobblemon-1.7.3-source/common/src/main/resources/data/cobblemon/species/generation6/skrelp.json</x:t>
        </x:is>
      </x:c>
      <x:c r="AF694" s="5" t="str">
        <x:f>"생활권|"&amp;K694</x:f>
        <x:v>생활권|해양</x:v>
      </x:c>
      <x:c r="AG694" s="5" t="str">
        <x:f>"지형|"&amp;L694</x:f>
        <x:v>지형|해안·해양</x:v>
      </x:c>
      <x:c r="AH694" s="5" t="str">
        <x:f>"온도|"&amp;M694</x:f>
        <x:v>온도|온대</x:v>
      </x:c>
      <x:c r="AI694" s="5" t="str">
        <x:f>"습도|"&amp;N694</x:f>
        <x:v>습도|수중</x:v>
      </x:c>
      <x:c r="AJ694" s="5" t="str">
        <x:f>"날씨|"&amp;O694</x:f>
        <x:v>날씨|비</x:v>
      </x:c>
      <x:c r="AK694" s="5" t="str">
        <x:f>"특수태그|"&amp;R694</x:f>
        <x:v>특수태그|없음</x:v>
      </x:c>
      <x:c r="AL694" s="5" t="str">
        <x:f>"원본서식지|"&amp;S694</x:f>
        <x:v>원본서식지|해양</x:v>
      </x:c>
      <x:c r="AM694" s="5" t="str">
        <x:f>"타입|"&amp;F694</x:f>
        <x:v>타입|독</x:v>
      </x:c>
      <x:c r="AN694" s="5" t="str">
        <x:f>"타입|"&amp;G694</x:f>
        <x:v>타입|물</x:v>
      </x:c>
    </x:row>
    <x:row r="695" ht="24" customHeight="1">
      <x:c r="A695" s="5" t="n">
        <x:v>691</x:v>
      </x:c>
      <x:c r="B695" s="5" t="inlineStr">
        <x:is>
          <x:t xml:space="preserve">드래캄</x:t>
        </x:is>
      </x:c>
      <x:c r="C695" s="5" t="inlineStr">
        <x:is>
          <x:t xml:space="preserve">dragalge</x:t>
        </x:is>
      </x:c>
      <x:c r="D695" s="5" t="inlineStr">
        <x:is>
          <x:t xml:space="preserve">Dragalge</x:t>
        </x:is>
      </x:c>
      <x:c r="E695" s="5" t="n">
        <x:v>6</x:v>
      </x:c>
      <x:c r="F695" s="5" t="inlineStr">
        <x:is>
          <x:t xml:space="preserve">독</x:t>
        </x:is>
      </x:c>
      <x:c r="G695" s="5" t="inlineStr">
        <x:is>
          <x:t xml:space="preserve">드래곤</x:t>
        </x:is>
      </x:c>
      <x:c r="H695" s="6" t="n">
        <x:v>81.5</x:v>
      </x:c>
      <x:c r="I695" s="5" t="n">
        <x:v>48</x:v>
      </x:c>
      <x:c r="J695" s="5" t="inlineStr">
        <x:is>
          <x:t xml:space="preserve">최종</x:t>
        </x:is>
      </x:c>
      <x:c r="K695" s="7" t="inlineStr">
        <x:is>
          <x:t xml:space="preserve">해양</x:t>
        </x:is>
      </x:c>
      <x:c r="L695" s="7" t="inlineStr">
        <x:is>
          <x:t xml:space="preserve">해안·해양</x:t>
        </x:is>
      </x:c>
      <x:c r="M695" s="7" t="inlineStr">
        <x:is>
          <x:t xml:space="preserve">온대</x:t>
        </x:is>
      </x:c>
      <x:c r="N695" s="7" t="inlineStr">
        <x:is>
          <x:t xml:space="preserve">수중</x:t>
        </x:is>
      </x:c>
      <x:c r="O695" s="7" t="inlineStr">
        <x:is>
          <x:t xml:space="preserve">비</x:t>
        </x:is>
      </x:c>
      <x:c r="P695" s="7" t="inlineStr">
        <x:is>
          <x:t xml:space="preserve">무관</x:t>
        </x:is>
      </x:c>
      <x:c r="Q695" s="7" t="inlineStr">
        <x:is>
          <x:t xml:space="preserve">흔함</x:t>
        </x:is>
      </x:c>
      <x:c r="R695" s="7" t="inlineStr">
        <x:is>
          <x:t xml:space="preserve">없음</x:t>
        </x:is>
      </x:c>
      <x:c r="S695" s="7" t="inlineStr">
        <x:is>
          <x:t xml:space="preserve">해양</x:t>
        </x:is>
      </x:c>
      <x:c r="T695" s="7" t="inlineStr">
        <x:is>
          <x:t xml:space="preserve"/>
        </x:is>
      </x:c>
      <x:c r="U695" s="8" t="str">
        <x:f>INDEX('서식지_점수'!$E$4:$P$4,1,MATCH(MAX('서식지_점수'!E695:P695),'서식지_점수'!E695:P695,0))</x:f>
        <x:v>해양</x:v>
      </x:c>
      <x:c r="V695" s="8" t="str">
        <x:f>IF(T695&lt;&gt;"",T695,U695)</x:f>
        <x:v>해양</x:v>
      </x:c>
      <x:c r="W695" s="8" t="str">
        <x:f>IFERROR(INDEX('서식지_점수'!$E$4:$P$4,1,MATCH(MAXIFS('서식지_점수'!E695:P695,'서식지_점수'!E695:P695,"&lt;"&amp;MAX('서식지_점수'!E695:P695)),'서식지_점수'!E695:P695,0)),"")</x:f>
        <x:v>습지</x:v>
      </x:c>
      <x:c r="X695" s="8" t="str">
        <x:f>IF(T695&lt;&gt;"","수동확정",IF(MAX('서식지_점수'!E695:P695)-LARGE('서식지_점수'!E695:P695,2)&gt;=15,"높음",IF(MAX('서식지_점수'!E695:P695)-LARGE('서식지_점수'!E695:P695,2)&gt;=8,"보통","검토필요")))</x:f>
        <x:v>높음</x:v>
      </x:c>
      <x:c r="Y695" s="9" t="n">
        <x:f>IF(Q695="전설",8,IF(Q695="희귀",7,IF(J695="기본",1,IF(J695="중간",3,IF(J695="최종",IF(I695="",5,IF(I695&lt;=20,3,IF(I695&lt;=35,4,IF(I695&lt;=50,6,7)))),IF(Q695="드묾",4,2))))))</x:f>
        <x:v>6</x:v>
      </x:c>
      <x:c r="Z695" s="5" t="inlineStr">
        <x:is>
          <x:t xml:space="preserve">#cobblemon:is_coast; #cobblemon:is_ocean; #cobblemon:is_overworld</x:t>
        </x:is>
      </x:c>
      <x:c r="AA695" s="5" t="inlineStr">
        <x:is>
          <x:t xml:space="preserve">common</x:t>
        </x:is>
      </x:c>
      <x:c r="AB695" s="5" t="inlineStr">
        <x:is>
          <x:t xml:space="preserve">예</x:t>
        </x:is>
      </x:c>
      <x:c r="AC695" s="8" t="str">
        <x:f>IF(T695&lt;&gt;"","수동확정",IF(X695="검토필요","검토필요",IF(S695="","원본없음","초기완료")))</x:f>
        <x:v>초기완료</x:v>
      </x:c>
      <x:c r="AD695" s="7" t="inlineStr">
        <x:is>
          <x:t xml:space="preserve"/>
        </x:is>
      </x:c>
      <x:c r="AE695" s="5" t="inlineStr">
        <x:is>
          <x:t xml:space="preserve">.tmp/cobblemon-1.7.3-source/common/src/main/resources/data/cobblemon/species/generation6/dragalge.json</x:t>
        </x:is>
      </x:c>
      <x:c r="AF695" s="5" t="str">
        <x:f>"생활권|"&amp;K695</x:f>
        <x:v>생활권|해양</x:v>
      </x:c>
      <x:c r="AG695" s="5" t="str">
        <x:f>"지형|"&amp;L695</x:f>
        <x:v>지형|해안·해양</x:v>
      </x:c>
      <x:c r="AH695" s="5" t="str">
        <x:f>"온도|"&amp;M695</x:f>
        <x:v>온도|온대</x:v>
      </x:c>
      <x:c r="AI695" s="5" t="str">
        <x:f>"습도|"&amp;N695</x:f>
        <x:v>습도|수중</x:v>
      </x:c>
      <x:c r="AJ695" s="5" t="str">
        <x:f>"날씨|"&amp;O695</x:f>
        <x:v>날씨|비</x:v>
      </x:c>
      <x:c r="AK695" s="5" t="str">
        <x:f>"특수태그|"&amp;R695</x:f>
        <x:v>특수태그|없음</x:v>
      </x:c>
      <x:c r="AL695" s="5" t="str">
        <x:f>"원본서식지|"&amp;S695</x:f>
        <x:v>원본서식지|해양</x:v>
      </x:c>
      <x:c r="AM695" s="5" t="str">
        <x:f>"타입|"&amp;F695</x:f>
        <x:v>타입|독</x:v>
      </x:c>
      <x:c r="AN695" s="5" t="str">
        <x:f>"타입|"&amp;G695</x:f>
        <x:v>타입|드래곤</x:v>
      </x:c>
    </x:row>
    <x:row r="696" ht="24" customHeight="1">
      <x:c r="A696" s="5" t="n">
        <x:v>692</x:v>
      </x:c>
      <x:c r="B696" s="5" t="inlineStr">
        <x:is>
          <x:t xml:space="preserve">완철포</x:t>
        </x:is>
      </x:c>
      <x:c r="C696" s="5" t="inlineStr">
        <x:is>
          <x:t xml:space="preserve">clauncher</x:t>
        </x:is>
      </x:c>
      <x:c r="D696" s="5" t="inlineStr">
        <x:is>
          <x:t xml:space="preserve">Clauncher</x:t>
        </x:is>
      </x:c>
      <x:c r="E696" s="5" t="n">
        <x:v>6</x:v>
      </x:c>
      <x:c r="F696" s="5" t="inlineStr">
        <x:is>
          <x:t xml:space="preserve">물</x:t>
        </x:is>
      </x:c>
      <x:c r="G696" s="5" t="inlineStr">
        <x:is>
          <x:t xml:space="preserve"/>
        </x:is>
      </x:c>
      <x:c r="H696" s="6" t="n">
        <x:v>8.300000000000001</x:v>
      </x:c>
      <x:c r="I696" s="5" t="n">
        <x:v>37</x:v>
      </x:c>
      <x:c r="J696" s="5" t="inlineStr">
        <x:is>
          <x:t xml:space="preserve">기본</x:t>
        </x:is>
      </x:c>
      <x:c r="K696" s="7" t="inlineStr">
        <x:is>
          <x:t xml:space="preserve">해양</x:t>
        </x:is>
      </x:c>
      <x:c r="L696" s="7" t="inlineStr">
        <x:is>
          <x:t xml:space="preserve">해안·해양</x:t>
        </x:is>
      </x:c>
      <x:c r="M696" s="7" t="inlineStr">
        <x:is>
          <x:t xml:space="preserve">온대</x:t>
        </x:is>
      </x:c>
      <x:c r="N696" s="7" t="inlineStr">
        <x:is>
          <x:t xml:space="preserve">수중</x:t>
        </x:is>
      </x:c>
      <x:c r="O696" s="7" t="inlineStr">
        <x:is>
          <x:t xml:space="preserve">비</x:t>
        </x:is>
      </x:c>
      <x:c r="P696" s="7" t="inlineStr">
        <x:is>
          <x:t xml:space="preserve">무관</x:t>
        </x:is>
      </x:c>
      <x:c r="Q696" s="7" t="inlineStr">
        <x:is>
          <x:t xml:space="preserve">흔함</x:t>
        </x:is>
      </x:c>
      <x:c r="R696" s="7" t="inlineStr">
        <x:is>
          <x:t xml:space="preserve">없음</x:t>
        </x:is>
      </x:c>
      <x:c r="S696" s="7" t="inlineStr">
        <x:is>
          <x:t xml:space="preserve">해양</x:t>
        </x:is>
      </x:c>
      <x:c r="T696" s="7" t="inlineStr">
        <x:is>
          <x:t xml:space="preserve"/>
        </x:is>
      </x:c>
      <x:c r="U696" s="8" t="str">
        <x:f>INDEX('서식지_점수'!$E$4:$P$4,1,MATCH(MAX('서식지_점수'!E696:P696),'서식지_점수'!E696:P696,0))</x:f>
        <x:v>해양</x:v>
      </x:c>
      <x:c r="V696" s="8" t="str">
        <x:f>IF(T696&lt;&gt;"",T696,U696)</x:f>
        <x:v>해양</x:v>
      </x:c>
      <x:c r="W696" s="8" t="str">
        <x:f>IFERROR(INDEX('서식지_점수'!$E$4:$P$4,1,MATCH(MAXIFS('서식지_점수'!E696:P696,'서식지_점수'!E696:P696,"&lt;"&amp;MAX('서식지_점수'!E696:P696)),'서식지_점수'!E696:P696,0)),"")</x:f>
        <x:v>습지</x:v>
      </x:c>
      <x:c r="X696" s="8" t="str">
        <x:f>IF(T696&lt;&gt;"","수동확정",IF(MAX('서식지_점수'!E696:P696)-LARGE('서식지_점수'!E696:P696,2)&gt;=15,"높음",IF(MAX('서식지_점수'!E696:P696)-LARGE('서식지_점수'!E696:P696,2)&gt;=8,"보통","검토필요")))</x:f>
        <x:v>높음</x:v>
      </x:c>
      <x:c r="Y696" s="9" t="n">
        <x:f>IF(Q696="전설",8,IF(Q696="희귀",7,IF(J696="기본",1,IF(J696="중간",3,IF(J696="최종",IF(I696="",5,IF(I696&lt;=20,3,IF(I696&lt;=35,4,IF(I696&lt;=50,6,7)))),IF(Q696="드묾",4,2))))))</x:f>
        <x:v>1</x:v>
      </x:c>
      <x:c r="Z696" s="5" t="inlineStr">
        <x:is>
          <x:t xml:space="preserve">#cobblemon:is_coast; #cobblemon:is_ocean</x:t>
        </x:is>
      </x:c>
      <x:c r="AA696" s="5" t="inlineStr">
        <x:is>
          <x:t xml:space="preserve">common</x:t>
        </x:is>
      </x:c>
      <x:c r="AB696" s="5" t="inlineStr">
        <x:is>
          <x:t xml:space="preserve">예</x:t>
        </x:is>
      </x:c>
      <x:c r="AC696" s="8" t="str">
        <x:f>IF(T696&lt;&gt;"","수동확정",IF(X696="검토필요","검토필요",IF(S696="","원본없음","초기완료")))</x:f>
        <x:v>초기완료</x:v>
      </x:c>
      <x:c r="AD696" s="7" t="inlineStr">
        <x:is>
          <x:t xml:space="preserve"/>
        </x:is>
      </x:c>
      <x:c r="AE696" s="5" t="inlineStr">
        <x:is>
          <x:t xml:space="preserve">.tmp/cobblemon-1.7.3-source/common/src/main/resources/data/cobblemon/species/generation6/clauncher.json</x:t>
        </x:is>
      </x:c>
      <x:c r="AF696" s="5" t="str">
        <x:f>"생활권|"&amp;K696</x:f>
        <x:v>생활권|해양</x:v>
      </x:c>
      <x:c r="AG696" s="5" t="str">
        <x:f>"지형|"&amp;L696</x:f>
        <x:v>지형|해안·해양</x:v>
      </x:c>
      <x:c r="AH696" s="5" t="str">
        <x:f>"온도|"&amp;M696</x:f>
        <x:v>온도|온대</x:v>
      </x:c>
      <x:c r="AI696" s="5" t="str">
        <x:f>"습도|"&amp;N696</x:f>
        <x:v>습도|수중</x:v>
      </x:c>
      <x:c r="AJ696" s="5" t="str">
        <x:f>"날씨|"&amp;O696</x:f>
        <x:v>날씨|비</x:v>
      </x:c>
      <x:c r="AK696" s="5" t="str">
        <x:f>"특수태그|"&amp;R696</x:f>
        <x:v>특수태그|없음</x:v>
      </x:c>
      <x:c r="AL696" s="5" t="str">
        <x:f>"원본서식지|"&amp;S696</x:f>
        <x:v>원본서식지|해양</x:v>
      </x:c>
      <x:c r="AM696" s="5" t="str">
        <x:f>"타입|"&amp;F696</x:f>
        <x:v>타입|물</x:v>
      </x:c>
      <x:c r="AN696" s="5" t="str">
        <x:f>"타입|"&amp;G696</x:f>
        <x:v>타입|</x:v>
      </x:c>
    </x:row>
    <x:row r="697" ht="24" customHeight="1">
      <x:c r="A697" s="5" t="n">
        <x:v>693</x:v>
      </x:c>
      <x:c r="B697" s="5" t="inlineStr">
        <x:is>
          <x:t xml:space="preserve">블로스터</x:t>
        </x:is>
      </x:c>
      <x:c r="C697" s="5" t="inlineStr">
        <x:is>
          <x:t xml:space="preserve">clawitzer</x:t>
        </x:is>
      </x:c>
      <x:c r="D697" s="5" t="inlineStr">
        <x:is>
          <x:t xml:space="preserve">Clawitzer</x:t>
        </x:is>
      </x:c>
      <x:c r="E697" s="5" t="n">
        <x:v>6</x:v>
      </x:c>
      <x:c r="F697" s="5" t="inlineStr">
        <x:is>
          <x:t xml:space="preserve">물</x:t>
        </x:is>
      </x:c>
      <x:c r="G697" s="5" t="inlineStr">
        <x:is>
          <x:t xml:space="preserve"/>
        </x:is>
      </x:c>
      <x:c r="H697" s="6" t="n">
        <x:v>35.3</x:v>
      </x:c>
      <x:c r="I697" s="5" t="n">
        <x:v>37</x:v>
      </x:c>
      <x:c r="J697" s="5" t="inlineStr">
        <x:is>
          <x:t xml:space="preserve">최종</x:t>
        </x:is>
      </x:c>
      <x:c r="K697" s="7" t="inlineStr">
        <x:is>
          <x:t xml:space="preserve">해양</x:t>
        </x:is>
      </x:c>
      <x:c r="L697" s="7" t="inlineStr">
        <x:is>
          <x:t xml:space="preserve">해안·해양</x:t>
        </x:is>
      </x:c>
      <x:c r="M697" s="7" t="inlineStr">
        <x:is>
          <x:t xml:space="preserve">온대</x:t>
        </x:is>
      </x:c>
      <x:c r="N697" s="7" t="inlineStr">
        <x:is>
          <x:t xml:space="preserve">수중</x:t>
        </x:is>
      </x:c>
      <x:c r="O697" s="7" t="inlineStr">
        <x:is>
          <x:t xml:space="preserve">비</x:t>
        </x:is>
      </x:c>
      <x:c r="P697" s="7" t="inlineStr">
        <x:is>
          <x:t xml:space="preserve">무관</x:t>
        </x:is>
      </x:c>
      <x:c r="Q697" s="7" t="inlineStr">
        <x:is>
          <x:t xml:space="preserve">흔함</x:t>
        </x:is>
      </x:c>
      <x:c r="R697" s="7" t="inlineStr">
        <x:is>
          <x:t xml:space="preserve">없음</x:t>
        </x:is>
      </x:c>
      <x:c r="S697" s="7" t="inlineStr">
        <x:is>
          <x:t xml:space="preserve">해양</x:t>
        </x:is>
      </x:c>
      <x:c r="T697" s="7" t="inlineStr">
        <x:is>
          <x:t xml:space="preserve"/>
        </x:is>
      </x:c>
      <x:c r="U697" s="8" t="str">
        <x:f>INDEX('서식지_점수'!$E$4:$P$4,1,MATCH(MAX('서식지_점수'!E697:P697),'서식지_점수'!E697:P697,0))</x:f>
        <x:v>해양</x:v>
      </x:c>
      <x:c r="V697" s="8" t="str">
        <x:f>IF(T697&lt;&gt;"",T697,U697)</x:f>
        <x:v>해양</x:v>
      </x:c>
      <x:c r="W697" s="8" t="str">
        <x:f>IFERROR(INDEX('서식지_점수'!$E$4:$P$4,1,MATCH(MAXIFS('서식지_점수'!E697:P697,'서식지_점수'!E697:P697,"&lt;"&amp;MAX('서식지_점수'!E697:P697)),'서식지_점수'!E697:P697,0)),"")</x:f>
        <x:v>습지</x:v>
      </x:c>
      <x:c r="X697" s="8" t="str">
        <x:f>IF(T697&lt;&gt;"","수동확정",IF(MAX('서식지_점수'!E697:P697)-LARGE('서식지_점수'!E697:P697,2)&gt;=15,"높음",IF(MAX('서식지_점수'!E697:P697)-LARGE('서식지_점수'!E697:P697,2)&gt;=8,"보통","검토필요")))</x:f>
        <x:v>높음</x:v>
      </x:c>
      <x:c r="Y697" s="9" t="n">
        <x:f>IF(Q697="전설",8,IF(Q697="희귀",7,IF(J697="기본",1,IF(J697="중간",3,IF(J697="최종",IF(I697="",5,IF(I697&lt;=20,3,IF(I697&lt;=35,4,IF(I697&lt;=50,6,7)))),IF(Q697="드묾",4,2))))))</x:f>
        <x:v>6</x:v>
      </x:c>
      <x:c r="Z697" s="5" t="inlineStr">
        <x:is>
          <x:t xml:space="preserve">#cobblemon:is_coast; #cobblemon:is_ocean</x:t>
        </x:is>
      </x:c>
      <x:c r="AA697" s="5" t="inlineStr">
        <x:is>
          <x:t xml:space="preserve">common</x:t>
        </x:is>
      </x:c>
      <x:c r="AB697" s="5" t="inlineStr">
        <x:is>
          <x:t xml:space="preserve">예</x:t>
        </x:is>
      </x:c>
      <x:c r="AC697" s="8" t="str">
        <x:f>IF(T697&lt;&gt;"","수동확정",IF(X697="검토필요","검토필요",IF(S697="","원본없음","초기완료")))</x:f>
        <x:v>초기완료</x:v>
      </x:c>
      <x:c r="AD697" s="7" t="inlineStr">
        <x:is>
          <x:t xml:space="preserve"/>
        </x:is>
      </x:c>
      <x:c r="AE697" s="5" t="inlineStr">
        <x:is>
          <x:t xml:space="preserve">.tmp/cobblemon-1.7.3-source/common/src/main/resources/data/cobblemon/species/generation6/clawitzer.json</x:t>
        </x:is>
      </x:c>
      <x:c r="AF697" s="5" t="str">
        <x:f>"생활권|"&amp;K697</x:f>
        <x:v>생활권|해양</x:v>
      </x:c>
      <x:c r="AG697" s="5" t="str">
        <x:f>"지형|"&amp;L697</x:f>
        <x:v>지형|해안·해양</x:v>
      </x:c>
      <x:c r="AH697" s="5" t="str">
        <x:f>"온도|"&amp;M697</x:f>
        <x:v>온도|온대</x:v>
      </x:c>
      <x:c r="AI697" s="5" t="str">
        <x:f>"습도|"&amp;N697</x:f>
        <x:v>습도|수중</x:v>
      </x:c>
      <x:c r="AJ697" s="5" t="str">
        <x:f>"날씨|"&amp;O697</x:f>
        <x:v>날씨|비</x:v>
      </x:c>
      <x:c r="AK697" s="5" t="str">
        <x:f>"특수태그|"&amp;R697</x:f>
        <x:v>특수태그|없음</x:v>
      </x:c>
      <x:c r="AL697" s="5" t="str">
        <x:f>"원본서식지|"&amp;S697</x:f>
        <x:v>원본서식지|해양</x:v>
      </x:c>
      <x:c r="AM697" s="5" t="str">
        <x:f>"타입|"&amp;F697</x:f>
        <x:v>타입|물</x:v>
      </x:c>
      <x:c r="AN697" s="5" t="str">
        <x:f>"타입|"&amp;G697</x:f>
        <x:v>타입|</x:v>
      </x:c>
    </x:row>
    <x:row r="698" ht="24" customHeight="1">
      <x:c r="A698" s="5" t="n">
        <x:v>694</x:v>
      </x:c>
      <x:c r="B698" s="5" t="inlineStr">
        <x:is>
          <x:t xml:space="preserve">목도리키텔</x:t>
        </x:is>
      </x:c>
      <x:c r="C698" s="5" t="inlineStr">
        <x:is>
          <x:t xml:space="preserve">helioptile</x:t>
        </x:is>
      </x:c>
      <x:c r="D698" s="5" t="inlineStr">
        <x:is>
          <x:t xml:space="preserve">Helioptile</x:t>
        </x:is>
      </x:c>
      <x:c r="E698" s="5" t="n">
        <x:v>6</x:v>
      </x:c>
      <x:c r="F698" s="5" t="inlineStr">
        <x:is>
          <x:t xml:space="preserve">전기</x:t>
        </x:is>
      </x:c>
      <x:c r="G698" s="5" t="inlineStr">
        <x:is>
          <x:t xml:space="preserve">노말</x:t>
        </x:is>
      </x:c>
      <x:c r="H698" s="6" t="n">
        <x:v>6</x:v>
      </x:c>
      <x:c r="I698" s="5" t="n"/>
      <x:c r="J698" s="5" t="inlineStr">
        <x:is>
          <x:t xml:space="preserve">기본</x:t>
        </x:is>
      </x:c>
      <x:c r="K698" s="7" t="inlineStr">
        <x:is>
          <x:t xml:space="preserve">육상</x:t>
        </x:is>
      </x:c>
      <x:c r="L698" s="7" t="inlineStr">
        <x:is>
          <x:t xml:space="preserve">건조</x:t>
        </x:is>
      </x:c>
      <x:c r="M698" s="7" t="inlineStr">
        <x:is>
          <x:t xml:space="preserve">고온</x:t>
        </x:is>
      </x:c>
      <x:c r="N698" s="7" t="inlineStr">
        <x:is>
          <x:t xml:space="preserve">건조</x:t>
        </x:is>
      </x:c>
      <x:c r="O698" s="7" t="inlineStr">
        <x:is>
          <x:t xml:space="preserve">맑음</x:t>
        </x:is>
      </x:c>
      <x:c r="P698" s="7" t="inlineStr">
        <x:is>
          <x:t xml:space="preserve">낮</x:t>
        </x:is>
      </x:c>
      <x:c r="Q698" s="7" t="inlineStr">
        <x:is>
          <x:t xml:space="preserve">보통</x:t>
        </x:is>
      </x:c>
      <x:c r="R698" s="7" t="inlineStr">
        <x:is>
          <x:t xml:space="preserve">없음</x:t>
        </x:is>
      </x:c>
      <x:c r="S698" s="7" t="inlineStr">
        <x:is>
          <x:t xml:space="preserve">건조지</x:t>
        </x:is>
      </x:c>
      <x:c r="T698" s="7" t="inlineStr">
        <x:is>
          <x:t xml:space="preserve"/>
        </x:is>
      </x:c>
      <x:c r="U698" s="8" t="str">
        <x:f>INDEX('서식지_점수'!$E$4:$P$4,1,MATCH(MAX('서식지_점수'!E698:P698),'서식지_점수'!E698:P698,0))</x:f>
        <x:v>평원</x:v>
      </x:c>
      <x:c r="V698" s="8" t="str">
        <x:f>IF(T698&lt;&gt;"",T698,U698)</x:f>
        <x:v>평원</x:v>
      </x:c>
      <x:c r="W698" s="8" t="str">
        <x:f>IFERROR(INDEX('서식지_점수'!$E$4:$P$4,1,MATCH(MAXIFS('서식지_점수'!E698:P698,'서식지_점수'!E698:P698,"&lt;"&amp;MAX('서식지_점수'!E698:P698)),'서식지_점수'!E698:P698,0)),"")</x:f>
        <x:v>숲</x:v>
      </x:c>
      <x:c r="X698" s="8" t="str">
        <x:f>IF(T698&lt;&gt;"","수동확정",IF(MAX('서식지_점수'!E698:P698)-LARGE('서식지_점수'!E698:P698,2)&gt;=15,"높음",IF(MAX('서식지_점수'!E698:P698)-LARGE('서식지_점수'!E698:P698,2)&gt;=8,"보통","검토필요")))</x:f>
        <x:v>검토필요</x:v>
      </x:c>
      <x:c r="Y698" s="9" t="n">
        <x:f>IF(Q698="전설",8,IF(Q698="희귀",7,IF(J698="기본",1,IF(J698="중간",3,IF(J698="최종",IF(I698="",5,IF(I698&lt;=20,3,IF(I698&lt;=35,4,IF(I698&lt;=50,6,7)))),IF(Q698="드묾",4,2))))))</x:f>
        <x:v>1</x:v>
      </x:c>
      <x:c r="Z698" s="5" t="inlineStr">
        <x:is>
          <x:t xml:space="preserve">#cobblemon:is_sandy</x:t>
        </x:is>
      </x:c>
      <x:c r="AA698" s="5" t="inlineStr">
        <x:is>
          <x:t xml:space="preserve">uncommon</x:t>
        </x:is>
      </x:c>
      <x:c r="AB698" s="5" t="inlineStr">
        <x:is>
          <x:t xml:space="preserve">아니오</x:t>
        </x:is>
      </x:c>
      <x:c r="AC698" s="8" t="str">
        <x:f>IF(T698&lt;&gt;"","수동확정",IF(X698="검토필요","검토필요",IF(S698="","원본없음","초기완료")))</x:f>
        <x:v>검토필요</x:v>
      </x:c>
      <x:c r="AD698" s="7" t="inlineStr">
        <x:is>
          <x:t xml:space="preserve"/>
        </x:is>
      </x:c>
      <x:c r="AE698" s="5" t="inlineStr">
        <x:is>
          <x:t xml:space="preserve">.tmp/cobblemon-1.7.3-source/common/src/main/resources/data/cobblemon/species/generation6/helioptile.json</x:t>
        </x:is>
      </x:c>
      <x:c r="AF698" s="5" t="str">
        <x:f>"생활권|"&amp;K698</x:f>
        <x:v>생활권|육상</x:v>
      </x:c>
      <x:c r="AG698" s="5" t="str">
        <x:f>"지형|"&amp;L698</x:f>
        <x:v>지형|건조</x:v>
      </x:c>
      <x:c r="AH698" s="5" t="str">
        <x:f>"온도|"&amp;M698</x:f>
        <x:v>온도|고온</x:v>
      </x:c>
      <x:c r="AI698" s="5" t="str">
        <x:f>"습도|"&amp;N698</x:f>
        <x:v>습도|건조</x:v>
      </x:c>
      <x:c r="AJ698" s="5" t="str">
        <x:f>"날씨|"&amp;O698</x:f>
        <x:v>날씨|맑음</x:v>
      </x:c>
      <x:c r="AK698" s="5" t="str">
        <x:f>"특수태그|"&amp;R698</x:f>
        <x:v>특수태그|없음</x:v>
      </x:c>
      <x:c r="AL698" s="5" t="str">
        <x:f>"원본서식지|"&amp;S698</x:f>
        <x:v>원본서식지|건조지</x:v>
      </x:c>
      <x:c r="AM698" s="5" t="str">
        <x:f>"타입|"&amp;F698</x:f>
        <x:v>타입|전기</x:v>
      </x:c>
      <x:c r="AN698" s="5" t="str">
        <x:f>"타입|"&amp;G698</x:f>
        <x:v>타입|노말</x:v>
      </x:c>
    </x:row>
    <x:row r="699" ht="24" customHeight="1">
      <x:c r="A699" s="5" t="n">
        <x:v>695</x:v>
      </x:c>
      <x:c r="B699" s="5" t="inlineStr">
        <x:is>
          <x:t xml:space="preserve">일레도리자드</x:t>
        </x:is>
      </x:c>
      <x:c r="C699" s="5" t="inlineStr">
        <x:is>
          <x:t xml:space="preserve">heliolisk</x:t>
        </x:is>
      </x:c>
      <x:c r="D699" s="5" t="inlineStr">
        <x:is>
          <x:t xml:space="preserve">Heliolisk</x:t>
        </x:is>
      </x:c>
      <x:c r="E699" s="5" t="n">
        <x:v>6</x:v>
      </x:c>
      <x:c r="F699" s="5" t="inlineStr">
        <x:is>
          <x:t xml:space="preserve">전기</x:t>
        </x:is>
      </x:c>
      <x:c r="G699" s="5" t="inlineStr">
        <x:is>
          <x:t xml:space="preserve">노말</x:t>
        </x:is>
      </x:c>
      <x:c r="H699" s="6" t="n">
        <x:v>21</x:v>
      </x:c>
      <x:c r="I699" s="5" t="n"/>
      <x:c r="J699" s="5" t="inlineStr">
        <x:is>
          <x:t xml:space="preserve">최종</x:t>
        </x:is>
      </x:c>
      <x:c r="K699" s="7" t="inlineStr">
        <x:is>
          <x:t xml:space="preserve">육상</x:t>
        </x:is>
      </x:c>
      <x:c r="L699" s="7" t="inlineStr">
        <x:is>
          <x:t xml:space="preserve">건조</x:t>
        </x:is>
      </x:c>
      <x:c r="M699" s="7" t="inlineStr">
        <x:is>
          <x:t xml:space="preserve">고온</x:t>
        </x:is>
      </x:c>
      <x:c r="N699" s="7" t="inlineStr">
        <x:is>
          <x:t xml:space="preserve">건조</x:t>
        </x:is>
      </x:c>
      <x:c r="O699" s="7" t="inlineStr">
        <x:is>
          <x:t xml:space="preserve">맑음</x:t>
        </x:is>
      </x:c>
      <x:c r="P699" s="7" t="inlineStr">
        <x:is>
          <x:t xml:space="preserve">낮</x:t>
        </x:is>
      </x:c>
      <x:c r="Q699" s="7" t="inlineStr">
        <x:is>
          <x:t xml:space="preserve">드묾</x:t>
        </x:is>
      </x:c>
      <x:c r="R699" s="7" t="inlineStr">
        <x:is>
          <x:t xml:space="preserve">없음</x:t>
        </x:is>
      </x:c>
      <x:c r="S699" s="7" t="inlineStr">
        <x:is>
          <x:t xml:space="preserve">건조지</x:t>
        </x:is>
      </x:c>
      <x:c r="T699" s="7" t="inlineStr">
        <x:is>
          <x:t xml:space="preserve"/>
        </x:is>
      </x:c>
      <x:c r="U699" s="8" t="str">
        <x:f>INDEX('서식지_점수'!$E$4:$P$4,1,MATCH(MAX('서식지_점수'!E699:P699),'서식지_점수'!E699:P699,0))</x:f>
        <x:v>평원</x:v>
      </x:c>
      <x:c r="V699" s="8" t="str">
        <x:f>IF(T699&lt;&gt;"",T699,U699)</x:f>
        <x:v>평원</x:v>
      </x:c>
      <x:c r="W699" s="8" t="str">
        <x:f>IFERROR(INDEX('서식지_점수'!$E$4:$P$4,1,MATCH(MAXIFS('서식지_점수'!E699:P699,'서식지_점수'!E699:P699,"&lt;"&amp;MAX('서식지_점수'!E699:P699)),'서식지_점수'!E699:P699,0)),"")</x:f>
        <x:v>숲</x:v>
      </x:c>
      <x:c r="X699" s="8" t="str">
        <x:f>IF(T699&lt;&gt;"","수동확정",IF(MAX('서식지_점수'!E699:P699)-LARGE('서식지_점수'!E699:P699,2)&gt;=15,"높음",IF(MAX('서식지_점수'!E699:P699)-LARGE('서식지_점수'!E699:P699,2)&gt;=8,"보통","검토필요")))</x:f>
        <x:v>검토필요</x:v>
      </x:c>
      <x:c r="Y699" s="9" t="n">
        <x:f>IF(Q699="전설",8,IF(Q699="희귀",7,IF(J699="기본",1,IF(J699="중간",3,IF(J699="최종",IF(I699="",5,IF(I699&lt;=20,3,IF(I699&lt;=35,4,IF(I699&lt;=50,6,7)))),IF(Q699="드묾",4,2))))))</x:f>
        <x:v>5</x:v>
      </x:c>
      <x:c r="Z699" s="5" t="inlineStr">
        <x:is>
          <x:t xml:space="preserve">#cobblemon:is_sandy</x:t>
        </x:is>
      </x:c>
      <x:c r="AA699" s="5" t="inlineStr">
        <x:is>
          <x:t xml:space="preserve">rare</x:t>
        </x:is>
      </x:c>
      <x:c r="AB699" s="5" t="inlineStr">
        <x:is>
          <x:t xml:space="preserve">아니오</x:t>
        </x:is>
      </x:c>
      <x:c r="AC699" s="8" t="str">
        <x:f>IF(T699&lt;&gt;"","수동확정",IF(X699="검토필요","검토필요",IF(S699="","원본없음","초기완료")))</x:f>
        <x:v>검토필요</x:v>
      </x:c>
      <x:c r="AD699" s="7" t="inlineStr">
        <x:is>
          <x:t xml:space="preserve"/>
        </x:is>
      </x:c>
      <x:c r="AE699" s="5" t="inlineStr">
        <x:is>
          <x:t xml:space="preserve">.tmp/cobblemon-1.7.3-source/common/src/main/resources/data/cobblemon/species/generation6/heliolisk.json</x:t>
        </x:is>
      </x:c>
      <x:c r="AF699" s="5" t="str">
        <x:f>"생활권|"&amp;K699</x:f>
        <x:v>생활권|육상</x:v>
      </x:c>
      <x:c r="AG699" s="5" t="str">
        <x:f>"지형|"&amp;L699</x:f>
        <x:v>지형|건조</x:v>
      </x:c>
      <x:c r="AH699" s="5" t="str">
        <x:f>"온도|"&amp;M699</x:f>
        <x:v>온도|고온</x:v>
      </x:c>
      <x:c r="AI699" s="5" t="str">
        <x:f>"습도|"&amp;N699</x:f>
        <x:v>습도|건조</x:v>
      </x:c>
      <x:c r="AJ699" s="5" t="str">
        <x:f>"날씨|"&amp;O699</x:f>
        <x:v>날씨|맑음</x:v>
      </x:c>
      <x:c r="AK699" s="5" t="str">
        <x:f>"특수태그|"&amp;R699</x:f>
        <x:v>특수태그|없음</x:v>
      </x:c>
      <x:c r="AL699" s="5" t="str">
        <x:f>"원본서식지|"&amp;S699</x:f>
        <x:v>원본서식지|건조지</x:v>
      </x:c>
      <x:c r="AM699" s="5" t="str">
        <x:f>"타입|"&amp;F699</x:f>
        <x:v>타입|전기</x:v>
      </x:c>
      <x:c r="AN699" s="5" t="str">
        <x:f>"타입|"&amp;G699</x:f>
        <x:v>타입|노말</x:v>
      </x:c>
    </x:row>
    <x:row r="700" ht="24" customHeight="1">
      <x:c r="A700" s="5" t="n">
        <x:v>696</x:v>
      </x:c>
      <x:c r="B700" s="5" t="inlineStr">
        <x:is>
          <x:t xml:space="preserve">티고라스</x:t>
        </x:is>
      </x:c>
      <x:c r="C700" s="5" t="inlineStr">
        <x:is>
          <x:t xml:space="preserve">tyrunt</x:t>
        </x:is>
      </x:c>
      <x:c r="D700" s="5" t="inlineStr">
        <x:is>
          <x:t xml:space="preserve">Tyrunt</x:t>
        </x:is>
      </x:c>
      <x:c r="E700" s="5" t="n">
        <x:v>6</x:v>
      </x:c>
      <x:c r="F700" s="5" t="inlineStr">
        <x:is>
          <x:t xml:space="preserve">바위</x:t>
        </x:is>
      </x:c>
      <x:c r="G700" s="5" t="inlineStr">
        <x:is>
          <x:t xml:space="preserve">드래곤</x:t>
        </x:is>
      </x:c>
      <x:c r="H700" s="6" t="n">
        <x:v>26</x:v>
      </x:c>
      <x:c r="I700" s="5" t="n">
        <x:v>39</x:v>
      </x:c>
      <x:c r="J700" s="5" t="inlineStr">
        <x:is>
          <x:t xml:space="preserve">기본</x:t>
        </x:is>
      </x:c>
      <x:c r="K700" s="7" t="inlineStr">
        <x:is>
          <x:t xml:space="preserve">육상</x:t>
        </x:is>
      </x:c>
      <x:c r="L700" s="7" t="inlineStr">
        <x:is>
          <x:t xml:space="preserve">암석</x:t>
        </x:is>
      </x:c>
      <x:c r="M700" s="7" t="inlineStr">
        <x:is>
          <x:t xml:space="preserve">온대</x:t>
        </x:is>
      </x:c>
      <x:c r="N700" s="7" t="inlineStr">
        <x:is>
          <x:t xml:space="preserve">보통</x:t>
        </x:is>
      </x:c>
      <x:c r="O700" s="7" t="inlineStr">
        <x:is>
          <x:t xml:space="preserve">무관</x:t>
        </x:is>
      </x:c>
      <x:c r="P700" s="7" t="inlineStr">
        <x:is>
          <x:t xml:space="preserve">무관</x:t>
        </x:is>
      </x:c>
      <x:c r="Q700" s="7" t="inlineStr">
        <x:is>
          <x:t xml:space="preserve">희귀</x:t>
        </x:is>
      </x:c>
      <x:c r="R700" s="7" t="inlineStr">
        <x:is>
          <x:t xml:space="preserve">없음</x:t>
        </x:is>
      </x:c>
      <x:c r="S700" s="7" t="inlineStr">
        <x:is>
          <x:t xml:space="preserve"/>
        </x:is>
      </x:c>
      <x:c r="T700" s="7" t="inlineStr">
        <x:is>
          <x:t xml:space="preserve"/>
        </x:is>
      </x:c>
      <x:c r="U700" s="8" t="str">
        <x:f>INDEX('서식지_점수'!$E$4:$P$4,1,MATCH(MAX('서식지_점수'!E700:P700),'서식지_점수'!E700:P700,0))</x:f>
        <x:v>평원</x:v>
      </x:c>
      <x:c r="V700" s="8" t="str">
        <x:f>IF(T700&lt;&gt;"",T700,U700)</x:f>
        <x:v>평원</x:v>
      </x:c>
      <x:c r="W700" s="8" t="str">
        <x:f>IFERROR(INDEX('서식지_점수'!$E$4:$P$4,1,MATCH(MAXIFS('서식지_점수'!E700:P700,'서식지_점수'!E700:P700,"&lt;"&amp;MAX('서식지_점수'!E700:P700)),'서식지_점수'!E700:P700,0)),"")</x:f>
        <x:v>숲</x:v>
      </x:c>
      <x:c r="X700" s="8" t="str">
        <x:f>IF(T700&lt;&gt;"","수동확정",IF(MAX('서식지_점수'!E700:P700)-LARGE('서식지_점수'!E700:P700,2)&gt;=15,"높음",IF(MAX('서식지_점수'!E700:P700)-LARGE('서식지_점수'!E700:P700,2)&gt;=8,"보통","검토필요")))</x:f>
        <x:v>검토필요</x:v>
      </x:c>
      <x:c r="Y700" s="9" t="n">
        <x:f>IF(Q700="전설",8,IF(Q700="희귀",7,IF(J700="기본",1,IF(J700="중간",3,IF(J700="최종",IF(I700="",5,IF(I700&lt;=20,3,IF(I700&lt;=35,4,IF(I700&lt;=50,6,7)))),IF(Q700="드묾",4,2))))))</x:f>
        <x:v>7</x:v>
      </x:c>
      <x:c r="Z700" s="5" t="inlineStr">
        <x:is>
          <x:t xml:space="preserve">#cobblemon:is_lush</x:t>
        </x:is>
      </x:c>
      <x:c r="AA700" s="5" t="inlineStr">
        <x:is>
          <x:t xml:space="preserve">ultra-rare</x:t>
        </x:is>
      </x:c>
      <x:c r="AB700" s="5" t="inlineStr">
        <x:is>
          <x:t xml:space="preserve">예</x:t>
        </x:is>
      </x:c>
      <x:c r="AC700" s="8" t="str">
        <x:f>IF(T700&lt;&gt;"","수동확정",IF(X700="검토필요","검토필요",IF(S700="","원본없음","초기완료")))</x:f>
        <x:v>검토필요</x:v>
      </x:c>
      <x:c r="AD700" s="7" t="inlineStr">
        <x:is>
          <x:t xml:space="preserve"/>
        </x:is>
      </x:c>
      <x:c r="AE700" s="5" t="inlineStr">
        <x:is>
          <x:t xml:space="preserve">.tmp/cobblemon-1.7.3-source/common/src/main/resources/data/cobblemon/species/generation6/tyrunt.json</x:t>
        </x:is>
      </x:c>
      <x:c r="AF700" s="5" t="str">
        <x:f>"생활권|"&amp;K700</x:f>
        <x:v>생활권|육상</x:v>
      </x:c>
      <x:c r="AG700" s="5" t="str">
        <x:f>"지형|"&amp;L700</x:f>
        <x:v>지형|암석</x:v>
      </x:c>
      <x:c r="AH700" s="5" t="str">
        <x:f>"온도|"&amp;M700</x:f>
        <x:v>온도|온대</x:v>
      </x:c>
      <x:c r="AI700" s="5" t="str">
        <x:f>"습도|"&amp;N700</x:f>
        <x:v>습도|보통</x:v>
      </x:c>
      <x:c r="AJ700" s="5" t="str">
        <x:f>"날씨|"&amp;O700</x:f>
        <x:v>날씨|무관</x:v>
      </x:c>
      <x:c r="AK700" s="5" t="str">
        <x:f>"특수태그|"&amp;R700</x:f>
        <x:v>특수태그|없음</x:v>
      </x:c>
      <x:c r="AL700" s="5" t="str">
        <x:f>"원본서식지|"&amp;S700</x:f>
        <x:v>원본서식지|</x:v>
      </x:c>
      <x:c r="AM700" s="5" t="str">
        <x:f>"타입|"&amp;F700</x:f>
        <x:v>타입|바위</x:v>
      </x:c>
      <x:c r="AN700" s="5" t="str">
        <x:f>"타입|"&amp;G700</x:f>
        <x:v>타입|드래곤</x:v>
      </x:c>
    </x:row>
    <x:row r="701" ht="24" customHeight="1">
      <x:c r="A701" s="5" t="n">
        <x:v>697</x:v>
      </x:c>
      <x:c r="B701" s="5" t="inlineStr">
        <x:is>
          <x:t xml:space="preserve">견고라스</x:t>
        </x:is>
      </x:c>
      <x:c r="C701" s="5" t="inlineStr">
        <x:is>
          <x:t xml:space="preserve">tyrantrum</x:t>
        </x:is>
      </x:c>
      <x:c r="D701" s="5" t="inlineStr">
        <x:is>
          <x:t xml:space="preserve">Tyrantrum</x:t>
        </x:is>
      </x:c>
      <x:c r="E701" s="5" t="n">
        <x:v>6</x:v>
      </x:c>
      <x:c r="F701" s="5" t="inlineStr">
        <x:is>
          <x:t xml:space="preserve">바위</x:t>
        </x:is>
      </x:c>
      <x:c r="G701" s="5" t="inlineStr">
        <x:is>
          <x:t xml:space="preserve">드래곤</x:t>
        </x:is>
      </x:c>
      <x:c r="H701" s="6" t="n">
        <x:v>270</x:v>
      </x:c>
      <x:c r="I701" s="5" t="n">
        <x:v>39</x:v>
      </x:c>
      <x:c r="J701" s="5" t="inlineStr">
        <x:is>
          <x:t xml:space="preserve">최종</x:t>
        </x:is>
      </x:c>
      <x:c r="K701" s="7" t="inlineStr">
        <x:is>
          <x:t xml:space="preserve">육상</x:t>
        </x:is>
      </x:c>
      <x:c r="L701" s="7" t="inlineStr">
        <x:is>
          <x:t xml:space="preserve">암석</x:t>
        </x:is>
      </x:c>
      <x:c r="M701" s="7" t="inlineStr">
        <x:is>
          <x:t xml:space="preserve">온대</x:t>
        </x:is>
      </x:c>
      <x:c r="N701" s="7" t="inlineStr">
        <x:is>
          <x:t xml:space="preserve">보통</x:t>
        </x:is>
      </x:c>
      <x:c r="O701" s="7" t="inlineStr">
        <x:is>
          <x:t xml:space="preserve">무관</x:t>
        </x:is>
      </x:c>
      <x:c r="P701" s="7" t="inlineStr">
        <x:is>
          <x:t xml:space="preserve">무관</x:t>
        </x:is>
      </x:c>
      <x:c r="Q701" s="7" t="inlineStr">
        <x:is>
          <x:t xml:space="preserve">희귀</x:t>
        </x:is>
      </x:c>
      <x:c r="R701" s="7" t="inlineStr">
        <x:is>
          <x:t xml:space="preserve">없음</x:t>
        </x:is>
      </x:c>
      <x:c r="S701" s="7" t="inlineStr">
        <x:is>
          <x:t xml:space="preserve"/>
        </x:is>
      </x:c>
      <x:c r="T701" s="7" t="inlineStr">
        <x:is>
          <x:t xml:space="preserve"/>
        </x:is>
      </x:c>
      <x:c r="U701" s="8" t="str">
        <x:f>INDEX('서식지_점수'!$E$4:$P$4,1,MATCH(MAX('서식지_점수'!E701:P701),'서식지_점수'!E701:P701,0))</x:f>
        <x:v>평원</x:v>
      </x:c>
      <x:c r="V701" s="8" t="str">
        <x:f>IF(T701&lt;&gt;"",T701,U701)</x:f>
        <x:v>평원</x:v>
      </x:c>
      <x:c r="W701" s="8" t="str">
        <x:f>IFERROR(INDEX('서식지_점수'!$E$4:$P$4,1,MATCH(MAXIFS('서식지_점수'!E701:P701,'서식지_점수'!E701:P701,"&lt;"&amp;MAX('서식지_점수'!E701:P701)),'서식지_점수'!E701:P701,0)),"")</x:f>
        <x:v>숲</x:v>
      </x:c>
      <x:c r="X701" s="8" t="str">
        <x:f>IF(T701&lt;&gt;"","수동확정",IF(MAX('서식지_점수'!E701:P701)-LARGE('서식지_점수'!E701:P701,2)&gt;=15,"높음",IF(MAX('서식지_점수'!E701:P701)-LARGE('서식지_점수'!E701:P701,2)&gt;=8,"보통","검토필요")))</x:f>
        <x:v>검토필요</x:v>
      </x:c>
      <x:c r="Y701" s="9" t="n">
        <x:f>IF(Q701="전설",8,IF(Q701="희귀",7,IF(J701="기본",1,IF(J701="중간",3,IF(J701="최종",IF(I701="",5,IF(I701&lt;=20,3,IF(I701&lt;=35,4,IF(I701&lt;=50,6,7)))),IF(Q701="드묾",4,2))))))</x:f>
        <x:v>7</x:v>
      </x:c>
      <x:c r="Z701" s="5" t="inlineStr">
        <x:is>
          <x:t xml:space="preserve">#cobblemon:is_lush</x:t>
        </x:is>
      </x:c>
      <x:c r="AA701" s="5" t="inlineStr">
        <x:is>
          <x:t xml:space="preserve">ultra-rare</x:t>
        </x:is>
      </x:c>
      <x:c r="AB701" s="5" t="inlineStr">
        <x:is>
          <x:t xml:space="preserve">예</x:t>
        </x:is>
      </x:c>
      <x:c r="AC701" s="8" t="str">
        <x:f>IF(T701&lt;&gt;"","수동확정",IF(X701="검토필요","검토필요",IF(S701="","원본없음","초기완료")))</x:f>
        <x:v>검토필요</x:v>
      </x:c>
      <x:c r="AD701" s="7" t="inlineStr">
        <x:is>
          <x:t xml:space="preserve"/>
        </x:is>
      </x:c>
      <x:c r="AE701" s="5" t="inlineStr">
        <x:is>
          <x:t xml:space="preserve">.tmp/cobblemon-1.7.3-source/common/src/main/resources/data/cobblemon/species/generation6/tyrantrum.json</x:t>
        </x:is>
      </x:c>
      <x:c r="AF701" s="5" t="str">
        <x:f>"생활권|"&amp;K701</x:f>
        <x:v>생활권|육상</x:v>
      </x:c>
      <x:c r="AG701" s="5" t="str">
        <x:f>"지형|"&amp;L701</x:f>
        <x:v>지형|암석</x:v>
      </x:c>
      <x:c r="AH701" s="5" t="str">
        <x:f>"온도|"&amp;M701</x:f>
        <x:v>온도|온대</x:v>
      </x:c>
      <x:c r="AI701" s="5" t="str">
        <x:f>"습도|"&amp;N701</x:f>
        <x:v>습도|보통</x:v>
      </x:c>
      <x:c r="AJ701" s="5" t="str">
        <x:f>"날씨|"&amp;O701</x:f>
        <x:v>날씨|무관</x:v>
      </x:c>
      <x:c r="AK701" s="5" t="str">
        <x:f>"특수태그|"&amp;R701</x:f>
        <x:v>특수태그|없음</x:v>
      </x:c>
      <x:c r="AL701" s="5" t="str">
        <x:f>"원본서식지|"&amp;S701</x:f>
        <x:v>원본서식지|</x:v>
      </x:c>
      <x:c r="AM701" s="5" t="str">
        <x:f>"타입|"&amp;F701</x:f>
        <x:v>타입|바위</x:v>
      </x:c>
      <x:c r="AN701" s="5" t="str">
        <x:f>"타입|"&amp;G701</x:f>
        <x:v>타입|드래곤</x:v>
      </x:c>
    </x:row>
    <x:row r="702" ht="24" customHeight="1">
      <x:c r="A702" s="5" t="n">
        <x:v>698</x:v>
      </x:c>
      <x:c r="B702" s="5" t="inlineStr">
        <x:is>
          <x:t xml:space="preserve">아마루스</x:t>
        </x:is>
      </x:c>
      <x:c r="C702" s="5" t="inlineStr">
        <x:is>
          <x:t xml:space="preserve">amaura</x:t>
        </x:is>
      </x:c>
      <x:c r="D702" s="5" t="inlineStr">
        <x:is>
          <x:t xml:space="preserve">Amaura</x:t>
        </x:is>
      </x:c>
      <x:c r="E702" s="5" t="n">
        <x:v>6</x:v>
      </x:c>
      <x:c r="F702" s="5" t="inlineStr">
        <x:is>
          <x:t xml:space="preserve">바위</x:t>
        </x:is>
      </x:c>
      <x:c r="G702" s="5" t="inlineStr">
        <x:is>
          <x:t xml:space="preserve">얼음</x:t>
        </x:is>
      </x:c>
      <x:c r="H702" s="6" t="n">
        <x:v>25.2</x:v>
      </x:c>
      <x:c r="I702" s="5" t="n">
        <x:v>39</x:v>
      </x:c>
      <x:c r="J702" s="5" t="inlineStr">
        <x:is>
          <x:t xml:space="preserve">기본</x:t>
        </x:is>
      </x:c>
      <x:c r="K702" s="7" t="inlineStr">
        <x:is>
          <x:t xml:space="preserve">육상</x:t>
        </x:is>
      </x:c>
      <x:c r="L702" s="7" t="inlineStr">
        <x:is>
          <x:t xml:space="preserve">암석</x:t>
        </x:is>
      </x:c>
      <x:c r="M702" s="7" t="inlineStr">
        <x:is>
          <x:t xml:space="preserve">한랭</x:t>
        </x:is>
      </x:c>
      <x:c r="N702" s="7" t="inlineStr">
        <x:is>
          <x:t xml:space="preserve">보통</x:t>
        </x:is>
      </x:c>
      <x:c r="O702" s="7" t="inlineStr">
        <x:is>
          <x:t xml:space="preserve">무관</x:t>
        </x:is>
      </x:c>
      <x:c r="P702" s="7" t="inlineStr">
        <x:is>
          <x:t xml:space="preserve">무관</x:t>
        </x:is>
      </x:c>
      <x:c r="Q702" s="7" t="inlineStr">
        <x:is>
          <x:t xml:space="preserve">희귀</x:t>
        </x:is>
      </x:c>
      <x:c r="R702" s="7" t="inlineStr">
        <x:is>
          <x:t xml:space="preserve">없음</x:t>
        </x:is>
      </x:c>
      <x:c r="S702" s="7" t="inlineStr">
        <x:is>
          <x:t xml:space="preserve"/>
        </x:is>
      </x:c>
      <x:c r="T702" s="7" t="inlineStr">
        <x:is>
          <x:t xml:space="preserve"/>
        </x:is>
      </x:c>
      <x:c r="U702" s="8" t="str">
        <x:f>INDEX('서식지_점수'!$E$4:$P$4,1,MATCH(MAX('서식지_점수'!E702:P702),'서식지_점수'!E702:P702,0))</x:f>
        <x:v>평원</x:v>
      </x:c>
      <x:c r="V702" s="8" t="str">
        <x:f>IF(T702&lt;&gt;"",T702,U702)</x:f>
        <x:v>평원</x:v>
      </x:c>
      <x:c r="W702" s="8" t="str">
        <x:f>IFERROR(INDEX('서식지_점수'!$E$4:$P$4,1,MATCH(MAXIFS('서식지_점수'!E702:P702,'서식지_점수'!E702:P702,"&lt;"&amp;MAX('서식지_점수'!E702:P702)),'서식지_점수'!E702:P702,0)),"")</x:f>
        <x:v>숲</x:v>
      </x:c>
      <x:c r="X702" s="8" t="str">
        <x:f>IF(T702&lt;&gt;"","수동확정",IF(MAX('서식지_점수'!E702:P702)-LARGE('서식지_점수'!E702:P702,2)&gt;=15,"높음",IF(MAX('서식지_점수'!E702:P702)-LARGE('서식지_점수'!E702:P702,2)&gt;=8,"보통","검토필요")))</x:f>
        <x:v>검토필요</x:v>
      </x:c>
      <x:c r="Y702" s="9" t="n">
        <x:f>IF(Q702="전설",8,IF(Q702="희귀",7,IF(J702="기본",1,IF(J702="중간",3,IF(J702="최종",IF(I702="",5,IF(I702&lt;=20,3,IF(I702&lt;=35,4,IF(I702&lt;=50,6,7)))),IF(Q702="드묾",4,2))))))</x:f>
        <x:v>7</x:v>
      </x:c>
      <x:c r="Z702" s="5" t="inlineStr">
        <x:is>
          <x:t xml:space="preserve">#cobblemon:is_lush</x:t>
        </x:is>
      </x:c>
      <x:c r="AA702" s="5" t="inlineStr">
        <x:is>
          <x:t xml:space="preserve">ultra-rare</x:t>
        </x:is>
      </x:c>
      <x:c r="AB702" s="5" t="inlineStr">
        <x:is>
          <x:t xml:space="preserve">예</x:t>
        </x:is>
      </x:c>
      <x:c r="AC702" s="8" t="str">
        <x:f>IF(T702&lt;&gt;"","수동확정",IF(X702="검토필요","검토필요",IF(S702="","원본없음","초기완료")))</x:f>
        <x:v>검토필요</x:v>
      </x:c>
      <x:c r="AD702" s="7" t="inlineStr">
        <x:is>
          <x:t xml:space="preserve"/>
        </x:is>
      </x:c>
      <x:c r="AE702" s="5" t="inlineStr">
        <x:is>
          <x:t xml:space="preserve">.tmp/cobblemon-1.7.3-source/common/src/main/resources/data/cobblemon/species/generation6/amaura.json</x:t>
        </x:is>
      </x:c>
      <x:c r="AF702" s="5" t="str">
        <x:f>"생활권|"&amp;K702</x:f>
        <x:v>생활권|육상</x:v>
      </x:c>
      <x:c r="AG702" s="5" t="str">
        <x:f>"지형|"&amp;L702</x:f>
        <x:v>지형|암석</x:v>
      </x:c>
      <x:c r="AH702" s="5" t="str">
        <x:f>"온도|"&amp;M702</x:f>
        <x:v>온도|한랭</x:v>
      </x:c>
      <x:c r="AI702" s="5" t="str">
        <x:f>"습도|"&amp;N702</x:f>
        <x:v>습도|보통</x:v>
      </x:c>
      <x:c r="AJ702" s="5" t="str">
        <x:f>"날씨|"&amp;O702</x:f>
        <x:v>날씨|무관</x:v>
      </x:c>
      <x:c r="AK702" s="5" t="str">
        <x:f>"특수태그|"&amp;R702</x:f>
        <x:v>특수태그|없음</x:v>
      </x:c>
      <x:c r="AL702" s="5" t="str">
        <x:f>"원본서식지|"&amp;S702</x:f>
        <x:v>원본서식지|</x:v>
      </x:c>
      <x:c r="AM702" s="5" t="str">
        <x:f>"타입|"&amp;F702</x:f>
        <x:v>타입|바위</x:v>
      </x:c>
      <x:c r="AN702" s="5" t="str">
        <x:f>"타입|"&amp;G702</x:f>
        <x:v>타입|얼음</x:v>
      </x:c>
    </x:row>
    <x:row r="703" ht="24" customHeight="1">
      <x:c r="A703" s="5" t="n">
        <x:v>699</x:v>
      </x:c>
      <x:c r="B703" s="5" t="inlineStr">
        <x:is>
          <x:t xml:space="preserve">아마루르가</x:t>
        </x:is>
      </x:c>
      <x:c r="C703" s="5" t="inlineStr">
        <x:is>
          <x:t xml:space="preserve">aurorus</x:t>
        </x:is>
      </x:c>
      <x:c r="D703" s="5" t="inlineStr">
        <x:is>
          <x:t xml:space="preserve">Aurorus</x:t>
        </x:is>
      </x:c>
      <x:c r="E703" s="5" t="n">
        <x:v>6</x:v>
      </x:c>
      <x:c r="F703" s="5" t="inlineStr">
        <x:is>
          <x:t xml:space="preserve">바위</x:t>
        </x:is>
      </x:c>
      <x:c r="G703" s="5" t="inlineStr">
        <x:is>
          <x:t xml:space="preserve">얼음</x:t>
        </x:is>
      </x:c>
      <x:c r="H703" s="6" t="n">
        <x:v>225</x:v>
      </x:c>
      <x:c r="I703" s="5" t="n">
        <x:v>39</x:v>
      </x:c>
      <x:c r="J703" s="5" t="inlineStr">
        <x:is>
          <x:t xml:space="preserve">최종</x:t>
        </x:is>
      </x:c>
      <x:c r="K703" s="7" t="inlineStr">
        <x:is>
          <x:t xml:space="preserve">육상</x:t>
        </x:is>
      </x:c>
      <x:c r="L703" s="7" t="inlineStr">
        <x:is>
          <x:t xml:space="preserve">암석</x:t>
        </x:is>
      </x:c>
      <x:c r="M703" s="7" t="inlineStr">
        <x:is>
          <x:t xml:space="preserve">한랭</x:t>
        </x:is>
      </x:c>
      <x:c r="N703" s="7" t="inlineStr">
        <x:is>
          <x:t xml:space="preserve">보통</x:t>
        </x:is>
      </x:c>
      <x:c r="O703" s="7" t="inlineStr">
        <x:is>
          <x:t xml:space="preserve">무관</x:t>
        </x:is>
      </x:c>
      <x:c r="P703" s="7" t="inlineStr">
        <x:is>
          <x:t xml:space="preserve">무관</x:t>
        </x:is>
      </x:c>
      <x:c r="Q703" s="7" t="inlineStr">
        <x:is>
          <x:t xml:space="preserve">희귀</x:t>
        </x:is>
      </x:c>
      <x:c r="R703" s="7" t="inlineStr">
        <x:is>
          <x:t xml:space="preserve">없음</x:t>
        </x:is>
      </x:c>
      <x:c r="S703" s="7" t="inlineStr">
        <x:is>
          <x:t xml:space="preserve"/>
        </x:is>
      </x:c>
      <x:c r="T703" s="7" t="inlineStr">
        <x:is>
          <x:t xml:space="preserve"/>
        </x:is>
      </x:c>
      <x:c r="U703" s="8" t="str">
        <x:f>INDEX('서식지_점수'!$E$4:$P$4,1,MATCH(MAX('서식지_점수'!E703:P703),'서식지_점수'!E703:P703,0))</x:f>
        <x:v>평원</x:v>
      </x:c>
      <x:c r="V703" s="8" t="str">
        <x:f>IF(T703&lt;&gt;"",T703,U703)</x:f>
        <x:v>평원</x:v>
      </x:c>
      <x:c r="W703" s="8" t="str">
        <x:f>IFERROR(INDEX('서식지_점수'!$E$4:$P$4,1,MATCH(MAXIFS('서식지_점수'!E703:P703,'서식지_점수'!E703:P703,"&lt;"&amp;MAX('서식지_점수'!E703:P703)),'서식지_점수'!E703:P703,0)),"")</x:f>
        <x:v>숲</x:v>
      </x:c>
      <x:c r="X703" s="8" t="str">
        <x:f>IF(T703&lt;&gt;"","수동확정",IF(MAX('서식지_점수'!E703:P703)-LARGE('서식지_점수'!E703:P703,2)&gt;=15,"높음",IF(MAX('서식지_점수'!E703:P703)-LARGE('서식지_점수'!E703:P703,2)&gt;=8,"보통","검토필요")))</x:f>
        <x:v>검토필요</x:v>
      </x:c>
      <x:c r="Y703" s="9" t="n">
        <x:f>IF(Q703="전설",8,IF(Q703="희귀",7,IF(J703="기본",1,IF(J703="중간",3,IF(J703="최종",IF(I703="",5,IF(I703&lt;=20,3,IF(I703&lt;=35,4,IF(I703&lt;=50,6,7)))),IF(Q703="드묾",4,2))))))</x:f>
        <x:v>7</x:v>
      </x:c>
      <x:c r="Z703" s="5" t="inlineStr">
        <x:is>
          <x:t xml:space="preserve">#cobblemon:is_lush</x:t>
        </x:is>
      </x:c>
      <x:c r="AA703" s="5" t="inlineStr">
        <x:is>
          <x:t xml:space="preserve">ultra-rare</x:t>
        </x:is>
      </x:c>
      <x:c r="AB703" s="5" t="inlineStr">
        <x:is>
          <x:t xml:space="preserve">예</x:t>
        </x:is>
      </x:c>
      <x:c r="AC703" s="8" t="str">
        <x:f>IF(T703&lt;&gt;"","수동확정",IF(X703="검토필요","검토필요",IF(S703="","원본없음","초기완료")))</x:f>
        <x:v>검토필요</x:v>
      </x:c>
      <x:c r="AD703" s="7" t="inlineStr">
        <x:is>
          <x:t xml:space="preserve"/>
        </x:is>
      </x:c>
      <x:c r="AE703" s="5" t="inlineStr">
        <x:is>
          <x:t xml:space="preserve">.tmp/cobblemon-1.7.3-source/common/src/main/resources/data/cobblemon/species/generation6/aurorus.json</x:t>
        </x:is>
      </x:c>
      <x:c r="AF703" s="5" t="str">
        <x:f>"생활권|"&amp;K703</x:f>
        <x:v>생활권|육상</x:v>
      </x:c>
      <x:c r="AG703" s="5" t="str">
        <x:f>"지형|"&amp;L703</x:f>
        <x:v>지형|암석</x:v>
      </x:c>
      <x:c r="AH703" s="5" t="str">
        <x:f>"온도|"&amp;M703</x:f>
        <x:v>온도|한랭</x:v>
      </x:c>
      <x:c r="AI703" s="5" t="str">
        <x:f>"습도|"&amp;N703</x:f>
        <x:v>습도|보통</x:v>
      </x:c>
      <x:c r="AJ703" s="5" t="str">
        <x:f>"날씨|"&amp;O703</x:f>
        <x:v>날씨|무관</x:v>
      </x:c>
      <x:c r="AK703" s="5" t="str">
        <x:f>"특수태그|"&amp;R703</x:f>
        <x:v>특수태그|없음</x:v>
      </x:c>
      <x:c r="AL703" s="5" t="str">
        <x:f>"원본서식지|"&amp;S703</x:f>
        <x:v>원본서식지|</x:v>
      </x:c>
      <x:c r="AM703" s="5" t="str">
        <x:f>"타입|"&amp;F703</x:f>
        <x:v>타입|바위</x:v>
      </x:c>
      <x:c r="AN703" s="5" t="str">
        <x:f>"타입|"&amp;G703</x:f>
        <x:v>타입|얼음</x:v>
      </x:c>
    </x:row>
    <x:row r="704" ht="24" customHeight="1">
      <x:c r="A704" s="5" t="n">
        <x:v>700</x:v>
      </x:c>
      <x:c r="B704" s="5" t="inlineStr">
        <x:is>
          <x:t xml:space="preserve">님피아</x:t>
        </x:is>
      </x:c>
      <x:c r="C704" s="5" t="inlineStr">
        <x:is>
          <x:t xml:space="preserve">sylveon</x:t>
        </x:is>
      </x:c>
      <x:c r="D704" s="5" t="inlineStr">
        <x:is>
          <x:t xml:space="preserve">Sylveon</x:t>
        </x:is>
      </x:c>
      <x:c r="E704" s="5" t="n">
        <x:v>6</x:v>
      </x:c>
      <x:c r="F704" s="5" t="inlineStr">
        <x:is>
          <x:t xml:space="preserve">페어리</x:t>
        </x:is>
      </x:c>
      <x:c r="G704" s="5" t="inlineStr">
        <x:is>
          <x:t xml:space="preserve"/>
        </x:is>
      </x:c>
      <x:c r="H704" s="6" t="n">
        <x:v>23.5</x:v>
      </x:c>
      <x:c r="I704" s="5" t="n"/>
      <x:c r="J704" s="5" t="inlineStr">
        <x:is>
          <x:t xml:space="preserve">최종</x:t>
        </x:is>
      </x:c>
      <x:c r="K704" s="7" t="inlineStr">
        <x:is>
          <x:t xml:space="preserve">육상</x:t>
        </x:is>
      </x:c>
      <x:c r="L704" s="7" t="inlineStr">
        <x:is>
          <x:t xml:space="preserve">수목</x:t>
        </x:is>
      </x:c>
      <x:c r="M704" s="7" t="inlineStr">
        <x:is>
          <x:t xml:space="preserve">온대</x:t>
        </x:is>
      </x:c>
      <x:c r="N704" s="7" t="inlineStr">
        <x:is>
          <x:t xml:space="preserve">보통</x:t>
        </x:is>
      </x:c>
      <x:c r="O704" s="7" t="inlineStr">
        <x:is>
          <x:t xml:space="preserve">무관</x:t>
        </x:is>
      </x:c>
      <x:c r="P704" s="7" t="inlineStr">
        <x:is>
          <x:t xml:space="preserve">무관</x:t>
        </x:is>
      </x:c>
      <x:c r="Q704" s="7" t="inlineStr">
        <x:is>
          <x:t xml:space="preserve">보통</x:t>
        </x:is>
      </x:c>
      <x:c r="R704" s="7" t="inlineStr">
        <x:is>
          <x:t xml:space="preserve">없음</x:t>
        </x:is>
      </x:c>
      <x:c r="S704" s="7" t="inlineStr">
        <x:is>
          <x:t xml:space="preserve">숲</x:t>
        </x:is>
      </x:c>
      <x:c r="T704" s="7" t="inlineStr">
        <x:is>
          <x:t xml:space="preserve"/>
        </x:is>
      </x:c>
      <x:c r="U704" s="8" t="str">
        <x:f>INDEX('서식지_점수'!$E$4:$P$4,1,MATCH(MAX('서식지_점수'!E704:P704),'서식지_점수'!E704:P704,0))</x:f>
        <x:v>평원</x:v>
      </x:c>
      <x:c r="V704" s="8" t="str">
        <x:f>IF(T704&lt;&gt;"",T704,U704)</x:f>
        <x:v>평원</x:v>
      </x:c>
      <x:c r="W704" s="8" t="str">
        <x:f>IFERROR(INDEX('서식지_점수'!$E$4:$P$4,1,MATCH(MAXIFS('서식지_점수'!E704:P704,'서식지_점수'!E704:P704,"&lt;"&amp;MAX('서식지_점수'!E704:P704)),'서식지_점수'!E704:P704,0)),"")</x:f>
        <x:v>숲</x:v>
      </x:c>
      <x:c r="X704" s="8" t="str">
        <x:f>IF(T704&lt;&gt;"","수동확정",IF(MAX('서식지_점수'!E704:P704)-LARGE('서식지_점수'!E704:P704,2)&gt;=15,"높음",IF(MAX('서식지_점수'!E704:P704)-LARGE('서식지_점수'!E704:P704,2)&gt;=8,"보통","검토필요")))</x:f>
        <x:v>검토필요</x:v>
      </x:c>
      <x:c r="Y704" s="9" t="n">
        <x:f>IF(Q704="전설",8,IF(Q704="희귀",7,IF(J704="기본",1,IF(J704="중간",3,IF(J704="최종",IF(I704="",5,IF(I704&lt;=20,3,IF(I704&lt;=35,4,IF(I704&lt;=50,6,7)))),IF(Q704="드묾",4,2))))))</x:f>
        <x:v>5</x:v>
      </x:c>
      <x:c r="Z704" s="5" t="inlineStr">
        <x:is>
          <x:t xml:space="preserve">#cobblemon:is_floral; #cobblemon:is_magical; #cobblemon:is_overworld; aether:skyroot_grove; aether:skyroot_meadow</x:t>
        </x:is>
      </x:c>
      <x:c r="AA704" s="5" t="inlineStr">
        <x:is>
          <x:t xml:space="preserve">ultra-rare; uncommon</x:t>
        </x:is>
      </x:c>
      <x:c r="AB704" s="5" t="inlineStr">
        <x:is>
          <x:t xml:space="preserve">예</x:t>
        </x:is>
      </x:c>
      <x:c r="AC704" s="8" t="str">
        <x:f>IF(T704&lt;&gt;"","수동확정",IF(X704="검토필요","검토필요",IF(S704="","원본없음","초기완료")))</x:f>
        <x:v>검토필요</x:v>
      </x:c>
      <x:c r="AD704" s="7" t="inlineStr">
        <x:is>
          <x:t xml:space="preserve"/>
        </x:is>
      </x:c>
      <x:c r="AE704" s="5" t="inlineStr">
        <x:is>
          <x:t xml:space="preserve">.tmp/cobblemon-1.7.3-source/common/src/main/resources/data/cobblemon/species/generation6/sylveon.json</x:t>
        </x:is>
      </x:c>
      <x:c r="AF704" s="5" t="str">
        <x:f>"생활권|"&amp;K704</x:f>
        <x:v>생활권|육상</x:v>
      </x:c>
      <x:c r="AG704" s="5" t="str">
        <x:f>"지형|"&amp;L704</x:f>
        <x:v>지형|수목</x:v>
      </x:c>
      <x:c r="AH704" s="5" t="str">
        <x:f>"온도|"&amp;M704</x:f>
        <x:v>온도|온대</x:v>
      </x:c>
      <x:c r="AI704" s="5" t="str">
        <x:f>"습도|"&amp;N704</x:f>
        <x:v>습도|보통</x:v>
      </x:c>
      <x:c r="AJ704" s="5" t="str">
        <x:f>"날씨|"&amp;O704</x:f>
        <x:v>날씨|무관</x:v>
      </x:c>
      <x:c r="AK704" s="5" t="str">
        <x:f>"특수태그|"&amp;R704</x:f>
        <x:v>특수태그|없음</x:v>
      </x:c>
      <x:c r="AL704" s="5" t="str">
        <x:f>"원본서식지|"&amp;S704</x:f>
        <x:v>원본서식지|숲</x:v>
      </x:c>
      <x:c r="AM704" s="5" t="str">
        <x:f>"타입|"&amp;F704</x:f>
        <x:v>타입|페어리</x:v>
      </x:c>
      <x:c r="AN704" s="5" t="str">
        <x:f>"타입|"&amp;G704</x:f>
        <x:v>타입|</x:v>
      </x:c>
    </x:row>
    <x:row r="705" ht="24" customHeight="1">
      <x:c r="A705" s="5" t="n">
        <x:v>701</x:v>
      </x:c>
      <x:c r="B705" s="5" t="inlineStr">
        <x:is>
          <x:t xml:space="preserve">루차불</x:t>
        </x:is>
      </x:c>
      <x:c r="C705" s="5" t="inlineStr">
        <x:is>
          <x:t xml:space="preserve">hawlucha</x:t>
        </x:is>
      </x:c>
      <x:c r="D705" s="5" t="inlineStr">
        <x:is>
          <x:t xml:space="preserve">Hawlucha</x:t>
        </x:is>
      </x:c>
      <x:c r="E705" s="5" t="n">
        <x:v>6</x:v>
      </x:c>
      <x:c r="F705" s="5" t="inlineStr">
        <x:is>
          <x:t xml:space="preserve">격투</x:t>
        </x:is>
      </x:c>
      <x:c r="G705" s="5" t="inlineStr">
        <x:is>
          <x:t xml:space="preserve">비행</x:t>
        </x:is>
      </x:c>
      <x:c r="H705" s="6" t="n">
        <x:v>21.5</x:v>
      </x:c>
      <x:c r="I705" s="5" t="n"/>
      <x:c r="J705" s="5" t="inlineStr">
        <x:is>
          <x:t xml:space="preserve">무진화</x:t>
        </x:is>
      </x:c>
      <x:c r="K705" s="7" t="inlineStr">
        <x:is>
          <x:t xml:space="preserve">비행</x:t>
        </x:is>
      </x:c>
      <x:c r="L705" s="7" t="inlineStr">
        <x:is>
          <x:t xml:space="preserve">건조</x:t>
        </x:is>
      </x:c>
      <x:c r="M705" s="7" t="inlineStr">
        <x:is>
          <x:t xml:space="preserve">고온</x:t>
        </x:is>
      </x:c>
      <x:c r="N705" s="7" t="inlineStr">
        <x:is>
          <x:t xml:space="preserve">다습</x:t>
        </x:is>
      </x:c>
      <x:c r="O705" s="7" t="inlineStr">
        <x:is>
          <x:t xml:space="preserve">맑음</x:t>
        </x:is>
      </x:c>
      <x:c r="P705" s="7" t="inlineStr">
        <x:is>
          <x:t xml:space="preserve">무관</x:t>
        </x:is>
      </x:c>
      <x:c r="Q705" s="7" t="inlineStr">
        <x:is>
          <x:t xml:space="preserve">보통</x:t>
        </x:is>
      </x:c>
      <x:c r="R705" s="7" t="inlineStr">
        <x:is>
          <x:t xml:space="preserve">없음</x:t>
        </x:is>
      </x:c>
      <x:c r="S705" s="7" t="inlineStr">
        <x:is>
          <x:t xml:space="preserve">건조지</x:t>
        </x:is>
      </x:c>
      <x:c r="T705" s="7" t="inlineStr">
        <x:is>
          <x:t xml:space="preserve"/>
        </x:is>
      </x:c>
      <x:c r="U705" s="8" t="str">
        <x:f>INDEX('서식지_점수'!$E$4:$P$4,1,MATCH(MAX('서식지_점수'!E705:P705),'서식지_점수'!E705:P705,0))</x:f>
        <x:v>산악</x:v>
      </x:c>
      <x:c r="V705" s="8" t="str">
        <x:f>IF(T705&lt;&gt;"",T705,U705)</x:f>
        <x:v>산악</x:v>
      </x:c>
      <x:c r="W705" s="8" t="str">
        <x:f>IFERROR(INDEX('서식지_점수'!$E$4:$P$4,1,MATCH(MAXIFS('서식지_점수'!E705:P705,'서식지_점수'!E705:P705,"&lt;"&amp;MAX('서식지_점수'!E705:P705)),'서식지_점수'!E705:P705,0)),"")</x:f>
        <x:v>평원</x:v>
      </x:c>
      <x:c r="X705" s="8" t="str">
        <x:f>IF(T705&lt;&gt;"","수동확정",IF(MAX('서식지_점수'!E705:P705)-LARGE('서식지_점수'!E705:P705,2)&gt;=15,"높음",IF(MAX('서식지_점수'!E705:P705)-LARGE('서식지_점수'!E705:P705,2)&gt;=8,"보통","검토필요")))</x:f>
        <x:v>검토필요</x:v>
      </x:c>
      <x:c r="Y705" s="9" t="n">
        <x:f>IF(Q705="전설",8,IF(Q705="희귀",7,IF(J705="기본",1,IF(J705="중간",3,IF(J705="최종",IF(I705="",5,IF(I705&lt;=20,3,IF(I705&lt;=35,4,IF(I705&lt;=50,6,7)))),IF(Q705="드묾",4,2))))))</x:f>
        <x:v>2</x:v>
      </x:c>
      <x:c r="Z705" s="5" t="inlineStr">
        <x:is>
          <x:t xml:space="preserve">#cobblemon:is_badlands; #cobblemon:is_jungle; #cobblemon:is_overworld; #cobblemon:is_tropical_island</x:t>
        </x:is>
      </x:c>
      <x:c r="AA705" s="5" t="inlineStr">
        <x:is>
          <x:t xml:space="preserve">common; uncommon</x:t>
        </x:is>
      </x:c>
      <x:c r="AB705" s="5" t="inlineStr">
        <x:is>
          <x:t xml:space="preserve">예</x:t>
        </x:is>
      </x:c>
      <x:c r="AC705" s="8" t="str">
        <x:f>IF(T705&lt;&gt;"","수동확정",IF(X705="검토필요","검토필요",IF(S705="","원본없음","초기완료")))</x:f>
        <x:v>검토필요</x:v>
      </x:c>
      <x:c r="AD705" s="7" t="inlineStr">
        <x:is>
          <x:t xml:space="preserve"/>
        </x:is>
      </x:c>
      <x:c r="AE705" s="5" t="inlineStr">
        <x:is>
          <x:t xml:space="preserve">.tmp/cobblemon-1.7.3-source/common/src/main/resources/data/cobblemon/species/generation6/hawlucha.json</x:t>
        </x:is>
      </x:c>
      <x:c r="AF705" s="5" t="str">
        <x:f>"생활권|"&amp;K705</x:f>
        <x:v>생활권|비행</x:v>
      </x:c>
      <x:c r="AG705" s="5" t="str">
        <x:f>"지형|"&amp;L705</x:f>
        <x:v>지형|건조</x:v>
      </x:c>
      <x:c r="AH705" s="5" t="str">
        <x:f>"온도|"&amp;M705</x:f>
        <x:v>온도|고온</x:v>
      </x:c>
      <x:c r="AI705" s="5" t="str">
        <x:f>"습도|"&amp;N705</x:f>
        <x:v>습도|다습</x:v>
      </x:c>
      <x:c r="AJ705" s="5" t="str">
        <x:f>"날씨|"&amp;O705</x:f>
        <x:v>날씨|맑음</x:v>
      </x:c>
      <x:c r="AK705" s="5" t="str">
        <x:f>"특수태그|"&amp;R705</x:f>
        <x:v>특수태그|없음</x:v>
      </x:c>
      <x:c r="AL705" s="5" t="str">
        <x:f>"원본서식지|"&amp;S705</x:f>
        <x:v>원본서식지|건조지</x:v>
      </x:c>
      <x:c r="AM705" s="5" t="str">
        <x:f>"타입|"&amp;F705</x:f>
        <x:v>타입|격투</x:v>
      </x:c>
      <x:c r="AN705" s="5" t="str">
        <x:f>"타입|"&amp;G705</x:f>
        <x:v>타입|비행</x:v>
      </x:c>
    </x:row>
    <x:row r="706" ht="24" customHeight="1">
      <x:c r="A706" s="5" t="n">
        <x:v>702</x:v>
      </x:c>
      <x:c r="B706" s="5" t="inlineStr">
        <x:is>
          <x:t xml:space="preserve">데덴네</x:t>
        </x:is>
      </x:c>
      <x:c r="C706" s="5" t="inlineStr">
        <x:is>
          <x:t xml:space="preserve">dedenne</x:t>
        </x:is>
      </x:c>
      <x:c r="D706" s="5" t="inlineStr">
        <x:is>
          <x:t xml:space="preserve">Dedenne</x:t>
        </x:is>
      </x:c>
      <x:c r="E706" s="5" t="n">
        <x:v>6</x:v>
      </x:c>
      <x:c r="F706" s="5" t="inlineStr">
        <x:is>
          <x:t xml:space="preserve">전기</x:t>
        </x:is>
      </x:c>
      <x:c r="G706" s="5" t="inlineStr">
        <x:is>
          <x:t xml:space="preserve">페어리</x:t>
        </x:is>
      </x:c>
      <x:c r="H706" s="6" t="n">
        <x:v>2.2</x:v>
      </x:c>
      <x:c r="I706" s="5" t="n"/>
      <x:c r="J706" s="5" t="inlineStr">
        <x:is>
          <x:t xml:space="preserve">무진화</x:t>
        </x:is>
      </x:c>
      <x:c r="K706" s="7" t="inlineStr">
        <x:is>
          <x:t xml:space="preserve">육상</x:t>
        </x:is>
      </x:c>
      <x:c r="L706" s="7" t="inlineStr">
        <x:is>
          <x:t xml:space="preserve">개활지</x:t>
        </x:is>
      </x:c>
      <x:c r="M706" s="7" t="inlineStr">
        <x:is>
          <x:t xml:space="preserve">온대</x:t>
        </x:is>
      </x:c>
      <x:c r="N706" s="7" t="inlineStr">
        <x:is>
          <x:t xml:space="preserve">보통</x:t>
        </x:is>
      </x:c>
      <x:c r="O706" s="7" t="inlineStr">
        <x:is>
          <x:t xml:space="preserve">무관</x:t>
        </x:is>
      </x:c>
      <x:c r="P706" s="7" t="inlineStr">
        <x:is>
          <x:t xml:space="preserve">무관</x:t>
        </x:is>
      </x:c>
      <x:c r="Q706" s="7" t="inlineStr">
        <x:is>
          <x:t xml:space="preserve">보통</x:t>
        </x:is>
      </x:c>
      <x:c r="R706" s="7" t="inlineStr">
        <x:is>
          <x:t xml:space="preserve">없음</x:t>
        </x:is>
      </x:c>
      <x:c r="S706" s="7" t="inlineStr">
        <x:is>
          <x:t xml:space="preserve">평원</x:t>
        </x:is>
      </x:c>
      <x:c r="T706" s="7" t="inlineStr">
        <x:is>
          <x:t xml:space="preserve"/>
        </x:is>
      </x:c>
      <x:c r="U706" s="8" t="str">
        <x:f>INDEX('서식지_점수'!$E$4:$P$4,1,MATCH(MAX('서식지_점수'!E706:P706),'서식지_점수'!E706:P706,0))</x:f>
        <x:v>평원</x:v>
      </x:c>
      <x:c r="V706" s="8" t="str">
        <x:f>IF(T706&lt;&gt;"",T706,U706)</x:f>
        <x:v>평원</x:v>
      </x:c>
      <x:c r="W706" s="8" t="str">
        <x:f>IFERROR(INDEX('서식지_점수'!$E$4:$P$4,1,MATCH(MAXIFS('서식지_점수'!E706:P706,'서식지_점수'!E706:P706,"&lt;"&amp;MAX('서식지_점수'!E706:P706)),'서식지_점수'!E706:P706,0)),"")</x:f>
        <x:v>숲</x:v>
      </x:c>
      <x:c r="X706" s="8" t="str">
        <x:f>IF(T706&lt;&gt;"","수동확정",IF(MAX('서식지_점수'!E706:P706)-LARGE('서식지_점수'!E706:P706,2)&gt;=15,"높음",IF(MAX('서식지_점수'!E706:P706)-LARGE('서식지_점수'!E706:P706,2)&gt;=8,"보통","검토필요")))</x:f>
        <x:v>검토필요</x:v>
      </x:c>
      <x:c r="Y706" s="9" t="n">
        <x:f>IF(Q706="전설",8,IF(Q706="희귀",7,IF(J706="기본",1,IF(J706="중간",3,IF(J706="최종",IF(I706="",5,IF(I706&lt;=20,3,IF(I706&lt;=35,4,IF(I706&lt;=50,6,7)))),IF(Q706="드묾",4,2))))))</x:f>
        <x:v>2</x:v>
      </x:c>
      <x:c r="Z706" s="5" t="inlineStr">
        <x:is>
          <x:t xml:space="preserve">#cobblemon:is_savanna; #cobblemon:is_shrubland</x:t>
        </x:is>
      </x:c>
      <x:c r="AA706" s="5" t="inlineStr">
        <x:is>
          <x:t xml:space="preserve">uncommon</x:t>
        </x:is>
      </x:c>
      <x:c r="AB706" s="5" t="inlineStr">
        <x:is>
          <x:t xml:space="preserve">예</x:t>
        </x:is>
      </x:c>
      <x:c r="AC706" s="8" t="str">
        <x:f>IF(T706&lt;&gt;"","수동확정",IF(X706="검토필요","검토필요",IF(S706="","원본없음","초기완료")))</x:f>
        <x:v>검토필요</x:v>
      </x:c>
      <x:c r="AD706" s="7" t="inlineStr">
        <x:is>
          <x:t xml:space="preserve"/>
        </x:is>
      </x:c>
      <x:c r="AE706" s="5" t="inlineStr">
        <x:is>
          <x:t xml:space="preserve">.tmp/cobblemon-1.7.3-source/common/src/main/resources/data/cobblemon/species/generation6/dedenne.json</x:t>
        </x:is>
      </x:c>
      <x:c r="AF706" s="5" t="str">
        <x:f>"생활권|"&amp;K706</x:f>
        <x:v>생활권|육상</x:v>
      </x:c>
      <x:c r="AG706" s="5" t="str">
        <x:f>"지형|"&amp;L706</x:f>
        <x:v>지형|개활지</x:v>
      </x:c>
      <x:c r="AH706" s="5" t="str">
        <x:f>"온도|"&amp;M706</x:f>
        <x:v>온도|온대</x:v>
      </x:c>
      <x:c r="AI706" s="5" t="str">
        <x:f>"습도|"&amp;N706</x:f>
        <x:v>습도|보통</x:v>
      </x:c>
      <x:c r="AJ706" s="5" t="str">
        <x:f>"날씨|"&amp;O706</x:f>
        <x:v>날씨|무관</x:v>
      </x:c>
      <x:c r="AK706" s="5" t="str">
        <x:f>"특수태그|"&amp;R706</x:f>
        <x:v>특수태그|없음</x:v>
      </x:c>
      <x:c r="AL706" s="5" t="str">
        <x:f>"원본서식지|"&amp;S706</x:f>
        <x:v>원본서식지|평원</x:v>
      </x:c>
      <x:c r="AM706" s="5" t="str">
        <x:f>"타입|"&amp;F706</x:f>
        <x:v>타입|전기</x:v>
      </x:c>
      <x:c r="AN706" s="5" t="str">
        <x:f>"타입|"&amp;G706</x:f>
        <x:v>타입|페어리</x:v>
      </x:c>
    </x:row>
    <x:row r="707" ht="24" customHeight="1">
      <x:c r="A707" s="5" t="n">
        <x:v>703</x:v>
      </x:c>
      <x:c r="B707" s="5" t="inlineStr">
        <x:is>
          <x:t xml:space="preserve">멜리시</x:t>
        </x:is>
      </x:c>
      <x:c r="C707" s="5" t="inlineStr">
        <x:is>
          <x:t xml:space="preserve">carbink</x:t>
        </x:is>
      </x:c>
      <x:c r="D707" s="5" t="inlineStr">
        <x:is>
          <x:t xml:space="preserve">Carbink</x:t>
        </x:is>
      </x:c>
      <x:c r="E707" s="5" t="n">
        <x:v>6</x:v>
      </x:c>
      <x:c r="F707" s="5" t="inlineStr">
        <x:is>
          <x:t xml:space="preserve">바위</x:t>
        </x:is>
      </x:c>
      <x:c r="G707" s="5" t="inlineStr">
        <x:is>
          <x:t xml:space="preserve">페어리</x:t>
        </x:is>
      </x:c>
      <x:c r="H707" s="6" t="n">
        <x:v>5.7</x:v>
      </x:c>
      <x:c r="I707" s="5" t="n"/>
      <x:c r="J707" s="5" t="inlineStr">
        <x:is>
          <x:t xml:space="preserve">무진화</x:t>
        </x:is>
      </x:c>
      <x:c r="K707" s="7" t="inlineStr">
        <x:is>
          <x:t xml:space="preserve">비행</x:t>
        </x:is>
      </x:c>
      <x:c r="L707" s="7" t="inlineStr">
        <x:is>
          <x:t xml:space="preserve">화산</x:t>
        </x:is>
      </x:c>
      <x:c r="M707" s="7" t="inlineStr">
        <x:is>
          <x:t xml:space="preserve">고온</x:t>
        </x:is>
      </x:c>
      <x:c r="N707" s="7" t="inlineStr">
        <x:is>
          <x:t xml:space="preserve">건조</x:t>
        </x:is>
      </x:c>
      <x:c r="O707" s="7" t="inlineStr">
        <x:is>
          <x:t xml:space="preserve">맑음</x:t>
        </x:is>
      </x:c>
      <x:c r="P707" s="7" t="inlineStr">
        <x:is>
          <x:t xml:space="preserve">무관</x:t>
        </x:is>
      </x:c>
      <x:c r="Q707" s="7" t="inlineStr">
        <x:is>
          <x:t xml:space="preserve">보통</x:t>
        </x:is>
      </x:c>
      <x:c r="R707" s="7" t="inlineStr">
        <x:is>
          <x:t xml:space="preserve">화산</x:t>
        </x:is>
      </x:c>
      <x:c r="S707" s="7" t="inlineStr">
        <x:is>
          <x:t xml:space="preserve">화산</x:t>
        </x:is>
      </x:c>
      <x:c r="T707" s="7" t="inlineStr">
        <x:is>
          <x:t xml:space="preserve"/>
        </x:is>
      </x:c>
      <x:c r="U707" s="8" t="str">
        <x:f>INDEX('서식지_점수'!$E$4:$P$4,1,MATCH(MAX('서식지_점수'!E707:P707),'서식지_점수'!E707:P707,0))</x:f>
        <x:v>산악</x:v>
      </x:c>
      <x:c r="V707" s="8" t="str">
        <x:f>IF(T707&lt;&gt;"",T707,U707)</x:f>
        <x:v>산악</x:v>
      </x:c>
      <x:c r="W707" s="8" t="str">
        <x:f>IFERROR(INDEX('서식지_점수'!$E$4:$P$4,1,MATCH(MAXIFS('서식지_점수'!E707:P707,'서식지_점수'!E707:P707,"&lt;"&amp;MAX('서식지_점수'!E707:P707)),'서식지_점수'!E707:P707,0)),"")</x:f>
        <x:v>평원</x:v>
      </x:c>
      <x:c r="X707" s="8" t="str">
        <x:f>IF(T707&lt;&gt;"","수동확정",IF(MAX('서식지_점수'!E707:P707)-LARGE('서식지_점수'!E707:P707,2)&gt;=15,"높음",IF(MAX('서식지_점수'!E707:P707)-LARGE('서식지_점수'!E707:P707,2)&gt;=8,"보통","검토필요")))</x:f>
        <x:v>검토필요</x:v>
      </x:c>
      <x:c r="Y707" s="9" t="n">
        <x:f>IF(Q707="전설",8,IF(Q707="희귀",7,IF(J707="기본",1,IF(J707="중간",3,IF(J707="최종",IF(I707="",5,IF(I707&lt;=20,3,IF(I707&lt;=35,4,IF(I707&lt;=50,6,7)))),IF(Q707="드묾",4,2))))))</x:f>
        <x:v>2</x:v>
      </x:c>
      <x:c r="Z707" s="5" t="inlineStr">
        <x:is>
          <x:t xml:space="preserve">#cobblemon:is_overworld; #cobblemon:nether/is_wasteland; the_bumblezone:crystal_canyon</x:t>
        </x:is>
      </x:c>
      <x:c r="AA707" s="5" t="inlineStr">
        <x:is>
          <x:t xml:space="preserve">common; uncommon</x:t>
        </x:is>
      </x:c>
      <x:c r="AB707" s="5" t="inlineStr">
        <x:is>
          <x:t xml:space="preserve">예</x:t>
        </x:is>
      </x:c>
      <x:c r="AC707" s="8" t="str">
        <x:f>IF(T707&lt;&gt;"","수동확정",IF(X707="검토필요","검토필요",IF(S707="","원본없음","초기완료")))</x:f>
        <x:v>검토필요</x:v>
      </x:c>
      <x:c r="AD707" s="7" t="inlineStr">
        <x:is>
          <x:t xml:space="preserve"/>
        </x:is>
      </x:c>
      <x:c r="AE707" s="5" t="inlineStr">
        <x:is>
          <x:t xml:space="preserve">.tmp/cobblemon-1.7.3-source/common/src/main/resources/data/cobblemon/species/generation6/carbink.json</x:t>
        </x:is>
      </x:c>
      <x:c r="AF707" s="5" t="str">
        <x:f>"생활권|"&amp;K707</x:f>
        <x:v>생활권|비행</x:v>
      </x:c>
      <x:c r="AG707" s="5" t="str">
        <x:f>"지형|"&amp;L707</x:f>
        <x:v>지형|화산</x:v>
      </x:c>
      <x:c r="AH707" s="5" t="str">
        <x:f>"온도|"&amp;M707</x:f>
        <x:v>온도|고온</x:v>
      </x:c>
      <x:c r="AI707" s="5" t="str">
        <x:f>"습도|"&amp;N707</x:f>
        <x:v>습도|건조</x:v>
      </x:c>
      <x:c r="AJ707" s="5" t="str">
        <x:f>"날씨|"&amp;O707</x:f>
        <x:v>날씨|맑음</x:v>
      </x:c>
      <x:c r="AK707" s="5" t="str">
        <x:f>"특수태그|"&amp;R707</x:f>
        <x:v>특수태그|화산</x:v>
      </x:c>
      <x:c r="AL707" s="5" t="str">
        <x:f>"원본서식지|"&amp;S707</x:f>
        <x:v>원본서식지|화산</x:v>
      </x:c>
      <x:c r="AM707" s="5" t="str">
        <x:f>"타입|"&amp;F707</x:f>
        <x:v>타입|바위</x:v>
      </x:c>
      <x:c r="AN707" s="5" t="str">
        <x:f>"타입|"&amp;G707</x:f>
        <x:v>타입|페어리</x:v>
      </x:c>
    </x:row>
    <x:row r="708" ht="24" customHeight="1">
      <x:c r="A708" s="5" t="n">
        <x:v>704</x:v>
      </x:c>
      <x:c r="B708" s="5" t="inlineStr">
        <x:is>
          <x:t xml:space="preserve">미끄메라</x:t>
        </x:is>
      </x:c>
      <x:c r="C708" s="5" t="inlineStr">
        <x:is>
          <x:t xml:space="preserve">goomy</x:t>
        </x:is>
      </x:c>
      <x:c r="D708" s="5" t="inlineStr">
        <x:is>
          <x:t xml:space="preserve">Goomy</x:t>
        </x:is>
      </x:c>
      <x:c r="E708" s="5" t="n">
        <x:v>6</x:v>
      </x:c>
      <x:c r="F708" s="5" t="inlineStr">
        <x:is>
          <x:t xml:space="preserve">드래곤</x:t>
        </x:is>
      </x:c>
      <x:c r="G708" s="5" t="inlineStr">
        <x:is>
          <x:t xml:space="preserve"/>
        </x:is>
      </x:c>
      <x:c r="H708" s="6" t="n">
        <x:v>2.8</x:v>
      </x:c>
      <x:c r="I708" s="5" t="n">
        <x:v>50</x:v>
      </x:c>
      <x:c r="J708" s="5" t="inlineStr">
        <x:is>
          <x:t xml:space="preserve">기본</x:t>
        </x:is>
      </x:c>
      <x:c r="K708" s="7" t="inlineStr">
        <x:is>
          <x:t xml:space="preserve">육상</x:t>
        </x:is>
      </x:c>
      <x:c r="L708" s="7" t="inlineStr">
        <x:is>
          <x:t xml:space="preserve">습지</x:t>
        </x:is>
      </x:c>
      <x:c r="M708" s="7" t="inlineStr">
        <x:is>
          <x:t xml:space="preserve">온대</x:t>
        </x:is>
      </x:c>
      <x:c r="N708" s="7" t="inlineStr">
        <x:is>
          <x:t xml:space="preserve">다습</x:t>
        </x:is>
      </x:c>
      <x:c r="O708" s="7" t="inlineStr">
        <x:is>
          <x:t xml:space="preserve">비</x:t>
        </x:is>
      </x:c>
      <x:c r="P708" s="7" t="inlineStr">
        <x:is>
          <x:t xml:space="preserve">무관</x:t>
        </x:is>
      </x:c>
      <x:c r="Q708" s="7" t="inlineStr">
        <x:is>
          <x:t xml:space="preserve">흔함</x:t>
        </x:is>
      </x:c>
      <x:c r="R708" s="7" t="inlineStr">
        <x:is>
          <x:t xml:space="preserve">없음</x:t>
        </x:is>
      </x:c>
      <x:c r="S708" s="7" t="inlineStr">
        <x:is>
          <x:t xml:space="preserve">습지</x:t>
        </x:is>
      </x:c>
      <x:c r="T708" s="7" t="inlineStr">
        <x:is>
          <x:t xml:space="preserve"/>
        </x:is>
      </x:c>
      <x:c r="U708" s="8" t="str">
        <x:f>INDEX('서식지_점수'!$E$4:$P$4,1,MATCH(MAX('서식지_점수'!E708:P708),'서식지_점수'!E708:P708,0))</x:f>
        <x:v>평원</x:v>
      </x:c>
      <x:c r="V708" s="8" t="str">
        <x:f>IF(T708&lt;&gt;"",T708,U708)</x:f>
        <x:v>평원</x:v>
      </x:c>
      <x:c r="W708" s="8" t="str">
        <x:f>IFERROR(INDEX('서식지_점수'!$E$4:$P$4,1,MATCH(MAXIFS('서식지_점수'!E708:P708,'서식지_점수'!E708:P708,"&lt;"&amp;MAX('서식지_점수'!E708:P708)),'서식지_점수'!E708:P708,0)),"")</x:f>
        <x:v>숲</x:v>
      </x:c>
      <x:c r="X708" s="8" t="str">
        <x:f>IF(T708&lt;&gt;"","수동확정",IF(MAX('서식지_점수'!E708:P708)-LARGE('서식지_점수'!E708:P708,2)&gt;=15,"높음",IF(MAX('서식지_점수'!E708:P708)-LARGE('서식지_점수'!E708:P708,2)&gt;=8,"보통","검토필요")))</x:f>
        <x:v>검토필요</x:v>
      </x:c>
      <x:c r="Y708" s="9" t="n">
        <x:f>IF(Q708="전설",8,IF(Q708="희귀",7,IF(J708="기본",1,IF(J708="중간",3,IF(J708="최종",IF(I708="",5,IF(I708&lt;=20,3,IF(I708&lt;=35,4,IF(I708&lt;=50,6,7)))),IF(Q708="드묾",4,2))))))</x:f>
        <x:v>1</x:v>
      </x:c>
      <x:c r="Z708" s="5" t="inlineStr">
        <x:is>
          <x:t xml:space="preserve">#cobblemon:is_dripstone; #cobblemon:is_lush; #cobblemon:is_overworld; #cobblemon:is_swamp</x:t>
        </x:is>
      </x:c>
      <x:c r="AA708" s="5" t="inlineStr">
        <x:is>
          <x:t xml:space="preserve">common; rare; ultra-rare</x:t>
        </x:is>
      </x:c>
      <x:c r="AB708" s="5" t="inlineStr">
        <x:is>
          <x:t xml:space="preserve">예</x:t>
        </x:is>
      </x:c>
      <x:c r="AC708" s="8" t="str">
        <x:f>IF(T708&lt;&gt;"","수동확정",IF(X708="검토필요","검토필요",IF(S708="","원본없음","초기완료")))</x:f>
        <x:v>검토필요</x:v>
      </x:c>
      <x:c r="AD708" s="7" t="inlineStr">
        <x:is>
          <x:t xml:space="preserve"/>
        </x:is>
      </x:c>
      <x:c r="AE708" s="5" t="inlineStr">
        <x:is>
          <x:t xml:space="preserve">.tmp/cobblemon-1.7.3-source/common/src/main/resources/data/cobblemon/species/generation6/goomy.json</x:t>
        </x:is>
      </x:c>
      <x:c r="AF708" s="5" t="str">
        <x:f>"생활권|"&amp;K708</x:f>
        <x:v>생활권|육상</x:v>
      </x:c>
      <x:c r="AG708" s="5" t="str">
        <x:f>"지형|"&amp;L708</x:f>
        <x:v>지형|습지</x:v>
      </x:c>
      <x:c r="AH708" s="5" t="str">
        <x:f>"온도|"&amp;M708</x:f>
        <x:v>온도|온대</x:v>
      </x:c>
      <x:c r="AI708" s="5" t="str">
        <x:f>"습도|"&amp;N708</x:f>
        <x:v>습도|다습</x:v>
      </x:c>
      <x:c r="AJ708" s="5" t="str">
        <x:f>"날씨|"&amp;O708</x:f>
        <x:v>날씨|비</x:v>
      </x:c>
      <x:c r="AK708" s="5" t="str">
        <x:f>"특수태그|"&amp;R708</x:f>
        <x:v>특수태그|없음</x:v>
      </x:c>
      <x:c r="AL708" s="5" t="str">
        <x:f>"원본서식지|"&amp;S708</x:f>
        <x:v>원본서식지|습지</x:v>
      </x:c>
      <x:c r="AM708" s="5" t="str">
        <x:f>"타입|"&amp;F708</x:f>
        <x:v>타입|드래곤</x:v>
      </x:c>
      <x:c r="AN708" s="5" t="str">
        <x:f>"타입|"&amp;G708</x:f>
        <x:v>타입|</x:v>
      </x:c>
    </x:row>
    <x:row r="709" ht="24" customHeight="1">
      <x:c r="A709" s="5" t="n">
        <x:v>705</x:v>
      </x:c>
      <x:c r="B709" s="5" t="inlineStr">
        <x:is>
          <x:t xml:space="preserve">미끄네일</x:t>
        </x:is>
      </x:c>
      <x:c r="C709" s="5" t="inlineStr">
        <x:is>
          <x:t xml:space="preserve">sliggoo</x:t>
        </x:is>
      </x:c>
      <x:c r="D709" s="5" t="inlineStr">
        <x:is>
          <x:t xml:space="preserve">Sliggoo</x:t>
        </x:is>
      </x:c>
      <x:c r="E709" s="5" t="n">
        <x:v>6</x:v>
      </x:c>
      <x:c r="F709" s="5" t="inlineStr">
        <x:is>
          <x:t xml:space="preserve">드래곤</x:t>
        </x:is>
      </x:c>
      <x:c r="G709" s="5" t="inlineStr">
        <x:is>
          <x:t xml:space="preserve"/>
        </x:is>
      </x:c>
      <x:c r="H709" s="6" t="n">
        <x:v>17.5</x:v>
      </x:c>
      <x:c r="I709" s="5" t="n">
        <x:v>50</x:v>
      </x:c>
      <x:c r="J709" s="5" t="inlineStr">
        <x:is>
          <x:t xml:space="preserve">중간</x:t>
        </x:is>
      </x:c>
      <x:c r="K709" s="7" t="inlineStr">
        <x:is>
          <x:t xml:space="preserve">육상</x:t>
        </x:is>
      </x:c>
      <x:c r="L709" s="7" t="inlineStr">
        <x:is>
          <x:t xml:space="preserve">습지</x:t>
        </x:is>
      </x:c>
      <x:c r="M709" s="7" t="inlineStr">
        <x:is>
          <x:t xml:space="preserve">온대</x:t>
        </x:is>
      </x:c>
      <x:c r="N709" s="7" t="inlineStr">
        <x:is>
          <x:t xml:space="preserve">다습</x:t>
        </x:is>
      </x:c>
      <x:c r="O709" s="7" t="inlineStr">
        <x:is>
          <x:t xml:space="preserve">비</x:t>
        </x:is>
      </x:c>
      <x:c r="P709" s="7" t="inlineStr">
        <x:is>
          <x:t xml:space="preserve">무관</x:t>
        </x:is>
      </x:c>
      <x:c r="Q709" s="7" t="inlineStr">
        <x:is>
          <x:t xml:space="preserve">흔함</x:t>
        </x:is>
      </x:c>
      <x:c r="R709" s="7" t="inlineStr">
        <x:is>
          <x:t xml:space="preserve">없음</x:t>
        </x:is>
      </x:c>
      <x:c r="S709" s="7" t="inlineStr">
        <x:is>
          <x:t xml:space="preserve">습지</x:t>
        </x:is>
      </x:c>
      <x:c r="T709" s="7" t="inlineStr">
        <x:is>
          <x:t xml:space="preserve"/>
        </x:is>
      </x:c>
      <x:c r="U709" s="8" t="str">
        <x:f>INDEX('서식지_점수'!$E$4:$P$4,1,MATCH(MAX('서식지_점수'!E709:P709),'서식지_점수'!E709:P709,0))</x:f>
        <x:v>평원</x:v>
      </x:c>
      <x:c r="V709" s="8" t="str">
        <x:f>IF(T709&lt;&gt;"",T709,U709)</x:f>
        <x:v>평원</x:v>
      </x:c>
      <x:c r="W709" s="8" t="str">
        <x:f>IFERROR(INDEX('서식지_점수'!$E$4:$P$4,1,MATCH(MAXIFS('서식지_점수'!E709:P709,'서식지_점수'!E709:P709,"&lt;"&amp;MAX('서식지_점수'!E709:P709)),'서식지_점수'!E709:P709,0)),"")</x:f>
        <x:v>숲</x:v>
      </x:c>
      <x:c r="X709" s="8" t="str">
        <x:f>IF(T709&lt;&gt;"","수동확정",IF(MAX('서식지_점수'!E709:P709)-LARGE('서식지_점수'!E709:P709,2)&gt;=15,"높음",IF(MAX('서식지_점수'!E709:P709)-LARGE('서식지_점수'!E709:P709,2)&gt;=8,"보통","검토필요")))</x:f>
        <x:v>검토필요</x:v>
      </x:c>
      <x:c r="Y709" s="9" t="n">
        <x:f>IF(Q709="전설",8,IF(Q709="희귀",7,IF(J709="기본",1,IF(J709="중간",3,IF(J709="최종",IF(I709="",5,IF(I709&lt;=20,3,IF(I709&lt;=35,4,IF(I709&lt;=50,6,7)))),IF(Q709="드묾",4,2))))))</x:f>
        <x:v>3</x:v>
      </x:c>
      <x:c r="Z709" s="5" t="inlineStr">
        <x:is>
          <x:t xml:space="preserve">#cobblemon:is_dripstone; #cobblemon:is_lush; #cobblemon:is_overworld; #cobblemon:is_swamp</x:t>
        </x:is>
      </x:c>
      <x:c r="AA709" s="5" t="inlineStr">
        <x:is>
          <x:t xml:space="preserve">common; rare; ultra-rare</x:t>
        </x:is>
      </x:c>
      <x:c r="AB709" s="5" t="inlineStr">
        <x:is>
          <x:t xml:space="preserve">예</x:t>
        </x:is>
      </x:c>
      <x:c r="AC709" s="8" t="str">
        <x:f>IF(T709&lt;&gt;"","수동확정",IF(X709="검토필요","검토필요",IF(S709="","원본없음","초기완료")))</x:f>
        <x:v>검토필요</x:v>
      </x:c>
      <x:c r="AD709" s="7" t="inlineStr">
        <x:is>
          <x:t xml:space="preserve"/>
        </x:is>
      </x:c>
      <x:c r="AE709" s="5" t="inlineStr">
        <x:is>
          <x:t xml:space="preserve">.tmp/cobblemon-1.7.3-source/common/src/main/resources/data/cobblemon/species/generation6/sliggoo.json</x:t>
        </x:is>
      </x:c>
      <x:c r="AF709" s="5" t="str">
        <x:f>"생활권|"&amp;K709</x:f>
        <x:v>생활권|육상</x:v>
      </x:c>
      <x:c r="AG709" s="5" t="str">
        <x:f>"지형|"&amp;L709</x:f>
        <x:v>지형|습지</x:v>
      </x:c>
      <x:c r="AH709" s="5" t="str">
        <x:f>"온도|"&amp;M709</x:f>
        <x:v>온도|온대</x:v>
      </x:c>
      <x:c r="AI709" s="5" t="str">
        <x:f>"습도|"&amp;N709</x:f>
        <x:v>습도|다습</x:v>
      </x:c>
      <x:c r="AJ709" s="5" t="str">
        <x:f>"날씨|"&amp;O709</x:f>
        <x:v>날씨|비</x:v>
      </x:c>
      <x:c r="AK709" s="5" t="str">
        <x:f>"특수태그|"&amp;R709</x:f>
        <x:v>특수태그|없음</x:v>
      </x:c>
      <x:c r="AL709" s="5" t="str">
        <x:f>"원본서식지|"&amp;S709</x:f>
        <x:v>원본서식지|습지</x:v>
      </x:c>
      <x:c r="AM709" s="5" t="str">
        <x:f>"타입|"&amp;F709</x:f>
        <x:v>타입|드래곤</x:v>
      </x:c>
      <x:c r="AN709" s="5" t="str">
        <x:f>"타입|"&amp;G709</x:f>
        <x:v>타입|</x:v>
      </x:c>
    </x:row>
    <x:row r="710" ht="24" customHeight="1">
      <x:c r="A710" s="5" t="n">
        <x:v>706</x:v>
      </x:c>
      <x:c r="B710" s="5" t="inlineStr">
        <x:is>
          <x:t xml:space="preserve">미끄래곤</x:t>
        </x:is>
      </x:c>
      <x:c r="C710" s="5" t="inlineStr">
        <x:is>
          <x:t xml:space="preserve">goodra</x:t>
        </x:is>
      </x:c>
      <x:c r="D710" s="5" t="inlineStr">
        <x:is>
          <x:t xml:space="preserve">Goodra</x:t>
        </x:is>
      </x:c>
      <x:c r="E710" s="5" t="n">
        <x:v>6</x:v>
      </x:c>
      <x:c r="F710" s="5" t="inlineStr">
        <x:is>
          <x:t xml:space="preserve">드래곤</x:t>
        </x:is>
      </x:c>
      <x:c r="G710" s="5" t="inlineStr">
        <x:is>
          <x:t xml:space="preserve"/>
        </x:is>
      </x:c>
      <x:c r="H710" s="6" t="n">
        <x:v>150.5</x:v>
      </x:c>
      <x:c r="I710" s="5" t="n">
        <x:v>50</x:v>
      </x:c>
      <x:c r="J710" s="5" t="inlineStr">
        <x:is>
          <x:t xml:space="preserve">최종</x:t>
        </x:is>
      </x:c>
      <x:c r="K710" s="7" t="inlineStr">
        <x:is>
          <x:t xml:space="preserve">육상</x:t>
        </x:is>
      </x:c>
      <x:c r="L710" s="7" t="inlineStr">
        <x:is>
          <x:t xml:space="preserve">습지</x:t>
        </x:is>
      </x:c>
      <x:c r="M710" s="7" t="inlineStr">
        <x:is>
          <x:t xml:space="preserve">온대</x:t>
        </x:is>
      </x:c>
      <x:c r="N710" s="7" t="inlineStr">
        <x:is>
          <x:t xml:space="preserve">다습</x:t>
        </x:is>
      </x:c>
      <x:c r="O710" s="7" t="inlineStr">
        <x:is>
          <x:t xml:space="preserve">비</x:t>
        </x:is>
      </x:c>
      <x:c r="P710" s="7" t="inlineStr">
        <x:is>
          <x:t xml:space="preserve">무관</x:t>
        </x:is>
      </x:c>
      <x:c r="Q710" s="7" t="inlineStr">
        <x:is>
          <x:t xml:space="preserve">흔함</x:t>
        </x:is>
      </x:c>
      <x:c r="R710" s="7" t="inlineStr">
        <x:is>
          <x:t xml:space="preserve">없음</x:t>
        </x:is>
      </x:c>
      <x:c r="S710" s="7" t="inlineStr">
        <x:is>
          <x:t xml:space="preserve">습지</x:t>
        </x:is>
      </x:c>
      <x:c r="T710" s="7" t="inlineStr">
        <x:is>
          <x:t xml:space="preserve"/>
        </x:is>
      </x:c>
      <x:c r="U710" s="8" t="str">
        <x:f>INDEX('서식지_점수'!$E$4:$P$4,1,MATCH(MAX('서식지_점수'!E710:P710),'서식지_점수'!E710:P710,0))</x:f>
        <x:v>평원</x:v>
      </x:c>
      <x:c r="V710" s="8" t="str">
        <x:f>IF(T710&lt;&gt;"",T710,U710)</x:f>
        <x:v>평원</x:v>
      </x:c>
      <x:c r="W710" s="8" t="str">
        <x:f>IFERROR(INDEX('서식지_점수'!$E$4:$P$4,1,MATCH(MAXIFS('서식지_점수'!E710:P710,'서식지_점수'!E710:P710,"&lt;"&amp;MAX('서식지_점수'!E710:P710)),'서식지_점수'!E710:P710,0)),"")</x:f>
        <x:v>숲</x:v>
      </x:c>
      <x:c r="X710" s="8" t="str">
        <x:f>IF(T710&lt;&gt;"","수동확정",IF(MAX('서식지_점수'!E710:P710)-LARGE('서식지_점수'!E710:P710,2)&gt;=15,"높음",IF(MAX('서식지_점수'!E710:P710)-LARGE('서식지_점수'!E710:P710,2)&gt;=8,"보통","검토필요")))</x:f>
        <x:v>검토필요</x:v>
      </x:c>
      <x:c r="Y710" s="9" t="n">
        <x:f>IF(Q710="전설",8,IF(Q710="희귀",7,IF(J710="기본",1,IF(J710="중간",3,IF(J710="최종",IF(I710="",5,IF(I710&lt;=20,3,IF(I710&lt;=35,4,IF(I710&lt;=50,6,7)))),IF(Q710="드묾",4,2))))))</x:f>
        <x:v>6</x:v>
      </x:c>
      <x:c r="Z710" s="5" t="inlineStr">
        <x:is>
          <x:t xml:space="preserve">#cobblemon:is_dripstone; #cobblemon:is_lush; #cobblemon:is_overworld; #cobblemon:is_swamp</x:t>
        </x:is>
      </x:c>
      <x:c r="AA710" s="5" t="inlineStr">
        <x:is>
          <x:t xml:space="preserve">common; rare; ultra-rare</x:t>
        </x:is>
      </x:c>
      <x:c r="AB710" s="5" t="inlineStr">
        <x:is>
          <x:t xml:space="preserve">예</x:t>
        </x:is>
      </x:c>
      <x:c r="AC710" s="8" t="str">
        <x:f>IF(T710&lt;&gt;"","수동확정",IF(X710="검토필요","검토필요",IF(S710="","원본없음","초기완료")))</x:f>
        <x:v>검토필요</x:v>
      </x:c>
      <x:c r="AD710" s="7" t="inlineStr">
        <x:is>
          <x:t xml:space="preserve"/>
        </x:is>
      </x:c>
      <x:c r="AE710" s="5" t="inlineStr">
        <x:is>
          <x:t xml:space="preserve">.tmp/cobblemon-1.7.3-source/common/src/main/resources/data/cobblemon/species/generation6/goodra.json</x:t>
        </x:is>
      </x:c>
      <x:c r="AF710" s="5" t="str">
        <x:f>"생활권|"&amp;K710</x:f>
        <x:v>생활권|육상</x:v>
      </x:c>
      <x:c r="AG710" s="5" t="str">
        <x:f>"지형|"&amp;L710</x:f>
        <x:v>지형|습지</x:v>
      </x:c>
      <x:c r="AH710" s="5" t="str">
        <x:f>"온도|"&amp;M710</x:f>
        <x:v>온도|온대</x:v>
      </x:c>
      <x:c r="AI710" s="5" t="str">
        <x:f>"습도|"&amp;N710</x:f>
        <x:v>습도|다습</x:v>
      </x:c>
      <x:c r="AJ710" s="5" t="str">
        <x:f>"날씨|"&amp;O710</x:f>
        <x:v>날씨|비</x:v>
      </x:c>
      <x:c r="AK710" s="5" t="str">
        <x:f>"특수태그|"&amp;R710</x:f>
        <x:v>특수태그|없음</x:v>
      </x:c>
      <x:c r="AL710" s="5" t="str">
        <x:f>"원본서식지|"&amp;S710</x:f>
        <x:v>원본서식지|습지</x:v>
      </x:c>
      <x:c r="AM710" s="5" t="str">
        <x:f>"타입|"&amp;F710</x:f>
        <x:v>타입|드래곤</x:v>
      </x:c>
      <x:c r="AN710" s="5" t="str">
        <x:f>"타입|"&amp;G710</x:f>
        <x:v>타입|</x:v>
      </x:c>
    </x:row>
    <x:row r="711" ht="24" customHeight="1">
      <x:c r="A711" s="5" t="n">
        <x:v>707</x:v>
      </x:c>
      <x:c r="B711" s="5" t="inlineStr">
        <x:is>
          <x:t xml:space="preserve">클레피</x:t>
        </x:is>
      </x:c>
      <x:c r="C711" s="5" t="inlineStr">
        <x:is>
          <x:t xml:space="preserve">klefki</x:t>
        </x:is>
      </x:c>
      <x:c r="D711" s="5" t="inlineStr">
        <x:is>
          <x:t xml:space="preserve">Klefki</x:t>
        </x:is>
      </x:c>
      <x:c r="E711" s="5" t="n">
        <x:v>6</x:v>
      </x:c>
      <x:c r="F711" s="5" t="inlineStr">
        <x:is>
          <x:t xml:space="preserve">강철</x:t>
        </x:is>
      </x:c>
      <x:c r="G711" s="5" t="inlineStr">
        <x:is>
          <x:t xml:space="preserve">페어리</x:t>
        </x:is>
      </x:c>
      <x:c r="H711" s="6" t="n">
        <x:v>3</x:v>
      </x:c>
      <x:c r="I711" s="5" t="n"/>
      <x:c r="J711" s="5" t="inlineStr">
        <x:is>
          <x:t xml:space="preserve">무진화</x:t>
        </x:is>
      </x:c>
      <x:c r="K711" s="7" t="inlineStr">
        <x:is>
          <x:t xml:space="preserve">비행</x:t>
        </x:is>
      </x:c>
      <x:c r="L711" s="7" t="inlineStr">
        <x:is>
          <x:t xml:space="preserve">개활지</x:t>
        </x:is>
      </x:c>
      <x:c r="M711" s="7" t="inlineStr">
        <x:is>
          <x:t xml:space="preserve">온대</x:t>
        </x:is>
      </x:c>
      <x:c r="N711" s="7" t="inlineStr">
        <x:is>
          <x:t xml:space="preserve">보통</x:t>
        </x:is>
      </x:c>
      <x:c r="O711" s="7" t="inlineStr">
        <x:is>
          <x:t xml:space="preserve">무관</x:t>
        </x:is>
      </x:c>
      <x:c r="P711" s="7" t="inlineStr">
        <x:is>
          <x:t xml:space="preserve">무관</x:t>
        </x:is>
      </x:c>
      <x:c r="Q711" s="7" t="inlineStr">
        <x:is>
          <x:t xml:space="preserve">보통</x:t>
        </x:is>
      </x:c>
      <x:c r="R711" s="7" t="inlineStr">
        <x:is>
          <x:t xml:space="preserve">없음</x:t>
        </x:is>
      </x:c>
      <x:c r="S711" s="7" t="inlineStr">
        <x:is>
          <x:t xml:space="preserve"/>
        </x:is>
      </x:c>
      <x:c r="T711" s="7" t="inlineStr">
        <x:is>
          <x:t xml:space="preserve"/>
        </x:is>
      </x:c>
      <x:c r="U711" s="8" t="str">
        <x:f>INDEX('서식지_점수'!$E$4:$P$4,1,MATCH(MAX('서식지_점수'!E711:P711),'서식지_점수'!E711:P711,0))</x:f>
        <x:v>산악</x:v>
      </x:c>
      <x:c r="V711" s="8" t="str">
        <x:f>IF(T711&lt;&gt;"",T711,U711)</x:f>
        <x:v>산악</x:v>
      </x:c>
      <x:c r="W711" s="8" t="str">
        <x:f>IFERROR(INDEX('서식지_점수'!$E$4:$P$4,1,MATCH(MAXIFS('서식지_점수'!E711:P711,'서식지_점수'!E711:P711,"&lt;"&amp;MAX('서식지_점수'!E711:P711)),'서식지_점수'!E711:P711,0)),"")</x:f>
        <x:v>평원</x:v>
      </x:c>
      <x:c r="X711" s="8" t="str">
        <x:f>IF(T711&lt;&gt;"","수동확정",IF(MAX('서식지_점수'!E711:P711)-LARGE('서식지_점수'!E711:P711,2)&gt;=15,"높음",IF(MAX('서식지_점수'!E711:P711)-LARGE('서식지_점수'!E711:P711,2)&gt;=8,"보통","검토필요")))</x:f>
        <x:v>검토필요</x:v>
      </x:c>
      <x:c r="Y711" s="9" t="n">
        <x:f>IF(Q711="전설",8,IF(Q711="희귀",7,IF(J711="기본",1,IF(J711="중간",3,IF(J711="최종",IF(I711="",5,IF(I711&lt;=20,3,IF(I711&lt;=35,4,IF(I711&lt;=50,6,7)))),IF(Q711="드묾",4,2))))))</x:f>
        <x:v>2</x:v>
      </x:c>
      <x:c r="Z711" s="5" t="inlineStr">
        <x:is>
          <x:t xml:space="preserve">#cobblemon:is_overworld</x:t>
        </x:is>
      </x:c>
      <x:c r="AA711" s="5" t="inlineStr">
        <x:is>
          <x:t xml:space="preserve">common; uncommon</x:t>
        </x:is>
      </x:c>
      <x:c r="AB711" s="5" t="inlineStr">
        <x:is>
          <x:t xml:space="preserve">예</x:t>
        </x:is>
      </x:c>
      <x:c r="AC711" s="8" t="str">
        <x:f>IF(T711&lt;&gt;"","수동확정",IF(X711="검토필요","검토필요",IF(S711="","원본없음","초기완료")))</x:f>
        <x:v>검토필요</x:v>
      </x:c>
      <x:c r="AD711" s="7" t="inlineStr">
        <x:is>
          <x:t xml:space="preserve"/>
        </x:is>
      </x:c>
      <x:c r="AE711" s="5" t="inlineStr">
        <x:is>
          <x:t xml:space="preserve">.tmp/cobblemon-1.7.3-source/common/src/main/resources/data/cobblemon/species/generation6/klefki.json</x:t>
        </x:is>
      </x:c>
      <x:c r="AF711" s="5" t="str">
        <x:f>"생활권|"&amp;K711</x:f>
        <x:v>생활권|비행</x:v>
      </x:c>
      <x:c r="AG711" s="5" t="str">
        <x:f>"지형|"&amp;L711</x:f>
        <x:v>지형|개활지</x:v>
      </x:c>
      <x:c r="AH711" s="5" t="str">
        <x:f>"온도|"&amp;M711</x:f>
        <x:v>온도|온대</x:v>
      </x:c>
      <x:c r="AI711" s="5" t="str">
        <x:f>"습도|"&amp;N711</x:f>
        <x:v>습도|보통</x:v>
      </x:c>
      <x:c r="AJ711" s="5" t="str">
        <x:f>"날씨|"&amp;O711</x:f>
        <x:v>날씨|무관</x:v>
      </x:c>
      <x:c r="AK711" s="5" t="str">
        <x:f>"특수태그|"&amp;R711</x:f>
        <x:v>특수태그|없음</x:v>
      </x:c>
      <x:c r="AL711" s="5" t="str">
        <x:f>"원본서식지|"&amp;S711</x:f>
        <x:v>원본서식지|</x:v>
      </x:c>
      <x:c r="AM711" s="5" t="str">
        <x:f>"타입|"&amp;F711</x:f>
        <x:v>타입|강철</x:v>
      </x:c>
      <x:c r="AN711" s="5" t="str">
        <x:f>"타입|"&amp;G711</x:f>
        <x:v>타입|페어리</x:v>
      </x:c>
    </x:row>
    <x:row r="712" ht="24" customHeight="1">
      <x:c r="A712" s="5" t="n">
        <x:v>708</x:v>
      </x:c>
      <x:c r="B712" s="5" t="inlineStr">
        <x:is>
          <x:t xml:space="preserve">나목령</x:t>
        </x:is>
      </x:c>
      <x:c r="C712" s="5" t="inlineStr">
        <x:is>
          <x:t xml:space="preserve">phantump</x:t>
        </x:is>
      </x:c>
      <x:c r="D712" s="5" t="inlineStr">
        <x:is>
          <x:t xml:space="preserve">Phantump</x:t>
        </x:is>
      </x:c>
      <x:c r="E712" s="5" t="n">
        <x:v>6</x:v>
      </x:c>
      <x:c r="F712" s="5" t="inlineStr">
        <x:is>
          <x:t xml:space="preserve">고스트</x:t>
        </x:is>
      </x:c>
      <x:c r="G712" s="5" t="inlineStr">
        <x:is>
          <x:t xml:space="preserve">풀</x:t>
        </x:is>
      </x:c>
      <x:c r="H712" s="6" t="n">
        <x:v>7</x:v>
      </x:c>
      <x:c r="I712" s="5" t="n"/>
      <x:c r="J712" s="5" t="inlineStr">
        <x:is>
          <x:t xml:space="preserve">기본</x:t>
        </x:is>
      </x:c>
      <x:c r="K712" s="7" t="inlineStr">
        <x:is>
          <x:t xml:space="preserve">비행</x:t>
        </x:is>
      </x:c>
      <x:c r="L712" s="7" t="inlineStr">
        <x:is>
          <x:t xml:space="preserve">수목</x:t>
        </x:is>
      </x:c>
      <x:c r="M712" s="7" t="inlineStr">
        <x:is>
          <x:t xml:space="preserve">서늘</x:t>
        </x:is>
      </x:c>
      <x:c r="N712" s="7" t="inlineStr">
        <x:is>
          <x:t xml:space="preserve">보통</x:t>
        </x:is>
      </x:c>
      <x:c r="O712" s="7" t="inlineStr">
        <x:is>
          <x:t xml:space="preserve">안개</x:t>
        </x:is>
      </x:c>
      <x:c r="P712" s="7" t="inlineStr">
        <x:is>
          <x:t xml:space="preserve">밤</x:t>
        </x:is>
      </x:c>
      <x:c r="Q712" s="7" t="inlineStr">
        <x:is>
          <x:t xml:space="preserve">흔함</x:t>
        </x:is>
      </x:c>
      <x:c r="R712" s="7" t="inlineStr">
        <x:is>
          <x:t xml:space="preserve">영체</x:t>
        </x:is>
      </x:c>
      <x:c r="S712" s="7" t="inlineStr">
        <x:is>
          <x:t xml:space="preserve">숲</x:t>
        </x:is>
      </x:c>
      <x:c r="T712" s="7" t="inlineStr">
        <x:is>
          <x:t xml:space="preserve"/>
        </x:is>
      </x:c>
      <x:c r="U712" s="8" t="str">
        <x:f>INDEX('서식지_점수'!$E$4:$P$4,1,MATCH(MAX('서식지_점수'!E712:P712),'서식지_점수'!E712:P712,0))</x:f>
        <x:v>산악</x:v>
      </x:c>
      <x:c r="V712" s="8" t="str">
        <x:f>IF(T712&lt;&gt;"",T712,U712)</x:f>
        <x:v>산악</x:v>
      </x:c>
      <x:c r="W712" s="8" t="str">
        <x:f>IFERROR(INDEX('서식지_점수'!$E$4:$P$4,1,MATCH(MAXIFS('서식지_점수'!E712:P712,'서식지_점수'!E712:P712,"&lt;"&amp;MAX('서식지_점수'!E712:P712)),'서식지_점수'!E712:P712,0)),"")</x:f>
        <x:v>평원</x:v>
      </x:c>
      <x:c r="X712" s="8" t="str">
        <x:f>IF(T712&lt;&gt;"","수동확정",IF(MAX('서식지_점수'!E712:P712)-LARGE('서식지_점수'!E712:P712,2)&gt;=15,"높음",IF(MAX('서식지_점수'!E712:P712)-LARGE('서식지_점수'!E712:P712,2)&gt;=8,"보통","검토필요")))</x:f>
        <x:v>검토필요</x:v>
      </x:c>
      <x:c r="Y712" s="9" t="n">
        <x:f>IF(Q712="전설",8,IF(Q712="희귀",7,IF(J712="기본",1,IF(J712="중간",3,IF(J712="최종",IF(I712="",5,IF(I712&lt;=20,3,IF(I712&lt;=35,4,IF(I712&lt;=50,6,7)))),IF(Q712="드묾",4,2))))))</x:f>
        <x:v>1</x:v>
      </x:c>
      <x:c r="Z712" s="5" t="inlineStr">
        <x:is>
          <x:t xml:space="preserve">#cobblemon:is_forest; #cobblemon:is_spooky; #cobblemon:is_taiga</x:t>
        </x:is>
      </x:c>
      <x:c r="AA712" s="5" t="inlineStr">
        <x:is>
          <x:t xml:space="preserve">common</x:t>
        </x:is>
      </x:c>
      <x:c r="AB712" s="5" t="inlineStr">
        <x:is>
          <x:t xml:space="preserve">예</x:t>
        </x:is>
      </x:c>
      <x:c r="AC712" s="8" t="str">
        <x:f>IF(T712&lt;&gt;"","수동확정",IF(X712="검토필요","검토필요",IF(S712="","원본없음","초기완료")))</x:f>
        <x:v>검토필요</x:v>
      </x:c>
      <x:c r="AD712" s="7" t="inlineStr">
        <x:is>
          <x:t xml:space="preserve"/>
        </x:is>
      </x:c>
      <x:c r="AE712" s="5" t="inlineStr">
        <x:is>
          <x:t xml:space="preserve">.tmp/cobblemon-1.7.3-source/common/src/main/resources/data/cobblemon/species/generation6/phantump.json</x:t>
        </x:is>
      </x:c>
      <x:c r="AF712" s="5" t="str">
        <x:f>"생활권|"&amp;K712</x:f>
        <x:v>생활권|비행</x:v>
      </x:c>
      <x:c r="AG712" s="5" t="str">
        <x:f>"지형|"&amp;L712</x:f>
        <x:v>지형|수목</x:v>
      </x:c>
      <x:c r="AH712" s="5" t="str">
        <x:f>"온도|"&amp;M712</x:f>
        <x:v>온도|서늘</x:v>
      </x:c>
      <x:c r="AI712" s="5" t="str">
        <x:f>"습도|"&amp;N712</x:f>
        <x:v>습도|보통</x:v>
      </x:c>
      <x:c r="AJ712" s="5" t="str">
        <x:f>"날씨|"&amp;O712</x:f>
        <x:v>날씨|안개</x:v>
      </x:c>
      <x:c r="AK712" s="5" t="str">
        <x:f>"특수태그|"&amp;R712</x:f>
        <x:v>특수태그|영체</x:v>
      </x:c>
      <x:c r="AL712" s="5" t="str">
        <x:f>"원본서식지|"&amp;S712</x:f>
        <x:v>원본서식지|숲</x:v>
      </x:c>
      <x:c r="AM712" s="5" t="str">
        <x:f>"타입|"&amp;F712</x:f>
        <x:v>타입|고스트</x:v>
      </x:c>
      <x:c r="AN712" s="5" t="str">
        <x:f>"타입|"&amp;G712</x:f>
        <x:v>타입|풀</x:v>
      </x:c>
    </x:row>
    <x:row r="713" ht="24" customHeight="1">
      <x:c r="A713" s="5" t="n">
        <x:v>709</x:v>
      </x:c>
      <x:c r="B713" s="5" t="inlineStr">
        <x:is>
          <x:t xml:space="preserve">대로트</x:t>
        </x:is>
      </x:c>
      <x:c r="C713" s="5" t="inlineStr">
        <x:is>
          <x:t xml:space="preserve">trevenant</x:t>
        </x:is>
      </x:c>
      <x:c r="D713" s="5" t="inlineStr">
        <x:is>
          <x:t xml:space="preserve">Trevenant</x:t>
        </x:is>
      </x:c>
      <x:c r="E713" s="5" t="n">
        <x:v>6</x:v>
      </x:c>
      <x:c r="F713" s="5" t="inlineStr">
        <x:is>
          <x:t xml:space="preserve">고스트</x:t>
        </x:is>
      </x:c>
      <x:c r="G713" s="5" t="inlineStr">
        <x:is>
          <x:t xml:space="preserve">풀</x:t>
        </x:is>
      </x:c>
      <x:c r="H713" s="6" t="n">
        <x:v>71</x:v>
      </x:c>
      <x:c r="I713" s="5" t="n"/>
      <x:c r="J713" s="5" t="inlineStr">
        <x:is>
          <x:t xml:space="preserve">최종</x:t>
        </x:is>
      </x:c>
      <x:c r="K713" s="7" t="inlineStr">
        <x:is>
          <x:t xml:space="preserve">영체</x:t>
        </x:is>
      </x:c>
      <x:c r="L713" s="7" t="inlineStr">
        <x:is>
          <x:t xml:space="preserve">수목</x:t>
        </x:is>
      </x:c>
      <x:c r="M713" s="7" t="inlineStr">
        <x:is>
          <x:t xml:space="preserve">서늘</x:t>
        </x:is>
      </x:c>
      <x:c r="N713" s="7" t="inlineStr">
        <x:is>
          <x:t xml:space="preserve">보통</x:t>
        </x:is>
      </x:c>
      <x:c r="O713" s="7" t="inlineStr">
        <x:is>
          <x:t xml:space="preserve">안개</x:t>
        </x:is>
      </x:c>
      <x:c r="P713" s="7" t="inlineStr">
        <x:is>
          <x:t xml:space="preserve">밤</x:t>
        </x:is>
      </x:c>
      <x:c r="Q713" s="7" t="inlineStr">
        <x:is>
          <x:t xml:space="preserve">흔함</x:t>
        </x:is>
      </x:c>
      <x:c r="R713" s="7" t="inlineStr">
        <x:is>
          <x:t xml:space="preserve">영체</x:t>
        </x:is>
      </x:c>
      <x:c r="S713" s="7" t="inlineStr">
        <x:is>
          <x:t xml:space="preserve">숲</x:t>
        </x:is>
      </x:c>
      <x:c r="T713" s="7" t="inlineStr">
        <x:is>
          <x:t xml:space="preserve"/>
        </x:is>
      </x:c>
      <x:c r="U713" s="8" t="str">
        <x:f>INDEX('서식지_점수'!$E$4:$P$4,1,MATCH(MAX('서식지_점수'!E713:P713),'서식지_점수'!E713:P713,0))</x:f>
        <x:v>특수</x:v>
      </x:c>
      <x:c r="V713" s="8" t="str">
        <x:f>IF(T713&lt;&gt;"",T713,U713)</x:f>
        <x:v>특수</x:v>
      </x:c>
      <x:c r="W713" s="8" t="str">
        <x:f>IFERROR(INDEX('서식지_점수'!$E$4:$P$4,1,MATCH(MAXIFS('서식지_점수'!E713:P713,'서식지_점수'!E713:P713,"&lt;"&amp;MAX('서식지_점수'!E713:P713)),'서식지_점수'!E713:P713,0)),"")</x:f>
        <x:v>동굴</x:v>
      </x:c>
      <x:c r="X713" s="8" t="str">
        <x:f>IF(T713&lt;&gt;"","수동확정",IF(MAX('서식지_점수'!E713:P713)-LARGE('서식지_점수'!E713:P713,2)&gt;=15,"높음",IF(MAX('서식지_점수'!E713:P713)-LARGE('서식지_점수'!E713:P713,2)&gt;=8,"보통","검토필요")))</x:f>
        <x:v>높음</x:v>
      </x:c>
      <x:c r="Y713" s="9" t="n">
        <x:f>IF(Q713="전설",8,IF(Q713="희귀",7,IF(J713="기본",1,IF(J713="중간",3,IF(J713="최종",IF(I713="",5,IF(I713&lt;=20,3,IF(I713&lt;=35,4,IF(I713&lt;=50,6,7)))),IF(Q713="드묾",4,2))))))</x:f>
        <x:v>5</x:v>
      </x:c>
      <x:c r="Z713" s="5" t="inlineStr">
        <x:is>
          <x:t xml:space="preserve">#cobblemon:is_forest; #cobblemon:is_spooky; #cobblemon:is_taiga; minecraft:pale_garden</x:t>
        </x:is>
      </x:c>
      <x:c r="AA713" s="5" t="inlineStr">
        <x:is>
          <x:t xml:space="preserve">common</x:t>
        </x:is>
      </x:c>
      <x:c r="AB713" s="5" t="inlineStr">
        <x:is>
          <x:t xml:space="preserve">예</x:t>
        </x:is>
      </x:c>
      <x:c r="AC713" s="8" t="str">
        <x:f>IF(T713&lt;&gt;"","수동확정",IF(X713="검토필요","검토필요",IF(S713="","원본없음","초기완료")))</x:f>
        <x:v>초기완료</x:v>
      </x:c>
      <x:c r="AD713" s="7" t="inlineStr">
        <x:is>
          <x:t xml:space="preserve"/>
        </x:is>
      </x:c>
      <x:c r="AE713" s="5" t="inlineStr">
        <x:is>
          <x:t xml:space="preserve">.tmp/cobblemon-1.7.3-source/common/src/main/resources/data/cobblemon/species/generation6/trevenant.json</x:t>
        </x:is>
      </x:c>
      <x:c r="AF713" s="5" t="str">
        <x:f>"생활권|"&amp;K713</x:f>
        <x:v>생활권|영체</x:v>
      </x:c>
      <x:c r="AG713" s="5" t="str">
        <x:f>"지형|"&amp;L713</x:f>
        <x:v>지형|수목</x:v>
      </x:c>
      <x:c r="AH713" s="5" t="str">
        <x:f>"온도|"&amp;M713</x:f>
        <x:v>온도|서늘</x:v>
      </x:c>
      <x:c r="AI713" s="5" t="str">
        <x:f>"습도|"&amp;N713</x:f>
        <x:v>습도|보통</x:v>
      </x:c>
      <x:c r="AJ713" s="5" t="str">
        <x:f>"날씨|"&amp;O713</x:f>
        <x:v>날씨|안개</x:v>
      </x:c>
      <x:c r="AK713" s="5" t="str">
        <x:f>"특수태그|"&amp;R713</x:f>
        <x:v>특수태그|영체</x:v>
      </x:c>
      <x:c r="AL713" s="5" t="str">
        <x:f>"원본서식지|"&amp;S713</x:f>
        <x:v>원본서식지|숲</x:v>
      </x:c>
      <x:c r="AM713" s="5" t="str">
        <x:f>"타입|"&amp;F713</x:f>
        <x:v>타입|고스트</x:v>
      </x:c>
      <x:c r="AN713" s="5" t="str">
        <x:f>"타입|"&amp;G713</x:f>
        <x:v>타입|풀</x:v>
      </x:c>
    </x:row>
    <x:row r="714" ht="24" customHeight="1">
      <x:c r="A714" s="5" t="n">
        <x:v>710</x:v>
      </x:c>
      <x:c r="B714" s="5" t="inlineStr">
        <x:is>
          <x:t xml:space="preserve">호바귀</x:t>
        </x:is>
      </x:c>
      <x:c r="C714" s="5" t="inlineStr">
        <x:is>
          <x:t xml:space="preserve">pumpkaboo</x:t>
        </x:is>
      </x:c>
      <x:c r="D714" s="5" t="inlineStr">
        <x:is>
          <x:t xml:space="preserve">Pumpkaboo</x:t>
        </x:is>
      </x:c>
      <x:c r="E714" s="5" t="n">
        <x:v>6</x:v>
      </x:c>
      <x:c r="F714" s="5" t="inlineStr">
        <x:is>
          <x:t xml:space="preserve">고스트</x:t>
        </x:is>
      </x:c>
      <x:c r="G714" s="5" t="inlineStr">
        <x:is>
          <x:t xml:space="preserve">풀</x:t>
        </x:is>
      </x:c>
      <x:c r="H714" s="6" t="n">
        <x:v>5</x:v>
      </x:c>
      <x:c r="I714" s="5" t="n"/>
      <x:c r="J714" s="5" t="inlineStr">
        <x:is>
          <x:t xml:space="preserve">기본</x:t>
        </x:is>
      </x:c>
      <x:c r="K714" s="7" t="inlineStr">
        <x:is>
          <x:t xml:space="preserve">비행</x:t>
        </x:is>
      </x:c>
      <x:c r="L714" s="7" t="inlineStr">
        <x:is>
          <x:t xml:space="preserve">화산</x:t>
        </x:is>
      </x:c>
      <x:c r="M714" s="7" t="inlineStr">
        <x:is>
          <x:t xml:space="preserve">고온</x:t>
        </x:is>
      </x:c>
      <x:c r="N714" s="7" t="inlineStr">
        <x:is>
          <x:t xml:space="preserve">건조</x:t>
        </x:is>
      </x:c>
      <x:c r="O714" s="7" t="inlineStr">
        <x:is>
          <x:t xml:space="preserve">맑음</x:t>
        </x:is>
      </x:c>
      <x:c r="P714" s="7" t="inlineStr">
        <x:is>
          <x:t xml:space="preserve">밤</x:t>
        </x:is>
      </x:c>
      <x:c r="Q714" s="7" t="inlineStr">
        <x:is>
          <x:t xml:space="preserve">보통</x:t>
        </x:is>
      </x:c>
      <x:c r="R714" s="7" t="inlineStr">
        <x:is>
          <x:t xml:space="preserve">영체</x:t>
        </x:is>
      </x:c>
      <x:c r="S714" s="7" t="inlineStr">
        <x:is>
          <x:t xml:space="preserve">화산</x:t>
        </x:is>
      </x:c>
      <x:c r="T714" s="7" t="inlineStr">
        <x:is>
          <x:t xml:space="preserve"/>
        </x:is>
      </x:c>
      <x:c r="U714" s="8" t="str">
        <x:f>INDEX('서식지_점수'!$E$4:$P$4,1,MATCH(MAX('서식지_점수'!E714:P714),'서식지_점수'!E714:P714,0))</x:f>
        <x:v>산악</x:v>
      </x:c>
      <x:c r="V714" s="8" t="str">
        <x:f>IF(T714&lt;&gt;"",T714,U714)</x:f>
        <x:v>산악</x:v>
      </x:c>
      <x:c r="W714" s="8" t="str">
        <x:f>IFERROR(INDEX('서식지_점수'!$E$4:$P$4,1,MATCH(MAXIFS('서식지_점수'!E714:P714,'서식지_점수'!E714:P714,"&lt;"&amp;MAX('서식지_점수'!E714:P714)),'서식지_점수'!E714:P714,0)),"")</x:f>
        <x:v>평원</x:v>
      </x:c>
      <x:c r="X714" s="8" t="str">
        <x:f>IF(T714&lt;&gt;"","수동확정",IF(MAX('서식지_점수'!E714:P714)-LARGE('서식지_점수'!E714:P714,2)&gt;=15,"높음",IF(MAX('서식지_점수'!E714:P714)-LARGE('서식지_점수'!E714:P714,2)&gt;=8,"보통","검토필요")))</x:f>
        <x:v>검토필요</x:v>
      </x:c>
      <x:c r="Y714" s="9" t="n">
        <x:f>IF(Q714="전설",8,IF(Q714="희귀",7,IF(J714="기본",1,IF(J714="중간",3,IF(J714="최종",IF(I714="",5,IF(I714&lt;=20,3,IF(I714&lt;=35,4,IF(I714&lt;=50,6,7)))),IF(Q714="드묾",4,2))))))</x:f>
        <x:v>1</x:v>
      </x:c>
      <x:c r="Z714" s="5" t="inlineStr">
        <x:is>
          <x:t xml:space="preserve">#cobblemon:is_overworld; #cobblemon:nether/is_overgrowth</x:t>
        </x:is>
      </x:c>
      <x:c r="AA714" s="5" t="inlineStr">
        <x:is>
          <x:t xml:space="preserve">common; uncommon</x:t>
        </x:is>
      </x:c>
      <x:c r="AB714" s="5" t="inlineStr">
        <x:is>
          <x:t xml:space="preserve">예</x:t>
        </x:is>
      </x:c>
      <x:c r="AC714" s="8" t="str">
        <x:f>IF(T714&lt;&gt;"","수동확정",IF(X714="검토필요","검토필요",IF(S714="","원본없음","초기완료")))</x:f>
        <x:v>검토필요</x:v>
      </x:c>
      <x:c r="AD714" s="7" t="inlineStr">
        <x:is>
          <x:t xml:space="preserve"/>
        </x:is>
      </x:c>
      <x:c r="AE714" s="5" t="inlineStr">
        <x:is>
          <x:t xml:space="preserve">.tmp/cobblemon-1.7.3-source/common/src/main/resources/data/cobblemon/species/generation6/pumpkaboo.json</x:t>
        </x:is>
      </x:c>
      <x:c r="AF714" s="5" t="str">
        <x:f>"생활권|"&amp;K714</x:f>
        <x:v>생활권|비행</x:v>
      </x:c>
      <x:c r="AG714" s="5" t="str">
        <x:f>"지형|"&amp;L714</x:f>
        <x:v>지형|화산</x:v>
      </x:c>
      <x:c r="AH714" s="5" t="str">
        <x:f>"온도|"&amp;M714</x:f>
        <x:v>온도|고온</x:v>
      </x:c>
      <x:c r="AI714" s="5" t="str">
        <x:f>"습도|"&amp;N714</x:f>
        <x:v>습도|건조</x:v>
      </x:c>
      <x:c r="AJ714" s="5" t="str">
        <x:f>"날씨|"&amp;O714</x:f>
        <x:v>날씨|맑음</x:v>
      </x:c>
      <x:c r="AK714" s="5" t="str">
        <x:f>"특수태그|"&amp;R714</x:f>
        <x:v>특수태그|영체</x:v>
      </x:c>
      <x:c r="AL714" s="5" t="str">
        <x:f>"원본서식지|"&amp;S714</x:f>
        <x:v>원본서식지|화산</x:v>
      </x:c>
      <x:c r="AM714" s="5" t="str">
        <x:f>"타입|"&amp;F714</x:f>
        <x:v>타입|고스트</x:v>
      </x:c>
      <x:c r="AN714" s="5" t="str">
        <x:f>"타입|"&amp;G714</x:f>
        <x:v>타입|풀</x:v>
      </x:c>
    </x:row>
    <x:row r="715" ht="24" customHeight="1">
      <x:c r="A715" s="5" t="n">
        <x:v>711</x:v>
      </x:c>
      <x:c r="B715" s="5" t="inlineStr">
        <x:is>
          <x:t xml:space="preserve">펌킨인</x:t>
        </x:is>
      </x:c>
      <x:c r="C715" s="5" t="inlineStr">
        <x:is>
          <x:t xml:space="preserve">gourgeist</x:t>
        </x:is>
      </x:c>
      <x:c r="D715" s="5" t="inlineStr">
        <x:is>
          <x:t xml:space="preserve">Gourgeist</x:t>
        </x:is>
      </x:c>
      <x:c r="E715" s="5" t="n">
        <x:v>6</x:v>
      </x:c>
      <x:c r="F715" s="5" t="inlineStr">
        <x:is>
          <x:t xml:space="preserve">고스트</x:t>
        </x:is>
      </x:c>
      <x:c r="G715" s="5" t="inlineStr">
        <x:is>
          <x:t xml:space="preserve">풀</x:t>
        </x:is>
      </x:c>
      <x:c r="H715" s="6" t="n">
        <x:v>12.5</x:v>
      </x:c>
      <x:c r="I715" s="5" t="n"/>
      <x:c r="J715" s="5" t="inlineStr">
        <x:is>
          <x:t xml:space="preserve">최종</x:t>
        </x:is>
      </x:c>
      <x:c r="K715" s="7" t="inlineStr">
        <x:is>
          <x:t xml:space="preserve">비행</x:t>
        </x:is>
      </x:c>
      <x:c r="L715" s="7" t="inlineStr">
        <x:is>
          <x:t xml:space="preserve">화산</x:t>
        </x:is>
      </x:c>
      <x:c r="M715" s="7" t="inlineStr">
        <x:is>
          <x:t xml:space="preserve">고온</x:t>
        </x:is>
      </x:c>
      <x:c r="N715" s="7" t="inlineStr">
        <x:is>
          <x:t xml:space="preserve">건조</x:t>
        </x:is>
      </x:c>
      <x:c r="O715" s="7" t="inlineStr">
        <x:is>
          <x:t xml:space="preserve">맑음</x:t>
        </x:is>
      </x:c>
      <x:c r="P715" s="7" t="inlineStr">
        <x:is>
          <x:t xml:space="preserve">밤</x:t>
        </x:is>
      </x:c>
      <x:c r="Q715" s="7" t="inlineStr">
        <x:is>
          <x:t xml:space="preserve">보통</x:t>
        </x:is>
      </x:c>
      <x:c r="R715" s="7" t="inlineStr">
        <x:is>
          <x:t xml:space="preserve">영체</x:t>
        </x:is>
      </x:c>
      <x:c r="S715" s="7" t="inlineStr">
        <x:is>
          <x:t xml:space="preserve">화산</x:t>
        </x:is>
      </x:c>
      <x:c r="T715" s="7" t="inlineStr">
        <x:is>
          <x:t xml:space="preserve"/>
        </x:is>
      </x:c>
      <x:c r="U715" s="8" t="str">
        <x:f>INDEX('서식지_점수'!$E$4:$P$4,1,MATCH(MAX('서식지_점수'!E715:P715),'서식지_점수'!E715:P715,0))</x:f>
        <x:v>산악</x:v>
      </x:c>
      <x:c r="V715" s="8" t="str">
        <x:f>IF(T715&lt;&gt;"",T715,U715)</x:f>
        <x:v>산악</x:v>
      </x:c>
      <x:c r="W715" s="8" t="str">
        <x:f>IFERROR(INDEX('서식지_점수'!$E$4:$P$4,1,MATCH(MAXIFS('서식지_점수'!E715:P715,'서식지_점수'!E715:P715,"&lt;"&amp;MAX('서식지_점수'!E715:P715)),'서식지_점수'!E715:P715,0)),"")</x:f>
        <x:v>평원</x:v>
      </x:c>
      <x:c r="X715" s="8" t="str">
        <x:f>IF(T715&lt;&gt;"","수동확정",IF(MAX('서식지_점수'!E715:P715)-LARGE('서식지_점수'!E715:P715,2)&gt;=15,"높음",IF(MAX('서식지_점수'!E715:P715)-LARGE('서식지_점수'!E715:P715,2)&gt;=8,"보통","검토필요")))</x:f>
        <x:v>검토필요</x:v>
      </x:c>
      <x:c r="Y715" s="9" t="n">
        <x:f>IF(Q715="전설",8,IF(Q715="희귀",7,IF(J715="기본",1,IF(J715="중간",3,IF(J715="최종",IF(I715="",5,IF(I715&lt;=20,3,IF(I715&lt;=35,4,IF(I715&lt;=50,6,7)))),IF(Q715="드묾",4,2))))))</x:f>
        <x:v>5</x:v>
      </x:c>
      <x:c r="Z715" s="5" t="inlineStr">
        <x:is>
          <x:t xml:space="preserve">#cobblemon:is_overworld; #cobblemon:nether/is_overgrowth</x:t>
        </x:is>
      </x:c>
      <x:c r="AA715" s="5" t="inlineStr">
        <x:is>
          <x:t xml:space="preserve">common; uncommon</x:t>
        </x:is>
      </x:c>
      <x:c r="AB715" s="5" t="inlineStr">
        <x:is>
          <x:t xml:space="preserve">예</x:t>
        </x:is>
      </x:c>
      <x:c r="AC715" s="8" t="str">
        <x:f>IF(T715&lt;&gt;"","수동확정",IF(X715="검토필요","검토필요",IF(S715="","원본없음","초기완료")))</x:f>
        <x:v>검토필요</x:v>
      </x:c>
      <x:c r="AD715" s="7" t="inlineStr">
        <x:is>
          <x:t xml:space="preserve"/>
        </x:is>
      </x:c>
      <x:c r="AE715" s="5" t="inlineStr">
        <x:is>
          <x:t xml:space="preserve">.tmp/cobblemon-1.7.3-source/common/src/main/resources/data/cobblemon/species/generation6/gourgeist.json</x:t>
        </x:is>
      </x:c>
      <x:c r="AF715" s="5" t="str">
        <x:f>"생활권|"&amp;K715</x:f>
        <x:v>생활권|비행</x:v>
      </x:c>
      <x:c r="AG715" s="5" t="str">
        <x:f>"지형|"&amp;L715</x:f>
        <x:v>지형|화산</x:v>
      </x:c>
      <x:c r="AH715" s="5" t="str">
        <x:f>"온도|"&amp;M715</x:f>
        <x:v>온도|고온</x:v>
      </x:c>
      <x:c r="AI715" s="5" t="str">
        <x:f>"습도|"&amp;N715</x:f>
        <x:v>습도|건조</x:v>
      </x:c>
      <x:c r="AJ715" s="5" t="str">
        <x:f>"날씨|"&amp;O715</x:f>
        <x:v>날씨|맑음</x:v>
      </x:c>
      <x:c r="AK715" s="5" t="str">
        <x:f>"특수태그|"&amp;R715</x:f>
        <x:v>특수태그|영체</x:v>
      </x:c>
      <x:c r="AL715" s="5" t="str">
        <x:f>"원본서식지|"&amp;S715</x:f>
        <x:v>원본서식지|화산</x:v>
      </x:c>
      <x:c r="AM715" s="5" t="str">
        <x:f>"타입|"&amp;F715</x:f>
        <x:v>타입|고스트</x:v>
      </x:c>
      <x:c r="AN715" s="5" t="str">
        <x:f>"타입|"&amp;G715</x:f>
        <x:v>타입|풀</x:v>
      </x:c>
    </x:row>
    <x:row r="716" ht="24" customHeight="1">
      <x:c r="A716" s="5" t="n">
        <x:v>712</x:v>
      </x:c>
      <x:c r="B716" s="5" t="inlineStr">
        <x:is>
          <x:t xml:space="preserve">꽁어름</x:t>
        </x:is>
      </x:c>
      <x:c r="C716" s="5" t="inlineStr">
        <x:is>
          <x:t xml:space="preserve">bergmite</x:t>
        </x:is>
      </x:c>
      <x:c r="D716" s="5" t="inlineStr">
        <x:is>
          <x:t xml:space="preserve">Bergmite</x:t>
        </x:is>
      </x:c>
      <x:c r="E716" s="5" t="n">
        <x:v>6</x:v>
      </x:c>
      <x:c r="F716" s="5" t="inlineStr">
        <x:is>
          <x:t xml:space="preserve">얼음</x:t>
        </x:is>
      </x:c>
      <x:c r="G716" s="5" t="inlineStr">
        <x:is>
          <x:t xml:space="preserve"/>
        </x:is>
      </x:c>
      <x:c r="H716" s="6" t="n">
        <x:v>99.5</x:v>
      </x:c>
      <x:c r="I716" s="5" t="n">
        <x:v>37</x:v>
      </x:c>
      <x:c r="J716" s="5" t="inlineStr">
        <x:is>
          <x:t xml:space="preserve">기본</x:t>
        </x:is>
      </x:c>
      <x:c r="K716" s="7" t="inlineStr">
        <x:is>
          <x:t xml:space="preserve">육상</x:t>
        </x:is>
      </x:c>
      <x:c r="L716" s="7" t="inlineStr">
        <x:is>
          <x:t xml:space="preserve">설원</x:t>
        </x:is>
      </x:c>
      <x:c r="M716" s="7" t="inlineStr">
        <x:is>
          <x:t xml:space="preserve">한랭</x:t>
        </x:is>
      </x:c>
      <x:c r="N716" s="7" t="inlineStr">
        <x:is>
          <x:t xml:space="preserve">보통</x:t>
        </x:is>
      </x:c>
      <x:c r="O716" s="7" t="inlineStr">
        <x:is>
          <x:t xml:space="preserve">눈</x:t>
        </x:is>
      </x:c>
      <x:c r="P716" s="7" t="inlineStr">
        <x:is>
          <x:t xml:space="preserve">무관</x:t>
        </x:is>
      </x:c>
      <x:c r="Q716" s="7" t="inlineStr">
        <x:is>
          <x:t xml:space="preserve">보통</x:t>
        </x:is>
      </x:c>
      <x:c r="R716" s="7" t="inlineStr">
        <x:is>
          <x:t xml:space="preserve">없음</x:t>
        </x:is>
      </x:c>
      <x:c r="S716" s="7" t="inlineStr">
        <x:is>
          <x:t xml:space="preserve">설원</x:t>
        </x:is>
      </x:c>
      <x:c r="T716" s="7" t="inlineStr">
        <x:is>
          <x:t xml:space="preserve"/>
        </x:is>
      </x:c>
      <x:c r="U716" s="8" t="str">
        <x:f>INDEX('서식지_점수'!$E$4:$P$4,1,MATCH(MAX('서식지_점수'!E716:P716),'서식지_점수'!E716:P716,0))</x:f>
        <x:v>평원</x:v>
      </x:c>
      <x:c r="V716" s="8" t="str">
        <x:f>IF(T716&lt;&gt;"",T716,U716)</x:f>
        <x:v>평원</x:v>
      </x:c>
      <x:c r="W716" s="8" t="str">
        <x:f>IFERROR(INDEX('서식지_점수'!$E$4:$P$4,1,MATCH(MAXIFS('서식지_점수'!E716:P716,'서식지_점수'!E716:P716,"&lt;"&amp;MAX('서식지_점수'!E716:P716)),'서식지_점수'!E716:P716,0)),"")</x:f>
        <x:v>숲</x:v>
      </x:c>
      <x:c r="X716" s="8" t="str">
        <x:f>IF(T716&lt;&gt;"","수동확정",IF(MAX('서식지_점수'!E716:P716)-LARGE('서식지_점수'!E716:P716,2)&gt;=15,"높음",IF(MAX('서식지_점수'!E716:P716)-LARGE('서식지_점수'!E716:P716,2)&gt;=8,"보통","검토필요")))</x:f>
        <x:v>검토필요</x:v>
      </x:c>
      <x:c r="Y716" s="9" t="n">
        <x:f>IF(Q716="전설",8,IF(Q716="희귀",7,IF(J716="기본",1,IF(J716="중간",3,IF(J716="최종",IF(I716="",5,IF(I716&lt;=20,3,IF(I716&lt;=35,4,IF(I716&lt;=50,6,7)))),IF(Q716="드묾",4,2))))))</x:f>
        <x:v>1</x:v>
      </x:c>
      <x:c r="Z716" s="5" t="inlineStr">
        <x:is>
          <x:t xml:space="preserve">#cobblemon:is_freezing; #cobblemon:is_frozen_ocean; #cobblemon:nether/is_frozen</x:t>
        </x:is>
      </x:c>
      <x:c r="AA716" s="5" t="inlineStr">
        <x:is>
          <x:t xml:space="preserve">common; uncommon</x:t>
        </x:is>
      </x:c>
      <x:c r="AB716" s="5" t="inlineStr">
        <x:is>
          <x:t xml:space="preserve">예</x:t>
        </x:is>
      </x:c>
      <x:c r="AC716" s="8" t="str">
        <x:f>IF(T716&lt;&gt;"","수동확정",IF(X716="검토필요","검토필요",IF(S716="","원본없음","초기완료")))</x:f>
        <x:v>검토필요</x:v>
      </x:c>
      <x:c r="AD716" s="7" t="inlineStr">
        <x:is>
          <x:t xml:space="preserve"/>
        </x:is>
      </x:c>
      <x:c r="AE716" s="5" t="inlineStr">
        <x:is>
          <x:t xml:space="preserve">.tmp/cobblemon-1.7.3-source/common/src/main/resources/data/cobblemon/species/generation6/bergmite.json</x:t>
        </x:is>
      </x:c>
      <x:c r="AF716" s="5" t="str">
        <x:f>"생활권|"&amp;K716</x:f>
        <x:v>생활권|육상</x:v>
      </x:c>
      <x:c r="AG716" s="5" t="str">
        <x:f>"지형|"&amp;L716</x:f>
        <x:v>지형|설원</x:v>
      </x:c>
      <x:c r="AH716" s="5" t="str">
        <x:f>"온도|"&amp;M716</x:f>
        <x:v>온도|한랭</x:v>
      </x:c>
      <x:c r="AI716" s="5" t="str">
        <x:f>"습도|"&amp;N716</x:f>
        <x:v>습도|보통</x:v>
      </x:c>
      <x:c r="AJ716" s="5" t="str">
        <x:f>"날씨|"&amp;O716</x:f>
        <x:v>날씨|눈</x:v>
      </x:c>
      <x:c r="AK716" s="5" t="str">
        <x:f>"특수태그|"&amp;R716</x:f>
        <x:v>특수태그|없음</x:v>
      </x:c>
      <x:c r="AL716" s="5" t="str">
        <x:f>"원본서식지|"&amp;S716</x:f>
        <x:v>원본서식지|설원</x:v>
      </x:c>
      <x:c r="AM716" s="5" t="str">
        <x:f>"타입|"&amp;F716</x:f>
        <x:v>타입|얼음</x:v>
      </x:c>
      <x:c r="AN716" s="5" t="str">
        <x:f>"타입|"&amp;G716</x:f>
        <x:v>타입|</x:v>
      </x:c>
    </x:row>
    <x:row r="717" ht="24" customHeight="1">
      <x:c r="A717" s="5" t="n">
        <x:v>713</x:v>
      </x:c>
      <x:c r="B717" s="5" t="inlineStr">
        <x:is>
          <x:t xml:space="preserve">크레베이스</x:t>
        </x:is>
      </x:c>
      <x:c r="C717" s="5" t="inlineStr">
        <x:is>
          <x:t xml:space="preserve">avalugg</x:t>
        </x:is>
      </x:c>
      <x:c r="D717" s="5" t="inlineStr">
        <x:is>
          <x:t xml:space="preserve">Avalugg</x:t>
        </x:is>
      </x:c>
      <x:c r="E717" s="5" t="n">
        <x:v>6</x:v>
      </x:c>
      <x:c r="F717" s="5" t="inlineStr">
        <x:is>
          <x:t xml:space="preserve">얼음</x:t>
        </x:is>
      </x:c>
      <x:c r="G717" s="5" t="inlineStr">
        <x:is>
          <x:t xml:space="preserve"/>
        </x:is>
      </x:c>
      <x:c r="H717" s="6" t="n">
        <x:v>505</x:v>
      </x:c>
      <x:c r="I717" s="5" t="n">
        <x:v>37</x:v>
      </x:c>
      <x:c r="J717" s="5" t="inlineStr">
        <x:is>
          <x:t xml:space="preserve">최종</x:t>
        </x:is>
      </x:c>
      <x:c r="K717" s="7" t="inlineStr">
        <x:is>
          <x:t xml:space="preserve">육상</x:t>
        </x:is>
      </x:c>
      <x:c r="L717" s="7" t="inlineStr">
        <x:is>
          <x:t xml:space="preserve">설원</x:t>
        </x:is>
      </x:c>
      <x:c r="M717" s="7" t="inlineStr">
        <x:is>
          <x:t xml:space="preserve">한랭</x:t>
        </x:is>
      </x:c>
      <x:c r="N717" s="7" t="inlineStr">
        <x:is>
          <x:t xml:space="preserve">보통</x:t>
        </x:is>
      </x:c>
      <x:c r="O717" s="7" t="inlineStr">
        <x:is>
          <x:t xml:space="preserve">눈</x:t>
        </x:is>
      </x:c>
      <x:c r="P717" s="7" t="inlineStr">
        <x:is>
          <x:t xml:space="preserve">무관</x:t>
        </x:is>
      </x:c>
      <x:c r="Q717" s="7" t="inlineStr">
        <x:is>
          <x:t xml:space="preserve">보통</x:t>
        </x:is>
      </x:c>
      <x:c r="R717" s="7" t="inlineStr">
        <x:is>
          <x:t xml:space="preserve">없음</x:t>
        </x:is>
      </x:c>
      <x:c r="S717" s="7" t="inlineStr">
        <x:is>
          <x:t xml:space="preserve">설원</x:t>
        </x:is>
      </x:c>
      <x:c r="T717" s="7" t="inlineStr">
        <x:is>
          <x:t xml:space="preserve"/>
        </x:is>
      </x:c>
      <x:c r="U717" s="8" t="str">
        <x:f>INDEX('서식지_점수'!$E$4:$P$4,1,MATCH(MAX('서식지_점수'!E717:P717),'서식지_점수'!E717:P717,0))</x:f>
        <x:v>평원</x:v>
      </x:c>
      <x:c r="V717" s="8" t="str">
        <x:f>IF(T717&lt;&gt;"",T717,U717)</x:f>
        <x:v>평원</x:v>
      </x:c>
      <x:c r="W717" s="8" t="str">
        <x:f>IFERROR(INDEX('서식지_점수'!$E$4:$P$4,1,MATCH(MAXIFS('서식지_점수'!E717:P717,'서식지_점수'!E717:P717,"&lt;"&amp;MAX('서식지_점수'!E717:P717)),'서식지_점수'!E717:P717,0)),"")</x:f>
        <x:v>숲</x:v>
      </x:c>
      <x:c r="X717" s="8" t="str">
        <x:f>IF(T717&lt;&gt;"","수동확정",IF(MAX('서식지_점수'!E717:P717)-LARGE('서식지_점수'!E717:P717,2)&gt;=15,"높음",IF(MAX('서식지_점수'!E717:P717)-LARGE('서식지_점수'!E717:P717,2)&gt;=8,"보통","검토필요")))</x:f>
        <x:v>검토필요</x:v>
      </x:c>
      <x:c r="Y717" s="9" t="n">
        <x:f>IF(Q717="전설",8,IF(Q717="희귀",7,IF(J717="기본",1,IF(J717="중간",3,IF(J717="최종",IF(I717="",5,IF(I717&lt;=20,3,IF(I717&lt;=35,4,IF(I717&lt;=50,6,7)))),IF(Q717="드묾",4,2))))))</x:f>
        <x:v>6</x:v>
      </x:c>
      <x:c r="Z717" s="5" t="inlineStr">
        <x:is>
          <x:t xml:space="preserve">#cobblemon:is_frozen_ocean; #cobblemon:is_snowy_forest; #cobblemon:nether/is_frozen; minecraft:frozen_peaks; minecraft:snowy_slopes</x:t>
        </x:is>
      </x:c>
      <x:c r="AA717" s="5" t="inlineStr">
        <x:is>
          <x:t xml:space="preserve">common; rare; uncommon</x:t>
        </x:is>
      </x:c>
      <x:c r="AB717" s="5" t="inlineStr">
        <x:is>
          <x:t xml:space="preserve">예</x:t>
        </x:is>
      </x:c>
      <x:c r="AC717" s="8" t="str">
        <x:f>IF(T717&lt;&gt;"","수동확정",IF(X717="검토필요","검토필요",IF(S717="","원본없음","초기완료")))</x:f>
        <x:v>검토필요</x:v>
      </x:c>
      <x:c r="AD717" s="7" t="inlineStr">
        <x:is>
          <x:t xml:space="preserve"/>
        </x:is>
      </x:c>
      <x:c r="AE717" s="5" t="inlineStr">
        <x:is>
          <x:t xml:space="preserve">.tmp/cobblemon-1.7.3-source/common/src/main/resources/data/cobblemon/species/generation6/avalugg.json</x:t>
        </x:is>
      </x:c>
      <x:c r="AF717" s="5" t="str">
        <x:f>"생활권|"&amp;K717</x:f>
        <x:v>생활권|육상</x:v>
      </x:c>
      <x:c r="AG717" s="5" t="str">
        <x:f>"지형|"&amp;L717</x:f>
        <x:v>지형|설원</x:v>
      </x:c>
      <x:c r="AH717" s="5" t="str">
        <x:f>"온도|"&amp;M717</x:f>
        <x:v>온도|한랭</x:v>
      </x:c>
      <x:c r="AI717" s="5" t="str">
        <x:f>"습도|"&amp;N717</x:f>
        <x:v>습도|보통</x:v>
      </x:c>
      <x:c r="AJ717" s="5" t="str">
        <x:f>"날씨|"&amp;O717</x:f>
        <x:v>날씨|눈</x:v>
      </x:c>
      <x:c r="AK717" s="5" t="str">
        <x:f>"특수태그|"&amp;R717</x:f>
        <x:v>특수태그|없음</x:v>
      </x:c>
      <x:c r="AL717" s="5" t="str">
        <x:f>"원본서식지|"&amp;S717</x:f>
        <x:v>원본서식지|설원</x:v>
      </x:c>
      <x:c r="AM717" s="5" t="str">
        <x:f>"타입|"&amp;F717</x:f>
        <x:v>타입|얼음</x:v>
      </x:c>
      <x:c r="AN717" s="5" t="str">
        <x:f>"타입|"&amp;G717</x:f>
        <x:v>타입|</x:v>
      </x:c>
    </x:row>
    <x:row r="718" ht="24" customHeight="1">
      <x:c r="A718" s="5" t="n">
        <x:v>714</x:v>
      </x:c>
      <x:c r="B718" s="5" t="inlineStr">
        <x:is>
          <x:t xml:space="preserve">음뱃</x:t>
        </x:is>
      </x:c>
      <x:c r="C718" s="5" t="inlineStr">
        <x:is>
          <x:t xml:space="preserve">noibat</x:t>
        </x:is>
      </x:c>
      <x:c r="D718" s="5" t="inlineStr">
        <x:is>
          <x:t xml:space="preserve">Noibat</x:t>
        </x:is>
      </x:c>
      <x:c r="E718" s="5" t="n">
        <x:v>6</x:v>
      </x:c>
      <x:c r="F718" s="5" t="inlineStr">
        <x:is>
          <x:t xml:space="preserve">비행</x:t>
        </x:is>
      </x:c>
      <x:c r="G718" s="5" t="inlineStr">
        <x:is>
          <x:t xml:space="preserve">드래곤</x:t>
        </x:is>
      </x:c>
      <x:c r="H718" s="6" t="n">
        <x:v>8</x:v>
      </x:c>
      <x:c r="I718" s="5" t="n">
        <x:v>48</x:v>
      </x:c>
      <x:c r="J718" s="5" t="inlineStr">
        <x:is>
          <x:t xml:space="preserve">기본</x:t>
        </x:is>
      </x:c>
      <x:c r="K718" s="7" t="inlineStr">
        <x:is>
          <x:t xml:space="preserve">비행</x:t>
        </x:is>
      </x:c>
      <x:c r="L718" s="7" t="inlineStr">
        <x:is>
          <x:t xml:space="preserve">동굴</x:t>
        </x:is>
      </x:c>
      <x:c r="M718" s="7" t="inlineStr">
        <x:is>
          <x:t xml:space="preserve">온대</x:t>
        </x:is>
      </x:c>
      <x:c r="N718" s="7" t="inlineStr">
        <x:is>
          <x:t xml:space="preserve">보통</x:t>
        </x:is>
      </x:c>
      <x:c r="O718" s="7" t="inlineStr">
        <x:is>
          <x:t xml:space="preserve">무관</x:t>
        </x:is>
      </x:c>
      <x:c r="P718" s="7" t="inlineStr">
        <x:is>
          <x:t xml:space="preserve">무관</x:t>
        </x:is>
      </x:c>
      <x:c r="Q718" s="7" t="inlineStr">
        <x:is>
          <x:t xml:space="preserve">보통</x:t>
        </x:is>
      </x:c>
      <x:c r="R718" s="7" t="inlineStr">
        <x:is>
          <x:t xml:space="preserve">동굴</x:t>
        </x:is>
      </x:c>
      <x:c r="S718" s="7" t="inlineStr">
        <x:is>
          <x:t xml:space="preserve">동굴</x:t>
        </x:is>
      </x:c>
      <x:c r="T718" s="7" t="inlineStr">
        <x:is>
          <x:t xml:space="preserve"/>
        </x:is>
      </x:c>
      <x:c r="U718" s="8" t="str">
        <x:f>INDEX('서식지_점수'!$E$4:$P$4,1,MATCH(MAX('서식지_점수'!E718:P718),'서식지_점수'!E718:P718,0))</x:f>
        <x:v>산악</x:v>
      </x:c>
      <x:c r="V718" s="8" t="str">
        <x:f>IF(T718&lt;&gt;"",T718,U718)</x:f>
        <x:v>산악</x:v>
      </x:c>
      <x:c r="W718" s="8" t="str">
        <x:f>IFERROR(INDEX('서식지_점수'!$E$4:$P$4,1,MATCH(MAXIFS('서식지_점수'!E718:P718,'서식지_점수'!E718:P718,"&lt;"&amp;MAX('서식지_점수'!E718:P718)),'서식지_점수'!E718:P718,0)),"")</x:f>
        <x:v>평원</x:v>
      </x:c>
      <x:c r="X718" s="8" t="str">
        <x:f>IF(T718&lt;&gt;"","수동확정",IF(MAX('서식지_점수'!E718:P718)-LARGE('서식지_점수'!E718:P718,2)&gt;=15,"높음",IF(MAX('서식지_점수'!E718:P718)-LARGE('서식지_점수'!E718:P718,2)&gt;=8,"보통","검토필요")))</x:f>
        <x:v>검토필요</x:v>
      </x:c>
      <x:c r="Y718" s="9" t="n">
        <x:f>IF(Q718="전설",8,IF(Q718="희귀",7,IF(J718="기본",1,IF(J718="중간",3,IF(J718="최종",IF(I718="",5,IF(I718&lt;=20,3,IF(I718&lt;=35,4,IF(I718&lt;=50,6,7)))),IF(Q718="드묾",4,2))))))</x:f>
        <x:v>1</x:v>
      </x:c>
      <x:c r="Z718" s="5" t="inlineStr">
        <x:is>
          <x:t xml:space="preserve">#aether:is_aether; #cobblemon:is_deep_dark; #cobblemon:is_overworld</x:t>
        </x:is>
      </x:c>
      <x:c r="AA718" s="5" t="inlineStr">
        <x:is>
          <x:t xml:space="preserve">rare; uncommon</x:t>
        </x:is>
      </x:c>
      <x:c r="AB718" s="5" t="inlineStr">
        <x:is>
          <x:t xml:space="preserve">예</x:t>
        </x:is>
      </x:c>
      <x:c r="AC718" s="8" t="str">
        <x:f>IF(T718&lt;&gt;"","수동확정",IF(X718="검토필요","검토필요",IF(S718="","원본없음","초기완료")))</x:f>
        <x:v>검토필요</x:v>
      </x:c>
      <x:c r="AD718" s="7" t="inlineStr">
        <x:is>
          <x:t xml:space="preserve"/>
        </x:is>
      </x:c>
      <x:c r="AE718" s="5" t="inlineStr">
        <x:is>
          <x:t xml:space="preserve">.tmp/cobblemon-1.7.3-source/common/src/main/resources/data/cobblemon/species/generation6/noibat.json</x:t>
        </x:is>
      </x:c>
      <x:c r="AF718" s="5" t="str">
        <x:f>"생활권|"&amp;K718</x:f>
        <x:v>생활권|비행</x:v>
      </x:c>
      <x:c r="AG718" s="5" t="str">
        <x:f>"지형|"&amp;L718</x:f>
        <x:v>지형|동굴</x:v>
      </x:c>
      <x:c r="AH718" s="5" t="str">
        <x:f>"온도|"&amp;M718</x:f>
        <x:v>온도|온대</x:v>
      </x:c>
      <x:c r="AI718" s="5" t="str">
        <x:f>"습도|"&amp;N718</x:f>
        <x:v>습도|보통</x:v>
      </x:c>
      <x:c r="AJ718" s="5" t="str">
        <x:f>"날씨|"&amp;O718</x:f>
        <x:v>날씨|무관</x:v>
      </x:c>
      <x:c r="AK718" s="5" t="str">
        <x:f>"특수태그|"&amp;R718</x:f>
        <x:v>특수태그|동굴</x:v>
      </x:c>
      <x:c r="AL718" s="5" t="str">
        <x:f>"원본서식지|"&amp;S718</x:f>
        <x:v>원본서식지|동굴</x:v>
      </x:c>
      <x:c r="AM718" s="5" t="str">
        <x:f>"타입|"&amp;F718</x:f>
        <x:v>타입|비행</x:v>
      </x:c>
      <x:c r="AN718" s="5" t="str">
        <x:f>"타입|"&amp;G718</x:f>
        <x:v>타입|드래곤</x:v>
      </x:c>
    </x:row>
    <x:row r="719" ht="24" customHeight="1">
      <x:c r="A719" s="5" t="n">
        <x:v>715</x:v>
      </x:c>
      <x:c r="B719" s="5" t="inlineStr">
        <x:is>
          <x:t xml:space="preserve">음번</x:t>
        </x:is>
      </x:c>
      <x:c r="C719" s="5" t="inlineStr">
        <x:is>
          <x:t xml:space="preserve">noivern</x:t>
        </x:is>
      </x:c>
      <x:c r="D719" s="5" t="inlineStr">
        <x:is>
          <x:t xml:space="preserve">Noivern</x:t>
        </x:is>
      </x:c>
      <x:c r="E719" s="5" t="n">
        <x:v>6</x:v>
      </x:c>
      <x:c r="F719" s="5" t="inlineStr">
        <x:is>
          <x:t xml:space="preserve">비행</x:t>
        </x:is>
      </x:c>
      <x:c r="G719" s="5" t="inlineStr">
        <x:is>
          <x:t xml:space="preserve">드래곤</x:t>
        </x:is>
      </x:c>
      <x:c r="H719" s="6" t="n">
        <x:v>85</x:v>
      </x:c>
      <x:c r="I719" s="5" t="n">
        <x:v>48</x:v>
      </x:c>
      <x:c r="J719" s="5" t="inlineStr">
        <x:is>
          <x:t xml:space="preserve">최종</x:t>
        </x:is>
      </x:c>
      <x:c r="K719" s="7" t="inlineStr">
        <x:is>
          <x:t xml:space="preserve">비행</x:t>
        </x:is>
      </x:c>
      <x:c r="L719" s="7" t="inlineStr">
        <x:is>
          <x:t xml:space="preserve">동굴</x:t>
        </x:is>
      </x:c>
      <x:c r="M719" s="7" t="inlineStr">
        <x:is>
          <x:t xml:space="preserve">온대</x:t>
        </x:is>
      </x:c>
      <x:c r="N719" s="7" t="inlineStr">
        <x:is>
          <x:t xml:space="preserve">보통</x:t>
        </x:is>
      </x:c>
      <x:c r="O719" s="7" t="inlineStr">
        <x:is>
          <x:t xml:space="preserve">무관</x:t>
        </x:is>
      </x:c>
      <x:c r="P719" s="7" t="inlineStr">
        <x:is>
          <x:t xml:space="preserve">무관</x:t>
        </x:is>
      </x:c>
      <x:c r="Q719" s="7" t="inlineStr">
        <x:is>
          <x:t xml:space="preserve">보통</x:t>
        </x:is>
      </x:c>
      <x:c r="R719" s="7" t="inlineStr">
        <x:is>
          <x:t xml:space="preserve">동굴</x:t>
        </x:is>
      </x:c>
      <x:c r="S719" s="7" t="inlineStr">
        <x:is>
          <x:t xml:space="preserve">동굴</x:t>
        </x:is>
      </x:c>
      <x:c r="T719" s="7" t="inlineStr">
        <x:is>
          <x:t xml:space="preserve"/>
        </x:is>
      </x:c>
      <x:c r="U719" s="8" t="str">
        <x:f>INDEX('서식지_점수'!$E$4:$P$4,1,MATCH(MAX('서식지_점수'!E719:P719),'서식지_점수'!E719:P719,0))</x:f>
        <x:v>산악</x:v>
      </x:c>
      <x:c r="V719" s="8" t="str">
        <x:f>IF(T719&lt;&gt;"",T719,U719)</x:f>
        <x:v>산악</x:v>
      </x:c>
      <x:c r="W719" s="8" t="str">
        <x:f>IFERROR(INDEX('서식지_점수'!$E$4:$P$4,1,MATCH(MAXIFS('서식지_점수'!E719:P719,'서식지_점수'!E719:P719,"&lt;"&amp;MAX('서식지_점수'!E719:P719)),'서식지_점수'!E719:P719,0)),"")</x:f>
        <x:v>평원</x:v>
      </x:c>
      <x:c r="X719" s="8" t="str">
        <x:f>IF(T719&lt;&gt;"","수동확정",IF(MAX('서식지_점수'!E719:P719)-LARGE('서식지_점수'!E719:P719,2)&gt;=15,"높음",IF(MAX('서식지_점수'!E719:P719)-LARGE('서식지_점수'!E719:P719,2)&gt;=8,"보통","검토필요")))</x:f>
        <x:v>검토필요</x:v>
      </x:c>
      <x:c r="Y719" s="9" t="n">
        <x:f>IF(Q719="전설",8,IF(Q719="희귀",7,IF(J719="기본",1,IF(J719="중간",3,IF(J719="최종",IF(I719="",5,IF(I719&lt;=20,3,IF(I719&lt;=35,4,IF(I719&lt;=50,6,7)))),IF(Q719="드묾",4,2))))))</x:f>
        <x:v>6</x:v>
      </x:c>
      <x:c r="Z719" s="5" t="inlineStr">
        <x:is>
          <x:t xml:space="preserve">#aether:is_aether; #cobblemon:is_deep_dark; #cobblemon:is_overworld</x:t>
        </x:is>
      </x:c>
      <x:c r="AA719" s="5" t="inlineStr">
        <x:is>
          <x:t xml:space="preserve">rare; uncommon</x:t>
        </x:is>
      </x:c>
      <x:c r="AB719" s="5" t="inlineStr">
        <x:is>
          <x:t xml:space="preserve">예</x:t>
        </x:is>
      </x:c>
      <x:c r="AC719" s="8" t="str">
        <x:f>IF(T719&lt;&gt;"","수동확정",IF(X719="검토필요","검토필요",IF(S719="","원본없음","초기완료")))</x:f>
        <x:v>검토필요</x:v>
      </x:c>
      <x:c r="AD719" s="7" t="inlineStr">
        <x:is>
          <x:t xml:space="preserve"/>
        </x:is>
      </x:c>
      <x:c r="AE719" s="5" t="inlineStr">
        <x:is>
          <x:t xml:space="preserve">.tmp/cobblemon-1.7.3-source/common/src/main/resources/data/cobblemon/species/generation6/noivern.json</x:t>
        </x:is>
      </x:c>
      <x:c r="AF719" s="5" t="str">
        <x:f>"생활권|"&amp;K719</x:f>
        <x:v>생활권|비행</x:v>
      </x:c>
      <x:c r="AG719" s="5" t="str">
        <x:f>"지형|"&amp;L719</x:f>
        <x:v>지형|동굴</x:v>
      </x:c>
      <x:c r="AH719" s="5" t="str">
        <x:f>"온도|"&amp;M719</x:f>
        <x:v>온도|온대</x:v>
      </x:c>
      <x:c r="AI719" s="5" t="str">
        <x:f>"습도|"&amp;N719</x:f>
        <x:v>습도|보통</x:v>
      </x:c>
      <x:c r="AJ719" s="5" t="str">
        <x:f>"날씨|"&amp;O719</x:f>
        <x:v>날씨|무관</x:v>
      </x:c>
      <x:c r="AK719" s="5" t="str">
        <x:f>"특수태그|"&amp;R719</x:f>
        <x:v>특수태그|동굴</x:v>
      </x:c>
      <x:c r="AL719" s="5" t="str">
        <x:f>"원본서식지|"&amp;S719</x:f>
        <x:v>원본서식지|동굴</x:v>
      </x:c>
      <x:c r="AM719" s="5" t="str">
        <x:f>"타입|"&amp;F719</x:f>
        <x:v>타입|비행</x:v>
      </x:c>
      <x:c r="AN719" s="5" t="str">
        <x:f>"타입|"&amp;G719</x:f>
        <x:v>타입|드래곤</x:v>
      </x:c>
    </x:row>
    <x:row r="720" ht="24" customHeight="1">
      <x:c r="A720" s="5" t="n">
        <x:v>716</x:v>
      </x:c>
      <x:c r="B720" s="5" t="inlineStr">
        <x:is>
          <x:t xml:space="preserve">제르네아스</x:t>
        </x:is>
      </x:c>
      <x:c r="C720" s="5" t="inlineStr">
        <x:is>
          <x:t xml:space="preserve">xerneas</x:t>
        </x:is>
      </x:c>
      <x:c r="D720" s="5" t="inlineStr">
        <x:is>
          <x:t xml:space="preserve">Xerneas</x:t>
        </x:is>
      </x:c>
      <x:c r="E720" s="5" t="n">
        <x:v>6</x:v>
      </x:c>
      <x:c r="F720" s="5" t="inlineStr">
        <x:is>
          <x:t xml:space="preserve">페어리</x:t>
        </x:is>
      </x:c>
      <x:c r="G720" s="5" t="inlineStr">
        <x:is>
          <x:t xml:space="preserve"/>
        </x:is>
      </x:c>
      <x:c r="H720" s="6" t="n">
        <x:v>215</x:v>
      </x:c>
      <x:c r="I720" s="5" t="n"/>
      <x:c r="J720" s="5" t="inlineStr">
        <x:is>
          <x:t xml:space="preserve">무진화</x:t>
        </x:is>
      </x:c>
      <x:c r="K720" s="7" t="inlineStr">
        <x:is>
          <x:t xml:space="preserve">육상</x:t>
        </x:is>
      </x:c>
      <x:c r="L720" s="7" t="inlineStr">
        <x:is>
          <x:t xml:space="preserve">개활지</x:t>
        </x:is>
      </x:c>
      <x:c r="M720" s="7" t="inlineStr">
        <x:is>
          <x:t xml:space="preserve">온대</x:t>
        </x:is>
      </x:c>
      <x:c r="N720" s="7" t="inlineStr">
        <x:is>
          <x:t xml:space="preserve">보통</x:t>
        </x:is>
      </x:c>
      <x:c r="O720" s="7" t="inlineStr">
        <x:is>
          <x:t xml:space="preserve">무관</x:t>
        </x:is>
      </x:c>
      <x:c r="P720" s="7" t="inlineStr">
        <x:is>
          <x:t xml:space="preserve">낮</x:t>
        </x:is>
      </x:c>
      <x:c r="Q720" s="7" t="inlineStr">
        <x:is>
          <x:t xml:space="preserve">전설</x:t>
        </x:is>
      </x:c>
      <x:c r="R720" s="7" t="inlineStr">
        <x:is>
          <x:t xml:space="preserve">전설</x:t>
        </x:is>
      </x:c>
      <x:c r="S720" s="7" t="inlineStr">
        <x:is>
          <x:t xml:space="preserve"/>
        </x:is>
      </x:c>
      <x:c r="T720" s="7" t="inlineStr">
        <x:is>
          <x:t xml:space="preserve"/>
        </x:is>
      </x:c>
      <x:c r="U720" s="8" t="str">
        <x:f>INDEX('서식지_점수'!$E$4:$P$4,1,MATCH(MAX('서식지_점수'!E720:P720),'서식지_점수'!E720:P720,0))</x:f>
        <x:v>평원</x:v>
      </x:c>
      <x:c r="V720" s="8" t="str">
        <x:f>IF(T720&lt;&gt;"",T720,U720)</x:f>
        <x:v>평원</x:v>
      </x:c>
      <x:c r="W720" s="8" t="str">
        <x:f>IFERROR(INDEX('서식지_점수'!$E$4:$P$4,1,MATCH(MAXIFS('서식지_점수'!E720:P720,'서식지_점수'!E720:P720,"&lt;"&amp;MAX('서식지_점수'!E720:P720)),'서식지_점수'!E720:P720,0)),"")</x:f>
        <x:v>숲</x:v>
      </x:c>
      <x:c r="X720" s="8" t="str">
        <x:f>IF(T720&lt;&gt;"","수동확정",IF(MAX('서식지_점수'!E720:P720)-LARGE('서식지_점수'!E720:P720,2)&gt;=15,"높음",IF(MAX('서식지_점수'!E720:P720)-LARGE('서식지_점수'!E720:P720,2)&gt;=8,"보통","검토필요")))</x:f>
        <x:v>검토필요</x:v>
      </x:c>
      <x:c r="Y720" s="9" t="n">
        <x:f>IF(Q720="전설",8,IF(Q720="희귀",7,IF(J720="기본",1,IF(J720="중간",3,IF(J720="최종",IF(I720="",5,IF(I720&lt;=20,3,IF(I720&lt;=35,4,IF(I720&lt;=50,6,7)))),IF(Q720="드묾",4,2))))))</x:f>
        <x:v>8</x:v>
      </x:c>
      <x:c r="Z720" s="5" t="inlineStr">
        <x:is>
          <x:t xml:space="preserve">#cobblemon:is_floral</x:t>
        </x:is>
      </x:c>
      <x:c r="AA720" s="5" t="inlineStr">
        <x:is>
          <x:t xml:space="preserve">ultra-rare</x:t>
        </x:is>
      </x:c>
      <x:c r="AB720" s="5" t="inlineStr">
        <x:is>
          <x:t xml:space="preserve">예</x:t>
        </x:is>
      </x:c>
      <x:c r="AC720" s="8" t="str">
        <x:f>IF(T720&lt;&gt;"","수동확정",IF(X720="검토필요","검토필요",IF(S720="","원본없음","초기완료")))</x:f>
        <x:v>검토필요</x:v>
      </x:c>
      <x:c r="AD720" s="7" t="inlineStr">
        <x:is>
          <x:t xml:space="preserve"/>
        </x:is>
      </x:c>
      <x:c r="AE720" s="5" t="inlineStr">
        <x:is>
          <x:t xml:space="preserve">.tmp/cobblemon-1.7.3-source/common/src/main/resources/data/cobblemon/species/generation6/xerneas.json</x:t>
        </x:is>
      </x:c>
      <x:c r="AF720" s="5" t="str">
        <x:f>"생활권|"&amp;K720</x:f>
        <x:v>생활권|육상</x:v>
      </x:c>
      <x:c r="AG720" s="5" t="str">
        <x:f>"지형|"&amp;L720</x:f>
        <x:v>지형|개활지</x:v>
      </x:c>
      <x:c r="AH720" s="5" t="str">
        <x:f>"온도|"&amp;M720</x:f>
        <x:v>온도|온대</x:v>
      </x:c>
      <x:c r="AI720" s="5" t="str">
        <x:f>"습도|"&amp;N720</x:f>
        <x:v>습도|보통</x:v>
      </x:c>
      <x:c r="AJ720" s="5" t="str">
        <x:f>"날씨|"&amp;O720</x:f>
        <x:v>날씨|무관</x:v>
      </x:c>
      <x:c r="AK720" s="5" t="str">
        <x:f>"특수태그|"&amp;R720</x:f>
        <x:v>특수태그|전설</x:v>
      </x:c>
      <x:c r="AL720" s="5" t="str">
        <x:f>"원본서식지|"&amp;S720</x:f>
        <x:v>원본서식지|</x:v>
      </x:c>
      <x:c r="AM720" s="5" t="str">
        <x:f>"타입|"&amp;F720</x:f>
        <x:v>타입|페어리</x:v>
      </x:c>
      <x:c r="AN720" s="5" t="str">
        <x:f>"타입|"&amp;G720</x:f>
        <x:v>타입|</x:v>
      </x:c>
    </x:row>
    <x:row r="721" ht="24" customHeight="1">
      <x:c r="A721" s="5" t="n">
        <x:v>717</x:v>
      </x:c>
      <x:c r="B721" s="5" t="inlineStr">
        <x:is>
          <x:t xml:space="preserve">이벨타르</x:t>
        </x:is>
      </x:c>
      <x:c r="C721" s="5" t="inlineStr">
        <x:is>
          <x:t xml:space="preserve">yveltal</x:t>
        </x:is>
      </x:c>
      <x:c r="D721" s="5" t="inlineStr">
        <x:is>
          <x:t xml:space="preserve">Yveltal</x:t>
        </x:is>
      </x:c>
      <x:c r="E721" s="5" t="n">
        <x:v>6</x:v>
      </x:c>
      <x:c r="F721" s="5" t="inlineStr">
        <x:is>
          <x:t xml:space="preserve">악</x:t>
        </x:is>
      </x:c>
      <x:c r="G721" s="5" t="inlineStr">
        <x:is>
          <x:t xml:space="preserve">비행</x:t>
        </x:is>
      </x:c>
      <x:c r="H721" s="6" t="n">
        <x:v>203</x:v>
      </x:c>
      <x:c r="I721" s="5" t="n"/>
      <x:c r="J721" s="5" t="inlineStr">
        <x:is>
          <x:t xml:space="preserve">무진화</x:t>
        </x:is>
      </x:c>
      <x:c r="K721" s="7" t="inlineStr">
        <x:is>
          <x:t xml:space="preserve">비행</x:t>
        </x:is>
      </x:c>
      <x:c r="L721" s="7" t="inlineStr">
        <x:is>
          <x:t xml:space="preserve">특수</x:t>
        </x:is>
      </x:c>
      <x:c r="M721" s="7" t="inlineStr">
        <x:is>
          <x:t xml:space="preserve">온대</x:t>
        </x:is>
      </x:c>
      <x:c r="N721" s="7" t="inlineStr">
        <x:is>
          <x:t xml:space="preserve">보통</x:t>
        </x:is>
      </x:c>
      <x:c r="O721" s="7" t="inlineStr">
        <x:is>
          <x:t xml:space="preserve">무관</x:t>
        </x:is>
      </x:c>
      <x:c r="P721" s="7" t="inlineStr">
        <x:is>
          <x:t xml:space="preserve">밤</x:t>
        </x:is>
      </x:c>
      <x:c r="Q721" s="7" t="inlineStr">
        <x:is>
          <x:t xml:space="preserve">전설</x:t>
        </x:is>
      </x:c>
      <x:c r="R721" s="7" t="inlineStr">
        <x:is>
          <x:t xml:space="preserve">전설</x:t>
        </x:is>
      </x:c>
      <x:c r="S721" s="7" t="inlineStr">
        <x:is>
          <x:t xml:space="preserve">특수</x:t>
        </x:is>
      </x:c>
      <x:c r="T721" s="7" t="inlineStr">
        <x:is>
          <x:t xml:space="preserve"/>
        </x:is>
      </x:c>
      <x:c r="U721" s="8" t="str">
        <x:f>INDEX('서식지_점수'!$E$4:$P$4,1,MATCH(MAX('서식지_점수'!E721:P721),'서식지_점수'!E721:P721,0))</x:f>
        <x:v>산악</x:v>
      </x:c>
      <x:c r="V721" s="8" t="str">
        <x:f>IF(T721&lt;&gt;"",T721,U721)</x:f>
        <x:v>산악</x:v>
      </x:c>
      <x:c r="W721" s="8" t="str">
        <x:f>IFERROR(INDEX('서식지_점수'!$E$4:$P$4,1,MATCH(MAXIFS('서식지_점수'!E721:P721,'서식지_점수'!E721:P721,"&lt;"&amp;MAX('서식지_점수'!E721:P721)),'서식지_점수'!E721:P721,0)),"")</x:f>
        <x:v>평원</x:v>
      </x:c>
      <x:c r="X721" s="8" t="str">
        <x:f>IF(T721&lt;&gt;"","수동확정",IF(MAX('서식지_점수'!E721:P721)-LARGE('서식지_점수'!E721:P721,2)&gt;=15,"높음",IF(MAX('서식지_점수'!E721:P721)-LARGE('서식지_점수'!E721:P721,2)&gt;=8,"보통","검토필요")))</x:f>
        <x:v>검토필요</x:v>
      </x:c>
      <x:c r="Y721" s="9" t="n">
        <x:f>IF(Q721="전설",8,IF(Q721="희귀",7,IF(J721="기본",1,IF(J721="중간",3,IF(J721="최종",IF(I721="",5,IF(I721&lt;=20,3,IF(I721&lt;=35,4,IF(I721&lt;=50,6,7)))),IF(Q721="드묾",4,2))))))</x:f>
        <x:v>8</x:v>
      </x:c>
      <x:c r="Z721" s="5" t="inlineStr">
        <x:is>
          <x:t xml:space="preserve">#cobblemon:is_spooky</x:t>
        </x:is>
      </x:c>
      <x:c r="AA721" s="5" t="inlineStr">
        <x:is>
          <x:t xml:space="preserve">ultra-rare</x:t>
        </x:is>
      </x:c>
      <x:c r="AB721" s="5" t="inlineStr">
        <x:is>
          <x:t xml:space="preserve">아니오</x:t>
        </x:is>
      </x:c>
      <x:c r="AC721" s="8" t="str">
        <x:f>IF(T721&lt;&gt;"","수동확정",IF(X721="검토필요","검토필요",IF(S721="","원본없음","초기완료")))</x:f>
        <x:v>검토필요</x:v>
      </x:c>
      <x:c r="AD721" s="7" t="inlineStr">
        <x:is>
          <x:t xml:space="preserve"/>
        </x:is>
      </x:c>
      <x:c r="AE721" s="5" t="inlineStr">
        <x:is>
          <x:t xml:space="preserve">.tmp/cobblemon-1.7.3-source/common/src/main/resources/data/cobblemon/species/generation6/yveltal.json</x:t>
        </x:is>
      </x:c>
      <x:c r="AF721" s="5" t="str">
        <x:f>"생활권|"&amp;K721</x:f>
        <x:v>생활권|비행</x:v>
      </x:c>
      <x:c r="AG721" s="5" t="str">
        <x:f>"지형|"&amp;L721</x:f>
        <x:v>지형|특수</x:v>
      </x:c>
      <x:c r="AH721" s="5" t="str">
        <x:f>"온도|"&amp;M721</x:f>
        <x:v>온도|온대</x:v>
      </x:c>
      <x:c r="AI721" s="5" t="str">
        <x:f>"습도|"&amp;N721</x:f>
        <x:v>습도|보통</x:v>
      </x:c>
      <x:c r="AJ721" s="5" t="str">
        <x:f>"날씨|"&amp;O721</x:f>
        <x:v>날씨|무관</x:v>
      </x:c>
      <x:c r="AK721" s="5" t="str">
        <x:f>"특수태그|"&amp;R721</x:f>
        <x:v>특수태그|전설</x:v>
      </x:c>
      <x:c r="AL721" s="5" t="str">
        <x:f>"원본서식지|"&amp;S721</x:f>
        <x:v>원본서식지|특수</x:v>
      </x:c>
      <x:c r="AM721" s="5" t="str">
        <x:f>"타입|"&amp;F721</x:f>
        <x:v>타입|악</x:v>
      </x:c>
      <x:c r="AN721" s="5" t="str">
        <x:f>"타입|"&amp;G721</x:f>
        <x:v>타입|비행</x:v>
      </x:c>
    </x:row>
    <x:row r="722" ht="24" customHeight="1">
      <x:c r="A722" s="5" t="n">
        <x:v>718</x:v>
      </x:c>
      <x:c r="B722" s="5" t="inlineStr">
        <x:is>
          <x:t xml:space="preserve">지가르데</x:t>
        </x:is>
      </x:c>
      <x:c r="C722" s="5" t="inlineStr">
        <x:is>
          <x:t xml:space="preserve">zygarde</x:t>
        </x:is>
      </x:c>
      <x:c r="D722" s="5" t="inlineStr">
        <x:is>
          <x:t xml:space="preserve">Zygarde</x:t>
        </x:is>
      </x:c>
      <x:c r="E722" s="5" t="n">
        <x:v>6</x:v>
      </x:c>
      <x:c r="F722" s="5" t="inlineStr">
        <x:is>
          <x:t xml:space="preserve">드래곤</x:t>
        </x:is>
      </x:c>
      <x:c r="G722" s="5" t="inlineStr">
        <x:is>
          <x:t xml:space="preserve">땅</x:t>
        </x:is>
      </x:c>
      <x:c r="H722" s="6" t="n">
        <x:v>305</x:v>
      </x:c>
      <x:c r="I722" s="5" t="n"/>
      <x:c r="J722" s="5" t="inlineStr">
        <x:is>
          <x:t xml:space="preserve">무진화</x:t>
        </x:is>
      </x:c>
      <x:c r="K722" s="7" t="inlineStr">
        <x:is>
          <x:t xml:space="preserve">지하</x:t>
        </x:is>
      </x:c>
      <x:c r="L722" s="7" t="inlineStr">
        <x:is>
          <x:t xml:space="preserve">동굴</x:t>
        </x:is>
      </x:c>
      <x:c r="M722" s="7" t="inlineStr">
        <x:is>
          <x:t xml:space="preserve">온대</x:t>
        </x:is>
      </x:c>
      <x:c r="N722" s="7" t="inlineStr">
        <x:is>
          <x:t xml:space="preserve">보통</x:t>
        </x:is>
      </x:c>
      <x:c r="O722" s="7" t="inlineStr">
        <x:is>
          <x:t xml:space="preserve">무관</x:t>
        </x:is>
      </x:c>
      <x:c r="P722" s="7" t="inlineStr">
        <x:is>
          <x:t xml:space="preserve">무관</x:t>
        </x:is>
      </x:c>
      <x:c r="Q722" s="7" t="inlineStr">
        <x:is>
          <x:t xml:space="preserve">전설</x:t>
        </x:is>
      </x:c>
      <x:c r="R722" s="7" t="inlineStr">
        <x:is>
          <x:t xml:space="preserve">전설</x:t>
        </x:is>
      </x:c>
      <x:c r="S722" s="7" t="inlineStr">
        <x:is>
          <x:t xml:space="preserve">동굴</x:t>
        </x:is>
      </x:c>
      <x:c r="T722" s="7" t="inlineStr">
        <x:is>
          <x:t xml:space="preserve"/>
        </x:is>
      </x:c>
      <x:c r="U722" s="8" t="str">
        <x:f>INDEX('서식지_점수'!$E$4:$P$4,1,MATCH(MAX('서식지_점수'!E722:P722),'서식지_점수'!E722:P722,0))</x:f>
        <x:v>동굴</x:v>
      </x:c>
      <x:c r="V722" s="8" t="str">
        <x:f>IF(T722&lt;&gt;"",T722,U722)</x:f>
        <x:v>동굴</x:v>
      </x:c>
      <x:c r="W722" s="8" t="str">
        <x:f>IFERROR(INDEX('서식지_점수'!$E$4:$P$4,1,MATCH(MAXIFS('서식지_점수'!E722:P722,'서식지_점수'!E722:P722,"&lt;"&amp;MAX('서식지_점수'!E722:P722)),'서식지_점수'!E722:P722,0)),"")</x:f>
        <x:v>산악</x:v>
      </x:c>
      <x:c r="X722" s="8" t="str">
        <x:f>IF(T722&lt;&gt;"","수동확정",IF(MAX('서식지_점수'!E722:P722)-LARGE('서식지_점수'!E722:P722,2)&gt;=15,"높음",IF(MAX('서식지_점수'!E722:P722)-LARGE('서식지_점수'!E722:P722,2)&gt;=8,"보통","검토필요")))</x:f>
        <x:v>높음</x:v>
      </x:c>
      <x:c r="Y722" s="9" t="n">
        <x:f>IF(Q722="전설",8,IF(Q722="희귀",7,IF(J722="기본",1,IF(J722="중간",3,IF(J722="최종",IF(I722="",5,IF(I722&lt;=20,3,IF(I722&lt;=35,4,IF(I722&lt;=50,6,7)))),IF(Q722="드묾",4,2))))))</x:f>
        <x:v>8</x:v>
      </x:c>
      <x:c r="Z722" s="5" t="inlineStr">
        <x:is>
          <x:t xml:space="preserve">minecraft:dripstone_caves; minecraft:lush_caves</x:t>
        </x:is>
      </x:c>
      <x:c r="AA722" s="5" t="inlineStr">
        <x:is>
          <x:t xml:space="preserve">ultra-rare</x:t>
        </x:is>
      </x:c>
      <x:c r="AB722" s="5" t="inlineStr">
        <x:is>
          <x:t xml:space="preserve">아니오</x:t>
        </x:is>
      </x:c>
      <x:c r="AC722" s="8" t="str">
        <x:f>IF(T722&lt;&gt;"","수동확정",IF(X722="검토필요","검토필요",IF(S722="","원본없음","초기완료")))</x:f>
        <x:v>초기완료</x:v>
      </x:c>
      <x:c r="AD722" s="7" t="inlineStr">
        <x:is>
          <x:t xml:space="preserve"/>
        </x:is>
      </x:c>
      <x:c r="AE722" s="5" t="inlineStr">
        <x:is>
          <x:t xml:space="preserve">.tmp/cobblemon-1.7.3-source/common/src/main/resources/data/cobblemon/species/generation6/zygarde.json</x:t>
        </x:is>
      </x:c>
      <x:c r="AF722" s="5" t="str">
        <x:f>"생활권|"&amp;K722</x:f>
        <x:v>생활권|지하</x:v>
      </x:c>
      <x:c r="AG722" s="5" t="str">
        <x:f>"지형|"&amp;L722</x:f>
        <x:v>지형|동굴</x:v>
      </x:c>
      <x:c r="AH722" s="5" t="str">
        <x:f>"온도|"&amp;M722</x:f>
        <x:v>온도|온대</x:v>
      </x:c>
      <x:c r="AI722" s="5" t="str">
        <x:f>"습도|"&amp;N722</x:f>
        <x:v>습도|보통</x:v>
      </x:c>
      <x:c r="AJ722" s="5" t="str">
        <x:f>"날씨|"&amp;O722</x:f>
        <x:v>날씨|무관</x:v>
      </x:c>
      <x:c r="AK722" s="5" t="str">
        <x:f>"특수태그|"&amp;R722</x:f>
        <x:v>특수태그|전설</x:v>
      </x:c>
      <x:c r="AL722" s="5" t="str">
        <x:f>"원본서식지|"&amp;S722</x:f>
        <x:v>원본서식지|동굴</x:v>
      </x:c>
      <x:c r="AM722" s="5" t="str">
        <x:f>"타입|"&amp;F722</x:f>
        <x:v>타입|드래곤</x:v>
      </x:c>
      <x:c r="AN722" s="5" t="str">
        <x:f>"타입|"&amp;G722</x:f>
        <x:v>타입|땅</x:v>
      </x:c>
    </x:row>
    <x:row r="723" ht="24" customHeight="1">
      <x:c r="A723" s="5" t="n">
        <x:v>719</x:v>
      </x:c>
      <x:c r="B723" s="5" t="inlineStr">
        <x:is>
          <x:t xml:space="preserve">디안시</x:t>
        </x:is>
      </x:c>
      <x:c r="C723" s="5" t="inlineStr">
        <x:is>
          <x:t xml:space="preserve">diancie</x:t>
        </x:is>
      </x:c>
      <x:c r="D723" s="5" t="inlineStr">
        <x:is>
          <x:t xml:space="preserve">Diancie</x:t>
        </x:is>
      </x:c>
      <x:c r="E723" s="5" t="n">
        <x:v>6</x:v>
      </x:c>
      <x:c r="F723" s="5" t="inlineStr">
        <x:is>
          <x:t xml:space="preserve">바위</x:t>
        </x:is>
      </x:c>
      <x:c r="G723" s="5" t="inlineStr">
        <x:is>
          <x:t xml:space="preserve">페어리</x:t>
        </x:is>
      </x:c>
      <x:c r="H723" s="6" t="n">
        <x:v>8.800000000000001</x:v>
      </x:c>
      <x:c r="I723" s="5" t="n"/>
      <x:c r="J723" s="5" t="inlineStr">
        <x:is>
          <x:t xml:space="preserve">무진화</x:t>
        </x:is>
      </x:c>
      <x:c r="K723" s="7" t="inlineStr">
        <x:is>
          <x:t xml:space="preserve">지하</x:t>
        </x:is>
      </x:c>
      <x:c r="L723" s="7" t="inlineStr">
        <x:is>
          <x:t xml:space="preserve">동굴</x:t>
        </x:is>
      </x:c>
      <x:c r="M723" s="7" t="inlineStr">
        <x:is>
          <x:t xml:space="preserve">온대</x:t>
        </x:is>
      </x:c>
      <x:c r="N723" s="7" t="inlineStr">
        <x:is>
          <x:t xml:space="preserve">보통</x:t>
        </x:is>
      </x:c>
      <x:c r="O723" s="7" t="inlineStr">
        <x:is>
          <x:t xml:space="preserve">무관</x:t>
        </x:is>
      </x:c>
      <x:c r="P723" s="7" t="inlineStr">
        <x:is>
          <x:t xml:space="preserve">무관</x:t>
        </x:is>
      </x:c>
      <x:c r="Q723" s="7" t="inlineStr">
        <x:is>
          <x:t xml:space="preserve">전설</x:t>
        </x:is>
      </x:c>
      <x:c r="R723" s="7" t="inlineStr">
        <x:is>
          <x:t xml:space="preserve">전설</x:t>
        </x:is>
      </x:c>
      <x:c r="S723" s="7" t="inlineStr">
        <x:is>
          <x:t xml:space="preserve">동굴</x:t>
        </x:is>
      </x:c>
      <x:c r="T723" s="7" t="inlineStr">
        <x:is>
          <x:t xml:space="preserve"/>
        </x:is>
      </x:c>
      <x:c r="U723" s="8" t="str">
        <x:f>INDEX('서식지_점수'!$E$4:$P$4,1,MATCH(MAX('서식지_점수'!E723:P723),'서식지_점수'!E723:P723,0))</x:f>
        <x:v>동굴</x:v>
      </x:c>
      <x:c r="V723" s="8" t="str">
        <x:f>IF(T723&lt;&gt;"",T723,U723)</x:f>
        <x:v>동굴</x:v>
      </x:c>
      <x:c r="W723" s="8" t="str">
        <x:f>IFERROR(INDEX('서식지_점수'!$E$4:$P$4,1,MATCH(MAXIFS('서식지_점수'!E723:P723,'서식지_점수'!E723:P723,"&lt;"&amp;MAX('서식지_점수'!E723:P723)),'서식지_점수'!E723:P723,0)),"")</x:f>
        <x:v>산악</x:v>
      </x:c>
      <x:c r="X723" s="8" t="str">
        <x:f>IF(T723&lt;&gt;"","수동확정",IF(MAX('서식지_점수'!E723:P723)-LARGE('서식지_점수'!E723:P723,2)&gt;=15,"높음",IF(MAX('서식지_점수'!E723:P723)-LARGE('서식지_점수'!E723:P723,2)&gt;=8,"보통","검토필요")))</x:f>
        <x:v>높음</x:v>
      </x:c>
      <x:c r="Y723" s="9" t="n">
        <x:f>IF(Q723="전설",8,IF(Q723="희귀",7,IF(J723="기본",1,IF(J723="중간",3,IF(J723="최종",IF(I723="",5,IF(I723&lt;=20,3,IF(I723&lt;=35,4,IF(I723&lt;=50,6,7)))),IF(Q723="드묾",4,2))))))</x:f>
        <x:v>8</x:v>
      </x:c>
      <x:c r="Z723" s="5" t="inlineStr">
        <x:is>
          <x:t xml:space="preserve">minecraft:lush_caves</x:t>
        </x:is>
      </x:c>
      <x:c r="AA723" s="5" t="inlineStr">
        <x:is>
          <x:t xml:space="preserve">ultra-rare</x:t>
        </x:is>
      </x:c>
      <x:c r="AB723" s="5" t="inlineStr">
        <x:is>
          <x:t xml:space="preserve">아니오</x:t>
        </x:is>
      </x:c>
      <x:c r="AC723" s="8" t="str">
        <x:f>IF(T723&lt;&gt;"","수동확정",IF(X723="검토필요","검토필요",IF(S723="","원본없음","초기완료")))</x:f>
        <x:v>초기완료</x:v>
      </x:c>
      <x:c r="AD723" s="7" t="inlineStr">
        <x:is>
          <x:t xml:space="preserve"/>
        </x:is>
      </x:c>
      <x:c r="AE723" s="5" t="inlineStr">
        <x:is>
          <x:t xml:space="preserve">.tmp/cobblemon-1.7.3-source/common/src/main/resources/data/cobblemon/species/generation6/diancie.json</x:t>
        </x:is>
      </x:c>
      <x:c r="AF723" s="5" t="str">
        <x:f>"생활권|"&amp;K723</x:f>
        <x:v>생활권|지하</x:v>
      </x:c>
      <x:c r="AG723" s="5" t="str">
        <x:f>"지형|"&amp;L723</x:f>
        <x:v>지형|동굴</x:v>
      </x:c>
      <x:c r="AH723" s="5" t="str">
        <x:f>"온도|"&amp;M723</x:f>
        <x:v>온도|온대</x:v>
      </x:c>
      <x:c r="AI723" s="5" t="str">
        <x:f>"습도|"&amp;N723</x:f>
        <x:v>습도|보통</x:v>
      </x:c>
      <x:c r="AJ723" s="5" t="str">
        <x:f>"날씨|"&amp;O723</x:f>
        <x:v>날씨|무관</x:v>
      </x:c>
      <x:c r="AK723" s="5" t="str">
        <x:f>"특수태그|"&amp;R723</x:f>
        <x:v>특수태그|전설</x:v>
      </x:c>
      <x:c r="AL723" s="5" t="str">
        <x:f>"원본서식지|"&amp;S723</x:f>
        <x:v>원본서식지|동굴</x:v>
      </x:c>
      <x:c r="AM723" s="5" t="str">
        <x:f>"타입|"&amp;F723</x:f>
        <x:v>타입|바위</x:v>
      </x:c>
      <x:c r="AN723" s="5" t="str">
        <x:f>"타입|"&amp;G723</x:f>
        <x:v>타입|페어리</x:v>
      </x:c>
    </x:row>
    <x:row r="724" ht="24" customHeight="1">
      <x:c r="A724" s="5" t="n">
        <x:v>720</x:v>
      </x:c>
      <x:c r="B724" s="5" t="inlineStr">
        <x:is>
          <x:t xml:space="preserve">후파</x:t>
        </x:is>
      </x:c>
      <x:c r="C724" s="5" t="inlineStr">
        <x:is>
          <x:t xml:space="preserve">hoopa</x:t>
        </x:is>
      </x:c>
      <x:c r="D724" s="5" t="inlineStr">
        <x:is>
          <x:t xml:space="preserve">Hoopa</x:t>
        </x:is>
      </x:c>
      <x:c r="E724" s="5" t="n">
        <x:v>6</x:v>
      </x:c>
      <x:c r="F724" s="5" t="inlineStr">
        <x:is>
          <x:t xml:space="preserve">에스퍼</x:t>
        </x:is>
      </x:c>
      <x:c r="G724" s="5" t="inlineStr">
        <x:is>
          <x:t xml:space="preserve">고스트</x:t>
        </x:is>
      </x:c>
      <x:c r="H724" s="6" t="n">
        <x:v>9</x:v>
      </x:c>
      <x:c r="I724" s="5" t="n"/>
      <x:c r="J724" s="5" t="inlineStr">
        <x:is>
          <x:t xml:space="preserve">무진화</x:t>
        </x:is>
      </x:c>
      <x:c r="K724" s="7" t="inlineStr">
        <x:is>
          <x:t xml:space="preserve">영체</x:t>
        </x:is>
      </x:c>
      <x:c r="L724" s="7" t="inlineStr">
        <x:is>
          <x:t xml:space="preserve">특수</x:t>
        </x:is>
      </x:c>
      <x:c r="M724" s="7" t="inlineStr">
        <x:is>
          <x:t xml:space="preserve">온대</x:t>
        </x:is>
      </x:c>
      <x:c r="N724" s="7" t="inlineStr">
        <x:is>
          <x:t xml:space="preserve">보통</x:t>
        </x:is>
      </x:c>
      <x:c r="O724" s="7" t="inlineStr">
        <x:is>
          <x:t xml:space="preserve">안개</x:t>
        </x:is>
      </x:c>
      <x:c r="P724" s="7" t="inlineStr">
        <x:is>
          <x:t xml:space="preserve">밤</x:t>
        </x:is>
      </x:c>
      <x:c r="Q724" s="7" t="inlineStr">
        <x:is>
          <x:t xml:space="preserve">전설</x:t>
        </x:is>
      </x:c>
      <x:c r="R724" s="7" t="inlineStr">
        <x:is>
          <x:t xml:space="preserve">전설</x:t>
        </x:is>
      </x:c>
      <x:c r="S724" s="7" t="inlineStr">
        <x:is>
          <x:t xml:space="preserve"/>
        </x:is>
      </x:c>
      <x:c r="T724" s="7" t="inlineStr">
        <x:is>
          <x:t xml:space="preserve"/>
        </x:is>
      </x:c>
      <x:c r="U724" s="8" t="str">
        <x:f>INDEX('서식지_점수'!$E$4:$P$4,1,MATCH(MAX('서식지_점수'!E724:P724),'서식지_점수'!E724:P724,0))</x:f>
        <x:v>특수</x:v>
      </x:c>
      <x:c r="V724" s="8" t="str">
        <x:f>IF(T724&lt;&gt;"",T724,U724)</x:f>
        <x:v>특수</x:v>
      </x:c>
      <x:c r="W724" s="8" t="str">
        <x:f>IFERROR(INDEX('서식지_점수'!$E$4:$P$4,1,MATCH(MAXIFS('서식지_점수'!E724:P724,'서식지_점수'!E724:P724,"&lt;"&amp;MAX('서식지_점수'!E724:P724)),'서식지_점수'!E724:P724,0)),"")</x:f>
        <x:v>동굴</x:v>
      </x:c>
      <x:c r="X724" s="8" t="str">
        <x:f>IF(T724&lt;&gt;"","수동확정",IF(MAX('서식지_점수'!E724:P724)-LARGE('서식지_점수'!E724:P724,2)&gt;=15,"높음",IF(MAX('서식지_점수'!E724:P724)-LARGE('서식지_점수'!E724:P724,2)&gt;=8,"보통","검토필요")))</x:f>
        <x:v>높음</x:v>
      </x:c>
      <x:c r="Y724" s="9" t="n">
        <x:f>IF(Q724="전설",8,IF(Q724="희귀",7,IF(J724="기본",1,IF(J724="중간",3,IF(J724="최종",IF(I724="",5,IF(I724&lt;=20,3,IF(I724&lt;=35,4,IF(I724&lt;=50,6,7)))),IF(Q724="드묾",4,2))))))</x:f>
        <x:v>8</x:v>
      </x:c>
      <x:c r="Z724" s="5" t="inlineStr">
        <x:is>
          <x:t xml:space="preserve">#cobblemon:is_end</x:t>
        </x:is>
      </x:c>
      <x:c r="AA724" s="5" t="inlineStr">
        <x:is>
          <x:t xml:space="preserve">ultra-rare</x:t>
        </x:is>
      </x:c>
      <x:c r="AB724" s="5" t="inlineStr">
        <x:is>
          <x:t xml:space="preserve">아니오</x:t>
        </x:is>
      </x:c>
      <x:c r="AC724" s="8" t="str">
        <x:f>IF(T724&lt;&gt;"","수동확정",IF(X724="검토필요","검토필요",IF(S724="","원본없음","초기완료")))</x:f>
        <x:v>원본없음</x:v>
      </x:c>
      <x:c r="AD724" s="7" t="inlineStr">
        <x:is>
          <x:t xml:space="preserve"/>
        </x:is>
      </x:c>
      <x:c r="AE724" s="5" t="inlineStr">
        <x:is>
          <x:t xml:space="preserve">.tmp/cobblemon-1.7.3-source/common/src/main/resources/data/cobblemon/species/generation6/hoopa.json</x:t>
        </x:is>
      </x:c>
      <x:c r="AF724" s="5" t="str">
        <x:f>"생활권|"&amp;K724</x:f>
        <x:v>생활권|영체</x:v>
      </x:c>
      <x:c r="AG724" s="5" t="str">
        <x:f>"지형|"&amp;L724</x:f>
        <x:v>지형|특수</x:v>
      </x:c>
      <x:c r="AH724" s="5" t="str">
        <x:f>"온도|"&amp;M724</x:f>
        <x:v>온도|온대</x:v>
      </x:c>
      <x:c r="AI724" s="5" t="str">
        <x:f>"습도|"&amp;N724</x:f>
        <x:v>습도|보통</x:v>
      </x:c>
      <x:c r="AJ724" s="5" t="str">
        <x:f>"날씨|"&amp;O724</x:f>
        <x:v>날씨|안개</x:v>
      </x:c>
      <x:c r="AK724" s="5" t="str">
        <x:f>"특수태그|"&amp;R724</x:f>
        <x:v>특수태그|전설</x:v>
      </x:c>
      <x:c r="AL724" s="5" t="str">
        <x:f>"원본서식지|"&amp;S724</x:f>
        <x:v>원본서식지|</x:v>
      </x:c>
      <x:c r="AM724" s="5" t="str">
        <x:f>"타입|"&amp;F724</x:f>
        <x:v>타입|에스퍼</x:v>
      </x:c>
      <x:c r="AN724" s="5" t="str">
        <x:f>"타입|"&amp;G724</x:f>
        <x:v>타입|고스트</x:v>
      </x:c>
    </x:row>
    <x:row r="725" ht="24" customHeight="1">
      <x:c r="A725" s="5" t="n">
        <x:v>721</x:v>
      </x:c>
      <x:c r="B725" s="5" t="inlineStr">
        <x:is>
          <x:t xml:space="preserve">볼케니온</x:t>
        </x:is>
      </x:c>
      <x:c r="C725" s="5" t="inlineStr">
        <x:is>
          <x:t xml:space="preserve">volcanion</x:t>
        </x:is>
      </x:c>
      <x:c r="D725" s="5" t="inlineStr">
        <x:is>
          <x:t xml:space="preserve">Volcanion</x:t>
        </x:is>
      </x:c>
      <x:c r="E725" s="5" t="n">
        <x:v>6</x:v>
      </x:c>
      <x:c r="F725" s="5" t="inlineStr">
        <x:is>
          <x:t xml:space="preserve">불꽃</x:t>
        </x:is>
      </x:c>
      <x:c r="G725" s="5" t="inlineStr">
        <x:is>
          <x:t xml:space="preserve">물</x:t>
        </x:is>
      </x:c>
      <x:c r="H725" s="6" t="n">
        <x:v>195</x:v>
      </x:c>
      <x:c r="I725" s="5" t="n"/>
      <x:c r="J725" s="5" t="inlineStr">
        <x:is>
          <x:t xml:space="preserve">무진화</x:t>
        </x:is>
      </x:c>
      <x:c r="K725" s="7" t="inlineStr">
        <x:is>
          <x:t xml:space="preserve">수륙</x:t>
        </x:is>
      </x:c>
      <x:c r="L725" s="7" t="inlineStr">
        <x:is>
          <x:t xml:space="preserve">암석</x:t>
        </x:is>
      </x:c>
      <x:c r="M725" s="7" t="inlineStr">
        <x:is>
          <x:t xml:space="preserve">고온</x:t>
        </x:is>
      </x:c>
      <x:c r="N725" s="7" t="inlineStr">
        <x:is>
          <x:t xml:space="preserve">보통</x:t>
        </x:is>
      </x:c>
      <x:c r="O725" s="7" t="inlineStr">
        <x:is>
          <x:t xml:space="preserve">무관</x:t>
        </x:is>
      </x:c>
      <x:c r="P725" s="7" t="inlineStr">
        <x:is>
          <x:t xml:space="preserve">무관</x:t>
        </x:is>
      </x:c>
      <x:c r="Q725" s="7" t="inlineStr">
        <x:is>
          <x:t xml:space="preserve">전설</x:t>
        </x:is>
      </x:c>
      <x:c r="R725" s="7" t="inlineStr">
        <x:is>
          <x:t xml:space="preserve">전설</x:t>
        </x:is>
      </x:c>
      <x:c r="S725" s="7" t="inlineStr">
        <x:is>
          <x:t xml:space="preserve">산악</x:t>
        </x:is>
      </x:c>
      <x:c r="T725" s="7" t="inlineStr">
        <x:is>
          <x:t xml:space="preserve"/>
        </x:is>
      </x:c>
      <x:c r="U725" s="8" t="str">
        <x:f>INDEX('서식지_점수'!$E$4:$P$4,1,MATCH(MAX('서식지_점수'!E725:P725),'서식지_점수'!E725:P725,0))</x:f>
        <x:v>습지</x:v>
      </x:c>
      <x:c r="V725" s="8" t="str">
        <x:f>IF(T725&lt;&gt;"",T725,U725)</x:f>
        <x:v>습지</x:v>
      </x:c>
      <x:c r="W725" s="8" t="str">
        <x:f>IFERROR(INDEX('서식지_점수'!$E$4:$P$4,1,MATCH(MAXIFS('서식지_점수'!E725:P725,'서식지_점수'!E725:P725,"&lt;"&amp;MAX('서식지_점수'!E725:P725)),'서식지_점수'!E725:P725,0)),"")</x:f>
        <x:v>담수</x:v>
      </x:c>
      <x:c r="X725" s="8" t="str">
        <x:f>IF(T725&lt;&gt;"","수동확정",IF(MAX('서식지_점수'!E725:P725)-LARGE('서식지_점수'!E725:P725,2)&gt;=15,"높음",IF(MAX('서식지_점수'!E725:P725)-LARGE('서식지_점수'!E725:P725,2)&gt;=8,"보통","검토필요")))</x:f>
        <x:v>검토필요</x:v>
      </x:c>
      <x:c r="Y725" s="9" t="n">
        <x:f>IF(Q725="전설",8,IF(Q725="희귀",7,IF(J725="기본",1,IF(J725="중간",3,IF(J725="최종",IF(I725="",5,IF(I725&lt;=20,3,IF(I725&lt;=35,4,IF(I725&lt;=50,6,7)))),IF(Q725="드묾",4,2))))))</x:f>
        <x:v>8</x:v>
      </x:c>
      <x:c r="Z725" s="5" t="inlineStr">
        <x:is>
          <x:t xml:space="preserve">#cobblemon:is_mountain</x:t>
        </x:is>
      </x:c>
      <x:c r="AA725" s="5" t="inlineStr">
        <x:is>
          <x:t xml:space="preserve">ultra-rare</x:t>
        </x:is>
      </x:c>
      <x:c r="AB725" s="5" t="inlineStr">
        <x:is>
          <x:t xml:space="preserve">아니오</x:t>
        </x:is>
      </x:c>
      <x:c r="AC725" s="8" t="str">
        <x:f>IF(T725&lt;&gt;"","수동확정",IF(X725="검토필요","검토필요",IF(S725="","원본없음","초기완료")))</x:f>
        <x:v>검토필요</x:v>
      </x:c>
      <x:c r="AD725" s="7" t="inlineStr">
        <x:is>
          <x:t xml:space="preserve"/>
        </x:is>
      </x:c>
      <x:c r="AE725" s="5" t="inlineStr">
        <x:is>
          <x:t xml:space="preserve">.tmp/cobblemon-1.7.3-source/common/src/main/resources/data/cobblemon/species/generation6/volcanion.json</x:t>
        </x:is>
      </x:c>
      <x:c r="AF725" s="5" t="str">
        <x:f>"생활권|"&amp;K725</x:f>
        <x:v>생활권|수륙</x:v>
      </x:c>
      <x:c r="AG725" s="5" t="str">
        <x:f>"지형|"&amp;L725</x:f>
        <x:v>지형|암석</x:v>
      </x:c>
      <x:c r="AH725" s="5" t="str">
        <x:f>"온도|"&amp;M725</x:f>
        <x:v>온도|고온</x:v>
      </x:c>
      <x:c r="AI725" s="5" t="str">
        <x:f>"습도|"&amp;N725</x:f>
        <x:v>습도|보통</x:v>
      </x:c>
      <x:c r="AJ725" s="5" t="str">
        <x:f>"날씨|"&amp;O725</x:f>
        <x:v>날씨|무관</x:v>
      </x:c>
      <x:c r="AK725" s="5" t="str">
        <x:f>"특수태그|"&amp;R725</x:f>
        <x:v>특수태그|전설</x:v>
      </x:c>
      <x:c r="AL725" s="5" t="str">
        <x:f>"원본서식지|"&amp;S725</x:f>
        <x:v>원본서식지|산악</x:v>
      </x:c>
      <x:c r="AM725" s="5" t="str">
        <x:f>"타입|"&amp;F725</x:f>
        <x:v>타입|불꽃</x:v>
      </x:c>
      <x:c r="AN725" s="5" t="str">
        <x:f>"타입|"&amp;G725</x:f>
        <x:v>타입|물</x:v>
      </x:c>
    </x:row>
    <x:row r="726" ht="24" customHeight="1">
      <x:c r="A726" s="5" t="n">
        <x:v>722</x:v>
      </x:c>
      <x:c r="B726" s="5" t="inlineStr">
        <x:is>
          <x:t xml:space="preserve">나몰빼미</x:t>
        </x:is>
      </x:c>
      <x:c r="C726" s="5" t="inlineStr">
        <x:is>
          <x:t xml:space="preserve">rowlet</x:t>
        </x:is>
      </x:c>
      <x:c r="D726" s="5" t="inlineStr">
        <x:is>
          <x:t xml:space="preserve">Rowlet</x:t>
        </x:is>
      </x:c>
      <x:c r="E726" s="5" t="n">
        <x:v>7</x:v>
      </x:c>
      <x:c r="F726" s="5" t="inlineStr">
        <x:is>
          <x:t xml:space="preserve">풀</x:t>
        </x:is>
      </x:c>
      <x:c r="G726" s="5" t="inlineStr">
        <x:is>
          <x:t xml:space="preserve">비행</x:t>
        </x:is>
      </x:c>
      <x:c r="H726" s="6" t="n">
        <x:v>1.5</x:v>
      </x:c>
      <x:c r="I726" s="5" t="n">
        <x:v>36</x:v>
      </x:c>
      <x:c r="J726" s="5" t="inlineStr">
        <x:is>
          <x:t xml:space="preserve">기본</x:t>
        </x:is>
      </x:c>
      <x:c r="K726" s="7" t="inlineStr">
        <x:is>
          <x:t xml:space="preserve">비행</x:t>
        </x:is>
      </x:c>
      <x:c r="L726" s="7" t="inlineStr">
        <x:is>
          <x:t xml:space="preserve">수목</x:t>
        </x:is>
      </x:c>
      <x:c r="M726" s="7" t="inlineStr">
        <x:is>
          <x:t xml:space="preserve">서늘</x:t>
        </x:is>
      </x:c>
      <x:c r="N726" s="7" t="inlineStr">
        <x:is>
          <x:t xml:space="preserve">보통</x:t>
        </x:is>
      </x:c>
      <x:c r="O726" s="7" t="inlineStr">
        <x:is>
          <x:t xml:space="preserve">무관</x:t>
        </x:is>
      </x:c>
      <x:c r="P726" s="7" t="inlineStr">
        <x:is>
          <x:t xml:space="preserve">무관</x:t>
        </x:is>
      </x:c>
      <x:c r="Q726" s="7" t="inlineStr">
        <x:is>
          <x:t xml:space="preserve">희귀</x:t>
        </x:is>
      </x:c>
      <x:c r="R726" s="7" t="inlineStr">
        <x:is>
          <x:t xml:space="preserve">없음</x:t>
        </x:is>
      </x:c>
      <x:c r="S726" s="7" t="inlineStr">
        <x:is>
          <x:t xml:space="preserve">숲</x:t>
        </x:is>
      </x:c>
      <x:c r="T726" s="7" t="inlineStr">
        <x:is>
          <x:t xml:space="preserve"/>
        </x:is>
      </x:c>
      <x:c r="U726" s="8" t="str">
        <x:f>INDEX('서식지_점수'!$E$4:$P$4,1,MATCH(MAX('서식지_점수'!E726:P726),'서식지_점수'!E726:P726,0))</x:f>
        <x:v>산악</x:v>
      </x:c>
      <x:c r="V726" s="8" t="str">
        <x:f>IF(T726&lt;&gt;"",T726,U726)</x:f>
        <x:v>산악</x:v>
      </x:c>
      <x:c r="W726" s="8" t="str">
        <x:f>IFERROR(INDEX('서식지_점수'!$E$4:$P$4,1,MATCH(MAXIFS('서식지_점수'!E726:P726,'서식지_점수'!E726:P726,"&lt;"&amp;MAX('서식지_점수'!E726:P726)),'서식지_점수'!E726:P726,0)),"")</x:f>
        <x:v>평원</x:v>
      </x:c>
      <x:c r="X726" s="8" t="str">
        <x:f>IF(T726&lt;&gt;"","수동확정",IF(MAX('서식지_점수'!E726:P726)-LARGE('서식지_점수'!E726:P726,2)&gt;=15,"높음",IF(MAX('서식지_점수'!E726:P726)-LARGE('서식지_점수'!E726:P726,2)&gt;=8,"보통","검토필요")))</x:f>
        <x:v>검토필요</x:v>
      </x:c>
      <x:c r="Y726" s="9" t="n">
        <x:f>IF(Q726="전설",8,IF(Q726="희귀",7,IF(J726="기본",1,IF(J726="중간",3,IF(J726="최종",IF(I726="",5,IF(I726&lt;=20,3,IF(I726&lt;=35,4,IF(I726&lt;=50,6,7)))),IF(Q726="드묾",4,2))))))</x:f>
        <x:v>7</x:v>
      </x:c>
      <x:c r="Z726" s="5" t="inlineStr">
        <x:is>
          <x:t xml:space="preserve">#cobblemon:is_forest; #cobblemon:is_snowy_forest; #cobblemon:is_snowy_taiga; #cobblemon:is_taiga; aether:skyroot_forest; aether:skyroot_woodland</x:t>
        </x:is>
      </x:c>
      <x:c r="AA726" s="5" t="inlineStr">
        <x:is>
          <x:t xml:space="preserve">ultra-rare</x:t>
        </x:is>
      </x:c>
      <x:c r="AB726" s="5" t="inlineStr">
        <x:is>
          <x:t xml:space="preserve">예</x:t>
        </x:is>
      </x:c>
      <x:c r="AC726" s="8" t="str">
        <x:f>IF(T726&lt;&gt;"","수동확정",IF(X726="검토필요","검토필요",IF(S726="","원본없음","초기완료")))</x:f>
        <x:v>검토필요</x:v>
      </x:c>
      <x:c r="AD726" s="7" t="inlineStr">
        <x:is>
          <x:t xml:space="preserve"/>
        </x:is>
      </x:c>
      <x:c r="AE726" s="5" t="inlineStr">
        <x:is>
          <x:t xml:space="preserve">.tmp/cobblemon-1.7.3-source/common/src/main/resources/data/cobblemon/species/generation7/rowlet.json</x:t>
        </x:is>
      </x:c>
      <x:c r="AF726" s="5" t="str">
        <x:f>"생활권|"&amp;K726</x:f>
        <x:v>생활권|비행</x:v>
      </x:c>
      <x:c r="AG726" s="5" t="str">
        <x:f>"지형|"&amp;L726</x:f>
        <x:v>지형|수목</x:v>
      </x:c>
      <x:c r="AH726" s="5" t="str">
        <x:f>"온도|"&amp;M726</x:f>
        <x:v>온도|서늘</x:v>
      </x:c>
      <x:c r="AI726" s="5" t="str">
        <x:f>"습도|"&amp;N726</x:f>
        <x:v>습도|보통</x:v>
      </x:c>
      <x:c r="AJ726" s="5" t="str">
        <x:f>"날씨|"&amp;O726</x:f>
        <x:v>날씨|무관</x:v>
      </x:c>
      <x:c r="AK726" s="5" t="str">
        <x:f>"특수태그|"&amp;R726</x:f>
        <x:v>특수태그|없음</x:v>
      </x:c>
      <x:c r="AL726" s="5" t="str">
        <x:f>"원본서식지|"&amp;S726</x:f>
        <x:v>원본서식지|숲</x:v>
      </x:c>
      <x:c r="AM726" s="5" t="str">
        <x:f>"타입|"&amp;F726</x:f>
        <x:v>타입|풀</x:v>
      </x:c>
      <x:c r="AN726" s="5" t="str">
        <x:f>"타입|"&amp;G726</x:f>
        <x:v>타입|비행</x:v>
      </x:c>
    </x:row>
    <x:row r="727" ht="24" customHeight="1">
      <x:c r="A727" s="5" t="n">
        <x:v>723</x:v>
      </x:c>
      <x:c r="B727" s="5" t="inlineStr">
        <x:is>
          <x:t xml:space="preserve">빼미스로우</x:t>
        </x:is>
      </x:c>
      <x:c r="C727" s="5" t="inlineStr">
        <x:is>
          <x:t xml:space="preserve">dartrix</x:t>
        </x:is>
      </x:c>
      <x:c r="D727" s="5" t="inlineStr">
        <x:is>
          <x:t xml:space="preserve">Dartrix</x:t>
        </x:is>
      </x:c>
      <x:c r="E727" s="5" t="n">
        <x:v>7</x:v>
      </x:c>
      <x:c r="F727" s="5" t="inlineStr">
        <x:is>
          <x:t xml:space="preserve">풀</x:t>
        </x:is>
      </x:c>
      <x:c r="G727" s="5" t="inlineStr">
        <x:is>
          <x:t xml:space="preserve">비행</x:t>
        </x:is>
      </x:c>
      <x:c r="H727" s="6" t="n">
        <x:v>16</x:v>
      </x:c>
      <x:c r="I727" s="5" t="n">
        <x:v>36</x:v>
      </x:c>
      <x:c r="J727" s="5" t="inlineStr">
        <x:is>
          <x:t xml:space="preserve">중간</x:t>
        </x:is>
      </x:c>
      <x:c r="K727" s="7" t="inlineStr">
        <x:is>
          <x:t xml:space="preserve">비행</x:t>
        </x:is>
      </x:c>
      <x:c r="L727" s="7" t="inlineStr">
        <x:is>
          <x:t xml:space="preserve">수목</x:t>
        </x:is>
      </x:c>
      <x:c r="M727" s="7" t="inlineStr">
        <x:is>
          <x:t xml:space="preserve">서늘</x:t>
        </x:is>
      </x:c>
      <x:c r="N727" s="7" t="inlineStr">
        <x:is>
          <x:t xml:space="preserve">보통</x:t>
        </x:is>
      </x:c>
      <x:c r="O727" s="7" t="inlineStr">
        <x:is>
          <x:t xml:space="preserve">무관</x:t>
        </x:is>
      </x:c>
      <x:c r="P727" s="7" t="inlineStr">
        <x:is>
          <x:t xml:space="preserve">무관</x:t>
        </x:is>
      </x:c>
      <x:c r="Q727" s="7" t="inlineStr">
        <x:is>
          <x:t xml:space="preserve">희귀</x:t>
        </x:is>
      </x:c>
      <x:c r="R727" s="7" t="inlineStr">
        <x:is>
          <x:t xml:space="preserve">없음</x:t>
        </x:is>
      </x:c>
      <x:c r="S727" s="7" t="inlineStr">
        <x:is>
          <x:t xml:space="preserve">숲</x:t>
        </x:is>
      </x:c>
      <x:c r="T727" s="7" t="inlineStr">
        <x:is>
          <x:t xml:space="preserve"/>
        </x:is>
      </x:c>
      <x:c r="U727" s="8" t="str">
        <x:f>INDEX('서식지_점수'!$E$4:$P$4,1,MATCH(MAX('서식지_점수'!E727:P727),'서식지_점수'!E727:P727,0))</x:f>
        <x:v>산악</x:v>
      </x:c>
      <x:c r="V727" s="8" t="str">
        <x:f>IF(T727&lt;&gt;"",T727,U727)</x:f>
        <x:v>산악</x:v>
      </x:c>
      <x:c r="W727" s="8" t="str">
        <x:f>IFERROR(INDEX('서식지_점수'!$E$4:$P$4,1,MATCH(MAXIFS('서식지_점수'!E727:P727,'서식지_점수'!E727:P727,"&lt;"&amp;MAX('서식지_점수'!E727:P727)),'서식지_점수'!E727:P727,0)),"")</x:f>
        <x:v>평원</x:v>
      </x:c>
      <x:c r="X727" s="8" t="str">
        <x:f>IF(T727&lt;&gt;"","수동확정",IF(MAX('서식지_점수'!E727:P727)-LARGE('서식지_점수'!E727:P727,2)&gt;=15,"높음",IF(MAX('서식지_점수'!E727:P727)-LARGE('서식지_점수'!E727:P727,2)&gt;=8,"보통","검토필요")))</x:f>
        <x:v>검토필요</x:v>
      </x:c>
      <x:c r="Y727" s="9" t="n">
        <x:f>IF(Q727="전설",8,IF(Q727="희귀",7,IF(J727="기본",1,IF(J727="중간",3,IF(J727="최종",IF(I727="",5,IF(I727&lt;=20,3,IF(I727&lt;=35,4,IF(I727&lt;=50,6,7)))),IF(Q727="드묾",4,2))))))</x:f>
        <x:v>7</x:v>
      </x:c>
      <x:c r="Z727" s="5" t="inlineStr">
        <x:is>
          <x:t xml:space="preserve">#cobblemon:is_forest; #cobblemon:is_snowy_forest; #cobblemon:is_snowy_taiga; #cobblemon:is_taiga; aether:skyroot_forest; aether:skyroot_woodland</x:t>
        </x:is>
      </x:c>
      <x:c r="AA727" s="5" t="inlineStr">
        <x:is>
          <x:t xml:space="preserve">ultra-rare</x:t>
        </x:is>
      </x:c>
      <x:c r="AB727" s="5" t="inlineStr">
        <x:is>
          <x:t xml:space="preserve">예</x:t>
        </x:is>
      </x:c>
      <x:c r="AC727" s="8" t="str">
        <x:f>IF(T727&lt;&gt;"","수동확정",IF(X727="검토필요","검토필요",IF(S727="","원본없음","초기완료")))</x:f>
        <x:v>검토필요</x:v>
      </x:c>
      <x:c r="AD727" s="7" t="inlineStr">
        <x:is>
          <x:t xml:space="preserve"/>
        </x:is>
      </x:c>
      <x:c r="AE727" s="5" t="inlineStr">
        <x:is>
          <x:t xml:space="preserve">.tmp/cobblemon-1.7.3-source/common/src/main/resources/data/cobblemon/species/generation7/dartrix.json</x:t>
        </x:is>
      </x:c>
      <x:c r="AF727" s="5" t="str">
        <x:f>"생활권|"&amp;K727</x:f>
        <x:v>생활권|비행</x:v>
      </x:c>
      <x:c r="AG727" s="5" t="str">
        <x:f>"지형|"&amp;L727</x:f>
        <x:v>지형|수목</x:v>
      </x:c>
      <x:c r="AH727" s="5" t="str">
        <x:f>"온도|"&amp;M727</x:f>
        <x:v>온도|서늘</x:v>
      </x:c>
      <x:c r="AI727" s="5" t="str">
        <x:f>"습도|"&amp;N727</x:f>
        <x:v>습도|보통</x:v>
      </x:c>
      <x:c r="AJ727" s="5" t="str">
        <x:f>"날씨|"&amp;O727</x:f>
        <x:v>날씨|무관</x:v>
      </x:c>
      <x:c r="AK727" s="5" t="str">
        <x:f>"특수태그|"&amp;R727</x:f>
        <x:v>특수태그|없음</x:v>
      </x:c>
      <x:c r="AL727" s="5" t="str">
        <x:f>"원본서식지|"&amp;S727</x:f>
        <x:v>원본서식지|숲</x:v>
      </x:c>
      <x:c r="AM727" s="5" t="str">
        <x:f>"타입|"&amp;F727</x:f>
        <x:v>타입|풀</x:v>
      </x:c>
      <x:c r="AN727" s="5" t="str">
        <x:f>"타입|"&amp;G727</x:f>
        <x:v>타입|비행</x:v>
      </x:c>
    </x:row>
    <x:row r="728" ht="24" customHeight="1">
      <x:c r="A728" s="5" t="n">
        <x:v>724</x:v>
      </x:c>
      <x:c r="B728" s="5" t="inlineStr">
        <x:is>
          <x:t xml:space="preserve">모크나이퍼</x:t>
        </x:is>
      </x:c>
      <x:c r="C728" s="5" t="inlineStr">
        <x:is>
          <x:t xml:space="preserve">decidueye</x:t>
        </x:is>
      </x:c>
      <x:c r="D728" s="5" t="inlineStr">
        <x:is>
          <x:t xml:space="preserve">Decidueye</x:t>
        </x:is>
      </x:c>
      <x:c r="E728" s="5" t="n">
        <x:v>7</x:v>
      </x:c>
      <x:c r="F728" s="5" t="inlineStr">
        <x:is>
          <x:t xml:space="preserve">풀</x:t>
        </x:is>
      </x:c>
      <x:c r="G728" s="5" t="inlineStr">
        <x:is>
          <x:t xml:space="preserve">고스트</x:t>
        </x:is>
      </x:c>
      <x:c r="H728" s="6" t="n">
        <x:v>36.6</x:v>
      </x:c>
      <x:c r="I728" s="5" t="n">
        <x:v>36</x:v>
      </x:c>
      <x:c r="J728" s="5" t="inlineStr">
        <x:is>
          <x:t xml:space="preserve">최종</x:t>
        </x:is>
      </x:c>
      <x:c r="K728" s="7" t="inlineStr">
        <x:is>
          <x:t xml:space="preserve">비행</x:t>
        </x:is>
      </x:c>
      <x:c r="L728" s="7" t="inlineStr">
        <x:is>
          <x:t xml:space="preserve">수목</x:t>
        </x:is>
      </x:c>
      <x:c r="M728" s="7" t="inlineStr">
        <x:is>
          <x:t xml:space="preserve">서늘</x:t>
        </x:is>
      </x:c>
      <x:c r="N728" s="7" t="inlineStr">
        <x:is>
          <x:t xml:space="preserve">보통</x:t>
        </x:is>
      </x:c>
      <x:c r="O728" s="7" t="inlineStr">
        <x:is>
          <x:t xml:space="preserve">안개</x:t>
        </x:is>
      </x:c>
      <x:c r="P728" s="7" t="inlineStr">
        <x:is>
          <x:t xml:space="preserve">밤</x:t>
        </x:is>
      </x:c>
      <x:c r="Q728" s="7" t="inlineStr">
        <x:is>
          <x:t xml:space="preserve">희귀</x:t>
        </x:is>
      </x:c>
      <x:c r="R728" s="7" t="inlineStr">
        <x:is>
          <x:t xml:space="preserve">영체</x:t>
        </x:is>
      </x:c>
      <x:c r="S728" s="7" t="inlineStr">
        <x:is>
          <x:t xml:space="preserve">숲</x:t>
        </x:is>
      </x:c>
      <x:c r="T728" s="7" t="inlineStr">
        <x:is>
          <x:t xml:space="preserve"/>
        </x:is>
      </x:c>
      <x:c r="U728" s="8" t="str">
        <x:f>INDEX('서식지_점수'!$E$4:$P$4,1,MATCH(MAX('서식지_점수'!E728:P728),'서식지_점수'!E728:P728,0))</x:f>
        <x:v>산악</x:v>
      </x:c>
      <x:c r="V728" s="8" t="str">
        <x:f>IF(T728&lt;&gt;"",T728,U728)</x:f>
        <x:v>산악</x:v>
      </x:c>
      <x:c r="W728" s="8" t="str">
        <x:f>IFERROR(INDEX('서식지_점수'!$E$4:$P$4,1,MATCH(MAXIFS('서식지_점수'!E728:P728,'서식지_점수'!E728:P728,"&lt;"&amp;MAX('서식지_점수'!E728:P728)),'서식지_점수'!E728:P728,0)),"")</x:f>
        <x:v>평원</x:v>
      </x:c>
      <x:c r="X728" s="8" t="str">
        <x:f>IF(T728&lt;&gt;"","수동확정",IF(MAX('서식지_점수'!E728:P728)-LARGE('서식지_점수'!E728:P728,2)&gt;=15,"높음",IF(MAX('서식지_점수'!E728:P728)-LARGE('서식지_점수'!E728:P728,2)&gt;=8,"보통","검토필요")))</x:f>
        <x:v>검토필요</x:v>
      </x:c>
      <x:c r="Y728" s="9" t="n">
        <x:f>IF(Q728="전설",8,IF(Q728="희귀",7,IF(J728="기본",1,IF(J728="중간",3,IF(J728="최종",IF(I728="",5,IF(I728&lt;=20,3,IF(I728&lt;=35,4,IF(I728&lt;=50,6,7)))),IF(Q728="드묾",4,2))))))</x:f>
        <x:v>7</x:v>
      </x:c>
      <x:c r="Z728" s="5" t="inlineStr">
        <x:is>
          <x:t xml:space="preserve">#cobblemon:is_forest; #cobblemon:is_snowy_forest; #cobblemon:is_snowy_taiga; #cobblemon:is_taiga; aether:skyroot_forest; aether:skyroot_woodland</x:t>
        </x:is>
      </x:c>
      <x:c r="AA728" s="5" t="inlineStr">
        <x:is>
          <x:t xml:space="preserve">ultra-rare</x:t>
        </x:is>
      </x:c>
      <x:c r="AB728" s="5" t="inlineStr">
        <x:is>
          <x:t xml:space="preserve">예</x:t>
        </x:is>
      </x:c>
      <x:c r="AC728" s="8" t="str">
        <x:f>IF(T728&lt;&gt;"","수동확정",IF(X728="검토필요","검토필요",IF(S728="","원본없음","초기완료")))</x:f>
        <x:v>검토필요</x:v>
      </x:c>
      <x:c r="AD728" s="7" t="inlineStr">
        <x:is>
          <x:t xml:space="preserve"/>
        </x:is>
      </x:c>
      <x:c r="AE728" s="5" t="inlineStr">
        <x:is>
          <x:t xml:space="preserve">.tmp/cobblemon-1.7.3-source/common/src/main/resources/data/cobblemon/species/generation7/decidueye.json</x:t>
        </x:is>
      </x:c>
      <x:c r="AF728" s="5" t="str">
        <x:f>"생활권|"&amp;K728</x:f>
        <x:v>생활권|비행</x:v>
      </x:c>
      <x:c r="AG728" s="5" t="str">
        <x:f>"지형|"&amp;L728</x:f>
        <x:v>지형|수목</x:v>
      </x:c>
      <x:c r="AH728" s="5" t="str">
        <x:f>"온도|"&amp;M728</x:f>
        <x:v>온도|서늘</x:v>
      </x:c>
      <x:c r="AI728" s="5" t="str">
        <x:f>"습도|"&amp;N728</x:f>
        <x:v>습도|보통</x:v>
      </x:c>
      <x:c r="AJ728" s="5" t="str">
        <x:f>"날씨|"&amp;O728</x:f>
        <x:v>날씨|안개</x:v>
      </x:c>
      <x:c r="AK728" s="5" t="str">
        <x:f>"특수태그|"&amp;R728</x:f>
        <x:v>특수태그|영체</x:v>
      </x:c>
      <x:c r="AL728" s="5" t="str">
        <x:f>"원본서식지|"&amp;S728</x:f>
        <x:v>원본서식지|숲</x:v>
      </x:c>
      <x:c r="AM728" s="5" t="str">
        <x:f>"타입|"&amp;F728</x:f>
        <x:v>타입|풀</x:v>
      </x:c>
      <x:c r="AN728" s="5" t="str">
        <x:f>"타입|"&amp;G728</x:f>
        <x:v>타입|고스트</x:v>
      </x:c>
    </x:row>
    <x:row r="729" ht="24" customHeight="1">
      <x:c r="A729" s="5" t="n">
        <x:v>725</x:v>
      </x:c>
      <x:c r="B729" s="5" t="inlineStr">
        <x:is>
          <x:t xml:space="preserve">냐오불</x:t>
        </x:is>
      </x:c>
      <x:c r="C729" s="5" t="inlineStr">
        <x:is>
          <x:t xml:space="preserve">litten</x:t>
        </x:is>
      </x:c>
      <x:c r="D729" s="5" t="inlineStr">
        <x:is>
          <x:t xml:space="preserve">Litten</x:t>
        </x:is>
      </x:c>
      <x:c r="E729" s="5" t="n">
        <x:v>7</x:v>
      </x:c>
      <x:c r="F729" s="5" t="inlineStr">
        <x:is>
          <x:t xml:space="preserve">불꽃</x:t>
        </x:is>
      </x:c>
      <x:c r="G729" s="5" t="inlineStr">
        <x:is>
          <x:t xml:space="preserve"/>
        </x:is>
      </x:c>
      <x:c r="H729" s="6" t="n">
        <x:v>4.3</x:v>
      </x:c>
      <x:c r="I729" s="5" t="n">
        <x:v>34</x:v>
      </x:c>
      <x:c r="J729" s="5" t="inlineStr">
        <x:is>
          <x:t xml:space="preserve">기본</x:t>
        </x:is>
      </x:c>
      <x:c r="K729" s="7" t="inlineStr">
        <x:is>
          <x:t xml:space="preserve">육상</x:t>
        </x:is>
      </x:c>
      <x:c r="L729" s="7" t="inlineStr">
        <x:is>
          <x:t xml:space="preserve">수목</x:t>
        </x:is>
      </x:c>
      <x:c r="M729" s="7" t="inlineStr">
        <x:is>
          <x:t xml:space="preserve">고온</x:t>
        </x:is>
      </x:c>
      <x:c r="N729" s="7" t="inlineStr">
        <x:is>
          <x:t xml:space="preserve">다습</x:t>
        </x:is>
      </x:c>
      <x:c r="O729" s="7" t="inlineStr">
        <x:is>
          <x:t xml:space="preserve">무관</x:t>
        </x:is>
      </x:c>
      <x:c r="P729" s="7" t="inlineStr">
        <x:is>
          <x:t xml:space="preserve">무관</x:t>
        </x:is>
      </x:c>
      <x:c r="Q729" s="7" t="inlineStr">
        <x:is>
          <x:t xml:space="preserve">희귀</x:t>
        </x:is>
      </x:c>
      <x:c r="R729" s="7" t="inlineStr">
        <x:is>
          <x:t xml:space="preserve">없음</x:t>
        </x:is>
      </x:c>
      <x:c r="S729" s="7" t="inlineStr">
        <x:is>
          <x:t xml:space="preserve">숲</x:t>
        </x:is>
      </x:c>
      <x:c r="T729" s="7" t="inlineStr">
        <x:is>
          <x:t xml:space="preserve"/>
        </x:is>
      </x:c>
      <x:c r="U729" s="8" t="str">
        <x:f>INDEX('서식지_점수'!$E$4:$P$4,1,MATCH(MAX('서식지_점수'!E729:P729),'서식지_점수'!E729:P729,0))</x:f>
        <x:v>평원</x:v>
      </x:c>
      <x:c r="V729" s="8" t="str">
        <x:f>IF(T729&lt;&gt;"",T729,U729)</x:f>
        <x:v>평원</x:v>
      </x:c>
      <x:c r="W729" s="8" t="str">
        <x:f>IFERROR(INDEX('서식지_점수'!$E$4:$P$4,1,MATCH(MAXIFS('서식지_점수'!E729:P729,'서식지_점수'!E729:P729,"&lt;"&amp;MAX('서식지_점수'!E729:P729)),'서식지_점수'!E729:P729,0)),"")</x:f>
        <x:v>숲</x:v>
      </x:c>
      <x:c r="X729" s="8" t="str">
        <x:f>IF(T729&lt;&gt;"","수동확정",IF(MAX('서식지_점수'!E729:P729)-LARGE('서식지_점수'!E729:P729,2)&gt;=15,"높음",IF(MAX('서식지_점수'!E729:P729)-LARGE('서식지_점수'!E729:P729,2)&gt;=8,"보통","검토필요")))</x:f>
        <x:v>검토필요</x:v>
      </x:c>
      <x:c r="Y729" s="9" t="n">
        <x:f>IF(Q729="전설",8,IF(Q729="희귀",7,IF(J729="기본",1,IF(J729="중간",3,IF(J729="최종",IF(I729="",5,IF(I729&lt;=20,3,IF(I729&lt;=35,4,IF(I729&lt;=50,6,7)))),IF(Q729="드묾",4,2))))))</x:f>
        <x:v>7</x:v>
      </x:c>
      <x:c r="Z729" s="5" t="inlineStr">
        <x:is>
          <x:t xml:space="preserve">#cobblemon:is_jungle; minecraft:crimson_forest</x:t>
        </x:is>
      </x:c>
      <x:c r="AA729" s="5" t="inlineStr">
        <x:is>
          <x:t xml:space="preserve">ultra-rare</x:t>
        </x:is>
      </x:c>
      <x:c r="AB729" s="5" t="inlineStr">
        <x:is>
          <x:t xml:space="preserve">예</x:t>
        </x:is>
      </x:c>
      <x:c r="AC729" s="8" t="str">
        <x:f>IF(T729&lt;&gt;"","수동확정",IF(X729="검토필요","검토필요",IF(S729="","원본없음","초기완료")))</x:f>
        <x:v>검토필요</x:v>
      </x:c>
      <x:c r="AD729" s="7" t="inlineStr">
        <x:is>
          <x:t xml:space="preserve"/>
        </x:is>
      </x:c>
      <x:c r="AE729" s="5" t="inlineStr">
        <x:is>
          <x:t xml:space="preserve">.tmp/cobblemon-1.7.3-source/common/src/main/resources/data/cobblemon/species/generation7/litten.json</x:t>
        </x:is>
      </x:c>
      <x:c r="AF729" s="5" t="str">
        <x:f>"생활권|"&amp;K729</x:f>
        <x:v>생활권|육상</x:v>
      </x:c>
      <x:c r="AG729" s="5" t="str">
        <x:f>"지형|"&amp;L729</x:f>
        <x:v>지형|수목</x:v>
      </x:c>
      <x:c r="AH729" s="5" t="str">
        <x:f>"온도|"&amp;M729</x:f>
        <x:v>온도|고온</x:v>
      </x:c>
      <x:c r="AI729" s="5" t="str">
        <x:f>"습도|"&amp;N729</x:f>
        <x:v>습도|다습</x:v>
      </x:c>
      <x:c r="AJ729" s="5" t="str">
        <x:f>"날씨|"&amp;O729</x:f>
        <x:v>날씨|무관</x:v>
      </x:c>
      <x:c r="AK729" s="5" t="str">
        <x:f>"특수태그|"&amp;R729</x:f>
        <x:v>특수태그|없음</x:v>
      </x:c>
      <x:c r="AL729" s="5" t="str">
        <x:f>"원본서식지|"&amp;S729</x:f>
        <x:v>원본서식지|숲</x:v>
      </x:c>
      <x:c r="AM729" s="5" t="str">
        <x:f>"타입|"&amp;F729</x:f>
        <x:v>타입|불꽃</x:v>
      </x:c>
      <x:c r="AN729" s="5" t="str">
        <x:f>"타입|"&amp;G729</x:f>
        <x:v>타입|</x:v>
      </x:c>
    </x:row>
    <x:row r="730" ht="24" customHeight="1">
      <x:c r="A730" s="5" t="n">
        <x:v>726</x:v>
      </x:c>
      <x:c r="B730" s="5" t="inlineStr">
        <x:is>
          <x:t xml:space="preserve">냐오히트</x:t>
        </x:is>
      </x:c>
      <x:c r="C730" s="5" t="inlineStr">
        <x:is>
          <x:t xml:space="preserve">torracat</x:t>
        </x:is>
      </x:c>
      <x:c r="D730" s="5" t="inlineStr">
        <x:is>
          <x:t xml:space="preserve">Torracat</x:t>
        </x:is>
      </x:c>
      <x:c r="E730" s="5" t="n">
        <x:v>7</x:v>
      </x:c>
      <x:c r="F730" s="5" t="inlineStr">
        <x:is>
          <x:t xml:space="preserve">불꽃</x:t>
        </x:is>
      </x:c>
      <x:c r="G730" s="5" t="inlineStr">
        <x:is>
          <x:t xml:space="preserve"/>
        </x:is>
      </x:c>
      <x:c r="H730" s="6" t="n">
        <x:v>25</x:v>
      </x:c>
      <x:c r="I730" s="5" t="n">
        <x:v>34</x:v>
      </x:c>
      <x:c r="J730" s="5" t="inlineStr">
        <x:is>
          <x:t xml:space="preserve">중간</x:t>
        </x:is>
      </x:c>
      <x:c r="K730" s="7" t="inlineStr">
        <x:is>
          <x:t xml:space="preserve">육상</x:t>
        </x:is>
      </x:c>
      <x:c r="L730" s="7" t="inlineStr">
        <x:is>
          <x:t xml:space="preserve">수목</x:t>
        </x:is>
      </x:c>
      <x:c r="M730" s="7" t="inlineStr">
        <x:is>
          <x:t xml:space="preserve">고온</x:t>
        </x:is>
      </x:c>
      <x:c r="N730" s="7" t="inlineStr">
        <x:is>
          <x:t xml:space="preserve">다습</x:t>
        </x:is>
      </x:c>
      <x:c r="O730" s="7" t="inlineStr">
        <x:is>
          <x:t xml:space="preserve">무관</x:t>
        </x:is>
      </x:c>
      <x:c r="P730" s="7" t="inlineStr">
        <x:is>
          <x:t xml:space="preserve">무관</x:t>
        </x:is>
      </x:c>
      <x:c r="Q730" s="7" t="inlineStr">
        <x:is>
          <x:t xml:space="preserve">희귀</x:t>
        </x:is>
      </x:c>
      <x:c r="R730" s="7" t="inlineStr">
        <x:is>
          <x:t xml:space="preserve">없음</x:t>
        </x:is>
      </x:c>
      <x:c r="S730" s="7" t="inlineStr">
        <x:is>
          <x:t xml:space="preserve">숲</x:t>
        </x:is>
      </x:c>
      <x:c r="T730" s="7" t="inlineStr">
        <x:is>
          <x:t xml:space="preserve"/>
        </x:is>
      </x:c>
      <x:c r="U730" s="8" t="str">
        <x:f>INDEX('서식지_점수'!$E$4:$P$4,1,MATCH(MAX('서식지_점수'!E730:P730),'서식지_점수'!E730:P730,0))</x:f>
        <x:v>평원</x:v>
      </x:c>
      <x:c r="V730" s="8" t="str">
        <x:f>IF(T730&lt;&gt;"",T730,U730)</x:f>
        <x:v>평원</x:v>
      </x:c>
      <x:c r="W730" s="8" t="str">
        <x:f>IFERROR(INDEX('서식지_점수'!$E$4:$P$4,1,MATCH(MAXIFS('서식지_점수'!E730:P730,'서식지_점수'!E730:P730,"&lt;"&amp;MAX('서식지_점수'!E730:P730)),'서식지_점수'!E730:P730,0)),"")</x:f>
        <x:v>숲</x:v>
      </x:c>
      <x:c r="X730" s="8" t="str">
        <x:f>IF(T730&lt;&gt;"","수동확정",IF(MAX('서식지_점수'!E730:P730)-LARGE('서식지_점수'!E730:P730,2)&gt;=15,"높음",IF(MAX('서식지_점수'!E730:P730)-LARGE('서식지_점수'!E730:P730,2)&gt;=8,"보통","검토필요")))</x:f>
        <x:v>검토필요</x:v>
      </x:c>
      <x:c r="Y730" s="9" t="n">
        <x:f>IF(Q730="전설",8,IF(Q730="희귀",7,IF(J730="기본",1,IF(J730="중간",3,IF(J730="최종",IF(I730="",5,IF(I730&lt;=20,3,IF(I730&lt;=35,4,IF(I730&lt;=50,6,7)))),IF(Q730="드묾",4,2))))))</x:f>
        <x:v>7</x:v>
      </x:c>
      <x:c r="Z730" s="5" t="inlineStr">
        <x:is>
          <x:t xml:space="preserve">#cobblemon:is_jungle; minecraft:crimson_forest</x:t>
        </x:is>
      </x:c>
      <x:c r="AA730" s="5" t="inlineStr">
        <x:is>
          <x:t xml:space="preserve">ultra-rare</x:t>
        </x:is>
      </x:c>
      <x:c r="AB730" s="5" t="inlineStr">
        <x:is>
          <x:t xml:space="preserve">예</x:t>
        </x:is>
      </x:c>
      <x:c r="AC730" s="8" t="str">
        <x:f>IF(T730&lt;&gt;"","수동확정",IF(X730="검토필요","검토필요",IF(S730="","원본없음","초기완료")))</x:f>
        <x:v>검토필요</x:v>
      </x:c>
      <x:c r="AD730" s="7" t="inlineStr">
        <x:is>
          <x:t xml:space="preserve"/>
        </x:is>
      </x:c>
      <x:c r="AE730" s="5" t="inlineStr">
        <x:is>
          <x:t xml:space="preserve">.tmp/cobblemon-1.7.3-source/common/src/main/resources/data/cobblemon/species/generation7/torracat.json</x:t>
        </x:is>
      </x:c>
      <x:c r="AF730" s="5" t="str">
        <x:f>"생활권|"&amp;K730</x:f>
        <x:v>생활권|육상</x:v>
      </x:c>
      <x:c r="AG730" s="5" t="str">
        <x:f>"지형|"&amp;L730</x:f>
        <x:v>지형|수목</x:v>
      </x:c>
      <x:c r="AH730" s="5" t="str">
        <x:f>"온도|"&amp;M730</x:f>
        <x:v>온도|고온</x:v>
      </x:c>
      <x:c r="AI730" s="5" t="str">
        <x:f>"습도|"&amp;N730</x:f>
        <x:v>습도|다습</x:v>
      </x:c>
      <x:c r="AJ730" s="5" t="str">
        <x:f>"날씨|"&amp;O730</x:f>
        <x:v>날씨|무관</x:v>
      </x:c>
      <x:c r="AK730" s="5" t="str">
        <x:f>"특수태그|"&amp;R730</x:f>
        <x:v>특수태그|없음</x:v>
      </x:c>
      <x:c r="AL730" s="5" t="str">
        <x:f>"원본서식지|"&amp;S730</x:f>
        <x:v>원본서식지|숲</x:v>
      </x:c>
      <x:c r="AM730" s="5" t="str">
        <x:f>"타입|"&amp;F730</x:f>
        <x:v>타입|불꽃</x:v>
      </x:c>
      <x:c r="AN730" s="5" t="str">
        <x:f>"타입|"&amp;G730</x:f>
        <x:v>타입|</x:v>
      </x:c>
    </x:row>
    <x:row r="731" ht="24" customHeight="1">
      <x:c r="A731" s="5" t="n">
        <x:v>727</x:v>
      </x:c>
      <x:c r="B731" s="5" t="inlineStr">
        <x:is>
          <x:t xml:space="preserve">어흥염</x:t>
        </x:is>
      </x:c>
      <x:c r="C731" s="5" t="inlineStr">
        <x:is>
          <x:t xml:space="preserve">incineroar</x:t>
        </x:is>
      </x:c>
      <x:c r="D731" s="5" t="inlineStr">
        <x:is>
          <x:t xml:space="preserve">Incineroar</x:t>
        </x:is>
      </x:c>
      <x:c r="E731" s="5" t="n">
        <x:v>7</x:v>
      </x:c>
      <x:c r="F731" s="5" t="inlineStr">
        <x:is>
          <x:t xml:space="preserve">불꽃</x:t>
        </x:is>
      </x:c>
      <x:c r="G731" s="5" t="inlineStr">
        <x:is>
          <x:t xml:space="preserve">악</x:t>
        </x:is>
      </x:c>
      <x:c r="H731" s="6" t="n">
        <x:v>83</x:v>
      </x:c>
      <x:c r="I731" s="5" t="n">
        <x:v>34</x:v>
      </x:c>
      <x:c r="J731" s="5" t="inlineStr">
        <x:is>
          <x:t xml:space="preserve">최종</x:t>
        </x:is>
      </x:c>
      <x:c r="K731" s="7" t="inlineStr">
        <x:is>
          <x:t xml:space="preserve">육상</x:t>
        </x:is>
      </x:c>
      <x:c r="L731" s="7" t="inlineStr">
        <x:is>
          <x:t xml:space="preserve">수목</x:t>
        </x:is>
      </x:c>
      <x:c r="M731" s="7" t="inlineStr">
        <x:is>
          <x:t xml:space="preserve">고온</x:t>
        </x:is>
      </x:c>
      <x:c r="N731" s="7" t="inlineStr">
        <x:is>
          <x:t xml:space="preserve">다습</x:t>
        </x:is>
      </x:c>
      <x:c r="O731" s="7" t="inlineStr">
        <x:is>
          <x:t xml:space="preserve">무관</x:t>
        </x:is>
      </x:c>
      <x:c r="P731" s="7" t="inlineStr">
        <x:is>
          <x:t xml:space="preserve">밤</x:t>
        </x:is>
      </x:c>
      <x:c r="Q731" s="7" t="inlineStr">
        <x:is>
          <x:t xml:space="preserve">희귀</x:t>
        </x:is>
      </x:c>
      <x:c r="R731" s="7" t="inlineStr">
        <x:is>
          <x:t xml:space="preserve">없음</x:t>
        </x:is>
      </x:c>
      <x:c r="S731" s="7" t="inlineStr">
        <x:is>
          <x:t xml:space="preserve">숲</x:t>
        </x:is>
      </x:c>
      <x:c r="T731" s="7" t="inlineStr">
        <x:is>
          <x:t xml:space="preserve"/>
        </x:is>
      </x:c>
      <x:c r="U731" s="8" t="str">
        <x:f>INDEX('서식지_점수'!$E$4:$P$4,1,MATCH(MAX('서식지_점수'!E731:P731),'서식지_점수'!E731:P731,0))</x:f>
        <x:v>평원</x:v>
      </x:c>
      <x:c r="V731" s="8" t="str">
        <x:f>IF(T731&lt;&gt;"",T731,U731)</x:f>
        <x:v>평원</x:v>
      </x:c>
      <x:c r="W731" s="8" t="str">
        <x:f>IFERROR(INDEX('서식지_점수'!$E$4:$P$4,1,MATCH(MAXIFS('서식지_점수'!E731:P731,'서식지_점수'!E731:P731,"&lt;"&amp;MAX('서식지_점수'!E731:P731)),'서식지_점수'!E731:P731,0)),"")</x:f>
        <x:v>숲</x:v>
      </x:c>
      <x:c r="X731" s="8" t="str">
        <x:f>IF(T731&lt;&gt;"","수동확정",IF(MAX('서식지_점수'!E731:P731)-LARGE('서식지_점수'!E731:P731,2)&gt;=15,"높음",IF(MAX('서식지_점수'!E731:P731)-LARGE('서식지_점수'!E731:P731,2)&gt;=8,"보통","검토필요")))</x:f>
        <x:v>검토필요</x:v>
      </x:c>
      <x:c r="Y731" s="9" t="n">
        <x:f>IF(Q731="전설",8,IF(Q731="희귀",7,IF(J731="기본",1,IF(J731="중간",3,IF(J731="최종",IF(I731="",5,IF(I731&lt;=20,3,IF(I731&lt;=35,4,IF(I731&lt;=50,6,7)))),IF(Q731="드묾",4,2))))))</x:f>
        <x:v>7</x:v>
      </x:c>
      <x:c r="Z731" s="5" t="inlineStr">
        <x:is>
          <x:t xml:space="preserve">#cobblemon:is_jungle; minecraft:crimson_forest</x:t>
        </x:is>
      </x:c>
      <x:c r="AA731" s="5" t="inlineStr">
        <x:is>
          <x:t xml:space="preserve">ultra-rare</x:t>
        </x:is>
      </x:c>
      <x:c r="AB731" s="5" t="inlineStr">
        <x:is>
          <x:t xml:space="preserve">예</x:t>
        </x:is>
      </x:c>
      <x:c r="AC731" s="8" t="str">
        <x:f>IF(T731&lt;&gt;"","수동확정",IF(X731="검토필요","검토필요",IF(S731="","원본없음","초기완료")))</x:f>
        <x:v>검토필요</x:v>
      </x:c>
      <x:c r="AD731" s="7" t="inlineStr">
        <x:is>
          <x:t xml:space="preserve"/>
        </x:is>
      </x:c>
      <x:c r="AE731" s="5" t="inlineStr">
        <x:is>
          <x:t xml:space="preserve">.tmp/cobblemon-1.7.3-source/common/src/main/resources/data/cobblemon/species/generation7/incineroar.json</x:t>
        </x:is>
      </x:c>
      <x:c r="AF731" s="5" t="str">
        <x:f>"생활권|"&amp;K731</x:f>
        <x:v>생활권|육상</x:v>
      </x:c>
      <x:c r="AG731" s="5" t="str">
        <x:f>"지형|"&amp;L731</x:f>
        <x:v>지형|수목</x:v>
      </x:c>
      <x:c r="AH731" s="5" t="str">
        <x:f>"온도|"&amp;M731</x:f>
        <x:v>온도|고온</x:v>
      </x:c>
      <x:c r="AI731" s="5" t="str">
        <x:f>"습도|"&amp;N731</x:f>
        <x:v>습도|다습</x:v>
      </x:c>
      <x:c r="AJ731" s="5" t="str">
        <x:f>"날씨|"&amp;O731</x:f>
        <x:v>날씨|무관</x:v>
      </x:c>
      <x:c r="AK731" s="5" t="str">
        <x:f>"특수태그|"&amp;R731</x:f>
        <x:v>특수태그|없음</x:v>
      </x:c>
      <x:c r="AL731" s="5" t="str">
        <x:f>"원본서식지|"&amp;S731</x:f>
        <x:v>원본서식지|숲</x:v>
      </x:c>
      <x:c r="AM731" s="5" t="str">
        <x:f>"타입|"&amp;F731</x:f>
        <x:v>타입|불꽃</x:v>
      </x:c>
      <x:c r="AN731" s="5" t="str">
        <x:f>"타입|"&amp;G731</x:f>
        <x:v>타입|악</x:v>
      </x:c>
    </x:row>
    <x:row r="732" ht="24" customHeight="1">
      <x:c r="A732" s="5" t="n">
        <x:v>728</x:v>
      </x:c>
      <x:c r="B732" s="5" t="inlineStr">
        <x:is>
          <x:t xml:space="preserve">누리공</x:t>
        </x:is>
      </x:c>
      <x:c r="C732" s="5" t="inlineStr">
        <x:is>
          <x:t xml:space="preserve">popplio</x:t>
        </x:is>
      </x:c>
      <x:c r="D732" s="5" t="inlineStr">
        <x:is>
          <x:t xml:space="preserve">Popplio</x:t>
        </x:is>
      </x:c>
      <x:c r="E732" s="5" t="n">
        <x:v>7</x:v>
      </x:c>
      <x:c r="F732" s="5" t="inlineStr">
        <x:is>
          <x:t xml:space="preserve">물</x:t>
        </x:is>
      </x:c>
      <x:c r="G732" s="5" t="inlineStr">
        <x:is>
          <x:t xml:space="preserve"/>
        </x:is>
      </x:c>
      <x:c r="H732" s="6" t="n">
        <x:v>7.5</x:v>
      </x:c>
      <x:c r="I732" s="5" t="n">
        <x:v>34</x:v>
      </x:c>
      <x:c r="J732" s="5" t="inlineStr">
        <x:is>
          <x:t xml:space="preserve">기본</x:t>
        </x:is>
      </x:c>
      <x:c r="K732" s="7" t="inlineStr">
        <x:is>
          <x:t xml:space="preserve">해양</x:t>
        </x:is>
      </x:c>
      <x:c r="L732" s="7" t="inlineStr">
        <x:is>
          <x:t xml:space="preserve">해안·해양</x:t>
        </x:is>
      </x:c>
      <x:c r="M732" s="7" t="inlineStr">
        <x:is>
          <x:t xml:space="preserve">온대</x:t>
        </x:is>
      </x:c>
      <x:c r="N732" s="7" t="inlineStr">
        <x:is>
          <x:t xml:space="preserve">수중</x:t>
        </x:is>
      </x:c>
      <x:c r="O732" s="7" t="inlineStr">
        <x:is>
          <x:t xml:space="preserve">비</x:t>
        </x:is>
      </x:c>
      <x:c r="P732" s="7" t="inlineStr">
        <x:is>
          <x:t xml:space="preserve">무관</x:t>
        </x:is>
      </x:c>
      <x:c r="Q732" s="7" t="inlineStr">
        <x:is>
          <x:t xml:space="preserve">희귀</x:t>
        </x:is>
      </x:c>
      <x:c r="R732" s="7" t="inlineStr">
        <x:is>
          <x:t xml:space="preserve">없음</x:t>
        </x:is>
      </x:c>
      <x:c r="S732" s="7" t="inlineStr">
        <x:is>
          <x:t xml:space="preserve">해양</x:t>
        </x:is>
      </x:c>
      <x:c r="T732" s="7" t="inlineStr">
        <x:is>
          <x:t xml:space="preserve"/>
        </x:is>
      </x:c>
      <x:c r="U732" s="8" t="str">
        <x:f>INDEX('서식지_점수'!$E$4:$P$4,1,MATCH(MAX('서식지_점수'!E732:P732),'서식지_점수'!E732:P732,0))</x:f>
        <x:v>해양</x:v>
      </x:c>
      <x:c r="V732" s="8" t="str">
        <x:f>IF(T732&lt;&gt;"",T732,U732)</x:f>
        <x:v>해양</x:v>
      </x:c>
      <x:c r="W732" s="8" t="str">
        <x:f>IFERROR(INDEX('서식지_점수'!$E$4:$P$4,1,MATCH(MAXIFS('서식지_점수'!E732:P732,'서식지_점수'!E732:P732,"&lt;"&amp;MAX('서식지_점수'!E732:P732)),'서식지_점수'!E732:P732,0)),"")</x:f>
        <x:v>습지</x:v>
      </x:c>
      <x:c r="X732" s="8" t="str">
        <x:f>IF(T732&lt;&gt;"","수동확정",IF(MAX('서식지_점수'!E732:P732)-LARGE('서식지_점수'!E732:P732,2)&gt;=15,"높음",IF(MAX('서식지_점수'!E732:P732)-LARGE('서식지_점수'!E732:P732,2)&gt;=8,"보통","검토필요")))</x:f>
        <x:v>높음</x:v>
      </x:c>
      <x:c r="Y732" s="9" t="n">
        <x:f>IF(Q732="전설",8,IF(Q732="희귀",7,IF(J732="기본",1,IF(J732="중간",3,IF(J732="최종",IF(I732="",5,IF(I732&lt;=20,3,IF(I732&lt;=35,4,IF(I732&lt;=50,6,7)))),IF(Q732="드묾",4,2))))))</x:f>
        <x:v>7</x:v>
      </x:c>
      <x:c r="Z732" s="5" t="inlineStr">
        <x:is>
          <x:t xml:space="preserve">#cobblemon:is_coast; #cobblemon:is_ocean; #cobblemon:is_tropical_island</x:t>
        </x:is>
      </x:c>
      <x:c r="AA732" s="5" t="inlineStr">
        <x:is>
          <x:t xml:space="preserve">ultra-rare</x:t>
        </x:is>
      </x:c>
      <x:c r="AB732" s="5" t="inlineStr">
        <x:is>
          <x:t xml:space="preserve">예</x:t>
        </x:is>
      </x:c>
      <x:c r="AC732" s="8" t="str">
        <x:f>IF(T732&lt;&gt;"","수동확정",IF(X732="검토필요","검토필요",IF(S732="","원본없음","초기완료")))</x:f>
        <x:v>초기완료</x:v>
      </x:c>
      <x:c r="AD732" s="7" t="inlineStr">
        <x:is>
          <x:t xml:space="preserve"/>
        </x:is>
      </x:c>
      <x:c r="AE732" s="5" t="inlineStr">
        <x:is>
          <x:t xml:space="preserve">.tmp/cobblemon-1.7.3-source/common/src/main/resources/data/cobblemon/species/generation7/popplio.json</x:t>
        </x:is>
      </x:c>
      <x:c r="AF732" s="5" t="str">
        <x:f>"생활권|"&amp;K732</x:f>
        <x:v>생활권|해양</x:v>
      </x:c>
      <x:c r="AG732" s="5" t="str">
        <x:f>"지형|"&amp;L732</x:f>
        <x:v>지형|해안·해양</x:v>
      </x:c>
      <x:c r="AH732" s="5" t="str">
        <x:f>"온도|"&amp;M732</x:f>
        <x:v>온도|온대</x:v>
      </x:c>
      <x:c r="AI732" s="5" t="str">
        <x:f>"습도|"&amp;N732</x:f>
        <x:v>습도|수중</x:v>
      </x:c>
      <x:c r="AJ732" s="5" t="str">
        <x:f>"날씨|"&amp;O732</x:f>
        <x:v>날씨|비</x:v>
      </x:c>
      <x:c r="AK732" s="5" t="str">
        <x:f>"특수태그|"&amp;R732</x:f>
        <x:v>특수태그|없음</x:v>
      </x:c>
      <x:c r="AL732" s="5" t="str">
        <x:f>"원본서식지|"&amp;S732</x:f>
        <x:v>원본서식지|해양</x:v>
      </x:c>
      <x:c r="AM732" s="5" t="str">
        <x:f>"타입|"&amp;F732</x:f>
        <x:v>타입|물</x:v>
      </x:c>
      <x:c r="AN732" s="5" t="str">
        <x:f>"타입|"&amp;G732</x:f>
        <x:v>타입|</x:v>
      </x:c>
    </x:row>
    <x:row r="733" ht="24" customHeight="1">
      <x:c r="A733" s="5" t="n">
        <x:v>729</x:v>
      </x:c>
      <x:c r="B733" s="5" t="inlineStr">
        <x:is>
          <x:t xml:space="preserve">키요공</x:t>
        </x:is>
      </x:c>
      <x:c r="C733" s="5" t="inlineStr">
        <x:is>
          <x:t xml:space="preserve">brionne</x:t>
        </x:is>
      </x:c>
      <x:c r="D733" s="5" t="inlineStr">
        <x:is>
          <x:t xml:space="preserve">Brionne</x:t>
        </x:is>
      </x:c>
      <x:c r="E733" s="5" t="n">
        <x:v>7</x:v>
      </x:c>
      <x:c r="F733" s="5" t="inlineStr">
        <x:is>
          <x:t xml:space="preserve">물</x:t>
        </x:is>
      </x:c>
      <x:c r="G733" s="5" t="inlineStr">
        <x:is>
          <x:t xml:space="preserve"/>
        </x:is>
      </x:c>
      <x:c r="H733" s="6" t="n">
        <x:v>17.5</x:v>
      </x:c>
      <x:c r="I733" s="5" t="n">
        <x:v>34</x:v>
      </x:c>
      <x:c r="J733" s="5" t="inlineStr">
        <x:is>
          <x:t xml:space="preserve">중간</x:t>
        </x:is>
      </x:c>
      <x:c r="K733" s="7" t="inlineStr">
        <x:is>
          <x:t xml:space="preserve">해양</x:t>
        </x:is>
      </x:c>
      <x:c r="L733" s="7" t="inlineStr">
        <x:is>
          <x:t xml:space="preserve">해안·해양</x:t>
        </x:is>
      </x:c>
      <x:c r="M733" s="7" t="inlineStr">
        <x:is>
          <x:t xml:space="preserve">온대</x:t>
        </x:is>
      </x:c>
      <x:c r="N733" s="7" t="inlineStr">
        <x:is>
          <x:t xml:space="preserve">수중</x:t>
        </x:is>
      </x:c>
      <x:c r="O733" s="7" t="inlineStr">
        <x:is>
          <x:t xml:space="preserve">비</x:t>
        </x:is>
      </x:c>
      <x:c r="P733" s="7" t="inlineStr">
        <x:is>
          <x:t xml:space="preserve">무관</x:t>
        </x:is>
      </x:c>
      <x:c r="Q733" s="7" t="inlineStr">
        <x:is>
          <x:t xml:space="preserve">희귀</x:t>
        </x:is>
      </x:c>
      <x:c r="R733" s="7" t="inlineStr">
        <x:is>
          <x:t xml:space="preserve">없음</x:t>
        </x:is>
      </x:c>
      <x:c r="S733" s="7" t="inlineStr">
        <x:is>
          <x:t xml:space="preserve">해양</x:t>
        </x:is>
      </x:c>
      <x:c r="T733" s="7" t="inlineStr">
        <x:is>
          <x:t xml:space="preserve"/>
        </x:is>
      </x:c>
      <x:c r="U733" s="8" t="str">
        <x:f>INDEX('서식지_점수'!$E$4:$P$4,1,MATCH(MAX('서식지_점수'!E733:P733),'서식지_점수'!E733:P733,0))</x:f>
        <x:v>해양</x:v>
      </x:c>
      <x:c r="V733" s="8" t="str">
        <x:f>IF(T733&lt;&gt;"",T733,U733)</x:f>
        <x:v>해양</x:v>
      </x:c>
      <x:c r="W733" s="8" t="str">
        <x:f>IFERROR(INDEX('서식지_점수'!$E$4:$P$4,1,MATCH(MAXIFS('서식지_점수'!E733:P733,'서식지_점수'!E733:P733,"&lt;"&amp;MAX('서식지_점수'!E733:P733)),'서식지_점수'!E733:P733,0)),"")</x:f>
        <x:v>습지</x:v>
      </x:c>
      <x:c r="X733" s="8" t="str">
        <x:f>IF(T733&lt;&gt;"","수동확정",IF(MAX('서식지_점수'!E733:P733)-LARGE('서식지_점수'!E733:P733,2)&gt;=15,"높음",IF(MAX('서식지_점수'!E733:P733)-LARGE('서식지_점수'!E733:P733,2)&gt;=8,"보통","검토필요")))</x:f>
        <x:v>높음</x:v>
      </x:c>
      <x:c r="Y733" s="9" t="n">
        <x:f>IF(Q733="전설",8,IF(Q733="희귀",7,IF(J733="기본",1,IF(J733="중간",3,IF(J733="최종",IF(I733="",5,IF(I733&lt;=20,3,IF(I733&lt;=35,4,IF(I733&lt;=50,6,7)))),IF(Q733="드묾",4,2))))))</x:f>
        <x:v>7</x:v>
      </x:c>
      <x:c r="Z733" s="5" t="inlineStr">
        <x:is>
          <x:t xml:space="preserve">#cobblemon:is_coast; #cobblemon:is_ocean; #cobblemon:is_tropical_island</x:t>
        </x:is>
      </x:c>
      <x:c r="AA733" s="5" t="inlineStr">
        <x:is>
          <x:t xml:space="preserve">ultra-rare</x:t>
        </x:is>
      </x:c>
      <x:c r="AB733" s="5" t="inlineStr">
        <x:is>
          <x:t xml:space="preserve">예</x:t>
        </x:is>
      </x:c>
      <x:c r="AC733" s="8" t="str">
        <x:f>IF(T733&lt;&gt;"","수동확정",IF(X733="검토필요","검토필요",IF(S733="","원본없음","초기완료")))</x:f>
        <x:v>초기완료</x:v>
      </x:c>
      <x:c r="AD733" s="7" t="inlineStr">
        <x:is>
          <x:t xml:space="preserve"/>
        </x:is>
      </x:c>
      <x:c r="AE733" s="5" t="inlineStr">
        <x:is>
          <x:t xml:space="preserve">.tmp/cobblemon-1.7.3-source/common/src/main/resources/data/cobblemon/species/generation7/brionne.json</x:t>
        </x:is>
      </x:c>
      <x:c r="AF733" s="5" t="str">
        <x:f>"생활권|"&amp;K733</x:f>
        <x:v>생활권|해양</x:v>
      </x:c>
      <x:c r="AG733" s="5" t="str">
        <x:f>"지형|"&amp;L733</x:f>
        <x:v>지형|해안·해양</x:v>
      </x:c>
      <x:c r="AH733" s="5" t="str">
        <x:f>"온도|"&amp;M733</x:f>
        <x:v>온도|온대</x:v>
      </x:c>
      <x:c r="AI733" s="5" t="str">
        <x:f>"습도|"&amp;N733</x:f>
        <x:v>습도|수중</x:v>
      </x:c>
      <x:c r="AJ733" s="5" t="str">
        <x:f>"날씨|"&amp;O733</x:f>
        <x:v>날씨|비</x:v>
      </x:c>
      <x:c r="AK733" s="5" t="str">
        <x:f>"특수태그|"&amp;R733</x:f>
        <x:v>특수태그|없음</x:v>
      </x:c>
      <x:c r="AL733" s="5" t="str">
        <x:f>"원본서식지|"&amp;S733</x:f>
        <x:v>원본서식지|해양</x:v>
      </x:c>
      <x:c r="AM733" s="5" t="str">
        <x:f>"타입|"&amp;F733</x:f>
        <x:v>타입|물</x:v>
      </x:c>
      <x:c r="AN733" s="5" t="str">
        <x:f>"타입|"&amp;G733</x:f>
        <x:v>타입|</x:v>
      </x:c>
    </x:row>
    <x:row r="734" ht="24" customHeight="1">
      <x:c r="A734" s="5" t="n">
        <x:v>730</x:v>
      </x:c>
      <x:c r="B734" s="5" t="inlineStr">
        <x:is>
          <x:t xml:space="preserve">누리레느</x:t>
        </x:is>
      </x:c>
      <x:c r="C734" s="5" t="inlineStr">
        <x:is>
          <x:t xml:space="preserve">primarina</x:t>
        </x:is>
      </x:c>
      <x:c r="D734" s="5" t="inlineStr">
        <x:is>
          <x:t xml:space="preserve">Primarina</x:t>
        </x:is>
      </x:c>
      <x:c r="E734" s="5" t="n">
        <x:v>7</x:v>
      </x:c>
      <x:c r="F734" s="5" t="inlineStr">
        <x:is>
          <x:t xml:space="preserve">물</x:t>
        </x:is>
      </x:c>
      <x:c r="G734" s="5" t="inlineStr">
        <x:is>
          <x:t xml:space="preserve">페어리</x:t>
        </x:is>
      </x:c>
      <x:c r="H734" s="6" t="n">
        <x:v>44</x:v>
      </x:c>
      <x:c r="I734" s="5" t="n">
        <x:v>34</x:v>
      </x:c>
      <x:c r="J734" s="5" t="inlineStr">
        <x:is>
          <x:t xml:space="preserve">최종</x:t>
        </x:is>
      </x:c>
      <x:c r="K734" s="7" t="inlineStr">
        <x:is>
          <x:t xml:space="preserve">해양</x:t>
        </x:is>
      </x:c>
      <x:c r="L734" s="7" t="inlineStr">
        <x:is>
          <x:t xml:space="preserve">해안·해양</x:t>
        </x:is>
      </x:c>
      <x:c r="M734" s="7" t="inlineStr">
        <x:is>
          <x:t xml:space="preserve">온대</x:t>
        </x:is>
      </x:c>
      <x:c r="N734" s="7" t="inlineStr">
        <x:is>
          <x:t xml:space="preserve">수중</x:t>
        </x:is>
      </x:c>
      <x:c r="O734" s="7" t="inlineStr">
        <x:is>
          <x:t xml:space="preserve">비</x:t>
        </x:is>
      </x:c>
      <x:c r="P734" s="7" t="inlineStr">
        <x:is>
          <x:t xml:space="preserve">무관</x:t>
        </x:is>
      </x:c>
      <x:c r="Q734" s="7" t="inlineStr">
        <x:is>
          <x:t xml:space="preserve">희귀</x:t>
        </x:is>
      </x:c>
      <x:c r="R734" s="7" t="inlineStr">
        <x:is>
          <x:t xml:space="preserve">없음</x:t>
        </x:is>
      </x:c>
      <x:c r="S734" s="7" t="inlineStr">
        <x:is>
          <x:t xml:space="preserve">해양</x:t>
        </x:is>
      </x:c>
      <x:c r="T734" s="7" t="inlineStr">
        <x:is>
          <x:t xml:space="preserve"/>
        </x:is>
      </x:c>
      <x:c r="U734" s="8" t="str">
        <x:f>INDEX('서식지_점수'!$E$4:$P$4,1,MATCH(MAX('서식지_점수'!E734:P734),'서식지_점수'!E734:P734,0))</x:f>
        <x:v>해양</x:v>
      </x:c>
      <x:c r="V734" s="8" t="str">
        <x:f>IF(T734&lt;&gt;"",T734,U734)</x:f>
        <x:v>해양</x:v>
      </x:c>
      <x:c r="W734" s="8" t="str">
        <x:f>IFERROR(INDEX('서식지_점수'!$E$4:$P$4,1,MATCH(MAXIFS('서식지_점수'!E734:P734,'서식지_점수'!E734:P734,"&lt;"&amp;MAX('서식지_점수'!E734:P734)),'서식지_점수'!E734:P734,0)),"")</x:f>
        <x:v>습지</x:v>
      </x:c>
      <x:c r="X734" s="8" t="str">
        <x:f>IF(T734&lt;&gt;"","수동확정",IF(MAX('서식지_점수'!E734:P734)-LARGE('서식지_점수'!E734:P734,2)&gt;=15,"높음",IF(MAX('서식지_점수'!E734:P734)-LARGE('서식지_점수'!E734:P734,2)&gt;=8,"보통","검토필요")))</x:f>
        <x:v>높음</x:v>
      </x:c>
      <x:c r="Y734" s="9" t="n">
        <x:f>IF(Q734="전설",8,IF(Q734="희귀",7,IF(J734="기본",1,IF(J734="중간",3,IF(J734="최종",IF(I734="",5,IF(I734&lt;=20,3,IF(I734&lt;=35,4,IF(I734&lt;=50,6,7)))),IF(Q734="드묾",4,2))))))</x:f>
        <x:v>7</x:v>
      </x:c>
      <x:c r="Z734" s="5" t="inlineStr">
        <x:is>
          <x:t xml:space="preserve">#cobblemon:is_coast; #cobblemon:is_ocean; #cobblemon:is_tropical_island</x:t>
        </x:is>
      </x:c>
      <x:c r="AA734" s="5" t="inlineStr">
        <x:is>
          <x:t xml:space="preserve">ultra-rare</x:t>
        </x:is>
      </x:c>
      <x:c r="AB734" s="5" t="inlineStr">
        <x:is>
          <x:t xml:space="preserve">예</x:t>
        </x:is>
      </x:c>
      <x:c r="AC734" s="8" t="str">
        <x:f>IF(T734&lt;&gt;"","수동확정",IF(X734="검토필요","검토필요",IF(S734="","원본없음","초기완료")))</x:f>
        <x:v>초기완료</x:v>
      </x:c>
      <x:c r="AD734" s="7" t="inlineStr">
        <x:is>
          <x:t xml:space="preserve"/>
        </x:is>
      </x:c>
      <x:c r="AE734" s="5" t="inlineStr">
        <x:is>
          <x:t xml:space="preserve">.tmp/cobblemon-1.7.3-source/common/src/main/resources/data/cobblemon/species/generation7/primarina.json</x:t>
        </x:is>
      </x:c>
      <x:c r="AF734" s="5" t="str">
        <x:f>"생활권|"&amp;K734</x:f>
        <x:v>생활권|해양</x:v>
      </x:c>
      <x:c r="AG734" s="5" t="str">
        <x:f>"지형|"&amp;L734</x:f>
        <x:v>지형|해안·해양</x:v>
      </x:c>
      <x:c r="AH734" s="5" t="str">
        <x:f>"온도|"&amp;M734</x:f>
        <x:v>온도|온대</x:v>
      </x:c>
      <x:c r="AI734" s="5" t="str">
        <x:f>"습도|"&amp;N734</x:f>
        <x:v>습도|수중</x:v>
      </x:c>
      <x:c r="AJ734" s="5" t="str">
        <x:f>"날씨|"&amp;O734</x:f>
        <x:v>날씨|비</x:v>
      </x:c>
      <x:c r="AK734" s="5" t="str">
        <x:f>"특수태그|"&amp;R734</x:f>
        <x:v>특수태그|없음</x:v>
      </x:c>
      <x:c r="AL734" s="5" t="str">
        <x:f>"원본서식지|"&amp;S734</x:f>
        <x:v>원본서식지|해양</x:v>
      </x:c>
      <x:c r="AM734" s="5" t="str">
        <x:f>"타입|"&amp;F734</x:f>
        <x:v>타입|물</x:v>
      </x:c>
      <x:c r="AN734" s="5" t="str">
        <x:f>"타입|"&amp;G734</x:f>
        <x:v>타입|페어리</x:v>
      </x:c>
    </x:row>
    <x:row r="735" ht="24" customHeight="1">
      <x:c r="A735" s="5" t="n">
        <x:v>731</x:v>
      </x:c>
      <x:c r="B735" s="5" t="inlineStr">
        <x:is>
          <x:t xml:space="preserve">콕코구리</x:t>
        </x:is>
      </x:c>
      <x:c r="C735" s="5" t="inlineStr">
        <x:is>
          <x:t xml:space="preserve">pikipek</x:t>
        </x:is>
      </x:c>
      <x:c r="D735" s="5" t="inlineStr">
        <x:is>
          <x:t xml:space="preserve">Pikipek</x:t>
        </x:is>
      </x:c>
      <x:c r="E735" s="5" t="n">
        <x:v>7</x:v>
      </x:c>
      <x:c r="F735" s="5" t="inlineStr">
        <x:is>
          <x:t xml:space="preserve">노말</x:t>
        </x:is>
      </x:c>
      <x:c r="G735" s="5" t="inlineStr">
        <x:is>
          <x:t xml:space="preserve">비행</x:t>
        </x:is>
      </x:c>
      <x:c r="H735" s="6" t="n">
        <x:v>1.2</x:v>
      </x:c>
      <x:c r="I735" s="5" t="n">
        <x:v>28</x:v>
      </x:c>
      <x:c r="J735" s="5" t="inlineStr">
        <x:is>
          <x:t xml:space="preserve">기본</x:t>
        </x:is>
      </x:c>
      <x:c r="K735" s="7" t="inlineStr">
        <x:is>
          <x:t xml:space="preserve">비행</x:t>
        </x:is>
      </x:c>
      <x:c r="L735" s="7" t="inlineStr">
        <x:is>
          <x:t xml:space="preserve">수목</x:t>
        </x:is>
      </x:c>
      <x:c r="M735" s="7" t="inlineStr">
        <x:is>
          <x:t xml:space="preserve">온대</x:t>
        </x:is>
      </x:c>
      <x:c r="N735" s="7" t="inlineStr">
        <x:is>
          <x:t xml:space="preserve">다습</x:t>
        </x:is>
      </x:c>
      <x:c r="O735" s="7" t="inlineStr">
        <x:is>
          <x:t xml:space="preserve">무관</x:t>
        </x:is>
      </x:c>
      <x:c r="P735" s="7" t="inlineStr">
        <x:is>
          <x:t xml:space="preserve">낮</x:t>
        </x:is>
      </x:c>
      <x:c r="Q735" s="7" t="inlineStr">
        <x:is>
          <x:t xml:space="preserve">흔함</x:t>
        </x:is>
      </x:c>
      <x:c r="R735" s="7" t="inlineStr">
        <x:is>
          <x:t xml:space="preserve">없음</x:t>
        </x:is>
      </x:c>
      <x:c r="S735" s="7" t="inlineStr">
        <x:is>
          <x:t xml:space="preserve">숲</x:t>
        </x:is>
      </x:c>
      <x:c r="T735" s="7" t="inlineStr">
        <x:is>
          <x:t xml:space="preserve"/>
        </x:is>
      </x:c>
      <x:c r="U735" s="8" t="str">
        <x:f>INDEX('서식지_점수'!$E$4:$P$4,1,MATCH(MAX('서식지_점수'!E735:P735),'서식지_점수'!E735:P735,0))</x:f>
        <x:v>산악</x:v>
      </x:c>
      <x:c r="V735" s="8" t="str">
        <x:f>IF(T735&lt;&gt;"",T735,U735)</x:f>
        <x:v>산악</x:v>
      </x:c>
      <x:c r="W735" s="8" t="str">
        <x:f>IFERROR(INDEX('서식지_점수'!$E$4:$P$4,1,MATCH(MAXIFS('서식지_점수'!E735:P735,'서식지_점수'!E735:P735,"&lt;"&amp;MAX('서식지_점수'!E735:P735)),'서식지_점수'!E735:P735,0)),"")</x:f>
        <x:v>평원</x:v>
      </x:c>
      <x:c r="X735" s="8" t="str">
        <x:f>IF(T735&lt;&gt;"","수동확정",IF(MAX('서식지_점수'!E735:P735)-LARGE('서식지_점수'!E735:P735,2)&gt;=15,"높음",IF(MAX('서식지_점수'!E735:P735)-LARGE('서식지_점수'!E735:P735,2)&gt;=8,"보통","검토필요")))</x:f>
        <x:v>검토필요</x:v>
      </x:c>
      <x:c r="Y735" s="9" t="n">
        <x:f>IF(Q735="전설",8,IF(Q735="희귀",7,IF(J735="기본",1,IF(J735="중간",3,IF(J735="최종",IF(I735="",5,IF(I735&lt;=20,3,IF(I735&lt;=35,4,IF(I735&lt;=50,6,7)))),IF(Q735="드묾",4,2))))))</x:f>
        <x:v>1</x:v>
      </x:c>
      <x:c r="Z735" s="5" t="inlineStr">
        <x:is>
          <x:t xml:space="preserve">#cobblemon:is_jungle; #cobblemon:is_sky; #cobblemon:is_tropical_island</x:t>
        </x:is>
      </x:c>
      <x:c r="AA735" s="5" t="inlineStr">
        <x:is>
          <x:t xml:space="preserve">common</x:t>
        </x:is>
      </x:c>
      <x:c r="AB735" s="5" t="inlineStr">
        <x:is>
          <x:t xml:space="preserve">예</x:t>
        </x:is>
      </x:c>
      <x:c r="AC735" s="8" t="str">
        <x:f>IF(T735&lt;&gt;"","수동확정",IF(X735="검토필요","검토필요",IF(S735="","원본없음","초기완료")))</x:f>
        <x:v>검토필요</x:v>
      </x:c>
      <x:c r="AD735" s="7" t="inlineStr">
        <x:is>
          <x:t xml:space="preserve"/>
        </x:is>
      </x:c>
      <x:c r="AE735" s="5" t="inlineStr">
        <x:is>
          <x:t xml:space="preserve">.tmp/cobblemon-1.7.3-source/common/src/main/resources/data/cobblemon/species/generation7/pikipek.json</x:t>
        </x:is>
      </x:c>
      <x:c r="AF735" s="5" t="str">
        <x:f>"생활권|"&amp;K735</x:f>
        <x:v>생활권|비행</x:v>
      </x:c>
      <x:c r="AG735" s="5" t="str">
        <x:f>"지형|"&amp;L735</x:f>
        <x:v>지형|수목</x:v>
      </x:c>
      <x:c r="AH735" s="5" t="str">
        <x:f>"온도|"&amp;M735</x:f>
        <x:v>온도|온대</x:v>
      </x:c>
      <x:c r="AI735" s="5" t="str">
        <x:f>"습도|"&amp;N735</x:f>
        <x:v>습도|다습</x:v>
      </x:c>
      <x:c r="AJ735" s="5" t="str">
        <x:f>"날씨|"&amp;O735</x:f>
        <x:v>날씨|무관</x:v>
      </x:c>
      <x:c r="AK735" s="5" t="str">
        <x:f>"특수태그|"&amp;R735</x:f>
        <x:v>특수태그|없음</x:v>
      </x:c>
      <x:c r="AL735" s="5" t="str">
        <x:f>"원본서식지|"&amp;S735</x:f>
        <x:v>원본서식지|숲</x:v>
      </x:c>
      <x:c r="AM735" s="5" t="str">
        <x:f>"타입|"&amp;F735</x:f>
        <x:v>타입|노말</x:v>
      </x:c>
      <x:c r="AN735" s="5" t="str">
        <x:f>"타입|"&amp;G735</x:f>
        <x:v>타입|비행</x:v>
      </x:c>
    </x:row>
    <x:row r="736" ht="24" customHeight="1">
      <x:c r="A736" s="5" t="n">
        <x:v>732</x:v>
      </x:c>
      <x:c r="B736" s="5" t="inlineStr">
        <x:is>
          <x:t xml:space="preserve">크라파</x:t>
        </x:is>
      </x:c>
      <x:c r="C736" s="5" t="inlineStr">
        <x:is>
          <x:t xml:space="preserve">trumbeak</x:t>
        </x:is>
      </x:c>
      <x:c r="D736" s="5" t="inlineStr">
        <x:is>
          <x:t xml:space="preserve">Trumbeak</x:t>
        </x:is>
      </x:c>
      <x:c r="E736" s="5" t="n">
        <x:v>7</x:v>
      </x:c>
      <x:c r="F736" s="5" t="inlineStr">
        <x:is>
          <x:t xml:space="preserve">노말</x:t>
        </x:is>
      </x:c>
      <x:c r="G736" s="5" t="inlineStr">
        <x:is>
          <x:t xml:space="preserve">비행</x:t>
        </x:is>
      </x:c>
      <x:c r="H736" s="6" t="n">
        <x:v>14.8</x:v>
      </x:c>
      <x:c r="I736" s="5" t="n">
        <x:v>28</x:v>
      </x:c>
      <x:c r="J736" s="5" t="inlineStr">
        <x:is>
          <x:t xml:space="preserve">중간</x:t>
        </x:is>
      </x:c>
      <x:c r="K736" s="7" t="inlineStr">
        <x:is>
          <x:t xml:space="preserve">비행</x:t>
        </x:is>
      </x:c>
      <x:c r="L736" s="7" t="inlineStr">
        <x:is>
          <x:t xml:space="preserve">수목</x:t>
        </x:is>
      </x:c>
      <x:c r="M736" s="7" t="inlineStr">
        <x:is>
          <x:t xml:space="preserve">온대</x:t>
        </x:is>
      </x:c>
      <x:c r="N736" s="7" t="inlineStr">
        <x:is>
          <x:t xml:space="preserve">다습</x:t>
        </x:is>
      </x:c>
      <x:c r="O736" s="7" t="inlineStr">
        <x:is>
          <x:t xml:space="preserve">무관</x:t>
        </x:is>
      </x:c>
      <x:c r="P736" s="7" t="inlineStr">
        <x:is>
          <x:t xml:space="preserve">낮</x:t>
        </x:is>
      </x:c>
      <x:c r="Q736" s="7" t="inlineStr">
        <x:is>
          <x:t xml:space="preserve">흔함</x:t>
        </x:is>
      </x:c>
      <x:c r="R736" s="7" t="inlineStr">
        <x:is>
          <x:t xml:space="preserve">없음</x:t>
        </x:is>
      </x:c>
      <x:c r="S736" s="7" t="inlineStr">
        <x:is>
          <x:t xml:space="preserve">숲</x:t>
        </x:is>
      </x:c>
      <x:c r="T736" s="7" t="inlineStr">
        <x:is>
          <x:t xml:space="preserve"/>
        </x:is>
      </x:c>
      <x:c r="U736" s="8" t="str">
        <x:f>INDEX('서식지_점수'!$E$4:$P$4,1,MATCH(MAX('서식지_점수'!E736:P736),'서식지_점수'!E736:P736,0))</x:f>
        <x:v>산악</x:v>
      </x:c>
      <x:c r="V736" s="8" t="str">
        <x:f>IF(T736&lt;&gt;"",T736,U736)</x:f>
        <x:v>산악</x:v>
      </x:c>
      <x:c r="W736" s="8" t="str">
        <x:f>IFERROR(INDEX('서식지_점수'!$E$4:$P$4,1,MATCH(MAXIFS('서식지_점수'!E736:P736,'서식지_점수'!E736:P736,"&lt;"&amp;MAX('서식지_점수'!E736:P736)),'서식지_점수'!E736:P736,0)),"")</x:f>
        <x:v>평원</x:v>
      </x:c>
      <x:c r="X736" s="8" t="str">
        <x:f>IF(T736&lt;&gt;"","수동확정",IF(MAX('서식지_점수'!E736:P736)-LARGE('서식지_점수'!E736:P736,2)&gt;=15,"높음",IF(MAX('서식지_점수'!E736:P736)-LARGE('서식지_점수'!E736:P736,2)&gt;=8,"보통","검토필요")))</x:f>
        <x:v>검토필요</x:v>
      </x:c>
      <x:c r="Y736" s="9" t="n">
        <x:f>IF(Q736="전설",8,IF(Q736="희귀",7,IF(J736="기본",1,IF(J736="중간",3,IF(J736="최종",IF(I736="",5,IF(I736&lt;=20,3,IF(I736&lt;=35,4,IF(I736&lt;=50,6,7)))),IF(Q736="드묾",4,2))))))</x:f>
        <x:v>3</x:v>
      </x:c>
      <x:c r="Z736" s="5" t="inlineStr">
        <x:is>
          <x:t xml:space="preserve">#cobblemon:is_jungle; #cobblemon:is_sky; #cobblemon:is_tropical_island</x:t>
        </x:is>
      </x:c>
      <x:c r="AA736" s="5" t="inlineStr">
        <x:is>
          <x:t xml:space="preserve">common</x:t>
        </x:is>
      </x:c>
      <x:c r="AB736" s="5" t="inlineStr">
        <x:is>
          <x:t xml:space="preserve">예</x:t>
        </x:is>
      </x:c>
      <x:c r="AC736" s="8" t="str">
        <x:f>IF(T736&lt;&gt;"","수동확정",IF(X736="검토필요","검토필요",IF(S736="","원본없음","초기완료")))</x:f>
        <x:v>검토필요</x:v>
      </x:c>
      <x:c r="AD736" s="7" t="inlineStr">
        <x:is>
          <x:t xml:space="preserve"/>
        </x:is>
      </x:c>
      <x:c r="AE736" s="5" t="inlineStr">
        <x:is>
          <x:t xml:space="preserve">.tmp/cobblemon-1.7.3-source/common/src/main/resources/data/cobblemon/species/generation7/trumbeak.json</x:t>
        </x:is>
      </x:c>
      <x:c r="AF736" s="5" t="str">
        <x:f>"생활권|"&amp;K736</x:f>
        <x:v>생활권|비행</x:v>
      </x:c>
      <x:c r="AG736" s="5" t="str">
        <x:f>"지형|"&amp;L736</x:f>
        <x:v>지형|수목</x:v>
      </x:c>
      <x:c r="AH736" s="5" t="str">
        <x:f>"온도|"&amp;M736</x:f>
        <x:v>온도|온대</x:v>
      </x:c>
      <x:c r="AI736" s="5" t="str">
        <x:f>"습도|"&amp;N736</x:f>
        <x:v>습도|다습</x:v>
      </x:c>
      <x:c r="AJ736" s="5" t="str">
        <x:f>"날씨|"&amp;O736</x:f>
        <x:v>날씨|무관</x:v>
      </x:c>
      <x:c r="AK736" s="5" t="str">
        <x:f>"특수태그|"&amp;R736</x:f>
        <x:v>특수태그|없음</x:v>
      </x:c>
      <x:c r="AL736" s="5" t="str">
        <x:f>"원본서식지|"&amp;S736</x:f>
        <x:v>원본서식지|숲</x:v>
      </x:c>
      <x:c r="AM736" s="5" t="str">
        <x:f>"타입|"&amp;F736</x:f>
        <x:v>타입|노말</x:v>
      </x:c>
      <x:c r="AN736" s="5" t="str">
        <x:f>"타입|"&amp;G736</x:f>
        <x:v>타입|비행</x:v>
      </x:c>
    </x:row>
    <x:row r="737" ht="24" customHeight="1">
      <x:c r="A737" s="5" t="n">
        <x:v>733</x:v>
      </x:c>
      <x:c r="B737" s="5" t="inlineStr">
        <x:is>
          <x:t xml:space="preserve">왕큰부리</x:t>
        </x:is>
      </x:c>
      <x:c r="C737" s="5" t="inlineStr">
        <x:is>
          <x:t xml:space="preserve">toucannon</x:t>
        </x:is>
      </x:c>
      <x:c r="D737" s="5" t="inlineStr">
        <x:is>
          <x:t xml:space="preserve">Toucannon</x:t>
        </x:is>
      </x:c>
      <x:c r="E737" s="5" t="n">
        <x:v>7</x:v>
      </x:c>
      <x:c r="F737" s="5" t="inlineStr">
        <x:is>
          <x:t xml:space="preserve">노말</x:t>
        </x:is>
      </x:c>
      <x:c r="G737" s="5" t="inlineStr">
        <x:is>
          <x:t xml:space="preserve">비행</x:t>
        </x:is>
      </x:c>
      <x:c r="H737" s="6" t="n">
        <x:v>26</x:v>
      </x:c>
      <x:c r="I737" s="5" t="n">
        <x:v>28</x:v>
      </x:c>
      <x:c r="J737" s="5" t="inlineStr">
        <x:is>
          <x:t xml:space="preserve">최종</x:t>
        </x:is>
      </x:c>
      <x:c r="K737" s="7" t="inlineStr">
        <x:is>
          <x:t xml:space="preserve">비행</x:t>
        </x:is>
      </x:c>
      <x:c r="L737" s="7" t="inlineStr">
        <x:is>
          <x:t xml:space="preserve">수목</x:t>
        </x:is>
      </x:c>
      <x:c r="M737" s="7" t="inlineStr">
        <x:is>
          <x:t xml:space="preserve">온대</x:t>
        </x:is>
      </x:c>
      <x:c r="N737" s="7" t="inlineStr">
        <x:is>
          <x:t xml:space="preserve">다습</x:t>
        </x:is>
      </x:c>
      <x:c r="O737" s="7" t="inlineStr">
        <x:is>
          <x:t xml:space="preserve">무관</x:t>
        </x:is>
      </x:c>
      <x:c r="P737" s="7" t="inlineStr">
        <x:is>
          <x:t xml:space="preserve">낮</x:t>
        </x:is>
      </x:c>
      <x:c r="Q737" s="7" t="inlineStr">
        <x:is>
          <x:t xml:space="preserve">흔함</x:t>
        </x:is>
      </x:c>
      <x:c r="R737" s="7" t="inlineStr">
        <x:is>
          <x:t xml:space="preserve">없음</x:t>
        </x:is>
      </x:c>
      <x:c r="S737" s="7" t="inlineStr">
        <x:is>
          <x:t xml:space="preserve">숲</x:t>
        </x:is>
      </x:c>
      <x:c r="T737" s="7" t="inlineStr">
        <x:is>
          <x:t xml:space="preserve"/>
        </x:is>
      </x:c>
      <x:c r="U737" s="8" t="str">
        <x:f>INDEX('서식지_점수'!$E$4:$P$4,1,MATCH(MAX('서식지_점수'!E737:P737),'서식지_점수'!E737:P737,0))</x:f>
        <x:v>산악</x:v>
      </x:c>
      <x:c r="V737" s="8" t="str">
        <x:f>IF(T737&lt;&gt;"",T737,U737)</x:f>
        <x:v>산악</x:v>
      </x:c>
      <x:c r="W737" s="8" t="str">
        <x:f>IFERROR(INDEX('서식지_점수'!$E$4:$P$4,1,MATCH(MAXIFS('서식지_점수'!E737:P737,'서식지_점수'!E737:P737,"&lt;"&amp;MAX('서식지_점수'!E737:P737)),'서식지_점수'!E737:P737,0)),"")</x:f>
        <x:v>평원</x:v>
      </x:c>
      <x:c r="X737" s="8" t="str">
        <x:f>IF(T737&lt;&gt;"","수동확정",IF(MAX('서식지_점수'!E737:P737)-LARGE('서식지_점수'!E737:P737,2)&gt;=15,"높음",IF(MAX('서식지_점수'!E737:P737)-LARGE('서식지_점수'!E737:P737,2)&gt;=8,"보통","검토필요")))</x:f>
        <x:v>검토필요</x:v>
      </x:c>
      <x:c r="Y737" s="9" t="n">
        <x:f>IF(Q737="전설",8,IF(Q737="희귀",7,IF(J737="기본",1,IF(J737="중간",3,IF(J737="최종",IF(I737="",5,IF(I737&lt;=20,3,IF(I737&lt;=35,4,IF(I737&lt;=50,6,7)))),IF(Q737="드묾",4,2))))))</x:f>
        <x:v>4</x:v>
      </x:c>
      <x:c r="Z737" s="5" t="inlineStr">
        <x:is>
          <x:t xml:space="preserve">#cobblemon:is_jungle; #cobblemon:is_sky; #cobblemon:is_tropical_island</x:t>
        </x:is>
      </x:c>
      <x:c r="AA737" s="5" t="inlineStr">
        <x:is>
          <x:t xml:space="preserve">common</x:t>
        </x:is>
      </x:c>
      <x:c r="AB737" s="5" t="inlineStr">
        <x:is>
          <x:t xml:space="preserve">예</x:t>
        </x:is>
      </x:c>
      <x:c r="AC737" s="8" t="str">
        <x:f>IF(T737&lt;&gt;"","수동확정",IF(X737="검토필요","검토필요",IF(S737="","원본없음","초기완료")))</x:f>
        <x:v>검토필요</x:v>
      </x:c>
      <x:c r="AD737" s="7" t="inlineStr">
        <x:is>
          <x:t xml:space="preserve"/>
        </x:is>
      </x:c>
      <x:c r="AE737" s="5" t="inlineStr">
        <x:is>
          <x:t xml:space="preserve">.tmp/cobblemon-1.7.3-source/common/src/main/resources/data/cobblemon/species/generation7/toucannon.json</x:t>
        </x:is>
      </x:c>
      <x:c r="AF737" s="5" t="str">
        <x:f>"생활권|"&amp;K737</x:f>
        <x:v>생활권|비행</x:v>
      </x:c>
      <x:c r="AG737" s="5" t="str">
        <x:f>"지형|"&amp;L737</x:f>
        <x:v>지형|수목</x:v>
      </x:c>
      <x:c r="AH737" s="5" t="str">
        <x:f>"온도|"&amp;M737</x:f>
        <x:v>온도|온대</x:v>
      </x:c>
      <x:c r="AI737" s="5" t="str">
        <x:f>"습도|"&amp;N737</x:f>
        <x:v>습도|다습</x:v>
      </x:c>
      <x:c r="AJ737" s="5" t="str">
        <x:f>"날씨|"&amp;O737</x:f>
        <x:v>날씨|무관</x:v>
      </x:c>
      <x:c r="AK737" s="5" t="str">
        <x:f>"특수태그|"&amp;R737</x:f>
        <x:v>특수태그|없음</x:v>
      </x:c>
      <x:c r="AL737" s="5" t="str">
        <x:f>"원본서식지|"&amp;S737</x:f>
        <x:v>원본서식지|숲</x:v>
      </x:c>
      <x:c r="AM737" s="5" t="str">
        <x:f>"타입|"&amp;F737</x:f>
        <x:v>타입|노말</x:v>
      </x:c>
      <x:c r="AN737" s="5" t="str">
        <x:f>"타입|"&amp;G737</x:f>
        <x:v>타입|비행</x:v>
      </x:c>
    </x:row>
    <x:row r="738" ht="24" customHeight="1">
      <x:c r="A738" s="5" t="n">
        <x:v>734</x:v>
      </x:c>
      <x:c r="B738" s="5" t="inlineStr">
        <x:is>
          <x:t xml:space="preserve">영구스</x:t>
        </x:is>
      </x:c>
      <x:c r="C738" s="5" t="inlineStr">
        <x:is>
          <x:t xml:space="preserve">yungoos</x:t>
        </x:is>
      </x:c>
      <x:c r="D738" s="5" t="inlineStr">
        <x:is>
          <x:t xml:space="preserve">Yungoos</x:t>
        </x:is>
      </x:c>
      <x:c r="E738" s="5" t="n">
        <x:v>7</x:v>
      </x:c>
      <x:c r="F738" s="5" t="inlineStr">
        <x:is>
          <x:t xml:space="preserve">노말</x:t>
        </x:is>
      </x:c>
      <x:c r="G738" s="5" t="inlineStr">
        <x:is>
          <x:t xml:space="preserve"/>
        </x:is>
      </x:c>
      <x:c r="H738" s="6" t="n">
        <x:v>6</x:v>
      </x:c>
      <x:c r="I738" s="5" t="n">
        <x:v>20</x:v>
      </x:c>
      <x:c r="J738" s="5" t="inlineStr">
        <x:is>
          <x:t xml:space="preserve">기본</x:t>
        </x:is>
      </x:c>
      <x:c r="K738" s="7" t="inlineStr">
        <x:is>
          <x:t xml:space="preserve">육상</x:t>
        </x:is>
      </x:c>
      <x:c r="L738" s="7" t="inlineStr">
        <x:is>
          <x:t xml:space="preserve">개활지</x:t>
        </x:is>
      </x:c>
      <x:c r="M738" s="7" t="inlineStr">
        <x:is>
          <x:t xml:space="preserve">온대</x:t>
        </x:is>
      </x:c>
      <x:c r="N738" s="7" t="inlineStr">
        <x:is>
          <x:t xml:space="preserve">보통</x:t>
        </x:is>
      </x:c>
      <x:c r="O738" s="7" t="inlineStr">
        <x:is>
          <x:t xml:space="preserve">무관</x:t>
        </x:is>
      </x:c>
      <x:c r="P738" s="7" t="inlineStr">
        <x:is>
          <x:t xml:space="preserve">무관</x:t>
        </x:is>
      </x:c>
      <x:c r="Q738" s="7" t="inlineStr">
        <x:is>
          <x:t xml:space="preserve">흔함</x:t>
        </x:is>
      </x:c>
      <x:c r="R738" s="7" t="inlineStr">
        <x:is>
          <x:t xml:space="preserve">없음</x:t>
        </x:is>
      </x:c>
      <x:c r="S738" s="7" t="inlineStr">
        <x:is>
          <x:t xml:space="preserve">평원</x:t>
        </x:is>
      </x:c>
      <x:c r="T738" s="7" t="inlineStr">
        <x:is>
          <x:t xml:space="preserve"/>
        </x:is>
      </x:c>
      <x:c r="U738" s="8" t="str">
        <x:f>INDEX('서식지_점수'!$E$4:$P$4,1,MATCH(MAX('서식지_점수'!E738:P738),'서식지_점수'!E738:P738,0))</x:f>
        <x:v>평원</x:v>
      </x:c>
      <x:c r="V738" s="8" t="str">
        <x:f>IF(T738&lt;&gt;"",T738,U738)</x:f>
        <x:v>평원</x:v>
      </x:c>
      <x:c r="W738" s="8" t="str">
        <x:f>IFERROR(INDEX('서식지_점수'!$E$4:$P$4,1,MATCH(MAXIFS('서식지_점수'!E738:P738,'서식지_점수'!E738:P738,"&lt;"&amp;MAX('서식지_점수'!E738:P738)),'서식지_점수'!E738:P738,0)),"")</x:f>
        <x:v>숲</x:v>
      </x:c>
      <x:c r="X738" s="8" t="str">
        <x:f>IF(T738&lt;&gt;"","수동확정",IF(MAX('서식지_점수'!E738:P738)-LARGE('서식지_점수'!E738:P738,2)&gt;=15,"높음",IF(MAX('서식지_점수'!E738:P738)-LARGE('서식지_점수'!E738:P738,2)&gt;=8,"보통","검토필요")))</x:f>
        <x:v>검토필요</x:v>
      </x:c>
      <x:c r="Y738" s="9" t="n">
        <x:f>IF(Q738="전설",8,IF(Q738="희귀",7,IF(J738="기본",1,IF(J738="중간",3,IF(J738="최종",IF(I738="",5,IF(I738&lt;=20,3,IF(I738&lt;=35,4,IF(I738&lt;=50,6,7)))),IF(Q738="드묾",4,2))))))</x:f>
        <x:v>1</x:v>
      </x:c>
      <x:c r="Z738" s="5" t="inlineStr">
        <x:is>
          <x:t xml:space="preserve">#cobblemon:is_plains; #cobblemon:is_savanna</x:t>
        </x:is>
      </x:c>
      <x:c r="AA738" s="5" t="inlineStr">
        <x:is>
          <x:t xml:space="preserve">common</x:t>
        </x:is>
      </x:c>
      <x:c r="AB738" s="5" t="inlineStr">
        <x:is>
          <x:t xml:space="preserve">예</x:t>
        </x:is>
      </x:c>
      <x:c r="AC738" s="8" t="str">
        <x:f>IF(T738&lt;&gt;"","수동확정",IF(X738="검토필요","검토필요",IF(S738="","원본없음","초기완료")))</x:f>
        <x:v>검토필요</x:v>
      </x:c>
      <x:c r="AD738" s="7" t="inlineStr">
        <x:is>
          <x:t xml:space="preserve"/>
        </x:is>
      </x:c>
      <x:c r="AE738" s="5" t="inlineStr">
        <x:is>
          <x:t xml:space="preserve">.tmp/cobblemon-1.7.3-source/common/src/main/resources/data/cobblemon/species/generation7/yungoos.json</x:t>
        </x:is>
      </x:c>
      <x:c r="AF738" s="5" t="str">
        <x:f>"생활권|"&amp;K738</x:f>
        <x:v>생활권|육상</x:v>
      </x:c>
      <x:c r="AG738" s="5" t="str">
        <x:f>"지형|"&amp;L738</x:f>
        <x:v>지형|개활지</x:v>
      </x:c>
      <x:c r="AH738" s="5" t="str">
        <x:f>"온도|"&amp;M738</x:f>
        <x:v>온도|온대</x:v>
      </x:c>
      <x:c r="AI738" s="5" t="str">
        <x:f>"습도|"&amp;N738</x:f>
        <x:v>습도|보통</x:v>
      </x:c>
      <x:c r="AJ738" s="5" t="str">
        <x:f>"날씨|"&amp;O738</x:f>
        <x:v>날씨|무관</x:v>
      </x:c>
      <x:c r="AK738" s="5" t="str">
        <x:f>"특수태그|"&amp;R738</x:f>
        <x:v>특수태그|없음</x:v>
      </x:c>
      <x:c r="AL738" s="5" t="str">
        <x:f>"원본서식지|"&amp;S738</x:f>
        <x:v>원본서식지|평원</x:v>
      </x:c>
      <x:c r="AM738" s="5" t="str">
        <x:f>"타입|"&amp;F738</x:f>
        <x:v>타입|노말</x:v>
      </x:c>
      <x:c r="AN738" s="5" t="str">
        <x:f>"타입|"&amp;G738</x:f>
        <x:v>타입|</x:v>
      </x:c>
    </x:row>
    <x:row r="739" ht="24" customHeight="1">
      <x:c r="A739" s="5" t="n">
        <x:v>735</x:v>
      </x:c>
      <x:c r="B739" s="5" t="inlineStr">
        <x:is>
          <x:t xml:space="preserve">형사구스</x:t>
        </x:is>
      </x:c>
      <x:c r="C739" s="5" t="inlineStr">
        <x:is>
          <x:t xml:space="preserve">gumshoos</x:t>
        </x:is>
      </x:c>
      <x:c r="D739" s="5" t="inlineStr">
        <x:is>
          <x:t xml:space="preserve">Gumshoos</x:t>
        </x:is>
      </x:c>
      <x:c r="E739" s="5" t="n">
        <x:v>7</x:v>
      </x:c>
      <x:c r="F739" s="5" t="inlineStr">
        <x:is>
          <x:t xml:space="preserve">노말</x:t>
        </x:is>
      </x:c>
      <x:c r="G739" s="5" t="inlineStr">
        <x:is>
          <x:t xml:space="preserve"/>
        </x:is>
      </x:c>
      <x:c r="H739" s="6" t="n">
        <x:v>14.2</x:v>
      </x:c>
      <x:c r="I739" s="5" t="n">
        <x:v>20</x:v>
      </x:c>
      <x:c r="J739" s="5" t="inlineStr">
        <x:is>
          <x:t xml:space="preserve">최종</x:t>
        </x:is>
      </x:c>
      <x:c r="K739" s="7" t="inlineStr">
        <x:is>
          <x:t xml:space="preserve">육상</x:t>
        </x:is>
      </x:c>
      <x:c r="L739" s="7" t="inlineStr">
        <x:is>
          <x:t xml:space="preserve">개활지</x:t>
        </x:is>
      </x:c>
      <x:c r="M739" s="7" t="inlineStr">
        <x:is>
          <x:t xml:space="preserve">온대</x:t>
        </x:is>
      </x:c>
      <x:c r="N739" s="7" t="inlineStr">
        <x:is>
          <x:t xml:space="preserve">보통</x:t>
        </x:is>
      </x:c>
      <x:c r="O739" s="7" t="inlineStr">
        <x:is>
          <x:t xml:space="preserve">무관</x:t>
        </x:is>
      </x:c>
      <x:c r="P739" s="7" t="inlineStr">
        <x:is>
          <x:t xml:space="preserve">무관</x:t>
        </x:is>
      </x:c>
      <x:c r="Q739" s="7" t="inlineStr">
        <x:is>
          <x:t xml:space="preserve">흔함</x:t>
        </x:is>
      </x:c>
      <x:c r="R739" s="7" t="inlineStr">
        <x:is>
          <x:t xml:space="preserve">없음</x:t>
        </x:is>
      </x:c>
      <x:c r="S739" s="7" t="inlineStr">
        <x:is>
          <x:t xml:space="preserve">평원</x:t>
        </x:is>
      </x:c>
      <x:c r="T739" s="7" t="inlineStr">
        <x:is>
          <x:t xml:space="preserve"/>
        </x:is>
      </x:c>
      <x:c r="U739" s="8" t="str">
        <x:f>INDEX('서식지_점수'!$E$4:$P$4,1,MATCH(MAX('서식지_점수'!E739:P739),'서식지_점수'!E739:P739,0))</x:f>
        <x:v>평원</x:v>
      </x:c>
      <x:c r="V739" s="8" t="str">
        <x:f>IF(T739&lt;&gt;"",T739,U739)</x:f>
        <x:v>평원</x:v>
      </x:c>
      <x:c r="W739" s="8" t="str">
        <x:f>IFERROR(INDEX('서식지_점수'!$E$4:$P$4,1,MATCH(MAXIFS('서식지_점수'!E739:P739,'서식지_점수'!E739:P739,"&lt;"&amp;MAX('서식지_점수'!E739:P739)),'서식지_점수'!E739:P739,0)),"")</x:f>
        <x:v>숲</x:v>
      </x:c>
      <x:c r="X739" s="8" t="str">
        <x:f>IF(T739&lt;&gt;"","수동확정",IF(MAX('서식지_점수'!E739:P739)-LARGE('서식지_점수'!E739:P739,2)&gt;=15,"높음",IF(MAX('서식지_점수'!E739:P739)-LARGE('서식지_점수'!E739:P739,2)&gt;=8,"보통","검토필요")))</x:f>
        <x:v>검토필요</x:v>
      </x:c>
      <x:c r="Y739" s="9" t="n">
        <x:f>IF(Q739="전설",8,IF(Q739="희귀",7,IF(J739="기본",1,IF(J739="중간",3,IF(J739="최종",IF(I739="",5,IF(I739&lt;=20,3,IF(I739&lt;=35,4,IF(I739&lt;=50,6,7)))),IF(Q739="드묾",4,2))))))</x:f>
        <x:v>3</x:v>
      </x:c>
      <x:c r="Z739" s="5" t="inlineStr">
        <x:is>
          <x:t xml:space="preserve">#cobblemon:is_plains; #cobblemon:is_savanna</x:t>
        </x:is>
      </x:c>
      <x:c r="AA739" s="5" t="inlineStr">
        <x:is>
          <x:t xml:space="preserve">common</x:t>
        </x:is>
      </x:c>
      <x:c r="AB739" s="5" t="inlineStr">
        <x:is>
          <x:t xml:space="preserve">예</x:t>
        </x:is>
      </x:c>
      <x:c r="AC739" s="8" t="str">
        <x:f>IF(T739&lt;&gt;"","수동확정",IF(X739="검토필요","검토필요",IF(S739="","원본없음","초기완료")))</x:f>
        <x:v>검토필요</x:v>
      </x:c>
      <x:c r="AD739" s="7" t="inlineStr">
        <x:is>
          <x:t xml:space="preserve"/>
        </x:is>
      </x:c>
      <x:c r="AE739" s="5" t="inlineStr">
        <x:is>
          <x:t xml:space="preserve">.tmp/cobblemon-1.7.3-source/common/src/main/resources/data/cobblemon/species/generation7/gumshoos.json</x:t>
        </x:is>
      </x:c>
      <x:c r="AF739" s="5" t="str">
        <x:f>"생활권|"&amp;K739</x:f>
        <x:v>생활권|육상</x:v>
      </x:c>
      <x:c r="AG739" s="5" t="str">
        <x:f>"지형|"&amp;L739</x:f>
        <x:v>지형|개활지</x:v>
      </x:c>
      <x:c r="AH739" s="5" t="str">
        <x:f>"온도|"&amp;M739</x:f>
        <x:v>온도|온대</x:v>
      </x:c>
      <x:c r="AI739" s="5" t="str">
        <x:f>"습도|"&amp;N739</x:f>
        <x:v>습도|보통</x:v>
      </x:c>
      <x:c r="AJ739" s="5" t="str">
        <x:f>"날씨|"&amp;O739</x:f>
        <x:v>날씨|무관</x:v>
      </x:c>
      <x:c r="AK739" s="5" t="str">
        <x:f>"특수태그|"&amp;R739</x:f>
        <x:v>특수태그|없음</x:v>
      </x:c>
      <x:c r="AL739" s="5" t="str">
        <x:f>"원본서식지|"&amp;S739</x:f>
        <x:v>원본서식지|평원</x:v>
      </x:c>
      <x:c r="AM739" s="5" t="str">
        <x:f>"타입|"&amp;F739</x:f>
        <x:v>타입|노말</x:v>
      </x:c>
      <x:c r="AN739" s="5" t="str">
        <x:f>"타입|"&amp;G739</x:f>
        <x:v>타입|</x:v>
      </x:c>
    </x:row>
    <x:row r="740" ht="24" customHeight="1">
      <x:c r="A740" s="5" t="n">
        <x:v>736</x:v>
      </x:c>
      <x:c r="B740" s="5" t="inlineStr">
        <x:is>
          <x:t xml:space="preserve">턱지충이</x:t>
        </x:is>
      </x:c>
      <x:c r="C740" s="5" t="inlineStr">
        <x:is>
          <x:t xml:space="preserve">grubbin</x:t>
        </x:is>
      </x:c>
      <x:c r="D740" s="5" t="inlineStr">
        <x:is>
          <x:t xml:space="preserve">Grubbin</x:t>
        </x:is>
      </x:c>
      <x:c r="E740" s="5" t="n">
        <x:v>7</x:v>
      </x:c>
      <x:c r="F740" s="5" t="inlineStr">
        <x:is>
          <x:t xml:space="preserve">벌레</x:t>
        </x:is>
      </x:c>
      <x:c r="G740" s="5" t="inlineStr">
        <x:is>
          <x:t xml:space="preserve"/>
        </x:is>
      </x:c>
      <x:c r="H740" s="6" t="n">
        <x:v>4.4</x:v>
      </x:c>
      <x:c r="I740" s="5" t="n">
        <x:v>20</x:v>
      </x:c>
      <x:c r="J740" s="5" t="inlineStr">
        <x:is>
          <x:t xml:space="preserve">기본</x:t>
        </x:is>
      </x:c>
      <x:c r="K740" s="7" t="inlineStr">
        <x:is>
          <x:t xml:space="preserve">육상</x:t>
        </x:is>
      </x:c>
      <x:c r="L740" s="7" t="inlineStr">
        <x:is>
          <x:t xml:space="preserve">건조</x:t>
        </x:is>
      </x:c>
      <x:c r="M740" s="7" t="inlineStr">
        <x:is>
          <x:t xml:space="preserve">고온</x:t>
        </x:is>
      </x:c>
      <x:c r="N740" s="7" t="inlineStr">
        <x:is>
          <x:t xml:space="preserve">다습</x:t>
        </x:is>
      </x:c>
      <x:c r="O740" s="7" t="inlineStr">
        <x:is>
          <x:t xml:space="preserve">맑음</x:t>
        </x:is>
      </x:c>
      <x:c r="P740" s="7" t="inlineStr">
        <x:is>
          <x:t xml:space="preserve">무관</x:t>
        </x:is>
      </x:c>
      <x:c r="Q740" s="7" t="inlineStr">
        <x:is>
          <x:t xml:space="preserve">흔함</x:t>
        </x:is>
      </x:c>
      <x:c r="R740" s="7" t="inlineStr">
        <x:is>
          <x:t xml:space="preserve">없음</x:t>
        </x:is>
      </x:c>
      <x:c r="S740" s="7" t="inlineStr">
        <x:is>
          <x:t xml:space="preserve">건조지</x:t>
        </x:is>
      </x:c>
      <x:c r="T740" s="7" t="inlineStr">
        <x:is>
          <x:t xml:space="preserve"/>
        </x:is>
      </x:c>
      <x:c r="U740" s="8" t="str">
        <x:f>INDEX('서식지_점수'!$E$4:$P$4,1,MATCH(MAX('서식지_점수'!E740:P740),'서식지_점수'!E740:P740,0))</x:f>
        <x:v>평원</x:v>
      </x:c>
      <x:c r="V740" s="8" t="str">
        <x:f>IF(T740&lt;&gt;"",T740,U740)</x:f>
        <x:v>평원</x:v>
      </x:c>
      <x:c r="W740" s="8" t="str">
        <x:f>IFERROR(INDEX('서식지_점수'!$E$4:$P$4,1,MATCH(MAXIFS('서식지_점수'!E740:P740,'서식지_점수'!E740:P740,"&lt;"&amp;MAX('서식지_점수'!E740:P740)),'서식지_점수'!E740:P740,0)),"")</x:f>
        <x:v>숲</x:v>
      </x:c>
      <x:c r="X740" s="8" t="str">
        <x:f>IF(T740&lt;&gt;"","수동확정",IF(MAX('서식지_점수'!E740:P740)-LARGE('서식지_점수'!E740:P740,2)&gt;=15,"높음",IF(MAX('서식지_점수'!E740:P740)-LARGE('서식지_점수'!E740:P740,2)&gt;=8,"보통","검토필요")))</x:f>
        <x:v>검토필요</x:v>
      </x:c>
      <x:c r="Y740" s="9" t="n">
        <x:f>IF(Q740="전설",8,IF(Q740="희귀",7,IF(J740="기본",1,IF(J740="중간",3,IF(J740="최종",IF(I740="",5,IF(I740&lt;=20,3,IF(I740&lt;=35,4,IF(I740&lt;=50,6,7)))),IF(Q740="드묾",4,2))))))</x:f>
        <x:v>1</x:v>
      </x:c>
      <x:c r="Z740" s="5" t="inlineStr">
        <x:is>
          <x:t xml:space="preserve">#cobblemon:is_badlands; #cobblemon:is_jungle</x:t>
        </x:is>
      </x:c>
      <x:c r="AA740" s="5" t="inlineStr">
        <x:is>
          <x:t xml:space="preserve">common</x:t>
        </x:is>
      </x:c>
      <x:c r="AB740" s="5" t="inlineStr">
        <x:is>
          <x:t xml:space="preserve">아니오</x:t>
        </x:is>
      </x:c>
      <x:c r="AC740" s="8" t="str">
        <x:f>IF(T740&lt;&gt;"","수동확정",IF(X740="검토필요","검토필요",IF(S740="","원본없음","초기완료")))</x:f>
        <x:v>검토필요</x:v>
      </x:c>
      <x:c r="AD740" s="7" t="inlineStr">
        <x:is>
          <x:t xml:space="preserve"/>
        </x:is>
      </x:c>
      <x:c r="AE740" s="5" t="inlineStr">
        <x:is>
          <x:t xml:space="preserve">.tmp/cobblemon-1.7.3-source/common/src/main/resources/data/cobblemon/species/generation7/grubbin.json</x:t>
        </x:is>
      </x:c>
      <x:c r="AF740" s="5" t="str">
        <x:f>"생활권|"&amp;K740</x:f>
        <x:v>생활권|육상</x:v>
      </x:c>
      <x:c r="AG740" s="5" t="str">
        <x:f>"지형|"&amp;L740</x:f>
        <x:v>지형|건조</x:v>
      </x:c>
      <x:c r="AH740" s="5" t="str">
        <x:f>"온도|"&amp;M740</x:f>
        <x:v>온도|고온</x:v>
      </x:c>
      <x:c r="AI740" s="5" t="str">
        <x:f>"습도|"&amp;N740</x:f>
        <x:v>습도|다습</x:v>
      </x:c>
      <x:c r="AJ740" s="5" t="str">
        <x:f>"날씨|"&amp;O740</x:f>
        <x:v>날씨|맑음</x:v>
      </x:c>
      <x:c r="AK740" s="5" t="str">
        <x:f>"특수태그|"&amp;R740</x:f>
        <x:v>특수태그|없음</x:v>
      </x:c>
      <x:c r="AL740" s="5" t="str">
        <x:f>"원본서식지|"&amp;S740</x:f>
        <x:v>원본서식지|건조지</x:v>
      </x:c>
      <x:c r="AM740" s="5" t="str">
        <x:f>"타입|"&amp;F740</x:f>
        <x:v>타입|벌레</x:v>
      </x:c>
      <x:c r="AN740" s="5" t="str">
        <x:f>"타입|"&amp;G740</x:f>
        <x:v>타입|</x:v>
      </x:c>
    </x:row>
    <x:row r="741" ht="24" customHeight="1">
      <x:c r="A741" s="5" t="n">
        <x:v>737</x:v>
      </x:c>
      <x:c r="B741" s="5" t="inlineStr">
        <x:is>
          <x:t xml:space="preserve">전지충이</x:t>
        </x:is>
      </x:c>
      <x:c r="C741" s="5" t="inlineStr">
        <x:is>
          <x:t xml:space="preserve">charjabug</x:t>
        </x:is>
      </x:c>
      <x:c r="D741" s="5" t="inlineStr">
        <x:is>
          <x:t xml:space="preserve">Charjabug</x:t>
        </x:is>
      </x:c>
      <x:c r="E741" s="5" t="n">
        <x:v>7</x:v>
      </x:c>
      <x:c r="F741" s="5" t="inlineStr">
        <x:is>
          <x:t xml:space="preserve">벌레</x:t>
        </x:is>
      </x:c>
      <x:c r="G741" s="5" t="inlineStr">
        <x:is>
          <x:t xml:space="preserve">전기</x:t>
        </x:is>
      </x:c>
      <x:c r="H741" s="6" t="n">
        <x:v>10.5</x:v>
      </x:c>
      <x:c r="I741" s="5" t="n">
        <x:v>20</x:v>
      </x:c>
      <x:c r="J741" s="5" t="inlineStr">
        <x:is>
          <x:t xml:space="preserve">중간</x:t>
        </x:is>
      </x:c>
      <x:c r="K741" s="7" t="inlineStr">
        <x:is>
          <x:t xml:space="preserve">육상</x:t>
        </x:is>
      </x:c>
      <x:c r="L741" s="7" t="inlineStr">
        <x:is>
          <x:t xml:space="preserve">건조</x:t>
        </x:is>
      </x:c>
      <x:c r="M741" s="7" t="inlineStr">
        <x:is>
          <x:t xml:space="preserve">고온</x:t>
        </x:is>
      </x:c>
      <x:c r="N741" s="7" t="inlineStr">
        <x:is>
          <x:t xml:space="preserve">다습</x:t>
        </x:is>
      </x:c>
      <x:c r="O741" s="7" t="inlineStr">
        <x:is>
          <x:t xml:space="preserve">맑음</x:t>
        </x:is>
      </x:c>
      <x:c r="P741" s="7" t="inlineStr">
        <x:is>
          <x:t xml:space="preserve">무관</x:t>
        </x:is>
      </x:c>
      <x:c r="Q741" s="7" t="inlineStr">
        <x:is>
          <x:t xml:space="preserve">보통</x:t>
        </x:is>
      </x:c>
      <x:c r="R741" s="7" t="inlineStr">
        <x:is>
          <x:t xml:space="preserve">없음</x:t>
        </x:is>
      </x:c>
      <x:c r="S741" s="7" t="inlineStr">
        <x:is>
          <x:t xml:space="preserve">건조지</x:t>
        </x:is>
      </x:c>
      <x:c r="T741" s="7" t="inlineStr">
        <x:is>
          <x:t xml:space="preserve"/>
        </x:is>
      </x:c>
      <x:c r="U741" s="8" t="str">
        <x:f>INDEX('서식지_점수'!$E$4:$P$4,1,MATCH(MAX('서식지_점수'!E741:P741),'서식지_점수'!E741:P741,0))</x:f>
        <x:v>평원</x:v>
      </x:c>
      <x:c r="V741" s="8" t="str">
        <x:f>IF(T741&lt;&gt;"",T741,U741)</x:f>
        <x:v>평원</x:v>
      </x:c>
      <x:c r="W741" s="8" t="str">
        <x:f>IFERROR(INDEX('서식지_점수'!$E$4:$P$4,1,MATCH(MAXIFS('서식지_점수'!E741:P741,'서식지_점수'!E741:P741,"&lt;"&amp;MAX('서식지_점수'!E741:P741)),'서식지_점수'!E741:P741,0)),"")</x:f>
        <x:v>숲</x:v>
      </x:c>
      <x:c r="X741" s="8" t="str">
        <x:f>IF(T741&lt;&gt;"","수동확정",IF(MAX('서식지_점수'!E741:P741)-LARGE('서식지_점수'!E741:P741,2)&gt;=15,"높음",IF(MAX('서식지_점수'!E741:P741)-LARGE('서식지_점수'!E741:P741,2)&gt;=8,"보통","검토필요")))</x:f>
        <x:v>검토필요</x:v>
      </x:c>
      <x:c r="Y741" s="9" t="n">
        <x:f>IF(Q741="전설",8,IF(Q741="희귀",7,IF(J741="기본",1,IF(J741="중간",3,IF(J741="최종",IF(I741="",5,IF(I741&lt;=20,3,IF(I741&lt;=35,4,IF(I741&lt;=50,6,7)))),IF(Q741="드묾",4,2))))))</x:f>
        <x:v>3</x:v>
      </x:c>
      <x:c r="Z741" s="5" t="inlineStr">
        <x:is>
          <x:t xml:space="preserve">#cobblemon:is_badlands; #cobblemon:is_jungle</x:t>
        </x:is>
      </x:c>
      <x:c r="AA741" s="5" t="inlineStr">
        <x:is>
          <x:t xml:space="preserve">uncommon</x:t>
        </x:is>
      </x:c>
      <x:c r="AB741" s="5" t="inlineStr">
        <x:is>
          <x:t xml:space="preserve">아니오</x:t>
        </x:is>
      </x:c>
      <x:c r="AC741" s="8" t="str">
        <x:f>IF(T741&lt;&gt;"","수동확정",IF(X741="검토필요","검토필요",IF(S741="","원본없음","초기완료")))</x:f>
        <x:v>검토필요</x:v>
      </x:c>
      <x:c r="AD741" s="7" t="inlineStr">
        <x:is>
          <x:t xml:space="preserve"/>
        </x:is>
      </x:c>
      <x:c r="AE741" s="5" t="inlineStr">
        <x:is>
          <x:t xml:space="preserve">.tmp/cobblemon-1.7.3-source/common/src/main/resources/data/cobblemon/species/generation7/charjabug.json</x:t>
        </x:is>
      </x:c>
      <x:c r="AF741" s="5" t="str">
        <x:f>"생활권|"&amp;K741</x:f>
        <x:v>생활권|육상</x:v>
      </x:c>
      <x:c r="AG741" s="5" t="str">
        <x:f>"지형|"&amp;L741</x:f>
        <x:v>지형|건조</x:v>
      </x:c>
      <x:c r="AH741" s="5" t="str">
        <x:f>"온도|"&amp;M741</x:f>
        <x:v>온도|고온</x:v>
      </x:c>
      <x:c r="AI741" s="5" t="str">
        <x:f>"습도|"&amp;N741</x:f>
        <x:v>습도|다습</x:v>
      </x:c>
      <x:c r="AJ741" s="5" t="str">
        <x:f>"날씨|"&amp;O741</x:f>
        <x:v>날씨|맑음</x:v>
      </x:c>
      <x:c r="AK741" s="5" t="str">
        <x:f>"특수태그|"&amp;R741</x:f>
        <x:v>특수태그|없음</x:v>
      </x:c>
      <x:c r="AL741" s="5" t="str">
        <x:f>"원본서식지|"&amp;S741</x:f>
        <x:v>원본서식지|건조지</x:v>
      </x:c>
      <x:c r="AM741" s="5" t="str">
        <x:f>"타입|"&amp;F741</x:f>
        <x:v>타입|벌레</x:v>
      </x:c>
      <x:c r="AN741" s="5" t="str">
        <x:f>"타입|"&amp;G741</x:f>
        <x:v>타입|전기</x:v>
      </x:c>
    </x:row>
    <x:row r="742" ht="24" customHeight="1">
      <x:c r="A742" s="5" t="n">
        <x:v>738</x:v>
      </x:c>
      <x:c r="B742" s="5" t="inlineStr">
        <x:is>
          <x:t xml:space="preserve">투구뿌논</x:t>
        </x:is>
      </x:c>
      <x:c r="C742" s="5" t="inlineStr">
        <x:is>
          <x:t xml:space="preserve">vikavolt</x:t>
        </x:is>
      </x:c>
      <x:c r="D742" s="5" t="inlineStr">
        <x:is>
          <x:t xml:space="preserve">Vikavolt</x:t>
        </x:is>
      </x:c>
      <x:c r="E742" s="5" t="n">
        <x:v>7</x:v>
      </x:c>
      <x:c r="F742" s="5" t="inlineStr">
        <x:is>
          <x:t xml:space="preserve">벌레</x:t>
        </x:is>
      </x:c>
      <x:c r="G742" s="5" t="inlineStr">
        <x:is>
          <x:t xml:space="preserve">전기</x:t>
        </x:is>
      </x:c>
      <x:c r="H742" s="6" t="n">
        <x:v>45</x:v>
      </x:c>
      <x:c r="I742" s="5" t="n">
        <x:v>20</x:v>
      </x:c>
      <x:c r="J742" s="5" t="inlineStr">
        <x:is>
          <x:t xml:space="preserve">최종</x:t>
        </x:is>
      </x:c>
      <x:c r="K742" s="7" t="inlineStr">
        <x:is>
          <x:t xml:space="preserve">비행</x:t>
        </x:is>
      </x:c>
      <x:c r="L742" s="7" t="inlineStr">
        <x:is>
          <x:t xml:space="preserve">건조</x:t>
        </x:is>
      </x:c>
      <x:c r="M742" s="7" t="inlineStr">
        <x:is>
          <x:t xml:space="preserve">고온</x:t>
        </x:is>
      </x:c>
      <x:c r="N742" s="7" t="inlineStr">
        <x:is>
          <x:t xml:space="preserve">다습</x:t>
        </x:is>
      </x:c>
      <x:c r="O742" s="7" t="inlineStr">
        <x:is>
          <x:t xml:space="preserve">맑음</x:t>
        </x:is>
      </x:c>
      <x:c r="P742" s="7" t="inlineStr">
        <x:is>
          <x:t xml:space="preserve">무관</x:t>
        </x:is>
      </x:c>
      <x:c r="Q742" s="7" t="inlineStr">
        <x:is>
          <x:t xml:space="preserve">드묾</x:t>
        </x:is>
      </x:c>
      <x:c r="R742" s="7" t="inlineStr">
        <x:is>
          <x:t xml:space="preserve">없음</x:t>
        </x:is>
      </x:c>
      <x:c r="S742" s="7" t="inlineStr">
        <x:is>
          <x:t xml:space="preserve">건조지</x:t>
        </x:is>
      </x:c>
      <x:c r="T742" s="7" t="inlineStr">
        <x:is>
          <x:t xml:space="preserve"/>
        </x:is>
      </x:c>
      <x:c r="U742" s="8" t="str">
        <x:f>INDEX('서식지_점수'!$E$4:$P$4,1,MATCH(MAX('서식지_점수'!E742:P742),'서식지_점수'!E742:P742,0))</x:f>
        <x:v>산악</x:v>
      </x:c>
      <x:c r="V742" s="8" t="str">
        <x:f>IF(T742&lt;&gt;"",T742,U742)</x:f>
        <x:v>산악</x:v>
      </x:c>
      <x:c r="W742" s="8" t="str">
        <x:f>IFERROR(INDEX('서식지_점수'!$E$4:$P$4,1,MATCH(MAXIFS('서식지_점수'!E742:P742,'서식지_점수'!E742:P742,"&lt;"&amp;MAX('서식지_점수'!E742:P742)),'서식지_점수'!E742:P742,0)),"")</x:f>
        <x:v>평원</x:v>
      </x:c>
      <x:c r="X742" s="8" t="str">
        <x:f>IF(T742&lt;&gt;"","수동확정",IF(MAX('서식지_점수'!E742:P742)-LARGE('서식지_점수'!E742:P742,2)&gt;=15,"높음",IF(MAX('서식지_점수'!E742:P742)-LARGE('서식지_점수'!E742:P742,2)&gt;=8,"보통","검토필요")))</x:f>
        <x:v>검토필요</x:v>
      </x:c>
      <x:c r="Y742" s="9" t="n">
        <x:f>IF(Q742="전설",8,IF(Q742="희귀",7,IF(J742="기본",1,IF(J742="중간",3,IF(J742="최종",IF(I742="",5,IF(I742&lt;=20,3,IF(I742&lt;=35,4,IF(I742&lt;=50,6,7)))),IF(Q742="드묾",4,2))))))</x:f>
        <x:v>3</x:v>
      </x:c>
      <x:c r="Z742" s="5" t="inlineStr">
        <x:is>
          <x:t xml:space="preserve">#cobblemon:is_badlands; #cobblemon:is_jungle</x:t>
        </x:is>
      </x:c>
      <x:c r="AA742" s="5" t="inlineStr">
        <x:is>
          <x:t xml:space="preserve">rare</x:t>
        </x:is>
      </x:c>
      <x:c r="AB742" s="5" t="inlineStr">
        <x:is>
          <x:t xml:space="preserve">아니오</x:t>
        </x:is>
      </x:c>
      <x:c r="AC742" s="8" t="str">
        <x:f>IF(T742&lt;&gt;"","수동확정",IF(X742="검토필요","검토필요",IF(S742="","원본없음","초기완료")))</x:f>
        <x:v>검토필요</x:v>
      </x:c>
      <x:c r="AD742" s="7" t="inlineStr">
        <x:is>
          <x:t xml:space="preserve"/>
        </x:is>
      </x:c>
      <x:c r="AE742" s="5" t="inlineStr">
        <x:is>
          <x:t xml:space="preserve">.tmp/cobblemon-1.7.3-source/common/src/main/resources/data/cobblemon/species/generation7/vikavolt.json</x:t>
        </x:is>
      </x:c>
      <x:c r="AF742" s="5" t="str">
        <x:f>"생활권|"&amp;K742</x:f>
        <x:v>생활권|비행</x:v>
      </x:c>
      <x:c r="AG742" s="5" t="str">
        <x:f>"지형|"&amp;L742</x:f>
        <x:v>지형|건조</x:v>
      </x:c>
      <x:c r="AH742" s="5" t="str">
        <x:f>"온도|"&amp;M742</x:f>
        <x:v>온도|고온</x:v>
      </x:c>
      <x:c r="AI742" s="5" t="str">
        <x:f>"습도|"&amp;N742</x:f>
        <x:v>습도|다습</x:v>
      </x:c>
      <x:c r="AJ742" s="5" t="str">
        <x:f>"날씨|"&amp;O742</x:f>
        <x:v>날씨|맑음</x:v>
      </x:c>
      <x:c r="AK742" s="5" t="str">
        <x:f>"특수태그|"&amp;R742</x:f>
        <x:v>특수태그|없음</x:v>
      </x:c>
      <x:c r="AL742" s="5" t="str">
        <x:f>"원본서식지|"&amp;S742</x:f>
        <x:v>원본서식지|건조지</x:v>
      </x:c>
      <x:c r="AM742" s="5" t="str">
        <x:f>"타입|"&amp;F742</x:f>
        <x:v>타입|벌레</x:v>
      </x:c>
      <x:c r="AN742" s="5" t="str">
        <x:f>"타입|"&amp;G742</x:f>
        <x:v>타입|전기</x:v>
      </x:c>
    </x:row>
    <x:row r="743" ht="24" customHeight="1">
      <x:c r="A743" s="5" t="n">
        <x:v>739</x:v>
      </x:c>
      <x:c r="B743" s="5" t="inlineStr">
        <x:is>
          <x:t xml:space="preserve">오기지게</x:t>
        </x:is>
      </x:c>
      <x:c r="C743" s="5" t="inlineStr">
        <x:is>
          <x:t xml:space="preserve">crabrawler</x:t>
        </x:is>
      </x:c>
      <x:c r="D743" s="5" t="inlineStr">
        <x:is>
          <x:t xml:space="preserve">Crabrawler</x:t>
        </x:is>
      </x:c>
      <x:c r="E743" s="5" t="n">
        <x:v>7</x:v>
      </x:c>
      <x:c r="F743" s="5" t="inlineStr">
        <x:is>
          <x:t xml:space="preserve">격투</x:t>
        </x:is>
      </x:c>
      <x:c r="G743" s="5" t="inlineStr">
        <x:is>
          <x:t xml:space="preserve"/>
        </x:is>
      </x:c>
      <x:c r="H743" s="6" t="n">
        <x:v>7</x:v>
      </x:c>
      <x:c r="I743" s="5" t="n"/>
      <x:c r="J743" s="5" t="inlineStr">
        <x:is>
          <x:t xml:space="preserve">기본</x:t>
        </x:is>
      </x:c>
      <x:c r="K743" s="7" t="inlineStr">
        <x:is>
          <x:t xml:space="preserve">해양</x:t>
        </x:is>
      </x:c>
      <x:c r="L743" s="7" t="inlineStr">
        <x:is>
          <x:t xml:space="preserve">해안·해양</x:t>
        </x:is>
      </x:c>
      <x:c r="M743" s="7" t="inlineStr">
        <x:is>
          <x:t xml:space="preserve">온대</x:t>
        </x:is>
      </x:c>
      <x:c r="N743" s="7" t="inlineStr">
        <x:is>
          <x:t xml:space="preserve">수중</x:t>
        </x:is>
      </x:c>
      <x:c r="O743" s="7" t="inlineStr">
        <x:is>
          <x:t xml:space="preserve">비</x:t>
        </x:is>
      </x:c>
      <x:c r="P743" s="7" t="inlineStr">
        <x:is>
          <x:t xml:space="preserve">무관</x:t>
        </x:is>
      </x:c>
      <x:c r="Q743" s="7" t="inlineStr">
        <x:is>
          <x:t xml:space="preserve">흔함</x:t>
        </x:is>
      </x:c>
      <x:c r="R743" s="7" t="inlineStr">
        <x:is>
          <x:t xml:space="preserve">없음</x:t>
        </x:is>
      </x:c>
      <x:c r="S743" s="7" t="inlineStr">
        <x:is>
          <x:t xml:space="preserve">해양</x:t>
        </x:is>
      </x:c>
      <x:c r="T743" s="7" t="inlineStr">
        <x:is>
          <x:t xml:space="preserve"/>
        </x:is>
      </x:c>
      <x:c r="U743" s="8" t="str">
        <x:f>INDEX('서식지_점수'!$E$4:$P$4,1,MATCH(MAX('서식지_점수'!E743:P743),'서식지_점수'!E743:P743,0))</x:f>
        <x:v>해양</x:v>
      </x:c>
      <x:c r="V743" s="8" t="str">
        <x:f>IF(T743&lt;&gt;"",T743,U743)</x:f>
        <x:v>해양</x:v>
      </x:c>
      <x:c r="W743" s="8" t="str">
        <x:f>IFERROR(INDEX('서식지_점수'!$E$4:$P$4,1,MATCH(MAXIFS('서식지_점수'!E743:P743,'서식지_점수'!E743:P743,"&lt;"&amp;MAX('서식지_점수'!E743:P743)),'서식지_점수'!E743:P743,0)),"")</x:f>
        <x:v>습지</x:v>
      </x:c>
      <x:c r="X743" s="8" t="str">
        <x:f>IF(T743&lt;&gt;"","수동확정",IF(MAX('서식지_점수'!E743:P743)-LARGE('서식지_점수'!E743:P743,2)&gt;=15,"높음",IF(MAX('서식지_점수'!E743:P743)-LARGE('서식지_점수'!E743:P743,2)&gt;=8,"보통","검토필요")))</x:f>
        <x:v>높음</x:v>
      </x:c>
      <x:c r="Y743" s="9" t="n">
        <x:f>IF(Q743="전설",8,IF(Q743="희귀",7,IF(J743="기본",1,IF(J743="중간",3,IF(J743="최종",IF(I743="",5,IF(I743&lt;=20,3,IF(I743&lt;=35,4,IF(I743&lt;=50,6,7)))),IF(Q743="드묾",4,2))))))</x:f>
        <x:v>1</x:v>
      </x:c>
      <x:c r="Z743" s="5" t="inlineStr">
        <x:is>
          <x:t xml:space="preserve">#cobblemon:is_coast</x:t>
        </x:is>
      </x:c>
      <x:c r="AA743" s="5" t="inlineStr">
        <x:is>
          <x:t xml:space="preserve">common</x:t>
        </x:is>
      </x:c>
      <x:c r="AB743" s="5" t="inlineStr">
        <x:is>
          <x:t xml:space="preserve">예</x:t>
        </x:is>
      </x:c>
      <x:c r="AC743" s="8" t="str">
        <x:f>IF(T743&lt;&gt;"","수동확정",IF(X743="검토필요","검토필요",IF(S743="","원본없음","초기완료")))</x:f>
        <x:v>초기완료</x:v>
      </x:c>
      <x:c r="AD743" s="7" t="inlineStr">
        <x:is>
          <x:t xml:space="preserve"/>
        </x:is>
      </x:c>
      <x:c r="AE743" s="5" t="inlineStr">
        <x:is>
          <x:t xml:space="preserve">.tmp/cobblemon-1.7.3-source/common/src/main/resources/data/cobblemon/species/generation7/crabrawler.json</x:t>
        </x:is>
      </x:c>
      <x:c r="AF743" s="5" t="str">
        <x:f>"생활권|"&amp;K743</x:f>
        <x:v>생활권|해양</x:v>
      </x:c>
      <x:c r="AG743" s="5" t="str">
        <x:f>"지형|"&amp;L743</x:f>
        <x:v>지형|해안·해양</x:v>
      </x:c>
      <x:c r="AH743" s="5" t="str">
        <x:f>"온도|"&amp;M743</x:f>
        <x:v>온도|온대</x:v>
      </x:c>
      <x:c r="AI743" s="5" t="str">
        <x:f>"습도|"&amp;N743</x:f>
        <x:v>습도|수중</x:v>
      </x:c>
      <x:c r="AJ743" s="5" t="str">
        <x:f>"날씨|"&amp;O743</x:f>
        <x:v>날씨|비</x:v>
      </x:c>
      <x:c r="AK743" s="5" t="str">
        <x:f>"특수태그|"&amp;R743</x:f>
        <x:v>특수태그|없음</x:v>
      </x:c>
      <x:c r="AL743" s="5" t="str">
        <x:f>"원본서식지|"&amp;S743</x:f>
        <x:v>원본서식지|해양</x:v>
      </x:c>
      <x:c r="AM743" s="5" t="str">
        <x:f>"타입|"&amp;F743</x:f>
        <x:v>타입|격투</x:v>
      </x:c>
      <x:c r="AN743" s="5" t="str">
        <x:f>"타입|"&amp;G743</x:f>
        <x:v>타입|</x:v>
      </x:c>
    </x:row>
    <x:row r="744" ht="24" customHeight="1">
      <x:c r="A744" s="5" t="n">
        <x:v>740</x:v>
      </x:c>
      <x:c r="B744" s="5" t="inlineStr">
        <x:is>
          <x:t xml:space="preserve">모단단게</x:t>
        </x:is>
      </x:c>
      <x:c r="C744" s="5" t="inlineStr">
        <x:is>
          <x:t xml:space="preserve">crabominable</x:t>
        </x:is>
      </x:c>
      <x:c r="D744" s="5" t="inlineStr">
        <x:is>
          <x:t xml:space="preserve">Crabominable</x:t>
        </x:is>
      </x:c>
      <x:c r="E744" s="5" t="n">
        <x:v>7</x:v>
      </x:c>
      <x:c r="F744" s="5" t="inlineStr">
        <x:is>
          <x:t xml:space="preserve">격투</x:t>
        </x:is>
      </x:c>
      <x:c r="G744" s="5" t="inlineStr">
        <x:is>
          <x:t xml:space="preserve">얼음</x:t>
        </x:is>
      </x:c>
      <x:c r="H744" s="6" t="n">
        <x:v>180</x:v>
      </x:c>
      <x:c r="I744" s="5" t="n"/>
      <x:c r="J744" s="5" t="inlineStr">
        <x:is>
          <x:t xml:space="preserve">최종</x:t>
        </x:is>
      </x:c>
      <x:c r="K744" s="7" t="inlineStr">
        <x:is>
          <x:t xml:space="preserve">육상</x:t>
        </x:is>
      </x:c>
      <x:c r="L744" s="7" t="inlineStr">
        <x:is>
          <x:t xml:space="preserve">암석</x:t>
        </x:is>
      </x:c>
      <x:c r="M744" s="7" t="inlineStr">
        <x:is>
          <x:t xml:space="preserve">한랭</x:t>
        </x:is>
      </x:c>
      <x:c r="N744" s="7" t="inlineStr">
        <x:is>
          <x:t xml:space="preserve">보통</x:t>
        </x:is>
      </x:c>
      <x:c r="O744" s="7" t="inlineStr">
        <x:is>
          <x:t xml:space="preserve">무관</x:t>
        </x:is>
      </x:c>
      <x:c r="P744" s="7" t="inlineStr">
        <x:is>
          <x:t xml:space="preserve">무관</x:t>
        </x:is>
      </x:c>
      <x:c r="Q744" s="7" t="inlineStr">
        <x:is>
          <x:t xml:space="preserve">보통</x:t>
        </x:is>
      </x:c>
      <x:c r="R744" s="7" t="inlineStr">
        <x:is>
          <x:t xml:space="preserve">없음</x:t>
        </x:is>
      </x:c>
      <x:c r="S744" s="7" t="inlineStr">
        <x:is>
          <x:t xml:space="preserve">산악</x:t>
        </x:is>
      </x:c>
      <x:c r="T744" s="7" t="inlineStr">
        <x:is>
          <x:t xml:space="preserve"/>
        </x:is>
      </x:c>
      <x:c r="U744" s="8" t="str">
        <x:f>INDEX('서식지_점수'!$E$4:$P$4,1,MATCH(MAX('서식지_점수'!E744:P744),'서식지_점수'!E744:P744,0))</x:f>
        <x:v>평원</x:v>
      </x:c>
      <x:c r="V744" s="8" t="str">
        <x:f>IF(T744&lt;&gt;"",T744,U744)</x:f>
        <x:v>평원</x:v>
      </x:c>
      <x:c r="W744" s="8" t="str">
        <x:f>IFERROR(INDEX('서식지_점수'!$E$4:$P$4,1,MATCH(MAXIFS('서식지_점수'!E744:P744,'서식지_점수'!E744:P744,"&lt;"&amp;MAX('서식지_점수'!E744:P744)),'서식지_점수'!E744:P744,0)),"")</x:f>
        <x:v>숲</x:v>
      </x:c>
      <x:c r="X744" s="8" t="str">
        <x:f>IF(T744&lt;&gt;"","수동확정",IF(MAX('서식지_점수'!E744:P744)-LARGE('서식지_점수'!E744:P744,2)&gt;=15,"높음",IF(MAX('서식지_점수'!E744:P744)-LARGE('서식지_점수'!E744:P744,2)&gt;=8,"보통","검토필요")))</x:f>
        <x:v>검토필요</x:v>
      </x:c>
      <x:c r="Y744" s="9" t="n">
        <x:f>IF(Q744="전설",8,IF(Q744="희귀",7,IF(J744="기본",1,IF(J744="중간",3,IF(J744="최종",IF(I744="",5,IF(I744&lt;=20,3,IF(I744&lt;=35,4,IF(I744&lt;=50,6,7)))),IF(Q744="드묾",4,2))))))</x:f>
        <x:v>5</x:v>
      </x:c>
      <x:c r="Z744" s="5" t="inlineStr">
        <x:is>
          <x:t xml:space="preserve">#cobblemon:is_peak</x:t>
        </x:is>
      </x:c>
      <x:c r="AA744" s="5" t="inlineStr">
        <x:is>
          <x:t xml:space="preserve">uncommon</x:t>
        </x:is>
      </x:c>
      <x:c r="AB744" s="5" t="inlineStr">
        <x:is>
          <x:t xml:space="preserve">예</x:t>
        </x:is>
      </x:c>
      <x:c r="AC744" s="8" t="str">
        <x:f>IF(T744&lt;&gt;"","수동확정",IF(X744="검토필요","검토필요",IF(S744="","원본없음","초기완료")))</x:f>
        <x:v>검토필요</x:v>
      </x:c>
      <x:c r="AD744" s="7" t="inlineStr">
        <x:is>
          <x:t xml:space="preserve"/>
        </x:is>
      </x:c>
      <x:c r="AE744" s="5" t="inlineStr">
        <x:is>
          <x:t xml:space="preserve">.tmp/cobblemon-1.7.3-source/common/src/main/resources/data/cobblemon/species/generation7/crabominable.json</x:t>
        </x:is>
      </x:c>
      <x:c r="AF744" s="5" t="str">
        <x:f>"생활권|"&amp;K744</x:f>
        <x:v>생활권|육상</x:v>
      </x:c>
      <x:c r="AG744" s="5" t="str">
        <x:f>"지형|"&amp;L744</x:f>
        <x:v>지형|암석</x:v>
      </x:c>
      <x:c r="AH744" s="5" t="str">
        <x:f>"온도|"&amp;M744</x:f>
        <x:v>온도|한랭</x:v>
      </x:c>
      <x:c r="AI744" s="5" t="str">
        <x:f>"습도|"&amp;N744</x:f>
        <x:v>습도|보통</x:v>
      </x:c>
      <x:c r="AJ744" s="5" t="str">
        <x:f>"날씨|"&amp;O744</x:f>
        <x:v>날씨|무관</x:v>
      </x:c>
      <x:c r="AK744" s="5" t="str">
        <x:f>"특수태그|"&amp;R744</x:f>
        <x:v>특수태그|없음</x:v>
      </x:c>
      <x:c r="AL744" s="5" t="str">
        <x:f>"원본서식지|"&amp;S744</x:f>
        <x:v>원본서식지|산악</x:v>
      </x:c>
      <x:c r="AM744" s="5" t="str">
        <x:f>"타입|"&amp;F744</x:f>
        <x:v>타입|격투</x:v>
      </x:c>
      <x:c r="AN744" s="5" t="str">
        <x:f>"타입|"&amp;G744</x:f>
        <x:v>타입|얼음</x:v>
      </x:c>
    </x:row>
    <x:row r="745" ht="24" customHeight="1">
      <x:c r="A745" s="5" t="n">
        <x:v>741</x:v>
      </x:c>
      <x:c r="B745" s="5" t="inlineStr">
        <x:is>
          <x:t xml:space="preserve">춤추새</x:t>
        </x:is>
      </x:c>
      <x:c r="C745" s="5" t="inlineStr">
        <x:is>
          <x:t xml:space="preserve">oricorio</x:t>
        </x:is>
      </x:c>
      <x:c r="D745" s="5" t="inlineStr">
        <x:is>
          <x:t xml:space="preserve">Oricorio</x:t>
        </x:is>
      </x:c>
      <x:c r="E745" s="5" t="n">
        <x:v>7</x:v>
      </x:c>
      <x:c r="F745" s="5" t="inlineStr">
        <x:is>
          <x:t xml:space="preserve">불꽃</x:t>
        </x:is>
      </x:c>
      <x:c r="G745" s="5" t="inlineStr">
        <x:is>
          <x:t xml:space="preserve">비행</x:t>
        </x:is>
      </x:c>
      <x:c r="H745" s="6" t="n">
        <x:v>3.4</x:v>
      </x:c>
      <x:c r="I745" s="5" t="n"/>
      <x:c r="J745" s="5" t="inlineStr">
        <x:is>
          <x:t xml:space="preserve">무진화</x:t>
        </x:is>
      </x:c>
      <x:c r="K745" s="7" t="inlineStr">
        <x:is>
          <x:t xml:space="preserve">비행</x:t>
        </x:is>
      </x:c>
      <x:c r="L745" s="7" t="inlineStr">
        <x:is>
          <x:t xml:space="preserve">암석</x:t>
        </x:is>
      </x:c>
      <x:c r="M745" s="7" t="inlineStr">
        <x:is>
          <x:t xml:space="preserve">고온</x:t>
        </x:is>
      </x:c>
      <x:c r="N745" s="7" t="inlineStr">
        <x:is>
          <x:t xml:space="preserve">다습</x:t>
        </x:is>
      </x:c>
      <x:c r="O745" s="7" t="inlineStr">
        <x:is>
          <x:t xml:space="preserve">무관</x:t>
        </x:is>
      </x:c>
      <x:c r="P745" s="7" t="inlineStr">
        <x:is>
          <x:t xml:space="preserve">무관</x:t>
        </x:is>
      </x:c>
      <x:c r="Q745" s="7" t="inlineStr">
        <x:is>
          <x:t xml:space="preserve">보통</x:t>
        </x:is>
      </x:c>
      <x:c r="R745" s="7" t="inlineStr">
        <x:is>
          <x:t xml:space="preserve">없음</x:t>
        </x:is>
      </x:c>
      <x:c r="S745" s="7" t="inlineStr">
        <x:is>
          <x:t xml:space="preserve">산악</x:t>
        </x:is>
      </x:c>
      <x:c r="T745" s="7" t="inlineStr">
        <x:is>
          <x:t xml:space="preserve"/>
        </x:is>
      </x:c>
      <x:c r="U745" s="8" t="str">
        <x:f>INDEX('서식지_점수'!$E$4:$P$4,1,MATCH(MAX('서식지_점수'!E745:P745),'서식지_점수'!E745:P745,0))</x:f>
        <x:v>산악</x:v>
      </x:c>
      <x:c r="V745" s="8" t="str">
        <x:f>IF(T745&lt;&gt;"",T745,U745)</x:f>
        <x:v>산악</x:v>
      </x:c>
      <x:c r="W745" s="8" t="str">
        <x:f>IFERROR(INDEX('서식지_점수'!$E$4:$P$4,1,MATCH(MAXIFS('서식지_점수'!E745:P745,'서식지_점수'!E745:P745,"&lt;"&amp;MAX('서식지_점수'!E745:P745)),'서식지_점수'!E745:P745,0)),"")</x:f>
        <x:v>평원</x:v>
      </x:c>
      <x:c r="X745" s="8" t="str">
        <x:f>IF(T745&lt;&gt;"","수동확정",IF(MAX('서식지_점수'!E745:P745)-LARGE('서식지_점수'!E745:P745,2)&gt;=15,"높음",IF(MAX('서식지_점수'!E745:P745)-LARGE('서식지_점수'!E745:P745,2)&gt;=8,"보통","검토필요")))</x:f>
        <x:v>검토필요</x:v>
      </x:c>
      <x:c r="Y745" s="9" t="n">
        <x:f>IF(Q745="전설",8,IF(Q745="희귀",7,IF(J745="기본",1,IF(J745="중간",3,IF(J745="최종",IF(I745="",5,IF(I745&lt;=20,3,IF(I745&lt;=35,4,IF(I745&lt;=50,6,7)))),IF(Q745="드묾",4,2))))))</x:f>
        <x:v>2</x:v>
      </x:c>
      <x:c r="Z745" s="5" t="inlineStr">
        <x:is>
          <x:t xml:space="preserve">#cobblemon:is_floral; #cobblemon:is_forest; #cobblemon:is_hills; #cobblemon:is_jungle; #cobblemon:is_mountain; #cobblemon:is_plains</x:t>
        </x:is>
      </x:c>
      <x:c r="AA745" s="5" t="inlineStr">
        <x:is>
          <x:t xml:space="preserve">uncommon</x:t>
        </x:is>
      </x:c>
      <x:c r="AB745" s="5" t="inlineStr">
        <x:is>
          <x:t xml:space="preserve">아니오</x:t>
        </x:is>
      </x:c>
      <x:c r="AC745" s="8" t="str">
        <x:f>IF(T745&lt;&gt;"","수동확정",IF(X745="검토필요","검토필요",IF(S745="","원본없음","초기완료")))</x:f>
        <x:v>검토필요</x:v>
      </x:c>
      <x:c r="AD745" s="7" t="inlineStr">
        <x:is>
          <x:t xml:space="preserve"/>
        </x:is>
      </x:c>
      <x:c r="AE745" s="5" t="inlineStr">
        <x:is>
          <x:t xml:space="preserve">.tmp/cobblemon-1.7.3-source/common/src/main/resources/data/cobblemon/species/generation7/oricorio.json</x:t>
        </x:is>
      </x:c>
      <x:c r="AF745" s="5" t="str">
        <x:f>"생활권|"&amp;K745</x:f>
        <x:v>생활권|비행</x:v>
      </x:c>
      <x:c r="AG745" s="5" t="str">
        <x:f>"지형|"&amp;L745</x:f>
        <x:v>지형|암석</x:v>
      </x:c>
      <x:c r="AH745" s="5" t="str">
        <x:f>"온도|"&amp;M745</x:f>
        <x:v>온도|고온</x:v>
      </x:c>
      <x:c r="AI745" s="5" t="str">
        <x:f>"습도|"&amp;N745</x:f>
        <x:v>습도|다습</x:v>
      </x:c>
      <x:c r="AJ745" s="5" t="str">
        <x:f>"날씨|"&amp;O745</x:f>
        <x:v>날씨|무관</x:v>
      </x:c>
      <x:c r="AK745" s="5" t="str">
        <x:f>"특수태그|"&amp;R745</x:f>
        <x:v>특수태그|없음</x:v>
      </x:c>
      <x:c r="AL745" s="5" t="str">
        <x:f>"원본서식지|"&amp;S745</x:f>
        <x:v>원본서식지|산악</x:v>
      </x:c>
      <x:c r="AM745" s="5" t="str">
        <x:f>"타입|"&amp;F745</x:f>
        <x:v>타입|불꽃</x:v>
      </x:c>
      <x:c r="AN745" s="5" t="str">
        <x:f>"타입|"&amp;G745</x:f>
        <x:v>타입|비행</x:v>
      </x:c>
    </x:row>
    <x:row r="746" ht="24" customHeight="1">
      <x:c r="A746" s="5" t="n">
        <x:v>742</x:v>
      </x:c>
      <x:c r="B746" s="5" t="inlineStr">
        <x:is>
          <x:t xml:space="preserve">에블리</x:t>
        </x:is>
      </x:c>
      <x:c r="C746" s="5" t="inlineStr">
        <x:is>
          <x:t xml:space="preserve">cutiefly</x:t>
        </x:is>
      </x:c>
      <x:c r="D746" s="5" t="inlineStr">
        <x:is>
          <x:t xml:space="preserve">Cutiefly</x:t>
        </x:is>
      </x:c>
      <x:c r="E746" s="5" t="n">
        <x:v>7</x:v>
      </x:c>
      <x:c r="F746" s="5" t="inlineStr">
        <x:is>
          <x:t xml:space="preserve">벌레</x:t>
        </x:is>
      </x:c>
      <x:c r="G746" s="5" t="inlineStr">
        <x:is>
          <x:t xml:space="preserve">페어리</x:t>
        </x:is>
      </x:c>
      <x:c r="H746" s="6" t="n">
        <x:v>0.2</x:v>
      </x:c>
      <x:c r="I746" s="5" t="n">
        <x:v>25</x:v>
      </x:c>
      <x:c r="J746" s="5" t="inlineStr">
        <x:is>
          <x:t xml:space="preserve">기본</x:t>
        </x:is>
      </x:c>
      <x:c r="K746" s="7" t="inlineStr">
        <x:is>
          <x:t xml:space="preserve">비행</x:t>
        </x:is>
      </x:c>
      <x:c r="L746" s="7" t="inlineStr">
        <x:is>
          <x:t xml:space="preserve">개활지</x:t>
        </x:is>
      </x:c>
      <x:c r="M746" s="7" t="inlineStr">
        <x:is>
          <x:t xml:space="preserve">온대</x:t>
        </x:is>
      </x:c>
      <x:c r="N746" s="7" t="inlineStr">
        <x:is>
          <x:t xml:space="preserve">보통</x:t>
        </x:is>
      </x:c>
      <x:c r="O746" s="7" t="inlineStr">
        <x:is>
          <x:t xml:space="preserve">무관</x:t>
        </x:is>
      </x:c>
      <x:c r="P746" s="7" t="inlineStr">
        <x:is>
          <x:t xml:space="preserve">낮</x:t>
        </x:is>
      </x:c>
      <x:c r="Q746" s="7" t="inlineStr">
        <x:is>
          <x:t xml:space="preserve">흔함</x:t>
        </x:is>
      </x:c>
      <x:c r="R746" s="7" t="inlineStr">
        <x:is>
          <x:t xml:space="preserve">없음</x:t>
        </x:is>
      </x:c>
      <x:c r="S746" s="7" t="inlineStr">
        <x:is>
          <x:t xml:space="preserve">평원</x:t>
        </x:is>
      </x:c>
      <x:c r="T746" s="7" t="inlineStr">
        <x:is>
          <x:t xml:space="preserve"/>
        </x:is>
      </x:c>
      <x:c r="U746" s="8" t="str">
        <x:f>INDEX('서식지_점수'!$E$4:$P$4,1,MATCH(MAX('서식지_점수'!E746:P746),'서식지_점수'!E746:P746,0))</x:f>
        <x:v>산악</x:v>
      </x:c>
      <x:c r="V746" s="8" t="str">
        <x:f>IF(T746&lt;&gt;"",T746,U746)</x:f>
        <x:v>산악</x:v>
      </x:c>
      <x:c r="W746" s="8" t="str">
        <x:f>IFERROR(INDEX('서식지_점수'!$E$4:$P$4,1,MATCH(MAXIFS('서식지_점수'!E746:P746,'서식지_점수'!E746:P746,"&lt;"&amp;MAX('서식지_점수'!E746:P746)),'서식지_점수'!E746:P746,0)),"")</x:f>
        <x:v>평원</x:v>
      </x:c>
      <x:c r="X746" s="8" t="str">
        <x:f>IF(T746&lt;&gt;"","수동확정",IF(MAX('서식지_점수'!E746:P746)-LARGE('서식지_점수'!E746:P746,2)&gt;=15,"높음",IF(MAX('서식지_점수'!E746:P746)-LARGE('서식지_점수'!E746:P746,2)&gt;=8,"보통","검토필요")))</x:f>
        <x:v>검토필요</x:v>
      </x:c>
      <x:c r="Y746" s="9" t="n">
        <x:f>IF(Q746="전설",8,IF(Q746="희귀",7,IF(J746="기본",1,IF(J746="중간",3,IF(J746="최종",IF(I746="",5,IF(I746&lt;=20,3,IF(I746&lt;=35,4,IF(I746&lt;=50,6,7)))),IF(Q746="드묾",4,2))))))</x:f>
        <x:v>1</x:v>
      </x:c>
      <x:c r="Z746" s="5" t="inlineStr">
        <x:is>
          <x:t xml:space="preserve">#aether:is_aether; #cobblemon:is_floral; #cobblemon:is_overworld; the_bumblezone:floral_meadow; the_bumblezone:pollinated_fields</x:t>
        </x:is>
      </x:c>
      <x:c r="AA746" s="5" t="inlineStr">
        <x:is>
          <x:t xml:space="preserve">common</x:t>
        </x:is>
      </x:c>
      <x:c r="AB746" s="5" t="inlineStr">
        <x:is>
          <x:t xml:space="preserve">예</x:t>
        </x:is>
      </x:c>
      <x:c r="AC746" s="8" t="str">
        <x:f>IF(T746&lt;&gt;"","수동확정",IF(X746="검토필요","검토필요",IF(S746="","원본없음","초기완료")))</x:f>
        <x:v>검토필요</x:v>
      </x:c>
      <x:c r="AD746" s="7" t="inlineStr">
        <x:is>
          <x:t xml:space="preserve"/>
        </x:is>
      </x:c>
      <x:c r="AE746" s="5" t="inlineStr">
        <x:is>
          <x:t xml:space="preserve">.tmp/cobblemon-1.7.3-source/common/src/main/resources/data/cobblemon/species/generation7/cutiefly.json</x:t>
        </x:is>
      </x:c>
      <x:c r="AF746" s="5" t="str">
        <x:f>"생활권|"&amp;K746</x:f>
        <x:v>생활권|비행</x:v>
      </x:c>
      <x:c r="AG746" s="5" t="str">
        <x:f>"지형|"&amp;L746</x:f>
        <x:v>지형|개활지</x:v>
      </x:c>
      <x:c r="AH746" s="5" t="str">
        <x:f>"온도|"&amp;M746</x:f>
        <x:v>온도|온대</x:v>
      </x:c>
      <x:c r="AI746" s="5" t="str">
        <x:f>"습도|"&amp;N746</x:f>
        <x:v>습도|보통</x:v>
      </x:c>
      <x:c r="AJ746" s="5" t="str">
        <x:f>"날씨|"&amp;O746</x:f>
        <x:v>날씨|무관</x:v>
      </x:c>
      <x:c r="AK746" s="5" t="str">
        <x:f>"특수태그|"&amp;R746</x:f>
        <x:v>특수태그|없음</x:v>
      </x:c>
      <x:c r="AL746" s="5" t="str">
        <x:f>"원본서식지|"&amp;S746</x:f>
        <x:v>원본서식지|평원</x:v>
      </x:c>
      <x:c r="AM746" s="5" t="str">
        <x:f>"타입|"&amp;F746</x:f>
        <x:v>타입|벌레</x:v>
      </x:c>
      <x:c r="AN746" s="5" t="str">
        <x:f>"타입|"&amp;G746</x:f>
        <x:v>타입|페어리</x:v>
      </x:c>
    </x:row>
    <x:row r="747" ht="24" customHeight="1">
      <x:c r="A747" s="5" t="n">
        <x:v>743</x:v>
      </x:c>
      <x:c r="B747" s="5" t="inlineStr">
        <x:is>
          <x:t xml:space="preserve">에리본</x:t>
        </x:is>
      </x:c>
      <x:c r="C747" s="5" t="inlineStr">
        <x:is>
          <x:t xml:space="preserve">ribombee</x:t>
        </x:is>
      </x:c>
      <x:c r="D747" s="5" t="inlineStr">
        <x:is>
          <x:t xml:space="preserve">Ribombee</x:t>
        </x:is>
      </x:c>
      <x:c r="E747" s="5" t="n">
        <x:v>7</x:v>
      </x:c>
      <x:c r="F747" s="5" t="inlineStr">
        <x:is>
          <x:t xml:space="preserve">벌레</x:t>
        </x:is>
      </x:c>
      <x:c r="G747" s="5" t="inlineStr">
        <x:is>
          <x:t xml:space="preserve">페어리</x:t>
        </x:is>
      </x:c>
      <x:c r="H747" s="6" t="n">
        <x:v>0.5</x:v>
      </x:c>
      <x:c r="I747" s="5" t="n">
        <x:v>25</x:v>
      </x:c>
      <x:c r="J747" s="5" t="inlineStr">
        <x:is>
          <x:t xml:space="preserve">최종</x:t>
        </x:is>
      </x:c>
      <x:c r="K747" s="7" t="inlineStr">
        <x:is>
          <x:t xml:space="preserve">비행</x:t>
        </x:is>
      </x:c>
      <x:c r="L747" s="7" t="inlineStr">
        <x:is>
          <x:t xml:space="preserve">개활지</x:t>
        </x:is>
      </x:c>
      <x:c r="M747" s="7" t="inlineStr">
        <x:is>
          <x:t xml:space="preserve">온대</x:t>
        </x:is>
      </x:c>
      <x:c r="N747" s="7" t="inlineStr">
        <x:is>
          <x:t xml:space="preserve">보통</x:t>
        </x:is>
      </x:c>
      <x:c r="O747" s="7" t="inlineStr">
        <x:is>
          <x:t xml:space="preserve">무관</x:t>
        </x:is>
      </x:c>
      <x:c r="P747" s="7" t="inlineStr">
        <x:is>
          <x:t xml:space="preserve">낮</x:t>
        </x:is>
      </x:c>
      <x:c r="Q747" s="7" t="inlineStr">
        <x:is>
          <x:t xml:space="preserve">흔함</x:t>
        </x:is>
      </x:c>
      <x:c r="R747" s="7" t="inlineStr">
        <x:is>
          <x:t xml:space="preserve">없음</x:t>
        </x:is>
      </x:c>
      <x:c r="S747" s="7" t="inlineStr">
        <x:is>
          <x:t xml:space="preserve">평원</x:t>
        </x:is>
      </x:c>
      <x:c r="T747" s="7" t="inlineStr">
        <x:is>
          <x:t xml:space="preserve"/>
        </x:is>
      </x:c>
      <x:c r="U747" s="8" t="str">
        <x:f>INDEX('서식지_점수'!$E$4:$P$4,1,MATCH(MAX('서식지_점수'!E747:P747),'서식지_점수'!E747:P747,0))</x:f>
        <x:v>산악</x:v>
      </x:c>
      <x:c r="V747" s="8" t="str">
        <x:f>IF(T747&lt;&gt;"",T747,U747)</x:f>
        <x:v>산악</x:v>
      </x:c>
      <x:c r="W747" s="8" t="str">
        <x:f>IFERROR(INDEX('서식지_점수'!$E$4:$P$4,1,MATCH(MAXIFS('서식지_점수'!E747:P747,'서식지_점수'!E747:P747,"&lt;"&amp;MAX('서식지_점수'!E747:P747)),'서식지_점수'!E747:P747,0)),"")</x:f>
        <x:v>평원</x:v>
      </x:c>
      <x:c r="X747" s="8" t="str">
        <x:f>IF(T747&lt;&gt;"","수동확정",IF(MAX('서식지_점수'!E747:P747)-LARGE('서식지_점수'!E747:P747,2)&gt;=15,"높음",IF(MAX('서식지_점수'!E747:P747)-LARGE('서식지_점수'!E747:P747,2)&gt;=8,"보통","검토필요")))</x:f>
        <x:v>검토필요</x:v>
      </x:c>
      <x:c r="Y747" s="9" t="n">
        <x:f>IF(Q747="전설",8,IF(Q747="희귀",7,IF(J747="기본",1,IF(J747="중간",3,IF(J747="최종",IF(I747="",5,IF(I747&lt;=20,3,IF(I747&lt;=35,4,IF(I747&lt;=50,6,7)))),IF(Q747="드묾",4,2))))))</x:f>
        <x:v>4</x:v>
      </x:c>
      <x:c r="Z747" s="5" t="inlineStr">
        <x:is>
          <x:t xml:space="preserve">#aether:is_aether; #cobblemon:is_floral; #cobblemon:is_overworld; the_bumblezone:floral_meadow; the_bumblezone:pollinated_fields</x:t>
        </x:is>
      </x:c>
      <x:c r="AA747" s="5" t="inlineStr">
        <x:is>
          <x:t xml:space="preserve">common</x:t>
        </x:is>
      </x:c>
      <x:c r="AB747" s="5" t="inlineStr">
        <x:is>
          <x:t xml:space="preserve">예</x:t>
        </x:is>
      </x:c>
      <x:c r="AC747" s="8" t="str">
        <x:f>IF(T747&lt;&gt;"","수동확정",IF(X747="검토필요","검토필요",IF(S747="","원본없음","초기완료")))</x:f>
        <x:v>검토필요</x:v>
      </x:c>
      <x:c r="AD747" s="7" t="inlineStr">
        <x:is>
          <x:t xml:space="preserve"/>
        </x:is>
      </x:c>
      <x:c r="AE747" s="5" t="inlineStr">
        <x:is>
          <x:t xml:space="preserve">.tmp/cobblemon-1.7.3-source/common/src/main/resources/data/cobblemon/species/generation7/ribombee.json</x:t>
        </x:is>
      </x:c>
      <x:c r="AF747" s="5" t="str">
        <x:f>"생활권|"&amp;K747</x:f>
        <x:v>생활권|비행</x:v>
      </x:c>
      <x:c r="AG747" s="5" t="str">
        <x:f>"지형|"&amp;L747</x:f>
        <x:v>지형|개활지</x:v>
      </x:c>
      <x:c r="AH747" s="5" t="str">
        <x:f>"온도|"&amp;M747</x:f>
        <x:v>온도|온대</x:v>
      </x:c>
      <x:c r="AI747" s="5" t="str">
        <x:f>"습도|"&amp;N747</x:f>
        <x:v>습도|보통</x:v>
      </x:c>
      <x:c r="AJ747" s="5" t="str">
        <x:f>"날씨|"&amp;O747</x:f>
        <x:v>날씨|무관</x:v>
      </x:c>
      <x:c r="AK747" s="5" t="str">
        <x:f>"특수태그|"&amp;R747</x:f>
        <x:v>특수태그|없음</x:v>
      </x:c>
      <x:c r="AL747" s="5" t="str">
        <x:f>"원본서식지|"&amp;S747</x:f>
        <x:v>원본서식지|평원</x:v>
      </x:c>
      <x:c r="AM747" s="5" t="str">
        <x:f>"타입|"&amp;F747</x:f>
        <x:v>타입|벌레</x:v>
      </x:c>
      <x:c r="AN747" s="5" t="str">
        <x:f>"타입|"&amp;G747</x:f>
        <x:v>타입|페어리</x:v>
      </x:c>
    </x:row>
    <x:row r="748" ht="24" customHeight="1">
      <x:c r="A748" s="5" t="n">
        <x:v>744</x:v>
      </x:c>
      <x:c r="B748" s="5" t="inlineStr">
        <x:is>
          <x:t xml:space="preserve">암멍이</x:t>
        </x:is>
      </x:c>
      <x:c r="C748" s="5" t="inlineStr">
        <x:is>
          <x:t xml:space="preserve">rockruff</x:t>
        </x:is>
      </x:c>
      <x:c r="D748" s="5" t="inlineStr">
        <x:is>
          <x:t xml:space="preserve">Rockruff</x:t>
        </x:is>
      </x:c>
      <x:c r="E748" s="5" t="n">
        <x:v>7</x:v>
      </x:c>
      <x:c r="F748" s="5" t="inlineStr">
        <x:is>
          <x:t xml:space="preserve">바위</x:t>
        </x:is>
      </x:c>
      <x:c r="G748" s="5" t="inlineStr">
        <x:is>
          <x:t xml:space="preserve"/>
        </x:is>
      </x:c>
      <x:c r="H748" s="6" t="n">
        <x:v>9.199999999999999</x:v>
      </x:c>
      <x:c r="I748" s="5" t="n">
        <x:v>25</x:v>
      </x:c>
      <x:c r="J748" s="5" t="inlineStr">
        <x:is>
          <x:t xml:space="preserve">기본</x:t>
        </x:is>
      </x:c>
      <x:c r="K748" s="7" t="inlineStr">
        <x:is>
          <x:t xml:space="preserve">육상</x:t>
        </x:is>
      </x:c>
      <x:c r="L748" s="7" t="inlineStr">
        <x:is>
          <x:t xml:space="preserve">암석</x:t>
        </x:is>
      </x:c>
      <x:c r="M748" s="7" t="inlineStr">
        <x:is>
          <x:t xml:space="preserve">온대</x:t>
        </x:is>
      </x:c>
      <x:c r="N748" s="7" t="inlineStr">
        <x:is>
          <x:t xml:space="preserve">보통</x:t>
        </x:is>
      </x:c>
      <x:c r="O748" s="7" t="inlineStr">
        <x:is>
          <x:t xml:space="preserve">무관</x:t>
        </x:is>
      </x:c>
      <x:c r="P748" s="7" t="inlineStr">
        <x:is>
          <x:t xml:space="preserve">무관</x:t>
        </x:is>
      </x:c>
      <x:c r="Q748" s="7" t="inlineStr">
        <x:is>
          <x:t xml:space="preserve">보통</x:t>
        </x:is>
      </x:c>
      <x:c r="R748" s="7" t="inlineStr">
        <x:is>
          <x:t xml:space="preserve">없음</x:t>
        </x:is>
      </x:c>
      <x:c r="S748" s="7" t="inlineStr">
        <x:is>
          <x:t xml:space="preserve">산악</x:t>
        </x:is>
      </x:c>
      <x:c r="T748" s="7" t="inlineStr">
        <x:is>
          <x:t xml:space="preserve"/>
        </x:is>
      </x:c>
      <x:c r="U748" s="8" t="str">
        <x:f>INDEX('서식지_점수'!$E$4:$P$4,1,MATCH(MAX('서식지_점수'!E748:P748),'서식지_점수'!E748:P748,0))</x:f>
        <x:v>평원</x:v>
      </x:c>
      <x:c r="V748" s="8" t="str">
        <x:f>IF(T748&lt;&gt;"",T748,U748)</x:f>
        <x:v>평원</x:v>
      </x:c>
      <x:c r="W748" s="8" t="str">
        <x:f>IFERROR(INDEX('서식지_점수'!$E$4:$P$4,1,MATCH(MAXIFS('서식지_점수'!E748:P748,'서식지_점수'!E748:P748,"&lt;"&amp;MAX('서식지_점수'!E748:P748)),'서식지_점수'!E748:P748,0)),"")</x:f>
        <x:v>숲</x:v>
      </x:c>
      <x:c r="X748" s="8" t="str">
        <x:f>IF(T748&lt;&gt;"","수동확정",IF(MAX('서식지_점수'!E748:P748)-LARGE('서식지_점수'!E748:P748,2)&gt;=15,"높음",IF(MAX('서식지_점수'!E748:P748)-LARGE('서식지_점수'!E748:P748,2)&gt;=8,"보통","검토필요")))</x:f>
        <x:v>검토필요</x:v>
      </x:c>
      <x:c r="Y748" s="9" t="n">
        <x:f>IF(Q748="전설",8,IF(Q748="희귀",7,IF(J748="기본",1,IF(J748="중간",3,IF(J748="최종",IF(I748="",5,IF(I748&lt;=20,3,IF(I748&lt;=35,4,IF(I748&lt;=50,6,7)))),IF(Q748="드묾",4,2))))))</x:f>
        <x:v>1</x:v>
      </x:c>
      <x:c r="Z748" s="5" t="inlineStr">
        <x:is>
          <x:t xml:space="preserve">#cobblemon:is_hills</x:t>
        </x:is>
      </x:c>
      <x:c r="AA748" s="5" t="inlineStr">
        <x:is>
          <x:t xml:space="preserve">uncommon</x:t>
        </x:is>
      </x:c>
      <x:c r="AB748" s="5" t="inlineStr">
        <x:is>
          <x:t xml:space="preserve">아니오</x:t>
        </x:is>
      </x:c>
      <x:c r="AC748" s="8" t="str">
        <x:f>IF(T748&lt;&gt;"","수동확정",IF(X748="검토필요","검토필요",IF(S748="","원본없음","초기완료")))</x:f>
        <x:v>검토필요</x:v>
      </x:c>
      <x:c r="AD748" s="7" t="inlineStr">
        <x:is>
          <x:t xml:space="preserve"/>
        </x:is>
      </x:c>
      <x:c r="AE748" s="5" t="inlineStr">
        <x:is>
          <x:t xml:space="preserve">.tmp/cobblemon-1.7.3-source/common/src/main/resources/data/cobblemon/species/generation7/rockruff.json</x:t>
        </x:is>
      </x:c>
      <x:c r="AF748" s="5" t="str">
        <x:f>"생활권|"&amp;K748</x:f>
        <x:v>생활권|육상</x:v>
      </x:c>
      <x:c r="AG748" s="5" t="str">
        <x:f>"지형|"&amp;L748</x:f>
        <x:v>지형|암석</x:v>
      </x:c>
      <x:c r="AH748" s="5" t="str">
        <x:f>"온도|"&amp;M748</x:f>
        <x:v>온도|온대</x:v>
      </x:c>
      <x:c r="AI748" s="5" t="str">
        <x:f>"습도|"&amp;N748</x:f>
        <x:v>습도|보통</x:v>
      </x:c>
      <x:c r="AJ748" s="5" t="str">
        <x:f>"날씨|"&amp;O748</x:f>
        <x:v>날씨|무관</x:v>
      </x:c>
      <x:c r="AK748" s="5" t="str">
        <x:f>"특수태그|"&amp;R748</x:f>
        <x:v>특수태그|없음</x:v>
      </x:c>
      <x:c r="AL748" s="5" t="str">
        <x:f>"원본서식지|"&amp;S748</x:f>
        <x:v>원본서식지|산악</x:v>
      </x:c>
      <x:c r="AM748" s="5" t="str">
        <x:f>"타입|"&amp;F748</x:f>
        <x:v>타입|바위</x:v>
      </x:c>
      <x:c r="AN748" s="5" t="str">
        <x:f>"타입|"&amp;G748</x:f>
        <x:v>타입|</x:v>
      </x:c>
    </x:row>
    <x:row r="749" ht="24" customHeight="1">
      <x:c r="A749" s="5" t="n">
        <x:v>745</x:v>
      </x:c>
      <x:c r="B749" s="5" t="inlineStr">
        <x:is>
          <x:t xml:space="preserve">루가루암</x:t>
        </x:is>
      </x:c>
      <x:c r="C749" s="5" t="inlineStr">
        <x:is>
          <x:t xml:space="preserve">lycanroc</x:t>
        </x:is>
      </x:c>
      <x:c r="D749" s="5" t="inlineStr">
        <x:is>
          <x:t xml:space="preserve">Lycanroc</x:t>
        </x:is>
      </x:c>
      <x:c r="E749" s="5" t="n">
        <x:v>7</x:v>
      </x:c>
      <x:c r="F749" s="5" t="inlineStr">
        <x:is>
          <x:t xml:space="preserve">바위</x:t>
        </x:is>
      </x:c>
      <x:c r="G749" s="5" t="inlineStr">
        <x:is>
          <x:t xml:space="preserve"/>
        </x:is>
      </x:c>
      <x:c r="H749" s="6" t="n">
        <x:v>25</x:v>
      </x:c>
      <x:c r="I749" s="5" t="n">
        <x:v>25</x:v>
      </x:c>
      <x:c r="J749" s="5" t="inlineStr">
        <x:is>
          <x:t xml:space="preserve">최종</x:t>
        </x:is>
      </x:c>
      <x:c r="K749" s="7" t="inlineStr">
        <x:is>
          <x:t xml:space="preserve">육상</x:t>
        </x:is>
      </x:c>
      <x:c r="L749" s="7" t="inlineStr">
        <x:is>
          <x:t xml:space="preserve">암석</x:t>
        </x:is>
      </x:c>
      <x:c r="M749" s="7" t="inlineStr">
        <x:is>
          <x:t xml:space="preserve">온대</x:t>
        </x:is>
      </x:c>
      <x:c r="N749" s="7" t="inlineStr">
        <x:is>
          <x:t xml:space="preserve">보통</x:t>
        </x:is>
      </x:c>
      <x:c r="O749" s="7" t="inlineStr">
        <x:is>
          <x:t xml:space="preserve">무관</x:t>
        </x:is>
      </x:c>
      <x:c r="P749" s="7" t="inlineStr">
        <x:is>
          <x:t xml:space="preserve">밤</x:t>
        </x:is>
      </x:c>
      <x:c r="Q749" s="7" t="inlineStr">
        <x:is>
          <x:t xml:space="preserve">보통</x:t>
        </x:is>
      </x:c>
      <x:c r="R749" s="7" t="inlineStr">
        <x:is>
          <x:t xml:space="preserve">없음</x:t>
        </x:is>
      </x:c>
      <x:c r="S749" s="7" t="inlineStr">
        <x:is>
          <x:t xml:space="preserve">산악</x:t>
        </x:is>
      </x:c>
      <x:c r="T749" s="7" t="inlineStr">
        <x:is>
          <x:t xml:space="preserve"/>
        </x:is>
      </x:c>
      <x:c r="U749" s="8" t="str">
        <x:f>INDEX('서식지_점수'!$E$4:$P$4,1,MATCH(MAX('서식지_점수'!E749:P749),'서식지_점수'!E749:P749,0))</x:f>
        <x:v>평원</x:v>
      </x:c>
      <x:c r="V749" s="8" t="str">
        <x:f>IF(T749&lt;&gt;"",T749,U749)</x:f>
        <x:v>평원</x:v>
      </x:c>
      <x:c r="W749" s="8" t="str">
        <x:f>IFERROR(INDEX('서식지_점수'!$E$4:$P$4,1,MATCH(MAXIFS('서식지_점수'!E749:P749,'서식지_점수'!E749:P749,"&lt;"&amp;MAX('서식지_점수'!E749:P749)),'서식지_점수'!E749:P749,0)),"")</x:f>
        <x:v>숲</x:v>
      </x:c>
      <x:c r="X749" s="8" t="str">
        <x:f>IF(T749&lt;&gt;"","수동확정",IF(MAX('서식지_점수'!E749:P749)-LARGE('서식지_점수'!E749:P749,2)&gt;=15,"높음",IF(MAX('서식지_점수'!E749:P749)-LARGE('서식지_점수'!E749:P749,2)&gt;=8,"보통","검토필요")))</x:f>
        <x:v>검토필요</x:v>
      </x:c>
      <x:c r="Y749" s="9" t="n">
        <x:f>IF(Q749="전설",8,IF(Q749="희귀",7,IF(J749="기본",1,IF(J749="중간",3,IF(J749="최종",IF(I749="",5,IF(I749&lt;=20,3,IF(I749&lt;=35,4,IF(I749&lt;=50,6,7)))),IF(Q749="드묾",4,2))))))</x:f>
        <x:v>4</x:v>
      </x:c>
      <x:c r="Z749" s="5" t="inlineStr">
        <x:is>
          <x:t xml:space="preserve">#cobblemon:is_hills; #cobblemon:is_mountain</x:t>
        </x:is>
      </x:c>
      <x:c r="AA749" s="5" t="inlineStr">
        <x:is>
          <x:t xml:space="preserve">uncommon</x:t>
        </x:is>
      </x:c>
      <x:c r="AB749" s="5" t="inlineStr">
        <x:is>
          <x:t xml:space="preserve">아니오</x:t>
        </x:is>
      </x:c>
      <x:c r="AC749" s="8" t="str">
        <x:f>IF(T749&lt;&gt;"","수동확정",IF(X749="검토필요","검토필요",IF(S749="","원본없음","초기완료")))</x:f>
        <x:v>검토필요</x:v>
      </x:c>
      <x:c r="AD749" s="7" t="inlineStr">
        <x:is>
          <x:t xml:space="preserve"/>
        </x:is>
      </x:c>
      <x:c r="AE749" s="5" t="inlineStr">
        <x:is>
          <x:t xml:space="preserve">.tmp/cobblemon-1.7.3-source/common/src/main/resources/data/cobblemon/species/generation7/lycanroc.json</x:t>
        </x:is>
      </x:c>
      <x:c r="AF749" s="5" t="str">
        <x:f>"생활권|"&amp;K749</x:f>
        <x:v>생활권|육상</x:v>
      </x:c>
      <x:c r="AG749" s="5" t="str">
        <x:f>"지형|"&amp;L749</x:f>
        <x:v>지형|암석</x:v>
      </x:c>
      <x:c r="AH749" s="5" t="str">
        <x:f>"온도|"&amp;M749</x:f>
        <x:v>온도|온대</x:v>
      </x:c>
      <x:c r="AI749" s="5" t="str">
        <x:f>"습도|"&amp;N749</x:f>
        <x:v>습도|보통</x:v>
      </x:c>
      <x:c r="AJ749" s="5" t="str">
        <x:f>"날씨|"&amp;O749</x:f>
        <x:v>날씨|무관</x:v>
      </x:c>
      <x:c r="AK749" s="5" t="str">
        <x:f>"특수태그|"&amp;R749</x:f>
        <x:v>특수태그|없음</x:v>
      </x:c>
      <x:c r="AL749" s="5" t="str">
        <x:f>"원본서식지|"&amp;S749</x:f>
        <x:v>원본서식지|산악</x:v>
      </x:c>
      <x:c r="AM749" s="5" t="str">
        <x:f>"타입|"&amp;F749</x:f>
        <x:v>타입|바위</x:v>
      </x:c>
      <x:c r="AN749" s="5" t="str">
        <x:f>"타입|"&amp;G749</x:f>
        <x:v>타입|</x:v>
      </x:c>
    </x:row>
    <x:row r="750" ht="24" customHeight="1">
      <x:c r="A750" s="5" t="n">
        <x:v>746</x:v>
      </x:c>
      <x:c r="B750" s="5" t="inlineStr">
        <x:is>
          <x:t xml:space="preserve">약어리</x:t>
        </x:is>
      </x:c>
      <x:c r="C750" s="5" t="inlineStr">
        <x:is>
          <x:t xml:space="preserve">wishiwashi</x:t>
        </x:is>
      </x:c>
      <x:c r="D750" s="5" t="inlineStr">
        <x:is>
          <x:t xml:space="preserve">Wishiwashi</x:t>
        </x:is>
      </x:c>
      <x:c r="E750" s="5" t="n">
        <x:v>7</x:v>
      </x:c>
      <x:c r="F750" s="5" t="inlineStr">
        <x:is>
          <x:t xml:space="preserve">물</x:t>
        </x:is>
      </x:c>
      <x:c r="G750" s="5" t="inlineStr">
        <x:is>
          <x:t xml:space="preserve"/>
        </x:is>
      </x:c>
      <x:c r="H750" s="6" t="n">
        <x:v>0.3</x:v>
      </x:c>
      <x:c r="I750" s="5" t="n"/>
      <x:c r="J750" s="5" t="inlineStr">
        <x:is>
          <x:t xml:space="preserve">무진화</x:t>
        </x:is>
      </x:c>
      <x:c r="K750" s="7" t="inlineStr">
        <x:is>
          <x:t xml:space="preserve">해양</x:t>
        </x:is>
      </x:c>
      <x:c r="L750" s="7" t="inlineStr">
        <x:is>
          <x:t xml:space="preserve">해안·해양</x:t>
        </x:is>
      </x:c>
      <x:c r="M750" s="7" t="inlineStr">
        <x:is>
          <x:t xml:space="preserve">온대</x:t>
        </x:is>
      </x:c>
      <x:c r="N750" s="7" t="inlineStr">
        <x:is>
          <x:t xml:space="preserve">수중</x:t>
        </x:is>
      </x:c>
      <x:c r="O750" s="7" t="inlineStr">
        <x:is>
          <x:t xml:space="preserve">비</x:t>
        </x:is>
      </x:c>
      <x:c r="P750" s="7" t="inlineStr">
        <x:is>
          <x:t xml:space="preserve">무관</x:t>
        </x:is>
      </x:c>
      <x:c r="Q750" s="7" t="inlineStr">
        <x:is>
          <x:t xml:space="preserve">흔함</x:t>
        </x:is>
      </x:c>
      <x:c r="R750" s="7" t="inlineStr">
        <x:is>
          <x:t xml:space="preserve">없음</x:t>
        </x:is>
      </x:c>
      <x:c r="S750" s="7" t="inlineStr">
        <x:is>
          <x:t xml:space="preserve">해양</x:t>
        </x:is>
      </x:c>
      <x:c r="T750" s="7" t="inlineStr">
        <x:is>
          <x:t xml:space="preserve"/>
        </x:is>
      </x:c>
      <x:c r="U750" s="8" t="str">
        <x:f>INDEX('서식지_점수'!$E$4:$P$4,1,MATCH(MAX('서식지_점수'!E750:P750),'서식지_점수'!E750:P750,0))</x:f>
        <x:v>해양</x:v>
      </x:c>
      <x:c r="V750" s="8" t="str">
        <x:f>IF(T750&lt;&gt;"",T750,U750)</x:f>
        <x:v>해양</x:v>
      </x:c>
      <x:c r="W750" s="8" t="str">
        <x:f>IFERROR(INDEX('서식지_점수'!$E$4:$P$4,1,MATCH(MAXIFS('서식지_점수'!E750:P750,'서식지_점수'!E750:P750,"&lt;"&amp;MAX('서식지_점수'!E750:P750)),'서식지_점수'!E750:P750,0)),"")</x:f>
        <x:v>습지</x:v>
      </x:c>
      <x:c r="X750" s="8" t="str">
        <x:f>IF(T750&lt;&gt;"","수동확정",IF(MAX('서식지_점수'!E750:P750)-LARGE('서식지_점수'!E750:P750,2)&gt;=15,"높음",IF(MAX('서식지_점수'!E750:P750)-LARGE('서식지_점수'!E750:P750,2)&gt;=8,"보통","검토필요")))</x:f>
        <x:v>높음</x:v>
      </x:c>
      <x:c r="Y750" s="9" t="n">
        <x:f>IF(Q750="전설",8,IF(Q750="희귀",7,IF(J750="기본",1,IF(J750="중간",3,IF(J750="최종",IF(I750="",5,IF(I750&lt;=20,3,IF(I750&lt;=35,4,IF(I750&lt;=50,6,7)))),IF(Q750="드묾",4,2))))))</x:f>
        <x:v>2</x:v>
      </x:c>
      <x:c r="Z750" s="5" t="inlineStr">
        <x:is>
          <x:t xml:space="preserve">#cobblemon:is_coast; #cobblemon:is_ocean</x:t>
        </x:is>
      </x:c>
      <x:c r="AA750" s="5" t="inlineStr">
        <x:is>
          <x:t xml:space="preserve">common</x:t>
        </x:is>
      </x:c>
      <x:c r="AB750" s="5" t="inlineStr">
        <x:is>
          <x:t xml:space="preserve">예</x:t>
        </x:is>
      </x:c>
      <x:c r="AC750" s="8" t="str">
        <x:f>IF(T750&lt;&gt;"","수동확정",IF(X750="검토필요","검토필요",IF(S750="","원본없음","초기완료")))</x:f>
        <x:v>초기완료</x:v>
      </x:c>
      <x:c r="AD750" s="7" t="inlineStr">
        <x:is>
          <x:t xml:space="preserve"/>
        </x:is>
      </x:c>
      <x:c r="AE750" s="5" t="inlineStr">
        <x:is>
          <x:t xml:space="preserve">.tmp/cobblemon-1.7.3-source/common/src/main/resources/data/cobblemon/species/generation7/wishiwashi.json</x:t>
        </x:is>
      </x:c>
      <x:c r="AF750" s="5" t="str">
        <x:f>"생활권|"&amp;K750</x:f>
        <x:v>생활권|해양</x:v>
      </x:c>
      <x:c r="AG750" s="5" t="str">
        <x:f>"지형|"&amp;L750</x:f>
        <x:v>지형|해안·해양</x:v>
      </x:c>
      <x:c r="AH750" s="5" t="str">
        <x:f>"온도|"&amp;M750</x:f>
        <x:v>온도|온대</x:v>
      </x:c>
      <x:c r="AI750" s="5" t="str">
        <x:f>"습도|"&amp;N750</x:f>
        <x:v>습도|수중</x:v>
      </x:c>
      <x:c r="AJ750" s="5" t="str">
        <x:f>"날씨|"&amp;O750</x:f>
        <x:v>날씨|비</x:v>
      </x:c>
      <x:c r="AK750" s="5" t="str">
        <x:f>"특수태그|"&amp;R750</x:f>
        <x:v>특수태그|없음</x:v>
      </x:c>
      <x:c r="AL750" s="5" t="str">
        <x:f>"원본서식지|"&amp;S750</x:f>
        <x:v>원본서식지|해양</x:v>
      </x:c>
      <x:c r="AM750" s="5" t="str">
        <x:f>"타입|"&amp;F750</x:f>
        <x:v>타입|물</x:v>
      </x:c>
      <x:c r="AN750" s="5" t="str">
        <x:f>"타입|"&amp;G750</x:f>
        <x:v>타입|</x:v>
      </x:c>
    </x:row>
    <x:row r="751" ht="24" customHeight="1">
      <x:c r="A751" s="5" t="n">
        <x:v>747</x:v>
      </x:c>
      <x:c r="B751" s="5" t="inlineStr">
        <x:is>
          <x:t xml:space="preserve">시마사리</x:t>
        </x:is>
      </x:c>
      <x:c r="C751" s="5" t="inlineStr">
        <x:is>
          <x:t xml:space="preserve">mareanie</x:t>
        </x:is>
      </x:c>
      <x:c r="D751" s="5" t="inlineStr">
        <x:is>
          <x:t xml:space="preserve">Mareanie</x:t>
        </x:is>
      </x:c>
      <x:c r="E751" s="5" t="n">
        <x:v>7</x:v>
      </x:c>
      <x:c r="F751" s="5" t="inlineStr">
        <x:is>
          <x:t xml:space="preserve">독</x:t>
        </x:is>
      </x:c>
      <x:c r="G751" s="5" t="inlineStr">
        <x:is>
          <x:t xml:space="preserve">물</x:t>
        </x:is>
      </x:c>
      <x:c r="H751" s="6" t="n">
        <x:v>8</x:v>
      </x:c>
      <x:c r="I751" s="5" t="n">
        <x:v>38</x:v>
      </x:c>
      <x:c r="J751" s="5" t="inlineStr">
        <x:is>
          <x:t xml:space="preserve">기본</x:t>
        </x:is>
      </x:c>
      <x:c r="K751" s="7" t="inlineStr">
        <x:is>
          <x:t xml:space="preserve">해양</x:t>
        </x:is>
      </x:c>
      <x:c r="L751" s="7" t="inlineStr">
        <x:is>
          <x:t xml:space="preserve">해안·해양</x:t>
        </x:is>
      </x:c>
      <x:c r="M751" s="7" t="inlineStr">
        <x:is>
          <x:t xml:space="preserve">온대</x:t>
        </x:is>
      </x:c>
      <x:c r="N751" s="7" t="inlineStr">
        <x:is>
          <x:t xml:space="preserve">수중</x:t>
        </x:is>
      </x:c>
      <x:c r="O751" s="7" t="inlineStr">
        <x:is>
          <x:t xml:space="preserve">비</x:t>
        </x:is>
      </x:c>
      <x:c r="P751" s="7" t="inlineStr">
        <x:is>
          <x:t xml:space="preserve">무관</x:t>
        </x:is>
      </x:c>
      <x:c r="Q751" s="7" t="inlineStr">
        <x:is>
          <x:t xml:space="preserve">보통</x:t>
        </x:is>
      </x:c>
      <x:c r="R751" s="7" t="inlineStr">
        <x:is>
          <x:t xml:space="preserve">없음</x:t>
        </x:is>
      </x:c>
      <x:c r="S751" s="7" t="inlineStr">
        <x:is>
          <x:t xml:space="preserve">해양</x:t>
        </x:is>
      </x:c>
      <x:c r="T751" s="7" t="inlineStr">
        <x:is>
          <x:t xml:space="preserve"/>
        </x:is>
      </x:c>
      <x:c r="U751" s="8" t="str">
        <x:f>INDEX('서식지_점수'!$E$4:$P$4,1,MATCH(MAX('서식지_점수'!E751:P751),'서식지_점수'!E751:P751,0))</x:f>
        <x:v>해양</x:v>
      </x:c>
      <x:c r="V751" s="8" t="str">
        <x:f>IF(T751&lt;&gt;"",T751,U751)</x:f>
        <x:v>해양</x:v>
      </x:c>
      <x:c r="W751" s="8" t="str">
        <x:f>IFERROR(INDEX('서식지_점수'!$E$4:$P$4,1,MATCH(MAXIFS('서식지_점수'!E751:P751,'서식지_점수'!E751:P751,"&lt;"&amp;MAX('서식지_점수'!E751:P751)),'서식지_점수'!E751:P751,0)),"")</x:f>
        <x:v>습지</x:v>
      </x:c>
      <x:c r="X751" s="8" t="str">
        <x:f>IF(T751&lt;&gt;"","수동확정",IF(MAX('서식지_점수'!E751:P751)-LARGE('서식지_점수'!E751:P751,2)&gt;=15,"높음",IF(MAX('서식지_점수'!E751:P751)-LARGE('서식지_점수'!E751:P751,2)&gt;=8,"보통","검토필요")))</x:f>
        <x:v>높음</x:v>
      </x:c>
      <x:c r="Y751" s="9" t="n">
        <x:f>IF(Q751="전설",8,IF(Q751="희귀",7,IF(J751="기본",1,IF(J751="중간",3,IF(J751="최종",IF(I751="",5,IF(I751&lt;=20,3,IF(I751&lt;=35,4,IF(I751&lt;=50,6,7)))),IF(Q751="드묾",4,2))))))</x:f>
        <x:v>1</x:v>
      </x:c>
      <x:c r="Z751" s="5" t="inlineStr">
        <x:is>
          <x:t xml:space="preserve">#cobblemon:is_coast; #cobblemon:is_warm_ocean</x:t>
        </x:is>
      </x:c>
      <x:c r="AA751" s="5" t="inlineStr">
        <x:is>
          <x:t xml:space="preserve">common; uncommon</x:t>
        </x:is>
      </x:c>
      <x:c r="AB751" s="5" t="inlineStr">
        <x:is>
          <x:t xml:space="preserve">예</x:t>
        </x:is>
      </x:c>
      <x:c r="AC751" s="8" t="str">
        <x:f>IF(T751&lt;&gt;"","수동확정",IF(X751="검토필요","검토필요",IF(S751="","원본없음","초기완료")))</x:f>
        <x:v>초기완료</x:v>
      </x:c>
      <x:c r="AD751" s="7" t="inlineStr">
        <x:is>
          <x:t xml:space="preserve"/>
        </x:is>
      </x:c>
      <x:c r="AE751" s="5" t="inlineStr">
        <x:is>
          <x:t xml:space="preserve">.tmp/cobblemon-1.7.3-source/common/src/main/resources/data/cobblemon/species/generation7/mareanie.json</x:t>
        </x:is>
      </x:c>
      <x:c r="AF751" s="5" t="str">
        <x:f>"생활권|"&amp;K751</x:f>
        <x:v>생활권|해양</x:v>
      </x:c>
      <x:c r="AG751" s="5" t="str">
        <x:f>"지형|"&amp;L751</x:f>
        <x:v>지형|해안·해양</x:v>
      </x:c>
      <x:c r="AH751" s="5" t="str">
        <x:f>"온도|"&amp;M751</x:f>
        <x:v>온도|온대</x:v>
      </x:c>
      <x:c r="AI751" s="5" t="str">
        <x:f>"습도|"&amp;N751</x:f>
        <x:v>습도|수중</x:v>
      </x:c>
      <x:c r="AJ751" s="5" t="str">
        <x:f>"날씨|"&amp;O751</x:f>
        <x:v>날씨|비</x:v>
      </x:c>
      <x:c r="AK751" s="5" t="str">
        <x:f>"특수태그|"&amp;R751</x:f>
        <x:v>특수태그|없음</x:v>
      </x:c>
      <x:c r="AL751" s="5" t="str">
        <x:f>"원본서식지|"&amp;S751</x:f>
        <x:v>원본서식지|해양</x:v>
      </x:c>
      <x:c r="AM751" s="5" t="str">
        <x:f>"타입|"&amp;F751</x:f>
        <x:v>타입|독</x:v>
      </x:c>
      <x:c r="AN751" s="5" t="str">
        <x:f>"타입|"&amp;G751</x:f>
        <x:v>타입|물</x:v>
      </x:c>
    </x:row>
    <x:row r="752" ht="24" customHeight="1">
      <x:c r="A752" s="5" t="n">
        <x:v>748</x:v>
      </x:c>
      <x:c r="B752" s="5" t="inlineStr">
        <x:is>
          <x:t xml:space="preserve">더시마사리</x:t>
        </x:is>
      </x:c>
      <x:c r="C752" s="5" t="inlineStr">
        <x:is>
          <x:t xml:space="preserve">toxapex</x:t>
        </x:is>
      </x:c>
      <x:c r="D752" s="5" t="inlineStr">
        <x:is>
          <x:t xml:space="preserve">Toxapex</x:t>
        </x:is>
      </x:c>
      <x:c r="E752" s="5" t="n">
        <x:v>7</x:v>
      </x:c>
      <x:c r="F752" s="5" t="inlineStr">
        <x:is>
          <x:t xml:space="preserve">독</x:t>
        </x:is>
      </x:c>
      <x:c r="G752" s="5" t="inlineStr">
        <x:is>
          <x:t xml:space="preserve">물</x:t>
        </x:is>
      </x:c>
      <x:c r="H752" s="6" t="n">
        <x:v>14.5</x:v>
      </x:c>
      <x:c r="I752" s="5" t="n">
        <x:v>38</x:v>
      </x:c>
      <x:c r="J752" s="5" t="inlineStr">
        <x:is>
          <x:t xml:space="preserve">최종</x:t>
        </x:is>
      </x:c>
      <x:c r="K752" s="7" t="inlineStr">
        <x:is>
          <x:t xml:space="preserve">해양</x:t>
        </x:is>
      </x:c>
      <x:c r="L752" s="7" t="inlineStr">
        <x:is>
          <x:t xml:space="preserve">해안·해양</x:t>
        </x:is>
      </x:c>
      <x:c r="M752" s="7" t="inlineStr">
        <x:is>
          <x:t xml:space="preserve">온대</x:t>
        </x:is>
      </x:c>
      <x:c r="N752" s="7" t="inlineStr">
        <x:is>
          <x:t xml:space="preserve">수중</x:t>
        </x:is>
      </x:c>
      <x:c r="O752" s="7" t="inlineStr">
        <x:is>
          <x:t xml:space="preserve">비</x:t>
        </x:is>
      </x:c>
      <x:c r="P752" s="7" t="inlineStr">
        <x:is>
          <x:t xml:space="preserve">무관</x:t>
        </x:is>
      </x:c>
      <x:c r="Q752" s="7" t="inlineStr">
        <x:is>
          <x:t xml:space="preserve">보통</x:t>
        </x:is>
      </x:c>
      <x:c r="R752" s="7" t="inlineStr">
        <x:is>
          <x:t xml:space="preserve">없음</x:t>
        </x:is>
      </x:c>
      <x:c r="S752" s="7" t="inlineStr">
        <x:is>
          <x:t xml:space="preserve">해양</x:t>
        </x:is>
      </x:c>
      <x:c r="T752" s="7" t="inlineStr">
        <x:is>
          <x:t xml:space="preserve"/>
        </x:is>
      </x:c>
      <x:c r="U752" s="8" t="str">
        <x:f>INDEX('서식지_점수'!$E$4:$P$4,1,MATCH(MAX('서식지_점수'!E752:P752),'서식지_점수'!E752:P752,0))</x:f>
        <x:v>해양</x:v>
      </x:c>
      <x:c r="V752" s="8" t="str">
        <x:f>IF(T752&lt;&gt;"",T752,U752)</x:f>
        <x:v>해양</x:v>
      </x:c>
      <x:c r="W752" s="8" t="str">
        <x:f>IFERROR(INDEX('서식지_점수'!$E$4:$P$4,1,MATCH(MAXIFS('서식지_점수'!E752:P752,'서식지_점수'!E752:P752,"&lt;"&amp;MAX('서식지_점수'!E752:P752)),'서식지_점수'!E752:P752,0)),"")</x:f>
        <x:v>습지</x:v>
      </x:c>
      <x:c r="X752" s="8" t="str">
        <x:f>IF(T752&lt;&gt;"","수동확정",IF(MAX('서식지_점수'!E752:P752)-LARGE('서식지_점수'!E752:P752,2)&gt;=15,"높음",IF(MAX('서식지_점수'!E752:P752)-LARGE('서식지_점수'!E752:P752,2)&gt;=8,"보통","검토필요")))</x:f>
        <x:v>높음</x:v>
      </x:c>
      <x:c r="Y752" s="9" t="n">
        <x:f>IF(Q752="전설",8,IF(Q752="희귀",7,IF(J752="기본",1,IF(J752="중간",3,IF(J752="최종",IF(I752="",5,IF(I752&lt;=20,3,IF(I752&lt;=35,4,IF(I752&lt;=50,6,7)))),IF(Q752="드묾",4,2))))))</x:f>
        <x:v>6</x:v>
      </x:c>
      <x:c r="Z752" s="5" t="inlineStr">
        <x:is>
          <x:t xml:space="preserve">#cobblemon:is_coast; #cobblemon:is_warm_ocean</x:t>
        </x:is>
      </x:c>
      <x:c r="AA752" s="5" t="inlineStr">
        <x:is>
          <x:t xml:space="preserve">common; uncommon</x:t>
        </x:is>
      </x:c>
      <x:c r="AB752" s="5" t="inlineStr">
        <x:is>
          <x:t xml:space="preserve">예</x:t>
        </x:is>
      </x:c>
      <x:c r="AC752" s="8" t="str">
        <x:f>IF(T752&lt;&gt;"","수동확정",IF(X752="검토필요","검토필요",IF(S752="","원본없음","초기완료")))</x:f>
        <x:v>초기완료</x:v>
      </x:c>
      <x:c r="AD752" s="7" t="inlineStr">
        <x:is>
          <x:t xml:space="preserve"/>
        </x:is>
      </x:c>
      <x:c r="AE752" s="5" t="inlineStr">
        <x:is>
          <x:t xml:space="preserve">.tmp/cobblemon-1.7.3-source/common/src/main/resources/data/cobblemon/species/generation7/toxapex.json</x:t>
        </x:is>
      </x:c>
      <x:c r="AF752" s="5" t="str">
        <x:f>"생활권|"&amp;K752</x:f>
        <x:v>생활권|해양</x:v>
      </x:c>
      <x:c r="AG752" s="5" t="str">
        <x:f>"지형|"&amp;L752</x:f>
        <x:v>지형|해안·해양</x:v>
      </x:c>
      <x:c r="AH752" s="5" t="str">
        <x:f>"온도|"&amp;M752</x:f>
        <x:v>온도|온대</x:v>
      </x:c>
      <x:c r="AI752" s="5" t="str">
        <x:f>"습도|"&amp;N752</x:f>
        <x:v>습도|수중</x:v>
      </x:c>
      <x:c r="AJ752" s="5" t="str">
        <x:f>"날씨|"&amp;O752</x:f>
        <x:v>날씨|비</x:v>
      </x:c>
      <x:c r="AK752" s="5" t="str">
        <x:f>"특수태그|"&amp;R752</x:f>
        <x:v>특수태그|없음</x:v>
      </x:c>
      <x:c r="AL752" s="5" t="str">
        <x:f>"원본서식지|"&amp;S752</x:f>
        <x:v>원본서식지|해양</x:v>
      </x:c>
      <x:c r="AM752" s="5" t="str">
        <x:f>"타입|"&amp;F752</x:f>
        <x:v>타입|독</x:v>
      </x:c>
      <x:c r="AN752" s="5" t="str">
        <x:f>"타입|"&amp;G752</x:f>
        <x:v>타입|물</x:v>
      </x:c>
    </x:row>
    <x:row r="753" ht="24" customHeight="1">
      <x:c r="A753" s="5" t="n">
        <x:v>749</x:v>
      </x:c>
      <x:c r="B753" s="5" t="inlineStr">
        <x:is>
          <x:t xml:space="preserve">머드나기</x:t>
        </x:is>
      </x:c>
      <x:c r="C753" s="5" t="inlineStr">
        <x:is>
          <x:t xml:space="preserve">mudbray</x:t>
        </x:is>
      </x:c>
      <x:c r="D753" s="5" t="inlineStr">
        <x:is>
          <x:t xml:space="preserve">Mudbray</x:t>
        </x:is>
      </x:c>
      <x:c r="E753" s="5" t="n">
        <x:v>7</x:v>
      </x:c>
      <x:c r="F753" s="5" t="inlineStr">
        <x:is>
          <x:t xml:space="preserve">땅</x:t>
        </x:is>
      </x:c>
      <x:c r="G753" s="5" t="inlineStr">
        <x:is>
          <x:t xml:space="preserve"/>
        </x:is>
      </x:c>
      <x:c r="H753" s="6" t="n">
        <x:v>110</x:v>
      </x:c>
      <x:c r="I753" s="5" t="n">
        <x:v>30</x:v>
      </x:c>
      <x:c r="J753" s="5" t="inlineStr">
        <x:is>
          <x:t xml:space="preserve">기본</x:t>
        </x:is>
      </x:c>
      <x:c r="K753" s="7" t="inlineStr">
        <x:is>
          <x:t xml:space="preserve">육상</x:t>
        </x:is>
      </x:c>
      <x:c r="L753" s="7" t="inlineStr">
        <x:is>
          <x:t xml:space="preserve">건조</x:t>
        </x:is>
      </x:c>
      <x:c r="M753" s="7" t="inlineStr">
        <x:is>
          <x:t xml:space="preserve">고온</x:t>
        </x:is>
      </x:c>
      <x:c r="N753" s="7" t="inlineStr">
        <x:is>
          <x:t xml:space="preserve">건조</x:t>
        </x:is>
      </x:c>
      <x:c r="O753" s="7" t="inlineStr">
        <x:is>
          <x:t xml:space="preserve">맑음</x:t>
        </x:is>
      </x:c>
      <x:c r="P753" s="7" t="inlineStr">
        <x:is>
          <x:t xml:space="preserve">무관</x:t>
        </x:is>
      </x:c>
      <x:c r="Q753" s="7" t="inlineStr">
        <x:is>
          <x:t xml:space="preserve">흔함</x:t>
        </x:is>
      </x:c>
      <x:c r="R753" s="7" t="inlineStr">
        <x:is>
          <x:t xml:space="preserve">없음</x:t>
        </x:is>
      </x:c>
      <x:c r="S753" s="7" t="inlineStr">
        <x:is>
          <x:t xml:space="preserve">건조지</x:t>
        </x:is>
      </x:c>
      <x:c r="T753" s="7" t="inlineStr">
        <x:is>
          <x:t xml:space="preserve"/>
        </x:is>
      </x:c>
      <x:c r="U753" s="8" t="str">
        <x:f>INDEX('서식지_점수'!$E$4:$P$4,1,MATCH(MAX('서식지_점수'!E753:P753),'서식지_점수'!E753:P753,0))</x:f>
        <x:v>평원</x:v>
      </x:c>
      <x:c r="V753" s="8" t="str">
        <x:f>IF(T753&lt;&gt;"",T753,U753)</x:f>
        <x:v>평원</x:v>
      </x:c>
      <x:c r="W753" s="8" t="str">
        <x:f>IFERROR(INDEX('서식지_점수'!$E$4:$P$4,1,MATCH(MAXIFS('서식지_점수'!E753:P753,'서식지_점수'!E753:P753,"&lt;"&amp;MAX('서식지_점수'!E753:P753)),'서식지_점수'!E753:P753,0)),"")</x:f>
        <x:v>숲</x:v>
      </x:c>
      <x:c r="X753" s="8" t="str">
        <x:f>IF(T753&lt;&gt;"","수동확정",IF(MAX('서식지_점수'!E753:P753)-LARGE('서식지_점수'!E753:P753,2)&gt;=15,"높음",IF(MAX('서식지_점수'!E753:P753)-LARGE('서식지_점수'!E753:P753,2)&gt;=8,"보통","검토필요")))</x:f>
        <x:v>검토필요</x:v>
      </x:c>
      <x:c r="Y753" s="9" t="n">
        <x:f>IF(Q753="전설",8,IF(Q753="희귀",7,IF(J753="기본",1,IF(J753="중간",3,IF(J753="최종",IF(I753="",5,IF(I753&lt;=20,3,IF(I753&lt;=35,4,IF(I753&lt;=50,6,7)))),IF(Q753="드묾",4,2))))))</x:f>
        <x:v>1</x:v>
      </x:c>
      <x:c r="Z753" s="5" t="inlineStr">
        <x:is>
          <x:t xml:space="preserve">#cobblemon:is_badlands; #cobblemon:is_grassland</x:t>
        </x:is>
      </x:c>
      <x:c r="AA753" s="5" t="inlineStr">
        <x:is>
          <x:t xml:space="preserve">common</x:t>
        </x:is>
      </x:c>
      <x:c r="AB753" s="5" t="inlineStr">
        <x:is>
          <x:t xml:space="preserve">예</x:t>
        </x:is>
      </x:c>
      <x:c r="AC753" s="8" t="str">
        <x:f>IF(T753&lt;&gt;"","수동확정",IF(X753="검토필요","검토필요",IF(S753="","원본없음","초기완료")))</x:f>
        <x:v>검토필요</x:v>
      </x:c>
      <x:c r="AD753" s="7" t="inlineStr">
        <x:is>
          <x:t xml:space="preserve"/>
        </x:is>
      </x:c>
      <x:c r="AE753" s="5" t="inlineStr">
        <x:is>
          <x:t xml:space="preserve">.tmp/cobblemon-1.7.3-source/common/src/main/resources/data/cobblemon/species/generation7/mudbray.json</x:t>
        </x:is>
      </x:c>
      <x:c r="AF753" s="5" t="str">
        <x:f>"생활권|"&amp;K753</x:f>
        <x:v>생활권|육상</x:v>
      </x:c>
      <x:c r="AG753" s="5" t="str">
        <x:f>"지형|"&amp;L753</x:f>
        <x:v>지형|건조</x:v>
      </x:c>
      <x:c r="AH753" s="5" t="str">
        <x:f>"온도|"&amp;M753</x:f>
        <x:v>온도|고온</x:v>
      </x:c>
      <x:c r="AI753" s="5" t="str">
        <x:f>"습도|"&amp;N753</x:f>
        <x:v>습도|건조</x:v>
      </x:c>
      <x:c r="AJ753" s="5" t="str">
        <x:f>"날씨|"&amp;O753</x:f>
        <x:v>날씨|맑음</x:v>
      </x:c>
      <x:c r="AK753" s="5" t="str">
        <x:f>"특수태그|"&amp;R753</x:f>
        <x:v>특수태그|없음</x:v>
      </x:c>
      <x:c r="AL753" s="5" t="str">
        <x:f>"원본서식지|"&amp;S753</x:f>
        <x:v>원본서식지|건조지</x:v>
      </x:c>
      <x:c r="AM753" s="5" t="str">
        <x:f>"타입|"&amp;F753</x:f>
        <x:v>타입|땅</x:v>
      </x:c>
      <x:c r="AN753" s="5" t="str">
        <x:f>"타입|"&amp;G753</x:f>
        <x:v>타입|</x:v>
      </x:c>
    </x:row>
    <x:row r="754" ht="24" customHeight="1">
      <x:c r="A754" s="5" t="n">
        <x:v>750</x:v>
      </x:c>
      <x:c r="B754" s="5" t="inlineStr">
        <x:is>
          <x:t xml:space="preserve">만마드</x:t>
        </x:is>
      </x:c>
      <x:c r="C754" s="5" t="inlineStr">
        <x:is>
          <x:t xml:space="preserve">mudsdale</x:t>
        </x:is>
      </x:c>
      <x:c r="D754" s="5" t="inlineStr">
        <x:is>
          <x:t xml:space="preserve">Mudsdale</x:t>
        </x:is>
      </x:c>
      <x:c r="E754" s="5" t="n">
        <x:v>7</x:v>
      </x:c>
      <x:c r="F754" s="5" t="inlineStr">
        <x:is>
          <x:t xml:space="preserve">땅</x:t>
        </x:is>
      </x:c>
      <x:c r="G754" s="5" t="inlineStr">
        <x:is>
          <x:t xml:space="preserve"/>
        </x:is>
      </x:c>
      <x:c r="H754" s="6" t="n">
        <x:v>920</x:v>
      </x:c>
      <x:c r="I754" s="5" t="n">
        <x:v>30</x:v>
      </x:c>
      <x:c r="J754" s="5" t="inlineStr">
        <x:is>
          <x:t xml:space="preserve">최종</x:t>
        </x:is>
      </x:c>
      <x:c r="K754" s="7" t="inlineStr">
        <x:is>
          <x:t xml:space="preserve">육상</x:t>
        </x:is>
      </x:c>
      <x:c r="L754" s="7" t="inlineStr">
        <x:is>
          <x:t xml:space="preserve">건조</x:t>
        </x:is>
      </x:c>
      <x:c r="M754" s="7" t="inlineStr">
        <x:is>
          <x:t xml:space="preserve">고온</x:t>
        </x:is>
      </x:c>
      <x:c r="N754" s="7" t="inlineStr">
        <x:is>
          <x:t xml:space="preserve">건조</x:t>
        </x:is>
      </x:c>
      <x:c r="O754" s="7" t="inlineStr">
        <x:is>
          <x:t xml:space="preserve">맑음</x:t>
        </x:is>
      </x:c>
      <x:c r="P754" s="7" t="inlineStr">
        <x:is>
          <x:t xml:space="preserve">무관</x:t>
        </x:is>
      </x:c>
      <x:c r="Q754" s="7" t="inlineStr">
        <x:is>
          <x:t xml:space="preserve">흔함</x:t>
        </x:is>
      </x:c>
      <x:c r="R754" s="7" t="inlineStr">
        <x:is>
          <x:t xml:space="preserve">없음</x:t>
        </x:is>
      </x:c>
      <x:c r="S754" s="7" t="inlineStr">
        <x:is>
          <x:t xml:space="preserve">건조지</x:t>
        </x:is>
      </x:c>
      <x:c r="T754" s="7" t="inlineStr">
        <x:is>
          <x:t xml:space="preserve"/>
        </x:is>
      </x:c>
      <x:c r="U754" s="8" t="str">
        <x:f>INDEX('서식지_점수'!$E$4:$P$4,1,MATCH(MAX('서식지_점수'!E754:P754),'서식지_점수'!E754:P754,0))</x:f>
        <x:v>평원</x:v>
      </x:c>
      <x:c r="V754" s="8" t="str">
        <x:f>IF(T754&lt;&gt;"",T754,U754)</x:f>
        <x:v>평원</x:v>
      </x:c>
      <x:c r="W754" s="8" t="str">
        <x:f>IFERROR(INDEX('서식지_점수'!$E$4:$P$4,1,MATCH(MAXIFS('서식지_점수'!E754:P754,'서식지_점수'!E754:P754,"&lt;"&amp;MAX('서식지_점수'!E754:P754)),'서식지_점수'!E754:P754,0)),"")</x:f>
        <x:v>숲</x:v>
      </x:c>
      <x:c r="X754" s="8" t="str">
        <x:f>IF(T754&lt;&gt;"","수동확정",IF(MAX('서식지_점수'!E754:P754)-LARGE('서식지_점수'!E754:P754,2)&gt;=15,"높음",IF(MAX('서식지_점수'!E754:P754)-LARGE('서식지_점수'!E754:P754,2)&gt;=8,"보통","검토필요")))</x:f>
        <x:v>검토필요</x:v>
      </x:c>
      <x:c r="Y754" s="9" t="n">
        <x:f>IF(Q754="전설",8,IF(Q754="희귀",7,IF(J754="기본",1,IF(J754="중간",3,IF(J754="최종",IF(I754="",5,IF(I754&lt;=20,3,IF(I754&lt;=35,4,IF(I754&lt;=50,6,7)))),IF(Q754="드묾",4,2))))))</x:f>
        <x:v>4</x:v>
      </x:c>
      <x:c r="Z754" s="5" t="inlineStr">
        <x:is>
          <x:t xml:space="preserve">#cobblemon:is_badlands; #cobblemon:is_grassland</x:t>
        </x:is>
      </x:c>
      <x:c r="AA754" s="5" t="inlineStr">
        <x:is>
          <x:t xml:space="preserve">common</x:t>
        </x:is>
      </x:c>
      <x:c r="AB754" s="5" t="inlineStr">
        <x:is>
          <x:t xml:space="preserve">예</x:t>
        </x:is>
      </x:c>
      <x:c r="AC754" s="8" t="str">
        <x:f>IF(T754&lt;&gt;"","수동확정",IF(X754="검토필요","검토필요",IF(S754="","원본없음","초기완료")))</x:f>
        <x:v>검토필요</x:v>
      </x:c>
      <x:c r="AD754" s="7" t="inlineStr">
        <x:is>
          <x:t xml:space="preserve"/>
        </x:is>
      </x:c>
      <x:c r="AE754" s="5" t="inlineStr">
        <x:is>
          <x:t xml:space="preserve">.tmp/cobblemon-1.7.3-source/common/src/main/resources/data/cobblemon/species/generation7/mudsdale.json</x:t>
        </x:is>
      </x:c>
      <x:c r="AF754" s="5" t="str">
        <x:f>"생활권|"&amp;K754</x:f>
        <x:v>생활권|육상</x:v>
      </x:c>
      <x:c r="AG754" s="5" t="str">
        <x:f>"지형|"&amp;L754</x:f>
        <x:v>지형|건조</x:v>
      </x:c>
      <x:c r="AH754" s="5" t="str">
        <x:f>"온도|"&amp;M754</x:f>
        <x:v>온도|고온</x:v>
      </x:c>
      <x:c r="AI754" s="5" t="str">
        <x:f>"습도|"&amp;N754</x:f>
        <x:v>습도|건조</x:v>
      </x:c>
      <x:c r="AJ754" s="5" t="str">
        <x:f>"날씨|"&amp;O754</x:f>
        <x:v>날씨|맑음</x:v>
      </x:c>
      <x:c r="AK754" s="5" t="str">
        <x:f>"특수태그|"&amp;R754</x:f>
        <x:v>특수태그|없음</x:v>
      </x:c>
      <x:c r="AL754" s="5" t="str">
        <x:f>"원본서식지|"&amp;S754</x:f>
        <x:v>원본서식지|건조지</x:v>
      </x:c>
      <x:c r="AM754" s="5" t="str">
        <x:f>"타입|"&amp;F754</x:f>
        <x:v>타입|땅</x:v>
      </x:c>
      <x:c r="AN754" s="5" t="str">
        <x:f>"타입|"&amp;G754</x:f>
        <x:v>타입|</x:v>
      </x:c>
    </x:row>
    <x:row r="755" ht="24" customHeight="1">
      <x:c r="A755" s="5" t="n">
        <x:v>751</x:v>
      </x:c>
      <x:c r="B755" s="5" t="inlineStr">
        <x:is>
          <x:t xml:space="preserve">물거미</x:t>
        </x:is>
      </x:c>
      <x:c r="C755" s="5" t="inlineStr">
        <x:is>
          <x:t xml:space="preserve">dewpider</x:t>
        </x:is>
      </x:c>
      <x:c r="D755" s="5" t="inlineStr">
        <x:is>
          <x:t xml:space="preserve">Dewpider</x:t>
        </x:is>
      </x:c>
      <x:c r="E755" s="5" t="n">
        <x:v>7</x:v>
      </x:c>
      <x:c r="F755" s="5" t="inlineStr">
        <x:is>
          <x:t xml:space="preserve">물</x:t>
        </x:is>
      </x:c>
      <x:c r="G755" s="5" t="inlineStr">
        <x:is>
          <x:t xml:space="preserve">벌레</x:t>
        </x:is>
      </x:c>
      <x:c r="H755" s="6" t="n">
        <x:v>4</x:v>
      </x:c>
      <x:c r="I755" s="5" t="n">
        <x:v>22</x:v>
      </x:c>
      <x:c r="J755" s="5" t="inlineStr">
        <x:is>
          <x:t xml:space="preserve">기본</x:t>
        </x:is>
      </x:c>
      <x:c r="K755" s="7" t="inlineStr">
        <x:is>
          <x:t xml:space="preserve">담수</x:t>
        </x:is>
      </x:c>
      <x:c r="L755" s="7" t="inlineStr">
        <x:is>
          <x:t xml:space="preserve">담수</x:t>
        </x:is>
      </x:c>
      <x:c r="M755" s="7" t="inlineStr">
        <x:is>
          <x:t xml:space="preserve">온대</x:t>
        </x:is>
      </x:c>
      <x:c r="N755" s="7" t="inlineStr">
        <x:is>
          <x:t xml:space="preserve">수중</x:t>
        </x:is>
      </x:c>
      <x:c r="O755" s="7" t="inlineStr">
        <x:is>
          <x:t xml:space="preserve">비</x:t>
        </x:is>
      </x:c>
      <x:c r="P755" s="7" t="inlineStr">
        <x:is>
          <x:t xml:space="preserve">무관</x:t>
        </x:is>
      </x:c>
      <x:c r="Q755" s="7" t="inlineStr">
        <x:is>
          <x:t xml:space="preserve">보통</x:t>
        </x:is>
      </x:c>
      <x:c r="R755" s="7" t="inlineStr">
        <x:is>
          <x:t xml:space="preserve">없음</x:t>
        </x:is>
      </x:c>
      <x:c r="S755" s="7" t="inlineStr">
        <x:is>
          <x:t xml:space="preserve">담수</x:t>
        </x:is>
      </x:c>
      <x:c r="T755" s="7" t="inlineStr">
        <x:is>
          <x:t xml:space="preserve"/>
        </x:is>
      </x:c>
      <x:c r="U755" s="8" t="str">
        <x:f>INDEX('서식지_점수'!$E$4:$P$4,1,MATCH(MAX('서식지_점수'!E755:P755),'서식지_점수'!E755:P755,0))</x:f>
        <x:v>담수</x:v>
      </x:c>
      <x:c r="V755" s="8" t="str">
        <x:f>IF(T755&lt;&gt;"",T755,U755)</x:f>
        <x:v>담수</x:v>
      </x:c>
      <x:c r="W755" s="8" t="str">
        <x:f>IFERROR(INDEX('서식지_점수'!$E$4:$P$4,1,MATCH(MAXIFS('서식지_점수'!E755:P755,'서식지_점수'!E755:P755,"&lt;"&amp;MAX('서식지_점수'!E755:P755)),'서식지_점수'!E755:P755,0)),"")</x:f>
        <x:v>습지</x:v>
      </x:c>
      <x:c r="X755" s="8" t="str">
        <x:f>IF(T755&lt;&gt;"","수동확정",IF(MAX('서식지_점수'!E755:P755)-LARGE('서식지_점수'!E755:P755,2)&gt;=15,"높음",IF(MAX('서식지_점수'!E755:P755)-LARGE('서식지_점수'!E755:P755,2)&gt;=8,"보통","검토필요")))</x:f>
        <x:v>높음</x:v>
      </x:c>
      <x:c r="Y755" s="9" t="n">
        <x:f>IF(Q755="전설",8,IF(Q755="희귀",7,IF(J755="기본",1,IF(J755="중간",3,IF(J755="최종",IF(I755="",5,IF(I755&lt;=20,3,IF(I755&lt;=35,4,IF(I755&lt;=50,6,7)))),IF(Q755="드묾",4,2))))))</x:f>
        <x:v>1</x:v>
      </x:c>
      <x:c r="Z755" s="5" t="inlineStr">
        <x:is>
          <x:t xml:space="preserve">#cobblemon:is_forest; #cobblemon:is_freshwater; #cobblemon:is_grassland; #cobblemon:is_jungle; #cobblemon:is_swamp</x:t>
        </x:is>
      </x:c>
      <x:c r="AA755" s="5" t="inlineStr">
        <x:is>
          <x:t xml:space="preserve">common; uncommon</x:t>
        </x:is>
      </x:c>
      <x:c r="AB755" s="5" t="inlineStr">
        <x:is>
          <x:t xml:space="preserve">예</x:t>
        </x:is>
      </x:c>
      <x:c r="AC755" s="8" t="str">
        <x:f>IF(T755&lt;&gt;"","수동확정",IF(X755="검토필요","검토필요",IF(S755="","원본없음","초기완료")))</x:f>
        <x:v>초기완료</x:v>
      </x:c>
      <x:c r="AD755" s="7" t="inlineStr">
        <x:is>
          <x:t xml:space="preserve"/>
        </x:is>
      </x:c>
      <x:c r="AE755" s="5" t="inlineStr">
        <x:is>
          <x:t xml:space="preserve">.tmp/cobblemon-1.7.3-source/common/src/main/resources/data/cobblemon/species/generation7/dewpider.json</x:t>
        </x:is>
      </x:c>
      <x:c r="AF755" s="5" t="str">
        <x:f>"생활권|"&amp;K755</x:f>
        <x:v>생활권|담수</x:v>
      </x:c>
      <x:c r="AG755" s="5" t="str">
        <x:f>"지형|"&amp;L755</x:f>
        <x:v>지형|담수</x:v>
      </x:c>
      <x:c r="AH755" s="5" t="str">
        <x:f>"온도|"&amp;M755</x:f>
        <x:v>온도|온대</x:v>
      </x:c>
      <x:c r="AI755" s="5" t="str">
        <x:f>"습도|"&amp;N755</x:f>
        <x:v>습도|수중</x:v>
      </x:c>
      <x:c r="AJ755" s="5" t="str">
        <x:f>"날씨|"&amp;O755</x:f>
        <x:v>날씨|비</x:v>
      </x:c>
      <x:c r="AK755" s="5" t="str">
        <x:f>"특수태그|"&amp;R755</x:f>
        <x:v>특수태그|없음</x:v>
      </x:c>
      <x:c r="AL755" s="5" t="str">
        <x:f>"원본서식지|"&amp;S755</x:f>
        <x:v>원본서식지|담수</x:v>
      </x:c>
      <x:c r="AM755" s="5" t="str">
        <x:f>"타입|"&amp;F755</x:f>
        <x:v>타입|물</x:v>
      </x:c>
      <x:c r="AN755" s="5" t="str">
        <x:f>"타입|"&amp;G755</x:f>
        <x:v>타입|벌레</x:v>
      </x:c>
    </x:row>
    <x:row r="756" ht="24" customHeight="1">
      <x:c r="A756" s="5" t="n">
        <x:v>752</x:v>
      </x:c>
      <x:c r="B756" s="5" t="inlineStr">
        <x:is>
          <x:t xml:space="preserve">깨비물거미</x:t>
        </x:is>
      </x:c>
      <x:c r="C756" s="5" t="inlineStr">
        <x:is>
          <x:t xml:space="preserve">araquanid</x:t>
        </x:is>
      </x:c>
      <x:c r="D756" s="5" t="inlineStr">
        <x:is>
          <x:t xml:space="preserve">Araquanid</x:t>
        </x:is>
      </x:c>
      <x:c r="E756" s="5" t="n">
        <x:v>7</x:v>
      </x:c>
      <x:c r="F756" s="5" t="inlineStr">
        <x:is>
          <x:t xml:space="preserve">물</x:t>
        </x:is>
      </x:c>
      <x:c r="G756" s="5" t="inlineStr">
        <x:is>
          <x:t xml:space="preserve">벌레</x:t>
        </x:is>
      </x:c>
      <x:c r="H756" s="6" t="n">
        <x:v>82</x:v>
      </x:c>
      <x:c r="I756" s="5" t="n">
        <x:v>22</x:v>
      </x:c>
      <x:c r="J756" s="5" t="inlineStr">
        <x:is>
          <x:t xml:space="preserve">최종</x:t>
        </x:is>
      </x:c>
      <x:c r="K756" s="7" t="inlineStr">
        <x:is>
          <x:t xml:space="preserve">담수</x:t>
        </x:is>
      </x:c>
      <x:c r="L756" s="7" t="inlineStr">
        <x:is>
          <x:t xml:space="preserve">담수</x:t>
        </x:is>
      </x:c>
      <x:c r="M756" s="7" t="inlineStr">
        <x:is>
          <x:t xml:space="preserve">온대</x:t>
        </x:is>
      </x:c>
      <x:c r="N756" s="7" t="inlineStr">
        <x:is>
          <x:t xml:space="preserve">수중</x:t>
        </x:is>
      </x:c>
      <x:c r="O756" s="7" t="inlineStr">
        <x:is>
          <x:t xml:space="preserve">비</x:t>
        </x:is>
      </x:c>
      <x:c r="P756" s="7" t="inlineStr">
        <x:is>
          <x:t xml:space="preserve">무관</x:t>
        </x:is>
      </x:c>
      <x:c r="Q756" s="7" t="inlineStr">
        <x:is>
          <x:t xml:space="preserve">보통</x:t>
        </x:is>
      </x:c>
      <x:c r="R756" s="7" t="inlineStr">
        <x:is>
          <x:t xml:space="preserve">없음</x:t>
        </x:is>
      </x:c>
      <x:c r="S756" s="7" t="inlineStr">
        <x:is>
          <x:t xml:space="preserve">담수</x:t>
        </x:is>
      </x:c>
      <x:c r="T756" s="7" t="inlineStr">
        <x:is>
          <x:t xml:space="preserve"/>
        </x:is>
      </x:c>
      <x:c r="U756" s="8" t="str">
        <x:f>INDEX('서식지_점수'!$E$4:$P$4,1,MATCH(MAX('서식지_점수'!E756:P756),'서식지_점수'!E756:P756,0))</x:f>
        <x:v>담수</x:v>
      </x:c>
      <x:c r="V756" s="8" t="str">
        <x:f>IF(T756&lt;&gt;"",T756,U756)</x:f>
        <x:v>담수</x:v>
      </x:c>
      <x:c r="W756" s="8" t="str">
        <x:f>IFERROR(INDEX('서식지_점수'!$E$4:$P$4,1,MATCH(MAXIFS('서식지_점수'!E756:P756,'서식지_점수'!E756:P756,"&lt;"&amp;MAX('서식지_점수'!E756:P756)),'서식지_점수'!E756:P756,0)),"")</x:f>
        <x:v>습지</x:v>
      </x:c>
      <x:c r="X756" s="8" t="str">
        <x:f>IF(T756&lt;&gt;"","수동확정",IF(MAX('서식지_점수'!E756:P756)-LARGE('서식지_점수'!E756:P756,2)&gt;=15,"높음",IF(MAX('서식지_점수'!E756:P756)-LARGE('서식지_점수'!E756:P756,2)&gt;=8,"보통","검토필요")))</x:f>
        <x:v>높음</x:v>
      </x:c>
      <x:c r="Y756" s="9" t="n">
        <x:f>IF(Q756="전설",8,IF(Q756="희귀",7,IF(J756="기본",1,IF(J756="중간",3,IF(J756="최종",IF(I756="",5,IF(I756&lt;=20,3,IF(I756&lt;=35,4,IF(I756&lt;=50,6,7)))),IF(Q756="드묾",4,2))))))</x:f>
        <x:v>4</x:v>
      </x:c>
      <x:c r="Z756" s="5" t="inlineStr">
        <x:is>
          <x:t xml:space="preserve">#cobblemon:is_forest; #cobblemon:is_freshwater; #cobblemon:is_grassland; #cobblemon:is_jungle</x:t>
        </x:is>
      </x:c>
      <x:c r="AA756" s="5" t="inlineStr">
        <x:is>
          <x:t xml:space="preserve">common; uncommon</x:t>
        </x:is>
      </x:c>
      <x:c r="AB756" s="5" t="inlineStr">
        <x:is>
          <x:t xml:space="preserve">예</x:t>
        </x:is>
      </x:c>
      <x:c r="AC756" s="8" t="str">
        <x:f>IF(T756&lt;&gt;"","수동확정",IF(X756="검토필요","검토필요",IF(S756="","원본없음","초기완료")))</x:f>
        <x:v>초기완료</x:v>
      </x:c>
      <x:c r="AD756" s="7" t="inlineStr">
        <x:is>
          <x:t xml:space="preserve"/>
        </x:is>
      </x:c>
      <x:c r="AE756" s="5" t="inlineStr">
        <x:is>
          <x:t xml:space="preserve">.tmp/cobblemon-1.7.3-source/common/src/main/resources/data/cobblemon/species/generation7/araquanid.json</x:t>
        </x:is>
      </x:c>
      <x:c r="AF756" s="5" t="str">
        <x:f>"생활권|"&amp;K756</x:f>
        <x:v>생활권|담수</x:v>
      </x:c>
      <x:c r="AG756" s="5" t="str">
        <x:f>"지형|"&amp;L756</x:f>
        <x:v>지형|담수</x:v>
      </x:c>
      <x:c r="AH756" s="5" t="str">
        <x:f>"온도|"&amp;M756</x:f>
        <x:v>온도|온대</x:v>
      </x:c>
      <x:c r="AI756" s="5" t="str">
        <x:f>"습도|"&amp;N756</x:f>
        <x:v>습도|수중</x:v>
      </x:c>
      <x:c r="AJ756" s="5" t="str">
        <x:f>"날씨|"&amp;O756</x:f>
        <x:v>날씨|비</x:v>
      </x:c>
      <x:c r="AK756" s="5" t="str">
        <x:f>"특수태그|"&amp;R756</x:f>
        <x:v>특수태그|없음</x:v>
      </x:c>
      <x:c r="AL756" s="5" t="str">
        <x:f>"원본서식지|"&amp;S756</x:f>
        <x:v>원본서식지|담수</x:v>
      </x:c>
      <x:c r="AM756" s="5" t="str">
        <x:f>"타입|"&amp;F756</x:f>
        <x:v>타입|물</x:v>
      </x:c>
      <x:c r="AN756" s="5" t="str">
        <x:f>"타입|"&amp;G756</x:f>
        <x:v>타입|벌레</x:v>
      </x:c>
    </x:row>
    <x:row r="757" ht="24" customHeight="1">
      <x:c r="A757" s="5" t="n">
        <x:v>753</x:v>
      </x:c>
      <x:c r="B757" s="5" t="inlineStr">
        <x:is>
          <x:t xml:space="preserve">짜랑랑</x:t>
        </x:is>
      </x:c>
      <x:c r="C757" s="5" t="inlineStr">
        <x:is>
          <x:t xml:space="preserve">fomantis</x:t>
        </x:is>
      </x:c>
      <x:c r="D757" s="5" t="inlineStr">
        <x:is>
          <x:t xml:space="preserve">Fomantis</x:t>
        </x:is>
      </x:c>
      <x:c r="E757" s="5" t="n">
        <x:v>7</x:v>
      </x:c>
      <x:c r="F757" s="5" t="inlineStr">
        <x:is>
          <x:t xml:space="preserve">풀</x:t>
        </x:is>
      </x:c>
      <x:c r="G757" s="5" t="inlineStr">
        <x:is>
          <x:t xml:space="preserve"/>
        </x:is>
      </x:c>
      <x:c r="H757" s="6" t="n">
        <x:v>1.5</x:v>
      </x:c>
      <x:c r="I757" s="5" t="n">
        <x:v>34</x:v>
      </x:c>
      <x:c r="J757" s="5" t="inlineStr">
        <x:is>
          <x:t xml:space="preserve">기본</x:t>
        </x:is>
      </x:c>
      <x:c r="K757" s="7" t="inlineStr">
        <x:is>
          <x:t xml:space="preserve">육상</x:t>
        </x:is>
      </x:c>
      <x:c r="L757" s="7" t="inlineStr">
        <x:is>
          <x:t xml:space="preserve">수목</x:t>
        </x:is>
      </x:c>
      <x:c r="M757" s="7" t="inlineStr">
        <x:is>
          <x:t xml:space="preserve">온대</x:t>
        </x:is>
      </x:c>
      <x:c r="N757" s="7" t="inlineStr">
        <x:is>
          <x:t xml:space="preserve">다습</x:t>
        </x:is>
      </x:c>
      <x:c r="O757" s="7" t="inlineStr">
        <x:is>
          <x:t xml:space="preserve">무관</x:t>
        </x:is>
      </x:c>
      <x:c r="P757" s="7" t="inlineStr">
        <x:is>
          <x:t xml:space="preserve">무관</x:t>
        </x:is>
      </x:c>
      <x:c r="Q757" s="7" t="inlineStr">
        <x:is>
          <x:t xml:space="preserve">흔함</x:t>
        </x:is>
      </x:c>
      <x:c r="R757" s="7" t="inlineStr">
        <x:is>
          <x:t xml:space="preserve">없음</x:t>
        </x:is>
      </x:c>
      <x:c r="S757" s="7" t="inlineStr">
        <x:is>
          <x:t xml:space="preserve">숲</x:t>
        </x:is>
      </x:c>
      <x:c r="T757" s="7" t="inlineStr">
        <x:is>
          <x:t xml:space="preserve"/>
        </x:is>
      </x:c>
      <x:c r="U757" s="8" t="str">
        <x:f>INDEX('서식지_점수'!$E$4:$P$4,1,MATCH(MAX('서식지_점수'!E757:P757),'서식지_점수'!E757:P757,0))</x:f>
        <x:v>평원</x:v>
      </x:c>
      <x:c r="V757" s="8" t="str">
        <x:f>IF(T757&lt;&gt;"",T757,U757)</x:f>
        <x:v>평원</x:v>
      </x:c>
      <x:c r="W757" s="8" t="str">
        <x:f>IFERROR(INDEX('서식지_점수'!$E$4:$P$4,1,MATCH(MAXIFS('서식지_점수'!E757:P757,'서식지_점수'!E757:P757,"&lt;"&amp;MAX('서식지_점수'!E757:P757)),'서식지_점수'!E757:P757,0)),"")</x:f>
        <x:v>숲</x:v>
      </x:c>
      <x:c r="X757" s="8" t="str">
        <x:f>IF(T757&lt;&gt;"","수동확정",IF(MAX('서식지_점수'!E757:P757)-LARGE('서식지_점수'!E757:P757,2)&gt;=15,"높음",IF(MAX('서식지_점수'!E757:P757)-LARGE('서식지_점수'!E757:P757,2)&gt;=8,"보통","검토필요")))</x:f>
        <x:v>검토필요</x:v>
      </x:c>
      <x:c r="Y757" s="9" t="n">
        <x:f>IF(Q757="전설",8,IF(Q757="희귀",7,IF(J757="기본",1,IF(J757="중간",3,IF(J757="최종",IF(I757="",5,IF(I757&lt;=20,3,IF(I757&lt;=35,4,IF(I757&lt;=50,6,7)))),IF(Q757="드묾",4,2))))))</x:f>
        <x:v>1</x:v>
      </x:c>
      <x:c r="Z757" s="5" t="inlineStr">
        <x:is>
          <x:t xml:space="preserve">#cobblemon:is_floral; #cobblemon:is_jungle; #cobblemon:is_tropical_island; the_bumblezone:floral_meadow</x:t>
        </x:is>
      </x:c>
      <x:c r="AA757" s="5" t="inlineStr">
        <x:is>
          <x:t xml:space="preserve">common</x:t>
        </x:is>
      </x:c>
      <x:c r="AB757" s="5" t="inlineStr">
        <x:is>
          <x:t xml:space="preserve">예</x:t>
        </x:is>
      </x:c>
      <x:c r="AC757" s="8" t="str">
        <x:f>IF(T757&lt;&gt;"","수동확정",IF(X757="검토필요","검토필요",IF(S757="","원본없음","초기완료")))</x:f>
        <x:v>검토필요</x:v>
      </x:c>
      <x:c r="AD757" s="7" t="inlineStr">
        <x:is>
          <x:t xml:space="preserve"/>
        </x:is>
      </x:c>
      <x:c r="AE757" s="5" t="inlineStr">
        <x:is>
          <x:t xml:space="preserve">.tmp/cobblemon-1.7.3-source/common/src/main/resources/data/cobblemon/species/generation7/fomantis.json</x:t>
        </x:is>
      </x:c>
      <x:c r="AF757" s="5" t="str">
        <x:f>"생활권|"&amp;K757</x:f>
        <x:v>생활권|육상</x:v>
      </x:c>
      <x:c r="AG757" s="5" t="str">
        <x:f>"지형|"&amp;L757</x:f>
        <x:v>지형|수목</x:v>
      </x:c>
      <x:c r="AH757" s="5" t="str">
        <x:f>"온도|"&amp;M757</x:f>
        <x:v>온도|온대</x:v>
      </x:c>
      <x:c r="AI757" s="5" t="str">
        <x:f>"습도|"&amp;N757</x:f>
        <x:v>습도|다습</x:v>
      </x:c>
      <x:c r="AJ757" s="5" t="str">
        <x:f>"날씨|"&amp;O757</x:f>
        <x:v>날씨|무관</x:v>
      </x:c>
      <x:c r="AK757" s="5" t="str">
        <x:f>"특수태그|"&amp;R757</x:f>
        <x:v>특수태그|없음</x:v>
      </x:c>
      <x:c r="AL757" s="5" t="str">
        <x:f>"원본서식지|"&amp;S757</x:f>
        <x:v>원본서식지|숲</x:v>
      </x:c>
      <x:c r="AM757" s="5" t="str">
        <x:f>"타입|"&amp;F757</x:f>
        <x:v>타입|풀</x:v>
      </x:c>
      <x:c r="AN757" s="5" t="str">
        <x:f>"타입|"&amp;G757</x:f>
        <x:v>타입|</x:v>
      </x:c>
    </x:row>
    <x:row r="758" ht="24" customHeight="1">
      <x:c r="A758" s="5" t="n">
        <x:v>754</x:v>
      </x:c>
      <x:c r="B758" s="5" t="inlineStr">
        <x:is>
          <x:t xml:space="preserve">라란티스</x:t>
        </x:is>
      </x:c>
      <x:c r="C758" s="5" t="inlineStr">
        <x:is>
          <x:t xml:space="preserve">lurantis</x:t>
        </x:is>
      </x:c>
      <x:c r="D758" s="5" t="inlineStr">
        <x:is>
          <x:t xml:space="preserve">Lurantis</x:t>
        </x:is>
      </x:c>
      <x:c r="E758" s="5" t="n">
        <x:v>7</x:v>
      </x:c>
      <x:c r="F758" s="5" t="inlineStr">
        <x:is>
          <x:t xml:space="preserve">풀</x:t>
        </x:is>
      </x:c>
      <x:c r="G758" s="5" t="inlineStr">
        <x:is>
          <x:t xml:space="preserve"/>
        </x:is>
      </x:c>
      <x:c r="H758" s="6" t="n">
        <x:v>18.5</x:v>
      </x:c>
      <x:c r="I758" s="5" t="n">
        <x:v>34</x:v>
      </x:c>
      <x:c r="J758" s="5" t="inlineStr">
        <x:is>
          <x:t xml:space="preserve">최종</x:t>
        </x:is>
      </x:c>
      <x:c r="K758" s="7" t="inlineStr">
        <x:is>
          <x:t xml:space="preserve">육상</x:t>
        </x:is>
      </x:c>
      <x:c r="L758" s="7" t="inlineStr">
        <x:is>
          <x:t xml:space="preserve">수목</x:t>
        </x:is>
      </x:c>
      <x:c r="M758" s="7" t="inlineStr">
        <x:is>
          <x:t xml:space="preserve">온대</x:t>
        </x:is>
      </x:c>
      <x:c r="N758" s="7" t="inlineStr">
        <x:is>
          <x:t xml:space="preserve">다습</x:t>
        </x:is>
      </x:c>
      <x:c r="O758" s="7" t="inlineStr">
        <x:is>
          <x:t xml:space="preserve">무관</x:t>
        </x:is>
      </x:c>
      <x:c r="P758" s="7" t="inlineStr">
        <x:is>
          <x:t xml:space="preserve">무관</x:t>
        </x:is>
      </x:c>
      <x:c r="Q758" s="7" t="inlineStr">
        <x:is>
          <x:t xml:space="preserve">흔함</x:t>
        </x:is>
      </x:c>
      <x:c r="R758" s="7" t="inlineStr">
        <x:is>
          <x:t xml:space="preserve">없음</x:t>
        </x:is>
      </x:c>
      <x:c r="S758" s="7" t="inlineStr">
        <x:is>
          <x:t xml:space="preserve">숲</x:t>
        </x:is>
      </x:c>
      <x:c r="T758" s="7" t="inlineStr">
        <x:is>
          <x:t xml:space="preserve"/>
        </x:is>
      </x:c>
      <x:c r="U758" s="8" t="str">
        <x:f>INDEX('서식지_점수'!$E$4:$P$4,1,MATCH(MAX('서식지_점수'!E758:P758),'서식지_점수'!E758:P758,0))</x:f>
        <x:v>평원</x:v>
      </x:c>
      <x:c r="V758" s="8" t="str">
        <x:f>IF(T758&lt;&gt;"",T758,U758)</x:f>
        <x:v>평원</x:v>
      </x:c>
      <x:c r="W758" s="8" t="str">
        <x:f>IFERROR(INDEX('서식지_점수'!$E$4:$P$4,1,MATCH(MAXIFS('서식지_점수'!E758:P758,'서식지_점수'!E758:P758,"&lt;"&amp;MAX('서식지_점수'!E758:P758)),'서식지_점수'!E758:P758,0)),"")</x:f>
        <x:v>숲</x:v>
      </x:c>
      <x:c r="X758" s="8" t="str">
        <x:f>IF(T758&lt;&gt;"","수동확정",IF(MAX('서식지_점수'!E758:P758)-LARGE('서식지_점수'!E758:P758,2)&gt;=15,"높음",IF(MAX('서식지_점수'!E758:P758)-LARGE('서식지_점수'!E758:P758,2)&gt;=8,"보통","검토필요")))</x:f>
        <x:v>검토필요</x:v>
      </x:c>
      <x:c r="Y758" s="9" t="n">
        <x:f>IF(Q758="전설",8,IF(Q758="희귀",7,IF(J758="기본",1,IF(J758="중간",3,IF(J758="최종",IF(I758="",5,IF(I758&lt;=20,3,IF(I758&lt;=35,4,IF(I758&lt;=50,6,7)))),IF(Q758="드묾",4,2))))))</x:f>
        <x:v>4</x:v>
      </x:c>
      <x:c r="Z758" s="5" t="inlineStr">
        <x:is>
          <x:t xml:space="preserve">#cobblemon:is_floral; #cobblemon:is_jungle; #cobblemon:is_tropical_island; the_bumblezone:floral_meadow</x:t>
        </x:is>
      </x:c>
      <x:c r="AA758" s="5" t="inlineStr">
        <x:is>
          <x:t xml:space="preserve">common</x:t>
        </x:is>
      </x:c>
      <x:c r="AB758" s="5" t="inlineStr">
        <x:is>
          <x:t xml:space="preserve">예</x:t>
        </x:is>
      </x:c>
      <x:c r="AC758" s="8" t="str">
        <x:f>IF(T758&lt;&gt;"","수동확정",IF(X758="검토필요","검토필요",IF(S758="","원본없음","초기완료")))</x:f>
        <x:v>검토필요</x:v>
      </x:c>
      <x:c r="AD758" s="7" t="inlineStr">
        <x:is>
          <x:t xml:space="preserve"/>
        </x:is>
      </x:c>
      <x:c r="AE758" s="5" t="inlineStr">
        <x:is>
          <x:t xml:space="preserve">.tmp/cobblemon-1.7.3-source/common/src/main/resources/data/cobblemon/species/generation7/lurantis.json</x:t>
        </x:is>
      </x:c>
      <x:c r="AF758" s="5" t="str">
        <x:f>"생활권|"&amp;K758</x:f>
        <x:v>생활권|육상</x:v>
      </x:c>
      <x:c r="AG758" s="5" t="str">
        <x:f>"지형|"&amp;L758</x:f>
        <x:v>지형|수목</x:v>
      </x:c>
      <x:c r="AH758" s="5" t="str">
        <x:f>"온도|"&amp;M758</x:f>
        <x:v>온도|온대</x:v>
      </x:c>
      <x:c r="AI758" s="5" t="str">
        <x:f>"습도|"&amp;N758</x:f>
        <x:v>습도|다습</x:v>
      </x:c>
      <x:c r="AJ758" s="5" t="str">
        <x:f>"날씨|"&amp;O758</x:f>
        <x:v>날씨|무관</x:v>
      </x:c>
      <x:c r="AK758" s="5" t="str">
        <x:f>"특수태그|"&amp;R758</x:f>
        <x:v>특수태그|없음</x:v>
      </x:c>
      <x:c r="AL758" s="5" t="str">
        <x:f>"원본서식지|"&amp;S758</x:f>
        <x:v>원본서식지|숲</x:v>
      </x:c>
      <x:c r="AM758" s="5" t="str">
        <x:f>"타입|"&amp;F758</x:f>
        <x:v>타입|풀</x:v>
      </x:c>
      <x:c r="AN758" s="5" t="str">
        <x:f>"타입|"&amp;G758</x:f>
        <x:v>타입|</x:v>
      </x:c>
    </x:row>
    <x:row r="759" ht="24" customHeight="1">
      <x:c r="A759" s="5" t="n">
        <x:v>755</x:v>
      </x:c>
      <x:c r="B759" s="5" t="inlineStr">
        <x:is>
          <x:t xml:space="preserve">자마슈</x:t>
        </x:is>
      </x:c>
      <x:c r="C759" s="5" t="inlineStr">
        <x:is>
          <x:t xml:space="preserve">morelull</x:t>
        </x:is>
      </x:c>
      <x:c r="D759" s="5" t="inlineStr">
        <x:is>
          <x:t xml:space="preserve">Morelull</x:t>
        </x:is>
      </x:c>
      <x:c r="E759" s="5" t="n">
        <x:v>7</x:v>
      </x:c>
      <x:c r="F759" s="5" t="inlineStr">
        <x:is>
          <x:t xml:space="preserve">풀</x:t>
        </x:is>
      </x:c>
      <x:c r="G759" s="5" t="inlineStr">
        <x:is>
          <x:t xml:space="preserve">페어리</x:t>
        </x:is>
      </x:c>
      <x:c r="H759" s="6" t="n">
        <x:v>1.5</x:v>
      </x:c>
      <x:c r="I759" s="5" t="n">
        <x:v>24</x:v>
      </x:c>
      <x:c r="J759" s="5" t="inlineStr">
        <x:is>
          <x:t xml:space="preserve">기본</x:t>
        </x:is>
      </x:c>
      <x:c r="K759" s="7" t="inlineStr">
        <x:is>
          <x:t xml:space="preserve">육상</x:t>
        </x:is>
      </x:c>
      <x:c r="L759" s="7" t="inlineStr">
        <x:is>
          <x:t xml:space="preserve">화산</x:t>
        </x:is>
      </x:c>
      <x:c r="M759" s="7" t="inlineStr">
        <x:is>
          <x:t xml:space="preserve">고온</x:t>
        </x:is>
      </x:c>
      <x:c r="N759" s="7" t="inlineStr">
        <x:is>
          <x:t xml:space="preserve">다습</x:t>
        </x:is>
      </x:c>
      <x:c r="O759" s="7" t="inlineStr">
        <x:is>
          <x:t xml:space="preserve">맑음</x:t>
        </x:is>
      </x:c>
      <x:c r="P759" s="7" t="inlineStr">
        <x:is>
          <x:t xml:space="preserve">무관</x:t>
        </x:is>
      </x:c>
      <x:c r="Q759" s="7" t="inlineStr">
        <x:is>
          <x:t xml:space="preserve">흔함</x:t>
        </x:is>
      </x:c>
      <x:c r="R759" s="7" t="inlineStr">
        <x:is>
          <x:t xml:space="preserve">화산</x:t>
        </x:is>
      </x:c>
      <x:c r="S759" s="7" t="inlineStr">
        <x:is>
          <x:t xml:space="preserve">화산</x:t>
        </x:is>
      </x:c>
      <x:c r="T759" s="7" t="inlineStr">
        <x:is>
          <x:t xml:space="preserve"/>
        </x:is>
      </x:c>
      <x:c r="U759" s="8" t="str">
        <x:f>INDEX('서식지_점수'!$E$4:$P$4,1,MATCH(MAX('서식지_점수'!E759:P759),'서식지_점수'!E759:P759,0))</x:f>
        <x:v>평원</x:v>
      </x:c>
      <x:c r="V759" s="8" t="str">
        <x:f>IF(T759&lt;&gt;"",T759,U759)</x:f>
        <x:v>평원</x:v>
      </x:c>
      <x:c r="W759" s="8" t="str">
        <x:f>IFERROR(INDEX('서식지_점수'!$E$4:$P$4,1,MATCH(MAXIFS('서식지_점수'!E759:P759,'서식지_점수'!E759:P759,"&lt;"&amp;MAX('서식지_점수'!E759:P759)),'서식지_점수'!E759:P759,0)),"")</x:f>
        <x:v>숲</x:v>
      </x:c>
      <x:c r="X759" s="8" t="str">
        <x:f>IF(T759&lt;&gt;"","수동확정",IF(MAX('서식지_점수'!E759:P759)-LARGE('서식지_점수'!E759:P759,2)&gt;=15,"높음",IF(MAX('서식지_점수'!E759:P759)-LARGE('서식지_점수'!E759:P759,2)&gt;=8,"보통","검토필요")))</x:f>
        <x:v>검토필요</x:v>
      </x:c>
      <x:c r="Y759" s="9" t="n">
        <x:f>IF(Q759="전설",8,IF(Q759="희귀",7,IF(J759="기본",1,IF(J759="중간",3,IF(J759="최종",IF(I759="",5,IF(I759&lt;=20,3,IF(I759&lt;=35,4,IF(I759&lt;=50,6,7)))),IF(Q759="드묾",4,2))))))</x:f>
        <x:v>1</x:v>
      </x:c>
      <x:c r="Z759" s="5" t="inlineStr">
        <x:is>
          <x:t xml:space="preserve">#aether:is_aether; #cobblemon:is_jungle; #cobblemon:is_lush; #cobblemon:is_magical; #cobblemon:is_mushroom; #cobblemon:is_overworld; #cobblemon:nether/is_fungus</x:t>
        </x:is>
      </x:c>
      <x:c r="AA759" s="5" t="inlineStr">
        <x:is>
          <x:t xml:space="preserve">common</x:t>
        </x:is>
      </x:c>
      <x:c r="AB759" s="5" t="inlineStr">
        <x:is>
          <x:t xml:space="preserve">예</x:t>
        </x:is>
      </x:c>
      <x:c r="AC759" s="8" t="str">
        <x:f>IF(T759&lt;&gt;"","수동확정",IF(X759="검토필요","검토필요",IF(S759="","원본없음","초기완료")))</x:f>
        <x:v>검토필요</x:v>
      </x:c>
      <x:c r="AD759" s="7" t="inlineStr">
        <x:is>
          <x:t xml:space="preserve"/>
        </x:is>
      </x:c>
      <x:c r="AE759" s="5" t="inlineStr">
        <x:is>
          <x:t xml:space="preserve">.tmp/cobblemon-1.7.3-source/common/src/main/resources/data/cobblemon/species/generation7/morelull.json</x:t>
        </x:is>
      </x:c>
      <x:c r="AF759" s="5" t="str">
        <x:f>"생활권|"&amp;K759</x:f>
        <x:v>생활권|육상</x:v>
      </x:c>
      <x:c r="AG759" s="5" t="str">
        <x:f>"지형|"&amp;L759</x:f>
        <x:v>지형|화산</x:v>
      </x:c>
      <x:c r="AH759" s="5" t="str">
        <x:f>"온도|"&amp;M759</x:f>
        <x:v>온도|고온</x:v>
      </x:c>
      <x:c r="AI759" s="5" t="str">
        <x:f>"습도|"&amp;N759</x:f>
        <x:v>습도|다습</x:v>
      </x:c>
      <x:c r="AJ759" s="5" t="str">
        <x:f>"날씨|"&amp;O759</x:f>
        <x:v>날씨|맑음</x:v>
      </x:c>
      <x:c r="AK759" s="5" t="str">
        <x:f>"특수태그|"&amp;R759</x:f>
        <x:v>특수태그|화산</x:v>
      </x:c>
      <x:c r="AL759" s="5" t="str">
        <x:f>"원본서식지|"&amp;S759</x:f>
        <x:v>원본서식지|화산</x:v>
      </x:c>
      <x:c r="AM759" s="5" t="str">
        <x:f>"타입|"&amp;F759</x:f>
        <x:v>타입|풀</x:v>
      </x:c>
      <x:c r="AN759" s="5" t="str">
        <x:f>"타입|"&amp;G759</x:f>
        <x:v>타입|페어리</x:v>
      </x:c>
    </x:row>
    <x:row r="760" ht="24" customHeight="1">
      <x:c r="A760" s="5" t="n">
        <x:v>756</x:v>
      </x:c>
      <x:c r="B760" s="5" t="inlineStr">
        <x:is>
          <x:t xml:space="preserve">마셰이드</x:t>
        </x:is>
      </x:c>
      <x:c r="C760" s="5" t="inlineStr">
        <x:is>
          <x:t xml:space="preserve">shiinotic</x:t>
        </x:is>
      </x:c>
      <x:c r="D760" s="5" t="inlineStr">
        <x:is>
          <x:t xml:space="preserve">Shiinotic</x:t>
        </x:is>
      </x:c>
      <x:c r="E760" s="5" t="n">
        <x:v>7</x:v>
      </x:c>
      <x:c r="F760" s="5" t="inlineStr">
        <x:is>
          <x:t xml:space="preserve">풀</x:t>
        </x:is>
      </x:c>
      <x:c r="G760" s="5" t="inlineStr">
        <x:is>
          <x:t xml:space="preserve">페어리</x:t>
        </x:is>
      </x:c>
      <x:c r="H760" s="6" t="n">
        <x:v>11.5</x:v>
      </x:c>
      <x:c r="I760" s="5" t="n">
        <x:v>24</x:v>
      </x:c>
      <x:c r="J760" s="5" t="inlineStr">
        <x:is>
          <x:t xml:space="preserve">최종</x:t>
        </x:is>
      </x:c>
      <x:c r="K760" s="7" t="inlineStr">
        <x:is>
          <x:t xml:space="preserve">육상</x:t>
        </x:is>
      </x:c>
      <x:c r="L760" s="7" t="inlineStr">
        <x:is>
          <x:t xml:space="preserve">화산</x:t>
        </x:is>
      </x:c>
      <x:c r="M760" s="7" t="inlineStr">
        <x:is>
          <x:t xml:space="preserve">고온</x:t>
        </x:is>
      </x:c>
      <x:c r="N760" s="7" t="inlineStr">
        <x:is>
          <x:t xml:space="preserve">다습</x:t>
        </x:is>
      </x:c>
      <x:c r="O760" s="7" t="inlineStr">
        <x:is>
          <x:t xml:space="preserve">맑음</x:t>
        </x:is>
      </x:c>
      <x:c r="P760" s="7" t="inlineStr">
        <x:is>
          <x:t xml:space="preserve">무관</x:t>
        </x:is>
      </x:c>
      <x:c r="Q760" s="7" t="inlineStr">
        <x:is>
          <x:t xml:space="preserve">흔함</x:t>
        </x:is>
      </x:c>
      <x:c r="R760" s="7" t="inlineStr">
        <x:is>
          <x:t xml:space="preserve">화산</x:t>
        </x:is>
      </x:c>
      <x:c r="S760" s="7" t="inlineStr">
        <x:is>
          <x:t xml:space="preserve">화산</x:t>
        </x:is>
      </x:c>
      <x:c r="T760" s="7" t="inlineStr">
        <x:is>
          <x:t xml:space="preserve"/>
        </x:is>
      </x:c>
      <x:c r="U760" s="8" t="str">
        <x:f>INDEX('서식지_점수'!$E$4:$P$4,1,MATCH(MAX('서식지_점수'!E760:P760),'서식지_점수'!E760:P760,0))</x:f>
        <x:v>평원</x:v>
      </x:c>
      <x:c r="V760" s="8" t="str">
        <x:f>IF(T760&lt;&gt;"",T760,U760)</x:f>
        <x:v>평원</x:v>
      </x:c>
      <x:c r="W760" s="8" t="str">
        <x:f>IFERROR(INDEX('서식지_점수'!$E$4:$P$4,1,MATCH(MAXIFS('서식지_점수'!E760:P760,'서식지_점수'!E760:P760,"&lt;"&amp;MAX('서식지_점수'!E760:P760)),'서식지_점수'!E760:P760,0)),"")</x:f>
        <x:v>숲</x:v>
      </x:c>
      <x:c r="X760" s="8" t="str">
        <x:f>IF(T760&lt;&gt;"","수동확정",IF(MAX('서식지_점수'!E760:P760)-LARGE('서식지_점수'!E760:P760,2)&gt;=15,"높음",IF(MAX('서식지_점수'!E760:P760)-LARGE('서식지_점수'!E760:P760,2)&gt;=8,"보통","검토필요")))</x:f>
        <x:v>검토필요</x:v>
      </x:c>
      <x:c r="Y760" s="9" t="n">
        <x:f>IF(Q760="전설",8,IF(Q760="희귀",7,IF(J760="기본",1,IF(J760="중간",3,IF(J760="최종",IF(I760="",5,IF(I760&lt;=20,3,IF(I760&lt;=35,4,IF(I760&lt;=50,6,7)))),IF(Q760="드묾",4,2))))))</x:f>
        <x:v>4</x:v>
      </x:c>
      <x:c r="Z760" s="5" t="inlineStr">
        <x:is>
          <x:t xml:space="preserve">#aether:is_aether; #cobblemon:is_jungle; #cobblemon:is_lush; #cobblemon:is_magical; #cobblemon:is_mushroom; #cobblemon:is_overworld; #cobblemon:nether/is_fungus</x:t>
        </x:is>
      </x:c>
      <x:c r="AA760" s="5" t="inlineStr">
        <x:is>
          <x:t xml:space="preserve">common</x:t>
        </x:is>
      </x:c>
      <x:c r="AB760" s="5" t="inlineStr">
        <x:is>
          <x:t xml:space="preserve">예</x:t>
        </x:is>
      </x:c>
      <x:c r="AC760" s="8" t="str">
        <x:f>IF(T760&lt;&gt;"","수동확정",IF(X760="검토필요","검토필요",IF(S760="","원본없음","초기완료")))</x:f>
        <x:v>검토필요</x:v>
      </x:c>
      <x:c r="AD760" s="7" t="inlineStr">
        <x:is>
          <x:t xml:space="preserve"/>
        </x:is>
      </x:c>
      <x:c r="AE760" s="5" t="inlineStr">
        <x:is>
          <x:t xml:space="preserve">.tmp/cobblemon-1.7.3-source/common/src/main/resources/data/cobblemon/species/generation7/shiinotic.json</x:t>
        </x:is>
      </x:c>
      <x:c r="AF760" s="5" t="str">
        <x:f>"생활권|"&amp;K760</x:f>
        <x:v>생활권|육상</x:v>
      </x:c>
      <x:c r="AG760" s="5" t="str">
        <x:f>"지형|"&amp;L760</x:f>
        <x:v>지형|화산</x:v>
      </x:c>
      <x:c r="AH760" s="5" t="str">
        <x:f>"온도|"&amp;M760</x:f>
        <x:v>온도|고온</x:v>
      </x:c>
      <x:c r="AI760" s="5" t="str">
        <x:f>"습도|"&amp;N760</x:f>
        <x:v>습도|다습</x:v>
      </x:c>
      <x:c r="AJ760" s="5" t="str">
        <x:f>"날씨|"&amp;O760</x:f>
        <x:v>날씨|맑음</x:v>
      </x:c>
      <x:c r="AK760" s="5" t="str">
        <x:f>"특수태그|"&amp;R760</x:f>
        <x:v>특수태그|화산</x:v>
      </x:c>
      <x:c r="AL760" s="5" t="str">
        <x:f>"원본서식지|"&amp;S760</x:f>
        <x:v>원본서식지|화산</x:v>
      </x:c>
      <x:c r="AM760" s="5" t="str">
        <x:f>"타입|"&amp;F760</x:f>
        <x:v>타입|풀</x:v>
      </x:c>
      <x:c r="AN760" s="5" t="str">
        <x:f>"타입|"&amp;G760</x:f>
        <x:v>타입|페어리</x:v>
      </x:c>
    </x:row>
    <x:row r="761" ht="24" customHeight="1">
      <x:c r="A761" s="5" t="n">
        <x:v>757</x:v>
      </x:c>
      <x:c r="B761" s="5" t="inlineStr">
        <x:is>
          <x:t xml:space="preserve">야도뇽</x:t>
        </x:is>
      </x:c>
      <x:c r="C761" s="5" t="inlineStr">
        <x:is>
          <x:t xml:space="preserve">salandit</x:t>
        </x:is>
      </x:c>
      <x:c r="D761" s="5" t="inlineStr">
        <x:is>
          <x:t xml:space="preserve">Salandit</x:t>
        </x:is>
      </x:c>
      <x:c r="E761" s="5" t="n">
        <x:v>7</x:v>
      </x:c>
      <x:c r="F761" s="5" t="inlineStr">
        <x:is>
          <x:t xml:space="preserve">독</x:t>
        </x:is>
      </x:c>
      <x:c r="G761" s="5" t="inlineStr">
        <x:is>
          <x:t xml:space="preserve">불꽃</x:t>
        </x:is>
      </x:c>
      <x:c r="H761" s="6" t="n">
        <x:v>4.8</x:v>
      </x:c>
      <x:c r="I761" s="5" t="n">
        <x:v>33</x:v>
      </x:c>
      <x:c r="J761" s="5" t="inlineStr">
        <x:is>
          <x:t xml:space="preserve">기본</x:t>
        </x:is>
      </x:c>
      <x:c r="K761" s="7" t="inlineStr">
        <x:is>
          <x:t xml:space="preserve">육상</x:t>
        </x:is>
      </x:c>
      <x:c r="L761" s="7" t="inlineStr">
        <x:is>
          <x:t xml:space="preserve">화산</x:t>
        </x:is>
      </x:c>
      <x:c r="M761" s="7" t="inlineStr">
        <x:is>
          <x:t xml:space="preserve">고온</x:t>
        </x:is>
      </x:c>
      <x:c r="N761" s="7" t="inlineStr">
        <x:is>
          <x:t xml:space="preserve">건조</x:t>
        </x:is>
      </x:c>
      <x:c r="O761" s="7" t="inlineStr">
        <x:is>
          <x:t xml:space="preserve">맑음</x:t>
        </x:is>
      </x:c>
      <x:c r="P761" s="7" t="inlineStr">
        <x:is>
          <x:t xml:space="preserve">무관</x:t>
        </x:is>
      </x:c>
      <x:c r="Q761" s="7" t="inlineStr">
        <x:is>
          <x:t xml:space="preserve">흔함</x:t>
        </x:is>
      </x:c>
      <x:c r="R761" s="7" t="inlineStr">
        <x:is>
          <x:t xml:space="preserve">화산</x:t>
        </x:is>
      </x:c>
      <x:c r="S761" s="7" t="inlineStr">
        <x:is>
          <x:t xml:space="preserve">화산</x:t>
        </x:is>
      </x:c>
      <x:c r="T761" s="7" t="inlineStr">
        <x:is>
          <x:t xml:space="preserve"/>
        </x:is>
      </x:c>
      <x:c r="U761" s="8" t="str">
        <x:f>INDEX('서식지_점수'!$E$4:$P$4,1,MATCH(MAX('서식지_점수'!E761:P761),'서식지_점수'!E761:P761,0))</x:f>
        <x:v>평원</x:v>
      </x:c>
      <x:c r="V761" s="8" t="str">
        <x:f>IF(T761&lt;&gt;"",T761,U761)</x:f>
        <x:v>평원</x:v>
      </x:c>
      <x:c r="W761" s="8" t="str">
        <x:f>IFERROR(INDEX('서식지_점수'!$E$4:$P$4,1,MATCH(MAXIFS('서식지_점수'!E761:P761,'서식지_점수'!E761:P761,"&lt;"&amp;MAX('서식지_점수'!E761:P761)),'서식지_점수'!E761:P761,0)),"")</x:f>
        <x:v>숲</x:v>
      </x:c>
      <x:c r="X761" s="8" t="str">
        <x:f>IF(T761&lt;&gt;"","수동확정",IF(MAX('서식지_점수'!E761:P761)-LARGE('서식지_점수'!E761:P761,2)&gt;=15,"높음",IF(MAX('서식지_점수'!E761:P761)-LARGE('서식지_점수'!E761:P761,2)&gt;=8,"보통","검토필요")))</x:f>
        <x:v>검토필요</x:v>
      </x:c>
      <x:c r="Y761" s="9" t="n">
        <x:f>IF(Q761="전설",8,IF(Q761="희귀",7,IF(J761="기본",1,IF(J761="중간",3,IF(J761="최종",IF(I761="",5,IF(I761&lt;=20,3,IF(I761&lt;=35,4,IF(I761&lt;=50,6,7)))),IF(Q761="드묾",4,2))))))</x:f>
        <x:v>1</x:v>
      </x:c>
      <x:c r="Z761" s="5" t="inlineStr">
        <x:is>
          <x:t xml:space="preserve">#cobblemon:is_badlands; #cobblemon:is_mountain; #cobblemon:is_volcanic; #cobblemon:nether/is_basalt; #cobblemon:nether/is_desert</x:t>
        </x:is>
      </x:c>
      <x:c r="AA761" s="5" t="inlineStr">
        <x:is>
          <x:t xml:space="preserve">common</x:t>
        </x:is>
      </x:c>
      <x:c r="AB761" s="5" t="inlineStr">
        <x:is>
          <x:t xml:space="preserve">예</x:t>
        </x:is>
      </x:c>
      <x:c r="AC761" s="8" t="str">
        <x:f>IF(T761&lt;&gt;"","수동확정",IF(X761="검토필요","검토필요",IF(S761="","원본없음","초기완료")))</x:f>
        <x:v>검토필요</x:v>
      </x:c>
      <x:c r="AD761" s="7" t="inlineStr">
        <x:is>
          <x:t xml:space="preserve"/>
        </x:is>
      </x:c>
      <x:c r="AE761" s="5" t="inlineStr">
        <x:is>
          <x:t xml:space="preserve">.tmp/cobblemon-1.7.3-source/common/src/main/resources/data/cobblemon/species/generation7/salandit.json</x:t>
        </x:is>
      </x:c>
      <x:c r="AF761" s="5" t="str">
        <x:f>"생활권|"&amp;K761</x:f>
        <x:v>생활권|육상</x:v>
      </x:c>
      <x:c r="AG761" s="5" t="str">
        <x:f>"지형|"&amp;L761</x:f>
        <x:v>지형|화산</x:v>
      </x:c>
      <x:c r="AH761" s="5" t="str">
        <x:f>"온도|"&amp;M761</x:f>
        <x:v>온도|고온</x:v>
      </x:c>
      <x:c r="AI761" s="5" t="str">
        <x:f>"습도|"&amp;N761</x:f>
        <x:v>습도|건조</x:v>
      </x:c>
      <x:c r="AJ761" s="5" t="str">
        <x:f>"날씨|"&amp;O761</x:f>
        <x:v>날씨|맑음</x:v>
      </x:c>
      <x:c r="AK761" s="5" t="str">
        <x:f>"특수태그|"&amp;R761</x:f>
        <x:v>특수태그|화산</x:v>
      </x:c>
      <x:c r="AL761" s="5" t="str">
        <x:f>"원본서식지|"&amp;S761</x:f>
        <x:v>원본서식지|화산</x:v>
      </x:c>
      <x:c r="AM761" s="5" t="str">
        <x:f>"타입|"&amp;F761</x:f>
        <x:v>타입|독</x:v>
      </x:c>
      <x:c r="AN761" s="5" t="str">
        <x:f>"타입|"&amp;G761</x:f>
        <x:v>타입|불꽃</x:v>
      </x:c>
    </x:row>
    <x:row r="762" ht="24" customHeight="1">
      <x:c r="A762" s="5" t="n">
        <x:v>758</x:v>
      </x:c>
      <x:c r="B762" s="5" t="inlineStr">
        <x:is>
          <x:t xml:space="preserve">염뉴트</x:t>
        </x:is>
      </x:c>
      <x:c r="C762" s="5" t="inlineStr">
        <x:is>
          <x:t xml:space="preserve">salazzle</x:t>
        </x:is>
      </x:c>
      <x:c r="D762" s="5" t="inlineStr">
        <x:is>
          <x:t xml:space="preserve">Salazzle</x:t>
        </x:is>
      </x:c>
      <x:c r="E762" s="5" t="n">
        <x:v>7</x:v>
      </x:c>
      <x:c r="F762" s="5" t="inlineStr">
        <x:is>
          <x:t xml:space="preserve">독</x:t>
        </x:is>
      </x:c>
      <x:c r="G762" s="5" t="inlineStr">
        <x:is>
          <x:t xml:space="preserve">불꽃</x:t>
        </x:is>
      </x:c>
      <x:c r="H762" s="6" t="n">
        <x:v>22.2</x:v>
      </x:c>
      <x:c r="I762" s="5" t="n">
        <x:v>33</x:v>
      </x:c>
      <x:c r="J762" s="5" t="inlineStr">
        <x:is>
          <x:t xml:space="preserve">최종</x:t>
        </x:is>
      </x:c>
      <x:c r="K762" s="7" t="inlineStr">
        <x:is>
          <x:t xml:space="preserve">육상</x:t>
        </x:is>
      </x:c>
      <x:c r="L762" s="7" t="inlineStr">
        <x:is>
          <x:t xml:space="preserve">화산</x:t>
        </x:is>
      </x:c>
      <x:c r="M762" s="7" t="inlineStr">
        <x:is>
          <x:t xml:space="preserve">고온</x:t>
        </x:is>
      </x:c>
      <x:c r="N762" s="7" t="inlineStr">
        <x:is>
          <x:t xml:space="preserve">건조</x:t>
        </x:is>
      </x:c>
      <x:c r="O762" s="7" t="inlineStr">
        <x:is>
          <x:t xml:space="preserve">맑음</x:t>
        </x:is>
      </x:c>
      <x:c r="P762" s="7" t="inlineStr">
        <x:is>
          <x:t xml:space="preserve">무관</x:t>
        </x:is>
      </x:c>
      <x:c r="Q762" s="7" t="inlineStr">
        <x:is>
          <x:t xml:space="preserve">흔함</x:t>
        </x:is>
      </x:c>
      <x:c r="R762" s="7" t="inlineStr">
        <x:is>
          <x:t xml:space="preserve">화산</x:t>
        </x:is>
      </x:c>
      <x:c r="S762" s="7" t="inlineStr">
        <x:is>
          <x:t xml:space="preserve">화산</x:t>
        </x:is>
      </x:c>
      <x:c r="T762" s="7" t="inlineStr">
        <x:is>
          <x:t xml:space="preserve"/>
        </x:is>
      </x:c>
      <x:c r="U762" s="8" t="str">
        <x:f>INDEX('서식지_점수'!$E$4:$P$4,1,MATCH(MAX('서식지_점수'!E762:P762),'서식지_점수'!E762:P762,0))</x:f>
        <x:v>평원</x:v>
      </x:c>
      <x:c r="V762" s="8" t="str">
        <x:f>IF(T762&lt;&gt;"",T762,U762)</x:f>
        <x:v>평원</x:v>
      </x:c>
      <x:c r="W762" s="8" t="str">
        <x:f>IFERROR(INDEX('서식지_점수'!$E$4:$P$4,1,MATCH(MAXIFS('서식지_점수'!E762:P762,'서식지_점수'!E762:P762,"&lt;"&amp;MAX('서식지_점수'!E762:P762)),'서식지_점수'!E762:P762,0)),"")</x:f>
        <x:v>숲</x:v>
      </x:c>
      <x:c r="X762" s="8" t="str">
        <x:f>IF(T762&lt;&gt;"","수동확정",IF(MAX('서식지_점수'!E762:P762)-LARGE('서식지_점수'!E762:P762,2)&gt;=15,"높음",IF(MAX('서식지_점수'!E762:P762)-LARGE('서식지_점수'!E762:P762,2)&gt;=8,"보통","검토필요")))</x:f>
        <x:v>검토필요</x:v>
      </x:c>
      <x:c r="Y762" s="9" t="n">
        <x:f>IF(Q762="전설",8,IF(Q762="희귀",7,IF(J762="기본",1,IF(J762="중간",3,IF(J762="최종",IF(I762="",5,IF(I762&lt;=20,3,IF(I762&lt;=35,4,IF(I762&lt;=50,6,7)))),IF(Q762="드묾",4,2))))))</x:f>
        <x:v>4</x:v>
      </x:c>
      <x:c r="Z762" s="5" t="inlineStr">
        <x:is>
          <x:t xml:space="preserve">#cobblemon:is_badlands; #cobblemon:is_mountain; #cobblemon:is_volcanic; #cobblemon:nether/is_basalt; #cobblemon:nether/is_desert</x:t>
        </x:is>
      </x:c>
      <x:c r="AA762" s="5" t="inlineStr">
        <x:is>
          <x:t xml:space="preserve">common</x:t>
        </x:is>
      </x:c>
      <x:c r="AB762" s="5" t="inlineStr">
        <x:is>
          <x:t xml:space="preserve">예</x:t>
        </x:is>
      </x:c>
      <x:c r="AC762" s="8" t="str">
        <x:f>IF(T762&lt;&gt;"","수동확정",IF(X762="검토필요","검토필요",IF(S762="","원본없음","초기완료")))</x:f>
        <x:v>검토필요</x:v>
      </x:c>
      <x:c r="AD762" s="7" t="inlineStr">
        <x:is>
          <x:t xml:space="preserve"/>
        </x:is>
      </x:c>
      <x:c r="AE762" s="5" t="inlineStr">
        <x:is>
          <x:t xml:space="preserve">.tmp/cobblemon-1.7.3-source/common/src/main/resources/data/cobblemon/species/generation7/salazzle.json</x:t>
        </x:is>
      </x:c>
      <x:c r="AF762" s="5" t="str">
        <x:f>"생활권|"&amp;K762</x:f>
        <x:v>생활권|육상</x:v>
      </x:c>
      <x:c r="AG762" s="5" t="str">
        <x:f>"지형|"&amp;L762</x:f>
        <x:v>지형|화산</x:v>
      </x:c>
      <x:c r="AH762" s="5" t="str">
        <x:f>"온도|"&amp;M762</x:f>
        <x:v>온도|고온</x:v>
      </x:c>
      <x:c r="AI762" s="5" t="str">
        <x:f>"습도|"&amp;N762</x:f>
        <x:v>습도|건조</x:v>
      </x:c>
      <x:c r="AJ762" s="5" t="str">
        <x:f>"날씨|"&amp;O762</x:f>
        <x:v>날씨|맑음</x:v>
      </x:c>
      <x:c r="AK762" s="5" t="str">
        <x:f>"특수태그|"&amp;R762</x:f>
        <x:v>특수태그|화산</x:v>
      </x:c>
      <x:c r="AL762" s="5" t="str">
        <x:f>"원본서식지|"&amp;S762</x:f>
        <x:v>원본서식지|화산</x:v>
      </x:c>
      <x:c r="AM762" s="5" t="str">
        <x:f>"타입|"&amp;F762</x:f>
        <x:v>타입|독</x:v>
      </x:c>
      <x:c r="AN762" s="5" t="str">
        <x:f>"타입|"&amp;G762</x:f>
        <x:v>타입|불꽃</x:v>
      </x:c>
    </x:row>
    <x:row r="763" ht="24" customHeight="1">
      <x:c r="A763" s="5" t="n">
        <x:v>759</x:v>
      </x:c>
      <x:c r="B763" s="5" t="inlineStr">
        <x:is>
          <x:t xml:space="preserve">포곰곰</x:t>
        </x:is>
      </x:c>
      <x:c r="C763" s="5" t="inlineStr">
        <x:is>
          <x:t xml:space="preserve">stufful</x:t>
        </x:is>
      </x:c>
      <x:c r="D763" s="5" t="inlineStr">
        <x:is>
          <x:t xml:space="preserve">Stufful</x:t>
        </x:is>
      </x:c>
      <x:c r="E763" s="5" t="n">
        <x:v>7</x:v>
      </x:c>
      <x:c r="F763" s="5" t="inlineStr">
        <x:is>
          <x:t xml:space="preserve">노말</x:t>
        </x:is>
      </x:c>
      <x:c r="G763" s="5" t="inlineStr">
        <x:is>
          <x:t xml:space="preserve">격투</x:t>
        </x:is>
      </x:c>
      <x:c r="H763" s="6" t="n">
        <x:v>6.8</x:v>
      </x:c>
      <x:c r="I763" s="5" t="n">
        <x:v>27</x:v>
      </x:c>
      <x:c r="J763" s="5" t="inlineStr">
        <x:is>
          <x:t xml:space="preserve">기본</x:t>
        </x:is>
      </x:c>
      <x:c r="K763" s="7" t="inlineStr">
        <x:is>
          <x:t xml:space="preserve">육상</x:t>
        </x:is>
      </x:c>
      <x:c r="L763" s="7" t="inlineStr">
        <x:is>
          <x:t xml:space="preserve">개활지</x:t>
        </x:is>
      </x:c>
      <x:c r="M763" s="7" t="inlineStr">
        <x:is>
          <x:t xml:space="preserve">온대</x:t>
        </x:is>
      </x:c>
      <x:c r="N763" s="7" t="inlineStr">
        <x:is>
          <x:t xml:space="preserve">보통</x:t>
        </x:is>
      </x:c>
      <x:c r="O763" s="7" t="inlineStr">
        <x:is>
          <x:t xml:space="preserve">무관</x:t>
        </x:is>
      </x:c>
      <x:c r="P763" s="7" t="inlineStr">
        <x:is>
          <x:t xml:space="preserve">무관</x:t>
        </x:is>
      </x:c>
      <x:c r="Q763" s="7" t="inlineStr">
        <x:is>
          <x:t xml:space="preserve">흔함</x:t>
        </x:is>
      </x:c>
      <x:c r="R763" s="7" t="inlineStr">
        <x:is>
          <x:t xml:space="preserve">없음</x:t>
        </x:is>
      </x:c>
      <x:c r="S763" s="7" t="inlineStr">
        <x:is>
          <x:t xml:space="preserve"/>
        </x:is>
      </x:c>
      <x:c r="T763" s="7" t="inlineStr">
        <x:is>
          <x:t xml:space="preserve"/>
        </x:is>
      </x:c>
      <x:c r="U763" s="8" t="str">
        <x:f>INDEX('서식지_점수'!$E$4:$P$4,1,MATCH(MAX('서식지_점수'!E763:P763),'서식지_점수'!E763:P763,0))</x:f>
        <x:v>평원</x:v>
      </x:c>
      <x:c r="V763" s="8" t="str">
        <x:f>IF(T763&lt;&gt;"",T763,U763)</x:f>
        <x:v>평원</x:v>
      </x:c>
      <x:c r="W763" s="8" t="str">
        <x:f>IFERROR(INDEX('서식지_점수'!$E$4:$P$4,1,MATCH(MAXIFS('서식지_점수'!E763:P763,'서식지_점수'!E763:P763,"&lt;"&amp;MAX('서식지_점수'!E763:P763)),'서식지_점수'!E763:P763,0)),"")</x:f>
        <x:v>숲</x:v>
      </x:c>
      <x:c r="X763" s="8" t="str">
        <x:f>IF(T763&lt;&gt;"","수동확정",IF(MAX('서식지_점수'!E763:P763)-LARGE('서식지_점수'!E763:P763,2)&gt;=15,"높음",IF(MAX('서식지_점수'!E763:P763)-LARGE('서식지_점수'!E763:P763,2)&gt;=8,"보통","검토필요")))</x:f>
        <x:v>검토필요</x:v>
      </x:c>
      <x:c r="Y763" s="9" t="n">
        <x:f>IF(Q763="전설",8,IF(Q763="희귀",7,IF(J763="기본",1,IF(J763="중간",3,IF(J763="최종",IF(I763="",5,IF(I763&lt;=20,3,IF(I763&lt;=35,4,IF(I763&lt;=50,6,7)))),IF(Q763="드묾",4,2))))))</x:f>
        <x:v>1</x:v>
      </x:c>
      <x:c r="Z763" s="5" t="inlineStr">
        <x:is>
          <x:t xml:space="preserve">#cobblemon:is_bamboo</x:t>
        </x:is>
      </x:c>
      <x:c r="AA763" s="5" t="inlineStr">
        <x:is>
          <x:t xml:space="preserve">common</x:t>
        </x:is>
      </x:c>
      <x:c r="AB763" s="5" t="inlineStr">
        <x:is>
          <x:t xml:space="preserve">예</x:t>
        </x:is>
      </x:c>
      <x:c r="AC763" s="8" t="str">
        <x:f>IF(T763&lt;&gt;"","수동확정",IF(X763="검토필요","검토필요",IF(S763="","원본없음","초기완료")))</x:f>
        <x:v>검토필요</x:v>
      </x:c>
      <x:c r="AD763" s="7" t="inlineStr">
        <x:is>
          <x:t xml:space="preserve"/>
        </x:is>
      </x:c>
      <x:c r="AE763" s="5" t="inlineStr">
        <x:is>
          <x:t xml:space="preserve">.tmp/cobblemon-1.7.3-source/common/src/main/resources/data/cobblemon/species/generation7/stufful.json</x:t>
        </x:is>
      </x:c>
      <x:c r="AF763" s="5" t="str">
        <x:f>"생활권|"&amp;K763</x:f>
        <x:v>생활권|육상</x:v>
      </x:c>
      <x:c r="AG763" s="5" t="str">
        <x:f>"지형|"&amp;L763</x:f>
        <x:v>지형|개활지</x:v>
      </x:c>
      <x:c r="AH763" s="5" t="str">
        <x:f>"온도|"&amp;M763</x:f>
        <x:v>온도|온대</x:v>
      </x:c>
      <x:c r="AI763" s="5" t="str">
        <x:f>"습도|"&amp;N763</x:f>
        <x:v>습도|보통</x:v>
      </x:c>
      <x:c r="AJ763" s="5" t="str">
        <x:f>"날씨|"&amp;O763</x:f>
        <x:v>날씨|무관</x:v>
      </x:c>
      <x:c r="AK763" s="5" t="str">
        <x:f>"특수태그|"&amp;R763</x:f>
        <x:v>특수태그|없음</x:v>
      </x:c>
      <x:c r="AL763" s="5" t="str">
        <x:f>"원본서식지|"&amp;S763</x:f>
        <x:v>원본서식지|</x:v>
      </x:c>
      <x:c r="AM763" s="5" t="str">
        <x:f>"타입|"&amp;F763</x:f>
        <x:v>타입|노말</x:v>
      </x:c>
      <x:c r="AN763" s="5" t="str">
        <x:f>"타입|"&amp;G763</x:f>
        <x:v>타입|격투</x:v>
      </x:c>
    </x:row>
    <x:row r="764" ht="24" customHeight="1">
      <x:c r="A764" s="5" t="n">
        <x:v>760</x:v>
      </x:c>
      <x:c r="B764" s="5" t="inlineStr">
        <x:is>
          <x:t xml:space="preserve">이븐곰</x:t>
        </x:is>
      </x:c>
      <x:c r="C764" s="5" t="inlineStr">
        <x:is>
          <x:t xml:space="preserve">bewear</x:t>
        </x:is>
      </x:c>
      <x:c r="D764" s="5" t="inlineStr">
        <x:is>
          <x:t xml:space="preserve">Bewear</x:t>
        </x:is>
      </x:c>
      <x:c r="E764" s="5" t="n">
        <x:v>7</x:v>
      </x:c>
      <x:c r="F764" s="5" t="inlineStr">
        <x:is>
          <x:t xml:space="preserve">노말</x:t>
        </x:is>
      </x:c>
      <x:c r="G764" s="5" t="inlineStr">
        <x:is>
          <x:t xml:space="preserve">격투</x:t>
        </x:is>
      </x:c>
      <x:c r="H764" s="6" t="n">
        <x:v>135</x:v>
      </x:c>
      <x:c r="I764" s="5" t="n">
        <x:v>27</x:v>
      </x:c>
      <x:c r="J764" s="5" t="inlineStr">
        <x:is>
          <x:t xml:space="preserve">최종</x:t>
        </x:is>
      </x:c>
      <x:c r="K764" s="7" t="inlineStr">
        <x:is>
          <x:t xml:space="preserve">육상</x:t>
        </x:is>
      </x:c>
      <x:c r="L764" s="7" t="inlineStr">
        <x:is>
          <x:t xml:space="preserve">개활지</x:t>
        </x:is>
      </x:c>
      <x:c r="M764" s="7" t="inlineStr">
        <x:is>
          <x:t xml:space="preserve">온대</x:t>
        </x:is>
      </x:c>
      <x:c r="N764" s="7" t="inlineStr">
        <x:is>
          <x:t xml:space="preserve">보통</x:t>
        </x:is>
      </x:c>
      <x:c r="O764" s="7" t="inlineStr">
        <x:is>
          <x:t xml:space="preserve">무관</x:t>
        </x:is>
      </x:c>
      <x:c r="P764" s="7" t="inlineStr">
        <x:is>
          <x:t xml:space="preserve">무관</x:t>
        </x:is>
      </x:c>
      <x:c r="Q764" s="7" t="inlineStr">
        <x:is>
          <x:t xml:space="preserve">흔함</x:t>
        </x:is>
      </x:c>
      <x:c r="R764" s="7" t="inlineStr">
        <x:is>
          <x:t xml:space="preserve">없음</x:t>
        </x:is>
      </x:c>
      <x:c r="S764" s="7" t="inlineStr">
        <x:is>
          <x:t xml:space="preserve"/>
        </x:is>
      </x:c>
      <x:c r="T764" s="7" t="inlineStr">
        <x:is>
          <x:t xml:space="preserve"/>
        </x:is>
      </x:c>
      <x:c r="U764" s="8" t="str">
        <x:f>INDEX('서식지_점수'!$E$4:$P$4,1,MATCH(MAX('서식지_점수'!E764:P764),'서식지_점수'!E764:P764,0))</x:f>
        <x:v>평원</x:v>
      </x:c>
      <x:c r="V764" s="8" t="str">
        <x:f>IF(T764&lt;&gt;"",T764,U764)</x:f>
        <x:v>평원</x:v>
      </x:c>
      <x:c r="W764" s="8" t="str">
        <x:f>IFERROR(INDEX('서식지_점수'!$E$4:$P$4,1,MATCH(MAXIFS('서식지_점수'!E764:P764,'서식지_점수'!E764:P764,"&lt;"&amp;MAX('서식지_점수'!E764:P764)),'서식지_점수'!E764:P764,0)),"")</x:f>
        <x:v>숲</x:v>
      </x:c>
      <x:c r="X764" s="8" t="str">
        <x:f>IF(T764&lt;&gt;"","수동확정",IF(MAX('서식지_점수'!E764:P764)-LARGE('서식지_점수'!E764:P764,2)&gt;=15,"높음",IF(MAX('서식지_점수'!E764:P764)-LARGE('서식지_점수'!E764:P764,2)&gt;=8,"보통","검토필요")))</x:f>
        <x:v>검토필요</x:v>
      </x:c>
      <x:c r="Y764" s="9" t="n">
        <x:f>IF(Q764="전설",8,IF(Q764="희귀",7,IF(J764="기본",1,IF(J764="중간",3,IF(J764="최종",IF(I764="",5,IF(I764&lt;=20,3,IF(I764&lt;=35,4,IF(I764&lt;=50,6,7)))),IF(Q764="드묾",4,2))))))</x:f>
        <x:v>4</x:v>
      </x:c>
      <x:c r="Z764" s="5" t="inlineStr">
        <x:is>
          <x:t xml:space="preserve">#cobblemon:is_bamboo</x:t>
        </x:is>
      </x:c>
      <x:c r="AA764" s="5" t="inlineStr">
        <x:is>
          <x:t xml:space="preserve">common</x:t>
        </x:is>
      </x:c>
      <x:c r="AB764" s="5" t="inlineStr">
        <x:is>
          <x:t xml:space="preserve">예</x:t>
        </x:is>
      </x:c>
      <x:c r="AC764" s="8" t="str">
        <x:f>IF(T764&lt;&gt;"","수동확정",IF(X764="검토필요","검토필요",IF(S764="","원본없음","초기완료")))</x:f>
        <x:v>검토필요</x:v>
      </x:c>
      <x:c r="AD764" s="7" t="inlineStr">
        <x:is>
          <x:t xml:space="preserve"/>
        </x:is>
      </x:c>
      <x:c r="AE764" s="5" t="inlineStr">
        <x:is>
          <x:t xml:space="preserve">.tmp/cobblemon-1.7.3-source/common/src/main/resources/data/cobblemon/species/generation7/bewear.json</x:t>
        </x:is>
      </x:c>
      <x:c r="AF764" s="5" t="str">
        <x:f>"생활권|"&amp;K764</x:f>
        <x:v>생활권|육상</x:v>
      </x:c>
      <x:c r="AG764" s="5" t="str">
        <x:f>"지형|"&amp;L764</x:f>
        <x:v>지형|개활지</x:v>
      </x:c>
      <x:c r="AH764" s="5" t="str">
        <x:f>"온도|"&amp;M764</x:f>
        <x:v>온도|온대</x:v>
      </x:c>
      <x:c r="AI764" s="5" t="str">
        <x:f>"습도|"&amp;N764</x:f>
        <x:v>습도|보통</x:v>
      </x:c>
      <x:c r="AJ764" s="5" t="str">
        <x:f>"날씨|"&amp;O764</x:f>
        <x:v>날씨|무관</x:v>
      </x:c>
      <x:c r="AK764" s="5" t="str">
        <x:f>"특수태그|"&amp;R764</x:f>
        <x:v>특수태그|없음</x:v>
      </x:c>
      <x:c r="AL764" s="5" t="str">
        <x:f>"원본서식지|"&amp;S764</x:f>
        <x:v>원본서식지|</x:v>
      </x:c>
      <x:c r="AM764" s="5" t="str">
        <x:f>"타입|"&amp;F764</x:f>
        <x:v>타입|노말</x:v>
      </x:c>
      <x:c r="AN764" s="5" t="str">
        <x:f>"타입|"&amp;G764</x:f>
        <x:v>타입|격투</x:v>
      </x:c>
    </x:row>
    <x:row r="765" ht="24" customHeight="1">
      <x:c r="A765" s="5" t="n">
        <x:v>761</x:v>
      </x:c>
      <x:c r="B765" s="5" t="inlineStr">
        <x:is>
          <x:t xml:space="preserve">달콤아</x:t>
        </x:is>
      </x:c>
      <x:c r="C765" s="5" t="inlineStr">
        <x:is>
          <x:t xml:space="preserve">bounsweet</x:t>
        </x:is>
      </x:c>
      <x:c r="D765" s="5" t="inlineStr">
        <x:is>
          <x:t xml:space="preserve">Bounsweet</x:t>
        </x:is>
      </x:c>
      <x:c r="E765" s="5" t="n">
        <x:v>7</x:v>
      </x:c>
      <x:c r="F765" s="5" t="inlineStr">
        <x:is>
          <x:t xml:space="preserve">풀</x:t>
        </x:is>
      </x:c>
      <x:c r="G765" s="5" t="inlineStr">
        <x:is>
          <x:t xml:space="preserve"/>
        </x:is>
      </x:c>
      <x:c r="H765" s="6" t="n">
        <x:v>3.2</x:v>
      </x:c>
      <x:c r="I765" s="5" t="n">
        <x:v>18</x:v>
      </x:c>
      <x:c r="J765" s="5" t="inlineStr">
        <x:is>
          <x:t xml:space="preserve">기본</x:t>
        </x:is>
      </x:c>
      <x:c r="K765" s="7" t="inlineStr">
        <x:is>
          <x:t xml:space="preserve">육상</x:t>
        </x:is>
      </x:c>
      <x:c r="L765" s="7" t="inlineStr">
        <x:is>
          <x:t xml:space="preserve">수목</x:t>
        </x:is>
      </x:c>
      <x:c r="M765" s="7" t="inlineStr">
        <x:is>
          <x:t xml:space="preserve">온대</x:t>
        </x:is>
      </x:c>
      <x:c r="N765" s="7" t="inlineStr">
        <x:is>
          <x:t xml:space="preserve">다습</x:t>
        </x:is>
      </x:c>
      <x:c r="O765" s="7" t="inlineStr">
        <x:is>
          <x:t xml:space="preserve">무관</x:t>
        </x:is>
      </x:c>
      <x:c r="P765" s="7" t="inlineStr">
        <x:is>
          <x:t xml:space="preserve">무관</x:t>
        </x:is>
      </x:c>
      <x:c r="Q765" s="7" t="inlineStr">
        <x:is>
          <x:t xml:space="preserve">흔함</x:t>
        </x:is>
      </x:c>
      <x:c r="R765" s="7" t="inlineStr">
        <x:is>
          <x:t xml:space="preserve">없음</x:t>
        </x:is>
      </x:c>
      <x:c r="S765" s="7" t="inlineStr">
        <x:is>
          <x:t xml:space="preserve">숲</x:t>
        </x:is>
      </x:c>
      <x:c r="T765" s="7" t="inlineStr">
        <x:is>
          <x:t xml:space="preserve"/>
        </x:is>
      </x:c>
      <x:c r="U765" s="8" t="str">
        <x:f>INDEX('서식지_점수'!$E$4:$P$4,1,MATCH(MAX('서식지_점수'!E765:P765),'서식지_점수'!E765:P765,0))</x:f>
        <x:v>평원</x:v>
      </x:c>
      <x:c r="V765" s="8" t="str">
        <x:f>IF(T765&lt;&gt;"",T765,U765)</x:f>
        <x:v>평원</x:v>
      </x:c>
      <x:c r="W765" s="8" t="str">
        <x:f>IFERROR(INDEX('서식지_점수'!$E$4:$P$4,1,MATCH(MAXIFS('서식지_점수'!E765:P765,'서식지_점수'!E765:P765,"&lt;"&amp;MAX('서식지_점수'!E765:P765)),'서식지_점수'!E765:P765,0)),"")</x:f>
        <x:v>숲</x:v>
      </x:c>
      <x:c r="X765" s="8" t="str">
        <x:f>IF(T765&lt;&gt;"","수동확정",IF(MAX('서식지_점수'!E765:P765)-LARGE('서식지_점수'!E765:P765,2)&gt;=15,"높음",IF(MAX('서식지_점수'!E765:P765)-LARGE('서식지_점수'!E765:P765,2)&gt;=8,"보통","검토필요")))</x:f>
        <x:v>검토필요</x:v>
      </x:c>
      <x:c r="Y765" s="9" t="n">
        <x:f>IF(Q765="전설",8,IF(Q765="희귀",7,IF(J765="기본",1,IF(J765="중간",3,IF(J765="최종",IF(I765="",5,IF(I765&lt;=20,3,IF(I765&lt;=35,4,IF(I765&lt;=50,6,7)))),IF(Q765="드묾",4,2))))))</x:f>
        <x:v>1</x:v>
      </x:c>
      <x:c r="Z765" s="5" t="inlineStr">
        <x:is>
          <x:t xml:space="preserve">#cobblemon:is_jungle; #cobblemon:is_tropical_island</x:t>
        </x:is>
      </x:c>
      <x:c r="AA765" s="5" t="inlineStr">
        <x:is>
          <x:t xml:space="preserve">common</x:t>
        </x:is>
      </x:c>
      <x:c r="AB765" s="5" t="inlineStr">
        <x:is>
          <x:t xml:space="preserve">예</x:t>
        </x:is>
      </x:c>
      <x:c r="AC765" s="8" t="str">
        <x:f>IF(T765&lt;&gt;"","수동확정",IF(X765="검토필요","검토필요",IF(S765="","원본없음","초기완료")))</x:f>
        <x:v>검토필요</x:v>
      </x:c>
      <x:c r="AD765" s="7" t="inlineStr">
        <x:is>
          <x:t xml:space="preserve"/>
        </x:is>
      </x:c>
      <x:c r="AE765" s="5" t="inlineStr">
        <x:is>
          <x:t xml:space="preserve">.tmp/cobblemon-1.7.3-source/common/src/main/resources/data/cobblemon/species/generation7/bounsweet.json</x:t>
        </x:is>
      </x:c>
      <x:c r="AF765" s="5" t="str">
        <x:f>"생활권|"&amp;K765</x:f>
        <x:v>생활권|육상</x:v>
      </x:c>
      <x:c r="AG765" s="5" t="str">
        <x:f>"지형|"&amp;L765</x:f>
        <x:v>지형|수목</x:v>
      </x:c>
      <x:c r="AH765" s="5" t="str">
        <x:f>"온도|"&amp;M765</x:f>
        <x:v>온도|온대</x:v>
      </x:c>
      <x:c r="AI765" s="5" t="str">
        <x:f>"습도|"&amp;N765</x:f>
        <x:v>습도|다습</x:v>
      </x:c>
      <x:c r="AJ765" s="5" t="str">
        <x:f>"날씨|"&amp;O765</x:f>
        <x:v>날씨|무관</x:v>
      </x:c>
      <x:c r="AK765" s="5" t="str">
        <x:f>"특수태그|"&amp;R765</x:f>
        <x:v>특수태그|없음</x:v>
      </x:c>
      <x:c r="AL765" s="5" t="str">
        <x:f>"원본서식지|"&amp;S765</x:f>
        <x:v>원본서식지|숲</x:v>
      </x:c>
      <x:c r="AM765" s="5" t="str">
        <x:f>"타입|"&amp;F765</x:f>
        <x:v>타입|풀</x:v>
      </x:c>
      <x:c r="AN765" s="5" t="str">
        <x:f>"타입|"&amp;G765</x:f>
        <x:v>타입|</x:v>
      </x:c>
    </x:row>
    <x:row r="766" ht="24" customHeight="1">
      <x:c r="A766" s="5" t="n">
        <x:v>762</x:v>
      </x:c>
      <x:c r="B766" s="5" t="inlineStr">
        <x:is>
          <x:t xml:space="preserve">달무리나</x:t>
        </x:is>
      </x:c>
      <x:c r="C766" s="5" t="inlineStr">
        <x:is>
          <x:t xml:space="preserve">steenee</x:t>
        </x:is>
      </x:c>
      <x:c r="D766" s="5" t="inlineStr">
        <x:is>
          <x:t xml:space="preserve">Steenee</x:t>
        </x:is>
      </x:c>
      <x:c r="E766" s="5" t="n">
        <x:v>7</x:v>
      </x:c>
      <x:c r="F766" s="5" t="inlineStr">
        <x:is>
          <x:t xml:space="preserve">풀</x:t>
        </x:is>
      </x:c>
      <x:c r="G766" s="5" t="inlineStr">
        <x:is>
          <x:t xml:space="preserve"/>
        </x:is>
      </x:c>
      <x:c r="H766" s="6" t="n">
        <x:v>8.199999999999999</x:v>
      </x:c>
      <x:c r="I766" s="5" t="n">
        <x:v>18</x:v>
      </x:c>
      <x:c r="J766" s="5" t="inlineStr">
        <x:is>
          <x:t xml:space="preserve">중간</x:t>
        </x:is>
      </x:c>
      <x:c r="K766" s="7" t="inlineStr">
        <x:is>
          <x:t xml:space="preserve">육상</x:t>
        </x:is>
      </x:c>
      <x:c r="L766" s="7" t="inlineStr">
        <x:is>
          <x:t xml:space="preserve">수목</x:t>
        </x:is>
      </x:c>
      <x:c r="M766" s="7" t="inlineStr">
        <x:is>
          <x:t xml:space="preserve">온대</x:t>
        </x:is>
      </x:c>
      <x:c r="N766" s="7" t="inlineStr">
        <x:is>
          <x:t xml:space="preserve">다습</x:t>
        </x:is>
      </x:c>
      <x:c r="O766" s="7" t="inlineStr">
        <x:is>
          <x:t xml:space="preserve">무관</x:t>
        </x:is>
      </x:c>
      <x:c r="P766" s="7" t="inlineStr">
        <x:is>
          <x:t xml:space="preserve">무관</x:t>
        </x:is>
      </x:c>
      <x:c r="Q766" s="7" t="inlineStr">
        <x:is>
          <x:t xml:space="preserve">흔함</x:t>
        </x:is>
      </x:c>
      <x:c r="R766" s="7" t="inlineStr">
        <x:is>
          <x:t xml:space="preserve">없음</x:t>
        </x:is>
      </x:c>
      <x:c r="S766" s="7" t="inlineStr">
        <x:is>
          <x:t xml:space="preserve">숲</x:t>
        </x:is>
      </x:c>
      <x:c r="T766" s="7" t="inlineStr">
        <x:is>
          <x:t xml:space="preserve"/>
        </x:is>
      </x:c>
      <x:c r="U766" s="8" t="str">
        <x:f>INDEX('서식지_점수'!$E$4:$P$4,1,MATCH(MAX('서식지_점수'!E766:P766),'서식지_점수'!E766:P766,0))</x:f>
        <x:v>평원</x:v>
      </x:c>
      <x:c r="V766" s="8" t="str">
        <x:f>IF(T766&lt;&gt;"",T766,U766)</x:f>
        <x:v>평원</x:v>
      </x:c>
      <x:c r="W766" s="8" t="str">
        <x:f>IFERROR(INDEX('서식지_점수'!$E$4:$P$4,1,MATCH(MAXIFS('서식지_점수'!E766:P766,'서식지_점수'!E766:P766,"&lt;"&amp;MAX('서식지_점수'!E766:P766)),'서식지_점수'!E766:P766,0)),"")</x:f>
        <x:v>숲</x:v>
      </x:c>
      <x:c r="X766" s="8" t="str">
        <x:f>IF(T766&lt;&gt;"","수동확정",IF(MAX('서식지_점수'!E766:P766)-LARGE('서식지_점수'!E766:P766,2)&gt;=15,"높음",IF(MAX('서식지_점수'!E766:P766)-LARGE('서식지_점수'!E766:P766,2)&gt;=8,"보통","검토필요")))</x:f>
        <x:v>검토필요</x:v>
      </x:c>
      <x:c r="Y766" s="9" t="n">
        <x:f>IF(Q766="전설",8,IF(Q766="희귀",7,IF(J766="기본",1,IF(J766="중간",3,IF(J766="최종",IF(I766="",5,IF(I766&lt;=20,3,IF(I766&lt;=35,4,IF(I766&lt;=50,6,7)))),IF(Q766="드묾",4,2))))))</x:f>
        <x:v>3</x:v>
      </x:c>
      <x:c r="Z766" s="5" t="inlineStr">
        <x:is>
          <x:t xml:space="preserve">#cobblemon:is_jungle; #cobblemon:is_tropical_island</x:t>
        </x:is>
      </x:c>
      <x:c r="AA766" s="5" t="inlineStr">
        <x:is>
          <x:t xml:space="preserve">common</x:t>
        </x:is>
      </x:c>
      <x:c r="AB766" s="5" t="inlineStr">
        <x:is>
          <x:t xml:space="preserve">예</x:t>
        </x:is>
      </x:c>
      <x:c r="AC766" s="8" t="str">
        <x:f>IF(T766&lt;&gt;"","수동확정",IF(X766="검토필요","검토필요",IF(S766="","원본없음","초기완료")))</x:f>
        <x:v>검토필요</x:v>
      </x:c>
      <x:c r="AD766" s="7" t="inlineStr">
        <x:is>
          <x:t xml:space="preserve"/>
        </x:is>
      </x:c>
      <x:c r="AE766" s="5" t="inlineStr">
        <x:is>
          <x:t xml:space="preserve">.tmp/cobblemon-1.7.3-source/common/src/main/resources/data/cobblemon/species/generation7/steenee.json</x:t>
        </x:is>
      </x:c>
      <x:c r="AF766" s="5" t="str">
        <x:f>"생활권|"&amp;K766</x:f>
        <x:v>생활권|육상</x:v>
      </x:c>
      <x:c r="AG766" s="5" t="str">
        <x:f>"지형|"&amp;L766</x:f>
        <x:v>지형|수목</x:v>
      </x:c>
      <x:c r="AH766" s="5" t="str">
        <x:f>"온도|"&amp;M766</x:f>
        <x:v>온도|온대</x:v>
      </x:c>
      <x:c r="AI766" s="5" t="str">
        <x:f>"습도|"&amp;N766</x:f>
        <x:v>습도|다습</x:v>
      </x:c>
      <x:c r="AJ766" s="5" t="str">
        <x:f>"날씨|"&amp;O766</x:f>
        <x:v>날씨|무관</x:v>
      </x:c>
      <x:c r="AK766" s="5" t="str">
        <x:f>"특수태그|"&amp;R766</x:f>
        <x:v>특수태그|없음</x:v>
      </x:c>
      <x:c r="AL766" s="5" t="str">
        <x:f>"원본서식지|"&amp;S766</x:f>
        <x:v>원본서식지|숲</x:v>
      </x:c>
      <x:c r="AM766" s="5" t="str">
        <x:f>"타입|"&amp;F766</x:f>
        <x:v>타입|풀</x:v>
      </x:c>
      <x:c r="AN766" s="5" t="str">
        <x:f>"타입|"&amp;G766</x:f>
        <x:v>타입|</x:v>
      </x:c>
    </x:row>
    <x:row r="767" ht="24" customHeight="1">
      <x:c r="A767" s="5" t="n">
        <x:v>763</x:v>
      </x:c>
      <x:c r="B767" s="5" t="inlineStr">
        <x:is>
          <x:t xml:space="preserve">달코퀸</x:t>
        </x:is>
      </x:c>
      <x:c r="C767" s="5" t="inlineStr">
        <x:is>
          <x:t xml:space="preserve">tsareena</x:t>
        </x:is>
      </x:c>
      <x:c r="D767" s="5" t="inlineStr">
        <x:is>
          <x:t xml:space="preserve">Tsareena</x:t>
        </x:is>
      </x:c>
      <x:c r="E767" s="5" t="n">
        <x:v>7</x:v>
      </x:c>
      <x:c r="F767" s="5" t="inlineStr">
        <x:is>
          <x:t xml:space="preserve">풀</x:t>
        </x:is>
      </x:c>
      <x:c r="G767" s="5" t="inlineStr">
        <x:is>
          <x:t xml:space="preserve"/>
        </x:is>
      </x:c>
      <x:c r="H767" s="6" t="n">
        <x:v>21.4</x:v>
      </x:c>
      <x:c r="I767" s="5" t="n">
        <x:v>18</x:v>
      </x:c>
      <x:c r="J767" s="5" t="inlineStr">
        <x:is>
          <x:t xml:space="preserve">최종</x:t>
        </x:is>
      </x:c>
      <x:c r="K767" s="7" t="inlineStr">
        <x:is>
          <x:t xml:space="preserve">육상</x:t>
        </x:is>
      </x:c>
      <x:c r="L767" s="7" t="inlineStr">
        <x:is>
          <x:t xml:space="preserve">수목</x:t>
        </x:is>
      </x:c>
      <x:c r="M767" s="7" t="inlineStr">
        <x:is>
          <x:t xml:space="preserve">온대</x:t>
        </x:is>
      </x:c>
      <x:c r="N767" s="7" t="inlineStr">
        <x:is>
          <x:t xml:space="preserve">다습</x:t>
        </x:is>
      </x:c>
      <x:c r="O767" s="7" t="inlineStr">
        <x:is>
          <x:t xml:space="preserve">무관</x:t>
        </x:is>
      </x:c>
      <x:c r="P767" s="7" t="inlineStr">
        <x:is>
          <x:t xml:space="preserve">무관</x:t>
        </x:is>
      </x:c>
      <x:c r="Q767" s="7" t="inlineStr">
        <x:is>
          <x:t xml:space="preserve">흔함</x:t>
        </x:is>
      </x:c>
      <x:c r="R767" s="7" t="inlineStr">
        <x:is>
          <x:t xml:space="preserve">없음</x:t>
        </x:is>
      </x:c>
      <x:c r="S767" s="7" t="inlineStr">
        <x:is>
          <x:t xml:space="preserve">숲</x:t>
        </x:is>
      </x:c>
      <x:c r="T767" s="7" t="inlineStr">
        <x:is>
          <x:t xml:space="preserve"/>
        </x:is>
      </x:c>
      <x:c r="U767" s="8" t="str">
        <x:f>INDEX('서식지_점수'!$E$4:$P$4,1,MATCH(MAX('서식지_점수'!E767:P767),'서식지_점수'!E767:P767,0))</x:f>
        <x:v>평원</x:v>
      </x:c>
      <x:c r="V767" s="8" t="str">
        <x:f>IF(T767&lt;&gt;"",T767,U767)</x:f>
        <x:v>평원</x:v>
      </x:c>
      <x:c r="W767" s="8" t="str">
        <x:f>IFERROR(INDEX('서식지_점수'!$E$4:$P$4,1,MATCH(MAXIFS('서식지_점수'!E767:P767,'서식지_점수'!E767:P767,"&lt;"&amp;MAX('서식지_점수'!E767:P767)),'서식지_점수'!E767:P767,0)),"")</x:f>
        <x:v>숲</x:v>
      </x:c>
      <x:c r="X767" s="8" t="str">
        <x:f>IF(T767&lt;&gt;"","수동확정",IF(MAX('서식지_점수'!E767:P767)-LARGE('서식지_점수'!E767:P767,2)&gt;=15,"높음",IF(MAX('서식지_점수'!E767:P767)-LARGE('서식지_점수'!E767:P767,2)&gt;=8,"보통","검토필요")))</x:f>
        <x:v>검토필요</x:v>
      </x:c>
      <x:c r="Y767" s="9" t="n">
        <x:f>IF(Q767="전설",8,IF(Q767="희귀",7,IF(J767="기본",1,IF(J767="중간",3,IF(J767="최종",IF(I767="",5,IF(I767&lt;=20,3,IF(I767&lt;=35,4,IF(I767&lt;=50,6,7)))),IF(Q767="드묾",4,2))))))</x:f>
        <x:v>3</x:v>
      </x:c>
      <x:c r="Z767" s="5" t="inlineStr">
        <x:is>
          <x:t xml:space="preserve">#cobblemon:is_jungle; #cobblemon:is_tropical_island</x:t>
        </x:is>
      </x:c>
      <x:c r="AA767" s="5" t="inlineStr">
        <x:is>
          <x:t xml:space="preserve">common</x:t>
        </x:is>
      </x:c>
      <x:c r="AB767" s="5" t="inlineStr">
        <x:is>
          <x:t xml:space="preserve">예</x:t>
        </x:is>
      </x:c>
      <x:c r="AC767" s="8" t="str">
        <x:f>IF(T767&lt;&gt;"","수동확정",IF(X767="검토필요","검토필요",IF(S767="","원본없음","초기완료")))</x:f>
        <x:v>검토필요</x:v>
      </x:c>
      <x:c r="AD767" s="7" t="inlineStr">
        <x:is>
          <x:t xml:space="preserve"/>
        </x:is>
      </x:c>
      <x:c r="AE767" s="5" t="inlineStr">
        <x:is>
          <x:t xml:space="preserve">.tmp/cobblemon-1.7.3-source/common/src/main/resources/data/cobblemon/species/generation7/tsareena.json</x:t>
        </x:is>
      </x:c>
      <x:c r="AF767" s="5" t="str">
        <x:f>"생활권|"&amp;K767</x:f>
        <x:v>생활권|육상</x:v>
      </x:c>
      <x:c r="AG767" s="5" t="str">
        <x:f>"지형|"&amp;L767</x:f>
        <x:v>지형|수목</x:v>
      </x:c>
      <x:c r="AH767" s="5" t="str">
        <x:f>"온도|"&amp;M767</x:f>
        <x:v>온도|온대</x:v>
      </x:c>
      <x:c r="AI767" s="5" t="str">
        <x:f>"습도|"&amp;N767</x:f>
        <x:v>습도|다습</x:v>
      </x:c>
      <x:c r="AJ767" s="5" t="str">
        <x:f>"날씨|"&amp;O767</x:f>
        <x:v>날씨|무관</x:v>
      </x:c>
      <x:c r="AK767" s="5" t="str">
        <x:f>"특수태그|"&amp;R767</x:f>
        <x:v>특수태그|없음</x:v>
      </x:c>
      <x:c r="AL767" s="5" t="str">
        <x:f>"원본서식지|"&amp;S767</x:f>
        <x:v>원본서식지|숲</x:v>
      </x:c>
      <x:c r="AM767" s="5" t="str">
        <x:f>"타입|"&amp;F767</x:f>
        <x:v>타입|풀</x:v>
      </x:c>
      <x:c r="AN767" s="5" t="str">
        <x:f>"타입|"&amp;G767</x:f>
        <x:v>타입|</x:v>
      </x:c>
    </x:row>
    <x:row r="768" ht="24" customHeight="1">
      <x:c r="A768" s="5" t="n">
        <x:v>764</x:v>
      </x:c>
      <x:c r="B768" s="5" t="inlineStr">
        <x:is>
          <x:t xml:space="preserve">큐아링</x:t>
        </x:is>
      </x:c>
      <x:c r="C768" s="5" t="inlineStr">
        <x:is>
          <x:t xml:space="preserve">comfey</x:t>
        </x:is>
      </x:c>
      <x:c r="D768" s="5" t="inlineStr">
        <x:is>
          <x:t xml:space="preserve">Comfey</x:t>
        </x:is>
      </x:c>
      <x:c r="E768" s="5" t="n">
        <x:v>7</x:v>
      </x:c>
      <x:c r="F768" s="5" t="inlineStr">
        <x:is>
          <x:t xml:space="preserve">페어리</x:t>
        </x:is>
      </x:c>
      <x:c r="G768" s="5" t="inlineStr">
        <x:is>
          <x:t xml:space="preserve"/>
        </x:is>
      </x:c>
      <x:c r="H768" s="6" t="n">
        <x:v>0.3</x:v>
      </x:c>
      <x:c r="I768" s="5" t="n"/>
      <x:c r="J768" s="5" t="inlineStr">
        <x:is>
          <x:t xml:space="preserve">무진화</x:t>
        </x:is>
      </x:c>
      <x:c r="K768" s="7" t="inlineStr">
        <x:is>
          <x:t xml:space="preserve">비행</x:t>
        </x:is>
      </x:c>
      <x:c r="L768" s="7" t="inlineStr">
        <x:is>
          <x:t xml:space="preserve">개활지</x:t>
        </x:is>
      </x:c>
      <x:c r="M768" s="7" t="inlineStr">
        <x:is>
          <x:t xml:space="preserve">온대</x:t>
        </x:is>
      </x:c>
      <x:c r="N768" s="7" t="inlineStr">
        <x:is>
          <x:t xml:space="preserve">보통</x:t>
        </x:is>
      </x:c>
      <x:c r="O768" s="7" t="inlineStr">
        <x:is>
          <x:t xml:space="preserve">무관</x:t>
        </x:is>
      </x:c>
      <x:c r="P768" s="7" t="inlineStr">
        <x:is>
          <x:t xml:space="preserve">무관</x:t>
        </x:is>
      </x:c>
      <x:c r="Q768" s="7" t="inlineStr">
        <x:is>
          <x:t xml:space="preserve">보통</x:t>
        </x:is>
      </x:c>
      <x:c r="R768" s="7" t="inlineStr">
        <x:is>
          <x:t xml:space="preserve">없음</x:t>
        </x:is>
      </x:c>
      <x:c r="S768" s="7" t="inlineStr">
        <x:is>
          <x:t xml:space="preserve">평원</x:t>
        </x:is>
      </x:c>
      <x:c r="T768" s="7" t="inlineStr">
        <x:is>
          <x:t xml:space="preserve"/>
        </x:is>
      </x:c>
      <x:c r="U768" s="8" t="str">
        <x:f>INDEX('서식지_점수'!$E$4:$P$4,1,MATCH(MAX('서식지_점수'!E768:P768),'서식지_점수'!E768:P768,0))</x:f>
        <x:v>산악</x:v>
      </x:c>
      <x:c r="V768" s="8" t="str">
        <x:f>IF(T768&lt;&gt;"",T768,U768)</x:f>
        <x:v>산악</x:v>
      </x:c>
      <x:c r="W768" s="8" t="str">
        <x:f>IFERROR(INDEX('서식지_점수'!$E$4:$P$4,1,MATCH(MAXIFS('서식지_점수'!E768:P768,'서식지_점수'!E768:P768,"&lt;"&amp;MAX('서식지_점수'!E768:P768)),'서식지_점수'!E768:P768,0)),"")</x:f>
        <x:v>평원</x:v>
      </x:c>
      <x:c r="X768" s="8" t="str">
        <x:f>IF(T768&lt;&gt;"","수동확정",IF(MAX('서식지_점수'!E768:P768)-LARGE('서식지_점수'!E768:P768,2)&gt;=15,"높음",IF(MAX('서식지_점수'!E768:P768)-LARGE('서식지_점수'!E768:P768,2)&gt;=8,"보통","검토필요")))</x:f>
        <x:v>검토필요</x:v>
      </x:c>
      <x:c r="Y768" s="9" t="n">
        <x:f>IF(Q768="전설",8,IF(Q768="희귀",7,IF(J768="기본",1,IF(J768="중간",3,IF(J768="최종",IF(I768="",5,IF(I768&lt;=20,3,IF(I768&lt;=35,4,IF(I768&lt;=50,6,7)))),IF(Q768="드묾",4,2))))))</x:f>
        <x:v>2</x:v>
      </x:c>
      <x:c r="Z768" s="5" t="inlineStr">
        <x:is>
          <x:t xml:space="preserve">#aether:is_aether; #cobblemon:is_floral; #cobblemon:is_overworld; #cobblemon:is_tropical_island; the_bumblezone:floral_meadow</x:t>
        </x:is>
      </x:c>
      <x:c r="AA768" s="5" t="inlineStr">
        <x:is>
          <x:t xml:space="preserve">rare; uncommon</x:t>
        </x:is>
      </x:c>
      <x:c r="AB768" s="5" t="inlineStr">
        <x:is>
          <x:t xml:space="preserve">예</x:t>
        </x:is>
      </x:c>
      <x:c r="AC768" s="8" t="str">
        <x:f>IF(T768&lt;&gt;"","수동확정",IF(X768="검토필요","검토필요",IF(S768="","원본없음","초기완료")))</x:f>
        <x:v>검토필요</x:v>
      </x:c>
      <x:c r="AD768" s="7" t="inlineStr">
        <x:is>
          <x:t xml:space="preserve"/>
        </x:is>
      </x:c>
      <x:c r="AE768" s="5" t="inlineStr">
        <x:is>
          <x:t xml:space="preserve">.tmp/cobblemon-1.7.3-source/common/src/main/resources/data/cobblemon/species/generation7/comfey.json</x:t>
        </x:is>
      </x:c>
      <x:c r="AF768" s="5" t="str">
        <x:f>"생활권|"&amp;K768</x:f>
        <x:v>생활권|비행</x:v>
      </x:c>
      <x:c r="AG768" s="5" t="str">
        <x:f>"지형|"&amp;L768</x:f>
        <x:v>지형|개활지</x:v>
      </x:c>
      <x:c r="AH768" s="5" t="str">
        <x:f>"온도|"&amp;M768</x:f>
        <x:v>온도|온대</x:v>
      </x:c>
      <x:c r="AI768" s="5" t="str">
        <x:f>"습도|"&amp;N768</x:f>
        <x:v>습도|보통</x:v>
      </x:c>
      <x:c r="AJ768" s="5" t="str">
        <x:f>"날씨|"&amp;O768</x:f>
        <x:v>날씨|무관</x:v>
      </x:c>
      <x:c r="AK768" s="5" t="str">
        <x:f>"특수태그|"&amp;R768</x:f>
        <x:v>특수태그|없음</x:v>
      </x:c>
      <x:c r="AL768" s="5" t="str">
        <x:f>"원본서식지|"&amp;S768</x:f>
        <x:v>원본서식지|평원</x:v>
      </x:c>
      <x:c r="AM768" s="5" t="str">
        <x:f>"타입|"&amp;F768</x:f>
        <x:v>타입|페어리</x:v>
      </x:c>
      <x:c r="AN768" s="5" t="str">
        <x:f>"타입|"&amp;G768</x:f>
        <x:v>타입|</x:v>
      </x:c>
    </x:row>
    <x:row r="769" ht="24" customHeight="1">
      <x:c r="A769" s="5" t="n">
        <x:v>765</x:v>
      </x:c>
      <x:c r="B769" s="5" t="inlineStr">
        <x:is>
          <x:t xml:space="preserve">하랑우탄</x:t>
        </x:is>
      </x:c>
      <x:c r="C769" s="5" t="inlineStr">
        <x:is>
          <x:t xml:space="preserve">oranguru</x:t>
        </x:is>
      </x:c>
      <x:c r="D769" s="5" t="inlineStr">
        <x:is>
          <x:t xml:space="preserve">Oranguru</x:t>
        </x:is>
      </x:c>
      <x:c r="E769" s="5" t="n">
        <x:v>7</x:v>
      </x:c>
      <x:c r="F769" s="5" t="inlineStr">
        <x:is>
          <x:t xml:space="preserve">노말</x:t>
        </x:is>
      </x:c>
      <x:c r="G769" s="5" t="inlineStr">
        <x:is>
          <x:t xml:space="preserve">에스퍼</x:t>
        </x:is>
      </x:c>
      <x:c r="H769" s="6" t="n">
        <x:v>76</x:v>
      </x:c>
      <x:c r="I769" s="5" t="n"/>
      <x:c r="J769" s="5" t="inlineStr">
        <x:is>
          <x:t xml:space="preserve">무진화</x:t>
        </x:is>
      </x:c>
      <x:c r="K769" s="7" t="inlineStr">
        <x:is>
          <x:t xml:space="preserve">육상</x:t>
        </x:is>
      </x:c>
      <x:c r="L769" s="7" t="inlineStr">
        <x:is>
          <x:t xml:space="preserve">수목</x:t>
        </x:is>
      </x:c>
      <x:c r="M769" s="7" t="inlineStr">
        <x:is>
          <x:t xml:space="preserve">온대</x:t>
        </x:is>
      </x:c>
      <x:c r="N769" s="7" t="inlineStr">
        <x:is>
          <x:t xml:space="preserve">다습</x:t>
        </x:is>
      </x:c>
      <x:c r="O769" s="7" t="inlineStr">
        <x:is>
          <x:t xml:space="preserve">무관</x:t>
        </x:is>
      </x:c>
      <x:c r="P769" s="7" t="inlineStr">
        <x:is>
          <x:t xml:space="preserve">무관</x:t>
        </x:is>
      </x:c>
      <x:c r="Q769" s="7" t="inlineStr">
        <x:is>
          <x:t xml:space="preserve">드묾</x:t>
        </x:is>
      </x:c>
      <x:c r="R769" s="7" t="inlineStr">
        <x:is>
          <x:t xml:space="preserve">없음</x:t>
        </x:is>
      </x:c>
      <x:c r="S769" s="7" t="inlineStr">
        <x:is>
          <x:t xml:space="preserve">숲</x:t>
        </x:is>
      </x:c>
      <x:c r="T769" s="7" t="inlineStr">
        <x:is>
          <x:t xml:space="preserve"/>
        </x:is>
      </x:c>
      <x:c r="U769" s="8" t="str">
        <x:f>INDEX('서식지_점수'!$E$4:$P$4,1,MATCH(MAX('서식지_점수'!E769:P769),'서식지_점수'!E769:P769,0))</x:f>
        <x:v>평원</x:v>
      </x:c>
      <x:c r="V769" s="8" t="str">
        <x:f>IF(T769&lt;&gt;"",T769,U769)</x:f>
        <x:v>평원</x:v>
      </x:c>
      <x:c r="W769" s="8" t="str">
        <x:f>IFERROR(INDEX('서식지_점수'!$E$4:$P$4,1,MATCH(MAXIFS('서식지_점수'!E769:P769,'서식지_점수'!E769:P769,"&lt;"&amp;MAX('서식지_점수'!E769:P769)),'서식지_점수'!E769:P769,0)),"")</x:f>
        <x:v>숲</x:v>
      </x:c>
      <x:c r="X769" s="8" t="str">
        <x:f>IF(T769&lt;&gt;"","수동확정",IF(MAX('서식지_점수'!E769:P769)-LARGE('서식지_점수'!E769:P769,2)&gt;=15,"높음",IF(MAX('서식지_점수'!E769:P769)-LARGE('서식지_점수'!E769:P769,2)&gt;=8,"보통","검토필요")))</x:f>
        <x:v>검토필요</x:v>
      </x:c>
      <x:c r="Y769" s="9" t="n">
        <x:f>IF(Q769="전설",8,IF(Q769="희귀",7,IF(J769="기본",1,IF(J769="중간",3,IF(J769="최종",IF(I769="",5,IF(I769&lt;=20,3,IF(I769&lt;=35,4,IF(I769&lt;=50,6,7)))),IF(Q769="드묾",4,2))))))</x:f>
        <x:v>4</x:v>
      </x:c>
      <x:c r="Z769" s="5" t="inlineStr">
        <x:is>
          <x:t xml:space="preserve">#cobblemon:is_jungle</x:t>
        </x:is>
      </x:c>
      <x:c r="AA769" s="5" t="inlineStr">
        <x:is>
          <x:t xml:space="preserve">rare</x:t>
        </x:is>
      </x:c>
      <x:c r="AB769" s="5" t="inlineStr">
        <x:is>
          <x:t xml:space="preserve">아니오</x:t>
        </x:is>
      </x:c>
      <x:c r="AC769" s="8" t="str">
        <x:f>IF(T769&lt;&gt;"","수동확정",IF(X769="검토필요","검토필요",IF(S769="","원본없음","초기완료")))</x:f>
        <x:v>검토필요</x:v>
      </x:c>
      <x:c r="AD769" s="7" t="inlineStr">
        <x:is>
          <x:t xml:space="preserve"/>
        </x:is>
      </x:c>
      <x:c r="AE769" s="5" t="inlineStr">
        <x:is>
          <x:t xml:space="preserve">.tmp/cobblemon-1.7.3-source/common/src/main/resources/data/cobblemon/species/generation7/oranguru.json</x:t>
        </x:is>
      </x:c>
      <x:c r="AF769" s="5" t="str">
        <x:f>"생활권|"&amp;K769</x:f>
        <x:v>생활권|육상</x:v>
      </x:c>
      <x:c r="AG769" s="5" t="str">
        <x:f>"지형|"&amp;L769</x:f>
        <x:v>지형|수목</x:v>
      </x:c>
      <x:c r="AH769" s="5" t="str">
        <x:f>"온도|"&amp;M769</x:f>
        <x:v>온도|온대</x:v>
      </x:c>
      <x:c r="AI769" s="5" t="str">
        <x:f>"습도|"&amp;N769</x:f>
        <x:v>습도|다습</x:v>
      </x:c>
      <x:c r="AJ769" s="5" t="str">
        <x:f>"날씨|"&amp;O769</x:f>
        <x:v>날씨|무관</x:v>
      </x:c>
      <x:c r="AK769" s="5" t="str">
        <x:f>"특수태그|"&amp;R769</x:f>
        <x:v>특수태그|없음</x:v>
      </x:c>
      <x:c r="AL769" s="5" t="str">
        <x:f>"원본서식지|"&amp;S769</x:f>
        <x:v>원본서식지|숲</x:v>
      </x:c>
      <x:c r="AM769" s="5" t="str">
        <x:f>"타입|"&amp;F769</x:f>
        <x:v>타입|노말</x:v>
      </x:c>
      <x:c r="AN769" s="5" t="str">
        <x:f>"타입|"&amp;G769</x:f>
        <x:v>타입|에스퍼</x:v>
      </x:c>
    </x:row>
    <x:row r="770" ht="24" customHeight="1">
      <x:c r="A770" s="5" t="n">
        <x:v>766</x:v>
      </x:c>
      <x:c r="B770" s="5" t="inlineStr">
        <x:is>
          <x:t xml:space="preserve">내던숭이</x:t>
        </x:is>
      </x:c>
      <x:c r="C770" s="5" t="inlineStr">
        <x:is>
          <x:t xml:space="preserve">passimian</x:t>
        </x:is>
      </x:c>
      <x:c r="D770" s="5" t="inlineStr">
        <x:is>
          <x:t xml:space="preserve">Passimian</x:t>
        </x:is>
      </x:c>
      <x:c r="E770" s="5" t="n">
        <x:v>7</x:v>
      </x:c>
      <x:c r="F770" s="5" t="inlineStr">
        <x:is>
          <x:t xml:space="preserve">격투</x:t>
        </x:is>
      </x:c>
      <x:c r="G770" s="5" t="inlineStr">
        <x:is>
          <x:t xml:space="preserve"/>
        </x:is>
      </x:c>
      <x:c r="H770" s="6" t="n">
        <x:v>82.8</x:v>
      </x:c>
      <x:c r="I770" s="5" t="n"/>
      <x:c r="J770" s="5" t="inlineStr">
        <x:is>
          <x:t xml:space="preserve">무진화</x:t>
        </x:is>
      </x:c>
      <x:c r="K770" s="7" t="inlineStr">
        <x:is>
          <x:t xml:space="preserve">육상</x:t>
        </x:is>
      </x:c>
      <x:c r="L770" s="7" t="inlineStr">
        <x:is>
          <x:t xml:space="preserve">수목</x:t>
        </x:is>
      </x:c>
      <x:c r="M770" s="7" t="inlineStr">
        <x:is>
          <x:t xml:space="preserve">온대</x:t>
        </x:is>
      </x:c>
      <x:c r="N770" s="7" t="inlineStr">
        <x:is>
          <x:t xml:space="preserve">다습</x:t>
        </x:is>
      </x:c>
      <x:c r="O770" s="7" t="inlineStr">
        <x:is>
          <x:t xml:space="preserve">무관</x:t>
        </x:is>
      </x:c>
      <x:c r="P770" s="7" t="inlineStr">
        <x:is>
          <x:t xml:space="preserve">무관</x:t>
        </x:is>
      </x:c>
      <x:c r="Q770" s="7" t="inlineStr">
        <x:is>
          <x:t xml:space="preserve">드묾</x:t>
        </x:is>
      </x:c>
      <x:c r="R770" s="7" t="inlineStr">
        <x:is>
          <x:t xml:space="preserve">없음</x:t>
        </x:is>
      </x:c>
      <x:c r="S770" s="7" t="inlineStr">
        <x:is>
          <x:t xml:space="preserve">숲</x:t>
        </x:is>
      </x:c>
      <x:c r="T770" s="7" t="inlineStr">
        <x:is>
          <x:t xml:space="preserve"/>
        </x:is>
      </x:c>
      <x:c r="U770" s="8" t="str">
        <x:f>INDEX('서식지_점수'!$E$4:$P$4,1,MATCH(MAX('서식지_점수'!E770:P770),'서식지_점수'!E770:P770,0))</x:f>
        <x:v>평원</x:v>
      </x:c>
      <x:c r="V770" s="8" t="str">
        <x:f>IF(T770&lt;&gt;"",T770,U770)</x:f>
        <x:v>평원</x:v>
      </x:c>
      <x:c r="W770" s="8" t="str">
        <x:f>IFERROR(INDEX('서식지_점수'!$E$4:$P$4,1,MATCH(MAXIFS('서식지_점수'!E770:P770,'서식지_점수'!E770:P770,"&lt;"&amp;MAX('서식지_점수'!E770:P770)),'서식지_점수'!E770:P770,0)),"")</x:f>
        <x:v>숲</x:v>
      </x:c>
      <x:c r="X770" s="8" t="str">
        <x:f>IF(T770&lt;&gt;"","수동확정",IF(MAX('서식지_점수'!E770:P770)-LARGE('서식지_점수'!E770:P770,2)&gt;=15,"높음",IF(MAX('서식지_점수'!E770:P770)-LARGE('서식지_점수'!E770:P770,2)&gt;=8,"보통","검토필요")))</x:f>
        <x:v>검토필요</x:v>
      </x:c>
      <x:c r="Y770" s="9" t="n">
        <x:f>IF(Q770="전설",8,IF(Q770="희귀",7,IF(J770="기본",1,IF(J770="중간",3,IF(J770="최종",IF(I770="",5,IF(I770&lt;=20,3,IF(I770&lt;=35,4,IF(I770&lt;=50,6,7)))),IF(Q770="드묾",4,2))))))</x:f>
        <x:v>4</x:v>
      </x:c>
      <x:c r="Z770" s="5" t="inlineStr">
        <x:is>
          <x:t xml:space="preserve">#cobblemon:is_jungle</x:t>
        </x:is>
      </x:c>
      <x:c r="AA770" s="5" t="inlineStr">
        <x:is>
          <x:t xml:space="preserve">rare</x:t>
        </x:is>
      </x:c>
      <x:c r="AB770" s="5" t="inlineStr">
        <x:is>
          <x:t xml:space="preserve">아니오</x:t>
        </x:is>
      </x:c>
      <x:c r="AC770" s="8" t="str">
        <x:f>IF(T770&lt;&gt;"","수동확정",IF(X770="검토필요","검토필요",IF(S770="","원본없음","초기완료")))</x:f>
        <x:v>검토필요</x:v>
      </x:c>
      <x:c r="AD770" s="7" t="inlineStr">
        <x:is>
          <x:t xml:space="preserve"/>
        </x:is>
      </x:c>
      <x:c r="AE770" s="5" t="inlineStr">
        <x:is>
          <x:t xml:space="preserve">.tmp/cobblemon-1.7.3-source/common/src/main/resources/data/cobblemon/species/generation7/passimian.json</x:t>
        </x:is>
      </x:c>
      <x:c r="AF770" s="5" t="str">
        <x:f>"생활권|"&amp;K770</x:f>
        <x:v>생활권|육상</x:v>
      </x:c>
      <x:c r="AG770" s="5" t="str">
        <x:f>"지형|"&amp;L770</x:f>
        <x:v>지형|수목</x:v>
      </x:c>
      <x:c r="AH770" s="5" t="str">
        <x:f>"온도|"&amp;M770</x:f>
        <x:v>온도|온대</x:v>
      </x:c>
      <x:c r="AI770" s="5" t="str">
        <x:f>"습도|"&amp;N770</x:f>
        <x:v>습도|다습</x:v>
      </x:c>
      <x:c r="AJ770" s="5" t="str">
        <x:f>"날씨|"&amp;O770</x:f>
        <x:v>날씨|무관</x:v>
      </x:c>
      <x:c r="AK770" s="5" t="str">
        <x:f>"특수태그|"&amp;R770</x:f>
        <x:v>특수태그|없음</x:v>
      </x:c>
      <x:c r="AL770" s="5" t="str">
        <x:f>"원본서식지|"&amp;S770</x:f>
        <x:v>원본서식지|숲</x:v>
      </x:c>
      <x:c r="AM770" s="5" t="str">
        <x:f>"타입|"&amp;F770</x:f>
        <x:v>타입|격투</x:v>
      </x:c>
      <x:c r="AN770" s="5" t="str">
        <x:f>"타입|"&amp;G770</x:f>
        <x:v>타입|</x:v>
      </x:c>
    </x:row>
    <x:row r="771" ht="24" customHeight="1">
      <x:c r="A771" s="5" t="n">
        <x:v>767</x:v>
      </x:c>
      <x:c r="B771" s="5" t="inlineStr">
        <x:is>
          <x:t xml:space="preserve">꼬시레</x:t>
        </x:is>
      </x:c>
      <x:c r="C771" s="5" t="inlineStr">
        <x:is>
          <x:t xml:space="preserve">wimpod</x:t>
        </x:is>
      </x:c>
      <x:c r="D771" s="5" t="inlineStr">
        <x:is>
          <x:t xml:space="preserve">Wimpod</x:t>
        </x:is>
      </x:c>
      <x:c r="E771" s="5" t="n">
        <x:v>7</x:v>
      </x:c>
      <x:c r="F771" s="5" t="inlineStr">
        <x:is>
          <x:t xml:space="preserve">벌레</x:t>
        </x:is>
      </x:c>
      <x:c r="G771" s="5" t="inlineStr">
        <x:is>
          <x:t xml:space="preserve">물</x:t>
        </x:is>
      </x:c>
      <x:c r="H771" s="6" t="n">
        <x:v>12</x:v>
      </x:c>
      <x:c r="I771" s="5" t="n">
        <x:v>30</x:v>
      </x:c>
      <x:c r="J771" s="5" t="inlineStr">
        <x:is>
          <x:t xml:space="preserve">기본</x:t>
        </x:is>
      </x:c>
      <x:c r="K771" s="7" t="inlineStr">
        <x:is>
          <x:t xml:space="preserve">해양</x:t>
        </x:is>
      </x:c>
      <x:c r="L771" s="7" t="inlineStr">
        <x:is>
          <x:t xml:space="preserve">해안·해양</x:t>
        </x:is>
      </x:c>
      <x:c r="M771" s="7" t="inlineStr">
        <x:is>
          <x:t xml:space="preserve">온대</x:t>
        </x:is>
      </x:c>
      <x:c r="N771" s="7" t="inlineStr">
        <x:is>
          <x:t xml:space="preserve">수중</x:t>
        </x:is>
      </x:c>
      <x:c r="O771" s="7" t="inlineStr">
        <x:is>
          <x:t xml:space="preserve">비</x:t>
        </x:is>
      </x:c>
      <x:c r="P771" s="7" t="inlineStr">
        <x:is>
          <x:t xml:space="preserve">무관</x:t>
        </x:is>
      </x:c>
      <x:c r="Q771" s="7" t="inlineStr">
        <x:is>
          <x:t xml:space="preserve">보통</x:t>
        </x:is>
      </x:c>
      <x:c r="R771" s="7" t="inlineStr">
        <x:is>
          <x:t xml:space="preserve">없음</x:t>
        </x:is>
      </x:c>
      <x:c r="S771" s="7" t="inlineStr">
        <x:is>
          <x:t xml:space="preserve">해양</x:t>
        </x:is>
      </x:c>
      <x:c r="T771" s="7" t="inlineStr">
        <x:is>
          <x:t xml:space="preserve"/>
        </x:is>
      </x:c>
      <x:c r="U771" s="8" t="str">
        <x:f>INDEX('서식지_점수'!$E$4:$P$4,1,MATCH(MAX('서식지_점수'!E771:P771),'서식지_점수'!E771:P771,0))</x:f>
        <x:v>해양</x:v>
      </x:c>
      <x:c r="V771" s="8" t="str">
        <x:f>IF(T771&lt;&gt;"",T771,U771)</x:f>
        <x:v>해양</x:v>
      </x:c>
      <x:c r="W771" s="8" t="str">
        <x:f>IFERROR(INDEX('서식지_점수'!$E$4:$P$4,1,MATCH(MAXIFS('서식지_점수'!E771:P771,'서식지_점수'!E771:P771,"&lt;"&amp;MAX('서식지_점수'!E771:P771)),'서식지_점수'!E771:P771,0)),"")</x:f>
        <x:v>습지</x:v>
      </x:c>
      <x:c r="X771" s="8" t="str">
        <x:f>IF(T771&lt;&gt;"","수동확정",IF(MAX('서식지_점수'!E771:P771)-LARGE('서식지_점수'!E771:P771,2)&gt;=15,"높음",IF(MAX('서식지_점수'!E771:P771)-LARGE('서식지_점수'!E771:P771,2)&gt;=8,"보통","검토필요")))</x:f>
        <x:v>높음</x:v>
      </x:c>
      <x:c r="Y771" s="9" t="n">
        <x:f>IF(Q771="전설",8,IF(Q771="희귀",7,IF(J771="기본",1,IF(J771="중간",3,IF(J771="최종",IF(I771="",5,IF(I771&lt;=20,3,IF(I771&lt;=35,4,IF(I771&lt;=50,6,7)))),IF(Q771="드묾",4,2))))))</x:f>
        <x:v>1</x:v>
      </x:c>
      <x:c r="Z771" s="5" t="inlineStr">
        <x:is>
          <x:t xml:space="preserve">#cobblemon:is_coast; #cobblemon:is_overworld; #cobblemon:is_tropical_island</x:t>
        </x:is>
      </x:c>
      <x:c r="AA771" s="5" t="inlineStr">
        <x:is>
          <x:t xml:space="preserve">common; uncommon</x:t>
        </x:is>
      </x:c>
      <x:c r="AB771" s="5" t="inlineStr">
        <x:is>
          <x:t xml:space="preserve">예</x:t>
        </x:is>
      </x:c>
      <x:c r="AC771" s="8" t="str">
        <x:f>IF(T771&lt;&gt;"","수동확정",IF(X771="검토필요","검토필요",IF(S771="","원본없음","초기완료")))</x:f>
        <x:v>초기완료</x:v>
      </x:c>
      <x:c r="AD771" s="7" t="inlineStr">
        <x:is>
          <x:t xml:space="preserve"/>
        </x:is>
      </x:c>
      <x:c r="AE771" s="5" t="inlineStr">
        <x:is>
          <x:t xml:space="preserve">.tmp/cobblemon-1.7.3-source/common/src/main/resources/data/cobblemon/species/generation7/wimpod.json</x:t>
        </x:is>
      </x:c>
      <x:c r="AF771" s="5" t="str">
        <x:f>"생활권|"&amp;K771</x:f>
        <x:v>생활권|해양</x:v>
      </x:c>
      <x:c r="AG771" s="5" t="str">
        <x:f>"지형|"&amp;L771</x:f>
        <x:v>지형|해안·해양</x:v>
      </x:c>
      <x:c r="AH771" s="5" t="str">
        <x:f>"온도|"&amp;M771</x:f>
        <x:v>온도|온대</x:v>
      </x:c>
      <x:c r="AI771" s="5" t="str">
        <x:f>"습도|"&amp;N771</x:f>
        <x:v>습도|수중</x:v>
      </x:c>
      <x:c r="AJ771" s="5" t="str">
        <x:f>"날씨|"&amp;O771</x:f>
        <x:v>날씨|비</x:v>
      </x:c>
      <x:c r="AK771" s="5" t="str">
        <x:f>"특수태그|"&amp;R771</x:f>
        <x:v>특수태그|없음</x:v>
      </x:c>
      <x:c r="AL771" s="5" t="str">
        <x:f>"원본서식지|"&amp;S771</x:f>
        <x:v>원본서식지|해양</x:v>
      </x:c>
      <x:c r="AM771" s="5" t="str">
        <x:f>"타입|"&amp;F771</x:f>
        <x:v>타입|벌레</x:v>
      </x:c>
      <x:c r="AN771" s="5" t="str">
        <x:f>"타입|"&amp;G771</x:f>
        <x:v>타입|물</x:v>
      </x:c>
    </x:row>
    <x:row r="772" ht="24" customHeight="1">
      <x:c r="A772" s="5" t="n">
        <x:v>768</x:v>
      </x:c>
      <x:c r="B772" s="5" t="inlineStr">
        <x:is>
          <x:t xml:space="preserve">갑주무사</x:t>
        </x:is>
      </x:c>
      <x:c r="C772" s="5" t="inlineStr">
        <x:is>
          <x:t xml:space="preserve">golisopod</x:t>
        </x:is>
      </x:c>
      <x:c r="D772" s="5" t="inlineStr">
        <x:is>
          <x:t xml:space="preserve">Golisopod</x:t>
        </x:is>
      </x:c>
      <x:c r="E772" s="5" t="n">
        <x:v>7</x:v>
      </x:c>
      <x:c r="F772" s="5" t="inlineStr">
        <x:is>
          <x:t xml:space="preserve">벌레</x:t>
        </x:is>
      </x:c>
      <x:c r="G772" s="5" t="inlineStr">
        <x:is>
          <x:t xml:space="preserve">물</x:t>
        </x:is>
      </x:c>
      <x:c r="H772" s="6" t="n">
        <x:v>108</x:v>
      </x:c>
      <x:c r="I772" s="5" t="n">
        <x:v>30</x:v>
      </x:c>
      <x:c r="J772" s="5" t="inlineStr">
        <x:is>
          <x:t xml:space="preserve">최종</x:t>
        </x:is>
      </x:c>
      <x:c r="K772" s="7" t="inlineStr">
        <x:is>
          <x:t xml:space="preserve">해양</x:t>
        </x:is>
      </x:c>
      <x:c r="L772" s="7" t="inlineStr">
        <x:is>
          <x:t xml:space="preserve">해안·해양</x:t>
        </x:is>
      </x:c>
      <x:c r="M772" s="7" t="inlineStr">
        <x:is>
          <x:t xml:space="preserve">온대</x:t>
        </x:is>
      </x:c>
      <x:c r="N772" s="7" t="inlineStr">
        <x:is>
          <x:t xml:space="preserve">수중</x:t>
        </x:is>
      </x:c>
      <x:c r="O772" s="7" t="inlineStr">
        <x:is>
          <x:t xml:space="preserve">비</x:t>
        </x:is>
      </x:c>
      <x:c r="P772" s="7" t="inlineStr">
        <x:is>
          <x:t xml:space="preserve">무관</x:t>
        </x:is>
      </x:c>
      <x:c r="Q772" s="7" t="inlineStr">
        <x:is>
          <x:t xml:space="preserve">보통</x:t>
        </x:is>
      </x:c>
      <x:c r="R772" s="7" t="inlineStr">
        <x:is>
          <x:t xml:space="preserve">없음</x:t>
        </x:is>
      </x:c>
      <x:c r="S772" s="7" t="inlineStr">
        <x:is>
          <x:t xml:space="preserve">해양</x:t>
        </x:is>
      </x:c>
      <x:c r="T772" s="7" t="inlineStr">
        <x:is>
          <x:t xml:space="preserve"/>
        </x:is>
      </x:c>
      <x:c r="U772" s="8" t="str">
        <x:f>INDEX('서식지_점수'!$E$4:$P$4,1,MATCH(MAX('서식지_점수'!E772:P772),'서식지_점수'!E772:P772,0))</x:f>
        <x:v>해양</x:v>
      </x:c>
      <x:c r="V772" s="8" t="str">
        <x:f>IF(T772&lt;&gt;"",T772,U772)</x:f>
        <x:v>해양</x:v>
      </x:c>
      <x:c r="W772" s="8" t="str">
        <x:f>IFERROR(INDEX('서식지_점수'!$E$4:$P$4,1,MATCH(MAXIFS('서식지_점수'!E772:P772,'서식지_점수'!E772:P772,"&lt;"&amp;MAX('서식지_점수'!E772:P772)),'서식지_점수'!E772:P772,0)),"")</x:f>
        <x:v>습지</x:v>
      </x:c>
      <x:c r="X772" s="8" t="str">
        <x:f>IF(T772&lt;&gt;"","수동확정",IF(MAX('서식지_점수'!E772:P772)-LARGE('서식지_점수'!E772:P772,2)&gt;=15,"높음",IF(MAX('서식지_점수'!E772:P772)-LARGE('서식지_점수'!E772:P772,2)&gt;=8,"보통","검토필요")))</x:f>
        <x:v>높음</x:v>
      </x:c>
      <x:c r="Y772" s="9" t="n">
        <x:f>IF(Q772="전설",8,IF(Q772="희귀",7,IF(J772="기본",1,IF(J772="중간",3,IF(J772="최종",IF(I772="",5,IF(I772&lt;=20,3,IF(I772&lt;=35,4,IF(I772&lt;=50,6,7)))),IF(Q772="드묾",4,2))))))</x:f>
        <x:v>4</x:v>
      </x:c>
      <x:c r="Z772" s="5" t="inlineStr">
        <x:is>
          <x:t xml:space="preserve">#cobblemon:is_coast; #cobblemon:is_overworld; #cobblemon:is_tropical_island</x:t>
        </x:is>
      </x:c>
      <x:c r="AA772" s="5" t="inlineStr">
        <x:is>
          <x:t xml:space="preserve">common; uncommon</x:t>
        </x:is>
      </x:c>
      <x:c r="AB772" s="5" t="inlineStr">
        <x:is>
          <x:t xml:space="preserve">예</x:t>
        </x:is>
      </x:c>
      <x:c r="AC772" s="8" t="str">
        <x:f>IF(T772&lt;&gt;"","수동확정",IF(X772="검토필요","검토필요",IF(S772="","원본없음","초기완료")))</x:f>
        <x:v>초기완료</x:v>
      </x:c>
      <x:c r="AD772" s="7" t="inlineStr">
        <x:is>
          <x:t xml:space="preserve"/>
        </x:is>
      </x:c>
      <x:c r="AE772" s="5" t="inlineStr">
        <x:is>
          <x:t xml:space="preserve">.tmp/cobblemon-1.7.3-source/common/src/main/resources/data/cobblemon/species/generation7/golisopod.json</x:t>
        </x:is>
      </x:c>
      <x:c r="AF772" s="5" t="str">
        <x:f>"생활권|"&amp;K772</x:f>
        <x:v>생활권|해양</x:v>
      </x:c>
      <x:c r="AG772" s="5" t="str">
        <x:f>"지형|"&amp;L772</x:f>
        <x:v>지형|해안·해양</x:v>
      </x:c>
      <x:c r="AH772" s="5" t="str">
        <x:f>"온도|"&amp;M772</x:f>
        <x:v>온도|온대</x:v>
      </x:c>
      <x:c r="AI772" s="5" t="str">
        <x:f>"습도|"&amp;N772</x:f>
        <x:v>습도|수중</x:v>
      </x:c>
      <x:c r="AJ772" s="5" t="str">
        <x:f>"날씨|"&amp;O772</x:f>
        <x:v>날씨|비</x:v>
      </x:c>
      <x:c r="AK772" s="5" t="str">
        <x:f>"특수태그|"&amp;R772</x:f>
        <x:v>특수태그|없음</x:v>
      </x:c>
      <x:c r="AL772" s="5" t="str">
        <x:f>"원본서식지|"&amp;S772</x:f>
        <x:v>원본서식지|해양</x:v>
      </x:c>
      <x:c r="AM772" s="5" t="str">
        <x:f>"타입|"&amp;F772</x:f>
        <x:v>타입|벌레</x:v>
      </x:c>
      <x:c r="AN772" s="5" t="str">
        <x:f>"타입|"&amp;G772</x:f>
        <x:v>타입|물</x:v>
      </x:c>
    </x:row>
    <x:row r="773" ht="24" customHeight="1">
      <x:c r="A773" s="5" t="n">
        <x:v>769</x:v>
      </x:c>
      <x:c r="B773" s="5" t="inlineStr">
        <x:is>
          <x:t xml:space="preserve">모래꿍</x:t>
        </x:is>
      </x:c>
      <x:c r="C773" s="5" t="inlineStr">
        <x:is>
          <x:t xml:space="preserve">sandygast</x:t>
        </x:is>
      </x:c>
      <x:c r="D773" s="5" t="inlineStr">
        <x:is>
          <x:t xml:space="preserve">Sandygast</x:t>
        </x:is>
      </x:c>
      <x:c r="E773" s="5" t="n">
        <x:v>7</x:v>
      </x:c>
      <x:c r="F773" s="5" t="inlineStr">
        <x:is>
          <x:t xml:space="preserve">고스트</x:t>
        </x:is>
      </x:c>
      <x:c r="G773" s="5" t="inlineStr">
        <x:is>
          <x:t xml:space="preserve">땅</x:t>
        </x:is>
      </x:c>
      <x:c r="H773" s="6" t="n">
        <x:v>70</x:v>
      </x:c>
      <x:c r="I773" s="5" t="n">
        <x:v>42</x:v>
      </x:c>
      <x:c r="J773" s="5" t="inlineStr">
        <x:is>
          <x:t xml:space="preserve">기본</x:t>
        </x:is>
      </x:c>
      <x:c r="K773" s="7" t="inlineStr">
        <x:is>
          <x:t xml:space="preserve">해양</x:t>
        </x:is>
      </x:c>
      <x:c r="L773" s="7" t="inlineStr">
        <x:is>
          <x:t xml:space="preserve">해안·해양</x:t>
        </x:is>
      </x:c>
      <x:c r="M773" s="7" t="inlineStr">
        <x:is>
          <x:t xml:space="preserve">온대</x:t>
        </x:is>
      </x:c>
      <x:c r="N773" s="7" t="inlineStr">
        <x:is>
          <x:t xml:space="preserve">수중</x:t>
        </x:is>
      </x:c>
      <x:c r="O773" s="7" t="inlineStr">
        <x:is>
          <x:t xml:space="preserve">비</x:t>
        </x:is>
      </x:c>
      <x:c r="P773" s="7" t="inlineStr">
        <x:is>
          <x:t xml:space="preserve">밤</x:t>
        </x:is>
      </x:c>
      <x:c r="Q773" s="7" t="inlineStr">
        <x:is>
          <x:t xml:space="preserve">흔함</x:t>
        </x:is>
      </x:c>
      <x:c r="R773" s="7" t="inlineStr">
        <x:is>
          <x:t xml:space="preserve">영체</x:t>
        </x:is>
      </x:c>
      <x:c r="S773" s="7" t="inlineStr">
        <x:is>
          <x:t xml:space="preserve">해양</x:t>
        </x:is>
      </x:c>
      <x:c r="T773" s="7" t="inlineStr">
        <x:is>
          <x:t xml:space="preserve"/>
        </x:is>
      </x:c>
      <x:c r="U773" s="8" t="str">
        <x:f>INDEX('서식지_점수'!$E$4:$P$4,1,MATCH(MAX('서식지_점수'!E773:P773),'서식지_점수'!E773:P773,0))</x:f>
        <x:v>해양</x:v>
      </x:c>
      <x:c r="V773" s="8" t="str">
        <x:f>IF(T773&lt;&gt;"",T773,U773)</x:f>
        <x:v>해양</x:v>
      </x:c>
      <x:c r="W773" s="8" t="str">
        <x:f>IFERROR(INDEX('서식지_점수'!$E$4:$P$4,1,MATCH(MAXIFS('서식지_점수'!E773:P773,'서식지_점수'!E773:P773,"&lt;"&amp;MAX('서식지_점수'!E773:P773)),'서식지_점수'!E773:P773,0)),"")</x:f>
        <x:v>습지</x:v>
      </x:c>
      <x:c r="X773" s="8" t="str">
        <x:f>IF(T773&lt;&gt;"","수동확정",IF(MAX('서식지_점수'!E773:P773)-LARGE('서식지_점수'!E773:P773,2)&gt;=15,"높음",IF(MAX('서식지_점수'!E773:P773)-LARGE('서식지_점수'!E773:P773,2)&gt;=8,"보통","검토필요")))</x:f>
        <x:v>높음</x:v>
      </x:c>
      <x:c r="Y773" s="9" t="n">
        <x:f>IF(Q773="전설",8,IF(Q773="희귀",7,IF(J773="기본",1,IF(J773="중간",3,IF(J773="최종",IF(I773="",5,IF(I773&lt;=20,3,IF(I773&lt;=35,4,IF(I773&lt;=50,6,7)))),IF(Q773="드묾",4,2))))))</x:f>
        <x:v>1</x:v>
      </x:c>
      <x:c r="Z773" s="5" t="inlineStr">
        <x:is>
          <x:t xml:space="preserve">#cobblemon:is_beach</x:t>
        </x:is>
      </x:c>
      <x:c r="AA773" s="5" t="inlineStr">
        <x:is>
          <x:t xml:space="preserve">common</x:t>
        </x:is>
      </x:c>
      <x:c r="AB773" s="5" t="inlineStr">
        <x:is>
          <x:t xml:space="preserve">예</x:t>
        </x:is>
      </x:c>
      <x:c r="AC773" s="8" t="str">
        <x:f>IF(T773&lt;&gt;"","수동확정",IF(X773="검토필요","검토필요",IF(S773="","원본없음","초기완료")))</x:f>
        <x:v>초기완료</x:v>
      </x:c>
      <x:c r="AD773" s="7" t="inlineStr">
        <x:is>
          <x:t xml:space="preserve"/>
        </x:is>
      </x:c>
      <x:c r="AE773" s="5" t="inlineStr">
        <x:is>
          <x:t xml:space="preserve">.tmp/cobblemon-1.7.3-source/common/src/main/resources/data/cobblemon/species/generation7/sandygast.json</x:t>
        </x:is>
      </x:c>
      <x:c r="AF773" s="5" t="str">
        <x:f>"생활권|"&amp;K773</x:f>
        <x:v>생활권|해양</x:v>
      </x:c>
      <x:c r="AG773" s="5" t="str">
        <x:f>"지형|"&amp;L773</x:f>
        <x:v>지형|해안·해양</x:v>
      </x:c>
      <x:c r="AH773" s="5" t="str">
        <x:f>"온도|"&amp;M773</x:f>
        <x:v>온도|온대</x:v>
      </x:c>
      <x:c r="AI773" s="5" t="str">
        <x:f>"습도|"&amp;N773</x:f>
        <x:v>습도|수중</x:v>
      </x:c>
      <x:c r="AJ773" s="5" t="str">
        <x:f>"날씨|"&amp;O773</x:f>
        <x:v>날씨|비</x:v>
      </x:c>
      <x:c r="AK773" s="5" t="str">
        <x:f>"특수태그|"&amp;R773</x:f>
        <x:v>특수태그|영체</x:v>
      </x:c>
      <x:c r="AL773" s="5" t="str">
        <x:f>"원본서식지|"&amp;S773</x:f>
        <x:v>원본서식지|해양</x:v>
      </x:c>
      <x:c r="AM773" s="5" t="str">
        <x:f>"타입|"&amp;F773</x:f>
        <x:v>타입|고스트</x:v>
      </x:c>
      <x:c r="AN773" s="5" t="str">
        <x:f>"타입|"&amp;G773</x:f>
        <x:v>타입|땅</x:v>
      </x:c>
    </x:row>
    <x:row r="774" ht="24" customHeight="1">
      <x:c r="A774" s="5" t="n">
        <x:v>770</x:v>
      </x:c>
      <x:c r="B774" s="5" t="inlineStr">
        <x:is>
          <x:t xml:space="preserve">모래성이당</x:t>
        </x:is>
      </x:c>
      <x:c r="C774" s="5" t="inlineStr">
        <x:is>
          <x:t xml:space="preserve">palossand</x:t>
        </x:is>
      </x:c>
      <x:c r="D774" s="5" t="inlineStr">
        <x:is>
          <x:t xml:space="preserve">Palossand</x:t>
        </x:is>
      </x:c>
      <x:c r="E774" s="5" t="n">
        <x:v>7</x:v>
      </x:c>
      <x:c r="F774" s="5" t="inlineStr">
        <x:is>
          <x:t xml:space="preserve">고스트</x:t>
        </x:is>
      </x:c>
      <x:c r="G774" s="5" t="inlineStr">
        <x:is>
          <x:t xml:space="preserve">땅</x:t>
        </x:is>
      </x:c>
      <x:c r="H774" s="6" t="n">
        <x:v>250</x:v>
      </x:c>
      <x:c r="I774" s="5" t="n">
        <x:v>42</x:v>
      </x:c>
      <x:c r="J774" s="5" t="inlineStr">
        <x:is>
          <x:t xml:space="preserve">최종</x:t>
        </x:is>
      </x:c>
      <x:c r="K774" s="7" t="inlineStr">
        <x:is>
          <x:t xml:space="preserve">해양</x:t>
        </x:is>
      </x:c>
      <x:c r="L774" s="7" t="inlineStr">
        <x:is>
          <x:t xml:space="preserve">해안·해양</x:t>
        </x:is>
      </x:c>
      <x:c r="M774" s="7" t="inlineStr">
        <x:is>
          <x:t xml:space="preserve">온대</x:t>
        </x:is>
      </x:c>
      <x:c r="N774" s="7" t="inlineStr">
        <x:is>
          <x:t xml:space="preserve">수중</x:t>
        </x:is>
      </x:c>
      <x:c r="O774" s="7" t="inlineStr">
        <x:is>
          <x:t xml:space="preserve">비</x:t>
        </x:is>
      </x:c>
      <x:c r="P774" s="7" t="inlineStr">
        <x:is>
          <x:t xml:space="preserve">밤</x:t>
        </x:is>
      </x:c>
      <x:c r="Q774" s="7" t="inlineStr">
        <x:is>
          <x:t xml:space="preserve">흔함</x:t>
        </x:is>
      </x:c>
      <x:c r="R774" s="7" t="inlineStr">
        <x:is>
          <x:t xml:space="preserve">영체</x:t>
        </x:is>
      </x:c>
      <x:c r="S774" s="7" t="inlineStr">
        <x:is>
          <x:t xml:space="preserve">해양</x:t>
        </x:is>
      </x:c>
      <x:c r="T774" s="7" t="inlineStr">
        <x:is>
          <x:t xml:space="preserve"/>
        </x:is>
      </x:c>
      <x:c r="U774" s="8" t="str">
        <x:f>INDEX('서식지_점수'!$E$4:$P$4,1,MATCH(MAX('서식지_점수'!E774:P774),'서식지_점수'!E774:P774,0))</x:f>
        <x:v>해양</x:v>
      </x:c>
      <x:c r="V774" s="8" t="str">
        <x:f>IF(T774&lt;&gt;"",T774,U774)</x:f>
        <x:v>해양</x:v>
      </x:c>
      <x:c r="W774" s="8" t="str">
        <x:f>IFERROR(INDEX('서식지_점수'!$E$4:$P$4,1,MATCH(MAXIFS('서식지_점수'!E774:P774,'서식지_점수'!E774:P774,"&lt;"&amp;MAX('서식지_점수'!E774:P774)),'서식지_점수'!E774:P774,0)),"")</x:f>
        <x:v>습지</x:v>
      </x:c>
      <x:c r="X774" s="8" t="str">
        <x:f>IF(T774&lt;&gt;"","수동확정",IF(MAX('서식지_점수'!E774:P774)-LARGE('서식지_점수'!E774:P774,2)&gt;=15,"높음",IF(MAX('서식지_점수'!E774:P774)-LARGE('서식지_점수'!E774:P774,2)&gt;=8,"보통","검토필요")))</x:f>
        <x:v>높음</x:v>
      </x:c>
      <x:c r="Y774" s="9" t="n">
        <x:f>IF(Q774="전설",8,IF(Q774="희귀",7,IF(J774="기본",1,IF(J774="중간",3,IF(J774="최종",IF(I774="",5,IF(I774&lt;=20,3,IF(I774&lt;=35,4,IF(I774&lt;=50,6,7)))),IF(Q774="드묾",4,2))))))</x:f>
        <x:v>6</x:v>
      </x:c>
      <x:c r="Z774" s="5" t="inlineStr">
        <x:is>
          <x:t xml:space="preserve">#cobblemon:is_beach</x:t>
        </x:is>
      </x:c>
      <x:c r="AA774" s="5" t="inlineStr">
        <x:is>
          <x:t xml:space="preserve">common</x:t>
        </x:is>
      </x:c>
      <x:c r="AB774" s="5" t="inlineStr">
        <x:is>
          <x:t xml:space="preserve">예</x:t>
        </x:is>
      </x:c>
      <x:c r="AC774" s="8" t="str">
        <x:f>IF(T774&lt;&gt;"","수동확정",IF(X774="검토필요","검토필요",IF(S774="","원본없음","초기완료")))</x:f>
        <x:v>초기완료</x:v>
      </x:c>
      <x:c r="AD774" s="7" t="inlineStr">
        <x:is>
          <x:t xml:space="preserve"/>
        </x:is>
      </x:c>
      <x:c r="AE774" s="5" t="inlineStr">
        <x:is>
          <x:t xml:space="preserve">.tmp/cobblemon-1.7.3-source/common/src/main/resources/data/cobblemon/species/generation7/palossand.json</x:t>
        </x:is>
      </x:c>
      <x:c r="AF774" s="5" t="str">
        <x:f>"생활권|"&amp;K774</x:f>
        <x:v>생활권|해양</x:v>
      </x:c>
      <x:c r="AG774" s="5" t="str">
        <x:f>"지형|"&amp;L774</x:f>
        <x:v>지형|해안·해양</x:v>
      </x:c>
      <x:c r="AH774" s="5" t="str">
        <x:f>"온도|"&amp;M774</x:f>
        <x:v>온도|온대</x:v>
      </x:c>
      <x:c r="AI774" s="5" t="str">
        <x:f>"습도|"&amp;N774</x:f>
        <x:v>습도|수중</x:v>
      </x:c>
      <x:c r="AJ774" s="5" t="str">
        <x:f>"날씨|"&amp;O774</x:f>
        <x:v>날씨|비</x:v>
      </x:c>
      <x:c r="AK774" s="5" t="str">
        <x:f>"특수태그|"&amp;R774</x:f>
        <x:v>특수태그|영체</x:v>
      </x:c>
      <x:c r="AL774" s="5" t="str">
        <x:f>"원본서식지|"&amp;S774</x:f>
        <x:v>원본서식지|해양</x:v>
      </x:c>
      <x:c r="AM774" s="5" t="str">
        <x:f>"타입|"&amp;F774</x:f>
        <x:v>타입|고스트</x:v>
      </x:c>
      <x:c r="AN774" s="5" t="str">
        <x:f>"타입|"&amp;G774</x:f>
        <x:v>타입|땅</x:v>
      </x:c>
    </x:row>
    <x:row r="775" ht="24" customHeight="1">
      <x:c r="A775" s="5" t="n">
        <x:v>771</x:v>
      </x:c>
      <x:c r="B775" s="5" t="inlineStr">
        <x:is>
          <x:t xml:space="preserve">해무기</x:t>
        </x:is>
      </x:c>
      <x:c r="C775" s="5" t="inlineStr">
        <x:is>
          <x:t xml:space="preserve">pyukumuku</x:t>
        </x:is>
      </x:c>
      <x:c r="D775" s="5" t="inlineStr">
        <x:is>
          <x:t xml:space="preserve">Pyukumuku</x:t>
        </x:is>
      </x:c>
      <x:c r="E775" s="5" t="n">
        <x:v>7</x:v>
      </x:c>
      <x:c r="F775" s="5" t="inlineStr">
        <x:is>
          <x:t xml:space="preserve">물</x:t>
        </x:is>
      </x:c>
      <x:c r="G775" s="5" t="inlineStr">
        <x:is>
          <x:t xml:space="preserve"/>
        </x:is>
      </x:c>
      <x:c r="H775" s="6" t="n">
        <x:v>1.2</x:v>
      </x:c>
      <x:c r="I775" s="5" t="n"/>
      <x:c r="J775" s="5" t="inlineStr">
        <x:is>
          <x:t xml:space="preserve">무진화</x:t>
        </x:is>
      </x:c>
      <x:c r="K775" s="7" t="inlineStr">
        <x:is>
          <x:t xml:space="preserve">해양</x:t>
        </x:is>
      </x:c>
      <x:c r="L775" s="7" t="inlineStr">
        <x:is>
          <x:t xml:space="preserve">해안·해양</x:t>
        </x:is>
      </x:c>
      <x:c r="M775" s="7" t="inlineStr">
        <x:is>
          <x:t xml:space="preserve">온대</x:t>
        </x:is>
      </x:c>
      <x:c r="N775" s="7" t="inlineStr">
        <x:is>
          <x:t xml:space="preserve">수중</x:t>
        </x:is>
      </x:c>
      <x:c r="O775" s="7" t="inlineStr">
        <x:is>
          <x:t xml:space="preserve">비</x:t>
        </x:is>
      </x:c>
      <x:c r="P775" s="7" t="inlineStr">
        <x:is>
          <x:t xml:space="preserve">무관</x:t>
        </x:is>
      </x:c>
      <x:c r="Q775" s="7" t="inlineStr">
        <x:is>
          <x:t xml:space="preserve">보통</x:t>
        </x:is>
      </x:c>
      <x:c r="R775" s="7" t="inlineStr">
        <x:is>
          <x:t xml:space="preserve">없음</x:t>
        </x:is>
      </x:c>
      <x:c r="S775" s="7" t="inlineStr">
        <x:is>
          <x:t xml:space="preserve">해양</x:t>
        </x:is>
      </x:c>
      <x:c r="T775" s="7" t="inlineStr">
        <x:is>
          <x:t xml:space="preserve"/>
        </x:is>
      </x:c>
      <x:c r="U775" s="8" t="str">
        <x:f>INDEX('서식지_점수'!$E$4:$P$4,1,MATCH(MAX('서식지_점수'!E775:P775),'서식지_점수'!E775:P775,0))</x:f>
        <x:v>해양</x:v>
      </x:c>
      <x:c r="V775" s="8" t="str">
        <x:f>IF(T775&lt;&gt;"",T775,U775)</x:f>
        <x:v>해양</x:v>
      </x:c>
      <x:c r="W775" s="8" t="str">
        <x:f>IFERROR(INDEX('서식지_점수'!$E$4:$P$4,1,MATCH(MAXIFS('서식지_점수'!E775:P775,'서식지_점수'!E775:P775,"&lt;"&amp;MAX('서식지_점수'!E775:P775)),'서식지_점수'!E775:P775,0)),"")</x:f>
        <x:v>습지</x:v>
      </x:c>
      <x:c r="X775" s="8" t="str">
        <x:f>IF(T775&lt;&gt;"","수동확정",IF(MAX('서식지_점수'!E775:P775)-LARGE('서식지_점수'!E775:P775,2)&gt;=15,"높음",IF(MAX('서식지_점수'!E775:P775)-LARGE('서식지_점수'!E775:P775,2)&gt;=8,"보통","검토필요")))</x:f>
        <x:v>높음</x:v>
      </x:c>
      <x:c r="Y775" s="9" t="n">
        <x:f>IF(Q775="전설",8,IF(Q775="희귀",7,IF(J775="기본",1,IF(J775="중간",3,IF(J775="최종",IF(I775="",5,IF(I775&lt;=20,3,IF(I775&lt;=35,4,IF(I775&lt;=50,6,7)))),IF(Q775="드묾",4,2))))))</x:f>
        <x:v>2</x:v>
      </x:c>
      <x:c r="Z775" s="5" t="inlineStr">
        <x:is>
          <x:t xml:space="preserve">#cobblemon:is_beach; #cobblemon:is_ocean; #cobblemon:is_warm_ocean</x:t>
        </x:is>
      </x:c>
      <x:c r="AA775" s="5" t="inlineStr">
        <x:is>
          <x:t xml:space="preserve">common; uncommon</x:t>
        </x:is>
      </x:c>
      <x:c r="AB775" s="5" t="inlineStr">
        <x:is>
          <x:t xml:space="preserve">예</x:t>
        </x:is>
      </x:c>
      <x:c r="AC775" s="8" t="str">
        <x:f>IF(T775&lt;&gt;"","수동확정",IF(X775="검토필요","검토필요",IF(S775="","원본없음","초기완료")))</x:f>
        <x:v>초기완료</x:v>
      </x:c>
      <x:c r="AD775" s="7" t="inlineStr">
        <x:is>
          <x:t xml:space="preserve"/>
        </x:is>
      </x:c>
      <x:c r="AE775" s="5" t="inlineStr">
        <x:is>
          <x:t xml:space="preserve">.tmp/cobblemon-1.7.3-source/common/src/main/resources/data/cobblemon/species/generation7/pyukumuku.json</x:t>
        </x:is>
      </x:c>
      <x:c r="AF775" s="5" t="str">
        <x:f>"생활권|"&amp;K775</x:f>
        <x:v>생활권|해양</x:v>
      </x:c>
      <x:c r="AG775" s="5" t="str">
        <x:f>"지형|"&amp;L775</x:f>
        <x:v>지형|해안·해양</x:v>
      </x:c>
      <x:c r="AH775" s="5" t="str">
        <x:f>"온도|"&amp;M775</x:f>
        <x:v>온도|온대</x:v>
      </x:c>
      <x:c r="AI775" s="5" t="str">
        <x:f>"습도|"&amp;N775</x:f>
        <x:v>습도|수중</x:v>
      </x:c>
      <x:c r="AJ775" s="5" t="str">
        <x:f>"날씨|"&amp;O775</x:f>
        <x:v>날씨|비</x:v>
      </x:c>
      <x:c r="AK775" s="5" t="str">
        <x:f>"특수태그|"&amp;R775</x:f>
        <x:v>특수태그|없음</x:v>
      </x:c>
      <x:c r="AL775" s="5" t="str">
        <x:f>"원본서식지|"&amp;S775</x:f>
        <x:v>원본서식지|해양</x:v>
      </x:c>
      <x:c r="AM775" s="5" t="str">
        <x:f>"타입|"&amp;F775</x:f>
        <x:v>타입|물</x:v>
      </x:c>
      <x:c r="AN775" s="5" t="str">
        <x:f>"타입|"&amp;G775</x:f>
        <x:v>타입|</x:v>
      </x:c>
    </x:row>
    <x:row r="776" ht="24" customHeight="1">
      <x:c r="A776" s="5" t="n">
        <x:v>772</x:v>
      </x:c>
      <x:c r="B776" s="5" t="inlineStr">
        <x:is>
          <x:t xml:space="preserve">타입:널</x:t>
        </x:is>
      </x:c>
      <x:c r="C776" s="5" t="inlineStr">
        <x:is>
          <x:t xml:space="preserve">typenull</x:t>
        </x:is>
      </x:c>
      <x:c r="D776" s="5" t="inlineStr">
        <x:is>
          <x:t xml:space="preserve">Type: Null</x:t>
        </x:is>
      </x:c>
      <x:c r="E776" s="5" t="n">
        <x:v>7</x:v>
      </x:c>
      <x:c r="F776" s="5" t="inlineStr">
        <x:is>
          <x:t xml:space="preserve">노말</x:t>
        </x:is>
      </x:c>
      <x:c r="G776" s="5" t="inlineStr">
        <x:is>
          <x:t xml:space="preserve"/>
        </x:is>
      </x:c>
      <x:c r="H776" s="6" t="n">
        <x:v>120.5</x:v>
      </x:c>
      <x:c r="I776" s="5" t="n"/>
      <x:c r="J776" s="5" t="inlineStr">
        <x:is>
          <x:t xml:space="preserve">기본</x:t>
        </x:is>
      </x:c>
      <x:c r="K776" s="7" t="inlineStr">
        <x:is>
          <x:t xml:space="preserve">육상</x:t>
        </x:is>
      </x:c>
      <x:c r="L776" s="7" t="inlineStr">
        <x:is>
          <x:t xml:space="preserve">개활지</x:t>
        </x:is>
      </x:c>
      <x:c r="M776" s="7" t="inlineStr">
        <x:is>
          <x:t xml:space="preserve">온대</x:t>
        </x:is>
      </x:c>
      <x:c r="N776" s="7" t="inlineStr">
        <x:is>
          <x:t xml:space="preserve">보통</x:t>
        </x:is>
      </x:c>
      <x:c r="O776" s="7" t="inlineStr">
        <x:is>
          <x:t xml:space="preserve">무관</x:t>
        </x:is>
      </x:c>
      <x:c r="P776" s="7" t="inlineStr">
        <x:is>
          <x:t xml:space="preserve">무관</x:t>
        </x:is>
      </x:c>
      <x:c r="Q776" s="7" t="inlineStr">
        <x:is>
          <x:t xml:space="preserve">전설</x:t>
        </x:is>
      </x:c>
      <x:c r="R776" s="7" t="inlineStr">
        <x:is>
          <x:t xml:space="preserve">전설</x:t>
        </x:is>
      </x:c>
      <x:c r="S776" s="7" t="inlineStr">
        <x:is>
          <x:t xml:space="preserve"/>
        </x:is>
      </x:c>
      <x:c r="T776" s="7" t="inlineStr">
        <x:is>
          <x:t xml:space="preserve"/>
        </x:is>
      </x:c>
      <x:c r="U776" s="8" t="str">
        <x:f>INDEX('서식지_점수'!$E$4:$P$4,1,MATCH(MAX('서식지_점수'!E776:P776),'서식지_점수'!E776:P776,0))</x:f>
        <x:v>평원</x:v>
      </x:c>
      <x:c r="V776" s="8" t="str">
        <x:f>IF(T776&lt;&gt;"",T776,U776)</x:f>
        <x:v>평원</x:v>
      </x:c>
      <x:c r="W776" s="8" t="str">
        <x:f>IFERROR(INDEX('서식지_점수'!$E$4:$P$4,1,MATCH(MAXIFS('서식지_점수'!E776:P776,'서식지_점수'!E776:P776,"&lt;"&amp;MAX('서식지_점수'!E776:P776)),'서식지_점수'!E776:P776,0)),"")</x:f>
        <x:v>숲</x:v>
      </x:c>
      <x:c r="X776" s="8" t="str">
        <x:f>IF(T776&lt;&gt;"","수동확정",IF(MAX('서식지_점수'!E776:P776)-LARGE('서식지_점수'!E776:P776,2)&gt;=15,"높음",IF(MAX('서식지_점수'!E776:P776)-LARGE('서식지_점수'!E776:P776,2)&gt;=8,"보통","검토필요")))</x:f>
        <x:v>검토필요</x:v>
      </x:c>
      <x:c r="Y776" s="9" t="n">
        <x:f>IF(Q776="전설",8,IF(Q776="희귀",7,IF(J776="기본",1,IF(J776="중간",3,IF(J776="최종",IF(I776="",5,IF(I776&lt;=20,3,IF(I776&lt;=35,4,IF(I776&lt;=50,6,7)))),IF(Q776="드묾",4,2))))))</x:f>
        <x:v>8</x:v>
      </x:c>
      <x:c r="Z776" s="5" t="inlineStr">
        <x:is>
          <x:t xml:space="preserve"/>
        </x:is>
      </x:c>
      <x:c r="AA776" s="5" t="inlineStr">
        <x:is>
          <x:t xml:space="preserve"/>
        </x:is>
      </x:c>
      <x:c r="AB776" s="5" t="inlineStr">
        <x:is>
          <x:t xml:space="preserve">아니오</x:t>
        </x:is>
      </x:c>
      <x:c r="AC776" s="8" t="str">
        <x:f>IF(T776&lt;&gt;"","수동확정",IF(X776="검토필요","검토필요",IF(S776="","원본없음","초기완료")))</x:f>
        <x:v>검토필요</x:v>
      </x:c>
      <x:c r="AD776" s="7" t="inlineStr">
        <x:is>
          <x:t xml:space="preserve"/>
        </x:is>
      </x:c>
      <x:c r="AE776" s="5" t="inlineStr">
        <x:is>
          <x:t xml:space="preserve">.tmp/cobblemon-1.7.3-source/common/src/main/resources/data/cobblemon/species/generation7/typenull.json</x:t>
        </x:is>
      </x:c>
      <x:c r="AF776" s="5" t="str">
        <x:f>"생활권|"&amp;K776</x:f>
        <x:v>생활권|육상</x:v>
      </x:c>
      <x:c r="AG776" s="5" t="str">
        <x:f>"지형|"&amp;L776</x:f>
        <x:v>지형|개활지</x:v>
      </x:c>
      <x:c r="AH776" s="5" t="str">
        <x:f>"온도|"&amp;M776</x:f>
        <x:v>온도|온대</x:v>
      </x:c>
      <x:c r="AI776" s="5" t="str">
        <x:f>"습도|"&amp;N776</x:f>
        <x:v>습도|보통</x:v>
      </x:c>
      <x:c r="AJ776" s="5" t="str">
        <x:f>"날씨|"&amp;O776</x:f>
        <x:v>날씨|무관</x:v>
      </x:c>
      <x:c r="AK776" s="5" t="str">
        <x:f>"특수태그|"&amp;R776</x:f>
        <x:v>특수태그|전설</x:v>
      </x:c>
      <x:c r="AL776" s="5" t="str">
        <x:f>"원본서식지|"&amp;S776</x:f>
        <x:v>원본서식지|</x:v>
      </x:c>
      <x:c r="AM776" s="5" t="str">
        <x:f>"타입|"&amp;F776</x:f>
        <x:v>타입|노말</x:v>
      </x:c>
      <x:c r="AN776" s="5" t="str">
        <x:f>"타입|"&amp;G776</x:f>
        <x:v>타입|</x:v>
      </x:c>
    </x:row>
    <x:row r="777" ht="24" customHeight="1">
      <x:c r="A777" s="5" t="n">
        <x:v>773</x:v>
      </x:c>
      <x:c r="B777" s="5" t="inlineStr">
        <x:is>
          <x:t xml:space="preserve">실버디</x:t>
        </x:is>
      </x:c>
      <x:c r="C777" s="5" t="inlineStr">
        <x:is>
          <x:t xml:space="preserve">silvally</x:t>
        </x:is>
      </x:c>
      <x:c r="D777" s="5" t="inlineStr">
        <x:is>
          <x:t xml:space="preserve">Silvally</x:t>
        </x:is>
      </x:c>
      <x:c r="E777" s="5" t="n">
        <x:v>7</x:v>
      </x:c>
      <x:c r="F777" s="5" t="inlineStr">
        <x:is>
          <x:t xml:space="preserve">노말</x:t>
        </x:is>
      </x:c>
      <x:c r="G777" s="5" t="inlineStr">
        <x:is>
          <x:t xml:space="preserve"/>
        </x:is>
      </x:c>
      <x:c r="H777" s="6" t="n">
        <x:v>100.5</x:v>
      </x:c>
      <x:c r="I777" s="5" t="n"/>
      <x:c r="J777" s="5" t="inlineStr">
        <x:is>
          <x:t xml:space="preserve">최종</x:t>
        </x:is>
      </x:c>
      <x:c r="K777" s="7" t="inlineStr">
        <x:is>
          <x:t xml:space="preserve">인공</x:t>
        </x:is>
      </x:c>
      <x:c r="L777" s="7" t="inlineStr">
        <x:is>
          <x:t xml:space="preserve">도시</x:t>
        </x:is>
      </x:c>
      <x:c r="M777" s="7" t="inlineStr">
        <x:is>
          <x:t xml:space="preserve">온대</x:t>
        </x:is>
      </x:c>
      <x:c r="N777" s="7" t="inlineStr">
        <x:is>
          <x:t xml:space="preserve">보통</x:t>
        </x:is>
      </x:c>
      <x:c r="O777" s="7" t="inlineStr">
        <x:is>
          <x:t xml:space="preserve">무관</x:t>
        </x:is>
      </x:c>
      <x:c r="P777" s="7" t="inlineStr">
        <x:is>
          <x:t xml:space="preserve">무관</x:t>
        </x:is>
      </x:c>
      <x:c r="Q777" s="7" t="inlineStr">
        <x:is>
          <x:t xml:space="preserve">전설</x:t>
        </x:is>
      </x:c>
      <x:c r="R777" s="7" t="inlineStr">
        <x:is>
          <x:t xml:space="preserve">전설</x:t>
        </x:is>
      </x:c>
      <x:c r="S777" s="7" t="inlineStr">
        <x:is>
          <x:t xml:space="preserve"/>
        </x:is>
      </x:c>
      <x:c r="T777" s="7" t="inlineStr">
        <x:is>
          <x:t xml:space="preserve"/>
        </x:is>
      </x:c>
      <x:c r="U777" s="8" t="str">
        <x:f>INDEX('서식지_점수'!$E$4:$P$4,1,MATCH(MAX('서식지_점수'!E777:P777),'서식지_점수'!E777:P777,0))</x:f>
        <x:v>도시</x:v>
      </x:c>
      <x:c r="V777" s="8" t="str">
        <x:f>IF(T777&lt;&gt;"",T777,U777)</x:f>
        <x:v>도시</x:v>
      </x:c>
      <x:c r="W777" s="8" t="str">
        <x:f>IFERROR(INDEX('서식지_점수'!$E$4:$P$4,1,MATCH(MAXIFS('서식지_점수'!E777:P777,'서식지_점수'!E777:P777,"&lt;"&amp;MAX('서식지_점수'!E777:P777)),'서식지_점수'!E777:P777,0)),"")</x:f>
        <x:v>특수</x:v>
      </x:c>
      <x:c r="X777" s="8" t="str">
        <x:f>IF(T777&lt;&gt;"","수동확정",IF(MAX('서식지_점수'!E777:P777)-LARGE('서식지_점수'!E777:P777,2)&gt;=15,"높음",IF(MAX('서식지_점수'!E777:P777)-LARGE('서식지_점수'!E777:P777,2)&gt;=8,"보통","검토필요")))</x:f>
        <x:v>높음</x:v>
      </x:c>
      <x:c r="Y777" s="9" t="n">
        <x:f>IF(Q777="전설",8,IF(Q777="희귀",7,IF(J777="기본",1,IF(J777="중간",3,IF(J777="최종",IF(I777="",5,IF(I777&lt;=20,3,IF(I777&lt;=35,4,IF(I777&lt;=50,6,7)))),IF(Q777="드묾",4,2))))))</x:f>
        <x:v>8</x:v>
      </x:c>
      <x:c r="Z777" s="5" t="inlineStr">
        <x:is>
          <x:t xml:space="preserve"/>
        </x:is>
      </x:c>
      <x:c r="AA777" s="5" t="inlineStr">
        <x:is>
          <x:t xml:space="preserve"/>
        </x:is>
      </x:c>
      <x:c r="AB777" s="5" t="inlineStr">
        <x:is>
          <x:t xml:space="preserve">아니오</x:t>
        </x:is>
      </x:c>
      <x:c r="AC777" s="8" t="str">
        <x:f>IF(T777&lt;&gt;"","수동확정",IF(X777="검토필요","검토필요",IF(S777="","원본없음","초기완료")))</x:f>
        <x:v>원본없음</x:v>
      </x:c>
      <x:c r="AD777" s="7" t="inlineStr">
        <x:is>
          <x:t xml:space="preserve"/>
        </x:is>
      </x:c>
      <x:c r="AE777" s="5" t="inlineStr">
        <x:is>
          <x:t xml:space="preserve">.tmp/cobblemon-1.7.3-source/common/src/main/resources/data/cobblemon/species/generation7/silvally.json</x:t>
        </x:is>
      </x:c>
      <x:c r="AF777" s="5" t="str">
        <x:f>"생활권|"&amp;K777</x:f>
        <x:v>생활권|인공</x:v>
      </x:c>
      <x:c r="AG777" s="5" t="str">
        <x:f>"지형|"&amp;L777</x:f>
        <x:v>지형|도시</x:v>
      </x:c>
      <x:c r="AH777" s="5" t="str">
        <x:f>"온도|"&amp;M777</x:f>
        <x:v>온도|온대</x:v>
      </x:c>
      <x:c r="AI777" s="5" t="str">
        <x:f>"습도|"&amp;N777</x:f>
        <x:v>습도|보통</x:v>
      </x:c>
      <x:c r="AJ777" s="5" t="str">
        <x:f>"날씨|"&amp;O777</x:f>
        <x:v>날씨|무관</x:v>
      </x:c>
      <x:c r="AK777" s="5" t="str">
        <x:f>"특수태그|"&amp;R777</x:f>
        <x:v>특수태그|전설</x:v>
      </x:c>
      <x:c r="AL777" s="5" t="str">
        <x:f>"원본서식지|"&amp;S777</x:f>
        <x:v>원본서식지|</x:v>
      </x:c>
      <x:c r="AM777" s="5" t="str">
        <x:f>"타입|"&amp;F777</x:f>
        <x:v>타입|노말</x:v>
      </x:c>
      <x:c r="AN777" s="5" t="str">
        <x:f>"타입|"&amp;G777</x:f>
        <x:v>타입|</x:v>
      </x:c>
    </x:row>
    <x:row r="778" ht="24" customHeight="1">
      <x:c r="A778" s="5" t="n">
        <x:v>774</x:v>
      </x:c>
      <x:c r="B778" s="5" t="inlineStr">
        <x:is>
          <x:t xml:space="preserve">메테노</x:t>
        </x:is>
      </x:c>
      <x:c r="C778" s="5" t="inlineStr">
        <x:is>
          <x:t xml:space="preserve">minior</x:t>
        </x:is>
      </x:c>
      <x:c r="D778" s="5" t="inlineStr">
        <x:is>
          <x:t xml:space="preserve">Minior</x:t>
        </x:is>
      </x:c>
      <x:c r="E778" s="5" t="n">
        <x:v>7</x:v>
      </x:c>
      <x:c r="F778" s="5" t="inlineStr">
        <x:is>
          <x:t xml:space="preserve">바위</x:t>
        </x:is>
      </x:c>
      <x:c r="G778" s="5" t="inlineStr">
        <x:is>
          <x:t xml:space="preserve">비행</x:t>
        </x:is>
      </x:c>
      <x:c r="H778" s="6" t="n">
        <x:v>0.3</x:v>
      </x:c>
      <x:c r="I778" s="5" t="n"/>
      <x:c r="J778" s="5" t="inlineStr">
        <x:is>
          <x:t xml:space="preserve">무진화</x:t>
        </x:is>
      </x:c>
      <x:c r="K778" s="7" t="inlineStr">
        <x:is>
          <x:t xml:space="preserve">비행</x:t>
        </x:is>
      </x:c>
      <x:c r="L778" s="7" t="inlineStr">
        <x:is>
          <x:t xml:space="preserve">암석</x:t>
        </x:is>
      </x:c>
      <x:c r="M778" s="7" t="inlineStr">
        <x:is>
          <x:t xml:space="preserve">서늘</x:t>
        </x:is>
      </x:c>
      <x:c r="N778" s="7" t="inlineStr">
        <x:is>
          <x:t xml:space="preserve">다습</x:t>
        </x:is>
      </x:c>
      <x:c r="O778" s="7" t="inlineStr">
        <x:is>
          <x:t xml:space="preserve">무관</x:t>
        </x:is>
      </x:c>
      <x:c r="P778" s="7" t="inlineStr">
        <x:is>
          <x:t xml:space="preserve">밤</x:t>
        </x:is>
      </x:c>
      <x:c r="Q778" s="7" t="inlineStr">
        <x:is>
          <x:t xml:space="preserve">보통</x:t>
        </x:is>
      </x:c>
      <x:c r="R778" s="7" t="inlineStr">
        <x:is>
          <x:t xml:space="preserve">없음</x:t>
        </x:is>
      </x:c>
      <x:c r="S778" s="7" t="inlineStr">
        <x:is>
          <x:t xml:space="preserve">산악</x:t>
        </x:is>
      </x:c>
      <x:c r="T778" s="7" t="inlineStr">
        <x:is>
          <x:t xml:space="preserve"/>
        </x:is>
      </x:c>
      <x:c r="U778" s="8" t="str">
        <x:f>INDEX('서식지_점수'!$E$4:$P$4,1,MATCH(MAX('서식지_점수'!E778:P778),'서식지_점수'!E778:P778,0))</x:f>
        <x:v>산악</x:v>
      </x:c>
      <x:c r="V778" s="8" t="str">
        <x:f>IF(T778&lt;&gt;"",T778,U778)</x:f>
        <x:v>산악</x:v>
      </x:c>
      <x:c r="W778" s="8" t="str">
        <x:f>IFERROR(INDEX('서식지_점수'!$E$4:$P$4,1,MATCH(MAXIFS('서식지_점수'!E778:P778,'서식지_점수'!E778:P778,"&lt;"&amp;MAX('서식지_점수'!E778:P778)),'서식지_점수'!E778:P778,0)),"")</x:f>
        <x:v>평원</x:v>
      </x:c>
      <x:c r="X778" s="8" t="str">
        <x:f>IF(T778&lt;&gt;"","수동확정",IF(MAX('서식지_점수'!E778:P778)-LARGE('서식지_점수'!E778:P778,2)&gt;=15,"높음",IF(MAX('서식지_점수'!E778:P778)-LARGE('서식지_점수'!E778:P778,2)&gt;=8,"보통","검토필요")))</x:f>
        <x:v>검토필요</x:v>
      </x:c>
      <x:c r="Y778" s="9" t="n">
        <x:f>IF(Q778="전설",8,IF(Q778="희귀",7,IF(J778="기본",1,IF(J778="중간",3,IF(J778="최종",IF(I778="",5,IF(I778&lt;=20,3,IF(I778&lt;=35,4,IF(I778&lt;=50,6,7)))),IF(Q778="드묾",4,2))))))</x:f>
        <x:v>2</x:v>
      </x:c>
      <x:c r="Z778" s="5" t="inlineStr">
        <x:is>
          <x:t xml:space="preserve">#cobblemon:is_cold; #cobblemon:is_freshwater; #cobblemon:is_hills; #cobblemon:is_jungle; #cobblemon:is_mountain; #cobblemon:is_overworld; #cobblemon:is_plains; #cobblemon:is_savanna</x:t>
        </x:is>
      </x:c>
      <x:c r="AA778" s="5" t="inlineStr">
        <x:is>
          <x:t xml:space="preserve">rare; uncommon</x:t>
        </x:is>
      </x:c>
      <x:c r="AB778" s="5" t="inlineStr">
        <x:is>
          <x:t xml:space="preserve">아니오</x:t>
        </x:is>
      </x:c>
      <x:c r="AC778" s="8" t="str">
        <x:f>IF(T778&lt;&gt;"","수동확정",IF(X778="검토필요","검토필요",IF(S778="","원본없음","초기완료")))</x:f>
        <x:v>검토필요</x:v>
      </x:c>
      <x:c r="AD778" s="7" t="inlineStr">
        <x:is>
          <x:t xml:space="preserve"/>
        </x:is>
      </x:c>
      <x:c r="AE778" s="5" t="inlineStr">
        <x:is>
          <x:t xml:space="preserve">.tmp/cobblemon-1.7.3-source/common/src/main/resources/data/cobblemon/species/generation7/minior.json</x:t>
        </x:is>
      </x:c>
      <x:c r="AF778" s="5" t="str">
        <x:f>"생활권|"&amp;K778</x:f>
        <x:v>생활권|비행</x:v>
      </x:c>
      <x:c r="AG778" s="5" t="str">
        <x:f>"지형|"&amp;L778</x:f>
        <x:v>지형|암석</x:v>
      </x:c>
      <x:c r="AH778" s="5" t="str">
        <x:f>"온도|"&amp;M778</x:f>
        <x:v>온도|서늘</x:v>
      </x:c>
      <x:c r="AI778" s="5" t="str">
        <x:f>"습도|"&amp;N778</x:f>
        <x:v>습도|다습</x:v>
      </x:c>
      <x:c r="AJ778" s="5" t="str">
        <x:f>"날씨|"&amp;O778</x:f>
        <x:v>날씨|무관</x:v>
      </x:c>
      <x:c r="AK778" s="5" t="str">
        <x:f>"특수태그|"&amp;R778</x:f>
        <x:v>특수태그|없음</x:v>
      </x:c>
      <x:c r="AL778" s="5" t="str">
        <x:f>"원본서식지|"&amp;S778</x:f>
        <x:v>원본서식지|산악</x:v>
      </x:c>
      <x:c r="AM778" s="5" t="str">
        <x:f>"타입|"&amp;F778</x:f>
        <x:v>타입|바위</x:v>
      </x:c>
      <x:c r="AN778" s="5" t="str">
        <x:f>"타입|"&amp;G778</x:f>
        <x:v>타입|비행</x:v>
      </x:c>
    </x:row>
    <x:row r="779" ht="24" customHeight="1">
      <x:c r="A779" s="5" t="n">
        <x:v>775</x:v>
      </x:c>
      <x:c r="B779" s="5" t="inlineStr">
        <x:is>
          <x:t xml:space="preserve">자말라</x:t>
        </x:is>
      </x:c>
      <x:c r="C779" s="5" t="inlineStr">
        <x:is>
          <x:t xml:space="preserve">komala</x:t>
        </x:is>
      </x:c>
      <x:c r="D779" s="5" t="inlineStr">
        <x:is>
          <x:t xml:space="preserve">Komala</x:t>
        </x:is>
      </x:c>
      <x:c r="E779" s="5" t="n">
        <x:v>7</x:v>
      </x:c>
      <x:c r="F779" s="5" t="inlineStr">
        <x:is>
          <x:t xml:space="preserve">노말</x:t>
        </x:is>
      </x:c>
      <x:c r="G779" s="5" t="inlineStr">
        <x:is>
          <x:t xml:space="preserve"/>
        </x:is>
      </x:c>
      <x:c r="H779" s="6" t="n">
        <x:v>19.9</x:v>
      </x:c>
      <x:c r="I779" s="5" t="n"/>
      <x:c r="J779" s="5" t="inlineStr">
        <x:is>
          <x:t xml:space="preserve">무진화</x:t>
        </x:is>
      </x:c>
      <x:c r="K779" s="7" t="inlineStr">
        <x:is>
          <x:t xml:space="preserve">육상</x:t>
        </x:is>
      </x:c>
      <x:c r="L779" s="7" t="inlineStr">
        <x:is>
          <x:t xml:space="preserve">수목</x:t>
        </x:is>
      </x:c>
      <x:c r="M779" s="7" t="inlineStr">
        <x:is>
          <x:t xml:space="preserve">온대</x:t>
        </x:is>
      </x:c>
      <x:c r="N779" s="7" t="inlineStr">
        <x:is>
          <x:t xml:space="preserve">보통</x:t>
        </x:is>
      </x:c>
      <x:c r="O779" s="7" t="inlineStr">
        <x:is>
          <x:t xml:space="preserve">무관</x:t>
        </x:is>
      </x:c>
      <x:c r="P779" s="7" t="inlineStr">
        <x:is>
          <x:t xml:space="preserve">무관</x:t>
        </x:is>
      </x:c>
      <x:c r="Q779" s="7" t="inlineStr">
        <x:is>
          <x:t xml:space="preserve">흔함</x:t>
        </x:is>
      </x:c>
      <x:c r="R779" s="7" t="inlineStr">
        <x:is>
          <x:t xml:space="preserve">없음</x:t>
        </x:is>
      </x:c>
      <x:c r="S779" s="7" t="inlineStr">
        <x:is>
          <x:t xml:space="preserve">숲</x:t>
        </x:is>
      </x:c>
      <x:c r="T779" s="7" t="inlineStr">
        <x:is>
          <x:t xml:space="preserve"/>
        </x:is>
      </x:c>
      <x:c r="U779" s="8" t="str">
        <x:f>INDEX('서식지_점수'!$E$4:$P$4,1,MATCH(MAX('서식지_점수'!E779:P779),'서식지_점수'!E779:P779,0))</x:f>
        <x:v>평원</x:v>
      </x:c>
      <x:c r="V779" s="8" t="str">
        <x:f>IF(T779&lt;&gt;"",T779,U779)</x:f>
        <x:v>평원</x:v>
      </x:c>
      <x:c r="W779" s="8" t="str">
        <x:f>IFERROR(INDEX('서식지_점수'!$E$4:$P$4,1,MATCH(MAXIFS('서식지_점수'!E779:P779,'서식지_점수'!E779:P779,"&lt;"&amp;MAX('서식지_점수'!E779:P779)),'서식지_점수'!E779:P779,0)),"")</x:f>
        <x:v>숲</x:v>
      </x:c>
      <x:c r="X779" s="8" t="str">
        <x:f>IF(T779&lt;&gt;"","수동확정",IF(MAX('서식지_점수'!E779:P779)-LARGE('서식지_점수'!E779:P779,2)&gt;=15,"높음",IF(MAX('서식지_점수'!E779:P779)-LARGE('서식지_점수'!E779:P779,2)&gt;=8,"보통","검토필요")))</x:f>
        <x:v>검토필요</x:v>
      </x:c>
      <x:c r="Y779" s="9" t="n">
        <x:f>IF(Q779="전설",8,IF(Q779="희귀",7,IF(J779="기본",1,IF(J779="중간",3,IF(J779="최종",IF(I779="",5,IF(I779&lt;=20,3,IF(I779&lt;=35,4,IF(I779&lt;=50,6,7)))),IF(Q779="드묾",4,2))))))</x:f>
        <x:v>2</x:v>
      </x:c>
      <x:c r="Z779" s="5" t="inlineStr">
        <x:is>
          <x:t xml:space="preserve">#cobblemon:is_savanna; aether:skyroot_forest; aether:skyroot_woodland</x:t>
        </x:is>
      </x:c>
      <x:c r="AA779" s="5" t="inlineStr">
        <x:is>
          <x:t xml:space="preserve">common</x:t>
        </x:is>
      </x:c>
      <x:c r="AB779" s="5" t="inlineStr">
        <x:is>
          <x:t xml:space="preserve">예</x:t>
        </x:is>
      </x:c>
      <x:c r="AC779" s="8" t="str">
        <x:f>IF(T779&lt;&gt;"","수동확정",IF(X779="검토필요","검토필요",IF(S779="","원본없음","초기완료")))</x:f>
        <x:v>검토필요</x:v>
      </x:c>
      <x:c r="AD779" s="7" t="inlineStr">
        <x:is>
          <x:t xml:space="preserve"/>
        </x:is>
      </x:c>
      <x:c r="AE779" s="5" t="inlineStr">
        <x:is>
          <x:t xml:space="preserve">.tmp/cobblemon-1.7.3-source/common/src/main/resources/data/cobblemon/species/generation7/komala.json</x:t>
        </x:is>
      </x:c>
      <x:c r="AF779" s="5" t="str">
        <x:f>"생활권|"&amp;K779</x:f>
        <x:v>생활권|육상</x:v>
      </x:c>
      <x:c r="AG779" s="5" t="str">
        <x:f>"지형|"&amp;L779</x:f>
        <x:v>지형|수목</x:v>
      </x:c>
      <x:c r="AH779" s="5" t="str">
        <x:f>"온도|"&amp;M779</x:f>
        <x:v>온도|온대</x:v>
      </x:c>
      <x:c r="AI779" s="5" t="str">
        <x:f>"습도|"&amp;N779</x:f>
        <x:v>습도|보통</x:v>
      </x:c>
      <x:c r="AJ779" s="5" t="str">
        <x:f>"날씨|"&amp;O779</x:f>
        <x:v>날씨|무관</x:v>
      </x:c>
      <x:c r="AK779" s="5" t="str">
        <x:f>"특수태그|"&amp;R779</x:f>
        <x:v>특수태그|없음</x:v>
      </x:c>
      <x:c r="AL779" s="5" t="str">
        <x:f>"원본서식지|"&amp;S779</x:f>
        <x:v>원본서식지|숲</x:v>
      </x:c>
      <x:c r="AM779" s="5" t="str">
        <x:f>"타입|"&amp;F779</x:f>
        <x:v>타입|노말</x:v>
      </x:c>
      <x:c r="AN779" s="5" t="str">
        <x:f>"타입|"&amp;G779</x:f>
        <x:v>타입|</x:v>
      </x:c>
    </x:row>
    <x:row r="780" ht="24" customHeight="1">
      <x:c r="A780" s="5" t="n">
        <x:v>776</x:v>
      </x:c>
      <x:c r="B780" s="5" t="inlineStr">
        <x:is>
          <x:t xml:space="preserve">폭거북스</x:t>
        </x:is>
      </x:c>
      <x:c r="C780" s="5" t="inlineStr">
        <x:is>
          <x:t xml:space="preserve">turtonator</x:t>
        </x:is>
      </x:c>
      <x:c r="D780" s="5" t="inlineStr">
        <x:is>
          <x:t xml:space="preserve">Turtonator</x:t>
        </x:is>
      </x:c>
      <x:c r="E780" s="5" t="n">
        <x:v>7</x:v>
      </x:c>
      <x:c r="F780" s="5" t="inlineStr">
        <x:is>
          <x:t xml:space="preserve">불꽃</x:t>
        </x:is>
      </x:c>
      <x:c r="G780" s="5" t="inlineStr">
        <x:is>
          <x:t xml:space="preserve">드래곤</x:t>
        </x:is>
      </x:c>
      <x:c r="H780" s="6" t="n">
        <x:v>212</x:v>
      </x:c>
      <x:c r="I780" s="5" t="n"/>
      <x:c r="J780" s="5" t="inlineStr">
        <x:is>
          <x:t xml:space="preserve">무진화</x:t>
        </x:is>
      </x:c>
      <x:c r="K780" s="7" t="inlineStr">
        <x:is>
          <x:t xml:space="preserve">육상</x:t>
        </x:is>
      </x:c>
      <x:c r="L780" s="7" t="inlineStr">
        <x:is>
          <x:t xml:space="preserve">화산</x:t>
        </x:is>
      </x:c>
      <x:c r="M780" s="7" t="inlineStr">
        <x:is>
          <x:t xml:space="preserve">고온</x:t>
        </x:is>
      </x:c>
      <x:c r="N780" s="7" t="inlineStr">
        <x:is>
          <x:t xml:space="preserve">건조</x:t>
        </x:is>
      </x:c>
      <x:c r="O780" s="7" t="inlineStr">
        <x:is>
          <x:t xml:space="preserve">맑음</x:t>
        </x:is>
      </x:c>
      <x:c r="P780" s="7" t="inlineStr">
        <x:is>
          <x:t xml:space="preserve">무관</x:t>
        </x:is>
      </x:c>
      <x:c r="Q780" s="7" t="inlineStr">
        <x:is>
          <x:t xml:space="preserve">보통</x:t>
        </x:is>
      </x:c>
      <x:c r="R780" s="7" t="inlineStr">
        <x:is>
          <x:t xml:space="preserve">화산</x:t>
        </x:is>
      </x:c>
      <x:c r="S780" s="7" t="inlineStr">
        <x:is>
          <x:t xml:space="preserve">화산</x:t>
        </x:is>
      </x:c>
      <x:c r="T780" s="7" t="inlineStr">
        <x:is>
          <x:t xml:space="preserve"/>
        </x:is>
      </x:c>
      <x:c r="U780" s="8" t="str">
        <x:f>INDEX('서식지_점수'!$E$4:$P$4,1,MATCH(MAX('서식지_점수'!E780:P780),'서식지_점수'!E780:P780,0))</x:f>
        <x:v>평원</x:v>
      </x:c>
      <x:c r="V780" s="8" t="str">
        <x:f>IF(T780&lt;&gt;"",T780,U780)</x:f>
        <x:v>평원</x:v>
      </x:c>
      <x:c r="W780" s="8" t="str">
        <x:f>IFERROR(INDEX('서식지_점수'!$E$4:$P$4,1,MATCH(MAXIFS('서식지_점수'!E780:P780,'서식지_점수'!E780:P780,"&lt;"&amp;MAX('서식지_점수'!E780:P780)),'서식지_점수'!E780:P780,0)),"")</x:f>
        <x:v>숲</x:v>
      </x:c>
      <x:c r="X780" s="8" t="str">
        <x:f>IF(T780&lt;&gt;"","수동확정",IF(MAX('서식지_점수'!E780:P780)-LARGE('서식지_점수'!E780:P780,2)&gt;=15,"높음",IF(MAX('서식지_점수'!E780:P780)-LARGE('서식지_점수'!E780:P780,2)&gt;=8,"보통","검토필요")))</x:f>
        <x:v>검토필요</x:v>
      </x:c>
      <x:c r="Y780" s="9" t="n">
        <x:f>IF(Q780="전설",8,IF(Q780="희귀",7,IF(J780="기본",1,IF(J780="중간",3,IF(J780="최종",IF(I780="",5,IF(I780&lt;=20,3,IF(I780&lt;=35,4,IF(I780&lt;=50,6,7)))),IF(Q780="드묾",4,2))))))</x:f>
        <x:v>2</x:v>
      </x:c>
      <x:c r="Z780" s="5" t="inlineStr">
        <x:is>
          <x:t xml:space="preserve">#cobblemon:nether/is_basalt</x:t>
        </x:is>
      </x:c>
      <x:c r="AA780" s="5" t="inlineStr">
        <x:is>
          <x:t xml:space="preserve">uncommon</x:t>
        </x:is>
      </x:c>
      <x:c r="AB780" s="5" t="inlineStr">
        <x:is>
          <x:t xml:space="preserve">예</x:t>
        </x:is>
      </x:c>
      <x:c r="AC780" s="8" t="str">
        <x:f>IF(T780&lt;&gt;"","수동확정",IF(X780="검토필요","검토필요",IF(S780="","원본없음","초기완료")))</x:f>
        <x:v>검토필요</x:v>
      </x:c>
      <x:c r="AD780" s="7" t="inlineStr">
        <x:is>
          <x:t xml:space="preserve"/>
        </x:is>
      </x:c>
      <x:c r="AE780" s="5" t="inlineStr">
        <x:is>
          <x:t xml:space="preserve">.tmp/cobblemon-1.7.3-source/common/src/main/resources/data/cobblemon/species/generation7/turtonator.json</x:t>
        </x:is>
      </x:c>
      <x:c r="AF780" s="5" t="str">
        <x:f>"생활권|"&amp;K780</x:f>
        <x:v>생활권|육상</x:v>
      </x:c>
      <x:c r="AG780" s="5" t="str">
        <x:f>"지형|"&amp;L780</x:f>
        <x:v>지형|화산</x:v>
      </x:c>
      <x:c r="AH780" s="5" t="str">
        <x:f>"온도|"&amp;M780</x:f>
        <x:v>온도|고온</x:v>
      </x:c>
      <x:c r="AI780" s="5" t="str">
        <x:f>"습도|"&amp;N780</x:f>
        <x:v>습도|건조</x:v>
      </x:c>
      <x:c r="AJ780" s="5" t="str">
        <x:f>"날씨|"&amp;O780</x:f>
        <x:v>날씨|맑음</x:v>
      </x:c>
      <x:c r="AK780" s="5" t="str">
        <x:f>"특수태그|"&amp;R780</x:f>
        <x:v>특수태그|화산</x:v>
      </x:c>
      <x:c r="AL780" s="5" t="str">
        <x:f>"원본서식지|"&amp;S780</x:f>
        <x:v>원본서식지|화산</x:v>
      </x:c>
      <x:c r="AM780" s="5" t="str">
        <x:f>"타입|"&amp;F780</x:f>
        <x:v>타입|불꽃</x:v>
      </x:c>
      <x:c r="AN780" s="5" t="str">
        <x:f>"타입|"&amp;G780</x:f>
        <x:v>타입|드래곤</x:v>
      </x:c>
    </x:row>
    <x:row r="781" ht="24" customHeight="1">
      <x:c r="A781" s="5" t="n">
        <x:v>777</x:v>
      </x:c>
      <x:c r="B781" s="5" t="inlineStr">
        <x:is>
          <x:t xml:space="preserve">토게데마루</x:t>
        </x:is>
      </x:c>
      <x:c r="C781" s="5" t="inlineStr">
        <x:is>
          <x:t xml:space="preserve">togedemaru</x:t>
        </x:is>
      </x:c>
      <x:c r="D781" s="5" t="inlineStr">
        <x:is>
          <x:t xml:space="preserve">Togedemaru</x:t>
        </x:is>
      </x:c>
      <x:c r="E781" s="5" t="n">
        <x:v>7</x:v>
      </x:c>
      <x:c r="F781" s="5" t="inlineStr">
        <x:is>
          <x:t xml:space="preserve">전기</x:t>
        </x:is>
      </x:c>
      <x:c r="G781" s="5" t="inlineStr">
        <x:is>
          <x:t xml:space="preserve">강철</x:t>
        </x:is>
      </x:c>
      <x:c r="H781" s="6" t="n">
        <x:v>3.3</x:v>
      </x:c>
      <x:c r="I781" s="5" t="n"/>
      <x:c r="J781" s="5" t="inlineStr">
        <x:is>
          <x:t xml:space="preserve">무진화</x:t>
        </x:is>
      </x:c>
      <x:c r="K781" s="7" t="inlineStr">
        <x:is>
          <x:t xml:space="preserve">육상</x:t>
        </x:is>
      </x:c>
      <x:c r="L781" s="7" t="inlineStr">
        <x:is>
          <x:t xml:space="preserve">암석</x:t>
        </x:is>
      </x:c>
      <x:c r="M781" s="7" t="inlineStr">
        <x:is>
          <x:t xml:space="preserve">온대</x:t>
        </x:is>
      </x:c>
      <x:c r="N781" s="7" t="inlineStr">
        <x:is>
          <x:t xml:space="preserve">보통</x:t>
        </x:is>
      </x:c>
      <x:c r="O781" s="7" t="inlineStr">
        <x:is>
          <x:t xml:space="preserve">무관</x:t>
        </x:is>
      </x:c>
      <x:c r="P781" s="7" t="inlineStr">
        <x:is>
          <x:t xml:space="preserve">무관</x:t>
        </x:is>
      </x:c>
      <x:c r="Q781" s="7" t="inlineStr">
        <x:is>
          <x:t xml:space="preserve">보통</x:t>
        </x:is>
      </x:c>
      <x:c r="R781" s="7" t="inlineStr">
        <x:is>
          <x:t xml:space="preserve">없음</x:t>
        </x:is>
      </x:c>
      <x:c r="S781" s="7" t="inlineStr">
        <x:is>
          <x:t xml:space="preserve">산악</x:t>
        </x:is>
      </x:c>
      <x:c r="T781" s="7" t="inlineStr">
        <x:is>
          <x:t xml:space="preserve"/>
        </x:is>
      </x:c>
      <x:c r="U781" s="8" t="str">
        <x:f>INDEX('서식지_점수'!$E$4:$P$4,1,MATCH(MAX('서식지_점수'!E781:P781),'서식지_점수'!E781:P781,0))</x:f>
        <x:v>평원</x:v>
      </x:c>
      <x:c r="V781" s="8" t="str">
        <x:f>IF(T781&lt;&gt;"",T781,U781)</x:f>
        <x:v>평원</x:v>
      </x:c>
      <x:c r="W781" s="8" t="str">
        <x:f>IFERROR(INDEX('서식지_점수'!$E$4:$P$4,1,MATCH(MAXIFS('서식지_점수'!E781:P781,'서식지_점수'!E781:P781,"&lt;"&amp;MAX('서식지_점수'!E781:P781)),'서식지_점수'!E781:P781,0)),"")</x:f>
        <x:v>숲</x:v>
      </x:c>
      <x:c r="X781" s="8" t="str">
        <x:f>IF(T781&lt;&gt;"","수동확정",IF(MAX('서식지_점수'!E781:P781)-LARGE('서식지_점수'!E781:P781,2)&gt;=15,"높음",IF(MAX('서식지_점수'!E781:P781)-LARGE('서식지_점수'!E781:P781,2)&gt;=8,"보통","검토필요")))</x:f>
        <x:v>검토필요</x:v>
      </x:c>
      <x:c r="Y781" s="9" t="n">
        <x:f>IF(Q781="전설",8,IF(Q781="희귀",7,IF(J781="기본",1,IF(J781="중간",3,IF(J781="최종",IF(I781="",5,IF(I781&lt;=20,3,IF(I781&lt;=35,4,IF(I781&lt;=50,6,7)))),IF(Q781="드묾",4,2))))))</x:f>
        <x:v>2</x:v>
      </x:c>
      <x:c r="Z781" s="5" t="inlineStr">
        <x:is>
          <x:t xml:space="preserve">#cobblemon:is_hills</x:t>
        </x:is>
      </x:c>
      <x:c r="AA781" s="5" t="inlineStr">
        <x:is>
          <x:t xml:space="preserve">uncommon</x:t>
        </x:is>
      </x:c>
      <x:c r="AB781" s="5" t="inlineStr">
        <x:is>
          <x:t xml:space="preserve">예</x:t>
        </x:is>
      </x:c>
      <x:c r="AC781" s="8" t="str">
        <x:f>IF(T781&lt;&gt;"","수동확정",IF(X781="검토필요","검토필요",IF(S781="","원본없음","초기완료")))</x:f>
        <x:v>검토필요</x:v>
      </x:c>
      <x:c r="AD781" s="7" t="inlineStr">
        <x:is>
          <x:t xml:space="preserve"/>
        </x:is>
      </x:c>
      <x:c r="AE781" s="5" t="inlineStr">
        <x:is>
          <x:t xml:space="preserve">.tmp/cobblemon-1.7.3-source/common/src/main/resources/data/cobblemon/species/generation7/togedemaru.json</x:t>
        </x:is>
      </x:c>
      <x:c r="AF781" s="5" t="str">
        <x:f>"생활권|"&amp;K781</x:f>
        <x:v>생활권|육상</x:v>
      </x:c>
      <x:c r="AG781" s="5" t="str">
        <x:f>"지형|"&amp;L781</x:f>
        <x:v>지형|암석</x:v>
      </x:c>
      <x:c r="AH781" s="5" t="str">
        <x:f>"온도|"&amp;M781</x:f>
        <x:v>온도|온대</x:v>
      </x:c>
      <x:c r="AI781" s="5" t="str">
        <x:f>"습도|"&amp;N781</x:f>
        <x:v>습도|보통</x:v>
      </x:c>
      <x:c r="AJ781" s="5" t="str">
        <x:f>"날씨|"&amp;O781</x:f>
        <x:v>날씨|무관</x:v>
      </x:c>
      <x:c r="AK781" s="5" t="str">
        <x:f>"특수태그|"&amp;R781</x:f>
        <x:v>특수태그|없음</x:v>
      </x:c>
      <x:c r="AL781" s="5" t="str">
        <x:f>"원본서식지|"&amp;S781</x:f>
        <x:v>원본서식지|산악</x:v>
      </x:c>
      <x:c r="AM781" s="5" t="str">
        <x:f>"타입|"&amp;F781</x:f>
        <x:v>타입|전기</x:v>
      </x:c>
      <x:c r="AN781" s="5" t="str">
        <x:f>"타입|"&amp;G781</x:f>
        <x:v>타입|강철</x:v>
      </x:c>
    </x:row>
    <x:row r="782" ht="24" customHeight="1">
      <x:c r="A782" s="5" t="n">
        <x:v>778</x:v>
      </x:c>
      <x:c r="B782" s="5" t="inlineStr">
        <x:is>
          <x:t xml:space="preserve">따라큐</x:t>
        </x:is>
      </x:c>
      <x:c r="C782" s="5" t="inlineStr">
        <x:is>
          <x:t xml:space="preserve">mimikyu</x:t>
        </x:is>
      </x:c>
      <x:c r="D782" s="5" t="inlineStr">
        <x:is>
          <x:t xml:space="preserve">Mimikyu</x:t>
        </x:is>
      </x:c>
      <x:c r="E782" s="5" t="n">
        <x:v>7</x:v>
      </x:c>
      <x:c r="F782" s="5" t="inlineStr">
        <x:is>
          <x:t xml:space="preserve">고스트</x:t>
        </x:is>
      </x:c>
      <x:c r="G782" s="5" t="inlineStr">
        <x:is>
          <x:t xml:space="preserve">페어리</x:t>
        </x:is>
      </x:c>
      <x:c r="H782" s="6" t="n">
        <x:v>0.7</x:v>
      </x:c>
      <x:c r="I782" s="5" t="n"/>
      <x:c r="J782" s="5" t="inlineStr">
        <x:is>
          <x:t xml:space="preserve">무진화</x:t>
        </x:is>
      </x:c>
      <x:c r="K782" s="7" t="inlineStr">
        <x:is>
          <x:t xml:space="preserve">영체</x:t>
        </x:is>
      </x:c>
      <x:c r="L782" s="7" t="inlineStr">
        <x:is>
          <x:t xml:space="preserve">특수</x:t>
        </x:is>
      </x:c>
      <x:c r="M782" s="7" t="inlineStr">
        <x:is>
          <x:t xml:space="preserve">온대</x:t>
        </x:is>
      </x:c>
      <x:c r="N782" s="7" t="inlineStr">
        <x:is>
          <x:t xml:space="preserve">보통</x:t>
        </x:is>
      </x:c>
      <x:c r="O782" s="7" t="inlineStr">
        <x:is>
          <x:t xml:space="preserve">안개</x:t>
        </x:is>
      </x:c>
      <x:c r="P782" s="7" t="inlineStr">
        <x:is>
          <x:t xml:space="preserve">밤</x:t>
        </x:is>
      </x:c>
      <x:c r="Q782" s="7" t="inlineStr">
        <x:is>
          <x:t xml:space="preserve">보통</x:t>
        </x:is>
      </x:c>
      <x:c r="R782" s="7" t="inlineStr">
        <x:is>
          <x:t xml:space="preserve">영체</x:t>
        </x:is>
      </x:c>
      <x:c r="S782" s="7" t="inlineStr">
        <x:is>
          <x:t xml:space="preserve">특수</x:t>
        </x:is>
      </x:c>
      <x:c r="T782" s="7" t="inlineStr">
        <x:is>
          <x:t xml:space="preserve"/>
        </x:is>
      </x:c>
      <x:c r="U782" s="8" t="str">
        <x:f>INDEX('서식지_점수'!$E$4:$P$4,1,MATCH(MAX('서식지_점수'!E782:P782),'서식지_점수'!E782:P782,0))</x:f>
        <x:v>특수</x:v>
      </x:c>
      <x:c r="V782" s="8" t="str">
        <x:f>IF(T782&lt;&gt;"",T782,U782)</x:f>
        <x:v>특수</x:v>
      </x:c>
      <x:c r="W782" s="8" t="str">
        <x:f>IFERROR(INDEX('서식지_점수'!$E$4:$P$4,1,MATCH(MAXIFS('서식지_점수'!E782:P782,'서식지_점수'!E782:P782,"&lt;"&amp;MAX('서식지_점수'!E782:P782)),'서식지_점수'!E782:P782,0)),"")</x:f>
        <x:v>동굴</x:v>
      </x:c>
      <x:c r="X782" s="8" t="str">
        <x:f>IF(T782&lt;&gt;"","수동확정",IF(MAX('서식지_점수'!E782:P782)-LARGE('서식지_점수'!E782:P782,2)&gt;=15,"높음",IF(MAX('서식지_점수'!E782:P782)-LARGE('서식지_점수'!E782:P782,2)&gt;=8,"보통","검토필요")))</x:f>
        <x:v>높음</x:v>
      </x:c>
      <x:c r="Y782" s="9" t="n">
        <x:f>IF(Q782="전설",8,IF(Q782="희귀",7,IF(J782="기본",1,IF(J782="중간",3,IF(J782="최종",IF(I782="",5,IF(I782&lt;=20,3,IF(I782&lt;=35,4,IF(I782&lt;=50,6,7)))),IF(Q782="드묾",4,2))))))</x:f>
        <x:v>2</x:v>
      </x:c>
      <x:c r="Z782" s="5" t="inlineStr">
        <x:is>
          <x:t xml:space="preserve">#cobblemon:is_overworld; #cobblemon:is_spooky</x:t>
        </x:is>
      </x:c>
      <x:c r="AA782" s="5" t="inlineStr">
        <x:is>
          <x:t xml:space="preserve">rare; uncommon</x:t>
        </x:is>
      </x:c>
      <x:c r="AB782" s="5" t="inlineStr">
        <x:is>
          <x:t xml:space="preserve">예</x:t>
        </x:is>
      </x:c>
      <x:c r="AC782" s="8" t="str">
        <x:f>IF(T782&lt;&gt;"","수동확정",IF(X782="검토필요","검토필요",IF(S782="","원본없음","초기완료")))</x:f>
        <x:v>초기완료</x:v>
      </x:c>
      <x:c r="AD782" s="7" t="inlineStr">
        <x:is>
          <x:t xml:space="preserve"/>
        </x:is>
      </x:c>
      <x:c r="AE782" s="5" t="inlineStr">
        <x:is>
          <x:t xml:space="preserve">.tmp/cobblemon-1.7.3-source/common/src/main/resources/data/cobblemon/species/generation7/mimikyu.json</x:t>
        </x:is>
      </x:c>
      <x:c r="AF782" s="5" t="str">
        <x:f>"생활권|"&amp;K782</x:f>
        <x:v>생활권|영체</x:v>
      </x:c>
      <x:c r="AG782" s="5" t="str">
        <x:f>"지형|"&amp;L782</x:f>
        <x:v>지형|특수</x:v>
      </x:c>
      <x:c r="AH782" s="5" t="str">
        <x:f>"온도|"&amp;M782</x:f>
        <x:v>온도|온대</x:v>
      </x:c>
      <x:c r="AI782" s="5" t="str">
        <x:f>"습도|"&amp;N782</x:f>
        <x:v>습도|보통</x:v>
      </x:c>
      <x:c r="AJ782" s="5" t="str">
        <x:f>"날씨|"&amp;O782</x:f>
        <x:v>날씨|안개</x:v>
      </x:c>
      <x:c r="AK782" s="5" t="str">
        <x:f>"특수태그|"&amp;R782</x:f>
        <x:v>특수태그|영체</x:v>
      </x:c>
      <x:c r="AL782" s="5" t="str">
        <x:f>"원본서식지|"&amp;S782</x:f>
        <x:v>원본서식지|특수</x:v>
      </x:c>
      <x:c r="AM782" s="5" t="str">
        <x:f>"타입|"&amp;F782</x:f>
        <x:v>타입|고스트</x:v>
      </x:c>
      <x:c r="AN782" s="5" t="str">
        <x:f>"타입|"&amp;G782</x:f>
        <x:v>타입|페어리</x:v>
      </x:c>
    </x:row>
    <x:row r="783" ht="24" customHeight="1">
      <x:c r="A783" s="5" t="n">
        <x:v>779</x:v>
      </x:c>
      <x:c r="B783" s="5" t="inlineStr">
        <x:is>
          <x:t xml:space="preserve">치갈기</x:t>
        </x:is>
      </x:c>
      <x:c r="C783" s="5" t="inlineStr">
        <x:is>
          <x:t xml:space="preserve">bruxish</x:t>
        </x:is>
      </x:c>
      <x:c r="D783" s="5" t="inlineStr">
        <x:is>
          <x:t xml:space="preserve">Bruxish</x:t>
        </x:is>
      </x:c>
      <x:c r="E783" s="5" t="n">
        <x:v>7</x:v>
      </x:c>
      <x:c r="F783" s="5" t="inlineStr">
        <x:is>
          <x:t xml:space="preserve">물</x:t>
        </x:is>
      </x:c>
      <x:c r="G783" s="5" t="inlineStr">
        <x:is>
          <x:t xml:space="preserve">에스퍼</x:t>
        </x:is>
      </x:c>
      <x:c r="H783" s="6" t="n">
        <x:v>19</x:v>
      </x:c>
      <x:c r="I783" s="5" t="n"/>
      <x:c r="J783" s="5" t="inlineStr">
        <x:is>
          <x:t xml:space="preserve">무진화</x:t>
        </x:is>
      </x:c>
      <x:c r="K783" s="7" t="inlineStr">
        <x:is>
          <x:t xml:space="preserve">해양</x:t>
        </x:is>
      </x:c>
      <x:c r="L783" s="7" t="inlineStr">
        <x:is>
          <x:t xml:space="preserve">해안·해양</x:t>
        </x:is>
      </x:c>
      <x:c r="M783" s="7" t="inlineStr">
        <x:is>
          <x:t xml:space="preserve">온대</x:t>
        </x:is>
      </x:c>
      <x:c r="N783" s="7" t="inlineStr">
        <x:is>
          <x:t xml:space="preserve">수중</x:t>
        </x:is>
      </x:c>
      <x:c r="O783" s="7" t="inlineStr">
        <x:is>
          <x:t xml:space="preserve">비</x:t>
        </x:is>
      </x:c>
      <x:c r="P783" s="7" t="inlineStr">
        <x:is>
          <x:t xml:space="preserve">무관</x:t>
        </x:is>
      </x:c>
      <x:c r="Q783" s="7" t="inlineStr">
        <x:is>
          <x:t xml:space="preserve">보통</x:t>
        </x:is>
      </x:c>
      <x:c r="R783" s="7" t="inlineStr">
        <x:is>
          <x:t xml:space="preserve">없음</x:t>
        </x:is>
      </x:c>
      <x:c r="S783" s="7" t="inlineStr">
        <x:is>
          <x:t xml:space="preserve">해양</x:t>
        </x:is>
      </x:c>
      <x:c r="T783" s="7" t="inlineStr">
        <x:is>
          <x:t xml:space="preserve"/>
        </x:is>
      </x:c>
      <x:c r="U783" s="8" t="str">
        <x:f>INDEX('서식지_점수'!$E$4:$P$4,1,MATCH(MAX('서식지_점수'!E783:P783),'서식지_점수'!E783:P783,0))</x:f>
        <x:v>해양</x:v>
      </x:c>
      <x:c r="V783" s="8" t="str">
        <x:f>IF(T783&lt;&gt;"",T783,U783)</x:f>
        <x:v>해양</x:v>
      </x:c>
      <x:c r="W783" s="8" t="str">
        <x:f>IFERROR(INDEX('서식지_점수'!$E$4:$P$4,1,MATCH(MAXIFS('서식지_점수'!E783:P783,'서식지_점수'!E783:P783,"&lt;"&amp;MAX('서식지_점수'!E783:P783)),'서식지_점수'!E783:P783,0)),"")</x:f>
        <x:v>습지</x:v>
      </x:c>
      <x:c r="X783" s="8" t="str">
        <x:f>IF(T783&lt;&gt;"","수동확정",IF(MAX('서식지_점수'!E783:P783)-LARGE('서식지_점수'!E783:P783,2)&gt;=15,"높음",IF(MAX('서식지_점수'!E783:P783)-LARGE('서식지_점수'!E783:P783,2)&gt;=8,"보통","검토필요")))</x:f>
        <x:v>높음</x:v>
      </x:c>
      <x:c r="Y783" s="9" t="n">
        <x:f>IF(Q783="전설",8,IF(Q783="희귀",7,IF(J783="기본",1,IF(J783="중간",3,IF(J783="최종",IF(I783="",5,IF(I783&lt;=20,3,IF(I783&lt;=35,4,IF(I783&lt;=50,6,7)))),IF(Q783="드묾",4,2))))))</x:f>
        <x:v>2</x:v>
      </x:c>
      <x:c r="Z783" s="5" t="inlineStr">
        <x:is>
          <x:t xml:space="preserve">#cobblemon:is_warm_ocean</x:t>
        </x:is>
      </x:c>
      <x:c r="AA783" s="5" t="inlineStr">
        <x:is>
          <x:t xml:space="preserve">common; uncommon</x:t>
        </x:is>
      </x:c>
      <x:c r="AB783" s="5" t="inlineStr">
        <x:is>
          <x:t xml:space="preserve">예</x:t>
        </x:is>
      </x:c>
      <x:c r="AC783" s="8" t="str">
        <x:f>IF(T783&lt;&gt;"","수동확정",IF(X783="검토필요","검토필요",IF(S783="","원본없음","초기완료")))</x:f>
        <x:v>초기완료</x:v>
      </x:c>
      <x:c r="AD783" s="7" t="inlineStr">
        <x:is>
          <x:t xml:space="preserve"/>
        </x:is>
      </x:c>
      <x:c r="AE783" s="5" t="inlineStr">
        <x:is>
          <x:t xml:space="preserve">.tmp/cobblemon-1.7.3-source/common/src/main/resources/data/cobblemon/species/generation7/bruxish.json</x:t>
        </x:is>
      </x:c>
      <x:c r="AF783" s="5" t="str">
        <x:f>"생활권|"&amp;K783</x:f>
        <x:v>생활권|해양</x:v>
      </x:c>
      <x:c r="AG783" s="5" t="str">
        <x:f>"지형|"&amp;L783</x:f>
        <x:v>지형|해안·해양</x:v>
      </x:c>
      <x:c r="AH783" s="5" t="str">
        <x:f>"온도|"&amp;M783</x:f>
        <x:v>온도|온대</x:v>
      </x:c>
      <x:c r="AI783" s="5" t="str">
        <x:f>"습도|"&amp;N783</x:f>
        <x:v>습도|수중</x:v>
      </x:c>
      <x:c r="AJ783" s="5" t="str">
        <x:f>"날씨|"&amp;O783</x:f>
        <x:v>날씨|비</x:v>
      </x:c>
      <x:c r="AK783" s="5" t="str">
        <x:f>"특수태그|"&amp;R783</x:f>
        <x:v>특수태그|없음</x:v>
      </x:c>
      <x:c r="AL783" s="5" t="str">
        <x:f>"원본서식지|"&amp;S783</x:f>
        <x:v>원본서식지|해양</x:v>
      </x:c>
      <x:c r="AM783" s="5" t="str">
        <x:f>"타입|"&amp;F783</x:f>
        <x:v>타입|물</x:v>
      </x:c>
      <x:c r="AN783" s="5" t="str">
        <x:f>"타입|"&amp;G783</x:f>
        <x:v>타입|에스퍼</x:v>
      </x:c>
    </x:row>
    <x:row r="784" ht="24" customHeight="1">
      <x:c r="A784" s="5" t="n">
        <x:v>780</x:v>
      </x:c>
      <x:c r="B784" s="5" t="inlineStr">
        <x:is>
          <x:t xml:space="preserve">할비롱</x:t>
        </x:is>
      </x:c>
      <x:c r="C784" s="5" t="inlineStr">
        <x:is>
          <x:t xml:space="preserve">drampa</x:t>
        </x:is>
      </x:c>
      <x:c r="D784" s="5" t="inlineStr">
        <x:is>
          <x:t xml:space="preserve">Drampa</x:t>
        </x:is>
      </x:c>
      <x:c r="E784" s="5" t="n">
        <x:v>7</x:v>
      </x:c>
      <x:c r="F784" s="5" t="inlineStr">
        <x:is>
          <x:t xml:space="preserve">노말</x:t>
        </x:is>
      </x:c>
      <x:c r="G784" s="5" t="inlineStr">
        <x:is>
          <x:t xml:space="preserve">드래곤</x:t>
        </x:is>
      </x:c>
      <x:c r="H784" s="6" t="n">
        <x:v>185</x:v>
      </x:c>
      <x:c r="I784" s="5" t="n"/>
      <x:c r="J784" s="5" t="inlineStr">
        <x:is>
          <x:t xml:space="preserve">무진화</x:t>
        </x:is>
      </x:c>
      <x:c r="K784" s="7" t="inlineStr">
        <x:is>
          <x:t xml:space="preserve">비행</x:t>
        </x:is>
      </x:c>
      <x:c r="L784" s="7" t="inlineStr">
        <x:is>
          <x:t xml:space="preserve">암석</x:t>
        </x:is>
      </x:c>
      <x:c r="M784" s="7" t="inlineStr">
        <x:is>
          <x:t xml:space="preserve">온대</x:t>
        </x:is>
      </x:c>
      <x:c r="N784" s="7" t="inlineStr">
        <x:is>
          <x:t xml:space="preserve">보통</x:t>
        </x:is>
      </x:c>
      <x:c r="O784" s="7" t="inlineStr">
        <x:is>
          <x:t xml:space="preserve">무관</x:t>
        </x:is>
      </x:c>
      <x:c r="P784" s="7" t="inlineStr">
        <x:is>
          <x:t xml:space="preserve">무관</x:t>
        </x:is>
      </x:c>
      <x:c r="Q784" s="7" t="inlineStr">
        <x:is>
          <x:t xml:space="preserve">보통</x:t>
        </x:is>
      </x:c>
      <x:c r="R784" s="7" t="inlineStr">
        <x:is>
          <x:t xml:space="preserve">없음</x:t>
        </x:is>
      </x:c>
      <x:c r="S784" s="7" t="inlineStr">
        <x:is>
          <x:t xml:space="preserve">산악</x:t>
        </x:is>
      </x:c>
      <x:c r="T784" s="7" t="inlineStr">
        <x:is>
          <x:t xml:space="preserve"/>
        </x:is>
      </x:c>
      <x:c r="U784" s="8" t="str">
        <x:f>INDEX('서식지_점수'!$E$4:$P$4,1,MATCH(MAX('서식지_점수'!E784:P784),'서식지_점수'!E784:P784,0))</x:f>
        <x:v>산악</x:v>
      </x:c>
      <x:c r="V784" s="8" t="str">
        <x:f>IF(T784&lt;&gt;"",T784,U784)</x:f>
        <x:v>산악</x:v>
      </x:c>
      <x:c r="W784" s="8" t="str">
        <x:f>IFERROR(INDEX('서식지_점수'!$E$4:$P$4,1,MATCH(MAXIFS('서식지_점수'!E784:P784,'서식지_점수'!E784:P784,"&lt;"&amp;MAX('서식지_점수'!E784:P784)),'서식지_점수'!E784:P784,0)),"")</x:f>
        <x:v>평원</x:v>
      </x:c>
      <x:c r="X784" s="8" t="str">
        <x:f>IF(T784&lt;&gt;"","수동확정",IF(MAX('서식지_점수'!E784:P784)-LARGE('서식지_점수'!E784:P784,2)&gt;=15,"높음",IF(MAX('서식지_점수'!E784:P784)-LARGE('서식지_점수'!E784:P784,2)&gt;=8,"보통","검토필요")))</x:f>
        <x:v>검토필요</x:v>
      </x:c>
      <x:c r="Y784" s="9" t="n">
        <x:f>IF(Q784="전설",8,IF(Q784="희귀",7,IF(J784="기본",1,IF(J784="중간",3,IF(J784="최종",IF(I784="",5,IF(I784&lt;=20,3,IF(I784&lt;=35,4,IF(I784&lt;=50,6,7)))),IF(Q784="드묾",4,2))))))</x:f>
        <x:v>2</x:v>
      </x:c>
      <x:c r="Z784" s="5" t="inlineStr">
        <x:is>
          <x:t xml:space="preserve">#cobblemon:is_peak; #cobblemon:is_sky</x:t>
        </x:is>
      </x:c>
      <x:c r="AA784" s="5" t="inlineStr">
        <x:is>
          <x:t xml:space="preserve">uncommon</x:t>
        </x:is>
      </x:c>
      <x:c r="AB784" s="5" t="inlineStr">
        <x:is>
          <x:t xml:space="preserve">예</x:t>
        </x:is>
      </x:c>
      <x:c r="AC784" s="8" t="str">
        <x:f>IF(T784&lt;&gt;"","수동확정",IF(X784="검토필요","검토필요",IF(S784="","원본없음","초기완료")))</x:f>
        <x:v>검토필요</x:v>
      </x:c>
      <x:c r="AD784" s="7" t="inlineStr">
        <x:is>
          <x:t xml:space="preserve"/>
        </x:is>
      </x:c>
      <x:c r="AE784" s="5" t="inlineStr">
        <x:is>
          <x:t xml:space="preserve">.tmp/cobblemon-1.7.3-source/common/src/main/resources/data/cobblemon/species/generation7/drampa.json</x:t>
        </x:is>
      </x:c>
      <x:c r="AF784" s="5" t="str">
        <x:f>"생활권|"&amp;K784</x:f>
        <x:v>생활권|비행</x:v>
      </x:c>
      <x:c r="AG784" s="5" t="str">
        <x:f>"지형|"&amp;L784</x:f>
        <x:v>지형|암석</x:v>
      </x:c>
      <x:c r="AH784" s="5" t="str">
        <x:f>"온도|"&amp;M784</x:f>
        <x:v>온도|온대</x:v>
      </x:c>
      <x:c r="AI784" s="5" t="str">
        <x:f>"습도|"&amp;N784</x:f>
        <x:v>습도|보통</x:v>
      </x:c>
      <x:c r="AJ784" s="5" t="str">
        <x:f>"날씨|"&amp;O784</x:f>
        <x:v>날씨|무관</x:v>
      </x:c>
      <x:c r="AK784" s="5" t="str">
        <x:f>"특수태그|"&amp;R784</x:f>
        <x:v>특수태그|없음</x:v>
      </x:c>
      <x:c r="AL784" s="5" t="str">
        <x:f>"원본서식지|"&amp;S784</x:f>
        <x:v>원본서식지|산악</x:v>
      </x:c>
      <x:c r="AM784" s="5" t="str">
        <x:f>"타입|"&amp;F784</x:f>
        <x:v>타입|노말</x:v>
      </x:c>
      <x:c r="AN784" s="5" t="str">
        <x:f>"타입|"&amp;G784</x:f>
        <x:v>타입|드래곤</x:v>
      </x:c>
    </x:row>
    <x:row r="785" ht="24" customHeight="1">
      <x:c r="A785" s="5" t="n">
        <x:v>781</x:v>
      </x:c>
      <x:c r="B785" s="5" t="inlineStr">
        <x:is>
          <x:t xml:space="preserve">타타륜</x:t>
        </x:is>
      </x:c>
      <x:c r="C785" s="5" t="inlineStr">
        <x:is>
          <x:t xml:space="preserve">dhelmise</x:t>
        </x:is>
      </x:c>
      <x:c r="D785" s="5" t="inlineStr">
        <x:is>
          <x:t xml:space="preserve">Dhelmise</x:t>
        </x:is>
      </x:c>
      <x:c r="E785" s="5" t="n">
        <x:v>7</x:v>
      </x:c>
      <x:c r="F785" s="5" t="inlineStr">
        <x:is>
          <x:t xml:space="preserve">고스트</x:t>
        </x:is>
      </x:c>
      <x:c r="G785" s="5" t="inlineStr">
        <x:is>
          <x:t xml:space="preserve">풀</x:t>
        </x:is>
      </x:c>
      <x:c r="H785" s="6" t="n">
        <x:v>210</x:v>
      </x:c>
      <x:c r="I785" s="5" t="n"/>
      <x:c r="J785" s="5" t="inlineStr">
        <x:is>
          <x:t xml:space="preserve">무진화</x:t>
        </x:is>
      </x:c>
      <x:c r="K785" s="7" t="inlineStr">
        <x:is>
          <x:t xml:space="preserve">해양</x:t>
        </x:is>
      </x:c>
      <x:c r="L785" s="7" t="inlineStr">
        <x:is>
          <x:t xml:space="preserve">해안·해양</x:t>
        </x:is>
      </x:c>
      <x:c r="M785" s="7" t="inlineStr">
        <x:is>
          <x:t xml:space="preserve">온대</x:t>
        </x:is>
      </x:c>
      <x:c r="N785" s="7" t="inlineStr">
        <x:is>
          <x:t xml:space="preserve">수중</x:t>
        </x:is>
      </x:c>
      <x:c r="O785" s="7" t="inlineStr">
        <x:is>
          <x:t xml:space="preserve">비</x:t>
        </x:is>
      </x:c>
      <x:c r="P785" s="7" t="inlineStr">
        <x:is>
          <x:t xml:space="preserve">밤</x:t>
        </x:is>
      </x:c>
      <x:c r="Q785" s="7" t="inlineStr">
        <x:is>
          <x:t xml:space="preserve">흔함</x:t>
        </x:is>
      </x:c>
      <x:c r="R785" s="7" t="inlineStr">
        <x:is>
          <x:t xml:space="preserve">영체</x:t>
        </x:is>
      </x:c>
      <x:c r="S785" s="7" t="inlineStr">
        <x:is>
          <x:t xml:space="preserve">해양</x:t>
        </x:is>
      </x:c>
      <x:c r="T785" s="7" t="inlineStr">
        <x:is>
          <x:t xml:space="preserve"/>
        </x:is>
      </x:c>
      <x:c r="U785" s="8" t="str">
        <x:f>INDEX('서식지_점수'!$E$4:$P$4,1,MATCH(MAX('서식지_점수'!E785:P785),'서식지_점수'!E785:P785,0))</x:f>
        <x:v>해양</x:v>
      </x:c>
      <x:c r="V785" s="8" t="str">
        <x:f>IF(T785&lt;&gt;"",T785,U785)</x:f>
        <x:v>해양</x:v>
      </x:c>
      <x:c r="W785" s="8" t="str">
        <x:f>IFERROR(INDEX('서식지_점수'!$E$4:$P$4,1,MATCH(MAXIFS('서식지_점수'!E785:P785,'서식지_점수'!E785:P785,"&lt;"&amp;MAX('서식지_점수'!E785:P785)),'서식지_점수'!E785:P785,0)),"")</x:f>
        <x:v>습지</x:v>
      </x:c>
      <x:c r="X785" s="8" t="str">
        <x:f>IF(T785&lt;&gt;"","수동확정",IF(MAX('서식지_점수'!E785:P785)-LARGE('서식지_점수'!E785:P785,2)&gt;=15,"높음",IF(MAX('서식지_점수'!E785:P785)-LARGE('서식지_점수'!E785:P785,2)&gt;=8,"보통","검토필요")))</x:f>
        <x:v>높음</x:v>
      </x:c>
      <x:c r="Y785" s="9" t="n">
        <x:f>IF(Q785="전설",8,IF(Q785="희귀",7,IF(J785="기본",1,IF(J785="중간",3,IF(J785="최종",IF(I785="",5,IF(I785&lt;=20,3,IF(I785&lt;=35,4,IF(I785&lt;=50,6,7)))),IF(Q785="드묾",4,2))))))</x:f>
        <x:v>2</x:v>
      </x:c>
      <x:c r="Z785" s="5" t="inlineStr">
        <x:is>
          <x:t xml:space="preserve">#cobblemon:is_ocean</x:t>
        </x:is>
      </x:c>
      <x:c r="AA785" s="5" t="inlineStr">
        <x:is>
          <x:t xml:space="preserve">common; rare</x:t>
        </x:is>
      </x:c>
      <x:c r="AB785" s="5" t="inlineStr">
        <x:is>
          <x:t xml:space="preserve">예</x:t>
        </x:is>
      </x:c>
      <x:c r="AC785" s="8" t="str">
        <x:f>IF(T785&lt;&gt;"","수동확정",IF(X785="검토필요","검토필요",IF(S785="","원본없음","초기완료")))</x:f>
        <x:v>초기완료</x:v>
      </x:c>
      <x:c r="AD785" s="7" t="inlineStr">
        <x:is>
          <x:t xml:space="preserve"/>
        </x:is>
      </x:c>
      <x:c r="AE785" s="5" t="inlineStr">
        <x:is>
          <x:t xml:space="preserve">.tmp/cobblemon-1.7.3-source/common/src/main/resources/data/cobblemon/species/generation7/dhelmise.json</x:t>
        </x:is>
      </x:c>
      <x:c r="AF785" s="5" t="str">
        <x:f>"생활권|"&amp;K785</x:f>
        <x:v>생활권|해양</x:v>
      </x:c>
      <x:c r="AG785" s="5" t="str">
        <x:f>"지형|"&amp;L785</x:f>
        <x:v>지형|해안·해양</x:v>
      </x:c>
      <x:c r="AH785" s="5" t="str">
        <x:f>"온도|"&amp;M785</x:f>
        <x:v>온도|온대</x:v>
      </x:c>
      <x:c r="AI785" s="5" t="str">
        <x:f>"습도|"&amp;N785</x:f>
        <x:v>습도|수중</x:v>
      </x:c>
      <x:c r="AJ785" s="5" t="str">
        <x:f>"날씨|"&amp;O785</x:f>
        <x:v>날씨|비</x:v>
      </x:c>
      <x:c r="AK785" s="5" t="str">
        <x:f>"특수태그|"&amp;R785</x:f>
        <x:v>특수태그|영체</x:v>
      </x:c>
      <x:c r="AL785" s="5" t="str">
        <x:f>"원본서식지|"&amp;S785</x:f>
        <x:v>원본서식지|해양</x:v>
      </x:c>
      <x:c r="AM785" s="5" t="str">
        <x:f>"타입|"&amp;F785</x:f>
        <x:v>타입|고스트</x:v>
      </x:c>
      <x:c r="AN785" s="5" t="str">
        <x:f>"타입|"&amp;G785</x:f>
        <x:v>타입|풀</x:v>
      </x:c>
    </x:row>
    <x:row r="786" ht="24" customHeight="1">
      <x:c r="A786" s="5" t="n">
        <x:v>782</x:v>
      </x:c>
      <x:c r="B786" s="5" t="inlineStr">
        <x:is>
          <x:t xml:space="preserve">짜랑꼬</x:t>
        </x:is>
      </x:c>
      <x:c r="C786" s="5" t="inlineStr">
        <x:is>
          <x:t xml:space="preserve">jangmoo</x:t>
        </x:is>
      </x:c>
      <x:c r="D786" s="5" t="inlineStr">
        <x:is>
          <x:t xml:space="preserve">Jangmo-o</x:t>
        </x:is>
      </x:c>
      <x:c r="E786" s="5" t="n">
        <x:v>7</x:v>
      </x:c>
      <x:c r="F786" s="5" t="inlineStr">
        <x:is>
          <x:t xml:space="preserve">드래곤</x:t>
        </x:is>
      </x:c>
      <x:c r="G786" s="5" t="inlineStr">
        <x:is>
          <x:t xml:space="preserve"/>
        </x:is>
      </x:c>
      <x:c r="H786" s="6" t="n">
        <x:v>29.7</x:v>
      </x:c>
      <x:c r="I786" s="5" t="n">
        <x:v>45</x:v>
      </x:c>
      <x:c r="J786" s="5" t="inlineStr">
        <x:is>
          <x:t xml:space="preserve">기본</x:t>
        </x:is>
      </x:c>
      <x:c r="K786" s="7" t="inlineStr">
        <x:is>
          <x:t xml:space="preserve">육상</x:t>
        </x:is>
      </x:c>
      <x:c r="L786" s="7" t="inlineStr">
        <x:is>
          <x:t xml:space="preserve">수목</x:t>
        </x:is>
      </x:c>
      <x:c r="M786" s="7" t="inlineStr">
        <x:is>
          <x:t xml:space="preserve">온대</x:t>
        </x:is>
      </x:c>
      <x:c r="N786" s="7" t="inlineStr">
        <x:is>
          <x:t xml:space="preserve">다습</x:t>
        </x:is>
      </x:c>
      <x:c r="O786" s="7" t="inlineStr">
        <x:is>
          <x:t xml:space="preserve">무관</x:t>
        </x:is>
      </x:c>
      <x:c r="P786" s="7" t="inlineStr">
        <x:is>
          <x:t xml:space="preserve">무관</x:t>
        </x:is>
      </x:c>
      <x:c r="Q786" s="7" t="inlineStr">
        <x:is>
          <x:t xml:space="preserve">희귀</x:t>
        </x:is>
      </x:c>
      <x:c r="R786" s="7" t="inlineStr">
        <x:is>
          <x:t xml:space="preserve">없음</x:t>
        </x:is>
      </x:c>
      <x:c r="S786" s="7" t="inlineStr">
        <x:is>
          <x:t xml:space="preserve">숲</x:t>
        </x:is>
      </x:c>
      <x:c r="T786" s="7" t="inlineStr">
        <x:is>
          <x:t xml:space="preserve"/>
        </x:is>
      </x:c>
      <x:c r="U786" s="8" t="str">
        <x:f>INDEX('서식지_점수'!$E$4:$P$4,1,MATCH(MAX('서식지_점수'!E786:P786),'서식지_점수'!E786:P786,0))</x:f>
        <x:v>평원</x:v>
      </x:c>
      <x:c r="V786" s="8" t="str">
        <x:f>IF(T786&lt;&gt;"",T786,U786)</x:f>
        <x:v>평원</x:v>
      </x:c>
      <x:c r="W786" s="8" t="str">
        <x:f>IFERROR(INDEX('서식지_점수'!$E$4:$P$4,1,MATCH(MAXIFS('서식지_점수'!E786:P786,'서식지_점수'!E786:P786,"&lt;"&amp;MAX('서식지_점수'!E786:P786)),'서식지_점수'!E786:P786,0)),"")</x:f>
        <x:v>숲</x:v>
      </x:c>
      <x:c r="X786" s="8" t="str">
        <x:f>IF(T786&lt;&gt;"","수동확정",IF(MAX('서식지_점수'!E786:P786)-LARGE('서식지_점수'!E786:P786,2)&gt;=15,"높음",IF(MAX('서식지_점수'!E786:P786)-LARGE('서식지_점수'!E786:P786,2)&gt;=8,"보통","검토필요")))</x:f>
        <x:v>검토필요</x:v>
      </x:c>
      <x:c r="Y786" s="9" t="n">
        <x:f>IF(Q786="전설",8,IF(Q786="희귀",7,IF(J786="기본",1,IF(J786="중간",3,IF(J786="최종",IF(I786="",5,IF(I786&lt;=20,3,IF(I786&lt;=35,4,IF(I786&lt;=50,6,7)))),IF(Q786="드묾",4,2))))))</x:f>
        <x:v>7</x:v>
      </x:c>
      <x:c r="Z786" s="5" t="inlineStr">
        <x:is>
          <x:t xml:space="preserve">#cobblemon:is_jungle; #cobblemon:is_tropical_island</x:t>
        </x:is>
      </x:c>
      <x:c r="AA786" s="5" t="inlineStr">
        <x:is>
          <x:t xml:space="preserve">rare; ultra-rare</x:t>
        </x:is>
      </x:c>
      <x:c r="AB786" s="5" t="inlineStr">
        <x:is>
          <x:t xml:space="preserve">예</x:t>
        </x:is>
      </x:c>
      <x:c r="AC786" s="8" t="str">
        <x:f>IF(T786&lt;&gt;"","수동확정",IF(X786="검토필요","검토필요",IF(S786="","원본없음","초기완료")))</x:f>
        <x:v>검토필요</x:v>
      </x:c>
      <x:c r="AD786" s="7" t="inlineStr">
        <x:is>
          <x:t xml:space="preserve"/>
        </x:is>
      </x:c>
      <x:c r="AE786" s="5" t="inlineStr">
        <x:is>
          <x:t xml:space="preserve">.tmp/cobblemon-1.7.3-source/common/src/main/resources/data/cobblemon/species/generation7/jangmoo.json</x:t>
        </x:is>
      </x:c>
      <x:c r="AF786" s="5" t="str">
        <x:f>"생활권|"&amp;K786</x:f>
        <x:v>생활권|육상</x:v>
      </x:c>
      <x:c r="AG786" s="5" t="str">
        <x:f>"지형|"&amp;L786</x:f>
        <x:v>지형|수목</x:v>
      </x:c>
      <x:c r="AH786" s="5" t="str">
        <x:f>"온도|"&amp;M786</x:f>
        <x:v>온도|온대</x:v>
      </x:c>
      <x:c r="AI786" s="5" t="str">
        <x:f>"습도|"&amp;N786</x:f>
        <x:v>습도|다습</x:v>
      </x:c>
      <x:c r="AJ786" s="5" t="str">
        <x:f>"날씨|"&amp;O786</x:f>
        <x:v>날씨|무관</x:v>
      </x:c>
      <x:c r="AK786" s="5" t="str">
        <x:f>"특수태그|"&amp;R786</x:f>
        <x:v>특수태그|없음</x:v>
      </x:c>
      <x:c r="AL786" s="5" t="str">
        <x:f>"원본서식지|"&amp;S786</x:f>
        <x:v>원본서식지|숲</x:v>
      </x:c>
      <x:c r="AM786" s="5" t="str">
        <x:f>"타입|"&amp;F786</x:f>
        <x:v>타입|드래곤</x:v>
      </x:c>
      <x:c r="AN786" s="5" t="str">
        <x:f>"타입|"&amp;G786</x:f>
        <x:v>타입|</x:v>
      </x:c>
    </x:row>
    <x:row r="787" ht="24" customHeight="1">
      <x:c r="A787" s="5" t="n">
        <x:v>783</x:v>
      </x:c>
      <x:c r="B787" s="5" t="inlineStr">
        <x:is>
          <x:t xml:space="preserve">짜랑고우</x:t>
        </x:is>
      </x:c>
      <x:c r="C787" s="5" t="inlineStr">
        <x:is>
          <x:t xml:space="preserve">hakamoo</x:t>
        </x:is>
      </x:c>
      <x:c r="D787" s="5" t="inlineStr">
        <x:is>
          <x:t xml:space="preserve">Hakamo-o</x:t>
        </x:is>
      </x:c>
      <x:c r="E787" s="5" t="n">
        <x:v>7</x:v>
      </x:c>
      <x:c r="F787" s="5" t="inlineStr">
        <x:is>
          <x:t xml:space="preserve">드래곤</x:t>
        </x:is>
      </x:c>
      <x:c r="G787" s="5" t="inlineStr">
        <x:is>
          <x:t xml:space="preserve">격투</x:t>
        </x:is>
      </x:c>
      <x:c r="H787" s="6" t="n">
        <x:v>47</x:v>
      </x:c>
      <x:c r="I787" s="5" t="n">
        <x:v>45</x:v>
      </x:c>
      <x:c r="J787" s="5" t="inlineStr">
        <x:is>
          <x:t xml:space="preserve">중간</x:t>
        </x:is>
      </x:c>
      <x:c r="K787" s="7" t="inlineStr">
        <x:is>
          <x:t xml:space="preserve">육상</x:t>
        </x:is>
      </x:c>
      <x:c r="L787" s="7" t="inlineStr">
        <x:is>
          <x:t xml:space="preserve">수목</x:t>
        </x:is>
      </x:c>
      <x:c r="M787" s="7" t="inlineStr">
        <x:is>
          <x:t xml:space="preserve">온대</x:t>
        </x:is>
      </x:c>
      <x:c r="N787" s="7" t="inlineStr">
        <x:is>
          <x:t xml:space="preserve">다습</x:t>
        </x:is>
      </x:c>
      <x:c r="O787" s="7" t="inlineStr">
        <x:is>
          <x:t xml:space="preserve">무관</x:t>
        </x:is>
      </x:c>
      <x:c r="P787" s="7" t="inlineStr">
        <x:is>
          <x:t xml:space="preserve">무관</x:t>
        </x:is>
      </x:c>
      <x:c r="Q787" s="7" t="inlineStr">
        <x:is>
          <x:t xml:space="preserve">희귀</x:t>
        </x:is>
      </x:c>
      <x:c r="R787" s="7" t="inlineStr">
        <x:is>
          <x:t xml:space="preserve">없음</x:t>
        </x:is>
      </x:c>
      <x:c r="S787" s="7" t="inlineStr">
        <x:is>
          <x:t xml:space="preserve">숲</x:t>
        </x:is>
      </x:c>
      <x:c r="T787" s="7" t="inlineStr">
        <x:is>
          <x:t xml:space="preserve"/>
        </x:is>
      </x:c>
      <x:c r="U787" s="8" t="str">
        <x:f>INDEX('서식지_점수'!$E$4:$P$4,1,MATCH(MAX('서식지_점수'!E787:P787),'서식지_점수'!E787:P787,0))</x:f>
        <x:v>평원</x:v>
      </x:c>
      <x:c r="V787" s="8" t="str">
        <x:f>IF(T787&lt;&gt;"",T787,U787)</x:f>
        <x:v>평원</x:v>
      </x:c>
      <x:c r="W787" s="8" t="str">
        <x:f>IFERROR(INDEX('서식지_점수'!$E$4:$P$4,1,MATCH(MAXIFS('서식지_점수'!E787:P787,'서식지_점수'!E787:P787,"&lt;"&amp;MAX('서식지_점수'!E787:P787)),'서식지_점수'!E787:P787,0)),"")</x:f>
        <x:v>숲</x:v>
      </x:c>
      <x:c r="X787" s="8" t="str">
        <x:f>IF(T787&lt;&gt;"","수동확정",IF(MAX('서식지_점수'!E787:P787)-LARGE('서식지_점수'!E787:P787,2)&gt;=15,"높음",IF(MAX('서식지_점수'!E787:P787)-LARGE('서식지_점수'!E787:P787,2)&gt;=8,"보통","검토필요")))</x:f>
        <x:v>검토필요</x:v>
      </x:c>
      <x:c r="Y787" s="9" t="n">
        <x:f>IF(Q787="전설",8,IF(Q787="희귀",7,IF(J787="기본",1,IF(J787="중간",3,IF(J787="최종",IF(I787="",5,IF(I787&lt;=20,3,IF(I787&lt;=35,4,IF(I787&lt;=50,6,7)))),IF(Q787="드묾",4,2))))))</x:f>
        <x:v>7</x:v>
      </x:c>
      <x:c r="Z787" s="5" t="inlineStr">
        <x:is>
          <x:t xml:space="preserve">#cobblemon:is_jungle; #cobblemon:is_tropical_island</x:t>
        </x:is>
      </x:c>
      <x:c r="AA787" s="5" t="inlineStr">
        <x:is>
          <x:t xml:space="preserve">rare; ultra-rare</x:t>
        </x:is>
      </x:c>
      <x:c r="AB787" s="5" t="inlineStr">
        <x:is>
          <x:t xml:space="preserve">예</x:t>
        </x:is>
      </x:c>
      <x:c r="AC787" s="8" t="str">
        <x:f>IF(T787&lt;&gt;"","수동확정",IF(X787="검토필요","검토필요",IF(S787="","원본없음","초기완료")))</x:f>
        <x:v>검토필요</x:v>
      </x:c>
      <x:c r="AD787" s="7" t="inlineStr">
        <x:is>
          <x:t xml:space="preserve"/>
        </x:is>
      </x:c>
      <x:c r="AE787" s="5" t="inlineStr">
        <x:is>
          <x:t xml:space="preserve">.tmp/cobblemon-1.7.3-source/common/src/main/resources/data/cobblemon/species/generation7/hakamoo.json</x:t>
        </x:is>
      </x:c>
      <x:c r="AF787" s="5" t="str">
        <x:f>"생활권|"&amp;K787</x:f>
        <x:v>생활권|육상</x:v>
      </x:c>
      <x:c r="AG787" s="5" t="str">
        <x:f>"지형|"&amp;L787</x:f>
        <x:v>지형|수목</x:v>
      </x:c>
      <x:c r="AH787" s="5" t="str">
        <x:f>"온도|"&amp;M787</x:f>
        <x:v>온도|온대</x:v>
      </x:c>
      <x:c r="AI787" s="5" t="str">
        <x:f>"습도|"&amp;N787</x:f>
        <x:v>습도|다습</x:v>
      </x:c>
      <x:c r="AJ787" s="5" t="str">
        <x:f>"날씨|"&amp;O787</x:f>
        <x:v>날씨|무관</x:v>
      </x:c>
      <x:c r="AK787" s="5" t="str">
        <x:f>"특수태그|"&amp;R787</x:f>
        <x:v>특수태그|없음</x:v>
      </x:c>
      <x:c r="AL787" s="5" t="str">
        <x:f>"원본서식지|"&amp;S787</x:f>
        <x:v>원본서식지|숲</x:v>
      </x:c>
      <x:c r="AM787" s="5" t="str">
        <x:f>"타입|"&amp;F787</x:f>
        <x:v>타입|드래곤</x:v>
      </x:c>
      <x:c r="AN787" s="5" t="str">
        <x:f>"타입|"&amp;G787</x:f>
        <x:v>타입|격투</x:v>
      </x:c>
    </x:row>
    <x:row r="788" ht="24" customHeight="1">
      <x:c r="A788" s="5" t="n">
        <x:v>784</x:v>
      </x:c>
      <x:c r="B788" s="5" t="inlineStr">
        <x:is>
          <x:t xml:space="preserve">짜랑고우거</x:t>
        </x:is>
      </x:c>
      <x:c r="C788" s="5" t="inlineStr">
        <x:is>
          <x:t xml:space="preserve">kommoo</x:t>
        </x:is>
      </x:c>
      <x:c r="D788" s="5" t="inlineStr">
        <x:is>
          <x:t xml:space="preserve">Kommo-o</x:t>
        </x:is>
      </x:c>
      <x:c r="E788" s="5" t="n">
        <x:v>7</x:v>
      </x:c>
      <x:c r="F788" s="5" t="inlineStr">
        <x:is>
          <x:t xml:space="preserve">드래곤</x:t>
        </x:is>
      </x:c>
      <x:c r="G788" s="5" t="inlineStr">
        <x:is>
          <x:t xml:space="preserve">격투</x:t>
        </x:is>
      </x:c>
      <x:c r="H788" s="6" t="n">
        <x:v>78.2</x:v>
      </x:c>
      <x:c r="I788" s="5" t="n">
        <x:v>45</x:v>
      </x:c>
      <x:c r="J788" s="5" t="inlineStr">
        <x:is>
          <x:t xml:space="preserve">최종</x:t>
        </x:is>
      </x:c>
      <x:c r="K788" s="7" t="inlineStr">
        <x:is>
          <x:t xml:space="preserve">육상</x:t>
        </x:is>
      </x:c>
      <x:c r="L788" s="7" t="inlineStr">
        <x:is>
          <x:t xml:space="preserve">수목</x:t>
        </x:is>
      </x:c>
      <x:c r="M788" s="7" t="inlineStr">
        <x:is>
          <x:t xml:space="preserve">온대</x:t>
        </x:is>
      </x:c>
      <x:c r="N788" s="7" t="inlineStr">
        <x:is>
          <x:t xml:space="preserve">다습</x:t>
        </x:is>
      </x:c>
      <x:c r="O788" s="7" t="inlineStr">
        <x:is>
          <x:t xml:space="preserve">무관</x:t>
        </x:is>
      </x:c>
      <x:c r="P788" s="7" t="inlineStr">
        <x:is>
          <x:t xml:space="preserve">무관</x:t>
        </x:is>
      </x:c>
      <x:c r="Q788" s="7" t="inlineStr">
        <x:is>
          <x:t xml:space="preserve">희귀</x:t>
        </x:is>
      </x:c>
      <x:c r="R788" s="7" t="inlineStr">
        <x:is>
          <x:t xml:space="preserve">없음</x:t>
        </x:is>
      </x:c>
      <x:c r="S788" s="7" t="inlineStr">
        <x:is>
          <x:t xml:space="preserve">숲</x:t>
        </x:is>
      </x:c>
      <x:c r="T788" s="7" t="inlineStr">
        <x:is>
          <x:t xml:space="preserve"/>
        </x:is>
      </x:c>
      <x:c r="U788" s="8" t="str">
        <x:f>INDEX('서식지_점수'!$E$4:$P$4,1,MATCH(MAX('서식지_점수'!E788:P788),'서식지_점수'!E788:P788,0))</x:f>
        <x:v>평원</x:v>
      </x:c>
      <x:c r="V788" s="8" t="str">
        <x:f>IF(T788&lt;&gt;"",T788,U788)</x:f>
        <x:v>평원</x:v>
      </x:c>
      <x:c r="W788" s="8" t="str">
        <x:f>IFERROR(INDEX('서식지_점수'!$E$4:$P$4,1,MATCH(MAXIFS('서식지_점수'!E788:P788,'서식지_점수'!E788:P788,"&lt;"&amp;MAX('서식지_점수'!E788:P788)),'서식지_점수'!E788:P788,0)),"")</x:f>
        <x:v>숲</x:v>
      </x:c>
      <x:c r="X788" s="8" t="str">
        <x:f>IF(T788&lt;&gt;"","수동확정",IF(MAX('서식지_점수'!E788:P788)-LARGE('서식지_점수'!E788:P788,2)&gt;=15,"높음",IF(MAX('서식지_점수'!E788:P788)-LARGE('서식지_점수'!E788:P788,2)&gt;=8,"보통","검토필요")))</x:f>
        <x:v>검토필요</x:v>
      </x:c>
      <x:c r="Y788" s="9" t="n">
        <x:f>IF(Q788="전설",8,IF(Q788="희귀",7,IF(J788="기본",1,IF(J788="중간",3,IF(J788="최종",IF(I788="",5,IF(I788&lt;=20,3,IF(I788&lt;=35,4,IF(I788&lt;=50,6,7)))),IF(Q788="드묾",4,2))))))</x:f>
        <x:v>7</x:v>
      </x:c>
      <x:c r="Z788" s="5" t="inlineStr">
        <x:is>
          <x:t xml:space="preserve">#cobblemon:is_jungle; #cobblemon:is_tropical_island</x:t>
        </x:is>
      </x:c>
      <x:c r="AA788" s="5" t="inlineStr">
        <x:is>
          <x:t xml:space="preserve">rare; ultra-rare</x:t>
        </x:is>
      </x:c>
      <x:c r="AB788" s="5" t="inlineStr">
        <x:is>
          <x:t xml:space="preserve">예</x:t>
        </x:is>
      </x:c>
      <x:c r="AC788" s="8" t="str">
        <x:f>IF(T788&lt;&gt;"","수동확정",IF(X788="검토필요","검토필요",IF(S788="","원본없음","초기완료")))</x:f>
        <x:v>검토필요</x:v>
      </x:c>
      <x:c r="AD788" s="7" t="inlineStr">
        <x:is>
          <x:t xml:space="preserve"/>
        </x:is>
      </x:c>
      <x:c r="AE788" s="5" t="inlineStr">
        <x:is>
          <x:t xml:space="preserve">.tmp/cobblemon-1.7.3-source/common/src/main/resources/data/cobblemon/species/generation7/kommoo.json</x:t>
        </x:is>
      </x:c>
      <x:c r="AF788" s="5" t="str">
        <x:f>"생활권|"&amp;K788</x:f>
        <x:v>생활권|육상</x:v>
      </x:c>
      <x:c r="AG788" s="5" t="str">
        <x:f>"지형|"&amp;L788</x:f>
        <x:v>지형|수목</x:v>
      </x:c>
      <x:c r="AH788" s="5" t="str">
        <x:f>"온도|"&amp;M788</x:f>
        <x:v>온도|온대</x:v>
      </x:c>
      <x:c r="AI788" s="5" t="str">
        <x:f>"습도|"&amp;N788</x:f>
        <x:v>습도|다습</x:v>
      </x:c>
      <x:c r="AJ788" s="5" t="str">
        <x:f>"날씨|"&amp;O788</x:f>
        <x:v>날씨|무관</x:v>
      </x:c>
      <x:c r="AK788" s="5" t="str">
        <x:f>"특수태그|"&amp;R788</x:f>
        <x:v>특수태그|없음</x:v>
      </x:c>
      <x:c r="AL788" s="5" t="str">
        <x:f>"원본서식지|"&amp;S788</x:f>
        <x:v>원본서식지|숲</x:v>
      </x:c>
      <x:c r="AM788" s="5" t="str">
        <x:f>"타입|"&amp;F788</x:f>
        <x:v>타입|드래곤</x:v>
      </x:c>
      <x:c r="AN788" s="5" t="str">
        <x:f>"타입|"&amp;G788</x:f>
        <x:v>타입|격투</x:v>
      </x:c>
    </x:row>
    <x:row r="789" ht="24" customHeight="1">
      <x:c r="A789" s="5" t="n">
        <x:v>785</x:v>
      </x:c>
      <x:c r="B789" s="5" t="inlineStr">
        <x:is>
          <x:t xml:space="preserve">카푸꼬꼬꼭</x:t>
        </x:is>
      </x:c>
      <x:c r="C789" s="5" t="inlineStr">
        <x:is>
          <x:t xml:space="preserve">tapukoko</x:t>
        </x:is>
      </x:c>
      <x:c r="D789" s="5" t="inlineStr">
        <x:is>
          <x:t xml:space="preserve">Tapu Koko</x:t>
        </x:is>
      </x:c>
      <x:c r="E789" s="5" t="n">
        <x:v>7</x:v>
      </x:c>
      <x:c r="F789" s="5" t="inlineStr">
        <x:is>
          <x:t xml:space="preserve">전기</x:t>
        </x:is>
      </x:c>
      <x:c r="G789" s="5" t="inlineStr">
        <x:is>
          <x:t xml:space="preserve">페어리</x:t>
        </x:is>
      </x:c>
      <x:c r="H789" s="6" t="n">
        <x:v>20.5</x:v>
      </x:c>
      <x:c r="I789" s="5" t="n"/>
      <x:c r="J789" s="5" t="inlineStr">
        <x:is>
          <x:t xml:space="preserve">무진화</x:t>
        </x:is>
      </x:c>
      <x:c r="K789" s="7" t="inlineStr">
        <x:is>
          <x:t xml:space="preserve">비행</x:t>
        </x:is>
      </x:c>
      <x:c r="L789" s="7" t="inlineStr">
        <x:is>
          <x:t xml:space="preserve">수목</x:t>
        </x:is>
      </x:c>
      <x:c r="M789" s="7" t="inlineStr">
        <x:is>
          <x:t xml:space="preserve">온대</x:t>
        </x:is>
      </x:c>
      <x:c r="N789" s="7" t="inlineStr">
        <x:is>
          <x:t xml:space="preserve">다습</x:t>
        </x:is>
      </x:c>
      <x:c r="O789" s="7" t="inlineStr">
        <x:is>
          <x:t xml:space="preserve">무관</x:t>
        </x:is>
      </x:c>
      <x:c r="P789" s="7" t="inlineStr">
        <x:is>
          <x:t xml:space="preserve">무관</x:t>
        </x:is>
      </x:c>
      <x:c r="Q789" s="7" t="inlineStr">
        <x:is>
          <x:t xml:space="preserve">전설</x:t>
        </x:is>
      </x:c>
      <x:c r="R789" s="7" t="inlineStr">
        <x:is>
          <x:t xml:space="preserve">전설</x:t>
        </x:is>
      </x:c>
      <x:c r="S789" s="7" t="inlineStr">
        <x:is>
          <x:t xml:space="preserve">숲</x:t>
        </x:is>
      </x:c>
      <x:c r="T789" s="7" t="inlineStr">
        <x:is>
          <x:t xml:space="preserve"/>
        </x:is>
      </x:c>
      <x:c r="U789" s="8" t="str">
        <x:f>INDEX('서식지_점수'!$E$4:$P$4,1,MATCH(MAX('서식지_점수'!E789:P789),'서식지_점수'!E789:P789,0))</x:f>
        <x:v>산악</x:v>
      </x:c>
      <x:c r="V789" s="8" t="str">
        <x:f>IF(T789&lt;&gt;"",T789,U789)</x:f>
        <x:v>산악</x:v>
      </x:c>
      <x:c r="W789" s="8" t="str">
        <x:f>IFERROR(INDEX('서식지_점수'!$E$4:$P$4,1,MATCH(MAXIFS('서식지_점수'!E789:P789,'서식지_점수'!E789:P789,"&lt;"&amp;MAX('서식지_점수'!E789:P789)),'서식지_점수'!E789:P789,0)),"")</x:f>
        <x:v>평원</x:v>
      </x:c>
      <x:c r="X789" s="8" t="str">
        <x:f>IF(T789&lt;&gt;"","수동확정",IF(MAX('서식지_점수'!E789:P789)-LARGE('서식지_점수'!E789:P789,2)&gt;=15,"높음",IF(MAX('서식지_점수'!E789:P789)-LARGE('서식지_점수'!E789:P789,2)&gt;=8,"보통","검토필요")))</x:f>
        <x:v>검토필요</x:v>
      </x:c>
      <x:c r="Y789" s="9" t="n">
        <x:f>IF(Q789="전설",8,IF(Q789="희귀",7,IF(J789="기본",1,IF(J789="중간",3,IF(J789="최종",IF(I789="",5,IF(I789&lt;=20,3,IF(I789&lt;=35,4,IF(I789&lt;=50,6,7)))),IF(Q789="드묾",4,2))))))</x:f>
        <x:v>8</x:v>
      </x:c>
      <x:c r="Z789" s="5" t="inlineStr">
        <x:is>
          <x:t xml:space="preserve">#cobblemon:is_jungle; #cobblemon:is_savanna</x:t>
        </x:is>
      </x:c>
      <x:c r="AA789" s="5" t="inlineStr">
        <x:is>
          <x:t xml:space="preserve">ultra-rare</x:t>
        </x:is>
      </x:c>
      <x:c r="AB789" s="5" t="inlineStr">
        <x:is>
          <x:t xml:space="preserve">아니오</x:t>
        </x:is>
      </x:c>
      <x:c r="AC789" s="8" t="str">
        <x:f>IF(T789&lt;&gt;"","수동확정",IF(X789="검토필요","검토필요",IF(S789="","원본없음","초기완료")))</x:f>
        <x:v>검토필요</x:v>
      </x:c>
      <x:c r="AD789" s="7" t="inlineStr">
        <x:is>
          <x:t xml:space="preserve"/>
        </x:is>
      </x:c>
      <x:c r="AE789" s="5" t="inlineStr">
        <x:is>
          <x:t xml:space="preserve">.tmp/cobblemon-1.7.3-source/common/src/main/resources/data/cobblemon/species/generation7/tapukoko.json</x:t>
        </x:is>
      </x:c>
      <x:c r="AF789" s="5" t="str">
        <x:f>"생활권|"&amp;K789</x:f>
        <x:v>생활권|비행</x:v>
      </x:c>
      <x:c r="AG789" s="5" t="str">
        <x:f>"지형|"&amp;L789</x:f>
        <x:v>지형|수목</x:v>
      </x:c>
      <x:c r="AH789" s="5" t="str">
        <x:f>"온도|"&amp;M789</x:f>
        <x:v>온도|온대</x:v>
      </x:c>
      <x:c r="AI789" s="5" t="str">
        <x:f>"습도|"&amp;N789</x:f>
        <x:v>습도|다습</x:v>
      </x:c>
      <x:c r="AJ789" s="5" t="str">
        <x:f>"날씨|"&amp;O789</x:f>
        <x:v>날씨|무관</x:v>
      </x:c>
      <x:c r="AK789" s="5" t="str">
        <x:f>"특수태그|"&amp;R789</x:f>
        <x:v>특수태그|전설</x:v>
      </x:c>
      <x:c r="AL789" s="5" t="str">
        <x:f>"원본서식지|"&amp;S789</x:f>
        <x:v>원본서식지|숲</x:v>
      </x:c>
      <x:c r="AM789" s="5" t="str">
        <x:f>"타입|"&amp;F789</x:f>
        <x:v>타입|전기</x:v>
      </x:c>
      <x:c r="AN789" s="5" t="str">
        <x:f>"타입|"&amp;G789</x:f>
        <x:v>타입|페어리</x:v>
      </x:c>
    </x:row>
    <x:row r="790" ht="24" customHeight="1">
      <x:c r="A790" s="5" t="n">
        <x:v>786</x:v>
      </x:c>
      <x:c r="B790" s="5" t="inlineStr">
        <x:is>
          <x:t xml:space="preserve">카푸나비나</x:t>
        </x:is>
      </x:c>
      <x:c r="C790" s="5" t="inlineStr">
        <x:is>
          <x:t xml:space="preserve">tapulele</x:t>
        </x:is>
      </x:c>
      <x:c r="D790" s="5" t="inlineStr">
        <x:is>
          <x:t xml:space="preserve">Tapu Lele</x:t>
        </x:is>
      </x:c>
      <x:c r="E790" s="5" t="n">
        <x:v>7</x:v>
      </x:c>
      <x:c r="F790" s="5" t="inlineStr">
        <x:is>
          <x:t xml:space="preserve">에스퍼</x:t>
        </x:is>
      </x:c>
      <x:c r="G790" s="5" t="inlineStr">
        <x:is>
          <x:t xml:space="preserve">페어리</x:t>
        </x:is>
      </x:c>
      <x:c r="H790" s="6" t="n">
        <x:v>18.6</x:v>
      </x:c>
      <x:c r="I790" s="5" t="n"/>
      <x:c r="J790" s="5" t="inlineStr">
        <x:is>
          <x:t xml:space="preserve">무진화</x:t>
        </x:is>
      </x:c>
      <x:c r="K790" s="7" t="inlineStr">
        <x:is>
          <x:t xml:space="preserve">해양</x:t>
        </x:is>
      </x:c>
      <x:c r="L790" s="7" t="inlineStr">
        <x:is>
          <x:t xml:space="preserve">해안·해양</x:t>
        </x:is>
      </x:c>
      <x:c r="M790" s="7" t="inlineStr">
        <x:is>
          <x:t xml:space="preserve">온대</x:t>
        </x:is>
      </x:c>
      <x:c r="N790" s="7" t="inlineStr">
        <x:is>
          <x:t xml:space="preserve">수중</x:t>
        </x:is>
      </x:c>
      <x:c r="O790" s="7" t="inlineStr">
        <x:is>
          <x:t xml:space="preserve">비</x:t>
        </x:is>
      </x:c>
      <x:c r="P790" s="7" t="inlineStr">
        <x:is>
          <x:t xml:space="preserve">무관</x:t>
        </x:is>
      </x:c>
      <x:c r="Q790" s="7" t="inlineStr">
        <x:is>
          <x:t xml:space="preserve">전설</x:t>
        </x:is>
      </x:c>
      <x:c r="R790" s="7" t="inlineStr">
        <x:is>
          <x:t xml:space="preserve">전설</x:t>
        </x:is>
      </x:c>
      <x:c r="S790" s="7" t="inlineStr">
        <x:is>
          <x:t xml:space="preserve">해양</x:t>
        </x:is>
      </x:c>
      <x:c r="T790" s="7" t="inlineStr">
        <x:is>
          <x:t xml:space="preserve"/>
        </x:is>
      </x:c>
      <x:c r="U790" s="8" t="str">
        <x:f>INDEX('서식지_점수'!$E$4:$P$4,1,MATCH(MAX('서식지_점수'!E790:P790),'서식지_점수'!E790:P790,0))</x:f>
        <x:v>해양</x:v>
      </x:c>
      <x:c r="V790" s="8" t="str">
        <x:f>IF(T790&lt;&gt;"",T790,U790)</x:f>
        <x:v>해양</x:v>
      </x:c>
      <x:c r="W790" s="8" t="str">
        <x:f>IFERROR(INDEX('서식지_점수'!$E$4:$P$4,1,MATCH(MAXIFS('서식지_점수'!E790:P790,'서식지_점수'!E790:P790,"&lt;"&amp;MAX('서식지_점수'!E790:P790)),'서식지_점수'!E790:P790,0)),"")</x:f>
        <x:v>습지</x:v>
      </x:c>
      <x:c r="X790" s="8" t="str">
        <x:f>IF(T790&lt;&gt;"","수동확정",IF(MAX('서식지_점수'!E790:P790)-LARGE('서식지_점수'!E790:P790,2)&gt;=15,"높음",IF(MAX('서식지_점수'!E790:P790)-LARGE('서식지_점수'!E790:P790,2)&gt;=8,"보통","검토필요")))</x:f>
        <x:v>높음</x:v>
      </x:c>
      <x:c r="Y790" s="9" t="n">
        <x:f>IF(Q790="전설",8,IF(Q790="희귀",7,IF(J790="기본",1,IF(J790="중간",3,IF(J790="최종",IF(I790="",5,IF(I790&lt;=20,3,IF(I790&lt;=35,4,IF(I790&lt;=50,6,7)))),IF(Q790="드묾",4,2))))))</x:f>
        <x:v>8</x:v>
      </x:c>
      <x:c r="Z790" s="5" t="inlineStr">
        <x:is>
          <x:t xml:space="preserve">#cobblemon:is_floral; #minecraft:is_beach</x:t>
        </x:is>
      </x:c>
      <x:c r="AA790" s="5" t="inlineStr">
        <x:is>
          <x:t xml:space="preserve">ultra-rare</x:t>
        </x:is>
      </x:c>
      <x:c r="AB790" s="5" t="inlineStr">
        <x:is>
          <x:t xml:space="preserve">아니오</x:t>
        </x:is>
      </x:c>
      <x:c r="AC790" s="8" t="str">
        <x:f>IF(T790&lt;&gt;"","수동확정",IF(X790="검토필요","검토필요",IF(S790="","원본없음","초기완료")))</x:f>
        <x:v>초기완료</x:v>
      </x:c>
      <x:c r="AD790" s="7" t="inlineStr">
        <x:is>
          <x:t xml:space="preserve"/>
        </x:is>
      </x:c>
      <x:c r="AE790" s="5" t="inlineStr">
        <x:is>
          <x:t xml:space="preserve">.tmp/cobblemon-1.7.3-source/common/src/main/resources/data/cobblemon/species/generation7/tapulele.json</x:t>
        </x:is>
      </x:c>
      <x:c r="AF790" s="5" t="str">
        <x:f>"생활권|"&amp;K790</x:f>
        <x:v>생활권|해양</x:v>
      </x:c>
      <x:c r="AG790" s="5" t="str">
        <x:f>"지형|"&amp;L790</x:f>
        <x:v>지형|해안·해양</x:v>
      </x:c>
      <x:c r="AH790" s="5" t="str">
        <x:f>"온도|"&amp;M790</x:f>
        <x:v>온도|온대</x:v>
      </x:c>
      <x:c r="AI790" s="5" t="str">
        <x:f>"습도|"&amp;N790</x:f>
        <x:v>습도|수중</x:v>
      </x:c>
      <x:c r="AJ790" s="5" t="str">
        <x:f>"날씨|"&amp;O790</x:f>
        <x:v>날씨|비</x:v>
      </x:c>
      <x:c r="AK790" s="5" t="str">
        <x:f>"특수태그|"&amp;R790</x:f>
        <x:v>특수태그|전설</x:v>
      </x:c>
      <x:c r="AL790" s="5" t="str">
        <x:f>"원본서식지|"&amp;S790</x:f>
        <x:v>원본서식지|해양</x:v>
      </x:c>
      <x:c r="AM790" s="5" t="str">
        <x:f>"타입|"&amp;F790</x:f>
        <x:v>타입|에스퍼</x:v>
      </x:c>
      <x:c r="AN790" s="5" t="str">
        <x:f>"타입|"&amp;G790</x:f>
        <x:v>타입|페어리</x:v>
      </x:c>
    </x:row>
    <x:row r="791" ht="24" customHeight="1">
      <x:c r="A791" s="5" t="n">
        <x:v>787</x:v>
      </x:c>
      <x:c r="B791" s="5" t="inlineStr">
        <x:is>
          <x:t xml:space="preserve">카푸브루루</x:t>
        </x:is>
      </x:c>
      <x:c r="C791" s="5" t="inlineStr">
        <x:is>
          <x:t xml:space="preserve">tapubulu</x:t>
        </x:is>
      </x:c>
      <x:c r="D791" s="5" t="inlineStr">
        <x:is>
          <x:t xml:space="preserve">Tapu Bulu</x:t>
        </x:is>
      </x:c>
      <x:c r="E791" s="5" t="n">
        <x:v>7</x:v>
      </x:c>
      <x:c r="F791" s="5" t="inlineStr">
        <x:is>
          <x:t xml:space="preserve">풀</x:t>
        </x:is>
      </x:c>
      <x:c r="G791" s="5" t="inlineStr">
        <x:is>
          <x:t xml:space="preserve">페어리</x:t>
        </x:is>
      </x:c>
      <x:c r="H791" s="6" t="n">
        <x:v>45.5</x:v>
      </x:c>
      <x:c r="I791" s="5" t="n"/>
      <x:c r="J791" s="5" t="inlineStr">
        <x:is>
          <x:t xml:space="preserve">무진화</x:t>
        </x:is>
      </x:c>
      <x:c r="K791" s="7" t="inlineStr">
        <x:is>
          <x:t xml:space="preserve">담수</x:t>
        </x:is>
      </x:c>
      <x:c r="L791" s="7" t="inlineStr">
        <x:is>
          <x:t xml:space="preserve">담수</x:t>
        </x:is>
      </x:c>
      <x:c r="M791" s="7" t="inlineStr">
        <x:is>
          <x:t xml:space="preserve">온대</x:t>
        </x:is>
      </x:c>
      <x:c r="N791" s="7" t="inlineStr">
        <x:is>
          <x:t xml:space="preserve">수중</x:t>
        </x:is>
      </x:c>
      <x:c r="O791" s="7" t="inlineStr">
        <x:is>
          <x:t xml:space="preserve">비</x:t>
        </x:is>
      </x:c>
      <x:c r="P791" s="7" t="inlineStr">
        <x:is>
          <x:t xml:space="preserve">무관</x:t>
        </x:is>
      </x:c>
      <x:c r="Q791" s="7" t="inlineStr">
        <x:is>
          <x:t xml:space="preserve">전설</x:t>
        </x:is>
      </x:c>
      <x:c r="R791" s="7" t="inlineStr">
        <x:is>
          <x:t xml:space="preserve">전설</x:t>
        </x:is>
      </x:c>
      <x:c r="S791" s="7" t="inlineStr">
        <x:is>
          <x:t xml:space="preserve">담수</x:t>
        </x:is>
      </x:c>
      <x:c r="T791" s="7" t="inlineStr">
        <x:is>
          <x:t xml:space="preserve"/>
        </x:is>
      </x:c>
      <x:c r="U791" s="8" t="str">
        <x:f>INDEX('서식지_점수'!$E$4:$P$4,1,MATCH(MAX('서식지_점수'!E791:P791),'서식지_점수'!E791:P791,0))</x:f>
        <x:v>담수</x:v>
      </x:c>
      <x:c r="V791" s="8" t="str">
        <x:f>IF(T791&lt;&gt;"",T791,U791)</x:f>
        <x:v>담수</x:v>
      </x:c>
      <x:c r="W791" s="8" t="str">
        <x:f>IFERROR(INDEX('서식지_점수'!$E$4:$P$4,1,MATCH(MAXIFS('서식지_점수'!E791:P791,'서식지_점수'!E791:P791,"&lt;"&amp;MAX('서식지_점수'!E791:P791)),'서식지_점수'!E791:P791,0)),"")</x:f>
        <x:v>습지</x:v>
      </x:c>
      <x:c r="X791" s="8" t="str">
        <x:f>IF(T791&lt;&gt;"","수동확정",IF(MAX('서식지_점수'!E791:P791)-LARGE('서식지_점수'!E791:P791,2)&gt;=15,"높음",IF(MAX('서식지_점수'!E791:P791)-LARGE('서식지_점수'!E791:P791,2)&gt;=8,"보통","검토필요")))</x:f>
        <x:v>높음</x:v>
      </x:c>
      <x:c r="Y791" s="9" t="n">
        <x:f>IF(Q791="전설",8,IF(Q791="희귀",7,IF(J791="기본",1,IF(J791="중간",3,IF(J791="최종",IF(I791="",5,IF(I791&lt;=20,3,IF(I791&lt;=35,4,IF(I791&lt;=50,6,7)))),IF(Q791="드묾",4,2))))))</x:f>
        <x:v>8</x:v>
      </x:c>
      <x:c r="Z791" s="5" t="inlineStr">
        <x:is>
          <x:t xml:space="preserve">#cobblemon:is_jungle; #cobblemon:is_river</x:t>
        </x:is>
      </x:c>
      <x:c r="AA791" s="5" t="inlineStr">
        <x:is>
          <x:t xml:space="preserve">ultra-rare</x:t>
        </x:is>
      </x:c>
      <x:c r="AB791" s="5" t="inlineStr">
        <x:is>
          <x:t xml:space="preserve">아니오</x:t>
        </x:is>
      </x:c>
      <x:c r="AC791" s="8" t="str">
        <x:f>IF(T791&lt;&gt;"","수동확정",IF(X791="검토필요","검토필요",IF(S791="","원본없음","초기완료")))</x:f>
        <x:v>초기완료</x:v>
      </x:c>
      <x:c r="AD791" s="7" t="inlineStr">
        <x:is>
          <x:t xml:space="preserve"/>
        </x:is>
      </x:c>
      <x:c r="AE791" s="5" t="inlineStr">
        <x:is>
          <x:t xml:space="preserve">.tmp/cobblemon-1.7.3-source/common/src/main/resources/data/cobblemon/species/generation7/tapubulu.json</x:t>
        </x:is>
      </x:c>
      <x:c r="AF791" s="5" t="str">
        <x:f>"생활권|"&amp;K791</x:f>
        <x:v>생활권|담수</x:v>
      </x:c>
      <x:c r="AG791" s="5" t="str">
        <x:f>"지형|"&amp;L791</x:f>
        <x:v>지형|담수</x:v>
      </x:c>
      <x:c r="AH791" s="5" t="str">
        <x:f>"온도|"&amp;M791</x:f>
        <x:v>온도|온대</x:v>
      </x:c>
      <x:c r="AI791" s="5" t="str">
        <x:f>"습도|"&amp;N791</x:f>
        <x:v>습도|수중</x:v>
      </x:c>
      <x:c r="AJ791" s="5" t="str">
        <x:f>"날씨|"&amp;O791</x:f>
        <x:v>날씨|비</x:v>
      </x:c>
      <x:c r="AK791" s="5" t="str">
        <x:f>"특수태그|"&amp;R791</x:f>
        <x:v>특수태그|전설</x:v>
      </x:c>
      <x:c r="AL791" s="5" t="str">
        <x:f>"원본서식지|"&amp;S791</x:f>
        <x:v>원본서식지|담수</x:v>
      </x:c>
      <x:c r="AM791" s="5" t="str">
        <x:f>"타입|"&amp;F791</x:f>
        <x:v>타입|풀</x:v>
      </x:c>
      <x:c r="AN791" s="5" t="str">
        <x:f>"타입|"&amp;G791</x:f>
        <x:v>타입|페어리</x:v>
      </x:c>
    </x:row>
    <x:row r="792" ht="24" customHeight="1">
      <x:c r="A792" s="5" t="n">
        <x:v>788</x:v>
      </x:c>
      <x:c r="B792" s="5" t="inlineStr">
        <x:is>
          <x:t xml:space="preserve">카푸느지느</x:t>
        </x:is>
      </x:c>
      <x:c r="C792" s="5" t="inlineStr">
        <x:is>
          <x:t xml:space="preserve">tapufini</x:t>
        </x:is>
      </x:c>
      <x:c r="D792" s="5" t="inlineStr">
        <x:is>
          <x:t xml:space="preserve">Tapu Fini</x:t>
        </x:is>
      </x:c>
      <x:c r="E792" s="5" t="n">
        <x:v>7</x:v>
      </x:c>
      <x:c r="F792" s="5" t="inlineStr">
        <x:is>
          <x:t xml:space="preserve">물</x:t>
        </x:is>
      </x:c>
      <x:c r="G792" s="5" t="inlineStr">
        <x:is>
          <x:t xml:space="preserve">페어리</x:t>
        </x:is>
      </x:c>
      <x:c r="H792" s="6" t="n">
        <x:v>21.2</x:v>
      </x:c>
      <x:c r="I792" s="5" t="n"/>
      <x:c r="J792" s="5" t="inlineStr">
        <x:is>
          <x:t xml:space="preserve">무진화</x:t>
        </x:is>
      </x:c>
      <x:c r="K792" s="7" t="inlineStr">
        <x:is>
          <x:t xml:space="preserve">해양</x:t>
        </x:is>
      </x:c>
      <x:c r="L792" s="7" t="inlineStr">
        <x:is>
          <x:t xml:space="preserve">해안·해양</x:t>
        </x:is>
      </x:c>
      <x:c r="M792" s="7" t="inlineStr">
        <x:is>
          <x:t xml:space="preserve">온대</x:t>
        </x:is>
      </x:c>
      <x:c r="N792" s="7" t="inlineStr">
        <x:is>
          <x:t xml:space="preserve">수중</x:t>
        </x:is>
      </x:c>
      <x:c r="O792" s="7" t="inlineStr">
        <x:is>
          <x:t xml:space="preserve">비</x:t>
        </x:is>
      </x:c>
      <x:c r="P792" s="7" t="inlineStr">
        <x:is>
          <x:t xml:space="preserve">무관</x:t>
        </x:is>
      </x:c>
      <x:c r="Q792" s="7" t="inlineStr">
        <x:is>
          <x:t xml:space="preserve">전설</x:t>
        </x:is>
      </x:c>
      <x:c r="R792" s="7" t="inlineStr">
        <x:is>
          <x:t xml:space="preserve">전설</x:t>
        </x:is>
      </x:c>
      <x:c r="S792" s="7" t="inlineStr">
        <x:is>
          <x:t xml:space="preserve">해양</x:t>
        </x:is>
      </x:c>
      <x:c r="T792" s="7" t="inlineStr">
        <x:is>
          <x:t xml:space="preserve"/>
        </x:is>
      </x:c>
      <x:c r="U792" s="8" t="str">
        <x:f>INDEX('서식지_점수'!$E$4:$P$4,1,MATCH(MAX('서식지_점수'!E792:P792),'서식지_점수'!E792:P792,0))</x:f>
        <x:v>해양</x:v>
      </x:c>
      <x:c r="V792" s="8" t="str">
        <x:f>IF(T792&lt;&gt;"",T792,U792)</x:f>
        <x:v>해양</x:v>
      </x:c>
      <x:c r="W792" s="8" t="str">
        <x:f>IFERROR(INDEX('서식지_점수'!$E$4:$P$4,1,MATCH(MAXIFS('서식지_점수'!E792:P792,'서식지_점수'!E792:P792,"&lt;"&amp;MAX('서식지_점수'!E792:P792)),'서식지_점수'!E792:P792,0)),"")</x:f>
        <x:v>습지</x:v>
      </x:c>
      <x:c r="X792" s="8" t="str">
        <x:f>IF(T792&lt;&gt;"","수동확정",IF(MAX('서식지_점수'!E792:P792)-LARGE('서식지_점수'!E792:P792,2)&gt;=15,"높음",IF(MAX('서식지_점수'!E792:P792)-LARGE('서식지_점수'!E792:P792,2)&gt;=8,"보통","검토필요")))</x:f>
        <x:v>높음</x:v>
      </x:c>
      <x:c r="Y792" s="9" t="n">
        <x:f>IF(Q792="전설",8,IF(Q792="희귀",7,IF(J792="기본",1,IF(J792="중간",3,IF(J792="최종",IF(I792="",5,IF(I792&lt;=20,3,IF(I792&lt;=35,4,IF(I792&lt;=50,6,7)))),IF(Q792="드묾",4,2))))))</x:f>
        <x:v>8</x:v>
      </x:c>
      <x:c r="Z792" s="5" t="inlineStr">
        <x:is>
          <x:t xml:space="preserve">#cobblemon:is_river; #minecraft:is_beach</x:t>
        </x:is>
      </x:c>
      <x:c r="AA792" s="5" t="inlineStr">
        <x:is>
          <x:t xml:space="preserve">ultra-rare</x:t>
        </x:is>
      </x:c>
      <x:c r="AB792" s="5" t="inlineStr">
        <x:is>
          <x:t xml:space="preserve">아니오</x:t>
        </x:is>
      </x:c>
      <x:c r="AC792" s="8" t="str">
        <x:f>IF(T792&lt;&gt;"","수동확정",IF(X792="검토필요","검토필요",IF(S792="","원본없음","초기완료")))</x:f>
        <x:v>초기완료</x:v>
      </x:c>
      <x:c r="AD792" s="7" t="inlineStr">
        <x:is>
          <x:t xml:space="preserve"/>
        </x:is>
      </x:c>
      <x:c r="AE792" s="5" t="inlineStr">
        <x:is>
          <x:t xml:space="preserve">.tmp/cobblemon-1.7.3-source/common/src/main/resources/data/cobblemon/species/generation7/tapufini.json</x:t>
        </x:is>
      </x:c>
      <x:c r="AF792" s="5" t="str">
        <x:f>"생활권|"&amp;K792</x:f>
        <x:v>생활권|해양</x:v>
      </x:c>
      <x:c r="AG792" s="5" t="str">
        <x:f>"지형|"&amp;L792</x:f>
        <x:v>지형|해안·해양</x:v>
      </x:c>
      <x:c r="AH792" s="5" t="str">
        <x:f>"온도|"&amp;M792</x:f>
        <x:v>온도|온대</x:v>
      </x:c>
      <x:c r="AI792" s="5" t="str">
        <x:f>"습도|"&amp;N792</x:f>
        <x:v>습도|수중</x:v>
      </x:c>
      <x:c r="AJ792" s="5" t="str">
        <x:f>"날씨|"&amp;O792</x:f>
        <x:v>날씨|비</x:v>
      </x:c>
      <x:c r="AK792" s="5" t="str">
        <x:f>"특수태그|"&amp;R792</x:f>
        <x:v>특수태그|전설</x:v>
      </x:c>
      <x:c r="AL792" s="5" t="str">
        <x:f>"원본서식지|"&amp;S792</x:f>
        <x:v>원본서식지|해양</x:v>
      </x:c>
      <x:c r="AM792" s="5" t="str">
        <x:f>"타입|"&amp;F792</x:f>
        <x:v>타입|물</x:v>
      </x:c>
      <x:c r="AN792" s="5" t="str">
        <x:f>"타입|"&amp;G792</x:f>
        <x:v>타입|페어리</x:v>
      </x:c>
    </x:row>
    <x:row r="793" ht="24" customHeight="1">
      <x:c r="A793" s="5" t="n">
        <x:v>789</x:v>
      </x:c>
      <x:c r="B793" s="5" t="inlineStr">
        <x:is>
          <x:t xml:space="preserve">코스모그</x:t>
        </x:is>
      </x:c>
      <x:c r="C793" s="5" t="inlineStr">
        <x:is>
          <x:t xml:space="preserve">cosmog</x:t>
        </x:is>
      </x:c>
      <x:c r="D793" s="5" t="inlineStr">
        <x:is>
          <x:t xml:space="preserve">Cosmog</x:t>
        </x:is>
      </x:c>
      <x:c r="E793" s="5" t="n">
        <x:v>7</x:v>
      </x:c>
      <x:c r="F793" s="5" t="inlineStr">
        <x:is>
          <x:t xml:space="preserve">에스퍼</x:t>
        </x:is>
      </x:c>
      <x:c r="G793" s="5" t="inlineStr">
        <x:is>
          <x:t xml:space="preserve"/>
        </x:is>
      </x:c>
      <x:c r="H793" s="6" t="n">
        <x:v>0.1</x:v>
      </x:c>
      <x:c r="I793" s="5" t="n">
        <x:v>53</x:v>
      </x:c>
      <x:c r="J793" s="5" t="inlineStr">
        <x:is>
          <x:t xml:space="preserve">기본</x:t>
        </x:is>
      </x:c>
      <x:c r="K793" s="7" t="inlineStr">
        <x:is>
          <x:t xml:space="preserve">비행</x:t>
        </x:is>
      </x:c>
      <x:c r="L793" s="7" t="inlineStr">
        <x:is>
          <x:t xml:space="preserve">개활지</x:t>
        </x:is>
      </x:c>
      <x:c r="M793" s="7" t="inlineStr">
        <x:is>
          <x:t xml:space="preserve">온대</x:t>
        </x:is>
      </x:c>
      <x:c r="N793" s="7" t="inlineStr">
        <x:is>
          <x:t xml:space="preserve">보통</x:t>
        </x:is>
      </x:c>
      <x:c r="O793" s="7" t="inlineStr">
        <x:is>
          <x:t xml:space="preserve">무관</x:t>
        </x:is>
      </x:c>
      <x:c r="P793" s="7" t="inlineStr">
        <x:is>
          <x:t xml:space="preserve">무관</x:t>
        </x:is>
      </x:c>
      <x:c r="Q793" s="7" t="inlineStr">
        <x:is>
          <x:t xml:space="preserve">전설</x:t>
        </x:is>
      </x:c>
      <x:c r="R793" s="7" t="inlineStr">
        <x:is>
          <x:t xml:space="preserve">전설</x:t>
        </x:is>
      </x:c>
      <x:c r="S793" s="7" t="inlineStr">
        <x:is>
          <x:t xml:space="preserve"/>
        </x:is>
      </x:c>
      <x:c r="T793" s="7" t="inlineStr">
        <x:is>
          <x:t xml:space="preserve"/>
        </x:is>
      </x:c>
      <x:c r="U793" s="8" t="str">
        <x:f>INDEX('서식지_점수'!$E$4:$P$4,1,MATCH(MAX('서식지_점수'!E793:P793),'서식지_점수'!E793:P793,0))</x:f>
        <x:v>산악</x:v>
      </x:c>
      <x:c r="V793" s="8" t="str">
        <x:f>IF(T793&lt;&gt;"",T793,U793)</x:f>
        <x:v>산악</x:v>
      </x:c>
      <x:c r="W793" s="8" t="str">
        <x:f>IFERROR(INDEX('서식지_점수'!$E$4:$P$4,1,MATCH(MAXIFS('서식지_점수'!E793:P793,'서식지_점수'!E793:P793,"&lt;"&amp;MAX('서식지_점수'!E793:P793)),'서식지_점수'!E793:P793,0)),"")</x:f>
        <x:v>평원</x:v>
      </x:c>
      <x:c r="X793" s="8" t="str">
        <x:f>IF(T793&lt;&gt;"","수동확정",IF(MAX('서식지_점수'!E793:P793)-LARGE('서식지_점수'!E793:P793,2)&gt;=15,"높음",IF(MAX('서식지_점수'!E793:P793)-LARGE('서식지_점수'!E793:P793,2)&gt;=8,"보통","검토필요")))</x:f>
        <x:v>검토필요</x:v>
      </x:c>
      <x:c r="Y793" s="9" t="n">
        <x:f>IF(Q793="전설",8,IF(Q793="희귀",7,IF(J793="기본",1,IF(J793="중간",3,IF(J793="최종",IF(I793="",5,IF(I793&lt;=20,3,IF(I793&lt;=35,4,IF(I793&lt;=50,6,7)))),IF(Q793="드묾",4,2))))))</x:f>
        <x:v>8</x:v>
      </x:c>
      <x:c r="Z793" s="5" t="inlineStr">
        <x:is>
          <x:t xml:space="preserve">#minecraft:is_end</x:t>
        </x:is>
      </x:c>
      <x:c r="AA793" s="5" t="inlineStr">
        <x:is>
          <x:t xml:space="preserve">ultra-rare</x:t>
        </x:is>
      </x:c>
      <x:c r="AB793" s="5" t="inlineStr">
        <x:is>
          <x:t xml:space="preserve">아니오</x:t>
        </x:is>
      </x:c>
      <x:c r="AC793" s="8" t="str">
        <x:f>IF(T793&lt;&gt;"","수동확정",IF(X793="검토필요","검토필요",IF(S793="","원본없음","초기완료")))</x:f>
        <x:v>검토필요</x:v>
      </x:c>
      <x:c r="AD793" s="7" t="inlineStr">
        <x:is>
          <x:t xml:space="preserve"/>
        </x:is>
      </x:c>
      <x:c r="AE793" s="5" t="inlineStr">
        <x:is>
          <x:t xml:space="preserve">.tmp/cobblemon-1.7.3-source/common/src/main/resources/data/cobblemon/species/generation7/cosmog.json</x:t>
        </x:is>
      </x:c>
      <x:c r="AF793" s="5" t="str">
        <x:f>"생활권|"&amp;K793</x:f>
        <x:v>생활권|비행</x:v>
      </x:c>
      <x:c r="AG793" s="5" t="str">
        <x:f>"지형|"&amp;L793</x:f>
        <x:v>지형|개활지</x:v>
      </x:c>
      <x:c r="AH793" s="5" t="str">
        <x:f>"온도|"&amp;M793</x:f>
        <x:v>온도|온대</x:v>
      </x:c>
      <x:c r="AI793" s="5" t="str">
        <x:f>"습도|"&amp;N793</x:f>
        <x:v>습도|보통</x:v>
      </x:c>
      <x:c r="AJ793" s="5" t="str">
        <x:f>"날씨|"&amp;O793</x:f>
        <x:v>날씨|무관</x:v>
      </x:c>
      <x:c r="AK793" s="5" t="str">
        <x:f>"특수태그|"&amp;R793</x:f>
        <x:v>특수태그|전설</x:v>
      </x:c>
      <x:c r="AL793" s="5" t="str">
        <x:f>"원본서식지|"&amp;S793</x:f>
        <x:v>원본서식지|</x:v>
      </x:c>
      <x:c r="AM793" s="5" t="str">
        <x:f>"타입|"&amp;F793</x:f>
        <x:v>타입|에스퍼</x:v>
      </x:c>
      <x:c r="AN793" s="5" t="str">
        <x:f>"타입|"&amp;G793</x:f>
        <x:v>타입|</x:v>
      </x:c>
    </x:row>
    <x:row r="794" ht="24" customHeight="1">
      <x:c r="A794" s="5" t="n">
        <x:v>790</x:v>
      </x:c>
      <x:c r="B794" s="5" t="inlineStr">
        <x:is>
          <x:t xml:space="preserve">코스모움</x:t>
        </x:is>
      </x:c>
      <x:c r="C794" s="5" t="inlineStr">
        <x:is>
          <x:t xml:space="preserve">cosmoem</x:t>
        </x:is>
      </x:c>
      <x:c r="D794" s="5" t="inlineStr">
        <x:is>
          <x:t xml:space="preserve">Cosmoem</x:t>
        </x:is>
      </x:c>
      <x:c r="E794" s="5" t="n">
        <x:v>7</x:v>
      </x:c>
      <x:c r="F794" s="5" t="inlineStr">
        <x:is>
          <x:t xml:space="preserve">에스퍼</x:t>
        </x:is>
      </x:c>
      <x:c r="G794" s="5" t="inlineStr">
        <x:is>
          <x:t xml:space="preserve"/>
        </x:is>
      </x:c>
      <x:c r="H794" s="6" t="n">
        <x:v>999.9</x:v>
      </x:c>
      <x:c r="I794" s="5" t="n">
        <x:v>53</x:v>
      </x:c>
      <x:c r="J794" s="5" t="inlineStr">
        <x:is>
          <x:t xml:space="preserve">중간</x:t>
        </x:is>
      </x:c>
      <x:c r="K794" s="7" t="inlineStr">
        <x:is>
          <x:t xml:space="preserve">비행</x:t>
        </x:is>
      </x:c>
      <x:c r="L794" s="7" t="inlineStr">
        <x:is>
          <x:t xml:space="preserve">개활지</x:t>
        </x:is>
      </x:c>
      <x:c r="M794" s="7" t="inlineStr">
        <x:is>
          <x:t xml:space="preserve">온대</x:t>
        </x:is>
      </x:c>
      <x:c r="N794" s="7" t="inlineStr">
        <x:is>
          <x:t xml:space="preserve">보통</x:t>
        </x:is>
      </x:c>
      <x:c r="O794" s="7" t="inlineStr">
        <x:is>
          <x:t xml:space="preserve">무관</x:t>
        </x:is>
      </x:c>
      <x:c r="P794" s="7" t="inlineStr">
        <x:is>
          <x:t xml:space="preserve">무관</x:t>
        </x:is>
      </x:c>
      <x:c r="Q794" s="7" t="inlineStr">
        <x:is>
          <x:t xml:space="preserve">전설</x:t>
        </x:is>
      </x:c>
      <x:c r="R794" s="7" t="inlineStr">
        <x:is>
          <x:t xml:space="preserve">전설</x:t>
        </x:is>
      </x:c>
      <x:c r="S794" s="7" t="inlineStr">
        <x:is>
          <x:t xml:space="preserve"/>
        </x:is>
      </x:c>
      <x:c r="T794" s="7" t="inlineStr">
        <x:is>
          <x:t xml:space="preserve"/>
        </x:is>
      </x:c>
      <x:c r="U794" s="8" t="str">
        <x:f>INDEX('서식지_점수'!$E$4:$P$4,1,MATCH(MAX('서식지_점수'!E794:P794),'서식지_점수'!E794:P794,0))</x:f>
        <x:v>산악</x:v>
      </x:c>
      <x:c r="V794" s="8" t="str">
        <x:f>IF(T794&lt;&gt;"",T794,U794)</x:f>
        <x:v>산악</x:v>
      </x:c>
      <x:c r="W794" s="8" t="str">
        <x:f>IFERROR(INDEX('서식지_점수'!$E$4:$P$4,1,MATCH(MAXIFS('서식지_점수'!E794:P794,'서식지_점수'!E794:P794,"&lt;"&amp;MAX('서식지_점수'!E794:P794)),'서식지_점수'!E794:P794,0)),"")</x:f>
        <x:v>평원</x:v>
      </x:c>
      <x:c r="X794" s="8" t="str">
        <x:f>IF(T794&lt;&gt;"","수동확정",IF(MAX('서식지_점수'!E794:P794)-LARGE('서식지_점수'!E794:P794,2)&gt;=15,"높음",IF(MAX('서식지_점수'!E794:P794)-LARGE('서식지_점수'!E794:P794,2)&gt;=8,"보통","검토필요")))</x:f>
        <x:v>검토필요</x:v>
      </x:c>
      <x:c r="Y794" s="9" t="n">
        <x:f>IF(Q794="전설",8,IF(Q794="희귀",7,IF(J794="기본",1,IF(J794="중간",3,IF(J794="최종",IF(I794="",5,IF(I794&lt;=20,3,IF(I794&lt;=35,4,IF(I794&lt;=50,6,7)))),IF(Q794="드묾",4,2))))))</x:f>
        <x:v>8</x:v>
      </x:c>
      <x:c r="Z794" s="5" t="inlineStr">
        <x:is>
          <x:t xml:space="preserve">#minecraft:is_end</x:t>
        </x:is>
      </x:c>
      <x:c r="AA794" s="5" t="inlineStr">
        <x:is>
          <x:t xml:space="preserve">ultra-rare</x:t>
        </x:is>
      </x:c>
      <x:c r="AB794" s="5" t="inlineStr">
        <x:is>
          <x:t xml:space="preserve">아니오</x:t>
        </x:is>
      </x:c>
      <x:c r="AC794" s="8" t="str">
        <x:f>IF(T794&lt;&gt;"","수동확정",IF(X794="검토필요","검토필요",IF(S794="","원본없음","초기완료")))</x:f>
        <x:v>검토필요</x:v>
      </x:c>
      <x:c r="AD794" s="7" t="inlineStr">
        <x:is>
          <x:t xml:space="preserve"/>
        </x:is>
      </x:c>
      <x:c r="AE794" s="5" t="inlineStr">
        <x:is>
          <x:t xml:space="preserve">.tmp/cobblemon-1.7.3-source/common/src/main/resources/data/cobblemon/species/generation7/cosmoem.json</x:t>
        </x:is>
      </x:c>
      <x:c r="AF794" s="5" t="str">
        <x:f>"생활권|"&amp;K794</x:f>
        <x:v>생활권|비행</x:v>
      </x:c>
      <x:c r="AG794" s="5" t="str">
        <x:f>"지형|"&amp;L794</x:f>
        <x:v>지형|개활지</x:v>
      </x:c>
      <x:c r="AH794" s="5" t="str">
        <x:f>"온도|"&amp;M794</x:f>
        <x:v>온도|온대</x:v>
      </x:c>
      <x:c r="AI794" s="5" t="str">
        <x:f>"습도|"&amp;N794</x:f>
        <x:v>습도|보통</x:v>
      </x:c>
      <x:c r="AJ794" s="5" t="str">
        <x:f>"날씨|"&amp;O794</x:f>
        <x:v>날씨|무관</x:v>
      </x:c>
      <x:c r="AK794" s="5" t="str">
        <x:f>"특수태그|"&amp;R794</x:f>
        <x:v>특수태그|전설</x:v>
      </x:c>
      <x:c r="AL794" s="5" t="str">
        <x:f>"원본서식지|"&amp;S794</x:f>
        <x:v>원본서식지|</x:v>
      </x:c>
      <x:c r="AM794" s="5" t="str">
        <x:f>"타입|"&amp;F794</x:f>
        <x:v>타입|에스퍼</x:v>
      </x:c>
      <x:c r="AN794" s="5" t="str">
        <x:f>"타입|"&amp;G794</x:f>
        <x:v>타입|</x:v>
      </x:c>
    </x:row>
    <x:row r="795" ht="24" customHeight="1">
      <x:c r="A795" s="5" t="n">
        <x:v>791</x:v>
      </x:c>
      <x:c r="B795" s="5" t="inlineStr">
        <x:is>
          <x:t xml:space="preserve">솔가레오</x:t>
        </x:is>
      </x:c>
      <x:c r="C795" s="5" t="inlineStr">
        <x:is>
          <x:t xml:space="preserve">solgaleo</x:t>
        </x:is>
      </x:c>
      <x:c r="D795" s="5" t="inlineStr">
        <x:is>
          <x:t xml:space="preserve">Solgaleo</x:t>
        </x:is>
      </x:c>
      <x:c r="E795" s="5" t="n">
        <x:v>7</x:v>
      </x:c>
      <x:c r="F795" s="5" t="inlineStr">
        <x:is>
          <x:t xml:space="preserve">에스퍼</x:t>
        </x:is>
      </x:c>
      <x:c r="G795" s="5" t="inlineStr">
        <x:is>
          <x:t xml:space="preserve">강철</x:t>
        </x:is>
      </x:c>
      <x:c r="H795" s="6" t="n">
        <x:v>230</x:v>
      </x:c>
      <x:c r="I795" s="5" t="n">
        <x:v>53</x:v>
      </x:c>
      <x:c r="J795" s="5" t="inlineStr">
        <x:is>
          <x:t xml:space="preserve">최종</x:t>
        </x:is>
      </x:c>
      <x:c r="K795" s="7" t="inlineStr">
        <x:is>
          <x:t xml:space="preserve">비행</x:t>
        </x:is>
      </x:c>
      <x:c r="L795" s="7" t="inlineStr">
        <x:is>
          <x:t xml:space="preserve">개활지</x:t>
        </x:is>
      </x:c>
      <x:c r="M795" s="7" t="inlineStr">
        <x:is>
          <x:t xml:space="preserve">온대</x:t>
        </x:is>
      </x:c>
      <x:c r="N795" s="7" t="inlineStr">
        <x:is>
          <x:t xml:space="preserve">보통</x:t>
        </x:is>
      </x:c>
      <x:c r="O795" s="7" t="inlineStr">
        <x:is>
          <x:t xml:space="preserve">무관</x:t>
        </x:is>
      </x:c>
      <x:c r="P795" s="7" t="inlineStr">
        <x:is>
          <x:t xml:space="preserve">낮</x:t>
        </x:is>
      </x:c>
      <x:c r="Q795" s="7" t="inlineStr">
        <x:is>
          <x:t xml:space="preserve">전설</x:t>
        </x:is>
      </x:c>
      <x:c r="R795" s="7" t="inlineStr">
        <x:is>
          <x:t xml:space="preserve">전설</x:t>
        </x:is>
      </x:c>
      <x:c r="S795" s="7" t="inlineStr">
        <x:is>
          <x:t xml:space="preserve">평원</x:t>
        </x:is>
      </x:c>
      <x:c r="T795" s="7" t="inlineStr">
        <x:is>
          <x:t xml:space="preserve"/>
        </x:is>
      </x:c>
      <x:c r="U795" s="8" t="str">
        <x:f>INDEX('서식지_점수'!$E$4:$P$4,1,MATCH(MAX('서식지_점수'!E795:P795),'서식지_점수'!E795:P795,0))</x:f>
        <x:v>산악</x:v>
      </x:c>
      <x:c r="V795" s="8" t="str">
        <x:f>IF(T795&lt;&gt;"",T795,U795)</x:f>
        <x:v>산악</x:v>
      </x:c>
      <x:c r="W795" s="8" t="str">
        <x:f>IFERROR(INDEX('서식지_점수'!$E$4:$P$4,1,MATCH(MAXIFS('서식지_점수'!E795:P795,'서식지_점수'!E795:P795,"&lt;"&amp;MAX('서식지_점수'!E795:P795)),'서식지_점수'!E795:P795,0)),"")</x:f>
        <x:v>평원</x:v>
      </x:c>
      <x:c r="X795" s="8" t="str">
        <x:f>IF(T795&lt;&gt;"","수동확정",IF(MAX('서식지_점수'!E795:P795)-LARGE('서식지_점수'!E795:P795,2)&gt;=15,"높음",IF(MAX('서식지_점수'!E795:P795)-LARGE('서식지_점수'!E795:P795,2)&gt;=8,"보통","검토필요")))</x:f>
        <x:v>검토필요</x:v>
      </x:c>
      <x:c r="Y795" s="9" t="n">
        <x:f>IF(Q795="전설",8,IF(Q795="희귀",7,IF(J795="기본",1,IF(J795="중간",3,IF(J795="최종",IF(I795="",5,IF(I795&lt;=20,3,IF(I795&lt;=35,4,IF(I795&lt;=50,6,7)))),IF(Q795="드묾",4,2))))))</x:f>
        <x:v>8</x:v>
      </x:c>
      <x:c r="Z795" s="5" t="inlineStr">
        <x:is>
          <x:t xml:space="preserve">#cobblemon:is_savanna; #minecraft:is_end</x:t>
        </x:is>
      </x:c>
      <x:c r="AA795" s="5" t="inlineStr">
        <x:is>
          <x:t xml:space="preserve">ultra-rare</x:t>
        </x:is>
      </x:c>
      <x:c r="AB795" s="5" t="inlineStr">
        <x:is>
          <x:t xml:space="preserve">아니오</x:t>
        </x:is>
      </x:c>
      <x:c r="AC795" s="8" t="str">
        <x:f>IF(T795&lt;&gt;"","수동확정",IF(X795="검토필요","검토필요",IF(S795="","원본없음","초기완료")))</x:f>
        <x:v>검토필요</x:v>
      </x:c>
      <x:c r="AD795" s="7" t="inlineStr">
        <x:is>
          <x:t xml:space="preserve"/>
        </x:is>
      </x:c>
      <x:c r="AE795" s="5" t="inlineStr">
        <x:is>
          <x:t xml:space="preserve">.tmp/cobblemon-1.7.3-source/common/src/main/resources/data/cobblemon/species/generation7/solgaleo.json</x:t>
        </x:is>
      </x:c>
      <x:c r="AF795" s="5" t="str">
        <x:f>"생활권|"&amp;K795</x:f>
        <x:v>생활권|비행</x:v>
      </x:c>
      <x:c r="AG795" s="5" t="str">
        <x:f>"지형|"&amp;L795</x:f>
        <x:v>지형|개활지</x:v>
      </x:c>
      <x:c r="AH795" s="5" t="str">
        <x:f>"온도|"&amp;M795</x:f>
        <x:v>온도|온대</x:v>
      </x:c>
      <x:c r="AI795" s="5" t="str">
        <x:f>"습도|"&amp;N795</x:f>
        <x:v>습도|보통</x:v>
      </x:c>
      <x:c r="AJ795" s="5" t="str">
        <x:f>"날씨|"&amp;O795</x:f>
        <x:v>날씨|무관</x:v>
      </x:c>
      <x:c r="AK795" s="5" t="str">
        <x:f>"특수태그|"&amp;R795</x:f>
        <x:v>특수태그|전설</x:v>
      </x:c>
      <x:c r="AL795" s="5" t="str">
        <x:f>"원본서식지|"&amp;S795</x:f>
        <x:v>원본서식지|평원</x:v>
      </x:c>
      <x:c r="AM795" s="5" t="str">
        <x:f>"타입|"&amp;F795</x:f>
        <x:v>타입|에스퍼</x:v>
      </x:c>
      <x:c r="AN795" s="5" t="str">
        <x:f>"타입|"&amp;G795</x:f>
        <x:v>타입|강철</x:v>
      </x:c>
    </x:row>
    <x:row r="796" ht="24" customHeight="1">
      <x:c r="A796" s="5" t="n">
        <x:v>792</x:v>
      </x:c>
      <x:c r="B796" s="5" t="inlineStr">
        <x:is>
          <x:t xml:space="preserve">루나아라</x:t>
        </x:is>
      </x:c>
      <x:c r="C796" s="5" t="inlineStr">
        <x:is>
          <x:t xml:space="preserve">lunala</x:t>
        </x:is>
      </x:c>
      <x:c r="D796" s="5" t="inlineStr">
        <x:is>
          <x:t xml:space="preserve">Lunala</x:t>
        </x:is>
      </x:c>
      <x:c r="E796" s="5" t="n">
        <x:v>7</x:v>
      </x:c>
      <x:c r="F796" s="5" t="inlineStr">
        <x:is>
          <x:t xml:space="preserve">에스퍼</x:t>
        </x:is>
      </x:c>
      <x:c r="G796" s="5" t="inlineStr">
        <x:is>
          <x:t xml:space="preserve">고스트</x:t>
        </x:is>
      </x:c>
      <x:c r="H796" s="6" t="n">
        <x:v>120</x:v>
      </x:c>
      <x:c r="I796" s="5" t="n">
        <x:v>53</x:v>
      </x:c>
      <x:c r="J796" s="5" t="inlineStr">
        <x:is>
          <x:t xml:space="preserve">최종</x:t>
        </x:is>
      </x:c>
      <x:c r="K796" s="7" t="inlineStr">
        <x:is>
          <x:t xml:space="preserve">영체</x:t>
        </x:is>
      </x:c>
      <x:c r="L796" s="7" t="inlineStr">
        <x:is>
          <x:t xml:space="preserve">특수</x:t>
        </x:is>
      </x:c>
      <x:c r="M796" s="7" t="inlineStr">
        <x:is>
          <x:t xml:space="preserve">온대</x:t>
        </x:is>
      </x:c>
      <x:c r="N796" s="7" t="inlineStr">
        <x:is>
          <x:t xml:space="preserve">보통</x:t>
        </x:is>
      </x:c>
      <x:c r="O796" s="7" t="inlineStr">
        <x:is>
          <x:t xml:space="preserve">안개</x:t>
        </x:is>
      </x:c>
      <x:c r="P796" s="7" t="inlineStr">
        <x:is>
          <x:t xml:space="preserve">밤</x:t>
        </x:is>
      </x:c>
      <x:c r="Q796" s="7" t="inlineStr">
        <x:is>
          <x:t xml:space="preserve">전설</x:t>
        </x:is>
      </x:c>
      <x:c r="R796" s="7" t="inlineStr">
        <x:is>
          <x:t xml:space="preserve">전설</x:t>
        </x:is>
      </x:c>
      <x:c r="S796" s="7" t="inlineStr">
        <x:is>
          <x:t xml:space="preserve">특수</x:t>
        </x:is>
      </x:c>
      <x:c r="T796" s="7" t="inlineStr">
        <x:is>
          <x:t xml:space="preserve"/>
        </x:is>
      </x:c>
      <x:c r="U796" s="8" t="str">
        <x:f>INDEX('서식지_점수'!$E$4:$P$4,1,MATCH(MAX('서식지_점수'!E796:P796),'서식지_점수'!E796:P796,0))</x:f>
        <x:v>특수</x:v>
      </x:c>
      <x:c r="V796" s="8" t="str">
        <x:f>IF(T796&lt;&gt;"",T796,U796)</x:f>
        <x:v>특수</x:v>
      </x:c>
      <x:c r="W796" s="8" t="str">
        <x:f>IFERROR(INDEX('서식지_점수'!$E$4:$P$4,1,MATCH(MAXIFS('서식지_점수'!E796:P796,'서식지_점수'!E796:P796,"&lt;"&amp;MAX('서식지_점수'!E796:P796)),'서식지_점수'!E796:P796,0)),"")</x:f>
        <x:v>동굴</x:v>
      </x:c>
      <x:c r="X796" s="8" t="str">
        <x:f>IF(T796&lt;&gt;"","수동확정",IF(MAX('서식지_점수'!E796:P796)-LARGE('서식지_점수'!E796:P796,2)&gt;=15,"높음",IF(MAX('서식지_점수'!E796:P796)-LARGE('서식지_점수'!E796:P796,2)&gt;=8,"보통","검토필요")))</x:f>
        <x:v>높음</x:v>
      </x:c>
      <x:c r="Y796" s="9" t="n">
        <x:f>IF(Q796="전설",8,IF(Q796="희귀",7,IF(J796="기본",1,IF(J796="중간",3,IF(J796="최종",IF(I796="",5,IF(I796&lt;=20,3,IF(I796&lt;=35,4,IF(I796&lt;=50,6,7)))),IF(Q796="드묾",4,2))))))</x:f>
        <x:v>8</x:v>
      </x:c>
      <x:c r="Z796" s="5" t="inlineStr">
        <x:is>
          <x:t xml:space="preserve">#cobblemon:is_spooky; #minecraft:is_end</x:t>
        </x:is>
      </x:c>
      <x:c r="AA796" s="5" t="inlineStr">
        <x:is>
          <x:t xml:space="preserve">ultra-rare</x:t>
        </x:is>
      </x:c>
      <x:c r="AB796" s="5" t="inlineStr">
        <x:is>
          <x:t xml:space="preserve">아니오</x:t>
        </x:is>
      </x:c>
      <x:c r="AC796" s="8" t="str">
        <x:f>IF(T796&lt;&gt;"","수동확정",IF(X796="검토필요","검토필요",IF(S796="","원본없음","초기완료")))</x:f>
        <x:v>초기완료</x:v>
      </x:c>
      <x:c r="AD796" s="7" t="inlineStr">
        <x:is>
          <x:t xml:space="preserve"/>
        </x:is>
      </x:c>
      <x:c r="AE796" s="5" t="inlineStr">
        <x:is>
          <x:t xml:space="preserve">.tmp/cobblemon-1.7.3-source/common/src/main/resources/data/cobblemon/species/generation7/lunala.json</x:t>
        </x:is>
      </x:c>
      <x:c r="AF796" s="5" t="str">
        <x:f>"생활권|"&amp;K796</x:f>
        <x:v>생활권|영체</x:v>
      </x:c>
      <x:c r="AG796" s="5" t="str">
        <x:f>"지형|"&amp;L796</x:f>
        <x:v>지형|특수</x:v>
      </x:c>
      <x:c r="AH796" s="5" t="str">
        <x:f>"온도|"&amp;M796</x:f>
        <x:v>온도|온대</x:v>
      </x:c>
      <x:c r="AI796" s="5" t="str">
        <x:f>"습도|"&amp;N796</x:f>
        <x:v>습도|보통</x:v>
      </x:c>
      <x:c r="AJ796" s="5" t="str">
        <x:f>"날씨|"&amp;O796</x:f>
        <x:v>날씨|안개</x:v>
      </x:c>
      <x:c r="AK796" s="5" t="str">
        <x:f>"특수태그|"&amp;R796</x:f>
        <x:v>특수태그|전설</x:v>
      </x:c>
      <x:c r="AL796" s="5" t="str">
        <x:f>"원본서식지|"&amp;S796</x:f>
        <x:v>원본서식지|특수</x:v>
      </x:c>
      <x:c r="AM796" s="5" t="str">
        <x:f>"타입|"&amp;F796</x:f>
        <x:v>타입|에스퍼</x:v>
      </x:c>
      <x:c r="AN796" s="5" t="str">
        <x:f>"타입|"&amp;G796</x:f>
        <x:v>타입|고스트</x:v>
      </x:c>
    </x:row>
    <x:row r="797" ht="24" customHeight="1">
      <x:c r="A797" s="5" t="n">
        <x:v>793</x:v>
      </x:c>
      <x:c r="B797" s="5" t="inlineStr">
        <x:is>
          <x:t xml:space="preserve">텅비드</x:t>
        </x:is>
      </x:c>
      <x:c r="C797" s="5" t="inlineStr">
        <x:is>
          <x:t xml:space="preserve">nihilego</x:t>
        </x:is>
      </x:c>
      <x:c r="D797" s="5" t="inlineStr">
        <x:is>
          <x:t xml:space="preserve">Nihilego</x:t>
        </x:is>
      </x:c>
      <x:c r="E797" s="5" t="n">
        <x:v>7</x:v>
      </x:c>
      <x:c r="F797" s="5" t="inlineStr">
        <x:is>
          <x:t xml:space="preserve">바위</x:t>
        </x:is>
      </x:c>
      <x:c r="G797" s="5" t="inlineStr">
        <x:is>
          <x:t xml:space="preserve">독</x:t>
        </x:is>
      </x:c>
      <x:c r="H797" s="6" t="n">
        <x:v>55.5</x:v>
      </x:c>
      <x:c r="I797" s="5" t="n"/>
      <x:c r="J797" s="5" t="inlineStr">
        <x:is>
          <x:t xml:space="preserve">무진화</x:t>
        </x:is>
      </x:c>
      <x:c r="K797" s="7" t="inlineStr">
        <x:is>
          <x:t xml:space="preserve">해양</x:t>
        </x:is>
      </x:c>
      <x:c r="L797" s="7" t="inlineStr">
        <x:is>
          <x:t xml:space="preserve">해안·해양</x:t>
        </x:is>
      </x:c>
      <x:c r="M797" s="7" t="inlineStr">
        <x:is>
          <x:t xml:space="preserve">온대</x:t>
        </x:is>
      </x:c>
      <x:c r="N797" s="7" t="inlineStr">
        <x:is>
          <x:t xml:space="preserve">수중</x:t>
        </x:is>
      </x:c>
      <x:c r="O797" s="7" t="inlineStr">
        <x:is>
          <x:t xml:space="preserve">비</x:t>
        </x:is>
      </x:c>
      <x:c r="P797" s="7" t="inlineStr">
        <x:is>
          <x:t xml:space="preserve">무관</x:t>
        </x:is>
      </x:c>
      <x:c r="Q797" s="7" t="inlineStr">
        <x:is>
          <x:t xml:space="preserve">전설</x:t>
        </x:is>
      </x:c>
      <x:c r="R797" s="7" t="inlineStr">
        <x:is>
          <x:t xml:space="preserve">전설</x:t>
        </x:is>
      </x:c>
      <x:c r="S797" s="7" t="inlineStr">
        <x:is>
          <x:t xml:space="preserve">해양</x:t>
        </x:is>
      </x:c>
      <x:c r="T797" s="7" t="inlineStr">
        <x:is>
          <x:t xml:space="preserve"/>
        </x:is>
      </x:c>
      <x:c r="U797" s="8" t="str">
        <x:f>INDEX('서식지_점수'!$E$4:$P$4,1,MATCH(MAX('서식지_점수'!E797:P797),'서식지_점수'!E797:P797,0))</x:f>
        <x:v>해양</x:v>
      </x:c>
      <x:c r="V797" s="8" t="str">
        <x:f>IF(T797&lt;&gt;"",T797,U797)</x:f>
        <x:v>해양</x:v>
      </x:c>
      <x:c r="W797" s="8" t="str">
        <x:f>IFERROR(INDEX('서식지_점수'!$E$4:$P$4,1,MATCH(MAXIFS('서식지_점수'!E797:P797,'서식지_점수'!E797:P797,"&lt;"&amp;MAX('서식지_점수'!E797:P797)),'서식지_점수'!E797:P797,0)),"")</x:f>
        <x:v>습지</x:v>
      </x:c>
      <x:c r="X797" s="8" t="str">
        <x:f>IF(T797&lt;&gt;"","수동확정",IF(MAX('서식지_점수'!E797:P797)-LARGE('서식지_점수'!E797:P797,2)&gt;=15,"높음",IF(MAX('서식지_점수'!E797:P797)-LARGE('서식지_점수'!E797:P797,2)&gt;=8,"보통","검토필요")))</x:f>
        <x:v>높음</x:v>
      </x:c>
      <x:c r="Y797" s="9" t="n">
        <x:f>IF(Q797="전설",8,IF(Q797="희귀",7,IF(J797="기본",1,IF(J797="중간",3,IF(J797="최종",IF(I797="",5,IF(I797&lt;=20,3,IF(I797&lt;=35,4,IF(I797&lt;=50,6,7)))),IF(Q797="드묾",4,2))))))</x:f>
        <x:v>8</x:v>
      </x:c>
      <x:c r="Z797" s="5" t="inlineStr">
        <x:is>
          <x:t xml:space="preserve">#cobblemon:is_ocean</x:t>
        </x:is>
      </x:c>
      <x:c r="AA797" s="5" t="inlineStr">
        <x:is>
          <x:t xml:space="preserve">ultra-rare</x:t>
        </x:is>
      </x:c>
      <x:c r="AB797" s="5" t="inlineStr">
        <x:is>
          <x:t xml:space="preserve">아니오</x:t>
        </x:is>
      </x:c>
      <x:c r="AC797" s="8" t="str">
        <x:f>IF(T797&lt;&gt;"","수동확정",IF(X797="검토필요","검토필요",IF(S797="","원본없음","초기완료")))</x:f>
        <x:v>초기완료</x:v>
      </x:c>
      <x:c r="AD797" s="7" t="inlineStr">
        <x:is>
          <x:t xml:space="preserve"/>
        </x:is>
      </x:c>
      <x:c r="AE797" s="5" t="inlineStr">
        <x:is>
          <x:t xml:space="preserve">.tmp/cobblemon-1.7.3-source/common/src/main/resources/data/cobblemon/species/generation7/nihilego.json</x:t>
        </x:is>
      </x:c>
      <x:c r="AF797" s="5" t="str">
        <x:f>"생활권|"&amp;K797</x:f>
        <x:v>생활권|해양</x:v>
      </x:c>
      <x:c r="AG797" s="5" t="str">
        <x:f>"지형|"&amp;L797</x:f>
        <x:v>지형|해안·해양</x:v>
      </x:c>
      <x:c r="AH797" s="5" t="str">
        <x:f>"온도|"&amp;M797</x:f>
        <x:v>온도|온대</x:v>
      </x:c>
      <x:c r="AI797" s="5" t="str">
        <x:f>"습도|"&amp;N797</x:f>
        <x:v>습도|수중</x:v>
      </x:c>
      <x:c r="AJ797" s="5" t="str">
        <x:f>"날씨|"&amp;O797</x:f>
        <x:v>날씨|비</x:v>
      </x:c>
      <x:c r="AK797" s="5" t="str">
        <x:f>"특수태그|"&amp;R797</x:f>
        <x:v>특수태그|전설</x:v>
      </x:c>
      <x:c r="AL797" s="5" t="str">
        <x:f>"원본서식지|"&amp;S797</x:f>
        <x:v>원본서식지|해양</x:v>
      </x:c>
      <x:c r="AM797" s="5" t="str">
        <x:f>"타입|"&amp;F797</x:f>
        <x:v>타입|바위</x:v>
      </x:c>
      <x:c r="AN797" s="5" t="str">
        <x:f>"타입|"&amp;G797</x:f>
        <x:v>타입|독</x:v>
      </x:c>
    </x:row>
    <x:row r="798" ht="24" customHeight="1">
      <x:c r="A798" s="5" t="n">
        <x:v>794</x:v>
      </x:c>
      <x:c r="B798" s="5" t="inlineStr">
        <x:is>
          <x:t xml:space="preserve">매시붕</x:t>
        </x:is>
      </x:c>
      <x:c r="C798" s="5" t="inlineStr">
        <x:is>
          <x:t xml:space="preserve">buzzwole</x:t>
        </x:is>
      </x:c>
      <x:c r="D798" s="5" t="inlineStr">
        <x:is>
          <x:t xml:space="preserve">Buzzwole</x:t>
        </x:is>
      </x:c>
      <x:c r="E798" s="5" t="n">
        <x:v>7</x:v>
      </x:c>
      <x:c r="F798" s="5" t="inlineStr">
        <x:is>
          <x:t xml:space="preserve">벌레</x:t>
        </x:is>
      </x:c>
      <x:c r="G798" s="5" t="inlineStr">
        <x:is>
          <x:t xml:space="preserve">격투</x:t>
        </x:is>
      </x:c>
      <x:c r="H798" s="6" t="n">
        <x:v>333.6</x:v>
      </x:c>
      <x:c r="I798" s="5" t="n"/>
      <x:c r="J798" s="5" t="inlineStr">
        <x:is>
          <x:t xml:space="preserve">무진화</x:t>
        </x:is>
      </x:c>
      <x:c r="K798" s="7" t="inlineStr">
        <x:is>
          <x:t xml:space="preserve">비행</x:t>
        </x:is>
      </x:c>
      <x:c r="L798" s="7" t="inlineStr">
        <x:is>
          <x:t xml:space="preserve">수목</x:t>
        </x:is>
      </x:c>
      <x:c r="M798" s="7" t="inlineStr">
        <x:is>
          <x:t xml:space="preserve">온대</x:t>
        </x:is>
      </x:c>
      <x:c r="N798" s="7" t="inlineStr">
        <x:is>
          <x:t xml:space="preserve">다습</x:t>
        </x:is>
      </x:c>
      <x:c r="O798" s="7" t="inlineStr">
        <x:is>
          <x:t xml:space="preserve">무관</x:t>
        </x:is>
      </x:c>
      <x:c r="P798" s="7" t="inlineStr">
        <x:is>
          <x:t xml:space="preserve">무관</x:t>
        </x:is>
      </x:c>
      <x:c r="Q798" s="7" t="inlineStr">
        <x:is>
          <x:t xml:space="preserve">전설</x:t>
        </x:is>
      </x:c>
      <x:c r="R798" s="7" t="inlineStr">
        <x:is>
          <x:t xml:space="preserve">전설</x:t>
        </x:is>
      </x:c>
      <x:c r="S798" s="7" t="inlineStr">
        <x:is>
          <x:t xml:space="preserve">숲</x:t>
        </x:is>
      </x:c>
      <x:c r="T798" s="7" t="inlineStr">
        <x:is>
          <x:t xml:space="preserve"/>
        </x:is>
      </x:c>
      <x:c r="U798" s="8" t="str">
        <x:f>INDEX('서식지_점수'!$E$4:$P$4,1,MATCH(MAX('서식지_점수'!E798:P798),'서식지_점수'!E798:P798,0))</x:f>
        <x:v>산악</x:v>
      </x:c>
      <x:c r="V798" s="8" t="str">
        <x:f>IF(T798&lt;&gt;"",T798,U798)</x:f>
        <x:v>산악</x:v>
      </x:c>
      <x:c r="W798" s="8" t="str">
        <x:f>IFERROR(INDEX('서식지_점수'!$E$4:$P$4,1,MATCH(MAXIFS('서식지_점수'!E798:P798,'서식지_점수'!E798:P798,"&lt;"&amp;MAX('서식지_점수'!E798:P798)),'서식지_점수'!E798:P798,0)),"")</x:f>
        <x:v>평원</x:v>
      </x:c>
      <x:c r="X798" s="8" t="str">
        <x:f>IF(T798&lt;&gt;"","수동확정",IF(MAX('서식지_점수'!E798:P798)-LARGE('서식지_점수'!E798:P798,2)&gt;=15,"높음",IF(MAX('서식지_점수'!E798:P798)-LARGE('서식지_점수'!E798:P798,2)&gt;=8,"보통","검토필요")))</x:f>
        <x:v>검토필요</x:v>
      </x:c>
      <x:c r="Y798" s="9" t="n">
        <x:f>IF(Q798="전설",8,IF(Q798="희귀",7,IF(J798="기본",1,IF(J798="중간",3,IF(J798="최종",IF(I798="",5,IF(I798&lt;=20,3,IF(I798&lt;=35,4,IF(I798&lt;=50,6,7)))),IF(Q798="드묾",4,2))))))</x:f>
        <x:v>8</x:v>
      </x:c>
      <x:c r="Z798" s="5" t="inlineStr">
        <x:is>
          <x:t xml:space="preserve">#cobblemon:is_jungle</x:t>
        </x:is>
      </x:c>
      <x:c r="AA798" s="5" t="inlineStr">
        <x:is>
          <x:t xml:space="preserve">ultra-rare</x:t>
        </x:is>
      </x:c>
      <x:c r="AB798" s="5" t="inlineStr">
        <x:is>
          <x:t xml:space="preserve">아니오</x:t>
        </x:is>
      </x:c>
      <x:c r="AC798" s="8" t="str">
        <x:f>IF(T798&lt;&gt;"","수동확정",IF(X798="검토필요","검토필요",IF(S798="","원본없음","초기완료")))</x:f>
        <x:v>검토필요</x:v>
      </x:c>
      <x:c r="AD798" s="7" t="inlineStr">
        <x:is>
          <x:t xml:space="preserve"/>
        </x:is>
      </x:c>
      <x:c r="AE798" s="5" t="inlineStr">
        <x:is>
          <x:t xml:space="preserve">.tmp/cobblemon-1.7.3-source/common/src/main/resources/data/cobblemon/species/generation7/buzzwole.json</x:t>
        </x:is>
      </x:c>
      <x:c r="AF798" s="5" t="str">
        <x:f>"생활권|"&amp;K798</x:f>
        <x:v>생활권|비행</x:v>
      </x:c>
      <x:c r="AG798" s="5" t="str">
        <x:f>"지형|"&amp;L798</x:f>
        <x:v>지형|수목</x:v>
      </x:c>
      <x:c r="AH798" s="5" t="str">
        <x:f>"온도|"&amp;M798</x:f>
        <x:v>온도|온대</x:v>
      </x:c>
      <x:c r="AI798" s="5" t="str">
        <x:f>"습도|"&amp;N798</x:f>
        <x:v>습도|다습</x:v>
      </x:c>
      <x:c r="AJ798" s="5" t="str">
        <x:f>"날씨|"&amp;O798</x:f>
        <x:v>날씨|무관</x:v>
      </x:c>
      <x:c r="AK798" s="5" t="str">
        <x:f>"특수태그|"&amp;R798</x:f>
        <x:v>특수태그|전설</x:v>
      </x:c>
      <x:c r="AL798" s="5" t="str">
        <x:f>"원본서식지|"&amp;S798</x:f>
        <x:v>원본서식지|숲</x:v>
      </x:c>
      <x:c r="AM798" s="5" t="str">
        <x:f>"타입|"&amp;F798</x:f>
        <x:v>타입|벌레</x:v>
      </x:c>
      <x:c r="AN798" s="5" t="str">
        <x:f>"타입|"&amp;G798</x:f>
        <x:v>타입|격투</x:v>
      </x:c>
    </x:row>
    <x:row r="799" ht="24" customHeight="1">
      <x:c r="A799" s="5" t="n">
        <x:v>795</x:v>
      </x:c>
      <x:c r="B799" s="5" t="inlineStr">
        <x:is>
          <x:t xml:space="preserve">페로코체</x:t>
        </x:is>
      </x:c>
      <x:c r="C799" s="5" t="inlineStr">
        <x:is>
          <x:t xml:space="preserve">pheromosa</x:t>
        </x:is>
      </x:c>
      <x:c r="D799" s="5" t="inlineStr">
        <x:is>
          <x:t xml:space="preserve">Pheromosa</x:t>
        </x:is>
      </x:c>
      <x:c r="E799" s="5" t="n">
        <x:v>7</x:v>
      </x:c>
      <x:c r="F799" s="5" t="inlineStr">
        <x:is>
          <x:t xml:space="preserve">벌레</x:t>
        </x:is>
      </x:c>
      <x:c r="G799" s="5" t="inlineStr">
        <x:is>
          <x:t xml:space="preserve">격투</x:t>
        </x:is>
      </x:c>
      <x:c r="H799" s="6" t="n">
        <x:v>25</x:v>
      </x:c>
      <x:c r="I799" s="5" t="n"/>
      <x:c r="J799" s="5" t="inlineStr">
        <x:is>
          <x:t xml:space="preserve">무진화</x:t>
        </x:is>
      </x:c>
      <x:c r="K799" s="7" t="inlineStr">
        <x:is>
          <x:t xml:space="preserve">비행</x:t>
        </x:is>
      </x:c>
      <x:c r="L799" s="7" t="inlineStr">
        <x:is>
          <x:t xml:space="preserve">수목</x:t>
        </x:is>
      </x:c>
      <x:c r="M799" s="7" t="inlineStr">
        <x:is>
          <x:t xml:space="preserve">온대</x:t>
        </x:is>
      </x:c>
      <x:c r="N799" s="7" t="inlineStr">
        <x:is>
          <x:t xml:space="preserve">보통</x:t>
        </x:is>
      </x:c>
      <x:c r="O799" s="7" t="inlineStr">
        <x:is>
          <x:t xml:space="preserve">무관</x:t>
        </x:is>
      </x:c>
      <x:c r="P799" s="7" t="inlineStr">
        <x:is>
          <x:t xml:space="preserve">무관</x:t>
        </x:is>
      </x:c>
      <x:c r="Q799" s="7" t="inlineStr">
        <x:is>
          <x:t xml:space="preserve">전설</x:t>
        </x:is>
      </x:c>
      <x:c r="R799" s="7" t="inlineStr">
        <x:is>
          <x:t xml:space="preserve">전설</x:t>
        </x:is>
      </x:c>
      <x:c r="S799" s="7" t="inlineStr">
        <x:is>
          <x:t xml:space="preserve"/>
        </x:is>
      </x:c>
      <x:c r="T799" s="7" t="inlineStr">
        <x:is>
          <x:t xml:space="preserve"/>
        </x:is>
      </x:c>
      <x:c r="U799" s="8" t="str">
        <x:f>INDEX('서식지_점수'!$E$4:$P$4,1,MATCH(MAX('서식지_점수'!E799:P799),'서식지_점수'!E799:P799,0))</x:f>
        <x:v>산악</x:v>
      </x:c>
      <x:c r="V799" s="8" t="str">
        <x:f>IF(T799&lt;&gt;"",T799,U799)</x:f>
        <x:v>산악</x:v>
      </x:c>
      <x:c r="W799" s="8" t="str">
        <x:f>IFERROR(INDEX('서식지_점수'!$E$4:$P$4,1,MATCH(MAXIFS('서식지_점수'!E799:P799,'서식지_점수'!E799:P799,"&lt;"&amp;MAX('서식지_점수'!E799:P799)),'서식지_점수'!E799:P799,0)),"")</x:f>
        <x:v>평원</x:v>
      </x:c>
      <x:c r="X799" s="8" t="str">
        <x:f>IF(T799&lt;&gt;"","수동확정",IF(MAX('서식지_점수'!E799:P799)-LARGE('서식지_점수'!E799:P799,2)&gt;=15,"높음",IF(MAX('서식지_점수'!E799:P799)-LARGE('서식지_점수'!E799:P799,2)&gt;=8,"보통","검토필요")))</x:f>
        <x:v>검토필요</x:v>
      </x:c>
      <x:c r="Y799" s="9" t="n">
        <x:f>IF(Q799="전설",8,IF(Q799="희귀",7,IF(J799="기본",1,IF(J799="중간",3,IF(J799="최종",IF(I799="",5,IF(I799&lt;=20,3,IF(I799&lt;=35,4,IF(I799&lt;=50,6,7)))),IF(Q799="드묾",4,2))))))</x:f>
        <x:v>8</x:v>
      </x:c>
      <x:c r="Z799" s="5" t="inlineStr">
        <x:is>
          <x:t xml:space="preserve">#cobblemon:is_end; terralith:blooming_valley; terralith:steppe; terralith:white_cliffs</x:t>
        </x:is>
      </x:c>
      <x:c r="AA799" s="5" t="inlineStr">
        <x:is>
          <x:t xml:space="preserve">ultra-rare</x:t>
        </x:is>
      </x:c>
      <x:c r="AB799" s="5" t="inlineStr">
        <x:is>
          <x:t xml:space="preserve">아니오</x:t>
        </x:is>
      </x:c>
      <x:c r="AC799" s="8" t="str">
        <x:f>IF(T799&lt;&gt;"","수동확정",IF(X799="검토필요","검토필요",IF(S799="","원본없음","초기완료")))</x:f>
        <x:v>검토필요</x:v>
      </x:c>
      <x:c r="AD799" s="7" t="inlineStr">
        <x:is>
          <x:t xml:space="preserve"/>
        </x:is>
      </x:c>
      <x:c r="AE799" s="5" t="inlineStr">
        <x:is>
          <x:t xml:space="preserve">.tmp/cobblemon-1.7.3-source/common/src/main/resources/data/cobblemon/species/generation7/pheromosa.json</x:t>
        </x:is>
      </x:c>
      <x:c r="AF799" s="5" t="str">
        <x:f>"생활권|"&amp;K799</x:f>
        <x:v>생활권|비행</x:v>
      </x:c>
      <x:c r="AG799" s="5" t="str">
        <x:f>"지형|"&amp;L799</x:f>
        <x:v>지형|수목</x:v>
      </x:c>
      <x:c r="AH799" s="5" t="str">
        <x:f>"온도|"&amp;M799</x:f>
        <x:v>온도|온대</x:v>
      </x:c>
      <x:c r="AI799" s="5" t="str">
        <x:f>"습도|"&amp;N799</x:f>
        <x:v>습도|보통</x:v>
      </x:c>
      <x:c r="AJ799" s="5" t="str">
        <x:f>"날씨|"&amp;O799</x:f>
        <x:v>날씨|무관</x:v>
      </x:c>
      <x:c r="AK799" s="5" t="str">
        <x:f>"특수태그|"&amp;R799</x:f>
        <x:v>특수태그|전설</x:v>
      </x:c>
      <x:c r="AL799" s="5" t="str">
        <x:f>"원본서식지|"&amp;S799</x:f>
        <x:v>원본서식지|</x:v>
      </x:c>
      <x:c r="AM799" s="5" t="str">
        <x:f>"타입|"&amp;F799</x:f>
        <x:v>타입|벌레</x:v>
      </x:c>
      <x:c r="AN799" s="5" t="str">
        <x:f>"타입|"&amp;G799</x:f>
        <x:v>타입|격투</x:v>
      </x:c>
    </x:row>
    <x:row r="800" ht="24" customHeight="1">
      <x:c r="A800" s="5" t="n">
        <x:v>796</x:v>
      </x:c>
      <x:c r="B800" s="5" t="inlineStr">
        <x:is>
          <x:t xml:space="preserve">전수목</x:t>
        </x:is>
      </x:c>
      <x:c r="C800" s="5" t="inlineStr">
        <x:is>
          <x:t xml:space="preserve">xurkitree</x:t>
        </x:is>
      </x:c>
      <x:c r="D800" s="5" t="inlineStr">
        <x:is>
          <x:t xml:space="preserve">Xurkitree</x:t>
        </x:is>
      </x:c>
      <x:c r="E800" s="5" t="n">
        <x:v>7</x:v>
      </x:c>
      <x:c r="F800" s="5" t="inlineStr">
        <x:is>
          <x:t xml:space="preserve">전기</x:t>
        </x:is>
      </x:c>
      <x:c r="G800" s="5" t="inlineStr">
        <x:is>
          <x:t xml:space="preserve"/>
        </x:is>
      </x:c>
      <x:c r="H800" s="6" t="n">
        <x:v>100</x:v>
      </x:c>
      <x:c r="I800" s="5" t="n"/>
      <x:c r="J800" s="5" t="inlineStr">
        <x:is>
          <x:t xml:space="preserve">무진화</x:t>
        </x:is>
      </x:c>
      <x:c r="K800" s="7" t="inlineStr">
        <x:is>
          <x:t xml:space="preserve">육상</x:t>
        </x:is>
      </x:c>
      <x:c r="L800" s="7" t="inlineStr">
        <x:is>
          <x:t xml:space="preserve">개활지</x:t>
        </x:is>
      </x:c>
      <x:c r="M800" s="7" t="inlineStr">
        <x:is>
          <x:t xml:space="preserve">온대</x:t>
        </x:is>
      </x:c>
      <x:c r="N800" s="7" t="inlineStr">
        <x:is>
          <x:t xml:space="preserve">보통</x:t>
        </x:is>
      </x:c>
      <x:c r="O800" s="7" t="inlineStr">
        <x:is>
          <x:t xml:space="preserve">무관</x:t>
        </x:is>
      </x:c>
      <x:c r="P800" s="7" t="inlineStr">
        <x:is>
          <x:t xml:space="preserve">무관</x:t>
        </x:is>
      </x:c>
      <x:c r="Q800" s="7" t="inlineStr">
        <x:is>
          <x:t xml:space="preserve">전설</x:t>
        </x:is>
      </x:c>
      <x:c r="R800" s="7" t="inlineStr">
        <x:is>
          <x:t xml:space="preserve">전설</x:t>
        </x:is>
      </x:c>
      <x:c r="S800" s="7" t="inlineStr">
        <x:is>
          <x:t xml:space="preserve"/>
        </x:is>
      </x:c>
      <x:c r="T800" s="7" t="inlineStr">
        <x:is>
          <x:t xml:space="preserve"/>
        </x:is>
      </x:c>
      <x:c r="U800" s="8" t="str">
        <x:f>INDEX('서식지_점수'!$E$4:$P$4,1,MATCH(MAX('서식지_점수'!E800:P800),'서식지_점수'!E800:P800,0))</x:f>
        <x:v>평원</x:v>
      </x:c>
      <x:c r="V800" s="8" t="str">
        <x:f>IF(T800&lt;&gt;"",T800,U800)</x:f>
        <x:v>평원</x:v>
      </x:c>
      <x:c r="W800" s="8" t="str">
        <x:f>IFERROR(INDEX('서식지_점수'!$E$4:$P$4,1,MATCH(MAXIFS('서식지_점수'!E800:P800,'서식지_점수'!E800:P800,"&lt;"&amp;MAX('서식지_점수'!E800:P800)),'서식지_점수'!E800:P800,0)),"")</x:f>
        <x:v>숲</x:v>
      </x:c>
      <x:c r="X800" s="8" t="str">
        <x:f>IF(T800&lt;&gt;"","수동확정",IF(MAX('서식지_점수'!E800:P800)-LARGE('서식지_점수'!E800:P800,2)&gt;=15,"높음",IF(MAX('서식지_점수'!E800:P800)-LARGE('서식지_점수'!E800:P800,2)&gt;=8,"보통","검토필요")))</x:f>
        <x:v>검토필요</x:v>
      </x:c>
      <x:c r="Y800" s="9" t="n">
        <x:f>IF(Q800="전설",8,IF(Q800="희귀",7,IF(J800="기본",1,IF(J800="중간",3,IF(J800="최종",IF(I800="",5,IF(I800&lt;=20,3,IF(I800&lt;=35,4,IF(I800&lt;=50,6,7)))),IF(Q800="드묾",4,2))))))</x:f>
        <x:v>8</x:v>
      </x:c>
      <x:c r="Z800" s="5" t="inlineStr">
        <x:is>
          <x:t xml:space="preserve">#cobblemon:is_end</x:t>
        </x:is>
      </x:c>
      <x:c r="AA800" s="5" t="inlineStr">
        <x:is>
          <x:t xml:space="preserve">ultra-rare</x:t>
        </x:is>
      </x:c>
      <x:c r="AB800" s="5" t="inlineStr">
        <x:is>
          <x:t xml:space="preserve">아니오</x:t>
        </x:is>
      </x:c>
      <x:c r="AC800" s="8" t="str">
        <x:f>IF(T800&lt;&gt;"","수동확정",IF(X800="검토필요","검토필요",IF(S800="","원본없음","초기완료")))</x:f>
        <x:v>검토필요</x:v>
      </x:c>
      <x:c r="AD800" s="7" t="inlineStr">
        <x:is>
          <x:t xml:space="preserve"/>
        </x:is>
      </x:c>
      <x:c r="AE800" s="5" t="inlineStr">
        <x:is>
          <x:t xml:space="preserve">.tmp/cobblemon-1.7.3-source/common/src/main/resources/data/cobblemon/species/generation7/xurkitree.json</x:t>
        </x:is>
      </x:c>
      <x:c r="AF800" s="5" t="str">
        <x:f>"생활권|"&amp;K800</x:f>
        <x:v>생활권|육상</x:v>
      </x:c>
      <x:c r="AG800" s="5" t="str">
        <x:f>"지형|"&amp;L800</x:f>
        <x:v>지형|개활지</x:v>
      </x:c>
      <x:c r="AH800" s="5" t="str">
        <x:f>"온도|"&amp;M800</x:f>
        <x:v>온도|온대</x:v>
      </x:c>
      <x:c r="AI800" s="5" t="str">
        <x:f>"습도|"&amp;N800</x:f>
        <x:v>습도|보통</x:v>
      </x:c>
      <x:c r="AJ800" s="5" t="str">
        <x:f>"날씨|"&amp;O800</x:f>
        <x:v>날씨|무관</x:v>
      </x:c>
      <x:c r="AK800" s="5" t="str">
        <x:f>"특수태그|"&amp;R800</x:f>
        <x:v>특수태그|전설</x:v>
      </x:c>
      <x:c r="AL800" s="5" t="str">
        <x:f>"원본서식지|"&amp;S800</x:f>
        <x:v>원본서식지|</x:v>
      </x:c>
      <x:c r="AM800" s="5" t="str">
        <x:f>"타입|"&amp;F800</x:f>
        <x:v>타입|전기</x:v>
      </x:c>
      <x:c r="AN800" s="5" t="str">
        <x:f>"타입|"&amp;G800</x:f>
        <x:v>타입|</x:v>
      </x:c>
    </x:row>
    <x:row r="801" ht="24" customHeight="1">
      <x:c r="A801" s="5" t="n">
        <x:v>797</x:v>
      </x:c>
      <x:c r="B801" s="5" t="inlineStr">
        <x:is>
          <x:t xml:space="preserve">철화구야</x:t>
        </x:is>
      </x:c>
      <x:c r="C801" s="5" t="inlineStr">
        <x:is>
          <x:t xml:space="preserve">celesteela</x:t>
        </x:is>
      </x:c>
      <x:c r="D801" s="5" t="inlineStr">
        <x:is>
          <x:t xml:space="preserve">Celesteela</x:t>
        </x:is>
      </x:c>
      <x:c r="E801" s="5" t="n">
        <x:v>7</x:v>
      </x:c>
      <x:c r="F801" s="5" t="inlineStr">
        <x:is>
          <x:t xml:space="preserve">강철</x:t>
        </x:is>
      </x:c>
      <x:c r="G801" s="5" t="inlineStr">
        <x:is>
          <x:t xml:space="preserve">비행</x:t>
        </x:is>
      </x:c>
      <x:c r="H801" s="6" t="n">
        <x:v>999.9</x:v>
      </x:c>
      <x:c r="I801" s="5" t="n"/>
      <x:c r="J801" s="5" t="inlineStr">
        <x:is>
          <x:t xml:space="preserve">무진화</x:t>
        </x:is>
      </x:c>
      <x:c r="K801" s="7" t="inlineStr">
        <x:is>
          <x:t xml:space="preserve">비행</x:t>
        </x:is>
      </x:c>
      <x:c r="L801" s="7" t="inlineStr">
        <x:is>
          <x:t xml:space="preserve">개활지</x:t>
        </x:is>
      </x:c>
      <x:c r="M801" s="7" t="inlineStr">
        <x:is>
          <x:t xml:space="preserve">온대</x:t>
        </x:is>
      </x:c>
      <x:c r="N801" s="7" t="inlineStr">
        <x:is>
          <x:t xml:space="preserve">보통</x:t>
        </x:is>
      </x:c>
      <x:c r="O801" s="7" t="inlineStr">
        <x:is>
          <x:t xml:space="preserve">무관</x:t>
        </x:is>
      </x:c>
      <x:c r="P801" s="7" t="inlineStr">
        <x:is>
          <x:t xml:space="preserve">무관</x:t>
        </x:is>
      </x:c>
      <x:c r="Q801" s="7" t="inlineStr">
        <x:is>
          <x:t xml:space="preserve">전설</x:t>
        </x:is>
      </x:c>
      <x:c r="R801" s="7" t="inlineStr">
        <x:is>
          <x:t xml:space="preserve">전설</x:t>
        </x:is>
      </x:c>
      <x:c r="S801" s="7" t="inlineStr">
        <x:is>
          <x:t xml:space="preserve"/>
        </x:is>
      </x:c>
      <x:c r="T801" s="7" t="inlineStr">
        <x:is>
          <x:t xml:space="preserve"/>
        </x:is>
      </x:c>
      <x:c r="U801" s="8" t="str">
        <x:f>INDEX('서식지_점수'!$E$4:$P$4,1,MATCH(MAX('서식지_점수'!E801:P801),'서식지_점수'!E801:P801,0))</x:f>
        <x:v>산악</x:v>
      </x:c>
      <x:c r="V801" s="8" t="str">
        <x:f>IF(T801&lt;&gt;"",T801,U801)</x:f>
        <x:v>산악</x:v>
      </x:c>
      <x:c r="W801" s="8" t="str">
        <x:f>IFERROR(INDEX('서식지_점수'!$E$4:$P$4,1,MATCH(MAXIFS('서식지_점수'!E801:P801,'서식지_점수'!E801:P801,"&lt;"&amp;MAX('서식지_점수'!E801:P801)),'서식지_점수'!E801:P801,0)),"")</x:f>
        <x:v>평원</x:v>
      </x:c>
      <x:c r="X801" s="8" t="str">
        <x:f>IF(T801&lt;&gt;"","수동확정",IF(MAX('서식지_점수'!E801:P801)-LARGE('서식지_점수'!E801:P801,2)&gt;=15,"높음",IF(MAX('서식지_점수'!E801:P801)-LARGE('서식지_점수'!E801:P801,2)&gt;=8,"보통","검토필요")))</x:f>
        <x:v>검토필요</x:v>
      </x:c>
      <x:c r="Y801" s="9" t="n">
        <x:f>IF(Q801="전설",8,IF(Q801="희귀",7,IF(J801="기본",1,IF(J801="중간",3,IF(J801="최종",IF(I801="",5,IF(I801&lt;=20,3,IF(I801&lt;=35,4,IF(I801&lt;=50,6,7)))),IF(Q801="드묾",4,2))))))</x:f>
        <x:v>8</x:v>
      </x:c>
      <x:c r="Z801" s="5" t="inlineStr">
        <x:is>
          <x:t xml:space="preserve">#cobblemon:is_end</x:t>
        </x:is>
      </x:c>
      <x:c r="AA801" s="5" t="inlineStr">
        <x:is>
          <x:t xml:space="preserve">ultra-rare</x:t>
        </x:is>
      </x:c>
      <x:c r="AB801" s="5" t="inlineStr">
        <x:is>
          <x:t xml:space="preserve">아니오</x:t>
        </x:is>
      </x:c>
      <x:c r="AC801" s="8" t="str">
        <x:f>IF(T801&lt;&gt;"","수동확정",IF(X801="검토필요","검토필요",IF(S801="","원본없음","초기완료")))</x:f>
        <x:v>검토필요</x:v>
      </x:c>
      <x:c r="AD801" s="7" t="inlineStr">
        <x:is>
          <x:t xml:space="preserve"/>
        </x:is>
      </x:c>
      <x:c r="AE801" s="5" t="inlineStr">
        <x:is>
          <x:t xml:space="preserve">.tmp/cobblemon-1.7.3-source/common/src/main/resources/data/cobblemon/species/generation7/celesteela.json</x:t>
        </x:is>
      </x:c>
      <x:c r="AF801" s="5" t="str">
        <x:f>"생활권|"&amp;K801</x:f>
        <x:v>생활권|비행</x:v>
      </x:c>
      <x:c r="AG801" s="5" t="str">
        <x:f>"지형|"&amp;L801</x:f>
        <x:v>지형|개활지</x:v>
      </x:c>
      <x:c r="AH801" s="5" t="str">
        <x:f>"온도|"&amp;M801</x:f>
        <x:v>온도|온대</x:v>
      </x:c>
      <x:c r="AI801" s="5" t="str">
        <x:f>"습도|"&amp;N801</x:f>
        <x:v>습도|보통</x:v>
      </x:c>
      <x:c r="AJ801" s="5" t="str">
        <x:f>"날씨|"&amp;O801</x:f>
        <x:v>날씨|무관</x:v>
      </x:c>
      <x:c r="AK801" s="5" t="str">
        <x:f>"특수태그|"&amp;R801</x:f>
        <x:v>특수태그|전설</x:v>
      </x:c>
      <x:c r="AL801" s="5" t="str">
        <x:f>"원본서식지|"&amp;S801</x:f>
        <x:v>원본서식지|</x:v>
      </x:c>
      <x:c r="AM801" s="5" t="str">
        <x:f>"타입|"&amp;F801</x:f>
        <x:v>타입|강철</x:v>
      </x:c>
      <x:c r="AN801" s="5" t="str">
        <x:f>"타입|"&amp;G801</x:f>
        <x:v>타입|비행</x:v>
      </x:c>
    </x:row>
    <x:row r="802" ht="24" customHeight="1">
      <x:c r="A802" s="5" t="n">
        <x:v>798</x:v>
      </x:c>
      <x:c r="B802" s="5" t="inlineStr">
        <x:is>
          <x:t xml:space="preserve">종이신도</x:t>
        </x:is>
      </x:c>
      <x:c r="C802" s="5" t="inlineStr">
        <x:is>
          <x:t xml:space="preserve">kartana</x:t>
        </x:is>
      </x:c>
      <x:c r="D802" s="5" t="inlineStr">
        <x:is>
          <x:t xml:space="preserve">Kartana</x:t>
        </x:is>
      </x:c>
      <x:c r="E802" s="5" t="n">
        <x:v>7</x:v>
      </x:c>
      <x:c r="F802" s="5" t="inlineStr">
        <x:is>
          <x:t xml:space="preserve">풀</x:t>
        </x:is>
      </x:c>
      <x:c r="G802" s="5" t="inlineStr">
        <x:is>
          <x:t xml:space="preserve">강철</x:t>
        </x:is>
      </x:c>
      <x:c r="H802" s="6" t="n">
        <x:v>0.1</x:v>
      </x:c>
      <x:c r="I802" s="5" t="n"/>
      <x:c r="J802" s="5" t="inlineStr">
        <x:is>
          <x:t xml:space="preserve">무진화</x:t>
        </x:is>
      </x:c>
      <x:c r="K802" s="7" t="inlineStr">
        <x:is>
          <x:t xml:space="preserve">비행</x:t>
        </x:is>
      </x:c>
      <x:c r="L802" s="7" t="inlineStr">
        <x:is>
          <x:t xml:space="preserve">수목</x:t>
        </x:is>
      </x:c>
      <x:c r="M802" s="7" t="inlineStr">
        <x:is>
          <x:t xml:space="preserve">온대</x:t>
        </x:is>
      </x:c>
      <x:c r="N802" s="7" t="inlineStr">
        <x:is>
          <x:t xml:space="preserve">보통</x:t>
        </x:is>
      </x:c>
      <x:c r="O802" s="7" t="inlineStr">
        <x:is>
          <x:t xml:space="preserve">무관</x:t>
        </x:is>
      </x:c>
      <x:c r="P802" s="7" t="inlineStr">
        <x:is>
          <x:t xml:space="preserve">무관</x:t>
        </x:is>
      </x:c>
      <x:c r="Q802" s="7" t="inlineStr">
        <x:is>
          <x:t xml:space="preserve">전설</x:t>
        </x:is>
      </x:c>
      <x:c r="R802" s="7" t="inlineStr">
        <x:is>
          <x:t xml:space="preserve">전설</x:t>
        </x:is>
      </x:c>
      <x:c r="S802" s="7" t="inlineStr">
        <x:is>
          <x:t xml:space="preserve">숲</x:t>
        </x:is>
      </x:c>
      <x:c r="T802" s="7" t="inlineStr">
        <x:is>
          <x:t xml:space="preserve"/>
        </x:is>
      </x:c>
      <x:c r="U802" s="8" t="str">
        <x:f>INDEX('서식지_점수'!$E$4:$P$4,1,MATCH(MAX('서식지_점수'!E802:P802),'서식지_점수'!E802:P802,0))</x:f>
        <x:v>산악</x:v>
      </x:c>
      <x:c r="V802" s="8" t="str">
        <x:f>IF(T802&lt;&gt;"",T802,U802)</x:f>
        <x:v>산악</x:v>
      </x:c>
      <x:c r="W802" s="8" t="str">
        <x:f>IFERROR(INDEX('서식지_점수'!$E$4:$P$4,1,MATCH(MAXIFS('서식지_점수'!E802:P802,'서식지_점수'!E802:P802,"&lt;"&amp;MAX('서식지_점수'!E802:P802)),'서식지_점수'!E802:P802,0)),"")</x:f>
        <x:v>평원</x:v>
      </x:c>
      <x:c r="X802" s="8" t="str">
        <x:f>IF(T802&lt;&gt;"","수동확정",IF(MAX('서식지_점수'!E802:P802)-LARGE('서식지_점수'!E802:P802,2)&gt;=15,"높음",IF(MAX('서식지_점수'!E802:P802)-LARGE('서식지_점수'!E802:P802,2)&gt;=8,"보통","검토필요")))</x:f>
        <x:v>검토필요</x:v>
      </x:c>
      <x:c r="Y802" s="9" t="n">
        <x:f>IF(Q802="전설",8,IF(Q802="희귀",7,IF(J802="기본",1,IF(J802="중간",3,IF(J802="최종",IF(I802="",5,IF(I802&lt;=20,3,IF(I802&lt;=35,4,IF(I802&lt;=50,6,7)))),IF(Q802="드묾",4,2))))))</x:f>
        <x:v>8</x:v>
      </x:c>
      <x:c r="Z802" s="5" t="inlineStr">
        <x:is>
          <x:t xml:space="preserve">minecraft:cherry_grove</x:t>
        </x:is>
      </x:c>
      <x:c r="AA802" s="5" t="inlineStr">
        <x:is>
          <x:t xml:space="preserve">ultra-rare</x:t>
        </x:is>
      </x:c>
      <x:c r="AB802" s="5" t="inlineStr">
        <x:is>
          <x:t xml:space="preserve">아니오</x:t>
        </x:is>
      </x:c>
      <x:c r="AC802" s="8" t="str">
        <x:f>IF(T802&lt;&gt;"","수동확정",IF(X802="검토필요","검토필요",IF(S802="","원본없음","초기완료")))</x:f>
        <x:v>검토필요</x:v>
      </x:c>
      <x:c r="AD802" s="7" t="inlineStr">
        <x:is>
          <x:t xml:space="preserve"/>
        </x:is>
      </x:c>
      <x:c r="AE802" s="5" t="inlineStr">
        <x:is>
          <x:t xml:space="preserve">.tmp/cobblemon-1.7.3-source/common/src/main/resources/data/cobblemon/species/generation7/kartana.json</x:t>
        </x:is>
      </x:c>
      <x:c r="AF802" s="5" t="str">
        <x:f>"생활권|"&amp;K802</x:f>
        <x:v>생활권|비행</x:v>
      </x:c>
      <x:c r="AG802" s="5" t="str">
        <x:f>"지형|"&amp;L802</x:f>
        <x:v>지형|수목</x:v>
      </x:c>
      <x:c r="AH802" s="5" t="str">
        <x:f>"온도|"&amp;M802</x:f>
        <x:v>온도|온대</x:v>
      </x:c>
      <x:c r="AI802" s="5" t="str">
        <x:f>"습도|"&amp;N802</x:f>
        <x:v>습도|보통</x:v>
      </x:c>
      <x:c r="AJ802" s="5" t="str">
        <x:f>"날씨|"&amp;O802</x:f>
        <x:v>날씨|무관</x:v>
      </x:c>
      <x:c r="AK802" s="5" t="str">
        <x:f>"특수태그|"&amp;R802</x:f>
        <x:v>특수태그|전설</x:v>
      </x:c>
      <x:c r="AL802" s="5" t="str">
        <x:f>"원본서식지|"&amp;S802</x:f>
        <x:v>원본서식지|숲</x:v>
      </x:c>
      <x:c r="AM802" s="5" t="str">
        <x:f>"타입|"&amp;F802</x:f>
        <x:v>타입|풀</x:v>
      </x:c>
      <x:c r="AN802" s="5" t="str">
        <x:f>"타입|"&amp;G802</x:f>
        <x:v>타입|강철</x:v>
      </x:c>
    </x:row>
    <x:row r="803" ht="24" customHeight="1">
      <x:c r="A803" s="5" t="n">
        <x:v>799</x:v>
      </x:c>
      <x:c r="B803" s="5" t="inlineStr">
        <x:is>
          <x:t xml:space="preserve">악식킹</x:t>
        </x:is>
      </x:c>
      <x:c r="C803" s="5" t="inlineStr">
        <x:is>
          <x:t xml:space="preserve">guzzlord</x:t>
        </x:is>
      </x:c>
      <x:c r="D803" s="5" t="inlineStr">
        <x:is>
          <x:t xml:space="preserve">Guzzlord</x:t>
        </x:is>
      </x:c>
      <x:c r="E803" s="5" t="n">
        <x:v>7</x:v>
      </x:c>
      <x:c r="F803" s="5" t="inlineStr">
        <x:is>
          <x:t xml:space="preserve">악</x:t>
        </x:is>
      </x:c>
      <x:c r="G803" s="5" t="inlineStr">
        <x:is>
          <x:t xml:space="preserve">드래곤</x:t>
        </x:is>
      </x:c>
      <x:c r="H803" s="6" t="n">
        <x:v>888</x:v>
      </x:c>
      <x:c r="I803" s="5" t="n"/>
      <x:c r="J803" s="5" t="inlineStr">
        <x:is>
          <x:t xml:space="preserve">무진화</x:t>
        </x:is>
      </x:c>
      <x:c r="K803" s="7" t="inlineStr">
        <x:is>
          <x:t xml:space="preserve">육상</x:t>
        </x:is>
      </x:c>
      <x:c r="L803" s="7" t="inlineStr">
        <x:is>
          <x:t xml:space="preserve">특수</x:t>
        </x:is>
      </x:c>
      <x:c r="M803" s="7" t="inlineStr">
        <x:is>
          <x:t xml:space="preserve">온대</x:t>
        </x:is>
      </x:c>
      <x:c r="N803" s="7" t="inlineStr">
        <x:is>
          <x:t xml:space="preserve">보통</x:t>
        </x:is>
      </x:c>
      <x:c r="O803" s="7" t="inlineStr">
        <x:is>
          <x:t xml:space="preserve">무관</x:t>
        </x:is>
      </x:c>
      <x:c r="P803" s="7" t="inlineStr">
        <x:is>
          <x:t xml:space="preserve">밤</x:t>
        </x:is>
      </x:c>
      <x:c r="Q803" s="7" t="inlineStr">
        <x:is>
          <x:t xml:space="preserve">전설</x:t>
        </x:is>
      </x:c>
      <x:c r="R803" s="7" t="inlineStr">
        <x:is>
          <x:t xml:space="preserve">전설</x:t>
        </x:is>
      </x:c>
      <x:c r="S803" s="7" t="inlineStr">
        <x:is>
          <x:t xml:space="preserve"/>
        </x:is>
      </x:c>
      <x:c r="T803" s="7" t="inlineStr">
        <x:is>
          <x:t xml:space="preserve"/>
        </x:is>
      </x:c>
      <x:c r="U803" s="8" t="str">
        <x:f>INDEX('서식지_점수'!$E$4:$P$4,1,MATCH(MAX('서식지_점수'!E803:P803),'서식지_점수'!E803:P803,0))</x:f>
        <x:v>평원</x:v>
      </x:c>
      <x:c r="V803" s="8" t="str">
        <x:f>IF(T803&lt;&gt;"",T803,U803)</x:f>
        <x:v>평원</x:v>
      </x:c>
      <x:c r="W803" s="8" t="str">
        <x:f>IFERROR(INDEX('서식지_점수'!$E$4:$P$4,1,MATCH(MAXIFS('서식지_점수'!E803:P803,'서식지_점수'!E803:P803,"&lt;"&amp;MAX('서식지_점수'!E803:P803)),'서식지_점수'!E803:P803,0)),"")</x:f>
        <x:v>숲</x:v>
      </x:c>
      <x:c r="X803" s="8" t="str">
        <x:f>IF(T803&lt;&gt;"","수동확정",IF(MAX('서식지_점수'!E803:P803)-LARGE('서식지_점수'!E803:P803,2)&gt;=15,"높음",IF(MAX('서식지_점수'!E803:P803)-LARGE('서식지_점수'!E803:P803,2)&gt;=8,"보통","검토필요")))</x:f>
        <x:v>검토필요</x:v>
      </x:c>
      <x:c r="Y803" s="9" t="n">
        <x:f>IF(Q803="전설",8,IF(Q803="희귀",7,IF(J803="기본",1,IF(J803="중간",3,IF(J803="최종",IF(I803="",5,IF(I803&lt;=20,3,IF(I803&lt;=35,4,IF(I803&lt;=50,6,7)))),IF(Q803="드묾",4,2))))))</x:f>
        <x:v>8</x:v>
      </x:c>
      <x:c r="Z803" s="5" t="inlineStr">
        <x:is>
          <x:t xml:space="preserve">#cobblemon:is_end</x:t>
        </x:is>
      </x:c>
      <x:c r="AA803" s="5" t="inlineStr">
        <x:is>
          <x:t xml:space="preserve">ultra-rare</x:t>
        </x:is>
      </x:c>
      <x:c r="AB803" s="5" t="inlineStr">
        <x:is>
          <x:t xml:space="preserve">아니오</x:t>
        </x:is>
      </x:c>
      <x:c r="AC803" s="8" t="str">
        <x:f>IF(T803&lt;&gt;"","수동확정",IF(X803="검토필요","검토필요",IF(S803="","원본없음","초기완료")))</x:f>
        <x:v>검토필요</x:v>
      </x:c>
      <x:c r="AD803" s="7" t="inlineStr">
        <x:is>
          <x:t xml:space="preserve"/>
        </x:is>
      </x:c>
      <x:c r="AE803" s="5" t="inlineStr">
        <x:is>
          <x:t xml:space="preserve">.tmp/cobblemon-1.7.3-source/common/src/main/resources/data/cobblemon/species/generation7/guzzlord.json</x:t>
        </x:is>
      </x:c>
      <x:c r="AF803" s="5" t="str">
        <x:f>"생활권|"&amp;K803</x:f>
        <x:v>생활권|육상</x:v>
      </x:c>
      <x:c r="AG803" s="5" t="str">
        <x:f>"지형|"&amp;L803</x:f>
        <x:v>지형|특수</x:v>
      </x:c>
      <x:c r="AH803" s="5" t="str">
        <x:f>"온도|"&amp;M803</x:f>
        <x:v>온도|온대</x:v>
      </x:c>
      <x:c r="AI803" s="5" t="str">
        <x:f>"습도|"&amp;N803</x:f>
        <x:v>습도|보통</x:v>
      </x:c>
      <x:c r="AJ803" s="5" t="str">
        <x:f>"날씨|"&amp;O803</x:f>
        <x:v>날씨|무관</x:v>
      </x:c>
      <x:c r="AK803" s="5" t="str">
        <x:f>"특수태그|"&amp;R803</x:f>
        <x:v>특수태그|전설</x:v>
      </x:c>
      <x:c r="AL803" s="5" t="str">
        <x:f>"원본서식지|"&amp;S803</x:f>
        <x:v>원본서식지|</x:v>
      </x:c>
      <x:c r="AM803" s="5" t="str">
        <x:f>"타입|"&amp;F803</x:f>
        <x:v>타입|악</x:v>
      </x:c>
      <x:c r="AN803" s="5" t="str">
        <x:f>"타입|"&amp;G803</x:f>
        <x:v>타입|드래곤</x:v>
      </x:c>
    </x:row>
    <x:row r="804" ht="24" customHeight="1">
      <x:c r="A804" s="5" t="n">
        <x:v>800</x:v>
      </x:c>
      <x:c r="B804" s="5" t="inlineStr">
        <x:is>
          <x:t xml:space="preserve">네크로즈마</x:t>
        </x:is>
      </x:c>
      <x:c r="C804" s="5" t="inlineStr">
        <x:is>
          <x:t xml:space="preserve">necrozma</x:t>
        </x:is>
      </x:c>
      <x:c r="D804" s="5" t="inlineStr">
        <x:is>
          <x:t xml:space="preserve">Necrozma</x:t>
        </x:is>
      </x:c>
      <x:c r="E804" s="5" t="n">
        <x:v>7</x:v>
      </x:c>
      <x:c r="F804" s="5" t="inlineStr">
        <x:is>
          <x:t xml:space="preserve">에스퍼</x:t>
        </x:is>
      </x:c>
      <x:c r="G804" s="5" t="inlineStr">
        <x:is>
          <x:t xml:space="preserve"/>
        </x:is>
      </x:c>
      <x:c r="H804" s="6" t="n">
        <x:v>230</x:v>
      </x:c>
      <x:c r="I804" s="5" t="n"/>
      <x:c r="J804" s="5" t="inlineStr">
        <x:is>
          <x:t xml:space="preserve">무진화</x:t>
        </x:is>
      </x:c>
      <x:c r="K804" s="7" t="inlineStr">
        <x:is>
          <x:t xml:space="preserve">비행</x:t>
        </x:is>
      </x:c>
      <x:c r="L804" s="7" t="inlineStr">
        <x:is>
          <x:t xml:space="preserve">개활지</x:t>
        </x:is>
      </x:c>
      <x:c r="M804" s="7" t="inlineStr">
        <x:is>
          <x:t xml:space="preserve">온대</x:t>
        </x:is>
      </x:c>
      <x:c r="N804" s="7" t="inlineStr">
        <x:is>
          <x:t xml:space="preserve">보통</x:t>
        </x:is>
      </x:c>
      <x:c r="O804" s="7" t="inlineStr">
        <x:is>
          <x:t xml:space="preserve">무관</x:t>
        </x:is>
      </x:c>
      <x:c r="P804" s="7" t="inlineStr">
        <x:is>
          <x:t xml:space="preserve">무관</x:t>
        </x:is>
      </x:c>
      <x:c r="Q804" s="7" t="inlineStr">
        <x:is>
          <x:t xml:space="preserve">전설</x:t>
        </x:is>
      </x:c>
      <x:c r="R804" s="7" t="inlineStr">
        <x:is>
          <x:t xml:space="preserve">전설</x:t>
        </x:is>
      </x:c>
      <x:c r="S804" s="7" t="inlineStr">
        <x:is>
          <x:t xml:space="preserve"/>
        </x:is>
      </x:c>
      <x:c r="T804" s="7" t="inlineStr">
        <x:is>
          <x:t xml:space="preserve"/>
        </x:is>
      </x:c>
      <x:c r="U804" s="8" t="str">
        <x:f>INDEX('서식지_점수'!$E$4:$P$4,1,MATCH(MAX('서식지_점수'!E804:P804),'서식지_점수'!E804:P804,0))</x:f>
        <x:v>산악</x:v>
      </x:c>
      <x:c r="V804" s="8" t="str">
        <x:f>IF(T804&lt;&gt;"",T804,U804)</x:f>
        <x:v>산악</x:v>
      </x:c>
      <x:c r="W804" s="8" t="str">
        <x:f>IFERROR(INDEX('서식지_점수'!$E$4:$P$4,1,MATCH(MAXIFS('서식지_점수'!E804:P804,'서식지_점수'!E804:P804,"&lt;"&amp;MAX('서식지_점수'!E804:P804)),'서식지_점수'!E804:P804,0)),"")</x:f>
        <x:v>평원</x:v>
      </x:c>
      <x:c r="X804" s="8" t="str">
        <x:f>IF(T804&lt;&gt;"","수동확정",IF(MAX('서식지_점수'!E804:P804)-LARGE('서식지_점수'!E804:P804,2)&gt;=15,"높음",IF(MAX('서식지_점수'!E804:P804)-LARGE('서식지_점수'!E804:P804,2)&gt;=8,"보통","검토필요")))</x:f>
        <x:v>검토필요</x:v>
      </x:c>
      <x:c r="Y804" s="9" t="n">
        <x:f>IF(Q804="전설",8,IF(Q804="희귀",7,IF(J804="기본",1,IF(J804="중간",3,IF(J804="최종",IF(I804="",5,IF(I804&lt;=20,3,IF(I804&lt;=35,4,IF(I804&lt;=50,6,7)))),IF(Q804="드묾",4,2))))))</x:f>
        <x:v>8</x:v>
      </x:c>
      <x:c r="Z804" s="5" t="inlineStr">
        <x:is>
          <x:t xml:space="preserve">#cobblemon:is_end</x:t>
        </x:is>
      </x:c>
      <x:c r="AA804" s="5" t="inlineStr">
        <x:is>
          <x:t xml:space="preserve">ultra-rare</x:t>
        </x:is>
      </x:c>
      <x:c r="AB804" s="5" t="inlineStr">
        <x:is>
          <x:t xml:space="preserve">아니오</x:t>
        </x:is>
      </x:c>
      <x:c r="AC804" s="8" t="str">
        <x:f>IF(T804&lt;&gt;"","수동확정",IF(X804="검토필요","검토필요",IF(S804="","원본없음","초기완료")))</x:f>
        <x:v>검토필요</x:v>
      </x:c>
      <x:c r="AD804" s="7" t="inlineStr">
        <x:is>
          <x:t xml:space="preserve"/>
        </x:is>
      </x:c>
      <x:c r="AE804" s="5" t="inlineStr">
        <x:is>
          <x:t xml:space="preserve">.tmp/cobblemon-1.7.3-source/common/src/main/resources/data/cobblemon/species/generation7/necrozma.json</x:t>
        </x:is>
      </x:c>
      <x:c r="AF804" s="5" t="str">
        <x:f>"생활권|"&amp;K804</x:f>
        <x:v>생활권|비행</x:v>
      </x:c>
      <x:c r="AG804" s="5" t="str">
        <x:f>"지형|"&amp;L804</x:f>
        <x:v>지형|개활지</x:v>
      </x:c>
      <x:c r="AH804" s="5" t="str">
        <x:f>"온도|"&amp;M804</x:f>
        <x:v>온도|온대</x:v>
      </x:c>
      <x:c r="AI804" s="5" t="str">
        <x:f>"습도|"&amp;N804</x:f>
        <x:v>습도|보통</x:v>
      </x:c>
      <x:c r="AJ804" s="5" t="str">
        <x:f>"날씨|"&amp;O804</x:f>
        <x:v>날씨|무관</x:v>
      </x:c>
      <x:c r="AK804" s="5" t="str">
        <x:f>"특수태그|"&amp;R804</x:f>
        <x:v>특수태그|전설</x:v>
      </x:c>
      <x:c r="AL804" s="5" t="str">
        <x:f>"원본서식지|"&amp;S804</x:f>
        <x:v>원본서식지|</x:v>
      </x:c>
      <x:c r="AM804" s="5" t="str">
        <x:f>"타입|"&amp;F804</x:f>
        <x:v>타입|에스퍼</x:v>
      </x:c>
      <x:c r="AN804" s="5" t="str">
        <x:f>"타입|"&amp;G804</x:f>
        <x:v>타입|</x:v>
      </x:c>
    </x:row>
    <x:row r="805" ht="24" customHeight="1">
      <x:c r="A805" s="5" t="n">
        <x:v>801</x:v>
      </x:c>
      <x:c r="B805" s="5" t="inlineStr">
        <x:is>
          <x:t xml:space="preserve">마기아나</x:t>
        </x:is>
      </x:c>
      <x:c r="C805" s="5" t="inlineStr">
        <x:is>
          <x:t xml:space="preserve">magearna</x:t>
        </x:is>
      </x:c>
      <x:c r="D805" s="5" t="inlineStr">
        <x:is>
          <x:t xml:space="preserve">Magearna</x:t>
        </x:is>
      </x:c>
      <x:c r="E805" s="5" t="n">
        <x:v>7</x:v>
      </x:c>
      <x:c r="F805" s="5" t="inlineStr">
        <x:is>
          <x:t xml:space="preserve">강철</x:t>
        </x:is>
      </x:c>
      <x:c r="G805" s="5" t="inlineStr">
        <x:is>
          <x:t xml:space="preserve">페어리</x:t>
        </x:is>
      </x:c>
      <x:c r="H805" s="6" t="n">
        <x:v>80.5</x:v>
      </x:c>
      <x:c r="I805" s="5" t="n"/>
      <x:c r="J805" s="5" t="inlineStr">
        <x:is>
          <x:t xml:space="preserve">무진화</x:t>
        </x:is>
      </x:c>
      <x:c r="K805" s="7" t="inlineStr">
        <x:is>
          <x:t xml:space="preserve">인공</x:t>
        </x:is>
      </x:c>
      <x:c r="L805" s="7" t="inlineStr">
        <x:is>
          <x:t xml:space="preserve">수목</x:t>
        </x:is>
      </x:c>
      <x:c r="M805" s="7" t="inlineStr">
        <x:is>
          <x:t xml:space="preserve">서늘</x:t>
        </x:is>
      </x:c>
      <x:c r="N805" s="7" t="inlineStr">
        <x:is>
          <x:t xml:space="preserve">보통</x:t>
        </x:is>
      </x:c>
      <x:c r="O805" s="7" t="inlineStr">
        <x:is>
          <x:t xml:space="preserve">무관</x:t>
        </x:is>
      </x:c>
      <x:c r="P805" s="7" t="inlineStr">
        <x:is>
          <x:t xml:space="preserve">무관</x:t>
        </x:is>
      </x:c>
      <x:c r="Q805" s="7" t="inlineStr">
        <x:is>
          <x:t xml:space="preserve">전설</x:t>
        </x:is>
      </x:c>
      <x:c r="R805" s="7" t="inlineStr">
        <x:is>
          <x:t xml:space="preserve">전설</x:t>
        </x:is>
      </x:c>
      <x:c r="S805" s="7" t="inlineStr">
        <x:is>
          <x:t xml:space="preserve">숲</x:t>
        </x:is>
      </x:c>
      <x:c r="T805" s="7" t="inlineStr">
        <x:is>
          <x:t xml:space="preserve"/>
        </x:is>
      </x:c>
      <x:c r="U805" s="8" t="str">
        <x:f>INDEX('서식지_점수'!$E$4:$P$4,1,MATCH(MAX('서식지_점수'!E805:P805),'서식지_점수'!E805:P805,0))</x:f>
        <x:v>도시</x:v>
      </x:c>
      <x:c r="V805" s="8" t="str">
        <x:f>IF(T805&lt;&gt;"",T805,U805)</x:f>
        <x:v>도시</x:v>
      </x:c>
      <x:c r="W805" s="8" t="str">
        <x:f>IFERROR(INDEX('서식지_점수'!$E$4:$P$4,1,MATCH(MAXIFS('서식지_점수'!E805:P805,'서식지_점수'!E805:P805,"&lt;"&amp;MAX('서식지_점수'!E805:P805)),'서식지_점수'!E805:P805,0)),"")</x:f>
        <x:v>특수</x:v>
      </x:c>
      <x:c r="X805" s="8" t="str">
        <x:f>IF(T805&lt;&gt;"","수동확정",IF(MAX('서식지_점수'!E805:P805)-LARGE('서식지_점수'!E805:P805,2)&gt;=15,"높음",IF(MAX('서식지_점수'!E805:P805)-LARGE('서식지_점수'!E805:P805,2)&gt;=8,"보통","검토필요")))</x:f>
        <x:v>높음</x:v>
      </x:c>
      <x:c r="Y805" s="9" t="n">
        <x:f>IF(Q805="전설",8,IF(Q805="희귀",7,IF(J805="기본",1,IF(J805="중간",3,IF(J805="최종",IF(I805="",5,IF(I805&lt;=20,3,IF(I805&lt;=35,4,IF(I805&lt;=50,6,7)))),IF(Q805="드묾",4,2))))))</x:f>
        <x:v>8</x:v>
      </x:c>
      <x:c r="Z805" s="5" t="inlineStr">
        <x:is>
          <x:t xml:space="preserve">#cobblemon:is_taiga</x:t>
        </x:is>
      </x:c>
      <x:c r="AA805" s="5" t="inlineStr">
        <x:is>
          <x:t xml:space="preserve">ultra-rare</x:t>
        </x:is>
      </x:c>
      <x:c r="AB805" s="5" t="inlineStr">
        <x:is>
          <x:t xml:space="preserve">아니오</x:t>
        </x:is>
      </x:c>
      <x:c r="AC805" s="8" t="str">
        <x:f>IF(T805&lt;&gt;"","수동확정",IF(X805="검토필요","검토필요",IF(S805="","원본없음","초기완료")))</x:f>
        <x:v>초기완료</x:v>
      </x:c>
      <x:c r="AD805" s="7" t="inlineStr">
        <x:is>
          <x:t xml:space="preserve"/>
        </x:is>
      </x:c>
      <x:c r="AE805" s="5" t="inlineStr">
        <x:is>
          <x:t xml:space="preserve">.tmp/cobblemon-1.7.3-source/common/src/main/resources/data/cobblemon/species/generation7/magearna.json</x:t>
        </x:is>
      </x:c>
      <x:c r="AF805" s="5" t="str">
        <x:f>"생활권|"&amp;K805</x:f>
        <x:v>생활권|인공</x:v>
      </x:c>
      <x:c r="AG805" s="5" t="str">
        <x:f>"지형|"&amp;L805</x:f>
        <x:v>지형|수목</x:v>
      </x:c>
      <x:c r="AH805" s="5" t="str">
        <x:f>"온도|"&amp;M805</x:f>
        <x:v>온도|서늘</x:v>
      </x:c>
      <x:c r="AI805" s="5" t="str">
        <x:f>"습도|"&amp;N805</x:f>
        <x:v>습도|보통</x:v>
      </x:c>
      <x:c r="AJ805" s="5" t="str">
        <x:f>"날씨|"&amp;O805</x:f>
        <x:v>날씨|무관</x:v>
      </x:c>
      <x:c r="AK805" s="5" t="str">
        <x:f>"특수태그|"&amp;R805</x:f>
        <x:v>특수태그|전설</x:v>
      </x:c>
      <x:c r="AL805" s="5" t="str">
        <x:f>"원본서식지|"&amp;S805</x:f>
        <x:v>원본서식지|숲</x:v>
      </x:c>
      <x:c r="AM805" s="5" t="str">
        <x:f>"타입|"&amp;F805</x:f>
        <x:v>타입|강철</x:v>
      </x:c>
      <x:c r="AN805" s="5" t="str">
        <x:f>"타입|"&amp;G805</x:f>
        <x:v>타입|페어리</x:v>
      </x:c>
    </x:row>
    <x:row r="806" ht="24" customHeight="1">
      <x:c r="A806" s="5" t="n">
        <x:v>802</x:v>
      </x:c>
      <x:c r="B806" s="5" t="inlineStr">
        <x:is>
          <x:t xml:space="preserve">마샤도</x:t>
        </x:is>
      </x:c>
      <x:c r="C806" s="5" t="inlineStr">
        <x:is>
          <x:t xml:space="preserve">marshadow</x:t>
        </x:is>
      </x:c>
      <x:c r="D806" s="5" t="inlineStr">
        <x:is>
          <x:t xml:space="preserve">Marshadow</x:t>
        </x:is>
      </x:c>
      <x:c r="E806" s="5" t="n">
        <x:v>7</x:v>
      </x:c>
      <x:c r="F806" s="5" t="inlineStr">
        <x:is>
          <x:t xml:space="preserve">격투</x:t>
        </x:is>
      </x:c>
      <x:c r="G806" s="5" t="inlineStr">
        <x:is>
          <x:t xml:space="preserve">고스트</x:t>
        </x:is>
      </x:c>
      <x:c r="H806" s="6" t="n">
        <x:v>22.2</x:v>
      </x:c>
      <x:c r="I806" s="5" t="n"/>
      <x:c r="J806" s="5" t="inlineStr">
        <x:is>
          <x:t xml:space="preserve">무진화</x:t>
        </x:is>
      </x:c>
      <x:c r="K806" s="7" t="inlineStr">
        <x:is>
          <x:t xml:space="preserve">영체</x:t>
        </x:is>
      </x:c>
      <x:c r="L806" s="7" t="inlineStr">
        <x:is>
          <x:t xml:space="preserve">동굴</x:t>
        </x:is>
      </x:c>
      <x:c r="M806" s="7" t="inlineStr">
        <x:is>
          <x:t xml:space="preserve">온대</x:t>
        </x:is>
      </x:c>
      <x:c r="N806" s="7" t="inlineStr">
        <x:is>
          <x:t xml:space="preserve">보통</x:t>
        </x:is>
      </x:c>
      <x:c r="O806" s="7" t="inlineStr">
        <x:is>
          <x:t xml:space="preserve">안개</x:t>
        </x:is>
      </x:c>
      <x:c r="P806" s="7" t="inlineStr">
        <x:is>
          <x:t xml:space="preserve">밤</x:t>
        </x:is>
      </x:c>
      <x:c r="Q806" s="7" t="inlineStr">
        <x:is>
          <x:t xml:space="preserve">전설</x:t>
        </x:is>
      </x:c>
      <x:c r="R806" s="7" t="inlineStr">
        <x:is>
          <x:t xml:space="preserve">전설</x:t>
        </x:is>
      </x:c>
      <x:c r="S806" s="7" t="inlineStr">
        <x:is>
          <x:t xml:space="preserve">동굴</x:t>
        </x:is>
      </x:c>
      <x:c r="T806" s="7" t="inlineStr">
        <x:is>
          <x:t xml:space="preserve"/>
        </x:is>
      </x:c>
      <x:c r="U806" s="8" t="str">
        <x:f>INDEX('서식지_점수'!$E$4:$P$4,1,MATCH(MAX('서식지_점수'!E806:P806),'서식지_점수'!E806:P806,0))</x:f>
        <x:v>특수</x:v>
      </x:c>
      <x:c r="V806" s="8" t="str">
        <x:f>IF(T806&lt;&gt;"",T806,U806)</x:f>
        <x:v>특수</x:v>
      </x:c>
      <x:c r="W806" s="8" t="str">
        <x:f>IFERROR(INDEX('서식지_점수'!$E$4:$P$4,1,MATCH(MAXIFS('서식지_점수'!E806:P806,'서식지_점수'!E806:P806,"&lt;"&amp;MAX('서식지_점수'!E806:P806)),'서식지_점수'!E806:P806,0)),"")</x:f>
        <x:v>동굴</x:v>
      </x:c>
      <x:c r="X806" s="8" t="str">
        <x:f>IF(T806&lt;&gt;"","수동확정",IF(MAX('서식지_점수'!E806:P806)-LARGE('서식지_점수'!E806:P806,2)&gt;=15,"높음",IF(MAX('서식지_점수'!E806:P806)-LARGE('서식지_점수'!E806:P806,2)&gt;=8,"보통","검토필요")))</x:f>
        <x:v>높음</x:v>
      </x:c>
      <x:c r="Y806" s="9" t="n">
        <x:f>IF(Q806="전설",8,IF(Q806="희귀",7,IF(J806="기본",1,IF(J806="중간",3,IF(J806="최종",IF(I806="",5,IF(I806&lt;=20,3,IF(I806&lt;=35,4,IF(I806&lt;=50,6,7)))),IF(Q806="드묾",4,2))))))</x:f>
        <x:v>8</x:v>
      </x:c>
      <x:c r="Z806" s="5" t="inlineStr">
        <x:is>
          <x:t xml:space="preserve">#cobblemon:is_deep_dark</x:t>
        </x:is>
      </x:c>
      <x:c r="AA806" s="5" t="inlineStr">
        <x:is>
          <x:t xml:space="preserve">ultra-rare</x:t>
        </x:is>
      </x:c>
      <x:c r="AB806" s="5" t="inlineStr">
        <x:is>
          <x:t xml:space="preserve">아니오</x:t>
        </x:is>
      </x:c>
      <x:c r="AC806" s="8" t="str">
        <x:f>IF(T806&lt;&gt;"","수동확정",IF(X806="검토필요","검토필요",IF(S806="","원본없음","초기완료")))</x:f>
        <x:v>초기완료</x:v>
      </x:c>
      <x:c r="AD806" s="7" t="inlineStr">
        <x:is>
          <x:t xml:space="preserve"/>
        </x:is>
      </x:c>
      <x:c r="AE806" s="5" t="inlineStr">
        <x:is>
          <x:t xml:space="preserve">.tmp/cobblemon-1.7.3-source/common/src/main/resources/data/cobblemon/species/generation7/marshadow.json</x:t>
        </x:is>
      </x:c>
      <x:c r="AF806" s="5" t="str">
        <x:f>"생활권|"&amp;K806</x:f>
        <x:v>생활권|영체</x:v>
      </x:c>
      <x:c r="AG806" s="5" t="str">
        <x:f>"지형|"&amp;L806</x:f>
        <x:v>지형|동굴</x:v>
      </x:c>
      <x:c r="AH806" s="5" t="str">
        <x:f>"온도|"&amp;M806</x:f>
        <x:v>온도|온대</x:v>
      </x:c>
      <x:c r="AI806" s="5" t="str">
        <x:f>"습도|"&amp;N806</x:f>
        <x:v>습도|보통</x:v>
      </x:c>
      <x:c r="AJ806" s="5" t="str">
        <x:f>"날씨|"&amp;O806</x:f>
        <x:v>날씨|안개</x:v>
      </x:c>
      <x:c r="AK806" s="5" t="str">
        <x:f>"특수태그|"&amp;R806</x:f>
        <x:v>특수태그|전설</x:v>
      </x:c>
      <x:c r="AL806" s="5" t="str">
        <x:f>"원본서식지|"&amp;S806</x:f>
        <x:v>원본서식지|동굴</x:v>
      </x:c>
      <x:c r="AM806" s="5" t="str">
        <x:f>"타입|"&amp;F806</x:f>
        <x:v>타입|격투</x:v>
      </x:c>
      <x:c r="AN806" s="5" t="str">
        <x:f>"타입|"&amp;G806</x:f>
        <x:v>타입|고스트</x:v>
      </x:c>
    </x:row>
    <x:row r="807" ht="24" customHeight="1">
      <x:c r="A807" s="5" t="n">
        <x:v>803</x:v>
      </x:c>
      <x:c r="B807" s="5" t="inlineStr">
        <x:is>
          <x:t xml:space="preserve">베베놈</x:t>
        </x:is>
      </x:c>
      <x:c r="C807" s="5" t="inlineStr">
        <x:is>
          <x:t xml:space="preserve">poipole</x:t>
        </x:is>
      </x:c>
      <x:c r="D807" s="5" t="inlineStr">
        <x:is>
          <x:t xml:space="preserve">Poipole</x:t>
        </x:is>
      </x:c>
      <x:c r="E807" s="5" t="n">
        <x:v>7</x:v>
      </x:c>
      <x:c r="F807" s="5" t="inlineStr">
        <x:is>
          <x:t xml:space="preserve">독</x:t>
        </x:is>
      </x:c>
      <x:c r="G807" s="5" t="inlineStr">
        <x:is>
          <x:t xml:space="preserve"/>
        </x:is>
      </x:c>
      <x:c r="H807" s="6" t="n">
        <x:v>1.8</x:v>
      </x:c>
      <x:c r="I807" s="5" t="n"/>
      <x:c r="J807" s="5" t="inlineStr">
        <x:is>
          <x:t xml:space="preserve">기본</x:t>
        </x:is>
      </x:c>
      <x:c r="K807" s="7" t="inlineStr">
        <x:is>
          <x:t xml:space="preserve">비행</x:t>
        </x:is>
      </x:c>
      <x:c r="L807" s="7" t="inlineStr">
        <x:is>
          <x:t xml:space="preserve">개활지</x:t>
        </x:is>
      </x:c>
      <x:c r="M807" s="7" t="inlineStr">
        <x:is>
          <x:t xml:space="preserve">온대</x:t>
        </x:is>
      </x:c>
      <x:c r="N807" s="7" t="inlineStr">
        <x:is>
          <x:t xml:space="preserve">보통</x:t>
        </x:is>
      </x:c>
      <x:c r="O807" s="7" t="inlineStr">
        <x:is>
          <x:t xml:space="preserve">무관</x:t>
        </x:is>
      </x:c>
      <x:c r="P807" s="7" t="inlineStr">
        <x:is>
          <x:t xml:space="preserve">무관</x:t>
        </x:is>
      </x:c>
      <x:c r="Q807" s="7" t="inlineStr">
        <x:is>
          <x:t xml:space="preserve">전설</x:t>
        </x:is>
      </x:c>
      <x:c r="R807" s="7" t="inlineStr">
        <x:is>
          <x:t xml:space="preserve">전설</x:t>
        </x:is>
      </x:c>
      <x:c r="S807" s="7" t="inlineStr">
        <x:is>
          <x:t xml:space="preserve"/>
        </x:is>
      </x:c>
      <x:c r="T807" s="7" t="inlineStr">
        <x:is>
          <x:t xml:space="preserve"/>
        </x:is>
      </x:c>
      <x:c r="U807" s="8" t="str">
        <x:f>INDEX('서식지_점수'!$E$4:$P$4,1,MATCH(MAX('서식지_점수'!E807:P807),'서식지_점수'!E807:P807,0))</x:f>
        <x:v>산악</x:v>
      </x:c>
      <x:c r="V807" s="8" t="str">
        <x:f>IF(T807&lt;&gt;"",T807,U807)</x:f>
        <x:v>산악</x:v>
      </x:c>
      <x:c r="W807" s="8" t="str">
        <x:f>IFERROR(INDEX('서식지_점수'!$E$4:$P$4,1,MATCH(MAXIFS('서식지_점수'!E807:P807,'서식지_점수'!E807:P807,"&lt;"&amp;MAX('서식지_점수'!E807:P807)),'서식지_점수'!E807:P807,0)),"")</x:f>
        <x:v>평원</x:v>
      </x:c>
      <x:c r="X807" s="8" t="str">
        <x:f>IF(T807&lt;&gt;"","수동확정",IF(MAX('서식지_점수'!E807:P807)-LARGE('서식지_점수'!E807:P807,2)&gt;=15,"높음",IF(MAX('서식지_점수'!E807:P807)-LARGE('서식지_점수'!E807:P807,2)&gt;=8,"보통","검토필요")))</x:f>
        <x:v>검토필요</x:v>
      </x:c>
      <x:c r="Y807" s="9" t="n">
        <x:f>IF(Q807="전설",8,IF(Q807="희귀",7,IF(J807="기본",1,IF(J807="중간",3,IF(J807="최종",IF(I807="",5,IF(I807&lt;=20,3,IF(I807&lt;=35,4,IF(I807&lt;=50,6,7)))),IF(Q807="드묾",4,2))))))</x:f>
        <x:v>8</x:v>
      </x:c>
      <x:c r="Z807" s="5" t="inlineStr">
        <x:is>
          <x:t xml:space="preserve">#cobblemon:is_end</x:t>
        </x:is>
      </x:c>
      <x:c r="AA807" s="5" t="inlineStr">
        <x:is>
          <x:t xml:space="preserve">ultra-rare</x:t>
        </x:is>
      </x:c>
      <x:c r="AB807" s="5" t="inlineStr">
        <x:is>
          <x:t xml:space="preserve">예</x:t>
        </x:is>
      </x:c>
      <x:c r="AC807" s="8" t="str">
        <x:f>IF(T807&lt;&gt;"","수동확정",IF(X807="검토필요","검토필요",IF(S807="","원본없음","초기완료")))</x:f>
        <x:v>검토필요</x:v>
      </x:c>
      <x:c r="AD807" s="7" t="inlineStr">
        <x:is>
          <x:t xml:space="preserve"/>
        </x:is>
      </x:c>
      <x:c r="AE807" s="5" t="inlineStr">
        <x:is>
          <x:t xml:space="preserve">.tmp/cobblemon-1.7.3-source/common/src/main/resources/data/cobblemon/species/generation7/poipole.json</x:t>
        </x:is>
      </x:c>
      <x:c r="AF807" s="5" t="str">
        <x:f>"생활권|"&amp;K807</x:f>
        <x:v>생활권|비행</x:v>
      </x:c>
      <x:c r="AG807" s="5" t="str">
        <x:f>"지형|"&amp;L807</x:f>
        <x:v>지형|개활지</x:v>
      </x:c>
      <x:c r="AH807" s="5" t="str">
        <x:f>"온도|"&amp;M807</x:f>
        <x:v>온도|온대</x:v>
      </x:c>
      <x:c r="AI807" s="5" t="str">
        <x:f>"습도|"&amp;N807</x:f>
        <x:v>습도|보통</x:v>
      </x:c>
      <x:c r="AJ807" s="5" t="str">
        <x:f>"날씨|"&amp;O807</x:f>
        <x:v>날씨|무관</x:v>
      </x:c>
      <x:c r="AK807" s="5" t="str">
        <x:f>"특수태그|"&amp;R807</x:f>
        <x:v>특수태그|전설</x:v>
      </x:c>
      <x:c r="AL807" s="5" t="str">
        <x:f>"원본서식지|"&amp;S807</x:f>
        <x:v>원본서식지|</x:v>
      </x:c>
      <x:c r="AM807" s="5" t="str">
        <x:f>"타입|"&amp;F807</x:f>
        <x:v>타입|독</x:v>
      </x:c>
      <x:c r="AN807" s="5" t="str">
        <x:f>"타입|"&amp;G807</x:f>
        <x:v>타입|</x:v>
      </x:c>
    </x:row>
    <x:row r="808" ht="24" customHeight="1">
      <x:c r="A808" s="5" t="n">
        <x:v>804</x:v>
      </x:c>
      <x:c r="B808" s="5" t="inlineStr">
        <x:is>
          <x:t xml:space="preserve">아고용</x:t>
        </x:is>
      </x:c>
      <x:c r="C808" s="5" t="inlineStr">
        <x:is>
          <x:t xml:space="preserve">naganadel</x:t>
        </x:is>
      </x:c>
      <x:c r="D808" s="5" t="inlineStr">
        <x:is>
          <x:t xml:space="preserve">Naganadel</x:t>
        </x:is>
      </x:c>
      <x:c r="E808" s="5" t="n">
        <x:v>7</x:v>
      </x:c>
      <x:c r="F808" s="5" t="inlineStr">
        <x:is>
          <x:t xml:space="preserve">독</x:t>
        </x:is>
      </x:c>
      <x:c r="G808" s="5" t="inlineStr">
        <x:is>
          <x:t xml:space="preserve">드래곤</x:t>
        </x:is>
      </x:c>
      <x:c r="H808" s="6" t="n">
        <x:v>150</x:v>
      </x:c>
      <x:c r="I808" s="5" t="n"/>
      <x:c r="J808" s="5" t="inlineStr">
        <x:is>
          <x:t xml:space="preserve">최종</x:t>
        </x:is>
      </x:c>
      <x:c r="K808" s="7" t="inlineStr">
        <x:is>
          <x:t xml:space="preserve">비행</x:t>
        </x:is>
      </x:c>
      <x:c r="L808" s="7" t="inlineStr">
        <x:is>
          <x:t xml:space="preserve">개활지</x:t>
        </x:is>
      </x:c>
      <x:c r="M808" s="7" t="inlineStr">
        <x:is>
          <x:t xml:space="preserve">온대</x:t>
        </x:is>
      </x:c>
      <x:c r="N808" s="7" t="inlineStr">
        <x:is>
          <x:t xml:space="preserve">보통</x:t>
        </x:is>
      </x:c>
      <x:c r="O808" s="7" t="inlineStr">
        <x:is>
          <x:t xml:space="preserve">무관</x:t>
        </x:is>
      </x:c>
      <x:c r="P808" s="7" t="inlineStr">
        <x:is>
          <x:t xml:space="preserve">무관</x:t>
        </x:is>
      </x:c>
      <x:c r="Q808" s="7" t="inlineStr">
        <x:is>
          <x:t xml:space="preserve">전설</x:t>
        </x:is>
      </x:c>
      <x:c r="R808" s="7" t="inlineStr">
        <x:is>
          <x:t xml:space="preserve">전설</x:t>
        </x:is>
      </x:c>
      <x:c r="S808" s="7" t="inlineStr">
        <x:is>
          <x:t xml:space="preserve"/>
        </x:is>
      </x:c>
      <x:c r="T808" s="7" t="inlineStr">
        <x:is>
          <x:t xml:space="preserve"/>
        </x:is>
      </x:c>
      <x:c r="U808" s="8" t="str">
        <x:f>INDEX('서식지_점수'!$E$4:$P$4,1,MATCH(MAX('서식지_점수'!E808:P808),'서식지_점수'!E808:P808,0))</x:f>
        <x:v>산악</x:v>
      </x:c>
      <x:c r="V808" s="8" t="str">
        <x:f>IF(T808&lt;&gt;"",T808,U808)</x:f>
        <x:v>산악</x:v>
      </x:c>
      <x:c r="W808" s="8" t="str">
        <x:f>IFERROR(INDEX('서식지_점수'!$E$4:$P$4,1,MATCH(MAXIFS('서식지_점수'!E808:P808,'서식지_점수'!E808:P808,"&lt;"&amp;MAX('서식지_점수'!E808:P808)),'서식지_점수'!E808:P808,0)),"")</x:f>
        <x:v>평원</x:v>
      </x:c>
      <x:c r="X808" s="8" t="str">
        <x:f>IF(T808&lt;&gt;"","수동확정",IF(MAX('서식지_점수'!E808:P808)-LARGE('서식지_점수'!E808:P808,2)&gt;=15,"높음",IF(MAX('서식지_점수'!E808:P808)-LARGE('서식지_점수'!E808:P808,2)&gt;=8,"보통","검토필요")))</x:f>
        <x:v>검토필요</x:v>
      </x:c>
      <x:c r="Y808" s="9" t="n">
        <x:f>IF(Q808="전설",8,IF(Q808="희귀",7,IF(J808="기본",1,IF(J808="중간",3,IF(J808="최종",IF(I808="",5,IF(I808&lt;=20,3,IF(I808&lt;=35,4,IF(I808&lt;=50,6,7)))),IF(Q808="드묾",4,2))))))</x:f>
        <x:v>8</x:v>
      </x:c>
      <x:c r="Z808" s="5" t="inlineStr">
        <x:is>
          <x:t xml:space="preserve">#minecraft:is_end</x:t>
        </x:is>
      </x:c>
      <x:c r="AA808" s="5" t="inlineStr">
        <x:is>
          <x:t xml:space="preserve">ultra-rare</x:t>
        </x:is>
      </x:c>
      <x:c r="AB808" s="5" t="inlineStr">
        <x:is>
          <x:t xml:space="preserve">예</x:t>
        </x:is>
      </x:c>
      <x:c r="AC808" s="8" t="str">
        <x:f>IF(T808&lt;&gt;"","수동확정",IF(X808="검토필요","검토필요",IF(S808="","원본없음","초기완료")))</x:f>
        <x:v>검토필요</x:v>
      </x:c>
      <x:c r="AD808" s="7" t="inlineStr">
        <x:is>
          <x:t xml:space="preserve"/>
        </x:is>
      </x:c>
      <x:c r="AE808" s="5" t="inlineStr">
        <x:is>
          <x:t xml:space="preserve">.tmp/cobblemon-1.7.3-source/common/src/main/resources/data/cobblemon/species/generation7/naganadel.json</x:t>
        </x:is>
      </x:c>
      <x:c r="AF808" s="5" t="str">
        <x:f>"생활권|"&amp;K808</x:f>
        <x:v>생활권|비행</x:v>
      </x:c>
      <x:c r="AG808" s="5" t="str">
        <x:f>"지형|"&amp;L808</x:f>
        <x:v>지형|개활지</x:v>
      </x:c>
      <x:c r="AH808" s="5" t="str">
        <x:f>"온도|"&amp;M808</x:f>
        <x:v>온도|온대</x:v>
      </x:c>
      <x:c r="AI808" s="5" t="str">
        <x:f>"습도|"&amp;N808</x:f>
        <x:v>습도|보통</x:v>
      </x:c>
      <x:c r="AJ808" s="5" t="str">
        <x:f>"날씨|"&amp;O808</x:f>
        <x:v>날씨|무관</x:v>
      </x:c>
      <x:c r="AK808" s="5" t="str">
        <x:f>"특수태그|"&amp;R808</x:f>
        <x:v>특수태그|전설</x:v>
      </x:c>
      <x:c r="AL808" s="5" t="str">
        <x:f>"원본서식지|"&amp;S808</x:f>
        <x:v>원본서식지|</x:v>
      </x:c>
      <x:c r="AM808" s="5" t="str">
        <x:f>"타입|"&amp;F808</x:f>
        <x:v>타입|독</x:v>
      </x:c>
      <x:c r="AN808" s="5" t="str">
        <x:f>"타입|"&amp;G808</x:f>
        <x:v>타입|드래곤</x:v>
      </x:c>
    </x:row>
    <x:row r="809" ht="24" customHeight="1">
      <x:c r="A809" s="5" t="n">
        <x:v>805</x:v>
      </x:c>
      <x:c r="B809" s="5" t="inlineStr">
        <x:is>
          <x:t xml:space="preserve">차곡차곡</x:t>
        </x:is>
      </x:c>
      <x:c r="C809" s="5" t="inlineStr">
        <x:is>
          <x:t xml:space="preserve">stakataka</x:t>
        </x:is>
      </x:c>
      <x:c r="D809" s="5" t="inlineStr">
        <x:is>
          <x:t xml:space="preserve">Stakataka</x:t>
        </x:is>
      </x:c>
      <x:c r="E809" s="5" t="n">
        <x:v>7</x:v>
      </x:c>
      <x:c r="F809" s="5" t="inlineStr">
        <x:is>
          <x:t xml:space="preserve">바위</x:t>
        </x:is>
      </x:c>
      <x:c r="G809" s="5" t="inlineStr">
        <x:is>
          <x:t xml:space="preserve">강철</x:t>
        </x:is>
      </x:c>
      <x:c r="H809" s="6" t="n">
        <x:v>820</x:v>
      </x:c>
      <x:c r="I809" s="5" t="n"/>
      <x:c r="J809" s="5" t="inlineStr">
        <x:is>
          <x:t xml:space="preserve">무진화</x:t>
        </x:is>
      </x:c>
      <x:c r="K809" s="7" t="inlineStr">
        <x:is>
          <x:t xml:space="preserve">지하</x:t>
        </x:is>
      </x:c>
      <x:c r="L809" s="7" t="inlineStr">
        <x:is>
          <x:t xml:space="preserve">동굴</x:t>
        </x:is>
      </x:c>
      <x:c r="M809" s="7" t="inlineStr">
        <x:is>
          <x:t xml:space="preserve">온대</x:t>
        </x:is>
      </x:c>
      <x:c r="N809" s="7" t="inlineStr">
        <x:is>
          <x:t xml:space="preserve">보통</x:t>
        </x:is>
      </x:c>
      <x:c r="O809" s="7" t="inlineStr">
        <x:is>
          <x:t xml:space="preserve">무관</x:t>
        </x:is>
      </x:c>
      <x:c r="P809" s="7" t="inlineStr">
        <x:is>
          <x:t xml:space="preserve">무관</x:t>
        </x:is>
      </x:c>
      <x:c r="Q809" s="7" t="inlineStr">
        <x:is>
          <x:t xml:space="preserve">전설</x:t>
        </x:is>
      </x:c>
      <x:c r="R809" s="7" t="inlineStr">
        <x:is>
          <x:t xml:space="preserve">전설</x:t>
        </x:is>
      </x:c>
      <x:c r="S809" s="7" t="inlineStr">
        <x:is>
          <x:t xml:space="preserve">동굴</x:t>
        </x:is>
      </x:c>
      <x:c r="T809" s="7" t="inlineStr">
        <x:is>
          <x:t xml:space="preserve"/>
        </x:is>
      </x:c>
      <x:c r="U809" s="8" t="str">
        <x:f>INDEX('서식지_점수'!$E$4:$P$4,1,MATCH(MAX('서식지_점수'!E809:P809),'서식지_점수'!E809:P809,0))</x:f>
        <x:v>동굴</x:v>
      </x:c>
      <x:c r="V809" s="8" t="str">
        <x:f>IF(T809&lt;&gt;"",T809,U809)</x:f>
        <x:v>동굴</x:v>
      </x:c>
      <x:c r="W809" s="8" t="str">
        <x:f>IFERROR(INDEX('서식지_점수'!$E$4:$P$4,1,MATCH(MAXIFS('서식지_점수'!E809:P809,'서식지_점수'!E809:P809,"&lt;"&amp;MAX('서식지_점수'!E809:P809)),'서식지_점수'!E809:P809,0)),"")</x:f>
        <x:v>산악</x:v>
      </x:c>
      <x:c r="X809" s="8" t="str">
        <x:f>IF(T809&lt;&gt;"","수동확정",IF(MAX('서식지_점수'!E809:P809)-LARGE('서식지_점수'!E809:P809,2)&gt;=15,"높음",IF(MAX('서식지_점수'!E809:P809)-LARGE('서식지_점수'!E809:P809,2)&gt;=8,"보통","검토필요")))</x:f>
        <x:v>높음</x:v>
      </x:c>
      <x:c r="Y809" s="9" t="n">
        <x:f>IF(Q809="전설",8,IF(Q809="희귀",7,IF(J809="기본",1,IF(J809="중간",3,IF(J809="최종",IF(I809="",5,IF(I809&lt;=20,3,IF(I809&lt;=35,4,IF(I809&lt;=50,6,7)))),IF(Q809="드묾",4,2))))))</x:f>
        <x:v>8</x:v>
      </x:c>
      <x:c r="Z809" s="5" t="inlineStr">
        <x:is>
          <x:t xml:space="preserve">minecraft:deep_dark</x:t>
        </x:is>
      </x:c>
      <x:c r="AA809" s="5" t="inlineStr">
        <x:is>
          <x:t xml:space="preserve">ultra-rare</x:t>
        </x:is>
      </x:c>
      <x:c r="AB809" s="5" t="inlineStr">
        <x:is>
          <x:t xml:space="preserve">아니오</x:t>
        </x:is>
      </x:c>
      <x:c r="AC809" s="8" t="str">
        <x:f>IF(T809&lt;&gt;"","수동확정",IF(X809="검토필요","검토필요",IF(S809="","원본없음","초기완료")))</x:f>
        <x:v>초기완료</x:v>
      </x:c>
      <x:c r="AD809" s="7" t="inlineStr">
        <x:is>
          <x:t xml:space="preserve"/>
        </x:is>
      </x:c>
      <x:c r="AE809" s="5" t="inlineStr">
        <x:is>
          <x:t xml:space="preserve">.tmp/cobblemon-1.7.3-source/common/src/main/resources/data/cobblemon/species/generation7/stakataka.json</x:t>
        </x:is>
      </x:c>
      <x:c r="AF809" s="5" t="str">
        <x:f>"생활권|"&amp;K809</x:f>
        <x:v>생활권|지하</x:v>
      </x:c>
      <x:c r="AG809" s="5" t="str">
        <x:f>"지형|"&amp;L809</x:f>
        <x:v>지형|동굴</x:v>
      </x:c>
      <x:c r="AH809" s="5" t="str">
        <x:f>"온도|"&amp;M809</x:f>
        <x:v>온도|온대</x:v>
      </x:c>
      <x:c r="AI809" s="5" t="str">
        <x:f>"습도|"&amp;N809</x:f>
        <x:v>습도|보통</x:v>
      </x:c>
      <x:c r="AJ809" s="5" t="str">
        <x:f>"날씨|"&amp;O809</x:f>
        <x:v>날씨|무관</x:v>
      </x:c>
      <x:c r="AK809" s="5" t="str">
        <x:f>"특수태그|"&amp;R809</x:f>
        <x:v>특수태그|전설</x:v>
      </x:c>
      <x:c r="AL809" s="5" t="str">
        <x:f>"원본서식지|"&amp;S809</x:f>
        <x:v>원본서식지|동굴</x:v>
      </x:c>
      <x:c r="AM809" s="5" t="str">
        <x:f>"타입|"&amp;F809</x:f>
        <x:v>타입|바위</x:v>
      </x:c>
      <x:c r="AN809" s="5" t="str">
        <x:f>"타입|"&amp;G809</x:f>
        <x:v>타입|강철</x:v>
      </x:c>
    </x:row>
    <x:row r="810" ht="24" customHeight="1">
      <x:c r="A810" s="5" t="n">
        <x:v>806</x:v>
      </x:c>
      <x:c r="B810" s="5" t="inlineStr">
        <x:is>
          <x:t xml:space="preserve">두파팡</x:t>
        </x:is>
      </x:c>
      <x:c r="C810" s="5" t="inlineStr">
        <x:is>
          <x:t xml:space="preserve">blacephalon</x:t>
        </x:is>
      </x:c>
      <x:c r="D810" s="5" t="inlineStr">
        <x:is>
          <x:t xml:space="preserve">Blacephalon</x:t>
        </x:is>
      </x:c>
      <x:c r="E810" s="5" t="n">
        <x:v>7</x:v>
      </x:c>
      <x:c r="F810" s="5" t="inlineStr">
        <x:is>
          <x:t xml:space="preserve">불꽃</x:t>
        </x:is>
      </x:c>
      <x:c r="G810" s="5" t="inlineStr">
        <x:is>
          <x:t xml:space="preserve">고스트</x:t>
        </x:is>
      </x:c>
      <x:c r="H810" s="6" t="n">
        <x:v>13</x:v>
      </x:c>
      <x:c r="I810" s="5" t="n"/>
      <x:c r="J810" s="5" t="inlineStr">
        <x:is>
          <x:t xml:space="preserve">무진화</x:t>
        </x:is>
      </x:c>
      <x:c r="K810" s="7" t="inlineStr">
        <x:is>
          <x:t xml:space="preserve">영체</x:t>
        </x:is>
      </x:c>
      <x:c r="L810" s="7" t="inlineStr">
        <x:is>
          <x:t xml:space="preserve">특수</x:t>
        </x:is>
      </x:c>
      <x:c r="M810" s="7" t="inlineStr">
        <x:is>
          <x:t xml:space="preserve">고온</x:t>
        </x:is>
      </x:c>
      <x:c r="N810" s="7" t="inlineStr">
        <x:is>
          <x:t xml:space="preserve">보통</x:t>
        </x:is>
      </x:c>
      <x:c r="O810" s="7" t="inlineStr">
        <x:is>
          <x:t xml:space="preserve">안개</x:t>
        </x:is>
      </x:c>
      <x:c r="P810" s="7" t="inlineStr">
        <x:is>
          <x:t xml:space="preserve">밤</x:t>
        </x:is>
      </x:c>
      <x:c r="Q810" s="7" t="inlineStr">
        <x:is>
          <x:t xml:space="preserve">전설</x:t>
        </x:is>
      </x:c>
      <x:c r="R810" s="7" t="inlineStr">
        <x:is>
          <x:t xml:space="preserve">전설</x:t>
        </x:is>
      </x:c>
      <x:c r="S810" s="7" t="inlineStr">
        <x:is>
          <x:t xml:space="preserve">특수</x:t>
        </x:is>
      </x:c>
      <x:c r="T810" s="7" t="inlineStr">
        <x:is>
          <x:t xml:space="preserve"/>
        </x:is>
      </x:c>
      <x:c r="U810" s="8" t="str">
        <x:f>INDEX('서식지_점수'!$E$4:$P$4,1,MATCH(MAX('서식지_점수'!E810:P810),'서식지_점수'!E810:P810,0))</x:f>
        <x:v>특수</x:v>
      </x:c>
      <x:c r="V810" s="8" t="str">
        <x:f>IF(T810&lt;&gt;"",T810,U810)</x:f>
        <x:v>특수</x:v>
      </x:c>
      <x:c r="W810" s="8" t="str">
        <x:f>IFERROR(INDEX('서식지_점수'!$E$4:$P$4,1,MATCH(MAXIFS('서식지_점수'!E810:P810,'서식지_점수'!E810:P810,"&lt;"&amp;MAX('서식지_점수'!E810:P810)),'서식지_점수'!E810:P810,0)),"")</x:f>
        <x:v>동굴</x:v>
      </x:c>
      <x:c r="X810" s="8" t="str">
        <x:f>IF(T810&lt;&gt;"","수동확정",IF(MAX('서식지_점수'!E810:P810)-LARGE('서식지_점수'!E810:P810,2)&gt;=15,"높음",IF(MAX('서식지_점수'!E810:P810)-LARGE('서식지_점수'!E810:P810,2)&gt;=8,"보통","검토필요")))</x:f>
        <x:v>높음</x:v>
      </x:c>
      <x:c r="Y810" s="9" t="n">
        <x:f>IF(Q810="전설",8,IF(Q810="희귀",7,IF(J810="기본",1,IF(J810="중간",3,IF(J810="최종",IF(I810="",5,IF(I810&lt;=20,3,IF(I810&lt;=35,4,IF(I810&lt;=50,6,7)))),IF(Q810="드묾",4,2))))))</x:f>
        <x:v>8</x:v>
      </x:c>
      <x:c r="Z810" s="5" t="inlineStr">
        <x:is>
          <x:t xml:space="preserve">#cobblemon:is_spooky</x:t>
        </x:is>
      </x:c>
      <x:c r="AA810" s="5" t="inlineStr">
        <x:is>
          <x:t xml:space="preserve">ultra-rare</x:t>
        </x:is>
      </x:c>
      <x:c r="AB810" s="5" t="inlineStr">
        <x:is>
          <x:t xml:space="preserve">아니오</x:t>
        </x:is>
      </x:c>
      <x:c r="AC810" s="8" t="str">
        <x:f>IF(T810&lt;&gt;"","수동확정",IF(X810="검토필요","검토필요",IF(S810="","원본없음","초기완료")))</x:f>
        <x:v>초기완료</x:v>
      </x:c>
      <x:c r="AD810" s="7" t="inlineStr">
        <x:is>
          <x:t xml:space="preserve"/>
        </x:is>
      </x:c>
      <x:c r="AE810" s="5" t="inlineStr">
        <x:is>
          <x:t xml:space="preserve">.tmp/cobblemon-1.7.3-source/common/src/main/resources/data/cobblemon/species/generation7/blacephalon.json</x:t>
        </x:is>
      </x:c>
      <x:c r="AF810" s="5" t="str">
        <x:f>"생활권|"&amp;K810</x:f>
        <x:v>생활권|영체</x:v>
      </x:c>
      <x:c r="AG810" s="5" t="str">
        <x:f>"지형|"&amp;L810</x:f>
        <x:v>지형|특수</x:v>
      </x:c>
      <x:c r="AH810" s="5" t="str">
        <x:f>"온도|"&amp;M810</x:f>
        <x:v>온도|고온</x:v>
      </x:c>
      <x:c r="AI810" s="5" t="str">
        <x:f>"습도|"&amp;N810</x:f>
        <x:v>습도|보통</x:v>
      </x:c>
      <x:c r="AJ810" s="5" t="str">
        <x:f>"날씨|"&amp;O810</x:f>
        <x:v>날씨|안개</x:v>
      </x:c>
      <x:c r="AK810" s="5" t="str">
        <x:f>"특수태그|"&amp;R810</x:f>
        <x:v>특수태그|전설</x:v>
      </x:c>
      <x:c r="AL810" s="5" t="str">
        <x:f>"원본서식지|"&amp;S810</x:f>
        <x:v>원본서식지|특수</x:v>
      </x:c>
      <x:c r="AM810" s="5" t="str">
        <x:f>"타입|"&amp;F810</x:f>
        <x:v>타입|불꽃</x:v>
      </x:c>
      <x:c r="AN810" s="5" t="str">
        <x:f>"타입|"&amp;G810</x:f>
        <x:v>타입|고스트</x:v>
      </x:c>
    </x:row>
    <x:row r="811" ht="24" customHeight="1">
      <x:c r="A811" s="5" t="n">
        <x:v>807</x:v>
      </x:c>
      <x:c r="B811" s="5" t="inlineStr">
        <x:is>
          <x:t xml:space="preserve">제라오라</x:t>
        </x:is>
      </x:c>
      <x:c r="C811" s="5" t="inlineStr">
        <x:is>
          <x:t xml:space="preserve">zeraora</x:t>
        </x:is>
      </x:c>
      <x:c r="D811" s="5" t="inlineStr">
        <x:is>
          <x:t xml:space="preserve">Zeraora</x:t>
        </x:is>
      </x:c>
      <x:c r="E811" s="5" t="n">
        <x:v>7</x:v>
      </x:c>
      <x:c r="F811" s="5" t="inlineStr">
        <x:is>
          <x:t xml:space="preserve">전기</x:t>
        </x:is>
      </x:c>
      <x:c r="G811" s="5" t="inlineStr">
        <x:is>
          <x:t xml:space="preserve"/>
        </x:is>
      </x:c>
      <x:c r="H811" s="6" t="n">
        <x:v>44.5</x:v>
      </x:c>
      <x:c r="I811" s="5" t="n"/>
      <x:c r="J811" s="5" t="inlineStr">
        <x:is>
          <x:t xml:space="preserve">무진화</x:t>
        </x:is>
      </x:c>
      <x:c r="K811" s="7" t="inlineStr">
        <x:is>
          <x:t xml:space="preserve">육상</x:t>
        </x:is>
      </x:c>
      <x:c r="L811" s="7" t="inlineStr">
        <x:is>
          <x:t xml:space="preserve">건조</x:t>
        </x:is>
      </x:c>
      <x:c r="M811" s="7" t="inlineStr">
        <x:is>
          <x:t xml:space="preserve">고온</x:t>
        </x:is>
      </x:c>
      <x:c r="N811" s="7" t="inlineStr">
        <x:is>
          <x:t xml:space="preserve">건조</x:t>
        </x:is>
      </x:c>
      <x:c r="O811" s="7" t="inlineStr">
        <x:is>
          <x:t xml:space="preserve">맑음</x:t>
        </x:is>
      </x:c>
      <x:c r="P811" s="7" t="inlineStr">
        <x:is>
          <x:t xml:space="preserve">무관</x:t>
        </x:is>
      </x:c>
      <x:c r="Q811" s="7" t="inlineStr">
        <x:is>
          <x:t xml:space="preserve">전설</x:t>
        </x:is>
      </x:c>
      <x:c r="R811" s="7" t="inlineStr">
        <x:is>
          <x:t xml:space="preserve">전설</x:t>
        </x:is>
      </x:c>
      <x:c r="S811" s="7" t="inlineStr">
        <x:is>
          <x:t xml:space="preserve">건조지</x:t>
        </x:is>
      </x:c>
      <x:c r="T811" s="7" t="inlineStr">
        <x:is>
          <x:t xml:space="preserve"/>
        </x:is>
      </x:c>
      <x:c r="U811" s="8" t="str">
        <x:f>INDEX('서식지_점수'!$E$4:$P$4,1,MATCH(MAX('서식지_점수'!E811:P811),'서식지_점수'!E811:P811,0))</x:f>
        <x:v>평원</x:v>
      </x:c>
      <x:c r="V811" s="8" t="str">
        <x:f>IF(T811&lt;&gt;"",T811,U811)</x:f>
        <x:v>평원</x:v>
      </x:c>
      <x:c r="W811" s="8" t="str">
        <x:f>IFERROR(INDEX('서식지_점수'!$E$4:$P$4,1,MATCH(MAXIFS('서식지_점수'!E811:P811,'서식지_점수'!E811:P811,"&lt;"&amp;MAX('서식지_점수'!E811:P811)),'서식지_점수'!E811:P811,0)),"")</x:f>
        <x:v>숲</x:v>
      </x:c>
      <x:c r="X811" s="8" t="str">
        <x:f>IF(T811&lt;&gt;"","수동확정",IF(MAX('서식지_점수'!E811:P811)-LARGE('서식지_점수'!E811:P811,2)&gt;=15,"높음",IF(MAX('서식지_점수'!E811:P811)-LARGE('서식지_점수'!E811:P811,2)&gt;=8,"보통","검토필요")))</x:f>
        <x:v>검토필요</x:v>
      </x:c>
      <x:c r="Y811" s="9" t="n">
        <x:f>IF(Q811="전설",8,IF(Q811="희귀",7,IF(J811="기본",1,IF(J811="중간",3,IF(J811="최종",IF(I811="",5,IF(I811&lt;=20,3,IF(I811&lt;=35,4,IF(I811&lt;=50,6,7)))),IF(Q811="드묾",4,2))))))</x:f>
        <x:v>8</x:v>
      </x:c>
      <x:c r="Z811" s="5" t="inlineStr">
        <x:is>
          <x:t xml:space="preserve">#cobblemon:is_badlands; #minecraft:is_forest</x:t>
        </x:is>
      </x:c>
      <x:c r="AA811" s="5" t="inlineStr">
        <x:is>
          <x:t xml:space="preserve">ultra-rare</x:t>
        </x:is>
      </x:c>
      <x:c r="AB811" s="5" t="inlineStr">
        <x:is>
          <x:t xml:space="preserve">아니오</x:t>
        </x:is>
      </x:c>
      <x:c r="AC811" s="8" t="str">
        <x:f>IF(T811&lt;&gt;"","수동확정",IF(X811="검토필요","검토필요",IF(S811="","원본없음","초기완료")))</x:f>
        <x:v>검토필요</x:v>
      </x:c>
      <x:c r="AD811" s="7" t="inlineStr">
        <x:is>
          <x:t xml:space="preserve"/>
        </x:is>
      </x:c>
      <x:c r="AE811" s="5" t="inlineStr">
        <x:is>
          <x:t xml:space="preserve">.tmp/cobblemon-1.7.3-source/common/src/main/resources/data/cobblemon/species/generation7/zeraora.json</x:t>
        </x:is>
      </x:c>
      <x:c r="AF811" s="5" t="str">
        <x:f>"생활권|"&amp;K811</x:f>
        <x:v>생활권|육상</x:v>
      </x:c>
      <x:c r="AG811" s="5" t="str">
        <x:f>"지형|"&amp;L811</x:f>
        <x:v>지형|건조</x:v>
      </x:c>
      <x:c r="AH811" s="5" t="str">
        <x:f>"온도|"&amp;M811</x:f>
        <x:v>온도|고온</x:v>
      </x:c>
      <x:c r="AI811" s="5" t="str">
        <x:f>"습도|"&amp;N811</x:f>
        <x:v>습도|건조</x:v>
      </x:c>
      <x:c r="AJ811" s="5" t="str">
        <x:f>"날씨|"&amp;O811</x:f>
        <x:v>날씨|맑음</x:v>
      </x:c>
      <x:c r="AK811" s="5" t="str">
        <x:f>"특수태그|"&amp;R811</x:f>
        <x:v>특수태그|전설</x:v>
      </x:c>
      <x:c r="AL811" s="5" t="str">
        <x:f>"원본서식지|"&amp;S811</x:f>
        <x:v>원본서식지|건조지</x:v>
      </x:c>
      <x:c r="AM811" s="5" t="str">
        <x:f>"타입|"&amp;F811</x:f>
        <x:v>타입|전기</x:v>
      </x:c>
      <x:c r="AN811" s="5" t="str">
        <x:f>"타입|"&amp;G811</x:f>
        <x:v>타입|</x:v>
      </x:c>
    </x:row>
    <x:row r="812" ht="24" customHeight="1">
      <x:c r="A812" s="5" t="n">
        <x:v>808</x:v>
      </x:c>
      <x:c r="B812" s="5" t="inlineStr">
        <x:is>
          <x:t xml:space="preserve">멜탄</x:t>
        </x:is>
      </x:c>
      <x:c r="C812" s="5" t="inlineStr">
        <x:is>
          <x:t xml:space="preserve">meltan</x:t>
        </x:is>
      </x:c>
      <x:c r="D812" s="5" t="inlineStr">
        <x:is>
          <x:t xml:space="preserve">Meltan</x:t>
        </x:is>
      </x:c>
      <x:c r="E812" s="5" t="n">
        <x:v>7</x:v>
      </x:c>
      <x:c r="F812" s="5" t="inlineStr">
        <x:is>
          <x:t xml:space="preserve">강철</x:t>
        </x:is>
      </x:c>
      <x:c r="G812" s="5" t="inlineStr">
        <x:is>
          <x:t xml:space="preserve"/>
        </x:is>
      </x:c>
      <x:c r="H812" s="6" t="n">
        <x:v>8</x:v>
      </x:c>
      <x:c r="I812" s="5" t="n"/>
      <x:c r="J812" s="5" t="inlineStr">
        <x:is>
          <x:t xml:space="preserve">무진화</x:t>
        </x:is>
      </x:c>
      <x:c r="K812" s="7" t="inlineStr">
        <x:is>
          <x:t xml:space="preserve">인공</x:t>
        </x:is>
      </x:c>
      <x:c r="L812" s="7" t="inlineStr">
        <x:is>
          <x:t xml:space="preserve">해안·해양</x:t>
        </x:is>
      </x:c>
      <x:c r="M812" s="7" t="inlineStr">
        <x:is>
          <x:t xml:space="preserve">온대</x:t>
        </x:is>
      </x:c>
      <x:c r="N812" s="7" t="inlineStr">
        <x:is>
          <x:t xml:space="preserve">보통</x:t>
        </x:is>
      </x:c>
      <x:c r="O812" s="7" t="inlineStr">
        <x:is>
          <x:t xml:space="preserve">비</x:t>
        </x:is>
      </x:c>
      <x:c r="P812" s="7" t="inlineStr">
        <x:is>
          <x:t xml:space="preserve">무관</x:t>
        </x:is>
      </x:c>
      <x:c r="Q812" s="7" t="inlineStr">
        <x:is>
          <x:t xml:space="preserve">전설</x:t>
        </x:is>
      </x:c>
      <x:c r="R812" s="7" t="inlineStr">
        <x:is>
          <x:t xml:space="preserve">전설</x:t>
        </x:is>
      </x:c>
      <x:c r="S812" s="7" t="inlineStr">
        <x:is>
          <x:t xml:space="preserve">해양</x:t>
        </x:is>
      </x:c>
      <x:c r="T812" s="7" t="inlineStr">
        <x:is>
          <x:t xml:space="preserve"/>
        </x:is>
      </x:c>
      <x:c r="U812" s="8" t="str">
        <x:f>INDEX('서식지_점수'!$E$4:$P$4,1,MATCH(MAX('서식지_점수'!E812:P812),'서식지_점수'!E812:P812,0))</x:f>
        <x:v>도시</x:v>
      </x:c>
      <x:c r="V812" s="8" t="str">
        <x:f>IF(T812&lt;&gt;"",T812,U812)</x:f>
        <x:v>도시</x:v>
      </x:c>
      <x:c r="W812" s="8" t="str">
        <x:f>IFERROR(INDEX('서식지_점수'!$E$4:$P$4,1,MATCH(MAXIFS('서식지_점수'!E812:P812,'서식지_점수'!E812:P812,"&lt;"&amp;MAX('서식지_점수'!E812:P812)),'서식지_점수'!E812:P812,0)),"")</x:f>
        <x:v>특수</x:v>
      </x:c>
      <x:c r="X812" s="8" t="str">
        <x:f>IF(T812&lt;&gt;"","수동확정",IF(MAX('서식지_점수'!E812:P812)-LARGE('서식지_점수'!E812:P812,2)&gt;=15,"높음",IF(MAX('서식지_점수'!E812:P812)-LARGE('서식지_점수'!E812:P812,2)&gt;=8,"보통","검토필요")))</x:f>
        <x:v>높음</x:v>
      </x:c>
      <x:c r="Y812" s="9" t="n">
        <x:f>IF(Q812="전설",8,IF(Q812="희귀",7,IF(J812="기본",1,IF(J812="중간",3,IF(J812="최종",IF(I812="",5,IF(I812&lt;=20,3,IF(I812&lt;=35,4,IF(I812&lt;=50,6,7)))),IF(Q812="드묾",4,2))))))</x:f>
        <x:v>8</x:v>
      </x:c>
      <x:c r="Z812" s="5" t="inlineStr">
        <x:is>
          <x:t xml:space="preserve">#cobblemon:is_overworld; minecraft:beach</x:t>
        </x:is>
      </x:c>
      <x:c r="AA812" s="5" t="inlineStr">
        <x:is>
          <x:t xml:space="preserve">ultra-rare</x:t>
        </x:is>
      </x:c>
      <x:c r="AB812" s="5" t="inlineStr">
        <x:is>
          <x:t xml:space="preserve">아니오</x:t>
        </x:is>
      </x:c>
      <x:c r="AC812" s="8" t="str">
        <x:f>IF(T812&lt;&gt;"","수동확정",IF(X812="검토필요","검토필요",IF(S812="","원본없음","초기완료")))</x:f>
        <x:v>초기완료</x:v>
      </x:c>
      <x:c r="AD812" s="7" t="inlineStr">
        <x:is>
          <x:t xml:space="preserve"/>
        </x:is>
      </x:c>
      <x:c r="AE812" s="5" t="inlineStr">
        <x:is>
          <x:t xml:space="preserve">.tmp/cobblemon-1.7.3-source/common/src/main/resources/data/cobblemon/species/generation7b/meltan.json</x:t>
        </x:is>
      </x:c>
      <x:c r="AF812" s="5" t="str">
        <x:f>"생활권|"&amp;K812</x:f>
        <x:v>생활권|인공</x:v>
      </x:c>
      <x:c r="AG812" s="5" t="str">
        <x:f>"지형|"&amp;L812</x:f>
        <x:v>지형|해안·해양</x:v>
      </x:c>
      <x:c r="AH812" s="5" t="str">
        <x:f>"온도|"&amp;M812</x:f>
        <x:v>온도|온대</x:v>
      </x:c>
      <x:c r="AI812" s="5" t="str">
        <x:f>"습도|"&amp;N812</x:f>
        <x:v>습도|보통</x:v>
      </x:c>
      <x:c r="AJ812" s="5" t="str">
        <x:f>"날씨|"&amp;O812</x:f>
        <x:v>날씨|비</x:v>
      </x:c>
      <x:c r="AK812" s="5" t="str">
        <x:f>"특수태그|"&amp;R812</x:f>
        <x:v>특수태그|전설</x:v>
      </x:c>
      <x:c r="AL812" s="5" t="str">
        <x:f>"원본서식지|"&amp;S812</x:f>
        <x:v>원본서식지|해양</x:v>
      </x:c>
      <x:c r="AM812" s="5" t="str">
        <x:f>"타입|"&amp;F812</x:f>
        <x:v>타입|강철</x:v>
      </x:c>
      <x:c r="AN812" s="5" t="str">
        <x:f>"타입|"&amp;G812</x:f>
        <x:v>타입|</x:v>
      </x:c>
    </x:row>
    <x:row r="813" ht="24" customHeight="1">
      <x:c r="A813" s="5" t="n">
        <x:v>809</x:v>
      </x:c>
      <x:c r="B813" s="5" t="inlineStr">
        <x:is>
          <x:t xml:space="preserve">멜메탈</x:t>
        </x:is>
      </x:c>
      <x:c r="C813" s="5" t="inlineStr">
        <x:is>
          <x:t xml:space="preserve">melmetal</x:t>
        </x:is>
      </x:c>
      <x:c r="D813" s="5" t="inlineStr">
        <x:is>
          <x:t xml:space="preserve">Melmetal</x:t>
        </x:is>
      </x:c>
      <x:c r="E813" s="5" t="n">
        <x:v>7</x:v>
      </x:c>
      <x:c r="F813" s="5" t="inlineStr">
        <x:is>
          <x:t xml:space="preserve">강철</x:t>
        </x:is>
      </x:c>
      <x:c r="G813" s="5" t="inlineStr">
        <x:is>
          <x:t xml:space="preserve"/>
        </x:is>
      </x:c>
      <x:c r="H813" s="6" t="n">
        <x:v>800</x:v>
      </x:c>
      <x:c r="I813" s="5" t="n"/>
      <x:c r="J813" s="5" t="inlineStr">
        <x:is>
          <x:t xml:space="preserve">무진화</x:t>
        </x:is>
      </x:c>
      <x:c r="K813" s="7" t="inlineStr">
        <x:is>
          <x:t xml:space="preserve">인공</x:t>
        </x:is>
      </x:c>
      <x:c r="L813" s="7" t="inlineStr">
        <x:is>
          <x:t xml:space="preserve">도시</x:t>
        </x:is>
      </x:c>
      <x:c r="M813" s="7" t="inlineStr">
        <x:is>
          <x:t xml:space="preserve">온대</x:t>
        </x:is>
      </x:c>
      <x:c r="N813" s="7" t="inlineStr">
        <x:is>
          <x:t xml:space="preserve">보통</x:t>
        </x:is>
      </x:c>
      <x:c r="O813" s="7" t="inlineStr">
        <x:is>
          <x:t xml:space="preserve">무관</x:t>
        </x:is>
      </x:c>
      <x:c r="P813" s="7" t="inlineStr">
        <x:is>
          <x:t xml:space="preserve">무관</x:t>
        </x:is>
      </x:c>
      <x:c r="Q813" s="7" t="inlineStr">
        <x:is>
          <x:t xml:space="preserve">전설</x:t>
        </x:is>
      </x:c>
      <x:c r="R813" s="7" t="inlineStr">
        <x:is>
          <x:t xml:space="preserve">전설</x:t>
        </x:is>
      </x:c>
      <x:c r="S813" s="7" t="inlineStr">
        <x:is>
          <x:t xml:space="preserve"/>
        </x:is>
      </x:c>
      <x:c r="T813" s="7" t="inlineStr">
        <x:is>
          <x:t xml:space="preserve"/>
        </x:is>
      </x:c>
      <x:c r="U813" s="8" t="str">
        <x:f>INDEX('서식지_점수'!$E$4:$P$4,1,MATCH(MAX('서식지_점수'!E813:P813),'서식지_점수'!E813:P813,0))</x:f>
        <x:v>도시</x:v>
      </x:c>
      <x:c r="V813" s="8" t="str">
        <x:f>IF(T813&lt;&gt;"",T813,U813)</x:f>
        <x:v>도시</x:v>
      </x:c>
      <x:c r="W813" s="8" t="str">
        <x:f>IFERROR(INDEX('서식지_점수'!$E$4:$P$4,1,MATCH(MAXIFS('서식지_점수'!E813:P813,'서식지_점수'!E813:P813,"&lt;"&amp;MAX('서식지_점수'!E813:P813)),'서식지_점수'!E813:P813,0)),"")</x:f>
        <x:v>특수</x:v>
      </x:c>
      <x:c r="X813" s="8" t="str">
        <x:f>IF(T813&lt;&gt;"","수동확정",IF(MAX('서식지_점수'!E813:P813)-LARGE('서식지_점수'!E813:P813,2)&gt;=15,"높음",IF(MAX('서식지_점수'!E813:P813)-LARGE('서식지_점수'!E813:P813,2)&gt;=8,"보통","검토필요")))</x:f>
        <x:v>높음</x:v>
      </x:c>
      <x:c r="Y813" s="9" t="n">
        <x:f>IF(Q813="전설",8,IF(Q813="희귀",7,IF(J813="기본",1,IF(J813="중간",3,IF(J813="최종",IF(I813="",5,IF(I813&lt;=20,3,IF(I813&lt;=35,4,IF(I813&lt;=50,6,7)))),IF(Q813="드묾",4,2))))))</x:f>
        <x:v>8</x:v>
      </x:c>
      <x:c r="Z813" s="5" t="inlineStr">
        <x:is>
          <x:t xml:space="preserve"/>
        </x:is>
      </x:c>
      <x:c r="AA813" s="5" t="inlineStr">
        <x:is>
          <x:t xml:space="preserve"/>
        </x:is>
      </x:c>
      <x:c r="AB813" s="5" t="inlineStr">
        <x:is>
          <x:t xml:space="preserve">아니오</x:t>
        </x:is>
      </x:c>
      <x:c r="AC813" s="8" t="str">
        <x:f>IF(T813&lt;&gt;"","수동확정",IF(X813="검토필요","검토필요",IF(S813="","원본없음","초기완료")))</x:f>
        <x:v>원본없음</x:v>
      </x:c>
      <x:c r="AD813" s="7" t="inlineStr">
        <x:is>
          <x:t xml:space="preserve"/>
        </x:is>
      </x:c>
      <x:c r="AE813" s="5" t="inlineStr">
        <x:is>
          <x:t xml:space="preserve">.tmp/cobblemon-1.7.3-source/common/src/main/resources/data/cobblemon/species/generation7b/melmetal.json</x:t>
        </x:is>
      </x:c>
      <x:c r="AF813" s="5" t="str">
        <x:f>"생활권|"&amp;K813</x:f>
        <x:v>생활권|인공</x:v>
      </x:c>
      <x:c r="AG813" s="5" t="str">
        <x:f>"지형|"&amp;L813</x:f>
        <x:v>지형|도시</x:v>
      </x:c>
      <x:c r="AH813" s="5" t="str">
        <x:f>"온도|"&amp;M813</x:f>
        <x:v>온도|온대</x:v>
      </x:c>
      <x:c r="AI813" s="5" t="str">
        <x:f>"습도|"&amp;N813</x:f>
        <x:v>습도|보통</x:v>
      </x:c>
      <x:c r="AJ813" s="5" t="str">
        <x:f>"날씨|"&amp;O813</x:f>
        <x:v>날씨|무관</x:v>
      </x:c>
      <x:c r="AK813" s="5" t="str">
        <x:f>"특수태그|"&amp;R813</x:f>
        <x:v>특수태그|전설</x:v>
      </x:c>
      <x:c r="AL813" s="5" t="str">
        <x:f>"원본서식지|"&amp;S813</x:f>
        <x:v>원본서식지|</x:v>
      </x:c>
      <x:c r="AM813" s="5" t="str">
        <x:f>"타입|"&amp;F813</x:f>
        <x:v>타입|강철</x:v>
      </x:c>
      <x:c r="AN813" s="5" t="str">
        <x:f>"타입|"&amp;G813</x:f>
        <x:v>타입|</x:v>
      </x:c>
    </x:row>
    <x:row r="814" ht="24" customHeight="1">
      <x:c r="A814" s="5" t="n">
        <x:v>810</x:v>
      </x:c>
      <x:c r="B814" s="5" t="inlineStr">
        <x:is>
          <x:t xml:space="preserve">흥나숭</x:t>
        </x:is>
      </x:c>
      <x:c r="C814" s="5" t="inlineStr">
        <x:is>
          <x:t xml:space="preserve">grookey</x:t>
        </x:is>
      </x:c>
      <x:c r="D814" s="5" t="inlineStr">
        <x:is>
          <x:t xml:space="preserve">Grookey</x:t>
        </x:is>
      </x:c>
      <x:c r="E814" s="5" t="n">
        <x:v>8</x:v>
      </x:c>
      <x:c r="F814" s="5" t="inlineStr">
        <x:is>
          <x:t xml:space="preserve">풀</x:t>
        </x:is>
      </x:c>
      <x:c r="G814" s="5" t="inlineStr">
        <x:is>
          <x:t xml:space="preserve"/>
        </x:is>
      </x:c>
      <x:c r="H814" s="6" t="n">
        <x:v>5</x:v>
      </x:c>
      <x:c r="I814" s="5" t="n">
        <x:v>35</x:v>
      </x:c>
      <x:c r="J814" s="5" t="inlineStr">
        <x:is>
          <x:t xml:space="preserve">기본</x:t>
        </x:is>
      </x:c>
      <x:c r="K814" s="7" t="inlineStr">
        <x:is>
          <x:t xml:space="preserve">육상</x:t>
        </x:is>
      </x:c>
      <x:c r="L814" s="7" t="inlineStr">
        <x:is>
          <x:t xml:space="preserve">수목</x:t>
        </x:is>
      </x:c>
      <x:c r="M814" s="7" t="inlineStr">
        <x:is>
          <x:t xml:space="preserve">온대</x:t>
        </x:is>
      </x:c>
      <x:c r="N814" s="7" t="inlineStr">
        <x:is>
          <x:t xml:space="preserve">다습</x:t>
        </x:is>
      </x:c>
      <x:c r="O814" s="7" t="inlineStr">
        <x:is>
          <x:t xml:space="preserve">무관</x:t>
        </x:is>
      </x:c>
      <x:c r="P814" s="7" t="inlineStr">
        <x:is>
          <x:t xml:space="preserve">무관</x:t>
        </x:is>
      </x:c>
      <x:c r="Q814" s="7" t="inlineStr">
        <x:is>
          <x:t xml:space="preserve">희귀</x:t>
        </x:is>
      </x:c>
      <x:c r="R814" s="7" t="inlineStr">
        <x:is>
          <x:t xml:space="preserve">없음</x:t>
        </x:is>
      </x:c>
      <x:c r="S814" s="7" t="inlineStr">
        <x:is>
          <x:t xml:space="preserve">숲</x:t>
        </x:is>
      </x:c>
      <x:c r="T814" s="7" t="inlineStr">
        <x:is>
          <x:t xml:space="preserve"/>
        </x:is>
      </x:c>
      <x:c r="U814" s="8" t="str">
        <x:f>INDEX('서식지_점수'!$E$4:$P$4,1,MATCH(MAX('서식지_점수'!E814:P814),'서식지_점수'!E814:P814,0))</x:f>
        <x:v>평원</x:v>
      </x:c>
      <x:c r="V814" s="8" t="str">
        <x:f>IF(T814&lt;&gt;"",T814,U814)</x:f>
        <x:v>평원</x:v>
      </x:c>
      <x:c r="W814" s="8" t="str">
        <x:f>IFERROR(INDEX('서식지_점수'!$E$4:$P$4,1,MATCH(MAXIFS('서식지_점수'!E814:P814,'서식지_점수'!E814:P814,"&lt;"&amp;MAX('서식지_점수'!E814:P814)),'서식지_점수'!E814:P814,0)),"")</x:f>
        <x:v>숲</x:v>
      </x:c>
      <x:c r="X814" s="8" t="str">
        <x:f>IF(T814&lt;&gt;"","수동확정",IF(MAX('서식지_점수'!E814:P814)-LARGE('서식지_점수'!E814:P814,2)&gt;=15,"높음",IF(MAX('서식지_점수'!E814:P814)-LARGE('서식지_점수'!E814:P814,2)&gt;=8,"보통","검토필요")))</x:f>
        <x:v>검토필요</x:v>
      </x:c>
      <x:c r="Y814" s="9" t="n">
        <x:f>IF(Q814="전설",8,IF(Q814="희귀",7,IF(J814="기본",1,IF(J814="중간",3,IF(J814="최종",IF(I814="",5,IF(I814&lt;=20,3,IF(I814&lt;=35,4,IF(I814&lt;=50,6,7)))),IF(Q814="드묾",4,2))))))</x:f>
        <x:v>7</x:v>
      </x:c>
      <x:c r="Z814" s="5" t="inlineStr">
        <x:is>
          <x:t xml:space="preserve">#cobblemon:is_jungle; #cobblemon:is_tropical_island</x:t>
        </x:is>
      </x:c>
      <x:c r="AA814" s="5" t="inlineStr">
        <x:is>
          <x:t xml:space="preserve">ultra-rare</x:t>
        </x:is>
      </x:c>
      <x:c r="AB814" s="5" t="inlineStr">
        <x:is>
          <x:t xml:space="preserve">예</x:t>
        </x:is>
      </x:c>
      <x:c r="AC814" s="8" t="str">
        <x:f>IF(T814&lt;&gt;"","수동확정",IF(X814="검토필요","검토필요",IF(S814="","원본없음","초기완료")))</x:f>
        <x:v>검토필요</x:v>
      </x:c>
      <x:c r="AD814" s="7" t="inlineStr">
        <x:is>
          <x:t xml:space="preserve"/>
        </x:is>
      </x:c>
      <x:c r="AE814" s="5" t="inlineStr">
        <x:is>
          <x:t xml:space="preserve">.tmp/cobblemon-1.7.3-source/common/src/main/resources/data/cobblemon/species/generation8/grookey.json</x:t>
        </x:is>
      </x:c>
      <x:c r="AF814" s="5" t="str">
        <x:f>"생활권|"&amp;K814</x:f>
        <x:v>생활권|육상</x:v>
      </x:c>
      <x:c r="AG814" s="5" t="str">
        <x:f>"지형|"&amp;L814</x:f>
        <x:v>지형|수목</x:v>
      </x:c>
      <x:c r="AH814" s="5" t="str">
        <x:f>"온도|"&amp;M814</x:f>
        <x:v>온도|온대</x:v>
      </x:c>
      <x:c r="AI814" s="5" t="str">
        <x:f>"습도|"&amp;N814</x:f>
        <x:v>습도|다습</x:v>
      </x:c>
      <x:c r="AJ814" s="5" t="str">
        <x:f>"날씨|"&amp;O814</x:f>
        <x:v>날씨|무관</x:v>
      </x:c>
      <x:c r="AK814" s="5" t="str">
        <x:f>"특수태그|"&amp;R814</x:f>
        <x:v>특수태그|없음</x:v>
      </x:c>
      <x:c r="AL814" s="5" t="str">
        <x:f>"원본서식지|"&amp;S814</x:f>
        <x:v>원본서식지|숲</x:v>
      </x:c>
      <x:c r="AM814" s="5" t="str">
        <x:f>"타입|"&amp;F814</x:f>
        <x:v>타입|풀</x:v>
      </x:c>
      <x:c r="AN814" s="5" t="str">
        <x:f>"타입|"&amp;G814</x:f>
        <x:v>타입|</x:v>
      </x:c>
    </x:row>
    <x:row r="815" ht="24" customHeight="1">
      <x:c r="A815" s="5" t="n">
        <x:v>811</x:v>
      </x:c>
      <x:c r="B815" s="5" t="inlineStr">
        <x:is>
          <x:t xml:space="preserve">채키몽</x:t>
        </x:is>
      </x:c>
      <x:c r="C815" s="5" t="inlineStr">
        <x:is>
          <x:t xml:space="preserve">thwackey</x:t>
        </x:is>
      </x:c>
      <x:c r="D815" s="5" t="inlineStr">
        <x:is>
          <x:t xml:space="preserve">Thwackey</x:t>
        </x:is>
      </x:c>
      <x:c r="E815" s="5" t="n">
        <x:v>8</x:v>
      </x:c>
      <x:c r="F815" s="5" t="inlineStr">
        <x:is>
          <x:t xml:space="preserve">풀</x:t>
        </x:is>
      </x:c>
      <x:c r="G815" s="5" t="inlineStr">
        <x:is>
          <x:t xml:space="preserve"/>
        </x:is>
      </x:c>
      <x:c r="H815" s="6" t="n">
        <x:v>14</x:v>
      </x:c>
      <x:c r="I815" s="5" t="n">
        <x:v>35</x:v>
      </x:c>
      <x:c r="J815" s="5" t="inlineStr">
        <x:is>
          <x:t xml:space="preserve">중간</x:t>
        </x:is>
      </x:c>
      <x:c r="K815" s="7" t="inlineStr">
        <x:is>
          <x:t xml:space="preserve">육상</x:t>
        </x:is>
      </x:c>
      <x:c r="L815" s="7" t="inlineStr">
        <x:is>
          <x:t xml:space="preserve">수목</x:t>
        </x:is>
      </x:c>
      <x:c r="M815" s="7" t="inlineStr">
        <x:is>
          <x:t xml:space="preserve">온대</x:t>
        </x:is>
      </x:c>
      <x:c r="N815" s="7" t="inlineStr">
        <x:is>
          <x:t xml:space="preserve">다습</x:t>
        </x:is>
      </x:c>
      <x:c r="O815" s="7" t="inlineStr">
        <x:is>
          <x:t xml:space="preserve">무관</x:t>
        </x:is>
      </x:c>
      <x:c r="P815" s="7" t="inlineStr">
        <x:is>
          <x:t xml:space="preserve">무관</x:t>
        </x:is>
      </x:c>
      <x:c r="Q815" s="7" t="inlineStr">
        <x:is>
          <x:t xml:space="preserve">희귀</x:t>
        </x:is>
      </x:c>
      <x:c r="R815" s="7" t="inlineStr">
        <x:is>
          <x:t xml:space="preserve">없음</x:t>
        </x:is>
      </x:c>
      <x:c r="S815" s="7" t="inlineStr">
        <x:is>
          <x:t xml:space="preserve">숲</x:t>
        </x:is>
      </x:c>
      <x:c r="T815" s="7" t="inlineStr">
        <x:is>
          <x:t xml:space="preserve"/>
        </x:is>
      </x:c>
      <x:c r="U815" s="8" t="str">
        <x:f>INDEX('서식지_점수'!$E$4:$P$4,1,MATCH(MAX('서식지_점수'!E815:P815),'서식지_점수'!E815:P815,0))</x:f>
        <x:v>평원</x:v>
      </x:c>
      <x:c r="V815" s="8" t="str">
        <x:f>IF(T815&lt;&gt;"",T815,U815)</x:f>
        <x:v>평원</x:v>
      </x:c>
      <x:c r="W815" s="8" t="str">
        <x:f>IFERROR(INDEX('서식지_점수'!$E$4:$P$4,1,MATCH(MAXIFS('서식지_점수'!E815:P815,'서식지_점수'!E815:P815,"&lt;"&amp;MAX('서식지_점수'!E815:P815)),'서식지_점수'!E815:P815,0)),"")</x:f>
        <x:v>숲</x:v>
      </x:c>
      <x:c r="X815" s="8" t="str">
        <x:f>IF(T815&lt;&gt;"","수동확정",IF(MAX('서식지_점수'!E815:P815)-LARGE('서식지_점수'!E815:P815,2)&gt;=15,"높음",IF(MAX('서식지_점수'!E815:P815)-LARGE('서식지_점수'!E815:P815,2)&gt;=8,"보통","검토필요")))</x:f>
        <x:v>검토필요</x:v>
      </x:c>
      <x:c r="Y815" s="9" t="n">
        <x:f>IF(Q815="전설",8,IF(Q815="희귀",7,IF(J815="기본",1,IF(J815="중간",3,IF(J815="최종",IF(I815="",5,IF(I815&lt;=20,3,IF(I815&lt;=35,4,IF(I815&lt;=50,6,7)))),IF(Q815="드묾",4,2))))))</x:f>
        <x:v>7</x:v>
      </x:c>
      <x:c r="Z815" s="5" t="inlineStr">
        <x:is>
          <x:t xml:space="preserve">#cobblemon:is_jungle; #cobblemon:is_tropical_island</x:t>
        </x:is>
      </x:c>
      <x:c r="AA815" s="5" t="inlineStr">
        <x:is>
          <x:t xml:space="preserve">ultra-rare</x:t>
        </x:is>
      </x:c>
      <x:c r="AB815" s="5" t="inlineStr">
        <x:is>
          <x:t xml:space="preserve">예</x:t>
        </x:is>
      </x:c>
      <x:c r="AC815" s="8" t="str">
        <x:f>IF(T815&lt;&gt;"","수동확정",IF(X815="검토필요","검토필요",IF(S815="","원본없음","초기완료")))</x:f>
        <x:v>검토필요</x:v>
      </x:c>
      <x:c r="AD815" s="7" t="inlineStr">
        <x:is>
          <x:t xml:space="preserve"/>
        </x:is>
      </x:c>
      <x:c r="AE815" s="5" t="inlineStr">
        <x:is>
          <x:t xml:space="preserve">.tmp/cobblemon-1.7.3-source/common/src/main/resources/data/cobblemon/species/generation8/thwackey.json</x:t>
        </x:is>
      </x:c>
      <x:c r="AF815" s="5" t="str">
        <x:f>"생활권|"&amp;K815</x:f>
        <x:v>생활권|육상</x:v>
      </x:c>
      <x:c r="AG815" s="5" t="str">
        <x:f>"지형|"&amp;L815</x:f>
        <x:v>지형|수목</x:v>
      </x:c>
      <x:c r="AH815" s="5" t="str">
        <x:f>"온도|"&amp;M815</x:f>
        <x:v>온도|온대</x:v>
      </x:c>
      <x:c r="AI815" s="5" t="str">
        <x:f>"습도|"&amp;N815</x:f>
        <x:v>습도|다습</x:v>
      </x:c>
      <x:c r="AJ815" s="5" t="str">
        <x:f>"날씨|"&amp;O815</x:f>
        <x:v>날씨|무관</x:v>
      </x:c>
      <x:c r="AK815" s="5" t="str">
        <x:f>"특수태그|"&amp;R815</x:f>
        <x:v>특수태그|없음</x:v>
      </x:c>
      <x:c r="AL815" s="5" t="str">
        <x:f>"원본서식지|"&amp;S815</x:f>
        <x:v>원본서식지|숲</x:v>
      </x:c>
      <x:c r="AM815" s="5" t="str">
        <x:f>"타입|"&amp;F815</x:f>
        <x:v>타입|풀</x:v>
      </x:c>
      <x:c r="AN815" s="5" t="str">
        <x:f>"타입|"&amp;G815</x:f>
        <x:v>타입|</x:v>
      </x:c>
    </x:row>
    <x:row r="816" ht="24" customHeight="1">
      <x:c r="A816" s="5" t="n">
        <x:v>812</x:v>
      </x:c>
      <x:c r="B816" s="5" t="inlineStr">
        <x:is>
          <x:t xml:space="preserve">고릴타</x:t>
        </x:is>
      </x:c>
      <x:c r="C816" s="5" t="inlineStr">
        <x:is>
          <x:t xml:space="preserve">rillaboom</x:t>
        </x:is>
      </x:c>
      <x:c r="D816" s="5" t="inlineStr">
        <x:is>
          <x:t xml:space="preserve">Rillaboom</x:t>
        </x:is>
      </x:c>
      <x:c r="E816" s="5" t="n">
        <x:v>8</x:v>
      </x:c>
      <x:c r="F816" s="5" t="inlineStr">
        <x:is>
          <x:t xml:space="preserve">풀</x:t>
        </x:is>
      </x:c>
      <x:c r="G816" s="5" t="inlineStr">
        <x:is>
          <x:t xml:space="preserve"/>
        </x:is>
      </x:c>
      <x:c r="H816" s="6" t="n">
        <x:v>90</x:v>
      </x:c>
      <x:c r="I816" s="5" t="n">
        <x:v>35</x:v>
      </x:c>
      <x:c r="J816" s="5" t="inlineStr">
        <x:is>
          <x:t xml:space="preserve">최종</x:t>
        </x:is>
      </x:c>
      <x:c r="K816" s="7" t="inlineStr">
        <x:is>
          <x:t xml:space="preserve">육상</x:t>
        </x:is>
      </x:c>
      <x:c r="L816" s="7" t="inlineStr">
        <x:is>
          <x:t xml:space="preserve">수목</x:t>
        </x:is>
      </x:c>
      <x:c r="M816" s="7" t="inlineStr">
        <x:is>
          <x:t xml:space="preserve">온대</x:t>
        </x:is>
      </x:c>
      <x:c r="N816" s="7" t="inlineStr">
        <x:is>
          <x:t xml:space="preserve">다습</x:t>
        </x:is>
      </x:c>
      <x:c r="O816" s="7" t="inlineStr">
        <x:is>
          <x:t xml:space="preserve">무관</x:t>
        </x:is>
      </x:c>
      <x:c r="P816" s="7" t="inlineStr">
        <x:is>
          <x:t xml:space="preserve">무관</x:t>
        </x:is>
      </x:c>
      <x:c r="Q816" s="7" t="inlineStr">
        <x:is>
          <x:t xml:space="preserve">희귀</x:t>
        </x:is>
      </x:c>
      <x:c r="R816" s="7" t="inlineStr">
        <x:is>
          <x:t xml:space="preserve">없음</x:t>
        </x:is>
      </x:c>
      <x:c r="S816" s="7" t="inlineStr">
        <x:is>
          <x:t xml:space="preserve">숲</x:t>
        </x:is>
      </x:c>
      <x:c r="T816" s="7" t="inlineStr">
        <x:is>
          <x:t xml:space="preserve"/>
        </x:is>
      </x:c>
      <x:c r="U816" s="8" t="str">
        <x:f>INDEX('서식지_점수'!$E$4:$P$4,1,MATCH(MAX('서식지_점수'!E816:P816),'서식지_점수'!E816:P816,0))</x:f>
        <x:v>평원</x:v>
      </x:c>
      <x:c r="V816" s="8" t="str">
        <x:f>IF(T816&lt;&gt;"",T816,U816)</x:f>
        <x:v>평원</x:v>
      </x:c>
      <x:c r="W816" s="8" t="str">
        <x:f>IFERROR(INDEX('서식지_점수'!$E$4:$P$4,1,MATCH(MAXIFS('서식지_점수'!E816:P816,'서식지_점수'!E816:P816,"&lt;"&amp;MAX('서식지_점수'!E816:P816)),'서식지_점수'!E816:P816,0)),"")</x:f>
        <x:v>숲</x:v>
      </x:c>
      <x:c r="X816" s="8" t="str">
        <x:f>IF(T816&lt;&gt;"","수동확정",IF(MAX('서식지_점수'!E816:P816)-LARGE('서식지_점수'!E816:P816,2)&gt;=15,"높음",IF(MAX('서식지_점수'!E816:P816)-LARGE('서식지_점수'!E816:P816,2)&gt;=8,"보통","검토필요")))</x:f>
        <x:v>검토필요</x:v>
      </x:c>
      <x:c r="Y816" s="9" t="n">
        <x:f>IF(Q816="전설",8,IF(Q816="희귀",7,IF(J816="기본",1,IF(J816="중간",3,IF(J816="최종",IF(I816="",5,IF(I816&lt;=20,3,IF(I816&lt;=35,4,IF(I816&lt;=50,6,7)))),IF(Q816="드묾",4,2))))))</x:f>
        <x:v>7</x:v>
      </x:c>
      <x:c r="Z816" s="5" t="inlineStr">
        <x:is>
          <x:t xml:space="preserve">#cobblemon:is_jungle; #cobblemon:is_tropical_island</x:t>
        </x:is>
      </x:c>
      <x:c r="AA816" s="5" t="inlineStr">
        <x:is>
          <x:t xml:space="preserve">ultra-rare</x:t>
        </x:is>
      </x:c>
      <x:c r="AB816" s="5" t="inlineStr">
        <x:is>
          <x:t xml:space="preserve">예</x:t>
        </x:is>
      </x:c>
      <x:c r="AC816" s="8" t="str">
        <x:f>IF(T816&lt;&gt;"","수동확정",IF(X816="검토필요","검토필요",IF(S816="","원본없음","초기완료")))</x:f>
        <x:v>검토필요</x:v>
      </x:c>
      <x:c r="AD816" s="7" t="inlineStr">
        <x:is>
          <x:t xml:space="preserve"/>
        </x:is>
      </x:c>
      <x:c r="AE816" s="5" t="inlineStr">
        <x:is>
          <x:t xml:space="preserve">.tmp/cobblemon-1.7.3-source/common/src/main/resources/data/cobblemon/species/generation8/rillaboom.json</x:t>
        </x:is>
      </x:c>
      <x:c r="AF816" s="5" t="str">
        <x:f>"생활권|"&amp;K816</x:f>
        <x:v>생활권|육상</x:v>
      </x:c>
      <x:c r="AG816" s="5" t="str">
        <x:f>"지형|"&amp;L816</x:f>
        <x:v>지형|수목</x:v>
      </x:c>
      <x:c r="AH816" s="5" t="str">
        <x:f>"온도|"&amp;M816</x:f>
        <x:v>온도|온대</x:v>
      </x:c>
      <x:c r="AI816" s="5" t="str">
        <x:f>"습도|"&amp;N816</x:f>
        <x:v>습도|다습</x:v>
      </x:c>
      <x:c r="AJ816" s="5" t="str">
        <x:f>"날씨|"&amp;O816</x:f>
        <x:v>날씨|무관</x:v>
      </x:c>
      <x:c r="AK816" s="5" t="str">
        <x:f>"특수태그|"&amp;R816</x:f>
        <x:v>특수태그|없음</x:v>
      </x:c>
      <x:c r="AL816" s="5" t="str">
        <x:f>"원본서식지|"&amp;S816</x:f>
        <x:v>원본서식지|숲</x:v>
      </x:c>
      <x:c r="AM816" s="5" t="str">
        <x:f>"타입|"&amp;F816</x:f>
        <x:v>타입|풀</x:v>
      </x:c>
      <x:c r="AN816" s="5" t="str">
        <x:f>"타입|"&amp;G816</x:f>
        <x:v>타입|</x:v>
      </x:c>
    </x:row>
    <x:row r="817" ht="24" customHeight="1">
      <x:c r="A817" s="5" t="n">
        <x:v>813</x:v>
      </x:c>
      <x:c r="B817" s="5" t="inlineStr">
        <x:is>
          <x:t xml:space="preserve">염버니</x:t>
        </x:is>
      </x:c>
      <x:c r="C817" s="5" t="inlineStr">
        <x:is>
          <x:t xml:space="preserve">scorbunny</x:t>
        </x:is>
      </x:c>
      <x:c r="D817" s="5" t="inlineStr">
        <x:is>
          <x:t xml:space="preserve">Scorbunny</x:t>
        </x:is>
      </x:c>
      <x:c r="E817" s="5" t="n">
        <x:v>8</x:v>
      </x:c>
      <x:c r="F817" s="5" t="inlineStr">
        <x:is>
          <x:t xml:space="preserve">불꽃</x:t>
        </x:is>
      </x:c>
      <x:c r="G817" s="5" t="inlineStr">
        <x:is>
          <x:t xml:space="preserve"/>
        </x:is>
      </x:c>
      <x:c r="H817" s="6" t="n">
        <x:v>4.5</x:v>
      </x:c>
      <x:c r="I817" s="5" t="n">
        <x:v>35</x:v>
      </x:c>
      <x:c r="J817" s="5" t="inlineStr">
        <x:is>
          <x:t xml:space="preserve">기본</x:t>
        </x:is>
      </x:c>
      <x:c r="K817" s="7" t="inlineStr">
        <x:is>
          <x:t xml:space="preserve">육상</x:t>
        </x:is>
      </x:c>
      <x:c r="L817" s="7" t="inlineStr">
        <x:is>
          <x:t xml:space="preserve">개활지</x:t>
        </x:is>
      </x:c>
      <x:c r="M817" s="7" t="inlineStr">
        <x:is>
          <x:t xml:space="preserve">고온</x:t>
        </x:is>
      </x:c>
      <x:c r="N817" s="7" t="inlineStr">
        <x:is>
          <x:t xml:space="preserve">보통</x:t>
        </x:is>
      </x:c>
      <x:c r="O817" s="7" t="inlineStr">
        <x:is>
          <x:t xml:space="preserve">무관</x:t>
        </x:is>
      </x:c>
      <x:c r="P817" s="7" t="inlineStr">
        <x:is>
          <x:t xml:space="preserve">무관</x:t>
        </x:is>
      </x:c>
      <x:c r="Q817" s="7" t="inlineStr">
        <x:is>
          <x:t xml:space="preserve">희귀</x:t>
        </x:is>
      </x:c>
      <x:c r="R817" s="7" t="inlineStr">
        <x:is>
          <x:t xml:space="preserve">없음</x:t>
        </x:is>
      </x:c>
      <x:c r="S817" s="7" t="inlineStr">
        <x:is>
          <x:t xml:space="preserve">평원</x:t>
        </x:is>
      </x:c>
      <x:c r="T817" s="7" t="inlineStr">
        <x:is>
          <x:t xml:space="preserve"/>
        </x:is>
      </x:c>
      <x:c r="U817" s="8" t="str">
        <x:f>INDEX('서식지_점수'!$E$4:$P$4,1,MATCH(MAX('서식지_점수'!E817:P817),'서식지_점수'!E817:P817,0))</x:f>
        <x:v>평원</x:v>
      </x:c>
      <x:c r="V817" s="8" t="str">
        <x:f>IF(T817&lt;&gt;"",T817,U817)</x:f>
        <x:v>평원</x:v>
      </x:c>
      <x:c r="W817" s="8" t="str">
        <x:f>IFERROR(INDEX('서식지_점수'!$E$4:$P$4,1,MATCH(MAXIFS('서식지_점수'!E817:P817,'서식지_점수'!E817:P817,"&lt;"&amp;MAX('서식지_점수'!E817:P817)),'서식지_점수'!E817:P817,0)),"")</x:f>
        <x:v>숲</x:v>
      </x:c>
      <x:c r="X817" s="8" t="str">
        <x:f>IF(T817&lt;&gt;"","수동확정",IF(MAX('서식지_점수'!E817:P817)-LARGE('서식지_점수'!E817:P817,2)&gt;=15,"높음",IF(MAX('서식지_점수'!E817:P817)-LARGE('서식지_점수'!E817:P817,2)&gt;=8,"보통","검토필요")))</x:f>
        <x:v>검토필요</x:v>
      </x:c>
      <x:c r="Y817" s="9" t="n">
        <x:f>IF(Q817="전설",8,IF(Q817="희귀",7,IF(J817="기본",1,IF(J817="중간",3,IF(J817="최종",IF(I817="",5,IF(I817&lt;=20,3,IF(I817&lt;=35,4,IF(I817&lt;=50,6,7)))),IF(Q817="드묾",4,2))))))</x:f>
        <x:v>7</x:v>
      </x:c>
      <x:c r="Z817" s="5" t="inlineStr">
        <x:is>
          <x:t xml:space="preserve">#cobblemon:is_grassland; aether:skyroot_grove; aether:skyroot_meadow</x:t>
        </x:is>
      </x:c>
      <x:c r="AA817" s="5" t="inlineStr">
        <x:is>
          <x:t xml:space="preserve">ultra-rare</x:t>
        </x:is>
      </x:c>
      <x:c r="AB817" s="5" t="inlineStr">
        <x:is>
          <x:t xml:space="preserve">예</x:t>
        </x:is>
      </x:c>
      <x:c r="AC817" s="8" t="str">
        <x:f>IF(T817&lt;&gt;"","수동확정",IF(X817="검토필요","검토필요",IF(S817="","원본없음","초기완료")))</x:f>
        <x:v>검토필요</x:v>
      </x:c>
      <x:c r="AD817" s="7" t="inlineStr">
        <x:is>
          <x:t xml:space="preserve"/>
        </x:is>
      </x:c>
      <x:c r="AE817" s="5" t="inlineStr">
        <x:is>
          <x:t xml:space="preserve">.tmp/cobblemon-1.7.3-source/common/src/main/resources/data/cobblemon/species/generation8/scorbunny.json</x:t>
        </x:is>
      </x:c>
      <x:c r="AF817" s="5" t="str">
        <x:f>"생활권|"&amp;K817</x:f>
        <x:v>생활권|육상</x:v>
      </x:c>
      <x:c r="AG817" s="5" t="str">
        <x:f>"지형|"&amp;L817</x:f>
        <x:v>지형|개활지</x:v>
      </x:c>
      <x:c r="AH817" s="5" t="str">
        <x:f>"온도|"&amp;M817</x:f>
        <x:v>온도|고온</x:v>
      </x:c>
      <x:c r="AI817" s="5" t="str">
        <x:f>"습도|"&amp;N817</x:f>
        <x:v>습도|보통</x:v>
      </x:c>
      <x:c r="AJ817" s="5" t="str">
        <x:f>"날씨|"&amp;O817</x:f>
        <x:v>날씨|무관</x:v>
      </x:c>
      <x:c r="AK817" s="5" t="str">
        <x:f>"특수태그|"&amp;R817</x:f>
        <x:v>특수태그|없음</x:v>
      </x:c>
      <x:c r="AL817" s="5" t="str">
        <x:f>"원본서식지|"&amp;S817</x:f>
        <x:v>원본서식지|평원</x:v>
      </x:c>
      <x:c r="AM817" s="5" t="str">
        <x:f>"타입|"&amp;F817</x:f>
        <x:v>타입|불꽃</x:v>
      </x:c>
      <x:c r="AN817" s="5" t="str">
        <x:f>"타입|"&amp;G817</x:f>
        <x:v>타입|</x:v>
      </x:c>
    </x:row>
    <x:row r="818" ht="24" customHeight="1">
      <x:c r="A818" s="5" t="n">
        <x:v>814</x:v>
      </x:c>
      <x:c r="B818" s="5" t="inlineStr">
        <x:is>
          <x:t xml:space="preserve">래비풋</x:t>
        </x:is>
      </x:c>
      <x:c r="C818" s="5" t="inlineStr">
        <x:is>
          <x:t xml:space="preserve">raboot</x:t>
        </x:is>
      </x:c>
      <x:c r="D818" s="5" t="inlineStr">
        <x:is>
          <x:t xml:space="preserve">Raboot</x:t>
        </x:is>
      </x:c>
      <x:c r="E818" s="5" t="n">
        <x:v>8</x:v>
      </x:c>
      <x:c r="F818" s="5" t="inlineStr">
        <x:is>
          <x:t xml:space="preserve">불꽃</x:t>
        </x:is>
      </x:c>
      <x:c r="G818" s="5" t="inlineStr">
        <x:is>
          <x:t xml:space="preserve"/>
        </x:is>
      </x:c>
      <x:c r="H818" s="6" t="n">
        <x:v>9</x:v>
      </x:c>
      <x:c r="I818" s="5" t="n">
        <x:v>35</x:v>
      </x:c>
      <x:c r="J818" s="5" t="inlineStr">
        <x:is>
          <x:t xml:space="preserve">중간</x:t>
        </x:is>
      </x:c>
      <x:c r="K818" s="7" t="inlineStr">
        <x:is>
          <x:t xml:space="preserve">육상</x:t>
        </x:is>
      </x:c>
      <x:c r="L818" s="7" t="inlineStr">
        <x:is>
          <x:t xml:space="preserve">개활지</x:t>
        </x:is>
      </x:c>
      <x:c r="M818" s="7" t="inlineStr">
        <x:is>
          <x:t xml:space="preserve">고온</x:t>
        </x:is>
      </x:c>
      <x:c r="N818" s="7" t="inlineStr">
        <x:is>
          <x:t xml:space="preserve">보통</x:t>
        </x:is>
      </x:c>
      <x:c r="O818" s="7" t="inlineStr">
        <x:is>
          <x:t xml:space="preserve">무관</x:t>
        </x:is>
      </x:c>
      <x:c r="P818" s="7" t="inlineStr">
        <x:is>
          <x:t xml:space="preserve">무관</x:t>
        </x:is>
      </x:c>
      <x:c r="Q818" s="7" t="inlineStr">
        <x:is>
          <x:t xml:space="preserve">희귀</x:t>
        </x:is>
      </x:c>
      <x:c r="R818" s="7" t="inlineStr">
        <x:is>
          <x:t xml:space="preserve">없음</x:t>
        </x:is>
      </x:c>
      <x:c r="S818" s="7" t="inlineStr">
        <x:is>
          <x:t xml:space="preserve">평원</x:t>
        </x:is>
      </x:c>
      <x:c r="T818" s="7" t="inlineStr">
        <x:is>
          <x:t xml:space="preserve"/>
        </x:is>
      </x:c>
      <x:c r="U818" s="8" t="str">
        <x:f>INDEX('서식지_점수'!$E$4:$P$4,1,MATCH(MAX('서식지_점수'!E818:P818),'서식지_점수'!E818:P818,0))</x:f>
        <x:v>평원</x:v>
      </x:c>
      <x:c r="V818" s="8" t="str">
        <x:f>IF(T818&lt;&gt;"",T818,U818)</x:f>
        <x:v>평원</x:v>
      </x:c>
      <x:c r="W818" s="8" t="str">
        <x:f>IFERROR(INDEX('서식지_점수'!$E$4:$P$4,1,MATCH(MAXIFS('서식지_점수'!E818:P818,'서식지_점수'!E818:P818,"&lt;"&amp;MAX('서식지_점수'!E818:P818)),'서식지_점수'!E818:P818,0)),"")</x:f>
        <x:v>숲</x:v>
      </x:c>
      <x:c r="X818" s="8" t="str">
        <x:f>IF(T818&lt;&gt;"","수동확정",IF(MAX('서식지_점수'!E818:P818)-LARGE('서식지_점수'!E818:P818,2)&gt;=15,"높음",IF(MAX('서식지_점수'!E818:P818)-LARGE('서식지_점수'!E818:P818,2)&gt;=8,"보통","검토필요")))</x:f>
        <x:v>검토필요</x:v>
      </x:c>
      <x:c r="Y818" s="9" t="n">
        <x:f>IF(Q818="전설",8,IF(Q818="희귀",7,IF(J818="기본",1,IF(J818="중간",3,IF(J818="최종",IF(I818="",5,IF(I818&lt;=20,3,IF(I818&lt;=35,4,IF(I818&lt;=50,6,7)))),IF(Q818="드묾",4,2))))))</x:f>
        <x:v>7</x:v>
      </x:c>
      <x:c r="Z818" s="5" t="inlineStr">
        <x:is>
          <x:t xml:space="preserve">#cobblemon:is_grassland; aether:skyroot_grove; aether:skyroot_meadow</x:t>
        </x:is>
      </x:c>
      <x:c r="AA818" s="5" t="inlineStr">
        <x:is>
          <x:t xml:space="preserve">ultra-rare</x:t>
        </x:is>
      </x:c>
      <x:c r="AB818" s="5" t="inlineStr">
        <x:is>
          <x:t xml:space="preserve">예</x:t>
        </x:is>
      </x:c>
      <x:c r="AC818" s="8" t="str">
        <x:f>IF(T818&lt;&gt;"","수동확정",IF(X818="검토필요","검토필요",IF(S818="","원본없음","초기완료")))</x:f>
        <x:v>검토필요</x:v>
      </x:c>
      <x:c r="AD818" s="7" t="inlineStr">
        <x:is>
          <x:t xml:space="preserve"/>
        </x:is>
      </x:c>
      <x:c r="AE818" s="5" t="inlineStr">
        <x:is>
          <x:t xml:space="preserve">.tmp/cobblemon-1.7.3-source/common/src/main/resources/data/cobblemon/species/generation8/raboot.json</x:t>
        </x:is>
      </x:c>
      <x:c r="AF818" s="5" t="str">
        <x:f>"생활권|"&amp;K818</x:f>
        <x:v>생활권|육상</x:v>
      </x:c>
      <x:c r="AG818" s="5" t="str">
        <x:f>"지형|"&amp;L818</x:f>
        <x:v>지형|개활지</x:v>
      </x:c>
      <x:c r="AH818" s="5" t="str">
        <x:f>"온도|"&amp;M818</x:f>
        <x:v>온도|고온</x:v>
      </x:c>
      <x:c r="AI818" s="5" t="str">
        <x:f>"습도|"&amp;N818</x:f>
        <x:v>습도|보통</x:v>
      </x:c>
      <x:c r="AJ818" s="5" t="str">
        <x:f>"날씨|"&amp;O818</x:f>
        <x:v>날씨|무관</x:v>
      </x:c>
      <x:c r="AK818" s="5" t="str">
        <x:f>"특수태그|"&amp;R818</x:f>
        <x:v>특수태그|없음</x:v>
      </x:c>
      <x:c r="AL818" s="5" t="str">
        <x:f>"원본서식지|"&amp;S818</x:f>
        <x:v>원본서식지|평원</x:v>
      </x:c>
      <x:c r="AM818" s="5" t="str">
        <x:f>"타입|"&amp;F818</x:f>
        <x:v>타입|불꽃</x:v>
      </x:c>
      <x:c r="AN818" s="5" t="str">
        <x:f>"타입|"&amp;G818</x:f>
        <x:v>타입|</x:v>
      </x:c>
    </x:row>
    <x:row r="819" ht="24" customHeight="1">
      <x:c r="A819" s="5" t="n">
        <x:v>815</x:v>
      </x:c>
      <x:c r="B819" s="5" t="inlineStr">
        <x:is>
          <x:t xml:space="preserve">에이스번</x:t>
        </x:is>
      </x:c>
      <x:c r="C819" s="5" t="inlineStr">
        <x:is>
          <x:t xml:space="preserve">cinderace</x:t>
        </x:is>
      </x:c>
      <x:c r="D819" s="5" t="inlineStr">
        <x:is>
          <x:t xml:space="preserve">Cinderace</x:t>
        </x:is>
      </x:c>
      <x:c r="E819" s="5" t="n">
        <x:v>8</x:v>
      </x:c>
      <x:c r="F819" s="5" t="inlineStr">
        <x:is>
          <x:t xml:space="preserve">불꽃</x:t>
        </x:is>
      </x:c>
      <x:c r="G819" s="5" t="inlineStr">
        <x:is>
          <x:t xml:space="preserve"/>
        </x:is>
      </x:c>
      <x:c r="H819" s="6" t="n">
        <x:v>33</x:v>
      </x:c>
      <x:c r="I819" s="5" t="n">
        <x:v>35</x:v>
      </x:c>
      <x:c r="J819" s="5" t="inlineStr">
        <x:is>
          <x:t xml:space="preserve">최종</x:t>
        </x:is>
      </x:c>
      <x:c r="K819" s="7" t="inlineStr">
        <x:is>
          <x:t xml:space="preserve">육상</x:t>
        </x:is>
      </x:c>
      <x:c r="L819" s="7" t="inlineStr">
        <x:is>
          <x:t xml:space="preserve">개활지</x:t>
        </x:is>
      </x:c>
      <x:c r="M819" s="7" t="inlineStr">
        <x:is>
          <x:t xml:space="preserve">고온</x:t>
        </x:is>
      </x:c>
      <x:c r="N819" s="7" t="inlineStr">
        <x:is>
          <x:t xml:space="preserve">보통</x:t>
        </x:is>
      </x:c>
      <x:c r="O819" s="7" t="inlineStr">
        <x:is>
          <x:t xml:space="preserve">무관</x:t>
        </x:is>
      </x:c>
      <x:c r="P819" s="7" t="inlineStr">
        <x:is>
          <x:t xml:space="preserve">무관</x:t>
        </x:is>
      </x:c>
      <x:c r="Q819" s="7" t="inlineStr">
        <x:is>
          <x:t xml:space="preserve">희귀</x:t>
        </x:is>
      </x:c>
      <x:c r="R819" s="7" t="inlineStr">
        <x:is>
          <x:t xml:space="preserve">없음</x:t>
        </x:is>
      </x:c>
      <x:c r="S819" s="7" t="inlineStr">
        <x:is>
          <x:t xml:space="preserve">평원</x:t>
        </x:is>
      </x:c>
      <x:c r="T819" s="7" t="inlineStr">
        <x:is>
          <x:t xml:space="preserve"/>
        </x:is>
      </x:c>
      <x:c r="U819" s="8" t="str">
        <x:f>INDEX('서식지_점수'!$E$4:$P$4,1,MATCH(MAX('서식지_점수'!E819:P819),'서식지_점수'!E819:P819,0))</x:f>
        <x:v>평원</x:v>
      </x:c>
      <x:c r="V819" s="8" t="str">
        <x:f>IF(T819&lt;&gt;"",T819,U819)</x:f>
        <x:v>평원</x:v>
      </x:c>
      <x:c r="W819" s="8" t="str">
        <x:f>IFERROR(INDEX('서식지_점수'!$E$4:$P$4,1,MATCH(MAXIFS('서식지_점수'!E819:P819,'서식지_점수'!E819:P819,"&lt;"&amp;MAX('서식지_점수'!E819:P819)),'서식지_점수'!E819:P819,0)),"")</x:f>
        <x:v>숲</x:v>
      </x:c>
      <x:c r="X819" s="8" t="str">
        <x:f>IF(T819&lt;&gt;"","수동확정",IF(MAX('서식지_점수'!E819:P819)-LARGE('서식지_점수'!E819:P819,2)&gt;=15,"높음",IF(MAX('서식지_점수'!E819:P819)-LARGE('서식지_점수'!E819:P819,2)&gt;=8,"보통","검토필요")))</x:f>
        <x:v>검토필요</x:v>
      </x:c>
      <x:c r="Y819" s="9" t="n">
        <x:f>IF(Q819="전설",8,IF(Q819="희귀",7,IF(J819="기본",1,IF(J819="중간",3,IF(J819="최종",IF(I819="",5,IF(I819&lt;=20,3,IF(I819&lt;=35,4,IF(I819&lt;=50,6,7)))),IF(Q819="드묾",4,2))))))</x:f>
        <x:v>7</x:v>
      </x:c>
      <x:c r="Z819" s="5" t="inlineStr">
        <x:is>
          <x:t xml:space="preserve">#cobblemon:is_grassland; aether:skyroot_grove; aether:skyroot_meadow</x:t>
        </x:is>
      </x:c>
      <x:c r="AA819" s="5" t="inlineStr">
        <x:is>
          <x:t xml:space="preserve">ultra-rare</x:t>
        </x:is>
      </x:c>
      <x:c r="AB819" s="5" t="inlineStr">
        <x:is>
          <x:t xml:space="preserve">예</x:t>
        </x:is>
      </x:c>
      <x:c r="AC819" s="8" t="str">
        <x:f>IF(T819&lt;&gt;"","수동확정",IF(X819="검토필요","검토필요",IF(S819="","원본없음","초기완료")))</x:f>
        <x:v>검토필요</x:v>
      </x:c>
      <x:c r="AD819" s="7" t="inlineStr">
        <x:is>
          <x:t xml:space="preserve"/>
        </x:is>
      </x:c>
      <x:c r="AE819" s="5" t="inlineStr">
        <x:is>
          <x:t xml:space="preserve">.tmp/cobblemon-1.7.3-source/common/src/main/resources/data/cobblemon/species/generation8/cinderace.json</x:t>
        </x:is>
      </x:c>
      <x:c r="AF819" s="5" t="str">
        <x:f>"생활권|"&amp;K819</x:f>
        <x:v>생활권|육상</x:v>
      </x:c>
      <x:c r="AG819" s="5" t="str">
        <x:f>"지형|"&amp;L819</x:f>
        <x:v>지형|개활지</x:v>
      </x:c>
      <x:c r="AH819" s="5" t="str">
        <x:f>"온도|"&amp;M819</x:f>
        <x:v>온도|고온</x:v>
      </x:c>
      <x:c r="AI819" s="5" t="str">
        <x:f>"습도|"&amp;N819</x:f>
        <x:v>습도|보통</x:v>
      </x:c>
      <x:c r="AJ819" s="5" t="str">
        <x:f>"날씨|"&amp;O819</x:f>
        <x:v>날씨|무관</x:v>
      </x:c>
      <x:c r="AK819" s="5" t="str">
        <x:f>"특수태그|"&amp;R819</x:f>
        <x:v>특수태그|없음</x:v>
      </x:c>
      <x:c r="AL819" s="5" t="str">
        <x:f>"원본서식지|"&amp;S819</x:f>
        <x:v>원본서식지|평원</x:v>
      </x:c>
      <x:c r="AM819" s="5" t="str">
        <x:f>"타입|"&amp;F819</x:f>
        <x:v>타입|불꽃</x:v>
      </x:c>
      <x:c r="AN819" s="5" t="str">
        <x:f>"타입|"&amp;G819</x:f>
        <x:v>타입|</x:v>
      </x:c>
    </x:row>
    <x:row r="820" ht="24" customHeight="1">
      <x:c r="A820" s="5" t="n">
        <x:v>816</x:v>
      </x:c>
      <x:c r="B820" s="5" t="inlineStr">
        <x:is>
          <x:t xml:space="preserve">울머기</x:t>
        </x:is>
      </x:c>
      <x:c r="C820" s="5" t="inlineStr">
        <x:is>
          <x:t xml:space="preserve">sobble</x:t>
        </x:is>
      </x:c>
      <x:c r="D820" s="5" t="inlineStr">
        <x:is>
          <x:t xml:space="preserve">Sobble</x:t>
        </x:is>
      </x:c>
      <x:c r="E820" s="5" t="n">
        <x:v>8</x:v>
      </x:c>
      <x:c r="F820" s="5" t="inlineStr">
        <x:is>
          <x:t xml:space="preserve">물</x:t>
        </x:is>
      </x:c>
      <x:c r="G820" s="5" t="inlineStr">
        <x:is>
          <x:t xml:space="preserve"/>
        </x:is>
      </x:c>
      <x:c r="H820" s="6" t="n">
        <x:v>4</x:v>
      </x:c>
      <x:c r="I820" s="5" t="n">
        <x:v>35</x:v>
      </x:c>
      <x:c r="J820" s="5" t="inlineStr">
        <x:is>
          <x:t xml:space="preserve">기본</x:t>
        </x:is>
      </x:c>
      <x:c r="K820" s="7" t="inlineStr">
        <x:is>
          <x:t xml:space="preserve">수륙</x:t>
        </x:is>
      </x:c>
      <x:c r="L820" s="7" t="inlineStr">
        <x:is>
          <x:t xml:space="preserve">습지</x:t>
        </x:is>
      </x:c>
      <x:c r="M820" s="7" t="inlineStr">
        <x:is>
          <x:t xml:space="preserve">온대</x:t>
        </x:is>
      </x:c>
      <x:c r="N820" s="7" t="inlineStr">
        <x:is>
          <x:t xml:space="preserve">다습</x:t>
        </x:is>
      </x:c>
      <x:c r="O820" s="7" t="inlineStr">
        <x:is>
          <x:t xml:space="preserve">비</x:t>
        </x:is>
      </x:c>
      <x:c r="P820" s="7" t="inlineStr">
        <x:is>
          <x:t xml:space="preserve">무관</x:t>
        </x:is>
      </x:c>
      <x:c r="Q820" s="7" t="inlineStr">
        <x:is>
          <x:t xml:space="preserve">희귀</x:t>
        </x:is>
      </x:c>
      <x:c r="R820" s="7" t="inlineStr">
        <x:is>
          <x:t xml:space="preserve">없음</x:t>
        </x:is>
      </x:c>
      <x:c r="S820" s="7" t="inlineStr">
        <x:is>
          <x:t xml:space="preserve">습지</x:t>
        </x:is>
      </x:c>
      <x:c r="T820" s="7" t="inlineStr">
        <x:is>
          <x:t xml:space="preserve"/>
        </x:is>
      </x:c>
      <x:c r="U820" s="8" t="str">
        <x:f>INDEX('서식지_점수'!$E$4:$P$4,1,MATCH(MAX('서식지_점수'!E820:P820),'서식지_점수'!E820:P820,0))</x:f>
        <x:v>습지</x:v>
      </x:c>
      <x:c r="V820" s="8" t="str">
        <x:f>IF(T820&lt;&gt;"",T820,U820)</x:f>
        <x:v>습지</x:v>
      </x:c>
      <x:c r="W820" s="8" t="str">
        <x:f>IFERROR(INDEX('서식지_점수'!$E$4:$P$4,1,MATCH(MAXIFS('서식지_점수'!E820:P820,'서식지_점수'!E820:P820,"&lt;"&amp;MAX('서식지_점수'!E820:P820)),'서식지_점수'!E820:P820,0)),"")</x:f>
        <x:v>담수</x:v>
      </x:c>
      <x:c r="X820" s="8" t="str">
        <x:f>IF(T820&lt;&gt;"","수동확정",IF(MAX('서식지_점수'!E820:P820)-LARGE('서식지_점수'!E820:P820,2)&gt;=15,"높음",IF(MAX('서식지_점수'!E820:P820)-LARGE('서식지_점수'!E820:P820,2)&gt;=8,"보통","검토필요")))</x:f>
        <x:v>검토필요</x:v>
      </x:c>
      <x:c r="Y820" s="9" t="n">
        <x:f>IF(Q820="전설",8,IF(Q820="희귀",7,IF(J820="기본",1,IF(J820="중간",3,IF(J820="최종",IF(I820="",5,IF(I820&lt;=20,3,IF(I820&lt;=35,4,IF(I820&lt;=50,6,7)))),IF(Q820="드묾",4,2))))))</x:f>
        <x:v>7</x:v>
      </x:c>
      <x:c r="Z820" s="5" t="inlineStr">
        <x:is>
          <x:t xml:space="preserve">#cobblemon:is_forest; #cobblemon:is_jungle; #cobblemon:is_swamp</x:t>
        </x:is>
      </x:c>
      <x:c r="AA820" s="5" t="inlineStr">
        <x:is>
          <x:t xml:space="preserve">ultra-rare</x:t>
        </x:is>
      </x:c>
      <x:c r="AB820" s="5" t="inlineStr">
        <x:is>
          <x:t xml:space="preserve">예</x:t>
        </x:is>
      </x:c>
      <x:c r="AC820" s="8" t="str">
        <x:f>IF(T820&lt;&gt;"","수동확정",IF(X820="검토필요","검토필요",IF(S820="","원본없음","초기완료")))</x:f>
        <x:v>검토필요</x:v>
      </x:c>
      <x:c r="AD820" s="7" t="inlineStr">
        <x:is>
          <x:t xml:space="preserve"/>
        </x:is>
      </x:c>
      <x:c r="AE820" s="5" t="inlineStr">
        <x:is>
          <x:t xml:space="preserve">.tmp/cobblemon-1.7.3-source/common/src/main/resources/data/cobblemon/species/generation8/sobble.json</x:t>
        </x:is>
      </x:c>
      <x:c r="AF820" s="5" t="str">
        <x:f>"생활권|"&amp;K820</x:f>
        <x:v>생활권|수륙</x:v>
      </x:c>
      <x:c r="AG820" s="5" t="str">
        <x:f>"지형|"&amp;L820</x:f>
        <x:v>지형|습지</x:v>
      </x:c>
      <x:c r="AH820" s="5" t="str">
        <x:f>"온도|"&amp;M820</x:f>
        <x:v>온도|온대</x:v>
      </x:c>
      <x:c r="AI820" s="5" t="str">
        <x:f>"습도|"&amp;N820</x:f>
        <x:v>습도|다습</x:v>
      </x:c>
      <x:c r="AJ820" s="5" t="str">
        <x:f>"날씨|"&amp;O820</x:f>
        <x:v>날씨|비</x:v>
      </x:c>
      <x:c r="AK820" s="5" t="str">
        <x:f>"특수태그|"&amp;R820</x:f>
        <x:v>특수태그|없음</x:v>
      </x:c>
      <x:c r="AL820" s="5" t="str">
        <x:f>"원본서식지|"&amp;S820</x:f>
        <x:v>원본서식지|습지</x:v>
      </x:c>
      <x:c r="AM820" s="5" t="str">
        <x:f>"타입|"&amp;F820</x:f>
        <x:v>타입|물</x:v>
      </x:c>
      <x:c r="AN820" s="5" t="str">
        <x:f>"타입|"&amp;G820</x:f>
        <x:v>타입|</x:v>
      </x:c>
    </x:row>
    <x:row r="821" ht="24" customHeight="1">
      <x:c r="A821" s="5" t="n">
        <x:v>817</x:v>
      </x:c>
      <x:c r="B821" s="5" t="inlineStr">
        <x:is>
          <x:t xml:space="preserve">누겔레온</x:t>
        </x:is>
      </x:c>
      <x:c r="C821" s="5" t="inlineStr">
        <x:is>
          <x:t xml:space="preserve">drizzile</x:t>
        </x:is>
      </x:c>
      <x:c r="D821" s="5" t="inlineStr">
        <x:is>
          <x:t xml:space="preserve">Drizzile</x:t>
        </x:is>
      </x:c>
      <x:c r="E821" s="5" t="n">
        <x:v>8</x:v>
      </x:c>
      <x:c r="F821" s="5" t="inlineStr">
        <x:is>
          <x:t xml:space="preserve">물</x:t>
        </x:is>
      </x:c>
      <x:c r="G821" s="5" t="inlineStr">
        <x:is>
          <x:t xml:space="preserve"/>
        </x:is>
      </x:c>
      <x:c r="H821" s="6" t="n">
        <x:v>11.5</x:v>
      </x:c>
      <x:c r="I821" s="5" t="n">
        <x:v>35</x:v>
      </x:c>
      <x:c r="J821" s="5" t="inlineStr">
        <x:is>
          <x:t xml:space="preserve">중간</x:t>
        </x:is>
      </x:c>
      <x:c r="K821" s="7" t="inlineStr">
        <x:is>
          <x:t xml:space="preserve">수륙</x:t>
        </x:is>
      </x:c>
      <x:c r="L821" s="7" t="inlineStr">
        <x:is>
          <x:t xml:space="preserve">습지</x:t>
        </x:is>
      </x:c>
      <x:c r="M821" s="7" t="inlineStr">
        <x:is>
          <x:t xml:space="preserve">온대</x:t>
        </x:is>
      </x:c>
      <x:c r="N821" s="7" t="inlineStr">
        <x:is>
          <x:t xml:space="preserve">다습</x:t>
        </x:is>
      </x:c>
      <x:c r="O821" s="7" t="inlineStr">
        <x:is>
          <x:t xml:space="preserve">비</x:t>
        </x:is>
      </x:c>
      <x:c r="P821" s="7" t="inlineStr">
        <x:is>
          <x:t xml:space="preserve">무관</x:t>
        </x:is>
      </x:c>
      <x:c r="Q821" s="7" t="inlineStr">
        <x:is>
          <x:t xml:space="preserve">희귀</x:t>
        </x:is>
      </x:c>
      <x:c r="R821" s="7" t="inlineStr">
        <x:is>
          <x:t xml:space="preserve">없음</x:t>
        </x:is>
      </x:c>
      <x:c r="S821" s="7" t="inlineStr">
        <x:is>
          <x:t xml:space="preserve">습지</x:t>
        </x:is>
      </x:c>
      <x:c r="T821" s="7" t="inlineStr">
        <x:is>
          <x:t xml:space="preserve"/>
        </x:is>
      </x:c>
      <x:c r="U821" s="8" t="str">
        <x:f>INDEX('서식지_점수'!$E$4:$P$4,1,MATCH(MAX('서식지_점수'!E821:P821),'서식지_점수'!E821:P821,0))</x:f>
        <x:v>습지</x:v>
      </x:c>
      <x:c r="V821" s="8" t="str">
        <x:f>IF(T821&lt;&gt;"",T821,U821)</x:f>
        <x:v>습지</x:v>
      </x:c>
      <x:c r="W821" s="8" t="str">
        <x:f>IFERROR(INDEX('서식지_점수'!$E$4:$P$4,1,MATCH(MAXIFS('서식지_점수'!E821:P821,'서식지_점수'!E821:P821,"&lt;"&amp;MAX('서식지_점수'!E821:P821)),'서식지_점수'!E821:P821,0)),"")</x:f>
        <x:v>담수</x:v>
      </x:c>
      <x:c r="X821" s="8" t="str">
        <x:f>IF(T821&lt;&gt;"","수동확정",IF(MAX('서식지_점수'!E821:P821)-LARGE('서식지_점수'!E821:P821,2)&gt;=15,"높음",IF(MAX('서식지_점수'!E821:P821)-LARGE('서식지_점수'!E821:P821,2)&gt;=8,"보통","검토필요")))</x:f>
        <x:v>검토필요</x:v>
      </x:c>
      <x:c r="Y821" s="9" t="n">
        <x:f>IF(Q821="전설",8,IF(Q821="희귀",7,IF(J821="기본",1,IF(J821="중간",3,IF(J821="최종",IF(I821="",5,IF(I821&lt;=20,3,IF(I821&lt;=35,4,IF(I821&lt;=50,6,7)))),IF(Q821="드묾",4,2))))))</x:f>
        <x:v>7</x:v>
      </x:c>
      <x:c r="Z821" s="5" t="inlineStr">
        <x:is>
          <x:t xml:space="preserve">#cobblemon:is_forest; #cobblemon:is_jungle; #cobblemon:is_swamp</x:t>
        </x:is>
      </x:c>
      <x:c r="AA821" s="5" t="inlineStr">
        <x:is>
          <x:t xml:space="preserve">ultra-rare</x:t>
        </x:is>
      </x:c>
      <x:c r="AB821" s="5" t="inlineStr">
        <x:is>
          <x:t xml:space="preserve">예</x:t>
        </x:is>
      </x:c>
      <x:c r="AC821" s="8" t="str">
        <x:f>IF(T821&lt;&gt;"","수동확정",IF(X821="검토필요","검토필요",IF(S821="","원본없음","초기완료")))</x:f>
        <x:v>검토필요</x:v>
      </x:c>
      <x:c r="AD821" s="7" t="inlineStr">
        <x:is>
          <x:t xml:space="preserve"/>
        </x:is>
      </x:c>
      <x:c r="AE821" s="5" t="inlineStr">
        <x:is>
          <x:t xml:space="preserve">.tmp/cobblemon-1.7.3-source/common/src/main/resources/data/cobblemon/species/generation8/drizzile.json</x:t>
        </x:is>
      </x:c>
      <x:c r="AF821" s="5" t="str">
        <x:f>"생활권|"&amp;K821</x:f>
        <x:v>생활권|수륙</x:v>
      </x:c>
      <x:c r="AG821" s="5" t="str">
        <x:f>"지형|"&amp;L821</x:f>
        <x:v>지형|습지</x:v>
      </x:c>
      <x:c r="AH821" s="5" t="str">
        <x:f>"온도|"&amp;M821</x:f>
        <x:v>온도|온대</x:v>
      </x:c>
      <x:c r="AI821" s="5" t="str">
        <x:f>"습도|"&amp;N821</x:f>
        <x:v>습도|다습</x:v>
      </x:c>
      <x:c r="AJ821" s="5" t="str">
        <x:f>"날씨|"&amp;O821</x:f>
        <x:v>날씨|비</x:v>
      </x:c>
      <x:c r="AK821" s="5" t="str">
        <x:f>"특수태그|"&amp;R821</x:f>
        <x:v>특수태그|없음</x:v>
      </x:c>
      <x:c r="AL821" s="5" t="str">
        <x:f>"원본서식지|"&amp;S821</x:f>
        <x:v>원본서식지|습지</x:v>
      </x:c>
      <x:c r="AM821" s="5" t="str">
        <x:f>"타입|"&amp;F821</x:f>
        <x:v>타입|물</x:v>
      </x:c>
      <x:c r="AN821" s="5" t="str">
        <x:f>"타입|"&amp;G821</x:f>
        <x:v>타입|</x:v>
      </x:c>
    </x:row>
    <x:row r="822" ht="24" customHeight="1">
      <x:c r="A822" s="5" t="n">
        <x:v>818</x:v>
      </x:c>
      <x:c r="B822" s="5" t="inlineStr">
        <x:is>
          <x:t xml:space="preserve">인텔리레온</x:t>
        </x:is>
      </x:c>
      <x:c r="C822" s="5" t="inlineStr">
        <x:is>
          <x:t xml:space="preserve">inteleon</x:t>
        </x:is>
      </x:c>
      <x:c r="D822" s="5" t="inlineStr">
        <x:is>
          <x:t xml:space="preserve">Inteleon</x:t>
        </x:is>
      </x:c>
      <x:c r="E822" s="5" t="n">
        <x:v>8</x:v>
      </x:c>
      <x:c r="F822" s="5" t="inlineStr">
        <x:is>
          <x:t xml:space="preserve">물</x:t>
        </x:is>
      </x:c>
      <x:c r="G822" s="5" t="inlineStr">
        <x:is>
          <x:t xml:space="preserve"/>
        </x:is>
      </x:c>
      <x:c r="H822" s="6" t="n">
        <x:v>45.2</x:v>
      </x:c>
      <x:c r="I822" s="5" t="n">
        <x:v>35</x:v>
      </x:c>
      <x:c r="J822" s="5" t="inlineStr">
        <x:is>
          <x:t xml:space="preserve">최종</x:t>
        </x:is>
      </x:c>
      <x:c r="K822" s="7" t="inlineStr">
        <x:is>
          <x:t xml:space="preserve">수륙</x:t>
        </x:is>
      </x:c>
      <x:c r="L822" s="7" t="inlineStr">
        <x:is>
          <x:t xml:space="preserve">습지</x:t>
        </x:is>
      </x:c>
      <x:c r="M822" s="7" t="inlineStr">
        <x:is>
          <x:t xml:space="preserve">온대</x:t>
        </x:is>
      </x:c>
      <x:c r="N822" s="7" t="inlineStr">
        <x:is>
          <x:t xml:space="preserve">다습</x:t>
        </x:is>
      </x:c>
      <x:c r="O822" s="7" t="inlineStr">
        <x:is>
          <x:t xml:space="preserve">비</x:t>
        </x:is>
      </x:c>
      <x:c r="P822" s="7" t="inlineStr">
        <x:is>
          <x:t xml:space="preserve">무관</x:t>
        </x:is>
      </x:c>
      <x:c r="Q822" s="7" t="inlineStr">
        <x:is>
          <x:t xml:space="preserve">희귀</x:t>
        </x:is>
      </x:c>
      <x:c r="R822" s="7" t="inlineStr">
        <x:is>
          <x:t xml:space="preserve">없음</x:t>
        </x:is>
      </x:c>
      <x:c r="S822" s="7" t="inlineStr">
        <x:is>
          <x:t xml:space="preserve">습지</x:t>
        </x:is>
      </x:c>
      <x:c r="T822" s="7" t="inlineStr">
        <x:is>
          <x:t xml:space="preserve"/>
        </x:is>
      </x:c>
      <x:c r="U822" s="8" t="str">
        <x:f>INDEX('서식지_점수'!$E$4:$P$4,1,MATCH(MAX('서식지_점수'!E822:P822),'서식지_점수'!E822:P822,0))</x:f>
        <x:v>습지</x:v>
      </x:c>
      <x:c r="V822" s="8" t="str">
        <x:f>IF(T822&lt;&gt;"",T822,U822)</x:f>
        <x:v>습지</x:v>
      </x:c>
      <x:c r="W822" s="8" t="str">
        <x:f>IFERROR(INDEX('서식지_점수'!$E$4:$P$4,1,MATCH(MAXIFS('서식지_점수'!E822:P822,'서식지_점수'!E822:P822,"&lt;"&amp;MAX('서식지_점수'!E822:P822)),'서식지_점수'!E822:P822,0)),"")</x:f>
        <x:v>담수</x:v>
      </x:c>
      <x:c r="X822" s="8" t="str">
        <x:f>IF(T822&lt;&gt;"","수동확정",IF(MAX('서식지_점수'!E822:P822)-LARGE('서식지_점수'!E822:P822,2)&gt;=15,"높음",IF(MAX('서식지_점수'!E822:P822)-LARGE('서식지_점수'!E822:P822,2)&gt;=8,"보통","검토필요")))</x:f>
        <x:v>검토필요</x:v>
      </x:c>
      <x:c r="Y822" s="9" t="n">
        <x:f>IF(Q822="전설",8,IF(Q822="희귀",7,IF(J822="기본",1,IF(J822="중간",3,IF(J822="최종",IF(I822="",5,IF(I822&lt;=20,3,IF(I822&lt;=35,4,IF(I822&lt;=50,6,7)))),IF(Q822="드묾",4,2))))))</x:f>
        <x:v>7</x:v>
      </x:c>
      <x:c r="Z822" s="5" t="inlineStr">
        <x:is>
          <x:t xml:space="preserve">#cobblemon:is_forest; #cobblemon:is_jungle; #cobblemon:is_swamp</x:t>
        </x:is>
      </x:c>
      <x:c r="AA822" s="5" t="inlineStr">
        <x:is>
          <x:t xml:space="preserve">ultra-rare</x:t>
        </x:is>
      </x:c>
      <x:c r="AB822" s="5" t="inlineStr">
        <x:is>
          <x:t xml:space="preserve">예</x:t>
        </x:is>
      </x:c>
      <x:c r="AC822" s="8" t="str">
        <x:f>IF(T822&lt;&gt;"","수동확정",IF(X822="검토필요","검토필요",IF(S822="","원본없음","초기완료")))</x:f>
        <x:v>검토필요</x:v>
      </x:c>
      <x:c r="AD822" s="7" t="inlineStr">
        <x:is>
          <x:t xml:space="preserve"/>
        </x:is>
      </x:c>
      <x:c r="AE822" s="5" t="inlineStr">
        <x:is>
          <x:t xml:space="preserve">.tmp/cobblemon-1.7.3-source/common/src/main/resources/data/cobblemon/species/generation8/inteleon.json</x:t>
        </x:is>
      </x:c>
      <x:c r="AF822" s="5" t="str">
        <x:f>"생활권|"&amp;K822</x:f>
        <x:v>생활권|수륙</x:v>
      </x:c>
      <x:c r="AG822" s="5" t="str">
        <x:f>"지형|"&amp;L822</x:f>
        <x:v>지형|습지</x:v>
      </x:c>
      <x:c r="AH822" s="5" t="str">
        <x:f>"온도|"&amp;M822</x:f>
        <x:v>온도|온대</x:v>
      </x:c>
      <x:c r="AI822" s="5" t="str">
        <x:f>"습도|"&amp;N822</x:f>
        <x:v>습도|다습</x:v>
      </x:c>
      <x:c r="AJ822" s="5" t="str">
        <x:f>"날씨|"&amp;O822</x:f>
        <x:v>날씨|비</x:v>
      </x:c>
      <x:c r="AK822" s="5" t="str">
        <x:f>"특수태그|"&amp;R822</x:f>
        <x:v>특수태그|없음</x:v>
      </x:c>
      <x:c r="AL822" s="5" t="str">
        <x:f>"원본서식지|"&amp;S822</x:f>
        <x:v>원본서식지|습지</x:v>
      </x:c>
      <x:c r="AM822" s="5" t="str">
        <x:f>"타입|"&amp;F822</x:f>
        <x:v>타입|물</x:v>
      </x:c>
      <x:c r="AN822" s="5" t="str">
        <x:f>"타입|"&amp;G822</x:f>
        <x:v>타입|</x:v>
      </x:c>
    </x:row>
    <x:row r="823" ht="24" customHeight="1">
      <x:c r="A823" s="5" t="n">
        <x:v>819</x:v>
      </x:c>
      <x:c r="B823" s="5" t="inlineStr">
        <x:is>
          <x:t xml:space="preserve">탐리스</x:t>
        </x:is>
      </x:c>
      <x:c r="C823" s="5" t="inlineStr">
        <x:is>
          <x:t xml:space="preserve">skwovet</x:t>
        </x:is>
      </x:c>
      <x:c r="D823" s="5" t="inlineStr">
        <x:is>
          <x:t xml:space="preserve">Skwovet</x:t>
        </x:is>
      </x:c>
      <x:c r="E823" s="5" t="n">
        <x:v>8</x:v>
      </x:c>
      <x:c r="F823" s="5" t="inlineStr">
        <x:is>
          <x:t xml:space="preserve">노말</x:t>
        </x:is>
      </x:c>
      <x:c r="G823" s="5" t="inlineStr">
        <x:is>
          <x:t xml:space="preserve"/>
        </x:is>
      </x:c>
      <x:c r="H823" s="6" t="n">
        <x:v>2.5</x:v>
      </x:c>
      <x:c r="I823" s="5" t="n">
        <x:v>24</x:v>
      </x:c>
      <x:c r="J823" s="5" t="inlineStr">
        <x:is>
          <x:t xml:space="preserve">기본</x:t>
        </x:is>
      </x:c>
      <x:c r="K823" s="7" t="inlineStr">
        <x:is>
          <x:t xml:space="preserve">육상</x:t>
        </x:is>
      </x:c>
      <x:c r="L823" s="7" t="inlineStr">
        <x:is>
          <x:t xml:space="preserve">수목</x:t>
        </x:is>
      </x:c>
      <x:c r="M823" s="7" t="inlineStr">
        <x:is>
          <x:t xml:space="preserve">서늘</x:t>
        </x:is>
      </x:c>
      <x:c r="N823" s="7" t="inlineStr">
        <x:is>
          <x:t xml:space="preserve">보통</x:t>
        </x:is>
      </x:c>
      <x:c r="O823" s="7" t="inlineStr">
        <x:is>
          <x:t xml:space="preserve">무관</x:t>
        </x:is>
      </x:c>
      <x:c r="P823" s="7" t="inlineStr">
        <x:is>
          <x:t xml:space="preserve">무관</x:t>
        </x:is>
      </x:c>
      <x:c r="Q823" s="7" t="inlineStr">
        <x:is>
          <x:t xml:space="preserve">흔함</x:t>
        </x:is>
      </x:c>
      <x:c r="R823" s="7" t="inlineStr">
        <x:is>
          <x:t xml:space="preserve">없음</x:t>
        </x:is>
      </x:c>
      <x:c r="S823" s="7" t="inlineStr">
        <x:is>
          <x:t xml:space="preserve">숲</x:t>
        </x:is>
      </x:c>
      <x:c r="T823" s="7" t="inlineStr">
        <x:is>
          <x:t xml:space="preserve"/>
        </x:is>
      </x:c>
      <x:c r="U823" s="8" t="str">
        <x:f>INDEX('서식지_점수'!$E$4:$P$4,1,MATCH(MAX('서식지_점수'!E823:P823),'서식지_점수'!E823:P823,0))</x:f>
        <x:v>평원</x:v>
      </x:c>
      <x:c r="V823" s="8" t="str">
        <x:f>IF(T823&lt;&gt;"",T823,U823)</x:f>
        <x:v>평원</x:v>
      </x:c>
      <x:c r="W823" s="8" t="str">
        <x:f>IFERROR(INDEX('서식지_점수'!$E$4:$P$4,1,MATCH(MAXIFS('서식지_점수'!E823:P823,'서식지_점수'!E823:P823,"&lt;"&amp;MAX('서식지_점수'!E823:P823)),'서식지_점수'!E823:P823,0)),"")</x:f>
        <x:v>숲</x:v>
      </x:c>
      <x:c r="X823" s="8" t="str">
        <x:f>IF(T823&lt;&gt;"","수동확정",IF(MAX('서식지_점수'!E823:P823)-LARGE('서식지_점수'!E823:P823,2)&gt;=15,"높음",IF(MAX('서식지_점수'!E823:P823)-LARGE('서식지_점수'!E823:P823,2)&gt;=8,"보통","검토필요")))</x:f>
        <x:v>검토필요</x:v>
      </x:c>
      <x:c r="Y823" s="9" t="n">
        <x:f>IF(Q823="전설",8,IF(Q823="희귀",7,IF(J823="기본",1,IF(J823="중간",3,IF(J823="최종",IF(I823="",5,IF(I823&lt;=20,3,IF(I823&lt;=35,4,IF(I823&lt;=50,6,7)))),IF(Q823="드묾",4,2))))))</x:f>
        <x:v>1</x:v>
      </x:c>
      <x:c r="Z823" s="5" t="inlineStr">
        <x:is>
          <x:t xml:space="preserve">#cobblemon:is_forest; #cobblemon:is_taiga</x:t>
        </x:is>
      </x:c>
      <x:c r="AA823" s="5" t="inlineStr">
        <x:is>
          <x:t xml:space="preserve">common</x:t>
        </x:is>
      </x:c>
      <x:c r="AB823" s="5" t="inlineStr">
        <x:is>
          <x:t xml:space="preserve">예</x:t>
        </x:is>
      </x:c>
      <x:c r="AC823" s="8" t="str">
        <x:f>IF(T823&lt;&gt;"","수동확정",IF(X823="검토필요","검토필요",IF(S823="","원본없음","초기완료")))</x:f>
        <x:v>검토필요</x:v>
      </x:c>
      <x:c r="AD823" s="7" t="inlineStr">
        <x:is>
          <x:t xml:space="preserve"/>
        </x:is>
      </x:c>
      <x:c r="AE823" s="5" t="inlineStr">
        <x:is>
          <x:t xml:space="preserve">.tmp/cobblemon-1.7.3-source/common/src/main/resources/data/cobblemon/species/generation8/skwovet.json</x:t>
        </x:is>
      </x:c>
      <x:c r="AF823" s="5" t="str">
        <x:f>"생활권|"&amp;K823</x:f>
        <x:v>생활권|육상</x:v>
      </x:c>
      <x:c r="AG823" s="5" t="str">
        <x:f>"지형|"&amp;L823</x:f>
        <x:v>지형|수목</x:v>
      </x:c>
      <x:c r="AH823" s="5" t="str">
        <x:f>"온도|"&amp;M823</x:f>
        <x:v>온도|서늘</x:v>
      </x:c>
      <x:c r="AI823" s="5" t="str">
        <x:f>"습도|"&amp;N823</x:f>
        <x:v>습도|보통</x:v>
      </x:c>
      <x:c r="AJ823" s="5" t="str">
        <x:f>"날씨|"&amp;O823</x:f>
        <x:v>날씨|무관</x:v>
      </x:c>
      <x:c r="AK823" s="5" t="str">
        <x:f>"특수태그|"&amp;R823</x:f>
        <x:v>특수태그|없음</x:v>
      </x:c>
      <x:c r="AL823" s="5" t="str">
        <x:f>"원본서식지|"&amp;S823</x:f>
        <x:v>원본서식지|숲</x:v>
      </x:c>
      <x:c r="AM823" s="5" t="str">
        <x:f>"타입|"&amp;F823</x:f>
        <x:v>타입|노말</x:v>
      </x:c>
      <x:c r="AN823" s="5" t="str">
        <x:f>"타입|"&amp;G823</x:f>
        <x:v>타입|</x:v>
      </x:c>
    </x:row>
    <x:row r="824" ht="24" customHeight="1">
      <x:c r="A824" s="5" t="n">
        <x:v>820</x:v>
      </x:c>
      <x:c r="B824" s="5" t="inlineStr">
        <x:is>
          <x:t xml:space="preserve">요씽리스</x:t>
        </x:is>
      </x:c>
      <x:c r="C824" s="5" t="inlineStr">
        <x:is>
          <x:t xml:space="preserve">greedent</x:t>
        </x:is>
      </x:c>
      <x:c r="D824" s="5" t="inlineStr">
        <x:is>
          <x:t xml:space="preserve">Greedent</x:t>
        </x:is>
      </x:c>
      <x:c r="E824" s="5" t="n">
        <x:v>8</x:v>
      </x:c>
      <x:c r="F824" s="5" t="inlineStr">
        <x:is>
          <x:t xml:space="preserve">노말</x:t>
        </x:is>
      </x:c>
      <x:c r="G824" s="5" t="inlineStr">
        <x:is>
          <x:t xml:space="preserve"/>
        </x:is>
      </x:c>
      <x:c r="H824" s="6" t="n">
        <x:v>6</x:v>
      </x:c>
      <x:c r="I824" s="5" t="n">
        <x:v>24</x:v>
      </x:c>
      <x:c r="J824" s="5" t="inlineStr">
        <x:is>
          <x:t xml:space="preserve">최종</x:t>
        </x:is>
      </x:c>
      <x:c r="K824" s="7" t="inlineStr">
        <x:is>
          <x:t xml:space="preserve">육상</x:t>
        </x:is>
      </x:c>
      <x:c r="L824" s="7" t="inlineStr">
        <x:is>
          <x:t xml:space="preserve">수목</x:t>
        </x:is>
      </x:c>
      <x:c r="M824" s="7" t="inlineStr">
        <x:is>
          <x:t xml:space="preserve">서늘</x:t>
        </x:is>
      </x:c>
      <x:c r="N824" s="7" t="inlineStr">
        <x:is>
          <x:t xml:space="preserve">보통</x:t>
        </x:is>
      </x:c>
      <x:c r="O824" s="7" t="inlineStr">
        <x:is>
          <x:t xml:space="preserve">무관</x:t>
        </x:is>
      </x:c>
      <x:c r="P824" s="7" t="inlineStr">
        <x:is>
          <x:t xml:space="preserve">무관</x:t>
        </x:is>
      </x:c>
      <x:c r="Q824" s="7" t="inlineStr">
        <x:is>
          <x:t xml:space="preserve">흔함</x:t>
        </x:is>
      </x:c>
      <x:c r="R824" s="7" t="inlineStr">
        <x:is>
          <x:t xml:space="preserve">없음</x:t>
        </x:is>
      </x:c>
      <x:c r="S824" s="7" t="inlineStr">
        <x:is>
          <x:t xml:space="preserve">숲</x:t>
        </x:is>
      </x:c>
      <x:c r="T824" s="7" t="inlineStr">
        <x:is>
          <x:t xml:space="preserve"/>
        </x:is>
      </x:c>
      <x:c r="U824" s="8" t="str">
        <x:f>INDEX('서식지_점수'!$E$4:$P$4,1,MATCH(MAX('서식지_점수'!E824:P824),'서식지_점수'!E824:P824,0))</x:f>
        <x:v>평원</x:v>
      </x:c>
      <x:c r="V824" s="8" t="str">
        <x:f>IF(T824&lt;&gt;"",T824,U824)</x:f>
        <x:v>평원</x:v>
      </x:c>
      <x:c r="W824" s="8" t="str">
        <x:f>IFERROR(INDEX('서식지_점수'!$E$4:$P$4,1,MATCH(MAXIFS('서식지_점수'!E824:P824,'서식지_점수'!E824:P824,"&lt;"&amp;MAX('서식지_점수'!E824:P824)),'서식지_점수'!E824:P824,0)),"")</x:f>
        <x:v>숲</x:v>
      </x:c>
      <x:c r="X824" s="8" t="str">
        <x:f>IF(T824&lt;&gt;"","수동확정",IF(MAX('서식지_점수'!E824:P824)-LARGE('서식지_점수'!E824:P824,2)&gt;=15,"높음",IF(MAX('서식지_점수'!E824:P824)-LARGE('서식지_점수'!E824:P824,2)&gt;=8,"보통","검토필요")))</x:f>
        <x:v>검토필요</x:v>
      </x:c>
      <x:c r="Y824" s="9" t="n">
        <x:f>IF(Q824="전설",8,IF(Q824="희귀",7,IF(J824="기본",1,IF(J824="중간",3,IF(J824="최종",IF(I824="",5,IF(I824&lt;=20,3,IF(I824&lt;=35,4,IF(I824&lt;=50,6,7)))),IF(Q824="드묾",4,2))))))</x:f>
        <x:v>4</x:v>
      </x:c>
      <x:c r="Z824" s="5" t="inlineStr">
        <x:is>
          <x:t xml:space="preserve">#cobblemon:is_forest; #cobblemon:is_taiga</x:t>
        </x:is>
      </x:c>
      <x:c r="AA824" s="5" t="inlineStr">
        <x:is>
          <x:t xml:space="preserve">common</x:t>
        </x:is>
      </x:c>
      <x:c r="AB824" s="5" t="inlineStr">
        <x:is>
          <x:t xml:space="preserve">예</x:t>
        </x:is>
      </x:c>
      <x:c r="AC824" s="8" t="str">
        <x:f>IF(T824&lt;&gt;"","수동확정",IF(X824="검토필요","검토필요",IF(S824="","원본없음","초기완료")))</x:f>
        <x:v>검토필요</x:v>
      </x:c>
      <x:c r="AD824" s="7" t="inlineStr">
        <x:is>
          <x:t xml:space="preserve"/>
        </x:is>
      </x:c>
      <x:c r="AE824" s="5" t="inlineStr">
        <x:is>
          <x:t xml:space="preserve">.tmp/cobblemon-1.7.3-source/common/src/main/resources/data/cobblemon/species/generation8/greedent.json</x:t>
        </x:is>
      </x:c>
      <x:c r="AF824" s="5" t="str">
        <x:f>"생활권|"&amp;K824</x:f>
        <x:v>생활권|육상</x:v>
      </x:c>
      <x:c r="AG824" s="5" t="str">
        <x:f>"지형|"&amp;L824</x:f>
        <x:v>지형|수목</x:v>
      </x:c>
      <x:c r="AH824" s="5" t="str">
        <x:f>"온도|"&amp;M824</x:f>
        <x:v>온도|서늘</x:v>
      </x:c>
      <x:c r="AI824" s="5" t="str">
        <x:f>"습도|"&amp;N824</x:f>
        <x:v>습도|보통</x:v>
      </x:c>
      <x:c r="AJ824" s="5" t="str">
        <x:f>"날씨|"&amp;O824</x:f>
        <x:v>날씨|무관</x:v>
      </x:c>
      <x:c r="AK824" s="5" t="str">
        <x:f>"특수태그|"&amp;R824</x:f>
        <x:v>특수태그|없음</x:v>
      </x:c>
      <x:c r="AL824" s="5" t="str">
        <x:f>"원본서식지|"&amp;S824</x:f>
        <x:v>원본서식지|숲</x:v>
      </x:c>
      <x:c r="AM824" s="5" t="str">
        <x:f>"타입|"&amp;F824</x:f>
        <x:v>타입|노말</x:v>
      </x:c>
      <x:c r="AN824" s="5" t="str">
        <x:f>"타입|"&amp;G824</x:f>
        <x:v>타입|</x:v>
      </x:c>
    </x:row>
    <x:row r="825" ht="24" customHeight="1">
      <x:c r="A825" s="5" t="n">
        <x:v>821</x:v>
      </x:c>
      <x:c r="B825" s="5" t="inlineStr">
        <x:is>
          <x:t xml:space="preserve">파라꼬</x:t>
        </x:is>
      </x:c>
      <x:c r="C825" s="5" t="inlineStr">
        <x:is>
          <x:t xml:space="preserve">rookidee</x:t>
        </x:is>
      </x:c>
      <x:c r="D825" s="5" t="inlineStr">
        <x:is>
          <x:t xml:space="preserve">Rookidee</x:t>
        </x:is>
      </x:c>
      <x:c r="E825" s="5" t="n">
        <x:v>8</x:v>
      </x:c>
      <x:c r="F825" s="5" t="inlineStr">
        <x:is>
          <x:t xml:space="preserve">비행</x:t>
        </x:is>
      </x:c>
      <x:c r="G825" s="5" t="inlineStr">
        <x:is>
          <x:t xml:space="preserve"/>
        </x:is>
      </x:c>
      <x:c r="H825" s="6" t="n">
        <x:v>1.8</x:v>
      </x:c>
      <x:c r="I825" s="5" t="n">
        <x:v>38</x:v>
      </x:c>
      <x:c r="J825" s="5" t="inlineStr">
        <x:is>
          <x:t xml:space="preserve">기본</x:t>
        </x:is>
      </x:c>
      <x:c r="K825" s="7" t="inlineStr">
        <x:is>
          <x:t xml:space="preserve">비행</x:t>
        </x:is>
      </x:c>
      <x:c r="L825" s="7" t="inlineStr">
        <x:is>
          <x:t xml:space="preserve">특수</x:t>
        </x:is>
      </x:c>
      <x:c r="M825" s="7" t="inlineStr">
        <x:is>
          <x:t xml:space="preserve">서늘</x:t>
        </x:is>
      </x:c>
      <x:c r="N825" s="7" t="inlineStr">
        <x:is>
          <x:t xml:space="preserve">보통</x:t>
        </x:is>
      </x:c>
      <x:c r="O825" s="7" t="inlineStr">
        <x:is>
          <x:t xml:space="preserve">무관</x:t>
        </x:is>
      </x:c>
      <x:c r="P825" s="7" t="inlineStr">
        <x:is>
          <x:t xml:space="preserve">낮</x:t>
        </x:is>
      </x:c>
      <x:c r="Q825" s="7" t="inlineStr">
        <x:is>
          <x:t xml:space="preserve">흔함</x:t>
        </x:is>
      </x:c>
      <x:c r="R825" s="7" t="inlineStr">
        <x:is>
          <x:t xml:space="preserve">영체</x:t>
        </x:is>
      </x:c>
      <x:c r="S825" s="7" t="inlineStr">
        <x:is>
          <x:t xml:space="preserve">특수</x:t>
        </x:is>
      </x:c>
      <x:c r="T825" s="7" t="inlineStr">
        <x:is>
          <x:t xml:space="preserve"/>
        </x:is>
      </x:c>
      <x:c r="U825" s="8" t="str">
        <x:f>INDEX('서식지_점수'!$E$4:$P$4,1,MATCH(MAX('서식지_점수'!E825:P825),'서식지_점수'!E825:P825,0))</x:f>
        <x:v>산악</x:v>
      </x:c>
      <x:c r="V825" s="8" t="str">
        <x:f>IF(T825&lt;&gt;"",T825,U825)</x:f>
        <x:v>산악</x:v>
      </x:c>
      <x:c r="W825" s="8" t="str">
        <x:f>IFERROR(INDEX('서식지_점수'!$E$4:$P$4,1,MATCH(MAXIFS('서식지_점수'!E825:P825,'서식지_점수'!E825:P825,"&lt;"&amp;MAX('서식지_점수'!E825:P825)),'서식지_점수'!E825:P825,0)),"")</x:f>
        <x:v>평원</x:v>
      </x:c>
      <x:c r="X825" s="8" t="str">
        <x:f>IF(T825&lt;&gt;"","수동확정",IF(MAX('서식지_점수'!E825:P825)-LARGE('서식지_점수'!E825:P825,2)&gt;=15,"높음",IF(MAX('서식지_점수'!E825:P825)-LARGE('서식지_점수'!E825:P825,2)&gt;=8,"보통","검토필요")))</x:f>
        <x:v>검토필요</x:v>
      </x:c>
      <x:c r="Y825" s="9" t="n">
        <x:f>IF(Q825="전설",8,IF(Q825="희귀",7,IF(J825="기본",1,IF(J825="중간",3,IF(J825="최종",IF(I825="",5,IF(I825&lt;=20,3,IF(I825&lt;=35,4,IF(I825&lt;=50,6,7)))),IF(Q825="드묾",4,2))))))</x:f>
        <x:v>1</x:v>
      </x:c>
      <x:c r="Z825" s="5" t="inlineStr">
        <x:is>
          <x:t xml:space="preserve">#cobblemon:is_hills; #cobblemon:is_sky; #cobblemon:is_spooky; #cobblemon:is_taiga</x:t>
        </x:is>
      </x:c>
      <x:c r="AA825" s="5" t="inlineStr">
        <x:is>
          <x:t xml:space="preserve">common</x:t>
        </x:is>
      </x:c>
      <x:c r="AB825" s="5" t="inlineStr">
        <x:is>
          <x:t xml:space="preserve">예</x:t>
        </x:is>
      </x:c>
      <x:c r="AC825" s="8" t="str">
        <x:f>IF(T825&lt;&gt;"","수동확정",IF(X825="검토필요","검토필요",IF(S825="","원본없음","초기완료")))</x:f>
        <x:v>검토필요</x:v>
      </x:c>
      <x:c r="AD825" s="7" t="inlineStr">
        <x:is>
          <x:t xml:space="preserve"/>
        </x:is>
      </x:c>
      <x:c r="AE825" s="5" t="inlineStr">
        <x:is>
          <x:t xml:space="preserve">.tmp/cobblemon-1.7.3-source/common/src/main/resources/data/cobblemon/species/generation8/rookidee.json</x:t>
        </x:is>
      </x:c>
      <x:c r="AF825" s="5" t="str">
        <x:f>"생활권|"&amp;K825</x:f>
        <x:v>생활권|비행</x:v>
      </x:c>
      <x:c r="AG825" s="5" t="str">
        <x:f>"지형|"&amp;L825</x:f>
        <x:v>지형|특수</x:v>
      </x:c>
      <x:c r="AH825" s="5" t="str">
        <x:f>"온도|"&amp;M825</x:f>
        <x:v>온도|서늘</x:v>
      </x:c>
      <x:c r="AI825" s="5" t="str">
        <x:f>"습도|"&amp;N825</x:f>
        <x:v>습도|보통</x:v>
      </x:c>
      <x:c r="AJ825" s="5" t="str">
        <x:f>"날씨|"&amp;O825</x:f>
        <x:v>날씨|무관</x:v>
      </x:c>
      <x:c r="AK825" s="5" t="str">
        <x:f>"특수태그|"&amp;R825</x:f>
        <x:v>특수태그|영체</x:v>
      </x:c>
      <x:c r="AL825" s="5" t="str">
        <x:f>"원본서식지|"&amp;S825</x:f>
        <x:v>원본서식지|특수</x:v>
      </x:c>
      <x:c r="AM825" s="5" t="str">
        <x:f>"타입|"&amp;F825</x:f>
        <x:v>타입|비행</x:v>
      </x:c>
      <x:c r="AN825" s="5" t="str">
        <x:f>"타입|"&amp;G825</x:f>
        <x:v>타입|</x:v>
      </x:c>
    </x:row>
    <x:row r="826" ht="24" customHeight="1">
      <x:c r="A826" s="5" t="n">
        <x:v>822</x:v>
      </x:c>
      <x:c r="B826" s="5" t="inlineStr">
        <x:is>
          <x:t xml:space="preserve">파크로우</x:t>
        </x:is>
      </x:c>
      <x:c r="C826" s="5" t="inlineStr">
        <x:is>
          <x:t xml:space="preserve">corvisquire</x:t>
        </x:is>
      </x:c>
      <x:c r="D826" s="5" t="inlineStr">
        <x:is>
          <x:t xml:space="preserve">Corvisquire</x:t>
        </x:is>
      </x:c>
      <x:c r="E826" s="5" t="n">
        <x:v>8</x:v>
      </x:c>
      <x:c r="F826" s="5" t="inlineStr">
        <x:is>
          <x:t xml:space="preserve">비행</x:t>
        </x:is>
      </x:c>
      <x:c r="G826" s="5" t="inlineStr">
        <x:is>
          <x:t xml:space="preserve"/>
        </x:is>
      </x:c>
      <x:c r="H826" s="6" t="n">
        <x:v>16</x:v>
      </x:c>
      <x:c r="I826" s="5" t="n">
        <x:v>38</x:v>
      </x:c>
      <x:c r="J826" s="5" t="inlineStr">
        <x:is>
          <x:t xml:space="preserve">중간</x:t>
        </x:is>
      </x:c>
      <x:c r="K826" s="7" t="inlineStr">
        <x:is>
          <x:t xml:space="preserve">비행</x:t>
        </x:is>
      </x:c>
      <x:c r="L826" s="7" t="inlineStr">
        <x:is>
          <x:t xml:space="preserve">특수</x:t>
        </x:is>
      </x:c>
      <x:c r="M826" s="7" t="inlineStr">
        <x:is>
          <x:t xml:space="preserve">서늘</x:t>
        </x:is>
      </x:c>
      <x:c r="N826" s="7" t="inlineStr">
        <x:is>
          <x:t xml:space="preserve">보통</x:t>
        </x:is>
      </x:c>
      <x:c r="O826" s="7" t="inlineStr">
        <x:is>
          <x:t xml:space="preserve">무관</x:t>
        </x:is>
      </x:c>
      <x:c r="P826" s="7" t="inlineStr">
        <x:is>
          <x:t xml:space="preserve">낮</x:t>
        </x:is>
      </x:c>
      <x:c r="Q826" s="7" t="inlineStr">
        <x:is>
          <x:t xml:space="preserve">흔함</x:t>
        </x:is>
      </x:c>
      <x:c r="R826" s="7" t="inlineStr">
        <x:is>
          <x:t xml:space="preserve">영체</x:t>
        </x:is>
      </x:c>
      <x:c r="S826" s="7" t="inlineStr">
        <x:is>
          <x:t xml:space="preserve">특수</x:t>
        </x:is>
      </x:c>
      <x:c r="T826" s="7" t="inlineStr">
        <x:is>
          <x:t xml:space="preserve"/>
        </x:is>
      </x:c>
      <x:c r="U826" s="8" t="str">
        <x:f>INDEX('서식지_점수'!$E$4:$P$4,1,MATCH(MAX('서식지_점수'!E826:P826),'서식지_점수'!E826:P826,0))</x:f>
        <x:v>산악</x:v>
      </x:c>
      <x:c r="V826" s="8" t="str">
        <x:f>IF(T826&lt;&gt;"",T826,U826)</x:f>
        <x:v>산악</x:v>
      </x:c>
      <x:c r="W826" s="8" t="str">
        <x:f>IFERROR(INDEX('서식지_점수'!$E$4:$P$4,1,MATCH(MAXIFS('서식지_점수'!E826:P826,'서식지_점수'!E826:P826,"&lt;"&amp;MAX('서식지_점수'!E826:P826)),'서식지_점수'!E826:P826,0)),"")</x:f>
        <x:v>평원</x:v>
      </x:c>
      <x:c r="X826" s="8" t="str">
        <x:f>IF(T826&lt;&gt;"","수동확정",IF(MAX('서식지_점수'!E826:P826)-LARGE('서식지_점수'!E826:P826,2)&gt;=15,"높음",IF(MAX('서식지_점수'!E826:P826)-LARGE('서식지_점수'!E826:P826,2)&gt;=8,"보통","검토필요")))</x:f>
        <x:v>검토필요</x:v>
      </x:c>
      <x:c r="Y826" s="9" t="n">
        <x:f>IF(Q826="전설",8,IF(Q826="희귀",7,IF(J826="기본",1,IF(J826="중간",3,IF(J826="최종",IF(I826="",5,IF(I826&lt;=20,3,IF(I826&lt;=35,4,IF(I826&lt;=50,6,7)))),IF(Q826="드묾",4,2))))))</x:f>
        <x:v>3</x:v>
      </x:c>
      <x:c r="Z826" s="5" t="inlineStr">
        <x:is>
          <x:t xml:space="preserve">#cobblemon:is_hills; #cobblemon:is_sky; #cobblemon:is_spooky; #cobblemon:is_taiga</x:t>
        </x:is>
      </x:c>
      <x:c r="AA826" s="5" t="inlineStr">
        <x:is>
          <x:t xml:space="preserve">common</x:t>
        </x:is>
      </x:c>
      <x:c r="AB826" s="5" t="inlineStr">
        <x:is>
          <x:t xml:space="preserve">예</x:t>
        </x:is>
      </x:c>
      <x:c r="AC826" s="8" t="str">
        <x:f>IF(T826&lt;&gt;"","수동확정",IF(X826="검토필요","검토필요",IF(S826="","원본없음","초기완료")))</x:f>
        <x:v>검토필요</x:v>
      </x:c>
      <x:c r="AD826" s="7" t="inlineStr">
        <x:is>
          <x:t xml:space="preserve"/>
        </x:is>
      </x:c>
      <x:c r="AE826" s="5" t="inlineStr">
        <x:is>
          <x:t xml:space="preserve">.tmp/cobblemon-1.7.3-source/common/src/main/resources/data/cobblemon/species/generation8/corvisquire.json</x:t>
        </x:is>
      </x:c>
      <x:c r="AF826" s="5" t="str">
        <x:f>"생활권|"&amp;K826</x:f>
        <x:v>생활권|비행</x:v>
      </x:c>
      <x:c r="AG826" s="5" t="str">
        <x:f>"지형|"&amp;L826</x:f>
        <x:v>지형|특수</x:v>
      </x:c>
      <x:c r="AH826" s="5" t="str">
        <x:f>"온도|"&amp;M826</x:f>
        <x:v>온도|서늘</x:v>
      </x:c>
      <x:c r="AI826" s="5" t="str">
        <x:f>"습도|"&amp;N826</x:f>
        <x:v>습도|보통</x:v>
      </x:c>
      <x:c r="AJ826" s="5" t="str">
        <x:f>"날씨|"&amp;O826</x:f>
        <x:v>날씨|무관</x:v>
      </x:c>
      <x:c r="AK826" s="5" t="str">
        <x:f>"특수태그|"&amp;R826</x:f>
        <x:v>특수태그|영체</x:v>
      </x:c>
      <x:c r="AL826" s="5" t="str">
        <x:f>"원본서식지|"&amp;S826</x:f>
        <x:v>원본서식지|특수</x:v>
      </x:c>
      <x:c r="AM826" s="5" t="str">
        <x:f>"타입|"&amp;F826</x:f>
        <x:v>타입|비행</x:v>
      </x:c>
      <x:c r="AN826" s="5" t="str">
        <x:f>"타입|"&amp;G826</x:f>
        <x:v>타입|</x:v>
      </x:c>
    </x:row>
    <x:row r="827" ht="24" customHeight="1">
      <x:c r="A827" s="5" t="n">
        <x:v>823</x:v>
      </x:c>
      <x:c r="B827" s="5" t="inlineStr">
        <x:is>
          <x:t xml:space="preserve">아머까오</x:t>
        </x:is>
      </x:c>
      <x:c r="C827" s="5" t="inlineStr">
        <x:is>
          <x:t xml:space="preserve">corviknight</x:t>
        </x:is>
      </x:c>
      <x:c r="D827" s="5" t="inlineStr">
        <x:is>
          <x:t xml:space="preserve">Corviknight</x:t>
        </x:is>
      </x:c>
      <x:c r="E827" s="5" t="n">
        <x:v>8</x:v>
      </x:c>
      <x:c r="F827" s="5" t="inlineStr">
        <x:is>
          <x:t xml:space="preserve">비행</x:t>
        </x:is>
      </x:c>
      <x:c r="G827" s="5" t="inlineStr">
        <x:is>
          <x:t xml:space="preserve">강철</x:t>
        </x:is>
      </x:c>
      <x:c r="H827" s="6" t="n">
        <x:v>75</x:v>
      </x:c>
      <x:c r="I827" s="5" t="n">
        <x:v>38</x:v>
      </x:c>
      <x:c r="J827" s="5" t="inlineStr">
        <x:is>
          <x:t xml:space="preserve">최종</x:t>
        </x:is>
      </x:c>
      <x:c r="K827" s="7" t="inlineStr">
        <x:is>
          <x:t xml:space="preserve">비행</x:t>
        </x:is>
      </x:c>
      <x:c r="L827" s="7" t="inlineStr">
        <x:is>
          <x:t xml:space="preserve">특수</x:t>
        </x:is>
      </x:c>
      <x:c r="M827" s="7" t="inlineStr">
        <x:is>
          <x:t xml:space="preserve">서늘</x:t>
        </x:is>
      </x:c>
      <x:c r="N827" s="7" t="inlineStr">
        <x:is>
          <x:t xml:space="preserve">보통</x:t>
        </x:is>
      </x:c>
      <x:c r="O827" s="7" t="inlineStr">
        <x:is>
          <x:t xml:space="preserve">무관</x:t>
        </x:is>
      </x:c>
      <x:c r="P827" s="7" t="inlineStr">
        <x:is>
          <x:t xml:space="preserve">낮</x:t>
        </x:is>
      </x:c>
      <x:c r="Q827" s="7" t="inlineStr">
        <x:is>
          <x:t xml:space="preserve">흔함</x:t>
        </x:is>
      </x:c>
      <x:c r="R827" s="7" t="inlineStr">
        <x:is>
          <x:t xml:space="preserve">영체</x:t>
        </x:is>
      </x:c>
      <x:c r="S827" s="7" t="inlineStr">
        <x:is>
          <x:t xml:space="preserve">특수</x:t>
        </x:is>
      </x:c>
      <x:c r="T827" s="7" t="inlineStr">
        <x:is>
          <x:t xml:space="preserve"/>
        </x:is>
      </x:c>
      <x:c r="U827" s="8" t="str">
        <x:f>INDEX('서식지_점수'!$E$4:$P$4,1,MATCH(MAX('서식지_점수'!E827:P827),'서식지_점수'!E827:P827,0))</x:f>
        <x:v>산악</x:v>
      </x:c>
      <x:c r="V827" s="8" t="str">
        <x:f>IF(T827&lt;&gt;"",T827,U827)</x:f>
        <x:v>산악</x:v>
      </x:c>
      <x:c r="W827" s="8" t="str">
        <x:f>IFERROR(INDEX('서식지_점수'!$E$4:$P$4,1,MATCH(MAXIFS('서식지_점수'!E827:P827,'서식지_점수'!E827:P827,"&lt;"&amp;MAX('서식지_점수'!E827:P827)),'서식지_점수'!E827:P827,0)),"")</x:f>
        <x:v>평원</x:v>
      </x:c>
      <x:c r="X827" s="8" t="str">
        <x:f>IF(T827&lt;&gt;"","수동확정",IF(MAX('서식지_점수'!E827:P827)-LARGE('서식지_점수'!E827:P827,2)&gt;=15,"높음",IF(MAX('서식지_점수'!E827:P827)-LARGE('서식지_점수'!E827:P827,2)&gt;=8,"보통","검토필요")))</x:f>
        <x:v>검토필요</x:v>
      </x:c>
      <x:c r="Y827" s="9" t="n">
        <x:f>IF(Q827="전설",8,IF(Q827="희귀",7,IF(J827="기본",1,IF(J827="중간",3,IF(J827="최종",IF(I827="",5,IF(I827&lt;=20,3,IF(I827&lt;=35,4,IF(I827&lt;=50,6,7)))),IF(Q827="드묾",4,2))))))</x:f>
        <x:v>6</x:v>
      </x:c>
      <x:c r="Z827" s="5" t="inlineStr">
        <x:is>
          <x:t xml:space="preserve">#cobblemon:is_hills; #cobblemon:is_sky; #cobblemon:is_spooky; #cobblemon:is_taiga</x:t>
        </x:is>
      </x:c>
      <x:c r="AA827" s="5" t="inlineStr">
        <x:is>
          <x:t xml:space="preserve">common</x:t>
        </x:is>
      </x:c>
      <x:c r="AB827" s="5" t="inlineStr">
        <x:is>
          <x:t xml:space="preserve">예</x:t>
        </x:is>
      </x:c>
      <x:c r="AC827" s="8" t="str">
        <x:f>IF(T827&lt;&gt;"","수동확정",IF(X827="검토필요","검토필요",IF(S827="","원본없음","초기완료")))</x:f>
        <x:v>검토필요</x:v>
      </x:c>
      <x:c r="AD827" s="7" t="inlineStr">
        <x:is>
          <x:t xml:space="preserve"/>
        </x:is>
      </x:c>
      <x:c r="AE827" s="5" t="inlineStr">
        <x:is>
          <x:t xml:space="preserve">.tmp/cobblemon-1.7.3-source/common/src/main/resources/data/cobblemon/species/generation8/corviknight.json</x:t>
        </x:is>
      </x:c>
      <x:c r="AF827" s="5" t="str">
        <x:f>"생활권|"&amp;K827</x:f>
        <x:v>생활권|비행</x:v>
      </x:c>
      <x:c r="AG827" s="5" t="str">
        <x:f>"지형|"&amp;L827</x:f>
        <x:v>지형|특수</x:v>
      </x:c>
      <x:c r="AH827" s="5" t="str">
        <x:f>"온도|"&amp;M827</x:f>
        <x:v>온도|서늘</x:v>
      </x:c>
      <x:c r="AI827" s="5" t="str">
        <x:f>"습도|"&amp;N827</x:f>
        <x:v>습도|보통</x:v>
      </x:c>
      <x:c r="AJ827" s="5" t="str">
        <x:f>"날씨|"&amp;O827</x:f>
        <x:v>날씨|무관</x:v>
      </x:c>
      <x:c r="AK827" s="5" t="str">
        <x:f>"특수태그|"&amp;R827</x:f>
        <x:v>특수태그|영체</x:v>
      </x:c>
      <x:c r="AL827" s="5" t="str">
        <x:f>"원본서식지|"&amp;S827</x:f>
        <x:v>원본서식지|특수</x:v>
      </x:c>
      <x:c r="AM827" s="5" t="str">
        <x:f>"타입|"&amp;F827</x:f>
        <x:v>타입|비행</x:v>
      </x:c>
      <x:c r="AN827" s="5" t="str">
        <x:f>"타입|"&amp;G827</x:f>
        <x:v>타입|강철</x:v>
      </x:c>
    </x:row>
    <x:row r="828" ht="24" customHeight="1">
      <x:c r="A828" s="5" t="n">
        <x:v>824</x:v>
      </x:c>
      <x:c r="B828" s="5" t="inlineStr">
        <x:is>
          <x:t xml:space="preserve">두루지벌레</x:t>
        </x:is>
      </x:c>
      <x:c r="C828" s="5" t="inlineStr">
        <x:is>
          <x:t xml:space="preserve">blipbug</x:t>
        </x:is>
      </x:c>
      <x:c r="D828" s="5" t="inlineStr">
        <x:is>
          <x:t xml:space="preserve">Blipbug</x:t>
        </x:is>
      </x:c>
      <x:c r="E828" s="5" t="n">
        <x:v>8</x:v>
      </x:c>
      <x:c r="F828" s="5" t="inlineStr">
        <x:is>
          <x:t xml:space="preserve">벌레</x:t>
        </x:is>
      </x:c>
      <x:c r="G828" s="5" t="inlineStr">
        <x:is>
          <x:t xml:space="preserve"/>
        </x:is>
      </x:c>
      <x:c r="H828" s="6" t="n">
        <x:v>8</x:v>
      </x:c>
      <x:c r="I828" s="5" t="n">
        <x:v>30</x:v>
      </x:c>
      <x:c r="J828" s="5" t="inlineStr">
        <x:is>
          <x:t xml:space="preserve">기본</x:t>
        </x:is>
      </x:c>
      <x:c r="K828" s="7" t="inlineStr">
        <x:is>
          <x:t xml:space="preserve">육상</x:t>
        </x:is>
      </x:c>
      <x:c r="L828" s="7" t="inlineStr">
        <x:is>
          <x:t xml:space="preserve">수목</x:t>
        </x:is>
      </x:c>
      <x:c r="M828" s="7" t="inlineStr">
        <x:is>
          <x:t xml:space="preserve">온대</x:t>
        </x:is>
      </x:c>
      <x:c r="N828" s="7" t="inlineStr">
        <x:is>
          <x:t xml:space="preserve">보통</x:t>
        </x:is>
      </x:c>
      <x:c r="O828" s="7" t="inlineStr">
        <x:is>
          <x:t xml:space="preserve">무관</x:t>
        </x:is>
      </x:c>
      <x:c r="P828" s="7" t="inlineStr">
        <x:is>
          <x:t xml:space="preserve">무관</x:t>
        </x:is>
      </x:c>
      <x:c r="Q828" s="7" t="inlineStr">
        <x:is>
          <x:t xml:space="preserve">흔함</x:t>
        </x:is>
      </x:c>
      <x:c r="R828" s="7" t="inlineStr">
        <x:is>
          <x:t xml:space="preserve">없음</x:t>
        </x:is>
      </x:c>
      <x:c r="S828" s="7" t="inlineStr">
        <x:is>
          <x:t xml:space="preserve">숲</x:t>
        </x:is>
      </x:c>
      <x:c r="T828" s="7" t="inlineStr">
        <x:is>
          <x:t xml:space="preserve"/>
        </x:is>
      </x:c>
      <x:c r="U828" s="8" t="str">
        <x:f>INDEX('서식지_점수'!$E$4:$P$4,1,MATCH(MAX('서식지_점수'!E828:P828),'서식지_점수'!E828:P828,0))</x:f>
        <x:v>평원</x:v>
      </x:c>
      <x:c r="V828" s="8" t="str">
        <x:f>IF(T828&lt;&gt;"",T828,U828)</x:f>
        <x:v>평원</x:v>
      </x:c>
      <x:c r="W828" s="8" t="str">
        <x:f>IFERROR(INDEX('서식지_점수'!$E$4:$P$4,1,MATCH(MAXIFS('서식지_점수'!E828:P828,'서식지_점수'!E828:P828,"&lt;"&amp;MAX('서식지_점수'!E828:P828)),'서식지_점수'!E828:P828,0)),"")</x:f>
        <x:v>숲</x:v>
      </x:c>
      <x:c r="X828" s="8" t="str">
        <x:f>IF(T828&lt;&gt;"","수동확정",IF(MAX('서식지_점수'!E828:P828)-LARGE('서식지_점수'!E828:P828,2)&gt;=15,"높음",IF(MAX('서식지_점수'!E828:P828)-LARGE('서식지_점수'!E828:P828,2)&gt;=8,"보통","검토필요")))</x:f>
        <x:v>검토필요</x:v>
      </x:c>
      <x:c r="Y828" s="9" t="n">
        <x:f>IF(Q828="전설",8,IF(Q828="희귀",7,IF(J828="기본",1,IF(J828="중간",3,IF(J828="최종",IF(I828="",5,IF(I828&lt;=20,3,IF(I828&lt;=35,4,IF(I828&lt;=50,6,7)))),IF(Q828="드묾",4,2))))))</x:f>
        <x:v>1</x:v>
      </x:c>
      <x:c r="Z828" s="5" t="inlineStr">
        <x:is>
          <x:t xml:space="preserve">#cobblemon:is_forest; #cobblemon:is_plains</x:t>
        </x:is>
      </x:c>
      <x:c r="AA828" s="5" t="inlineStr">
        <x:is>
          <x:t xml:space="preserve">common</x:t>
        </x:is>
      </x:c>
      <x:c r="AB828" s="5" t="inlineStr">
        <x:is>
          <x:t xml:space="preserve">아니오</x:t>
        </x:is>
      </x:c>
      <x:c r="AC828" s="8" t="str">
        <x:f>IF(T828&lt;&gt;"","수동확정",IF(X828="검토필요","검토필요",IF(S828="","원본없음","초기완료")))</x:f>
        <x:v>검토필요</x:v>
      </x:c>
      <x:c r="AD828" s="7" t="inlineStr">
        <x:is>
          <x:t xml:space="preserve"/>
        </x:is>
      </x:c>
      <x:c r="AE828" s="5" t="inlineStr">
        <x:is>
          <x:t xml:space="preserve">.tmp/cobblemon-1.7.3-source/common/src/main/resources/data/cobblemon/species/generation8/blipbug.json</x:t>
        </x:is>
      </x:c>
      <x:c r="AF828" s="5" t="str">
        <x:f>"생활권|"&amp;K828</x:f>
        <x:v>생활권|육상</x:v>
      </x:c>
      <x:c r="AG828" s="5" t="str">
        <x:f>"지형|"&amp;L828</x:f>
        <x:v>지형|수목</x:v>
      </x:c>
      <x:c r="AH828" s="5" t="str">
        <x:f>"온도|"&amp;M828</x:f>
        <x:v>온도|온대</x:v>
      </x:c>
      <x:c r="AI828" s="5" t="str">
        <x:f>"습도|"&amp;N828</x:f>
        <x:v>습도|보통</x:v>
      </x:c>
      <x:c r="AJ828" s="5" t="str">
        <x:f>"날씨|"&amp;O828</x:f>
        <x:v>날씨|무관</x:v>
      </x:c>
      <x:c r="AK828" s="5" t="str">
        <x:f>"특수태그|"&amp;R828</x:f>
        <x:v>특수태그|없음</x:v>
      </x:c>
      <x:c r="AL828" s="5" t="str">
        <x:f>"원본서식지|"&amp;S828</x:f>
        <x:v>원본서식지|숲</x:v>
      </x:c>
      <x:c r="AM828" s="5" t="str">
        <x:f>"타입|"&amp;F828</x:f>
        <x:v>타입|벌레</x:v>
      </x:c>
      <x:c r="AN828" s="5" t="str">
        <x:f>"타입|"&amp;G828</x:f>
        <x:v>타입|</x:v>
      </x:c>
    </x:row>
    <x:row r="829" ht="24" customHeight="1">
      <x:c r="A829" s="5" t="n">
        <x:v>825</x:v>
      </x:c>
      <x:c r="B829" s="5" t="inlineStr">
        <x:is>
          <x:t xml:space="preserve">레돔벌레</x:t>
        </x:is>
      </x:c>
      <x:c r="C829" s="5" t="inlineStr">
        <x:is>
          <x:t xml:space="preserve">dottler</x:t>
        </x:is>
      </x:c>
      <x:c r="D829" s="5" t="inlineStr">
        <x:is>
          <x:t xml:space="preserve">Dottler</x:t>
        </x:is>
      </x:c>
      <x:c r="E829" s="5" t="n">
        <x:v>8</x:v>
      </x:c>
      <x:c r="F829" s="5" t="inlineStr">
        <x:is>
          <x:t xml:space="preserve">벌레</x:t>
        </x:is>
      </x:c>
      <x:c r="G829" s="5" t="inlineStr">
        <x:is>
          <x:t xml:space="preserve">에스퍼</x:t>
        </x:is>
      </x:c>
      <x:c r="H829" s="6" t="n">
        <x:v>19.5</x:v>
      </x:c>
      <x:c r="I829" s="5" t="n">
        <x:v>30</x:v>
      </x:c>
      <x:c r="J829" s="5" t="inlineStr">
        <x:is>
          <x:t xml:space="preserve">중간</x:t>
        </x:is>
      </x:c>
      <x:c r="K829" s="7" t="inlineStr">
        <x:is>
          <x:t xml:space="preserve">육상</x:t>
        </x:is>
      </x:c>
      <x:c r="L829" s="7" t="inlineStr">
        <x:is>
          <x:t xml:space="preserve">수목</x:t>
        </x:is>
      </x:c>
      <x:c r="M829" s="7" t="inlineStr">
        <x:is>
          <x:t xml:space="preserve">온대</x:t>
        </x:is>
      </x:c>
      <x:c r="N829" s="7" t="inlineStr">
        <x:is>
          <x:t xml:space="preserve">보통</x:t>
        </x:is>
      </x:c>
      <x:c r="O829" s="7" t="inlineStr">
        <x:is>
          <x:t xml:space="preserve">무관</x:t>
        </x:is>
      </x:c>
      <x:c r="P829" s="7" t="inlineStr">
        <x:is>
          <x:t xml:space="preserve">무관</x:t>
        </x:is>
      </x:c>
      <x:c r="Q829" s="7" t="inlineStr">
        <x:is>
          <x:t xml:space="preserve">보통</x:t>
        </x:is>
      </x:c>
      <x:c r="R829" s="7" t="inlineStr">
        <x:is>
          <x:t xml:space="preserve">없음</x:t>
        </x:is>
      </x:c>
      <x:c r="S829" s="7" t="inlineStr">
        <x:is>
          <x:t xml:space="preserve">숲</x:t>
        </x:is>
      </x:c>
      <x:c r="T829" s="7" t="inlineStr">
        <x:is>
          <x:t xml:space="preserve"/>
        </x:is>
      </x:c>
      <x:c r="U829" s="8" t="str">
        <x:f>INDEX('서식지_점수'!$E$4:$P$4,1,MATCH(MAX('서식지_점수'!E829:P829),'서식지_점수'!E829:P829,0))</x:f>
        <x:v>평원</x:v>
      </x:c>
      <x:c r="V829" s="8" t="str">
        <x:f>IF(T829&lt;&gt;"",T829,U829)</x:f>
        <x:v>평원</x:v>
      </x:c>
      <x:c r="W829" s="8" t="str">
        <x:f>IFERROR(INDEX('서식지_점수'!$E$4:$P$4,1,MATCH(MAXIFS('서식지_점수'!E829:P829,'서식지_점수'!E829:P829,"&lt;"&amp;MAX('서식지_점수'!E829:P829)),'서식지_점수'!E829:P829,0)),"")</x:f>
        <x:v>숲</x:v>
      </x:c>
      <x:c r="X829" s="8" t="str">
        <x:f>IF(T829&lt;&gt;"","수동확정",IF(MAX('서식지_점수'!E829:P829)-LARGE('서식지_점수'!E829:P829,2)&gt;=15,"높음",IF(MAX('서식지_점수'!E829:P829)-LARGE('서식지_점수'!E829:P829,2)&gt;=8,"보통","검토필요")))</x:f>
        <x:v>검토필요</x:v>
      </x:c>
      <x:c r="Y829" s="9" t="n">
        <x:f>IF(Q829="전설",8,IF(Q829="희귀",7,IF(J829="기본",1,IF(J829="중간",3,IF(J829="최종",IF(I829="",5,IF(I829&lt;=20,3,IF(I829&lt;=35,4,IF(I829&lt;=50,6,7)))),IF(Q829="드묾",4,2))))))</x:f>
        <x:v>3</x:v>
      </x:c>
      <x:c r="Z829" s="5" t="inlineStr">
        <x:is>
          <x:t xml:space="preserve">#cobblemon:is_forest; #cobblemon:is_plains</x:t>
        </x:is>
      </x:c>
      <x:c r="AA829" s="5" t="inlineStr">
        <x:is>
          <x:t xml:space="preserve">uncommon</x:t>
        </x:is>
      </x:c>
      <x:c r="AB829" s="5" t="inlineStr">
        <x:is>
          <x:t xml:space="preserve">아니오</x:t>
        </x:is>
      </x:c>
      <x:c r="AC829" s="8" t="str">
        <x:f>IF(T829&lt;&gt;"","수동확정",IF(X829="검토필요","검토필요",IF(S829="","원본없음","초기완료")))</x:f>
        <x:v>검토필요</x:v>
      </x:c>
      <x:c r="AD829" s="7" t="inlineStr">
        <x:is>
          <x:t xml:space="preserve"/>
        </x:is>
      </x:c>
      <x:c r="AE829" s="5" t="inlineStr">
        <x:is>
          <x:t xml:space="preserve">.tmp/cobblemon-1.7.3-source/common/src/main/resources/data/cobblemon/species/generation8/dottler.json</x:t>
        </x:is>
      </x:c>
      <x:c r="AF829" s="5" t="str">
        <x:f>"생활권|"&amp;K829</x:f>
        <x:v>생활권|육상</x:v>
      </x:c>
      <x:c r="AG829" s="5" t="str">
        <x:f>"지형|"&amp;L829</x:f>
        <x:v>지형|수목</x:v>
      </x:c>
      <x:c r="AH829" s="5" t="str">
        <x:f>"온도|"&amp;M829</x:f>
        <x:v>온도|온대</x:v>
      </x:c>
      <x:c r="AI829" s="5" t="str">
        <x:f>"습도|"&amp;N829</x:f>
        <x:v>습도|보통</x:v>
      </x:c>
      <x:c r="AJ829" s="5" t="str">
        <x:f>"날씨|"&amp;O829</x:f>
        <x:v>날씨|무관</x:v>
      </x:c>
      <x:c r="AK829" s="5" t="str">
        <x:f>"특수태그|"&amp;R829</x:f>
        <x:v>특수태그|없음</x:v>
      </x:c>
      <x:c r="AL829" s="5" t="str">
        <x:f>"원본서식지|"&amp;S829</x:f>
        <x:v>원본서식지|숲</x:v>
      </x:c>
      <x:c r="AM829" s="5" t="str">
        <x:f>"타입|"&amp;F829</x:f>
        <x:v>타입|벌레</x:v>
      </x:c>
      <x:c r="AN829" s="5" t="str">
        <x:f>"타입|"&amp;G829</x:f>
        <x:v>타입|에스퍼</x:v>
      </x:c>
    </x:row>
    <x:row r="830" ht="24" customHeight="1">
      <x:c r="A830" s="5" t="n">
        <x:v>826</x:v>
      </x:c>
      <x:c r="B830" s="5" t="inlineStr">
        <x:is>
          <x:t xml:space="preserve">이올브</x:t>
        </x:is>
      </x:c>
      <x:c r="C830" s="5" t="inlineStr">
        <x:is>
          <x:t xml:space="preserve">orbeetle</x:t>
        </x:is>
      </x:c>
      <x:c r="D830" s="5" t="inlineStr">
        <x:is>
          <x:t xml:space="preserve">Orbeetle</x:t>
        </x:is>
      </x:c>
      <x:c r="E830" s="5" t="n">
        <x:v>8</x:v>
      </x:c>
      <x:c r="F830" s="5" t="inlineStr">
        <x:is>
          <x:t xml:space="preserve">벌레</x:t>
        </x:is>
      </x:c>
      <x:c r="G830" s="5" t="inlineStr">
        <x:is>
          <x:t xml:space="preserve">에스퍼</x:t>
        </x:is>
      </x:c>
      <x:c r="H830" s="6" t="n">
        <x:v>40.8</x:v>
      </x:c>
      <x:c r="I830" s="5" t="n">
        <x:v>30</x:v>
      </x:c>
      <x:c r="J830" s="5" t="inlineStr">
        <x:is>
          <x:t xml:space="preserve">최종</x:t>
        </x:is>
      </x:c>
      <x:c r="K830" s="7" t="inlineStr">
        <x:is>
          <x:t xml:space="preserve">비행</x:t>
        </x:is>
      </x:c>
      <x:c r="L830" s="7" t="inlineStr">
        <x:is>
          <x:t xml:space="preserve">개활지</x:t>
        </x:is>
      </x:c>
      <x:c r="M830" s="7" t="inlineStr">
        <x:is>
          <x:t xml:space="preserve">온대</x:t>
        </x:is>
      </x:c>
      <x:c r="N830" s="7" t="inlineStr">
        <x:is>
          <x:t xml:space="preserve">보통</x:t>
        </x:is>
      </x:c>
      <x:c r="O830" s="7" t="inlineStr">
        <x:is>
          <x:t xml:space="preserve">무관</x:t>
        </x:is>
      </x:c>
      <x:c r="P830" s="7" t="inlineStr">
        <x:is>
          <x:t xml:space="preserve">무관</x:t>
        </x:is>
      </x:c>
      <x:c r="Q830" s="7" t="inlineStr">
        <x:is>
          <x:t xml:space="preserve">드묾</x:t>
        </x:is>
      </x:c>
      <x:c r="R830" s="7" t="inlineStr">
        <x:is>
          <x:t xml:space="preserve">없음</x:t>
        </x:is>
      </x:c>
      <x:c r="S830" s="7" t="inlineStr">
        <x:is>
          <x:t xml:space="preserve">평원</x:t>
        </x:is>
      </x:c>
      <x:c r="T830" s="7" t="inlineStr">
        <x:is>
          <x:t xml:space="preserve"/>
        </x:is>
      </x:c>
      <x:c r="U830" s="8" t="str">
        <x:f>INDEX('서식지_점수'!$E$4:$P$4,1,MATCH(MAX('서식지_점수'!E830:P830),'서식지_점수'!E830:P830,0))</x:f>
        <x:v>산악</x:v>
      </x:c>
      <x:c r="V830" s="8" t="str">
        <x:f>IF(T830&lt;&gt;"",T830,U830)</x:f>
        <x:v>산악</x:v>
      </x:c>
      <x:c r="W830" s="8" t="str">
        <x:f>IFERROR(INDEX('서식지_점수'!$E$4:$P$4,1,MATCH(MAXIFS('서식지_점수'!E830:P830,'서식지_점수'!E830:P830,"&lt;"&amp;MAX('서식지_점수'!E830:P830)),'서식지_점수'!E830:P830,0)),"")</x:f>
        <x:v>평원</x:v>
      </x:c>
      <x:c r="X830" s="8" t="str">
        <x:f>IF(T830&lt;&gt;"","수동확정",IF(MAX('서식지_점수'!E830:P830)-LARGE('서식지_점수'!E830:P830,2)&gt;=15,"높음",IF(MAX('서식지_점수'!E830:P830)-LARGE('서식지_점수'!E830:P830,2)&gt;=8,"보통","검토필요")))</x:f>
        <x:v>검토필요</x:v>
      </x:c>
      <x:c r="Y830" s="9" t="n">
        <x:f>IF(Q830="전설",8,IF(Q830="희귀",7,IF(J830="기본",1,IF(J830="중간",3,IF(J830="최종",IF(I830="",5,IF(I830&lt;=20,3,IF(I830&lt;=35,4,IF(I830&lt;=50,6,7)))),IF(Q830="드묾",4,2))))))</x:f>
        <x:v>4</x:v>
      </x:c>
      <x:c r="Z830" s="5" t="inlineStr">
        <x:is>
          <x:t xml:space="preserve">#cobblemon:is_plains</x:t>
        </x:is>
      </x:c>
      <x:c r="AA830" s="5" t="inlineStr">
        <x:is>
          <x:t xml:space="preserve">rare</x:t>
        </x:is>
      </x:c>
      <x:c r="AB830" s="5" t="inlineStr">
        <x:is>
          <x:t xml:space="preserve">아니오</x:t>
        </x:is>
      </x:c>
      <x:c r="AC830" s="8" t="str">
        <x:f>IF(T830&lt;&gt;"","수동확정",IF(X830="검토필요","검토필요",IF(S830="","원본없음","초기완료")))</x:f>
        <x:v>검토필요</x:v>
      </x:c>
      <x:c r="AD830" s="7" t="inlineStr">
        <x:is>
          <x:t xml:space="preserve"/>
        </x:is>
      </x:c>
      <x:c r="AE830" s="5" t="inlineStr">
        <x:is>
          <x:t xml:space="preserve">.tmp/cobblemon-1.7.3-source/common/src/main/resources/data/cobblemon/species/generation8/orbeetle.json</x:t>
        </x:is>
      </x:c>
      <x:c r="AF830" s="5" t="str">
        <x:f>"생활권|"&amp;K830</x:f>
        <x:v>생활권|비행</x:v>
      </x:c>
      <x:c r="AG830" s="5" t="str">
        <x:f>"지형|"&amp;L830</x:f>
        <x:v>지형|개활지</x:v>
      </x:c>
      <x:c r="AH830" s="5" t="str">
        <x:f>"온도|"&amp;M830</x:f>
        <x:v>온도|온대</x:v>
      </x:c>
      <x:c r="AI830" s="5" t="str">
        <x:f>"습도|"&amp;N830</x:f>
        <x:v>습도|보통</x:v>
      </x:c>
      <x:c r="AJ830" s="5" t="str">
        <x:f>"날씨|"&amp;O830</x:f>
        <x:v>날씨|무관</x:v>
      </x:c>
      <x:c r="AK830" s="5" t="str">
        <x:f>"특수태그|"&amp;R830</x:f>
        <x:v>특수태그|없음</x:v>
      </x:c>
      <x:c r="AL830" s="5" t="str">
        <x:f>"원본서식지|"&amp;S830</x:f>
        <x:v>원본서식지|평원</x:v>
      </x:c>
      <x:c r="AM830" s="5" t="str">
        <x:f>"타입|"&amp;F830</x:f>
        <x:v>타입|벌레</x:v>
      </x:c>
      <x:c r="AN830" s="5" t="str">
        <x:f>"타입|"&amp;G830</x:f>
        <x:v>타입|에스퍼</x:v>
      </x:c>
    </x:row>
    <x:row r="831" ht="24" customHeight="1">
      <x:c r="A831" s="5" t="n">
        <x:v>827</x:v>
      </x:c>
      <x:c r="B831" s="5" t="inlineStr">
        <x:is>
          <x:t xml:space="preserve">훔처우</x:t>
        </x:is>
      </x:c>
      <x:c r="C831" s="5" t="inlineStr">
        <x:is>
          <x:t xml:space="preserve">nickit</x:t>
        </x:is>
      </x:c>
      <x:c r="D831" s="5" t="inlineStr">
        <x:is>
          <x:t xml:space="preserve">Nickit</x:t>
        </x:is>
      </x:c>
      <x:c r="E831" s="5" t="n">
        <x:v>8</x:v>
      </x:c>
      <x:c r="F831" s="5" t="inlineStr">
        <x:is>
          <x:t xml:space="preserve">악</x:t>
        </x:is>
      </x:c>
      <x:c r="G831" s="5" t="inlineStr">
        <x:is>
          <x:t xml:space="preserve"/>
        </x:is>
      </x:c>
      <x:c r="H831" s="6" t="n">
        <x:v>8.9</x:v>
      </x:c>
      <x:c r="I831" s="5" t="n">
        <x:v>18</x:v>
      </x:c>
      <x:c r="J831" s="5" t="inlineStr">
        <x:is>
          <x:t xml:space="preserve">기본</x:t>
        </x:is>
      </x:c>
      <x:c r="K831" s="7" t="inlineStr">
        <x:is>
          <x:t xml:space="preserve">육상</x:t>
        </x:is>
      </x:c>
      <x:c r="L831" s="7" t="inlineStr">
        <x:is>
          <x:t xml:space="preserve">수목</x:t>
        </x:is>
      </x:c>
      <x:c r="M831" s="7" t="inlineStr">
        <x:is>
          <x:t xml:space="preserve">서늘</x:t>
        </x:is>
      </x:c>
      <x:c r="N831" s="7" t="inlineStr">
        <x:is>
          <x:t xml:space="preserve">보통</x:t>
        </x:is>
      </x:c>
      <x:c r="O831" s="7" t="inlineStr">
        <x:is>
          <x:t xml:space="preserve">무관</x:t>
        </x:is>
      </x:c>
      <x:c r="P831" s="7" t="inlineStr">
        <x:is>
          <x:t xml:space="preserve">밤</x:t>
        </x:is>
      </x:c>
      <x:c r="Q831" s="7" t="inlineStr">
        <x:is>
          <x:t xml:space="preserve">보통</x:t>
        </x:is>
      </x:c>
      <x:c r="R831" s="7" t="inlineStr">
        <x:is>
          <x:t xml:space="preserve">없음</x:t>
        </x:is>
      </x:c>
      <x:c r="S831" s="7" t="inlineStr">
        <x:is>
          <x:t xml:space="preserve">숲</x:t>
        </x:is>
      </x:c>
      <x:c r="T831" s="7" t="inlineStr">
        <x:is>
          <x:t xml:space="preserve"/>
        </x:is>
      </x:c>
      <x:c r="U831" s="8" t="str">
        <x:f>INDEX('서식지_점수'!$E$4:$P$4,1,MATCH(MAX('서식지_점수'!E831:P831),'서식지_점수'!E831:P831,0))</x:f>
        <x:v>평원</x:v>
      </x:c>
      <x:c r="V831" s="8" t="str">
        <x:f>IF(T831&lt;&gt;"",T831,U831)</x:f>
        <x:v>평원</x:v>
      </x:c>
      <x:c r="W831" s="8" t="str">
        <x:f>IFERROR(INDEX('서식지_점수'!$E$4:$P$4,1,MATCH(MAXIFS('서식지_점수'!E831:P831,'서식지_점수'!E831:P831,"&lt;"&amp;MAX('서식지_점수'!E831:P831)),'서식지_점수'!E831:P831,0)),"")</x:f>
        <x:v>숲</x:v>
      </x:c>
      <x:c r="X831" s="8" t="str">
        <x:f>IF(T831&lt;&gt;"","수동확정",IF(MAX('서식지_점수'!E831:P831)-LARGE('서식지_점수'!E831:P831,2)&gt;=15,"높음",IF(MAX('서식지_점수'!E831:P831)-LARGE('서식지_점수'!E831:P831,2)&gt;=8,"보통","검토필요")))</x:f>
        <x:v>검토필요</x:v>
      </x:c>
      <x:c r="Y831" s="9" t="n">
        <x:f>IF(Q831="전설",8,IF(Q831="희귀",7,IF(J831="기본",1,IF(J831="중간",3,IF(J831="최종",IF(I831="",5,IF(I831&lt;=20,3,IF(I831&lt;=35,4,IF(I831&lt;=50,6,7)))),IF(Q831="드묾",4,2))))))</x:f>
        <x:v>1</x:v>
      </x:c>
      <x:c r="Z831" s="5" t="inlineStr">
        <x:is>
          <x:t xml:space="preserve">#cobblemon:is_forest; #cobblemon:is_plains; #cobblemon:is_taiga</x:t>
        </x:is>
      </x:c>
      <x:c r="AA831" s="5" t="inlineStr">
        <x:is>
          <x:t xml:space="preserve">common; uncommon</x:t>
        </x:is>
      </x:c>
      <x:c r="AB831" s="5" t="inlineStr">
        <x:is>
          <x:t xml:space="preserve">예</x:t>
        </x:is>
      </x:c>
      <x:c r="AC831" s="8" t="str">
        <x:f>IF(T831&lt;&gt;"","수동확정",IF(X831="검토필요","검토필요",IF(S831="","원본없음","초기완료")))</x:f>
        <x:v>검토필요</x:v>
      </x:c>
      <x:c r="AD831" s="7" t="inlineStr">
        <x:is>
          <x:t xml:space="preserve"/>
        </x:is>
      </x:c>
      <x:c r="AE831" s="5" t="inlineStr">
        <x:is>
          <x:t xml:space="preserve">.tmp/cobblemon-1.7.3-source/common/src/main/resources/data/cobblemon/species/generation8/nickit.json</x:t>
        </x:is>
      </x:c>
      <x:c r="AF831" s="5" t="str">
        <x:f>"생활권|"&amp;K831</x:f>
        <x:v>생활권|육상</x:v>
      </x:c>
      <x:c r="AG831" s="5" t="str">
        <x:f>"지형|"&amp;L831</x:f>
        <x:v>지형|수목</x:v>
      </x:c>
      <x:c r="AH831" s="5" t="str">
        <x:f>"온도|"&amp;M831</x:f>
        <x:v>온도|서늘</x:v>
      </x:c>
      <x:c r="AI831" s="5" t="str">
        <x:f>"습도|"&amp;N831</x:f>
        <x:v>습도|보통</x:v>
      </x:c>
      <x:c r="AJ831" s="5" t="str">
        <x:f>"날씨|"&amp;O831</x:f>
        <x:v>날씨|무관</x:v>
      </x:c>
      <x:c r="AK831" s="5" t="str">
        <x:f>"특수태그|"&amp;R831</x:f>
        <x:v>특수태그|없음</x:v>
      </x:c>
      <x:c r="AL831" s="5" t="str">
        <x:f>"원본서식지|"&amp;S831</x:f>
        <x:v>원본서식지|숲</x:v>
      </x:c>
      <x:c r="AM831" s="5" t="str">
        <x:f>"타입|"&amp;F831</x:f>
        <x:v>타입|악</x:v>
      </x:c>
      <x:c r="AN831" s="5" t="str">
        <x:f>"타입|"&amp;G831</x:f>
        <x:v>타입|</x:v>
      </x:c>
    </x:row>
    <x:row r="832" ht="24" customHeight="1">
      <x:c r="A832" s="5" t="n">
        <x:v>828</x:v>
      </x:c>
      <x:c r="B832" s="5" t="inlineStr">
        <x:is>
          <x:t xml:space="preserve">폭슬라이</x:t>
        </x:is>
      </x:c>
      <x:c r="C832" s="5" t="inlineStr">
        <x:is>
          <x:t xml:space="preserve">thievul</x:t>
        </x:is>
      </x:c>
      <x:c r="D832" s="5" t="inlineStr">
        <x:is>
          <x:t xml:space="preserve">Thievul</x:t>
        </x:is>
      </x:c>
      <x:c r="E832" s="5" t="n">
        <x:v>8</x:v>
      </x:c>
      <x:c r="F832" s="5" t="inlineStr">
        <x:is>
          <x:t xml:space="preserve">악</x:t>
        </x:is>
      </x:c>
      <x:c r="G832" s="5" t="inlineStr">
        <x:is>
          <x:t xml:space="preserve"/>
        </x:is>
      </x:c>
      <x:c r="H832" s="6" t="n">
        <x:v>19.9</x:v>
      </x:c>
      <x:c r="I832" s="5" t="n">
        <x:v>18</x:v>
      </x:c>
      <x:c r="J832" s="5" t="inlineStr">
        <x:is>
          <x:t xml:space="preserve">최종</x:t>
        </x:is>
      </x:c>
      <x:c r="K832" s="7" t="inlineStr">
        <x:is>
          <x:t xml:space="preserve">육상</x:t>
        </x:is>
      </x:c>
      <x:c r="L832" s="7" t="inlineStr">
        <x:is>
          <x:t xml:space="preserve">수목</x:t>
        </x:is>
      </x:c>
      <x:c r="M832" s="7" t="inlineStr">
        <x:is>
          <x:t xml:space="preserve">서늘</x:t>
        </x:is>
      </x:c>
      <x:c r="N832" s="7" t="inlineStr">
        <x:is>
          <x:t xml:space="preserve">보통</x:t>
        </x:is>
      </x:c>
      <x:c r="O832" s="7" t="inlineStr">
        <x:is>
          <x:t xml:space="preserve">무관</x:t>
        </x:is>
      </x:c>
      <x:c r="P832" s="7" t="inlineStr">
        <x:is>
          <x:t xml:space="preserve">밤</x:t>
        </x:is>
      </x:c>
      <x:c r="Q832" s="7" t="inlineStr">
        <x:is>
          <x:t xml:space="preserve">보통</x:t>
        </x:is>
      </x:c>
      <x:c r="R832" s="7" t="inlineStr">
        <x:is>
          <x:t xml:space="preserve">없음</x:t>
        </x:is>
      </x:c>
      <x:c r="S832" s="7" t="inlineStr">
        <x:is>
          <x:t xml:space="preserve">숲</x:t>
        </x:is>
      </x:c>
      <x:c r="T832" s="7" t="inlineStr">
        <x:is>
          <x:t xml:space="preserve"/>
        </x:is>
      </x:c>
      <x:c r="U832" s="8" t="str">
        <x:f>INDEX('서식지_점수'!$E$4:$P$4,1,MATCH(MAX('서식지_점수'!E832:P832),'서식지_점수'!E832:P832,0))</x:f>
        <x:v>평원</x:v>
      </x:c>
      <x:c r="V832" s="8" t="str">
        <x:f>IF(T832&lt;&gt;"",T832,U832)</x:f>
        <x:v>평원</x:v>
      </x:c>
      <x:c r="W832" s="8" t="str">
        <x:f>IFERROR(INDEX('서식지_점수'!$E$4:$P$4,1,MATCH(MAXIFS('서식지_점수'!E832:P832,'서식지_점수'!E832:P832,"&lt;"&amp;MAX('서식지_점수'!E832:P832)),'서식지_점수'!E832:P832,0)),"")</x:f>
        <x:v>숲</x:v>
      </x:c>
      <x:c r="X832" s="8" t="str">
        <x:f>IF(T832&lt;&gt;"","수동확정",IF(MAX('서식지_점수'!E832:P832)-LARGE('서식지_점수'!E832:P832,2)&gt;=15,"높음",IF(MAX('서식지_점수'!E832:P832)-LARGE('서식지_점수'!E832:P832,2)&gt;=8,"보통","검토필요")))</x:f>
        <x:v>검토필요</x:v>
      </x:c>
      <x:c r="Y832" s="9" t="n">
        <x:f>IF(Q832="전설",8,IF(Q832="희귀",7,IF(J832="기본",1,IF(J832="중간",3,IF(J832="최종",IF(I832="",5,IF(I832&lt;=20,3,IF(I832&lt;=35,4,IF(I832&lt;=50,6,7)))),IF(Q832="드묾",4,2))))))</x:f>
        <x:v>3</x:v>
      </x:c>
      <x:c r="Z832" s="5" t="inlineStr">
        <x:is>
          <x:t xml:space="preserve">#cobblemon:is_forest; #cobblemon:is_plains; #cobblemon:is_taiga</x:t>
        </x:is>
      </x:c>
      <x:c r="AA832" s="5" t="inlineStr">
        <x:is>
          <x:t xml:space="preserve">common; uncommon</x:t>
        </x:is>
      </x:c>
      <x:c r="AB832" s="5" t="inlineStr">
        <x:is>
          <x:t xml:space="preserve">예</x:t>
        </x:is>
      </x:c>
      <x:c r="AC832" s="8" t="str">
        <x:f>IF(T832&lt;&gt;"","수동확정",IF(X832="검토필요","검토필요",IF(S832="","원본없음","초기완료")))</x:f>
        <x:v>검토필요</x:v>
      </x:c>
      <x:c r="AD832" s="7" t="inlineStr">
        <x:is>
          <x:t xml:space="preserve"/>
        </x:is>
      </x:c>
      <x:c r="AE832" s="5" t="inlineStr">
        <x:is>
          <x:t xml:space="preserve">.tmp/cobblemon-1.7.3-source/common/src/main/resources/data/cobblemon/species/generation8/thievul.json</x:t>
        </x:is>
      </x:c>
      <x:c r="AF832" s="5" t="str">
        <x:f>"생활권|"&amp;K832</x:f>
        <x:v>생활권|육상</x:v>
      </x:c>
      <x:c r="AG832" s="5" t="str">
        <x:f>"지형|"&amp;L832</x:f>
        <x:v>지형|수목</x:v>
      </x:c>
      <x:c r="AH832" s="5" t="str">
        <x:f>"온도|"&amp;M832</x:f>
        <x:v>온도|서늘</x:v>
      </x:c>
      <x:c r="AI832" s="5" t="str">
        <x:f>"습도|"&amp;N832</x:f>
        <x:v>습도|보통</x:v>
      </x:c>
      <x:c r="AJ832" s="5" t="str">
        <x:f>"날씨|"&amp;O832</x:f>
        <x:v>날씨|무관</x:v>
      </x:c>
      <x:c r="AK832" s="5" t="str">
        <x:f>"특수태그|"&amp;R832</x:f>
        <x:v>특수태그|없음</x:v>
      </x:c>
      <x:c r="AL832" s="5" t="str">
        <x:f>"원본서식지|"&amp;S832</x:f>
        <x:v>원본서식지|숲</x:v>
      </x:c>
      <x:c r="AM832" s="5" t="str">
        <x:f>"타입|"&amp;F832</x:f>
        <x:v>타입|악</x:v>
      </x:c>
      <x:c r="AN832" s="5" t="str">
        <x:f>"타입|"&amp;G832</x:f>
        <x:v>타입|</x:v>
      </x:c>
    </x:row>
    <x:row r="833" ht="24" customHeight="1">
      <x:c r="A833" s="5" t="n">
        <x:v>829</x:v>
      </x:c>
      <x:c r="B833" s="5" t="inlineStr">
        <x:is>
          <x:t xml:space="preserve">꼬모카</x:t>
        </x:is>
      </x:c>
      <x:c r="C833" s="5" t="inlineStr">
        <x:is>
          <x:t xml:space="preserve">gossifleur</x:t>
        </x:is>
      </x:c>
      <x:c r="D833" s="5" t="inlineStr">
        <x:is>
          <x:t xml:space="preserve">Gossifleur</x:t>
        </x:is>
      </x:c>
      <x:c r="E833" s="5" t="n">
        <x:v>8</x:v>
      </x:c>
      <x:c r="F833" s="5" t="inlineStr">
        <x:is>
          <x:t xml:space="preserve">풀</x:t>
        </x:is>
      </x:c>
      <x:c r="G833" s="5" t="inlineStr">
        <x:is>
          <x:t xml:space="preserve"/>
        </x:is>
      </x:c>
      <x:c r="H833" s="6" t="n">
        <x:v>2.2</x:v>
      </x:c>
      <x:c r="I833" s="5" t="n">
        <x:v>20</x:v>
      </x:c>
      <x:c r="J833" s="5" t="inlineStr">
        <x:is>
          <x:t xml:space="preserve">기본</x:t>
        </x:is>
      </x:c>
      <x:c r="K833" s="7" t="inlineStr">
        <x:is>
          <x:t xml:space="preserve">비행</x:t>
        </x:is>
      </x:c>
      <x:c r="L833" s="7" t="inlineStr">
        <x:is>
          <x:t xml:space="preserve">개활지</x:t>
        </x:is>
      </x:c>
      <x:c r="M833" s="7" t="inlineStr">
        <x:is>
          <x:t xml:space="preserve">온대</x:t>
        </x:is>
      </x:c>
      <x:c r="N833" s="7" t="inlineStr">
        <x:is>
          <x:t xml:space="preserve">보통</x:t>
        </x:is>
      </x:c>
      <x:c r="O833" s="7" t="inlineStr">
        <x:is>
          <x:t xml:space="preserve">무관</x:t>
        </x:is>
      </x:c>
      <x:c r="P833" s="7" t="inlineStr">
        <x:is>
          <x:t xml:space="preserve">무관</x:t>
        </x:is>
      </x:c>
      <x:c r="Q833" s="7" t="inlineStr">
        <x:is>
          <x:t xml:space="preserve">흔함</x:t>
        </x:is>
      </x:c>
      <x:c r="R833" s="7" t="inlineStr">
        <x:is>
          <x:t xml:space="preserve">없음</x:t>
        </x:is>
      </x:c>
      <x:c r="S833" s="7" t="inlineStr">
        <x:is>
          <x:t xml:space="preserve">평원</x:t>
        </x:is>
      </x:c>
      <x:c r="T833" s="7" t="inlineStr">
        <x:is>
          <x:t xml:space="preserve"/>
        </x:is>
      </x:c>
      <x:c r="U833" s="8" t="str">
        <x:f>INDEX('서식지_점수'!$E$4:$P$4,1,MATCH(MAX('서식지_점수'!E833:P833),'서식지_점수'!E833:P833,0))</x:f>
        <x:v>산악</x:v>
      </x:c>
      <x:c r="V833" s="8" t="str">
        <x:f>IF(T833&lt;&gt;"",T833,U833)</x:f>
        <x:v>산악</x:v>
      </x:c>
      <x:c r="W833" s="8" t="str">
        <x:f>IFERROR(INDEX('서식지_점수'!$E$4:$P$4,1,MATCH(MAXIFS('서식지_점수'!E833:P833,'서식지_점수'!E833:P833,"&lt;"&amp;MAX('서식지_점수'!E833:P833)),'서식지_점수'!E833:P833,0)),"")</x:f>
        <x:v>평원</x:v>
      </x:c>
      <x:c r="X833" s="8" t="str">
        <x:f>IF(T833&lt;&gt;"","수동확정",IF(MAX('서식지_점수'!E833:P833)-LARGE('서식지_점수'!E833:P833,2)&gt;=15,"높음",IF(MAX('서식지_점수'!E833:P833)-LARGE('서식지_점수'!E833:P833,2)&gt;=8,"보통","검토필요")))</x:f>
        <x:v>검토필요</x:v>
      </x:c>
      <x:c r="Y833" s="9" t="n">
        <x:f>IF(Q833="전설",8,IF(Q833="희귀",7,IF(J833="기본",1,IF(J833="중간",3,IF(J833="최종",IF(I833="",5,IF(I833&lt;=20,3,IF(I833&lt;=35,4,IF(I833&lt;=50,6,7)))),IF(Q833="드묾",4,2))))))</x:f>
        <x:v>1</x:v>
      </x:c>
      <x:c r="Z833" s="5" t="inlineStr">
        <x:is>
          <x:t xml:space="preserve">#cobblemon:is_floral; aether:skyroot_grove; aether:skyroot_meadow; the_bumblezone:floral_meadow</x:t>
        </x:is>
      </x:c>
      <x:c r="AA833" s="5" t="inlineStr">
        <x:is>
          <x:t xml:space="preserve">common</x:t>
        </x:is>
      </x:c>
      <x:c r="AB833" s="5" t="inlineStr">
        <x:is>
          <x:t xml:space="preserve">예</x:t>
        </x:is>
      </x:c>
      <x:c r="AC833" s="8" t="str">
        <x:f>IF(T833&lt;&gt;"","수동확정",IF(X833="검토필요","검토필요",IF(S833="","원본없음","초기완료")))</x:f>
        <x:v>검토필요</x:v>
      </x:c>
      <x:c r="AD833" s="7" t="inlineStr">
        <x:is>
          <x:t xml:space="preserve"/>
        </x:is>
      </x:c>
      <x:c r="AE833" s="5" t="inlineStr">
        <x:is>
          <x:t xml:space="preserve">.tmp/cobblemon-1.7.3-source/common/src/main/resources/data/cobblemon/species/generation8/gossifleur.json</x:t>
        </x:is>
      </x:c>
      <x:c r="AF833" s="5" t="str">
        <x:f>"생활권|"&amp;K833</x:f>
        <x:v>생활권|비행</x:v>
      </x:c>
      <x:c r="AG833" s="5" t="str">
        <x:f>"지형|"&amp;L833</x:f>
        <x:v>지형|개활지</x:v>
      </x:c>
      <x:c r="AH833" s="5" t="str">
        <x:f>"온도|"&amp;M833</x:f>
        <x:v>온도|온대</x:v>
      </x:c>
      <x:c r="AI833" s="5" t="str">
        <x:f>"습도|"&amp;N833</x:f>
        <x:v>습도|보통</x:v>
      </x:c>
      <x:c r="AJ833" s="5" t="str">
        <x:f>"날씨|"&amp;O833</x:f>
        <x:v>날씨|무관</x:v>
      </x:c>
      <x:c r="AK833" s="5" t="str">
        <x:f>"특수태그|"&amp;R833</x:f>
        <x:v>특수태그|없음</x:v>
      </x:c>
      <x:c r="AL833" s="5" t="str">
        <x:f>"원본서식지|"&amp;S833</x:f>
        <x:v>원본서식지|평원</x:v>
      </x:c>
      <x:c r="AM833" s="5" t="str">
        <x:f>"타입|"&amp;F833</x:f>
        <x:v>타입|풀</x:v>
      </x:c>
      <x:c r="AN833" s="5" t="str">
        <x:f>"타입|"&amp;G833</x:f>
        <x:v>타입|</x:v>
      </x:c>
    </x:row>
    <x:row r="834" ht="24" customHeight="1">
      <x:c r="A834" s="5" t="n">
        <x:v>830</x:v>
      </x:c>
      <x:c r="B834" s="5" t="inlineStr">
        <x:is>
          <x:t xml:space="preserve">백솜모카</x:t>
        </x:is>
      </x:c>
      <x:c r="C834" s="5" t="inlineStr">
        <x:is>
          <x:t xml:space="preserve">eldegoss</x:t>
        </x:is>
      </x:c>
      <x:c r="D834" s="5" t="inlineStr">
        <x:is>
          <x:t xml:space="preserve">Eldegoss</x:t>
        </x:is>
      </x:c>
      <x:c r="E834" s="5" t="n">
        <x:v>8</x:v>
      </x:c>
      <x:c r="F834" s="5" t="inlineStr">
        <x:is>
          <x:t xml:space="preserve">풀</x:t>
        </x:is>
      </x:c>
      <x:c r="G834" s="5" t="inlineStr">
        <x:is>
          <x:t xml:space="preserve"/>
        </x:is>
      </x:c>
      <x:c r="H834" s="6" t="n">
        <x:v>2.5</x:v>
      </x:c>
      <x:c r="I834" s="5" t="n">
        <x:v>20</x:v>
      </x:c>
      <x:c r="J834" s="5" t="inlineStr">
        <x:is>
          <x:t xml:space="preserve">최종</x:t>
        </x:is>
      </x:c>
      <x:c r="K834" s="7" t="inlineStr">
        <x:is>
          <x:t xml:space="preserve">비행</x:t>
        </x:is>
      </x:c>
      <x:c r="L834" s="7" t="inlineStr">
        <x:is>
          <x:t xml:space="preserve">개활지</x:t>
        </x:is>
      </x:c>
      <x:c r="M834" s="7" t="inlineStr">
        <x:is>
          <x:t xml:space="preserve">온대</x:t>
        </x:is>
      </x:c>
      <x:c r="N834" s="7" t="inlineStr">
        <x:is>
          <x:t xml:space="preserve">보통</x:t>
        </x:is>
      </x:c>
      <x:c r="O834" s="7" t="inlineStr">
        <x:is>
          <x:t xml:space="preserve">무관</x:t>
        </x:is>
      </x:c>
      <x:c r="P834" s="7" t="inlineStr">
        <x:is>
          <x:t xml:space="preserve">무관</x:t>
        </x:is>
      </x:c>
      <x:c r="Q834" s="7" t="inlineStr">
        <x:is>
          <x:t xml:space="preserve">흔함</x:t>
        </x:is>
      </x:c>
      <x:c r="R834" s="7" t="inlineStr">
        <x:is>
          <x:t xml:space="preserve">없음</x:t>
        </x:is>
      </x:c>
      <x:c r="S834" s="7" t="inlineStr">
        <x:is>
          <x:t xml:space="preserve">평원</x:t>
        </x:is>
      </x:c>
      <x:c r="T834" s="7" t="inlineStr">
        <x:is>
          <x:t xml:space="preserve"/>
        </x:is>
      </x:c>
      <x:c r="U834" s="8" t="str">
        <x:f>INDEX('서식지_점수'!$E$4:$P$4,1,MATCH(MAX('서식지_점수'!E834:P834),'서식지_점수'!E834:P834,0))</x:f>
        <x:v>산악</x:v>
      </x:c>
      <x:c r="V834" s="8" t="str">
        <x:f>IF(T834&lt;&gt;"",T834,U834)</x:f>
        <x:v>산악</x:v>
      </x:c>
      <x:c r="W834" s="8" t="str">
        <x:f>IFERROR(INDEX('서식지_점수'!$E$4:$P$4,1,MATCH(MAXIFS('서식지_점수'!E834:P834,'서식지_점수'!E834:P834,"&lt;"&amp;MAX('서식지_점수'!E834:P834)),'서식지_점수'!E834:P834,0)),"")</x:f>
        <x:v>평원</x:v>
      </x:c>
      <x:c r="X834" s="8" t="str">
        <x:f>IF(T834&lt;&gt;"","수동확정",IF(MAX('서식지_점수'!E834:P834)-LARGE('서식지_점수'!E834:P834,2)&gt;=15,"높음",IF(MAX('서식지_점수'!E834:P834)-LARGE('서식지_점수'!E834:P834,2)&gt;=8,"보통","검토필요")))</x:f>
        <x:v>검토필요</x:v>
      </x:c>
      <x:c r="Y834" s="9" t="n">
        <x:f>IF(Q834="전설",8,IF(Q834="희귀",7,IF(J834="기본",1,IF(J834="중간",3,IF(J834="최종",IF(I834="",5,IF(I834&lt;=20,3,IF(I834&lt;=35,4,IF(I834&lt;=50,6,7)))),IF(Q834="드묾",4,2))))))</x:f>
        <x:v>3</x:v>
      </x:c>
      <x:c r="Z834" s="5" t="inlineStr">
        <x:is>
          <x:t xml:space="preserve">#cobblemon:is_floral; aether:skyroot_grove; aether:skyroot_meadow; the_bumblezone:floral_meadow</x:t>
        </x:is>
      </x:c>
      <x:c r="AA834" s="5" t="inlineStr">
        <x:is>
          <x:t xml:space="preserve">common</x:t>
        </x:is>
      </x:c>
      <x:c r="AB834" s="5" t="inlineStr">
        <x:is>
          <x:t xml:space="preserve">예</x:t>
        </x:is>
      </x:c>
      <x:c r="AC834" s="8" t="str">
        <x:f>IF(T834&lt;&gt;"","수동확정",IF(X834="검토필요","검토필요",IF(S834="","원본없음","초기완료")))</x:f>
        <x:v>검토필요</x:v>
      </x:c>
      <x:c r="AD834" s="7" t="inlineStr">
        <x:is>
          <x:t xml:space="preserve"/>
        </x:is>
      </x:c>
      <x:c r="AE834" s="5" t="inlineStr">
        <x:is>
          <x:t xml:space="preserve">.tmp/cobblemon-1.7.3-source/common/src/main/resources/data/cobblemon/species/generation8/eldegoss.json</x:t>
        </x:is>
      </x:c>
      <x:c r="AF834" s="5" t="str">
        <x:f>"생활권|"&amp;K834</x:f>
        <x:v>생활권|비행</x:v>
      </x:c>
      <x:c r="AG834" s="5" t="str">
        <x:f>"지형|"&amp;L834</x:f>
        <x:v>지형|개활지</x:v>
      </x:c>
      <x:c r="AH834" s="5" t="str">
        <x:f>"온도|"&amp;M834</x:f>
        <x:v>온도|온대</x:v>
      </x:c>
      <x:c r="AI834" s="5" t="str">
        <x:f>"습도|"&amp;N834</x:f>
        <x:v>습도|보통</x:v>
      </x:c>
      <x:c r="AJ834" s="5" t="str">
        <x:f>"날씨|"&amp;O834</x:f>
        <x:v>날씨|무관</x:v>
      </x:c>
      <x:c r="AK834" s="5" t="str">
        <x:f>"특수태그|"&amp;R834</x:f>
        <x:v>특수태그|없음</x:v>
      </x:c>
      <x:c r="AL834" s="5" t="str">
        <x:f>"원본서식지|"&amp;S834</x:f>
        <x:v>원본서식지|평원</x:v>
      </x:c>
      <x:c r="AM834" s="5" t="str">
        <x:f>"타입|"&amp;F834</x:f>
        <x:v>타입|풀</x:v>
      </x:c>
      <x:c r="AN834" s="5" t="str">
        <x:f>"타입|"&amp;G834</x:f>
        <x:v>타입|</x:v>
      </x:c>
    </x:row>
    <x:row r="835" ht="24" customHeight="1">
      <x:c r="A835" s="5" t="n">
        <x:v>831</x:v>
      </x:c>
      <x:c r="B835" s="5" t="inlineStr">
        <x:is>
          <x:t xml:space="preserve">우르</x:t>
        </x:is>
      </x:c>
      <x:c r="C835" s="5" t="inlineStr">
        <x:is>
          <x:t xml:space="preserve">wooloo</x:t>
        </x:is>
      </x:c>
      <x:c r="D835" s="5" t="inlineStr">
        <x:is>
          <x:t xml:space="preserve">Wooloo</x:t>
        </x:is>
      </x:c>
      <x:c r="E835" s="5" t="n">
        <x:v>8</x:v>
      </x:c>
      <x:c r="F835" s="5" t="inlineStr">
        <x:is>
          <x:t xml:space="preserve">노말</x:t>
        </x:is>
      </x:c>
      <x:c r="G835" s="5" t="inlineStr">
        <x:is>
          <x:t xml:space="preserve"/>
        </x:is>
      </x:c>
      <x:c r="H835" s="6" t="n">
        <x:v>6</x:v>
      </x:c>
      <x:c r="I835" s="5" t="n">
        <x:v>24</x:v>
      </x:c>
      <x:c r="J835" s="5" t="inlineStr">
        <x:is>
          <x:t xml:space="preserve">기본</x:t>
        </x:is>
      </x:c>
      <x:c r="K835" s="7" t="inlineStr">
        <x:is>
          <x:t xml:space="preserve">육상</x:t>
        </x:is>
      </x:c>
      <x:c r="L835" s="7" t="inlineStr">
        <x:is>
          <x:t xml:space="preserve">개활지</x:t>
        </x:is>
      </x:c>
      <x:c r="M835" s="7" t="inlineStr">
        <x:is>
          <x:t xml:space="preserve">온대</x:t>
        </x:is>
      </x:c>
      <x:c r="N835" s="7" t="inlineStr">
        <x:is>
          <x:t xml:space="preserve">보통</x:t>
        </x:is>
      </x:c>
      <x:c r="O835" s="7" t="inlineStr">
        <x:is>
          <x:t xml:space="preserve">무관</x:t>
        </x:is>
      </x:c>
      <x:c r="P835" s="7" t="inlineStr">
        <x:is>
          <x:t xml:space="preserve">무관</x:t>
        </x:is>
      </x:c>
      <x:c r="Q835" s="7" t="inlineStr">
        <x:is>
          <x:t xml:space="preserve">흔함</x:t>
        </x:is>
      </x:c>
      <x:c r="R835" s="7" t="inlineStr">
        <x:is>
          <x:t xml:space="preserve">없음</x:t>
        </x:is>
      </x:c>
      <x:c r="S835" s="7" t="inlineStr">
        <x:is>
          <x:t xml:space="preserve">평원</x:t>
        </x:is>
      </x:c>
      <x:c r="T835" s="7" t="inlineStr">
        <x:is>
          <x:t xml:space="preserve"/>
        </x:is>
      </x:c>
      <x:c r="U835" s="8" t="str">
        <x:f>INDEX('서식지_점수'!$E$4:$P$4,1,MATCH(MAX('서식지_점수'!E835:P835),'서식지_점수'!E835:P835,0))</x:f>
        <x:v>평원</x:v>
      </x:c>
      <x:c r="V835" s="8" t="str">
        <x:f>IF(T835&lt;&gt;"",T835,U835)</x:f>
        <x:v>평원</x:v>
      </x:c>
      <x:c r="W835" s="8" t="str">
        <x:f>IFERROR(INDEX('서식지_점수'!$E$4:$P$4,1,MATCH(MAXIFS('서식지_점수'!E835:P835,'서식지_점수'!E835:P835,"&lt;"&amp;MAX('서식지_점수'!E835:P835)),'서식지_점수'!E835:P835,0)),"")</x:f>
        <x:v>숲</x:v>
      </x:c>
      <x:c r="X835" s="8" t="str">
        <x:f>IF(T835&lt;&gt;"","수동확정",IF(MAX('서식지_점수'!E835:P835)-LARGE('서식지_점수'!E835:P835,2)&gt;=15,"높음",IF(MAX('서식지_점수'!E835:P835)-LARGE('서식지_점수'!E835:P835,2)&gt;=8,"보통","검토필요")))</x:f>
        <x:v>검토필요</x:v>
      </x:c>
      <x:c r="Y835" s="9" t="n">
        <x:f>IF(Q835="전설",8,IF(Q835="희귀",7,IF(J835="기본",1,IF(J835="중간",3,IF(J835="최종",IF(I835="",5,IF(I835&lt;=20,3,IF(I835&lt;=35,4,IF(I835&lt;=50,6,7)))),IF(Q835="드묾",4,2))))))</x:f>
        <x:v>1</x:v>
      </x:c>
      <x:c r="Z835" s="5" t="inlineStr">
        <x:is>
          <x:t xml:space="preserve">#cobblemon:is_mountain; #cobblemon:is_plains; aether:skyroot_grove; aether:skyroot_meadow</x:t>
        </x:is>
      </x:c>
      <x:c r="AA835" s="5" t="inlineStr">
        <x:is>
          <x:t xml:space="preserve">common</x:t>
        </x:is>
      </x:c>
      <x:c r="AB835" s="5" t="inlineStr">
        <x:is>
          <x:t xml:space="preserve">예</x:t>
        </x:is>
      </x:c>
      <x:c r="AC835" s="8" t="str">
        <x:f>IF(T835&lt;&gt;"","수동확정",IF(X835="검토필요","검토필요",IF(S835="","원본없음","초기완료")))</x:f>
        <x:v>검토필요</x:v>
      </x:c>
      <x:c r="AD835" s="7" t="inlineStr">
        <x:is>
          <x:t xml:space="preserve"/>
        </x:is>
      </x:c>
      <x:c r="AE835" s="5" t="inlineStr">
        <x:is>
          <x:t xml:space="preserve">.tmp/cobblemon-1.7.3-source/common/src/main/resources/data/cobblemon/species/generation8/wooloo.json</x:t>
        </x:is>
      </x:c>
      <x:c r="AF835" s="5" t="str">
        <x:f>"생활권|"&amp;K835</x:f>
        <x:v>생활권|육상</x:v>
      </x:c>
      <x:c r="AG835" s="5" t="str">
        <x:f>"지형|"&amp;L835</x:f>
        <x:v>지형|개활지</x:v>
      </x:c>
      <x:c r="AH835" s="5" t="str">
        <x:f>"온도|"&amp;M835</x:f>
        <x:v>온도|온대</x:v>
      </x:c>
      <x:c r="AI835" s="5" t="str">
        <x:f>"습도|"&amp;N835</x:f>
        <x:v>습도|보통</x:v>
      </x:c>
      <x:c r="AJ835" s="5" t="str">
        <x:f>"날씨|"&amp;O835</x:f>
        <x:v>날씨|무관</x:v>
      </x:c>
      <x:c r="AK835" s="5" t="str">
        <x:f>"특수태그|"&amp;R835</x:f>
        <x:v>특수태그|없음</x:v>
      </x:c>
      <x:c r="AL835" s="5" t="str">
        <x:f>"원본서식지|"&amp;S835</x:f>
        <x:v>원본서식지|평원</x:v>
      </x:c>
      <x:c r="AM835" s="5" t="str">
        <x:f>"타입|"&amp;F835</x:f>
        <x:v>타입|노말</x:v>
      </x:c>
      <x:c r="AN835" s="5" t="str">
        <x:f>"타입|"&amp;G835</x:f>
        <x:v>타입|</x:v>
      </x:c>
    </x:row>
    <x:row r="836" ht="24" customHeight="1">
      <x:c r="A836" s="5" t="n">
        <x:v>832</x:v>
      </x:c>
      <x:c r="B836" s="5" t="inlineStr">
        <x:is>
          <x:t xml:space="preserve">배우르</x:t>
        </x:is>
      </x:c>
      <x:c r="C836" s="5" t="inlineStr">
        <x:is>
          <x:t xml:space="preserve">dubwool</x:t>
        </x:is>
      </x:c>
      <x:c r="D836" s="5" t="inlineStr">
        <x:is>
          <x:t xml:space="preserve">Dubwool</x:t>
        </x:is>
      </x:c>
      <x:c r="E836" s="5" t="n">
        <x:v>8</x:v>
      </x:c>
      <x:c r="F836" s="5" t="inlineStr">
        <x:is>
          <x:t xml:space="preserve">노말</x:t>
        </x:is>
      </x:c>
      <x:c r="G836" s="5" t="inlineStr">
        <x:is>
          <x:t xml:space="preserve"/>
        </x:is>
      </x:c>
      <x:c r="H836" s="6" t="n">
        <x:v>43</x:v>
      </x:c>
      <x:c r="I836" s="5" t="n">
        <x:v>24</x:v>
      </x:c>
      <x:c r="J836" s="5" t="inlineStr">
        <x:is>
          <x:t xml:space="preserve">최종</x:t>
        </x:is>
      </x:c>
      <x:c r="K836" s="7" t="inlineStr">
        <x:is>
          <x:t xml:space="preserve">육상</x:t>
        </x:is>
      </x:c>
      <x:c r="L836" s="7" t="inlineStr">
        <x:is>
          <x:t xml:space="preserve">개활지</x:t>
        </x:is>
      </x:c>
      <x:c r="M836" s="7" t="inlineStr">
        <x:is>
          <x:t xml:space="preserve">온대</x:t>
        </x:is>
      </x:c>
      <x:c r="N836" s="7" t="inlineStr">
        <x:is>
          <x:t xml:space="preserve">보통</x:t>
        </x:is>
      </x:c>
      <x:c r="O836" s="7" t="inlineStr">
        <x:is>
          <x:t xml:space="preserve">무관</x:t>
        </x:is>
      </x:c>
      <x:c r="P836" s="7" t="inlineStr">
        <x:is>
          <x:t xml:space="preserve">무관</x:t>
        </x:is>
      </x:c>
      <x:c r="Q836" s="7" t="inlineStr">
        <x:is>
          <x:t xml:space="preserve">흔함</x:t>
        </x:is>
      </x:c>
      <x:c r="R836" s="7" t="inlineStr">
        <x:is>
          <x:t xml:space="preserve">없음</x:t>
        </x:is>
      </x:c>
      <x:c r="S836" s="7" t="inlineStr">
        <x:is>
          <x:t xml:space="preserve">평원</x:t>
        </x:is>
      </x:c>
      <x:c r="T836" s="7" t="inlineStr">
        <x:is>
          <x:t xml:space="preserve"/>
        </x:is>
      </x:c>
      <x:c r="U836" s="8" t="str">
        <x:f>INDEX('서식지_점수'!$E$4:$P$4,1,MATCH(MAX('서식지_점수'!E836:P836),'서식지_점수'!E836:P836,0))</x:f>
        <x:v>평원</x:v>
      </x:c>
      <x:c r="V836" s="8" t="str">
        <x:f>IF(T836&lt;&gt;"",T836,U836)</x:f>
        <x:v>평원</x:v>
      </x:c>
      <x:c r="W836" s="8" t="str">
        <x:f>IFERROR(INDEX('서식지_점수'!$E$4:$P$4,1,MATCH(MAXIFS('서식지_점수'!E836:P836,'서식지_점수'!E836:P836,"&lt;"&amp;MAX('서식지_점수'!E836:P836)),'서식지_점수'!E836:P836,0)),"")</x:f>
        <x:v>숲</x:v>
      </x:c>
      <x:c r="X836" s="8" t="str">
        <x:f>IF(T836&lt;&gt;"","수동확정",IF(MAX('서식지_점수'!E836:P836)-LARGE('서식지_점수'!E836:P836,2)&gt;=15,"높음",IF(MAX('서식지_점수'!E836:P836)-LARGE('서식지_점수'!E836:P836,2)&gt;=8,"보통","검토필요")))</x:f>
        <x:v>검토필요</x:v>
      </x:c>
      <x:c r="Y836" s="9" t="n">
        <x:f>IF(Q836="전설",8,IF(Q836="희귀",7,IF(J836="기본",1,IF(J836="중간",3,IF(J836="최종",IF(I836="",5,IF(I836&lt;=20,3,IF(I836&lt;=35,4,IF(I836&lt;=50,6,7)))),IF(Q836="드묾",4,2))))))</x:f>
        <x:v>4</x:v>
      </x:c>
      <x:c r="Z836" s="5" t="inlineStr">
        <x:is>
          <x:t xml:space="preserve">#cobblemon:is_mountain; #cobblemon:is_plains; aether:skyroot_grove; aether:skyroot_meadow</x:t>
        </x:is>
      </x:c>
      <x:c r="AA836" s="5" t="inlineStr">
        <x:is>
          <x:t xml:space="preserve">common</x:t>
        </x:is>
      </x:c>
      <x:c r="AB836" s="5" t="inlineStr">
        <x:is>
          <x:t xml:space="preserve">예</x:t>
        </x:is>
      </x:c>
      <x:c r="AC836" s="8" t="str">
        <x:f>IF(T836&lt;&gt;"","수동확정",IF(X836="검토필요","검토필요",IF(S836="","원본없음","초기완료")))</x:f>
        <x:v>검토필요</x:v>
      </x:c>
      <x:c r="AD836" s="7" t="inlineStr">
        <x:is>
          <x:t xml:space="preserve"/>
        </x:is>
      </x:c>
      <x:c r="AE836" s="5" t="inlineStr">
        <x:is>
          <x:t xml:space="preserve">.tmp/cobblemon-1.7.3-source/common/src/main/resources/data/cobblemon/species/generation8/dubwool.json</x:t>
        </x:is>
      </x:c>
      <x:c r="AF836" s="5" t="str">
        <x:f>"생활권|"&amp;K836</x:f>
        <x:v>생활권|육상</x:v>
      </x:c>
      <x:c r="AG836" s="5" t="str">
        <x:f>"지형|"&amp;L836</x:f>
        <x:v>지형|개활지</x:v>
      </x:c>
      <x:c r="AH836" s="5" t="str">
        <x:f>"온도|"&amp;M836</x:f>
        <x:v>온도|온대</x:v>
      </x:c>
      <x:c r="AI836" s="5" t="str">
        <x:f>"습도|"&amp;N836</x:f>
        <x:v>습도|보통</x:v>
      </x:c>
      <x:c r="AJ836" s="5" t="str">
        <x:f>"날씨|"&amp;O836</x:f>
        <x:v>날씨|무관</x:v>
      </x:c>
      <x:c r="AK836" s="5" t="str">
        <x:f>"특수태그|"&amp;R836</x:f>
        <x:v>특수태그|없음</x:v>
      </x:c>
      <x:c r="AL836" s="5" t="str">
        <x:f>"원본서식지|"&amp;S836</x:f>
        <x:v>원본서식지|평원</x:v>
      </x:c>
      <x:c r="AM836" s="5" t="str">
        <x:f>"타입|"&amp;F836</x:f>
        <x:v>타입|노말</x:v>
      </x:c>
      <x:c r="AN836" s="5" t="str">
        <x:f>"타입|"&amp;G836</x:f>
        <x:v>타입|</x:v>
      </x:c>
    </x:row>
    <x:row r="837" ht="24" customHeight="1">
      <x:c r="A837" s="5" t="n">
        <x:v>833</x:v>
      </x:c>
      <x:c r="B837" s="5" t="inlineStr">
        <x:is>
          <x:t xml:space="preserve">깨물부기</x:t>
        </x:is>
      </x:c>
      <x:c r="C837" s="5" t="inlineStr">
        <x:is>
          <x:t xml:space="preserve">chewtle</x:t>
        </x:is>
      </x:c>
      <x:c r="D837" s="5" t="inlineStr">
        <x:is>
          <x:t xml:space="preserve">Chewtle</x:t>
        </x:is>
      </x:c>
      <x:c r="E837" s="5" t="n">
        <x:v>8</x:v>
      </x:c>
      <x:c r="F837" s="5" t="inlineStr">
        <x:is>
          <x:t xml:space="preserve">물</x:t>
        </x:is>
      </x:c>
      <x:c r="G837" s="5" t="inlineStr">
        <x:is>
          <x:t xml:space="preserve"/>
        </x:is>
      </x:c>
      <x:c r="H837" s="6" t="n">
        <x:v>8.5</x:v>
      </x:c>
      <x:c r="I837" s="5" t="n">
        <x:v>22</x:v>
      </x:c>
      <x:c r="J837" s="5" t="inlineStr">
        <x:is>
          <x:t xml:space="preserve">기본</x:t>
        </x:is>
      </x:c>
      <x:c r="K837" s="7" t="inlineStr">
        <x:is>
          <x:t xml:space="preserve">담수</x:t>
        </x:is>
      </x:c>
      <x:c r="L837" s="7" t="inlineStr">
        <x:is>
          <x:t xml:space="preserve">담수</x:t>
        </x:is>
      </x:c>
      <x:c r="M837" s="7" t="inlineStr">
        <x:is>
          <x:t xml:space="preserve">온대</x:t>
        </x:is>
      </x:c>
      <x:c r="N837" s="7" t="inlineStr">
        <x:is>
          <x:t xml:space="preserve">수중</x:t>
        </x:is>
      </x:c>
      <x:c r="O837" s="7" t="inlineStr">
        <x:is>
          <x:t xml:space="preserve">비</x:t>
        </x:is>
      </x:c>
      <x:c r="P837" s="7" t="inlineStr">
        <x:is>
          <x:t xml:space="preserve">무관</x:t>
        </x:is>
      </x:c>
      <x:c r="Q837" s="7" t="inlineStr">
        <x:is>
          <x:t xml:space="preserve">흔함</x:t>
        </x:is>
      </x:c>
      <x:c r="R837" s="7" t="inlineStr">
        <x:is>
          <x:t xml:space="preserve">없음</x:t>
        </x:is>
      </x:c>
      <x:c r="S837" s="7" t="inlineStr">
        <x:is>
          <x:t xml:space="preserve">담수</x:t>
        </x:is>
      </x:c>
      <x:c r="T837" s="7" t="inlineStr">
        <x:is>
          <x:t xml:space="preserve"/>
        </x:is>
      </x:c>
      <x:c r="U837" s="8" t="str">
        <x:f>INDEX('서식지_점수'!$E$4:$P$4,1,MATCH(MAX('서식지_점수'!E837:P837),'서식지_점수'!E837:P837,0))</x:f>
        <x:v>담수</x:v>
      </x:c>
      <x:c r="V837" s="8" t="str">
        <x:f>IF(T837&lt;&gt;"",T837,U837)</x:f>
        <x:v>담수</x:v>
      </x:c>
      <x:c r="W837" s="8" t="str">
        <x:f>IFERROR(INDEX('서식지_점수'!$E$4:$P$4,1,MATCH(MAXIFS('서식지_점수'!E837:P837,'서식지_점수'!E837:P837,"&lt;"&amp;MAX('서식지_점수'!E837:P837)),'서식지_점수'!E837:P837,0)),"")</x:f>
        <x:v>습지</x:v>
      </x:c>
      <x:c r="X837" s="8" t="str">
        <x:f>IF(T837&lt;&gt;"","수동확정",IF(MAX('서식지_점수'!E837:P837)-LARGE('서식지_점수'!E837:P837,2)&gt;=15,"높음",IF(MAX('서식지_점수'!E837:P837)-LARGE('서식지_점수'!E837:P837,2)&gt;=8,"보통","검토필요")))</x:f>
        <x:v>높음</x:v>
      </x:c>
      <x:c r="Y837" s="9" t="n">
        <x:f>IF(Q837="전설",8,IF(Q837="희귀",7,IF(J837="기본",1,IF(J837="중간",3,IF(J837="최종",IF(I837="",5,IF(I837&lt;=20,3,IF(I837&lt;=35,4,IF(I837&lt;=50,6,7)))),IF(Q837="드묾",4,2))))))</x:f>
        <x:v>1</x:v>
      </x:c>
      <x:c r="Z837" s="5" t="inlineStr">
        <x:is>
          <x:t xml:space="preserve">#cobblemon:is_arid; #cobblemon:is_freshwater; #cobblemon:is_hills; #cobblemon:is_jungle; #cobblemon:is_temperate</x:t>
        </x:is>
      </x:c>
      <x:c r="AA837" s="5" t="inlineStr">
        <x:is>
          <x:t xml:space="preserve">common</x:t>
        </x:is>
      </x:c>
      <x:c r="AB837" s="5" t="inlineStr">
        <x:is>
          <x:t xml:space="preserve">예</x:t>
        </x:is>
      </x:c>
      <x:c r="AC837" s="8" t="str">
        <x:f>IF(T837&lt;&gt;"","수동확정",IF(X837="검토필요","검토필요",IF(S837="","원본없음","초기완료")))</x:f>
        <x:v>초기완료</x:v>
      </x:c>
      <x:c r="AD837" s="7" t="inlineStr">
        <x:is>
          <x:t xml:space="preserve"/>
        </x:is>
      </x:c>
      <x:c r="AE837" s="5" t="inlineStr">
        <x:is>
          <x:t xml:space="preserve">.tmp/cobblemon-1.7.3-source/common/src/main/resources/data/cobblemon/species/generation8/chewtle.json</x:t>
        </x:is>
      </x:c>
      <x:c r="AF837" s="5" t="str">
        <x:f>"생활권|"&amp;K837</x:f>
        <x:v>생활권|담수</x:v>
      </x:c>
      <x:c r="AG837" s="5" t="str">
        <x:f>"지형|"&amp;L837</x:f>
        <x:v>지형|담수</x:v>
      </x:c>
      <x:c r="AH837" s="5" t="str">
        <x:f>"온도|"&amp;M837</x:f>
        <x:v>온도|온대</x:v>
      </x:c>
      <x:c r="AI837" s="5" t="str">
        <x:f>"습도|"&amp;N837</x:f>
        <x:v>습도|수중</x:v>
      </x:c>
      <x:c r="AJ837" s="5" t="str">
        <x:f>"날씨|"&amp;O837</x:f>
        <x:v>날씨|비</x:v>
      </x:c>
      <x:c r="AK837" s="5" t="str">
        <x:f>"특수태그|"&amp;R837</x:f>
        <x:v>특수태그|없음</x:v>
      </x:c>
      <x:c r="AL837" s="5" t="str">
        <x:f>"원본서식지|"&amp;S837</x:f>
        <x:v>원본서식지|담수</x:v>
      </x:c>
      <x:c r="AM837" s="5" t="str">
        <x:f>"타입|"&amp;F837</x:f>
        <x:v>타입|물</x:v>
      </x:c>
      <x:c r="AN837" s="5" t="str">
        <x:f>"타입|"&amp;G837</x:f>
        <x:v>타입|</x:v>
      </x:c>
    </x:row>
    <x:row r="838" ht="24" customHeight="1">
      <x:c r="A838" s="5" t="n">
        <x:v>834</x:v>
      </x:c>
      <x:c r="B838" s="5" t="inlineStr">
        <x:is>
          <x:t xml:space="preserve">갈가부기</x:t>
        </x:is>
      </x:c>
      <x:c r="C838" s="5" t="inlineStr">
        <x:is>
          <x:t xml:space="preserve">drednaw</x:t>
        </x:is>
      </x:c>
      <x:c r="D838" s="5" t="inlineStr">
        <x:is>
          <x:t xml:space="preserve">Drednaw</x:t>
        </x:is>
      </x:c>
      <x:c r="E838" s="5" t="n">
        <x:v>8</x:v>
      </x:c>
      <x:c r="F838" s="5" t="inlineStr">
        <x:is>
          <x:t xml:space="preserve">물</x:t>
        </x:is>
      </x:c>
      <x:c r="G838" s="5" t="inlineStr">
        <x:is>
          <x:t xml:space="preserve">바위</x:t>
        </x:is>
      </x:c>
      <x:c r="H838" s="6" t="n">
        <x:v>115.5</x:v>
      </x:c>
      <x:c r="I838" s="5" t="n">
        <x:v>22</x:v>
      </x:c>
      <x:c r="J838" s="5" t="inlineStr">
        <x:is>
          <x:t xml:space="preserve">최종</x:t>
        </x:is>
      </x:c>
      <x:c r="K838" s="7" t="inlineStr">
        <x:is>
          <x:t xml:space="preserve">담수</x:t>
        </x:is>
      </x:c>
      <x:c r="L838" s="7" t="inlineStr">
        <x:is>
          <x:t xml:space="preserve">담수</x:t>
        </x:is>
      </x:c>
      <x:c r="M838" s="7" t="inlineStr">
        <x:is>
          <x:t xml:space="preserve">온대</x:t>
        </x:is>
      </x:c>
      <x:c r="N838" s="7" t="inlineStr">
        <x:is>
          <x:t xml:space="preserve">수중</x:t>
        </x:is>
      </x:c>
      <x:c r="O838" s="7" t="inlineStr">
        <x:is>
          <x:t xml:space="preserve">비</x:t>
        </x:is>
      </x:c>
      <x:c r="P838" s="7" t="inlineStr">
        <x:is>
          <x:t xml:space="preserve">무관</x:t>
        </x:is>
      </x:c>
      <x:c r="Q838" s="7" t="inlineStr">
        <x:is>
          <x:t xml:space="preserve">흔함</x:t>
        </x:is>
      </x:c>
      <x:c r="R838" s="7" t="inlineStr">
        <x:is>
          <x:t xml:space="preserve">없음</x:t>
        </x:is>
      </x:c>
      <x:c r="S838" s="7" t="inlineStr">
        <x:is>
          <x:t xml:space="preserve">담수</x:t>
        </x:is>
      </x:c>
      <x:c r="T838" s="7" t="inlineStr">
        <x:is>
          <x:t xml:space="preserve"/>
        </x:is>
      </x:c>
      <x:c r="U838" s="8" t="str">
        <x:f>INDEX('서식지_점수'!$E$4:$P$4,1,MATCH(MAX('서식지_점수'!E838:P838),'서식지_점수'!E838:P838,0))</x:f>
        <x:v>담수</x:v>
      </x:c>
      <x:c r="V838" s="8" t="str">
        <x:f>IF(T838&lt;&gt;"",T838,U838)</x:f>
        <x:v>담수</x:v>
      </x:c>
      <x:c r="W838" s="8" t="str">
        <x:f>IFERROR(INDEX('서식지_점수'!$E$4:$P$4,1,MATCH(MAXIFS('서식지_점수'!E838:P838,'서식지_점수'!E838:P838,"&lt;"&amp;MAX('서식지_점수'!E838:P838)),'서식지_점수'!E838:P838,0)),"")</x:f>
        <x:v>습지</x:v>
      </x:c>
      <x:c r="X838" s="8" t="str">
        <x:f>IF(T838&lt;&gt;"","수동확정",IF(MAX('서식지_점수'!E838:P838)-LARGE('서식지_점수'!E838:P838,2)&gt;=15,"높음",IF(MAX('서식지_점수'!E838:P838)-LARGE('서식지_점수'!E838:P838,2)&gt;=8,"보통","검토필요")))</x:f>
        <x:v>높음</x:v>
      </x:c>
      <x:c r="Y838" s="9" t="n">
        <x:f>IF(Q838="전설",8,IF(Q838="희귀",7,IF(J838="기본",1,IF(J838="중간",3,IF(J838="최종",IF(I838="",5,IF(I838&lt;=20,3,IF(I838&lt;=35,4,IF(I838&lt;=50,6,7)))),IF(Q838="드묾",4,2))))))</x:f>
        <x:v>4</x:v>
      </x:c>
      <x:c r="Z838" s="5" t="inlineStr">
        <x:is>
          <x:t xml:space="preserve">#cobblemon:is_arid; #cobblemon:is_freshwater; #cobblemon:is_hills; #cobblemon:is_jungle; #cobblemon:is_temperate</x:t>
        </x:is>
      </x:c>
      <x:c r="AA838" s="5" t="inlineStr">
        <x:is>
          <x:t xml:space="preserve">common</x:t>
        </x:is>
      </x:c>
      <x:c r="AB838" s="5" t="inlineStr">
        <x:is>
          <x:t xml:space="preserve">예</x:t>
        </x:is>
      </x:c>
      <x:c r="AC838" s="8" t="str">
        <x:f>IF(T838&lt;&gt;"","수동확정",IF(X838="검토필요","검토필요",IF(S838="","원본없음","초기완료")))</x:f>
        <x:v>초기완료</x:v>
      </x:c>
      <x:c r="AD838" s="7" t="inlineStr">
        <x:is>
          <x:t xml:space="preserve"/>
        </x:is>
      </x:c>
      <x:c r="AE838" s="5" t="inlineStr">
        <x:is>
          <x:t xml:space="preserve">.tmp/cobblemon-1.7.3-source/common/src/main/resources/data/cobblemon/species/generation8/drednaw.json</x:t>
        </x:is>
      </x:c>
      <x:c r="AF838" s="5" t="str">
        <x:f>"생활권|"&amp;K838</x:f>
        <x:v>생활권|담수</x:v>
      </x:c>
      <x:c r="AG838" s="5" t="str">
        <x:f>"지형|"&amp;L838</x:f>
        <x:v>지형|담수</x:v>
      </x:c>
      <x:c r="AH838" s="5" t="str">
        <x:f>"온도|"&amp;M838</x:f>
        <x:v>온도|온대</x:v>
      </x:c>
      <x:c r="AI838" s="5" t="str">
        <x:f>"습도|"&amp;N838</x:f>
        <x:v>습도|수중</x:v>
      </x:c>
      <x:c r="AJ838" s="5" t="str">
        <x:f>"날씨|"&amp;O838</x:f>
        <x:v>날씨|비</x:v>
      </x:c>
      <x:c r="AK838" s="5" t="str">
        <x:f>"특수태그|"&amp;R838</x:f>
        <x:v>특수태그|없음</x:v>
      </x:c>
      <x:c r="AL838" s="5" t="str">
        <x:f>"원본서식지|"&amp;S838</x:f>
        <x:v>원본서식지|담수</x:v>
      </x:c>
      <x:c r="AM838" s="5" t="str">
        <x:f>"타입|"&amp;F838</x:f>
        <x:v>타입|물</x:v>
      </x:c>
      <x:c r="AN838" s="5" t="str">
        <x:f>"타입|"&amp;G838</x:f>
        <x:v>타입|바위</x:v>
      </x:c>
    </x:row>
    <x:row r="839" ht="24" customHeight="1">
      <x:c r="A839" s="5" t="n">
        <x:v>835</x:v>
      </x:c>
      <x:c r="B839" s="5" t="inlineStr">
        <x:is>
          <x:t xml:space="preserve">멍파치</x:t>
        </x:is>
      </x:c>
      <x:c r="C839" s="5" t="inlineStr">
        <x:is>
          <x:t xml:space="preserve">yamper</x:t>
        </x:is>
      </x:c>
      <x:c r="D839" s="5" t="inlineStr">
        <x:is>
          <x:t xml:space="preserve">Yamper</x:t>
        </x:is>
      </x:c>
      <x:c r="E839" s="5" t="n">
        <x:v>8</x:v>
      </x:c>
      <x:c r="F839" s="5" t="inlineStr">
        <x:is>
          <x:t xml:space="preserve">전기</x:t>
        </x:is>
      </x:c>
      <x:c r="G839" s="5" t="inlineStr">
        <x:is>
          <x:t xml:space="preserve"/>
        </x:is>
      </x:c>
      <x:c r="H839" s="6" t="n">
        <x:v>13.5</x:v>
      </x:c>
      <x:c r="I839" s="5" t="n">
        <x:v>25</x:v>
      </x:c>
      <x:c r="J839" s="5" t="inlineStr">
        <x:is>
          <x:t xml:space="preserve">기본</x:t>
        </x:is>
      </x:c>
      <x:c r="K839" s="7" t="inlineStr">
        <x:is>
          <x:t xml:space="preserve">육상</x:t>
        </x:is>
      </x:c>
      <x:c r="L839" s="7" t="inlineStr">
        <x:is>
          <x:t xml:space="preserve">개활지</x:t>
        </x:is>
      </x:c>
      <x:c r="M839" s="7" t="inlineStr">
        <x:is>
          <x:t xml:space="preserve">온대</x:t>
        </x:is>
      </x:c>
      <x:c r="N839" s="7" t="inlineStr">
        <x:is>
          <x:t xml:space="preserve">보통</x:t>
        </x:is>
      </x:c>
      <x:c r="O839" s="7" t="inlineStr">
        <x:is>
          <x:t xml:space="preserve">무관</x:t>
        </x:is>
      </x:c>
      <x:c r="P839" s="7" t="inlineStr">
        <x:is>
          <x:t xml:space="preserve">무관</x:t>
        </x:is>
      </x:c>
      <x:c r="Q839" s="7" t="inlineStr">
        <x:is>
          <x:t xml:space="preserve">흔함</x:t>
        </x:is>
      </x:c>
      <x:c r="R839" s="7" t="inlineStr">
        <x:is>
          <x:t xml:space="preserve">없음</x:t>
        </x:is>
      </x:c>
      <x:c r="S839" s="7" t="inlineStr">
        <x:is>
          <x:t xml:space="preserve"/>
        </x:is>
      </x:c>
      <x:c r="T839" s="7" t="inlineStr">
        <x:is>
          <x:t xml:space="preserve"/>
        </x:is>
      </x:c>
      <x:c r="U839" s="8" t="str">
        <x:f>INDEX('서식지_점수'!$E$4:$P$4,1,MATCH(MAX('서식지_점수'!E839:P839),'서식지_점수'!E839:P839,0))</x:f>
        <x:v>평원</x:v>
      </x:c>
      <x:c r="V839" s="8" t="str">
        <x:f>IF(T839&lt;&gt;"",T839,U839)</x:f>
        <x:v>평원</x:v>
      </x:c>
      <x:c r="W839" s="8" t="str">
        <x:f>IFERROR(INDEX('서식지_점수'!$E$4:$P$4,1,MATCH(MAXIFS('서식지_점수'!E839:P839,'서식지_점수'!E839:P839,"&lt;"&amp;MAX('서식지_점수'!E839:P839)),'서식지_점수'!E839:P839,0)),"")</x:f>
        <x:v>숲</x:v>
      </x:c>
      <x:c r="X839" s="8" t="str">
        <x:f>IF(T839&lt;&gt;"","수동확정",IF(MAX('서식지_점수'!E839:P839)-LARGE('서식지_점수'!E839:P839,2)&gt;=15,"높음",IF(MAX('서식지_점수'!E839:P839)-LARGE('서식지_점수'!E839:P839,2)&gt;=8,"보통","검토필요")))</x:f>
        <x:v>검토필요</x:v>
      </x:c>
      <x:c r="Y839" s="9" t="n">
        <x:f>IF(Q839="전설",8,IF(Q839="희귀",7,IF(J839="기본",1,IF(J839="중간",3,IF(J839="최종",IF(I839="",5,IF(I839&lt;=20,3,IF(I839&lt;=35,4,IF(I839&lt;=50,6,7)))),IF(Q839="드묾",4,2))))))</x:f>
        <x:v>1</x:v>
      </x:c>
      <x:c r="Z839" s="5" t="inlineStr">
        <x:is>
          <x:t xml:space="preserve">#cobblemon:is_overworld</x:t>
        </x:is>
      </x:c>
      <x:c r="AA839" s="5" t="inlineStr">
        <x:is>
          <x:t xml:space="preserve">common</x:t>
        </x:is>
      </x:c>
      <x:c r="AB839" s="5" t="inlineStr">
        <x:is>
          <x:t xml:space="preserve">예</x:t>
        </x:is>
      </x:c>
      <x:c r="AC839" s="8" t="str">
        <x:f>IF(T839&lt;&gt;"","수동확정",IF(X839="검토필요","검토필요",IF(S839="","원본없음","초기완료")))</x:f>
        <x:v>검토필요</x:v>
      </x:c>
      <x:c r="AD839" s="7" t="inlineStr">
        <x:is>
          <x:t xml:space="preserve"/>
        </x:is>
      </x:c>
      <x:c r="AE839" s="5" t="inlineStr">
        <x:is>
          <x:t xml:space="preserve">.tmp/cobblemon-1.7.3-source/common/src/main/resources/data/cobblemon/species/generation8/yamper.json</x:t>
        </x:is>
      </x:c>
      <x:c r="AF839" s="5" t="str">
        <x:f>"생활권|"&amp;K839</x:f>
        <x:v>생활권|육상</x:v>
      </x:c>
      <x:c r="AG839" s="5" t="str">
        <x:f>"지형|"&amp;L839</x:f>
        <x:v>지형|개활지</x:v>
      </x:c>
      <x:c r="AH839" s="5" t="str">
        <x:f>"온도|"&amp;M839</x:f>
        <x:v>온도|온대</x:v>
      </x:c>
      <x:c r="AI839" s="5" t="str">
        <x:f>"습도|"&amp;N839</x:f>
        <x:v>습도|보통</x:v>
      </x:c>
      <x:c r="AJ839" s="5" t="str">
        <x:f>"날씨|"&amp;O839</x:f>
        <x:v>날씨|무관</x:v>
      </x:c>
      <x:c r="AK839" s="5" t="str">
        <x:f>"특수태그|"&amp;R839</x:f>
        <x:v>특수태그|없음</x:v>
      </x:c>
      <x:c r="AL839" s="5" t="str">
        <x:f>"원본서식지|"&amp;S839</x:f>
        <x:v>원본서식지|</x:v>
      </x:c>
      <x:c r="AM839" s="5" t="str">
        <x:f>"타입|"&amp;F839</x:f>
        <x:v>타입|전기</x:v>
      </x:c>
      <x:c r="AN839" s="5" t="str">
        <x:f>"타입|"&amp;G839</x:f>
        <x:v>타입|</x:v>
      </x:c>
    </x:row>
    <x:row r="840" ht="24" customHeight="1">
      <x:c r="A840" s="5" t="n">
        <x:v>836</x:v>
      </x:c>
      <x:c r="B840" s="5" t="inlineStr">
        <x:is>
          <x:t xml:space="preserve">펄스멍</x:t>
        </x:is>
      </x:c>
      <x:c r="C840" s="5" t="inlineStr">
        <x:is>
          <x:t xml:space="preserve">boltund</x:t>
        </x:is>
      </x:c>
      <x:c r="D840" s="5" t="inlineStr">
        <x:is>
          <x:t xml:space="preserve">Boltund</x:t>
        </x:is>
      </x:c>
      <x:c r="E840" s="5" t="n">
        <x:v>8</x:v>
      </x:c>
      <x:c r="F840" s="5" t="inlineStr">
        <x:is>
          <x:t xml:space="preserve">전기</x:t>
        </x:is>
      </x:c>
      <x:c r="G840" s="5" t="inlineStr">
        <x:is>
          <x:t xml:space="preserve"/>
        </x:is>
      </x:c>
      <x:c r="H840" s="6" t="n">
        <x:v>34</x:v>
      </x:c>
      <x:c r="I840" s="5" t="n">
        <x:v>25</x:v>
      </x:c>
      <x:c r="J840" s="5" t="inlineStr">
        <x:is>
          <x:t xml:space="preserve">최종</x:t>
        </x:is>
      </x:c>
      <x:c r="K840" s="7" t="inlineStr">
        <x:is>
          <x:t xml:space="preserve">육상</x:t>
        </x:is>
      </x:c>
      <x:c r="L840" s="7" t="inlineStr">
        <x:is>
          <x:t xml:space="preserve">개활지</x:t>
        </x:is>
      </x:c>
      <x:c r="M840" s="7" t="inlineStr">
        <x:is>
          <x:t xml:space="preserve">온대</x:t>
        </x:is>
      </x:c>
      <x:c r="N840" s="7" t="inlineStr">
        <x:is>
          <x:t xml:space="preserve">보통</x:t>
        </x:is>
      </x:c>
      <x:c r="O840" s="7" t="inlineStr">
        <x:is>
          <x:t xml:space="preserve">무관</x:t>
        </x:is>
      </x:c>
      <x:c r="P840" s="7" t="inlineStr">
        <x:is>
          <x:t xml:space="preserve">무관</x:t>
        </x:is>
      </x:c>
      <x:c r="Q840" s="7" t="inlineStr">
        <x:is>
          <x:t xml:space="preserve">흔함</x:t>
        </x:is>
      </x:c>
      <x:c r="R840" s="7" t="inlineStr">
        <x:is>
          <x:t xml:space="preserve">없음</x:t>
        </x:is>
      </x:c>
      <x:c r="S840" s="7" t="inlineStr">
        <x:is>
          <x:t xml:space="preserve"/>
        </x:is>
      </x:c>
      <x:c r="T840" s="7" t="inlineStr">
        <x:is>
          <x:t xml:space="preserve"/>
        </x:is>
      </x:c>
      <x:c r="U840" s="8" t="str">
        <x:f>INDEX('서식지_점수'!$E$4:$P$4,1,MATCH(MAX('서식지_점수'!E840:P840),'서식지_점수'!E840:P840,0))</x:f>
        <x:v>평원</x:v>
      </x:c>
      <x:c r="V840" s="8" t="str">
        <x:f>IF(T840&lt;&gt;"",T840,U840)</x:f>
        <x:v>평원</x:v>
      </x:c>
      <x:c r="W840" s="8" t="str">
        <x:f>IFERROR(INDEX('서식지_점수'!$E$4:$P$4,1,MATCH(MAXIFS('서식지_점수'!E840:P840,'서식지_점수'!E840:P840,"&lt;"&amp;MAX('서식지_점수'!E840:P840)),'서식지_점수'!E840:P840,0)),"")</x:f>
        <x:v>숲</x:v>
      </x:c>
      <x:c r="X840" s="8" t="str">
        <x:f>IF(T840&lt;&gt;"","수동확정",IF(MAX('서식지_점수'!E840:P840)-LARGE('서식지_점수'!E840:P840,2)&gt;=15,"높음",IF(MAX('서식지_점수'!E840:P840)-LARGE('서식지_점수'!E840:P840,2)&gt;=8,"보통","검토필요")))</x:f>
        <x:v>검토필요</x:v>
      </x:c>
      <x:c r="Y840" s="9" t="n">
        <x:f>IF(Q840="전설",8,IF(Q840="희귀",7,IF(J840="기본",1,IF(J840="중간",3,IF(J840="최종",IF(I840="",5,IF(I840&lt;=20,3,IF(I840&lt;=35,4,IF(I840&lt;=50,6,7)))),IF(Q840="드묾",4,2))))))</x:f>
        <x:v>4</x:v>
      </x:c>
      <x:c r="Z840" s="5" t="inlineStr">
        <x:is>
          <x:t xml:space="preserve">#cobblemon:is_overworld</x:t>
        </x:is>
      </x:c>
      <x:c r="AA840" s="5" t="inlineStr">
        <x:is>
          <x:t xml:space="preserve">common</x:t>
        </x:is>
      </x:c>
      <x:c r="AB840" s="5" t="inlineStr">
        <x:is>
          <x:t xml:space="preserve">예</x:t>
        </x:is>
      </x:c>
      <x:c r="AC840" s="8" t="str">
        <x:f>IF(T840&lt;&gt;"","수동확정",IF(X840="검토필요","검토필요",IF(S840="","원본없음","초기완료")))</x:f>
        <x:v>검토필요</x:v>
      </x:c>
      <x:c r="AD840" s="7" t="inlineStr">
        <x:is>
          <x:t xml:space="preserve"/>
        </x:is>
      </x:c>
      <x:c r="AE840" s="5" t="inlineStr">
        <x:is>
          <x:t xml:space="preserve">.tmp/cobblemon-1.7.3-source/common/src/main/resources/data/cobblemon/species/generation8/boltund.json</x:t>
        </x:is>
      </x:c>
      <x:c r="AF840" s="5" t="str">
        <x:f>"생활권|"&amp;K840</x:f>
        <x:v>생활권|육상</x:v>
      </x:c>
      <x:c r="AG840" s="5" t="str">
        <x:f>"지형|"&amp;L840</x:f>
        <x:v>지형|개활지</x:v>
      </x:c>
      <x:c r="AH840" s="5" t="str">
        <x:f>"온도|"&amp;M840</x:f>
        <x:v>온도|온대</x:v>
      </x:c>
      <x:c r="AI840" s="5" t="str">
        <x:f>"습도|"&amp;N840</x:f>
        <x:v>습도|보통</x:v>
      </x:c>
      <x:c r="AJ840" s="5" t="str">
        <x:f>"날씨|"&amp;O840</x:f>
        <x:v>날씨|무관</x:v>
      </x:c>
      <x:c r="AK840" s="5" t="str">
        <x:f>"특수태그|"&amp;R840</x:f>
        <x:v>특수태그|없음</x:v>
      </x:c>
      <x:c r="AL840" s="5" t="str">
        <x:f>"원본서식지|"&amp;S840</x:f>
        <x:v>원본서식지|</x:v>
      </x:c>
      <x:c r="AM840" s="5" t="str">
        <x:f>"타입|"&amp;F840</x:f>
        <x:v>타입|전기</x:v>
      </x:c>
      <x:c r="AN840" s="5" t="str">
        <x:f>"타입|"&amp;G840</x:f>
        <x:v>타입|</x:v>
      </x:c>
    </x:row>
    <x:row r="841" ht="24" customHeight="1">
      <x:c r="A841" s="5" t="n">
        <x:v>837</x:v>
      </x:c>
      <x:c r="B841" s="5" t="inlineStr">
        <x:is>
          <x:t xml:space="preserve">탄동</x:t>
        </x:is>
      </x:c>
      <x:c r="C841" s="5" t="inlineStr">
        <x:is>
          <x:t xml:space="preserve">rolycoly</x:t>
        </x:is>
      </x:c>
      <x:c r="D841" s="5" t="inlineStr">
        <x:is>
          <x:t xml:space="preserve">Rolycoly</x:t>
        </x:is>
      </x:c>
      <x:c r="E841" s="5" t="n">
        <x:v>8</x:v>
      </x:c>
      <x:c r="F841" s="5" t="inlineStr">
        <x:is>
          <x:t xml:space="preserve">바위</x:t>
        </x:is>
      </x:c>
      <x:c r="G841" s="5" t="inlineStr">
        <x:is>
          <x:t xml:space="preserve"/>
        </x:is>
      </x:c>
      <x:c r="H841" s="6" t="n">
        <x:v>12</x:v>
      </x:c>
      <x:c r="I841" s="5" t="n">
        <x:v>34</x:v>
      </x:c>
      <x:c r="J841" s="5" t="inlineStr">
        <x:is>
          <x:t xml:space="preserve">기본</x:t>
        </x:is>
      </x:c>
      <x:c r="K841" s="7" t="inlineStr">
        <x:is>
          <x:t xml:space="preserve">지하</x:t>
        </x:is>
      </x:c>
      <x:c r="L841" s="7" t="inlineStr">
        <x:is>
          <x:t xml:space="preserve">동굴</x:t>
        </x:is>
      </x:c>
      <x:c r="M841" s="7" t="inlineStr">
        <x:is>
          <x:t xml:space="preserve">온대</x:t>
        </x:is>
      </x:c>
      <x:c r="N841" s="7" t="inlineStr">
        <x:is>
          <x:t xml:space="preserve">보통</x:t>
        </x:is>
      </x:c>
      <x:c r="O841" s="7" t="inlineStr">
        <x:is>
          <x:t xml:space="preserve">무관</x:t>
        </x:is>
      </x:c>
      <x:c r="P841" s="7" t="inlineStr">
        <x:is>
          <x:t xml:space="preserve">무관</x:t>
        </x:is>
      </x:c>
      <x:c r="Q841" s="7" t="inlineStr">
        <x:is>
          <x:t xml:space="preserve">보통</x:t>
        </x:is>
      </x:c>
      <x:c r="R841" s="7" t="inlineStr">
        <x:is>
          <x:t xml:space="preserve">동굴</x:t>
        </x:is>
      </x:c>
      <x:c r="S841" s="7" t="inlineStr">
        <x:is>
          <x:t xml:space="preserve">동굴</x:t>
        </x:is>
      </x:c>
      <x:c r="T841" s="7" t="inlineStr">
        <x:is>
          <x:t xml:space="preserve"/>
        </x:is>
      </x:c>
      <x:c r="U841" s="8" t="str">
        <x:f>INDEX('서식지_점수'!$E$4:$P$4,1,MATCH(MAX('서식지_점수'!E841:P841),'서식지_점수'!E841:P841,0))</x:f>
        <x:v>동굴</x:v>
      </x:c>
      <x:c r="V841" s="8" t="str">
        <x:f>IF(T841&lt;&gt;"",T841,U841)</x:f>
        <x:v>동굴</x:v>
      </x:c>
      <x:c r="W841" s="8" t="str">
        <x:f>IFERROR(INDEX('서식지_점수'!$E$4:$P$4,1,MATCH(MAXIFS('서식지_점수'!E841:P841,'서식지_점수'!E841:P841,"&lt;"&amp;MAX('서식지_점수'!E841:P841)),'서식지_점수'!E841:P841,0)),"")</x:f>
        <x:v>산악</x:v>
      </x:c>
      <x:c r="X841" s="8" t="str">
        <x:f>IF(T841&lt;&gt;"","수동확정",IF(MAX('서식지_점수'!E841:P841)-LARGE('서식지_점수'!E841:P841,2)&gt;=15,"높음",IF(MAX('서식지_점수'!E841:P841)-LARGE('서식지_점수'!E841:P841,2)&gt;=8,"보통","검토필요")))</x:f>
        <x:v>높음</x:v>
      </x:c>
      <x:c r="Y841" s="9" t="n">
        <x:f>IF(Q841="전설",8,IF(Q841="희귀",7,IF(J841="기본",1,IF(J841="중간",3,IF(J841="최종",IF(I841="",5,IF(I841&lt;=20,3,IF(I841&lt;=35,4,IF(I841&lt;=50,6,7)))),IF(Q841="드묾",4,2))))))</x:f>
        <x:v>1</x:v>
      </x:c>
      <x:c r="Z841" s="5" t="inlineStr">
        <x:is>
          <x:t xml:space="preserve">#cobblemon:is_cave; #cobblemon:is_mountain</x:t>
        </x:is>
      </x:c>
      <x:c r="AA841" s="5" t="inlineStr">
        <x:is>
          <x:t xml:space="preserve">common; uncommon</x:t>
        </x:is>
      </x:c>
      <x:c r="AB841" s="5" t="inlineStr">
        <x:is>
          <x:t xml:space="preserve">아니오</x:t>
        </x:is>
      </x:c>
      <x:c r="AC841" s="8" t="str">
        <x:f>IF(T841&lt;&gt;"","수동확정",IF(X841="검토필요","검토필요",IF(S841="","원본없음","초기완료")))</x:f>
        <x:v>초기완료</x:v>
      </x:c>
      <x:c r="AD841" s="7" t="inlineStr">
        <x:is>
          <x:t xml:space="preserve"/>
        </x:is>
      </x:c>
      <x:c r="AE841" s="5" t="inlineStr">
        <x:is>
          <x:t xml:space="preserve">.tmp/cobblemon-1.7.3-source/common/src/main/resources/data/cobblemon/species/generation8/rolycoly.json</x:t>
        </x:is>
      </x:c>
      <x:c r="AF841" s="5" t="str">
        <x:f>"생활권|"&amp;K841</x:f>
        <x:v>생활권|지하</x:v>
      </x:c>
      <x:c r="AG841" s="5" t="str">
        <x:f>"지형|"&amp;L841</x:f>
        <x:v>지형|동굴</x:v>
      </x:c>
      <x:c r="AH841" s="5" t="str">
        <x:f>"온도|"&amp;M841</x:f>
        <x:v>온도|온대</x:v>
      </x:c>
      <x:c r="AI841" s="5" t="str">
        <x:f>"습도|"&amp;N841</x:f>
        <x:v>습도|보통</x:v>
      </x:c>
      <x:c r="AJ841" s="5" t="str">
        <x:f>"날씨|"&amp;O841</x:f>
        <x:v>날씨|무관</x:v>
      </x:c>
      <x:c r="AK841" s="5" t="str">
        <x:f>"특수태그|"&amp;R841</x:f>
        <x:v>특수태그|동굴</x:v>
      </x:c>
      <x:c r="AL841" s="5" t="str">
        <x:f>"원본서식지|"&amp;S841</x:f>
        <x:v>원본서식지|동굴</x:v>
      </x:c>
      <x:c r="AM841" s="5" t="str">
        <x:f>"타입|"&amp;F841</x:f>
        <x:v>타입|바위</x:v>
      </x:c>
      <x:c r="AN841" s="5" t="str">
        <x:f>"타입|"&amp;G841</x:f>
        <x:v>타입|</x:v>
      </x:c>
    </x:row>
    <x:row r="842" ht="24" customHeight="1">
      <x:c r="A842" s="5" t="n">
        <x:v>838</x:v>
      </x:c>
      <x:c r="B842" s="5" t="inlineStr">
        <x:is>
          <x:t xml:space="preserve">탄차곤</x:t>
        </x:is>
      </x:c>
      <x:c r="C842" s="5" t="inlineStr">
        <x:is>
          <x:t xml:space="preserve">carkol</x:t>
        </x:is>
      </x:c>
      <x:c r="D842" s="5" t="inlineStr">
        <x:is>
          <x:t xml:space="preserve">Carkol</x:t>
        </x:is>
      </x:c>
      <x:c r="E842" s="5" t="n">
        <x:v>8</x:v>
      </x:c>
      <x:c r="F842" s="5" t="inlineStr">
        <x:is>
          <x:t xml:space="preserve">바위</x:t>
        </x:is>
      </x:c>
      <x:c r="G842" s="5" t="inlineStr">
        <x:is>
          <x:t xml:space="preserve">불꽃</x:t>
        </x:is>
      </x:c>
      <x:c r="H842" s="6" t="n">
        <x:v>78</x:v>
      </x:c>
      <x:c r="I842" s="5" t="n">
        <x:v>34</x:v>
      </x:c>
      <x:c r="J842" s="5" t="inlineStr">
        <x:is>
          <x:t xml:space="preserve">중간</x:t>
        </x:is>
      </x:c>
      <x:c r="K842" s="7" t="inlineStr">
        <x:is>
          <x:t xml:space="preserve">지하</x:t>
        </x:is>
      </x:c>
      <x:c r="L842" s="7" t="inlineStr">
        <x:is>
          <x:t xml:space="preserve">동굴</x:t>
        </x:is>
      </x:c>
      <x:c r="M842" s="7" t="inlineStr">
        <x:is>
          <x:t xml:space="preserve">고온</x:t>
        </x:is>
      </x:c>
      <x:c r="N842" s="7" t="inlineStr">
        <x:is>
          <x:t xml:space="preserve">보통</x:t>
        </x:is>
      </x:c>
      <x:c r="O842" s="7" t="inlineStr">
        <x:is>
          <x:t xml:space="preserve">무관</x:t>
        </x:is>
      </x:c>
      <x:c r="P842" s="7" t="inlineStr">
        <x:is>
          <x:t xml:space="preserve">무관</x:t>
        </x:is>
      </x:c>
      <x:c r="Q842" s="7" t="inlineStr">
        <x:is>
          <x:t xml:space="preserve">보통</x:t>
        </x:is>
      </x:c>
      <x:c r="R842" s="7" t="inlineStr">
        <x:is>
          <x:t xml:space="preserve">동굴</x:t>
        </x:is>
      </x:c>
      <x:c r="S842" s="7" t="inlineStr">
        <x:is>
          <x:t xml:space="preserve">동굴</x:t>
        </x:is>
      </x:c>
      <x:c r="T842" s="7" t="inlineStr">
        <x:is>
          <x:t xml:space="preserve"/>
        </x:is>
      </x:c>
      <x:c r="U842" s="8" t="str">
        <x:f>INDEX('서식지_점수'!$E$4:$P$4,1,MATCH(MAX('서식지_점수'!E842:P842),'서식지_점수'!E842:P842,0))</x:f>
        <x:v>동굴</x:v>
      </x:c>
      <x:c r="V842" s="8" t="str">
        <x:f>IF(T842&lt;&gt;"",T842,U842)</x:f>
        <x:v>동굴</x:v>
      </x:c>
      <x:c r="W842" s="8" t="str">
        <x:f>IFERROR(INDEX('서식지_점수'!$E$4:$P$4,1,MATCH(MAXIFS('서식지_점수'!E842:P842,'서식지_점수'!E842:P842,"&lt;"&amp;MAX('서식지_점수'!E842:P842)),'서식지_점수'!E842:P842,0)),"")</x:f>
        <x:v>산악</x:v>
      </x:c>
      <x:c r="X842" s="8" t="str">
        <x:f>IF(T842&lt;&gt;"","수동확정",IF(MAX('서식지_점수'!E842:P842)-LARGE('서식지_점수'!E842:P842,2)&gt;=15,"높음",IF(MAX('서식지_점수'!E842:P842)-LARGE('서식지_점수'!E842:P842,2)&gt;=8,"보통","검토필요")))</x:f>
        <x:v>높음</x:v>
      </x:c>
      <x:c r="Y842" s="9" t="n">
        <x:f>IF(Q842="전설",8,IF(Q842="희귀",7,IF(J842="기본",1,IF(J842="중간",3,IF(J842="최종",IF(I842="",5,IF(I842&lt;=20,3,IF(I842&lt;=35,4,IF(I842&lt;=50,6,7)))),IF(Q842="드묾",4,2))))))</x:f>
        <x:v>3</x:v>
      </x:c>
      <x:c r="Z842" s="5" t="inlineStr">
        <x:is>
          <x:t xml:space="preserve">#cobblemon:is_cave; #cobblemon:is_mountain</x:t>
        </x:is>
      </x:c>
      <x:c r="AA842" s="5" t="inlineStr">
        <x:is>
          <x:t xml:space="preserve">common; uncommon</x:t>
        </x:is>
      </x:c>
      <x:c r="AB842" s="5" t="inlineStr">
        <x:is>
          <x:t xml:space="preserve">아니오</x:t>
        </x:is>
      </x:c>
      <x:c r="AC842" s="8" t="str">
        <x:f>IF(T842&lt;&gt;"","수동확정",IF(X842="검토필요","검토필요",IF(S842="","원본없음","초기완료")))</x:f>
        <x:v>초기완료</x:v>
      </x:c>
      <x:c r="AD842" s="7" t="inlineStr">
        <x:is>
          <x:t xml:space="preserve"/>
        </x:is>
      </x:c>
      <x:c r="AE842" s="5" t="inlineStr">
        <x:is>
          <x:t xml:space="preserve">.tmp/cobblemon-1.7.3-source/common/src/main/resources/data/cobblemon/species/generation8/carkol.json</x:t>
        </x:is>
      </x:c>
      <x:c r="AF842" s="5" t="str">
        <x:f>"생활권|"&amp;K842</x:f>
        <x:v>생활권|지하</x:v>
      </x:c>
      <x:c r="AG842" s="5" t="str">
        <x:f>"지형|"&amp;L842</x:f>
        <x:v>지형|동굴</x:v>
      </x:c>
      <x:c r="AH842" s="5" t="str">
        <x:f>"온도|"&amp;M842</x:f>
        <x:v>온도|고온</x:v>
      </x:c>
      <x:c r="AI842" s="5" t="str">
        <x:f>"습도|"&amp;N842</x:f>
        <x:v>습도|보통</x:v>
      </x:c>
      <x:c r="AJ842" s="5" t="str">
        <x:f>"날씨|"&amp;O842</x:f>
        <x:v>날씨|무관</x:v>
      </x:c>
      <x:c r="AK842" s="5" t="str">
        <x:f>"특수태그|"&amp;R842</x:f>
        <x:v>특수태그|동굴</x:v>
      </x:c>
      <x:c r="AL842" s="5" t="str">
        <x:f>"원본서식지|"&amp;S842</x:f>
        <x:v>원본서식지|동굴</x:v>
      </x:c>
      <x:c r="AM842" s="5" t="str">
        <x:f>"타입|"&amp;F842</x:f>
        <x:v>타입|바위</x:v>
      </x:c>
      <x:c r="AN842" s="5" t="str">
        <x:f>"타입|"&amp;G842</x:f>
        <x:v>타입|불꽃</x:v>
      </x:c>
    </x:row>
    <x:row r="843" ht="24" customHeight="1">
      <x:c r="A843" s="5" t="n">
        <x:v>839</x:v>
      </x:c>
      <x:c r="B843" s="5" t="inlineStr">
        <x:is>
          <x:t xml:space="preserve">석탄산</x:t>
        </x:is>
      </x:c>
      <x:c r="C843" s="5" t="inlineStr">
        <x:is>
          <x:t xml:space="preserve">coalossal</x:t>
        </x:is>
      </x:c>
      <x:c r="D843" s="5" t="inlineStr">
        <x:is>
          <x:t xml:space="preserve">Coalossal</x:t>
        </x:is>
      </x:c>
      <x:c r="E843" s="5" t="n">
        <x:v>8</x:v>
      </x:c>
      <x:c r="F843" s="5" t="inlineStr">
        <x:is>
          <x:t xml:space="preserve">바위</x:t>
        </x:is>
      </x:c>
      <x:c r="G843" s="5" t="inlineStr">
        <x:is>
          <x:t xml:space="preserve">불꽃</x:t>
        </x:is>
      </x:c>
      <x:c r="H843" s="6" t="n">
        <x:v>310.5</x:v>
      </x:c>
      <x:c r="I843" s="5" t="n">
        <x:v>34</x:v>
      </x:c>
      <x:c r="J843" s="5" t="inlineStr">
        <x:is>
          <x:t xml:space="preserve">최종</x:t>
        </x:is>
      </x:c>
      <x:c r="K843" s="7" t="inlineStr">
        <x:is>
          <x:t xml:space="preserve">지하</x:t>
        </x:is>
      </x:c>
      <x:c r="L843" s="7" t="inlineStr">
        <x:is>
          <x:t xml:space="preserve">동굴</x:t>
        </x:is>
      </x:c>
      <x:c r="M843" s="7" t="inlineStr">
        <x:is>
          <x:t xml:space="preserve">고온</x:t>
        </x:is>
      </x:c>
      <x:c r="N843" s="7" t="inlineStr">
        <x:is>
          <x:t xml:space="preserve">보통</x:t>
        </x:is>
      </x:c>
      <x:c r="O843" s="7" t="inlineStr">
        <x:is>
          <x:t xml:space="preserve">무관</x:t>
        </x:is>
      </x:c>
      <x:c r="P843" s="7" t="inlineStr">
        <x:is>
          <x:t xml:space="preserve">무관</x:t>
        </x:is>
      </x:c>
      <x:c r="Q843" s="7" t="inlineStr">
        <x:is>
          <x:t xml:space="preserve">희귀</x:t>
        </x:is>
      </x:c>
      <x:c r="R843" s="7" t="inlineStr">
        <x:is>
          <x:t xml:space="preserve">동굴</x:t>
        </x:is>
      </x:c>
      <x:c r="S843" s="7" t="inlineStr">
        <x:is>
          <x:t xml:space="preserve">동굴</x:t>
        </x:is>
      </x:c>
      <x:c r="T843" s="7" t="inlineStr">
        <x:is>
          <x:t xml:space="preserve"/>
        </x:is>
      </x:c>
      <x:c r="U843" s="8" t="str">
        <x:f>INDEX('서식지_점수'!$E$4:$P$4,1,MATCH(MAX('서식지_점수'!E843:P843),'서식지_점수'!E843:P843,0))</x:f>
        <x:v>동굴</x:v>
      </x:c>
      <x:c r="V843" s="8" t="str">
        <x:f>IF(T843&lt;&gt;"",T843,U843)</x:f>
        <x:v>동굴</x:v>
      </x:c>
      <x:c r="W843" s="8" t="str">
        <x:f>IFERROR(INDEX('서식지_점수'!$E$4:$P$4,1,MATCH(MAXIFS('서식지_점수'!E843:P843,'서식지_점수'!E843:P843,"&lt;"&amp;MAX('서식지_점수'!E843:P843)),'서식지_점수'!E843:P843,0)),"")</x:f>
        <x:v>산악</x:v>
      </x:c>
      <x:c r="X843" s="8" t="str">
        <x:f>IF(T843&lt;&gt;"","수동확정",IF(MAX('서식지_점수'!E843:P843)-LARGE('서식지_점수'!E843:P843,2)&gt;=15,"높음",IF(MAX('서식지_점수'!E843:P843)-LARGE('서식지_점수'!E843:P843,2)&gt;=8,"보통","검토필요")))</x:f>
        <x:v>높음</x:v>
      </x:c>
      <x:c r="Y843" s="9" t="n">
        <x:f>IF(Q843="전설",8,IF(Q843="희귀",7,IF(J843="기본",1,IF(J843="중간",3,IF(J843="최종",IF(I843="",5,IF(I843&lt;=20,3,IF(I843&lt;=35,4,IF(I843&lt;=50,6,7)))),IF(Q843="드묾",4,2))))))</x:f>
        <x:v>7</x:v>
      </x:c>
      <x:c r="Z843" s="5" t="inlineStr">
        <x:is>
          <x:t xml:space="preserve">#cobblemon:is_cave; #cobblemon:is_mountain</x:t>
        </x:is>
      </x:c>
      <x:c r="AA843" s="5" t="inlineStr">
        <x:is>
          <x:t xml:space="preserve">rare; ultra-rare</x:t>
        </x:is>
      </x:c>
      <x:c r="AB843" s="5" t="inlineStr">
        <x:is>
          <x:t xml:space="preserve">아니오</x:t>
        </x:is>
      </x:c>
      <x:c r="AC843" s="8" t="str">
        <x:f>IF(T843&lt;&gt;"","수동확정",IF(X843="검토필요","검토필요",IF(S843="","원본없음","초기완료")))</x:f>
        <x:v>초기완료</x:v>
      </x:c>
      <x:c r="AD843" s="7" t="inlineStr">
        <x:is>
          <x:t xml:space="preserve"/>
        </x:is>
      </x:c>
      <x:c r="AE843" s="5" t="inlineStr">
        <x:is>
          <x:t xml:space="preserve">.tmp/cobblemon-1.7.3-source/common/src/main/resources/data/cobblemon/species/generation8/coalossal.json</x:t>
        </x:is>
      </x:c>
      <x:c r="AF843" s="5" t="str">
        <x:f>"생활권|"&amp;K843</x:f>
        <x:v>생활권|지하</x:v>
      </x:c>
      <x:c r="AG843" s="5" t="str">
        <x:f>"지형|"&amp;L843</x:f>
        <x:v>지형|동굴</x:v>
      </x:c>
      <x:c r="AH843" s="5" t="str">
        <x:f>"온도|"&amp;M843</x:f>
        <x:v>온도|고온</x:v>
      </x:c>
      <x:c r="AI843" s="5" t="str">
        <x:f>"습도|"&amp;N843</x:f>
        <x:v>습도|보통</x:v>
      </x:c>
      <x:c r="AJ843" s="5" t="str">
        <x:f>"날씨|"&amp;O843</x:f>
        <x:v>날씨|무관</x:v>
      </x:c>
      <x:c r="AK843" s="5" t="str">
        <x:f>"특수태그|"&amp;R843</x:f>
        <x:v>특수태그|동굴</x:v>
      </x:c>
      <x:c r="AL843" s="5" t="str">
        <x:f>"원본서식지|"&amp;S843</x:f>
        <x:v>원본서식지|동굴</x:v>
      </x:c>
      <x:c r="AM843" s="5" t="str">
        <x:f>"타입|"&amp;F843</x:f>
        <x:v>타입|바위</x:v>
      </x:c>
      <x:c r="AN843" s="5" t="str">
        <x:f>"타입|"&amp;G843</x:f>
        <x:v>타입|불꽃</x:v>
      </x:c>
    </x:row>
    <x:row r="844" ht="24" customHeight="1">
      <x:c r="A844" s="5" t="n">
        <x:v>840</x:v>
      </x:c>
      <x:c r="B844" s="5" t="inlineStr">
        <x:is>
          <x:t xml:space="preserve">과사삭벌레</x:t>
        </x:is>
      </x:c>
      <x:c r="C844" s="5" t="inlineStr">
        <x:is>
          <x:t xml:space="preserve">applin</x:t>
        </x:is>
      </x:c>
      <x:c r="D844" s="5" t="inlineStr">
        <x:is>
          <x:t xml:space="preserve">Applin</x:t>
        </x:is>
      </x:c>
      <x:c r="E844" s="5" t="n">
        <x:v>8</x:v>
      </x:c>
      <x:c r="F844" s="5" t="inlineStr">
        <x:is>
          <x:t xml:space="preserve">풀</x:t>
        </x:is>
      </x:c>
      <x:c r="G844" s="5" t="inlineStr">
        <x:is>
          <x:t xml:space="preserve">드래곤</x:t>
        </x:is>
      </x:c>
      <x:c r="H844" s="6" t="n">
        <x:v>0.5</x:v>
      </x:c>
      <x:c r="I844" s="5" t="n"/>
      <x:c r="J844" s="5" t="inlineStr">
        <x:is>
          <x:t xml:space="preserve">기본</x:t>
        </x:is>
      </x:c>
      <x:c r="K844" s="7" t="inlineStr">
        <x:is>
          <x:t xml:space="preserve">육상</x:t>
        </x:is>
      </x:c>
      <x:c r="L844" s="7" t="inlineStr">
        <x:is>
          <x:t xml:space="preserve">수목</x:t>
        </x:is>
      </x:c>
      <x:c r="M844" s="7" t="inlineStr">
        <x:is>
          <x:t xml:space="preserve">온대</x:t>
        </x:is>
      </x:c>
      <x:c r="N844" s="7" t="inlineStr">
        <x:is>
          <x:t xml:space="preserve">보통</x:t>
        </x:is>
      </x:c>
      <x:c r="O844" s="7" t="inlineStr">
        <x:is>
          <x:t xml:space="preserve">무관</x:t>
        </x:is>
      </x:c>
      <x:c r="P844" s="7" t="inlineStr">
        <x:is>
          <x:t xml:space="preserve">무관</x:t>
        </x:is>
      </x:c>
      <x:c r="Q844" s="7" t="inlineStr">
        <x:is>
          <x:t xml:space="preserve">보통</x:t>
        </x:is>
      </x:c>
      <x:c r="R844" s="7" t="inlineStr">
        <x:is>
          <x:t xml:space="preserve">없음</x:t>
        </x:is>
      </x:c>
      <x:c r="S844" s="7" t="inlineStr">
        <x:is>
          <x:t xml:space="preserve">숲</x:t>
        </x:is>
      </x:c>
      <x:c r="T844" s="7" t="inlineStr">
        <x:is>
          <x:t xml:space="preserve"/>
        </x:is>
      </x:c>
      <x:c r="U844" s="8" t="str">
        <x:f>INDEX('서식지_점수'!$E$4:$P$4,1,MATCH(MAX('서식지_점수'!E844:P844),'서식지_점수'!E844:P844,0))</x:f>
        <x:v>평원</x:v>
      </x:c>
      <x:c r="V844" s="8" t="str">
        <x:f>IF(T844&lt;&gt;"",T844,U844)</x:f>
        <x:v>평원</x:v>
      </x:c>
      <x:c r="W844" s="8" t="str">
        <x:f>IFERROR(INDEX('서식지_점수'!$E$4:$P$4,1,MATCH(MAXIFS('서식지_점수'!E844:P844,'서식지_점수'!E844:P844,"&lt;"&amp;MAX('서식지_점수'!E844:P844)),'서식지_점수'!E844:P844,0)),"")</x:f>
        <x:v>숲</x:v>
      </x:c>
      <x:c r="X844" s="8" t="str">
        <x:f>IF(T844&lt;&gt;"","수동확정",IF(MAX('서식지_점수'!E844:P844)-LARGE('서식지_점수'!E844:P844,2)&gt;=15,"높음",IF(MAX('서식지_점수'!E844:P844)-LARGE('서식지_점수'!E844:P844,2)&gt;=8,"보통","검토필요")))</x:f>
        <x:v>검토필요</x:v>
      </x:c>
      <x:c r="Y844" s="9" t="n">
        <x:f>IF(Q844="전설",8,IF(Q844="희귀",7,IF(J844="기본",1,IF(J844="중간",3,IF(J844="최종",IF(I844="",5,IF(I844&lt;=20,3,IF(I844&lt;=35,4,IF(I844&lt;=50,6,7)))),IF(Q844="드묾",4,2))))))</x:f>
        <x:v>1</x:v>
      </x:c>
      <x:c r="Z844" s="5" t="inlineStr">
        <x:is>
          <x:t xml:space="preserve">#cobblemon:is_forest</x:t>
        </x:is>
      </x:c>
      <x:c r="AA844" s="5" t="inlineStr">
        <x:is>
          <x:t xml:space="preserve">uncommon</x:t>
        </x:is>
      </x:c>
      <x:c r="AB844" s="5" t="inlineStr">
        <x:is>
          <x:t xml:space="preserve">아니오</x:t>
        </x:is>
      </x:c>
      <x:c r="AC844" s="8" t="str">
        <x:f>IF(T844&lt;&gt;"","수동확정",IF(X844="검토필요","검토필요",IF(S844="","원본없음","초기완료")))</x:f>
        <x:v>검토필요</x:v>
      </x:c>
      <x:c r="AD844" s="7" t="inlineStr">
        <x:is>
          <x:t xml:space="preserve"/>
        </x:is>
      </x:c>
      <x:c r="AE844" s="5" t="inlineStr">
        <x:is>
          <x:t xml:space="preserve">.tmp/cobblemon-1.7.3-source/common/src/main/resources/data/cobblemon/species/generation8/applin.json</x:t>
        </x:is>
      </x:c>
      <x:c r="AF844" s="5" t="str">
        <x:f>"생활권|"&amp;K844</x:f>
        <x:v>생활권|육상</x:v>
      </x:c>
      <x:c r="AG844" s="5" t="str">
        <x:f>"지형|"&amp;L844</x:f>
        <x:v>지형|수목</x:v>
      </x:c>
      <x:c r="AH844" s="5" t="str">
        <x:f>"온도|"&amp;M844</x:f>
        <x:v>온도|온대</x:v>
      </x:c>
      <x:c r="AI844" s="5" t="str">
        <x:f>"습도|"&amp;N844</x:f>
        <x:v>습도|보통</x:v>
      </x:c>
      <x:c r="AJ844" s="5" t="str">
        <x:f>"날씨|"&amp;O844</x:f>
        <x:v>날씨|무관</x:v>
      </x:c>
      <x:c r="AK844" s="5" t="str">
        <x:f>"특수태그|"&amp;R844</x:f>
        <x:v>특수태그|없음</x:v>
      </x:c>
      <x:c r="AL844" s="5" t="str">
        <x:f>"원본서식지|"&amp;S844</x:f>
        <x:v>원본서식지|숲</x:v>
      </x:c>
      <x:c r="AM844" s="5" t="str">
        <x:f>"타입|"&amp;F844</x:f>
        <x:v>타입|풀</x:v>
      </x:c>
      <x:c r="AN844" s="5" t="str">
        <x:f>"타입|"&amp;G844</x:f>
        <x:v>타입|드래곤</x:v>
      </x:c>
    </x:row>
    <x:row r="845" ht="24" customHeight="1">
      <x:c r="A845" s="5" t="n">
        <x:v>841</x:v>
      </x:c>
      <x:c r="B845" s="5" t="inlineStr">
        <x:is>
          <x:t xml:space="preserve">애프룡</x:t>
        </x:is>
      </x:c>
      <x:c r="C845" s="5" t="inlineStr">
        <x:is>
          <x:t xml:space="preserve">flapple</x:t>
        </x:is>
      </x:c>
      <x:c r="D845" s="5" t="inlineStr">
        <x:is>
          <x:t xml:space="preserve">Flapple</x:t>
        </x:is>
      </x:c>
      <x:c r="E845" s="5" t="n">
        <x:v>8</x:v>
      </x:c>
      <x:c r="F845" s="5" t="inlineStr">
        <x:is>
          <x:t xml:space="preserve">풀</x:t>
        </x:is>
      </x:c>
      <x:c r="G845" s="5" t="inlineStr">
        <x:is>
          <x:t xml:space="preserve">드래곤</x:t>
        </x:is>
      </x:c>
      <x:c r="H845" s="6" t="n">
        <x:v>1</x:v>
      </x:c>
      <x:c r="I845" s="5" t="n"/>
      <x:c r="J845" s="5" t="inlineStr">
        <x:is>
          <x:t xml:space="preserve">최종</x:t>
        </x:is>
      </x:c>
      <x:c r="K845" s="7" t="inlineStr">
        <x:is>
          <x:t xml:space="preserve">비행</x:t>
        </x:is>
      </x:c>
      <x:c r="L845" s="7" t="inlineStr">
        <x:is>
          <x:t xml:space="preserve">수목</x:t>
        </x:is>
      </x:c>
      <x:c r="M845" s="7" t="inlineStr">
        <x:is>
          <x:t xml:space="preserve">온대</x:t>
        </x:is>
      </x:c>
      <x:c r="N845" s="7" t="inlineStr">
        <x:is>
          <x:t xml:space="preserve">보통</x:t>
        </x:is>
      </x:c>
      <x:c r="O845" s="7" t="inlineStr">
        <x:is>
          <x:t xml:space="preserve">무관</x:t>
        </x:is>
      </x:c>
      <x:c r="P845" s="7" t="inlineStr">
        <x:is>
          <x:t xml:space="preserve">무관</x:t>
        </x:is>
      </x:c>
      <x:c r="Q845" s="7" t="inlineStr">
        <x:is>
          <x:t xml:space="preserve">드묾</x:t>
        </x:is>
      </x:c>
      <x:c r="R845" s="7" t="inlineStr">
        <x:is>
          <x:t xml:space="preserve">없음</x:t>
        </x:is>
      </x:c>
      <x:c r="S845" s="7" t="inlineStr">
        <x:is>
          <x:t xml:space="preserve">숲</x:t>
        </x:is>
      </x:c>
      <x:c r="T845" s="7" t="inlineStr">
        <x:is>
          <x:t xml:space="preserve"/>
        </x:is>
      </x:c>
      <x:c r="U845" s="8" t="str">
        <x:f>INDEX('서식지_점수'!$E$4:$P$4,1,MATCH(MAX('서식지_점수'!E845:P845),'서식지_점수'!E845:P845,0))</x:f>
        <x:v>산악</x:v>
      </x:c>
      <x:c r="V845" s="8" t="str">
        <x:f>IF(T845&lt;&gt;"",T845,U845)</x:f>
        <x:v>산악</x:v>
      </x:c>
      <x:c r="W845" s="8" t="str">
        <x:f>IFERROR(INDEX('서식지_점수'!$E$4:$P$4,1,MATCH(MAXIFS('서식지_점수'!E845:P845,'서식지_점수'!E845:P845,"&lt;"&amp;MAX('서식지_점수'!E845:P845)),'서식지_점수'!E845:P845,0)),"")</x:f>
        <x:v>평원</x:v>
      </x:c>
      <x:c r="X845" s="8" t="str">
        <x:f>IF(T845&lt;&gt;"","수동확정",IF(MAX('서식지_점수'!E845:P845)-LARGE('서식지_점수'!E845:P845,2)&gt;=15,"높음",IF(MAX('서식지_점수'!E845:P845)-LARGE('서식지_점수'!E845:P845,2)&gt;=8,"보통","검토필요")))</x:f>
        <x:v>검토필요</x:v>
      </x:c>
      <x:c r="Y845" s="9" t="n">
        <x:f>IF(Q845="전설",8,IF(Q845="희귀",7,IF(J845="기본",1,IF(J845="중간",3,IF(J845="최종",IF(I845="",5,IF(I845&lt;=20,3,IF(I845&lt;=35,4,IF(I845&lt;=50,6,7)))),IF(Q845="드묾",4,2))))))</x:f>
        <x:v>5</x:v>
      </x:c>
      <x:c r="Z845" s="5" t="inlineStr">
        <x:is>
          <x:t xml:space="preserve">#cobblemon:is_forest</x:t>
        </x:is>
      </x:c>
      <x:c r="AA845" s="5" t="inlineStr">
        <x:is>
          <x:t xml:space="preserve">rare</x:t>
        </x:is>
      </x:c>
      <x:c r="AB845" s="5" t="inlineStr">
        <x:is>
          <x:t xml:space="preserve">아니오</x:t>
        </x:is>
      </x:c>
      <x:c r="AC845" s="8" t="str">
        <x:f>IF(T845&lt;&gt;"","수동확정",IF(X845="검토필요","검토필요",IF(S845="","원본없음","초기완료")))</x:f>
        <x:v>검토필요</x:v>
      </x:c>
      <x:c r="AD845" s="7" t="inlineStr">
        <x:is>
          <x:t xml:space="preserve"/>
        </x:is>
      </x:c>
      <x:c r="AE845" s="5" t="inlineStr">
        <x:is>
          <x:t xml:space="preserve">.tmp/cobblemon-1.7.3-source/common/src/main/resources/data/cobblemon/species/generation8/flapple.json</x:t>
        </x:is>
      </x:c>
      <x:c r="AF845" s="5" t="str">
        <x:f>"생활권|"&amp;K845</x:f>
        <x:v>생활권|비행</x:v>
      </x:c>
      <x:c r="AG845" s="5" t="str">
        <x:f>"지형|"&amp;L845</x:f>
        <x:v>지형|수목</x:v>
      </x:c>
      <x:c r="AH845" s="5" t="str">
        <x:f>"온도|"&amp;M845</x:f>
        <x:v>온도|온대</x:v>
      </x:c>
      <x:c r="AI845" s="5" t="str">
        <x:f>"습도|"&amp;N845</x:f>
        <x:v>습도|보통</x:v>
      </x:c>
      <x:c r="AJ845" s="5" t="str">
        <x:f>"날씨|"&amp;O845</x:f>
        <x:v>날씨|무관</x:v>
      </x:c>
      <x:c r="AK845" s="5" t="str">
        <x:f>"특수태그|"&amp;R845</x:f>
        <x:v>특수태그|없음</x:v>
      </x:c>
      <x:c r="AL845" s="5" t="str">
        <x:f>"원본서식지|"&amp;S845</x:f>
        <x:v>원본서식지|숲</x:v>
      </x:c>
      <x:c r="AM845" s="5" t="str">
        <x:f>"타입|"&amp;F845</x:f>
        <x:v>타입|풀</x:v>
      </x:c>
      <x:c r="AN845" s="5" t="str">
        <x:f>"타입|"&amp;G845</x:f>
        <x:v>타입|드래곤</x:v>
      </x:c>
    </x:row>
    <x:row r="846" ht="24" customHeight="1">
      <x:c r="A846" s="5" t="n">
        <x:v>842</x:v>
      </x:c>
      <x:c r="B846" s="5" t="inlineStr">
        <x:is>
          <x:t xml:space="preserve">단지래플</x:t>
        </x:is>
      </x:c>
      <x:c r="C846" s="5" t="inlineStr">
        <x:is>
          <x:t xml:space="preserve">appletun</x:t>
        </x:is>
      </x:c>
      <x:c r="D846" s="5" t="inlineStr">
        <x:is>
          <x:t xml:space="preserve">Appletun</x:t>
        </x:is>
      </x:c>
      <x:c r="E846" s="5" t="n">
        <x:v>8</x:v>
      </x:c>
      <x:c r="F846" s="5" t="inlineStr">
        <x:is>
          <x:t xml:space="preserve">풀</x:t>
        </x:is>
      </x:c>
      <x:c r="G846" s="5" t="inlineStr">
        <x:is>
          <x:t xml:space="preserve">드래곤</x:t>
        </x:is>
      </x:c>
      <x:c r="H846" s="6" t="n">
        <x:v>13</x:v>
      </x:c>
      <x:c r="I846" s="5" t="n"/>
      <x:c r="J846" s="5" t="inlineStr">
        <x:is>
          <x:t xml:space="preserve">최종</x:t>
        </x:is>
      </x:c>
      <x:c r="K846" s="7" t="inlineStr">
        <x:is>
          <x:t xml:space="preserve">육상</x:t>
        </x:is>
      </x:c>
      <x:c r="L846" s="7" t="inlineStr">
        <x:is>
          <x:t xml:space="preserve">수목</x:t>
        </x:is>
      </x:c>
      <x:c r="M846" s="7" t="inlineStr">
        <x:is>
          <x:t xml:space="preserve">온대</x:t>
        </x:is>
      </x:c>
      <x:c r="N846" s="7" t="inlineStr">
        <x:is>
          <x:t xml:space="preserve">보통</x:t>
        </x:is>
      </x:c>
      <x:c r="O846" s="7" t="inlineStr">
        <x:is>
          <x:t xml:space="preserve">무관</x:t>
        </x:is>
      </x:c>
      <x:c r="P846" s="7" t="inlineStr">
        <x:is>
          <x:t xml:space="preserve">무관</x:t>
        </x:is>
      </x:c>
      <x:c r="Q846" s="7" t="inlineStr">
        <x:is>
          <x:t xml:space="preserve">드묾</x:t>
        </x:is>
      </x:c>
      <x:c r="R846" s="7" t="inlineStr">
        <x:is>
          <x:t xml:space="preserve">없음</x:t>
        </x:is>
      </x:c>
      <x:c r="S846" s="7" t="inlineStr">
        <x:is>
          <x:t xml:space="preserve">숲</x:t>
        </x:is>
      </x:c>
      <x:c r="T846" s="7" t="inlineStr">
        <x:is>
          <x:t xml:space="preserve"/>
        </x:is>
      </x:c>
      <x:c r="U846" s="8" t="str">
        <x:f>INDEX('서식지_점수'!$E$4:$P$4,1,MATCH(MAX('서식지_점수'!E846:P846),'서식지_점수'!E846:P846,0))</x:f>
        <x:v>평원</x:v>
      </x:c>
      <x:c r="V846" s="8" t="str">
        <x:f>IF(T846&lt;&gt;"",T846,U846)</x:f>
        <x:v>평원</x:v>
      </x:c>
      <x:c r="W846" s="8" t="str">
        <x:f>IFERROR(INDEX('서식지_점수'!$E$4:$P$4,1,MATCH(MAXIFS('서식지_점수'!E846:P846,'서식지_점수'!E846:P846,"&lt;"&amp;MAX('서식지_점수'!E846:P846)),'서식지_점수'!E846:P846,0)),"")</x:f>
        <x:v>숲</x:v>
      </x:c>
      <x:c r="X846" s="8" t="str">
        <x:f>IF(T846&lt;&gt;"","수동확정",IF(MAX('서식지_점수'!E846:P846)-LARGE('서식지_점수'!E846:P846,2)&gt;=15,"높음",IF(MAX('서식지_점수'!E846:P846)-LARGE('서식지_점수'!E846:P846,2)&gt;=8,"보통","검토필요")))</x:f>
        <x:v>검토필요</x:v>
      </x:c>
      <x:c r="Y846" s="9" t="n">
        <x:f>IF(Q846="전설",8,IF(Q846="희귀",7,IF(J846="기본",1,IF(J846="중간",3,IF(J846="최종",IF(I846="",5,IF(I846&lt;=20,3,IF(I846&lt;=35,4,IF(I846&lt;=50,6,7)))),IF(Q846="드묾",4,2))))))</x:f>
        <x:v>5</x:v>
      </x:c>
      <x:c r="Z846" s="5" t="inlineStr">
        <x:is>
          <x:t xml:space="preserve">#cobblemon:is_forest</x:t>
        </x:is>
      </x:c>
      <x:c r="AA846" s="5" t="inlineStr">
        <x:is>
          <x:t xml:space="preserve">rare</x:t>
        </x:is>
      </x:c>
      <x:c r="AB846" s="5" t="inlineStr">
        <x:is>
          <x:t xml:space="preserve">아니오</x:t>
        </x:is>
      </x:c>
      <x:c r="AC846" s="8" t="str">
        <x:f>IF(T846&lt;&gt;"","수동확정",IF(X846="검토필요","검토필요",IF(S846="","원본없음","초기완료")))</x:f>
        <x:v>검토필요</x:v>
      </x:c>
      <x:c r="AD846" s="7" t="inlineStr">
        <x:is>
          <x:t xml:space="preserve"/>
        </x:is>
      </x:c>
      <x:c r="AE846" s="5" t="inlineStr">
        <x:is>
          <x:t xml:space="preserve">.tmp/cobblemon-1.7.3-source/common/src/main/resources/data/cobblemon/species/generation8/appletun.json</x:t>
        </x:is>
      </x:c>
      <x:c r="AF846" s="5" t="str">
        <x:f>"생활권|"&amp;K846</x:f>
        <x:v>생활권|육상</x:v>
      </x:c>
      <x:c r="AG846" s="5" t="str">
        <x:f>"지형|"&amp;L846</x:f>
        <x:v>지형|수목</x:v>
      </x:c>
      <x:c r="AH846" s="5" t="str">
        <x:f>"온도|"&amp;M846</x:f>
        <x:v>온도|온대</x:v>
      </x:c>
      <x:c r="AI846" s="5" t="str">
        <x:f>"습도|"&amp;N846</x:f>
        <x:v>습도|보통</x:v>
      </x:c>
      <x:c r="AJ846" s="5" t="str">
        <x:f>"날씨|"&amp;O846</x:f>
        <x:v>날씨|무관</x:v>
      </x:c>
      <x:c r="AK846" s="5" t="str">
        <x:f>"특수태그|"&amp;R846</x:f>
        <x:v>특수태그|없음</x:v>
      </x:c>
      <x:c r="AL846" s="5" t="str">
        <x:f>"원본서식지|"&amp;S846</x:f>
        <x:v>원본서식지|숲</x:v>
      </x:c>
      <x:c r="AM846" s="5" t="str">
        <x:f>"타입|"&amp;F846</x:f>
        <x:v>타입|풀</x:v>
      </x:c>
      <x:c r="AN846" s="5" t="str">
        <x:f>"타입|"&amp;G846</x:f>
        <x:v>타입|드래곤</x:v>
      </x:c>
    </x:row>
    <x:row r="847" ht="24" customHeight="1">
      <x:c r="A847" s="5" t="n">
        <x:v>843</x:v>
      </x:c>
      <x:c r="B847" s="5" t="inlineStr">
        <x:is>
          <x:t xml:space="preserve">모래뱀</x:t>
        </x:is>
      </x:c>
      <x:c r="C847" s="5" t="inlineStr">
        <x:is>
          <x:t xml:space="preserve">silicobra</x:t>
        </x:is>
      </x:c>
      <x:c r="D847" s="5" t="inlineStr">
        <x:is>
          <x:t xml:space="preserve">Silicobra</x:t>
        </x:is>
      </x:c>
      <x:c r="E847" s="5" t="n">
        <x:v>8</x:v>
      </x:c>
      <x:c r="F847" s="5" t="inlineStr">
        <x:is>
          <x:t xml:space="preserve">땅</x:t>
        </x:is>
      </x:c>
      <x:c r="G847" s="5" t="inlineStr">
        <x:is>
          <x:t xml:space="preserve"/>
        </x:is>
      </x:c>
      <x:c r="H847" s="6" t="n">
        <x:v>7.6</x:v>
      </x:c>
      <x:c r="I847" s="5" t="n">
        <x:v>36</x:v>
      </x:c>
      <x:c r="J847" s="5" t="inlineStr">
        <x:is>
          <x:t xml:space="preserve">기본</x:t>
        </x:is>
      </x:c>
      <x:c r="K847" s="7" t="inlineStr">
        <x:is>
          <x:t xml:space="preserve">육상</x:t>
        </x:is>
      </x:c>
      <x:c r="L847" s="7" t="inlineStr">
        <x:is>
          <x:t xml:space="preserve">건조</x:t>
        </x:is>
      </x:c>
      <x:c r="M847" s="7" t="inlineStr">
        <x:is>
          <x:t xml:space="preserve">고온</x:t>
        </x:is>
      </x:c>
      <x:c r="N847" s="7" t="inlineStr">
        <x:is>
          <x:t xml:space="preserve">건조</x:t>
        </x:is>
      </x:c>
      <x:c r="O847" s="7" t="inlineStr">
        <x:is>
          <x:t xml:space="preserve">맑음</x:t>
        </x:is>
      </x:c>
      <x:c r="P847" s="7" t="inlineStr">
        <x:is>
          <x:t xml:space="preserve">무관</x:t>
        </x:is>
      </x:c>
      <x:c r="Q847" s="7" t="inlineStr">
        <x:is>
          <x:t xml:space="preserve">흔함</x:t>
        </x:is>
      </x:c>
      <x:c r="R847" s="7" t="inlineStr">
        <x:is>
          <x:t xml:space="preserve">없음</x:t>
        </x:is>
      </x:c>
      <x:c r="S847" s="7" t="inlineStr">
        <x:is>
          <x:t xml:space="preserve">건조지</x:t>
        </x:is>
      </x:c>
      <x:c r="T847" s="7" t="inlineStr">
        <x:is>
          <x:t xml:space="preserve"/>
        </x:is>
      </x:c>
      <x:c r="U847" s="8" t="str">
        <x:f>INDEX('서식지_점수'!$E$4:$P$4,1,MATCH(MAX('서식지_점수'!E847:P847),'서식지_점수'!E847:P847,0))</x:f>
        <x:v>평원</x:v>
      </x:c>
      <x:c r="V847" s="8" t="str">
        <x:f>IF(T847&lt;&gt;"",T847,U847)</x:f>
        <x:v>평원</x:v>
      </x:c>
      <x:c r="W847" s="8" t="str">
        <x:f>IFERROR(INDEX('서식지_점수'!$E$4:$P$4,1,MATCH(MAXIFS('서식지_점수'!E847:P847,'서식지_점수'!E847:P847,"&lt;"&amp;MAX('서식지_점수'!E847:P847)),'서식지_점수'!E847:P847,0)),"")</x:f>
        <x:v>숲</x:v>
      </x:c>
      <x:c r="X847" s="8" t="str">
        <x:f>IF(T847&lt;&gt;"","수동확정",IF(MAX('서식지_점수'!E847:P847)-LARGE('서식지_점수'!E847:P847,2)&gt;=15,"높음",IF(MAX('서식지_점수'!E847:P847)-LARGE('서식지_점수'!E847:P847,2)&gt;=8,"보통","검토필요")))</x:f>
        <x:v>검토필요</x:v>
      </x:c>
      <x:c r="Y847" s="9" t="n">
        <x:f>IF(Q847="전설",8,IF(Q847="희귀",7,IF(J847="기본",1,IF(J847="중간",3,IF(J847="최종",IF(I847="",5,IF(I847&lt;=20,3,IF(I847&lt;=35,4,IF(I847&lt;=50,6,7)))),IF(Q847="드묾",4,2))))))</x:f>
        <x:v>1</x:v>
      </x:c>
      <x:c r="Z847" s="5" t="inlineStr">
        <x:is>
          <x:t xml:space="preserve">#cobblemon:is_desert</x:t>
        </x:is>
      </x:c>
      <x:c r="AA847" s="5" t="inlineStr">
        <x:is>
          <x:t xml:space="preserve">common</x:t>
        </x:is>
      </x:c>
      <x:c r="AB847" s="5" t="inlineStr">
        <x:is>
          <x:t xml:space="preserve">예</x:t>
        </x:is>
      </x:c>
      <x:c r="AC847" s="8" t="str">
        <x:f>IF(T847&lt;&gt;"","수동확정",IF(X847="검토필요","검토필요",IF(S847="","원본없음","초기완료")))</x:f>
        <x:v>검토필요</x:v>
      </x:c>
      <x:c r="AD847" s="7" t="inlineStr">
        <x:is>
          <x:t xml:space="preserve"/>
        </x:is>
      </x:c>
      <x:c r="AE847" s="5" t="inlineStr">
        <x:is>
          <x:t xml:space="preserve">.tmp/cobblemon-1.7.3-source/common/src/main/resources/data/cobblemon/species/generation8/silicobra.json</x:t>
        </x:is>
      </x:c>
      <x:c r="AF847" s="5" t="str">
        <x:f>"생활권|"&amp;K847</x:f>
        <x:v>생활권|육상</x:v>
      </x:c>
      <x:c r="AG847" s="5" t="str">
        <x:f>"지형|"&amp;L847</x:f>
        <x:v>지형|건조</x:v>
      </x:c>
      <x:c r="AH847" s="5" t="str">
        <x:f>"온도|"&amp;M847</x:f>
        <x:v>온도|고온</x:v>
      </x:c>
      <x:c r="AI847" s="5" t="str">
        <x:f>"습도|"&amp;N847</x:f>
        <x:v>습도|건조</x:v>
      </x:c>
      <x:c r="AJ847" s="5" t="str">
        <x:f>"날씨|"&amp;O847</x:f>
        <x:v>날씨|맑음</x:v>
      </x:c>
      <x:c r="AK847" s="5" t="str">
        <x:f>"특수태그|"&amp;R847</x:f>
        <x:v>특수태그|없음</x:v>
      </x:c>
      <x:c r="AL847" s="5" t="str">
        <x:f>"원본서식지|"&amp;S847</x:f>
        <x:v>원본서식지|건조지</x:v>
      </x:c>
      <x:c r="AM847" s="5" t="str">
        <x:f>"타입|"&amp;F847</x:f>
        <x:v>타입|땅</x:v>
      </x:c>
      <x:c r="AN847" s="5" t="str">
        <x:f>"타입|"&amp;G847</x:f>
        <x:v>타입|</x:v>
      </x:c>
    </x:row>
    <x:row r="848" ht="24" customHeight="1">
      <x:c r="A848" s="5" t="n">
        <x:v>844</x:v>
      </x:c>
      <x:c r="B848" s="5" t="inlineStr">
        <x:is>
          <x:t xml:space="preserve">사다이사</x:t>
        </x:is>
      </x:c>
      <x:c r="C848" s="5" t="inlineStr">
        <x:is>
          <x:t xml:space="preserve">sandaconda</x:t>
        </x:is>
      </x:c>
      <x:c r="D848" s="5" t="inlineStr">
        <x:is>
          <x:t xml:space="preserve">Sandaconda</x:t>
        </x:is>
      </x:c>
      <x:c r="E848" s="5" t="n">
        <x:v>8</x:v>
      </x:c>
      <x:c r="F848" s="5" t="inlineStr">
        <x:is>
          <x:t xml:space="preserve">땅</x:t>
        </x:is>
      </x:c>
      <x:c r="G848" s="5" t="inlineStr">
        <x:is>
          <x:t xml:space="preserve"/>
        </x:is>
      </x:c>
      <x:c r="H848" s="6" t="n">
        <x:v>65.5</x:v>
      </x:c>
      <x:c r="I848" s="5" t="n">
        <x:v>36</x:v>
      </x:c>
      <x:c r="J848" s="5" t="inlineStr">
        <x:is>
          <x:t xml:space="preserve">최종</x:t>
        </x:is>
      </x:c>
      <x:c r="K848" s="7" t="inlineStr">
        <x:is>
          <x:t xml:space="preserve">육상</x:t>
        </x:is>
      </x:c>
      <x:c r="L848" s="7" t="inlineStr">
        <x:is>
          <x:t xml:space="preserve">건조</x:t>
        </x:is>
      </x:c>
      <x:c r="M848" s="7" t="inlineStr">
        <x:is>
          <x:t xml:space="preserve">고온</x:t>
        </x:is>
      </x:c>
      <x:c r="N848" s="7" t="inlineStr">
        <x:is>
          <x:t xml:space="preserve">건조</x:t>
        </x:is>
      </x:c>
      <x:c r="O848" s="7" t="inlineStr">
        <x:is>
          <x:t xml:space="preserve">맑음</x:t>
        </x:is>
      </x:c>
      <x:c r="P848" s="7" t="inlineStr">
        <x:is>
          <x:t xml:space="preserve">무관</x:t>
        </x:is>
      </x:c>
      <x:c r="Q848" s="7" t="inlineStr">
        <x:is>
          <x:t xml:space="preserve">흔함</x:t>
        </x:is>
      </x:c>
      <x:c r="R848" s="7" t="inlineStr">
        <x:is>
          <x:t xml:space="preserve">없음</x:t>
        </x:is>
      </x:c>
      <x:c r="S848" s="7" t="inlineStr">
        <x:is>
          <x:t xml:space="preserve">건조지</x:t>
        </x:is>
      </x:c>
      <x:c r="T848" s="7" t="inlineStr">
        <x:is>
          <x:t xml:space="preserve"/>
        </x:is>
      </x:c>
      <x:c r="U848" s="8" t="str">
        <x:f>INDEX('서식지_점수'!$E$4:$P$4,1,MATCH(MAX('서식지_점수'!E848:P848),'서식지_점수'!E848:P848,0))</x:f>
        <x:v>평원</x:v>
      </x:c>
      <x:c r="V848" s="8" t="str">
        <x:f>IF(T848&lt;&gt;"",T848,U848)</x:f>
        <x:v>평원</x:v>
      </x:c>
      <x:c r="W848" s="8" t="str">
        <x:f>IFERROR(INDEX('서식지_점수'!$E$4:$P$4,1,MATCH(MAXIFS('서식지_점수'!E848:P848,'서식지_점수'!E848:P848,"&lt;"&amp;MAX('서식지_점수'!E848:P848)),'서식지_점수'!E848:P848,0)),"")</x:f>
        <x:v>숲</x:v>
      </x:c>
      <x:c r="X848" s="8" t="str">
        <x:f>IF(T848&lt;&gt;"","수동확정",IF(MAX('서식지_점수'!E848:P848)-LARGE('서식지_점수'!E848:P848,2)&gt;=15,"높음",IF(MAX('서식지_점수'!E848:P848)-LARGE('서식지_점수'!E848:P848,2)&gt;=8,"보통","검토필요")))</x:f>
        <x:v>검토필요</x:v>
      </x:c>
      <x:c r="Y848" s="9" t="n">
        <x:f>IF(Q848="전설",8,IF(Q848="희귀",7,IF(J848="기본",1,IF(J848="중간",3,IF(J848="최종",IF(I848="",5,IF(I848&lt;=20,3,IF(I848&lt;=35,4,IF(I848&lt;=50,6,7)))),IF(Q848="드묾",4,2))))))</x:f>
        <x:v>6</x:v>
      </x:c>
      <x:c r="Z848" s="5" t="inlineStr">
        <x:is>
          <x:t xml:space="preserve">#cobblemon:is_desert</x:t>
        </x:is>
      </x:c>
      <x:c r="AA848" s="5" t="inlineStr">
        <x:is>
          <x:t xml:space="preserve">common</x:t>
        </x:is>
      </x:c>
      <x:c r="AB848" s="5" t="inlineStr">
        <x:is>
          <x:t xml:space="preserve">예</x:t>
        </x:is>
      </x:c>
      <x:c r="AC848" s="8" t="str">
        <x:f>IF(T848&lt;&gt;"","수동확정",IF(X848="검토필요","검토필요",IF(S848="","원본없음","초기완료")))</x:f>
        <x:v>검토필요</x:v>
      </x:c>
      <x:c r="AD848" s="7" t="inlineStr">
        <x:is>
          <x:t xml:space="preserve"/>
        </x:is>
      </x:c>
      <x:c r="AE848" s="5" t="inlineStr">
        <x:is>
          <x:t xml:space="preserve">.tmp/cobblemon-1.7.3-source/common/src/main/resources/data/cobblemon/species/generation8/sandaconda.json</x:t>
        </x:is>
      </x:c>
      <x:c r="AF848" s="5" t="str">
        <x:f>"생활권|"&amp;K848</x:f>
        <x:v>생활권|육상</x:v>
      </x:c>
      <x:c r="AG848" s="5" t="str">
        <x:f>"지형|"&amp;L848</x:f>
        <x:v>지형|건조</x:v>
      </x:c>
      <x:c r="AH848" s="5" t="str">
        <x:f>"온도|"&amp;M848</x:f>
        <x:v>온도|고온</x:v>
      </x:c>
      <x:c r="AI848" s="5" t="str">
        <x:f>"습도|"&amp;N848</x:f>
        <x:v>습도|건조</x:v>
      </x:c>
      <x:c r="AJ848" s="5" t="str">
        <x:f>"날씨|"&amp;O848</x:f>
        <x:v>날씨|맑음</x:v>
      </x:c>
      <x:c r="AK848" s="5" t="str">
        <x:f>"특수태그|"&amp;R848</x:f>
        <x:v>특수태그|없음</x:v>
      </x:c>
      <x:c r="AL848" s="5" t="str">
        <x:f>"원본서식지|"&amp;S848</x:f>
        <x:v>원본서식지|건조지</x:v>
      </x:c>
      <x:c r="AM848" s="5" t="str">
        <x:f>"타입|"&amp;F848</x:f>
        <x:v>타입|땅</x:v>
      </x:c>
      <x:c r="AN848" s="5" t="str">
        <x:f>"타입|"&amp;G848</x:f>
        <x:v>타입|</x:v>
      </x:c>
    </x:row>
    <x:row r="849" ht="24" customHeight="1">
      <x:c r="A849" s="5" t="n">
        <x:v>845</x:v>
      </x:c>
      <x:c r="B849" s="5" t="inlineStr">
        <x:is>
          <x:t xml:space="preserve">윽우지</x:t>
        </x:is>
      </x:c>
      <x:c r="C849" s="5" t="inlineStr">
        <x:is>
          <x:t xml:space="preserve">cramorant</x:t>
        </x:is>
      </x:c>
      <x:c r="D849" s="5" t="inlineStr">
        <x:is>
          <x:t xml:space="preserve">Cramorant</x:t>
        </x:is>
      </x:c>
      <x:c r="E849" s="5" t="n">
        <x:v>8</x:v>
      </x:c>
      <x:c r="F849" s="5" t="inlineStr">
        <x:is>
          <x:t xml:space="preserve">비행</x:t>
        </x:is>
      </x:c>
      <x:c r="G849" s="5" t="inlineStr">
        <x:is>
          <x:t xml:space="preserve">물</x:t>
        </x:is>
      </x:c>
      <x:c r="H849" s="6" t="n">
        <x:v>18</x:v>
      </x:c>
      <x:c r="I849" s="5" t="n"/>
      <x:c r="J849" s="5" t="inlineStr">
        <x:is>
          <x:t xml:space="preserve">무진화</x:t>
        </x:is>
      </x:c>
      <x:c r="K849" s="7" t="inlineStr">
        <x:is>
          <x:t xml:space="preserve">해양</x:t>
        </x:is>
      </x:c>
      <x:c r="L849" s="7" t="inlineStr">
        <x:is>
          <x:t xml:space="preserve">해안·해양</x:t>
        </x:is>
      </x:c>
      <x:c r="M849" s="7" t="inlineStr">
        <x:is>
          <x:t xml:space="preserve">온대</x:t>
        </x:is>
      </x:c>
      <x:c r="N849" s="7" t="inlineStr">
        <x:is>
          <x:t xml:space="preserve">수중</x:t>
        </x:is>
      </x:c>
      <x:c r="O849" s="7" t="inlineStr">
        <x:is>
          <x:t xml:space="preserve">비</x:t>
        </x:is>
      </x:c>
      <x:c r="P849" s="7" t="inlineStr">
        <x:is>
          <x:t xml:space="preserve">낮</x:t>
        </x:is>
      </x:c>
      <x:c r="Q849" s="7" t="inlineStr">
        <x:is>
          <x:t xml:space="preserve">보통</x:t>
        </x:is>
      </x:c>
      <x:c r="R849" s="7" t="inlineStr">
        <x:is>
          <x:t xml:space="preserve">없음</x:t>
        </x:is>
      </x:c>
      <x:c r="S849" s="7" t="inlineStr">
        <x:is>
          <x:t xml:space="preserve">해양</x:t>
        </x:is>
      </x:c>
      <x:c r="T849" s="7" t="inlineStr">
        <x:is>
          <x:t xml:space="preserve"/>
        </x:is>
      </x:c>
      <x:c r="U849" s="8" t="str">
        <x:f>INDEX('서식지_점수'!$E$4:$P$4,1,MATCH(MAX('서식지_점수'!E849:P849),'서식지_점수'!E849:P849,0))</x:f>
        <x:v>해양</x:v>
      </x:c>
      <x:c r="V849" s="8" t="str">
        <x:f>IF(T849&lt;&gt;"",T849,U849)</x:f>
        <x:v>해양</x:v>
      </x:c>
      <x:c r="W849" s="8" t="str">
        <x:f>IFERROR(INDEX('서식지_점수'!$E$4:$P$4,1,MATCH(MAXIFS('서식지_점수'!E849:P849,'서식지_점수'!E849:P849,"&lt;"&amp;MAX('서식지_점수'!E849:P849)),'서식지_점수'!E849:P849,0)),"")</x:f>
        <x:v>습지</x:v>
      </x:c>
      <x:c r="X849" s="8" t="str">
        <x:f>IF(T849&lt;&gt;"","수동확정",IF(MAX('서식지_점수'!E849:P849)-LARGE('서식지_점수'!E849:P849,2)&gt;=15,"높음",IF(MAX('서식지_점수'!E849:P849)-LARGE('서식지_점수'!E849:P849,2)&gt;=8,"보통","검토필요")))</x:f>
        <x:v>높음</x:v>
      </x:c>
      <x:c r="Y849" s="9" t="n">
        <x:f>IF(Q849="전설",8,IF(Q849="희귀",7,IF(J849="기본",1,IF(J849="중간",3,IF(J849="최종",IF(I849="",5,IF(I849&lt;=20,3,IF(I849&lt;=35,4,IF(I849&lt;=50,6,7)))),IF(Q849="드묾",4,2))))))</x:f>
        <x:v>2</x:v>
      </x:c>
      <x:c r="Z849" s="5" t="inlineStr">
        <x:is>
          <x:t xml:space="preserve">#aether:is_aether; #cobblemon:is_coast; #cobblemon:is_island; #cobblemon:is_ocean; #cobblemon:is_sky</x:t>
        </x:is>
      </x:c>
      <x:c r="AA849" s="5" t="inlineStr">
        <x:is>
          <x:t xml:space="preserve">common; uncommon</x:t>
        </x:is>
      </x:c>
      <x:c r="AB849" s="5" t="inlineStr">
        <x:is>
          <x:t xml:space="preserve">예</x:t>
        </x:is>
      </x:c>
      <x:c r="AC849" s="8" t="str">
        <x:f>IF(T849&lt;&gt;"","수동확정",IF(X849="검토필요","검토필요",IF(S849="","원본없음","초기완료")))</x:f>
        <x:v>초기완료</x:v>
      </x:c>
      <x:c r="AD849" s="7" t="inlineStr">
        <x:is>
          <x:t xml:space="preserve"/>
        </x:is>
      </x:c>
      <x:c r="AE849" s="5" t="inlineStr">
        <x:is>
          <x:t xml:space="preserve">.tmp/cobblemon-1.7.3-source/common/src/main/resources/data/cobblemon/species/generation8/cramorant.json</x:t>
        </x:is>
      </x:c>
      <x:c r="AF849" s="5" t="str">
        <x:f>"생활권|"&amp;K849</x:f>
        <x:v>생활권|해양</x:v>
      </x:c>
      <x:c r="AG849" s="5" t="str">
        <x:f>"지형|"&amp;L849</x:f>
        <x:v>지형|해안·해양</x:v>
      </x:c>
      <x:c r="AH849" s="5" t="str">
        <x:f>"온도|"&amp;M849</x:f>
        <x:v>온도|온대</x:v>
      </x:c>
      <x:c r="AI849" s="5" t="str">
        <x:f>"습도|"&amp;N849</x:f>
        <x:v>습도|수중</x:v>
      </x:c>
      <x:c r="AJ849" s="5" t="str">
        <x:f>"날씨|"&amp;O849</x:f>
        <x:v>날씨|비</x:v>
      </x:c>
      <x:c r="AK849" s="5" t="str">
        <x:f>"특수태그|"&amp;R849</x:f>
        <x:v>특수태그|없음</x:v>
      </x:c>
      <x:c r="AL849" s="5" t="str">
        <x:f>"원본서식지|"&amp;S849</x:f>
        <x:v>원본서식지|해양</x:v>
      </x:c>
      <x:c r="AM849" s="5" t="str">
        <x:f>"타입|"&amp;F849</x:f>
        <x:v>타입|비행</x:v>
      </x:c>
      <x:c r="AN849" s="5" t="str">
        <x:f>"타입|"&amp;G849</x:f>
        <x:v>타입|물</x:v>
      </x:c>
    </x:row>
    <x:row r="850" ht="24" customHeight="1">
      <x:c r="A850" s="5" t="n">
        <x:v>846</x:v>
      </x:c>
      <x:c r="B850" s="5" t="inlineStr">
        <x:is>
          <x:t xml:space="preserve">찌로꼬치</x:t>
        </x:is>
      </x:c>
      <x:c r="C850" s="5" t="inlineStr">
        <x:is>
          <x:t xml:space="preserve">arrokuda</x:t>
        </x:is>
      </x:c>
      <x:c r="D850" s="5" t="inlineStr">
        <x:is>
          <x:t xml:space="preserve">Arrokuda</x:t>
        </x:is>
      </x:c>
      <x:c r="E850" s="5" t="n">
        <x:v>8</x:v>
      </x:c>
      <x:c r="F850" s="5" t="inlineStr">
        <x:is>
          <x:t xml:space="preserve">물</x:t>
        </x:is>
      </x:c>
      <x:c r="G850" s="5" t="inlineStr">
        <x:is>
          <x:t xml:space="preserve"/>
        </x:is>
      </x:c>
      <x:c r="H850" s="6" t="n">
        <x:v>1</x:v>
      </x:c>
      <x:c r="I850" s="5" t="n">
        <x:v>26</x:v>
      </x:c>
      <x:c r="J850" s="5" t="inlineStr">
        <x:is>
          <x:t xml:space="preserve">기본</x:t>
        </x:is>
      </x:c>
      <x:c r="K850" s="7" t="inlineStr">
        <x:is>
          <x:t xml:space="preserve">해양</x:t>
        </x:is>
      </x:c>
      <x:c r="L850" s="7" t="inlineStr">
        <x:is>
          <x:t xml:space="preserve">해안·해양</x:t>
        </x:is>
      </x:c>
      <x:c r="M850" s="7" t="inlineStr">
        <x:is>
          <x:t xml:space="preserve">온대</x:t>
        </x:is>
      </x:c>
      <x:c r="N850" s="7" t="inlineStr">
        <x:is>
          <x:t xml:space="preserve">수중</x:t>
        </x:is>
      </x:c>
      <x:c r="O850" s="7" t="inlineStr">
        <x:is>
          <x:t xml:space="preserve">비</x:t>
        </x:is>
      </x:c>
      <x:c r="P850" s="7" t="inlineStr">
        <x:is>
          <x:t xml:space="preserve">무관</x:t>
        </x:is>
      </x:c>
      <x:c r="Q850" s="7" t="inlineStr">
        <x:is>
          <x:t xml:space="preserve">흔함</x:t>
        </x:is>
      </x:c>
      <x:c r="R850" s="7" t="inlineStr">
        <x:is>
          <x:t xml:space="preserve">없음</x:t>
        </x:is>
      </x:c>
      <x:c r="S850" s="7" t="inlineStr">
        <x:is>
          <x:t xml:space="preserve">해양</x:t>
        </x:is>
      </x:c>
      <x:c r="T850" s="7" t="inlineStr">
        <x:is>
          <x:t xml:space="preserve"/>
        </x:is>
      </x:c>
      <x:c r="U850" s="8" t="str">
        <x:f>INDEX('서식지_점수'!$E$4:$P$4,1,MATCH(MAX('서식지_점수'!E850:P850),'서식지_점수'!E850:P850,0))</x:f>
        <x:v>해양</x:v>
      </x:c>
      <x:c r="V850" s="8" t="str">
        <x:f>IF(T850&lt;&gt;"",T850,U850)</x:f>
        <x:v>해양</x:v>
      </x:c>
      <x:c r="W850" s="8" t="str">
        <x:f>IFERROR(INDEX('서식지_점수'!$E$4:$P$4,1,MATCH(MAXIFS('서식지_점수'!E850:P850,'서식지_점수'!E850:P850,"&lt;"&amp;MAX('서식지_점수'!E850:P850)),'서식지_점수'!E850:P850,0)),"")</x:f>
        <x:v>습지</x:v>
      </x:c>
      <x:c r="X850" s="8" t="str">
        <x:f>IF(T850&lt;&gt;"","수동확정",IF(MAX('서식지_점수'!E850:P850)-LARGE('서식지_점수'!E850:P850,2)&gt;=15,"높음",IF(MAX('서식지_점수'!E850:P850)-LARGE('서식지_점수'!E850:P850,2)&gt;=8,"보통","검토필요")))</x:f>
        <x:v>높음</x:v>
      </x:c>
      <x:c r="Y850" s="9" t="n">
        <x:f>IF(Q850="전설",8,IF(Q850="희귀",7,IF(J850="기본",1,IF(J850="중간",3,IF(J850="최종",IF(I850="",5,IF(I850&lt;=20,3,IF(I850&lt;=35,4,IF(I850&lt;=50,6,7)))),IF(Q850="드묾",4,2))))))</x:f>
        <x:v>1</x:v>
      </x:c>
      <x:c r="Z850" s="5" t="inlineStr">
        <x:is>
          <x:t xml:space="preserve">#aether:is_aether; #cobblemon:is_coast; #cobblemon:is_ocean; #cobblemon:is_swamp</x:t>
        </x:is>
      </x:c>
      <x:c r="AA850" s="5" t="inlineStr">
        <x:is>
          <x:t xml:space="preserve">common</x:t>
        </x:is>
      </x:c>
      <x:c r="AB850" s="5" t="inlineStr">
        <x:is>
          <x:t xml:space="preserve">예</x:t>
        </x:is>
      </x:c>
      <x:c r="AC850" s="8" t="str">
        <x:f>IF(T850&lt;&gt;"","수동확정",IF(X850="검토필요","검토필요",IF(S850="","원본없음","초기완료")))</x:f>
        <x:v>초기완료</x:v>
      </x:c>
      <x:c r="AD850" s="7" t="inlineStr">
        <x:is>
          <x:t xml:space="preserve"/>
        </x:is>
      </x:c>
      <x:c r="AE850" s="5" t="inlineStr">
        <x:is>
          <x:t xml:space="preserve">.tmp/cobblemon-1.7.3-source/common/src/main/resources/data/cobblemon/species/generation8/arrokuda.json</x:t>
        </x:is>
      </x:c>
      <x:c r="AF850" s="5" t="str">
        <x:f>"생활권|"&amp;K850</x:f>
        <x:v>생활권|해양</x:v>
      </x:c>
      <x:c r="AG850" s="5" t="str">
        <x:f>"지형|"&amp;L850</x:f>
        <x:v>지형|해안·해양</x:v>
      </x:c>
      <x:c r="AH850" s="5" t="str">
        <x:f>"온도|"&amp;M850</x:f>
        <x:v>온도|온대</x:v>
      </x:c>
      <x:c r="AI850" s="5" t="str">
        <x:f>"습도|"&amp;N850</x:f>
        <x:v>습도|수중</x:v>
      </x:c>
      <x:c r="AJ850" s="5" t="str">
        <x:f>"날씨|"&amp;O850</x:f>
        <x:v>날씨|비</x:v>
      </x:c>
      <x:c r="AK850" s="5" t="str">
        <x:f>"특수태그|"&amp;R850</x:f>
        <x:v>특수태그|없음</x:v>
      </x:c>
      <x:c r="AL850" s="5" t="str">
        <x:f>"원본서식지|"&amp;S850</x:f>
        <x:v>원본서식지|해양</x:v>
      </x:c>
      <x:c r="AM850" s="5" t="str">
        <x:f>"타입|"&amp;F850</x:f>
        <x:v>타입|물</x:v>
      </x:c>
      <x:c r="AN850" s="5" t="str">
        <x:f>"타입|"&amp;G850</x:f>
        <x:v>타입|</x:v>
      </x:c>
    </x:row>
    <x:row r="851" ht="24" customHeight="1">
      <x:c r="A851" s="5" t="n">
        <x:v>847</x:v>
      </x:c>
      <x:c r="B851" s="5" t="inlineStr">
        <x:is>
          <x:t xml:space="preserve">꼬치조</x:t>
        </x:is>
      </x:c>
      <x:c r="C851" s="5" t="inlineStr">
        <x:is>
          <x:t xml:space="preserve">barraskewda</x:t>
        </x:is>
      </x:c>
      <x:c r="D851" s="5" t="inlineStr">
        <x:is>
          <x:t xml:space="preserve">Barraskewda</x:t>
        </x:is>
      </x:c>
      <x:c r="E851" s="5" t="n">
        <x:v>8</x:v>
      </x:c>
      <x:c r="F851" s="5" t="inlineStr">
        <x:is>
          <x:t xml:space="preserve">물</x:t>
        </x:is>
      </x:c>
      <x:c r="G851" s="5" t="inlineStr">
        <x:is>
          <x:t xml:space="preserve"/>
        </x:is>
      </x:c>
      <x:c r="H851" s="6" t="n">
        <x:v>30</x:v>
      </x:c>
      <x:c r="I851" s="5" t="n">
        <x:v>26</x:v>
      </x:c>
      <x:c r="J851" s="5" t="inlineStr">
        <x:is>
          <x:t xml:space="preserve">최종</x:t>
        </x:is>
      </x:c>
      <x:c r="K851" s="7" t="inlineStr">
        <x:is>
          <x:t xml:space="preserve">해양</x:t>
        </x:is>
      </x:c>
      <x:c r="L851" s="7" t="inlineStr">
        <x:is>
          <x:t xml:space="preserve">해안·해양</x:t>
        </x:is>
      </x:c>
      <x:c r="M851" s="7" t="inlineStr">
        <x:is>
          <x:t xml:space="preserve">온대</x:t>
        </x:is>
      </x:c>
      <x:c r="N851" s="7" t="inlineStr">
        <x:is>
          <x:t xml:space="preserve">수중</x:t>
        </x:is>
      </x:c>
      <x:c r="O851" s="7" t="inlineStr">
        <x:is>
          <x:t xml:space="preserve">비</x:t>
        </x:is>
      </x:c>
      <x:c r="P851" s="7" t="inlineStr">
        <x:is>
          <x:t xml:space="preserve">무관</x:t>
        </x:is>
      </x:c>
      <x:c r="Q851" s="7" t="inlineStr">
        <x:is>
          <x:t xml:space="preserve">흔함</x:t>
        </x:is>
      </x:c>
      <x:c r="R851" s="7" t="inlineStr">
        <x:is>
          <x:t xml:space="preserve">없음</x:t>
        </x:is>
      </x:c>
      <x:c r="S851" s="7" t="inlineStr">
        <x:is>
          <x:t xml:space="preserve">해양</x:t>
        </x:is>
      </x:c>
      <x:c r="T851" s="7" t="inlineStr">
        <x:is>
          <x:t xml:space="preserve"/>
        </x:is>
      </x:c>
      <x:c r="U851" s="8" t="str">
        <x:f>INDEX('서식지_점수'!$E$4:$P$4,1,MATCH(MAX('서식지_점수'!E851:P851),'서식지_점수'!E851:P851,0))</x:f>
        <x:v>해양</x:v>
      </x:c>
      <x:c r="V851" s="8" t="str">
        <x:f>IF(T851&lt;&gt;"",T851,U851)</x:f>
        <x:v>해양</x:v>
      </x:c>
      <x:c r="W851" s="8" t="str">
        <x:f>IFERROR(INDEX('서식지_점수'!$E$4:$P$4,1,MATCH(MAXIFS('서식지_점수'!E851:P851,'서식지_점수'!E851:P851,"&lt;"&amp;MAX('서식지_점수'!E851:P851)),'서식지_점수'!E851:P851,0)),"")</x:f>
        <x:v>습지</x:v>
      </x:c>
      <x:c r="X851" s="8" t="str">
        <x:f>IF(T851&lt;&gt;"","수동확정",IF(MAX('서식지_점수'!E851:P851)-LARGE('서식지_점수'!E851:P851,2)&gt;=15,"높음",IF(MAX('서식지_점수'!E851:P851)-LARGE('서식지_점수'!E851:P851,2)&gt;=8,"보통","검토필요")))</x:f>
        <x:v>높음</x:v>
      </x:c>
      <x:c r="Y851" s="9" t="n">
        <x:f>IF(Q851="전설",8,IF(Q851="희귀",7,IF(J851="기본",1,IF(J851="중간",3,IF(J851="최종",IF(I851="",5,IF(I851&lt;=20,3,IF(I851&lt;=35,4,IF(I851&lt;=50,6,7)))),IF(Q851="드묾",4,2))))))</x:f>
        <x:v>4</x:v>
      </x:c>
      <x:c r="Z851" s="5" t="inlineStr">
        <x:is>
          <x:t xml:space="preserve">#aether:is_aether; #cobblemon:is_coast; #cobblemon:is_ocean; #cobblemon:is_swamp</x:t>
        </x:is>
      </x:c>
      <x:c r="AA851" s="5" t="inlineStr">
        <x:is>
          <x:t xml:space="preserve">common</x:t>
        </x:is>
      </x:c>
      <x:c r="AB851" s="5" t="inlineStr">
        <x:is>
          <x:t xml:space="preserve">예</x:t>
        </x:is>
      </x:c>
      <x:c r="AC851" s="8" t="str">
        <x:f>IF(T851&lt;&gt;"","수동확정",IF(X851="검토필요","검토필요",IF(S851="","원본없음","초기완료")))</x:f>
        <x:v>초기완료</x:v>
      </x:c>
      <x:c r="AD851" s="7" t="inlineStr">
        <x:is>
          <x:t xml:space="preserve"/>
        </x:is>
      </x:c>
      <x:c r="AE851" s="5" t="inlineStr">
        <x:is>
          <x:t xml:space="preserve">.tmp/cobblemon-1.7.3-source/common/src/main/resources/data/cobblemon/species/generation8/barraskewda.json</x:t>
        </x:is>
      </x:c>
      <x:c r="AF851" s="5" t="str">
        <x:f>"생활권|"&amp;K851</x:f>
        <x:v>생활권|해양</x:v>
      </x:c>
      <x:c r="AG851" s="5" t="str">
        <x:f>"지형|"&amp;L851</x:f>
        <x:v>지형|해안·해양</x:v>
      </x:c>
      <x:c r="AH851" s="5" t="str">
        <x:f>"온도|"&amp;M851</x:f>
        <x:v>온도|온대</x:v>
      </x:c>
      <x:c r="AI851" s="5" t="str">
        <x:f>"습도|"&amp;N851</x:f>
        <x:v>습도|수중</x:v>
      </x:c>
      <x:c r="AJ851" s="5" t="str">
        <x:f>"날씨|"&amp;O851</x:f>
        <x:v>날씨|비</x:v>
      </x:c>
      <x:c r="AK851" s="5" t="str">
        <x:f>"특수태그|"&amp;R851</x:f>
        <x:v>특수태그|없음</x:v>
      </x:c>
      <x:c r="AL851" s="5" t="str">
        <x:f>"원본서식지|"&amp;S851</x:f>
        <x:v>원본서식지|해양</x:v>
      </x:c>
      <x:c r="AM851" s="5" t="str">
        <x:f>"타입|"&amp;F851</x:f>
        <x:v>타입|물</x:v>
      </x:c>
      <x:c r="AN851" s="5" t="str">
        <x:f>"타입|"&amp;G851</x:f>
        <x:v>타입|</x:v>
      </x:c>
    </x:row>
    <x:row r="852" ht="24" customHeight="1">
      <x:c r="A852" s="5" t="n">
        <x:v>848</x:v>
      </x:c>
      <x:c r="B852" s="5" t="inlineStr">
        <x:is>
          <x:t xml:space="preserve">일레즌</x:t>
        </x:is>
      </x:c>
      <x:c r="C852" s="5" t="inlineStr">
        <x:is>
          <x:t xml:space="preserve">toxel</x:t>
        </x:is>
      </x:c>
      <x:c r="D852" s="5" t="inlineStr">
        <x:is>
          <x:t xml:space="preserve">Toxel</x:t>
        </x:is>
      </x:c>
      <x:c r="E852" s="5" t="n">
        <x:v>8</x:v>
      </x:c>
      <x:c r="F852" s="5" t="inlineStr">
        <x:is>
          <x:t xml:space="preserve">전기</x:t>
        </x:is>
      </x:c>
      <x:c r="G852" s="5" t="inlineStr">
        <x:is>
          <x:t xml:space="preserve">독</x:t>
        </x:is>
      </x:c>
      <x:c r="H852" s="6" t="n">
        <x:v>11</x:v>
      </x:c>
      <x:c r="I852" s="5" t="n">
        <x:v>30</x:v>
      </x:c>
      <x:c r="J852" s="5" t="inlineStr">
        <x:is>
          <x:t xml:space="preserve">기본</x:t>
        </x:is>
      </x:c>
      <x:c r="K852" s="7" t="inlineStr">
        <x:is>
          <x:t xml:space="preserve">육상</x:t>
        </x:is>
      </x:c>
      <x:c r="L852" s="7" t="inlineStr">
        <x:is>
          <x:t xml:space="preserve">습지</x:t>
        </x:is>
      </x:c>
      <x:c r="M852" s="7" t="inlineStr">
        <x:is>
          <x:t xml:space="preserve">온대</x:t>
        </x:is>
      </x:c>
      <x:c r="N852" s="7" t="inlineStr">
        <x:is>
          <x:t xml:space="preserve">다습</x:t>
        </x:is>
      </x:c>
      <x:c r="O852" s="7" t="inlineStr">
        <x:is>
          <x:t xml:space="preserve">비</x:t>
        </x:is>
      </x:c>
      <x:c r="P852" s="7" t="inlineStr">
        <x:is>
          <x:t xml:space="preserve">무관</x:t>
        </x:is>
      </x:c>
      <x:c r="Q852" s="7" t="inlineStr">
        <x:is>
          <x:t xml:space="preserve">보통</x:t>
        </x:is>
      </x:c>
      <x:c r="R852" s="7" t="inlineStr">
        <x:is>
          <x:t xml:space="preserve">없음</x:t>
        </x:is>
      </x:c>
      <x:c r="S852" s="7" t="inlineStr">
        <x:is>
          <x:t xml:space="preserve">습지</x:t>
        </x:is>
      </x:c>
      <x:c r="T852" s="7" t="inlineStr">
        <x:is>
          <x:t xml:space="preserve"/>
        </x:is>
      </x:c>
      <x:c r="U852" s="8" t="str">
        <x:f>INDEX('서식지_점수'!$E$4:$P$4,1,MATCH(MAX('서식지_점수'!E852:P852),'서식지_점수'!E852:P852,0))</x:f>
        <x:v>평원</x:v>
      </x:c>
      <x:c r="V852" s="8" t="str">
        <x:f>IF(T852&lt;&gt;"",T852,U852)</x:f>
        <x:v>평원</x:v>
      </x:c>
      <x:c r="W852" s="8" t="str">
        <x:f>IFERROR(INDEX('서식지_점수'!$E$4:$P$4,1,MATCH(MAXIFS('서식지_점수'!E852:P852,'서식지_점수'!E852:P852,"&lt;"&amp;MAX('서식지_점수'!E852:P852)),'서식지_점수'!E852:P852,0)),"")</x:f>
        <x:v>숲</x:v>
      </x:c>
      <x:c r="X852" s="8" t="str">
        <x:f>IF(T852&lt;&gt;"","수동확정",IF(MAX('서식지_점수'!E852:P852)-LARGE('서식지_점수'!E852:P852,2)&gt;=15,"높음",IF(MAX('서식지_점수'!E852:P852)-LARGE('서식지_점수'!E852:P852,2)&gt;=8,"보통","검토필요")))</x:f>
        <x:v>검토필요</x:v>
      </x:c>
      <x:c r="Y852" s="9" t="n">
        <x:f>IF(Q852="전설",8,IF(Q852="희귀",7,IF(J852="기본",1,IF(J852="중간",3,IF(J852="최종",IF(I852="",5,IF(I852&lt;=20,3,IF(I852&lt;=35,4,IF(I852&lt;=50,6,7)))),IF(Q852="드묾",4,2))))))</x:f>
        <x:v>1</x:v>
      </x:c>
      <x:c r="Z852" s="5" t="inlineStr">
        <x:is>
          <x:t xml:space="preserve">#cobblemon:is_overworld; #cobblemon:is_swamp</x:t>
        </x:is>
      </x:c>
      <x:c r="AA852" s="5" t="inlineStr">
        <x:is>
          <x:t xml:space="preserve">common; uncommon</x:t>
        </x:is>
      </x:c>
      <x:c r="AB852" s="5" t="inlineStr">
        <x:is>
          <x:t xml:space="preserve">예</x:t>
        </x:is>
      </x:c>
      <x:c r="AC852" s="8" t="str">
        <x:f>IF(T852&lt;&gt;"","수동확정",IF(X852="검토필요","검토필요",IF(S852="","원본없음","초기완료")))</x:f>
        <x:v>검토필요</x:v>
      </x:c>
      <x:c r="AD852" s="7" t="inlineStr">
        <x:is>
          <x:t xml:space="preserve"/>
        </x:is>
      </x:c>
      <x:c r="AE852" s="5" t="inlineStr">
        <x:is>
          <x:t xml:space="preserve">.tmp/cobblemon-1.7.3-source/common/src/main/resources/data/cobblemon/species/generation8/toxel.json</x:t>
        </x:is>
      </x:c>
      <x:c r="AF852" s="5" t="str">
        <x:f>"생활권|"&amp;K852</x:f>
        <x:v>생활권|육상</x:v>
      </x:c>
      <x:c r="AG852" s="5" t="str">
        <x:f>"지형|"&amp;L852</x:f>
        <x:v>지형|습지</x:v>
      </x:c>
      <x:c r="AH852" s="5" t="str">
        <x:f>"온도|"&amp;M852</x:f>
        <x:v>온도|온대</x:v>
      </x:c>
      <x:c r="AI852" s="5" t="str">
        <x:f>"습도|"&amp;N852</x:f>
        <x:v>습도|다습</x:v>
      </x:c>
      <x:c r="AJ852" s="5" t="str">
        <x:f>"날씨|"&amp;O852</x:f>
        <x:v>날씨|비</x:v>
      </x:c>
      <x:c r="AK852" s="5" t="str">
        <x:f>"특수태그|"&amp;R852</x:f>
        <x:v>특수태그|없음</x:v>
      </x:c>
      <x:c r="AL852" s="5" t="str">
        <x:f>"원본서식지|"&amp;S852</x:f>
        <x:v>원본서식지|습지</x:v>
      </x:c>
      <x:c r="AM852" s="5" t="str">
        <x:f>"타입|"&amp;F852</x:f>
        <x:v>타입|전기</x:v>
      </x:c>
      <x:c r="AN852" s="5" t="str">
        <x:f>"타입|"&amp;G852</x:f>
        <x:v>타입|독</x:v>
      </x:c>
    </x:row>
    <x:row r="853" ht="24" customHeight="1">
      <x:c r="A853" s="5" t="n">
        <x:v>849</x:v>
      </x:c>
      <x:c r="B853" s="5" t="inlineStr">
        <x:is>
          <x:t xml:space="preserve">스트린더</x:t>
        </x:is>
      </x:c>
      <x:c r="C853" s="5" t="inlineStr">
        <x:is>
          <x:t xml:space="preserve">toxtricity</x:t>
        </x:is>
      </x:c>
      <x:c r="D853" s="5" t="inlineStr">
        <x:is>
          <x:t xml:space="preserve">Toxtricity</x:t>
        </x:is>
      </x:c>
      <x:c r="E853" s="5" t="n">
        <x:v>8</x:v>
      </x:c>
      <x:c r="F853" s="5" t="inlineStr">
        <x:is>
          <x:t xml:space="preserve">전기</x:t>
        </x:is>
      </x:c>
      <x:c r="G853" s="5" t="inlineStr">
        <x:is>
          <x:t xml:space="preserve">독</x:t>
        </x:is>
      </x:c>
      <x:c r="H853" s="6" t="n">
        <x:v>40</x:v>
      </x:c>
      <x:c r="I853" s="5" t="n">
        <x:v>30</x:v>
      </x:c>
      <x:c r="J853" s="5" t="inlineStr">
        <x:is>
          <x:t xml:space="preserve">최종</x:t>
        </x:is>
      </x:c>
      <x:c r="K853" s="7" t="inlineStr">
        <x:is>
          <x:t xml:space="preserve">육상</x:t>
        </x:is>
      </x:c>
      <x:c r="L853" s="7" t="inlineStr">
        <x:is>
          <x:t xml:space="preserve">습지</x:t>
        </x:is>
      </x:c>
      <x:c r="M853" s="7" t="inlineStr">
        <x:is>
          <x:t xml:space="preserve">온대</x:t>
        </x:is>
      </x:c>
      <x:c r="N853" s="7" t="inlineStr">
        <x:is>
          <x:t xml:space="preserve">다습</x:t>
        </x:is>
      </x:c>
      <x:c r="O853" s="7" t="inlineStr">
        <x:is>
          <x:t xml:space="preserve">비</x:t>
        </x:is>
      </x:c>
      <x:c r="P853" s="7" t="inlineStr">
        <x:is>
          <x:t xml:space="preserve">무관</x:t>
        </x:is>
      </x:c>
      <x:c r="Q853" s="7" t="inlineStr">
        <x:is>
          <x:t xml:space="preserve">보통</x:t>
        </x:is>
      </x:c>
      <x:c r="R853" s="7" t="inlineStr">
        <x:is>
          <x:t xml:space="preserve">없음</x:t>
        </x:is>
      </x:c>
      <x:c r="S853" s="7" t="inlineStr">
        <x:is>
          <x:t xml:space="preserve">습지</x:t>
        </x:is>
      </x:c>
      <x:c r="T853" s="7" t="inlineStr">
        <x:is>
          <x:t xml:space="preserve"/>
        </x:is>
      </x:c>
      <x:c r="U853" s="8" t="str">
        <x:f>INDEX('서식지_점수'!$E$4:$P$4,1,MATCH(MAX('서식지_점수'!E853:P853),'서식지_점수'!E853:P853,0))</x:f>
        <x:v>평원</x:v>
      </x:c>
      <x:c r="V853" s="8" t="str">
        <x:f>IF(T853&lt;&gt;"",T853,U853)</x:f>
        <x:v>평원</x:v>
      </x:c>
      <x:c r="W853" s="8" t="str">
        <x:f>IFERROR(INDEX('서식지_점수'!$E$4:$P$4,1,MATCH(MAXIFS('서식지_점수'!E853:P853,'서식지_점수'!E853:P853,"&lt;"&amp;MAX('서식지_점수'!E853:P853)),'서식지_점수'!E853:P853,0)),"")</x:f>
        <x:v>숲</x:v>
      </x:c>
      <x:c r="X853" s="8" t="str">
        <x:f>IF(T853&lt;&gt;"","수동확정",IF(MAX('서식지_점수'!E853:P853)-LARGE('서식지_점수'!E853:P853,2)&gt;=15,"높음",IF(MAX('서식지_점수'!E853:P853)-LARGE('서식지_점수'!E853:P853,2)&gt;=8,"보통","검토필요")))</x:f>
        <x:v>검토필요</x:v>
      </x:c>
      <x:c r="Y853" s="9" t="n">
        <x:f>IF(Q853="전설",8,IF(Q853="희귀",7,IF(J853="기본",1,IF(J853="중간",3,IF(J853="최종",IF(I853="",5,IF(I853&lt;=20,3,IF(I853&lt;=35,4,IF(I853&lt;=50,6,7)))),IF(Q853="드묾",4,2))))))</x:f>
        <x:v>4</x:v>
      </x:c>
      <x:c r="Z853" s="5" t="inlineStr">
        <x:is>
          <x:t xml:space="preserve">#cobblemon:is_overworld; #cobblemon:is_swamp</x:t>
        </x:is>
      </x:c>
      <x:c r="AA853" s="5" t="inlineStr">
        <x:is>
          <x:t xml:space="preserve">common; uncommon</x:t>
        </x:is>
      </x:c>
      <x:c r="AB853" s="5" t="inlineStr">
        <x:is>
          <x:t xml:space="preserve">예</x:t>
        </x:is>
      </x:c>
      <x:c r="AC853" s="8" t="str">
        <x:f>IF(T853&lt;&gt;"","수동확정",IF(X853="검토필요","검토필요",IF(S853="","원본없음","초기완료")))</x:f>
        <x:v>검토필요</x:v>
      </x:c>
      <x:c r="AD853" s="7" t="inlineStr">
        <x:is>
          <x:t xml:space="preserve"/>
        </x:is>
      </x:c>
      <x:c r="AE853" s="5" t="inlineStr">
        <x:is>
          <x:t xml:space="preserve">.tmp/cobblemon-1.7.3-source/common/src/main/resources/data/cobblemon/species/generation8/toxtricity.json</x:t>
        </x:is>
      </x:c>
      <x:c r="AF853" s="5" t="str">
        <x:f>"생활권|"&amp;K853</x:f>
        <x:v>생활권|육상</x:v>
      </x:c>
      <x:c r="AG853" s="5" t="str">
        <x:f>"지형|"&amp;L853</x:f>
        <x:v>지형|습지</x:v>
      </x:c>
      <x:c r="AH853" s="5" t="str">
        <x:f>"온도|"&amp;M853</x:f>
        <x:v>온도|온대</x:v>
      </x:c>
      <x:c r="AI853" s="5" t="str">
        <x:f>"습도|"&amp;N853</x:f>
        <x:v>습도|다습</x:v>
      </x:c>
      <x:c r="AJ853" s="5" t="str">
        <x:f>"날씨|"&amp;O853</x:f>
        <x:v>날씨|비</x:v>
      </x:c>
      <x:c r="AK853" s="5" t="str">
        <x:f>"특수태그|"&amp;R853</x:f>
        <x:v>특수태그|없음</x:v>
      </x:c>
      <x:c r="AL853" s="5" t="str">
        <x:f>"원본서식지|"&amp;S853</x:f>
        <x:v>원본서식지|습지</x:v>
      </x:c>
      <x:c r="AM853" s="5" t="str">
        <x:f>"타입|"&amp;F853</x:f>
        <x:v>타입|전기</x:v>
      </x:c>
      <x:c r="AN853" s="5" t="str">
        <x:f>"타입|"&amp;G853</x:f>
        <x:v>타입|독</x:v>
      </x:c>
    </x:row>
    <x:row r="854" ht="24" customHeight="1">
      <x:c r="A854" s="5" t="n">
        <x:v>850</x:v>
      </x:c>
      <x:c r="B854" s="5" t="inlineStr">
        <x:is>
          <x:t xml:space="preserve">태우지네</x:t>
        </x:is>
      </x:c>
      <x:c r="C854" s="5" t="inlineStr">
        <x:is>
          <x:t xml:space="preserve">sizzlipede</x:t>
        </x:is>
      </x:c>
      <x:c r="D854" s="5" t="inlineStr">
        <x:is>
          <x:t xml:space="preserve">Sizzlipede</x:t>
        </x:is>
      </x:c>
      <x:c r="E854" s="5" t="n">
        <x:v>8</x:v>
      </x:c>
      <x:c r="F854" s="5" t="inlineStr">
        <x:is>
          <x:t xml:space="preserve">불꽃</x:t>
        </x:is>
      </x:c>
      <x:c r="G854" s="5" t="inlineStr">
        <x:is>
          <x:t xml:space="preserve">벌레</x:t>
        </x:is>
      </x:c>
      <x:c r="H854" s="6" t="n">
        <x:v>1</x:v>
      </x:c>
      <x:c r="I854" s="5" t="n">
        <x:v>28</x:v>
      </x:c>
      <x:c r="J854" s="5" t="inlineStr">
        <x:is>
          <x:t xml:space="preserve">기본</x:t>
        </x:is>
      </x:c>
      <x:c r="K854" s="7" t="inlineStr">
        <x:is>
          <x:t xml:space="preserve">육상</x:t>
        </x:is>
      </x:c>
      <x:c r="L854" s="7" t="inlineStr">
        <x:is>
          <x:t xml:space="preserve">화산</x:t>
        </x:is>
      </x:c>
      <x:c r="M854" s="7" t="inlineStr">
        <x:is>
          <x:t xml:space="preserve">고온</x:t>
        </x:is>
      </x:c>
      <x:c r="N854" s="7" t="inlineStr">
        <x:is>
          <x:t xml:space="preserve">건조</x:t>
        </x:is>
      </x:c>
      <x:c r="O854" s="7" t="inlineStr">
        <x:is>
          <x:t xml:space="preserve">맑음</x:t>
        </x:is>
      </x:c>
      <x:c r="P854" s="7" t="inlineStr">
        <x:is>
          <x:t xml:space="preserve">무관</x:t>
        </x:is>
      </x:c>
      <x:c r="Q854" s="7" t="inlineStr">
        <x:is>
          <x:t xml:space="preserve">흔함</x:t>
        </x:is>
      </x:c>
      <x:c r="R854" s="7" t="inlineStr">
        <x:is>
          <x:t xml:space="preserve">화산</x:t>
        </x:is>
      </x:c>
      <x:c r="S854" s="7" t="inlineStr">
        <x:is>
          <x:t xml:space="preserve">화산</x:t>
        </x:is>
      </x:c>
      <x:c r="T854" s="7" t="inlineStr">
        <x:is>
          <x:t xml:space="preserve"/>
        </x:is>
      </x:c>
      <x:c r="U854" s="8" t="str">
        <x:f>INDEX('서식지_점수'!$E$4:$P$4,1,MATCH(MAX('서식지_점수'!E854:P854),'서식지_점수'!E854:P854,0))</x:f>
        <x:v>평원</x:v>
      </x:c>
      <x:c r="V854" s="8" t="str">
        <x:f>IF(T854&lt;&gt;"",T854,U854)</x:f>
        <x:v>평원</x:v>
      </x:c>
      <x:c r="W854" s="8" t="str">
        <x:f>IFERROR(INDEX('서식지_점수'!$E$4:$P$4,1,MATCH(MAXIFS('서식지_점수'!E854:P854,'서식지_점수'!E854:P854,"&lt;"&amp;MAX('서식지_점수'!E854:P854)),'서식지_점수'!E854:P854,0)),"")</x:f>
        <x:v>숲</x:v>
      </x:c>
      <x:c r="X854" s="8" t="str">
        <x:f>IF(T854&lt;&gt;"","수동확정",IF(MAX('서식지_점수'!E854:P854)-LARGE('서식지_점수'!E854:P854,2)&gt;=15,"높음",IF(MAX('서식지_점수'!E854:P854)-LARGE('서식지_점수'!E854:P854,2)&gt;=8,"보통","검토필요")))</x:f>
        <x:v>검토필요</x:v>
      </x:c>
      <x:c r="Y854" s="9" t="n">
        <x:f>IF(Q854="전설",8,IF(Q854="희귀",7,IF(J854="기본",1,IF(J854="중간",3,IF(J854="최종",IF(I854="",5,IF(I854&lt;=20,3,IF(I854&lt;=35,4,IF(I854&lt;=50,6,7)))),IF(Q854="드묾",4,2))))))</x:f>
        <x:v>1</x:v>
      </x:c>
      <x:c r="Z854" s="5" t="inlineStr">
        <x:is>
          <x:t xml:space="preserve">#cobblemon:is_badlands; #cobblemon:is_volcanic; #cobblemon:nether/is_basalt; #cobblemon:nether/is_wasteland</x:t>
        </x:is>
      </x:c>
      <x:c r="AA854" s="5" t="inlineStr">
        <x:is>
          <x:t xml:space="preserve">common</x:t>
        </x:is>
      </x:c>
      <x:c r="AB854" s="5" t="inlineStr">
        <x:is>
          <x:t xml:space="preserve">예</x:t>
        </x:is>
      </x:c>
      <x:c r="AC854" s="8" t="str">
        <x:f>IF(T854&lt;&gt;"","수동확정",IF(X854="검토필요","검토필요",IF(S854="","원본없음","초기완료")))</x:f>
        <x:v>검토필요</x:v>
      </x:c>
      <x:c r="AD854" s="7" t="inlineStr">
        <x:is>
          <x:t xml:space="preserve"/>
        </x:is>
      </x:c>
      <x:c r="AE854" s="5" t="inlineStr">
        <x:is>
          <x:t xml:space="preserve">.tmp/cobblemon-1.7.3-source/common/src/main/resources/data/cobblemon/species/generation8/sizzlipede.json</x:t>
        </x:is>
      </x:c>
      <x:c r="AF854" s="5" t="str">
        <x:f>"생활권|"&amp;K854</x:f>
        <x:v>생활권|육상</x:v>
      </x:c>
      <x:c r="AG854" s="5" t="str">
        <x:f>"지형|"&amp;L854</x:f>
        <x:v>지형|화산</x:v>
      </x:c>
      <x:c r="AH854" s="5" t="str">
        <x:f>"온도|"&amp;M854</x:f>
        <x:v>온도|고온</x:v>
      </x:c>
      <x:c r="AI854" s="5" t="str">
        <x:f>"습도|"&amp;N854</x:f>
        <x:v>습도|건조</x:v>
      </x:c>
      <x:c r="AJ854" s="5" t="str">
        <x:f>"날씨|"&amp;O854</x:f>
        <x:v>날씨|맑음</x:v>
      </x:c>
      <x:c r="AK854" s="5" t="str">
        <x:f>"특수태그|"&amp;R854</x:f>
        <x:v>특수태그|화산</x:v>
      </x:c>
      <x:c r="AL854" s="5" t="str">
        <x:f>"원본서식지|"&amp;S854</x:f>
        <x:v>원본서식지|화산</x:v>
      </x:c>
      <x:c r="AM854" s="5" t="str">
        <x:f>"타입|"&amp;F854</x:f>
        <x:v>타입|불꽃</x:v>
      </x:c>
      <x:c r="AN854" s="5" t="str">
        <x:f>"타입|"&amp;G854</x:f>
        <x:v>타입|벌레</x:v>
      </x:c>
    </x:row>
    <x:row r="855" ht="24" customHeight="1">
      <x:c r="A855" s="5" t="n">
        <x:v>851</x:v>
      </x:c>
      <x:c r="B855" s="5" t="inlineStr">
        <x:is>
          <x:t xml:space="preserve">다태우지네</x:t>
        </x:is>
      </x:c>
      <x:c r="C855" s="5" t="inlineStr">
        <x:is>
          <x:t xml:space="preserve">centiskorch</x:t>
        </x:is>
      </x:c>
      <x:c r="D855" s="5" t="inlineStr">
        <x:is>
          <x:t xml:space="preserve">Centiskorch</x:t>
        </x:is>
      </x:c>
      <x:c r="E855" s="5" t="n">
        <x:v>8</x:v>
      </x:c>
      <x:c r="F855" s="5" t="inlineStr">
        <x:is>
          <x:t xml:space="preserve">불꽃</x:t>
        </x:is>
      </x:c>
      <x:c r="G855" s="5" t="inlineStr">
        <x:is>
          <x:t xml:space="preserve">벌레</x:t>
        </x:is>
      </x:c>
      <x:c r="H855" s="6" t="n">
        <x:v>120</x:v>
      </x:c>
      <x:c r="I855" s="5" t="n">
        <x:v>28</x:v>
      </x:c>
      <x:c r="J855" s="5" t="inlineStr">
        <x:is>
          <x:t xml:space="preserve">최종</x:t>
        </x:is>
      </x:c>
      <x:c r="K855" s="7" t="inlineStr">
        <x:is>
          <x:t xml:space="preserve">육상</x:t>
        </x:is>
      </x:c>
      <x:c r="L855" s="7" t="inlineStr">
        <x:is>
          <x:t xml:space="preserve">화산</x:t>
        </x:is>
      </x:c>
      <x:c r="M855" s="7" t="inlineStr">
        <x:is>
          <x:t xml:space="preserve">고온</x:t>
        </x:is>
      </x:c>
      <x:c r="N855" s="7" t="inlineStr">
        <x:is>
          <x:t xml:space="preserve">건조</x:t>
        </x:is>
      </x:c>
      <x:c r="O855" s="7" t="inlineStr">
        <x:is>
          <x:t xml:space="preserve">맑음</x:t>
        </x:is>
      </x:c>
      <x:c r="P855" s="7" t="inlineStr">
        <x:is>
          <x:t xml:space="preserve">무관</x:t>
        </x:is>
      </x:c>
      <x:c r="Q855" s="7" t="inlineStr">
        <x:is>
          <x:t xml:space="preserve">흔함</x:t>
        </x:is>
      </x:c>
      <x:c r="R855" s="7" t="inlineStr">
        <x:is>
          <x:t xml:space="preserve">화산</x:t>
        </x:is>
      </x:c>
      <x:c r="S855" s="7" t="inlineStr">
        <x:is>
          <x:t xml:space="preserve">화산</x:t>
        </x:is>
      </x:c>
      <x:c r="T855" s="7" t="inlineStr">
        <x:is>
          <x:t xml:space="preserve"/>
        </x:is>
      </x:c>
      <x:c r="U855" s="8" t="str">
        <x:f>INDEX('서식지_점수'!$E$4:$P$4,1,MATCH(MAX('서식지_점수'!E855:P855),'서식지_점수'!E855:P855,0))</x:f>
        <x:v>평원</x:v>
      </x:c>
      <x:c r="V855" s="8" t="str">
        <x:f>IF(T855&lt;&gt;"",T855,U855)</x:f>
        <x:v>평원</x:v>
      </x:c>
      <x:c r="W855" s="8" t="str">
        <x:f>IFERROR(INDEX('서식지_점수'!$E$4:$P$4,1,MATCH(MAXIFS('서식지_점수'!E855:P855,'서식지_점수'!E855:P855,"&lt;"&amp;MAX('서식지_점수'!E855:P855)),'서식지_점수'!E855:P855,0)),"")</x:f>
        <x:v>숲</x:v>
      </x:c>
      <x:c r="X855" s="8" t="str">
        <x:f>IF(T855&lt;&gt;"","수동확정",IF(MAX('서식지_점수'!E855:P855)-LARGE('서식지_점수'!E855:P855,2)&gt;=15,"높음",IF(MAX('서식지_점수'!E855:P855)-LARGE('서식지_점수'!E855:P855,2)&gt;=8,"보통","검토필요")))</x:f>
        <x:v>검토필요</x:v>
      </x:c>
      <x:c r="Y855" s="9" t="n">
        <x:f>IF(Q855="전설",8,IF(Q855="희귀",7,IF(J855="기본",1,IF(J855="중간",3,IF(J855="최종",IF(I855="",5,IF(I855&lt;=20,3,IF(I855&lt;=35,4,IF(I855&lt;=50,6,7)))),IF(Q855="드묾",4,2))))))</x:f>
        <x:v>4</x:v>
      </x:c>
      <x:c r="Z855" s="5" t="inlineStr">
        <x:is>
          <x:t xml:space="preserve">#cobblemon:is_badlands; #cobblemon:is_volcanic; #cobblemon:nether/is_basalt; #cobblemon:nether/is_wasteland</x:t>
        </x:is>
      </x:c>
      <x:c r="AA855" s="5" t="inlineStr">
        <x:is>
          <x:t xml:space="preserve">common</x:t>
        </x:is>
      </x:c>
      <x:c r="AB855" s="5" t="inlineStr">
        <x:is>
          <x:t xml:space="preserve">예</x:t>
        </x:is>
      </x:c>
      <x:c r="AC855" s="8" t="str">
        <x:f>IF(T855&lt;&gt;"","수동확정",IF(X855="검토필요","검토필요",IF(S855="","원본없음","초기완료")))</x:f>
        <x:v>검토필요</x:v>
      </x:c>
      <x:c r="AD855" s="7" t="inlineStr">
        <x:is>
          <x:t xml:space="preserve"/>
        </x:is>
      </x:c>
      <x:c r="AE855" s="5" t="inlineStr">
        <x:is>
          <x:t xml:space="preserve">.tmp/cobblemon-1.7.3-source/common/src/main/resources/data/cobblemon/species/generation8/centiskorch.json</x:t>
        </x:is>
      </x:c>
      <x:c r="AF855" s="5" t="str">
        <x:f>"생활권|"&amp;K855</x:f>
        <x:v>생활권|육상</x:v>
      </x:c>
      <x:c r="AG855" s="5" t="str">
        <x:f>"지형|"&amp;L855</x:f>
        <x:v>지형|화산</x:v>
      </x:c>
      <x:c r="AH855" s="5" t="str">
        <x:f>"온도|"&amp;M855</x:f>
        <x:v>온도|고온</x:v>
      </x:c>
      <x:c r="AI855" s="5" t="str">
        <x:f>"습도|"&amp;N855</x:f>
        <x:v>습도|건조</x:v>
      </x:c>
      <x:c r="AJ855" s="5" t="str">
        <x:f>"날씨|"&amp;O855</x:f>
        <x:v>날씨|맑음</x:v>
      </x:c>
      <x:c r="AK855" s="5" t="str">
        <x:f>"특수태그|"&amp;R855</x:f>
        <x:v>특수태그|화산</x:v>
      </x:c>
      <x:c r="AL855" s="5" t="str">
        <x:f>"원본서식지|"&amp;S855</x:f>
        <x:v>원본서식지|화산</x:v>
      </x:c>
      <x:c r="AM855" s="5" t="str">
        <x:f>"타입|"&amp;F855</x:f>
        <x:v>타입|불꽃</x:v>
      </x:c>
      <x:c r="AN855" s="5" t="str">
        <x:f>"타입|"&amp;G855</x:f>
        <x:v>타입|벌레</x:v>
      </x:c>
    </x:row>
    <x:row r="856" ht="24" customHeight="1">
      <x:c r="A856" s="5" t="n">
        <x:v>852</x:v>
      </x:c>
      <x:c r="B856" s="5" t="inlineStr">
        <x:is>
          <x:t xml:space="preserve">때때무노</x:t>
        </x:is>
      </x:c>
      <x:c r="C856" s="5" t="inlineStr">
        <x:is>
          <x:t xml:space="preserve">clobbopus</x:t>
        </x:is>
      </x:c>
      <x:c r="D856" s="5" t="inlineStr">
        <x:is>
          <x:t xml:space="preserve">Clobbopus</x:t>
        </x:is>
      </x:c>
      <x:c r="E856" s="5" t="n">
        <x:v>8</x:v>
      </x:c>
      <x:c r="F856" s="5" t="inlineStr">
        <x:is>
          <x:t xml:space="preserve">격투</x:t>
        </x:is>
      </x:c>
      <x:c r="G856" s="5" t="inlineStr">
        <x:is>
          <x:t xml:space="preserve"/>
        </x:is>
      </x:c>
      <x:c r="H856" s="6" t="n">
        <x:v>4</x:v>
      </x:c>
      <x:c r="I856" s="5" t="n"/>
      <x:c r="J856" s="5" t="inlineStr">
        <x:is>
          <x:t xml:space="preserve">기본</x:t>
        </x:is>
      </x:c>
      <x:c r="K856" s="7" t="inlineStr">
        <x:is>
          <x:t xml:space="preserve">해양</x:t>
        </x:is>
      </x:c>
      <x:c r="L856" s="7" t="inlineStr">
        <x:is>
          <x:t xml:space="preserve">해안·해양</x:t>
        </x:is>
      </x:c>
      <x:c r="M856" s="7" t="inlineStr">
        <x:is>
          <x:t xml:space="preserve">온대</x:t>
        </x:is>
      </x:c>
      <x:c r="N856" s="7" t="inlineStr">
        <x:is>
          <x:t xml:space="preserve">수중</x:t>
        </x:is>
      </x:c>
      <x:c r="O856" s="7" t="inlineStr">
        <x:is>
          <x:t xml:space="preserve">비</x:t>
        </x:is>
      </x:c>
      <x:c r="P856" s="7" t="inlineStr">
        <x:is>
          <x:t xml:space="preserve">무관</x:t>
        </x:is>
      </x:c>
      <x:c r="Q856" s="7" t="inlineStr">
        <x:is>
          <x:t xml:space="preserve">보통</x:t>
        </x:is>
      </x:c>
      <x:c r="R856" s="7" t="inlineStr">
        <x:is>
          <x:t xml:space="preserve">없음</x:t>
        </x:is>
      </x:c>
      <x:c r="S856" s="7" t="inlineStr">
        <x:is>
          <x:t xml:space="preserve">해양</x:t>
        </x:is>
      </x:c>
      <x:c r="T856" s="7" t="inlineStr">
        <x:is>
          <x:t xml:space="preserve"/>
        </x:is>
      </x:c>
      <x:c r="U856" s="8" t="str">
        <x:f>INDEX('서식지_점수'!$E$4:$P$4,1,MATCH(MAX('서식지_점수'!E856:P856),'서식지_점수'!E856:P856,0))</x:f>
        <x:v>해양</x:v>
      </x:c>
      <x:c r="V856" s="8" t="str">
        <x:f>IF(T856&lt;&gt;"",T856,U856)</x:f>
        <x:v>해양</x:v>
      </x:c>
      <x:c r="W856" s="8" t="str">
        <x:f>IFERROR(INDEX('서식지_점수'!$E$4:$P$4,1,MATCH(MAXIFS('서식지_점수'!E856:P856,'서식지_점수'!E856:P856,"&lt;"&amp;MAX('서식지_점수'!E856:P856)),'서식지_점수'!E856:P856,0)),"")</x:f>
        <x:v>습지</x:v>
      </x:c>
      <x:c r="X856" s="8" t="str">
        <x:f>IF(T856&lt;&gt;"","수동확정",IF(MAX('서식지_점수'!E856:P856)-LARGE('서식지_점수'!E856:P856,2)&gt;=15,"높음",IF(MAX('서식지_점수'!E856:P856)-LARGE('서식지_점수'!E856:P856,2)&gt;=8,"보통","검토필요")))</x:f>
        <x:v>높음</x:v>
      </x:c>
      <x:c r="Y856" s="9" t="n">
        <x:f>IF(Q856="전설",8,IF(Q856="희귀",7,IF(J856="기본",1,IF(J856="중간",3,IF(J856="최종",IF(I856="",5,IF(I856&lt;=20,3,IF(I856&lt;=35,4,IF(I856&lt;=50,6,7)))),IF(Q856="드묾",4,2))))))</x:f>
        <x:v>1</x:v>
      </x:c>
      <x:c r="Z856" s="5" t="inlineStr">
        <x:is>
          <x:t xml:space="preserve">#cobblemon:is_coast; #cobblemon:is_ocean; #cobblemon:is_overworld; #cobblemon:is_tropical_island</x:t>
        </x:is>
      </x:c>
      <x:c r="AA856" s="5" t="inlineStr">
        <x:is>
          <x:t xml:space="preserve">common; uncommon</x:t>
        </x:is>
      </x:c>
      <x:c r="AB856" s="5" t="inlineStr">
        <x:is>
          <x:t xml:space="preserve">예</x:t>
        </x:is>
      </x:c>
      <x:c r="AC856" s="8" t="str">
        <x:f>IF(T856&lt;&gt;"","수동확정",IF(X856="검토필요","검토필요",IF(S856="","원본없음","초기완료")))</x:f>
        <x:v>초기완료</x:v>
      </x:c>
      <x:c r="AD856" s="7" t="inlineStr">
        <x:is>
          <x:t xml:space="preserve"/>
        </x:is>
      </x:c>
      <x:c r="AE856" s="5" t="inlineStr">
        <x:is>
          <x:t xml:space="preserve">.tmp/cobblemon-1.7.3-source/common/src/main/resources/data/cobblemon/species/generation8/clobbopus.json</x:t>
        </x:is>
      </x:c>
      <x:c r="AF856" s="5" t="str">
        <x:f>"생활권|"&amp;K856</x:f>
        <x:v>생활권|해양</x:v>
      </x:c>
      <x:c r="AG856" s="5" t="str">
        <x:f>"지형|"&amp;L856</x:f>
        <x:v>지형|해안·해양</x:v>
      </x:c>
      <x:c r="AH856" s="5" t="str">
        <x:f>"온도|"&amp;M856</x:f>
        <x:v>온도|온대</x:v>
      </x:c>
      <x:c r="AI856" s="5" t="str">
        <x:f>"습도|"&amp;N856</x:f>
        <x:v>습도|수중</x:v>
      </x:c>
      <x:c r="AJ856" s="5" t="str">
        <x:f>"날씨|"&amp;O856</x:f>
        <x:v>날씨|비</x:v>
      </x:c>
      <x:c r="AK856" s="5" t="str">
        <x:f>"특수태그|"&amp;R856</x:f>
        <x:v>특수태그|없음</x:v>
      </x:c>
      <x:c r="AL856" s="5" t="str">
        <x:f>"원본서식지|"&amp;S856</x:f>
        <x:v>원본서식지|해양</x:v>
      </x:c>
      <x:c r="AM856" s="5" t="str">
        <x:f>"타입|"&amp;F856</x:f>
        <x:v>타입|격투</x:v>
      </x:c>
      <x:c r="AN856" s="5" t="str">
        <x:f>"타입|"&amp;G856</x:f>
        <x:v>타입|</x:v>
      </x:c>
    </x:row>
    <x:row r="857" ht="24" customHeight="1">
      <x:c r="A857" s="5" t="n">
        <x:v>853</x:v>
      </x:c>
      <x:c r="B857" s="5" t="inlineStr">
        <x:is>
          <x:t xml:space="preserve">케오퍼스</x:t>
        </x:is>
      </x:c>
      <x:c r="C857" s="5" t="inlineStr">
        <x:is>
          <x:t xml:space="preserve">grapploct</x:t>
        </x:is>
      </x:c>
      <x:c r="D857" s="5" t="inlineStr">
        <x:is>
          <x:t xml:space="preserve">Grapploct</x:t>
        </x:is>
      </x:c>
      <x:c r="E857" s="5" t="n">
        <x:v>8</x:v>
      </x:c>
      <x:c r="F857" s="5" t="inlineStr">
        <x:is>
          <x:t xml:space="preserve">격투</x:t>
        </x:is>
      </x:c>
      <x:c r="G857" s="5" t="inlineStr">
        <x:is>
          <x:t xml:space="preserve"/>
        </x:is>
      </x:c>
      <x:c r="H857" s="6" t="n">
        <x:v>39</x:v>
      </x:c>
      <x:c r="I857" s="5" t="n"/>
      <x:c r="J857" s="5" t="inlineStr">
        <x:is>
          <x:t xml:space="preserve">최종</x:t>
        </x:is>
      </x:c>
      <x:c r="K857" s="7" t="inlineStr">
        <x:is>
          <x:t xml:space="preserve">해양</x:t>
        </x:is>
      </x:c>
      <x:c r="L857" s="7" t="inlineStr">
        <x:is>
          <x:t xml:space="preserve">해안·해양</x:t>
        </x:is>
      </x:c>
      <x:c r="M857" s="7" t="inlineStr">
        <x:is>
          <x:t xml:space="preserve">온대</x:t>
        </x:is>
      </x:c>
      <x:c r="N857" s="7" t="inlineStr">
        <x:is>
          <x:t xml:space="preserve">수중</x:t>
        </x:is>
      </x:c>
      <x:c r="O857" s="7" t="inlineStr">
        <x:is>
          <x:t xml:space="preserve">비</x:t>
        </x:is>
      </x:c>
      <x:c r="P857" s="7" t="inlineStr">
        <x:is>
          <x:t xml:space="preserve">무관</x:t>
        </x:is>
      </x:c>
      <x:c r="Q857" s="7" t="inlineStr">
        <x:is>
          <x:t xml:space="preserve">보통</x:t>
        </x:is>
      </x:c>
      <x:c r="R857" s="7" t="inlineStr">
        <x:is>
          <x:t xml:space="preserve">없음</x:t>
        </x:is>
      </x:c>
      <x:c r="S857" s="7" t="inlineStr">
        <x:is>
          <x:t xml:space="preserve">해양</x:t>
        </x:is>
      </x:c>
      <x:c r="T857" s="7" t="inlineStr">
        <x:is>
          <x:t xml:space="preserve"/>
        </x:is>
      </x:c>
      <x:c r="U857" s="8" t="str">
        <x:f>INDEX('서식지_점수'!$E$4:$P$4,1,MATCH(MAX('서식지_점수'!E857:P857),'서식지_점수'!E857:P857,0))</x:f>
        <x:v>해양</x:v>
      </x:c>
      <x:c r="V857" s="8" t="str">
        <x:f>IF(T857&lt;&gt;"",T857,U857)</x:f>
        <x:v>해양</x:v>
      </x:c>
      <x:c r="W857" s="8" t="str">
        <x:f>IFERROR(INDEX('서식지_점수'!$E$4:$P$4,1,MATCH(MAXIFS('서식지_점수'!E857:P857,'서식지_점수'!E857:P857,"&lt;"&amp;MAX('서식지_점수'!E857:P857)),'서식지_점수'!E857:P857,0)),"")</x:f>
        <x:v>습지</x:v>
      </x:c>
      <x:c r="X857" s="8" t="str">
        <x:f>IF(T857&lt;&gt;"","수동확정",IF(MAX('서식지_점수'!E857:P857)-LARGE('서식지_점수'!E857:P857,2)&gt;=15,"높음",IF(MAX('서식지_점수'!E857:P857)-LARGE('서식지_점수'!E857:P857,2)&gt;=8,"보통","검토필요")))</x:f>
        <x:v>높음</x:v>
      </x:c>
      <x:c r="Y857" s="9" t="n">
        <x:f>IF(Q857="전설",8,IF(Q857="희귀",7,IF(J857="기본",1,IF(J857="중간",3,IF(J857="최종",IF(I857="",5,IF(I857&lt;=20,3,IF(I857&lt;=35,4,IF(I857&lt;=50,6,7)))),IF(Q857="드묾",4,2))))))</x:f>
        <x:v>5</x:v>
      </x:c>
      <x:c r="Z857" s="5" t="inlineStr">
        <x:is>
          <x:t xml:space="preserve">#cobblemon:is_coast; #cobblemon:is_ocean; #cobblemon:is_overworld; #cobblemon:is_tropical_island</x:t>
        </x:is>
      </x:c>
      <x:c r="AA857" s="5" t="inlineStr">
        <x:is>
          <x:t xml:space="preserve">common; uncommon</x:t>
        </x:is>
      </x:c>
      <x:c r="AB857" s="5" t="inlineStr">
        <x:is>
          <x:t xml:space="preserve">예</x:t>
        </x:is>
      </x:c>
      <x:c r="AC857" s="8" t="str">
        <x:f>IF(T857&lt;&gt;"","수동확정",IF(X857="검토필요","검토필요",IF(S857="","원본없음","초기완료")))</x:f>
        <x:v>초기완료</x:v>
      </x:c>
      <x:c r="AD857" s="7" t="inlineStr">
        <x:is>
          <x:t xml:space="preserve"/>
        </x:is>
      </x:c>
      <x:c r="AE857" s="5" t="inlineStr">
        <x:is>
          <x:t xml:space="preserve">.tmp/cobblemon-1.7.3-source/common/src/main/resources/data/cobblemon/species/generation8/grapploct.json</x:t>
        </x:is>
      </x:c>
      <x:c r="AF857" s="5" t="str">
        <x:f>"생활권|"&amp;K857</x:f>
        <x:v>생활권|해양</x:v>
      </x:c>
      <x:c r="AG857" s="5" t="str">
        <x:f>"지형|"&amp;L857</x:f>
        <x:v>지형|해안·해양</x:v>
      </x:c>
      <x:c r="AH857" s="5" t="str">
        <x:f>"온도|"&amp;M857</x:f>
        <x:v>온도|온대</x:v>
      </x:c>
      <x:c r="AI857" s="5" t="str">
        <x:f>"습도|"&amp;N857</x:f>
        <x:v>습도|수중</x:v>
      </x:c>
      <x:c r="AJ857" s="5" t="str">
        <x:f>"날씨|"&amp;O857</x:f>
        <x:v>날씨|비</x:v>
      </x:c>
      <x:c r="AK857" s="5" t="str">
        <x:f>"특수태그|"&amp;R857</x:f>
        <x:v>특수태그|없음</x:v>
      </x:c>
      <x:c r="AL857" s="5" t="str">
        <x:f>"원본서식지|"&amp;S857</x:f>
        <x:v>원본서식지|해양</x:v>
      </x:c>
      <x:c r="AM857" s="5" t="str">
        <x:f>"타입|"&amp;F857</x:f>
        <x:v>타입|격투</x:v>
      </x:c>
      <x:c r="AN857" s="5" t="str">
        <x:f>"타입|"&amp;G857</x:f>
        <x:v>타입|</x:v>
      </x:c>
    </x:row>
    <x:row r="858" ht="24" customHeight="1">
      <x:c r="A858" s="5" t="n">
        <x:v>854</x:v>
      </x:c>
      <x:c r="B858" s="5" t="inlineStr">
        <x:is>
          <x:t xml:space="preserve">데인차</x:t>
        </x:is>
      </x:c>
      <x:c r="C858" s="5" t="inlineStr">
        <x:is>
          <x:t xml:space="preserve">sinistea</x:t>
        </x:is>
      </x:c>
      <x:c r="D858" s="5" t="inlineStr">
        <x:is>
          <x:t xml:space="preserve">Sinistea</x:t>
        </x:is>
      </x:c>
      <x:c r="E858" s="5" t="n">
        <x:v>8</x:v>
      </x:c>
      <x:c r="F858" s="5" t="inlineStr">
        <x:is>
          <x:t xml:space="preserve">고스트</x:t>
        </x:is>
      </x:c>
      <x:c r="G858" s="5" t="inlineStr">
        <x:is>
          <x:t xml:space="preserve"/>
        </x:is>
      </x:c>
      <x:c r="H858" s="6" t="n">
        <x:v>0.2</x:v>
      </x:c>
      <x:c r="I858" s="5" t="n"/>
      <x:c r="J858" s="5" t="inlineStr">
        <x:is>
          <x:t xml:space="preserve">기본</x:t>
        </x:is>
      </x:c>
      <x:c r="K858" s="7" t="inlineStr">
        <x:is>
          <x:t xml:space="preserve">인공</x:t>
        </x:is>
      </x:c>
      <x:c r="L858" s="7" t="inlineStr">
        <x:is>
          <x:t xml:space="preserve">특수</x:t>
        </x:is>
      </x:c>
      <x:c r="M858" s="7" t="inlineStr">
        <x:is>
          <x:t xml:space="preserve">서늘</x:t>
        </x:is>
      </x:c>
      <x:c r="N858" s="7" t="inlineStr">
        <x:is>
          <x:t xml:space="preserve">보통</x:t>
        </x:is>
      </x:c>
      <x:c r="O858" s="7" t="inlineStr">
        <x:is>
          <x:t xml:space="preserve">안개</x:t>
        </x:is>
      </x:c>
      <x:c r="P858" s="7" t="inlineStr">
        <x:is>
          <x:t xml:space="preserve">밤</x:t>
        </x:is>
      </x:c>
      <x:c r="Q858" s="7" t="inlineStr">
        <x:is>
          <x:t xml:space="preserve">보통</x:t>
        </x:is>
      </x:c>
      <x:c r="R858" s="7" t="inlineStr">
        <x:is>
          <x:t xml:space="preserve">영체</x:t>
        </x:is>
      </x:c>
      <x:c r="S858" s="7" t="inlineStr">
        <x:is>
          <x:t xml:space="preserve">특수</x:t>
        </x:is>
      </x:c>
      <x:c r="T858" s="7" t="inlineStr">
        <x:is>
          <x:t xml:space="preserve"/>
        </x:is>
      </x:c>
      <x:c r="U858" s="8" t="str">
        <x:f>INDEX('서식지_점수'!$E$4:$P$4,1,MATCH(MAX('서식지_점수'!E858:P858),'서식지_점수'!E858:P858,0))</x:f>
        <x:v>도시</x:v>
      </x:c>
      <x:c r="V858" s="8" t="str">
        <x:f>IF(T858&lt;&gt;"",T858,U858)</x:f>
        <x:v>도시</x:v>
      </x:c>
      <x:c r="W858" s="8" t="str">
        <x:f>IFERROR(INDEX('서식지_점수'!$E$4:$P$4,1,MATCH(MAXIFS('서식지_점수'!E858:P858,'서식지_점수'!E858:P858,"&lt;"&amp;MAX('서식지_점수'!E858:P858)),'서식지_점수'!E858:P858,0)),"")</x:f>
        <x:v>특수</x:v>
      </x:c>
      <x:c r="X858" s="8" t="str">
        <x:f>IF(T858&lt;&gt;"","수동확정",IF(MAX('서식지_점수'!E858:P858)-LARGE('서식지_점수'!E858:P858,2)&gt;=15,"높음",IF(MAX('서식지_점수'!E858:P858)-LARGE('서식지_점수'!E858:P858,2)&gt;=8,"보통","검토필요")))</x:f>
        <x:v>높음</x:v>
      </x:c>
      <x:c r="Y858" s="9" t="n">
        <x:f>IF(Q858="전설",8,IF(Q858="희귀",7,IF(J858="기본",1,IF(J858="중간",3,IF(J858="최종",IF(I858="",5,IF(I858&lt;=20,3,IF(I858&lt;=35,4,IF(I858&lt;=50,6,7)))),IF(Q858="드묾",4,2))))))</x:f>
        <x:v>1</x:v>
      </x:c>
      <x:c r="Z858" s="5" t="inlineStr">
        <x:is>
          <x:t xml:space="preserve">#cobblemon:is_floral; #cobblemon:is_magical; #cobblemon:is_mountain; #cobblemon:is_overworld; #cobblemon:is_plains; #cobblemon:is_snowy; #cobblemon:is_spooky; #cobblemon:is_taiga; #cobblemon:is_tundra</x:t>
        </x:is>
      </x:c>
      <x:c r="AA858" s="5" t="inlineStr">
        <x:is>
          <x:t xml:space="preserve">common; uncommon</x:t>
        </x:is>
      </x:c>
      <x:c r="AB858" s="5" t="inlineStr">
        <x:is>
          <x:t xml:space="preserve">예</x:t>
        </x:is>
      </x:c>
      <x:c r="AC858" s="8" t="str">
        <x:f>IF(T858&lt;&gt;"","수동확정",IF(X858="검토필요","검토필요",IF(S858="","원본없음","초기완료")))</x:f>
        <x:v>초기완료</x:v>
      </x:c>
      <x:c r="AD858" s="7" t="inlineStr">
        <x:is>
          <x:t xml:space="preserve"/>
        </x:is>
      </x:c>
      <x:c r="AE858" s="5" t="inlineStr">
        <x:is>
          <x:t xml:space="preserve">.tmp/cobblemon-1.7.3-source/common/src/main/resources/data/cobblemon/species/generation8/sinistea.json</x:t>
        </x:is>
      </x:c>
      <x:c r="AF858" s="5" t="str">
        <x:f>"생활권|"&amp;K858</x:f>
        <x:v>생활권|인공</x:v>
      </x:c>
      <x:c r="AG858" s="5" t="str">
        <x:f>"지형|"&amp;L858</x:f>
        <x:v>지형|특수</x:v>
      </x:c>
      <x:c r="AH858" s="5" t="str">
        <x:f>"온도|"&amp;M858</x:f>
        <x:v>온도|서늘</x:v>
      </x:c>
      <x:c r="AI858" s="5" t="str">
        <x:f>"습도|"&amp;N858</x:f>
        <x:v>습도|보통</x:v>
      </x:c>
      <x:c r="AJ858" s="5" t="str">
        <x:f>"날씨|"&amp;O858</x:f>
        <x:v>날씨|안개</x:v>
      </x:c>
      <x:c r="AK858" s="5" t="str">
        <x:f>"특수태그|"&amp;R858</x:f>
        <x:v>특수태그|영체</x:v>
      </x:c>
      <x:c r="AL858" s="5" t="str">
        <x:f>"원본서식지|"&amp;S858</x:f>
        <x:v>원본서식지|특수</x:v>
      </x:c>
      <x:c r="AM858" s="5" t="str">
        <x:f>"타입|"&amp;F858</x:f>
        <x:v>타입|고스트</x:v>
      </x:c>
      <x:c r="AN858" s="5" t="str">
        <x:f>"타입|"&amp;G858</x:f>
        <x:v>타입|</x:v>
      </x:c>
    </x:row>
    <x:row r="859" ht="24" customHeight="1">
      <x:c r="A859" s="5" t="n">
        <x:v>855</x:v>
      </x:c>
      <x:c r="B859" s="5" t="inlineStr">
        <x:is>
          <x:t xml:space="preserve">포트데스</x:t>
        </x:is>
      </x:c>
      <x:c r="C859" s="5" t="inlineStr">
        <x:is>
          <x:t xml:space="preserve">polteageist</x:t>
        </x:is>
      </x:c>
      <x:c r="D859" s="5" t="inlineStr">
        <x:is>
          <x:t xml:space="preserve">Polteageist</x:t>
        </x:is>
      </x:c>
      <x:c r="E859" s="5" t="n">
        <x:v>8</x:v>
      </x:c>
      <x:c r="F859" s="5" t="inlineStr">
        <x:is>
          <x:t xml:space="preserve">고스트</x:t>
        </x:is>
      </x:c>
      <x:c r="G859" s="5" t="inlineStr">
        <x:is>
          <x:t xml:space="preserve"/>
        </x:is>
      </x:c>
      <x:c r="H859" s="6" t="n">
        <x:v>0.4</x:v>
      </x:c>
      <x:c r="I859" s="5" t="n"/>
      <x:c r="J859" s="5" t="inlineStr">
        <x:is>
          <x:t xml:space="preserve">최종</x:t>
        </x:is>
      </x:c>
      <x:c r="K859" s="7" t="inlineStr">
        <x:is>
          <x:t xml:space="preserve">인공</x:t>
        </x:is>
      </x:c>
      <x:c r="L859" s="7" t="inlineStr">
        <x:is>
          <x:t xml:space="preserve">특수</x:t>
        </x:is>
      </x:c>
      <x:c r="M859" s="7" t="inlineStr">
        <x:is>
          <x:t xml:space="preserve">서늘</x:t>
        </x:is>
      </x:c>
      <x:c r="N859" s="7" t="inlineStr">
        <x:is>
          <x:t xml:space="preserve">보통</x:t>
        </x:is>
      </x:c>
      <x:c r="O859" s="7" t="inlineStr">
        <x:is>
          <x:t xml:space="preserve">안개</x:t>
        </x:is>
      </x:c>
      <x:c r="P859" s="7" t="inlineStr">
        <x:is>
          <x:t xml:space="preserve">밤</x:t>
        </x:is>
      </x:c>
      <x:c r="Q859" s="7" t="inlineStr">
        <x:is>
          <x:t xml:space="preserve">보통</x:t>
        </x:is>
      </x:c>
      <x:c r="R859" s="7" t="inlineStr">
        <x:is>
          <x:t xml:space="preserve">영체</x:t>
        </x:is>
      </x:c>
      <x:c r="S859" s="7" t="inlineStr">
        <x:is>
          <x:t xml:space="preserve">특수</x:t>
        </x:is>
      </x:c>
      <x:c r="T859" s="7" t="inlineStr">
        <x:is>
          <x:t xml:space="preserve"/>
        </x:is>
      </x:c>
      <x:c r="U859" s="8" t="str">
        <x:f>INDEX('서식지_점수'!$E$4:$P$4,1,MATCH(MAX('서식지_점수'!E859:P859),'서식지_점수'!E859:P859,0))</x:f>
        <x:v>도시</x:v>
      </x:c>
      <x:c r="V859" s="8" t="str">
        <x:f>IF(T859&lt;&gt;"",T859,U859)</x:f>
        <x:v>도시</x:v>
      </x:c>
      <x:c r="W859" s="8" t="str">
        <x:f>IFERROR(INDEX('서식지_점수'!$E$4:$P$4,1,MATCH(MAXIFS('서식지_점수'!E859:P859,'서식지_점수'!E859:P859,"&lt;"&amp;MAX('서식지_점수'!E859:P859)),'서식지_점수'!E859:P859,0)),"")</x:f>
        <x:v>특수</x:v>
      </x:c>
      <x:c r="X859" s="8" t="str">
        <x:f>IF(T859&lt;&gt;"","수동확정",IF(MAX('서식지_점수'!E859:P859)-LARGE('서식지_점수'!E859:P859,2)&gt;=15,"높음",IF(MAX('서식지_점수'!E859:P859)-LARGE('서식지_점수'!E859:P859,2)&gt;=8,"보통","검토필요")))</x:f>
        <x:v>높음</x:v>
      </x:c>
      <x:c r="Y859" s="9" t="n">
        <x:f>IF(Q859="전설",8,IF(Q859="희귀",7,IF(J859="기본",1,IF(J859="중간",3,IF(J859="최종",IF(I859="",5,IF(I859&lt;=20,3,IF(I859&lt;=35,4,IF(I859&lt;=50,6,7)))),IF(Q859="드묾",4,2))))))</x:f>
        <x:v>5</x:v>
      </x:c>
      <x:c r="Z859" s="5" t="inlineStr">
        <x:is>
          <x:t xml:space="preserve">#cobblemon:is_floral; #cobblemon:is_magical; #cobblemon:is_mountain; #cobblemon:is_overworld; #cobblemon:is_plains; #cobblemon:is_snowy; #cobblemon:is_spooky; #cobblemon:is_taiga; #cobblemon:is_tundra</x:t>
        </x:is>
      </x:c>
      <x:c r="AA859" s="5" t="inlineStr">
        <x:is>
          <x:t xml:space="preserve">common; uncommon</x:t>
        </x:is>
      </x:c>
      <x:c r="AB859" s="5" t="inlineStr">
        <x:is>
          <x:t xml:space="preserve">예</x:t>
        </x:is>
      </x:c>
      <x:c r="AC859" s="8" t="str">
        <x:f>IF(T859&lt;&gt;"","수동확정",IF(X859="검토필요","검토필요",IF(S859="","원본없음","초기완료")))</x:f>
        <x:v>초기완료</x:v>
      </x:c>
      <x:c r="AD859" s="7" t="inlineStr">
        <x:is>
          <x:t xml:space="preserve"/>
        </x:is>
      </x:c>
      <x:c r="AE859" s="5" t="inlineStr">
        <x:is>
          <x:t xml:space="preserve">.tmp/cobblemon-1.7.3-source/common/src/main/resources/data/cobblemon/species/generation8/polteageist.json</x:t>
        </x:is>
      </x:c>
      <x:c r="AF859" s="5" t="str">
        <x:f>"생활권|"&amp;K859</x:f>
        <x:v>생활권|인공</x:v>
      </x:c>
      <x:c r="AG859" s="5" t="str">
        <x:f>"지형|"&amp;L859</x:f>
        <x:v>지형|특수</x:v>
      </x:c>
      <x:c r="AH859" s="5" t="str">
        <x:f>"온도|"&amp;M859</x:f>
        <x:v>온도|서늘</x:v>
      </x:c>
      <x:c r="AI859" s="5" t="str">
        <x:f>"습도|"&amp;N859</x:f>
        <x:v>습도|보통</x:v>
      </x:c>
      <x:c r="AJ859" s="5" t="str">
        <x:f>"날씨|"&amp;O859</x:f>
        <x:v>날씨|안개</x:v>
      </x:c>
      <x:c r="AK859" s="5" t="str">
        <x:f>"특수태그|"&amp;R859</x:f>
        <x:v>특수태그|영체</x:v>
      </x:c>
      <x:c r="AL859" s="5" t="str">
        <x:f>"원본서식지|"&amp;S859</x:f>
        <x:v>원본서식지|특수</x:v>
      </x:c>
      <x:c r="AM859" s="5" t="str">
        <x:f>"타입|"&amp;F859</x:f>
        <x:v>타입|고스트</x:v>
      </x:c>
      <x:c r="AN859" s="5" t="str">
        <x:f>"타입|"&amp;G859</x:f>
        <x:v>타입|</x:v>
      </x:c>
    </x:row>
    <x:row r="860" ht="24" customHeight="1">
      <x:c r="A860" s="5" t="n">
        <x:v>856</x:v>
      </x:c>
      <x:c r="B860" s="5" t="inlineStr">
        <x:is>
          <x:t xml:space="preserve">몸지브림</x:t>
        </x:is>
      </x:c>
      <x:c r="C860" s="5" t="inlineStr">
        <x:is>
          <x:t xml:space="preserve">hatenna</x:t>
        </x:is>
      </x:c>
      <x:c r="D860" s="5" t="inlineStr">
        <x:is>
          <x:t xml:space="preserve">Hatenna</x:t>
        </x:is>
      </x:c>
      <x:c r="E860" s="5" t="n">
        <x:v>8</x:v>
      </x:c>
      <x:c r="F860" s="5" t="inlineStr">
        <x:is>
          <x:t xml:space="preserve">에스퍼</x:t>
        </x:is>
      </x:c>
      <x:c r="G860" s="5" t="inlineStr">
        <x:is>
          <x:t xml:space="preserve"/>
        </x:is>
      </x:c>
      <x:c r="H860" s="6" t="n">
        <x:v>3.4</x:v>
      </x:c>
      <x:c r="I860" s="5" t="n">
        <x:v>42</x:v>
      </x:c>
      <x:c r="J860" s="5" t="inlineStr">
        <x:is>
          <x:t xml:space="preserve">기본</x:t>
        </x:is>
      </x:c>
      <x:c r="K860" s="7" t="inlineStr">
        <x:is>
          <x:t xml:space="preserve">육상</x:t>
        </x:is>
      </x:c>
      <x:c r="L860" s="7" t="inlineStr">
        <x:is>
          <x:t xml:space="preserve">수목</x:t>
        </x:is>
      </x:c>
      <x:c r="M860" s="7" t="inlineStr">
        <x:is>
          <x:t xml:space="preserve">온대</x:t>
        </x:is>
      </x:c>
      <x:c r="N860" s="7" t="inlineStr">
        <x:is>
          <x:t xml:space="preserve">보통</x:t>
        </x:is>
      </x:c>
      <x:c r="O860" s="7" t="inlineStr">
        <x:is>
          <x:t xml:space="preserve">무관</x:t>
        </x:is>
      </x:c>
      <x:c r="P860" s="7" t="inlineStr">
        <x:is>
          <x:t xml:space="preserve">무관</x:t>
        </x:is>
      </x:c>
      <x:c r="Q860" s="7" t="inlineStr">
        <x:is>
          <x:t xml:space="preserve">보통</x:t>
        </x:is>
      </x:c>
      <x:c r="R860" s="7" t="inlineStr">
        <x:is>
          <x:t xml:space="preserve">없음</x:t>
        </x:is>
      </x:c>
      <x:c r="S860" s="7" t="inlineStr">
        <x:is>
          <x:t xml:space="preserve">숲</x:t>
        </x:is>
      </x:c>
      <x:c r="T860" s="7" t="inlineStr">
        <x:is>
          <x:t xml:space="preserve"/>
        </x:is>
      </x:c>
      <x:c r="U860" s="8" t="str">
        <x:f>INDEX('서식지_점수'!$E$4:$P$4,1,MATCH(MAX('서식지_점수'!E860:P860),'서식지_점수'!E860:P860,0))</x:f>
        <x:v>평원</x:v>
      </x:c>
      <x:c r="V860" s="8" t="str">
        <x:f>IF(T860&lt;&gt;"",T860,U860)</x:f>
        <x:v>평원</x:v>
      </x:c>
      <x:c r="W860" s="8" t="str">
        <x:f>IFERROR(INDEX('서식지_점수'!$E$4:$P$4,1,MATCH(MAXIFS('서식지_점수'!E860:P860,'서식지_점수'!E860:P860,"&lt;"&amp;MAX('서식지_점수'!E860:P860)),'서식지_점수'!E860:P860,0)),"")</x:f>
        <x:v>숲</x:v>
      </x:c>
      <x:c r="X860" s="8" t="str">
        <x:f>IF(T860&lt;&gt;"","수동확정",IF(MAX('서식지_점수'!E860:P860)-LARGE('서식지_점수'!E860:P860,2)&gt;=15,"높음",IF(MAX('서식지_점수'!E860:P860)-LARGE('서식지_점수'!E860:P860,2)&gt;=8,"보통","검토필요")))</x:f>
        <x:v>검토필요</x:v>
      </x:c>
      <x:c r="Y860" s="9" t="n">
        <x:f>IF(Q860="전설",8,IF(Q860="희귀",7,IF(J860="기본",1,IF(J860="중간",3,IF(J860="최종",IF(I860="",5,IF(I860&lt;=20,3,IF(I860&lt;=35,4,IF(I860&lt;=50,6,7)))),IF(Q860="드묾",4,2))))))</x:f>
        <x:v>1</x:v>
      </x:c>
      <x:c r="Z860" s="5" t="inlineStr">
        <x:is>
          <x:t xml:space="preserve">#cobblemon:is_magical; #cobblemon:is_overworld; aether:skyroot_forest; aether:skyroot_woodland</x:t>
        </x:is>
      </x:c>
      <x:c r="AA860" s="5" t="inlineStr">
        <x:is>
          <x:t xml:space="preserve">common; uncommon</x:t>
        </x:is>
      </x:c>
      <x:c r="AB860" s="5" t="inlineStr">
        <x:is>
          <x:t xml:space="preserve">예</x:t>
        </x:is>
      </x:c>
      <x:c r="AC860" s="8" t="str">
        <x:f>IF(T860&lt;&gt;"","수동확정",IF(X860="검토필요","검토필요",IF(S860="","원본없음","초기완료")))</x:f>
        <x:v>검토필요</x:v>
      </x:c>
      <x:c r="AD860" s="7" t="inlineStr">
        <x:is>
          <x:t xml:space="preserve"/>
        </x:is>
      </x:c>
      <x:c r="AE860" s="5" t="inlineStr">
        <x:is>
          <x:t xml:space="preserve">.tmp/cobblemon-1.7.3-source/common/src/main/resources/data/cobblemon/species/generation8/hatenna.json</x:t>
        </x:is>
      </x:c>
      <x:c r="AF860" s="5" t="str">
        <x:f>"생활권|"&amp;K860</x:f>
        <x:v>생활권|육상</x:v>
      </x:c>
      <x:c r="AG860" s="5" t="str">
        <x:f>"지형|"&amp;L860</x:f>
        <x:v>지형|수목</x:v>
      </x:c>
      <x:c r="AH860" s="5" t="str">
        <x:f>"온도|"&amp;M860</x:f>
        <x:v>온도|온대</x:v>
      </x:c>
      <x:c r="AI860" s="5" t="str">
        <x:f>"습도|"&amp;N860</x:f>
        <x:v>습도|보통</x:v>
      </x:c>
      <x:c r="AJ860" s="5" t="str">
        <x:f>"날씨|"&amp;O860</x:f>
        <x:v>날씨|무관</x:v>
      </x:c>
      <x:c r="AK860" s="5" t="str">
        <x:f>"특수태그|"&amp;R860</x:f>
        <x:v>특수태그|없음</x:v>
      </x:c>
      <x:c r="AL860" s="5" t="str">
        <x:f>"원본서식지|"&amp;S860</x:f>
        <x:v>원본서식지|숲</x:v>
      </x:c>
      <x:c r="AM860" s="5" t="str">
        <x:f>"타입|"&amp;F860</x:f>
        <x:v>타입|에스퍼</x:v>
      </x:c>
      <x:c r="AN860" s="5" t="str">
        <x:f>"타입|"&amp;G860</x:f>
        <x:v>타입|</x:v>
      </x:c>
    </x:row>
    <x:row r="861" ht="24" customHeight="1">
      <x:c r="A861" s="5" t="n">
        <x:v>857</x:v>
      </x:c>
      <x:c r="B861" s="5" t="inlineStr">
        <x:is>
          <x:t xml:space="preserve">손지브림</x:t>
        </x:is>
      </x:c>
      <x:c r="C861" s="5" t="inlineStr">
        <x:is>
          <x:t xml:space="preserve">hattrem</x:t>
        </x:is>
      </x:c>
      <x:c r="D861" s="5" t="inlineStr">
        <x:is>
          <x:t xml:space="preserve">Hattrem</x:t>
        </x:is>
      </x:c>
      <x:c r="E861" s="5" t="n">
        <x:v>8</x:v>
      </x:c>
      <x:c r="F861" s="5" t="inlineStr">
        <x:is>
          <x:t xml:space="preserve">에스퍼</x:t>
        </x:is>
      </x:c>
      <x:c r="G861" s="5" t="inlineStr">
        <x:is>
          <x:t xml:space="preserve"/>
        </x:is>
      </x:c>
      <x:c r="H861" s="6" t="n">
        <x:v>4.8</x:v>
      </x:c>
      <x:c r="I861" s="5" t="n">
        <x:v>42</x:v>
      </x:c>
      <x:c r="J861" s="5" t="inlineStr">
        <x:is>
          <x:t xml:space="preserve">중간</x:t>
        </x:is>
      </x:c>
      <x:c r="K861" s="7" t="inlineStr">
        <x:is>
          <x:t xml:space="preserve">육상</x:t>
        </x:is>
      </x:c>
      <x:c r="L861" s="7" t="inlineStr">
        <x:is>
          <x:t xml:space="preserve">수목</x:t>
        </x:is>
      </x:c>
      <x:c r="M861" s="7" t="inlineStr">
        <x:is>
          <x:t xml:space="preserve">온대</x:t>
        </x:is>
      </x:c>
      <x:c r="N861" s="7" t="inlineStr">
        <x:is>
          <x:t xml:space="preserve">보통</x:t>
        </x:is>
      </x:c>
      <x:c r="O861" s="7" t="inlineStr">
        <x:is>
          <x:t xml:space="preserve">무관</x:t>
        </x:is>
      </x:c>
      <x:c r="P861" s="7" t="inlineStr">
        <x:is>
          <x:t xml:space="preserve">무관</x:t>
        </x:is>
      </x:c>
      <x:c r="Q861" s="7" t="inlineStr">
        <x:is>
          <x:t xml:space="preserve">보통</x:t>
        </x:is>
      </x:c>
      <x:c r="R861" s="7" t="inlineStr">
        <x:is>
          <x:t xml:space="preserve">없음</x:t>
        </x:is>
      </x:c>
      <x:c r="S861" s="7" t="inlineStr">
        <x:is>
          <x:t xml:space="preserve">숲</x:t>
        </x:is>
      </x:c>
      <x:c r="T861" s="7" t="inlineStr">
        <x:is>
          <x:t xml:space="preserve"/>
        </x:is>
      </x:c>
      <x:c r="U861" s="8" t="str">
        <x:f>INDEX('서식지_점수'!$E$4:$P$4,1,MATCH(MAX('서식지_점수'!E861:P861),'서식지_점수'!E861:P861,0))</x:f>
        <x:v>평원</x:v>
      </x:c>
      <x:c r="V861" s="8" t="str">
        <x:f>IF(T861&lt;&gt;"",T861,U861)</x:f>
        <x:v>평원</x:v>
      </x:c>
      <x:c r="W861" s="8" t="str">
        <x:f>IFERROR(INDEX('서식지_점수'!$E$4:$P$4,1,MATCH(MAXIFS('서식지_점수'!E861:P861,'서식지_점수'!E861:P861,"&lt;"&amp;MAX('서식지_점수'!E861:P861)),'서식지_점수'!E861:P861,0)),"")</x:f>
        <x:v>숲</x:v>
      </x:c>
      <x:c r="X861" s="8" t="str">
        <x:f>IF(T861&lt;&gt;"","수동확정",IF(MAX('서식지_점수'!E861:P861)-LARGE('서식지_점수'!E861:P861,2)&gt;=15,"높음",IF(MAX('서식지_점수'!E861:P861)-LARGE('서식지_점수'!E861:P861,2)&gt;=8,"보통","검토필요")))</x:f>
        <x:v>검토필요</x:v>
      </x:c>
      <x:c r="Y861" s="9" t="n">
        <x:f>IF(Q861="전설",8,IF(Q861="희귀",7,IF(J861="기본",1,IF(J861="중간",3,IF(J861="최종",IF(I861="",5,IF(I861&lt;=20,3,IF(I861&lt;=35,4,IF(I861&lt;=50,6,7)))),IF(Q861="드묾",4,2))))))</x:f>
        <x:v>3</x:v>
      </x:c>
      <x:c r="Z861" s="5" t="inlineStr">
        <x:is>
          <x:t xml:space="preserve">#cobblemon:is_magical; #cobblemon:is_overworld; aether:skyroot_forest; aether:skyroot_woodland</x:t>
        </x:is>
      </x:c>
      <x:c r="AA861" s="5" t="inlineStr">
        <x:is>
          <x:t xml:space="preserve">common; uncommon</x:t>
        </x:is>
      </x:c>
      <x:c r="AB861" s="5" t="inlineStr">
        <x:is>
          <x:t xml:space="preserve">예</x:t>
        </x:is>
      </x:c>
      <x:c r="AC861" s="8" t="str">
        <x:f>IF(T861&lt;&gt;"","수동확정",IF(X861="검토필요","검토필요",IF(S861="","원본없음","초기완료")))</x:f>
        <x:v>검토필요</x:v>
      </x:c>
      <x:c r="AD861" s="7" t="inlineStr">
        <x:is>
          <x:t xml:space="preserve"/>
        </x:is>
      </x:c>
      <x:c r="AE861" s="5" t="inlineStr">
        <x:is>
          <x:t xml:space="preserve">.tmp/cobblemon-1.7.3-source/common/src/main/resources/data/cobblemon/species/generation8/hattrem.json</x:t>
        </x:is>
      </x:c>
      <x:c r="AF861" s="5" t="str">
        <x:f>"생활권|"&amp;K861</x:f>
        <x:v>생활권|육상</x:v>
      </x:c>
      <x:c r="AG861" s="5" t="str">
        <x:f>"지형|"&amp;L861</x:f>
        <x:v>지형|수목</x:v>
      </x:c>
      <x:c r="AH861" s="5" t="str">
        <x:f>"온도|"&amp;M861</x:f>
        <x:v>온도|온대</x:v>
      </x:c>
      <x:c r="AI861" s="5" t="str">
        <x:f>"습도|"&amp;N861</x:f>
        <x:v>습도|보통</x:v>
      </x:c>
      <x:c r="AJ861" s="5" t="str">
        <x:f>"날씨|"&amp;O861</x:f>
        <x:v>날씨|무관</x:v>
      </x:c>
      <x:c r="AK861" s="5" t="str">
        <x:f>"특수태그|"&amp;R861</x:f>
        <x:v>특수태그|없음</x:v>
      </x:c>
      <x:c r="AL861" s="5" t="str">
        <x:f>"원본서식지|"&amp;S861</x:f>
        <x:v>원본서식지|숲</x:v>
      </x:c>
      <x:c r="AM861" s="5" t="str">
        <x:f>"타입|"&amp;F861</x:f>
        <x:v>타입|에스퍼</x:v>
      </x:c>
      <x:c r="AN861" s="5" t="str">
        <x:f>"타입|"&amp;G861</x:f>
        <x:v>타입|</x:v>
      </x:c>
    </x:row>
    <x:row r="862" ht="24" customHeight="1">
      <x:c r="A862" s="5" t="n">
        <x:v>858</x:v>
      </x:c>
      <x:c r="B862" s="5" t="inlineStr">
        <x:is>
          <x:t xml:space="preserve">브리무음</x:t>
        </x:is>
      </x:c>
      <x:c r="C862" s="5" t="inlineStr">
        <x:is>
          <x:t xml:space="preserve">hatterene</x:t>
        </x:is>
      </x:c>
      <x:c r="D862" s="5" t="inlineStr">
        <x:is>
          <x:t xml:space="preserve">Hatterene</x:t>
        </x:is>
      </x:c>
      <x:c r="E862" s="5" t="n">
        <x:v>8</x:v>
      </x:c>
      <x:c r="F862" s="5" t="inlineStr">
        <x:is>
          <x:t xml:space="preserve">에스퍼</x:t>
        </x:is>
      </x:c>
      <x:c r="G862" s="5" t="inlineStr">
        <x:is>
          <x:t xml:space="preserve">페어리</x:t>
        </x:is>
      </x:c>
      <x:c r="H862" s="6" t="n">
        <x:v>5.1</x:v>
      </x:c>
      <x:c r="I862" s="5" t="n">
        <x:v>42</x:v>
      </x:c>
      <x:c r="J862" s="5" t="inlineStr">
        <x:is>
          <x:t xml:space="preserve">최종</x:t>
        </x:is>
      </x:c>
      <x:c r="K862" s="7" t="inlineStr">
        <x:is>
          <x:t xml:space="preserve">육상</x:t>
        </x:is>
      </x:c>
      <x:c r="L862" s="7" t="inlineStr">
        <x:is>
          <x:t xml:space="preserve">수목</x:t>
        </x:is>
      </x:c>
      <x:c r="M862" s="7" t="inlineStr">
        <x:is>
          <x:t xml:space="preserve">온대</x:t>
        </x:is>
      </x:c>
      <x:c r="N862" s="7" t="inlineStr">
        <x:is>
          <x:t xml:space="preserve">보통</x:t>
        </x:is>
      </x:c>
      <x:c r="O862" s="7" t="inlineStr">
        <x:is>
          <x:t xml:space="preserve">무관</x:t>
        </x:is>
      </x:c>
      <x:c r="P862" s="7" t="inlineStr">
        <x:is>
          <x:t xml:space="preserve">무관</x:t>
        </x:is>
      </x:c>
      <x:c r="Q862" s="7" t="inlineStr">
        <x:is>
          <x:t xml:space="preserve">보통</x:t>
        </x:is>
      </x:c>
      <x:c r="R862" s="7" t="inlineStr">
        <x:is>
          <x:t xml:space="preserve">없음</x:t>
        </x:is>
      </x:c>
      <x:c r="S862" s="7" t="inlineStr">
        <x:is>
          <x:t xml:space="preserve">숲</x:t>
        </x:is>
      </x:c>
      <x:c r="T862" s="7" t="inlineStr">
        <x:is>
          <x:t xml:space="preserve"/>
        </x:is>
      </x:c>
      <x:c r="U862" s="8" t="str">
        <x:f>INDEX('서식지_점수'!$E$4:$P$4,1,MATCH(MAX('서식지_점수'!E862:P862),'서식지_점수'!E862:P862,0))</x:f>
        <x:v>평원</x:v>
      </x:c>
      <x:c r="V862" s="8" t="str">
        <x:f>IF(T862&lt;&gt;"",T862,U862)</x:f>
        <x:v>평원</x:v>
      </x:c>
      <x:c r="W862" s="8" t="str">
        <x:f>IFERROR(INDEX('서식지_점수'!$E$4:$P$4,1,MATCH(MAXIFS('서식지_점수'!E862:P862,'서식지_점수'!E862:P862,"&lt;"&amp;MAX('서식지_점수'!E862:P862)),'서식지_점수'!E862:P862,0)),"")</x:f>
        <x:v>숲</x:v>
      </x:c>
      <x:c r="X862" s="8" t="str">
        <x:f>IF(T862&lt;&gt;"","수동확정",IF(MAX('서식지_점수'!E862:P862)-LARGE('서식지_점수'!E862:P862,2)&gt;=15,"높음",IF(MAX('서식지_점수'!E862:P862)-LARGE('서식지_점수'!E862:P862,2)&gt;=8,"보통","검토필요")))</x:f>
        <x:v>검토필요</x:v>
      </x:c>
      <x:c r="Y862" s="9" t="n">
        <x:f>IF(Q862="전설",8,IF(Q862="희귀",7,IF(J862="기본",1,IF(J862="중간",3,IF(J862="최종",IF(I862="",5,IF(I862&lt;=20,3,IF(I862&lt;=35,4,IF(I862&lt;=50,6,7)))),IF(Q862="드묾",4,2))))))</x:f>
        <x:v>6</x:v>
      </x:c>
      <x:c r="Z862" s="5" t="inlineStr">
        <x:is>
          <x:t xml:space="preserve">#cobblemon:is_magical; #cobblemon:is_overworld; aether:skyroot_forest; aether:skyroot_woodland</x:t>
        </x:is>
      </x:c>
      <x:c r="AA862" s="5" t="inlineStr">
        <x:is>
          <x:t xml:space="preserve">common; uncommon</x:t>
        </x:is>
      </x:c>
      <x:c r="AB862" s="5" t="inlineStr">
        <x:is>
          <x:t xml:space="preserve">예</x:t>
        </x:is>
      </x:c>
      <x:c r="AC862" s="8" t="str">
        <x:f>IF(T862&lt;&gt;"","수동확정",IF(X862="검토필요","검토필요",IF(S862="","원본없음","초기완료")))</x:f>
        <x:v>검토필요</x:v>
      </x:c>
      <x:c r="AD862" s="7" t="inlineStr">
        <x:is>
          <x:t xml:space="preserve"/>
        </x:is>
      </x:c>
      <x:c r="AE862" s="5" t="inlineStr">
        <x:is>
          <x:t xml:space="preserve">.tmp/cobblemon-1.7.3-source/common/src/main/resources/data/cobblemon/species/generation8/hatterene.json</x:t>
        </x:is>
      </x:c>
      <x:c r="AF862" s="5" t="str">
        <x:f>"생활권|"&amp;K862</x:f>
        <x:v>생활권|육상</x:v>
      </x:c>
      <x:c r="AG862" s="5" t="str">
        <x:f>"지형|"&amp;L862</x:f>
        <x:v>지형|수목</x:v>
      </x:c>
      <x:c r="AH862" s="5" t="str">
        <x:f>"온도|"&amp;M862</x:f>
        <x:v>온도|온대</x:v>
      </x:c>
      <x:c r="AI862" s="5" t="str">
        <x:f>"습도|"&amp;N862</x:f>
        <x:v>습도|보통</x:v>
      </x:c>
      <x:c r="AJ862" s="5" t="str">
        <x:f>"날씨|"&amp;O862</x:f>
        <x:v>날씨|무관</x:v>
      </x:c>
      <x:c r="AK862" s="5" t="str">
        <x:f>"특수태그|"&amp;R862</x:f>
        <x:v>특수태그|없음</x:v>
      </x:c>
      <x:c r="AL862" s="5" t="str">
        <x:f>"원본서식지|"&amp;S862</x:f>
        <x:v>원본서식지|숲</x:v>
      </x:c>
      <x:c r="AM862" s="5" t="str">
        <x:f>"타입|"&amp;F862</x:f>
        <x:v>타입|에스퍼</x:v>
      </x:c>
      <x:c r="AN862" s="5" t="str">
        <x:f>"타입|"&amp;G862</x:f>
        <x:v>타입|페어리</x:v>
      </x:c>
    </x:row>
    <x:row r="863" ht="24" customHeight="1">
      <x:c r="A863" s="5" t="n">
        <x:v>859</x:v>
      </x:c>
      <x:c r="B863" s="5" t="inlineStr">
        <x:is>
          <x:t xml:space="preserve">메롱꿍</x:t>
        </x:is>
      </x:c>
      <x:c r="C863" s="5" t="inlineStr">
        <x:is>
          <x:t xml:space="preserve">impidimp</x:t>
        </x:is>
      </x:c>
      <x:c r="D863" s="5" t="inlineStr">
        <x:is>
          <x:t xml:space="preserve">Impidimp</x:t>
        </x:is>
      </x:c>
      <x:c r="E863" s="5" t="n">
        <x:v>8</x:v>
      </x:c>
      <x:c r="F863" s="5" t="inlineStr">
        <x:is>
          <x:t xml:space="preserve">악</x:t>
        </x:is>
      </x:c>
      <x:c r="G863" s="5" t="inlineStr">
        <x:is>
          <x:t xml:space="preserve">페어리</x:t>
        </x:is>
      </x:c>
      <x:c r="H863" s="6" t="n">
        <x:v>5.5</x:v>
      </x:c>
      <x:c r="I863" s="5" t="n">
        <x:v>42</x:v>
      </x:c>
      <x:c r="J863" s="5" t="inlineStr">
        <x:is>
          <x:t xml:space="preserve">기본</x:t>
        </x:is>
      </x:c>
      <x:c r="K863" s="7" t="inlineStr">
        <x:is>
          <x:t xml:space="preserve">육상</x:t>
        </x:is>
      </x:c>
      <x:c r="L863" s="7" t="inlineStr">
        <x:is>
          <x:t xml:space="preserve">화산</x:t>
        </x:is>
      </x:c>
      <x:c r="M863" s="7" t="inlineStr">
        <x:is>
          <x:t xml:space="preserve">고온</x:t>
        </x:is>
      </x:c>
      <x:c r="N863" s="7" t="inlineStr">
        <x:is>
          <x:t xml:space="preserve">건조</x:t>
        </x:is>
      </x:c>
      <x:c r="O863" s="7" t="inlineStr">
        <x:is>
          <x:t xml:space="preserve">맑음</x:t>
        </x:is>
      </x:c>
      <x:c r="P863" s="7" t="inlineStr">
        <x:is>
          <x:t xml:space="preserve">밤</x:t>
        </x:is>
      </x:c>
      <x:c r="Q863" s="7" t="inlineStr">
        <x:is>
          <x:t xml:space="preserve">흔함</x:t>
        </x:is>
      </x:c>
      <x:c r="R863" s="7" t="inlineStr">
        <x:is>
          <x:t xml:space="preserve">영체</x:t>
        </x:is>
      </x:c>
      <x:c r="S863" s="7" t="inlineStr">
        <x:is>
          <x:t xml:space="preserve">화산</x:t>
        </x:is>
      </x:c>
      <x:c r="T863" s="7" t="inlineStr">
        <x:is>
          <x:t xml:space="preserve"/>
        </x:is>
      </x:c>
      <x:c r="U863" s="8" t="str">
        <x:f>INDEX('서식지_점수'!$E$4:$P$4,1,MATCH(MAX('서식지_점수'!E863:P863),'서식지_점수'!E863:P863,0))</x:f>
        <x:v>평원</x:v>
      </x:c>
      <x:c r="V863" s="8" t="str">
        <x:f>IF(T863&lt;&gt;"",T863,U863)</x:f>
        <x:v>평원</x:v>
      </x:c>
      <x:c r="W863" s="8" t="str">
        <x:f>IFERROR(INDEX('서식지_점수'!$E$4:$P$4,1,MATCH(MAXIFS('서식지_점수'!E863:P863,'서식지_점수'!E863:P863,"&lt;"&amp;MAX('서식지_점수'!E863:P863)),'서식지_점수'!E863:P863,0)),"")</x:f>
        <x:v>숲</x:v>
      </x:c>
      <x:c r="X863" s="8" t="str">
        <x:f>IF(T863&lt;&gt;"","수동확정",IF(MAX('서식지_점수'!E863:P863)-LARGE('서식지_점수'!E863:P863,2)&gt;=15,"높음",IF(MAX('서식지_점수'!E863:P863)-LARGE('서식지_점수'!E863:P863,2)&gt;=8,"보통","검토필요")))</x:f>
        <x:v>검토필요</x:v>
      </x:c>
      <x:c r="Y863" s="9" t="n">
        <x:f>IF(Q863="전설",8,IF(Q863="희귀",7,IF(J863="기본",1,IF(J863="중간",3,IF(J863="최종",IF(I863="",5,IF(I863&lt;=20,3,IF(I863&lt;=35,4,IF(I863&lt;=50,6,7)))),IF(Q863="드묾",4,2))))))</x:f>
        <x:v>1</x:v>
      </x:c>
      <x:c r="Z863" s="5" t="inlineStr">
        <x:is>
          <x:t xml:space="preserve">#cobblemon:is_magical; #cobblemon:is_spooky; #cobblemon:nether/is_forest; #cobblemon:nether/is_warped</x:t>
        </x:is>
      </x:c>
      <x:c r="AA863" s="5" t="inlineStr">
        <x:is>
          <x:t xml:space="preserve">common</x:t>
        </x:is>
      </x:c>
      <x:c r="AB863" s="5" t="inlineStr">
        <x:is>
          <x:t xml:space="preserve">예</x:t>
        </x:is>
      </x:c>
      <x:c r="AC863" s="8" t="str">
        <x:f>IF(T863&lt;&gt;"","수동확정",IF(X863="검토필요","검토필요",IF(S863="","원본없음","초기완료")))</x:f>
        <x:v>검토필요</x:v>
      </x:c>
      <x:c r="AD863" s="7" t="inlineStr">
        <x:is>
          <x:t xml:space="preserve"/>
        </x:is>
      </x:c>
      <x:c r="AE863" s="5" t="inlineStr">
        <x:is>
          <x:t xml:space="preserve">.tmp/cobblemon-1.7.3-source/common/src/main/resources/data/cobblemon/species/generation8/impidimp.json</x:t>
        </x:is>
      </x:c>
      <x:c r="AF863" s="5" t="str">
        <x:f>"생활권|"&amp;K863</x:f>
        <x:v>생활권|육상</x:v>
      </x:c>
      <x:c r="AG863" s="5" t="str">
        <x:f>"지형|"&amp;L863</x:f>
        <x:v>지형|화산</x:v>
      </x:c>
      <x:c r="AH863" s="5" t="str">
        <x:f>"온도|"&amp;M863</x:f>
        <x:v>온도|고온</x:v>
      </x:c>
      <x:c r="AI863" s="5" t="str">
        <x:f>"습도|"&amp;N863</x:f>
        <x:v>습도|건조</x:v>
      </x:c>
      <x:c r="AJ863" s="5" t="str">
        <x:f>"날씨|"&amp;O863</x:f>
        <x:v>날씨|맑음</x:v>
      </x:c>
      <x:c r="AK863" s="5" t="str">
        <x:f>"특수태그|"&amp;R863</x:f>
        <x:v>특수태그|영체</x:v>
      </x:c>
      <x:c r="AL863" s="5" t="str">
        <x:f>"원본서식지|"&amp;S863</x:f>
        <x:v>원본서식지|화산</x:v>
      </x:c>
      <x:c r="AM863" s="5" t="str">
        <x:f>"타입|"&amp;F863</x:f>
        <x:v>타입|악</x:v>
      </x:c>
      <x:c r="AN863" s="5" t="str">
        <x:f>"타입|"&amp;G863</x:f>
        <x:v>타입|페어리</x:v>
      </x:c>
    </x:row>
    <x:row r="864" ht="24" customHeight="1">
      <x:c r="A864" s="5" t="n">
        <x:v>860</x:v>
      </x:c>
      <x:c r="B864" s="5" t="inlineStr">
        <x:is>
          <x:t xml:space="preserve">쏘겨모</x:t>
        </x:is>
      </x:c>
      <x:c r="C864" s="5" t="inlineStr">
        <x:is>
          <x:t xml:space="preserve">morgrem</x:t>
        </x:is>
      </x:c>
      <x:c r="D864" s="5" t="inlineStr">
        <x:is>
          <x:t xml:space="preserve">Morgrem</x:t>
        </x:is>
      </x:c>
      <x:c r="E864" s="5" t="n">
        <x:v>8</x:v>
      </x:c>
      <x:c r="F864" s="5" t="inlineStr">
        <x:is>
          <x:t xml:space="preserve">악</x:t>
        </x:is>
      </x:c>
      <x:c r="G864" s="5" t="inlineStr">
        <x:is>
          <x:t xml:space="preserve">페어리</x:t>
        </x:is>
      </x:c>
      <x:c r="H864" s="6" t="n">
        <x:v>12.5</x:v>
      </x:c>
      <x:c r="I864" s="5" t="n">
        <x:v>42</x:v>
      </x:c>
      <x:c r="J864" s="5" t="inlineStr">
        <x:is>
          <x:t xml:space="preserve">중간</x:t>
        </x:is>
      </x:c>
      <x:c r="K864" s="7" t="inlineStr">
        <x:is>
          <x:t xml:space="preserve">육상</x:t>
        </x:is>
      </x:c>
      <x:c r="L864" s="7" t="inlineStr">
        <x:is>
          <x:t xml:space="preserve">화산</x:t>
        </x:is>
      </x:c>
      <x:c r="M864" s="7" t="inlineStr">
        <x:is>
          <x:t xml:space="preserve">고온</x:t>
        </x:is>
      </x:c>
      <x:c r="N864" s="7" t="inlineStr">
        <x:is>
          <x:t xml:space="preserve">건조</x:t>
        </x:is>
      </x:c>
      <x:c r="O864" s="7" t="inlineStr">
        <x:is>
          <x:t xml:space="preserve">맑음</x:t>
        </x:is>
      </x:c>
      <x:c r="P864" s="7" t="inlineStr">
        <x:is>
          <x:t xml:space="preserve">밤</x:t>
        </x:is>
      </x:c>
      <x:c r="Q864" s="7" t="inlineStr">
        <x:is>
          <x:t xml:space="preserve">흔함</x:t>
        </x:is>
      </x:c>
      <x:c r="R864" s="7" t="inlineStr">
        <x:is>
          <x:t xml:space="preserve">화산</x:t>
        </x:is>
      </x:c>
      <x:c r="S864" s="7" t="inlineStr">
        <x:is>
          <x:t xml:space="preserve">화산</x:t>
        </x:is>
      </x:c>
      <x:c r="T864" s="7" t="inlineStr">
        <x:is>
          <x:t xml:space="preserve"/>
        </x:is>
      </x:c>
      <x:c r="U864" s="8" t="str">
        <x:f>INDEX('서식지_점수'!$E$4:$P$4,1,MATCH(MAX('서식지_점수'!E864:P864),'서식지_점수'!E864:P864,0))</x:f>
        <x:v>평원</x:v>
      </x:c>
      <x:c r="V864" s="8" t="str">
        <x:f>IF(T864&lt;&gt;"",T864,U864)</x:f>
        <x:v>평원</x:v>
      </x:c>
      <x:c r="W864" s="8" t="str">
        <x:f>IFERROR(INDEX('서식지_점수'!$E$4:$P$4,1,MATCH(MAXIFS('서식지_점수'!E864:P864,'서식지_점수'!E864:P864,"&lt;"&amp;MAX('서식지_점수'!E864:P864)),'서식지_점수'!E864:P864,0)),"")</x:f>
        <x:v>숲</x:v>
      </x:c>
      <x:c r="X864" s="8" t="str">
        <x:f>IF(T864&lt;&gt;"","수동확정",IF(MAX('서식지_점수'!E864:P864)-LARGE('서식지_점수'!E864:P864,2)&gt;=15,"높음",IF(MAX('서식지_점수'!E864:P864)-LARGE('서식지_점수'!E864:P864,2)&gt;=8,"보통","검토필요")))</x:f>
        <x:v>검토필요</x:v>
      </x:c>
      <x:c r="Y864" s="9" t="n">
        <x:f>IF(Q864="전설",8,IF(Q864="희귀",7,IF(J864="기본",1,IF(J864="중간",3,IF(J864="최종",IF(I864="",5,IF(I864&lt;=20,3,IF(I864&lt;=35,4,IF(I864&lt;=50,6,7)))),IF(Q864="드묾",4,2))))))</x:f>
        <x:v>3</x:v>
      </x:c>
      <x:c r="Z864" s="5" t="inlineStr">
        <x:is>
          <x:t xml:space="preserve">#cobblemon:is_magical; #cobblemon:nether/is_forest; #cobblemon:nether/is_warped</x:t>
        </x:is>
      </x:c>
      <x:c r="AA864" s="5" t="inlineStr">
        <x:is>
          <x:t xml:space="preserve">common</x:t>
        </x:is>
      </x:c>
      <x:c r="AB864" s="5" t="inlineStr">
        <x:is>
          <x:t xml:space="preserve">예</x:t>
        </x:is>
      </x:c>
      <x:c r="AC864" s="8" t="str">
        <x:f>IF(T864&lt;&gt;"","수동확정",IF(X864="검토필요","검토필요",IF(S864="","원본없음","초기완료")))</x:f>
        <x:v>검토필요</x:v>
      </x:c>
      <x:c r="AD864" s="7" t="inlineStr">
        <x:is>
          <x:t xml:space="preserve"/>
        </x:is>
      </x:c>
      <x:c r="AE864" s="5" t="inlineStr">
        <x:is>
          <x:t xml:space="preserve">.tmp/cobblemon-1.7.3-source/common/src/main/resources/data/cobblemon/species/generation8/morgrem.json</x:t>
        </x:is>
      </x:c>
      <x:c r="AF864" s="5" t="str">
        <x:f>"생활권|"&amp;K864</x:f>
        <x:v>생활권|육상</x:v>
      </x:c>
      <x:c r="AG864" s="5" t="str">
        <x:f>"지형|"&amp;L864</x:f>
        <x:v>지형|화산</x:v>
      </x:c>
      <x:c r="AH864" s="5" t="str">
        <x:f>"온도|"&amp;M864</x:f>
        <x:v>온도|고온</x:v>
      </x:c>
      <x:c r="AI864" s="5" t="str">
        <x:f>"습도|"&amp;N864</x:f>
        <x:v>습도|건조</x:v>
      </x:c>
      <x:c r="AJ864" s="5" t="str">
        <x:f>"날씨|"&amp;O864</x:f>
        <x:v>날씨|맑음</x:v>
      </x:c>
      <x:c r="AK864" s="5" t="str">
        <x:f>"특수태그|"&amp;R864</x:f>
        <x:v>특수태그|화산</x:v>
      </x:c>
      <x:c r="AL864" s="5" t="str">
        <x:f>"원본서식지|"&amp;S864</x:f>
        <x:v>원본서식지|화산</x:v>
      </x:c>
      <x:c r="AM864" s="5" t="str">
        <x:f>"타입|"&amp;F864</x:f>
        <x:v>타입|악</x:v>
      </x:c>
      <x:c r="AN864" s="5" t="str">
        <x:f>"타입|"&amp;G864</x:f>
        <x:v>타입|페어리</x:v>
      </x:c>
    </x:row>
    <x:row r="865" ht="24" customHeight="1">
      <x:c r="A865" s="5" t="n">
        <x:v>861</x:v>
      </x:c>
      <x:c r="B865" s="5" t="inlineStr">
        <x:is>
          <x:t xml:space="preserve">오롱털</x:t>
        </x:is>
      </x:c>
      <x:c r="C865" s="5" t="inlineStr">
        <x:is>
          <x:t xml:space="preserve">grimmsnarl</x:t>
        </x:is>
      </x:c>
      <x:c r="D865" s="5" t="inlineStr">
        <x:is>
          <x:t xml:space="preserve">Grimmsnarl</x:t>
        </x:is>
      </x:c>
      <x:c r="E865" s="5" t="n">
        <x:v>8</x:v>
      </x:c>
      <x:c r="F865" s="5" t="inlineStr">
        <x:is>
          <x:t xml:space="preserve">악</x:t>
        </x:is>
      </x:c>
      <x:c r="G865" s="5" t="inlineStr">
        <x:is>
          <x:t xml:space="preserve">페어리</x:t>
        </x:is>
      </x:c>
      <x:c r="H865" s="6" t="n">
        <x:v>61</x:v>
      </x:c>
      <x:c r="I865" s="5" t="n">
        <x:v>42</x:v>
      </x:c>
      <x:c r="J865" s="5" t="inlineStr">
        <x:is>
          <x:t xml:space="preserve">최종</x:t>
        </x:is>
      </x:c>
      <x:c r="K865" s="7" t="inlineStr">
        <x:is>
          <x:t xml:space="preserve">육상</x:t>
        </x:is>
      </x:c>
      <x:c r="L865" s="7" t="inlineStr">
        <x:is>
          <x:t xml:space="preserve">화산</x:t>
        </x:is>
      </x:c>
      <x:c r="M865" s="7" t="inlineStr">
        <x:is>
          <x:t xml:space="preserve">고온</x:t>
        </x:is>
      </x:c>
      <x:c r="N865" s="7" t="inlineStr">
        <x:is>
          <x:t xml:space="preserve">건조</x:t>
        </x:is>
      </x:c>
      <x:c r="O865" s="7" t="inlineStr">
        <x:is>
          <x:t xml:space="preserve">맑음</x:t>
        </x:is>
      </x:c>
      <x:c r="P865" s="7" t="inlineStr">
        <x:is>
          <x:t xml:space="preserve">밤</x:t>
        </x:is>
      </x:c>
      <x:c r="Q865" s="7" t="inlineStr">
        <x:is>
          <x:t xml:space="preserve">흔함</x:t>
        </x:is>
      </x:c>
      <x:c r="R865" s="7" t="inlineStr">
        <x:is>
          <x:t xml:space="preserve">화산</x:t>
        </x:is>
      </x:c>
      <x:c r="S865" s="7" t="inlineStr">
        <x:is>
          <x:t xml:space="preserve">화산</x:t>
        </x:is>
      </x:c>
      <x:c r="T865" s="7" t="inlineStr">
        <x:is>
          <x:t xml:space="preserve"/>
        </x:is>
      </x:c>
      <x:c r="U865" s="8" t="str">
        <x:f>INDEX('서식지_점수'!$E$4:$P$4,1,MATCH(MAX('서식지_점수'!E865:P865),'서식지_점수'!E865:P865,0))</x:f>
        <x:v>평원</x:v>
      </x:c>
      <x:c r="V865" s="8" t="str">
        <x:f>IF(T865&lt;&gt;"",T865,U865)</x:f>
        <x:v>평원</x:v>
      </x:c>
      <x:c r="W865" s="8" t="str">
        <x:f>IFERROR(INDEX('서식지_점수'!$E$4:$P$4,1,MATCH(MAXIFS('서식지_점수'!E865:P865,'서식지_점수'!E865:P865,"&lt;"&amp;MAX('서식지_점수'!E865:P865)),'서식지_점수'!E865:P865,0)),"")</x:f>
        <x:v>숲</x:v>
      </x:c>
      <x:c r="X865" s="8" t="str">
        <x:f>IF(T865&lt;&gt;"","수동확정",IF(MAX('서식지_점수'!E865:P865)-LARGE('서식지_점수'!E865:P865,2)&gt;=15,"높음",IF(MAX('서식지_점수'!E865:P865)-LARGE('서식지_점수'!E865:P865,2)&gt;=8,"보통","검토필요")))</x:f>
        <x:v>검토필요</x:v>
      </x:c>
      <x:c r="Y865" s="9" t="n">
        <x:f>IF(Q865="전설",8,IF(Q865="희귀",7,IF(J865="기본",1,IF(J865="중간",3,IF(J865="최종",IF(I865="",5,IF(I865&lt;=20,3,IF(I865&lt;=35,4,IF(I865&lt;=50,6,7)))),IF(Q865="드묾",4,2))))))</x:f>
        <x:v>6</x:v>
      </x:c>
      <x:c r="Z865" s="5" t="inlineStr">
        <x:is>
          <x:t xml:space="preserve">#cobblemon:is_magical; #cobblemon:nether/is_forest; #cobblemon:nether/is_warped</x:t>
        </x:is>
      </x:c>
      <x:c r="AA865" s="5" t="inlineStr">
        <x:is>
          <x:t xml:space="preserve">common</x:t>
        </x:is>
      </x:c>
      <x:c r="AB865" s="5" t="inlineStr">
        <x:is>
          <x:t xml:space="preserve">예</x:t>
        </x:is>
      </x:c>
      <x:c r="AC865" s="8" t="str">
        <x:f>IF(T865&lt;&gt;"","수동확정",IF(X865="검토필요","검토필요",IF(S865="","원본없음","초기완료")))</x:f>
        <x:v>검토필요</x:v>
      </x:c>
      <x:c r="AD865" s="7" t="inlineStr">
        <x:is>
          <x:t xml:space="preserve"/>
        </x:is>
      </x:c>
      <x:c r="AE865" s="5" t="inlineStr">
        <x:is>
          <x:t xml:space="preserve">.tmp/cobblemon-1.7.3-source/common/src/main/resources/data/cobblemon/species/generation8/grimmsnarl.json</x:t>
        </x:is>
      </x:c>
      <x:c r="AF865" s="5" t="str">
        <x:f>"생활권|"&amp;K865</x:f>
        <x:v>생활권|육상</x:v>
      </x:c>
      <x:c r="AG865" s="5" t="str">
        <x:f>"지형|"&amp;L865</x:f>
        <x:v>지형|화산</x:v>
      </x:c>
      <x:c r="AH865" s="5" t="str">
        <x:f>"온도|"&amp;M865</x:f>
        <x:v>온도|고온</x:v>
      </x:c>
      <x:c r="AI865" s="5" t="str">
        <x:f>"습도|"&amp;N865</x:f>
        <x:v>습도|건조</x:v>
      </x:c>
      <x:c r="AJ865" s="5" t="str">
        <x:f>"날씨|"&amp;O865</x:f>
        <x:v>날씨|맑음</x:v>
      </x:c>
      <x:c r="AK865" s="5" t="str">
        <x:f>"특수태그|"&amp;R865</x:f>
        <x:v>특수태그|화산</x:v>
      </x:c>
      <x:c r="AL865" s="5" t="str">
        <x:f>"원본서식지|"&amp;S865</x:f>
        <x:v>원본서식지|화산</x:v>
      </x:c>
      <x:c r="AM865" s="5" t="str">
        <x:f>"타입|"&amp;F865</x:f>
        <x:v>타입|악</x:v>
      </x:c>
      <x:c r="AN865" s="5" t="str">
        <x:f>"타입|"&amp;G865</x:f>
        <x:v>타입|페어리</x:v>
      </x:c>
    </x:row>
    <x:row r="866" ht="24" customHeight="1">
      <x:c r="A866" s="5" t="n">
        <x:v>862</x:v>
      </x:c>
      <x:c r="B866" s="5" t="inlineStr">
        <x:is>
          <x:t xml:space="preserve">가로막구리</x:t>
        </x:is>
      </x:c>
      <x:c r="C866" s="5" t="inlineStr">
        <x:is>
          <x:t xml:space="preserve">obstagoon</x:t>
        </x:is>
      </x:c>
      <x:c r="D866" s="5" t="inlineStr">
        <x:is>
          <x:t xml:space="preserve">Obstagoon</x:t>
        </x:is>
      </x:c>
      <x:c r="E866" s="5" t="n">
        <x:v>8</x:v>
      </x:c>
      <x:c r="F866" s="5" t="inlineStr">
        <x:is>
          <x:t xml:space="preserve">악</x:t>
        </x:is>
      </x:c>
      <x:c r="G866" s="5" t="inlineStr">
        <x:is>
          <x:t xml:space="preserve">노말</x:t>
        </x:is>
      </x:c>
      <x:c r="H866" s="6" t="n">
        <x:v>46</x:v>
      </x:c>
      <x:c r="I866" s="5" t="n">
        <x:v>20</x:v>
      </x:c>
      <x:c r="J866" s="5" t="inlineStr">
        <x:is>
          <x:t xml:space="preserve">최종</x:t>
        </x:is>
      </x:c>
      <x:c r="K866" s="7" t="inlineStr">
        <x:is>
          <x:t xml:space="preserve">육상</x:t>
        </x:is>
      </x:c>
      <x:c r="L866" s="7" t="inlineStr">
        <x:is>
          <x:t xml:space="preserve">수목</x:t>
        </x:is>
      </x:c>
      <x:c r="M866" s="7" t="inlineStr">
        <x:is>
          <x:t xml:space="preserve">서늘</x:t>
        </x:is>
      </x:c>
      <x:c r="N866" s="7" t="inlineStr">
        <x:is>
          <x:t xml:space="preserve">보통</x:t>
        </x:is>
      </x:c>
      <x:c r="O866" s="7" t="inlineStr">
        <x:is>
          <x:t xml:space="preserve">무관</x:t>
        </x:is>
      </x:c>
      <x:c r="P866" s="7" t="inlineStr">
        <x:is>
          <x:t xml:space="preserve">밤</x:t>
        </x:is>
      </x:c>
      <x:c r="Q866" s="7" t="inlineStr">
        <x:is>
          <x:t xml:space="preserve">흔함</x:t>
        </x:is>
      </x:c>
      <x:c r="R866" s="7" t="inlineStr">
        <x:is>
          <x:t xml:space="preserve">없음</x:t>
        </x:is>
      </x:c>
      <x:c r="S866" s="7" t="inlineStr">
        <x:is>
          <x:t xml:space="preserve">숲</x:t>
        </x:is>
      </x:c>
      <x:c r="T866" s="7" t="inlineStr">
        <x:is>
          <x:t xml:space="preserve"/>
        </x:is>
      </x:c>
      <x:c r="U866" s="8" t="str">
        <x:f>INDEX('서식지_점수'!$E$4:$P$4,1,MATCH(MAX('서식지_점수'!E866:P866),'서식지_점수'!E866:P866,0))</x:f>
        <x:v>평원</x:v>
      </x:c>
      <x:c r="V866" s="8" t="str">
        <x:f>IF(T866&lt;&gt;"",T866,U866)</x:f>
        <x:v>평원</x:v>
      </x:c>
      <x:c r="W866" s="8" t="str">
        <x:f>IFERROR(INDEX('서식지_점수'!$E$4:$P$4,1,MATCH(MAXIFS('서식지_점수'!E866:P866,'서식지_점수'!E866:P866,"&lt;"&amp;MAX('서식지_점수'!E866:P866)),'서식지_점수'!E866:P866,0)),"")</x:f>
        <x:v>숲</x:v>
      </x:c>
      <x:c r="X866" s="8" t="str">
        <x:f>IF(T866&lt;&gt;"","수동확정",IF(MAX('서식지_점수'!E866:P866)-LARGE('서식지_점수'!E866:P866,2)&gt;=15,"높음",IF(MAX('서식지_점수'!E866:P866)-LARGE('서식지_점수'!E866:P866,2)&gt;=8,"보통","검토필요")))</x:f>
        <x:v>검토필요</x:v>
      </x:c>
      <x:c r="Y866" s="9" t="n">
        <x:f>IF(Q866="전설",8,IF(Q866="희귀",7,IF(J866="기본",1,IF(J866="중간",3,IF(J866="최종",IF(I866="",5,IF(I866&lt;=20,3,IF(I866&lt;=35,4,IF(I866&lt;=50,6,7)))),IF(Q866="드묾",4,2))))))</x:f>
        <x:v>3</x:v>
      </x:c>
      <x:c r="Z866" s="5" t="inlineStr">
        <x:is>
          <x:t xml:space="preserve">#cobblemon:is_taiga</x:t>
        </x:is>
      </x:c>
      <x:c r="AA866" s="5" t="inlineStr">
        <x:is>
          <x:t xml:space="preserve">common</x:t>
        </x:is>
      </x:c>
      <x:c r="AB866" s="5" t="inlineStr">
        <x:is>
          <x:t xml:space="preserve">예</x:t>
        </x:is>
      </x:c>
      <x:c r="AC866" s="8" t="str">
        <x:f>IF(T866&lt;&gt;"","수동확정",IF(X866="검토필요","검토필요",IF(S866="","원본없음","초기완료")))</x:f>
        <x:v>검토필요</x:v>
      </x:c>
      <x:c r="AD866" s="7" t="inlineStr">
        <x:is>
          <x:t xml:space="preserve"/>
        </x:is>
      </x:c>
      <x:c r="AE866" s="5" t="inlineStr">
        <x:is>
          <x:t xml:space="preserve">.tmp/cobblemon-1.7.3-source/common/src/main/resources/data/cobblemon/species/generation8/obstagoon.json</x:t>
        </x:is>
      </x:c>
      <x:c r="AF866" s="5" t="str">
        <x:f>"생활권|"&amp;K866</x:f>
        <x:v>생활권|육상</x:v>
      </x:c>
      <x:c r="AG866" s="5" t="str">
        <x:f>"지형|"&amp;L866</x:f>
        <x:v>지형|수목</x:v>
      </x:c>
      <x:c r="AH866" s="5" t="str">
        <x:f>"온도|"&amp;M866</x:f>
        <x:v>온도|서늘</x:v>
      </x:c>
      <x:c r="AI866" s="5" t="str">
        <x:f>"습도|"&amp;N866</x:f>
        <x:v>습도|보통</x:v>
      </x:c>
      <x:c r="AJ866" s="5" t="str">
        <x:f>"날씨|"&amp;O866</x:f>
        <x:v>날씨|무관</x:v>
      </x:c>
      <x:c r="AK866" s="5" t="str">
        <x:f>"특수태그|"&amp;R866</x:f>
        <x:v>특수태그|없음</x:v>
      </x:c>
      <x:c r="AL866" s="5" t="str">
        <x:f>"원본서식지|"&amp;S866</x:f>
        <x:v>원본서식지|숲</x:v>
      </x:c>
      <x:c r="AM866" s="5" t="str">
        <x:f>"타입|"&amp;F866</x:f>
        <x:v>타입|악</x:v>
      </x:c>
      <x:c r="AN866" s="5" t="str">
        <x:f>"타입|"&amp;G866</x:f>
        <x:v>타입|노말</x:v>
      </x:c>
    </x:row>
    <x:row r="867" ht="24" customHeight="1">
      <x:c r="A867" s="5" t="n">
        <x:v>863</x:v>
      </x:c>
      <x:c r="B867" s="5" t="inlineStr">
        <x:is>
          <x:t xml:space="preserve">나이킹</x:t>
        </x:is>
      </x:c>
      <x:c r="C867" s="5" t="inlineStr">
        <x:is>
          <x:t xml:space="preserve">perrserker</x:t>
        </x:is>
      </x:c>
      <x:c r="D867" s="5" t="inlineStr">
        <x:is>
          <x:t xml:space="preserve">Perrserker</x:t>
        </x:is>
      </x:c>
      <x:c r="E867" s="5" t="n">
        <x:v>8</x:v>
      </x:c>
      <x:c r="F867" s="5" t="inlineStr">
        <x:is>
          <x:t xml:space="preserve">강철</x:t>
        </x:is>
      </x:c>
      <x:c r="G867" s="5" t="inlineStr">
        <x:is>
          <x:t xml:space="preserve"/>
        </x:is>
      </x:c>
      <x:c r="H867" s="6" t="n">
        <x:v>28</x:v>
      </x:c>
      <x:c r="I867" s="5" t="n">
        <x:v>28</x:v>
      </x:c>
      <x:c r="J867" s="5" t="inlineStr">
        <x:is>
          <x:t xml:space="preserve">최종</x:t>
        </x:is>
      </x:c>
      <x:c r="K867" s="7" t="inlineStr">
        <x:is>
          <x:t xml:space="preserve">육상</x:t>
        </x:is>
      </x:c>
      <x:c r="L867" s="7" t="inlineStr">
        <x:is>
          <x:t xml:space="preserve">수목</x:t>
        </x:is>
      </x:c>
      <x:c r="M867" s="7" t="inlineStr">
        <x:is>
          <x:t xml:space="preserve">서늘</x:t>
        </x:is>
      </x:c>
      <x:c r="N867" s="7" t="inlineStr">
        <x:is>
          <x:t xml:space="preserve">보통</x:t>
        </x:is>
      </x:c>
      <x:c r="O867" s="7" t="inlineStr">
        <x:is>
          <x:t xml:space="preserve">무관</x:t>
        </x:is>
      </x:c>
      <x:c r="P867" s="7" t="inlineStr">
        <x:is>
          <x:t xml:space="preserve">무관</x:t>
        </x:is>
      </x:c>
      <x:c r="Q867" s="7" t="inlineStr">
        <x:is>
          <x:t xml:space="preserve">흔함</x:t>
        </x:is>
      </x:c>
      <x:c r="R867" s="7" t="inlineStr">
        <x:is>
          <x:t xml:space="preserve">없음</x:t>
        </x:is>
      </x:c>
      <x:c r="S867" s="7" t="inlineStr">
        <x:is>
          <x:t xml:space="preserve">숲</x:t>
        </x:is>
      </x:c>
      <x:c r="T867" s="7" t="inlineStr">
        <x:is>
          <x:t xml:space="preserve"/>
        </x:is>
      </x:c>
      <x:c r="U867" s="8" t="str">
        <x:f>INDEX('서식지_점수'!$E$4:$P$4,1,MATCH(MAX('서식지_점수'!E867:P867),'서식지_점수'!E867:P867,0))</x:f>
        <x:v>평원</x:v>
      </x:c>
      <x:c r="V867" s="8" t="str">
        <x:f>IF(T867&lt;&gt;"",T867,U867)</x:f>
        <x:v>평원</x:v>
      </x:c>
      <x:c r="W867" s="8" t="str">
        <x:f>IFERROR(INDEX('서식지_점수'!$E$4:$P$4,1,MATCH(MAXIFS('서식지_점수'!E867:P867,'서식지_점수'!E867:P867,"&lt;"&amp;MAX('서식지_점수'!E867:P867)),'서식지_점수'!E867:P867,0)),"")</x:f>
        <x:v>숲</x:v>
      </x:c>
      <x:c r="X867" s="8" t="str">
        <x:f>IF(T867&lt;&gt;"","수동확정",IF(MAX('서식지_점수'!E867:P867)-LARGE('서식지_점수'!E867:P867,2)&gt;=15,"높음",IF(MAX('서식지_점수'!E867:P867)-LARGE('서식지_점수'!E867:P867,2)&gt;=8,"보통","검토필요")))</x:f>
        <x:v>검토필요</x:v>
      </x:c>
      <x:c r="Y867" s="9" t="n">
        <x:f>IF(Q867="전설",8,IF(Q867="희귀",7,IF(J867="기본",1,IF(J867="중간",3,IF(J867="최종",IF(I867="",5,IF(I867&lt;=20,3,IF(I867&lt;=35,4,IF(I867&lt;=50,6,7)))),IF(Q867="드묾",4,2))))))</x:f>
        <x:v>4</x:v>
      </x:c>
      <x:c r="Z867" s="5" t="inlineStr">
        <x:is>
          <x:t xml:space="preserve">#cobblemon:is_freezing; #cobblemon:is_taiga</x:t>
        </x:is>
      </x:c>
      <x:c r="AA867" s="5" t="inlineStr">
        <x:is>
          <x:t xml:space="preserve">common</x:t>
        </x:is>
      </x:c>
      <x:c r="AB867" s="5" t="inlineStr">
        <x:is>
          <x:t xml:space="preserve">예</x:t>
        </x:is>
      </x:c>
      <x:c r="AC867" s="8" t="str">
        <x:f>IF(T867&lt;&gt;"","수동확정",IF(X867="검토필요","검토필요",IF(S867="","원본없음","초기완료")))</x:f>
        <x:v>검토필요</x:v>
      </x:c>
      <x:c r="AD867" s="7" t="inlineStr">
        <x:is>
          <x:t xml:space="preserve"/>
        </x:is>
      </x:c>
      <x:c r="AE867" s="5" t="inlineStr">
        <x:is>
          <x:t xml:space="preserve">.tmp/cobblemon-1.7.3-source/common/src/main/resources/data/cobblemon/species/generation8/perrserker.json</x:t>
        </x:is>
      </x:c>
      <x:c r="AF867" s="5" t="str">
        <x:f>"생활권|"&amp;K867</x:f>
        <x:v>생활권|육상</x:v>
      </x:c>
      <x:c r="AG867" s="5" t="str">
        <x:f>"지형|"&amp;L867</x:f>
        <x:v>지형|수목</x:v>
      </x:c>
      <x:c r="AH867" s="5" t="str">
        <x:f>"온도|"&amp;M867</x:f>
        <x:v>온도|서늘</x:v>
      </x:c>
      <x:c r="AI867" s="5" t="str">
        <x:f>"습도|"&amp;N867</x:f>
        <x:v>습도|보통</x:v>
      </x:c>
      <x:c r="AJ867" s="5" t="str">
        <x:f>"날씨|"&amp;O867</x:f>
        <x:v>날씨|무관</x:v>
      </x:c>
      <x:c r="AK867" s="5" t="str">
        <x:f>"특수태그|"&amp;R867</x:f>
        <x:v>특수태그|없음</x:v>
      </x:c>
      <x:c r="AL867" s="5" t="str">
        <x:f>"원본서식지|"&amp;S867</x:f>
        <x:v>원본서식지|숲</x:v>
      </x:c>
      <x:c r="AM867" s="5" t="str">
        <x:f>"타입|"&amp;F867</x:f>
        <x:v>타입|강철</x:v>
      </x:c>
      <x:c r="AN867" s="5" t="str">
        <x:f>"타입|"&amp;G867</x:f>
        <x:v>타입|</x:v>
      </x:c>
    </x:row>
    <x:row r="868" ht="24" customHeight="1">
      <x:c r="A868" s="5" t="n">
        <x:v>864</x:v>
      </x:c>
      <x:c r="B868" s="5" t="inlineStr">
        <x:is>
          <x:t xml:space="preserve">산호르곤</x:t>
        </x:is>
      </x:c>
      <x:c r="C868" s="5" t="inlineStr">
        <x:is>
          <x:t xml:space="preserve">cursola</x:t>
        </x:is>
      </x:c>
      <x:c r="D868" s="5" t="inlineStr">
        <x:is>
          <x:t xml:space="preserve">Cursola</x:t>
        </x:is>
      </x:c>
      <x:c r="E868" s="5" t="n">
        <x:v>8</x:v>
      </x:c>
      <x:c r="F868" s="5" t="inlineStr">
        <x:is>
          <x:t xml:space="preserve">고스트</x:t>
        </x:is>
      </x:c>
      <x:c r="G868" s="5" t="inlineStr">
        <x:is>
          <x:t xml:space="preserve"/>
        </x:is>
      </x:c>
      <x:c r="H868" s="6" t="n">
        <x:v>0.4</x:v>
      </x:c>
      <x:c r="I868" s="5" t="n"/>
      <x:c r="J868" s="5" t="inlineStr">
        <x:is>
          <x:t xml:space="preserve">최종</x:t>
        </x:is>
      </x:c>
      <x:c r="K868" s="7" t="inlineStr">
        <x:is>
          <x:t xml:space="preserve">해양</x:t>
        </x:is>
      </x:c>
      <x:c r="L868" s="7" t="inlineStr">
        <x:is>
          <x:t xml:space="preserve">해안·해양</x:t>
        </x:is>
      </x:c>
      <x:c r="M868" s="7" t="inlineStr">
        <x:is>
          <x:t xml:space="preserve">온대</x:t>
        </x:is>
      </x:c>
      <x:c r="N868" s="7" t="inlineStr">
        <x:is>
          <x:t xml:space="preserve">수중</x:t>
        </x:is>
      </x:c>
      <x:c r="O868" s="7" t="inlineStr">
        <x:is>
          <x:t xml:space="preserve">비</x:t>
        </x:is>
      </x:c>
      <x:c r="P868" s="7" t="inlineStr">
        <x:is>
          <x:t xml:space="preserve">밤</x:t>
        </x:is>
      </x:c>
      <x:c r="Q868" s="7" t="inlineStr">
        <x:is>
          <x:t xml:space="preserve">보통</x:t>
        </x:is>
      </x:c>
      <x:c r="R868" s="7" t="inlineStr">
        <x:is>
          <x:t xml:space="preserve">영체</x:t>
        </x:is>
      </x:c>
      <x:c r="S868" s="7" t="inlineStr">
        <x:is>
          <x:t xml:space="preserve">해양</x:t>
        </x:is>
      </x:c>
      <x:c r="T868" s="7" t="inlineStr">
        <x:is>
          <x:t xml:space="preserve"/>
        </x:is>
      </x:c>
      <x:c r="U868" s="8" t="str">
        <x:f>INDEX('서식지_점수'!$E$4:$P$4,1,MATCH(MAX('서식지_점수'!E868:P868),'서식지_점수'!E868:P868,0))</x:f>
        <x:v>해양</x:v>
      </x:c>
      <x:c r="V868" s="8" t="str">
        <x:f>IF(T868&lt;&gt;"",T868,U868)</x:f>
        <x:v>해양</x:v>
      </x:c>
      <x:c r="W868" s="8" t="str">
        <x:f>IFERROR(INDEX('서식지_점수'!$E$4:$P$4,1,MATCH(MAXIFS('서식지_점수'!E868:P868,'서식지_점수'!E868:P868,"&lt;"&amp;MAX('서식지_점수'!E868:P868)),'서식지_점수'!E868:P868,0)),"")</x:f>
        <x:v>습지</x:v>
      </x:c>
      <x:c r="X868" s="8" t="str">
        <x:f>IF(T868&lt;&gt;"","수동확정",IF(MAX('서식지_점수'!E868:P868)-LARGE('서식지_점수'!E868:P868,2)&gt;=15,"높음",IF(MAX('서식지_점수'!E868:P868)-LARGE('서식지_점수'!E868:P868,2)&gt;=8,"보통","검토필요")))</x:f>
        <x:v>높음</x:v>
      </x:c>
      <x:c r="Y868" s="9" t="n">
        <x:f>IF(Q868="전설",8,IF(Q868="희귀",7,IF(J868="기본",1,IF(J868="중간",3,IF(J868="최종",IF(I868="",5,IF(I868&lt;=20,3,IF(I868&lt;=35,4,IF(I868&lt;=50,6,7)))),IF(Q868="드묾",4,2))))))</x:f>
        <x:v>5</x:v>
      </x:c>
      <x:c r="Z868" s="5" t="inlineStr">
        <x:is>
          <x:t xml:space="preserve">#cobblemon:is_beach; #cobblemon:is_overworld; #cobblemon:is_warm_ocean; #cobblemon:nether/is_quartz; byg:warped_desert</x:t>
        </x:is>
      </x:c>
      <x:c r="AA868" s="5" t="inlineStr">
        <x:is>
          <x:t xml:space="preserve">common; uncommon</x:t>
        </x:is>
      </x:c>
      <x:c r="AB868" s="5" t="inlineStr">
        <x:is>
          <x:t xml:space="preserve">예</x:t>
        </x:is>
      </x:c>
      <x:c r="AC868" s="8" t="str">
        <x:f>IF(T868&lt;&gt;"","수동확정",IF(X868="검토필요","검토필요",IF(S868="","원본없음","초기완료")))</x:f>
        <x:v>초기완료</x:v>
      </x:c>
      <x:c r="AD868" s="7" t="inlineStr">
        <x:is>
          <x:t xml:space="preserve"/>
        </x:is>
      </x:c>
      <x:c r="AE868" s="5" t="inlineStr">
        <x:is>
          <x:t xml:space="preserve">.tmp/cobblemon-1.7.3-source/common/src/main/resources/data/cobblemon/species/generation8/cursola.json</x:t>
        </x:is>
      </x:c>
      <x:c r="AF868" s="5" t="str">
        <x:f>"생활권|"&amp;K868</x:f>
        <x:v>생활권|해양</x:v>
      </x:c>
      <x:c r="AG868" s="5" t="str">
        <x:f>"지형|"&amp;L868</x:f>
        <x:v>지형|해안·해양</x:v>
      </x:c>
      <x:c r="AH868" s="5" t="str">
        <x:f>"온도|"&amp;M868</x:f>
        <x:v>온도|온대</x:v>
      </x:c>
      <x:c r="AI868" s="5" t="str">
        <x:f>"습도|"&amp;N868</x:f>
        <x:v>습도|수중</x:v>
      </x:c>
      <x:c r="AJ868" s="5" t="str">
        <x:f>"날씨|"&amp;O868</x:f>
        <x:v>날씨|비</x:v>
      </x:c>
      <x:c r="AK868" s="5" t="str">
        <x:f>"특수태그|"&amp;R868</x:f>
        <x:v>특수태그|영체</x:v>
      </x:c>
      <x:c r="AL868" s="5" t="str">
        <x:f>"원본서식지|"&amp;S868</x:f>
        <x:v>원본서식지|해양</x:v>
      </x:c>
      <x:c r="AM868" s="5" t="str">
        <x:f>"타입|"&amp;F868</x:f>
        <x:v>타입|고스트</x:v>
      </x:c>
      <x:c r="AN868" s="5" t="str">
        <x:f>"타입|"&amp;G868</x:f>
        <x:v>타입|</x:v>
      </x:c>
    </x:row>
    <x:row r="869" ht="24" customHeight="1">
      <x:c r="A869" s="5" t="n">
        <x:v>865</x:v>
      </x:c>
      <x:c r="B869" s="5" t="inlineStr">
        <x:is>
          <x:t xml:space="preserve">창파나이트</x:t>
        </x:is>
      </x:c>
      <x:c r="C869" s="5" t="inlineStr">
        <x:is>
          <x:t xml:space="preserve">sirfetchd</x:t>
        </x:is>
      </x:c>
      <x:c r="D869" s="5" t="inlineStr">
        <x:is>
          <x:t xml:space="preserve">Sirfetch'd</x:t>
        </x:is>
      </x:c>
      <x:c r="E869" s="5" t="n">
        <x:v>8</x:v>
      </x:c>
      <x:c r="F869" s="5" t="inlineStr">
        <x:is>
          <x:t xml:space="preserve">격투</x:t>
        </x:is>
      </x:c>
      <x:c r="G869" s="5" t="inlineStr">
        <x:is>
          <x:t xml:space="preserve"/>
        </x:is>
      </x:c>
      <x:c r="H869" s="6" t="n">
        <x:v>117</x:v>
      </x:c>
      <x:c r="I869" s="5" t="n"/>
      <x:c r="J869" s="5" t="inlineStr">
        <x:is>
          <x:t xml:space="preserve">최종</x:t>
        </x:is>
      </x:c>
      <x:c r="K869" s="7" t="inlineStr">
        <x:is>
          <x:t xml:space="preserve">육상</x:t>
        </x:is>
      </x:c>
      <x:c r="L869" s="7" t="inlineStr">
        <x:is>
          <x:t xml:space="preserve">수목</x:t>
        </x:is>
      </x:c>
      <x:c r="M869" s="7" t="inlineStr">
        <x:is>
          <x:t xml:space="preserve">온대</x:t>
        </x:is>
      </x:c>
      <x:c r="N869" s="7" t="inlineStr">
        <x:is>
          <x:t xml:space="preserve">보통</x:t>
        </x:is>
      </x:c>
      <x:c r="O869" s="7" t="inlineStr">
        <x:is>
          <x:t xml:space="preserve">무관</x:t>
        </x:is>
      </x:c>
      <x:c r="P869" s="7" t="inlineStr">
        <x:is>
          <x:t xml:space="preserve">무관</x:t>
        </x:is>
      </x:c>
      <x:c r="Q869" s="7" t="inlineStr">
        <x:is>
          <x:t xml:space="preserve">드묾</x:t>
        </x:is>
      </x:c>
      <x:c r="R869" s="7" t="inlineStr">
        <x:is>
          <x:t xml:space="preserve">없음</x:t>
        </x:is>
      </x:c>
      <x:c r="S869" s="7" t="inlineStr">
        <x:is>
          <x:t xml:space="preserve">숲</x:t>
        </x:is>
      </x:c>
      <x:c r="T869" s="7" t="inlineStr">
        <x:is>
          <x:t xml:space="preserve"/>
        </x:is>
      </x:c>
      <x:c r="U869" s="8" t="str">
        <x:f>INDEX('서식지_점수'!$E$4:$P$4,1,MATCH(MAX('서식지_점수'!E869:P869),'서식지_점수'!E869:P869,0))</x:f>
        <x:v>평원</x:v>
      </x:c>
      <x:c r="V869" s="8" t="str">
        <x:f>IF(T869&lt;&gt;"",T869,U869)</x:f>
        <x:v>평원</x:v>
      </x:c>
      <x:c r="W869" s="8" t="str">
        <x:f>IFERROR(INDEX('서식지_점수'!$E$4:$P$4,1,MATCH(MAXIFS('서식지_점수'!E869:P869,'서식지_점수'!E869:P869,"&lt;"&amp;MAX('서식지_점수'!E869:P869)),'서식지_점수'!E869:P869,0)),"")</x:f>
        <x:v>숲</x:v>
      </x:c>
      <x:c r="X869" s="8" t="str">
        <x:f>IF(T869&lt;&gt;"","수동확정",IF(MAX('서식지_점수'!E869:P869)-LARGE('서식지_점수'!E869:P869,2)&gt;=15,"높음",IF(MAX('서식지_점수'!E869:P869)-LARGE('서식지_점수'!E869:P869,2)&gt;=8,"보통","검토필요")))</x:f>
        <x:v>검토필요</x:v>
      </x:c>
      <x:c r="Y869" s="9" t="n">
        <x:f>IF(Q869="전설",8,IF(Q869="희귀",7,IF(J869="기본",1,IF(J869="중간",3,IF(J869="최종",IF(I869="",5,IF(I869&lt;=20,3,IF(I869&lt;=35,4,IF(I869&lt;=50,6,7)))),IF(Q869="드묾",4,2))))))</x:f>
        <x:v>5</x:v>
      </x:c>
      <x:c r="Z869" s="5" t="inlineStr">
        <x:is>
          <x:t xml:space="preserve">#cobblemon:is_forest</x:t>
        </x:is>
      </x:c>
      <x:c r="AA869" s="5" t="inlineStr">
        <x:is>
          <x:t xml:space="preserve">rare</x:t>
        </x:is>
      </x:c>
      <x:c r="AB869" s="5" t="inlineStr">
        <x:is>
          <x:t xml:space="preserve">예</x:t>
        </x:is>
      </x:c>
      <x:c r="AC869" s="8" t="str">
        <x:f>IF(T869&lt;&gt;"","수동확정",IF(X869="검토필요","검토필요",IF(S869="","원본없음","초기완료")))</x:f>
        <x:v>검토필요</x:v>
      </x:c>
      <x:c r="AD869" s="7" t="inlineStr">
        <x:is>
          <x:t xml:space="preserve"/>
        </x:is>
      </x:c>
      <x:c r="AE869" s="5" t="inlineStr">
        <x:is>
          <x:t xml:space="preserve">.tmp/cobblemon-1.7.3-source/common/src/main/resources/data/cobblemon/species/generation8/sirfetchd.json</x:t>
        </x:is>
      </x:c>
      <x:c r="AF869" s="5" t="str">
        <x:f>"생활권|"&amp;K869</x:f>
        <x:v>생활권|육상</x:v>
      </x:c>
      <x:c r="AG869" s="5" t="str">
        <x:f>"지형|"&amp;L869</x:f>
        <x:v>지형|수목</x:v>
      </x:c>
      <x:c r="AH869" s="5" t="str">
        <x:f>"온도|"&amp;M869</x:f>
        <x:v>온도|온대</x:v>
      </x:c>
      <x:c r="AI869" s="5" t="str">
        <x:f>"습도|"&amp;N869</x:f>
        <x:v>습도|보통</x:v>
      </x:c>
      <x:c r="AJ869" s="5" t="str">
        <x:f>"날씨|"&amp;O869</x:f>
        <x:v>날씨|무관</x:v>
      </x:c>
      <x:c r="AK869" s="5" t="str">
        <x:f>"특수태그|"&amp;R869</x:f>
        <x:v>특수태그|없음</x:v>
      </x:c>
      <x:c r="AL869" s="5" t="str">
        <x:f>"원본서식지|"&amp;S869</x:f>
        <x:v>원본서식지|숲</x:v>
      </x:c>
      <x:c r="AM869" s="5" t="str">
        <x:f>"타입|"&amp;F869</x:f>
        <x:v>타입|격투</x:v>
      </x:c>
      <x:c r="AN869" s="5" t="str">
        <x:f>"타입|"&amp;G869</x:f>
        <x:v>타입|</x:v>
      </x:c>
    </x:row>
    <x:row r="870" ht="24" customHeight="1">
      <x:c r="A870" s="5" t="n">
        <x:v>866</x:v>
      </x:c>
      <x:c r="B870" s="5" t="inlineStr">
        <x:is>
          <x:t xml:space="preserve">마임꽁꽁</x:t>
        </x:is>
      </x:c>
      <x:c r="C870" s="5" t="inlineStr">
        <x:is>
          <x:t xml:space="preserve">mrrime</x:t>
        </x:is>
      </x:c>
      <x:c r="D870" s="5" t="inlineStr">
        <x:is>
          <x:t xml:space="preserve">Mr. Rime</x:t>
        </x:is>
      </x:c>
      <x:c r="E870" s="5" t="n">
        <x:v>8</x:v>
      </x:c>
      <x:c r="F870" s="5" t="inlineStr">
        <x:is>
          <x:t xml:space="preserve">얼음</x:t>
        </x:is>
      </x:c>
      <x:c r="G870" s="5" t="inlineStr">
        <x:is>
          <x:t xml:space="preserve">에스퍼</x:t>
        </x:is>
      </x:c>
      <x:c r="H870" s="6" t="n">
        <x:v>58.2</x:v>
      </x:c>
      <x:c r="I870" s="5" t="n"/>
      <x:c r="J870" s="5" t="inlineStr">
        <x:is>
          <x:t xml:space="preserve">최종</x:t>
        </x:is>
      </x:c>
      <x:c r="K870" s="7" t="inlineStr">
        <x:is>
          <x:t xml:space="preserve">육상</x:t>
        </x:is>
      </x:c>
      <x:c r="L870" s="7" t="inlineStr">
        <x:is>
          <x:t xml:space="preserve">설원</x:t>
        </x:is>
      </x:c>
      <x:c r="M870" s="7" t="inlineStr">
        <x:is>
          <x:t xml:space="preserve">한랭</x:t>
        </x:is>
      </x:c>
      <x:c r="N870" s="7" t="inlineStr">
        <x:is>
          <x:t xml:space="preserve">보통</x:t>
        </x:is>
      </x:c>
      <x:c r="O870" s="7" t="inlineStr">
        <x:is>
          <x:t xml:space="preserve">무관</x:t>
        </x:is>
      </x:c>
      <x:c r="P870" s="7" t="inlineStr">
        <x:is>
          <x:t xml:space="preserve">무관</x:t>
        </x:is>
      </x:c>
      <x:c r="Q870" s="7" t="inlineStr">
        <x:is>
          <x:t xml:space="preserve">보통</x:t>
        </x:is>
      </x:c>
      <x:c r="R870" s="7" t="inlineStr">
        <x:is>
          <x:t xml:space="preserve">없음</x:t>
        </x:is>
      </x:c>
      <x:c r="S870" s="7" t="inlineStr">
        <x:is>
          <x:t xml:space="preserve"/>
        </x:is>
      </x:c>
      <x:c r="T870" s="7" t="inlineStr">
        <x:is>
          <x:t xml:space="preserve"/>
        </x:is>
      </x:c>
      <x:c r="U870" s="8" t="str">
        <x:f>INDEX('서식지_점수'!$E$4:$P$4,1,MATCH(MAX('서식지_점수'!E870:P870),'서식지_점수'!E870:P870,0))</x:f>
        <x:v>평원</x:v>
      </x:c>
      <x:c r="V870" s="8" t="str">
        <x:f>IF(T870&lt;&gt;"",T870,U870)</x:f>
        <x:v>평원</x:v>
      </x:c>
      <x:c r="W870" s="8" t="str">
        <x:f>IFERROR(INDEX('서식지_점수'!$E$4:$P$4,1,MATCH(MAXIFS('서식지_점수'!E870:P870,'서식지_점수'!E870:P870,"&lt;"&amp;MAX('서식지_점수'!E870:P870)),'서식지_점수'!E870:P870,0)),"")</x:f>
        <x:v>숲</x:v>
      </x:c>
      <x:c r="X870" s="8" t="str">
        <x:f>IF(T870&lt;&gt;"","수동확정",IF(MAX('서식지_점수'!E870:P870)-LARGE('서식지_점수'!E870:P870,2)&gt;=15,"높음",IF(MAX('서식지_점수'!E870:P870)-LARGE('서식지_점수'!E870:P870,2)&gt;=8,"보통","검토필요")))</x:f>
        <x:v>검토필요</x:v>
      </x:c>
      <x:c r="Y870" s="9" t="n">
        <x:f>IF(Q870="전설",8,IF(Q870="희귀",7,IF(J870="기본",1,IF(J870="중간",3,IF(J870="최종",IF(I870="",5,IF(I870&lt;=20,3,IF(I870&lt;=35,4,IF(I870&lt;=50,6,7)))),IF(Q870="드묾",4,2))))))</x:f>
        <x:v>5</x:v>
      </x:c>
      <x:c r="Z870" s="5" t="inlineStr">
        <x:is>
          <x:t xml:space="preserve">#cobblemon:is_freezing</x:t>
        </x:is>
      </x:c>
      <x:c r="AA870" s="5" t="inlineStr">
        <x:is>
          <x:t xml:space="preserve">uncommon</x:t>
        </x:is>
      </x:c>
      <x:c r="AB870" s="5" t="inlineStr">
        <x:is>
          <x:t xml:space="preserve">예</x:t>
        </x:is>
      </x:c>
      <x:c r="AC870" s="8" t="str">
        <x:f>IF(T870&lt;&gt;"","수동확정",IF(X870="검토필요","검토필요",IF(S870="","원본없음","초기완료")))</x:f>
        <x:v>검토필요</x:v>
      </x:c>
      <x:c r="AD870" s="7" t="inlineStr">
        <x:is>
          <x:t xml:space="preserve"/>
        </x:is>
      </x:c>
      <x:c r="AE870" s="5" t="inlineStr">
        <x:is>
          <x:t xml:space="preserve">.tmp/cobblemon-1.7.3-source/common/src/main/resources/data/cobblemon/species/generation8/mrrime.json</x:t>
        </x:is>
      </x:c>
      <x:c r="AF870" s="5" t="str">
        <x:f>"생활권|"&amp;K870</x:f>
        <x:v>생활권|육상</x:v>
      </x:c>
      <x:c r="AG870" s="5" t="str">
        <x:f>"지형|"&amp;L870</x:f>
        <x:v>지형|설원</x:v>
      </x:c>
      <x:c r="AH870" s="5" t="str">
        <x:f>"온도|"&amp;M870</x:f>
        <x:v>온도|한랭</x:v>
      </x:c>
      <x:c r="AI870" s="5" t="str">
        <x:f>"습도|"&amp;N870</x:f>
        <x:v>습도|보통</x:v>
      </x:c>
      <x:c r="AJ870" s="5" t="str">
        <x:f>"날씨|"&amp;O870</x:f>
        <x:v>날씨|무관</x:v>
      </x:c>
      <x:c r="AK870" s="5" t="str">
        <x:f>"특수태그|"&amp;R870</x:f>
        <x:v>특수태그|없음</x:v>
      </x:c>
      <x:c r="AL870" s="5" t="str">
        <x:f>"원본서식지|"&amp;S870</x:f>
        <x:v>원본서식지|</x:v>
      </x:c>
      <x:c r="AM870" s="5" t="str">
        <x:f>"타입|"&amp;F870</x:f>
        <x:v>타입|얼음</x:v>
      </x:c>
      <x:c r="AN870" s="5" t="str">
        <x:f>"타입|"&amp;G870</x:f>
        <x:v>타입|에스퍼</x:v>
      </x:c>
    </x:row>
    <x:row r="871" ht="24" customHeight="1">
      <x:c r="A871" s="5" t="n">
        <x:v>867</x:v>
      </x:c>
      <x:c r="B871" s="5" t="inlineStr">
        <x:is>
          <x:t xml:space="preserve">데스판</x:t>
        </x:is>
      </x:c>
      <x:c r="C871" s="5" t="inlineStr">
        <x:is>
          <x:t xml:space="preserve">runerigus</x:t>
        </x:is>
      </x:c>
      <x:c r="D871" s="5" t="inlineStr">
        <x:is>
          <x:t xml:space="preserve">Runerigus</x:t>
        </x:is>
      </x:c>
      <x:c r="E871" s="5" t="n">
        <x:v>8</x:v>
      </x:c>
      <x:c r="F871" s="5" t="inlineStr">
        <x:is>
          <x:t xml:space="preserve">땅</x:t>
        </x:is>
      </x:c>
      <x:c r="G871" s="5" t="inlineStr">
        <x:is>
          <x:t xml:space="preserve">고스트</x:t>
        </x:is>
      </x:c>
      <x:c r="H871" s="6" t="n">
        <x:v>66.59999999999999</x:v>
      </x:c>
      <x:c r="I871" s="5" t="n">
        <x:v>34</x:v>
      </x:c>
      <x:c r="J871" s="5" t="inlineStr">
        <x:is>
          <x:t xml:space="preserve">최종</x:t>
        </x:is>
      </x:c>
      <x:c r="K871" s="7" t="inlineStr">
        <x:is>
          <x:t xml:space="preserve">비행</x:t>
        </x:is>
      </x:c>
      <x:c r="L871" s="7" t="inlineStr">
        <x:is>
          <x:t xml:space="preserve">특수</x:t>
        </x:is>
      </x:c>
      <x:c r="M871" s="7" t="inlineStr">
        <x:is>
          <x:t xml:space="preserve">온대</x:t>
        </x:is>
      </x:c>
      <x:c r="N871" s="7" t="inlineStr">
        <x:is>
          <x:t xml:space="preserve">보통</x:t>
        </x:is>
      </x:c>
      <x:c r="O871" s="7" t="inlineStr">
        <x:is>
          <x:t xml:space="preserve">안개</x:t>
        </x:is>
      </x:c>
      <x:c r="P871" s="7" t="inlineStr">
        <x:is>
          <x:t xml:space="preserve">밤</x:t>
        </x:is>
      </x:c>
      <x:c r="Q871" s="7" t="inlineStr">
        <x:is>
          <x:t xml:space="preserve">보통</x:t>
        </x:is>
      </x:c>
      <x:c r="R871" s="7" t="inlineStr">
        <x:is>
          <x:t xml:space="preserve">영체</x:t>
        </x:is>
      </x:c>
      <x:c r="S871" s="7" t="inlineStr">
        <x:is>
          <x:t xml:space="preserve">특수</x:t>
        </x:is>
      </x:c>
      <x:c r="T871" s="7" t="inlineStr">
        <x:is>
          <x:t xml:space="preserve"/>
        </x:is>
      </x:c>
      <x:c r="U871" s="8" t="str">
        <x:f>INDEX('서식지_점수'!$E$4:$P$4,1,MATCH(MAX('서식지_점수'!E871:P871),'서식지_점수'!E871:P871,0))</x:f>
        <x:v>산악</x:v>
      </x:c>
      <x:c r="V871" s="8" t="str">
        <x:f>IF(T871&lt;&gt;"",T871,U871)</x:f>
        <x:v>산악</x:v>
      </x:c>
      <x:c r="W871" s="8" t="str">
        <x:f>IFERROR(INDEX('서식지_점수'!$E$4:$P$4,1,MATCH(MAXIFS('서식지_점수'!E871:P871,'서식지_점수'!E871:P871,"&lt;"&amp;MAX('서식지_점수'!E871:P871)),'서식지_점수'!E871:P871,0)),"")</x:f>
        <x:v>평원</x:v>
      </x:c>
      <x:c r="X871" s="8" t="str">
        <x:f>IF(T871&lt;&gt;"","수동확정",IF(MAX('서식지_점수'!E871:P871)-LARGE('서식지_점수'!E871:P871,2)&gt;=15,"높음",IF(MAX('서식지_점수'!E871:P871)-LARGE('서식지_점수'!E871:P871,2)&gt;=8,"보통","검토필요")))</x:f>
        <x:v>검토필요</x:v>
      </x:c>
      <x:c r="Y871" s="9" t="n">
        <x:f>IF(Q871="전설",8,IF(Q871="희귀",7,IF(J871="기본",1,IF(J871="중간",3,IF(J871="최종",IF(I871="",5,IF(I871&lt;=20,3,IF(I871&lt;=35,4,IF(I871&lt;=50,6,7)))),IF(Q871="드묾",4,2))))))</x:f>
        <x:v>4</x:v>
      </x:c>
      <x:c r="Z871" s="5" t="inlineStr">
        <x:is>
          <x:t xml:space="preserve">#cobblemon:is_overworld; #cobblemon:is_spooky</x:t>
        </x:is>
      </x:c>
      <x:c r="AA871" s="5" t="inlineStr">
        <x:is>
          <x:t xml:space="preserve">rare; uncommon</x:t>
        </x:is>
      </x:c>
      <x:c r="AB871" s="5" t="inlineStr">
        <x:is>
          <x:t xml:space="preserve">아니오</x:t>
        </x:is>
      </x:c>
      <x:c r="AC871" s="8" t="str">
        <x:f>IF(T871&lt;&gt;"","수동확정",IF(X871="검토필요","검토필요",IF(S871="","원본없음","초기완료")))</x:f>
        <x:v>검토필요</x:v>
      </x:c>
      <x:c r="AD871" s="7" t="inlineStr">
        <x:is>
          <x:t xml:space="preserve"/>
        </x:is>
      </x:c>
      <x:c r="AE871" s="5" t="inlineStr">
        <x:is>
          <x:t xml:space="preserve">.tmp/cobblemon-1.7.3-source/common/src/main/resources/data/cobblemon/species/generation8/runerigus.json</x:t>
        </x:is>
      </x:c>
      <x:c r="AF871" s="5" t="str">
        <x:f>"생활권|"&amp;K871</x:f>
        <x:v>생활권|비행</x:v>
      </x:c>
      <x:c r="AG871" s="5" t="str">
        <x:f>"지형|"&amp;L871</x:f>
        <x:v>지형|특수</x:v>
      </x:c>
      <x:c r="AH871" s="5" t="str">
        <x:f>"온도|"&amp;M871</x:f>
        <x:v>온도|온대</x:v>
      </x:c>
      <x:c r="AI871" s="5" t="str">
        <x:f>"습도|"&amp;N871</x:f>
        <x:v>습도|보통</x:v>
      </x:c>
      <x:c r="AJ871" s="5" t="str">
        <x:f>"날씨|"&amp;O871</x:f>
        <x:v>날씨|안개</x:v>
      </x:c>
      <x:c r="AK871" s="5" t="str">
        <x:f>"특수태그|"&amp;R871</x:f>
        <x:v>특수태그|영체</x:v>
      </x:c>
      <x:c r="AL871" s="5" t="str">
        <x:f>"원본서식지|"&amp;S871</x:f>
        <x:v>원본서식지|특수</x:v>
      </x:c>
      <x:c r="AM871" s="5" t="str">
        <x:f>"타입|"&amp;F871</x:f>
        <x:v>타입|땅</x:v>
      </x:c>
      <x:c r="AN871" s="5" t="str">
        <x:f>"타입|"&amp;G871</x:f>
        <x:v>타입|고스트</x:v>
      </x:c>
    </x:row>
    <x:row r="872" ht="24" customHeight="1">
      <x:c r="A872" s="5" t="n">
        <x:v>868</x:v>
      </x:c>
      <x:c r="B872" s="5" t="inlineStr">
        <x:is>
          <x:t xml:space="preserve">마빌크</x:t>
        </x:is>
      </x:c>
      <x:c r="C872" s="5" t="inlineStr">
        <x:is>
          <x:t xml:space="preserve">milcery</x:t>
        </x:is>
      </x:c>
      <x:c r="D872" s="5" t="inlineStr">
        <x:is>
          <x:t xml:space="preserve">Milcery</x:t>
        </x:is>
      </x:c>
      <x:c r="E872" s="5" t="n">
        <x:v>8</x:v>
      </x:c>
      <x:c r="F872" s="5" t="inlineStr">
        <x:is>
          <x:t xml:space="preserve">페어리</x:t>
        </x:is>
      </x:c>
      <x:c r="G872" s="5" t="inlineStr">
        <x:is>
          <x:t xml:space="preserve"/>
        </x:is>
      </x:c>
      <x:c r="H872" s="6" t="n">
        <x:v>0.3</x:v>
      </x:c>
      <x:c r="I872" s="5" t="n"/>
      <x:c r="J872" s="5" t="inlineStr">
        <x:is>
          <x:t xml:space="preserve">기본</x:t>
        </x:is>
      </x:c>
      <x:c r="K872" s="7" t="inlineStr">
        <x:is>
          <x:t xml:space="preserve">비행</x:t>
        </x:is>
      </x:c>
      <x:c r="L872" s="7" t="inlineStr">
        <x:is>
          <x:t xml:space="preserve">개활지</x:t>
        </x:is>
      </x:c>
      <x:c r="M872" s="7" t="inlineStr">
        <x:is>
          <x:t xml:space="preserve">온대</x:t>
        </x:is>
      </x:c>
      <x:c r="N872" s="7" t="inlineStr">
        <x:is>
          <x:t xml:space="preserve">보통</x:t>
        </x:is>
      </x:c>
      <x:c r="O872" s="7" t="inlineStr">
        <x:is>
          <x:t xml:space="preserve">무관</x:t>
        </x:is>
      </x:c>
      <x:c r="P872" s="7" t="inlineStr">
        <x:is>
          <x:t xml:space="preserve">무관</x:t>
        </x:is>
      </x:c>
      <x:c r="Q872" s="7" t="inlineStr">
        <x:is>
          <x:t xml:space="preserve">보통</x:t>
        </x:is>
      </x:c>
      <x:c r="R872" s="7" t="inlineStr">
        <x:is>
          <x:t xml:space="preserve">없음</x:t>
        </x:is>
      </x:c>
      <x:c r="S872" s="7" t="inlineStr">
        <x:is>
          <x:t xml:space="preserve"/>
        </x:is>
      </x:c>
      <x:c r="T872" s="7" t="inlineStr">
        <x:is>
          <x:t xml:space="preserve"/>
        </x:is>
      </x:c>
      <x:c r="U872" s="8" t="str">
        <x:f>INDEX('서식지_점수'!$E$4:$P$4,1,MATCH(MAX('서식지_점수'!E872:P872),'서식지_점수'!E872:P872,0))</x:f>
        <x:v>산악</x:v>
      </x:c>
      <x:c r="V872" s="8" t="str">
        <x:f>IF(T872&lt;&gt;"",T872,U872)</x:f>
        <x:v>산악</x:v>
      </x:c>
      <x:c r="W872" s="8" t="str">
        <x:f>IFERROR(INDEX('서식지_점수'!$E$4:$P$4,1,MATCH(MAXIFS('서식지_점수'!E872:P872,'서식지_점수'!E872:P872,"&lt;"&amp;MAX('서식지_점수'!E872:P872)),'서식지_점수'!E872:P872,0)),"")</x:f>
        <x:v>평원</x:v>
      </x:c>
      <x:c r="X872" s="8" t="str">
        <x:f>IF(T872&lt;&gt;"","수동확정",IF(MAX('서식지_점수'!E872:P872)-LARGE('서식지_점수'!E872:P872,2)&gt;=15,"높음",IF(MAX('서식지_점수'!E872:P872)-LARGE('서식지_점수'!E872:P872,2)&gt;=8,"보통","검토필요")))</x:f>
        <x:v>검토필요</x:v>
      </x:c>
      <x:c r="Y872" s="9" t="n">
        <x:f>IF(Q872="전설",8,IF(Q872="희귀",7,IF(J872="기본",1,IF(J872="중간",3,IF(J872="최종",IF(I872="",5,IF(I872&lt;=20,3,IF(I872&lt;=35,4,IF(I872&lt;=50,6,7)))),IF(Q872="드묾",4,2))))))</x:f>
        <x:v>1</x:v>
      </x:c>
      <x:c r="Z872" s="5" t="inlineStr">
        <x:is>
          <x:t xml:space="preserve">#aether:is_aether; #cobblemon:is_overworld</x:t>
        </x:is>
      </x:c>
      <x:c r="AA872" s="5" t="inlineStr">
        <x:is>
          <x:t xml:space="preserve">common; uncommon</x:t>
        </x:is>
      </x:c>
      <x:c r="AB872" s="5" t="inlineStr">
        <x:is>
          <x:t xml:space="preserve">예</x:t>
        </x:is>
      </x:c>
      <x:c r="AC872" s="8" t="str">
        <x:f>IF(T872&lt;&gt;"","수동확정",IF(X872="검토필요","검토필요",IF(S872="","원본없음","초기완료")))</x:f>
        <x:v>검토필요</x:v>
      </x:c>
      <x:c r="AD872" s="7" t="inlineStr">
        <x:is>
          <x:t xml:space="preserve"/>
        </x:is>
      </x:c>
      <x:c r="AE872" s="5" t="inlineStr">
        <x:is>
          <x:t xml:space="preserve">.tmp/cobblemon-1.7.3-source/common/src/main/resources/data/cobblemon/species/generation8/milcery.json</x:t>
        </x:is>
      </x:c>
      <x:c r="AF872" s="5" t="str">
        <x:f>"생활권|"&amp;K872</x:f>
        <x:v>생활권|비행</x:v>
      </x:c>
      <x:c r="AG872" s="5" t="str">
        <x:f>"지형|"&amp;L872</x:f>
        <x:v>지형|개활지</x:v>
      </x:c>
      <x:c r="AH872" s="5" t="str">
        <x:f>"온도|"&amp;M872</x:f>
        <x:v>온도|온대</x:v>
      </x:c>
      <x:c r="AI872" s="5" t="str">
        <x:f>"습도|"&amp;N872</x:f>
        <x:v>습도|보통</x:v>
      </x:c>
      <x:c r="AJ872" s="5" t="str">
        <x:f>"날씨|"&amp;O872</x:f>
        <x:v>날씨|무관</x:v>
      </x:c>
      <x:c r="AK872" s="5" t="str">
        <x:f>"특수태그|"&amp;R872</x:f>
        <x:v>특수태그|없음</x:v>
      </x:c>
      <x:c r="AL872" s="5" t="str">
        <x:f>"원본서식지|"&amp;S872</x:f>
        <x:v>원본서식지|</x:v>
      </x:c>
      <x:c r="AM872" s="5" t="str">
        <x:f>"타입|"&amp;F872</x:f>
        <x:v>타입|페어리</x:v>
      </x:c>
      <x:c r="AN872" s="5" t="str">
        <x:f>"타입|"&amp;G872</x:f>
        <x:v>타입|</x:v>
      </x:c>
    </x:row>
    <x:row r="873" ht="24" customHeight="1">
      <x:c r="A873" s="5" t="n">
        <x:v>869</x:v>
      </x:c>
      <x:c r="B873" s="5" t="inlineStr">
        <x:is>
          <x:t xml:space="preserve">마휘핑</x:t>
        </x:is>
      </x:c>
      <x:c r="C873" s="5" t="inlineStr">
        <x:is>
          <x:t xml:space="preserve">alcremie</x:t>
        </x:is>
      </x:c>
      <x:c r="D873" s="5" t="inlineStr">
        <x:is>
          <x:t xml:space="preserve">Alcremie</x:t>
        </x:is>
      </x:c>
      <x:c r="E873" s="5" t="n">
        <x:v>8</x:v>
      </x:c>
      <x:c r="F873" s="5" t="inlineStr">
        <x:is>
          <x:t xml:space="preserve">페어리</x:t>
        </x:is>
      </x:c>
      <x:c r="G873" s="5" t="inlineStr">
        <x:is>
          <x:t xml:space="preserve"/>
        </x:is>
      </x:c>
      <x:c r="H873" s="6" t="n">
        <x:v>0.5</x:v>
      </x:c>
      <x:c r="I873" s="5" t="n"/>
      <x:c r="J873" s="5" t="inlineStr">
        <x:is>
          <x:t xml:space="preserve">최종</x:t>
        </x:is>
      </x:c>
      <x:c r="K873" s="7" t="inlineStr">
        <x:is>
          <x:t xml:space="preserve">육상</x:t>
        </x:is>
      </x:c>
      <x:c r="L873" s="7" t="inlineStr">
        <x:is>
          <x:t xml:space="preserve">개활지</x:t>
        </x:is>
      </x:c>
      <x:c r="M873" s="7" t="inlineStr">
        <x:is>
          <x:t xml:space="preserve">온대</x:t>
        </x:is>
      </x:c>
      <x:c r="N873" s="7" t="inlineStr">
        <x:is>
          <x:t xml:space="preserve">보통</x:t>
        </x:is>
      </x:c>
      <x:c r="O873" s="7" t="inlineStr">
        <x:is>
          <x:t xml:space="preserve">무관</x:t>
        </x:is>
      </x:c>
      <x:c r="P873" s="7" t="inlineStr">
        <x:is>
          <x:t xml:space="preserve">무관</x:t>
        </x:is>
      </x:c>
      <x:c r="Q873" s="7" t="inlineStr">
        <x:is>
          <x:t xml:space="preserve">보통</x:t>
        </x:is>
      </x:c>
      <x:c r="R873" s="7" t="inlineStr">
        <x:is>
          <x:t xml:space="preserve">없음</x:t>
        </x:is>
      </x:c>
      <x:c r="S873" s="7" t="inlineStr">
        <x:is>
          <x:t xml:space="preserve"/>
        </x:is>
      </x:c>
      <x:c r="T873" s="7" t="inlineStr">
        <x:is>
          <x:t xml:space="preserve"/>
        </x:is>
      </x:c>
      <x:c r="U873" s="8" t="str">
        <x:f>INDEX('서식지_점수'!$E$4:$P$4,1,MATCH(MAX('서식지_점수'!E873:P873),'서식지_점수'!E873:P873,0))</x:f>
        <x:v>평원</x:v>
      </x:c>
      <x:c r="V873" s="8" t="str">
        <x:f>IF(T873&lt;&gt;"",T873,U873)</x:f>
        <x:v>평원</x:v>
      </x:c>
      <x:c r="W873" s="8" t="str">
        <x:f>IFERROR(INDEX('서식지_점수'!$E$4:$P$4,1,MATCH(MAXIFS('서식지_점수'!E873:P873,'서식지_점수'!E873:P873,"&lt;"&amp;MAX('서식지_점수'!E873:P873)),'서식지_점수'!E873:P873,0)),"")</x:f>
        <x:v>숲</x:v>
      </x:c>
      <x:c r="X873" s="8" t="str">
        <x:f>IF(T873&lt;&gt;"","수동확정",IF(MAX('서식지_점수'!E873:P873)-LARGE('서식지_점수'!E873:P873,2)&gt;=15,"높음",IF(MAX('서식지_점수'!E873:P873)-LARGE('서식지_점수'!E873:P873,2)&gt;=8,"보통","검토필요")))</x:f>
        <x:v>검토필요</x:v>
      </x:c>
      <x:c r="Y873" s="9" t="n">
        <x:f>IF(Q873="전설",8,IF(Q873="희귀",7,IF(J873="기본",1,IF(J873="중간",3,IF(J873="최종",IF(I873="",5,IF(I873&lt;=20,3,IF(I873&lt;=35,4,IF(I873&lt;=50,6,7)))),IF(Q873="드묾",4,2))))))</x:f>
        <x:v>5</x:v>
      </x:c>
      <x:c r="Z873" s="5" t="inlineStr">
        <x:is>
          <x:t xml:space="preserve">#aether:is_aether; #cobblemon:is_overworld</x:t>
        </x:is>
      </x:c>
      <x:c r="AA873" s="5" t="inlineStr">
        <x:is>
          <x:t xml:space="preserve">common; uncommon</x:t>
        </x:is>
      </x:c>
      <x:c r="AB873" s="5" t="inlineStr">
        <x:is>
          <x:t xml:space="preserve">예</x:t>
        </x:is>
      </x:c>
      <x:c r="AC873" s="8" t="str">
        <x:f>IF(T873&lt;&gt;"","수동확정",IF(X873="검토필요","검토필요",IF(S873="","원본없음","초기완료")))</x:f>
        <x:v>검토필요</x:v>
      </x:c>
      <x:c r="AD873" s="7" t="inlineStr">
        <x:is>
          <x:t xml:space="preserve"/>
        </x:is>
      </x:c>
      <x:c r="AE873" s="5" t="inlineStr">
        <x:is>
          <x:t xml:space="preserve">.tmp/cobblemon-1.7.3-source/common/src/main/resources/data/cobblemon/species/generation8/alcremie.json</x:t>
        </x:is>
      </x:c>
      <x:c r="AF873" s="5" t="str">
        <x:f>"생활권|"&amp;K873</x:f>
        <x:v>생활권|육상</x:v>
      </x:c>
      <x:c r="AG873" s="5" t="str">
        <x:f>"지형|"&amp;L873</x:f>
        <x:v>지형|개활지</x:v>
      </x:c>
      <x:c r="AH873" s="5" t="str">
        <x:f>"온도|"&amp;M873</x:f>
        <x:v>온도|온대</x:v>
      </x:c>
      <x:c r="AI873" s="5" t="str">
        <x:f>"습도|"&amp;N873</x:f>
        <x:v>습도|보통</x:v>
      </x:c>
      <x:c r="AJ873" s="5" t="str">
        <x:f>"날씨|"&amp;O873</x:f>
        <x:v>날씨|무관</x:v>
      </x:c>
      <x:c r="AK873" s="5" t="str">
        <x:f>"특수태그|"&amp;R873</x:f>
        <x:v>특수태그|없음</x:v>
      </x:c>
      <x:c r="AL873" s="5" t="str">
        <x:f>"원본서식지|"&amp;S873</x:f>
        <x:v>원본서식지|</x:v>
      </x:c>
      <x:c r="AM873" s="5" t="str">
        <x:f>"타입|"&amp;F873</x:f>
        <x:v>타입|페어리</x:v>
      </x:c>
      <x:c r="AN873" s="5" t="str">
        <x:f>"타입|"&amp;G873</x:f>
        <x:v>타입|</x:v>
      </x:c>
    </x:row>
    <x:row r="874" ht="24" customHeight="1">
      <x:c r="A874" s="5" t="n">
        <x:v>870</x:v>
      </x:c>
      <x:c r="B874" s="5" t="inlineStr">
        <x:is>
          <x:t xml:space="preserve">대여르</x:t>
        </x:is>
      </x:c>
      <x:c r="C874" s="5" t="inlineStr">
        <x:is>
          <x:t xml:space="preserve">falinks</x:t>
        </x:is>
      </x:c>
      <x:c r="D874" s="5" t="inlineStr">
        <x:is>
          <x:t xml:space="preserve">Falinks</x:t>
        </x:is>
      </x:c>
      <x:c r="E874" s="5" t="n">
        <x:v>8</x:v>
      </x:c>
      <x:c r="F874" s="5" t="inlineStr">
        <x:is>
          <x:t xml:space="preserve">격투</x:t>
        </x:is>
      </x:c>
      <x:c r="G874" s="5" t="inlineStr">
        <x:is>
          <x:t xml:space="preserve"/>
        </x:is>
      </x:c>
      <x:c r="H874" s="6" t="n">
        <x:v>62</x:v>
      </x:c>
      <x:c r="I874" s="5" t="n"/>
      <x:c r="J874" s="5" t="inlineStr">
        <x:is>
          <x:t xml:space="preserve">무진화</x:t>
        </x:is>
      </x:c>
      <x:c r="K874" s="7" t="inlineStr">
        <x:is>
          <x:t xml:space="preserve">육상</x:t>
        </x:is>
      </x:c>
      <x:c r="L874" s="7" t="inlineStr">
        <x:is>
          <x:t xml:space="preserve">화산</x:t>
        </x:is>
      </x:c>
      <x:c r="M874" s="7" t="inlineStr">
        <x:is>
          <x:t xml:space="preserve">고온</x:t>
        </x:is>
      </x:c>
      <x:c r="N874" s="7" t="inlineStr">
        <x:is>
          <x:t xml:space="preserve">건조</x:t>
        </x:is>
      </x:c>
      <x:c r="O874" s="7" t="inlineStr">
        <x:is>
          <x:t xml:space="preserve">맑음</x:t>
        </x:is>
      </x:c>
      <x:c r="P874" s="7" t="inlineStr">
        <x:is>
          <x:t xml:space="preserve">무관</x:t>
        </x:is>
      </x:c>
      <x:c r="Q874" s="7" t="inlineStr">
        <x:is>
          <x:t xml:space="preserve">보통</x:t>
        </x:is>
      </x:c>
      <x:c r="R874" s="7" t="inlineStr">
        <x:is>
          <x:t xml:space="preserve">화산</x:t>
        </x:is>
      </x:c>
      <x:c r="S874" s="7" t="inlineStr">
        <x:is>
          <x:t xml:space="preserve">화산</x:t>
        </x:is>
      </x:c>
      <x:c r="T874" s="7" t="inlineStr">
        <x:is>
          <x:t xml:space="preserve"/>
        </x:is>
      </x:c>
      <x:c r="U874" s="8" t="str">
        <x:f>INDEX('서식지_점수'!$E$4:$P$4,1,MATCH(MAX('서식지_점수'!E874:P874),'서식지_점수'!E874:P874,0))</x:f>
        <x:v>평원</x:v>
      </x:c>
      <x:c r="V874" s="8" t="str">
        <x:f>IF(T874&lt;&gt;"",T874,U874)</x:f>
        <x:v>평원</x:v>
      </x:c>
      <x:c r="W874" s="8" t="str">
        <x:f>IFERROR(INDEX('서식지_점수'!$E$4:$P$4,1,MATCH(MAXIFS('서식지_점수'!E874:P874,'서식지_점수'!E874:P874,"&lt;"&amp;MAX('서식지_점수'!E874:P874)),'서식지_점수'!E874:P874,0)),"")</x:f>
        <x:v>숲</x:v>
      </x:c>
      <x:c r="X874" s="8" t="str">
        <x:f>IF(T874&lt;&gt;"","수동확정",IF(MAX('서식지_점수'!E874:P874)-LARGE('서식지_점수'!E874:P874,2)&gt;=15,"높음",IF(MAX('서식지_점수'!E874:P874)-LARGE('서식지_점수'!E874:P874,2)&gt;=8,"보통","검토필요")))</x:f>
        <x:v>검토필요</x:v>
      </x:c>
      <x:c r="Y874" s="9" t="n">
        <x:f>IF(Q874="전설",8,IF(Q874="희귀",7,IF(J874="기본",1,IF(J874="중간",3,IF(J874="최종",IF(I874="",5,IF(I874&lt;=20,3,IF(I874&lt;=35,4,IF(I874&lt;=50,6,7)))),IF(Q874="드묾",4,2))))))</x:f>
        <x:v>2</x:v>
      </x:c>
      <x:c r="Z874" s="5" t="inlineStr">
        <x:is>
          <x:t xml:space="preserve">#cobblemon:is_badlands; #minecraft:is_nether</x:t>
        </x:is>
      </x:c>
      <x:c r="AA874" s="5" t="inlineStr">
        <x:is>
          <x:t xml:space="preserve">uncommon</x:t>
        </x:is>
      </x:c>
      <x:c r="AB874" s="5" t="inlineStr">
        <x:is>
          <x:t xml:space="preserve">예</x:t>
        </x:is>
      </x:c>
      <x:c r="AC874" s="8" t="str">
        <x:f>IF(T874&lt;&gt;"","수동확정",IF(X874="검토필요","검토필요",IF(S874="","원본없음","초기완료")))</x:f>
        <x:v>검토필요</x:v>
      </x:c>
      <x:c r="AD874" s="7" t="inlineStr">
        <x:is>
          <x:t xml:space="preserve"/>
        </x:is>
      </x:c>
      <x:c r="AE874" s="5" t="inlineStr">
        <x:is>
          <x:t xml:space="preserve">.tmp/cobblemon-1.7.3-source/common/src/main/resources/data/cobblemon/species/generation8/falinks.json</x:t>
        </x:is>
      </x:c>
      <x:c r="AF874" s="5" t="str">
        <x:f>"생활권|"&amp;K874</x:f>
        <x:v>생활권|육상</x:v>
      </x:c>
      <x:c r="AG874" s="5" t="str">
        <x:f>"지형|"&amp;L874</x:f>
        <x:v>지형|화산</x:v>
      </x:c>
      <x:c r="AH874" s="5" t="str">
        <x:f>"온도|"&amp;M874</x:f>
        <x:v>온도|고온</x:v>
      </x:c>
      <x:c r="AI874" s="5" t="str">
        <x:f>"습도|"&amp;N874</x:f>
        <x:v>습도|건조</x:v>
      </x:c>
      <x:c r="AJ874" s="5" t="str">
        <x:f>"날씨|"&amp;O874</x:f>
        <x:v>날씨|맑음</x:v>
      </x:c>
      <x:c r="AK874" s="5" t="str">
        <x:f>"특수태그|"&amp;R874</x:f>
        <x:v>특수태그|화산</x:v>
      </x:c>
      <x:c r="AL874" s="5" t="str">
        <x:f>"원본서식지|"&amp;S874</x:f>
        <x:v>원본서식지|화산</x:v>
      </x:c>
      <x:c r="AM874" s="5" t="str">
        <x:f>"타입|"&amp;F874</x:f>
        <x:v>타입|격투</x:v>
      </x:c>
      <x:c r="AN874" s="5" t="str">
        <x:f>"타입|"&amp;G874</x:f>
        <x:v>타입|</x:v>
      </x:c>
    </x:row>
    <x:row r="875" ht="24" customHeight="1">
      <x:c r="A875" s="5" t="n">
        <x:v>871</x:v>
      </x:c>
      <x:c r="B875" s="5" t="inlineStr">
        <x:is>
          <x:t xml:space="preserve">찌르성게</x:t>
        </x:is>
      </x:c>
      <x:c r="C875" s="5" t="inlineStr">
        <x:is>
          <x:t xml:space="preserve">pincurchin</x:t>
        </x:is>
      </x:c>
      <x:c r="D875" s="5" t="inlineStr">
        <x:is>
          <x:t xml:space="preserve">Pincurchin</x:t>
        </x:is>
      </x:c>
      <x:c r="E875" s="5" t="n">
        <x:v>8</x:v>
      </x:c>
      <x:c r="F875" s="5" t="inlineStr">
        <x:is>
          <x:t xml:space="preserve">전기</x:t>
        </x:is>
      </x:c>
      <x:c r="G875" s="5" t="inlineStr">
        <x:is>
          <x:t xml:space="preserve"/>
        </x:is>
      </x:c>
      <x:c r="H875" s="6" t="n">
        <x:v>1</x:v>
      </x:c>
      <x:c r="I875" s="5" t="n"/>
      <x:c r="J875" s="5" t="inlineStr">
        <x:is>
          <x:t xml:space="preserve">무진화</x:t>
        </x:is>
      </x:c>
      <x:c r="K875" s="7" t="inlineStr">
        <x:is>
          <x:t xml:space="preserve">해양</x:t>
        </x:is>
      </x:c>
      <x:c r="L875" s="7" t="inlineStr">
        <x:is>
          <x:t xml:space="preserve">해안·해양</x:t>
        </x:is>
      </x:c>
      <x:c r="M875" s="7" t="inlineStr">
        <x:is>
          <x:t xml:space="preserve">온대</x:t>
        </x:is>
      </x:c>
      <x:c r="N875" s="7" t="inlineStr">
        <x:is>
          <x:t xml:space="preserve">수중</x:t>
        </x:is>
      </x:c>
      <x:c r="O875" s="7" t="inlineStr">
        <x:is>
          <x:t xml:space="preserve">비</x:t>
        </x:is>
      </x:c>
      <x:c r="P875" s="7" t="inlineStr">
        <x:is>
          <x:t xml:space="preserve">무관</x:t>
        </x:is>
      </x:c>
      <x:c r="Q875" s="7" t="inlineStr">
        <x:is>
          <x:t xml:space="preserve">보통</x:t>
        </x:is>
      </x:c>
      <x:c r="R875" s="7" t="inlineStr">
        <x:is>
          <x:t xml:space="preserve">없음</x:t>
        </x:is>
      </x:c>
      <x:c r="S875" s="7" t="inlineStr">
        <x:is>
          <x:t xml:space="preserve">해양</x:t>
        </x:is>
      </x:c>
      <x:c r="T875" s="7" t="inlineStr">
        <x:is>
          <x:t xml:space="preserve"/>
        </x:is>
      </x:c>
      <x:c r="U875" s="8" t="str">
        <x:f>INDEX('서식지_점수'!$E$4:$P$4,1,MATCH(MAX('서식지_점수'!E875:P875),'서식지_점수'!E875:P875,0))</x:f>
        <x:v>해양</x:v>
      </x:c>
      <x:c r="V875" s="8" t="str">
        <x:f>IF(T875&lt;&gt;"",T875,U875)</x:f>
        <x:v>해양</x:v>
      </x:c>
      <x:c r="W875" s="8" t="str">
        <x:f>IFERROR(INDEX('서식지_점수'!$E$4:$P$4,1,MATCH(MAXIFS('서식지_점수'!E875:P875,'서식지_점수'!E875:P875,"&lt;"&amp;MAX('서식지_점수'!E875:P875)),'서식지_점수'!E875:P875,0)),"")</x:f>
        <x:v>습지</x:v>
      </x:c>
      <x:c r="X875" s="8" t="str">
        <x:f>IF(T875&lt;&gt;"","수동확정",IF(MAX('서식지_점수'!E875:P875)-LARGE('서식지_점수'!E875:P875,2)&gt;=15,"높음",IF(MAX('서식지_점수'!E875:P875)-LARGE('서식지_점수'!E875:P875,2)&gt;=8,"보통","검토필요")))</x:f>
        <x:v>높음</x:v>
      </x:c>
      <x:c r="Y875" s="9" t="n">
        <x:f>IF(Q875="전설",8,IF(Q875="희귀",7,IF(J875="기본",1,IF(J875="중간",3,IF(J875="최종",IF(I875="",5,IF(I875&lt;=20,3,IF(I875&lt;=35,4,IF(I875&lt;=50,6,7)))),IF(Q875="드묾",4,2))))))</x:f>
        <x:v>2</x:v>
      </x:c>
      <x:c r="Z875" s="5" t="inlineStr">
        <x:is>
          <x:t xml:space="preserve">#cobblemon:is_coast; #cobblemon:is_ocean; #cobblemon:is_overworld</x:t>
        </x:is>
      </x:c>
      <x:c r="AA875" s="5" t="inlineStr">
        <x:is>
          <x:t xml:space="preserve">common; uncommon</x:t>
        </x:is>
      </x:c>
      <x:c r="AB875" s="5" t="inlineStr">
        <x:is>
          <x:t xml:space="preserve">예</x:t>
        </x:is>
      </x:c>
      <x:c r="AC875" s="8" t="str">
        <x:f>IF(T875&lt;&gt;"","수동확정",IF(X875="검토필요","검토필요",IF(S875="","원본없음","초기완료")))</x:f>
        <x:v>초기완료</x:v>
      </x:c>
      <x:c r="AD875" s="7" t="inlineStr">
        <x:is>
          <x:t xml:space="preserve"/>
        </x:is>
      </x:c>
      <x:c r="AE875" s="5" t="inlineStr">
        <x:is>
          <x:t xml:space="preserve">.tmp/cobblemon-1.7.3-source/common/src/main/resources/data/cobblemon/species/generation8/pincurchin.json</x:t>
        </x:is>
      </x:c>
      <x:c r="AF875" s="5" t="str">
        <x:f>"생활권|"&amp;K875</x:f>
        <x:v>생활권|해양</x:v>
      </x:c>
      <x:c r="AG875" s="5" t="str">
        <x:f>"지형|"&amp;L875</x:f>
        <x:v>지형|해안·해양</x:v>
      </x:c>
      <x:c r="AH875" s="5" t="str">
        <x:f>"온도|"&amp;M875</x:f>
        <x:v>온도|온대</x:v>
      </x:c>
      <x:c r="AI875" s="5" t="str">
        <x:f>"습도|"&amp;N875</x:f>
        <x:v>습도|수중</x:v>
      </x:c>
      <x:c r="AJ875" s="5" t="str">
        <x:f>"날씨|"&amp;O875</x:f>
        <x:v>날씨|비</x:v>
      </x:c>
      <x:c r="AK875" s="5" t="str">
        <x:f>"특수태그|"&amp;R875</x:f>
        <x:v>특수태그|없음</x:v>
      </x:c>
      <x:c r="AL875" s="5" t="str">
        <x:f>"원본서식지|"&amp;S875</x:f>
        <x:v>원본서식지|해양</x:v>
      </x:c>
      <x:c r="AM875" s="5" t="str">
        <x:f>"타입|"&amp;F875</x:f>
        <x:v>타입|전기</x:v>
      </x:c>
      <x:c r="AN875" s="5" t="str">
        <x:f>"타입|"&amp;G875</x:f>
        <x:v>타입|</x:v>
      </x:c>
    </x:row>
    <x:row r="876" ht="24" customHeight="1">
      <x:c r="A876" s="5" t="n">
        <x:v>872</x:v>
      </x:c>
      <x:c r="B876" s="5" t="inlineStr">
        <x:is>
          <x:t xml:space="preserve">누니머기</x:t>
        </x:is>
      </x:c>
      <x:c r="C876" s="5" t="inlineStr">
        <x:is>
          <x:t xml:space="preserve">snom</x:t>
        </x:is>
      </x:c>
      <x:c r="D876" s="5" t="inlineStr">
        <x:is>
          <x:t xml:space="preserve">Snom</x:t>
        </x:is>
      </x:c>
      <x:c r="E876" s="5" t="n">
        <x:v>8</x:v>
      </x:c>
      <x:c r="F876" s="5" t="inlineStr">
        <x:is>
          <x:t xml:space="preserve">얼음</x:t>
        </x:is>
      </x:c>
      <x:c r="G876" s="5" t="inlineStr">
        <x:is>
          <x:t xml:space="preserve">벌레</x:t>
        </x:is>
      </x:c>
      <x:c r="H876" s="6" t="n">
        <x:v>3.8</x:v>
      </x:c>
      <x:c r="I876" s="5" t="n"/>
      <x:c r="J876" s="5" t="inlineStr">
        <x:is>
          <x:t xml:space="preserve">기본</x:t>
        </x:is>
      </x:c>
      <x:c r="K876" s="7" t="inlineStr">
        <x:is>
          <x:t xml:space="preserve">육상</x:t>
        </x:is>
      </x:c>
      <x:c r="L876" s="7" t="inlineStr">
        <x:is>
          <x:t xml:space="preserve">수목</x:t>
        </x:is>
      </x:c>
      <x:c r="M876" s="7" t="inlineStr">
        <x:is>
          <x:t xml:space="preserve">한랭</x:t>
        </x:is>
      </x:c>
      <x:c r="N876" s="7" t="inlineStr">
        <x:is>
          <x:t xml:space="preserve">보통</x:t>
        </x:is>
      </x:c>
      <x:c r="O876" s="7" t="inlineStr">
        <x:is>
          <x:t xml:space="preserve">무관</x:t>
        </x:is>
      </x:c>
      <x:c r="P876" s="7" t="inlineStr">
        <x:is>
          <x:t xml:space="preserve">밤</x:t>
        </x:is>
      </x:c>
      <x:c r="Q876" s="7" t="inlineStr">
        <x:is>
          <x:t xml:space="preserve">흔함</x:t>
        </x:is>
      </x:c>
      <x:c r="R876" s="7" t="inlineStr">
        <x:is>
          <x:t xml:space="preserve">없음</x:t>
        </x:is>
      </x:c>
      <x:c r="S876" s="7" t="inlineStr">
        <x:is>
          <x:t xml:space="preserve"/>
        </x:is>
      </x:c>
      <x:c r="T876" s="7" t="inlineStr">
        <x:is>
          <x:t xml:space="preserve"/>
        </x:is>
      </x:c>
      <x:c r="U876" s="8" t="str">
        <x:f>INDEX('서식지_점수'!$E$4:$P$4,1,MATCH(MAX('서식지_점수'!E876:P876),'서식지_점수'!E876:P876,0))</x:f>
        <x:v>평원</x:v>
      </x:c>
      <x:c r="V876" s="8" t="str">
        <x:f>IF(T876&lt;&gt;"",T876,U876)</x:f>
        <x:v>평원</x:v>
      </x:c>
      <x:c r="W876" s="8" t="str">
        <x:f>IFERROR(INDEX('서식지_점수'!$E$4:$P$4,1,MATCH(MAXIFS('서식지_점수'!E876:P876,'서식지_점수'!E876:P876,"&lt;"&amp;MAX('서식지_점수'!E876:P876)),'서식지_점수'!E876:P876,0)),"")</x:f>
        <x:v>숲</x:v>
      </x:c>
      <x:c r="X876" s="8" t="str">
        <x:f>IF(T876&lt;&gt;"","수동확정",IF(MAX('서식지_점수'!E876:P876)-LARGE('서식지_점수'!E876:P876,2)&gt;=15,"높음",IF(MAX('서식지_점수'!E876:P876)-LARGE('서식지_점수'!E876:P876,2)&gt;=8,"보통","검토필요")))</x:f>
        <x:v>검토필요</x:v>
      </x:c>
      <x:c r="Y876" s="9" t="n">
        <x:f>IF(Q876="전설",8,IF(Q876="희귀",7,IF(J876="기본",1,IF(J876="중간",3,IF(J876="최종",IF(I876="",5,IF(I876&lt;=20,3,IF(I876&lt;=35,4,IF(I876&lt;=50,6,7)))),IF(Q876="드묾",4,2))))))</x:f>
        <x:v>1</x:v>
      </x:c>
      <x:c r="Z876" s="5" t="inlineStr">
        <x:is>
          <x:t xml:space="preserve">#cobblemon:is_freezing</x:t>
        </x:is>
      </x:c>
      <x:c r="AA876" s="5" t="inlineStr">
        <x:is>
          <x:t xml:space="preserve">common</x:t>
        </x:is>
      </x:c>
      <x:c r="AB876" s="5" t="inlineStr">
        <x:is>
          <x:t xml:space="preserve">아니오</x:t>
        </x:is>
      </x:c>
      <x:c r="AC876" s="8" t="str">
        <x:f>IF(T876&lt;&gt;"","수동확정",IF(X876="검토필요","검토필요",IF(S876="","원본없음","초기완료")))</x:f>
        <x:v>검토필요</x:v>
      </x:c>
      <x:c r="AD876" s="7" t="inlineStr">
        <x:is>
          <x:t xml:space="preserve"/>
        </x:is>
      </x:c>
      <x:c r="AE876" s="5" t="inlineStr">
        <x:is>
          <x:t xml:space="preserve">.tmp/cobblemon-1.7.3-source/common/src/main/resources/data/cobblemon/species/generation8/snom.json</x:t>
        </x:is>
      </x:c>
      <x:c r="AF876" s="5" t="str">
        <x:f>"생활권|"&amp;K876</x:f>
        <x:v>생활권|육상</x:v>
      </x:c>
      <x:c r="AG876" s="5" t="str">
        <x:f>"지형|"&amp;L876</x:f>
        <x:v>지형|수목</x:v>
      </x:c>
      <x:c r="AH876" s="5" t="str">
        <x:f>"온도|"&amp;M876</x:f>
        <x:v>온도|한랭</x:v>
      </x:c>
      <x:c r="AI876" s="5" t="str">
        <x:f>"습도|"&amp;N876</x:f>
        <x:v>습도|보통</x:v>
      </x:c>
      <x:c r="AJ876" s="5" t="str">
        <x:f>"날씨|"&amp;O876</x:f>
        <x:v>날씨|무관</x:v>
      </x:c>
      <x:c r="AK876" s="5" t="str">
        <x:f>"특수태그|"&amp;R876</x:f>
        <x:v>특수태그|없음</x:v>
      </x:c>
      <x:c r="AL876" s="5" t="str">
        <x:f>"원본서식지|"&amp;S876</x:f>
        <x:v>원본서식지|</x:v>
      </x:c>
      <x:c r="AM876" s="5" t="str">
        <x:f>"타입|"&amp;F876</x:f>
        <x:v>타입|얼음</x:v>
      </x:c>
      <x:c r="AN876" s="5" t="str">
        <x:f>"타입|"&amp;G876</x:f>
        <x:v>타입|벌레</x:v>
      </x:c>
    </x:row>
    <x:row r="877" ht="24" customHeight="1">
      <x:c r="A877" s="5" t="n">
        <x:v>873</x:v>
      </x:c>
      <x:c r="B877" s="5" t="inlineStr">
        <x:is>
          <x:t xml:space="preserve">모스노우</x:t>
        </x:is>
      </x:c>
      <x:c r="C877" s="5" t="inlineStr">
        <x:is>
          <x:t xml:space="preserve">frosmoth</x:t>
        </x:is>
      </x:c>
      <x:c r="D877" s="5" t="inlineStr">
        <x:is>
          <x:t xml:space="preserve">Frosmoth</x:t>
        </x:is>
      </x:c>
      <x:c r="E877" s="5" t="n">
        <x:v>8</x:v>
      </x:c>
      <x:c r="F877" s="5" t="inlineStr">
        <x:is>
          <x:t xml:space="preserve">얼음</x:t>
        </x:is>
      </x:c>
      <x:c r="G877" s="5" t="inlineStr">
        <x:is>
          <x:t xml:space="preserve">벌레</x:t>
        </x:is>
      </x:c>
      <x:c r="H877" s="6" t="n">
        <x:v>42</x:v>
      </x:c>
      <x:c r="I877" s="5" t="n"/>
      <x:c r="J877" s="5" t="inlineStr">
        <x:is>
          <x:t xml:space="preserve">최종</x:t>
        </x:is>
      </x:c>
      <x:c r="K877" s="7" t="inlineStr">
        <x:is>
          <x:t xml:space="preserve">비행</x:t>
        </x:is>
      </x:c>
      <x:c r="L877" s="7" t="inlineStr">
        <x:is>
          <x:t xml:space="preserve">수목</x:t>
        </x:is>
      </x:c>
      <x:c r="M877" s="7" t="inlineStr">
        <x:is>
          <x:t xml:space="preserve">한랭</x:t>
        </x:is>
      </x:c>
      <x:c r="N877" s="7" t="inlineStr">
        <x:is>
          <x:t xml:space="preserve">보통</x:t>
        </x:is>
      </x:c>
      <x:c r="O877" s="7" t="inlineStr">
        <x:is>
          <x:t xml:space="preserve">무관</x:t>
        </x:is>
      </x:c>
      <x:c r="P877" s="7" t="inlineStr">
        <x:is>
          <x:t xml:space="preserve">밤</x:t>
        </x:is>
      </x:c>
      <x:c r="Q877" s="7" t="inlineStr">
        <x:is>
          <x:t xml:space="preserve">보통</x:t>
        </x:is>
      </x:c>
      <x:c r="R877" s="7" t="inlineStr">
        <x:is>
          <x:t xml:space="preserve">없음</x:t>
        </x:is>
      </x:c>
      <x:c r="S877" s="7" t="inlineStr">
        <x:is>
          <x:t xml:space="preserve"/>
        </x:is>
      </x:c>
      <x:c r="T877" s="7" t="inlineStr">
        <x:is>
          <x:t xml:space="preserve"/>
        </x:is>
      </x:c>
      <x:c r="U877" s="8" t="str">
        <x:f>INDEX('서식지_점수'!$E$4:$P$4,1,MATCH(MAX('서식지_점수'!E877:P877),'서식지_점수'!E877:P877,0))</x:f>
        <x:v>산악</x:v>
      </x:c>
      <x:c r="V877" s="8" t="str">
        <x:f>IF(T877&lt;&gt;"",T877,U877)</x:f>
        <x:v>산악</x:v>
      </x:c>
      <x:c r="W877" s="8" t="str">
        <x:f>IFERROR(INDEX('서식지_점수'!$E$4:$P$4,1,MATCH(MAXIFS('서식지_점수'!E877:P877,'서식지_점수'!E877:P877,"&lt;"&amp;MAX('서식지_점수'!E877:P877)),'서식지_점수'!E877:P877,0)),"")</x:f>
        <x:v>평원</x:v>
      </x:c>
      <x:c r="X877" s="8" t="str">
        <x:f>IF(T877&lt;&gt;"","수동확정",IF(MAX('서식지_점수'!E877:P877)-LARGE('서식지_점수'!E877:P877,2)&gt;=15,"높음",IF(MAX('서식지_점수'!E877:P877)-LARGE('서식지_점수'!E877:P877,2)&gt;=8,"보통","검토필요")))</x:f>
        <x:v>검토필요</x:v>
      </x:c>
      <x:c r="Y877" s="9" t="n">
        <x:f>IF(Q877="전설",8,IF(Q877="희귀",7,IF(J877="기본",1,IF(J877="중간",3,IF(J877="최종",IF(I877="",5,IF(I877&lt;=20,3,IF(I877&lt;=35,4,IF(I877&lt;=50,6,7)))),IF(Q877="드묾",4,2))))))</x:f>
        <x:v>5</x:v>
      </x:c>
      <x:c r="Z877" s="5" t="inlineStr">
        <x:is>
          <x:t xml:space="preserve">#cobblemon:is_freezing</x:t>
        </x:is>
      </x:c>
      <x:c r="AA877" s="5" t="inlineStr">
        <x:is>
          <x:t xml:space="preserve">uncommon</x:t>
        </x:is>
      </x:c>
      <x:c r="AB877" s="5" t="inlineStr">
        <x:is>
          <x:t xml:space="preserve">아니오</x:t>
        </x:is>
      </x:c>
      <x:c r="AC877" s="8" t="str">
        <x:f>IF(T877&lt;&gt;"","수동확정",IF(X877="검토필요","검토필요",IF(S877="","원본없음","초기완료")))</x:f>
        <x:v>검토필요</x:v>
      </x:c>
      <x:c r="AD877" s="7" t="inlineStr">
        <x:is>
          <x:t xml:space="preserve"/>
        </x:is>
      </x:c>
      <x:c r="AE877" s="5" t="inlineStr">
        <x:is>
          <x:t xml:space="preserve">.tmp/cobblemon-1.7.3-source/common/src/main/resources/data/cobblemon/species/generation8/frosmoth.json</x:t>
        </x:is>
      </x:c>
      <x:c r="AF877" s="5" t="str">
        <x:f>"생활권|"&amp;K877</x:f>
        <x:v>생활권|비행</x:v>
      </x:c>
      <x:c r="AG877" s="5" t="str">
        <x:f>"지형|"&amp;L877</x:f>
        <x:v>지형|수목</x:v>
      </x:c>
      <x:c r="AH877" s="5" t="str">
        <x:f>"온도|"&amp;M877</x:f>
        <x:v>온도|한랭</x:v>
      </x:c>
      <x:c r="AI877" s="5" t="str">
        <x:f>"습도|"&amp;N877</x:f>
        <x:v>습도|보통</x:v>
      </x:c>
      <x:c r="AJ877" s="5" t="str">
        <x:f>"날씨|"&amp;O877</x:f>
        <x:v>날씨|무관</x:v>
      </x:c>
      <x:c r="AK877" s="5" t="str">
        <x:f>"특수태그|"&amp;R877</x:f>
        <x:v>특수태그|없음</x:v>
      </x:c>
      <x:c r="AL877" s="5" t="str">
        <x:f>"원본서식지|"&amp;S877</x:f>
        <x:v>원본서식지|</x:v>
      </x:c>
      <x:c r="AM877" s="5" t="str">
        <x:f>"타입|"&amp;F877</x:f>
        <x:v>타입|얼음</x:v>
      </x:c>
      <x:c r="AN877" s="5" t="str">
        <x:f>"타입|"&amp;G877</x:f>
        <x:v>타입|벌레</x:v>
      </x:c>
    </x:row>
    <x:row r="878" ht="24" customHeight="1">
      <x:c r="A878" s="5" t="n">
        <x:v>874</x:v>
      </x:c>
      <x:c r="B878" s="5" t="inlineStr">
        <x:is>
          <x:t xml:space="preserve">돌헨진</x:t>
        </x:is>
      </x:c>
      <x:c r="C878" s="5" t="inlineStr">
        <x:is>
          <x:t xml:space="preserve">stonjourner</x:t>
        </x:is>
      </x:c>
      <x:c r="D878" s="5" t="inlineStr">
        <x:is>
          <x:t xml:space="preserve">Stonjourner</x:t>
        </x:is>
      </x:c>
      <x:c r="E878" s="5" t="n">
        <x:v>8</x:v>
      </x:c>
      <x:c r="F878" s="5" t="inlineStr">
        <x:is>
          <x:t xml:space="preserve">바위</x:t>
        </x:is>
      </x:c>
      <x:c r="G878" s="5" t="inlineStr">
        <x:is>
          <x:t xml:space="preserve"/>
        </x:is>
      </x:c>
      <x:c r="H878" s="6" t="n">
        <x:v>520</x:v>
      </x:c>
      <x:c r="I878" s="5" t="n"/>
      <x:c r="J878" s="5" t="inlineStr">
        <x:is>
          <x:t xml:space="preserve">무진화</x:t>
        </x:is>
      </x:c>
      <x:c r="K878" s="7" t="inlineStr">
        <x:is>
          <x:t xml:space="preserve">육상</x:t>
        </x:is>
      </x:c>
      <x:c r="L878" s="7" t="inlineStr">
        <x:is>
          <x:t xml:space="preserve">개활지</x:t>
        </x:is>
      </x:c>
      <x:c r="M878" s="7" t="inlineStr">
        <x:is>
          <x:t xml:space="preserve">온대</x:t>
        </x:is>
      </x:c>
      <x:c r="N878" s="7" t="inlineStr">
        <x:is>
          <x:t xml:space="preserve">보통</x:t>
        </x:is>
      </x:c>
      <x:c r="O878" s="7" t="inlineStr">
        <x:is>
          <x:t xml:space="preserve">무관</x:t>
        </x:is>
      </x:c>
      <x:c r="P878" s="7" t="inlineStr">
        <x:is>
          <x:t xml:space="preserve">황혼</x:t>
        </x:is>
      </x:c>
      <x:c r="Q878" s="7" t="inlineStr">
        <x:is>
          <x:t xml:space="preserve">보통</x:t>
        </x:is>
      </x:c>
      <x:c r="R878" s="7" t="inlineStr">
        <x:is>
          <x:t xml:space="preserve">없음</x:t>
        </x:is>
      </x:c>
      <x:c r="S878" s="7" t="inlineStr">
        <x:is>
          <x:t xml:space="preserve">평원</x:t>
        </x:is>
      </x:c>
      <x:c r="T878" s="7" t="inlineStr">
        <x:is>
          <x:t xml:space="preserve"/>
        </x:is>
      </x:c>
      <x:c r="U878" s="8" t="str">
        <x:f>INDEX('서식지_점수'!$E$4:$P$4,1,MATCH(MAX('서식지_점수'!E878:P878),'서식지_점수'!E878:P878,0))</x:f>
        <x:v>평원</x:v>
      </x:c>
      <x:c r="V878" s="8" t="str">
        <x:f>IF(T878&lt;&gt;"",T878,U878)</x:f>
        <x:v>평원</x:v>
      </x:c>
      <x:c r="W878" s="8" t="str">
        <x:f>IFERROR(INDEX('서식지_점수'!$E$4:$P$4,1,MATCH(MAXIFS('서식지_점수'!E878:P878,'서식지_점수'!E878:P878,"&lt;"&amp;MAX('서식지_점수'!E878:P878)),'서식지_점수'!E878:P878,0)),"")</x:f>
        <x:v>숲</x:v>
      </x:c>
      <x:c r="X878" s="8" t="str">
        <x:f>IF(T878&lt;&gt;"","수동확정",IF(MAX('서식지_점수'!E878:P878)-LARGE('서식지_점수'!E878:P878,2)&gt;=15,"높음",IF(MAX('서식지_점수'!E878:P878)-LARGE('서식지_점수'!E878:P878,2)&gt;=8,"보통","검토필요")))</x:f>
        <x:v>검토필요</x:v>
      </x:c>
      <x:c r="Y878" s="9" t="n">
        <x:f>IF(Q878="전설",8,IF(Q878="희귀",7,IF(J878="기본",1,IF(J878="중간",3,IF(J878="최종",IF(I878="",5,IF(I878&lt;=20,3,IF(I878&lt;=35,4,IF(I878&lt;=50,6,7)))),IF(Q878="드묾",4,2))))))</x:f>
        <x:v>2</x:v>
      </x:c>
      <x:c r="Z878" s="5" t="inlineStr">
        <x:is>
          <x:t xml:space="preserve">#cobblemon:is_overworld; #cobblemon:is_plains</x:t>
        </x:is>
      </x:c>
      <x:c r="AA878" s="5" t="inlineStr">
        <x:is>
          <x:t xml:space="preserve">common; rare; uncommon</x:t>
        </x:is>
      </x:c>
      <x:c r="AB878" s="5" t="inlineStr">
        <x:is>
          <x:t xml:space="preserve">예</x:t>
        </x:is>
      </x:c>
      <x:c r="AC878" s="8" t="str">
        <x:f>IF(T878&lt;&gt;"","수동확정",IF(X878="검토필요","검토필요",IF(S878="","원본없음","초기완료")))</x:f>
        <x:v>검토필요</x:v>
      </x:c>
      <x:c r="AD878" s="7" t="inlineStr">
        <x:is>
          <x:t xml:space="preserve"/>
        </x:is>
      </x:c>
      <x:c r="AE878" s="5" t="inlineStr">
        <x:is>
          <x:t xml:space="preserve">.tmp/cobblemon-1.7.3-source/common/src/main/resources/data/cobblemon/species/generation8/stonjourner.json</x:t>
        </x:is>
      </x:c>
      <x:c r="AF878" s="5" t="str">
        <x:f>"생활권|"&amp;K878</x:f>
        <x:v>생활권|육상</x:v>
      </x:c>
      <x:c r="AG878" s="5" t="str">
        <x:f>"지형|"&amp;L878</x:f>
        <x:v>지형|개활지</x:v>
      </x:c>
      <x:c r="AH878" s="5" t="str">
        <x:f>"온도|"&amp;M878</x:f>
        <x:v>온도|온대</x:v>
      </x:c>
      <x:c r="AI878" s="5" t="str">
        <x:f>"습도|"&amp;N878</x:f>
        <x:v>습도|보통</x:v>
      </x:c>
      <x:c r="AJ878" s="5" t="str">
        <x:f>"날씨|"&amp;O878</x:f>
        <x:v>날씨|무관</x:v>
      </x:c>
      <x:c r="AK878" s="5" t="str">
        <x:f>"특수태그|"&amp;R878</x:f>
        <x:v>특수태그|없음</x:v>
      </x:c>
      <x:c r="AL878" s="5" t="str">
        <x:f>"원본서식지|"&amp;S878</x:f>
        <x:v>원본서식지|평원</x:v>
      </x:c>
      <x:c r="AM878" s="5" t="str">
        <x:f>"타입|"&amp;F878</x:f>
        <x:v>타입|바위</x:v>
      </x:c>
      <x:c r="AN878" s="5" t="str">
        <x:f>"타입|"&amp;G878</x:f>
        <x:v>타입|</x:v>
      </x:c>
    </x:row>
    <x:row r="879" ht="24" customHeight="1">
      <x:c r="A879" s="5" t="n">
        <x:v>875</x:v>
      </x:c>
      <x:c r="B879" s="5" t="inlineStr">
        <x:is>
          <x:t xml:space="preserve">빙큐보</x:t>
        </x:is>
      </x:c>
      <x:c r="C879" s="5" t="inlineStr">
        <x:is>
          <x:t xml:space="preserve">eiscue</x:t>
        </x:is>
      </x:c>
      <x:c r="D879" s="5" t="inlineStr">
        <x:is>
          <x:t xml:space="preserve">Eiscue</x:t>
        </x:is>
      </x:c>
      <x:c r="E879" s="5" t="n">
        <x:v>8</x:v>
      </x:c>
      <x:c r="F879" s="5" t="inlineStr">
        <x:is>
          <x:t xml:space="preserve">얼음</x:t>
        </x:is>
      </x:c>
      <x:c r="G879" s="5" t="inlineStr">
        <x:is>
          <x:t xml:space="preserve"/>
        </x:is>
      </x:c>
      <x:c r="H879" s="6" t="n">
        <x:v>89</x:v>
      </x:c>
      <x:c r="I879" s="5" t="n"/>
      <x:c r="J879" s="5" t="inlineStr">
        <x:is>
          <x:t xml:space="preserve">무진화</x:t>
        </x:is>
      </x:c>
      <x:c r="K879" s="7" t="inlineStr">
        <x:is>
          <x:t xml:space="preserve">육상</x:t>
        </x:is>
      </x:c>
      <x:c r="L879" s="7" t="inlineStr">
        <x:is>
          <x:t xml:space="preserve">설원</x:t>
        </x:is>
      </x:c>
      <x:c r="M879" s="7" t="inlineStr">
        <x:is>
          <x:t xml:space="preserve">한랭</x:t>
        </x:is>
      </x:c>
      <x:c r="N879" s="7" t="inlineStr">
        <x:is>
          <x:t xml:space="preserve">보통</x:t>
        </x:is>
      </x:c>
      <x:c r="O879" s="7" t="inlineStr">
        <x:is>
          <x:t xml:space="preserve">눈</x:t>
        </x:is>
      </x:c>
      <x:c r="P879" s="7" t="inlineStr">
        <x:is>
          <x:t xml:space="preserve">무관</x:t>
        </x:is>
      </x:c>
      <x:c r="Q879" s="7" t="inlineStr">
        <x:is>
          <x:t xml:space="preserve">흔함</x:t>
        </x:is>
      </x:c>
      <x:c r="R879" s="7" t="inlineStr">
        <x:is>
          <x:t xml:space="preserve">없음</x:t>
        </x:is>
      </x:c>
      <x:c r="S879" s="7" t="inlineStr">
        <x:is>
          <x:t xml:space="preserve">설원</x:t>
        </x:is>
      </x:c>
      <x:c r="T879" s="7" t="inlineStr">
        <x:is>
          <x:t xml:space="preserve"/>
        </x:is>
      </x:c>
      <x:c r="U879" s="8" t="str">
        <x:f>INDEX('서식지_점수'!$E$4:$P$4,1,MATCH(MAX('서식지_점수'!E879:P879),'서식지_점수'!E879:P879,0))</x:f>
        <x:v>평원</x:v>
      </x:c>
      <x:c r="V879" s="8" t="str">
        <x:f>IF(T879&lt;&gt;"",T879,U879)</x:f>
        <x:v>평원</x:v>
      </x:c>
      <x:c r="W879" s="8" t="str">
        <x:f>IFERROR(INDEX('서식지_점수'!$E$4:$P$4,1,MATCH(MAXIFS('서식지_점수'!E879:P879,'서식지_점수'!E879:P879,"&lt;"&amp;MAX('서식지_점수'!E879:P879)),'서식지_점수'!E879:P879,0)),"")</x:f>
        <x:v>숲</x:v>
      </x:c>
      <x:c r="X879" s="8" t="str">
        <x:f>IF(T879&lt;&gt;"","수동확정",IF(MAX('서식지_점수'!E879:P879)-LARGE('서식지_점수'!E879:P879,2)&gt;=15,"높음",IF(MAX('서식지_점수'!E879:P879)-LARGE('서식지_점수'!E879:P879,2)&gt;=8,"보통","검토필요")))</x:f>
        <x:v>검토필요</x:v>
      </x:c>
      <x:c r="Y879" s="9" t="n">
        <x:f>IF(Q879="전설",8,IF(Q879="희귀",7,IF(J879="기본",1,IF(J879="중간",3,IF(J879="최종",IF(I879="",5,IF(I879&lt;=20,3,IF(I879&lt;=35,4,IF(I879&lt;=50,6,7)))),IF(Q879="드묾",4,2))))))</x:f>
        <x:v>2</x:v>
      </x:c>
      <x:c r="Z879" s="5" t="inlineStr">
        <x:is>
          <x:t xml:space="preserve">#cobblemon:is_frozen_ocean; #cobblemon:is_glacial; #cobblemon:is_tundra</x:t>
        </x:is>
      </x:c>
      <x:c r="AA879" s="5" t="inlineStr">
        <x:is>
          <x:t xml:space="preserve">common</x:t>
        </x:is>
      </x:c>
      <x:c r="AB879" s="5" t="inlineStr">
        <x:is>
          <x:t xml:space="preserve">예</x:t>
        </x:is>
      </x:c>
      <x:c r="AC879" s="8" t="str">
        <x:f>IF(T879&lt;&gt;"","수동확정",IF(X879="검토필요","검토필요",IF(S879="","원본없음","초기완료")))</x:f>
        <x:v>검토필요</x:v>
      </x:c>
      <x:c r="AD879" s="7" t="inlineStr">
        <x:is>
          <x:t xml:space="preserve"/>
        </x:is>
      </x:c>
      <x:c r="AE879" s="5" t="inlineStr">
        <x:is>
          <x:t xml:space="preserve">.tmp/cobblemon-1.7.3-source/common/src/main/resources/data/cobblemon/species/generation8/eiscue.json</x:t>
        </x:is>
      </x:c>
      <x:c r="AF879" s="5" t="str">
        <x:f>"생활권|"&amp;K879</x:f>
        <x:v>생활권|육상</x:v>
      </x:c>
      <x:c r="AG879" s="5" t="str">
        <x:f>"지형|"&amp;L879</x:f>
        <x:v>지형|설원</x:v>
      </x:c>
      <x:c r="AH879" s="5" t="str">
        <x:f>"온도|"&amp;M879</x:f>
        <x:v>온도|한랭</x:v>
      </x:c>
      <x:c r="AI879" s="5" t="str">
        <x:f>"습도|"&amp;N879</x:f>
        <x:v>습도|보통</x:v>
      </x:c>
      <x:c r="AJ879" s="5" t="str">
        <x:f>"날씨|"&amp;O879</x:f>
        <x:v>날씨|눈</x:v>
      </x:c>
      <x:c r="AK879" s="5" t="str">
        <x:f>"특수태그|"&amp;R879</x:f>
        <x:v>특수태그|없음</x:v>
      </x:c>
      <x:c r="AL879" s="5" t="str">
        <x:f>"원본서식지|"&amp;S879</x:f>
        <x:v>원본서식지|설원</x:v>
      </x:c>
      <x:c r="AM879" s="5" t="str">
        <x:f>"타입|"&amp;F879</x:f>
        <x:v>타입|얼음</x:v>
      </x:c>
      <x:c r="AN879" s="5" t="str">
        <x:f>"타입|"&amp;G879</x:f>
        <x:v>타입|</x:v>
      </x:c>
    </x:row>
    <x:row r="880" ht="24" customHeight="1">
      <x:c r="A880" s="5" t="n">
        <x:v>876</x:v>
      </x:c>
      <x:c r="B880" s="5" t="inlineStr">
        <x:is>
          <x:t xml:space="preserve">에써르</x:t>
        </x:is>
      </x:c>
      <x:c r="C880" s="5" t="inlineStr">
        <x:is>
          <x:t xml:space="preserve">indeedee</x:t>
        </x:is>
      </x:c>
      <x:c r="D880" s="5" t="inlineStr">
        <x:is>
          <x:t xml:space="preserve">Indeedee</x:t>
        </x:is>
      </x:c>
      <x:c r="E880" s="5" t="n">
        <x:v>8</x:v>
      </x:c>
      <x:c r="F880" s="5" t="inlineStr">
        <x:is>
          <x:t xml:space="preserve">에스퍼</x:t>
        </x:is>
      </x:c>
      <x:c r="G880" s="5" t="inlineStr">
        <x:is>
          <x:t xml:space="preserve">노말</x:t>
        </x:is>
      </x:c>
      <x:c r="H880" s="6" t="n">
        <x:v>28</x:v>
      </x:c>
      <x:c r="I880" s="5" t="n"/>
      <x:c r="J880" s="5" t="inlineStr">
        <x:is>
          <x:t xml:space="preserve">무진화</x:t>
        </x:is>
      </x:c>
      <x:c r="K880" s="7" t="inlineStr">
        <x:is>
          <x:t xml:space="preserve">육상</x:t>
        </x:is>
      </x:c>
      <x:c r="L880" s="7" t="inlineStr">
        <x:is>
          <x:t xml:space="preserve">개활지</x:t>
        </x:is>
      </x:c>
      <x:c r="M880" s="7" t="inlineStr">
        <x:is>
          <x:t xml:space="preserve">온대</x:t>
        </x:is>
      </x:c>
      <x:c r="N880" s="7" t="inlineStr">
        <x:is>
          <x:t xml:space="preserve">보통</x:t>
        </x:is>
      </x:c>
      <x:c r="O880" s="7" t="inlineStr">
        <x:is>
          <x:t xml:space="preserve">무관</x:t>
        </x:is>
      </x:c>
      <x:c r="P880" s="7" t="inlineStr">
        <x:is>
          <x:t xml:space="preserve">무관</x:t>
        </x:is>
      </x:c>
      <x:c r="Q880" s="7" t="inlineStr">
        <x:is>
          <x:t xml:space="preserve">드묾</x:t>
        </x:is>
      </x:c>
      <x:c r="R880" s="7" t="inlineStr">
        <x:is>
          <x:t xml:space="preserve">없음</x:t>
        </x:is>
      </x:c>
      <x:c r="S880" s="7" t="inlineStr">
        <x:is>
          <x:t xml:space="preserve"/>
        </x:is>
      </x:c>
      <x:c r="T880" s="7" t="inlineStr">
        <x:is>
          <x:t xml:space="preserve"/>
        </x:is>
      </x:c>
      <x:c r="U880" s="8" t="str">
        <x:f>INDEX('서식지_점수'!$E$4:$P$4,1,MATCH(MAX('서식지_점수'!E880:P880),'서식지_점수'!E880:P880,0))</x:f>
        <x:v>평원</x:v>
      </x:c>
      <x:c r="V880" s="8" t="str">
        <x:f>IF(T880&lt;&gt;"",T880,U880)</x:f>
        <x:v>평원</x:v>
      </x:c>
      <x:c r="W880" s="8" t="str">
        <x:f>IFERROR(INDEX('서식지_점수'!$E$4:$P$4,1,MATCH(MAXIFS('서식지_점수'!E880:P880,'서식지_점수'!E880:P880,"&lt;"&amp;MAX('서식지_점수'!E880:P880)),'서식지_점수'!E880:P880,0)),"")</x:f>
        <x:v>숲</x:v>
      </x:c>
      <x:c r="X880" s="8" t="str">
        <x:f>IF(T880&lt;&gt;"","수동확정",IF(MAX('서식지_점수'!E880:P880)-LARGE('서식지_점수'!E880:P880,2)&gt;=15,"높음",IF(MAX('서식지_점수'!E880:P880)-LARGE('서식지_점수'!E880:P880,2)&gt;=8,"보통","검토필요")))</x:f>
        <x:v>검토필요</x:v>
      </x:c>
      <x:c r="Y880" s="9" t="n">
        <x:f>IF(Q880="전설",8,IF(Q880="희귀",7,IF(J880="기본",1,IF(J880="중간",3,IF(J880="최종",IF(I880="",5,IF(I880&lt;=20,3,IF(I880&lt;=35,4,IF(I880&lt;=50,6,7)))),IF(Q880="드묾",4,2))))))</x:f>
        <x:v>4</x:v>
      </x:c>
      <x:c r="Z880" s="5" t="inlineStr">
        <x:is>
          <x:t xml:space="preserve">#cobblemon:is_magical</x:t>
        </x:is>
      </x:c>
      <x:c r="AA880" s="5" t="inlineStr">
        <x:is>
          <x:t xml:space="preserve">rare</x:t>
        </x:is>
      </x:c>
      <x:c r="AB880" s="5" t="inlineStr">
        <x:is>
          <x:t xml:space="preserve">아니오</x:t>
        </x:is>
      </x:c>
      <x:c r="AC880" s="8" t="str">
        <x:f>IF(T880&lt;&gt;"","수동확정",IF(X880="검토필요","검토필요",IF(S880="","원본없음","초기완료")))</x:f>
        <x:v>검토필요</x:v>
      </x:c>
      <x:c r="AD880" s="7" t="inlineStr">
        <x:is>
          <x:t xml:space="preserve"/>
        </x:is>
      </x:c>
      <x:c r="AE880" s="5" t="inlineStr">
        <x:is>
          <x:t xml:space="preserve">.tmp/cobblemon-1.7.3-source/common/src/main/resources/data/cobblemon/species/generation8/indeedee.json</x:t>
        </x:is>
      </x:c>
      <x:c r="AF880" s="5" t="str">
        <x:f>"생활권|"&amp;K880</x:f>
        <x:v>생활권|육상</x:v>
      </x:c>
      <x:c r="AG880" s="5" t="str">
        <x:f>"지형|"&amp;L880</x:f>
        <x:v>지형|개활지</x:v>
      </x:c>
      <x:c r="AH880" s="5" t="str">
        <x:f>"온도|"&amp;M880</x:f>
        <x:v>온도|온대</x:v>
      </x:c>
      <x:c r="AI880" s="5" t="str">
        <x:f>"습도|"&amp;N880</x:f>
        <x:v>습도|보통</x:v>
      </x:c>
      <x:c r="AJ880" s="5" t="str">
        <x:f>"날씨|"&amp;O880</x:f>
        <x:v>날씨|무관</x:v>
      </x:c>
      <x:c r="AK880" s="5" t="str">
        <x:f>"특수태그|"&amp;R880</x:f>
        <x:v>특수태그|없음</x:v>
      </x:c>
      <x:c r="AL880" s="5" t="str">
        <x:f>"원본서식지|"&amp;S880</x:f>
        <x:v>원본서식지|</x:v>
      </x:c>
      <x:c r="AM880" s="5" t="str">
        <x:f>"타입|"&amp;F880</x:f>
        <x:v>타입|에스퍼</x:v>
      </x:c>
      <x:c r="AN880" s="5" t="str">
        <x:f>"타입|"&amp;G880</x:f>
        <x:v>타입|노말</x:v>
      </x:c>
    </x:row>
    <x:row r="881" ht="24" customHeight="1">
      <x:c r="A881" s="5" t="n">
        <x:v>877</x:v>
      </x:c>
      <x:c r="B881" s="5" t="inlineStr">
        <x:is>
          <x:t xml:space="preserve">모르페코</x:t>
        </x:is>
      </x:c>
      <x:c r="C881" s="5" t="inlineStr">
        <x:is>
          <x:t xml:space="preserve">morpeko</x:t>
        </x:is>
      </x:c>
      <x:c r="D881" s="5" t="inlineStr">
        <x:is>
          <x:t xml:space="preserve">Morpeko</x:t>
        </x:is>
      </x:c>
      <x:c r="E881" s="5" t="n">
        <x:v>8</x:v>
      </x:c>
      <x:c r="F881" s="5" t="inlineStr">
        <x:is>
          <x:t xml:space="preserve">전기</x:t>
        </x:is>
      </x:c>
      <x:c r="G881" s="5" t="inlineStr">
        <x:is>
          <x:t xml:space="preserve">악</x:t>
        </x:is>
      </x:c>
      <x:c r="H881" s="6" t="n">
        <x:v>3</x:v>
      </x:c>
      <x:c r="I881" s="5" t="n"/>
      <x:c r="J881" s="5" t="inlineStr">
        <x:is>
          <x:t xml:space="preserve">무진화</x:t>
        </x:is>
      </x:c>
      <x:c r="K881" s="7" t="inlineStr">
        <x:is>
          <x:t xml:space="preserve">육상</x:t>
        </x:is>
      </x:c>
      <x:c r="L881" s="7" t="inlineStr">
        <x:is>
          <x:t xml:space="preserve">수목</x:t>
        </x:is>
      </x:c>
      <x:c r="M881" s="7" t="inlineStr">
        <x:is>
          <x:t xml:space="preserve">온대</x:t>
        </x:is>
      </x:c>
      <x:c r="N881" s="7" t="inlineStr">
        <x:is>
          <x:t xml:space="preserve">보통</x:t>
        </x:is>
      </x:c>
      <x:c r="O881" s="7" t="inlineStr">
        <x:is>
          <x:t xml:space="preserve">무관</x:t>
        </x:is>
      </x:c>
      <x:c r="P881" s="7" t="inlineStr">
        <x:is>
          <x:t xml:space="preserve">밤</x:t>
        </x:is>
      </x:c>
      <x:c r="Q881" s="7" t="inlineStr">
        <x:is>
          <x:t xml:space="preserve">보통</x:t>
        </x:is>
      </x:c>
      <x:c r="R881" s="7" t="inlineStr">
        <x:is>
          <x:t xml:space="preserve">없음</x:t>
        </x:is>
      </x:c>
      <x:c r="S881" s="7" t="inlineStr">
        <x:is>
          <x:t xml:space="preserve">숲</x:t>
        </x:is>
      </x:c>
      <x:c r="T881" s="7" t="inlineStr">
        <x:is>
          <x:t xml:space="preserve"/>
        </x:is>
      </x:c>
      <x:c r="U881" s="8" t="str">
        <x:f>INDEX('서식지_점수'!$E$4:$P$4,1,MATCH(MAX('서식지_점수'!E881:P881),'서식지_점수'!E881:P881,0))</x:f>
        <x:v>평원</x:v>
      </x:c>
      <x:c r="V881" s="8" t="str">
        <x:f>IF(T881&lt;&gt;"",T881,U881)</x:f>
        <x:v>평원</x:v>
      </x:c>
      <x:c r="W881" s="8" t="str">
        <x:f>IFERROR(INDEX('서식지_점수'!$E$4:$P$4,1,MATCH(MAXIFS('서식지_점수'!E881:P881,'서식지_점수'!E881:P881,"&lt;"&amp;MAX('서식지_점수'!E881:P881)),'서식지_점수'!E881:P881,0)),"")</x:f>
        <x:v>숲</x:v>
      </x:c>
      <x:c r="X881" s="8" t="str">
        <x:f>IF(T881&lt;&gt;"","수동확정",IF(MAX('서식지_점수'!E881:P881)-LARGE('서식지_점수'!E881:P881,2)&gt;=15,"높음",IF(MAX('서식지_점수'!E881:P881)-LARGE('서식지_점수'!E881:P881,2)&gt;=8,"보통","검토필요")))</x:f>
        <x:v>검토필요</x:v>
      </x:c>
      <x:c r="Y881" s="9" t="n">
        <x:f>IF(Q881="전설",8,IF(Q881="희귀",7,IF(J881="기본",1,IF(J881="중간",3,IF(J881="최종",IF(I881="",5,IF(I881&lt;=20,3,IF(I881&lt;=35,4,IF(I881&lt;=50,6,7)))),IF(Q881="드묾",4,2))))))</x:f>
        <x:v>2</x:v>
      </x:c>
      <x:c r="Z881" s="5" t="inlineStr">
        <x:is>
          <x:t xml:space="preserve">#cobblemon:is_forest</x:t>
        </x:is>
      </x:c>
      <x:c r="AA881" s="5" t="inlineStr">
        <x:is>
          <x:t xml:space="preserve">uncommon</x:t>
        </x:is>
      </x:c>
      <x:c r="AB881" s="5" t="inlineStr">
        <x:is>
          <x:t xml:space="preserve">예</x:t>
        </x:is>
      </x:c>
      <x:c r="AC881" s="8" t="str">
        <x:f>IF(T881&lt;&gt;"","수동확정",IF(X881="검토필요","검토필요",IF(S881="","원본없음","초기완료")))</x:f>
        <x:v>검토필요</x:v>
      </x:c>
      <x:c r="AD881" s="7" t="inlineStr">
        <x:is>
          <x:t xml:space="preserve"/>
        </x:is>
      </x:c>
      <x:c r="AE881" s="5" t="inlineStr">
        <x:is>
          <x:t xml:space="preserve">.tmp/cobblemon-1.7.3-source/common/src/main/resources/data/cobblemon/species/generation8/morpeko.json</x:t>
        </x:is>
      </x:c>
      <x:c r="AF881" s="5" t="str">
        <x:f>"생활권|"&amp;K881</x:f>
        <x:v>생활권|육상</x:v>
      </x:c>
      <x:c r="AG881" s="5" t="str">
        <x:f>"지형|"&amp;L881</x:f>
        <x:v>지형|수목</x:v>
      </x:c>
      <x:c r="AH881" s="5" t="str">
        <x:f>"온도|"&amp;M881</x:f>
        <x:v>온도|온대</x:v>
      </x:c>
      <x:c r="AI881" s="5" t="str">
        <x:f>"습도|"&amp;N881</x:f>
        <x:v>습도|보통</x:v>
      </x:c>
      <x:c r="AJ881" s="5" t="str">
        <x:f>"날씨|"&amp;O881</x:f>
        <x:v>날씨|무관</x:v>
      </x:c>
      <x:c r="AK881" s="5" t="str">
        <x:f>"특수태그|"&amp;R881</x:f>
        <x:v>특수태그|없음</x:v>
      </x:c>
      <x:c r="AL881" s="5" t="str">
        <x:f>"원본서식지|"&amp;S881</x:f>
        <x:v>원본서식지|숲</x:v>
      </x:c>
      <x:c r="AM881" s="5" t="str">
        <x:f>"타입|"&amp;F881</x:f>
        <x:v>타입|전기</x:v>
      </x:c>
      <x:c r="AN881" s="5" t="str">
        <x:f>"타입|"&amp;G881</x:f>
        <x:v>타입|악</x:v>
      </x:c>
    </x:row>
    <x:row r="882" ht="24" customHeight="1">
      <x:c r="A882" s="5" t="n">
        <x:v>878</x:v>
      </x:c>
      <x:c r="B882" s="5" t="inlineStr">
        <x:is>
          <x:t xml:space="preserve">끼리동</x:t>
        </x:is>
      </x:c>
      <x:c r="C882" s="5" t="inlineStr">
        <x:is>
          <x:t xml:space="preserve">cufant</x:t>
        </x:is>
      </x:c>
      <x:c r="D882" s="5" t="inlineStr">
        <x:is>
          <x:t xml:space="preserve">Cufant</x:t>
        </x:is>
      </x:c>
      <x:c r="E882" s="5" t="n">
        <x:v>8</x:v>
      </x:c>
      <x:c r="F882" s="5" t="inlineStr">
        <x:is>
          <x:t xml:space="preserve">강철</x:t>
        </x:is>
      </x:c>
      <x:c r="G882" s="5" t="inlineStr">
        <x:is>
          <x:t xml:space="preserve"/>
        </x:is>
      </x:c>
      <x:c r="H882" s="6" t="n">
        <x:v>100</x:v>
      </x:c>
      <x:c r="I882" s="5" t="n">
        <x:v>34</x:v>
      </x:c>
      <x:c r="J882" s="5" t="inlineStr">
        <x:is>
          <x:t xml:space="preserve">기본</x:t>
        </x:is>
      </x:c>
      <x:c r="K882" s="7" t="inlineStr">
        <x:is>
          <x:t xml:space="preserve">육상</x:t>
        </x:is>
      </x:c>
      <x:c r="L882" s="7" t="inlineStr">
        <x:is>
          <x:t xml:space="preserve">암석</x:t>
        </x:is>
      </x:c>
      <x:c r="M882" s="7" t="inlineStr">
        <x:is>
          <x:t xml:space="preserve">온대</x:t>
        </x:is>
      </x:c>
      <x:c r="N882" s="7" t="inlineStr">
        <x:is>
          <x:t xml:space="preserve">보통</x:t>
        </x:is>
      </x:c>
      <x:c r="O882" s="7" t="inlineStr">
        <x:is>
          <x:t xml:space="preserve">무관</x:t>
        </x:is>
      </x:c>
      <x:c r="P882" s="7" t="inlineStr">
        <x:is>
          <x:t xml:space="preserve">무관</x:t>
        </x:is>
      </x:c>
      <x:c r="Q882" s="7" t="inlineStr">
        <x:is>
          <x:t xml:space="preserve">보통</x:t>
        </x:is>
      </x:c>
      <x:c r="R882" s="7" t="inlineStr">
        <x:is>
          <x:t xml:space="preserve">없음</x:t>
        </x:is>
      </x:c>
      <x:c r="S882" s="7" t="inlineStr">
        <x:is>
          <x:t xml:space="preserve">산악</x:t>
        </x:is>
      </x:c>
      <x:c r="T882" s="7" t="inlineStr">
        <x:is>
          <x:t xml:space="preserve"/>
        </x:is>
      </x:c>
      <x:c r="U882" s="8" t="str">
        <x:f>INDEX('서식지_점수'!$E$4:$P$4,1,MATCH(MAX('서식지_점수'!E882:P882),'서식지_점수'!E882:P882,0))</x:f>
        <x:v>평원</x:v>
      </x:c>
      <x:c r="V882" s="8" t="str">
        <x:f>IF(T882&lt;&gt;"",T882,U882)</x:f>
        <x:v>평원</x:v>
      </x:c>
      <x:c r="W882" s="8" t="str">
        <x:f>IFERROR(INDEX('서식지_점수'!$E$4:$P$4,1,MATCH(MAXIFS('서식지_점수'!E882:P882,'서식지_점수'!E882:P882,"&lt;"&amp;MAX('서식지_점수'!E882:P882)),'서식지_점수'!E882:P882,0)),"")</x:f>
        <x:v>숲</x:v>
      </x:c>
      <x:c r="X882" s="8" t="str">
        <x:f>IF(T882&lt;&gt;"","수동확정",IF(MAX('서식지_점수'!E882:P882)-LARGE('서식지_점수'!E882:P882,2)&gt;=15,"높음",IF(MAX('서식지_점수'!E882:P882)-LARGE('서식지_점수'!E882:P882,2)&gt;=8,"보통","검토필요")))</x:f>
        <x:v>검토필요</x:v>
      </x:c>
      <x:c r="Y882" s="9" t="n">
        <x:f>IF(Q882="전설",8,IF(Q882="희귀",7,IF(J882="기본",1,IF(J882="중간",3,IF(J882="최종",IF(I882="",5,IF(I882&lt;=20,3,IF(I882&lt;=35,4,IF(I882&lt;=50,6,7)))),IF(Q882="드묾",4,2))))))</x:f>
        <x:v>1</x:v>
      </x:c>
      <x:c r="Z882" s="5" t="inlineStr">
        <x:is>
          <x:t xml:space="preserve">#cobblemon:is_badlands; #cobblemon:is_hills; #cobblemon:is_savanna</x:t>
        </x:is>
      </x:c>
      <x:c r="AA882" s="5" t="inlineStr">
        <x:is>
          <x:t xml:space="preserve">uncommon</x:t>
        </x:is>
      </x:c>
      <x:c r="AB882" s="5" t="inlineStr">
        <x:is>
          <x:t xml:space="preserve">예</x:t>
        </x:is>
      </x:c>
      <x:c r="AC882" s="8" t="str">
        <x:f>IF(T882&lt;&gt;"","수동확정",IF(X882="검토필요","검토필요",IF(S882="","원본없음","초기완료")))</x:f>
        <x:v>검토필요</x:v>
      </x:c>
      <x:c r="AD882" s="7" t="inlineStr">
        <x:is>
          <x:t xml:space="preserve"/>
        </x:is>
      </x:c>
      <x:c r="AE882" s="5" t="inlineStr">
        <x:is>
          <x:t xml:space="preserve">.tmp/cobblemon-1.7.3-source/common/src/main/resources/data/cobblemon/species/generation8/cufant.json</x:t>
        </x:is>
      </x:c>
      <x:c r="AF882" s="5" t="str">
        <x:f>"생활권|"&amp;K882</x:f>
        <x:v>생활권|육상</x:v>
      </x:c>
      <x:c r="AG882" s="5" t="str">
        <x:f>"지형|"&amp;L882</x:f>
        <x:v>지형|암석</x:v>
      </x:c>
      <x:c r="AH882" s="5" t="str">
        <x:f>"온도|"&amp;M882</x:f>
        <x:v>온도|온대</x:v>
      </x:c>
      <x:c r="AI882" s="5" t="str">
        <x:f>"습도|"&amp;N882</x:f>
        <x:v>습도|보통</x:v>
      </x:c>
      <x:c r="AJ882" s="5" t="str">
        <x:f>"날씨|"&amp;O882</x:f>
        <x:v>날씨|무관</x:v>
      </x:c>
      <x:c r="AK882" s="5" t="str">
        <x:f>"특수태그|"&amp;R882</x:f>
        <x:v>특수태그|없음</x:v>
      </x:c>
      <x:c r="AL882" s="5" t="str">
        <x:f>"원본서식지|"&amp;S882</x:f>
        <x:v>원본서식지|산악</x:v>
      </x:c>
      <x:c r="AM882" s="5" t="str">
        <x:f>"타입|"&amp;F882</x:f>
        <x:v>타입|강철</x:v>
      </x:c>
      <x:c r="AN882" s="5" t="str">
        <x:f>"타입|"&amp;G882</x:f>
        <x:v>타입|</x:v>
      </x:c>
    </x:row>
    <x:row r="883" ht="24" customHeight="1">
      <x:c r="A883" s="5" t="n">
        <x:v>879</x:v>
      </x:c>
      <x:c r="B883" s="5" t="inlineStr">
        <x:is>
          <x:t xml:space="preserve">대왕끼리동</x:t>
        </x:is>
      </x:c>
      <x:c r="C883" s="5" t="inlineStr">
        <x:is>
          <x:t xml:space="preserve">copperajah</x:t>
        </x:is>
      </x:c>
      <x:c r="D883" s="5" t="inlineStr">
        <x:is>
          <x:t xml:space="preserve">Copperajah</x:t>
        </x:is>
      </x:c>
      <x:c r="E883" s="5" t="n">
        <x:v>8</x:v>
      </x:c>
      <x:c r="F883" s="5" t="inlineStr">
        <x:is>
          <x:t xml:space="preserve">강철</x:t>
        </x:is>
      </x:c>
      <x:c r="G883" s="5" t="inlineStr">
        <x:is>
          <x:t xml:space="preserve"/>
        </x:is>
      </x:c>
      <x:c r="H883" s="6" t="n">
        <x:v>650</x:v>
      </x:c>
      <x:c r="I883" s="5" t="n">
        <x:v>34</x:v>
      </x:c>
      <x:c r="J883" s="5" t="inlineStr">
        <x:is>
          <x:t xml:space="preserve">최종</x:t>
        </x:is>
      </x:c>
      <x:c r="K883" s="7" t="inlineStr">
        <x:is>
          <x:t xml:space="preserve">육상</x:t>
        </x:is>
      </x:c>
      <x:c r="L883" s="7" t="inlineStr">
        <x:is>
          <x:t xml:space="preserve">암석</x:t>
        </x:is>
      </x:c>
      <x:c r="M883" s="7" t="inlineStr">
        <x:is>
          <x:t xml:space="preserve">온대</x:t>
        </x:is>
      </x:c>
      <x:c r="N883" s="7" t="inlineStr">
        <x:is>
          <x:t xml:space="preserve">보통</x:t>
        </x:is>
      </x:c>
      <x:c r="O883" s="7" t="inlineStr">
        <x:is>
          <x:t xml:space="preserve">무관</x:t>
        </x:is>
      </x:c>
      <x:c r="P883" s="7" t="inlineStr">
        <x:is>
          <x:t xml:space="preserve">무관</x:t>
        </x:is>
      </x:c>
      <x:c r="Q883" s="7" t="inlineStr">
        <x:is>
          <x:t xml:space="preserve">보통</x:t>
        </x:is>
      </x:c>
      <x:c r="R883" s="7" t="inlineStr">
        <x:is>
          <x:t xml:space="preserve">없음</x:t>
        </x:is>
      </x:c>
      <x:c r="S883" s="7" t="inlineStr">
        <x:is>
          <x:t xml:space="preserve">산악</x:t>
        </x:is>
      </x:c>
      <x:c r="T883" s="7" t="inlineStr">
        <x:is>
          <x:t xml:space="preserve"/>
        </x:is>
      </x:c>
      <x:c r="U883" s="8" t="str">
        <x:f>INDEX('서식지_점수'!$E$4:$P$4,1,MATCH(MAX('서식지_점수'!E883:P883),'서식지_점수'!E883:P883,0))</x:f>
        <x:v>평원</x:v>
      </x:c>
      <x:c r="V883" s="8" t="str">
        <x:f>IF(T883&lt;&gt;"",T883,U883)</x:f>
        <x:v>평원</x:v>
      </x:c>
      <x:c r="W883" s="8" t="str">
        <x:f>IFERROR(INDEX('서식지_점수'!$E$4:$P$4,1,MATCH(MAXIFS('서식지_점수'!E883:P883,'서식지_점수'!E883:P883,"&lt;"&amp;MAX('서식지_점수'!E883:P883)),'서식지_점수'!E883:P883,0)),"")</x:f>
        <x:v>숲</x:v>
      </x:c>
      <x:c r="X883" s="8" t="str">
        <x:f>IF(T883&lt;&gt;"","수동확정",IF(MAX('서식지_점수'!E883:P883)-LARGE('서식지_점수'!E883:P883,2)&gt;=15,"높음",IF(MAX('서식지_점수'!E883:P883)-LARGE('서식지_점수'!E883:P883,2)&gt;=8,"보통","검토필요")))</x:f>
        <x:v>검토필요</x:v>
      </x:c>
      <x:c r="Y883" s="9" t="n">
        <x:f>IF(Q883="전설",8,IF(Q883="희귀",7,IF(J883="기본",1,IF(J883="중간",3,IF(J883="최종",IF(I883="",5,IF(I883&lt;=20,3,IF(I883&lt;=35,4,IF(I883&lt;=50,6,7)))),IF(Q883="드묾",4,2))))))</x:f>
        <x:v>4</x:v>
      </x:c>
      <x:c r="Z883" s="5" t="inlineStr">
        <x:is>
          <x:t xml:space="preserve">#cobblemon:is_badlands; #cobblemon:is_hills; #cobblemon:is_savanna</x:t>
        </x:is>
      </x:c>
      <x:c r="AA883" s="5" t="inlineStr">
        <x:is>
          <x:t xml:space="preserve">uncommon</x:t>
        </x:is>
      </x:c>
      <x:c r="AB883" s="5" t="inlineStr">
        <x:is>
          <x:t xml:space="preserve">예</x:t>
        </x:is>
      </x:c>
      <x:c r="AC883" s="8" t="str">
        <x:f>IF(T883&lt;&gt;"","수동확정",IF(X883="검토필요","검토필요",IF(S883="","원본없음","초기완료")))</x:f>
        <x:v>검토필요</x:v>
      </x:c>
      <x:c r="AD883" s="7" t="inlineStr">
        <x:is>
          <x:t xml:space="preserve"/>
        </x:is>
      </x:c>
      <x:c r="AE883" s="5" t="inlineStr">
        <x:is>
          <x:t xml:space="preserve">.tmp/cobblemon-1.7.3-source/common/src/main/resources/data/cobblemon/species/generation8/copperajah.json</x:t>
        </x:is>
      </x:c>
      <x:c r="AF883" s="5" t="str">
        <x:f>"생활권|"&amp;K883</x:f>
        <x:v>생활권|육상</x:v>
      </x:c>
      <x:c r="AG883" s="5" t="str">
        <x:f>"지형|"&amp;L883</x:f>
        <x:v>지형|암석</x:v>
      </x:c>
      <x:c r="AH883" s="5" t="str">
        <x:f>"온도|"&amp;M883</x:f>
        <x:v>온도|온대</x:v>
      </x:c>
      <x:c r="AI883" s="5" t="str">
        <x:f>"습도|"&amp;N883</x:f>
        <x:v>습도|보통</x:v>
      </x:c>
      <x:c r="AJ883" s="5" t="str">
        <x:f>"날씨|"&amp;O883</x:f>
        <x:v>날씨|무관</x:v>
      </x:c>
      <x:c r="AK883" s="5" t="str">
        <x:f>"특수태그|"&amp;R883</x:f>
        <x:v>특수태그|없음</x:v>
      </x:c>
      <x:c r="AL883" s="5" t="str">
        <x:f>"원본서식지|"&amp;S883</x:f>
        <x:v>원본서식지|산악</x:v>
      </x:c>
      <x:c r="AM883" s="5" t="str">
        <x:f>"타입|"&amp;F883</x:f>
        <x:v>타입|강철</x:v>
      </x:c>
      <x:c r="AN883" s="5" t="str">
        <x:f>"타입|"&amp;G883</x:f>
        <x:v>타입|</x:v>
      </x:c>
    </x:row>
    <x:row r="884" ht="24" customHeight="1">
      <x:c r="A884" s="5" t="n">
        <x:v>880</x:v>
      </x:c>
      <x:c r="B884" s="5" t="inlineStr">
        <x:is>
          <x:t xml:space="preserve">파치래곤</x:t>
        </x:is>
      </x:c>
      <x:c r="C884" s="5" t="inlineStr">
        <x:is>
          <x:t xml:space="preserve">dracozolt</x:t>
        </x:is>
      </x:c>
      <x:c r="D884" s="5" t="inlineStr">
        <x:is>
          <x:t xml:space="preserve">Dracozolt</x:t>
        </x:is>
      </x:c>
      <x:c r="E884" s="5" t="n">
        <x:v>8</x:v>
      </x:c>
      <x:c r="F884" s="5" t="inlineStr">
        <x:is>
          <x:t xml:space="preserve">전기</x:t>
        </x:is>
      </x:c>
      <x:c r="G884" s="5" t="inlineStr">
        <x:is>
          <x:t xml:space="preserve">드래곤</x:t>
        </x:is>
      </x:c>
      <x:c r="H884" s="6" t="n">
        <x:v>190</x:v>
      </x:c>
      <x:c r="I884" s="5" t="n"/>
      <x:c r="J884" s="5" t="inlineStr">
        <x:is>
          <x:t xml:space="preserve">무진화</x:t>
        </x:is>
      </x:c>
      <x:c r="K884" s="7" t="inlineStr">
        <x:is>
          <x:t xml:space="preserve">육상</x:t>
        </x:is>
      </x:c>
      <x:c r="L884" s="7" t="inlineStr">
        <x:is>
          <x:t xml:space="preserve">개활지</x:t>
        </x:is>
      </x:c>
      <x:c r="M884" s="7" t="inlineStr">
        <x:is>
          <x:t xml:space="preserve">온대</x:t>
        </x:is>
      </x:c>
      <x:c r="N884" s="7" t="inlineStr">
        <x:is>
          <x:t xml:space="preserve">보통</x:t>
        </x:is>
      </x:c>
      <x:c r="O884" s="7" t="inlineStr">
        <x:is>
          <x:t xml:space="preserve">무관</x:t>
        </x:is>
      </x:c>
      <x:c r="P884" s="7" t="inlineStr">
        <x:is>
          <x:t xml:space="preserve">무관</x:t>
        </x:is>
      </x:c>
      <x:c r="Q884" s="7" t="inlineStr">
        <x:is>
          <x:t xml:space="preserve">희귀</x:t>
        </x:is>
      </x:c>
      <x:c r="R884" s="7" t="inlineStr">
        <x:is>
          <x:t xml:space="preserve">없음</x:t>
        </x:is>
      </x:c>
      <x:c r="S884" s="7" t="inlineStr">
        <x:is>
          <x:t xml:space="preserve"/>
        </x:is>
      </x:c>
      <x:c r="T884" s="7" t="inlineStr">
        <x:is>
          <x:t xml:space="preserve"/>
        </x:is>
      </x:c>
      <x:c r="U884" s="8" t="str">
        <x:f>INDEX('서식지_점수'!$E$4:$P$4,1,MATCH(MAX('서식지_점수'!E884:P884),'서식지_점수'!E884:P884,0))</x:f>
        <x:v>평원</x:v>
      </x:c>
      <x:c r="V884" s="8" t="str">
        <x:f>IF(T884&lt;&gt;"",T884,U884)</x:f>
        <x:v>평원</x:v>
      </x:c>
      <x:c r="W884" s="8" t="str">
        <x:f>IFERROR(INDEX('서식지_점수'!$E$4:$P$4,1,MATCH(MAXIFS('서식지_점수'!E884:P884,'서식지_점수'!E884:P884,"&lt;"&amp;MAX('서식지_점수'!E884:P884)),'서식지_점수'!E884:P884,0)),"")</x:f>
        <x:v>숲</x:v>
      </x:c>
      <x:c r="X884" s="8" t="str">
        <x:f>IF(T884&lt;&gt;"","수동확정",IF(MAX('서식지_점수'!E884:P884)-LARGE('서식지_점수'!E884:P884,2)&gt;=15,"높음",IF(MAX('서식지_점수'!E884:P884)-LARGE('서식지_점수'!E884:P884,2)&gt;=8,"보통","검토필요")))</x:f>
        <x:v>검토필요</x:v>
      </x:c>
      <x:c r="Y884" s="9" t="n">
        <x:f>IF(Q884="전설",8,IF(Q884="희귀",7,IF(J884="기본",1,IF(J884="중간",3,IF(J884="최종",IF(I884="",5,IF(I884&lt;=20,3,IF(I884&lt;=35,4,IF(I884&lt;=50,6,7)))),IF(Q884="드묾",4,2))))))</x:f>
        <x:v>7</x:v>
      </x:c>
      <x:c r="Z884" s="5" t="inlineStr">
        <x:is>
          <x:t xml:space="preserve"/>
        </x:is>
      </x:c>
      <x:c r="AA884" s="5" t="inlineStr">
        <x:is>
          <x:t xml:space="preserve"/>
        </x:is>
      </x:c>
      <x:c r="AB884" s="5" t="inlineStr">
        <x:is>
          <x:t xml:space="preserve">예</x:t>
        </x:is>
      </x:c>
      <x:c r="AC884" s="8" t="str">
        <x:f>IF(T884&lt;&gt;"","수동확정",IF(X884="검토필요","검토필요",IF(S884="","원본없음","초기완료")))</x:f>
        <x:v>검토필요</x:v>
      </x:c>
      <x:c r="AD884" s="7" t="inlineStr">
        <x:is>
          <x:t xml:space="preserve"/>
        </x:is>
      </x:c>
      <x:c r="AE884" s="5" t="inlineStr">
        <x:is>
          <x:t xml:space="preserve">.tmp/cobblemon-1.7.3-source/common/src/main/resources/data/cobblemon/species/generation8/dracozolt.json</x:t>
        </x:is>
      </x:c>
      <x:c r="AF884" s="5" t="str">
        <x:f>"생활권|"&amp;K884</x:f>
        <x:v>생활권|육상</x:v>
      </x:c>
      <x:c r="AG884" s="5" t="str">
        <x:f>"지형|"&amp;L884</x:f>
        <x:v>지형|개활지</x:v>
      </x:c>
      <x:c r="AH884" s="5" t="str">
        <x:f>"온도|"&amp;M884</x:f>
        <x:v>온도|온대</x:v>
      </x:c>
      <x:c r="AI884" s="5" t="str">
        <x:f>"습도|"&amp;N884</x:f>
        <x:v>습도|보통</x:v>
      </x:c>
      <x:c r="AJ884" s="5" t="str">
        <x:f>"날씨|"&amp;O884</x:f>
        <x:v>날씨|무관</x:v>
      </x:c>
      <x:c r="AK884" s="5" t="str">
        <x:f>"특수태그|"&amp;R884</x:f>
        <x:v>특수태그|없음</x:v>
      </x:c>
      <x:c r="AL884" s="5" t="str">
        <x:f>"원본서식지|"&amp;S884</x:f>
        <x:v>원본서식지|</x:v>
      </x:c>
      <x:c r="AM884" s="5" t="str">
        <x:f>"타입|"&amp;F884</x:f>
        <x:v>타입|전기</x:v>
      </x:c>
      <x:c r="AN884" s="5" t="str">
        <x:f>"타입|"&amp;G884</x:f>
        <x:v>타입|드래곤</x:v>
      </x:c>
    </x:row>
    <x:row r="885" ht="24" customHeight="1">
      <x:c r="A885" s="5" t="n">
        <x:v>881</x:v>
      </x:c>
      <x:c r="B885" s="5" t="inlineStr">
        <x:is>
          <x:t xml:space="preserve">파치르돈</x:t>
        </x:is>
      </x:c>
      <x:c r="C885" s="5" t="inlineStr">
        <x:is>
          <x:t xml:space="preserve">arctozolt</x:t>
        </x:is>
      </x:c>
      <x:c r="D885" s="5" t="inlineStr">
        <x:is>
          <x:t xml:space="preserve">Arctozolt</x:t>
        </x:is>
      </x:c>
      <x:c r="E885" s="5" t="n">
        <x:v>8</x:v>
      </x:c>
      <x:c r="F885" s="5" t="inlineStr">
        <x:is>
          <x:t xml:space="preserve">전기</x:t>
        </x:is>
      </x:c>
      <x:c r="G885" s="5" t="inlineStr">
        <x:is>
          <x:t xml:space="preserve">얼음</x:t>
        </x:is>
      </x:c>
      <x:c r="H885" s="6" t="n">
        <x:v>150</x:v>
      </x:c>
      <x:c r="I885" s="5" t="n"/>
      <x:c r="J885" s="5" t="inlineStr">
        <x:is>
          <x:t xml:space="preserve">무진화</x:t>
        </x:is>
      </x:c>
      <x:c r="K885" s="7" t="inlineStr">
        <x:is>
          <x:t xml:space="preserve">육상</x:t>
        </x:is>
      </x:c>
      <x:c r="L885" s="7" t="inlineStr">
        <x:is>
          <x:t xml:space="preserve">설원</x:t>
        </x:is>
      </x:c>
      <x:c r="M885" s="7" t="inlineStr">
        <x:is>
          <x:t xml:space="preserve">한랭</x:t>
        </x:is>
      </x:c>
      <x:c r="N885" s="7" t="inlineStr">
        <x:is>
          <x:t xml:space="preserve">보통</x:t>
        </x:is>
      </x:c>
      <x:c r="O885" s="7" t="inlineStr">
        <x:is>
          <x:t xml:space="preserve">무관</x:t>
        </x:is>
      </x:c>
      <x:c r="P885" s="7" t="inlineStr">
        <x:is>
          <x:t xml:space="preserve">무관</x:t>
        </x:is>
      </x:c>
      <x:c r="Q885" s="7" t="inlineStr">
        <x:is>
          <x:t xml:space="preserve">희귀</x:t>
        </x:is>
      </x:c>
      <x:c r="R885" s="7" t="inlineStr">
        <x:is>
          <x:t xml:space="preserve">없음</x:t>
        </x:is>
      </x:c>
      <x:c r="S885" s="7" t="inlineStr">
        <x:is>
          <x:t xml:space="preserve"/>
        </x:is>
      </x:c>
      <x:c r="T885" s="7" t="inlineStr">
        <x:is>
          <x:t xml:space="preserve"/>
        </x:is>
      </x:c>
      <x:c r="U885" s="8" t="str">
        <x:f>INDEX('서식지_점수'!$E$4:$P$4,1,MATCH(MAX('서식지_점수'!E885:P885),'서식지_점수'!E885:P885,0))</x:f>
        <x:v>평원</x:v>
      </x:c>
      <x:c r="V885" s="8" t="str">
        <x:f>IF(T885&lt;&gt;"",T885,U885)</x:f>
        <x:v>평원</x:v>
      </x:c>
      <x:c r="W885" s="8" t="str">
        <x:f>IFERROR(INDEX('서식지_점수'!$E$4:$P$4,1,MATCH(MAXIFS('서식지_점수'!E885:P885,'서식지_점수'!E885:P885,"&lt;"&amp;MAX('서식지_점수'!E885:P885)),'서식지_점수'!E885:P885,0)),"")</x:f>
        <x:v>숲</x:v>
      </x:c>
      <x:c r="X885" s="8" t="str">
        <x:f>IF(T885&lt;&gt;"","수동확정",IF(MAX('서식지_점수'!E885:P885)-LARGE('서식지_점수'!E885:P885,2)&gt;=15,"높음",IF(MAX('서식지_점수'!E885:P885)-LARGE('서식지_점수'!E885:P885,2)&gt;=8,"보통","검토필요")))</x:f>
        <x:v>검토필요</x:v>
      </x:c>
      <x:c r="Y885" s="9" t="n">
        <x:f>IF(Q885="전설",8,IF(Q885="희귀",7,IF(J885="기본",1,IF(J885="중간",3,IF(J885="최종",IF(I885="",5,IF(I885&lt;=20,3,IF(I885&lt;=35,4,IF(I885&lt;=50,6,7)))),IF(Q885="드묾",4,2))))))</x:f>
        <x:v>7</x:v>
      </x:c>
      <x:c r="Z885" s="5" t="inlineStr">
        <x:is>
          <x:t xml:space="preserve"/>
        </x:is>
      </x:c>
      <x:c r="AA885" s="5" t="inlineStr">
        <x:is>
          <x:t xml:space="preserve"/>
        </x:is>
      </x:c>
      <x:c r="AB885" s="5" t="inlineStr">
        <x:is>
          <x:t xml:space="preserve">예</x:t>
        </x:is>
      </x:c>
      <x:c r="AC885" s="8" t="str">
        <x:f>IF(T885&lt;&gt;"","수동확정",IF(X885="검토필요","검토필요",IF(S885="","원본없음","초기완료")))</x:f>
        <x:v>검토필요</x:v>
      </x:c>
      <x:c r="AD885" s="7" t="inlineStr">
        <x:is>
          <x:t xml:space="preserve"/>
        </x:is>
      </x:c>
      <x:c r="AE885" s="5" t="inlineStr">
        <x:is>
          <x:t xml:space="preserve">.tmp/cobblemon-1.7.3-source/common/src/main/resources/data/cobblemon/species/generation8/arctozolt.json</x:t>
        </x:is>
      </x:c>
      <x:c r="AF885" s="5" t="str">
        <x:f>"생활권|"&amp;K885</x:f>
        <x:v>생활권|육상</x:v>
      </x:c>
      <x:c r="AG885" s="5" t="str">
        <x:f>"지형|"&amp;L885</x:f>
        <x:v>지형|설원</x:v>
      </x:c>
      <x:c r="AH885" s="5" t="str">
        <x:f>"온도|"&amp;M885</x:f>
        <x:v>온도|한랭</x:v>
      </x:c>
      <x:c r="AI885" s="5" t="str">
        <x:f>"습도|"&amp;N885</x:f>
        <x:v>습도|보통</x:v>
      </x:c>
      <x:c r="AJ885" s="5" t="str">
        <x:f>"날씨|"&amp;O885</x:f>
        <x:v>날씨|무관</x:v>
      </x:c>
      <x:c r="AK885" s="5" t="str">
        <x:f>"특수태그|"&amp;R885</x:f>
        <x:v>특수태그|없음</x:v>
      </x:c>
      <x:c r="AL885" s="5" t="str">
        <x:f>"원본서식지|"&amp;S885</x:f>
        <x:v>원본서식지|</x:v>
      </x:c>
      <x:c r="AM885" s="5" t="str">
        <x:f>"타입|"&amp;F885</x:f>
        <x:v>타입|전기</x:v>
      </x:c>
      <x:c r="AN885" s="5" t="str">
        <x:f>"타입|"&amp;G885</x:f>
        <x:v>타입|얼음</x:v>
      </x:c>
    </x:row>
    <x:row r="886" ht="24" customHeight="1">
      <x:c r="A886" s="5" t="n">
        <x:v>882</x:v>
      </x:c>
      <x:c r="B886" s="5" t="inlineStr">
        <x:is>
          <x:t xml:space="preserve">어래곤</x:t>
        </x:is>
      </x:c>
      <x:c r="C886" s="5" t="inlineStr">
        <x:is>
          <x:t xml:space="preserve">dracovish</x:t>
        </x:is>
      </x:c>
      <x:c r="D886" s="5" t="inlineStr">
        <x:is>
          <x:t xml:space="preserve">Dracovish</x:t>
        </x:is>
      </x:c>
      <x:c r="E886" s="5" t="n">
        <x:v>8</x:v>
      </x:c>
      <x:c r="F886" s="5" t="inlineStr">
        <x:is>
          <x:t xml:space="preserve">물</x:t>
        </x:is>
      </x:c>
      <x:c r="G886" s="5" t="inlineStr">
        <x:is>
          <x:t xml:space="preserve">드래곤</x:t>
        </x:is>
      </x:c>
      <x:c r="H886" s="6" t="n">
        <x:v>215</x:v>
      </x:c>
      <x:c r="I886" s="5" t="n"/>
      <x:c r="J886" s="5" t="inlineStr">
        <x:is>
          <x:t xml:space="preserve">무진화</x:t>
        </x:is>
      </x:c>
      <x:c r="K886" s="7" t="inlineStr">
        <x:is>
          <x:t xml:space="preserve">수륙</x:t>
        </x:is>
      </x:c>
      <x:c r="L886" s="7" t="inlineStr">
        <x:is>
          <x:t xml:space="preserve">담수</x:t>
        </x:is>
      </x:c>
      <x:c r="M886" s="7" t="inlineStr">
        <x:is>
          <x:t xml:space="preserve">온대</x:t>
        </x:is>
      </x:c>
      <x:c r="N886" s="7" t="inlineStr">
        <x:is>
          <x:t xml:space="preserve">보통</x:t>
        </x:is>
      </x:c>
      <x:c r="O886" s="7" t="inlineStr">
        <x:is>
          <x:t xml:space="preserve">무관</x:t>
        </x:is>
      </x:c>
      <x:c r="P886" s="7" t="inlineStr">
        <x:is>
          <x:t xml:space="preserve">무관</x:t>
        </x:is>
      </x:c>
      <x:c r="Q886" s="7" t="inlineStr">
        <x:is>
          <x:t xml:space="preserve">희귀</x:t>
        </x:is>
      </x:c>
      <x:c r="R886" s="7" t="inlineStr">
        <x:is>
          <x:t xml:space="preserve">없음</x:t>
        </x:is>
      </x:c>
      <x:c r="S886" s="7" t="inlineStr">
        <x:is>
          <x:t xml:space="preserve"/>
        </x:is>
      </x:c>
      <x:c r="T886" s="7" t="inlineStr">
        <x:is>
          <x:t xml:space="preserve"/>
        </x:is>
      </x:c>
      <x:c r="U886" s="8" t="str">
        <x:f>INDEX('서식지_점수'!$E$4:$P$4,1,MATCH(MAX('서식지_점수'!E886:P886),'서식지_점수'!E886:P886,0))</x:f>
        <x:v>습지</x:v>
      </x:c>
      <x:c r="V886" s="8" t="str">
        <x:f>IF(T886&lt;&gt;"",T886,U886)</x:f>
        <x:v>습지</x:v>
      </x:c>
      <x:c r="W886" s="8" t="str">
        <x:f>IFERROR(INDEX('서식지_점수'!$E$4:$P$4,1,MATCH(MAXIFS('서식지_점수'!E886:P886,'서식지_점수'!E886:P886,"&lt;"&amp;MAX('서식지_점수'!E886:P886)),'서식지_점수'!E886:P886,0)),"")</x:f>
        <x:v>담수</x:v>
      </x:c>
      <x:c r="X886" s="8" t="str">
        <x:f>IF(T886&lt;&gt;"","수동확정",IF(MAX('서식지_점수'!E886:P886)-LARGE('서식지_점수'!E886:P886,2)&gt;=15,"높음",IF(MAX('서식지_점수'!E886:P886)-LARGE('서식지_점수'!E886:P886,2)&gt;=8,"보통","검토필요")))</x:f>
        <x:v>검토필요</x:v>
      </x:c>
      <x:c r="Y886" s="9" t="n">
        <x:f>IF(Q886="전설",8,IF(Q886="희귀",7,IF(J886="기본",1,IF(J886="중간",3,IF(J886="최종",IF(I886="",5,IF(I886&lt;=20,3,IF(I886&lt;=35,4,IF(I886&lt;=50,6,7)))),IF(Q886="드묾",4,2))))))</x:f>
        <x:v>7</x:v>
      </x:c>
      <x:c r="Z886" s="5" t="inlineStr">
        <x:is>
          <x:t xml:space="preserve"/>
        </x:is>
      </x:c>
      <x:c r="AA886" s="5" t="inlineStr">
        <x:is>
          <x:t xml:space="preserve"/>
        </x:is>
      </x:c>
      <x:c r="AB886" s="5" t="inlineStr">
        <x:is>
          <x:t xml:space="preserve">예</x:t>
        </x:is>
      </x:c>
      <x:c r="AC886" s="8" t="str">
        <x:f>IF(T886&lt;&gt;"","수동확정",IF(X886="검토필요","검토필요",IF(S886="","원본없음","초기완료")))</x:f>
        <x:v>검토필요</x:v>
      </x:c>
      <x:c r="AD886" s="7" t="inlineStr">
        <x:is>
          <x:t xml:space="preserve"/>
        </x:is>
      </x:c>
      <x:c r="AE886" s="5" t="inlineStr">
        <x:is>
          <x:t xml:space="preserve">.tmp/cobblemon-1.7.3-source/common/src/main/resources/data/cobblemon/species/generation8/dracovish.json</x:t>
        </x:is>
      </x:c>
      <x:c r="AF886" s="5" t="str">
        <x:f>"생활권|"&amp;K886</x:f>
        <x:v>생활권|수륙</x:v>
      </x:c>
      <x:c r="AG886" s="5" t="str">
        <x:f>"지형|"&amp;L886</x:f>
        <x:v>지형|담수</x:v>
      </x:c>
      <x:c r="AH886" s="5" t="str">
        <x:f>"온도|"&amp;M886</x:f>
        <x:v>온도|온대</x:v>
      </x:c>
      <x:c r="AI886" s="5" t="str">
        <x:f>"습도|"&amp;N886</x:f>
        <x:v>습도|보통</x:v>
      </x:c>
      <x:c r="AJ886" s="5" t="str">
        <x:f>"날씨|"&amp;O886</x:f>
        <x:v>날씨|무관</x:v>
      </x:c>
      <x:c r="AK886" s="5" t="str">
        <x:f>"특수태그|"&amp;R886</x:f>
        <x:v>특수태그|없음</x:v>
      </x:c>
      <x:c r="AL886" s="5" t="str">
        <x:f>"원본서식지|"&amp;S886</x:f>
        <x:v>원본서식지|</x:v>
      </x:c>
      <x:c r="AM886" s="5" t="str">
        <x:f>"타입|"&amp;F886</x:f>
        <x:v>타입|물</x:v>
      </x:c>
      <x:c r="AN886" s="5" t="str">
        <x:f>"타입|"&amp;G886</x:f>
        <x:v>타입|드래곤</x:v>
      </x:c>
    </x:row>
    <x:row r="887" ht="24" customHeight="1">
      <x:c r="A887" s="5" t="n">
        <x:v>883</x:v>
      </x:c>
      <x:c r="B887" s="5" t="inlineStr">
        <x:is>
          <x:t xml:space="preserve">어치르돈</x:t>
        </x:is>
      </x:c>
      <x:c r="C887" s="5" t="inlineStr">
        <x:is>
          <x:t xml:space="preserve">arctovish</x:t>
        </x:is>
      </x:c>
      <x:c r="D887" s="5" t="inlineStr">
        <x:is>
          <x:t xml:space="preserve">Arctovish</x:t>
        </x:is>
      </x:c>
      <x:c r="E887" s="5" t="n">
        <x:v>8</x:v>
      </x:c>
      <x:c r="F887" s="5" t="inlineStr">
        <x:is>
          <x:t xml:space="preserve">물</x:t>
        </x:is>
      </x:c>
      <x:c r="G887" s="5" t="inlineStr">
        <x:is>
          <x:t xml:space="preserve">얼음</x:t>
        </x:is>
      </x:c>
      <x:c r="H887" s="6" t="n">
        <x:v>175</x:v>
      </x:c>
      <x:c r="I887" s="5" t="n"/>
      <x:c r="J887" s="5" t="inlineStr">
        <x:is>
          <x:t xml:space="preserve">무진화</x:t>
        </x:is>
      </x:c>
      <x:c r="K887" s="7" t="inlineStr">
        <x:is>
          <x:t xml:space="preserve">수륙</x:t>
        </x:is>
      </x:c>
      <x:c r="L887" s="7" t="inlineStr">
        <x:is>
          <x:t xml:space="preserve">설원</x:t>
        </x:is>
      </x:c>
      <x:c r="M887" s="7" t="inlineStr">
        <x:is>
          <x:t xml:space="preserve">한랭</x:t>
        </x:is>
      </x:c>
      <x:c r="N887" s="7" t="inlineStr">
        <x:is>
          <x:t xml:space="preserve">보통</x:t>
        </x:is>
      </x:c>
      <x:c r="O887" s="7" t="inlineStr">
        <x:is>
          <x:t xml:space="preserve">무관</x:t>
        </x:is>
      </x:c>
      <x:c r="P887" s="7" t="inlineStr">
        <x:is>
          <x:t xml:space="preserve">무관</x:t>
        </x:is>
      </x:c>
      <x:c r="Q887" s="7" t="inlineStr">
        <x:is>
          <x:t xml:space="preserve">희귀</x:t>
        </x:is>
      </x:c>
      <x:c r="R887" s="7" t="inlineStr">
        <x:is>
          <x:t xml:space="preserve">없음</x:t>
        </x:is>
      </x:c>
      <x:c r="S887" s="7" t="inlineStr">
        <x:is>
          <x:t xml:space="preserve"/>
        </x:is>
      </x:c>
      <x:c r="T887" s="7" t="inlineStr">
        <x:is>
          <x:t xml:space="preserve"/>
        </x:is>
      </x:c>
      <x:c r="U887" s="8" t="str">
        <x:f>INDEX('서식지_점수'!$E$4:$P$4,1,MATCH(MAX('서식지_점수'!E887:P887),'서식지_점수'!E887:P887,0))</x:f>
        <x:v>습지</x:v>
      </x:c>
      <x:c r="V887" s="8" t="str">
        <x:f>IF(T887&lt;&gt;"",T887,U887)</x:f>
        <x:v>습지</x:v>
      </x:c>
      <x:c r="W887" s="8" t="str">
        <x:f>IFERROR(INDEX('서식지_점수'!$E$4:$P$4,1,MATCH(MAXIFS('서식지_점수'!E887:P887,'서식지_점수'!E887:P887,"&lt;"&amp;MAX('서식지_점수'!E887:P887)),'서식지_점수'!E887:P887,0)),"")</x:f>
        <x:v>담수</x:v>
      </x:c>
      <x:c r="X887" s="8" t="str">
        <x:f>IF(T887&lt;&gt;"","수동확정",IF(MAX('서식지_점수'!E887:P887)-LARGE('서식지_점수'!E887:P887,2)&gt;=15,"높음",IF(MAX('서식지_점수'!E887:P887)-LARGE('서식지_점수'!E887:P887,2)&gt;=8,"보통","검토필요")))</x:f>
        <x:v>검토필요</x:v>
      </x:c>
      <x:c r="Y887" s="9" t="n">
        <x:f>IF(Q887="전설",8,IF(Q887="희귀",7,IF(J887="기본",1,IF(J887="중간",3,IF(J887="최종",IF(I887="",5,IF(I887&lt;=20,3,IF(I887&lt;=35,4,IF(I887&lt;=50,6,7)))),IF(Q887="드묾",4,2))))))</x:f>
        <x:v>7</x:v>
      </x:c>
      <x:c r="Z887" s="5" t="inlineStr">
        <x:is>
          <x:t xml:space="preserve"/>
        </x:is>
      </x:c>
      <x:c r="AA887" s="5" t="inlineStr">
        <x:is>
          <x:t xml:space="preserve"/>
        </x:is>
      </x:c>
      <x:c r="AB887" s="5" t="inlineStr">
        <x:is>
          <x:t xml:space="preserve">예</x:t>
        </x:is>
      </x:c>
      <x:c r="AC887" s="8" t="str">
        <x:f>IF(T887&lt;&gt;"","수동확정",IF(X887="검토필요","검토필요",IF(S887="","원본없음","초기완료")))</x:f>
        <x:v>검토필요</x:v>
      </x:c>
      <x:c r="AD887" s="7" t="inlineStr">
        <x:is>
          <x:t xml:space="preserve"/>
        </x:is>
      </x:c>
      <x:c r="AE887" s="5" t="inlineStr">
        <x:is>
          <x:t xml:space="preserve">.tmp/cobblemon-1.7.3-source/common/src/main/resources/data/cobblemon/species/generation8/arctovish.json</x:t>
        </x:is>
      </x:c>
      <x:c r="AF887" s="5" t="str">
        <x:f>"생활권|"&amp;K887</x:f>
        <x:v>생활권|수륙</x:v>
      </x:c>
      <x:c r="AG887" s="5" t="str">
        <x:f>"지형|"&amp;L887</x:f>
        <x:v>지형|설원</x:v>
      </x:c>
      <x:c r="AH887" s="5" t="str">
        <x:f>"온도|"&amp;M887</x:f>
        <x:v>온도|한랭</x:v>
      </x:c>
      <x:c r="AI887" s="5" t="str">
        <x:f>"습도|"&amp;N887</x:f>
        <x:v>습도|보통</x:v>
      </x:c>
      <x:c r="AJ887" s="5" t="str">
        <x:f>"날씨|"&amp;O887</x:f>
        <x:v>날씨|무관</x:v>
      </x:c>
      <x:c r="AK887" s="5" t="str">
        <x:f>"특수태그|"&amp;R887</x:f>
        <x:v>특수태그|없음</x:v>
      </x:c>
      <x:c r="AL887" s="5" t="str">
        <x:f>"원본서식지|"&amp;S887</x:f>
        <x:v>원본서식지|</x:v>
      </x:c>
      <x:c r="AM887" s="5" t="str">
        <x:f>"타입|"&amp;F887</x:f>
        <x:v>타입|물</x:v>
      </x:c>
      <x:c r="AN887" s="5" t="str">
        <x:f>"타입|"&amp;G887</x:f>
        <x:v>타입|얼음</x:v>
      </x:c>
    </x:row>
    <x:row r="888" ht="24" customHeight="1">
      <x:c r="A888" s="5" t="n">
        <x:v>884</x:v>
      </x:c>
      <x:c r="B888" s="5" t="inlineStr">
        <x:is>
          <x:t xml:space="preserve">두랄루돈</x:t>
        </x:is>
      </x:c>
      <x:c r="C888" s="5" t="inlineStr">
        <x:is>
          <x:t xml:space="preserve">duraludon</x:t>
        </x:is>
      </x:c>
      <x:c r="D888" s="5" t="inlineStr">
        <x:is>
          <x:t xml:space="preserve">Duraludon</x:t>
        </x:is>
      </x:c>
      <x:c r="E888" s="5" t="n">
        <x:v>8</x:v>
      </x:c>
      <x:c r="F888" s="5" t="inlineStr">
        <x:is>
          <x:t xml:space="preserve">강철</x:t>
        </x:is>
      </x:c>
      <x:c r="G888" s="5" t="inlineStr">
        <x:is>
          <x:t xml:space="preserve">드래곤</x:t>
        </x:is>
      </x:c>
      <x:c r="H888" s="6" t="n">
        <x:v>40</x:v>
      </x:c>
      <x:c r="I888" s="5" t="n"/>
      <x:c r="J888" s="5" t="inlineStr">
        <x:is>
          <x:t xml:space="preserve">기본</x:t>
        </x:is>
      </x:c>
      <x:c r="K888" s="7" t="inlineStr">
        <x:is>
          <x:t xml:space="preserve">육상</x:t>
        </x:is>
      </x:c>
      <x:c r="L888" s="7" t="inlineStr">
        <x:is>
          <x:t xml:space="preserve">개활지</x:t>
        </x:is>
      </x:c>
      <x:c r="M888" s="7" t="inlineStr">
        <x:is>
          <x:t xml:space="preserve">온대</x:t>
        </x:is>
      </x:c>
      <x:c r="N888" s="7" t="inlineStr">
        <x:is>
          <x:t xml:space="preserve">보통</x:t>
        </x:is>
      </x:c>
      <x:c r="O888" s="7" t="inlineStr">
        <x:is>
          <x:t xml:space="preserve">무관</x:t>
        </x:is>
      </x:c>
      <x:c r="P888" s="7" t="inlineStr">
        <x:is>
          <x:t xml:space="preserve">무관</x:t>
        </x:is>
      </x:c>
      <x:c r="Q888" s="7" t="inlineStr">
        <x:is>
          <x:t xml:space="preserve">드묾</x:t>
        </x:is>
      </x:c>
      <x:c r="R888" s="7" t="inlineStr">
        <x:is>
          <x:t xml:space="preserve">없음</x:t>
        </x:is>
      </x:c>
      <x:c r="S888" s="7" t="inlineStr">
        <x:is>
          <x:t xml:space="preserve"/>
        </x:is>
      </x:c>
      <x:c r="T888" s="7" t="inlineStr">
        <x:is>
          <x:t xml:space="preserve"/>
        </x:is>
      </x:c>
      <x:c r="U888" s="8" t="str">
        <x:f>INDEX('서식지_점수'!$E$4:$P$4,1,MATCH(MAX('서식지_점수'!E888:P888),'서식지_점수'!E888:P888,0))</x:f>
        <x:v>평원</x:v>
      </x:c>
      <x:c r="V888" s="8" t="str">
        <x:f>IF(T888&lt;&gt;"",T888,U888)</x:f>
        <x:v>평원</x:v>
      </x:c>
      <x:c r="W888" s="8" t="str">
        <x:f>IFERROR(INDEX('서식지_점수'!$E$4:$P$4,1,MATCH(MAXIFS('서식지_점수'!E888:P888,'서식지_점수'!E888:P888,"&lt;"&amp;MAX('서식지_점수'!E888:P888)),'서식지_점수'!E888:P888,0)),"")</x:f>
        <x:v>숲</x:v>
      </x:c>
      <x:c r="X888" s="8" t="str">
        <x:f>IF(T888&lt;&gt;"","수동확정",IF(MAX('서식지_점수'!E888:P888)-LARGE('서식지_점수'!E888:P888,2)&gt;=15,"높음",IF(MAX('서식지_점수'!E888:P888)-LARGE('서식지_점수'!E888:P888,2)&gt;=8,"보통","검토필요")))</x:f>
        <x:v>검토필요</x:v>
      </x:c>
      <x:c r="Y888" s="9" t="n">
        <x:f>IF(Q888="전설",8,IF(Q888="희귀",7,IF(J888="기본",1,IF(J888="중간",3,IF(J888="최종",IF(I888="",5,IF(I888&lt;=20,3,IF(I888&lt;=35,4,IF(I888&lt;=50,6,7)))),IF(Q888="드묾",4,2))))))</x:f>
        <x:v>1</x:v>
      </x:c>
      <x:c r="Z888" s="5" t="inlineStr">
        <x:is>
          <x:t xml:space="preserve">#cobblemon:is_end</x:t>
        </x:is>
      </x:c>
      <x:c r="AA888" s="5" t="inlineStr">
        <x:is>
          <x:t xml:space="preserve">rare</x:t>
        </x:is>
      </x:c>
      <x:c r="AB888" s="5" t="inlineStr">
        <x:is>
          <x:t xml:space="preserve">아니오</x:t>
        </x:is>
      </x:c>
      <x:c r="AC888" s="8" t="str">
        <x:f>IF(T888&lt;&gt;"","수동확정",IF(X888="검토필요","검토필요",IF(S888="","원본없음","초기완료")))</x:f>
        <x:v>검토필요</x:v>
      </x:c>
      <x:c r="AD888" s="7" t="inlineStr">
        <x:is>
          <x:t xml:space="preserve"/>
        </x:is>
      </x:c>
      <x:c r="AE888" s="5" t="inlineStr">
        <x:is>
          <x:t xml:space="preserve">.tmp/cobblemon-1.7.3-source/common/src/main/resources/data/cobblemon/species/generation8/duraludon.json</x:t>
        </x:is>
      </x:c>
      <x:c r="AF888" s="5" t="str">
        <x:f>"생활권|"&amp;K888</x:f>
        <x:v>생활권|육상</x:v>
      </x:c>
      <x:c r="AG888" s="5" t="str">
        <x:f>"지형|"&amp;L888</x:f>
        <x:v>지형|개활지</x:v>
      </x:c>
      <x:c r="AH888" s="5" t="str">
        <x:f>"온도|"&amp;M888</x:f>
        <x:v>온도|온대</x:v>
      </x:c>
      <x:c r="AI888" s="5" t="str">
        <x:f>"습도|"&amp;N888</x:f>
        <x:v>습도|보통</x:v>
      </x:c>
      <x:c r="AJ888" s="5" t="str">
        <x:f>"날씨|"&amp;O888</x:f>
        <x:v>날씨|무관</x:v>
      </x:c>
      <x:c r="AK888" s="5" t="str">
        <x:f>"특수태그|"&amp;R888</x:f>
        <x:v>특수태그|없음</x:v>
      </x:c>
      <x:c r="AL888" s="5" t="str">
        <x:f>"원본서식지|"&amp;S888</x:f>
        <x:v>원본서식지|</x:v>
      </x:c>
      <x:c r="AM888" s="5" t="str">
        <x:f>"타입|"&amp;F888</x:f>
        <x:v>타입|강철</x:v>
      </x:c>
      <x:c r="AN888" s="5" t="str">
        <x:f>"타입|"&amp;G888</x:f>
        <x:v>타입|드래곤</x:v>
      </x:c>
    </x:row>
    <x:row r="889" ht="24" customHeight="1">
      <x:c r="A889" s="5" t="n">
        <x:v>885</x:v>
      </x:c>
      <x:c r="B889" s="5" t="inlineStr">
        <x:is>
          <x:t xml:space="preserve">드라꼰</x:t>
        </x:is>
      </x:c>
      <x:c r="C889" s="5" t="inlineStr">
        <x:is>
          <x:t xml:space="preserve">dreepy</x:t>
        </x:is>
      </x:c>
      <x:c r="D889" s="5" t="inlineStr">
        <x:is>
          <x:t xml:space="preserve">Dreepy</x:t>
        </x:is>
      </x:c>
      <x:c r="E889" s="5" t="n">
        <x:v>8</x:v>
      </x:c>
      <x:c r="F889" s="5" t="inlineStr">
        <x:is>
          <x:t xml:space="preserve">드래곤</x:t>
        </x:is>
      </x:c>
      <x:c r="G889" s="5" t="inlineStr">
        <x:is>
          <x:t xml:space="preserve">고스트</x:t>
        </x:is>
      </x:c>
      <x:c r="H889" s="6" t="n">
        <x:v>2</x:v>
      </x:c>
      <x:c r="I889" s="5" t="n">
        <x:v>60</x:v>
      </x:c>
      <x:c r="J889" s="5" t="inlineStr">
        <x:is>
          <x:t xml:space="preserve">기본</x:t>
        </x:is>
      </x:c>
      <x:c r="K889" s="7" t="inlineStr">
        <x:is>
          <x:t xml:space="preserve">해양</x:t>
        </x:is>
      </x:c>
      <x:c r="L889" s="7" t="inlineStr">
        <x:is>
          <x:t xml:space="preserve">해안·해양</x:t>
        </x:is>
      </x:c>
      <x:c r="M889" s="7" t="inlineStr">
        <x:is>
          <x:t xml:space="preserve">온대</x:t>
        </x:is>
      </x:c>
      <x:c r="N889" s="7" t="inlineStr">
        <x:is>
          <x:t xml:space="preserve">수중</x:t>
        </x:is>
      </x:c>
      <x:c r="O889" s="7" t="inlineStr">
        <x:is>
          <x:t xml:space="preserve">비</x:t>
        </x:is>
      </x:c>
      <x:c r="P889" s="7" t="inlineStr">
        <x:is>
          <x:t xml:space="preserve">황혼</x:t>
        </x:is>
      </x:c>
      <x:c r="Q889" s="7" t="inlineStr">
        <x:is>
          <x:t xml:space="preserve">희귀</x:t>
        </x:is>
      </x:c>
      <x:c r="R889" s="7" t="inlineStr">
        <x:is>
          <x:t xml:space="preserve">영체</x:t>
        </x:is>
      </x:c>
      <x:c r="S889" s="7" t="inlineStr">
        <x:is>
          <x:t xml:space="preserve">해양</x:t>
        </x:is>
      </x:c>
      <x:c r="T889" s="7" t="inlineStr">
        <x:is>
          <x:t xml:space="preserve"/>
        </x:is>
      </x:c>
      <x:c r="U889" s="8" t="str">
        <x:f>INDEX('서식지_점수'!$E$4:$P$4,1,MATCH(MAX('서식지_점수'!E889:P889),'서식지_점수'!E889:P889,0))</x:f>
        <x:v>해양</x:v>
      </x:c>
      <x:c r="V889" s="8" t="str">
        <x:f>IF(T889&lt;&gt;"",T889,U889)</x:f>
        <x:v>해양</x:v>
      </x:c>
      <x:c r="W889" s="8" t="str">
        <x:f>IFERROR(INDEX('서식지_점수'!$E$4:$P$4,1,MATCH(MAXIFS('서식지_점수'!E889:P889,'서식지_점수'!E889:P889,"&lt;"&amp;MAX('서식지_점수'!E889:P889)),'서식지_점수'!E889:P889,0)),"")</x:f>
        <x:v>습지</x:v>
      </x:c>
      <x:c r="X889" s="8" t="str">
        <x:f>IF(T889&lt;&gt;"","수동확정",IF(MAX('서식지_점수'!E889:P889)-LARGE('서식지_점수'!E889:P889,2)&gt;=15,"높음",IF(MAX('서식지_점수'!E889:P889)-LARGE('서식지_점수'!E889:P889,2)&gt;=8,"보통","검토필요")))</x:f>
        <x:v>높음</x:v>
      </x:c>
      <x:c r="Y889" s="9" t="n">
        <x:f>IF(Q889="전설",8,IF(Q889="희귀",7,IF(J889="기본",1,IF(J889="중간",3,IF(J889="최종",IF(I889="",5,IF(I889&lt;=20,3,IF(I889&lt;=35,4,IF(I889&lt;=50,6,7)))),IF(Q889="드묾",4,2))))))</x:f>
        <x:v>7</x:v>
      </x:c>
      <x:c r="Z889" s="5" t="inlineStr">
        <x:is>
          <x:t xml:space="preserve">#cobblemon:is_coast; #cobblemon:is_ocean</x:t>
        </x:is>
      </x:c>
      <x:c r="AA889" s="5" t="inlineStr">
        <x:is>
          <x:t xml:space="preserve">ultra-rare</x:t>
        </x:is>
      </x:c>
      <x:c r="AB889" s="5" t="inlineStr">
        <x:is>
          <x:t xml:space="preserve">예</x:t>
        </x:is>
      </x:c>
      <x:c r="AC889" s="8" t="str">
        <x:f>IF(T889&lt;&gt;"","수동확정",IF(X889="검토필요","검토필요",IF(S889="","원본없음","초기완료")))</x:f>
        <x:v>초기완료</x:v>
      </x:c>
      <x:c r="AD889" s="7" t="inlineStr">
        <x:is>
          <x:t xml:space="preserve"/>
        </x:is>
      </x:c>
      <x:c r="AE889" s="5" t="inlineStr">
        <x:is>
          <x:t xml:space="preserve">.tmp/cobblemon-1.7.3-source/common/src/main/resources/data/cobblemon/species/generation8/dreepy.json</x:t>
        </x:is>
      </x:c>
      <x:c r="AF889" s="5" t="str">
        <x:f>"생활권|"&amp;K889</x:f>
        <x:v>생활권|해양</x:v>
      </x:c>
      <x:c r="AG889" s="5" t="str">
        <x:f>"지형|"&amp;L889</x:f>
        <x:v>지형|해안·해양</x:v>
      </x:c>
      <x:c r="AH889" s="5" t="str">
        <x:f>"온도|"&amp;M889</x:f>
        <x:v>온도|온대</x:v>
      </x:c>
      <x:c r="AI889" s="5" t="str">
        <x:f>"습도|"&amp;N889</x:f>
        <x:v>습도|수중</x:v>
      </x:c>
      <x:c r="AJ889" s="5" t="str">
        <x:f>"날씨|"&amp;O889</x:f>
        <x:v>날씨|비</x:v>
      </x:c>
      <x:c r="AK889" s="5" t="str">
        <x:f>"특수태그|"&amp;R889</x:f>
        <x:v>특수태그|영체</x:v>
      </x:c>
      <x:c r="AL889" s="5" t="str">
        <x:f>"원본서식지|"&amp;S889</x:f>
        <x:v>원본서식지|해양</x:v>
      </x:c>
      <x:c r="AM889" s="5" t="str">
        <x:f>"타입|"&amp;F889</x:f>
        <x:v>타입|드래곤</x:v>
      </x:c>
      <x:c r="AN889" s="5" t="str">
        <x:f>"타입|"&amp;G889</x:f>
        <x:v>타입|고스트</x:v>
      </x:c>
    </x:row>
    <x:row r="890" ht="24" customHeight="1">
      <x:c r="A890" s="5" t="n">
        <x:v>886</x:v>
      </x:c>
      <x:c r="B890" s="5" t="inlineStr">
        <x:is>
          <x:t xml:space="preserve">드래런치</x:t>
        </x:is>
      </x:c>
      <x:c r="C890" s="5" t="inlineStr">
        <x:is>
          <x:t xml:space="preserve">drakloak</x:t>
        </x:is>
      </x:c>
      <x:c r="D890" s="5" t="inlineStr">
        <x:is>
          <x:t xml:space="preserve">Drakloak</x:t>
        </x:is>
      </x:c>
      <x:c r="E890" s="5" t="n">
        <x:v>8</x:v>
      </x:c>
      <x:c r="F890" s="5" t="inlineStr">
        <x:is>
          <x:t xml:space="preserve">드래곤</x:t>
        </x:is>
      </x:c>
      <x:c r="G890" s="5" t="inlineStr">
        <x:is>
          <x:t xml:space="preserve">고스트</x:t>
        </x:is>
      </x:c>
      <x:c r="H890" s="6" t="n">
        <x:v>11</x:v>
      </x:c>
      <x:c r="I890" s="5" t="n">
        <x:v>60</x:v>
      </x:c>
      <x:c r="J890" s="5" t="inlineStr">
        <x:is>
          <x:t xml:space="preserve">중간</x:t>
        </x:is>
      </x:c>
      <x:c r="K890" s="7" t="inlineStr">
        <x:is>
          <x:t xml:space="preserve">해양</x:t>
        </x:is>
      </x:c>
      <x:c r="L890" s="7" t="inlineStr">
        <x:is>
          <x:t xml:space="preserve">해안·해양</x:t>
        </x:is>
      </x:c>
      <x:c r="M890" s="7" t="inlineStr">
        <x:is>
          <x:t xml:space="preserve">온대</x:t>
        </x:is>
      </x:c>
      <x:c r="N890" s="7" t="inlineStr">
        <x:is>
          <x:t xml:space="preserve">수중</x:t>
        </x:is>
      </x:c>
      <x:c r="O890" s="7" t="inlineStr">
        <x:is>
          <x:t xml:space="preserve">비</x:t>
        </x:is>
      </x:c>
      <x:c r="P890" s="7" t="inlineStr">
        <x:is>
          <x:t xml:space="preserve">황혼</x:t>
        </x:is>
      </x:c>
      <x:c r="Q890" s="7" t="inlineStr">
        <x:is>
          <x:t xml:space="preserve">희귀</x:t>
        </x:is>
      </x:c>
      <x:c r="R890" s="7" t="inlineStr">
        <x:is>
          <x:t xml:space="preserve">영체</x:t>
        </x:is>
      </x:c>
      <x:c r="S890" s="7" t="inlineStr">
        <x:is>
          <x:t xml:space="preserve">해양</x:t>
        </x:is>
      </x:c>
      <x:c r="T890" s="7" t="inlineStr">
        <x:is>
          <x:t xml:space="preserve"/>
        </x:is>
      </x:c>
      <x:c r="U890" s="8" t="str">
        <x:f>INDEX('서식지_점수'!$E$4:$P$4,1,MATCH(MAX('서식지_점수'!E890:P890),'서식지_점수'!E890:P890,0))</x:f>
        <x:v>해양</x:v>
      </x:c>
      <x:c r="V890" s="8" t="str">
        <x:f>IF(T890&lt;&gt;"",T890,U890)</x:f>
        <x:v>해양</x:v>
      </x:c>
      <x:c r="W890" s="8" t="str">
        <x:f>IFERROR(INDEX('서식지_점수'!$E$4:$P$4,1,MATCH(MAXIFS('서식지_점수'!E890:P890,'서식지_점수'!E890:P890,"&lt;"&amp;MAX('서식지_점수'!E890:P890)),'서식지_점수'!E890:P890,0)),"")</x:f>
        <x:v>습지</x:v>
      </x:c>
      <x:c r="X890" s="8" t="str">
        <x:f>IF(T890&lt;&gt;"","수동확정",IF(MAX('서식지_점수'!E890:P890)-LARGE('서식지_점수'!E890:P890,2)&gt;=15,"높음",IF(MAX('서식지_점수'!E890:P890)-LARGE('서식지_점수'!E890:P890,2)&gt;=8,"보통","검토필요")))</x:f>
        <x:v>높음</x:v>
      </x:c>
      <x:c r="Y890" s="9" t="n">
        <x:f>IF(Q890="전설",8,IF(Q890="희귀",7,IF(J890="기본",1,IF(J890="중간",3,IF(J890="최종",IF(I890="",5,IF(I890&lt;=20,3,IF(I890&lt;=35,4,IF(I890&lt;=50,6,7)))),IF(Q890="드묾",4,2))))))</x:f>
        <x:v>7</x:v>
      </x:c>
      <x:c r="Z890" s="5" t="inlineStr">
        <x:is>
          <x:t xml:space="preserve">#cobblemon:is_coast; #cobblemon:is_ocean</x:t>
        </x:is>
      </x:c>
      <x:c r="AA890" s="5" t="inlineStr">
        <x:is>
          <x:t xml:space="preserve">ultra-rare</x:t>
        </x:is>
      </x:c>
      <x:c r="AB890" s="5" t="inlineStr">
        <x:is>
          <x:t xml:space="preserve">예</x:t>
        </x:is>
      </x:c>
      <x:c r="AC890" s="8" t="str">
        <x:f>IF(T890&lt;&gt;"","수동확정",IF(X890="검토필요","검토필요",IF(S890="","원본없음","초기완료")))</x:f>
        <x:v>초기완료</x:v>
      </x:c>
      <x:c r="AD890" s="7" t="inlineStr">
        <x:is>
          <x:t xml:space="preserve"/>
        </x:is>
      </x:c>
      <x:c r="AE890" s="5" t="inlineStr">
        <x:is>
          <x:t xml:space="preserve">.tmp/cobblemon-1.7.3-source/common/src/main/resources/data/cobblemon/species/generation8/drakloak.json</x:t>
        </x:is>
      </x:c>
      <x:c r="AF890" s="5" t="str">
        <x:f>"생활권|"&amp;K890</x:f>
        <x:v>생활권|해양</x:v>
      </x:c>
      <x:c r="AG890" s="5" t="str">
        <x:f>"지형|"&amp;L890</x:f>
        <x:v>지형|해안·해양</x:v>
      </x:c>
      <x:c r="AH890" s="5" t="str">
        <x:f>"온도|"&amp;M890</x:f>
        <x:v>온도|온대</x:v>
      </x:c>
      <x:c r="AI890" s="5" t="str">
        <x:f>"습도|"&amp;N890</x:f>
        <x:v>습도|수중</x:v>
      </x:c>
      <x:c r="AJ890" s="5" t="str">
        <x:f>"날씨|"&amp;O890</x:f>
        <x:v>날씨|비</x:v>
      </x:c>
      <x:c r="AK890" s="5" t="str">
        <x:f>"특수태그|"&amp;R890</x:f>
        <x:v>특수태그|영체</x:v>
      </x:c>
      <x:c r="AL890" s="5" t="str">
        <x:f>"원본서식지|"&amp;S890</x:f>
        <x:v>원본서식지|해양</x:v>
      </x:c>
      <x:c r="AM890" s="5" t="str">
        <x:f>"타입|"&amp;F890</x:f>
        <x:v>타입|드래곤</x:v>
      </x:c>
      <x:c r="AN890" s="5" t="str">
        <x:f>"타입|"&amp;G890</x:f>
        <x:v>타입|고스트</x:v>
      </x:c>
    </x:row>
    <x:row r="891" ht="24" customHeight="1">
      <x:c r="A891" s="5" t="n">
        <x:v>887</x:v>
      </x:c>
      <x:c r="B891" s="5" t="inlineStr">
        <x:is>
          <x:t xml:space="preserve">드래펄트</x:t>
        </x:is>
      </x:c>
      <x:c r="C891" s="5" t="inlineStr">
        <x:is>
          <x:t xml:space="preserve">dragapult</x:t>
        </x:is>
      </x:c>
      <x:c r="D891" s="5" t="inlineStr">
        <x:is>
          <x:t xml:space="preserve">Dragapult</x:t>
        </x:is>
      </x:c>
      <x:c r="E891" s="5" t="n">
        <x:v>8</x:v>
      </x:c>
      <x:c r="F891" s="5" t="inlineStr">
        <x:is>
          <x:t xml:space="preserve">드래곤</x:t>
        </x:is>
      </x:c>
      <x:c r="G891" s="5" t="inlineStr">
        <x:is>
          <x:t xml:space="preserve">고스트</x:t>
        </x:is>
      </x:c>
      <x:c r="H891" s="6" t="n">
        <x:v>50</x:v>
      </x:c>
      <x:c r="I891" s="5" t="n">
        <x:v>60</x:v>
      </x:c>
      <x:c r="J891" s="5" t="inlineStr">
        <x:is>
          <x:t xml:space="preserve">최종</x:t>
        </x:is>
      </x:c>
      <x:c r="K891" s="7" t="inlineStr">
        <x:is>
          <x:t xml:space="preserve">해양</x:t>
        </x:is>
      </x:c>
      <x:c r="L891" s="7" t="inlineStr">
        <x:is>
          <x:t xml:space="preserve">해안·해양</x:t>
        </x:is>
      </x:c>
      <x:c r="M891" s="7" t="inlineStr">
        <x:is>
          <x:t xml:space="preserve">온대</x:t>
        </x:is>
      </x:c>
      <x:c r="N891" s="7" t="inlineStr">
        <x:is>
          <x:t xml:space="preserve">수중</x:t>
        </x:is>
      </x:c>
      <x:c r="O891" s="7" t="inlineStr">
        <x:is>
          <x:t xml:space="preserve">비</x:t>
        </x:is>
      </x:c>
      <x:c r="P891" s="7" t="inlineStr">
        <x:is>
          <x:t xml:space="preserve">황혼</x:t>
        </x:is>
      </x:c>
      <x:c r="Q891" s="7" t="inlineStr">
        <x:is>
          <x:t xml:space="preserve">희귀</x:t>
        </x:is>
      </x:c>
      <x:c r="R891" s="7" t="inlineStr">
        <x:is>
          <x:t xml:space="preserve">영체</x:t>
        </x:is>
      </x:c>
      <x:c r="S891" s="7" t="inlineStr">
        <x:is>
          <x:t xml:space="preserve">해양</x:t>
        </x:is>
      </x:c>
      <x:c r="T891" s="7" t="inlineStr">
        <x:is>
          <x:t xml:space="preserve"/>
        </x:is>
      </x:c>
      <x:c r="U891" s="8" t="str">
        <x:f>INDEX('서식지_점수'!$E$4:$P$4,1,MATCH(MAX('서식지_점수'!E891:P891),'서식지_점수'!E891:P891,0))</x:f>
        <x:v>해양</x:v>
      </x:c>
      <x:c r="V891" s="8" t="str">
        <x:f>IF(T891&lt;&gt;"",T891,U891)</x:f>
        <x:v>해양</x:v>
      </x:c>
      <x:c r="W891" s="8" t="str">
        <x:f>IFERROR(INDEX('서식지_점수'!$E$4:$P$4,1,MATCH(MAXIFS('서식지_점수'!E891:P891,'서식지_점수'!E891:P891,"&lt;"&amp;MAX('서식지_점수'!E891:P891)),'서식지_점수'!E891:P891,0)),"")</x:f>
        <x:v>습지</x:v>
      </x:c>
      <x:c r="X891" s="8" t="str">
        <x:f>IF(T891&lt;&gt;"","수동확정",IF(MAX('서식지_점수'!E891:P891)-LARGE('서식지_점수'!E891:P891,2)&gt;=15,"높음",IF(MAX('서식지_점수'!E891:P891)-LARGE('서식지_점수'!E891:P891,2)&gt;=8,"보통","검토필요")))</x:f>
        <x:v>높음</x:v>
      </x:c>
      <x:c r="Y891" s="9" t="n">
        <x:f>IF(Q891="전설",8,IF(Q891="희귀",7,IF(J891="기본",1,IF(J891="중간",3,IF(J891="최종",IF(I891="",5,IF(I891&lt;=20,3,IF(I891&lt;=35,4,IF(I891&lt;=50,6,7)))),IF(Q891="드묾",4,2))))))</x:f>
        <x:v>7</x:v>
      </x:c>
      <x:c r="Z891" s="5" t="inlineStr">
        <x:is>
          <x:t xml:space="preserve">#cobblemon:is_coast; #cobblemon:is_ocean</x:t>
        </x:is>
      </x:c>
      <x:c r="AA891" s="5" t="inlineStr">
        <x:is>
          <x:t xml:space="preserve">ultra-rare</x:t>
        </x:is>
      </x:c>
      <x:c r="AB891" s="5" t="inlineStr">
        <x:is>
          <x:t xml:space="preserve">예</x:t>
        </x:is>
      </x:c>
      <x:c r="AC891" s="8" t="str">
        <x:f>IF(T891&lt;&gt;"","수동확정",IF(X891="검토필요","검토필요",IF(S891="","원본없음","초기완료")))</x:f>
        <x:v>초기완료</x:v>
      </x:c>
      <x:c r="AD891" s="7" t="inlineStr">
        <x:is>
          <x:t xml:space="preserve"/>
        </x:is>
      </x:c>
      <x:c r="AE891" s="5" t="inlineStr">
        <x:is>
          <x:t xml:space="preserve">.tmp/cobblemon-1.7.3-source/common/src/main/resources/data/cobblemon/species/generation8/dragapult.json</x:t>
        </x:is>
      </x:c>
      <x:c r="AF891" s="5" t="str">
        <x:f>"생활권|"&amp;K891</x:f>
        <x:v>생활권|해양</x:v>
      </x:c>
      <x:c r="AG891" s="5" t="str">
        <x:f>"지형|"&amp;L891</x:f>
        <x:v>지형|해안·해양</x:v>
      </x:c>
      <x:c r="AH891" s="5" t="str">
        <x:f>"온도|"&amp;M891</x:f>
        <x:v>온도|온대</x:v>
      </x:c>
      <x:c r="AI891" s="5" t="str">
        <x:f>"습도|"&amp;N891</x:f>
        <x:v>습도|수중</x:v>
      </x:c>
      <x:c r="AJ891" s="5" t="str">
        <x:f>"날씨|"&amp;O891</x:f>
        <x:v>날씨|비</x:v>
      </x:c>
      <x:c r="AK891" s="5" t="str">
        <x:f>"특수태그|"&amp;R891</x:f>
        <x:v>특수태그|영체</x:v>
      </x:c>
      <x:c r="AL891" s="5" t="str">
        <x:f>"원본서식지|"&amp;S891</x:f>
        <x:v>원본서식지|해양</x:v>
      </x:c>
      <x:c r="AM891" s="5" t="str">
        <x:f>"타입|"&amp;F891</x:f>
        <x:v>타입|드래곤</x:v>
      </x:c>
      <x:c r="AN891" s="5" t="str">
        <x:f>"타입|"&amp;G891</x:f>
        <x:v>타입|고스트</x:v>
      </x:c>
    </x:row>
    <x:row r="892" ht="24" customHeight="1">
      <x:c r="A892" s="5" t="n">
        <x:v>888</x:v>
      </x:c>
      <x:c r="B892" s="5" t="inlineStr">
        <x:is>
          <x:t xml:space="preserve">자시안</x:t>
        </x:is>
      </x:c>
      <x:c r="C892" s="5" t="inlineStr">
        <x:is>
          <x:t xml:space="preserve">zacian</x:t>
        </x:is>
      </x:c>
      <x:c r="D892" s="5" t="inlineStr">
        <x:is>
          <x:t xml:space="preserve">Zacian</x:t>
        </x:is>
      </x:c>
      <x:c r="E892" s="5" t="n">
        <x:v>8</x:v>
      </x:c>
      <x:c r="F892" s="5" t="inlineStr">
        <x:is>
          <x:t xml:space="preserve">페어리</x:t>
        </x:is>
      </x:c>
      <x:c r="G892" s="5" t="inlineStr">
        <x:is>
          <x:t xml:space="preserve"/>
        </x:is>
      </x:c>
      <x:c r="H892" s="6" t="n">
        <x:v>110</x:v>
      </x:c>
      <x:c r="I892" s="5" t="n"/>
      <x:c r="J892" s="5" t="inlineStr">
        <x:is>
          <x:t xml:space="preserve">무진화</x:t>
        </x:is>
      </x:c>
      <x:c r="K892" s="7" t="inlineStr">
        <x:is>
          <x:t xml:space="preserve">육상</x:t>
        </x:is>
      </x:c>
      <x:c r="L892" s="7" t="inlineStr">
        <x:is>
          <x:t xml:space="preserve">수목</x:t>
        </x:is>
      </x:c>
      <x:c r="M892" s="7" t="inlineStr">
        <x:is>
          <x:t xml:space="preserve">온대</x:t>
        </x:is>
      </x:c>
      <x:c r="N892" s="7" t="inlineStr">
        <x:is>
          <x:t xml:space="preserve">보통</x:t>
        </x:is>
      </x:c>
      <x:c r="O892" s="7" t="inlineStr">
        <x:is>
          <x:t xml:space="preserve">무관</x:t>
        </x:is>
      </x:c>
      <x:c r="P892" s="7" t="inlineStr">
        <x:is>
          <x:t xml:space="preserve">무관</x:t>
        </x:is>
      </x:c>
      <x:c r="Q892" s="7" t="inlineStr">
        <x:is>
          <x:t xml:space="preserve">전설</x:t>
        </x:is>
      </x:c>
      <x:c r="R892" s="7" t="inlineStr">
        <x:is>
          <x:t xml:space="preserve">전설</x:t>
        </x:is>
      </x:c>
      <x:c r="S892" s="7" t="inlineStr">
        <x:is>
          <x:t xml:space="preserve">숲</x:t>
        </x:is>
      </x:c>
      <x:c r="T892" s="7" t="inlineStr">
        <x:is>
          <x:t xml:space="preserve"/>
        </x:is>
      </x:c>
      <x:c r="U892" s="8" t="str">
        <x:f>INDEX('서식지_점수'!$E$4:$P$4,1,MATCH(MAX('서식지_점수'!E892:P892),'서식지_점수'!E892:P892,0))</x:f>
        <x:v>평원</x:v>
      </x:c>
      <x:c r="V892" s="8" t="str">
        <x:f>IF(T892&lt;&gt;"",T892,U892)</x:f>
        <x:v>평원</x:v>
      </x:c>
      <x:c r="W892" s="8" t="str">
        <x:f>IFERROR(INDEX('서식지_점수'!$E$4:$P$4,1,MATCH(MAXIFS('서식지_점수'!E892:P892,'서식지_점수'!E892:P892,"&lt;"&amp;MAX('서식지_점수'!E892:P892)),'서식지_점수'!E892:P892,0)),"")</x:f>
        <x:v>숲</x:v>
      </x:c>
      <x:c r="X892" s="8" t="str">
        <x:f>IF(T892&lt;&gt;"","수동확정",IF(MAX('서식지_점수'!E892:P892)-LARGE('서식지_점수'!E892:P892,2)&gt;=15,"높음",IF(MAX('서식지_점수'!E892:P892)-LARGE('서식지_점수'!E892:P892,2)&gt;=8,"보통","검토필요")))</x:f>
        <x:v>검토필요</x:v>
      </x:c>
      <x:c r="Y892" s="9" t="n">
        <x:f>IF(Q892="전설",8,IF(Q892="희귀",7,IF(J892="기본",1,IF(J892="중간",3,IF(J892="최종",IF(I892="",5,IF(I892&lt;=20,3,IF(I892&lt;=35,4,IF(I892&lt;=50,6,7)))),IF(Q892="드묾",4,2))))))</x:f>
        <x:v>8</x:v>
      </x:c>
      <x:c r="Z892" s="5" t="inlineStr">
        <x:is>
          <x:t xml:space="preserve">minecraft:dark_forest</x:t>
        </x:is>
      </x:c>
      <x:c r="AA892" s="5" t="inlineStr">
        <x:is>
          <x:t xml:space="preserve">ultra-rare</x:t>
        </x:is>
      </x:c>
      <x:c r="AB892" s="5" t="inlineStr">
        <x:is>
          <x:t xml:space="preserve">아니오</x:t>
        </x:is>
      </x:c>
      <x:c r="AC892" s="8" t="str">
        <x:f>IF(T892&lt;&gt;"","수동확정",IF(X892="검토필요","검토필요",IF(S892="","원본없음","초기완료")))</x:f>
        <x:v>검토필요</x:v>
      </x:c>
      <x:c r="AD892" s="7" t="inlineStr">
        <x:is>
          <x:t xml:space="preserve"/>
        </x:is>
      </x:c>
      <x:c r="AE892" s="5" t="inlineStr">
        <x:is>
          <x:t xml:space="preserve">.tmp/cobblemon-1.7.3-source/common/src/main/resources/data/cobblemon/species/generation8/zacian.json</x:t>
        </x:is>
      </x:c>
      <x:c r="AF892" s="5" t="str">
        <x:f>"생활권|"&amp;K892</x:f>
        <x:v>생활권|육상</x:v>
      </x:c>
      <x:c r="AG892" s="5" t="str">
        <x:f>"지형|"&amp;L892</x:f>
        <x:v>지형|수목</x:v>
      </x:c>
      <x:c r="AH892" s="5" t="str">
        <x:f>"온도|"&amp;M892</x:f>
        <x:v>온도|온대</x:v>
      </x:c>
      <x:c r="AI892" s="5" t="str">
        <x:f>"습도|"&amp;N892</x:f>
        <x:v>습도|보통</x:v>
      </x:c>
      <x:c r="AJ892" s="5" t="str">
        <x:f>"날씨|"&amp;O892</x:f>
        <x:v>날씨|무관</x:v>
      </x:c>
      <x:c r="AK892" s="5" t="str">
        <x:f>"특수태그|"&amp;R892</x:f>
        <x:v>특수태그|전설</x:v>
      </x:c>
      <x:c r="AL892" s="5" t="str">
        <x:f>"원본서식지|"&amp;S892</x:f>
        <x:v>원본서식지|숲</x:v>
      </x:c>
      <x:c r="AM892" s="5" t="str">
        <x:f>"타입|"&amp;F892</x:f>
        <x:v>타입|페어리</x:v>
      </x:c>
      <x:c r="AN892" s="5" t="str">
        <x:f>"타입|"&amp;G892</x:f>
        <x:v>타입|</x:v>
      </x:c>
    </x:row>
    <x:row r="893" ht="24" customHeight="1">
      <x:c r="A893" s="5" t="n">
        <x:v>889</x:v>
      </x:c>
      <x:c r="B893" s="5" t="inlineStr">
        <x:is>
          <x:t xml:space="preserve">자마젠타</x:t>
        </x:is>
      </x:c>
      <x:c r="C893" s="5" t="inlineStr">
        <x:is>
          <x:t xml:space="preserve">zamazenta</x:t>
        </x:is>
      </x:c>
      <x:c r="D893" s="5" t="inlineStr">
        <x:is>
          <x:t xml:space="preserve">Zamazenta</x:t>
        </x:is>
      </x:c>
      <x:c r="E893" s="5" t="n">
        <x:v>8</x:v>
      </x:c>
      <x:c r="F893" s="5" t="inlineStr">
        <x:is>
          <x:t xml:space="preserve">격투</x:t>
        </x:is>
      </x:c>
      <x:c r="G893" s="5" t="inlineStr">
        <x:is>
          <x:t xml:space="preserve"/>
        </x:is>
      </x:c>
      <x:c r="H893" s="6" t="n">
        <x:v>210</x:v>
      </x:c>
      <x:c r="I893" s="5" t="n"/>
      <x:c r="J893" s="5" t="inlineStr">
        <x:is>
          <x:t xml:space="preserve">무진화</x:t>
        </x:is>
      </x:c>
      <x:c r="K893" s="7" t="inlineStr">
        <x:is>
          <x:t xml:space="preserve">육상</x:t>
        </x:is>
      </x:c>
      <x:c r="L893" s="7" t="inlineStr">
        <x:is>
          <x:t xml:space="preserve">수목</x:t>
        </x:is>
      </x:c>
      <x:c r="M893" s="7" t="inlineStr">
        <x:is>
          <x:t xml:space="preserve">온대</x:t>
        </x:is>
      </x:c>
      <x:c r="N893" s="7" t="inlineStr">
        <x:is>
          <x:t xml:space="preserve">보통</x:t>
        </x:is>
      </x:c>
      <x:c r="O893" s="7" t="inlineStr">
        <x:is>
          <x:t xml:space="preserve">무관</x:t>
        </x:is>
      </x:c>
      <x:c r="P893" s="7" t="inlineStr">
        <x:is>
          <x:t xml:space="preserve">무관</x:t>
        </x:is>
      </x:c>
      <x:c r="Q893" s="7" t="inlineStr">
        <x:is>
          <x:t xml:space="preserve">전설</x:t>
        </x:is>
      </x:c>
      <x:c r="R893" s="7" t="inlineStr">
        <x:is>
          <x:t xml:space="preserve">전설</x:t>
        </x:is>
      </x:c>
      <x:c r="S893" s="7" t="inlineStr">
        <x:is>
          <x:t xml:space="preserve">숲</x:t>
        </x:is>
      </x:c>
      <x:c r="T893" s="7" t="inlineStr">
        <x:is>
          <x:t xml:space="preserve"/>
        </x:is>
      </x:c>
      <x:c r="U893" s="8" t="str">
        <x:f>INDEX('서식지_점수'!$E$4:$P$4,1,MATCH(MAX('서식지_점수'!E893:P893),'서식지_점수'!E893:P893,0))</x:f>
        <x:v>평원</x:v>
      </x:c>
      <x:c r="V893" s="8" t="str">
        <x:f>IF(T893&lt;&gt;"",T893,U893)</x:f>
        <x:v>평원</x:v>
      </x:c>
      <x:c r="W893" s="8" t="str">
        <x:f>IFERROR(INDEX('서식지_점수'!$E$4:$P$4,1,MATCH(MAXIFS('서식지_점수'!E893:P893,'서식지_점수'!E893:P893,"&lt;"&amp;MAX('서식지_점수'!E893:P893)),'서식지_점수'!E893:P893,0)),"")</x:f>
        <x:v>숲</x:v>
      </x:c>
      <x:c r="X893" s="8" t="str">
        <x:f>IF(T893&lt;&gt;"","수동확정",IF(MAX('서식지_점수'!E893:P893)-LARGE('서식지_점수'!E893:P893,2)&gt;=15,"높음",IF(MAX('서식지_점수'!E893:P893)-LARGE('서식지_점수'!E893:P893,2)&gt;=8,"보통","검토필요")))</x:f>
        <x:v>검토필요</x:v>
      </x:c>
      <x:c r="Y893" s="9" t="n">
        <x:f>IF(Q893="전설",8,IF(Q893="희귀",7,IF(J893="기본",1,IF(J893="중간",3,IF(J893="최종",IF(I893="",5,IF(I893&lt;=20,3,IF(I893&lt;=35,4,IF(I893&lt;=50,6,7)))),IF(Q893="드묾",4,2))))))</x:f>
        <x:v>8</x:v>
      </x:c>
      <x:c r="Z893" s="5" t="inlineStr">
        <x:is>
          <x:t xml:space="preserve">minecraft:dark_forest</x:t>
        </x:is>
      </x:c>
      <x:c r="AA893" s="5" t="inlineStr">
        <x:is>
          <x:t xml:space="preserve">ultra-rare</x:t>
        </x:is>
      </x:c>
      <x:c r="AB893" s="5" t="inlineStr">
        <x:is>
          <x:t xml:space="preserve">아니오</x:t>
        </x:is>
      </x:c>
      <x:c r="AC893" s="8" t="str">
        <x:f>IF(T893&lt;&gt;"","수동확정",IF(X893="검토필요","검토필요",IF(S893="","원본없음","초기완료")))</x:f>
        <x:v>검토필요</x:v>
      </x:c>
      <x:c r="AD893" s="7" t="inlineStr">
        <x:is>
          <x:t xml:space="preserve"/>
        </x:is>
      </x:c>
      <x:c r="AE893" s="5" t="inlineStr">
        <x:is>
          <x:t xml:space="preserve">.tmp/cobblemon-1.7.3-source/common/src/main/resources/data/cobblemon/species/generation8/zamazenta.json</x:t>
        </x:is>
      </x:c>
      <x:c r="AF893" s="5" t="str">
        <x:f>"생활권|"&amp;K893</x:f>
        <x:v>생활권|육상</x:v>
      </x:c>
      <x:c r="AG893" s="5" t="str">
        <x:f>"지형|"&amp;L893</x:f>
        <x:v>지형|수목</x:v>
      </x:c>
      <x:c r="AH893" s="5" t="str">
        <x:f>"온도|"&amp;M893</x:f>
        <x:v>온도|온대</x:v>
      </x:c>
      <x:c r="AI893" s="5" t="str">
        <x:f>"습도|"&amp;N893</x:f>
        <x:v>습도|보통</x:v>
      </x:c>
      <x:c r="AJ893" s="5" t="str">
        <x:f>"날씨|"&amp;O893</x:f>
        <x:v>날씨|무관</x:v>
      </x:c>
      <x:c r="AK893" s="5" t="str">
        <x:f>"특수태그|"&amp;R893</x:f>
        <x:v>특수태그|전설</x:v>
      </x:c>
      <x:c r="AL893" s="5" t="str">
        <x:f>"원본서식지|"&amp;S893</x:f>
        <x:v>원본서식지|숲</x:v>
      </x:c>
      <x:c r="AM893" s="5" t="str">
        <x:f>"타입|"&amp;F893</x:f>
        <x:v>타입|격투</x:v>
      </x:c>
      <x:c r="AN893" s="5" t="str">
        <x:f>"타입|"&amp;G893</x:f>
        <x:v>타입|</x:v>
      </x:c>
    </x:row>
    <x:row r="894" ht="24" customHeight="1">
      <x:c r="A894" s="5" t="n">
        <x:v>890</x:v>
      </x:c>
      <x:c r="B894" s="5" t="inlineStr">
        <x:is>
          <x:t xml:space="preserve">무한다이노</x:t>
        </x:is>
      </x:c>
      <x:c r="C894" s="5" t="inlineStr">
        <x:is>
          <x:t xml:space="preserve">eternatus</x:t>
        </x:is>
      </x:c>
      <x:c r="D894" s="5" t="inlineStr">
        <x:is>
          <x:t xml:space="preserve">Eternatus</x:t>
        </x:is>
      </x:c>
      <x:c r="E894" s="5" t="n">
        <x:v>8</x:v>
      </x:c>
      <x:c r="F894" s="5" t="inlineStr">
        <x:is>
          <x:t xml:space="preserve">독</x:t>
        </x:is>
      </x:c>
      <x:c r="G894" s="5" t="inlineStr">
        <x:is>
          <x:t xml:space="preserve">드래곤</x:t>
        </x:is>
      </x:c>
      <x:c r="H894" s="6" t="n">
        <x:v>950</x:v>
      </x:c>
      <x:c r="I894" s="5" t="n"/>
      <x:c r="J894" s="5" t="inlineStr">
        <x:is>
          <x:t xml:space="preserve">무진화</x:t>
        </x:is>
      </x:c>
      <x:c r="K894" s="7" t="inlineStr">
        <x:is>
          <x:t xml:space="preserve">비행</x:t>
        </x:is>
      </x:c>
      <x:c r="L894" s="7" t="inlineStr">
        <x:is>
          <x:t xml:space="preserve">개활지</x:t>
        </x:is>
      </x:c>
      <x:c r="M894" s="7" t="inlineStr">
        <x:is>
          <x:t xml:space="preserve">온대</x:t>
        </x:is>
      </x:c>
      <x:c r="N894" s="7" t="inlineStr">
        <x:is>
          <x:t xml:space="preserve">보통</x:t>
        </x:is>
      </x:c>
      <x:c r="O894" s="7" t="inlineStr">
        <x:is>
          <x:t xml:space="preserve">무관</x:t>
        </x:is>
      </x:c>
      <x:c r="P894" s="7" t="inlineStr">
        <x:is>
          <x:t xml:space="preserve">무관</x:t>
        </x:is>
      </x:c>
      <x:c r="Q894" s="7" t="inlineStr">
        <x:is>
          <x:t xml:space="preserve">전설</x:t>
        </x:is>
      </x:c>
      <x:c r="R894" s="7" t="inlineStr">
        <x:is>
          <x:t xml:space="preserve">전설</x:t>
        </x:is>
      </x:c>
      <x:c r="S894" s="7" t="inlineStr">
        <x:is>
          <x:t xml:space="preserve"/>
        </x:is>
      </x:c>
      <x:c r="T894" s="7" t="inlineStr">
        <x:is>
          <x:t xml:space="preserve"/>
        </x:is>
      </x:c>
      <x:c r="U894" s="8" t="str">
        <x:f>INDEX('서식지_점수'!$E$4:$P$4,1,MATCH(MAX('서식지_점수'!E894:P894),'서식지_점수'!E894:P894,0))</x:f>
        <x:v>산악</x:v>
      </x:c>
      <x:c r="V894" s="8" t="str">
        <x:f>IF(T894&lt;&gt;"",T894,U894)</x:f>
        <x:v>산악</x:v>
      </x:c>
      <x:c r="W894" s="8" t="str">
        <x:f>IFERROR(INDEX('서식지_점수'!$E$4:$P$4,1,MATCH(MAXIFS('서식지_점수'!E894:P894,'서식지_점수'!E894:P894,"&lt;"&amp;MAX('서식지_점수'!E894:P894)),'서식지_점수'!E894:P894,0)),"")</x:f>
        <x:v>평원</x:v>
      </x:c>
      <x:c r="X894" s="8" t="str">
        <x:f>IF(T894&lt;&gt;"","수동확정",IF(MAX('서식지_점수'!E894:P894)-LARGE('서식지_점수'!E894:P894,2)&gt;=15,"높음",IF(MAX('서식지_점수'!E894:P894)-LARGE('서식지_점수'!E894:P894,2)&gt;=8,"보통","검토필요")))</x:f>
        <x:v>검토필요</x:v>
      </x:c>
      <x:c r="Y894" s="9" t="n">
        <x:f>IF(Q894="전설",8,IF(Q894="희귀",7,IF(J894="기본",1,IF(J894="중간",3,IF(J894="최종",IF(I894="",5,IF(I894&lt;=20,3,IF(I894&lt;=35,4,IF(I894&lt;=50,6,7)))),IF(Q894="드묾",4,2))))))</x:f>
        <x:v>8</x:v>
      </x:c>
      <x:c r="Z894" s="5" t="inlineStr">
        <x:is>
          <x:t xml:space="preserve">cobbleverse:custom_spawn/eternatus_cocoon</x:t>
        </x:is>
      </x:c>
      <x:c r="AA894" s="5" t="inlineStr">
        <x:is>
          <x:t xml:space="preserve">ultra-rare</x:t>
        </x:is>
      </x:c>
      <x:c r="AB894" s="5" t="inlineStr">
        <x:is>
          <x:t xml:space="preserve">아니오</x:t>
        </x:is>
      </x:c>
      <x:c r="AC894" s="8" t="str">
        <x:f>IF(T894&lt;&gt;"","수동확정",IF(X894="검토필요","검토필요",IF(S894="","원본없음","초기완료")))</x:f>
        <x:v>검토필요</x:v>
      </x:c>
      <x:c r="AD894" s="7" t="inlineStr">
        <x:is>
          <x:t xml:space="preserve"/>
        </x:is>
      </x:c>
      <x:c r="AE894" s="5" t="inlineStr">
        <x:is>
          <x:t xml:space="preserve">.tmp/cobblemon-1.7.3-source/common/src/main/resources/data/cobblemon/species/generation8/eternatus.json</x:t>
        </x:is>
      </x:c>
      <x:c r="AF894" s="5" t="str">
        <x:f>"생활권|"&amp;K894</x:f>
        <x:v>생활권|비행</x:v>
      </x:c>
      <x:c r="AG894" s="5" t="str">
        <x:f>"지형|"&amp;L894</x:f>
        <x:v>지형|개활지</x:v>
      </x:c>
      <x:c r="AH894" s="5" t="str">
        <x:f>"온도|"&amp;M894</x:f>
        <x:v>온도|온대</x:v>
      </x:c>
      <x:c r="AI894" s="5" t="str">
        <x:f>"습도|"&amp;N894</x:f>
        <x:v>습도|보통</x:v>
      </x:c>
      <x:c r="AJ894" s="5" t="str">
        <x:f>"날씨|"&amp;O894</x:f>
        <x:v>날씨|무관</x:v>
      </x:c>
      <x:c r="AK894" s="5" t="str">
        <x:f>"특수태그|"&amp;R894</x:f>
        <x:v>특수태그|전설</x:v>
      </x:c>
      <x:c r="AL894" s="5" t="str">
        <x:f>"원본서식지|"&amp;S894</x:f>
        <x:v>원본서식지|</x:v>
      </x:c>
      <x:c r="AM894" s="5" t="str">
        <x:f>"타입|"&amp;F894</x:f>
        <x:v>타입|독</x:v>
      </x:c>
      <x:c r="AN894" s="5" t="str">
        <x:f>"타입|"&amp;G894</x:f>
        <x:v>타입|드래곤</x:v>
      </x:c>
    </x:row>
    <x:row r="895" ht="24" customHeight="1">
      <x:c r="A895" s="5" t="n">
        <x:v>891</x:v>
      </x:c>
      <x:c r="B895" s="5" t="inlineStr">
        <x:is>
          <x:t xml:space="preserve">치고마</x:t>
        </x:is>
      </x:c>
      <x:c r="C895" s="5" t="inlineStr">
        <x:is>
          <x:t xml:space="preserve">kubfu</x:t>
        </x:is>
      </x:c>
      <x:c r="D895" s="5" t="inlineStr">
        <x:is>
          <x:t xml:space="preserve">Kubfu</x:t>
        </x:is>
      </x:c>
      <x:c r="E895" s="5" t="n">
        <x:v>8</x:v>
      </x:c>
      <x:c r="F895" s="5" t="inlineStr">
        <x:is>
          <x:t xml:space="preserve">격투</x:t>
        </x:is>
      </x:c>
      <x:c r="G895" s="5" t="inlineStr">
        <x:is>
          <x:t xml:space="preserve"/>
        </x:is>
      </x:c>
      <x:c r="H895" s="6" t="n">
        <x:v>12</x:v>
      </x:c>
      <x:c r="I895" s="5" t="n"/>
      <x:c r="J895" s="5" t="inlineStr">
        <x:is>
          <x:t xml:space="preserve">기본</x:t>
        </x:is>
      </x:c>
      <x:c r="K895" s="7" t="inlineStr">
        <x:is>
          <x:t xml:space="preserve">육상</x:t>
        </x:is>
      </x:c>
      <x:c r="L895" s="7" t="inlineStr">
        <x:is>
          <x:t xml:space="preserve">수목</x:t>
        </x:is>
      </x:c>
      <x:c r="M895" s="7" t="inlineStr">
        <x:is>
          <x:t xml:space="preserve">온대</x:t>
        </x:is>
      </x:c>
      <x:c r="N895" s="7" t="inlineStr">
        <x:is>
          <x:t xml:space="preserve">보통</x:t>
        </x:is>
      </x:c>
      <x:c r="O895" s="7" t="inlineStr">
        <x:is>
          <x:t xml:space="preserve">무관</x:t>
        </x:is>
      </x:c>
      <x:c r="P895" s="7" t="inlineStr">
        <x:is>
          <x:t xml:space="preserve">무관</x:t>
        </x:is>
      </x:c>
      <x:c r="Q895" s="7" t="inlineStr">
        <x:is>
          <x:t xml:space="preserve">전설</x:t>
        </x:is>
      </x:c>
      <x:c r="R895" s="7" t="inlineStr">
        <x:is>
          <x:t xml:space="preserve">전설</x:t>
        </x:is>
      </x:c>
      <x:c r="S895" s="7" t="inlineStr">
        <x:is>
          <x:t xml:space="preserve">숲</x:t>
        </x:is>
      </x:c>
      <x:c r="T895" s="7" t="inlineStr">
        <x:is>
          <x:t xml:space="preserve"/>
        </x:is>
      </x:c>
      <x:c r="U895" s="8" t="str">
        <x:f>INDEX('서식지_점수'!$E$4:$P$4,1,MATCH(MAX('서식지_점수'!E895:P895),'서식지_점수'!E895:P895,0))</x:f>
        <x:v>평원</x:v>
      </x:c>
      <x:c r="V895" s="8" t="str">
        <x:f>IF(T895&lt;&gt;"",T895,U895)</x:f>
        <x:v>평원</x:v>
      </x:c>
      <x:c r="W895" s="8" t="str">
        <x:f>IFERROR(INDEX('서식지_점수'!$E$4:$P$4,1,MATCH(MAXIFS('서식지_점수'!E895:P895,'서식지_점수'!E895:P895,"&lt;"&amp;MAX('서식지_점수'!E895:P895)),'서식지_점수'!E895:P895,0)),"")</x:f>
        <x:v>숲</x:v>
      </x:c>
      <x:c r="X895" s="8" t="str">
        <x:f>IF(T895&lt;&gt;"","수동확정",IF(MAX('서식지_점수'!E895:P895)-LARGE('서식지_점수'!E895:P895,2)&gt;=15,"높음",IF(MAX('서식지_점수'!E895:P895)-LARGE('서식지_점수'!E895:P895,2)&gt;=8,"보통","검토필요")))</x:f>
        <x:v>검토필요</x:v>
      </x:c>
      <x:c r="Y895" s="9" t="n">
        <x:f>IF(Q895="전설",8,IF(Q895="희귀",7,IF(J895="기본",1,IF(J895="중간",3,IF(J895="최종",IF(I895="",5,IF(I895&lt;=20,3,IF(I895&lt;=35,4,IF(I895&lt;=50,6,7)))),IF(Q895="드묾",4,2))))))</x:f>
        <x:v>8</x:v>
      </x:c>
      <x:c r="Z895" s="5" t="inlineStr">
        <x:is>
          <x:t xml:space="preserve">minecraft:cherry_grove</x:t>
        </x:is>
      </x:c>
      <x:c r="AA895" s="5" t="inlineStr">
        <x:is>
          <x:t xml:space="preserve">ultra-rare</x:t>
        </x:is>
      </x:c>
      <x:c r="AB895" s="5" t="inlineStr">
        <x:is>
          <x:t xml:space="preserve">아니오</x:t>
        </x:is>
      </x:c>
      <x:c r="AC895" s="8" t="str">
        <x:f>IF(T895&lt;&gt;"","수동확정",IF(X895="검토필요","검토필요",IF(S895="","원본없음","초기완료")))</x:f>
        <x:v>검토필요</x:v>
      </x:c>
      <x:c r="AD895" s="7" t="inlineStr">
        <x:is>
          <x:t xml:space="preserve"/>
        </x:is>
      </x:c>
      <x:c r="AE895" s="5" t="inlineStr">
        <x:is>
          <x:t xml:space="preserve">.tmp/cobblemon-1.7.3-source/common/src/main/resources/data/cobblemon/species/generation8/kubfu.json</x:t>
        </x:is>
      </x:c>
      <x:c r="AF895" s="5" t="str">
        <x:f>"생활권|"&amp;K895</x:f>
        <x:v>생활권|육상</x:v>
      </x:c>
      <x:c r="AG895" s="5" t="str">
        <x:f>"지형|"&amp;L895</x:f>
        <x:v>지형|수목</x:v>
      </x:c>
      <x:c r="AH895" s="5" t="str">
        <x:f>"온도|"&amp;M895</x:f>
        <x:v>온도|온대</x:v>
      </x:c>
      <x:c r="AI895" s="5" t="str">
        <x:f>"습도|"&amp;N895</x:f>
        <x:v>습도|보통</x:v>
      </x:c>
      <x:c r="AJ895" s="5" t="str">
        <x:f>"날씨|"&amp;O895</x:f>
        <x:v>날씨|무관</x:v>
      </x:c>
      <x:c r="AK895" s="5" t="str">
        <x:f>"특수태그|"&amp;R895</x:f>
        <x:v>특수태그|전설</x:v>
      </x:c>
      <x:c r="AL895" s="5" t="str">
        <x:f>"원본서식지|"&amp;S895</x:f>
        <x:v>원본서식지|숲</x:v>
      </x:c>
      <x:c r="AM895" s="5" t="str">
        <x:f>"타입|"&amp;F895</x:f>
        <x:v>타입|격투</x:v>
      </x:c>
      <x:c r="AN895" s="5" t="str">
        <x:f>"타입|"&amp;G895</x:f>
        <x:v>타입|</x:v>
      </x:c>
    </x:row>
    <x:row r="896" ht="24" customHeight="1">
      <x:c r="A896" s="5" t="n">
        <x:v>892</x:v>
      </x:c>
      <x:c r="B896" s="5" t="inlineStr">
        <x:is>
          <x:t xml:space="preserve">우라오스</x:t>
        </x:is>
      </x:c>
      <x:c r="C896" s="5" t="inlineStr">
        <x:is>
          <x:t xml:space="preserve">urshifu</x:t>
        </x:is>
      </x:c>
      <x:c r="D896" s="5" t="inlineStr">
        <x:is>
          <x:t xml:space="preserve">Urshifu</x:t>
        </x:is>
      </x:c>
      <x:c r="E896" s="5" t="n">
        <x:v>8</x:v>
      </x:c>
      <x:c r="F896" s="5" t="inlineStr">
        <x:is>
          <x:t xml:space="preserve">격투</x:t>
        </x:is>
      </x:c>
      <x:c r="G896" s="5" t="inlineStr">
        <x:is>
          <x:t xml:space="preserve">악</x:t>
        </x:is>
      </x:c>
      <x:c r="H896" s="6" t="n">
        <x:v>105</x:v>
      </x:c>
      <x:c r="I896" s="5" t="n"/>
      <x:c r="J896" s="5" t="inlineStr">
        <x:is>
          <x:t xml:space="preserve">최종</x:t>
        </x:is>
      </x:c>
      <x:c r="K896" s="7" t="inlineStr">
        <x:is>
          <x:t xml:space="preserve">육상</x:t>
        </x:is>
      </x:c>
      <x:c r="L896" s="7" t="inlineStr">
        <x:is>
          <x:t xml:space="preserve">수목</x:t>
        </x:is>
      </x:c>
      <x:c r="M896" s="7" t="inlineStr">
        <x:is>
          <x:t xml:space="preserve">온대</x:t>
        </x:is>
      </x:c>
      <x:c r="N896" s="7" t="inlineStr">
        <x:is>
          <x:t xml:space="preserve">보통</x:t>
        </x:is>
      </x:c>
      <x:c r="O896" s="7" t="inlineStr">
        <x:is>
          <x:t xml:space="preserve">무관</x:t>
        </x:is>
      </x:c>
      <x:c r="P896" s="7" t="inlineStr">
        <x:is>
          <x:t xml:space="preserve">밤</x:t>
        </x:is>
      </x:c>
      <x:c r="Q896" s="7" t="inlineStr">
        <x:is>
          <x:t xml:space="preserve">전설</x:t>
        </x:is>
      </x:c>
      <x:c r="R896" s="7" t="inlineStr">
        <x:is>
          <x:t xml:space="preserve">전설</x:t>
        </x:is>
      </x:c>
      <x:c r="S896" s="7" t="inlineStr">
        <x:is>
          <x:t xml:space="preserve">숲</x:t>
        </x:is>
      </x:c>
      <x:c r="T896" s="7" t="inlineStr">
        <x:is>
          <x:t xml:space="preserve"/>
        </x:is>
      </x:c>
      <x:c r="U896" s="8" t="str">
        <x:f>INDEX('서식지_점수'!$E$4:$P$4,1,MATCH(MAX('서식지_점수'!E896:P896),'서식지_점수'!E896:P896,0))</x:f>
        <x:v>평원</x:v>
      </x:c>
      <x:c r="V896" s="8" t="str">
        <x:f>IF(T896&lt;&gt;"",T896,U896)</x:f>
        <x:v>평원</x:v>
      </x:c>
      <x:c r="W896" s="8" t="str">
        <x:f>IFERROR(INDEX('서식지_점수'!$E$4:$P$4,1,MATCH(MAXIFS('서식지_점수'!E896:P896,'서식지_점수'!E896:P896,"&lt;"&amp;MAX('서식지_점수'!E896:P896)),'서식지_점수'!E896:P896,0)),"")</x:f>
        <x:v>숲</x:v>
      </x:c>
      <x:c r="X896" s="8" t="str">
        <x:f>IF(T896&lt;&gt;"","수동확정",IF(MAX('서식지_점수'!E896:P896)-LARGE('서식지_점수'!E896:P896,2)&gt;=15,"높음",IF(MAX('서식지_점수'!E896:P896)-LARGE('서식지_점수'!E896:P896,2)&gt;=8,"보통","검토필요")))</x:f>
        <x:v>검토필요</x:v>
      </x:c>
      <x:c r="Y896" s="9" t="n">
        <x:f>IF(Q896="전설",8,IF(Q896="희귀",7,IF(J896="기본",1,IF(J896="중간",3,IF(J896="최종",IF(I896="",5,IF(I896&lt;=20,3,IF(I896&lt;=35,4,IF(I896&lt;=50,6,7)))),IF(Q896="드묾",4,2))))))</x:f>
        <x:v>8</x:v>
      </x:c>
      <x:c r="Z896" s="5" t="inlineStr">
        <x:is>
          <x:t xml:space="preserve">minecraft:cherry_grove</x:t>
        </x:is>
      </x:c>
      <x:c r="AA896" s="5" t="inlineStr">
        <x:is>
          <x:t xml:space="preserve">ultra-rare</x:t>
        </x:is>
      </x:c>
      <x:c r="AB896" s="5" t="inlineStr">
        <x:is>
          <x:t xml:space="preserve">아니오</x:t>
        </x:is>
      </x:c>
      <x:c r="AC896" s="8" t="str">
        <x:f>IF(T896&lt;&gt;"","수동확정",IF(X896="검토필요","검토필요",IF(S896="","원본없음","초기완료")))</x:f>
        <x:v>검토필요</x:v>
      </x:c>
      <x:c r="AD896" s="7" t="inlineStr">
        <x:is>
          <x:t xml:space="preserve"/>
        </x:is>
      </x:c>
      <x:c r="AE896" s="5" t="inlineStr">
        <x:is>
          <x:t xml:space="preserve">.tmp/cobblemon-1.7.3-source/common/src/main/resources/data/cobblemon/species/generation8/urshifu.json</x:t>
        </x:is>
      </x:c>
      <x:c r="AF896" s="5" t="str">
        <x:f>"생활권|"&amp;K896</x:f>
        <x:v>생활권|육상</x:v>
      </x:c>
      <x:c r="AG896" s="5" t="str">
        <x:f>"지형|"&amp;L896</x:f>
        <x:v>지형|수목</x:v>
      </x:c>
      <x:c r="AH896" s="5" t="str">
        <x:f>"온도|"&amp;M896</x:f>
        <x:v>온도|온대</x:v>
      </x:c>
      <x:c r="AI896" s="5" t="str">
        <x:f>"습도|"&amp;N896</x:f>
        <x:v>습도|보통</x:v>
      </x:c>
      <x:c r="AJ896" s="5" t="str">
        <x:f>"날씨|"&amp;O896</x:f>
        <x:v>날씨|무관</x:v>
      </x:c>
      <x:c r="AK896" s="5" t="str">
        <x:f>"특수태그|"&amp;R896</x:f>
        <x:v>특수태그|전설</x:v>
      </x:c>
      <x:c r="AL896" s="5" t="str">
        <x:f>"원본서식지|"&amp;S896</x:f>
        <x:v>원본서식지|숲</x:v>
      </x:c>
      <x:c r="AM896" s="5" t="str">
        <x:f>"타입|"&amp;F896</x:f>
        <x:v>타입|격투</x:v>
      </x:c>
      <x:c r="AN896" s="5" t="str">
        <x:f>"타입|"&amp;G896</x:f>
        <x:v>타입|악</x:v>
      </x:c>
    </x:row>
    <x:row r="897" ht="24" customHeight="1">
      <x:c r="A897" s="5" t="n">
        <x:v>893</x:v>
      </x:c>
      <x:c r="B897" s="5" t="inlineStr">
        <x:is>
          <x:t xml:space="preserve">자루도</x:t>
        </x:is>
      </x:c>
      <x:c r="C897" s="5" t="inlineStr">
        <x:is>
          <x:t xml:space="preserve">zarude</x:t>
        </x:is>
      </x:c>
      <x:c r="D897" s="5" t="inlineStr">
        <x:is>
          <x:t xml:space="preserve">Zarude</x:t>
        </x:is>
      </x:c>
      <x:c r="E897" s="5" t="n">
        <x:v>8</x:v>
      </x:c>
      <x:c r="F897" s="5" t="inlineStr">
        <x:is>
          <x:t xml:space="preserve">악</x:t>
        </x:is>
      </x:c>
      <x:c r="G897" s="5" t="inlineStr">
        <x:is>
          <x:t xml:space="preserve">풀</x:t>
        </x:is>
      </x:c>
      <x:c r="H897" s="6" t="n">
        <x:v>70</x:v>
      </x:c>
      <x:c r="I897" s="5" t="n"/>
      <x:c r="J897" s="5" t="inlineStr">
        <x:is>
          <x:t xml:space="preserve">무진화</x:t>
        </x:is>
      </x:c>
      <x:c r="K897" s="7" t="inlineStr">
        <x:is>
          <x:t xml:space="preserve">육상</x:t>
        </x:is>
      </x:c>
      <x:c r="L897" s="7" t="inlineStr">
        <x:is>
          <x:t xml:space="preserve">수목</x:t>
        </x:is>
      </x:c>
      <x:c r="M897" s="7" t="inlineStr">
        <x:is>
          <x:t xml:space="preserve">온대</x:t>
        </x:is>
      </x:c>
      <x:c r="N897" s="7" t="inlineStr">
        <x:is>
          <x:t xml:space="preserve">다습</x:t>
        </x:is>
      </x:c>
      <x:c r="O897" s="7" t="inlineStr">
        <x:is>
          <x:t xml:space="preserve">무관</x:t>
        </x:is>
      </x:c>
      <x:c r="P897" s="7" t="inlineStr">
        <x:is>
          <x:t xml:space="preserve">밤</x:t>
        </x:is>
      </x:c>
      <x:c r="Q897" s="7" t="inlineStr">
        <x:is>
          <x:t xml:space="preserve">전설</x:t>
        </x:is>
      </x:c>
      <x:c r="R897" s="7" t="inlineStr">
        <x:is>
          <x:t xml:space="preserve">전설</x:t>
        </x:is>
      </x:c>
      <x:c r="S897" s="7" t="inlineStr">
        <x:is>
          <x:t xml:space="preserve">숲</x:t>
        </x:is>
      </x:c>
      <x:c r="T897" s="7" t="inlineStr">
        <x:is>
          <x:t xml:space="preserve"/>
        </x:is>
      </x:c>
      <x:c r="U897" s="8" t="str">
        <x:f>INDEX('서식지_점수'!$E$4:$P$4,1,MATCH(MAX('서식지_점수'!E897:P897),'서식지_점수'!E897:P897,0))</x:f>
        <x:v>평원</x:v>
      </x:c>
      <x:c r="V897" s="8" t="str">
        <x:f>IF(T897&lt;&gt;"",T897,U897)</x:f>
        <x:v>평원</x:v>
      </x:c>
      <x:c r="W897" s="8" t="str">
        <x:f>IFERROR(INDEX('서식지_점수'!$E$4:$P$4,1,MATCH(MAXIFS('서식지_점수'!E897:P897,'서식지_점수'!E897:P897,"&lt;"&amp;MAX('서식지_점수'!E897:P897)),'서식지_점수'!E897:P897,0)),"")</x:f>
        <x:v>숲</x:v>
      </x:c>
      <x:c r="X897" s="8" t="str">
        <x:f>IF(T897&lt;&gt;"","수동확정",IF(MAX('서식지_점수'!E897:P897)-LARGE('서식지_점수'!E897:P897,2)&gt;=15,"높음",IF(MAX('서식지_점수'!E897:P897)-LARGE('서식지_점수'!E897:P897,2)&gt;=8,"보통","검토필요")))</x:f>
        <x:v>검토필요</x:v>
      </x:c>
      <x:c r="Y897" s="9" t="n">
        <x:f>IF(Q897="전설",8,IF(Q897="희귀",7,IF(J897="기본",1,IF(J897="중간",3,IF(J897="최종",IF(I897="",5,IF(I897&lt;=20,3,IF(I897&lt;=35,4,IF(I897&lt;=50,6,7)))),IF(Q897="드묾",4,2))))))</x:f>
        <x:v>8</x:v>
      </x:c>
      <x:c r="Z897" s="5" t="inlineStr">
        <x:is>
          <x:t xml:space="preserve">minecraft:jungle</x:t>
        </x:is>
      </x:c>
      <x:c r="AA897" s="5" t="inlineStr">
        <x:is>
          <x:t xml:space="preserve">ultra-rare</x:t>
        </x:is>
      </x:c>
      <x:c r="AB897" s="5" t="inlineStr">
        <x:is>
          <x:t xml:space="preserve">예</x:t>
        </x:is>
      </x:c>
      <x:c r="AC897" s="8" t="str">
        <x:f>IF(T897&lt;&gt;"","수동확정",IF(X897="검토필요","검토필요",IF(S897="","원본없음","초기완료")))</x:f>
        <x:v>검토필요</x:v>
      </x:c>
      <x:c r="AD897" s="7" t="inlineStr">
        <x:is>
          <x:t xml:space="preserve"/>
        </x:is>
      </x:c>
      <x:c r="AE897" s="5" t="inlineStr">
        <x:is>
          <x:t xml:space="preserve">.tmp/cobblemon-1.7.3-source/common/src/main/resources/data/cobblemon/species/generation8/zarude.json</x:t>
        </x:is>
      </x:c>
      <x:c r="AF897" s="5" t="str">
        <x:f>"생활권|"&amp;K897</x:f>
        <x:v>생활권|육상</x:v>
      </x:c>
      <x:c r="AG897" s="5" t="str">
        <x:f>"지형|"&amp;L897</x:f>
        <x:v>지형|수목</x:v>
      </x:c>
      <x:c r="AH897" s="5" t="str">
        <x:f>"온도|"&amp;M897</x:f>
        <x:v>온도|온대</x:v>
      </x:c>
      <x:c r="AI897" s="5" t="str">
        <x:f>"습도|"&amp;N897</x:f>
        <x:v>습도|다습</x:v>
      </x:c>
      <x:c r="AJ897" s="5" t="str">
        <x:f>"날씨|"&amp;O897</x:f>
        <x:v>날씨|무관</x:v>
      </x:c>
      <x:c r="AK897" s="5" t="str">
        <x:f>"특수태그|"&amp;R897</x:f>
        <x:v>특수태그|전설</x:v>
      </x:c>
      <x:c r="AL897" s="5" t="str">
        <x:f>"원본서식지|"&amp;S897</x:f>
        <x:v>원본서식지|숲</x:v>
      </x:c>
      <x:c r="AM897" s="5" t="str">
        <x:f>"타입|"&amp;F897</x:f>
        <x:v>타입|악</x:v>
      </x:c>
      <x:c r="AN897" s="5" t="str">
        <x:f>"타입|"&amp;G897</x:f>
        <x:v>타입|풀</x:v>
      </x:c>
    </x:row>
    <x:row r="898" ht="24" customHeight="1">
      <x:c r="A898" s="5" t="n">
        <x:v>894</x:v>
      </x:c>
      <x:c r="B898" s="5" t="inlineStr">
        <x:is>
          <x:t xml:space="preserve">레지에레키</x:t>
        </x:is>
      </x:c>
      <x:c r="C898" s="5" t="inlineStr">
        <x:is>
          <x:t xml:space="preserve">regieleki</x:t>
        </x:is>
      </x:c>
      <x:c r="D898" s="5" t="inlineStr">
        <x:is>
          <x:t xml:space="preserve">Regieleki</x:t>
        </x:is>
      </x:c>
      <x:c r="E898" s="5" t="n">
        <x:v>8</x:v>
      </x:c>
      <x:c r="F898" s="5" t="inlineStr">
        <x:is>
          <x:t xml:space="preserve">전기</x:t>
        </x:is>
      </x:c>
      <x:c r="G898" s="5" t="inlineStr">
        <x:is>
          <x:t xml:space="preserve"/>
        </x:is>
      </x:c>
      <x:c r="H898" s="6" t="n">
        <x:v>145</x:v>
      </x:c>
      <x:c r="I898" s="5" t="n"/>
      <x:c r="J898" s="5" t="inlineStr">
        <x:is>
          <x:t xml:space="preserve">무진화</x:t>
        </x:is>
      </x:c>
      <x:c r="K898" s="7" t="inlineStr">
        <x:is>
          <x:t xml:space="preserve">비행</x:t>
        </x:is>
      </x:c>
      <x:c r="L898" s="7" t="inlineStr">
        <x:is>
          <x:t xml:space="preserve">특수</x:t>
        </x:is>
      </x:c>
      <x:c r="M898" s="7" t="inlineStr">
        <x:is>
          <x:t xml:space="preserve">온대</x:t>
        </x:is>
      </x:c>
      <x:c r="N898" s="7" t="inlineStr">
        <x:is>
          <x:t xml:space="preserve">보통</x:t>
        </x:is>
      </x:c>
      <x:c r="O898" s="7" t="inlineStr">
        <x:is>
          <x:t xml:space="preserve">무관</x:t>
        </x:is>
      </x:c>
      <x:c r="P898" s="7" t="inlineStr">
        <x:is>
          <x:t xml:space="preserve">무관</x:t>
        </x:is>
      </x:c>
      <x:c r="Q898" s="7" t="inlineStr">
        <x:is>
          <x:t xml:space="preserve">전설</x:t>
        </x:is>
      </x:c>
      <x:c r="R898" s="7" t="inlineStr">
        <x:is>
          <x:t xml:space="preserve">전설</x:t>
        </x:is>
      </x:c>
      <x:c r="S898" s="7" t="inlineStr">
        <x:is>
          <x:t xml:space="preserve">특수</x:t>
        </x:is>
      </x:c>
      <x:c r="T898" s="7" t="inlineStr">
        <x:is>
          <x:t xml:space="preserve"/>
        </x:is>
      </x:c>
      <x:c r="U898" s="8" t="str">
        <x:f>INDEX('서식지_점수'!$E$4:$P$4,1,MATCH(MAX('서식지_점수'!E898:P898),'서식지_점수'!E898:P898,0))</x:f>
        <x:v>산악</x:v>
      </x:c>
      <x:c r="V898" s="8" t="str">
        <x:f>IF(T898&lt;&gt;"",T898,U898)</x:f>
        <x:v>산악</x:v>
      </x:c>
      <x:c r="W898" s="8" t="str">
        <x:f>IFERROR(INDEX('서식지_점수'!$E$4:$P$4,1,MATCH(MAXIFS('서식지_점수'!E898:P898,'서식지_점수'!E898:P898,"&lt;"&amp;MAX('서식지_점수'!E898:P898)),'서식지_점수'!E898:P898,0)),"")</x:f>
        <x:v>평원</x:v>
      </x:c>
      <x:c r="X898" s="8" t="str">
        <x:f>IF(T898&lt;&gt;"","수동확정",IF(MAX('서식지_점수'!E898:P898)-LARGE('서식지_점수'!E898:P898,2)&gt;=15,"높음",IF(MAX('서식지_점수'!E898:P898)-LARGE('서식지_점수'!E898:P898,2)&gt;=8,"보통","검토필요")))</x:f>
        <x:v>검토필요</x:v>
      </x:c>
      <x:c r="Y898" s="9" t="n">
        <x:f>IF(Q898="전설",8,IF(Q898="희귀",7,IF(J898="기본",1,IF(J898="중간",3,IF(J898="최종",IF(I898="",5,IF(I898&lt;=20,3,IF(I898&lt;=35,4,IF(I898&lt;=50,6,7)))),IF(Q898="드묾",4,2))))))</x:f>
        <x:v>8</x:v>
      </x:c>
      <x:c r="Z898" s="5" t="inlineStr">
        <x:is>
          <x:t xml:space="preserve">cobbleverse:custom_spawn/split_decision_temple</x:t>
        </x:is>
      </x:c>
      <x:c r="AA898" s="5" t="inlineStr">
        <x:is>
          <x:t xml:space="preserve">ultra-rare</x:t>
        </x:is>
      </x:c>
      <x:c r="AB898" s="5" t="inlineStr">
        <x:is>
          <x:t xml:space="preserve">예</x:t>
        </x:is>
      </x:c>
      <x:c r="AC898" s="8" t="str">
        <x:f>IF(T898&lt;&gt;"","수동확정",IF(X898="검토필요","검토필요",IF(S898="","원본없음","초기완료")))</x:f>
        <x:v>검토필요</x:v>
      </x:c>
      <x:c r="AD898" s="7" t="inlineStr">
        <x:is>
          <x:t xml:space="preserve"/>
        </x:is>
      </x:c>
      <x:c r="AE898" s="5" t="inlineStr">
        <x:is>
          <x:t xml:space="preserve">.tmp/cobblemon-1.7.3-source/common/src/main/resources/data/cobblemon/species/generation8/regieleki.json</x:t>
        </x:is>
      </x:c>
      <x:c r="AF898" s="5" t="str">
        <x:f>"생활권|"&amp;K898</x:f>
        <x:v>생활권|비행</x:v>
      </x:c>
      <x:c r="AG898" s="5" t="str">
        <x:f>"지형|"&amp;L898</x:f>
        <x:v>지형|특수</x:v>
      </x:c>
      <x:c r="AH898" s="5" t="str">
        <x:f>"온도|"&amp;M898</x:f>
        <x:v>온도|온대</x:v>
      </x:c>
      <x:c r="AI898" s="5" t="str">
        <x:f>"습도|"&amp;N898</x:f>
        <x:v>습도|보통</x:v>
      </x:c>
      <x:c r="AJ898" s="5" t="str">
        <x:f>"날씨|"&amp;O898</x:f>
        <x:v>날씨|무관</x:v>
      </x:c>
      <x:c r="AK898" s="5" t="str">
        <x:f>"특수태그|"&amp;R898</x:f>
        <x:v>특수태그|전설</x:v>
      </x:c>
      <x:c r="AL898" s="5" t="str">
        <x:f>"원본서식지|"&amp;S898</x:f>
        <x:v>원본서식지|특수</x:v>
      </x:c>
      <x:c r="AM898" s="5" t="str">
        <x:f>"타입|"&amp;F898</x:f>
        <x:v>타입|전기</x:v>
      </x:c>
      <x:c r="AN898" s="5" t="str">
        <x:f>"타입|"&amp;G898</x:f>
        <x:v>타입|</x:v>
      </x:c>
    </x:row>
    <x:row r="899" ht="24" customHeight="1">
      <x:c r="A899" s="5" t="n">
        <x:v>895</x:v>
      </x:c>
      <x:c r="B899" s="5" t="inlineStr">
        <x:is>
          <x:t xml:space="preserve">레지드래고</x:t>
        </x:is>
      </x:c>
      <x:c r="C899" s="5" t="inlineStr">
        <x:is>
          <x:t xml:space="preserve">regidrago</x:t>
        </x:is>
      </x:c>
      <x:c r="D899" s="5" t="inlineStr">
        <x:is>
          <x:t xml:space="preserve">Regidrago</x:t>
        </x:is>
      </x:c>
      <x:c r="E899" s="5" t="n">
        <x:v>8</x:v>
      </x:c>
      <x:c r="F899" s="5" t="inlineStr">
        <x:is>
          <x:t xml:space="preserve">드래곤</x:t>
        </x:is>
      </x:c>
      <x:c r="G899" s="5" t="inlineStr">
        <x:is>
          <x:t xml:space="preserve"/>
        </x:is>
      </x:c>
      <x:c r="H899" s="6" t="n">
        <x:v>200</x:v>
      </x:c>
      <x:c r="I899" s="5" t="n"/>
      <x:c r="J899" s="5" t="inlineStr">
        <x:is>
          <x:t xml:space="preserve">무진화</x:t>
        </x:is>
      </x:c>
      <x:c r="K899" s="7" t="inlineStr">
        <x:is>
          <x:t xml:space="preserve">비행</x:t>
        </x:is>
      </x:c>
      <x:c r="L899" s="7" t="inlineStr">
        <x:is>
          <x:t xml:space="preserve">특수</x:t>
        </x:is>
      </x:c>
      <x:c r="M899" s="7" t="inlineStr">
        <x:is>
          <x:t xml:space="preserve">온대</x:t>
        </x:is>
      </x:c>
      <x:c r="N899" s="7" t="inlineStr">
        <x:is>
          <x:t xml:space="preserve">보통</x:t>
        </x:is>
      </x:c>
      <x:c r="O899" s="7" t="inlineStr">
        <x:is>
          <x:t xml:space="preserve">무관</x:t>
        </x:is>
      </x:c>
      <x:c r="P899" s="7" t="inlineStr">
        <x:is>
          <x:t xml:space="preserve">무관</x:t>
        </x:is>
      </x:c>
      <x:c r="Q899" s="7" t="inlineStr">
        <x:is>
          <x:t xml:space="preserve">전설</x:t>
        </x:is>
      </x:c>
      <x:c r="R899" s="7" t="inlineStr">
        <x:is>
          <x:t xml:space="preserve">전설</x:t>
        </x:is>
      </x:c>
      <x:c r="S899" s="7" t="inlineStr">
        <x:is>
          <x:t xml:space="preserve">특수</x:t>
        </x:is>
      </x:c>
      <x:c r="T899" s="7" t="inlineStr">
        <x:is>
          <x:t xml:space="preserve"/>
        </x:is>
      </x:c>
      <x:c r="U899" s="8" t="str">
        <x:f>INDEX('서식지_점수'!$E$4:$P$4,1,MATCH(MAX('서식지_점수'!E899:P899),'서식지_점수'!E899:P899,0))</x:f>
        <x:v>산악</x:v>
      </x:c>
      <x:c r="V899" s="8" t="str">
        <x:f>IF(T899&lt;&gt;"",T899,U899)</x:f>
        <x:v>산악</x:v>
      </x:c>
      <x:c r="W899" s="8" t="str">
        <x:f>IFERROR(INDEX('서식지_점수'!$E$4:$P$4,1,MATCH(MAXIFS('서식지_점수'!E899:P899,'서식지_점수'!E899:P899,"&lt;"&amp;MAX('서식지_점수'!E899:P899)),'서식지_점수'!E899:P899,0)),"")</x:f>
        <x:v>평원</x:v>
      </x:c>
      <x:c r="X899" s="8" t="str">
        <x:f>IF(T899&lt;&gt;"","수동확정",IF(MAX('서식지_점수'!E899:P899)-LARGE('서식지_점수'!E899:P899,2)&gt;=15,"높음",IF(MAX('서식지_점수'!E899:P899)-LARGE('서식지_점수'!E899:P899,2)&gt;=8,"보통","검토필요")))</x:f>
        <x:v>검토필요</x:v>
      </x:c>
      <x:c r="Y899" s="9" t="n">
        <x:f>IF(Q899="전설",8,IF(Q899="희귀",7,IF(J899="기본",1,IF(J899="중간",3,IF(J899="최종",IF(I899="",5,IF(I899&lt;=20,3,IF(I899&lt;=35,4,IF(I899&lt;=50,6,7)))),IF(Q899="드묾",4,2))))))</x:f>
        <x:v>8</x:v>
      </x:c>
      <x:c r="Z899" s="5" t="inlineStr">
        <x:is>
          <x:t xml:space="preserve">cobbleverse:custom_spawn/split_decision_temple</x:t>
        </x:is>
      </x:c>
      <x:c r="AA899" s="5" t="inlineStr">
        <x:is>
          <x:t xml:space="preserve">ultra-rare</x:t>
        </x:is>
      </x:c>
      <x:c r="AB899" s="5" t="inlineStr">
        <x:is>
          <x:t xml:space="preserve">예</x:t>
        </x:is>
      </x:c>
      <x:c r="AC899" s="8" t="str">
        <x:f>IF(T899&lt;&gt;"","수동확정",IF(X899="검토필요","검토필요",IF(S899="","원본없음","초기완료")))</x:f>
        <x:v>검토필요</x:v>
      </x:c>
      <x:c r="AD899" s="7" t="inlineStr">
        <x:is>
          <x:t xml:space="preserve"/>
        </x:is>
      </x:c>
      <x:c r="AE899" s="5" t="inlineStr">
        <x:is>
          <x:t xml:space="preserve">.tmp/cobblemon-1.7.3-source/common/src/main/resources/data/cobblemon/species/generation8/regidrago.json</x:t>
        </x:is>
      </x:c>
      <x:c r="AF899" s="5" t="str">
        <x:f>"생활권|"&amp;K899</x:f>
        <x:v>생활권|비행</x:v>
      </x:c>
      <x:c r="AG899" s="5" t="str">
        <x:f>"지형|"&amp;L899</x:f>
        <x:v>지형|특수</x:v>
      </x:c>
      <x:c r="AH899" s="5" t="str">
        <x:f>"온도|"&amp;M899</x:f>
        <x:v>온도|온대</x:v>
      </x:c>
      <x:c r="AI899" s="5" t="str">
        <x:f>"습도|"&amp;N899</x:f>
        <x:v>습도|보통</x:v>
      </x:c>
      <x:c r="AJ899" s="5" t="str">
        <x:f>"날씨|"&amp;O899</x:f>
        <x:v>날씨|무관</x:v>
      </x:c>
      <x:c r="AK899" s="5" t="str">
        <x:f>"특수태그|"&amp;R899</x:f>
        <x:v>특수태그|전설</x:v>
      </x:c>
      <x:c r="AL899" s="5" t="str">
        <x:f>"원본서식지|"&amp;S899</x:f>
        <x:v>원본서식지|특수</x:v>
      </x:c>
      <x:c r="AM899" s="5" t="str">
        <x:f>"타입|"&amp;F899</x:f>
        <x:v>타입|드래곤</x:v>
      </x:c>
      <x:c r="AN899" s="5" t="str">
        <x:f>"타입|"&amp;G899</x:f>
        <x:v>타입|</x:v>
      </x:c>
    </x:row>
    <x:row r="900" ht="24" customHeight="1">
      <x:c r="A900" s="5" t="n">
        <x:v>896</x:v>
      </x:c>
      <x:c r="B900" s="5" t="inlineStr">
        <x:is>
          <x:t xml:space="preserve">블리자포스</x:t>
        </x:is>
      </x:c>
      <x:c r="C900" s="5" t="inlineStr">
        <x:is>
          <x:t xml:space="preserve">glastrier</x:t>
        </x:is>
      </x:c>
      <x:c r="D900" s="5" t="inlineStr">
        <x:is>
          <x:t xml:space="preserve">Glastrier</x:t>
        </x:is>
      </x:c>
      <x:c r="E900" s="5" t="n">
        <x:v>8</x:v>
      </x:c>
      <x:c r="F900" s="5" t="inlineStr">
        <x:is>
          <x:t xml:space="preserve">얼음</x:t>
        </x:is>
      </x:c>
      <x:c r="G900" s="5" t="inlineStr">
        <x:is>
          <x:t xml:space="preserve"/>
        </x:is>
      </x:c>
      <x:c r="H900" s="6" t="n">
        <x:v>800</x:v>
      </x:c>
      <x:c r="I900" s="5" t="n"/>
      <x:c r="J900" s="5" t="inlineStr">
        <x:is>
          <x:t xml:space="preserve">무진화</x:t>
        </x:is>
      </x:c>
      <x:c r="K900" s="7" t="inlineStr">
        <x:is>
          <x:t xml:space="preserve">육상</x:t>
        </x:is>
      </x:c>
      <x:c r="L900" s="7" t="inlineStr">
        <x:is>
          <x:t xml:space="preserve">설원</x:t>
        </x:is>
      </x:c>
      <x:c r="M900" s="7" t="inlineStr">
        <x:is>
          <x:t xml:space="preserve">한랭</x:t>
        </x:is>
      </x:c>
      <x:c r="N900" s="7" t="inlineStr">
        <x:is>
          <x:t xml:space="preserve">보통</x:t>
        </x:is>
      </x:c>
      <x:c r="O900" s="7" t="inlineStr">
        <x:is>
          <x:t xml:space="preserve">무관</x:t>
        </x:is>
      </x:c>
      <x:c r="P900" s="7" t="inlineStr">
        <x:is>
          <x:t xml:space="preserve">무관</x:t>
        </x:is>
      </x:c>
      <x:c r="Q900" s="7" t="inlineStr">
        <x:is>
          <x:t xml:space="preserve">전설</x:t>
        </x:is>
      </x:c>
      <x:c r="R900" s="7" t="inlineStr">
        <x:is>
          <x:t xml:space="preserve">전설</x:t>
        </x:is>
      </x:c>
      <x:c r="S900" s="7" t="inlineStr">
        <x:is>
          <x:t xml:space="preserve"/>
        </x:is>
      </x:c>
      <x:c r="T900" s="7" t="inlineStr">
        <x:is>
          <x:t xml:space="preserve"/>
        </x:is>
      </x:c>
      <x:c r="U900" s="8" t="str">
        <x:f>INDEX('서식지_점수'!$E$4:$P$4,1,MATCH(MAX('서식지_점수'!E900:P900),'서식지_점수'!E900:P900,0))</x:f>
        <x:v>평원</x:v>
      </x:c>
      <x:c r="V900" s="8" t="str">
        <x:f>IF(T900&lt;&gt;"",T900,U900)</x:f>
        <x:v>평원</x:v>
      </x:c>
      <x:c r="W900" s="8" t="str">
        <x:f>IFERROR(INDEX('서식지_점수'!$E$4:$P$4,1,MATCH(MAXIFS('서식지_점수'!E900:P900,'서식지_점수'!E900:P900,"&lt;"&amp;MAX('서식지_점수'!E900:P900)),'서식지_점수'!E900:P900,0)),"")</x:f>
        <x:v>숲</x:v>
      </x:c>
      <x:c r="X900" s="8" t="str">
        <x:f>IF(T900&lt;&gt;"","수동확정",IF(MAX('서식지_점수'!E900:P900)-LARGE('서식지_점수'!E900:P900,2)&gt;=15,"높음",IF(MAX('서식지_점수'!E900:P900)-LARGE('서식지_점수'!E900:P900,2)&gt;=8,"보통","검토필요")))</x:f>
        <x:v>검토필요</x:v>
      </x:c>
      <x:c r="Y900" s="9" t="n">
        <x:f>IF(Q900="전설",8,IF(Q900="희귀",7,IF(J900="기본",1,IF(J900="중간",3,IF(J900="최종",IF(I900="",5,IF(I900&lt;=20,3,IF(I900&lt;=35,4,IF(I900&lt;=50,6,7)))),IF(Q900="드묾",4,2))))))</x:f>
        <x:v>8</x:v>
      </x:c>
      <x:c r="Z900" s="5" t="inlineStr">
        <x:is>
          <x:t xml:space="preserve">cobbleverse:custom_spawn/crown_spire</x:t>
        </x:is>
      </x:c>
      <x:c r="AA900" s="5" t="inlineStr">
        <x:is>
          <x:t xml:space="preserve">ultra-rare</x:t>
        </x:is>
      </x:c>
      <x:c r="AB900" s="5" t="inlineStr">
        <x:is>
          <x:t xml:space="preserve">아니오</x:t>
        </x:is>
      </x:c>
      <x:c r="AC900" s="8" t="str">
        <x:f>IF(T900&lt;&gt;"","수동확정",IF(X900="검토필요","검토필요",IF(S900="","원본없음","초기완료")))</x:f>
        <x:v>검토필요</x:v>
      </x:c>
      <x:c r="AD900" s="7" t="inlineStr">
        <x:is>
          <x:t xml:space="preserve"/>
        </x:is>
      </x:c>
      <x:c r="AE900" s="5" t="inlineStr">
        <x:is>
          <x:t xml:space="preserve">.tmp/cobblemon-1.7.3-source/common/src/main/resources/data/cobblemon/species/generation8/glastrier.json</x:t>
        </x:is>
      </x:c>
      <x:c r="AF900" s="5" t="str">
        <x:f>"생활권|"&amp;K900</x:f>
        <x:v>생활권|육상</x:v>
      </x:c>
      <x:c r="AG900" s="5" t="str">
        <x:f>"지형|"&amp;L900</x:f>
        <x:v>지형|설원</x:v>
      </x:c>
      <x:c r="AH900" s="5" t="str">
        <x:f>"온도|"&amp;M900</x:f>
        <x:v>온도|한랭</x:v>
      </x:c>
      <x:c r="AI900" s="5" t="str">
        <x:f>"습도|"&amp;N900</x:f>
        <x:v>습도|보통</x:v>
      </x:c>
      <x:c r="AJ900" s="5" t="str">
        <x:f>"날씨|"&amp;O900</x:f>
        <x:v>날씨|무관</x:v>
      </x:c>
      <x:c r="AK900" s="5" t="str">
        <x:f>"특수태그|"&amp;R900</x:f>
        <x:v>특수태그|전설</x:v>
      </x:c>
      <x:c r="AL900" s="5" t="str">
        <x:f>"원본서식지|"&amp;S900</x:f>
        <x:v>원본서식지|</x:v>
      </x:c>
      <x:c r="AM900" s="5" t="str">
        <x:f>"타입|"&amp;F900</x:f>
        <x:v>타입|얼음</x:v>
      </x:c>
      <x:c r="AN900" s="5" t="str">
        <x:f>"타입|"&amp;G900</x:f>
        <x:v>타입|</x:v>
      </x:c>
    </x:row>
    <x:row r="901" ht="24" customHeight="1">
      <x:c r="A901" s="5" t="n">
        <x:v>897</x:v>
      </x:c>
      <x:c r="B901" s="5" t="inlineStr">
        <x:is>
          <x:t xml:space="preserve">레이스포스</x:t>
        </x:is>
      </x:c>
      <x:c r="C901" s="5" t="inlineStr">
        <x:is>
          <x:t xml:space="preserve">spectrier</x:t>
        </x:is>
      </x:c>
      <x:c r="D901" s="5" t="inlineStr">
        <x:is>
          <x:t xml:space="preserve">Spectrier</x:t>
        </x:is>
      </x:c>
      <x:c r="E901" s="5" t="n">
        <x:v>8</x:v>
      </x:c>
      <x:c r="F901" s="5" t="inlineStr">
        <x:is>
          <x:t xml:space="preserve">고스트</x:t>
        </x:is>
      </x:c>
      <x:c r="G901" s="5" t="inlineStr">
        <x:is>
          <x:t xml:space="preserve"/>
        </x:is>
      </x:c>
      <x:c r="H901" s="6" t="n">
        <x:v>44.5</x:v>
      </x:c>
      <x:c r="I901" s="5" t="n"/>
      <x:c r="J901" s="5" t="inlineStr">
        <x:is>
          <x:t xml:space="preserve">무진화</x:t>
        </x:is>
      </x:c>
      <x:c r="K901" s="7" t="inlineStr">
        <x:is>
          <x:t xml:space="preserve">영체</x:t>
        </x:is>
      </x:c>
      <x:c r="L901" s="7" t="inlineStr">
        <x:is>
          <x:t xml:space="preserve">특수</x:t>
        </x:is>
      </x:c>
      <x:c r="M901" s="7" t="inlineStr">
        <x:is>
          <x:t xml:space="preserve">온대</x:t>
        </x:is>
      </x:c>
      <x:c r="N901" s="7" t="inlineStr">
        <x:is>
          <x:t xml:space="preserve">보통</x:t>
        </x:is>
      </x:c>
      <x:c r="O901" s="7" t="inlineStr">
        <x:is>
          <x:t xml:space="preserve">안개</x:t>
        </x:is>
      </x:c>
      <x:c r="P901" s="7" t="inlineStr">
        <x:is>
          <x:t xml:space="preserve">밤</x:t>
        </x:is>
      </x:c>
      <x:c r="Q901" s="7" t="inlineStr">
        <x:is>
          <x:t xml:space="preserve">전설</x:t>
        </x:is>
      </x:c>
      <x:c r="R901" s="7" t="inlineStr">
        <x:is>
          <x:t xml:space="preserve">전설</x:t>
        </x:is>
      </x:c>
      <x:c r="S901" s="7" t="inlineStr">
        <x:is>
          <x:t xml:space="preserve"/>
        </x:is>
      </x:c>
      <x:c r="T901" s="7" t="inlineStr">
        <x:is>
          <x:t xml:space="preserve"/>
        </x:is>
      </x:c>
      <x:c r="U901" s="8" t="str">
        <x:f>INDEX('서식지_점수'!$E$4:$P$4,1,MATCH(MAX('서식지_점수'!E901:P901),'서식지_점수'!E901:P901,0))</x:f>
        <x:v>특수</x:v>
      </x:c>
      <x:c r="V901" s="8" t="str">
        <x:f>IF(T901&lt;&gt;"",T901,U901)</x:f>
        <x:v>특수</x:v>
      </x:c>
      <x:c r="W901" s="8" t="str">
        <x:f>IFERROR(INDEX('서식지_점수'!$E$4:$P$4,1,MATCH(MAXIFS('서식지_점수'!E901:P901,'서식지_점수'!E901:P901,"&lt;"&amp;MAX('서식지_점수'!E901:P901)),'서식지_점수'!E901:P901,0)),"")</x:f>
        <x:v>동굴</x:v>
      </x:c>
      <x:c r="X901" s="8" t="str">
        <x:f>IF(T901&lt;&gt;"","수동확정",IF(MAX('서식지_점수'!E901:P901)-LARGE('서식지_점수'!E901:P901,2)&gt;=15,"높음",IF(MAX('서식지_점수'!E901:P901)-LARGE('서식지_점수'!E901:P901,2)&gt;=8,"보통","검토필요")))</x:f>
        <x:v>높음</x:v>
      </x:c>
      <x:c r="Y901" s="9" t="n">
        <x:f>IF(Q901="전설",8,IF(Q901="희귀",7,IF(J901="기본",1,IF(J901="중간",3,IF(J901="최종",IF(I901="",5,IF(I901&lt;=20,3,IF(I901&lt;=35,4,IF(I901&lt;=50,6,7)))),IF(Q901="드묾",4,2))))))</x:f>
        <x:v>8</x:v>
      </x:c>
      <x:c r="Z901" s="5" t="inlineStr">
        <x:is>
          <x:t xml:space="preserve">cobbleverse:custom_spawn/crown_cemetery</x:t>
        </x:is>
      </x:c>
      <x:c r="AA901" s="5" t="inlineStr">
        <x:is>
          <x:t xml:space="preserve">ultra-rare</x:t>
        </x:is>
      </x:c>
      <x:c r="AB901" s="5" t="inlineStr">
        <x:is>
          <x:t xml:space="preserve">아니오</x:t>
        </x:is>
      </x:c>
      <x:c r="AC901" s="8" t="str">
        <x:f>IF(T901&lt;&gt;"","수동확정",IF(X901="검토필요","검토필요",IF(S901="","원본없음","초기완료")))</x:f>
        <x:v>원본없음</x:v>
      </x:c>
      <x:c r="AD901" s="7" t="inlineStr">
        <x:is>
          <x:t xml:space="preserve"/>
        </x:is>
      </x:c>
      <x:c r="AE901" s="5" t="inlineStr">
        <x:is>
          <x:t xml:space="preserve">.tmp/cobblemon-1.7.3-source/common/src/main/resources/data/cobblemon/species/generation8/spectrier.json</x:t>
        </x:is>
      </x:c>
      <x:c r="AF901" s="5" t="str">
        <x:f>"생활권|"&amp;K901</x:f>
        <x:v>생활권|영체</x:v>
      </x:c>
      <x:c r="AG901" s="5" t="str">
        <x:f>"지형|"&amp;L901</x:f>
        <x:v>지형|특수</x:v>
      </x:c>
      <x:c r="AH901" s="5" t="str">
        <x:f>"온도|"&amp;M901</x:f>
        <x:v>온도|온대</x:v>
      </x:c>
      <x:c r="AI901" s="5" t="str">
        <x:f>"습도|"&amp;N901</x:f>
        <x:v>습도|보통</x:v>
      </x:c>
      <x:c r="AJ901" s="5" t="str">
        <x:f>"날씨|"&amp;O901</x:f>
        <x:v>날씨|안개</x:v>
      </x:c>
      <x:c r="AK901" s="5" t="str">
        <x:f>"특수태그|"&amp;R901</x:f>
        <x:v>특수태그|전설</x:v>
      </x:c>
      <x:c r="AL901" s="5" t="str">
        <x:f>"원본서식지|"&amp;S901</x:f>
        <x:v>원본서식지|</x:v>
      </x:c>
      <x:c r="AM901" s="5" t="str">
        <x:f>"타입|"&amp;F901</x:f>
        <x:v>타입|고스트</x:v>
      </x:c>
      <x:c r="AN901" s="5" t="str">
        <x:f>"타입|"&amp;G901</x:f>
        <x:v>타입|</x:v>
      </x:c>
    </x:row>
    <x:row r="902" ht="24" customHeight="1">
      <x:c r="A902" s="5" t="n">
        <x:v>898</x:v>
      </x:c>
      <x:c r="B902" s="5" t="inlineStr">
        <x:is>
          <x:t xml:space="preserve">버드렉스</x:t>
        </x:is>
      </x:c>
      <x:c r="C902" s="5" t="inlineStr">
        <x:is>
          <x:t xml:space="preserve">calyrex</x:t>
        </x:is>
      </x:c>
      <x:c r="D902" s="5" t="inlineStr">
        <x:is>
          <x:t xml:space="preserve">Calyrex</x:t>
        </x:is>
      </x:c>
      <x:c r="E902" s="5" t="n">
        <x:v>8</x:v>
      </x:c>
      <x:c r="F902" s="5" t="inlineStr">
        <x:is>
          <x:t xml:space="preserve">에스퍼</x:t>
        </x:is>
      </x:c>
      <x:c r="G902" s="5" t="inlineStr">
        <x:is>
          <x:t xml:space="preserve">풀</x:t>
        </x:is>
      </x:c>
      <x:c r="H902" s="6" t="n">
        <x:v>7.7</x:v>
      </x:c>
      <x:c r="I902" s="5" t="n"/>
      <x:c r="J902" s="5" t="inlineStr">
        <x:is>
          <x:t xml:space="preserve">무진화</x:t>
        </x:is>
      </x:c>
      <x:c r="K902" s="7" t="inlineStr">
        <x:is>
          <x:t xml:space="preserve">육상</x:t>
        </x:is>
      </x:c>
      <x:c r="L902" s="7" t="inlineStr">
        <x:is>
          <x:t xml:space="preserve">수목</x:t>
        </x:is>
      </x:c>
      <x:c r="M902" s="7" t="inlineStr">
        <x:is>
          <x:t xml:space="preserve">온대</x:t>
        </x:is>
      </x:c>
      <x:c r="N902" s="7" t="inlineStr">
        <x:is>
          <x:t xml:space="preserve">보통</x:t>
        </x:is>
      </x:c>
      <x:c r="O902" s="7" t="inlineStr">
        <x:is>
          <x:t xml:space="preserve">무관</x:t>
        </x:is>
      </x:c>
      <x:c r="P902" s="7" t="inlineStr">
        <x:is>
          <x:t xml:space="preserve">무관</x:t>
        </x:is>
      </x:c>
      <x:c r="Q902" s="7" t="inlineStr">
        <x:is>
          <x:t xml:space="preserve">전설</x:t>
        </x:is>
      </x:c>
      <x:c r="R902" s="7" t="inlineStr">
        <x:is>
          <x:t xml:space="preserve">전설</x:t>
        </x:is>
      </x:c>
      <x:c r="S902" s="7" t="inlineStr">
        <x:is>
          <x:t xml:space="preserve"/>
        </x:is>
      </x:c>
      <x:c r="T902" s="7" t="inlineStr">
        <x:is>
          <x:t xml:space="preserve"/>
        </x:is>
      </x:c>
      <x:c r="U902" s="8" t="str">
        <x:f>INDEX('서식지_점수'!$E$4:$P$4,1,MATCH(MAX('서식지_점수'!E902:P902),'서식지_점수'!E902:P902,0))</x:f>
        <x:v>평원</x:v>
      </x:c>
      <x:c r="V902" s="8" t="str">
        <x:f>IF(T902&lt;&gt;"",T902,U902)</x:f>
        <x:v>평원</x:v>
      </x:c>
      <x:c r="W902" s="8" t="str">
        <x:f>IFERROR(INDEX('서식지_점수'!$E$4:$P$4,1,MATCH(MAXIFS('서식지_점수'!E902:P902,'서식지_점수'!E902:P902,"&lt;"&amp;MAX('서식지_점수'!E902:P902)),'서식지_점수'!E902:P902,0)),"")</x:f>
        <x:v>숲</x:v>
      </x:c>
      <x:c r="X902" s="8" t="str">
        <x:f>IF(T902&lt;&gt;"","수동확정",IF(MAX('서식지_점수'!E902:P902)-LARGE('서식지_점수'!E902:P902,2)&gt;=15,"높음",IF(MAX('서식지_점수'!E902:P902)-LARGE('서식지_점수'!E902:P902,2)&gt;=8,"보통","검토필요")))</x:f>
        <x:v>검토필요</x:v>
      </x:c>
      <x:c r="Y902" s="9" t="n">
        <x:f>IF(Q902="전설",8,IF(Q902="희귀",7,IF(J902="기본",1,IF(J902="중간",3,IF(J902="최종",IF(I902="",5,IF(I902&lt;=20,3,IF(I902&lt;=35,4,IF(I902&lt;=50,6,7)))),IF(Q902="드묾",4,2))))))</x:f>
        <x:v>8</x:v>
      </x:c>
      <x:c r="Z902" s="5" t="inlineStr">
        <x:is>
          <x:t xml:space="preserve">cobbleverse:custom_spawn</x:t>
        </x:is>
      </x:c>
      <x:c r="AA902" s="5" t="inlineStr">
        <x:is>
          <x:t xml:space="preserve">ultra-rare</x:t>
        </x:is>
      </x:c>
      <x:c r="AB902" s="5" t="inlineStr">
        <x:is>
          <x:t xml:space="preserve">아니오</x:t>
        </x:is>
      </x:c>
      <x:c r="AC902" s="8" t="str">
        <x:f>IF(T902&lt;&gt;"","수동확정",IF(X902="검토필요","검토필요",IF(S902="","원본없음","초기완료")))</x:f>
        <x:v>검토필요</x:v>
      </x:c>
      <x:c r="AD902" s="7" t="inlineStr">
        <x:is>
          <x:t xml:space="preserve"/>
        </x:is>
      </x:c>
      <x:c r="AE902" s="5" t="inlineStr">
        <x:is>
          <x:t xml:space="preserve">.tmp/cobblemon-1.7.3-source/common/src/main/resources/data/cobblemon/species/generation8/calyrex.json</x:t>
        </x:is>
      </x:c>
      <x:c r="AF902" s="5" t="str">
        <x:f>"생활권|"&amp;K902</x:f>
        <x:v>생활권|육상</x:v>
      </x:c>
      <x:c r="AG902" s="5" t="str">
        <x:f>"지형|"&amp;L902</x:f>
        <x:v>지형|수목</x:v>
      </x:c>
      <x:c r="AH902" s="5" t="str">
        <x:f>"온도|"&amp;M902</x:f>
        <x:v>온도|온대</x:v>
      </x:c>
      <x:c r="AI902" s="5" t="str">
        <x:f>"습도|"&amp;N902</x:f>
        <x:v>습도|보통</x:v>
      </x:c>
      <x:c r="AJ902" s="5" t="str">
        <x:f>"날씨|"&amp;O902</x:f>
        <x:v>날씨|무관</x:v>
      </x:c>
      <x:c r="AK902" s="5" t="str">
        <x:f>"특수태그|"&amp;R902</x:f>
        <x:v>특수태그|전설</x:v>
      </x:c>
      <x:c r="AL902" s="5" t="str">
        <x:f>"원본서식지|"&amp;S902</x:f>
        <x:v>원본서식지|</x:v>
      </x:c>
      <x:c r="AM902" s="5" t="str">
        <x:f>"타입|"&amp;F902</x:f>
        <x:v>타입|에스퍼</x:v>
      </x:c>
      <x:c r="AN902" s="5" t="str">
        <x:f>"타입|"&amp;G902</x:f>
        <x:v>타입|풀</x:v>
      </x:c>
    </x:row>
    <x:row r="903" ht="24" customHeight="1">
      <x:c r="A903" s="5" t="n">
        <x:v>899</x:v>
      </x:c>
      <x:c r="B903" s="5" t="inlineStr">
        <x:is>
          <x:t xml:space="preserve">신비록</x:t>
        </x:is>
      </x:c>
      <x:c r="C903" s="5" t="inlineStr">
        <x:is>
          <x:t xml:space="preserve">wyrdeer</x:t>
        </x:is>
      </x:c>
      <x:c r="D903" s="5" t="inlineStr">
        <x:is>
          <x:t xml:space="preserve">Wyrdeer</x:t>
        </x:is>
      </x:c>
      <x:c r="E903" s="5" t="n">
        <x:v>8</x:v>
      </x:c>
      <x:c r="F903" s="5" t="inlineStr">
        <x:is>
          <x:t xml:space="preserve">노말</x:t>
        </x:is>
      </x:c>
      <x:c r="G903" s="5" t="inlineStr">
        <x:is>
          <x:t xml:space="preserve">에스퍼</x:t>
        </x:is>
      </x:c>
      <x:c r="H903" s="6" t="n">
        <x:v>95.09999999999999</x:v>
      </x:c>
      <x:c r="I903" s="5" t="n"/>
      <x:c r="J903" s="5" t="inlineStr">
        <x:is>
          <x:t xml:space="preserve">최종</x:t>
        </x:is>
      </x:c>
      <x:c r="K903" s="7" t="inlineStr">
        <x:is>
          <x:t xml:space="preserve">육상</x:t>
        </x:is>
      </x:c>
      <x:c r="L903" s="7" t="inlineStr">
        <x:is>
          <x:t xml:space="preserve">설원</x:t>
        </x:is>
      </x:c>
      <x:c r="M903" s="7" t="inlineStr">
        <x:is>
          <x:t xml:space="preserve">한랭</x:t>
        </x:is>
      </x:c>
      <x:c r="N903" s="7" t="inlineStr">
        <x:is>
          <x:t xml:space="preserve">보통</x:t>
        </x:is>
      </x:c>
      <x:c r="O903" s="7" t="inlineStr">
        <x:is>
          <x:t xml:space="preserve">눈</x:t>
        </x:is>
      </x:c>
      <x:c r="P903" s="7" t="inlineStr">
        <x:is>
          <x:t xml:space="preserve">무관</x:t>
        </x:is>
      </x:c>
      <x:c r="Q903" s="7" t="inlineStr">
        <x:is>
          <x:t xml:space="preserve">흔함</x:t>
        </x:is>
      </x:c>
      <x:c r="R903" s="7" t="inlineStr">
        <x:is>
          <x:t xml:space="preserve">없음</x:t>
        </x:is>
      </x:c>
      <x:c r="S903" s="7" t="inlineStr">
        <x:is>
          <x:t xml:space="preserve">설원</x:t>
        </x:is>
      </x:c>
      <x:c r="T903" s="7" t="inlineStr">
        <x:is>
          <x:t xml:space="preserve"/>
        </x:is>
      </x:c>
      <x:c r="U903" s="8" t="str">
        <x:f>INDEX('서식지_점수'!$E$4:$P$4,1,MATCH(MAX('서식지_점수'!E903:P903),'서식지_점수'!E903:P903,0))</x:f>
        <x:v>평원</x:v>
      </x:c>
      <x:c r="V903" s="8" t="str">
        <x:f>IF(T903&lt;&gt;"",T903,U903)</x:f>
        <x:v>평원</x:v>
      </x:c>
      <x:c r="W903" s="8" t="str">
        <x:f>IFERROR(INDEX('서식지_점수'!$E$4:$P$4,1,MATCH(MAXIFS('서식지_점수'!E903:P903,'서식지_점수'!E903:P903,"&lt;"&amp;MAX('서식지_점수'!E903:P903)),'서식지_점수'!E903:P903,0)),"")</x:f>
        <x:v>숲</x:v>
      </x:c>
      <x:c r="X903" s="8" t="str">
        <x:f>IF(T903&lt;&gt;"","수동확정",IF(MAX('서식지_점수'!E903:P903)-LARGE('서식지_점수'!E903:P903,2)&gt;=15,"높음",IF(MAX('서식지_점수'!E903:P903)-LARGE('서식지_점수'!E903:P903,2)&gt;=8,"보통","검토필요")))</x:f>
        <x:v>검토필요</x:v>
      </x:c>
      <x:c r="Y903" s="9" t="n">
        <x:f>IF(Q903="전설",8,IF(Q903="희귀",7,IF(J903="기본",1,IF(J903="중간",3,IF(J903="최종",IF(I903="",5,IF(I903&lt;=20,3,IF(I903&lt;=35,4,IF(I903&lt;=50,6,7)))),IF(Q903="드묾",4,2))))))</x:f>
        <x:v>5</x:v>
      </x:c>
      <x:c r="Z903" s="5" t="inlineStr">
        <x:is>
          <x:t xml:space="preserve">#cobblemon:is_snowy_forest; #cobblemon:is_snowy_taiga; #cobblemon:is_tundra</x:t>
        </x:is>
      </x:c>
      <x:c r="AA903" s="5" t="inlineStr">
        <x:is>
          <x:t xml:space="preserve">common</x:t>
        </x:is>
      </x:c>
      <x:c r="AB903" s="5" t="inlineStr">
        <x:is>
          <x:t xml:space="preserve">예</x:t>
        </x:is>
      </x:c>
      <x:c r="AC903" s="8" t="str">
        <x:f>IF(T903&lt;&gt;"","수동확정",IF(X903="검토필요","검토필요",IF(S903="","원본없음","초기완료")))</x:f>
        <x:v>검토필요</x:v>
      </x:c>
      <x:c r="AD903" s="7" t="inlineStr">
        <x:is>
          <x:t xml:space="preserve"/>
        </x:is>
      </x:c>
      <x:c r="AE903" s="5" t="inlineStr">
        <x:is>
          <x:t xml:space="preserve">.tmp/cobblemon-1.7.3-source/common/src/main/resources/data/cobblemon/species/generation8a/wyrdeer.json</x:t>
        </x:is>
      </x:c>
      <x:c r="AF903" s="5" t="str">
        <x:f>"생활권|"&amp;K903</x:f>
        <x:v>생활권|육상</x:v>
      </x:c>
      <x:c r="AG903" s="5" t="str">
        <x:f>"지형|"&amp;L903</x:f>
        <x:v>지형|설원</x:v>
      </x:c>
      <x:c r="AH903" s="5" t="str">
        <x:f>"온도|"&amp;M903</x:f>
        <x:v>온도|한랭</x:v>
      </x:c>
      <x:c r="AI903" s="5" t="str">
        <x:f>"습도|"&amp;N903</x:f>
        <x:v>습도|보통</x:v>
      </x:c>
      <x:c r="AJ903" s="5" t="str">
        <x:f>"날씨|"&amp;O903</x:f>
        <x:v>날씨|눈</x:v>
      </x:c>
      <x:c r="AK903" s="5" t="str">
        <x:f>"특수태그|"&amp;R903</x:f>
        <x:v>특수태그|없음</x:v>
      </x:c>
      <x:c r="AL903" s="5" t="str">
        <x:f>"원본서식지|"&amp;S903</x:f>
        <x:v>원본서식지|설원</x:v>
      </x:c>
      <x:c r="AM903" s="5" t="str">
        <x:f>"타입|"&amp;F903</x:f>
        <x:v>타입|노말</x:v>
      </x:c>
      <x:c r="AN903" s="5" t="str">
        <x:f>"타입|"&amp;G903</x:f>
        <x:v>타입|에스퍼</x:v>
      </x:c>
    </x:row>
    <x:row r="904" ht="24" customHeight="1">
      <x:c r="A904" s="5" t="n">
        <x:v>900</x:v>
      </x:c>
      <x:c r="B904" s="5" t="inlineStr">
        <x:is>
          <x:t xml:space="preserve">사마자르</x:t>
        </x:is>
      </x:c>
      <x:c r="C904" s="5" t="inlineStr">
        <x:is>
          <x:t xml:space="preserve">kleavor</x:t>
        </x:is>
      </x:c>
      <x:c r="D904" s="5" t="inlineStr">
        <x:is>
          <x:t xml:space="preserve">Kleavor</x:t>
        </x:is>
      </x:c>
      <x:c r="E904" s="5" t="n">
        <x:v>8</x:v>
      </x:c>
      <x:c r="F904" s="5" t="inlineStr">
        <x:is>
          <x:t xml:space="preserve">벌레</x:t>
        </x:is>
      </x:c>
      <x:c r="G904" s="5" t="inlineStr">
        <x:is>
          <x:t xml:space="preserve">바위</x:t>
        </x:is>
      </x:c>
      <x:c r="H904" s="6" t="n">
        <x:v>89</x:v>
      </x:c>
      <x:c r="I904" s="5" t="n"/>
      <x:c r="J904" s="5" t="inlineStr">
        <x:is>
          <x:t xml:space="preserve">최종</x:t>
        </x:is>
      </x:c>
      <x:c r="K904" s="7" t="inlineStr">
        <x:is>
          <x:t xml:space="preserve">육상</x:t>
        </x:is>
      </x:c>
      <x:c r="L904" s="7" t="inlineStr">
        <x:is>
          <x:t xml:space="preserve">수목</x:t>
        </x:is>
      </x:c>
      <x:c r="M904" s="7" t="inlineStr">
        <x:is>
          <x:t xml:space="preserve">온대</x:t>
        </x:is>
      </x:c>
      <x:c r="N904" s="7" t="inlineStr">
        <x:is>
          <x:t xml:space="preserve">보통</x:t>
        </x:is>
      </x:c>
      <x:c r="O904" s="7" t="inlineStr">
        <x:is>
          <x:t xml:space="preserve">무관</x:t>
        </x:is>
      </x:c>
      <x:c r="P904" s="7" t="inlineStr">
        <x:is>
          <x:t xml:space="preserve">낮</x:t>
        </x:is>
      </x:c>
      <x:c r="Q904" s="7" t="inlineStr">
        <x:is>
          <x:t xml:space="preserve">드묾</x:t>
        </x:is>
      </x:c>
      <x:c r="R904" s="7" t="inlineStr">
        <x:is>
          <x:t xml:space="preserve">없음</x:t>
        </x:is>
      </x:c>
      <x:c r="S904" s="7" t="inlineStr">
        <x:is>
          <x:t xml:space="preserve">숲</x:t>
        </x:is>
      </x:c>
      <x:c r="T904" s="7" t="inlineStr">
        <x:is>
          <x:t xml:space="preserve"/>
        </x:is>
      </x:c>
      <x:c r="U904" s="8" t="str">
        <x:f>INDEX('서식지_점수'!$E$4:$P$4,1,MATCH(MAX('서식지_점수'!E904:P904),'서식지_점수'!E904:P904,0))</x:f>
        <x:v>평원</x:v>
      </x:c>
      <x:c r="V904" s="8" t="str">
        <x:f>IF(T904&lt;&gt;"",T904,U904)</x:f>
        <x:v>평원</x:v>
      </x:c>
      <x:c r="W904" s="8" t="str">
        <x:f>IFERROR(INDEX('서식지_점수'!$E$4:$P$4,1,MATCH(MAXIFS('서식지_점수'!E904:P904,'서식지_점수'!E904:P904,"&lt;"&amp;MAX('서식지_점수'!E904:P904)),'서식지_점수'!E904:P904,0)),"")</x:f>
        <x:v>숲</x:v>
      </x:c>
      <x:c r="X904" s="8" t="str">
        <x:f>IF(T904&lt;&gt;"","수동확정",IF(MAX('서식지_점수'!E904:P904)-LARGE('서식지_점수'!E904:P904,2)&gt;=15,"높음",IF(MAX('서식지_점수'!E904:P904)-LARGE('서식지_점수'!E904:P904,2)&gt;=8,"보통","검토필요")))</x:f>
        <x:v>검토필요</x:v>
      </x:c>
      <x:c r="Y904" s="9" t="n">
        <x:f>IF(Q904="전설",8,IF(Q904="희귀",7,IF(J904="기본",1,IF(J904="중간",3,IF(J904="최종",IF(I904="",5,IF(I904&lt;=20,3,IF(I904&lt;=35,4,IF(I904&lt;=50,6,7)))),IF(Q904="드묾",4,2))))))</x:f>
        <x:v>5</x:v>
      </x:c>
      <x:c r="Z904" s="5" t="inlineStr">
        <x:is>
          <x:t xml:space="preserve">#cobblemon:is_forest; #cobblemon:is_hills; aether:skyroot_forest; aether:skyroot_woodland</x:t>
        </x:is>
      </x:c>
      <x:c r="AA904" s="5" t="inlineStr">
        <x:is>
          <x:t xml:space="preserve">rare</x:t>
        </x:is>
      </x:c>
      <x:c r="AB904" s="5" t="inlineStr">
        <x:is>
          <x:t xml:space="preserve">예</x:t>
        </x:is>
      </x:c>
      <x:c r="AC904" s="8" t="str">
        <x:f>IF(T904&lt;&gt;"","수동확정",IF(X904="검토필요","검토필요",IF(S904="","원본없음","초기완료")))</x:f>
        <x:v>검토필요</x:v>
      </x:c>
      <x:c r="AD904" s="7" t="inlineStr">
        <x:is>
          <x:t xml:space="preserve"/>
        </x:is>
      </x:c>
      <x:c r="AE904" s="5" t="inlineStr">
        <x:is>
          <x:t xml:space="preserve">.tmp/cobblemon-1.7.3-source/common/src/main/resources/data/cobblemon/species/generation8a/kleavor.json</x:t>
        </x:is>
      </x:c>
      <x:c r="AF904" s="5" t="str">
        <x:f>"생활권|"&amp;K904</x:f>
        <x:v>생활권|육상</x:v>
      </x:c>
      <x:c r="AG904" s="5" t="str">
        <x:f>"지형|"&amp;L904</x:f>
        <x:v>지형|수목</x:v>
      </x:c>
      <x:c r="AH904" s="5" t="str">
        <x:f>"온도|"&amp;M904</x:f>
        <x:v>온도|온대</x:v>
      </x:c>
      <x:c r="AI904" s="5" t="str">
        <x:f>"습도|"&amp;N904</x:f>
        <x:v>습도|보통</x:v>
      </x:c>
      <x:c r="AJ904" s="5" t="str">
        <x:f>"날씨|"&amp;O904</x:f>
        <x:v>날씨|무관</x:v>
      </x:c>
      <x:c r="AK904" s="5" t="str">
        <x:f>"특수태그|"&amp;R904</x:f>
        <x:v>특수태그|없음</x:v>
      </x:c>
      <x:c r="AL904" s="5" t="str">
        <x:f>"원본서식지|"&amp;S904</x:f>
        <x:v>원본서식지|숲</x:v>
      </x:c>
      <x:c r="AM904" s="5" t="str">
        <x:f>"타입|"&amp;F904</x:f>
        <x:v>타입|벌레</x:v>
      </x:c>
      <x:c r="AN904" s="5" t="str">
        <x:f>"타입|"&amp;G904</x:f>
        <x:v>타입|바위</x:v>
      </x:c>
    </x:row>
    <x:row r="905" ht="24" customHeight="1">
      <x:c r="A905" s="5" t="n">
        <x:v>901</x:v>
      </x:c>
      <x:c r="B905" s="5" t="inlineStr">
        <x:is>
          <x:t xml:space="preserve">다투곰</x:t>
        </x:is>
      </x:c>
      <x:c r="C905" s="5" t="inlineStr">
        <x:is>
          <x:t xml:space="preserve">ursaluna</x:t>
        </x:is>
      </x:c>
      <x:c r="D905" s="5" t="inlineStr">
        <x:is>
          <x:t xml:space="preserve">Ursaluna</x:t>
        </x:is>
      </x:c>
      <x:c r="E905" s="5" t="n">
        <x:v>8</x:v>
      </x:c>
      <x:c r="F905" s="5" t="inlineStr">
        <x:is>
          <x:t xml:space="preserve">땅</x:t>
        </x:is>
      </x:c>
      <x:c r="G905" s="5" t="inlineStr">
        <x:is>
          <x:t xml:space="preserve">노말</x:t>
        </x:is>
      </x:c>
      <x:c r="H905" s="6" t="n">
        <x:v>290</x:v>
      </x:c>
      <x:c r="I905" s="5" t="n">
        <x:v>30</x:v>
      </x:c>
      <x:c r="J905" s="5" t="inlineStr">
        <x:is>
          <x:t xml:space="preserve">최종</x:t>
        </x:is>
      </x:c>
      <x:c r="K905" s="7" t="inlineStr">
        <x:is>
          <x:t xml:space="preserve">육상</x:t>
        </x:is>
      </x:c>
      <x:c r="L905" s="7" t="inlineStr">
        <x:is>
          <x:t xml:space="preserve">수목</x:t>
        </x:is>
      </x:c>
      <x:c r="M905" s="7" t="inlineStr">
        <x:is>
          <x:t xml:space="preserve">서늘</x:t>
        </x:is>
      </x:c>
      <x:c r="N905" s="7" t="inlineStr">
        <x:is>
          <x:t xml:space="preserve">보통</x:t>
        </x:is>
      </x:c>
      <x:c r="O905" s="7" t="inlineStr">
        <x:is>
          <x:t xml:space="preserve">무관</x:t>
        </x:is>
      </x:c>
      <x:c r="P905" s="7" t="inlineStr">
        <x:is>
          <x:t xml:space="preserve">밤</x:t>
        </x:is>
      </x:c>
      <x:c r="Q905" s="7" t="inlineStr">
        <x:is>
          <x:t xml:space="preserve">흔함</x:t>
        </x:is>
      </x:c>
      <x:c r="R905" s="7" t="inlineStr">
        <x:is>
          <x:t xml:space="preserve">없음</x:t>
        </x:is>
      </x:c>
      <x:c r="S905" s="7" t="inlineStr">
        <x:is>
          <x:t xml:space="preserve">숲</x:t>
        </x:is>
      </x:c>
      <x:c r="T905" s="7" t="inlineStr">
        <x:is>
          <x:t xml:space="preserve"/>
        </x:is>
      </x:c>
      <x:c r="U905" s="8" t="str">
        <x:f>INDEX('서식지_점수'!$E$4:$P$4,1,MATCH(MAX('서식지_점수'!E905:P905),'서식지_점수'!E905:P905,0))</x:f>
        <x:v>평원</x:v>
      </x:c>
      <x:c r="V905" s="8" t="str">
        <x:f>IF(T905&lt;&gt;"",T905,U905)</x:f>
        <x:v>평원</x:v>
      </x:c>
      <x:c r="W905" s="8" t="str">
        <x:f>IFERROR(INDEX('서식지_점수'!$E$4:$P$4,1,MATCH(MAXIFS('서식지_점수'!E905:P905,'서식지_점수'!E905:P905,"&lt;"&amp;MAX('서식지_점수'!E905:P905)),'서식지_점수'!E905:P905,0)),"")</x:f>
        <x:v>숲</x:v>
      </x:c>
      <x:c r="X905" s="8" t="str">
        <x:f>IF(T905&lt;&gt;"","수동확정",IF(MAX('서식지_점수'!E905:P905)-LARGE('서식지_점수'!E905:P905,2)&gt;=15,"높음",IF(MAX('서식지_점수'!E905:P905)-LARGE('서식지_점수'!E905:P905,2)&gt;=8,"보통","검토필요")))</x:f>
        <x:v>검토필요</x:v>
      </x:c>
      <x:c r="Y905" s="9" t="n">
        <x:f>IF(Q905="전설",8,IF(Q905="희귀",7,IF(J905="기본",1,IF(J905="중간",3,IF(J905="최종",IF(I905="",5,IF(I905&lt;=20,3,IF(I905&lt;=35,4,IF(I905&lt;=50,6,7)))),IF(Q905="드묾",4,2))))))</x:f>
        <x:v>4</x:v>
      </x:c>
      <x:c r="Z905" s="5" t="inlineStr">
        <x:is>
          <x:t xml:space="preserve">#aether:is_aether; #cobblemon:is_forest; #cobblemon:is_mountain; #cobblemon:is_overworld; #cobblemon:is_taiga; aether:skyroot_forest; aether:skyroot_woodland; the_bumblezone:crystal_canyon; the_bumblezone:floral_meadow</x:t>
        </x:is>
      </x:c>
      <x:c r="AA905" s="5" t="inlineStr">
        <x:is>
          <x:t xml:space="preserve">common; rare</x:t>
        </x:is>
      </x:c>
      <x:c r="AB905" s="5" t="inlineStr">
        <x:is>
          <x:t xml:space="preserve">예</x:t>
        </x:is>
      </x:c>
      <x:c r="AC905" s="8" t="str">
        <x:f>IF(T905&lt;&gt;"","수동확정",IF(X905="검토필요","검토필요",IF(S905="","원본없음","초기완료")))</x:f>
        <x:v>검토필요</x:v>
      </x:c>
      <x:c r="AD905" s="7" t="inlineStr">
        <x:is>
          <x:t xml:space="preserve"/>
        </x:is>
      </x:c>
      <x:c r="AE905" s="5" t="inlineStr">
        <x:is>
          <x:t xml:space="preserve">.tmp/cobblemon-1.7.3-source/common/src/main/resources/data/cobblemon/species/generation8a/ursaluna.json</x:t>
        </x:is>
      </x:c>
      <x:c r="AF905" s="5" t="str">
        <x:f>"생활권|"&amp;K905</x:f>
        <x:v>생활권|육상</x:v>
      </x:c>
      <x:c r="AG905" s="5" t="str">
        <x:f>"지형|"&amp;L905</x:f>
        <x:v>지형|수목</x:v>
      </x:c>
      <x:c r="AH905" s="5" t="str">
        <x:f>"온도|"&amp;M905</x:f>
        <x:v>온도|서늘</x:v>
      </x:c>
      <x:c r="AI905" s="5" t="str">
        <x:f>"습도|"&amp;N905</x:f>
        <x:v>습도|보통</x:v>
      </x:c>
      <x:c r="AJ905" s="5" t="str">
        <x:f>"날씨|"&amp;O905</x:f>
        <x:v>날씨|무관</x:v>
      </x:c>
      <x:c r="AK905" s="5" t="str">
        <x:f>"특수태그|"&amp;R905</x:f>
        <x:v>특수태그|없음</x:v>
      </x:c>
      <x:c r="AL905" s="5" t="str">
        <x:f>"원본서식지|"&amp;S905</x:f>
        <x:v>원본서식지|숲</x:v>
      </x:c>
      <x:c r="AM905" s="5" t="str">
        <x:f>"타입|"&amp;F905</x:f>
        <x:v>타입|땅</x:v>
      </x:c>
      <x:c r="AN905" s="5" t="str">
        <x:f>"타입|"&amp;G905</x:f>
        <x:v>타입|노말</x:v>
      </x:c>
    </x:row>
    <x:row r="906" ht="24" customHeight="1">
      <x:c r="A906" s="5" t="n">
        <x:v>902</x:v>
      </x:c>
      <x:c r="B906" s="5" t="inlineStr">
        <x:is>
          <x:t xml:space="preserve">대쓰여너</x:t>
        </x:is>
      </x:c>
      <x:c r="C906" s="5" t="inlineStr">
        <x:is>
          <x:t xml:space="preserve">basculegion</x:t>
        </x:is>
      </x:c>
      <x:c r="D906" s="5" t="inlineStr">
        <x:is>
          <x:t xml:space="preserve">Basculegion</x:t>
        </x:is>
      </x:c>
      <x:c r="E906" s="5" t="n">
        <x:v>8</x:v>
      </x:c>
      <x:c r="F906" s="5" t="inlineStr">
        <x:is>
          <x:t xml:space="preserve">물</x:t>
        </x:is>
      </x:c>
      <x:c r="G906" s="5" t="inlineStr">
        <x:is>
          <x:t xml:space="preserve">고스트</x:t>
        </x:is>
      </x:c>
      <x:c r="H906" s="6" t="n">
        <x:v>110</x:v>
      </x:c>
      <x:c r="I906" s="5" t="n"/>
      <x:c r="J906" s="5" t="inlineStr">
        <x:is>
          <x:t xml:space="preserve">최종</x:t>
        </x:is>
      </x:c>
      <x:c r="K906" s="7" t="inlineStr">
        <x:is>
          <x:t xml:space="preserve">담수</x:t>
        </x:is>
      </x:c>
      <x:c r="L906" s="7" t="inlineStr">
        <x:is>
          <x:t xml:space="preserve">담수</x:t>
        </x:is>
      </x:c>
      <x:c r="M906" s="7" t="inlineStr">
        <x:is>
          <x:t xml:space="preserve">서늘</x:t>
        </x:is>
      </x:c>
      <x:c r="N906" s="7" t="inlineStr">
        <x:is>
          <x:t xml:space="preserve">수중</x:t>
        </x:is>
      </x:c>
      <x:c r="O906" s="7" t="inlineStr">
        <x:is>
          <x:t xml:space="preserve">비</x:t>
        </x:is>
      </x:c>
      <x:c r="P906" s="7" t="inlineStr">
        <x:is>
          <x:t xml:space="preserve">밤</x:t>
        </x:is>
      </x:c>
      <x:c r="Q906" s="7" t="inlineStr">
        <x:is>
          <x:t xml:space="preserve">흔함</x:t>
        </x:is>
      </x:c>
      <x:c r="R906" s="7" t="inlineStr">
        <x:is>
          <x:t xml:space="preserve">영체</x:t>
        </x:is>
      </x:c>
      <x:c r="S906" s="7" t="inlineStr">
        <x:is>
          <x:t xml:space="preserve">담수</x:t>
        </x:is>
      </x:c>
      <x:c r="T906" s="7" t="inlineStr">
        <x:is>
          <x:t xml:space="preserve"/>
        </x:is>
      </x:c>
      <x:c r="U906" s="8" t="str">
        <x:f>INDEX('서식지_점수'!$E$4:$P$4,1,MATCH(MAX('서식지_점수'!E906:P906),'서식지_점수'!E906:P906,0))</x:f>
        <x:v>담수</x:v>
      </x:c>
      <x:c r="V906" s="8" t="str">
        <x:f>IF(T906&lt;&gt;"",T906,U906)</x:f>
        <x:v>담수</x:v>
      </x:c>
      <x:c r="W906" s="8" t="str">
        <x:f>IFERROR(INDEX('서식지_점수'!$E$4:$P$4,1,MATCH(MAXIFS('서식지_점수'!E906:P906,'서식지_점수'!E906:P906,"&lt;"&amp;MAX('서식지_점수'!E906:P906)),'서식지_점수'!E906:P906,0)),"")</x:f>
        <x:v>습지</x:v>
      </x:c>
      <x:c r="X906" s="8" t="str">
        <x:f>IF(T906&lt;&gt;"","수동확정",IF(MAX('서식지_점수'!E906:P906)-LARGE('서식지_점수'!E906:P906,2)&gt;=15,"높음",IF(MAX('서식지_점수'!E906:P906)-LARGE('서식지_점수'!E906:P906,2)&gt;=8,"보통","검토필요")))</x:f>
        <x:v>높음</x:v>
      </x:c>
      <x:c r="Y906" s="9" t="n">
        <x:f>IF(Q906="전설",8,IF(Q906="희귀",7,IF(J906="기본",1,IF(J906="중간",3,IF(J906="최종",IF(I906="",5,IF(I906&lt;=20,3,IF(I906&lt;=35,4,IF(I906&lt;=50,6,7)))),IF(Q906="드묾",4,2))))))</x:f>
        <x:v>5</x:v>
      </x:c>
      <x:c r="Z906" s="5" t="inlineStr">
        <x:is>
          <x:t xml:space="preserve">#cobblemon:is_arid; #cobblemon:is_forest; #cobblemon:is_freshwater; #cobblemon:is_grassland; #cobblemon:is_jungle; #cobblemon:is_mountain; #cobblemon:is_snowy_forest; #cobblemon:is_taiga; #cobblemon:is_tundra</x:t>
        </x:is>
      </x:c>
      <x:c r="AA906" s="5" t="inlineStr">
        <x:is>
          <x:t xml:space="preserve">common</x:t>
        </x:is>
      </x:c>
      <x:c r="AB906" s="5" t="inlineStr">
        <x:is>
          <x:t xml:space="preserve">예</x:t>
        </x:is>
      </x:c>
      <x:c r="AC906" s="8" t="str">
        <x:f>IF(T906&lt;&gt;"","수동확정",IF(X906="검토필요","검토필요",IF(S906="","원본없음","초기완료")))</x:f>
        <x:v>초기완료</x:v>
      </x:c>
      <x:c r="AD906" s="7" t="inlineStr">
        <x:is>
          <x:t xml:space="preserve"/>
        </x:is>
      </x:c>
      <x:c r="AE906" s="5" t="inlineStr">
        <x:is>
          <x:t xml:space="preserve">.tmp/cobblemon-1.7.3-source/common/src/main/resources/data/cobblemon/species/generation8a/basculegion.json</x:t>
        </x:is>
      </x:c>
      <x:c r="AF906" s="5" t="str">
        <x:f>"생활권|"&amp;K906</x:f>
        <x:v>생활권|담수</x:v>
      </x:c>
      <x:c r="AG906" s="5" t="str">
        <x:f>"지형|"&amp;L906</x:f>
        <x:v>지형|담수</x:v>
      </x:c>
      <x:c r="AH906" s="5" t="str">
        <x:f>"온도|"&amp;M906</x:f>
        <x:v>온도|서늘</x:v>
      </x:c>
      <x:c r="AI906" s="5" t="str">
        <x:f>"습도|"&amp;N906</x:f>
        <x:v>습도|수중</x:v>
      </x:c>
      <x:c r="AJ906" s="5" t="str">
        <x:f>"날씨|"&amp;O906</x:f>
        <x:v>날씨|비</x:v>
      </x:c>
      <x:c r="AK906" s="5" t="str">
        <x:f>"특수태그|"&amp;R906</x:f>
        <x:v>특수태그|영체</x:v>
      </x:c>
      <x:c r="AL906" s="5" t="str">
        <x:f>"원본서식지|"&amp;S906</x:f>
        <x:v>원본서식지|담수</x:v>
      </x:c>
      <x:c r="AM906" s="5" t="str">
        <x:f>"타입|"&amp;F906</x:f>
        <x:v>타입|물</x:v>
      </x:c>
      <x:c r="AN906" s="5" t="str">
        <x:f>"타입|"&amp;G906</x:f>
        <x:v>타입|고스트</x:v>
      </x:c>
    </x:row>
    <x:row r="907" ht="24" customHeight="1">
      <x:c r="A907" s="5" t="n">
        <x:v>903</x:v>
      </x:c>
      <x:c r="B907" s="5" t="inlineStr">
        <x:is>
          <x:t xml:space="preserve">포푸니크</x:t>
        </x:is>
      </x:c>
      <x:c r="C907" s="5" t="inlineStr">
        <x:is>
          <x:t xml:space="preserve">sneasler</x:t>
        </x:is>
      </x:c>
      <x:c r="D907" s="5" t="inlineStr">
        <x:is>
          <x:t xml:space="preserve">Sneasler</x:t>
        </x:is>
      </x:c>
      <x:c r="E907" s="5" t="n">
        <x:v>8</x:v>
      </x:c>
      <x:c r="F907" s="5" t="inlineStr">
        <x:is>
          <x:t xml:space="preserve">격투</x:t>
        </x:is>
      </x:c>
      <x:c r="G907" s="5" t="inlineStr">
        <x:is>
          <x:t xml:space="preserve">독</x:t>
        </x:is>
      </x:c>
      <x:c r="H907" s="6" t="n">
        <x:v>43</x:v>
      </x:c>
      <x:c r="I907" s="5" t="n"/>
      <x:c r="J907" s="5" t="inlineStr">
        <x:is>
          <x:t xml:space="preserve">최종</x:t>
        </x:is>
      </x:c>
      <x:c r="K907" s="7" t="inlineStr">
        <x:is>
          <x:t xml:space="preserve">육상</x:t>
        </x:is>
      </x:c>
      <x:c r="L907" s="7" t="inlineStr">
        <x:is>
          <x:t xml:space="preserve">암석</x:t>
        </x:is>
      </x:c>
      <x:c r="M907" s="7" t="inlineStr">
        <x:is>
          <x:t xml:space="preserve">온대</x:t>
        </x:is>
      </x:c>
      <x:c r="N907" s="7" t="inlineStr">
        <x:is>
          <x:t xml:space="preserve">보통</x:t>
        </x:is>
      </x:c>
      <x:c r="O907" s="7" t="inlineStr">
        <x:is>
          <x:t xml:space="preserve">무관</x:t>
        </x:is>
      </x:c>
      <x:c r="P907" s="7" t="inlineStr">
        <x:is>
          <x:t xml:space="preserve">무관</x:t>
        </x:is>
      </x:c>
      <x:c r="Q907" s="7" t="inlineStr">
        <x:is>
          <x:t xml:space="preserve">보통</x:t>
        </x:is>
      </x:c>
      <x:c r="R907" s="7" t="inlineStr">
        <x:is>
          <x:t xml:space="preserve">없음</x:t>
        </x:is>
      </x:c>
      <x:c r="S907" s="7" t="inlineStr">
        <x:is>
          <x:t xml:space="preserve">산악</x:t>
        </x:is>
      </x:c>
      <x:c r="T907" s="7" t="inlineStr">
        <x:is>
          <x:t xml:space="preserve"/>
        </x:is>
      </x:c>
      <x:c r="U907" s="8" t="str">
        <x:f>INDEX('서식지_점수'!$E$4:$P$4,1,MATCH(MAX('서식지_점수'!E907:P907),'서식지_점수'!E907:P907,0))</x:f>
        <x:v>평원</x:v>
      </x:c>
      <x:c r="V907" s="8" t="str">
        <x:f>IF(T907&lt;&gt;"",T907,U907)</x:f>
        <x:v>평원</x:v>
      </x:c>
      <x:c r="W907" s="8" t="str">
        <x:f>IFERROR(INDEX('서식지_점수'!$E$4:$P$4,1,MATCH(MAXIFS('서식지_점수'!E907:P907,'서식지_점수'!E907:P907,"&lt;"&amp;MAX('서식지_점수'!E907:P907)),'서식지_점수'!E907:P907,0)),"")</x:f>
        <x:v>숲</x:v>
      </x:c>
      <x:c r="X907" s="8" t="str">
        <x:f>IF(T907&lt;&gt;"","수동확정",IF(MAX('서식지_점수'!E907:P907)-LARGE('서식지_점수'!E907:P907,2)&gt;=15,"높음",IF(MAX('서식지_점수'!E907:P907)-LARGE('서식지_점수'!E907:P907,2)&gt;=8,"보통","검토필요")))</x:f>
        <x:v>검토필요</x:v>
      </x:c>
      <x:c r="Y907" s="9" t="n">
        <x:f>IF(Q907="전설",8,IF(Q907="희귀",7,IF(J907="기본",1,IF(J907="중간",3,IF(J907="최종",IF(I907="",5,IF(I907&lt;=20,3,IF(I907&lt;=35,4,IF(I907&lt;=50,6,7)))),IF(Q907="드묾",4,2))))))</x:f>
        <x:v>5</x:v>
      </x:c>
      <x:c r="Z907" s="5" t="inlineStr">
        <x:is>
          <x:t xml:space="preserve">#cobblemon:is_mountain</x:t>
        </x:is>
      </x:c>
      <x:c r="AA907" s="5" t="inlineStr">
        <x:is>
          <x:t xml:space="preserve">uncommon</x:t>
        </x:is>
      </x:c>
      <x:c r="AB907" s="5" t="inlineStr">
        <x:is>
          <x:t xml:space="preserve">예</x:t>
        </x:is>
      </x:c>
      <x:c r="AC907" s="8" t="str">
        <x:f>IF(T907&lt;&gt;"","수동확정",IF(X907="검토필요","검토필요",IF(S907="","원본없음","초기완료")))</x:f>
        <x:v>검토필요</x:v>
      </x:c>
      <x:c r="AD907" s="7" t="inlineStr">
        <x:is>
          <x:t xml:space="preserve"/>
        </x:is>
      </x:c>
      <x:c r="AE907" s="5" t="inlineStr">
        <x:is>
          <x:t xml:space="preserve">.tmp/cobblemon-1.7.3-source/common/src/main/resources/data/cobblemon/species/generation8a/sneasler.json</x:t>
        </x:is>
      </x:c>
      <x:c r="AF907" s="5" t="str">
        <x:f>"생활권|"&amp;K907</x:f>
        <x:v>생활권|육상</x:v>
      </x:c>
      <x:c r="AG907" s="5" t="str">
        <x:f>"지형|"&amp;L907</x:f>
        <x:v>지형|암석</x:v>
      </x:c>
      <x:c r="AH907" s="5" t="str">
        <x:f>"온도|"&amp;M907</x:f>
        <x:v>온도|온대</x:v>
      </x:c>
      <x:c r="AI907" s="5" t="str">
        <x:f>"습도|"&amp;N907</x:f>
        <x:v>습도|보통</x:v>
      </x:c>
      <x:c r="AJ907" s="5" t="str">
        <x:f>"날씨|"&amp;O907</x:f>
        <x:v>날씨|무관</x:v>
      </x:c>
      <x:c r="AK907" s="5" t="str">
        <x:f>"특수태그|"&amp;R907</x:f>
        <x:v>특수태그|없음</x:v>
      </x:c>
      <x:c r="AL907" s="5" t="str">
        <x:f>"원본서식지|"&amp;S907</x:f>
        <x:v>원본서식지|산악</x:v>
      </x:c>
      <x:c r="AM907" s="5" t="str">
        <x:f>"타입|"&amp;F907</x:f>
        <x:v>타입|격투</x:v>
      </x:c>
      <x:c r="AN907" s="5" t="str">
        <x:f>"타입|"&amp;G907</x:f>
        <x:v>타입|독</x:v>
      </x:c>
    </x:row>
    <x:row r="908" ht="24" customHeight="1">
      <x:c r="A908" s="5" t="n">
        <x:v>904</x:v>
      </x:c>
      <x:c r="B908" s="5" t="inlineStr">
        <x:is>
          <x:t xml:space="preserve">장침바루</x:t>
        </x:is>
      </x:c>
      <x:c r="C908" s="5" t="inlineStr">
        <x:is>
          <x:t xml:space="preserve">overqwil</x:t>
        </x:is>
      </x:c>
      <x:c r="D908" s="5" t="inlineStr">
        <x:is>
          <x:t xml:space="preserve">Overqwil</x:t>
        </x:is>
      </x:c>
      <x:c r="E908" s="5" t="n">
        <x:v>8</x:v>
      </x:c>
      <x:c r="F908" s="5" t="inlineStr">
        <x:is>
          <x:t xml:space="preserve">악</x:t>
        </x:is>
      </x:c>
      <x:c r="G908" s="5" t="inlineStr">
        <x:is>
          <x:t xml:space="preserve">독</x:t>
        </x:is>
      </x:c>
      <x:c r="H908" s="6" t="n">
        <x:v>60.5</x:v>
      </x:c>
      <x:c r="I908" s="5" t="n"/>
      <x:c r="J908" s="5" t="inlineStr">
        <x:is>
          <x:t xml:space="preserve">최종</x:t>
        </x:is>
      </x:c>
      <x:c r="K908" s="7" t="inlineStr">
        <x:is>
          <x:t xml:space="preserve">육상</x:t>
        </x:is>
      </x:c>
      <x:c r="L908" s="7" t="inlineStr">
        <x:is>
          <x:t xml:space="preserve">설원</x:t>
        </x:is>
      </x:c>
      <x:c r="M908" s="7" t="inlineStr">
        <x:is>
          <x:t xml:space="preserve">한랭</x:t>
        </x:is>
      </x:c>
      <x:c r="N908" s="7" t="inlineStr">
        <x:is>
          <x:t xml:space="preserve">보통</x:t>
        </x:is>
      </x:c>
      <x:c r="O908" s="7" t="inlineStr">
        <x:is>
          <x:t xml:space="preserve">눈</x:t>
        </x:is>
      </x:c>
      <x:c r="P908" s="7" t="inlineStr">
        <x:is>
          <x:t xml:space="preserve">밤</x:t>
        </x:is>
      </x:c>
      <x:c r="Q908" s="7" t="inlineStr">
        <x:is>
          <x:t xml:space="preserve">보통</x:t>
        </x:is>
      </x:c>
      <x:c r="R908" s="7" t="inlineStr">
        <x:is>
          <x:t xml:space="preserve">없음</x:t>
        </x:is>
      </x:c>
      <x:c r="S908" s="7" t="inlineStr">
        <x:is>
          <x:t xml:space="preserve">설원</x:t>
        </x:is>
      </x:c>
      <x:c r="T908" s="7" t="inlineStr">
        <x:is>
          <x:t xml:space="preserve"/>
        </x:is>
      </x:c>
      <x:c r="U908" s="8" t="str">
        <x:f>INDEX('서식지_점수'!$E$4:$P$4,1,MATCH(MAX('서식지_점수'!E908:P908),'서식지_점수'!E908:P908,0))</x:f>
        <x:v>평원</x:v>
      </x:c>
      <x:c r="V908" s="8" t="str">
        <x:f>IF(T908&lt;&gt;"",T908,U908)</x:f>
        <x:v>평원</x:v>
      </x:c>
      <x:c r="W908" s="8" t="str">
        <x:f>IFERROR(INDEX('서식지_점수'!$E$4:$P$4,1,MATCH(MAXIFS('서식지_점수'!E908:P908,'서식지_점수'!E908:P908,"&lt;"&amp;MAX('서식지_점수'!E908:P908)),'서식지_점수'!E908:P908,0)),"")</x:f>
        <x:v>숲</x:v>
      </x:c>
      <x:c r="X908" s="8" t="str">
        <x:f>IF(T908&lt;&gt;"","수동확정",IF(MAX('서식지_점수'!E908:P908)-LARGE('서식지_점수'!E908:P908,2)&gt;=15,"높음",IF(MAX('서식지_점수'!E908:P908)-LARGE('서식지_점수'!E908:P908,2)&gt;=8,"보통","검토필요")))</x:f>
        <x:v>검토필요</x:v>
      </x:c>
      <x:c r="Y908" s="9" t="n">
        <x:f>IF(Q908="전설",8,IF(Q908="희귀",7,IF(J908="기본",1,IF(J908="중간",3,IF(J908="최종",IF(I908="",5,IF(I908&lt;=20,3,IF(I908&lt;=35,4,IF(I908&lt;=50,6,7)))),IF(Q908="드묾",4,2))))))</x:f>
        <x:v>5</x:v>
      </x:c>
      <x:c r="Z908" s="5" t="inlineStr">
        <x:is>
          <x:t xml:space="preserve">#cobblemon:is_cold; #cobblemon:is_cold_ocean; #cobblemon:is_frozen_ocean</x:t>
        </x:is>
      </x:c>
      <x:c r="AA908" s="5" t="inlineStr">
        <x:is>
          <x:t xml:space="preserve">common; uncommon</x:t>
        </x:is>
      </x:c>
      <x:c r="AB908" s="5" t="inlineStr">
        <x:is>
          <x:t xml:space="preserve">예</x:t>
        </x:is>
      </x:c>
      <x:c r="AC908" s="8" t="str">
        <x:f>IF(T908&lt;&gt;"","수동확정",IF(X908="검토필요","검토필요",IF(S908="","원본없음","초기완료")))</x:f>
        <x:v>검토필요</x:v>
      </x:c>
      <x:c r="AD908" s="7" t="inlineStr">
        <x:is>
          <x:t xml:space="preserve"/>
        </x:is>
      </x:c>
      <x:c r="AE908" s="5" t="inlineStr">
        <x:is>
          <x:t xml:space="preserve">.tmp/cobblemon-1.7.3-source/common/src/main/resources/data/cobblemon/species/generation8a/overqwil.json</x:t>
        </x:is>
      </x:c>
      <x:c r="AF908" s="5" t="str">
        <x:f>"생활권|"&amp;K908</x:f>
        <x:v>생활권|육상</x:v>
      </x:c>
      <x:c r="AG908" s="5" t="str">
        <x:f>"지형|"&amp;L908</x:f>
        <x:v>지형|설원</x:v>
      </x:c>
      <x:c r="AH908" s="5" t="str">
        <x:f>"온도|"&amp;M908</x:f>
        <x:v>온도|한랭</x:v>
      </x:c>
      <x:c r="AI908" s="5" t="str">
        <x:f>"습도|"&amp;N908</x:f>
        <x:v>습도|보통</x:v>
      </x:c>
      <x:c r="AJ908" s="5" t="str">
        <x:f>"날씨|"&amp;O908</x:f>
        <x:v>날씨|눈</x:v>
      </x:c>
      <x:c r="AK908" s="5" t="str">
        <x:f>"특수태그|"&amp;R908</x:f>
        <x:v>특수태그|없음</x:v>
      </x:c>
      <x:c r="AL908" s="5" t="str">
        <x:f>"원본서식지|"&amp;S908</x:f>
        <x:v>원본서식지|설원</x:v>
      </x:c>
      <x:c r="AM908" s="5" t="str">
        <x:f>"타입|"&amp;F908</x:f>
        <x:v>타입|악</x:v>
      </x:c>
      <x:c r="AN908" s="5" t="str">
        <x:f>"타입|"&amp;G908</x:f>
        <x:v>타입|독</x:v>
      </x:c>
    </x:row>
    <x:row r="909" ht="24" customHeight="1">
      <x:c r="A909" s="5" t="n">
        <x:v>905</x:v>
      </x:c>
      <x:c r="B909" s="5" t="inlineStr">
        <x:is>
          <x:t xml:space="preserve">러브로스</x:t>
        </x:is>
      </x:c>
      <x:c r="C909" s="5" t="inlineStr">
        <x:is>
          <x:t xml:space="preserve">enamorus</x:t>
        </x:is>
      </x:c>
      <x:c r="D909" s="5" t="inlineStr">
        <x:is>
          <x:t xml:space="preserve">Enamorus</x:t>
        </x:is>
      </x:c>
      <x:c r="E909" s="5" t="n">
        <x:v>8</x:v>
      </x:c>
      <x:c r="F909" s="5" t="inlineStr">
        <x:is>
          <x:t xml:space="preserve">페어리</x:t>
        </x:is>
      </x:c>
      <x:c r="G909" s="5" t="inlineStr">
        <x:is>
          <x:t xml:space="preserve">비행</x:t>
        </x:is>
      </x:c>
      <x:c r="H909" s="6" t="n">
        <x:v>48</x:v>
      </x:c>
      <x:c r="I909" s="5" t="n"/>
      <x:c r="J909" s="5" t="inlineStr">
        <x:is>
          <x:t xml:space="preserve">무진화</x:t>
        </x:is>
      </x:c>
      <x:c r="K909" s="7" t="inlineStr">
        <x:is>
          <x:t xml:space="preserve">비행</x:t>
        </x:is>
      </x:c>
      <x:c r="L909" s="7" t="inlineStr">
        <x:is>
          <x:t xml:space="preserve">암석</x:t>
        </x:is>
      </x:c>
      <x:c r="M909" s="7" t="inlineStr">
        <x:is>
          <x:t xml:space="preserve">온대</x:t>
        </x:is>
      </x:c>
      <x:c r="N909" s="7" t="inlineStr">
        <x:is>
          <x:t xml:space="preserve">보통</x:t>
        </x:is>
      </x:c>
      <x:c r="O909" s="7" t="inlineStr">
        <x:is>
          <x:t xml:space="preserve">무관</x:t>
        </x:is>
      </x:c>
      <x:c r="P909" s="7" t="inlineStr">
        <x:is>
          <x:t xml:space="preserve">무관</x:t>
        </x:is>
      </x:c>
      <x:c r="Q909" s="7" t="inlineStr">
        <x:is>
          <x:t xml:space="preserve">전설</x:t>
        </x:is>
      </x:c>
      <x:c r="R909" s="7" t="inlineStr">
        <x:is>
          <x:t xml:space="preserve">전설</x:t>
        </x:is>
      </x:c>
      <x:c r="S909" s="7" t="inlineStr">
        <x:is>
          <x:t xml:space="preserve">산악</x:t>
        </x:is>
      </x:c>
      <x:c r="T909" s="7" t="inlineStr">
        <x:is>
          <x:t xml:space="preserve"/>
        </x:is>
      </x:c>
      <x:c r="U909" s="8" t="str">
        <x:f>INDEX('서식지_점수'!$E$4:$P$4,1,MATCH(MAX('서식지_점수'!E909:P909),'서식지_점수'!E909:P909,0))</x:f>
        <x:v>산악</x:v>
      </x:c>
      <x:c r="V909" s="8" t="str">
        <x:f>IF(T909&lt;&gt;"",T909,U909)</x:f>
        <x:v>산악</x:v>
      </x:c>
      <x:c r="W909" s="8" t="str">
        <x:f>IFERROR(INDEX('서식지_점수'!$E$4:$P$4,1,MATCH(MAXIFS('서식지_점수'!E909:P909,'서식지_점수'!E909:P909,"&lt;"&amp;MAX('서식지_점수'!E909:P909)),'서식지_점수'!E909:P909,0)),"")</x:f>
        <x:v>평원</x:v>
      </x:c>
      <x:c r="X909" s="8" t="str">
        <x:f>IF(T909&lt;&gt;"","수동확정",IF(MAX('서식지_점수'!E909:P909)-LARGE('서식지_점수'!E909:P909,2)&gt;=15,"높음",IF(MAX('서식지_점수'!E909:P909)-LARGE('서식지_점수'!E909:P909,2)&gt;=8,"보통","검토필요")))</x:f>
        <x:v>검토필요</x:v>
      </x:c>
      <x:c r="Y909" s="9" t="n">
        <x:f>IF(Q909="전설",8,IF(Q909="희귀",7,IF(J909="기본",1,IF(J909="중간",3,IF(J909="최종",IF(I909="",5,IF(I909&lt;=20,3,IF(I909&lt;=35,4,IF(I909&lt;=50,6,7)))),IF(Q909="드묾",4,2))))))</x:f>
        <x:v>8</x:v>
      </x:c>
      <x:c r="Z909" s="5" t="inlineStr">
        <x:is>
          <x:t xml:space="preserve">#cobblemon:is_mountain</x:t>
        </x:is>
      </x:c>
      <x:c r="AA909" s="5" t="inlineStr">
        <x:is>
          <x:t xml:space="preserve">ultra-rare</x:t>
        </x:is>
      </x:c>
      <x:c r="AB909" s="5" t="inlineStr">
        <x:is>
          <x:t xml:space="preserve">아니오</x:t>
        </x:is>
      </x:c>
      <x:c r="AC909" s="8" t="str">
        <x:f>IF(T909&lt;&gt;"","수동확정",IF(X909="검토필요","검토필요",IF(S909="","원본없음","초기완료")))</x:f>
        <x:v>검토필요</x:v>
      </x:c>
      <x:c r="AD909" s="7" t="inlineStr">
        <x:is>
          <x:t xml:space="preserve"/>
        </x:is>
      </x:c>
      <x:c r="AE909" s="5" t="inlineStr">
        <x:is>
          <x:t xml:space="preserve">.tmp/cobblemon-1.7.3-source/common/src/main/resources/data/cobblemon/species/generation8a/enamorus.json</x:t>
        </x:is>
      </x:c>
      <x:c r="AF909" s="5" t="str">
        <x:f>"생활권|"&amp;K909</x:f>
        <x:v>생활권|비행</x:v>
      </x:c>
      <x:c r="AG909" s="5" t="str">
        <x:f>"지형|"&amp;L909</x:f>
        <x:v>지형|암석</x:v>
      </x:c>
      <x:c r="AH909" s="5" t="str">
        <x:f>"온도|"&amp;M909</x:f>
        <x:v>온도|온대</x:v>
      </x:c>
      <x:c r="AI909" s="5" t="str">
        <x:f>"습도|"&amp;N909</x:f>
        <x:v>습도|보통</x:v>
      </x:c>
      <x:c r="AJ909" s="5" t="str">
        <x:f>"날씨|"&amp;O909</x:f>
        <x:v>날씨|무관</x:v>
      </x:c>
      <x:c r="AK909" s="5" t="str">
        <x:f>"특수태그|"&amp;R909</x:f>
        <x:v>특수태그|전설</x:v>
      </x:c>
      <x:c r="AL909" s="5" t="str">
        <x:f>"원본서식지|"&amp;S909</x:f>
        <x:v>원본서식지|산악</x:v>
      </x:c>
      <x:c r="AM909" s="5" t="str">
        <x:f>"타입|"&amp;F909</x:f>
        <x:v>타입|페어리</x:v>
      </x:c>
      <x:c r="AN909" s="5" t="str">
        <x:f>"타입|"&amp;G909</x:f>
        <x:v>타입|비행</x:v>
      </x:c>
    </x:row>
    <x:row r="910" ht="24" customHeight="1">
      <x:c r="A910" s="5" t="n">
        <x:v>906</x:v>
      </x:c>
      <x:c r="B910" s="5" t="inlineStr">
        <x:is>
          <x:t xml:space="preserve">나오하</x:t>
        </x:is>
      </x:c>
      <x:c r="C910" s="5" t="inlineStr">
        <x:is>
          <x:t xml:space="preserve">sprigatito</x:t>
        </x:is>
      </x:c>
      <x:c r="D910" s="5" t="inlineStr">
        <x:is>
          <x:t xml:space="preserve">Sprigatito</x:t>
        </x:is>
      </x:c>
      <x:c r="E910" s="5" t="n">
        <x:v>9</x:v>
      </x:c>
      <x:c r="F910" s="5" t="inlineStr">
        <x:is>
          <x:t xml:space="preserve">풀</x:t>
        </x:is>
      </x:c>
      <x:c r="G910" s="5" t="inlineStr">
        <x:is>
          <x:t xml:space="preserve"/>
        </x:is>
      </x:c>
      <x:c r="H910" s="6" t="n">
        <x:v>4.1</x:v>
      </x:c>
      <x:c r="I910" s="5" t="n">
        <x:v>36</x:v>
      </x:c>
      <x:c r="J910" s="5" t="inlineStr">
        <x:is>
          <x:t xml:space="preserve">기본</x:t>
        </x:is>
      </x:c>
      <x:c r="K910" s="7" t="inlineStr">
        <x:is>
          <x:t xml:space="preserve">육상</x:t>
        </x:is>
      </x:c>
      <x:c r="L910" s="7" t="inlineStr">
        <x:is>
          <x:t xml:space="preserve">수목</x:t>
        </x:is>
      </x:c>
      <x:c r="M910" s="7" t="inlineStr">
        <x:is>
          <x:t xml:space="preserve">온대</x:t>
        </x:is>
      </x:c>
      <x:c r="N910" s="7" t="inlineStr">
        <x:is>
          <x:t xml:space="preserve">보통</x:t>
        </x:is>
      </x:c>
      <x:c r="O910" s="7" t="inlineStr">
        <x:is>
          <x:t xml:space="preserve">무관</x:t>
        </x:is>
      </x:c>
      <x:c r="P910" s="7" t="inlineStr">
        <x:is>
          <x:t xml:space="preserve">무관</x:t>
        </x:is>
      </x:c>
      <x:c r="Q910" s="7" t="inlineStr">
        <x:is>
          <x:t xml:space="preserve">희귀</x:t>
        </x:is>
      </x:c>
      <x:c r="R910" s="7" t="inlineStr">
        <x:is>
          <x:t xml:space="preserve">없음</x:t>
        </x:is>
      </x:c>
      <x:c r="S910" s="7" t="inlineStr">
        <x:is>
          <x:t xml:space="preserve"/>
        </x:is>
      </x:c>
      <x:c r="T910" s="7" t="inlineStr">
        <x:is>
          <x:t xml:space="preserve"/>
        </x:is>
      </x:c>
      <x:c r="U910" s="8" t="str">
        <x:f>INDEX('서식지_점수'!$E$4:$P$4,1,MATCH(MAX('서식지_점수'!E910:P910),'서식지_점수'!E910:P910,0))</x:f>
        <x:v>평원</x:v>
      </x:c>
      <x:c r="V910" s="8" t="str">
        <x:f>IF(T910&lt;&gt;"",T910,U910)</x:f>
        <x:v>평원</x:v>
      </x:c>
      <x:c r="W910" s="8" t="str">
        <x:f>IFERROR(INDEX('서식지_점수'!$E$4:$P$4,1,MATCH(MAXIFS('서식지_점수'!E910:P910,'서식지_점수'!E910:P910,"&lt;"&amp;MAX('서식지_점수'!E910:P910)),'서식지_점수'!E910:P910,0)),"")</x:f>
        <x:v>숲</x:v>
      </x:c>
      <x:c r="X910" s="8" t="str">
        <x:f>IF(T910&lt;&gt;"","수동확정",IF(MAX('서식지_점수'!E910:P910)-LARGE('서식지_점수'!E910:P910,2)&gt;=15,"높음",IF(MAX('서식지_점수'!E910:P910)-LARGE('서식지_점수'!E910:P910,2)&gt;=8,"보통","검토필요")))</x:f>
        <x:v>검토필요</x:v>
      </x:c>
      <x:c r="Y910" s="9" t="n">
        <x:f>IF(Q910="전설",8,IF(Q910="희귀",7,IF(J910="기본",1,IF(J910="중간",3,IF(J910="최종",IF(I910="",5,IF(I910&lt;=20,3,IF(I910&lt;=35,4,IF(I910&lt;=50,6,7)))),IF(Q910="드묾",4,2))))))</x:f>
        <x:v>7</x:v>
      </x:c>
      <x:c r="Z910" s="5" t="inlineStr">
        <x:is>
          <x:t xml:space="preserve">#cobblemon:is_floral; #cobblemon:is_magical</x:t>
        </x:is>
      </x:c>
      <x:c r="AA910" s="5" t="inlineStr">
        <x:is>
          <x:t xml:space="preserve">ultra-rare</x:t>
        </x:is>
      </x:c>
      <x:c r="AB910" s="5" t="inlineStr">
        <x:is>
          <x:t xml:space="preserve">예</x:t>
        </x:is>
      </x:c>
      <x:c r="AC910" s="8" t="str">
        <x:f>IF(T910&lt;&gt;"","수동확정",IF(X910="검토필요","검토필요",IF(S910="","원본없음","초기완료")))</x:f>
        <x:v>검토필요</x:v>
      </x:c>
      <x:c r="AD910" s="7" t="inlineStr">
        <x:is>
          <x:t xml:space="preserve"/>
        </x:is>
      </x:c>
      <x:c r="AE910" s="5" t="inlineStr">
        <x:is>
          <x:t xml:space="preserve">.tmp/cobblemon-1.7.3-source/common/src/main/resources/data/cobblemon/species/generation9/sprigatito.json</x:t>
        </x:is>
      </x:c>
      <x:c r="AF910" s="5" t="str">
        <x:f>"생활권|"&amp;K910</x:f>
        <x:v>생활권|육상</x:v>
      </x:c>
      <x:c r="AG910" s="5" t="str">
        <x:f>"지형|"&amp;L910</x:f>
        <x:v>지형|수목</x:v>
      </x:c>
      <x:c r="AH910" s="5" t="str">
        <x:f>"온도|"&amp;M910</x:f>
        <x:v>온도|온대</x:v>
      </x:c>
      <x:c r="AI910" s="5" t="str">
        <x:f>"습도|"&amp;N910</x:f>
        <x:v>습도|보통</x:v>
      </x:c>
      <x:c r="AJ910" s="5" t="str">
        <x:f>"날씨|"&amp;O910</x:f>
        <x:v>날씨|무관</x:v>
      </x:c>
      <x:c r="AK910" s="5" t="str">
        <x:f>"특수태그|"&amp;R910</x:f>
        <x:v>특수태그|없음</x:v>
      </x:c>
      <x:c r="AL910" s="5" t="str">
        <x:f>"원본서식지|"&amp;S910</x:f>
        <x:v>원본서식지|</x:v>
      </x:c>
      <x:c r="AM910" s="5" t="str">
        <x:f>"타입|"&amp;F910</x:f>
        <x:v>타입|풀</x:v>
      </x:c>
      <x:c r="AN910" s="5" t="str">
        <x:f>"타입|"&amp;G910</x:f>
        <x:v>타입|</x:v>
      </x:c>
    </x:row>
    <x:row r="911" ht="24" customHeight="1">
      <x:c r="A911" s="5" t="n">
        <x:v>907</x:v>
      </x:c>
      <x:c r="B911" s="5" t="inlineStr">
        <x:is>
          <x:t xml:space="preserve">나로테</x:t>
        </x:is>
      </x:c>
      <x:c r="C911" s="5" t="inlineStr">
        <x:is>
          <x:t xml:space="preserve">floragato</x:t>
        </x:is>
      </x:c>
      <x:c r="D911" s="5" t="inlineStr">
        <x:is>
          <x:t xml:space="preserve">Floragato</x:t>
        </x:is>
      </x:c>
      <x:c r="E911" s="5" t="n">
        <x:v>9</x:v>
      </x:c>
      <x:c r="F911" s="5" t="inlineStr">
        <x:is>
          <x:t xml:space="preserve">풀</x:t>
        </x:is>
      </x:c>
      <x:c r="G911" s="5" t="inlineStr">
        <x:is>
          <x:t xml:space="preserve"/>
        </x:is>
      </x:c>
      <x:c r="H911" s="6" t="n">
        <x:v>12.2</x:v>
      </x:c>
      <x:c r="I911" s="5" t="n">
        <x:v>36</x:v>
      </x:c>
      <x:c r="J911" s="5" t="inlineStr">
        <x:is>
          <x:t xml:space="preserve">중간</x:t>
        </x:is>
      </x:c>
      <x:c r="K911" s="7" t="inlineStr">
        <x:is>
          <x:t xml:space="preserve">육상</x:t>
        </x:is>
      </x:c>
      <x:c r="L911" s="7" t="inlineStr">
        <x:is>
          <x:t xml:space="preserve">수목</x:t>
        </x:is>
      </x:c>
      <x:c r="M911" s="7" t="inlineStr">
        <x:is>
          <x:t xml:space="preserve">온대</x:t>
        </x:is>
      </x:c>
      <x:c r="N911" s="7" t="inlineStr">
        <x:is>
          <x:t xml:space="preserve">보통</x:t>
        </x:is>
      </x:c>
      <x:c r="O911" s="7" t="inlineStr">
        <x:is>
          <x:t xml:space="preserve">무관</x:t>
        </x:is>
      </x:c>
      <x:c r="P911" s="7" t="inlineStr">
        <x:is>
          <x:t xml:space="preserve">무관</x:t>
        </x:is>
      </x:c>
      <x:c r="Q911" s="7" t="inlineStr">
        <x:is>
          <x:t xml:space="preserve">희귀</x:t>
        </x:is>
      </x:c>
      <x:c r="R911" s="7" t="inlineStr">
        <x:is>
          <x:t xml:space="preserve">없음</x:t>
        </x:is>
      </x:c>
      <x:c r="S911" s="7" t="inlineStr">
        <x:is>
          <x:t xml:space="preserve"/>
        </x:is>
      </x:c>
      <x:c r="T911" s="7" t="inlineStr">
        <x:is>
          <x:t xml:space="preserve"/>
        </x:is>
      </x:c>
      <x:c r="U911" s="8" t="str">
        <x:f>INDEX('서식지_점수'!$E$4:$P$4,1,MATCH(MAX('서식지_점수'!E911:P911),'서식지_점수'!E911:P911,0))</x:f>
        <x:v>평원</x:v>
      </x:c>
      <x:c r="V911" s="8" t="str">
        <x:f>IF(T911&lt;&gt;"",T911,U911)</x:f>
        <x:v>평원</x:v>
      </x:c>
      <x:c r="W911" s="8" t="str">
        <x:f>IFERROR(INDEX('서식지_점수'!$E$4:$P$4,1,MATCH(MAXIFS('서식지_점수'!E911:P911,'서식지_점수'!E911:P911,"&lt;"&amp;MAX('서식지_점수'!E911:P911)),'서식지_점수'!E911:P911,0)),"")</x:f>
        <x:v>숲</x:v>
      </x:c>
      <x:c r="X911" s="8" t="str">
        <x:f>IF(T911&lt;&gt;"","수동확정",IF(MAX('서식지_점수'!E911:P911)-LARGE('서식지_점수'!E911:P911,2)&gt;=15,"높음",IF(MAX('서식지_점수'!E911:P911)-LARGE('서식지_점수'!E911:P911,2)&gt;=8,"보통","검토필요")))</x:f>
        <x:v>검토필요</x:v>
      </x:c>
      <x:c r="Y911" s="9" t="n">
        <x:f>IF(Q911="전설",8,IF(Q911="희귀",7,IF(J911="기본",1,IF(J911="중간",3,IF(J911="최종",IF(I911="",5,IF(I911&lt;=20,3,IF(I911&lt;=35,4,IF(I911&lt;=50,6,7)))),IF(Q911="드묾",4,2))))))</x:f>
        <x:v>7</x:v>
      </x:c>
      <x:c r="Z911" s="5" t="inlineStr">
        <x:is>
          <x:t xml:space="preserve">#cobblemon:is_floral; #cobblemon:is_magical</x:t>
        </x:is>
      </x:c>
      <x:c r="AA911" s="5" t="inlineStr">
        <x:is>
          <x:t xml:space="preserve">ultra-rare</x:t>
        </x:is>
      </x:c>
      <x:c r="AB911" s="5" t="inlineStr">
        <x:is>
          <x:t xml:space="preserve">예</x:t>
        </x:is>
      </x:c>
      <x:c r="AC911" s="8" t="str">
        <x:f>IF(T911&lt;&gt;"","수동확정",IF(X911="검토필요","검토필요",IF(S911="","원본없음","초기완료")))</x:f>
        <x:v>검토필요</x:v>
      </x:c>
      <x:c r="AD911" s="7" t="inlineStr">
        <x:is>
          <x:t xml:space="preserve"/>
        </x:is>
      </x:c>
      <x:c r="AE911" s="5" t="inlineStr">
        <x:is>
          <x:t xml:space="preserve">.tmp/cobblemon-1.7.3-source/common/src/main/resources/data/cobblemon/species/generation9/floragato.json</x:t>
        </x:is>
      </x:c>
      <x:c r="AF911" s="5" t="str">
        <x:f>"생활권|"&amp;K911</x:f>
        <x:v>생활권|육상</x:v>
      </x:c>
      <x:c r="AG911" s="5" t="str">
        <x:f>"지형|"&amp;L911</x:f>
        <x:v>지형|수목</x:v>
      </x:c>
      <x:c r="AH911" s="5" t="str">
        <x:f>"온도|"&amp;M911</x:f>
        <x:v>온도|온대</x:v>
      </x:c>
      <x:c r="AI911" s="5" t="str">
        <x:f>"습도|"&amp;N911</x:f>
        <x:v>습도|보통</x:v>
      </x:c>
      <x:c r="AJ911" s="5" t="str">
        <x:f>"날씨|"&amp;O911</x:f>
        <x:v>날씨|무관</x:v>
      </x:c>
      <x:c r="AK911" s="5" t="str">
        <x:f>"특수태그|"&amp;R911</x:f>
        <x:v>특수태그|없음</x:v>
      </x:c>
      <x:c r="AL911" s="5" t="str">
        <x:f>"원본서식지|"&amp;S911</x:f>
        <x:v>원본서식지|</x:v>
      </x:c>
      <x:c r="AM911" s="5" t="str">
        <x:f>"타입|"&amp;F911</x:f>
        <x:v>타입|풀</x:v>
      </x:c>
      <x:c r="AN911" s="5" t="str">
        <x:f>"타입|"&amp;G911</x:f>
        <x:v>타입|</x:v>
      </x:c>
    </x:row>
    <x:row r="912" ht="24" customHeight="1">
      <x:c r="A912" s="5" t="n">
        <x:v>908</x:v>
      </x:c>
      <x:c r="B912" s="5" t="inlineStr">
        <x:is>
          <x:t xml:space="preserve">마스카나</x:t>
        </x:is>
      </x:c>
      <x:c r="C912" s="5" t="inlineStr">
        <x:is>
          <x:t xml:space="preserve">meowscarada</x:t>
        </x:is>
      </x:c>
      <x:c r="D912" s="5" t="inlineStr">
        <x:is>
          <x:t xml:space="preserve">Meowscarada</x:t>
        </x:is>
      </x:c>
      <x:c r="E912" s="5" t="n">
        <x:v>9</x:v>
      </x:c>
      <x:c r="F912" s="5" t="inlineStr">
        <x:is>
          <x:t xml:space="preserve">풀</x:t>
        </x:is>
      </x:c>
      <x:c r="G912" s="5" t="inlineStr">
        <x:is>
          <x:t xml:space="preserve">악</x:t>
        </x:is>
      </x:c>
      <x:c r="H912" s="6" t="n">
        <x:v>31.2</x:v>
      </x:c>
      <x:c r="I912" s="5" t="n">
        <x:v>36</x:v>
      </x:c>
      <x:c r="J912" s="5" t="inlineStr">
        <x:is>
          <x:t xml:space="preserve">최종</x:t>
        </x:is>
      </x:c>
      <x:c r="K912" s="7" t="inlineStr">
        <x:is>
          <x:t xml:space="preserve">육상</x:t>
        </x:is>
      </x:c>
      <x:c r="L912" s="7" t="inlineStr">
        <x:is>
          <x:t xml:space="preserve">수목</x:t>
        </x:is>
      </x:c>
      <x:c r="M912" s="7" t="inlineStr">
        <x:is>
          <x:t xml:space="preserve">온대</x:t>
        </x:is>
      </x:c>
      <x:c r="N912" s="7" t="inlineStr">
        <x:is>
          <x:t xml:space="preserve">보통</x:t>
        </x:is>
      </x:c>
      <x:c r="O912" s="7" t="inlineStr">
        <x:is>
          <x:t xml:space="preserve">무관</x:t>
        </x:is>
      </x:c>
      <x:c r="P912" s="7" t="inlineStr">
        <x:is>
          <x:t xml:space="preserve">밤</x:t>
        </x:is>
      </x:c>
      <x:c r="Q912" s="7" t="inlineStr">
        <x:is>
          <x:t xml:space="preserve">희귀</x:t>
        </x:is>
      </x:c>
      <x:c r="R912" s="7" t="inlineStr">
        <x:is>
          <x:t xml:space="preserve">없음</x:t>
        </x:is>
      </x:c>
      <x:c r="S912" s="7" t="inlineStr">
        <x:is>
          <x:t xml:space="preserve"/>
        </x:is>
      </x:c>
      <x:c r="T912" s="7" t="inlineStr">
        <x:is>
          <x:t xml:space="preserve"/>
        </x:is>
      </x:c>
      <x:c r="U912" s="8" t="str">
        <x:f>INDEX('서식지_점수'!$E$4:$P$4,1,MATCH(MAX('서식지_점수'!E912:P912),'서식지_점수'!E912:P912,0))</x:f>
        <x:v>평원</x:v>
      </x:c>
      <x:c r="V912" s="8" t="str">
        <x:f>IF(T912&lt;&gt;"",T912,U912)</x:f>
        <x:v>평원</x:v>
      </x:c>
      <x:c r="W912" s="8" t="str">
        <x:f>IFERROR(INDEX('서식지_점수'!$E$4:$P$4,1,MATCH(MAXIFS('서식지_점수'!E912:P912,'서식지_점수'!E912:P912,"&lt;"&amp;MAX('서식지_점수'!E912:P912)),'서식지_점수'!E912:P912,0)),"")</x:f>
        <x:v>숲</x:v>
      </x:c>
      <x:c r="X912" s="8" t="str">
        <x:f>IF(T912&lt;&gt;"","수동확정",IF(MAX('서식지_점수'!E912:P912)-LARGE('서식지_점수'!E912:P912,2)&gt;=15,"높음",IF(MAX('서식지_점수'!E912:P912)-LARGE('서식지_점수'!E912:P912,2)&gt;=8,"보통","검토필요")))</x:f>
        <x:v>검토필요</x:v>
      </x:c>
      <x:c r="Y912" s="9" t="n">
        <x:f>IF(Q912="전설",8,IF(Q912="희귀",7,IF(J912="기본",1,IF(J912="중간",3,IF(J912="최종",IF(I912="",5,IF(I912&lt;=20,3,IF(I912&lt;=35,4,IF(I912&lt;=50,6,7)))),IF(Q912="드묾",4,2))))))</x:f>
        <x:v>7</x:v>
      </x:c>
      <x:c r="Z912" s="5" t="inlineStr">
        <x:is>
          <x:t xml:space="preserve">#cobblemon:is_floral; #cobblemon:is_magical</x:t>
        </x:is>
      </x:c>
      <x:c r="AA912" s="5" t="inlineStr">
        <x:is>
          <x:t xml:space="preserve">ultra-rare</x:t>
        </x:is>
      </x:c>
      <x:c r="AB912" s="5" t="inlineStr">
        <x:is>
          <x:t xml:space="preserve">예</x:t>
        </x:is>
      </x:c>
      <x:c r="AC912" s="8" t="str">
        <x:f>IF(T912&lt;&gt;"","수동확정",IF(X912="검토필요","검토필요",IF(S912="","원본없음","초기완료")))</x:f>
        <x:v>검토필요</x:v>
      </x:c>
      <x:c r="AD912" s="7" t="inlineStr">
        <x:is>
          <x:t xml:space="preserve"/>
        </x:is>
      </x:c>
      <x:c r="AE912" s="5" t="inlineStr">
        <x:is>
          <x:t xml:space="preserve">.tmp/cobblemon-1.7.3-source/common/src/main/resources/data/cobblemon/species/generation9/meowscarada.json</x:t>
        </x:is>
      </x:c>
      <x:c r="AF912" s="5" t="str">
        <x:f>"생활권|"&amp;K912</x:f>
        <x:v>생활권|육상</x:v>
      </x:c>
      <x:c r="AG912" s="5" t="str">
        <x:f>"지형|"&amp;L912</x:f>
        <x:v>지형|수목</x:v>
      </x:c>
      <x:c r="AH912" s="5" t="str">
        <x:f>"온도|"&amp;M912</x:f>
        <x:v>온도|온대</x:v>
      </x:c>
      <x:c r="AI912" s="5" t="str">
        <x:f>"습도|"&amp;N912</x:f>
        <x:v>습도|보통</x:v>
      </x:c>
      <x:c r="AJ912" s="5" t="str">
        <x:f>"날씨|"&amp;O912</x:f>
        <x:v>날씨|무관</x:v>
      </x:c>
      <x:c r="AK912" s="5" t="str">
        <x:f>"특수태그|"&amp;R912</x:f>
        <x:v>특수태그|없음</x:v>
      </x:c>
      <x:c r="AL912" s="5" t="str">
        <x:f>"원본서식지|"&amp;S912</x:f>
        <x:v>원본서식지|</x:v>
      </x:c>
      <x:c r="AM912" s="5" t="str">
        <x:f>"타입|"&amp;F912</x:f>
        <x:v>타입|풀</x:v>
      </x:c>
      <x:c r="AN912" s="5" t="str">
        <x:f>"타입|"&amp;G912</x:f>
        <x:v>타입|악</x:v>
      </x:c>
    </x:row>
    <x:row r="913" ht="24" customHeight="1">
      <x:c r="A913" s="5" t="n">
        <x:v>909</x:v>
      </x:c>
      <x:c r="B913" s="5" t="inlineStr">
        <x:is>
          <x:t xml:space="preserve">뜨아거</x:t>
        </x:is>
      </x:c>
      <x:c r="C913" s="5" t="inlineStr">
        <x:is>
          <x:t xml:space="preserve">fuecoco</x:t>
        </x:is>
      </x:c>
      <x:c r="D913" s="5" t="inlineStr">
        <x:is>
          <x:t xml:space="preserve">Fuecoco</x:t>
        </x:is>
      </x:c>
      <x:c r="E913" s="5" t="n">
        <x:v>9</x:v>
      </x:c>
      <x:c r="F913" s="5" t="inlineStr">
        <x:is>
          <x:t xml:space="preserve">불꽃</x:t>
        </x:is>
      </x:c>
      <x:c r="G913" s="5" t="inlineStr">
        <x:is>
          <x:t xml:space="preserve"/>
        </x:is>
      </x:c>
      <x:c r="H913" s="6" t="n">
        <x:v>9.800000000000001</x:v>
      </x:c>
      <x:c r="I913" s="5" t="n">
        <x:v>36</x:v>
      </x:c>
      <x:c r="J913" s="5" t="inlineStr">
        <x:is>
          <x:t xml:space="preserve">기본</x:t>
        </x:is>
      </x:c>
      <x:c r="K913" s="7" t="inlineStr">
        <x:is>
          <x:t xml:space="preserve">육상</x:t>
        </x:is>
      </x:c>
      <x:c r="L913" s="7" t="inlineStr">
        <x:is>
          <x:t xml:space="preserve">화산</x:t>
        </x:is>
      </x:c>
      <x:c r="M913" s="7" t="inlineStr">
        <x:is>
          <x:t xml:space="preserve">고온</x:t>
        </x:is>
      </x:c>
      <x:c r="N913" s="7" t="inlineStr">
        <x:is>
          <x:t xml:space="preserve">건조</x:t>
        </x:is>
      </x:c>
      <x:c r="O913" s="7" t="inlineStr">
        <x:is>
          <x:t xml:space="preserve">맑음</x:t>
        </x:is>
      </x:c>
      <x:c r="P913" s="7" t="inlineStr">
        <x:is>
          <x:t xml:space="preserve">무관</x:t>
        </x:is>
      </x:c>
      <x:c r="Q913" s="7" t="inlineStr">
        <x:is>
          <x:t xml:space="preserve">희귀</x:t>
        </x:is>
      </x:c>
      <x:c r="R913" s="7" t="inlineStr">
        <x:is>
          <x:t xml:space="preserve">화산</x:t>
        </x:is>
      </x:c>
      <x:c r="S913" s="7" t="inlineStr">
        <x:is>
          <x:t xml:space="preserve">화산</x:t>
        </x:is>
      </x:c>
      <x:c r="T913" s="7" t="inlineStr">
        <x:is>
          <x:t xml:space="preserve"/>
        </x:is>
      </x:c>
      <x:c r="U913" s="8" t="str">
        <x:f>INDEX('서식지_점수'!$E$4:$P$4,1,MATCH(MAX('서식지_점수'!E913:P913),'서식지_점수'!E913:P913,0))</x:f>
        <x:v>평원</x:v>
      </x:c>
      <x:c r="V913" s="8" t="str">
        <x:f>IF(T913&lt;&gt;"",T913,U913)</x:f>
        <x:v>평원</x:v>
      </x:c>
      <x:c r="W913" s="8" t="str">
        <x:f>IFERROR(INDEX('서식지_점수'!$E$4:$P$4,1,MATCH(MAXIFS('서식지_점수'!E913:P913,'서식지_점수'!E913:P913,"&lt;"&amp;MAX('서식지_점수'!E913:P913)),'서식지_점수'!E913:P913,0)),"")</x:f>
        <x:v>숲</x:v>
      </x:c>
      <x:c r="X913" s="8" t="str">
        <x:f>IF(T913&lt;&gt;"","수동확정",IF(MAX('서식지_점수'!E913:P913)-LARGE('서식지_점수'!E913:P913,2)&gt;=15,"높음",IF(MAX('서식지_점수'!E913:P913)-LARGE('서식지_점수'!E913:P913,2)&gt;=8,"보통","검토필요")))</x:f>
        <x:v>검토필요</x:v>
      </x:c>
      <x:c r="Y913" s="9" t="n">
        <x:f>IF(Q913="전설",8,IF(Q913="희귀",7,IF(J913="기본",1,IF(J913="중간",3,IF(J913="최종",IF(I913="",5,IF(I913&lt;=20,3,IF(I913&lt;=35,4,IF(I913&lt;=50,6,7)))),IF(Q913="드묾",4,2))))))</x:f>
        <x:v>7</x:v>
      </x:c>
      <x:c r="Z913" s="5" t="inlineStr">
        <x:is>
          <x:t xml:space="preserve">#cobblemon:is_badlands; #cobblemon:nether/is_wasteland</x:t>
        </x:is>
      </x:c>
      <x:c r="AA913" s="5" t="inlineStr">
        <x:is>
          <x:t xml:space="preserve">ultra-rare</x:t>
        </x:is>
      </x:c>
      <x:c r="AB913" s="5" t="inlineStr">
        <x:is>
          <x:t xml:space="preserve">예</x:t>
        </x:is>
      </x:c>
      <x:c r="AC913" s="8" t="str">
        <x:f>IF(T913&lt;&gt;"","수동확정",IF(X913="검토필요","검토필요",IF(S913="","원본없음","초기완료")))</x:f>
        <x:v>검토필요</x:v>
      </x:c>
      <x:c r="AD913" s="7" t="inlineStr">
        <x:is>
          <x:t xml:space="preserve"/>
        </x:is>
      </x:c>
      <x:c r="AE913" s="5" t="inlineStr">
        <x:is>
          <x:t xml:space="preserve">.tmp/cobblemon-1.7.3-source/common/src/main/resources/data/cobblemon/species/generation9/fuecoco.json</x:t>
        </x:is>
      </x:c>
      <x:c r="AF913" s="5" t="str">
        <x:f>"생활권|"&amp;K913</x:f>
        <x:v>생활권|육상</x:v>
      </x:c>
      <x:c r="AG913" s="5" t="str">
        <x:f>"지형|"&amp;L913</x:f>
        <x:v>지형|화산</x:v>
      </x:c>
      <x:c r="AH913" s="5" t="str">
        <x:f>"온도|"&amp;M913</x:f>
        <x:v>온도|고온</x:v>
      </x:c>
      <x:c r="AI913" s="5" t="str">
        <x:f>"습도|"&amp;N913</x:f>
        <x:v>습도|건조</x:v>
      </x:c>
      <x:c r="AJ913" s="5" t="str">
        <x:f>"날씨|"&amp;O913</x:f>
        <x:v>날씨|맑음</x:v>
      </x:c>
      <x:c r="AK913" s="5" t="str">
        <x:f>"특수태그|"&amp;R913</x:f>
        <x:v>특수태그|화산</x:v>
      </x:c>
      <x:c r="AL913" s="5" t="str">
        <x:f>"원본서식지|"&amp;S913</x:f>
        <x:v>원본서식지|화산</x:v>
      </x:c>
      <x:c r="AM913" s="5" t="str">
        <x:f>"타입|"&amp;F913</x:f>
        <x:v>타입|불꽃</x:v>
      </x:c>
      <x:c r="AN913" s="5" t="str">
        <x:f>"타입|"&amp;G913</x:f>
        <x:v>타입|</x:v>
      </x:c>
    </x:row>
    <x:row r="914" ht="24" customHeight="1">
      <x:c r="A914" s="5" t="n">
        <x:v>910</x:v>
      </x:c>
      <x:c r="B914" s="5" t="inlineStr">
        <x:is>
          <x:t xml:space="preserve">악뜨거</x:t>
        </x:is>
      </x:c>
      <x:c r="C914" s="5" t="inlineStr">
        <x:is>
          <x:t xml:space="preserve">crocalor</x:t>
        </x:is>
      </x:c>
      <x:c r="D914" s="5" t="inlineStr">
        <x:is>
          <x:t xml:space="preserve">Crocalor</x:t>
        </x:is>
      </x:c>
      <x:c r="E914" s="5" t="n">
        <x:v>9</x:v>
      </x:c>
      <x:c r="F914" s="5" t="inlineStr">
        <x:is>
          <x:t xml:space="preserve">불꽃</x:t>
        </x:is>
      </x:c>
      <x:c r="G914" s="5" t="inlineStr">
        <x:is>
          <x:t xml:space="preserve"/>
        </x:is>
      </x:c>
      <x:c r="H914" s="6" t="n">
        <x:v>30.7</x:v>
      </x:c>
      <x:c r="I914" s="5" t="n">
        <x:v>36</x:v>
      </x:c>
      <x:c r="J914" s="5" t="inlineStr">
        <x:is>
          <x:t xml:space="preserve">중간</x:t>
        </x:is>
      </x:c>
      <x:c r="K914" s="7" t="inlineStr">
        <x:is>
          <x:t xml:space="preserve">육상</x:t>
        </x:is>
      </x:c>
      <x:c r="L914" s="7" t="inlineStr">
        <x:is>
          <x:t xml:space="preserve">화산</x:t>
        </x:is>
      </x:c>
      <x:c r="M914" s="7" t="inlineStr">
        <x:is>
          <x:t xml:space="preserve">고온</x:t>
        </x:is>
      </x:c>
      <x:c r="N914" s="7" t="inlineStr">
        <x:is>
          <x:t xml:space="preserve">건조</x:t>
        </x:is>
      </x:c>
      <x:c r="O914" s="7" t="inlineStr">
        <x:is>
          <x:t xml:space="preserve">맑음</x:t>
        </x:is>
      </x:c>
      <x:c r="P914" s="7" t="inlineStr">
        <x:is>
          <x:t xml:space="preserve">무관</x:t>
        </x:is>
      </x:c>
      <x:c r="Q914" s="7" t="inlineStr">
        <x:is>
          <x:t xml:space="preserve">희귀</x:t>
        </x:is>
      </x:c>
      <x:c r="R914" s="7" t="inlineStr">
        <x:is>
          <x:t xml:space="preserve">화산</x:t>
        </x:is>
      </x:c>
      <x:c r="S914" s="7" t="inlineStr">
        <x:is>
          <x:t xml:space="preserve">화산</x:t>
        </x:is>
      </x:c>
      <x:c r="T914" s="7" t="inlineStr">
        <x:is>
          <x:t xml:space="preserve"/>
        </x:is>
      </x:c>
      <x:c r="U914" s="8" t="str">
        <x:f>INDEX('서식지_점수'!$E$4:$P$4,1,MATCH(MAX('서식지_점수'!E914:P914),'서식지_점수'!E914:P914,0))</x:f>
        <x:v>평원</x:v>
      </x:c>
      <x:c r="V914" s="8" t="str">
        <x:f>IF(T914&lt;&gt;"",T914,U914)</x:f>
        <x:v>평원</x:v>
      </x:c>
      <x:c r="W914" s="8" t="str">
        <x:f>IFERROR(INDEX('서식지_점수'!$E$4:$P$4,1,MATCH(MAXIFS('서식지_점수'!E914:P914,'서식지_점수'!E914:P914,"&lt;"&amp;MAX('서식지_점수'!E914:P914)),'서식지_점수'!E914:P914,0)),"")</x:f>
        <x:v>숲</x:v>
      </x:c>
      <x:c r="X914" s="8" t="str">
        <x:f>IF(T914&lt;&gt;"","수동확정",IF(MAX('서식지_점수'!E914:P914)-LARGE('서식지_점수'!E914:P914,2)&gt;=15,"높음",IF(MAX('서식지_점수'!E914:P914)-LARGE('서식지_점수'!E914:P914,2)&gt;=8,"보통","검토필요")))</x:f>
        <x:v>검토필요</x:v>
      </x:c>
      <x:c r="Y914" s="9" t="n">
        <x:f>IF(Q914="전설",8,IF(Q914="희귀",7,IF(J914="기본",1,IF(J914="중간",3,IF(J914="최종",IF(I914="",5,IF(I914&lt;=20,3,IF(I914&lt;=35,4,IF(I914&lt;=50,6,7)))),IF(Q914="드묾",4,2))))))</x:f>
        <x:v>7</x:v>
      </x:c>
      <x:c r="Z914" s="5" t="inlineStr">
        <x:is>
          <x:t xml:space="preserve">#cobblemon:is_badlands; #cobblemon:nether/is_wasteland</x:t>
        </x:is>
      </x:c>
      <x:c r="AA914" s="5" t="inlineStr">
        <x:is>
          <x:t xml:space="preserve">ultra-rare</x:t>
        </x:is>
      </x:c>
      <x:c r="AB914" s="5" t="inlineStr">
        <x:is>
          <x:t xml:space="preserve">예</x:t>
        </x:is>
      </x:c>
      <x:c r="AC914" s="8" t="str">
        <x:f>IF(T914&lt;&gt;"","수동확정",IF(X914="검토필요","검토필요",IF(S914="","원본없음","초기완료")))</x:f>
        <x:v>검토필요</x:v>
      </x:c>
      <x:c r="AD914" s="7" t="inlineStr">
        <x:is>
          <x:t xml:space="preserve"/>
        </x:is>
      </x:c>
      <x:c r="AE914" s="5" t="inlineStr">
        <x:is>
          <x:t xml:space="preserve">.tmp/cobblemon-1.7.3-source/common/src/main/resources/data/cobblemon/species/generation9/crocalor.json</x:t>
        </x:is>
      </x:c>
      <x:c r="AF914" s="5" t="str">
        <x:f>"생활권|"&amp;K914</x:f>
        <x:v>생활권|육상</x:v>
      </x:c>
      <x:c r="AG914" s="5" t="str">
        <x:f>"지형|"&amp;L914</x:f>
        <x:v>지형|화산</x:v>
      </x:c>
      <x:c r="AH914" s="5" t="str">
        <x:f>"온도|"&amp;M914</x:f>
        <x:v>온도|고온</x:v>
      </x:c>
      <x:c r="AI914" s="5" t="str">
        <x:f>"습도|"&amp;N914</x:f>
        <x:v>습도|건조</x:v>
      </x:c>
      <x:c r="AJ914" s="5" t="str">
        <x:f>"날씨|"&amp;O914</x:f>
        <x:v>날씨|맑음</x:v>
      </x:c>
      <x:c r="AK914" s="5" t="str">
        <x:f>"특수태그|"&amp;R914</x:f>
        <x:v>특수태그|화산</x:v>
      </x:c>
      <x:c r="AL914" s="5" t="str">
        <x:f>"원본서식지|"&amp;S914</x:f>
        <x:v>원본서식지|화산</x:v>
      </x:c>
      <x:c r="AM914" s="5" t="str">
        <x:f>"타입|"&amp;F914</x:f>
        <x:v>타입|불꽃</x:v>
      </x:c>
      <x:c r="AN914" s="5" t="str">
        <x:f>"타입|"&amp;G914</x:f>
        <x:v>타입|</x:v>
      </x:c>
    </x:row>
    <x:row r="915" ht="24" customHeight="1">
      <x:c r="A915" s="5" t="n">
        <x:v>911</x:v>
      </x:c>
      <x:c r="B915" s="5" t="inlineStr">
        <x:is>
          <x:t xml:space="preserve">라우드본</x:t>
        </x:is>
      </x:c>
      <x:c r="C915" s="5" t="inlineStr">
        <x:is>
          <x:t xml:space="preserve">skeledirge</x:t>
        </x:is>
      </x:c>
      <x:c r="D915" s="5" t="inlineStr">
        <x:is>
          <x:t xml:space="preserve">Skeledirge</x:t>
        </x:is>
      </x:c>
      <x:c r="E915" s="5" t="n">
        <x:v>9</x:v>
      </x:c>
      <x:c r="F915" s="5" t="inlineStr">
        <x:is>
          <x:t xml:space="preserve">불꽃</x:t>
        </x:is>
      </x:c>
      <x:c r="G915" s="5" t="inlineStr">
        <x:is>
          <x:t xml:space="preserve">고스트</x:t>
        </x:is>
      </x:c>
      <x:c r="H915" s="6" t="n">
        <x:v>326.5</x:v>
      </x:c>
      <x:c r="I915" s="5" t="n">
        <x:v>36</x:v>
      </x:c>
      <x:c r="J915" s="5" t="inlineStr">
        <x:is>
          <x:t xml:space="preserve">최종</x:t>
        </x:is>
      </x:c>
      <x:c r="K915" s="7" t="inlineStr">
        <x:is>
          <x:t xml:space="preserve">영체</x:t>
        </x:is>
      </x:c>
      <x:c r="L915" s="7" t="inlineStr">
        <x:is>
          <x:t xml:space="preserve">화산</x:t>
        </x:is>
      </x:c>
      <x:c r="M915" s="7" t="inlineStr">
        <x:is>
          <x:t xml:space="preserve">고온</x:t>
        </x:is>
      </x:c>
      <x:c r="N915" s="7" t="inlineStr">
        <x:is>
          <x:t xml:space="preserve">건조</x:t>
        </x:is>
      </x:c>
      <x:c r="O915" s="7" t="inlineStr">
        <x:is>
          <x:t xml:space="preserve">맑음</x:t>
        </x:is>
      </x:c>
      <x:c r="P915" s="7" t="inlineStr">
        <x:is>
          <x:t xml:space="preserve">밤</x:t>
        </x:is>
      </x:c>
      <x:c r="Q915" s="7" t="inlineStr">
        <x:is>
          <x:t xml:space="preserve">희귀</x:t>
        </x:is>
      </x:c>
      <x:c r="R915" s="7" t="inlineStr">
        <x:is>
          <x:t xml:space="preserve">영체</x:t>
        </x:is>
      </x:c>
      <x:c r="S915" s="7" t="inlineStr">
        <x:is>
          <x:t xml:space="preserve">화산</x:t>
        </x:is>
      </x:c>
      <x:c r="T915" s="7" t="inlineStr">
        <x:is>
          <x:t xml:space="preserve"/>
        </x:is>
      </x:c>
      <x:c r="U915" s="8" t="str">
        <x:f>INDEX('서식지_점수'!$E$4:$P$4,1,MATCH(MAX('서식지_점수'!E915:P915),'서식지_점수'!E915:P915,0))</x:f>
        <x:v>특수</x:v>
      </x:c>
      <x:c r="V915" s="8" t="str">
        <x:f>IF(T915&lt;&gt;"",T915,U915)</x:f>
        <x:v>특수</x:v>
      </x:c>
      <x:c r="W915" s="8" t="str">
        <x:f>IFERROR(INDEX('서식지_점수'!$E$4:$P$4,1,MATCH(MAXIFS('서식지_점수'!E915:P915,'서식지_점수'!E915:P915,"&lt;"&amp;MAX('서식지_점수'!E915:P915)),'서식지_점수'!E915:P915,0)),"")</x:f>
        <x:v>동굴</x:v>
      </x:c>
      <x:c r="X915" s="8" t="str">
        <x:f>IF(T915&lt;&gt;"","수동확정",IF(MAX('서식지_점수'!E915:P915)-LARGE('서식지_점수'!E915:P915,2)&gt;=15,"높음",IF(MAX('서식지_점수'!E915:P915)-LARGE('서식지_점수'!E915:P915,2)&gt;=8,"보통","검토필요")))</x:f>
        <x:v>높음</x:v>
      </x:c>
      <x:c r="Y915" s="9" t="n">
        <x:f>IF(Q915="전설",8,IF(Q915="희귀",7,IF(J915="기본",1,IF(J915="중간",3,IF(J915="최종",IF(I915="",5,IF(I915&lt;=20,3,IF(I915&lt;=35,4,IF(I915&lt;=50,6,7)))),IF(Q915="드묾",4,2))))))</x:f>
        <x:v>7</x:v>
      </x:c>
      <x:c r="Z915" s="5" t="inlineStr">
        <x:is>
          <x:t xml:space="preserve">#cobblemon:is_badlands; #cobblemon:nether/is_wasteland</x:t>
        </x:is>
      </x:c>
      <x:c r="AA915" s="5" t="inlineStr">
        <x:is>
          <x:t xml:space="preserve">ultra-rare</x:t>
        </x:is>
      </x:c>
      <x:c r="AB915" s="5" t="inlineStr">
        <x:is>
          <x:t xml:space="preserve">예</x:t>
        </x:is>
      </x:c>
      <x:c r="AC915" s="8" t="str">
        <x:f>IF(T915&lt;&gt;"","수동확정",IF(X915="검토필요","검토필요",IF(S915="","원본없음","초기완료")))</x:f>
        <x:v>초기완료</x:v>
      </x:c>
      <x:c r="AD915" s="7" t="inlineStr">
        <x:is>
          <x:t xml:space="preserve"/>
        </x:is>
      </x:c>
      <x:c r="AE915" s="5" t="inlineStr">
        <x:is>
          <x:t xml:space="preserve">.tmp/cobblemon-1.7.3-source/common/src/main/resources/data/cobblemon/species/generation9/skeledirge.json</x:t>
        </x:is>
      </x:c>
      <x:c r="AF915" s="5" t="str">
        <x:f>"생활권|"&amp;K915</x:f>
        <x:v>생활권|영체</x:v>
      </x:c>
      <x:c r="AG915" s="5" t="str">
        <x:f>"지형|"&amp;L915</x:f>
        <x:v>지형|화산</x:v>
      </x:c>
      <x:c r="AH915" s="5" t="str">
        <x:f>"온도|"&amp;M915</x:f>
        <x:v>온도|고온</x:v>
      </x:c>
      <x:c r="AI915" s="5" t="str">
        <x:f>"습도|"&amp;N915</x:f>
        <x:v>습도|건조</x:v>
      </x:c>
      <x:c r="AJ915" s="5" t="str">
        <x:f>"날씨|"&amp;O915</x:f>
        <x:v>날씨|맑음</x:v>
      </x:c>
      <x:c r="AK915" s="5" t="str">
        <x:f>"특수태그|"&amp;R915</x:f>
        <x:v>특수태그|영체</x:v>
      </x:c>
      <x:c r="AL915" s="5" t="str">
        <x:f>"원본서식지|"&amp;S915</x:f>
        <x:v>원본서식지|화산</x:v>
      </x:c>
      <x:c r="AM915" s="5" t="str">
        <x:f>"타입|"&amp;F915</x:f>
        <x:v>타입|불꽃</x:v>
      </x:c>
      <x:c r="AN915" s="5" t="str">
        <x:f>"타입|"&amp;G915</x:f>
        <x:v>타입|고스트</x:v>
      </x:c>
    </x:row>
    <x:row r="916" ht="24" customHeight="1">
      <x:c r="A916" s="5" t="n">
        <x:v>912</x:v>
      </x:c>
      <x:c r="B916" s="5" t="inlineStr">
        <x:is>
          <x:t xml:space="preserve">꾸왁스</x:t>
        </x:is>
      </x:c>
      <x:c r="C916" s="5" t="inlineStr">
        <x:is>
          <x:t xml:space="preserve">quaxly</x:t>
        </x:is>
      </x:c>
      <x:c r="D916" s="5" t="inlineStr">
        <x:is>
          <x:t xml:space="preserve">Quaxly</x:t>
        </x:is>
      </x:c>
      <x:c r="E916" s="5" t="n">
        <x:v>9</x:v>
      </x:c>
      <x:c r="F916" s="5" t="inlineStr">
        <x:is>
          <x:t xml:space="preserve">물</x:t>
        </x:is>
      </x:c>
      <x:c r="G916" s="5" t="inlineStr">
        <x:is>
          <x:t xml:space="preserve"/>
        </x:is>
      </x:c>
      <x:c r="H916" s="6" t="n">
        <x:v>6.1</x:v>
      </x:c>
      <x:c r="I916" s="5" t="n">
        <x:v>36</x:v>
      </x:c>
      <x:c r="J916" s="5" t="inlineStr">
        <x:is>
          <x:t xml:space="preserve">기본</x:t>
        </x:is>
      </x:c>
      <x:c r="K916" s="7" t="inlineStr">
        <x:is>
          <x:t xml:space="preserve">담수</x:t>
        </x:is>
      </x:c>
      <x:c r="L916" s="7" t="inlineStr">
        <x:is>
          <x:t xml:space="preserve">담수</x:t>
        </x:is>
      </x:c>
      <x:c r="M916" s="7" t="inlineStr">
        <x:is>
          <x:t xml:space="preserve">온대</x:t>
        </x:is>
      </x:c>
      <x:c r="N916" s="7" t="inlineStr">
        <x:is>
          <x:t xml:space="preserve">수중</x:t>
        </x:is>
      </x:c>
      <x:c r="O916" s="7" t="inlineStr">
        <x:is>
          <x:t xml:space="preserve">비</x:t>
        </x:is>
      </x:c>
      <x:c r="P916" s="7" t="inlineStr">
        <x:is>
          <x:t xml:space="preserve">무관</x:t>
        </x:is>
      </x:c>
      <x:c r="Q916" s="7" t="inlineStr">
        <x:is>
          <x:t xml:space="preserve">희귀</x:t>
        </x:is>
      </x:c>
      <x:c r="R916" s="7" t="inlineStr">
        <x:is>
          <x:t xml:space="preserve">없음</x:t>
        </x:is>
      </x:c>
      <x:c r="S916" s="7" t="inlineStr">
        <x:is>
          <x:t xml:space="preserve">담수</x:t>
        </x:is>
      </x:c>
      <x:c r="T916" s="7" t="inlineStr">
        <x:is>
          <x:t xml:space="preserve"/>
        </x:is>
      </x:c>
      <x:c r="U916" s="8" t="str">
        <x:f>INDEX('서식지_점수'!$E$4:$P$4,1,MATCH(MAX('서식지_점수'!E916:P916),'서식지_점수'!E916:P916,0))</x:f>
        <x:v>담수</x:v>
      </x:c>
      <x:c r="V916" s="8" t="str">
        <x:f>IF(T916&lt;&gt;"",T916,U916)</x:f>
        <x:v>담수</x:v>
      </x:c>
      <x:c r="W916" s="8" t="str">
        <x:f>IFERROR(INDEX('서식지_점수'!$E$4:$P$4,1,MATCH(MAXIFS('서식지_점수'!E916:P916,'서식지_점수'!E916:P916,"&lt;"&amp;MAX('서식지_점수'!E916:P916)),'서식지_점수'!E916:P916,0)),"")</x:f>
        <x:v>습지</x:v>
      </x:c>
      <x:c r="X916" s="8" t="str">
        <x:f>IF(T916&lt;&gt;"","수동확정",IF(MAX('서식지_점수'!E916:P916)-LARGE('서식지_점수'!E916:P916,2)&gt;=15,"높음",IF(MAX('서식지_점수'!E916:P916)-LARGE('서식지_점수'!E916:P916,2)&gt;=8,"보통","검토필요")))</x:f>
        <x:v>높음</x:v>
      </x:c>
      <x:c r="Y916" s="9" t="n">
        <x:f>IF(Q916="전설",8,IF(Q916="희귀",7,IF(J916="기본",1,IF(J916="중간",3,IF(J916="최종",IF(I916="",5,IF(I916&lt;=20,3,IF(I916&lt;=35,4,IF(I916&lt;=50,6,7)))),IF(Q916="드묾",4,2))))))</x:f>
        <x:v>7</x:v>
      </x:c>
      <x:c r="Z916" s="5" t="inlineStr">
        <x:is>
          <x:t xml:space="preserve">#cobblemon:is_forest; #cobblemon:is_freshwater; #cobblemon:is_grassland; #cobblemon:is_jungle; #cobblemon:is_river</x:t>
        </x:is>
      </x:c>
      <x:c r="AA916" s="5" t="inlineStr">
        <x:is>
          <x:t xml:space="preserve">ultra-rare</x:t>
        </x:is>
      </x:c>
      <x:c r="AB916" s="5" t="inlineStr">
        <x:is>
          <x:t xml:space="preserve">예</x:t>
        </x:is>
      </x:c>
      <x:c r="AC916" s="8" t="str">
        <x:f>IF(T916&lt;&gt;"","수동확정",IF(X916="검토필요","검토필요",IF(S916="","원본없음","초기완료")))</x:f>
        <x:v>초기완료</x:v>
      </x:c>
      <x:c r="AD916" s="7" t="inlineStr">
        <x:is>
          <x:t xml:space="preserve"/>
        </x:is>
      </x:c>
      <x:c r="AE916" s="5" t="inlineStr">
        <x:is>
          <x:t xml:space="preserve">.tmp/cobblemon-1.7.3-source/common/src/main/resources/data/cobblemon/species/generation9/quaxly.json</x:t>
        </x:is>
      </x:c>
      <x:c r="AF916" s="5" t="str">
        <x:f>"생활권|"&amp;K916</x:f>
        <x:v>생활권|담수</x:v>
      </x:c>
      <x:c r="AG916" s="5" t="str">
        <x:f>"지형|"&amp;L916</x:f>
        <x:v>지형|담수</x:v>
      </x:c>
      <x:c r="AH916" s="5" t="str">
        <x:f>"온도|"&amp;M916</x:f>
        <x:v>온도|온대</x:v>
      </x:c>
      <x:c r="AI916" s="5" t="str">
        <x:f>"습도|"&amp;N916</x:f>
        <x:v>습도|수중</x:v>
      </x:c>
      <x:c r="AJ916" s="5" t="str">
        <x:f>"날씨|"&amp;O916</x:f>
        <x:v>날씨|비</x:v>
      </x:c>
      <x:c r="AK916" s="5" t="str">
        <x:f>"특수태그|"&amp;R916</x:f>
        <x:v>특수태그|없음</x:v>
      </x:c>
      <x:c r="AL916" s="5" t="str">
        <x:f>"원본서식지|"&amp;S916</x:f>
        <x:v>원본서식지|담수</x:v>
      </x:c>
      <x:c r="AM916" s="5" t="str">
        <x:f>"타입|"&amp;F916</x:f>
        <x:v>타입|물</x:v>
      </x:c>
      <x:c r="AN916" s="5" t="str">
        <x:f>"타입|"&amp;G916</x:f>
        <x:v>타입|</x:v>
      </x:c>
    </x:row>
    <x:row r="917" ht="24" customHeight="1">
      <x:c r="A917" s="5" t="n">
        <x:v>913</x:v>
      </x:c>
      <x:c r="B917" s="5" t="inlineStr">
        <x:is>
          <x:t xml:space="preserve">아꾸왁</x:t>
        </x:is>
      </x:c>
      <x:c r="C917" s="5" t="inlineStr">
        <x:is>
          <x:t xml:space="preserve">quaxwell</x:t>
        </x:is>
      </x:c>
      <x:c r="D917" s="5" t="inlineStr">
        <x:is>
          <x:t xml:space="preserve">Quaxwell</x:t>
        </x:is>
      </x:c>
      <x:c r="E917" s="5" t="n">
        <x:v>9</x:v>
      </x:c>
      <x:c r="F917" s="5" t="inlineStr">
        <x:is>
          <x:t xml:space="preserve">물</x:t>
        </x:is>
      </x:c>
      <x:c r="G917" s="5" t="inlineStr">
        <x:is>
          <x:t xml:space="preserve"/>
        </x:is>
      </x:c>
      <x:c r="H917" s="6" t="n">
        <x:v>21.5</x:v>
      </x:c>
      <x:c r="I917" s="5" t="n">
        <x:v>36</x:v>
      </x:c>
      <x:c r="J917" s="5" t="inlineStr">
        <x:is>
          <x:t xml:space="preserve">중간</x:t>
        </x:is>
      </x:c>
      <x:c r="K917" s="7" t="inlineStr">
        <x:is>
          <x:t xml:space="preserve">담수</x:t>
        </x:is>
      </x:c>
      <x:c r="L917" s="7" t="inlineStr">
        <x:is>
          <x:t xml:space="preserve">담수</x:t>
        </x:is>
      </x:c>
      <x:c r="M917" s="7" t="inlineStr">
        <x:is>
          <x:t xml:space="preserve">온대</x:t>
        </x:is>
      </x:c>
      <x:c r="N917" s="7" t="inlineStr">
        <x:is>
          <x:t xml:space="preserve">수중</x:t>
        </x:is>
      </x:c>
      <x:c r="O917" s="7" t="inlineStr">
        <x:is>
          <x:t xml:space="preserve">비</x:t>
        </x:is>
      </x:c>
      <x:c r="P917" s="7" t="inlineStr">
        <x:is>
          <x:t xml:space="preserve">무관</x:t>
        </x:is>
      </x:c>
      <x:c r="Q917" s="7" t="inlineStr">
        <x:is>
          <x:t xml:space="preserve">희귀</x:t>
        </x:is>
      </x:c>
      <x:c r="R917" s="7" t="inlineStr">
        <x:is>
          <x:t xml:space="preserve">없음</x:t>
        </x:is>
      </x:c>
      <x:c r="S917" s="7" t="inlineStr">
        <x:is>
          <x:t xml:space="preserve">담수</x:t>
        </x:is>
      </x:c>
      <x:c r="T917" s="7" t="inlineStr">
        <x:is>
          <x:t xml:space="preserve"/>
        </x:is>
      </x:c>
      <x:c r="U917" s="8" t="str">
        <x:f>INDEX('서식지_점수'!$E$4:$P$4,1,MATCH(MAX('서식지_점수'!E917:P917),'서식지_점수'!E917:P917,0))</x:f>
        <x:v>담수</x:v>
      </x:c>
      <x:c r="V917" s="8" t="str">
        <x:f>IF(T917&lt;&gt;"",T917,U917)</x:f>
        <x:v>담수</x:v>
      </x:c>
      <x:c r="W917" s="8" t="str">
        <x:f>IFERROR(INDEX('서식지_점수'!$E$4:$P$4,1,MATCH(MAXIFS('서식지_점수'!E917:P917,'서식지_점수'!E917:P917,"&lt;"&amp;MAX('서식지_점수'!E917:P917)),'서식지_점수'!E917:P917,0)),"")</x:f>
        <x:v>습지</x:v>
      </x:c>
      <x:c r="X917" s="8" t="str">
        <x:f>IF(T917&lt;&gt;"","수동확정",IF(MAX('서식지_점수'!E917:P917)-LARGE('서식지_점수'!E917:P917,2)&gt;=15,"높음",IF(MAX('서식지_점수'!E917:P917)-LARGE('서식지_점수'!E917:P917,2)&gt;=8,"보통","검토필요")))</x:f>
        <x:v>높음</x:v>
      </x:c>
      <x:c r="Y917" s="9" t="n">
        <x:f>IF(Q917="전설",8,IF(Q917="희귀",7,IF(J917="기본",1,IF(J917="중간",3,IF(J917="최종",IF(I917="",5,IF(I917&lt;=20,3,IF(I917&lt;=35,4,IF(I917&lt;=50,6,7)))),IF(Q917="드묾",4,2))))))</x:f>
        <x:v>7</x:v>
      </x:c>
      <x:c r="Z917" s="5" t="inlineStr">
        <x:is>
          <x:t xml:space="preserve">#cobblemon:is_forest; #cobblemon:is_freshwater; #cobblemon:is_grassland; #cobblemon:is_jungle; #cobblemon:is_river</x:t>
        </x:is>
      </x:c>
      <x:c r="AA917" s="5" t="inlineStr">
        <x:is>
          <x:t xml:space="preserve">ultra-rare</x:t>
        </x:is>
      </x:c>
      <x:c r="AB917" s="5" t="inlineStr">
        <x:is>
          <x:t xml:space="preserve">예</x:t>
        </x:is>
      </x:c>
      <x:c r="AC917" s="8" t="str">
        <x:f>IF(T917&lt;&gt;"","수동확정",IF(X917="검토필요","검토필요",IF(S917="","원본없음","초기완료")))</x:f>
        <x:v>초기완료</x:v>
      </x:c>
      <x:c r="AD917" s="7" t="inlineStr">
        <x:is>
          <x:t xml:space="preserve"/>
        </x:is>
      </x:c>
      <x:c r="AE917" s="5" t="inlineStr">
        <x:is>
          <x:t xml:space="preserve">.tmp/cobblemon-1.7.3-source/common/src/main/resources/data/cobblemon/species/generation9/quaxwell.json</x:t>
        </x:is>
      </x:c>
      <x:c r="AF917" s="5" t="str">
        <x:f>"생활권|"&amp;K917</x:f>
        <x:v>생활권|담수</x:v>
      </x:c>
      <x:c r="AG917" s="5" t="str">
        <x:f>"지형|"&amp;L917</x:f>
        <x:v>지형|담수</x:v>
      </x:c>
      <x:c r="AH917" s="5" t="str">
        <x:f>"온도|"&amp;M917</x:f>
        <x:v>온도|온대</x:v>
      </x:c>
      <x:c r="AI917" s="5" t="str">
        <x:f>"습도|"&amp;N917</x:f>
        <x:v>습도|수중</x:v>
      </x:c>
      <x:c r="AJ917" s="5" t="str">
        <x:f>"날씨|"&amp;O917</x:f>
        <x:v>날씨|비</x:v>
      </x:c>
      <x:c r="AK917" s="5" t="str">
        <x:f>"특수태그|"&amp;R917</x:f>
        <x:v>특수태그|없음</x:v>
      </x:c>
      <x:c r="AL917" s="5" t="str">
        <x:f>"원본서식지|"&amp;S917</x:f>
        <x:v>원본서식지|담수</x:v>
      </x:c>
      <x:c r="AM917" s="5" t="str">
        <x:f>"타입|"&amp;F917</x:f>
        <x:v>타입|물</x:v>
      </x:c>
      <x:c r="AN917" s="5" t="str">
        <x:f>"타입|"&amp;G917</x:f>
        <x:v>타입|</x:v>
      </x:c>
    </x:row>
    <x:row r="918" ht="24" customHeight="1">
      <x:c r="A918" s="5" t="n">
        <x:v>914</x:v>
      </x:c>
      <x:c r="B918" s="5" t="inlineStr">
        <x:is>
          <x:t xml:space="preserve">웨이니발</x:t>
        </x:is>
      </x:c>
      <x:c r="C918" s="5" t="inlineStr">
        <x:is>
          <x:t xml:space="preserve">quaquaval</x:t>
        </x:is>
      </x:c>
      <x:c r="D918" s="5" t="inlineStr">
        <x:is>
          <x:t xml:space="preserve">Quaquaval</x:t>
        </x:is>
      </x:c>
      <x:c r="E918" s="5" t="n">
        <x:v>9</x:v>
      </x:c>
      <x:c r="F918" s="5" t="inlineStr">
        <x:is>
          <x:t xml:space="preserve">물</x:t>
        </x:is>
      </x:c>
      <x:c r="G918" s="5" t="inlineStr">
        <x:is>
          <x:t xml:space="preserve">격투</x:t>
        </x:is>
      </x:c>
      <x:c r="H918" s="6" t="n">
        <x:v>61.9</x:v>
      </x:c>
      <x:c r="I918" s="5" t="n">
        <x:v>36</x:v>
      </x:c>
      <x:c r="J918" s="5" t="inlineStr">
        <x:is>
          <x:t xml:space="preserve">최종</x:t>
        </x:is>
      </x:c>
      <x:c r="K918" s="7" t="inlineStr">
        <x:is>
          <x:t xml:space="preserve">담수</x:t>
        </x:is>
      </x:c>
      <x:c r="L918" s="7" t="inlineStr">
        <x:is>
          <x:t xml:space="preserve">담수</x:t>
        </x:is>
      </x:c>
      <x:c r="M918" s="7" t="inlineStr">
        <x:is>
          <x:t xml:space="preserve">온대</x:t>
        </x:is>
      </x:c>
      <x:c r="N918" s="7" t="inlineStr">
        <x:is>
          <x:t xml:space="preserve">수중</x:t>
        </x:is>
      </x:c>
      <x:c r="O918" s="7" t="inlineStr">
        <x:is>
          <x:t xml:space="preserve">비</x:t>
        </x:is>
      </x:c>
      <x:c r="P918" s="7" t="inlineStr">
        <x:is>
          <x:t xml:space="preserve">무관</x:t>
        </x:is>
      </x:c>
      <x:c r="Q918" s="7" t="inlineStr">
        <x:is>
          <x:t xml:space="preserve">희귀</x:t>
        </x:is>
      </x:c>
      <x:c r="R918" s="7" t="inlineStr">
        <x:is>
          <x:t xml:space="preserve">없음</x:t>
        </x:is>
      </x:c>
      <x:c r="S918" s="7" t="inlineStr">
        <x:is>
          <x:t xml:space="preserve">담수</x:t>
        </x:is>
      </x:c>
      <x:c r="T918" s="7" t="inlineStr">
        <x:is>
          <x:t xml:space="preserve"/>
        </x:is>
      </x:c>
      <x:c r="U918" s="8" t="str">
        <x:f>INDEX('서식지_점수'!$E$4:$P$4,1,MATCH(MAX('서식지_점수'!E918:P918),'서식지_점수'!E918:P918,0))</x:f>
        <x:v>담수</x:v>
      </x:c>
      <x:c r="V918" s="8" t="str">
        <x:f>IF(T918&lt;&gt;"",T918,U918)</x:f>
        <x:v>담수</x:v>
      </x:c>
      <x:c r="W918" s="8" t="str">
        <x:f>IFERROR(INDEX('서식지_점수'!$E$4:$P$4,1,MATCH(MAXIFS('서식지_점수'!E918:P918,'서식지_점수'!E918:P918,"&lt;"&amp;MAX('서식지_점수'!E918:P918)),'서식지_점수'!E918:P918,0)),"")</x:f>
        <x:v>습지</x:v>
      </x:c>
      <x:c r="X918" s="8" t="str">
        <x:f>IF(T918&lt;&gt;"","수동확정",IF(MAX('서식지_점수'!E918:P918)-LARGE('서식지_점수'!E918:P918,2)&gt;=15,"높음",IF(MAX('서식지_점수'!E918:P918)-LARGE('서식지_점수'!E918:P918,2)&gt;=8,"보통","검토필요")))</x:f>
        <x:v>높음</x:v>
      </x:c>
      <x:c r="Y918" s="9" t="n">
        <x:f>IF(Q918="전설",8,IF(Q918="희귀",7,IF(J918="기본",1,IF(J918="중간",3,IF(J918="최종",IF(I918="",5,IF(I918&lt;=20,3,IF(I918&lt;=35,4,IF(I918&lt;=50,6,7)))),IF(Q918="드묾",4,2))))))</x:f>
        <x:v>7</x:v>
      </x:c>
      <x:c r="Z918" s="5" t="inlineStr">
        <x:is>
          <x:t xml:space="preserve">#cobblemon:is_forest; #cobblemon:is_freshwater; #cobblemon:is_grassland; #cobblemon:is_jungle; #cobblemon:is_river</x:t>
        </x:is>
      </x:c>
      <x:c r="AA918" s="5" t="inlineStr">
        <x:is>
          <x:t xml:space="preserve">ultra-rare</x:t>
        </x:is>
      </x:c>
      <x:c r="AB918" s="5" t="inlineStr">
        <x:is>
          <x:t xml:space="preserve">예</x:t>
        </x:is>
      </x:c>
      <x:c r="AC918" s="8" t="str">
        <x:f>IF(T918&lt;&gt;"","수동확정",IF(X918="검토필요","검토필요",IF(S918="","원본없음","초기완료")))</x:f>
        <x:v>초기완료</x:v>
      </x:c>
      <x:c r="AD918" s="7" t="inlineStr">
        <x:is>
          <x:t xml:space="preserve"/>
        </x:is>
      </x:c>
      <x:c r="AE918" s="5" t="inlineStr">
        <x:is>
          <x:t xml:space="preserve">.tmp/cobblemon-1.7.3-source/common/src/main/resources/data/cobblemon/species/generation9/quaquaval.json</x:t>
        </x:is>
      </x:c>
      <x:c r="AF918" s="5" t="str">
        <x:f>"생활권|"&amp;K918</x:f>
        <x:v>생활권|담수</x:v>
      </x:c>
      <x:c r="AG918" s="5" t="str">
        <x:f>"지형|"&amp;L918</x:f>
        <x:v>지형|담수</x:v>
      </x:c>
      <x:c r="AH918" s="5" t="str">
        <x:f>"온도|"&amp;M918</x:f>
        <x:v>온도|온대</x:v>
      </x:c>
      <x:c r="AI918" s="5" t="str">
        <x:f>"습도|"&amp;N918</x:f>
        <x:v>습도|수중</x:v>
      </x:c>
      <x:c r="AJ918" s="5" t="str">
        <x:f>"날씨|"&amp;O918</x:f>
        <x:v>날씨|비</x:v>
      </x:c>
      <x:c r="AK918" s="5" t="str">
        <x:f>"특수태그|"&amp;R918</x:f>
        <x:v>특수태그|없음</x:v>
      </x:c>
      <x:c r="AL918" s="5" t="str">
        <x:f>"원본서식지|"&amp;S918</x:f>
        <x:v>원본서식지|담수</x:v>
      </x:c>
      <x:c r="AM918" s="5" t="str">
        <x:f>"타입|"&amp;F918</x:f>
        <x:v>타입|물</x:v>
      </x:c>
      <x:c r="AN918" s="5" t="str">
        <x:f>"타입|"&amp;G918</x:f>
        <x:v>타입|격투</x:v>
      </x:c>
    </x:row>
    <x:row r="919" ht="24" customHeight="1">
      <x:c r="A919" s="5" t="n">
        <x:v>915</x:v>
      </x:c>
      <x:c r="B919" s="5" t="inlineStr">
        <x:is>
          <x:t xml:space="preserve">맛보돈</x:t>
        </x:is>
      </x:c>
      <x:c r="C919" s="5" t="inlineStr">
        <x:is>
          <x:t xml:space="preserve">lechonk</x:t>
        </x:is>
      </x:c>
      <x:c r="D919" s="5" t="inlineStr">
        <x:is>
          <x:t xml:space="preserve">Lechonk</x:t>
        </x:is>
      </x:c>
      <x:c r="E919" s="5" t="n">
        <x:v>9</x:v>
      </x:c>
      <x:c r="F919" s="5" t="inlineStr">
        <x:is>
          <x:t xml:space="preserve">노말</x:t>
        </x:is>
      </x:c>
      <x:c r="G919" s="5" t="inlineStr">
        <x:is>
          <x:t xml:space="preserve"/>
        </x:is>
      </x:c>
      <x:c r="H919" s="6" t="n">
        <x:v>10.2</x:v>
      </x:c>
      <x:c r="I919" s="5" t="n">
        <x:v>18</x:v>
      </x:c>
      <x:c r="J919" s="5" t="inlineStr">
        <x:is>
          <x:t xml:space="preserve">기본</x:t>
        </x:is>
      </x:c>
      <x:c r="K919" s="7" t="inlineStr">
        <x:is>
          <x:t xml:space="preserve">육상</x:t>
        </x:is>
      </x:c>
      <x:c r="L919" s="7" t="inlineStr">
        <x:is>
          <x:t xml:space="preserve">습지</x:t>
        </x:is>
      </x:c>
      <x:c r="M919" s="7" t="inlineStr">
        <x:is>
          <x:t xml:space="preserve">온대</x:t>
        </x:is>
      </x:c>
      <x:c r="N919" s="7" t="inlineStr">
        <x:is>
          <x:t xml:space="preserve">다습</x:t>
        </x:is>
      </x:c>
      <x:c r="O919" s="7" t="inlineStr">
        <x:is>
          <x:t xml:space="preserve">비</x:t>
        </x:is>
      </x:c>
      <x:c r="P919" s="7" t="inlineStr">
        <x:is>
          <x:t xml:space="preserve">무관</x:t>
        </x:is>
      </x:c>
      <x:c r="Q919" s="7" t="inlineStr">
        <x:is>
          <x:t xml:space="preserve">흔함</x:t>
        </x:is>
      </x:c>
      <x:c r="R919" s="7" t="inlineStr">
        <x:is>
          <x:t xml:space="preserve">없음</x:t>
        </x:is>
      </x:c>
      <x:c r="S919" s="7" t="inlineStr">
        <x:is>
          <x:t xml:space="preserve">습지</x:t>
        </x:is>
      </x:c>
      <x:c r="T919" s="7" t="inlineStr">
        <x:is>
          <x:t xml:space="preserve"/>
        </x:is>
      </x:c>
      <x:c r="U919" s="8" t="str">
        <x:f>INDEX('서식지_점수'!$E$4:$P$4,1,MATCH(MAX('서식지_점수'!E919:P919),'서식지_점수'!E919:P919,0))</x:f>
        <x:v>평원</x:v>
      </x:c>
      <x:c r="V919" s="8" t="str">
        <x:f>IF(T919&lt;&gt;"",T919,U919)</x:f>
        <x:v>평원</x:v>
      </x:c>
      <x:c r="W919" s="8" t="str">
        <x:f>IFERROR(INDEX('서식지_점수'!$E$4:$P$4,1,MATCH(MAXIFS('서식지_점수'!E919:P919,'서식지_점수'!E919:P919,"&lt;"&amp;MAX('서식지_점수'!E919:P919)),'서식지_점수'!E919:P919,0)),"")</x:f>
        <x:v>숲</x:v>
      </x:c>
      <x:c r="X919" s="8" t="str">
        <x:f>IF(T919&lt;&gt;"","수동확정",IF(MAX('서식지_점수'!E919:P919)-LARGE('서식지_점수'!E919:P919,2)&gt;=15,"높음",IF(MAX('서식지_점수'!E919:P919)-LARGE('서식지_점수'!E919:P919,2)&gt;=8,"보통","검토필요")))</x:f>
        <x:v>검토필요</x:v>
      </x:c>
      <x:c r="Y919" s="9" t="n">
        <x:f>IF(Q919="전설",8,IF(Q919="희귀",7,IF(J919="기본",1,IF(J919="중간",3,IF(J919="최종",IF(I919="",5,IF(I919&lt;=20,3,IF(I919&lt;=35,4,IF(I919&lt;=50,6,7)))),IF(Q919="드묾",4,2))))))</x:f>
        <x:v>1</x:v>
      </x:c>
      <x:c r="Z919" s="5" t="inlineStr">
        <x:is>
          <x:t xml:space="preserve">#cobblemon:is_mushroom; #cobblemon:is_swamp; #cobblemon:is_temperate</x:t>
        </x:is>
      </x:c>
      <x:c r="AA919" s="5" t="inlineStr">
        <x:is>
          <x:t xml:space="preserve">common</x:t>
        </x:is>
      </x:c>
      <x:c r="AB919" s="5" t="inlineStr">
        <x:is>
          <x:t xml:space="preserve">예</x:t>
        </x:is>
      </x:c>
      <x:c r="AC919" s="8" t="str">
        <x:f>IF(T919&lt;&gt;"","수동확정",IF(X919="검토필요","검토필요",IF(S919="","원본없음","초기완료")))</x:f>
        <x:v>검토필요</x:v>
      </x:c>
      <x:c r="AD919" s="7" t="inlineStr">
        <x:is>
          <x:t xml:space="preserve"/>
        </x:is>
      </x:c>
      <x:c r="AE919" s="5" t="inlineStr">
        <x:is>
          <x:t xml:space="preserve">.tmp/cobblemon-1.7.3-source/common/src/main/resources/data/cobblemon/species/generation9/lechonk.json</x:t>
        </x:is>
      </x:c>
      <x:c r="AF919" s="5" t="str">
        <x:f>"생활권|"&amp;K919</x:f>
        <x:v>생활권|육상</x:v>
      </x:c>
      <x:c r="AG919" s="5" t="str">
        <x:f>"지형|"&amp;L919</x:f>
        <x:v>지형|습지</x:v>
      </x:c>
      <x:c r="AH919" s="5" t="str">
        <x:f>"온도|"&amp;M919</x:f>
        <x:v>온도|온대</x:v>
      </x:c>
      <x:c r="AI919" s="5" t="str">
        <x:f>"습도|"&amp;N919</x:f>
        <x:v>습도|다습</x:v>
      </x:c>
      <x:c r="AJ919" s="5" t="str">
        <x:f>"날씨|"&amp;O919</x:f>
        <x:v>날씨|비</x:v>
      </x:c>
      <x:c r="AK919" s="5" t="str">
        <x:f>"특수태그|"&amp;R919</x:f>
        <x:v>특수태그|없음</x:v>
      </x:c>
      <x:c r="AL919" s="5" t="str">
        <x:f>"원본서식지|"&amp;S919</x:f>
        <x:v>원본서식지|습지</x:v>
      </x:c>
      <x:c r="AM919" s="5" t="str">
        <x:f>"타입|"&amp;F919</x:f>
        <x:v>타입|노말</x:v>
      </x:c>
      <x:c r="AN919" s="5" t="str">
        <x:f>"타입|"&amp;G919</x:f>
        <x:v>타입|</x:v>
      </x:c>
    </x:row>
    <x:row r="920" ht="24" customHeight="1">
      <x:c r="A920" s="5" t="n">
        <x:v>916</x:v>
      </x:c>
      <x:c r="B920" s="5" t="inlineStr">
        <x:is>
          <x:t xml:space="preserve">퍼퓨돈</x:t>
        </x:is>
      </x:c>
      <x:c r="C920" s="5" t="inlineStr">
        <x:is>
          <x:t xml:space="preserve">oinkologne</x:t>
        </x:is>
      </x:c>
      <x:c r="D920" s="5" t="inlineStr">
        <x:is>
          <x:t xml:space="preserve">Oinkologne</x:t>
        </x:is>
      </x:c>
      <x:c r="E920" s="5" t="n">
        <x:v>9</x:v>
      </x:c>
      <x:c r="F920" s="5" t="inlineStr">
        <x:is>
          <x:t xml:space="preserve">노말</x:t>
        </x:is>
      </x:c>
      <x:c r="G920" s="5" t="inlineStr">
        <x:is>
          <x:t xml:space="preserve"/>
        </x:is>
      </x:c>
      <x:c r="H920" s="6" t="n">
        <x:v>120</x:v>
      </x:c>
      <x:c r="I920" s="5" t="n">
        <x:v>18</x:v>
      </x:c>
      <x:c r="J920" s="5" t="inlineStr">
        <x:is>
          <x:t xml:space="preserve">최종</x:t>
        </x:is>
      </x:c>
      <x:c r="K920" s="7" t="inlineStr">
        <x:is>
          <x:t xml:space="preserve">육상</x:t>
        </x:is>
      </x:c>
      <x:c r="L920" s="7" t="inlineStr">
        <x:is>
          <x:t xml:space="preserve">습지</x:t>
        </x:is>
      </x:c>
      <x:c r="M920" s="7" t="inlineStr">
        <x:is>
          <x:t xml:space="preserve">온대</x:t>
        </x:is>
      </x:c>
      <x:c r="N920" s="7" t="inlineStr">
        <x:is>
          <x:t xml:space="preserve">다습</x:t>
        </x:is>
      </x:c>
      <x:c r="O920" s="7" t="inlineStr">
        <x:is>
          <x:t xml:space="preserve">비</x:t>
        </x:is>
      </x:c>
      <x:c r="P920" s="7" t="inlineStr">
        <x:is>
          <x:t xml:space="preserve">무관</x:t>
        </x:is>
      </x:c>
      <x:c r="Q920" s="7" t="inlineStr">
        <x:is>
          <x:t xml:space="preserve">흔함</x:t>
        </x:is>
      </x:c>
      <x:c r="R920" s="7" t="inlineStr">
        <x:is>
          <x:t xml:space="preserve">없음</x:t>
        </x:is>
      </x:c>
      <x:c r="S920" s="7" t="inlineStr">
        <x:is>
          <x:t xml:space="preserve">습지</x:t>
        </x:is>
      </x:c>
      <x:c r="T920" s="7" t="inlineStr">
        <x:is>
          <x:t xml:space="preserve"/>
        </x:is>
      </x:c>
      <x:c r="U920" s="8" t="str">
        <x:f>INDEX('서식지_점수'!$E$4:$P$4,1,MATCH(MAX('서식지_점수'!E920:P920),'서식지_점수'!E920:P920,0))</x:f>
        <x:v>평원</x:v>
      </x:c>
      <x:c r="V920" s="8" t="str">
        <x:f>IF(T920&lt;&gt;"",T920,U920)</x:f>
        <x:v>평원</x:v>
      </x:c>
      <x:c r="W920" s="8" t="str">
        <x:f>IFERROR(INDEX('서식지_점수'!$E$4:$P$4,1,MATCH(MAXIFS('서식지_점수'!E920:P920,'서식지_점수'!E920:P920,"&lt;"&amp;MAX('서식지_점수'!E920:P920)),'서식지_점수'!E920:P920,0)),"")</x:f>
        <x:v>숲</x:v>
      </x:c>
      <x:c r="X920" s="8" t="str">
        <x:f>IF(T920&lt;&gt;"","수동확정",IF(MAX('서식지_점수'!E920:P920)-LARGE('서식지_점수'!E920:P920,2)&gt;=15,"높음",IF(MAX('서식지_점수'!E920:P920)-LARGE('서식지_점수'!E920:P920,2)&gt;=8,"보통","검토필요")))</x:f>
        <x:v>검토필요</x:v>
      </x:c>
      <x:c r="Y920" s="9" t="n">
        <x:f>IF(Q920="전설",8,IF(Q920="희귀",7,IF(J920="기본",1,IF(J920="중간",3,IF(J920="최종",IF(I920="",5,IF(I920&lt;=20,3,IF(I920&lt;=35,4,IF(I920&lt;=50,6,7)))),IF(Q920="드묾",4,2))))))</x:f>
        <x:v>3</x:v>
      </x:c>
      <x:c r="Z920" s="5" t="inlineStr">
        <x:is>
          <x:t xml:space="preserve">#cobblemon:is_mushroom; #cobblemon:is_swamp; #cobblemon:is_temperate</x:t>
        </x:is>
      </x:c>
      <x:c r="AA920" s="5" t="inlineStr">
        <x:is>
          <x:t xml:space="preserve">common</x:t>
        </x:is>
      </x:c>
      <x:c r="AB920" s="5" t="inlineStr">
        <x:is>
          <x:t xml:space="preserve">예</x:t>
        </x:is>
      </x:c>
      <x:c r="AC920" s="8" t="str">
        <x:f>IF(T920&lt;&gt;"","수동확정",IF(X920="검토필요","검토필요",IF(S920="","원본없음","초기완료")))</x:f>
        <x:v>검토필요</x:v>
      </x:c>
      <x:c r="AD920" s="7" t="inlineStr">
        <x:is>
          <x:t xml:space="preserve"/>
        </x:is>
      </x:c>
      <x:c r="AE920" s="5" t="inlineStr">
        <x:is>
          <x:t xml:space="preserve">.tmp/cobblemon-1.7.3-source/common/src/main/resources/data/cobblemon/species/generation9/oinkologne.json</x:t>
        </x:is>
      </x:c>
      <x:c r="AF920" s="5" t="str">
        <x:f>"생활권|"&amp;K920</x:f>
        <x:v>생활권|육상</x:v>
      </x:c>
      <x:c r="AG920" s="5" t="str">
        <x:f>"지형|"&amp;L920</x:f>
        <x:v>지형|습지</x:v>
      </x:c>
      <x:c r="AH920" s="5" t="str">
        <x:f>"온도|"&amp;M920</x:f>
        <x:v>온도|온대</x:v>
      </x:c>
      <x:c r="AI920" s="5" t="str">
        <x:f>"습도|"&amp;N920</x:f>
        <x:v>습도|다습</x:v>
      </x:c>
      <x:c r="AJ920" s="5" t="str">
        <x:f>"날씨|"&amp;O920</x:f>
        <x:v>날씨|비</x:v>
      </x:c>
      <x:c r="AK920" s="5" t="str">
        <x:f>"특수태그|"&amp;R920</x:f>
        <x:v>특수태그|없음</x:v>
      </x:c>
      <x:c r="AL920" s="5" t="str">
        <x:f>"원본서식지|"&amp;S920</x:f>
        <x:v>원본서식지|습지</x:v>
      </x:c>
      <x:c r="AM920" s="5" t="str">
        <x:f>"타입|"&amp;F920</x:f>
        <x:v>타입|노말</x:v>
      </x:c>
      <x:c r="AN920" s="5" t="str">
        <x:f>"타입|"&amp;G920</x:f>
        <x:v>타입|</x:v>
      </x:c>
    </x:row>
    <x:row r="921" ht="24" customHeight="1">
      <x:c r="A921" s="5" t="n">
        <x:v>917</x:v>
      </x:c>
      <x:c r="B921" s="5" t="inlineStr">
        <x:is>
          <x:t xml:space="preserve">타랜툴라</x:t>
        </x:is>
      </x:c>
      <x:c r="C921" s="5" t="inlineStr">
        <x:is>
          <x:t xml:space="preserve">tarountula</x:t>
        </x:is>
      </x:c>
      <x:c r="D921" s="5" t="inlineStr">
        <x:is>
          <x:t xml:space="preserve">Tarountula</x:t>
        </x:is>
      </x:c>
      <x:c r="E921" s="5" t="n">
        <x:v>9</x:v>
      </x:c>
      <x:c r="F921" s="5" t="inlineStr">
        <x:is>
          <x:t xml:space="preserve">벌레</x:t>
        </x:is>
      </x:c>
      <x:c r="G921" s="5" t="inlineStr">
        <x:is>
          <x:t xml:space="preserve"/>
        </x:is>
      </x:c>
      <x:c r="H921" s="6" t="n">
        <x:v>4</x:v>
      </x:c>
      <x:c r="I921" s="5" t="n">
        <x:v>15</x:v>
      </x:c>
      <x:c r="J921" s="5" t="inlineStr">
        <x:is>
          <x:t xml:space="preserve">기본</x:t>
        </x:is>
      </x:c>
      <x:c r="K921" s="7" t="inlineStr">
        <x:is>
          <x:t xml:space="preserve">육상</x:t>
        </x:is>
      </x:c>
      <x:c r="L921" s="7" t="inlineStr">
        <x:is>
          <x:t xml:space="preserve">수목</x:t>
        </x:is>
      </x:c>
      <x:c r="M921" s="7" t="inlineStr">
        <x:is>
          <x:t xml:space="preserve">온대</x:t>
        </x:is>
      </x:c>
      <x:c r="N921" s="7" t="inlineStr">
        <x:is>
          <x:t xml:space="preserve">다습</x:t>
        </x:is>
      </x:c>
      <x:c r="O921" s="7" t="inlineStr">
        <x:is>
          <x:t xml:space="preserve">무관</x:t>
        </x:is>
      </x:c>
      <x:c r="P921" s="7" t="inlineStr">
        <x:is>
          <x:t xml:space="preserve">무관</x:t>
        </x:is>
      </x:c>
      <x:c r="Q921" s="7" t="inlineStr">
        <x:is>
          <x:t xml:space="preserve">흔함</x:t>
        </x:is>
      </x:c>
      <x:c r="R921" s="7" t="inlineStr">
        <x:is>
          <x:t xml:space="preserve">없음</x:t>
        </x:is>
      </x:c>
      <x:c r="S921" s="7" t="inlineStr">
        <x:is>
          <x:t xml:space="preserve">숲</x:t>
        </x:is>
      </x:c>
      <x:c r="T921" s="7" t="inlineStr">
        <x:is>
          <x:t xml:space="preserve"/>
        </x:is>
      </x:c>
      <x:c r="U921" s="8" t="str">
        <x:f>INDEX('서식지_점수'!$E$4:$P$4,1,MATCH(MAX('서식지_점수'!E921:P921),'서식지_점수'!E921:P921,0))</x:f>
        <x:v>평원</x:v>
      </x:c>
      <x:c r="V921" s="8" t="str">
        <x:f>IF(T921&lt;&gt;"",T921,U921)</x:f>
        <x:v>평원</x:v>
      </x:c>
      <x:c r="W921" s="8" t="str">
        <x:f>IFERROR(INDEX('서식지_점수'!$E$4:$P$4,1,MATCH(MAXIFS('서식지_점수'!E921:P921,'서식지_점수'!E921:P921,"&lt;"&amp;MAX('서식지_점수'!E921:P921)),'서식지_점수'!E921:P921,0)),"")</x:f>
        <x:v>숲</x:v>
      </x:c>
      <x:c r="X921" s="8" t="str">
        <x:f>IF(T921&lt;&gt;"","수동확정",IF(MAX('서식지_점수'!E921:P921)-LARGE('서식지_점수'!E921:P921,2)&gt;=15,"높음",IF(MAX('서식지_점수'!E921:P921)-LARGE('서식지_점수'!E921:P921,2)&gt;=8,"보통","검토필요")))</x:f>
        <x:v>검토필요</x:v>
      </x:c>
      <x:c r="Y921" s="9" t="n">
        <x:f>IF(Q921="전설",8,IF(Q921="희귀",7,IF(J921="기본",1,IF(J921="중간",3,IF(J921="최종",IF(I921="",5,IF(I921&lt;=20,3,IF(I921&lt;=35,4,IF(I921&lt;=50,6,7)))),IF(Q921="드묾",4,2))))))</x:f>
        <x:v>1</x:v>
      </x:c>
      <x:c r="Z921" s="5" t="inlineStr">
        <x:is>
          <x:t xml:space="preserve">#cobblemon:is_forest; #cobblemon:is_jungle; #cobblemon:is_swamp</x:t>
        </x:is>
      </x:c>
      <x:c r="AA921" s="5" t="inlineStr">
        <x:is>
          <x:t xml:space="preserve">common</x:t>
        </x:is>
      </x:c>
      <x:c r="AB921" s="5" t="inlineStr">
        <x:is>
          <x:t xml:space="preserve">예</x:t>
        </x:is>
      </x:c>
      <x:c r="AC921" s="8" t="str">
        <x:f>IF(T921&lt;&gt;"","수동확정",IF(X921="검토필요","검토필요",IF(S921="","원본없음","초기완료")))</x:f>
        <x:v>검토필요</x:v>
      </x:c>
      <x:c r="AD921" s="7" t="inlineStr">
        <x:is>
          <x:t xml:space="preserve"/>
        </x:is>
      </x:c>
      <x:c r="AE921" s="5" t="inlineStr">
        <x:is>
          <x:t xml:space="preserve">.tmp/cobblemon-1.7.3-source/common/src/main/resources/data/cobblemon/species/generation9/tarountula.json</x:t>
        </x:is>
      </x:c>
      <x:c r="AF921" s="5" t="str">
        <x:f>"생활권|"&amp;K921</x:f>
        <x:v>생활권|육상</x:v>
      </x:c>
      <x:c r="AG921" s="5" t="str">
        <x:f>"지형|"&amp;L921</x:f>
        <x:v>지형|수목</x:v>
      </x:c>
      <x:c r="AH921" s="5" t="str">
        <x:f>"온도|"&amp;M921</x:f>
        <x:v>온도|온대</x:v>
      </x:c>
      <x:c r="AI921" s="5" t="str">
        <x:f>"습도|"&amp;N921</x:f>
        <x:v>습도|다습</x:v>
      </x:c>
      <x:c r="AJ921" s="5" t="str">
        <x:f>"날씨|"&amp;O921</x:f>
        <x:v>날씨|무관</x:v>
      </x:c>
      <x:c r="AK921" s="5" t="str">
        <x:f>"특수태그|"&amp;R921</x:f>
        <x:v>특수태그|없음</x:v>
      </x:c>
      <x:c r="AL921" s="5" t="str">
        <x:f>"원본서식지|"&amp;S921</x:f>
        <x:v>원본서식지|숲</x:v>
      </x:c>
      <x:c r="AM921" s="5" t="str">
        <x:f>"타입|"&amp;F921</x:f>
        <x:v>타입|벌레</x:v>
      </x:c>
      <x:c r="AN921" s="5" t="str">
        <x:f>"타입|"&amp;G921</x:f>
        <x:v>타입|</x:v>
      </x:c>
    </x:row>
    <x:row r="922" ht="24" customHeight="1">
      <x:c r="A922" s="5" t="n">
        <x:v>918</x:v>
      </x:c>
      <x:c r="B922" s="5" t="inlineStr">
        <x:is>
          <x:t xml:space="preserve">트래피더</x:t>
        </x:is>
      </x:c>
      <x:c r="C922" s="5" t="inlineStr">
        <x:is>
          <x:t xml:space="preserve">spidops</x:t>
        </x:is>
      </x:c>
      <x:c r="D922" s="5" t="inlineStr">
        <x:is>
          <x:t xml:space="preserve">Spidops</x:t>
        </x:is>
      </x:c>
      <x:c r="E922" s="5" t="n">
        <x:v>9</x:v>
      </x:c>
      <x:c r="F922" s="5" t="inlineStr">
        <x:is>
          <x:t xml:space="preserve">벌레</x:t>
        </x:is>
      </x:c>
      <x:c r="G922" s="5" t="inlineStr">
        <x:is>
          <x:t xml:space="preserve"/>
        </x:is>
      </x:c>
      <x:c r="H922" s="6" t="n">
        <x:v>16.5</x:v>
      </x:c>
      <x:c r="I922" s="5" t="n">
        <x:v>15</x:v>
      </x:c>
      <x:c r="J922" s="5" t="inlineStr">
        <x:is>
          <x:t xml:space="preserve">최종</x:t>
        </x:is>
      </x:c>
      <x:c r="K922" s="7" t="inlineStr">
        <x:is>
          <x:t xml:space="preserve">육상</x:t>
        </x:is>
      </x:c>
      <x:c r="L922" s="7" t="inlineStr">
        <x:is>
          <x:t xml:space="preserve">수목</x:t>
        </x:is>
      </x:c>
      <x:c r="M922" s="7" t="inlineStr">
        <x:is>
          <x:t xml:space="preserve">온대</x:t>
        </x:is>
      </x:c>
      <x:c r="N922" s="7" t="inlineStr">
        <x:is>
          <x:t xml:space="preserve">다습</x:t>
        </x:is>
      </x:c>
      <x:c r="O922" s="7" t="inlineStr">
        <x:is>
          <x:t xml:space="preserve">무관</x:t>
        </x:is>
      </x:c>
      <x:c r="P922" s="7" t="inlineStr">
        <x:is>
          <x:t xml:space="preserve">무관</x:t>
        </x:is>
      </x:c>
      <x:c r="Q922" s="7" t="inlineStr">
        <x:is>
          <x:t xml:space="preserve">흔함</x:t>
        </x:is>
      </x:c>
      <x:c r="R922" s="7" t="inlineStr">
        <x:is>
          <x:t xml:space="preserve">없음</x:t>
        </x:is>
      </x:c>
      <x:c r="S922" s="7" t="inlineStr">
        <x:is>
          <x:t xml:space="preserve">숲</x:t>
        </x:is>
      </x:c>
      <x:c r="T922" s="7" t="inlineStr">
        <x:is>
          <x:t xml:space="preserve"/>
        </x:is>
      </x:c>
      <x:c r="U922" s="8" t="str">
        <x:f>INDEX('서식지_점수'!$E$4:$P$4,1,MATCH(MAX('서식지_점수'!E922:P922),'서식지_점수'!E922:P922,0))</x:f>
        <x:v>평원</x:v>
      </x:c>
      <x:c r="V922" s="8" t="str">
        <x:f>IF(T922&lt;&gt;"",T922,U922)</x:f>
        <x:v>평원</x:v>
      </x:c>
      <x:c r="W922" s="8" t="str">
        <x:f>IFERROR(INDEX('서식지_점수'!$E$4:$P$4,1,MATCH(MAXIFS('서식지_점수'!E922:P922,'서식지_점수'!E922:P922,"&lt;"&amp;MAX('서식지_점수'!E922:P922)),'서식지_점수'!E922:P922,0)),"")</x:f>
        <x:v>숲</x:v>
      </x:c>
      <x:c r="X922" s="8" t="str">
        <x:f>IF(T922&lt;&gt;"","수동확정",IF(MAX('서식지_점수'!E922:P922)-LARGE('서식지_점수'!E922:P922,2)&gt;=15,"높음",IF(MAX('서식지_점수'!E922:P922)-LARGE('서식지_점수'!E922:P922,2)&gt;=8,"보통","검토필요")))</x:f>
        <x:v>검토필요</x:v>
      </x:c>
      <x:c r="Y922" s="9" t="n">
        <x:f>IF(Q922="전설",8,IF(Q922="희귀",7,IF(J922="기본",1,IF(J922="중간",3,IF(J922="최종",IF(I922="",5,IF(I922&lt;=20,3,IF(I922&lt;=35,4,IF(I922&lt;=50,6,7)))),IF(Q922="드묾",4,2))))))</x:f>
        <x:v>3</x:v>
      </x:c>
      <x:c r="Z922" s="5" t="inlineStr">
        <x:is>
          <x:t xml:space="preserve">#cobblemon:is_forest; #cobblemon:is_jungle; #cobblemon:is_swamp</x:t>
        </x:is>
      </x:c>
      <x:c r="AA922" s="5" t="inlineStr">
        <x:is>
          <x:t xml:space="preserve">common</x:t>
        </x:is>
      </x:c>
      <x:c r="AB922" s="5" t="inlineStr">
        <x:is>
          <x:t xml:space="preserve">예</x:t>
        </x:is>
      </x:c>
      <x:c r="AC922" s="8" t="str">
        <x:f>IF(T922&lt;&gt;"","수동확정",IF(X922="검토필요","검토필요",IF(S922="","원본없음","초기완료")))</x:f>
        <x:v>검토필요</x:v>
      </x:c>
      <x:c r="AD922" s="7" t="inlineStr">
        <x:is>
          <x:t xml:space="preserve"/>
        </x:is>
      </x:c>
      <x:c r="AE922" s="5" t="inlineStr">
        <x:is>
          <x:t xml:space="preserve">.tmp/cobblemon-1.7.3-source/common/src/main/resources/data/cobblemon/species/generation9/spidops.json</x:t>
        </x:is>
      </x:c>
      <x:c r="AF922" s="5" t="str">
        <x:f>"생활권|"&amp;K922</x:f>
        <x:v>생활권|육상</x:v>
      </x:c>
      <x:c r="AG922" s="5" t="str">
        <x:f>"지형|"&amp;L922</x:f>
        <x:v>지형|수목</x:v>
      </x:c>
      <x:c r="AH922" s="5" t="str">
        <x:f>"온도|"&amp;M922</x:f>
        <x:v>온도|온대</x:v>
      </x:c>
      <x:c r="AI922" s="5" t="str">
        <x:f>"습도|"&amp;N922</x:f>
        <x:v>습도|다습</x:v>
      </x:c>
      <x:c r="AJ922" s="5" t="str">
        <x:f>"날씨|"&amp;O922</x:f>
        <x:v>날씨|무관</x:v>
      </x:c>
      <x:c r="AK922" s="5" t="str">
        <x:f>"특수태그|"&amp;R922</x:f>
        <x:v>특수태그|없음</x:v>
      </x:c>
      <x:c r="AL922" s="5" t="str">
        <x:f>"원본서식지|"&amp;S922</x:f>
        <x:v>원본서식지|숲</x:v>
      </x:c>
      <x:c r="AM922" s="5" t="str">
        <x:f>"타입|"&amp;F922</x:f>
        <x:v>타입|벌레</x:v>
      </x:c>
      <x:c r="AN922" s="5" t="str">
        <x:f>"타입|"&amp;G922</x:f>
        <x:v>타입|</x:v>
      </x:c>
    </x:row>
    <x:row r="923" ht="24" customHeight="1">
      <x:c r="A923" s="5" t="n">
        <x:v>919</x:v>
      </x:c>
      <x:c r="B923" s="5" t="inlineStr">
        <x:is>
          <x:t xml:space="preserve">콩알뚜기</x:t>
        </x:is>
      </x:c>
      <x:c r="C923" s="5" t="inlineStr">
        <x:is>
          <x:t xml:space="preserve">nymble</x:t>
        </x:is>
      </x:c>
      <x:c r="D923" s="5" t="inlineStr">
        <x:is>
          <x:t xml:space="preserve">Nymble</x:t>
        </x:is>
      </x:c>
      <x:c r="E923" s="5" t="n">
        <x:v>9</x:v>
      </x:c>
      <x:c r="F923" s="5" t="inlineStr">
        <x:is>
          <x:t xml:space="preserve">벌레</x:t>
        </x:is>
      </x:c>
      <x:c r="G923" s="5" t="inlineStr">
        <x:is>
          <x:t xml:space="preserve"/>
        </x:is>
      </x:c>
      <x:c r="H923" s="6" t="n">
        <x:v>1</x:v>
      </x:c>
      <x:c r="I923" s="5" t="n">
        <x:v>24</x:v>
      </x:c>
      <x:c r="J923" s="5" t="inlineStr">
        <x:is>
          <x:t xml:space="preserve">기본</x:t>
        </x:is>
      </x:c>
      <x:c r="K923" s="7" t="inlineStr">
        <x:is>
          <x:t xml:space="preserve">육상</x:t>
        </x:is>
      </x:c>
      <x:c r="L923" s="7" t="inlineStr">
        <x:is>
          <x:t xml:space="preserve">건조</x:t>
        </x:is>
      </x:c>
      <x:c r="M923" s="7" t="inlineStr">
        <x:is>
          <x:t xml:space="preserve">고온</x:t>
        </x:is>
      </x:c>
      <x:c r="N923" s="7" t="inlineStr">
        <x:is>
          <x:t xml:space="preserve">건조</x:t>
        </x:is>
      </x:c>
      <x:c r="O923" s="7" t="inlineStr">
        <x:is>
          <x:t xml:space="preserve">맑음</x:t>
        </x:is>
      </x:c>
      <x:c r="P923" s="7" t="inlineStr">
        <x:is>
          <x:t xml:space="preserve">무관</x:t>
        </x:is>
      </x:c>
      <x:c r="Q923" s="7" t="inlineStr">
        <x:is>
          <x:t xml:space="preserve">흔함</x:t>
        </x:is>
      </x:c>
      <x:c r="R923" s="7" t="inlineStr">
        <x:is>
          <x:t xml:space="preserve">없음</x:t>
        </x:is>
      </x:c>
      <x:c r="S923" s="7" t="inlineStr">
        <x:is>
          <x:t xml:space="preserve">건조지</x:t>
        </x:is>
      </x:c>
      <x:c r="T923" s="7" t="inlineStr">
        <x:is>
          <x:t xml:space="preserve"/>
        </x:is>
      </x:c>
      <x:c r="U923" s="8" t="str">
        <x:f>INDEX('서식지_점수'!$E$4:$P$4,1,MATCH(MAX('서식지_점수'!E923:P923),'서식지_점수'!E923:P923,0))</x:f>
        <x:v>평원</x:v>
      </x:c>
      <x:c r="V923" s="8" t="str">
        <x:f>IF(T923&lt;&gt;"",T923,U923)</x:f>
        <x:v>평원</x:v>
      </x:c>
      <x:c r="W923" s="8" t="str">
        <x:f>IFERROR(INDEX('서식지_점수'!$E$4:$P$4,1,MATCH(MAXIFS('서식지_점수'!E923:P923,'서식지_점수'!E923:P923,"&lt;"&amp;MAX('서식지_점수'!E923:P923)),'서식지_점수'!E923:P923,0)),"")</x:f>
        <x:v>숲</x:v>
      </x:c>
      <x:c r="X923" s="8" t="str">
        <x:f>IF(T923&lt;&gt;"","수동확정",IF(MAX('서식지_점수'!E923:P923)-LARGE('서식지_점수'!E923:P923,2)&gt;=15,"높음",IF(MAX('서식지_점수'!E923:P923)-LARGE('서식지_점수'!E923:P923,2)&gt;=8,"보통","검토필요")))</x:f>
        <x:v>검토필요</x:v>
      </x:c>
      <x:c r="Y923" s="9" t="n">
        <x:f>IF(Q923="전설",8,IF(Q923="희귀",7,IF(J923="기본",1,IF(J923="중간",3,IF(J923="최종",IF(I923="",5,IF(I923&lt;=20,3,IF(I923&lt;=35,4,IF(I923&lt;=50,6,7)))),IF(Q923="드묾",4,2))))))</x:f>
        <x:v>1</x:v>
      </x:c>
      <x:c r="Z923" s="5" t="inlineStr">
        <x:is>
          <x:t xml:space="preserve">#cobblemon:is_badlands; #cobblemon:is_savanna</x:t>
        </x:is>
      </x:c>
      <x:c r="AA923" s="5" t="inlineStr">
        <x:is>
          <x:t xml:space="preserve">common</x:t>
        </x:is>
      </x:c>
      <x:c r="AB923" s="5" t="inlineStr">
        <x:is>
          <x:t xml:space="preserve">아니오</x:t>
        </x:is>
      </x:c>
      <x:c r="AC923" s="8" t="str">
        <x:f>IF(T923&lt;&gt;"","수동확정",IF(X923="검토필요","검토필요",IF(S923="","원본없음","초기완료")))</x:f>
        <x:v>검토필요</x:v>
      </x:c>
      <x:c r="AD923" s="7" t="inlineStr">
        <x:is>
          <x:t xml:space="preserve"/>
        </x:is>
      </x:c>
      <x:c r="AE923" s="5" t="inlineStr">
        <x:is>
          <x:t xml:space="preserve">.tmp/cobblemon-1.7.3-source/common/src/main/resources/data/cobblemon/species/generation9/nymble.json</x:t>
        </x:is>
      </x:c>
      <x:c r="AF923" s="5" t="str">
        <x:f>"생활권|"&amp;K923</x:f>
        <x:v>생활권|육상</x:v>
      </x:c>
      <x:c r="AG923" s="5" t="str">
        <x:f>"지형|"&amp;L923</x:f>
        <x:v>지형|건조</x:v>
      </x:c>
      <x:c r="AH923" s="5" t="str">
        <x:f>"온도|"&amp;M923</x:f>
        <x:v>온도|고온</x:v>
      </x:c>
      <x:c r="AI923" s="5" t="str">
        <x:f>"습도|"&amp;N923</x:f>
        <x:v>습도|건조</x:v>
      </x:c>
      <x:c r="AJ923" s="5" t="str">
        <x:f>"날씨|"&amp;O923</x:f>
        <x:v>날씨|맑음</x:v>
      </x:c>
      <x:c r="AK923" s="5" t="str">
        <x:f>"특수태그|"&amp;R923</x:f>
        <x:v>특수태그|없음</x:v>
      </x:c>
      <x:c r="AL923" s="5" t="str">
        <x:f>"원본서식지|"&amp;S923</x:f>
        <x:v>원본서식지|건조지</x:v>
      </x:c>
      <x:c r="AM923" s="5" t="str">
        <x:f>"타입|"&amp;F923</x:f>
        <x:v>타입|벌레</x:v>
      </x:c>
      <x:c r="AN923" s="5" t="str">
        <x:f>"타입|"&amp;G923</x:f>
        <x:v>타입|</x:v>
      </x:c>
    </x:row>
    <x:row r="924" ht="24" customHeight="1">
      <x:c r="A924" s="5" t="n">
        <x:v>920</x:v>
      </x:c>
      <x:c r="B924" s="5" t="inlineStr">
        <x:is>
          <x:t xml:space="preserve">엑스레그</x:t>
        </x:is>
      </x:c>
      <x:c r="C924" s="5" t="inlineStr">
        <x:is>
          <x:t xml:space="preserve">lokix</x:t>
        </x:is>
      </x:c>
      <x:c r="D924" s="5" t="inlineStr">
        <x:is>
          <x:t xml:space="preserve">Lokix</x:t>
        </x:is>
      </x:c>
      <x:c r="E924" s="5" t="n">
        <x:v>9</x:v>
      </x:c>
      <x:c r="F924" s="5" t="inlineStr">
        <x:is>
          <x:t xml:space="preserve">벌레</x:t>
        </x:is>
      </x:c>
      <x:c r="G924" s="5" t="inlineStr">
        <x:is>
          <x:t xml:space="preserve">악</x:t>
        </x:is>
      </x:c>
      <x:c r="H924" s="6" t="n">
        <x:v>17.5</x:v>
      </x:c>
      <x:c r="I924" s="5" t="n">
        <x:v>24</x:v>
      </x:c>
      <x:c r="J924" s="5" t="inlineStr">
        <x:is>
          <x:t xml:space="preserve">최종</x:t>
        </x:is>
      </x:c>
      <x:c r="K924" s="7" t="inlineStr">
        <x:is>
          <x:t xml:space="preserve">육상</x:t>
        </x:is>
      </x:c>
      <x:c r="L924" s="7" t="inlineStr">
        <x:is>
          <x:t xml:space="preserve">건조</x:t>
        </x:is>
      </x:c>
      <x:c r="M924" s="7" t="inlineStr">
        <x:is>
          <x:t xml:space="preserve">고온</x:t>
        </x:is>
      </x:c>
      <x:c r="N924" s="7" t="inlineStr">
        <x:is>
          <x:t xml:space="preserve">건조</x:t>
        </x:is>
      </x:c>
      <x:c r="O924" s="7" t="inlineStr">
        <x:is>
          <x:t xml:space="preserve">맑음</x:t>
        </x:is>
      </x:c>
      <x:c r="P924" s="7" t="inlineStr">
        <x:is>
          <x:t xml:space="preserve">밤</x:t>
        </x:is>
      </x:c>
      <x:c r="Q924" s="7" t="inlineStr">
        <x:is>
          <x:t xml:space="preserve">드묾</x:t>
        </x:is>
      </x:c>
      <x:c r="R924" s="7" t="inlineStr">
        <x:is>
          <x:t xml:space="preserve">없음</x:t>
        </x:is>
      </x:c>
      <x:c r="S924" s="7" t="inlineStr">
        <x:is>
          <x:t xml:space="preserve">건조지</x:t>
        </x:is>
      </x:c>
      <x:c r="T924" s="7" t="inlineStr">
        <x:is>
          <x:t xml:space="preserve"/>
        </x:is>
      </x:c>
      <x:c r="U924" s="8" t="str">
        <x:f>INDEX('서식지_점수'!$E$4:$P$4,1,MATCH(MAX('서식지_점수'!E924:P924),'서식지_점수'!E924:P924,0))</x:f>
        <x:v>평원</x:v>
      </x:c>
      <x:c r="V924" s="8" t="str">
        <x:f>IF(T924&lt;&gt;"",T924,U924)</x:f>
        <x:v>평원</x:v>
      </x:c>
      <x:c r="W924" s="8" t="str">
        <x:f>IFERROR(INDEX('서식지_점수'!$E$4:$P$4,1,MATCH(MAXIFS('서식지_점수'!E924:P924,'서식지_점수'!E924:P924,"&lt;"&amp;MAX('서식지_점수'!E924:P924)),'서식지_점수'!E924:P924,0)),"")</x:f>
        <x:v>숲</x:v>
      </x:c>
      <x:c r="X924" s="8" t="str">
        <x:f>IF(T924&lt;&gt;"","수동확정",IF(MAX('서식지_점수'!E924:P924)-LARGE('서식지_점수'!E924:P924,2)&gt;=15,"높음",IF(MAX('서식지_점수'!E924:P924)-LARGE('서식지_점수'!E924:P924,2)&gt;=8,"보통","검토필요")))</x:f>
        <x:v>검토필요</x:v>
      </x:c>
      <x:c r="Y924" s="9" t="n">
        <x:f>IF(Q924="전설",8,IF(Q924="희귀",7,IF(J924="기본",1,IF(J924="중간",3,IF(J924="최종",IF(I924="",5,IF(I924&lt;=20,3,IF(I924&lt;=35,4,IF(I924&lt;=50,6,7)))),IF(Q924="드묾",4,2))))))</x:f>
        <x:v>4</x:v>
      </x:c>
      <x:c r="Z924" s="5" t="inlineStr">
        <x:is>
          <x:t xml:space="preserve">#cobblemon:is_badlands; #cobblemon:is_savanna</x:t>
        </x:is>
      </x:c>
      <x:c r="AA924" s="5" t="inlineStr">
        <x:is>
          <x:t xml:space="preserve">rare</x:t>
        </x:is>
      </x:c>
      <x:c r="AB924" s="5" t="inlineStr">
        <x:is>
          <x:t xml:space="preserve">아니오</x:t>
        </x:is>
      </x:c>
      <x:c r="AC924" s="8" t="str">
        <x:f>IF(T924&lt;&gt;"","수동확정",IF(X924="검토필요","검토필요",IF(S924="","원본없음","초기완료")))</x:f>
        <x:v>검토필요</x:v>
      </x:c>
      <x:c r="AD924" s="7" t="inlineStr">
        <x:is>
          <x:t xml:space="preserve"/>
        </x:is>
      </x:c>
      <x:c r="AE924" s="5" t="inlineStr">
        <x:is>
          <x:t xml:space="preserve">.tmp/cobblemon-1.7.3-source/common/src/main/resources/data/cobblemon/species/generation9/lokix.json</x:t>
        </x:is>
      </x:c>
      <x:c r="AF924" s="5" t="str">
        <x:f>"생활권|"&amp;K924</x:f>
        <x:v>생활권|육상</x:v>
      </x:c>
      <x:c r="AG924" s="5" t="str">
        <x:f>"지형|"&amp;L924</x:f>
        <x:v>지형|건조</x:v>
      </x:c>
      <x:c r="AH924" s="5" t="str">
        <x:f>"온도|"&amp;M924</x:f>
        <x:v>온도|고온</x:v>
      </x:c>
      <x:c r="AI924" s="5" t="str">
        <x:f>"습도|"&amp;N924</x:f>
        <x:v>습도|건조</x:v>
      </x:c>
      <x:c r="AJ924" s="5" t="str">
        <x:f>"날씨|"&amp;O924</x:f>
        <x:v>날씨|맑음</x:v>
      </x:c>
      <x:c r="AK924" s="5" t="str">
        <x:f>"특수태그|"&amp;R924</x:f>
        <x:v>특수태그|없음</x:v>
      </x:c>
      <x:c r="AL924" s="5" t="str">
        <x:f>"원본서식지|"&amp;S924</x:f>
        <x:v>원본서식지|건조지</x:v>
      </x:c>
      <x:c r="AM924" s="5" t="str">
        <x:f>"타입|"&amp;F924</x:f>
        <x:v>타입|벌레</x:v>
      </x:c>
      <x:c r="AN924" s="5" t="str">
        <x:f>"타입|"&amp;G924</x:f>
        <x:v>타입|악</x:v>
      </x:c>
    </x:row>
    <x:row r="925" ht="24" customHeight="1">
      <x:c r="A925" s="5" t="n">
        <x:v>921</x:v>
      </x:c>
      <x:c r="B925" s="5" t="inlineStr">
        <x:is>
          <x:t xml:space="preserve">빠모</x:t>
        </x:is>
      </x:c>
      <x:c r="C925" s="5" t="inlineStr">
        <x:is>
          <x:t xml:space="preserve">pawmi</x:t>
        </x:is>
      </x:c>
      <x:c r="D925" s="5" t="inlineStr">
        <x:is>
          <x:t xml:space="preserve">Pawmi</x:t>
        </x:is>
      </x:c>
      <x:c r="E925" s="5" t="n">
        <x:v>9</x:v>
      </x:c>
      <x:c r="F925" s="5" t="inlineStr">
        <x:is>
          <x:t xml:space="preserve">전기</x:t>
        </x:is>
      </x:c>
      <x:c r="G925" s="5" t="inlineStr">
        <x:is>
          <x:t xml:space="preserve"/>
        </x:is>
      </x:c>
      <x:c r="H925" s="6" t="n">
        <x:v>2.5</x:v>
      </x:c>
      <x:c r="I925" s="5" t="n">
        <x:v>18</x:v>
      </x:c>
      <x:c r="J925" s="5" t="inlineStr">
        <x:is>
          <x:t xml:space="preserve">기본</x:t>
        </x:is>
      </x:c>
      <x:c r="K925" s="7" t="inlineStr">
        <x:is>
          <x:t xml:space="preserve">육상</x:t>
        </x:is>
      </x:c>
      <x:c r="L925" s="7" t="inlineStr">
        <x:is>
          <x:t xml:space="preserve">개활지</x:t>
        </x:is>
      </x:c>
      <x:c r="M925" s="7" t="inlineStr">
        <x:is>
          <x:t xml:space="preserve">온대</x:t>
        </x:is>
      </x:c>
      <x:c r="N925" s="7" t="inlineStr">
        <x:is>
          <x:t xml:space="preserve">보통</x:t>
        </x:is>
      </x:c>
      <x:c r="O925" s="7" t="inlineStr">
        <x:is>
          <x:t xml:space="preserve">무관</x:t>
        </x:is>
      </x:c>
      <x:c r="P925" s="7" t="inlineStr">
        <x:is>
          <x:t xml:space="preserve">무관</x:t>
        </x:is>
      </x:c>
      <x:c r="Q925" s="7" t="inlineStr">
        <x:is>
          <x:t xml:space="preserve">보통</x:t>
        </x:is>
      </x:c>
      <x:c r="R925" s="7" t="inlineStr">
        <x:is>
          <x:t xml:space="preserve">없음</x:t>
        </x:is>
      </x:c>
      <x:c r="S925" s="7" t="inlineStr">
        <x:is>
          <x:t xml:space="preserve">평원</x:t>
        </x:is>
      </x:c>
      <x:c r="T925" s="7" t="inlineStr">
        <x:is>
          <x:t xml:space="preserve"/>
        </x:is>
      </x:c>
      <x:c r="U925" s="8" t="str">
        <x:f>INDEX('서식지_점수'!$E$4:$P$4,1,MATCH(MAX('서식지_점수'!E925:P925),'서식지_점수'!E925:P925,0))</x:f>
        <x:v>평원</x:v>
      </x:c>
      <x:c r="V925" s="8" t="str">
        <x:f>IF(T925&lt;&gt;"",T925,U925)</x:f>
        <x:v>평원</x:v>
      </x:c>
      <x:c r="W925" s="8" t="str">
        <x:f>IFERROR(INDEX('서식지_점수'!$E$4:$P$4,1,MATCH(MAXIFS('서식지_점수'!E925:P925,'서식지_점수'!E925:P925,"&lt;"&amp;MAX('서식지_점수'!E925:P925)),'서식지_점수'!E925:P925,0)),"")</x:f>
        <x:v>숲</x:v>
      </x:c>
      <x:c r="X925" s="8" t="str">
        <x:f>IF(T925&lt;&gt;"","수동확정",IF(MAX('서식지_점수'!E925:P925)-LARGE('서식지_점수'!E925:P925,2)&gt;=15,"높음",IF(MAX('서식지_점수'!E925:P925)-LARGE('서식지_점수'!E925:P925,2)&gt;=8,"보통","검토필요")))</x:f>
        <x:v>검토필요</x:v>
      </x:c>
      <x:c r="Y925" s="9" t="n">
        <x:f>IF(Q925="전설",8,IF(Q925="희귀",7,IF(J925="기본",1,IF(J925="중간",3,IF(J925="최종",IF(I925="",5,IF(I925&lt;=20,3,IF(I925&lt;=35,4,IF(I925&lt;=50,6,7)))),IF(Q925="드묾",4,2))))))</x:f>
        <x:v>1</x:v>
      </x:c>
      <x:c r="Z925" s="5" t="inlineStr">
        <x:is>
          <x:t xml:space="preserve">#cobblemon:is_plains</x:t>
        </x:is>
      </x:c>
      <x:c r="AA925" s="5" t="inlineStr">
        <x:is>
          <x:t xml:space="preserve">uncommon</x:t>
        </x:is>
      </x:c>
      <x:c r="AB925" s="5" t="inlineStr">
        <x:is>
          <x:t xml:space="preserve">아니오</x:t>
        </x:is>
      </x:c>
      <x:c r="AC925" s="8" t="str">
        <x:f>IF(T925&lt;&gt;"","수동확정",IF(X925="검토필요","검토필요",IF(S925="","원본없음","초기완료")))</x:f>
        <x:v>검토필요</x:v>
      </x:c>
      <x:c r="AD925" s="7" t="inlineStr">
        <x:is>
          <x:t xml:space="preserve"/>
        </x:is>
      </x:c>
      <x:c r="AE925" s="5" t="inlineStr">
        <x:is>
          <x:t xml:space="preserve">.tmp/cobblemon-1.7.3-source/common/src/main/resources/data/cobblemon/species/generation9/pawmi.json</x:t>
        </x:is>
      </x:c>
      <x:c r="AF925" s="5" t="str">
        <x:f>"생활권|"&amp;K925</x:f>
        <x:v>생활권|육상</x:v>
      </x:c>
      <x:c r="AG925" s="5" t="str">
        <x:f>"지형|"&amp;L925</x:f>
        <x:v>지형|개활지</x:v>
      </x:c>
      <x:c r="AH925" s="5" t="str">
        <x:f>"온도|"&amp;M925</x:f>
        <x:v>온도|온대</x:v>
      </x:c>
      <x:c r="AI925" s="5" t="str">
        <x:f>"습도|"&amp;N925</x:f>
        <x:v>습도|보통</x:v>
      </x:c>
      <x:c r="AJ925" s="5" t="str">
        <x:f>"날씨|"&amp;O925</x:f>
        <x:v>날씨|무관</x:v>
      </x:c>
      <x:c r="AK925" s="5" t="str">
        <x:f>"특수태그|"&amp;R925</x:f>
        <x:v>특수태그|없음</x:v>
      </x:c>
      <x:c r="AL925" s="5" t="str">
        <x:f>"원본서식지|"&amp;S925</x:f>
        <x:v>원본서식지|평원</x:v>
      </x:c>
      <x:c r="AM925" s="5" t="str">
        <x:f>"타입|"&amp;F925</x:f>
        <x:v>타입|전기</x:v>
      </x:c>
      <x:c r="AN925" s="5" t="str">
        <x:f>"타입|"&amp;G925</x:f>
        <x:v>타입|</x:v>
      </x:c>
    </x:row>
    <x:row r="926" ht="24" customHeight="1">
      <x:c r="A926" s="5" t="n">
        <x:v>922</x:v>
      </x:c>
      <x:c r="B926" s="5" t="inlineStr">
        <x:is>
          <x:t xml:space="preserve">빠모트</x:t>
        </x:is>
      </x:c>
      <x:c r="C926" s="5" t="inlineStr">
        <x:is>
          <x:t xml:space="preserve">pawmo</x:t>
        </x:is>
      </x:c>
      <x:c r="D926" s="5" t="inlineStr">
        <x:is>
          <x:t xml:space="preserve">Pawmo</x:t>
        </x:is>
      </x:c>
      <x:c r="E926" s="5" t="n">
        <x:v>9</x:v>
      </x:c>
      <x:c r="F926" s="5" t="inlineStr">
        <x:is>
          <x:t xml:space="preserve">전기</x:t>
        </x:is>
      </x:c>
      <x:c r="G926" s="5" t="inlineStr">
        <x:is>
          <x:t xml:space="preserve">격투</x:t>
        </x:is>
      </x:c>
      <x:c r="H926" s="6" t="n">
        <x:v>6.5</x:v>
      </x:c>
      <x:c r="I926" s="5" t="n">
        <x:v>18</x:v>
      </x:c>
      <x:c r="J926" s="5" t="inlineStr">
        <x:is>
          <x:t xml:space="preserve">중간</x:t>
        </x:is>
      </x:c>
      <x:c r="K926" s="7" t="inlineStr">
        <x:is>
          <x:t xml:space="preserve">육상</x:t>
        </x:is>
      </x:c>
      <x:c r="L926" s="7" t="inlineStr">
        <x:is>
          <x:t xml:space="preserve">개활지</x:t>
        </x:is>
      </x:c>
      <x:c r="M926" s="7" t="inlineStr">
        <x:is>
          <x:t xml:space="preserve">온대</x:t>
        </x:is>
      </x:c>
      <x:c r="N926" s="7" t="inlineStr">
        <x:is>
          <x:t xml:space="preserve">보통</x:t>
        </x:is>
      </x:c>
      <x:c r="O926" s="7" t="inlineStr">
        <x:is>
          <x:t xml:space="preserve">무관</x:t>
        </x:is>
      </x:c>
      <x:c r="P926" s="7" t="inlineStr">
        <x:is>
          <x:t xml:space="preserve">무관</x:t>
        </x:is>
      </x:c>
      <x:c r="Q926" s="7" t="inlineStr">
        <x:is>
          <x:t xml:space="preserve">보통</x:t>
        </x:is>
      </x:c>
      <x:c r="R926" s="7" t="inlineStr">
        <x:is>
          <x:t xml:space="preserve">없음</x:t>
        </x:is>
      </x:c>
      <x:c r="S926" s="7" t="inlineStr">
        <x:is>
          <x:t xml:space="preserve">평원</x:t>
        </x:is>
      </x:c>
      <x:c r="T926" s="7" t="inlineStr">
        <x:is>
          <x:t xml:space="preserve"/>
        </x:is>
      </x:c>
      <x:c r="U926" s="8" t="str">
        <x:f>INDEX('서식지_점수'!$E$4:$P$4,1,MATCH(MAX('서식지_점수'!E926:P926),'서식지_점수'!E926:P926,0))</x:f>
        <x:v>평원</x:v>
      </x:c>
      <x:c r="V926" s="8" t="str">
        <x:f>IF(T926&lt;&gt;"",T926,U926)</x:f>
        <x:v>평원</x:v>
      </x:c>
      <x:c r="W926" s="8" t="str">
        <x:f>IFERROR(INDEX('서식지_점수'!$E$4:$P$4,1,MATCH(MAXIFS('서식지_점수'!E926:P926,'서식지_점수'!E926:P926,"&lt;"&amp;MAX('서식지_점수'!E926:P926)),'서식지_점수'!E926:P926,0)),"")</x:f>
        <x:v>숲</x:v>
      </x:c>
      <x:c r="X926" s="8" t="str">
        <x:f>IF(T926&lt;&gt;"","수동확정",IF(MAX('서식지_점수'!E926:P926)-LARGE('서식지_점수'!E926:P926,2)&gt;=15,"높음",IF(MAX('서식지_점수'!E926:P926)-LARGE('서식지_점수'!E926:P926,2)&gt;=8,"보통","검토필요")))</x:f>
        <x:v>검토필요</x:v>
      </x:c>
      <x:c r="Y926" s="9" t="n">
        <x:f>IF(Q926="전설",8,IF(Q926="희귀",7,IF(J926="기본",1,IF(J926="중간",3,IF(J926="최종",IF(I926="",5,IF(I926&lt;=20,3,IF(I926&lt;=35,4,IF(I926&lt;=50,6,7)))),IF(Q926="드묾",4,2))))))</x:f>
        <x:v>3</x:v>
      </x:c>
      <x:c r="Z926" s="5" t="inlineStr">
        <x:is>
          <x:t xml:space="preserve">#cobblemon:is_plains</x:t>
        </x:is>
      </x:c>
      <x:c r="AA926" s="5" t="inlineStr">
        <x:is>
          <x:t xml:space="preserve">uncommon</x:t>
        </x:is>
      </x:c>
      <x:c r="AB926" s="5" t="inlineStr">
        <x:is>
          <x:t xml:space="preserve">아니오</x:t>
        </x:is>
      </x:c>
      <x:c r="AC926" s="8" t="str">
        <x:f>IF(T926&lt;&gt;"","수동확정",IF(X926="검토필요","검토필요",IF(S926="","원본없음","초기완료")))</x:f>
        <x:v>검토필요</x:v>
      </x:c>
      <x:c r="AD926" s="7" t="inlineStr">
        <x:is>
          <x:t xml:space="preserve"/>
        </x:is>
      </x:c>
      <x:c r="AE926" s="5" t="inlineStr">
        <x:is>
          <x:t xml:space="preserve">.tmp/cobblemon-1.7.3-source/common/src/main/resources/data/cobblemon/species/generation9/pawmo.json</x:t>
        </x:is>
      </x:c>
      <x:c r="AF926" s="5" t="str">
        <x:f>"생활권|"&amp;K926</x:f>
        <x:v>생활권|육상</x:v>
      </x:c>
      <x:c r="AG926" s="5" t="str">
        <x:f>"지형|"&amp;L926</x:f>
        <x:v>지형|개활지</x:v>
      </x:c>
      <x:c r="AH926" s="5" t="str">
        <x:f>"온도|"&amp;M926</x:f>
        <x:v>온도|온대</x:v>
      </x:c>
      <x:c r="AI926" s="5" t="str">
        <x:f>"습도|"&amp;N926</x:f>
        <x:v>습도|보통</x:v>
      </x:c>
      <x:c r="AJ926" s="5" t="str">
        <x:f>"날씨|"&amp;O926</x:f>
        <x:v>날씨|무관</x:v>
      </x:c>
      <x:c r="AK926" s="5" t="str">
        <x:f>"특수태그|"&amp;R926</x:f>
        <x:v>특수태그|없음</x:v>
      </x:c>
      <x:c r="AL926" s="5" t="str">
        <x:f>"원본서식지|"&amp;S926</x:f>
        <x:v>원본서식지|평원</x:v>
      </x:c>
      <x:c r="AM926" s="5" t="str">
        <x:f>"타입|"&amp;F926</x:f>
        <x:v>타입|전기</x:v>
      </x:c>
      <x:c r="AN926" s="5" t="str">
        <x:f>"타입|"&amp;G926</x:f>
        <x:v>타입|격투</x:v>
      </x:c>
    </x:row>
    <x:row r="927" ht="24" customHeight="1">
      <x:c r="A927" s="5" t="n">
        <x:v>923</x:v>
      </x:c>
      <x:c r="B927" s="5" t="inlineStr">
        <x:is>
          <x:t xml:space="preserve">빠르모트</x:t>
        </x:is>
      </x:c>
      <x:c r="C927" s="5" t="inlineStr">
        <x:is>
          <x:t xml:space="preserve">pawmot</x:t>
        </x:is>
      </x:c>
      <x:c r="D927" s="5" t="inlineStr">
        <x:is>
          <x:t xml:space="preserve">Pawmot</x:t>
        </x:is>
      </x:c>
      <x:c r="E927" s="5" t="n">
        <x:v>9</x:v>
      </x:c>
      <x:c r="F927" s="5" t="inlineStr">
        <x:is>
          <x:t xml:space="preserve">전기</x:t>
        </x:is>
      </x:c>
      <x:c r="G927" s="5" t="inlineStr">
        <x:is>
          <x:t xml:space="preserve">격투</x:t>
        </x:is>
      </x:c>
      <x:c r="H927" s="6" t="n">
        <x:v>41</x:v>
      </x:c>
      <x:c r="I927" s="5" t="n">
        <x:v>18</x:v>
      </x:c>
      <x:c r="J927" s="5" t="inlineStr">
        <x:is>
          <x:t xml:space="preserve">최종</x:t>
        </x:is>
      </x:c>
      <x:c r="K927" s="7" t="inlineStr">
        <x:is>
          <x:t xml:space="preserve">육상</x:t>
        </x:is>
      </x:c>
      <x:c r="L927" s="7" t="inlineStr">
        <x:is>
          <x:t xml:space="preserve">개활지</x:t>
        </x:is>
      </x:c>
      <x:c r="M927" s="7" t="inlineStr">
        <x:is>
          <x:t xml:space="preserve">온대</x:t>
        </x:is>
      </x:c>
      <x:c r="N927" s="7" t="inlineStr">
        <x:is>
          <x:t xml:space="preserve">보통</x:t>
        </x:is>
      </x:c>
      <x:c r="O927" s="7" t="inlineStr">
        <x:is>
          <x:t xml:space="preserve">무관</x:t>
        </x:is>
      </x:c>
      <x:c r="P927" s="7" t="inlineStr">
        <x:is>
          <x:t xml:space="preserve">무관</x:t>
        </x:is>
      </x:c>
      <x:c r="Q927" s="7" t="inlineStr">
        <x:is>
          <x:t xml:space="preserve">드묾</x:t>
        </x:is>
      </x:c>
      <x:c r="R927" s="7" t="inlineStr">
        <x:is>
          <x:t xml:space="preserve">없음</x:t>
        </x:is>
      </x:c>
      <x:c r="S927" s="7" t="inlineStr">
        <x:is>
          <x:t xml:space="preserve">평원</x:t>
        </x:is>
      </x:c>
      <x:c r="T927" s="7" t="inlineStr">
        <x:is>
          <x:t xml:space="preserve"/>
        </x:is>
      </x:c>
      <x:c r="U927" s="8" t="str">
        <x:f>INDEX('서식지_점수'!$E$4:$P$4,1,MATCH(MAX('서식지_점수'!E927:P927),'서식지_점수'!E927:P927,0))</x:f>
        <x:v>평원</x:v>
      </x:c>
      <x:c r="V927" s="8" t="str">
        <x:f>IF(T927&lt;&gt;"",T927,U927)</x:f>
        <x:v>평원</x:v>
      </x:c>
      <x:c r="W927" s="8" t="str">
        <x:f>IFERROR(INDEX('서식지_점수'!$E$4:$P$4,1,MATCH(MAXIFS('서식지_점수'!E927:P927,'서식지_점수'!E927:P927,"&lt;"&amp;MAX('서식지_점수'!E927:P927)),'서식지_점수'!E927:P927,0)),"")</x:f>
        <x:v>숲</x:v>
      </x:c>
      <x:c r="X927" s="8" t="str">
        <x:f>IF(T927&lt;&gt;"","수동확정",IF(MAX('서식지_점수'!E927:P927)-LARGE('서식지_점수'!E927:P927,2)&gt;=15,"높음",IF(MAX('서식지_점수'!E927:P927)-LARGE('서식지_점수'!E927:P927,2)&gt;=8,"보통","검토필요")))</x:f>
        <x:v>검토필요</x:v>
      </x:c>
      <x:c r="Y927" s="9" t="n">
        <x:f>IF(Q927="전설",8,IF(Q927="희귀",7,IF(J927="기본",1,IF(J927="중간",3,IF(J927="최종",IF(I927="",5,IF(I927&lt;=20,3,IF(I927&lt;=35,4,IF(I927&lt;=50,6,7)))),IF(Q927="드묾",4,2))))))</x:f>
        <x:v>3</x:v>
      </x:c>
      <x:c r="Z927" s="5" t="inlineStr">
        <x:is>
          <x:t xml:space="preserve">#cobblemon:is_plains</x:t>
        </x:is>
      </x:c>
      <x:c r="AA927" s="5" t="inlineStr">
        <x:is>
          <x:t xml:space="preserve">rare</x:t>
        </x:is>
      </x:c>
      <x:c r="AB927" s="5" t="inlineStr">
        <x:is>
          <x:t xml:space="preserve">아니오</x:t>
        </x:is>
      </x:c>
      <x:c r="AC927" s="8" t="str">
        <x:f>IF(T927&lt;&gt;"","수동확정",IF(X927="검토필요","검토필요",IF(S927="","원본없음","초기완료")))</x:f>
        <x:v>검토필요</x:v>
      </x:c>
      <x:c r="AD927" s="7" t="inlineStr">
        <x:is>
          <x:t xml:space="preserve"/>
        </x:is>
      </x:c>
      <x:c r="AE927" s="5" t="inlineStr">
        <x:is>
          <x:t xml:space="preserve">.tmp/cobblemon-1.7.3-source/common/src/main/resources/data/cobblemon/species/generation9/pawmot.json</x:t>
        </x:is>
      </x:c>
      <x:c r="AF927" s="5" t="str">
        <x:f>"생활권|"&amp;K927</x:f>
        <x:v>생활권|육상</x:v>
      </x:c>
      <x:c r="AG927" s="5" t="str">
        <x:f>"지형|"&amp;L927</x:f>
        <x:v>지형|개활지</x:v>
      </x:c>
      <x:c r="AH927" s="5" t="str">
        <x:f>"온도|"&amp;M927</x:f>
        <x:v>온도|온대</x:v>
      </x:c>
      <x:c r="AI927" s="5" t="str">
        <x:f>"습도|"&amp;N927</x:f>
        <x:v>습도|보통</x:v>
      </x:c>
      <x:c r="AJ927" s="5" t="str">
        <x:f>"날씨|"&amp;O927</x:f>
        <x:v>날씨|무관</x:v>
      </x:c>
      <x:c r="AK927" s="5" t="str">
        <x:f>"특수태그|"&amp;R927</x:f>
        <x:v>특수태그|없음</x:v>
      </x:c>
      <x:c r="AL927" s="5" t="str">
        <x:f>"원본서식지|"&amp;S927</x:f>
        <x:v>원본서식지|평원</x:v>
      </x:c>
      <x:c r="AM927" s="5" t="str">
        <x:f>"타입|"&amp;F927</x:f>
        <x:v>타입|전기</x:v>
      </x:c>
      <x:c r="AN927" s="5" t="str">
        <x:f>"타입|"&amp;G927</x:f>
        <x:v>타입|격투</x:v>
      </x:c>
    </x:row>
    <x:row r="928" ht="24" customHeight="1">
      <x:c r="A928" s="5" t="n">
        <x:v>924</x:v>
      </x:c>
      <x:c r="B928" s="5" t="inlineStr">
        <x:is>
          <x:t xml:space="preserve">두리쥐</x:t>
        </x:is>
      </x:c>
      <x:c r="C928" s="5" t="inlineStr">
        <x:is>
          <x:t xml:space="preserve">tandemaus</x:t>
        </x:is>
      </x:c>
      <x:c r="D928" s="5" t="inlineStr">
        <x:is>
          <x:t xml:space="preserve">Tandemaus</x:t>
        </x:is>
      </x:c>
      <x:c r="E928" s="5" t="n">
        <x:v>9</x:v>
      </x:c>
      <x:c r="F928" s="5" t="inlineStr">
        <x:is>
          <x:t xml:space="preserve">노말</x:t>
        </x:is>
      </x:c>
      <x:c r="G928" s="5" t="inlineStr">
        <x:is>
          <x:t xml:space="preserve"/>
        </x:is>
      </x:c>
      <x:c r="H928" s="6" t="n">
        <x:v>1.8</x:v>
      </x:c>
      <x:c r="I928" s="5" t="n">
        <x:v>25</x:v>
      </x:c>
      <x:c r="J928" s="5" t="inlineStr">
        <x:is>
          <x:t xml:space="preserve">기본</x:t>
        </x:is>
      </x:c>
      <x:c r="K928" s="7" t="inlineStr">
        <x:is>
          <x:t xml:space="preserve">육상</x:t>
        </x:is>
      </x:c>
      <x:c r="L928" s="7" t="inlineStr">
        <x:is>
          <x:t xml:space="preserve">개활지</x:t>
        </x:is>
      </x:c>
      <x:c r="M928" s="7" t="inlineStr">
        <x:is>
          <x:t xml:space="preserve">온대</x:t>
        </x:is>
      </x:c>
      <x:c r="N928" s="7" t="inlineStr">
        <x:is>
          <x:t xml:space="preserve">보통</x:t>
        </x:is>
      </x:c>
      <x:c r="O928" s="7" t="inlineStr">
        <x:is>
          <x:t xml:space="preserve">무관</x:t>
        </x:is>
      </x:c>
      <x:c r="P928" s="7" t="inlineStr">
        <x:is>
          <x:t xml:space="preserve">무관</x:t>
        </x:is>
      </x:c>
      <x:c r="Q928" s="7" t="inlineStr">
        <x:is>
          <x:t xml:space="preserve">흔함</x:t>
        </x:is>
      </x:c>
      <x:c r="R928" s="7" t="inlineStr">
        <x:is>
          <x:t xml:space="preserve">없음</x:t>
        </x:is>
      </x:c>
      <x:c r="S928" s="7" t="inlineStr">
        <x:is>
          <x:t xml:space="preserve"/>
        </x:is>
      </x:c>
      <x:c r="T928" s="7" t="inlineStr">
        <x:is>
          <x:t xml:space="preserve"/>
        </x:is>
      </x:c>
      <x:c r="U928" s="8" t="str">
        <x:f>INDEX('서식지_점수'!$E$4:$P$4,1,MATCH(MAX('서식지_점수'!E928:P928),'서식지_점수'!E928:P928,0))</x:f>
        <x:v>평원</x:v>
      </x:c>
      <x:c r="V928" s="8" t="str">
        <x:f>IF(T928&lt;&gt;"",T928,U928)</x:f>
        <x:v>평원</x:v>
      </x:c>
      <x:c r="W928" s="8" t="str">
        <x:f>IFERROR(INDEX('서식지_점수'!$E$4:$P$4,1,MATCH(MAXIFS('서식지_점수'!E928:P928,'서식지_점수'!E928:P928,"&lt;"&amp;MAX('서식지_점수'!E928:P928)),'서식지_점수'!E928:P928,0)),"")</x:f>
        <x:v>숲</x:v>
      </x:c>
      <x:c r="X928" s="8" t="str">
        <x:f>IF(T928&lt;&gt;"","수동확정",IF(MAX('서식지_점수'!E928:P928)-LARGE('서식지_점수'!E928:P928,2)&gt;=15,"높음",IF(MAX('서식지_점수'!E928:P928)-LARGE('서식지_점수'!E928:P928,2)&gt;=8,"보통","검토필요")))</x:f>
        <x:v>검토필요</x:v>
      </x:c>
      <x:c r="Y928" s="9" t="n">
        <x:f>IF(Q928="전설",8,IF(Q928="희귀",7,IF(J928="기본",1,IF(J928="중간",3,IF(J928="최종",IF(I928="",5,IF(I928&lt;=20,3,IF(I928&lt;=35,4,IF(I928&lt;=50,6,7)))),IF(Q928="드묾",4,2))))))</x:f>
        <x:v>1</x:v>
      </x:c>
      <x:c r="Z928" s="5" t="inlineStr">
        <x:is>
          <x:t xml:space="preserve">#aether:is_aether; #cobblemon:is_overworld; #cobblemon:is_temperate</x:t>
        </x:is>
      </x:c>
      <x:c r="AA928" s="5" t="inlineStr">
        <x:is>
          <x:t xml:space="preserve">common</x:t>
        </x:is>
      </x:c>
      <x:c r="AB928" s="5" t="inlineStr">
        <x:is>
          <x:t xml:space="preserve">예</x:t>
        </x:is>
      </x:c>
      <x:c r="AC928" s="8" t="str">
        <x:f>IF(T928&lt;&gt;"","수동확정",IF(X928="검토필요","검토필요",IF(S928="","원본없음","초기완료")))</x:f>
        <x:v>검토필요</x:v>
      </x:c>
      <x:c r="AD928" s="7" t="inlineStr">
        <x:is>
          <x:t xml:space="preserve"/>
        </x:is>
      </x:c>
      <x:c r="AE928" s="5" t="inlineStr">
        <x:is>
          <x:t xml:space="preserve">.tmp/cobblemon-1.7.3-source/common/src/main/resources/data/cobblemon/species/generation9/tandemaus.json</x:t>
        </x:is>
      </x:c>
      <x:c r="AF928" s="5" t="str">
        <x:f>"생활권|"&amp;K928</x:f>
        <x:v>생활권|육상</x:v>
      </x:c>
      <x:c r="AG928" s="5" t="str">
        <x:f>"지형|"&amp;L928</x:f>
        <x:v>지형|개활지</x:v>
      </x:c>
      <x:c r="AH928" s="5" t="str">
        <x:f>"온도|"&amp;M928</x:f>
        <x:v>온도|온대</x:v>
      </x:c>
      <x:c r="AI928" s="5" t="str">
        <x:f>"습도|"&amp;N928</x:f>
        <x:v>습도|보통</x:v>
      </x:c>
      <x:c r="AJ928" s="5" t="str">
        <x:f>"날씨|"&amp;O928</x:f>
        <x:v>날씨|무관</x:v>
      </x:c>
      <x:c r="AK928" s="5" t="str">
        <x:f>"특수태그|"&amp;R928</x:f>
        <x:v>특수태그|없음</x:v>
      </x:c>
      <x:c r="AL928" s="5" t="str">
        <x:f>"원본서식지|"&amp;S928</x:f>
        <x:v>원본서식지|</x:v>
      </x:c>
      <x:c r="AM928" s="5" t="str">
        <x:f>"타입|"&amp;F928</x:f>
        <x:v>타입|노말</x:v>
      </x:c>
      <x:c r="AN928" s="5" t="str">
        <x:f>"타입|"&amp;G928</x:f>
        <x:v>타입|</x:v>
      </x:c>
    </x:row>
    <x:row r="929" ht="24" customHeight="1">
      <x:c r="A929" s="5" t="n">
        <x:v>925</x:v>
      </x:c>
      <x:c r="B929" s="5" t="inlineStr">
        <x:is>
          <x:t xml:space="preserve">파밀리쥐</x:t>
        </x:is>
      </x:c>
      <x:c r="C929" s="5" t="inlineStr">
        <x:is>
          <x:t xml:space="preserve">maushold</x:t>
        </x:is>
      </x:c>
      <x:c r="D929" s="5" t="inlineStr">
        <x:is>
          <x:t xml:space="preserve">Maushold</x:t>
        </x:is>
      </x:c>
      <x:c r="E929" s="5" t="n">
        <x:v>9</x:v>
      </x:c>
      <x:c r="F929" s="5" t="inlineStr">
        <x:is>
          <x:t xml:space="preserve">노말</x:t>
        </x:is>
      </x:c>
      <x:c r="G929" s="5" t="inlineStr">
        <x:is>
          <x:t xml:space="preserve"/>
        </x:is>
      </x:c>
      <x:c r="H929" s="6" t="n">
        <x:v>2.3</x:v>
      </x:c>
      <x:c r="I929" s="5" t="n">
        <x:v>25</x:v>
      </x:c>
      <x:c r="J929" s="5" t="inlineStr">
        <x:is>
          <x:t xml:space="preserve">최종</x:t>
        </x:is>
      </x:c>
      <x:c r="K929" s="7" t="inlineStr">
        <x:is>
          <x:t xml:space="preserve">육상</x:t>
        </x:is>
      </x:c>
      <x:c r="L929" s="7" t="inlineStr">
        <x:is>
          <x:t xml:space="preserve">개활지</x:t>
        </x:is>
      </x:c>
      <x:c r="M929" s="7" t="inlineStr">
        <x:is>
          <x:t xml:space="preserve">온대</x:t>
        </x:is>
      </x:c>
      <x:c r="N929" s="7" t="inlineStr">
        <x:is>
          <x:t xml:space="preserve">보통</x:t>
        </x:is>
      </x:c>
      <x:c r="O929" s="7" t="inlineStr">
        <x:is>
          <x:t xml:space="preserve">무관</x:t>
        </x:is>
      </x:c>
      <x:c r="P929" s="7" t="inlineStr">
        <x:is>
          <x:t xml:space="preserve">무관</x:t>
        </x:is>
      </x:c>
      <x:c r="Q929" s="7" t="inlineStr">
        <x:is>
          <x:t xml:space="preserve">흔함</x:t>
        </x:is>
      </x:c>
      <x:c r="R929" s="7" t="inlineStr">
        <x:is>
          <x:t xml:space="preserve">없음</x:t>
        </x:is>
      </x:c>
      <x:c r="S929" s="7" t="inlineStr">
        <x:is>
          <x:t xml:space="preserve"/>
        </x:is>
      </x:c>
      <x:c r="T929" s="7" t="inlineStr">
        <x:is>
          <x:t xml:space="preserve"/>
        </x:is>
      </x:c>
      <x:c r="U929" s="8" t="str">
        <x:f>INDEX('서식지_점수'!$E$4:$P$4,1,MATCH(MAX('서식지_점수'!E929:P929),'서식지_점수'!E929:P929,0))</x:f>
        <x:v>평원</x:v>
      </x:c>
      <x:c r="V929" s="8" t="str">
        <x:f>IF(T929&lt;&gt;"",T929,U929)</x:f>
        <x:v>평원</x:v>
      </x:c>
      <x:c r="W929" s="8" t="str">
        <x:f>IFERROR(INDEX('서식지_점수'!$E$4:$P$4,1,MATCH(MAXIFS('서식지_점수'!E929:P929,'서식지_점수'!E929:P929,"&lt;"&amp;MAX('서식지_점수'!E929:P929)),'서식지_점수'!E929:P929,0)),"")</x:f>
        <x:v>숲</x:v>
      </x:c>
      <x:c r="X929" s="8" t="str">
        <x:f>IF(T929&lt;&gt;"","수동확정",IF(MAX('서식지_점수'!E929:P929)-LARGE('서식지_점수'!E929:P929,2)&gt;=15,"높음",IF(MAX('서식지_점수'!E929:P929)-LARGE('서식지_점수'!E929:P929,2)&gt;=8,"보통","검토필요")))</x:f>
        <x:v>검토필요</x:v>
      </x:c>
      <x:c r="Y929" s="9" t="n">
        <x:f>IF(Q929="전설",8,IF(Q929="희귀",7,IF(J929="기본",1,IF(J929="중간",3,IF(J929="최종",IF(I929="",5,IF(I929&lt;=20,3,IF(I929&lt;=35,4,IF(I929&lt;=50,6,7)))),IF(Q929="드묾",4,2))))))</x:f>
        <x:v>4</x:v>
      </x:c>
      <x:c r="Z929" s="5" t="inlineStr">
        <x:is>
          <x:t xml:space="preserve">#aether:is_aether; #cobblemon:is_overworld; #cobblemon:is_temperate</x:t>
        </x:is>
      </x:c>
      <x:c r="AA929" s="5" t="inlineStr">
        <x:is>
          <x:t xml:space="preserve">common</x:t>
        </x:is>
      </x:c>
      <x:c r="AB929" s="5" t="inlineStr">
        <x:is>
          <x:t xml:space="preserve">예</x:t>
        </x:is>
      </x:c>
      <x:c r="AC929" s="8" t="str">
        <x:f>IF(T929&lt;&gt;"","수동확정",IF(X929="검토필요","검토필요",IF(S929="","원본없음","초기완료")))</x:f>
        <x:v>검토필요</x:v>
      </x:c>
      <x:c r="AD929" s="7" t="inlineStr">
        <x:is>
          <x:t xml:space="preserve"/>
        </x:is>
      </x:c>
      <x:c r="AE929" s="5" t="inlineStr">
        <x:is>
          <x:t xml:space="preserve">.tmp/cobblemon-1.7.3-source/common/src/main/resources/data/cobblemon/species/generation9/maushold.json</x:t>
        </x:is>
      </x:c>
      <x:c r="AF929" s="5" t="str">
        <x:f>"생활권|"&amp;K929</x:f>
        <x:v>생활권|육상</x:v>
      </x:c>
      <x:c r="AG929" s="5" t="str">
        <x:f>"지형|"&amp;L929</x:f>
        <x:v>지형|개활지</x:v>
      </x:c>
      <x:c r="AH929" s="5" t="str">
        <x:f>"온도|"&amp;M929</x:f>
        <x:v>온도|온대</x:v>
      </x:c>
      <x:c r="AI929" s="5" t="str">
        <x:f>"습도|"&amp;N929</x:f>
        <x:v>습도|보통</x:v>
      </x:c>
      <x:c r="AJ929" s="5" t="str">
        <x:f>"날씨|"&amp;O929</x:f>
        <x:v>날씨|무관</x:v>
      </x:c>
      <x:c r="AK929" s="5" t="str">
        <x:f>"특수태그|"&amp;R929</x:f>
        <x:v>특수태그|없음</x:v>
      </x:c>
      <x:c r="AL929" s="5" t="str">
        <x:f>"원본서식지|"&amp;S929</x:f>
        <x:v>원본서식지|</x:v>
      </x:c>
      <x:c r="AM929" s="5" t="str">
        <x:f>"타입|"&amp;F929</x:f>
        <x:v>타입|노말</x:v>
      </x:c>
      <x:c r="AN929" s="5" t="str">
        <x:f>"타입|"&amp;G929</x:f>
        <x:v>타입|</x:v>
      </x:c>
    </x:row>
    <x:row r="930" ht="24" customHeight="1">
      <x:c r="A930" s="5" t="n">
        <x:v>926</x:v>
      </x:c>
      <x:c r="B930" s="5" t="inlineStr">
        <x:is>
          <x:t xml:space="preserve">쫀도기</x:t>
        </x:is>
      </x:c>
      <x:c r="C930" s="5" t="inlineStr">
        <x:is>
          <x:t xml:space="preserve">fidough</x:t>
        </x:is>
      </x:c>
      <x:c r="D930" s="5" t="inlineStr">
        <x:is>
          <x:t xml:space="preserve">Fidough</x:t>
        </x:is>
      </x:c>
      <x:c r="E930" s="5" t="n">
        <x:v>9</x:v>
      </x:c>
      <x:c r="F930" s="5" t="inlineStr">
        <x:is>
          <x:t xml:space="preserve">페어리</x:t>
        </x:is>
      </x:c>
      <x:c r="G930" s="5" t="inlineStr">
        <x:is>
          <x:t xml:space="preserve"/>
        </x:is>
      </x:c>
      <x:c r="H930" s="6" t="n">
        <x:v>10.9</x:v>
      </x:c>
      <x:c r="I930" s="5" t="n">
        <x:v>26</x:v>
      </x:c>
      <x:c r="J930" s="5" t="inlineStr">
        <x:is>
          <x:t xml:space="preserve">기본</x:t>
        </x:is>
      </x:c>
      <x:c r="K930" s="7" t="inlineStr">
        <x:is>
          <x:t xml:space="preserve">육상</x:t>
        </x:is>
      </x:c>
      <x:c r="L930" s="7" t="inlineStr">
        <x:is>
          <x:t xml:space="preserve">개활지</x:t>
        </x:is>
      </x:c>
      <x:c r="M930" s="7" t="inlineStr">
        <x:is>
          <x:t xml:space="preserve">온대</x:t>
        </x:is>
      </x:c>
      <x:c r="N930" s="7" t="inlineStr">
        <x:is>
          <x:t xml:space="preserve">보통</x:t>
        </x:is>
      </x:c>
      <x:c r="O930" s="7" t="inlineStr">
        <x:is>
          <x:t xml:space="preserve">무관</x:t>
        </x:is>
      </x:c>
      <x:c r="P930" s="7" t="inlineStr">
        <x:is>
          <x:t xml:space="preserve">무관</x:t>
        </x:is>
      </x:c>
      <x:c r="Q930" s="7" t="inlineStr">
        <x:is>
          <x:t xml:space="preserve">흔함</x:t>
        </x:is>
      </x:c>
      <x:c r="R930" s="7" t="inlineStr">
        <x:is>
          <x:t xml:space="preserve">없음</x:t>
        </x:is>
      </x:c>
      <x:c r="S930" s="7" t="inlineStr">
        <x:is>
          <x:t xml:space="preserve"/>
        </x:is>
      </x:c>
      <x:c r="T930" s="7" t="inlineStr">
        <x:is>
          <x:t xml:space="preserve"/>
        </x:is>
      </x:c>
      <x:c r="U930" s="8" t="str">
        <x:f>INDEX('서식지_점수'!$E$4:$P$4,1,MATCH(MAX('서식지_점수'!E930:P930),'서식지_점수'!E930:P930,0))</x:f>
        <x:v>평원</x:v>
      </x:c>
      <x:c r="V930" s="8" t="str">
        <x:f>IF(T930&lt;&gt;"",T930,U930)</x:f>
        <x:v>평원</x:v>
      </x:c>
      <x:c r="W930" s="8" t="str">
        <x:f>IFERROR(INDEX('서식지_점수'!$E$4:$P$4,1,MATCH(MAXIFS('서식지_점수'!E930:P930,'서식지_점수'!E930:P930,"&lt;"&amp;MAX('서식지_점수'!E930:P930)),'서식지_점수'!E930:P930,0)),"")</x:f>
        <x:v>숲</x:v>
      </x:c>
      <x:c r="X930" s="8" t="str">
        <x:f>IF(T930&lt;&gt;"","수동확정",IF(MAX('서식지_점수'!E930:P930)-LARGE('서식지_점수'!E930:P930,2)&gt;=15,"높음",IF(MAX('서식지_점수'!E930:P930)-LARGE('서식지_점수'!E930:P930,2)&gt;=8,"보통","검토필요")))</x:f>
        <x:v>검토필요</x:v>
      </x:c>
      <x:c r="Y930" s="9" t="n">
        <x:f>IF(Q930="전설",8,IF(Q930="희귀",7,IF(J930="기본",1,IF(J930="중간",3,IF(J930="최종",IF(I930="",5,IF(I930&lt;=20,3,IF(I930&lt;=35,4,IF(I930&lt;=50,6,7)))),IF(Q930="드묾",4,2))))))</x:f>
        <x:v>1</x:v>
      </x:c>
      <x:c r="Z930" s="5" t="inlineStr">
        <x:is>
          <x:t xml:space="preserve">#cobblemon:is_overworld</x:t>
        </x:is>
      </x:c>
      <x:c r="AA930" s="5" t="inlineStr">
        <x:is>
          <x:t xml:space="preserve">common</x:t>
        </x:is>
      </x:c>
      <x:c r="AB930" s="5" t="inlineStr">
        <x:is>
          <x:t xml:space="preserve">예</x:t>
        </x:is>
      </x:c>
      <x:c r="AC930" s="8" t="str">
        <x:f>IF(T930&lt;&gt;"","수동확정",IF(X930="검토필요","검토필요",IF(S930="","원본없음","초기완료")))</x:f>
        <x:v>검토필요</x:v>
      </x:c>
      <x:c r="AD930" s="7" t="inlineStr">
        <x:is>
          <x:t xml:space="preserve"/>
        </x:is>
      </x:c>
      <x:c r="AE930" s="5" t="inlineStr">
        <x:is>
          <x:t xml:space="preserve">.tmp/cobblemon-1.7.3-source/common/src/main/resources/data/cobblemon/species/generation9/fidough.json</x:t>
        </x:is>
      </x:c>
      <x:c r="AF930" s="5" t="str">
        <x:f>"생활권|"&amp;K930</x:f>
        <x:v>생활권|육상</x:v>
      </x:c>
      <x:c r="AG930" s="5" t="str">
        <x:f>"지형|"&amp;L930</x:f>
        <x:v>지형|개활지</x:v>
      </x:c>
      <x:c r="AH930" s="5" t="str">
        <x:f>"온도|"&amp;M930</x:f>
        <x:v>온도|온대</x:v>
      </x:c>
      <x:c r="AI930" s="5" t="str">
        <x:f>"습도|"&amp;N930</x:f>
        <x:v>습도|보통</x:v>
      </x:c>
      <x:c r="AJ930" s="5" t="str">
        <x:f>"날씨|"&amp;O930</x:f>
        <x:v>날씨|무관</x:v>
      </x:c>
      <x:c r="AK930" s="5" t="str">
        <x:f>"특수태그|"&amp;R930</x:f>
        <x:v>특수태그|없음</x:v>
      </x:c>
      <x:c r="AL930" s="5" t="str">
        <x:f>"원본서식지|"&amp;S930</x:f>
        <x:v>원본서식지|</x:v>
      </x:c>
      <x:c r="AM930" s="5" t="str">
        <x:f>"타입|"&amp;F930</x:f>
        <x:v>타입|페어리</x:v>
      </x:c>
      <x:c r="AN930" s="5" t="str">
        <x:f>"타입|"&amp;G930</x:f>
        <x:v>타입|</x:v>
      </x:c>
    </x:row>
    <x:row r="931" ht="24" customHeight="1">
      <x:c r="A931" s="5" t="n">
        <x:v>927</x:v>
      </x:c>
      <x:c r="B931" s="5" t="inlineStr">
        <x:is>
          <x:t xml:space="preserve">바우첼</x:t>
        </x:is>
      </x:c>
      <x:c r="C931" s="5" t="inlineStr">
        <x:is>
          <x:t xml:space="preserve">dachsbun</x:t>
        </x:is>
      </x:c>
      <x:c r="D931" s="5" t="inlineStr">
        <x:is>
          <x:t xml:space="preserve">Dachsbun</x:t>
        </x:is>
      </x:c>
      <x:c r="E931" s="5" t="n">
        <x:v>9</x:v>
      </x:c>
      <x:c r="F931" s="5" t="inlineStr">
        <x:is>
          <x:t xml:space="preserve">페어리</x:t>
        </x:is>
      </x:c>
      <x:c r="G931" s="5" t="inlineStr">
        <x:is>
          <x:t xml:space="preserve"/>
        </x:is>
      </x:c>
      <x:c r="H931" s="6" t="n">
        <x:v>14.9</x:v>
      </x:c>
      <x:c r="I931" s="5" t="n">
        <x:v>26</x:v>
      </x:c>
      <x:c r="J931" s="5" t="inlineStr">
        <x:is>
          <x:t xml:space="preserve">최종</x:t>
        </x:is>
      </x:c>
      <x:c r="K931" s="7" t="inlineStr">
        <x:is>
          <x:t xml:space="preserve">육상</x:t>
        </x:is>
      </x:c>
      <x:c r="L931" s="7" t="inlineStr">
        <x:is>
          <x:t xml:space="preserve">개활지</x:t>
        </x:is>
      </x:c>
      <x:c r="M931" s="7" t="inlineStr">
        <x:is>
          <x:t xml:space="preserve">온대</x:t>
        </x:is>
      </x:c>
      <x:c r="N931" s="7" t="inlineStr">
        <x:is>
          <x:t xml:space="preserve">보통</x:t>
        </x:is>
      </x:c>
      <x:c r="O931" s="7" t="inlineStr">
        <x:is>
          <x:t xml:space="preserve">무관</x:t>
        </x:is>
      </x:c>
      <x:c r="P931" s="7" t="inlineStr">
        <x:is>
          <x:t xml:space="preserve">무관</x:t>
        </x:is>
      </x:c>
      <x:c r="Q931" s="7" t="inlineStr">
        <x:is>
          <x:t xml:space="preserve">흔함</x:t>
        </x:is>
      </x:c>
      <x:c r="R931" s="7" t="inlineStr">
        <x:is>
          <x:t xml:space="preserve">없음</x:t>
        </x:is>
      </x:c>
      <x:c r="S931" s="7" t="inlineStr">
        <x:is>
          <x:t xml:space="preserve"/>
        </x:is>
      </x:c>
      <x:c r="T931" s="7" t="inlineStr">
        <x:is>
          <x:t xml:space="preserve"/>
        </x:is>
      </x:c>
      <x:c r="U931" s="8" t="str">
        <x:f>INDEX('서식지_점수'!$E$4:$P$4,1,MATCH(MAX('서식지_점수'!E931:P931),'서식지_점수'!E931:P931,0))</x:f>
        <x:v>평원</x:v>
      </x:c>
      <x:c r="V931" s="8" t="str">
        <x:f>IF(T931&lt;&gt;"",T931,U931)</x:f>
        <x:v>평원</x:v>
      </x:c>
      <x:c r="W931" s="8" t="str">
        <x:f>IFERROR(INDEX('서식지_점수'!$E$4:$P$4,1,MATCH(MAXIFS('서식지_점수'!E931:P931,'서식지_점수'!E931:P931,"&lt;"&amp;MAX('서식지_점수'!E931:P931)),'서식지_점수'!E931:P931,0)),"")</x:f>
        <x:v>숲</x:v>
      </x:c>
      <x:c r="X931" s="8" t="str">
        <x:f>IF(T931&lt;&gt;"","수동확정",IF(MAX('서식지_점수'!E931:P931)-LARGE('서식지_점수'!E931:P931,2)&gt;=15,"높음",IF(MAX('서식지_점수'!E931:P931)-LARGE('서식지_점수'!E931:P931,2)&gt;=8,"보통","검토필요")))</x:f>
        <x:v>검토필요</x:v>
      </x:c>
      <x:c r="Y931" s="9" t="n">
        <x:f>IF(Q931="전설",8,IF(Q931="희귀",7,IF(J931="기본",1,IF(J931="중간",3,IF(J931="최종",IF(I931="",5,IF(I931&lt;=20,3,IF(I931&lt;=35,4,IF(I931&lt;=50,6,7)))),IF(Q931="드묾",4,2))))))</x:f>
        <x:v>4</x:v>
      </x:c>
      <x:c r="Z931" s="5" t="inlineStr">
        <x:is>
          <x:t xml:space="preserve">#cobblemon:is_overworld</x:t>
        </x:is>
      </x:c>
      <x:c r="AA931" s="5" t="inlineStr">
        <x:is>
          <x:t xml:space="preserve">common</x:t>
        </x:is>
      </x:c>
      <x:c r="AB931" s="5" t="inlineStr">
        <x:is>
          <x:t xml:space="preserve">예</x:t>
        </x:is>
      </x:c>
      <x:c r="AC931" s="8" t="str">
        <x:f>IF(T931&lt;&gt;"","수동확정",IF(X931="검토필요","검토필요",IF(S931="","원본없음","초기완료")))</x:f>
        <x:v>검토필요</x:v>
      </x:c>
      <x:c r="AD931" s="7" t="inlineStr">
        <x:is>
          <x:t xml:space="preserve"/>
        </x:is>
      </x:c>
      <x:c r="AE931" s="5" t="inlineStr">
        <x:is>
          <x:t xml:space="preserve">.tmp/cobblemon-1.7.3-source/common/src/main/resources/data/cobblemon/species/generation9/dachsbun.json</x:t>
        </x:is>
      </x:c>
      <x:c r="AF931" s="5" t="str">
        <x:f>"생활권|"&amp;K931</x:f>
        <x:v>생활권|육상</x:v>
      </x:c>
      <x:c r="AG931" s="5" t="str">
        <x:f>"지형|"&amp;L931</x:f>
        <x:v>지형|개활지</x:v>
      </x:c>
      <x:c r="AH931" s="5" t="str">
        <x:f>"온도|"&amp;M931</x:f>
        <x:v>온도|온대</x:v>
      </x:c>
      <x:c r="AI931" s="5" t="str">
        <x:f>"습도|"&amp;N931</x:f>
        <x:v>습도|보통</x:v>
      </x:c>
      <x:c r="AJ931" s="5" t="str">
        <x:f>"날씨|"&amp;O931</x:f>
        <x:v>날씨|무관</x:v>
      </x:c>
      <x:c r="AK931" s="5" t="str">
        <x:f>"특수태그|"&amp;R931</x:f>
        <x:v>특수태그|없음</x:v>
      </x:c>
      <x:c r="AL931" s="5" t="str">
        <x:f>"원본서식지|"&amp;S931</x:f>
        <x:v>원본서식지|</x:v>
      </x:c>
      <x:c r="AM931" s="5" t="str">
        <x:f>"타입|"&amp;F931</x:f>
        <x:v>타입|페어리</x:v>
      </x:c>
      <x:c r="AN931" s="5" t="str">
        <x:f>"타입|"&amp;G931</x:f>
        <x:v>타입|</x:v>
      </x:c>
    </x:row>
    <x:row r="932" ht="24" customHeight="1">
      <x:c r="A932" s="5" t="n">
        <x:v>928</x:v>
      </x:c>
      <x:c r="B932" s="5" t="inlineStr">
        <x:is>
          <x:t xml:space="preserve">미니브</x:t>
        </x:is>
      </x:c>
      <x:c r="C932" s="5" t="inlineStr">
        <x:is>
          <x:t xml:space="preserve">smoliv</x:t>
        </x:is>
      </x:c>
      <x:c r="D932" s="5" t="inlineStr">
        <x:is>
          <x:t xml:space="preserve">Smoliv</x:t>
        </x:is>
      </x:c>
      <x:c r="E932" s="5" t="n">
        <x:v>9</x:v>
      </x:c>
      <x:c r="F932" s="5" t="inlineStr">
        <x:is>
          <x:t xml:space="preserve">풀</x:t>
        </x:is>
      </x:c>
      <x:c r="G932" s="5" t="inlineStr">
        <x:is>
          <x:t xml:space="preserve">노말</x:t>
        </x:is>
      </x:c>
      <x:c r="H932" s="6" t="n">
        <x:v>6.5</x:v>
      </x:c>
      <x:c r="I932" s="5" t="n">
        <x:v>35</x:v>
      </x:c>
      <x:c r="J932" s="5" t="inlineStr">
        <x:is>
          <x:t xml:space="preserve">기본</x:t>
        </x:is>
      </x:c>
      <x:c r="K932" s="7" t="inlineStr">
        <x:is>
          <x:t xml:space="preserve">육상</x:t>
        </x:is>
      </x:c>
      <x:c r="L932" s="7" t="inlineStr">
        <x:is>
          <x:t xml:space="preserve">개활지</x:t>
        </x:is>
      </x:c>
      <x:c r="M932" s="7" t="inlineStr">
        <x:is>
          <x:t xml:space="preserve">온대</x:t>
        </x:is>
      </x:c>
      <x:c r="N932" s="7" t="inlineStr">
        <x:is>
          <x:t xml:space="preserve">보통</x:t>
        </x:is>
      </x:c>
      <x:c r="O932" s="7" t="inlineStr">
        <x:is>
          <x:t xml:space="preserve">무관</x:t>
        </x:is>
      </x:c>
      <x:c r="P932" s="7" t="inlineStr">
        <x:is>
          <x:t xml:space="preserve">무관</x:t>
        </x:is>
      </x:c>
      <x:c r="Q932" s="7" t="inlineStr">
        <x:is>
          <x:t xml:space="preserve">보통</x:t>
        </x:is>
      </x:c>
      <x:c r="R932" s="7" t="inlineStr">
        <x:is>
          <x:t xml:space="preserve">없음</x:t>
        </x:is>
      </x:c>
      <x:c r="S932" s="7" t="inlineStr">
        <x:is>
          <x:t xml:space="preserve">평원</x:t>
        </x:is>
      </x:c>
      <x:c r="T932" s="7" t="inlineStr">
        <x:is>
          <x:t xml:space="preserve"/>
        </x:is>
      </x:c>
      <x:c r="U932" s="8" t="str">
        <x:f>INDEX('서식지_점수'!$E$4:$P$4,1,MATCH(MAX('서식지_점수'!E932:P932),'서식지_점수'!E932:P932,0))</x:f>
        <x:v>평원</x:v>
      </x:c>
      <x:c r="V932" s="8" t="str">
        <x:f>IF(T932&lt;&gt;"",T932,U932)</x:f>
        <x:v>평원</x:v>
      </x:c>
      <x:c r="W932" s="8" t="str">
        <x:f>IFERROR(INDEX('서식지_점수'!$E$4:$P$4,1,MATCH(MAXIFS('서식지_점수'!E932:P932,'서식지_점수'!E932:P932,"&lt;"&amp;MAX('서식지_점수'!E932:P932)),'서식지_점수'!E932:P932,0)),"")</x:f>
        <x:v>숲</x:v>
      </x:c>
      <x:c r="X932" s="8" t="str">
        <x:f>IF(T932&lt;&gt;"","수동확정",IF(MAX('서식지_점수'!E932:P932)-LARGE('서식지_점수'!E932:P932,2)&gt;=15,"높음",IF(MAX('서식지_점수'!E932:P932)-LARGE('서식지_점수'!E932:P932,2)&gt;=8,"보통","검토필요")))</x:f>
        <x:v>검토필요</x:v>
      </x:c>
      <x:c r="Y932" s="9" t="n">
        <x:f>IF(Q932="전설",8,IF(Q932="희귀",7,IF(J932="기본",1,IF(J932="중간",3,IF(J932="최종",IF(I932="",5,IF(I932&lt;=20,3,IF(I932&lt;=35,4,IF(I932&lt;=50,6,7)))),IF(Q932="드묾",4,2))))))</x:f>
        <x:v>1</x:v>
      </x:c>
      <x:c r="Z932" s="5" t="inlineStr">
        <x:is>
          <x:t xml:space="preserve">#cobblemon:is_grassland</x:t>
        </x:is>
      </x:c>
      <x:c r="AA932" s="5" t="inlineStr">
        <x:is>
          <x:t xml:space="preserve">uncommon</x:t>
        </x:is>
      </x:c>
      <x:c r="AB932" s="5" t="inlineStr">
        <x:is>
          <x:t xml:space="preserve">예</x:t>
        </x:is>
      </x:c>
      <x:c r="AC932" s="8" t="str">
        <x:f>IF(T932&lt;&gt;"","수동확정",IF(X932="검토필요","검토필요",IF(S932="","원본없음","초기완료")))</x:f>
        <x:v>검토필요</x:v>
      </x:c>
      <x:c r="AD932" s="7" t="inlineStr">
        <x:is>
          <x:t xml:space="preserve"/>
        </x:is>
      </x:c>
      <x:c r="AE932" s="5" t="inlineStr">
        <x:is>
          <x:t xml:space="preserve">.tmp/cobblemon-1.7.3-source/common/src/main/resources/data/cobblemon/species/generation9/smoliv.json</x:t>
        </x:is>
      </x:c>
      <x:c r="AF932" s="5" t="str">
        <x:f>"생활권|"&amp;K932</x:f>
        <x:v>생활권|육상</x:v>
      </x:c>
      <x:c r="AG932" s="5" t="str">
        <x:f>"지형|"&amp;L932</x:f>
        <x:v>지형|개활지</x:v>
      </x:c>
      <x:c r="AH932" s="5" t="str">
        <x:f>"온도|"&amp;M932</x:f>
        <x:v>온도|온대</x:v>
      </x:c>
      <x:c r="AI932" s="5" t="str">
        <x:f>"습도|"&amp;N932</x:f>
        <x:v>습도|보통</x:v>
      </x:c>
      <x:c r="AJ932" s="5" t="str">
        <x:f>"날씨|"&amp;O932</x:f>
        <x:v>날씨|무관</x:v>
      </x:c>
      <x:c r="AK932" s="5" t="str">
        <x:f>"특수태그|"&amp;R932</x:f>
        <x:v>특수태그|없음</x:v>
      </x:c>
      <x:c r="AL932" s="5" t="str">
        <x:f>"원본서식지|"&amp;S932</x:f>
        <x:v>원본서식지|평원</x:v>
      </x:c>
      <x:c r="AM932" s="5" t="str">
        <x:f>"타입|"&amp;F932</x:f>
        <x:v>타입|풀</x:v>
      </x:c>
      <x:c r="AN932" s="5" t="str">
        <x:f>"타입|"&amp;G932</x:f>
        <x:v>타입|노말</x:v>
      </x:c>
    </x:row>
    <x:row r="933" ht="24" customHeight="1">
      <x:c r="A933" s="5" t="n">
        <x:v>929</x:v>
      </x:c>
      <x:c r="B933" s="5" t="inlineStr">
        <x:is>
          <x:t xml:space="preserve">올리뇨</x:t>
        </x:is>
      </x:c>
      <x:c r="C933" s="5" t="inlineStr">
        <x:is>
          <x:t xml:space="preserve">dolliv</x:t>
        </x:is>
      </x:c>
      <x:c r="D933" s="5" t="inlineStr">
        <x:is>
          <x:t xml:space="preserve">Dolliv</x:t>
        </x:is>
      </x:c>
      <x:c r="E933" s="5" t="n">
        <x:v>9</x:v>
      </x:c>
      <x:c r="F933" s="5" t="inlineStr">
        <x:is>
          <x:t xml:space="preserve">풀</x:t>
        </x:is>
      </x:c>
      <x:c r="G933" s="5" t="inlineStr">
        <x:is>
          <x:t xml:space="preserve">노말</x:t>
        </x:is>
      </x:c>
      <x:c r="H933" s="6" t="n">
        <x:v>11.9</x:v>
      </x:c>
      <x:c r="I933" s="5" t="n">
        <x:v>35</x:v>
      </x:c>
      <x:c r="J933" s="5" t="inlineStr">
        <x:is>
          <x:t xml:space="preserve">중간</x:t>
        </x:is>
      </x:c>
      <x:c r="K933" s="7" t="inlineStr">
        <x:is>
          <x:t xml:space="preserve">육상</x:t>
        </x:is>
      </x:c>
      <x:c r="L933" s="7" t="inlineStr">
        <x:is>
          <x:t xml:space="preserve">개활지</x:t>
        </x:is>
      </x:c>
      <x:c r="M933" s="7" t="inlineStr">
        <x:is>
          <x:t xml:space="preserve">온대</x:t>
        </x:is>
      </x:c>
      <x:c r="N933" s="7" t="inlineStr">
        <x:is>
          <x:t xml:space="preserve">보통</x:t>
        </x:is>
      </x:c>
      <x:c r="O933" s="7" t="inlineStr">
        <x:is>
          <x:t xml:space="preserve">무관</x:t>
        </x:is>
      </x:c>
      <x:c r="P933" s="7" t="inlineStr">
        <x:is>
          <x:t xml:space="preserve">무관</x:t>
        </x:is>
      </x:c>
      <x:c r="Q933" s="7" t="inlineStr">
        <x:is>
          <x:t xml:space="preserve">보통</x:t>
        </x:is>
      </x:c>
      <x:c r="R933" s="7" t="inlineStr">
        <x:is>
          <x:t xml:space="preserve">없음</x:t>
        </x:is>
      </x:c>
      <x:c r="S933" s="7" t="inlineStr">
        <x:is>
          <x:t xml:space="preserve">평원</x:t>
        </x:is>
      </x:c>
      <x:c r="T933" s="7" t="inlineStr">
        <x:is>
          <x:t xml:space="preserve"/>
        </x:is>
      </x:c>
      <x:c r="U933" s="8" t="str">
        <x:f>INDEX('서식지_점수'!$E$4:$P$4,1,MATCH(MAX('서식지_점수'!E933:P933),'서식지_점수'!E933:P933,0))</x:f>
        <x:v>평원</x:v>
      </x:c>
      <x:c r="V933" s="8" t="str">
        <x:f>IF(T933&lt;&gt;"",T933,U933)</x:f>
        <x:v>평원</x:v>
      </x:c>
      <x:c r="W933" s="8" t="str">
        <x:f>IFERROR(INDEX('서식지_점수'!$E$4:$P$4,1,MATCH(MAXIFS('서식지_점수'!E933:P933,'서식지_점수'!E933:P933,"&lt;"&amp;MAX('서식지_점수'!E933:P933)),'서식지_점수'!E933:P933,0)),"")</x:f>
        <x:v>숲</x:v>
      </x:c>
      <x:c r="X933" s="8" t="str">
        <x:f>IF(T933&lt;&gt;"","수동확정",IF(MAX('서식지_점수'!E933:P933)-LARGE('서식지_점수'!E933:P933,2)&gt;=15,"높음",IF(MAX('서식지_점수'!E933:P933)-LARGE('서식지_점수'!E933:P933,2)&gt;=8,"보통","검토필요")))</x:f>
        <x:v>검토필요</x:v>
      </x:c>
      <x:c r="Y933" s="9" t="n">
        <x:f>IF(Q933="전설",8,IF(Q933="희귀",7,IF(J933="기본",1,IF(J933="중간",3,IF(J933="최종",IF(I933="",5,IF(I933&lt;=20,3,IF(I933&lt;=35,4,IF(I933&lt;=50,6,7)))),IF(Q933="드묾",4,2))))))</x:f>
        <x:v>3</x:v>
      </x:c>
      <x:c r="Z933" s="5" t="inlineStr">
        <x:is>
          <x:t xml:space="preserve">#cobblemon:is_grassland</x:t>
        </x:is>
      </x:c>
      <x:c r="AA933" s="5" t="inlineStr">
        <x:is>
          <x:t xml:space="preserve">uncommon</x:t>
        </x:is>
      </x:c>
      <x:c r="AB933" s="5" t="inlineStr">
        <x:is>
          <x:t xml:space="preserve">예</x:t>
        </x:is>
      </x:c>
      <x:c r="AC933" s="8" t="str">
        <x:f>IF(T933&lt;&gt;"","수동확정",IF(X933="검토필요","검토필요",IF(S933="","원본없음","초기완료")))</x:f>
        <x:v>검토필요</x:v>
      </x:c>
      <x:c r="AD933" s="7" t="inlineStr">
        <x:is>
          <x:t xml:space="preserve"/>
        </x:is>
      </x:c>
      <x:c r="AE933" s="5" t="inlineStr">
        <x:is>
          <x:t xml:space="preserve">.tmp/cobblemon-1.7.3-source/common/src/main/resources/data/cobblemon/species/generation9/dolliv.json</x:t>
        </x:is>
      </x:c>
      <x:c r="AF933" s="5" t="str">
        <x:f>"생활권|"&amp;K933</x:f>
        <x:v>생활권|육상</x:v>
      </x:c>
      <x:c r="AG933" s="5" t="str">
        <x:f>"지형|"&amp;L933</x:f>
        <x:v>지형|개활지</x:v>
      </x:c>
      <x:c r="AH933" s="5" t="str">
        <x:f>"온도|"&amp;M933</x:f>
        <x:v>온도|온대</x:v>
      </x:c>
      <x:c r="AI933" s="5" t="str">
        <x:f>"습도|"&amp;N933</x:f>
        <x:v>습도|보통</x:v>
      </x:c>
      <x:c r="AJ933" s="5" t="str">
        <x:f>"날씨|"&amp;O933</x:f>
        <x:v>날씨|무관</x:v>
      </x:c>
      <x:c r="AK933" s="5" t="str">
        <x:f>"특수태그|"&amp;R933</x:f>
        <x:v>특수태그|없음</x:v>
      </x:c>
      <x:c r="AL933" s="5" t="str">
        <x:f>"원본서식지|"&amp;S933</x:f>
        <x:v>원본서식지|평원</x:v>
      </x:c>
      <x:c r="AM933" s="5" t="str">
        <x:f>"타입|"&amp;F933</x:f>
        <x:v>타입|풀</x:v>
      </x:c>
      <x:c r="AN933" s="5" t="str">
        <x:f>"타입|"&amp;G933</x:f>
        <x:v>타입|노말</x:v>
      </x:c>
    </x:row>
    <x:row r="934" ht="24" customHeight="1">
      <x:c r="A934" s="5" t="n">
        <x:v>930</x:v>
      </x:c>
      <x:c r="B934" s="5" t="inlineStr">
        <x:is>
          <x:t xml:space="preserve">올리르바</x:t>
        </x:is>
      </x:c>
      <x:c r="C934" s="5" t="inlineStr">
        <x:is>
          <x:t xml:space="preserve">arboliva</x:t>
        </x:is>
      </x:c>
      <x:c r="D934" s="5" t="inlineStr">
        <x:is>
          <x:t xml:space="preserve">Arboliva</x:t>
        </x:is>
      </x:c>
      <x:c r="E934" s="5" t="n">
        <x:v>9</x:v>
      </x:c>
      <x:c r="F934" s="5" t="inlineStr">
        <x:is>
          <x:t xml:space="preserve">풀</x:t>
        </x:is>
      </x:c>
      <x:c r="G934" s="5" t="inlineStr">
        <x:is>
          <x:t xml:space="preserve">노말</x:t>
        </x:is>
      </x:c>
      <x:c r="H934" s="6" t="n">
        <x:v>48.2</x:v>
      </x:c>
      <x:c r="I934" s="5" t="n">
        <x:v>35</x:v>
      </x:c>
      <x:c r="J934" s="5" t="inlineStr">
        <x:is>
          <x:t xml:space="preserve">최종</x:t>
        </x:is>
      </x:c>
      <x:c r="K934" s="7" t="inlineStr">
        <x:is>
          <x:t xml:space="preserve">육상</x:t>
        </x:is>
      </x:c>
      <x:c r="L934" s="7" t="inlineStr">
        <x:is>
          <x:t xml:space="preserve">개활지</x:t>
        </x:is>
      </x:c>
      <x:c r="M934" s="7" t="inlineStr">
        <x:is>
          <x:t xml:space="preserve">온대</x:t>
        </x:is>
      </x:c>
      <x:c r="N934" s="7" t="inlineStr">
        <x:is>
          <x:t xml:space="preserve">보통</x:t>
        </x:is>
      </x:c>
      <x:c r="O934" s="7" t="inlineStr">
        <x:is>
          <x:t xml:space="preserve">무관</x:t>
        </x:is>
      </x:c>
      <x:c r="P934" s="7" t="inlineStr">
        <x:is>
          <x:t xml:space="preserve">무관</x:t>
        </x:is>
      </x:c>
      <x:c r="Q934" s="7" t="inlineStr">
        <x:is>
          <x:t xml:space="preserve">보통</x:t>
        </x:is>
      </x:c>
      <x:c r="R934" s="7" t="inlineStr">
        <x:is>
          <x:t xml:space="preserve">없음</x:t>
        </x:is>
      </x:c>
      <x:c r="S934" s="7" t="inlineStr">
        <x:is>
          <x:t xml:space="preserve">평원</x:t>
        </x:is>
      </x:c>
      <x:c r="T934" s="7" t="inlineStr">
        <x:is>
          <x:t xml:space="preserve"/>
        </x:is>
      </x:c>
      <x:c r="U934" s="8" t="str">
        <x:f>INDEX('서식지_점수'!$E$4:$P$4,1,MATCH(MAX('서식지_점수'!E934:P934),'서식지_점수'!E934:P934,0))</x:f>
        <x:v>평원</x:v>
      </x:c>
      <x:c r="V934" s="8" t="str">
        <x:f>IF(T934&lt;&gt;"",T934,U934)</x:f>
        <x:v>평원</x:v>
      </x:c>
      <x:c r="W934" s="8" t="str">
        <x:f>IFERROR(INDEX('서식지_점수'!$E$4:$P$4,1,MATCH(MAXIFS('서식지_점수'!E934:P934,'서식지_점수'!E934:P934,"&lt;"&amp;MAX('서식지_점수'!E934:P934)),'서식지_점수'!E934:P934,0)),"")</x:f>
        <x:v>숲</x:v>
      </x:c>
      <x:c r="X934" s="8" t="str">
        <x:f>IF(T934&lt;&gt;"","수동확정",IF(MAX('서식지_점수'!E934:P934)-LARGE('서식지_점수'!E934:P934,2)&gt;=15,"높음",IF(MAX('서식지_점수'!E934:P934)-LARGE('서식지_점수'!E934:P934,2)&gt;=8,"보통","검토필요")))</x:f>
        <x:v>검토필요</x:v>
      </x:c>
      <x:c r="Y934" s="9" t="n">
        <x:f>IF(Q934="전설",8,IF(Q934="희귀",7,IF(J934="기본",1,IF(J934="중간",3,IF(J934="최종",IF(I934="",5,IF(I934&lt;=20,3,IF(I934&lt;=35,4,IF(I934&lt;=50,6,7)))),IF(Q934="드묾",4,2))))))</x:f>
        <x:v>4</x:v>
      </x:c>
      <x:c r="Z934" s="5" t="inlineStr">
        <x:is>
          <x:t xml:space="preserve">#cobblemon:is_grassland</x:t>
        </x:is>
      </x:c>
      <x:c r="AA934" s="5" t="inlineStr">
        <x:is>
          <x:t xml:space="preserve">uncommon</x:t>
        </x:is>
      </x:c>
      <x:c r="AB934" s="5" t="inlineStr">
        <x:is>
          <x:t xml:space="preserve">예</x:t>
        </x:is>
      </x:c>
      <x:c r="AC934" s="8" t="str">
        <x:f>IF(T934&lt;&gt;"","수동확정",IF(X934="검토필요","검토필요",IF(S934="","원본없음","초기완료")))</x:f>
        <x:v>검토필요</x:v>
      </x:c>
      <x:c r="AD934" s="7" t="inlineStr">
        <x:is>
          <x:t xml:space="preserve"/>
        </x:is>
      </x:c>
      <x:c r="AE934" s="5" t="inlineStr">
        <x:is>
          <x:t xml:space="preserve">.tmp/cobblemon-1.7.3-source/common/src/main/resources/data/cobblemon/species/generation9/arboliva.json</x:t>
        </x:is>
      </x:c>
      <x:c r="AF934" s="5" t="str">
        <x:f>"생활권|"&amp;K934</x:f>
        <x:v>생활권|육상</x:v>
      </x:c>
      <x:c r="AG934" s="5" t="str">
        <x:f>"지형|"&amp;L934</x:f>
        <x:v>지형|개활지</x:v>
      </x:c>
      <x:c r="AH934" s="5" t="str">
        <x:f>"온도|"&amp;M934</x:f>
        <x:v>온도|온대</x:v>
      </x:c>
      <x:c r="AI934" s="5" t="str">
        <x:f>"습도|"&amp;N934</x:f>
        <x:v>습도|보통</x:v>
      </x:c>
      <x:c r="AJ934" s="5" t="str">
        <x:f>"날씨|"&amp;O934</x:f>
        <x:v>날씨|무관</x:v>
      </x:c>
      <x:c r="AK934" s="5" t="str">
        <x:f>"특수태그|"&amp;R934</x:f>
        <x:v>특수태그|없음</x:v>
      </x:c>
      <x:c r="AL934" s="5" t="str">
        <x:f>"원본서식지|"&amp;S934</x:f>
        <x:v>원본서식지|평원</x:v>
      </x:c>
      <x:c r="AM934" s="5" t="str">
        <x:f>"타입|"&amp;F934</x:f>
        <x:v>타입|풀</x:v>
      </x:c>
      <x:c r="AN934" s="5" t="str">
        <x:f>"타입|"&amp;G934</x:f>
        <x:v>타입|노말</x:v>
      </x:c>
    </x:row>
    <x:row r="935" ht="24" customHeight="1">
      <x:c r="A935" s="5" t="n">
        <x:v>931</x:v>
      </x:c>
      <x:c r="B935" s="5" t="inlineStr">
        <x:is>
          <x:t xml:space="preserve">시비꼬</x:t>
        </x:is>
      </x:c>
      <x:c r="C935" s="5" t="inlineStr">
        <x:is>
          <x:t xml:space="preserve">squawkabilly</x:t>
        </x:is>
      </x:c>
      <x:c r="D935" s="5" t="inlineStr">
        <x:is>
          <x:t xml:space="preserve">Squawkabilly</x:t>
        </x:is>
      </x:c>
      <x:c r="E935" s="5" t="n">
        <x:v>9</x:v>
      </x:c>
      <x:c r="F935" s="5" t="inlineStr">
        <x:is>
          <x:t xml:space="preserve">노말</x:t>
        </x:is>
      </x:c>
      <x:c r="G935" s="5" t="inlineStr">
        <x:is>
          <x:t xml:space="preserve">비행</x:t>
        </x:is>
      </x:c>
      <x:c r="H935" s="6" t="n">
        <x:v>2.4</x:v>
      </x:c>
      <x:c r="I935" s="5" t="n"/>
      <x:c r="J935" s="5" t="inlineStr">
        <x:is>
          <x:t xml:space="preserve">무진화</x:t>
        </x:is>
      </x:c>
      <x:c r="K935" s="7" t="inlineStr">
        <x:is>
          <x:t xml:space="preserve">비행</x:t>
        </x:is>
      </x:c>
      <x:c r="L935" s="7" t="inlineStr">
        <x:is>
          <x:t xml:space="preserve">수목</x:t>
        </x:is>
      </x:c>
      <x:c r="M935" s="7" t="inlineStr">
        <x:is>
          <x:t xml:space="preserve">온대</x:t>
        </x:is>
      </x:c>
      <x:c r="N935" s="7" t="inlineStr">
        <x:is>
          <x:t xml:space="preserve">다습</x:t>
        </x:is>
      </x:c>
      <x:c r="O935" s="7" t="inlineStr">
        <x:is>
          <x:t xml:space="preserve">무관</x:t>
        </x:is>
      </x:c>
      <x:c r="P935" s="7" t="inlineStr">
        <x:is>
          <x:t xml:space="preserve">낮</x:t>
        </x:is>
      </x:c>
      <x:c r="Q935" s="7" t="inlineStr">
        <x:is>
          <x:t xml:space="preserve">흔함</x:t>
        </x:is>
      </x:c>
      <x:c r="R935" s="7" t="inlineStr">
        <x:is>
          <x:t xml:space="preserve">없음</x:t>
        </x:is>
      </x:c>
      <x:c r="S935" s="7" t="inlineStr">
        <x:is>
          <x:t xml:space="preserve">숲</x:t>
        </x:is>
      </x:c>
      <x:c r="T935" s="7" t="inlineStr">
        <x:is>
          <x:t xml:space="preserve"/>
        </x:is>
      </x:c>
      <x:c r="U935" s="8" t="str">
        <x:f>INDEX('서식지_점수'!$E$4:$P$4,1,MATCH(MAX('서식지_점수'!E935:P935),'서식지_점수'!E935:P935,0))</x:f>
        <x:v>산악</x:v>
      </x:c>
      <x:c r="V935" s="8" t="str">
        <x:f>IF(T935&lt;&gt;"",T935,U935)</x:f>
        <x:v>산악</x:v>
      </x:c>
      <x:c r="W935" s="8" t="str">
        <x:f>IFERROR(INDEX('서식지_점수'!$E$4:$P$4,1,MATCH(MAXIFS('서식지_점수'!E935:P935,'서식지_점수'!E935:P935,"&lt;"&amp;MAX('서식지_점수'!E935:P935)),'서식지_점수'!E935:P935,0)),"")</x:f>
        <x:v>평원</x:v>
      </x:c>
      <x:c r="X935" s="8" t="str">
        <x:f>IF(T935&lt;&gt;"","수동확정",IF(MAX('서식지_점수'!E935:P935)-LARGE('서식지_점수'!E935:P935,2)&gt;=15,"높음",IF(MAX('서식지_점수'!E935:P935)-LARGE('서식지_점수'!E935:P935,2)&gt;=8,"보통","검토필요")))</x:f>
        <x:v>검토필요</x:v>
      </x:c>
      <x:c r="Y935" s="9" t="n">
        <x:f>IF(Q935="전설",8,IF(Q935="희귀",7,IF(J935="기본",1,IF(J935="중간",3,IF(J935="최종",IF(I935="",5,IF(I935&lt;=20,3,IF(I935&lt;=35,4,IF(I935&lt;=50,6,7)))),IF(Q935="드묾",4,2))))))</x:f>
        <x:v>2</x:v>
      </x:c>
      <x:c r="Z935" s="5" t="inlineStr">
        <x:is>
          <x:t xml:space="preserve">#cobblemon:is_jungle; #cobblemon:is_overworld; #cobblemon:is_savanna; #cobblemon:is_sky; #cobblemon:is_tropical_island</x:t>
        </x:is>
      </x:c>
      <x:c r="AA935" s="5" t="inlineStr">
        <x:is>
          <x:t xml:space="preserve">common</x:t>
        </x:is>
      </x:c>
      <x:c r="AB935" s="5" t="inlineStr">
        <x:is>
          <x:t xml:space="preserve">예</x:t>
        </x:is>
      </x:c>
      <x:c r="AC935" s="8" t="str">
        <x:f>IF(T935&lt;&gt;"","수동확정",IF(X935="검토필요","검토필요",IF(S935="","원본없음","초기완료")))</x:f>
        <x:v>검토필요</x:v>
      </x:c>
      <x:c r="AD935" s="7" t="inlineStr">
        <x:is>
          <x:t xml:space="preserve"/>
        </x:is>
      </x:c>
      <x:c r="AE935" s="5" t="inlineStr">
        <x:is>
          <x:t xml:space="preserve">.tmp/cobblemon-1.7.3-source/common/src/main/resources/data/cobblemon/species/generation9/squawkabilly.json</x:t>
        </x:is>
      </x:c>
      <x:c r="AF935" s="5" t="str">
        <x:f>"생활권|"&amp;K935</x:f>
        <x:v>생활권|비행</x:v>
      </x:c>
      <x:c r="AG935" s="5" t="str">
        <x:f>"지형|"&amp;L935</x:f>
        <x:v>지형|수목</x:v>
      </x:c>
      <x:c r="AH935" s="5" t="str">
        <x:f>"온도|"&amp;M935</x:f>
        <x:v>온도|온대</x:v>
      </x:c>
      <x:c r="AI935" s="5" t="str">
        <x:f>"습도|"&amp;N935</x:f>
        <x:v>습도|다습</x:v>
      </x:c>
      <x:c r="AJ935" s="5" t="str">
        <x:f>"날씨|"&amp;O935</x:f>
        <x:v>날씨|무관</x:v>
      </x:c>
      <x:c r="AK935" s="5" t="str">
        <x:f>"특수태그|"&amp;R935</x:f>
        <x:v>특수태그|없음</x:v>
      </x:c>
      <x:c r="AL935" s="5" t="str">
        <x:f>"원본서식지|"&amp;S935</x:f>
        <x:v>원본서식지|숲</x:v>
      </x:c>
      <x:c r="AM935" s="5" t="str">
        <x:f>"타입|"&amp;F935</x:f>
        <x:v>타입|노말</x:v>
      </x:c>
      <x:c r="AN935" s="5" t="str">
        <x:f>"타입|"&amp;G935</x:f>
        <x:v>타입|비행</x:v>
      </x:c>
    </x:row>
    <x:row r="936" ht="24" customHeight="1">
      <x:c r="A936" s="5" t="n">
        <x:v>932</x:v>
      </x:c>
      <x:c r="B936" s="5" t="inlineStr">
        <x:is>
          <x:t xml:space="preserve">베베솔트</x:t>
        </x:is>
      </x:c>
      <x:c r="C936" s="5" t="inlineStr">
        <x:is>
          <x:t xml:space="preserve">nacli</x:t>
        </x:is>
      </x:c>
      <x:c r="D936" s="5" t="inlineStr">
        <x:is>
          <x:t xml:space="preserve">Nacli</x:t>
        </x:is>
      </x:c>
      <x:c r="E936" s="5" t="n">
        <x:v>9</x:v>
      </x:c>
      <x:c r="F936" s="5" t="inlineStr">
        <x:is>
          <x:t xml:space="preserve">바위</x:t>
        </x:is>
      </x:c>
      <x:c r="G936" s="5" t="inlineStr">
        <x:is>
          <x:t xml:space="preserve"/>
        </x:is>
      </x:c>
      <x:c r="H936" s="6" t="n">
        <x:v>16</x:v>
      </x:c>
      <x:c r="I936" s="5" t="n">
        <x:v>38</x:v>
      </x:c>
      <x:c r="J936" s="5" t="inlineStr">
        <x:is>
          <x:t xml:space="preserve">기본</x:t>
        </x:is>
      </x:c>
      <x:c r="K936" s="7" t="inlineStr">
        <x:is>
          <x:t xml:space="preserve">육상</x:t>
        </x:is>
      </x:c>
      <x:c r="L936" s="7" t="inlineStr">
        <x:is>
          <x:t xml:space="preserve">화산</x:t>
        </x:is>
      </x:c>
      <x:c r="M936" s="7" t="inlineStr">
        <x:is>
          <x:t xml:space="preserve">고온</x:t>
        </x:is>
      </x:c>
      <x:c r="N936" s="7" t="inlineStr">
        <x:is>
          <x:t xml:space="preserve">건조</x:t>
        </x:is>
      </x:c>
      <x:c r="O936" s="7" t="inlineStr">
        <x:is>
          <x:t xml:space="preserve">맑음</x:t>
        </x:is>
      </x:c>
      <x:c r="P936" s="7" t="inlineStr">
        <x:is>
          <x:t xml:space="preserve">무관</x:t>
        </x:is>
      </x:c>
      <x:c r="Q936" s="7" t="inlineStr">
        <x:is>
          <x:t xml:space="preserve">흔함</x:t>
        </x:is>
      </x:c>
      <x:c r="R936" s="7" t="inlineStr">
        <x:is>
          <x:t xml:space="preserve">화산</x:t>
        </x:is>
      </x:c>
      <x:c r="S936" s="7" t="inlineStr">
        <x:is>
          <x:t xml:space="preserve">화산</x:t>
        </x:is>
      </x:c>
      <x:c r="T936" s="7" t="inlineStr">
        <x:is>
          <x:t xml:space="preserve"/>
        </x:is>
      </x:c>
      <x:c r="U936" s="8" t="str">
        <x:f>INDEX('서식지_점수'!$E$4:$P$4,1,MATCH(MAX('서식지_점수'!E936:P936),'서식지_점수'!E936:P936,0))</x:f>
        <x:v>평원</x:v>
      </x:c>
      <x:c r="V936" s="8" t="str">
        <x:f>IF(T936&lt;&gt;"",T936,U936)</x:f>
        <x:v>평원</x:v>
      </x:c>
      <x:c r="W936" s="8" t="str">
        <x:f>IFERROR(INDEX('서식지_점수'!$E$4:$P$4,1,MATCH(MAXIFS('서식지_점수'!E936:P936,'서식지_점수'!E936:P936,"&lt;"&amp;MAX('서식지_점수'!E936:P936)),'서식지_점수'!E936:P936,0)),"")</x:f>
        <x:v>숲</x:v>
      </x:c>
      <x:c r="X936" s="8" t="str">
        <x:f>IF(T936&lt;&gt;"","수동확정",IF(MAX('서식지_점수'!E936:P936)-LARGE('서식지_점수'!E936:P936,2)&gt;=15,"높음",IF(MAX('서식지_점수'!E936:P936)-LARGE('서식지_점수'!E936:P936,2)&gt;=8,"보통","검토필요")))</x:f>
        <x:v>검토필요</x:v>
      </x:c>
      <x:c r="Y936" s="9" t="n">
        <x:f>IF(Q936="전설",8,IF(Q936="희귀",7,IF(J936="기본",1,IF(J936="중간",3,IF(J936="최종",IF(I936="",5,IF(I936&lt;=20,3,IF(I936&lt;=35,4,IF(I936&lt;=50,6,7)))),IF(Q936="드묾",4,2))))))</x:f>
        <x:v>1</x:v>
      </x:c>
      <x:c r="Z936" s="5" t="inlineStr">
        <x:is>
          <x:t xml:space="preserve">#cobblemon:is_badlands; #cobblemon:nether/is_quartz</x:t>
        </x:is>
      </x:c>
      <x:c r="AA936" s="5" t="inlineStr">
        <x:is>
          <x:t xml:space="preserve">common</x:t>
        </x:is>
      </x:c>
      <x:c r="AB936" s="5" t="inlineStr">
        <x:is>
          <x:t xml:space="preserve">예</x:t>
        </x:is>
      </x:c>
      <x:c r="AC936" s="8" t="str">
        <x:f>IF(T936&lt;&gt;"","수동확정",IF(X936="검토필요","검토필요",IF(S936="","원본없음","초기완료")))</x:f>
        <x:v>검토필요</x:v>
      </x:c>
      <x:c r="AD936" s="7" t="inlineStr">
        <x:is>
          <x:t xml:space="preserve"/>
        </x:is>
      </x:c>
      <x:c r="AE936" s="5" t="inlineStr">
        <x:is>
          <x:t xml:space="preserve">.tmp/cobblemon-1.7.3-source/common/src/main/resources/data/cobblemon/species/generation9/nacli.json</x:t>
        </x:is>
      </x:c>
      <x:c r="AF936" s="5" t="str">
        <x:f>"생활권|"&amp;K936</x:f>
        <x:v>생활권|육상</x:v>
      </x:c>
      <x:c r="AG936" s="5" t="str">
        <x:f>"지형|"&amp;L936</x:f>
        <x:v>지형|화산</x:v>
      </x:c>
      <x:c r="AH936" s="5" t="str">
        <x:f>"온도|"&amp;M936</x:f>
        <x:v>온도|고온</x:v>
      </x:c>
      <x:c r="AI936" s="5" t="str">
        <x:f>"습도|"&amp;N936</x:f>
        <x:v>습도|건조</x:v>
      </x:c>
      <x:c r="AJ936" s="5" t="str">
        <x:f>"날씨|"&amp;O936</x:f>
        <x:v>날씨|맑음</x:v>
      </x:c>
      <x:c r="AK936" s="5" t="str">
        <x:f>"특수태그|"&amp;R936</x:f>
        <x:v>특수태그|화산</x:v>
      </x:c>
      <x:c r="AL936" s="5" t="str">
        <x:f>"원본서식지|"&amp;S936</x:f>
        <x:v>원본서식지|화산</x:v>
      </x:c>
      <x:c r="AM936" s="5" t="str">
        <x:f>"타입|"&amp;F936</x:f>
        <x:v>타입|바위</x:v>
      </x:c>
      <x:c r="AN936" s="5" t="str">
        <x:f>"타입|"&amp;G936</x:f>
        <x:v>타입|</x:v>
      </x:c>
    </x:row>
    <x:row r="937" ht="24" customHeight="1">
      <x:c r="A937" s="5" t="n">
        <x:v>933</x:v>
      </x:c>
      <x:c r="B937" s="5" t="inlineStr">
        <x:is>
          <x:t xml:space="preserve">스태솔트</x:t>
        </x:is>
      </x:c>
      <x:c r="C937" s="5" t="inlineStr">
        <x:is>
          <x:t xml:space="preserve">naclstack</x:t>
        </x:is>
      </x:c>
      <x:c r="D937" s="5" t="inlineStr">
        <x:is>
          <x:t xml:space="preserve">Naclstack</x:t>
        </x:is>
      </x:c>
      <x:c r="E937" s="5" t="n">
        <x:v>9</x:v>
      </x:c>
      <x:c r="F937" s="5" t="inlineStr">
        <x:is>
          <x:t xml:space="preserve">바위</x:t>
        </x:is>
      </x:c>
      <x:c r="G937" s="5" t="inlineStr">
        <x:is>
          <x:t xml:space="preserve"/>
        </x:is>
      </x:c>
      <x:c r="H937" s="6" t="n">
        <x:v>105</x:v>
      </x:c>
      <x:c r="I937" s="5" t="n">
        <x:v>38</x:v>
      </x:c>
      <x:c r="J937" s="5" t="inlineStr">
        <x:is>
          <x:t xml:space="preserve">중간</x:t>
        </x:is>
      </x:c>
      <x:c r="K937" s="7" t="inlineStr">
        <x:is>
          <x:t xml:space="preserve">육상</x:t>
        </x:is>
      </x:c>
      <x:c r="L937" s="7" t="inlineStr">
        <x:is>
          <x:t xml:space="preserve">화산</x:t>
        </x:is>
      </x:c>
      <x:c r="M937" s="7" t="inlineStr">
        <x:is>
          <x:t xml:space="preserve">고온</x:t>
        </x:is>
      </x:c>
      <x:c r="N937" s="7" t="inlineStr">
        <x:is>
          <x:t xml:space="preserve">건조</x:t>
        </x:is>
      </x:c>
      <x:c r="O937" s="7" t="inlineStr">
        <x:is>
          <x:t xml:space="preserve">맑음</x:t>
        </x:is>
      </x:c>
      <x:c r="P937" s="7" t="inlineStr">
        <x:is>
          <x:t xml:space="preserve">무관</x:t>
        </x:is>
      </x:c>
      <x:c r="Q937" s="7" t="inlineStr">
        <x:is>
          <x:t xml:space="preserve">흔함</x:t>
        </x:is>
      </x:c>
      <x:c r="R937" s="7" t="inlineStr">
        <x:is>
          <x:t xml:space="preserve">화산</x:t>
        </x:is>
      </x:c>
      <x:c r="S937" s="7" t="inlineStr">
        <x:is>
          <x:t xml:space="preserve">화산</x:t>
        </x:is>
      </x:c>
      <x:c r="T937" s="7" t="inlineStr">
        <x:is>
          <x:t xml:space="preserve"/>
        </x:is>
      </x:c>
      <x:c r="U937" s="8" t="str">
        <x:f>INDEX('서식지_점수'!$E$4:$P$4,1,MATCH(MAX('서식지_점수'!E937:P937),'서식지_점수'!E937:P937,0))</x:f>
        <x:v>평원</x:v>
      </x:c>
      <x:c r="V937" s="8" t="str">
        <x:f>IF(T937&lt;&gt;"",T937,U937)</x:f>
        <x:v>평원</x:v>
      </x:c>
      <x:c r="W937" s="8" t="str">
        <x:f>IFERROR(INDEX('서식지_점수'!$E$4:$P$4,1,MATCH(MAXIFS('서식지_점수'!E937:P937,'서식지_점수'!E937:P937,"&lt;"&amp;MAX('서식지_점수'!E937:P937)),'서식지_점수'!E937:P937,0)),"")</x:f>
        <x:v>숲</x:v>
      </x:c>
      <x:c r="X937" s="8" t="str">
        <x:f>IF(T937&lt;&gt;"","수동확정",IF(MAX('서식지_점수'!E937:P937)-LARGE('서식지_점수'!E937:P937,2)&gt;=15,"높음",IF(MAX('서식지_점수'!E937:P937)-LARGE('서식지_점수'!E937:P937,2)&gt;=8,"보통","검토필요")))</x:f>
        <x:v>검토필요</x:v>
      </x:c>
      <x:c r="Y937" s="9" t="n">
        <x:f>IF(Q937="전설",8,IF(Q937="희귀",7,IF(J937="기본",1,IF(J937="중간",3,IF(J937="최종",IF(I937="",5,IF(I937&lt;=20,3,IF(I937&lt;=35,4,IF(I937&lt;=50,6,7)))),IF(Q937="드묾",4,2))))))</x:f>
        <x:v>3</x:v>
      </x:c>
      <x:c r="Z937" s="5" t="inlineStr">
        <x:is>
          <x:t xml:space="preserve">#cobblemon:is_badlands; #cobblemon:nether/is_quartz</x:t>
        </x:is>
      </x:c>
      <x:c r="AA937" s="5" t="inlineStr">
        <x:is>
          <x:t xml:space="preserve">common</x:t>
        </x:is>
      </x:c>
      <x:c r="AB937" s="5" t="inlineStr">
        <x:is>
          <x:t xml:space="preserve">예</x:t>
        </x:is>
      </x:c>
      <x:c r="AC937" s="8" t="str">
        <x:f>IF(T937&lt;&gt;"","수동확정",IF(X937="검토필요","검토필요",IF(S937="","원본없음","초기완료")))</x:f>
        <x:v>검토필요</x:v>
      </x:c>
      <x:c r="AD937" s="7" t="inlineStr">
        <x:is>
          <x:t xml:space="preserve"/>
        </x:is>
      </x:c>
      <x:c r="AE937" s="5" t="inlineStr">
        <x:is>
          <x:t xml:space="preserve">.tmp/cobblemon-1.7.3-source/common/src/main/resources/data/cobblemon/species/generation9/naclstack.json</x:t>
        </x:is>
      </x:c>
      <x:c r="AF937" s="5" t="str">
        <x:f>"생활권|"&amp;K937</x:f>
        <x:v>생활권|육상</x:v>
      </x:c>
      <x:c r="AG937" s="5" t="str">
        <x:f>"지형|"&amp;L937</x:f>
        <x:v>지형|화산</x:v>
      </x:c>
      <x:c r="AH937" s="5" t="str">
        <x:f>"온도|"&amp;M937</x:f>
        <x:v>온도|고온</x:v>
      </x:c>
      <x:c r="AI937" s="5" t="str">
        <x:f>"습도|"&amp;N937</x:f>
        <x:v>습도|건조</x:v>
      </x:c>
      <x:c r="AJ937" s="5" t="str">
        <x:f>"날씨|"&amp;O937</x:f>
        <x:v>날씨|맑음</x:v>
      </x:c>
      <x:c r="AK937" s="5" t="str">
        <x:f>"특수태그|"&amp;R937</x:f>
        <x:v>특수태그|화산</x:v>
      </x:c>
      <x:c r="AL937" s="5" t="str">
        <x:f>"원본서식지|"&amp;S937</x:f>
        <x:v>원본서식지|화산</x:v>
      </x:c>
      <x:c r="AM937" s="5" t="str">
        <x:f>"타입|"&amp;F937</x:f>
        <x:v>타입|바위</x:v>
      </x:c>
      <x:c r="AN937" s="5" t="str">
        <x:f>"타입|"&amp;G937</x:f>
        <x:v>타입|</x:v>
      </x:c>
    </x:row>
    <x:row r="938" ht="24" customHeight="1">
      <x:c r="A938" s="5" t="n">
        <x:v>934</x:v>
      </x:c>
      <x:c r="B938" s="5" t="inlineStr">
        <x:is>
          <x:t xml:space="preserve">콜로솔트</x:t>
        </x:is>
      </x:c>
      <x:c r="C938" s="5" t="inlineStr">
        <x:is>
          <x:t xml:space="preserve">garganacl</x:t>
        </x:is>
      </x:c>
      <x:c r="D938" s="5" t="inlineStr">
        <x:is>
          <x:t xml:space="preserve">Garganacl</x:t>
        </x:is>
      </x:c>
      <x:c r="E938" s="5" t="n">
        <x:v>9</x:v>
      </x:c>
      <x:c r="F938" s="5" t="inlineStr">
        <x:is>
          <x:t xml:space="preserve">바위</x:t>
        </x:is>
      </x:c>
      <x:c r="G938" s="5" t="inlineStr">
        <x:is>
          <x:t xml:space="preserve"/>
        </x:is>
      </x:c>
      <x:c r="H938" s="6" t="n">
        <x:v>240</x:v>
      </x:c>
      <x:c r="I938" s="5" t="n">
        <x:v>38</x:v>
      </x:c>
      <x:c r="J938" s="5" t="inlineStr">
        <x:is>
          <x:t xml:space="preserve">최종</x:t>
        </x:is>
      </x:c>
      <x:c r="K938" s="7" t="inlineStr">
        <x:is>
          <x:t xml:space="preserve">육상</x:t>
        </x:is>
      </x:c>
      <x:c r="L938" s="7" t="inlineStr">
        <x:is>
          <x:t xml:space="preserve">화산</x:t>
        </x:is>
      </x:c>
      <x:c r="M938" s="7" t="inlineStr">
        <x:is>
          <x:t xml:space="preserve">고온</x:t>
        </x:is>
      </x:c>
      <x:c r="N938" s="7" t="inlineStr">
        <x:is>
          <x:t xml:space="preserve">건조</x:t>
        </x:is>
      </x:c>
      <x:c r="O938" s="7" t="inlineStr">
        <x:is>
          <x:t xml:space="preserve">맑음</x:t>
        </x:is>
      </x:c>
      <x:c r="P938" s="7" t="inlineStr">
        <x:is>
          <x:t xml:space="preserve">무관</x:t>
        </x:is>
      </x:c>
      <x:c r="Q938" s="7" t="inlineStr">
        <x:is>
          <x:t xml:space="preserve">흔함</x:t>
        </x:is>
      </x:c>
      <x:c r="R938" s="7" t="inlineStr">
        <x:is>
          <x:t xml:space="preserve">화산</x:t>
        </x:is>
      </x:c>
      <x:c r="S938" s="7" t="inlineStr">
        <x:is>
          <x:t xml:space="preserve">화산</x:t>
        </x:is>
      </x:c>
      <x:c r="T938" s="7" t="inlineStr">
        <x:is>
          <x:t xml:space="preserve"/>
        </x:is>
      </x:c>
      <x:c r="U938" s="8" t="str">
        <x:f>INDEX('서식지_점수'!$E$4:$P$4,1,MATCH(MAX('서식지_점수'!E938:P938),'서식지_점수'!E938:P938,0))</x:f>
        <x:v>평원</x:v>
      </x:c>
      <x:c r="V938" s="8" t="str">
        <x:f>IF(T938&lt;&gt;"",T938,U938)</x:f>
        <x:v>평원</x:v>
      </x:c>
      <x:c r="W938" s="8" t="str">
        <x:f>IFERROR(INDEX('서식지_점수'!$E$4:$P$4,1,MATCH(MAXIFS('서식지_점수'!E938:P938,'서식지_점수'!E938:P938,"&lt;"&amp;MAX('서식지_점수'!E938:P938)),'서식지_점수'!E938:P938,0)),"")</x:f>
        <x:v>숲</x:v>
      </x:c>
      <x:c r="X938" s="8" t="str">
        <x:f>IF(T938&lt;&gt;"","수동확정",IF(MAX('서식지_점수'!E938:P938)-LARGE('서식지_점수'!E938:P938,2)&gt;=15,"높음",IF(MAX('서식지_점수'!E938:P938)-LARGE('서식지_점수'!E938:P938,2)&gt;=8,"보통","검토필요")))</x:f>
        <x:v>검토필요</x:v>
      </x:c>
      <x:c r="Y938" s="9" t="n">
        <x:f>IF(Q938="전설",8,IF(Q938="희귀",7,IF(J938="기본",1,IF(J938="중간",3,IF(J938="최종",IF(I938="",5,IF(I938&lt;=20,3,IF(I938&lt;=35,4,IF(I938&lt;=50,6,7)))),IF(Q938="드묾",4,2))))))</x:f>
        <x:v>6</x:v>
      </x:c>
      <x:c r="Z938" s="5" t="inlineStr">
        <x:is>
          <x:t xml:space="preserve">#cobblemon:is_badlands; #cobblemon:nether/is_quartz</x:t>
        </x:is>
      </x:c>
      <x:c r="AA938" s="5" t="inlineStr">
        <x:is>
          <x:t xml:space="preserve">common</x:t>
        </x:is>
      </x:c>
      <x:c r="AB938" s="5" t="inlineStr">
        <x:is>
          <x:t xml:space="preserve">예</x:t>
        </x:is>
      </x:c>
      <x:c r="AC938" s="8" t="str">
        <x:f>IF(T938&lt;&gt;"","수동확정",IF(X938="검토필요","검토필요",IF(S938="","원본없음","초기완료")))</x:f>
        <x:v>검토필요</x:v>
      </x:c>
      <x:c r="AD938" s="7" t="inlineStr">
        <x:is>
          <x:t xml:space="preserve"/>
        </x:is>
      </x:c>
      <x:c r="AE938" s="5" t="inlineStr">
        <x:is>
          <x:t xml:space="preserve">.tmp/cobblemon-1.7.3-source/common/src/main/resources/data/cobblemon/species/generation9/garganacl.json</x:t>
        </x:is>
      </x:c>
      <x:c r="AF938" s="5" t="str">
        <x:f>"생활권|"&amp;K938</x:f>
        <x:v>생활권|육상</x:v>
      </x:c>
      <x:c r="AG938" s="5" t="str">
        <x:f>"지형|"&amp;L938</x:f>
        <x:v>지형|화산</x:v>
      </x:c>
      <x:c r="AH938" s="5" t="str">
        <x:f>"온도|"&amp;M938</x:f>
        <x:v>온도|고온</x:v>
      </x:c>
      <x:c r="AI938" s="5" t="str">
        <x:f>"습도|"&amp;N938</x:f>
        <x:v>습도|건조</x:v>
      </x:c>
      <x:c r="AJ938" s="5" t="str">
        <x:f>"날씨|"&amp;O938</x:f>
        <x:v>날씨|맑음</x:v>
      </x:c>
      <x:c r="AK938" s="5" t="str">
        <x:f>"특수태그|"&amp;R938</x:f>
        <x:v>특수태그|화산</x:v>
      </x:c>
      <x:c r="AL938" s="5" t="str">
        <x:f>"원본서식지|"&amp;S938</x:f>
        <x:v>원본서식지|화산</x:v>
      </x:c>
      <x:c r="AM938" s="5" t="str">
        <x:f>"타입|"&amp;F938</x:f>
        <x:v>타입|바위</x:v>
      </x:c>
      <x:c r="AN938" s="5" t="str">
        <x:f>"타입|"&amp;G938</x:f>
        <x:v>타입|</x:v>
      </x:c>
    </x:row>
    <x:row r="939" ht="24" customHeight="1">
      <x:c r="A939" s="5" t="n">
        <x:v>935</x:v>
      </x:c>
      <x:c r="B939" s="5" t="inlineStr">
        <x:is>
          <x:t xml:space="preserve">카르본</x:t>
        </x:is>
      </x:c>
      <x:c r="C939" s="5" t="inlineStr">
        <x:is>
          <x:t xml:space="preserve">charcadet</x:t>
        </x:is>
      </x:c>
      <x:c r="D939" s="5" t="inlineStr">
        <x:is>
          <x:t xml:space="preserve">Charcadet</x:t>
        </x:is>
      </x:c>
      <x:c r="E939" s="5" t="n">
        <x:v>9</x:v>
      </x:c>
      <x:c r="F939" s="5" t="inlineStr">
        <x:is>
          <x:t xml:space="preserve">불꽃</x:t>
        </x:is>
      </x:c>
      <x:c r="G939" s="5" t="inlineStr">
        <x:is>
          <x:t xml:space="preserve"/>
        </x:is>
      </x:c>
      <x:c r="H939" s="6" t="n">
        <x:v>10.5</x:v>
      </x:c>
      <x:c r="I939" s="5" t="n"/>
      <x:c r="J939" s="5" t="inlineStr">
        <x:is>
          <x:t xml:space="preserve">기본</x:t>
        </x:is>
      </x:c>
      <x:c r="K939" s="7" t="inlineStr">
        <x:is>
          <x:t xml:space="preserve">육상</x:t>
        </x:is>
      </x:c>
      <x:c r="L939" s="7" t="inlineStr">
        <x:is>
          <x:t xml:space="preserve">화산</x:t>
        </x:is>
      </x:c>
      <x:c r="M939" s="7" t="inlineStr">
        <x:is>
          <x:t xml:space="preserve">고온</x:t>
        </x:is>
      </x:c>
      <x:c r="N939" s="7" t="inlineStr">
        <x:is>
          <x:t xml:space="preserve">건조</x:t>
        </x:is>
      </x:c>
      <x:c r="O939" s="7" t="inlineStr">
        <x:is>
          <x:t xml:space="preserve">맑음</x:t>
        </x:is>
      </x:c>
      <x:c r="P939" s="7" t="inlineStr">
        <x:is>
          <x:t xml:space="preserve">무관</x:t>
        </x:is>
      </x:c>
      <x:c r="Q939" s="7" t="inlineStr">
        <x:is>
          <x:t xml:space="preserve">보통</x:t>
        </x:is>
      </x:c>
      <x:c r="R939" s="7" t="inlineStr">
        <x:is>
          <x:t xml:space="preserve">화산</x:t>
        </x:is>
      </x:c>
      <x:c r="S939" s="7" t="inlineStr">
        <x:is>
          <x:t xml:space="preserve">화산</x:t>
        </x:is>
      </x:c>
      <x:c r="T939" s="7" t="inlineStr">
        <x:is>
          <x:t xml:space="preserve"/>
        </x:is>
      </x:c>
      <x:c r="U939" s="8" t="str">
        <x:f>INDEX('서식지_점수'!$E$4:$P$4,1,MATCH(MAX('서식지_점수'!E939:P939),'서식지_점수'!E939:P939,0))</x:f>
        <x:v>평원</x:v>
      </x:c>
      <x:c r="V939" s="8" t="str">
        <x:f>IF(T939&lt;&gt;"",T939,U939)</x:f>
        <x:v>평원</x:v>
      </x:c>
      <x:c r="W939" s="8" t="str">
        <x:f>IFERROR(INDEX('서식지_점수'!$E$4:$P$4,1,MATCH(MAXIFS('서식지_점수'!E939:P939,'서식지_점수'!E939:P939,"&lt;"&amp;MAX('서식지_점수'!E939:P939)),'서식지_점수'!E939:P939,0)),"")</x:f>
        <x:v>숲</x:v>
      </x:c>
      <x:c r="X939" s="8" t="str">
        <x:f>IF(T939&lt;&gt;"","수동확정",IF(MAX('서식지_점수'!E939:P939)-LARGE('서식지_점수'!E939:P939,2)&gt;=15,"높음",IF(MAX('서식지_점수'!E939:P939)-LARGE('서식지_점수'!E939:P939,2)&gt;=8,"보통","검토필요")))</x:f>
        <x:v>검토필요</x:v>
      </x:c>
      <x:c r="Y939" s="9" t="n">
        <x:f>IF(Q939="전설",8,IF(Q939="희귀",7,IF(J939="기본",1,IF(J939="중간",3,IF(J939="최종",IF(I939="",5,IF(I939&lt;=20,3,IF(I939&lt;=35,4,IF(I939&lt;=50,6,7)))),IF(Q939="드묾",4,2))))))</x:f>
        <x:v>1</x:v>
      </x:c>
      <x:c r="Z939" s="5" t="inlineStr">
        <x:is>
          <x:t xml:space="preserve">#aether:is_aether; #cobblemon:is_overworld; #minecraft:is_nether</x:t>
        </x:is>
      </x:c>
      <x:c r="AA939" s="5" t="inlineStr">
        <x:is>
          <x:t xml:space="preserve">uncommon</x:t>
        </x:is>
      </x:c>
      <x:c r="AB939" s="5" t="inlineStr">
        <x:is>
          <x:t xml:space="preserve">예</x:t>
        </x:is>
      </x:c>
      <x:c r="AC939" s="8" t="str">
        <x:f>IF(T939&lt;&gt;"","수동확정",IF(X939="검토필요","검토필요",IF(S939="","원본없음","초기완료")))</x:f>
        <x:v>검토필요</x:v>
      </x:c>
      <x:c r="AD939" s="7" t="inlineStr">
        <x:is>
          <x:t xml:space="preserve"/>
        </x:is>
      </x:c>
      <x:c r="AE939" s="5" t="inlineStr">
        <x:is>
          <x:t xml:space="preserve">.tmp/cobblemon-1.7.3-source/common/src/main/resources/data/cobblemon/species/generation9/charcadet.json</x:t>
        </x:is>
      </x:c>
      <x:c r="AF939" s="5" t="str">
        <x:f>"생활권|"&amp;K939</x:f>
        <x:v>생활권|육상</x:v>
      </x:c>
      <x:c r="AG939" s="5" t="str">
        <x:f>"지형|"&amp;L939</x:f>
        <x:v>지형|화산</x:v>
      </x:c>
      <x:c r="AH939" s="5" t="str">
        <x:f>"온도|"&amp;M939</x:f>
        <x:v>온도|고온</x:v>
      </x:c>
      <x:c r="AI939" s="5" t="str">
        <x:f>"습도|"&amp;N939</x:f>
        <x:v>습도|건조</x:v>
      </x:c>
      <x:c r="AJ939" s="5" t="str">
        <x:f>"날씨|"&amp;O939</x:f>
        <x:v>날씨|맑음</x:v>
      </x:c>
      <x:c r="AK939" s="5" t="str">
        <x:f>"특수태그|"&amp;R939</x:f>
        <x:v>특수태그|화산</x:v>
      </x:c>
      <x:c r="AL939" s="5" t="str">
        <x:f>"원본서식지|"&amp;S939</x:f>
        <x:v>원본서식지|화산</x:v>
      </x:c>
      <x:c r="AM939" s="5" t="str">
        <x:f>"타입|"&amp;F939</x:f>
        <x:v>타입|불꽃</x:v>
      </x:c>
      <x:c r="AN939" s="5" t="str">
        <x:f>"타입|"&amp;G939</x:f>
        <x:v>타입|</x:v>
      </x:c>
    </x:row>
    <x:row r="940" ht="24" customHeight="1">
      <x:c r="A940" s="5" t="n">
        <x:v>936</x:v>
      </x:c>
      <x:c r="B940" s="5" t="inlineStr">
        <x:is>
          <x:t xml:space="preserve">카디나르마</x:t>
        </x:is>
      </x:c>
      <x:c r="C940" s="5" t="inlineStr">
        <x:is>
          <x:t xml:space="preserve">armarouge</x:t>
        </x:is>
      </x:c>
      <x:c r="D940" s="5" t="inlineStr">
        <x:is>
          <x:t xml:space="preserve">Armarouge</x:t>
        </x:is>
      </x:c>
      <x:c r="E940" s="5" t="n">
        <x:v>9</x:v>
      </x:c>
      <x:c r="F940" s="5" t="inlineStr">
        <x:is>
          <x:t xml:space="preserve">불꽃</x:t>
        </x:is>
      </x:c>
      <x:c r="G940" s="5" t="inlineStr">
        <x:is>
          <x:t xml:space="preserve">에스퍼</x:t>
        </x:is>
      </x:c>
      <x:c r="H940" s="6" t="n">
        <x:v>85</x:v>
      </x:c>
      <x:c r="I940" s="5" t="n"/>
      <x:c r="J940" s="5" t="inlineStr">
        <x:is>
          <x:t xml:space="preserve">최종</x:t>
        </x:is>
      </x:c>
      <x:c r="K940" s="7" t="inlineStr">
        <x:is>
          <x:t xml:space="preserve">육상</x:t>
        </x:is>
      </x:c>
      <x:c r="L940" s="7" t="inlineStr">
        <x:is>
          <x:t xml:space="preserve">화산</x:t>
        </x:is>
      </x:c>
      <x:c r="M940" s="7" t="inlineStr">
        <x:is>
          <x:t xml:space="preserve">고온</x:t>
        </x:is>
      </x:c>
      <x:c r="N940" s="7" t="inlineStr">
        <x:is>
          <x:t xml:space="preserve">건조</x:t>
        </x:is>
      </x:c>
      <x:c r="O940" s="7" t="inlineStr">
        <x:is>
          <x:t xml:space="preserve">맑음</x:t>
        </x:is>
      </x:c>
      <x:c r="P940" s="7" t="inlineStr">
        <x:is>
          <x:t xml:space="preserve">무관</x:t>
        </x:is>
      </x:c>
      <x:c r="Q940" s="7" t="inlineStr">
        <x:is>
          <x:t xml:space="preserve">보통</x:t>
        </x:is>
      </x:c>
      <x:c r="R940" s="7" t="inlineStr">
        <x:is>
          <x:t xml:space="preserve">화산</x:t>
        </x:is>
      </x:c>
      <x:c r="S940" s="7" t="inlineStr">
        <x:is>
          <x:t xml:space="preserve">화산</x:t>
        </x:is>
      </x:c>
      <x:c r="T940" s="7" t="inlineStr">
        <x:is>
          <x:t xml:space="preserve"/>
        </x:is>
      </x:c>
      <x:c r="U940" s="8" t="str">
        <x:f>INDEX('서식지_점수'!$E$4:$P$4,1,MATCH(MAX('서식지_점수'!E940:P940),'서식지_점수'!E940:P940,0))</x:f>
        <x:v>평원</x:v>
      </x:c>
      <x:c r="V940" s="8" t="str">
        <x:f>IF(T940&lt;&gt;"",T940,U940)</x:f>
        <x:v>평원</x:v>
      </x:c>
      <x:c r="W940" s="8" t="str">
        <x:f>IFERROR(INDEX('서식지_점수'!$E$4:$P$4,1,MATCH(MAXIFS('서식지_점수'!E940:P940,'서식지_점수'!E940:P940,"&lt;"&amp;MAX('서식지_점수'!E940:P940)),'서식지_점수'!E940:P940,0)),"")</x:f>
        <x:v>숲</x:v>
      </x:c>
      <x:c r="X940" s="8" t="str">
        <x:f>IF(T940&lt;&gt;"","수동확정",IF(MAX('서식지_점수'!E940:P940)-LARGE('서식지_점수'!E940:P940,2)&gt;=15,"높음",IF(MAX('서식지_점수'!E940:P940)-LARGE('서식지_점수'!E940:P940,2)&gt;=8,"보통","검토필요")))</x:f>
        <x:v>검토필요</x:v>
      </x:c>
      <x:c r="Y940" s="9" t="n">
        <x:f>IF(Q940="전설",8,IF(Q940="희귀",7,IF(J940="기본",1,IF(J940="중간",3,IF(J940="최종",IF(I940="",5,IF(I940&lt;=20,3,IF(I940&lt;=35,4,IF(I940&lt;=50,6,7)))),IF(Q940="드묾",4,2))))))</x:f>
        <x:v>5</x:v>
      </x:c>
      <x:c r="Z940" s="5" t="inlineStr">
        <x:is>
          <x:t xml:space="preserve">#aether:is_aether; #cobblemon:is_overworld; #minecraft:is_nether</x:t>
        </x:is>
      </x:c>
      <x:c r="AA940" s="5" t="inlineStr">
        <x:is>
          <x:t xml:space="preserve">rare; uncommon</x:t>
        </x:is>
      </x:c>
      <x:c r="AB940" s="5" t="inlineStr">
        <x:is>
          <x:t xml:space="preserve">예</x:t>
        </x:is>
      </x:c>
      <x:c r="AC940" s="8" t="str">
        <x:f>IF(T940&lt;&gt;"","수동확정",IF(X940="검토필요","검토필요",IF(S940="","원본없음","초기완료")))</x:f>
        <x:v>검토필요</x:v>
      </x:c>
      <x:c r="AD940" s="7" t="inlineStr">
        <x:is>
          <x:t xml:space="preserve"/>
        </x:is>
      </x:c>
      <x:c r="AE940" s="5" t="inlineStr">
        <x:is>
          <x:t xml:space="preserve">.tmp/cobblemon-1.7.3-source/common/src/main/resources/data/cobblemon/species/generation9/armarouge.json</x:t>
        </x:is>
      </x:c>
      <x:c r="AF940" s="5" t="str">
        <x:f>"생활권|"&amp;K940</x:f>
        <x:v>생활권|육상</x:v>
      </x:c>
      <x:c r="AG940" s="5" t="str">
        <x:f>"지형|"&amp;L940</x:f>
        <x:v>지형|화산</x:v>
      </x:c>
      <x:c r="AH940" s="5" t="str">
        <x:f>"온도|"&amp;M940</x:f>
        <x:v>온도|고온</x:v>
      </x:c>
      <x:c r="AI940" s="5" t="str">
        <x:f>"습도|"&amp;N940</x:f>
        <x:v>습도|건조</x:v>
      </x:c>
      <x:c r="AJ940" s="5" t="str">
        <x:f>"날씨|"&amp;O940</x:f>
        <x:v>날씨|맑음</x:v>
      </x:c>
      <x:c r="AK940" s="5" t="str">
        <x:f>"특수태그|"&amp;R940</x:f>
        <x:v>특수태그|화산</x:v>
      </x:c>
      <x:c r="AL940" s="5" t="str">
        <x:f>"원본서식지|"&amp;S940</x:f>
        <x:v>원본서식지|화산</x:v>
      </x:c>
      <x:c r="AM940" s="5" t="str">
        <x:f>"타입|"&amp;F940</x:f>
        <x:v>타입|불꽃</x:v>
      </x:c>
      <x:c r="AN940" s="5" t="str">
        <x:f>"타입|"&amp;G940</x:f>
        <x:v>타입|에스퍼</x:v>
      </x:c>
    </x:row>
    <x:row r="941" ht="24" customHeight="1">
      <x:c r="A941" s="5" t="n">
        <x:v>937</x:v>
      </x:c>
      <x:c r="B941" s="5" t="inlineStr">
        <x:is>
          <x:t xml:space="preserve">파라블레이즈</x:t>
        </x:is>
      </x:c>
      <x:c r="C941" s="5" t="inlineStr">
        <x:is>
          <x:t xml:space="preserve">ceruledge</x:t>
        </x:is>
      </x:c>
      <x:c r="D941" s="5" t="inlineStr">
        <x:is>
          <x:t xml:space="preserve">Ceruledge</x:t>
        </x:is>
      </x:c>
      <x:c r="E941" s="5" t="n">
        <x:v>9</x:v>
      </x:c>
      <x:c r="F941" s="5" t="inlineStr">
        <x:is>
          <x:t xml:space="preserve">불꽃</x:t>
        </x:is>
      </x:c>
      <x:c r="G941" s="5" t="inlineStr">
        <x:is>
          <x:t xml:space="preserve">고스트</x:t>
        </x:is>
      </x:c>
      <x:c r="H941" s="6" t="n">
        <x:v>62</x:v>
      </x:c>
      <x:c r="I941" s="5" t="n"/>
      <x:c r="J941" s="5" t="inlineStr">
        <x:is>
          <x:t xml:space="preserve">최종</x:t>
        </x:is>
      </x:c>
      <x:c r="K941" s="7" t="inlineStr">
        <x:is>
          <x:t xml:space="preserve">영체</x:t>
        </x:is>
      </x:c>
      <x:c r="L941" s="7" t="inlineStr">
        <x:is>
          <x:t xml:space="preserve">화산</x:t>
        </x:is>
      </x:c>
      <x:c r="M941" s="7" t="inlineStr">
        <x:is>
          <x:t xml:space="preserve">고온</x:t>
        </x:is>
      </x:c>
      <x:c r="N941" s="7" t="inlineStr">
        <x:is>
          <x:t xml:space="preserve">건조</x:t>
        </x:is>
      </x:c>
      <x:c r="O941" s="7" t="inlineStr">
        <x:is>
          <x:t xml:space="preserve">맑음</x:t>
        </x:is>
      </x:c>
      <x:c r="P941" s="7" t="inlineStr">
        <x:is>
          <x:t xml:space="preserve">밤</x:t>
        </x:is>
      </x:c>
      <x:c r="Q941" s="7" t="inlineStr">
        <x:is>
          <x:t xml:space="preserve">보통</x:t>
        </x:is>
      </x:c>
      <x:c r="R941" s="7" t="inlineStr">
        <x:is>
          <x:t xml:space="preserve">영체</x:t>
        </x:is>
      </x:c>
      <x:c r="S941" s="7" t="inlineStr">
        <x:is>
          <x:t xml:space="preserve">화산</x:t>
        </x:is>
      </x:c>
      <x:c r="T941" s="7" t="inlineStr">
        <x:is>
          <x:t xml:space="preserve"/>
        </x:is>
      </x:c>
      <x:c r="U941" s="8" t="str">
        <x:f>INDEX('서식지_점수'!$E$4:$P$4,1,MATCH(MAX('서식지_점수'!E941:P941),'서식지_점수'!E941:P941,0))</x:f>
        <x:v>특수</x:v>
      </x:c>
      <x:c r="V941" s="8" t="str">
        <x:f>IF(T941&lt;&gt;"",T941,U941)</x:f>
        <x:v>특수</x:v>
      </x:c>
      <x:c r="W941" s="8" t="str">
        <x:f>IFERROR(INDEX('서식지_점수'!$E$4:$P$4,1,MATCH(MAXIFS('서식지_점수'!E941:P941,'서식지_점수'!E941:P941,"&lt;"&amp;MAX('서식지_점수'!E941:P941)),'서식지_점수'!E941:P941,0)),"")</x:f>
        <x:v>동굴</x:v>
      </x:c>
      <x:c r="X941" s="8" t="str">
        <x:f>IF(T941&lt;&gt;"","수동확정",IF(MAX('서식지_점수'!E941:P941)-LARGE('서식지_점수'!E941:P941,2)&gt;=15,"높음",IF(MAX('서식지_점수'!E941:P941)-LARGE('서식지_점수'!E941:P941,2)&gt;=8,"보통","검토필요")))</x:f>
        <x:v>높음</x:v>
      </x:c>
      <x:c r="Y941" s="9" t="n">
        <x:f>IF(Q941="전설",8,IF(Q941="희귀",7,IF(J941="기본",1,IF(J941="중간",3,IF(J941="최종",IF(I941="",5,IF(I941&lt;=20,3,IF(I941&lt;=35,4,IF(I941&lt;=50,6,7)))),IF(Q941="드묾",4,2))))))</x:f>
        <x:v>5</x:v>
      </x:c>
      <x:c r="Z941" s="5" t="inlineStr">
        <x:is>
          <x:t xml:space="preserve">#aether:is_aether; #cobblemon:is_overworld; #minecraft:is_nether</x:t>
        </x:is>
      </x:c>
      <x:c r="AA941" s="5" t="inlineStr">
        <x:is>
          <x:t xml:space="preserve">uncommon</x:t>
        </x:is>
      </x:c>
      <x:c r="AB941" s="5" t="inlineStr">
        <x:is>
          <x:t xml:space="preserve">예</x:t>
        </x:is>
      </x:c>
      <x:c r="AC941" s="8" t="str">
        <x:f>IF(T941&lt;&gt;"","수동확정",IF(X941="검토필요","검토필요",IF(S941="","원본없음","초기완료")))</x:f>
        <x:v>초기완료</x:v>
      </x:c>
      <x:c r="AD941" s="7" t="inlineStr">
        <x:is>
          <x:t xml:space="preserve"/>
        </x:is>
      </x:c>
      <x:c r="AE941" s="5" t="inlineStr">
        <x:is>
          <x:t xml:space="preserve">.tmp/cobblemon-1.7.3-source/common/src/main/resources/data/cobblemon/species/generation9/ceruledge.json</x:t>
        </x:is>
      </x:c>
      <x:c r="AF941" s="5" t="str">
        <x:f>"생활권|"&amp;K941</x:f>
        <x:v>생활권|영체</x:v>
      </x:c>
      <x:c r="AG941" s="5" t="str">
        <x:f>"지형|"&amp;L941</x:f>
        <x:v>지형|화산</x:v>
      </x:c>
      <x:c r="AH941" s="5" t="str">
        <x:f>"온도|"&amp;M941</x:f>
        <x:v>온도|고온</x:v>
      </x:c>
      <x:c r="AI941" s="5" t="str">
        <x:f>"습도|"&amp;N941</x:f>
        <x:v>습도|건조</x:v>
      </x:c>
      <x:c r="AJ941" s="5" t="str">
        <x:f>"날씨|"&amp;O941</x:f>
        <x:v>날씨|맑음</x:v>
      </x:c>
      <x:c r="AK941" s="5" t="str">
        <x:f>"특수태그|"&amp;R941</x:f>
        <x:v>특수태그|영체</x:v>
      </x:c>
      <x:c r="AL941" s="5" t="str">
        <x:f>"원본서식지|"&amp;S941</x:f>
        <x:v>원본서식지|화산</x:v>
      </x:c>
      <x:c r="AM941" s="5" t="str">
        <x:f>"타입|"&amp;F941</x:f>
        <x:v>타입|불꽃</x:v>
      </x:c>
      <x:c r="AN941" s="5" t="str">
        <x:f>"타입|"&amp;G941</x:f>
        <x:v>타입|고스트</x:v>
      </x:c>
    </x:row>
    <x:row r="942" ht="24" customHeight="1">
      <x:c r="A942" s="5" t="n">
        <x:v>938</x:v>
      </x:c>
      <x:c r="B942" s="5" t="inlineStr">
        <x:is>
          <x:t xml:space="preserve">빈나두</x:t>
        </x:is>
      </x:c>
      <x:c r="C942" s="5" t="inlineStr">
        <x:is>
          <x:t xml:space="preserve">tadbulb</x:t>
        </x:is>
      </x:c>
      <x:c r="D942" s="5" t="inlineStr">
        <x:is>
          <x:t xml:space="preserve">Tadbulb</x:t>
        </x:is>
      </x:c>
      <x:c r="E942" s="5" t="n">
        <x:v>9</x:v>
      </x:c>
      <x:c r="F942" s="5" t="inlineStr">
        <x:is>
          <x:t xml:space="preserve">전기</x:t>
        </x:is>
      </x:c>
      <x:c r="G942" s="5" t="inlineStr">
        <x:is>
          <x:t xml:space="preserve"/>
        </x:is>
      </x:c>
      <x:c r="H942" s="6" t="n">
        <x:v>0.4</x:v>
      </x:c>
      <x:c r="I942" s="5" t="n"/>
      <x:c r="J942" s="5" t="inlineStr">
        <x:is>
          <x:t xml:space="preserve">기본</x:t>
        </x:is>
      </x:c>
      <x:c r="K942" s="7" t="inlineStr">
        <x:is>
          <x:t xml:space="preserve">담수</x:t>
        </x:is>
      </x:c>
      <x:c r="L942" s="7" t="inlineStr">
        <x:is>
          <x:t xml:space="preserve">담수</x:t>
        </x:is>
      </x:c>
      <x:c r="M942" s="7" t="inlineStr">
        <x:is>
          <x:t xml:space="preserve">온대</x:t>
        </x:is>
      </x:c>
      <x:c r="N942" s="7" t="inlineStr">
        <x:is>
          <x:t xml:space="preserve">수중</x:t>
        </x:is>
      </x:c>
      <x:c r="O942" s="7" t="inlineStr">
        <x:is>
          <x:t xml:space="preserve">비</x:t>
        </x:is>
      </x:c>
      <x:c r="P942" s="7" t="inlineStr">
        <x:is>
          <x:t xml:space="preserve">무관</x:t>
        </x:is>
      </x:c>
      <x:c r="Q942" s="7" t="inlineStr">
        <x:is>
          <x:t xml:space="preserve">흔함</x:t>
        </x:is>
      </x:c>
      <x:c r="R942" s="7" t="inlineStr">
        <x:is>
          <x:t xml:space="preserve">없음</x:t>
        </x:is>
      </x:c>
      <x:c r="S942" s="7" t="inlineStr">
        <x:is>
          <x:t xml:space="preserve">담수</x:t>
        </x:is>
      </x:c>
      <x:c r="T942" s="7" t="inlineStr">
        <x:is>
          <x:t xml:space="preserve"/>
        </x:is>
      </x:c>
      <x:c r="U942" s="8" t="str">
        <x:f>INDEX('서식지_점수'!$E$4:$P$4,1,MATCH(MAX('서식지_점수'!E942:P942),'서식지_점수'!E942:P942,0))</x:f>
        <x:v>담수</x:v>
      </x:c>
      <x:c r="V942" s="8" t="str">
        <x:f>IF(T942&lt;&gt;"",T942,U942)</x:f>
        <x:v>담수</x:v>
      </x:c>
      <x:c r="W942" s="8" t="str">
        <x:f>IFERROR(INDEX('서식지_점수'!$E$4:$P$4,1,MATCH(MAXIFS('서식지_점수'!E942:P942,'서식지_점수'!E942:P942,"&lt;"&amp;MAX('서식지_점수'!E942:P942)),'서식지_점수'!E942:P942,0)),"")</x:f>
        <x:v>습지</x:v>
      </x:c>
      <x:c r="X942" s="8" t="str">
        <x:f>IF(T942&lt;&gt;"","수동확정",IF(MAX('서식지_점수'!E942:P942)-LARGE('서식지_점수'!E942:P942,2)&gt;=15,"높음",IF(MAX('서식지_점수'!E942:P942)-LARGE('서식지_점수'!E942:P942,2)&gt;=8,"보통","검토필요")))</x:f>
        <x:v>높음</x:v>
      </x:c>
      <x:c r="Y942" s="9" t="n">
        <x:f>IF(Q942="전설",8,IF(Q942="희귀",7,IF(J942="기본",1,IF(J942="중간",3,IF(J942="최종",IF(I942="",5,IF(I942&lt;=20,3,IF(I942&lt;=35,4,IF(I942&lt;=50,6,7)))),IF(Q942="드묾",4,2))))))</x:f>
        <x:v>1</x:v>
      </x:c>
      <x:c r="Z942" s="5" t="inlineStr">
        <x:is>
          <x:t xml:space="preserve">#cobblemon:is_freshwater; #cobblemon:is_river</x:t>
        </x:is>
      </x:c>
      <x:c r="AA942" s="5" t="inlineStr">
        <x:is>
          <x:t xml:space="preserve">common</x:t>
        </x:is>
      </x:c>
      <x:c r="AB942" s="5" t="inlineStr">
        <x:is>
          <x:t xml:space="preserve">예</x:t>
        </x:is>
      </x:c>
      <x:c r="AC942" s="8" t="str">
        <x:f>IF(T942&lt;&gt;"","수동확정",IF(X942="검토필요","검토필요",IF(S942="","원본없음","초기완료")))</x:f>
        <x:v>초기완료</x:v>
      </x:c>
      <x:c r="AD942" s="7" t="inlineStr">
        <x:is>
          <x:t xml:space="preserve"/>
        </x:is>
      </x:c>
      <x:c r="AE942" s="5" t="inlineStr">
        <x:is>
          <x:t xml:space="preserve">.tmp/cobblemon-1.7.3-source/common/src/main/resources/data/cobblemon/species/generation9/tadbulb.json</x:t>
        </x:is>
      </x:c>
      <x:c r="AF942" s="5" t="str">
        <x:f>"생활권|"&amp;K942</x:f>
        <x:v>생활권|담수</x:v>
      </x:c>
      <x:c r="AG942" s="5" t="str">
        <x:f>"지형|"&amp;L942</x:f>
        <x:v>지형|담수</x:v>
      </x:c>
      <x:c r="AH942" s="5" t="str">
        <x:f>"온도|"&amp;M942</x:f>
        <x:v>온도|온대</x:v>
      </x:c>
      <x:c r="AI942" s="5" t="str">
        <x:f>"습도|"&amp;N942</x:f>
        <x:v>습도|수중</x:v>
      </x:c>
      <x:c r="AJ942" s="5" t="str">
        <x:f>"날씨|"&amp;O942</x:f>
        <x:v>날씨|비</x:v>
      </x:c>
      <x:c r="AK942" s="5" t="str">
        <x:f>"특수태그|"&amp;R942</x:f>
        <x:v>특수태그|없음</x:v>
      </x:c>
      <x:c r="AL942" s="5" t="str">
        <x:f>"원본서식지|"&amp;S942</x:f>
        <x:v>원본서식지|담수</x:v>
      </x:c>
      <x:c r="AM942" s="5" t="str">
        <x:f>"타입|"&amp;F942</x:f>
        <x:v>타입|전기</x:v>
      </x:c>
      <x:c r="AN942" s="5" t="str">
        <x:f>"타입|"&amp;G942</x:f>
        <x:v>타입|</x:v>
      </x:c>
    </x:row>
    <x:row r="943" ht="24" customHeight="1">
      <x:c r="A943" s="5" t="n">
        <x:v>939</x:v>
      </x:c>
      <x:c r="B943" s="5" t="inlineStr">
        <x:is>
          <x:t xml:space="preserve">찌리배리</x:t>
        </x:is>
      </x:c>
      <x:c r="C943" s="5" t="inlineStr">
        <x:is>
          <x:t xml:space="preserve">bellibolt</x:t>
        </x:is>
      </x:c>
      <x:c r="D943" s="5" t="inlineStr">
        <x:is>
          <x:t xml:space="preserve">Bellibolt</x:t>
        </x:is>
      </x:c>
      <x:c r="E943" s="5" t="n">
        <x:v>9</x:v>
      </x:c>
      <x:c r="F943" s="5" t="inlineStr">
        <x:is>
          <x:t xml:space="preserve">전기</x:t>
        </x:is>
      </x:c>
      <x:c r="G943" s="5" t="inlineStr">
        <x:is>
          <x:t xml:space="preserve"/>
        </x:is>
      </x:c>
      <x:c r="H943" s="6" t="n">
        <x:v>113</x:v>
      </x:c>
      <x:c r="I943" s="5" t="n"/>
      <x:c r="J943" s="5" t="inlineStr">
        <x:is>
          <x:t xml:space="preserve">최종</x:t>
        </x:is>
      </x:c>
      <x:c r="K943" s="7" t="inlineStr">
        <x:is>
          <x:t xml:space="preserve">담수</x:t>
        </x:is>
      </x:c>
      <x:c r="L943" s="7" t="inlineStr">
        <x:is>
          <x:t xml:space="preserve">담수</x:t>
        </x:is>
      </x:c>
      <x:c r="M943" s="7" t="inlineStr">
        <x:is>
          <x:t xml:space="preserve">온대</x:t>
        </x:is>
      </x:c>
      <x:c r="N943" s="7" t="inlineStr">
        <x:is>
          <x:t xml:space="preserve">수중</x:t>
        </x:is>
      </x:c>
      <x:c r="O943" s="7" t="inlineStr">
        <x:is>
          <x:t xml:space="preserve">비</x:t>
        </x:is>
      </x:c>
      <x:c r="P943" s="7" t="inlineStr">
        <x:is>
          <x:t xml:space="preserve">무관</x:t>
        </x:is>
      </x:c>
      <x:c r="Q943" s="7" t="inlineStr">
        <x:is>
          <x:t xml:space="preserve">흔함</x:t>
        </x:is>
      </x:c>
      <x:c r="R943" s="7" t="inlineStr">
        <x:is>
          <x:t xml:space="preserve">없음</x:t>
        </x:is>
      </x:c>
      <x:c r="S943" s="7" t="inlineStr">
        <x:is>
          <x:t xml:space="preserve">담수</x:t>
        </x:is>
      </x:c>
      <x:c r="T943" s="7" t="inlineStr">
        <x:is>
          <x:t xml:space="preserve"/>
        </x:is>
      </x:c>
      <x:c r="U943" s="8" t="str">
        <x:f>INDEX('서식지_점수'!$E$4:$P$4,1,MATCH(MAX('서식지_점수'!E943:P943),'서식지_점수'!E943:P943,0))</x:f>
        <x:v>담수</x:v>
      </x:c>
      <x:c r="V943" s="8" t="str">
        <x:f>IF(T943&lt;&gt;"",T943,U943)</x:f>
        <x:v>담수</x:v>
      </x:c>
      <x:c r="W943" s="8" t="str">
        <x:f>IFERROR(INDEX('서식지_점수'!$E$4:$P$4,1,MATCH(MAXIFS('서식지_점수'!E943:P943,'서식지_점수'!E943:P943,"&lt;"&amp;MAX('서식지_점수'!E943:P943)),'서식지_점수'!E943:P943,0)),"")</x:f>
        <x:v>습지</x:v>
      </x:c>
      <x:c r="X943" s="8" t="str">
        <x:f>IF(T943&lt;&gt;"","수동확정",IF(MAX('서식지_점수'!E943:P943)-LARGE('서식지_점수'!E943:P943,2)&gt;=15,"높음",IF(MAX('서식지_점수'!E943:P943)-LARGE('서식지_점수'!E943:P943,2)&gt;=8,"보통","검토필요")))</x:f>
        <x:v>높음</x:v>
      </x:c>
      <x:c r="Y943" s="9" t="n">
        <x:f>IF(Q943="전설",8,IF(Q943="희귀",7,IF(J943="기본",1,IF(J943="중간",3,IF(J943="최종",IF(I943="",5,IF(I943&lt;=20,3,IF(I943&lt;=35,4,IF(I943&lt;=50,6,7)))),IF(Q943="드묾",4,2))))))</x:f>
        <x:v>5</x:v>
      </x:c>
      <x:c r="Z943" s="5" t="inlineStr">
        <x:is>
          <x:t xml:space="preserve">#cobblemon:is_freshwater; #cobblemon:is_savanna</x:t>
        </x:is>
      </x:c>
      <x:c r="AA943" s="5" t="inlineStr">
        <x:is>
          <x:t xml:space="preserve">common</x:t>
        </x:is>
      </x:c>
      <x:c r="AB943" s="5" t="inlineStr">
        <x:is>
          <x:t xml:space="preserve">예</x:t>
        </x:is>
      </x:c>
      <x:c r="AC943" s="8" t="str">
        <x:f>IF(T943&lt;&gt;"","수동확정",IF(X943="검토필요","검토필요",IF(S943="","원본없음","초기완료")))</x:f>
        <x:v>초기완료</x:v>
      </x:c>
      <x:c r="AD943" s="7" t="inlineStr">
        <x:is>
          <x:t xml:space="preserve"/>
        </x:is>
      </x:c>
      <x:c r="AE943" s="5" t="inlineStr">
        <x:is>
          <x:t xml:space="preserve">.tmp/cobblemon-1.7.3-source/common/src/main/resources/data/cobblemon/species/generation9/bellibolt.json</x:t>
        </x:is>
      </x:c>
      <x:c r="AF943" s="5" t="str">
        <x:f>"생활권|"&amp;K943</x:f>
        <x:v>생활권|담수</x:v>
      </x:c>
      <x:c r="AG943" s="5" t="str">
        <x:f>"지형|"&amp;L943</x:f>
        <x:v>지형|담수</x:v>
      </x:c>
      <x:c r="AH943" s="5" t="str">
        <x:f>"온도|"&amp;M943</x:f>
        <x:v>온도|온대</x:v>
      </x:c>
      <x:c r="AI943" s="5" t="str">
        <x:f>"습도|"&amp;N943</x:f>
        <x:v>습도|수중</x:v>
      </x:c>
      <x:c r="AJ943" s="5" t="str">
        <x:f>"날씨|"&amp;O943</x:f>
        <x:v>날씨|비</x:v>
      </x:c>
      <x:c r="AK943" s="5" t="str">
        <x:f>"특수태그|"&amp;R943</x:f>
        <x:v>특수태그|없음</x:v>
      </x:c>
      <x:c r="AL943" s="5" t="str">
        <x:f>"원본서식지|"&amp;S943</x:f>
        <x:v>원본서식지|담수</x:v>
      </x:c>
      <x:c r="AM943" s="5" t="str">
        <x:f>"타입|"&amp;F943</x:f>
        <x:v>타입|전기</x:v>
      </x:c>
      <x:c r="AN943" s="5" t="str">
        <x:f>"타입|"&amp;G943</x:f>
        <x:v>타입|</x:v>
      </x:c>
    </x:row>
    <x:row r="944" ht="24" customHeight="1">
      <x:c r="A944" s="5" t="n">
        <x:v>940</x:v>
      </x:c>
      <x:c r="B944" s="5" t="inlineStr">
        <x:is>
          <x:t xml:space="preserve">찌리비</x:t>
        </x:is>
      </x:c>
      <x:c r="C944" s="5" t="inlineStr">
        <x:is>
          <x:t xml:space="preserve">wattrel</x:t>
        </x:is>
      </x:c>
      <x:c r="D944" s="5" t="inlineStr">
        <x:is>
          <x:t xml:space="preserve">Wattrel</x:t>
        </x:is>
      </x:c>
      <x:c r="E944" s="5" t="n">
        <x:v>9</x:v>
      </x:c>
      <x:c r="F944" s="5" t="inlineStr">
        <x:is>
          <x:t xml:space="preserve">전기</x:t>
        </x:is>
      </x:c>
      <x:c r="G944" s="5" t="inlineStr">
        <x:is>
          <x:t xml:space="preserve">비행</x:t>
        </x:is>
      </x:c>
      <x:c r="H944" s="6" t="n">
        <x:v>3.6</x:v>
      </x:c>
      <x:c r="I944" s="5" t="n">
        <x:v>25</x:v>
      </x:c>
      <x:c r="J944" s="5" t="inlineStr">
        <x:is>
          <x:t xml:space="preserve">기본</x:t>
        </x:is>
      </x:c>
      <x:c r="K944" s="7" t="inlineStr">
        <x:is>
          <x:t xml:space="preserve">해양</x:t>
        </x:is>
      </x:c>
      <x:c r="L944" s="7" t="inlineStr">
        <x:is>
          <x:t xml:space="preserve">해안·해양</x:t>
        </x:is>
      </x:c>
      <x:c r="M944" s="7" t="inlineStr">
        <x:is>
          <x:t xml:space="preserve">온대</x:t>
        </x:is>
      </x:c>
      <x:c r="N944" s="7" t="inlineStr">
        <x:is>
          <x:t xml:space="preserve">수중</x:t>
        </x:is>
      </x:c>
      <x:c r="O944" s="7" t="inlineStr">
        <x:is>
          <x:t xml:space="preserve">비</x:t>
        </x:is>
      </x:c>
      <x:c r="P944" s="7" t="inlineStr">
        <x:is>
          <x:t xml:space="preserve">밤</x:t>
        </x:is>
      </x:c>
      <x:c r="Q944" s="7" t="inlineStr">
        <x:is>
          <x:t xml:space="preserve">보통</x:t>
        </x:is>
      </x:c>
      <x:c r="R944" s="7" t="inlineStr">
        <x:is>
          <x:t xml:space="preserve">없음</x:t>
        </x:is>
      </x:c>
      <x:c r="S944" s="7" t="inlineStr">
        <x:is>
          <x:t xml:space="preserve">해양</x:t>
        </x:is>
      </x:c>
      <x:c r="T944" s="7" t="inlineStr">
        <x:is>
          <x:t xml:space="preserve"/>
        </x:is>
      </x:c>
      <x:c r="U944" s="8" t="str">
        <x:f>INDEX('서식지_점수'!$E$4:$P$4,1,MATCH(MAX('서식지_점수'!E944:P944),'서식지_점수'!E944:P944,0))</x:f>
        <x:v>해양</x:v>
      </x:c>
      <x:c r="V944" s="8" t="str">
        <x:f>IF(T944&lt;&gt;"",T944,U944)</x:f>
        <x:v>해양</x:v>
      </x:c>
      <x:c r="W944" s="8" t="str">
        <x:f>IFERROR(INDEX('서식지_점수'!$E$4:$P$4,1,MATCH(MAXIFS('서식지_점수'!E944:P944,'서식지_점수'!E944:P944,"&lt;"&amp;MAX('서식지_점수'!E944:P944)),'서식지_점수'!E944:P944,0)),"")</x:f>
        <x:v>습지</x:v>
      </x:c>
      <x:c r="X944" s="8" t="str">
        <x:f>IF(T944&lt;&gt;"","수동확정",IF(MAX('서식지_점수'!E944:P944)-LARGE('서식지_점수'!E944:P944,2)&gt;=15,"높음",IF(MAX('서식지_점수'!E944:P944)-LARGE('서식지_점수'!E944:P944,2)&gt;=8,"보통","검토필요")))</x:f>
        <x:v>높음</x:v>
      </x:c>
      <x:c r="Y944" s="9" t="n">
        <x:f>IF(Q944="전설",8,IF(Q944="희귀",7,IF(J944="기본",1,IF(J944="중간",3,IF(J944="최종",IF(I944="",5,IF(I944&lt;=20,3,IF(I944&lt;=35,4,IF(I944&lt;=50,6,7)))),IF(Q944="드묾",4,2))))))</x:f>
        <x:v>1</x:v>
      </x:c>
      <x:c r="Z944" s="5" t="inlineStr">
        <x:is>
          <x:t xml:space="preserve">#cobblemon:is_coast; #cobblemon:is_island; #cobblemon:is_ocean; #cobblemon:is_sky</x:t>
        </x:is>
      </x:c>
      <x:c r="AA944" s="5" t="inlineStr">
        <x:is>
          <x:t xml:space="preserve">common; uncommon</x:t>
        </x:is>
      </x:c>
      <x:c r="AB944" s="5" t="inlineStr">
        <x:is>
          <x:t xml:space="preserve">예</x:t>
        </x:is>
      </x:c>
      <x:c r="AC944" s="8" t="str">
        <x:f>IF(T944&lt;&gt;"","수동확정",IF(X944="검토필요","검토필요",IF(S944="","원본없음","초기완료")))</x:f>
        <x:v>초기완료</x:v>
      </x:c>
      <x:c r="AD944" s="7" t="inlineStr">
        <x:is>
          <x:t xml:space="preserve"/>
        </x:is>
      </x:c>
      <x:c r="AE944" s="5" t="inlineStr">
        <x:is>
          <x:t xml:space="preserve">.tmp/cobblemon-1.7.3-source/common/src/main/resources/data/cobblemon/species/generation9/wattrel.json</x:t>
        </x:is>
      </x:c>
      <x:c r="AF944" s="5" t="str">
        <x:f>"생활권|"&amp;K944</x:f>
        <x:v>생활권|해양</x:v>
      </x:c>
      <x:c r="AG944" s="5" t="str">
        <x:f>"지형|"&amp;L944</x:f>
        <x:v>지형|해안·해양</x:v>
      </x:c>
      <x:c r="AH944" s="5" t="str">
        <x:f>"온도|"&amp;M944</x:f>
        <x:v>온도|온대</x:v>
      </x:c>
      <x:c r="AI944" s="5" t="str">
        <x:f>"습도|"&amp;N944</x:f>
        <x:v>습도|수중</x:v>
      </x:c>
      <x:c r="AJ944" s="5" t="str">
        <x:f>"날씨|"&amp;O944</x:f>
        <x:v>날씨|비</x:v>
      </x:c>
      <x:c r="AK944" s="5" t="str">
        <x:f>"특수태그|"&amp;R944</x:f>
        <x:v>특수태그|없음</x:v>
      </x:c>
      <x:c r="AL944" s="5" t="str">
        <x:f>"원본서식지|"&amp;S944</x:f>
        <x:v>원본서식지|해양</x:v>
      </x:c>
      <x:c r="AM944" s="5" t="str">
        <x:f>"타입|"&amp;F944</x:f>
        <x:v>타입|전기</x:v>
      </x:c>
      <x:c r="AN944" s="5" t="str">
        <x:f>"타입|"&amp;G944</x:f>
        <x:v>타입|비행</x:v>
      </x:c>
    </x:row>
    <x:row r="945" ht="24" customHeight="1">
      <x:c r="A945" s="5" t="n">
        <x:v>941</x:v>
      </x:c>
      <x:c r="B945" s="5" t="inlineStr">
        <x:is>
          <x:t xml:space="preserve">찌리비크</x:t>
        </x:is>
      </x:c>
      <x:c r="C945" s="5" t="inlineStr">
        <x:is>
          <x:t xml:space="preserve">kilowattrel</x:t>
        </x:is>
      </x:c>
      <x:c r="D945" s="5" t="inlineStr">
        <x:is>
          <x:t xml:space="preserve">Kilowattrel</x:t>
        </x:is>
      </x:c>
      <x:c r="E945" s="5" t="n">
        <x:v>9</x:v>
      </x:c>
      <x:c r="F945" s="5" t="inlineStr">
        <x:is>
          <x:t xml:space="preserve">전기</x:t>
        </x:is>
      </x:c>
      <x:c r="G945" s="5" t="inlineStr">
        <x:is>
          <x:t xml:space="preserve">비행</x:t>
        </x:is>
      </x:c>
      <x:c r="H945" s="6" t="n">
        <x:v>38.6</x:v>
      </x:c>
      <x:c r="I945" s="5" t="n">
        <x:v>25</x:v>
      </x:c>
      <x:c r="J945" s="5" t="inlineStr">
        <x:is>
          <x:t xml:space="preserve">최종</x:t>
        </x:is>
      </x:c>
      <x:c r="K945" s="7" t="inlineStr">
        <x:is>
          <x:t xml:space="preserve">해양</x:t>
        </x:is>
      </x:c>
      <x:c r="L945" s="7" t="inlineStr">
        <x:is>
          <x:t xml:space="preserve">해안·해양</x:t>
        </x:is>
      </x:c>
      <x:c r="M945" s="7" t="inlineStr">
        <x:is>
          <x:t xml:space="preserve">온대</x:t>
        </x:is>
      </x:c>
      <x:c r="N945" s="7" t="inlineStr">
        <x:is>
          <x:t xml:space="preserve">수중</x:t>
        </x:is>
      </x:c>
      <x:c r="O945" s="7" t="inlineStr">
        <x:is>
          <x:t xml:space="preserve">비</x:t>
        </x:is>
      </x:c>
      <x:c r="P945" s="7" t="inlineStr">
        <x:is>
          <x:t xml:space="preserve">밤</x:t>
        </x:is>
      </x:c>
      <x:c r="Q945" s="7" t="inlineStr">
        <x:is>
          <x:t xml:space="preserve">보통</x:t>
        </x:is>
      </x:c>
      <x:c r="R945" s="7" t="inlineStr">
        <x:is>
          <x:t xml:space="preserve">없음</x:t>
        </x:is>
      </x:c>
      <x:c r="S945" s="7" t="inlineStr">
        <x:is>
          <x:t xml:space="preserve">해양</x:t>
        </x:is>
      </x:c>
      <x:c r="T945" s="7" t="inlineStr">
        <x:is>
          <x:t xml:space="preserve"/>
        </x:is>
      </x:c>
      <x:c r="U945" s="8" t="str">
        <x:f>INDEX('서식지_점수'!$E$4:$P$4,1,MATCH(MAX('서식지_점수'!E945:P945),'서식지_점수'!E945:P945,0))</x:f>
        <x:v>해양</x:v>
      </x:c>
      <x:c r="V945" s="8" t="str">
        <x:f>IF(T945&lt;&gt;"",T945,U945)</x:f>
        <x:v>해양</x:v>
      </x:c>
      <x:c r="W945" s="8" t="str">
        <x:f>IFERROR(INDEX('서식지_점수'!$E$4:$P$4,1,MATCH(MAXIFS('서식지_점수'!E945:P945,'서식지_점수'!E945:P945,"&lt;"&amp;MAX('서식지_점수'!E945:P945)),'서식지_점수'!E945:P945,0)),"")</x:f>
        <x:v>습지</x:v>
      </x:c>
      <x:c r="X945" s="8" t="str">
        <x:f>IF(T945&lt;&gt;"","수동확정",IF(MAX('서식지_점수'!E945:P945)-LARGE('서식지_점수'!E945:P945,2)&gt;=15,"높음",IF(MAX('서식지_점수'!E945:P945)-LARGE('서식지_점수'!E945:P945,2)&gt;=8,"보통","검토필요")))</x:f>
        <x:v>높음</x:v>
      </x:c>
      <x:c r="Y945" s="9" t="n">
        <x:f>IF(Q945="전설",8,IF(Q945="희귀",7,IF(J945="기본",1,IF(J945="중간",3,IF(J945="최종",IF(I945="",5,IF(I945&lt;=20,3,IF(I945&lt;=35,4,IF(I945&lt;=50,6,7)))),IF(Q945="드묾",4,2))))))</x:f>
        <x:v>4</x:v>
      </x:c>
      <x:c r="Z945" s="5" t="inlineStr">
        <x:is>
          <x:t xml:space="preserve">#cobblemon:is_coast; #cobblemon:is_island; #cobblemon:is_ocean; #cobblemon:is_sky</x:t>
        </x:is>
      </x:c>
      <x:c r="AA945" s="5" t="inlineStr">
        <x:is>
          <x:t xml:space="preserve">common; uncommon</x:t>
        </x:is>
      </x:c>
      <x:c r="AB945" s="5" t="inlineStr">
        <x:is>
          <x:t xml:space="preserve">예</x:t>
        </x:is>
      </x:c>
      <x:c r="AC945" s="8" t="str">
        <x:f>IF(T945&lt;&gt;"","수동확정",IF(X945="검토필요","검토필요",IF(S945="","원본없음","초기완료")))</x:f>
        <x:v>초기완료</x:v>
      </x:c>
      <x:c r="AD945" s="7" t="inlineStr">
        <x:is>
          <x:t xml:space="preserve"/>
        </x:is>
      </x:c>
      <x:c r="AE945" s="5" t="inlineStr">
        <x:is>
          <x:t xml:space="preserve">.tmp/cobblemon-1.7.3-source/common/src/main/resources/data/cobblemon/species/generation9/kilowattrel.json</x:t>
        </x:is>
      </x:c>
      <x:c r="AF945" s="5" t="str">
        <x:f>"생활권|"&amp;K945</x:f>
        <x:v>생활권|해양</x:v>
      </x:c>
      <x:c r="AG945" s="5" t="str">
        <x:f>"지형|"&amp;L945</x:f>
        <x:v>지형|해안·해양</x:v>
      </x:c>
      <x:c r="AH945" s="5" t="str">
        <x:f>"온도|"&amp;M945</x:f>
        <x:v>온도|온대</x:v>
      </x:c>
      <x:c r="AI945" s="5" t="str">
        <x:f>"습도|"&amp;N945</x:f>
        <x:v>습도|수중</x:v>
      </x:c>
      <x:c r="AJ945" s="5" t="str">
        <x:f>"날씨|"&amp;O945</x:f>
        <x:v>날씨|비</x:v>
      </x:c>
      <x:c r="AK945" s="5" t="str">
        <x:f>"특수태그|"&amp;R945</x:f>
        <x:v>특수태그|없음</x:v>
      </x:c>
      <x:c r="AL945" s="5" t="str">
        <x:f>"원본서식지|"&amp;S945</x:f>
        <x:v>원본서식지|해양</x:v>
      </x:c>
      <x:c r="AM945" s="5" t="str">
        <x:f>"타입|"&amp;F945</x:f>
        <x:v>타입|전기</x:v>
      </x:c>
      <x:c r="AN945" s="5" t="str">
        <x:f>"타입|"&amp;G945</x:f>
        <x:v>타입|비행</x:v>
      </x:c>
    </x:row>
    <x:row r="946" ht="24" customHeight="1">
      <x:c r="A946" s="5" t="n">
        <x:v>942</x:v>
      </x:c>
      <x:c r="B946" s="5" t="inlineStr">
        <x:is>
          <x:t xml:space="preserve">오라티프</x:t>
        </x:is>
      </x:c>
      <x:c r="C946" s="5" t="inlineStr">
        <x:is>
          <x:t xml:space="preserve">maschiff</x:t>
        </x:is>
      </x:c>
      <x:c r="D946" s="5" t="inlineStr">
        <x:is>
          <x:t xml:space="preserve">Maschiff</x:t>
        </x:is>
      </x:c>
      <x:c r="E946" s="5" t="n">
        <x:v>9</x:v>
      </x:c>
      <x:c r="F946" s="5" t="inlineStr">
        <x:is>
          <x:t xml:space="preserve">악</x:t>
        </x:is>
      </x:c>
      <x:c r="G946" s="5" t="inlineStr">
        <x:is>
          <x:t xml:space="preserve"/>
        </x:is>
      </x:c>
      <x:c r="H946" s="6" t="n">
        <x:v>16</x:v>
      </x:c>
      <x:c r="I946" s="5" t="n">
        <x:v>30</x:v>
      </x:c>
      <x:c r="J946" s="5" t="inlineStr">
        <x:is>
          <x:t xml:space="preserve">기본</x:t>
        </x:is>
      </x:c>
      <x:c r="K946" s="7" t="inlineStr">
        <x:is>
          <x:t xml:space="preserve">육상</x:t>
        </x:is>
      </x:c>
      <x:c r="L946" s="7" t="inlineStr">
        <x:is>
          <x:t xml:space="preserve">특수</x:t>
        </x:is>
      </x:c>
      <x:c r="M946" s="7" t="inlineStr">
        <x:is>
          <x:t xml:space="preserve">온대</x:t>
        </x:is>
      </x:c>
      <x:c r="N946" s="7" t="inlineStr">
        <x:is>
          <x:t xml:space="preserve">보통</x:t>
        </x:is>
      </x:c>
      <x:c r="O946" s="7" t="inlineStr">
        <x:is>
          <x:t xml:space="preserve">무관</x:t>
        </x:is>
      </x:c>
      <x:c r="P946" s="7" t="inlineStr">
        <x:is>
          <x:t xml:space="preserve">밤</x:t>
        </x:is>
      </x:c>
      <x:c r="Q946" s="7" t="inlineStr">
        <x:is>
          <x:t xml:space="preserve">흔함</x:t>
        </x:is>
      </x:c>
      <x:c r="R946" s="7" t="inlineStr">
        <x:is>
          <x:t xml:space="preserve">없음</x:t>
        </x:is>
      </x:c>
      <x:c r="S946" s="7" t="inlineStr">
        <x:is>
          <x:t xml:space="preserve"/>
        </x:is>
      </x:c>
      <x:c r="T946" s="7" t="inlineStr">
        <x:is>
          <x:t xml:space="preserve"/>
        </x:is>
      </x:c>
      <x:c r="U946" s="8" t="str">
        <x:f>INDEX('서식지_점수'!$E$4:$P$4,1,MATCH(MAX('서식지_점수'!E946:P946),'서식지_점수'!E946:P946,0))</x:f>
        <x:v>평원</x:v>
      </x:c>
      <x:c r="V946" s="8" t="str">
        <x:f>IF(T946&lt;&gt;"",T946,U946)</x:f>
        <x:v>평원</x:v>
      </x:c>
      <x:c r="W946" s="8" t="str">
        <x:f>IFERROR(INDEX('서식지_점수'!$E$4:$P$4,1,MATCH(MAXIFS('서식지_점수'!E946:P946,'서식지_점수'!E946:P946,"&lt;"&amp;MAX('서식지_점수'!E946:P946)),'서식지_점수'!E946:P946,0)),"")</x:f>
        <x:v>숲</x:v>
      </x:c>
      <x:c r="X946" s="8" t="str">
        <x:f>IF(T946&lt;&gt;"","수동확정",IF(MAX('서식지_점수'!E946:P946)-LARGE('서식지_점수'!E946:P946,2)&gt;=15,"높음",IF(MAX('서식지_점수'!E946:P946)-LARGE('서식지_점수'!E946:P946,2)&gt;=8,"보통","검토필요")))</x:f>
        <x:v>검토필요</x:v>
      </x:c>
      <x:c r="Y946" s="9" t="n">
        <x:f>IF(Q946="전설",8,IF(Q946="희귀",7,IF(J946="기본",1,IF(J946="중간",3,IF(J946="최종",IF(I946="",5,IF(I946&lt;=20,3,IF(I946&lt;=35,4,IF(I946&lt;=50,6,7)))),IF(Q946="드묾",4,2))))))</x:f>
        <x:v>1</x:v>
      </x:c>
      <x:c r="Z946" s="5" t="inlineStr">
        <x:is>
          <x:t xml:space="preserve">#cobblemon:is_overworld</x:t>
        </x:is>
      </x:c>
      <x:c r="AA946" s="5" t="inlineStr">
        <x:is>
          <x:t xml:space="preserve">common</x:t>
        </x:is>
      </x:c>
      <x:c r="AB946" s="5" t="inlineStr">
        <x:is>
          <x:t xml:space="preserve">예</x:t>
        </x:is>
      </x:c>
      <x:c r="AC946" s="8" t="str">
        <x:f>IF(T946&lt;&gt;"","수동확정",IF(X946="검토필요","검토필요",IF(S946="","원본없음","초기완료")))</x:f>
        <x:v>검토필요</x:v>
      </x:c>
      <x:c r="AD946" s="7" t="inlineStr">
        <x:is>
          <x:t xml:space="preserve"/>
        </x:is>
      </x:c>
      <x:c r="AE946" s="5" t="inlineStr">
        <x:is>
          <x:t xml:space="preserve">.tmp/cobblemon-1.7.3-source/common/src/main/resources/data/cobblemon/species/generation9/maschiff.json</x:t>
        </x:is>
      </x:c>
      <x:c r="AF946" s="5" t="str">
        <x:f>"생활권|"&amp;K946</x:f>
        <x:v>생활권|육상</x:v>
      </x:c>
      <x:c r="AG946" s="5" t="str">
        <x:f>"지형|"&amp;L946</x:f>
        <x:v>지형|특수</x:v>
      </x:c>
      <x:c r="AH946" s="5" t="str">
        <x:f>"온도|"&amp;M946</x:f>
        <x:v>온도|온대</x:v>
      </x:c>
      <x:c r="AI946" s="5" t="str">
        <x:f>"습도|"&amp;N946</x:f>
        <x:v>습도|보통</x:v>
      </x:c>
      <x:c r="AJ946" s="5" t="str">
        <x:f>"날씨|"&amp;O946</x:f>
        <x:v>날씨|무관</x:v>
      </x:c>
      <x:c r="AK946" s="5" t="str">
        <x:f>"특수태그|"&amp;R946</x:f>
        <x:v>특수태그|없음</x:v>
      </x:c>
      <x:c r="AL946" s="5" t="str">
        <x:f>"원본서식지|"&amp;S946</x:f>
        <x:v>원본서식지|</x:v>
      </x:c>
      <x:c r="AM946" s="5" t="str">
        <x:f>"타입|"&amp;F946</x:f>
        <x:v>타입|악</x:v>
      </x:c>
      <x:c r="AN946" s="5" t="str">
        <x:f>"타입|"&amp;G946</x:f>
        <x:v>타입|</x:v>
      </x:c>
    </x:row>
    <x:row r="947" ht="24" customHeight="1">
      <x:c r="A947" s="5" t="n">
        <x:v>943</x:v>
      </x:c>
      <x:c r="B947" s="5" t="inlineStr">
        <x:is>
          <x:t xml:space="preserve">마피티프</x:t>
        </x:is>
      </x:c>
      <x:c r="C947" s="5" t="inlineStr">
        <x:is>
          <x:t xml:space="preserve">mabosstiff</x:t>
        </x:is>
      </x:c>
      <x:c r="D947" s="5" t="inlineStr">
        <x:is>
          <x:t xml:space="preserve">Mabosstiff</x:t>
        </x:is>
      </x:c>
      <x:c r="E947" s="5" t="n">
        <x:v>9</x:v>
      </x:c>
      <x:c r="F947" s="5" t="inlineStr">
        <x:is>
          <x:t xml:space="preserve">악</x:t>
        </x:is>
      </x:c>
      <x:c r="G947" s="5" t="inlineStr">
        <x:is>
          <x:t xml:space="preserve"/>
        </x:is>
      </x:c>
      <x:c r="H947" s="6" t="n">
        <x:v>61</x:v>
      </x:c>
      <x:c r="I947" s="5" t="n">
        <x:v>30</x:v>
      </x:c>
      <x:c r="J947" s="5" t="inlineStr">
        <x:is>
          <x:t xml:space="preserve">최종</x:t>
        </x:is>
      </x:c>
      <x:c r="K947" s="7" t="inlineStr">
        <x:is>
          <x:t xml:space="preserve">육상</x:t>
        </x:is>
      </x:c>
      <x:c r="L947" s="7" t="inlineStr">
        <x:is>
          <x:t xml:space="preserve">특수</x:t>
        </x:is>
      </x:c>
      <x:c r="M947" s="7" t="inlineStr">
        <x:is>
          <x:t xml:space="preserve">온대</x:t>
        </x:is>
      </x:c>
      <x:c r="N947" s="7" t="inlineStr">
        <x:is>
          <x:t xml:space="preserve">보통</x:t>
        </x:is>
      </x:c>
      <x:c r="O947" s="7" t="inlineStr">
        <x:is>
          <x:t xml:space="preserve">무관</x:t>
        </x:is>
      </x:c>
      <x:c r="P947" s="7" t="inlineStr">
        <x:is>
          <x:t xml:space="preserve">밤</x:t>
        </x:is>
      </x:c>
      <x:c r="Q947" s="7" t="inlineStr">
        <x:is>
          <x:t xml:space="preserve">흔함</x:t>
        </x:is>
      </x:c>
      <x:c r="R947" s="7" t="inlineStr">
        <x:is>
          <x:t xml:space="preserve">없음</x:t>
        </x:is>
      </x:c>
      <x:c r="S947" s="7" t="inlineStr">
        <x:is>
          <x:t xml:space="preserve"/>
        </x:is>
      </x:c>
      <x:c r="T947" s="7" t="inlineStr">
        <x:is>
          <x:t xml:space="preserve"/>
        </x:is>
      </x:c>
      <x:c r="U947" s="8" t="str">
        <x:f>INDEX('서식지_점수'!$E$4:$P$4,1,MATCH(MAX('서식지_점수'!E947:P947),'서식지_점수'!E947:P947,0))</x:f>
        <x:v>평원</x:v>
      </x:c>
      <x:c r="V947" s="8" t="str">
        <x:f>IF(T947&lt;&gt;"",T947,U947)</x:f>
        <x:v>평원</x:v>
      </x:c>
      <x:c r="W947" s="8" t="str">
        <x:f>IFERROR(INDEX('서식지_점수'!$E$4:$P$4,1,MATCH(MAXIFS('서식지_점수'!E947:P947,'서식지_점수'!E947:P947,"&lt;"&amp;MAX('서식지_점수'!E947:P947)),'서식지_점수'!E947:P947,0)),"")</x:f>
        <x:v>숲</x:v>
      </x:c>
      <x:c r="X947" s="8" t="str">
        <x:f>IF(T947&lt;&gt;"","수동확정",IF(MAX('서식지_점수'!E947:P947)-LARGE('서식지_점수'!E947:P947,2)&gt;=15,"높음",IF(MAX('서식지_점수'!E947:P947)-LARGE('서식지_점수'!E947:P947,2)&gt;=8,"보통","검토필요")))</x:f>
        <x:v>검토필요</x:v>
      </x:c>
      <x:c r="Y947" s="9" t="n">
        <x:f>IF(Q947="전설",8,IF(Q947="희귀",7,IF(J947="기본",1,IF(J947="중간",3,IF(J947="최종",IF(I947="",5,IF(I947&lt;=20,3,IF(I947&lt;=35,4,IF(I947&lt;=50,6,7)))),IF(Q947="드묾",4,2))))))</x:f>
        <x:v>4</x:v>
      </x:c>
      <x:c r="Z947" s="5" t="inlineStr">
        <x:is>
          <x:t xml:space="preserve">#cobblemon:is_overworld</x:t>
        </x:is>
      </x:c>
      <x:c r="AA947" s="5" t="inlineStr">
        <x:is>
          <x:t xml:space="preserve">common</x:t>
        </x:is>
      </x:c>
      <x:c r="AB947" s="5" t="inlineStr">
        <x:is>
          <x:t xml:space="preserve">예</x:t>
        </x:is>
      </x:c>
      <x:c r="AC947" s="8" t="str">
        <x:f>IF(T947&lt;&gt;"","수동확정",IF(X947="검토필요","검토필요",IF(S947="","원본없음","초기완료")))</x:f>
        <x:v>검토필요</x:v>
      </x:c>
      <x:c r="AD947" s="7" t="inlineStr">
        <x:is>
          <x:t xml:space="preserve"/>
        </x:is>
      </x:c>
      <x:c r="AE947" s="5" t="inlineStr">
        <x:is>
          <x:t xml:space="preserve">.tmp/cobblemon-1.7.3-source/common/src/main/resources/data/cobblemon/species/generation9/mabosstiff.json</x:t>
        </x:is>
      </x:c>
      <x:c r="AF947" s="5" t="str">
        <x:f>"생활권|"&amp;K947</x:f>
        <x:v>생활권|육상</x:v>
      </x:c>
      <x:c r="AG947" s="5" t="str">
        <x:f>"지형|"&amp;L947</x:f>
        <x:v>지형|특수</x:v>
      </x:c>
      <x:c r="AH947" s="5" t="str">
        <x:f>"온도|"&amp;M947</x:f>
        <x:v>온도|온대</x:v>
      </x:c>
      <x:c r="AI947" s="5" t="str">
        <x:f>"습도|"&amp;N947</x:f>
        <x:v>습도|보통</x:v>
      </x:c>
      <x:c r="AJ947" s="5" t="str">
        <x:f>"날씨|"&amp;O947</x:f>
        <x:v>날씨|무관</x:v>
      </x:c>
      <x:c r="AK947" s="5" t="str">
        <x:f>"특수태그|"&amp;R947</x:f>
        <x:v>특수태그|없음</x:v>
      </x:c>
      <x:c r="AL947" s="5" t="str">
        <x:f>"원본서식지|"&amp;S947</x:f>
        <x:v>원본서식지|</x:v>
      </x:c>
      <x:c r="AM947" s="5" t="str">
        <x:f>"타입|"&amp;F947</x:f>
        <x:v>타입|악</x:v>
      </x:c>
      <x:c r="AN947" s="5" t="str">
        <x:f>"타입|"&amp;G947</x:f>
        <x:v>타입|</x:v>
      </x:c>
    </x:row>
    <x:row r="948" ht="24" customHeight="1">
      <x:c r="A948" s="5" t="n">
        <x:v>944</x:v>
      </x:c>
      <x:c r="B948" s="5" t="inlineStr">
        <x:is>
          <x:t xml:space="preserve">땃쭈르</x:t>
        </x:is>
      </x:c>
      <x:c r="C948" s="5" t="inlineStr">
        <x:is>
          <x:t xml:space="preserve">shroodle</x:t>
        </x:is>
      </x:c>
      <x:c r="D948" s="5" t="inlineStr">
        <x:is>
          <x:t xml:space="preserve">Shroodle</x:t>
        </x:is>
      </x:c>
      <x:c r="E948" s="5" t="n">
        <x:v>9</x:v>
      </x:c>
      <x:c r="F948" s="5" t="inlineStr">
        <x:is>
          <x:t xml:space="preserve">독</x:t>
        </x:is>
      </x:c>
      <x:c r="G948" s="5" t="inlineStr">
        <x:is>
          <x:t xml:space="preserve">노말</x:t>
        </x:is>
      </x:c>
      <x:c r="H948" s="6" t="n">
        <x:v>0.7</x:v>
      </x:c>
      <x:c r="I948" s="5" t="n">
        <x:v>28</x:v>
      </x:c>
      <x:c r="J948" s="5" t="inlineStr">
        <x:is>
          <x:t xml:space="preserve">기본</x:t>
        </x:is>
      </x:c>
      <x:c r="K948" s="7" t="inlineStr">
        <x:is>
          <x:t xml:space="preserve">육상</x:t>
        </x:is>
      </x:c>
      <x:c r="L948" s="7" t="inlineStr">
        <x:is>
          <x:t xml:space="preserve">수목</x:t>
        </x:is>
      </x:c>
      <x:c r="M948" s="7" t="inlineStr">
        <x:is>
          <x:t xml:space="preserve">온대</x:t>
        </x:is>
      </x:c>
      <x:c r="N948" s="7" t="inlineStr">
        <x:is>
          <x:t xml:space="preserve">다습</x:t>
        </x:is>
      </x:c>
      <x:c r="O948" s="7" t="inlineStr">
        <x:is>
          <x:t xml:space="preserve">무관</x:t>
        </x:is>
      </x:c>
      <x:c r="P948" s="7" t="inlineStr">
        <x:is>
          <x:t xml:space="preserve">밤</x:t>
        </x:is>
      </x:c>
      <x:c r="Q948" s="7" t="inlineStr">
        <x:is>
          <x:t xml:space="preserve">흔함</x:t>
        </x:is>
      </x:c>
      <x:c r="R948" s="7" t="inlineStr">
        <x:is>
          <x:t xml:space="preserve">없음</x:t>
        </x:is>
      </x:c>
      <x:c r="S948" s="7" t="inlineStr">
        <x:is>
          <x:t xml:space="preserve">숲</x:t>
        </x:is>
      </x:c>
      <x:c r="T948" s="7" t="inlineStr">
        <x:is>
          <x:t xml:space="preserve"/>
        </x:is>
      </x:c>
      <x:c r="U948" s="8" t="str">
        <x:f>INDEX('서식지_점수'!$E$4:$P$4,1,MATCH(MAX('서식지_점수'!E948:P948),'서식지_점수'!E948:P948,0))</x:f>
        <x:v>평원</x:v>
      </x:c>
      <x:c r="V948" s="8" t="str">
        <x:f>IF(T948&lt;&gt;"",T948,U948)</x:f>
        <x:v>평원</x:v>
      </x:c>
      <x:c r="W948" s="8" t="str">
        <x:f>IFERROR(INDEX('서식지_점수'!$E$4:$P$4,1,MATCH(MAXIFS('서식지_점수'!E948:P948,'서식지_점수'!E948:P948,"&lt;"&amp;MAX('서식지_점수'!E948:P948)),'서식지_점수'!E948:P948,0)),"")</x:f>
        <x:v>숲</x:v>
      </x:c>
      <x:c r="X948" s="8" t="str">
        <x:f>IF(T948&lt;&gt;"","수동확정",IF(MAX('서식지_점수'!E948:P948)-LARGE('서식지_점수'!E948:P948,2)&gt;=15,"높음",IF(MAX('서식지_점수'!E948:P948)-LARGE('서식지_점수'!E948:P948,2)&gt;=8,"보통","검토필요")))</x:f>
        <x:v>검토필요</x:v>
      </x:c>
      <x:c r="Y948" s="9" t="n">
        <x:f>IF(Q948="전설",8,IF(Q948="희귀",7,IF(J948="기본",1,IF(J948="중간",3,IF(J948="최종",IF(I948="",5,IF(I948&lt;=20,3,IF(I948&lt;=35,4,IF(I948&lt;=50,6,7)))),IF(Q948="드묾",4,2))))))</x:f>
        <x:v>1</x:v>
      </x:c>
      <x:c r="Z948" s="5" t="inlineStr">
        <x:is>
          <x:t xml:space="preserve">#cobblemon:is_jungle; #cobblemon:is_tropical_island</x:t>
        </x:is>
      </x:c>
      <x:c r="AA948" s="5" t="inlineStr">
        <x:is>
          <x:t xml:space="preserve">common</x:t>
        </x:is>
      </x:c>
      <x:c r="AB948" s="5" t="inlineStr">
        <x:is>
          <x:t xml:space="preserve">예</x:t>
        </x:is>
      </x:c>
      <x:c r="AC948" s="8" t="str">
        <x:f>IF(T948&lt;&gt;"","수동확정",IF(X948="검토필요","검토필요",IF(S948="","원본없음","초기완료")))</x:f>
        <x:v>검토필요</x:v>
      </x:c>
      <x:c r="AD948" s="7" t="inlineStr">
        <x:is>
          <x:t xml:space="preserve"/>
        </x:is>
      </x:c>
      <x:c r="AE948" s="5" t="inlineStr">
        <x:is>
          <x:t xml:space="preserve">.tmp/cobblemon-1.7.3-source/common/src/main/resources/data/cobblemon/species/generation9/shroodle.json</x:t>
        </x:is>
      </x:c>
      <x:c r="AF948" s="5" t="str">
        <x:f>"생활권|"&amp;K948</x:f>
        <x:v>생활권|육상</x:v>
      </x:c>
      <x:c r="AG948" s="5" t="str">
        <x:f>"지형|"&amp;L948</x:f>
        <x:v>지형|수목</x:v>
      </x:c>
      <x:c r="AH948" s="5" t="str">
        <x:f>"온도|"&amp;M948</x:f>
        <x:v>온도|온대</x:v>
      </x:c>
      <x:c r="AI948" s="5" t="str">
        <x:f>"습도|"&amp;N948</x:f>
        <x:v>습도|다습</x:v>
      </x:c>
      <x:c r="AJ948" s="5" t="str">
        <x:f>"날씨|"&amp;O948</x:f>
        <x:v>날씨|무관</x:v>
      </x:c>
      <x:c r="AK948" s="5" t="str">
        <x:f>"특수태그|"&amp;R948</x:f>
        <x:v>특수태그|없음</x:v>
      </x:c>
      <x:c r="AL948" s="5" t="str">
        <x:f>"원본서식지|"&amp;S948</x:f>
        <x:v>원본서식지|숲</x:v>
      </x:c>
      <x:c r="AM948" s="5" t="str">
        <x:f>"타입|"&amp;F948</x:f>
        <x:v>타입|독</x:v>
      </x:c>
      <x:c r="AN948" s="5" t="str">
        <x:f>"타입|"&amp;G948</x:f>
        <x:v>타입|노말</x:v>
      </x:c>
    </x:row>
    <x:row r="949" ht="24" customHeight="1">
      <x:c r="A949" s="5" t="n">
        <x:v>945</x:v>
      </x:c>
      <x:c r="B949" s="5" t="inlineStr">
        <x:is>
          <x:t xml:space="preserve">태깅구르</x:t>
        </x:is>
      </x:c>
      <x:c r="C949" s="5" t="inlineStr">
        <x:is>
          <x:t xml:space="preserve">grafaiai</x:t>
        </x:is>
      </x:c>
      <x:c r="D949" s="5" t="inlineStr">
        <x:is>
          <x:t xml:space="preserve">Grafaiai</x:t>
        </x:is>
      </x:c>
      <x:c r="E949" s="5" t="n">
        <x:v>9</x:v>
      </x:c>
      <x:c r="F949" s="5" t="inlineStr">
        <x:is>
          <x:t xml:space="preserve">독</x:t>
        </x:is>
      </x:c>
      <x:c r="G949" s="5" t="inlineStr">
        <x:is>
          <x:t xml:space="preserve">노말</x:t>
        </x:is>
      </x:c>
      <x:c r="H949" s="6" t="n">
        <x:v>27.2</x:v>
      </x:c>
      <x:c r="I949" s="5" t="n">
        <x:v>28</x:v>
      </x:c>
      <x:c r="J949" s="5" t="inlineStr">
        <x:is>
          <x:t xml:space="preserve">최종</x:t>
        </x:is>
      </x:c>
      <x:c r="K949" s="7" t="inlineStr">
        <x:is>
          <x:t xml:space="preserve">육상</x:t>
        </x:is>
      </x:c>
      <x:c r="L949" s="7" t="inlineStr">
        <x:is>
          <x:t xml:space="preserve">수목</x:t>
        </x:is>
      </x:c>
      <x:c r="M949" s="7" t="inlineStr">
        <x:is>
          <x:t xml:space="preserve">온대</x:t>
        </x:is>
      </x:c>
      <x:c r="N949" s="7" t="inlineStr">
        <x:is>
          <x:t xml:space="preserve">다습</x:t>
        </x:is>
      </x:c>
      <x:c r="O949" s="7" t="inlineStr">
        <x:is>
          <x:t xml:space="preserve">무관</x:t>
        </x:is>
      </x:c>
      <x:c r="P949" s="7" t="inlineStr">
        <x:is>
          <x:t xml:space="preserve">밤</x:t>
        </x:is>
      </x:c>
      <x:c r="Q949" s="7" t="inlineStr">
        <x:is>
          <x:t xml:space="preserve">흔함</x:t>
        </x:is>
      </x:c>
      <x:c r="R949" s="7" t="inlineStr">
        <x:is>
          <x:t xml:space="preserve">없음</x:t>
        </x:is>
      </x:c>
      <x:c r="S949" s="7" t="inlineStr">
        <x:is>
          <x:t xml:space="preserve">숲</x:t>
        </x:is>
      </x:c>
      <x:c r="T949" s="7" t="inlineStr">
        <x:is>
          <x:t xml:space="preserve"/>
        </x:is>
      </x:c>
      <x:c r="U949" s="8" t="str">
        <x:f>INDEX('서식지_점수'!$E$4:$P$4,1,MATCH(MAX('서식지_점수'!E949:P949),'서식지_점수'!E949:P949,0))</x:f>
        <x:v>평원</x:v>
      </x:c>
      <x:c r="V949" s="8" t="str">
        <x:f>IF(T949&lt;&gt;"",T949,U949)</x:f>
        <x:v>평원</x:v>
      </x:c>
      <x:c r="W949" s="8" t="str">
        <x:f>IFERROR(INDEX('서식지_점수'!$E$4:$P$4,1,MATCH(MAXIFS('서식지_점수'!E949:P949,'서식지_점수'!E949:P949,"&lt;"&amp;MAX('서식지_점수'!E949:P949)),'서식지_점수'!E949:P949,0)),"")</x:f>
        <x:v>숲</x:v>
      </x:c>
      <x:c r="X949" s="8" t="str">
        <x:f>IF(T949&lt;&gt;"","수동확정",IF(MAX('서식지_점수'!E949:P949)-LARGE('서식지_점수'!E949:P949,2)&gt;=15,"높음",IF(MAX('서식지_점수'!E949:P949)-LARGE('서식지_점수'!E949:P949,2)&gt;=8,"보통","검토필요")))</x:f>
        <x:v>검토필요</x:v>
      </x:c>
      <x:c r="Y949" s="9" t="n">
        <x:f>IF(Q949="전설",8,IF(Q949="희귀",7,IF(J949="기본",1,IF(J949="중간",3,IF(J949="최종",IF(I949="",5,IF(I949&lt;=20,3,IF(I949&lt;=35,4,IF(I949&lt;=50,6,7)))),IF(Q949="드묾",4,2))))))</x:f>
        <x:v>4</x:v>
      </x:c>
      <x:c r="Z949" s="5" t="inlineStr">
        <x:is>
          <x:t xml:space="preserve">#cobblemon:is_jungle; #cobblemon:is_tropical_island</x:t>
        </x:is>
      </x:c>
      <x:c r="AA949" s="5" t="inlineStr">
        <x:is>
          <x:t xml:space="preserve">common</x:t>
        </x:is>
      </x:c>
      <x:c r="AB949" s="5" t="inlineStr">
        <x:is>
          <x:t xml:space="preserve">예</x:t>
        </x:is>
      </x:c>
      <x:c r="AC949" s="8" t="str">
        <x:f>IF(T949&lt;&gt;"","수동확정",IF(X949="검토필요","검토필요",IF(S949="","원본없음","초기완료")))</x:f>
        <x:v>검토필요</x:v>
      </x:c>
      <x:c r="AD949" s="7" t="inlineStr">
        <x:is>
          <x:t xml:space="preserve"/>
        </x:is>
      </x:c>
      <x:c r="AE949" s="5" t="inlineStr">
        <x:is>
          <x:t xml:space="preserve">.tmp/cobblemon-1.7.3-source/common/src/main/resources/data/cobblemon/species/generation9/grafaiai.json</x:t>
        </x:is>
      </x:c>
      <x:c r="AF949" s="5" t="str">
        <x:f>"생활권|"&amp;K949</x:f>
        <x:v>생활권|육상</x:v>
      </x:c>
      <x:c r="AG949" s="5" t="str">
        <x:f>"지형|"&amp;L949</x:f>
        <x:v>지형|수목</x:v>
      </x:c>
      <x:c r="AH949" s="5" t="str">
        <x:f>"온도|"&amp;M949</x:f>
        <x:v>온도|온대</x:v>
      </x:c>
      <x:c r="AI949" s="5" t="str">
        <x:f>"습도|"&amp;N949</x:f>
        <x:v>습도|다습</x:v>
      </x:c>
      <x:c r="AJ949" s="5" t="str">
        <x:f>"날씨|"&amp;O949</x:f>
        <x:v>날씨|무관</x:v>
      </x:c>
      <x:c r="AK949" s="5" t="str">
        <x:f>"특수태그|"&amp;R949</x:f>
        <x:v>특수태그|없음</x:v>
      </x:c>
      <x:c r="AL949" s="5" t="str">
        <x:f>"원본서식지|"&amp;S949</x:f>
        <x:v>원본서식지|숲</x:v>
      </x:c>
      <x:c r="AM949" s="5" t="str">
        <x:f>"타입|"&amp;F949</x:f>
        <x:v>타입|독</x:v>
      </x:c>
      <x:c r="AN949" s="5" t="str">
        <x:f>"타입|"&amp;G949</x:f>
        <x:v>타입|노말</x:v>
      </x:c>
    </x:row>
    <x:row r="950" ht="24" customHeight="1">
      <x:c r="A950" s="5" t="n">
        <x:v>946</x:v>
      </x:c>
      <x:c r="B950" s="5" t="inlineStr">
        <x:is>
          <x:t xml:space="preserve">그푸리</x:t>
        </x:is>
      </x:c>
      <x:c r="C950" s="5" t="inlineStr">
        <x:is>
          <x:t xml:space="preserve">bramblin</x:t>
        </x:is>
      </x:c>
      <x:c r="D950" s="5" t="inlineStr">
        <x:is>
          <x:t xml:space="preserve">Bramblin</x:t>
        </x:is>
      </x:c>
      <x:c r="E950" s="5" t="n">
        <x:v>9</x:v>
      </x:c>
      <x:c r="F950" s="5" t="inlineStr">
        <x:is>
          <x:t xml:space="preserve">풀</x:t>
        </x:is>
      </x:c>
      <x:c r="G950" s="5" t="inlineStr">
        <x:is>
          <x:t xml:space="preserve">고스트</x:t>
        </x:is>
      </x:c>
      <x:c r="H950" s="6" t="n">
        <x:v>0.6</x:v>
      </x:c>
      <x:c r="I950" s="5" t="n"/>
      <x:c r="J950" s="5" t="inlineStr">
        <x:is>
          <x:t xml:space="preserve">기본</x:t>
        </x:is>
      </x:c>
      <x:c r="K950" s="7" t="inlineStr">
        <x:is>
          <x:t xml:space="preserve">영체</x:t>
        </x:is>
      </x:c>
      <x:c r="L950" s="7" t="inlineStr">
        <x:is>
          <x:t xml:space="preserve">건조</x:t>
        </x:is>
      </x:c>
      <x:c r="M950" s="7" t="inlineStr">
        <x:is>
          <x:t xml:space="preserve">고온</x:t>
        </x:is>
      </x:c>
      <x:c r="N950" s="7" t="inlineStr">
        <x:is>
          <x:t xml:space="preserve">건조</x:t>
        </x:is>
      </x:c>
      <x:c r="O950" s="7" t="inlineStr">
        <x:is>
          <x:t xml:space="preserve">맑음</x:t>
        </x:is>
      </x:c>
      <x:c r="P950" s="7" t="inlineStr">
        <x:is>
          <x:t xml:space="preserve">밤</x:t>
        </x:is>
      </x:c>
      <x:c r="Q950" s="7" t="inlineStr">
        <x:is>
          <x:t xml:space="preserve">흔함</x:t>
        </x:is>
      </x:c>
      <x:c r="R950" s="7" t="inlineStr">
        <x:is>
          <x:t xml:space="preserve">영체</x:t>
        </x:is>
      </x:c>
      <x:c r="S950" s="7" t="inlineStr">
        <x:is>
          <x:t xml:space="preserve">건조지</x:t>
        </x:is>
      </x:c>
      <x:c r="T950" s="7" t="inlineStr">
        <x:is>
          <x:t xml:space="preserve"/>
        </x:is>
      </x:c>
      <x:c r="U950" s="8" t="str">
        <x:f>INDEX('서식지_점수'!$E$4:$P$4,1,MATCH(MAX('서식지_점수'!E950:P950),'서식지_점수'!E950:P950,0))</x:f>
        <x:v>특수</x:v>
      </x:c>
      <x:c r="V950" s="8" t="str">
        <x:f>IF(T950&lt;&gt;"",T950,U950)</x:f>
        <x:v>특수</x:v>
      </x:c>
      <x:c r="W950" s="8" t="str">
        <x:f>IFERROR(INDEX('서식지_점수'!$E$4:$P$4,1,MATCH(MAXIFS('서식지_점수'!E950:P950,'서식지_점수'!E950:P950,"&lt;"&amp;MAX('서식지_점수'!E950:P950)),'서식지_점수'!E950:P950,0)),"")</x:f>
        <x:v>동굴</x:v>
      </x:c>
      <x:c r="X950" s="8" t="str">
        <x:f>IF(T950&lt;&gt;"","수동확정",IF(MAX('서식지_점수'!E950:P950)-LARGE('서식지_점수'!E950:P950,2)&gt;=15,"높음",IF(MAX('서식지_점수'!E950:P950)-LARGE('서식지_점수'!E950:P950,2)&gt;=8,"보통","검토필요")))</x:f>
        <x:v>높음</x:v>
      </x:c>
      <x:c r="Y950" s="9" t="n">
        <x:f>IF(Q950="전설",8,IF(Q950="희귀",7,IF(J950="기본",1,IF(J950="중간",3,IF(J950="최종",IF(I950="",5,IF(I950&lt;=20,3,IF(I950&lt;=35,4,IF(I950&lt;=50,6,7)))),IF(Q950="드묾",4,2))))))</x:f>
        <x:v>1</x:v>
      </x:c>
      <x:c r="Z950" s="5" t="inlineStr">
        <x:is>
          <x:t xml:space="preserve">#cobblemon:is_badlands; #cobblemon:is_desert; #cobblemon:nether/is_desert</x:t>
        </x:is>
      </x:c>
      <x:c r="AA950" s="5" t="inlineStr">
        <x:is>
          <x:t xml:space="preserve">common</x:t>
        </x:is>
      </x:c>
      <x:c r="AB950" s="5" t="inlineStr">
        <x:is>
          <x:t xml:space="preserve">예</x:t>
        </x:is>
      </x:c>
      <x:c r="AC950" s="8" t="str">
        <x:f>IF(T950&lt;&gt;"","수동확정",IF(X950="검토필요","검토필요",IF(S950="","원본없음","초기완료")))</x:f>
        <x:v>초기완료</x:v>
      </x:c>
      <x:c r="AD950" s="7" t="inlineStr">
        <x:is>
          <x:t xml:space="preserve"/>
        </x:is>
      </x:c>
      <x:c r="AE950" s="5" t="inlineStr">
        <x:is>
          <x:t xml:space="preserve">.tmp/cobblemon-1.7.3-source/common/src/main/resources/data/cobblemon/species/generation9/bramblin.json</x:t>
        </x:is>
      </x:c>
      <x:c r="AF950" s="5" t="str">
        <x:f>"생활권|"&amp;K950</x:f>
        <x:v>생활권|영체</x:v>
      </x:c>
      <x:c r="AG950" s="5" t="str">
        <x:f>"지형|"&amp;L950</x:f>
        <x:v>지형|건조</x:v>
      </x:c>
      <x:c r="AH950" s="5" t="str">
        <x:f>"온도|"&amp;M950</x:f>
        <x:v>온도|고온</x:v>
      </x:c>
      <x:c r="AI950" s="5" t="str">
        <x:f>"습도|"&amp;N950</x:f>
        <x:v>습도|건조</x:v>
      </x:c>
      <x:c r="AJ950" s="5" t="str">
        <x:f>"날씨|"&amp;O950</x:f>
        <x:v>날씨|맑음</x:v>
      </x:c>
      <x:c r="AK950" s="5" t="str">
        <x:f>"특수태그|"&amp;R950</x:f>
        <x:v>특수태그|영체</x:v>
      </x:c>
      <x:c r="AL950" s="5" t="str">
        <x:f>"원본서식지|"&amp;S950</x:f>
        <x:v>원본서식지|건조지</x:v>
      </x:c>
      <x:c r="AM950" s="5" t="str">
        <x:f>"타입|"&amp;F950</x:f>
        <x:v>타입|풀</x:v>
      </x:c>
      <x:c r="AN950" s="5" t="str">
        <x:f>"타입|"&amp;G950</x:f>
        <x:v>타입|고스트</x:v>
      </x:c>
    </x:row>
    <x:row r="951" ht="24" customHeight="1">
      <x:c r="A951" s="5" t="n">
        <x:v>947</x:v>
      </x:c>
      <x:c r="B951" s="5" t="inlineStr">
        <x:is>
          <x:t xml:space="preserve">공푸리</x:t>
        </x:is>
      </x:c>
      <x:c r="C951" s="5" t="inlineStr">
        <x:is>
          <x:t xml:space="preserve">brambleghast</x:t>
        </x:is>
      </x:c>
      <x:c r="D951" s="5" t="inlineStr">
        <x:is>
          <x:t xml:space="preserve">Brambleghast</x:t>
        </x:is>
      </x:c>
      <x:c r="E951" s="5" t="n">
        <x:v>9</x:v>
      </x:c>
      <x:c r="F951" s="5" t="inlineStr">
        <x:is>
          <x:t xml:space="preserve">풀</x:t>
        </x:is>
      </x:c>
      <x:c r="G951" s="5" t="inlineStr">
        <x:is>
          <x:t xml:space="preserve">고스트</x:t>
        </x:is>
      </x:c>
      <x:c r="H951" s="6" t="n">
        <x:v>6</x:v>
      </x:c>
      <x:c r="I951" s="5" t="n"/>
      <x:c r="J951" s="5" t="inlineStr">
        <x:is>
          <x:t xml:space="preserve">최종</x:t>
        </x:is>
      </x:c>
      <x:c r="K951" s="7" t="inlineStr">
        <x:is>
          <x:t xml:space="preserve">영체</x:t>
        </x:is>
      </x:c>
      <x:c r="L951" s="7" t="inlineStr">
        <x:is>
          <x:t xml:space="preserve">건조</x:t>
        </x:is>
      </x:c>
      <x:c r="M951" s="7" t="inlineStr">
        <x:is>
          <x:t xml:space="preserve">고온</x:t>
        </x:is>
      </x:c>
      <x:c r="N951" s="7" t="inlineStr">
        <x:is>
          <x:t xml:space="preserve">건조</x:t>
        </x:is>
      </x:c>
      <x:c r="O951" s="7" t="inlineStr">
        <x:is>
          <x:t xml:space="preserve">맑음</x:t>
        </x:is>
      </x:c>
      <x:c r="P951" s="7" t="inlineStr">
        <x:is>
          <x:t xml:space="preserve">밤</x:t>
        </x:is>
      </x:c>
      <x:c r="Q951" s="7" t="inlineStr">
        <x:is>
          <x:t xml:space="preserve">흔함</x:t>
        </x:is>
      </x:c>
      <x:c r="R951" s="7" t="inlineStr">
        <x:is>
          <x:t xml:space="preserve">영체</x:t>
        </x:is>
      </x:c>
      <x:c r="S951" s="7" t="inlineStr">
        <x:is>
          <x:t xml:space="preserve">건조지</x:t>
        </x:is>
      </x:c>
      <x:c r="T951" s="7" t="inlineStr">
        <x:is>
          <x:t xml:space="preserve"/>
        </x:is>
      </x:c>
      <x:c r="U951" s="8" t="str">
        <x:f>INDEX('서식지_점수'!$E$4:$P$4,1,MATCH(MAX('서식지_점수'!E951:P951),'서식지_점수'!E951:P951,0))</x:f>
        <x:v>특수</x:v>
      </x:c>
      <x:c r="V951" s="8" t="str">
        <x:f>IF(T951&lt;&gt;"",T951,U951)</x:f>
        <x:v>특수</x:v>
      </x:c>
      <x:c r="W951" s="8" t="str">
        <x:f>IFERROR(INDEX('서식지_점수'!$E$4:$P$4,1,MATCH(MAXIFS('서식지_점수'!E951:P951,'서식지_점수'!E951:P951,"&lt;"&amp;MAX('서식지_점수'!E951:P951)),'서식지_점수'!E951:P951,0)),"")</x:f>
        <x:v>동굴</x:v>
      </x:c>
      <x:c r="X951" s="8" t="str">
        <x:f>IF(T951&lt;&gt;"","수동확정",IF(MAX('서식지_점수'!E951:P951)-LARGE('서식지_점수'!E951:P951,2)&gt;=15,"높음",IF(MAX('서식지_점수'!E951:P951)-LARGE('서식지_점수'!E951:P951,2)&gt;=8,"보통","검토필요")))</x:f>
        <x:v>높음</x:v>
      </x:c>
      <x:c r="Y951" s="9" t="n">
        <x:f>IF(Q951="전설",8,IF(Q951="희귀",7,IF(J951="기본",1,IF(J951="중간",3,IF(J951="최종",IF(I951="",5,IF(I951&lt;=20,3,IF(I951&lt;=35,4,IF(I951&lt;=50,6,7)))),IF(Q951="드묾",4,2))))))</x:f>
        <x:v>5</x:v>
      </x:c>
      <x:c r="Z951" s="5" t="inlineStr">
        <x:is>
          <x:t xml:space="preserve">#cobblemon:is_badlands; #cobblemon:is_desert; #cobblemon:nether/is_desert</x:t>
        </x:is>
      </x:c>
      <x:c r="AA951" s="5" t="inlineStr">
        <x:is>
          <x:t xml:space="preserve">common</x:t>
        </x:is>
      </x:c>
      <x:c r="AB951" s="5" t="inlineStr">
        <x:is>
          <x:t xml:space="preserve">예</x:t>
        </x:is>
      </x:c>
      <x:c r="AC951" s="8" t="str">
        <x:f>IF(T951&lt;&gt;"","수동확정",IF(X951="검토필요","검토필요",IF(S951="","원본없음","초기완료")))</x:f>
        <x:v>초기완료</x:v>
      </x:c>
      <x:c r="AD951" s="7" t="inlineStr">
        <x:is>
          <x:t xml:space="preserve"/>
        </x:is>
      </x:c>
      <x:c r="AE951" s="5" t="inlineStr">
        <x:is>
          <x:t xml:space="preserve">.tmp/cobblemon-1.7.3-source/common/src/main/resources/data/cobblemon/species/generation9/brambleghast.json</x:t>
        </x:is>
      </x:c>
      <x:c r="AF951" s="5" t="str">
        <x:f>"생활권|"&amp;K951</x:f>
        <x:v>생활권|영체</x:v>
      </x:c>
      <x:c r="AG951" s="5" t="str">
        <x:f>"지형|"&amp;L951</x:f>
        <x:v>지형|건조</x:v>
      </x:c>
      <x:c r="AH951" s="5" t="str">
        <x:f>"온도|"&amp;M951</x:f>
        <x:v>온도|고온</x:v>
      </x:c>
      <x:c r="AI951" s="5" t="str">
        <x:f>"습도|"&amp;N951</x:f>
        <x:v>습도|건조</x:v>
      </x:c>
      <x:c r="AJ951" s="5" t="str">
        <x:f>"날씨|"&amp;O951</x:f>
        <x:v>날씨|맑음</x:v>
      </x:c>
      <x:c r="AK951" s="5" t="str">
        <x:f>"특수태그|"&amp;R951</x:f>
        <x:v>특수태그|영체</x:v>
      </x:c>
      <x:c r="AL951" s="5" t="str">
        <x:f>"원본서식지|"&amp;S951</x:f>
        <x:v>원본서식지|건조지</x:v>
      </x:c>
      <x:c r="AM951" s="5" t="str">
        <x:f>"타입|"&amp;F951</x:f>
        <x:v>타입|풀</x:v>
      </x:c>
      <x:c r="AN951" s="5" t="str">
        <x:f>"타입|"&amp;G951</x:f>
        <x:v>타입|고스트</x:v>
      </x:c>
    </x:row>
    <x:row r="952" ht="24" customHeight="1">
      <x:c r="A952" s="5" t="n">
        <x:v>948</x:v>
      </x:c>
      <x:c r="B952" s="5" t="inlineStr">
        <x:is>
          <x:t xml:space="preserve">들눈해</x:t>
        </x:is>
      </x:c>
      <x:c r="C952" s="5" t="inlineStr">
        <x:is>
          <x:t xml:space="preserve">toedscool</x:t>
        </x:is>
      </x:c>
      <x:c r="D952" s="5" t="inlineStr">
        <x:is>
          <x:t xml:space="preserve">Toedscool</x:t>
        </x:is>
      </x:c>
      <x:c r="E952" s="5" t="n">
        <x:v>9</x:v>
      </x:c>
      <x:c r="F952" s="5" t="inlineStr">
        <x:is>
          <x:t xml:space="preserve">땅</x:t>
        </x:is>
      </x:c>
      <x:c r="G952" s="5" t="inlineStr">
        <x:is>
          <x:t xml:space="preserve">풀</x:t>
        </x:is>
      </x:c>
      <x:c r="H952" s="6" t="n">
        <x:v>33</x:v>
      </x:c>
      <x:c r="I952" s="5" t="n">
        <x:v>30</x:v>
      </x:c>
      <x:c r="J952" s="5" t="inlineStr">
        <x:is>
          <x:t xml:space="preserve">기본</x:t>
        </x:is>
      </x:c>
      <x:c r="K952" s="7" t="inlineStr">
        <x:is>
          <x:t xml:space="preserve">육상</x:t>
        </x:is>
      </x:c>
      <x:c r="L952" s="7" t="inlineStr">
        <x:is>
          <x:t xml:space="preserve">화산</x:t>
        </x:is>
      </x:c>
      <x:c r="M952" s="7" t="inlineStr">
        <x:is>
          <x:t xml:space="preserve">고온</x:t>
        </x:is>
      </x:c>
      <x:c r="N952" s="7" t="inlineStr">
        <x:is>
          <x:t xml:space="preserve">건조</x:t>
        </x:is>
      </x:c>
      <x:c r="O952" s="7" t="inlineStr">
        <x:is>
          <x:t xml:space="preserve">맑음</x:t>
        </x:is>
      </x:c>
      <x:c r="P952" s="7" t="inlineStr">
        <x:is>
          <x:t xml:space="preserve">무관</x:t>
        </x:is>
      </x:c>
      <x:c r="Q952" s="7" t="inlineStr">
        <x:is>
          <x:t xml:space="preserve">흔함</x:t>
        </x:is>
      </x:c>
      <x:c r="R952" s="7" t="inlineStr">
        <x:is>
          <x:t xml:space="preserve">화산</x:t>
        </x:is>
      </x:c>
      <x:c r="S952" s="7" t="inlineStr">
        <x:is>
          <x:t xml:space="preserve">화산</x:t>
        </x:is>
      </x:c>
      <x:c r="T952" s="7" t="inlineStr">
        <x:is>
          <x:t xml:space="preserve"/>
        </x:is>
      </x:c>
      <x:c r="U952" s="8" t="str">
        <x:f>INDEX('서식지_점수'!$E$4:$P$4,1,MATCH(MAX('서식지_점수'!E952:P952),'서식지_점수'!E952:P952,0))</x:f>
        <x:v>평원</x:v>
      </x:c>
      <x:c r="V952" s="8" t="str">
        <x:f>IF(T952&lt;&gt;"",T952,U952)</x:f>
        <x:v>평원</x:v>
      </x:c>
      <x:c r="W952" s="8" t="str">
        <x:f>IFERROR(INDEX('서식지_점수'!$E$4:$P$4,1,MATCH(MAXIFS('서식지_점수'!E952:P952,'서식지_점수'!E952:P952,"&lt;"&amp;MAX('서식지_점수'!E952:P952)),'서식지_점수'!E952:P952,0)),"")</x:f>
        <x:v>숲</x:v>
      </x:c>
      <x:c r="X952" s="8" t="str">
        <x:f>IF(T952&lt;&gt;"","수동확정",IF(MAX('서식지_점수'!E952:P952)-LARGE('서식지_점수'!E952:P952,2)&gt;=15,"높음",IF(MAX('서식지_점수'!E952:P952)-LARGE('서식지_점수'!E952:P952,2)&gt;=8,"보통","검토필요")))</x:f>
        <x:v>검토필요</x:v>
      </x:c>
      <x:c r="Y952" s="9" t="n">
        <x:f>IF(Q952="전설",8,IF(Q952="희귀",7,IF(J952="기본",1,IF(J952="중간",3,IF(J952="최종",IF(I952="",5,IF(I952&lt;=20,3,IF(I952&lt;=35,4,IF(I952&lt;=50,6,7)))),IF(Q952="드묾",4,2))))))</x:f>
        <x:v>1</x:v>
      </x:c>
      <x:c r="Z952" s="5" t="inlineStr">
        <x:is>
          <x:t xml:space="preserve">#cobblemon:is_savanna; #cobblemon:nether/is_fungus</x:t>
        </x:is>
      </x:c>
      <x:c r="AA952" s="5" t="inlineStr">
        <x:is>
          <x:t xml:space="preserve">common</x:t>
        </x:is>
      </x:c>
      <x:c r="AB952" s="5" t="inlineStr">
        <x:is>
          <x:t xml:space="preserve">예</x:t>
        </x:is>
      </x:c>
      <x:c r="AC952" s="8" t="str">
        <x:f>IF(T952&lt;&gt;"","수동확정",IF(X952="검토필요","검토필요",IF(S952="","원본없음","초기완료")))</x:f>
        <x:v>검토필요</x:v>
      </x:c>
      <x:c r="AD952" s="7" t="inlineStr">
        <x:is>
          <x:t xml:space="preserve"/>
        </x:is>
      </x:c>
      <x:c r="AE952" s="5" t="inlineStr">
        <x:is>
          <x:t xml:space="preserve">.tmp/cobblemon-1.7.3-source/common/src/main/resources/data/cobblemon/species/generation9/toedscool.json</x:t>
        </x:is>
      </x:c>
      <x:c r="AF952" s="5" t="str">
        <x:f>"생활권|"&amp;K952</x:f>
        <x:v>생활권|육상</x:v>
      </x:c>
      <x:c r="AG952" s="5" t="str">
        <x:f>"지형|"&amp;L952</x:f>
        <x:v>지형|화산</x:v>
      </x:c>
      <x:c r="AH952" s="5" t="str">
        <x:f>"온도|"&amp;M952</x:f>
        <x:v>온도|고온</x:v>
      </x:c>
      <x:c r="AI952" s="5" t="str">
        <x:f>"습도|"&amp;N952</x:f>
        <x:v>습도|건조</x:v>
      </x:c>
      <x:c r="AJ952" s="5" t="str">
        <x:f>"날씨|"&amp;O952</x:f>
        <x:v>날씨|맑음</x:v>
      </x:c>
      <x:c r="AK952" s="5" t="str">
        <x:f>"특수태그|"&amp;R952</x:f>
        <x:v>특수태그|화산</x:v>
      </x:c>
      <x:c r="AL952" s="5" t="str">
        <x:f>"원본서식지|"&amp;S952</x:f>
        <x:v>원본서식지|화산</x:v>
      </x:c>
      <x:c r="AM952" s="5" t="str">
        <x:f>"타입|"&amp;F952</x:f>
        <x:v>타입|땅</x:v>
      </x:c>
      <x:c r="AN952" s="5" t="str">
        <x:f>"타입|"&amp;G952</x:f>
        <x:v>타입|풀</x:v>
      </x:c>
    </x:row>
    <x:row r="953" ht="24" customHeight="1">
      <x:c r="A953" s="5" t="n">
        <x:v>949</x:v>
      </x:c>
      <x:c r="B953" s="5" t="inlineStr">
        <x:is>
          <x:t xml:space="preserve">육파리</x:t>
        </x:is>
      </x:c>
      <x:c r="C953" s="5" t="inlineStr">
        <x:is>
          <x:t xml:space="preserve">toedscruel</x:t>
        </x:is>
      </x:c>
      <x:c r="D953" s="5" t="inlineStr">
        <x:is>
          <x:t xml:space="preserve">Toedscruel</x:t>
        </x:is>
      </x:c>
      <x:c r="E953" s="5" t="n">
        <x:v>9</x:v>
      </x:c>
      <x:c r="F953" s="5" t="inlineStr">
        <x:is>
          <x:t xml:space="preserve">땅</x:t>
        </x:is>
      </x:c>
      <x:c r="G953" s="5" t="inlineStr">
        <x:is>
          <x:t xml:space="preserve">풀</x:t>
        </x:is>
      </x:c>
      <x:c r="H953" s="6" t="n">
        <x:v>58</x:v>
      </x:c>
      <x:c r="I953" s="5" t="n">
        <x:v>30</x:v>
      </x:c>
      <x:c r="J953" s="5" t="inlineStr">
        <x:is>
          <x:t xml:space="preserve">최종</x:t>
        </x:is>
      </x:c>
      <x:c r="K953" s="7" t="inlineStr">
        <x:is>
          <x:t xml:space="preserve">육상</x:t>
        </x:is>
      </x:c>
      <x:c r="L953" s="7" t="inlineStr">
        <x:is>
          <x:t xml:space="preserve">화산</x:t>
        </x:is>
      </x:c>
      <x:c r="M953" s="7" t="inlineStr">
        <x:is>
          <x:t xml:space="preserve">고온</x:t>
        </x:is>
      </x:c>
      <x:c r="N953" s="7" t="inlineStr">
        <x:is>
          <x:t xml:space="preserve">건조</x:t>
        </x:is>
      </x:c>
      <x:c r="O953" s="7" t="inlineStr">
        <x:is>
          <x:t xml:space="preserve">맑음</x:t>
        </x:is>
      </x:c>
      <x:c r="P953" s="7" t="inlineStr">
        <x:is>
          <x:t xml:space="preserve">무관</x:t>
        </x:is>
      </x:c>
      <x:c r="Q953" s="7" t="inlineStr">
        <x:is>
          <x:t xml:space="preserve">흔함</x:t>
        </x:is>
      </x:c>
      <x:c r="R953" s="7" t="inlineStr">
        <x:is>
          <x:t xml:space="preserve">화산</x:t>
        </x:is>
      </x:c>
      <x:c r="S953" s="7" t="inlineStr">
        <x:is>
          <x:t xml:space="preserve">화산</x:t>
        </x:is>
      </x:c>
      <x:c r="T953" s="7" t="inlineStr">
        <x:is>
          <x:t xml:space="preserve"/>
        </x:is>
      </x:c>
      <x:c r="U953" s="8" t="str">
        <x:f>INDEX('서식지_점수'!$E$4:$P$4,1,MATCH(MAX('서식지_점수'!E953:P953),'서식지_점수'!E953:P953,0))</x:f>
        <x:v>평원</x:v>
      </x:c>
      <x:c r="V953" s="8" t="str">
        <x:f>IF(T953&lt;&gt;"",T953,U953)</x:f>
        <x:v>평원</x:v>
      </x:c>
      <x:c r="W953" s="8" t="str">
        <x:f>IFERROR(INDEX('서식지_점수'!$E$4:$P$4,1,MATCH(MAXIFS('서식지_점수'!E953:P953,'서식지_점수'!E953:P953,"&lt;"&amp;MAX('서식지_점수'!E953:P953)),'서식지_점수'!E953:P953,0)),"")</x:f>
        <x:v>숲</x:v>
      </x:c>
      <x:c r="X953" s="8" t="str">
        <x:f>IF(T953&lt;&gt;"","수동확정",IF(MAX('서식지_점수'!E953:P953)-LARGE('서식지_점수'!E953:P953,2)&gt;=15,"높음",IF(MAX('서식지_점수'!E953:P953)-LARGE('서식지_점수'!E953:P953,2)&gt;=8,"보통","검토필요")))</x:f>
        <x:v>검토필요</x:v>
      </x:c>
      <x:c r="Y953" s="9" t="n">
        <x:f>IF(Q953="전설",8,IF(Q953="희귀",7,IF(J953="기본",1,IF(J953="중간",3,IF(J953="최종",IF(I953="",5,IF(I953&lt;=20,3,IF(I953&lt;=35,4,IF(I953&lt;=50,6,7)))),IF(Q953="드묾",4,2))))))</x:f>
        <x:v>4</x:v>
      </x:c>
      <x:c r="Z953" s="5" t="inlineStr">
        <x:is>
          <x:t xml:space="preserve">#cobblemon:is_savanna; #cobblemon:nether/is_fungus</x:t>
        </x:is>
      </x:c>
      <x:c r="AA953" s="5" t="inlineStr">
        <x:is>
          <x:t xml:space="preserve">common</x:t>
        </x:is>
      </x:c>
      <x:c r="AB953" s="5" t="inlineStr">
        <x:is>
          <x:t xml:space="preserve">예</x:t>
        </x:is>
      </x:c>
      <x:c r="AC953" s="8" t="str">
        <x:f>IF(T953&lt;&gt;"","수동확정",IF(X953="검토필요","검토필요",IF(S953="","원본없음","초기완료")))</x:f>
        <x:v>검토필요</x:v>
      </x:c>
      <x:c r="AD953" s="7" t="inlineStr">
        <x:is>
          <x:t xml:space="preserve"/>
        </x:is>
      </x:c>
      <x:c r="AE953" s="5" t="inlineStr">
        <x:is>
          <x:t xml:space="preserve">.tmp/cobblemon-1.7.3-source/common/src/main/resources/data/cobblemon/species/generation9/toedscruel.json</x:t>
        </x:is>
      </x:c>
      <x:c r="AF953" s="5" t="str">
        <x:f>"생활권|"&amp;K953</x:f>
        <x:v>생활권|육상</x:v>
      </x:c>
      <x:c r="AG953" s="5" t="str">
        <x:f>"지형|"&amp;L953</x:f>
        <x:v>지형|화산</x:v>
      </x:c>
      <x:c r="AH953" s="5" t="str">
        <x:f>"온도|"&amp;M953</x:f>
        <x:v>온도|고온</x:v>
      </x:c>
      <x:c r="AI953" s="5" t="str">
        <x:f>"습도|"&amp;N953</x:f>
        <x:v>습도|건조</x:v>
      </x:c>
      <x:c r="AJ953" s="5" t="str">
        <x:f>"날씨|"&amp;O953</x:f>
        <x:v>날씨|맑음</x:v>
      </x:c>
      <x:c r="AK953" s="5" t="str">
        <x:f>"특수태그|"&amp;R953</x:f>
        <x:v>특수태그|화산</x:v>
      </x:c>
      <x:c r="AL953" s="5" t="str">
        <x:f>"원본서식지|"&amp;S953</x:f>
        <x:v>원본서식지|화산</x:v>
      </x:c>
      <x:c r="AM953" s="5" t="str">
        <x:f>"타입|"&amp;F953</x:f>
        <x:v>타입|땅</x:v>
      </x:c>
      <x:c r="AN953" s="5" t="str">
        <x:f>"타입|"&amp;G953</x:f>
        <x:v>타입|풀</x:v>
      </x:c>
    </x:row>
    <x:row r="954" ht="24" customHeight="1">
      <x:c r="A954" s="5" t="n">
        <x:v>950</x:v>
      </x:c>
      <x:c r="B954" s="5" t="inlineStr">
        <x:is>
          <x:t xml:space="preserve">절벼게</x:t>
        </x:is>
      </x:c>
      <x:c r="C954" s="5" t="inlineStr">
        <x:is>
          <x:t xml:space="preserve">klawf</x:t>
        </x:is>
      </x:c>
      <x:c r="D954" s="5" t="inlineStr">
        <x:is>
          <x:t xml:space="preserve">Klawf</x:t>
        </x:is>
      </x:c>
      <x:c r="E954" s="5" t="n">
        <x:v>9</x:v>
      </x:c>
      <x:c r="F954" s="5" t="inlineStr">
        <x:is>
          <x:t xml:space="preserve">바위</x:t>
        </x:is>
      </x:c>
      <x:c r="G954" s="5" t="inlineStr">
        <x:is>
          <x:t xml:space="preserve"/>
        </x:is>
      </x:c>
      <x:c r="H954" s="6" t="n">
        <x:v>79</x:v>
      </x:c>
      <x:c r="I954" s="5" t="n"/>
      <x:c r="J954" s="5" t="inlineStr">
        <x:is>
          <x:t xml:space="preserve">무진화</x:t>
        </x:is>
      </x:c>
      <x:c r="K954" s="7" t="inlineStr">
        <x:is>
          <x:t xml:space="preserve">육상</x:t>
        </x:is>
      </x:c>
      <x:c r="L954" s="7" t="inlineStr">
        <x:is>
          <x:t xml:space="preserve">건조</x:t>
        </x:is>
      </x:c>
      <x:c r="M954" s="7" t="inlineStr">
        <x:is>
          <x:t xml:space="preserve">고온</x:t>
        </x:is>
      </x:c>
      <x:c r="N954" s="7" t="inlineStr">
        <x:is>
          <x:t xml:space="preserve">건조</x:t>
        </x:is>
      </x:c>
      <x:c r="O954" s="7" t="inlineStr">
        <x:is>
          <x:t xml:space="preserve">맑음</x:t>
        </x:is>
      </x:c>
      <x:c r="P954" s="7" t="inlineStr">
        <x:is>
          <x:t xml:space="preserve">무관</x:t>
        </x:is>
      </x:c>
      <x:c r="Q954" s="7" t="inlineStr">
        <x:is>
          <x:t xml:space="preserve">보통</x:t>
        </x:is>
      </x:c>
      <x:c r="R954" s="7" t="inlineStr">
        <x:is>
          <x:t xml:space="preserve">없음</x:t>
        </x:is>
      </x:c>
      <x:c r="S954" s="7" t="inlineStr">
        <x:is>
          <x:t xml:space="preserve">건조지</x:t>
        </x:is>
      </x:c>
      <x:c r="T954" s="7" t="inlineStr">
        <x:is>
          <x:t xml:space="preserve"/>
        </x:is>
      </x:c>
      <x:c r="U954" s="8" t="str">
        <x:f>INDEX('서식지_점수'!$E$4:$P$4,1,MATCH(MAX('서식지_점수'!E954:P954),'서식지_점수'!E954:P954,0))</x:f>
        <x:v>평원</x:v>
      </x:c>
      <x:c r="V954" s="8" t="str">
        <x:f>IF(T954&lt;&gt;"",T954,U954)</x:f>
        <x:v>평원</x:v>
      </x:c>
      <x:c r="W954" s="8" t="str">
        <x:f>IFERROR(INDEX('서식지_점수'!$E$4:$P$4,1,MATCH(MAXIFS('서식지_점수'!E954:P954,'서식지_점수'!E954:P954,"&lt;"&amp;MAX('서식지_점수'!E954:P954)),'서식지_점수'!E954:P954,0)),"")</x:f>
        <x:v>숲</x:v>
      </x:c>
      <x:c r="X954" s="8" t="str">
        <x:f>IF(T954&lt;&gt;"","수동확정",IF(MAX('서식지_점수'!E954:P954)-LARGE('서식지_점수'!E954:P954,2)&gt;=15,"높음",IF(MAX('서식지_점수'!E954:P954)-LARGE('서식지_점수'!E954:P954,2)&gt;=8,"보통","검토필요")))</x:f>
        <x:v>검토필요</x:v>
      </x:c>
      <x:c r="Y954" s="9" t="n">
        <x:f>IF(Q954="전설",8,IF(Q954="희귀",7,IF(J954="기본",1,IF(J954="중간",3,IF(J954="최종",IF(I954="",5,IF(I954&lt;=20,3,IF(I954&lt;=35,4,IF(I954&lt;=50,6,7)))),IF(Q954="드묾",4,2))))))</x:f>
        <x:v>2</x:v>
      </x:c>
      <x:c r="Z954" s="5" t="inlineStr">
        <x:is>
          <x:t xml:space="preserve">#cobblemon:is_badlands</x:t>
        </x:is>
      </x:c>
      <x:c r="AA954" s="5" t="inlineStr">
        <x:is>
          <x:t xml:space="preserve">uncommon</x:t>
        </x:is>
      </x:c>
      <x:c r="AB954" s="5" t="inlineStr">
        <x:is>
          <x:t xml:space="preserve">예</x:t>
        </x:is>
      </x:c>
      <x:c r="AC954" s="8" t="str">
        <x:f>IF(T954&lt;&gt;"","수동확정",IF(X954="검토필요","검토필요",IF(S954="","원본없음","초기완료")))</x:f>
        <x:v>검토필요</x:v>
      </x:c>
      <x:c r="AD954" s="7" t="inlineStr">
        <x:is>
          <x:t xml:space="preserve"/>
        </x:is>
      </x:c>
      <x:c r="AE954" s="5" t="inlineStr">
        <x:is>
          <x:t xml:space="preserve">.tmp/cobblemon-1.7.3-source/common/src/main/resources/data/cobblemon/species/generation9/klawf.json</x:t>
        </x:is>
      </x:c>
      <x:c r="AF954" s="5" t="str">
        <x:f>"생활권|"&amp;K954</x:f>
        <x:v>생활권|육상</x:v>
      </x:c>
      <x:c r="AG954" s="5" t="str">
        <x:f>"지형|"&amp;L954</x:f>
        <x:v>지형|건조</x:v>
      </x:c>
      <x:c r="AH954" s="5" t="str">
        <x:f>"온도|"&amp;M954</x:f>
        <x:v>온도|고온</x:v>
      </x:c>
      <x:c r="AI954" s="5" t="str">
        <x:f>"습도|"&amp;N954</x:f>
        <x:v>습도|건조</x:v>
      </x:c>
      <x:c r="AJ954" s="5" t="str">
        <x:f>"날씨|"&amp;O954</x:f>
        <x:v>날씨|맑음</x:v>
      </x:c>
      <x:c r="AK954" s="5" t="str">
        <x:f>"특수태그|"&amp;R954</x:f>
        <x:v>특수태그|없음</x:v>
      </x:c>
      <x:c r="AL954" s="5" t="str">
        <x:f>"원본서식지|"&amp;S954</x:f>
        <x:v>원본서식지|건조지</x:v>
      </x:c>
      <x:c r="AM954" s="5" t="str">
        <x:f>"타입|"&amp;F954</x:f>
        <x:v>타입|바위</x:v>
      </x:c>
      <x:c r="AN954" s="5" t="str">
        <x:f>"타입|"&amp;G954</x:f>
        <x:v>타입|</x:v>
      </x:c>
    </x:row>
    <x:row r="955" ht="24" customHeight="1">
      <x:c r="A955" s="5" t="n">
        <x:v>951</x:v>
      </x:c>
      <x:c r="B955" s="5" t="inlineStr">
        <x:is>
          <x:t xml:space="preserve">캡싸이</x:t>
        </x:is>
      </x:c>
      <x:c r="C955" s="5" t="inlineStr">
        <x:is>
          <x:t xml:space="preserve">capsakid</x:t>
        </x:is>
      </x:c>
      <x:c r="D955" s="5" t="inlineStr">
        <x:is>
          <x:t xml:space="preserve">Capsakid</x:t>
        </x:is>
      </x:c>
      <x:c r="E955" s="5" t="n">
        <x:v>9</x:v>
      </x:c>
      <x:c r="F955" s="5" t="inlineStr">
        <x:is>
          <x:t xml:space="preserve">풀</x:t>
        </x:is>
      </x:c>
      <x:c r="G955" s="5" t="inlineStr">
        <x:is>
          <x:t xml:space="preserve"/>
        </x:is>
      </x:c>
      <x:c r="H955" s="6" t="n">
        <x:v>3</x:v>
      </x:c>
      <x:c r="I955" s="5" t="n"/>
      <x:c r="J955" s="5" t="inlineStr">
        <x:is>
          <x:t xml:space="preserve">기본</x:t>
        </x:is>
      </x:c>
      <x:c r="K955" s="7" t="inlineStr">
        <x:is>
          <x:t xml:space="preserve">육상</x:t>
        </x:is>
      </x:c>
      <x:c r="L955" s="7" t="inlineStr">
        <x:is>
          <x:t xml:space="preserve">화산</x:t>
        </x:is>
      </x:c>
      <x:c r="M955" s="7" t="inlineStr">
        <x:is>
          <x:t xml:space="preserve">고온</x:t>
        </x:is>
      </x:c>
      <x:c r="N955" s="7" t="inlineStr">
        <x:is>
          <x:t xml:space="preserve">건조</x:t>
        </x:is>
      </x:c>
      <x:c r="O955" s="7" t="inlineStr">
        <x:is>
          <x:t xml:space="preserve">맑음</x:t>
        </x:is>
      </x:c>
      <x:c r="P955" s="7" t="inlineStr">
        <x:is>
          <x:t xml:space="preserve">무관</x:t>
        </x:is>
      </x:c>
      <x:c r="Q955" s="7" t="inlineStr">
        <x:is>
          <x:t xml:space="preserve">흔함</x:t>
        </x:is>
      </x:c>
      <x:c r="R955" s="7" t="inlineStr">
        <x:is>
          <x:t xml:space="preserve">화산</x:t>
        </x:is>
      </x:c>
      <x:c r="S955" s="7" t="inlineStr">
        <x:is>
          <x:t xml:space="preserve">화산</x:t>
        </x:is>
      </x:c>
      <x:c r="T955" s="7" t="inlineStr">
        <x:is>
          <x:t xml:space="preserve"/>
        </x:is>
      </x:c>
      <x:c r="U955" s="8" t="str">
        <x:f>INDEX('서식지_점수'!$E$4:$P$4,1,MATCH(MAX('서식지_점수'!E955:P955),'서식지_점수'!E955:P955,0))</x:f>
        <x:v>평원</x:v>
      </x:c>
      <x:c r="V955" s="8" t="str">
        <x:f>IF(T955&lt;&gt;"",T955,U955)</x:f>
        <x:v>평원</x:v>
      </x:c>
      <x:c r="W955" s="8" t="str">
        <x:f>IFERROR(INDEX('서식지_점수'!$E$4:$P$4,1,MATCH(MAXIFS('서식지_점수'!E955:P955,'서식지_점수'!E955:P955,"&lt;"&amp;MAX('서식지_점수'!E955:P955)),'서식지_점수'!E955:P955,0)),"")</x:f>
        <x:v>숲</x:v>
      </x:c>
      <x:c r="X955" s="8" t="str">
        <x:f>IF(T955&lt;&gt;"","수동확정",IF(MAX('서식지_점수'!E955:P955)-LARGE('서식지_점수'!E955:P955,2)&gt;=15,"높음",IF(MAX('서식지_점수'!E955:P955)-LARGE('서식지_점수'!E955:P955,2)&gt;=8,"보통","검토필요")))</x:f>
        <x:v>검토필요</x:v>
      </x:c>
      <x:c r="Y955" s="9" t="n">
        <x:f>IF(Q955="전설",8,IF(Q955="희귀",7,IF(J955="기본",1,IF(J955="중간",3,IF(J955="최종",IF(I955="",5,IF(I955&lt;=20,3,IF(I955&lt;=35,4,IF(I955&lt;=50,6,7)))),IF(Q955="드묾",4,2))))))</x:f>
        <x:v>1</x:v>
      </x:c>
      <x:c r="Z955" s="5" t="inlineStr">
        <x:is>
          <x:t xml:space="preserve">#cobblemon:is_arid; #cobblemon:nether/is_overgrowth</x:t>
        </x:is>
      </x:c>
      <x:c r="AA955" s="5" t="inlineStr">
        <x:is>
          <x:t xml:space="preserve">common</x:t>
        </x:is>
      </x:c>
      <x:c r="AB955" s="5" t="inlineStr">
        <x:is>
          <x:t xml:space="preserve">예</x:t>
        </x:is>
      </x:c>
      <x:c r="AC955" s="8" t="str">
        <x:f>IF(T955&lt;&gt;"","수동확정",IF(X955="검토필요","검토필요",IF(S955="","원본없음","초기완료")))</x:f>
        <x:v>검토필요</x:v>
      </x:c>
      <x:c r="AD955" s="7" t="inlineStr">
        <x:is>
          <x:t xml:space="preserve"/>
        </x:is>
      </x:c>
      <x:c r="AE955" s="5" t="inlineStr">
        <x:is>
          <x:t xml:space="preserve">.tmp/cobblemon-1.7.3-source/common/src/main/resources/data/cobblemon/species/generation9/capsakid.json</x:t>
        </x:is>
      </x:c>
      <x:c r="AF955" s="5" t="str">
        <x:f>"생활권|"&amp;K955</x:f>
        <x:v>생활권|육상</x:v>
      </x:c>
      <x:c r="AG955" s="5" t="str">
        <x:f>"지형|"&amp;L955</x:f>
        <x:v>지형|화산</x:v>
      </x:c>
      <x:c r="AH955" s="5" t="str">
        <x:f>"온도|"&amp;M955</x:f>
        <x:v>온도|고온</x:v>
      </x:c>
      <x:c r="AI955" s="5" t="str">
        <x:f>"습도|"&amp;N955</x:f>
        <x:v>습도|건조</x:v>
      </x:c>
      <x:c r="AJ955" s="5" t="str">
        <x:f>"날씨|"&amp;O955</x:f>
        <x:v>날씨|맑음</x:v>
      </x:c>
      <x:c r="AK955" s="5" t="str">
        <x:f>"특수태그|"&amp;R955</x:f>
        <x:v>특수태그|화산</x:v>
      </x:c>
      <x:c r="AL955" s="5" t="str">
        <x:f>"원본서식지|"&amp;S955</x:f>
        <x:v>원본서식지|화산</x:v>
      </x:c>
      <x:c r="AM955" s="5" t="str">
        <x:f>"타입|"&amp;F955</x:f>
        <x:v>타입|풀</x:v>
      </x:c>
      <x:c r="AN955" s="5" t="str">
        <x:f>"타입|"&amp;G955</x:f>
        <x:v>타입|</x:v>
      </x:c>
    </x:row>
    <x:row r="956" ht="24" customHeight="1">
      <x:c r="A956" s="5" t="n">
        <x:v>952</x:v>
      </x:c>
      <x:c r="B956" s="5" t="inlineStr">
        <x:is>
          <x:t xml:space="preserve">스코빌런</x:t>
        </x:is>
      </x:c>
      <x:c r="C956" s="5" t="inlineStr">
        <x:is>
          <x:t xml:space="preserve">scovillain</x:t>
        </x:is>
      </x:c>
      <x:c r="D956" s="5" t="inlineStr">
        <x:is>
          <x:t xml:space="preserve">Scovillain</x:t>
        </x:is>
      </x:c>
      <x:c r="E956" s="5" t="n">
        <x:v>9</x:v>
      </x:c>
      <x:c r="F956" s="5" t="inlineStr">
        <x:is>
          <x:t xml:space="preserve">풀</x:t>
        </x:is>
      </x:c>
      <x:c r="G956" s="5" t="inlineStr">
        <x:is>
          <x:t xml:space="preserve">불꽃</x:t>
        </x:is>
      </x:c>
      <x:c r="H956" s="6" t="n">
        <x:v>15</x:v>
      </x:c>
      <x:c r="I956" s="5" t="n"/>
      <x:c r="J956" s="5" t="inlineStr">
        <x:is>
          <x:t xml:space="preserve">최종</x:t>
        </x:is>
      </x:c>
      <x:c r="K956" s="7" t="inlineStr">
        <x:is>
          <x:t xml:space="preserve">육상</x:t>
        </x:is>
      </x:c>
      <x:c r="L956" s="7" t="inlineStr">
        <x:is>
          <x:t xml:space="preserve">화산</x:t>
        </x:is>
      </x:c>
      <x:c r="M956" s="7" t="inlineStr">
        <x:is>
          <x:t xml:space="preserve">고온</x:t>
        </x:is>
      </x:c>
      <x:c r="N956" s="7" t="inlineStr">
        <x:is>
          <x:t xml:space="preserve">건조</x:t>
        </x:is>
      </x:c>
      <x:c r="O956" s="7" t="inlineStr">
        <x:is>
          <x:t xml:space="preserve">맑음</x:t>
        </x:is>
      </x:c>
      <x:c r="P956" s="7" t="inlineStr">
        <x:is>
          <x:t xml:space="preserve">무관</x:t>
        </x:is>
      </x:c>
      <x:c r="Q956" s="7" t="inlineStr">
        <x:is>
          <x:t xml:space="preserve">흔함</x:t>
        </x:is>
      </x:c>
      <x:c r="R956" s="7" t="inlineStr">
        <x:is>
          <x:t xml:space="preserve">화산</x:t>
        </x:is>
      </x:c>
      <x:c r="S956" s="7" t="inlineStr">
        <x:is>
          <x:t xml:space="preserve">화산</x:t>
        </x:is>
      </x:c>
      <x:c r="T956" s="7" t="inlineStr">
        <x:is>
          <x:t xml:space="preserve"/>
        </x:is>
      </x:c>
      <x:c r="U956" s="8" t="str">
        <x:f>INDEX('서식지_점수'!$E$4:$P$4,1,MATCH(MAX('서식지_점수'!E956:P956),'서식지_점수'!E956:P956,0))</x:f>
        <x:v>평원</x:v>
      </x:c>
      <x:c r="V956" s="8" t="str">
        <x:f>IF(T956&lt;&gt;"",T956,U956)</x:f>
        <x:v>평원</x:v>
      </x:c>
      <x:c r="W956" s="8" t="str">
        <x:f>IFERROR(INDEX('서식지_점수'!$E$4:$P$4,1,MATCH(MAXIFS('서식지_점수'!E956:P956,'서식지_점수'!E956:P956,"&lt;"&amp;MAX('서식지_점수'!E956:P956)),'서식지_점수'!E956:P956,0)),"")</x:f>
        <x:v>숲</x:v>
      </x:c>
      <x:c r="X956" s="8" t="str">
        <x:f>IF(T956&lt;&gt;"","수동확정",IF(MAX('서식지_점수'!E956:P956)-LARGE('서식지_점수'!E956:P956,2)&gt;=15,"높음",IF(MAX('서식지_점수'!E956:P956)-LARGE('서식지_점수'!E956:P956,2)&gt;=8,"보통","검토필요")))</x:f>
        <x:v>검토필요</x:v>
      </x:c>
      <x:c r="Y956" s="9" t="n">
        <x:f>IF(Q956="전설",8,IF(Q956="희귀",7,IF(J956="기본",1,IF(J956="중간",3,IF(J956="최종",IF(I956="",5,IF(I956&lt;=20,3,IF(I956&lt;=35,4,IF(I956&lt;=50,6,7)))),IF(Q956="드묾",4,2))))))</x:f>
        <x:v>5</x:v>
      </x:c>
      <x:c r="Z956" s="5" t="inlineStr">
        <x:is>
          <x:t xml:space="preserve">#cobblemon:is_arid; #cobblemon:nether/is_overgrowth</x:t>
        </x:is>
      </x:c>
      <x:c r="AA956" s="5" t="inlineStr">
        <x:is>
          <x:t xml:space="preserve">common</x:t>
        </x:is>
      </x:c>
      <x:c r="AB956" s="5" t="inlineStr">
        <x:is>
          <x:t xml:space="preserve">예</x:t>
        </x:is>
      </x:c>
      <x:c r="AC956" s="8" t="str">
        <x:f>IF(T956&lt;&gt;"","수동확정",IF(X956="검토필요","검토필요",IF(S956="","원본없음","초기완료")))</x:f>
        <x:v>검토필요</x:v>
      </x:c>
      <x:c r="AD956" s="7" t="inlineStr">
        <x:is>
          <x:t xml:space="preserve"/>
        </x:is>
      </x:c>
      <x:c r="AE956" s="5" t="inlineStr">
        <x:is>
          <x:t xml:space="preserve">.tmp/cobblemon-1.7.3-source/common/src/main/resources/data/cobblemon/species/generation9/scovillain.json</x:t>
        </x:is>
      </x:c>
      <x:c r="AF956" s="5" t="str">
        <x:f>"생활권|"&amp;K956</x:f>
        <x:v>생활권|육상</x:v>
      </x:c>
      <x:c r="AG956" s="5" t="str">
        <x:f>"지형|"&amp;L956</x:f>
        <x:v>지형|화산</x:v>
      </x:c>
      <x:c r="AH956" s="5" t="str">
        <x:f>"온도|"&amp;M956</x:f>
        <x:v>온도|고온</x:v>
      </x:c>
      <x:c r="AI956" s="5" t="str">
        <x:f>"습도|"&amp;N956</x:f>
        <x:v>습도|건조</x:v>
      </x:c>
      <x:c r="AJ956" s="5" t="str">
        <x:f>"날씨|"&amp;O956</x:f>
        <x:v>날씨|맑음</x:v>
      </x:c>
      <x:c r="AK956" s="5" t="str">
        <x:f>"특수태그|"&amp;R956</x:f>
        <x:v>특수태그|화산</x:v>
      </x:c>
      <x:c r="AL956" s="5" t="str">
        <x:f>"원본서식지|"&amp;S956</x:f>
        <x:v>원본서식지|화산</x:v>
      </x:c>
      <x:c r="AM956" s="5" t="str">
        <x:f>"타입|"&amp;F956</x:f>
        <x:v>타입|풀</x:v>
      </x:c>
      <x:c r="AN956" s="5" t="str">
        <x:f>"타입|"&amp;G956</x:f>
        <x:v>타입|불꽃</x:v>
      </x:c>
    </x:row>
    <x:row r="957" ht="24" customHeight="1">
      <x:c r="A957" s="5" t="n">
        <x:v>953</x:v>
      </x:c>
      <x:c r="B957" s="5" t="inlineStr">
        <x:is>
          <x:t xml:space="preserve">구르데</x:t>
        </x:is>
      </x:c>
      <x:c r="C957" s="5" t="inlineStr">
        <x:is>
          <x:t xml:space="preserve">rellor</x:t>
        </x:is>
      </x:c>
      <x:c r="D957" s="5" t="inlineStr">
        <x:is>
          <x:t xml:space="preserve">Rellor</x:t>
        </x:is>
      </x:c>
      <x:c r="E957" s="5" t="n">
        <x:v>9</x:v>
      </x:c>
      <x:c r="F957" s="5" t="inlineStr">
        <x:is>
          <x:t xml:space="preserve">벌레</x:t>
        </x:is>
      </x:c>
      <x:c r="G957" s="5" t="inlineStr">
        <x:is>
          <x:t xml:space="preserve"/>
        </x:is>
      </x:c>
      <x:c r="H957" s="6" t="n">
        <x:v>1</x:v>
      </x:c>
      <x:c r="I957" s="5" t="n"/>
      <x:c r="J957" s="5" t="inlineStr">
        <x:is>
          <x:t xml:space="preserve">기본</x:t>
        </x:is>
      </x:c>
      <x:c r="K957" s="7" t="inlineStr">
        <x:is>
          <x:t xml:space="preserve">육상</x:t>
        </x:is>
      </x:c>
      <x:c r="L957" s="7" t="inlineStr">
        <x:is>
          <x:t xml:space="preserve">건조</x:t>
        </x:is>
      </x:c>
      <x:c r="M957" s="7" t="inlineStr">
        <x:is>
          <x:t xml:space="preserve">고온</x:t>
        </x:is>
      </x:c>
      <x:c r="N957" s="7" t="inlineStr">
        <x:is>
          <x:t xml:space="preserve">건조</x:t>
        </x:is>
      </x:c>
      <x:c r="O957" s="7" t="inlineStr">
        <x:is>
          <x:t xml:space="preserve">맑음</x:t>
        </x:is>
      </x:c>
      <x:c r="P957" s="7" t="inlineStr">
        <x:is>
          <x:t xml:space="preserve">무관</x:t>
        </x:is>
      </x:c>
      <x:c r="Q957" s="7" t="inlineStr">
        <x:is>
          <x:t xml:space="preserve">흔함</x:t>
        </x:is>
      </x:c>
      <x:c r="R957" s="7" t="inlineStr">
        <x:is>
          <x:t xml:space="preserve">없음</x:t>
        </x:is>
      </x:c>
      <x:c r="S957" s="7" t="inlineStr">
        <x:is>
          <x:t xml:space="preserve">건조지</x:t>
        </x:is>
      </x:c>
      <x:c r="T957" s="7" t="inlineStr">
        <x:is>
          <x:t xml:space="preserve"/>
        </x:is>
      </x:c>
      <x:c r="U957" s="8" t="str">
        <x:f>INDEX('서식지_점수'!$E$4:$P$4,1,MATCH(MAX('서식지_점수'!E957:P957),'서식지_점수'!E957:P957,0))</x:f>
        <x:v>평원</x:v>
      </x:c>
      <x:c r="V957" s="8" t="str">
        <x:f>IF(T957&lt;&gt;"",T957,U957)</x:f>
        <x:v>평원</x:v>
      </x:c>
      <x:c r="W957" s="8" t="str">
        <x:f>IFERROR(INDEX('서식지_점수'!$E$4:$P$4,1,MATCH(MAXIFS('서식지_점수'!E957:P957,'서식지_점수'!E957:P957,"&lt;"&amp;MAX('서식지_점수'!E957:P957)),'서식지_점수'!E957:P957,0)),"")</x:f>
        <x:v>숲</x:v>
      </x:c>
      <x:c r="X957" s="8" t="str">
        <x:f>IF(T957&lt;&gt;"","수동확정",IF(MAX('서식지_점수'!E957:P957)-LARGE('서식지_점수'!E957:P957,2)&gt;=15,"높음",IF(MAX('서식지_점수'!E957:P957)-LARGE('서식지_점수'!E957:P957,2)&gt;=8,"보통","검토필요")))</x:f>
        <x:v>검토필요</x:v>
      </x:c>
      <x:c r="Y957" s="9" t="n">
        <x:f>IF(Q957="전설",8,IF(Q957="희귀",7,IF(J957="기본",1,IF(J957="중간",3,IF(J957="최종",IF(I957="",5,IF(I957&lt;=20,3,IF(I957&lt;=35,4,IF(I957&lt;=50,6,7)))),IF(Q957="드묾",4,2))))))</x:f>
        <x:v>1</x:v>
      </x:c>
      <x:c r="Z957" s="5" t="inlineStr">
        <x:is>
          <x:t xml:space="preserve">#cobblemon:is_arid</x:t>
        </x:is>
      </x:c>
      <x:c r="AA957" s="5" t="inlineStr">
        <x:is>
          <x:t xml:space="preserve">common</x:t>
        </x:is>
      </x:c>
      <x:c r="AB957" s="5" t="inlineStr">
        <x:is>
          <x:t xml:space="preserve">예</x:t>
        </x:is>
      </x:c>
      <x:c r="AC957" s="8" t="str">
        <x:f>IF(T957&lt;&gt;"","수동확정",IF(X957="검토필요","검토필요",IF(S957="","원본없음","초기완료")))</x:f>
        <x:v>검토필요</x:v>
      </x:c>
      <x:c r="AD957" s="7" t="inlineStr">
        <x:is>
          <x:t xml:space="preserve"/>
        </x:is>
      </x:c>
      <x:c r="AE957" s="5" t="inlineStr">
        <x:is>
          <x:t xml:space="preserve">.tmp/cobblemon-1.7.3-source/common/src/main/resources/data/cobblemon/species/generation9/rellor.json</x:t>
        </x:is>
      </x:c>
      <x:c r="AF957" s="5" t="str">
        <x:f>"생활권|"&amp;K957</x:f>
        <x:v>생활권|육상</x:v>
      </x:c>
      <x:c r="AG957" s="5" t="str">
        <x:f>"지형|"&amp;L957</x:f>
        <x:v>지형|건조</x:v>
      </x:c>
      <x:c r="AH957" s="5" t="str">
        <x:f>"온도|"&amp;M957</x:f>
        <x:v>온도|고온</x:v>
      </x:c>
      <x:c r="AI957" s="5" t="str">
        <x:f>"습도|"&amp;N957</x:f>
        <x:v>습도|건조</x:v>
      </x:c>
      <x:c r="AJ957" s="5" t="str">
        <x:f>"날씨|"&amp;O957</x:f>
        <x:v>날씨|맑음</x:v>
      </x:c>
      <x:c r="AK957" s="5" t="str">
        <x:f>"특수태그|"&amp;R957</x:f>
        <x:v>특수태그|없음</x:v>
      </x:c>
      <x:c r="AL957" s="5" t="str">
        <x:f>"원본서식지|"&amp;S957</x:f>
        <x:v>원본서식지|건조지</x:v>
      </x:c>
      <x:c r="AM957" s="5" t="str">
        <x:f>"타입|"&amp;F957</x:f>
        <x:v>타입|벌레</x:v>
      </x:c>
      <x:c r="AN957" s="5" t="str">
        <x:f>"타입|"&amp;G957</x:f>
        <x:v>타입|</x:v>
      </x:c>
    </x:row>
    <x:row r="958" ht="24" customHeight="1">
      <x:c r="A958" s="5" t="n">
        <x:v>954</x:v>
      </x:c>
      <x:c r="B958" s="5" t="inlineStr">
        <x:is>
          <x:t xml:space="preserve">베라카스</x:t>
        </x:is>
      </x:c>
      <x:c r="C958" s="5" t="inlineStr">
        <x:is>
          <x:t xml:space="preserve">rabsca</x:t>
        </x:is>
      </x:c>
      <x:c r="D958" s="5" t="inlineStr">
        <x:is>
          <x:t xml:space="preserve">Rabsca</x:t>
        </x:is>
      </x:c>
      <x:c r="E958" s="5" t="n">
        <x:v>9</x:v>
      </x:c>
      <x:c r="F958" s="5" t="inlineStr">
        <x:is>
          <x:t xml:space="preserve">벌레</x:t>
        </x:is>
      </x:c>
      <x:c r="G958" s="5" t="inlineStr">
        <x:is>
          <x:t xml:space="preserve">에스퍼</x:t>
        </x:is>
      </x:c>
      <x:c r="H958" s="6" t="n">
        <x:v>3.5</x:v>
      </x:c>
      <x:c r="I958" s="5" t="n"/>
      <x:c r="J958" s="5" t="inlineStr">
        <x:is>
          <x:t xml:space="preserve">최종</x:t>
        </x:is>
      </x:c>
      <x:c r="K958" s="7" t="inlineStr">
        <x:is>
          <x:t xml:space="preserve">비행</x:t>
        </x:is>
      </x:c>
      <x:c r="L958" s="7" t="inlineStr">
        <x:is>
          <x:t xml:space="preserve">건조</x:t>
        </x:is>
      </x:c>
      <x:c r="M958" s="7" t="inlineStr">
        <x:is>
          <x:t xml:space="preserve">고온</x:t>
        </x:is>
      </x:c>
      <x:c r="N958" s="7" t="inlineStr">
        <x:is>
          <x:t xml:space="preserve">건조</x:t>
        </x:is>
      </x:c>
      <x:c r="O958" s="7" t="inlineStr">
        <x:is>
          <x:t xml:space="preserve">맑음</x:t>
        </x:is>
      </x:c>
      <x:c r="P958" s="7" t="inlineStr">
        <x:is>
          <x:t xml:space="preserve">무관</x:t>
        </x:is>
      </x:c>
      <x:c r="Q958" s="7" t="inlineStr">
        <x:is>
          <x:t xml:space="preserve">흔함</x:t>
        </x:is>
      </x:c>
      <x:c r="R958" s="7" t="inlineStr">
        <x:is>
          <x:t xml:space="preserve">없음</x:t>
        </x:is>
      </x:c>
      <x:c r="S958" s="7" t="inlineStr">
        <x:is>
          <x:t xml:space="preserve">건조지</x:t>
        </x:is>
      </x:c>
      <x:c r="T958" s="7" t="inlineStr">
        <x:is>
          <x:t xml:space="preserve"/>
        </x:is>
      </x:c>
      <x:c r="U958" s="8" t="str">
        <x:f>INDEX('서식지_점수'!$E$4:$P$4,1,MATCH(MAX('서식지_점수'!E958:P958),'서식지_점수'!E958:P958,0))</x:f>
        <x:v>산악</x:v>
      </x:c>
      <x:c r="V958" s="8" t="str">
        <x:f>IF(T958&lt;&gt;"",T958,U958)</x:f>
        <x:v>산악</x:v>
      </x:c>
      <x:c r="W958" s="8" t="str">
        <x:f>IFERROR(INDEX('서식지_점수'!$E$4:$P$4,1,MATCH(MAXIFS('서식지_점수'!E958:P958,'서식지_점수'!E958:P958,"&lt;"&amp;MAX('서식지_점수'!E958:P958)),'서식지_점수'!E958:P958,0)),"")</x:f>
        <x:v>평원</x:v>
      </x:c>
      <x:c r="X958" s="8" t="str">
        <x:f>IF(T958&lt;&gt;"","수동확정",IF(MAX('서식지_점수'!E958:P958)-LARGE('서식지_점수'!E958:P958,2)&gt;=15,"높음",IF(MAX('서식지_점수'!E958:P958)-LARGE('서식지_점수'!E958:P958,2)&gt;=8,"보통","검토필요")))</x:f>
        <x:v>검토필요</x:v>
      </x:c>
      <x:c r="Y958" s="9" t="n">
        <x:f>IF(Q958="전설",8,IF(Q958="희귀",7,IF(J958="기본",1,IF(J958="중간",3,IF(J958="최종",IF(I958="",5,IF(I958&lt;=20,3,IF(I958&lt;=35,4,IF(I958&lt;=50,6,7)))),IF(Q958="드묾",4,2))))))</x:f>
        <x:v>5</x:v>
      </x:c>
      <x:c r="Z958" s="5" t="inlineStr">
        <x:is>
          <x:t xml:space="preserve">#cobblemon:is_arid</x:t>
        </x:is>
      </x:c>
      <x:c r="AA958" s="5" t="inlineStr">
        <x:is>
          <x:t xml:space="preserve">common</x:t>
        </x:is>
      </x:c>
      <x:c r="AB958" s="5" t="inlineStr">
        <x:is>
          <x:t xml:space="preserve">예</x:t>
        </x:is>
      </x:c>
      <x:c r="AC958" s="8" t="str">
        <x:f>IF(T958&lt;&gt;"","수동확정",IF(X958="검토필요","검토필요",IF(S958="","원본없음","초기완료")))</x:f>
        <x:v>검토필요</x:v>
      </x:c>
      <x:c r="AD958" s="7" t="inlineStr">
        <x:is>
          <x:t xml:space="preserve"/>
        </x:is>
      </x:c>
      <x:c r="AE958" s="5" t="inlineStr">
        <x:is>
          <x:t xml:space="preserve">.tmp/cobblemon-1.7.3-source/common/src/main/resources/data/cobblemon/species/generation9/rabsca.json</x:t>
        </x:is>
      </x:c>
      <x:c r="AF958" s="5" t="str">
        <x:f>"생활권|"&amp;K958</x:f>
        <x:v>생활권|비행</x:v>
      </x:c>
      <x:c r="AG958" s="5" t="str">
        <x:f>"지형|"&amp;L958</x:f>
        <x:v>지형|건조</x:v>
      </x:c>
      <x:c r="AH958" s="5" t="str">
        <x:f>"온도|"&amp;M958</x:f>
        <x:v>온도|고온</x:v>
      </x:c>
      <x:c r="AI958" s="5" t="str">
        <x:f>"습도|"&amp;N958</x:f>
        <x:v>습도|건조</x:v>
      </x:c>
      <x:c r="AJ958" s="5" t="str">
        <x:f>"날씨|"&amp;O958</x:f>
        <x:v>날씨|맑음</x:v>
      </x:c>
      <x:c r="AK958" s="5" t="str">
        <x:f>"특수태그|"&amp;R958</x:f>
        <x:v>특수태그|없음</x:v>
      </x:c>
      <x:c r="AL958" s="5" t="str">
        <x:f>"원본서식지|"&amp;S958</x:f>
        <x:v>원본서식지|건조지</x:v>
      </x:c>
      <x:c r="AM958" s="5" t="str">
        <x:f>"타입|"&amp;F958</x:f>
        <x:v>타입|벌레</x:v>
      </x:c>
      <x:c r="AN958" s="5" t="str">
        <x:f>"타입|"&amp;G958</x:f>
        <x:v>타입|에스퍼</x:v>
      </x:c>
    </x:row>
    <x:row r="959" ht="24" customHeight="1">
      <x:c r="A959" s="5" t="n">
        <x:v>955</x:v>
      </x:c>
      <x:c r="B959" s="5" t="inlineStr">
        <x:is>
          <x:t xml:space="preserve">하느라기</x:t>
        </x:is>
      </x:c>
      <x:c r="C959" s="5" t="inlineStr">
        <x:is>
          <x:t xml:space="preserve">flittle</x:t>
        </x:is>
      </x:c>
      <x:c r="D959" s="5" t="inlineStr">
        <x:is>
          <x:t xml:space="preserve">Flittle</x:t>
        </x:is>
      </x:c>
      <x:c r="E959" s="5" t="n">
        <x:v>9</x:v>
      </x:c>
      <x:c r="F959" s="5" t="inlineStr">
        <x:is>
          <x:t xml:space="preserve">에스퍼</x:t>
        </x:is>
      </x:c>
      <x:c r="G959" s="5" t="inlineStr">
        <x:is>
          <x:t xml:space="preserve"/>
        </x:is>
      </x:c>
      <x:c r="H959" s="6" t="n">
        <x:v>1.5</x:v>
      </x:c>
      <x:c r="I959" s="5" t="n">
        <x:v>35</x:v>
      </x:c>
      <x:c r="J959" s="5" t="inlineStr">
        <x:is>
          <x:t xml:space="preserve">기본</x:t>
        </x:is>
      </x:c>
      <x:c r="K959" s="7" t="inlineStr">
        <x:is>
          <x:t xml:space="preserve">비행</x:t>
        </x:is>
      </x:c>
      <x:c r="L959" s="7" t="inlineStr">
        <x:is>
          <x:t xml:space="preserve">건조</x:t>
        </x:is>
      </x:c>
      <x:c r="M959" s="7" t="inlineStr">
        <x:is>
          <x:t xml:space="preserve">고온</x:t>
        </x:is>
      </x:c>
      <x:c r="N959" s="7" t="inlineStr">
        <x:is>
          <x:t xml:space="preserve">건조</x:t>
        </x:is>
      </x:c>
      <x:c r="O959" s="7" t="inlineStr">
        <x:is>
          <x:t xml:space="preserve">맑음</x:t>
        </x:is>
      </x:c>
      <x:c r="P959" s="7" t="inlineStr">
        <x:is>
          <x:t xml:space="preserve">무관</x:t>
        </x:is>
      </x:c>
      <x:c r="Q959" s="7" t="inlineStr">
        <x:is>
          <x:t xml:space="preserve">보통</x:t>
        </x:is>
      </x:c>
      <x:c r="R959" s="7" t="inlineStr">
        <x:is>
          <x:t xml:space="preserve">없음</x:t>
        </x:is>
      </x:c>
      <x:c r="S959" s="7" t="inlineStr">
        <x:is>
          <x:t xml:space="preserve">건조지</x:t>
        </x:is>
      </x:c>
      <x:c r="T959" s="7" t="inlineStr">
        <x:is>
          <x:t xml:space="preserve"/>
        </x:is>
      </x:c>
      <x:c r="U959" s="8" t="str">
        <x:f>INDEX('서식지_점수'!$E$4:$P$4,1,MATCH(MAX('서식지_점수'!E959:P959),'서식지_점수'!E959:P959,0))</x:f>
        <x:v>산악</x:v>
      </x:c>
      <x:c r="V959" s="8" t="str">
        <x:f>IF(T959&lt;&gt;"",T959,U959)</x:f>
        <x:v>산악</x:v>
      </x:c>
      <x:c r="W959" s="8" t="str">
        <x:f>IFERROR(INDEX('서식지_점수'!$E$4:$P$4,1,MATCH(MAXIFS('서식지_점수'!E959:P959,'서식지_점수'!E959:P959,"&lt;"&amp;MAX('서식지_점수'!E959:P959)),'서식지_점수'!E959:P959,0)),"")</x:f>
        <x:v>평원</x:v>
      </x:c>
      <x:c r="X959" s="8" t="str">
        <x:f>IF(T959&lt;&gt;"","수동확정",IF(MAX('서식지_점수'!E959:P959)-LARGE('서식지_점수'!E959:P959,2)&gt;=15,"높음",IF(MAX('서식지_점수'!E959:P959)-LARGE('서식지_점수'!E959:P959,2)&gt;=8,"보통","검토필요")))</x:f>
        <x:v>검토필요</x:v>
      </x:c>
      <x:c r="Y959" s="9" t="n">
        <x:f>IF(Q959="전설",8,IF(Q959="희귀",7,IF(J959="기본",1,IF(J959="중간",3,IF(J959="최종",IF(I959="",5,IF(I959&lt;=20,3,IF(I959&lt;=35,4,IF(I959&lt;=50,6,7)))),IF(Q959="드묾",4,2))))))</x:f>
        <x:v>1</x:v>
      </x:c>
      <x:c r="Z959" s="5" t="inlineStr">
        <x:is>
          <x:t xml:space="preserve">#cobblemon:is_arid</x:t>
        </x:is>
      </x:c>
      <x:c r="AA959" s="5" t="inlineStr">
        <x:is>
          <x:t xml:space="preserve">uncommon</x:t>
        </x:is>
      </x:c>
      <x:c r="AB959" s="5" t="inlineStr">
        <x:is>
          <x:t xml:space="preserve">예</x:t>
        </x:is>
      </x:c>
      <x:c r="AC959" s="8" t="str">
        <x:f>IF(T959&lt;&gt;"","수동확정",IF(X959="검토필요","검토필요",IF(S959="","원본없음","초기완료")))</x:f>
        <x:v>검토필요</x:v>
      </x:c>
      <x:c r="AD959" s="7" t="inlineStr">
        <x:is>
          <x:t xml:space="preserve"/>
        </x:is>
      </x:c>
      <x:c r="AE959" s="5" t="inlineStr">
        <x:is>
          <x:t xml:space="preserve">.tmp/cobblemon-1.7.3-source/common/src/main/resources/data/cobblemon/species/generation9/flittle.json</x:t>
        </x:is>
      </x:c>
      <x:c r="AF959" s="5" t="str">
        <x:f>"생활권|"&amp;K959</x:f>
        <x:v>생활권|비행</x:v>
      </x:c>
      <x:c r="AG959" s="5" t="str">
        <x:f>"지형|"&amp;L959</x:f>
        <x:v>지형|건조</x:v>
      </x:c>
      <x:c r="AH959" s="5" t="str">
        <x:f>"온도|"&amp;M959</x:f>
        <x:v>온도|고온</x:v>
      </x:c>
      <x:c r="AI959" s="5" t="str">
        <x:f>"습도|"&amp;N959</x:f>
        <x:v>습도|건조</x:v>
      </x:c>
      <x:c r="AJ959" s="5" t="str">
        <x:f>"날씨|"&amp;O959</x:f>
        <x:v>날씨|맑음</x:v>
      </x:c>
      <x:c r="AK959" s="5" t="str">
        <x:f>"특수태그|"&amp;R959</x:f>
        <x:v>특수태그|없음</x:v>
      </x:c>
      <x:c r="AL959" s="5" t="str">
        <x:f>"원본서식지|"&amp;S959</x:f>
        <x:v>원본서식지|건조지</x:v>
      </x:c>
      <x:c r="AM959" s="5" t="str">
        <x:f>"타입|"&amp;F959</x:f>
        <x:v>타입|에스퍼</x:v>
      </x:c>
      <x:c r="AN959" s="5" t="str">
        <x:f>"타입|"&amp;G959</x:f>
        <x:v>타입|</x:v>
      </x:c>
    </x:row>
    <x:row r="960" ht="24" customHeight="1">
      <x:c r="A960" s="5" t="n">
        <x:v>956</x:v>
      </x:c>
      <x:c r="B960" s="5" t="inlineStr">
        <x:is>
          <x:t xml:space="preserve">클레스퍼트라</x:t>
        </x:is>
      </x:c>
      <x:c r="C960" s="5" t="inlineStr">
        <x:is>
          <x:t xml:space="preserve">espathra</x:t>
        </x:is>
      </x:c>
      <x:c r="D960" s="5" t="inlineStr">
        <x:is>
          <x:t xml:space="preserve">Espathra</x:t>
        </x:is>
      </x:c>
      <x:c r="E960" s="5" t="n">
        <x:v>9</x:v>
      </x:c>
      <x:c r="F960" s="5" t="inlineStr">
        <x:is>
          <x:t xml:space="preserve">에스퍼</x:t>
        </x:is>
      </x:c>
      <x:c r="G960" s="5" t="inlineStr">
        <x:is>
          <x:t xml:space="preserve"/>
        </x:is>
      </x:c>
      <x:c r="H960" s="6" t="n">
        <x:v>90</x:v>
      </x:c>
      <x:c r="I960" s="5" t="n">
        <x:v>35</x:v>
      </x:c>
      <x:c r="J960" s="5" t="inlineStr">
        <x:is>
          <x:t xml:space="preserve">최종</x:t>
        </x:is>
      </x:c>
      <x:c r="K960" s="7" t="inlineStr">
        <x:is>
          <x:t xml:space="preserve">육상</x:t>
        </x:is>
      </x:c>
      <x:c r="L960" s="7" t="inlineStr">
        <x:is>
          <x:t xml:space="preserve">건조</x:t>
        </x:is>
      </x:c>
      <x:c r="M960" s="7" t="inlineStr">
        <x:is>
          <x:t xml:space="preserve">고온</x:t>
        </x:is>
      </x:c>
      <x:c r="N960" s="7" t="inlineStr">
        <x:is>
          <x:t xml:space="preserve">건조</x:t>
        </x:is>
      </x:c>
      <x:c r="O960" s="7" t="inlineStr">
        <x:is>
          <x:t xml:space="preserve">맑음</x:t>
        </x:is>
      </x:c>
      <x:c r="P960" s="7" t="inlineStr">
        <x:is>
          <x:t xml:space="preserve">무관</x:t>
        </x:is>
      </x:c>
      <x:c r="Q960" s="7" t="inlineStr">
        <x:is>
          <x:t xml:space="preserve">보통</x:t>
        </x:is>
      </x:c>
      <x:c r="R960" s="7" t="inlineStr">
        <x:is>
          <x:t xml:space="preserve">없음</x:t>
        </x:is>
      </x:c>
      <x:c r="S960" s="7" t="inlineStr">
        <x:is>
          <x:t xml:space="preserve">건조지</x:t>
        </x:is>
      </x:c>
      <x:c r="T960" s="7" t="inlineStr">
        <x:is>
          <x:t xml:space="preserve"/>
        </x:is>
      </x:c>
      <x:c r="U960" s="8" t="str">
        <x:f>INDEX('서식지_점수'!$E$4:$P$4,1,MATCH(MAX('서식지_점수'!E960:P960),'서식지_점수'!E960:P960,0))</x:f>
        <x:v>평원</x:v>
      </x:c>
      <x:c r="V960" s="8" t="str">
        <x:f>IF(T960&lt;&gt;"",T960,U960)</x:f>
        <x:v>평원</x:v>
      </x:c>
      <x:c r="W960" s="8" t="str">
        <x:f>IFERROR(INDEX('서식지_점수'!$E$4:$P$4,1,MATCH(MAXIFS('서식지_점수'!E960:P960,'서식지_점수'!E960:P960,"&lt;"&amp;MAX('서식지_점수'!E960:P960)),'서식지_점수'!E960:P960,0)),"")</x:f>
        <x:v>숲</x:v>
      </x:c>
      <x:c r="X960" s="8" t="str">
        <x:f>IF(T960&lt;&gt;"","수동확정",IF(MAX('서식지_점수'!E960:P960)-LARGE('서식지_점수'!E960:P960,2)&gt;=15,"높음",IF(MAX('서식지_점수'!E960:P960)-LARGE('서식지_점수'!E960:P960,2)&gt;=8,"보통","검토필요")))</x:f>
        <x:v>검토필요</x:v>
      </x:c>
      <x:c r="Y960" s="9" t="n">
        <x:f>IF(Q960="전설",8,IF(Q960="희귀",7,IF(J960="기본",1,IF(J960="중간",3,IF(J960="최종",IF(I960="",5,IF(I960&lt;=20,3,IF(I960&lt;=35,4,IF(I960&lt;=50,6,7)))),IF(Q960="드묾",4,2))))))</x:f>
        <x:v>4</x:v>
      </x:c>
      <x:c r="Z960" s="5" t="inlineStr">
        <x:is>
          <x:t xml:space="preserve">#cobblemon:is_arid</x:t>
        </x:is>
      </x:c>
      <x:c r="AA960" s="5" t="inlineStr">
        <x:is>
          <x:t xml:space="preserve">uncommon</x:t>
        </x:is>
      </x:c>
      <x:c r="AB960" s="5" t="inlineStr">
        <x:is>
          <x:t xml:space="preserve">예</x:t>
        </x:is>
      </x:c>
      <x:c r="AC960" s="8" t="str">
        <x:f>IF(T960&lt;&gt;"","수동확정",IF(X960="검토필요","검토필요",IF(S960="","원본없음","초기완료")))</x:f>
        <x:v>검토필요</x:v>
      </x:c>
      <x:c r="AD960" s="7" t="inlineStr">
        <x:is>
          <x:t xml:space="preserve"/>
        </x:is>
      </x:c>
      <x:c r="AE960" s="5" t="inlineStr">
        <x:is>
          <x:t xml:space="preserve">.tmp/cobblemon-1.7.3-source/common/src/main/resources/data/cobblemon/species/generation9/espathra.json</x:t>
        </x:is>
      </x:c>
      <x:c r="AF960" s="5" t="str">
        <x:f>"생활권|"&amp;K960</x:f>
        <x:v>생활권|육상</x:v>
      </x:c>
      <x:c r="AG960" s="5" t="str">
        <x:f>"지형|"&amp;L960</x:f>
        <x:v>지형|건조</x:v>
      </x:c>
      <x:c r="AH960" s="5" t="str">
        <x:f>"온도|"&amp;M960</x:f>
        <x:v>온도|고온</x:v>
      </x:c>
      <x:c r="AI960" s="5" t="str">
        <x:f>"습도|"&amp;N960</x:f>
        <x:v>습도|건조</x:v>
      </x:c>
      <x:c r="AJ960" s="5" t="str">
        <x:f>"날씨|"&amp;O960</x:f>
        <x:v>날씨|맑음</x:v>
      </x:c>
      <x:c r="AK960" s="5" t="str">
        <x:f>"특수태그|"&amp;R960</x:f>
        <x:v>특수태그|없음</x:v>
      </x:c>
      <x:c r="AL960" s="5" t="str">
        <x:f>"원본서식지|"&amp;S960</x:f>
        <x:v>원본서식지|건조지</x:v>
      </x:c>
      <x:c r="AM960" s="5" t="str">
        <x:f>"타입|"&amp;F960</x:f>
        <x:v>타입|에스퍼</x:v>
      </x:c>
      <x:c r="AN960" s="5" t="str">
        <x:f>"타입|"&amp;G960</x:f>
        <x:v>타입|</x:v>
      </x:c>
    </x:row>
    <x:row r="961" ht="24" customHeight="1">
      <x:c r="A961" s="5" t="n">
        <x:v>957</x:v>
      </x:c>
      <x:c r="B961" s="5" t="inlineStr">
        <x:is>
          <x:t xml:space="preserve">어리짱</x:t>
        </x:is>
      </x:c>
      <x:c r="C961" s="5" t="inlineStr">
        <x:is>
          <x:t xml:space="preserve">tinkatink</x:t>
        </x:is>
      </x:c>
      <x:c r="D961" s="5" t="inlineStr">
        <x:is>
          <x:t xml:space="preserve">Tinkatink</x:t>
        </x:is>
      </x:c>
      <x:c r="E961" s="5" t="n">
        <x:v>9</x:v>
      </x:c>
      <x:c r="F961" s="5" t="inlineStr">
        <x:is>
          <x:t xml:space="preserve">페어리</x:t>
        </x:is>
      </x:c>
      <x:c r="G961" s="5" t="inlineStr">
        <x:is>
          <x:t xml:space="preserve">강철</x:t>
        </x:is>
      </x:c>
      <x:c r="H961" s="6" t="n">
        <x:v>8.9</x:v>
      </x:c>
      <x:c r="I961" s="5" t="n">
        <x:v>38</x:v>
      </x:c>
      <x:c r="J961" s="5" t="inlineStr">
        <x:is>
          <x:t xml:space="preserve">기본</x:t>
        </x:is>
      </x:c>
      <x:c r="K961" s="7" t="inlineStr">
        <x:is>
          <x:t xml:space="preserve">육상</x:t>
        </x:is>
      </x:c>
      <x:c r="L961" s="7" t="inlineStr">
        <x:is>
          <x:t xml:space="preserve">개활지</x:t>
        </x:is>
      </x:c>
      <x:c r="M961" s="7" t="inlineStr">
        <x:is>
          <x:t xml:space="preserve">온대</x:t>
        </x:is>
      </x:c>
      <x:c r="N961" s="7" t="inlineStr">
        <x:is>
          <x:t xml:space="preserve">보통</x:t>
        </x:is>
      </x:c>
      <x:c r="O961" s="7" t="inlineStr">
        <x:is>
          <x:t xml:space="preserve">무관</x:t>
        </x:is>
      </x:c>
      <x:c r="P961" s="7" t="inlineStr">
        <x:is>
          <x:t xml:space="preserve">무관</x:t>
        </x:is>
      </x:c>
      <x:c r="Q961" s="7" t="inlineStr">
        <x:is>
          <x:t xml:space="preserve">보통</x:t>
        </x:is>
      </x:c>
      <x:c r="R961" s="7" t="inlineStr">
        <x:is>
          <x:t xml:space="preserve">없음</x:t>
        </x:is>
      </x:c>
      <x:c r="S961" s="7" t="inlineStr">
        <x:is>
          <x:t xml:space="preserve"/>
        </x:is>
      </x:c>
      <x:c r="T961" s="7" t="inlineStr">
        <x:is>
          <x:t xml:space="preserve"/>
        </x:is>
      </x:c>
      <x:c r="U961" s="8" t="str">
        <x:f>INDEX('서식지_점수'!$E$4:$P$4,1,MATCH(MAX('서식지_점수'!E961:P961),'서식지_점수'!E961:P961,0))</x:f>
        <x:v>평원</x:v>
      </x:c>
      <x:c r="V961" s="8" t="str">
        <x:f>IF(T961&lt;&gt;"",T961,U961)</x:f>
        <x:v>평원</x:v>
      </x:c>
      <x:c r="W961" s="8" t="str">
        <x:f>IFERROR(INDEX('서식지_점수'!$E$4:$P$4,1,MATCH(MAXIFS('서식지_점수'!E961:P961,'서식지_점수'!E961:P961,"&lt;"&amp;MAX('서식지_점수'!E961:P961)),'서식지_점수'!E961:P961,0)),"")</x:f>
        <x:v>숲</x:v>
      </x:c>
      <x:c r="X961" s="8" t="str">
        <x:f>IF(T961&lt;&gt;"","수동확정",IF(MAX('서식지_점수'!E961:P961)-LARGE('서식지_점수'!E961:P961,2)&gt;=15,"높음",IF(MAX('서식지_점수'!E961:P961)-LARGE('서식지_점수'!E961:P961,2)&gt;=8,"보통","검토필요")))</x:f>
        <x:v>검토필요</x:v>
      </x:c>
      <x:c r="Y961" s="9" t="n">
        <x:f>IF(Q961="전설",8,IF(Q961="희귀",7,IF(J961="기본",1,IF(J961="중간",3,IF(J961="최종",IF(I961="",5,IF(I961&lt;=20,3,IF(I961&lt;=35,4,IF(I961&lt;=50,6,7)))),IF(Q961="드묾",4,2))))))</x:f>
        <x:v>1</x:v>
      </x:c>
      <x:c r="Z961" s="5" t="inlineStr">
        <x:is>
          <x:t xml:space="preserve">#aether:is_aether; #cobblemon:is_overworld</x:t>
        </x:is>
      </x:c>
      <x:c r="AA961" s="5" t="inlineStr">
        <x:is>
          <x:t xml:space="preserve">common; uncommon</x:t>
        </x:is>
      </x:c>
      <x:c r="AB961" s="5" t="inlineStr">
        <x:is>
          <x:t xml:space="preserve">예</x:t>
        </x:is>
      </x:c>
      <x:c r="AC961" s="8" t="str">
        <x:f>IF(T961&lt;&gt;"","수동확정",IF(X961="검토필요","검토필요",IF(S961="","원본없음","초기완료")))</x:f>
        <x:v>검토필요</x:v>
      </x:c>
      <x:c r="AD961" s="7" t="inlineStr">
        <x:is>
          <x:t xml:space="preserve"/>
        </x:is>
      </x:c>
      <x:c r="AE961" s="5" t="inlineStr">
        <x:is>
          <x:t xml:space="preserve">.tmp/cobblemon-1.7.3-source/common/src/main/resources/data/cobblemon/species/generation9/tinkatink.json</x:t>
        </x:is>
      </x:c>
      <x:c r="AF961" s="5" t="str">
        <x:f>"생활권|"&amp;K961</x:f>
        <x:v>생활권|육상</x:v>
      </x:c>
      <x:c r="AG961" s="5" t="str">
        <x:f>"지형|"&amp;L961</x:f>
        <x:v>지형|개활지</x:v>
      </x:c>
      <x:c r="AH961" s="5" t="str">
        <x:f>"온도|"&amp;M961</x:f>
        <x:v>온도|온대</x:v>
      </x:c>
      <x:c r="AI961" s="5" t="str">
        <x:f>"습도|"&amp;N961</x:f>
        <x:v>습도|보통</x:v>
      </x:c>
      <x:c r="AJ961" s="5" t="str">
        <x:f>"날씨|"&amp;O961</x:f>
        <x:v>날씨|무관</x:v>
      </x:c>
      <x:c r="AK961" s="5" t="str">
        <x:f>"특수태그|"&amp;R961</x:f>
        <x:v>특수태그|없음</x:v>
      </x:c>
      <x:c r="AL961" s="5" t="str">
        <x:f>"원본서식지|"&amp;S961</x:f>
        <x:v>원본서식지|</x:v>
      </x:c>
      <x:c r="AM961" s="5" t="str">
        <x:f>"타입|"&amp;F961</x:f>
        <x:v>타입|페어리</x:v>
      </x:c>
      <x:c r="AN961" s="5" t="str">
        <x:f>"타입|"&amp;G961</x:f>
        <x:v>타입|강철</x:v>
      </x:c>
    </x:row>
    <x:row r="962" ht="24" customHeight="1">
      <x:c r="A962" s="5" t="n">
        <x:v>958</x:v>
      </x:c>
      <x:c r="B962" s="5" t="inlineStr">
        <x:is>
          <x:t xml:space="preserve">벼리짱</x:t>
        </x:is>
      </x:c>
      <x:c r="C962" s="5" t="inlineStr">
        <x:is>
          <x:t xml:space="preserve">tinkatuff</x:t>
        </x:is>
      </x:c>
      <x:c r="D962" s="5" t="inlineStr">
        <x:is>
          <x:t xml:space="preserve">Tinkatuff</x:t>
        </x:is>
      </x:c>
      <x:c r="E962" s="5" t="n">
        <x:v>9</x:v>
      </x:c>
      <x:c r="F962" s="5" t="inlineStr">
        <x:is>
          <x:t xml:space="preserve">페어리</x:t>
        </x:is>
      </x:c>
      <x:c r="G962" s="5" t="inlineStr">
        <x:is>
          <x:t xml:space="preserve">강철</x:t>
        </x:is>
      </x:c>
      <x:c r="H962" s="6" t="n">
        <x:v>59.1</x:v>
      </x:c>
      <x:c r="I962" s="5" t="n">
        <x:v>38</x:v>
      </x:c>
      <x:c r="J962" s="5" t="inlineStr">
        <x:is>
          <x:t xml:space="preserve">중간</x:t>
        </x:is>
      </x:c>
      <x:c r="K962" s="7" t="inlineStr">
        <x:is>
          <x:t xml:space="preserve">육상</x:t>
        </x:is>
      </x:c>
      <x:c r="L962" s="7" t="inlineStr">
        <x:is>
          <x:t xml:space="preserve">개활지</x:t>
        </x:is>
      </x:c>
      <x:c r="M962" s="7" t="inlineStr">
        <x:is>
          <x:t xml:space="preserve">온대</x:t>
        </x:is>
      </x:c>
      <x:c r="N962" s="7" t="inlineStr">
        <x:is>
          <x:t xml:space="preserve">보통</x:t>
        </x:is>
      </x:c>
      <x:c r="O962" s="7" t="inlineStr">
        <x:is>
          <x:t xml:space="preserve">무관</x:t>
        </x:is>
      </x:c>
      <x:c r="P962" s="7" t="inlineStr">
        <x:is>
          <x:t xml:space="preserve">무관</x:t>
        </x:is>
      </x:c>
      <x:c r="Q962" s="7" t="inlineStr">
        <x:is>
          <x:t xml:space="preserve">보통</x:t>
        </x:is>
      </x:c>
      <x:c r="R962" s="7" t="inlineStr">
        <x:is>
          <x:t xml:space="preserve">없음</x:t>
        </x:is>
      </x:c>
      <x:c r="S962" s="7" t="inlineStr">
        <x:is>
          <x:t xml:space="preserve"/>
        </x:is>
      </x:c>
      <x:c r="T962" s="7" t="inlineStr">
        <x:is>
          <x:t xml:space="preserve"/>
        </x:is>
      </x:c>
      <x:c r="U962" s="8" t="str">
        <x:f>INDEX('서식지_점수'!$E$4:$P$4,1,MATCH(MAX('서식지_점수'!E962:P962),'서식지_점수'!E962:P962,0))</x:f>
        <x:v>평원</x:v>
      </x:c>
      <x:c r="V962" s="8" t="str">
        <x:f>IF(T962&lt;&gt;"",T962,U962)</x:f>
        <x:v>평원</x:v>
      </x:c>
      <x:c r="W962" s="8" t="str">
        <x:f>IFERROR(INDEX('서식지_점수'!$E$4:$P$4,1,MATCH(MAXIFS('서식지_점수'!E962:P962,'서식지_점수'!E962:P962,"&lt;"&amp;MAX('서식지_점수'!E962:P962)),'서식지_점수'!E962:P962,0)),"")</x:f>
        <x:v>숲</x:v>
      </x:c>
      <x:c r="X962" s="8" t="str">
        <x:f>IF(T962&lt;&gt;"","수동확정",IF(MAX('서식지_점수'!E962:P962)-LARGE('서식지_점수'!E962:P962,2)&gt;=15,"높음",IF(MAX('서식지_점수'!E962:P962)-LARGE('서식지_점수'!E962:P962,2)&gt;=8,"보통","검토필요")))</x:f>
        <x:v>검토필요</x:v>
      </x:c>
      <x:c r="Y962" s="9" t="n">
        <x:f>IF(Q962="전설",8,IF(Q962="희귀",7,IF(J962="기본",1,IF(J962="중간",3,IF(J962="최종",IF(I962="",5,IF(I962&lt;=20,3,IF(I962&lt;=35,4,IF(I962&lt;=50,6,7)))),IF(Q962="드묾",4,2))))))</x:f>
        <x:v>3</x:v>
      </x:c>
      <x:c r="Z962" s="5" t="inlineStr">
        <x:is>
          <x:t xml:space="preserve">#aether:is_aether; #cobblemon:is_overworld</x:t>
        </x:is>
      </x:c>
      <x:c r="AA962" s="5" t="inlineStr">
        <x:is>
          <x:t xml:space="preserve">common; uncommon</x:t>
        </x:is>
      </x:c>
      <x:c r="AB962" s="5" t="inlineStr">
        <x:is>
          <x:t xml:space="preserve">예</x:t>
        </x:is>
      </x:c>
      <x:c r="AC962" s="8" t="str">
        <x:f>IF(T962&lt;&gt;"","수동확정",IF(X962="검토필요","검토필요",IF(S962="","원본없음","초기완료")))</x:f>
        <x:v>검토필요</x:v>
      </x:c>
      <x:c r="AD962" s="7" t="inlineStr">
        <x:is>
          <x:t xml:space="preserve"/>
        </x:is>
      </x:c>
      <x:c r="AE962" s="5" t="inlineStr">
        <x:is>
          <x:t xml:space="preserve">.tmp/cobblemon-1.7.3-source/common/src/main/resources/data/cobblemon/species/generation9/tinkatuff.json</x:t>
        </x:is>
      </x:c>
      <x:c r="AF962" s="5" t="str">
        <x:f>"생활권|"&amp;K962</x:f>
        <x:v>생활권|육상</x:v>
      </x:c>
      <x:c r="AG962" s="5" t="str">
        <x:f>"지형|"&amp;L962</x:f>
        <x:v>지형|개활지</x:v>
      </x:c>
      <x:c r="AH962" s="5" t="str">
        <x:f>"온도|"&amp;M962</x:f>
        <x:v>온도|온대</x:v>
      </x:c>
      <x:c r="AI962" s="5" t="str">
        <x:f>"습도|"&amp;N962</x:f>
        <x:v>습도|보통</x:v>
      </x:c>
      <x:c r="AJ962" s="5" t="str">
        <x:f>"날씨|"&amp;O962</x:f>
        <x:v>날씨|무관</x:v>
      </x:c>
      <x:c r="AK962" s="5" t="str">
        <x:f>"특수태그|"&amp;R962</x:f>
        <x:v>특수태그|없음</x:v>
      </x:c>
      <x:c r="AL962" s="5" t="str">
        <x:f>"원본서식지|"&amp;S962</x:f>
        <x:v>원본서식지|</x:v>
      </x:c>
      <x:c r="AM962" s="5" t="str">
        <x:f>"타입|"&amp;F962</x:f>
        <x:v>타입|페어리</x:v>
      </x:c>
      <x:c r="AN962" s="5" t="str">
        <x:f>"타입|"&amp;G962</x:f>
        <x:v>타입|강철</x:v>
      </x:c>
    </x:row>
    <x:row r="963" ht="24" customHeight="1">
      <x:c r="A963" s="5" t="n">
        <x:v>959</x:v>
      </x:c>
      <x:c r="B963" s="5" t="inlineStr">
        <x:is>
          <x:t xml:space="preserve">두드리짱</x:t>
        </x:is>
      </x:c>
      <x:c r="C963" s="5" t="inlineStr">
        <x:is>
          <x:t xml:space="preserve">tinkaton</x:t>
        </x:is>
      </x:c>
      <x:c r="D963" s="5" t="inlineStr">
        <x:is>
          <x:t xml:space="preserve">Tinkaton</x:t>
        </x:is>
      </x:c>
      <x:c r="E963" s="5" t="n">
        <x:v>9</x:v>
      </x:c>
      <x:c r="F963" s="5" t="inlineStr">
        <x:is>
          <x:t xml:space="preserve">페어리</x:t>
        </x:is>
      </x:c>
      <x:c r="G963" s="5" t="inlineStr">
        <x:is>
          <x:t xml:space="preserve">강철</x:t>
        </x:is>
      </x:c>
      <x:c r="H963" s="6" t="n">
        <x:v>112.8</x:v>
      </x:c>
      <x:c r="I963" s="5" t="n">
        <x:v>38</x:v>
      </x:c>
      <x:c r="J963" s="5" t="inlineStr">
        <x:is>
          <x:t xml:space="preserve">최종</x:t>
        </x:is>
      </x:c>
      <x:c r="K963" s="7" t="inlineStr">
        <x:is>
          <x:t xml:space="preserve">육상</x:t>
        </x:is>
      </x:c>
      <x:c r="L963" s="7" t="inlineStr">
        <x:is>
          <x:t xml:space="preserve">개활지</x:t>
        </x:is>
      </x:c>
      <x:c r="M963" s="7" t="inlineStr">
        <x:is>
          <x:t xml:space="preserve">온대</x:t>
        </x:is>
      </x:c>
      <x:c r="N963" s="7" t="inlineStr">
        <x:is>
          <x:t xml:space="preserve">보통</x:t>
        </x:is>
      </x:c>
      <x:c r="O963" s="7" t="inlineStr">
        <x:is>
          <x:t xml:space="preserve">무관</x:t>
        </x:is>
      </x:c>
      <x:c r="P963" s="7" t="inlineStr">
        <x:is>
          <x:t xml:space="preserve">무관</x:t>
        </x:is>
      </x:c>
      <x:c r="Q963" s="7" t="inlineStr">
        <x:is>
          <x:t xml:space="preserve">보통</x:t>
        </x:is>
      </x:c>
      <x:c r="R963" s="7" t="inlineStr">
        <x:is>
          <x:t xml:space="preserve">없음</x:t>
        </x:is>
      </x:c>
      <x:c r="S963" s="7" t="inlineStr">
        <x:is>
          <x:t xml:space="preserve"/>
        </x:is>
      </x:c>
      <x:c r="T963" s="7" t="inlineStr">
        <x:is>
          <x:t xml:space="preserve"/>
        </x:is>
      </x:c>
      <x:c r="U963" s="8" t="str">
        <x:f>INDEX('서식지_점수'!$E$4:$P$4,1,MATCH(MAX('서식지_점수'!E963:P963),'서식지_점수'!E963:P963,0))</x:f>
        <x:v>평원</x:v>
      </x:c>
      <x:c r="V963" s="8" t="str">
        <x:f>IF(T963&lt;&gt;"",T963,U963)</x:f>
        <x:v>평원</x:v>
      </x:c>
      <x:c r="W963" s="8" t="str">
        <x:f>IFERROR(INDEX('서식지_점수'!$E$4:$P$4,1,MATCH(MAXIFS('서식지_점수'!E963:P963,'서식지_점수'!E963:P963,"&lt;"&amp;MAX('서식지_점수'!E963:P963)),'서식지_점수'!E963:P963,0)),"")</x:f>
        <x:v>숲</x:v>
      </x:c>
      <x:c r="X963" s="8" t="str">
        <x:f>IF(T963&lt;&gt;"","수동확정",IF(MAX('서식지_점수'!E963:P963)-LARGE('서식지_점수'!E963:P963,2)&gt;=15,"높음",IF(MAX('서식지_점수'!E963:P963)-LARGE('서식지_점수'!E963:P963,2)&gt;=8,"보통","검토필요")))</x:f>
        <x:v>검토필요</x:v>
      </x:c>
      <x:c r="Y963" s="9" t="n">
        <x:f>IF(Q963="전설",8,IF(Q963="희귀",7,IF(J963="기본",1,IF(J963="중간",3,IF(J963="최종",IF(I963="",5,IF(I963&lt;=20,3,IF(I963&lt;=35,4,IF(I963&lt;=50,6,7)))),IF(Q963="드묾",4,2))))))</x:f>
        <x:v>6</x:v>
      </x:c>
      <x:c r="Z963" s="5" t="inlineStr">
        <x:is>
          <x:t xml:space="preserve">#aether:is_aether; #cobblemon:is_overworld</x:t>
        </x:is>
      </x:c>
      <x:c r="AA963" s="5" t="inlineStr">
        <x:is>
          <x:t xml:space="preserve">common; uncommon</x:t>
        </x:is>
      </x:c>
      <x:c r="AB963" s="5" t="inlineStr">
        <x:is>
          <x:t xml:space="preserve">예</x:t>
        </x:is>
      </x:c>
      <x:c r="AC963" s="8" t="str">
        <x:f>IF(T963&lt;&gt;"","수동확정",IF(X963="검토필요","검토필요",IF(S963="","원본없음","초기완료")))</x:f>
        <x:v>검토필요</x:v>
      </x:c>
      <x:c r="AD963" s="7" t="inlineStr">
        <x:is>
          <x:t xml:space="preserve"/>
        </x:is>
      </x:c>
      <x:c r="AE963" s="5" t="inlineStr">
        <x:is>
          <x:t xml:space="preserve">.tmp/cobblemon-1.7.3-source/common/src/main/resources/data/cobblemon/species/generation9/tinkaton.json</x:t>
        </x:is>
      </x:c>
      <x:c r="AF963" s="5" t="str">
        <x:f>"생활권|"&amp;K963</x:f>
        <x:v>생활권|육상</x:v>
      </x:c>
      <x:c r="AG963" s="5" t="str">
        <x:f>"지형|"&amp;L963</x:f>
        <x:v>지형|개활지</x:v>
      </x:c>
      <x:c r="AH963" s="5" t="str">
        <x:f>"온도|"&amp;M963</x:f>
        <x:v>온도|온대</x:v>
      </x:c>
      <x:c r="AI963" s="5" t="str">
        <x:f>"습도|"&amp;N963</x:f>
        <x:v>습도|보통</x:v>
      </x:c>
      <x:c r="AJ963" s="5" t="str">
        <x:f>"날씨|"&amp;O963</x:f>
        <x:v>날씨|무관</x:v>
      </x:c>
      <x:c r="AK963" s="5" t="str">
        <x:f>"특수태그|"&amp;R963</x:f>
        <x:v>특수태그|없음</x:v>
      </x:c>
      <x:c r="AL963" s="5" t="str">
        <x:f>"원본서식지|"&amp;S963</x:f>
        <x:v>원본서식지|</x:v>
      </x:c>
      <x:c r="AM963" s="5" t="str">
        <x:f>"타입|"&amp;F963</x:f>
        <x:v>타입|페어리</x:v>
      </x:c>
      <x:c r="AN963" s="5" t="str">
        <x:f>"타입|"&amp;G963</x:f>
        <x:v>타입|강철</x:v>
      </x:c>
    </x:row>
    <x:row r="964" ht="24" customHeight="1">
      <x:c r="A964" s="5" t="n">
        <x:v>960</x:v>
      </x:c>
      <x:c r="B964" s="5" t="inlineStr">
        <x:is>
          <x:t xml:space="preserve">바다그다</x:t>
        </x:is>
      </x:c>
      <x:c r="C964" s="5" t="inlineStr">
        <x:is>
          <x:t xml:space="preserve">wiglett</x:t>
        </x:is>
      </x:c>
      <x:c r="D964" s="5" t="inlineStr">
        <x:is>
          <x:t xml:space="preserve">Wiglett</x:t>
        </x:is>
      </x:c>
      <x:c r="E964" s="5" t="n">
        <x:v>9</x:v>
      </x:c>
      <x:c r="F964" s="5" t="inlineStr">
        <x:is>
          <x:t xml:space="preserve">물</x:t>
        </x:is>
      </x:c>
      <x:c r="G964" s="5" t="inlineStr">
        <x:is>
          <x:t xml:space="preserve"/>
        </x:is>
      </x:c>
      <x:c r="H964" s="6" t="n">
        <x:v>1.8</x:v>
      </x:c>
      <x:c r="I964" s="5" t="n">
        <x:v>26</x:v>
      </x:c>
      <x:c r="J964" s="5" t="inlineStr">
        <x:is>
          <x:t xml:space="preserve">기본</x:t>
        </x:is>
      </x:c>
      <x:c r="K964" s="7" t="inlineStr">
        <x:is>
          <x:t xml:space="preserve">해양</x:t>
        </x:is>
      </x:c>
      <x:c r="L964" s="7" t="inlineStr">
        <x:is>
          <x:t xml:space="preserve">해안·해양</x:t>
        </x:is>
      </x:c>
      <x:c r="M964" s="7" t="inlineStr">
        <x:is>
          <x:t xml:space="preserve">온대</x:t>
        </x:is>
      </x:c>
      <x:c r="N964" s="7" t="inlineStr">
        <x:is>
          <x:t xml:space="preserve">수중</x:t>
        </x:is>
      </x:c>
      <x:c r="O964" s="7" t="inlineStr">
        <x:is>
          <x:t xml:space="preserve">비</x:t>
        </x:is>
      </x:c>
      <x:c r="P964" s="7" t="inlineStr">
        <x:is>
          <x:t xml:space="preserve">무관</x:t>
        </x:is>
      </x:c>
      <x:c r="Q964" s="7" t="inlineStr">
        <x:is>
          <x:t xml:space="preserve">흔함</x:t>
        </x:is>
      </x:c>
      <x:c r="R964" s="7" t="inlineStr">
        <x:is>
          <x:t xml:space="preserve">없음</x:t>
        </x:is>
      </x:c>
      <x:c r="S964" s="7" t="inlineStr">
        <x:is>
          <x:t xml:space="preserve">해양</x:t>
        </x:is>
      </x:c>
      <x:c r="T964" s="7" t="inlineStr">
        <x:is>
          <x:t xml:space="preserve"/>
        </x:is>
      </x:c>
      <x:c r="U964" s="8" t="str">
        <x:f>INDEX('서식지_점수'!$E$4:$P$4,1,MATCH(MAX('서식지_점수'!E964:P964),'서식지_점수'!E964:P964,0))</x:f>
        <x:v>해양</x:v>
      </x:c>
      <x:c r="V964" s="8" t="str">
        <x:f>IF(T964&lt;&gt;"",T964,U964)</x:f>
        <x:v>해양</x:v>
      </x:c>
      <x:c r="W964" s="8" t="str">
        <x:f>IFERROR(INDEX('서식지_점수'!$E$4:$P$4,1,MATCH(MAXIFS('서식지_점수'!E964:P964,'서식지_점수'!E964:P964,"&lt;"&amp;MAX('서식지_점수'!E964:P964)),'서식지_점수'!E964:P964,0)),"")</x:f>
        <x:v>습지</x:v>
      </x:c>
      <x:c r="X964" s="8" t="str">
        <x:f>IF(T964&lt;&gt;"","수동확정",IF(MAX('서식지_점수'!E964:P964)-LARGE('서식지_점수'!E964:P964,2)&gt;=15,"높음",IF(MAX('서식지_점수'!E964:P964)-LARGE('서식지_점수'!E964:P964,2)&gt;=8,"보통","검토필요")))</x:f>
        <x:v>높음</x:v>
      </x:c>
      <x:c r="Y964" s="9" t="n">
        <x:f>IF(Q964="전설",8,IF(Q964="희귀",7,IF(J964="기본",1,IF(J964="중간",3,IF(J964="최종",IF(I964="",5,IF(I964&lt;=20,3,IF(I964&lt;=35,4,IF(I964&lt;=50,6,7)))),IF(Q964="드묾",4,2))))))</x:f>
        <x:v>1</x:v>
      </x:c>
      <x:c r="Z964" s="5" t="inlineStr">
        <x:is>
          <x:t xml:space="preserve">#cobblemon:is_beach; #cobblemon:is_lukewarm_ocean; #cobblemon:is_warm_ocean</x:t>
        </x:is>
      </x:c>
      <x:c r="AA964" s="5" t="inlineStr">
        <x:is>
          <x:t xml:space="preserve">common</x:t>
        </x:is>
      </x:c>
      <x:c r="AB964" s="5" t="inlineStr">
        <x:is>
          <x:t xml:space="preserve">예</x:t>
        </x:is>
      </x:c>
      <x:c r="AC964" s="8" t="str">
        <x:f>IF(T964&lt;&gt;"","수동확정",IF(X964="검토필요","검토필요",IF(S964="","원본없음","초기완료")))</x:f>
        <x:v>초기완료</x:v>
      </x:c>
      <x:c r="AD964" s="7" t="inlineStr">
        <x:is>
          <x:t xml:space="preserve"/>
        </x:is>
      </x:c>
      <x:c r="AE964" s="5" t="inlineStr">
        <x:is>
          <x:t xml:space="preserve">.tmp/cobblemon-1.7.3-source/common/src/main/resources/data/cobblemon/species/generation9/wiglett.json</x:t>
        </x:is>
      </x:c>
      <x:c r="AF964" s="5" t="str">
        <x:f>"생활권|"&amp;K964</x:f>
        <x:v>생활권|해양</x:v>
      </x:c>
      <x:c r="AG964" s="5" t="str">
        <x:f>"지형|"&amp;L964</x:f>
        <x:v>지형|해안·해양</x:v>
      </x:c>
      <x:c r="AH964" s="5" t="str">
        <x:f>"온도|"&amp;M964</x:f>
        <x:v>온도|온대</x:v>
      </x:c>
      <x:c r="AI964" s="5" t="str">
        <x:f>"습도|"&amp;N964</x:f>
        <x:v>습도|수중</x:v>
      </x:c>
      <x:c r="AJ964" s="5" t="str">
        <x:f>"날씨|"&amp;O964</x:f>
        <x:v>날씨|비</x:v>
      </x:c>
      <x:c r="AK964" s="5" t="str">
        <x:f>"특수태그|"&amp;R964</x:f>
        <x:v>특수태그|없음</x:v>
      </x:c>
      <x:c r="AL964" s="5" t="str">
        <x:f>"원본서식지|"&amp;S964</x:f>
        <x:v>원본서식지|해양</x:v>
      </x:c>
      <x:c r="AM964" s="5" t="str">
        <x:f>"타입|"&amp;F964</x:f>
        <x:v>타입|물</x:v>
      </x:c>
      <x:c r="AN964" s="5" t="str">
        <x:f>"타입|"&amp;G964</x:f>
        <x:v>타입|</x:v>
      </x:c>
    </x:row>
    <x:row r="965" ht="24" customHeight="1">
      <x:c r="A965" s="5" t="n">
        <x:v>961</x:v>
      </x:c>
      <x:c r="B965" s="5" t="inlineStr">
        <x:is>
          <x:t xml:space="preserve">바닥트리오</x:t>
        </x:is>
      </x:c>
      <x:c r="C965" s="5" t="inlineStr">
        <x:is>
          <x:t xml:space="preserve">wugtrio</x:t>
        </x:is>
      </x:c>
      <x:c r="D965" s="5" t="inlineStr">
        <x:is>
          <x:t xml:space="preserve">Wugtrio</x:t>
        </x:is>
      </x:c>
      <x:c r="E965" s="5" t="n">
        <x:v>9</x:v>
      </x:c>
      <x:c r="F965" s="5" t="inlineStr">
        <x:is>
          <x:t xml:space="preserve">물</x:t>
        </x:is>
      </x:c>
      <x:c r="G965" s="5" t="inlineStr">
        <x:is>
          <x:t xml:space="preserve"/>
        </x:is>
      </x:c>
      <x:c r="H965" s="6" t="n">
        <x:v>5.4</x:v>
      </x:c>
      <x:c r="I965" s="5" t="n">
        <x:v>26</x:v>
      </x:c>
      <x:c r="J965" s="5" t="inlineStr">
        <x:is>
          <x:t xml:space="preserve">최종</x:t>
        </x:is>
      </x:c>
      <x:c r="K965" s="7" t="inlineStr">
        <x:is>
          <x:t xml:space="preserve">해양</x:t>
        </x:is>
      </x:c>
      <x:c r="L965" s="7" t="inlineStr">
        <x:is>
          <x:t xml:space="preserve">해안·해양</x:t>
        </x:is>
      </x:c>
      <x:c r="M965" s="7" t="inlineStr">
        <x:is>
          <x:t xml:space="preserve">온대</x:t>
        </x:is>
      </x:c>
      <x:c r="N965" s="7" t="inlineStr">
        <x:is>
          <x:t xml:space="preserve">수중</x:t>
        </x:is>
      </x:c>
      <x:c r="O965" s="7" t="inlineStr">
        <x:is>
          <x:t xml:space="preserve">비</x:t>
        </x:is>
      </x:c>
      <x:c r="P965" s="7" t="inlineStr">
        <x:is>
          <x:t xml:space="preserve">무관</x:t>
        </x:is>
      </x:c>
      <x:c r="Q965" s="7" t="inlineStr">
        <x:is>
          <x:t xml:space="preserve">흔함</x:t>
        </x:is>
      </x:c>
      <x:c r="R965" s="7" t="inlineStr">
        <x:is>
          <x:t xml:space="preserve">없음</x:t>
        </x:is>
      </x:c>
      <x:c r="S965" s="7" t="inlineStr">
        <x:is>
          <x:t xml:space="preserve">해양</x:t>
        </x:is>
      </x:c>
      <x:c r="T965" s="7" t="inlineStr">
        <x:is>
          <x:t xml:space="preserve"/>
        </x:is>
      </x:c>
      <x:c r="U965" s="8" t="str">
        <x:f>INDEX('서식지_점수'!$E$4:$P$4,1,MATCH(MAX('서식지_점수'!E965:P965),'서식지_점수'!E965:P965,0))</x:f>
        <x:v>해양</x:v>
      </x:c>
      <x:c r="V965" s="8" t="str">
        <x:f>IF(T965&lt;&gt;"",T965,U965)</x:f>
        <x:v>해양</x:v>
      </x:c>
      <x:c r="W965" s="8" t="str">
        <x:f>IFERROR(INDEX('서식지_점수'!$E$4:$P$4,1,MATCH(MAXIFS('서식지_점수'!E965:P965,'서식지_점수'!E965:P965,"&lt;"&amp;MAX('서식지_점수'!E965:P965)),'서식지_점수'!E965:P965,0)),"")</x:f>
        <x:v>습지</x:v>
      </x:c>
      <x:c r="X965" s="8" t="str">
        <x:f>IF(T965&lt;&gt;"","수동확정",IF(MAX('서식지_점수'!E965:P965)-LARGE('서식지_점수'!E965:P965,2)&gt;=15,"높음",IF(MAX('서식지_점수'!E965:P965)-LARGE('서식지_점수'!E965:P965,2)&gt;=8,"보통","검토필요")))</x:f>
        <x:v>높음</x:v>
      </x:c>
      <x:c r="Y965" s="9" t="n">
        <x:f>IF(Q965="전설",8,IF(Q965="희귀",7,IF(J965="기본",1,IF(J965="중간",3,IF(J965="최종",IF(I965="",5,IF(I965&lt;=20,3,IF(I965&lt;=35,4,IF(I965&lt;=50,6,7)))),IF(Q965="드묾",4,2))))))</x:f>
        <x:v>4</x:v>
      </x:c>
      <x:c r="Z965" s="5" t="inlineStr">
        <x:is>
          <x:t xml:space="preserve">#cobblemon:is_beach; #cobblemon:is_lukewarm_ocean; #cobblemon:is_warm_ocean</x:t>
        </x:is>
      </x:c>
      <x:c r="AA965" s="5" t="inlineStr">
        <x:is>
          <x:t xml:space="preserve">common</x:t>
        </x:is>
      </x:c>
      <x:c r="AB965" s="5" t="inlineStr">
        <x:is>
          <x:t xml:space="preserve">예</x:t>
        </x:is>
      </x:c>
      <x:c r="AC965" s="8" t="str">
        <x:f>IF(T965&lt;&gt;"","수동확정",IF(X965="검토필요","검토필요",IF(S965="","원본없음","초기완료")))</x:f>
        <x:v>초기완료</x:v>
      </x:c>
      <x:c r="AD965" s="7" t="inlineStr">
        <x:is>
          <x:t xml:space="preserve"/>
        </x:is>
      </x:c>
      <x:c r="AE965" s="5" t="inlineStr">
        <x:is>
          <x:t xml:space="preserve">.tmp/cobblemon-1.7.3-source/common/src/main/resources/data/cobblemon/species/generation9/wugtrio.json</x:t>
        </x:is>
      </x:c>
      <x:c r="AF965" s="5" t="str">
        <x:f>"생활권|"&amp;K965</x:f>
        <x:v>생활권|해양</x:v>
      </x:c>
      <x:c r="AG965" s="5" t="str">
        <x:f>"지형|"&amp;L965</x:f>
        <x:v>지형|해안·해양</x:v>
      </x:c>
      <x:c r="AH965" s="5" t="str">
        <x:f>"온도|"&amp;M965</x:f>
        <x:v>온도|온대</x:v>
      </x:c>
      <x:c r="AI965" s="5" t="str">
        <x:f>"습도|"&amp;N965</x:f>
        <x:v>습도|수중</x:v>
      </x:c>
      <x:c r="AJ965" s="5" t="str">
        <x:f>"날씨|"&amp;O965</x:f>
        <x:v>날씨|비</x:v>
      </x:c>
      <x:c r="AK965" s="5" t="str">
        <x:f>"특수태그|"&amp;R965</x:f>
        <x:v>특수태그|없음</x:v>
      </x:c>
      <x:c r="AL965" s="5" t="str">
        <x:f>"원본서식지|"&amp;S965</x:f>
        <x:v>원본서식지|해양</x:v>
      </x:c>
      <x:c r="AM965" s="5" t="str">
        <x:f>"타입|"&amp;F965</x:f>
        <x:v>타입|물</x:v>
      </x:c>
      <x:c r="AN965" s="5" t="str">
        <x:f>"타입|"&amp;G965</x:f>
        <x:v>타입|</x:v>
      </x:c>
    </x:row>
    <x:row r="966" ht="24" customHeight="1">
      <x:c r="A966" s="5" t="n">
        <x:v>962</x:v>
      </x:c>
      <x:c r="B966" s="5" t="inlineStr">
        <x:is>
          <x:t xml:space="preserve">떨구새</x:t>
        </x:is>
      </x:c>
      <x:c r="C966" s="5" t="inlineStr">
        <x:is>
          <x:t xml:space="preserve">bombirdier</x:t>
        </x:is>
      </x:c>
      <x:c r="D966" s="5" t="inlineStr">
        <x:is>
          <x:t xml:space="preserve">Bombirdier</x:t>
        </x:is>
      </x:c>
      <x:c r="E966" s="5" t="n">
        <x:v>9</x:v>
      </x:c>
      <x:c r="F966" s="5" t="inlineStr">
        <x:is>
          <x:t xml:space="preserve">비행</x:t>
        </x:is>
      </x:c>
      <x:c r="G966" s="5" t="inlineStr">
        <x:is>
          <x:t xml:space="preserve">악</x:t>
        </x:is>
      </x:c>
      <x:c r="H966" s="6" t="n">
        <x:v>42.9</x:v>
      </x:c>
      <x:c r="I966" s="5" t="n"/>
      <x:c r="J966" s="5" t="inlineStr">
        <x:is>
          <x:t xml:space="preserve">무진화</x:t>
        </x:is>
      </x:c>
      <x:c r="K966" s="7" t="inlineStr">
        <x:is>
          <x:t xml:space="preserve">해양</x:t>
        </x:is>
      </x:c>
      <x:c r="L966" s="7" t="inlineStr">
        <x:is>
          <x:t xml:space="preserve">해안·해양</x:t>
        </x:is>
      </x:c>
      <x:c r="M966" s="7" t="inlineStr">
        <x:is>
          <x:t xml:space="preserve">온대</x:t>
        </x:is>
      </x:c>
      <x:c r="N966" s="7" t="inlineStr">
        <x:is>
          <x:t xml:space="preserve">수중</x:t>
        </x:is>
      </x:c>
      <x:c r="O966" s="7" t="inlineStr">
        <x:is>
          <x:t xml:space="preserve">비</x:t>
        </x:is>
      </x:c>
      <x:c r="P966" s="7" t="inlineStr">
        <x:is>
          <x:t xml:space="preserve">밤</x:t>
        </x:is>
      </x:c>
      <x:c r="Q966" s="7" t="inlineStr">
        <x:is>
          <x:t xml:space="preserve">보통</x:t>
        </x:is>
      </x:c>
      <x:c r="R966" s="7" t="inlineStr">
        <x:is>
          <x:t xml:space="preserve">없음</x:t>
        </x:is>
      </x:c>
      <x:c r="S966" s="7" t="inlineStr">
        <x:is>
          <x:t xml:space="preserve">해양</x:t>
        </x:is>
      </x:c>
      <x:c r="T966" s="7" t="inlineStr">
        <x:is>
          <x:t xml:space="preserve"/>
        </x:is>
      </x:c>
      <x:c r="U966" s="8" t="str">
        <x:f>INDEX('서식지_점수'!$E$4:$P$4,1,MATCH(MAX('서식지_점수'!E966:P966),'서식지_점수'!E966:P966,0))</x:f>
        <x:v>해양</x:v>
      </x:c>
      <x:c r="V966" s="8" t="str">
        <x:f>IF(T966&lt;&gt;"",T966,U966)</x:f>
        <x:v>해양</x:v>
      </x:c>
      <x:c r="W966" s="8" t="str">
        <x:f>IFERROR(INDEX('서식지_점수'!$E$4:$P$4,1,MATCH(MAXIFS('서식지_점수'!E966:P966,'서식지_점수'!E966:P966,"&lt;"&amp;MAX('서식지_점수'!E966:P966)),'서식지_점수'!E966:P966,0)),"")</x:f>
        <x:v>습지</x:v>
      </x:c>
      <x:c r="X966" s="8" t="str">
        <x:f>IF(T966&lt;&gt;"","수동확정",IF(MAX('서식지_점수'!E966:P966)-LARGE('서식지_점수'!E966:P966,2)&gt;=15,"높음",IF(MAX('서식지_점수'!E966:P966)-LARGE('서식지_점수'!E966:P966,2)&gt;=8,"보통","검토필요")))</x:f>
        <x:v>높음</x:v>
      </x:c>
      <x:c r="Y966" s="9" t="n">
        <x:f>IF(Q966="전설",8,IF(Q966="희귀",7,IF(J966="기본",1,IF(J966="중간",3,IF(J966="최종",IF(I966="",5,IF(I966&lt;=20,3,IF(I966&lt;=35,4,IF(I966&lt;=50,6,7)))),IF(Q966="드묾",4,2))))))</x:f>
        <x:v>2</x:v>
      </x:c>
      <x:c r="Z966" s="5" t="inlineStr">
        <x:is>
          <x:t xml:space="preserve">#cobblemon:is_beach; #cobblemon:is_river</x:t>
        </x:is>
      </x:c>
      <x:c r="AA966" s="5" t="inlineStr">
        <x:is>
          <x:t xml:space="preserve">uncommon</x:t>
        </x:is>
      </x:c>
      <x:c r="AB966" s="5" t="inlineStr">
        <x:is>
          <x:t xml:space="preserve">아니오</x:t>
        </x:is>
      </x:c>
      <x:c r="AC966" s="8" t="str">
        <x:f>IF(T966&lt;&gt;"","수동확정",IF(X966="검토필요","검토필요",IF(S966="","원본없음","초기완료")))</x:f>
        <x:v>초기완료</x:v>
      </x:c>
      <x:c r="AD966" s="7" t="inlineStr">
        <x:is>
          <x:t xml:space="preserve"/>
        </x:is>
      </x:c>
      <x:c r="AE966" s="5" t="inlineStr">
        <x:is>
          <x:t xml:space="preserve">.tmp/cobblemon-1.7.3-source/common/src/main/resources/data/cobblemon/species/generation9/bombirdier.json</x:t>
        </x:is>
      </x:c>
      <x:c r="AF966" s="5" t="str">
        <x:f>"생활권|"&amp;K966</x:f>
        <x:v>생활권|해양</x:v>
      </x:c>
      <x:c r="AG966" s="5" t="str">
        <x:f>"지형|"&amp;L966</x:f>
        <x:v>지형|해안·해양</x:v>
      </x:c>
      <x:c r="AH966" s="5" t="str">
        <x:f>"온도|"&amp;M966</x:f>
        <x:v>온도|온대</x:v>
      </x:c>
      <x:c r="AI966" s="5" t="str">
        <x:f>"습도|"&amp;N966</x:f>
        <x:v>습도|수중</x:v>
      </x:c>
      <x:c r="AJ966" s="5" t="str">
        <x:f>"날씨|"&amp;O966</x:f>
        <x:v>날씨|비</x:v>
      </x:c>
      <x:c r="AK966" s="5" t="str">
        <x:f>"특수태그|"&amp;R966</x:f>
        <x:v>특수태그|없음</x:v>
      </x:c>
      <x:c r="AL966" s="5" t="str">
        <x:f>"원본서식지|"&amp;S966</x:f>
        <x:v>원본서식지|해양</x:v>
      </x:c>
      <x:c r="AM966" s="5" t="str">
        <x:f>"타입|"&amp;F966</x:f>
        <x:v>타입|비행</x:v>
      </x:c>
      <x:c r="AN966" s="5" t="str">
        <x:f>"타입|"&amp;G966</x:f>
        <x:v>타입|악</x:v>
      </x:c>
    </x:row>
    <x:row r="967" ht="24" customHeight="1">
      <x:c r="A967" s="5" t="n">
        <x:v>963</x:v>
      </x:c>
      <x:c r="B967" s="5" t="inlineStr">
        <x:is>
          <x:t xml:space="preserve">맨돌핀</x:t>
        </x:is>
      </x:c>
      <x:c r="C967" s="5" t="inlineStr">
        <x:is>
          <x:t xml:space="preserve">finizen</x:t>
        </x:is>
      </x:c>
      <x:c r="D967" s="5" t="inlineStr">
        <x:is>
          <x:t xml:space="preserve">Finizen</x:t>
        </x:is>
      </x:c>
      <x:c r="E967" s="5" t="n">
        <x:v>9</x:v>
      </x:c>
      <x:c r="F967" s="5" t="inlineStr">
        <x:is>
          <x:t xml:space="preserve">물</x:t>
        </x:is>
      </x:c>
      <x:c r="G967" s="5" t="inlineStr">
        <x:is>
          <x:t xml:space="preserve"/>
        </x:is>
      </x:c>
      <x:c r="H967" s="6" t="n">
        <x:v>60.2</x:v>
      </x:c>
      <x:c r="I967" s="5" t="n">
        <x:v>38</x:v>
      </x:c>
      <x:c r="J967" s="5" t="inlineStr">
        <x:is>
          <x:t xml:space="preserve">기본</x:t>
        </x:is>
      </x:c>
      <x:c r="K967" s="7" t="inlineStr">
        <x:is>
          <x:t xml:space="preserve">해양</x:t>
        </x:is>
      </x:c>
      <x:c r="L967" s="7" t="inlineStr">
        <x:is>
          <x:t xml:space="preserve">해안·해양</x:t>
        </x:is>
      </x:c>
      <x:c r="M967" s="7" t="inlineStr">
        <x:is>
          <x:t xml:space="preserve">온대</x:t>
        </x:is>
      </x:c>
      <x:c r="N967" s="7" t="inlineStr">
        <x:is>
          <x:t xml:space="preserve">수중</x:t>
        </x:is>
      </x:c>
      <x:c r="O967" s="7" t="inlineStr">
        <x:is>
          <x:t xml:space="preserve">비</x:t>
        </x:is>
      </x:c>
      <x:c r="P967" s="7" t="inlineStr">
        <x:is>
          <x:t xml:space="preserve">무관</x:t>
        </x:is>
      </x:c>
      <x:c r="Q967" s="7" t="inlineStr">
        <x:is>
          <x:t xml:space="preserve">보통</x:t>
        </x:is>
      </x:c>
      <x:c r="R967" s="7" t="inlineStr">
        <x:is>
          <x:t xml:space="preserve">없음</x:t>
        </x:is>
      </x:c>
      <x:c r="S967" s="7" t="inlineStr">
        <x:is>
          <x:t xml:space="preserve">해양</x:t>
        </x:is>
      </x:c>
      <x:c r="T967" s="7" t="inlineStr">
        <x:is>
          <x:t xml:space="preserve"/>
        </x:is>
      </x:c>
      <x:c r="U967" s="8" t="str">
        <x:f>INDEX('서식지_점수'!$E$4:$P$4,1,MATCH(MAX('서식지_점수'!E967:P967),'서식지_점수'!E967:P967,0))</x:f>
        <x:v>해양</x:v>
      </x:c>
      <x:c r="V967" s="8" t="str">
        <x:f>IF(T967&lt;&gt;"",T967,U967)</x:f>
        <x:v>해양</x:v>
      </x:c>
      <x:c r="W967" s="8" t="str">
        <x:f>IFERROR(INDEX('서식지_점수'!$E$4:$P$4,1,MATCH(MAXIFS('서식지_점수'!E967:P967,'서식지_점수'!E967:P967,"&lt;"&amp;MAX('서식지_점수'!E967:P967)),'서식지_점수'!E967:P967,0)),"")</x:f>
        <x:v>습지</x:v>
      </x:c>
      <x:c r="X967" s="8" t="str">
        <x:f>IF(T967&lt;&gt;"","수동확정",IF(MAX('서식지_점수'!E967:P967)-LARGE('서식지_점수'!E967:P967,2)&gt;=15,"높음",IF(MAX('서식지_점수'!E967:P967)-LARGE('서식지_점수'!E967:P967,2)&gt;=8,"보통","검토필요")))</x:f>
        <x:v>높음</x:v>
      </x:c>
      <x:c r="Y967" s="9" t="n">
        <x:f>IF(Q967="전설",8,IF(Q967="희귀",7,IF(J967="기본",1,IF(J967="중간",3,IF(J967="최종",IF(I967="",5,IF(I967&lt;=20,3,IF(I967&lt;=35,4,IF(I967&lt;=50,6,7)))),IF(Q967="드묾",4,2))))))</x:f>
        <x:v>1</x:v>
      </x:c>
      <x:c r="Z967" s="5" t="inlineStr">
        <x:is>
          <x:t xml:space="preserve">#cobblemon:is_ocean</x:t>
        </x:is>
      </x:c>
      <x:c r="AA967" s="5" t="inlineStr">
        <x:is>
          <x:t xml:space="preserve">common; uncommon</x:t>
        </x:is>
      </x:c>
      <x:c r="AB967" s="5" t="inlineStr">
        <x:is>
          <x:t xml:space="preserve">예</x:t>
        </x:is>
      </x:c>
      <x:c r="AC967" s="8" t="str">
        <x:f>IF(T967&lt;&gt;"","수동확정",IF(X967="검토필요","검토필요",IF(S967="","원본없음","초기완료")))</x:f>
        <x:v>초기완료</x:v>
      </x:c>
      <x:c r="AD967" s="7" t="inlineStr">
        <x:is>
          <x:t xml:space="preserve"/>
        </x:is>
      </x:c>
      <x:c r="AE967" s="5" t="inlineStr">
        <x:is>
          <x:t xml:space="preserve">.tmp/cobblemon-1.7.3-source/common/src/main/resources/data/cobblemon/species/generation9/finizen.json</x:t>
        </x:is>
      </x:c>
      <x:c r="AF967" s="5" t="str">
        <x:f>"생활권|"&amp;K967</x:f>
        <x:v>생활권|해양</x:v>
      </x:c>
      <x:c r="AG967" s="5" t="str">
        <x:f>"지형|"&amp;L967</x:f>
        <x:v>지형|해안·해양</x:v>
      </x:c>
      <x:c r="AH967" s="5" t="str">
        <x:f>"온도|"&amp;M967</x:f>
        <x:v>온도|온대</x:v>
      </x:c>
      <x:c r="AI967" s="5" t="str">
        <x:f>"습도|"&amp;N967</x:f>
        <x:v>습도|수중</x:v>
      </x:c>
      <x:c r="AJ967" s="5" t="str">
        <x:f>"날씨|"&amp;O967</x:f>
        <x:v>날씨|비</x:v>
      </x:c>
      <x:c r="AK967" s="5" t="str">
        <x:f>"특수태그|"&amp;R967</x:f>
        <x:v>특수태그|없음</x:v>
      </x:c>
      <x:c r="AL967" s="5" t="str">
        <x:f>"원본서식지|"&amp;S967</x:f>
        <x:v>원본서식지|해양</x:v>
      </x:c>
      <x:c r="AM967" s="5" t="str">
        <x:f>"타입|"&amp;F967</x:f>
        <x:v>타입|물</x:v>
      </x:c>
      <x:c r="AN967" s="5" t="str">
        <x:f>"타입|"&amp;G967</x:f>
        <x:v>타입|</x:v>
      </x:c>
    </x:row>
    <x:row r="968" ht="24" customHeight="1">
      <x:c r="A968" s="5" t="n">
        <x:v>964</x:v>
      </x:c>
      <x:c r="B968" s="5" t="inlineStr">
        <x:is>
          <x:t xml:space="preserve">돌핀맨</x:t>
        </x:is>
      </x:c>
      <x:c r="C968" s="5" t="inlineStr">
        <x:is>
          <x:t xml:space="preserve">palafin</x:t>
        </x:is>
      </x:c>
      <x:c r="D968" s="5" t="inlineStr">
        <x:is>
          <x:t xml:space="preserve">Palafin</x:t>
        </x:is>
      </x:c>
      <x:c r="E968" s="5" t="n">
        <x:v>9</x:v>
      </x:c>
      <x:c r="F968" s="5" t="inlineStr">
        <x:is>
          <x:t xml:space="preserve">물</x:t>
        </x:is>
      </x:c>
      <x:c r="G968" s="5" t="inlineStr">
        <x:is>
          <x:t xml:space="preserve"/>
        </x:is>
      </x:c>
      <x:c r="H968" s="6" t="n">
        <x:v>60.2</x:v>
      </x:c>
      <x:c r="I968" s="5" t="n">
        <x:v>38</x:v>
      </x:c>
      <x:c r="J968" s="5" t="inlineStr">
        <x:is>
          <x:t xml:space="preserve">최종</x:t>
        </x:is>
      </x:c>
      <x:c r="K968" s="7" t="inlineStr">
        <x:is>
          <x:t xml:space="preserve">해양</x:t>
        </x:is>
      </x:c>
      <x:c r="L968" s="7" t="inlineStr">
        <x:is>
          <x:t xml:space="preserve">해안·해양</x:t>
        </x:is>
      </x:c>
      <x:c r="M968" s="7" t="inlineStr">
        <x:is>
          <x:t xml:space="preserve">온대</x:t>
        </x:is>
      </x:c>
      <x:c r="N968" s="7" t="inlineStr">
        <x:is>
          <x:t xml:space="preserve">수중</x:t>
        </x:is>
      </x:c>
      <x:c r="O968" s="7" t="inlineStr">
        <x:is>
          <x:t xml:space="preserve">비</x:t>
        </x:is>
      </x:c>
      <x:c r="P968" s="7" t="inlineStr">
        <x:is>
          <x:t xml:space="preserve">무관</x:t>
        </x:is>
      </x:c>
      <x:c r="Q968" s="7" t="inlineStr">
        <x:is>
          <x:t xml:space="preserve">보통</x:t>
        </x:is>
      </x:c>
      <x:c r="R968" s="7" t="inlineStr">
        <x:is>
          <x:t xml:space="preserve">없음</x:t>
        </x:is>
      </x:c>
      <x:c r="S968" s="7" t="inlineStr">
        <x:is>
          <x:t xml:space="preserve">해양</x:t>
        </x:is>
      </x:c>
      <x:c r="T968" s="7" t="inlineStr">
        <x:is>
          <x:t xml:space="preserve"/>
        </x:is>
      </x:c>
      <x:c r="U968" s="8" t="str">
        <x:f>INDEX('서식지_점수'!$E$4:$P$4,1,MATCH(MAX('서식지_점수'!E968:P968),'서식지_점수'!E968:P968,0))</x:f>
        <x:v>해양</x:v>
      </x:c>
      <x:c r="V968" s="8" t="str">
        <x:f>IF(T968&lt;&gt;"",T968,U968)</x:f>
        <x:v>해양</x:v>
      </x:c>
      <x:c r="W968" s="8" t="str">
        <x:f>IFERROR(INDEX('서식지_점수'!$E$4:$P$4,1,MATCH(MAXIFS('서식지_점수'!E968:P968,'서식지_점수'!E968:P968,"&lt;"&amp;MAX('서식지_점수'!E968:P968)),'서식지_점수'!E968:P968,0)),"")</x:f>
        <x:v>습지</x:v>
      </x:c>
      <x:c r="X968" s="8" t="str">
        <x:f>IF(T968&lt;&gt;"","수동확정",IF(MAX('서식지_점수'!E968:P968)-LARGE('서식지_점수'!E968:P968,2)&gt;=15,"높음",IF(MAX('서식지_점수'!E968:P968)-LARGE('서식지_점수'!E968:P968,2)&gt;=8,"보통","검토필요")))</x:f>
        <x:v>높음</x:v>
      </x:c>
      <x:c r="Y968" s="9" t="n">
        <x:f>IF(Q968="전설",8,IF(Q968="희귀",7,IF(J968="기본",1,IF(J968="중간",3,IF(J968="최종",IF(I968="",5,IF(I968&lt;=20,3,IF(I968&lt;=35,4,IF(I968&lt;=50,6,7)))),IF(Q968="드묾",4,2))))))</x:f>
        <x:v>6</x:v>
      </x:c>
      <x:c r="Z968" s="5" t="inlineStr">
        <x:is>
          <x:t xml:space="preserve">#cobblemon:is_ocean</x:t>
        </x:is>
      </x:c>
      <x:c r="AA968" s="5" t="inlineStr">
        <x:is>
          <x:t xml:space="preserve">common; uncommon</x:t>
        </x:is>
      </x:c>
      <x:c r="AB968" s="5" t="inlineStr">
        <x:is>
          <x:t xml:space="preserve">예</x:t>
        </x:is>
      </x:c>
      <x:c r="AC968" s="8" t="str">
        <x:f>IF(T968&lt;&gt;"","수동확정",IF(X968="검토필요","검토필요",IF(S968="","원본없음","초기완료")))</x:f>
        <x:v>초기완료</x:v>
      </x:c>
      <x:c r="AD968" s="7" t="inlineStr">
        <x:is>
          <x:t xml:space="preserve"/>
        </x:is>
      </x:c>
      <x:c r="AE968" s="5" t="inlineStr">
        <x:is>
          <x:t xml:space="preserve">.tmp/cobblemon-1.7.3-source/common/src/main/resources/data/cobblemon/species/generation9/palafin.json</x:t>
        </x:is>
      </x:c>
      <x:c r="AF968" s="5" t="str">
        <x:f>"생활권|"&amp;K968</x:f>
        <x:v>생활권|해양</x:v>
      </x:c>
      <x:c r="AG968" s="5" t="str">
        <x:f>"지형|"&amp;L968</x:f>
        <x:v>지형|해안·해양</x:v>
      </x:c>
      <x:c r="AH968" s="5" t="str">
        <x:f>"온도|"&amp;M968</x:f>
        <x:v>온도|온대</x:v>
      </x:c>
      <x:c r="AI968" s="5" t="str">
        <x:f>"습도|"&amp;N968</x:f>
        <x:v>습도|수중</x:v>
      </x:c>
      <x:c r="AJ968" s="5" t="str">
        <x:f>"날씨|"&amp;O968</x:f>
        <x:v>날씨|비</x:v>
      </x:c>
      <x:c r="AK968" s="5" t="str">
        <x:f>"특수태그|"&amp;R968</x:f>
        <x:v>특수태그|없음</x:v>
      </x:c>
      <x:c r="AL968" s="5" t="str">
        <x:f>"원본서식지|"&amp;S968</x:f>
        <x:v>원본서식지|해양</x:v>
      </x:c>
      <x:c r="AM968" s="5" t="str">
        <x:f>"타입|"&amp;F968</x:f>
        <x:v>타입|물</x:v>
      </x:c>
      <x:c r="AN968" s="5" t="str">
        <x:f>"타입|"&amp;G968</x:f>
        <x:v>타입|</x:v>
      </x:c>
    </x:row>
    <x:row r="969" ht="24" customHeight="1">
      <x:c r="A969" s="5" t="n">
        <x:v>965</x:v>
      </x:c>
      <x:c r="B969" s="5" t="inlineStr">
        <x:is>
          <x:t xml:space="preserve">부르롱</x:t>
        </x:is>
      </x:c>
      <x:c r="C969" s="5" t="inlineStr">
        <x:is>
          <x:t xml:space="preserve">varoom</x:t>
        </x:is>
      </x:c>
      <x:c r="D969" s="5" t="inlineStr">
        <x:is>
          <x:t xml:space="preserve">Varoom</x:t>
        </x:is>
      </x:c>
      <x:c r="E969" s="5" t="n">
        <x:v>9</x:v>
      </x:c>
      <x:c r="F969" s="5" t="inlineStr">
        <x:is>
          <x:t xml:space="preserve">강철</x:t>
        </x:is>
      </x:c>
      <x:c r="G969" s="5" t="inlineStr">
        <x:is>
          <x:t xml:space="preserve">독</x:t>
        </x:is>
      </x:c>
      <x:c r="H969" s="6" t="n">
        <x:v>35</x:v>
      </x:c>
      <x:c r="I969" s="5" t="n">
        <x:v>40</x:v>
      </x:c>
      <x:c r="J969" s="5" t="inlineStr">
        <x:is>
          <x:t xml:space="preserve">기본</x:t>
        </x:is>
      </x:c>
      <x:c r="K969" s="7" t="inlineStr">
        <x:is>
          <x:t xml:space="preserve">인공</x:t>
        </x:is>
      </x:c>
      <x:c r="L969" s="7" t="inlineStr">
        <x:is>
          <x:t xml:space="preserve">건조</x:t>
        </x:is>
      </x:c>
      <x:c r="M969" s="7" t="inlineStr">
        <x:is>
          <x:t xml:space="preserve">고온</x:t>
        </x:is>
      </x:c>
      <x:c r="N969" s="7" t="inlineStr">
        <x:is>
          <x:t xml:space="preserve">건조</x:t>
        </x:is>
      </x:c>
      <x:c r="O969" s="7" t="inlineStr">
        <x:is>
          <x:t xml:space="preserve">맑음</x:t>
        </x:is>
      </x:c>
      <x:c r="P969" s="7" t="inlineStr">
        <x:is>
          <x:t xml:space="preserve">무관</x:t>
        </x:is>
      </x:c>
      <x:c r="Q969" s="7" t="inlineStr">
        <x:is>
          <x:t xml:space="preserve">보통</x:t>
        </x:is>
      </x:c>
      <x:c r="R969" s="7" t="inlineStr">
        <x:is>
          <x:t xml:space="preserve">도시</x:t>
        </x:is>
      </x:c>
      <x:c r="S969" s="7" t="inlineStr">
        <x:is>
          <x:t xml:space="preserve">건조지</x:t>
        </x:is>
      </x:c>
      <x:c r="T969" s="7" t="inlineStr">
        <x:is>
          <x:t xml:space="preserve"/>
        </x:is>
      </x:c>
      <x:c r="U969" s="8" t="str">
        <x:f>INDEX('서식지_점수'!$E$4:$P$4,1,MATCH(MAX('서식지_점수'!E969:P969),'서식지_점수'!E969:P969,0))</x:f>
        <x:v>도시</x:v>
      </x:c>
      <x:c r="V969" s="8" t="str">
        <x:f>IF(T969&lt;&gt;"",T969,U969)</x:f>
        <x:v>도시</x:v>
      </x:c>
      <x:c r="W969" s="8" t="str">
        <x:f>IFERROR(INDEX('서식지_점수'!$E$4:$P$4,1,MATCH(MAXIFS('서식지_점수'!E969:P969,'서식지_점수'!E969:P969,"&lt;"&amp;MAX('서식지_점수'!E969:P969)),'서식지_점수'!E969:P969,0)),"")</x:f>
        <x:v>특수</x:v>
      </x:c>
      <x:c r="X969" s="8" t="str">
        <x:f>IF(T969&lt;&gt;"","수동확정",IF(MAX('서식지_점수'!E969:P969)-LARGE('서식지_점수'!E969:P969,2)&gt;=15,"높음",IF(MAX('서식지_점수'!E969:P969)-LARGE('서식지_점수'!E969:P969,2)&gt;=8,"보통","검토필요")))</x:f>
        <x:v>높음</x:v>
      </x:c>
      <x:c r="Y969" s="9" t="n">
        <x:f>IF(Q969="전설",8,IF(Q969="희귀",7,IF(J969="기본",1,IF(J969="중간",3,IF(J969="최종",IF(I969="",5,IF(I969&lt;=20,3,IF(I969&lt;=35,4,IF(I969&lt;=50,6,7)))),IF(Q969="드묾",4,2))))))</x:f>
        <x:v>1</x:v>
      </x:c>
      <x:c r="Z969" s="5" t="inlineStr">
        <x:is>
          <x:t xml:space="preserve">#cobblemon:is_badlands; #cobblemon:is_overworld</x:t>
        </x:is>
      </x:c>
      <x:c r="AA969" s="5" t="inlineStr">
        <x:is>
          <x:t xml:space="preserve">uncommon</x:t>
        </x:is>
      </x:c>
      <x:c r="AB969" s="5" t="inlineStr">
        <x:is>
          <x:t xml:space="preserve">예</x:t>
        </x:is>
      </x:c>
      <x:c r="AC969" s="8" t="str">
        <x:f>IF(T969&lt;&gt;"","수동확정",IF(X969="검토필요","검토필요",IF(S969="","원본없음","초기완료")))</x:f>
        <x:v>초기완료</x:v>
      </x:c>
      <x:c r="AD969" s="7" t="inlineStr">
        <x:is>
          <x:t xml:space="preserve"/>
        </x:is>
      </x:c>
      <x:c r="AE969" s="5" t="inlineStr">
        <x:is>
          <x:t xml:space="preserve">.tmp/cobblemon-1.7.3-source/common/src/main/resources/data/cobblemon/species/generation9/varoom.json</x:t>
        </x:is>
      </x:c>
      <x:c r="AF969" s="5" t="str">
        <x:f>"생활권|"&amp;K969</x:f>
        <x:v>생활권|인공</x:v>
      </x:c>
      <x:c r="AG969" s="5" t="str">
        <x:f>"지형|"&amp;L969</x:f>
        <x:v>지형|건조</x:v>
      </x:c>
      <x:c r="AH969" s="5" t="str">
        <x:f>"온도|"&amp;M969</x:f>
        <x:v>온도|고온</x:v>
      </x:c>
      <x:c r="AI969" s="5" t="str">
        <x:f>"습도|"&amp;N969</x:f>
        <x:v>습도|건조</x:v>
      </x:c>
      <x:c r="AJ969" s="5" t="str">
        <x:f>"날씨|"&amp;O969</x:f>
        <x:v>날씨|맑음</x:v>
      </x:c>
      <x:c r="AK969" s="5" t="str">
        <x:f>"특수태그|"&amp;R969</x:f>
        <x:v>특수태그|도시</x:v>
      </x:c>
      <x:c r="AL969" s="5" t="str">
        <x:f>"원본서식지|"&amp;S969</x:f>
        <x:v>원본서식지|건조지</x:v>
      </x:c>
      <x:c r="AM969" s="5" t="str">
        <x:f>"타입|"&amp;F969</x:f>
        <x:v>타입|강철</x:v>
      </x:c>
      <x:c r="AN969" s="5" t="str">
        <x:f>"타입|"&amp;G969</x:f>
        <x:v>타입|독</x:v>
      </x:c>
    </x:row>
    <x:row r="970" ht="24" customHeight="1">
      <x:c r="A970" s="5" t="n">
        <x:v>966</x:v>
      </x:c>
      <x:c r="B970" s="5" t="inlineStr">
        <x:is>
          <x:t xml:space="preserve">부르르룸</x:t>
        </x:is>
      </x:c>
      <x:c r="C970" s="5" t="inlineStr">
        <x:is>
          <x:t xml:space="preserve">revavroom</x:t>
        </x:is>
      </x:c>
      <x:c r="D970" s="5" t="inlineStr">
        <x:is>
          <x:t xml:space="preserve">Revavroom</x:t>
        </x:is>
      </x:c>
      <x:c r="E970" s="5" t="n">
        <x:v>9</x:v>
      </x:c>
      <x:c r="F970" s="5" t="inlineStr">
        <x:is>
          <x:t xml:space="preserve">강철</x:t>
        </x:is>
      </x:c>
      <x:c r="G970" s="5" t="inlineStr">
        <x:is>
          <x:t xml:space="preserve">독</x:t>
        </x:is>
      </x:c>
      <x:c r="H970" s="6" t="n">
        <x:v>120</x:v>
      </x:c>
      <x:c r="I970" s="5" t="n">
        <x:v>40</x:v>
      </x:c>
      <x:c r="J970" s="5" t="inlineStr">
        <x:is>
          <x:t xml:space="preserve">최종</x:t>
        </x:is>
      </x:c>
      <x:c r="K970" s="7" t="inlineStr">
        <x:is>
          <x:t xml:space="preserve">인공</x:t>
        </x:is>
      </x:c>
      <x:c r="L970" s="7" t="inlineStr">
        <x:is>
          <x:t xml:space="preserve">건조</x:t>
        </x:is>
      </x:c>
      <x:c r="M970" s="7" t="inlineStr">
        <x:is>
          <x:t xml:space="preserve">고온</x:t>
        </x:is>
      </x:c>
      <x:c r="N970" s="7" t="inlineStr">
        <x:is>
          <x:t xml:space="preserve">건조</x:t>
        </x:is>
      </x:c>
      <x:c r="O970" s="7" t="inlineStr">
        <x:is>
          <x:t xml:space="preserve">맑음</x:t>
        </x:is>
      </x:c>
      <x:c r="P970" s="7" t="inlineStr">
        <x:is>
          <x:t xml:space="preserve">무관</x:t>
        </x:is>
      </x:c>
      <x:c r="Q970" s="7" t="inlineStr">
        <x:is>
          <x:t xml:space="preserve">보통</x:t>
        </x:is>
      </x:c>
      <x:c r="R970" s="7" t="inlineStr">
        <x:is>
          <x:t xml:space="preserve">도시</x:t>
        </x:is>
      </x:c>
      <x:c r="S970" s="7" t="inlineStr">
        <x:is>
          <x:t xml:space="preserve">건조지</x:t>
        </x:is>
      </x:c>
      <x:c r="T970" s="7" t="inlineStr">
        <x:is>
          <x:t xml:space="preserve"/>
        </x:is>
      </x:c>
      <x:c r="U970" s="8" t="str">
        <x:f>INDEX('서식지_점수'!$E$4:$P$4,1,MATCH(MAX('서식지_점수'!E970:P970),'서식지_점수'!E970:P970,0))</x:f>
        <x:v>도시</x:v>
      </x:c>
      <x:c r="V970" s="8" t="str">
        <x:f>IF(T970&lt;&gt;"",T970,U970)</x:f>
        <x:v>도시</x:v>
      </x:c>
      <x:c r="W970" s="8" t="str">
        <x:f>IFERROR(INDEX('서식지_점수'!$E$4:$P$4,1,MATCH(MAXIFS('서식지_점수'!E970:P970,'서식지_점수'!E970:P970,"&lt;"&amp;MAX('서식지_점수'!E970:P970)),'서식지_점수'!E970:P970,0)),"")</x:f>
        <x:v>특수</x:v>
      </x:c>
      <x:c r="X970" s="8" t="str">
        <x:f>IF(T970&lt;&gt;"","수동확정",IF(MAX('서식지_점수'!E970:P970)-LARGE('서식지_점수'!E970:P970,2)&gt;=15,"높음",IF(MAX('서식지_점수'!E970:P970)-LARGE('서식지_점수'!E970:P970,2)&gt;=8,"보통","검토필요")))</x:f>
        <x:v>높음</x:v>
      </x:c>
      <x:c r="Y970" s="9" t="n">
        <x:f>IF(Q970="전설",8,IF(Q970="희귀",7,IF(J970="기본",1,IF(J970="중간",3,IF(J970="최종",IF(I970="",5,IF(I970&lt;=20,3,IF(I970&lt;=35,4,IF(I970&lt;=50,6,7)))),IF(Q970="드묾",4,2))))))</x:f>
        <x:v>6</x:v>
      </x:c>
      <x:c r="Z970" s="5" t="inlineStr">
        <x:is>
          <x:t xml:space="preserve">#cobblemon:is_badlands; #cobblemon:is_overworld</x:t>
        </x:is>
      </x:c>
      <x:c r="AA970" s="5" t="inlineStr">
        <x:is>
          <x:t xml:space="preserve">uncommon</x:t>
        </x:is>
      </x:c>
      <x:c r="AB970" s="5" t="inlineStr">
        <x:is>
          <x:t xml:space="preserve">예</x:t>
        </x:is>
      </x:c>
      <x:c r="AC970" s="8" t="str">
        <x:f>IF(T970&lt;&gt;"","수동확정",IF(X970="검토필요","검토필요",IF(S970="","원본없음","초기완료")))</x:f>
        <x:v>초기완료</x:v>
      </x:c>
      <x:c r="AD970" s="7" t="inlineStr">
        <x:is>
          <x:t xml:space="preserve"/>
        </x:is>
      </x:c>
      <x:c r="AE970" s="5" t="inlineStr">
        <x:is>
          <x:t xml:space="preserve">.tmp/cobblemon-1.7.3-source/common/src/main/resources/data/cobblemon/species/generation9/revavroom.json</x:t>
        </x:is>
      </x:c>
      <x:c r="AF970" s="5" t="str">
        <x:f>"생활권|"&amp;K970</x:f>
        <x:v>생활권|인공</x:v>
      </x:c>
      <x:c r="AG970" s="5" t="str">
        <x:f>"지형|"&amp;L970</x:f>
        <x:v>지형|건조</x:v>
      </x:c>
      <x:c r="AH970" s="5" t="str">
        <x:f>"온도|"&amp;M970</x:f>
        <x:v>온도|고온</x:v>
      </x:c>
      <x:c r="AI970" s="5" t="str">
        <x:f>"습도|"&amp;N970</x:f>
        <x:v>습도|건조</x:v>
      </x:c>
      <x:c r="AJ970" s="5" t="str">
        <x:f>"날씨|"&amp;O970</x:f>
        <x:v>날씨|맑음</x:v>
      </x:c>
      <x:c r="AK970" s="5" t="str">
        <x:f>"특수태그|"&amp;R970</x:f>
        <x:v>특수태그|도시</x:v>
      </x:c>
      <x:c r="AL970" s="5" t="str">
        <x:f>"원본서식지|"&amp;S970</x:f>
        <x:v>원본서식지|건조지</x:v>
      </x:c>
      <x:c r="AM970" s="5" t="str">
        <x:f>"타입|"&amp;F970</x:f>
        <x:v>타입|강철</x:v>
      </x:c>
      <x:c r="AN970" s="5" t="str">
        <x:f>"타입|"&amp;G970</x:f>
        <x:v>타입|독</x:v>
      </x:c>
    </x:row>
    <x:row r="971" ht="24" customHeight="1">
      <x:c r="A971" s="5" t="n">
        <x:v>967</x:v>
      </x:c>
      <x:c r="B971" s="5" t="inlineStr">
        <x:is>
          <x:t xml:space="preserve">모토마</x:t>
        </x:is>
      </x:c>
      <x:c r="C971" s="5" t="inlineStr">
        <x:is>
          <x:t xml:space="preserve">cyclizar</x:t>
        </x:is>
      </x:c>
      <x:c r="D971" s="5" t="inlineStr">
        <x:is>
          <x:t xml:space="preserve">Cyclizar</x:t>
        </x:is>
      </x:c>
      <x:c r="E971" s="5" t="n">
        <x:v>9</x:v>
      </x:c>
      <x:c r="F971" s="5" t="inlineStr">
        <x:is>
          <x:t xml:space="preserve">드래곤</x:t>
        </x:is>
      </x:c>
      <x:c r="G971" s="5" t="inlineStr">
        <x:is>
          <x:t xml:space="preserve">노말</x:t>
        </x:is>
      </x:c>
      <x:c r="H971" s="6" t="n">
        <x:v>63</x:v>
      </x:c>
      <x:c r="I971" s="5" t="n"/>
      <x:c r="J971" s="5" t="inlineStr">
        <x:is>
          <x:t xml:space="preserve">무진화</x:t>
        </x:is>
      </x:c>
      <x:c r="K971" s="7" t="inlineStr">
        <x:is>
          <x:t xml:space="preserve">육상</x:t>
        </x:is>
      </x:c>
      <x:c r="L971" s="7" t="inlineStr">
        <x:is>
          <x:t xml:space="preserve">건조</x:t>
        </x:is>
      </x:c>
      <x:c r="M971" s="7" t="inlineStr">
        <x:is>
          <x:t xml:space="preserve">고온</x:t>
        </x:is>
      </x:c>
      <x:c r="N971" s="7" t="inlineStr">
        <x:is>
          <x:t xml:space="preserve">건조</x:t>
        </x:is>
      </x:c>
      <x:c r="O971" s="7" t="inlineStr">
        <x:is>
          <x:t xml:space="preserve">맑음</x:t>
        </x:is>
      </x:c>
      <x:c r="P971" s="7" t="inlineStr">
        <x:is>
          <x:t xml:space="preserve">무관</x:t>
        </x:is>
      </x:c>
      <x:c r="Q971" s="7" t="inlineStr">
        <x:is>
          <x:t xml:space="preserve">드묾</x:t>
        </x:is>
      </x:c>
      <x:c r="R971" s="7" t="inlineStr">
        <x:is>
          <x:t xml:space="preserve">없음</x:t>
        </x:is>
      </x:c>
      <x:c r="S971" s="7" t="inlineStr">
        <x:is>
          <x:t xml:space="preserve">건조지</x:t>
        </x:is>
      </x:c>
      <x:c r="T971" s="7" t="inlineStr">
        <x:is>
          <x:t xml:space="preserve"/>
        </x:is>
      </x:c>
      <x:c r="U971" s="8" t="str">
        <x:f>INDEX('서식지_점수'!$E$4:$P$4,1,MATCH(MAX('서식지_점수'!E971:P971),'서식지_점수'!E971:P971,0))</x:f>
        <x:v>평원</x:v>
      </x:c>
      <x:c r="V971" s="8" t="str">
        <x:f>IF(T971&lt;&gt;"",T971,U971)</x:f>
        <x:v>평원</x:v>
      </x:c>
      <x:c r="W971" s="8" t="str">
        <x:f>IFERROR(INDEX('서식지_점수'!$E$4:$P$4,1,MATCH(MAXIFS('서식지_점수'!E971:P971,'서식지_점수'!E971:P971,"&lt;"&amp;MAX('서식지_점수'!E971:P971)),'서식지_점수'!E971:P971,0)),"")</x:f>
        <x:v>숲</x:v>
      </x:c>
      <x:c r="X971" s="8" t="str">
        <x:f>IF(T971&lt;&gt;"","수동확정",IF(MAX('서식지_점수'!E971:P971)-LARGE('서식지_점수'!E971:P971,2)&gt;=15,"높음",IF(MAX('서식지_점수'!E971:P971)-LARGE('서식지_점수'!E971:P971,2)&gt;=8,"보통","검토필요")))</x:f>
        <x:v>검토필요</x:v>
      </x:c>
      <x:c r="Y971" s="9" t="n">
        <x:f>IF(Q971="전설",8,IF(Q971="희귀",7,IF(J971="기본",1,IF(J971="중간",3,IF(J971="최종",IF(I971="",5,IF(I971&lt;=20,3,IF(I971&lt;=35,4,IF(I971&lt;=50,6,7)))),IF(Q971="드묾",4,2))))))</x:f>
        <x:v>4</x:v>
      </x:c>
      <x:c r="Z971" s="5" t="inlineStr">
        <x:is>
          <x:t xml:space="preserve">#cobblemon:is_badlands; #cobblemon:is_grassland</x:t>
        </x:is>
      </x:c>
      <x:c r="AA971" s="5" t="inlineStr">
        <x:is>
          <x:t xml:space="preserve">rare</x:t>
        </x:is>
      </x:c>
      <x:c r="AB971" s="5" t="inlineStr">
        <x:is>
          <x:t xml:space="preserve">예</x:t>
        </x:is>
      </x:c>
      <x:c r="AC971" s="8" t="str">
        <x:f>IF(T971&lt;&gt;"","수동확정",IF(X971="검토필요","검토필요",IF(S971="","원본없음","초기완료")))</x:f>
        <x:v>검토필요</x:v>
      </x:c>
      <x:c r="AD971" s="7" t="inlineStr">
        <x:is>
          <x:t xml:space="preserve"/>
        </x:is>
      </x:c>
      <x:c r="AE971" s="5" t="inlineStr">
        <x:is>
          <x:t xml:space="preserve">.tmp/cobblemon-1.7.3-source/common/src/main/resources/data/cobblemon/species/generation9/cyclizar.json</x:t>
        </x:is>
      </x:c>
      <x:c r="AF971" s="5" t="str">
        <x:f>"생활권|"&amp;K971</x:f>
        <x:v>생활권|육상</x:v>
      </x:c>
      <x:c r="AG971" s="5" t="str">
        <x:f>"지형|"&amp;L971</x:f>
        <x:v>지형|건조</x:v>
      </x:c>
      <x:c r="AH971" s="5" t="str">
        <x:f>"온도|"&amp;M971</x:f>
        <x:v>온도|고온</x:v>
      </x:c>
      <x:c r="AI971" s="5" t="str">
        <x:f>"습도|"&amp;N971</x:f>
        <x:v>습도|건조</x:v>
      </x:c>
      <x:c r="AJ971" s="5" t="str">
        <x:f>"날씨|"&amp;O971</x:f>
        <x:v>날씨|맑음</x:v>
      </x:c>
      <x:c r="AK971" s="5" t="str">
        <x:f>"특수태그|"&amp;R971</x:f>
        <x:v>특수태그|없음</x:v>
      </x:c>
      <x:c r="AL971" s="5" t="str">
        <x:f>"원본서식지|"&amp;S971</x:f>
        <x:v>원본서식지|건조지</x:v>
      </x:c>
      <x:c r="AM971" s="5" t="str">
        <x:f>"타입|"&amp;F971</x:f>
        <x:v>타입|드래곤</x:v>
      </x:c>
      <x:c r="AN971" s="5" t="str">
        <x:f>"타입|"&amp;G971</x:f>
        <x:v>타입|노말</x:v>
      </x:c>
    </x:row>
    <x:row r="972" ht="24" customHeight="1">
      <x:c r="A972" s="5" t="n">
        <x:v>968</x:v>
      </x:c>
      <x:c r="B972" s="5" t="inlineStr">
        <x:is>
          <x:t xml:space="preserve">꿈트렁</x:t>
        </x:is>
      </x:c>
      <x:c r="C972" s="5" t="inlineStr">
        <x:is>
          <x:t xml:space="preserve">orthworm</x:t>
        </x:is>
      </x:c>
      <x:c r="D972" s="5" t="inlineStr">
        <x:is>
          <x:t xml:space="preserve">Orthworm</x:t>
        </x:is>
      </x:c>
      <x:c r="E972" s="5" t="n">
        <x:v>9</x:v>
      </x:c>
      <x:c r="F972" s="5" t="inlineStr">
        <x:is>
          <x:t xml:space="preserve">강철</x:t>
        </x:is>
      </x:c>
      <x:c r="G972" s="5" t="inlineStr">
        <x:is>
          <x:t xml:space="preserve"/>
        </x:is>
      </x:c>
      <x:c r="H972" s="6" t="n">
        <x:v>310</x:v>
      </x:c>
      <x:c r="I972" s="5" t="n"/>
      <x:c r="J972" s="5" t="inlineStr">
        <x:is>
          <x:t xml:space="preserve">무진화</x:t>
        </x:is>
      </x:c>
      <x:c r="K972" s="7" t="inlineStr">
        <x:is>
          <x:t xml:space="preserve">육상</x:t>
        </x:is>
      </x:c>
      <x:c r="L972" s="7" t="inlineStr">
        <x:is>
          <x:t xml:space="preserve">건조</x:t>
        </x:is>
      </x:c>
      <x:c r="M972" s="7" t="inlineStr">
        <x:is>
          <x:t xml:space="preserve">고온</x:t>
        </x:is>
      </x:c>
      <x:c r="N972" s="7" t="inlineStr">
        <x:is>
          <x:t xml:space="preserve">건조</x:t>
        </x:is>
      </x:c>
      <x:c r="O972" s="7" t="inlineStr">
        <x:is>
          <x:t xml:space="preserve">맑음</x:t>
        </x:is>
      </x:c>
      <x:c r="P972" s="7" t="inlineStr">
        <x:is>
          <x:t xml:space="preserve">무관</x:t>
        </x:is>
      </x:c>
      <x:c r="Q972" s="7" t="inlineStr">
        <x:is>
          <x:t xml:space="preserve">보통</x:t>
        </x:is>
      </x:c>
      <x:c r="R972" s="7" t="inlineStr">
        <x:is>
          <x:t xml:space="preserve">없음</x:t>
        </x:is>
      </x:c>
      <x:c r="S972" s="7" t="inlineStr">
        <x:is>
          <x:t xml:space="preserve">건조지</x:t>
        </x:is>
      </x:c>
      <x:c r="T972" s="7" t="inlineStr">
        <x:is>
          <x:t xml:space="preserve"/>
        </x:is>
      </x:c>
      <x:c r="U972" s="8" t="str">
        <x:f>INDEX('서식지_점수'!$E$4:$P$4,1,MATCH(MAX('서식지_점수'!E972:P972),'서식지_점수'!E972:P972,0))</x:f>
        <x:v>평원</x:v>
      </x:c>
      <x:c r="V972" s="8" t="str">
        <x:f>IF(T972&lt;&gt;"",T972,U972)</x:f>
        <x:v>평원</x:v>
      </x:c>
      <x:c r="W972" s="8" t="str">
        <x:f>IFERROR(INDEX('서식지_점수'!$E$4:$P$4,1,MATCH(MAXIFS('서식지_점수'!E972:P972,'서식지_점수'!E972:P972,"&lt;"&amp;MAX('서식지_점수'!E972:P972)),'서식지_점수'!E972:P972,0)),"")</x:f>
        <x:v>숲</x:v>
      </x:c>
      <x:c r="X972" s="8" t="str">
        <x:f>IF(T972&lt;&gt;"","수동확정",IF(MAX('서식지_점수'!E972:P972)-LARGE('서식지_점수'!E972:P972,2)&gt;=15,"높음",IF(MAX('서식지_점수'!E972:P972)-LARGE('서식지_점수'!E972:P972,2)&gt;=8,"보통","검토필요")))</x:f>
        <x:v>검토필요</x:v>
      </x:c>
      <x:c r="Y972" s="9" t="n">
        <x:f>IF(Q972="전설",8,IF(Q972="희귀",7,IF(J972="기본",1,IF(J972="중간",3,IF(J972="최종",IF(I972="",5,IF(I972&lt;=20,3,IF(I972&lt;=35,4,IF(I972&lt;=50,6,7)))),IF(Q972="드묾",4,2))))))</x:f>
        <x:v>2</x:v>
      </x:c>
      <x:c r="Z972" s="5" t="inlineStr">
        <x:is>
          <x:t xml:space="preserve">#cobblemon:is_badlands; #cobblemon:is_desert; #cobblemon:is_overworld; #cobblemon:nether/is_desert</x:t>
        </x:is>
      </x:c>
      <x:c r="AA972" s="5" t="inlineStr">
        <x:is>
          <x:t xml:space="preserve">common; uncommon</x:t>
        </x:is>
      </x:c>
      <x:c r="AB972" s="5" t="inlineStr">
        <x:is>
          <x:t xml:space="preserve">예</x:t>
        </x:is>
      </x:c>
      <x:c r="AC972" s="8" t="str">
        <x:f>IF(T972&lt;&gt;"","수동확정",IF(X972="검토필요","검토필요",IF(S972="","원본없음","초기완료")))</x:f>
        <x:v>검토필요</x:v>
      </x:c>
      <x:c r="AD972" s="7" t="inlineStr">
        <x:is>
          <x:t xml:space="preserve"/>
        </x:is>
      </x:c>
      <x:c r="AE972" s="5" t="inlineStr">
        <x:is>
          <x:t xml:space="preserve">.tmp/cobblemon-1.7.3-source/common/src/main/resources/data/cobblemon/species/generation9/orthworm.json</x:t>
        </x:is>
      </x:c>
      <x:c r="AF972" s="5" t="str">
        <x:f>"생활권|"&amp;K972</x:f>
        <x:v>생활권|육상</x:v>
      </x:c>
      <x:c r="AG972" s="5" t="str">
        <x:f>"지형|"&amp;L972</x:f>
        <x:v>지형|건조</x:v>
      </x:c>
      <x:c r="AH972" s="5" t="str">
        <x:f>"온도|"&amp;M972</x:f>
        <x:v>온도|고온</x:v>
      </x:c>
      <x:c r="AI972" s="5" t="str">
        <x:f>"습도|"&amp;N972</x:f>
        <x:v>습도|건조</x:v>
      </x:c>
      <x:c r="AJ972" s="5" t="str">
        <x:f>"날씨|"&amp;O972</x:f>
        <x:v>날씨|맑음</x:v>
      </x:c>
      <x:c r="AK972" s="5" t="str">
        <x:f>"특수태그|"&amp;R972</x:f>
        <x:v>특수태그|없음</x:v>
      </x:c>
      <x:c r="AL972" s="5" t="str">
        <x:f>"원본서식지|"&amp;S972</x:f>
        <x:v>원본서식지|건조지</x:v>
      </x:c>
      <x:c r="AM972" s="5" t="str">
        <x:f>"타입|"&amp;F972</x:f>
        <x:v>타입|강철</x:v>
      </x:c>
      <x:c r="AN972" s="5" t="str">
        <x:f>"타입|"&amp;G972</x:f>
        <x:v>타입|</x:v>
      </x:c>
    </x:row>
    <x:row r="973" ht="24" customHeight="1">
      <x:c r="A973" s="5" t="n">
        <x:v>969</x:v>
      </x:c>
      <x:c r="B973" s="5" t="inlineStr">
        <x:is>
          <x:t xml:space="preserve">초롱순</x:t>
        </x:is>
      </x:c>
      <x:c r="C973" s="5" t="inlineStr">
        <x:is>
          <x:t xml:space="preserve">glimmet</x:t>
        </x:is>
      </x:c>
      <x:c r="D973" s="5" t="inlineStr">
        <x:is>
          <x:t xml:space="preserve">Glimmet</x:t>
        </x:is>
      </x:c>
      <x:c r="E973" s="5" t="n">
        <x:v>9</x:v>
      </x:c>
      <x:c r="F973" s="5" t="inlineStr">
        <x:is>
          <x:t xml:space="preserve">바위</x:t>
        </x:is>
      </x:c>
      <x:c r="G973" s="5" t="inlineStr">
        <x:is>
          <x:t xml:space="preserve">독</x:t>
        </x:is>
      </x:c>
      <x:c r="H973" s="6" t="n">
        <x:v>8</x:v>
      </x:c>
      <x:c r="I973" s="5" t="n">
        <x:v>35</x:v>
      </x:c>
      <x:c r="J973" s="5" t="inlineStr">
        <x:is>
          <x:t xml:space="preserve">기본</x:t>
        </x:is>
      </x:c>
      <x:c r="K973" s="7" t="inlineStr">
        <x:is>
          <x:t xml:space="preserve">비행</x:t>
        </x:is>
      </x:c>
      <x:c r="L973" s="7" t="inlineStr">
        <x:is>
          <x:t xml:space="preserve">화산</x:t>
        </x:is>
      </x:c>
      <x:c r="M973" s="7" t="inlineStr">
        <x:is>
          <x:t xml:space="preserve">고온</x:t>
        </x:is>
      </x:c>
      <x:c r="N973" s="7" t="inlineStr">
        <x:is>
          <x:t xml:space="preserve">건조</x:t>
        </x:is>
      </x:c>
      <x:c r="O973" s="7" t="inlineStr">
        <x:is>
          <x:t xml:space="preserve">맑음</x:t>
        </x:is>
      </x:c>
      <x:c r="P973" s="7" t="inlineStr">
        <x:is>
          <x:t xml:space="preserve">무관</x:t>
        </x:is>
      </x:c>
      <x:c r="Q973" s="7" t="inlineStr">
        <x:is>
          <x:t xml:space="preserve">흔함</x:t>
        </x:is>
      </x:c>
      <x:c r="R973" s="7" t="inlineStr">
        <x:is>
          <x:t xml:space="preserve">화산</x:t>
        </x:is>
      </x:c>
      <x:c r="S973" s="7" t="inlineStr">
        <x:is>
          <x:t xml:space="preserve">화산</x:t>
        </x:is>
      </x:c>
      <x:c r="T973" s="7" t="inlineStr">
        <x:is>
          <x:t xml:space="preserve"/>
        </x:is>
      </x:c>
      <x:c r="U973" s="8" t="str">
        <x:f>INDEX('서식지_점수'!$E$4:$P$4,1,MATCH(MAX('서식지_점수'!E973:P973),'서식지_점수'!E973:P973,0))</x:f>
        <x:v>산악</x:v>
      </x:c>
      <x:c r="V973" s="8" t="str">
        <x:f>IF(T973&lt;&gt;"",T973,U973)</x:f>
        <x:v>산악</x:v>
      </x:c>
      <x:c r="W973" s="8" t="str">
        <x:f>IFERROR(INDEX('서식지_점수'!$E$4:$P$4,1,MATCH(MAXIFS('서식지_점수'!E973:P973,'서식지_점수'!E973:P973,"&lt;"&amp;MAX('서식지_점수'!E973:P973)),'서식지_점수'!E973:P973,0)),"")</x:f>
        <x:v>평원</x:v>
      </x:c>
      <x:c r="X973" s="8" t="str">
        <x:f>IF(T973&lt;&gt;"","수동확정",IF(MAX('서식지_점수'!E973:P973)-LARGE('서식지_점수'!E973:P973,2)&gt;=15,"높음",IF(MAX('서식지_점수'!E973:P973)-LARGE('서식지_점수'!E973:P973,2)&gt;=8,"보통","검토필요")))</x:f>
        <x:v>검토필요</x:v>
      </x:c>
      <x:c r="Y973" s="9" t="n">
        <x:f>IF(Q973="전설",8,IF(Q973="희귀",7,IF(J973="기본",1,IF(J973="중간",3,IF(J973="최종",IF(I973="",5,IF(I973&lt;=20,3,IF(I973&lt;=35,4,IF(I973&lt;=50,6,7)))),IF(Q973="드묾",4,2))))))</x:f>
        <x:v>1</x:v>
      </x:c>
      <x:c r="Z973" s="5" t="inlineStr">
        <x:is>
          <x:t xml:space="preserve">#cobblemon:is_overworld; #cobblemon:nether/is_quartz; biomesoplenty:crystalline_chasm; the_bumblezone:crystal_canyon</x:t>
        </x:is>
      </x:c>
      <x:c r="AA973" s="5" t="inlineStr">
        <x:is>
          <x:t xml:space="preserve">common</x:t>
        </x:is>
      </x:c>
      <x:c r="AB973" s="5" t="inlineStr">
        <x:is>
          <x:t xml:space="preserve">예</x:t>
        </x:is>
      </x:c>
      <x:c r="AC973" s="8" t="str">
        <x:f>IF(T973&lt;&gt;"","수동확정",IF(X973="검토필요","검토필요",IF(S973="","원본없음","초기완료")))</x:f>
        <x:v>검토필요</x:v>
      </x:c>
      <x:c r="AD973" s="7" t="inlineStr">
        <x:is>
          <x:t xml:space="preserve"/>
        </x:is>
      </x:c>
      <x:c r="AE973" s="5" t="inlineStr">
        <x:is>
          <x:t xml:space="preserve">.tmp/cobblemon-1.7.3-source/common/src/main/resources/data/cobblemon/species/generation9/glimmet.json</x:t>
        </x:is>
      </x:c>
      <x:c r="AF973" s="5" t="str">
        <x:f>"생활권|"&amp;K973</x:f>
        <x:v>생활권|비행</x:v>
      </x:c>
      <x:c r="AG973" s="5" t="str">
        <x:f>"지형|"&amp;L973</x:f>
        <x:v>지형|화산</x:v>
      </x:c>
      <x:c r="AH973" s="5" t="str">
        <x:f>"온도|"&amp;M973</x:f>
        <x:v>온도|고온</x:v>
      </x:c>
      <x:c r="AI973" s="5" t="str">
        <x:f>"습도|"&amp;N973</x:f>
        <x:v>습도|건조</x:v>
      </x:c>
      <x:c r="AJ973" s="5" t="str">
        <x:f>"날씨|"&amp;O973</x:f>
        <x:v>날씨|맑음</x:v>
      </x:c>
      <x:c r="AK973" s="5" t="str">
        <x:f>"특수태그|"&amp;R973</x:f>
        <x:v>특수태그|화산</x:v>
      </x:c>
      <x:c r="AL973" s="5" t="str">
        <x:f>"원본서식지|"&amp;S973</x:f>
        <x:v>원본서식지|화산</x:v>
      </x:c>
      <x:c r="AM973" s="5" t="str">
        <x:f>"타입|"&amp;F973</x:f>
        <x:v>타입|바위</x:v>
      </x:c>
      <x:c r="AN973" s="5" t="str">
        <x:f>"타입|"&amp;G973</x:f>
        <x:v>타입|독</x:v>
      </x:c>
    </x:row>
    <x:row r="974" ht="24" customHeight="1">
      <x:c r="A974" s="5" t="n">
        <x:v>970</x:v>
      </x:c>
      <x:c r="B974" s="5" t="inlineStr">
        <x:is>
          <x:t xml:space="preserve">킬라플로르</x:t>
        </x:is>
      </x:c>
      <x:c r="C974" s="5" t="inlineStr">
        <x:is>
          <x:t xml:space="preserve">glimmora</x:t>
        </x:is>
      </x:c>
      <x:c r="D974" s="5" t="inlineStr">
        <x:is>
          <x:t xml:space="preserve">Glimmora</x:t>
        </x:is>
      </x:c>
      <x:c r="E974" s="5" t="n">
        <x:v>9</x:v>
      </x:c>
      <x:c r="F974" s="5" t="inlineStr">
        <x:is>
          <x:t xml:space="preserve">바위</x:t>
        </x:is>
      </x:c>
      <x:c r="G974" s="5" t="inlineStr">
        <x:is>
          <x:t xml:space="preserve">독</x:t>
        </x:is>
      </x:c>
      <x:c r="H974" s="6" t="n">
        <x:v>45</x:v>
      </x:c>
      <x:c r="I974" s="5" t="n">
        <x:v>35</x:v>
      </x:c>
      <x:c r="J974" s="5" t="inlineStr">
        <x:is>
          <x:t xml:space="preserve">최종</x:t>
        </x:is>
      </x:c>
      <x:c r="K974" s="7" t="inlineStr">
        <x:is>
          <x:t xml:space="preserve">비행</x:t>
        </x:is>
      </x:c>
      <x:c r="L974" s="7" t="inlineStr">
        <x:is>
          <x:t xml:space="preserve">화산</x:t>
        </x:is>
      </x:c>
      <x:c r="M974" s="7" t="inlineStr">
        <x:is>
          <x:t xml:space="preserve">고온</x:t>
        </x:is>
      </x:c>
      <x:c r="N974" s="7" t="inlineStr">
        <x:is>
          <x:t xml:space="preserve">건조</x:t>
        </x:is>
      </x:c>
      <x:c r="O974" s="7" t="inlineStr">
        <x:is>
          <x:t xml:space="preserve">맑음</x:t>
        </x:is>
      </x:c>
      <x:c r="P974" s="7" t="inlineStr">
        <x:is>
          <x:t xml:space="preserve">무관</x:t>
        </x:is>
      </x:c>
      <x:c r="Q974" s="7" t="inlineStr">
        <x:is>
          <x:t xml:space="preserve">흔함</x:t>
        </x:is>
      </x:c>
      <x:c r="R974" s="7" t="inlineStr">
        <x:is>
          <x:t xml:space="preserve">화산</x:t>
        </x:is>
      </x:c>
      <x:c r="S974" s="7" t="inlineStr">
        <x:is>
          <x:t xml:space="preserve">화산</x:t>
        </x:is>
      </x:c>
      <x:c r="T974" s="7" t="inlineStr">
        <x:is>
          <x:t xml:space="preserve"/>
        </x:is>
      </x:c>
      <x:c r="U974" s="8" t="str">
        <x:f>INDEX('서식지_점수'!$E$4:$P$4,1,MATCH(MAX('서식지_점수'!E974:P974),'서식지_점수'!E974:P974,0))</x:f>
        <x:v>산악</x:v>
      </x:c>
      <x:c r="V974" s="8" t="str">
        <x:f>IF(T974&lt;&gt;"",T974,U974)</x:f>
        <x:v>산악</x:v>
      </x:c>
      <x:c r="W974" s="8" t="str">
        <x:f>IFERROR(INDEX('서식지_점수'!$E$4:$P$4,1,MATCH(MAXIFS('서식지_점수'!E974:P974,'서식지_점수'!E974:P974,"&lt;"&amp;MAX('서식지_점수'!E974:P974)),'서식지_점수'!E974:P974,0)),"")</x:f>
        <x:v>평원</x:v>
      </x:c>
      <x:c r="X974" s="8" t="str">
        <x:f>IF(T974&lt;&gt;"","수동확정",IF(MAX('서식지_점수'!E974:P974)-LARGE('서식지_점수'!E974:P974,2)&gt;=15,"높음",IF(MAX('서식지_점수'!E974:P974)-LARGE('서식지_점수'!E974:P974,2)&gt;=8,"보통","검토필요")))</x:f>
        <x:v>검토필요</x:v>
      </x:c>
      <x:c r="Y974" s="9" t="n">
        <x:f>IF(Q974="전설",8,IF(Q974="희귀",7,IF(J974="기본",1,IF(J974="중간",3,IF(J974="최종",IF(I974="",5,IF(I974&lt;=20,3,IF(I974&lt;=35,4,IF(I974&lt;=50,6,7)))),IF(Q974="드묾",4,2))))))</x:f>
        <x:v>4</x:v>
      </x:c>
      <x:c r="Z974" s="5" t="inlineStr">
        <x:is>
          <x:t xml:space="preserve">#cobblemon:is_overworld; #cobblemon:nether/is_quartz; biomesoplenty:crystalline_chasm; the_bumblezone:crystal_canyon</x:t>
        </x:is>
      </x:c>
      <x:c r="AA974" s="5" t="inlineStr">
        <x:is>
          <x:t xml:space="preserve">common</x:t>
        </x:is>
      </x:c>
      <x:c r="AB974" s="5" t="inlineStr">
        <x:is>
          <x:t xml:space="preserve">예</x:t>
        </x:is>
      </x:c>
      <x:c r="AC974" s="8" t="str">
        <x:f>IF(T974&lt;&gt;"","수동확정",IF(X974="검토필요","검토필요",IF(S974="","원본없음","초기완료")))</x:f>
        <x:v>검토필요</x:v>
      </x:c>
      <x:c r="AD974" s="7" t="inlineStr">
        <x:is>
          <x:t xml:space="preserve"/>
        </x:is>
      </x:c>
      <x:c r="AE974" s="5" t="inlineStr">
        <x:is>
          <x:t xml:space="preserve">.tmp/cobblemon-1.7.3-source/common/src/main/resources/data/cobblemon/species/generation9/glimmora.json</x:t>
        </x:is>
      </x:c>
      <x:c r="AF974" s="5" t="str">
        <x:f>"생활권|"&amp;K974</x:f>
        <x:v>생활권|비행</x:v>
      </x:c>
      <x:c r="AG974" s="5" t="str">
        <x:f>"지형|"&amp;L974</x:f>
        <x:v>지형|화산</x:v>
      </x:c>
      <x:c r="AH974" s="5" t="str">
        <x:f>"온도|"&amp;M974</x:f>
        <x:v>온도|고온</x:v>
      </x:c>
      <x:c r="AI974" s="5" t="str">
        <x:f>"습도|"&amp;N974</x:f>
        <x:v>습도|건조</x:v>
      </x:c>
      <x:c r="AJ974" s="5" t="str">
        <x:f>"날씨|"&amp;O974</x:f>
        <x:v>날씨|맑음</x:v>
      </x:c>
      <x:c r="AK974" s="5" t="str">
        <x:f>"특수태그|"&amp;R974</x:f>
        <x:v>특수태그|화산</x:v>
      </x:c>
      <x:c r="AL974" s="5" t="str">
        <x:f>"원본서식지|"&amp;S974</x:f>
        <x:v>원본서식지|화산</x:v>
      </x:c>
      <x:c r="AM974" s="5" t="str">
        <x:f>"타입|"&amp;F974</x:f>
        <x:v>타입|바위</x:v>
      </x:c>
      <x:c r="AN974" s="5" t="str">
        <x:f>"타입|"&amp;G974</x:f>
        <x:v>타입|독</x:v>
      </x:c>
    </x:row>
    <x:row r="975" ht="24" customHeight="1">
      <x:c r="A975" s="5" t="n">
        <x:v>971</x:v>
      </x:c>
      <x:c r="B975" s="5" t="inlineStr">
        <x:is>
          <x:t xml:space="preserve">망망이</x:t>
        </x:is>
      </x:c>
      <x:c r="C975" s="5" t="inlineStr">
        <x:is>
          <x:t xml:space="preserve">greavard</x:t>
        </x:is>
      </x:c>
      <x:c r="D975" s="5" t="inlineStr">
        <x:is>
          <x:t xml:space="preserve">Greavard</x:t>
        </x:is>
      </x:c>
      <x:c r="E975" s="5" t="n">
        <x:v>9</x:v>
      </x:c>
      <x:c r="F975" s="5" t="inlineStr">
        <x:is>
          <x:t xml:space="preserve">고스트</x:t>
        </x:is>
      </x:c>
      <x:c r="G975" s="5" t="inlineStr">
        <x:is>
          <x:t xml:space="preserve"/>
        </x:is>
      </x:c>
      <x:c r="H975" s="6" t="n">
        <x:v>35</x:v>
      </x:c>
      <x:c r="I975" s="5" t="n">
        <x:v>30</x:v>
      </x:c>
      <x:c r="J975" s="5" t="inlineStr">
        <x:is>
          <x:t xml:space="preserve">기본</x:t>
        </x:is>
      </x:c>
      <x:c r="K975" s="7" t="inlineStr">
        <x:is>
          <x:t xml:space="preserve">영체</x:t>
        </x:is>
      </x:c>
      <x:c r="L975" s="7" t="inlineStr">
        <x:is>
          <x:t xml:space="preserve">특수</x:t>
        </x:is>
      </x:c>
      <x:c r="M975" s="7" t="inlineStr">
        <x:is>
          <x:t xml:space="preserve">온대</x:t>
        </x:is>
      </x:c>
      <x:c r="N975" s="7" t="inlineStr">
        <x:is>
          <x:t xml:space="preserve">보통</x:t>
        </x:is>
      </x:c>
      <x:c r="O975" s="7" t="inlineStr">
        <x:is>
          <x:t xml:space="preserve">안개</x:t>
        </x:is>
      </x:c>
      <x:c r="P975" s="7" t="inlineStr">
        <x:is>
          <x:t xml:space="preserve">밤</x:t>
        </x:is>
      </x:c>
      <x:c r="Q975" s="7" t="inlineStr">
        <x:is>
          <x:t xml:space="preserve">드묾</x:t>
        </x:is>
      </x:c>
      <x:c r="R975" s="7" t="inlineStr">
        <x:is>
          <x:t xml:space="preserve">영체</x:t>
        </x:is>
      </x:c>
      <x:c r="S975" s="7" t="inlineStr">
        <x:is>
          <x:t xml:space="preserve">특수</x:t>
        </x:is>
      </x:c>
      <x:c r="T975" s="7" t="inlineStr">
        <x:is>
          <x:t xml:space="preserve"/>
        </x:is>
      </x:c>
      <x:c r="U975" s="8" t="str">
        <x:f>INDEX('서식지_점수'!$E$4:$P$4,1,MATCH(MAX('서식지_점수'!E975:P975),'서식지_점수'!E975:P975,0))</x:f>
        <x:v>특수</x:v>
      </x:c>
      <x:c r="V975" s="8" t="str">
        <x:f>IF(T975&lt;&gt;"",T975,U975)</x:f>
        <x:v>특수</x:v>
      </x:c>
      <x:c r="W975" s="8" t="str">
        <x:f>IFERROR(INDEX('서식지_점수'!$E$4:$P$4,1,MATCH(MAXIFS('서식지_점수'!E975:P975,'서식지_점수'!E975:P975,"&lt;"&amp;MAX('서식지_점수'!E975:P975)),'서식지_점수'!E975:P975,0)),"")</x:f>
        <x:v>동굴</x:v>
      </x:c>
      <x:c r="X975" s="8" t="str">
        <x:f>IF(T975&lt;&gt;"","수동확정",IF(MAX('서식지_점수'!E975:P975)-LARGE('서식지_점수'!E975:P975,2)&gt;=15,"높음",IF(MAX('서식지_점수'!E975:P975)-LARGE('서식지_점수'!E975:P975,2)&gt;=8,"보통","검토필요")))</x:f>
        <x:v>높음</x:v>
      </x:c>
      <x:c r="Y975" s="9" t="n">
        <x:f>IF(Q975="전설",8,IF(Q975="희귀",7,IF(J975="기본",1,IF(J975="중간",3,IF(J975="최종",IF(I975="",5,IF(I975&lt;=20,3,IF(I975&lt;=35,4,IF(I975&lt;=50,6,7)))),IF(Q975="드묾",4,2))))))</x:f>
        <x:v>1</x:v>
      </x:c>
      <x:c r="Z975" s="5" t="inlineStr">
        <x:is>
          <x:t xml:space="preserve">#cobblemon:is_spooky; minecraft:dark_forest</x:t>
        </x:is>
      </x:c>
      <x:c r="AA975" s="5" t="inlineStr">
        <x:is>
          <x:t xml:space="preserve">rare</x:t>
        </x:is>
      </x:c>
      <x:c r="AB975" s="5" t="inlineStr">
        <x:is>
          <x:t xml:space="preserve">아니오</x:t>
        </x:is>
      </x:c>
      <x:c r="AC975" s="8" t="str">
        <x:f>IF(T975&lt;&gt;"","수동확정",IF(X975="검토필요","검토필요",IF(S975="","원본없음","초기완료")))</x:f>
        <x:v>초기완료</x:v>
      </x:c>
      <x:c r="AD975" s="7" t="inlineStr">
        <x:is>
          <x:t xml:space="preserve"/>
        </x:is>
      </x:c>
      <x:c r="AE975" s="5" t="inlineStr">
        <x:is>
          <x:t xml:space="preserve">.tmp/cobblemon-1.7.3-source/common/src/main/resources/data/cobblemon/species/generation9/greavard.json</x:t>
        </x:is>
      </x:c>
      <x:c r="AF975" s="5" t="str">
        <x:f>"생활권|"&amp;K975</x:f>
        <x:v>생활권|영체</x:v>
      </x:c>
      <x:c r="AG975" s="5" t="str">
        <x:f>"지형|"&amp;L975</x:f>
        <x:v>지형|특수</x:v>
      </x:c>
      <x:c r="AH975" s="5" t="str">
        <x:f>"온도|"&amp;M975</x:f>
        <x:v>온도|온대</x:v>
      </x:c>
      <x:c r="AI975" s="5" t="str">
        <x:f>"습도|"&amp;N975</x:f>
        <x:v>습도|보통</x:v>
      </x:c>
      <x:c r="AJ975" s="5" t="str">
        <x:f>"날씨|"&amp;O975</x:f>
        <x:v>날씨|안개</x:v>
      </x:c>
      <x:c r="AK975" s="5" t="str">
        <x:f>"특수태그|"&amp;R975</x:f>
        <x:v>특수태그|영체</x:v>
      </x:c>
      <x:c r="AL975" s="5" t="str">
        <x:f>"원본서식지|"&amp;S975</x:f>
        <x:v>원본서식지|특수</x:v>
      </x:c>
      <x:c r="AM975" s="5" t="str">
        <x:f>"타입|"&amp;F975</x:f>
        <x:v>타입|고스트</x:v>
      </x:c>
      <x:c r="AN975" s="5" t="str">
        <x:f>"타입|"&amp;G975</x:f>
        <x:v>타입|</x:v>
      </x:c>
    </x:row>
    <x:row r="976" ht="24" customHeight="1">
      <x:c r="A976" s="5" t="n">
        <x:v>972</x:v>
      </x:c>
      <x:c r="B976" s="5" t="inlineStr">
        <x:is>
          <x:t xml:space="preserve">묘두기</x:t>
        </x:is>
      </x:c>
      <x:c r="C976" s="5" t="inlineStr">
        <x:is>
          <x:t xml:space="preserve">houndstone</x:t>
        </x:is>
      </x:c>
      <x:c r="D976" s="5" t="inlineStr">
        <x:is>
          <x:t xml:space="preserve">Houndstone</x:t>
        </x:is>
      </x:c>
      <x:c r="E976" s="5" t="n">
        <x:v>9</x:v>
      </x:c>
      <x:c r="F976" s="5" t="inlineStr">
        <x:is>
          <x:t xml:space="preserve">고스트</x:t>
        </x:is>
      </x:c>
      <x:c r="G976" s="5" t="inlineStr">
        <x:is>
          <x:t xml:space="preserve"/>
        </x:is>
      </x:c>
      <x:c r="H976" s="6" t="n">
        <x:v>15</x:v>
      </x:c>
      <x:c r="I976" s="5" t="n">
        <x:v>30</x:v>
      </x:c>
      <x:c r="J976" s="5" t="inlineStr">
        <x:is>
          <x:t xml:space="preserve">최종</x:t>
        </x:is>
      </x:c>
      <x:c r="K976" s="7" t="inlineStr">
        <x:is>
          <x:t xml:space="preserve">영체</x:t>
        </x:is>
      </x:c>
      <x:c r="L976" s="7" t="inlineStr">
        <x:is>
          <x:t xml:space="preserve">특수</x:t>
        </x:is>
      </x:c>
      <x:c r="M976" s="7" t="inlineStr">
        <x:is>
          <x:t xml:space="preserve">온대</x:t>
        </x:is>
      </x:c>
      <x:c r="N976" s="7" t="inlineStr">
        <x:is>
          <x:t xml:space="preserve">보통</x:t>
        </x:is>
      </x:c>
      <x:c r="O976" s="7" t="inlineStr">
        <x:is>
          <x:t xml:space="preserve">안개</x:t>
        </x:is>
      </x:c>
      <x:c r="P976" s="7" t="inlineStr">
        <x:is>
          <x:t xml:space="preserve">밤</x:t>
        </x:is>
      </x:c>
      <x:c r="Q976" s="7" t="inlineStr">
        <x:is>
          <x:t xml:space="preserve">드묾</x:t>
        </x:is>
      </x:c>
      <x:c r="R976" s="7" t="inlineStr">
        <x:is>
          <x:t xml:space="preserve">영체</x:t>
        </x:is>
      </x:c>
      <x:c r="S976" s="7" t="inlineStr">
        <x:is>
          <x:t xml:space="preserve">특수</x:t>
        </x:is>
      </x:c>
      <x:c r="T976" s="7" t="inlineStr">
        <x:is>
          <x:t xml:space="preserve"/>
        </x:is>
      </x:c>
      <x:c r="U976" s="8" t="str">
        <x:f>INDEX('서식지_점수'!$E$4:$P$4,1,MATCH(MAX('서식지_점수'!E976:P976),'서식지_점수'!E976:P976,0))</x:f>
        <x:v>특수</x:v>
      </x:c>
      <x:c r="V976" s="8" t="str">
        <x:f>IF(T976&lt;&gt;"",T976,U976)</x:f>
        <x:v>특수</x:v>
      </x:c>
      <x:c r="W976" s="8" t="str">
        <x:f>IFERROR(INDEX('서식지_점수'!$E$4:$P$4,1,MATCH(MAXIFS('서식지_점수'!E976:P976,'서식지_점수'!E976:P976,"&lt;"&amp;MAX('서식지_점수'!E976:P976)),'서식지_점수'!E976:P976,0)),"")</x:f>
        <x:v>동굴</x:v>
      </x:c>
      <x:c r="X976" s="8" t="str">
        <x:f>IF(T976&lt;&gt;"","수동확정",IF(MAX('서식지_점수'!E976:P976)-LARGE('서식지_점수'!E976:P976,2)&gt;=15,"높음",IF(MAX('서식지_점수'!E976:P976)-LARGE('서식지_점수'!E976:P976,2)&gt;=8,"보통","검토필요")))</x:f>
        <x:v>높음</x:v>
      </x:c>
      <x:c r="Y976" s="9" t="n">
        <x:f>IF(Q976="전설",8,IF(Q976="희귀",7,IF(J976="기본",1,IF(J976="중간",3,IF(J976="최종",IF(I976="",5,IF(I976&lt;=20,3,IF(I976&lt;=35,4,IF(I976&lt;=50,6,7)))),IF(Q976="드묾",4,2))))))</x:f>
        <x:v>4</x:v>
      </x:c>
      <x:c r="Z976" s="5" t="inlineStr">
        <x:is>
          <x:t xml:space="preserve">#cobblemon:is_spooky; minecraft:dark_forest</x:t>
        </x:is>
      </x:c>
      <x:c r="AA976" s="5" t="inlineStr">
        <x:is>
          <x:t xml:space="preserve">rare</x:t>
        </x:is>
      </x:c>
      <x:c r="AB976" s="5" t="inlineStr">
        <x:is>
          <x:t xml:space="preserve">아니오</x:t>
        </x:is>
      </x:c>
      <x:c r="AC976" s="8" t="str">
        <x:f>IF(T976&lt;&gt;"","수동확정",IF(X976="검토필요","검토필요",IF(S976="","원본없음","초기완료")))</x:f>
        <x:v>초기완료</x:v>
      </x:c>
      <x:c r="AD976" s="7" t="inlineStr">
        <x:is>
          <x:t xml:space="preserve"/>
        </x:is>
      </x:c>
      <x:c r="AE976" s="5" t="inlineStr">
        <x:is>
          <x:t xml:space="preserve">.tmp/cobblemon-1.7.3-source/common/src/main/resources/data/cobblemon/species/generation9/houndstone.json</x:t>
        </x:is>
      </x:c>
      <x:c r="AF976" s="5" t="str">
        <x:f>"생활권|"&amp;K976</x:f>
        <x:v>생활권|영체</x:v>
      </x:c>
      <x:c r="AG976" s="5" t="str">
        <x:f>"지형|"&amp;L976</x:f>
        <x:v>지형|특수</x:v>
      </x:c>
      <x:c r="AH976" s="5" t="str">
        <x:f>"온도|"&amp;M976</x:f>
        <x:v>온도|온대</x:v>
      </x:c>
      <x:c r="AI976" s="5" t="str">
        <x:f>"습도|"&amp;N976</x:f>
        <x:v>습도|보통</x:v>
      </x:c>
      <x:c r="AJ976" s="5" t="str">
        <x:f>"날씨|"&amp;O976</x:f>
        <x:v>날씨|안개</x:v>
      </x:c>
      <x:c r="AK976" s="5" t="str">
        <x:f>"특수태그|"&amp;R976</x:f>
        <x:v>특수태그|영체</x:v>
      </x:c>
      <x:c r="AL976" s="5" t="str">
        <x:f>"원본서식지|"&amp;S976</x:f>
        <x:v>원본서식지|특수</x:v>
      </x:c>
      <x:c r="AM976" s="5" t="str">
        <x:f>"타입|"&amp;F976</x:f>
        <x:v>타입|고스트</x:v>
      </x:c>
      <x:c r="AN976" s="5" t="str">
        <x:f>"타입|"&amp;G976</x:f>
        <x:v>타입|</x:v>
      </x:c>
    </x:row>
    <x:row r="977" ht="24" customHeight="1">
      <x:c r="A977" s="5" t="n">
        <x:v>973</x:v>
      </x:c>
      <x:c r="B977" s="5" t="inlineStr">
        <x:is>
          <x:t xml:space="preserve">꼬이밍고</x:t>
        </x:is>
      </x:c>
      <x:c r="C977" s="5" t="inlineStr">
        <x:is>
          <x:t xml:space="preserve">flamigo</x:t>
        </x:is>
      </x:c>
      <x:c r="D977" s="5" t="inlineStr">
        <x:is>
          <x:t xml:space="preserve">Flamigo</x:t>
        </x:is>
      </x:c>
      <x:c r="E977" s="5" t="n">
        <x:v>9</x:v>
      </x:c>
      <x:c r="F977" s="5" t="inlineStr">
        <x:is>
          <x:t xml:space="preserve">비행</x:t>
        </x:is>
      </x:c>
      <x:c r="G977" s="5" t="inlineStr">
        <x:is>
          <x:t xml:space="preserve">격투</x:t>
        </x:is>
      </x:c>
      <x:c r="H977" s="6" t="n">
        <x:v>37</x:v>
      </x:c>
      <x:c r="I977" s="5" t="n"/>
      <x:c r="J977" s="5" t="inlineStr">
        <x:is>
          <x:t xml:space="preserve">무진화</x:t>
        </x:is>
      </x:c>
      <x:c r="K977" s="7" t="inlineStr">
        <x:is>
          <x:t xml:space="preserve">비행</x:t>
        </x:is>
      </x:c>
      <x:c r="L977" s="7" t="inlineStr">
        <x:is>
          <x:t xml:space="preserve">습지</x:t>
        </x:is>
      </x:c>
      <x:c r="M977" s="7" t="inlineStr">
        <x:is>
          <x:t xml:space="preserve">온대</x:t>
        </x:is>
      </x:c>
      <x:c r="N977" s="7" t="inlineStr">
        <x:is>
          <x:t xml:space="preserve">다습</x:t>
        </x:is>
      </x:c>
      <x:c r="O977" s="7" t="inlineStr">
        <x:is>
          <x:t xml:space="preserve">비</x:t>
        </x:is>
      </x:c>
      <x:c r="P977" s="7" t="inlineStr">
        <x:is>
          <x:t xml:space="preserve">낮</x:t>
        </x:is>
      </x:c>
      <x:c r="Q977" s="7" t="inlineStr">
        <x:is>
          <x:t xml:space="preserve">보통</x:t>
        </x:is>
      </x:c>
      <x:c r="R977" s="7" t="inlineStr">
        <x:is>
          <x:t xml:space="preserve">없음</x:t>
        </x:is>
      </x:c>
      <x:c r="S977" s="7" t="inlineStr">
        <x:is>
          <x:t xml:space="preserve">습지</x:t>
        </x:is>
      </x:c>
      <x:c r="T977" s="7" t="inlineStr">
        <x:is>
          <x:t xml:space="preserve"/>
        </x:is>
      </x:c>
      <x:c r="U977" s="8" t="str">
        <x:f>INDEX('서식지_점수'!$E$4:$P$4,1,MATCH(MAX('서식지_점수'!E977:P977),'서식지_점수'!E977:P977,0))</x:f>
        <x:v>산악</x:v>
      </x:c>
      <x:c r="V977" s="8" t="str">
        <x:f>IF(T977&lt;&gt;"",T977,U977)</x:f>
        <x:v>산악</x:v>
      </x:c>
      <x:c r="W977" s="8" t="str">
        <x:f>IFERROR(INDEX('서식지_점수'!$E$4:$P$4,1,MATCH(MAXIFS('서식지_점수'!E977:P977,'서식지_점수'!E977:P977,"&lt;"&amp;MAX('서식지_점수'!E977:P977)),'서식지_점수'!E977:P977,0)),"")</x:f>
        <x:v>평원</x:v>
      </x:c>
      <x:c r="X977" s="8" t="str">
        <x:f>IF(T977&lt;&gt;"","수동확정",IF(MAX('서식지_점수'!E977:P977)-LARGE('서식지_점수'!E977:P977,2)&gt;=15,"높음",IF(MAX('서식지_점수'!E977:P977)-LARGE('서식지_점수'!E977:P977,2)&gt;=8,"보통","검토필요")))</x:f>
        <x:v>검토필요</x:v>
      </x:c>
      <x:c r="Y977" s="9" t="n">
        <x:f>IF(Q977="전설",8,IF(Q977="희귀",7,IF(J977="기본",1,IF(J977="중간",3,IF(J977="최종",IF(I977="",5,IF(I977&lt;=20,3,IF(I977&lt;=35,4,IF(I977&lt;=50,6,7)))),IF(Q977="드묾",4,2))))))</x:f>
        <x:v>2</x:v>
      </x:c>
      <x:c r="Z977" s="5" t="inlineStr">
        <x:is>
          <x:t xml:space="preserve">#aether:is_aether; #cobblemon:is_jungle; #cobblemon:is_savanna; #cobblemon:is_swamp; #cobblemon:is_tropical_island</x:t>
        </x:is>
      </x:c>
      <x:c r="AA977" s="5" t="inlineStr">
        <x:is>
          <x:t xml:space="preserve">common; uncommon</x:t>
        </x:is>
      </x:c>
      <x:c r="AB977" s="5" t="inlineStr">
        <x:is>
          <x:t xml:space="preserve">예</x:t>
        </x:is>
      </x:c>
      <x:c r="AC977" s="8" t="str">
        <x:f>IF(T977&lt;&gt;"","수동확정",IF(X977="검토필요","검토필요",IF(S977="","원본없음","초기완료")))</x:f>
        <x:v>검토필요</x:v>
      </x:c>
      <x:c r="AD977" s="7" t="inlineStr">
        <x:is>
          <x:t xml:space="preserve"/>
        </x:is>
      </x:c>
      <x:c r="AE977" s="5" t="inlineStr">
        <x:is>
          <x:t xml:space="preserve">.tmp/cobblemon-1.7.3-source/common/src/main/resources/data/cobblemon/species/generation9/flamigo.json</x:t>
        </x:is>
      </x:c>
      <x:c r="AF977" s="5" t="str">
        <x:f>"생활권|"&amp;K977</x:f>
        <x:v>생활권|비행</x:v>
      </x:c>
      <x:c r="AG977" s="5" t="str">
        <x:f>"지형|"&amp;L977</x:f>
        <x:v>지형|습지</x:v>
      </x:c>
      <x:c r="AH977" s="5" t="str">
        <x:f>"온도|"&amp;M977</x:f>
        <x:v>온도|온대</x:v>
      </x:c>
      <x:c r="AI977" s="5" t="str">
        <x:f>"습도|"&amp;N977</x:f>
        <x:v>습도|다습</x:v>
      </x:c>
      <x:c r="AJ977" s="5" t="str">
        <x:f>"날씨|"&amp;O977</x:f>
        <x:v>날씨|비</x:v>
      </x:c>
      <x:c r="AK977" s="5" t="str">
        <x:f>"특수태그|"&amp;R977</x:f>
        <x:v>특수태그|없음</x:v>
      </x:c>
      <x:c r="AL977" s="5" t="str">
        <x:f>"원본서식지|"&amp;S977</x:f>
        <x:v>원본서식지|습지</x:v>
      </x:c>
      <x:c r="AM977" s="5" t="str">
        <x:f>"타입|"&amp;F977</x:f>
        <x:v>타입|비행</x:v>
      </x:c>
      <x:c r="AN977" s="5" t="str">
        <x:f>"타입|"&amp;G977</x:f>
        <x:v>타입|격투</x:v>
      </x:c>
    </x:row>
    <x:row r="978" ht="24" customHeight="1">
      <x:c r="A978" s="5" t="n">
        <x:v>974</x:v>
      </x:c>
      <x:c r="B978" s="5" t="inlineStr">
        <x:is>
          <x:t xml:space="preserve">터벅고래</x:t>
        </x:is>
      </x:c>
      <x:c r="C978" s="5" t="inlineStr">
        <x:is>
          <x:t xml:space="preserve">cetoddle</x:t>
        </x:is>
      </x:c>
      <x:c r="D978" s="5" t="inlineStr">
        <x:is>
          <x:t xml:space="preserve">Cetoddle</x:t>
        </x:is>
      </x:c>
      <x:c r="E978" s="5" t="n">
        <x:v>9</x:v>
      </x:c>
      <x:c r="F978" s="5" t="inlineStr">
        <x:is>
          <x:t xml:space="preserve">얼음</x:t>
        </x:is>
      </x:c>
      <x:c r="G978" s="5" t="inlineStr">
        <x:is>
          <x:t xml:space="preserve"/>
        </x:is>
      </x:c>
      <x:c r="H978" s="6" t="n">
        <x:v>45</x:v>
      </x:c>
      <x:c r="I978" s="5" t="n"/>
      <x:c r="J978" s="5" t="inlineStr">
        <x:is>
          <x:t xml:space="preserve">기본</x:t>
        </x:is>
      </x:c>
      <x:c r="K978" s="7" t="inlineStr">
        <x:is>
          <x:t xml:space="preserve">육상</x:t>
        </x:is>
      </x:c>
      <x:c r="L978" s="7" t="inlineStr">
        <x:is>
          <x:t xml:space="preserve">설원</x:t>
        </x:is>
      </x:c>
      <x:c r="M978" s="7" t="inlineStr">
        <x:is>
          <x:t xml:space="preserve">한랭</x:t>
        </x:is>
      </x:c>
      <x:c r="N978" s="7" t="inlineStr">
        <x:is>
          <x:t xml:space="preserve">보통</x:t>
        </x:is>
      </x:c>
      <x:c r="O978" s="7" t="inlineStr">
        <x:is>
          <x:t xml:space="preserve">눈</x:t>
        </x:is>
      </x:c>
      <x:c r="P978" s="7" t="inlineStr">
        <x:is>
          <x:t xml:space="preserve">무관</x:t>
        </x:is>
      </x:c>
      <x:c r="Q978" s="7" t="inlineStr">
        <x:is>
          <x:t xml:space="preserve">보통</x:t>
        </x:is>
      </x:c>
      <x:c r="R978" s="7" t="inlineStr">
        <x:is>
          <x:t xml:space="preserve">없음</x:t>
        </x:is>
      </x:c>
      <x:c r="S978" s="7" t="inlineStr">
        <x:is>
          <x:t xml:space="preserve">설원</x:t>
        </x:is>
      </x:c>
      <x:c r="T978" s="7" t="inlineStr">
        <x:is>
          <x:t xml:space="preserve"/>
        </x:is>
      </x:c>
      <x:c r="U978" s="8" t="str">
        <x:f>INDEX('서식지_점수'!$E$4:$P$4,1,MATCH(MAX('서식지_점수'!E978:P978),'서식지_점수'!E978:P978,0))</x:f>
        <x:v>평원</x:v>
      </x:c>
      <x:c r="V978" s="8" t="str">
        <x:f>IF(T978&lt;&gt;"",T978,U978)</x:f>
        <x:v>평원</x:v>
      </x:c>
      <x:c r="W978" s="8" t="str">
        <x:f>IFERROR(INDEX('서식지_점수'!$E$4:$P$4,1,MATCH(MAXIFS('서식지_점수'!E978:P978,'서식지_점수'!E978:P978,"&lt;"&amp;MAX('서식지_점수'!E978:P978)),'서식지_점수'!E978:P978,0)),"")</x:f>
        <x:v>숲</x:v>
      </x:c>
      <x:c r="X978" s="8" t="str">
        <x:f>IF(T978&lt;&gt;"","수동확정",IF(MAX('서식지_점수'!E978:P978)-LARGE('서식지_점수'!E978:P978,2)&gt;=15,"높음",IF(MAX('서식지_점수'!E978:P978)-LARGE('서식지_점수'!E978:P978,2)&gt;=8,"보통","검토필요")))</x:f>
        <x:v>검토필요</x:v>
      </x:c>
      <x:c r="Y978" s="9" t="n">
        <x:f>IF(Q978="전설",8,IF(Q978="희귀",7,IF(J978="기본",1,IF(J978="중간",3,IF(J978="최종",IF(I978="",5,IF(I978&lt;=20,3,IF(I978&lt;=35,4,IF(I978&lt;=50,6,7)))),IF(Q978="드묾",4,2))))))</x:f>
        <x:v>1</x:v>
      </x:c>
      <x:c r="Z978" s="5" t="inlineStr">
        <x:is>
          <x:t xml:space="preserve">#cobblemon:is_frozen_ocean; #cobblemon:is_glacial; #cobblemon:is_tundra</x:t>
        </x:is>
      </x:c>
      <x:c r="AA978" s="5" t="inlineStr">
        <x:is>
          <x:t xml:space="preserve">uncommon</x:t>
        </x:is>
      </x:c>
      <x:c r="AB978" s="5" t="inlineStr">
        <x:is>
          <x:t xml:space="preserve">예</x:t>
        </x:is>
      </x:c>
      <x:c r="AC978" s="8" t="str">
        <x:f>IF(T978&lt;&gt;"","수동확정",IF(X978="검토필요","검토필요",IF(S978="","원본없음","초기완료")))</x:f>
        <x:v>검토필요</x:v>
      </x:c>
      <x:c r="AD978" s="7" t="inlineStr">
        <x:is>
          <x:t xml:space="preserve"/>
        </x:is>
      </x:c>
      <x:c r="AE978" s="5" t="inlineStr">
        <x:is>
          <x:t xml:space="preserve">.tmp/cobblemon-1.7.3-source/common/src/main/resources/data/cobblemon/species/generation9/cetoddle.json</x:t>
        </x:is>
      </x:c>
      <x:c r="AF978" s="5" t="str">
        <x:f>"생활권|"&amp;K978</x:f>
        <x:v>생활권|육상</x:v>
      </x:c>
      <x:c r="AG978" s="5" t="str">
        <x:f>"지형|"&amp;L978</x:f>
        <x:v>지형|설원</x:v>
      </x:c>
      <x:c r="AH978" s="5" t="str">
        <x:f>"온도|"&amp;M978</x:f>
        <x:v>온도|한랭</x:v>
      </x:c>
      <x:c r="AI978" s="5" t="str">
        <x:f>"습도|"&amp;N978</x:f>
        <x:v>습도|보통</x:v>
      </x:c>
      <x:c r="AJ978" s="5" t="str">
        <x:f>"날씨|"&amp;O978</x:f>
        <x:v>날씨|눈</x:v>
      </x:c>
      <x:c r="AK978" s="5" t="str">
        <x:f>"특수태그|"&amp;R978</x:f>
        <x:v>특수태그|없음</x:v>
      </x:c>
      <x:c r="AL978" s="5" t="str">
        <x:f>"원본서식지|"&amp;S978</x:f>
        <x:v>원본서식지|설원</x:v>
      </x:c>
      <x:c r="AM978" s="5" t="str">
        <x:f>"타입|"&amp;F978</x:f>
        <x:v>타입|얼음</x:v>
      </x:c>
      <x:c r="AN978" s="5" t="str">
        <x:f>"타입|"&amp;G978</x:f>
        <x:v>타입|</x:v>
      </x:c>
    </x:row>
    <x:row r="979" ht="24" customHeight="1">
      <x:c r="A979" s="5" t="n">
        <x:v>975</x:v>
      </x:c>
      <x:c r="B979" s="5" t="inlineStr">
        <x:is>
          <x:t xml:space="preserve">우락고래</x:t>
        </x:is>
      </x:c>
      <x:c r="C979" s="5" t="inlineStr">
        <x:is>
          <x:t xml:space="preserve">cetitan</x:t>
        </x:is>
      </x:c>
      <x:c r="D979" s="5" t="inlineStr">
        <x:is>
          <x:t xml:space="preserve">Cetitan</x:t>
        </x:is>
      </x:c>
      <x:c r="E979" s="5" t="n">
        <x:v>9</x:v>
      </x:c>
      <x:c r="F979" s="5" t="inlineStr">
        <x:is>
          <x:t xml:space="preserve">얼음</x:t>
        </x:is>
      </x:c>
      <x:c r="G979" s="5" t="inlineStr">
        <x:is>
          <x:t xml:space="preserve"/>
        </x:is>
      </x:c>
      <x:c r="H979" s="6" t="n">
        <x:v>700</x:v>
      </x:c>
      <x:c r="I979" s="5" t="n"/>
      <x:c r="J979" s="5" t="inlineStr">
        <x:is>
          <x:t xml:space="preserve">최종</x:t>
        </x:is>
      </x:c>
      <x:c r="K979" s="7" t="inlineStr">
        <x:is>
          <x:t xml:space="preserve">육상</x:t>
        </x:is>
      </x:c>
      <x:c r="L979" s="7" t="inlineStr">
        <x:is>
          <x:t xml:space="preserve">설원</x:t>
        </x:is>
      </x:c>
      <x:c r="M979" s="7" t="inlineStr">
        <x:is>
          <x:t xml:space="preserve">한랭</x:t>
        </x:is>
      </x:c>
      <x:c r="N979" s="7" t="inlineStr">
        <x:is>
          <x:t xml:space="preserve">보통</x:t>
        </x:is>
      </x:c>
      <x:c r="O979" s="7" t="inlineStr">
        <x:is>
          <x:t xml:space="preserve">눈</x:t>
        </x:is>
      </x:c>
      <x:c r="P979" s="7" t="inlineStr">
        <x:is>
          <x:t xml:space="preserve">무관</x:t>
        </x:is>
      </x:c>
      <x:c r="Q979" s="7" t="inlineStr">
        <x:is>
          <x:t xml:space="preserve">보통</x:t>
        </x:is>
      </x:c>
      <x:c r="R979" s="7" t="inlineStr">
        <x:is>
          <x:t xml:space="preserve">없음</x:t>
        </x:is>
      </x:c>
      <x:c r="S979" s="7" t="inlineStr">
        <x:is>
          <x:t xml:space="preserve">설원</x:t>
        </x:is>
      </x:c>
      <x:c r="T979" s="7" t="inlineStr">
        <x:is>
          <x:t xml:space="preserve"/>
        </x:is>
      </x:c>
      <x:c r="U979" s="8" t="str">
        <x:f>INDEX('서식지_점수'!$E$4:$P$4,1,MATCH(MAX('서식지_점수'!E979:P979),'서식지_점수'!E979:P979,0))</x:f>
        <x:v>평원</x:v>
      </x:c>
      <x:c r="V979" s="8" t="str">
        <x:f>IF(T979&lt;&gt;"",T979,U979)</x:f>
        <x:v>평원</x:v>
      </x:c>
      <x:c r="W979" s="8" t="str">
        <x:f>IFERROR(INDEX('서식지_점수'!$E$4:$P$4,1,MATCH(MAXIFS('서식지_점수'!E979:P979,'서식지_점수'!E979:P979,"&lt;"&amp;MAX('서식지_점수'!E979:P979)),'서식지_점수'!E979:P979,0)),"")</x:f>
        <x:v>숲</x:v>
      </x:c>
      <x:c r="X979" s="8" t="str">
        <x:f>IF(T979&lt;&gt;"","수동확정",IF(MAX('서식지_점수'!E979:P979)-LARGE('서식지_점수'!E979:P979,2)&gt;=15,"높음",IF(MAX('서식지_점수'!E979:P979)-LARGE('서식지_점수'!E979:P979,2)&gt;=8,"보통","검토필요")))</x:f>
        <x:v>검토필요</x:v>
      </x:c>
      <x:c r="Y979" s="9" t="n">
        <x:f>IF(Q979="전설",8,IF(Q979="희귀",7,IF(J979="기본",1,IF(J979="중간",3,IF(J979="최종",IF(I979="",5,IF(I979&lt;=20,3,IF(I979&lt;=35,4,IF(I979&lt;=50,6,7)))),IF(Q979="드묾",4,2))))))</x:f>
        <x:v>5</x:v>
      </x:c>
      <x:c r="Z979" s="5" t="inlineStr">
        <x:is>
          <x:t xml:space="preserve">#cobblemon:is_frozen_ocean; #cobblemon:is_glacial; #cobblemon:is_tundra</x:t>
        </x:is>
      </x:c>
      <x:c r="AA979" s="5" t="inlineStr">
        <x:is>
          <x:t xml:space="preserve">uncommon</x:t>
        </x:is>
      </x:c>
      <x:c r="AB979" s="5" t="inlineStr">
        <x:is>
          <x:t xml:space="preserve">예</x:t>
        </x:is>
      </x:c>
      <x:c r="AC979" s="8" t="str">
        <x:f>IF(T979&lt;&gt;"","수동확정",IF(X979="검토필요","검토필요",IF(S979="","원본없음","초기완료")))</x:f>
        <x:v>검토필요</x:v>
      </x:c>
      <x:c r="AD979" s="7" t="inlineStr">
        <x:is>
          <x:t xml:space="preserve"/>
        </x:is>
      </x:c>
      <x:c r="AE979" s="5" t="inlineStr">
        <x:is>
          <x:t xml:space="preserve">.tmp/cobblemon-1.7.3-source/common/src/main/resources/data/cobblemon/species/generation9/cetitan.json</x:t>
        </x:is>
      </x:c>
      <x:c r="AF979" s="5" t="str">
        <x:f>"생활권|"&amp;K979</x:f>
        <x:v>생활권|육상</x:v>
      </x:c>
      <x:c r="AG979" s="5" t="str">
        <x:f>"지형|"&amp;L979</x:f>
        <x:v>지형|설원</x:v>
      </x:c>
      <x:c r="AH979" s="5" t="str">
        <x:f>"온도|"&amp;M979</x:f>
        <x:v>온도|한랭</x:v>
      </x:c>
      <x:c r="AI979" s="5" t="str">
        <x:f>"습도|"&amp;N979</x:f>
        <x:v>습도|보통</x:v>
      </x:c>
      <x:c r="AJ979" s="5" t="str">
        <x:f>"날씨|"&amp;O979</x:f>
        <x:v>날씨|눈</x:v>
      </x:c>
      <x:c r="AK979" s="5" t="str">
        <x:f>"특수태그|"&amp;R979</x:f>
        <x:v>특수태그|없음</x:v>
      </x:c>
      <x:c r="AL979" s="5" t="str">
        <x:f>"원본서식지|"&amp;S979</x:f>
        <x:v>원본서식지|설원</x:v>
      </x:c>
      <x:c r="AM979" s="5" t="str">
        <x:f>"타입|"&amp;F979</x:f>
        <x:v>타입|얼음</x:v>
      </x:c>
      <x:c r="AN979" s="5" t="str">
        <x:f>"타입|"&amp;G979</x:f>
        <x:v>타입|</x:v>
      </x:c>
    </x:row>
    <x:row r="980" ht="24" customHeight="1">
      <x:c r="A980" s="5" t="n">
        <x:v>976</x:v>
      </x:c>
      <x:c r="B980" s="5" t="inlineStr">
        <x:is>
          <x:t xml:space="preserve">가비루사</x:t>
        </x:is>
      </x:c>
      <x:c r="C980" s="5" t="inlineStr">
        <x:is>
          <x:t xml:space="preserve">veluza</x:t>
        </x:is>
      </x:c>
      <x:c r="D980" s="5" t="inlineStr">
        <x:is>
          <x:t xml:space="preserve">Veluza</x:t>
        </x:is>
      </x:c>
      <x:c r="E980" s="5" t="n">
        <x:v>9</x:v>
      </x:c>
      <x:c r="F980" s="5" t="inlineStr">
        <x:is>
          <x:t xml:space="preserve">물</x:t>
        </x:is>
      </x:c>
      <x:c r="G980" s="5" t="inlineStr">
        <x:is>
          <x:t xml:space="preserve">에스퍼</x:t>
        </x:is>
      </x:c>
      <x:c r="H980" s="6" t="n">
        <x:v>90</x:v>
      </x:c>
      <x:c r="I980" s="5" t="n"/>
      <x:c r="J980" s="5" t="inlineStr">
        <x:is>
          <x:t xml:space="preserve">무진화</x:t>
        </x:is>
      </x:c>
      <x:c r="K980" s="7" t="inlineStr">
        <x:is>
          <x:t xml:space="preserve">해양</x:t>
        </x:is>
      </x:c>
      <x:c r="L980" s="7" t="inlineStr">
        <x:is>
          <x:t xml:space="preserve">해안·해양</x:t>
        </x:is>
      </x:c>
      <x:c r="M980" s="7" t="inlineStr">
        <x:is>
          <x:t xml:space="preserve">온대</x:t>
        </x:is>
      </x:c>
      <x:c r="N980" s="7" t="inlineStr">
        <x:is>
          <x:t xml:space="preserve">수중</x:t>
        </x:is>
      </x:c>
      <x:c r="O980" s="7" t="inlineStr">
        <x:is>
          <x:t xml:space="preserve">비</x:t>
        </x:is>
      </x:c>
      <x:c r="P980" s="7" t="inlineStr">
        <x:is>
          <x:t xml:space="preserve">무관</x:t>
        </x:is>
      </x:c>
      <x:c r="Q980" s="7" t="inlineStr">
        <x:is>
          <x:t xml:space="preserve">보통</x:t>
        </x:is>
      </x:c>
      <x:c r="R980" s="7" t="inlineStr">
        <x:is>
          <x:t xml:space="preserve">없음</x:t>
        </x:is>
      </x:c>
      <x:c r="S980" s="7" t="inlineStr">
        <x:is>
          <x:t xml:space="preserve">해양</x:t>
        </x:is>
      </x:c>
      <x:c r="T980" s="7" t="inlineStr">
        <x:is>
          <x:t xml:space="preserve"/>
        </x:is>
      </x:c>
      <x:c r="U980" s="8" t="str">
        <x:f>INDEX('서식지_점수'!$E$4:$P$4,1,MATCH(MAX('서식지_점수'!E980:P980),'서식지_점수'!E980:P980,0))</x:f>
        <x:v>해양</x:v>
      </x:c>
      <x:c r="V980" s="8" t="str">
        <x:f>IF(T980&lt;&gt;"",T980,U980)</x:f>
        <x:v>해양</x:v>
      </x:c>
      <x:c r="W980" s="8" t="str">
        <x:f>IFERROR(INDEX('서식지_점수'!$E$4:$P$4,1,MATCH(MAXIFS('서식지_점수'!E980:P980,'서식지_점수'!E980:P980,"&lt;"&amp;MAX('서식지_점수'!E980:P980)),'서식지_점수'!E980:P980,0)),"")</x:f>
        <x:v>습지</x:v>
      </x:c>
      <x:c r="X980" s="8" t="str">
        <x:f>IF(T980&lt;&gt;"","수동확정",IF(MAX('서식지_점수'!E980:P980)-LARGE('서식지_점수'!E980:P980,2)&gt;=15,"높음",IF(MAX('서식지_점수'!E980:P980)-LARGE('서식지_점수'!E980:P980,2)&gt;=8,"보통","검토필요")))</x:f>
        <x:v>높음</x:v>
      </x:c>
      <x:c r="Y980" s="9" t="n">
        <x:f>IF(Q980="전설",8,IF(Q980="희귀",7,IF(J980="기본",1,IF(J980="중간",3,IF(J980="최종",IF(I980="",5,IF(I980&lt;=20,3,IF(I980&lt;=35,4,IF(I980&lt;=50,6,7)))),IF(Q980="드묾",4,2))))))</x:f>
        <x:v>2</x:v>
      </x:c>
      <x:c r="Z980" s="5" t="inlineStr">
        <x:is>
          <x:t xml:space="preserve">#cobblemon:is_ocean; #cobblemon:is_overworld</x:t>
        </x:is>
      </x:c>
      <x:c r="AA980" s="5" t="inlineStr">
        <x:is>
          <x:t xml:space="preserve">common; uncommon</x:t>
        </x:is>
      </x:c>
      <x:c r="AB980" s="5" t="inlineStr">
        <x:is>
          <x:t xml:space="preserve">예</x:t>
        </x:is>
      </x:c>
      <x:c r="AC980" s="8" t="str">
        <x:f>IF(T980&lt;&gt;"","수동확정",IF(X980="검토필요","검토필요",IF(S980="","원본없음","초기완료")))</x:f>
        <x:v>초기완료</x:v>
      </x:c>
      <x:c r="AD980" s="7" t="inlineStr">
        <x:is>
          <x:t xml:space="preserve"/>
        </x:is>
      </x:c>
      <x:c r="AE980" s="5" t="inlineStr">
        <x:is>
          <x:t xml:space="preserve">.tmp/cobblemon-1.7.3-source/common/src/main/resources/data/cobblemon/species/generation9/veluza.json</x:t>
        </x:is>
      </x:c>
      <x:c r="AF980" s="5" t="str">
        <x:f>"생활권|"&amp;K980</x:f>
        <x:v>생활권|해양</x:v>
      </x:c>
      <x:c r="AG980" s="5" t="str">
        <x:f>"지형|"&amp;L980</x:f>
        <x:v>지형|해안·해양</x:v>
      </x:c>
      <x:c r="AH980" s="5" t="str">
        <x:f>"온도|"&amp;M980</x:f>
        <x:v>온도|온대</x:v>
      </x:c>
      <x:c r="AI980" s="5" t="str">
        <x:f>"습도|"&amp;N980</x:f>
        <x:v>습도|수중</x:v>
      </x:c>
      <x:c r="AJ980" s="5" t="str">
        <x:f>"날씨|"&amp;O980</x:f>
        <x:v>날씨|비</x:v>
      </x:c>
      <x:c r="AK980" s="5" t="str">
        <x:f>"특수태그|"&amp;R980</x:f>
        <x:v>특수태그|없음</x:v>
      </x:c>
      <x:c r="AL980" s="5" t="str">
        <x:f>"원본서식지|"&amp;S980</x:f>
        <x:v>원본서식지|해양</x:v>
      </x:c>
      <x:c r="AM980" s="5" t="str">
        <x:f>"타입|"&amp;F980</x:f>
        <x:v>타입|물</x:v>
      </x:c>
      <x:c r="AN980" s="5" t="str">
        <x:f>"타입|"&amp;G980</x:f>
        <x:v>타입|에스퍼</x:v>
      </x:c>
    </x:row>
    <x:row r="981" ht="24" customHeight="1">
      <x:c r="A981" s="5" t="n">
        <x:v>977</x:v>
      </x:c>
      <x:c r="B981" s="5" t="inlineStr">
        <x:is>
          <x:t xml:space="preserve">어써러셔</x:t>
        </x:is>
      </x:c>
      <x:c r="C981" s="5" t="inlineStr">
        <x:is>
          <x:t xml:space="preserve">dondozo</x:t>
        </x:is>
      </x:c>
      <x:c r="D981" s="5" t="inlineStr">
        <x:is>
          <x:t xml:space="preserve">Dondozo</x:t>
        </x:is>
      </x:c>
      <x:c r="E981" s="5" t="n">
        <x:v>9</x:v>
      </x:c>
      <x:c r="F981" s="5" t="inlineStr">
        <x:is>
          <x:t xml:space="preserve">물</x:t>
        </x:is>
      </x:c>
      <x:c r="G981" s="5" t="inlineStr">
        <x:is>
          <x:t xml:space="preserve"/>
        </x:is>
      </x:c>
      <x:c r="H981" s="6" t="n">
        <x:v>220</x:v>
      </x:c>
      <x:c r="I981" s="5" t="n"/>
      <x:c r="J981" s="5" t="inlineStr">
        <x:is>
          <x:t xml:space="preserve">무진화</x:t>
        </x:is>
      </x:c>
      <x:c r="K981" s="7" t="inlineStr">
        <x:is>
          <x:t xml:space="preserve">수륙</x:t>
        </x:is>
      </x:c>
      <x:c r="L981" s="7" t="inlineStr">
        <x:is>
          <x:t xml:space="preserve">습지</x:t>
        </x:is>
      </x:c>
      <x:c r="M981" s="7" t="inlineStr">
        <x:is>
          <x:t xml:space="preserve">온대</x:t>
        </x:is>
      </x:c>
      <x:c r="N981" s="7" t="inlineStr">
        <x:is>
          <x:t xml:space="preserve">다습</x:t>
        </x:is>
      </x:c>
      <x:c r="O981" s="7" t="inlineStr">
        <x:is>
          <x:t xml:space="preserve">비</x:t>
        </x:is>
      </x:c>
      <x:c r="P981" s="7" t="inlineStr">
        <x:is>
          <x:t xml:space="preserve">무관</x:t>
        </x:is>
      </x:c>
      <x:c r="Q981" s="7" t="inlineStr">
        <x:is>
          <x:t xml:space="preserve">드묾</x:t>
        </x:is>
      </x:c>
      <x:c r="R981" s="7" t="inlineStr">
        <x:is>
          <x:t xml:space="preserve">없음</x:t>
        </x:is>
      </x:c>
      <x:c r="S981" s="7" t="inlineStr">
        <x:is>
          <x:t xml:space="preserve">습지</x:t>
        </x:is>
      </x:c>
      <x:c r="T981" s="7" t="inlineStr">
        <x:is>
          <x:t xml:space="preserve"/>
        </x:is>
      </x:c>
      <x:c r="U981" s="8" t="str">
        <x:f>INDEX('서식지_점수'!$E$4:$P$4,1,MATCH(MAX('서식지_점수'!E981:P981),'서식지_점수'!E981:P981,0))</x:f>
        <x:v>습지</x:v>
      </x:c>
      <x:c r="V981" s="8" t="str">
        <x:f>IF(T981&lt;&gt;"",T981,U981)</x:f>
        <x:v>습지</x:v>
      </x:c>
      <x:c r="W981" s="8" t="str">
        <x:f>IFERROR(INDEX('서식지_점수'!$E$4:$P$4,1,MATCH(MAXIFS('서식지_점수'!E981:P981,'서식지_점수'!E981:P981,"&lt;"&amp;MAX('서식지_점수'!E981:P981)),'서식지_점수'!E981:P981,0)),"")</x:f>
        <x:v>담수</x:v>
      </x:c>
      <x:c r="X981" s="8" t="str">
        <x:f>IF(T981&lt;&gt;"","수동확정",IF(MAX('서식지_점수'!E981:P981)-LARGE('서식지_점수'!E981:P981,2)&gt;=15,"높음",IF(MAX('서식지_점수'!E981:P981)-LARGE('서식지_점수'!E981:P981,2)&gt;=8,"보통","검토필요")))</x:f>
        <x:v>검토필요</x:v>
      </x:c>
      <x:c r="Y981" s="9" t="n">
        <x:f>IF(Q981="전설",8,IF(Q981="희귀",7,IF(J981="기본",1,IF(J981="중간",3,IF(J981="최종",IF(I981="",5,IF(I981&lt;=20,3,IF(I981&lt;=35,4,IF(I981&lt;=50,6,7)))),IF(Q981="드묾",4,2))))))</x:f>
        <x:v>4</x:v>
      </x:c>
      <x:c r="Z981" s="5" t="inlineStr">
        <x:is>
          <x:t xml:space="preserve">#cobblemon:is_bamboo; #cobblemon:is_forest; #cobblemon:is_jungle; #cobblemon:is_swamp</x:t>
        </x:is>
      </x:c>
      <x:c r="AA981" s="5" t="inlineStr">
        <x:is>
          <x:t xml:space="preserve">rare</x:t>
        </x:is>
      </x:c>
      <x:c r="AB981" s="5" t="inlineStr">
        <x:is>
          <x:t xml:space="preserve">예</x:t>
        </x:is>
      </x:c>
      <x:c r="AC981" s="8" t="str">
        <x:f>IF(T981&lt;&gt;"","수동확정",IF(X981="검토필요","검토필요",IF(S981="","원본없음","초기완료")))</x:f>
        <x:v>검토필요</x:v>
      </x:c>
      <x:c r="AD981" s="7" t="inlineStr">
        <x:is>
          <x:t xml:space="preserve"/>
        </x:is>
      </x:c>
      <x:c r="AE981" s="5" t="inlineStr">
        <x:is>
          <x:t xml:space="preserve">.tmp/cobblemon-1.7.3-source/common/src/main/resources/data/cobblemon/species/generation9/dondozo.json</x:t>
        </x:is>
      </x:c>
      <x:c r="AF981" s="5" t="str">
        <x:f>"생활권|"&amp;K981</x:f>
        <x:v>생활권|수륙</x:v>
      </x:c>
      <x:c r="AG981" s="5" t="str">
        <x:f>"지형|"&amp;L981</x:f>
        <x:v>지형|습지</x:v>
      </x:c>
      <x:c r="AH981" s="5" t="str">
        <x:f>"온도|"&amp;M981</x:f>
        <x:v>온도|온대</x:v>
      </x:c>
      <x:c r="AI981" s="5" t="str">
        <x:f>"습도|"&amp;N981</x:f>
        <x:v>습도|다습</x:v>
      </x:c>
      <x:c r="AJ981" s="5" t="str">
        <x:f>"날씨|"&amp;O981</x:f>
        <x:v>날씨|비</x:v>
      </x:c>
      <x:c r="AK981" s="5" t="str">
        <x:f>"특수태그|"&amp;R981</x:f>
        <x:v>특수태그|없음</x:v>
      </x:c>
      <x:c r="AL981" s="5" t="str">
        <x:f>"원본서식지|"&amp;S981</x:f>
        <x:v>원본서식지|습지</x:v>
      </x:c>
      <x:c r="AM981" s="5" t="str">
        <x:f>"타입|"&amp;F981</x:f>
        <x:v>타입|물</x:v>
      </x:c>
      <x:c r="AN981" s="5" t="str">
        <x:f>"타입|"&amp;G981</x:f>
        <x:v>타입|</x:v>
      </x:c>
    </x:row>
    <x:row r="982" ht="24" customHeight="1">
      <x:c r="A982" s="5" t="n">
        <x:v>978</x:v>
      </x:c>
      <x:c r="B982" s="5" t="inlineStr">
        <x:is>
          <x:t xml:space="preserve">싸리용</x:t>
        </x:is>
      </x:c>
      <x:c r="C982" s="5" t="inlineStr">
        <x:is>
          <x:t xml:space="preserve">tatsugiri</x:t>
        </x:is>
      </x:c>
      <x:c r="D982" s="5" t="inlineStr">
        <x:is>
          <x:t xml:space="preserve">Tatsugiri</x:t>
        </x:is>
      </x:c>
      <x:c r="E982" s="5" t="n">
        <x:v>9</x:v>
      </x:c>
      <x:c r="F982" s="5" t="inlineStr">
        <x:is>
          <x:t xml:space="preserve">드래곤</x:t>
        </x:is>
      </x:c>
      <x:c r="G982" s="5" t="inlineStr">
        <x:is>
          <x:t xml:space="preserve">물</x:t>
        </x:is>
      </x:c>
      <x:c r="H982" s="6" t="n">
        <x:v>8</x:v>
      </x:c>
      <x:c r="I982" s="5" t="n"/>
      <x:c r="J982" s="5" t="inlineStr">
        <x:is>
          <x:t xml:space="preserve">무진화</x:t>
        </x:is>
      </x:c>
      <x:c r="K982" s="7" t="inlineStr">
        <x:is>
          <x:t xml:space="preserve">수륙</x:t>
        </x:is>
      </x:c>
      <x:c r="L982" s="7" t="inlineStr">
        <x:is>
          <x:t xml:space="preserve">습지</x:t>
        </x:is>
      </x:c>
      <x:c r="M982" s="7" t="inlineStr">
        <x:is>
          <x:t xml:space="preserve">온대</x:t>
        </x:is>
      </x:c>
      <x:c r="N982" s="7" t="inlineStr">
        <x:is>
          <x:t xml:space="preserve">다습</x:t>
        </x:is>
      </x:c>
      <x:c r="O982" s="7" t="inlineStr">
        <x:is>
          <x:t xml:space="preserve">비</x:t>
        </x:is>
      </x:c>
      <x:c r="P982" s="7" t="inlineStr">
        <x:is>
          <x:t xml:space="preserve">무관</x:t>
        </x:is>
      </x:c>
      <x:c r="Q982" s="7" t="inlineStr">
        <x:is>
          <x:t xml:space="preserve">드묾</x:t>
        </x:is>
      </x:c>
      <x:c r="R982" s="7" t="inlineStr">
        <x:is>
          <x:t xml:space="preserve">없음</x:t>
        </x:is>
      </x:c>
      <x:c r="S982" s="7" t="inlineStr">
        <x:is>
          <x:t xml:space="preserve">습지</x:t>
        </x:is>
      </x:c>
      <x:c r="T982" s="7" t="inlineStr">
        <x:is>
          <x:t xml:space="preserve"/>
        </x:is>
      </x:c>
      <x:c r="U982" s="8" t="str">
        <x:f>INDEX('서식지_점수'!$E$4:$P$4,1,MATCH(MAX('서식지_점수'!E982:P982),'서식지_점수'!E982:P982,0))</x:f>
        <x:v>습지</x:v>
      </x:c>
      <x:c r="V982" s="8" t="str">
        <x:f>IF(T982&lt;&gt;"",T982,U982)</x:f>
        <x:v>습지</x:v>
      </x:c>
      <x:c r="W982" s="8" t="str">
        <x:f>IFERROR(INDEX('서식지_점수'!$E$4:$P$4,1,MATCH(MAXIFS('서식지_점수'!E982:P982,'서식지_점수'!E982:P982,"&lt;"&amp;MAX('서식지_점수'!E982:P982)),'서식지_점수'!E982:P982,0)),"")</x:f>
        <x:v>담수</x:v>
      </x:c>
      <x:c r="X982" s="8" t="str">
        <x:f>IF(T982&lt;&gt;"","수동확정",IF(MAX('서식지_점수'!E982:P982)-LARGE('서식지_점수'!E982:P982,2)&gt;=15,"높음",IF(MAX('서식지_점수'!E982:P982)-LARGE('서식지_점수'!E982:P982,2)&gt;=8,"보통","검토필요")))</x:f>
        <x:v>검토필요</x:v>
      </x:c>
      <x:c r="Y982" s="9" t="n">
        <x:f>IF(Q982="전설",8,IF(Q982="희귀",7,IF(J982="기본",1,IF(J982="중간",3,IF(J982="최종",IF(I982="",5,IF(I982&lt;=20,3,IF(I982&lt;=35,4,IF(I982&lt;=50,6,7)))),IF(Q982="드묾",4,2))))))</x:f>
        <x:v>4</x:v>
      </x:c>
      <x:c r="Z982" s="5" t="inlineStr">
        <x:is>
          <x:t xml:space="preserve">#cobblemon:is_bamboo; #cobblemon:is_forest; #cobblemon:is_jungle; #cobblemon:is_swamp</x:t>
        </x:is>
      </x:c>
      <x:c r="AA982" s="5" t="inlineStr">
        <x:is>
          <x:t xml:space="preserve">rare</x:t>
        </x:is>
      </x:c>
      <x:c r="AB982" s="5" t="inlineStr">
        <x:is>
          <x:t xml:space="preserve">예</x:t>
        </x:is>
      </x:c>
      <x:c r="AC982" s="8" t="str">
        <x:f>IF(T982&lt;&gt;"","수동확정",IF(X982="검토필요","검토필요",IF(S982="","원본없음","초기완료")))</x:f>
        <x:v>검토필요</x:v>
      </x:c>
      <x:c r="AD982" s="7" t="inlineStr">
        <x:is>
          <x:t xml:space="preserve"/>
        </x:is>
      </x:c>
      <x:c r="AE982" s="5" t="inlineStr">
        <x:is>
          <x:t xml:space="preserve">.tmp/cobblemon-1.7.3-source/common/src/main/resources/data/cobblemon/species/generation9/tatsugiri.json</x:t>
        </x:is>
      </x:c>
      <x:c r="AF982" s="5" t="str">
        <x:f>"생활권|"&amp;K982</x:f>
        <x:v>생활권|수륙</x:v>
      </x:c>
      <x:c r="AG982" s="5" t="str">
        <x:f>"지형|"&amp;L982</x:f>
        <x:v>지형|습지</x:v>
      </x:c>
      <x:c r="AH982" s="5" t="str">
        <x:f>"온도|"&amp;M982</x:f>
        <x:v>온도|온대</x:v>
      </x:c>
      <x:c r="AI982" s="5" t="str">
        <x:f>"습도|"&amp;N982</x:f>
        <x:v>습도|다습</x:v>
      </x:c>
      <x:c r="AJ982" s="5" t="str">
        <x:f>"날씨|"&amp;O982</x:f>
        <x:v>날씨|비</x:v>
      </x:c>
      <x:c r="AK982" s="5" t="str">
        <x:f>"특수태그|"&amp;R982</x:f>
        <x:v>특수태그|없음</x:v>
      </x:c>
      <x:c r="AL982" s="5" t="str">
        <x:f>"원본서식지|"&amp;S982</x:f>
        <x:v>원본서식지|습지</x:v>
      </x:c>
      <x:c r="AM982" s="5" t="str">
        <x:f>"타입|"&amp;F982</x:f>
        <x:v>타입|드래곤</x:v>
      </x:c>
      <x:c r="AN982" s="5" t="str">
        <x:f>"타입|"&amp;G982</x:f>
        <x:v>타입|물</x:v>
      </x:c>
    </x:row>
    <x:row r="983" ht="24" customHeight="1">
      <x:c r="A983" s="5" t="n">
        <x:v>979</x:v>
      </x:c>
      <x:c r="B983" s="5" t="inlineStr">
        <x:is>
          <x:t xml:space="preserve">저승갓숭</x:t>
        </x:is>
      </x:c>
      <x:c r="C983" s="5" t="inlineStr">
        <x:is>
          <x:t xml:space="preserve">annihilape</x:t>
        </x:is>
      </x:c>
      <x:c r="D983" s="5" t="inlineStr">
        <x:is>
          <x:t xml:space="preserve">Annihilape</x:t>
        </x:is>
      </x:c>
      <x:c r="E983" s="5" t="n">
        <x:v>9</x:v>
      </x:c>
      <x:c r="F983" s="5" t="inlineStr">
        <x:is>
          <x:t xml:space="preserve">격투</x:t>
        </x:is>
      </x:c>
      <x:c r="G983" s="5" t="inlineStr">
        <x:is>
          <x:t xml:space="preserve">고스트</x:t>
        </x:is>
      </x:c>
      <x:c r="H983" s="6" t="n">
        <x:v>56</x:v>
      </x:c>
      <x:c r="I983" s="5" t="n">
        <x:v>28</x:v>
      </x:c>
      <x:c r="J983" s="5" t="inlineStr">
        <x:is>
          <x:t xml:space="preserve">최종</x:t>
        </x:is>
      </x:c>
      <x:c r="K983" s="7" t="inlineStr">
        <x:is>
          <x:t xml:space="preserve">영체</x:t>
        </x:is>
      </x:c>
      <x:c r="L983" s="7" t="inlineStr">
        <x:is>
          <x:t xml:space="preserve">암석</x:t>
        </x:is>
      </x:c>
      <x:c r="M983" s="7" t="inlineStr">
        <x:is>
          <x:t xml:space="preserve">온대</x:t>
        </x:is>
      </x:c>
      <x:c r="N983" s="7" t="inlineStr">
        <x:is>
          <x:t xml:space="preserve">다습</x:t>
        </x:is>
      </x:c>
      <x:c r="O983" s="7" t="inlineStr">
        <x:is>
          <x:t xml:space="preserve">안개</x:t>
        </x:is>
      </x:c>
      <x:c r="P983" s="7" t="inlineStr">
        <x:is>
          <x:t xml:space="preserve">밤</x:t>
        </x:is>
      </x:c>
      <x:c r="Q983" s="7" t="inlineStr">
        <x:is>
          <x:t xml:space="preserve">흔함</x:t>
        </x:is>
      </x:c>
      <x:c r="R983" s="7" t="inlineStr">
        <x:is>
          <x:t xml:space="preserve">영체</x:t>
        </x:is>
      </x:c>
      <x:c r="S983" s="7" t="inlineStr">
        <x:is>
          <x:t xml:space="preserve">산악</x:t>
        </x:is>
      </x:c>
      <x:c r="T983" s="7" t="inlineStr">
        <x:is>
          <x:t xml:space="preserve"/>
        </x:is>
      </x:c>
      <x:c r="U983" s="8" t="str">
        <x:f>INDEX('서식지_점수'!$E$4:$P$4,1,MATCH(MAX('서식지_점수'!E983:P983),'서식지_점수'!E983:P983,0))</x:f>
        <x:v>특수</x:v>
      </x:c>
      <x:c r="V983" s="8" t="str">
        <x:f>IF(T983&lt;&gt;"",T983,U983)</x:f>
        <x:v>특수</x:v>
      </x:c>
      <x:c r="W983" s="8" t="str">
        <x:f>IFERROR(INDEX('서식지_점수'!$E$4:$P$4,1,MATCH(MAXIFS('서식지_점수'!E983:P983,'서식지_점수'!E983:P983,"&lt;"&amp;MAX('서식지_점수'!E983:P983)),'서식지_점수'!E983:P983,0)),"")</x:f>
        <x:v>동굴</x:v>
      </x:c>
      <x:c r="X983" s="8" t="str">
        <x:f>IF(T983&lt;&gt;"","수동확정",IF(MAX('서식지_점수'!E983:P983)-LARGE('서식지_점수'!E983:P983,2)&gt;=15,"높음",IF(MAX('서식지_점수'!E983:P983)-LARGE('서식지_점수'!E983:P983,2)&gt;=8,"보통","검토필요")))</x:f>
        <x:v>높음</x:v>
      </x:c>
      <x:c r="Y983" s="9" t="n">
        <x:f>IF(Q983="전설",8,IF(Q983="희귀",7,IF(J983="기본",1,IF(J983="중간",3,IF(J983="최종",IF(I983="",5,IF(I983&lt;=20,3,IF(I983&lt;=35,4,IF(I983&lt;=50,6,7)))),IF(Q983="드묾",4,2))))))</x:f>
        <x:v>4</x:v>
      </x:c>
      <x:c r="Z983" s="5" t="inlineStr">
        <x:is>
          <x:t xml:space="preserve">#cobblemon:is_hills; #cobblemon:is_jungle</x:t>
        </x:is>
      </x:c>
      <x:c r="AA983" s="5" t="inlineStr">
        <x:is>
          <x:t xml:space="preserve">common</x:t>
        </x:is>
      </x:c>
      <x:c r="AB983" s="5" t="inlineStr">
        <x:is>
          <x:t xml:space="preserve">예</x:t>
        </x:is>
      </x:c>
      <x:c r="AC983" s="8" t="str">
        <x:f>IF(T983&lt;&gt;"","수동확정",IF(X983="검토필요","검토필요",IF(S983="","원본없음","초기완료")))</x:f>
        <x:v>초기완료</x:v>
      </x:c>
      <x:c r="AD983" s="7" t="inlineStr">
        <x:is>
          <x:t xml:space="preserve"/>
        </x:is>
      </x:c>
      <x:c r="AE983" s="5" t="inlineStr">
        <x:is>
          <x:t xml:space="preserve">.tmp/cobblemon-1.7.3-source/common/src/main/resources/data/cobblemon/species/generation9/annihilape.json</x:t>
        </x:is>
      </x:c>
      <x:c r="AF983" s="5" t="str">
        <x:f>"생활권|"&amp;K983</x:f>
        <x:v>생활권|영체</x:v>
      </x:c>
      <x:c r="AG983" s="5" t="str">
        <x:f>"지형|"&amp;L983</x:f>
        <x:v>지형|암석</x:v>
      </x:c>
      <x:c r="AH983" s="5" t="str">
        <x:f>"온도|"&amp;M983</x:f>
        <x:v>온도|온대</x:v>
      </x:c>
      <x:c r="AI983" s="5" t="str">
        <x:f>"습도|"&amp;N983</x:f>
        <x:v>습도|다습</x:v>
      </x:c>
      <x:c r="AJ983" s="5" t="str">
        <x:f>"날씨|"&amp;O983</x:f>
        <x:v>날씨|안개</x:v>
      </x:c>
      <x:c r="AK983" s="5" t="str">
        <x:f>"특수태그|"&amp;R983</x:f>
        <x:v>특수태그|영체</x:v>
      </x:c>
      <x:c r="AL983" s="5" t="str">
        <x:f>"원본서식지|"&amp;S983</x:f>
        <x:v>원본서식지|산악</x:v>
      </x:c>
      <x:c r="AM983" s="5" t="str">
        <x:f>"타입|"&amp;F983</x:f>
        <x:v>타입|격투</x:v>
      </x:c>
      <x:c r="AN983" s="5" t="str">
        <x:f>"타입|"&amp;G983</x:f>
        <x:v>타입|고스트</x:v>
      </x:c>
    </x:row>
    <x:row r="984" ht="24" customHeight="1">
      <x:c r="A984" s="5" t="n">
        <x:v>980</x:v>
      </x:c>
      <x:c r="B984" s="5" t="inlineStr">
        <x:is>
          <x:t xml:space="preserve">토오</x:t>
        </x:is>
      </x:c>
      <x:c r="C984" s="5" t="inlineStr">
        <x:is>
          <x:t xml:space="preserve">clodsire</x:t>
        </x:is>
      </x:c>
      <x:c r="D984" s="5" t="inlineStr">
        <x:is>
          <x:t xml:space="preserve">Clodsire</x:t>
        </x:is>
      </x:c>
      <x:c r="E984" s="5" t="n">
        <x:v>9</x:v>
      </x:c>
      <x:c r="F984" s="5" t="inlineStr">
        <x:is>
          <x:t xml:space="preserve">독</x:t>
        </x:is>
      </x:c>
      <x:c r="G984" s="5" t="inlineStr">
        <x:is>
          <x:t xml:space="preserve">땅</x:t>
        </x:is>
      </x:c>
      <x:c r="H984" s="6" t="n">
        <x:v>223</x:v>
      </x:c>
      <x:c r="I984" s="5" t="n">
        <x:v>20</x:v>
      </x:c>
      <x:c r="J984" s="5" t="inlineStr">
        <x:is>
          <x:t xml:space="preserve">최종</x:t>
        </x:is>
      </x:c>
      <x:c r="K984" s="7" t="inlineStr">
        <x:is>
          <x:t xml:space="preserve">육상</x:t>
        </x:is>
      </x:c>
      <x:c r="L984" s="7" t="inlineStr">
        <x:is>
          <x:t xml:space="preserve">건조</x:t>
        </x:is>
      </x:c>
      <x:c r="M984" s="7" t="inlineStr">
        <x:is>
          <x:t xml:space="preserve">고온</x:t>
        </x:is>
      </x:c>
      <x:c r="N984" s="7" t="inlineStr">
        <x:is>
          <x:t xml:space="preserve">건조</x:t>
        </x:is>
      </x:c>
      <x:c r="O984" s="7" t="inlineStr">
        <x:is>
          <x:t xml:space="preserve">맑음</x:t>
        </x:is>
      </x:c>
      <x:c r="P984" s="7" t="inlineStr">
        <x:is>
          <x:t xml:space="preserve">무관</x:t>
        </x:is>
      </x:c>
      <x:c r="Q984" s="7" t="inlineStr">
        <x:is>
          <x:t xml:space="preserve">보통</x:t>
        </x:is>
      </x:c>
      <x:c r="R984" s="7" t="inlineStr">
        <x:is>
          <x:t xml:space="preserve">없음</x:t>
        </x:is>
      </x:c>
      <x:c r="S984" s="7" t="inlineStr">
        <x:is>
          <x:t xml:space="preserve">건조지</x:t>
        </x:is>
      </x:c>
      <x:c r="T984" s="7" t="inlineStr">
        <x:is>
          <x:t xml:space="preserve"/>
        </x:is>
      </x:c>
      <x:c r="U984" s="8" t="str">
        <x:f>INDEX('서식지_점수'!$E$4:$P$4,1,MATCH(MAX('서식지_점수'!E984:P984),'서식지_점수'!E984:P984,0))</x:f>
        <x:v>평원</x:v>
      </x:c>
      <x:c r="V984" s="8" t="str">
        <x:f>IF(T984&lt;&gt;"",T984,U984)</x:f>
        <x:v>평원</x:v>
      </x:c>
      <x:c r="W984" s="8" t="str">
        <x:f>IFERROR(INDEX('서식지_점수'!$E$4:$P$4,1,MATCH(MAXIFS('서식지_점수'!E984:P984,'서식지_점수'!E984:P984,"&lt;"&amp;MAX('서식지_점수'!E984:P984)),'서식지_점수'!E984:P984,0)),"")</x:f>
        <x:v>숲</x:v>
      </x:c>
      <x:c r="X984" s="8" t="str">
        <x:f>IF(T984&lt;&gt;"","수동확정",IF(MAX('서식지_점수'!E984:P984)-LARGE('서식지_점수'!E984:P984,2)&gt;=15,"높음",IF(MAX('서식지_점수'!E984:P984)-LARGE('서식지_점수'!E984:P984,2)&gt;=8,"보통","검토필요")))</x:f>
        <x:v>검토필요</x:v>
      </x:c>
      <x:c r="Y984" s="9" t="n">
        <x:f>IF(Q984="전설",8,IF(Q984="희귀",7,IF(J984="기본",1,IF(J984="중간",3,IF(J984="최종",IF(I984="",5,IF(I984&lt;=20,3,IF(I984&lt;=35,4,IF(I984&lt;=50,6,7)))),IF(Q984="드묾",4,2))))))</x:f>
        <x:v>3</x:v>
      </x:c>
      <x:c r="Z984" s="5" t="inlineStr">
        <x:is>
          <x:t xml:space="preserve">#cobblemon:has_block/mud; #cobblemon:is_arid; #cobblemon:is_savanna</x:t>
        </x:is>
      </x:c>
      <x:c r="AA984" s="5" t="inlineStr">
        <x:is>
          <x:t xml:space="preserve">common; uncommon</x:t>
        </x:is>
      </x:c>
      <x:c r="AB984" s="5" t="inlineStr">
        <x:is>
          <x:t xml:space="preserve">예</x:t>
        </x:is>
      </x:c>
      <x:c r="AC984" s="8" t="str">
        <x:f>IF(T984&lt;&gt;"","수동확정",IF(X984="검토필요","검토필요",IF(S984="","원본없음","초기완료")))</x:f>
        <x:v>검토필요</x:v>
      </x:c>
      <x:c r="AD984" s="7" t="inlineStr">
        <x:is>
          <x:t xml:space="preserve"/>
        </x:is>
      </x:c>
      <x:c r="AE984" s="5" t="inlineStr">
        <x:is>
          <x:t xml:space="preserve">.tmp/cobblemon-1.7.3-source/common/src/main/resources/data/cobblemon/species/generation9/clodsire.json</x:t>
        </x:is>
      </x:c>
      <x:c r="AF984" s="5" t="str">
        <x:f>"생활권|"&amp;K984</x:f>
        <x:v>생활권|육상</x:v>
      </x:c>
      <x:c r="AG984" s="5" t="str">
        <x:f>"지형|"&amp;L984</x:f>
        <x:v>지형|건조</x:v>
      </x:c>
      <x:c r="AH984" s="5" t="str">
        <x:f>"온도|"&amp;M984</x:f>
        <x:v>온도|고온</x:v>
      </x:c>
      <x:c r="AI984" s="5" t="str">
        <x:f>"습도|"&amp;N984</x:f>
        <x:v>습도|건조</x:v>
      </x:c>
      <x:c r="AJ984" s="5" t="str">
        <x:f>"날씨|"&amp;O984</x:f>
        <x:v>날씨|맑음</x:v>
      </x:c>
      <x:c r="AK984" s="5" t="str">
        <x:f>"특수태그|"&amp;R984</x:f>
        <x:v>특수태그|없음</x:v>
      </x:c>
      <x:c r="AL984" s="5" t="str">
        <x:f>"원본서식지|"&amp;S984</x:f>
        <x:v>원본서식지|건조지</x:v>
      </x:c>
      <x:c r="AM984" s="5" t="str">
        <x:f>"타입|"&amp;F984</x:f>
        <x:v>타입|독</x:v>
      </x:c>
      <x:c r="AN984" s="5" t="str">
        <x:f>"타입|"&amp;G984</x:f>
        <x:v>타입|땅</x:v>
      </x:c>
    </x:row>
    <x:row r="985" ht="24" customHeight="1">
      <x:c r="A985" s="5" t="n">
        <x:v>981</x:v>
      </x:c>
      <x:c r="B985" s="5" t="inlineStr">
        <x:is>
          <x:t xml:space="preserve">키키링</x:t>
        </x:is>
      </x:c>
      <x:c r="C985" s="5" t="inlineStr">
        <x:is>
          <x:t xml:space="preserve">farigiraf</x:t>
        </x:is>
      </x:c>
      <x:c r="D985" s="5" t="inlineStr">
        <x:is>
          <x:t xml:space="preserve">Farigiraf</x:t>
        </x:is>
      </x:c>
      <x:c r="E985" s="5" t="n">
        <x:v>9</x:v>
      </x:c>
      <x:c r="F985" s="5" t="inlineStr">
        <x:is>
          <x:t xml:space="preserve">노말</x:t>
        </x:is>
      </x:c>
      <x:c r="G985" s="5" t="inlineStr">
        <x:is>
          <x:t xml:space="preserve">에스퍼</x:t>
        </x:is>
      </x:c>
      <x:c r="H985" s="6" t="n">
        <x:v>160</x:v>
      </x:c>
      <x:c r="I985" s="5" t="n"/>
      <x:c r="J985" s="5" t="inlineStr">
        <x:is>
          <x:t xml:space="preserve">최종</x:t>
        </x:is>
      </x:c>
      <x:c r="K985" s="7" t="inlineStr">
        <x:is>
          <x:t xml:space="preserve">육상</x:t>
        </x:is>
      </x:c>
      <x:c r="L985" s="7" t="inlineStr">
        <x:is>
          <x:t xml:space="preserve">개활지</x:t>
        </x:is>
      </x:c>
      <x:c r="M985" s="7" t="inlineStr">
        <x:is>
          <x:t xml:space="preserve">온대</x:t>
        </x:is>
      </x:c>
      <x:c r="N985" s="7" t="inlineStr">
        <x:is>
          <x:t xml:space="preserve">보통</x:t>
        </x:is>
      </x:c>
      <x:c r="O985" s="7" t="inlineStr">
        <x:is>
          <x:t xml:space="preserve">무관</x:t>
        </x:is>
      </x:c>
      <x:c r="P985" s="7" t="inlineStr">
        <x:is>
          <x:t xml:space="preserve">무관</x:t>
        </x:is>
      </x:c>
      <x:c r="Q985" s="7" t="inlineStr">
        <x:is>
          <x:t xml:space="preserve">흔함</x:t>
        </x:is>
      </x:c>
      <x:c r="R985" s="7" t="inlineStr">
        <x:is>
          <x:t xml:space="preserve">없음</x:t>
        </x:is>
      </x:c>
      <x:c r="S985" s="7" t="inlineStr">
        <x:is>
          <x:t xml:space="preserve">평원</x:t>
        </x:is>
      </x:c>
      <x:c r="T985" s="7" t="inlineStr">
        <x:is>
          <x:t xml:space="preserve"/>
        </x:is>
      </x:c>
      <x:c r="U985" s="8" t="str">
        <x:f>INDEX('서식지_점수'!$E$4:$P$4,1,MATCH(MAX('서식지_점수'!E985:P985),'서식지_점수'!E985:P985,0))</x:f>
        <x:v>평원</x:v>
      </x:c>
      <x:c r="V985" s="8" t="str">
        <x:f>IF(T985&lt;&gt;"",T985,U985)</x:f>
        <x:v>평원</x:v>
      </x:c>
      <x:c r="W985" s="8" t="str">
        <x:f>IFERROR(INDEX('서식지_점수'!$E$4:$P$4,1,MATCH(MAXIFS('서식지_점수'!E985:P985,'서식지_점수'!E985:P985,"&lt;"&amp;MAX('서식지_점수'!E985:P985)),'서식지_점수'!E985:P985,0)),"")</x:f>
        <x:v>숲</x:v>
      </x:c>
      <x:c r="X985" s="8" t="str">
        <x:f>IF(T985&lt;&gt;"","수동확정",IF(MAX('서식지_점수'!E985:P985)-LARGE('서식지_점수'!E985:P985,2)&gt;=15,"높음",IF(MAX('서식지_점수'!E985:P985)-LARGE('서식지_점수'!E985:P985,2)&gt;=8,"보통","검토필요")))</x:f>
        <x:v>검토필요</x:v>
      </x:c>
      <x:c r="Y985" s="9" t="n">
        <x:f>IF(Q985="전설",8,IF(Q985="희귀",7,IF(J985="기본",1,IF(J985="중간",3,IF(J985="최종",IF(I985="",5,IF(I985&lt;=20,3,IF(I985&lt;=35,4,IF(I985&lt;=50,6,7)))),IF(Q985="드묾",4,2))))))</x:f>
        <x:v>5</x:v>
      </x:c>
      <x:c r="Z985" s="5" t="inlineStr">
        <x:is>
          <x:t xml:space="preserve">#cobblemon:is_savanna</x:t>
        </x:is>
      </x:c>
      <x:c r="AA985" s="5" t="inlineStr">
        <x:is>
          <x:t xml:space="preserve">common</x:t>
        </x:is>
      </x:c>
      <x:c r="AB985" s="5" t="inlineStr">
        <x:is>
          <x:t xml:space="preserve">예</x:t>
        </x:is>
      </x:c>
      <x:c r="AC985" s="8" t="str">
        <x:f>IF(T985&lt;&gt;"","수동확정",IF(X985="검토필요","검토필요",IF(S985="","원본없음","초기완료")))</x:f>
        <x:v>검토필요</x:v>
      </x:c>
      <x:c r="AD985" s="7" t="inlineStr">
        <x:is>
          <x:t xml:space="preserve"/>
        </x:is>
      </x:c>
      <x:c r="AE985" s="5" t="inlineStr">
        <x:is>
          <x:t xml:space="preserve">.tmp/cobblemon-1.7.3-source/common/src/main/resources/data/cobblemon/species/generation9/farigiraf.json</x:t>
        </x:is>
      </x:c>
      <x:c r="AF985" s="5" t="str">
        <x:f>"생활권|"&amp;K985</x:f>
        <x:v>생활권|육상</x:v>
      </x:c>
      <x:c r="AG985" s="5" t="str">
        <x:f>"지형|"&amp;L985</x:f>
        <x:v>지형|개활지</x:v>
      </x:c>
      <x:c r="AH985" s="5" t="str">
        <x:f>"온도|"&amp;M985</x:f>
        <x:v>온도|온대</x:v>
      </x:c>
      <x:c r="AI985" s="5" t="str">
        <x:f>"습도|"&amp;N985</x:f>
        <x:v>습도|보통</x:v>
      </x:c>
      <x:c r="AJ985" s="5" t="str">
        <x:f>"날씨|"&amp;O985</x:f>
        <x:v>날씨|무관</x:v>
      </x:c>
      <x:c r="AK985" s="5" t="str">
        <x:f>"특수태그|"&amp;R985</x:f>
        <x:v>특수태그|없음</x:v>
      </x:c>
      <x:c r="AL985" s="5" t="str">
        <x:f>"원본서식지|"&amp;S985</x:f>
        <x:v>원본서식지|평원</x:v>
      </x:c>
      <x:c r="AM985" s="5" t="str">
        <x:f>"타입|"&amp;F985</x:f>
        <x:v>타입|노말</x:v>
      </x:c>
      <x:c r="AN985" s="5" t="str">
        <x:f>"타입|"&amp;G985</x:f>
        <x:v>타입|에스퍼</x:v>
      </x:c>
    </x:row>
    <x:row r="986" ht="24" customHeight="1">
      <x:c r="A986" s="5" t="n">
        <x:v>982</x:v>
      </x:c>
      <x:c r="B986" s="5" t="inlineStr">
        <x:is>
          <x:t xml:space="preserve">노고고치</x:t>
        </x:is>
      </x:c>
      <x:c r="C986" s="5" t="inlineStr">
        <x:is>
          <x:t xml:space="preserve">dudunsparce</x:t>
        </x:is>
      </x:c>
      <x:c r="D986" s="5" t="inlineStr">
        <x:is>
          <x:t xml:space="preserve">Dudunsparce</x:t>
        </x:is>
      </x:c>
      <x:c r="E986" s="5" t="n">
        <x:v>9</x:v>
      </x:c>
      <x:c r="F986" s="5" t="inlineStr">
        <x:is>
          <x:t xml:space="preserve">노말</x:t>
        </x:is>
      </x:c>
      <x:c r="G986" s="5" t="inlineStr">
        <x:is>
          <x:t xml:space="preserve"/>
        </x:is>
      </x:c>
      <x:c r="H986" s="6" t="n">
        <x:v>39.2</x:v>
      </x:c>
      <x:c r="I986" s="5" t="n"/>
      <x:c r="J986" s="5" t="inlineStr">
        <x:is>
          <x:t xml:space="preserve">최종</x:t>
        </x:is>
      </x:c>
      <x:c r="K986" s="7" t="inlineStr">
        <x:is>
          <x:t xml:space="preserve">육상</x:t>
        </x:is>
      </x:c>
      <x:c r="L986" s="7" t="inlineStr">
        <x:is>
          <x:t xml:space="preserve">개활지</x:t>
        </x:is>
      </x:c>
      <x:c r="M986" s="7" t="inlineStr">
        <x:is>
          <x:t xml:space="preserve">온대</x:t>
        </x:is>
      </x:c>
      <x:c r="N986" s="7" t="inlineStr">
        <x:is>
          <x:t xml:space="preserve">보통</x:t>
        </x:is>
      </x:c>
      <x:c r="O986" s="7" t="inlineStr">
        <x:is>
          <x:t xml:space="preserve">무관</x:t>
        </x:is>
      </x:c>
      <x:c r="P986" s="7" t="inlineStr">
        <x:is>
          <x:t xml:space="preserve">무관</x:t>
        </x:is>
      </x:c>
      <x:c r="Q986" s="7" t="inlineStr">
        <x:is>
          <x:t xml:space="preserve">보통</x:t>
        </x:is>
      </x:c>
      <x:c r="R986" s="7" t="inlineStr">
        <x:is>
          <x:t xml:space="preserve">없음</x:t>
        </x:is>
      </x:c>
      <x:c r="S986" s="7" t="inlineStr">
        <x:is>
          <x:t xml:space="preserve"/>
        </x:is>
      </x:c>
      <x:c r="T986" s="7" t="inlineStr">
        <x:is>
          <x:t xml:space="preserve"/>
        </x:is>
      </x:c>
      <x:c r="U986" s="8" t="str">
        <x:f>INDEX('서식지_점수'!$E$4:$P$4,1,MATCH(MAX('서식지_점수'!E986:P986),'서식지_점수'!E986:P986,0))</x:f>
        <x:v>평원</x:v>
      </x:c>
      <x:c r="V986" s="8" t="str">
        <x:f>IF(T986&lt;&gt;"",T986,U986)</x:f>
        <x:v>평원</x:v>
      </x:c>
      <x:c r="W986" s="8" t="str">
        <x:f>IFERROR(INDEX('서식지_점수'!$E$4:$P$4,1,MATCH(MAXIFS('서식지_점수'!E986:P986,'서식지_점수'!E986:P986,"&lt;"&amp;MAX('서식지_점수'!E986:P986)),'서식지_점수'!E986:P986,0)),"")</x:f>
        <x:v>숲</x:v>
      </x:c>
      <x:c r="X986" s="8" t="str">
        <x:f>IF(T986&lt;&gt;"","수동확정",IF(MAX('서식지_점수'!E986:P986)-LARGE('서식지_점수'!E986:P986,2)&gt;=15,"높음",IF(MAX('서식지_점수'!E986:P986)-LARGE('서식지_점수'!E986:P986,2)&gt;=8,"보통","검토필요")))</x:f>
        <x:v>검토필요</x:v>
      </x:c>
      <x:c r="Y986" s="9" t="n">
        <x:f>IF(Q986="전설",8,IF(Q986="희귀",7,IF(J986="기본",1,IF(J986="중간",3,IF(J986="최종",IF(I986="",5,IF(I986&lt;=20,3,IF(I986&lt;=35,4,IF(I986&lt;=50,6,7)))),IF(Q986="드묾",4,2))))))</x:f>
        <x:v>5</x:v>
      </x:c>
      <x:c r="Z986" s="5" t="inlineStr">
        <x:is>
          <x:t xml:space="preserve">#cobblemon:is_overworld</x:t>
        </x:is>
      </x:c>
      <x:c r="AA986" s="5" t="inlineStr">
        <x:is>
          <x:t xml:space="preserve">uncommon</x:t>
        </x:is>
      </x:c>
      <x:c r="AB986" s="5" t="inlineStr">
        <x:is>
          <x:t xml:space="preserve">예</x:t>
        </x:is>
      </x:c>
      <x:c r="AC986" s="8" t="str">
        <x:f>IF(T986&lt;&gt;"","수동확정",IF(X986="검토필요","검토필요",IF(S986="","원본없음","초기완료")))</x:f>
        <x:v>검토필요</x:v>
      </x:c>
      <x:c r="AD986" s="7" t="inlineStr">
        <x:is>
          <x:t xml:space="preserve"/>
        </x:is>
      </x:c>
      <x:c r="AE986" s="5" t="inlineStr">
        <x:is>
          <x:t xml:space="preserve">.tmp/cobblemon-1.7.3-source/common/src/main/resources/data/cobblemon/species/generation9/dudunsparce.json</x:t>
        </x:is>
      </x:c>
      <x:c r="AF986" s="5" t="str">
        <x:f>"생활권|"&amp;K986</x:f>
        <x:v>생활권|육상</x:v>
      </x:c>
      <x:c r="AG986" s="5" t="str">
        <x:f>"지형|"&amp;L986</x:f>
        <x:v>지형|개활지</x:v>
      </x:c>
      <x:c r="AH986" s="5" t="str">
        <x:f>"온도|"&amp;M986</x:f>
        <x:v>온도|온대</x:v>
      </x:c>
      <x:c r="AI986" s="5" t="str">
        <x:f>"습도|"&amp;N986</x:f>
        <x:v>습도|보통</x:v>
      </x:c>
      <x:c r="AJ986" s="5" t="str">
        <x:f>"날씨|"&amp;O986</x:f>
        <x:v>날씨|무관</x:v>
      </x:c>
      <x:c r="AK986" s="5" t="str">
        <x:f>"특수태그|"&amp;R986</x:f>
        <x:v>특수태그|없음</x:v>
      </x:c>
      <x:c r="AL986" s="5" t="str">
        <x:f>"원본서식지|"&amp;S986</x:f>
        <x:v>원본서식지|</x:v>
      </x:c>
      <x:c r="AM986" s="5" t="str">
        <x:f>"타입|"&amp;F986</x:f>
        <x:v>타입|노말</x:v>
      </x:c>
      <x:c r="AN986" s="5" t="str">
        <x:f>"타입|"&amp;G986</x:f>
        <x:v>타입|</x:v>
      </x:c>
    </x:row>
    <x:row r="987" ht="24" customHeight="1">
      <x:c r="A987" s="5" t="n">
        <x:v>983</x:v>
      </x:c>
      <x:c r="B987" s="5" t="inlineStr">
        <x:is>
          <x:t xml:space="preserve">대도각참</x:t>
        </x:is>
      </x:c>
      <x:c r="C987" s="5" t="inlineStr">
        <x:is>
          <x:t xml:space="preserve">kingambit</x:t>
        </x:is>
      </x:c>
      <x:c r="D987" s="5" t="inlineStr">
        <x:is>
          <x:t xml:space="preserve">Kingambit</x:t>
        </x:is>
      </x:c>
      <x:c r="E987" s="5" t="n">
        <x:v>9</x:v>
      </x:c>
      <x:c r="F987" s="5" t="inlineStr">
        <x:is>
          <x:t xml:space="preserve">악</x:t>
        </x:is>
      </x:c>
      <x:c r="G987" s="5" t="inlineStr">
        <x:is>
          <x:t xml:space="preserve">강철</x:t>
        </x:is>
      </x:c>
      <x:c r="H987" s="6" t="n">
        <x:v>120</x:v>
      </x:c>
      <x:c r="I987" s="5" t="n">
        <x:v>52</x:v>
      </x:c>
      <x:c r="J987" s="5" t="inlineStr">
        <x:is>
          <x:t xml:space="preserve">최종</x:t>
        </x:is>
      </x:c>
      <x:c r="K987" s="7" t="inlineStr">
        <x:is>
          <x:t xml:space="preserve">육상</x:t>
        </x:is>
      </x:c>
      <x:c r="L987" s="7" t="inlineStr">
        <x:is>
          <x:t xml:space="preserve">수목</x:t>
        </x:is>
      </x:c>
      <x:c r="M987" s="7" t="inlineStr">
        <x:is>
          <x:t xml:space="preserve">온대</x:t>
        </x:is>
      </x:c>
      <x:c r="N987" s="7" t="inlineStr">
        <x:is>
          <x:t xml:space="preserve">다습</x:t>
        </x:is>
      </x:c>
      <x:c r="O987" s="7" t="inlineStr">
        <x:is>
          <x:t xml:space="preserve">무관</x:t>
        </x:is>
      </x:c>
      <x:c r="P987" s="7" t="inlineStr">
        <x:is>
          <x:t xml:space="preserve">밤</x:t>
        </x:is>
      </x:c>
      <x:c r="Q987" s="7" t="inlineStr">
        <x:is>
          <x:t xml:space="preserve">희귀</x:t>
        </x:is>
      </x:c>
      <x:c r="R987" s="7" t="inlineStr">
        <x:is>
          <x:t xml:space="preserve">없음</x:t>
        </x:is>
      </x:c>
      <x:c r="S987" s="7" t="inlineStr">
        <x:is>
          <x:t xml:space="preserve">숲</x:t>
        </x:is>
      </x:c>
      <x:c r="T987" s="7" t="inlineStr">
        <x:is>
          <x:t xml:space="preserve"/>
        </x:is>
      </x:c>
      <x:c r="U987" s="8" t="str">
        <x:f>INDEX('서식지_점수'!$E$4:$P$4,1,MATCH(MAX('서식지_점수'!E987:P987),'서식지_점수'!E987:P987,0))</x:f>
        <x:v>평원</x:v>
      </x:c>
      <x:c r="V987" s="8" t="str">
        <x:f>IF(T987&lt;&gt;"",T987,U987)</x:f>
        <x:v>평원</x:v>
      </x:c>
      <x:c r="W987" s="8" t="str">
        <x:f>IFERROR(INDEX('서식지_점수'!$E$4:$P$4,1,MATCH(MAXIFS('서식지_점수'!E987:P987,'서식지_점수'!E987:P987,"&lt;"&amp;MAX('서식지_점수'!E987:P987)),'서식지_점수'!E987:P987,0)),"")</x:f>
        <x:v>숲</x:v>
      </x:c>
      <x:c r="X987" s="8" t="str">
        <x:f>IF(T987&lt;&gt;"","수동확정",IF(MAX('서식지_점수'!E987:P987)-LARGE('서식지_점수'!E987:P987,2)&gt;=15,"높음",IF(MAX('서식지_점수'!E987:P987)-LARGE('서식지_점수'!E987:P987,2)&gt;=8,"보통","검토필요")))</x:f>
        <x:v>검토필요</x:v>
      </x:c>
      <x:c r="Y987" s="9" t="n">
        <x:f>IF(Q987="전설",8,IF(Q987="희귀",7,IF(J987="기본",1,IF(J987="중간",3,IF(J987="최종",IF(I987="",5,IF(I987&lt;=20,3,IF(I987&lt;=35,4,IF(I987&lt;=50,6,7)))),IF(Q987="드묾",4,2))))))</x:f>
        <x:v>7</x:v>
      </x:c>
      <x:c r="Z987" s="5" t="inlineStr">
        <x:is>
          <x:t xml:space="preserve">minecraft:bamboo_jungle</x:t>
        </x:is>
      </x:c>
      <x:c r="AA987" s="5" t="inlineStr">
        <x:is>
          <x:t xml:space="preserve">ultra-rare</x:t>
        </x:is>
      </x:c>
      <x:c r="AB987" s="5" t="inlineStr">
        <x:is>
          <x:t xml:space="preserve">아니오</x:t>
        </x:is>
      </x:c>
      <x:c r="AC987" s="8" t="str">
        <x:f>IF(T987&lt;&gt;"","수동확정",IF(X987="검토필요","검토필요",IF(S987="","원본없음","초기완료")))</x:f>
        <x:v>검토필요</x:v>
      </x:c>
      <x:c r="AD987" s="7" t="inlineStr">
        <x:is>
          <x:t xml:space="preserve"/>
        </x:is>
      </x:c>
      <x:c r="AE987" s="5" t="inlineStr">
        <x:is>
          <x:t xml:space="preserve">.tmp/cobblemon-1.7.3-source/common/src/main/resources/data/cobblemon/species/generation9/kingambit.json</x:t>
        </x:is>
      </x:c>
      <x:c r="AF987" s="5" t="str">
        <x:f>"생활권|"&amp;K987</x:f>
        <x:v>생활권|육상</x:v>
      </x:c>
      <x:c r="AG987" s="5" t="str">
        <x:f>"지형|"&amp;L987</x:f>
        <x:v>지형|수목</x:v>
      </x:c>
      <x:c r="AH987" s="5" t="str">
        <x:f>"온도|"&amp;M987</x:f>
        <x:v>온도|온대</x:v>
      </x:c>
      <x:c r="AI987" s="5" t="str">
        <x:f>"습도|"&amp;N987</x:f>
        <x:v>습도|다습</x:v>
      </x:c>
      <x:c r="AJ987" s="5" t="str">
        <x:f>"날씨|"&amp;O987</x:f>
        <x:v>날씨|무관</x:v>
      </x:c>
      <x:c r="AK987" s="5" t="str">
        <x:f>"특수태그|"&amp;R987</x:f>
        <x:v>특수태그|없음</x:v>
      </x:c>
      <x:c r="AL987" s="5" t="str">
        <x:f>"원본서식지|"&amp;S987</x:f>
        <x:v>원본서식지|숲</x:v>
      </x:c>
      <x:c r="AM987" s="5" t="str">
        <x:f>"타입|"&amp;F987</x:f>
        <x:v>타입|악</x:v>
      </x:c>
      <x:c r="AN987" s="5" t="str">
        <x:f>"타입|"&amp;G987</x:f>
        <x:v>타입|강철</x:v>
      </x:c>
    </x:row>
    <x:row r="988" ht="24" customHeight="1">
      <x:c r="A988" s="5" t="n">
        <x:v>984</x:v>
      </x:c>
      <x:c r="B988" s="5" t="inlineStr">
        <x:is>
          <x:t xml:space="preserve">위대한엄니</x:t>
        </x:is>
      </x:c>
      <x:c r="C988" s="5" t="inlineStr">
        <x:is>
          <x:t xml:space="preserve">greattusk</x:t>
        </x:is>
      </x:c>
      <x:c r="D988" s="5" t="inlineStr">
        <x:is>
          <x:t xml:space="preserve">Great Tusk</x:t>
        </x:is>
      </x:c>
      <x:c r="E988" s="5" t="n">
        <x:v>9</x:v>
      </x:c>
      <x:c r="F988" s="5" t="inlineStr">
        <x:is>
          <x:t xml:space="preserve">땅</x:t>
        </x:is>
      </x:c>
      <x:c r="G988" s="5" t="inlineStr">
        <x:is>
          <x:t xml:space="preserve">격투</x:t>
        </x:is>
      </x:c>
      <x:c r="H988" s="6" t="n">
        <x:v>320</x:v>
      </x:c>
      <x:c r="I988" s="5" t="n"/>
      <x:c r="J988" s="5" t="inlineStr">
        <x:is>
          <x:t xml:space="preserve">무진화</x:t>
        </x:is>
      </x:c>
      <x:c r="K988" s="7" t="inlineStr">
        <x:is>
          <x:t xml:space="preserve">육상</x:t>
        </x:is>
      </x:c>
      <x:c r="L988" s="7" t="inlineStr">
        <x:is>
          <x:t xml:space="preserve">건조</x:t>
        </x:is>
      </x:c>
      <x:c r="M988" s="7" t="inlineStr">
        <x:is>
          <x:t xml:space="preserve">고온</x:t>
        </x:is>
      </x:c>
      <x:c r="N988" s="7" t="inlineStr">
        <x:is>
          <x:t xml:space="preserve">건조</x:t>
        </x:is>
      </x:c>
      <x:c r="O988" s="7" t="inlineStr">
        <x:is>
          <x:t xml:space="preserve">맑음</x:t>
        </x:is>
      </x:c>
      <x:c r="P988" s="7" t="inlineStr">
        <x:is>
          <x:t xml:space="preserve">무관</x:t>
        </x:is>
      </x:c>
      <x:c r="Q988" s="7" t="inlineStr">
        <x:is>
          <x:t xml:space="preserve">드묾</x:t>
        </x:is>
      </x:c>
      <x:c r="R988" s="7" t="inlineStr">
        <x:is>
          <x:t xml:space="preserve">없음</x:t>
        </x:is>
      </x:c>
      <x:c r="S988" s="7" t="inlineStr">
        <x:is>
          <x:t xml:space="preserve">건조지</x:t>
        </x:is>
      </x:c>
      <x:c r="T988" s="7" t="inlineStr">
        <x:is>
          <x:t xml:space="preserve"/>
        </x:is>
      </x:c>
      <x:c r="U988" s="8" t="str">
        <x:f>INDEX('서식지_점수'!$E$4:$P$4,1,MATCH(MAX('서식지_점수'!E988:P988),'서식지_점수'!E988:P988,0))</x:f>
        <x:v>평원</x:v>
      </x:c>
      <x:c r="V988" s="8" t="str">
        <x:f>IF(T988&lt;&gt;"",T988,U988)</x:f>
        <x:v>평원</x:v>
      </x:c>
      <x:c r="W988" s="8" t="str">
        <x:f>IFERROR(INDEX('서식지_점수'!$E$4:$P$4,1,MATCH(MAXIFS('서식지_점수'!E988:P988,'서식지_점수'!E988:P988,"&lt;"&amp;MAX('서식지_점수'!E988:P988)),'서식지_점수'!E988:P988,0)),"")</x:f>
        <x:v>숲</x:v>
      </x:c>
      <x:c r="X988" s="8" t="str">
        <x:f>IF(T988&lt;&gt;"","수동확정",IF(MAX('서식지_점수'!E988:P988)-LARGE('서식지_점수'!E988:P988,2)&gt;=15,"높음",IF(MAX('서식지_점수'!E988:P988)-LARGE('서식지_점수'!E988:P988,2)&gt;=8,"보통","검토필요")))</x:f>
        <x:v>검토필요</x:v>
      </x:c>
      <x:c r="Y988" s="9" t="n">
        <x:f>IF(Q988="전설",8,IF(Q988="희귀",7,IF(J988="기본",1,IF(J988="중간",3,IF(J988="최종",IF(I988="",5,IF(I988&lt;=20,3,IF(I988&lt;=35,4,IF(I988&lt;=50,6,7)))),IF(Q988="드묾",4,2))))))</x:f>
        <x:v>4</x:v>
      </x:c>
      <x:c r="Z988" s="5" t="inlineStr">
        <x:is>
          <x:t xml:space="preserve">#cobblemon:is_arid</x:t>
        </x:is>
      </x:c>
      <x:c r="AA988" s="5" t="inlineStr">
        <x:is>
          <x:t xml:space="preserve">rare</x:t>
        </x:is>
      </x:c>
      <x:c r="AB988" s="5" t="inlineStr">
        <x:is>
          <x:t xml:space="preserve">아니오</x:t>
        </x:is>
      </x:c>
      <x:c r="AC988" s="8" t="str">
        <x:f>IF(T988&lt;&gt;"","수동확정",IF(X988="검토필요","검토필요",IF(S988="","원본없음","초기완료")))</x:f>
        <x:v>검토필요</x:v>
      </x:c>
      <x:c r="AD988" s="7" t="inlineStr">
        <x:is>
          <x:t xml:space="preserve"/>
        </x:is>
      </x:c>
      <x:c r="AE988" s="5" t="inlineStr">
        <x:is>
          <x:t xml:space="preserve">.tmp/cobblemon-1.7.3-source/common/src/main/resources/data/cobblemon/species/generation9/greattusk.json</x:t>
        </x:is>
      </x:c>
      <x:c r="AF988" s="5" t="str">
        <x:f>"생활권|"&amp;K988</x:f>
        <x:v>생활권|육상</x:v>
      </x:c>
      <x:c r="AG988" s="5" t="str">
        <x:f>"지형|"&amp;L988</x:f>
        <x:v>지형|건조</x:v>
      </x:c>
      <x:c r="AH988" s="5" t="str">
        <x:f>"온도|"&amp;M988</x:f>
        <x:v>온도|고온</x:v>
      </x:c>
      <x:c r="AI988" s="5" t="str">
        <x:f>"습도|"&amp;N988</x:f>
        <x:v>습도|건조</x:v>
      </x:c>
      <x:c r="AJ988" s="5" t="str">
        <x:f>"날씨|"&amp;O988</x:f>
        <x:v>날씨|맑음</x:v>
      </x:c>
      <x:c r="AK988" s="5" t="str">
        <x:f>"특수태그|"&amp;R988</x:f>
        <x:v>특수태그|없음</x:v>
      </x:c>
      <x:c r="AL988" s="5" t="str">
        <x:f>"원본서식지|"&amp;S988</x:f>
        <x:v>원본서식지|건조지</x:v>
      </x:c>
      <x:c r="AM988" s="5" t="str">
        <x:f>"타입|"&amp;F988</x:f>
        <x:v>타입|땅</x:v>
      </x:c>
      <x:c r="AN988" s="5" t="str">
        <x:f>"타입|"&amp;G988</x:f>
        <x:v>타입|격투</x:v>
      </x:c>
    </x:row>
    <x:row r="989" ht="24" customHeight="1">
      <x:c r="A989" s="5" t="n">
        <x:v>985</x:v>
      </x:c>
      <x:c r="B989" s="5" t="inlineStr">
        <x:is>
          <x:t xml:space="preserve">우렁찬꼬리</x:t>
        </x:is>
      </x:c>
      <x:c r="C989" s="5" t="inlineStr">
        <x:is>
          <x:t xml:space="preserve">screamtail</x:t>
        </x:is>
      </x:c>
      <x:c r="D989" s="5" t="inlineStr">
        <x:is>
          <x:t xml:space="preserve">Scream Tail</x:t>
        </x:is>
      </x:c>
      <x:c r="E989" s="5" t="n">
        <x:v>9</x:v>
      </x:c>
      <x:c r="F989" s="5" t="inlineStr">
        <x:is>
          <x:t xml:space="preserve">페어리</x:t>
        </x:is>
      </x:c>
      <x:c r="G989" s="5" t="inlineStr">
        <x:is>
          <x:t xml:space="preserve">에스퍼</x:t>
        </x:is>
      </x:c>
      <x:c r="H989" s="6" t="n">
        <x:v>8</x:v>
      </x:c>
      <x:c r="I989" s="5" t="n"/>
      <x:c r="J989" s="5" t="inlineStr">
        <x:is>
          <x:t xml:space="preserve">무진화</x:t>
        </x:is>
      </x:c>
      <x:c r="K989" s="7" t="inlineStr">
        <x:is>
          <x:t xml:space="preserve">육상</x:t>
        </x:is>
      </x:c>
      <x:c r="L989" s="7" t="inlineStr">
        <x:is>
          <x:t xml:space="preserve">개활지</x:t>
        </x:is>
      </x:c>
      <x:c r="M989" s="7" t="inlineStr">
        <x:is>
          <x:t xml:space="preserve">온대</x:t>
        </x:is>
      </x:c>
      <x:c r="N989" s="7" t="inlineStr">
        <x:is>
          <x:t xml:space="preserve">보통</x:t>
        </x:is>
      </x:c>
      <x:c r="O989" s="7" t="inlineStr">
        <x:is>
          <x:t xml:space="preserve">무관</x:t>
        </x:is>
      </x:c>
      <x:c r="P989" s="7" t="inlineStr">
        <x:is>
          <x:t xml:space="preserve">무관</x:t>
        </x:is>
      </x:c>
      <x:c r="Q989" s="7" t="inlineStr">
        <x:is>
          <x:t xml:space="preserve">드묾</x:t>
        </x:is>
      </x:c>
      <x:c r="R989" s="7" t="inlineStr">
        <x:is>
          <x:t xml:space="preserve">없음</x:t>
        </x:is>
      </x:c>
      <x:c r="S989" s="7" t="inlineStr">
        <x:is>
          <x:t xml:space="preserve"/>
        </x:is>
      </x:c>
      <x:c r="T989" s="7" t="inlineStr">
        <x:is>
          <x:t xml:space="preserve"/>
        </x:is>
      </x:c>
      <x:c r="U989" s="8" t="str">
        <x:f>INDEX('서식지_점수'!$E$4:$P$4,1,MATCH(MAX('서식지_점수'!E989:P989),'서식지_점수'!E989:P989,0))</x:f>
        <x:v>평원</x:v>
      </x:c>
      <x:c r="V989" s="8" t="str">
        <x:f>IF(T989&lt;&gt;"",T989,U989)</x:f>
        <x:v>평원</x:v>
      </x:c>
      <x:c r="W989" s="8" t="str">
        <x:f>IFERROR(INDEX('서식지_점수'!$E$4:$P$4,1,MATCH(MAXIFS('서식지_점수'!E989:P989,'서식지_점수'!E989:P989,"&lt;"&amp;MAX('서식지_점수'!E989:P989)),'서식지_점수'!E989:P989,0)),"")</x:f>
        <x:v>숲</x:v>
      </x:c>
      <x:c r="X989" s="8" t="str">
        <x:f>IF(T989&lt;&gt;"","수동확정",IF(MAX('서식지_점수'!E989:P989)-LARGE('서식지_점수'!E989:P989,2)&gt;=15,"높음",IF(MAX('서식지_점수'!E989:P989)-LARGE('서식지_점수'!E989:P989,2)&gt;=8,"보통","검토필요")))</x:f>
        <x:v>검토필요</x:v>
      </x:c>
      <x:c r="Y989" s="9" t="n">
        <x:f>IF(Q989="전설",8,IF(Q989="희귀",7,IF(J989="기본",1,IF(J989="중간",3,IF(J989="최종",IF(I989="",5,IF(I989&lt;=20,3,IF(I989&lt;=35,4,IF(I989&lt;=50,6,7)))),IF(Q989="드묾",4,2))))))</x:f>
        <x:v>4</x:v>
      </x:c>
      <x:c r="Z989" s="5" t="inlineStr">
        <x:is>
          <x:t xml:space="preserve">#cobblemon:is_floral</x:t>
        </x:is>
      </x:c>
      <x:c r="AA989" s="5" t="inlineStr">
        <x:is>
          <x:t xml:space="preserve">rare</x:t>
        </x:is>
      </x:c>
      <x:c r="AB989" s="5" t="inlineStr">
        <x:is>
          <x:t xml:space="preserve">아니오</x:t>
        </x:is>
      </x:c>
      <x:c r="AC989" s="8" t="str">
        <x:f>IF(T989&lt;&gt;"","수동확정",IF(X989="검토필요","검토필요",IF(S989="","원본없음","초기완료")))</x:f>
        <x:v>검토필요</x:v>
      </x:c>
      <x:c r="AD989" s="7" t="inlineStr">
        <x:is>
          <x:t xml:space="preserve"/>
        </x:is>
      </x:c>
      <x:c r="AE989" s="5" t="inlineStr">
        <x:is>
          <x:t xml:space="preserve">.tmp/cobblemon-1.7.3-source/common/src/main/resources/data/cobblemon/species/generation9/screamtail.json</x:t>
        </x:is>
      </x:c>
      <x:c r="AF989" s="5" t="str">
        <x:f>"생활권|"&amp;K989</x:f>
        <x:v>생활권|육상</x:v>
      </x:c>
      <x:c r="AG989" s="5" t="str">
        <x:f>"지형|"&amp;L989</x:f>
        <x:v>지형|개활지</x:v>
      </x:c>
      <x:c r="AH989" s="5" t="str">
        <x:f>"온도|"&amp;M989</x:f>
        <x:v>온도|온대</x:v>
      </x:c>
      <x:c r="AI989" s="5" t="str">
        <x:f>"습도|"&amp;N989</x:f>
        <x:v>습도|보통</x:v>
      </x:c>
      <x:c r="AJ989" s="5" t="str">
        <x:f>"날씨|"&amp;O989</x:f>
        <x:v>날씨|무관</x:v>
      </x:c>
      <x:c r="AK989" s="5" t="str">
        <x:f>"특수태그|"&amp;R989</x:f>
        <x:v>특수태그|없음</x:v>
      </x:c>
      <x:c r="AL989" s="5" t="str">
        <x:f>"원본서식지|"&amp;S989</x:f>
        <x:v>원본서식지|</x:v>
      </x:c>
      <x:c r="AM989" s="5" t="str">
        <x:f>"타입|"&amp;F989</x:f>
        <x:v>타입|페어리</x:v>
      </x:c>
      <x:c r="AN989" s="5" t="str">
        <x:f>"타입|"&amp;G989</x:f>
        <x:v>타입|에스퍼</x:v>
      </x:c>
    </x:row>
    <x:row r="990" ht="24" customHeight="1">
      <x:c r="A990" s="5" t="n">
        <x:v>986</x:v>
      </x:c>
      <x:c r="B990" s="5" t="inlineStr">
        <x:is>
          <x:t xml:space="preserve">사나운버섯</x:t>
        </x:is>
      </x:c>
      <x:c r="C990" s="5" t="inlineStr">
        <x:is>
          <x:t xml:space="preserve">brutebonnet</x:t>
        </x:is>
      </x:c>
      <x:c r="D990" s="5" t="inlineStr">
        <x:is>
          <x:t xml:space="preserve">Brute Bonnet</x:t>
        </x:is>
      </x:c>
      <x:c r="E990" s="5" t="n">
        <x:v>9</x:v>
      </x:c>
      <x:c r="F990" s="5" t="inlineStr">
        <x:is>
          <x:t xml:space="preserve">풀</x:t>
        </x:is>
      </x:c>
      <x:c r="G990" s="5" t="inlineStr">
        <x:is>
          <x:t xml:space="preserve">악</x:t>
        </x:is>
      </x:c>
      <x:c r="H990" s="6" t="n">
        <x:v>21</x:v>
      </x:c>
      <x:c r="I990" s="5" t="n"/>
      <x:c r="J990" s="5" t="inlineStr">
        <x:is>
          <x:t xml:space="preserve">무진화</x:t>
        </x:is>
      </x:c>
      <x:c r="K990" s="7" t="inlineStr">
        <x:is>
          <x:t xml:space="preserve">육상</x:t>
        </x:is>
      </x:c>
      <x:c r="L990" s="7" t="inlineStr">
        <x:is>
          <x:t xml:space="preserve">수목</x:t>
        </x:is>
      </x:c>
      <x:c r="M990" s="7" t="inlineStr">
        <x:is>
          <x:t xml:space="preserve">온대</x:t>
        </x:is>
      </x:c>
      <x:c r="N990" s="7" t="inlineStr">
        <x:is>
          <x:t xml:space="preserve">다습</x:t>
        </x:is>
      </x:c>
      <x:c r="O990" s="7" t="inlineStr">
        <x:is>
          <x:t xml:space="preserve">무관</x:t>
        </x:is>
      </x:c>
      <x:c r="P990" s="7" t="inlineStr">
        <x:is>
          <x:t xml:space="preserve">밤</x:t>
        </x:is>
      </x:c>
      <x:c r="Q990" s="7" t="inlineStr">
        <x:is>
          <x:t xml:space="preserve">드묾</x:t>
        </x:is>
      </x:c>
      <x:c r="R990" s="7" t="inlineStr">
        <x:is>
          <x:t xml:space="preserve">없음</x:t>
        </x:is>
      </x:c>
      <x:c r="S990" s="7" t="inlineStr">
        <x:is>
          <x:t xml:space="preserve">숲</x:t>
        </x:is>
      </x:c>
      <x:c r="T990" s="7" t="inlineStr">
        <x:is>
          <x:t xml:space="preserve"/>
        </x:is>
      </x:c>
      <x:c r="U990" s="8" t="str">
        <x:f>INDEX('서식지_점수'!$E$4:$P$4,1,MATCH(MAX('서식지_점수'!E990:P990),'서식지_점수'!E990:P990,0))</x:f>
        <x:v>평원</x:v>
      </x:c>
      <x:c r="V990" s="8" t="str">
        <x:f>IF(T990&lt;&gt;"",T990,U990)</x:f>
        <x:v>평원</x:v>
      </x:c>
      <x:c r="W990" s="8" t="str">
        <x:f>IFERROR(INDEX('서식지_점수'!$E$4:$P$4,1,MATCH(MAXIFS('서식지_점수'!E990:P990,'서식지_점수'!E990:P990,"&lt;"&amp;MAX('서식지_점수'!E990:P990)),'서식지_점수'!E990:P990,0)),"")</x:f>
        <x:v>숲</x:v>
      </x:c>
      <x:c r="X990" s="8" t="str">
        <x:f>IF(T990&lt;&gt;"","수동확정",IF(MAX('서식지_점수'!E990:P990)-LARGE('서식지_점수'!E990:P990,2)&gt;=15,"높음",IF(MAX('서식지_점수'!E990:P990)-LARGE('서식지_점수'!E990:P990,2)&gt;=8,"보통","검토필요")))</x:f>
        <x:v>검토필요</x:v>
      </x:c>
      <x:c r="Y990" s="9" t="n">
        <x:f>IF(Q990="전설",8,IF(Q990="희귀",7,IF(J990="기본",1,IF(J990="중간",3,IF(J990="최종",IF(I990="",5,IF(I990&lt;=20,3,IF(I990&lt;=35,4,IF(I990&lt;=50,6,7)))),IF(Q990="드묾",4,2))))))</x:f>
        <x:v>4</x:v>
      </x:c>
      <x:c r="Z990" s="5" t="inlineStr">
        <x:is>
          <x:t xml:space="preserve">#cobblemon:is_jungle</x:t>
        </x:is>
      </x:c>
      <x:c r="AA990" s="5" t="inlineStr">
        <x:is>
          <x:t xml:space="preserve">rare</x:t>
        </x:is>
      </x:c>
      <x:c r="AB990" s="5" t="inlineStr">
        <x:is>
          <x:t xml:space="preserve">아니오</x:t>
        </x:is>
      </x:c>
      <x:c r="AC990" s="8" t="str">
        <x:f>IF(T990&lt;&gt;"","수동확정",IF(X990="검토필요","검토필요",IF(S990="","원본없음","초기완료")))</x:f>
        <x:v>검토필요</x:v>
      </x:c>
      <x:c r="AD990" s="7" t="inlineStr">
        <x:is>
          <x:t xml:space="preserve"/>
        </x:is>
      </x:c>
      <x:c r="AE990" s="5" t="inlineStr">
        <x:is>
          <x:t xml:space="preserve">.tmp/cobblemon-1.7.3-source/common/src/main/resources/data/cobblemon/species/generation9/brutebonnet.json</x:t>
        </x:is>
      </x:c>
      <x:c r="AF990" s="5" t="str">
        <x:f>"생활권|"&amp;K990</x:f>
        <x:v>생활권|육상</x:v>
      </x:c>
      <x:c r="AG990" s="5" t="str">
        <x:f>"지형|"&amp;L990</x:f>
        <x:v>지형|수목</x:v>
      </x:c>
      <x:c r="AH990" s="5" t="str">
        <x:f>"온도|"&amp;M990</x:f>
        <x:v>온도|온대</x:v>
      </x:c>
      <x:c r="AI990" s="5" t="str">
        <x:f>"습도|"&amp;N990</x:f>
        <x:v>습도|다습</x:v>
      </x:c>
      <x:c r="AJ990" s="5" t="str">
        <x:f>"날씨|"&amp;O990</x:f>
        <x:v>날씨|무관</x:v>
      </x:c>
      <x:c r="AK990" s="5" t="str">
        <x:f>"특수태그|"&amp;R990</x:f>
        <x:v>특수태그|없음</x:v>
      </x:c>
      <x:c r="AL990" s="5" t="str">
        <x:f>"원본서식지|"&amp;S990</x:f>
        <x:v>원본서식지|숲</x:v>
      </x:c>
      <x:c r="AM990" s="5" t="str">
        <x:f>"타입|"&amp;F990</x:f>
        <x:v>타입|풀</x:v>
      </x:c>
      <x:c r="AN990" s="5" t="str">
        <x:f>"타입|"&amp;G990</x:f>
        <x:v>타입|악</x:v>
      </x:c>
    </x:row>
    <x:row r="991" ht="24" customHeight="1">
      <x:c r="A991" s="5" t="n">
        <x:v>987</x:v>
      </x:c>
      <x:c r="B991" s="5" t="inlineStr">
        <x:is>
          <x:t xml:space="preserve">날개치는머리</x:t>
        </x:is>
      </x:c>
      <x:c r="C991" s="5" t="inlineStr">
        <x:is>
          <x:t xml:space="preserve">fluttermane</x:t>
        </x:is>
      </x:c>
      <x:c r="D991" s="5" t="inlineStr">
        <x:is>
          <x:t xml:space="preserve">Flutter Mane</x:t>
        </x:is>
      </x:c>
      <x:c r="E991" s="5" t="n">
        <x:v>9</x:v>
      </x:c>
      <x:c r="F991" s="5" t="inlineStr">
        <x:is>
          <x:t xml:space="preserve">고스트</x:t>
        </x:is>
      </x:c>
      <x:c r="G991" s="5" t="inlineStr">
        <x:is>
          <x:t xml:space="preserve">페어리</x:t>
        </x:is>
      </x:c>
      <x:c r="H991" s="6" t="n">
        <x:v>4</x:v>
      </x:c>
      <x:c r="I991" s="5" t="n"/>
      <x:c r="J991" s="5" t="inlineStr">
        <x:is>
          <x:t xml:space="preserve">무진화</x:t>
        </x:is>
      </x:c>
      <x:c r="K991" s="7" t="inlineStr">
        <x:is>
          <x:t xml:space="preserve">비행</x:t>
        </x:is>
      </x:c>
      <x:c r="L991" s="7" t="inlineStr">
        <x:is>
          <x:t xml:space="preserve">특수</x:t>
        </x:is>
      </x:c>
      <x:c r="M991" s="7" t="inlineStr">
        <x:is>
          <x:t xml:space="preserve">온대</x:t>
        </x:is>
      </x:c>
      <x:c r="N991" s="7" t="inlineStr">
        <x:is>
          <x:t xml:space="preserve">보통</x:t>
        </x:is>
      </x:c>
      <x:c r="O991" s="7" t="inlineStr">
        <x:is>
          <x:t xml:space="preserve">안개</x:t>
        </x:is>
      </x:c>
      <x:c r="P991" s="7" t="inlineStr">
        <x:is>
          <x:t xml:space="preserve">밤</x:t>
        </x:is>
      </x:c>
      <x:c r="Q991" s="7" t="inlineStr">
        <x:is>
          <x:t xml:space="preserve">드묾</x:t>
        </x:is>
      </x:c>
      <x:c r="R991" s="7" t="inlineStr">
        <x:is>
          <x:t xml:space="preserve">영체</x:t>
        </x:is>
      </x:c>
      <x:c r="S991" s="7" t="inlineStr">
        <x:is>
          <x:t xml:space="preserve">특수</x:t>
        </x:is>
      </x:c>
      <x:c r="T991" s="7" t="inlineStr">
        <x:is>
          <x:t xml:space="preserve"/>
        </x:is>
      </x:c>
      <x:c r="U991" s="8" t="str">
        <x:f>INDEX('서식지_점수'!$E$4:$P$4,1,MATCH(MAX('서식지_점수'!E991:P991),'서식지_점수'!E991:P991,0))</x:f>
        <x:v>산악</x:v>
      </x:c>
      <x:c r="V991" s="8" t="str">
        <x:f>IF(T991&lt;&gt;"",T991,U991)</x:f>
        <x:v>산악</x:v>
      </x:c>
      <x:c r="W991" s="8" t="str">
        <x:f>IFERROR(INDEX('서식지_점수'!$E$4:$P$4,1,MATCH(MAXIFS('서식지_점수'!E991:P991,'서식지_점수'!E991:P991,"&lt;"&amp;MAX('서식지_점수'!E991:P991)),'서식지_점수'!E991:P991,0)),"")</x:f>
        <x:v>평원</x:v>
      </x:c>
      <x:c r="X991" s="8" t="str">
        <x:f>IF(T991&lt;&gt;"","수동확정",IF(MAX('서식지_점수'!E991:P991)-LARGE('서식지_점수'!E991:P991,2)&gt;=15,"높음",IF(MAX('서식지_점수'!E991:P991)-LARGE('서식지_점수'!E991:P991,2)&gt;=8,"보통","검토필요")))</x:f>
        <x:v>검토필요</x:v>
      </x:c>
      <x:c r="Y991" s="9" t="n">
        <x:f>IF(Q991="전설",8,IF(Q991="희귀",7,IF(J991="기본",1,IF(J991="중간",3,IF(J991="최종",IF(I991="",5,IF(I991&lt;=20,3,IF(I991&lt;=35,4,IF(I991&lt;=50,6,7)))),IF(Q991="드묾",4,2))))))</x:f>
        <x:v>4</x:v>
      </x:c>
      <x:c r="Z991" s="5" t="inlineStr">
        <x:is>
          <x:t xml:space="preserve">#cobblemon:is_spooky; minecraft:deep_dark</x:t>
        </x:is>
      </x:c>
      <x:c r="AA991" s="5" t="inlineStr">
        <x:is>
          <x:t xml:space="preserve">rare</x:t>
        </x:is>
      </x:c>
      <x:c r="AB991" s="5" t="inlineStr">
        <x:is>
          <x:t xml:space="preserve">아니오</x:t>
        </x:is>
      </x:c>
      <x:c r="AC991" s="8" t="str">
        <x:f>IF(T991&lt;&gt;"","수동확정",IF(X991="검토필요","검토필요",IF(S991="","원본없음","초기완료")))</x:f>
        <x:v>검토필요</x:v>
      </x:c>
      <x:c r="AD991" s="7" t="inlineStr">
        <x:is>
          <x:t xml:space="preserve"/>
        </x:is>
      </x:c>
      <x:c r="AE991" s="5" t="inlineStr">
        <x:is>
          <x:t xml:space="preserve">.tmp/cobblemon-1.7.3-source/common/src/main/resources/data/cobblemon/species/generation9/fluttermane.json</x:t>
        </x:is>
      </x:c>
      <x:c r="AF991" s="5" t="str">
        <x:f>"생활권|"&amp;K991</x:f>
        <x:v>생활권|비행</x:v>
      </x:c>
      <x:c r="AG991" s="5" t="str">
        <x:f>"지형|"&amp;L991</x:f>
        <x:v>지형|특수</x:v>
      </x:c>
      <x:c r="AH991" s="5" t="str">
        <x:f>"온도|"&amp;M991</x:f>
        <x:v>온도|온대</x:v>
      </x:c>
      <x:c r="AI991" s="5" t="str">
        <x:f>"습도|"&amp;N991</x:f>
        <x:v>습도|보통</x:v>
      </x:c>
      <x:c r="AJ991" s="5" t="str">
        <x:f>"날씨|"&amp;O991</x:f>
        <x:v>날씨|안개</x:v>
      </x:c>
      <x:c r="AK991" s="5" t="str">
        <x:f>"특수태그|"&amp;R991</x:f>
        <x:v>특수태그|영체</x:v>
      </x:c>
      <x:c r="AL991" s="5" t="str">
        <x:f>"원본서식지|"&amp;S991</x:f>
        <x:v>원본서식지|특수</x:v>
      </x:c>
      <x:c r="AM991" s="5" t="str">
        <x:f>"타입|"&amp;F991</x:f>
        <x:v>타입|고스트</x:v>
      </x:c>
      <x:c r="AN991" s="5" t="str">
        <x:f>"타입|"&amp;G991</x:f>
        <x:v>타입|페어리</x:v>
      </x:c>
    </x:row>
    <x:row r="992" ht="24" customHeight="1">
      <x:c r="A992" s="5" t="n">
        <x:v>988</x:v>
      </x:c>
      <x:c r="B992" s="5" t="inlineStr">
        <x:is>
          <x:t xml:space="preserve">땅을기는날개</x:t>
        </x:is>
      </x:c>
      <x:c r="C992" s="5" t="inlineStr">
        <x:is>
          <x:t xml:space="preserve">slitherwing</x:t>
        </x:is>
      </x:c>
      <x:c r="D992" s="5" t="inlineStr">
        <x:is>
          <x:t xml:space="preserve">Slither Wing</x:t>
        </x:is>
      </x:c>
      <x:c r="E992" s="5" t="n">
        <x:v>9</x:v>
      </x:c>
      <x:c r="F992" s="5" t="inlineStr">
        <x:is>
          <x:t xml:space="preserve">벌레</x:t>
        </x:is>
      </x:c>
      <x:c r="G992" s="5" t="inlineStr">
        <x:is>
          <x:t xml:space="preserve">격투</x:t>
        </x:is>
      </x:c>
      <x:c r="H992" s="6" t="n">
        <x:v>92</x:v>
      </x:c>
      <x:c r="I992" s="5" t="n"/>
      <x:c r="J992" s="5" t="inlineStr">
        <x:is>
          <x:t xml:space="preserve">무진화</x:t>
        </x:is>
      </x:c>
      <x:c r="K992" s="7" t="inlineStr">
        <x:is>
          <x:t xml:space="preserve">육상</x:t>
        </x:is>
      </x:c>
      <x:c r="L992" s="7" t="inlineStr">
        <x:is>
          <x:t xml:space="preserve">수목</x:t>
        </x:is>
      </x:c>
      <x:c r="M992" s="7" t="inlineStr">
        <x:is>
          <x:t xml:space="preserve">온대</x:t>
        </x:is>
      </x:c>
      <x:c r="N992" s="7" t="inlineStr">
        <x:is>
          <x:t xml:space="preserve">다습</x:t>
        </x:is>
      </x:c>
      <x:c r="O992" s="7" t="inlineStr">
        <x:is>
          <x:t xml:space="preserve">무관</x:t>
        </x:is>
      </x:c>
      <x:c r="P992" s="7" t="inlineStr">
        <x:is>
          <x:t xml:space="preserve">무관</x:t>
        </x:is>
      </x:c>
      <x:c r="Q992" s="7" t="inlineStr">
        <x:is>
          <x:t xml:space="preserve">희귀</x:t>
        </x:is>
      </x:c>
      <x:c r="R992" s="7" t="inlineStr">
        <x:is>
          <x:t xml:space="preserve">없음</x:t>
        </x:is>
      </x:c>
      <x:c r="S992" s="7" t="inlineStr">
        <x:is>
          <x:t xml:space="preserve">숲</x:t>
        </x:is>
      </x:c>
      <x:c r="T992" s="7" t="inlineStr">
        <x:is>
          <x:t xml:space="preserve"/>
        </x:is>
      </x:c>
      <x:c r="U992" s="8" t="str">
        <x:f>INDEX('서식지_점수'!$E$4:$P$4,1,MATCH(MAX('서식지_점수'!E992:P992),'서식지_점수'!E992:P992,0))</x:f>
        <x:v>평원</x:v>
      </x:c>
      <x:c r="V992" s="8" t="str">
        <x:f>IF(T992&lt;&gt;"",T992,U992)</x:f>
        <x:v>평원</x:v>
      </x:c>
      <x:c r="W992" s="8" t="str">
        <x:f>IFERROR(INDEX('서식지_점수'!$E$4:$P$4,1,MATCH(MAXIFS('서식지_점수'!E992:P992,'서식지_점수'!E992:P992,"&lt;"&amp;MAX('서식지_점수'!E992:P992)),'서식지_점수'!E992:P992,0)),"")</x:f>
        <x:v>숲</x:v>
      </x:c>
      <x:c r="X992" s="8" t="str">
        <x:f>IF(T992&lt;&gt;"","수동확정",IF(MAX('서식지_점수'!E992:P992)-LARGE('서식지_점수'!E992:P992,2)&gt;=15,"높음",IF(MAX('서식지_점수'!E992:P992)-LARGE('서식지_점수'!E992:P992,2)&gt;=8,"보통","검토필요")))</x:f>
        <x:v>검토필요</x:v>
      </x:c>
      <x:c r="Y992" s="9" t="n">
        <x:f>IF(Q992="전설",8,IF(Q992="희귀",7,IF(J992="기본",1,IF(J992="중간",3,IF(J992="최종",IF(I992="",5,IF(I992&lt;=20,3,IF(I992&lt;=35,4,IF(I992&lt;=50,6,7)))),IF(Q992="드묾",4,2))))))</x:f>
        <x:v>7</x:v>
      </x:c>
      <x:c r="Z992" s="5" t="inlineStr">
        <x:is>
          <x:t xml:space="preserve">#cobblemon:is_jungle; minecraft:crimson_forest</x:t>
        </x:is>
      </x:c>
      <x:c r="AA992" s="5" t="inlineStr">
        <x:is>
          <x:t xml:space="preserve">rare; ultra-rare</x:t>
        </x:is>
      </x:c>
      <x:c r="AB992" s="5" t="inlineStr">
        <x:is>
          <x:t xml:space="preserve">아니오</x:t>
        </x:is>
      </x:c>
      <x:c r="AC992" s="8" t="str">
        <x:f>IF(T992&lt;&gt;"","수동확정",IF(X992="검토필요","검토필요",IF(S992="","원본없음","초기완료")))</x:f>
        <x:v>검토필요</x:v>
      </x:c>
      <x:c r="AD992" s="7" t="inlineStr">
        <x:is>
          <x:t xml:space="preserve"/>
        </x:is>
      </x:c>
      <x:c r="AE992" s="5" t="inlineStr">
        <x:is>
          <x:t xml:space="preserve">.tmp/cobblemon-1.7.3-source/common/src/main/resources/data/cobblemon/species/generation9/slitherwing.json</x:t>
        </x:is>
      </x:c>
      <x:c r="AF992" s="5" t="str">
        <x:f>"생활권|"&amp;K992</x:f>
        <x:v>생활권|육상</x:v>
      </x:c>
      <x:c r="AG992" s="5" t="str">
        <x:f>"지형|"&amp;L992</x:f>
        <x:v>지형|수목</x:v>
      </x:c>
      <x:c r="AH992" s="5" t="str">
        <x:f>"온도|"&amp;M992</x:f>
        <x:v>온도|온대</x:v>
      </x:c>
      <x:c r="AI992" s="5" t="str">
        <x:f>"습도|"&amp;N992</x:f>
        <x:v>습도|다습</x:v>
      </x:c>
      <x:c r="AJ992" s="5" t="str">
        <x:f>"날씨|"&amp;O992</x:f>
        <x:v>날씨|무관</x:v>
      </x:c>
      <x:c r="AK992" s="5" t="str">
        <x:f>"특수태그|"&amp;R992</x:f>
        <x:v>특수태그|없음</x:v>
      </x:c>
      <x:c r="AL992" s="5" t="str">
        <x:f>"원본서식지|"&amp;S992</x:f>
        <x:v>원본서식지|숲</x:v>
      </x:c>
      <x:c r="AM992" s="5" t="str">
        <x:f>"타입|"&amp;F992</x:f>
        <x:v>타입|벌레</x:v>
      </x:c>
      <x:c r="AN992" s="5" t="str">
        <x:f>"타입|"&amp;G992</x:f>
        <x:v>타입|격투</x:v>
      </x:c>
    </x:row>
    <x:row r="993" ht="24" customHeight="1">
      <x:c r="A993" s="5" t="n">
        <x:v>989</x:v>
      </x:c>
      <x:c r="B993" s="5" t="inlineStr">
        <x:is>
          <x:t xml:space="preserve">모래털가죽</x:t>
        </x:is>
      </x:c>
      <x:c r="C993" s="5" t="inlineStr">
        <x:is>
          <x:t xml:space="preserve">sandyshocks</x:t>
        </x:is>
      </x:c>
      <x:c r="D993" s="5" t="inlineStr">
        <x:is>
          <x:t xml:space="preserve">Sandy Shocks</x:t>
        </x:is>
      </x:c>
      <x:c r="E993" s="5" t="n">
        <x:v>9</x:v>
      </x:c>
      <x:c r="F993" s="5" t="inlineStr">
        <x:is>
          <x:t xml:space="preserve">전기</x:t>
        </x:is>
      </x:c>
      <x:c r="G993" s="5" t="inlineStr">
        <x:is>
          <x:t xml:space="preserve">땅</x:t>
        </x:is>
      </x:c>
      <x:c r="H993" s="6" t="n">
        <x:v>60</x:v>
      </x:c>
      <x:c r="I993" s="5" t="n"/>
      <x:c r="J993" s="5" t="inlineStr">
        <x:is>
          <x:t xml:space="preserve">무진화</x:t>
        </x:is>
      </x:c>
      <x:c r="K993" s="7" t="inlineStr">
        <x:is>
          <x:t xml:space="preserve">육상</x:t>
        </x:is>
      </x:c>
      <x:c r="L993" s="7" t="inlineStr">
        <x:is>
          <x:t xml:space="preserve">건조</x:t>
        </x:is>
      </x:c>
      <x:c r="M993" s="7" t="inlineStr">
        <x:is>
          <x:t xml:space="preserve">고온</x:t>
        </x:is>
      </x:c>
      <x:c r="N993" s="7" t="inlineStr">
        <x:is>
          <x:t xml:space="preserve">건조</x:t>
        </x:is>
      </x:c>
      <x:c r="O993" s="7" t="inlineStr">
        <x:is>
          <x:t xml:space="preserve">맑음</x:t>
        </x:is>
      </x:c>
      <x:c r="P993" s="7" t="inlineStr">
        <x:is>
          <x:t xml:space="preserve">무관</x:t>
        </x:is>
      </x:c>
      <x:c r="Q993" s="7" t="inlineStr">
        <x:is>
          <x:t xml:space="preserve">드묾</x:t>
        </x:is>
      </x:c>
      <x:c r="R993" s="7" t="inlineStr">
        <x:is>
          <x:t xml:space="preserve">없음</x:t>
        </x:is>
      </x:c>
      <x:c r="S993" s="7" t="inlineStr">
        <x:is>
          <x:t xml:space="preserve">건조지</x:t>
        </x:is>
      </x:c>
      <x:c r="T993" s="7" t="inlineStr">
        <x:is>
          <x:t xml:space="preserve"/>
        </x:is>
      </x:c>
      <x:c r="U993" s="8" t="str">
        <x:f>INDEX('서식지_점수'!$E$4:$P$4,1,MATCH(MAX('서식지_점수'!E993:P993),'서식지_점수'!E993:P993,0))</x:f>
        <x:v>평원</x:v>
      </x:c>
      <x:c r="V993" s="8" t="str">
        <x:f>IF(T993&lt;&gt;"",T993,U993)</x:f>
        <x:v>평원</x:v>
      </x:c>
      <x:c r="W993" s="8" t="str">
        <x:f>IFERROR(INDEX('서식지_점수'!$E$4:$P$4,1,MATCH(MAXIFS('서식지_점수'!E993:P993,'서식지_점수'!E993:P993,"&lt;"&amp;MAX('서식지_점수'!E993:P993)),'서식지_점수'!E993:P993,0)),"")</x:f>
        <x:v>숲</x:v>
      </x:c>
      <x:c r="X993" s="8" t="str">
        <x:f>IF(T993&lt;&gt;"","수동확정",IF(MAX('서식지_점수'!E993:P993)-LARGE('서식지_점수'!E993:P993,2)&gt;=15,"높음",IF(MAX('서식지_점수'!E993:P993)-LARGE('서식지_점수'!E993:P993,2)&gt;=8,"보통","검토필요")))</x:f>
        <x:v>검토필요</x:v>
      </x:c>
      <x:c r="Y993" s="9" t="n">
        <x:f>IF(Q993="전설",8,IF(Q993="희귀",7,IF(J993="기본",1,IF(J993="중간",3,IF(J993="최종",IF(I993="",5,IF(I993&lt;=20,3,IF(I993&lt;=35,4,IF(I993&lt;=50,6,7)))),IF(Q993="드묾",4,2))))))</x:f>
        <x:v>4</x:v>
      </x:c>
      <x:c r="Z993" s="5" t="inlineStr">
        <x:is>
          <x:t xml:space="preserve">#cobblemon:is_arid</x:t>
        </x:is>
      </x:c>
      <x:c r="AA993" s="5" t="inlineStr">
        <x:is>
          <x:t xml:space="preserve">rare</x:t>
        </x:is>
      </x:c>
      <x:c r="AB993" s="5" t="inlineStr">
        <x:is>
          <x:t xml:space="preserve">아니오</x:t>
        </x:is>
      </x:c>
      <x:c r="AC993" s="8" t="str">
        <x:f>IF(T993&lt;&gt;"","수동확정",IF(X993="검토필요","검토필요",IF(S993="","원본없음","초기완료")))</x:f>
        <x:v>검토필요</x:v>
      </x:c>
      <x:c r="AD993" s="7" t="inlineStr">
        <x:is>
          <x:t xml:space="preserve"/>
        </x:is>
      </x:c>
      <x:c r="AE993" s="5" t="inlineStr">
        <x:is>
          <x:t xml:space="preserve">.tmp/cobblemon-1.7.3-source/common/src/main/resources/data/cobblemon/species/generation9/sandyshocks.json</x:t>
        </x:is>
      </x:c>
      <x:c r="AF993" s="5" t="str">
        <x:f>"생활권|"&amp;K993</x:f>
        <x:v>생활권|육상</x:v>
      </x:c>
      <x:c r="AG993" s="5" t="str">
        <x:f>"지형|"&amp;L993</x:f>
        <x:v>지형|건조</x:v>
      </x:c>
      <x:c r="AH993" s="5" t="str">
        <x:f>"온도|"&amp;M993</x:f>
        <x:v>온도|고온</x:v>
      </x:c>
      <x:c r="AI993" s="5" t="str">
        <x:f>"습도|"&amp;N993</x:f>
        <x:v>습도|건조</x:v>
      </x:c>
      <x:c r="AJ993" s="5" t="str">
        <x:f>"날씨|"&amp;O993</x:f>
        <x:v>날씨|맑음</x:v>
      </x:c>
      <x:c r="AK993" s="5" t="str">
        <x:f>"특수태그|"&amp;R993</x:f>
        <x:v>특수태그|없음</x:v>
      </x:c>
      <x:c r="AL993" s="5" t="str">
        <x:f>"원본서식지|"&amp;S993</x:f>
        <x:v>원본서식지|건조지</x:v>
      </x:c>
      <x:c r="AM993" s="5" t="str">
        <x:f>"타입|"&amp;F993</x:f>
        <x:v>타입|전기</x:v>
      </x:c>
      <x:c r="AN993" s="5" t="str">
        <x:f>"타입|"&amp;G993</x:f>
        <x:v>타입|땅</x:v>
      </x:c>
    </x:row>
    <x:row r="994" ht="24" customHeight="1">
      <x:c r="A994" s="5" t="n">
        <x:v>990</x:v>
      </x:c>
      <x:c r="B994" s="5" t="inlineStr">
        <x:is>
          <x:t xml:space="preserve">무쇠바퀴</x:t>
        </x:is>
      </x:c>
      <x:c r="C994" s="5" t="inlineStr">
        <x:is>
          <x:t xml:space="preserve">irontreads</x:t>
        </x:is>
      </x:c>
      <x:c r="D994" s="5" t="inlineStr">
        <x:is>
          <x:t xml:space="preserve">Iron Treads</x:t>
        </x:is>
      </x:c>
      <x:c r="E994" s="5" t="n">
        <x:v>9</x:v>
      </x:c>
      <x:c r="F994" s="5" t="inlineStr">
        <x:is>
          <x:t xml:space="preserve">땅</x:t>
        </x:is>
      </x:c>
      <x:c r="G994" s="5" t="inlineStr">
        <x:is>
          <x:t xml:space="preserve">강철</x:t>
        </x:is>
      </x:c>
      <x:c r="H994" s="6" t="n">
        <x:v>240</x:v>
      </x:c>
      <x:c r="I994" s="5" t="n"/>
      <x:c r="J994" s="5" t="inlineStr">
        <x:is>
          <x:t xml:space="preserve">무진화</x:t>
        </x:is>
      </x:c>
      <x:c r="K994" s="7" t="inlineStr">
        <x:is>
          <x:t xml:space="preserve">육상</x:t>
        </x:is>
      </x:c>
      <x:c r="L994" s="7" t="inlineStr">
        <x:is>
          <x:t xml:space="preserve">암석</x:t>
        </x:is>
      </x:c>
      <x:c r="M994" s="7" t="inlineStr">
        <x:is>
          <x:t xml:space="preserve">온대</x:t>
        </x:is>
      </x:c>
      <x:c r="N994" s="7" t="inlineStr">
        <x:is>
          <x:t xml:space="preserve">보통</x:t>
        </x:is>
      </x:c>
      <x:c r="O994" s="7" t="inlineStr">
        <x:is>
          <x:t xml:space="preserve">무관</x:t>
        </x:is>
      </x:c>
      <x:c r="P994" s="7" t="inlineStr">
        <x:is>
          <x:t xml:space="preserve">무관</x:t>
        </x:is>
      </x:c>
      <x:c r="Q994" s="7" t="inlineStr">
        <x:is>
          <x:t xml:space="preserve">드묾</x:t>
        </x:is>
      </x:c>
      <x:c r="R994" s="7" t="inlineStr">
        <x:is>
          <x:t xml:space="preserve">없음</x:t>
        </x:is>
      </x:c>
      <x:c r="S994" s="7" t="inlineStr">
        <x:is>
          <x:t xml:space="preserve">산악</x:t>
        </x:is>
      </x:c>
      <x:c r="T994" s="7" t="inlineStr">
        <x:is>
          <x:t xml:space="preserve"/>
        </x:is>
      </x:c>
      <x:c r="U994" s="8" t="str">
        <x:f>INDEX('서식지_점수'!$E$4:$P$4,1,MATCH(MAX('서식지_점수'!E994:P994),'서식지_점수'!E994:P994,0))</x:f>
        <x:v>평원</x:v>
      </x:c>
      <x:c r="V994" s="8" t="str">
        <x:f>IF(T994&lt;&gt;"",T994,U994)</x:f>
        <x:v>평원</x:v>
      </x:c>
      <x:c r="W994" s="8" t="str">
        <x:f>IFERROR(INDEX('서식지_점수'!$E$4:$P$4,1,MATCH(MAXIFS('서식지_점수'!E994:P994,'서식지_점수'!E994:P994,"&lt;"&amp;MAX('서식지_점수'!E994:P994)),'서식지_점수'!E994:P994,0)),"")</x:f>
        <x:v>숲</x:v>
      </x:c>
      <x:c r="X994" s="8" t="str">
        <x:f>IF(T994&lt;&gt;"","수동확정",IF(MAX('서식지_점수'!E994:P994)-LARGE('서식지_점수'!E994:P994,2)&gt;=15,"높음",IF(MAX('서식지_점수'!E994:P994)-LARGE('서식지_점수'!E994:P994,2)&gt;=8,"보통","검토필요")))</x:f>
        <x:v>검토필요</x:v>
      </x:c>
      <x:c r="Y994" s="9" t="n">
        <x:f>IF(Q994="전설",8,IF(Q994="희귀",7,IF(J994="기본",1,IF(J994="중간",3,IF(J994="최종",IF(I994="",5,IF(I994&lt;=20,3,IF(I994&lt;=35,4,IF(I994&lt;=50,6,7)))),IF(Q994="드묾",4,2))))))</x:f>
        <x:v>4</x:v>
      </x:c>
      <x:c r="Z994" s="5" t="inlineStr">
        <x:is>
          <x:t xml:space="preserve">#cobblemon:is_arid; #cobblemon:is_mountain</x:t>
        </x:is>
      </x:c>
      <x:c r="AA994" s="5" t="inlineStr">
        <x:is>
          <x:t xml:space="preserve">rare</x:t>
        </x:is>
      </x:c>
      <x:c r="AB994" s="5" t="inlineStr">
        <x:is>
          <x:t xml:space="preserve">아니오</x:t>
        </x:is>
      </x:c>
      <x:c r="AC994" s="8" t="str">
        <x:f>IF(T994&lt;&gt;"","수동확정",IF(X994="검토필요","검토필요",IF(S994="","원본없음","초기완료")))</x:f>
        <x:v>검토필요</x:v>
      </x:c>
      <x:c r="AD994" s="7" t="inlineStr">
        <x:is>
          <x:t xml:space="preserve"/>
        </x:is>
      </x:c>
      <x:c r="AE994" s="5" t="inlineStr">
        <x:is>
          <x:t xml:space="preserve">.tmp/cobblemon-1.7.3-source/common/src/main/resources/data/cobblemon/species/generation9/irontreads.json</x:t>
        </x:is>
      </x:c>
      <x:c r="AF994" s="5" t="str">
        <x:f>"생활권|"&amp;K994</x:f>
        <x:v>생활권|육상</x:v>
      </x:c>
      <x:c r="AG994" s="5" t="str">
        <x:f>"지형|"&amp;L994</x:f>
        <x:v>지형|암석</x:v>
      </x:c>
      <x:c r="AH994" s="5" t="str">
        <x:f>"온도|"&amp;M994</x:f>
        <x:v>온도|온대</x:v>
      </x:c>
      <x:c r="AI994" s="5" t="str">
        <x:f>"습도|"&amp;N994</x:f>
        <x:v>습도|보통</x:v>
      </x:c>
      <x:c r="AJ994" s="5" t="str">
        <x:f>"날씨|"&amp;O994</x:f>
        <x:v>날씨|무관</x:v>
      </x:c>
      <x:c r="AK994" s="5" t="str">
        <x:f>"특수태그|"&amp;R994</x:f>
        <x:v>특수태그|없음</x:v>
      </x:c>
      <x:c r="AL994" s="5" t="str">
        <x:f>"원본서식지|"&amp;S994</x:f>
        <x:v>원본서식지|산악</x:v>
      </x:c>
      <x:c r="AM994" s="5" t="str">
        <x:f>"타입|"&amp;F994</x:f>
        <x:v>타입|땅</x:v>
      </x:c>
      <x:c r="AN994" s="5" t="str">
        <x:f>"타입|"&amp;G994</x:f>
        <x:v>타입|강철</x:v>
      </x:c>
    </x:row>
    <x:row r="995" ht="24" customHeight="1">
      <x:c r="A995" s="5" t="n">
        <x:v>991</x:v>
      </x:c>
      <x:c r="B995" s="5" t="inlineStr">
        <x:is>
          <x:t xml:space="preserve">무쇠보따리</x:t>
        </x:is>
      </x:c>
      <x:c r="C995" s="5" t="inlineStr">
        <x:is>
          <x:t xml:space="preserve">ironbundle</x:t>
        </x:is>
      </x:c>
      <x:c r="D995" s="5" t="inlineStr">
        <x:is>
          <x:t xml:space="preserve">Iron Bundle</x:t>
        </x:is>
      </x:c>
      <x:c r="E995" s="5" t="n">
        <x:v>9</x:v>
      </x:c>
      <x:c r="F995" s="5" t="inlineStr">
        <x:is>
          <x:t xml:space="preserve">얼음</x:t>
        </x:is>
      </x:c>
      <x:c r="G995" s="5" t="inlineStr">
        <x:is>
          <x:t xml:space="preserve">물</x:t>
        </x:is>
      </x:c>
      <x:c r="H995" s="6" t="n">
        <x:v>11</x:v>
      </x:c>
      <x:c r="I995" s="5" t="n"/>
      <x:c r="J995" s="5" t="inlineStr">
        <x:is>
          <x:t xml:space="preserve">무진화</x:t>
        </x:is>
      </x:c>
      <x:c r="K995" s="7" t="inlineStr">
        <x:is>
          <x:t xml:space="preserve">수륙</x:t>
        </x:is>
      </x:c>
      <x:c r="L995" s="7" t="inlineStr">
        <x:is>
          <x:t xml:space="preserve">설원</x:t>
        </x:is>
      </x:c>
      <x:c r="M995" s="7" t="inlineStr">
        <x:is>
          <x:t xml:space="preserve">한랭</x:t>
        </x:is>
      </x:c>
      <x:c r="N995" s="7" t="inlineStr">
        <x:is>
          <x:t xml:space="preserve">보통</x:t>
        </x:is>
      </x:c>
      <x:c r="O995" s="7" t="inlineStr">
        <x:is>
          <x:t xml:space="preserve">무관</x:t>
        </x:is>
      </x:c>
      <x:c r="P995" s="7" t="inlineStr">
        <x:is>
          <x:t xml:space="preserve">무관</x:t>
        </x:is>
      </x:c>
      <x:c r="Q995" s="7" t="inlineStr">
        <x:is>
          <x:t xml:space="preserve">드묾</x:t>
        </x:is>
      </x:c>
      <x:c r="R995" s="7" t="inlineStr">
        <x:is>
          <x:t xml:space="preserve">없음</x:t>
        </x:is>
      </x:c>
      <x:c r="S995" s="7" t="inlineStr">
        <x:is>
          <x:t xml:space="preserve"/>
        </x:is>
      </x:c>
      <x:c r="T995" s="7" t="inlineStr">
        <x:is>
          <x:t xml:space="preserve"/>
        </x:is>
      </x:c>
      <x:c r="U995" s="8" t="str">
        <x:f>INDEX('서식지_점수'!$E$4:$P$4,1,MATCH(MAX('서식지_점수'!E995:P995),'서식지_점수'!E995:P995,0))</x:f>
        <x:v>습지</x:v>
      </x:c>
      <x:c r="V995" s="8" t="str">
        <x:f>IF(T995&lt;&gt;"",T995,U995)</x:f>
        <x:v>습지</x:v>
      </x:c>
      <x:c r="W995" s="8" t="str">
        <x:f>IFERROR(INDEX('서식지_점수'!$E$4:$P$4,1,MATCH(MAXIFS('서식지_점수'!E995:P995,'서식지_점수'!E995:P995,"&lt;"&amp;MAX('서식지_점수'!E995:P995)),'서식지_점수'!E995:P995,0)),"")</x:f>
        <x:v>담수</x:v>
      </x:c>
      <x:c r="X995" s="8" t="str">
        <x:f>IF(T995&lt;&gt;"","수동확정",IF(MAX('서식지_점수'!E995:P995)-LARGE('서식지_점수'!E995:P995,2)&gt;=15,"높음",IF(MAX('서식지_점수'!E995:P995)-LARGE('서식지_점수'!E995:P995,2)&gt;=8,"보통","검토필요")))</x:f>
        <x:v>검토필요</x:v>
      </x:c>
      <x:c r="Y995" s="9" t="n">
        <x:f>IF(Q995="전설",8,IF(Q995="희귀",7,IF(J995="기본",1,IF(J995="중간",3,IF(J995="최종",IF(I995="",5,IF(I995&lt;=20,3,IF(I995&lt;=35,4,IF(I995&lt;=50,6,7)))),IF(Q995="드묾",4,2))))))</x:f>
        <x:v>4</x:v>
      </x:c>
      <x:c r="Z995" s="5" t="inlineStr">
        <x:is>
          <x:t xml:space="preserve">#cobblemon:is_freezing; #cobblemon:is_glacial; #cobblemon:is_tundra</x:t>
        </x:is>
      </x:c>
      <x:c r="AA995" s="5" t="inlineStr">
        <x:is>
          <x:t xml:space="preserve">rare</x:t>
        </x:is>
      </x:c>
      <x:c r="AB995" s="5" t="inlineStr">
        <x:is>
          <x:t xml:space="preserve">아니오</x:t>
        </x:is>
      </x:c>
      <x:c r="AC995" s="8" t="str">
        <x:f>IF(T995&lt;&gt;"","수동확정",IF(X995="검토필요","검토필요",IF(S995="","원본없음","초기완료")))</x:f>
        <x:v>검토필요</x:v>
      </x:c>
      <x:c r="AD995" s="7" t="inlineStr">
        <x:is>
          <x:t xml:space="preserve"/>
        </x:is>
      </x:c>
      <x:c r="AE995" s="5" t="inlineStr">
        <x:is>
          <x:t xml:space="preserve">.tmp/cobblemon-1.7.3-source/common/src/main/resources/data/cobblemon/species/generation9/ironbundle.json</x:t>
        </x:is>
      </x:c>
      <x:c r="AF995" s="5" t="str">
        <x:f>"생활권|"&amp;K995</x:f>
        <x:v>생활권|수륙</x:v>
      </x:c>
      <x:c r="AG995" s="5" t="str">
        <x:f>"지형|"&amp;L995</x:f>
        <x:v>지형|설원</x:v>
      </x:c>
      <x:c r="AH995" s="5" t="str">
        <x:f>"온도|"&amp;M995</x:f>
        <x:v>온도|한랭</x:v>
      </x:c>
      <x:c r="AI995" s="5" t="str">
        <x:f>"습도|"&amp;N995</x:f>
        <x:v>습도|보통</x:v>
      </x:c>
      <x:c r="AJ995" s="5" t="str">
        <x:f>"날씨|"&amp;O995</x:f>
        <x:v>날씨|무관</x:v>
      </x:c>
      <x:c r="AK995" s="5" t="str">
        <x:f>"특수태그|"&amp;R995</x:f>
        <x:v>특수태그|없음</x:v>
      </x:c>
      <x:c r="AL995" s="5" t="str">
        <x:f>"원본서식지|"&amp;S995</x:f>
        <x:v>원본서식지|</x:v>
      </x:c>
      <x:c r="AM995" s="5" t="str">
        <x:f>"타입|"&amp;F995</x:f>
        <x:v>타입|얼음</x:v>
      </x:c>
      <x:c r="AN995" s="5" t="str">
        <x:f>"타입|"&amp;G995</x:f>
        <x:v>타입|물</x:v>
      </x:c>
    </x:row>
    <x:row r="996" ht="24" customHeight="1">
      <x:c r="A996" s="5" t="n">
        <x:v>992</x:v>
      </x:c>
      <x:c r="B996" s="5" t="inlineStr">
        <x:is>
          <x:t xml:space="preserve">무쇠손</x:t>
        </x:is>
      </x:c>
      <x:c r="C996" s="5" t="inlineStr">
        <x:is>
          <x:t xml:space="preserve">ironhands</x:t>
        </x:is>
      </x:c>
      <x:c r="D996" s="5" t="inlineStr">
        <x:is>
          <x:t xml:space="preserve">Iron Hands</x:t>
        </x:is>
      </x:c>
      <x:c r="E996" s="5" t="n">
        <x:v>9</x:v>
      </x:c>
      <x:c r="F996" s="5" t="inlineStr">
        <x:is>
          <x:t xml:space="preserve">격투</x:t>
        </x:is>
      </x:c>
      <x:c r="G996" s="5" t="inlineStr">
        <x:is>
          <x:t xml:space="preserve">전기</x:t>
        </x:is>
      </x:c>
      <x:c r="H996" s="6" t="n">
        <x:v>380.7</x:v>
      </x:c>
      <x:c r="I996" s="5" t="n"/>
      <x:c r="J996" s="5" t="inlineStr">
        <x:is>
          <x:t xml:space="preserve">무진화</x:t>
        </x:is>
      </x:c>
      <x:c r="K996" s="7" t="inlineStr">
        <x:is>
          <x:t xml:space="preserve">육상</x:t>
        </x:is>
      </x:c>
      <x:c r="L996" s="7" t="inlineStr">
        <x:is>
          <x:t xml:space="preserve">건조</x:t>
        </x:is>
      </x:c>
      <x:c r="M996" s="7" t="inlineStr">
        <x:is>
          <x:t xml:space="preserve">고온</x:t>
        </x:is>
      </x:c>
      <x:c r="N996" s="7" t="inlineStr">
        <x:is>
          <x:t xml:space="preserve">건조</x:t>
        </x:is>
      </x:c>
      <x:c r="O996" s="7" t="inlineStr">
        <x:is>
          <x:t xml:space="preserve">맑음</x:t>
        </x:is>
      </x:c>
      <x:c r="P996" s="7" t="inlineStr">
        <x:is>
          <x:t xml:space="preserve">밤</x:t>
        </x:is>
      </x:c>
      <x:c r="Q996" s="7" t="inlineStr">
        <x:is>
          <x:t xml:space="preserve">드묾</x:t>
        </x:is>
      </x:c>
      <x:c r="R996" s="7" t="inlineStr">
        <x:is>
          <x:t xml:space="preserve">없음</x:t>
        </x:is>
      </x:c>
      <x:c r="S996" s="7" t="inlineStr">
        <x:is>
          <x:t xml:space="preserve">건조지</x:t>
        </x:is>
      </x:c>
      <x:c r="T996" s="7" t="inlineStr">
        <x:is>
          <x:t xml:space="preserve"/>
        </x:is>
      </x:c>
      <x:c r="U996" s="8" t="str">
        <x:f>INDEX('서식지_점수'!$E$4:$P$4,1,MATCH(MAX('서식지_점수'!E996:P996),'서식지_점수'!E996:P996,0))</x:f>
        <x:v>평원</x:v>
      </x:c>
      <x:c r="V996" s="8" t="str">
        <x:f>IF(T996&lt;&gt;"",T996,U996)</x:f>
        <x:v>평원</x:v>
      </x:c>
      <x:c r="W996" s="8" t="str">
        <x:f>IFERROR(INDEX('서식지_점수'!$E$4:$P$4,1,MATCH(MAXIFS('서식지_점수'!E996:P996,'서식지_점수'!E996:P996,"&lt;"&amp;MAX('서식지_점수'!E996:P996)),'서식지_점수'!E996:P996,0)),"")</x:f>
        <x:v>숲</x:v>
      </x:c>
      <x:c r="X996" s="8" t="str">
        <x:f>IF(T996&lt;&gt;"","수동확정",IF(MAX('서식지_점수'!E996:P996)-LARGE('서식지_점수'!E996:P996,2)&gt;=15,"높음",IF(MAX('서식지_점수'!E996:P996)-LARGE('서식지_점수'!E996:P996,2)&gt;=8,"보통","검토필요")))</x:f>
        <x:v>검토필요</x:v>
      </x:c>
      <x:c r="Y996" s="9" t="n">
        <x:f>IF(Q996="전설",8,IF(Q996="희귀",7,IF(J996="기본",1,IF(J996="중간",3,IF(J996="최종",IF(I996="",5,IF(I996&lt;=20,3,IF(I996&lt;=35,4,IF(I996&lt;=50,6,7)))),IF(Q996="드묾",4,2))))))</x:f>
        <x:v>4</x:v>
      </x:c>
      <x:c r="Z996" s="5" t="inlineStr">
        <x:is>
          <x:t xml:space="preserve">minecraft:desert</x:t>
        </x:is>
      </x:c>
      <x:c r="AA996" s="5" t="inlineStr">
        <x:is>
          <x:t xml:space="preserve">rare</x:t>
        </x:is>
      </x:c>
      <x:c r="AB996" s="5" t="inlineStr">
        <x:is>
          <x:t xml:space="preserve">아니오</x:t>
        </x:is>
      </x:c>
      <x:c r="AC996" s="8" t="str">
        <x:f>IF(T996&lt;&gt;"","수동확정",IF(X996="검토필요","검토필요",IF(S996="","원본없음","초기완료")))</x:f>
        <x:v>검토필요</x:v>
      </x:c>
      <x:c r="AD996" s="7" t="inlineStr">
        <x:is>
          <x:t xml:space="preserve"/>
        </x:is>
      </x:c>
      <x:c r="AE996" s="5" t="inlineStr">
        <x:is>
          <x:t xml:space="preserve">.tmp/cobblemon-1.7.3-source/common/src/main/resources/data/cobblemon/species/generation9/ironhands.json</x:t>
        </x:is>
      </x:c>
      <x:c r="AF996" s="5" t="str">
        <x:f>"생활권|"&amp;K996</x:f>
        <x:v>생활권|육상</x:v>
      </x:c>
      <x:c r="AG996" s="5" t="str">
        <x:f>"지형|"&amp;L996</x:f>
        <x:v>지형|건조</x:v>
      </x:c>
      <x:c r="AH996" s="5" t="str">
        <x:f>"온도|"&amp;M996</x:f>
        <x:v>온도|고온</x:v>
      </x:c>
      <x:c r="AI996" s="5" t="str">
        <x:f>"습도|"&amp;N996</x:f>
        <x:v>습도|건조</x:v>
      </x:c>
      <x:c r="AJ996" s="5" t="str">
        <x:f>"날씨|"&amp;O996</x:f>
        <x:v>날씨|맑음</x:v>
      </x:c>
      <x:c r="AK996" s="5" t="str">
        <x:f>"특수태그|"&amp;R996</x:f>
        <x:v>특수태그|없음</x:v>
      </x:c>
      <x:c r="AL996" s="5" t="str">
        <x:f>"원본서식지|"&amp;S996</x:f>
        <x:v>원본서식지|건조지</x:v>
      </x:c>
      <x:c r="AM996" s="5" t="str">
        <x:f>"타입|"&amp;F996</x:f>
        <x:v>타입|격투</x:v>
      </x:c>
      <x:c r="AN996" s="5" t="str">
        <x:f>"타입|"&amp;G996</x:f>
        <x:v>타입|전기</x:v>
      </x:c>
    </x:row>
    <x:row r="997" ht="24" customHeight="1">
      <x:c r="A997" s="5" t="n">
        <x:v>993</x:v>
      </x:c>
      <x:c r="B997" s="5" t="inlineStr">
        <x:is>
          <x:t xml:space="preserve">무쇠머리</x:t>
        </x:is>
      </x:c>
      <x:c r="C997" s="5" t="inlineStr">
        <x:is>
          <x:t xml:space="preserve">ironjugulis</x:t>
        </x:is>
      </x:c>
      <x:c r="D997" s="5" t="inlineStr">
        <x:is>
          <x:t xml:space="preserve">Iron Jugulis</x:t>
        </x:is>
      </x:c>
      <x:c r="E997" s="5" t="n">
        <x:v>9</x:v>
      </x:c>
      <x:c r="F997" s="5" t="inlineStr">
        <x:is>
          <x:t xml:space="preserve">악</x:t>
        </x:is>
      </x:c>
      <x:c r="G997" s="5" t="inlineStr">
        <x:is>
          <x:t xml:space="preserve">비행</x:t>
        </x:is>
      </x:c>
      <x:c r="H997" s="6" t="n">
        <x:v>111</x:v>
      </x:c>
      <x:c r="I997" s="5" t="n"/>
      <x:c r="J997" s="5" t="inlineStr">
        <x:is>
          <x:t xml:space="preserve">무진화</x:t>
        </x:is>
      </x:c>
      <x:c r="K997" s="7" t="inlineStr">
        <x:is>
          <x:t xml:space="preserve">비행</x:t>
        </x:is>
      </x:c>
      <x:c r="L997" s="7" t="inlineStr">
        <x:is>
          <x:t xml:space="preserve">암석</x:t>
        </x:is>
      </x:c>
      <x:c r="M997" s="7" t="inlineStr">
        <x:is>
          <x:t xml:space="preserve">온대</x:t>
        </x:is>
      </x:c>
      <x:c r="N997" s="7" t="inlineStr">
        <x:is>
          <x:t xml:space="preserve">보통</x:t>
        </x:is>
      </x:c>
      <x:c r="O997" s="7" t="inlineStr">
        <x:is>
          <x:t xml:space="preserve">무관</x:t>
        </x:is>
      </x:c>
      <x:c r="P997" s="7" t="inlineStr">
        <x:is>
          <x:t xml:space="preserve">밤</x:t>
        </x:is>
      </x:c>
      <x:c r="Q997" s="7" t="inlineStr">
        <x:is>
          <x:t xml:space="preserve">드묾</x:t>
        </x:is>
      </x:c>
      <x:c r="R997" s="7" t="inlineStr">
        <x:is>
          <x:t xml:space="preserve">없음</x:t>
        </x:is>
      </x:c>
      <x:c r="S997" s="7" t="inlineStr">
        <x:is>
          <x:t xml:space="preserve">산악</x:t>
        </x:is>
      </x:c>
      <x:c r="T997" s="7" t="inlineStr">
        <x:is>
          <x:t xml:space="preserve"/>
        </x:is>
      </x:c>
      <x:c r="U997" s="8" t="str">
        <x:f>INDEX('서식지_점수'!$E$4:$P$4,1,MATCH(MAX('서식지_점수'!E997:P997),'서식지_점수'!E997:P997,0))</x:f>
        <x:v>산악</x:v>
      </x:c>
      <x:c r="V997" s="8" t="str">
        <x:f>IF(T997&lt;&gt;"",T997,U997)</x:f>
        <x:v>산악</x:v>
      </x:c>
      <x:c r="W997" s="8" t="str">
        <x:f>IFERROR(INDEX('서식지_점수'!$E$4:$P$4,1,MATCH(MAXIFS('서식지_점수'!E997:P997,'서식지_점수'!E997:P997,"&lt;"&amp;MAX('서식지_점수'!E997:P997)),'서식지_점수'!E997:P997,0)),"")</x:f>
        <x:v>평원</x:v>
      </x:c>
      <x:c r="X997" s="8" t="str">
        <x:f>IF(T997&lt;&gt;"","수동확정",IF(MAX('서식지_점수'!E997:P997)-LARGE('서식지_점수'!E997:P997,2)&gt;=15,"높음",IF(MAX('서식지_점수'!E997:P997)-LARGE('서식지_점수'!E997:P997,2)&gt;=8,"보통","검토필요")))</x:f>
        <x:v>검토필요</x:v>
      </x:c>
      <x:c r="Y997" s="9" t="n">
        <x:f>IF(Q997="전설",8,IF(Q997="희귀",7,IF(J997="기본",1,IF(J997="중간",3,IF(J997="최종",IF(I997="",5,IF(I997&lt;=20,3,IF(I997&lt;=35,4,IF(I997&lt;=50,6,7)))),IF(Q997="드묾",4,2))))))</x:f>
        <x:v>4</x:v>
      </x:c>
      <x:c r="Z997" s="5" t="inlineStr">
        <x:is>
          <x:t xml:space="preserve">#cobblemon:is_mountain</x:t>
        </x:is>
      </x:c>
      <x:c r="AA997" s="5" t="inlineStr">
        <x:is>
          <x:t xml:space="preserve">rare</x:t>
        </x:is>
      </x:c>
      <x:c r="AB997" s="5" t="inlineStr">
        <x:is>
          <x:t xml:space="preserve">아니오</x:t>
        </x:is>
      </x:c>
      <x:c r="AC997" s="8" t="str">
        <x:f>IF(T997&lt;&gt;"","수동확정",IF(X997="검토필요","검토필요",IF(S997="","원본없음","초기완료")))</x:f>
        <x:v>검토필요</x:v>
      </x:c>
      <x:c r="AD997" s="7" t="inlineStr">
        <x:is>
          <x:t xml:space="preserve"/>
        </x:is>
      </x:c>
      <x:c r="AE997" s="5" t="inlineStr">
        <x:is>
          <x:t xml:space="preserve">.tmp/cobblemon-1.7.3-source/common/src/main/resources/data/cobblemon/species/generation9/ironjugulis.json</x:t>
        </x:is>
      </x:c>
      <x:c r="AF997" s="5" t="str">
        <x:f>"생활권|"&amp;K997</x:f>
        <x:v>생활권|비행</x:v>
      </x:c>
      <x:c r="AG997" s="5" t="str">
        <x:f>"지형|"&amp;L997</x:f>
        <x:v>지형|암석</x:v>
      </x:c>
      <x:c r="AH997" s="5" t="str">
        <x:f>"온도|"&amp;M997</x:f>
        <x:v>온도|온대</x:v>
      </x:c>
      <x:c r="AI997" s="5" t="str">
        <x:f>"습도|"&amp;N997</x:f>
        <x:v>습도|보통</x:v>
      </x:c>
      <x:c r="AJ997" s="5" t="str">
        <x:f>"날씨|"&amp;O997</x:f>
        <x:v>날씨|무관</x:v>
      </x:c>
      <x:c r="AK997" s="5" t="str">
        <x:f>"특수태그|"&amp;R997</x:f>
        <x:v>특수태그|없음</x:v>
      </x:c>
      <x:c r="AL997" s="5" t="str">
        <x:f>"원본서식지|"&amp;S997</x:f>
        <x:v>원본서식지|산악</x:v>
      </x:c>
      <x:c r="AM997" s="5" t="str">
        <x:f>"타입|"&amp;F997</x:f>
        <x:v>타입|악</x:v>
      </x:c>
      <x:c r="AN997" s="5" t="str">
        <x:f>"타입|"&amp;G997</x:f>
        <x:v>타입|비행</x:v>
      </x:c>
    </x:row>
    <x:row r="998" ht="24" customHeight="1">
      <x:c r="A998" s="5" t="n">
        <x:v>994</x:v>
      </x:c>
      <x:c r="B998" s="5" t="inlineStr">
        <x:is>
          <x:t xml:space="preserve">무쇠독나방</x:t>
        </x:is>
      </x:c>
      <x:c r="C998" s="5" t="inlineStr">
        <x:is>
          <x:t xml:space="preserve">ironmoth</x:t>
        </x:is>
      </x:c>
      <x:c r="D998" s="5" t="inlineStr">
        <x:is>
          <x:t xml:space="preserve">Iron Moth</x:t>
        </x:is>
      </x:c>
      <x:c r="E998" s="5" t="n">
        <x:v>9</x:v>
      </x:c>
      <x:c r="F998" s="5" t="inlineStr">
        <x:is>
          <x:t xml:space="preserve">불꽃</x:t>
        </x:is>
      </x:c>
      <x:c r="G998" s="5" t="inlineStr">
        <x:is>
          <x:t xml:space="preserve">독</x:t>
        </x:is>
      </x:c>
      <x:c r="H998" s="6" t="n">
        <x:v>36</x:v>
      </x:c>
      <x:c r="I998" s="5" t="n"/>
      <x:c r="J998" s="5" t="inlineStr">
        <x:is>
          <x:t xml:space="preserve">무진화</x:t>
        </x:is>
      </x:c>
      <x:c r="K998" s="7" t="inlineStr">
        <x:is>
          <x:t xml:space="preserve">비행</x:t>
        </x:is>
      </x:c>
      <x:c r="L998" s="7" t="inlineStr">
        <x:is>
          <x:t xml:space="preserve">암석</x:t>
        </x:is>
      </x:c>
      <x:c r="M998" s="7" t="inlineStr">
        <x:is>
          <x:t xml:space="preserve">고온</x:t>
        </x:is>
      </x:c>
      <x:c r="N998" s="7" t="inlineStr">
        <x:is>
          <x:t xml:space="preserve">보통</x:t>
        </x:is>
      </x:c>
      <x:c r="O998" s="7" t="inlineStr">
        <x:is>
          <x:t xml:space="preserve">무관</x:t>
        </x:is>
      </x:c>
      <x:c r="P998" s="7" t="inlineStr">
        <x:is>
          <x:t xml:space="preserve">낮</x:t>
        </x:is>
      </x:c>
      <x:c r="Q998" s="7" t="inlineStr">
        <x:is>
          <x:t xml:space="preserve">드묾</x:t>
        </x:is>
      </x:c>
      <x:c r="R998" s="7" t="inlineStr">
        <x:is>
          <x:t xml:space="preserve">없음</x:t>
        </x:is>
      </x:c>
      <x:c r="S998" s="7" t="inlineStr">
        <x:is>
          <x:t xml:space="preserve">산악</x:t>
        </x:is>
      </x:c>
      <x:c r="T998" s="7" t="inlineStr">
        <x:is>
          <x:t xml:space="preserve"/>
        </x:is>
      </x:c>
      <x:c r="U998" s="8" t="str">
        <x:f>INDEX('서식지_점수'!$E$4:$P$4,1,MATCH(MAX('서식지_점수'!E998:P998),'서식지_점수'!E998:P998,0))</x:f>
        <x:v>산악</x:v>
      </x:c>
      <x:c r="V998" s="8" t="str">
        <x:f>IF(T998&lt;&gt;"",T998,U998)</x:f>
        <x:v>산악</x:v>
      </x:c>
      <x:c r="W998" s="8" t="str">
        <x:f>IFERROR(INDEX('서식지_점수'!$E$4:$P$4,1,MATCH(MAXIFS('서식지_점수'!E998:P998,'서식지_점수'!E998:P998,"&lt;"&amp;MAX('서식지_점수'!E998:P998)),'서식지_점수'!E998:P998,0)),"")</x:f>
        <x:v>평원</x:v>
      </x:c>
      <x:c r="X998" s="8" t="str">
        <x:f>IF(T998&lt;&gt;"","수동확정",IF(MAX('서식지_점수'!E998:P998)-LARGE('서식지_점수'!E998:P998,2)&gt;=15,"높음",IF(MAX('서식지_점수'!E998:P998)-LARGE('서식지_점수'!E998:P998,2)&gt;=8,"보통","검토필요")))</x:f>
        <x:v>검토필요</x:v>
      </x:c>
      <x:c r="Y998" s="9" t="n">
        <x:f>IF(Q998="전설",8,IF(Q998="희귀",7,IF(J998="기본",1,IF(J998="중간",3,IF(J998="최종",IF(I998="",5,IF(I998&lt;=20,3,IF(I998&lt;=35,4,IF(I998&lt;=50,6,7)))),IF(Q998="드묾",4,2))))))</x:f>
        <x:v>4</x:v>
      </x:c>
      <x:c r="Z998" s="5" t="inlineStr">
        <x:is>
          <x:t xml:space="preserve">#cobblemon:is_hills</x:t>
        </x:is>
      </x:c>
      <x:c r="AA998" s="5" t="inlineStr">
        <x:is>
          <x:t xml:space="preserve">rare</x:t>
        </x:is>
      </x:c>
      <x:c r="AB998" s="5" t="inlineStr">
        <x:is>
          <x:t xml:space="preserve">아니오</x:t>
        </x:is>
      </x:c>
      <x:c r="AC998" s="8" t="str">
        <x:f>IF(T998&lt;&gt;"","수동확정",IF(X998="검토필요","검토필요",IF(S998="","원본없음","초기완료")))</x:f>
        <x:v>검토필요</x:v>
      </x:c>
      <x:c r="AD998" s="7" t="inlineStr">
        <x:is>
          <x:t xml:space="preserve"/>
        </x:is>
      </x:c>
      <x:c r="AE998" s="5" t="inlineStr">
        <x:is>
          <x:t xml:space="preserve">.tmp/cobblemon-1.7.3-source/common/src/main/resources/data/cobblemon/species/generation9/ironmoth.json</x:t>
        </x:is>
      </x:c>
      <x:c r="AF998" s="5" t="str">
        <x:f>"생활권|"&amp;K998</x:f>
        <x:v>생활권|비행</x:v>
      </x:c>
      <x:c r="AG998" s="5" t="str">
        <x:f>"지형|"&amp;L998</x:f>
        <x:v>지형|암석</x:v>
      </x:c>
      <x:c r="AH998" s="5" t="str">
        <x:f>"온도|"&amp;M998</x:f>
        <x:v>온도|고온</x:v>
      </x:c>
      <x:c r="AI998" s="5" t="str">
        <x:f>"습도|"&amp;N998</x:f>
        <x:v>습도|보통</x:v>
      </x:c>
      <x:c r="AJ998" s="5" t="str">
        <x:f>"날씨|"&amp;O998</x:f>
        <x:v>날씨|무관</x:v>
      </x:c>
      <x:c r="AK998" s="5" t="str">
        <x:f>"특수태그|"&amp;R998</x:f>
        <x:v>특수태그|없음</x:v>
      </x:c>
      <x:c r="AL998" s="5" t="str">
        <x:f>"원본서식지|"&amp;S998</x:f>
        <x:v>원본서식지|산악</x:v>
      </x:c>
      <x:c r="AM998" s="5" t="str">
        <x:f>"타입|"&amp;F998</x:f>
        <x:v>타입|불꽃</x:v>
      </x:c>
      <x:c r="AN998" s="5" t="str">
        <x:f>"타입|"&amp;G998</x:f>
        <x:v>타입|독</x:v>
      </x:c>
    </x:row>
    <x:row r="999" ht="24" customHeight="1">
      <x:c r="A999" s="5" t="n">
        <x:v>995</x:v>
      </x:c>
      <x:c r="B999" s="5" t="inlineStr">
        <x:is>
          <x:t xml:space="preserve">무쇠가시</x:t>
        </x:is>
      </x:c>
      <x:c r="C999" s="5" t="inlineStr">
        <x:is>
          <x:t xml:space="preserve">ironthorns</x:t>
        </x:is>
      </x:c>
      <x:c r="D999" s="5" t="inlineStr">
        <x:is>
          <x:t xml:space="preserve">Iron Thorns</x:t>
        </x:is>
      </x:c>
      <x:c r="E999" s="5" t="n">
        <x:v>9</x:v>
      </x:c>
      <x:c r="F999" s="5" t="inlineStr">
        <x:is>
          <x:t xml:space="preserve">바위</x:t>
        </x:is>
      </x:c>
      <x:c r="G999" s="5" t="inlineStr">
        <x:is>
          <x:t xml:space="preserve">전기</x:t>
        </x:is>
      </x:c>
      <x:c r="H999" s="6" t="n">
        <x:v>303</x:v>
      </x:c>
      <x:c r="I999" s="5" t="n"/>
      <x:c r="J999" s="5" t="inlineStr">
        <x:is>
          <x:t xml:space="preserve">무진화</x:t>
        </x:is>
      </x:c>
      <x:c r="K999" s="7" t="inlineStr">
        <x:is>
          <x:t xml:space="preserve">육상</x:t>
        </x:is>
      </x:c>
      <x:c r="L999" s="7" t="inlineStr">
        <x:is>
          <x:t xml:space="preserve">암석</x:t>
        </x:is>
      </x:c>
      <x:c r="M999" s="7" t="inlineStr">
        <x:is>
          <x:t xml:space="preserve">온대</x:t>
        </x:is>
      </x:c>
      <x:c r="N999" s="7" t="inlineStr">
        <x:is>
          <x:t xml:space="preserve">보통</x:t>
        </x:is>
      </x:c>
      <x:c r="O999" s="7" t="inlineStr">
        <x:is>
          <x:t xml:space="preserve">무관</x:t>
        </x:is>
      </x:c>
      <x:c r="P999" s="7" t="inlineStr">
        <x:is>
          <x:t xml:space="preserve">무관</x:t>
        </x:is>
      </x:c>
      <x:c r="Q999" s="7" t="inlineStr">
        <x:is>
          <x:t xml:space="preserve">드묾</x:t>
        </x:is>
      </x:c>
      <x:c r="R999" s="7" t="inlineStr">
        <x:is>
          <x:t xml:space="preserve">없음</x:t>
        </x:is>
      </x:c>
      <x:c r="S999" s="7" t="inlineStr">
        <x:is>
          <x:t xml:space="preserve">산악</x:t>
        </x:is>
      </x:c>
      <x:c r="T999" s="7" t="inlineStr">
        <x:is>
          <x:t xml:space="preserve"/>
        </x:is>
      </x:c>
      <x:c r="U999" s="8" t="str">
        <x:f>INDEX('서식지_점수'!$E$4:$P$4,1,MATCH(MAX('서식지_점수'!E999:P999),'서식지_점수'!E999:P999,0))</x:f>
        <x:v>평원</x:v>
      </x:c>
      <x:c r="V999" s="8" t="str">
        <x:f>IF(T999&lt;&gt;"",T999,U999)</x:f>
        <x:v>평원</x:v>
      </x:c>
      <x:c r="W999" s="8" t="str">
        <x:f>IFERROR(INDEX('서식지_점수'!$E$4:$P$4,1,MATCH(MAXIFS('서식지_점수'!E999:P999,'서식지_점수'!E999:P999,"&lt;"&amp;MAX('서식지_점수'!E999:P999)),'서식지_점수'!E999:P999,0)),"")</x:f>
        <x:v>숲</x:v>
      </x:c>
      <x:c r="X999" s="8" t="str">
        <x:f>IF(T999&lt;&gt;"","수동확정",IF(MAX('서식지_점수'!E999:P999)-LARGE('서식지_점수'!E999:P999,2)&gt;=15,"높음",IF(MAX('서식지_점수'!E999:P999)-LARGE('서식지_점수'!E999:P999,2)&gt;=8,"보통","검토필요")))</x:f>
        <x:v>검토필요</x:v>
      </x:c>
      <x:c r="Y999" s="9" t="n">
        <x:f>IF(Q999="전설",8,IF(Q999="희귀",7,IF(J999="기본",1,IF(J999="중간",3,IF(J999="최종",IF(I999="",5,IF(I999&lt;=20,3,IF(I999&lt;=35,4,IF(I999&lt;=50,6,7)))),IF(Q999="드묾",4,2))))))</x:f>
        <x:v>4</x:v>
      </x:c>
      <x:c r="Z999" s="5" t="inlineStr">
        <x:is>
          <x:t xml:space="preserve">#cobblemon:is_mountain</x:t>
        </x:is>
      </x:c>
      <x:c r="AA999" s="5" t="inlineStr">
        <x:is>
          <x:t xml:space="preserve">rare</x:t>
        </x:is>
      </x:c>
      <x:c r="AB999" s="5" t="inlineStr">
        <x:is>
          <x:t xml:space="preserve">아니오</x:t>
        </x:is>
      </x:c>
      <x:c r="AC999" s="8" t="str">
        <x:f>IF(T999&lt;&gt;"","수동확정",IF(X999="검토필요","검토필요",IF(S999="","원본없음","초기완료")))</x:f>
        <x:v>검토필요</x:v>
      </x:c>
      <x:c r="AD999" s="7" t="inlineStr">
        <x:is>
          <x:t xml:space="preserve"/>
        </x:is>
      </x:c>
      <x:c r="AE999" s="5" t="inlineStr">
        <x:is>
          <x:t xml:space="preserve">.tmp/cobblemon-1.7.3-source/common/src/main/resources/data/cobblemon/species/generation9/ironthorns.json</x:t>
        </x:is>
      </x:c>
      <x:c r="AF999" s="5" t="str">
        <x:f>"생활권|"&amp;K999</x:f>
        <x:v>생활권|육상</x:v>
      </x:c>
      <x:c r="AG999" s="5" t="str">
        <x:f>"지형|"&amp;L999</x:f>
        <x:v>지형|암석</x:v>
      </x:c>
      <x:c r="AH999" s="5" t="str">
        <x:f>"온도|"&amp;M999</x:f>
        <x:v>온도|온대</x:v>
      </x:c>
      <x:c r="AI999" s="5" t="str">
        <x:f>"습도|"&amp;N999</x:f>
        <x:v>습도|보통</x:v>
      </x:c>
      <x:c r="AJ999" s="5" t="str">
        <x:f>"날씨|"&amp;O999</x:f>
        <x:v>날씨|무관</x:v>
      </x:c>
      <x:c r="AK999" s="5" t="str">
        <x:f>"특수태그|"&amp;R999</x:f>
        <x:v>특수태그|없음</x:v>
      </x:c>
      <x:c r="AL999" s="5" t="str">
        <x:f>"원본서식지|"&amp;S999</x:f>
        <x:v>원본서식지|산악</x:v>
      </x:c>
      <x:c r="AM999" s="5" t="str">
        <x:f>"타입|"&amp;F999</x:f>
        <x:v>타입|바위</x:v>
      </x:c>
      <x:c r="AN999" s="5" t="str">
        <x:f>"타입|"&amp;G999</x:f>
        <x:v>타입|전기</x:v>
      </x:c>
    </x:row>
    <x:row r="1000" ht="24" customHeight="1">
      <x:c r="A1000" s="5" t="n">
        <x:v>996</x:v>
      </x:c>
      <x:c r="B1000" s="5" t="inlineStr">
        <x:is>
          <x:t xml:space="preserve">드니차</x:t>
        </x:is>
      </x:c>
      <x:c r="C1000" s="5" t="inlineStr">
        <x:is>
          <x:t xml:space="preserve">frigibax</x:t>
        </x:is>
      </x:c>
      <x:c r="D1000" s="5" t="inlineStr">
        <x:is>
          <x:t xml:space="preserve">Frigibax</x:t>
        </x:is>
      </x:c>
      <x:c r="E1000" s="5" t="n">
        <x:v>9</x:v>
      </x:c>
      <x:c r="F1000" s="5" t="inlineStr">
        <x:is>
          <x:t xml:space="preserve">드래곤</x:t>
        </x:is>
      </x:c>
      <x:c r="G1000" s="5" t="inlineStr">
        <x:is>
          <x:t xml:space="preserve">얼음</x:t>
        </x:is>
      </x:c>
      <x:c r="H1000" s="6" t="n">
        <x:v>17</x:v>
      </x:c>
      <x:c r="I1000" s="5" t="n">
        <x:v>54</x:v>
      </x:c>
      <x:c r="J1000" s="5" t="inlineStr">
        <x:is>
          <x:t xml:space="preserve">기본</x:t>
        </x:is>
      </x:c>
      <x:c r="K1000" s="7" t="inlineStr">
        <x:is>
          <x:t xml:space="preserve">육상</x:t>
        </x:is>
      </x:c>
      <x:c r="L1000" s="7" t="inlineStr">
        <x:is>
          <x:t xml:space="preserve">설원</x:t>
        </x:is>
      </x:c>
      <x:c r="M1000" s="7" t="inlineStr">
        <x:is>
          <x:t xml:space="preserve">한랭</x:t>
        </x:is>
      </x:c>
      <x:c r="N1000" s="7" t="inlineStr">
        <x:is>
          <x:t xml:space="preserve">보통</x:t>
        </x:is>
      </x:c>
      <x:c r="O1000" s="7" t="inlineStr">
        <x:is>
          <x:t xml:space="preserve">무관</x:t>
        </x:is>
      </x:c>
      <x:c r="P1000" s="7" t="inlineStr">
        <x:is>
          <x:t xml:space="preserve">무관</x:t>
        </x:is>
      </x:c>
      <x:c r="Q1000" s="7" t="inlineStr">
        <x:is>
          <x:t xml:space="preserve">드묾</x:t>
        </x:is>
      </x:c>
      <x:c r="R1000" s="7" t="inlineStr">
        <x:is>
          <x:t xml:space="preserve">없음</x:t>
        </x:is>
      </x:c>
      <x:c r="S1000" s="7" t="inlineStr">
        <x:is>
          <x:t xml:space="preserve"/>
        </x:is>
      </x:c>
      <x:c r="T1000" s="7" t="inlineStr">
        <x:is>
          <x:t xml:space="preserve"/>
        </x:is>
      </x:c>
      <x:c r="U1000" s="8" t="str">
        <x:f>INDEX('서식지_점수'!$E$4:$P$4,1,MATCH(MAX('서식지_점수'!E1000:P1000),'서식지_점수'!E1000:P1000,0))</x:f>
        <x:v>평원</x:v>
      </x:c>
      <x:c r="V1000" s="8" t="str">
        <x:f>IF(T1000&lt;&gt;"",T1000,U1000)</x:f>
        <x:v>평원</x:v>
      </x:c>
      <x:c r="W1000" s="8" t="str">
        <x:f>IFERROR(INDEX('서식지_점수'!$E$4:$P$4,1,MATCH(MAXIFS('서식지_점수'!E1000:P1000,'서식지_점수'!E1000:P1000,"&lt;"&amp;MAX('서식지_점수'!E1000:P1000)),'서식지_점수'!E1000:P1000,0)),"")</x:f>
        <x:v>숲</x:v>
      </x:c>
      <x:c r="X1000" s="8" t="str">
        <x:f>IF(T1000&lt;&gt;"","수동확정",IF(MAX('서식지_점수'!E1000:P1000)-LARGE('서식지_점수'!E1000:P1000,2)&gt;=15,"높음",IF(MAX('서식지_점수'!E1000:P1000)-LARGE('서식지_점수'!E1000:P1000,2)&gt;=8,"보통","검토필요")))</x:f>
        <x:v>검토필요</x:v>
      </x:c>
      <x:c r="Y1000" s="9" t="n">
        <x:f>IF(Q1000="전설",8,IF(Q1000="희귀",7,IF(J1000="기본",1,IF(J1000="중간",3,IF(J1000="최종",IF(I1000="",5,IF(I1000&lt;=20,3,IF(I1000&lt;=35,4,IF(I1000&lt;=50,6,7)))),IF(Q1000="드묾",4,2))))))</x:f>
        <x:v>1</x:v>
      </x:c>
      <x:c r="Z1000" s="5" t="inlineStr">
        <x:is>
          <x:t xml:space="preserve">#cobblemon:is_glacial</x:t>
        </x:is>
      </x:c>
      <x:c r="AA1000" s="5" t="inlineStr">
        <x:is>
          <x:t xml:space="preserve">rare</x:t>
        </x:is>
      </x:c>
      <x:c r="AB1000" s="5" t="inlineStr">
        <x:is>
          <x:t xml:space="preserve">아니오</x:t>
        </x:is>
      </x:c>
      <x:c r="AC1000" s="8" t="str">
        <x:f>IF(T1000&lt;&gt;"","수동확정",IF(X1000="검토필요","검토필요",IF(S1000="","원본없음","초기완료")))</x:f>
        <x:v>검토필요</x:v>
      </x:c>
      <x:c r="AD1000" s="7" t="inlineStr">
        <x:is>
          <x:t xml:space="preserve"/>
        </x:is>
      </x:c>
      <x:c r="AE1000" s="5" t="inlineStr">
        <x:is>
          <x:t xml:space="preserve">.tmp/cobblemon-1.7.3-source/common/src/main/resources/data/cobblemon/species/generation9/frigibax.json</x:t>
        </x:is>
      </x:c>
      <x:c r="AF1000" s="5" t="str">
        <x:f>"생활권|"&amp;K1000</x:f>
        <x:v>생활권|육상</x:v>
      </x:c>
      <x:c r="AG1000" s="5" t="str">
        <x:f>"지형|"&amp;L1000</x:f>
        <x:v>지형|설원</x:v>
      </x:c>
      <x:c r="AH1000" s="5" t="str">
        <x:f>"온도|"&amp;M1000</x:f>
        <x:v>온도|한랭</x:v>
      </x:c>
      <x:c r="AI1000" s="5" t="str">
        <x:f>"습도|"&amp;N1000</x:f>
        <x:v>습도|보통</x:v>
      </x:c>
      <x:c r="AJ1000" s="5" t="str">
        <x:f>"날씨|"&amp;O1000</x:f>
        <x:v>날씨|무관</x:v>
      </x:c>
      <x:c r="AK1000" s="5" t="str">
        <x:f>"특수태그|"&amp;R1000</x:f>
        <x:v>특수태그|없음</x:v>
      </x:c>
      <x:c r="AL1000" s="5" t="str">
        <x:f>"원본서식지|"&amp;S1000</x:f>
        <x:v>원본서식지|</x:v>
      </x:c>
      <x:c r="AM1000" s="5" t="str">
        <x:f>"타입|"&amp;F1000</x:f>
        <x:v>타입|드래곤</x:v>
      </x:c>
      <x:c r="AN1000" s="5" t="str">
        <x:f>"타입|"&amp;G1000</x:f>
        <x:v>타입|얼음</x:v>
      </x:c>
    </x:row>
    <x:row r="1001" ht="24" customHeight="1">
      <x:c r="A1001" s="5" t="n">
        <x:v>997</x:v>
      </x:c>
      <x:c r="B1001" s="5" t="inlineStr">
        <x:is>
          <x:t xml:space="preserve">드니꽁</x:t>
        </x:is>
      </x:c>
      <x:c r="C1001" s="5" t="inlineStr">
        <x:is>
          <x:t xml:space="preserve">arctibax</x:t>
        </x:is>
      </x:c>
      <x:c r="D1001" s="5" t="inlineStr">
        <x:is>
          <x:t xml:space="preserve">Arctibax</x:t>
        </x:is>
      </x:c>
      <x:c r="E1001" s="5" t="n">
        <x:v>9</x:v>
      </x:c>
      <x:c r="F1001" s="5" t="inlineStr">
        <x:is>
          <x:t xml:space="preserve">드래곤</x:t>
        </x:is>
      </x:c>
      <x:c r="G1001" s="5" t="inlineStr">
        <x:is>
          <x:t xml:space="preserve">얼음</x:t>
        </x:is>
      </x:c>
      <x:c r="H1001" s="6" t="n">
        <x:v>30</x:v>
      </x:c>
      <x:c r="I1001" s="5" t="n">
        <x:v>54</x:v>
      </x:c>
      <x:c r="J1001" s="5" t="inlineStr">
        <x:is>
          <x:t xml:space="preserve">중간</x:t>
        </x:is>
      </x:c>
      <x:c r="K1001" s="7" t="inlineStr">
        <x:is>
          <x:t xml:space="preserve">육상</x:t>
        </x:is>
      </x:c>
      <x:c r="L1001" s="7" t="inlineStr">
        <x:is>
          <x:t xml:space="preserve">설원</x:t>
        </x:is>
      </x:c>
      <x:c r="M1001" s="7" t="inlineStr">
        <x:is>
          <x:t xml:space="preserve">한랭</x:t>
        </x:is>
      </x:c>
      <x:c r="N1001" s="7" t="inlineStr">
        <x:is>
          <x:t xml:space="preserve">보통</x:t>
        </x:is>
      </x:c>
      <x:c r="O1001" s="7" t="inlineStr">
        <x:is>
          <x:t xml:space="preserve">무관</x:t>
        </x:is>
      </x:c>
      <x:c r="P1001" s="7" t="inlineStr">
        <x:is>
          <x:t xml:space="preserve">무관</x:t>
        </x:is>
      </x:c>
      <x:c r="Q1001" s="7" t="inlineStr">
        <x:is>
          <x:t xml:space="preserve">드묾</x:t>
        </x:is>
      </x:c>
      <x:c r="R1001" s="7" t="inlineStr">
        <x:is>
          <x:t xml:space="preserve">없음</x:t>
        </x:is>
      </x:c>
      <x:c r="S1001" s="7" t="inlineStr">
        <x:is>
          <x:t xml:space="preserve"/>
        </x:is>
      </x:c>
      <x:c r="T1001" s="7" t="inlineStr">
        <x:is>
          <x:t xml:space="preserve"/>
        </x:is>
      </x:c>
      <x:c r="U1001" s="8" t="str">
        <x:f>INDEX('서식지_점수'!$E$4:$P$4,1,MATCH(MAX('서식지_점수'!E1001:P1001),'서식지_점수'!E1001:P1001,0))</x:f>
        <x:v>평원</x:v>
      </x:c>
      <x:c r="V1001" s="8" t="str">
        <x:f>IF(T1001&lt;&gt;"",T1001,U1001)</x:f>
        <x:v>평원</x:v>
      </x:c>
      <x:c r="W1001" s="8" t="str">
        <x:f>IFERROR(INDEX('서식지_점수'!$E$4:$P$4,1,MATCH(MAXIFS('서식지_점수'!E1001:P1001,'서식지_점수'!E1001:P1001,"&lt;"&amp;MAX('서식지_점수'!E1001:P1001)),'서식지_점수'!E1001:P1001,0)),"")</x:f>
        <x:v>숲</x:v>
      </x:c>
      <x:c r="X1001" s="8" t="str">
        <x:f>IF(T1001&lt;&gt;"","수동확정",IF(MAX('서식지_점수'!E1001:P1001)-LARGE('서식지_점수'!E1001:P1001,2)&gt;=15,"높음",IF(MAX('서식지_점수'!E1001:P1001)-LARGE('서식지_점수'!E1001:P1001,2)&gt;=8,"보통","검토필요")))</x:f>
        <x:v>검토필요</x:v>
      </x:c>
      <x:c r="Y1001" s="9" t="n">
        <x:f>IF(Q1001="전설",8,IF(Q1001="희귀",7,IF(J1001="기본",1,IF(J1001="중간",3,IF(J1001="최종",IF(I1001="",5,IF(I1001&lt;=20,3,IF(I1001&lt;=35,4,IF(I1001&lt;=50,6,7)))),IF(Q1001="드묾",4,2))))))</x:f>
        <x:v>3</x:v>
      </x:c>
      <x:c r="Z1001" s="5" t="inlineStr">
        <x:is>
          <x:t xml:space="preserve">#cobblemon:is_glacial</x:t>
        </x:is>
      </x:c>
      <x:c r="AA1001" s="5" t="inlineStr">
        <x:is>
          <x:t xml:space="preserve">rare</x:t>
        </x:is>
      </x:c>
      <x:c r="AB1001" s="5" t="inlineStr">
        <x:is>
          <x:t xml:space="preserve">아니오</x:t>
        </x:is>
      </x:c>
      <x:c r="AC1001" s="8" t="str">
        <x:f>IF(T1001&lt;&gt;"","수동확정",IF(X1001="검토필요","검토필요",IF(S1001="","원본없음","초기완료")))</x:f>
        <x:v>검토필요</x:v>
      </x:c>
      <x:c r="AD1001" s="7" t="inlineStr">
        <x:is>
          <x:t xml:space="preserve"/>
        </x:is>
      </x:c>
      <x:c r="AE1001" s="5" t="inlineStr">
        <x:is>
          <x:t xml:space="preserve">.tmp/cobblemon-1.7.3-source/common/src/main/resources/data/cobblemon/species/generation9/arctibax.json</x:t>
        </x:is>
      </x:c>
      <x:c r="AF1001" s="5" t="str">
        <x:f>"생활권|"&amp;K1001</x:f>
        <x:v>생활권|육상</x:v>
      </x:c>
      <x:c r="AG1001" s="5" t="str">
        <x:f>"지형|"&amp;L1001</x:f>
        <x:v>지형|설원</x:v>
      </x:c>
      <x:c r="AH1001" s="5" t="str">
        <x:f>"온도|"&amp;M1001</x:f>
        <x:v>온도|한랭</x:v>
      </x:c>
      <x:c r="AI1001" s="5" t="str">
        <x:f>"습도|"&amp;N1001</x:f>
        <x:v>습도|보통</x:v>
      </x:c>
      <x:c r="AJ1001" s="5" t="str">
        <x:f>"날씨|"&amp;O1001</x:f>
        <x:v>날씨|무관</x:v>
      </x:c>
      <x:c r="AK1001" s="5" t="str">
        <x:f>"특수태그|"&amp;R1001</x:f>
        <x:v>특수태그|없음</x:v>
      </x:c>
      <x:c r="AL1001" s="5" t="str">
        <x:f>"원본서식지|"&amp;S1001</x:f>
        <x:v>원본서식지|</x:v>
      </x:c>
      <x:c r="AM1001" s="5" t="str">
        <x:f>"타입|"&amp;F1001</x:f>
        <x:v>타입|드래곤</x:v>
      </x:c>
      <x:c r="AN1001" s="5" t="str">
        <x:f>"타입|"&amp;G1001</x:f>
        <x:v>타입|얼음</x:v>
      </x:c>
    </x:row>
    <x:row r="1002" ht="24" customHeight="1">
      <x:c r="A1002" s="5" t="n">
        <x:v>998</x:v>
      </x:c>
      <x:c r="B1002" s="5" t="inlineStr">
        <x:is>
          <x:t xml:space="preserve">드닐레이브</x:t>
        </x:is>
      </x:c>
      <x:c r="C1002" s="5" t="inlineStr">
        <x:is>
          <x:t xml:space="preserve">baxcalibur</x:t>
        </x:is>
      </x:c>
      <x:c r="D1002" s="5" t="inlineStr">
        <x:is>
          <x:t xml:space="preserve">Baxcalibur</x:t>
        </x:is>
      </x:c>
      <x:c r="E1002" s="5" t="n">
        <x:v>9</x:v>
      </x:c>
      <x:c r="F1002" s="5" t="inlineStr">
        <x:is>
          <x:t xml:space="preserve">드래곤</x:t>
        </x:is>
      </x:c>
      <x:c r="G1002" s="5" t="inlineStr">
        <x:is>
          <x:t xml:space="preserve">얼음</x:t>
        </x:is>
      </x:c>
      <x:c r="H1002" s="6" t="n">
        <x:v>210</x:v>
      </x:c>
      <x:c r="I1002" s="5" t="n">
        <x:v>54</x:v>
      </x:c>
      <x:c r="J1002" s="5" t="inlineStr">
        <x:is>
          <x:t xml:space="preserve">최종</x:t>
        </x:is>
      </x:c>
      <x:c r="K1002" s="7" t="inlineStr">
        <x:is>
          <x:t xml:space="preserve">육상</x:t>
        </x:is>
      </x:c>
      <x:c r="L1002" s="7" t="inlineStr">
        <x:is>
          <x:t xml:space="preserve">설원</x:t>
        </x:is>
      </x:c>
      <x:c r="M1002" s="7" t="inlineStr">
        <x:is>
          <x:t xml:space="preserve">한랭</x:t>
        </x:is>
      </x:c>
      <x:c r="N1002" s="7" t="inlineStr">
        <x:is>
          <x:t xml:space="preserve">보통</x:t>
        </x:is>
      </x:c>
      <x:c r="O1002" s="7" t="inlineStr">
        <x:is>
          <x:t xml:space="preserve">무관</x:t>
        </x:is>
      </x:c>
      <x:c r="P1002" s="7" t="inlineStr">
        <x:is>
          <x:t xml:space="preserve">무관</x:t>
        </x:is>
      </x:c>
      <x:c r="Q1002" s="7" t="inlineStr">
        <x:is>
          <x:t xml:space="preserve">희귀</x:t>
        </x:is>
      </x:c>
      <x:c r="R1002" s="7" t="inlineStr">
        <x:is>
          <x:t xml:space="preserve">없음</x:t>
        </x:is>
      </x:c>
      <x:c r="S1002" s="7" t="inlineStr">
        <x:is>
          <x:t xml:space="preserve"/>
        </x:is>
      </x:c>
      <x:c r="T1002" s="7" t="inlineStr">
        <x:is>
          <x:t xml:space="preserve"/>
        </x:is>
      </x:c>
      <x:c r="U1002" s="8" t="str">
        <x:f>INDEX('서식지_점수'!$E$4:$P$4,1,MATCH(MAX('서식지_점수'!E1002:P1002),'서식지_점수'!E1002:P1002,0))</x:f>
        <x:v>평원</x:v>
      </x:c>
      <x:c r="V1002" s="8" t="str">
        <x:f>IF(T1002&lt;&gt;"",T1002,U1002)</x:f>
        <x:v>평원</x:v>
      </x:c>
      <x:c r="W1002" s="8" t="str">
        <x:f>IFERROR(INDEX('서식지_점수'!$E$4:$P$4,1,MATCH(MAXIFS('서식지_점수'!E1002:P1002,'서식지_점수'!E1002:P1002,"&lt;"&amp;MAX('서식지_점수'!E1002:P1002)),'서식지_점수'!E1002:P1002,0)),"")</x:f>
        <x:v>숲</x:v>
      </x:c>
      <x:c r="X1002" s="8" t="str">
        <x:f>IF(T1002&lt;&gt;"","수동확정",IF(MAX('서식지_점수'!E1002:P1002)-LARGE('서식지_점수'!E1002:P1002,2)&gt;=15,"높음",IF(MAX('서식지_점수'!E1002:P1002)-LARGE('서식지_점수'!E1002:P1002,2)&gt;=8,"보통","검토필요")))</x:f>
        <x:v>검토필요</x:v>
      </x:c>
      <x:c r="Y1002" s="9" t="n">
        <x:f>IF(Q1002="전설",8,IF(Q1002="희귀",7,IF(J1002="기본",1,IF(J1002="중간",3,IF(J1002="최종",IF(I1002="",5,IF(I1002&lt;=20,3,IF(I1002&lt;=35,4,IF(I1002&lt;=50,6,7)))),IF(Q1002="드묾",4,2))))))</x:f>
        <x:v>7</x:v>
      </x:c>
      <x:c r="Z1002" s="5" t="inlineStr">
        <x:is>
          <x:t xml:space="preserve">#cobblemon:is_glacial</x:t>
        </x:is>
      </x:c>
      <x:c r="AA1002" s="5" t="inlineStr">
        <x:is>
          <x:t xml:space="preserve">ultra-rare</x:t>
        </x:is>
      </x:c>
      <x:c r="AB1002" s="5" t="inlineStr">
        <x:is>
          <x:t xml:space="preserve">아니오</x:t>
        </x:is>
      </x:c>
      <x:c r="AC1002" s="8" t="str">
        <x:f>IF(T1002&lt;&gt;"","수동확정",IF(X1002="검토필요","검토필요",IF(S1002="","원본없음","초기완료")))</x:f>
        <x:v>검토필요</x:v>
      </x:c>
      <x:c r="AD1002" s="7" t="inlineStr">
        <x:is>
          <x:t xml:space="preserve"/>
        </x:is>
      </x:c>
      <x:c r="AE1002" s="5" t="inlineStr">
        <x:is>
          <x:t xml:space="preserve">.tmp/cobblemon-1.7.3-source/common/src/main/resources/data/cobblemon/species/generation9/baxcalibur.json</x:t>
        </x:is>
      </x:c>
      <x:c r="AF1002" s="5" t="str">
        <x:f>"생활권|"&amp;K1002</x:f>
        <x:v>생활권|육상</x:v>
      </x:c>
      <x:c r="AG1002" s="5" t="str">
        <x:f>"지형|"&amp;L1002</x:f>
        <x:v>지형|설원</x:v>
      </x:c>
      <x:c r="AH1002" s="5" t="str">
        <x:f>"온도|"&amp;M1002</x:f>
        <x:v>온도|한랭</x:v>
      </x:c>
      <x:c r="AI1002" s="5" t="str">
        <x:f>"습도|"&amp;N1002</x:f>
        <x:v>습도|보통</x:v>
      </x:c>
      <x:c r="AJ1002" s="5" t="str">
        <x:f>"날씨|"&amp;O1002</x:f>
        <x:v>날씨|무관</x:v>
      </x:c>
      <x:c r="AK1002" s="5" t="str">
        <x:f>"특수태그|"&amp;R1002</x:f>
        <x:v>특수태그|없음</x:v>
      </x:c>
      <x:c r="AL1002" s="5" t="str">
        <x:f>"원본서식지|"&amp;S1002</x:f>
        <x:v>원본서식지|</x:v>
      </x:c>
      <x:c r="AM1002" s="5" t="str">
        <x:f>"타입|"&amp;F1002</x:f>
        <x:v>타입|드래곤</x:v>
      </x:c>
      <x:c r="AN1002" s="5" t="str">
        <x:f>"타입|"&amp;G1002</x:f>
        <x:v>타입|얼음</x:v>
      </x:c>
    </x:row>
    <x:row r="1003" ht="24" customHeight="1">
      <x:c r="A1003" s="5" t="n">
        <x:v>999</x:v>
      </x:c>
      <x:c r="B1003" s="5" t="inlineStr">
        <x:is>
          <x:t xml:space="preserve">모으령</x:t>
        </x:is>
      </x:c>
      <x:c r="C1003" s="5" t="inlineStr">
        <x:is>
          <x:t xml:space="preserve">gimmighoul</x:t>
        </x:is>
      </x:c>
      <x:c r="D1003" s="5" t="inlineStr">
        <x:is>
          <x:t xml:space="preserve">Gimmighoul</x:t>
        </x:is>
      </x:c>
      <x:c r="E1003" s="5" t="n">
        <x:v>9</x:v>
      </x:c>
      <x:c r="F1003" s="5" t="inlineStr">
        <x:is>
          <x:t xml:space="preserve">고스트</x:t>
        </x:is>
      </x:c>
      <x:c r="G1003" s="5" t="inlineStr">
        <x:is>
          <x:t xml:space="preserve"/>
        </x:is>
      </x:c>
      <x:c r="H1003" s="6" t="n">
        <x:v>5</x:v>
      </x:c>
      <x:c r="I1003" s="5" t="n"/>
      <x:c r="J1003" s="5" t="inlineStr">
        <x:is>
          <x:t xml:space="preserve">기본</x:t>
        </x:is>
      </x:c>
      <x:c r="K1003" s="7" t="inlineStr">
        <x:is>
          <x:t xml:space="preserve">영체</x:t>
        </x:is>
      </x:c>
      <x:c r="L1003" s="7" t="inlineStr">
        <x:is>
          <x:t xml:space="preserve">특수</x:t>
        </x:is>
      </x:c>
      <x:c r="M1003" s="7" t="inlineStr">
        <x:is>
          <x:t xml:space="preserve">온대</x:t>
        </x:is>
      </x:c>
      <x:c r="N1003" s="7" t="inlineStr">
        <x:is>
          <x:t xml:space="preserve">보통</x:t>
        </x:is>
      </x:c>
      <x:c r="O1003" s="7" t="inlineStr">
        <x:is>
          <x:t xml:space="preserve">안개</x:t>
        </x:is>
      </x:c>
      <x:c r="P1003" s="7" t="inlineStr">
        <x:is>
          <x:t xml:space="preserve">밤</x:t>
        </x:is>
      </x:c>
      <x:c r="Q1003" s="7" t="inlineStr">
        <x:is>
          <x:t xml:space="preserve">보통</x:t>
        </x:is>
      </x:c>
      <x:c r="R1003" s="7" t="inlineStr">
        <x:is>
          <x:t xml:space="preserve">영체</x:t>
        </x:is>
      </x:c>
      <x:c r="S1003" s="7" t="inlineStr">
        <x:is>
          <x:t xml:space="preserve"/>
        </x:is>
      </x:c>
      <x:c r="T1003" s="7" t="inlineStr">
        <x:is>
          <x:t xml:space="preserve"/>
        </x:is>
      </x:c>
      <x:c r="U1003" s="8" t="str">
        <x:f>INDEX('서식지_점수'!$E$4:$P$4,1,MATCH(MAX('서식지_점수'!E1003:P1003),'서식지_점수'!E1003:P1003,0))</x:f>
        <x:v>특수</x:v>
      </x:c>
      <x:c r="V1003" s="8" t="str">
        <x:f>IF(T1003&lt;&gt;"",T1003,U1003)</x:f>
        <x:v>특수</x:v>
      </x:c>
      <x:c r="W1003" s="8" t="str">
        <x:f>IFERROR(INDEX('서식지_점수'!$E$4:$P$4,1,MATCH(MAXIFS('서식지_점수'!E1003:P1003,'서식지_점수'!E1003:P1003,"&lt;"&amp;MAX('서식지_점수'!E1003:P1003)),'서식지_점수'!E1003:P1003,0)),"")</x:f>
        <x:v>동굴</x:v>
      </x:c>
      <x:c r="X1003" s="8" t="str">
        <x:f>IF(T1003&lt;&gt;"","수동확정",IF(MAX('서식지_점수'!E1003:P1003)-LARGE('서식지_점수'!E1003:P1003,2)&gt;=15,"높음",IF(MAX('서식지_점수'!E1003:P1003)-LARGE('서식지_점수'!E1003:P1003,2)&gt;=8,"보통","검토필요")))</x:f>
        <x:v>높음</x:v>
      </x:c>
      <x:c r="Y1003" s="9" t="n">
        <x:f>IF(Q1003="전설",8,IF(Q1003="희귀",7,IF(J1003="기본",1,IF(J1003="중간",3,IF(J1003="최종",IF(I1003="",5,IF(I1003&lt;=20,3,IF(I1003&lt;=35,4,IF(I1003&lt;=50,6,7)))),IF(Q1003="드묾",4,2))))))</x:f>
        <x:v>1</x:v>
      </x:c>
      <x:c r="Z1003" s="5" t="inlineStr">
        <x:is>
          <x:t xml:space="preserve">#aether:is_aether; #cobblemon:is_overworld</x:t>
        </x:is>
      </x:c>
      <x:c r="AA1003" s="5" t="inlineStr">
        <x:is>
          <x:t xml:space="preserve">common; rare; uncommon</x:t>
        </x:is>
      </x:c>
      <x:c r="AB1003" s="5" t="inlineStr">
        <x:is>
          <x:t xml:space="preserve">예</x:t>
        </x:is>
      </x:c>
      <x:c r="AC1003" s="8" t="str">
        <x:f>IF(T1003&lt;&gt;"","수동확정",IF(X1003="검토필요","검토필요",IF(S1003="","원본없음","초기완료")))</x:f>
        <x:v>원본없음</x:v>
      </x:c>
      <x:c r="AD1003" s="7" t="inlineStr">
        <x:is>
          <x:t xml:space="preserve"/>
        </x:is>
      </x:c>
      <x:c r="AE1003" s="5" t="inlineStr">
        <x:is>
          <x:t xml:space="preserve">.tmp/cobblemon-1.7.3-source/common/src/main/resources/data/cobblemon/species/generation9/gimmighoul.json</x:t>
        </x:is>
      </x:c>
      <x:c r="AF1003" s="5" t="str">
        <x:f>"생활권|"&amp;K1003</x:f>
        <x:v>생활권|영체</x:v>
      </x:c>
      <x:c r="AG1003" s="5" t="str">
        <x:f>"지형|"&amp;L1003</x:f>
        <x:v>지형|특수</x:v>
      </x:c>
      <x:c r="AH1003" s="5" t="str">
        <x:f>"온도|"&amp;M1003</x:f>
        <x:v>온도|온대</x:v>
      </x:c>
      <x:c r="AI1003" s="5" t="str">
        <x:f>"습도|"&amp;N1003</x:f>
        <x:v>습도|보통</x:v>
      </x:c>
      <x:c r="AJ1003" s="5" t="str">
        <x:f>"날씨|"&amp;O1003</x:f>
        <x:v>날씨|안개</x:v>
      </x:c>
      <x:c r="AK1003" s="5" t="str">
        <x:f>"특수태그|"&amp;R1003</x:f>
        <x:v>특수태그|영체</x:v>
      </x:c>
      <x:c r="AL1003" s="5" t="str">
        <x:f>"원본서식지|"&amp;S1003</x:f>
        <x:v>원본서식지|</x:v>
      </x:c>
      <x:c r="AM1003" s="5" t="str">
        <x:f>"타입|"&amp;F1003</x:f>
        <x:v>타입|고스트</x:v>
      </x:c>
      <x:c r="AN1003" s="5" t="str">
        <x:f>"타입|"&amp;G1003</x:f>
        <x:v>타입|</x:v>
      </x:c>
    </x:row>
    <x:row r="1004" ht="24" customHeight="1">
      <x:c r="A1004" s="5" t="n">
        <x:v>1000</x:v>
      </x:c>
      <x:c r="B1004" s="5" t="inlineStr">
        <x:is>
          <x:t xml:space="preserve">타부자고</x:t>
        </x:is>
      </x:c>
      <x:c r="C1004" s="5" t="inlineStr">
        <x:is>
          <x:t xml:space="preserve">gholdengo</x:t>
        </x:is>
      </x:c>
      <x:c r="D1004" s="5" t="inlineStr">
        <x:is>
          <x:t xml:space="preserve">Gholdengo</x:t>
        </x:is>
      </x:c>
      <x:c r="E1004" s="5" t="n">
        <x:v>9</x:v>
      </x:c>
      <x:c r="F1004" s="5" t="inlineStr">
        <x:is>
          <x:t xml:space="preserve">강철</x:t>
        </x:is>
      </x:c>
      <x:c r="G1004" s="5" t="inlineStr">
        <x:is>
          <x:t xml:space="preserve">고스트</x:t>
        </x:is>
      </x:c>
      <x:c r="H1004" s="6" t="n">
        <x:v>30</x:v>
      </x:c>
      <x:c r="I1004" s="5" t="n"/>
      <x:c r="J1004" s="5" t="inlineStr">
        <x:is>
          <x:t xml:space="preserve">최종</x:t>
        </x:is>
      </x:c>
      <x:c r="K1004" s="7" t="inlineStr">
        <x:is>
          <x:t xml:space="preserve">인공</x:t>
        </x:is>
      </x:c>
      <x:c r="L1004" s="7" t="inlineStr">
        <x:is>
          <x:t xml:space="preserve">도시</x:t>
        </x:is>
      </x:c>
      <x:c r="M1004" s="7" t="inlineStr">
        <x:is>
          <x:t xml:space="preserve">온대</x:t>
        </x:is>
      </x:c>
      <x:c r="N1004" s="7" t="inlineStr">
        <x:is>
          <x:t xml:space="preserve">보통</x:t>
        </x:is>
      </x:c>
      <x:c r="O1004" s="7" t="inlineStr">
        <x:is>
          <x:t xml:space="preserve">안개</x:t>
        </x:is>
      </x:c>
      <x:c r="P1004" s="7" t="inlineStr">
        <x:is>
          <x:t xml:space="preserve">밤</x:t>
        </x:is>
      </x:c>
      <x:c r="Q1004" s="7" t="inlineStr">
        <x:is>
          <x:t xml:space="preserve">희귀</x:t>
        </x:is>
      </x:c>
      <x:c r="R1004" s="7" t="inlineStr">
        <x:is>
          <x:t xml:space="preserve">영체</x:t>
        </x:is>
      </x:c>
      <x:c r="S1004" s="7" t="inlineStr">
        <x:is>
          <x:t xml:space="preserve"/>
        </x:is>
      </x:c>
      <x:c r="T1004" s="7" t="inlineStr">
        <x:is>
          <x:t xml:space="preserve"/>
        </x:is>
      </x:c>
      <x:c r="U1004" s="8" t="str">
        <x:f>INDEX('서식지_점수'!$E$4:$P$4,1,MATCH(MAX('서식지_점수'!E1004:P1004),'서식지_점수'!E1004:P1004,0))</x:f>
        <x:v>도시</x:v>
      </x:c>
      <x:c r="V1004" s="8" t="str">
        <x:f>IF(T1004&lt;&gt;"",T1004,U1004)</x:f>
        <x:v>도시</x:v>
      </x:c>
      <x:c r="W1004" s="8" t="str">
        <x:f>IFERROR(INDEX('서식지_점수'!$E$4:$P$4,1,MATCH(MAXIFS('서식지_점수'!E1004:P1004,'서식지_점수'!E1004:P1004,"&lt;"&amp;MAX('서식지_점수'!E1004:P1004)),'서식지_점수'!E1004:P1004,0)),"")</x:f>
        <x:v>특수</x:v>
      </x:c>
      <x:c r="X1004" s="8" t="str">
        <x:f>IF(T1004&lt;&gt;"","수동확정",IF(MAX('서식지_점수'!E1004:P1004)-LARGE('서식지_점수'!E1004:P1004,2)&gt;=15,"높음",IF(MAX('서식지_점수'!E1004:P1004)-LARGE('서식지_점수'!E1004:P1004,2)&gt;=8,"보통","검토필요")))</x:f>
        <x:v>높음</x:v>
      </x:c>
      <x:c r="Y1004" s="9" t="n">
        <x:f>IF(Q1004="전설",8,IF(Q1004="희귀",7,IF(J1004="기본",1,IF(J1004="중간",3,IF(J1004="최종",IF(I1004="",5,IF(I1004&lt;=20,3,IF(I1004&lt;=35,4,IF(I1004&lt;=50,6,7)))),IF(Q1004="드묾",4,2))))))</x:f>
        <x:v>7</x:v>
      </x:c>
      <x:c r="Z1004" s="5" t="inlineStr">
        <x:is>
          <x:t xml:space="preserve"/>
        </x:is>
      </x:c>
      <x:c r="AA1004" s="5" t="inlineStr">
        <x:is>
          <x:t xml:space="preserve"/>
        </x:is>
      </x:c>
      <x:c r="AB1004" s="5" t="inlineStr">
        <x:is>
          <x:t xml:space="preserve">예</x:t>
        </x:is>
      </x:c>
      <x:c r="AC1004" s="8" t="str">
        <x:f>IF(T1004&lt;&gt;"","수동확정",IF(X1004="검토필요","검토필요",IF(S1004="","원본없음","초기완료")))</x:f>
        <x:v>원본없음</x:v>
      </x:c>
      <x:c r="AD1004" s="7" t="inlineStr">
        <x:is>
          <x:t xml:space="preserve"/>
        </x:is>
      </x:c>
      <x:c r="AE1004" s="5" t="inlineStr">
        <x:is>
          <x:t xml:space="preserve">.tmp/cobblemon-1.7.3-source/common/src/main/resources/data/cobblemon/species/generation9/gholdengo.json</x:t>
        </x:is>
      </x:c>
      <x:c r="AF1004" s="5" t="str">
        <x:f>"생활권|"&amp;K1004</x:f>
        <x:v>생활권|인공</x:v>
      </x:c>
      <x:c r="AG1004" s="5" t="str">
        <x:f>"지형|"&amp;L1004</x:f>
        <x:v>지형|도시</x:v>
      </x:c>
      <x:c r="AH1004" s="5" t="str">
        <x:f>"온도|"&amp;M1004</x:f>
        <x:v>온도|온대</x:v>
      </x:c>
      <x:c r="AI1004" s="5" t="str">
        <x:f>"습도|"&amp;N1004</x:f>
        <x:v>습도|보통</x:v>
      </x:c>
      <x:c r="AJ1004" s="5" t="str">
        <x:f>"날씨|"&amp;O1004</x:f>
        <x:v>날씨|안개</x:v>
      </x:c>
      <x:c r="AK1004" s="5" t="str">
        <x:f>"특수태그|"&amp;R1004</x:f>
        <x:v>특수태그|영체</x:v>
      </x:c>
      <x:c r="AL1004" s="5" t="str">
        <x:f>"원본서식지|"&amp;S1004</x:f>
        <x:v>원본서식지|</x:v>
      </x:c>
      <x:c r="AM1004" s="5" t="str">
        <x:f>"타입|"&amp;F1004</x:f>
        <x:v>타입|강철</x:v>
      </x:c>
      <x:c r="AN1004" s="5" t="str">
        <x:f>"타입|"&amp;G1004</x:f>
        <x:v>타입|고스트</x:v>
      </x:c>
    </x:row>
    <x:row r="1005" ht="24" customHeight="1">
      <x:c r="A1005" s="5" t="n">
        <x:v>1001</x:v>
      </x:c>
      <x:c r="B1005" s="5" t="inlineStr">
        <x:is>
          <x:t xml:space="preserve">총지엔</x:t>
        </x:is>
      </x:c>
      <x:c r="C1005" s="5" t="inlineStr">
        <x:is>
          <x:t xml:space="preserve">wochien</x:t>
        </x:is>
      </x:c>
      <x:c r="D1005" s="5" t="inlineStr">
        <x:is>
          <x:t xml:space="preserve">Wo-Chien</x:t>
        </x:is>
      </x:c>
      <x:c r="E1005" s="5" t="n">
        <x:v>9</x:v>
      </x:c>
      <x:c r="F1005" s="5" t="inlineStr">
        <x:is>
          <x:t xml:space="preserve">악</x:t>
        </x:is>
      </x:c>
      <x:c r="G1005" s="5" t="inlineStr">
        <x:is>
          <x:t xml:space="preserve">풀</x:t>
        </x:is>
      </x:c>
      <x:c r="H1005" s="6" t="n">
        <x:v>74.2</x:v>
      </x:c>
      <x:c r="I1005" s="5" t="n"/>
      <x:c r="J1005" s="5" t="inlineStr">
        <x:is>
          <x:t xml:space="preserve">무진화</x:t>
        </x:is>
      </x:c>
      <x:c r="K1005" s="7" t="inlineStr">
        <x:is>
          <x:t xml:space="preserve">육상</x:t>
        </x:is>
      </x:c>
      <x:c r="L1005" s="7" t="inlineStr">
        <x:is>
          <x:t xml:space="preserve">수목</x:t>
        </x:is>
      </x:c>
      <x:c r="M1005" s="7" t="inlineStr">
        <x:is>
          <x:t xml:space="preserve">온대</x:t>
        </x:is>
      </x:c>
      <x:c r="N1005" s="7" t="inlineStr">
        <x:is>
          <x:t xml:space="preserve">보통</x:t>
        </x:is>
      </x:c>
      <x:c r="O1005" s="7" t="inlineStr">
        <x:is>
          <x:t xml:space="preserve">무관</x:t>
        </x:is>
      </x:c>
      <x:c r="P1005" s="7" t="inlineStr">
        <x:is>
          <x:t xml:space="preserve">밤</x:t>
        </x:is>
      </x:c>
      <x:c r="Q1005" s="7" t="inlineStr">
        <x:is>
          <x:t xml:space="preserve">전설</x:t>
        </x:is>
      </x:c>
      <x:c r="R1005" s="7" t="inlineStr">
        <x:is>
          <x:t xml:space="preserve">전설</x:t>
        </x:is>
      </x:c>
      <x:c r="S1005" s="7" t="inlineStr">
        <x:is>
          <x:t xml:space="preserve"/>
        </x:is>
      </x:c>
      <x:c r="T1005" s="7" t="inlineStr">
        <x:is>
          <x:t xml:space="preserve"/>
        </x:is>
      </x:c>
      <x:c r="U1005" s="8" t="str">
        <x:f>INDEX('서식지_점수'!$E$4:$P$4,1,MATCH(MAX('서식지_점수'!E1005:P1005),'서식지_점수'!E1005:P1005,0))</x:f>
        <x:v>평원</x:v>
      </x:c>
      <x:c r="V1005" s="8" t="str">
        <x:f>IF(T1005&lt;&gt;"",T1005,U1005)</x:f>
        <x:v>평원</x:v>
      </x:c>
      <x:c r="W1005" s="8" t="str">
        <x:f>IFERROR(INDEX('서식지_점수'!$E$4:$P$4,1,MATCH(MAXIFS('서식지_점수'!E1005:P1005,'서식지_점수'!E1005:P1005,"&lt;"&amp;MAX('서식지_점수'!E1005:P1005)),'서식지_점수'!E1005:P1005,0)),"")</x:f>
        <x:v>숲</x:v>
      </x:c>
      <x:c r="X1005" s="8" t="str">
        <x:f>IF(T1005&lt;&gt;"","수동확정",IF(MAX('서식지_점수'!E1005:P1005)-LARGE('서식지_점수'!E1005:P1005,2)&gt;=15,"높음",IF(MAX('서식지_점수'!E1005:P1005)-LARGE('서식지_점수'!E1005:P1005,2)&gt;=8,"보통","검토필요")))</x:f>
        <x:v>검토필요</x:v>
      </x:c>
      <x:c r="Y1005" s="9" t="n">
        <x:f>IF(Q1005="전설",8,IF(Q1005="희귀",7,IF(J1005="기본",1,IF(J1005="중간",3,IF(J1005="최종",IF(I1005="",5,IF(I1005&lt;=20,3,IF(I1005&lt;=35,4,IF(I1005&lt;=50,6,7)))),IF(Q1005="드묾",4,2))))))</x:f>
        <x:v>8</x:v>
      </x:c>
      <x:c r="Z1005" s="5" t="inlineStr">
        <x:is>
          <x:t xml:space="preserve">cobbleverse:custom_spawn/grasswither_shrine</x:t>
        </x:is>
      </x:c>
      <x:c r="AA1005" s="5" t="inlineStr">
        <x:is>
          <x:t xml:space="preserve">ultra-rare</x:t>
        </x:is>
      </x:c>
      <x:c r="AB1005" s="5" t="inlineStr">
        <x:is>
          <x:t xml:space="preserve">아니오</x:t>
        </x:is>
      </x:c>
      <x:c r="AC1005" s="8" t="str">
        <x:f>IF(T1005&lt;&gt;"","수동확정",IF(X1005="검토필요","검토필요",IF(S1005="","원본없음","초기완료")))</x:f>
        <x:v>검토필요</x:v>
      </x:c>
      <x:c r="AD1005" s="7" t="inlineStr">
        <x:is>
          <x:t xml:space="preserve"/>
        </x:is>
      </x:c>
      <x:c r="AE1005" s="5" t="inlineStr">
        <x:is>
          <x:t xml:space="preserve">.tmp/cobblemon-1.7.3-source/common/src/main/resources/data/cobblemon/species/generation9/wochien.json</x:t>
        </x:is>
      </x:c>
      <x:c r="AF1005" s="5" t="str">
        <x:f>"생활권|"&amp;K1005</x:f>
        <x:v>생활권|육상</x:v>
      </x:c>
      <x:c r="AG1005" s="5" t="str">
        <x:f>"지형|"&amp;L1005</x:f>
        <x:v>지형|수목</x:v>
      </x:c>
      <x:c r="AH1005" s="5" t="str">
        <x:f>"온도|"&amp;M1005</x:f>
        <x:v>온도|온대</x:v>
      </x:c>
      <x:c r="AI1005" s="5" t="str">
        <x:f>"습도|"&amp;N1005</x:f>
        <x:v>습도|보통</x:v>
      </x:c>
      <x:c r="AJ1005" s="5" t="str">
        <x:f>"날씨|"&amp;O1005</x:f>
        <x:v>날씨|무관</x:v>
      </x:c>
      <x:c r="AK1005" s="5" t="str">
        <x:f>"특수태그|"&amp;R1005</x:f>
        <x:v>특수태그|전설</x:v>
      </x:c>
      <x:c r="AL1005" s="5" t="str">
        <x:f>"원본서식지|"&amp;S1005</x:f>
        <x:v>원본서식지|</x:v>
      </x:c>
      <x:c r="AM1005" s="5" t="str">
        <x:f>"타입|"&amp;F1005</x:f>
        <x:v>타입|악</x:v>
      </x:c>
      <x:c r="AN1005" s="5" t="str">
        <x:f>"타입|"&amp;G1005</x:f>
        <x:v>타입|풀</x:v>
      </x:c>
    </x:row>
    <x:row r="1006" ht="24" customHeight="1">
      <x:c r="A1006" s="5" t="n">
        <x:v>1002</x:v>
      </x:c>
      <x:c r="B1006" s="5" t="inlineStr">
        <x:is>
          <x:t xml:space="preserve">파오젠</x:t>
        </x:is>
      </x:c>
      <x:c r="C1006" s="5" t="inlineStr">
        <x:is>
          <x:t xml:space="preserve">chienpao</x:t>
        </x:is>
      </x:c>
      <x:c r="D1006" s="5" t="inlineStr">
        <x:is>
          <x:t xml:space="preserve">Chien-Pao</x:t>
        </x:is>
      </x:c>
      <x:c r="E1006" s="5" t="n">
        <x:v>9</x:v>
      </x:c>
      <x:c r="F1006" s="5" t="inlineStr">
        <x:is>
          <x:t xml:space="preserve">악</x:t>
        </x:is>
      </x:c>
      <x:c r="G1006" s="5" t="inlineStr">
        <x:is>
          <x:t xml:space="preserve">얼음</x:t>
        </x:is>
      </x:c>
      <x:c r="H1006" s="6" t="n">
        <x:v>152.2</x:v>
      </x:c>
      <x:c r="I1006" s="5" t="n"/>
      <x:c r="J1006" s="5" t="inlineStr">
        <x:is>
          <x:t xml:space="preserve">무진화</x:t>
        </x:is>
      </x:c>
      <x:c r="K1006" s="7" t="inlineStr">
        <x:is>
          <x:t xml:space="preserve">육상</x:t>
        </x:is>
      </x:c>
      <x:c r="L1006" s="7" t="inlineStr">
        <x:is>
          <x:t xml:space="preserve">설원</x:t>
        </x:is>
      </x:c>
      <x:c r="M1006" s="7" t="inlineStr">
        <x:is>
          <x:t xml:space="preserve">한랭</x:t>
        </x:is>
      </x:c>
      <x:c r="N1006" s="7" t="inlineStr">
        <x:is>
          <x:t xml:space="preserve">보통</x:t>
        </x:is>
      </x:c>
      <x:c r="O1006" s="7" t="inlineStr">
        <x:is>
          <x:t xml:space="preserve">눈</x:t>
        </x:is>
      </x:c>
      <x:c r="P1006" s="7" t="inlineStr">
        <x:is>
          <x:t xml:space="preserve">밤</x:t>
        </x:is>
      </x:c>
      <x:c r="Q1006" s="7" t="inlineStr">
        <x:is>
          <x:t xml:space="preserve">전설</x:t>
        </x:is>
      </x:c>
      <x:c r="R1006" s="7" t="inlineStr">
        <x:is>
          <x:t xml:space="preserve">전설</x:t>
        </x:is>
      </x:c>
      <x:c r="S1006" s="7" t="inlineStr">
        <x:is>
          <x:t xml:space="preserve">설원</x:t>
        </x:is>
      </x:c>
      <x:c r="T1006" s="7" t="inlineStr">
        <x:is>
          <x:t xml:space="preserve"/>
        </x:is>
      </x:c>
      <x:c r="U1006" s="8" t="str">
        <x:f>INDEX('서식지_점수'!$E$4:$P$4,1,MATCH(MAX('서식지_점수'!E1006:P1006),'서식지_점수'!E1006:P1006,0))</x:f>
        <x:v>평원</x:v>
      </x:c>
      <x:c r="V1006" s="8" t="str">
        <x:f>IF(T1006&lt;&gt;"",T1006,U1006)</x:f>
        <x:v>평원</x:v>
      </x:c>
      <x:c r="W1006" s="8" t="str">
        <x:f>IFERROR(INDEX('서식지_점수'!$E$4:$P$4,1,MATCH(MAXIFS('서식지_점수'!E1006:P1006,'서식지_점수'!E1006:P1006,"&lt;"&amp;MAX('서식지_점수'!E1006:P1006)),'서식지_점수'!E1006:P1006,0)),"")</x:f>
        <x:v>숲</x:v>
      </x:c>
      <x:c r="X1006" s="8" t="str">
        <x:f>IF(T1006&lt;&gt;"","수동확정",IF(MAX('서식지_점수'!E1006:P1006)-LARGE('서식지_점수'!E1006:P1006,2)&gt;=15,"높음",IF(MAX('서식지_점수'!E1006:P1006)-LARGE('서식지_점수'!E1006:P1006,2)&gt;=8,"보통","검토필요")))</x:f>
        <x:v>검토필요</x:v>
      </x:c>
      <x:c r="Y1006" s="9" t="n">
        <x:f>IF(Q1006="전설",8,IF(Q1006="희귀",7,IF(J1006="기본",1,IF(J1006="중간",3,IF(J1006="최종",IF(I1006="",5,IF(I1006&lt;=20,3,IF(I1006&lt;=35,4,IF(I1006&lt;=50,6,7)))),IF(Q1006="드묾",4,2))))))</x:f>
        <x:v>8</x:v>
      </x:c>
      <x:c r="Z1006" s="5" t="inlineStr">
        <x:is>
          <x:t xml:space="preserve">cobbleverse:custom_spawn/icerend_shrine</x:t>
        </x:is>
      </x:c>
      <x:c r="AA1006" s="5" t="inlineStr">
        <x:is>
          <x:t xml:space="preserve">ultra-rare</x:t>
        </x:is>
      </x:c>
      <x:c r="AB1006" s="5" t="inlineStr">
        <x:is>
          <x:t xml:space="preserve">아니오</x:t>
        </x:is>
      </x:c>
      <x:c r="AC1006" s="8" t="str">
        <x:f>IF(T1006&lt;&gt;"","수동확정",IF(X1006="검토필요","검토필요",IF(S1006="","원본없음","초기완료")))</x:f>
        <x:v>검토필요</x:v>
      </x:c>
      <x:c r="AD1006" s="7" t="inlineStr">
        <x:is>
          <x:t xml:space="preserve"/>
        </x:is>
      </x:c>
      <x:c r="AE1006" s="5" t="inlineStr">
        <x:is>
          <x:t xml:space="preserve">.tmp/cobblemon-1.7.3-source/common/src/main/resources/data/cobblemon/species/generation9/chienpao.json</x:t>
        </x:is>
      </x:c>
      <x:c r="AF1006" s="5" t="str">
        <x:f>"생활권|"&amp;K1006</x:f>
        <x:v>생활권|육상</x:v>
      </x:c>
      <x:c r="AG1006" s="5" t="str">
        <x:f>"지형|"&amp;L1006</x:f>
        <x:v>지형|설원</x:v>
      </x:c>
      <x:c r="AH1006" s="5" t="str">
        <x:f>"온도|"&amp;M1006</x:f>
        <x:v>온도|한랭</x:v>
      </x:c>
      <x:c r="AI1006" s="5" t="str">
        <x:f>"습도|"&amp;N1006</x:f>
        <x:v>습도|보통</x:v>
      </x:c>
      <x:c r="AJ1006" s="5" t="str">
        <x:f>"날씨|"&amp;O1006</x:f>
        <x:v>날씨|눈</x:v>
      </x:c>
      <x:c r="AK1006" s="5" t="str">
        <x:f>"특수태그|"&amp;R1006</x:f>
        <x:v>특수태그|전설</x:v>
      </x:c>
      <x:c r="AL1006" s="5" t="str">
        <x:f>"원본서식지|"&amp;S1006</x:f>
        <x:v>원본서식지|설원</x:v>
      </x:c>
      <x:c r="AM1006" s="5" t="str">
        <x:f>"타입|"&amp;F1006</x:f>
        <x:v>타입|악</x:v>
      </x:c>
      <x:c r="AN1006" s="5" t="str">
        <x:f>"타입|"&amp;G1006</x:f>
        <x:v>타입|얼음</x:v>
      </x:c>
    </x:row>
    <x:row r="1007" ht="24" customHeight="1">
      <x:c r="A1007" s="5" t="n">
        <x:v>1003</x:v>
      </x:c>
      <x:c r="B1007" s="5" t="inlineStr">
        <x:is>
          <x:t xml:space="preserve">딩루</x:t>
        </x:is>
      </x:c>
      <x:c r="C1007" s="5" t="inlineStr">
        <x:is>
          <x:t xml:space="preserve">tinglu</x:t>
        </x:is>
      </x:c>
      <x:c r="D1007" s="5" t="inlineStr">
        <x:is>
          <x:t xml:space="preserve">Ting-Lu</x:t>
        </x:is>
      </x:c>
      <x:c r="E1007" s="5" t="n">
        <x:v>9</x:v>
      </x:c>
      <x:c r="F1007" s="5" t="inlineStr">
        <x:is>
          <x:t xml:space="preserve">악</x:t>
        </x:is>
      </x:c>
      <x:c r="G1007" s="5" t="inlineStr">
        <x:is>
          <x:t xml:space="preserve">땅</x:t>
        </x:is>
      </x:c>
      <x:c r="H1007" s="6" t="n">
        <x:v>699.7</x:v>
      </x:c>
      <x:c r="I1007" s="5" t="n"/>
      <x:c r="J1007" s="5" t="inlineStr">
        <x:is>
          <x:t xml:space="preserve">무진화</x:t>
        </x:is>
      </x:c>
      <x:c r="K1007" s="7" t="inlineStr">
        <x:is>
          <x:t xml:space="preserve">육상</x:t>
        </x:is>
      </x:c>
      <x:c r="L1007" s="7" t="inlineStr">
        <x:is>
          <x:t xml:space="preserve">암석</x:t>
        </x:is>
      </x:c>
      <x:c r="M1007" s="7" t="inlineStr">
        <x:is>
          <x:t xml:space="preserve">온대</x:t>
        </x:is>
      </x:c>
      <x:c r="N1007" s="7" t="inlineStr">
        <x:is>
          <x:t xml:space="preserve">보통</x:t>
        </x:is>
      </x:c>
      <x:c r="O1007" s="7" t="inlineStr">
        <x:is>
          <x:t xml:space="preserve">무관</x:t>
        </x:is>
      </x:c>
      <x:c r="P1007" s="7" t="inlineStr">
        <x:is>
          <x:t xml:space="preserve">밤</x:t>
        </x:is>
      </x:c>
      <x:c r="Q1007" s="7" t="inlineStr">
        <x:is>
          <x:t xml:space="preserve">전설</x:t>
        </x:is>
      </x:c>
      <x:c r="R1007" s="7" t="inlineStr">
        <x:is>
          <x:t xml:space="preserve">전설</x:t>
        </x:is>
      </x:c>
      <x:c r="S1007" s="7" t="inlineStr">
        <x:is>
          <x:t xml:space="preserve"/>
        </x:is>
      </x:c>
      <x:c r="T1007" s="7" t="inlineStr">
        <x:is>
          <x:t xml:space="preserve"/>
        </x:is>
      </x:c>
      <x:c r="U1007" s="8" t="str">
        <x:f>INDEX('서식지_점수'!$E$4:$P$4,1,MATCH(MAX('서식지_점수'!E1007:P1007),'서식지_점수'!E1007:P1007,0))</x:f>
        <x:v>평원</x:v>
      </x:c>
      <x:c r="V1007" s="8" t="str">
        <x:f>IF(T1007&lt;&gt;"",T1007,U1007)</x:f>
        <x:v>평원</x:v>
      </x:c>
      <x:c r="W1007" s="8" t="str">
        <x:f>IFERROR(INDEX('서식지_점수'!$E$4:$P$4,1,MATCH(MAXIFS('서식지_점수'!E1007:P1007,'서식지_점수'!E1007:P1007,"&lt;"&amp;MAX('서식지_점수'!E1007:P1007)),'서식지_점수'!E1007:P1007,0)),"")</x:f>
        <x:v>숲</x:v>
      </x:c>
      <x:c r="X1007" s="8" t="str">
        <x:f>IF(T1007&lt;&gt;"","수동확정",IF(MAX('서식지_점수'!E1007:P1007)-LARGE('서식지_점수'!E1007:P1007,2)&gt;=15,"높음",IF(MAX('서식지_점수'!E1007:P1007)-LARGE('서식지_점수'!E1007:P1007,2)&gt;=8,"보통","검토필요")))</x:f>
        <x:v>검토필요</x:v>
      </x:c>
      <x:c r="Y1007" s="9" t="n">
        <x:f>IF(Q1007="전설",8,IF(Q1007="희귀",7,IF(J1007="기본",1,IF(J1007="중간",3,IF(J1007="최종",IF(I1007="",5,IF(I1007&lt;=20,3,IF(I1007&lt;=35,4,IF(I1007&lt;=50,6,7)))),IF(Q1007="드묾",4,2))))))</x:f>
        <x:v>8</x:v>
      </x:c>
      <x:c r="Z1007" s="5" t="inlineStr">
        <x:is>
          <x:t xml:space="preserve">cobbleverse:custom_spawn/groundblight_shrine</x:t>
        </x:is>
      </x:c>
      <x:c r="AA1007" s="5" t="inlineStr">
        <x:is>
          <x:t xml:space="preserve">ultra-rare</x:t>
        </x:is>
      </x:c>
      <x:c r="AB1007" s="5" t="inlineStr">
        <x:is>
          <x:t xml:space="preserve">아니오</x:t>
        </x:is>
      </x:c>
      <x:c r="AC1007" s="8" t="str">
        <x:f>IF(T1007&lt;&gt;"","수동확정",IF(X1007="검토필요","검토필요",IF(S1007="","원본없음","초기완료")))</x:f>
        <x:v>검토필요</x:v>
      </x:c>
      <x:c r="AD1007" s="7" t="inlineStr">
        <x:is>
          <x:t xml:space="preserve"/>
        </x:is>
      </x:c>
      <x:c r="AE1007" s="5" t="inlineStr">
        <x:is>
          <x:t xml:space="preserve">.tmp/cobblemon-1.7.3-source/common/src/main/resources/data/cobblemon/species/generation9/tinglu.json</x:t>
        </x:is>
      </x:c>
      <x:c r="AF1007" s="5" t="str">
        <x:f>"생활권|"&amp;K1007</x:f>
        <x:v>생활권|육상</x:v>
      </x:c>
      <x:c r="AG1007" s="5" t="str">
        <x:f>"지형|"&amp;L1007</x:f>
        <x:v>지형|암석</x:v>
      </x:c>
      <x:c r="AH1007" s="5" t="str">
        <x:f>"온도|"&amp;M1007</x:f>
        <x:v>온도|온대</x:v>
      </x:c>
      <x:c r="AI1007" s="5" t="str">
        <x:f>"습도|"&amp;N1007</x:f>
        <x:v>습도|보통</x:v>
      </x:c>
      <x:c r="AJ1007" s="5" t="str">
        <x:f>"날씨|"&amp;O1007</x:f>
        <x:v>날씨|무관</x:v>
      </x:c>
      <x:c r="AK1007" s="5" t="str">
        <x:f>"특수태그|"&amp;R1007</x:f>
        <x:v>특수태그|전설</x:v>
      </x:c>
      <x:c r="AL1007" s="5" t="str">
        <x:f>"원본서식지|"&amp;S1007</x:f>
        <x:v>원본서식지|</x:v>
      </x:c>
      <x:c r="AM1007" s="5" t="str">
        <x:f>"타입|"&amp;F1007</x:f>
        <x:v>타입|악</x:v>
      </x:c>
      <x:c r="AN1007" s="5" t="str">
        <x:f>"타입|"&amp;G1007</x:f>
        <x:v>타입|땅</x:v>
      </x:c>
    </x:row>
    <x:row r="1008" ht="24" customHeight="1">
      <x:c r="A1008" s="5" t="n">
        <x:v>1004</x:v>
      </x:c>
      <x:c r="B1008" s="5" t="inlineStr">
        <x:is>
          <x:t xml:space="preserve">위유이</x:t>
        </x:is>
      </x:c>
      <x:c r="C1008" s="5" t="inlineStr">
        <x:is>
          <x:t xml:space="preserve">chiyu</x:t>
        </x:is>
      </x:c>
      <x:c r="D1008" s="5" t="inlineStr">
        <x:is>
          <x:t xml:space="preserve">Chi-Yu</x:t>
        </x:is>
      </x:c>
      <x:c r="E1008" s="5" t="n">
        <x:v>9</x:v>
      </x:c>
      <x:c r="F1008" s="5" t="inlineStr">
        <x:is>
          <x:t xml:space="preserve">악</x:t>
        </x:is>
      </x:c>
      <x:c r="G1008" s="5" t="inlineStr">
        <x:is>
          <x:t xml:space="preserve">불꽃</x:t>
        </x:is>
      </x:c>
      <x:c r="H1008" s="6" t="n">
        <x:v>4.9</x:v>
      </x:c>
      <x:c r="I1008" s="5" t="n"/>
      <x:c r="J1008" s="5" t="inlineStr">
        <x:is>
          <x:t xml:space="preserve">무진화</x:t>
        </x:is>
      </x:c>
      <x:c r="K1008" s="7" t="inlineStr">
        <x:is>
          <x:t xml:space="preserve">비행</x:t>
        </x:is>
      </x:c>
      <x:c r="L1008" s="7" t="inlineStr">
        <x:is>
          <x:t xml:space="preserve">특수</x:t>
        </x:is>
      </x:c>
      <x:c r="M1008" s="7" t="inlineStr">
        <x:is>
          <x:t xml:space="preserve">고온</x:t>
        </x:is>
      </x:c>
      <x:c r="N1008" s="7" t="inlineStr">
        <x:is>
          <x:t xml:space="preserve">보통</x:t>
        </x:is>
      </x:c>
      <x:c r="O1008" s="7" t="inlineStr">
        <x:is>
          <x:t xml:space="preserve">무관</x:t>
        </x:is>
      </x:c>
      <x:c r="P1008" s="7" t="inlineStr">
        <x:is>
          <x:t xml:space="preserve">밤</x:t>
        </x:is>
      </x:c>
      <x:c r="Q1008" s="7" t="inlineStr">
        <x:is>
          <x:t xml:space="preserve">전설</x:t>
        </x:is>
      </x:c>
      <x:c r="R1008" s="7" t="inlineStr">
        <x:is>
          <x:t xml:space="preserve">전설</x:t>
        </x:is>
      </x:c>
      <x:c r="S1008" s="7" t="inlineStr">
        <x:is>
          <x:t xml:space="preserve"/>
        </x:is>
      </x:c>
      <x:c r="T1008" s="7" t="inlineStr">
        <x:is>
          <x:t xml:space="preserve"/>
        </x:is>
      </x:c>
      <x:c r="U1008" s="8" t="str">
        <x:f>INDEX('서식지_점수'!$E$4:$P$4,1,MATCH(MAX('서식지_점수'!E1008:P1008),'서식지_점수'!E1008:P1008,0))</x:f>
        <x:v>산악</x:v>
      </x:c>
      <x:c r="V1008" s="8" t="str">
        <x:f>IF(T1008&lt;&gt;"",T1008,U1008)</x:f>
        <x:v>산악</x:v>
      </x:c>
      <x:c r="W1008" s="8" t="str">
        <x:f>IFERROR(INDEX('서식지_점수'!$E$4:$P$4,1,MATCH(MAXIFS('서식지_점수'!E1008:P1008,'서식지_점수'!E1008:P1008,"&lt;"&amp;MAX('서식지_점수'!E1008:P1008)),'서식지_점수'!E1008:P1008,0)),"")</x:f>
        <x:v>평원</x:v>
      </x:c>
      <x:c r="X1008" s="8" t="str">
        <x:f>IF(T1008&lt;&gt;"","수동확정",IF(MAX('서식지_점수'!E1008:P1008)-LARGE('서식지_점수'!E1008:P1008,2)&gt;=15,"높음",IF(MAX('서식지_점수'!E1008:P1008)-LARGE('서식지_점수'!E1008:P1008,2)&gt;=8,"보통","검토필요")))</x:f>
        <x:v>검토필요</x:v>
      </x:c>
      <x:c r="Y1008" s="9" t="n">
        <x:f>IF(Q1008="전설",8,IF(Q1008="희귀",7,IF(J1008="기본",1,IF(J1008="중간",3,IF(J1008="최종",IF(I1008="",5,IF(I1008&lt;=20,3,IF(I1008&lt;=35,4,IF(I1008&lt;=50,6,7)))),IF(Q1008="드묾",4,2))))))</x:f>
        <x:v>8</x:v>
      </x:c>
      <x:c r="Z1008" s="5" t="inlineStr">
        <x:is>
          <x:t xml:space="preserve">cobbleverse:custom_spawn/firescoruge_shrine</x:t>
        </x:is>
      </x:c>
      <x:c r="AA1008" s="5" t="inlineStr">
        <x:is>
          <x:t xml:space="preserve">ultra-rare</x:t>
        </x:is>
      </x:c>
      <x:c r="AB1008" s="5" t="inlineStr">
        <x:is>
          <x:t xml:space="preserve">아니오</x:t>
        </x:is>
      </x:c>
      <x:c r="AC1008" s="8" t="str">
        <x:f>IF(T1008&lt;&gt;"","수동확정",IF(X1008="검토필요","검토필요",IF(S1008="","원본없음","초기완료")))</x:f>
        <x:v>검토필요</x:v>
      </x:c>
      <x:c r="AD1008" s="7" t="inlineStr">
        <x:is>
          <x:t xml:space="preserve"/>
        </x:is>
      </x:c>
      <x:c r="AE1008" s="5" t="inlineStr">
        <x:is>
          <x:t xml:space="preserve">.tmp/cobblemon-1.7.3-source/common/src/main/resources/data/cobblemon/species/generation9/chiyu.json</x:t>
        </x:is>
      </x:c>
      <x:c r="AF1008" s="5" t="str">
        <x:f>"생활권|"&amp;K1008</x:f>
        <x:v>생활권|비행</x:v>
      </x:c>
      <x:c r="AG1008" s="5" t="str">
        <x:f>"지형|"&amp;L1008</x:f>
        <x:v>지형|특수</x:v>
      </x:c>
      <x:c r="AH1008" s="5" t="str">
        <x:f>"온도|"&amp;M1008</x:f>
        <x:v>온도|고온</x:v>
      </x:c>
      <x:c r="AI1008" s="5" t="str">
        <x:f>"습도|"&amp;N1008</x:f>
        <x:v>습도|보통</x:v>
      </x:c>
      <x:c r="AJ1008" s="5" t="str">
        <x:f>"날씨|"&amp;O1008</x:f>
        <x:v>날씨|무관</x:v>
      </x:c>
      <x:c r="AK1008" s="5" t="str">
        <x:f>"특수태그|"&amp;R1008</x:f>
        <x:v>특수태그|전설</x:v>
      </x:c>
      <x:c r="AL1008" s="5" t="str">
        <x:f>"원본서식지|"&amp;S1008</x:f>
        <x:v>원본서식지|</x:v>
      </x:c>
      <x:c r="AM1008" s="5" t="str">
        <x:f>"타입|"&amp;F1008</x:f>
        <x:v>타입|악</x:v>
      </x:c>
      <x:c r="AN1008" s="5" t="str">
        <x:f>"타입|"&amp;G1008</x:f>
        <x:v>타입|불꽃</x:v>
      </x:c>
    </x:row>
    <x:row r="1009" ht="24" customHeight="1">
      <x:c r="A1009" s="5" t="n">
        <x:v>1005</x:v>
      </x:c>
      <x:c r="B1009" s="5" t="inlineStr">
        <x:is>
          <x:t xml:space="preserve">고동치는달</x:t>
        </x:is>
      </x:c>
      <x:c r="C1009" s="5" t="inlineStr">
        <x:is>
          <x:t xml:space="preserve">roaringmoon</x:t>
        </x:is>
      </x:c>
      <x:c r="D1009" s="5" t="inlineStr">
        <x:is>
          <x:t xml:space="preserve">Roaring Moon</x:t>
        </x:is>
      </x:c>
      <x:c r="E1009" s="5" t="n">
        <x:v>9</x:v>
      </x:c>
      <x:c r="F1009" s="5" t="inlineStr">
        <x:is>
          <x:t xml:space="preserve">드래곤</x:t>
        </x:is>
      </x:c>
      <x:c r="G1009" s="5" t="inlineStr">
        <x:is>
          <x:t xml:space="preserve">악</x:t>
        </x:is>
      </x:c>
      <x:c r="H1009" s="6" t="n">
        <x:v>380</x:v>
      </x:c>
      <x:c r="I1009" s="5" t="n"/>
      <x:c r="J1009" s="5" t="inlineStr">
        <x:is>
          <x:t xml:space="preserve">무진화</x:t>
        </x:is>
      </x:c>
      <x:c r="K1009" s="7" t="inlineStr">
        <x:is>
          <x:t xml:space="preserve">비행</x:t>
        </x:is>
      </x:c>
      <x:c r="L1009" s="7" t="inlineStr">
        <x:is>
          <x:t xml:space="preserve">암석</x:t>
        </x:is>
      </x:c>
      <x:c r="M1009" s="7" t="inlineStr">
        <x:is>
          <x:t xml:space="preserve">온대</x:t>
        </x:is>
      </x:c>
      <x:c r="N1009" s="7" t="inlineStr">
        <x:is>
          <x:t xml:space="preserve">보통</x:t>
        </x:is>
      </x:c>
      <x:c r="O1009" s="7" t="inlineStr">
        <x:is>
          <x:t xml:space="preserve">무관</x:t>
        </x:is>
      </x:c>
      <x:c r="P1009" s="7" t="inlineStr">
        <x:is>
          <x:t xml:space="preserve">밤</x:t>
        </x:is>
      </x:c>
      <x:c r="Q1009" s="7" t="inlineStr">
        <x:is>
          <x:t xml:space="preserve">드묾</x:t>
        </x:is>
      </x:c>
      <x:c r="R1009" s="7" t="inlineStr">
        <x:is>
          <x:t xml:space="preserve">없음</x:t>
        </x:is>
      </x:c>
      <x:c r="S1009" s="7" t="inlineStr">
        <x:is>
          <x:t xml:space="preserve">산악</x:t>
        </x:is>
      </x:c>
      <x:c r="T1009" s="7" t="inlineStr">
        <x:is>
          <x:t xml:space="preserve"/>
        </x:is>
      </x:c>
      <x:c r="U1009" s="8" t="str">
        <x:f>INDEX('서식지_점수'!$E$4:$P$4,1,MATCH(MAX('서식지_점수'!E1009:P1009),'서식지_점수'!E1009:P1009,0))</x:f>
        <x:v>산악</x:v>
      </x:c>
      <x:c r="V1009" s="8" t="str">
        <x:f>IF(T1009&lt;&gt;"",T1009,U1009)</x:f>
        <x:v>산악</x:v>
      </x:c>
      <x:c r="W1009" s="8" t="str">
        <x:f>IFERROR(INDEX('서식지_점수'!$E$4:$P$4,1,MATCH(MAXIFS('서식지_점수'!E1009:P1009,'서식지_점수'!E1009:P1009,"&lt;"&amp;MAX('서식지_점수'!E1009:P1009)),'서식지_점수'!E1009:P1009,0)),"")</x:f>
        <x:v>평원</x:v>
      </x:c>
      <x:c r="X1009" s="8" t="str">
        <x:f>IF(T1009&lt;&gt;"","수동확정",IF(MAX('서식지_점수'!E1009:P1009)-LARGE('서식지_점수'!E1009:P1009,2)&gt;=15,"높음",IF(MAX('서식지_점수'!E1009:P1009)-LARGE('서식지_점수'!E1009:P1009,2)&gt;=8,"보통","검토필요")))</x:f>
        <x:v>검토필요</x:v>
      </x:c>
      <x:c r="Y1009" s="9" t="n">
        <x:f>IF(Q1009="전설",8,IF(Q1009="희귀",7,IF(J1009="기본",1,IF(J1009="중간",3,IF(J1009="최종",IF(I1009="",5,IF(I1009&lt;=20,3,IF(I1009&lt;=35,4,IF(I1009&lt;=50,6,7)))),IF(Q1009="드묾",4,2))))))</x:f>
        <x:v>4</x:v>
      </x:c>
      <x:c r="Z1009" s="5" t="inlineStr">
        <x:is>
          <x:t xml:space="preserve">#cobblemon:is_mountain</x:t>
        </x:is>
      </x:c>
      <x:c r="AA1009" s="5" t="inlineStr">
        <x:is>
          <x:t xml:space="preserve">rare</x:t>
        </x:is>
      </x:c>
      <x:c r="AB1009" s="5" t="inlineStr">
        <x:is>
          <x:t xml:space="preserve">아니오</x:t>
        </x:is>
      </x:c>
      <x:c r="AC1009" s="8" t="str">
        <x:f>IF(T1009&lt;&gt;"","수동확정",IF(X1009="검토필요","검토필요",IF(S1009="","원본없음","초기완료")))</x:f>
        <x:v>검토필요</x:v>
      </x:c>
      <x:c r="AD1009" s="7" t="inlineStr">
        <x:is>
          <x:t xml:space="preserve"/>
        </x:is>
      </x:c>
      <x:c r="AE1009" s="5" t="inlineStr">
        <x:is>
          <x:t xml:space="preserve">.tmp/cobblemon-1.7.3-source/common/src/main/resources/data/cobblemon/species/generation9/roaringmoon.json</x:t>
        </x:is>
      </x:c>
      <x:c r="AF1009" s="5" t="str">
        <x:f>"생활권|"&amp;K1009</x:f>
        <x:v>생활권|비행</x:v>
      </x:c>
      <x:c r="AG1009" s="5" t="str">
        <x:f>"지형|"&amp;L1009</x:f>
        <x:v>지형|암석</x:v>
      </x:c>
      <x:c r="AH1009" s="5" t="str">
        <x:f>"온도|"&amp;M1009</x:f>
        <x:v>온도|온대</x:v>
      </x:c>
      <x:c r="AI1009" s="5" t="str">
        <x:f>"습도|"&amp;N1009</x:f>
        <x:v>습도|보통</x:v>
      </x:c>
      <x:c r="AJ1009" s="5" t="str">
        <x:f>"날씨|"&amp;O1009</x:f>
        <x:v>날씨|무관</x:v>
      </x:c>
      <x:c r="AK1009" s="5" t="str">
        <x:f>"특수태그|"&amp;R1009</x:f>
        <x:v>특수태그|없음</x:v>
      </x:c>
      <x:c r="AL1009" s="5" t="str">
        <x:f>"원본서식지|"&amp;S1009</x:f>
        <x:v>원본서식지|산악</x:v>
      </x:c>
      <x:c r="AM1009" s="5" t="str">
        <x:f>"타입|"&amp;F1009</x:f>
        <x:v>타입|드래곤</x:v>
      </x:c>
      <x:c r="AN1009" s="5" t="str">
        <x:f>"타입|"&amp;G1009</x:f>
        <x:v>타입|악</x:v>
      </x:c>
    </x:row>
    <x:row r="1010" ht="24" customHeight="1">
      <x:c r="A1010" s="5" t="n">
        <x:v>1006</x:v>
      </x:c>
      <x:c r="B1010" s="5" t="inlineStr">
        <x:is>
          <x:t xml:space="preserve">무쇠무인</x:t>
        </x:is>
      </x:c>
      <x:c r="C1010" s="5" t="inlineStr">
        <x:is>
          <x:t xml:space="preserve">ironvaliant</x:t>
        </x:is>
      </x:c>
      <x:c r="D1010" s="5" t="inlineStr">
        <x:is>
          <x:t xml:space="preserve">Iron Valiant</x:t>
        </x:is>
      </x:c>
      <x:c r="E1010" s="5" t="n">
        <x:v>9</x:v>
      </x:c>
      <x:c r="F1010" s="5" t="inlineStr">
        <x:is>
          <x:t xml:space="preserve">페어리</x:t>
        </x:is>
      </x:c>
      <x:c r="G1010" s="5" t="inlineStr">
        <x:is>
          <x:t xml:space="preserve">격투</x:t>
        </x:is>
      </x:c>
      <x:c r="H1010" s="6" t="n">
        <x:v>35</x:v>
      </x:c>
      <x:c r="I1010" s="5" t="n"/>
      <x:c r="J1010" s="5" t="inlineStr">
        <x:is>
          <x:t xml:space="preserve">무진화</x:t>
        </x:is>
      </x:c>
      <x:c r="K1010" s="7" t="inlineStr">
        <x:is>
          <x:t xml:space="preserve">육상</x:t>
        </x:is>
      </x:c>
      <x:c r="L1010" s="7" t="inlineStr">
        <x:is>
          <x:t xml:space="preserve">개활지</x:t>
        </x:is>
      </x:c>
      <x:c r="M1010" s="7" t="inlineStr">
        <x:is>
          <x:t xml:space="preserve">온대</x:t>
        </x:is>
      </x:c>
      <x:c r="N1010" s="7" t="inlineStr">
        <x:is>
          <x:t xml:space="preserve">보통</x:t>
        </x:is>
      </x:c>
      <x:c r="O1010" s="7" t="inlineStr">
        <x:is>
          <x:t xml:space="preserve">무관</x:t>
        </x:is>
      </x:c>
      <x:c r="P1010" s="7" t="inlineStr">
        <x:is>
          <x:t xml:space="preserve">무관</x:t>
        </x:is>
      </x:c>
      <x:c r="Q1010" s="7" t="inlineStr">
        <x:is>
          <x:t xml:space="preserve">드묾</x:t>
        </x:is>
      </x:c>
      <x:c r="R1010" s="7" t="inlineStr">
        <x:is>
          <x:t xml:space="preserve">없음</x:t>
        </x:is>
      </x:c>
      <x:c r="S1010" s="7" t="inlineStr">
        <x:is>
          <x:t xml:space="preserve">평원</x:t>
        </x:is>
      </x:c>
      <x:c r="T1010" s="7" t="inlineStr">
        <x:is>
          <x:t xml:space="preserve"/>
        </x:is>
      </x:c>
      <x:c r="U1010" s="8" t="str">
        <x:f>INDEX('서식지_점수'!$E$4:$P$4,1,MATCH(MAX('서식지_점수'!E1010:P1010),'서식지_점수'!E1010:P1010,0))</x:f>
        <x:v>평원</x:v>
      </x:c>
      <x:c r="V1010" s="8" t="str">
        <x:f>IF(T1010&lt;&gt;"",T1010,U1010)</x:f>
        <x:v>평원</x:v>
      </x:c>
      <x:c r="W1010" s="8" t="str">
        <x:f>IFERROR(INDEX('서식지_점수'!$E$4:$P$4,1,MATCH(MAXIFS('서식지_점수'!E1010:P1010,'서식지_점수'!E1010:P1010,"&lt;"&amp;MAX('서식지_점수'!E1010:P1010)),'서식지_점수'!E1010:P1010,0)),"")</x:f>
        <x:v>숲</x:v>
      </x:c>
      <x:c r="X1010" s="8" t="str">
        <x:f>IF(T1010&lt;&gt;"","수동확정",IF(MAX('서식지_점수'!E1010:P1010)-LARGE('서식지_점수'!E1010:P1010,2)&gt;=15,"높음",IF(MAX('서식지_점수'!E1010:P1010)-LARGE('서식지_점수'!E1010:P1010,2)&gt;=8,"보통","검토필요")))</x:f>
        <x:v>검토필요</x:v>
      </x:c>
      <x:c r="Y1010" s="9" t="n">
        <x:f>IF(Q1010="전설",8,IF(Q1010="희귀",7,IF(J1010="기본",1,IF(J1010="중간",3,IF(J1010="최종",IF(I1010="",5,IF(I1010&lt;=20,3,IF(I1010&lt;=35,4,IF(I1010&lt;=50,6,7)))),IF(Q1010="드묾",4,2))))))</x:f>
        <x:v>4</x:v>
      </x:c>
      <x:c r="Z1010" s="5" t="inlineStr">
        <x:is>
          <x:t xml:space="preserve">#cobblemon:is_plains</x:t>
        </x:is>
      </x:c>
      <x:c r="AA1010" s="5" t="inlineStr">
        <x:is>
          <x:t xml:space="preserve">rare</x:t>
        </x:is>
      </x:c>
      <x:c r="AB1010" s="5" t="inlineStr">
        <x:is>
          <x:t xml:space="preserve">아니오</x:t>
        </x:is>
      </x:c>
      <x:c r="AC1010" s="8" t="str">
        <x:f>IF(T1010&lt;&gt;"","수동확정",IF(X1010="검토필요","검토필요",IF(S1010="","원본없음","초기완료")))</x:f>
        <x:v>검토필요</x:v>
      </x:c>
      <x:c r="AD1010" s="7" t="inlineStr">
        <x:is>
          <x:t xml:space="preserve"/>
        </x:is>
      </x:c>
      <x:c r="AE1010" s="5" t="inlineStr">
        <x:is>
          <x:t xml:space="preserve">.tmp/cobblemon-1.7.3-source/common/src/main/resources/data/cobblemon/species/generation9/ironvaliant.json</x:t>
        </x:is>
      </x:c>
      <x:c r="AF1010" s="5" t="str">
        <x:f>"생활권|"&amp;K1010</x:f>
        <x:v>생활권|육상</x:v>
      </x:c>
      <x:c r="AG1010" s="5" t="str">
        <x:f>"지형|"&amp;L1010</x:f>
        <x:v>지형|개활지</x:v>
      </x:c>
      <x:c r="AH1010" s="5" t="str">
        <x:f>"온도|"&amp;M1010</x:f>
        <x:v>온도|온대</x:v>
      </x:c>
      <x:c r="AI1010" s="5" t="str">
        <x:f>"습도|"&amp;N1010</x:f>
        <x:v>습도|보통</x:v>
      </x:c>
      <x:c r="AJ1010" s="5" t="str">
        <x:f>"날씨|"&amp;O1010</x:f>
        <x:v>날씨|무관</x:v>
      </x:c>
      <x:c r="AK1010" s="5" t="str">
        <x:f>"특수태그|"&amp;R1010</x:f>
        <x:v>특수태그|없음</x:v>
      </x:c>
      <x:c r="AL1010" s="5" t="str">
        <x:f>"원본서식지|"&amp;S1010</x:f>
        <x:v>원본서식지|평원</x:v>
      </x:c>
      <x:c r="AM1010" s="5" t="str">
        <x:f>"타입|"&amp;F1010</x:f>
        <x:v>타입|페어리</x:v>
      </x:c>
      <x:c r="AN1010" s="5" t="str">
        <x:f>"타입|"&amp;G1010</x:f>
        <x:v>타입|격투</x:v>
      </x:c>
    </x:row>
    <x:row r="1011" ht="24" customHeight="1">
      <x:c r="A1011" s="5" t="n">
        <x:v>1007</x:v>
      </x:c>
      <x:c r="B1011" s="5" t="inlineStr">
        <x:is>
          <x:t xml:space="preserve">코라이돈</x:t>
        </x:is>
      </x:c>
      <x:c r="C1011" s="5" t="inlineStr">
        <x:is>
          <x:t xml:space="preserve">koraidon</x:t>
        </x:is>
      </x:c>
      <x:c r="D1011" s="5" t="inlineStr">
        <x:is>
          <x:t xml:space="preserve">Koraidon</x:t>
        </x:is>
      </x:c>
      <x:c r="E1011" s="5" t="n">
        <x:v>9</x:v>
      </x:c>
      <x:c r="F1011" s="5" t="inlineStr">
        <x:is>
          <x:t xml:space="preserve">격투</x:t>
        </x:is>
      </x:c>
      <x:c r="G1011" s="5" t="inlineStr">
        <x:is>
          <x:t xml:space="preserve">드래곤</x:t>
        </x:is>
      </x:c>
      <x:c r="H1011" s="6" t="n">
        <x:v>303</x:v>
      </x:c>
      <x:c r="I1011" s="5" t="n"/>
      <x:c r="J1011" s="5" t="inlineStr">
        <x:is>
          <x:t xml:space="preserve">무진화</x:t>
        </x:is>
      </x:c>
      <x:c r="K1011" s="7" t="inlineStr">
        <x:is>
          <x:t xml:space="preserve">해양</x:t>
        </x:is>
      </x:c>
      <x:c r="L1011" s="7" t="inlineStr">
        <x:is>
          <x:t xml:space="preserve">해안·해양</x:t>
        </x:is>
      </x:c>
      <x:c r="M1011" s="7" t="inlineStr">
        <x:is>
          <x:t xml:space="preserve">온대</x:t>
        </x:is>
      </x:c>
      <x:c r="N1011" s="7" t="inlineStr">
        <x:is>
          <x:t xml:space="preserve">수중</x:t>
        </x:is>
      </x:c>
      <x:c r="O1011" s="7" t="inlineStr">
        <x:is>
          <x:t xml:space="preserve">비</x:t>
        </x:is>
      </x:c>
      <x:c r="P1011" s="7" t="inlineStr">
        <x:is>
          <x:t xml:space="preserve">무관</x:t>
        </x:is>
      </x:c>
      <x:c r="Q1011" s="7" t="inlineStr">
        <x:is>
          <x:t xml:space="preserve">전설</x:t>
        </x:is>
      </x:c>
      <x:c r="R1011" s="7" t="inlineStr">
        <x:is>
          <x:t xml:space="preserve">전설</x:t>
        </x:is>
      </x:c>
      <x:c r="S1011" s="7" t="inlineStr">
        <x:is>
          <x:t xml:space="preserve">해양</x:t>
        </x:is>
      </x:c>
      <x:c r="T1011" s="7" t="inlineStr">
        <x:is>
          <x:t xml:space="preserve"/>
        </x:is>
      </x:c>
      <x:c r="U1011" s="8" t="str">
        <x:f>INDEX('서식지_점수'!$E$4:$P$4,1,MATCH(MAX('서식지_점수'!E1011:P1011),'서식지_점수'!E1011:P1011,0))</x:f>
        <x:v>해양</x:v>
      </x:c>
      <x:c r="V1011" s="8" t="str">
        <x:f>IF(T1011&lt;&gt;"",T1011,U1011)</x:f>
        <x:v>해양</x:v>
      </x:c>
      <x:c r="W1011" s="8" t="str">
        <x:f>IFERROR(INDEX('서식지_점수'!$E$4:$P$4,1,MATCH(MAXIFS('서식지_점수'!E1011:P1011,'서식지_점수'!E1011:P1011,"&lt;"&amp;MAX('서식지_점수'!E1011:P1011)),'서식지_점수'!E1011:P1011,0)),"")</x:f>
        <x:v>습지</x:v>
      </x:c>
      <x:c r="X1011" s="8" t="str">
        <x:f>IF(T1011&lt;&gt;"","수동확정",IF(MAX('서식지_점수'!E1011:P1011)-LARGE('서식지_점수'!E1011:P1011,2)&gt;=15,"높음",IF(MAX('서식지_점수'!E1011:P1011)-LARGE('서식지_점수'!E1011:P1011,2)&gt;=8,"보통","검토필요")))</x:f>
        <x:v>높음</x:v>
      </x:c>
      <x:c r="Y1011" s="9" t="n">
        <x:f>IF(Q1011="전설",8,IF(Q1011="희귀",7,IF(J1011="기본",1,IF(J1011="중간",3,IF(J1011="최종",IF(I1011="",5,IF(I1011&lt;=20,3,IF(I1011&lt;=35,4,IF(I1011&lt;=50,6,7)))),IF(Q1011="드묾",4,2))))))</x:f>
        <x:v>8</x:v>
      </x:c>
      <x:c r="Z1011" s="5" t="inlineStr">
        <x:is>
          <x:t xml:space="preserve">minecraft:beach</x:t>
        </x:is>
      </x:c>
      <x:c r="AA1011" s="5" t="inlineStr">
        <x:is>
          <x:t xml:space="preserve">ultra-rare</x:t>
        </x:is>
      </x:c>
      <x:c r="AB1011" s="5" t="inlineStr">
        <x:is>
          <x:t xml:space="preserve">아니오</x:t>
        </x:is>
      </x:c>
      <x:c r="AC1011" s="8" t="str">
        <x:f>IF(T1011&lt;&gt;"","수동확정",IF(X1011="검토필요","검토필요",IF(S1011="","원본없음","초기완료")))</x:f>
        <x:v>초기완료</x:v>
      </x:c>
      <x:c r="AD1011" s="7" t="inlineStr">
        <x:is>
          <x:t xml:space="preserve"/>
        </x:is>
      </x:c>
      <x:c r="AE1011" s="5" t="inlineStr">
        <x:is>
          <x:t xml:space="preserve">.tmp/cobblemon-1.7.3-source/common/src/main/resources/data/cobblemon/species/generation9/koraidon.json</x:t>
        </x:is>
      </x:c>
      <x:c r="AF1011" s="5" t="str">
        <x:f>"생활권|"&amp;K1011</x:f>
        <x:v>생활권|해양</x:v>
      </x:c>
      <x:c r="AG1011" s="5" t="str">
        <x:f>"지형|"&amp;L1011</x:f>
        <x:v>지형|해안·해양</x:v>
      </x:c>
      <x:c r="AH1011" s="5" t="str">
        <x:f>"온도|"&amp;M1011</x:f>
        <x:v>온도|온대</x:v>
      </x:c>
      <x:c r="AI1011" s="5" t="str">
        <x:f>"습도|"&amp;N1011</x:f>
        <x:v>습도|수중</x:v>
      </x:c>
      <x:c r="AJ1011" s="5" t="str">
        <x:f>"날씨|"&amp;O1011</x:f>
        <x:v>날씨|비</x:v>
      </x:c>
      <x:c r="AK1011" s="5" t="str">
        <x:f>"특수태그|"&amp;R1011</x:f>
        <x:v>특수태그|전설</x:v>
      </x:c>
      <x:c r="AL1011" s="5" t="str">
        <x:f>"원본서식지|"&amp;S1011</x:f>
        <x:v>원본서식지|해양</x:v>
      </x:c>
      <x:c r="AM1011" s="5" t="str">
        <x:f>"타입|"&amp;F1011</x:f>
        <x:v>타입|격투</x:v>
      </x:c>
      <x:c r="AN1011" s="5" t="str">
        <x:f>"타입|"&amp;G1011</x:f>
        <x:v>타입|드래곤</x:v>
      </x:c>
    </x:row>
    <x:row r="1012" ht="24" customHeight="1">
      <x:c r="A1012" s="5" t="n">
        <x:v>1008</x:v>
      </x:c>
      <x:c r="B1012" s="5" t="inlineStr">
        <x:is>
          <x:t xml:space="preserve">미라이돈</x:t>
        </x:is>
      </x:c>
      <x:c r="C1012" s="5" t="inlineStr">
        <x:is>
          <x:t xml:space="preserve">miraidon</x:t>
        </x:is>
      </x:c>
      <x:c r="D1012" s="5" t="inlineStr">
        <x:is>
          <x:t xml:space="preserve">Miraidon</x:t>
        </x:is>
      </x:c>
      <x:c r="E1012" s="5" t="n">
        <x:v>9</x:v>
      </x:c>
      <x:c r="F1012" s="5" t="inlineStr">
        <x:is>
          <x:t xml:space="preserve">전기</x:t>
        </x:is>
      </x:c>
      <x:c r="G1012" s="5" t="inlineStr">
        <x:is>
          <x:t xml:space="preserve">드래곤</x:t>
        </x:is>
      </x:c>
      <x:c r="H1012" s="6" t="n">
        <x:v>240</x:v>
      </x:c>
      <x:c r="I1012" s="5" t="n"/>
      <x:c r="J1012" s="5" t="inlineStr">
        <x:is>
          <x:t xml:space="preserve">무진화</x:t>
        </x:is>
      </x:c>
      <x:c r="K1012" s="7" t="inlineStr">
        <x:is>
          <x:t xml:space="preserve">해양</x:t>
        </x:is>
      </x:c>
      <x:c r="L1012" s="7" t="inlineStr">
        <x:is>
          <x:t xml:space="preserve">해안·해양</x:t>
        </x:is>
      </x:c>
      <x:c r="M1012" s="7" t="inlineStr">
        <x:is>
          <x:t xml:space="preserve">온대</x:t>
        </x:is>
      </x:c>
      <x:c r="N1012" s="7" t="inlineStr">
        <x:is>
          <x:t xml:space="preserve">수중</x:t>
        </x:is>
      </x:c>
      <x:c r="O1012" s="7" t="inlineStr">
        <x:is>
          <x:t xml:space="preserve">비</x:t>
        </x:is>
      </x:c>
      <x:c r="P1012" s="7" t="inlineStr">
        <x:is>
          <x:t xml:space="preserve">무관</x:t>
        </x:is>
      </x:c>
      <x:c r="Q1012" s="7" t="inlineStr">
        <x:is>
          <x:t xml:space="preserve">전설</x:t>
        </x:is>
      </x:c>
      <x:c r="R1012" s="7" t="inlineStr">
        <x:is>
          <x:t xml:space="preserve">전설</x:t>
        </x:is>
      </x:c>
      <x:c r="S1012" s="7" t="inlineStr">
        <x:is>
          <x:t xml:space="preserve">해양</x:t>
        </x:is>
      </x:c>
      <x:c r="T1012" s="7" t="inlineStr">
        <x:is>
          <x:t xml:space="preserve"/>
        </x:is>
      </x:c>
      <x:c r="U1012" s="8" t="str">
        <x:f>INDEX('서식지_점수'!$E$4:$P$4,1,MATCH(MAX('서식지_점수'!E1012:P1012),'서식지_점수'!E1012:P1012,0))</x:f>
        <x:v>해양</x:v>
      </x:c>
      <x:c r="V1012" s="8" t="str">
        <x:f>IF(T1012&lt;&gt;"",T1012,U1012)</x:f>
        <x:v>해양</x:v>
      </x:c>
      <x:c r="W1012" s="8" t="str">
        <x:f>IFERROR(INDEX('서식지_점수'!$E$4:$P$4,1,MATCH(MAXIFS('서식지_점수'!E1012:P1012,'서식지_점수'!E1012:P1012,"&lt;"&amp;MAX('서식지_점수'!E1012:P1012)),'서식지_점수'!E1012:P1012,0)),"")</x:f>
        <x:v>습지</x:v>
      </x:c>
      <x:c r="X1012" s="8" t="str">
        <x:f>IF(T1012&lt;&gt;"","수동확정",IF(MAX('서식지_점수'!E1012:P1012)-LARGE('서식지_점수'!E1012:P1012,2)&gt;=15,"높음",IF(MAX('서식지_점수'!E1012:P1012)-LARGE('서식지_점수'!E1012:P1012,2)&gt;=8,"보통","검토필요")))</x:f>
        <x:v>높음</x:v>
      </x:c>
      <x:c r="Y1012" s="9" t="n">
        <x:f>IF(Q1012="전설",8,IF(Q1012="희귀",7,IF(J1012="기본",1,IF(J1012="중간",3,IF(J1012="최종",IF(I1012="",5,IF(I1012&lt;=20,3,IF(I1012&lt;=35,4,IF(I1012&lt;=50,6,7)))),IF(Q1012="드묾",4,2))))))</x:f>
        <x:v>8</x:v>
      </x:c>
      <x:c r="Z1012" s="5" t="inlineStr">
        <x:is>
          <x:t xml:space="preserve">minecraft:beach</x:t>
        </x:is>
      </x:c>
      <x:c r="AA1012" s="5" t="inlineStr">
        <x:is>
          <x:t xml:space="preserve">ultra-rare</x:t>
        </x:is>
      </x:c>
      <x:c r="AB1012" s="5" t="inlineStr">
        <x:is>
          <x:t xml:space="preserve">아니오</x:t>
        </x:is>
      </x:c>
      <x:c r="AC1012" s="8" t="str">
        <x:f>IF(T1012&lt;&gt;"","수동확정",IF(X1012="검토필요","검토필요",IF(S1012="","원본없음","초기완료")))</x:f>
        <x:v>초기완료</x:v>
      </x:c>
      <x:c r="AD1012" s="7" t="inlineStr">
        <x:is>
          <x:t xml:space="preserve"/>
        </x:is>
      </x:c>
      <x:c r="AE1012" s="5" t="inlineStr">
        <x:is>
          <x:t xml:space="preserve">.tmp/cobblemon-1.7.3-source/common/src/main/resources/data/cobblemon/species/generation9/miraidon.json</x:t>
        </x:is>
      </x:c>
      <x:c r="AF1012" s="5" t="str">
        <x:f>"생활권|"&amp;K1012</x:f>
        <x:v>생활권|해양</x:v>
      </x:c>
      <x:c r="AG1012" s="5" t="str">
        <x:f>"지형|"&amp;L1012</x:f>
        <x:v>지형|해안·해양</x:v>
      </x:c>
      <x:c r="AH1012" s="5" t="str">
        <x:f>"온도|"&amp;M1012</x:f>
        <x:v>온도|온대</x:v>
      </x:c>
      <x:c r="AI1012" s="5" t="str">
        <x:f>"습도|"&amp;N1012</x:f>
        <x:v>습도|수중</x:v>
      </x:c>
      <x:c r="AJ1012" s="5" t="str">
        <x:f>"날씨|"&amp;O1012</x:f>
        <x:v>날씨|비</x:v>
      </x:c>
      <x:c r="AK1012" s="5" t="str">
        <x:f>"특수태그|"&amp;R1012</x:f>
        <x:v>특수태그|전설</x:v>
      </x:c>
      <x:c r="AL1012" s="5" t="str">
        <x:f>"원본서식지|"&amp;S1012</x:f>
        <x:v>원본서식지|해양</x:v>
      </x:c>
      <x:c r="AM1012" s="5" t="str">
        <x:f>"타입|"&amp;F1012</x:f>
        <x:v>타입|전기</x:v>
      </x:c>
      <x:c r="AN1012" s="5" t="str">
        <x:f>"타입|"&amp;G1012</x:f>
        <x:v>타입|드래곤</x:v>
      </x:c>
    </x:row>
    <x:row r="1013" ht="24" customHeight="1">
      <x:c r="A1013" s="5" t="n">
        <x:v>1009</x:v>
      </x:c>
      <x:c r="B1013" s="5" t="inlineStr">
        <x:is>
          <x:t xml:space="preserve">굽이치는물결</x:t>
        </x:is>
      </x:c>
      <x:c r="C1013" s="5" t="inlineStr">
        <x:is>
          <x:t xml:space="preserve">walkingwake</x:t>
        </x:is>
      </x:c>
      <x:c r="D1013" s="5" t="inlineStr">
        <x:is>
          <x:t xml:space="preserve">Walking Wake</x:t>
        </x:is>
      </x:c>
      <x:c r="E1013" s="5" t="n">
        <x:v>9</x:v>
      </x:c>
      <x:c r="F1013" s="5" t="inlineStr">
        <x:is>
          <x:t xml:space="preserve">물</x:t>
        </x:is>
      </x:c>
      <x:c r="G1013" s="5" t="inlineStr">
        <x:is>
          <x:t xml:space="preserve">드래곤</x:t>
        </x:is>
      </x:c>
      <x:c r="H1013" s="6" t="n">
        <x:v>280</x:v>
      </x:c>
      <x:c r="I1013" s="5" t="n"/>
      <x:c r="J1013" s="5" t="inlineStr">
        <x:is>
          <x:t xml:space="preserve">무진화</x:t>
        </x:is>
      </x:c>
      <x:c r="K1013" s="7" t="inlineStr">
        <x:is>
          <x:t xml:space="preserve">수륙</x:t>
        </x:is>
      </x:c>
      <x:c r="L1013" s="7" t="inlineStr">
        <x:is>
          <x:t xml:space="preserve">암석</x:t>
        </x:is>
      </x:c>
      <x:c r="M1013" s="7" t="inlineStr">
        <x:is>
          <x:t xml:space="preserve">온대</x:t>
        </x:is>
      </x:c>
      <x:c r="N1013" s="7" t="inlineStr">
        <x:is>
          <x:t xml:space="preserve">보통</x:t>
        </x:is>
      </x:c>
      <x:c r="O1013" s="7" t="inlineStr">
        <x:is>
          <x:t xml:space="preserve">무관</x:t>
        </x:is>
      </x:c>
      <x:c r="P1013" s="7" t="inlineStr">
        <x:is>
          <x:t xml:space="preserve">무관</x:t>
        </x:is>
      </x:c>
      <x:c r="Q1013" s="7" t="inlineStr">
        <x:is>
          <x:t xml:space="preserve">희귀</x:t>
        </x:is>
      </x:c>
      <x:c r="R1013" s="7" t="inlineStr">
        <x:is>
          <x:t xml:space="preserve">없음</x:t>
        </x:is>
      </x:c>
      <x:c r="S1013" s="7" t="inlineStr">
        <x:is>
          <x:t xml:space="preserve">산악</x:t>
        </x:is>
      </x:c>
      <x:c r="T1013" s="7" t="inlineStr">
        <x:is>
          <x:t xml:space="preserve"/>
        </x:is>
      </x:c>
      <x:c r="U1013" s="8" t="str">
        <x:f>INDEX('서식지_점수'!$E$4:$P$4,1,MATCH(MAX('서식지_점수'!E1013:P1013),'서식지_점수'!E1013:P1013,0))</x:f>
        <x:v>습지</x:v>
      </x:c>
      <x:c r="V1013" s="8" t="str">
        <x:f>IF(T1013&lt;&gt;"",T1013,U1013)</x:f>
        <x:v>습지</x:v>
      </x:c>
      <x:c r="W1013" s="8" t="str">
        <x:f>IFERROR(INDEX('서식지_점수'!$E$4:$P$4,1,MATCH(MAXIFS('서식지_점수'!E1013:P1013,'서식지_점수'!E1013:P1013,"&lt;"&amp;MAX('서식지_점수'!E1013:P1013)),'서식지_점수'!E1013:P1013,0)),"")</x:f>
        <x:v>담수</x:v>
      </x:c>
      <x:c r="X1013" s="8" t="str">
        <x:f>IF(T1013&lt;&gt;"","수동확정",IF(MAX('서식지_점수'!E1013:P1013)-LARGE('서식지_점수'!E1013:P1013,2)&gt;=15,"높음",IF(MAX('서식지_점수'!E1013:P1013)-LARGE('서식지_점수'!E1013:P1013,2)&gt;=8,"보통","검토필요")))</x:f>
        <x:v>검토필요</x:v>
      </x:c>
      <x:c r="Y1013" s="9" t="n">
        <x:f>IF(Q1013="전설",8,IF(Q1013="희귀",7,IF(J1013="기본",1,IF(J1013="중간",3,IF(J1013="최종",IF(I1013="",5,IF(I1013&lt;=20,3,IF(I1013&lt;=35,4,IF(I1013&lt;=50,6,7)))),IF(Q1013="드묾",4,2))))))</x:f>
        <x:v>7</x:v>
      </x:c>
      <x:c r="Z1013" s="5" t="inlineStr">
        <x:is>
          <x:t xml:space="preserve">#cobblemon:is_mountain</x:t>
        </x:is>
      </x:c>
      <x:c r="AA1013" s="5" t="inlineStr">
        <x:is>
          <x:t xml:space="preserve">ultra-rare</x:t>
        </x:is>
      </x:c>
      <x:c r="AB1013" s="5" t="inlineStr">
        <x:is>
          <x:t xml:space="preserve">예</x:t>
        </x:is>
      </x:c>
      <x:c r="AC1013" s="8" t="str">
        <x:f>IF(T1013&lt;&gt;"","수동확정",IF(X1013="검토필요","검토필요",IF(S1013="","원본없음","초기완료")))</x:f>
        <x:v>검토필요</x:v>
      </x:c>
      <x:c r="AD1013" s="7" t="inlineStr">
        <x:is>
          <x:t xml:space="preserve"/>
        </x:is>
      </x:c>
      <x:c r="AE1013" s="5" t="inlineStr">
        <x:is>
          <x:t xml:space="preserve">.tmp/cobblemon-1.7.3-source/common/src/main/resources/data/cobblemon/species/generation9/walkingwake.json</x:t>
        </x:is>
      </x:c>
      <x:c r="AF1013" s="5" t="str">
        <x:f>"생활권|"&amp;K1013</x:f>
        <x:v>생활권|수륙</x:v>
      </x:c>
      <x:c r="AG1013" s="5" t="str">
        <x:f>"지형|"&amp;L1013</x:f>
        <x:v>지형|암석</x:v>
      </x:c>
      <x:c r="AH1013" s="5" t="str">
        <x:f>"온도|"&amp;M1013</x:f>
        <x:v>온도|온대</x:v>
      </x:c>
      <x:c r="AI1013" s="5" t="str">
        <x:f>"습도|"&amp;N1013</x:f>
        <x:v>습도|보통</x:v>
      </x:c>
      <x:c r="AJ1013" s="5" t="str">
        <x:f>"날씨|"&amp;O1013</x:f>
        <x:v>날씨|무관</x:v>
      </x:c>
      <x:c r="AK1013" s="5" t="str">
        <x:f>"특수태그|"&amp;R1013</x:f>
        <x:v>특수태그|없음</x:v>
      </x:c>
      <x:c r="AL1013" s="5" t="str">
        <x:f>"원본서식지|"&amp;S1013</x:f>
        <x:v>원본서식지|산악</x:v>
      </x:c>
      <x:c r="AM1013" s="5" t="str">
        <x:f>"타입|"&amp;F1013</x:f>
        <x:v>타입|물</x:v>
      </x:c>
      <x:c r="AN1013" s="5" t="str">
        <x:f>"타입|"&amp;G1013</x:f>
        <x:v>타입|드래곤</x:v>
      </x:c>
    </x:row>
    <x:row r="1014" ht="24" customHeight="1">
      <x:c r="A1014" s="5" t="n">
        <x:v>1010</x:v>
      </x:c>
      <x:c r="B1014" s="5" t="inlineStr">
        <x:is>
          <x:t xml:space="preserve">무쇠잎새</x:t>
        </x:is>
      </x:c>
      <x:c r="C1014" s="5" t="inlineStr">
        <x:is>
          <x:t xml:space="preserve">ironleaves</x:t>
        </x:is>
      </x:c>
      <x:c r="D1014" s="5" t="inlineStr">
        <x:is>
          <x:t xml:space="preserve">Iron Leaves</x:t>
        </x:is>
      </x:c>
      <x:c r="E1014" s="5" t="n">
        <x:v>9</x:v>
      </x:c>
      <x:c r="F1014" s="5" t="inlineStr">
        <x:is>
          <x:t xml:space="preserve">풀</x:t>
        </x:is>
      </x:c>
      <x:c r="G1014" s="5" t="inlineStr">
        <x:is>
          <x:t xml:space="preserve">에스퍼</x:t>
        </x:is>
      </x:c>
      <x:c r="H1014" s="6" t="n">
        <x:v>125</x:v>
      </x:c>
      <x:c r="I1014" s="5" t="n"/>
      <x:c r="J1014" s="5" t="inlineStr">
        <x:is>
          <x:t xml:space="preserve">무진화</x:t>
        </x:is>
      </x:c>
      <x:c r="K1014" s="7" t="inlineStr">
        <x:is>
          <x:t xml:space="preserve">육상</x:t>
        </x:is>
      </x:c>
      <x:c r="L1014" s="7" t="inlineStr">
        <x:is>
          <x:t xml:space="preserve">수목</x:t>
        </x:is>
      </x:c>
      <x:c r="M1014" s="7" t="inlineStr">
        <x:is>
          <x:t xml:space="preserve">온대</x:t>
        </x:is>
      </x:c>
      <x:c r="N1014" s="7" t="inlineStr">
        <x:is>
          <x:t xml:space="preserve">보통</x:t>
        </x:is>
      </x:c>
      <x:c r="O1014" s="7" t="inlineStr">
        <x:is>
          <x:t xml:space="preserve">무관</x:t>
        </x:is>
      </x:c>
      <x:c r="P1014" s="7" t="inlineStr">
        <x:is>
          <x:t xml:space="preserve">밤</x:t>
        </x:is>
      </x:c>
      <x:c r="Q1014" s="7" t="inlineStr">
        <x:is>
          <x:t xml:space="preserve">희귀</x:t>
        </x:is>
      </x:c>
      <x:c r="R1014" s="7" t="inlineStr">
        <x:is>
          <x:t xml:space="preserve">없음</x:t>
        </x:is>
      </x:c>
      <x:c r="S1014" s="7" t="inlineStr">
        <x:is>
          <x:t xml:space="preserve">숲</x:t>
        </x:is>
      </x:c>
      <x:c r="T1014" s="7" t="inlineStr">
        <x:is>
          <x:t xml:space="preserve"/>
        </x:is>
      </x:c>
      <x:c r="U1014" s="8" t="str">
        <x:f>INDEX('서식지_점수'!$E$4:$P$4,1,MATCH(MAX('서식지_점수'!E1014:P1014),'서식지_점수'!E1014:P1014,0))</x:f>
        <x:v>평원</x:v>
      </x:c>
      <x:c r="V1014" s="8" t="str">
        <x:f>IF(T1014&lt;&gt;"",T1014,U1014)</x:f>
        <x:v>평원</x:v>
      </x:c>
      <x:c r="W1014" s="8" t="str">
        <x:f>IFERROR(INDEX('서식지_점수'!$E$4:$P$4,1,MATCH(MAXIFS('서식지_점수'!E1014:P1014,'서식지_점수'!E1014:P1014,"&lt;"&amp;MAX('서식지_점수'!E1014:P1014)),'서식지_점수'!E1014:P1014,0)),"")</x:f>
        <x:v>숲</x:v>
      </x:c>
      <x:c r="X1014" s="8" t="str">
        <x:f>IF(T1014&lt;&gt;"","수동확정",IF(MAX('서식지_점수'!E1014:P1014)-LARGE('서식지_점수'!E1014:P1014,2)&gt;=15,"높음",IF(MAX('서식지_점수'!E1014:P1014)-LARGE('서식지_점수'!E1014:P1014,2)&gt;=8,"보통","검토필요")))</x:f>
        <x:v>검토필요</x:v>
      </x:c>
      <x:c r="Y1014" s="9" t="n">
        <x:f>IF(Q1014="전설",8,IF(Q1014="희귀",7,IF(J1014="기본",1,IF(J1014="중간",3,IF(J1014="최종",IF(I1014="",5,IF(I1014&lt;=20,3,IF(I1014&lt;=35,4,IF(I1014&lt;=50,6,7)))),IF(Q1014="드묾",4,2))))))</x:f>
        <x:v>7</x:v>
      </x:c>
      <x:c r="Z1014" s="5" t="inlineStr">
        <x:is>
          <x:t xml:space="preserve">#cobblemon:is_forest</x:t>
        </x:is>
      </x:c>
      <x:c r="AA1014" s="5" t="inlineStr">
        <x:is>
          <x:t xml:space="preserve">ultra-rare</x:t>
        </x:is>
      </x:c>
      <x:c r="AB1014" s="5" t="inlineStr">
        <x:is>
          <x:t xml:space="preserve">예</x:t>
        </x:is>
      </x:c>
      <x:c r="AC1014" s="8" t="str">
        <x:f>IF(T1014&lt;&gt;"","수동확정",IF(X1014="검토필요","검토필요",IF(S1014="","원본없음","초기완료")))</x:f>
        <x:v>검토필요</x:v>
      </x:c>
      <x:c r="AD1014" s="7" t="inlineStr">
        <x:is>
          <x:t xml:space="preserve"/>
        </x:is>
      </x:c>
      <x:c r="AE1014" s="5" t="inlineStr">
        <x:is>
          <x:t xml:space="preserve">.tmp/cobblemon-1.7.3-source/common/src/main/resources/data/cobblemon/species/generation9/ironleaves.json</x:t>
        </x:is>
      </x:c>
      <x:c r="AF1014" s="5" t="str">
        <x:f>"생활권|"&amp;K1014</x:f>
        <x:v>생활권|육상</x:v>
      </x:c>
      <x:c r="AG1014" s="5" t="str">
        <x:f>"지형|"&amp;L1014</x:f>
        <x:v>지형|수목</x:v>
      </x:c>
      <x:c r="AH1014" s="5" t="str">
        <x:f>"온도|"&amp;M1014</x:f>
        <x:v>온도|온대</x:v>
      </x:c>
      <x:c r="AI1014" s="5" t="str">
        <x:f>"습도|"&amp;N1014</x:f>
        <x:v>습도|보통</x:v>
      </x:c>
      <x:c r="AJ1014" s="5" t="str">
        <x:f>"날씨|"&amp;O1014</x:f>
        <x:v>날씨|무관</x:v>
      </x:c>
      <x:c r="AK1014" s="5" t="str">
        <x:f>"특수태그|"&amp;R1014</x:f>
        <x:v>특수태그|없음</x:v>
      </x:c>
      <x:c r="AL1014" s="5" t="str">
        <x:f>"원본서식지|"&amp;S1014</x:f>
        <x:v>원본서식지|숲</x:v>
      </x:c>
      <x:c r="AM1014" s="5" t="str">
        <x:f>"타입|"&amp;F1014</x:f>
        <x:v>타입|풀</x:v>
      </x:c>
      <x:c r="AN1014" s="5" t="str">
        <x:f>"타입|"&amp;G1014</x:f>
        <x:v>타입|에스퍼</x:v>
      </x:c>
    </x:row>
    <x:row r="1015" ht="24" customHeight="1">
      <x:c r="A1015" s="5" t="n">
        <x:v>1011</x:v>
      </x:c>
      <x:c r="B1015" s="5" t="inlineStr">
        <x:is>
          <x:t xml:space="preserve">과미르</x:t>
        </x:is>
      </x:c>
      <x:c r="C1015" s="5" t="inlineStr">
        <x:is>
          <x:t xml:space="preserve">dipplin</x:t>
        </x:is>
      </x:c>
      <x:c r="D1015" s="5" t="inlineStr">
        <x:is>
          <x:t xml:space="preserve">Dipplin</x:t>
        </x:is>
      </x:c>
      <x:c r="E1015" s="5" t="n">
        <x:v>9</x:v>
      </x:c>
      <x:c r="F1015" s="5" t="inlineStr">
        <x:is>
          <x:t xml:space="preserve">풀</x:t>
        </x:is>
      </x:c>
      <x:c r="G1015" s="5" t="inlineStr">
        <x:is>
          <x:t xml:space="preserve">드래곤</x:t>
        </x:is>
      </x:c>
      <x:c r="H1015" s="6" t="n">
        <x:v>4.4</x:v>
      </x:c>
      <x:c r="I1015" s="5" t="n"/>
      <x:c r="J1015" s="5" t="inlineStr">
        <x:is>
          <x:t xml:space="preserve">중간</x:t>
        </x:is>
      </x:c>
      <x:c r="K1015" s="7" t="inlineStr">
        <x:is>
          <x:t xml:space="preserve">육상</x:t>
        </x:is>
      </x:c>
      <x:c r="L1015" s="7" t="inlineStr">
        <x:is>
          <x:t xml:space="preserve">수목</x:t>
        </x:is>
      </x:c>
      <x:c r="M1015" s="7" t="inlineStr">
        <x:is>
          <x:t xml:space="preserve">온대</x:t>
        </x:is>
      </x:c>
      <x:c r="N1015" s="7" t="inlineStr">
        <x:is>
          <x:t xml:space="preserve">보통</x:t>
        </x:is>
      </x:c>
      <x:c r="O1015" s="7" t="inlineStr">
        <x:is>
          <x:t xml:space="preserve">무관</x:t>
        </x:is>
      </x:c>
      <x:c r="P1015" s="7" t="inlineStr">
        <x:is>
          <x:t xml:space="preserve">낮</x:t>
        </x:is>
      </x:c>
      <x:c r="Q1015" s="7" t="inlineStr">
        <x:is>
          <x:t xml:space="preserve">드묾</x:t>
        </x:is>
      </x:c>
      <x:c r="R1015" s="7" t="inlineStr">
        <x:is>
          <x:t xml:space="preserve">없음</x:t>
        </x:is>
      </x:c>
      <x:c r="S1015" s="7" t="inlineStr">
        <x:is>
          <x:t xml:space="preserve"/>
        </x:is>
      </x:c>
      <x:c r="T1015" s="7" t="inlineStr">
        <x:is>
          <x:t xml:space="preserve"/>
        </x:is>
      </x:c>
      <x:c r="U1015" s="8" t="str">
        <x:f>INDEX('서식지_점수'!$E$4:$P$4,1,MATCH(MAX('서식지_점수'!E1015:P1015),'서식지_점수'!E1015:P1015,0))</x:f>
        <x:v>평원</x:v>
      </x:c>
      <x:c r="V1015" s="8" t="str">
        <x:f>IF(T1015&lt;&gt;"",T1015,U1015)</x:f>
        <x:v>평원</x:v>
      </x:c>
      <x:c r="W1015" s="8" t="str">
        <x:f>IFERROR(INDEX('서식지_점수'!$E$4:$P$4,1,MATCH(MAXIFS('서식지_점수'!E1015:P1015,'서식지_점수'!E1015:P1015,"&lt;"&amp;MAX('서식지_점수'!E1015:P1015)),'서식지_점수'!E1015:P1015,0)),"")</x:f>
        <x:v>숲</x:v>
      </x:c>
      <x:c r="X1015" s="8" t="str">
        <x:f>IF(T1015&lt;&gt;"","수동확정",IF(MAX('서식지_점수'!E1015:P1015)-LARGE('서식지_점수'!E1015:P1015,2)&gt;=15,"높음",IF(MAX('서식지_점수'!E1015:P1015)-LARGE('서식지_점수'!E1015:P1015,2)&gt;=8,"보통","검토필요")))</x:f>
        <x:v>검토필요</x:v>
      </x:c>
      <x:c r="Y1015" s="9" t="n">
        <x:f>IF(Q1015="전설",8,IF(Q1015="희귀",7,IF(J1015="기본",1,IF(J1015="중간",3,IF(J1015="최종",IF(I1015="",5,IF(I1015&lt;=20,3,IF(I1015&lt;=35,4,IF(I1015&lt;=50,6,7)))),IF(Q1015="드묾",4,2))))))</x:f>
        <x:v>3</x:v>
      </x:c>
      <x:c r="Z1015" s="5" t="inlineStr">
        <x:is>
          <x:t xml:space="preserve">#cobblemon:is_floral</x:t>
        </x:is>
      </x:c>
      <x:c r="AA1015" s="5" t="inlineStr">
        <x:is>
          <x:t xml:space="preserve">rare</x:t>
        </x:is>
      </x:c>
      <x:c r="AB1015" s="5" t="inlineStr">
        <x:is>
          <x:t xml:space="preserve">아니오</x:t>
        </x:is>
      </x:c>
      <x:c r="AC1015" s="8" t="str">
        <x:f>IF(T1015&lt;&gt;"","수동확정",IF(X1015="검토필요","검토필요",IF(S1015="","원본없음","초기완료")))</x:f>
        <x:v>검토필요</x:v>
      </x:c>
      <x:c r="AD1015" s="7" t="inlineStr">
        <x:is>
          <x:t xml:space="preserve"/>
        </x:is>
      </x:c>
      <x:c r="AE1015" s="5" t="inlineStr">
        <x:is>
          <x:t xml:space="preserve">.tmp/cobblemon-1.7.3-source/common/src/main/resources/data/cobblemon/species/generation9/dipplin.json</x:t>
        </x:is>
      </x:c>
      <x:c r="AF1015" s="5" t="str">
        <x:f>"생활권|"&amp;K1015</x:f>
        <x:v>생활권|육상</x:v>
      </x:c>
      <x:c r="AG1015" s="5" t="str">
        <x:f>"지형|"&amp;L1015</x:f>
        <x:v>지형|수목</x:v>
      </x:c>
      <x:c r="AH1015" s="5" t="str">
        <x:f>"온도|"&amp;M1015</x:f>
        <x:v>온도|온대</x:v>
      </x:c>
      <x:c r="AI1015" s="5" t="str">
        <x:f>"습도|"&amp;N1015</x:f>
        <x:v>습도|보통</x:v>
      </x:c>
      <x:c r="AJ1015" s="5" t="str">
        <x:f>"날씨|"&amp;O1015</x:f>
        <x:v>날씨|무관</x:v>
      </x:c>
      <x:c r="AK1015" s="5" t="str">
        <x:f>"특수태그|"&amp;R1015</x:f>
        <x:v>특수태그|없음</x:v>
      </x:c>
      <x:c r="AL1015" s="5" t="str">
        <x:f>"원본서식지|"&amp;S1015</x:f>
        <x:v>원본서식지|</x:v>
      </x:c>
      <x:c r="AM1015" s="5" t="str">
        <x:f>"타입|"&amp;F1015</x:f>
        <x:v>타입|풀</x:v>
      </x:c>
      <x:c r="AN1015" s="5" t="str">
        <x:f>"타입|"&amp;G1015</x:f>
        <x:v>타입|드래곤</x:v>
      </x:c>
    </x:row>
    <x:row r="1016" ht="24" customHeight="1">
      <x:c r="A1016" s="5" t="n">
        <x:v>1012</x:v>
      </x:c>
      <x:c r="B1016" s="5" t="inlineStr">
        <x:is>
          <x:t xml:space="preserve">차데스</x:t>
        </x:is>
      </x:c>
      <x:c r="C1016" s="5" t="inlineStr">
        <x:is>
          <x:t xml:space="preserve">poltchageist</x:t>
        </x:is>
      </x:c>
      <x:c r="D1016" s="5" t="inlineStr">
        <x:is>
          <x:t xml:space="preserve">Poltchageist</x:t>
        </x:is>
      </x:c>
      <x:c r="E1016" s="5" t="n">
        <x:v>9</x:v>
      </x:c>
      <x:c r="F1016" s="5" t="inlineStr">
        <x:is>
          <x:t xml:space="preserve">풀</x:t>
        </x:is>
      </x:c>
      <x:c r="G1016" s="5" t="inlineStr">
        <x:is>
          <x:t xml:space="preserve">고스트</x:t>
        </x:is>
      </x:c>
      <x:c r="H1016" s="6" t="n">
        <x:v>1.1</x:v>
      </x:c>
      <x:c r="I1016" s="5" t="n"/>
      <x:c r="J1016" s="5" t="inlineStr">
        <x:is>
          <x:t xml:space="preserve">기본</x:t>
        </x:is>
      </x:c>
      <x:c r="K1016" s="7" t="inlineStr">
        <x:is>
          <x:t xml:space="preserve">비행</x:t>
        </x:is>
      </x:c>
      <x:c r="L1016" s="7" t="inlineStr">
        <x:is>
          <x:t xml:space="preserve">수목</x:t>
        </x:is>
      </x:c>
      <x:c r="M1016" s="7" t="inlineStr">
        <x:is>
          <x:t xml:space="preserve">온대</x:t>
        </x:is>
      </x:c>
      <x:c r="N1016" s="7" t="inlineStr">
        <x:is>
          <x:t xml:space="preserve">다습</x:t>
        </x:is>
      </x:c>
      <x:c r="O1016" s="7" t="inlineStr">
        <x:is>
          <x:t xml:space="preserve">안개</x:t>
        </x:is>
      </x:c>
      <x:c r="P1016" s="7" t="inlineStr">
        <x:is>
          <x:t xml:space="preserve">밤</x:t>
        </x:is>
      </x:c>
      <x:c r="Q1016" s="7" t="inlineStr">
        <x:is>
          <x:t xml:space="preserve">보통</x:t>
        </x:is>
      </x:c>
      <x:c r="R1016" s="7" t="inlineStr">
        <x:is>
          <x:t xml:space="preserve">영체</x:t>
        </x:is>
      </x:c>
      <x:c r="S1016" s="7" t="inlineStr">
        <x:is>
          <x:t xml:space="preserve">숲</x:t>
        </x:is>
      </x:c>
      <x:c r="T1016" s="7" t="inlineStr">
        <x:is>
          <x:t xml:space="preserve"/>
        </x:is>
      </x:c>
      <x:c r="U1016" s="8" t="str">
        <x:f>INDEX('서식지_점수'!$E$4:$P$4,1,MATCH(MAX('서식지_점수'!E1016:P1016),'서식지_점수'!E1016:P1016,0))</x:f>
        <x:v>산악</x:v>
      </x:c>
      <x:c r="V1016" s="8" t="str">
        <x:f>IF(T1016&lt;&gt;"",T1016,U1016)</x:f>
        <x:v>산악</x:v>
      </x:c>
      <x:c r="W1016" s="8" t="str">
        <x:f>IFERROR(INDEX('서식지_점수'!$E$4:$P$4,1,MATCH(MAXIFS('서식지_점수'!E1016:P1016,'서식지_점수'!E1016:P1016,"&lt;"&amp;MAX('서식지_점수'!E1016:P1016)),'서식지_점수'!E1016:P1016,0)),"")</x:f>
        <x:v>평원</x:v>
      </x:c>
      <x:c r="X1016" s="8" t="str">
        <x:f>IF(T1016&lt;&gt;"","수동확정",IF(MAX('서식지_점수'!E1016:P1016)-LARGE('서식지_점수'!E1016:P1016,2)&gt;=15,"높음",IF(MAX('서식지_점수'!E1016:P1016)-LARGE('서식지_점수'!E1016:P1016,2)&gt;=8,"보통","검토필요")))</x:f>
        <x:v>검토필요</x:v>
      </x:c>
      <x:c r="Y1016" s="9" t="n">
        <x:f>IF(Q1016="전설",8,IF(Q1016="희귀",7,IF(J1016="기본",1,IF(J1016="중간",3,IF(J1016="최종",IF(I1016="",5,IF(I1016&lt;=20,3,IF(I1016&lt;=35,4,IF(I1016&lt;=50,6,7)))),IF(Q1016="드묾",4,2))))))</x:f>
        <x:v>1</x:v>
      </x:c>
      <x:c r="Z1016" s="5" t="inlineStr">
        <x:is>
          <x:t xml:space="preserve">#cobblemon:is_arid; #cobblemon:is_bamboo; #cobblemon:is_cherry_blossom; #cobblemon:is_forest; #cobblemon:is_island; #cobblemon:is_jungle; #cobblemon:is_ocean; #cobblemon:is_swamp; #cobblemon:is_thermal; #cobblemon:is_volcanic</x:t>
        </x:is>
      </x:c>
      <x:c r="AA1016" s="5" t="inlineStr">
        <x:is>
          <x:t xml:space="preserve">uncommon</x:t>
        </x:is>
      </x:c>
      <x:c r="AB1016" s="5" t="inlineStr">
        <x:is>
          <x:t xml:space="preserve">예</x:t>
        </x:is>
      </x:c>
      <x:c r="AC1016" s="8" t="str">
        <x:f>IF(T1016&lt;&gt;"","수동확정",IF(X1016="검토필요","검토필요",IF(S1016="","원본없음","초기완료")))</x:f>
        <x:v>검토필요</x:v>
      </x:c>
      <x:c r="AD1016" s="7" t="inlineStr">
        <x:is>
          <x:t xml:space="preserve"/>
        </x:is>
      </x:c>
      <x:c r="AE1016" s="5" t="inlineStr">
        <x:is>
          <x:t xml:space="preserve">.tmp/cobblemon-1.7.3-source/common/src/main/resources/data/cobblemon/species/generation9/poltchageist.json</x:t>
        </x:is>
      </x:c>
      <x:c r="AF1016" s="5" t="str">
        <x:f>"생활권|"&amp;K1016</x:f>
        <x:v>생활권|비행</x:v>
      </x:c>
      <x:c r="AG1016" s="5" t="str">
        <x:f>"지형|"&amp;L1016</x:f>
        <x:v>지형|수목</x:v>
      </x:c>
      <x:c r="AH1016" s="5" t="str">
        <x:f>"온도|"&amp;M1016</x:f>
        <x:v>온도|온대</x:v>
      </x:c>
      <x:c r="AI1016" s="5" t="str">
        <x:f>"습도|"&amp;N1016</x:f>
        <x:v>습도|다습</x:v>
      </x:c>
      <x:c r="AJ1016" s="5" t="str">
        <x:f>"날씨|"&amp;O1016</x:f>
        <x:v>날씨|안개</x:v>
      </x:c>
      <x:c r="AK1016" s="5" t="str">
        <x:f>"특수태그|"&amp;R1016</x:f>
        <x:v>특수태그|영체</x:v>
      </x:c>
      <x:c r="AL1016" s="5" t="str">
        <x:f>"원본서식지|"&amp;S1016</x:f>
        <x:v>원본서식지|숲</x:v>
      </x:c>
      <x:c r="AM1016" s="5" t="str">
        <x:f>"타입|"&amp;F1016</x:f>
        <x:v>타입|풀</x:v>
      </x:c>
      <x:c r="AN1016" s="5" t="str">
        <x:f>"타입|"&amp;G1016</x:f>
        <x:v>타입|고스트</x:v>
      </x:c>
    </x:row>
    <x:row r="1017" ht="24" customHeight="1">
      <x:c r="A1017" s="5" t="n">
        <x:v>1013</x:v>
      </x:c>
      <x:c r="B1017" s="5" t="inlineStr">
        <x:is>
          <x:t xml:space="preserve">그우린차</x:t>
        </x:is>
      </x:c>
      <x:c r="C1017" s="5" t="inlineStr">
        <x:is>
          <x:t xml:space="preserve">sinistcha</x:t>
        </x:is>
      </x:c>
      <x:c r="D1017" s="5" t="inlineStr">
        <x:is>
          <x:t xml:space="preserve">Sinistcha</x:t>
        </x:is>
      </x:c>
      <x:c r="E1017" s="5" t="n">
        <x:v>9</x:v>
      </x:c>
      <x:c r="F1017" s="5" t="inlineStr">
        <x:is>
          <x:t xml:space="preserve">풀</x:t>
        </x:is>
      </x:c>
      <x:c r="G1017" s="5" t="inlineStr">
        <x:is>
          <x:t xml:space="preserve">고스트</x:t>
        </x:is>
      </x:c>
      <x:c r="H1017" s="6" t="n">
        <x:v>2.2</x:v>
      </x:c>
      <x:c r="I1017" s="5" t="n"/>
      <x:c r="J1017" s="5" t="inlineStr">
        <x:is>
          <x:t xml:space="preserve">최종</x:t>
        </x:is>
      </x:c>
      <x:c r="K1017" s="7" t="inlineStr">
        <x:is>
          <x:t xml:space="preserve">비행</x:t>
        </x:is>
      </x:c>
      <x:c r="L1017" s="7" t="inlineStr">
        <x:is>
          <x:t xml:space="preserve">수목</x:t>
        </x:is>
      </x:c>
      <x:c r="M1017" s="7" t="inlineStr">
        <x:is>
          <x:t xml:space="preserve">온대</x:t>
        </x:is>
      </x:c>
      <x:c r="N1017" s="7" t="inlineStr">
        <x:is>
          <x:t xml:space="preserve">다습</x:t>
        </x:is>
      </x:c>
      <x:c r="O1017" s="7" t="inlineStr">
        <x:is>
          <x:t xml:space="preserve">안개</x:t>
        </x:is>
      </x:c>
      <x:c r="P1017" s="7" t="inlineStr">
        <x:is>
          <x:t xml:space="preserve">밤</x:t>
        </x:is>
      </x:c>
      <x:c r="Q1017" s="7" t="inlineStr">
        <x:is>
          <x:t xml:space="preserve">보통</x:t>
        </x:is>
      </x:c>
      <x:c r="R1017" s="7" t="inlineStr">
        <x:is>
          <x:t xml:space="preserve">영체</x:t>
        </x:is>
      </x:c>
      <x:c r="S1017" s="7" t="inlineStr">
        <x:is>
          <x:t xml:space="preserve">숲</x:t>
        </x:is>
      </x:c>
      <x:c r="T1017" s="7" t="inlineStr">
        <x:is>
          <x:t xml:space="preserve"/>
        </x:is>
      </x:c>
      <x:c r="U1017" s="8" t="str">
        <x:f>INDEX('서식지_점수'!$E$4:$P$4,1,MATCH(MAX('서식지_점수'!E1017:P1017),'서식지_점수'!E1017:P1017,0))</x:f>
        <x:v>산악</x:v>
      </x:c>
      <x:c r="V1017" s="8" t="str">
        <x:f>IF(T1017&lt;&gt;"",T1017,U1017)</x:f>
        <x:v>산악</x:v>
      </x:c>
      <x:c r="W1017" s="8" t="str">
        <x:f>IFERROR(INDEX('서식지_점수'!$E$4:$P$4,1,MATCH(MAXIFS('서식지_점수'!E1017:P1017,'서식지_점수'!E1017:P1017,"&lt;"&amp;MAX('서식지_점수'!E1017:P1017)),'서식지_점수'!E1017:P1017,0)),"")</x:f>
        <x:v>평원</x:v>
      </x:c>
      <x:c r="X1017" s="8" t="str">
        <x:f>IF(T1017&lt;&gt;"","수동확정",IF(MAX('서식지_점수'!E1017:P1017)-LARGE('서식지_점수'!E1017:P1017,2)&gt;=15,"높음",IF(MAX('서식지_점수'!E1017:P1017)-LARGE('서식지_점수'!E1017:P1017,2)&gt;=8,"보통","검토필요")))</x:f>
        <x:v>검토필요</x:v>
      </x:c>
      <x:c r="Y1017" s="9" t="n">
        <x:f>IF(Q1017="전설",8,IF(Q1017="희귀",7,IF(J1017="기본",1,IF(J1017="중간",3,IF(J1017="최종",IF(I1017="",5,IF(I1017&lt;=20,3,IF(I1017&lt;=35,4,IF(I1017&lt;=50,6,7)))),IF(Q1017="드묾",4,2))))))</x:f>
        <x:v>5</x:v>
      </x:c>
      <x:c r="Z1017" s="5" t="inlineStr">
        <x:is>
          <x:t xml:space="preserve">#cobblemon:is_arid; #cobblemon:is_bamboo; #cobblemon:is_cherry_blossom; #cobblemon:is_forest; #cobblemon:is_island; #cobblemon:is_jungle; #cobblemon:is_ocean; #cobblemon:is_swamp; #cobblemon:is_thermal; #cobblemon:is_volcanic</x:t>
        </x:is>
      </x:c>
      <x:c r="AA1017" s="5" t="inlineStr">
        <x:is>
          <x:t xml:space="preserve">uncommon</x:t>
        </x:is>
      </x:c>
      <x:c r="AB1017" s="5" t="inlineStr">
        <x:is>
          <x:t xml:space="preserve">예</x:t>
        </x:is>
      </x:c>
      <x:c r="AC1017" s="8" t="str">
        <x:f>IF(T1017&lt;&gt;"","수동확정",IF(X1017="검토필요","검토필요",IF(S1017="","원본없음","초기완료")))</x:f>
        <x:v>검토필요</x:v>
      </x:c>
      <x:c r="AD1017" s="7" t="inlineStr">
        <x:is>
          <x:t xml:space="preserve"/>
        </x:is>
      </x:c>
      <x:c r="AE1017" s="5" t="inlineStr">
        <x:is>
          <x:t xml:space="preserve">.tmp/cobblemon-1.7.3-source/common/src/main/resources/data/cobblemon/species/generation9/sinistcha.json</x:t>
        </x:is>
      </x:c>
      <x:c r="AF1017" s="5" t="str">
        <x:f>"생활권|"&amp;K1017</x:f>
        <x:v>생활권|비행</x:v>
      </x:c>
      <x:c r="AG1017" s="5" t="str">
        <x:f>"지형|"&amp;L1017</x:f>
        <x:v>지형|수목</x:v>
      </x:c>
      <x:c r="AH1017" s="5" t="str">
        <x:f>"온도|"&amp;M1017</x:f>
        <x:v>온도|온대</x:v>
      </x:c>
      <x:c r="AI1017" s="5" t="str">
        <x:f>"습도|"&amp;N1017</x:f>
        <x:v>습도|다습</x:v>
      </x:c>
      <x:c r="AJ1017" s="5" t="str">
        <x:f>"날씨|"&amp;O1017</x:f>
        <x:v>날씨|안개</x:v>
      </x:c>
      <x:c r="AK1017" s="5" t="str">
        <x:f>"특수태그|"&amp;R1017</x:f>
        <x:v>특수태그|영체</x:v>
      </x:c>
      <x:c r="AL1017" s="5" t="str">
        <x:f>"원본서식지|"&amp;S1017</x:f>
        <x:v>원본서식지|숲</x:v>
      </x:c>
      <x:c r="AM1017" s="5" t="str">
        <x:f>"타입|"&amp;F1017</x:f>
        <x:v>타입|풀</x:v>
      </x:c>
      <x:c r="AN1017" s="5" t="str">
        <x:f>"타입|"&amp;G1017</x:f>
        <x:v>타입|고스트</x:v>
      </x:c>
    </x:row>
    <x:row r="1018" ht="24" customHeight="1">
      <x:c r="A1018" s="5" t="n">
        <x:v>1014</x:v>
      </x:c>
      <x:c r="B1018" s="5" t="inlineStr">
        <x:is>
          <x:t xml:space="preserve">조타구</x:t>
        </x:is>
      </x:c>
      <x:c r="C1018" s="5" t="inlineStr">
        <x:is>
          <x:t xml:space="preserve">okidogi</x:t>
        </x:is>
      </x:c>
      <x:c r="D1018" s="5" t="inlineStr">
        <x:is>
          <x:t xml:space="preserve">Okidogi</x:t>
        </x:is>
      </x:c>
      <x:c r="E1018" s="5" t="n">
        <x:v>9</x:v>
      </x:c>
      <x:c r="F1018" s="5" t="inlineStr">
        <x:is>
          <x:t xml:space="preserve">독</x:t>
        </x:is>
      </x:c>
      <x:c r="G1018" s="5" t="inlineStr">
        <x:is>
          <x:t xml:space="preserve">격투</x:t>
        </x:is>
      </x:c>
      <x:c r="H1018" s="6" t="n">
        <x:v>92.2</x:v>
      </x:c>
      <x:c r="I1018" s="5" t="n"/>
      <x:c r="J1018" s="5" t="inlineStr">
        <x:is>
          <x:t xml:space="preserve">무진화</x:t>
        </x:is>
      </x:c>
      <x:c r="K1018" s="7" t="inlineStr">
        <x:is>
          <x:t xml:space="preserve">육상</x:t>
        </x:is>
      </x:c>
      <x:c r="L1018" s="7" t="inlineStr">
        <x:is>
          <x:t xml:space="preserve">개활지</x:t>
        </x:is>
      </x:c>
      <x:c r="M1018" s="7" t="inlineStr">
        <x:is>
          <x:t xml:space="preserve">온대</x:t>
        </x:is>
      </x:c>
      <x:c r="N1018" s="7" t="inlineStr">
        <x:is>
          <x:t xml:space="preserve">보통</x:t>
        </x:is>
      </x:c>
      <x:c r="O1018" s="7" t="inlineStr">
        <x:is>
          <x:t xml:space="preserve">무관</x:t>
        </x:is>
      </x:c>
      <x:c r="P1018" s="7" t="inlineStr">
        <x:is>
          <x:t xml:space="preserve">무관</x:t>
        </x:is>
      </x:c>
      <x:c r="Q1018" s="7" t="inlineStr">
        <x:is>
          <x:t xml:space="preserve">전설</x:t>
        </x:is>
      </x:c>
      <x:c r="R1018" s="7" t="inlineStr">
        <x:is>
          <x:t xml:space="preserve">전설</x:t>
        </x:is>
      </x:c>
      <x:c r="S1018" s="7" t="inlineStr">
        <x:is>
          <x:t xml:space="preserve">평원</x:t>
        </x:is>
      </x:c>
      <x:c r="T1018" s="7" t="inlineStr">
        <x:is>
          <x:t xml:space="preserve"/>
        </x:is>
      </x:c>
      <x:c r="U1018" s="8" t="str">
        <x:f>INDEX('서식지_점수'!$E$4:$P$4,1,MATCH(MAX('서식지_점수'!E1018:P1018),'서식지_점수'!E1018:P1018,0))</x:f>
        <x:v>평원</x:v>
      </x:c>
      <x:c r="V1018" s="8" t="str">
        <x:f>IF(T1018&lt;&gt;"",T1018,U1018)</x:f>
        <x:v>평원</x:v>
      </x:c>
      <x:c r="W1018" s="8" t="str">
        <x:f>IFERROR(INDEX('서식지_점수'!$E$4:$P$4,1,MATCH(MAXIFS('서식지_점수'!E1018:P1018,'서식지_점수'!E1018:P1018,"&lt;"&amp;MAX('서식지_점수'!E1018:P1018)),'서식지_점수'!E1018:P1018,0)),"")</x:f>
        <x:v>숲</x:v>
      </x:c>
      <x:c r="X1018" s="8" t="str">
        <x:f>IF(T1018&lt;&gt;"","수동확정",IF(MAX('서식지_점수'!E1018:P1018)-LARGE('서식지_점수'!E1018:P1018,2)&gt;=15,"높음",IF(MAX('서식지_점수'!E1018:P1018)-LARGE('서식지_점수'!E1018:P1018,2)&gt;=8,"보통","검토필요")))</x:f>
        <x:v>검토필요</x:v>
      </x:c>
      <x:c r="Y1018" s="9" t="n">
        <x:f>IF(Q1018="전설",8,IF(Q1018="희귀",7,IF(J1018="기본",1,IF(J1018="중간",3,IF(J1018="최종",IF(I1018="",5,IF(I1018&lt;=20,3,IF(I1018&lt;=35,4,IF(I1018&lt;=50,6,7)))),IF(Q1018="드묾",4,2))))))</x:f>
        <x:v>8</x:v>
      </x:c>
      <x:c r="Z1018" s="5" t="inlineStr">
        <x:is>
          <x:t xml:space="preserve">#cobblemon:is_savanna</x:t>
        </x:is>
      </x:c>
      <x:c r="AA1018" s="5" t="inlineStr">
        <x:is>
          <x:t xml:space="preserve">ultra-rare</x:t>
        </x:is>
      </x:c>
      <x:c r="AB1018" s="5" t="inlineStr">
        <x:is>
          <x:t xml:space="preserve">아니오</x:t>
        </x:is>
      </x:c>
      <x:c r="AC1018" s="8" t="str">
        <x:f>IF(T1018&lt;&gt;"","수동확정",IF(X1018="검토필요","검토필요",IF(S1018="","원본없음","초기완료")))</x:f>
        <x:v>검토필요</x:v>
      </x:c>
      <x:c r="AD1018" s="7" t="inlineStr">
        <x:is>
          <x:t xml:space="preserve"/>
        </x:is>
      </x:c>
      <x:c r="AE1018" s="5" t="inlineStr">
        <x:is>
          <x:t xml:space="preserve">.tmp/cobblemon-1.7.3-source/common/src/main/resources/data/cobblemon/species/generation9/okidogi.json</x:t>
        </x:is>
      </x:c>
      <x:c r="AF1018" s="5" t="str">
        <x:f>"생활권|"&amp;K1018</x:f>
        <x:v>생활권|육상</x:v>
      </x:c>
      <x:c r="AG1018" s="5" t="str">
        <x:f>"지형|"&amp;L1018</x:f>
        <x:v>지형|개활지</x:v>
      </x:c>
      <x:c r="AH1018" s="5" t="str">
        <x:f>"온도|"&amp;M1018</x:f>
        <x:v>온도|온대</x:v>
      </x:c>
      <x:c r="AI1018" s="5" t="str">
        <x:f>"습도|"&amp;N1018</x:f>
        <x:v>습도|보통</x:v>
      </x:c>
      <x:c r="AJ1018" s="5" t="str">
        <x:f>"날씨|"&amp;O1018</x:f>
        <x:v>날씨|무관</x:v>
      </x:c>
      <x:c r="AK1018" s="5" t="str">
        <x:f>"특수태그|"&amp;R1018</x:f>
        <x:v>특수태그|전설</x:v>
      </x:c>
      <x:c r="AL1018" s="5" t="str">
        <x:f>"원본서식지|"&amp;S1018</x:f>
        <x:v>원본서식지|평원</x:v>
      </x:c>
      <x:c r="AM1018" s="5" t="str">
        <x:f>"타입|"&amp;F1018</x:f>
        <x:v>타입|독</x:v>
      </x:c>
      <x:c r="AN1018" s="5" t="str">
        <x:f>"타입|"&amp;G1018</x:f>
        <x:v>타입|격투</x:v>
      </x:c>
    </x:row>
    <x:row r="1019" ht="24" customHeight="1">
      <x:c r="A1019" s="5" t="n">
        <x:v>1015</x:v>
      </x:c>
      <x:c r="B1019" s="5" t="inlineStr">
        <x:is>
          <x:t xml:space="preserve">이야후</x:t>
        </x:is>
      </x:c>
      <x:c r="C1019" s="5" t="inlineStr">
        <x:is>
          <x:t xml:space="preserve">munkidori</x:t>
        </x:is>
      </x:c>
      <x:c r="D1019" s="5" t="inlineStr">
        <x:is>
          <x:t xml:space="preserve">Munkidori</x:t>
        </x:is>
      </x:c>
      <x:c r="E1019" s="5" t="n">
        <x:v>9</x:v>
      </x:c>
      <x:c r="F1019" s="5" t="inlineStr">
        <x:is>
          <x:t xml:space="preserve">독</x:t>
        </x:is>
      </x:c>
      <x:c r="G1019" s="5" t="inlineStr">
        <x:is>
          <x:t xml:space="preserve">에스퍼</x:t>
        </x:is>
      </x:c>
      <x:c r="H1019" s="6" t="n">
        <x:v>12.2</x:v>
      </x:c>
      <x:c r="I1019" s="5" t="n"/>
      <x:c r="J1019" s="5" t="inlineStr">
        <x:is>
          <x:t xml:space="preserve">무진화</x:t>
        </x:is>
      </x:c>
      <x:c r="K1019" s="7" t="inlineStr">
        <x:is>
          <x:t xml:space="preserve">육상</x:t>
        </x:is>
      </x:c>
      <x:c r="L1019" s="7" t="inlineStr">
        <x:is>
          <x:t xml:space="preserve">수목</x:t>
        </x:is>
      </x:c>
      <x:c r="M1019" s="7" t="inlineStr">
        <x:is>
          <x:t xml:space="preserve">온대</x:t>
        </x:is>
      </x:c>
      <x:c r="N1019" s="7" t="inlineStr">
        <x:is>
          <x:t xml:space="preserve">다습</x:t>
        </x:is>
      </x:c>
      <x:c r="O1019" s="7" t="inlineStr">
        <x:is>
          <x:t xml:space="preserve">무관</x:t>
        </x:is>
      </x:c>
      <x:c r="P1019" s="7" t="inlineStr">
        <x:is>
          <x:t xml:space="preserve">무관</x:t>
        </x:is>
      </x:c>
      <x:c r="Q1019" s="7" t="inlineStr">
        <x:is>
          <x:t xml:space="preserve">전설</x:t>
        </x:is>
      </x:c>
      <x:c r="R1019" s="7" t="inlineStr">
        <x:is>
          <x:t xml:space="preserve">전설</x:t>
        </x:is>
      </x:c>
      <x:c r="S1019" s="7" t="inlineStr">
        <x:is>
          <x:t xml:space="preserve">숲</x:t>
        </x:is>
      </x:c>
      <x:c r="T1019" s="7" t="inlineStr">
        <x:is>
          <x:t xml:space="preserve"/>
        </x:is>
      </x:c>
      <x:c r="U1019" s="8" t="str">
        <x:f>INDEX('서식지_점수'!$E$4:$P$4,1,MATCH(MAX('서식지_점수'!E1019:P1019),'서식지_점수'!E1019:P1019,0))</x:f>
        <x:v>평원</x:v>
      </x:c>
      <x:c r="V1019" s="8" t="str">
        <x:f>IF(T1019&lt;&gt;"",T1019,U1019)</x:f>
        <x:v>평원</x:v>
      </x:c>
      <x:c r="W1019" s="8" t="str">
        <x:f>IFERROR(INDEX('서식지_점수'!$E$4:$P$4,1,MATCH(MAXIFS('서식지_점수'!E1019:P1019,'서식지_점수'!E1019:P1019,"&lt;"&amp;MAX('서식지_점수'!E1019:P1019)),'서식지_점수'!E1019:P1019,0)),"")</x:f>
        <x:v>숲</x:v>
      </x:c>
      <x:c r="X1019" s="8" t="str">
        <x:f>IF(T1019&lt;&gt;"","수동확정",IF(MAX('서식지_점수'!E1019:P1019)-LARGE('서식지_점수'!E1019:P1019,2)&gt;=15,"높음",IF(MAX('서식지_점수'!E1019:P1019)-LARGE('서식지_점수'!E1019:P1019,2)&gt;=8,"보통","검토필요")))</x:f>
        <x:v>검토필요</x:v>
      </x:c>
      <x:c r="Y1019" s="9" t="n">
        <x:f>IF(Q1019="전설",8,IF(Q1019="희귀",7,IF(J1019="기본",1,IF(J1019="중간",3,IF(J1019="최종",IF(I1019="",5,IF(I1019&lt;=20,3,IF(I1019&lt;=35,4,IF(I1019&lt;=50,6,7)))),IF(Q1019="드묾",4,2))))))</x:f>
        <x:v>8</x:v>
      </x:c>
      <x:c r="Z1019" s="5" t="inlineStr">
        <x:is>
          <x:t xml:space="preserve">#cobblemon:is_jungle</x:t>
        </x:is>
      </x:c>
      <x:c r="AA1019" s="5" t="inlineStr">
        <x:is>
          <x:t xml:space="preserve">ultra-rare</x:t>
        </x:is>
      </x:c>
      <x:c r="AB1019" s="5" t="inlineStr">
        <x:is>
          <x:t xml:space="preserve">아니오</x:t>
        </x:is>
      </x:c>
      <x:c r="AC1019" s="8" t="str">
        <x:f>IF(T1019&lt;&gt;"","수동확정",IF(X1019="검토필요","검토필요",IF(S1019="","원본없음","초기완료")))</x:f>
        <x:v>검토필요</x:v>
      </x:c>
      <x:c r="AD1019" s="7" t="inlineStr">
        <x:is>
          <x:t xml:space="preserve"/>
        </x:is>
      </x:c>
      <x:c r="AE1019" s="5" t="inlineStr">
        <x:is>
          <x:t xml:space="preserve">.tmp/cobblemon-1.7.3-source/common/src/main/resources/data/cobblemon/species/generation9/munkidori.json</x:t>
        </x:is>
      </x:c>
      <x:c r="AF1019" s="5" t="str">
        <x:f>"생활권|"&amp;K1019</x:f>
        <x:v>생활권|육상</x:v>
      </x:c>
      <x:c r="AG1019" s="5" t="str">
        <x:f>"지형|"&amp;L1019</x:f>
        <x:v>지형|수목</x:v>
      </x:c>
      <x:c r="AH1019" s="5" t="str">
        <x:f>"온도|"&amp;M1019</x:f>
        <x:v>온도|온대</x:v>
      </x:c>
      <x:c r="AI1019" s="5" t="str">
        <x:f>"습도|"&amp;N1019</x:f>
        <x:v>습도|다습</x:v>
      </x:c>
      <x:c r="AJ1019" s="5" t="str">
        <x:f>"날씨|"&amp;O1019</x:f>
        <x:v>날씨|무관</x:v>
      </x:c>
      <x:c r="AK1019" s="5" t="str">
        <x:f>"특수태그|"&amp;R1019</x:f>
        <x:v>특수태그|전설</x:v>
      </x:c>
      <x:c r="AL1019" s="5" t="str">
        <x:f>"원본서식지|"&amp;S1019</x:f>
        <x:v>원본서식지|숲</x:v>
      </x:c>
      <x:c r="AM1019" s="5" t="str">
        <x:f>"타입|"&amp;F1019</x:f>
        <x:v>타입|독</x:v>
      </x:c>
      <x:c r="AN1019" s="5" t="str">
        <x:f>"타입|"&amp;G1019</x:f>
        <x:v>타입|에스퍼</x:v>
      </x:c>
    </x:row>
    <x:row r="1020" ht="24" customHeight="1">
      <x:c r="A1020" s="5" t="n">
        <x:v>1016</x:v>
      </x:c>
      <x:c r="B1020" s="5" t="inlineStr">
        <x:is>
          <x:t xml:space="preserve">기로치</x:t>
        </x:is>
      </x:c>
      <x:c r="C1020" s="5" t="inlineStr">
        <x:is>
          <x:t xml:space="preserve">fezandipiti</x:t>
        </x:is>
      </x:c>
      <x:c r="D1020" s="5" t="inlineStr">
        <x:is>
          <x:t xml:space="preserve">Fezandipiti</x:t>
        </x:is>
      </x:c>
      <x:c r="E1020" s="5" t="n">
        <x:v>9</x:v>
      </x:c>
      <x:c r="F1020" s="5" t="inlineStr">
        <x:is>
          <x:t xml:space="preserve">독</x:t>
        </x:is>
      </x:c>
      <x:c r="G1020" s="5" t="inlineStr">
        <x:is>
          <x:t xml:space="preserve">페어리</x:t>
        </x:is>
      </x:c>
      <x:c r="H1020" s="6" t="n">
        <x:v>30.1</x:v>
      </x:c>
      <x:c r="I1020" s="5" t="n"/>
      <x:c r="J1020" s="5" t="inlineStr">
        <x:is>
          <x:t xml:space="preserve">무진화</x:t>
        </x:is>
      </x:c>
      <x:c r="K1020" s="7" t="inlineStr">
        <x:is>
          <x:t xml:space="preserve">비행</x:t>
        </x:is>
      </x:c>
      <x:c r="L1020" s="7" t="inlineStr">
        <x:is>
          <x:t xml:space="preserve">암석</x:t>
        </x:is>
      </x:c>
      <x:c r="M1020" s="7" t="inlineStr">
        <x:is>
          <x:t xml:space="preserve">온대</x:t>
        </x:is>
      </x:c>
      <x:c r="N1020" s="7" t="inlineStr">
        <x:is>
          <x:t xml:space="preserve">보통</x:t>
        </x:is>
      </x:c>
      <x:c r="O1020" s="7" t="inlineStr">
        <x:is>
          <x:t xml:space="preserve">무관</x:t>
        </x:is>
      </x:c>
      <x:c r="P1020" s="7" t="inlineStr">
        <x:is>
          <x:t xml:space="preserve">무관</x:t>
        </x:is>
      </x:c>
      <x:c r="Q1020" s="7" t="inlineStr">
        <x:is>
          <x:t xml:space="preserve">전설</x:t>
        </x:is>
      </x:c>
      <x:c r="R1020" s="7" t="inlineStr">
        <x:is>
          <x:t xml:space="preserve">전설</x:t>
        </x:is>
      </x:c>
      <x:c r="S1020" s="7" t="inlineStr">
        <x:is>
          <x:t xml:space="preserve">산악</x:t>
        </x:is>
      </x:c>
      <x:c r="T1020" s="7" t="inlineStr">
        <x:is>
          <x:t xml:space="preserve"/>
        </x:is>
      </x:c>
      <x:c r="U1020" s="8" t="str">
        <x:f>INDEX('서식지_점수'!$E$4:$P$4,1,MATCH(MAX('서식지_점수'!E1020:P1020),'서식지_점수'!E1020:P1020,0))</x:f>
        <x:v>산악</x:v>
      </x:c>
      <x:c r="V1020" s="8" t="str">
        <x:f>IF(T1020&lt;&gt;"",T1020,U1020)</x:f>
        <x:v>산악</x:v>
      </x:c>
      <x:c r="W1020" s="8" t="str">
        <x:f>IFERROR(INDEX('서식지_점수'!$E$4:$P$4,1,MATCH(MAXIFS('서식지_점수'!E1020:P1020,'서식지_점수'!E1020:P1020,"&lt;"&amp;MAX('서식지_점수'!E1020:P1020)),'서식지_점수'!E1020:P1020,0)),"")</x:f>
        <x:v>평원</x:v>
      </x:c>
      <x:c r="X1020" s="8" t="str">
        <x:f>IF(T1020&lt;&gt;"","수동확정",IF(MAX('서식지_점수'!E1020:P1020)-LARGE('서식지_점수'!E1020:P1020,2)&gt;=15,"높음",IF(MAX('서식지_점수'!E1020:P1020)-LARGE('서식지_점수'!E1020:P1020,2)&gt;=8,"보통","검토필요")))</x:f>
        <x:v>검토필요</x:v>
      </x:c>
      <x:c r="Y1020" s="9" t="n">
        <x:f>IF(Q1020="전설",8,IF(Q1020="희귀",7,IF(J1020="기본",1,IF(J1020="중간",3,IF(J1020="최종",IF(I1020="",5,IF(I1020&lt;=20,3,IF(I1020&lt;=35,4,IF(I1020&lt;=50,6,7)))),IF(Q1020="드묾",4,2))))))</x:f>
        <x:v>8</x:v>
      </x:c>
      <x:c r="Z1020" s="5" t="inlineStr">
        <x:is>
          <x:t xml:space="preserve">#cobblemon:is_peak</x:t>
        </x:is>
      </x:c>
      <x:c r="AA1020" s="5" t="inlineStr">
        <x:is>
          <x:t xml:space="preserve">ultra-rare</x:t>
        </x:is>
      </x:c>
      <x:c r="AB1020" s="5" t="inlineStr">
        <x:is>
          <x:t xml:space="preserve">아니오</x:t>
        </x:is>
      </x:c>
      <x:c r="AC1020" s="8" t="str">
        <x:f>IF(T1020&lt;&gt;"","수동확정",IF(X1020="검토필요","검토필요",IF(S1020="","원본없음","초기완료")))</x:f>
        <x:v>검토필요</x:v>
      </x:c>
      <x:c r="AD1020" s="7" t="inlineStr">
        <x:is>
          <x:t xml:space="preserve"/>
        </x:is>
      </x:c>
      <x:c r="AE1020" s="5" t="inlineStr">
        <x:is>
          <x:t xml:space="preserve">.tmp/cobblemon-1.7.3-source/common/src/main/resources/data/cobblemon/species/generation9/fezandipiti.json</x:t>
        </x:is>
      </x:c>
      <x:c r="AF1020" s="5" t="str">
        <x:f>"생활권|"&amp;K1020</x:f>
        <x:v>생활권|비행</x:v>
      </x:c>
      <x:c r="AG1020" s="5" t="str">
        <x:f>"지형|"&amp;L1020</x:f>
        <x:v>지형|암석</x:v>
      </x:c>
      <x:c r="AH1020" s="5" t="str">
        <x:f>"온도|"&amp;M1020</x:f>
        <x:v>온도|온대</x:v>
      </x:c>
      <x:c r="AI1020" s="5" t="str">
        <x:f>"습도|"&amp;N1020</x:f>
        <x:v>습도|보통</x:v>
      </x:c>
      <x:c r="AJ1020" s="5" t="str">
        <x:f>"날씨|"&amp;O1020</x:f>
        <x:v>날씨|무관</x:v>
      </x:c>
      <x:c r="AK1020" s="5" t="str">
        <x:f>"특수태그|"&amp;R1020</x:f>
        <x:v>특수태그|전설</x:v>
      </x:c>
      <x:c r="AL1020" s="5" t="str">
        <x:f>"원본서식지|"&amp;S1020</x:f>
        <x:v>원본서식지|산악</x:v>
      </x:c>
      <x:c r="AM1020" s="5" t="str">
        <x:f>"타입|"&amp;F1020</x:f>
        <x:v>타입|독</x:v>
      </x:c>
      <x:c r="AN1020" s="5" t="str">
        <x:f>"타입|"&amp;G1020</x:f>
        <x:v>타입|페어리</x:v>
      </x:c>
    </x:row>
    <x:row r="1021" ht="24" customHeight="1">
      <x:c r="A1021" s="5" t="n">
        <x:v>1017</x:v>
      </x:c>
      <x:c r="B1021" s="5" t="inlineStr">
        <x:is>
          <x:t xml:space="preserve">오거폰</x:t>
        </x:is>
      </x:c>
      <x:c r="C1021" s="5" t="inlineStr">
        <x:is>
          <x:t xml:space="preserve">ogerpon</x:t>
        </x:is>
      </x:c>
      <x:c r="D1021" s="5" t="inlineStr">
        <x:is>
          <x:t xml:space="preserve">Ogerpon</x:t>
        </x:is>
      </x:c>
      <x:c r="E1021" s="5" t="n">
        <x:v>9</x:v>
      </x:c>
      <x:c r="F1021" s="5" t="inlineStr">
        <x:is>
          <x:t xml:space="preserve">풀</x:t>
        </x:is>
      </x:c>
      <x:c r="G1021" s="5" t="inlineStr">
        <x:is>
          <x:t xml:space="preserve"/>
        </x:is>
      </x:c>
      <x:c r="H1021" s="6" t="n">
        <x:v>39.8</x:v>
      </x:c>
      <x:c r="I1021" s="5" t="n"/>
      <x:c r="J1021" s="5" t="inlineStr">
        <x:is>
          <x:t xml:space="preserve">무진화</x:t>
        </x:is>
      </x:c>
      <x:c r="K1021" s="7" t="inlineStr">
        <x:is>
          <x:t xml:space="preserve">육상</x:t>
        </x:is>
      </x:c>
      <x:c r="L1021" s="7" t="inlineStr">
        <x:is>
          <x:t xml:space="preserve">수목</x:t>
        </x:is>
      </x:c>
      <x:c r="M1021" s="7" t="inlineStr">
        <x:is>
          <x:t xml:space="preserve">온대</x:t>
        </x:is>
      </x:c>
      <x:c r="N1021" s="7" t="inlineStr">
        <x:is>
          <x:t xml:space="preserve">보통</x:t>
        </x:is>
      </x:c>
      <x:c r="O1021" s="7" t="inlineStr">
        <x:is>
          <x:t xml:space="preserve">무관</x:t>
        </x:is>
      </x:c>
      <x:c r="P1021" s="7" t="inlineStr">
        <x:is>
          <x:t xml:space="preserve">무관</x:t>
        </x:is>
      </x:c>
      <x:c r="Q1021" s="7" t="inlineStr">
        <x:is>
          <x:t xml:space="preserve">전설</x:t>
        </x:is>
      </x:c>
      <x:c r="R1021" s="7" t="inlineStr">
        <x:is>
          <x:t xml:space="preserve">전설</x:t>
        </x:is>
      </x:c>
      <x:c r="S1021" s="7" t="inlineStr">
        <x:is>
          <x:t xml:space="preserve"/>
        </x:is>
      </x:c>
      <x:c r="T1021" s="7" t="inlineStr">
        <x:is>
          <x:t xml:space="preserve"/>
        </x:is>
      </x:c>
      <x:c r="U1021" s="8" t="str">
        <x:f>INDEX('서식지_점수'!$E$4:$P$4,1,MATCH(MAX('서식지_점수'!E1021:P1021),'서식지_점수'!E1021:P1021,0))</x:f>
        <x:v>평원</x:v>
      </x:c>
      <x:c r="V1021" s="8" t="str">
        <x:f>IF(T1021&lt;&gt;"",T1021,U1021)</x:f>
        <x:v>평원</x:v>
      </x:c>
      <x:c r="W1021" s="8" t="str">
        <x:f>IFERROR(INDEX('서식지_점수'!$E$4:$P$4,1,MATCH(MAXIFS('서식지_점수'!E1021:P1021,'서식지_점수'!E1021:P1021,"&lt;"&amp;MAX('서식지_점수'!E1021:P1021)),'서식지_점수'!E1021:P1021,0)),"")</x:f>
        <x:v>숲</x:v>
      </x:c>
      <x:c r="X1021" s="8" t="str">
        <x:f>IF(T1021&lt;&gt;"","수동확정",IF(MAX('서식지_점수'!E1021:P1021)-LARGE('서식지_점수'!E1021:P1021,2)&gt;=15,"높음",IF(MAX('서식지_점수'!E1021:P1021)-LARGE('서식지_점수'!E1021:P1021,2)&gt;=8,"보통","검토필요")))</x:f>
        <x:v>검토필요</x:v>
      </x:c>
      <x:c r="Y1021" s="9" t="n">
        <x:f>IF(Q1021="전설",8,IF(Q1021="희귀",7,IF(J1021="기본",1,IF(J1021="중간",3,IF(J1021="최종",IF(I1021="",5,IF(I1021&lt;=20,3,IF(I1021&lt;=35,4,IF(I1021&lt;=50,6,7)))),IF(Q1021="드묾",4,2))))))</x:f>
        <x:v>8</x:v>
      </x:c>
      <x:c r="Z1021" s="5" t="inlineStr">
        <x:is>
          <x:t xml:space="preserve">#cobblemon:is_lush</x:t>
        </x:is>
      </x:c>
      <x:c r="AA1021" s="5" t="inlineStr">
        <x:is>
          <x:t xml:space="preserve">ultra-rare</x:t>
        </x:is>
      </x:c>
      <x:c r="AB1021" s="5" t="inlineStr">
        <x:is>
          <x:t xml:space="preserve">아니오</x:t>
        </x:is>
      </x:c>
      <x:c r="AC1021" s="8" t="str">
        <x:f>IF(T1021&lt;&gt;"","수동확정",IF(X1021="검토필요","검토필요",IF(S1021="","원본없음","초기완료")))</x:f>
        <x:v>검토필요</x:v>
      </x:c>
      <x:c r="AD1021" s="7" t="inlineStr">
        <x:is>
          <x:t xml:space="preserve"/>
        </x:is>
      </x:c>
      <x:c r="AE1021" s="5" t="inlineStr">
        <x:is>
          <x:t xml:space="preserve">.tmp/cobblemon-1.7.3-source/common/src/main/resources/data/cobblemon/species/generation9/ogerpon.json</x:t>
        </x:is>
      </x:c>
      <x:c r="AF1021" s="5" t="str">
        <x:f>"생활권|"&amp;K1021</x:f>
        <x:v>생활권|육상</x:v>
      </x:c>
      <x:c r="AG1021" s="5" t="str">
        <x:f>"지형|"&amp;L1021</x:f>
        <x:v>지형|수목</x:v>
      </x:c>
      <x:c r="AH1021" s="5" t="str">
        <x:f>"온도|"&amp;M1021</x:f>
        <x:v>온도|온대</x:v>
      </x:c>
      <x:c r="AI1021" s="5" t="str">
        <x:f>"습도|"&amp;N1021</x:f>
        <x:v>습도|보통</x:v>
      </x:c>
      <x:c r="AJ1021" s="5" t="str">
        <x:f>"날씨|"&amp;O1021</x:f>
        <x:v>날씨|무관</x:v>
      </x:c>
      <x:c r="AK1021" s="5" t="str">
        <x:f>"특수태그|"&amp;R1021</x:f>
        <x:v>특수태그|전설</x:v>
      </x:c>
      <x:c r="AL1021" s="5" t="str">
        <x:f>"원본서식지|"&amp;S1021</x:f>
        <x:v>원본서식지|</x:v>
      </x:c>
      <x:c r="AM1021" s="5" t="str">
        <x:f>"타입|"&amp;F1021</x:f>
        <x:v>타입|풀</x:v>
      </x:c>
      <x:c r="AN1021" s="5" t="str">
        <x:f>"타입|"&amp;G1021</x:f>
        <x:v>타입|</x:v>
      </x:c>
    </x:row>
    <x:row r="1022" ht="24" customHeight="1">
      <x:c r="A1022" s="5" t="n">
        <x:v>1018</x:v>
      </x:c>
      <x:c r="B1022" s="5" t="inlineStr">
        <x:is>
          <x:t xml:space="preserve">브리두라스</x:t>
        </x:is>
      </x:c>
      <x:c r="C1022" s="5" t="inlineStr">
        <x:is>
          <x:t xml:space="preserve">archaludon</x:t>
        </x:is>
      </x:c>
      <x:c r="D1022" s="5" t="inlineStr">
        <x:is>
          <x:t xml:space="preserve">Archaludon</x:t>
        </x:is>
      </x:c>
      <x:c r="E1022" s="5" t="n">
        <x:v>9</x:v>
      </x:c>
      <x:c r="F1022" s="5" t="inlineStr">
        <x:is>
          <x:t xml:space="preserve">강철</x:t>
        </x:is>
      </x:c>
      <x:c r="G1022" s="5" t="inlineStr">
        <x:is>
          <x:t xml:space="preserve">드래곤</x:t>
        </x:is>
      </x:c>
      <x:c r="H1022" s="6" t="n">
        <x:v>60</x:v>
      </x:c>
      <x:c r="I1022" s="5" t="n"/>
      <x:c r="J1022" s="5" t="inlineStr">
        <x:is>
          <x:t xml:space="preserve">최종</x:t>
        </x:is>
      </x:c>
      <x:c r="K1022" s="7" t="inlineStr">
        <x:is>
          <x:t xml:space="preserve">육상</x:t>
        </x:is>
      </x:c>
      <x:c r="L1022" s="7" t="inlineStr">
        <x:is>
          <x:t xml:space="preserve">개활지</x:t>
        </x:is>
      </x:c>
      <x:c r="M1022" s="7" t="inlineStr">
        <x:is>
          <x:t xml:space="preserve">온대</x:t>
        </x:is>
      </x:c>
      <x:c r="N1022" s="7" t="inlineStr">
        <x:is>
          <x:t xml:space="preserve">보통</x:t>
        </x:is>
      </x:c>
      <x:c r="O1022" s="7" t="inlineStr">
        <x:is>
          <x:t xml:space="preserve">무관</x:t>
        </x:is>
      </x:c>
      <x:c r="P1022" s="7" t="inlineStr">
        <x:is>
          <x:t xml:space="preserve">무관</x:t>
        </x:is>
      </x:c>
      <x:c r="Q1022" s="7" t="inlineStr">
        <x:is>
          <x:t xml:space="preserve">희귀</x:t>
        </x:is>
      </x:c>
      <x:c r="R1022" s="7" t="inlineStr">
        <x:is>
          <x:t xml:space="preserve">없음</x:t>
        </x:is>
      </x:c>
      <x:c r="S1022" s="7" t="inlineStr">
        <x:is>
          <x:t xml:space="preserve"/>
        </x:is>
      </x:c>
      <x:c r="T1022" s="7" t="inlineStr">
        <x:is>
          <x:t xml:space="preserve"/>
        </x:is>
      </x:c>
      <x:c r="U1022" s="8" t="str">
        <x:f>INDEX('서식지_점수'!$E$4:$P$4,1,MATCH(MAX('서식지_점수'!E1022:P1022),'서식지_점수'!E1022:P1022,0))</x:f>
        <x:v>평원</x:v>
      </x:c>
      <x:c r="V1022" s="8" t="str">
        <x:f>IF(T1022&lt;&gt;"",T1022,U1022)</x:f>
        <x:v>평원</x:v>
      </x:c>
      <x:c r="W1022" s="8" t="str">
        <x:f>IFERROR(INDEX('서식지_점수'!$E$4:$P$4,1,MATCH(MAXIFS('서식지_점수'!E1022:P1022,'서식지_점수'!E1022:P1022,"&lt;"&amp;MAX('서식지_점수'!E1022:P1022)),'서식지_점수'!E1022:P1022,0)),"")</x:f>
        <x:v>숲</x:v>
      </x:c>
      <x:c r="X1022" s="8" t="str">
        <x:f>IF(T1022&lt;&gt;"","수동확정",IF(MAX('서식지_점수'!E1022:P1022)-LARGE('서식지_점수'!E1022:P1022,2)&gt;=15,"높음",IF(MAX('서식지_점수'!E1022:P1022)-LARGE('서식지_점수'!E1022:P1022,2)&gt;=8,"보통","검토필요")))</x:f>
        <x:v>검토필요</x:v>
      </x:c>
      <x:c r="Y1022" s="9" t="n">
        <x:f>IF(Q1022="전설",8,IF(Q1022="희귀",7,IF(J1022="기본",1,IF(J1022="중간",3,IF(J1022="최종",IF(I1022="",5,IF(I1022&lt;=20,3,IF(I1022&lt;=35,4,IF(I1022&lt;=50,6,7)))),IF(Q1022="드묾",4,2))))))</x:f>
        <x:v>7</x:v>
      </x:c>
      <x:c r="Z1022" s="5" t="inlineStr">
        <x:is>
          <x:t xml:space="preserve">#cobblemon:is_glacial</x:t>
        </x:is>
      </x:c>
      <x:c r="AA1022" s="5" t="inlineStr">
        <x:is>
          <x:t xml:space="preserve">ultra-rare</x:t>
        </x:is>
      </x:c>
      <x:c r="AB1022" s="5" t="inlineStr">
        <x:is>
          <x:t xml:space="preserve">아니오</x:t>
        </x:is>
      </x:c>
      <x:c r="AC1022" s="8" t="str">
        <x:f>IF(T1022&lt;&gt;"","수동확정",IF(X1022="검토필요","검토필요",IF(S1022="","원본없음","초기완료")))</x:f>
        <x:v>검토필요</x:v>
      </x:c>
      <x:c r="AD1022" s="7" t="inlineStr">
        <x:is>
          <x:t xml:space="preserve"/>
        </x:is>
      </x:c>
      <x:c r="AE1022" s="5" t="inlineStr">
        <x:is>
          <x:t xml:space="preserve">.tmp/cobblemon-1.7.3-source/common/src/main/resources/data/cobblemon/species/generation9/archaludon.json</x:t>
        </x:is>
      </x:c>
      <x:c r="AF1022" s="5" t="str">
        <x:f>"생활권|"&amp;K1022</x:f>
        <x:v>생활권|육상</x:v>
      </x:c>
      <x:c r="AG1022" s="5" t="str">
        <x:f>"지형|"&amp;L1022</x:f>
        <x:v>지형|개활지</x:v>
      </x:c>
      <x:c r="AH1022" s="5" t="str">
        <x:f>"온도|"&amp;M1022</x:f>
        <x:v>온도|온대</x:v>
      </x:c>
      <x:c r="AI1022" s="5" t="str">
        <x:f>"습도|"&amp;N1022</x:f>
        <x:v>습도|보통</x:v>
      </x:c>
      <x:c r="AJ1022" s="5" t="str">
        <x:f>"날씨|"&amp;O1022</x:f>
        <x:v>날씨|무관</x:v>
      </x:c>
      <x:c r="AK1022" s="5" t="str">
        <x:f>"특수태그|"&amp;R1022</x:f>
        <x:v>특수태그|없음</x:v>
      </x:c>
      <x:c r="AL1022" s="5" t="str">
        <x:f>"원본서식지|"&amp;S1022</x:f>
        <x:v>원본서식지|</x:v>
      </x:c>
      <x:c r="AM1022" s="5" t="str">
        <x:f>"타입|"&amp;F1022</x:f>
        <x:v>타입|강철</x:v>
      </x:c>
      <x:c r="AN1022" s="5" t="str">
        <x:f>"타입|"&amp;G1022</x:f>
        <x:v>타입|드래곤</x:v>
      </x:c>
    </x:row>
    <x:row r="1023" ht="24" customHeight="1">
      <x:c r="A1023" s="5" t="n">
        <x:v>1019</x:v>
      </x:c>
      <x:c r="B1023" s="5" t="inlineStr">
        <x:is>
          <x:t xml:space="preserve">과미드라</x:t>
        </x:is>
      </x:c>
      <x:c r="C1023" s="5" t="inlineStr">
        <x:is>
          <x:t xml:space="preserve">hydrapple</x:t>
        </x:is>
      </x:c>
      <x:c r="D1023" s="5" t="inlineStr">
        <x:is>
          <x:t xml:space="preserve">Hydrapple</x:t>
        </x:is>
      </x:c>
      <x:c r="E1023" s="5" t="n">
        <x:v>9</x:v>
      </x:c>
      <x:c r="F1023" s="5" t="inlineStr">
        <x:is>
          <x:t xml:space="preserve">풀</x:t>
        </x:is>
      </x:c>
      <x:c r="G1023" s="5" t="inlineStr">
        <x:is>
          <x:t xml:space="preserve">드래곤</x:t>
        </x:is>
      </x:c>
      <x:c r="H1023" s="6" t="n">
        <x:v>93</x:v>
      </x:c>
      <x:c r="I1023" s="5" t="n"/>
      <x:c r="J1023" s="5" t="inlineStr">
        <x:is>
          <x:t xml:space="preserve">최종</x:t>
        </x:is>
      </x:c>
      <x:c r="K1023" s="7" t="inlineStr">
        <x:is>
          <x:t xml:space="preserve">육상</x:t>
        </x:is>
      </x:c>
      <x:c r="L1023" s="7" t="inlineStr">
        <x:is>
          <x:t xml:space="preserve">수목</x:t>
        </x:is>
      </x:c>
      <x:c r="M1023" s="7" t="inlineStr">
        <x:is>
          <x:t xml:space="preserve">온대</x:t>
        </x:is>
      </x:c>
      <x:c r="N1023" s="7" t="inlineStr">
        <x:is>
          <x:t xml:space="preserve">보통</x:t>
        </x:is>
      </x:c>
      <x:c r="O1023" s="7" t="inlineStr">
        <x:is>
          <x:t xml:space="preserve">무관</x:t>
        </x:is>
      </x:c>
      <x:c r="P1023" s="7" t="inlineStr">
        <x:is>
          <x:t xml:space="preserve">낮</x:t>
        </x:is>
      </x:c>
      <x:c r="Q1023" s="7" t="inlineStr">
        <x:is>
          <x:t xml:space="preserve">희귀</x:t>
        </x:is>
      </x:c>
      <x:c r="R1023" s="7" t="inlineStr">
        <x:is>
          <x:t xml:space="preserve">없음</x:t>
        </x:is>
      </x:c>
      <x:c r="S1023" s="7" t="inlineStr">
        <x:is>
          <x:t xml:space="preserve"/>
        </x:is>
      </x:c>
      <x:c r="T1023" s="7" t="inlineStr">
        <x:is>
          <x:t xml:space="preserve"/>
        </x:is>
      </x:c>
      <x:c r="U1023" s="8" t="str">
        <x:f>INDEX('서식지_점수'!$E$4:$P$4,1,MATCH(MAX('서식지_점수'!E1023:P1023),'서식지_점수'!E1023:P1023,0))</x:f>
        <x:v>평원</x:v>
      </x:c>
      <x:c r="V1023" s="8" t="str">
        <x:f>IF(T1023&lt;&gt;"",T1023,U1023)</x:f>
        <x:v>평원</x:v>
      </x:c>
      <x:c r="W1023" s="8" t="str">
        <x:f>IFERROR(INDEX('서식지_점수'!$E$4:$P$4,1,MATCH(MAXIFS('서식지_점수'!E1023:P1023,'서식지_점수'!E1023:P1023,"&lt;"&amp;MAX('서식지_점수'!E1023:P1023)),'서식지_점수'!E1023:P1023,0)),"")</x:f>
        <x:v>숲</x:v>
      </x:c>
      <x:c r="X1023" s="8" t="str">
        <x:f>IF(T1023&lt;&gt;"","수동확정",IF(MAX('서식지_점수'!E1023:P1023)-LARGE('서식지_점수'!E1023:P1023,2)&gt;=15,"높음",IF(MAX('서식지_점수'!E1023:P1023)-LARGE('서식지_점수'!E1023:P1023,2)&gt;=8,"보통","검토필요")))</x:f>
        <x:v>검토필요</x:v>
      </x:c>
      <x:c r="Y1023" s="9" t="n">
        <x:f>IF(Q1023="전설",8,IF(Q1023="희귀",7,IF(J1023="기본",1,IF(J1023="중간",3,IF(J1023="최종",IF(I1023="",5,IF(I1023&lt;=20,3,IF(I1023&lt;=35,4,IF(I1023&lt;=50,6,7)))),IF(Q1023="드묾",4,2))))))</x:f>
        <x:v>7</x:v>
      </x:c>
      <x:c r="Z1023" s="5" t="inlineStr">
        <x:is>
          <x:t xml:space="preserve">#cobblemon:is_floral</x:t>
        </x:is>
      </x:c>
      <x:c r="AA1023" s="5" t="inlineStr">
        <x:is>
          <x:t xml:space="preserve">ultra-rare</x:t>
        </x:is>
      </x:c>
      <x:c r="AB1023" s="5" t="inlineStr">
        <x:is>
          <x:t xml:space="preserve">아니오</x:t>
        </x:is>
      </x:c>
      <x:c r="AC1023" s="8" t="str">
        <x:f>IF(T1023&lt;&gt;"","수동확정",IF(X1023="검토필요","검토필요",IF(S1023="","원본없음","초기완료")))</x:f>
        <x:v>검토필요</x:v>
      </x:c>
      <x:c r="AD1023" s="7" t="inlineStr">
        <x:is>
          <x:t xml:space="preserve"/>
        </x:is>
      </x:c>
      <x:c r="AE1023" s="5" t="inlineStr">
        <x:is>
          <x:t xml:space="preserve">.tmp/cobblemon-1.7.3-source/common/src/main/resources/data/cobblemon/species/generation9/hydrapple.json</x:t>
        </x:is>
      </x:c>
      <x:c r="AF1023" s="5" t="str">
        <x:f>"생활권|"&amp;K1023</x:f>
        <x:v>생활권|육상</x:v>
      </x:c>
      <x:c r="AG1023" s="5" t="str">
        <x:f>"지형|"&amp;L1023</x:f>
        <x:v>지형|수목</x:v>
      </x:c>
      <x:c r="AH1023" s="5" t="str">
        <x:f>"온도|"&amp;M1023</x:f>
        <x:v>온도|온대</x:v>
      </x:c>
      <x:c r="AI1023" s="5" t="str">
        <x:f>"습도|"&amp;N1023</x:f>
        <x:v>습도|보통</x:v>
      </x:c>
      <x:c r="AJ1023" s="5" t="str">
        <x:f>"날씨|"&amp;O1023</x:f>
        <x:v>날씨|무관</x:v>
      </x:c>
      <x:c r="AK1023" s="5" t="str">
        <x:f>"특수태그|"&amp;R1023</x:f>
        <x:v>특수태그|없음</x:v>
      </x:c>
      <x:c r="AL1023" s="5" t="str">
        <x:f>"원본서식지|"&amp;S1023</x:f>
        <x:v>원본서식지|</x:v>
      </x:c>
      <x:c r="AM1023" s="5" t="str">
        <x:f>"타입|"&amp;F1023</x:f>
        <x:v>타입|풀</x:v>
      </x:c>
      <x:c r="AN1023" s="5" t="str">
        <x:f>"타입|"&amp;G1023</x:f>
        <x:v>타입|드래곤</x:v>
      </x:c>
    </x:row>
    <x:row r="1024" ht="24" customHeight="1">
      <x:c r="A1024" s="5" t="n">
        <x:v>1020</x:v>
      </x:c>
      <x:c r="B1024" s="5" t="inlineStr">
        <x:is>
          <x:t xml:space="preserve">꿰뚫는화염</x:t>
        </x:is>
      </x:c>
      <x:c r="C1024" s="5" t="inlineStr">
        <x:is>
          <x:t xml:space="preserve">gougingfire</x:t>
        </x:is>
      </x:c>
      <x:c r="D1024" s="5" t="inlineStr">
        <x:is>
          <x:t xml:space="preserve">Gouging Fire</x:t>
        </x:is>
      </x:c>
      <x:c r="E1024" s="5" t="n">
        <x:v>9</x:v>
      </x:c>
      <x:c r="F1024" s="5" t="inlineStr">
        <x:is>
          <x:t xml:space="preserve">불꽃</x:t>
        </x:is>
      </x:c>
      <x:c r="G1024" s="5" t="inlineStr">
        <x:is>
          <x:t xml:space="preserve">드래곤</x:t>
        </x:is>
      </x:c>
      <x:c r="H1024" s="6" t="n">
        <x:v>590</x:v>
      </x:c>
      <x:c r="I1024" s="5" t="n"/>
      <x:c r="J1024" s="5" t="inlineStr">
        <x:is>
          <x:t xml:space="preserve">무진화</x:t>
        </x:is>
      </x:c>
      <x:c r="K1024" s="7" t="inlineStr">
        <x:is>
          <x:t xml:space="preserve">육상</x:t>
        </x:is>
      </x:c>
      <x:c r="L1024" s="7" t="inlineStr">
        <x:is>
          <x:t xml:space="preserve">화산</x:t>
        </x:is>
      </x:c>
      <x:c r="M1024" s="7" t="inlineStr">
        <x:is>
          <x:t xml:space="preserve">고온</x:t>
        </x:is>
      </x:c>
      <x:c r="N1024" s="7" t="inlineStr">
        <x:is>
          <x:t xml:space="preserve">건조</x:t>
        </x:is>
      </x:c>
      <x:c r="O1024" s="7" t="inlineStr">
        <x:is>
          <x:t xml:space="preserve">맑음</x:t>
        </x:is>
      </x:c>
      <x:c r="P1024" s="7" t="inlineStr">
        <x:is>
          <x:t xml:space="preserve">무관</x:t>
        </x:is>
      </x:c>
      <x:c r="Q1024" s="7" t="inlineStr">
        <x:is>
          <x:t xml:space="preserve">희귀</x:t>
        </x:is>
      </x:c>
      <x:c r="R1024" s="7" t="inlineStr">
        <x:is>
          <x:t xml:space="preserve">화산</x:t>
        </x:is>
      </x:c>
      <x:c r="S1024" s="7" t="inlineStr">
        <x:is>
          <x:t xml:space="preserve">화산</x:t>
        </x:is>
      </x:c>
      <x:c r="T1024" s="7" t="inlineStr">
        <x:is>
          <x:t xml:space="preserve"/>
        </x:is>
      </x:c>
      <x:c r="U1024" s="8" t="str">
        <x:f>INDEX('서식지_점수'!$E$4:$P$4,1,MATCH(MAX('서식지_점수'!E1024:P1024),'서식지_점수'!E1024:P1024,0))</x:f>
        <x:v>평원</x:v>
      </x:c>
      <x:c r="V1024" s="8" t="str">
        <x:f>IF(T1024&lt;&gt;"",T1024,U1024)</x:f>
        <x:v>평원</x:v>
      </x:c>
      <x:c r="W1024" s="8" t="str">
        <x:f>IFERROR(INDEX('서식지_점수'!$E$4:$P$4,1,MATCH(MAXIFS('서식지_점수'!E1024:P1024,'서식지_점수'!E1024:P1024,"&lt;"&amp;MAX('서식지_점수'!E1024:P1024)),'서식지_점수'!E1024:P1024,0)),"")</x:f>
        <x:v>숲</x:v>
      </x:c>
      <x:c r="X1024" s="8" t="str">
        <x:f>IF(T1024&lt;&gt;"","수동확정",IF(MAX('서식지_점수'!E1024:P1024)-LARGE('서식지_점수'!E1024:P1024,2)&gt;=15,"높음",IF(MAX('서식지_점수'!E1024:P1024)-LARGE('서식지_점수'!E1024:P1024,2)&gt;=8,"보통","검토필요")))</x:f>
        <x:v>검토필요</x:v>
      </x:c>
      <x:c r="Y1024" s="9" t="n">
        <x:f>IF(Q1024="전설",8,IF(Q1024="희귀",7,IF(J1024="기본",1,IF(J1024="중간",3,IF(J1024="최종",IF(I1024="",5,IF(I1024&lt;=20,3,IF(I1024&lt;=35,4,IF(I1024&lt;=50,6,7)))),IF(Q1024="드묾",4,2))))))</x:f>
        <x:v>7</x:v>
      </x:c>
      <x:c r="Z1024" s="5" t="inlineStr">
        <x:is>
          <x:t xml:space="preserve">minecraft:basalt_deltas</x:t>
        </x:is>
      </x:c>
      <x:c r="AA1024" s="5" t="inlineStr">
        <x:is>
          <x:t xml:space="preserve">ultra-rare</x:t>
        </x:is>
      </x:c>
      <x:c r="AB1024" s="5" t="inlineStr">
        <x:is>
          <x:t xml:space="preserve">아니오</x:t>
        </x:is>
      </x:c>
      <x:c r="AC1024" s="8" t="str">
        <x:f>IF(T1024&lt;&gt;"","수동확정",IF(X1024="검토필요","검토필요",IF(S1024="","원본없음","초기완료")))</x:f>
        <x:v>검토필요</x:v>
      </x:c>
      <x:c r="AD1024" s="7" t="inlineStr">
        <x:is>
          <x:t xml:space="preserve"/>
        </x:is>
      </x:c>
      <x:c r="AE1024" s="5" t="inlineStr">
        <x:is>
          <x:t xml:space="preserve">.tmp/cobblemon-1.7.3-source/common/src/main/resources/data/cobblemon/species/generation9/gougingfire.json</x:t>
        </x:is>
      </x:c>
      <x:c r="AF1024" s="5" t="str">
        <x:f>"생활권|"&amp;K1024</x:f>
        <x:v>생활권|육상</x:v>
      </x:c>
      <x:c r="AG1024" s="5" t="str">
        <x:f>"지형|"&amp;L1024</x:f>
        <x:v>지형|화산</x:v>
      </x:c>
      <x:c r="AH1024" s="5" t="str">
        <x:f>"온도|"&amp;M1024</x:f>
        <x:v>온도|고온</x:v>
      </x:c>
      <x:c r="AI1024" s="5" t="str">
        <x:f>"습도|"&amp;N1024</x:f>
        <x:v>습도|건조</x:v>
      </x:c>
      <x:c r="AJ1024" s="5" t="str">
        <x:f>"날씨|"&amp;O1024</x:f>
        <x:v>날씨|맑음</x:v>
      </x:c>
      <x:c r="AK1024" s="5" t="str">
        <x:f>"특수태그|"&amp;R1024</x:f>
        <x:v>특수태그|화산</x:v>
      </x:c>
      <x:c r="AL1024" s="5" t="str">
        <x:f>"원본서식지|"&amp;S1024</x:f>
        <x:v>원본서식지|화산</x:v>
      </x:c>
      <x:c r="AM1024" s="5" t="str">
        <x:f>"타입|"&amp;F1024</x:f>
        <x:v>타입|불꽃</x:v>
      </x:c>
      <x:c r="AN1024" s="5" t="str">
        <x:f>"타입|"&amp;G1024</x:f>
        <x:v>타입|드래곤</x:v>
      </x:c>
    </x:row>
    <x:row r="1025" ht="24" customHeight="1">
      <x:c r="A1025" s="5" t="n">
        <x:v>1021</x:v>
      </x:c>
      <x:c r="B1025" s="5" t="inlineStr">
        <x:is>
          <x:t xml:space="preserve">날뛰는우레</x:t>
        </x:is>
      </x:c>
      <x:c r="C1025" s="5" t="inlineStr">
        <x:is>
          <x:t xml:space="preserve">ragingbolt</x:t>
        </x:is>
      </x:c>
      <x:c r="D1025" s="5" t="inlineStr">
        <x:is>
          <x:t xml:space="preserve">Raging Bolt</x:t>
        </x:is>
      </x:c>
      <x:c r="E1025" s="5" t="n">
        <x:v>9</x:v>
      </x:c>
      <x:c r="F1025" s="5" t="inlineStr">
        <x:is>
          <x:t xml:space="preserve">전기</x:t>
        </x:is>
      </x:c>
      <x:c r="G1025" s="5" t="inlineStr">
        <x:is>
          <x:t xml:space="preserve">드래곤</x:t>
        </x:is>
      </x:c>
      <x:c r="H1025" s="6" t="n">
        <x:v>480</x:v>
      </x:c>
      <x:c r="I1025" s="5" t="n"/>
      <x:c r="J1025" s="5" t="inlineStr">
        <x:is>
          <x:t xml:space="preserve">무진화</x:t>
        </x:is>
      </x:c>
      <x:c r="K1025" s="7" t="inlineStr">
        <x:is>
          <x:t xml:space="preserve">육상</x:t>
        </x:is>
      </x:c>
      <x:c r="L1025" s="7" t="inlineStr">
        <x:is>
          <x:t xml:space="preserve">건조</x:t>
        </x:is>
      </x:c>
      <x:c r="M1025" s="7" t="inlineStr">
        <x:is>
          <x:t xml:space="preserve">고온</x:t>
        </x:is>
      </x:c>
      <x:c r="N1025" s="7" t="inlineStr">
        <x:is>
          <x:t xml:space="preserve">건조</x:t>
        </x:is>
      </x:c>
      <x:c r="O1025" s="7" t="inlineStr">
        <x:is>
          <x:t xml:space="preserve">맑음</x:t>
        </x:is>
      </x:c>
      <x:c r="P1025" s="7" t="inlineStr">
        <x:is>
          <x:t xml:space="preserve">무관</x:t>
        </x:is>
      </x:c>
      <x:c r="Q1025" s="7" t="inlineStr">
        <x:is>
          <x:t xml:space="preserve">희귀</x:t>
        </x:is>
      </x:c>
      <x:c r="R1025" s="7" t="inlineStr">
        <x:is>
          <x:t xml:space="preserve">없음</x:t>
        </x:is>
      </x:c>
      <x:c r="S1025" s="7" t="inlineStr">
        <x:is>
          <x:t xml:space="preserve">건조지</x:t>
        </x:is>
      </x:c>
      <x:c r="T1025" s="7" t="inlineStr">
        <x:is>
          <x:t xml:space="preserve"/>
        </x:is>
      </x:c>
      <x:c r="U1025" s="8" t="str">
        <x:f>INDEX('서식지_점수'!$E$4:$P$4,1,MATCH(MAX('서식지_점수'!E1025:P1025),'서식지_점수'!E1025:P1025,0))</x:f>
        <x:v>평원</x:v>
      </x:c>
      <x:c r="V1025" s="8" t="str">
        <x:f>IF(T1025&lt;&gt;"",T1025,U1025)</x:f>
        <x:v>평원</x:v>
      </x:c>
      <x:c r="W1025" s="8" t="str">
        <x:f>IFERROR(INDEX('서식지_점수'!$E$4:$P$4,1,MATCH(MAXIFS('서식지_점수'!E1025:P1025,'서식지_점수'!E1025:P1025,"&lt;"&amp;MAX('서식지_점수'!E1025:P1025)),'서식지_점수'!E1025:P1025,0)),"")</x:f>
        <x:v>숲</x:v>
      </x:c>
      <x:c r="X1025" s="8" t="str">
        <x:f>IF(T1025&lt;&gt;"","수동확정",IF(MAX('서식지_점수'!E1025:P1025)-LARGE('서식지_점수'!E1025:P1025,2)&gt;=15,"높음",IF(MAX('서식지_점수'!E1025:P1025)-LARGE('서식지_점수'!E1025:P1025,2)&gt;=8,"보통","검토필요")))</x:f>
        <x:v>검토필요</x:v>
      </x:c>
      <x:c r="Y1025" s="9" t="n">
        <x:f>IF(Q1025="전설",8,IF(Q1025="희귀",7,IF(J1025="기본",1,IF(J1025="중간",3,IF(J1025="최종",IF(I1025="",5,IF(I1025&lt;=20,3,IF(I1025&lt;=35,4,IF(I1025&lt;=50,6,7)))),IF(Q1025="드묾",4,2))))))</x:f>
        <x:v>7</x:v>
      </x:c>
      <x:c r="Z1025" s="5" t="inlineStr">
        <x:is>
          <x:t xml:space="preserve">#cobblemon:is_arid</x:t>
        </x:is>
      </x:c>
      <x:c r="AA1025" s="5" t="inlineStr">
        <x:is>
          <x:t xml:space="preserve">ultra-rare</x:t>
        </x:is>
      </x:c>
      <x:c r="AB1025" s="5" t="inlineStr">
        <x:is>
          <x:t xml:space="preserve">아니오</x:t>
        </x:is>
      </x:c>
      <x:c r="AC1025" s="8" t="str">
        <x:f>IF(T1025&lt;&gt;"","수동확정",IF(X1025="검토필요","검토필요",IF(S1025="","원본없음","초기완료")))</x:f>
        <x:v>검토필요</x:v>
      </x:c>
      <x:c r="AD1025" s="7" t="inlineStr">
        <x:is>
          <x:t xml:space="preserve"/>
        </x:is>
      </x:c>
      <x:c r="AE1025" s="5" t="inlineStr">
        <x:is>
          <x:t xml:space="preserve">.tmp/cobblemon-1.7.3-source/common/src/main/resources/data/cobblemon/species/generation9/ragingbolt.json</x:t>
        </x:is>
      </x:c>
      <x:c r="AF1025" s="5" t="str">
        <x:f>"생활권|"&amp;K1025</x:f>
        <x:v>생활권|육상</x:v>
      </x:c>
      <x:c r="AG1025" s="5" t="str">
        <x:f>"지형|"&amp;L1025</x:f>
        <x:v>지형|건조</x:v>
      </x:c>
      <x:c r="AH1025" s="5" t="str">
        <x:f>"온도|"&amp;M1025</x:f>
        <x:v>온도|고온</x:v>
      </x:c>
      <x:c r="AI1025" s="5" t="str">
        <x:f>"습도|"&amp;N1025</x:f>
        <x:v>습도|건조</x:v>
      </x:c>
      <x:c r="AJ1025" s="5" t="str">
        <x:f>"날씨|"&amp;O1025</x:f>
        <x:v>날씨|맑음</x:v>
      </x:c>
      <x:c r="AK1025" s="5" t="str">
        <x:f>"특수태그|"&amp;R1025</x:f>
        <x:v>특수태그|없음</x:v>
      </x:c>
      <x:c r="AL1025" s="5" t="str">
        <x:f>"원본서식지|"&amp;S1025</x:f>
        <x:v>원본서식지|건조지</x:v>
      </x:c>
      <x:c r="AM1025" s="5" t="str">
        <x:f>"타입|"&amp;F1025</x:f>
        <x:v>타입|전기</x:v>
      </x:c>
      <x:c r="AN1025" s="5" t="str">
        <x:f>"타입|"&amp;G1025</x:f>
        <x:v>타입|드래곤</x:v>
      </x:c>
    </x:row>
    <x:row r="1026" ht="24" customHeight="1">
      <x:c r="A1026" s="5" t="n">
        <x:v>1022</x:v>
      </x:c>
      <x:c r="B1026" s="5" t="inlineStr">
        <x:is>
          <x:t xml:space="preserve">무쇠암석</x:t>
        </x:is>
      </x:c>
      <x:c r="C1026" s="5" t="inlineStr">
        <x:is>
          <x:t xml:space="preserve">ironboulder</x:t>
        </x:is>
      </x:c>
      <x:c r="D1026" s="5" t="inlineStr">
        <x:is>
          <x:t xml:space="preserve">Iron Boulder</x:t>
        </x:is>
      </x:c>
      <x:c r="E1026" s="5" t="n">
        <x:v>9</x:v>
      </x:c>
      <x:c r="F1026" s="5" t="inlineStr">
        <x:is>
          <x:t xml:space="preserve">바위</x:t>
        </x:is>
      </x:c>
      <x:c r="G1026" s="5" t="inlineStr">
        <x:is>
          <x:t xml:space="preserve">에스퍼</x:t>
        </x:is>
      </x:c>
      <x:c r="H1026" s="6" t="n">
        <x:v>162.5</x:v>
      </x:c>
      <x:c r="I1026" s="5" t="n"/>
      <x:c r="J1026" s="5" t="inlineStr">
        <x:is>
          <x:t xml:space="preserve">무진화</x:t>
        </x:is>
      </x:c>
      <x:c r="K1026" s="7" t="inlineStr">
        <x:is>
          <x:t xml:space="preserve">육상</x:t>
        </x:is>
      </x:c>
      <x:c r="L1026" s="7" t="inlineStr">
        <x:is>
          <x:t xml:space="preserve">수목</x:t>
        </x:is>
      </x:c>
      <x:c r="M1026" s="7" t="inlineStr">
        <x:is>
          <x:t xml:space="preserve">온대</x:t>
        </x:is>
      </x:c>
      <x:c r="N1026" s="7" t="inlineStr">
        <x:is>
          <x:t xml:space="preserve">보통</x:t>
        </x:is>
      </x:c>
      <x:c r="O1026" s="7" t="inlineStr">
        <x:is>
          <x:t xml:space="preserve">무관</x:t>
        </x:is>
      </x:c>
      <x:c r="P1026" s="7" t="inlineStr">
        <x:is>
          <x:t xml:space="preserve">밤</x:t>
        </x:is>
      </x:c>
      <x:c r="Q1026" s="7" t="inlineStr">
        <x:is>
          <x:t xml:space="preserve">희귀</x:t>
        </x:is>
      </x:c>
      <x:c r="R1026" s="7" t="inlineStr">
        <x:is>
          <x:t xml:space="preserve">없음</x:t>
        </x:is>
      </x:c>
      <x:c r="S1026" s="7" t="inlineStr">
        <x:is>
          <x:t xml:space="preserve">숲</x:t>
        </x:is>
      </x:c>
      <x:c r="T1026" s="7" t="inlineStr">
        <x:is>
          <x:t xml:space="preserve"/>
        </x:is>
      </x:c>
      <x:c r="U1026" s="8" t="str">
        <x:f>INDEX('서식지_점수'!$E$4:$P$4,1,MATCH(MAX('서식지_점수'!E1026:P1026),'서식지_점수'!E1026:P1026,0))</x:f>
        <x:v>평원</x:v>
      </x:c>
      <x:c r="V1026" s="8" t="str">
        <x:f>IF(T1026&lt;&gt;"",T1026,U1026)</x:f>
        <x:v>평원</x:v>
      </x:c>
      <x:c r="W1026" s="8" t="str">
        <x:f>IFERROR(INDEX('서식지_점수'!$E$4:$P$4,1,MATCH(MAXIFS('서식지_점수'!E1026:P1026,'서식지_점수'!E1026:P1026,"&lt;"&amp;MAX('서식지_점수'!E1026:P1026)),'서식지_점수'!E1026:P1026,0)),"")</x:f>
        <x:v>숲</x:v>
      </x:c>
      <x:c r="X1026" s="8" t="str">
        <x:f>IF(T1026&lt;&gt;"","수동확정",IF(MAX('서식지_점수'!E1026:P1026)-LARGE('서식지_점수'!E1026:P1026,2)&gt;=15,"높음",IF(MAX('서식지_점수'!E1026:P1026)-LARGE('서식지_점수'!E1026:P1026,2)&gt;=8,"보통","검토필요")))</x:f>
        <x:v>검토필요</x:v>
      </x:c>
      <x:c r="Y1026" s="9" t="n">
        <x:f>IF(Q1026="전설",8,IF(Q1026="희귀",7,IF(J1026="기본",1,IF(J1026="중간",3,IF(J1026="최종",IF(I1026="",5,IF(I1026&lt;=20,3,IF(I1026&lt;=35,4,IF(I1026&lt;=50,6,7)))),IF(Q1026="드묾",4,2))))))</x:f>
        <x:v>7</x:v>
      </x:c>
      <x:c r="Z1026" s="5" t="inlineStr">
        <x:is>
          <x:t xml:space="preserve">minecraft:dark_forest</x:t>
        </x:is>
      </x:c>
      <x:c r="AA1026" s="5" t="inlineStr">
        <x:is>
          <x:t xml:space="preserve">ultra-rare</x:t>
        </x:is>
      </x:c>
      <x:c r="AB1026" s="5" t="inlineStr">
        <x:is>
          <x:t xml:space="preserve">아니오</x:t>
        </x:is>
      </x:c>
      <x:c r="AC1026" s="8" t="str">
        <x:f>IF(T1026&lt;&gt;"","수동확정",IF(X1026="검토필요","검토필요",IF(S1026="","원본없음","초기완료")))</x:f>
        <x:v>검토필요</x:v>
      </x:c>
      <x:c r="AD1026" s="7" t="inlineStr">
        <x:is>
          <x:t xml:space="preserve"/>
        </x:is>
      </x:c>
      <x:c r="AE1026" s="5" t="inlineStr">
        <x:is>
          <x:t xml:space="preserve">.tmp/cobblemon-1.7.3-source/common/src/main/resources/data/cobblemon/species/generation9/ironboulder.json</x:t>
        </x:is>
      </x:c>
      <x:c r="AF1026" s="5" t="str">
        <x:f>"생활권|"&amp;K1026</x:f>
        <x:v>생활권|육상</x:v>
      </x:c>
      <x:c r="AG1026" s="5" t="str">
        <x:f>"지형|"&amp;L1026</x:f>
        <x:v>지형|수목</x:v>
      </x:c>
      <x:c r="AH1026" s="5" t="str">
        <x:f>"온도|"&amp;M1026</x:f>
        <x:v>온도|온대</x:v>
      </x:c>
      <x:c r="AI1026" s="5" t="str">
        <x:f>"습도|"&amp;N1026</x:f>
        <x:v>습도|보통</x:v>
      </x:c>
      <x:c r="AJ1026" s="5" t="str">
        <x:f>"날씨|"&amp;O1026</x:f>
        <x:v>날씨|무관</x:v>
      </x:c>
      <x:c r="AK1026" s="5" t="str">
        <x:f>"특수태그|"&amp;R1026</x:f>
        <x:v>특수태그|없음</x:v>
      </x:c>
      <x:c r="AL1026" s="5" t="str">
        <x:f>"원본서식지|"&amp;S1026</x:f>
        <x:v>원본서식지|숲</x:v>
      </x:c>
      <x:c r="AM1026" s="5" t="str">
        <x:f>"타입|"&amp;F1026</x:f>
        <x:v>타입|바위</x:v>
      </x:c>
      <x:c r="AN1026" s="5" t="str">
        <x:f>"타입|"&amp;G1026</x:f>
        <x:v>타입|에스퍼</x:v>
      </x:c>
    </x:row>
    <x:row r="1027" ht="24" customHeight="1">
      <x:c r="A1027" s="5" t="n">
        <x:v>1023</x:v>
      </x:c>
      <x:c r="B1027" s="5" t="inlineStr">
        <x:is>
          <x:t xml:space="preserve">무쇠감투</x:t>
        </x:is>
      </x:c>
      <x:c r="C1027" s="5" t="inlineStr">
        <x:is>
          <x:t xml:space="preserve">ironcrown</x:t>
        </x:is>
      </x:c>
      <x:c r="D1027" s="5" t="inlineStr">
        <x:is>
          <x:t xml:space="preserve">Iron Crown</x:t>
        </x:is>
      </x:c>
      <x:c r="E1027" s="5" t="n">
        <x:v>9</x:v>
      </x:c>
      <x:c r="F1027" s="5" t="inlineStr">
        <x:is>
          <x:t xml:space="preserve">강철</x:t>
        </x:is>
      </x:c>
      <x:c r="G1027" s="5" t="inlineStr">
        <x:is>
          <x:t xml:space="preserve">에스퍼</x:t>
        </x:is>
      </x:c>
      <x:c r="H1027" s="6" t="n">
        <x:v>156</x:v>
      </x:c>
      <x:c r="I1027" s="5" t="n"/>
      <x:c r="J1027" s="5" t="inlineStr">
        <x:is>
          <x:t xml:space="preserve">무진화</x:t>
        </x:is>
      </x:c>
      <x:c r="K1027" s="7" t="inlineStr">
        <x:is>
          <x:t xml:space="preserve">육상</x:t>
        </x:is>
      </x:c>
      <x:c r="L1027" s="7" t="inlineStr">
        <x:is>
          <x:t xml:space="preserve">개활지</x:t>
        </x:is>
      </x:c>
      <x:c r="M1027" s="7" t="inlineStr">
        <x:is>
          <x:t xml:space="preserve">온대</x:t>
        </x:is>
      </x:c>
      <x:c r="N1027" s="7" t="inlineStr">
        <x:is>
          <x:t xml:space="preserve">보통</x:t>
        </x:is>
      </x:c>
      <x:c r="O1027" s="7" t="inlineStr">
        <x:is>
          <x:t xml:space="preserve">무관</x:t>
        </x:is>
      </x:c>
      <x:c r="P1027" s="7" t="inlineStr">
        <x:is>
          <x:t xml:space="preserve">밤</x:t>
        </x:is>
      </x:c>
      <x:c r="Q1027" s="7" t="inlineStr">
        <x:is>
          <x:t xml:space="preserve">희귀</x:t>
        </x:is>
      </x:c>
      <x:c r="R1027" s="7" t="inlineStr">
        <x:is>
          <x:t xml:space="preserve">없음</x:t>
        </x:is>
      </x:c>
      <x:c r="S1027" s="7" t="inlineStr">
        <x:is>
          <x:t xml:space="preserve"/>
        </x:is>
      </x:c>
      <x:c r="T1027" s="7" t="inlineStr">
        <x:is>
          <x:t xml:space="preserve"/>
        </x:is>
      </x:c>
      <x:c r="U1027" s="8" t="str">
        <x:f>INDEX('서식지_점수'!$E$4:$P$4,1,MATCH(MAX('서식지_점수'!E1027:P1027),'서식지_점수'!E1027:P1027,0))</x:f>
        <x:v>평원</x:v>
      </x:c>
      <x:c r="V1027" s="8" t="str">
        <x:f>IF(T1027&lt;&gt;"",T1027,U1027)</x:f>
        <x:v>평원</x:v>
      </x:c>
      <x:c r="W1027" s="8" t="str">
        <x:f>IFERROR(INDEX('서식지_점수'!$E$4:$P$4,1,MATCH(MAXIFS('서식지_점수'!E1027:P1027,'서식지_점수'!E1027:P1027,"&lt;"&amp;MAX('서식지_점수'!E1027:P1027)),'서식지_점수'!E1027:P1027,0)),"")</x:f>
        <x:v>숲</x:v>
      </x:c>
      <x:c r="X1027" s="8" t="str">
        <x:f>IF(T1027&lt;&gt;"","수동확정",IF(MAX('서식지_점수'!E1027:P1027)-LARGE('서식지_점수'!E1027:P1027,2)&gt;=15,"높음",IF(MAX('서식지_점수'!E1027:P1027)-LARGE('서식지_점수'!E1027:P1027,2)&gt;=8,"보통","검토필요")))</x:f>
        <x:v>검토필요</x:v>
      </x:c>
      <x:c r="Y1027" s="9" t="n">
        <x:f>IF(Q1027="전설",8,IF(Q1027="희귀",7,IF(J1027="기본",1,IF(J1027="중간",3,IF(J1027="최종",IF(I1027="",5,IF(I1027&lt;=20,3,IF(I1027&lt;=35,4,IF(I1027&lt;=50,6,7)))),IF(Q1027="드묾",4,2))))))</x:f>
        <x:v>7</x:v>
      </x:c>
      <x:c r="Z1027" s="5" t="inlineStr">
        <x:is>
          <x:t xml:space="preserve">#cobblemon:is_lush</x:t>
        </x:is>
      </x:c>
      <x:c r="AA1027" s="5" t="inlineStr">
        <x:is>
          <x:t xml:space="preserve">ultra-rare</x:t>
        </x:is>
      </x:c>
      <x:c r="AB1027" s="5" t="inlineStr">
        <x:is>
          <x:t xml:space="preserve">아니오</x:t>
        </x:is>
      </x:c>
      <x:c r="AC1027" s="8" t="str">
        <x:f>IF(T1027&lt;&gt;"","수동확정",IF(X1027="검토필요","검토필요",IF(S1027="","원본없음","초기완료")))</x:f>
        <x:v>검토필요</x:v>
      </x:c>
      <x:c r="AD1027" s="7" t="inlineStr">
        <x:is>
          <x:t xml:space="preserve"/>
        </x:is>
      </x:c>
      <x:c r="AE1027" s="5" t="inlineStr">
        <x:is>
          <x:t xml:space="preserve">.tmp/cobblemon-1.7.3-source/common/src/main/resources/data/cobblemon/species/generation9/ironcrown.json</x:t>
        </x:is>
      </x:c>
      <x:c r="AF1027" s="5" t="str">
        <x:f>"생활권|"&amp;K1027</x:f>
        <x:v>생활권|육상</x:v>
      </x:c>
      <x:c r="AG1027" s="5" t="str">
        <x:f>"지형|"&amp;L1027</x:f>
        <x:v>지형|개활지</x:v>
      </x:c>
      <x:c r="AH1027" s="5" t="str">
        <x:f>"온도|"&amp;M1027</x:f>
        <x:v>온도|온대</x:v>
      </x:c>
      <x:c r="AI1027" s="5" t="str">
        <x:f>"습도|"&amp;N1027</x:f>
        <x:v>습도|보통</x:v>
      </x:c>
      <x:c r="AJ1027" s="5" t="str">
        <x:f>"날씨|"&amp;O1027</x:f>
        <x:v>날씨|무관</x:v>
      </x:c>
      <x:c r="AK1027" s="5" t="str">
        <x:f>"특수태그|"&amp;R1027</x:f>
        <x:v>특수태그|없음</x:v>
      </x:c>
      <x:c r="AL1027" s="5" t="str">
        <x:f>"원본서식지|"&amp;S1027</x:f>
        <x:v>원본서식지|</x:v>
      </x:c>
      <x:c r="AM1027" s="5" t="str">
        <x:f>"타입|"&amp;F1027</x:f>
        <x:v>타입|강철</x:v>
      </x:c>
      <x:c r="AN1027" s="5" t="str">
        <x:f>"타입|"&amp;G1027</x:f>
        <x:v>타입|에스퍼</x:v>
      </x:c>
    </x:row>
    <x:row r="1028" ht="24" customHeight="1">
      <x:c r="A1028" s="5" t="n">
        <x:v>1024</x:v>
      </x:c>
      <x:c r="B1028" s="5" t="inlineStr">
        <x:is>
          <x:t xml:space="preserve">테라파고스</x:t>
        </x:is>
      </x:c>
      <x:c r="C1028" s="5" t="inlineStr">
        <x:is>
          <x:t xml:space="preserve">terapagos</x:t>
        </x:is>
      </x:c>
      <x:c r="D1028" s="5" t="inlineStr">
        <x:is>
          <x:t xml:space="preserve">Terapagos</x:t>
        </x:is>
      </x:c>
      <x:c r="E1028" s="5" t="n">
        <x:v>9</x:v>
      </x:c>
      <x:c r="F1028" s="5" t="inlineStr">
        <x:is>
          <x:t xml:space="preserve">노말</x:t>
        </x:is>
      </x:c>
      <x:c r="G1028" s="5" t="inlineStr">
        <x:is>
          <x:t xml:space="preserve"/>
        </x:is>
      </x:c>
      <x:c r="H1028" s="6" t="n">
        <x:v>6.5</x:v>
      </x:c>
      <x:c r="I1028" s="5" t="n"/>
      <x:c r="J1028" s="5" t="inlineStr">
        <x:is>
          <x:t xml:space="preserve">무진화</x:t>
        </x:is>
      </x:c>
      <x:c r="K1028" s="7" t="inlineStr">
        <x:is>
          <x:t xml:space="preserve">육상</x:t>
        </x:is>
      </x:c>
      <x:c r="L1028" s="7" t="inlineStr">
        <x:is>
          <x:t xml:space="preserve">동굴</x:t>
        </x:is>
      </x:c>
      <x:c r="M1028" s="7" t="inlineStr">
        <x:is>
          <x:t xml:space="preserve">온대</x:t>
        </x:is>
      </x:c>
      <x:c r="N1028" s="7" t="inlineStr">
        <x:is>
          <x:t xml:space="preserve">보통</x:t>
        </x:is>
      </x:c>
      <x:c r="O1028" s="7" t="inlineStr">
        <x:is>
          <x:t xml:space="preserve">무관</x:t>
        </x:is>
      </x:c>
      <x:c r="P1028" s="7" t="inlineStr">
        <x:is>
          <x:t xml:space="preserve">무관</x:t>
        </x:is>
      </x:c>
      <x:c r="Q1028" s="7" t="inlineStr">
        <x:is>
          <x:t xml:space="preserve">전설</x:t>
        </x:is>
      </x:c>
      <x:c r="R1028" s="7" t="inlineStr">
        <x:is>
          <x:t xml:space="preserve">전설</x:t>
        </x:is>
      </x:c>
      <x:c r="S1028" s="7" t="inlineStr">
        <x:is>
          <x:t xml:space="preserve">동굴</x:t>
        </x:is>
      </x:c>
      <x:c r="T1028" s="7" t="inlineStr">
        <x:is>
          <x:t xml:space="preserve"/>
        </x:is>
      </x:c>
      <x:c r="U1028" s="8" t="str">
        <x:f>INDEX('서식지_점수'!$E$4:$P$4,1,MATCH(MAX('서식지_점수'!E1028:P1028),'서식지_점수'!E1028:P1028,0))</x:f>
        <x:v>평원</x:v>
      </x:c>
      <x:c r="V1028" s="8" t="str">
        <x:f>IF(T1028&lt;&gt;"",T1028,U1028)</x:f>
        <x:v>평원</x:v>
      </x:c>
      <x:c r="W1028" s="8" t="str">
        <x:f>IFERROR(INDEX('서식지_점수'!$E$4:$P$4,1,MATCH(MAXIFS('서식지_점수'!E1028:P1028,'서식지_점수'!E1028:P1028,"&lt;"&amp;MAX('서식지_점수'!E1028:P1028)),'서식지_점수'!E1028:P1028,0)),"")</x:f>
        <x:v>숲</x:v>
      </x:c>
      <x:c r="X1028" s="8" t="str">
        <x:f>IF(T1028&lt;&gt;"","수동확정",IF(MAX('서식지_점수'!E1028:P1028)-LARGE('서식지_점수'!E1028:P1028,2)&gt;=15,"높음",IF(MAX('서식지_점수'!E1028:P1028)-LARGE('서식지_점수'!E1028:P1028,2)&gt;=8,"보통","검토필요")))</x:f>
        <x:v>검토필요</x:v>
      </x:c>
      <x:c r="Y1028" s="9" t="n">
        <x:f>IF(Q1028="전설",8,IF(Q1028="희귀",7,IF(J1028="기본",1,IF(J1028="중간",3,IF(J1028="최종",IF(I1028="",5,IF(I1028&lt;=20,3,IF(I1028&lt;=35,4,IF(I1028&lt;=50,6,7)))),IF(Q1028="드묾",4,2))))))</x:f>
        <x:v>8</x:v>
      </x:c>
      <x:c r="Z1028" s="5" t="inlineStr">
        <x:is>
          <x:t xml:space="preserve">#cobblemon:is_cave</x:t>
        </x:is>
      </x:c>
      <x:c r="AA1028" s="5" t="inlineStr">
        <x:is>
          <x:t xml:space="preserve">ultra-rare</x:t>
        </x:is>
      </x:c>
      <x:c r="AB1028" s="5" t="inlineStr">
        <x:is>
          <x:t xml:space="preserve">아니오</x:t>
        </x:is>
      </x:c>
      <x:c r="AC1028" s="8" t="str">
        <x:f>IF(T1028&lt;&gt;"","수동확정",IF(X1028="검토필요","검토필요",IF(S1028="","원본없음","초기완료")))</x:f>
        <x:v>검토필요</x:v>
      </x:c>
      <x:c r="AD1028" s="7" t="inlineStr">
        <x:is>
          <x:t xml:space="preserve"/>
        </x:is>
      </x:c>
      <x:c r="AE1028" s="5" t="inlineStr">
        <x:is>
          <x:t xml:space="preserve">.tmp/cobblemon-1.7.3-source/common/src/main/resources/data/cobblemon/species/generation9/terapagos.json</x:t>
        </x:is>
      </x:c>
      <x:c r="AF1028" s="5" t="str">
        <x:f>"생활권|"&amp;K1028</x:f>
        <x:v>생활권|육상</x:v>
      </x:c>
      <x:c r="AG1028" s="5" t="str">
        <x:f>"지형|"&amp;L1028</x:f>
        <x:v>지형|동굴</x:v>
      </x:c>
      <x:c r="AH1028" s="5" t="str">
        <x:f>"온도|"&amp;M1028</x:f>
        <x:v>온도|온대</x:v>
      </x:c>
      <x:c r="AI1028" s="5" t="str">
        <x:f>"습도|"&amp;N1028</x:f>
        <x:v>습도|보통</x:v>
      </x:c>
      <x:c r="AJ1028" s="5" t="str">
        <x:f>"날씨|"&amp;O1028</x:f>
        <x:v>날씨|무관</x:v>
      </x:c>
      <x:c r="AK1028" s="5" t="str">
        <x:f>"특수태그|"&amp;R1028</x:f>
        <x:v>특수태그|전설</x:v>
      </x:c>
      <x:c r="AL1028" s="5" t="str">
        <x:f>"원본서식지|"&amp;S1028</x:f>
        <x:v>원본서식지|동굴</x:v>
      </x:c>
      <x:c r="AM1028" s="5" t="str">
        <x:f>"타입|"&amp;F1028</x:f>
        <x:v>타입|노말</x:v>
      </x:c>
      <x:c r="AN1028" s="5" t="str">
        <x:f>"타입|"&amp;G1028</x:f>
        <x:v>타입|</x:v>
      </x:c>
    </x:row>
    <x:row r="1029" ht="24" customHeight="1">
      <x:c r="A1029" s="5" t="n">
        <x:v>1025</x:v>
      </x:c>
      <x:c r="B1029" s="5" t="inlineStr">
        <x:is>
          <x:t xml:space="preserve">복숭악동</x:t>
        </x:is>
      </x:c>
      <x:c r="C1029" s="5" t="inlineStr">
        <x:is>
          <x:t xml:space="preserve">pecharunt</x:t>
        </x:is>
      </x:c>
      <x:c r="D1029" s="5" t="inlineStr">
        <x:is>
          <x:t xml:space="preserve">Pecharunt</x:t>
        </x:is>
      </x:c>
      <x:c r="E1029" s="5" t="n">
        <x:v>9</x:v>
      </x:c>
      <x:c r="F1029" s="5" t="inlineStr">
        <x:is>
          <x:t xml:space="preserve">독</x:t>
        </x:is>
      </x:c>
      <x:c r="G1029" s="5" t="inlineStr">
        <x:is>
          <x:t xml:space="preserve">고스트</x:t>
        </x:is>
      </x:c>
      <x:c r="H1029" s="6" t="n">
        <x:v>0.3</x:v>
      </x:c>
      <x:c r="I1029" s="5" t="n"/>
      <x:c r="J1029" s="5" t="inlineStr">
        <x:is>
          <x:t xml:space="preserve">무진화</x:t>
        </x:is>
      </x:c>
      <x:c r="K1029" s="7" t="inlineStr">
        <x:is>
          <x:t xml:space="preserve">영체</x:t>
        </x:is>
      </x:c>
      <x:c r="L1029" s="7" t="inlineStr">
        <x:is>
          <x:t xml:space="preserve">특수</x:t>
        </x:is>
      </x:c>
      <x:c r="M1029" s="7" t="inlineStr">
        <x:is>
          <x:t xml:space="preserve">온대</x:t>
        </x:is>
      </x:c>
      <x:c r="N1029" s="7" t="inlineStr">
        <x:is>
          <x:t xml:space="preserve">보통</x:t>
        </x:is>
      </x:c>
      <x:c r="O1029" s="7" t="inlineStr">
        <x:is>
          <x:t xml:space="preserve">안개</x:t>
        </x:is>
      </x:c>
      <x:c r="P1029" s="7" t="inlineStr">
        <x:is>
          <x:t xml:space="preserve">밤</x:t>
        </x:is>
      </x:c>
      <x:c r="Q1029" s="7" t="inlineStr">
        <x:is>
          <x:t xml:space="preserve">전설</x:t>
        </x:is>
      </x:c>
      <x:c r="R1029" s="7" t="inlineStr">
        <x:is>
          <x:t xml:space="preserve">전설</x:t>
        </x:is>
      </x:c>
      <x:c r="S1029" s="7" t="inlineStr">
        <x:is>
          <x:t xml:space="preserve">특수</x:t>
        </x:is>
      </x:c>
      <x:c r="T1029" s="7" t="inlineStr">
        <x:is>
          <x:t xml:space="preserve"/>
        </x:is>
      </x:c>
      <x:c r="U1029" s="8" t="str">
        <x:f>INDEX('서식지_점수'!$E$4:$P$4,1,MATCH(MAX('서식지_점수'!E1029:P1029),'서식지_점수'!E1029:P1029,0))</x:f>
        <x:v>특수</x:v>
      </x:c>
      <x:c r="V1029" s="8" t="str">
        <x:f>IF(T1029&lt;&gt;"",T1029,U1029)</x:f>
        <x:v>특수</x:v>
      </x:c>
      <x:c r="W1029" s="8" t="str">
        <x:f>IFERROR(INDEX('서식지_점수'!$E$4:$P$4,1,MATCH(MAXIFS('서식지_점수'!E1029:P1029,'서식지_점수'!E1029:P1029,"&lt;"&amp;MAX('서식지_점수'!E1029:P1029)),'서식지_점수'!E1029:P1029,0)),"")</x:f>
        <x:v>동굴</x:v>
      </x:c>
      <x:c r="X1029" s="8" t="str">
        <x:f>IF(T1029&lt;&gt;"","수동확정",IF(MAX('서식지_점수'!E1029:P1029)-LARGE('서식지_점수'!E1029:P1029,2)&gt;=15,"높음",IF(MAX('서식지_점수'!E1029:P1029)-LARGE('서식지_점수'!E1029:P1029,2)&gt;=8,"보통","검토필요")))</x:f>
        <x:v>높음</x:v>
      </x:c>
      <x:c r="Y1029" s="9" t="n">
        <x:f>IF(Q1029="전설",8,IF(Q1029="희귀",7,IF(J1029="기본",1,IF(J1029="중간",3,IF(J1029="최종",IF(I1029="",5,IF(I1029&lt;=20,3,IF(I1029&lt;=35,4,IF(I1029&lt;=50,6,7)))),IF(Q1029="드묾",4,2))))))</x:f>
        <x:v>8</x:v>
      </x:c>
      <x:c r="Z1029" s="5" t="inlineStr">
        <x:is>
          <x:t xml:space="preserve">#cobblemon:is_spooky</x:t>
        </x:is>
      </x:c>
      <x:c r="AA1029" s="5" t="inlineStr">
        <x:is>
          <x:t xml:space="preserve">ultra-rare</x:t>
        </x:is>
      </x:c>
      <x:c r="AB1029" s="5" t="inlineStr">
        <x:is>
          <x:t xml:space="preserve">아니오</x:t>
        </x:is>
      </x:c>
      <x:c r="AC1029" s="8" t="str">
        <x:f>IF(T1029&lt;&gt;"","수동확정",IF(X1029="검토필요","검토필요",IF(S1029="","원본없음","초기완료")))</x:f>
        <x:v>초기완료</x:v>
      </x:c>
      <x:c r="AD1029" s="7" t="inlineStr">
        <x:is>
          <x:t xml:space="preserve"/>
        </x:is>
      </x:c>
      <x:c r="AE1029" s="5" t="inlineStr">
        <x:is>
          <x:t xml:space="preserve">.tmp/cobblemon-1.7.3-source/common/src/main/resources/data/cobblemon/species/generation9/pecharunt.json</x:t>
        </x:is>
      </x:c>
      <x:c r="AF1029" s="5" t="str">
        <x:f>"생활권|"&amp;K1029</x:f>
        <x:v>생활권|영체</x:v>
      </x:c>
      <x:c r="AG1029" s="5" t="str">
        <x:f>"지형|"&amp;L1029</x:f>
        <x:v>지형|특수</x:v>
      </x:c>
      <x:c r="AH1029" s="5" t="str">
        <x:f>"온도|"&amp;M1029</x:f>
        <x:v>온도|온대</x:v>
      </x:c>
      <x:c r="AI1029" s="5" t="str">
        <x:f>"습도|"&amp;N1029</x:f>
        <x:v>습도|보통</x:v>
      </x:c>
      <x:c r="AJ1029" s="5" t="str">
        <x:f>"날씨|"&amp;O1029</x:f>
        <x:v>날씨|안개</x:v>
      </x:c>
      <x:c r="AK1029" s="5" t="str">
        <x:f>"특수태그|"&amp;R1029</x:f>
        <x:v>특수태그|전설</x:v>
      </x:c>
      <x:c r="AL1029" s="5" t="str">
        <x:f>"원본서식지|"&amp;S1029</x:f>
        <x:v>원본서식지|특수</x:v>
      </x:c>
      <x:c r="AM1029" s="5" t="str">
        <x:f>"타입|"&amp;F1029</x:f>
        <x:v>타입|독</x:v>
      </x:c>
      <x:c r="AN1029" s="5" t="str">
        <x:f>"타입|"&amp;G1029</x:f>
        <x:v>타입|고스트</x:v>
      </x:c>
    </x:row>
  </x:sheetData>
  <x:mergeCells>
    <x:mergeCell ref="A2:AN2"/>
    <x:mergeCell ref="A1:AN1"/>
  </x:mergeCells>
  <x:conditionalFormatting sqref="X5:X1029">
    <x:cfRule type="expression" dxfId="0" priority="1">
      <x:formula>$X5="검토필요"</x:formula>
    </x:cfRule>
  </x:conditionalFormatting>
  <x:conditionalFormatting sqref="AC5:AC1029">
    <x:cfRule type="expression" dxfId="1" priority="2">
      <x:formula>$AC5="수동확정"</x:formula>
    </x:cfRule>
    <x:cfRule type="expression" dxfId="0" priority="3">
      <x:formula>$AC5="검토필요"</x:formula>
    </x:cfRule>
  </x:conditionalFormatting>
  <x:dataValidations count="9">
    <x:dataValidation type="list" allowBlank="0" showDropDown="0" showInputMessage="0" showErrorMessage="0" errorTitle="허용되지 않은 값" error="목록에서 값을 선택하세요." promptTitle="편집 입력" prompt="드롭다운에서 값을 선택하면 서식지가 자동 재계산됩니다." sqref="K5:K1029">
      <x:formula1>'값_목록'!$A$5:$A$12</x:formula1>
    </x:dataValidation>
    <x:dataValidation type="list" allowBlank="0" showDropDown="0" showInputMessage="0" showErrorMessage="0" errorTitle="허용되지 않은 값" error="목록에서 값을 선택하세요." promptTitle="편집 입력" prompt="드롭다운에서 값을 선택하면 서식지가 자동 재계산됩니다." sqref="L5:L1029">
      <x:formula1>'값_목록'!$B$5:$B$16</x:formula1>
    </x:dataValidation>
    <x:dataValidation type="list" allowBlank="0" showDropDown="0" showInputMessage="0" showErrorMessage="0" errorTitle="허용되지 않은 값" error="목록에서 값을 선택하세요." promptTitle="편집 입력" prompt="드롭다운에서 값을 선택하면 서식지가 자동 재계산됩니다." sqref="M5:M1029">
      <x:formula1>'값_목록'!$C$5:$C$8</x:formula1>
    </x:dataValidation>
    <x:dataValidation type="list" allowBlank="0" showDropDown="0" showInputMessage="0" showErrorMessage="0" errorTitle="허용되지 않은 값" error="목록에서 값을 선택하세요." promptTitle="편집 입력" prompt="드롭다운에서 값을 선택하면 서식지가 자동 재계산됩니다." sqref="N5:N1029">
      <x:formula1>'값_목록'!$D$5:$D$8</x:formula1>
    </x:dataValidation>
    <x:dataValidation type="list" allowBlank="0" showDropDown="0" showInputMessage="0" showErrorMessage="0" errorTitle="허용되지 않은 값" error="목록에서 값을 선택하세요." promptTitle="편집 입력" prompt="드롭다운에서 값을 선택하면 서식지가 자동 재계산됩니다." sqref="O5:O1029">
      <x:formula1>'값_목록'!$E$5:$E$10</x:formula1>
    </x:dataValidation>
    <x:dataValidation type="list" allowBlank="0" showDropDown="0" showInputMessage="0" showErrorMessage="0" errorTitle="허용되지 않은 값" error="목록에서 값을 선택하세요." promptTitle="편집 입력" prompt="드롭다운에서 값을 선택하면 서식지가 자동 재계산됩니다." sqref="P5:P1029">
      <x:formula1>'값_목록'!$F$5:$F$8</x:formula1>
    </x:dataValidation>
    <x:dataValidation type="list" allowBlank="0" showDropDown="0" showInputMessage="0" showErrorMessage="0" errorTitle="허용되지 않은 값" error="목록에서 값을 선택하세요." promptTitle="편집 입력" prompt="드롭다운에서 값을 선택하면 서식지가 자동 재계산됩니다." sqref="Q5:Q1029">
      <x:formula1>'값_목록'!$G$5:$G$9</x:formula1>
    </x:dataValidation>
    <x:dataValidation type="list" allowBlank="0" showDropDown="0" showInputMessage="0" showErrorMessage="0" errorTitle="허용되지 않은 값" error="목록에서 값을 선택하세요." promptTitle="편집 입력" prompt="드롭다운에서 값을 선택하면 서식지가 자동 재계산됩니다." sqref="R5:R1029">
      <x:formula1>'값_목록'!$H$5:$H$12</x:formula1>
    </x:dataValidation>
    <x:dataValidation type="list" allowBlank="0" showDropDown="0" showInputMessage="0" showErrorMessage="0" errorTitle="허용되지 않은 값" error="목록에서 값을 선택하세요." promptTitle="편집 입력" prompt="드롭다운에서 값을 선택하면 서식지가 자동 재계산됩니다." sqref="T5:T1029">
      <x:formula1>'값_목록'!$I$5:$I$16</x:formula1>
    </x:dataValidation>
  </x:dataValidations>
  <x:pageMargins left="0.7" right="0.7" top="0.75" bottom="0.75" header="0.3" footer="0.3"/>
  <x:legacyDrawing xmlns:r="http://schemas.openxmlformats.org/officeDocument/2006/relationships" r:id="Re10ecca9c77e4c0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customWidth="1"/>
    <x:col min="2" max="2" width="14" customWidth="1"/>
    <x:col min="3" max="3" width="17" customWidth="1"/>
    <x:col min="4" max="4" width="7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</x:cols>
  <x:sheetData>
    <x:row r="1" ht="30" customHeight="1">
      <x:c r="A1" s="1" t="inlineStr">
        <x:is>
          <x:t xml:space="preserve">포켓몬별 서식지 점수</x:t>
        </x:is>
      </x:c>
    </x:row>
    <x:row r="2" ht="32" customHeight="1">
      <x:c r="A2" s="2" t="inlineStr">
        <x:is>
          <x:t xml:space="preserve">포켓몬_편집의 입력값과 분류_규칙을 SUMIFS로 결합한 감사용 계산 시트입니다.</x:t>
        </x:is>
      </x:c>
    </x:row>
    <x:row r="4" ht="36" customHeight="1">
      <x:c r="A4" s="3" t="inlineStr">
        <x:is>
          <x:t xml:space="preserve">덱스번호</x:t>
        </x:is>
      </x:c>
      <x:c r="B4" s="3" t="inlineStr">
        <x:is>
          <x:t xml:space="preserve">한글명</x:t>
        </x:is>
      </x:c>
      <x:c r="C4" s="3" t="inlineStr">
        <x:is>
          <x:t xml:space="preserve">영문ID</x:t>
        </x:is>
      </x:c>
      <x:c r="D4" s="3" t="inlineStr">
        <x:is>
          <x:t xml:space="preserve">세대</x:t>
        </x:is>
      </x:c>
      <x:c r="E4" s="3" t="inlineStr">
        <x:is>
          <x:t xml:space="preserve">평원</x:t>
        </x:is>
      </x:c>
      <x:c r="F4" s="3" t="inlineStr">
        <x:is>
          <x:t xml:space="preserve">숲</x:t>
        </x:is>
      </x:c>
      <x:c r="G4" s="3" t="inlineStr">
        <x:is>
          <x:t xml:space="preserve">건조지</x:t>
        </x:is>
      </x:c>
      <x:c r="H4" s="3" t="inlineStr">
        <x:is>
          <x:t xml:space="preserve">산악</x:t>
        </x:is>
      </x:c>
      <x:c r="I4" s="3" t="inlineStr">
        <x:is>
          <x:t xml:space="preserve">동굴</x:t>
        </x:is>
      </x:c>
      <x:c r="J4" s="3" t="inlineStr">
        <x:is>
          <x:t xml:space="preserve">습지</x:t>
        </x:is>
      </x:c>
      <x:c r="K4" s="3" t="inlineStr">
        <x:is>
          <x:t xml:space="preserve">담수</x:t>
        </x:is>
      </x:c>
      <x:c r="L4" s="3" t="inlineStr">
        <x:is>
          <x:t xml:space="preserve">해양</x:t>
        </x:is>
      </x:c>
      <x:c r="M4" s="3" t="inlineStr">
        <x:is>
          <x:t xml:space="preserve">설원</x:t>
        </x:is>
      </x:c>
      <x:c r="N4" s="3" t="inlineStr">
        <x:is>
          <x:t xml:space="preserve">화산</x:t>
        </x:is>
      </x:c>
      <x:c r="O4" s="3" t="inlineStr">
        <x:is>
          <x:t xml:space="preserve">도시</x:t>
        </x:is>
      </x:c>
      <x:c r="P4" s="3" t="inlineStr">
        <x:is>
          <x:t xml:space="preserve">특수</x:t>
        </x:is>
      </x:c>
    </x:row>
    <x:row r="5" ht="22" customHeight="1">
      <x:c r="A5" s="5" t="n">
        <x:v>1</x:v>
      </x:c>
      <x:c r="B5" s="5" t="inlineStr">
        <x:is>
          <x:t xml:space="preserve">이상해씨</x:t>
        </x:is>
      </x:c>
      <x:c r="C5" s="5" t="inlineStr">
        <x:is>
          <x:t xml:space="preserve">bulbasaur</x:t>
        </x:is>
      </x:c>
      <x:c r="D5" s="5" t="n">
        <x:v>1</x:v>
      </x:c>
      <x:c r="E5" s="10" t="n">
        <x:f>SUM(XLOOKUP('포켓몬_편집'!$AF5:$AN5,'분류_규칙'!$A$5:$A$76,'분류_규칙'!$E$5:$E$76,0))</x:f>
        <x:v>10</x:v>
      </x:c>
      <x:c r="F5" s="10" t="n">
        <x:f>SUM(XLOOKUP('포켓몬_편집'!$AF5:$AN5,'분류_규칙'!$A$5:$A$76,'분류_규칙'!$F$5:$F$76,0))</x:f>
        <x:v>7</x:v>
      </x:c>
      <x:c r="G5" s="10" t="n">
        <x:f>SUM(XLOOKUP('포켓몬_편집'!$AF5:$AN5,'분류_규칙'!$A$5:$A$76,'분류_규칙'!$G$5:$G$76,0))</x:f>
        <x:v>5</x:v>
      </x:c>
      <x:c r="H5" s="10" t="n">
        <x:f>SUM(XLOOKUP('포켓몬_편집'!$AF5:$AN5,'분류_규칙'!$A$5:$A$76,'분류_규칙'!$H$5:$H$76,0))</x:f>
        <x:v>5</x:v>
      </x:c>
      <x:c r="I5" s="10" t="n">
        <x:f>SUM(XLOOKUP('포켓몬_편집'!$AF5:$AN5,'분류_규칙'!$A$5:$A$76,'분류_규칙'!$I$5:$I$76,0))</x:f>
        <x:v>0</x:v>
      </x:c>
      <x:c r="J5" s="10" t="n">
        <x:f>SUM(XLOOKUP('포켓몬_편집'!$AF5:$AN5,'분류_규칙'!$A$5:$A$76,'분류_규칙'!$J$5:$J$76,0))</x:f>
        <x:v>2</x:v>
      </x:c>
      <x:c r="K5" s="10" t="n">
        <x:f>SUM(XLOOKUP('포켓몬_편집'!$AF5:$AN5,'분류_규칙'!$A$5:$A$76,'분류_규칙'!$K$5:$K$76,0))</x:f>
        <x:v>0</x:v>
      </x:c>
      <x:c r="L5" s="10" t="n">
        <x:f>SUM(XLOOKUP('포켓몬_편집'!$AF5:$AN5,'분류_규칙'!$A$5:$A$76,'분류_규칙'!$L$5:$L$76,0))</x:f>
        <x:v>0</x:v>
      </x:c>
      <x:c r="M5" s="10" t="n">
        <x:f>SUM(XLOOKUP('포켓몬_편집'!$AF5:$AN5,'분류_규칙'!$A$5:$A$76,'분류_규칙'!$M$5:$M$76,0))</x:f>
        <x:v>0</x:v>
      </x:c>
      <x:c r="N5" s="10" t="n">
        <x:f>SUM(XLOOKUP('포켓몬_편집'!$AF5:$AN5,'분류_규칙'!$A$5:$A$76,'분류_규칙'!$N$5:$N$76,0))</x:f>
        <x:v>0</x:v>
      </x:c>
      <x:c r="O5" s="10" t="n">
        <x:f>SUM(XLOOKUP('포켓몬_편집'!$AF5:$AN5,'분류_규칙'!$A$5:$A$76,'분류_규칙'!$O$5:$O$76,0))</x:f>
        <x:v>2</x:v>
      </x:c>
      <x:c r="P5" s="10" t="n">
        <x:f>SUM(XLOOKUP('포켓몬_편집'!$AF5:$AN5,'분류_규칙'!$A$5:$A$76,'분류_규칙'!$P$5:$P$76,0))</x:f>
        <x:v>0</x:v>
      </x:c>
    </x:row>
    <x:row r="6" ht="22" customHeight="1">
      <x:c r="A6" s="5" t="n">
        <x:v>2</x:v>
      </x:c>
      <x:c r="B6" s="5" t="inlineStr">
        <x:is>
          <x:t xml:space="preserve">이상해풀</x:t>
        </x:is>
      </x:c>
      <x:c r="C6" s="5" t="inlineStr">
        <x:is>
          <x:t xml:space="preserve">ivysaur</x:t>
        </x:is>
      </x:c>
      <x:c r="D6" s="5" t="n">
        <x:v>1</x:v>
      </x:c>
      <x:c r="E6" s="10" t="n">
        <x:f>SUM(XLOOKUP('포켓몬_편집'!$AF6:$AN6,'분류_규칙'!$A$5:$A$76,'분류_규칙'!$E$5:$E$76,0))</x:f>
        <x:v>10</x:v>
      </x:c>
      <x:c r="F6" s="10" t="n">
        <x:f>SUM(XLOOKUP('포켓몬_편집'!$AF6:$AN6,'분류_규칙'!$A$5:$A$76,'분류_규칙'!$F$5:$F$76,0))</x:f>
        <x:v>7</x:v>
      </x:c>
      <x:c r="G6" s="10" t="n">
        <x:f>SUM(XLOOKUP('포켓몬_편집'!$AF6:$AN6,'분류_규칙'!$A$5:$A$76,'분류_규칙'!$G$5:$G$76,0))</x:f>
        <x:v>5</x:v>
      </x:c>
      <x:c r="H6" s="10" t="n">
        <x:f>SUM(XLOOKUP('포켓몬_편집'!$AF6:$AN6,'분류_규칙'!$A$5:$A$76,'분류_규칙'!$H$5:$H$76,0))</x:f>
        <x:v>5</x:v>
      </x:c>
      <x:c r="I6" s="10" t="n">
        <x:f>SUM(XLOOKUP('포켓몬_편집'!$AF6:$AN6,'분류_규칙'!$A$5:$A$76,'분류_규칙'!$I$5:$I$76,0))</x:f>
        <x:v>0</x:v>
      </x:c>
      <x:c r="J6" s="10" t="n">
        <x:f>SUM(XLOOKUP('포켓몬_편집'!$AF6:$AN6,'분류_규칙'!$A$5:$A$76,'분류_규칙'!$J$5:$J$76,0))</x:f>
        <x:v>2</x:v>
      </x:c>
      <x:c r="K6" s="10" t="n">
        <x:f>SUM(XLOOKUP('포켓몬_편집'!$AF6:$AN6,'분류_규칙'!$A$5:$A$76,'분류_규칙'!$K$5:$K$76,0))</x:f>
        <x:v>0</x:v>
      </x:c>
      <x:c r="L6" s="10" t="n">
        <x:f>SUM(XLOOKUP('포켓몬_편집'!$AF6:$AN6,'분류_규칙'!$A$5:$A$76,'분류_규칙'!$L$5:$L$76,0))</x:f>
        <x:v>0</x:v>
      </x:c>
      <x:c r="M6" s="10" t="n">
        <x:f>SUM(XLOOKUP('포켓몬_편집'!$AF6:$AN6,'분류_규칙'!$A$5:$A$76,'분류_규칙'!$M$5:$M$76,0))</x:f>
        <x:v>0</x:v>
      </x:c>
      <x:c r="N6" s="10" t="n">
        <x:f>SUM(XLOOKUP('포켓몬_편집'!$AF6:$AN6,'분류_규칙'!$A$5:$A$76,'분류_규칙'!$N$5:$N$76,0))</x:f>
        <x:v>0</x:v>
      </x:c>
      <x:c r="O6" s="10" t="n">
        <x:f>SUM(XLOOKUP('포켓몬_편집'!$AF6:$AN6,'분류_규칙'!$A$5:$A$76,'분류_규칙'!$O$5:$O$76,0))</x:f>
        <x:v>2</x:v>
      </x:c>
      <x:c r="P6" s="10" t="n">
        <x:f>SUM(XLOOKUP('포켓몬_편집'!$AF6:$AN6,'분류_규칙'!$A$5:$A$76,'분류_규칙'!$P$5:$P$76,0))</x:f>
        <x:v>0</x:v>
      </x:c>
    </x:row>
    <x:row r="7" ht="22" customHeight="1">
      <x:c r="A7" s="5" t="n">
        <x:v>3</x:v>
      </x:c>
      <x:c r="B7" s="5" t="inlineStr">
        <x:is>
          <x:t xml:space="preserve">이상해꽃</x:t>
        </x:is>
      </x:c>
      <x:c r="C7" s="5" t="inlineStr">
        <x:is>
          <x:t xml:space="preserve">venusaur</x:t>
        </x:is>
      </x:c>
      <x:c r="D7" s="5" t="n">
        <x:v>1</x:v>
      </x:c>
      <x:c r="E7" s="10" t="n">
        <x:f>SUM(XLOOKUP('포켓몬_편집'!$AF7:$AN7,'분류_규칙'!$A$5:$A$76,'분류_규칙'!$E$5:$E$76,0))</x:f>
        <x:v>10</x:v>
      </x:c>
      <x:c r="F7" s="10" t="n">
        <x:f>SUM(XLOOKUP('포켓몬_편집'!$AF7:$AN7,'분류_규칙'!$A$5:$A$76,'분류_규칙'!$F$5:$F$76,0))</x:f>
        <x:v>7</x:v>
      </x:c>
      <x:c r="G7" s="10" t="n">
        <x:f>SUM(XLOOKUP('포켓몬_편집'!$AF7:$AN7,'분류_규칙'!$A$5:$A$76,'분류_규칙'!$G$5:$G$76,0))</x:f>
        <x:v>5</x:v>
      </x:c>
      <x:c r="H7" s="10" t="n">
        <x:f>SUM(XLOOKUP('포켓몬_편집'!$AF7:$AN7,'분류_규칙'!$A$5:$A$76,'분류_규칙'!$H$5:$H$76,0))</x:f>
        <x:v>5</x:v>
      </x:c>
      <x:c r="I7" s="10" t="n">
        <x:f>SUM(XLOOKUP('포켓몬_편집'!$AF7:$AN7,'분류_규칙'!$A$5:$A$76,'분류_규칙'!$I$5:$I$76,0))</x:f>
        <x:v>0</x:v>
      </x:c>
      <x:c r="J7" s="10" t="n">
        <x:f>SUM(XLOOKUP('포켓몬_편집'!$AF7:$AN7,'분류_규칙'!$A$5:$A$76,'분류_규칙'!$J$5:$J$76,0))</x:f>
        <x:v>2</x:v>
      </x:c>
      <x:c r="K7" s="10" t="n">
        <x:f>SUM(XLOOKUP('포켓몬_편집'!$AF7:$AN7,'분류_규칙'!$A$5:$A$76,'분류_규칙'!$K$5:$K$76,0))</x:f>
        <x:v>0</x:v>
      </x:c>
      <x:c r="L7" s="10" t="n">
        <x:f>SUM(XLOOKUP('포켓몬_편집'!$AF7:$AN7,'분류_규칙'!$A$5:$A$76,'분류_규칙'!$L$5:$L$76,0))</x:f>
        <x:v>0</x:v>
      </x:c>
      <x:c r="M7" s="10" t="n">
        <x:f>SUM(XLOOKUP('포켓몬_편집'!$AF7:$AN7,'분류_규칙'!$A$5:$A$76,'분류_규칙'!$M$5:$M$76,0))</x:f>
        <x:v>0</x:v>
      </x:c>
      <x:c r="N7" s="10" t="n">
        <x:f>SUM(XLOOKUP('포켓몬_편집'!$AF7:$AN7,'분류_규칙'!$A$5:$A$76,'분류_규칙'!$N$5:$N$76,0))</x:f>
        <x:v>0</x:v>
      </x:c>
      <x:c r="O7" s="10" t="n">
        <x:f>SUM(XLOOKUP('포켓몬_편집'!$AF7:$AN7,'분류_규칙'!$A$5:$A$76,'분류_규칙'!$O$5:$O$76,0))</x:f>
        <x:v>2</x:v>
      </x:c>
      <x:c r="P7" s="10" t="n">
        <x:f>SUM(XLOOKUP('포켓몬_편집'!$AF7:$AN7,'분류_규칙'!$A$5:$A$76,'분류_규칙'!$P$5:$P$76,0))</x:f>
        <x:v>0</x:v>
      </x:c>
    </x:row>
    <x:row r="8" ht="22" customHeight="1">
      <x:c r="A8" s="5" t="n">
        <x:v>4</x:v>
      </x:c>
      <x:c r="B8" s="5" t="inlineStr">
        <x:is>
          <x:t xml:space="preserve">파이리</x:t>
        </x:is>
      </x:c>
      <x:c r="C8" s="5" t="inlineStr">
        <x:is>
          <x:t xml:space="preserve">charmander</x:t>
        </x:is>
      </x:c>
      <x:c r="D8" s="5" t="n">
        <x:v>1</x:v>
      </x:c>
      <x:c r="E8" s="10" t="n">
        <x:f>SUM(XLOOKUP('포켓몬_편집'!$AF8:$AN8,'분류_규칙'!$A$5:$A$76,'분류_규칙'!$E$5:$E$76,0))</x:f>
        <x:v>10</x:v>
      </x:c>
      <x:c r="F8" s="10" t="n">
        <x:f>SUM(XLOOKUP('포켓몬_편집'!$AF8:$AN8,'분류_규칙'!$A$5:$A$76,'분류_규칙'!$F$5:$F$76,0))</x:f>
        <x:v>7</x:v>
      </x:c>
      <x:c r="G8" s="10" t="n">
        <x:f>SUM(XLOOKUP('포켓몬_편집'!$AF8:$AN8,'분류_규칙'!$A$5:$A$76,'분류_규칙'!$G$5:$G$76,0))</x:f>
        <x:v>5</x:v>
      </x:c>
      <x:c r="H8" s="10" t="n">
        <x:f>SUM(XLOOKUP('포켓몬_편집'!$AF8:$AN8,'분류_규칙'!$A$5:$A$76,'분류_규칙'!$H$5:$H$76,0))</x:f>
        <x:v>5</x:v>
      </x:c>
      <x:c r="I8" s="10" t="n">
        <x:f>SUM(XLOOKUP('포켓몬_편집'!$AF8:$AN8,'분류_규칙'!$A$5:$A$76,'분류_규칙'!$I$5:$I$76,0))</x:f>
        <x:v>0</x:v>
      </x:c>
      <x:c r="J8" s="10" t="n">
        <x:f>SUM(XLOOKUP('포켓몬_편집'!$AF8:$AN8,'분류_규칙'!$A$5:$A$76,'분류_규칙'!$J$5:$J$76,0))</x:f>
        <x:v>2</x:v>
      </x:c>
      <x:c r="K8" s="10" t="n">
        <x:f>SUM(XLOOKUP('포켓몬_편집'!$AF8:$AN8,'분류_규칙'!$A$5:$A$76,'분류_규칙'!$K$5:$K$76,0))</x:f>
        <x:v>0</x:v>
      </x:c>
      <x:c r="L8" s="10" t="n">
        <x:f>SUM(XLOOKUP('포켓몬_편집'!$AF8:$AN8,'분류_규칙'!$A$5:$A$76,'분류_규칙'!$L$5:$L$76,0))</x:f>
        <x:v>0</x:v>
      </x:c>
      <x:c r="M8" s="10" t="n">
        <x:f>SUM(XLOOKUP('포켓몬_편집'!$AF8:$AN8,'분류_규칙'!$A$5:$A$76,'분류_규칙'!$M$5:$M$76,0))</x:f>
        <x:v>0</x:v>
      </x:c>
      <x:c r="N8" s="10" t="n">
        <x:f>SUM(XLOOKUP('포켓몬_편집'!$AF8:$AN8,'분류_규칙'!$A$5:$A$76,'분류_규칙'!$N$5:$N$76,0))</x:f>
        <x:v>0</x:v>
      </x:c>
      <x:c r="O8" s="10" t="n">
        <x:f>SUM(XLOOKUP('포켓몬_편집'!$AF8:$AN8,'분류_규칙'!$A$5:$A$76,'분류_규칙'!$O$5:$O$76,0))</x:f>
        <x:v>2</x:v>
      </x:c>
      <x:c r="P8" s="10" t="n">
        <x:f>SUM(XLOOKUP('포켓몬_편집'!$AF8:$AN8,'분류_규칙'!$A$5:$A$76,'분류_규칙'!$P$5:$P$76,0))</x:f>
        <x:v>0</x:v>
      </x:c>
    </x:row>
    <x:row r="9" ht="22" customHeight="1">
      <x:c r="A9" s="5" t="n">
        <x:v>5</x:v>
      </x:c>
      <x:c r="B9" s="5" t="inlineStr">
        <x:is>
          <x:t xml:space="preserve">리자드</x:t>
        </x:is>
      </x:c>
      <x:c r="C9" s="5" t="inlineStr">
        <x:is>
          <x:t xml:space="preserve">charmeleon</x:t>
        </x:is>
      </x:c>
      <x:c r="D9" s="5" t="n">
        <x:v>1</x:v>
      </x:c>
      <x:c r="E9" s="10" t="n">
        <x:f>SUM(XLOOKUP('포켓몬_편집'!$AF9:$AN9,'분류_규칙'!$A$5:$A$76,'분류_규칙'!$E$5:$E$76,0))</x:f>
        <x:v>10</x:v>
      </x:c>
      <x:c r="F9" s="10" t="n">
        <x:f>SUM(XLOOKUP('포켓몬_편집'!$AF9:$AN9,'분류_규칙'!$A$5:$A$76,'분류_규칙'!$F$5:$F$76,0))</x:f>
        <x:v>7</x:v>
      </x:c>
      <x:c r="G9" s="10" t="n">
        <x:f>SUM(XLOOKUP('포켓몬_편집'!$AF9:$AN9,'분류_규칙'!$A$5:$A$76,'분류_규칙'!$G$5:$G$76,0))</x:f>
        <x:v>5</x:v>
      </x:c>
      <x:c r="H9" s="10" t="n">
        <x:f>SUM(XLOOKUP('포켓몬_편집'!$AF9:$AN9,'분류_규칙'!$A$5:$A$76,'분류_규칙'!$H$5:$H$76,0))</x:f>
        <x:v>5</x:v>
      </x:c>
      <x:c r="I9" s="10" t="n">
        <x:f>SUM(XLOOKUP('포켓몬_편집'!$AF9:$AN9,'분류_규칙'!$A$5:$A$76,'분류_규칙'!$I$5:$I$76,0))</x:f>
        <x:v>0</x:v>
      </x:c>
      <x:c r="J9" s="10" t="n">
        <x:f>SUM(XLOOKUP('포켓몬_편집'!$AF9:$AN9,'분류_규칙'!$A$5:$A$76,'분류_규칙'!$J$5:$J$76,0))</x:f>
        <x:v>2</x:v>
      </x:c>
      <x:c r="K9" s="10" t="n">
        <x:f>SUM(XLOOKUP('포켓몬_편집'!$AF9:$AN9,'분류_규칙'!$A$5:$A$76,'분류_규칙'!$K$5:$K$76,0))</x:f>
        <x:v>0</x:v>
      </x:c>
      <x:c r="L9" s="10" t="n">
        <x:f>SUM(XLOOKUP('포켓몬_편집'!$AF9:$AN9,'분류_규칙'!$A$5:$A$76,'분류_규칙'!$L$5:$L$76,0))</x:f>
        <x:v>0</x:v>
      </x:c>
      <x:c r="M9" s="10" t="n">
        <x:f>SUM(XLOOKUP('포켓몬_편집'!$AF9:$AN9,'분류_규칙'!$A$5:$A$76,'분류_규칙'!$M$5:$M$76,0))</x:f>
        <x:v>0</x:v>
      </x:c>
      <x:c r="N9" s="10" t="n">
        <x:f>SUM(XLOOKUP('포켓몬_편집'!$AF9:$AN9,'분류_규칙'!$A$5:$A$76,'분류_규칙'!$N$5:$N$76,0))</x:f>
        <x:v>0</x:v>
      </x:c>
      <x:c r="O9" s="10" t="n">
        <x:f>SUM(XLOOKUP('포켓몬_편집'!$AF9:$AN9,'분류_규칙'!$A$5:$A$76,'분류_규칙'!$O$5:$O$76,0))</x:f>
        <x:v>2</x:v>
      </x:c>
      <x:c r="P9" s="10" t="n">
        <x:f>SUM(XLOOKUP('포켓몬_편집'!$AF9:$AN9,'분류_규칙'!$A$5:$A$76,'분류_규칙'!$P$5:$P$76,0))</x:f>
        <x:v>0</x:v>
      </x:c>
    </x:row>
    <x:row r="10" ht="22" customHeight="1">
      <x:c r="A10" s="5" t="n">
        <x:v>6</x:v>
      </x:c>
      <x:c r="B10" s="5" t="inlineStr">
        <x:is>
          <x:t xml:space="preserve">리자몽</x:t>
        </x:is>
      </x:c>
      <x:c r="C10" s="5" t="inlineStr">
        <x:is>
          <x:t xml:space="preserve">charizard</x:t>
        </x:is>
      </x:c>
      <x:c r="D10" s="5" t="n">
        <x:v>1</x:v>
      </x:c>
      <x:c r="E10" s="10" t="n">
        <x:f>SUM(XLOOKUP('포켓몬_편집'!$AF10:$AN10,'분류_규칙'!$A$5:$A$76,'분류_규칙'!$E$5:$E$76,0))</x:f>
        <x:v>8</x:v>
      </x:c>
      <x:c r="F10" s="10" t="n">
        <x:f>SUM(XLOOKUP('포켓몬_편집'!$AF10:$AN10,'분류_규칙'!$A$5:$A$76,'분류_규칙'!$F$5:$F$76,0))</x:f>
        <x:v>8</x:v>
      </x:c>
      <x:c r="G10" s="10" t="n">
        <x:f>SUM(XLOOKUP('포켓몬_편집'!$AF10:$AN10,'분류_규칙'!$A$5:$A$76,'분류_규칙'!$G$5:$G$76,0))</x:f>
        <x:v>0</x:v>
      </x:c>
      <x:c r="H10" s="10" t="n">
        <x:f>SUM(XLOOKUP('포켓몬_편집'!$AF10:$AN10,'분류_규칙'!$A$5:$A$76,'분류_규칙'!$H$5:$H$76,0))</x:f>
        <x:v>12</x:v>
      </x:c>
      <x:c r="I10" s="10" t="n">
        <x:f>SUM(XLOOKUP('포켓몬_편집'!$AF10:$AN10,'분류_규칙'!$A$5:$A$76,'분류_규칙'!$I$5:$I$76,0))</x:f>
        <x:v>0</x:v>
      </x:c>
      <x:c r="J10" s="10" t="n">
        <x:f>SUM(XLOOKUP('포켓몬_편집'!$AF10:$AN10,'분류_규칙'!$A$5:$A$76,'분류_규칙'!$J$5:$J$76,0))</x:f>
        <x:v>0</x:v>
      </x:c>
      <x:c r="K10" s="10" t="n">
        <x:f>SUM(XLOOKUP('포켓몬_편집'!$AF10:$AN10,'분류_규칙'!$A$5:$A$76,'분류_규칙'!$K$5:$K$76,0))</x:f>
        <x:v>0</x:v>
      </x:c>
      <x:c r="L10" s="10" t="n">
        <x:f>SUM(XLOOKUP('포켓몬_편집'!$AF10:$AN10,'분류_규칙'!$A$5:$A$76,'분류_규칙'!$L$5:$L$76,0))</x:f>
        <x:v>3</x:v>
      </x:c>
      <x:c r="M10" s="10" t="n">
        <x:f>SUM(XLOOKUP('포켓몬_편집'!$AF10:$AN10,'분류_규칙'!$A$5:$A$76,'분류_규칙'!$M$5:$M$76,0))</x:f>
        <x:v>0</x:v>
      </x:c>
      <x:c r="N10" s="10" t="n">
        <x:f>SUM(XLOOKUP('포켓몬_편집'!$AF10:$AN10,'분류_규칙'!$A$5:$A$76,'분류_규칙'!$N$5:$N$76,0))</x:f>
        <x:v>0</x:v>
      </x:c>
      <x:c r="O10" s="10" t="n">
        <x:f>SUM(XLOOKUP('포켓몬_편집'!$AF10:$AN10,'분류_규칙'!$A$5:$A$76,'분류_규칙'!$O$5:$O$76,0))</x:f>
        <x:v>2</x:v>
      </x:c>
      <x:c r="P10" s="10" t="n">
        <x:f>SUM(XLOOKUP('포켓몬_편집'!$AF10:$AN10,'분류_규칙'!$A$5:$A$76,'분류_규칙'!$P$5:$P$76,0))</x:f>
        <x:v>0</x:v>
      </x:c>
    </x:row>
    <x:row r="11" ht="22" customHeight="1">
      <x:c r="A11" s="5" t="n">
        <x:v>7</x:v>
      </x:c>
      <x:c r="B11" s="5" t="inlineStr">
        <x:is>
          <x:t xml:space="preserve">꼬부기</x:t>
        </x:is>
      </x:c>
      <x:c r="C11" s="5" t="inlineStr">
        <x:is>
          <x:t xml:space="preserve">squirtle</x:t>
        </x:is>
      </x:c>
      <x:c r="D11" s="5" t="n">
        <x:v>1</x:v>
      </x:c>
      <x:c r="E11" s="10" t="n">
        <x:f>SUM(XLOOKUP('포켓몬_편집'!$AF11:$AN11,'분류_규칙'!$A$5:$A$76,'분류_규칙'!$E$5:$E$76,0))</x:f>
        <x:v>0</x:v>
      </x:c>
      <x:c r="F11" s="10" t="n">
        <x:f>SUM(XLOOKUP('포켓몬_편집'!$AF11:$AN11,'분류_규칙'!$A$5:$A$76,'분류_규칙'!$F$5:$F$76,0))</x:f>
        <x:v>0</x:v>
      </x:c>
      <x:c r="G11" s="10" t="n">
        <x:f>SUM(XLOOKUP('포켓몬_편집'!$AF11:$AN11,'분류_규칙'!$A$5:$A$76,'분류_규칙'!$G$5:$G$76,0))</x:f>
        <x:v>0</x:v>
      </x:c>
      <x:c r="H11" s="10" t="n">
        <x:f>SUM(XLOOKUP('포켓몬_편집'!$AF11:$AN11,'분류_규칙'!$A$5:$A$76,'분류_규칙'!$H$5:$H$76,0))</x:f>
        <x:v>0</x:v>
      </x:c>
      <x:c r="I11" s="10" t="n">
        <x:f>SUM(XLOOKUP('포켓몬_편집'!$AF11:$AN11,'분류_규칙'!$A$5:$A$76,'분류_규칙'!$I$5:$I$76,0))</x:f>
        <x:v>0</x:v>
      </x:c>
      <x:c r="J11" s="10" t="n">
        <x:f>SUM(XLOOKUP('포켓몬_편집'!$AF11:$AN11,'분류_규칙'!$A$5:$A$76,'분류_규칙'!$J$5:$J$76,0))</x:f>
        <x:v>12</x:v>
      </x:c>
      <x:c r="K11" s="10" t="n">
        <x:f>SUM(XLOOKUP('포켓몬_편집'!$AF11:$AN11,'분류_규칙'!$A$5:$A$76,'분류_규칙'!$K$5:$K$76,0))</x:f>
        <x:v>30</x:v>
      </x:c>
      <x:c r="L11" s="10" t="n">
        <x:f>SUM(XLOOKUP('포켓몬_편집'!$AF11:$AN11,'분류_규칙'!$A$5:$A$76,'분류_규칙'!$L$5:$L$76,0))</x:f>
        <x:v>0</x:v>
      </x:c>
      <x:c r="M11" s="10" t="n">
        <x:f>SUM(XLOOKUP('포켓몬_편집'!$AF11:$AN11,'분류_규칙'!$A$5:$A$76,'분류_규칙'!$M$5:$M$76,0))</x:f>
        <x:v>0</x:v>
      </x:c>
      <x:c r="N11" s="10" t="n">
        <x:f>SUM(XLOOKUP('포켓몬_편집'!$AF11:$AN11,'분류_규칙'!$A$5:$A$76,'분류_규칙'!$N$5:$N$76,0))</x:f>
        <x:v>0</x:v>
      </x:c>
      <x:c r="O11" s="10" t="n">
        <x:f>SUM(XLOOKUP('포켓몬_편집'!$AF11:$AN11,'분류_규칙'!$A$5:$A$76,'분류_규칙'!$O$5:$O$76,0))</x:f>
        <x:v>0</x:v>
      </x:c>
      <x:c r="P11" s="10" t="n">
        <x:f>SUM(XLOOKUP('포켓몬_편집'!$AF11:$AN11,'분류_규칙'!$A$5:$A$76,'분류_규칙'!$P$5:$P$76,0))</x:f>
        <x:v>0</x:v>
      </x:c>
    </x:row>
    <x:row r="12" ht="22" customHeight="1">
      <x:c r="A12" s="5" t="n">
        <x:v>8</x:v>
      </x:c>
      <x:c r="B12" s="5" t="inlineStr">
        <x:is>
          <x:t xml:space="preserve">어니부기</x:t>
        </x:is>
      </x:c>
      <x:c r="C12" s="5" t="inlineStr">
        <x:is>
          <x:t xml:space="preserve">wartortle</x:t>
        </x:is>
      </x:c>
      <x:c r="D12" s="5" t="n">
        <x:v>1</x:v>
      </x:c>
      <x:c r="E12" s="10" t="n">
        <x:f>SUM(XLOOKUP('포켓몬_편집'!$AF12:$AN12,'분류_규칙'!$A$5:$A$76,'분류_규칙'!$E$5:$E$76,0))</x:f>
        <x:v>0</x:v>
      </x:c>
      <x:c r="F12" s="10" t="n">
        <x:f>SUM(XLOOKUP('포켓몬_편집'!$AF12:$AN12,'분류_규칙'!$A$5:$A$76,'분류_규칙'!$F$5:$F$76,0))</x:f>
        <x:v>0</x:v>
      </x:c>
      <x:c r="G12" s="10" t="n">
        <x:f>SUM(XLOOKUP('포켓몬_편집'!$AF12:$AN12,'분류_규칙'!$A$5:$A$76,'분류_규칙'!$G$5:$G$76,0))</x:f>
        <x:v>0</x:v>
      </x:c>
      <x:c r="H12" s="10" t="n">
        <x:f>SUM(XLOOKUP('포켓몬_편집'!$AF12:$AN12,'분류_규칙'!$A$5:$A$76,'분류_규칙'!$H$5:$H$76,0))</x:f>
        <x:v>0</x:v>
      </x:c>
      <x:c r="I12" s="10" t="n">
        <x:f>SUM(XLOOKUP('포켓몬_편집'!$AF12:$AN12,'분류_규칙'!$A$5:$A$76,'분류_규칙'!$I$5:$I$76,0))</x:f>
        <x:v>0</x:v>
      </x:c>
      <x:c r="J12" s="10" t="n">
        <x:f>SUM(XLOOKUP('포켓몬_편집'!$AF12:$AN12,'분류_규칙'!$A$5:$A$76,'분류_규칙'!$J$5:$J$76,0))</x:f>
        <x:v>12</x:v>
      </x:c>
      <x:c r="K12" s="10" t="n">
        <x:f>SUM(XLOOKUP('포켓몬_편집'!$AF12:$AN12,'분류_규칙'!$A$5:$A$76,'분류_규칙'!$K$5:$K$76,0))</x:f>
        <x:v>30</x:v>
      </x:c>
      <x:c r="L12" s="10" t="n">
        <x:f>SUM(XLOOKUP('포켓몬_편집'!$AF12:$AN12,'분류_규칙'!$A$5:$A$76,'분류_규칙'!$L$5:$L$76,0))</x:f>
        <x:v>0</x:v>
      </x:c>
      <x:c r="M12" s="10" t="n">
        <x:f>SUM(XLOOKUP('포켓몬_편집'!$AF12:$AN12,'분류_규칙'!$A$5:$A$76,'분류_규칙'!$M$5:$M$76,0))</x:f>
        <x:v>0</x:v>
      </x:c>
      <x:c r="N12" s="10" t="n">
        <x:f>SUM(XLOOKUP('포켓몬_편집'!$AF12:$AN12,'분류_규칙'!$A$5:$A$76,'분류_규칙'!$N$5:$N$76,0))</x:f>
        <x:v>0</x:v>
      </x:c>
      <x:c r="O12" s="10" t="n">
        <x:f>SUM(XLOOKUP('포켓몬_편집'!$AF12:$AN12,'분류_규칙'!$A$5:$A$76,'분류_규칙'!$O$5:$O$76,0))</x:f>
        <x:v>0</x:v>
      </x:c>
      <x:c r="P12" s="10" t="n">
        <x:f>SUM(XLOOKUP('포켓몬_편집'!$AF12:$AN12,'분류_규칙'!$A$5:$A$76,'분류_규칙'!$P$5:$P$76,0))</x:f>
        <x:v>0</x:v>
      </x:c>
    </x:row>
    <x:row r="13" ht="22" customHeight="1">
      <x:c r="A13" s="5" t="n">
        <x:v>9</x:v>
      </x:c>
      <x:c r="B13" s="5" t="inlineStr">
        <x:is>
          <x:t xml:space="preserve">거북왕</x:t>
        </x:is>
      </x:c>
      <x:c r="C13" s="5" t="inlineStr">
        <x:is>
          <x:t xml:space="preserve">blastoise</x:t>
        </x:is>
      </x:c>
      <x:c r="D13" s="5" t="n">
        <x:v>1</x:v>
      </x:c>
      <x:c r="E13" s="10" t="n">
        <x:f>SUM(XLOOKUP('포켓몬_편집'!$AF13:$AN13,'분류_규칙'!$A$5:$A$76,'분류_규칙'!$E$5:$E$76,0))</x:f>
        <x:v>0</x:v>
      </x:c>
      <x:c r="F13" s="10" t="n">
        <x:f>SUM(XLOOKUP('포켓몬_편집'!$AF13:$AN13,'분류_규칙'!$A$5:$A$76,'분류_규칙'!$F$5:$F$76,0))</x:f>
        <x:v>0</x:v>
      </x:c>
      <x:c r="G13" s="10" t="n">
        <x:f>SUM(XLOOKUP('포켓몬_편집'!$AF13:$AN13,'분류_규칙'!$A$5:$A$76,'분류_규칙'!$G$5:$G$76,0))</x:f>
        <x:v>0</x:v>
      </x:c>
      <x:c r="H13" s="10" t="n">
        <x:f>SUM(XLOOKUP('포켓몬_편집'!$AF13:$AN13,'분류_규칙'!$A$5:$A$76,'분류_규칙'!$H$5:$H$76,0))</x:f>
        <x:v>0</x:v>
      </x:c>
      <x:c r="I13" s="10" t="n">
        <x:f>SUM(XLOOKUP('포켓몬_편집'!$AF13:$AN13,'분류_규칙'!$A$5:$A$76,'분류_규칙'!$I$5:$I$76,0))</x:f>
        <x:v>0</x:v>
      </x:c>
      <x:c r="J13" s="10" t="n">
        <x:f>SUM(XLOOKUP('포켓몬_편집'!$AF13:$AN13,'분류_규칙'!$A$5:$A$76,'분류_규칙'!$J$5:$J$76,0))</x:f>
        <x:v>12</x:v>
      </x:c>
      <x:c r="K13" s="10" t="n">
        <x:f>SUM(XLOOKUP('포켓몬_편집'!$AF13:$AN13,'분류_규칙'!$A$5:$A$76,'분류_규칙'!$K$5:$K$76,0))</x:f>
        <x:v>30</x:v>
      </x:c>
      <x:c r="L13" s="10" t="n">
        <x:f>SUM(XLOOKUP('포켓몬_편집'!$AF13:$AN13,'분류_규칙'!$A$5:$A$76,'분류_규칙'!$L$5:$L$76,0))</x:f>
        <x:v>0</x:v>
      </x:c>
      <x:c r="M13" s="10" t="n">
        <x:f>SUM(XLOOKUP('포켓몬_편집'!$AF13:$AN13,'분류_규칙'!$A$5:$A$76,'분류_규칙'!$M$5:$M$76,0))</x:f>
        <x:v>0</x:v>
      </x:c>
      <x:c r="N13" s="10" t="n">
        <x:f>SUM(XLOOKUP('포켓몬_편집'!$AF13:$AN13,'분류_규칙'!$A$5:$A$76,'분류_규칙'!$N$5:$N$76,0))</x:f>
        <x:v>0</x:v>
      </x:c>
      <x:c r="O13" s="10" t="n">
        <x:f>SUM(XLOOKUP('포켓몬_편집'!$AF13:$AN13,'분류_규칙'!$A$5:$A$76,'분류_규칙'!$O$5:$O$76,0))</x:f>
        <x:v>0</x:v>
      </x:c>
      <x:c r="P13" s="10" t="n">
        <x:f>SUM(XLOOKUP('포켓몬_편집'!$AF13:$AN13,'분류_규칙'!$A$5:$A$76,'분류_규칙'!$P$5:$P$76,0))</x:f>
        <x:v>0</x:v>
      </x:c>
    </x:row>
    <x:row r="14" ht="22" customHeight="1">
      <x:c r="A14" s="5" t="n">
        <x:v>10</x:v>
      </x:c>
      <x:c r="B14" s="5" t="inlineStr">
        <x:is>
          <x:t xml:space="preserve">캐터피</x:t>
        </x:is>
      </x:c>
      <x:c r="C14" s="5" t="inlineStr">
        <x:is>
          <x:t xml:space="preserve">caterpie</x:t>
        </x:is>
      </x:c>
      <x:c r="D14" s="5" t="n">
        <x:v>1</x:v>
      </x:c>
      <x:c r="E14" s="10" t="n">
        <x:f>SUM(XLOOKUP('포켓몬_편집'!$AF14:$AN14,'분류_규칙'!$A$5:$A$76,'분류_규칙'!$E$5:$E$76,0))</x:f>
        <x:v>10</x:v>
      </x:c>
      <x:c r="F14" s="10" t="n">
        <x:f>SUM(XLOOKUP('포켓몬_편집'!$AF14:$AN14,'분류_규칙'!$A$5:$A$76,'분류_규칙'!$F$5:$F$76,0))</x:f>
        <x:v>7</x:v>
      </x:c>
      <x:c r="G14" s="10" t="n">
        <x:f>SUM(XLOOKUP('포켓몬_편집'!$AF14:$AN14,'분류_규칙'!$A$5:$A$76,'분류_규칙'!$G$5:$G$76,0))</x:f>
        <x:v>5</x:v>
      </x:c>
      <x:c r="H14" s="10" t="n">
        <x:f>SUM(XLOOKUP('포켓몬_편집'!$AF14:$AN14,'분류_규칙'!$A$5:$A$76,'분류_규칙'!$H$5:$H$76,0))</x:f>
        <x:v>5</x:v>
      </x:c>
      <x:c r="I14" s="10" t="n">
        <x:f>SUM(XLOOKUP('포켓몬_편집'!$AF14:$AN14,'분류_규칙'!$A$5:$A$76,'분류_규칙'!$I$5:$I$76,0))</x:f>
        <x:v>0</x:v>
      </x:c>
      <x:c r="J14" s="10" t="n">
        <x:f>SUM(XLOOKUP('포켓몬_편집'!$AF14:$AN14,'분류_규칙'!$A$5:$A$76,'분류_규칙'!$J$5:$J$76,0))</x:f>
        <x:v>2</x:v>
      </x:c>
      <x:c r="K14" s="10" t="n">
        <x:f>SUM(XLOOKUP('포켓몬_편집'!$AF14:$AN14,'분류_규칙'!$A$5:$A$76,'분류_규칙'!$K$5:$K$76,0))</x:f>
        <x:v>0</x:v>
      </x:c>
      <x:c r="L14" s="10" t="n">
        <x:f>SUM(XLOOKUP('포켓몬_편집'!$AF14:$AN14,'분류_규칙'!$A$5:$A$76,'분류_규칙'!$L$5:$L$76,0))</x:f>
        <x:v>0</x:v>
      </x:c>
      <x:c r="M14" s="10" t="n">
        <x:f>SUM(XLOOKUP('포켓몬_편집'!$AF14:$AN14,'분류_규칙'!$A$5:$A$76,'분류_규칙'!$M$5:$M$76,0))</x:f>
        <x:v>0</x:v>
      </x:c>
      <x:c r="N14" s="10" t="n">
        <x:f>SUM(XLOOKUP('포켓몬_편집'!$AF14:$AN14,'분류_규칙'!$A$5:$A$76,'분류_규칙'!$N$5:$N$76,0))</x:f>
        <x:v>0</x:v>
      </x:c>
      <x:c r="O14" s="10" t="n">
        <x:f>SUM(XLOOKUP('포켓몬_편집'!$AF14:$AN14,'분류_규칙'!$A$5:$A$76,'분류_규칙'!$O$5:$O$76,0))</x:f>
        <x:v>2</x:v>
      </x:c>
      <x:c r="P14" s="10" t="n">
        <x:f>SUM(XLOOKUP('포켓몬_편집'!$AF14:$AN14,'분류_규칙'!$A$5:$A$76,'분류_규칙'!$P$5:$P$76,0))</x:f>
        <x:v>0</x:v>
      </x:c>
    </x:row>
    <x:row r="15" ht="22" customHeight="1">
      <x:c r="A15" s="5" t="n">
        <x:v>11</x:v>
      </x:c>
      <x:c r="B15" s="5" t="inlineStr">
        <x:is>
          <x:t xml:space="preserve">단데기</x:t>
        </x:is>
      </x:c>
      <x:c r="C15" s="5" t="inlineStr">
        <x:is>
          <x:t xml:space="preserve">metapod</x:t>
        </x:is>
      </x:c>
      <x:c r="D15" s="5" t="n">
        <x:v>1</x:v>
      </x:c>
      <x:c r="E15" s="10" t="n">
        <x:f>SUM(XLOOKUP('포켓몬_편집'!$AF15:$AN15,'분류_규칙'!$A$5:$A$76,'분류_규칙'!$E$5:$E$76,0))</x:f>
        <x:v>10</x:v>
      </x:c>
      <x:c r="F15" s="10" t="n">
        <x:f>SUM(XLOOKUP('포켓몬_편집'!$AF15:$AN15,'분류_규칙'!$A$5:$A$76,'분류_규칙'!$F$5:$F$76,0))</x:f>
        <x:v>7</x:v>
      </x:c>
      <x:c r="G15" s="10" t="n">
        <x:f>SUM(XLOOKUP('포켓몬_편집'!$AF15:$AN15,'분류_규칙'!$A$5:$A$76,'분류_규칙'!$G$5:$G$76,0))</x:f>
        <x:v>5</x:v>
      </x:c>
      <x:c r="H15" s="10" t="n">
        <x:f>SUM(XLOOKUP('포켓몬_편집'!$AF15:$AN15,'분류_규칙'!$A$5:$A$76,'분류_규칙'!$H$5:$H$76,0))</x:f>
        <x:v>5</x:v>
      </x:c>
      <x:c r="I15" s="10" t="n">
        <x:f>SUM(XLOOKUP('포켓몬_편집'!$AF15:$AN15,'분류_규칙'!$A$5:$A$76,'분류_규칙'!$I$5:$I$76,0))</x:f>
        <x:v>0</x:v>
      </x:c>
      <x:c r="J15" s="10" t="n">
        <x:f>SUM(XLOOKUP('포켓몬_편집'!$AF15:$AN15,'분류_규칙'!$A$5:$A$76,'분류_규칙'!$J$5:$J$76,0))</x:f>
        <x:v>2</x:v>
      </x:c>
      <x:c r="K15" s="10" t="n">
        <x:f>SUM(XLOOKUP('포켓몬_편집'!$AF15:$AN15,'분류_규칙'!$A$5:$A$76,'분류_규칙'!$K$5:$K$76,0))</x:f>
        <x:v>0</x:v>
      </x:c>
      <x:c r="L15" s="10" t="n">
        <x:f>SUM(XLOOKUP('포켓몬_편집'!$AF15:$AN15,'분류_규칙'!$A$5:$A$76,'분류_규칙'!$L$5:$L$76,0))</x:f>
        <x:v>0</x:v>
      </x:c>
      <x:c r="M15" s="10" t="n">
        <x:f>SUM(XLOOKUP('포켓몬_편집'!$AF15:$AN15,'분류_규칙'!$A$5:$A$76,'분류_규칙'!$M$5:$M$76,0))</x:f>
        <x:v>0</x:v>
      </x:c>
      <x:c r="N15" s="10" t="n">
        <x:f>SUM(XLOOKUP('포켓몬_편집'!$AF15:$AN15,'분류_규칙'!$A$5:$A$76,'분류_규칙'!$N$5:$N$76,0))</x:f>
        <x:v>0</x:v>
      </x:c>
      <x:c r="O15" s="10" t="n">
        <x:f>SUM(XLOOKUP('포켓몬_편집'!$AF15:$AN15,'분류_규칙'!$A$5:$A$76,'분류_규칙'!$O$5:$O$76,0))</x:f>
        <x:v>2</x:v>
      </x:c>
      <x:c r="P15" s="10" t="n">
        <x:f>SUM(XLOOKUP('포켓몬_편집'!$AF15:$AN15,'분류_규칙'!$A$5:$A$76,'분류_규칙'!$P$5:$P$76,0))</x:f>
        <x:v>0</x:v>
      </x:c>
    </x:row>
    <x:row r="16" ht="22" customHeight="1">
      <x:c r="A16" s="5" t="n">
        <x:v>12</x:v>
      </x:c>
      <x:c r="B16" s="5" t="inlineStr">
        <x:is>
          <x:t xml:space="preserve">버터플</x:t>
        </x:is>
      </x:c>
      <x:c r="C16" s="5" t="inlineStr">
        <x:is>
          <x:t xml:space="preserve">butterfree</x:t>
        </x:is>
      </x:c>
      <x:c r="D16" s="5" t="n">
        <x:v>1</x:v>
      </x:c>
      <x:c r="E16" s="10" t="n">
        <x:f>SUM(XLOOKUP('포켓몬_편집'!$AF16:$AN16,'분류_규칙'!$A$5:$A$76,'분류_규칙'!$E$5:$E$76,0))</x:f>
        <x:v>8</x:v>
      </x:c>
      <x:c r="F16" s="10" t="n">
        <x:f>SUM(XLOOKUP('포켓몬_편집'!$AF16:$AN16,'분류_규칙'!$A$5:$A$76,'분류_규칙'!$F$5:$F$76,0))</x:f>
        <x:v>8</x:v>
      </x:c>
      <x:c r="G16" s="10" t="n">
        <x:f>SUM(XLOOKUP('포켓몬_편집'!$AF16:$AN16,'분류_규칙'!$A$5:$A$76,'분류_규칙'!$G$5:$G$76,0))</x:f>
        <x:v>0</x:v>
      </x:c>
      <x:c r="H16" s="10" t="n">
        <x:f>SUM(XLOOKUP('포켓몬_편집'!$AF16:$AN16,'분류_규칙'!$A$5:$A$76,'분류_규칙'!$H$5:$H$76,0))</x:f>
        <x:v>12</x:v>
      </x:c>
      <x:c r="I16" s="10" t="n">
        <x:f>SUM(XLOOKUP('포켓몬_편집'!$AF16:$AN16,'분류_규칙'!$A$5:$A$76,'분류_규칙'!$I$5:$I$76,0))</x:f>
        <x:v>0</x:v>
      </x:c>
      <x:c r="J16" s="10" t="n">
        <x:f>SUM(XLOOKUP('포켓몬_편집'!$AF16:$AN16,'분류_규칙'!$A$5:$A$76,'분류_규칙'!$J$5:$J$76,0))</x:f>
        <x:v>0</x:v>
      </x:c>
      <x:c r="K16" s="10" t="n">
        <x:f>SUM(XLOOKUP('포켓몬_편집'!$AF16:$AN16,'분류_규칙'!$A$5:$A$76,'분류_규칙'!$K$5:$K$76,0))</x:f>
        <x:v>0</x:v>
      </x:c>
      <x:c r="L16" s="10" t="n">
        <x:f>SUM(XLOOKUP('포켓몬_편집'!$AF16:$AN16,'분류_규칙'!$A$5:$A$76,'분류_규칙'!$L$5:$L$76,0))</x:f>
        <x:v>3</x:v>
      </x:c>
      <x:c r="M16" s="10" t="n">
        <x:f>SUM(XLOOKUP('포켓몬_편집'!$AF16:$AN16,'분류_규칙'!$A$5:$A$76,'분류_규칙'!$M$5:$M$76,0))</x:f>
        <x:v>0</x:v>
      </x:c>
      <x:c r="N16" s="10" t="n">
        <x:f>SUM(XLOOKUP('포켓몬_편집'!$AF16:$AN16,'분류_규칙'!$A$5:$A$76,'분류_규칙'!$N$5:$N$76,0))</x:f>
        <x:v>0</x:v>
      </x:c>
      <x:c r="O16" s="10" t="n">
        <x:f>SUM(XLOOKUP('포켓몬_편집'!$AF16:$AN16,'분류_규칙'!$A$5:$A$76,'분류_규칙'!$O$5:$O$76,0))</x:f>
        <x:v>2</x:v>
      </x:c>
      <x:c r="P16" s="10" t="n">
        <x:f>SUM(XLOOKUP('포켓몬_편집'!$AF16:$AN16,'분류_규칙'!$A$5:$A$76,'분류_규칙'!$P$5:$P$76,0))</x:f>
        <x:v>0</x:v>
      </x:c>
    </x:row>
    <x:row r="17" ht="22" customHeight="1">
      <x:c r="A17" s="5" t="n">
        <x:v>13</x:v>
      </x:c>
      <x:c r="B17" s="5" t="inlineStr">
        <x:is>
          <x:t xml:space="preserve">뿔충이</x:t>
        </x:is>
      </x:c>
      <x:c r="C17" s="5" t="inlineStr">
        <x:is>
          <x:t xml:space="preserve">weedle</x:t>
        </x:is>
      </x:c>
      <x:c r="D17" s="5" t="n">
        <x:v>1</x:v>
      </x:c>
      <x:c r="E17" s="10" t="n">
        <x:f>SUM(XLOOKUP('포켓몬_편집'!$AF17:$AN17,'분류_규칙'!$A$5:$A$76,'분류_규칙'!$E$5:$E$76,0))</x:f>
        <x:v>10</x:v>
      </x:c>
      <x:c r="F17" s="10" t="n">
        <x:f>SUM(XLOOKUP('포켓몬_편집'!$AF17:$AN17,'분류_규칙'!$A$5:$A$76,'분류_규칙'!$F$5:$F$76,0))</x:f>
        <x:v>7</x:v>
      </x:c>
      <x:c r="G17" s="10" t="n">
        <x:f>SUM(XLOOKUP('포켓몬_편집'!$AF17:$AN17,'분류_규칙'!$A$5:$A$76,'분류_규칙'!$G$5:$G$76,0))</x:f>
        <x:v>5</x:v>
      </x:c>
      <x:c r="H17" s="10" t="n">
        <x:f>SUM(XLOOKUP('포켓몬_편집'!$AF17:$AN17,'분류_규칙'!$A$5:$A$76,'분류_규칙'!$H$5:$H$76,0))</x:f>
        <x:v>5</x:v>
      </x:c>
      <x:c r="I17" s="10" t="n">
        <x:f>SUM(XLOOKUP('포켓몬_편집'!$AF17:$AN17,'분류_규칙'!$A$5:$A$76,'분류_규칙'!$I$5:$I$76,0))</x:f>
        <x:v>0</x:v>
      </x:c>
      <x:c r="J17" s="10" t="n">
        <x:f>SUM(XLOOKUP('포켓몬_편집'!$AF17:$AN17,'분류_규칙'!$A$5:$A$76,'분류_규칙'!$J$5:$J$76,0))</x:f>
        <x:v>2</x:v>
      </x:c>
      <x:c r="K17" s="10" t="n">
        <x:f>SUM(XLOOKUP('포켓몬_편집'!$AF17:$AN17,'분류_규칙'!$A$5:$A$76,'분류_규칙'!$K$5:$K$76,0))</x:f>
        <x:v>0</x:v>
      </x:c>
      <x:c r="L17" s="10" t="n">
        <x:f>SUM(XLOOKUP('포켓몬_편집'!$AF17:$AN17,'분류_규칙'!$A$5:$A$76,'분류_규칙'!$L$5:$L$76,0))</x:f>
        <x:v>0</x:v>
      </x:c>
      <x:c r="M17" s="10" t="n">
        <x:f>SUM(XLOOKUP('포켓몬_편집'!$AF17:$AN17,'분류_규칙'!$A$5:$A$76,'분류_규칙'!$M$5:$M$76,0))</x:f>
        <x:v>0</x:v>
      </x:c>
      <x:c r="N17" s="10" t="n">
        <x:f>SUM(XLOOKUP('포켓몬_편집'!$AF17:$AN17,'분류_규칙'!$A$5:$A$76,'분류_규칙'!$N$5:$N$76,0))</x:f>
        <x:v>0</x:v>
      </x:c>
      <x:c r="O17" s="10" t="n">
        <x:f>SUM(XLOOKUP('포켓몬_편집'!$AF17:$AN17,'분류_규칙'!$A$5:$A$76,'분류_규칙'!$O$5:$O$76,0))</x:f>
        <x:v>2</x:v>
      </x:c>
      <x:c r="P17" s="10" t="n">
        <x:f>SUM(XLOOKUP('포켓몬_편집'!$AF17:$AN17,'분류_규칙'!$A$5:$A$76,'분류_규칙'!$P$5:$P$76,0))</x:f>
        <x:v>0</x:v>
      </x:c>
    </x:row>
    <x:row r="18" ht="22" customHeight="1">
      <x:c r="A18" s="5" t="n">
        <x:v>14</x:v>
      </x:c>
      <x:c r="B18" s="5" t="inlineStr">
        <x:is>
          <x:t xml:space="preserve">딱충이</x:t>
        </x:is>
      </x:c>
      <x:c r="C18" s="5" t="inlineStr">
        <x:is>
          <x:t xml:space="preserve">kakuna</x:t>
        </x:is>
      </x:c>
      <x:c r="D18" s="5" t="n">
        <x:v>1</x:v>
      </x:c>
      <x:c r="E18" s="10" t="n">
        <x:f>SUM(XLOOKUP('포켓몬_편집'!$AF18:$AN18,'분류_규칙'!$A$5:$A$76,'분류_규칙'!$E$5:$E$76,0))</x:f>
        <x:v>10</x:v>
      </x:c>
      <x:c r="F18" s="10" t="n">
        <x:f>SUM(XLOOKUP('포켓몬_편집'!$AF18:$AN18,'분류_규칙'!$A$5:$A$76,'분류_규칙'!$F$5:$F$76,0))</x:f>
        <x:v>7</x:v>
      </x:c>
      <x:c r="G18" s="10" t="n">
        <x:f>SUM(XLOOKUP('포켓몬_편집'!$AF18:$AN18,'분류_규칙'!$A$5:$A$76,'분류_규칙'!$G$5:$G$76,0))</x:f>
        <x:v>5</x:v>
      </x:c>
      <x:c r="H18" s="10" t="n">
        <x:f>SUM(XLOOKUP('포켓몬_편집'!$AF18:$AN18,'분류_규칙'!$A$5:$A$76,'분류_규칙'!$H$5:$H$76,0))</x:f>
        <x:v>5</x:v>
      </x:c>
      <x:c r="I18" s="10" t="n">
        <x:f>SUM(XLOOKUP('포켓몬_편집'!$AF18:$AN18,'분류_규칙'!$A$5:$A$76,'분류_규칙'!$I$5:$I$76,0))</x:f>
        <x:v>0</x:v>
      </x:c>
      <x:c r="J18" s="10" t="n">
        <x:f>SUM(XLOOKUP('포켓몬_편집'!$AF18:$AN18,'분류_규칙'!$A$5:$A$76,'분류_규칙'!$J$5:$J$76,0))</x:f>
        <x:v>2</x:v>
      </x:c>
      <x:c r="K18" s="10" t="n">
        <x:f>SUM(XLOOKUP('포켓몬_편집'!$AF18:$AN18,'분류_규칙'!$A$5:$A$76,'분류_규칙'!$K$5:$K$76,0))</x:f>
        <x:v>0</x:v>
      </x:c>
      <x:c r="L18" s="10" t="n">
        <x:f>SUM(XLOOKUP('포켓몬_편집'!$AF18:$AN18,'분류_규칙'!$A$5:$A$76,'분류_규칙'!$L$5:$L$76,0))</x:f>
        <x:v>0</x:v>
      </x:c>
      <x:c r="M18" s="10" t="n">
        <x:f>SUM(XLOOKUP('포켓몬_편집'!$AF18:$AN18,'분류_규칙'!$A$5:$A$76,'분류_규칙'!$M$5:$M$76,0))</x:f>
        <x:v>0</x:v>
      </x:c>
      <x:c r="N18" s="10" t="n">
        <x:f>SUM(XLOOKUP('포켓몬_편집'!$AF18:$AN18,'분류_규칙'!$A$5:$A$76,'분류_규칙'!$N$5:$N$76,0))</x:f>
        <x:v>0</x:v>
      </x:c>
      <x:c r="O18" s="10" t="n">
        <x:f>SUM(XLOOKUP('포켓몬_편집'!$AF18:$AN18,'분류_규칙'!$A$5:$A$76,'분류_규칙'!$O$5:$O$76,0))</x:f>
        <x:v>2</x:v>
      </x:c>
      <x:c r="P18" s="10" t="n">
        <x:f>SUM(XLOOKUP('포켓몬_편집'!$AF18:$AN18,'분류_규칙'!$A$5:$A$76,'분류_규칙'!$P$5:$P$76,0))</x:f>
        <x:v>0</x:v>
      </x:c>
    </x:row>
    <x:row r="19" ht="22" customHeight="1">
      <x:c r="A19" s="5" t="n">
        <x:v>15</x:v>
      </x:c>
      <x:c r="B19" s="5" t="inlineStr">
        <x:is>
          <x:t xml:space="preserve">독침붕</x:t>
        </x:is>
      </x:c>
      <x:c r="C19" s="5" t="inlineStr">
        <x:is>
          <x:t xml:space="preserve">beedrill</x:t>
        </x:is>
      </x:c>
      <x:c r="D19" s="5" t="n">
        <x:v>1</x:v>
      </x:c>
      <x:c r="E19" s="10" t="n">
        <x:f>SUM(XLOOKUP('포켓몬_편집'!$AF19:$AN19,'분류_규칙'!$A$5:$A$76,'분류_규칙'!$E$5:$E$76,0))</x:f>
        <x:v>8</x:v>
      </x:c>
      <x:c r="F19" s="10" t="n">
        <x:f>SUM(XLOOKUP('포켓몬_편집'!$AF19:$AN19,'분류_규칙'!$A$5:$A$76,'분류_규칙'!$F$5:$F$76,0))</x:f>
        <x:v>8</x:v>
      </x:c>
      <x:c r="G19" s="10" t="n">
        <x:f>SUM(XLOOKUP('포켓몬_편집'!$AF19:$AN19,'분류_규칙'!$A$5:$A$76,'분류_규칙'!$G$5:$G$76,0))</x:f>
        <x:v>0</x:v>
      </x:c>
      <x:c r="H19" s="10" t="n">
        <x:f>SUM(XLOOKUP('포켓몬_편집'!$AF19:$AN19,'분류_규칙'!$A$5:$A$76,'분류_규칙'!$H$5:$H$76,0))</x:f>
        <x:v>12</x:v>
      </x:c>
      <x:c r="I19" s="10" t="n">
        <x:f>SUM(XLOOKUP('포켓몬_편집'!$AF19:$AN19,'분류_규칙'!$A$5:$A$76,'분류_규칙'!$I$5:$I$76,0))</x:f>
        <x:v>0</x:v>
      </x:c>
      <x:c r="J19" s="10" t="n">
        <x:f>SUM(XLOOKUP('포켓몬_편집'!$AF19:$AN19,'분류_규칙'!$A$5:$A$76,'분류_규칙'!$J$5:$J$76,0))</x:f>
        <x:v>0</x:v>
      </x:c>
      <x:c r="K19" s="10" t="n">
        <x:f>SUM(XLOOKUP('포켓몬_편집'!$AF19:$AN19,'분류_규칙'!$A$5:$A$76,'분류_규칙'!$K$5:$K$76,0))</x:f>
        <x:v>0</x:v>
      </x:c>
      <x:c r="L19" s="10" t="n">
        <x:f>SUM(XLOOKUP('포켓몬_편집'!$AF19:$AN19,'분류_규칙'!$A$5:$A$76,'분류_규칙'!$L$5:$L$76,0))</x:f>
        <x:v>3</x:v>
      </x:c>
      <x:c r="M19" s="10" t="n">
        <x:f>SUM(XLOOKUP('포켓몬_편집'!$AF19:$AN19,'분류_규칙'!$A$5:$A$76,'분류_규칙'!$M$5:$M$76,0))</x:f>
        <x:v>0</x:v>
      </x:c>
      <x:c r="N19" s="10" t="n">
        <x:f>SUM(XLOOKUP('포켓몬_편집'!$AF19:$AN19,'분류_규칙'!$A$5:$A$76,'분류_규칙'!$N$5:$N$76,0))</x:f>
        <x:v>0</x:v>
      </x:c>
      <x:c r="O19" s="10" t="n">
        <x:f>SUM(XLOOKUP('포켓몬_편집'!$AF19:$AN19,'분류_규칙'!$A$5:$A$76,'분류_규칙'!$O$5:$O$76,0))</x:f>
        <x:v>2</x:v>
      </x:c>
      <x:c r="P19" s="10" t="n">
        <x:f>SUM(XLOOKUP('포켓몬_편집'!$AF19:$AN19,'분류_규칙'!$A$5:$A$76,'분류_규칙'!$P$5:$P$76,0))</x:f>
        <x:v>0</x:v>
      </x:c>
    </x:row>
    <x:row r="20" ht="22" customHeight="1">
      <x:c r="A20" s="5" t="n">
        <x:v>16</x:v>
      </x:c>
      <x:c r="B20" s="5" t="inlineStr">
        <x:is>
          <x:t xml:space="preserve">구구</x:t>
        </x:is>
      </x:c>
      <x:c r="C20" s="5" t="inlineStr">
        <x:is>
          <x:t xml:space="preserve">pidgey</x:t>
        </x:is>
      </x:c>
      <x:c r="D20" s="5" t="n">
        <x:v>1</x:v>
      </x:c>
      <x:c r="E20" s="10" t="n">
        <x:f>SUM(XLOOKUP('포켓몬_편집'!$AF20:$AN20,'분류_규칙'!$A$5:$A$76,'분류_규칙'!$E$5:$E$76,0))</x:f>
        <x:v>8</x:v>
      </x:c>
      <x:c r="F20" s="10" t="n">
        <x:f>SUM(XLOOKUP('포켓몬_편집'!$AF20:$AN20,'분류_규칙'!$A$5:$A$76,'분류_규칙'!$F$5:$F$76,0))</x:f>
        <x:v>8</x:v>
      </x:c>
      <x:c r="G20" s="10" t="n">
        <x:f>SUM(XLOOKUP('포켓몬_편집'!$AF20:$AN20,'분류_규칙'!$A$5:$A$76,'분류_규칙'!$G$5:$G$76,0))</x:f>
        <x:v>0</x:v>
      </x:c>
      <x:c r="H20" s="10" t="n">
        <x:f>SUM(XLOOKUP('포켓몬_편집'!$AF20:$AN20,'분류_규칙'!$A$5:$A$76,'분류_규칙'!$H$5:$H$76,0))</x:f>
        <x:v>12</x:v>
      </x:c>
      <x:c r="I20" s="10" t="n">
        <x:f>SUM(XLOOKUP('포켓몬_편집'!$AF20:$AN20,'분류_규칙'!$A$5:$A$76,'분류_규칙'!$I$5:$I$76,0))</x:f>
        <x:v>0</x:v>
      </x:c>
      <x:c r="J20" s="10" t="n">
        <x:f>SUM(XLOOKUP('포켓몬_편집'!$AF20:$AN20,'분류_규칙'!$A$5:$A$76,'분류_규칙'!$J$5:$J$76,0))</x:f>
        <x:v>0</x:v>
      </x:c>
      <x:c r="K20" s="10" t="n">
        <x:f>SUM(XLOOKUP('포켓몬_편집'!$AF20:$AN20,'분류_규칙'!$A$5:$A$76,'분류_규칙'!$K$5:$K$76,0))</x:f>
        <x:v>0</x:v>
      </x:c>
      <x:c r="L20" s="10" t="n">
        <x:f>SUM(XLOOKUP('포켓몬_편집'!$AF20:$AN20,'분류_규칙'!$A$5:$A$76,'분류_규칙'!$L$5:$L$76,0))</x:f>
        <x:v>3</x:v>
      </x:c>
      <x:c r="M20" s="10" t="n">
        <x:f>SUM(XLOOKUP('포켓몬_편집'!$AF20:$AN20,'분류_규칙'!$A$5:$A$76,'분류_규칙'!$M$5:$M$76,0))</x:f>
        <x:v>0</x:v>
      </x:c>
      <x:c r="N20" s="10" t="n">
        <x:f>SUM(XLOOKUP('포켓몬_편집'!$AF20:$AN20,'분류_규칙'!$A$5:$A$76,'분류_규칙'!$N$5:$N$76,0))</x:f>
        <x:v>0</x:v>
      </x:c>
      <x:c r="O20" s="10" t="n">
        <x:f>SUM(XLOOKUP('포켓몬_편집'!$AF20:$AN20,'분류_규칙'!$A$5:$A$76,'분류_규칙'!$O$5:$O$76,0))</x:f>
        <x:v>2</x:v>
      </x:c>
      <x:c r="P20" s="10" t="n">
        <x:f>SUM(XLOOKUP('포켓몬_편집'!$AF20:$AN20,'분류_규칙'!$A$5:$A$76,'분류_규칙'!$P$5:$P$76,0))</x:f>
        <x:v>0</x:v>
      </x:c>
    </x:row>
    <x:row r="21" ht="22" customHeight="1">
      <x:c r="A21" s="5" t="n">
        <x:v>17</x:v>
      </x:c>
      <x:c r="B21" s="5" t="inlineStr">
        <x:is>
          <x:t xml:space="preserve">피죤</x:t>
        </x:is>
      </x:c>
      <x:c r="C21" s="5" t="inlineStr">
        <x:is>
          <x:t xml:space="preserve">pidgeotto</x:t>
        </x:is>
      </x:c>
      <x:c r="D21" s="5" t="n">
        <x:v>1</x:v>
      </x:c>
      <x:c r="E21" s="10" t="n">
        <x:f>SUM(XLOOKUP('포켓몬_편집'!$AF21:$AN21,'분류_규칙'!$A$5:$A$76,'분류_규칙'!$E$5:$E$76,0))</x:f>
        <x:v>8</x:v>
      </x:c>
      <x:c r="F21" s="10" t="n">
        <x:f>SUM(XLOOKUP('포켓몬_편집'!$AF21:$AN21,'분류_규칙'!$A$5:$A$76,'분류_규칙'!$F$5:$F$76,0))</x:f>
        <x:v>8</x:v>
      </x:c>
      <x:c r="G21" s="10" t="n">
        <x:f>SUM(XLOOKUP('포켓몬_편집'!$AF21:$AN21,'분류_규칙'!$A$5:$A$76,'분류_규칙'!$G$5:$G$76,0))</x:f>
        <x:v>0</x:v>
      </x:c>
      <x:c r="H21" s="10" t="n">
        <x:f>SUM(XLOOKUP('포켓몬_편집'!$AF21:$AN21,'분류_규칙'!$A$5:$A$76,'분류_규칙'!$H$5:$H$76,0))</x:f>
        <x:v>12</x:v>
      </x:c>
      <x:c r="I21" s="10" t="n">
        <x:f>SUM(XLOOKUP('포켓몬_편집'!$AF21:$AN21,'분류_규칙'!$A$5:$A$76,'분류_규칙'!$I$5:$I$76,0))</x:f>
        <x:v>0</x:v>
      </x:c>
      <x:c r="J21" s="10" t="n">
        <x:f>SUM(XLOOKUP('포켓몬_편집'!$AF21:$AN21,'분류_규칙'!$A$5:$A$76,'분류_규칙'!$J$5:$J$76,0))</x:f>
        <x:v>0</x:v>
      </x:c>
      <x:c r="K21" s="10" t="n">
        <x:f>SUM(XLOOKUP('포켓몬_편집'!$AF21:$AN21,'분류_규칙'!$A$5:$A$76,'분류_규칙'!$K$5:$K$76,0))</x:f>
        <x:v>0</x:v>
      </x:c>
      <x:c r="L21" s="10" t="n">
        <x:f>SUM(XLOOKUP('포켓몬_편집'!$AF21:$AN21,'분류_규칙'!$A$5:$A$76,'분류_규칙'!$L$5:$L$76,0))</x:f>
        <x:v>3</x:v>
      </x:c>
      <x:c r="M21" s="10" t="n">
        <x:f>SUM(XLOOKUP('포켓몬_편집'!$AF21:$AN21,'분류_규칙'!$A$5:$A$76,'분류_규칙'!$M$5:$M$76,0))</x:f>
        <x:v>0</x:v>
      </x:c>
      <x:c r="N21" s="10" t="n">
        <x:f>SUM(XLOOKUP('포켓몬_편집'!$AF21:$AN21,'분류_규칙'!$A$5:$A$76,'분류_규칙'!$N$5:$N$76,0))</x:f>
        <x:v>0</x:v>
      </x:c>
      <x:c r="O21" s="10" t="n">
        <x:f>SUM(XLOOKUP('포켓몬_편집'!$AF21:$AN21,'분류_규칙'!$A$5:$A$76,'분류_규칙'!$O$5:$O$76,0))</x:f>
        <x:v>2</x:v>
      </x:c>
      <x:c r="P21" s="10" t="n">
        <x:f>SUM(XLOOKUP('포켓몬_편집'!$AF21:$AN21,'분류_규칙'!$A$5:$A$76,'분류_규칙'!$P$5:$P$76,0))</x:f>
        <x:v>0</x:v>
      </x:c>
    </x:row>
    <x:row r="22" ht="22" customHeight="1">
      <x:c r="A22" s="5" t="n">
        <x:v>18</x:v>
      </x:c>
      <x:c r="B22" s="5" t="inlineStr">
        <x:is>
          <x:t xml:space="preserve">피죤투</x:t>
        </x:is>
      </x:c>
      <x:c r="C22" s="5" t="inlineStr">
        <x:is>
          <x:t xml:space="preserve">pidgeot</x:t>
        </x:is>
      </x:c>
      <x:c r="D22" s="5" t="n">
        <x:v>1</x:v>
      </x:c>
      <x:c r="E22" s="10" t="n">
        <x:f>SUM(XLOOKUP('포켓몬_편집'!$AF22:$AN22,'분류_규칙'!$A$5:$A$76,'분류_규칙'!$E$5:$E$76,0))</x:f>
        <x:v>8</x:v>
      </x:c>
      <x:c r="F22" s="10" t="n">
        <x:f>SUM(XLOOKUP('포켓몬_편집'!$AF22:$AN22,'분류_규칙'!$A$5:$A$76,'분류_규칙'!$F$5:$F$76,0))</x:f>
        <x:v>8</x:v>
      </x:c>
      <x:c r="G22" s="10" t="n">
        <x:f>SUM(XLOOKUP('포켓몬_편집'!$AF22:$AN22,'분류_규칙'!$A$5:$A$76,'분류_규칙'!$G$5:$G$76,0))</x:f>
        <x:v>0</x:v>
      </x:c>
      <x:c r="H22" s="10" t="n">
        <x:f>SUM(XLOOKUP('포켓몬_편집'!$AF22:$AN22,'분류_규칙'!$A$5:$A$76,'분류_규칙'!$H$5:$H$76,0))</x:f>
        <x:v>12</x:v>
      </x:c>
      <x:c r="I22" s="10" t="n">
        <x:f>SUM(XLOOKUP('포켓몬_편집'!$AF22:$AN22,'분류_규칙'!$A$5:$A$76,'분류_규칙'!$I$5:$I$76,0))</x:f>
        <x:v>0</x:v>
      </x:c>
      <x:c r="J22" s="10" t="n">
        <x:f>SUM(XLOOKUP('포켓몬_편집'!$AF22:$AN22,'분류_규칙'!$A$5:$A$76,'분류_규칙'!$J$5:$J$76,0))</x:f>
        <x:v>0</x:v>
      </x:c>
      <x:c r="K22" s="10" t="n">
        <x:f>SUM(XLOOKUP('포켓몬_편집'!$AF22:$AN22,'분류_규칙'!$A$5:$A$76,'분류_규칙'!$K$5:$K$76,0))</x:f>
        <x:v>0</x:v>
      </x:c>
      <x:c r="L22" s="10" t="n">
        <x:f>SUM(XLOOKUP('포켓몬_편집'!$AF22:$AN22,'분류_규칙'!$A$5:$A$76,'분류_규칙'!$L$5:$L$76,0))</x:f>
        <x:v>3</x:v>
      </x:c>
      <x:c r="M22" s="10" t="n">
        <x:f>SUM(XLOOKUP('포켓몬_편집'!$AF22:$AN22,'분류_규칙'!$A$5:$A$76,'분류_규칙'!$M$5:$M$76,0))</x:f>
        <x:v>0</x:v>
      </x:c>
      <x:c r="N22" s="10" t="n">
        <x:f>SUM(XLOOKUP('포켓몬_편집'!$AF22:$AN22,'분류_규칙'!$A$5:$A$76,'분류_규칙'!$N$5:$N$76,0))</x:f>
        <x:v>0</x:v>
      </x:c>
      <x:c r="O22" s="10" t="n">
        <x:f>SUM(XLOOKUP('포켓몬_편집'!$AF22:$AN22,'분류_규칙'!$A$5:$A$76,'분류_규칙'!$O$5:$O$76,0))</x:f>
        <x:v>2</x:v>
      </x:c>
      <x:c r="P22" s="10" t="n">
        <x:f>SUM(XLOOKUP('포켓몬_편집'!$AF22:$AN22,'분류_규칙'!$A$5:$A$76,'분류_규칙'!$P$5:$P$76,0))</x:f>
        <x:v>0</x:v>
      </x:c>
    </x:row>
    <x:row r="23" ht="22" customHeight="1">
      <x:c r="A23" s="5" t="n">
        <x:v>19</x:v>
      </x:c>
      <x:c r="B23" s="5" t="inlineStr">
        <x:is>
          <x:t xml:space="preserve">꼬렛</x:t>
        </x:is>
      </x:c>
      <x:c r="C23" s="5" t="inlineStr">
        <x:is>
          <x:t xml:space="preserve">rattata</x:t>
        </x:is>
      </x:c>
      <x:c r="D23" s="5" t="n">
        <x:v>1</x:v>
      </x:c>
      <x:c r="E23" s="10" t="n">
        <x:f>SUM(XLOOKUP('포켓몬_편집'!$AF23:$AN23,'분류_규칙'!$A$5:$A$76,'분류_규칙'!$E$5:$E$76,0))</x:f>
        <x:v>10</x:v>
      </x:c>
      <x:c r="F23" s="10" t="n">
        <x:f>SUM(XLOOKUP('포켓몬_편집'!$AF23:$AN23,'분류_규칙'!$A$5:$A$76,'분류_규칙'!$F$5:$F$76,0))</x:f>
        <x:v>7</x:v>
      </x:c>
      <x:c r="G23" s="10" t="n">
        <x:f>SUM(XLOOKUP('포켓몬_편집'!$AF23:$AN23,'분류_규칙'!$A$5:$A$76,'분류_규칙'!$G$5:$G$76,0))</x:f>
        <x:v>5</x:v>
      </x:c>
      <x:c r="H23" s="10" t="n">
        <x:f>SUM(XLOOKUP('포켓몬_편집'!$AF23:$AN23,'분류_규칙'!$A$5:$A$76,'분류_규칙'!$H$5:$H$76,0))</x:f>
        <x:v>5</x:v>
      </x:c>
      <x:c r="I23" s="10" t="n">
        <x:f>SUM(XLOOKUP('포켓몬_편집'!$AF23:$AN23,'분류_규칙'!$A$5:$A$76,'분류_규칙'!$I$5:$I$76,0))</x:f>
        <x:v>0</x:v>
      </x:c>
      <x:c r="J23" s="10" t="n">
        <x:f>SUM(XLOOKUP('포켓몬_편집'!$AF23:$AN23,'분류_규칙'!$A$5:$A$76,'분류_규칙'!$J$5:$J$76,0))</x:f>
        <x:v>2</x:v>
      </x:c>
      <x:c r="K23" s="10" t="n">
        <x:f>SUM(XLOOKUP('포켓몬_편집'!$AF23:$AN23,'분류_규칙'!$A$5:$A$76,'분류_규칙'!$K$5:$K$76,0))</x:f>
        <x:v>0</x:v>
      </x:c>
      <x:c r="L23" s="10" t="n">
        <x:f>SUM(XLOOKUP('포켓몬_편집'!$AF23:$AN23,'분류_규칙'!$A$5:$A$76,'분류_규칙'!$L$5:$L$76,0))</x:f>
        <x:v>0</x:v>
      </x:c>
      <x:c r="M23" s="10" t="n">
        <x:f>SUM(XLOOKUP('포켓몬_편집'!$AF23:$AN23,'분류_규칙'!$A$5:$A$76,'분류_규칙'!$M$5:$M$76,0))</x:f>
        <x:v>0</x:v>
      </x:c>
      <x:c r="N23" s="10" t="n">
        <x:f>SUM(XLOOKUP('포켓몬_편집'!$AF23:$AN23,'분류_규칙'!$A$5:$A$76,'분류_규칙'!$N$5:$N$76,0))</x:f>
        <x:v>0</x:v>
      </x:c>
      <x:c r="O23" s="10" t="n">
        <x:f>SUM(XLOOKUP('포켓몬_편집'!$AF23:$AN23,'분류_규칙'!$A$5:$A$76,'분류_규칙'!$O$5:$O$76,0))</x:f>
        <x:v>2</x:v>
      </x:c>
      <x:c r="P23" s="10" t="n">
        <x:f>SUM(XLOOKUP('포켓몬_편집'!$AF23:$AN23,'분류_규칙'!$A$5:$A$76,'분류_규칙'!$P$5:$P$76,0))</x:f>
        <x:v>0</x:v>
      </x:c>
    </x:row>
    <x:row r="24" ht="22" customHeight="1">
      <x:c r="A24" s="5" t="n">
        <x:v>20</x:v>
      </x:c>
      <x:c r="B24" s="5" t="inlineStr">
        <x:is>
          <x:t xml:space="preserve">레트라</x:t>
        </x:is>
      </x:c>
      <x:c r="C24" s="5" t="inlineStr">
        <x:is>
          <x:t xml:space="preserve">raticate</x:t>
        </x:is>
      </x:c>
      <x:c r="D24" s="5" t="n">
        <x:v>1</x:v>
      </x:c>
      <x:c r="E24" s="10" t="n">
        <x:f>SUM(XLOOKUP('포켓몬_편집'!$AF24:$AN24,'분류_규칙'!$A$5:$A$76,'분류_규칙'!$E$5:$E$76,0))</x:f>
        <x:v>10</x:v>
      </x:c>
      <x:c r="F24" s="10" t="n">
        <x:f>SUM(XLOOKUP('포켓몬_편집'!$AF24:$AN24,'분류_규칙'!$A$5:$A$76,'분류_규칙'!$F$5:$F$76,0))</x:f>
        <x:v>7</x:v>
      </x:c>
      <x:c r="G24" s="10" t="n">
        <x:f>SUM(XLOOKUP('포켓몬_편집'!$AF24:$AN24,'분류_규칙'!$A$5:$A$76,'분류_규칙'!$G$5:$G$76,0))</x:f>
        <x:v>5</x:v>
      </x:c>
      <x:c r="H24" s="10" t="n">
        <x:f>SUM(XLOOKUP('포켓몬_편집'!$AF24:$AN24,'분류_규칙'!$A$5:$A$76,'분류_규칙'!$H$5:$H$76,0))</x:f>
        <x:v>5</x:v>
      </x:c>
      <x:c r="I24" s="10" t="n">
        <x:f>SUM(XLOOKUP('포켓몬_편집'!$AF24:$AN24,'분류_규칙'!$A$5:$A$76,'분류_규칙'!$I$5:$I$76,0))</x:f>
        <x:v>0</x:v>
      </x:c>
      <x:c r="J24" s="10" t="n">
        <x:f>SUM(XLOOKUP('포켓몬_편집'!$AF24:$AN24,'분류_규칙'!$A$5:$A$76,'분류_규칙'!$J$5:$J$76,0))</x:f>
        <x:v>2</x:v>
      </x:c>
      <x:c r="K24" s="10" t="n">
        <x:f>SUM(XLOOKUP('포켓몬_편집'!$AF24:$AN24,'분류_규칙'!$A$5:$A$76,'분류_규칙'!$K$5:$K$76,0))</x:f>
        <x:v>0</x:v>
      </x:c>
      <x:c r="L24" s="10" t="n">
        <x:f>SUM(XLOOKUP('포켓몬_편집'!$AF24:$AN24,'분류_규칙'!$A$5:$A$76,'분류_규칙'!$L$5:$L$76,0))</x:f>
        <x:v>0</x:v>
      </x:c>
      <x:c r="M24" s="10" t="n">
        <x:f>SUM(XLOOKUP('포켓몬_편집'!$AF24:$AN24,'분류_규칙'!$A$5:$A$76,'분류_규칙'!$M$5:$M$76,0))</x:f>
        <x:v>0</x:v>
      </x:c>
      <x:c r="N24" s="10" t="n">
        <x:f>SUM(XLOOKUP('포켓몬_편집'!$AF24:$AN24,'분류_규칙'!$A$5:$A$76,'분류_규칙'!$N$5:$N$76,0))</x:f>
        <x:v>0</x:v>
      </x:c>
      <x:c r="O24" s="10" t="n">
        <x:f>SUM(XLOOKUP('포켓몬_편집'!$AF24:$AN24,'분류_규칙'!$A$5:$A$76,'분류_규칙'!$O$5:$O$76,0))</x:f>
        <x:v>2</x:v>
      </x:c>
      <x:c r="P24" s="10" t="n">
        <x:f>SUM(XLOOKUP('포켓몬_편집'!$AF24:$AN24,'분류_규칙'!$A$5:$A$76,'분류_규칙'!$P$5:$P$76,0))</x:f>
        <x:v>0</x:v>
      </x:c>
    </x:row>
    <x:row r="25" ht="22" customHeight="1">
      <x:c r="A25" s="5" t="n">
        <x:v>21</x:v>
      </x:c>
      <x:c r="B25" s="5" t="inlineStr">
        <x:is>
          <x:t xml:space="preserve">깨비참</x:t>
        </x:is>
      </x:c>
      <x:c r="C25" s="5" t="inlineStr">
        <x:is>
          <x:t xml:space="preserve">spearow</x:t>
        </x:is>
      </x:c>
      <x:c r="D25" s="5" t="n">
        <x:v>1</x:v>
      </x:c>
      <x:c r="E25" s="10" t="n">
        <x:f>SUM(XLOOKUP('포켓몬_편집'!$AF25:$AN25,'분류_규칙'!$A$5:$A$76,'분류_규칙'!$E$5:$E$76,0))</x:f>
        <x:v>8</x:v>
      </x:c>
      <x:c r="F25" s="10" t="n">
        <x:f>SUM(XLOOKUP('포켓몬_편집'!$AF25:$AN25,'분류_규칙'!$A$5:$A$76,'분류_규칙'!$F$5:$F$76,0))</x:f>
        <x:v>8</x:v>
      </x:c>
      <x:c r="G25" s="10" t="n">
        <x:f>SUM(XLOOKUP('포켓몬_편집'!$AF25:$AN25,'분류_규칙'!$A$5:$A$76,'분류_규칙'!$G$5:$G$76,0))</x:f>
        <x:v>0</x:v>
      </x:c>
      <x:c r="H25" s="10" t="n">
        <x:f>SUM(XLOOKUP('포켓몬_편집'!$AF25:$AN25,'분류_규칙'!$A$5:$A$76,'분류_규칙'!$H$5:$H$76,0))</x:f>
        <x:v>12</x:v>
      </x:c>
      <x:c r="I25" s="10" t="n">
        <x:f>SUM(XLOOKUP('포켓몬_편집'!$AF25:$AN25,'분류_규칙'!$A$5:$A$76,'분류_규칙'!$I$5:$I$76,0))</x:f>
        <x:v>0</x:v>
      </x:c>
      <x:c r="J25" s="10" t="n">
        <x:f>SUM(XLOOKUP('포켓몬_편집'!$AF25:$AN25,'분류_규칙'!$A$5:$A$76,'분류_규칙'!$J$5:$J$76,0))</x:f>
        <x:v>0</x:v>
      </x:c>
      <x:c r="K25" s="10" t="n">
        <x:f>SUM(XLOOKUP('포켓몬_편집'!$AF25:$AN25,'분류_규칙'!$A$5:$A$76,'분류_규칙'!$K$5:$K$76,0))</x:f>
        <x:v>0</x:v>
      </x:c>
      <x:c r="L25" s="10" t="n">
        <x:f>SUM(XLOOKUP('포켓몬_편집'!$AF25:$AN25,'분류_규칙'!$A$5:$A$76,'분류_규칙'!$L$5:$L$76,0))</x:f>
        <x:v>3</x:v>
      </x:c>
      <x:c r="M25" s="10" t="n">
        <x:f>SUM(XLOOKUP('포켓몬_편집'!$AF25:$AN25,'분류_규칙'!$A$5:$A$76,'분류_규칙'!$M$5:$M$76,0))</x:f>
        <x:v>0</x:v>
      </x:c>
      <x:c r="N25" s="10" t="n">
        <x:f>SUM(XLOOKUP('포켓몬_편집'!$AF25:$AN25,'분류_규칙'!$A$5:$A$76,'분류_규칙'!$N$5:$N$76,0))</x:f>
        <x:v>0</x:v>
      </x:c>
      <x:c r="O25" s="10" t="n">
        <x:f>SUM(XLOOKUP('포켓몬_편집'!$AF25:$AN25,'분류_규칙'!$A$5:$A$76,'분류_규칙'!$O$5:$O$76,0))</x:f>
        <x:v>2</x:v>
      </x:c>
      <x:c r="P25" s="10" t="n">
        <x:f>SUM(XLOOKUP('포켓몬_편집'!$AF25:$AN25,'분류_규칙'!$A$5:$A$76,'분류_규칙'!$P$5:$P$76,0))</x:f>
        <x:v>0</x:v>
      </x:c>
    </x:row>
    <x:row r="26" ht="22" customHeight="1">
      <x:c r="A26" s="5" t="n">
        <x:v>22</x:v>
      </x:c>
      <x:c r="B26" s="5" t="inlineStr">
        <x:is>
          <x:t xml:space="preserve">깨비드릴조</x:t>
        </x:is>
      </x:c>
      <x:c r="C26" s="5" t="inlineStr">
        <x:is>
          <x:t xml:space="preserve">fearow</x:t>
        </x:is>
      </x:c>
      <x:c r="D26" s="5" t="n">
        <x:v>1</x:v>
      </x:c>
      <x:c r="E26" s="10" t="n">
        <x:f>SUM(XLOOKUP('포켓몬_편집'!$AF26:$AN26,'분류_규칙'!$A$5:$A$76,'분류_규칙'!$E$5:$E$76,0))</x:f>
        <x:v>8</x:v>
      </x:c>
      <x:c r="F26" s="10" t="n">
        <x:f>SUM(XLOOKUP('포켓몬_편집'!$AF26:$AN26,'분류_규칙'!$A$5:$A$76,'분류_규칙'!$F$5:$F$76,0))</x:f>
        <x:v>8</x:v>
      </x:c>
      <x:c r="G26" s="10" t="n">
        <x:f>SUM(XLOOKUP('포켓몬_편집'!$AF26:$AN26,'분류_규칙'!$A$5:$A$76,'분류_규칙'!$G$5:$G$76,0))</x:f>
        <x:v>0</x:v>
      </x:c>
      <x:c r="H26" s="10" t="n">
        <x:f>SUM(XLOOKUP('포켓몬_편집'!$AF26:$AN26,'분류_규칙'!$A$5:$A$76,'분류_규칙'!$H$5:$H$76,0))</x:f>
        <x:v>12</x:v>
      </x:c>
      <x:c r="I26" s="10" t="n">
        <x:f>SUM(XLOOKUP('포켓몬_편집'!$AF26:$AN26,'분류_규칙'!$A$5:$A$76,'분류_규칙'!$I$5:$I$76,0))</x:f>
        <x:v>0</x:v>
      </x:c>
      <x:c r="J26" s="10" t="n">
        <x:f>SUM(XLOOKUP('포켓몬_편집'!$AF26:$AN26,'분류_규칙'!$A$5:$A$76,'분류_규칙'!$J$5:$J$76,0))</x:f>
        <x:v>0</x:v>
      </x:c>
      <x:c r="K26" s="10" t="n">
        <x:f>SUM(XLOOKUP('포켓몬_편집'!$AF26:$AN26,'분류_규칙'!$A$5:$A$76,'분류_규칙'!$K$5:$K$76,0))</x:f>
        <x:v>0</x:v>
      </x:c>
      <x:c r="L26" s="10" t="n">
        <x:f>SUM(XLOOKUP('포켓몬_편집'!$AF26:$AN26,'분류_규칙'!$A$5:$A$76,'분류_규칙'!$L$5:$L$76,0))</x:f>
        <x:v>3</x:v>
      </x:c>
      <x:c r="M26" s="10" t="n">
        <x:f>SUM(XLOOKUP('포켓몬_편집'!$AF26:$AN26,'분류_규칙'!$A$5:$A$76,'분류_규칙'!$M$5:$M$76,0))</x:f>
        <x:v>0</x:v>
      </x:c>
      <x:c r="N26" s="10" t="n">
        <x:f>SUM(XLOOKUP('포켓몬_편집'!$AF26:$AN26,'분류_규칙'!$A$5:$A$76,'분류_규칙'!$N$5:$N$76,0))</x:f>
        <x:v>0</x:v>
      </x:c>
      <x:c r="O26" s="10" t="n">
        <x:f>SUM(XLOOKUP('포켓몬_편집'!$AF26:$AN26,'분류_규칙'!$A$5:$A$76,'분류_규칙'!$O$5:$O$76,0))</x:f>
        <x:v>2</x:v>
      </x:c>
      <x:c r="P26" s="10" t="n">
        <x:f>SUM(XLOOKUP('포켓몬_편집'!$AF26:$AN26,'분류_규칙'!$A$5:$A$76,'분류_규칙'!$P$5:$P$76,0))</x:f>
        <x:v>0</x:v>
      </x:c>
    </x:row>
    <x:row r="27" ht="22" customHeight="1">
      <x:c r="A27" s="5" t="n">
        <x:v>23</x:v>
      </x:c>
      <x:c r="B27" s="5" t="inlineStr">
        <x:is>
          <x:t xml:space="preserve">아보</x:t>
        </x:is>
      </x:c>
      <x:c r="C27" s="5" t="inlineStr">
        <x:is>
          <x:t xml:space="preserve">ekans</x:t>
        </x:is>
      </x:c>
      <x:c r="D27" s="5" t="n">
        <x:v>1</x:v>
      </x:c>
      <x:c r="E27" s="10" t="n">
        <x:f>SUM(XLOOKUP('포켓몬_편집'!$AF27:$AN27,'분류_규칙'!$A$5:$A$76,'분류_규칙'!$E$5:$E$76,0))</x:f>
        <x:v>10</x:v>
      </x:c>
      <x:c r="F27" s="10" t="n">
        <x:f>SUM(XLOOKUP('포켓몬_편집'!$AF27:$AN27,'분류_규칙'!$A$5:$A$76,'분류_규칙'!$F$5:$F$76,0))</x:f>
        <x:v>7</x:v>
      </x:c>
      <x:c r="G27" s="10" t="n">
        <x:f>SUM(XLOOKUP('포켓몬_편집'!$AF27:$AN27,'분류_규칙'!$A$5:$A$76,'분류_규칙'!$G$5:$G$76,0))</x:f>
        <x:v>5</x:v>
      </x:c>
      <x:c r="H27" s="10" t="n">
        <x:f>SUM(XLOOKUP('포켓몬_편집'!$AF27:$AN27,'분류_규칙'!$A$5:$A$76,'분류_규칙'!$H$5:$H$76,0))</x:f>
        <x:v>5</x:v>
      </x:c>
      <x:c r="I27" s="10" t="n">
        <x:f>SUM(XLOOKUP('포켓몬_편집'!$AF27:$AN27,'분류_규칙'!$A$5:$A$76,'분류_규칙'!$I$5:$I$76,0))</x:f>
        <x:v>0</x:v>
      </x:c>
      <x:c r="J27" s="10" t="n">
        <x:f>SUM(XLOOKUP('포켓몬_편집'!$AF27:$AN27,'분류_규칙'!$A$5:$A$76,'분류_규칙'!$J$5:$J$76,0))</x:f>
        <x:v>2</x:v>
      </x:c>
      <x:c r="K27" s="10" t="n">
        <x:f>SUM(XLOOKUP('포켓몬_편집'!$AF27:$AN27,'분류_규칙'!$A$5:$A$76,'분류_규칙'!$K$5:$K$76,0))</x:f>
        <x:v>0</x:v>
      </x:c>
      <x:c r="L27" s="10" t="n">
        <x:f>SUM(XLOOKUP('포켓몬_편집'!$AF27:$AN27,'분류_규칙'!$A$5:$A$76,'분류_규칙'!$L$5:$L$76,0))</x:f>
        <x:v>0</x:v>
      </x:c>
      <x:c r="M27" s="10" t="n">
        <x:f>SUM(XLOOKUP('포켓몬_편집'!$AF27:$AN27,'분류_규칙'!$A$5:$A$76,'분류_규칙'!$M$5:$M$76,0))</x:f>
        <x:v>0</x:v>
      </x:c>
      <x:c r="N27" s="10" t="n">
        <x:f>SUM(XLOOKUP('포켓몬_편집'!$AF27:$AN27,'분류_규칙'!$A$5:$A$76,'분류_규칙'!$N$5:$N$76,0))</x:f>
        <x:v>0</x:v>
      </x:c>
      <x:c r="O27" s="10" t="n">
        <x:f>SUM(XLOOKUP('포켓몬_편집'!$AF27:$AN27,'분류_규칙'!$A$5:$A$76,'분류_규칙'!$O$5:$O$76,0))</x:f>
        <x:v>2</x:v>
      </x:c>
      <x:c r="P27" s="10" t="n">
        <x:f>SUM(XLOOKUP('포켓몬_편집'!$AF27:$AN27,'분류_규칙'!$A$5:$A$76,'분류_규칙'!$P$5:$P$76,0))</x:f>
        <x:v>0</x:v>
      </x:c>
    </x:row>
    <x:row r="28" ht="22" customHeight="1">
      <x:c r="A28" s="5" t="n">
        <x:v>24</x:v>
      </x:c>
      <x:c r="B28" s="5" t="inlineStr">
        <x:is>
          <x:t xml:space="preserve">아보크</x:t>
        </x:is>
      </x:c>
      <x:c r="C28" s="5" t="inlineStr">
        <x:is>
          <x:t xml:space="preserve">arbok</x:t>
        </x:is>
      </x:c>
      <x:c r="D28" s="5" t="n">
        <x:v>1</x:v>
      </x:c>
      <x:c r="E28" s="10" t="n">
        <x:f>SUM(XLOOKUP('포켓몬_편집'!$AF28:$AN28,'분류_규칙'!$A$5:$A$76,'분류_규칙'!$E$5:$E$76,0))</x:f>
        <x:v>10</x:v>
      </x:c>
      <x:c r="F28" s="10" t="n">
        <x:f>SUM(XLOOKUP('포켓몬_편집'!$AF28:$AN28,'분류_규칙'!$A$5:$A$76,'분류_규칙'!$F$5:$F$76,0))</x:f>
        <x:v>7</x:v>
      </x:c>
      <x:c r="G28" s="10" t="n">
        <x:f>SUM(XLOOKUP('포켓몬_편집'!$AF28:$AN28,'분류_규칙'!$A$5:$A$76,'분류_규칙'!$G$5:$G$76,0))</x:f>
        <x:v>5</x:v>
      </x:c>
      <x:c r="H28" s="10" t="n">
        <x:f>SUM(XLOOKUP('포켓몬_편집'!$AF28:$AN28,'분류_규칙'!$A$5:$A$76,'분류_규칙'!$H$5:$H$76,0))</x:f>
        <x:v>5</x:v>
      </x:c>
      <x:c r="I28" s="10" t="n">
        <x:f>SUM(XLOOKUP('포켓몬_편집'!$AF28:$AN28,'분류_규칙'!$A$5:$A$76,'분류_규칙'!$I$5:$I$76,0))</x:f>
        <x:v>0</x:v>
      </x:c>
      <x:c r="J28" s="10" t="n">
        <x:f>SUM(XLOOKUP('포켓몬_편집'!$AF28:$AN28,'분류_규칙'!$A$5:$A$76,'분류_규칙'!$J$5:$J$76,0))</x:f>
        <x:v>2</x:v>
      </x:c>
      <x:c r="K28" s="10" t="n">
        <x:f>SUM(XLOOKUP('포켓몬_편집'!$AF28:$AN28,'분류_규칙'!$A$5:$A$76,'분류_규칙'!$K$5:$K$76,0))</x:f>
        <x:v>0</x:v>
      </x:c>
      <x:c r="L28" s="10" t="n">
        <x:f>SUM(XLOOKUP('포켓몬_편집'!$AF28:$AN28,'분류_규칙'!$A$5:$A$76,'분류_규칙'!$L$5:$L$76,0))</x:f>
        <x:v>0</x:v>
      </x:c>
      <x:c r="M28" s="10" t="n">
        <x:f>SUM(XLOOKUP('포켓몬_편집'!$AF28:$AN28,'분류_규칙'!$A$5:$A$76,'분류_규칙'!$M$5:$M$76,0))</x:f>
        <x:v>0</x:v>
      </x:c>
      <x:c r="N28" s="10" t="n">
        <x:f>SUM(XLOOKUP('포켓몬_편집'!$AF28:$AN28,'분류_규칙'!$A$5:$A$76,'분류_규칙'!$N$5:$N$76,0))</x:f>
        <x:v>0</x:v>
      </x:c>
      <x:c r="O28" s="10" t="n">
        <x:f>SUM(XLOOKUP('포켓몬_편집'!$AF28:$AN28,'분류_규칙'!$A$5:$A$76,'분류_규칙'!$O$5:$O$76,0))</x:f>
        <x:v>2</x:v>
      </x:c>
      <x:c r="P28" s="10" t="n">
        <x:f>SUM(XLOOKUP('포켓몬_편집'!$AF28:$AN28,'분류_규칙'!$A$5:$A$76,'분류_규칙'!$P$5:$P$76,0))</x:f>
        <x:v>0</x:v>
      </x:c>
    </x:row>
    <x:row r="29" ht="22" customHeight="1">
      <x:c r="A29" s="5" t="n">
        <x:v>25</x:v>
      </x:c>
      <x:c r="B29" s="5" t="inlineStr">
        <x:is>
          <x:t xml:space="preserve">피카츄</x:t>
        </x:is>
      </x:c>
      <x:c r="C29" s="5" t="inlineStr">
        <x:is>
          <x:t xml:space="preserve">pikachu</x:t>
        </x:is>
      </x:c>
      <x:c r="D29" s="5" t="n">
        <x:v>1</x:v>
      </x:c>
      <x:c r="E29" s="10" t="n">
        <x:f>SUM(XLOOKUP('포켓몬_편집'!$AF29:$AN29,'분류_규칙'!$A$5:$A$76,'분류_규칙'!$E$5:$E$76,0))</x:f>
        <x:v>10</x:v>
      </x:c>
      <x:c r="F29" s="10" t="n">
        <x:f>SUM(XLOOKUP('포켓몬_편집'!$AF29:$AN29,'분류_규칙'!$A$5:$A$76,'분류_규칙'!$F$5:$F$76,0))</x:f>
        <x:v>7</x:v>
      </x:c>
      <x:c r="G29" s="10" t="n">
        <x:f>SUM(XLOOKUP('포켓몬_편집'!$AF29:$AN29,'분류_규칙'!$A$5:$A$76,'분류_규칙'!$G$5:$G$76,0))</x:f>
        <x:v>5</x:v>
      </x:c>
      <x:c r="H29" s="10" t="n">
        <x:f>SUM(XLOOKUP('포켓몬_편집'!$AF29:$AN29,'분류_규칙'!$A$5:$A$76,'분류_규칙'!$H$5:$H$76,0))</x:f>
        <x:v>5</x:v>
      </x:c>
      <x:c r="I29" s="10" t="n">
        <x:f>SUM(XLOOKUP('포켓몬_편집'!$AF29:$AN29,'분류_규칙'!$A$5:$A$76,'분류_규칙'!$I$5:$I$76,0))</x:f>
        <x:v>0</x:v>
      </x:c>
      <x:c r="J29" s="10" t="n">
        <x:f>SUM(XLOOKUP('포켓몬_편집'!$AF29:$AN29,'분류_규칙'!$A$5:$A$76,'분류_규칙'!$J$5:$J$76,0))</x:f>
        <x:v>2</x:v>
      </x:c>
      <x:c r="K29" s="10" t="n">
        <x:f>SUM(XLOOKUP('포켓몬_편집'!$AF29:$AN29,'분류_규칙'!$A$5:$A$76,'분류_규칙'!$K$5:$K$76,0))</x:f>
        <x:v>0</x:v>
      </x:c>
      <x:c r="L29" s="10" t="n">
        <x:f>SUM(XLOOKUP('포켓몬_편집'!$AF29:$AN29,'분류_규칙'!$A$5:$A$76,'분류_규칙'!$L$5:$L$76,0))</x:f>
        <x:v>0</x:v>
      </x:c>
      <x:c r="M29" s="10" t="n">
        <x:f>SUM(XLOOKUP('포켓몬_편집'!$AF29:$AN29,'분류_규칙'!$A$5:$A$76,'분류_규칙'!$M$5:$M$76,0))</x:f>
        <x:v>0</x:v>
      </x:c>
      <x:c r="N29" s="10" t="n">
        <x:f>SUM(XLOOKUP('포켓몬_편집'!$AF29:$AN29,'분류_규칙'!$A$5:$A$76,'분류_규칙'!$N$5:$N$76,0))</x:f>
        <x:v>0</x:v>
      </x:c>
      <x:c r="O29" s="10" t="n">
        <x:f>SUM(XLOOKUP('포켓몬_편집'!$AF29:$AN29,'분류_규칙'!$A$5:$A$76,'분류_규칙'!$O$5:$O$76,0))</x:f>
        <x:v>2</x:v>
      </x:c>
      <x:c r="P29" s="10" t="n">
        <x:f>SUM(XLOOKUP('포켓몬_편집'!$AF29:$AN29,'분류_규칙'!$A$5:$A$76,'분류_규칙'!$P$5:$P$76,0))</x:f>
        <x:v>0</x:v>
      </x:c>
    </x:row>
    <x:row r="30" ht="22" customHeight="1">
      <x:c r="A30" s="5" t="n">
        <x:v>26</x:v>
      </x:c>
      <x:c r="B30" s="5" t="inlineStr">
        <x:is>
          <x:t xml:space="preserve">라이츄</x:t>
        </x:is>
      </x:c>
      <x:c r="C30" s="5" t="inlineStr">
        <x:is>
          <x:t xml:space="preserve">raichu</x:t>
        </x:is>
      </x:c>
      <x:c r="D30" s="5" t="n">
        <x:v>1</x:v>
      </x:c>
      <x:c r="E30" s="10" t="n">
        <x:f>SUM(XLOOKUP('포켓몬_편집'!$AF30:$AN30,'분류_규칙'!$A$5:$A$76,'분류_규칙'!$E$5:$E$76,0))</x:f>
        <x:v>10</x:v>
      </x:c>
      <x:c r="F30" s="10" t="n">
        <x:f>SUM(XLOOKUP('포켓몬_편집'!$AF30:$AN30,'분류_규칙'!$A$5:$A$76,'분류_규칙'!$F$5:$F$76,0))</x:f>
        <x:v>7</x:v>
      </x:c>
      <x:c r="G30" s="10" t="n">
        <x:f>SUM(XLOOKUP('포켓몬_편집'!$AF30:$AN30,'분류_규칙'!$A$5:$A$76,'분류_규칙'!$G$5:$G$76,0))</x:f>
        <x:v>5</x:v>
      </x:c>
      <x:c r="H30" s="10" t="n">
        <x:f>SUM(XLOOKUP('포켓몬_편집'!$AF30:$AN30,'분류_규칙'!$A$5:$A$76,'분류_규칙'!$H$5:$H$76,0))</x:f>
        <x:v>5</x:v>
      </x:c>
      <x:c r="I30" s="10" t="n">
        <x:f>SUM(XLOOKUP('포켓몬_편집'!$AF30:$AN30,'분류_규칙'!$A$5:$A$76,'분류_규칙'!$I$5:$I$76,0))</x:f>
        <x:v>0</x:v>
      </x:c>
      <x:c r="J30" s="10" t="n">
        <x:f>SUM(XLOOKUP('포켓몬_편집'!$AF30:$AN30,'분류_규칙'!$A$5:$A$76,'분류_규칙'!$J$5:$J$76,0))</x:f>
        <x:v>2</x:v>
      </x:c>
      <x:c r="K30" s="10" t="n">
        <x:f>SUM(XLOOKUP('포켓몬_편집'!$AF30:$AN30,'분류_규칙'!$A$5:$A$76,'분류_규칙'!$K$5:$K$76,0))</x:f>
        <x:v>0</x:v>
      </x:c>
      <x:c r="L30" s="10" t="n">
        <x:f>SUM(XLOOKUP('포켓몬_편집'!$AF30:$AN30,'분류_규칙'!$A$5:$A$76,'분류_규칙'!$L$5:$L$76,0))</x:f>
        <x:v>0</x:v>
      </x:c>
      <x:c r="M30" s="10" t="n">
        <x:f>SUM(XLOOKUP('포켓몬_편집'!$AF30:$AN30,'분류_규칙'!$A$5:$A$76,'분류_규칙'!$M$5:$M$76,0))</x:f>
        <x:v>0</x:v>
      </x:c>
      <x:c r="N30" s="10" t="n">
        <x:f>SUM(XLOOKUP('포켓몬_편집'!$AF30:$AN30,'분류_규칙'!$A$5:$A$76,'분류_규칙'!$N$5:$N$76,0))</x:f>
        <x:v>0</x:v>
      </x:c>
      <x:c r="O30" s="10" t="n">
        <x:f>SUM(XLOOKUP('포켓몬_편집'!$AF30:$AN30,'분류_규칙'!$A$5:$A$76,'분류_규칙'!$O$5:$O$76,0))</x:f>
        <x:v>2</x:v>
      </x:c>
      <x:c r="P30" s="10" t="n">
        <x:f>SUM(XLOOKUP('포켓몬_편집'!$AF30:$AN30,'분류_규칙'!$A$5:$A$76,'분류_규칙'!$P$5:$P$76,0))</x:f>
        <x:v>0</x:v>
      </x:c>
    </x:row>
    <x:row r="31" ht="22" customHeight="1">
      <x:c r="A31" s="5" t="n">
        <x:v>27</x:v>
      </x:c>
      <x:c r="B31" s="5" t="inlineStr">
        <x:is>
          <x:t xml:space="preserve">모래두지</x:t>
        </x:is>
      </x:c>
      <x:c r="C31" s="5" t="inlineStr">
        <x:is>
          <x:t xml:space="preserve">sandshrew</x:t>
        </x:is>
      </x:c>
      <x:c r="D31" s="5" t="n">
        <x:v>1</x:v>
      </x:c>
      <x:c r="E31" s="10" t="n">
        <x:f>SUM(XLOOKUP('포켓몬_편집'!$AF31:$AN31,'분류_규칙'!$A$5:$A$76,'분류_규칙'!$E$5:$E$76,0))</x:f>
        <x:v>10</x:v>
      </x:c>
      <x:c r="F31" s="10" t="n">
        <x:f>SUM(XLOOKUP('포켓몬_편집'!$AF31:$AN31,'분류_규칙'!$A$5:$A$76,'분류_규칙'!$F$5:$F$76,0))</x:f>
        <x:v>7</x:v>
      </x:c>
      <x:c r="G31" s="10" t="n">
        <x:f>SUM(XLOOKUP('포켓몬_편집'!$AF31:$AN31,'분류_규칙'!$A$5:$A$76,'분류_규칙'!$G$5:$G$76,0))</x:f>
        <x:v>5</x:v>
      </x:c>
      <x:c r="H31" s="10" t="n">
        <x:f>SUM(XLOOKUP('포켓몬_편집'!$AF31:$AN31,'분류_규칙'!$A$5:$A$76,'분류_규칙'!$H$5:$H$76,0))</x:f>
        <x:v>5</x:v>
      </x:c>
      <x:c r="I31" s="10" t="n">
        <x:f>SUM(XLOOKUP('포켓몬_편집'!$AF31:$AN31,'분류_규칙'!$A$5:$A$76,'분류_규칙'!$I$5:$I$76,0))</x:f>
        <x:v>0</x:v>
      </x:c>
      <x:c r="J31" s="10" t="n">
        <x:f>SUM(XLOOKUP('포켓몬_편집'!$AF31:$AN31,'분류_규칙'!$A$5:$A$76,'분류_규칙'!$J$5:$J$76,0))</x:f>
        <x:v>2</x:v>
      </x:c>
      <x:c r="K31" s="10" t="n">
        <x:f>SUM(XLOOKUP('포켓몬_편집'!$AF31:$AN31,'분류_규칙'!$A$5:$A$76,'분류_규칙'!$K$5:$K$76,0))</x:f>
        <x:v>0</x:v>
      </x:c>
      <x:c r="L31" s="10" t="n">
        <x:f>SUM(XLOOKUP('포켓몬_편집'!$AF31:$AN31,'분류_규칙'!$A$5:$A$76,'분류_규칙'!$L$5:$L$76,0))</x:f>
        <x:v>0</x:v>
      </x:c>
      <x:c r="M31" s="10" t="n">
        <x:f>SUM(XLOOKUP('포켓몬_편집'!$AF31:$AN31,'분류_규칙'!$A$5:$A$76,'분류_규칙'!$M$5:$M$76,0))</x:f>
        <x:v>0</x:v>
      </x:c>
      <x:c r="N31" s="10" t="n">
        <x:f>SUM(XLOOKUP('포켓몬_편집'!$AF31:$AN31,'분류_규칙'!$A$5:$A$76,'분류_규칙'!$N$5:$N$76,0))</x:f>
        <x:v>0</x:v>
      </x:c>
      <x:c r="O31" s="10" t="n">
        <x:f>SUM(XLOOKUP('포켓몬_편집'!$AF31:$AN31,'분류_규칙'!$A$5:$A$76,'분류_규칙'!$O$5:$O$76,0))</x:f>
        <x:v>2</x:v>
      </x:c>
      <x:c r="P31" s="10" t="n">
        <x:f>SUM(XLOOKUP('포켓몬_편집'!$AF31:$AN31,'분류_규칙'!$A$5:$A$76,'분류_규칙'!$P$5:$P$76,0))</x:f>
        <x:v>0</x:v>
      </x:c>
    </x:row>
    <x:row r="32" ht="22" customHeight="1">
      <x:c r="A32" s="5" t="n">
        <x:v>28</x:v>
      </x:c>
      <x:c r="B32" s="5" t="inlineStr">
        <x:is>
          <x:t xml:space="preserve">고지</x:t>
        </x:is>
      </x:c>
      <x:c r="C32" s="5" t="inlineStr">
        <x:is>
          <x:t xml:space="preserve">sandslash</x:t>
        </x:is>
      </x:c>
      <x:c r="D32" s="5" t="n">
        <x:v>1</x:v>
      </x:c>
      <x:c r="E32" s="10" t="n">
        <x:f>SUM(XLOOKUP('포켓몬_편집'!$AF32:$AN32,'분류_규칙'!$A$5:$A$76,'분류_규칙'!$E$5:$E$76,0))</x:f>
        <x:v>10</x:v>
      </x:c>
      <x:c r="F32" s="10" t="n">
        <x:f>SUM(XLOOKUP('포켓몬_편집'!$AF32:$AN32,'분류_규칙'!$A$5:$A$76,'분류_규칙'!$F$5:$F$76,0))</x:f>
        <x:v>7</x:v>
      </x:c>
      <x:c r="G32" s="10" t="n">
        <x:f>SUM(XLOOKUP('포켓몬_편집'!$AF32:$AN32,'분류_규칙'!$A$5:$A$76,'분류_규칙'!$G$5:$G$76,0))</x:f>
        <x:v>5</x:v>
      </x:c>
      <x:c r="H32" s="10" t="n">
        <x:f>SUM(XLOOKUP('포켓몬_편집'!$AF32:$AN32,'분류_규칙'!$A$5:$A$76,'분류_규칙'!$H$5:$H$76,0))</x:f>
        <x:v>5</x:v>
      </x:c>
      <x:c r="I32" s="10" t="n">
        <x:f>SUM(XLOOKUP('포켓몬_편집'!$AF32:$AN32,'분류_규칙'!$A$5:$A$76,'분류_규칙'!$I$5:$I$76,0))</x:f>
        <x:v>0</x:v>
      </x:c>
      <x:c r="J32" s="10" t="n">
        <x:f>SUM(XLOOKUP('포켓몬_편집'!$AF32:$AN32,'분류_규칙'!$A$5:$A$76,'분류_규칙'!$J$5:$J$76,0))</x:f>
        <x:v>2</x:v>
      </x:c>
      <x:c r="K32" s="10" t="n">
        <x:f>SUM(XLOOKUP('포켓몬_편집'!$AF32:$AN32,'분류_규칙'!$A$5:$A$76,'분류_규칙'!$K$5:$K$76,0))</x:f>
        <x:v>0</x:v>
      </x:c>
      <x:c r="L32" s="10" t="n">
        <x:f>SUM(XLOOKUP('포켓몬_편집'!$AF32:$AN32,'분류_규칙'!$A$5:$A$76,'분류_규칙'!$L$5:$L$76,0))</x:f>
        <x:v>0</x:v>
      </x:c>
      <x:c r="M32" s="10" t="n">
        <x:f>SUM(XLOOKUP('포켓몬_편집'!$AF32:$AN32,'분류_규칙'!$A$5:$A$76,'분류_규칙'!$M$5:$M$76,0))</x:f>
        <x:v>0</x:v>
      </x:c>
      <x:c r="N32" s="10" t="n">
        <x:f>SUM(XLOOKUP('포켓몬_편집'!$AF32:$AN32,'분류_규칙'!$A$5:$A$76,'분류_규칙'!$N$5:$N$76,0))</x:f>
        <x:v>0</x:v>
      </x:c>
      <x:c r="O32" s="10" t="n">
        <x:f>SUM(XLOOKUP('포켓몬_편집'!$AF32:$AN32,'분류_규칙'!$A$5:$A$76,'분류_규칙'!$O$5:$O$76,0))</x:f>
        <x:v>2</x:v>
      </x:c>
      <x:c r="P32" s="10" t="n">
        <x:f>SUM(XLOOKUP('포켓몬_편집'!$AF32:$AN32,'분류_규칙'!$A$5:$A$76,'분류_규칙'!$P$5:$P$76,0))</x:f>
        <x:v>0</x:v>
      </x:c>
    </x:row>
    <x:row r="33" ht="22" customHeight="1">
      <x:c r="A33" s="5" t="n">
        <x:v>29</x:v>
      </x:c>
      <x:c r="B33" s="5" t="inlineStr">
        <x:is>
          <x:t xml:space="preserve">니드런</x:t>
        </x:is>
      </x:c>
      <x:c r="C33" s="5" t="inlineStr">
        <x:is>
          <x:t xml:space="preserve">nidoranf</x:t>
        </x:is>
      </x:c>
      <x:c r="D33" s="5" t="n">
        <x:v>1</x:v>
      </x:c>
      <x:c r="E33" s="10" t="n">
        <x:f>SUM(XLOOKUP('포켓몬_편집'!$AF33:$AN33,'분류_규칙'!$A$5:$A$76,'분류_규칙'!$E$5:$E$76,0))</x:f>
        <x:v>10</x:v>
      </x:c>
      <x:c r="F33" s="10" t="n">
        <x:f>SUM(XLOOKUP('포켓몬_편집'!$AF33:$AN33,'분류_규칙'!$A$5:$A$76,'분류_규칙'!$F$5:$F$76,0))</x:f>
        <x:v>7</x:v>
      </x:c>
      <x:c r="G33" s="10" t="n">
        <x:f>SUM(XLOOKUP('포켓몬_편집'!$AF33:$AN33,'분류_규칙'!$A$5:$A$76,'분류_규칙'!$G$5:$G$76,0))</x:f>
        <x:v>5</x:v>
      </x:c>
      <x:c r="H33" s="10" t="n">
        <x:f>SUM(XLOOKUP('포켓몬_편집'!$AF33:$AN33,'분류_규칙'!$A$5:$A$76,'분류_규칙'!$H$5:$H$76,0))</x:f>
        <x:v>5</x:v>
      </x:c>
      <x:c r="I33" s="10" t="n">
        <x:f>SUM(XLOOKUP('포켓몬_편집'!$AF33:$AN33,'분류_규칙'!$A$5:$A$76,'분류_규칙'!$I$5:$I$76,0))</x:f>
        <x:v>0</x:v>
      </x:c>
      <x:c r="J33" s="10" t="n">
        <x:f>SUM(XLOOKUP('포켓몬_편집'!$AF33:$AN33,'분류_규칙'!$A$5:$A$76,'분류_규칙'!$J$5:$J$76,0))</x:f>
        <x:v>2</x:v>
      </x:c>
      <x:c r="K33" s="10" t="n">
        <x:f>SUM(XLOOKUP('포켓몬_편집'!$AF33:$AN33,'분류_규칙'!$A$5:$A$76,'분류_규칙'!$K$5:$K$76,0))</x:f>
        <x:v>0</x:v>
      </x:c>
      <x:c r="L33" s="10" t="n">
        <x:f>SUM(XLOOKUP('포켓몬_편집'!$AF33:$AN33,'분류_규칙'!$A$5:$A$76,'분류_규칙'!$L$5:$L$76,0))</x:f>
        <x:v>0</x:v>
      </x:c>
      <x:c r="M33" s="10" t="n">
        <x:f>SUM(XLOOKUP('포켓몬_편집'!$AF33:$AN33,'분류_규칙'!$A$5:$A$76,'분류_규칙'!$M$5:$M$76,0))</x:f>
        <x:v>0</x:v>
      </x:c>
      <x:c r="N33" s="10" t="n">
        <x:f>SUM(XLOOKUP('포켓몬_편집'!$AF33:$AN33,'분류_규칙'!$A$5:$A$76,'분류_규칙'!$N$5:$N$76,0))</x:f>
        <x:v>0</x:v>
      </x:c>
      <x:c r="O33" s="10" t="n">
        <x:f>SUM(XLOOKUP('포켓몬_편집'!$AF33:$AN33,'분류_규칙'!$A$5:$A$76,'분류_규칙'!$O$5:$O$76,0))</x:f>
        <x:v>2</x:v>
      </x:c>
      <x:c r="P33" s="10" t="n">
        <x:f>SUM(XLOOKUP('포켓몬_편집'!$AF33:$AN33,'분류_규칙'!$A$5:$A$76,'분류_규칙'!$P$5:$P$76,0))</x:f>
        <x:v>0</x:v>
      </x:c>
    </x:row>
    <x:row r="34" ht="22" customHeight="1">
      <x:c r="A34" s="5" t="n">
        <x:v>30</x:v>
      </x:c>
      <x:c r="B34" s="5" t="inlineStr">
        <x:is>
          <x:t xml:space="preserve">니드리나</x:t>
        </x:is>
      </x:c>
      <x:c r="C34" s="5" t="inlineStr">
        <x:is>
          <x:t xml:space="preserve">nidorina</x:t>
        </x:is>
      </x:c>
      <x:c r="D34" s="5" t="n">
        <x:v>1</x:v>
      </x:c>
      <x:c r="E34" s="10" t="n">
        <x:f>SUM(XLOOKUP('포켓몬_편집'!$AF34:$AN34,'분류_규칙'!$A$5:$A$76,'분류_규칙'!$E$5:$E$76,0))</x:f>
        <x:v>10</x:v>
      </x:c>
      <x:c r="F34" s="10" t="n">
        <x:f>SUM(XLOOKUP('포켓몬_편집'!$AF34:$AN34,'분류_규칙'!$A$5:$A$76,'분류_규칙'!$F$5:$F$76,0))</x:f>
        <x:v>7</x:v>
      </x:c>
      <x:c r="G34" s="10" t="n">
        <x:f>SUM(XLOOKUP('포켓몬_편집'!$AF34:$AN34,'분류_규칙'!$A$5:$A$76,'분류_규칙'!$G$5:$G$76,0))</x:f>
        <x:v>5</x:v>
      </x:c>
      <x:c r="H34" s="10" t="n">
        <x:f>SUM(XLOOKUP('포켓몬_편집'!$AF34:$AN34,'분류_규칙'!$A$5:$A$76,'분류_규칙'!$H$5:$H$76,0))</x:f>
        <x:v>5</x:v>
      </x:c>
      <x:c r="I34" s="10" t="n">
        <x:f>SUM(XLOOKUP('포켓몬_편집'!$AF34:$AN34,'분류_규칙'!$A$5:$A$76,'분류_규칙'!$I$5:$I$76,0))</x:f>
        <x:v>0</x:v>
      </x:c>
      <x:c r="J34" s="10" t="n">
        <x:f>SUM(XLOOKUP('포켓몬_편집'!$AF34:$AN34,'분류_규칙'!$A$5:$A$76,'분류_규칙'!$J$5:$J$76,0))</x:f>
        <x:v>2</x:v>
      </x:c>
      <x:c r="K34" s="10" t="n">
        <x:f>SUM(XLOOKUP('포켓몬_편집'!$AF34:$AN34,'분류_규칙'!$A$5:$A$76,'분류_규칙'!$K$5:$K$76,0))</x:f>
        <x:v>0</x:v>
      </x:c>
      <x:c r="L34" s="10" t="n">
        <x:f>SUM(XLOOKUP('포켓몬_편집'!$AF34:$AN34,'분류_규칙'!$A$5:$A$76,'분류_규칙'!$L$5:$L$76,0))</x:f>
        <x:v>0</x:v>
      </x:c>
      <x:c r="M34" s="10" t="n">
        <x:f>SUM(XLOOKUP('포켓몬_편집'!$AF34:$AN34,'분류_규칙'!$A$5:$A$76,'분류_규칙'!$M$5:$M$76,0))</x:f>
        <x:v>0</x:v>
      </x:c>
      <x:c r="N34" s="10" t="n">
        <x:f>SUM(XLOOKUP('포켓몬_편집'!$AF34:$AN34,'분류_규칙'!$A$5:$A$76,'분류_규칙'!$N$5:$N$76,0))</x:f>
        <x:v>0</x:v>
      </x:c>
      <x:c r="O34" s="10" t="n">
        <x:f>SUM(XLOOKUP('포켓몬_편집'!$AF34:$AN34,'분류_규칙'!$A$5:$A$76,'분류_규칙'!$O$5:$O$76,0))</x:f>
        <x:v>2</x:v>
      </x:c>
      <x:c r="P34" s="10" t="n">
        <x:f>SUM(XLOOKUP('포켓몬_편집'!$AF34:$AN34,'분류_규칙'!$A$5:$A$76,'분류_규칙'!$P$5:$P$76,0))</x:f>
        <x:v>0</x:v>
      </x:c>
    </x:row>
    <x:row r="35" ht="22" customHeight="1">
      <x:c r="A35" s="5" t="n">
        <x:v>31</x:v>
      </x:c>
      <x:c r="B35" s="5" t="inlineStr">
        <x:is>
          <x:t xml:space="preserve">니드퀸</x:t>
        </x:is>
      </x:c>
      <x:c r="C35" s="5" t="inlineStr">
        <x:is>
          <x:t xml:space="preserve">nidoqueen</x:t>
        </x:is>
      </x:c>
      <x:c r="D35" s="5" t="n">
        <x:v>1</x:v>
      </x:c>
      <x:c r="E35" s="10" t="n">
        <x:f>SUM(XLOOKUP('포켓몬_편집'!$AF35:$AN35,'분류_규칙'!$A$5:$A$76,'분류_규칙'!$E$5:$E$76,0))</x:f>
        <x:v>10</x:v>
      </x:c>
      <x:c r="F35" s="10" t="n">
        <x:f>SUM(XLOOKUP('포켓몬_편집'!$AF35:$AN35,'분류_규칙'!$A$5:$A$76,'분류_규칙'!$F$5:$F$76,0))</x:f>
        <x:v>7</x:v>
      </x:c>
      <x:c r="G35" s="10" t="n">
        <x:f>SUM(XLOOKUP('포켓몬_편집'!$AF35:$AN35,'분류_규칙'!$A$5:$A$76,'분류_규칙'!$G$5:$G$76,0))</x:f>
        <x:v>5</x:v>
      </x:c>
      <x:c r="H35" s="10" t="n">
        <x:f>SUM(XLOOKUP('포켓몬_편집'!$AF35:$AN35,'분류_규칙'!$A$5:$A$76,'분류_규칙'!$H$5:$H$76,0))</x:f>
        <x:v>5</x:v>
      </x:c>
      <x:c r="I35" s="10" t="n">
        <x:f>SUM(XLOOKUP('포켓몬_편집'!$AF35:$AN35,'분류_규칙'!$A$5:$A$76,'분류_규칙'!$I$5:$I$76,0))</x:f>
        <x:v>0</x:v>
      </x:c>
      <x:c r="J35" s="10" t="n">
        <x:f>SUM(XLOOKUP('포켓몬_편집'!$AF35:$AN35,'분류_규칙'!$A$5:$A$76,'분류_규칙'!$J$5:$J$76,0))</x:f>
        <x:v>2</x:v>
      </x:c>
      <x:c r="K35" s="10" t="n">
        <x:f>SUM(XLOOKUP('포켓몬_편집'!$AF35:$AN35,'분류_규칙'!$A$5:$A$76,'분류_규칙'!$K$5:$K$76,0))</x:f>
        <x:v>0</x:v>
      </x:c>
      <x:c r="L35" s="10" t="n">
        <x:f>SUM(XLOOKUP('포켓몬_편집'!$AF35:$AN35,'분류_규칙'!$A$5:$A$76,'분류_규칙'!$L$5:$L$76,0))</x:f>
        <x:v>0</x:v>
      </x:c>
      <x:c r="M35" s="10" t="n">
        <x:f>SUM(XLOOKUP('포켓몬_편집'!$AF35:$AN35,'분류_규칙'!$A$5:$A$76,'분류_규칙'!$M$5:$M$76,0))</x:f>
        <x:v>0</x:v>
      </x:c>
      <x:c r="N35" s="10" t="n">
        <x:f>SUM(XLOOKUP('포켓몬_편집'!$AF35:$AN35,'분류_규칙'!$A$5:$A$76,'분류_규칙'!$N$5:$N$76,0))</x:f>
        <x:v>0</x:v>
      </x:c>
      <x:c r="O35" s="10" t="n">
        <x:f>SUM(XLOOKUP('포켓몬_편집'!$AF35:$AN35,'분류_규칙'!$A$5:$A$76,'분류_규칙'!$O$5:$O$76,0))</x:f>
        <x:v>2</x:v>
      </x:c>
      <x:c r="P35" s="10" t="n">
        <x:f>SUM(XLOOKUP('포켓몬_편집'!$AF35:$AN35,'분류_규칙'!$A$5:$A$76,'분류_규칙'!$P$5:$P$76,0))</x:f>
        <x:v>0</x:v>
      </x:c>
    </x:row>
    <x:row r="36" ht="22" customHeight="1">
      <x:c r="A36" s="5" t="n">
        <x:v>32</x:v>
      </x:c>
      <x:c r="B36" s="5" t="inlineStr">
        <x:is>
          <x:t xml:space="preserve">니드런</x:t>
        </x:is>
      </x:c>
      <x:c r="C36" s="5" t="inlineStr">
        <x:is>
          <x:t xml:space="preserve">nidoranm</x:t>
        </x:is>
      </x:c>
      <x:c r="D36" s="5" t="n">
        <x:v>1</x:v>
      </x:c>
      <x:c r="E36" s="10" t="n">
        <x:f>SUM(XLOOKUP('포켓몬_편집'!$AF36:$AN36,'분류_규칙'!$A$5:$A$76,'분류_규칙'!$E$5:$E$76,0))</x:f>
        <x:v>10</x:v>
      </x:c>
      <x:c r="F36" s="10" t="n">
        <x:f>SUM(XLOOKUP('포켓몬_편집'!$AF36:$AN36,'분류_규칙'!$A$5:$A$76,'분류_규칙'!$F$5:$F$76,0))</x:f>
        <x:v>7</x:v>
      </x:c>
      <x:c r="G36" s="10" t="n">
        <x:f>SUM(XLOOKUP('포켓몬_편집'!$AF36:$AN36,'분류_규칙'!$A$5:$A$76,'분류_규칙'!$G$5:$G$76,0))</x:f>
        <x:v>5</x:v>
      </x:c>
      <x:c r="H36" s="10" t="n">
        <x:f>SUM(XLOOKUP('포켓몬_편집'!$AF36:$AN36,'분류_규칙'!$A$5:$A$76,'분류_규칙'!$H$5:$H$76,0))</x:f>
        <x:v>5</x:v>
      </x:c>
      <x:c r="I36" s="10" t="n">
        <x:f>SUM(XLOOKUP('포켓몬_편집'!$AF36:$AN36,'분류_규칙'!$A$5:$A$76,'분류_규칙'!$I$5:$I$76,0))</x:f>
        <x:v>0</x:v>
      </x:c>
      <x:c r="J36" s="10" t="n">
        <x:f>SUM(XLOOKUP('포켓몬_편집'!$AF36:$AN36,'분류_규칙'!$A$5:$A$76,'분류_규칙'!$J$5:$J$76,0))</x:f>
        <x:v>2</x:v>
      </x:c>
      <x:c r="K36" s="10" t="n">
        <x:f>SUM(XLOOKUP('포켓몬_편집'!$AF36:$AN36,'분류_규칙'!$A$5:$A$76,'분류_규칙'!$K$5:$K$76,0))</x:f>
        <x:v>0</x:v>
      </x:c>
      <x:c r="L36" s="10" t="n">
        <x:f>SUM(XLOOKUP('포켓몬_편집'!$AF36:$AN36,'분류_규칙'!$A$5:$A$76,'분류_규칙'!$L$5:$L$76,0))</x:f>
        <x:v>0</x:v>
      </x:c>
      <x:c r="M36" s="10" t="n">
        <x:f>SUM(XLOOKUP('포켓몬_편집'!$AF36:$AN36,'분류_규칙'!$A$5:$A$76,'분류_규칙'!$M$5:$M$76,0))</x:f>
        <x:v>0</x:v>
      </x:c>
      <x:c r="N36" s="10" t="n">
        <x:f>SUM(XLOOKUP('포켓몬_편집'!$AF36:$AN36,'분류_규칙'!$A$5:$A$76,'분류_규칙'!$N$5:$N$76,0))</x:f>
        <x:v>0</x:v>
      </x:c>
      <x:c r="O36" s="10" t="n">
        <x:f>SUM(XLOOKUP('포켓몬_편집'!$AF36:$AN36,'분류_규칙'!$A$5:$A$76,'분류_규칙'!$O$5:$O$76,0))</x:f>
        <x:v>2</x:v>
      </x:c>
      <x:c r="P36" s="10" t="n">
        <x:f>SUM(XLOOKUP('포켓몬_편집'!$AF36:$AN36,'분류_규칙'!$A$5:$A$76,'분류_규칙'!$P$5:$P$76,0))</x:f>
        <x:v>0</x:v>
      </x:c>
    </x:row>
    <x:row r="37" ht="22" customHeight="1">
      <x:c r="A37" s="5" t="n">
        <x:v>33</x:v>
      </x:c>
      <x:c r="B37" s="5" t="inlineStr">
        <x:is>
          <x:t xml:space="preserve">니드리노</x:t>
        </x:is>
      </x:c>
      <x:c r="C37" s="5" t="inlineStr">
        <x:is>
          <x:t xml:space="preserve">nidorino</x:t>
        </x:is>
      </x:c>
      <x:c r="D37" s="5" t="n">
        <x:v>1</x:v>
      </x:c>
      <x:c r="E37" s="10" t="n">
        <x:f>SUM(XLOOKUP('포켓몬_편집'!$AF37:$AN37,'분류_규칙'!$A$5:$A$76,'분류_규칙'!$E$5:$E$76,0))</x:f>
        <x:v>10</x:v>
      </x:c>
      <x:c r="F37" s="10" t="n">
        <x:f>SUM(XLOOKUP('포켓몬_편집'!$AF37:$AN37,'분류_규칙'!$A$5:$A$76,'분류_규칙'!$F$5:$F$76,0))</x:f>
        <x:v>7</x:v>
      </x:c>
      <x:c r="G37" s="10" t="n">
        <x:f>SUM(XLOOKUP('포켓몬_편집'!$AF37:$AN37,'분류_규칙'!$A$5:$A$76,'분류_규칙'!$G$5:$G$76,0))</x:f>
        <x:v>5</x:v>
      </x:c>
      <x:c r="H37" s="10" t="n">
        <x:f>SUM(XLOOKUP('포켓몬_편집'!$AF37:$AN37,'분류_규칙'!$A$5:$A$76,'분류_규칙'!$H$5:$H$76,0))</x:f>
        <x:v>5</x:v>
      </x:c>
      <x:c r="I37" s="10" t="n">
        <x:f>SUM(XLOOKUP('포켓몬_편집'!$AF37:$AN37,'분류_규칙'!$A$5:$A$76,'분류_규칙'!$I$5:$I$76,0))</x:f>
        <x:v>0</x:v>
      </x:c>
      <x:c r="J37" s="10" t="n">
        <x:f>SUM(XLOOKUP('포켓몬_편집'!$AF37:$AN37,'분류_규칙'!$A$5:$A$76,'분류_규칙'!$J$5:$J$76,0))</x:f>
        <x:v>2</x:v>
      </x:c>
      <x:c r="K37" s="10" t="n">
        <x:f>SUM(XLOOKUP('포켓몬_편집'!$AF37:$AN37,'분류_규칙'!$A$5:$A$76,'분류_규칙'!$K$5:$K$76,0))</x:f>
        <x:v>0</x:v>
      </x:c>
      <x:c r="L37" s="10" t="n">
        <x:f>SUM(XLOOKUP('포켓몬_편집'!$AF37:$AN37,'분류_규칙'!$A$5:$A$76,'분류_규칙'!$L$5:$L$76,0))</x:f>
        <x:v>0</x:v>
      </x:c>
      <x:c r="M37" s="10" t="n">
        <x:f>SUM(XLOOKUP('포켓몬_편집'!$AF37:$AN37,'분류_규칙'!$A$5:$A$76,'분류_규칙'!$M$5:$M$76,0))</x:f>
        <x:v>0</x:v>
      </x:c>
      <x:c r="N37" s="10" t="n">
        <x:f>SUM(XLOOKUP('포켓몬_편집'!$AF37:$AN37,'분류_규칙'!$A$5:$A$76,'분류_규칙'!$N$5:$N$76,0))</x:f>
        <x:v>0</x:v>
      </x:c>
      <x:c r="O37" s="10" t="n">
        <x:f>SUM(XLOOKUP('포켓몬_편집'!$AF37:$AN37,'분류_규칙'!$A$5:$A$76,'분류_규칙'!$O$5:$O$76,0))</x:f>
        <x:v>2</x:v>
      </x:c>
      <x:c r="P37" s="10" t="n">
        <x:f>SUM(XLOOKUP('포켓몬_편집'!$AF37:$AN37,'분류_규칙'!$A$5:$A$76,'분류_규칙'!$P$5:$P$76,0))</x:f>
        <x:v>0</x:v>
      </x:c>
    </x:row>
    <x:row r="38" ht="22" customHeight="1">
      <x:c r="A38" s="5" t="n">
        <x:v>34</x:v>
      </x:c>
      <x:c r="B38" s="5" t="inlineStr">
        <x:is>
          <x:t xml:space="preserve">니드킹</x:t>
        </x:is>
      </x:c>
      <x:c r="C38" s="5" t="inlineStr">
        <x:is>
          <x:t xml:space="preserve">nidoking</x:t>
        </x:is>
      </x:c>
      <x:c r="D38" s="5" t="n">
        <x:v>1</x:v>
      </x:c>
      <x:c r="E38" s="10" t="n">
        <x:f>SUM(XLOOKUP('포켓몬_편집'!$AF38:$AN38,'분류_규칙'!$A$5:$A$76,'분류_규칙'!$E$5:$E$76,0))</x:f>
        <x:v>10</x:v>
      </x:c>
      <x:c r="F38" s="10" t="n">
        <x:f>SUM(XLOOKUP('포켓몬_편집'!$AF38:$AN38,'분류_규칙'!$A$5:$A$76,'분류_규칙'!$F$5:$F$76,0))</x:f>
        <x:v>7</x:v>
      </x:c>
      <x:c r="G38" s="10" t="n">
        <x:f>SUM(XLOOKUP('포켓몬_편집'!$AF38:$AN38,'분류_규칙'!$A$5:$A$76,'분류_규칙'!$G$5:$G$76,0))</x:f>
        <x:v>5</x:v>
      </x:c>
      <x:c r="H38" s="10" t="n">
        <x:f>SUM(XLOOKUP('포켓몬_편집'!$AF38:$AN38,'분류_규칙'!$A$5:$A$76,'분류_규칙'!$H$5:$H$76,0))</x:f>
        <x:v>5</x:v>
      </x:c>
      <x:c r="I38" s="10" t="n">
        <x:f>SUM(XLOOKUP('포켓몬_편집'!$AF38:$AN38,'분류_규칙'!$A$5:$A$76,'분류_규칙'!$I$5:$I$76,0))</x:f>
        <x:v>0</x:v>
      </x:c>
      <x:c r="J38" s="10" t="n">
        <x:f>SUM(XLOOKUP('포켓몬_편집'!$AF38:$AN38,'분류_규칙'!$A$5:$A$76,'분류_규칙'!$J$5:$J$76,0))</x:f>
        <x:v>2</x:v>
      </x:c>
      <x:c r="K38" s="10" t="n">
        <x:f>SUM(XLOOKUP('포켓몬_편집'!$AF38:$AN38,'분류_규칙'!$A$5:$A$76,'분류_규칙'!$K$5:$K$76,0))</x:f>
        <x:v>0</x:v>
      </x:c>
      <x:c r="L38" s="10" t="n">
        <x:f>SUM(XLOOKUP('포켓몬_편집'!$AF38:$AN38,'분류_규칙'!$A$5:$A$76,'분류_규칙'!$L$5:$L$76,0))</x:f>
        <x:v>0</x:v>
      </x:c>
      <x:c r="M38" s="10" t="n">
        <x:f>SUM(XLOOKUP('포켓몬_편집'!$AF38:$AN38,'분류_규칙'!$A$5:$A$76,'분류_규칙'!$M$5:$M$76,0))</x:f>
        <x:v>0</x:v>
      </x:c>
      <x:c r="N38" s="10" t="n">
        <x:f>SUM(XLOOKUP('포켓몬_편집'!$AF38:$AN38,'분류_규칙'!$A$5:$A$76,'분류_규칙'!$N$5:$N$76,0))</x:f>
        <x:v>0</x:v>
      </x:c>
      <x:c r="O38" s="10" t="n">
        <x:f>SUM(XLOOKUP('포켓몬_편집'!$AF38:$AN38,'분류_규칙'!$A$5:$A$76,'분류_규칙'!$O$5:$O$76,0))</x:f>
        <x:v>2</x:v>
      </x:c>
      <x:c r="P38" s="10" t="n">
        <x:f>SUM(XLOOKUP('포켓몬_편집'!$AF38:$AN38,'분류_규칙'!$A$5:$A$76,'분류_규칙'!$P$5:$P$76,0))</x:f>
        <x:v>0</x:v>
      </x:c>
    </x:row>
    <x:row r="39" ht="22" customHeight="1">
      <x:c r="A39" s="5" t="n">
        <x:v>35</x:v>
      </x:c>
      <x:c r="B39" s="5" t="inlineStr">
        <x:is>
          <x:t xml:space="preserve">삐삐</x:t>
        </x:is>
      </x:c>
      <x:c r="C39" s="5" t="inlineStr">
        <x:is>
          <x:t xml:space="preserve">clefairy</x:t>
        </x:is>
      </x:c>
      <x:c r="D39" s="5" t="n">
        <x:v>1</x:v>
      </x:c>
      <x:c r="E39" s="10" t="n">
        <x:f>SUM(XLOOKUP('포켓몬_편집'!$AF39:$AN39,'분류_규칙'!$A$5:$A$76,'분류_규칙'!$E$5:$E$76,0))</x:f>
        <x:v>8</x:v>
      </x:c>
      <x:c r="F39" s="10" t="n">
        <x:f>SUM(XLOOKUP('포켓몬_편집'!$AF39:$AN39,'분류_규칙'!$A$5:$A$76,'분류_규칙'!$F$5:$F$76,0))</x:f>
        <x:v>8</x:v>
      </x:c>
      <x:c r="G39" s="10" t="n">
        <x:f>SUM(XLOOKUP('포켓몬_편집'!$AF39:$AN39,'분류_규칙'!$A$5:$A$76,'분류_규칙'!$G$5:$G$76,0))</x:f>
        <x:v>0</x:v>
      </x:c>
      <x:c r="H39" s="10" t="n">
        <x:f>SUM(XLOOKUP('포켓몬_편집'!$AF39:$AN39,'분류_규칙'!$A$5:$A$76,'분류_규칙'!$H$5:$H$76,0))</x:f>
        <x:v>12</x:v>
      </x:c>
      <x:c r="I39" s="10" t="n">
        <x:f>SUM(XLOOKUP('포켓몬_편집'!$AF39:$AN39,'분류_규칙'!$A$5:$A$76,'분류_규칙'!$I$5:$I$76,0))</x:f>
        <x:v>0</x:v>
      </x:c>
      <x:c r="J39" s="10" t="n">
        <x:f>SUM(XLOOKUP('포켓몬_편집'!$AF39:$AN39,'분류_규칙'!$A$5:$A$76,'분류_규칙'!$J$5:$J$76,0))</x:f>
        <x:v>0</x:v>
      </x:c>
      <x:c r="K39" s="10" t="n">
        <x:f>SUM(XLOOKUP('포켓몬_편집'!$AF39:$AN39,'분류_규칙'!$A$5:$A$76,'분류_규칙'!$K$5:$K$76,0))</x:f>
        <x:v>0</x:v>
      </x:c>
      <x:c r="L39" s="10" t="n">
        <x:f>SUM(XLOOKUP('포켓몬_편집'!$AF39:$AN39,'분류_규칙'!$A$5:$A$76,'분류_규칙'!$L$5:$L$76,0))</x:f>
        <x:v>3</x:v>
      </x:c>
      <x:c r="M39" s="10" t="n">
        <x:f>SUM(XLOOKUP('포켓몬_편집'!$AF39:$AN39,'분류_규칙'!$A$5:$A$76,'분류_규칙'!$M$5:$M$76,0))</x:f>
        <x:v>0</x:v>
      </x:c>
      <x:c r="N39" s="10" t="n">
        <x:f>SUM(XLOOKUP('포켓몬_편집'!$AF39:$AN39,'분류_규칙'!$A$5:$A$76,'분류_규칙'!$N$5:$N$76,0))</x:f>
        <x:v>0</x:v>
      </x:c>
      <x:c r="O39" s="10" t="n">
        <x:f>SUM(XLOOKUP('포켓몬_편집'!$AF39:$AN39,'분류_규칙'!$A$5:$A$76,'분류_규칙'!$O$5:$O$76,0))</x:f>
        <x:v>2</x:v>
      </x:c>
      <x:c r="P39" s="10" t="n">
        <x:f>SUM(XLOOKUP('포켓몬_편집'!$AF39:$AN39,'분류_규칙'!$A$5:$A$76,'분류_규칙'!$P$5:$P$76,0))</x:f>
        <x:v>0</x:v>
      </x:c>
    </x:row>
    <x:row r="40" ht="22" customHeight="1">
      <x:c r="A40" s="5" t="n">
        <x:v>36</x:v>
      </x:c>
      <x:c r="B40" s="5" t="inlineStr">
        <x:is>
          <x:t xml:space="preserve">픽시</x:t>
        </x:is>
      </x:c>
      <x:c r="C40" s="5" t="inlineStr">
        <x:is>
          <x:t xml:space="preserve">clefable</x:t>
        </x:is>
      </x:c>
      <x:c r="D40" s="5" t="n">
        <x:v>1</x:v>
      </x:c>
      <x:c r="E40" s="10" t="n">
        <x:f>SUM(XLOOKUP('포켓몬_편집'!$AF40:$AN40,'분류_규칙'!$A$5:$A$76,'분류_규칙'!$E$5:$E$76,0))</x:f>
        <x:v>8</x:v>
      </x:c>
      <x:c r="F40" s="10" t="n">
        <x:f>SUM(XLOOKUP('포켓몬_편집'!$AF40:$AN40,'분류_규칙'!$A$5:$A$76,'분류_규칙'!$F$5:$F$76,0))</x:f>
        <x:v>8</x:v>
      </x:c>
      <x:c r="G40" s="10" t="n">
        <x:f>SUM(XLOOKUP('포켓몬_편집'!$AF40:$AN40,'분류_규칙'!$A$5:$A$76,'분류_규칙'!$G$5:$G$76,0))</x:f>
        <x:v>0</x:v>
      </x:c>
      <x:c r="H40" s="10" t="n">
        <x:f>SUM(XLOOKUP('포켓몬_편집'!$AF40:$AN40,'분류_규칙'!$A$5:$A$76,'분류_규칙'!$H$5:$H$76,0))</x:f>
        <x:v>12</x:v>
      </x:c>
      <x:c r="I40" s="10" t="n">
        <x:f>SUM(XLOOKUP('포켓몬_편집'!$AF40:$AN40,'분류_규칙'!$A$5:$A$76,'분류_규칙'!$I$5:$I$76,0))</x:f>
        <x:v>0</x:v>
      </x:c>
      <x:c r="J40" s="10" t="n">
        <x:f>SUM(XLOOKUP('포켓몬_편집'!$AF40:$AN40,'분류_규칙'!$A$5:$A$76,'분류_규칙'!$J$5:$J$76,0))</x:f>
        <x:v>0</x:v>
      </x:c>
      <x:c r="K40" s="10" t="n">
        <x:f>SUM(XLOOKUP('포켓몬_편집'!$AF40:$AN40,'분류_규칙'!$A$5:$A$76,'분류_규칙'!$K$5:$K$76,0))</x:f>
        <x:v>0</x:v>
      </x:c>
      <x:c r="L40" s="10" t="n">
        <x:f>SUM(XLOOKUP('포켓몬_편집'!$AF40:$AN40,'분류_규칙'!$A$5:$A$76,'분류_규칙'!$L$5:$L$76,0))</x:f>
        <x:v>3</x:v>
      </x:c>
      <x:c r="M40" s="10" t="n">
        <x:f>SUM(XLOOKUP('포켓몬_편집'!$AF40:$AN40,'분류_규칙'!$A$5:$A$76,'분류_규칙'!$M$5:$M$76,0))</x:f>
        <x:v>0</x:v>
      </x:c>
      <x:c r="N40" s="10" t="n">
        <x:f>SUM(XLOOKUP('포켓몬_편집'!$AF40:$AN40,'분류_규칙'!$A$5:$A$76,'분류_규칙'!$N$5:$N$76,0))</x:f>
        <x:v>0</x:v>
      </x:c>
      <x:c r="O40" s="10" t="n">
        <x:f>SUM(XLOOKUP('포켓몬_편집'!$AF40:$AN40,'분류_규칙'!$A$5:$A$76,'분류_규칙'!$O$5:$O$76,0))</x:f>
        <x:v>2</x:v>
      </x:c>
      <x:c r="P40" s="10" t="n">
        <x:f>SUM(XLOOKUP('포켓몬_편집'!$AF40:$AN40,'분류_규칙'!$A$5:$A$76,'분류_규칙'!$P$5:$P$76,0))</x:f>
        <x:v>0</x:v>
      </x:c>
    </x:row>
    <x:row r="41" ht="22" customHeight="1">
      <x:c r="A41" s="5" t="n">
        <x:v>37</x:v>
      </x:c>
      <x:c r="B41" s="5" t="inlineStr">
        <x:is>
          <x:t xml:space="preserve">식스테일</x:t>
        </x:is>
      </x:c>
      <x:c r="C41" s="5" t="inlineStr">
        <x:is>
          <x:t xml:space="preserve">vulpix</x:t>
        </x:is>
      </x:c>
      <x:c r="D41" s="5" t="n">
        <x:v>1</x:v>
      </x:c>
      <x:c r="E41" s="10" t="n">
        <x:f>SUM(XLOOKUP('포켓몬_편집'!$AF41:$AN41,'분류_규칙'!$A$5:$A$76,'분류_규칙'!$E$5:$E$76,0))</x:f>
        <x:v>10</x:v>
      </x:c>
      <x:c r="F41" s="10" t="n">
        <x:f>SUM(XLOOKUP('포켓몬_편집'!$AF41:$AN41,'분류_규칙'!$A$5:$A$76,'분류_규칙'!$F$5:$F$76,0))</x:f>
        <x:v>7</x:v>
      </x:c>
      <x:c r="G41" s="10" t="n">
        <x:f>SUM(XLOOKUP('포켓몬_편집'!$AF41:$AN41,'분류_규칙'!$A$5:$A$76,'분류_규칙'!$G$5:$G$76,0))</x:f>
        <x:v>5</x:v>
      </x:c>
      <x:c r="H41" s="10" t="n">
        <x:f>SUM(XLOOKUP('포켓몬_편집'!$AF41:$AN41,'분류_규칙'!$A$5:$A$76,'분류_규칙'!$H$5:$H$76,0))</x:f>
        <x:v>5</x:v>
      </x:c>
      <x:c r="I41" s="10" t="n">
        <x:f>SUM(XLOOKUP('포켓몬_편집'!$AF41:$AN41,'분류_규칙'!$A$5:$A$76,'분류_규칙'!$I$5:$I$76,0))</x:f>
        <x:v>0</x:v>
      </x:c>
      <x:c r="J41" s="10" t="n">
        <x:f>SUM(XLOOKUP('포켓몬_편집'!$AF41:$AN41,'분류_규칙'!$A$5:$A$76,'분류_규칙'!$J$5:$J$76,0))</x:f>
        <x:v>2</x:v>
      </x:c>
      <x:c r="K41" s="10" t="n">
        <x:f>SUM(XLOOKUP('포켓몬_편집'!$AF41:$AN41,'분류_규칙'!$A$5:$A$76,'분류_규칙'!$K$5:$K$76,0))</x:f>
        <x:v>0</x:v>
      </x:c>
      <x:c r="L41" s="10" t="n">
        <x:f>SUM(XLOOKUP('포켓몬_편집'!$AF41:$AN41,'분류_규칙'!$A$5:$A$76,'분류_규칙'!$L$5:$L$76,0))</x:f>
        <x:v>0</x:v>
      </x:c>
      <x:c r="M41" s="10" t="n">
        <x:f>SUM(XLOOKUP('포켓몬_편집'!$AF41:$AN41,'분류_규칙'!$A$5:$A$76,'분류_규칙'!$M$5:$M$76,0))</x:f>
        <x:v>0</x:v>
      </x:c>
      <x:c r="N41" s="10" t="n">
        <x:f>SUM(XLOOKUP('포켓몬_편집'!$AF41:$AN41,'분류_규칙'!$A$5:$A$76,'분류_규칙'!$N$5:$N$76,0))</x:f>
        <x:v>0</x:v>
      </x:c>
      <x:c r="O41" s="10" t="n">
        <x:f>SUM(XLOOKUP('포켓몬_편집'!$AF41:$AN41,'분류_규칙'!$A$5:$A$76,'분류_규칙'!$O$5:$O$76,0))</x:f>
        <x:v>2</x:v>
      </x:c>
      <x:c r="P41" s="10" t="n">
        <x:f>SUM(XLOOKUP('포켓몬_편집'!$AF41:$AN41,'분류_규칙'!$A$5:$A$76,'분류_규칙'!$P$5:$P$76,0))</x:f>
        <x:v>0</x:v>
      </x:c>
    </x:row>
    <x:row r="42" ht="22" customHeight="1">
      <x:c r="A42" s="5" t="n">
        <x:v>38</x:v>
      </x:c>
      <x:c r="B42" s="5" t="inlineStr">
        <x:is>
          <x:t xml:space="preserve">나인테일</x:t>
        </x:is>
      </x:c>
      <x:c r="C42" s="5" t="inlineStr">
        <x:is>
          <x:t xml:space="preserve">ninetales</x:t>
        </x:is>
      </x:c>
      <x:c r="D42" s="5" t="n">
        <x:v>1</x:v>
      </x:c>
      <x:c r="E42" s="10" t="n">
        <x:f>SUM(XLOOKUP('포켓몬_편집'!$AF42:$AN42,'분류_규칙'!$A$5:$A$76,'분류_규칙'!$E$5:$E$76,0))</x:f>
        <x:v>10</x:v>
      </x:c>
      <x:c r="F42" s="10" t="n">
        <x:f>SUM(XLOOKUP('포켓몬_편집'!$AF42:$AN42,'분류_규칙'!$A$5:$A$76,'분류_규칙'!$F$5:$F$76,0))</x:f>
        <x:v>7</x:v>
      </x:c>
      <x:c r="G42" s="10" t="n">
        <x:f>SUM(XLOOKUP('포켓몬_편집'!$AF42:$AN42,'분류_규칙'!$A$5:$A$76,'분류_규칙'!$G$5:$G$76,0))</x:f>
        <x:v>5</x:v>
      </x:c>
      <x:c r="H42" s="10" t="n">
        <x:f>SUM(XLOOKUP('포켓몬_편집'!$AF42:$AN42,'분류_규칙'!$A$5:$A$76,'분류_규칙'!$H$5:$H$76,0))</x:f>
        <x:v>5</x:v>
      </x:c>
      <x:c r="I42" s="10" t="n">
        <x:f>SUM(XLOOKUP('포켓몬_편집'!$AF42:$AN42,'분류_규칙'!$A$5:$A$76,'분류_규칙'!$I$5:$I$76,0))</x:f>
        <x:v>0</x:v>
      </x:c>
      <x:c r="J42" s="10" t="n">
        <x:f>SUM(XLOOKUP('포켓몬_편집'!$AF42:$AN42,'분류_규칙'!$A$5:$A$76,'분류_규칙'!$J$5:$J$76,0))</x:f>
        <x:v>2</x:v>
      </x:c>
      <x:c r="K42" s="10" t="n">
        <x:f>SUM(XLOOKUP('포켓몬_편집'!$AF42:$AN42,'분류_규칙'!$A$5:$A$76,'분류_규칙'!$K$5:$K$76,0))</x:f>
        <x:v>0</x:v>
      </x:c>
      <x:c r="L42" s="10" t="n">
        <x:f>SUM(XLOOKUP('포켓몬_편집'!$AF42:$AN42,'분류_규칙'!$A$5:$A$76,'분류_규칙'!$L$5:$L$76,0))</x:f>
        <x:v>0</x:v>
      </x:c>
      <x:c r="M42" s="10" t="n">
        <x:f>SUM(XLOOKUP('포켓몬_편집'!$AF42:$AN42,'분류_규칙'!$A$5:$A$76,'분류_규칙'!$M$5:$M$76,0))</x:f>
        <x:v>0</x:v>
      </x:c>
      <x:c r="N42" s="10" t="n">
        <x:f>SUM(XLOOKUP('포켓몬_편집'!$AF42:$AN42,'분류_규칙'!$A$5:$A$76,'분류_규칙'!$N$5:$N$76,0))</x:f>
        <x:v>0</x:v>
      </x:c>
      <x:c r="O42" s="10" t="n">
        <x:f>SUM(XLOOKUP('포켓몬_편집'!$AF42:$AN42,'분류_규칙'!$A$5:$A$76,'분류_규칙'!$O$5:$O$76,0))</x:f>
        <x:v>2</x:v>
      </x:c>
      <x:c r="P42" s="10" t="n">
        <x:f>SUM(XLOOKUP('포켓몬_편집'!$AF42:$AN42,'분류_규칙'!$A$5:$A$76,'분류_규칙'!$P$5:$P$76,0))</x:f>
        <x:v>0</x:v>
      </x:c>
    </x:row>
    <x:row r="43" ht="22" customHeight="1">
      <x:c r="A43" s="5" t="n">
        <x:v>39</x:v>
      </x:c>
      <x:c r="B43" s="5" t="inlineStr">
        <x:is>
          <x:t xml:space="preserve">푸린</x:t>
        </x:is>
      </x:c>
      <x:c r="C43" s="5" t="inlineStr">
        <x:is>
          <x:t xml:space="preserve">jigglypuff</x:t>
        </x:is>
      </x:c>
      <x:c r="D43" s="5" t="n">
        <x:v>1</x:v>
      </x:c>
      <x:c r="E43" s="10" t="n">
        <x:f>SUM(XLOOKUP('포켓몬_편집'!$AF43:$AN43,'분류_규칙'!$A$5:$A$76,'분류_규칙'!$E$5:$E$76,0))</x:f>
        <x:v>8</x:v>
      </x:c>
      <x:c r="F43" s="10" t="n">
        <x:f>SUM(XLOOKUP('포켓몬_편집'!$AF43:$AN43,'분류_규칙'!$A$5:$A$76,'분류_규칙'!$F$5:$F$76,0))</x:f>
        <x:v>8</x:v>
      </x:c>
      <x:c r="G43" s="10" t="n">
        <x:f>SUM(XLOOKUP('포켓몬_편집'!$AF43:$AN43,'분류_규칙'!$A$5:$A$76,'분류_규칙'!$G$5:$G$76,0))</x:f>
        <x:v>0</x:v>
      </x:c>
      <x:c r="H43" s="10" t="n">
        <x:f>SUM(XLOOKUP('포켓몬_편집'!$AF43:$AN43,'분류_규칙'!$A$5:$A$76,'분류_규칙'!$H$5:$H$76,0))</x:f>
        <x:v>12</x:v>
      </x:c>
      <x:c r="I43" s="10" t="n">
        <x:f>SUM(XLOOKUP('포켓몬_편집'!$AF43:$AN43,'분류_규칙'!$A$5:$A$76,'분류_규칙'!$I$5:$I$76,0))</x:f>
        <x:v>0</x:v>
      </x:c>
      <x:c r="J43" s="10" t="n">
        <x:f>SUM(XLOOKUP('포켓몬_편집'!$AF43:$AN43,'분류_규칙'!$A$5:$A$76,'분류_규칙'!$J$5:$J$76,0))</x:f>
        <x:v>0</x:v>
      </x:c>
      <x:c r="K43" s="10" t="n">
        <x:f>SUM(XLOOKUP('포켓몬_편집'!$AF43:$AN43,'분류_규칙'!$A$5:$A$76,'분류_규칙'!$K$5:$K$76,0))</x:f>
        <x:v>0</x:v>
      </x:c>
      <x:c r="L43" s="10" t="n">
        <x:f>SUM(XLOOKUP('포켓몬_편집'!$AF43:$AN43,'분류_규칙'!$A$5:$A$76,'분류_규칙'!$L$5:$L$76,0))</x:f>
        <x:v>3</x:v>
      </x:c>
      <x:c r="M43" s="10" t="n">
        <x:f>SUM(XLOOKUP('포켓몬_편집'!$AF43:$AN43,'분류_규칙'!$A$5:$A$76,'분류_규칙'!$M$5:$M$76,0))</x:f>
        <x:v>0</x:v>
      </x:c>
      <x:c r="N43" s="10" t="n">
        <x:f>SUM(XLOOKUP('포켓몬_편집'!$AF43:$AN43,'분류_규칙'!$A$5:$A$76,'분류_규칙'!$N$5:$N$76,0))</x:f>
        <x:v>0</x:v>
      </x:c>
      <x:c r="O43" s="10" t="n">
        <x:f>SUM(XLOOKUP('포켓몬_편집'!$AF43:$AN43,'분류_규칙'!$A$5:$A$76,'분류_규칙'!$O$5:$O$76,0))</x:f>
        <x:v>2</x:v>
      </x:c>
      <x:c r="P43" s="10" t="n">
        <x:f>SUM(XLOOKUP('포켓몬_편집'!$AF43:$AN43,'분류_규칙'!$A$5:$A$76,'분류_규칙'!$P$5:$P$76,0))</x:f>
        <x:v>0</x:v>
      </x:c>
    </x:row>
    <x:row r="44" ht="22" customHeight="1">
      <x:c r="A44" s="5" t="n">
        <x:v>40</x:v>
      </x:c>
      <x:c r="B44" s="5" t="inlineStr">
        <x:is>
          <x:t xml:space="preserve">푸크린</x:t>
        </x:is>
      </x:c>
      <x:c r="C44" s="5" t="inlineStr">
        <x:is>
          <x:t xml:space="preserve">wigglytuff</x:t>
        </x:is>
      </x:c>
      <x:c r="D44" s="5" t="n">
        <x:v>1</x:v>
      </x:c>
      <x:c r="E44" s="10" t="n">
        <x:f>SUM(XLOOKUP('포켓몬_편집'!$AF44:$AN44,'분류_규칙'!$A$5:$A$76,'분류_규칙'!$E$5:$E$76,0))</x:f>
        <x:v>8</x:v>
      </x:c>
      <x:c r="F44" s="10" t="n">
        <x:f>SUM(XLOOKUP('포켓몬_편집'!$AF44:$AN44,'분류_규칙'!$A$5:$A$76,'분류_규칙'!$F$5:$F$76,0))</x:f>
        <x:v>8</x:v>
      </x:c>
      <x:c r="G44" s="10" t="n">
        <x:f>SUM(XLOOKUP('포켓몬_편집'!$AF44:$AN44,'분류_규칙'!$A$5:$A$76,'분류_규칙'!$G$5:$G$76,0))</x:f>
        <x:v>0</x:v>
      </x:c>
      <x:c r="H44" s="10" t="n">
        <x:f>SUM(XLOOKUP('포켓몬_편집'!$AF44:$AN44,'분류_규칙'!$A$5:$A$76,'분류_규칙'!$H$5:$H$76,0))</x:f>
        <x:v>12</x:v>
      </x:c>
      <x:c r="I44" s="10" t="n">
        <x:f>SUM(XLOOKUP('포켓몬_편집'!$AF44:$AN44,'분류_규칙'!$A$5:$A$76,'분류_규칙'!$I$5:$I$76,0))</x:f>
        <x:v>0</x:v>
      </x:c>
      <x:c r="J44" s="10" t="n">
        <x:f>SUM(XLOOKUP('포켓몬_편집'!$AF44:$AN44,'분류_규칙'!$A$5:$A$76,'분류_규칙'!$J$5:$J$76,0))</x:f>
        <x:v>0</x:v>
      </x:c>
      <x:c r="K44" s="10" t="n">
        <x:f>SUM(XLOOKUP('포켓몬_편집'!$AF44:$AN44,'분류_규칙'!$A$5:$A$76,'분류_규칙'!$K$5:$K$76,0))</x:f>
        <x:v>0</x:v>
      </x:c>
      <x:c r="L44" s="10" t="n">
        <x:f>SUM(XLOOKUP('포켓몬_편집'!$AF44:$AN44,'분류_규칙'!$A$5:$A$76,'분류_규칙'!$L$5:$L$76,0))</x:f>
        <x:v>3</x:v>
      </x:c>
      <x:c r="M44" s="10" t="n">
        <x:f>SUM(XLOOKUP('포켓몬_편집'!$AF44:$AN44,'분류_규칙'!$A$5:$A$76,'분류_규칙'!$M$5:$M$76,0))</x:f>
        <x:v>0</x:v>
      </x:c>
      <x:c r="N44" s="10" t="n">
        <x:f>SUM(XLOOKUP('포켓몬_편집'!$AF44:$AN44,'분류_규칙'!$A$5:$A$76,'분류_규칙'!$N$5:$N$76,0))</x:f>
        <x:v>0</x:v>
      </x:c>
      <x:c r="O44" s="10" t="n">
        <x:f>SUM(XLOOKUP('포켓몬_편집'!$AF44:$AN44,'분류_규칙'!$A$5:$A$76,'분류_규칙'!$O$5:$O$76,0))</x:f>
        <x:v>2</x:v>
      </x:c>
      <x:c r="P44" s="10" t="n">
        <x:f>SUM(XLOOKUP('포켓몬_편집'!$AF44:$AN44,'분류_규칙'!$A$5:$A$76,'분류_규칙'!$P$5:$P$76,0))</x:f>
        <x:v>0</x:v>
      </x:c>
    </x:row>
    <x:row r="45" ht="22" customHeight="1">
      <x:c r="A45" s="5" t="n">
        <x:v>41</x:v>
      </x:c>
      <x:c r="B45" s="5" t="inlineStr">
        <x:is>
          <x:t xml:space="preserve">주뱃</x:t>
        </x:is>
      </x:c>
      <x:c r="C45" s="5" t="inlineStr">
        <x:is>
          <x:t xml:space="preserve">zubat</x:t>
        </x:is>
      </x:c>
      <x:c r="D45" s="5" t="n">
        <x:v>1</x:v>
      </x:c>
      <x:c r="E45" s="10" t="n">
        <x:f>SUM(XLOOKUP('포켓몬_편집'!$AF45:$AN45,'분류_규칙'!$A$5:$A$76,'분류_규칙'!$E$5:$E$76,0))</x:f>
        <x:v>8</x:v>
      </x:c>
      <x:c r="F45" s="10" t="n">
        <x:f>SUM(XLOOKUP('포켓몬_편집'!$AF45:$AN45,'분류_규칙'!$A$5:$A$76,'분류_규칙'!$F$5:$F$76,0))</x:f>
        <x:v>8</x:v>
      </x:c>
      <x:c r="G45" s="10" t="n">
        <x:f>SUM(XLOOKUP('포켓몬_편집'!$AF45:$AN45,'분류_규칙'!$A$5:$A$76,'분류_규칙'!$G$5:$G$76,0))</x:f>
        <x:v>0</x:v>
      </x:c>
      <x:c r="H45" s="10" t="n">
        <x:f>SUM(XLOOKUP('포켓몬_편집'!$AF45:$AN45,'분류_규칙'!$A$5:$A$76,'분류_규칙'!$H$5:$H$76,0))</x:f>
        <x:v>12</x:v>
      </x:c>
      <x:c r="I45" s="10" t="n">
        <x:f>SUM(XLOOKUP('포켓몬_편집'!$AF45:$AN45,'분류_규칙'!$A$5:$A$76,'분류_규칙'!$I$5:$I$76,0))</x:f>
        <x:v>0</x:v>
      </x:c>
      <x:c r="J45" s="10" t="n">
        <x:f>SUM(XLOOKUP('포켓몬_편집'!$AF45:$AN45,'분류_규칙'!$A$5:$A$76,'분류_규칙'!$J$5:$J$76,0))</x:f>
        <x:v>0</x:v>
      </x:c>
      <x:c r="K45" s="10" t="n">
        <x:f>SUM(XLOOKUP('포켓몬_편집'!$AF45:$AN45,'분류_규칙'!$A$5:$A$76,'분류_규칙'!$K$5:$K$76,0))</x:f>
        <x:v>0</x:v>
      </x:c>
      <x:c r="L45" s="10" t="n">
        <x:f>SUM(XLOOKUP('포켓몬_편집'!$AF45:$AN45,'분류_규칙'!$A$5:$A$76,'분류_규칙'!$L$5:$L$76,0))</x:f>
        <x:v>3</x:v>
      </x:c>
      <x:c r="M45" s="10" t="n">
        <x:f>SUM(XLOOKUP('포켓몬_편집'!$AF45:$AN45,'분류_규칙'!$A$5:$A$76,'분류_규칙'!$M$5:$M$76,0))</x:f>
        <x:v>0</x:v>
      </x:c>
      <x:c r="N45" s="10" t="n">
        <x:f>SUM(XLOOKUP('포켓몬_편집'!$AF45:$AN45,'분류_규칙'!$A$5:$A$76,'분류_규칙'!$N$5:$N$76,0))</x:f>
        <x:v>0</x:v>
      </x:c>
      <x:c r="O45" s="10" t="n">
        <x:f>SUM(XLOOKUP('포켓몬_편집'!$AF45:$AN45,'분류_규칙'!$A$5:$A$76,'분류_규칙'!$O$5:$O$76,0))</x:f>
        <x:v>2</x:v>
      </x:c>
      <x:c r="P45" s="10" t="n">
        <x:f>SUM(XLOOKUP('포켓몬_편집'!$AF45:$AN45,'분류_규칙'!$A$5:$A$76,'분류_규칙'!$P$5:$P$76,0))</x:f>
        <x:v>0</x:v>
      </x:c>
    </x:row>
    <x:row r="46" ht="22" customHeight="1">
      <x:c r="A46" s="5" t="n">
        <x:v>42</x:v>
      </x:c>
      <x:c r="B46" s="5" t="inlineStr">
        <x:is>
          <x:t xml:space="preserve">골뱃</x:t>
        </x:is>
      </x:c>
      <x:c r="C46" s="5" t="inlineStr">
        <x:is>
          <x:t xml:space="preserve">golbat</x:t>
        </x:is>
      </x:c>
      <x:c r="D46" s="5" t="n">
        <x:v>1</x:v>
      </x:c>
      <x:c r="E46" s="10" t="n">
        <x:f>SUM(XLOOKUP('포켓몬_편집'!$AF46:$AN46,'분류_규칙'!$A$5:$A$76,'분류_규칙'!$E$5:$E$76,0))</x:f>
        <x:v>8</x:v>
      </x:c>
      <x:c r="F46" s="10" t="n">
        <x:f>SUM(XLOOKUP('포켓몬_편집'!$AF46:$AN46,'분류_규칙'!$A$5:$A$76,'분류_규칙'!$F$5:$F$76,0))</x:f>
        <x:v>8</x:v>
      </x:c>
      <x:c r="G46" s="10" t="n">
        <x:f>SUM(XLOOKUP('포켓몬_편집'!$AF46:$AN46,'분류_규칙'!$A$5:$A$76,'분류_규칙'!$G$5:$G$76,0))</x:f>
        <x:v>0</x:v>
      </x:c>
      <x:c r="H46" s="10" t="n">
        <x:f>SUM(XLOOKUP('포켓몬_편집'!$AF46:$AN46,'분류_규칙'!$A$5:$A$76,'분류_규칙'!$H$5:$H$76,0))</x:f>
        <x:v>12</x:v>
      </x:c>
      <x:c r="I46" s="10" t="n">
        <x:f>SUM(XLOOKUP('포켓몬_편집'!$AF46:$AN46,'분류_규칙'!$A$5:$A$76,'분류_규칙'!$I$5:$I$76,0))</x:f>
        <x:v>0</x:v>
      </x:c>
      <x:c r="J46" s="10" t="n">
        <x:f>SUM(XLOOKUP('포켓몬_편집'!$AF46:$AN46,'분류_규칙'!$A$5:$A$76,'분류_규칙'!$J$5:$J$76,0))</x:f>
        <x:v>0</x:v>
      </x:c>
      <x:c r="K46" s="10" t="n">
        <x:f>SUM(XLOOKUP('포켓몬_편집'!$AF46:$AN46,'분류_규칙'!$A$5:$A$76,'분류_규칙'!$K$5:$K$76,0))</x:f>
        <x:v>0</x:v>
      </x:c>
      <x:c r="L46" s="10" t="n">
        <x:f>SUM(XLOOKUP('포켓몬_편집'!$AF46:$AN46,'분류_규칙'!$A$5:$A$76,'분류_규칙'!$L$5:$L$76,0))</x:f>
        <x:v>3</x:v>
      </x:c>
      <x:c r="M46" s="10" t="n">
        <x:f>SUM(XLOOKUP('포켓몬_편집'!$AF46:$AN46,'분류_규칙'!$A$5:$A$76,'분류_규칙'!$M$5:$M$76,0))</x:f>
        <x:v>0</x:v>
      </x:c>
      <x:c r="N46" s="10" t="n">
        <x:f>SUM(XLOOKUP('포켓몬_편집'!$AF46:$AN46,'분류_규칙'!$A$5:$A$76,'분류_규칙'!$N$5:$N$76,0))</x:f>
        <x:v>0</x:v>
      </x:c>
      <x:c r="O46" s="10" t="n">
        <x:f>SUM(XLOOKUP('포켓몬_편집'!$AF46:$AN46,'분류_규칙'!$A$5:$A$76,'분류_규칙'!$O$5:$O$76,0))</x:f>
        <x:v>2</x:v>
      </x:c>
      <x:c r="P46" s="10" t="n">
        <x:f>SUM(XLOOKUP('포켓몬_편집'!$AF46:$AN46,'분류_규칙'!$A$5:$A$76,'분류_규칙'!$P$5:$P$76,0))</x:f>
        <x:v>0</x:v>
      </x:c>
    </x:row>
    <x:row r="47" ht="22" customHeight="1">
      <x:c r="A47" s="5" t="n">
        <x:v>43</x:v>
      </x:c>
      <x:c r="B47" s="5" t="inlineStr">
        <x:is>
          <x:t xml:space="preserve">뚜벅쵸</x:t>
        </x:is>
      </x:c>
      <x:c r="C47" s="5" t="inlineStr">
        <x:is>
          <x:t xml:space="preserve">oddish</x:t>
        </x:is>
      </x:c>
      <x:c r="D47" s="5" t="n">
        <x:v>1</x:v>
      </x:c>
      <x:c r="E47" s="10" t="n">
        <x:f>SUM(XLOOKUP('포켓몬_편집'!$AF47:$AN47,'분류_규칙'!$A$5:$A$76,'분류_규칙'!$E$5:$E$76,0))</x:f>
        <x:v>10</x:v>
      </x:c>
      <x:c r="F47" s="10" t="n">
        <x:f>SUM(XLOOKUP('포켓몬_편집'!$AF47:$AN47,'분류_규칙'!$A$5:$A$76,'분류_규칙'!$F$5:$F$76,0))</x:f>
        <x:v>7</x:v>
      </x:c>
      <x:c r="G47" s="10" t="n">
        <x:f>SUM(XLOOKUP('포켓몬_편집'!$AF47:$AN47,'분류_규칙'!$A$5:$A$76,'분류_규칙'!$G$5:$G$76,0))</x:f>
        <x:v>5</x:v>
      </x:c>
      <x:c r="H47" s="10" t="n">
        <x:f>SUM(XLOOKUP('포켓몬_편집'!$AF47:$AN47,'분류_규칙'!$A$5:$A$76,'분류_규칙'!$H$5:$H$76,0))</x:f>
        <x:v>5</x:v>
      </x:c>
      <x:c r="I47" s="10" t="n">
        <x:f>SUM(XLOOKUP('포켓몬_편집'!$AF47:$AN47,'분류_규칙'!$A$5:$A$76,'분류_규칙'!$I$5:$I$76,0))</x:f>
        <x:v>0</x:v>
      </x:c>
      <x:c r="J47" s="10" t="n">
        <x:f>SUM(XLOOKUP('포켓몬_편집'!$AF47:$AN47,'분류_규칙'!$A$5:$A$76,'분류_규칙'!$J$5:$J$76,0))</x:f>
        <x:v>2</x:v>
      </x:c>
      <x:c r="K47" s="10" t="n">
        <x:f>SUM(XLOOKUP('포켓몬_편집'!$AF47:$AN47,'분류_규칙'!$A$5:$A$76,'분류_규칙'!$K$5:$K$76,0))</x:f>
        <x:v>0</x:v>
      </x:c>
      <x:c r="L47" s="10" t="n">
        <x:f>SUM(XLOOKUP('포켓몬_편집'!$AF47:$AN47,'분류_규칙'!$A$5:$A$76,'분류_규칙'!$L$5:$L$76,0))</x:f>
        <x:v>0</x:v>
      </x:c>
      <x:c r="M47" s="10" t="n">
        <x:f>SUM(XLOOKUP('포켓몬_편집'!$AF47:$AN47,'분류_규칙'!$A$5:$A$76,'분류_규칙'!$M$5:$M$76,0))</x:f>
        <x:v>0</x:v>
      </x:c>
      <x:c r="N47" s="10" t="n">
        <x:f>SUM(XLOOKUP('포켓몬_편집'!$AF47:$AN47,'분류_규칙'!$A$5:$A$76,'분류_규칙'!$N$5:$N$76,0))</x:f>
        <x:v>0</x:v>
      </x:c>
      <x:c r="O47" s="10" t="n">
        <x:f>SUM(XLOOKUP('포켓몬_편집'!$AF47:$AN47,'분류_규칙'!$A$5:$A$76,'분류_규칙'!$O$5:$O$76,0))</x:f>
        <x:v>2</x:v>
      </x:c>
      <x:c r="P47" s="10" t="n">
        <x:f>SUM(XLOOKUP('포켓몬_편집'!$AF47:$AN47,'분류_규칙'!$A$5:$A$76,'분류_규칙'!$P$5:$P$76,0))</x:f>
        <x:v>0</x:v>
      </x:c>
    </x:row>
    <x:row r="48" ht="22" customHeight="1">
      <x:c r="A48" s="5" t="n">
        <x:v>44</x:v>
      </x:c>
      <x:c r="B48" s="5" t="inlineStr">
        <x:is>
          <x:t xml:space="preserve">냄새꼬</x:t>
        </x:is>
      </x:c>
      <x:c r="C48" s="5" t="inlineStr">
        <x:is>
          <x:t xml:space="preserve">gloom</x:t>
        </x:is>
      </x:c>
      <x:c r="D48" s="5" t="n">
        <x:v>1</x:v>
      </x:c>
      <x:c r="E48" s="10" t="n">
        <x:f>SUM(XLOOKUP('포켓몬_편집'!$AF48:$AN48,'분류_규칙'!$A$5:$A$76,'분류_규칙'!$E$5:$E$76,0))</x:f>
        <x:v>10</x:v>
      </x:c>
      <x:c r="F48" s="10" t="n">
        <x:f>SUM(XLOOKUP('포켓몬_편집'!$AF48:$AN48,'분류_규칙'!$A$5:$A$76,'분류_규칙'!$F$5:$F$76,0))</x:f>
        <x:v>7</x:v>
      </x:c>
      <x:c r="G48" s="10" t="n">
        <x:f>SUM(XLOOKUP('포켓몬_편집'!$AF48:$AN48,'분류_규칙'!$A$5:$A$76,'분류_규칙'!$G$5:$G$76,0))</x:f>
        <x:v>5</x:v>
      </x:c>
      <x:c r="H48" s="10" t="n">
        <x:f>SUM(XLOOKUP('포켓몬_편집'!$AF48:$AN48,'분류_규칙'!$A$5:$A$76,'분류_규칙'!$H$5:$H$76,0))</x:f>
        <x:v>5</x:v>
      </x:c>
      <x:c r="I48" s="10" t="n">
        <x:f>SUM(XLOOKUP('포켓몬_편집'!$AF48:$AN48,'분류_규칙'!$A$5:$A$76,'분류_규칙'!$I$5:$I$76,0))</x:f>
        <x:v>0</x:v>
      </x:c>
      <x:c r="J48" s="10" t="n">
        <x:f>SUM(XLOOKUP('포켓몬_편집'!$AF48:$AN48,'분류_규칙'!$A$5:$A$76,'분류_규칙'!$J$5:$J$76,0))</x:f>
        <x:v>2</x:v>
      </x:c>
      <x:c r="K48" s="10" t="n">
        <x:f>SUM(XLOOKUP('포켓몬_편집'!$AF48:$AN48,'분류_규칙'!$A$5:$A$76,'분류_규칙'!$K$5:$K$76,0))</x:f>
        <x:v>0</x:v>
      </x:c>
      <x:c r="L48" s="10" t="n">
        <x:f>SUM(XLOOKUP('포켓몬_편집'!$AF48:$AN48,'분류_규칙'!$A$5:$A$76,'분류_규칙'!$L$5:$L$76,0))</x:f>
        <x:v>0</x:v>
      </x:c>
      <x:c r="M48" s="10" t="n">
        <x:f>SUM(XLOOKUP('포켓몬_편집'!$AF48:$AN48,'분류_규칙'!$A$5:$A$76,'분류_규칙'!$M$5:$M$76,0))</x:f>
        <x:v>0</x:v>
      </x:c>
      <x:c r="N48" s="10" t="n">
        <x:f>SUM(XLOOKUP('포켓몬_편집'!$AF48:$AN48,'분류_규칙'!$A$5:$A$76,'분류_규칙'!$N$5:$N$76,0))</x:f>
        <x:v>0</x:v>
      </x:c>
      <x:c r="O48" s="10" t="n">
        <x:f>SUM(XLOOKUP('포켓몬_편집'!$AF48:$AN48,'분류_규칙'!$A$5:$A$76,'분류_규칙'!$O$5:$O$76,0))</x:f>
        <x:v>2</x:v>
      </x:c>
      <x:c r="P48" s="10" t="n">
        <x:f>SUM(XLOOKUP('포켓몬_편집'!$AF48:$AN48,'분류_규칙'!$A$5:$A$76,'분류_규칙'!$P$5:$P$76,0))</x:f>
        <x:v>0</x:v>
      </x:c>
    </x:row>
    <x:row r="49" ht="22" customHeight="1">
      <x:c r="A49" s="5" t="n">
        <x:v>45</x:v>
      </x:c>
      <x:c r="B49" s="5" t="inlineStr">
        <x:is>
          <x:t xml:space="preserve">라플레시아</x:t>
        </x:is>
      </x:c>
      <x:c r="C49" s="5" t="inlineStr">
        <x:is>
          <x:t xml:space="preserve">vileplume</x:t>
        </x:is>
      </x:c>
      <x:c r="D49" s="5" t="n">
        <x:v>1</x:v>
      </x:c>
      <x:c r="E49" s="10" t="n">
        <x:f>SUM(XLOOKUP('포켓몬_편집'!$AF49:$AN49,'분류_규칙'!$A$5:$A$76,'분류_규칙'!$E$5:$E$76,0))</x:f>
        <x:v>10</x:v>
      </x:c>
      <x:c r="F49" s="10" t="n">
        <x:f>SUM(XLOOKUP('포켓몬_편집'!$AF49:$AN49,'분류_규칙'!$A$5:$A$76,'분류_규칙'!$F$5:$F$76,0))</x:f>
        <x:v>7</x:v>
      </x:c>
      <x:c r="G49" s="10" t="n">
        <x:f>SUM(XLOOKUP('포켓몬_편집'!$AF49:$AN49,'분류_규칙'!$A$5:$A$76,'분류_규칙'!$G$5:$G$76,0))</x:f>
        <x:v>5</x:v>
      </x:c>
      <x:c r="H49" s="10" t="n">
        <x:f>SUM(XLOOKUP('포켓몬_편집'!$AF49:$AN49,'분류_규칙'!$A$5:$A$76,'분류_규칙'!$H$5:$H$76,0))</x:f>
        <x:v>5</x:v>
      </x:c>
      <x:c r="I49" s="10" t="n">
        <x:f>SUM(XLOOKUP('포켓몬_편집'!$AF49:$AN49,'분류_규칙'!$A$5:$A$76,'분류_규칙'!$I$5:$I$76,0))</x:f>
        <x:v>0</x:v>
      </x:c>
      <x:c r="J49" s="10" t="n">
        <x:f>SUM(XLOOKUP('포켓몬_편집'!$AF49:$AN49,'분류_규칙'!$A$5:$A$76,'분류_규칙'!$J$5:$J$76,0))</x:f>
        <x:v>2</x:v>
      </x:c>
      <x:c r="K49" s="10" t="n">
        <x:f>SUM(XLOOKUP('포켓몬_편집'!$AF49:$AN49,'분류_규칙'!$A$5:$A$76,'분류_규칙'!$K$5:$K$76,0))</x:f>
        <x:v>0</x:v>
      </x:c>
      <x:c r="L49" s="10" t="n">
        <x:f>SUM(XLOOKUP('포켓몬_편집'!$AF49:$AN49,'분류_규칙'!$A$5:$A$76,'분류_규칙'!$L$5:$L$76,0))</x:f>
        <x:v>0</x:v>
      </x:c>
      <x:c r="M49" s="10" t="n">
        <x:f>SUM(XLOOKUP('포켓몬_편집'!$AF49:$AN49,'분류_규칙'!$A$5:$A$76,'분류_규칙'!$M$5:$M$76,0))</x:f>
        <x:v>0</x:v>
      </x:c>
      <x:c r="N49" s="10" t="n">
        <x:f>SUM(XLOOKUP('포켓몬_편집'!$AF49:$AN49,'분류_규칙'!$A$5:$A$76,'분류_규칙'!$N$5:$N$76,0))</x:f>
        <x:v>0</x:v>
      </x:c>
      <x:c r="O49" s="10" t="n">
        <x:f>SUM(XLOOKUP('포켓몬_편집'!$AF49:$AN49,'분류_규칙'!$A$5:$A$76,'분류_규칙'!$O$5:$O$76,0))</x:f>
        <x:v>2</x:v>
      </x:c>
      <x:c r="P49" s="10" t="n">
        <x:f>SUM(XLOOKUP('포켓몬_편집'!$AF49:$AN49,'분류_규칙'!$A$5:$A$76,'분류_규칙'!$P$5:$P$76,0))</x:f>
        <x:v>0</x:v>
      </x:c>
    </x:row>
    <x:row r="50" ht="22" customHeight="1">
      <x:c r="A50" s="5" t="n">
        <x:v>46</x:v>
      </x:c>
      <x:c r="B50" s="5" t="inlineStr">
        <x:is>
          <x:t xml:space="preserve">파라스</x:t>
        </x:is>
      </x:c>
      <x:c r="C50" s="5" t="inlineStr">
        <x:is>
          <x:t xml:space="preserve">paras</x:t>
        </x:is>
      </x:c>
      <x:c r="D50" s="5" t="n">
        <x:v>1</x:v>
      </x:c>
      <x:c r="E50" s="10" t="n">
        <x:f>SUM(XLOOKUP('포켓몬_편집'!$AF50:$AN50,'분류_규칙'!$A$5:$A$76,'분류_규칙'!$E$5:$E$76,0))</x:f>
        <x:v>10</x:v>
      </x:c>
      <x:c r="F50" s="10" t="n">
        <x:f>SUM(XLOOKUP('포켓몬_편집'!$AF50:$AN50,'분류_규칙'!$A$5:$A$76,'분류_규칙'!$F$5:$F$76,0))</x:f>
        <x:v>7</x:v>
      </x:c>
      <x:c r="G50" s="10" t="n">
        <x:f>SUM(XLOOKUP('포켓몬_편집'!$AF50:$AN50,'분류_규칙'!$A$5:$A$76,'분류_규칙'!$G$5:$G$76,0))</x:f>
        <x:v>5</x:v>
      </x:c>
      <x:c r="H50" s="10" t="n">
        <x:f>SUM(XLOOKUP('포켓몬_편집'!$AF50:$AN50,'분류_규칙'!$A$5:$A$76,'분류_규칙'!$H$5:$H$76,0))</x:f>
        <x:v>5</x:v>
      </x:c>
      <x:c r="I50" s="10" t="n">
        <x:f>SUM(XLOOKUP('포켓몬_편집'!$AF50:$AN50,'분류_규칙'!$A$5:$A$76,'분류_규칙'!$I$5:$I$76,0))</x:f>
        <x:v>0</x:v>
      </x:c>
      <x:c r="J50" s="10" t="n">
        <x:f>SUM(XLOOKUP('포켓몬_편집'!$AF50:$AN50,'분류_규칙'!$A$5:$A$76,'분류_규칙'!$J$5:$J$76,0))</x:f>
        <x:v>2</x:v>
      </x:c>
      <x:c r="K50" s="10" t="n">
        <x:f>SUM(XLOOKUP('포켓몬_편집'!$AF50:$AN50,'분류_규칙'!$A$5:$A$76,'분류_규칙'!$K$5:$K$76,0))</x:f>
        <x:v>0</x:v>
      </x:c>
      <x:c r="L50" s="10" t="n">
        <x:f>SUM(XLOOKUP('포켓몬_편집'!$AF50:$AN50,'분류_규칙'!$A$5:$A$76,'분류_규칙'!$L$5:$L$76,0))</x:f>
        <x:v>0</x:v>
      </x:c>
      <x:c r="M50" s="10" t="n">
        <x:f>SUM(XLOOKUP('포켓몬_편집'!$AF50:$AN50,'분류_규칙'!$A$5:$A$76,'분류_규칙'!$M$5:$M$76,0))</x:f>
        <x:v>0</x:v>
      </x:c>
      <x:c r="N50" s="10" t="n">
        <x:f>SUM(XLOOKUP('포켓몬_편집'!$AF50:$AN50,'분류_규칙'!$A$5:$A$76,'분류_규칙'!$N$5:$N$76,0))</x:f>
        <x:v>0</x:v>
      </x:c>
      <x:c r="O50" s="10" t="n">
        <x:f>SUM(XLOOKUP('포켓몬_편집'!$AF50:$AN50,'분류_규칙'!$A$5:$A$76,'분류_규칙'!$O$5:$O$76,0))</x:f>
        <x:v>2</x:v>
      </x:c>
      <x:c r="P50" s="10" t="n">
        <x:f>SUM(XLOOKUP('포켓몬_편집'!$AF50:$AN50,'분류_규칙'!$A$5:$A$76,'분류_규칙'!$P$5:$P$76,0))</x:f>
        <x:v>0</x:v>
      </x:c>
    </x:row>
    <x:row r="51" ht="22" customHeight="1">
      <x:c r="A51" s="5" t="n">
        <x:v>47</x:v>
      </x:c>
      <x:c r="B51" s="5" t="inlineStr">
        <x:is>
          <x:t xml:space="preserve">파라섹트</x:t>
        </x:is>
      </x:c>
      <x:c r="C51" s="5" t="inlineStr">
        <x:is>
          <x:t xml:space="preserve">parasect</x:t>
        </x:is>
      </x:c>
      <x:c r="D51" s="5" t="n">
        <x:v>1</x:v>
      </x:c>
      <x:c r="E51" s="10" t="n">
        <x:f>SUM(XLOOKUP('포켓몬_편집'!$AF51:$AN51,'분류_규칙'!$A$5:$A$76,'분류_규칙'!$E$5:$E$76,0))</x:f>
        <x:v>10</x:v>
      </x:c>
      <x:c r="F51" s="10" t="n">
        <x:f>SUM(XLOOKUP('포켓몬_편집'!$AF51:$AN51,'분류_규칙'!$A$5:$A$76,'분류_규칙'!$F$5:$F$76,0))</x:f>
        <x:v>7</x:v>
      </x:c>
      <x:c r="G51" s="10" t="n">
        <x:f>SUM(XLOOKUP('포켓몬_편집'!$AF51:$AN51,'분류_규칙'!$A$5:$A$76,'분류_규칙'!$G$5:$G$76,0))</x:f>
        <x:v>5</x:v>
      </x:c>
      <x:c r="H51" s="10" t="n">
        <x:f>SUM(XLOOKUP('포켓몬_편집'!$AF51:$AN51,'분류_규칙'!$A$5:$A$76,'분류_규칙'!$H$5:$H$76,0))</x:f>
        <x:v>5</x:v>
      </x:c>
      <x:c r="I51" s="10" t="n">
        <x:f>SUM(XLOOKUP('포켓몬_편집'!$AF51:$AN51,'분류_규칙'!$A$5:$A$76,'분류_규칙'!$I$5:$I$76,0))</x:f>
        <x:v>0</x:v>
      </x:c>
      <x:c r="J51" s="10" t="n">
        <x:f>SUM(XLOOKUP('포켓몬_편집'!$AF51:$AN51,'분류_규칙'!$A$5:$A$76,'분류_규칙'!$J$5:$J$76,0))</x:f>
        <x:v>2</x:v>
      </x:c>
      <x:c r="K51" s="10" t="n">
        <x:f>SUM(XLOOKUP('포켓몬_편집'!$AF51:$AN51,'분류_규칙'!$A$5:$A$76,'분류_규칙'!$K$5:$K$76,0))</x:f>
        <x:v>0</x:v>
      </x:c>
      <x:c r="L51" s="10" t="n">
        <x:f>SUM(XLOOKUP('포켓몬_편집'!$AF51:$AN51,'분류_규칙'!$A$5:$A$76,'분류_규칙'!$L$5:$L$76,0))</x:f>
        <x:v>0</x:v>
      </x:c>
      <x:c r="M51" s="10" t="n">
        <x:f>SUM(XLOOKUP('포켓몬_편집'!$AF51:$AN51,'분류_규칙'!$A$5:$A$76,'분류_규칙'!$M$5:$M$76,0))</x:f>
        <x:v>0</x:v>
      </x:c>
      <x:c r="N51" s="10" t="n">
        <x:f>SUM(XLOOKUP('포켓몬_편집'!$AF51:$AN51,'분류_규칙'!$A$5:$A$76,'분류_규칙'!$N$5:$N$76,0))</x:f>
        <x:v>0</x:v>
      </x:c>
      <x:c r="O51" s="10" t="n">
        <x:f>SUM(XLOOKUP('포켓몬_편집'!$AF51:$AN51,'분류_규칙'!$A$5:$A$76,'분류_규칙'!$O$5:$O$76,0))</x:f>
        <x:v>2</x:v>
      </x:c>
      <x:c r="P51" s="10" t="n">
        <x:f>SUM(XLOOKUP('포켓몬_편집'!$AF51:$AN51,'분류_규칙'!$A$5:$A$76,'분류_규칙'!$P$5:$P$76,0))</x:f>
        <x:v>0</x:v>
      </x:c>
    </x:row>
    <x:row r="52" ht="22" customHeight="1">
      <x:c r="A52" s="5" t="n">
        <x:v>48</x:v>
      </x:c>
      <x:c r="B52" s="5" t="inlineStr">
        <x:is>
          <x:t xml:space="preserve">콘팡</x:t>
        </x:is>
      </x:c>
      <x:c r="C52" s="5" t="inlineStr">
        <x:is>
          <x:t xml:space="preserve">venonat</x:t>
        </x:is>
      </x:c>
      <x:c r="D52" s="5" t="n">
        <x:v>1</x:v>
      </x:c>
      <x:c r="E52" s="10" t="n">
        <x:f>SUM(XLOOKUP('포켓몬_편집'!$AF52:$AN52,'분류_규칙'!$A$5:$A$76,'분류_규칙'!$E$5:$E$76,0))</x:f>
        <x:v>10</x:v>
      </x:c>
      <x:c r="F52" s="10" t="n">
        <x:f>SUM(XLOOKUP('포켓몬_편집'!$AF52:$AN52,'분류_규칙'!$A$5:$A$76,'분류_규칙'!$F$5:$F$76,0))</x:f>
        <x:v>7</x:v>
      </x:c>
      <x:c r="G52" s="10" t="n">
        <x:f>SUM(XLOOKUP('포켓몬_편집'!$AF52:$AN52,'분류_규칙'!$A$5:$A$76,'분류_규칙'!$G$5:$G$76,0))</x:f>
        <x:v>5</x:v>
      </x:c>
      <x:c r="H52" s="10" t="n">
        <x:f>SUM(XLOOKUP('포켓몬_편집'!$AF52:$AN52,'분류_규칙'!$A$5:$A$76,'분류_규칙'!$H$5:$H$76,0))</x:f>
        <x:v>5</x:v>
      </x:c>
      <x:c r="I52" s="10" t="n">
        <x:f>SUM(XLOOKUP('포켓몬_편집'!$AF52:$AN52,'분류_규칙'!$A$5:$A$76,'분류_규칙'!$I$5:$I$76,0))</x:f>
        <x:v>0</x:v>
      </x:c>
      <x:c r="J52" s="10" t="n">
        <x:f>SUM(XLOOKUP('포켓몬_편집'!$AF52:$AN52,'분류_규칙'!$A$5:$A$76,'분류_규칙'!$J$5:$J$76,0))</x:f>
        <x:v>2</x:v>
      </x:c>
      <x:c r="K52" s="10" t="n">
        <x:f>SUM(XLOOKUP('포켓몬_편집'!$AF52:$AN52,'분류_규칙'!$A$5:$A$76,'분류_규칙'!$K$5:$K$76,0))</x:f>
        <x:v>0</x:v>
      </x:c>
      <x:c r="L52" s="10" t="n">
        <x:f>SUM(XLOOKUP('포켓몬_편집'!$AF52:$AN52,'분류_규칙'!$A$5:$A$76,'분류_규칙'!$L$5:$L$76,0))</x:f>
        <x:v>0</x:v>
      </x:c>
      <x:c r="M52" s="10" t="n">
        <x:f>SUM(XLOOKUP('포켓몬_편집'!$AF52:$AN52,'분류_규칙'!$A$5:$A$76,'분류_규칙'!$M$5:$M$76,0))</x:f>
        <x:v>0</x:v>
      </x:c>
      <x:c r="N52" s="10" t="n">
        <x:f>SUM(XLOOKUP('포켓몬_편집'!$AF52:$AN52,'분류_규칙'!$A$5:$A$76,'분류_규칙'!$N$5:$N$76,0))</x:f>
        <x:v>0</x:v>
      </x:c>
      <x:c r="O52" s="10" t="n">
        <x:f>SUM(XLOOKUP('포켓몬_편집'!$AF52:$AN52,'분류_규칙'!$A$5:$A$76,'분류_규칙'!$O$5:$O$76,0))</x:f>
        <x:v>2</x:v>
      </x:c>
      <x:c r="P52" s="10" t="n">
        <x:f>SUM(XLOOKUP('포켓몬_편집'!$AF52:$AN52,'분류_규칙'!$A$5:$A$76,'분류_규칙'!$P$5:$P$76,0))</x:f>
        <x:v>0</x:v>
      </x:c>
    </x:row>
    <x:row r="53" ht="22" customHeight="1">
      <x:c r="A53" s="5" t="n">
        <x:v>49</x:v>
      </x:c>
      <x:c r="B53" s="5" t="inlineStr">
        <x:is>
          <x:t xml:space="preserve">도나리</x:t>
        </x:is>
      </x:c>
      <x:c r="C53" s="5" t="inlineStr">
        <x:is>
          <x:t xml:space="preserve">venomoth</x:t>
        </x:is>
      </x:c>
      <x:c r="D53" s="5" t="n">
        <x:v>1</x:v>
      </x:c>
      <x:c r="E53" s="10" t="n">
        <x:f>SUM(XLOOKUP('포켓몬_편집'!$AF53:$AN53,'분류_규칙'!$A$5:$A$76,'분류_규칙'!$E$5:$E$76,0))</x:f>
        <x:v>8</x:v>
      </x:c>
      <x:c r="F53" s="10" t="n">
        <x:f>SUM(XLOOKUP('포켓몬_편집'!$AF53:$AN53,'분류_규칙'!$A$5:$A$76,'분류_규칙'!$F$5:$F$76,0))</x:f>
        <x:v>8</x:v>
      </x:c>
      <x:c r="G53" s="10" t="n">
        <x:f>SUM(XLOOKUP('포켓몬_편집'!$AF53:$AN53,'분류_규칙'!$A$5:$A$76,'분류_규칙'!$G$5:$G$76,0))</x:f>
        <x:v>0</x:v>
      </x:c>
      <x:c r="H53" s="10" t="n">
        <x:f>SUM(XLOOKUP('포켓몬_편집'!$AF53:$AN53,'분류_규칙'!$A$5:$A$76,'분류_규칙'!$H$5:$H$76,0))</x:f>
        <x:v>12</x:v>
      </x:c>
      <x:c r="I53" s="10" t="n">
        <x:f>SUM(XLOOKUP('포켓몬_편집'!$AF53:$AN53,'분류_규칙'!$A$5:$A$76,'분류_규칙'!$I$5:$I$76,0))</x:f>
        <x:v>0</x:v>
      </x:c>
      <x:c r="J53" s="10" t="n">
        <x:f>SUM(XLOOKUP('포켓몬_편집'!$AF53:$AN53,'분류_규칙'!$A$5:$A$76,'분류_규칙'!$J$5:$J$76,0))</x:f>
        <x:v>0</x:v>
      </x:c>
      <x:c r="K53" s="10" t="n">
        <x:f>SUM(XLOOKUP('포켓몬_편집'!$AF53:$AN53,'분류_규칙'!$A$5:$A$76,'분류_규칙'!$K$5:$K$76,0))</x:f>
        <x:v>0</x:v>
      </x:c>
      <x:c r="L53" s="10" t="n">
        <x:f>SUM(XLOOKUP('포켓몬_편집'!$AF53:$AN53,'분류_규칙'!$A$5:$A$76,'분류_규칙'!$L$5:$L$76,0))</x:f>
        <x:v>3</x:v>
      </x:c>
      <x:c r="M53" s="10" t="n">
        <x:f>SUM(XLOOKUP('포켓몬_편집'!$AF53:$AN53,'분류_규칙'!$A$5:$A$76,'분류_규칙'!$M$5:$M$76,0))</x:f>
        <x:v>0</x:v>
      </x:c>
      <x:c r="N53" s="10" t="n">
        <x:f>SUM(XLOOKUP('포켓몬_편집'!$AF53:$AN53,'분류_규칙'!$A$5:$A$76,'분류_규칙'!$N$5:$N$76,0))</x:f>
        <x:v>0</x:v>
      </x:c>
      <x:c r="O53" s="10" t="n">
        <x:f>SUM(XLOOKUP('포켓몬_편집'!$AF53:$AN53,'분류_규칙'!$A$5:$A$76,'분류_규칙'!$O$5:$O$76,0))</x:f>
        <x:v>2</x:v>
      </x:c>
      <x:c r="P53" s="10" t="n">
        <x:f>SUM(XLOOKUP('포켓몬_편집'!$AF53:$AN53,'분류_규칙'!$A$5:$A$76,'분류_규칙'!$P$5:$P$76,0))</x:f>
        <x:v>0</x:v>
      </x:c>
    </x:row>
    <x:row r="54" ht="22" customHeight="1">
      <x:c r="A54" s="5" t="n">
        <x:v>50</x:v>
      </x:c>
      <x:c r="B54" s="5" t="inlineStr">
        <x:is>
          <x:t xml:space="preserve">디그다</x:t>
        </x:is>
      </x:c>
      <x:c r="C54" s="5" t="inlineStr">
        <x:is>
          <x:t xml:space="preserve">diglett</x:t>
        </x:is>
      </x:c>
      <x:c r="D54" s="5" t="n">
        <x:v>1</x:v>
      </x:c>
      <x:c r="E54" s="10" t="n">
        <x:f>SUM(XLOOKUP('포켓몬_편집'!$AF54:$AN54,'분류_규칙'!$A$5:$A$76,'분류_규칙'!$E$5:$E$76,0))</x:f>
        <x:v>10</x:v>
      </x:c>
      <x:c r="F54" s="10" t="n">
        <x:f>SUM(XLOOKUP('포켓몬_편집'!$AF54:$AN54,'분류_규칙'!$A$5:$A$76,'분류_규칙'!$F$5:$F$76,0))</x:f>
        <x:v>7</x:v>
      </x:c>
      <x:c r="G54" s="10" t="n">
        <x:f>SUM(XLOOKUP('포켓몬_편집'!$AF54:$AN54,'분류_규칙'!$A$5:$A$76,'분류_규칙'!$G$5:$G$76,0))</x:f>
        <x:v>5</x:v>
      </x:c>
      <x:c r="H54" s="10" t="n">
        <x:f>SUM(XLOOKUP('포켓몬_편집'!$AF54:$AN54,'분류_규칙'!$A$5:$A$76,'분류_규칙'!$H$5:$H$76,0))</x:f>
        <x:v>5</x:v>
      </x:c>
      <x:c r="I54" s="10" t="n">
        <x:f>SUM(XLOOKUP('포켓몬_편집'!$AF54:$AN54,'분류_규칙'!$A$5:$A$76,'분류_규칙'!$I$5:$I$76,0))</x:f>
        <x:v>0</x:v>
      </x:c>
      <x:c r="J54" s="10" t="n">
        <x:f>SUM(XLOOKUP('포켓몬_편집'!$AF54:$AN54,'분류_규칙'!$A$5:$A$76,'분류_규칙'!$J$5:$J$76,0))</x:f>
        <x:v>2</x:v>
      </x:c>
      <x:c r="K54" s="10" t="n">
        <x:f>SUM(XLOOKUP('포켓몬_편집'!$AF54:$AN54,'분류_규칙'!$A$5:$A$76,'분류_규칙'!$K$5:$K$76,0))</x:f>
        <x:v>0</x:v>
      </x:c>
      <x:c r="L54" s="10" t="n">
        <x:f>SUM(XLOOKUP('포켓몬_편집'!$AF54:$AN54,'분류_규칙'!$A$5:$A$76,'분류_규칙'!$L$5:$L$76,0))</x:f>
        <x:v>0</x:v>
      </x:c>
      <x:c r="M54" s="10" t="n">
        <x:f>SUM(XLOOKUP('포켓몬_편집'!$AF54:$AN54,'분류_규칙'!$A$5:$A$76,'분류_규칙'!$M$5:$M$76,0))</x:f>
        <x:v>0</x:v>
      </x:c>
      <x:c r="N54" s="10" t="n">
        <x:f>SUM(XLOOKUP('포켓몬_편집'!$AF54:$AN54,'분류_규칙'!$A$5:$A$76,'분류_규칙'!$N$5:$N$76,0))</x:f>
        <x:v>0</x:v>
      </x:c>
      <x:c r="O54" s="10" t="n">
        <x:f>SUM(XLOOKUP('포켓몬_편집'!$AF54:$AN54,'분류_규칙'!$A$5:$A$76,'분류_규칙'!$O$5:$O$76,0))</x:f>
        <x:v>2</x:v>
      </x:c>
      <x:c r="P54" s="10" t="n">
        <x:f>SUM(XLOOKUP('포켓몬_편집'!$AF54:$AN54,'분류_규칙'!$A$5:$A$76,'분류_규칙'!$P$5:$P$76,0))</x:f>
        <x:v>0</x:v>
      </x:c>
    </x:row>
    <x:row r="55" ht="22" customHeight="1">
      <x:c r="A55" s="5" t="n">
        <x:v>51</x:v>
      </x:c>
      <x:c r="B55" s="5" t="inlineStr">
        <x:is>
          <x:t xml:space="preserve">닥트리오</x:t>
        </x:is>
      </x:c>
      <x:c r="C55" s="5" t="inlineStr">
        <x:is>
          <x:t xml:space="preserve">dugtrio</x:t>
        </x:is>
      </x:c>
      <x:c r="D55" s="5" t="n">
        <x:v>1</x:v>
      </x:c>
      <x:c r="E55" s="10" t="n">
        <x:f>SUM(XLOOKUP('포켓몬_편집'!$AF55:$AN55,'분류_규칙'!$A$5:$A$76,'분류_규칙'!$E$5:$E$76,0))</x:f>
        <x:v>10</x:v>
      </x:c>
      <x:c r="F55" s="10" t="n">
        <x:f>SUM(XLOOKUP('포켓몬_편집'!$AF55:$AN55,'분류_규칙'!$A$5:$A$76,'분류_규칙'!$F$5:$F$76,0))</x:f>
        <x:v>7</x:v>
      </x:c>
      <x:c r="G55" s="10" t="n">
        <x:f>SUM(XLOOKUP('포켓몬_편집'!$AF55:$AN55,'분류_규칙'!$A$5:$A$76,'분류_규칙'!$G$5:$G$76,0))</x:f>
        <x:v>5</x:v>
      </x:c>
      <x:c r="H55" s="10" t="n">
        <x:f>SUM(XLOOKUP('포켓몬_편집'!$AF55:$AN55,'분류_규칙'!$A$5:$A$76,'분류_규칙'!$H$5:$H$76,0))</x:f>
        <x:v>5</x:v>
      </x:c>
      <x:c r="I55" s="10" t="n">
        <x:f>SUM(XLOOKUP('포켓몬_편집'!$AF55:$AN55,'분류_규칙'!$A$5:$A$76,'분류_규칙'!$I$5:$I$76,0))</x:f>
        <x:v>0</x:v>
      </x:c>
      <x:c r="J55" s="10" t="n">
        <x:f>SUM(XLOOKUP('포켓몬_편집'!$AF55:$AN55,'분류_규칙'!$A$5:$A$76,'분류_규칙'!$J$5:$J$76,0))</x:f>
        <x:v>2</x:v>
      </x:c>
      <x:c r="K55" s="10" t="n">
        <x:f>SUM(XLOOKUP('포켓몬_편집'!$AF55:$AN55,'분류_규칙'!$A$5:$A$76,'분류_규칙'!$K$5:$K$76,0))</x:f>
        <x:v>0</x:v>
      </x:c>
      <x:c r="L55" s="10" t="n">
        <x:f>SUM(XLOOKUP('포켓몬_편집'!$AF55:$AN55,'분류_규칙'!$A$5:$A$76,'분류_규칙'!$L$5:$L$76,0))</x:f>
        <x:v>0</x:v>
      </x:c>
      <x:c r="M55" s="10" t="n">
        <x:f>SUM(XLOOKUP('포켓몬_편집'!$AF55:$AN55,'분류_규칙'!$A$5:$A$76,'분류_규칙'!$M$5:$M$76,0))</x:f>
        <x:v>0</x:v>
      </x:c>
      <x:c r="N55" s="10" t="n">
        <x:f>SUM(XLOOKUP('포켓몬_편집'!$AF55:$AN55,'분류_규칙'!$A$5:$A$76,'분류_규칙'!$N$5:$N$76,0))</x:f>
        <x:v>0</x:v>
      </x:c>
      <x:c r="O55" s="10" t="n">
        <x:f>SUM(XLOOKUP('포켓몬_편집'!$AF55:$AN55,'분류_규칙'!$A$5:$A$76,'분류_규칙'!$O$5:$O$76,0))</x:f>
        <x:v>2</x:v>
      </x:c>
      <x:c r="P55" s="10" t="n">
        <x:f>SUM(XLOOKUP('포켓몬_편집'!$AF55:$AN55,'분류_규칙'!$A$5:$A$76,'분류_규칙'!$P$5:$P$76,0))</x:f>
        <x:v>0</x:v>
      </x:c>
    </x:row>
    <x:row r="56" ht="22" customHeight="1">
      <x:c r="A56" s="5" t="n">
        <x:v>52</x:v>
      </x:c>
      <x:c r="B56" s="5" t="inlineStr">
        <x:is>
          <x:t xml:space="preserve">나옹</x:t>
        </x:is>
      </x:c>
      <x:c r="C56" s="5" t="inlineStr">
        <x:is>
          <x:t xml:space="preserve">meowth</x:t>
        </x:is>
      </x:c>
      <x:c r="D56" s="5" t="n">
        <x:v>1</x:v>
      </x:c>
      <x:c r="E56" s="10" t="n">
        <x:f>SUM(XLOOKUP('포켓몬_편집'!$AF56:$AN56,'분류_규칙'!$A$5:$A$76,'분류_규칙'!$E$5:$E$76,0))</x:f>
        <x:v>10</x:v>
      </x:c>
      <x:c r="F56" s="10" t="n">
        <x:f>SUM(XLOOKUP('포켓몬_편집'!$AF56:$AN56,'분류_규칙'!$A$5:$A$76,'분류_규칙'!$F$5:$F$76,0))</x:f>
        <x:v>7</x:v>
      </x:c>
      <x:c r="G56" s="10" t="n">
        <x:f>SUM(XLOOKUP('포켓몬_편집'!$AF56:$AN56,'분류_규칙'!$A$5:$A$76,'분류_규칙'!$G$5:$G$76,0))</x:f>
        <x:v>5</x:v>
      </x:c>
      <x:c r="H56" s="10" t="n">
        <x:f>SUM(XLOOKUP('포켓몬_편집'!$AF56:$AN56,'분류_규칙'!$A$5:$A$76,'분류_규칙'!$H$5:$H$76,0))</x:f>
        <x:v>5</x:v>
      </x:c>
      <x:c r="I56" s="10" t="n">
        <x:f>SUM(XLOOKUP('포켓몬_편집'!$AF56:$AN56,'분류_규칙'!$A$5:$A$76,'분류_규칙'!$I$5:$I$76,0))</x:f>
        <x:v>0</x:v>
      </x:c>
      <x:c r="J56" s="10" t="n">
        <x:f>SUM(XLOOKUP('포켓몬_편집'!$AF56:$AN56,'분류_규칙'!$A$5:$A$76,'분류_규칙'!$J$5:$J$76,0))</x:f>
        <x:v>2</x:v>
      </x:c>
      <x:c r="K56" s="10" t="n">
        <x:f>SUM(XLOOKUP('포켓몬_편집'!$AF56:$AN56,'분류_규칙'!$A$5:$A$76,'분류_규칙'!$K$5:$K$76,0))</x:f>
        <x:v>0</x:v>
      </x:c>
      <x:c r="L56" s="10" t="n">
        <x:f>SUM(XLOOKUP('포켓몬_편집'!$AF56:$AN56,'분류_규칙'!$A$5:$A$76,'분류_규칙'!$L$5:$L$76,0))</x:f>
        <x:v>0</x:v>
      </x:c>
      <x:c r="M56" s="10" t="n">
        <x:f>SUM(XLOOKUP('포켓몬_편집'!$AF56:$AN56,'분류_규칙'!$A$5:$A$76,'분류_규칙'!$M$5:$M$76,0))</x:f>
        <x:v>0</x:v>
      </x:c>
      <x:c r="N56" s="10" t="n">
        <x:f>SUM(XLOOKUP('포켓몬_편집'!$AF56:$AN56,'분류_규칙'!$A$5:$A$76,'분류_규칙'!$N$5:$N$76,0))</x:f>
        <x:v>0</x:v>
      </x:c>
      <x:c r="O56" s="10" t="n">
        <x:f>SUM(XLOOKUP('포켓몬_편집'!$AF56:$AN56,'분류_규칙'!$A$5:$A$76,'분류_규칙'!$O$5:$O$76,0))</x:f>
        <x:v>2</x:v>
      </x:c>
      <x:c r="P56" s="10" t="n">
        <x:f>SUM(XLOOKUP('포켓몬_편집'!$AF56:$AN56,'분류_규칙'!$A$5:$A$76,'분류_규칙'!$P$5:$P$76,0))</x:f>
        <x:v>0</x:v>
      </x:c>
    </x:row>
    <x:row r="57" ht="22" customHeight="1">
      <x:c r="A57" s="5" t="n">
        <x:v>53</x:v>
      </x:c>
      <x:c r="B57" s="5" t="inlineStr">
        <x:is>
          <x:t xml:space="preserve">페르시온</x:t>
        </x:is>
      </x:c>
      <x:c r="C57" s="5" t="inlineStr">
        <x:is>
          <x:t xml:space="preserve">persian</x:t>
        </x:is>
      </x:c>
      <x:c r="D57" s="5" t="n">
        <x:v>1</x:v>
      </x:c>
      <x:c r="E57" s="10" t="n">
        <x:f>SUM(XLOOKUP('포켓몬_편집'!$AF57:$AN57,'분류_규칙'!$A$5:$A$76,'분류_규칙'!$E$5:$E$76,0))</x:f>
        <x:v>10</x:v>
      </x:c>
      <x:c r="F57" s="10" t="n">
        <x:f>SUM(XLOOKUP('포켓몬_편집'!$AF57:$AN57,'분류_규칙'!$A$5:$A$76,'분류_규칙'!$F$5:$F$76,0))</x:f>
        <x:v>7</x:v>
      </x:c>
      <x:c r="G57" s="10" t="n">
        <x:f>SUM(XLOOKUP('포켓몬_편집'!$AF57:$AN57,'분류_규칙'!$A$5:$A$76,'분류_규칙'!$G$5:$G$76,0))</x:f>
        <x:v>5</x:v>
      </x:c>
      <x:c r="H57" s="10" t="n">
        <x:f>SUM(XLOOKUP('포켓몬_편집'!$AF57:$AN57,'분류_규칙'!$A$5:$A$76,'분류_규칙'!$H$5:$H$76,0))</x:f>
        <x:v>5</x:v>
      </x:c>
      <x:c r="I57" s="10" t="n">
        <x:f>SUM(XLOOKUP('포켓몬_편집'!$AF57:$AN57,'분류_규칙'!$A$5:$A$76,'분류_규칙'!$I$5:$I$76,0))</x:f>
        <x:v>0</x:v>
      </x:c>
      <x:c r="J57" s="10" t="n">
        <x:f>SUM(XLOOKUP('포켓몬_편집'!$AF57:$AN57,'분류_규칙'!$A$5:$A$76,'분류_규칙'!$J$5:$J$76,0))</x:f>
        <x:v>2</x:v>
      </x:c>
      <x:c r="K57" s="10" t="n">
        <x:f>SUM(XLOOKUP('포켓몬_편집'!$AF57:$AN57,'분류_규칙'!$A$5:$A$76,'분류_규칙'!$K$5:$K$76,0))</x:f>
        <x:v>0</x:v>
      </x:c>
      <x:c r="L57" s="10" t="n">
        <x:f>SUM(XLOOKUP('포켓몬_편집'!$AF57:$AN57,'분류_규칙'!$A$5:$A$76,'분류_규칙'!$L$5:$L$76,0))</x:f>
        <x:v>0</x:v>
      </x:c>
      <x:c r="M57" s="10" t="n">
        <x:f>SUM(XLOOKUP('포켓몬_편집'!$AF57:$AN57,'분류_규칙'!$A$5:$A$76,'분류_규칙'!$M$5:$M$76,0))</x:f>
        <x:v>0</x:v>
      </x:c>
      <x:c r="N57" s="10" t="n">
        <x:f>SUM(XLOOKUP('포켓몬_편집'!$AF57:$AN57,'분류_규칙'!$A$5:$A$76,'분류_규칙'!$N$5:$N$76,0))</x:f>
        <x:v>0</x:v>
      </x:c>
      <x:c r="O57" s="10" t="n">
        <x:f>SUM(XLOOKUP('포켓몬_편집'!$AF57:$AN57,'분류_규칙'!$A$5:$A$76,'분류_규칙'!$O$5:$O$76,0))</x:f>
        <x:v>2</x:v>
      </x:c>
      <x:c r="P57" s="10" t="n">
        <x:f>SUM(XLOOKUP('포켓몬_편집'!$AF57:$AN57,'분류_규칙'!$A$5:$A$76,'분류_규칙'!$P$5:$P$76,0))</x:f>
        <x:v>0</x:v>
      </x:c>
    </x:row>
    <x:row r="58" ht="22" customHeight="1">
      <x:c r="A58" s="5" t="n">
        <x:v>54</x:v>
      </x:c>
      <x:c r="B58" s="5" t="inlineStr">
        <x:is>
          <x:t xml:space="preserve">고라파덕</x:t>
        </x:is>
      </x:c>
      <x:c r="C58" s="5" t="inlineStr">
        <x:is>
          <x:t xml:space="preserve">psyduck</x:t>
        </x:is>
      </x:c>
      <x:c r="D58" s="5" t="n">
        <x:v>1</x:v>
      </x:c>
      <x:c r="E58" s="10" t="n">
        <x:f>SUM(XLOOKUP('포켓몬_편집'!$AF58:$AN58,'분류_규칙'!$A$5:$A$76,'분류_규칙'!$E$5:$E$76,0))</x:f>
        <x:v>0</x:v>
      </x:c>
      <x:c r="F58" s="10" t="n">
        <x:f>SUM(XLOOKUP('포켓몬_편집'!$AF58:$AN58,'분류_규칙'!$A$5:$A$76,'분류_규칙'!$F$5:$F$76,0))</x:f>
        <x:v>0</x:v>
      </x:c>
      <x:c r="G58" s="10" t="n">
        <x:f>SUM(XLOOKUP('포켓몬_편집'!$AF58:$AN58,'분류_규칙'!$A$5:$A$76,'분류_규칙'!$G$5:$G$76,0))</x:f>
        <x:v>0</x:v>
      </x:c>
      <x:c r="H58" s="10" t="n">
        <x:f>SUM(XLOOKUP('포켓몬_편집'!$AF58:$AN58,'분류_규칙'!$A$5:$A$76,'분류_규칙'!$H$5:$H$76,0))</x:f>
        <x:v>0</x:v>
      </x:c>
      <x:c r="I58" s="10" t="n">
        <x:f>SUM(XLOOKUP('포켓몬_편집'!$AF58:$AN58,'분류_규칙'!$A$5:$A$76,'분류_규칙'!$I$5:$I$76,0))</x:f>
        <x:v>0</x:v>
      </x:c>
      <x:c r="J58" s="10" t="n">
        <x:f>SUM(XLOOKUP('포켓몬_편집'!$AF58:$AN58,'분류_규칙'!$A$5:$A$76,'분류_규칙'!$J$5:$J$76,0))</x:f>
        <x:v>12</x:v>
      </x:c>
      <x:c r="K58" s="10" t="n">
        <x:f>SUM(XLOOKUP('포켓몬_편집'!$AF58:$AN58,'분류_규칙'!$A$5:$A$76,'분류_규칙'!$K$5:$K$76,0))</x:f>
        <x:v>30</x:v>
      </x:c>
      <x:c r="L58" s="10" t="n">
        <x:f>SUM(XLOOKUP('포켓몬_편집'!$AF58:$AN58,'분류_규칙'!$A$5:$A$76,'분류_규칙'!$L$5:$L$76,0))</x:f>
        <x:v>0</x:v>
      </x:c>
      <x:c r="M58" s="10" t="n">
        <x:f>SUM(XLOOKUP('포켓몬_편집'!$AF58:$AN58,'분류_규칙'!$A$5:$A$76,'분류_규칙'!$M$5:$M$76,0))</x:f>
        <x:v>0</x:v>
      </x:c>
      <x:c r="N58" s="10" t="n">
        <x:f>SUM(XLOOKUP('포켓몬_편집'!$AF58:$AN58,'분류_규칙'!$A$5:$A$76,'분류_규칙'!$N$5:$N$76,0))</x:f>
        <x:v>0</x:v>
      </x:c>
      <x:c r="O58" s="10" t="n">
        <x:f>SUM(XLOOKUP('포켓몬_편집'!$AF58:$AN58,'분류_규칙'!$A$5:$A$76,'분류_규칙'!$O$5:$O$76,0))</x:f>
        <x:v>0</x:v>
      </x:c>
      <x:c r="P58" s="10" t="n">
        <x:f>SUM(XLOOKUP('포켓몬_편집'!$AF58:$AN58,'분류_규칙'!$A$5:$A$76,'분류_규칙'!$P$5:$P$76,0))</x:f>
        <x:v>0</x:v>
      </x:c>
    </x:row>
    <x:row r="59" ht="22" customHeight="1">
      <x:c r="A59" s="5" t="n">
        <x:v>55</x:v>
      </x:c>
      <x:c r="B59" s="5" t="inlineStr">
        <x:is>
          <x:t xml:space="preserve">골덕</x:t>
        </x:is>
      </x:c>
      <x:c r="C59" s="5" t="inlineStr">
        <x:is>
          <x:t xml:space="preserve">golduck</x:t>
        </x:is>
      </x:c>
      <x:c r="D59" s="5" t="n">
        <x:v>1</x:v>
      </x:c>
      <x:c r="E59" s="10" t="n">
        <x:f>SUM(XLOOKUP('포켓몬_편집'!$AF59:$AN59,'분류_규칙'!$A$5:$A$76,'분류_규칙'!$E$5:$E$76,0))</x:f>
        <x:v>0</x:v>
      </x:c>
      <x:c r="F59" s="10" t="n">
        <x:f>SUM(XLOOKUP('포켓몬_편집'!$AF59:$AN59,'분류_규칙'!$A$5:$A$76,'분류_규칙'!$F$5:$F$76,0))</x:f>
        <x:v>0</x:v>
      </x:c>
      <x:c r="G59" s="10" t="n">
        <x:f>SUM(XLOOKUP('포켓몬_편집'!$AF59:$AN59,'분류_규칙'!$A$5:$A$76,'분류_규칙'!$G$5:$G$76,0))</x:f>
        <x:v>0</x:v>
      </x:c>
      <x:c r="H59" s="10" t="n">
        <x:f>SUM(XLOOKUP('포켓몬_편집'!$AF59:$AN59,'분류_규칙'!$A$5:$A$76,'분류_규칙'!$H$5:$H$76,0))</x:f>
        <x:v>0</x:v>
      </x:c>
      <x:c r="I59" s="10" t="n">
        <x:f>SUM(XLOOKUP('포켓몬_편집'!$AF59:$AN59,'분류_규칙'!$A$5:$A$76,'분류_규칙'!$I$5:$I$76,0))</x:f>
        <x:v>0</x:v>
      </x:c>
      <x:c r="J59" s="10" t="n">
        <x:f>SUM(XLOOKUP('포켓몬_편집'!$AF59:$AN59,'분류_규칙'!$A$5:$A$76,'분류_규칙'!$J$5:$J$76,0))</x:f>
        <x:v>12</x:v>
      </x:c>
      <x:c r="K59" s="10" t="n">
        <x:f>SUM(XLOOKUP('포켓몬_편집'!$AF59:$AN59,'분류_규칙'!$A$5:$A$76,'분류_규칙'!$K$5:$K$76,0))</x:f>
        <x:v>30</x:v>
      </x:c>
      <x:c r="L59" s="10" t="n">
        <x:f>SUM(XLOOKUP('포켓몬_편집'!$AF59:$AN59,'분류_규칙'!$A$5:$A$76,'분류_규칙'!$L$5:$L$76,0))</x:f>
        <x:v>0</x:v>
      </x:c>
      <x:c r="M59" s="10" t="n">
        <x:f>SUM(XLOOKUP('포켓몬_편집'!$AF59:$AN59,'분류_규칙'!$A$5:$A$76,'분류_규칙'!$M$5:$M$76,0))</x:f>
        <x:v>0</x:v>
      </x:c>
      <x:c r="N59" s="10" t="n">
        <x:f>SUM(XLOOKUP('포켓몬_편집'!$AF59:$AN59,'분류_규칙'!$A$5:$A$76,'분류_규칙'!$N$5:$N$76,0))</x:f>
        <x:v>0</x:v>
      </x:c>
      <x:c r="O59" s="10" t="n">
        <x:f>SUM(XLOOKUP('포켓몬_편집'!$AF59:$AN59,'분류_규칙'!$A$5:$A$76,'분류_규칙'!$O$5:$O$76,0))</x:f>
        <x:v>0</x:v>
      </x:c>
      <x:c r="P59" s="10" t="n">
        <x:f>SUM(XLOOKUP('포켓몬_편집'!$AF59:$AN59,'분류_규칙'!$A$5:$A$76,'분류_규칙'!$P$5:$P$76,0))</x:f>
        <x:v>0</x:v>
      </x:c>
    </x:row>
    <x:row r="60" ht="22" customHeight="1">
      <x:c r="A60" s="5" t="n">
        <x:v>56</x:v>
      </x:c>
      <x:c r="B60" s="5" t="inlineStr">
        <x:is>
          <x:t xml:space="preserve">망키</x:t>
        </x:is>
      </x:c>
      <x:c r="C60" s="5" t="inlineStr">
        <x:is>
          <x:t xml:space="preserve">mankey</x:t>
        </x:is>
      </x:c>
      <x:c r="D60" s="5" t="n">
        <x:v>1</x:v>
      </x:c>
      <x:c r="E60" s="10" t="n">
        <x:f>SUM(XLOOKUP('포켓몬_편집'!$AF60:$AN60,'분류_규칙'!$A$5:$A$76,'분류_규칙'!$E$5:$E$76,0))</x:f>
        <x:v>10</x:v>
      </x:c>
      <x:c r="F60" s="10" t="n">
        <x:f>SUM(XLOOKUP('포켓몬_편집'!$AF60:$AN60,'분류_규칙'!$A$5:$A$76,'분류_규칙'!$F$5:$F$76,0))</x:f>
        <x:v>7</x:v>
      </x:c>
      <x:c r="G60" s="10" t="n">
        <x:f>SUM(XLOOKUP('포켓몬_편집'!$AF60:$AN60,'분류_규칙'!$A$5:$A$76,'분류_규칙'!$G$5:$G$76,0))</x:f>
        <x:v>5</x:v>
      </x:c>
      <x:c r="H60" s="10" t="n">
        <x:f>SUM(XLOOKUP('포켓몬_편집'!$AF60:$AN60,'분류_규칙'!$A$5:$A$76,'분류_규칙'!$H$5:$H$76,0))</x:f>
        <x:v>5</x:v>
      </x:c>
      <x:c r="I60" s="10" t="n">
        <x:f>SUM(XLOOKUP('포켓몬_편집'!$AF60:$AN60,'분류_규칙'!$A$5:$A$76,'분류_규칙'!$I$5:$I$76,0))</x:f>
        <x:v>0</x:v>
      </x:c>
      <x:c r="J60" s="10" t="n">
        <x:f>SUM(XLOOKUP('포켓몬_편집'!$AF60:$AN60,'분류_규칙'!$A$5:$A$76,'분류_규칙'!$J$5:$J$76,0))</x:f>
        <x:v>2</x:v>
      </x:c>
      <x:c r="K60" s="10" t="n">
        <x:f>SUM(XLOOKUP('포켓몬_편집'!$AF60:$AN60,'분류_규칙'!$A$5:$A$76,'분류_규칙'!$K$5:$K$76,0))</x:f>
        <x:v>0</x:v>
      </x:c>
      <x:c r="L60" s="10" t="n">
        <x:f>SUM(XLOOKUP('포켓몬_편집'!$AF60:$AN60,'분류_규칙'!$A$5:$A$76,'분류_규칙'!$L$5:$L$76,0))</x:f>
        <x:v>0</x:v>
      </x:c>
      <x:c r="M60" s="10" t="n">
        <x:f>SUM(XLOOKUP('포켓몬_편집'!$AF60:$AN60,'분류_규칙'!$A$5:$A$76,'분류_규칙'!$M$5:$M$76,0))</x:f>
        <x:v>0</x:v>
      </x:c>
      <x:c r="N60" s="10" t="n">
        <x:f>SUM(XLOOKUP('포켓몬_편집'!$AF60:$AN60,'분류_규칙'!$A$5:$A$76,'분류_규칙'!$N$5:$N$76,0))</x:f>
        <x:v>0</x:v>
      </x:c>
      <x:c r="O60" s="10" t="n">
        <x:f>SUM(XLOOKUP('포켓몬_편집'!$AF60:$AN60,'분류_규칙'!$A$5:$A$76,'분류_규칙'!$O$5:$O$76,0))</x:f>
        <x:v>2</x:v>
      </x:c>
      <x:c r="P60" s="10" t="n">
        <x:f>SUM(XLOOKUP('포켓몬_편집'!$AF60:$AN60,'분류_규칙'!$A$5:$A$76,'분류_규칙'!$P$5:$P$76,0))</x:f>
        <x:v>0</x:v>
      </x:c>
    </x:row>
    <x:row r="61" ht="22" customHeight="1">
      <x:c r="A61" s="5" t="n">
        <x:v>57</x:v>
      </x:c>
      <x:c r="B61" s="5" t="inlineStr">
        <x:is>
          <x:t xml:space="preserve">성원숭</x:t>
        </x:is>
      </x:c>
      <x:c r="C61" s="5" t="inlineStr">
        <x:is>
          <x:t xml:space="preserve">primeape</x:t>
        </x:is>
      </x:c>
      <x:c r="D61" s="5" t="n">
        <x:v>1</x:v>
      </x:c>
      <x:c r="E61" s="10" t="n">
        <x:f>SUM(XLOOKUP('포켓몬_편집'!$AF61:$AN61,'분류_규칙'!$A$5:$A$76,'분류_규칙'!$E$5:$E$76,0))</x:f>
        <x:v>10</x:v>
      </x:c>
      <x:c r="F61" s="10" t="n">
        <x:f>SUM(XLOOKUP('포켓몬_편집'!$AF61:$AN61,'분류_규칙'!$A$5:$A$76,'분류_규칙'!$F$5:$F$76,0))</x:f>
        <x:v>7</x:v>
      </x:c>
      <x:c r="G61" s="10" t="n">
        <x:f>SUM(XLOOKUP('포켓몬_편집'!$AF61:$AN61,'분류_규칙'!$A$5:$A$76,'분류_규칙'!$G$5:$G$76,0))</x:f>
        <x:v>5</x:v>
      </x:c>
      <x:c r="H61" s="10" t="n">
        <x:f>SUM(XLOOKUP('포켓몬_편집'!$AF61:$AN61,'분류_규칙'!$A$5:$A$76,'분류_규칙'!$H$5:$H$76,0))</x:f>
        <x:v>5</x:v>
      </x:c>
      <x:c r="I61" s="10" t="n">
        <x:f>SUM(XLOOKUP('포켓몬_편집'!$AF61:$AN61,'분류_규칙'!$A$5:$A$76,'분류_규칙'!$I$5:$I$76,0))</x:f>
        <x:v>0</x:v>
      </x:c>
      <x:c r="J61" s="10" t="n">
        <x:f>SUM(XLOOKUP('포켓몬_편집'!$AF61:$AN61,'분류_규칙'!$A$5:$A$76,'분류_규칙'!$J$5:$J$76,0))</x:f>
        <x:v>2</x:v>
      </x:c>
      <x:c r="K61" s="10" t="n">
        <x:f>SUM(XLOOKUP('포켓몬_편집'!$AF61:$AN61,'분류_규칙'!$A$5:$A$76,'분류_규칙'!$K$5:$K$76,0))</x:f>
        <x:v>0</x:v>
      </x:c>
      <x:c r="L61" s="10" t="n">
        <x:f>SUM(XLOOKUP('포켓몬_편집'!$AF61:$AN61,'분류_규칙'!$A$5:$A$76,'분류_규칙'!$L$5:$L$76,0))</x:f>
        <x:v>0</x:v>
      </x:c>
      <x:c r="M61" s="10" t="n">
        <x:f>SUM(XLOOKUP('포켓몬_편집'!$AF61:$AN61,'분류_규칙'!$A$5:$A$76,'분류_규칙'!$M$5:$M$76,0))</x:f>
        <x:v>0</x:v>
      </x:c>
      <x:c r="N61" s="10" t="n">
        <x:f>SUM(XLOOKUP('포켓몬_편집'!$AF61:$AN61,'분류_규칙'!$A$5:$A$76,'분류_규칙'!$N$5:$N$76,0))</x:f>
        <x:v>0</x:v>
      </x:c>
      <x:c r="O61" s="10" t="n">
        <x:f>SUM(XLOOKUP('포켓몬_편집'!$AF61:$AN61,'분류_규칙'!$A$5:$A$76,'분류_규칙'!$O$5:$O$76,0))</x:f>
        <x:v>2</x:v>
      </x:c>
      <x:c r="P61" s="10" t="n">
        <x:f>SUM(XLOOKUP('포켓몬_편집'!$AF61:$AN61,'분류_규칙'!$A$5:$A$76,'분류_규칙'!$P$5:$P$76,0))</x:f>
        <x:v>0</x:v>
      </x:c>
    </x:row>
    <x:row r="62" ht="22" customHeight="1">
      <x:c r="A62" s="5" t="n">
        <x:v>58</x:v>
      </x:c>
      <x:c r="B62" s="5" t="inlineStr">
        <x:is>
          <x:t xml:space="preserve">가디</x:t>
        </x:is>
      </x:c>
      <x:c r="C62" s="5" t="inlineStr">
        <x:is>
          <x:t xml:space="preserve">growlithe</x:t>
        </x:is>
      </x:c>
      <x:c r="D62" s="5" t="n">
        <x:v>1</x:v>
      </x:c>
      <x:c r="E62" s="10" t="n">
        <x:f>SUM(XLOOKUP('포켓몬_편집'!$AF62:$AN62,'분류_규칙'!$A$5:$A$76,'분류_규칙'!$E$5:$E$76,0))</x:f>
        <x:v>10</x:v>
      </x:c>
      <x:c r="F62" s="10" t="n">
        <x:f>SUM(XLOOKUP('포켓몬_편집'!$AF62:$AN62,'분류_규칙'!$A$5:$A$76,'분류_규칙'!$F$5:$F$76,0))</x:f>
        <x:v>7</x:v>
      </x:c>
      <x:c r="G62" s="10" t="n">
        <x:f>SUM(XLOOKUP('포켓몬_편집'!$AF62:$AN62,'분류_규칙'!$A$5:$A$76,'분류_규칙'!$G$5:$G$76,0))</x:f>
        <x:v>5</x:v>
      </x:c>
      <x:c r="H62" s="10" t="n">
        <x:f>SUM(XLOOKUP('포켓몬_편집'!$AF62:$AN62,'분류_규칙'!$A$5:$A$76,'분류_규칙'!$H$5:$H$76,0))</x:f>
        <x:v>5</x:v>
      </x:c>
      <x:c r="I62" s="10" t="n">
        <x:f>SUM(XLOOKUP('포켓몬_편집'!$AF62:$AN62,'분류_규칙'!$A$5:$A$76,'분류_규칙'!$I$5:$I$76,0))</x:f>
        <x:v>0</x:v>
      </x:c>
      <x:c r="J62" s="10" t="n">
        <x:f>SUM(XLOOKUP('포켓몬_편집'!$AF62:$AN62,'분류_규칙'!$A$5:$A$76,'분류_규칙'!$J$5:$J$76,0))</x:f>
        <x:v>2</x:v>
      </x:c>
      <x:c r="K62" s="10" t="n">
        <x:f>SUM(XLOOKUP('포켓몬_편집'!$AF62:$AN62,'분류_규칙'!$A$5:$A$76,'분류_규칙'!$K$5:$K$76,0))</x:f>
        <x:v>0</x:v>
      </x:c>
      <x:c r="L62" s="10" t="n">
        <x:f>SUM(XLOOKUP('포켓몬_편집'!$AF62:$AN62,'분류_규칙'!$A$5:$A$76,'분류_규칙'!$L$5:$L$76,0))</x:f>
        <x:v>0</x:v>
      </x:c>
      <x:c r="M62" s="10" t="n">
        <x:f>SUM(XLOOKUP('포켓몬_편집'!$AF62:$AN62,'분류_규칙'!$A$5:$A$76,'분류_규칙'!$M$5:$M$76,0))</x:f>
        <x:v>0</x:v>
      </x:c>
      <x:c r="N62" s="10" t="n">
        <x:f>SUM(XLOOKUP('포켓몬_편집'!$AF62:$AN62,'분류_규칙'!$A$5:$A$76,'분류_규칙'!$N$5:$N$76,0))</x:f>
        <x:v>0</x:v>
      </x:c>
      <x:c r="O62" s="10" t="n">
        <x:f>SUM(XLOOKUP('포켓몬_편집'!$AF62:$AN62,'분류_규칙'!$A$5:$A$76,'분류_규칙'!$O$5:$O$76,0))</x:f>
        <x:v>2</x:v>
      </x:c>
      <x:c r="P62" s="10" t="n">
        <x:f>SUM(XLOOKUP('포켓몬_편집'!$AF62:$AN62,'분류_규칙'!$A$5:$A$76,'분류_규칙'!$P$5:$P$76,0))</x:f>
        <x:v>0</x:v>
      </x:c>
    </x:row>
    <x:row r="63" ht="22" customHeight="1">
      <x:c r="A63" s="5" t="n">
        <x:v>59</x:v>
      </x:c>
      <x:c r="B63" s="5" t="inlineStr">
        <x:is>
          <x:t xml:space="preserve">윈디</x:t>
        </x:is>
      </x:c>
      <x:c r="C63" s="5" t="inlineStr">
        <x:is>
          <x:t xml:space="preserve">arcanine</x:t>
        </x:is>
      </x:c>
      <x:c r="D63" s="5" t="n">
        <x:v>1</x:v>
      </x:c>
      <x:c r="E63" s="10" t="n">
        <x:f>SUM(XLOOKUP('포켓몬_편집'!$AF63:$AN63,'분류_규칙'!$A$5:$A$76,'분류_규칙'!$E$5:$E$76,0))</x:f>
        <x:v>10</x:v>
      </x:c>
      <x:c r="F63" s="10" t="n">
        <x:f>SUM(XLOOKUP('포켓몬_편집'!$AF63:$AN63,'분류_규칙'!$A$5:$A$76,'분류_규칙'!$F$5:$F$76,0))</x:f>
        <x:v>7</x:v>
      </x:c>
      <x:c r="G63" s="10" t="n">
        <x:f>SUM(XLOOKUP('포켓몬_편집'!$AF63:$AN63,'분류_규칙'!$A$5:$A$76,'분류_규칙'!$G$5:$G$76,0))</x:f>
        <x:v>5</x:v>
      </x:c>
      <x:c r="H63" s="10" t="n">
        <x:f>SUM(XLOOKUP('포켓몬_편집'!$AF63:$AN63,'분류_규칙'!$A$5:$A$76,'분류_규칙'!$H$5:$H$76,0))</x:f>
        <x:v>5</x:v>
      </x:c>
      <x:c r="I63" s="10" t="n">
        <x:f>SUM(XLOOKUP('포켓몬_편집'!$AF63:$AN63,'분류_규칙'!$A$5:$A$76,'분류_규칙'!$I$5:$I$76,0))</x:f>
        <x:v>0</x:v>
      </x:c>
      <x:c r="J63" s="10" t="n">
        <x:f>SUM(XLOOKUP('포켓몬_편집'!$AF63:$AN63,'분류_규칙'!$A$5:$A$76,'분류_규칙'!$J$5:$J$76,0))</x:f>
        <x:v>2</x:v>
      </x:c>
      <x:c r="K63" s="10" t="n">
        <x:f>SUM(XLOOKUP('포켓몬_편집'!$AF63:$AN63,'분류_규칙'!$A$5:$A$76,'분류_규칙'!$K$5:$K$76,0))</x:f>
        <x:v>0</x:v>
      </x:c>
      <x:c r="L63" s="10" t="n">
        <x:f>SUM(XLOOKUP('포켓몬_편집'!$AF63:$AN63,'분류_규칙'!$A$5:$A$76,'분류_규칙'!$L$5:$L$76,0))</x:f>
        <x:v>0</x:v>
      </x:c>
      <x:c r="M63" s="10" t="n">
        <x:f>SUM(XLOOKUP('포켓몬_편집'!$AF63:$AN63,'분류_규칙'!$A$5:$A$76,'분류_규칙'!$M$5:$M$76,0))</x:f>
        <x:v>0</x:v>
      </x:c>
      <x:c r="N63" s="10" t="n">
        <x:f>SUM(XLOOKUP('포켓몬_편집'!$AF63:$AN63,'분류_규칙'!$A$5:$A$76,'분류_규칙'!$N$5:$N$76,0))</x:f>
        <x:v>0</x:v>
      </x:c>
      <x:c r="O63" s="10" t="n">
        <x:f>SUM(XLOOKUP('포켓몬_편집'!$AF63:$AN63,'분류_규칙'!$A$5:$A$76,'분류_규칙'!$O$5:$O$76,0))</x:f>
        <x:v>2</x:v>
      </x:c>
      <x:c r="P63" s="10" t="n">
        <x:f>SUM(XLOOKUP('포켓몬_편집'!$AF63:$AN63,'분류_규칙'!$A$5:$A$76,'분류_규칙'!$P$5:$P$76,0))</x:f>
        <x:v>0</x:v>
      </x:c>
    </x:row>
    <x:row r="64" ht="22" customHeight="1">
      <x:c r="A64" s="5" t="n">
        <x:v>60</x:v>
      </x:c>
      <x:c r="B64" s="5" t="inlineStr">
        <x:is>
          <x:t xml:space="preserve">발챙이</x:t>
        </x:is>
      </x:c>
      <x:c r="C64" s="5" t="inlineStr">
        <x:is>
          <x:t xml:space="preserve">poliwag</x:t>
        </x:is>
      </x:c>
      <x:c r="D64" s="5" t="n">
        <x:v>1</x:v>
      </x:c>
      <x:c r="E64" s="10" t="n">
        <x:f>SUM(XLOOKUP('포켓몬_편집'!$AF64:$AN64,'분류_규칙'!$A$5:$A$76,'분류_규칙'!$E$5:$E$76,0))</x:f>
        <x:v>0</x:v>
      </x:c>
      <x:c r="F64" s="10" t="n">
        <x:f>SUM(XLOOKUP('포켓몬_편집'!$AF64:$AN64,'분류_규칙'!$A$5:$A$76,'분류_규칙'!$F$5:$F$76,0))</x:f>
        <x:v>0</x:v>
      </x:c>
      <x:c r="G64" s="10" t="n">
        <x:f>SUM(XLOOKUP('포켓몬_편집'!$AF64:$AN64,'분류_규칙'!$A$5:$A$76,'분류_규칙'!$G$5:$G$76,0))</x:f>
        <x:v>0</x:v>
      </x:c>
      <x:c r="H64" s="10" t="n">
        <x:f>SUM(XLOOKUP('포켓몬_편집'!$AF64:$AN64,'분류_규칙'!$A$5:$A$76,'분류_규칙'!$H$5:$H$76,0))</x:f>
        <x:v>0</x:v>
      </x:c>
      <x:c r="I64" s="10" t="n">
        <x:f>SUM(XLOOKUP('포켓몬_편집'!$AF64:$AN64,'분류_규칙'!$A$5:$A$76,'분류_규칙'!$I$5:$I$76,0))</x:f>
        <x:v>0</x:v>
      </x:c>
      <x:c r="J64" s="10" t="n">
        <x:f>SUM(XLOOKUP('포켓몬_편집'!$AF64:$AN64,'분류_규칙'!$A$5:$A$76,'분류_규칙'!$J$5:$J$76,0))</x:f>
        <x:v>12</x:v>
      </x:c>
      <x:c r="K64" s="10" t="n">
        <x:f>SUM(XLOOKUP('포켓몬_편집'!$AF64:$AN64,'분류_규칙'!$A$5:$A$76,'분류_규칙'!$K$5:$K$76,0))</x:f>
        <x:v>30</x:v>
      </x:c>
      <x:c r="L64" s="10" t="n">
        <x:f>SUM(XLOOKUP('포켓몬_편집'!$AF64:$AN64,'분류_규칙'!$A$5:$A$76,'분류_규칙'!$L$5:$L$76,0))</x:f>
        <x:v>0</x:v>
      </x:c>
      <x:c r="M64" s="10" t="n">
        <x:f>SUM(XLOOKUP('포켓몬_편집'!$AF64:$AN64,'분류_규칙'!$A$5:$A$76,'분류_규칙'!$M$5:$M$76,0))</x:f>
        <x:v>0</x:v>
      </x:c>
      <x:c r="N64" s="10" t="n">
        <x:f>SUM(XLOOKUP('포켓몬_편집'!$AF64:$AN64,'분류_규칙'!$A$5:$A$76,'분류_규칙'!$N$5:$N$76,0))</x:f>
        <x:v>0</x:v>
      </x:c>
      <x:c r="O64" s="10" t="n">
        <x:f>SUM(XLOOKUP('포켓몬_편집'!$AF64:$AN64,'분류_규칙'!$A$5:$A$76,'분류_규칙'!$O$5:$O$76,0))</x:f>
        <x:v>0</x:v>
      </x:c>
      <x:c r="P64" s="10" t="n">
        <x:f>SUM(XLOOKUP('포켓몬_편집'!$AF64:$AN64,'분류_규칙'!$A$5:$A$76,'분류_규칙'!$P$5:$P$76,0))</x:f>
        <x:v>0</x:v>
      </x:c>
    </x:row>
    <x:row r="65" ht="22" customHeight="1">
      <x:c r="A65" s="5" t="n">
        <x:v>61</x:v>
      </x:c>
      <x:c r="B65" s="5" t="inlineStr">
        <x:is>
          <x:t xml:space="preserve">슈륙챙이</x:t>
        </x:is>
      </x:c>
      <x:c r="C65" s="5" t="inlineStr">
        <x:is>
          <x:t xml:space="preserve">poliwhirl</x:t>
        </x:is>
      </x:c>
      <x:c r="D65" s="5" t="n">
        <x:v>1</x:v>
      </x:c>
      <x:c r="E65" s="10" t="n">
        <x:f>SUM(XLOOKUP('포켓몬_편집'!$AF65:$AN65,'분류_규칙'!$A$5:$A$76,'분류_규칙'!$E$5:$E$76,0))</x:f>
        <x:v>0</x:v>
      </x:c>
      <x:c r="F65" s="10" t="n">
        <x:f>SUM(XLOOKUP('포켓몬_편집'!$AF65:$AN65,'분류_규칙'!$A$5:$A$76,'분류_규칙'!$F$5:$F$76,0))</x:f>
        <x:v>0</x:v>
      </x:c>
      <x:c r="G65" s="10" t="n">
        <x:f>SUM(XLOOKUP('포켓몬_편집'!$AF65:$AN65,'분류_규칙'!$A$5:$A$76,'분류_규칙'!$G$5:$G$76,0))</x:f>
        <x:v>0</x:v>
      </x:c>
      <x:c r="H65" s="10" t="n">
        <x:f>SUM(XLOOKUP('포켓몬_편집'!$AF65:$AN65,'분류_규칙'!$A$5:$A$76,'분류_규칙'!$H$5:$H$76,0))</x:f>
        <x:v>0</x:v>
      </x:c>
      <x:c r="I65" s="10" t="n">
        <x:f>SUM(XLOOKUP('포켓몬_편집'!$AF65:$AN65,'분류_규칙'!$A$5:$A$76,'분류_규칙'!$I$5:$I$76,0))</x:f>
        <x:v>0</x:v>
      </x:c>
      <x:c r="J65" s="10" t="n">
        <x:f>SUM(XLOOKUP('포켓몬_편집'!$AF65:$AN65,'분류_규칙'!$A$5:$A$76,'분류_규칙'!$J$5:$J$76,0))</x:f>
        <x:v>12</x:v>
      </x:c>
      <x:c r="K65" s="10" t="n">
        <x:f>SUM(XLOOKUP('포켓몬_편집'!$AF65:$AN65,'분류_규칙'!$A$5:$A$76,'분류_규칙'!$K$5:$K$76,0))</x:f>
        <x:v>30</x:v>
      </x:c>
      <x:c r="L65" s="10" t="n">
        <x:f>SUM(XLOOKUP('포켓몬_편집'!$AF65:$AN65,'분류_규칙'!$A$5:$A$76,'분류_규칙'!$L$5:$L$76,0))</x:f>
        <x:v>0</x:v>
      </x:c>
      <x:c r="M65" s="10" t="n">
        <x:f>SUM(XLOOKUP('포켓몬_편집'!$AF65:$AN65,'분류_규칙'!$A$5:$A$76,'분류_규칙'!$M$5:$M$76,0))</x:f>
        <x:v>0</x:v>
      </x:c>
      <x:c r="N65" s="10" t="n">
        <x:f>SUM(XLOOKUP('포켓몬_편집'!$AF65:$AN65,'분류_규칙'!$A$5:$A$76,'분류_규칙'!$N$5:$N$76,0))</x:f>
        <x:v>0</x:v>
      </x:c>
      <x:c r="O65" s="10" t="n">
        <x:f>SUM(XLOOKUP('포켓몬_편집'!$AF65:$AN65,'분류_규칙'!$A$5:$A$76,'분류_규칙'!$O$5:$O$76,0))</x:f>
        <x:v>0</x:v>
      </x:c>
      <x:c r="P65" s="10" t="n">
        <x:f>SUM(XLOOKUP('포켓몬_편집'!$AF65:$AN65,'분류_규칙'!$A$5:$A$76,'분류_규칙'!$P$5:$P$76,0))</x:f>
        <x:v>0</x:v>
      </x:c>
    </x:row>
    <x:row r="66" ht="22" customHeight="1">
      <x:c r="A66" s="5" t="n">
        <x:v>62</x:v>
      </x:c>
      <x:c r="B66" s="5" t="inlineStr">
        <x:is>
          <x:t xml:space="preserve">강챙이</x:t>
        </x:is>
      </x:c>
      <x:c r="C66" s="5" t="inlineStr">
        <x:is>
          <x:t xml:space="preserve">poliwrath</x:t>
        </x:is>
      </x:c>
      <x:c r="D66" s="5" t="n">
        <x:v>1</x:v>
      </x:c>
      <x:c r="E66" s="10" t="n">
        <x:f>SUM(XLOOKUP('포켓몬_편집'!$AF66:$AN66,'분류_규칙'!$A$5:$A$76,'분류_규칙'!$E$5:$E$76,0))</x:f>
        <x:v>0</x:v>
      </x:c>
      <x:c r="F66" s="10" t="n">
        <x:f>SUM(XLOOKUP('포켓몬_편집'!$AF66:$AN66,'분류_규칙'!$A$5:$A$76,'분류_규칙'!$F$5:$F$76,0))</x:f>
        <x:v>0</x:v>
      </x:c>
      <x:c r="G66" s="10" t="n">
        <x:f>SUM(XLOOKUP('포켓몬_편집'!$AF66:$AN66,'분류_규칙'!$A$5:$A$76,'분류_규칙'!$G$5:$G$76,0))</x:f>
        <x:v>0</x:v>
      </x:c>
      <x:c r="H66" s="10" t="n">
        <x:f>SUM(XLOOKUP('포켓몬_편집'!$AF66:$AN66,'분류_규칙'!$A$5:$A$76,'분류_규칙'!$H$5:$H$76,0))</x:f>
        <x:v>0</x:v>
      </x:c>
      <x:c r="I66" s="10" t="n">
        <x:f>SUM(XLOOKUP('포켓몬_편집'!$AF66:$AN66,'분류_규칙'!$A$5:$A$76,'분류_규칙'!$I$5:$I$76,0))</x:f>
        <x:v>0</x:v>
      </x:c>
      <x:c r="J66" s="10" t="n">
        <x:f>SUM(XLOOKUP('포켓몬_편집'!$AF66:$AN66,'분류_규칙'!$A$5:$A$76,'분류_규칙'!$J$5:$J$76,0))</x:f>
        <x:v>12</x:v>
      </x:c>
      <x:c r="K66" s="10" t="n">
        <x:f>SUM(XLOOKUP('포켓몬_편집'!$AF66:$AN66,'분류_규칙'!$A$5:$A$76,'분류_규칙'!$K$5:$K$76,0))</x:f>
        <x:v>30</x:v>
      </x:c>
      <x:c r="L66" s="10" t="n">
        <x:f>SUM(XLOOKUP('포켓몬_편집'!$AF66:$AN66,'분류_규칙'!$A$5:$A$76,'분류_규칙'!$L$5:$L$76,0))</x:f>
        <x:v>0</x:v>
      </x:c>
      <x:c r="M66" s="10" t="n">
        <x:f>SUM(XLOOKUP('포켓몬_편집'!$AF66:$AN66,'분류_규칙'!$A$5:$A$76,'분류_규칙'!$M$5:$M$76,0))</x:f>
        <x:v>0</x:v>
      </x:c>
      <x:c r="N66" s="10" t="n">
        <x:f>SUM(XLOOKUP('포켓몬_편집'!$AF66:$AN66,'분류_규칙'!$A$5:$A$76,'분류_규칙'!$N$5:$N$76,0))</x:f>
        <x:v>0</x:v>
      </x:c>
      <x:c r="O66" s="10" t="n">
        <x:f>SUM(XLOOKUP('포켓몬_편집'!$AF66:$AN66,'분류_규칙'!$A$5:$A$76,'분류_규칙'!$O$5:$O$76,0))</x:f>
        <x:v>0</x:v>
      </x:c>
      <x:c r="P66" s="10" t="n">
        <x:f>SUM(XLOOKUP('포켓몬_편집'!$AF66:$AN66,'분류_규칙'!$A$5:$A$76,'분류_규칙'!$P$5:$P$76,0))</x:f>
        <x:v>0</x:v>
      </x:c>
    </x:row>
    <x:row r="67" ht="22" customHeight="1">
      <x:c r="A67" s="5" t="n">
        <x:v>63</x:v>
      </x:c>
      <x:c r="B67" s="5" t="inlineStr">
        <x:is>
          <x:t xml:space="preserve">캐이시</x:t>
        </x:is>
      </x:c>
      <x:c r="C67" s="5" t="inlineStr">
        <x:is>
          <x:t xml:space="preserve">abra</x:t>
        </x:is>
      </x:c>
      <x:c r="D67" s="5" t="n">
        <x:v>1</x:v>
      </x:c>
      <x:c r="E67" s="10" t="n">
        <x:f>SUM(XLOOKUP('포켓몬_편집'!$AF67:$AN67,'분류_규칙'!$A$5:$A$76,'분류_규칙'!$E$5:$E$76,0))</x:f>
        <x:v>8</x:v>
      </x:c>
      <x:c r="F67" s="10" t="n">
        <x:f>SUM(XLOOKUP('포켓몬_편집'!$AF67:$AN67,'분류_규칙'!$A$5:$A$76,'분류_규칙'!$F$5:$F$76,0))</x:f>
        <x:v>8</x:v>
      </x:c>
      <x:c r="G67" s="10" t="n">
        <x:f>SUM(XLOOKUP('포켓몬_편집'!$AF67:$AN67,'분류_규칙'!$A$5:$A$76,'분류_규칙'!$G$5:$G$76,0))</x:f>
        <x:v>0</x:v>
      </x:c>
      <x:c r="H67" s="10" t="n">
        <x:f>SUM(XLOOKUP('포켓몬_편집'!$AF67:$AN67,'분류_규칙'!$A$5:$A$76,'분류_규칙'!$H$5:$H$76,0))</x:f>
        <x:v>12</x:v>
      </x:c>
      <x:c r="I67" s="10" t="n">
        <x:f>SUM(XLOOKUP('포켓몬_편집'!$AF67:$AN67,'분류_규칙'!$A$5:$A$76,'분류_규칙'!$I$5:$I$76,0))</x:f>
        <x:v>0</x:v>
      </x:c>
      <x:c r="J67" s="10" t="n">
        <x:f>SUM(XLOOKUP('포켓몬_편집'!$AF67:$AN67,'분류_규칙'!$A$5:$A$76,'분류_규칙'!$J$5:$J$76,0))</x:f>
        <x:v>0</x:v>
      </x:c>
      <x:c r="K67" s="10" t="n">
        <x:f>SUM(XLOOKUP('포켓몬_편집'!$AF67:$AN67,'분류_규칙'!$A$5:$A$76,'분류_규칙'!$K$5:$K$76,0))</x:f>
        <x:v>0</x:v>
      </x:c>
      <x:c r="L67" s="10" t="n">
        <x:f>SUM(XLOOKUP('포켓몬_편집'!$AF67:$AN67,'분류_규칙'!$A$5:$A$76,'분류_규칙'!$L$5:$L$76,0))</x:f>
        <x:v>3</x:v>
      </x:c>
      <x:c r="M67" s="10" t="n">
        <x:f>SUM(XLOOKUP('포켓몬_편집'!$AF67:$AN67,'분류_규칙'!$A$5:$A$76,'분류_규칙'!$M$5:$M$76,0))</x:f>
        <x:v>0</x:v>
      </x:c>
      <x:c r="N67" s="10" t="n">
        <x:f>SUM(XLOOKUP('포켓몬_편집'!$AF67:$AN67,'분류_규칙'!$A$5:$A$76,'분류_규칙'!$N$5:$N$76,0))</x:f>
        <x:v>0</x:v>
      </x:c>
      <x:c r="O67" s="10" t="n">
        <x:f>SUM(XLOOKUP('포켓몬_편집'!$AF67:$AN67,'분류_규칙'!$A$5:$A$76,'분류_규칙'!$O$5:$O$76,0))</x:f>
        <x:v>2</x:v>
      </x:c>
      <x:c r="P67" s="10" t="n">
        <x:f>SUM(XLOOKUP('포켓몬_편집'!$AF67:$AN67,'분류_규칙'!$A$5:$A$76,'분류_규칙'!$P$5:$P$76,0))</x:f>
        <x:v>0</x:v>
      </x:c>
    </x:row>
    <x:row r="68" ht="22" customHeight="1">
      <x:c r="A68" s="5" t="n">
        <x:v>64</x:v>
      </x:c>
      <x:c r="B68" s="5" t="inlineStr">
        <x:is>
          <x:t xml:space="preserve">윤겔라</x:t>
        </x:is>
      </x:c>
      <x:c r="C68" s="5" t="inlineStr">
        <x:is>
          <x:t xml:space="preserve">kadabra</x:t>
        </x:is>
      </x:c>
      <x:c r="D68" s="5" t="n">
        <x:v>1</x:v>
      </x:c>
      <x:c r="E68" s="10" t="n">
        <x:f>SUM(XLOOKUP('포켓몬_편집'!$AF68:$AN68,'분류_규칙'!$A$5:$A$76,'분류_규칙'!$E$5:$E$76,0))</x:f>
        <x:v>10</x:v>
      </x:c>
      <x:c r="F68" s="10" t="n">
        <x:f>SUM(XLOOKUP('포켓몬_편집'!$AF68:$AN68,'분류_규칙'!$A$5:$A$76,'분류_규칙'!$F$5:$F$76,0))</x:f>
        <x:v>7</x:v>
      </x:c>
      <x:c r="G68" s="10" t="n">
        <x:f>SUM(XLOOKUP('포켓몬_편집'!$AF68:$AN68,'분류_규칙'!$A$5:$A$76,'분류_규칙'!$G$5:$G$76,0))</x:f>
        <x:v>5</x:v>
      </x:c>
      <x:c r="H68" s="10" t="n">
        <x:f>SUM(XLOOKUP('포켓몬_편집'!$AF68:$AN68,'분류_규칙'!$A$5:$A$76,'분류_규칙'!$H$5:$H$76,0))</x:f>
        <x:v>5</x:v>
      </x:c>
      <x:c r="I68" s="10" t="n">
        <x:f>SUM(XLOOKUP('포켓몬_편집'!$AF68:$AN68,'분류_규칙'!$A$5:$A$76,'분류_규칙'!$I$5:$I$76,0))</x:f>
        <x:v>0</x:v>
      </x:c>
      <x:c r="J68" s="10" t="n">
        <x:f>SUM(XLOOKUP('포켓몬_편집'!$AF68:$AN68,'분류_규칙'!$A$5:$A$76,'분류_규칙'!$J$5:$J$76,0))</x:f>
        <x:v>2</x:v>
      </x:c>
      <x:c r="K68" s="10" t="n">
        <x:f>SUM(XLOOKUP('포켓몬_편집'!$AF68:$AN68,'분류_규칙'!$A$5:$A$76,'분류_규칙'!$K$5:$K$76,0))</x:f>
        <x:v>0</x:v>
      </x:c>
      <x:c r="L68" s="10" t="n">
        <x:f>SUM(XLOOKUP('포켓몬_편집'!$AF68:$AN68,'분류_규칙'!$A$5:$A$76,'분류_규칙'!$L$5:$L$76,0))</x:f>
        <x:v>0</x:v>
      </x:c>
      <x:c r="M68" s="10" t="n">
        <x:f>SUM(XLOOKUP('포켓몬_편집'!$AF68:$AN68,'분류_규칙'!$A$5:$A$76,'분류_규칙'!$M$5:$M$76,0))</x:f>
        <x:v>0</x:v>
      </x:c>
      <x:c r="N68" s="10" t="n">
        <x:f>SUM(XLOOKUP('포켓몬_편집'!$AF68:$AN68,'분류_규칙'!$A$5:$A$76,'분류_규칙'!$N$5:$N$76,0))</x:f>
        <x:v>0</x:v>
      </x:c>
      <x:c r="O68" s="10" t="n">
        <x:f>SUM(XLOOKUP('포켓몬_편집'!$AF68:$AN68,'분류_규칙'!$A$5:$A$76,'분류_규칙'!$O$5:$O$76,0))</x:f>
        <x:v>2</x:v>
      </x:c>
      <x:c r="P68" s="10" t="n">
        <x:f>SUM(XLOOKUP('포켓몬_편집'!$AF68:$AN68,'분류_규칙'!$A$5:$A$76,'분류_규칙'!$P$5:$P$76,0))</x:f>
        <x:v>0</x:v>
      </x:c>
    </x:row>
    <x:row r="69" ht="22" customHeight="1">
      <x:c r="A69" s="5" t="n">
        <x:v>65</x:v>
      </x:c>
      <x:c r="B69" s="5" t="inlineStr">
        <x:is>
          <x:t xml:space="preserve">후딘</x:t>
        </x:is>
      </x:c>
      <x:c r="C69" s="5" t="inlineStr">
        <x:is>
          <x:t xml:space="preserve">alakazam</x:t>
        </x:is>
      </x:c>
      <x:c r="D69" s="5" t="n">
        <x:v>1</x:v>
      </x:c>
      <x:c r="E69" s="10" t="n">
        <x:f>SUM(XLOOKUP('포켓몬_편집'!$AF69:$AN69,'분류_규칙'!$A$5:$A$76,'분류_규칙'!$E$5:$E$76,0))</x:f>
        <x:v>10</x:v>
      </x:c>
      <x:c r="F69" s="10" t="n">
        <x:f>SUM(XLOOKUP('포켓몬_편집'!$AF69:$AN69,'분류_규칙'!$A$5:$A$76,'분류_규칙'!$F$5:$F$76,0))</x:f>
        <x:v>7</x:v>
      </x:c>
      <x:c r="G69" s="10" t="n">
        <x:f>SUM(XLOOKUP('포켓몬_편집'!$AF69:$AN69,'분류_규칙'!$A$5:$A$76,'분류_규칙'!$G$5:$G$76,0))</x:f>
        <x:v>5</x:v>
      </x:c>
      <x:c r="H69" s="10" t="n">
        <x:f>SUM(XLOOKUP('포켓몬_편집'!$AF69:$AN69,'분류_규칙'!$A$5:$A$76,'분류_규칙'!$H$5:$H$76,0))</x:f>
        <x:v>5</x:v>
      </x:c>
      <x:c r="I69" s="10" t="n">
        <x:f>SUM(XLOOKUP('포켓몬_편집'!$AF69:$AN69,'분류_규칙'!$A$5:$A$76,'분류_규칙'!$I$5:$I$76,0))</x:f>
        <x:v>0</x:v>
      </x:c>
      <x:c r="J69" s="10" t="n">
        <x:f>SUM(XLOOKUP('포켓몬_편집'!$AF69:$AN69,'분류_규칙'!$A$5:$A$76,'분류_규칙'!$J$5:$J$76,0))</x:f>
        <x:v>2</x:v>
      </x:c>
      <x:c r="K69" s="10" t="n">
        <x:f>SUM(XLOOKUP('포켓몬_편집'!$AF69:$AN69,'분류_규칙'!$A$5:$A$76,'분류_규칙'!$K$5:$K$76,0))</x:f>
        <x:v>0</x:v>
      </x:c>
      <x:c r="L69" s="10" t="n">
        <x:f>SUM(XLOOKUP('포켓몬_편집'!$AF69:$AN69,'분류_규칙'!$A$5:$A$76,'분류_규칙'!$L$5:$L$76,0))</x:f>
        <x:v>0</x:v>
      </x:c>
      <x:c r="M69" s="10" t="n">
        <x:f>SUM(XLOOKUP('포켓몬_편집'!$AF69:$AN69,'분류_규칙'!$A$5:$A$76,'분류_규칙'!$M$5:$M$76,0))</x:f>
        <x:v>0</x:v>
      </x:c>
      <x:c r="N69" s="10" t="n">
        <x:f>SUM(XLOOKUP('포켓몬_편집'!$AF69:$AN69,'분류_규칙'!$A$5:$A$76,'분류_규칙'!$N$5:$N$76,0))</x:f>
        <x:v>0</x:v>
      </x:c>
      <x:c r="O69" s="10" t="n">
        <x:f>SUM(XLOOKUP('포켓몬_편집'!$AF69:$AN69,'분류_규칙'!$A$5:$A$76,'분류_규칙'!$O$5:$O$76,0))</x:f>
        <x:v>2</x:v>
      </x:c>
      <x:c r="P69" s="10" t="n">
        <x:f>SUM(XLOOKUP('포켓몬_편집'!$AF69:$AN69,'분류_규칙'!$A$5:$A$76,'분류_규칙'!$P$5:$P$76,0))</x:f>
        <x:v>0</x:v>
      </x:c>
    </x:row>
    <x:row r="70" ht="22" customHeight="1">
      <x:c r="A70" s="5" t="n">
        <x:v>66</x:v>
      </x:c>
      <x:c r="B70" s="5" t="inlineStr">
        <x:is>
          <x:t xml:space="preserve">알통몬</x:t>
        </x:is>
      </x:c>
      <x:c r="C70" s="5" t="inlineStr">
        <x:is>
          <x:t xml:space="preserve">machop</x:t>
        </x:is>
      </x:c>
      <x:c r="D70" s="5" t="n">
        <x:v>1</x:v>
      </x:c>
      <x:c r="E70" s="10" t="n">
        <x:f>SUM(XLOOKUP('포켓몬_편집'!$AF70:$AN70,'분류_규칙'!$A$5:$A$76,'분류_규칙'!$E$5:$E$76,0))</x:f>
        <x:v>10</x:v>
      </x:c>
      <x:c r="F70" s="10" t="n">
        <x:f>SUM(XLOOKUP('포켓몬_편집'!$AF70:$AN70,'분류_규칙'!$A$5:$A$76,'분류_규칙'!$F$5:$F$76,0))</x:f>
        <x:v>7</x:v>
      </x:c>
      <x:c r="G70" s="10" t="n">
        <x:f>SUM(XLOOKUP('포켓몬_편집'!$AF70:$AN70,'분류_규칙'!$A$5:$A$76,'분류_규칙'!$G$5:$G$76,0))</x:f>
        <x:v>5</x:v>
      </x:c>
      <x:c r="H70" s="10" t="n">
        <x:f>SUM(XLOOKUP('포켓몬_편집'!$AF70:$AN70,'분류_규칙'!$A$5:$A$76,'분류_규칙'!$H$5:$H$76,0))</x:f>
        <x:v>5</x:v>
      </x:c>
      <x:c r="I70" s="10" t="n">
        <x:f>SUM(XLOOKUP('포켓몬_편집'!$AF70:$AN70,'분류_규칙'!$A$5:$A$76,'분류_규칙'!$I$5:$I$76,0))</x:f>
        <x:v>0</x:v>
      </x:c>
      <x:c r="J70" s="10" t="n">
        <x:f>SUM(XLOOKUP('포켓몬_편집'!$AF70:$AN70,'분류_규칙'!$A$5:$A$76,'분류_규칙'!$J$5:$J$76,0))</x:f>
        <x:v>2</x:v>
      </x:c>
      <x:c r="K70" s="10" t="n">
        <x:f>SUM(XLOOKUP('포켓몬_편집'!$AF70:$AN70,'분류_규칙'!$A$5:$A$76,'분류_규칙'!$K$5:$K$76,0))</x:f>
        <x:v>0</x:v>
      </x:c>
      <x:c r="L70" s="10" t="n">
        <x:f>SUM(XLOOKUP('포켓몬_편집'!$AF70:$AN70,'분류_규칙'!$A$5:$A$76,'분류_규칙'!$L$5:$L$76,0))</x:f>
        <x:v>0</x:v>
      </x:c>
      <x:c r="M70" s="10" t="n">
        <x:f>SUM(XLOOKUP('포켓몬_편집'!$AF70:$AN70,'분류_규칙'!$A$5:$A$76,'분류_규칙'!$M$5:$M$76,0))</x:f>
        <x:v>0</x:v>
      </x:c>
      <x:c r="N70" s="10" t="n">
        <x:f>SUM(XLOOKUP('포켓몬_편집'!$AF70:$AN70,'분류_규칙'!$A$5:$A$76,'분류_규칙'!$N$5:$N$76,0))</x:f>
        <x:v>0</x:v>
      </x:c>
      <x:c r="O70" s="10" t="n">
        <x:f>SUM(XLOOKUP('포켓몬_편집'!$AF70:$AN70,'분류_규칙'!$A$5:$A$76,'분류_규칙'!$O$5:$O$76,0))</x:f>
        <x:v>2</x:v>
      </x:c>
      <x:c r="P70" s="10" t="n">
        <x:f>SUM(XLOOKUP('포켓몬_편집'!$AF70:$AN70,'분류_규칙'!$A$5:$A$76,'분류_규칙'!$P$5:$P$76,0))</x:f>
        <x:v>0</x:v>
      </x:c>
    </x:row>
    <x:row r="71" ht="22" customHeight="1">
      <x:c r="A71" s="5" t="n">
        <x:v>67</x:v>
      </x:c>
      <x:c r="B71" s="5" t="inlineStr">
        <x:is>
          <x:t xml:space="preserve">근육몬</x:t>
        </x:is>
      </x:c>
      <x:c r="C71" s="5" t="inlineStr">
        <x:is>
          <x:t xml:space="preserve">machoke</x:t>
        </x:is>
      </x:c>
      <x:c r="D71" s="5" t="n">
        <x:v>1</x:v>
      </x:c>
      <x:c r="E71" s="10" t="n">
        <x:f>SUM(XLOOKUP('포켓몬_편집'!$AF71:$AN71,'분류_규칙'!$A$5:$A$76,'분류_규칙'!$E$5:$E$76,0))</x:f>
        <x:v>10</x:v>
      </x:c>
      <x:c r="F71" s="10" t="n">
        <x:f>SUM(XLOOKUP('포켓몬_편집'!$AF71:$AN71,'분류_규칙'!$A$5:$A$76,'분류_규칙'!$F$5:$F$76,0))</x:f>
        <x:v>7</x:v>
      </x:c>
      <x:c r="G71" s="10" t="n">
        <x:f>SUM(XLOOKUP('포켓몬_편집'!$AF71:$AN71,'분류_규칙'!$A$5:$A$76,'분류_규칙'!$G$5:$G$76,0))</x:f>
        <x:v>5</x:v>
      </x:c>
      <x:c r="H71" s="10" t="n">
        <x:f>SUM(XLOOKUP('포켓몬_편집'!$AF71:$AN71,'분류_규칙'!$A$5:$A$76,'분류_규칙'!$H$5:$H$76,0))</x:f>
        <x:v>5</x:v>
      </x:c>
      <x:c r="I71" s="10" t="n">
        <x:f>SUM(XLOOKUP('포켓몬_편집'!$AF71:$AN71,'분류_규칙'!$A$5:$A$76,'분류_규칙'!$I$5:$I$76,0))</x:f>
        <x:v>0</x:v>
      </x:c>
      <x:c r="J71" s="10" t="n">
        <x:f>SUM(XLOOKUP('포켓몬_편집'!$AF71:$AN71,'분류_규칙'!$A$5:$A$76,'분류_규칙'!$J$5:$J$76,0))</x:f>
        <x:v>2</x:v>
      </x:c>
      <x:c r="K71" s="10" t="n">
        <x:f>SUM(XLOOKUP('포켓몬_편집'!$AF71:$AN71,'분류_규칙'!$A$5:$A$76,'분류_규칙'!$K$5:$K$76,0))</x:f>
        <x:v>0</x:v>
      </x:c>
      <x:c r="L71" s="10" t="n">
        <x:f>SUM(XLOOKUP('포켓몬_편집'!$AF71:$AN71,'분류_규칙'!$A$5:$A$76,'분류_규칙'!$L$5:$L$76,0))</x:f>
        <x:v>0</x:v>
      </x:c>
      <x:c r="M71" s="10" t="n">
        <x:f>SUM(XLOOKUP('포켓몬_편집'!$AF71:$AN71,'분류_규칙'!$A$5:$A$76,'분류_규칙'!$M$5:$M$76,0))</x:f>
        <x:v>0</x:v>
      </x:c>
      <x:c r="N71" s="10" t="n">
        <x:f>SUM(XLOOKUP('포켓몬_편집'!$AF71:$AN71,'분류_규칙'!$A$5:$A$76,'분류_규칙'!$N$5:$N$76,0))</x:f>
        <x:v>0</x:v>
      </x:c>
      <x:c r="O71" s="10" t="n">
        <x:f>SUM(XLOOKUP('포켓몬_편집'!$AF71:$AN71,'분류_규칙'!$A$5:$A$76,'분류_규칙'!$O$5:$O$76,0))</x:f>
        <x:v>2</x:v>
      </x:c>
      <x:c r="P71" s="10" t="n">
        <x:f>SUM(XLOOKUP('포켓몬_편집'!$AF71:$AN71,'분류_규칙'!$A$5:$A$76,'분류_규칙'!$P$5:$P$76,0))</x:f>
        <x:v>0</x:v>
      </x:c>
    </x:row>
    <x:row r="72" ht="22" customHeight="1">
      <x:c r="A72" s="5" t="n">
        <x:v>68</x:v>
      </x:c>
      <x:c r="B72" s="5" t="inlineStr">
        <x:is>
          <x:t xml:space="preserve">괴력몬</x:t>
        </x:is>
      </x:c>
      <x:c r="C72" s="5" t="inlineStr">
        <x:is>
          <x:t xml:space="preserve">machamp</x:t>
        </x:is>
      </x:c>
      <x:c r="D72" s="5" t="n">
        <x:v>1</x:v>
      </x:c>
      <x:c r="E72" s="10" t="n">
        <x:f>SUM(XLOOKUP('포켓몬_편집'!$AF72:$AN72,'분류_규칙'!$A$5:$A$76,'분류_규칙'!$E$5:$E$76,0))</x:f>
        <x:v>10</x:v>
      </x:c>
      <x:c r="F72" s="10" t="n">
        <x:f>SUM(XLOOKUP('포켓몬_편집'!$AF72:$AN72,'분류_규칙'!$A$5:$A$76,'분류_규칙'!$F$5:$F$76,0))</x:f>
        <x:v>7</x:v>
      </x:c>
      <x:c r="G72" s="10" t="n">
        <x:f>SUM(XLOOKUP('포켓몬_편집'!$AF72:$AN72,'분류_규칙'!$A$5:$A$76,'분류_규칙'!$G$5:$G$76,0))</x:f>
        <x:v>5</x:v>
      </x:c>
      <x:c r="H72" s="10" t="n">
        <x:f>SUM(XLOOKUP('포켓몬_편집'!$AF72:$AN72,'분류_규칙'!$A$5:$A$76,'분류_규칙'!$H$5:$H$76,0))</x:f>
        <x:v>5</x:v>
      </x:c>
      <x:c r="I72" s="10" t="n">
        <x:f>SUM(XLOOKUP('포켓몬_편집'!$AF72:$AN72,'분류_규칙'!$A$5:$A$76,'분류_규칙'!$I$5:$I$76,0))</x:f>
        <x:v>0</x:v>
      </x:c>
      <x:c r="J72" s="10" t="n">
        <x:f>SUM(XLOOKUP('포켓몬_편집'!$AF72:$AN72,'분류_규칙'!$A$5:$A$76,'분류_규칙'!$J$5:$J$76,0))</x:f>
        <x:v>2</x:v>
      </x:c>
      <x:c r="K72" s="10" t="n">
        <x:f>SUM(XLOOKUP('포켓몬_편집'!$AF72:$AN72,'분류_규칙'!$A$5:$A$76,'분류_규칙'!$K$5:$K$76,0))</x:f>
        <x:v>0</x:v>
      </x:c>
      <x:c r="L72" s="10" t="n">
        <x:f>SUM(XLOOKUP('포켓몬_편집'!$AF72:$AN72,'분류_규칙'!$A$5:$A$76,'분류_규칙'!$L$5:$L$76,0))</x:f>
        <x:v>0</x:v>
      </x:c>
      <x:c r="M72" s="10" t="n">
        <x:f>SUM(XLOOKUP('포켓몬_편집'!$AF72:$AN72,'분류_규칙'!$A$5:$A$76,'분류_규칙'!$M$5:$M$76,0))</x:f>
        <x:v>0</x:v>
      </x:c>
      <x:c r="N72" s="10" t="n">
        <x:f>SUM(XLOOKUP('포켓몬_편집'!$AF72:$AN72,'분류_규칙'!$A$5:$A$76,'분류_규칙'!$N$5:$N$76,0))</x:f>
        <x:v>0</x:v>
      </x:c>
      <x:c r="O72" s="10" t="n">
        <x:f>SUM(XLOOKUP('포켓몬_편집'!$AF72:$AN72,'분류_규칙'!$A$5:$A$76,'분류_규칙'!$O$5:$O$76,0))</x:f>
        <x:v>2</x:v>
      </x:c>
      <x:c r="P72" s="10" t="n">
        <x:f>SUM(XLOOKUP('포켓몬_편집'!$AF72:$AN72,'분류_규칙'!$A$5:$A$76,'분류_규칙'!$P$5:$P$76,0))</x:f>
        <x:v>0</x:v>
      </x:c>
    </x:row>
    <x:row r="73" ht="22" customHeight="1">
      <x:c r="A73" s="5" t="n">
        <x:v>69</x:v>
      </x:c>
      <x:c r="B73" s="5" t="inlineStr">
        <x:is>
          <x:t xml:space="preserve">모다피</x:t>
        </x:is>
      </x:c>
      <x:c r="C73" s="5" t="inlineStr">
        <x:is>
          <x:t xml:space="preserve">bellsprout</x:t>
        </x:is>
      </x:c>
      <x:c r="D73" s="5" t="n">
        <x:v>1</x:v>
      </x:c>
      <x:c r="E73" s="10" t="n">
        <x:f>SUM(XLOOKUP('포켓몬_편집'!$AF73:$AN73,'분류_규칙'!$A$5:$A$76,'분류_규칙'!$E$5:$E$76,0))</x:f>
        <x:v>10</x:v>
      </x:c>
      <x:c r="F73" s="10" t="n">
        <x:f>SUM(XLOOKUP('포켓몬_편집'!$AF73:$AN73,'분류_규칙'!$A$5:$A$76,'분류_규칙'!$F$5:$F$76,0))</x:f>
        <x:v>7</x:v>
      </x:c>
      <x:c r="G73" s="10" t="n">
        <x:f>SUM(XLOOKUP('포켓몬_편집'!$AF73:$AN73,'분류_규칙'!$A$5:$A$76,'분류_규칙'!$G$5:$G$76,0))</x:f>
        <x:v>5</x:v>
      </x:c>
      <x:c r="H73" s="10" t="n">
        <x:f>SUM(XLOOKUP('포켓몬_편집'!$AF73:$AN73,'분류_규칙'!$A$5:$A$76,'분류_규칙'!$H$5:$H$76,0))</x:f>
        <x:v>5</x:v>
      </x:c>
      <x:c r="I73" s="10" t="n">
        <x:f>SUM(XLOOKUP('포켓몬_편집'!$AF73:$AN73,'분류_규칙'!$A$5:$A$76,'분류_규칙'!$I$5:$I$76,0))</x:f>
        <x:v>0</x:v>
      </x:c>
      <x:c r="J73" s="10" t="n">
        <x:f>SUM(XLOOKUP('포켓몬_편집'!$AF73:$AN73,'분류_규칙'!$A$5:$A$76,'분류_규칙'!$J$5:$J$76,0))</x:f>
        <x:v>2</x:v>
      </x:c>
      <x:c r="K73" s="10" t="n">
        <x:f>SUM(XLOOKUP('포켓몬_편집'!$AF73:$AN73,'분류_규칙'!$A$5:$A$76,'분류_규칙'!$K$5:$K$76,0))</x:f>
        <x:v>0</x:v>
      </x:c>
      <x:c r="L73" s="10" t="n">
        <x:f>SUM(XLOOKUP('포켓몬_편집'!$AF73:$AN73,'분류_규칙'!$A$5:$A$76,'분류_규칙'!$L$5:$L$76,0))</x:f>
        <x:v>0</x:v>
      </x:c>
      <x:c r="M73" s="10" t="n">
        <x:f>SUM(XLOOKUP('포켓몬_편집'!$AF73:$AN73,'분류_규칙'!$A$5:$A$76,'분류_규칙'!$M$5:$M$76,0))</x:f>
        <x:v>0</x:v>
      </x:c>
      <x:c r="N73" s="10" t="n">
        <x:f>SUM(XLOOKUP('포켓몬_편집'!$AF73:$AN73,'분류_규칙'!$A$5:$A$76,'분류_규칙'!$N$5:$N$76,0))</x:f>
        <x:v>0</x:v>
      </x:c>
      <x:c r="O73" s="10" t="n">
        <x:f>SUM(XLOOKUP('포켓몬_편집'!$AF73:$AN73,'분류_규칙'!$A$5:$A$76,'분류_규칙'!$O$5:$O$76,0))</x:f>
        <x:v>2</x:v>
      </x:c>
      <x:c r="P73" s="10" t="n">
        <x:f>SUM(XLOOKUP('포켓몬_편집'!$AF73:$AN73,'분류_규칙'!$A$5:$A$76,'분류_규칙'!$P$5:$P$76,0))</x:f>
        <x:v>0</x:v>
      </x:c>
    </x:row>
    <x:row r="74" ht="22" customHeight="1">
      <x:c r="A74" s="5" t="n">
        <x:v>70</x:v>
      </x:c>
      <x:c r="B74" s="5" t="inlineStr">
        <x:is>
          <x:t xml:space="preserve">우츠동</x:t>
        </x:is>
      </x:c>
      <x:c r="C74" s="5" t="inlineStr">
        <x:is>
          <x:t xml:space="preserve">weepinbell</x:t>
        </x:is>
      </x:c>
      <x:c r="D74" s="5" t="n">
        <x:v>1</x:v>
      </x:c>
      <x:c r="E74" s="10" t="n">
        <x:f>SUM(XLOOKUP('포켓몬_편집'!$AF74:$AN74,'분류_규칙'!$A$5:$A$76,'분류_규칙'!$E$5:$E$76,0))</x:f>
        <x:v>10</x:v>
      </x:c>
      <x:c r="F74" s="10" t="n">
        <x:f>SUM(XLOOKUP('포켓몬_편집'!$AF74:$AN74,'분류_규칙'!$A$5:$A$76,'분류_규칙'!$F$5:$F$76,0))</x:f>
        <x:v>7</x:v>
      </x:c>
      <x:c r="G74" s="10" t="n">
        <x:f>SUM(XLOOKUP('포켓몬_편집'!$AF74:$AN74,'분류_규칙'!$A$5:$A$76,'분류_규칙'!$G$5:$G$76,0))</x:f>
        <x:v>5</x:v>
      </x:c>
      <x:c r="H74" s="10" t="n">
        <x:f>SUM(XLOOKUP('포켓몬_편집'!$AF74:$AN74,'분류_규칙'!$A$5:$A$76,'분류_규칙'!$H$5:$H$76,0))</x:f>
        <x:v>5</x:v>
      </x:c>
      <x:c r="I74" s="10" t="n">
        <x:f>SUM(XLOOKUP('포켓몬_편집'!$AF74:$AN74,'분류_규칙'!$A$5:$A$76,'분류_규칙'!$I$5:$I$76,0))</x:f>
        <x:v>0</x:v>
      </x:c>
      <x:c r="J74" s="10" t="n">
        <x:f>SUM(XLOOKUP('포켓몬_편집'!$AF74:$AN74,'분류_규칙'!$A$5:$A$76,'분류_규칙'!$J$5:$J$76,0))</x:f>
        <x:v>2</x:v>
      </x:c>
      <x:c r="K74" s="10" t="n">
        <x:f>SUM(XLOOKUP('포켓몬_편집'!$AF74:$AN74,'분류_규칙'!$A$5:$A$76,'분류_규칙'!$K$5:$K$76,0))</x:f>
        <x:v>0</x:v>
      </x:c>
      <x:c r="L74" s="10" t="n">
        <x:f>SUM(XLOOKUP('포켓몬_편집'!$AF74:$AN74,'분류_규칙'!$A$5:$A$76,'분류_규칙'!$L$5:$L$76,0))</x:f>
        <x:v>0</x:v>
      </x:c>
      <x:c r="M74" s="10" t="n">
        <x:f>SUM(XLOOKUP('포켓몬_편집'!$AF74:$AN74,'분류_규칙'!$A$5:$A$76,'분류_규칙'!$M$5:$M$76,0))</x:f>
        <x:v>0</x:v>
      </x:c>
      <x:c r="N74" s="10" t="n">
        <x:f>SUM(XLOOKUP('포켓몬_편집'!$AF74:$AN74,'분류_규칙'!$A$5:$A$76,'분류_규칙'!$N$5:$N$76,0))</x:f>
        <x:v>0</x:v>
      </x:c>
      <x:c r="O74" s="10" t="n">
        <x:f>SUM(XLOOKUP('포켓몬_편집'!$AF74:$AN74,'분류_규칙'!$A$5:$A$76,'분류_규칙'!$O$5:$O$76,0))</x:f>
        <x:v>2</x:v>
      </x:c>
      <x:c r="P74" s="10" t="n">
        <x:f>SUM(XLOOKUP('포켓몬_편집'!$AF74:$AN74,'분류_규칙'!$A$5:$A$76,'분류_규칙'!$P$5:$P$76,0))</x:f>
        <x:v>0</x:v>
      </x:c>
    </x:row>
    <x:row r="75" ht="22" customHeight="1">
      <x:c r="A75" s="5" t="n">
        <x:v>71</x:v>
      </x:c>
      <x:c r="B75" s="5" t="inlineStr">
        <x:is>
          <x:t xml:space="preserve">우츠보트</x:t>
        </x:is>
      </x:c>
      <x:c r="C75" s="5" t="inlineStr">
        <x:is>
          <x:t xml:space="preserve">victreebel</x:t>
        </x:is>
      </x:c>
      <x:c r="D75" s="5" t="n">
        <x:v>1</x:v>
      </x:c>
      <x:c r="E75" s="10" t="n">
        <x:f>SUM(XLOOKUP('포켓몬_편집'!$AF75:$AN75,'분류_규칙'!$A$5:$A$76,'분류_규칙'!$E$5:$E$76,0))</x:f>
        <x:v>10</x:v>
      </x:c>
      <x:c r="F75" s="10" t="n">
        <x:f>SUM(XLOOKUP('포켓몬_편집'!$AF75:$AN75,'분류_규칙'!$A$5:$A$76,'분류_규칙'!$F$5:$F$76,0))</x:f>
        <x:v>7</x:v>
      </x:c>
      <x:c r="G75" s="10" t="n">
        <x:f>SUM(XLOOKUP('포켓몬_편집'!$AF75:$AN75,'분류_규칙'!$A$5:$A$76,'분류_규칙'!$G$5:$G$76,0))</x:f>
        <x:v>5</x:v>
      </x:c>
      <x:c r="H75" s="10" t="n">
        <x:f>SUM(XLOOKUP('포켓몬_편집'!$AF75:$AN75,'분류_규칙'!$A$5:$A$76,'분류_규칙'!$H$5:$H$76,0))</x:f>
        <x:v>5</x:v>
      </x:c>
      <x:c r="I75" s="10" t="n">
        <x:f>SUM(XLOOKUP('포켓몬_편집'!$AF75:$AN75,'분류_규칙'!$A$5:$A$76,'분류_규칙'!$I$5:$I$76,0))</x:f>
        <x:v>0</x:v>
      </x:c>
      <x:c r="J75" s="10" t="n">
        <x:f>SUM(XLOOKUP('포켓몬_편집'!$AF75:$AN75,'분류_규칙'!$A$5:$A$76,'분류_규칙'!$J$5:$J$76,0))</x:f>
        <x:v>2</x:v>
      </x:c>
      <x:c r="K75" s="10" t="n">
        <x:f>SUM(XLOOKUP('포켓몬_편집'!$AF75:$AN75,'분류_규칙'!$A$5:$A$76,'분류_규칙'!$K$5:$K$76,0))</x:f>
        <x:v>0</x:v>
      </x:c>
      <x:c r="L75" s="10" t="n">
        <x:f>SUM(XLOOKUP('포켓몬_편집'!$AF75:$AN75,'분류_규칙'!$A$5:$A$76,'분류_규칙'!$L$5:$L$76,0))</x:f>
        <x:v>0</x:v>
      </x:c>
      <x:c r="M75" s="10" t="n">
        <x:f>SUM(XLOOKUP('포켓몬_편집'!$AF75:$AN75,'분류_규칙'!$A$5:$A$76,'분류_규칙'!$M$5:$M$76,0))</x:f>
        <x:v>0</x:v>
      </x:c>
      <x:c r="N75" s="10" t="n">
        <x:f>SUM(XLOOKUP('포켓몬_편집'!$AF75:$AN75,'분류_규칙'!$A$5:$A$76,'분류_규칙'!$N$5:$N$76,0))</x:f>
        <x:v>0</x:v>
      </x:c>
      <x:c r="O75" s="10" t="n">
        <x:f>SUM(XLOOKUP('포켓몬_편집'!$AF75:$AN75,'분류_규칙'!$A$5:$A$76,'분류_규칙'!$O$5:$O$76,0))</x:f>
        <x:v>2</x:v>
      </x:c>
      <x:c r="P75" s="10" t="n">
        <x:f>SUM(XLOOKUP('포켓몬_편집'!$AF75:$AN75,'분류_규칙'!$A$5:$A$76,'분류_규칙'!$P$5:$P$76,0))</x:f>
        <x:v>0</x:v>
      </x:c>
    </x:row>
    <x:row r="76" ht="22" customHeight="1">
      <x:c r="A76" s="5" t="n">
        <x:v>72</x:v>
      </x:c>
      <x:c r="B76" s="5" t="inlineStr">
        <x:is>
          <x:t xml:space="preserve">왕눈해</x:t>
        </x:is>
      </x:c>
      <x:c r="C76" s="5" t="inlineStr">
        <x:is>
          <x:t xml:space="preserve">tentacool</x:t>
        </x:is>
      </x:c>
      <x:c r="D76" s="5" t="n">
        <x:v>1</x:v>
      </x:c>
      <x:c r="E76" s="10" t="n">
        <x:f>SUM(XLOOKUP('포켓몬_편집'!$AF76:$AN76,'분류_규칙'!$A$5:$A$76,'분류_규칙'!$E$5:$E$76,0))</x:f>
        <x:v>0</x:v>
      </x:c>
      <x:c r="F76" s="10" t="n">
        <x:f>SUM(XLOOKUP('포켓몬_편집'!$AF76:$AN76,'분류_규칙'!$A$5:$A$76,'분류_규칙'!$F$5:$F$76,0))</x:f>
        <x:v>0</x:v>
      </x:c>
      <x:c r="G76" s="10" t="n">
        <x:f>SUM(XLOOKUP('포켓몬_편집'!$AF76:$AN76,'분류_규칙'!$A$5:$A$76,'분류_규칙'!$G$5:$G$76,0))</x:f>
        <x:v>0</x:v>
      </x:c>
      <x:c r="H76" s="10" t="n">
        <x:f>SUM(XLOOKUP('포켓몬_편집'!$AF76:$AN76,'분류_규칙'!$A$5:$A$76,'분류_규칙'!$H$5:$H$76,0))</x:f>
        <x:v>0</x:v>
      </x:c>
      <x:c r="I76" s="10" t="n">
        <x:f>SUM(XLOOKUP('포켓몬_편집'!$AF76:$AN76,'분류_규칙'!$A$5:$A$76,'분류_규칙'!$I$5:$I$76,0))</x:f>
        <x:v>0</x:v>
      </x:c>
      <x:c r="J76" s="10" t="n">
        <x:f>SUM(XLOOKUP('포켓몬_편집'!$AF76:$AN76,'분류_규칙'!$A$5:$A$76,'분류_규칙'!$J$5:$J$76,0))</x:f>
        <x:v>3</x:v>
      </x:c>
      <x:c r="K76" s="10" t="n">
        <x:f>SUM(XLOOKUP('포켓몬_편집'!$AF76:$AN76,'분류_규칙'!$A$5:$A$76,'분류_규칙'!$K$5:$K$76,0))</x:f>
        <x:v>0</x:v>
      </x:c>
      <x:c r="L76" s="10" t="n">
        <x:f>SUM(XLOOKUP('포켓몬_편집'!$AF76:$AN76,'분류_규칙'!$A$5:$A$76,'분류_규칙'!$L$5:$L$76,0))</x:f>
        <x:v>30</x:v>
      </x:c>
      <x:c r="M76" s="10" t="n">
        <x:f>SUM(XLOOKUP('포켓몬_편집'!$AF76:$AN76,'분류_규칙'!$A$5:$A$76,'분류_규칙'!$M$5:$M$76,0))</x:f>
        <x:v>0</x:v>
      </x:c>
      <x:c r="N76" s="10" t="n">
        <x:f>SUM(XLOOKUP('포켓몬_편집'!$AF76:$AN76,'분류_규칙'!$A$5:$A$76,'분류_규칙'!$N$5:$N$76,0))</x:f>
        <x:v>0</x:v>
      </x:c>
      <x:c r="O76" s="10" t="n">
        <x:f>SUM(XLOOKUP('포켓몬_편집'!$AF76:$AN76,'분류_규칙'!$A$5:$A$76,'분류_규칙'!$O$5:$O$76,0))</x:f>
        <x:v>0</x:v>
      </x:c>
      <x:c r="P76" s="10" t="n">
        <x:f>SUM(XLOOKUP('포켓몬_편집'!$AF76:$AN76,'분류_규칙'!$A$5:$A$76,'분류_규칙'!$P$5:$P$76,0))</x:f>
        <x:v>0</x:v>
      </x:c>
    </x:row>
    <x:row r="77" ht="22" customHeight="1">
      <x:c r="A77" s="5" t="n">
        <x:v>73</x:v>
      </x:c>
      <x:c r="B77" s="5" t="inlineStr">
        <x:is>
          <x:t xml:space="preserve">독파리</x:t>
        </x:is>
      </x:c>
      <x:c r="C77" s="5" t="inlineStr">
        <x:is>
          <x:t xml:space="preserve">tentacruel</x:t>
        </x:is>
      </x:c>
      <x:c r="D77" s="5" t="n">
        <x:v>1</x:v>
      </x:c>
      <x:c r="E77" s="10" t="n">
        <x:f>SUM(XLOOKUP('포켓몬_편집'!$AF77:$AN77,'분류_규칙'!$A$5:$A$76,'분류_규칙'!$E$5:$E$76,0))</x:f>
        <x:v>0</x:v>
      </x:c>
      <x:c r="F77" s="10" t="n">
        <x:f>SUM(XLOOKUP('포켓몬_편집'!$AF77:$AN77,'분류_규칙'!$A$5:$A$76,'분류_규칙'!$F$5:$F$76,0))</x:f>
        <x:v>0</x:v>
      </x:c>
      <x:c r="G77" s="10" t="n">
        <x:f>SUM(XLOOKUP('포켓몬_편집'!$AF77:$AN77,'분류_규칙'!$A$5:$A$76,'분류_규칙'!$G$5:$G$76,0))</x:f>
        <x:v>0</x:v>
      </x:c>
      <x:c r="H77" s="10" t="n">
        <x:f>SUM(XLOOKUP('포켓몬_편집'!$AF77:$AN77,'분류_규칙'!$A$5:$A$76,'분류_규칙'!$H$5:$H$76,0))</x:f>
        <x:v>0</x:v>
      </x:c>
      <x:c r="I77" s="10" t="n">
        <x:f>SUM(XLOOKUP('포켓몬_편집'!$AF77:$AN77,'분류_규칙'!$A$5:$A$76,'분류_규칙'!$I$5:$I$76,0))</x:f>
        <x:v>0</x:v>
      </x:c>
      <x:c r="J77" s="10" t="n">
        <x:f>SUM(XLOOKUP('포켓몬_편집'!$AF77:$AN77,'분류_규칙'!$A$5:$A$76,'분류_규칙'!$J$5:$J$76,0))</x:f>
        <x:v>3</x:v>
      </x:c>
      <x:c r="K77" s="10" t="n">
        <x:f>SUM(XLOOKUP('포켓몬_편집'!$AF77:$AN77,'분류_규칙'!$A$5:$A$76,'분류_규칙'!$K$5:$K$76,0))</x:f>
        <x:v>0</x:v>
      </x:c>
      <x:c r="L77" s="10" t="n">
        <x:f>SUM(XLOOKUP('포켓몬_편집'!$AF77:$AN77,'분류_규칙'!$A$5:$A$76,'분류_규칙'!$L$5:$L$76,0))</x:f>
        <x:v>30</x:v>
      </x:c>
      <x:c r="M77" s="10" t="n">
        <x:f>SUM(XLOOKUP('포켓몬_편집'!$AF77:$AN77,'분류_규칙'!$A$5:$A$76,'분류_규칙'!$M$5:$M$76,0))</x:f>
        <x:v>0</x:v>
      </x:c>
      <x:c r="N77" s="10" t="n">
        <x:f>SUM(XLOOKUP('포켓몬_편집'!$AF77:$AN77,'분류_규칙'!$A$5:$A$76,'분류_규칙'!$N$5:$N$76,0))</x:f>
        <x:v>0</x:v>
      </x:c>
      <x:c r="O77" s="10" t="n">
        <x:f>SUM(XLOOKUP('포켓몬_편집'!$AF77:$AN77,'분류_규칙'!$A$5:$A$76,'분류_규칙'!$O$5:$O$76,0))</x:f>
        <x:v>0</x:v>
      </x:c>
      <x:c r="P77" s="10" t="n">
        <x:f>SUM(XLOOKUP('포켓몬_편집'!$AF77:$AN77,'분류_규칙'!$A$5:$A$76,'분류_규칙'!$P$5:$P$76,0))</x:f>
        <x:v>0</x:v>
      </x:c>
    </x:row>
    <x:row r="78" ht="22" customHeight="1">
      <x:c r="A78" s="5" t="n">
        <x:v>74</x:v>
      </x:c>
      <x:c r="B78" s="5" t="inlineStr">
        <x:is>
          <x:t xml:space="preserve">꼬마돌</x:t>
        </x:is>
      </x:c>
      <x:c r="C78" s="5" t="inlineStr">
        <x:is>
          <x:t xml:space="preserve">geodude</x:t>
        </x:is>
      </x:c>
      <x:c r="D78" s="5" t="n">
        <x:v>1</x:v>
      </x:c>
      <x:c r="E78" s="10" t="n">
        <x:f>SUM(XLOOKUP('포켓몬_편집'!$AF78:$AN78,'분류_규칙'!$A$5:$A$76,'분류_규칙'!$E$5:$E$76,0))</x:f>
        <x:v>10</x:v>
      </x:c>
      <x:c r="F78" s="10" t="n">
        <x:f>SUM(XLOOKUP('포켓몬_편집'!$AF78:$AN78,'분류_규칙'!$A$5:$A$76,'분류_규칙'!$F$5:$F$76,0))</x:f>
        <x:v>7</x:v>
      </x:c>
      <x:c r="G78" s="10" t="n">
        <x:f>SUM(XLOOKUP('포켓몬_편집'!$AF78:$AN78,'분류_규칙'!$A$5:$A$76,'분류_규칙'!$G$5:$G$76,0))</x:f>
        <x:v>5</x:v>
      </x:c>
      <x:c r="H78" s="10" t="n">
        <x:f>SUM(XLOOKUP('포켓몬_편집'!$AF78:$AN78,'분류_규칙'!$A$5:$A$76,'분류_규칙'!$H$5:$H$76,0))</x:f>
        <x:v>5</x:v>
      </x:c>
      <x:c r="I78" s="10" t="n">
        <x:f>SUM(XLOOKUP('포켓몬_편집'!$AF78:$AN78,'분류_규칙'!$A$5:$A$76,'분류_규칙'!$I$5:$I$76,0))</x:f>
        <x:v>0</x:v>
      </x:c>
      <x:c r="J78" s="10" t="n">
        <x:f>SUM(XLOOKUP('포켓몬_편집'!$AF78:$AN78,'분류_규칙'!$A$5:$A$76,'분류_규칙'!$J$5:$J$76,0))</x:f>
        <x:v>2</x:v>
      </x:c>
      <x:c r="K78" s="10" t="n">
        <x:f>SUM(XLOOKUP('포켓몬_편집'!$AF78:$AN78,'분류_규칙'!$A$5:$A$76,'분류_규칙'!$K$5:$K$76,0))</x:f>
        <x:v>0</x:v>
      </x:c>
      <x:c r="L78" s="10" t="n">
        <x:f>SUM(XLOOKUP('포켓몬_편집'!$AF78:$AN78,'분류_규칙'!$A$5:$A$76,'분류_규칙'!$L$5:$L$76,0))</x:f>
        <x:v>0</x:v>
      </x:c>
      <x:c r="M78" s="10" t="n">
        <x:f>SUM(XLOOKUP('포켓몬_편집'!$AF78:$AN78,'분류_규칙'!$A$5:$A$76,'분류_규칙'!$M$5:$M$76,0))</x:f>
        <x:v>0</x:v>
      </x:c>
      <x:c r="N78" s="10" t="n">
        <x:f>SUM(XLOOKUP('포켓몬_편집'!$AF78:$AN78,'분류_규칙'!$A$5:$A$76,'분류_규칙'!$N$5:$N$76,0))</x:f>
        <x:v>0</x:v>
      </x:c>
      <x:c r="O78" s="10" t="n">
        <x:f>SUM(XLOOKUP('포켓몬_편집'!$AF78:$AN78,'분류_규칙'!$A$5:$A$76,'분류_규칙'!$O$5:$O$76,0))</x:f>
        <x:v>2</x:v>
      </x:c>
      <x:c r="P78" s="10" t="n">
        <x:f>SUM(XLOOKUP('포켓몬_편집'!$AF78:$AN78,'분류_규칙'!$A$5:$A$76,'분류_규칙'!$P$5:$P$76,0))</x:f>
        <x:v>0</x:v>
      </x:c>
    </x:row>
    <x:row r="79" ht="22" customHeight="1">
      <x:c r="A79" s="5" t="n">
        <x:v>75</x:v>
      </x:c>
      <x:c r="B79" s="5" t="inlineStr">
        <x:is>
          <x:t xml:space="preserve">데구리</x:t>
        </x:is>
      </x:c>
      <x:c r="C79" s="5" t="inlineStr">
        <x:is>
          <x:t xml:space="preserve">graveler</x:t>
        </x:is>
      </x:c>
      <x:c r="D79" s="5" t="n">
        <x:v>1</x:v>
      </x:c>
      <x:c r="E79" s="10" t="n">
        <x:f>SUM(XLOOKUP('포켓몬_편집'!$AF79:$AN79,'분류_규칙'!$A$5:$A$76,'분류_규칙'!$E$5:$E$76,0))</x:f>
        <x:v>10</x:v>
      </x:c>
      <x:c r="F79" s="10" t="n">
        <x:f>SUM(XLOOKUP('포켓몬_편집'!$AF79:$AN79,'분류_규칙'!$A$5:$A$76,'분류_규칙'!$F$5:$F$76,0))</x:f>
        <x:v>7</x:v>
      </x:c>
      <x:c r="G79" s="10" t="n">
        <x:f>SUM(XLOOKUP('포켓몬_편집'!$AF79:$AN79,'분류_규칙'!$A$5:$A$76,'분류_규칙'!$G$5:$G$76,0))</x:f>
        <x:v>5</x:v>
      </x:c>
      <x:c r="H79" s="10" t="n">
        <x:f>SUM(XLOOKUP('포켓몬_편집'!$AF79:$AN79,'분류_규칙'!$A$5:$A$76,'분류_규칙'!$H$5:$H$76,0))</x:f>
        <x:v>5</x:v>
      </x:c>
      <x:c r="I79" s="10" t="n">
        <x:f>SUM(XLOOKUP('포켓몬_편집'!$AF79:$AN79,'분류_규칙'!$A$5:$A$76,'분류_규칙'!$I$5:$I$76,0))</x:f>
        <x:v>0</x:v>
      </x:c>
      <x:c r="J79" s="10" t="n">
        <x:f>SUM(XLOOKUP('포켓몬_편집'!$AF79:$AN79,'분류_규칙'!$A$5:$A$76,'분류_규칙'!$J$5:$J$76,0))</x:f>
        <x:v>2</x:v>
      </x:c>
      <x:c r="K79" s="10" t="n">
        <x:f>SUM(XLOOKUP('포켓몬_편집'!$AF79:$AN79,'분류_규칙'!$A$5:$A$76,'분류_규칙'!$K$5:$K$76,0))</x:f>
        <x:v>0</x:v>
      </x:c>
      <x:c r="L79" s="10" t="n">
        <x:f>SUM(XLOOKUP('포켓몬_편집'!$AF79:$AN79,'분류_규칙'!$A$5:$A$76,'분류_규칙'!$L$5:$L$76,0))</x:f>
        <x:v>0</x:v>
      </x:c>
      <x:c r="M79" s="10" t="n">
        <x:f>SUM(XLOOKUP('포켓몬_편집'!$AF79:$AN79,'분류_규칙'!$A$5:$A$76,'분류_규칙'!$M$5:$M$76,0))</x:f>
        <x:v>0</x:v>
      </x:c>
      <x:c r="N79" s="10" t="n">
        <x:f>SUM(XLOOKUP('포켓몬_편집'!$AF79:$AN79,'분류_규칙'!$A$5:$A$76,'분류_규칙'!$N$5:$N$76,0))</x:f>
        <x:v>0</x:v>
      </x:c>
      <x:c r="O79" s="10" t="n">
        <x:f>SUM(XLOOKUP('포켓몬_편집'!$AF79:$AN79,'분류_규칙'!$A$5:$A$76,'분류_규칙'!$O$5:$O$76,0))</x:f>
        <x:v>2</x:v>
      </x:c>
      <x:c r="P79" s="10" t="n">
        <x:f>SUM(XLOOKUP('포켓몬_편집'!$AF79:$AN79,'분류_규칙'!$A$5:$A$76,'분류_규칙'!$P$5:$P$76,0))</x:f>
        <x:v>0</x:v>
      </x:c>
    </x:row>
    <x:row r="80" ht="22" customHeight="1">
      <x:c r="A80" s="5" t="n">
        <x:v>76</x:v>
      </x:c>
      <x:c r="B80" s="5" t="inlineStr">
        <x:is>
          <x:t xml:space="preserve">딱구리</x:t>
        </x:is>
      </x:c>
      <x:c r="C80" s="5" t="inlineStr">
        <x:is>
          <x:t xml:space="preserve">golem</x:t>
        </x:is>
      </x:c>
      <x:c r="D80" s="5" t="n">
        <x:v>1</x:v>
      </x:c>
      <x:c r="E80" s="10" t="n">
        <x:f>SUM(XLOOKUP('포켓몬_편집'!$AF80:$AN80,'분류_규칙'!$A$5:$A$76,'분류_규칙'!$E$5:$E$76,0))</x:f>
        <x:v>10</x:v>
      </x:c>
      <x:c r="F80" s="10" t="n">
        <x:f>SUM(XLOOKUP('포켓몬_편집'!$AF80:$AN80,'분류_규칙'!$A$5:$A$76,'분류_규칙'!$F$5:$F$76,0))</x:f>
        <x:v>7</x:v>
      </x:c>
      <x:c r="G80" s="10" t="n">
        <x:f>SUM(XLOOKUP('포켓몬_편집'!$AF80:$AN80,'분류_규칙'!$A$5:$A$76,'분류_규칙'!$G$5:$G$76,0))</x:f>
        <x:v>5</x:v>
      </x:c>
      <x:c r="H80" s="10" t="n">
        <x:f>SUM(XLOOKUP('포켓몬_편집'!$AF80:$AN80,'분류_규칙'!$A$5:$A$76,'분류_규칙'!$H$5:$H$76,0))</x:f>
        <x:v>5</x:v>
      </x:c>
      <x:c r="I80" s="10" t="n">
        <x:f>SUM(XLOOKUP('포켓몬_편집'!$AF80:$AN80,'분류_규칙'!$A$5:$A$76,'분류_규칙'!$I$5:$I$76,0))</x:f>
        <x:v>0</x:v>
      </x:c>
      <x:c r="J80" s="10" t="n">
        <x:f>SUM(XLOOKUP('포켓몬_편집'!$AF80:$AN80,'분류_규칙'!$A$5:$A$76,'분류_규칙'!$J$5:$J$76,0))</x:f>
        <x:v>2</x:v>
      </x:c>
      <x:c r="K80" s="10" t="n">
        <x:f>SUM(XLOOKUP('포켓몬_편집'!$AF80:$AN80,'분류_규칙'!$A$5:$A$76,'분류_규칙'!$K$5:$K$76,0))</x:f>
        <x:v>0</x:v>
      </x:c>
      <x:c r="L80" s="10" t="n">
        <x:f>SUM(XLOOKUP('포켓몬_편집'!$AF80:$AN80,'분류_규칙'!$A$5:$A$76,'분류_규칙'!$L$5:$L$76,0))</x:f>
        <x:v>0</x:v>
      </x:c>
      <x:c r="M80" s="10" t="n">
        <x:f>SUM(XLOOKUP('포켓몬_편집'!$AF80:$AN80,'분류_규칙'!$A$5:$A$76,'분류_규칙'!$M$5:$M$76,0))</x:f>
        <x:v>0</x:v>
      </x:c>
      <x:c r="N80" s="10" t="n">
        <x:f>SUM(XLOOKUP('포켓몬_편집'!$AF80:$AN80,'분류_규칙'!$A$5:$A$76,'분류_규칙'!$N$5:$N$76,0))</x:f>
        <x:v>0</x:v>
      </x:c>
      <x:c r="O80" s="10" t="n">
        <x:f>SUM(XLOOKUP('포켓몬_편집'!$AF80:$AN80,'분류_규칙'!$A$5:$A$76,'분류_규칙'!$O$5:$O$76,0))</x:f>
        <x:v>2</x:v>
      </x:c>
      <x:c r="P80" s="10" t="n">
        <x:f>SUM(XLOOKUP('포켓몬_편집'!$AF80:$AN80,'분류_규칙'!$A$5:$A$76,'분류_규칙'!$P$5:$P$76,0))</x:f>
        <x:v>0</x:v>
      </x:c>
    </x:row>
    <x:row r="81" ht="22" customHeight="1">
      <x:c r="A81" s="5" t="n">
        <x:v>77</x:v>
      </x:c>
      <x:c r="B81" s="5" t="inlineStr">
        <x:is>
          <x:t xml:space="preserve">포니타</x:t>
        </x:is>
      </x:c>
      <x:c r="C81" s="5" t="inlineStr">
        <x:is>
          <x:t xml:space="preserve">ponyta</x:t>
        </x:is>
      </x:c>
      <x:c r="D81" s="5" t="n">
        <x:v>1</x:v>
      </x:c>
      <x:c r="E81" s="10" t="n">
        <x:f>SUM(XLOOKUP('포켓몬_편집'!$AF81:$AN81,'분류_규칙'!$A$5:$A$76,'분류_규칙'!$E$5:$E$76,0))</x:f>
        <x:v>10</x:v>
      </x:c>
      <x:c r="F81" s="10" t="n">
        <x:f>SUM(XLOOKUP('포켓몬_편집'!$AF81:$AN81,'분류_규칙'!$A$5:$A$76,'분류_규칙'!$F$5:$F$76,0))</x:f>
        <x:v>7</x:v>
      </x:c>
      <x:c r="G81" s="10" t="n">
        <x:f>SUM(XLOOKUP('포켓몬_편집'!$AF81:$AN81,'분류_규칙'!$A$5:$A$76,'분류_규칙'!$G$5:$G$76,0))</x:f>
        <x:v>5</x:v>
      </x:c>
      <x:c r="H81" s="10" t="n">
        <x:f>SUM(XLOOKUP('포켓몬_편집'!$AF81:$AN81,'분류_규칙'!$A$5:$A$76,'분류_규칙'!$H$5:$H$76,0))</x:f>
        <x:v>5</x:v>
      </x:c>
      <x:c r="I81" s="10" t="n">
        <x:f>SUM(XLOOKUP('포켓몬_편집'!$AF81:$AN81,'분류_규칙'!$A$5:$A$76,'분류_규칙'!$I$5:$I$76,0))</x:f>
        <x:v>0</x:v>
      </x:c>
      <x:c r="J81" s="10" t="n">
        <x:f>SUM(XLOOKUP('포켓몬_편집'!$AF81:$AN81,'분류_규칙'!$A$5:$A$76,'분류_규칙'!$J$5:$J$76,0))</x:f>
        <x:v>2</x:v>
      </x:c>
      <x:c r="K81" s="10" t="n">
        <x:f>SUM(XLOOKUP('포켓몬_편집'!$AF81:$AN81,'분류_규칙'!$A$5:$A$76,'분류_규칙'!$K$5:$K$76,0))</x:f>
        <x:v>0</x:v>
      </x:c>
      <x:c r="L81" s="10" t="n">
        <x:f>SUM(XLOOKUP('포켓몬_편집'!$AF81:$AN81,'분류_규칙'!$A$5:$A$76,'분류_규칙'!$L$5:$L$76,0))</x:f>
        <x:v>0</x:v>
      </x:c>
      <x:c r="M81" s="10" t="n">
        <x:f>SUM(XLOOKUP('포켓몬_편집'!$AF81:$AN81,'분류_규칙'!$A$5:$A$76,'분류_규칙'!$M$5:$M$76,0))</x:f>
        <x:v>0</x:v>
      </x:c>
      <x:c r="N81" s="10" t="n">
        <x:f>SUM(XLOOKUP('포켓몬_편집'!$AF81:$AN81,'분류_규칙'!$A$5:$A$76,'분류_규칙'!$N$5:$N$76,0))</x:f>
        <x:v>0</x:v>
      </x:c>
      <x:c r="O81" s="10" t="n">
        <x:f>SUM(XLOOKUP('포켓몬_편집'!$AF81:$AN81,'분류_규칙'!$A$5:$A$76,'분류_규칙'!$O$5:$O$76,0))</x:f>
        <x:v>2</x:v>
      </x:c>
      <x:c r="P81" s="10" t="n">
        <x:f>SUM(XLOOKUP('포켓몬_편집'!$AF81:$AN81,'분류_규칙'!$A$5:$A$76,'분류_규칙'!$P$5:$P$76,0))</x:f>
        <x:v>0</x:v>
      </x:c>
    </x:row>
    <x:row r="82" ht="22" customHeight="1">
      <x:c r="A82" s="5" t="n">
        <x:v>78</x:v>
      </x:c>
      <x:c r="B82" s="5" t="inlineStr">
        <x:is>
          <x:t xml:space="preserve">날쌩마</x:t>
        </x:is>
      </x:c>
      <x:c r="C82" s="5" t="inlineStr">
        <x:is>
          <x:t xml:space="preserve">rapidash</x:t>
        </x:is>
      </x:c>
      <x:c r="D82" s="5" t="n">
        <x:v>1</x:v>
      </x:c>
      <x:c r="E82" s="10" t="n">
        <x:f>SUM(XLOOKUP('포켓몬_편집'!$AF82:$AN82,'분류_규칙'!$A$5:$A$76,'분류_규칙'!$E$5:$E$76,0))</x:f>
        <x:v>10</x:v>
      </x:c>
      <x:c r="F82" s="10" t="n">
        <x:f>SUM(XLOOKUP('포켓몬_편집'!$AF82:$AN82,'분류_규칙'!$A$5:$A$76,'분류_규칙'!$F$5:$F$76,0))</x:f>
        <x:v>7</x:v>
      </x:c>
      <x:c r="G82" s="10" t="n">
        <x:f>SUM(XLOOKUP('포켓몬_편집'!$AF82:$AN82,'분류_규칙'!$A$5:$A$76,'분류_규칙'!$G$5:$G$76,0))</x:f>
        <x:v>5</x:v>
      </x:c>
      <x:c r="H82" s="10" t="n">
        <x:f>SUM(XLOOKUP('포켓몬_편집'!$AF82:$AN82,'분류_규칙'!$A$5:$A$76,'분류_규칙'!$H$5:$H$76,0))</x:f>
        <x:v>5</x:v>
      </x:c>
      <x:c r="I82" s="10" t="n">
        <x:f>SUM(XLOOKUP('포켓몬_편집'!$AF82:$AN82,'분류_규칙'!$A$5:$A$76,'분류_규칙'!$I$5:$I$76,0))</x:f>
        <x:v>0</x:v>
      </x:c>
      <x:c r="J82" s="10" t="n">
        <x:f>SUM(XLOOKUP('포켓몬_편집'!$AF82:$AN82,'분류_규칙'!$A$5:$A$76,'분류_규칙'!$J$5:$J$76,0))</x:f>
        <x:v>2</x:v>
      </x:c>
      <x:c r="K82" s="10" t="n">
        <x:f>SUM(XLOOKUP('포켓몬_편집'!$AF82:$AN82,'분류_규칙'!$A$5:$A$76,'분류_규칙'!$K$5:$K$76,0))</x:f>
        <x:v>0</x:v>
      </x:c>
      <x:c r="L82" s="10" t="n">
        <x:f>SUM(XLOOKUP('포켓몬_편집'!$AF82:$AN82,'분류_규칙'!$A$5:$A$76,'분류_규칙'!$L$5:$L$76,0))</x:f>
        <x:v>0</x:v>
      </x:c>
      <x:c r="M82" s="10" t="n">
        <x:f>SUM(XLOOKUP('포켓몬_편집'!$AF82:$AN82,'분류_규칙'!$A$5:$A$76,'분류_규칙'!$M$5:$M$76,0))</x:f>
        <x:v>0</x:v>
      </x:c>
      <x:c r="N82" s="10" t="n">
        <x:f>SUM(XLOOKUP('포켓몬_편집'!$AF82:$AN82,'분류_규칙'!$A$5:$A$76,'분류_규칙'!$N$5:$N$76,0))</x:f>
        <x:v>0</x:v>
      </x:c>
      <x:c r="O82" s="10" t="n">
        <x:f>SUM(XLOOKUP('포켓몬_편집'!$AF82:$AN82,'분류_규칙'!$A$5:$A$76,'분류_규칙'!$O$5:$O$76,0))</x:f>
        <x:v>2</x:v>
      </x:c>
      <x:c r="P82" s="10" t="n">
        <x:f>SUM(XLOOKUP('포켓몬_편집'!$AF82:$AN82,'분류_규칙'!$A$5:$A$76,'분류_규칙'!$P$5:$P$76,0))</x:f>
        <x:v>0</x:v>
      </x:c>
    </x:row>
    <x:row r="83" ht="22" customHeight="1">
      <x:c r="A83" s="5" t="n">
        <x:v>79</x:v>
      </x:c>
      <x:c r="B83" s="5" t="inlineStr">
        <x:is>
          <x:t xml:space="preserve">야돈</x:t>
        </x:is>
      </x:c>
      <x:c r="C83" s="5" t="inlineStr">
        <x:is>
          <x:t xml:space="preserve">slowpoke</x:t>
        </x:is>
      </x:c>
      <x:c r="D83" s="5" t="n">
        <x:v>1</x:v>
      </x:c>
      <x:c r="E83" s="10" t="n">
        <x:f>SUM(XLOOKUP('포켓몬_편집'!$AF83:$AN83,'분류_규칙'!$A$5:$A$76,'분류_규칙'!$E$5:$E$76,0))</x:f>
        <x:v>0</x:v>
      </x:c>
      <x:c r="F83" s="10" t="n">
        <x:f>SUM(XLOOKUP('포켓몬_편집'!$AF83:$AN83,'분류_규칙'!$A$5:$A$76,'분류_규칙'!$F$5:$F$76,0))</x:f>
        <x:v>0</x:v>
      </x:c>
      <x:c r="G83" s="10" t="n">
        <x:f>SUM(XLOOKUP('포켓몬_편집'!$AF83:$AN83,'분류_규칙'!$A$5:$A$76,'분류_규칙'!$G$5:$G$76,0))</x:f>
        <x:v>0</x:v>
      </x:c>
      <x:c r="H83" s="10" t="n">
        <x:f>SUM(XLOOKUP('포켓몬_편집'!$AF83:$AN83,'분류_규칙'!$A$5:$A$76,'분류_규칙'!$H$5:$H$76,0))</x:f>
        <x:v>0</x:v>
      </x:c>
      <x:c r="I83" s="10" t="n">
        <x:f>SUM(XLOOKUP('포켓몬_편집'!$AF83:$AN83,'분류_규칙'!$A$5:$A$76,'분류_규칙'!$I$5:$I$76,0))</x:f>
        <x:v>0</x:v>
      </x:c>
      <x:c r="J83" s="10" t="n">
        <x:f>SUM(XLOOKUP('포켓몬_편집'!$AF83:$AN83,'분류_규칙'!$A$5:$A$76,'분류_규칙'!$J$5:$J$76,0))</x:f>
        <x:v>3</x:v>
      </x:c>
      <x:c r="K83" s="10" t="n">
        <x:f>SUM(XLOOKUP('포켓몬_편집'!$AF83:$AN83,'분류_규칙'!$A$5:$A$76,'분류_규칙'!$K$5:$K$76,0))</x:f>
        <x:v>0</x:v>
      </x:c>
      <x:c r="L83" s="10" t="n">
        <x:f>SUM(XLOOKUP('포켓몬_편집'!$AF83:$AN83,'분류_규칙'!$A$5:$A$76,'분류_규칙'!$L$5:$L$76,0))</x:f>
        <x:v>30</x:v>
      </x:c>
      <x:c r="M83" s="10" t="n">
        <x:f>SUM(XLOOKUP('포켓몬_편집'!$AF83:$AN83,'분류_규칙'!$A$5:$A$76,'분류_규칙'!$M$5:$M$76,0))</x:f>
        <x:v>0</x:v>
      </x:c>
      <x:c r="N83" s="10" t="n">
        <x:f>SUM(XLOOKUP('포켓몬_편집'!$AF83:$AN83,'분류_규칙'!$A$5:$A$76,'분류_규칙'!$N$5:$N$76,0))</x:f>
        <x:v>0</x:v>
      </x:c>
      <x:c r="O83" s="10" t="n">
        <x:f>SUM(XLOOKUP('포켓몬_편집'!$AF83:$AN83,'분류_규칙'!$A$5:$A$76,'분류_규칙'!$O$5:$O$76,0))</x:f>
        <x:v>0</x:v>
      </x:c>
      <x:c r="P83" s="10" t="n">
        <x:f>SUM(XLOOKUP('포켓몬_편집'!$AF83:$AN83,'분류_규칙'!$A$5:$A$76,'분류_규칙'!$P$5:$P$76,0))</x:f>
        <x:v>0</x:v>
      </x:c>
    </x:row>
    <x:row r="84" ht="22" customHeight="1">
      <x:c r="A84" s="5" t="n">
        <x:v>80</x:v>
      </x:c>
      <x:c r="B84" s="5" t="inlineStr">
        <x:is>
          <x:t xml:space="preserve">야도란</x:t>
        </x:is>
      </x:c>
      <x:c r="C84" s="5" t="inlineStr">
        <x:is>
          <x:t xml:space="preserve">slowbro</x:t>
        </x:is>
      </x:c>
      <x:c r="D84" s="5" t="n">
        <x:v>1</x:v>
      </x:c>
      <x:c r="E84" s="10" t="n">
        <x:f>SUM(XLOOKUP('포켓몬_편집'!$AF84:$AN84,'분류_규칙'!$A$5:$A$76,'분류_규칙'!$E$5:$E$76,0))</x:f>
        <x:v>0</x:v>
      </x:c>
      <x:c r="F84" s="10" t="n">
        <x:f>SUM(XLOOKUP('포켓몬_편집'!$AF84:$AN84,'분류_규칙'!$A$5:$A$76,'분류_규칙'!$F$5:$F$76,0))</x:f>
        <x:v>0</x:v>
      </x:c>
      <x:c r="G84" s="10" t="n">
        <x:f>SUM(XLOOKUP('포켓몬_편집'!$AF84:$AN84,'분류_규칙'!$A$5:$A$76,'분류_규칙'!$G$5:$G$76,0))</x:f>
        <x:v>0</x:v>
      </x:c>
      <x:c r="H84" s="10" t="n">
        <x:f>SUM(XLOOKUP('포켓몬_편집'!$AF84:$AN84,'분류_규칙'!$A$5:$A$76,'분류_규칙'!$H$5:$H$76,0))</x:f>
        <x:v>0</x:v>
      </x:c>
      <x:c r="I84" s="10" t="n">
        <x:f>SUM(XLOOKUP('포켓몬_편집'!$AF84:$AN84,'분류_규칙'!$A$5:$A$76,'분류_규칙'!$I$5:$I$76,0))</x:f>
        <x:v>0</x:v>
      </x:c>
      <x:c r="J84" s="10" t="n">
        <x:f>SUM(XLOOKUP('포켓몬_편집'!$AF84:$AN84,'분류_규칙'!$A$5:$A$76,'분류_규칙'!$J$5:$J$76,0))</x:f>
        <x:v>3</x:v>
      </x:c>
      <x:c r="K84" s="10" t="n">
        <x:f>SUM(XLOOKUP('포켓몬_편집'!$AF84:$AN84,'분류_규칙'!$A$5:$A$76,'분류_규칙'!$K$5:$K$76,0))</x:f>
        <x:v>0</x:v>
      </x:c>
      <x:c r="L84" s="10" t="n">
        <x:f>SUM(XLOOKUP('포켓몬_편집'!$AF84:$AN84,'분류_규칙'!$A$5:$A$76,'분류_규칙'!$L$5:$L$76,0))</x:f>
        <x:v>30</x:v>
      </x:c>
      <x:c r="M84" s="10" t="n">
        <x:f>SUM(XLOOKUP('포켓몬_편집'!$AF84:$AN84,'분류_규칙'!$A$5:$A$76,'분류_규칙'!$M$5:$M$76,0))</x:f>
        <x:v>0</x:v>
      </x:c>
      <x:c r="N84" s="10" t="n">
        <x:f>SUM(XLOOKUP('포켓몬_편집'!$AF84:$AN84,'분류_규칙'!$A$5:$A$76,'분류_규칙'!$N$5:$N$76,0))</x:f>
        <x:v>0</x:v>
      </x:c>
      <x:c r="O84" s="10" t="n">
        <x:f>SUM(XLOOKUP('포켓몬_편집'!$AF84:$AN84,'분류_규칙'!$A$5:$A$76,'분류_규칙'!$O$5:$O$76,0))</x:f>
        <x:v>0</x:v>
      </x:c>
      <x:c r="P84" s="10" t="n">
        <x:f>SUM(XLOOKUP('포켓몬_편집'!$AF84:$AN84,'분류_규칙'!$A$5:$A$76,'분류_규칙'!$P$5:$P$76,0))</x:f>
        <x:v>0</x:v>
      </x:c>
    </x:row>
    <x:row r="85" ht="22" customHeight="1">
      <x:c r="A85" s="5" t="n">
        <x:v>81</x:v>
      </x:c>
      <x:c r="B85" s="5" t="inlineStr">
        <x:is>
          <x:t xml:space="preserve">코일</x:t>
        </x:is>
      </x:c>
      <x:c r="C85" s="5" t="inlineStr">
        <x:is>
          <x:t xml:space="preserve">magnemite</x:t>
        </x:is>
      </x:c>
      <x:c r="D85" s="5" t="n">
        <x:v>1</x:v>
      </x:c>
      <x:c r="E85" s="10" t="n">
        <x:f>SUM(XLOOKUP('포켓몬_편집'!$AF85:$AN85,'분류_규칙'!$A$5:$A$76,'분류_규칙'!$E$5:$E$76,0))</x:f>
        <x:v>0</x:v>
      </x:c>
      <x:c r="F85" s="10" t="n">
        <x:f>SUM(XLOOKUP('포켓몬_편집'!$AF85:$AN85,'분류_규칙'!$A$5:$A$76,'분류_규칙'!$F$5:$F$76,0))</x:f>
        <x:v>0</x:v>
      </x:c>
      <x:c r="G85" s="10" t="n">
        <x:f>SUM(XLOOKUP('포켓몬_편집'!$AF85:$AN85,'분류_규칙'!$A$5:$A$76,'분류_규칙'!$G$5:$G$76,0))</x:f>
        <x:v>0</x:v>
      </x:c>
      <x:c r="H85" s="10" t="n">
        <x:f>SUM(XLOOKUP('포켓몬_편집'!$AF85:$AN85,'분류_규칙'!$A$5:$A$76,'분류_규칙'!$H$5:$H$76,0))</x:f>
        <x:v>0</x:v>
      </x:c>
      <x:c r="I85" s="10" t="n">
        <x:f>SUM(XLOOKUP('포켓몬_편집'!$AF85:$AN85,'분류_규칙'!$A$5:$A$76,'분류_규칙'!$I$5:$I$76,0))</x:f>
        <x:v>0</x:v>
      </x:c>
      <x:c r="J85" s="10" t="n">
        <x:f>SUM(XLOOKUP('포켓몬_편집'!$AF85:$AN85,'분류_규칙'!$A$5:$A$76,'분류_규칙'!$J$5:$J$76,0))</x:f>
        <x:v>0</x:v>
      </x:c>
      <x:c r="K85" s="10" t="n">
        <x:f>SUM(XLOOKUP('포켓몬_편집'!$AF85:$AN85,'분류_규칙'!$A$5:$A$76,'분류_규칙'!$K$5:$K$76,0))</x:f>
        <x:v>0</x:v>
      </x:c>
      <x:c r="L85" s="10" t="n">
        <x:f>SUM(XLOOKUP('포켓몬_편집'!$AF85:$AN85,'분류_규칙'!$A$5:$A$76,'분류_규칙'!$L$5:$L$76,0))</x:f>
        <x:v>0</x:v>
      </x:c>
      <x:c r="M85" s="10" t="n">
        <x:f>SUM(XLOOKUP('포켓몬_편집'!$AF85:$AN85,'분류_규칙'!$A$5:$A$76,'분류_규칙'!$M$5:$M$76,0))</x:f>
        <x:v>0</x:v>
      </x:c>
      <x:c r="N85" s="10" t="n">
        <x:f>SUM(XLOOKUP('포켓몬_편집'!$AF85:$AN85,'분류_규칙'!$A$5:$A$76,'분류_규칙'!$N$5:$N$76,0))</x:f>
        <x:v>0</x:v>
      </x:c>
      <x:c r="O85" s="10" t="n">
        <x:f>SUM(XLOOKUP('포켓몬_편집'!$AF85:$AN85,'분류_규칙'!$A$5:$A$76,'분류_규칙'!$O$5:$O$76,0))</x:f>
        <x:v>30</x:v>
      </x:c>
      <x:c r="P85" s="10" t="n">
        <x:f>SUM(XLOOKUP('포켓몬_편집'!$AF85:$AN85,'분류_규칙'!$A$5:$A$76,'분류_규칙'!$P$5:$P$76,0))</x:f>
        <x:v>8</x:v>
      </x:c>
    </x:row>
    <x:row r="86" ht="22" customHeight="1">
      <x:c r="A86" s="5" t="n">
        <x:v>82</x:v>
      </x:c>
      <x:c r="B86" s="5" t="inlineStr">
        <x:is>
          <x:t xml:space="preserve">레어코일</x:t>
        </x:is>
      </x:c>
      <x:c r="C86" s="5" t="inlineStr">
        <x:is>
          <x:t xml:space="preserve">magneton</x:t>
        </x:is>
      </x:c>
      <x:c r="D86" s="5" t="n">
        <x:v>1</x:v>
      </x:c>
      <x:c r="E86" s="10" t="n">
        <x:f>SUM(XLOOKUP('포켓몬_편집'!$AF86:$AN86,'분류_규칙'!$A$5:$A$76,'분류_규칙'!$E$5:$E$76,0))</x:f>
        <x:v>0</x:v>
      </x:c>
      <x:c r="F86" s="10" t="n">
        <x:f>SUM(XLOOKUP('포켓몬_편집'!$AF86:$AN86,'분류_규칙'!$A$5:$A$76,'분류_규칙'!$F$5:$F$76,0))</x:f>
        <x:v>0</x:v>
      </x:c>
      <x:c r="G86" s="10" t="n">
        <x:f>SUM(XLOOKUP('포켓몬_편집'!$AF86:$AN86,'분류_규칙'!$A$5:$A$76,'분류_규칙'!$G$5:$G$76,0))</x:f>
        <x:v>0</x:v>
      </x:c>
      <x:c r="H86" s="10" t="n">
        <x:f>SUM(XLOOKUP('포켓몬_편집'!$AF86:$AN86,'분류_규칙'!$A$5:$A$76,'분류_규칙'!$H$5:$H$76,0))</x:f>
        <x:v>0</x:v>
      </x:c>
      <x:c r="I86" s="10" t="n">
        <x:f>SUM(XLOOKUP('포켓몬_편집'!$AF86:$AN86,'분류_규칙'!$A$5:$A$76,'분류_규칙'!$I$5:$I$76,0))</x:f>
        <x:v>0</x:v>
      </x:c>
      <x:c r="J86" s="10" t="n">
        <x:f>SUM(XLOOKUP('포켓몬_편집'!$AF86:$AN86,'분류_규칙'!$A$5:$A$76,'분류_규칙'!$J$5:$J$76,0))</x:f>
        <x:v>0</x:v>
      </x:c>
      <x:c r="K86" s="10" t="n">
        <x:f>SUM(XLOOKUP('포켓몬_편집'!$AF86:$AN86,'분류_규칙'!$A$5:$A$76,'분류_규칙'!$K$5:$K$76,0))</x:f>
        <x:v>0</x:v>
      </x:c>
      <x:c r="L86" s="10" t="n">
        <x:f>SUM(XLOOKUP('포켓몬_편집'!$AF86:$AN86,'분류_규칙'!$A$5:$A$76,'분류_규칙'!$L$5:$L$76,0))</x:f>
        <x:v>0</x:v>
      </x:c>
      <x:c r="M86" s="10" t="n">
        <x:f>SUM(XLOOKUP('포켓몬_편집'!$AF86:$AN86,'분류_규칙'!$A$5:$A$76,'분류_규칙'!$M$5:$M$76,0))</x:f>
        <x:v>0</x:v>
      </x:c>
      <x:c r="N86" s="10" t="n">
        <x:f>SUM(XLOOKUP('포켓몬_편집'!$AF86:$AN86,'분류_규칙'!$A$5:$A$76,'분류_규칙'!$N$5:$N$76,0))</x:f>
        <x:v>0</x:v>
      </x:c>
      <x:c r="O86" s="10" t="n">
        <x:f>SUM(XLOOKUP('포켓몬_편집'!$AF86:$AN86,'분류_규칙'!$A$5:$A$76,'분류_규칙'!$O$5:$O$76,0))</x:f>
        <x:v>30</x:v>
      </x:c>
      <x:c r="P86" s="10" t="n">
        <x:f>SUM(XLOOKUP('포켓몬_편집'!$AF86:$AN86,'분류_규칙'!$A$5:$A$76,'분류_규칙'!$P$5:$P$76,0))</x:f>
        <x:v>8</x:v>
      </x:c>
    </x:row>
    <x:row r="87" ht="22" customHeight="1">
      <x:c r="A87" s="5" t="n">
        <x:v>83</x:v>
      </x:c>
      <x:c r="B87" s="5" t="inlineStr">
        <x:is>
          <x:t xml:space="preserve">파오리</x:t>
        </x:is>
      </x:c>
      <x:c r="C87" s="5" t="inlineStr">
        <x:is>
          <x:t xml:space="preserve">farfetchd</x:t>
        </x:is>
      </x:c>
      <x:c r="D87" s="5" t="n">
        <x:v>1</x:v>
      </x:c>
      <x:c r="E87" s="10" t="n">
        <x:f>SUM(XLOOKUP('포켓몬_편집'!$AF87:$AN87,'분류_규칙'!$A$5:$A$76,'분류_규칙'!$E$5:$E$76,0))</x:f>
        <x:v>8</x:v>
      </x:c>
      <x:c r="F87" s="10" t="n">
        <x:f>SUM(XLOOKUP('포켓몬_편집'!$AF87:$AN87,'분류_규칙'!$A$5:$A$76,'분류_규칙'!$F$5:$F$76,0))</x:f>
        <x:v>8</x:v>
      </x:c>
      <x:c r="G87" s="10" t="n">
        <x:f>SUM(XLOOKUP('포켓몬_편집'!$AF87:$AN87,'분류_규칙'!$A$5:$A$76,'분류_규칙'!$G$5:$G$76,0))</x:f>
        <x:v>0</x:v>
      </x:c>
      <x:c r="H87" s="10" t="n">
        <x:f>SUM(XLOOKUP('포켓몬_편집'!$AF87:$AN87,'분류_규칙'!$A$5:$A$76,'분류_규칙'!$H$5:$H$76,0))</x:f>
        <x:v>12</x:v>
      </x:c>
      <x:c r="I87" s="10" t="n">
        <x:f>SUM(XLOOKUP('포켓몬_편집'!$AF87:$AN87,'분류_규칙'!$A$5:$A$76,'분류_규칙'!$I$5:$I$76,0))</x:f>
        <x:v>0</x:v>
      </x:c>
      <x:c r="J87" s="10" t="n">
        <x:f>SUM(XLOOKUP('포켓몬_편집'!$AF87:$AN87,'분류_규칙'!$A$5:$A$76,'분류_규칙'!$J$5:$J$76,0))</x:f>
        <x:v>0</x:v>
      </x:c>
      <x:c r="K87" s="10" t="n">
        <x:f>SUM(XLOOKUP('포켓몬_편집'!$AF87:$AN87,'분류_규칙'!$A$5:$A$76,'분류_규칙'!$K$5:$K$76,0))</x:f>
        <x:v>0</x:v>
      </x:c>
      <x:c r="L87" s="10" t="n">
        <x:f>SUM(XLOOKUP('포켓몬_편집'!$AF87:$AN87,'분류_규칙'!$A$5:$A$76,'분류_규칙'!$L$5:$L$76,0))</x:f>
        <x:v>3</x:v>
      </x:c>
      <x:c r="M87" s="10" t="n">
        <x:f>SUM(XLOOKUP('포켓몬_편집'!$AF87:$AN87,'분류_규칙'!$A$5:$A$76,'분류_규칙'!$M$5:$M$76,0))</x:f>
        <x:v>0</x:v>
      </x:c>
      <x:c r="N87" s="10" t="n">
        <x:f>SUM(XLOOKUP('포켓몬_편집'!$AF87:$AN87,'분류_규칙'!$A$5:$A$76,'분류_규칙'!$N$5:$N$76,0))</x:f>
        <x:v>0</x:v>
      </x:c>
      <x:c r="O87" s="10" t="n">
        <x:f>SUM(XLOOKUP('포켓몬_편집'!$AF87:$AN87,'분류_규칙'!$A$5:$A$76,'분류_규칙'!$O$5:$O$76,0))</x:f>
        <x:v>2</x:v>
      </x:c>
      <x:c r="P87" s="10" t="n">
        <x:f>SUM(XLOOKUP('포켓몬_편집'!$AF87:$AN87,'분류_규칙'!$A$5:$A$76,'분류_규칙'!$P$5:$P$76,0))</x:f>
        <x:v>0</x:v>
      </x:c>
    </x:row>
    <x:row r="88" ht="22" customHeight="1">
      <x:c r="A88" s="5" t="n">
        <x:v>84</x:v>
      </x:c>
      <x:c r="B88" s="5" t="inlineStr">
        <x:is>
          <x:t xml:space="preserve">두두</x:t>
        </x:is>
      </x:c>
      <x:c r="C88" s="5" t="inlineStr">
        <x:is>
          <x:t xml:space="preserve">doduo</x:t>
        </x:is>
      </x:c>
      <x:c r="D88" s="5" t="n">
        <x:v>1</x:v>
      </x:c>
      <x:c r="E88" s="10" t="n">
        <x:f>SUM(XLOOKUP('포켓몬_편집'!$AF88:$AN88,'분류_규칙'!$A$5:$A$76,'분류_규칙'!$E$5:$E$76,0))</x:f>
        <x:v>8</x:v>
      </x:c>
      <x:c r="F88" s="10" t="n">
        <x:f>SUM(XLOOKUP('포켓몬_편집'!$AF88:$AN88,'분류_규칙'!$A$5:$A$76,'분류_규칙'!$F$5:$F$76,0))</x:f>
        <x:v>8</x:v>
      </x:c>
      <x:c r="G88" s="10" t="n">
        <x:f>SUM(XLOOKUP('포켓몬_편집'!$AF88:$AN88,'분류_규칙'!$A$5:$A$76,'분류_규칙'!$G$5:$G$76,0))</x:f>
        <x:v>0</x:v>
      </x:c>
      <x:c r="H88" s="10" t="n">
        <x:f>SUM(XLOOKUP('포켓몬_편집'!$AF88:$AN88,'분류_규칙'!$A$5:$A$76,'분류_규칙'!$H$5:$H$76,0))</x:f>
        <x:v>12</x:v>
      </x:c>
      <x:c r="I88" s="10" t="n">
        <x:f>SUM(XLOOKUP('포켓몬_편집'!$AF88:$AN88,'분류_규칙'!$A$5:$A$76,'분류_규칙'!$I$5:$I$76,0))</x:f>
        <x:v>0</x:v>
      </x:c>
      <x:c r="J88" s="10" t="n">
        <x:f>SUM(XLOOKUP('포켓몬_편집'!$AF88:$AN88,'분류_규칙'!$A$5:$A$76,'분류_규칙'!$J$5:$J$76,0))</x:f>
        <x:v>0</x:v>
      </x:c>
      <x:c r="K88" s="10" t="n">
        <x:f>SUM(XLOOKUP('포켓몬_편집'!$AF88:$AN88,'분류_규칙'!$A$5:$A$76,'분류_규칙'!$K$5:$K$76,0))</x:f>
        <x:v>0</x:v>
      </x:c>
      <x:c r="L88" s="10" t="n">
        <x:f>SUM(XLOOKUP('포켓몬_편집'!$AF88:$AN88,'분류_규칙'!$A$5:$A$76,'분류_규칙'!$L$5:$L$76,0))</x:f>
        <x:v>3</x:v>
      </x:c>
      <x:c r="M88" s="10" t="n">
        <x:f>SUM(XLOOKUP('포켓몬_편집'!$AF88:$AN88,'분류_규칙'!$A$5:$A$76,'분류_규칙'!$M$5:$M$76,0))</x:f>
        <x:v>0</x:v>
      </x:c>
      <x:c r="N88" s="10" t="n">
        <x:f>SUM(XLOOKUP('포켓몬_편집'!$AF88:$AN88,'분류_규칙'!$A$5:$A$76,'분류_규칙'!$N$5:$N$76,0))</x:f>
        <x:v>0</x:v>
      </x:c>
      <x:c r="O88" s="10" t="n">
        <x:f>SUM(XLOOKUP('포켓몬_편집'!$AF88:$AN88,'분류_규칙'!$A$5:$A$76,'분류_규칙'!$O$5:$O$76,0))</x:f>
        <x:v>2</x:v>
      </x:c>
      <x:c r="P88" s="10" t="n">
        <x:f>SUM(XLOOKUP('포켓몬_편집'!$AF88:$AN88,'분류_규칙'!$A$5:$A$76,'분류_규칙'!$P$5:$P$76,0))</x:f>
        <x:v>0</x:v>
      </x:c>
    </x:row>
    <x:row r="89" ht="22" customHeight="1">
      <x:c r="A89" s="5" t="n">
        <x:v>85</x:v>
      </x:c>
      <x:c r="B89" s="5" t="inlineStr">
        <x:is>
          <x:t xml:space="preserve">두트리오</x:t>
        </x:is>
      </x:c>
      <x:c r="C89" s="5" t="inlineStr">
        <x:is>
          <x:t xml:space="preserve">dodrio</x:t>
        </x:is>
      </x:c>
      <x:c r="D89" s="5" t="n">
        <x:v>1</x:v>
      </x:c>
      <x:c r="E89" s="10" t="n">
        <x:f>SUM(XLOOKUP('포켓몬_편집'!$AF89:$AN89,'분류_규칙'!$A$5:$A$76,'분류_규칙'!$E$5:$E$76,0))</x:f>
        <x:v>8</x:v>
      </x:c>
      <x:c r="F89" s="10" t="n">
        <x:f>SUM(XLOOKUP('포켓몬_편집'!$AF89:$AN89,'분류_규칙'!$A$5:$A$76,'분류_규칙'!$F$5:$F$76,0))</x:f>
        <x:v>8</x:v>
      </x:c>
      <x:c r="G89" s="10" t="n">
        <x:f>SUM(XLOOKUP('포켓몬_편집'!$AF89:$AN89,'분류_규칙'!$A$5:$A$76,'분류_규칙'!$G$5:$G$76,0))</x:f>
        <x:v>0</x:v>
      </x:c>
      <x:c r="H89" s="10" t="n">
        <x:f>SUM(XLOOKUP('포켓몬_편집'!$AF89:$AN89,'분류_규칙'!$A$5:$A$76,'분류_규칙'!$H$5:$H$76,0))</x:f>
        <x:v>12</x:v>
      </x:c>
      <x:c r="I89" s="10" t="n">
        <x:f>SUM(XLOOKUP('포켓몬_편집'!$AF89:$AN89,'분류_규칙'!$A$5:$A$76,'분류_규칙'!$I$5:$I$76,0))</x:f>
        <x:v>0</x:v>
      </x:c>
      <x:c r="J89" s="10" t="n">
        <x:f>SUM(XLOOKUP('포켓몬_편집'!$AF89:$AN89,'분류_규칙'!$A$5:$A$76,'분류_규칙'!$J$5:$J$76,0))</x:f>
        <x:v>0</x:v>
      </x:c>
      <x:c r="K89" s="10" t="n">
        <x:f>SUM(XLOOKUP('포켓몬_편집'!$AF89:$AN89,'분류_규칙'!$A$5:$A$76,'분류_규칙'!$K$5:$K$76,0))</x:f>
        <x:v>0</x:v>
      </x:c>
      <x:c r="L89" s="10" t="n">
        <x:f>SUM(XLOOKUP('포켓몬_편집'!$AF89:$AN89,'분류_규칙'!$A$5:$A$76,'분류_규칙'!$L$5:$L$76,0))</x:f>
        <x:v>3</x:v>
      </x:c>
      <x:c r="M89" s="10" t="n">
        <x:f>SUM(XLOOKUP('포켓몬_편집'!$AF89:$AN89,'분류_규칙'!$A$5:$A$76,'분류_규칙'!$M$5:$M$76,0))</x:f>
        <x:v>0</x:v>
      </x:c>
      <x:c r="N89" s="10" t="n">
        <x:f>SUM(XLOOKUP('포켓몬_편집'!$AF89:$AN89,'분류_규칙'!$A$5:$A$76,'분류_규칙'!$N$5:$N$76,0))</x:f>
        <x:v>0</x:v>
      </x:c>
      <x:c r="O89" s="10" t="n">
        <x:f>SUM(XLOOKUP('포켓몬_편집'!$AF89:$AN89,'분류_규칙'!$A$5:$A$76,'분류_규칙'!$O$5:$O$76,0))</x:f>
        <x:v>2</x:v>
      </x:c>
      <x:c r="P89" s="10" t="n">
        <x:f>SUM(XLOOKUP('포켓몬_편집'!$AF89:$AN89,'분류_규칙'!$A$5:$A$76,'분류_규칙'!$P$5:$P$76,0))</x:f>
        <x:v>0</x:v>
      </x:c>
    </x:row>
    <x:row r="90" ht="22" customHeight="1">
      <x:c r="A90" s="5" t="n">
        <x:v>86</x:v>
      </x:c>
      <x:c r="B90" s="5" t="inlineStr">
        <x:is>
          <x:t xml:space="preserve">쥬쥬</x:t>
        </x:is>
      </x:c>
      <x:c r="C90" s="5" t="inlineStr">
        <x:is>
          <x:t xml:space="preserve">seel</x:t>
        </x:is>
      </x:c>
      <x:c r="D90" s="5" t="n">
        <x:v>1</x:v>
      </x:c>
      <x:c r="E90" s="10" t="n">
        <x:f>SUM(XLOOKUP('포켓몬_편집'!$AF90:$AN90,'분류_규칙'!$A$5:$A$76,'분류_규칙'!$E$5:$E$76,0))</x:f>
        <x:v>0</x:v>
      </x:c>
      <x:c r="F90" s="10" t="n">
        <x:f>SUM(XLOOKUP('포켓몬_편집'!$AF90:$AN90,'분류_규칙'!$A$5:$A$76,'분류_규칙'!$F$5:$F$76,0))</x:f>
        <x:v>0</x:v>
      </x:c>
      <x:c r="G90" s="10" t="n">
        <x:f>SUM(XLOOKUP('포켓몬_편집'!$AF90:$AN90,'분류_규칙'!$A$5:$A$76,'분류_규칙'!$G$5:$G$76,0))</x:f>
        <x:v>0</x:v>
      </x:c>
      <x:c r="H90" s="10" t="n">
        <x:f>SUM(XLOOKUP('포켓몬_편집'!$AF90:$AN90,'분류_규칙'!$A$5:$A$76,'분류_규칙'!$H$5:$H$76,0))</x:f>
        <x:v>0</x:v>
      </x:c>
      <x:c r="I90" s="10" t="n">
        <x:f>SUM(XLOOKUP('포켓몬_편집'!$AF90:$AN90,'분류_규칙'!$A$5:$A$76,'분류_규칙'!$I$5:$I$76,0))</x:f>
        <x:v>0</x:v>
      </x:c>
      <x:c r="J90" s="10" t="n">
        <x:f>SUM(XLOOKUP('포켓몬_편집'!$AF90:$AN90,'분류_규칙'!$A$5:$A$76,'분류_규칙'!$J$5:$J$76,0))</x:f>
        <x:v>3</x:v>
      </x:c>
      <x:c r="K90" s="10" t="n">
        <x:f>SUM(XLOOKUP('포켓몬_편집'!$AF90:$AN90,'분류_규칙'!$A$5:$A$76,'분류_규칙'!$K$5:$K$76,0))</x:f>
        <x:v>0</x:v>
      </x:c>
      <x:c r="L90" s="10" t="n">
        <x:f>SUM(XLOOKUP('포켓몬_편집'!$AF90:$AN90,'분류_규칙'!$A$5:$A$76,'분류_규칙'!$L$5:$L$76,0))</x:f>
        <x:v>30</x:v>
      </x:c>
      <x:c r="M90" s="10" t="n">
        <x:f>SUM(XLOOKUP('포켓몬_편집'!$AF90:$AN90,'분류_규칙'!$A$5:$A$76,'분류_규칙'!$M$5:$M$76,0))</x:f>
        <x:v>0</x:v>
      </x:c>
      <x:c r="N90" s="10" t="n">
        <x:f>SUM(XLOOKUP('포켓몬_편집'!$AF90:$AN90,'분류_규칙'!$A$5:$A$76,'분류_규칙'!$N$5:$N$76,0))</x:f>
        <x:v>0</x:v>
      </x:c>
      <x:c r="O90" s="10" t="n">
        <x:f>SUM(XLOOKUP('포켓몬_편집'!$AF90:$AN90,'분류_규칙'!$A$5:$A$76,'분류_규칙'!$O$5:$O$76,0))</x:f>
        <x:v>0</x:v>
      </x:c>
      <x:c r="P90" s="10" t="n">
        <x:f>SUM(XLOOKUP('포켓몬_편집'!$AF90:$AN90,'분류_규칙'!$A$5:$A$76,'분류_규칙'!$P$5:$P$76,0))</x:f>
        <x:v>0</x:v>
      </x:c>
    </x:row>
    <x:row r="91" ht="22" customHeight="1">
      <x:c r="A91" s="5" t="n">
        <x:v>87</x:v>
      </x:c>
      <x:c r="B91" s="5" t="inlineStr">
        <x:is>
          <x:t xml:space="preserve">쥬레곤</x:t>
        </x:is>
      </x:c>
      <x:c r="C91" s="5" t="inlineStr">
        <x:is>
          <x:t xml:space="preserve">dewgong</x:t>
        </x:is>
      </x:c>
      <x:c r="D91" s="5" t="n">
        <x:v>1</x:v>
      </x:c>
      <x:c r="E91" s="10" t="n">
        <x:f>SUM(XLOOKUP('포켓몬_편집'!$AF91:$AN91,'분류_규칙'!$A$5:$A$76,'분류_규칙'!$E$5:$E$76,0))</x:f>
        <x:v>0</x:v>
      </x:c>
      <x:c r="F91" s="10" t="n">
        <x:f>SUM(XLOOKUP('포켓몬_편집'!$AF91:$AN91,'분류_규칙'!$A$5:$A$76,'분류_규칙'!$F$5:$F$76,0))</x:f>
        <x:v>0</x:v>
      </x:c>
      <x:c r="G91" s="10" t="n">
        <x:f>SUM(XLOOKUP('포켓몬_편집'!$AF91:$AN91,'분류_규칙'!$A$5:$A$76,'분류_규칙'!$G$5:$G$76,0))</x:f>
        <x:v>0</x:v>
      </x:c>
      <x:c r="H91" s="10" t="n">
        <x:f>SUM(XLOOKUP('포켓몬_편집'!$AF91:$AN91,'분류_규칙'!$A$5:$A$76,'분류_규칙'!$H$5:$H$76,0))</x:f>
        <x:v>0</x:v>
      </x:c>
      <x:c r="I91" s="10" t="n">
        <x:f>SUM(XLOOKUP('포켓몬_편집'!$AF91:$AN91,'분류_규칙'!$A$5:$A$76,'분류_규칙'!$I$5:$I$76,0))</x:f>
        <x:v>0</x:v>
      </x:c>
      <x:c r="J91" s="10" t="n">
        <x:f>SUM(XLOOKUP('포켓몬_편집'!$AF91:$AN91,'분류_규칙'!$A$5:$A$76,'분류_규칙'!$J$5:$J$76,0))</x:f>
        <x:v>3</x:v>
      </x:c>
      <x:c r="K91" s="10" t="n">
        <x:f>SUM(XLOOKUP('포켓몬_편집'!$AF91:$AN91,'분류_규칙'!$A$5:$A$76,'분류_규칙'!$K$5:$K$76,0))</x:f>
        <x:v>0</x:v>
      </x:c>
      <x:c r="L91" s="10" t="n">
        <x:f>SUM(XLOOKUP('포켓몬_편집'!$AF91:$AN91,'분류_규칙'!$A$5:$A$76,'분류_규칙'!$L$5:$L$76,0))</x:f>
        <x:v>30</x:v>
      </x:c>
      <x:c r="M91" s="10" t="n">
        <x:f>SUM(XLOOKUP('포켓몬_편집'!$AF91:$AN91,'분류_규칙'!$A$5:$A$76,'분류_규칙'!$M$5:$M$76,0))</x:f>
        <x:v>0</x:v>
      </x:c>
      <x:c r="N91" s="10" t="n">
        <x:f>SUM(XLOOKUP('포켓몬_편집'!$AF91:$AN91,'분류_규칙'!$A$5:$A$76,'분류_규칙'!$N$5:$N$76,0))</x:f>
        <x:v>0</x:v>
      </x:c>
      <x:c r="O91" s="10" t="n">
        <x:f>SUM(XLOOKUP('포켓몬_편집'!$AF91:$AN91,'분류_규칙'!$A$5:$A$76,'분류_규칙'!$O$5:$O$76,0))</x:f>
        <x:v>0</x:v>
      </x:c>
      <x:c r="P91" s="10" t="n">
        <x:f>SUM(XLOOKUP('포켓몬_편집'!$AF91:$AN91,'분류_규칙'!$A$5:$A$76,'분류_규칙'!$P$5:$P$76,0))</x:f>
        <x:v>0</x:v>
      </x:c>
    </x:row>
    <x:row r="92" ht="22" customHeight="1">
      <x:c r="A92" s="5" t="n">
        <x:v>88</x:v>
      </x:c>
      <x:c r="B92" s="5" t="inlineStr">
        <x:is>
          <x:t xml:space="preserve">질퍽이</x:t>
        </x:is>
      </x:c>
      <x:c r="C92" s="5" t="inlineStr">
        <x:is>
          <x:t xml:space="preserve">grimer</x:t>
        </x:is>
      </x:c>
      <x:c r="D92" s="5" t="n">
        <x:v>1</x:v>
      </x:c>
      <x:c r="E92" s="10" t="n">
        <x:f>SUM(XLOOKUP('포켓몬_편집'!$AF92:$AN92,'분류_규칙'!$A$5:$A$76,'분류_규칙'!$E$5:$E$76,0))</x:f>
        <x:v>0</x:v>
      </x:c>
      <x:c r="F92" s="10" t="n">
        <x:f>SUM(XLOOKUP('포켓몬_편집'!$AF92:$AN92,'분류_규칙'!$A$5:$A$76,'분류_규칙'!$F$5:$F$76,0))</x:f>
        <x:v>0</x:v>
      </x:c>
      <x:c r="G92" s="10" t="n">
        <x:f>SUM(XLOOKUP('포켓몬_편집'!$AF92:$AN92,'분류_규칙'!$A$5:$A$76,'분류_규칙'!$G$5:$G$76,0))</x:f>
        <x:v>0</x:v>
      </x:c>
      <x:c r="H92" s="10" t="n">
        <x:f>SUM(XLOOKUP('포켓몬_편집'!$AF92:$AN92,'분류_규칙'!$A$5:$A$76,'분류_규칙'!$H$5:$H$76,0))</x:f>
        <x:v>0</x:v>
      </x:c>
      <x:c r="I92" s="10" t="n">
        <x:f>SUM(XLOOKUP('포켓몬_편집'!$AF92:$AN92,'분류_규칙'!$A$5:$A$76,'분류_규칙'!$I$5:$I$76,0))</x:f>
        <x:v>0</x:v>
      </x:c>
      <x:c r="J92" s="10" t="n">
        <x:f>SUM(XLOOKUP('포켓몬_편집'!$AF92:$AN92,'분류_규칙'!$A$5:$A$76,'분류_규칙'!$J$5:$J$76,0))</x:f>
        <x:v>3</x:v>
      </x:c>
      <x:c r="K92" s="10" t="n">
        <x:f>SUM(XLOOKUP('포켓몬_편집'!$AF92:$AN92,'분류_규칙'!$A$5:$A$76,'분류_규칙'!$K$5:$K$76,0))</x:f>
        <x:v>0</x:v>
      </x:c>
      <x:c r="L92" s="10" t="n">
        <x:f>SUM(XLOOKUP('포켓몬_편집'!$AF92:$AN92,'분류_규칙'!$A$5:$A$76,'분류_규칙'!$L$5:$L$76,0))</x:f>
        <x:v>30</x:v>
      </x:c>
      <x:c r="M92" s="10" t="n">
        <x:f>SUM(XLOOKUP('포켓몬_편집'!$AF92:$AN92,'분류_규칙'!$A$5:$A$76,'분류_규칙'!$M$5:$M$76,0))</x:f>
        <x:v>0</x:v>
      </x:c>
      <x:c r="N92" s="10" t="n">
        <x:f>SUM(XLOOKUP('포켓몬_편집'!$AF92:$AN92,'분류_규칙'!$A$5:$A$76,'분류_규칙'!$N$5:$N$76,0))</x:f>
        <x:v>0</x:v>
      </x:c>
      <x:c r="O92" s="10" t="n">
        <x:f>SUM(XLOOKUP('포켓몬_편집'!$AF92:$AN92,'분류_규칙'!$A$5:$A$76,'분류_규칙'!$O$5:$O$76,0))</x:f>
        <x:v>0</x:v>
      </x:c>
      <x:c r="P92" s="10" t="n">
        <x:f>SUM(XLOOKUP('포켓몬_편집'!$AF92:$AN92,'분류_규칙'!$A$5:$A$76,'분류_규칙'!$P$5:$P$76,0))</x:f>
        <x:v>0</x:v>
      </x:c>
    </x:row>
    <x:row r="93" ht="22" customHeight="1">
      <x:c r="A93" s="5" t="n">
        <x:v>89</x:v>
      </x:c>
      <x:c r="B93" s="5" t="inlineStr">
        <x:is>
          <x:t xml:space="preserve">질뻐기</x:t>
        </x:is>
      </x:c>
      <x:c r="C93" s="5" t="inlineStr">
        <x:is>
          <x:t xml:space="preserve">muk</x:t>
        </x:is>
      </x:c>
      <x:c r="D93" s="5" t="n">
        <x:v>1</x:v>
      </x:c>
      <x:c r="E93" s="10" t="n">
        <x:f>SUM(XLOOKUP('포켓몬_편집'!$AF93:$AN93,'분류_규칙'!$A$5:$A$76,'분류_규칙'!$E$5:$E$76,0))</x:f>
        <x:v>0</x:v>
      </x:c>
      <x:c r="F93" s="10" t="n">
        <x:f>SUM(XLOOKUP('포켓몬_편집'!$AF93:$AN93,'분류_규칙'!$A$5:$A$76,'분류_규칙'!$F$5:$F$76,0))</x:f>
        <x:v>0</x:v>
      </x:c>
      <x:c r="G93" s="10" t="n">
        <x:f>SUM(XLOOKUP('포켓몬_편집'!$AF93:$AN93,'분류_규칙'!$A$5:$A$76,'분류_규칙'!$G$5:$G$76,0))</x:f>
        <x:v>0</x:v>
      </x:c>
      <x:c r="H93" s="10" t="n">
        <x:f>SUM(XLOOKUP('포켓몬_편집'!$AF93:$AN93,'분류_규칙'!$A$5:$A$76,'분류_규칙'!$H$5:$H$76,0))</x:f>
        <x:v>0</x:v>
      </x:c>
      <x:c r="I93" s="10" t="n">
        <x:f>SUM(XLOOKUP('포켓몬_편집'!$AF93:$AN93,'분류_규칙'!$A$5:$A$76,'분류_규칙'!$I$5:$I$76,0))</x:f>
        <x:v>0</x:v>
      </x:c>
      <x:c r="J93" s="10" t="n">
        <x:f>SUM(XLOOKUP('포켓몬_편집'!$AF93:$AN93,'분류_규칙'!$A$5:$A$76,'분류_규칙'!$J$5:$J$76,0))</x:f>
        <x:v>3</x:v>
      </x:c>
      <x:c r="K93" s="10" t="n">
        <x:f>SUM(XLOOKUP('포켓몬_편집'!$AF93:$AN93,'분류_규칙'!$A$5:$A$76,'분류_규칙'!$K$5:$K$76,0))</x:f>
        <x:v>0</x:v>
      </x:c>
      <x:c r="L93" s="10" t="n">
        <x:f>SUM(XLOOKUP('포켓몬_편집'!$AF93:$AN93,'분류_규칙'!$A$5:$A$76,'분류_규칙'!$L$5:$L$76,0))</x:f>
        <x:v>30</x:v>
      </x:c>
      <x:c r="M93" s="10" t="n">
        <x:f>SUM(XLOOKUP('포켓몬_편집'!$AF93:$AN93,'분류_규칙'!$A$5:$A$76,'분류_규칙'!$M$5:$M$76,0))</x:f>
        <x:v>0</x:v>
      </x:c>
      <x:c r="N93" s="10" t="n">
        <x:f>SUM(XLOOKUP('포켓몬_편집'!$AF93:$AN93,'분류_규칙'!$A$5:$A$76,'분류_규칙'!$N$5:$N$76,0))</x:f>
        <x:v>0</x:v>
      </x:c>
      <x:c r="O93" s="10" t="n">
        <x:f>SUM(XLOOKUP('포켓몬_편집'!$AF93:$AN93,'분류_규칙'!$A$5:$A$76,'분류_규칙'!$O$5:$O$76,0))</x:f>
        <x:v>0</x:v>
      </x:c>
      <x:c r="P93" s="10" t="n">
        <x:f>SUM(XLOOKUP('포켓몬_편집'!$AF93:$AN93,'분류_규칙'!$A$5:$A$76,'분류_규칙'!$P$5:$P$76,0))</x:f>
        <x:v>0</x:v>
      </x:c>
    </x:row>
    <x:row r="94" ht="22" customHeight="1">
      <x:c r="A94" s="5" t="n">
        <x:v>90</x:v>
      </x:c>
      <x:c r="B94" s="5" t="inlineStr">
        <x:is>
          <x:t xml:space="preserve">셀러</x:t>
        </x:is>
      </x:c>
      <x:c r="C94" s="5" t="inlineStr">
        <x:is>
          <x:t xml:space="preserve">shellder</x:t>
        </x:is>
      </x:c>
      <x:c r="D94" s="5" t="n">
        <x:v>1</x:v>
      </x:c>
      <x:c r="E94" s="10" t="n">
        <x:f>SUM(XLOOKUP('포켓몬_편집'!$AF94:$AN94,'분류_규칙'!$A$5:$A$76,'분류_규칙'!$E$5:$E$76,0))</x:f>
        <x:v>0</x:v>
      </x:c>
      <x:c r="F94" s="10" t="n">
        <x:f>SUM(XLOOKUP('포켓몬_편집'!$AF94:$AN94,'분류_규칙'!$A$5:$A$76,'분류_규칙'!$F$5:$F$76,0))</x:f>
        <x:v>0</x:v>
      </x:c>
      <x:c r="G94" s="10" t="n">
        <x:f>SUM(XLOOKUP('포켓몬_편집'!$AF94:$AN94,'분류_규칙'!$A$5:$A$76,'분류_규칙'!$G$5:$G$76,0))</x:f>
        <x:v>0</x:v>
      </x:c>
      <x:c r="H94" s="10" t="n">
        <x:f>SUM(XLOOKUP('포켓몬_편집'!$AF94:$AN94,'분류_규칙'!$A$5:$A$76,'분류_규칙'!$H$5:$H$76,0))</x:f>
        <x:v>0</x:v>
      </x:c>
      <x:c r="I94" s="10" t="n">
        <x:f>SUM(XLOOKUP('포켓몬_편집'!$AF94:$AN94,'분류_규칙'!$A$5:$A$76,'분류_규칙'!$I$5:$I$76,0))</x:f>
        <x:v>0</x:v>
      </x:c>
      <x:c r="J94" s="10" t="n">
        <x:f>SUM(XLOOKUP('포켓몬_편집'!$AF94:$AN94,'분류_규칙'!$A$5:$A$76,'분류_규칙'!$J$5:$J$76,0))</x:f>
        <x:v>3</x:v>
      </x:c>
      <x:c r="K94" s="10" t="n">
        <x:f>SUM(XLOOKUP('포켓몬_편집'!$AF94:$AN94,'분류_규칙'!$A$5:$A$76,'분류_규칙'!$K$5:$K$76,0))</x:f>
        <x:v>0</x:v>
      </x:c>
      <x:c r="L94" s="10" t="n">
        <x:f>SUM(XLOOKUP('포켓몬_편집'!$AF94:$AN94,'분류_규칙'!$A$5:$A$76,'분류_규칙'!$L$5:$L$76,0))</x:f>
        <x:v>30</x:v>
      </x:c>
      <x:c r="M94" s="10" t="n">
        <x:f>SUM(XLOOKUP('포켓몬_편집'!$AF94:$AN94,'분류_규칙'!$A$5:$A$76,'분류_규칙'!$M$5:$M$76,0))</x:f>
        <x:v>0</x:v>
      </x:c>
      <x:c r="N94" s="10" t="n">
        <x:f>SUM(XLOOKUP('포켓몬_편집'!$AF94:$AN94,'분류_규칙'!$A$5:$A$76,'분류_규칙'!$N$5:$N$76,0))</x:f>
        <x:v>0</x:v>
      </x:c>
      <x:c r="O94" s="10" t="n">
        <x:f>SUM(XLOOKUP('포켓몬_편집'!$AF94:$AN94,'분류_규칙'!$A$5:$A$76,'분류_규칙'!$O$5:$O$76,0))</x:f>
        <x:v>0</x:v>
      </x:c>
      <x:c r="P94" s="10" t="n">
        <x:f>SUM(XLOOKUP('포켓몬_편집'!$AF94:$AN94,'분류_규칙'!$A$5:$A$76,'분류_규칙'!$P$5:$P$76,0))</x:f>
        <x:v>0</x:v>
      </x:c>
    </x:row>
    <x:row r="95" ht="22" customHeight="1">
      <x:c r="A95" s="5" t="n">
        <x:v>91</x:v>
      </x:c>
      <x:c r="B95" s="5" t="inlineStr">
        <x:is>
          <x:t xml:space="preserve">파르셀</x:t>
        </x:is>
      </x:c>
      <x:c r="C95" s="5" t="inlineStr">
        <x:is>
          <x:t xml:space="preserve">cloyster</x:t>
        </x:is>
      </x:c>
      <x:c r="D95" s="5" t="n">
        <x:v>1</x:v>
      </x:c>
      <x:c r="E95" s="10" t="n">
        <x:f>SUM(XLOOKUP('포켓몬_편집'!$AF95:$AN95,'분류_규칙'!$A$5:$A$76,'분류_규칙'!$E$5:$E$76,0))</x:f>
        <x:v>0</x:v>
      </x:c>
      <x:c r="F95" s="10" t="n">
        <x:f>SUM(XLOOKUP('포켓몬_편집'!$AF95:$AN95,'분류_규칙'!$A$5:$A$76,'분류_규칙'!$F$5:$F$76,0))</x:f>
        <x:v>0</x:v>
      </x:c>
      <x:c r="G95" s="10" t="n">
        <x:f>SUM(XLOOKUP('포켓몬_편집'!$AF95:$AN95,'분류_규칙'!$A$5:$A$76,'분류_규칙'!$G$5:$G$76,0))</x:f>
        <x:v>0</x:v>
      </x:c>
      <x:c r="H95" s="10" t="n">
        <x:f>SUM(XLOOKUP('포켓몬_편집'!$AF95:$AN95,'분류_규칙'!$A$5:$A$76,'분류_규칙'!$H$5:$H$76,0))</x:f>
        <x:v>0</x:v>
      </x:c>
      <x:c r="I95" s="10" t="n">
        <x:f>SUM(XLOOKUP('포켓몬_편집'!$AF95:$AN95,'분류_규칙'!$A$5:$A$76,'분류_규칙'!$I$5:$I$76,0))</x:f>
        <x:v>0</x:v>
      </x:c>
      <x:c r="J95" s="10" t="n">
        <x:f>SUM(XLOOKUP('포켓몬_편집'!$AF95:$AN95,'분류_규칙'!$A$5:$A$76,'분류_규칙'!$J$5:$J$76,0))</x:f>
        <x:v>3</x:v>
      </x:c>
      <x:c r="K95" s="10" t="n">
        <x:f>SUM(XLOOKUP('포켓몬_편집'!$AF95:$AN95,'분류_규칙'!$A$5:$A$76,'분류_규칙'!$K$5:$K$76,0))</x:f>
        <x:v>0</x:v>
      </x:c>
      <x:c r="L95" s="10" t="n">
        <x:f>SUM(XLOOKUP('포켓몬_편집'!$AF95:$AN95,'분류_규칙'!$A$5:$A$76,'분류_규칙'!$L$5:$L$76,0))</x:f>
        <x:v>30</x:v>
      </x:c>
      <x:c r="M95" s="10" t="n">
        <x:f>SUM(XLOOKUP('포켓몬_편집'!$AF95:$AN95,'분류_규칙'!$A$5:$A$76,'분류_규칙'!$M$5:$M$76,0))</x:f>
        <x:v>0</x:v>
      </x:c>
      <x:c r="N95" s="10" t="n">
        <x:f>SUM(XLOOKUP('포켓몬_편집'!$AF95:$AN95,'분류_규칙'!$A$5:$A$76,'분류_규칙'!$N$5:$N$76,0))</x:f>
        <x:v>0</x:v>
      </x:c>
      <x:c r="O95" s="10" t="n">
        <x:f>SUM(XLOOKUP('포켓몬_편집'!$AF95:$AN95,'분류_규칙'!$A$5:$A$76,'분류_규칙'!$O$5:$O$76,0))</x:f>
        <x:v>0</x:v>
      </x:c>
      <x:c r="P95" s="10" t="n">
        <x:f>SUM(XLOOKUP('포켓몬_편집'!$AF95:$AN95,'분류_규칙'!$A$5:$A$76,'분류_규칙'!$P$5:$P$76,0))</x:f>
        <x:v>0</x:v>
      </x:c>
    </x:row>
    <x:row r="96" ht="22" customHeight="1">
      <x:c r="A96" s="5" t="n">
        <x:v>92</x:v>
      </x:c>
      <x:c r="B96" s="5" t="inlineStr">
        <x:is>
          <x:t xml:space="preserve">고오스</x:t>
        </x:is>
      </x:c>
      <x:c r="C96" s="5" t="inlineStr">
        <x:is>
          <x:t xml:space="preserve">gastly</x:t>
        </x:is>
      </x:c>
      <x:c r="D96" s="5" t="n">
        <x:v>1</x:v>
      </x:c>
      <x:c r="E96" s="10" t="n">
        <x:f>SUM(XLOOKUP('포켓몬_편집'!$AF96:$AN96,'분류_규칙'!$A$5:$A$76,'분류_규칙'!$E$5:$E$76,0))</x:f>
        <x:v>8</x:v>
      </x:c>
      <x:c r="F96" s="10" t="n">
        <x:f>SUM(XLOOKUP('포켓몬_편집'!$AF96:$AN96,'분류_규칙'!$A$5:$A$76,'분류_규칙'!$F$5:$F$76,0))</x:f>
        <x:v>8</x:v>
      </x:c>
      <x:c r="G96" s="10" t="n">
        <x:f>SUM(XLOOKUP('포켓몬_편집'!$AF96:$AN96,'분류_규칙'!$A$5:$A$76,'분류_규칙'!$G$5:$G$76,0))</x:f>
        <x:v>0</x:v>
      </x:c>
      <x:c r="H96" s="10" t="n">
        <x:f>SUM(XLOOKUP('포켓몬_편집'!$AF96:$AN96,'분류_규칙'!$A$5:$A$76,'분류_규칙'!$H$5:$H$76,0))</x:f>
        <x:v>12</x:v>
      </x:c>
      <x:c r="I96" s="10" t="n">
        <x:f>SUM(XLOOKUP('포켓몬_편집'!$AF96:$AN96,'분류_규칙'!$A$5:$A$76,'분류_규칙'!$I$5:$I$76,0))</x:f>
        <x:v>0</x:v>
      </x:c>
      <x:c r="J96" s="10" t="n">
        <x:f>SUM(XLOOKUP('포켓몬_편집'!$AF96:$AN96,'분류_규칙'!$A$5:$A$76,'분류_규칙'!$J$5:$J$76,0))</x:f>
        <x:v>0</x:v>
      </x:c>
      <x:c r="K96" s="10" t="n">
        <x:f>SUM(XLOOKUP('포켓몬_편집'!$AF96:$AN96,'분류_규칙'!$A$5:$A$76,'분류_규칙'!$K$5:$K$76,0))</x:f>
        <x:v>0</x:v>
      </x:c>
      <x:c r="L96" s="10" t="n">
        <x:f>SUM(XLOOKUP('포켓몬_편집'!$AF96:$AN96,'분류_규칙'!$A$5:$A$76,'분류_규칙'!$L$5:$L$76,0))</x:f>
        <x:v>3</x:v>
      </x:c>
      <x:c r="M96" s="10" t="n">
        <x:f>SUM(XLOOKUP('포켓몬_편집'!$AF96:$AN96,'분류_규칙'!$A$5:$A$76,'분류_규칙'!$M$5:$M$76,0))</x:f>
        <x:v>0</x:v>
      </x:c>
      <x:c r="N96" s="10" t="n">
        <x:f>SUM(XLOOKUP('포켓몬_편집'!$AF96:$AN96,'분류_규칙'!$A$5:$A$76,'분류_규칙'!$N$5:$N$76,0))</x:f>
        <x:v>0</x:v>
      </x:c>
      <x:c r="O96" s="10" t="n">
        <x:f>SUM(XLOOKUP('포켓몬_편집'!$AF96:$AN96,'분류_규칙'!$A$5:$A$76,'분류_규칙'!$O$5:$O$76,0))</x:f>
        <x:v>2</x:v>
      </x:c>
      <x:c r="P96" s="10" t="n">
        <x:f>SUM(XLOOKUP('포켓몬_편집'!$AF96:$AN96,'분류_규칙'!$A$5:$A$76,'분류_규칙'!$P$5:$P$76,0))</x:f>
        <x:v>0</x:v>
      </x:c>
    </x:row>
    <x:row r="97" ht="22" customHeight="1">
      <x:c r="A97" s="5" t="n">
        <x:v>93</x:v>
      </x:c>
      <x:c r="B97" s="5" t="inlineStr">
        <x:is>
          <x:t xml:space="preserve">고우스트</x:t>
        </x:is>
      </x:c>
      <x:c r="C97" s="5" t="inlineStr">
        <x:is>
          <x:t xml:space="preserve">haunter</x:t>
        </x:is>
      </x:c>
      <x:c r="D97" s="5" t="n">
        <x:v>1</x:v>
      </x:c>
      <x:c r="E97" s="10" t="n">
        <x:f>SUM(XLOOKUP('포켓몬_편집'!$AF97:$AN97,'분류_규칙'!$A$5:$A$76,'분류_규칙'!$E$5:$E$76,0))</x:f>
        <x:v>8</x:v>
      </x:c>
      <x:c r="F97" s="10" t="n">
        <x:f>SUM(XLOOKUP('포켓몬_편집'!$AF97:$AN97,'분류_규칙'!$A$5:$A$76,'분류_규칙'!$F$5:$F$76,0))</x:f>
        <x:v>8</x:v>
      </x:c>
      <x:c r="G97" s="10" t="n">
        <x:f>SUM(XLOOKUP('포켓몬_편집'!$AF97:$AN97,'분류_규칙'!$A$5:$A$76,'분류_규칙'!$G$5:$G$76,0))</x:f>
        <x:v>0</x:v>
      </x:c>
      <x:c r="H97" s="10" t="n">
        <x:f>SUM(XLOOKUP('포켓몬_편집'!$AF97:$AN97,'분류_규칙'!$A$5:$A$76,'분류_규칙'!$H$5:$H$76,0))</x:f>
        <x:v>12</x:v>
      </x:c>
      <x:c r="I97" s="10" t="n">
        <x:f>SUM(XLOOKUP('포켓몬_편집'!$AF97:$AN97,'분류_규칙'!$A$5:$A$76,'분류_규칙'!$I$5:$I$76,0))</x:f>
        <x:v>0</x:v>
      </x:c>
      <x:c r="J97" s="10" t="n">
        <x:f>SUM(XLOOKUP('포켓몬_편집'!$AF97:$AN97,'분류_규칙'!$A$5:$A$76,'분류_규칙'!$J$5:$J$76,0))</x:f>
        <x:v>0</x:v>
      </x:c>
      <x:c r="K97" s="10" t="n">
        <x:f>SUM(XLOOKUP('포켓몬_편집'!$AF97:$AN97,'분류_규칙'!$A$5:$A$76,'분류_규칙'!$K$5:$K$76,0))</x:f>
        <x:v>0</x:v>
      </x:c>
      <x:c r="L97" s="10" t="n">
        <x:f>SUM(XLOOKUP('포켓몬_편집'!$AF97:$AN97,'분류_규칙'!$A$5:$A$76,'분류_규칙'!$L$5:$L$76,0))</x:f>
        <x:v>3</x:v>
      </x:c>
      <x:c r="M97" s="10" t="n">
        <x:f>SUM(XLOOKUP('포켓몬_편집'!$AF97:$AN97,'분류_규칙'!$A$5:$A$76,'분류_규칙'!$M$5:$M$76,0))</x:f>
        <x:v>0</x:v>
      </x:c>
      <x:c r="N97" s="10" t="n">
        <x:f>SUM(XLOOKUP('포켓몬_편집'!$AF97:$AN97,'분류_규칙'!$A$5:$A$76,'분류_규칙'!$N$5:$N$76,0))</x:f>
        <x:v>0</x:v>
      </x:c>
      <x:c r="O97" s="10" t="n">
        <x:f>SUM(XLOOKUP('포켓몬_편집'!$AF97:$AN97,'분류_규칙'!$A$5:$A$76,'분류_규칙'!$O$5:$O$76,0))</x:f>
        <x:v>2</x:v>
      </x:c>
      <x:c r="P97" s="10" t="n">
        <x:f>SUM(XLOOKUP('포켓몬_편집'!$AF97:$AN97,'분류_규칙'!$A$5:$A$76,'분류_규칙'!$P$5:$P$76,0))</x:f>
        <x:v>0</x:v>
      </x:c>
    </x:row>
    <x:row r="98" ht="22" customHeight="1">
      <x:c r="A98" s="5" t="n">
        <x:v>94</x:v>
      </x:c>
      <x:c r="B98" s="5" t="inlineStr">
        <x:is>
          <x:t xml:space="preserve">팬텀</x:t>
        </x:is>
      </x:c>
      <x:c r="C98" s="5" t="inlineStr">
        <x:is>
          <x:t xml:space="preserve">gengar</x:t>
        </x:is>
      </x:c>
      <x:c r="D98" s="5" t="n">
        <x:v>1</x:v>
      </x:c>
      <x:c r="E98" s="10" t="n">
        <x:f>SUM(XLOOKUP('포켓몬_편집'!$AF98:$AN98,'분류_규칙'!$A$5:$A$76,'분류_규칙'!$E$5:$E$76,0))</x:f>
        <x:v>8</x:v>
      </x:c>
      <x:c r="F98" s="10" t="n">
        <x:f>SUM(XLOOKUP('포켓몬_편집'!$AF98:$AN98,'분류_규칙'!$A$5:$A$76,'분류_규칙'!$F$5:$F$76,0))</x:f>
        <x:v>8</x:v>
      </x:c>
      <x:c r="G98" s="10" t="n">
        <x:f>SUM(XLOOKUP('포켓몬_편집'!$AF98:$AN98,'분류_규칙'!$A$5:$A$76,'분류_규칙'!$G$5:$G$76,0))</x:f>
        <x:v>0</x:v>
      </x:c>
      <x:c r="H98" s="10" t="n">
        <x:f>SUM(XLOOKUP('포켓몬_편집'!$AF98:$AN98,'분류_규칙'!$A$5:$A$76,'분류_규칙'!$H$5:$H$76,0))</x:f>
        <x:v>12</x:v>
      </x:c>
      <x:c r="I98" s="10" t="n">
        <x:f>SUM(XLOOKUP('포켓몬_편집'!$AF98:$AN98,'분류_규칙'!$A$5:$A$76,'분류_규칙'!$I$5:$I$76,0))</x:f>
        <x:v>0</x:v>
      </x:c>
      <x:c r="J98" s="10" t="n">
        <x:f>SUM(XLOOKUP('포켓몬_편집'!$AF98:$AN98,'분류_규칙'!$A$5:$A$76,'분류_규칙'!$J$5:$J$76,0))</x:f>
        <x:v>0</x:v>
      </x:c>
      <x:c r="K98" s="10" t="n">
        <x:f>SUM(XLOOKUP('포켓몬_편집'!$AF98:$AN98,'분류_규칙'!$A$5:$A$76,'분류_규칙'!$K$5:$K$76,0))</x:f>
        <x:v>0</x:v>
      </x:c>
      <x:c r="L98" s="10" t="n">
        <x:f>SUM(XLOOKUP('포켓몬_편집'!$AF98:$AN98,'분류_규칙'!$A$5:$A$76,'분류_규칙'!$L$5:$L$76,0))</x:f>
        <x:v>3</x:v>
      </x:c>
      <x:c r="M98" s="10" t="n">
        <x:f>SUM(XLOOKUP('포켓몬_편집'!$AF98:$AN98,'분류_규칙'!$A$5:$A$76,'분류_규칙'!$M$5:$M$76,0))</x:f>
        <x:v>0</x:v>
      </x:c>
      <x:c r="N98" s="10" t="n">
        <x:f>SUM(XLOOKUP('포켓몬_편집'!$AF98:$AN98,'분류_규칙'!$A$5:$A$76,'분류_규칙'!$N$5:$N$76,0))</x:f>
        <x:v>0</x:v>
      </x:c>
      <x:c r="O98" s="10" t="n">
        <x:f>SUM(XLOOKUP('포켓몬_편집'!$AF98:$AN98,'분류_규칙'!$A$5:$A$76,'분류_규칙'!$O$5:$O$76,0))</x:f>
        <x:v>2</x:v>
      </x:c>
      <x:c r="P98" s="10" t="n">
        <x:f>SUM(XLOOKUP('포켓몬_편집'!$AF98:$AN98,'분류_규칙'!$A$5:$A$76,'분류_규칙'!$P$5:$P$76,0))</x:f>
        <x:v>0</x:v>
      </x:c>
    </x:row>
    <x:row r="99" ht="22" customHeight="1">
      <x:c r="A99" s="5" t="n">
        <x:v>95</x:v>
      </x:c>
      <x:c r="B99" s="5" t="inlineStr">
        <x:is>
          <x:t xml:space="preserve">롱스톤</x:t>
        </x:is>
      </x:c>
      <x:c r="C99" s="5" t="inlineStr">
        <x:is>
          <x:t xml:space="preserve">onix</x:t>
        </x:is>
      </x:c>
      <x:c r="D99" s="5" t="n">
        <x:v>1</x:v>
      </x:c>
      <x:c r="E99" s="10" t="n">
        <x:f>SUM(XLOOKUP('포켓몬_편집'!$AF99:$AN99,'분류_규칙'!$A$5:$A$76,'분류_규칙'!$E$5:$E$76,0))</x:f>
        <x:v>10</x:v>
      </x:c>
      <x:c r="F99" s="10" t="n">
        <x:f>SUM(XLOOKUP('포켓몬_편집'!$AF99:$AN99,'분류_규칙'!$A$5:$A$76,'분류_규칙'!$F$5:$F$76,0))</x:f>
        <x:v>7</x:v>
      </x:c>
      <x:c r="G99" s="10" t="n">
        <x:f>SUM(XLOOKUP('포켓몬_편집'!$AF99:$AN99,'분류_규칙'!$A$5:$A$76,'분류_규칙'!$G$5:$G$76,0))</x:f>
        <x:v>5</x:v>
      </x:c>
      <x:c r="H99" s="10" t="n">
        <x:f>SUM(XLOOKUP('포켓몬_편집'!$AF99:$AN99,'분류_규칙'!$A$5:$A$76,'분류_규칙'!$H$5:$H$76,0))</x:f>
        <x:v>5</x:v>
      </x:c>
      <x:c r="I99" s="10" t="n">
        <x:f>SUM(XLOOKUP('포켓몬_편집'!$AF99:$AN99,'분류_규칙'!$A$5:$A$76,'분류_규칙'!$I$5:$I$76,0))</x:f>
        <x:v>0</x:v>
      </x:c>
      <x:c r="J99" s="10" t="n">
        <x:f>SUM(XLOOKUP('포켓몬_편집'!$AF99:$AN99,'분류_규칙'!$A$5:$A$76,'분류_규칙'!$J$5:$J$76,0))</x:f>
        <x:v>2</x:v>
      </x:c>
      <x:c r="K99" s="10" t="n">
        <x:f>SUM(XLOOKUP('포켓몬_편집'!$AF99:$AN99,'분류_규칙'!$A$5:$A$76,'분류_규칙'!$K$5:$K$76,0))</x:f>
        <x:v>0</x:v>
      </x:c>
      <x:c r="L99" s="10" t="n">
        <x:f>SUM(XLOOKUP('포켓몬_편집'!$AF99:$AN99,'분류_규칙'!$A$5:$A$76,'분류_규칙'!$L$5:$L$76,0))</x:f>
        <x:v>0</x:v>
      </x:c>
      <x:c r="M99" s="10" t="n">
        <x:f>SUM(XLOOKUP('포켓몬_편집'!$AF99:$AN99,'분류_규칙'!$A$5:$A$76,'분류_규칙'!$M$5:$M$76,0))</x:f>
        <x:v>0</x:v>
      </x:c>
      <x:c r="N99" s="10" t="n">
        <x:f>SUM(XLOOKUP('포켓몬_편집'!$AF99:$AN99,'분류_규칙'!$A$5:$A$76,'분류_규칙'!$N$5:$N$76,0))</x:f>
        <x:v>0</x:v>
      </x:c>
      <x:c r="O99" s="10" t="n">
        <x:f>SUM(XLOOKUP('포켓몬_편집'!$AF99:$AN99,'분류_규칙'!$A$5:$A$76,'분류_규칙'!$O$5:$O$76,0))</x:f>
        <x:v>2</x:v>
      </x:c>
      <x:c r="P99" s="10" t="n">
        <x:f>SUM(XLOOKUP('포켓몬_편집'!$AF99:$AN99,'분류_규칙'!$A$5:$A$76,'분류_규칙'!$P$5:$P$76,0))</x:f>
        <x:v>0</x:v>
      </x:c>
    </x:row>
    <x:row r="100" ht="22" customHeight="1">
      <x:c r="A100" s="5" t="n">
        <x:v>96</x:v>
      </x:c>
      <x:c r="B100" s="5" t="inlineStr">
        <x:is>
          <x:t xml:space="preserve">슬리프</x:t>
        </x:is>
      </x:c>
      <x:c r="C100" s="5" t="inlineStr">
        <x:is>
          <x:t xml:space="preserve">drowzee</x:t>
        </x:is>
      </x:c>
      <x:c r="D100" s="5" t="n">
        <x:v>1</x:v>
      </x:c>
      <x:c r="E100" s="10" t="n">
        <x:f>SUM(XLOOKUP('포켓몬_편집'!$AF100:$AN100,'분류_규칙'!$A$5:$A$76,'분류_규칙'!$E$5:$E$76,0))</x:f>
        <x:v>10</x:v>
      </x:c>
      <x:c r="F100" s="10" t="n">
        <x:f>SUM(XLOOKUP('포켓몬_편집'!$AF100:$AN100,'분류_규칙'!$A$5:$A$76,'분류_규칙'!$F$5:$F$76,0))</x:f>
        <x:v>7</x:v>
      </x:c>
      <x:c r="G100" s="10" t="n">
        <x:f>SUM(XLOOKUP('포켓몬_편집'!$AF100:$AN100,'분류_규칙'!$A$5:$A$76,'분류_규칙'!$G$5:$G$76,0))</x:f>
        <x:v>5</x:v>
      </x:c>
      <x:c r="H100" s="10" t="n">
        <x:f>SUM(XLOOKUP('포켓몬_편집'!$AF100:$AN100,'분류_규칙'!$A$5:$A$76,'분류_규칙'!$H$5:$H$76,0))</x:f>
        <x:v>5</x:v>
      </x:c>
      <x:c r="I100" s="10" t="n">
        <x:f>SUM(XLOOKUP('포켓몬_편집'!$AF100:$AN100,'분류_규칙'!$A$5:$A$76,'분류_규칙'!$I$5:$I$76,0))</x:f>
        <x:v>0</x:v>
      </x:c>
      <x:c r="J100" s="10" t="n">
        <x:f>SUM(XLOOKUP('포켓몬_편집'!$AF100:$AN100,'분류_규칙'!$A$5:$A$76,'분류_규칙'!$J$5:$J$76,0))</x:f>
        <x:v>2</x:v>
      </x:c>
      <x:c r="K100" s="10" t="n">
        <x:f>SUM(XLOOKUP('포켓몬_편집'!$AF100:$AN100,'분류_규칙'!$A$5:$A$76,'분류_규칙'!$K$5:$K$76,0))</x:f>
        <x:v>0</x:v>
      </x:c>
      <x:c r="L100" s="10" t="n">
        <x:f>SUM(XLOOKUP('포켓몬_편집'!$AF100:$AN100,'분류_규칙'!$A$5:$A$76,'분류_규칙'!$L$5:$L$76,0))</x:f>
        <x:v>0</x:v>
      </x:c>
      <x:c r="M100" s="10" t="n">
        <x:f>SUM(XLOOKUP('포켓몬_편집'!$AF100:$AN100,'분류_규칙'!$A$5:$A$76,'분류_규칙'!$M$5:$M$76,0))</x:f>
        <x:v>0</x:v>
      </x:c>
      <x:c r="N100" s="10" t="n">
        <x:f>SUM(XLOOKUP('포켓몬_편집'!$AF100:$AN100,'분류_규칙'!$A$5:$A$76,'분류_규칙'!$N$5:$N$76,0))</x:f>
        <x:v>0</x:v>
      </x:c>
      <x:c r="O100" s="10" t="n">
        <x:f>SUM(XLOOKUP('포켓몬_편집'!$AF100:$AN100,'분류_규칙'!$A$5:$A$76,'분류_규칙'!$O$5:$O$76,0))</x:f>
        <x:v>2</x:v>
      </x:c>
      <x:c r="P100" s="10" t="n">
        <x:f>SUM(XLOOKUP('포켓몬_편집'!$AF100:$AN100,'분류_규칙'!$A$5:$A$76,'분류_규칙'!$P$5:$P$76,0))</x:f>
        <x:v>0</x:v>
      </x:c>
    </x:row>
    <x:row r="101" ht="22" customHeight="1">
      <x:c r="A101" s="5" t="n">
        <x:v>97</x:v>
      </x:c>
      <x:c r="B101" s="5" t="inlineStr">
        <x:is>
          <x:t xml:space="preserve">슬리퍼</x:t>
        </x:is>
      </x:c>
      <x:c r="C101" s="5" t="inlineStr">
        <x:is>
          <x:t xml:space="preserve">hypno</x:t>
        </x:is>
      </x:c>
      <x:c r="D101" s="5" t="n">
        <x:v>1</x:v>
      </x:c>
      <x:c r="E101" s="10" t="n">
        <x:f>SUM(XLOOKUP('포켓몬_편집'!$AF101:$AN101,'분류_규칙'!$A$5:$A$76,'분류_규칙'!$E$5:$E$76,0))</x:f>
        <x:v>10</x:v>
      </x:c>
      <x:c r="F101" s="10" t="n">
        <x:f>SUM(XLOOKUP('포켓몬_편집'!$AF101:$AN101,'분류_규칙'!$A$5:$A$76,'분류_규칙'!$F$5:$F$76,0))</x:f>
        <x:v>7</x:v>
      </x:c>
      <x:c r="G101" s="10" t="n">
        <x:f>SUM(XLOOKUP('포켓몬_편집'!$AF101:$AN101,'분류_규칙'!$A$5:$A$76,'분류_규칙'!$G$5:$G$76,0))</x:f>
        <x:v>5</x:v>
      </x:c>
      <x:c r="H101" s="10" t="n">
        <x:f>SUM(XLOOKUP('포켓몬_편집'!$AF101:$AN101,'분류_규칙'!$A$5:$A$76,'분류_규칙'!$H$5:$H$76,0))</x:f>
        <x:v>5</x:v>
      </x:c>
      <x:c r="I101" s="10" t="n">
        <x:f>SUM(XLOOKUP('포켓몬_편집'!$AF101:$AN101,'분류_규칙'!$A$5:$A$76,'분류_규칙'!$I$5:$I$76,0))</x:f>
        <x:v>0</x:v>
      </x:c>
      <x:c r="J101" s="10" t="n">
        <x:f>SUM(XLOOKUP('포켓몬_편집'!$AF101:$AN101,'분류_규칙'!$A$5:$A$76,'분류_규칙'!$J$5:$J$76,0))</x:f>
        <x:v>2</x:v>
      </x:c>
      <x:c r="K101" s="10" t="n">
        <x:f>SUM(XLOOKUP('포켓몬_편집'!$AF101:$AN101,'분류_규칙'!$A$5:$A$76,'분류_규칙'!$K$5:$K$76,0))</x:f>
        <x:v>0</x:v>
      </x:c>
      <x:c r="L101" s="10" t="n">
        <x:f>SUM(XLOOKUP('포켓몬_편집'!$AF101:$AN101,'분류_규칙'!$A$5:$A$76,'분류_규칙'!$L$5:$L$76,0))</x:f>
        <x:v>0</x:v>
      </x:c>
      <x:c r="M101" s="10" t="n">
        <x:f>SUM(XLOOKUP('포켓몬_편집'!$AF101:$AN101,'분류_규칙'!$A$5:$A$76,'분류_규칙'!$M$5:$M$76,0))</x:f>
        <x:v>0</x:v>
      </x:c>
      <x:c r="N101" s="10" t="n">
        <x:f>SUM(XLOOKUP('포켓몬_편집'!$AF101:$AN101,'분류_규칙'!$A$5:$A$76,'분류_규칙'!$N$5:$N$76,0))</x:f>
        <x:v>0</x:v>
      </x:c>
      <x:c r="O101" s="10" t="n">
        <x:f>SUM(XLOOKUP('포켓몬_편집'!$AF101:$AN101,'분류_규칙'!$A$5:$A$76,'분류_규칙'!$O$5:$O$76,0))</x:f>
        <x:v>2</x:v>
      </x:c>
      <x:c r="P101" s="10" t="n">
        <x:f>SUM(XLOOKUP('포켓몬_편집'!$AF101:$AN101,'분류_규칙'!$A$5:$A$76,'분류_규칙'!$P$5:$P$76,0))</x:f>
        <x:v>0</x:v>
      </x:c>
    </x:row>
    <x:row r="102" ht="22" customHeight="1">
      <x:c r="A102" s="5" t="n">
        <x:v>98</x:v>
      </x:c>
      <x:c r="B102" s="5" t="inlineStr">
        <x:is>
          <x:t xml:space="preserve">크랩</x:t>
        </x:is>
      </x:c>
      <x:c r="C102" s="5" t="inlineStr">
        <x:is>
          <x:t xml:space="preserve">krabby</x:t>
        </x:is>
      </x:c>
      <x:c r="D102" s="5" t="n">
        <x:v>1</x:v>
      </x:c>
      <x:c r="E102" s="10" t="n">
        <x:f>SUM(XLOOKUP('포켓몬_편집'!$AF102:$AN102,'분류_규칙'!$A$5:$A$76,'분류_규칙'!$E$5:$E$76,0))</x:f>
        <x:v>0</x:v>
      </x:c>
      <x:c r="F102" s="10" t="n">
        <x:f>SUM(XLOOKUP('포켓몬_편집'!$AF102:$AN102,'분류_규칙'!$A$5:$A$76,'분류_규칙'!$F$5:$F$76,0))</x:f>
        <x:v>0</x:v>
      </x:c>
      <x:c r="G102" s="10" t="n">
        <x:f>SUM(XLOOKUP('포켓몬_편집'!$AF102:$AN102,'분류_규칙'!$A$5:$A$76,'분류_규칙'!$G$5:$G$76,0))</x:f>
        <x:v>0</x:v>
      </x:c>
      <x:c r="H102" s="10" t="n">
        <x:f>SUM(XLOOKUP('포켓몬_편집'!$AF102:$AN102,'분류_규칙'!$A$5:$A$76,'분류_규칙'!$H$5:$H$76,0))</x:f>
        <x:v>0</x:v>
      </x:c>
      <x:c r="I102" s="10" t="n">
        <x:f>SUM(XLOOKUP('포켓몬_편집'!$AF102:$AN102,'분류_규칙'!$A$5:$A$76,'분류_규칙'!$I$5:$I$76,0))</x:f>
        <x:v>0</x:v>
      </x:c>
      <x:c r="J102" s="10" t="n">
        <x:f>SUM(XLOOKUP('포켓몬_편집'!$AF102:$AN102,'분류_규칙'!$A$5:$A$76,'분류_규칙'!$J$5:$J$76,0))</x:f>
        <x:v>3</x:v>
      </x:c>
      <x:c r="K102" s="10" t="n">
        <x:f>SUM(XLOOKUP('포켓몬_편집'!$AF102:$AN102,'분류_규칙'!$A$5:$A$76,'분류_규칙'!$K$5:$K$76,0))</x:f>
        <x:v>0</x:v>
      </x:c>
      <x:c r="L102" s="10" t="n">
        <x:f>SUM(XLOOKUP('포켓몬_편집'!$AF102:$AN102,'분류_규칙'!$A$5:$A$76,'분류_규칙'!$L$5:$L$76,0))</x:f>
        <x:v>30</x:v>
      </x:c>
      <x:c r="M102" s="10" t="n">
        <x:f>SUM(XLOOKUP('포켓몬_편집'!$AF102:$AN102,'분류_규칙'!$A$5:$A$76,'분류_규칙'!$M$5:$M$76,0))</x:f>
        <x:v>0</x:v>
      </x:c>
      <x:c r="N102" s="10" t="n">
        <x:f>SUM(XLOOKUP('포켓몬_편집'!$AF102:$AN102,'분류_규칙'!$A$5:$A$76,'분류_규칙'!$N$5:$N$76,0))</x:f>
        <x:v>0</x:v>
      </x:c>
      <x:c r="O102" s="10" t="n">
        <x:f>SUM(XLOOKUP('포켓몬_편집'!$AF102:$AN102,'분류_규칙'!$A$5:$A$76,'분류_규칙'!$O$5:$O$76,0))</x:f>
        <x:v>0</x:v>
      </x:c>
      <x:c r="P102" s="10" t="n">
        <x:f>SUM(XLOOKUP('포켓몬_편집'!$AF102:$AN102,'분류_규칙'!$A$5:$A$76,'분류_규칙'!$P$5:$P$76,0))</x:f>
        <x:v>0</x:v>
      </x:c>
    </x:row>
    <x:row r="103" ht="22" customHeight="1">
      <x:c r="A103" s="5" t="n">
        <x:v>99</x:v>
      </x:c>
      <x:c r="B103" s="5" t="inlineStr">
        <x:is>
          <x:t xml:space="preserve">킹크랩</x:t>
        </x:is>
      </x:c>
      <x:c r="C103" s="5" t="inlineStr">
        <x:is>
          <x:t xml:space="preserve">kingler</x:t>
        </x:is>
      </x:c>
      <x:c r="D103" s="5" t="n">
        <x:v>1</x:v>
      </x:c>
      <x:c r="E103" s="10" t="n">
        <x:f>SUM(XLOOKUP('포켓몬_편집'!$AF103:$AN103,'분류_규칙'!$A$5:$A$76,'분류_규칙'!$E$5:$E$76,0))</x:f>
        <x:v>0</x:v>
      </x:c>
      <x:c r="F103" s="10" t="n">
        <x:f>SUM(XLOOKUP('포켓몬_편집'!$AF103:$AN103,'분류_규칙'!$A$5:$A$76,'분류_규칙'!$F$5:$F$76,0))</x:f>
        <x:v>0</x:v>
      </x:c>
      <x:c r="G103" s="10" t="n">
        <x:f>SUM(XLOOKUP('포켓몬_편집'!$AF103:$AN103,'분류_규칙'!$A$5:$A$76,'분류_규칙'!$G$5:$G$76,0))</x:f>
        <x:v>0</x:v>
      </x:c>
      <x:c r="H103" s="10" t="n">
        <x:f>SUM(XLOOKUP('포켓몬_편집'!$AF103:$AN103,'분류_규칙'!$A$5:$A$76,'분류_규칙'!$H$5:$H$76,0))</x:f>
        <x:v>0</x:v>
      </x:c>
      <x:c r="I103" s="10" t="n">
        <x:f>SUM(XLOOKUP('포켓몬_편집'!$AF103:$AN103,'분류_규칙'!$A$5:$A$76,'분류_규칙'!$I$5:$I$76,0))</x:f>
        <x:v>0</x:v>
      </x:c>
      <x:c r="J103" s="10" t="n">
        <x:f>SUM(XLOOKUP('포켓몬_편집'!$AF103:$AN103,'분류_규칙'!$A$5:$A$76,'분류_규칙'!$J$5:$J$76,0))</x:f>
        <x:v>3</x:v>
      </x:c>
      <x:c r="K103" s="10" t="n">
        <x:f>SUM(XLOOKUP('포켓몬_편집'!$AF103:$AN103,'분류_규칙'!$A$5:$A$76,'분류_규칙'!$K$5:$K$76,0))</x:f>
        <x:v>0</x:v>
      </x:c>
      <x:c r="L103" s="10" t="n">
        <x:f>SUM(XLOOKUP('포켓몬_편집'!$AF103:$AN103,'분류_규칙'!$A$5:$A$76,'분류_규칙'!$L$5:$L$76,0))</x:f>
        <x:v>30</x:v>
      </x:c>
      <x:c r="M103" s="10" t="n">
        <x:f>SUM(XLOOKUP('포켓몬_편집'!$AF103:$AN103,'분류_규칙'!$A$5:$A$76,'분류_규칙'!$M$5:$M$76,0))</x:f>
        <x:v>0</x:v>
      </x:c>
      <x:c r="N103" s="10" t="n">
        <x:f>SUM(XLOOKUP('포켓몬_편집'!$AF103:$AN103,'분류_규칙'!$A$5:$A$76,'분류_규칙'!$N$5:$N$76,0))</x:f>
        <x:v>0</x:v>
      </x:c>
      <x:c r="O103" s="10" t="n">
        <x:f>SUM(XLOOKUP('포켓몬_편집'!$AF103:$AN103,'분류_규칙'!$A$5:$A$76,'분류_규칙'!$O$5:$O$76,0))</x:f>
        <x:v>0</x:v>
      </x:c>
      <x:c r="P103" s="10" t="n">
        <x:f>SUM(XLOOKUP('포켓몬_편집'!$AF103:$AN103,'분류_규칙'!$A$5:$A$76,'분류_규칙'!$P$5:$P$76,0))</x:f>
        <x:v>0</x:v>
      </x:c>
    </x:row>
    <x:row r="104" ht="22" customHeight="1">
      <x:c r="A104" s="5" t="n">
        <x:v>100</x:v>
      </x:c>
      <x:c r="B104" s="5" t="inlineStr">
        <x:is>
          <x:t xml:space="preserve">찌리리공</x:t>
        </x:is>
      </x:c>
      <x:c r="C104" s="5" t="inlineStr">
        <x:is>
          <x:t xml:space="preserve">voltorb</x:t>
        </x:is>
      </x:c>
      <x:c r="D104" s="5" t="n">
        <x:v>1</x:v>
      </x:c>
      <x:c r="E104" s="10" t="n">
        <x:f>SUM(XLOOKUP('포켓몬_편집'!$AF104:$AN104,'분류_규칙'!$A$5:$A$76,'분류_규칙'!$E$5:$E$76,0))</x:f>
        <x:v>0</x:v>
      </x:c>
      <x:c r="F104" s="10" t="n">
        <x:f>SUM(XLOOKUP('포켓몬_편집'!$AF104:$AN104,'분류_규칙'!$A$5:$A$76,'분류_규칙'!$F$5:$F$76,0))</x:f>
        <x:v>0</x:v>
      </x:c>
      <x:c r="G104" s="10" t="n">
        <x:f>SUM(XLOOKUP('포켓몬_편집'!$AF104:$AN104,'분류_규칙'!$A$5:$A$76,'분류_규칙'!$G$5:$G$76,0))</x:f>
        <x:v>0</x:v>
      </x:c>
      <x:c r="H104" s="10" t="n">
        <x:f>SUM(XLOOKUP('포켓몬_편집'!$AF104:$AN104,'분류_규칙'!$A$5:$A$76,'분류_규칙'!$H$5:$H$76,0))</x:f>
        <x:v>0</x:v>
      </x:c>
      <x:c r="I104" s="10" t="n">
        <x:f>SUM(XLOOKUP('포켓몬_편집'!$AF104:$AN104,'분류_규칙'!$A$5:$A$76,'분류_규칙'!$I$5:$I$76,0))</x:f>
        <x:v>0</x:v>
      </x:c>
      <x:c r="J104" s="10" t="n">
        <x:f>SUM(XLOOKUP('포켓몬_편집'!$AF104:$AN104,'분류_규칙'!$A$5:$A$76,'분류_규칙'!$J$5:$J$76,0))</x:f>
        <x:v>0</x:v>
      </x:c>
      <x:c r="K104" s="10" t="n">
        <x:f>SUM(XLOOKUP('포켓몬_편집'!$AF104:$AN104,'분류_규칙'!$A$5:$A$76,'분류_규칙'!$K$5:$K$76,0))</x:f>
        <x:v>0</x:v>
      </x:c>
      <x:c r="L104" s="10" t="n">
        <x:f>SUM(XLOOKUP('포켓몬_편집'!$AF104:$AN104,'분류_규칙'!$A$5:$A$76,'분류_규칙'!$L$5:$L$76,0))</x:f>
        <x:v>0</x:v>
      </x:c>
      <x:c r="M104" s="10" t="n">
        <x:f>SUM(XLOOKUP('포켓몬_편집'!$AF104:$AN104,'분류_규칙'!$A$5:$A$76,'분류_규칙'!$M$5:$M$76,0))</x:f>
        <x:v>0</x:v>
      </x:c>
      <x:c r="N104" s="10" t="n">
        <x:f>SUM(XLOOKUP('포켓몬_편집'!$AF104:$AN104,'분류_규칙'!$A$5:$A$76,'분류_규칙'!$N$5:$N$76,0))</x:f>
        <x:v>0</x:v>
      </x:c>
      <x:c r="O104" s="10" t="n">
        <x:f>SUM(XLOOKUP('포켓몬_편집'!$AF104:$AN104,'분류_규칙'!$A$5:$A$76,'분류_규칙'!$O$5:$O$76,0))</x:f>
        <x:v>30</x:v>
      </x:c>
      <x:c r="P104" s="10" t="n">
        <x:f>SUM(XLOOKUP('포켓몬_편집'!$AF104:$AN104,'분류_규칙'!$A$5:$A$76,'분류_규칙'!$P$5:$P$76,0))</x:f>
        <x:v>8</x:v>
      </x:c>
    </x:row>
    <x:row r="105" ht="22" customHeight="1">
      <x:c r="A105" s="5" t="n">
        <x:v>101</x:v>
      </x:c>
      <x:c r="B105" s="5" t="inlineStr">
        <x:is>
          <x:t xml:space="preserve">붐볼</x:t>
        </x:is>
      </x:c>
      <x:c r="C105" s="5" t="inlineStr">
        <x:is>
          <x:t xml:space="preserve">electrode</x:t>
        </x:is>
      </x:c>
      <x:c r="D105" s="5" t="n">
        <x:v>1</x:v>
      </x:c>
      <x:c r="E105" s="10" t="n">
        <x:f>SUM(XLOOKUP('포켓몬_편집'!$AF105:$AN105,'분류_규칙'!$A$5:$A$76,'분류_규칙'!$E$5:$E$76,0))</x:f>
        <x:v>0</x:v>
      </x:c>
      <x:c r="F105" s="10" t="n">
        <x:f>SUM(XLOOKUP('포켓몬_편집'!$AF105:$AN105,'분류_규칙'!$A$5:$A$76,'분류_규칙'!$F$5:$F$76,0))</x:f>
        <x:v>0</x:v>
      </x:c>
      <x:c r="G105" s="10" t="n">
        <x:f>SUM(XLOOKUP('포켓몬_편집'!$AF105:$AN105,'분류_규칙'!$A$5:$A$76,'분류_규칙'!$G$5:$G$76,0))</x:f>
        <x:v>0</x:v>
      </x:c>
      <x:c r="H105" s="10" t="n">
        <x:f>SUM(XLOOKUP('포켓몬_편집'!$AF105:$AN105,'분류_규칙'!$A$5:$A$76,'분류_규칙'!$H$5:$H$76,0))</x:f>
        <x:v>0</x:v>
      </x:c>
      <x:c r="I105" s="10" t="n">
        <x:f>SUM(XLOOKUP('포켓몬_편집'!$AF105:$AN105,'분류_규칙'!$A$5:$A$76,'분류_규칙'!$I$5:$I$76,0))</x:f>
        <x:v>0</x:v>
      </x:c>
      <x:c r="J105" s="10" t="n">
        <x:f>SUM(XLOOKUP('포켓몬_편집'!$AF105:$AN105,'분류_규칙'!$A$5:$A$76,'분류_규칙'!$J$5:$J$76,0))</x:f>
        <x:v>0</x:v>
      </x:c>
      <x:c r="K105" s="10" t="n">
        <x:f>SUM(XLOOKUP('포켓몬_편집'!$AF105:$AN105,'분류_규칙'!$A$5:$A$76,'분류_규칙'!$K$5:$K$76,0))</x:f>
        <x:v>0</x:v>
      </x:c>
      <x:c r="L105" s="10" t="n">
        <x:f>SUM(XLOOKUP('포켓몬_편집'!$AF105:$AN105,'분류_규칙'!$A$5:$A$76,'분류_규칙'!$L$5:$L$76,0))</x:f>
        <x:v>0</x:v>
      </x:c>
      <x:c r="M105" s="10" t="n">
        <x:f>SUM(XLOOKUP('포켓몬_편집'!$AF105:$AN105,'분류_규칙'!$A$5:$A$76,'분류_규칙'!$M$5:$M$76,0))</x:f>
        <x:v>0</x:v>
      </x:c>
      <x:c r="N105" s="10" t="n">
        <x:f>SUM(XLOOKUP('포켓몬_편집'!$AF105:$AN105,'분류_규칙'!$A$5:$A$76,'분류_규칙'!$N$5:$N$76,0))</x:f>
        <x:v>0</x:v>
      </x:c>
      <x:c r="O105" s="10" t="n">
        <x:f>SUM(XLOOKUP('포켓몬_편집'!$AF105:$AN105,'분류_규칙'!$A$5:$A$76,'분류_규칙'!$O$5:$O$76,0))</x:f>
        <x:v>30</x:v>
      </x:c>
      <x:c r="P105" s="10" t="n">
        <x:f>SUM(XLOOKUP('포켓몬_편집'!$AF105:$AN105,'분류_규칙'!$A$5:$A$76,'분류_규칙'!$P$5:$P$76,0))</x:f>
        <x:v>8</x:v>
      </x:c>
    </x:row>
    <x:row r="106" ht="22" customHeight="1">
      <x:c r="A106" s="5" t="n">
        <x:v>102</x:v>
      </x:c>
      <x:c r="B106" s="5" t="inlineStr">
        <x:is>
          <x:t xml:space="preserve">아라리</x:t>
        </x:is>
      </x:c>
      <x:c r="C106" s="5" t="inlineStr">
        <x:is>
          <x:t xml:space="preserve">exeggcute</x:t>
        </x:is>
      </x:c>
      <x:c r="D106" s="5" t="n">
        <x:v>1</x:v>
      </x:c>
      <x:c r="E106" s="10" t="n">
        <x:f>SUM(XLOOKUP('포켓몬_편집'!$AF106:$AN106,'분류_규칙'!$A$5:$A$76,'분류_규칙'!$E$5:$E$76,0))</x:f>
        <x:v>0</x:v>
      </x:c>
      <x:c r="F106" s="10" t="n">
        <x:f>SUM(XLOOKUP('포켓몬_편집'!$AF106:$AN106,'분류_규칙'!$A$5:$A$76,'분류_규칙'!$F$5:$F$76,0))</x:f>
        <x:v>0</x:v>
      </x:c>
      <x:c r="G106" s="10" t="n">
        <x:f>SUM(XLOOKUP('포켓몬_편집'!$AF106:$AN106,'분류_규칙'!$A$5:$A$76,'분류_규칙'!$G$5:$G$76,0))</x:f>
        <x:v>0</x:v>
      </x:c>
      <x:c r="H106" s="10" t="n">
        <x:f>SUM(XLOOKUP('포켓몬_편집'!$AF106:$AN106,'분류_규칙'!$A$5:$A$76,'분류_규칙'!$H$5:$H$76,0))</x:f>
        <x:v>0</x:v>
      </x:c>
      <x:c r="I106" s="10" t="n">
        <x:f>SUM(XLOOKUP('포켓몬_편집'!$AF106:$AN106,'분류_규칙'!$A$5:$A$76,'분류_규칙'!$I$5:$I$76,0))</x:f>
        <x:v>0</x:v>
      </x:c>
      <x:c r="J106" s="10" t="n">
        <x:f>SUM(XLOOKUP('포켓몬_편집'!$AF106:$AN106,'분류_규칙'!$A$5:$A$76,'분류_규칙'!$J$5:$J$76,0))</x:f>
        <x:v>3</x:v>
      </x:c>
      <x:c r="K106" s="10" t="n">
        <x:f>SUM(XLOOKUP('포켓몬_편집'!$AF106:$AN106,'분류_규칙'!$A$5:$A$76,'분류_규칙'!$K$5:$K$76,0))</x:f>
        <x:v>0</x:v>
      </x:c>
      <x:c r="L106" s="10" t="n">
        <x:f>SUM(XLOOKUP('포켓몬_편집'!$AF106:$AN106,'분류_규칙'!$A$5:$A$76,'분류_규칙'!$L$5:$L$76,0))</x:f>
        <x:v>30</x:v>
      </x:c>
      <x:c r="M106" s="10" t="n">
        <x:f>SUM(XLOOKUP('포켓몬_편집'!$AF106:$AN106,'분류_규칙'!$A$5:$A$76,'분류_규칙'!$M$5:$M$76,0))</x:f>
        <x:v>0</x:v>
      </x:c>
      <x:c r="N106" s="10" t="n">
        <x:f>SUM(XLOOKUP('포켓몬_편집'!$AF106:$AN106,'분류_규칙'!$A$5:$A$76,'분류_규칙'!$N$5:$N$76,0))</x:f>
        <x:v>0</x:v>
      </x:c>
      <x:c r="O106" s="10" t="n">
        <x:f>SUM(XLOOKUP('포켓몬_편집'!$AF106:$AN106,'분류_규칙'!$A$5:$A$76,'분류_규칙'!$O$5:$O$76,0))</x:f>
        <x:v>0</x:v>
      </x:c>
      <x:c r="P106" s="10" t="n">
        <x:f>SUM(XLOOKUP('포켓몬_편집'!$AF106:$AN106,'분류_규칙'!$A$5:$A$76,'분류_규칙'!$P$5:$P$76,0))</x:f>
        <x:v>0</x:v>
      </x:c>
    </x:row>
    <x:row r="107" ht="22" customHeight="1">
      <x:c r="A107" s="5" t="n">
        <x:v>103</x:v>
      </x:c>
      <x:c r="B107" s="5" t="inlineStr">
        <x:is>
          <x:t xml:space="preserve">나시</x:t>
        </x:is>
      </x:c>
      <x:c r="C107" s="5" t="inlineStr">
        <x:is>
          <x:t xml:space="preserve">exeggutor</x:t>
        </x:is>
      </x:c>
      <x:c r="D107" s="5" t="n">
        <x:v>1</x:v>
      </x:c>
      <x:c r="E107" s="10" t="n">
        <x:f>SUM(XLOOKUP('포켓몬_편집'!$AF107:$AN107,'분류_규칙'!$A$5:$A$76,'분류_규칙'!$E$5:$E$76,0))</x:f>
        <x:v>0</x:v>
      </x:c>
      <x:c r="F107" s="10" t="n">
        <x:f>SUM(XLOOKUP('포켓몬_편집'!$AF107:$AN107,'분류_규칙'!$A$5:$A$76,'분류_규칙'!$F$5:$F$76,0))</x:f>
        <x:v>0</x:v>
      </x:c>
      <x:c r="G107" s="10" t="n">
        <x:f>SUM(XLOOKUP('포켓몬_편집'!$AF107:$AN107,'분류_규칙'!$A$5:$A$76,'분류_규칙'!$G$5:$G$76,0))</x:f>
        <x:v>0</x:v>
      </x:c>
      <x:c r="H107" s="10" t="n">
        <x:f>SUM(XLOOKUP('포켓몬_편집'!$AF107:$AN107,'분류_규칙'!$A$5:$A$76,'분류_규칙'!$H$5:$H$76,0))</x:f>
        <x:v>0</x:v>
      </x:c>
      <x:c r="I107" s="10" t="n">
        <x:f>SUM(XLOOKUP('포켓몬_편집'!$AF107:$AN107,'분류_규칙'!$A$5:$A$76,'분류_규칙'!$I$5:$I$76,0))</x:f>
        <x:v>0</x:v>
      </x:c>
      <x:c r="J107" s="10" t="n">
        <x:f>SUM(XLOOKUP('포켓몬_편집'!$AF107:$AN107,'분류_규칙'!$A$5:$A$76,'분류_규칙'!$J$5:$J$76,0))</x:f>
        <x:v>3</x:v>
      </x:c>
      <x:c r="K107" s="10" t="n">
        <x:f>SUM(XLOOKUP('포켓몬_편집'!$AF107:$AN107,'분류_규칙'!$A$5:$A$76,'분류_규칙'!$K$5:$K$76,0))</x:f>
        <x:v>0</x:v>
      </x:c>
      <x:c r="L107" s="10" t="n">
        <x:f>SUM(XLOOKUP('포켓몬_편집'!$AF107:$AN107,'분류_규칙'!$A$5:$A$76,'분류_규칙'!$L$5:$L$76,0))</x:f>
        <x:v>30</x:v>
      </x:c>
      <x:c r="M107" s="10" t="n">
        <x:f>SUM(XLOOKUP('포켓몬_편집'!$AF107:$AN107,'분류_규칙'!$A$5:$A$76,'분류_규칙'!$M$5:$M$76,0))</x:f>
        <x:v>0</x:v>
      </x:c>
      <x:c r="N107" s="10" t="n">
        <x:f>SUM(XLOOKUP('포켓몬_편집'!$AF107:$AN107,'분류_규칙'!$A$5:$A$76,'분류_규칙'!$N$5:$N$76,0))</x:f>
        <x:v>0</x:v>
      </x:c>
      <x:c r="O107" s="10" t="n">
        <x:f>SUM(XLOOKUP('포켓몬_편집'!$AF107:$AN107,'분류_규칙'!$A$5:$A$76,'분류_규칙'!$O$5:$O$76,0))</x:f>
        <x:v>0</x:v>
      </x:c>
      <x:c r="P107" s="10" t="n">
        <x:f>SUM(XLOOKUP('포켓몬_편집'!$AF107:$AN107,'분류_규칙'!$A$5:$A$76,'분류_규칙'!$P$5:$P$76,0))</x:f>
        <x:v>0</x:v>
      </x:c>
    </x:row>
    <x:row r="108" ht="22" customHeight="1">
      <x:c r="A108" s="5" t="n">
        <x:v>104</x:v>
      </x:c>
      <x:c r="B108" s="5" t="inlineStr">
        <x:is>
          <x:t xml:space="preserve">탕구리</x:t>
        </x:is>
      </x:c>
      <x:c r="C108" s="5" t="inlineStr">
        <x:is>
          <x:t xml:space="preserve">cubone</x:t>
        </x:is>
      </x:c>
      <x:c r="D108" s="5" t="n">
        <x:v>1</x:v>
      </x:c>
      <x:c r="E108" s="10" t="n">
        <x:f>SUM(XLOOKUP('포켓몬_편집'!$AF108:$AN108,'분류_규칙'!$A$5:$A$76,'분류_규칙'!$E$5:$E$76,0))</x:f>
        <x:v>10</x:v>
      </x:c>
      <x:c r="F108" s="10" t="n">
        <x:f>SUM(XLOOKUP('포켓몬_편집'!$AF108:$AN108,'분류_규칙'!$A$5:$A$76,'분류_규칙'!$F$5:$F$76,0))</x:f>
        <x:v>7</x:v>
      </x:c>
      <x:c r="G108" s="10" t="n">
        <x:f>SUM(XLOOKUP('포켓몬_편집'!$AF108:$AN108,'분류_규칙'!$A$5:$A$76,'분류_규칙'!$G$5:$G$76,0))</x:f>
        <x:v>5</x:v>
      </x:c>
      <x:c r="H108" s="10" t="n">
        <x:f>SUM(XLOOKUP('포켓몬_편집'!$AF108:$AN108,'분류_규칙'!$A$5:$A$76,'분류_규칙'!$H$5:$H$76,0))</x:f>
        <x:v>5</x:v>
      </x:c>
      <x:c r="I108" s="10" t="n">
        <x:f>SUM(XLOOKUP('포켓몬_편집'!$AF108:$AN108,'분류_규칙'!$A$5:$A$76,'분류_규칙'!$I$5:$I$76,0))</x:f>
        <x:v>0</x:v>
      </x:c>
      <x:c r="J108" s="10" t="n">
        <x:f>SUM(XLOOKUP('포켓몬_편집'!$AF108:$AN108,'분류_규칙'!$A$5:$A$76,'분류_규칙'!$J$5:$J$76,0))</x:f>
        <x:v>2</x:v>
      </x:c>
      <x:c r="K108" s="10" t="n">
        <x:f>SUM(XLOOKUP('포켓몬_편집'!$AF108:$AN108,'분류_규칙'!$A$5:$A$76,'분류_규칙'!$K$5:$K$76,0))</x:f>
        <x:v>0</x:v>
      </x:c>
      <x:c r="L108" s="10" t="n">
        <x:f>SUM(XLOOKUP('포켓몬_편집'!$AF108:$AN108,'분류_규칙'!$A$5:$A$76,'분류_규칙'!$L$5:$L$76,0))</x:f>
        <x:v>0</x:v>
      </x:c>
      <x:c r="M108" s="10" t="n">
        <x:f>SUM(XLOOKUP('포켓몬_편집'!$AF108:$AN108,'분류_규칙'!$A$5:$A$76,'분류_규칙'!$M$5:$M$76,0))</x:f>
        <x:v>0</x:v>
      </x:c>
      <x:c r="N108" s="10" t="n">
        <x:f>SUM(XLOOKUP('포켓몬_편집'!$AF108:$AN108,'분류_규칙'!$A$5:$A$76,'분류_규칙'!$N$5:$N$76,0))</x:f>
        <x:v>0</x:v>
      </x:c>
      <x:c r="O108" s="10" t="n">
        <x:f>SUM(XLOOKUP('포켓몬_편집'!$AF108:$AN108,'분류_규칙'!$A$5:$A$76,'분류_규칙'!$O$5:$O$76,0))</x:f>
        <x:v>2</x:v>
      </x:c>
      <x:c r="P108" s="10" t="n">
        <x:f>SUM(XLOOKUP('포켓몬_편집'!$AF108:$AN108,'분류_규칙'!$A$5:$A$76,'분류_규칙'!$P$5:$P$76,0))</x:f>
        <x:v>0</x:v>
      </x:c>
    </x:row>
    <x:row r="109" ht="22" customHeight="1">
      <x:c r="A109" s="5" t="n">
        <x:v>105</x:v>
      </x:c>
      <x:c r="B109" s="5" t="inlineStr">
        <x:is>
          <x:t xml:space="preserve">텅구리</x:t>
        </x:is>
      </x:c>
      <x:c r="C109" s="5" t="inlineStr">
        <x:is>
          <x:t xml:space="preserve">marowak</x:t>
        </x:is>
      </x:c>
      <x:c r="D109" s="5" t="n">
        <x:v>1</x:v>
      </x:c>
      <x:c r="E109" s="10" t="n">
        <x:f>SUM(XLOOKUP('포켓몬_편집'!$AF109:$AN109,'분류_규칙'!$A$5:$A$76,'분류_규칙'!$E$5:$E$76,0))</x:f>
        <x:v>10</x:v>
      </x:c>
      <x:c r="F109" s="10" t="n">
        <x:f>SUM(XLOOKUP('포켓몬_편집'!$AF109:$AN109,'분류_규칙'!$A$5:$A$76,'분류_규칙'!$F$5:$F$76,0))</x:f>
        <x:v>7</x:v>
      </x:c>
      <x:c r="G109" s="10" t="n">
        <x:f>SUM(XLOOKUP('포켓몬_편집'!$AF109:$AN109,'분류_규칙'!$A$5:$A$76,'분류_규칙'!$G$5:$G$76,0))</x:f>
        <x:v>5</x:v>
      </x:c>
      <x:c r="H109" s="10" t="n">
        <x:f>SUM(XLOOKUP('포켓몬_편집'!$AF109:$AN109,'분류_규칙'!$A$5:$A$76,'분류_규칙'!$H$5:$H$76,0))</x:f>
        <x:v>5</x:v>
      </x:c>
      <x:c r="I109" s="10" t="n">
        <x:f>SUM(XLOOKUP('포켓몬_편집'!$AF109:$AN109,'분류_규칙'!$A$5:$A$76,'분류_규칙'!$I$5:$I$76,0))</x:f>
        <x:v>0</x:v>
      </x:c>
      <x:c r="J109" s="10" t="n">
        <x:f>SUM(XLOOKUP('포켓몬_편집'!$AF109:$AN109,'분류_규칙'!$A$5:$A$76,'분류_규칙'!$J$5:$J$76,0))</x:f>
        <x:v>2</x:v>
      </x:c>
      <x:c r="K109" s="10" t="n">
        <x:f>SUM(XLOOKUP('포켓몬_편집'!$AF109:$AN109,'분류_규칙'!$A$5:$A$76,'분류_규칙'!$K$5:$K$76,0))</x:f>
        <x:v>0</x:v>
      </x:c>
      <x:c r="L109" s="10" t="n">
        <x:f>SUM(XLOOKUP('포켓몬_편집'!$AF109:$AN109,'분류_규칙'!$A$5:$A$76,'분류_규칙'!$L$5:$L$76,0))</x:f>
        <x:v>0</x:v>
      </x:c>
      <x:c r="M109" s="10" t="n">
        <x:f>SUM(XLOOKUP('포켓몬_편집'!$AF109:$AN109,'분류_규칙'!$A$5:$A$76,'분류_규칙'!$M$5:$M$76,0))</x:f>
        <x:v>0</x:v>
      </x:c>
      <x:c r="N109" s="10" t="n">
        <x:f>SUM(XLOOKUP('포켓몬_편집'!$AF109:$AN109,'분류_규칙'!$A$5:$A$76,'분류_규칙'!$N$5:$N$76,0))</x:f>
        <x:v>0</x:v>
      </x:c>
      <x:c r="O109" s="10" t="n">
        <x:f>SUM(XLOOKUP('포켓몬_편집'!$AF109:$AN109,'분류_규칙'!$A$5:$A$76,'분류_규칙'!$O$5:$O$76,0))</x:f>
        <x:v>2</x:v>
      </x:c>
      <x:c r="P109" s="10" t="n">
        <x:f>SUM(XLOOKUP('포켓몬_편집'!$AF109:$AN109,'분류_규칙'!$A$5:$A$76,'분류_규칙'!$P$5:$P$76,0))</x:f>
        <x:v>0</x:v>
      </x:c>
    </x:row>
    <x:row r="110" ht="22" customHeight="1">
      <x:c r="A110" s="5" t="n">
        <x:v>106</x:v>
      </x:c>
      <x:c r="B110" s="5" t="inlineStr">
        <x:is>
          <x:t xml:space="preserve">시라소몬</x:t>
        </x:is>
      </x:c>
      <x:c r="C110" s="5" t="inlineStr">
        <x:is>
          <x:t xml:space="preserve">hitmonlee</x:t>
        </x:is>
      </x:c>
      <x:c r="D110" s="5" t="n">
        <x:v>1</x:v>
      </x:c>
      <x:c r="E110" s="10" t="n">
        <x:f>SUM(XLOOKUP('포켓몬_편집'!$AF110:$AN110,'분류_규칙'!$A$5:$A$76,'분류_규칙'!$E$5:$E$76,0))</x:f>
        <x:v>10</x:v>
      </x:c>
      <x:c r="F110" s="10" t="n">
        <x:f>SUM(XLOOKUP('포켓몬_편집'!$AF110:$AN110,'분류_규칙'!$A$5:$A$76,'분류_규칙'!$F$5:$F$76,0))</x:f>
        <x:v>7</x:v>
      </x:c>
      <x:c r="G110" s="10" t="n">
        <x:f>SUM(XLOOKUP('포켓몬_편집'!$AF110:$AN110,'분류_규칙'!$A$5:$A$76,'분류_규칙'!$G$5:$G$76,0))</x:f>
        <x:v>5</x:v>
      </x:c>
      <x:c r="H110" s="10" t="n">
        <x:f>SUM(XLOOKUP('포켓몬_편집'!$AF110:$AN110,'분류_규칙'!$A$5:$A$76,'분류_규칙'!$H$5:$H$76,0))</x:f>
        <x:v>5</x:v>
      </x:c>
      <x:c r="I110" s="10" t="n">
        <x:f>SUM(XLOOKUP('포켓몬_편집'!$AF110:$AN110,'분류_규칙'!$A$5:$A$76,'분류_규칙'!$I$5:$I$76,0))</x:f>
        <x:v>0</x:v>
      </x:c>
      <x:c r="J110" s="10" t="n">
        <x:f>SUM(XLOOKUP('포켓몬_편집'!$AF110:$AN110,'분류_규칙'!$A$5:$A$76,'분류_규칙'!$J$5:$J$76,0))</x:f>
        <x:v>2</x:v>
      </x:c>
      <x:c r="K110" s="10" t="n">
        <x:f>SUM(XLOOKUP('포켓몬_편집'!$AF110:$AN110,'분류_규칙'!$A$5:$A$76,'분류_규칙'!$K$5:$K$76,0))</x:f>
        <x:v>0</x:v>
      </x:c>
      <x:c r="L110" s="10" t="n">
        <x:f>SUM(XLOOKUP('포켓몬_편집'!$AF110:$AN110,'분류_규칙'!$A$5:$A$76,'분류_규칙'!$L$5:$L$76,0))</x:f>
        <x:v>0</x:v>
      </x:c>
      <x:c r="M110" s="10" t="n">
        <x:f>SUM(XLOOKUP('포켓몬_편집'!$AF110:$AN110,'분류_규칙'!$A$5:$A$76,'분류_규칙'!$M$5:$M$76,0))</x:f>
        <x:v>0</x:v>
      </x:c>
      <x:c r="N110" s="10" t="n">
        <x:f>SUM(XLOOKUP('포켓몬_편집'!$AF110:$AN110,'분류_규칙'!$A$5:$A$76,'분류_규칙'!$N$5:$N$76,0))</x:f>
        <x:v>0</x:v>
      </x:c>
      <x:c r="O110" s="10" t="n">
        <x:f>SUM(XLOOKUP('포켓몬_편집'!$AF110:$AN110,'분류_규칙'!$A$5:$A$76,'분류_규칙'!$O$5:$O$76,0))</x:f>
        <x:v>2</x:v>
      </x:c>
      <x:c r="P110" s="10" t="n">
        <x:f>SUM(XLOOKUP('포켓몬_편집'!$AF110:$AN110,'분류_규칙'!$A$5:$A$76,'분류_규칙'!$P$5:$P$76,0))</x:f>
        <x:v>0</x:v>
      </x:c>
    </x:row>
    <x:row r="111" ht="22" customHeight="1">
      <x:c r="A111" s="5" t="n">
        <x:v>107</x:v>
      </x:c>
      <x:c r="B111" s="5" t="inlineStr">
        <x:is>
          <x:t xml:space="preserve">홍수몬</x:t>
        </x:is>
      </x:c>
      <x:c r="C111" s="5" t="inlineStr">
        <x:is>
          <x:t xml:space="preserve">hitmonchan</x:t>
        </x:is>
      </x:c>
      <x:c r="D111" s="5" t="n">
        <x:v>1</x:v>
      </x:c>
      <x:c r="E111" s="10" t="n">
        <x:f>SUM(XLOOKUP('포켓몬_편집'!$AF111:$AN111,'분류_규칙'!$A$5:$A$76,'분류_규칙'!$E$5:$E$76,0))</x:f>
        <x:v>10</x:v>
      </x:c>
      <x:c r="F111" s="10" t="n">
        <x:f>SUM(XLOOKUP('포켓몬_편집'!$AF111:$AN111,'분류_규칙'!$A$5:$A$76,'분류_규칙'!$F$5:$F$76,0))</x:f>
        <x:v>7</x:v>
      </x:c>
      <x:c r="G111" s="10" t="n">
        <x:f>SUM(XLOOKUP('포켓몬_편집'!$AF111:$AN111,'분류_규칙'!$A$5:$A$76,'분류_규칙'!$G$5:$G$76,0))</x:f>
        <x:v>5</x:v>
      </x:c>
      <x:c r="H111" s="10" t="n">
        <x:f>SUM(XLOOKUP('포켓몬_편집'!$AF111:$AN111,'분류_규칙'!$A$5:$A$76,'분류_규칙'!$H$5:$H$76,0))</x:f>
        <x:v>5</x:v>
      </x:c>
      <x:c r="I111" s="10" t="n">
        <x:f>SUM(XLOOKUP('포켓몬_편집'!$AF111:$AN111,'분류_규칙'!$A$5:$A$76,'분류_규칙'!$I$5:$I$76,0))</x:f>
        <x:v>0</x:v>
      </x:c>
      <x:c r="J111" s="10" t="n">
        <x:f>SUM(XLOOKUP('포켓몬_편집'!$AF111:$AN111,'분류_규칙'!$A$5:$A$76,'분류_규칙'!$J$5:$J$76,0))</x:f>
        <x:v>2</x:v>
      </x:c>
      <x:c r="K111" s="10" t="n">
        <x:f>SUM(XLOOKUP('포켓몬_편집'!$AF111:$AN111,'분류_규칙'!$A$5:$A$76,'분류_규칙'!$K$5:$K$76,0))</x:f>
        <x:v>0</x:v>
      </x:c>
      <x:c r="L111" s="10" t="n">
        <x:f>SUM(XLOOKUP('포켓몬_편집'!$AF111:$AN111,'분류_규칙'!$A$5:$A$76,'분류_규칙'!$L$5:$L$76,0))</x:f>
        <x:v>0</x:v>
      </x:c>
      <x:c r="M111" s="10" t="n">
        <x:f>SUM(XLOOKUP('포켓몬_편집'!$AF111:$AN111,'분류_규칙'!$A$5:$A$76,'분류_규칙'!$M$5:$M$76,0))</x:f>
        <x:v>0</x:v>
      </x:c>
      <x:c r="N111" s="10" t="n">
        <x:f>SUM(XLOOKUP('포켓몬_편집'!$AF111:$AN111,'분류_규칙'!$A$5:$A$76,'분류_규칙'!$N$5:$N$76,0))</x:f>
        <x:v>0</x:v>
      </x:c>
      <x:c r="O111" s="10" t="n">
        <x:f>SUM(XLOOKUP('포켓몬_편집'!$AF111:$AN111,'분류_규칙'!$A$5:$A$76,'분류_규칙'!$O$5:$O$76,0))</x:f>
        <x:v>2</x:v>
      </x:c>
      <x:c r="P111" s="10" t="n">
        <x:f>SUM(XLOOKUP('포켓몬_편집'!$AF111:$AN111,'분류_규칙'!$A$5:$A$76,'분류_규칙'!$P$5:$P$76,0))</x:f>
        <x:v>0</x:v>
      </x:c>
    </x:row>
    <x:row r="112" ht="22" customHeight="1">
      <x:c r="A112" s="5" t="n">
        <x:v>108</x:v>
      </x:c>
      <x:c r="B112" s="5" t="inlineStr">
        <x:is>
          <x:t xml:space="preserve">내루미</x:t>
        </x:is>
      </x:c>
      <x:c r="C112" s="5" t="inlineStr">
        <x:is>
          <x:t xml:space="preserve">lickitung</x:t>
        </x:is>
      </x:c>
      <x:c r="D112" s="5" t="n">
        <x:v>1</x:v>
      </x:c>
      <x:c r="E112" s="10" t="n">
        <x:f>SUM(XLOOKUP('포켓몬_편집'!$AF112:$AN112,'분류_규칙'!$A$5:$A$76,'분류_규칙'!$E$5:$E$76,0))</x:f>
        <x:v>10</x:v>
      </x:c>
      <x:c r="F112" s="10" t="n">
        <x:f>SUM(XLOOKUP('포켓몬_편집'!$AF112:$AN112,'분류_규칙'!$A$5:$A$76,'분류_규칙'!$F$5:$F$76,0))</x:f>
        <x:v>7</x:v>
      </x:c>
      <x:c r="G112" s="10" t="n">
        <x:f>SUM(XLOOKUP('포켓몬_편집'!$AF112:$AN112,'분류_규칙'!$A$5:$A$76,'분류_규칙'!$G$5:$G$76,0))</x:f>
        <x:v>5</x:v>
      </x:c>
      <x:c r="H112" s="10" t="n">
        <x:f>SUM(XLOOKUP('포켓몬_편집'!$AF112:$AN112,'분류_규칙'!$A$5:$A$76,'분류_규칙'!$H$5:$H$76,0))</x:f>
        <x:v>5</x:v>
      </x:c>
      <x:c r="I112" s="10" t="n">
        <x:f>SUM(XLOOKUP('포켓몬_편집'!$AF112:$AN112,'분류_규칙'!$A$5:$A$76,'분류_규칙'!$I$5:$I$76,0))</x:f>
        <x:v>0</x:v>
      </x:c>
      <x:c r="J112" s="10" t="n">
        <x:f>SUM(XLOOKUP('포켓몬_편집'!$AF112:$AN112,'분류_규칙'!$A$5:$A$76,'분류_규칙'!$J$5:$J$76,0))</x:f>
        <x:v>2</x:v>
      </x:c>
      <x:c r="K112" s="10" t="n">
        <x:f>SUM(XLOOKUP('포켓몬_편집'!$AF112:$AN112,'분류_규칙'!$A$5:$A$76,'분류_규칙'!$K$5:$K$76,0))</x:f>
        <x:v>0</x:v>
      </x:c>
      <x:c r="L112" s="10" t="n">
        <x:f>SUM(XLOOKUP('포켓몬_편집'!$AF112:$AN112,'분류_규칙'!$A$5:$A$76,'분류_규칙'!$L$5:$L$76,0))</x:f>
        <x:v>0</x:v>
      </x:c>
      <x:c r="M112" s="10" t="n">
        <x:f>SUM(XLOOKUP('포켓몬_편집'!$AF112:$AN112,'분류_규칙'!$A$5:$A$76,'분류_규칙'!$M$5:$M$76,0))</x:f>
        <x:v>0</x:v>
      </x:c>
      <x:c r="N112" s="10" t="n">
        <x:f>SUM(XLOOKUP('포켓몬_편집'!$AF112:$AN112,'분류_규칙'!$A$5:$A$76,'분류_규칙'!$N$5:$N$76,0))</x:f>
        <x:v>0</x:v>
      </x:c>
      <x:c r="O112" s="10" t="n">
        <x:f>SUM(XLOOKUP('포켓몬_편집'!$AF112:$AN112,'분류_규칙'!$A$5:$A$76,'분류_규칙'!$O$5:$O$76,0))</x:f>
        <x:v>2</x:v>
      </x:c>
      <x:c r="P112" s="10" t="n">
        <x:f>SUM(XLOOKUP('포켓몬_편집'!$AF112:$AN112,'분류_규칙'!$A$5:$A$76,'분류_규칙'!$P$5:$P$76,0))</x:f>
        <x:v>0</x:v>
      </x:c>
    </x:row>
    <x:row r="113" ht="22" customHeight="1">
      <x:c r="A113" s="5" t="n">
        <x:v>109</x:v>
      </x:c>
      <x:c r="B113" s="5" t="inlineStr">
        <x:is>
          <x:t xml:space="preserve">또가스</x:t>
        </x:is>
      </x:c>
      <x:c r="C113" s="5" t="inlineStr">
        <x:is>
          <x:t xml:space="preserve">koffing</x:t>
        </x:is>
      </x:c>
      <x:c r="D113" s="5" t="n">
        <x:v>1</x:v>
      </x:c>
      <x:c r="E113" s="10" t="n">
        <x:f>SUM(XLOOKUP('포켓몬_편집'!$AF113:$AN113,'분류_규칙'!$A$5:$A$76,'분류_규칙'!$E$5:$E$76,0))</x:f>
        <x:v>8</x:v>
      </x:c>
      <x:c r="F113" s="10" t="n">
        <x:f>SUM(XLOOKUP('포켓몬_편집'!$AF113:$AN113,'분류_규칙'!$A$5:$A$76,'분류_규칙'!$F$5:$F$76,0))</x:f>
        <x:v>8</x:v>
      </x:c>
      <x:c r="G113" s="10" t="n">
        <x:f>SUM(XLOOKUP('포켓몬_편집'!$AF113:$AN113,'분류_규칙'!$A$5:$A$76,'분류_규칙'!$G$5:$G$76,0))</x:f>
        <x:v>0</x:v>
      </x:c>
      <x:c r="H113" s="10" t="n">
        <x:f>SUM(XLOOKUP('포켓몬_편집'!$AF113:$AN113,'분류_규칙'!$A$5:$A$76,'분류_규칙'!$H$5:$H$76,0))</x:f>
        <x:v>12</x:v>
      </x:c>
      <x:c r="I113" s="10" t="n">
        <x:f>SUM(XLOOKUP('포켓몬_편집'!$AF113:$AN113,'분류_규칙'!$A$5:$A$76,'분류_규칙'!$I$5:$I$76,0))</x:f>
        <x:v>0</x:v>
      </x:c>
      <x:c r="J113" s="10" t="n">
        <x:f>SUM(XLOOKUP('포켓몬_편집'!$AF113:$AN113,'분류_규칙'!$A$5:$A$76,'분류_규칙'!$J$5:$J$76,0))</x:f>
        <x:v>0</x:v>
      </x:c>
      <x:c r="K113" s="10" t="n">
        <x:f>SUM(XLOOKUP('포켓몬_편집'!$AF113:$AN113,'분류_규칙'!$A$5:$A$76,'분류_규칙'!$K$5:$K$76,0))</x:f>
        <x:v>0</x:v>
      </x:c>
      <x:c r="L113" s="10" t="n">
        <x:f>SUM(XLOOKUP('포켓몬_편집'!$AF113:$AN113,'분류_규칙'!$A$5:$A$76,'분류_규칙'!$L$5:$L$76,0))</x:f>
        <x:v>3</x:v>
      </x:c>
      <x:c r="M113" s="10" t="n">
        <x:f>SUM(XLOOKUP('포켓몬_편집'!$AF113:$AN113,'분류_규칙'!$A$5:$A$76,'분류_규칙'!$M$5:$M$76,0))</x:f>
        <x:v>0</x:v>
      </x:c>
      <x:c r="N113" s="10" t="n">
        <x:f>SUM(XLOOKUP('포켓몬_편집'!$AF113:$AN113,'분류_규칙'!$A$5:$A$76,'분류_규칙'!$N$5:$N$76,0))</x:f>
        <x:v>0</x:v>
      </x:c>
      <x:c r="O113" s="10" t="n">
        <x:f>SUM(XLOOKUP('포켓몬_편집'!$AF113:$AN113,'분류_규칙'!$A$5:$A$76,'분류_규칙'!$O$5:$O$76,0))</x:f>
        <x:v>2</x:v>
      </x:c>
      <x:c r="P113" s="10" t="n">
        <x:f>SUM(XLOOKUP('포켓몬_편집'!$AF113:$AN113,'분류_규칙'!$A$5:$A$76,'분류_규칙'!$P$5:$P$76,0))</x:f>
        <x:v>0</x:v>
      </x:c>
    </x:row>
    <x:row r="114" ht="22" customHeight="1">
      <x:c r="A114" s="5" t="n">
        <x:v>110</x:v>
      </x:c>
      <x:c r="B114" s="5" t="inlineStr">
        <x:is>
          <x:t xml:space="preserve">또도가스</x:t>
        </x:is>
      </x:c>
      <x:c r="C114" s="5" t="inlineStr">
        <x:is>
          <x:t xml:space="preserve">weezing</x:t>
        </x:is>
      </x:c>
      <x:c r="D114" s="5" t="n">
        <x:v>1</x:v>
      </x:c>
      <x:c r="E114" s="10" t="n">
        <x:f>SUM(XLOOKUP('포켓몬_편집'!$AF114:$AN114,'분류_규칙'!$A$5:$A$76,'분류_규칙'!$E$5:$E$76,0))</x:f>
        <x:v>8</x:v>
      </x:c>
      <x:c r="F114" s="10" t="n">
        <x:f>SUM(XLOOKUP('포켓몬_편집'!$AF114:$AN114,'분류_규칙'!$A$5:$A$76,'분류_규칙'!$F$5:$F$76,0))</x:f>
        <x:v>8</x:v>
      </x:c>
      <x:c r="G114" s="10" t="n">
        <x:f>SUM(XLOOKUP('포켓몬_편집'!$AF114:$AN114,'분류_규칙'!$A$5:$A$76,'분류_규칙'!$G$5:$G$76,0))</x:f>
        <x:v>0</x:v>
      </x:c>
      <x:c r="H114" s="10" t="n">
        <x:f>SUM(XLOOKUP('포켓몬_편집'!$AF114:$AN114,'분류_규칙'!$A$5:$A$76,'분류_규칙'!$H$5:$H$76,0))</x:f>
        <x:v>12</x:v>
      </x:c>
      <x:c r="I114" s="10" t="n">
        <x:f>SUM(XLOOKUP('포켓몬_편집'!$AF114:$AN114,'분류_규칙'!$A$5:$A$76,'분류_규칙'!$I$5:$I$76,0))</x:f>
        <x:v>0</x:v>
      </x:c>
      <x:c r="J114" s="10" t="n">
        <x:f>SUM(XLOOKUP('포켓몬_편집'!$AF114:$AN114,'분류_규칙'!$A$5:$A$76,'분류_규칙'!$J$5:$J$76,0))</x:f>
        <x:v>0</x:v>
      </x:c>
      <x:c r="K114" s="10" t="n">
        <x:f>SUM(XLOOKUP('포켓몬_편집'!$AF114:$AN114,'분류_규칙'!$A$5:$A$76,'분류_규칙'!$K$5:$K$76,0))</x:f>
        <x:v>0</x:v>
      </x:c>
      <x:c r="L114" s="10" t="n">
        <x:f>SUM(XLOOKUP('포켓몬_편집'!$AF114:$AN114,'분류_규칙'!$A$5:$A$76,'분류_규칙'!$L$5:$L$76,0))</x:f>
        <x:v>3</x:v>
      </x:c>
      <x:c r="M114" s="10" t="n">
        <x:f>SUM(XLOOKUP('포켓몬_편집'!$AF114:$AN114,'분류_규칙'!$A$5:$A$76,'분류_규칙'!$M$5:$M$76,0))</x:f>
        <x:v>0</x:v>
      </x:c>
      <x:c r="N114" s="10" t="n">
        <x:f>SUM(XLOOKUP('포켓몬_편집'!$AF114:$AN114,'분류_규칙'!$A$5:$A$76,'분류_규칙'!$N$5:$N$76,0))</x:f>
        <x:v>0</x:v>
      </x:c>
      <x:c r="O114" s="10" t="n">
        <x:f>SUM(XLOOKUP('포켓몬_편집'!$AF114:$AN114,'분류_규칙'!$A$5:$A$76,'분류_규칙'!$O$5:$O$76,0))</x:f>
        <x:v>2</x:v>
      </x:c>
      <x:c r="P114" s="10" t="n">
        <x:f>SUM(XLOOKUP('포켓몬_편집'!$AF114:$AN114,'분류_규칙'!$A$5:$A$76,'분류_규칙'!$P$5:$P$76,0))</x:f>
        <x:v>0</x:v>
      </x:c>
    </x:row>
    <x:row r="115" ht="22" customHeight="1">
      <x:c r="A115" s="5" t="n">
        <x:v>111</x:v>
      </x:c>
      <x:c r="B115" s="5" t="inlineStr">
        <x:is>
          <x:t xml:space="preserve">뿔카노</x:t>
        </x:is>
      </x:c>
      <x:c r="C115" s="5" t="inlineStr">
        <x:is>
          <x:t xml:space="preserve">rhyhorn</x:t>
        </x:is>
      </x:c>
      <x:c r="D115" s="5" t="n">
        <x:v>1</x:v>
      </x:c>
      <x:c r="E115" s="10" t="n">
        <x:f>SUM(XLOOKUP('포켓몬_편집'!$AF115:$AN115,'분류_규칙'!$A$5:$A$76,'분류_규칙'!$E$5:$E$76,0))</x:f>
        <x:v>10</x:v>
      </x:c>
      <x:c r="F115" s="10" t="n">
        <x:f>SUM(XLOOKUP('포켓몬_편집'!$AF115:$AN115,'분류_규칙'!$A$5:$A$76,'분류_규칙'!$F$5:$F$76,0))</x:f>
        <x:v>7</x:v>
      </x:c>
      <x:c r="G115" s="10" t="n">
        <x:f>SUM(XLOOKUP('포켓몬_편집'!$AF115:$AN115,'분류_규칙'!$A$5:$A$76,'분류_규칙'!$G$5:$G$76,0))</x:f>
        <x:v>5</x:v>
      </x:c>
      <x:c r="H115" s="10" t="n">
        <x:f>SUM(XLOOKUP('포켓몬_편집'!$AF115:$AN115,'분류_규칙'!$A$5:$A$76,'분류_규칙'!$H$5:$H$76,0))</x:f>
        <x:v>5</x:v>
      </x:c>
      <x:c r="I115" s="10" t="n">
        <x:f>SUM(XLOOKUP('포켓몬_편집'!$AF115:$AN115,'분류_규칙'!$A$5:$A$76,'분류_규칙'!$I$5:$I$76,0))</x:f>
        <x:v>0</x:v>
      </x:c>
      <x:c r="J115" s="10" t="n">
        <x:f>SUM(XLOOKUP('포켓몬_편집'!$AF115:$AN115,'분류_규칙'!$A$5:$A$76,'분류_규칙'!$J$5:$J$76,0))</x:f>
        <x:v>2</x:v>
      </x:c>
      <x:c r="K115" s="10" t="n">
        <x:f>SUM(XLOOKUP('포켓몬_편집'!$AF115:$AN115,'분류_규칙'!$A$5:$A$76,'분류_규칙'!$K$5:$K$76,0))</x:f>
        <x:v>0</x:v>
      </x:c>
      <x:c r="L115" s="10" t="n">
        <x:f>SUM(XLOOKUP('포켓몬_편집'!$AF115:$AN115,'분류_규칙'!$A$5:$A$76,'분류_규칙'!$L$5:$L$76,0))</x:f>
        <x:v>0</x:v>
      </x:c>
      <x:c r="M115" s="10" t="n">
        <x:f>SUM(XLOOKUP('포켓몬_편집'!$AF115:$AN115,'분류_규칙'!$A$5:$A$76,'분류_규칙'!$M$5:$M$76,0))</x:f>
        <x:v>0</x:v>
      </x:c>
      <x:c r="N115" s="10" t="n">
        <x:f>SUM(XLOOKUP('포켓몬_편집'!$AF115:$AN115,'분류_규칙'!$A$5:$A$76,'분류_규칙'!$N$5:$N$76,0))</x:f>
        <x:v>0</x:v>
      </x:c>
      <x:c r="O115" s="10" t="n">
        <x:f>SUM(XLOOKUP('포켓몬_편집'!$AF115:$AN115,'분류_규칙'!$A$5:$A$76,'분류_규칙'!$O$5:$O$76,0))</x:f>
        <x:v>2</x:v>
      </x:c>
      <x:c r="P115" s="10" t="n">
        <x:f>SUM(XLOOKUP('포켓몬_편집'!$AF115:$AN115,'분류_규칙'!$A$5:$A$76,'분류_규칙'!$P$5:$P$76,0))</x:f>
        <x:v>0</x:v>
      </x:c>
    </x:row>
    <x:row r="116" ht="22" customHeight="1">
      <x:c r="A116" s="5" t="n">
        <x:v>112</x:v>
      </x:c>
      <x:c r="B116" s="5" t="inlineStr">
        <x:is>
          <x:t xml:space="preserve">코뿌리</x:t>
        </x:is>
      </x:c>
      <x:c r="C116" s="5" t="inlineStr">
        <x:is>
          <x:t xml:space="preserve">rhydon</x:t>
        </x:is>
      </x:c>
      <x:c r="D116" s="5" t="n">
        <x:v>1</x:v>
      </x:c>
      <x:c r="E116" s="10" t="n">
        <x:f>SUM(XLOOKUP('포켓몬_편집'!$AF116:$AN116,'분류_규칙'!$A$5:$A$76,'분류_규칙'!$E$5:$E$76,0))</x:f>
        <x:v>10</x:v>
      </x:c>
      <x:c r="F116" s="10" t="n">
        <x:f>SUM(XLOOKUP('포켓몬_편집'!$AF116:$AN116,'분류_규칙'!$A$5:$A$76,'분류_규칙'!$F$5:$F$76,0))</x:f>
        <x:v>7</x:v>
      </x:c>
      <x:c r="G116" s="10" t="n">
        <x:f>SUM(XLOOKUP('포켓몬_편집'!$AF116:$AN116,'분류_규칙'!$A$5:$A$76,'분류_규칙'!$G$5:$G$76,0))</x:f>
        <x:v>5</x:v>
      </x:c>
      <x:c r="H116" s="10" t="n">
        <x:f>SUM(XLOOKUP('포켓몬_편집'!$AF116:$AN116,'분류_규칙'!$A$5:$A$76,'분류_규칙'!$H$5:$H$76,0))</x:f>
        <x:v>5</x:v>
      </x:c>
      <x:c r="I116" s="10" t="n">
        <x:f>SUM(XLOOKUP('포켓몬_편집'!$AF116:$AN116,'분류_규칙'!$A$5:$A$76,'분류_규칙'!$I$5:$I$76,0))</x:f>
        <x:v>0</x:v>
      </x:c>
      <x:c r="J116" s="10" t="n">
        <x:f>SUM(XLOOKUP('포켓몬_편집'!$AF116:$AN116,'분류_규칙'!$A$5:$A$76,'분류_규칙'!$J$5:$J$76,0))</x:f>
        <x:v>2</x:v>
      </x:c>
      <x:c r="K116" s="10" t="n">
        <x:f>SUM(XLOOKUP('포켓몬_편집'!$AF116:$AN116,'분류_규칙'!$A$5:$A$76,'분류_규칙'!$K$5:$K$76,0))</x:f>
        <x:v>0</x:v>
      </x:c>
      <x:c r="L116" s="10" t="n">
        <x:f>SUM(XLOOKUP('포켓몬_편집'!$AF116:$AN116,'분류_규칙'!$A$5:$A$76,'분류_규칙'!$L$5:$L$76,0))</x:f>
        <x:v>0</x:v>
      </x:c>
      <x:c r="M116" s="10" t="n">
        <x:f>SUM(XLOOKUP('포켓몬_편집'!$AF116:$AN116,'분류_규칙'!$A$5:$A$76,'분류_규칙'!$M$5:$M$76,0))</x:f>
        <x:v>0</x:v>
      </x:c>
      <x:c r="N116" s="10" t="n">
        <x:f>SUM(XLOOKUP('포켓몬_편집'!$AF116:$AN116,'분류_규칙'!$A$5:$A$76,'분류_규칙'!$N$5:$N$76,0))</x:f>
        <x:v>0</x:v>
      </x:c>
      <x:c r="O116" s="10" t="n">
        <x:f>SUM(XLOOKUP('포켓몬_편집'!$AF116:$AN116,'분류_규칙'!$A$5:$A$76,'분류_규칙'!$O$5:$O$76,0))</x:f>
        <x:v>2</x:v>
      </x:c>
      <x:c r="P116" s="10" t="n">
        <x:f>SUM(XLOOKUP('포켓몬_편집'!$AF116:$AN116,'분류_규칙'!$A$5:$A$76,'분류_규칙'!$P$5:$P$76,0))</x:f>
        <x:v>0</x:v>
      </x:c>
    </x:row>
    <x:row r="117" ht="22" customHeight="1">
      <x:c r="A117" s="5" t="n">
        <x:v>113</x:v>
      </x:c>
      <x:c r="B117" s="5" t="inlineStr">
        <x:is>
          <x:t xml:space="preserve">럭키</x:t>
        </x:is>
      </x:c>
      <x:c r="C117" s="5" t="inlineStr">
        <x:is>
          <x:t xml:space="preserve">chansey</x:t>
        </x:is>
      </x:c>
      <x:c r="D117" s="5" t="n">
        <x:v>1</x:v>
      </x:c>
      <x:c r="E117" s="10" t="n">
        <x:f>SUM(XLOOKUP('포켓몬_편집'!$AF117:$AN117,'분류_규칙'!$A$5:$A$76,'분류_규칙'!$E$5:$E$76,0))</x:f>
        <x:v>10</x:v>
      </x:c>
      <x:c r="F117" s="10" t="n">
        <x:f>SUM(XLOOKUP('포켓몬_편집'!$AF117:$AN117,'분류_규칙'!$A$5:$A$76,'분류_규칙'!$F$5:$F$76,0))</x:f>
        <x:v>7</x:v>
      </x:c>
      <x:c r="G117" s="10" t="n">
        <x:f>SUM(XLOOKUP('포켓몬_편집'!$AF117:$AN117,'분류_규칙'!$A$5:$A$76,'분류_규칙'!$G$5:$G$76,0))</x:f>
        <x:v>5</x:v>
      </x:c>
      <x:c r="H117" s="10" t="n">
        <x:f>SUM(XLOOKUP('포켓몬_편집'!$AF117:$AN117,'분류_규칙'!$A$5:$A$76,'분류_규칙'!$H$5:$H$76,0))</x:f>
        <x:v>5</x:v>
      </x:c>
      <x:c r="I117" s="10" t="n">
        <x:f>SUM(XLOOKUP('포켓몬_편집'!$AF117:$AN117,'분류_규칙'!$A$5:$A$76,'분류_규칙'!$I$5:$I$76,0))</x:f>
        <x:v>0</x:v>
      </x:c>
      <x:c r="J117" s="10" t="n">
        <x:f>SUM(XLOOKUP('포켓몬_편집'!$AF117:$AN117,'분류_규칙'!$A$5:$A$76,'분류_규칙'!$J$5:$J$76,0))</x:f>
        <x:v>2</x:v>
      </x:c>
      <x:c r="K117" s="10" t="n">
        <x:f>SUM(XLOOKUP('포켓몬_편집'!$AF117:$AN117,'분류_규칙'!$A$5:$A$76,'분류_규칙'!$K$5:$K$76,0))</x:f>
        <x:v>0</x:v>
      </x:c>
      <x:c r="L117" s="10" t="n">
        <x:f>SUM(XLOOKUP('포켓몬_편집'!$AF117:$AN117,'분류_규칙'!$A$5:$A$76,'분류_규칙'!$L$5:$L$76,0))</x:f>
        <x:v>0</x:v>
      </x:c>
      <x:c r="M117" s="10" t="n">
        <x:f>SUM(XLOOKUP('포켓몬_편집'!$AF117:$AN117,'분류_규칙'!$A$5:$A$76,'분류_규칙'!$M$5:$M$76,0))</x:f>
        <x:v>0</x:v>
      </x:c>
      <x:c r="N117" s="10" t="n">
        <x:f>SUM(XLOOKUP('포켓몬_편집'!$AF117:$AN117,'분류_규칙'!$A$5:$A$76,'분류_규칙'!$N$5:$N$76,0))</x:f>
        <x:v>0</x:v>
      </x:c>
      <x:c r="O117" s="10" t="n">
        <x:f>SUM(XLOOKUP('포켓몬_편집'!$AF117:$AN117,'분류_규칙'!$A$5:$A$76,'분류_규칙'!$O$5:$O$76,0))</x:f>
        <x:v>2</x:v>
      </x:c>
      <x:c r="P117" s="10" t="n">
        <x:f>SUM(XLOOKUP('포켓몬_편집'!$AF117:$AN117,'분류_규칙'!$A$5:$A$76,'분류_규칙'!$P$5:$P$76,0))</x:f>
        <x:v>0</x:v>
      </x:c>
    </x:row>
    <x:row r="118" ht="22" customHeight="1">
      <x:c r="A118" s="5" t="n">
        <x:v>114</x:v>
      </x:c>
      <x:c r="B118" s="5" t="inlineStr">
        <x:is>
          <x:t xml:space="preserve">덩쿠리</x:t>
        </x:is>
      </x:c>
      <x:c r="C118" s="5" t="inlineStr">
        <x:is>
          <x:t xml:space="preserve">tangela</x:t>
        </x:is>
      </x:c>
      <x:c r="D118" s="5" t="n">
        <x:v>1</x:v>
      </x:c>
      <x:c r="E118" s="10" t="n">
        <x:f>SUM(XLOOKUP('포켓몬_편집'!$AF118:$AN118,'분류_규칙'!$A$5:$A$76,'분류_규칙'!$E$5:$E$76,0))</x:f>
        <x:v>10</x:v>
      </x:c>
      <x:c r="F118" s="10" t="n">
        <x:f>SUM(XLOOKUP('포켓몬_편집'!$AF118:$AN118,'분류_규칙'!$A$5:$A$76,'분류_규칙'!$F$5:$F$76,0))</x:f>
        <x:v>7</x:v>
      </x:c>
      <x:c r="G118" s="10" t="n">
        <x:f>SUM(XLOOKUP('포켓몬_편집'!$AF118:$AN118,'분류_규칙'!$A$5:$A$76,'분류_규칙'!$G$5:$G$76,0))</x:f>
        <x:v>5</x:v>
      </x:c>
      <x:c r="H118" s="10" t="n">
        <x:f>SUM(XLOOKUP('포켓몬_편집'!$AF118:$AN118,'분류_규칙'!$A$5:$A$76,'분류_규칙'!$H$5:$H$76,0))</x:f>
        <x:v>5</x:v>
      </x:c>
      <x:c r="I118" s="10" t="n">
        <x:f>SUM(XLOOKUP('포켓몬_편집'!$AF118:$AN118,'분류_규칙'!$A$5:$A$76,'분류_규칙'!$I$5:$I$76,0))</x:f>
        <x:v>0</x:v>
      </x:c>
      <x:c r="J118" s="10" t="n">
        <x:f>SUM(XLOOKUP('포켓몬_편집'!$AF118:$AN118,'분류_규칙'!$A$5:$A$76,'분류_규칙'!$J$5:$J$76,0))</x:f>
        <x:v>2</x:v>
      </x:c>
      <x:c r="K118" s="10" t="n">
        <x:f>SUM(XLOOKUP('포켓몬_편집'!$AF118:$AN118,'분류_규칙'!$A$5:$A$76,'분류_규칙'!$K$5:$K$76,0))</x:f>
        <x:v>0</x:v>
      </x:c>
      <x:c r="L118" s="10" t="n">
        <x:f>SUM(XLOOKUP('포켓몬_편집'!$AF118:$AN118,'분류_규칙'!$A$5:$A$76,'분류_규칙'!$L$5:$L$76,0))</x:f>
        <x:v>0</x:v>
      </x:c>
      <x:c r="M118" s="10" t="n">
        <x:f>SUM(XLOOKUP('포켓몬_편집'!$AF118:$AN118,'분류_규칙'!$A$5:$A$76,'분류_규칙'!$M$5:$M$76,0))</x:f>
        <x:v>0</x:v>
      </x:c>
      <x:c r="N118" s="10" t="n">
        <x:f>SUM(XLOOKUP('포켓몬_편집'!$AF118:$AN118,'분류_규칙'!$A$5:$A$76,'분류_규칙'!$N$5:$N$76,0))</x:f>
        <x:v>0</x:v>
      </x:c>
      <x:c r="O118" s="10" t="n">
        <x:f>SUM(XLOOKUP('포켓몬_편집'!$AF118:$AN118,'분류_규칙'!$A$5:$A$76,'분류_규칙'!$O$5:$O$76,0))</x:f>
        <x:v>2</x:v>
      </x:c>
      <x:c r="P118" s="10" t="n">
        <x:f>SUM(XLOOKUP('포켓몬_편집'!$AF118:$AN118,'분류_규칙'!$A$5:$A$76,'분류_규칙'!$P$5:$P$76,0))</x:f>
        <x:v>0</x:v>
      </x:c>
    </x:row>
    <x:row r="119" ht="22" customHeight="1">
      <x:c r="A119" s="5" t="n">
        <x:v>115</x:v>
      </x:c>
      <x:c r="B119" s="5" t="inlineStr">
        <x:is>
          <x:t xml:space="preserve">캥카</x:t>
        </x:is>
      </x:c>
      <x:c r="C119" s="5" t="inlineStr">
        <x:is>
          <x:t xml:space="preserve">kangaskhan</x:t>
        </x:is>
      </x:c>
      <x:c r="D119" s="5" t="n">
        <x:v>1</x:v>
      </x:c>
      <x:c r="E119" s="10" t="n">
        <x:f>SUM(XLOOKUP('포켓몬_편집'!$AF119:$AN119,'분류_규칙'!$A$5:$A$76,'분류_규칙'!$E$5:$E$76,0))</x:f>
        <x:v>10</x:v>
      </x:c>
      <x:c r="F119" s="10" t="n">
        <x:f>SUM(XLOOKUP('포켓몬_편집'!$AF119:$AN119,'분류_규칙'!$A$5:$A$76,'분류_규칙'!$F$5:$F$76,0))</x:f>
        <x:v>7</x:v>
      </x:c>
      <x:c r="G119" s="10" t="n">
        <x:f>SUM(XLOOKUP('포켓몬_편집'!$AF119:$AN119,'분류_규칙'!$A$5:$A$76,'분류_규칙'!$G$5:$G$76,0))</x:f>
        <x:v>5</x:v>
      </x:c>
      <x:c r="H119" s="10" t="n">
        <x:f>SUM(XLOOKUP('포켓몬_편집'!$AF119:$AN119,'분류_규칙'!$A$5:$A$76,'분류_규칙'!$H$5:$H$76,0))</x:f>
        <x:v>5</x:v>
      </x:c>
      <x:c r="I119" s="10" t="n">
        <x:f>SUM(XLOOKUP('포켓몬_편집'!$AF119:$AN119,'분류_규칙'!$A$5:$A$76,'분류_규칙'!$I$5:$I$76,0))</x:f>
        <x:v>0</x:v>
      </x:c>
      <x:c r="J119" s="10" t="n">
        <x:f>SUM(XLOOKUP('포켓몬_편집'!$AF119:$AN119,'분류_규칙'!$A$5:$A$76,'분류_규칙'!$J$5:$J$76,0))</x:f>
        <x:v>2</x:v>
      </x:c>
      <x:c r="K119" s="10" t="n">
        <x:f>SUM(XLOOKUP('포켓몬_편집'!$AF119:$AN119,'분류_규칙'!$A$5:$A$76,'분류_규칙'!$K$5:$K$76,0))</x:f>
        <x:v>0</x:v>
      </x:c>
      <x:c r="L119" s="10" t="n">
        <x:f>SUM(XLOOKUP('포켓몬_편집'!$AF119:$AN119,'분류_규칙'!$A$5:$A$76,'분류_규칙'!$L$5:$L$76,0))</x:f>
        <x:v>0</x:v>
      </x:c>
      <x:c r="M119" s="10" t="n">
        <x:f>SUM(XLOOKUP('포켓몬_편집'!$AF119:$AN119,'분류_규칙'!$A$5:$A$76,'분류_규칙'!$M$5:$M$76,0))</x:f>
        <x:v>0</x:v>
      </x:c>
      <x:c r="N119" s="10" t="n">
        <x:f>SUM(XLOOKUP('포켓몬_편집'!$AF119:$AN119,'분류_규칙'!$A$5:$A$76,'분류_규칙'!$N$5:$N$76,0))</x:f>
        <x:v>0</x:v>
      </x:c>
      <x:c r="O119" s="10" t="n">
        <x:f>SUM(XLOOKUP('포켓몬_편집'!$AF119:$AN119,'분류_규칙'!$A$5:$A$76,'분류_규칙'!$O$5:$O$76,0))</x:f>
        <x:v>2</x:v>
      </x:c>
      <x:c r="P119" s="10" t="n">
        <x:f>SUM(XLOOKUP('포켓몬_편집'!$AF119:$AN119,'분류_규칙'!$A$5:$A$76,'분류_규칙'!$P$5:$P$76,0))</x:f>
        <x:v>0</x:v>
      </x:c>
    </x:row>
    <x:row r="120" ht="22" customHeight="1">
      <x:c r="A120" s="5" t="n">
        <x:v>116</x:v>
      </x:c>
      <x:c r="B120" s="5" t="inlineStr">
        <x:is>
          <x:t xml:space="preserve">쏘드라</x:t>
        </x:is>
      </x:c>
      <x:c r="C120" s="5" t="inlineStr">
        <x:is>
          <x:t xml:space="preserve">horsea</x:t>
        </x:is>
      </x:c>
      <x:c r="D120" s="5" t="n">
        <x:v>1</x:v>
      </x:c>
      <x:c r="E120" s="10" t="n">
        <x:f>SUM(XLOOKUP('포켓몬_편집'!$AF120:$AN120,'분류_규칙'!$A$5:$A$76,'분류_규칙'!$E$5:$E$76,0))</x:f>
        <x:v>0</x:v>
      </x:c>
      <x:c r="F120" s="10" t="n">
        <x:f>SUM(XLOOKUP('포켓몬_편집'!$AF120:$AN120,'분류_규칙'!$A$5:$A$76,'분류_규칙'!$F$5:$F$76,0))</x:f>
        <x:v>0</x:v>
      </x:c>
      <x:c r="G120" s="10" t="n">
        <x:f>SUM(XLOOKUP('포켓몬_편집'!$AF120:$AN120,'분류_규칙'!$A$5:$A$76,'분류_규칙'!$G$5:$G$76,0))</x:f>
        <x:v>0</x:v>
      </x:c>
      <x:c r="H120" s="10" t="n">
        <x:f>SUM(XLOOKUP('포켓몬_편집'!$AF120:$AN120,'분류_규칙'!$A$5:$A$76,'분류_규칙'!$H$5:$H$76,0))</x:f>
        <x:v>0</x:v>
      </x:c>
      <x:c r="I120" s="10" t="n">
        <x:f>SUM(XLOOKUP('포켓몬_편집'!$AF120:$AN120,'분류_규칙'!$A$5:$A$76,'분류_규칙'!$I$5:$I$76,0))</x:f>
        <x:v>0</x:v>
      </x:c>
      <x:c r="J120" s="10" t="n">
        <x:f>SUM(XLOOKUP('포켓몬_편집'!$AF120:$AN120,'분류_규칙'!$A$5:$A$76,'분류_규칙'!$J$5:$J$76,0))</x:f>
        <x:v>3</x:v>
      </x:c>
      <x:c r="K120" s="10" t="n">
        <x:f>SUM(XLOOKUP('포켓몬_편집'!$AF120:$AN120,'분류_규칙'!$A$5:$A$76,'분류_규칙'!$K$5:$K$76,0))</x:f>
        <x:v>0</x:v>
      </x:c>
      <x:c r="L120" s="10" t="n">
        <x:f>SUM(XLOOKUP('포켓몬_편집'!$AF120:$AN120,'분류_규칙'!$A$5:$A$76,'분류_규칙'!$L$5:$L$76,0))</x:f>
        <x:v>30</x:v>
      </x:c>
      <x:c r="M120" s="10" t="n">
        <x:f>SUM(XLOOKUP('포켓몬_편집'!$AF120:$AN120,'분류_규칙'!$A$5:$A$76,'분류_규칙'!$M$5:$M$76,0))</x:f>
        <x:v>0</x:v>
      </x:c>
      <x:c r="N120" s="10" t="n">
        <x:f>SUM(XLOOKUP('포켓몬_편집'!$AF120:$AN120,'분류_규칙'!$A$5:$A$76,'분류_규칙'!$N$5:$N$76,0))</x:f>
        <x:v>0</x:v>
      </x:c>
      <x:c r="O120" s="10" t="n">
        <x:f>SUM(XLOOKUP('포켓몬_편집'!$AF120:$AN120,'분류_규칙'!$A$5:$A$76,'분류_규칙'!$O$5:$O$76,0))</x:f>
        <x:v>0</x:v>
      </x:c>
      <x:c r="P120" s="10" t="n">
        <x:f>SUM(XLOOKUP('포켓몬_편집'!$AF120:$AN120,'분류_규칙'!$A$5:$A$76,'분류_규칙'!$P$5:$P$76,0))</x:f>
        <x:v>0</x:v>
      </x:c>
    </x:row>
    <x:row r="121" ht="22" customHeight="1">
      <x:c r="A121" s="5" t="n">
        <x:v>117</x:v>
      </x:c>
      <x:c r="B121" s="5" t="inlineStr">
        <x:is>
          <x:t xml:space="preserve">시드라</x:t>
        </x:is>
      </x:c>
      <x:c r="C121" s="5" t="inlineStr">
        <x:is>
          <x:t xml:space="preserve">seadra</x:t>
        </x:is>
      </x:c>
      <x:c r="D121" s="5" t="n">
        <x:v>1</x:v>
      </x:c>
      <x:c r="E121" s="10" t="n">
        <x:f>SUM(XLOOKUP('포켓몬_편집'!$AF121:$AN121,'분류_규칙'!$A$5:$A$76,'분류_규칙'!$E$5:$E$76,0))</x:f>
        <x:v>0</x:v>
      </x:c>
      <x:c r="F121" s="10" t="n">
        <x:f>SUM(XLOOKUP('포켓몬_편집'!$AF121:$AN121,'분류_규칙'!$A$5:$A$76,'분류_규칙'!$F$5:$F$76,0))</x:f>
        <x:v>0</x:v>
      </x:c>
      <x:c r="G121" s="10" t="n">
        <x:f>SUM(XLOOKUP('포켓몬_편집'!$AF121:$AN121,'분류_규칙'!$A$5:$A$76,'분류_규칙'!$G$5:$G$76,0))</x:f>
        <x:v>0</x:v>
      </x:c>
      <x:c r="H121" s="10" t="n">
        <x:f>SUM(XLOOKUP('포켓몬_편집'!$AF121:$AN121,'분류_규칙'!$A$5:$A$76,'분류_규칙'!$H$5:$H$76,0))</x:f>
        <x:v>0</x:v>
      </x:c>
      <x:c r="I121" s="10" t="n">
        <x:f>SUM(XLOOKUP('포켓몬_편집'!$AF121:$AN121,'분류_규칙'!$A$5:$A$76,'분류_규칙'!$I$5:$I$76,0))</x:f>
        <x:v>0</x:v>
      </x:c>
      <x:c r="J121" s="10" t="n">
        <x:f>SUM(XLOOKUP('포켓몬_편집'!$AF121:$AN121,'분류_규칙'!$A$5:$A$76,'분류_규칙'!$J$5:$J$76,0))</x:f>
        <x:v>3</x:v>
      </x:c>
      <x:c r="K121" s="10" t="n">
        <x:f>SUM(XLOOKUP('포켓몬_편집'!$AF121:$AN121,'분류_규칙'!$A$5:$A$76,'분류_규칙'!$K$5:$K$76,0))</x:f>
        <x:v>0</x:v>
      </x:c>
      <x:c r="L121" s="10" t="n">
        <x:f>SUM(XLOOKUP('포켓몬_편집'!$AF121:$AN121,'분류_규칙'!$A$5:$A$76,'분류_규칙'!$L$5:$L$76,0))</x:f>
        <x:v>30</x:v>
      </x:c>
      <x:c r="M121" s="10" t="n">
        <x:f>SUM(XLOOKUP('포켓몬_편집'!$AF121:$AN121,'분류_규칙'!$A$5:$A$76,'분류_규칙'!$M$5:$M$76,0))</x:f>
        <x:v>0</x:v>
      </x:c>
      <x:c r="N121" s="10" t="n">
        <x:f>SUM(XLOOKUP('포켓몬_편집'!$AF121:$AN121,'분류_규칙'!$A$5:$A$76,'분류_규칙'!$N$5:$N$76,0))</x:f>
        <x:v>0</x:v>
      </x:c>
      <x:c r="O121" s="10" t="n">
        <x:f>SUM(XLOOKUP('포켓몬_편집'!$AF121:$AN121,'분류_규칙'!$A$5:$A$76,'분류_규칙'!$O$5:$O$76,0))</x:f>
        <x:v>0</x:v>
      </x:c>
      <x:c r="P121" s="10" t="n">
        <x:f>SUM(XLOOKUP('포켓몬_편집'!$AF121:$AN121,'분류_규칙'!$A$5:$A$76,'분류_규칙'!$P$5:$P$76,0))</x:f>
        <x:v>0</x:v>
      </x:c>
    </x:row>
    <x:row r="122" ht="22" customHeight="1">
      <x:c r="A122" s="5" t="n">
        <x:v>118</x:v>
      </x:c>
      <x:c r="B122" s="5" t="inlineStr">
        <x:is>
          <x:t xml:space="preserve">콘치</x:t>
        </x:is>
      </x:c>
      <x:c r="C122" s="5" t="inlineStr">
        <x:is>
          <x:t xml:space="preserve">goldeen</x:t>
        </x:is>
      </x:c>
      <x:c r="D122" s="5" t="n">
        <x:v>1</x:v>
      </x:c>
      <x:c r="E122" s="10" t="n">
        <x:f>SUM(XLOOKUP('포켓몬_편집'!$AF122:$AN122,'분류_규칙'!$A$5:$A$76,'분류_규칙'!$E$5:$E$76,0))</x:f>
        <x:v>0</x:v>
      </x:c>
      <x:c r="F122" s="10" t="n">
        <x:f>SUM(XLOOKUP('포켓몬_편집'!$AF122:$AN122,'분류_규칙'!$A$5:$A$76,'분류_규칙'!$F$5:$F$76,0))</x:f>
        <x:v>0</x:v>
      </x:c>
      <x:c r="G122" s="10" t="n">
        <x:f>SUM(XLOOKUP('포켓몬_편집'!$AF122:$AN122,'분류_규칙'!$A$5:$A$76,'분류_규칙'!$G$5:$G$76,0))</x:f>
        <x:v>0</x:v>
      </x:c>
      <x:c r="H122" s="10" t="n">
        <x:f>SUM(XLOOKUP('포켓몬_편집'!$AF122:$AN122,'분류_규칙'!$A$5:$A$76,'분류_규칙'!$H$5:$H$76,0))</x:f>
        <x:v>0</x:v>
      </x:c>
      <x:c r="I122" s="10" t="n">
        <x:f>SUM(XLOOKUP('포켓몬_편집'!$AF122:$AN122,'분류_규칙'!$A$5:$A$76,'분류_규칙'!$I$5:$I$76,0))</x:f>
        <x:v>0</x:v>
      </x:c>
      <x:c r="J122" s="10" t="n">
        <x:f>SUM(XLOOKUP('포켓몬_편집'!$AF122:$AN122,'분류_규칙'!$A$5:$A$76,'분류_규칙'!$J$5:$J$76,0))</x:f>
        <x:v>12</x:v>
      </x:c>
      <x:c r="K122" s="10" t="n">
        <x:f>SUM(XLOOKUP('포켓몬_편집'!$AF122:$AN122,'분류_규칙'!$A$5:$A$76,'분류_규칙'!$K$5:$K$76,0))</x:f>
        <x:v>30</x:v>
      </x:c>
      <x:c r="L122" s="10" t="n">
        <x:f>SUM(XLOOKUP('포켓몬_편집'!$AF122:$AN122,'분류_규칙'!$A$5:$A$76,'분류_규칙'!$L$5:$L$76,0))</x:f>
        <x:v>0</x:v>
      </x:c>
      <x:c r="M122" s="10" t="n">
        <x:f>SUM(XLOOKUP('포켓몬_편집'!$AF122:$AN122,'분류_규칙'!$A$5:$A$76,'분류_규칙'!$M$5:$M$76,0))</x:f>
        <x:v>0</x:v>
      </x:c>
      <x:c r="N122" s="10" t="n">
        <x:f>SUM(XLOOKUP('포켓몬_편집'!$AF122:$AN122,'분류_규칙'!$A$5:$A$76,'분류_규칙'!$N$5:$N$76,0))</x:f>
        <x:v>0</x:v>
      </x:c>
      <x:c r="O122" s="10" t="n">
        <x:f>SUM(XLOOKUP('포켓몬_편집'!$AF122:$AN122,'분류_규칙'!$A$5:$A$76,'분류_규칙'!$O$5:$O$76,0))</x:f>
        <x:v>0</x:v>
      </x:c>
      <x:c r="P122" s="10" t="n">
        <x:f>SUM(XLOOKUP('포켓몬_편집'!$AF122:$AN122,'분류_규칙'!$A$5:$A$76,'분류_규칙'!$P$5:$P$76,0))</x:f>
        <x:v>0</x:v>
      </x:c>
    </x:row>
    <x:row r="123" ht="22" customHeight="1">
      <x:c r="A123" s="5" t="n">
        <x:v>119</x:v>
      </x:c>
      <x:c r="B123" s="5" t="inlineStr">
        <x:is>
          <x:t xml:space="preserve">왕콘치</x:t>
        </x:is>
      </x:c>
      <x:c r="C123" s="5" t="inlineStr">
        <x:is>
          <x:t xml:space="preserve">seaking</x:t>
        </x:is>
      </x:c>
      <x:c r="D123" s="5" t="n">
        <x:v>1</x:v>
      </x:c>
      <x:c r="E123" s="10" t="n">
        <x:f>SUM(XLOOKUP('포켓몬_편집'!$AF123:$AN123,'분류_규칙'!$A$5:$A$76,'분류_규칙'!$E$5:$E$76,0))</x:f>
        <x:v>0</x:v>
      </x:c>
      <x:c r="F123" s="10" t="n">
        <x:f>SUM(XLOOKUP('포켓몬_편집'!$AF123:$AN123,'분류_규칙'!$A$5:$A$76,'분류_규칙'!$F$5:$F$76,0))</x:f>
        <x:v>0</x:v>
      </x:c>
      <x:c r="G123" s="10" t="n">
        <x:f>SUM(XLOOKUP('포켓몬_편집'!$AF123:$AN123,'분류_규칙'!$A$5:$A$76,'분류_규칙'!$G$5:$G$76,0))</x:f>
        <x:v>0</x:v>
      </x:c>
      <x:c r="H123" s="10" t="n">
        <x:f>SUM(XLOOKUP('포켓몬_편집'!$AF123:$AN123,'분류_규칙'!$A$5:$A$76,'분류_규칙'!$H$5:$H$76,0))</x:f>
        <x:v>0</x:v>
      </x:c>
      <x:c r="I123" s="10" t="n">
        <x:f>SUM(XLOOKUP('포켓몬_편집'!$AF123:$AN123,'분류_규칙'!$A$5:$A$76,'분류_규칙'!$I$5:$I$76,0))</x:f>
        <x:v>0</x:v>
      </x:c>
      <x:c r="J123" s="10" t="n">
        <x:f>SUM(XLOOKUP('포켓몬_편집'!$AF123:$AN123,'분류_규칙'!$A$5:$A$76,'분류_규칙'!$J$5:$J$76,0))</x:f>
        <x:v>12</x:v>
      </x:c>
      <x:c r="K123" s="10" t="n">
        <x:f>SUM(XLOOKUP('포켓몬_편집'!$AF123:$AN123,'분류_규칙'!$A$5:$A$76,'분류_규칙'!$K$5:$K$76,0))</x:f>
        <x:v>30</x:v>
      </x:c>
      <x:c r="L123" s="10" t="n">
        <x:f>SUM(XLOOKUP('포켓몬_편집'!$AF123:$AN123,'분류_규칙'!$A$5:$A$76,'분류_규칙'!$L$5:$L$76,0))</x:f>
        <x:v>0</x:v>
      </x:c>
      <x:c r="M123" s="10" t="n">
        <x:f>SUM(XLOOKUP('포켓몬_편집'!$AF123:$AN123,'분류_규칙'!$A$5:$A$76,'분류_규칙'!$M$5:$M$76,0))</x:f>
        <x:v>0</x:v>
      </x:c>
      <x:c r="N123" s="10" t="n">
        <x:f>SUM(XLOOKUP('포켓몬_편집'!$AF123:$AN123,'분류_규칙'!$A$5:$A$76,'분류_규칙'!$N$5:$N$76,0))</x:f>
        <x:v>0</x:v>
      </x:c>
      <x:c r="O123" s="10" t="n">
        <x:f>SUM(XLOOKUP('포켓몬_편집'!$AF123:$AN123,'분류_규칙'!$A$5:$A$76,'분류_규칙'!$O$5:$O$76,0))</x:f>
        <x:v>0</x:v>
      </x:c>
      <x:c r="P123" s="10" t="n">
        <x:f>SUM(XLOOKUP('포켓몬_편집'!$AF123:$AN123,'분류_규칙'!$A$5:$A$76,'분류_규칙'!$P$5:$P$76,0))</x:f>
        <x:v>0</x:v>
      </x:c>
    </x:row>
    <x:row r="124" ht="22" customHeight="1">
      <x:c r="A124" s="5" t="n">
        <x:v>120</x:v>
      </x:c>
      <x:c r="B124" s="5" t="inlineStr">
        <x:is>
          <x:t xml:space="preserve">별가사리</x:t>
        </x:is>
      </x:c>
      <x:c r="C124" s="5" t="inlineStr">
        <x:is>
          <x:t xml:space="preserve">staryu</x:t>
        </x:is>
      </x:c>
      <x:c r="D124" s="5" t="n">
        <x:v>1</x:v>
      </x:c>
      <x:c r="E124" s="10" t="n">
        <x:f>SUM(XLOOKUP('포켓몬_편집'!$AF124:$AN124,'분류_규칙'!$A$5:$A$76,'분류_규칙'!$E$5:$E$76,0))</x:f>
        <x:v>0</x:v>
      </x:c>
      <x:c r="F124" s="10" t="n">
        <x:f>SUM(XLOOKUP('포켓몬_편집'!$AF124:$AN124,'분류_규칙'!$A$5:$A$76,'분류_규칙'!$F$5:$F$76,0))</x:f>
        <x:v>0</x:v>
      </x:c>
      <x:c r="G124" s="10" t="n">
        <x:f>SUM(XLOOKUP('포켓몬_편집'!$AF124:$AN124,'분류_규칙'!$A$5:$A$76,'분류_규칙'!$G$5:$G$76,0))</x:f>
        <x:v>0</x:v>
      </x:c>
      <x:c r="H124" s="10" t="n">
        <x:f>SUM(XLOOKUP('포켓몬_편집'!$AF124:$AN124,'분류_규칙'!$A$5:$A$76,'분류_규칙'!$H$5:$H$76,0))</x:f>
        <x:v>0</x:v>
      </x:c>
      <x:c r="I124" s="10" t="n">
        <x:f>SUM(XLOOKUP('포켓몬_편집'!$AF124:$AN124,'분류_규칙'!$A$5:$A$76,'분류_규칙'!$I$5:$I$76,0))</x:f>
        <x:v>0</x:v>
      </x:c>
      <x:c r="J124" s="10" t="n">
        <x:f>SUM(XLOOKUP('포켓몬_편집'!$AF124:$AN124,'분류_규칙'!$A$5:$A$76,'분류_규칙'!$J$5:$J$76,0))</x:f>
        <x:v>3</x:v>
      </x:c>
      <x:c r="K124" s="10" t="n">
        <x:f>SUM(XLOOKUP('포켓몬_편집'!$AF124:$AN124,'분류_규칙'!$A$5:$A$76,'분류_규칙'!$K$5:$K$76,0))</x:f>
        <x:v>0</x:v>
      </x:c>
      <x:c r="L124" s="10" t="n">
        <x:f>SUM(XLOOKUP('포켓몬_편집'!$AF124:$AN124,'분류_규칙'!$A$5:$A$76,'분류_규칙'!$L$5:$L$76,0))</x:f>
        <x:v>30</x:v>
      </x:c>
      <x:c r="M124" s="10" t="n">
        <x:f>SUM(XLOOKUP('포켓몬_편집'!$AF124:$AN124,'분류_규칙'!$A$5:$A$76,'분류_규칙'!$M$5:$M$76,0))</x:f>
        <x:v>0</x:v>
      </x:c>
      <x:c r="N124" s="10" t="n">
        <x:f>SUM(XLOOKUP('포켓몬_편집'!$AF124:$AN124,'분류_규칙'!$A$5:$A$76,'분류_규칙'!$N$5:$N$76,0))</x:f>
        <x:v>0</x:v>
      </x:c>
      <x:c r="O124" s="10" t="n">
        <x:f>SUM(XLOOKUP('포켓몬_편집'!$AF124:$AN124,'분류_규칙'!$A$5:$A$76,'분류_규칙'!$O$5:$O$76,0))</x:f>
        <x:v>0</x:v>
      </x:c>
      <x:c r="P124" s="10" t="n">
        <x:f>SUM(XLOOKUP('포켓몬_편집'!$AF124:$AN124,'분류_규칙'!$A$5:$A$76,'분류_규칙'!$P$5:$P$76,0))</x:f>
        <x:v>0</x:v>
      </x:c>
    </x:row>
    <x:row r="125" ht="22" customHeight="1">
      <x:c r="A125" s="5" t="n">
        <x:v>121</x:v>
      </x:c>
      <x:c r="B125" s="5" t="inlineStr">
        <x:is>
          <x:t xml:space="preserve">아쿠스타</x:t>
        </x:is>
      </x:c>
      <x:c r="C125" s="5" t="inlineStr">
        <x:is>
          <x:t xml:space="preserve">starmie</x:t>
        </x:is>
      </x:c>
      <x:c r="D125" s="5" t="n">
        <x:v>1</x:v>
      </x:c>
      <x:c r="E125" s="10" t="n">
        <x:f>SUM(XLOOKUP('포켓몬_편집'!$AF125:$AN125,'분류_규칙'!$A$5:$A$76,'분류_규칙'!$E$5:$E$76,0))</x:f>
        <x:v>0</x:v>
      </x:c>
      <x:c r="F125" s="10" t="n">
        <x:f>SUM(XLOOKUP('포켓몬_편집'!$AF125:$AN125,'분류_규칙'!$A$5:$A$76,'분류_규칙'!$F$5:$F$76,0))</x:f>
        <x:v>0</x:v>
      </x:c>
      <x:c r="G125" s="10" t="n">
        <x:f>SUM(XLOOKUP('포켓몬_편집'!$AF125:$AN125,'분류_규칙'!$A$5:$A$76,'분류_규칙'!$G$5:$G$76,0))</x:f>
        <x:v>0</x:v>
      </x:c>
      <x:c r="H125" s="10" t="n">
        <x:f>SUM(XLOOKUP('포켓몬_편집'!$AF125:$AN125,'분류_규칙'!$A$5:$A$76,'분류_규칙'!$H$5:$H$76,0))</x:f>
        <x:v>0</x:v>
      </x:c>
      <x:c r="I125" s="10" t="n">
        <x:f>SUM(XLOOKUP('포켓몬_편집'!$AF125:$AN125,'분류_규칙'!$A$5:$A$76,'분류_규칙'!$I$5:$I$76,0))</x:f>
        <x:v>0</x:v>
      </x:c>
      <x:c r="J125" s="10" t="n">
        <x:f>SUM(XLOOKUP('포켓몬_편집'!$AF125:$AN125,'분류_규칙'!$A$5:$A$76,'분류_규칙'!$J$5:$J$76,0))</x:f>
        <x:v>3</x:v>
      </x:c>
      <x:c r="K125" s="10" t="n">
        <x:f>SUM(XLOOKUP('포켓몬_편집'!$AF125:$AN125,'분류_규칙'!$A$5:$A$76,'분류_규칙'!$K$5:$K$76,0))</x:f>
        <x:v>0</x:v>
      </x:c>
      <x:c r="L125" s="10" t="n">
        <x:f>SUM(XLOOKUP('포켓몬_편집'!$AF125:$AN125,'분류_규칙'!$A$5:$A$76,'분류_규칙'!$L$5:$L$76,0))</x:f>
        <x:v>30</x:v>
      </x:c>
      <x:c r="M125" s="10" t="n">
        <x:f>SUM(XLOOKUP('포켓몬_편집'!$AF125:$AN125,'분류_규칙'!$A$5:$A$76,'분류_규칙'!$M$5:$M$76,0))</x:f>
        <x:v>0</x:v>
      </x:c>
      <x:c r="N125" s="10" t="n">
        <x:f>SUM(XLOOKUP('포켓몬_편집'!$AF125:$AN125,'분류_규칙'!$A$5:$A$76,'분류_규칙'!$N$5:$N$76,0))</x:f>
        <x:v>0</x:v>
      </x:c>
      <x:c r="O125" s="10" t="n">
        <x:f>SUM(XLOOKUP('포켓몬_편집'!$AF125:$AN125,'분류_규칙'!$A$5:$A$76,'분류_규칙'!$O$5:$O$76,0))</x:f>
        <x:v>0</x:v>
      </x:c>
      <x:c r="P125" s="10" t="n">
        <x:f>SUM(XLOOKUP('포켓몬_편집'!$AF125:$AN125,'분류_규칙'!$A$5:$A$76,'분류_규칙'!$P$5:$P$76,0))</x:f>
        <x:v>0</x:v>
      </x:c>
    </x:row>
    <x:row r="126" ht="22" customHeight="1">
      <x:c r="A126" s="5" t="n">
        <x:v>122</x:v>
      </x:c>
      <x:c r="B126" s="5" t="inlineStr">
        <x:is>
          <x:t xml:space="preserve">마임맨</x:t>
        </x:is>
      </x:c>
      <x:c r="C126" s="5" t="inlineStr">
        <x:is>
          <x:t xml:space="preserve">mrmime</x:t>
        </x:is>
      </x:c>
      <x:c r="D126" s="5" t="n">
        <x:v>1</x:v>
      </x:c>
      <x:c r="E126" s="10" t="n">
        <x:f>SUM(XLOOKUP('포켓몬_편집'!$AF126:$AN126,'분류_규칙'!$A$5:$A$76,'분류_규칙'!$E$5:$E$76,0))</x:f>
        <x:v>10</x:v>
      </x:c>
      <x:c r="F126" s="10" t="n">
        <x:f>SUM(XLOOKUP('포켓몬_편집'!$AF126:$AN126,'분류_규칙'!$A$5:$A$76,'분류_규칙'!$F$5:$F$76,0))</x:f>
        <x:v>7</x:v>
      </x:c>
      <x:c r="G126" s="10" t="n">
        <x:f>SUM(XLOOKUP('포켓몬_편집'!$AF126:$AN126,'분류_규칙'!$A$5:$A$76,'분류_규칙'!$G$5:$G$76,0))</x:f>
        <x:v>5</x:v>
      </x:c>
      <x:c r="H126" s="10" t="n">
        <x:f>SUM(XLOOKUP('포켓몬_편집'!$AF126:$AN126,'분류_규칙'!$A$5:$A$76,'분류_규칙'!$H$5:$H$76,0))</x:f>
        <x:v>5</x:v>
      </x:c>
      <x:c r="I126" s="10" t="n">
        <x:f>SUM(XLOOKUP('포켓몬_편집'!$AF126:$AN126,'분류_규칙'!$A$5:$A$76,'분류_규칙'!$I$5:$I$76,0))</x:f>
        <x:v>0</x:v>
      </x:c>
      <x:c r="J126" s="10" t="n">
        <x:f>SUM(XLOOKUP('포켓몬_편집'!$AF126:$AN126,'분류_규칙'!$A$5:$A$76,'분류_규칙'!$J$5:$J$76,0))</x:f>
        <x:v>2</x:v>
      </x:c>
      <x:c r="K126" s="10" t="n">
        <x:f>SUM(XLOOKUP('포켓몬_편집'!$AF126:$AN126,'분류_규칙'!$A$5:$A$76,'분류_규칙'!$K$5:$K$76,0))</x:f>
        <x:v>0</x:v>
      </x:c>
      <x:c r="L126" s="10" t="n">
        <x:f>SUM(XLOOKUP('포켓몬_편집'!$AF126:$AN126,'분류_규칙'!$A$5:$A$76,'분류_규칙'!$L$5:$L$76,0))</x:f>
        <x:v>0</x:v>
      </x:c>
      <x:c r="M126" s="10" t="n">
        <x:f>SUM(XLOOKUP('포켓몬_편집'!$AF126:$AN126,'분류_규칙'!$A$5:$A$76,'분류_규칙'!$M$5:$M$76,0))</x:f>
        <x:v>0</x:v>
      </x:c>
      <x:c r="N126" s="10" t="n">
        <x:f>SUM(XLOOKUP('포켓몬_편집'!$AF126:$AN126,'분류_규칙'!$A$5:$A$76,'분류_규칙'!$N$5:$N$76,0))</x:f>
        <x:v>0</x:v>
      </x:c>
      <x:c r="O126" s="10" t="n">
        <x:f>SUM(XLOOKUP('포켓몬_편집'!$AF126:$AN126,'분류_규칙'!$A$5:$A$76,'분류_규칙'!$O$5:$O$76,0))</x:f>
        <x:v>2</x:v>
      </x:c>
      <x:c r="P126" s="10" t="n">
        <x:f>SUM(XLOOKUP('포켓몬_편집'!$AF126:$AN126,'분류_규칙'!$A$5:$A$76,'분류_규칙'!$P$5:$P$76,0))</x:f>
        <x:v>0</x:v>
      </x:c>
    </x:row>
    <x:row r="127" ht="22" customHeight="1">
      <x:c r="A127" s="5" t="n">
        <x:v>123</x:v>
      </x:c>
      <x:c r="B127" s="5" t="inlineStr">
        <x:is>
          <x:t xml:space="preserve">스라크</x:t>
        </x:is>
      </x:c>
      <x:c r="C127" s="5" t="inlineStr">
        <x:is>
          <x:t xml:space="preserve">scyther</x:t>
        </x:is>
      </x:c>
      <x:c r="D127" s="5" t="n">
        <x:v>1</x:v>
      </x:c>
      <x:c r="E127" s="10" t="n">
        <x:f>SUM(XLOOKUP('포켓몬_편집'!$AF127:$AN127,'분류_규칙'!$A$5:$A$76,'분류_규칙'!$E$5:$E$76,0))</x:f>
        <x:v>8</x:v>
      </x:c>
      <x:c r="F127" s="10" t="n">
        <x:f>SUM(XLOOKUP('포켓몬_편집'!$AF127:$AN127,'분류_규칙'!$A$5:$A$76,'분류_규칙'!$F$5:$F$76,0))</x:f>
        <x:v>8</x:v>
      </x:c>
      <x:c r="G127" s="10" t="n">
        <x:f>SUM(XLOOKUP('포켓몬_편집'!$AF127:$AN127,'분류_규칙'!$A$5:$A$76,'분류_규칙'!$G$5:$G$76,0))</x:f>
        <x:v>0</x:v>
      </x:c>
      <x:c r="H127" s="10" t="n">
        <x:f>SUM(XLOOKUP('포켓몬_편집'!$AF127:$AN127,'분류_규칙'!$A$5:$A$76,'분류_규칙'!$H$5:$H$76,0))</x:f>
        <x:v>12</x:v>
      </x:c>
      <x:c r="I127" s="10" t="n">
        <x:f>SUM(XLOOKUP('포켓몬_편집'!$AF127:$AN127,'분류_규칙'!$A$5:$A$76,'분류_규칙'!$I$5:$I$76,0))</x:f>
        <x:v>0</x:v>
      </x:c>
      <x:c r="J127" s="10" t="n">
        <x:f>SUM(XLOOKUP('포켓몬_편집'!$AF127:$AN127,'분류_규칙'!$A$5:$A$76,'분류_규칙'!$J$5:$J$76,0))</x:f>
        <x:v>0</x:v>
      </x:c>
      <x:c r="K127" s="10" t="n">
        <x:f>SUM(XLOOKUP('포켓몬_편집'!$AF127:$AN127,'분류_규칙'!$A$5:$A$76,'분류_규칙'!$K$5:$K$76,0))</x:f>
        <x:v>0</x:v>
      </x:c>
      <x:c r="L127" s="10" t="n">
        <x:f>SUM(XLOOKUP('포켓몬_편집'!$AF127:$AN127,'분류_규칙'!$A$5:$A$76,'분류_규칙'!$L$5:$L$76,0))</x:f>
        <x:v>3</x:v>
      </x:c>
      <x:c r="M127" s="10" t="n">
        <x:f>SUM(XLOOKUP('포켓몬_편집'!$AF127:$AN127,'분류_규칙'!$A$5:$A$76,'분류_규칙'!$M$5:$M$76,0))</x:f>
        <x:v>0</x:v>
      </x:c>
      <x:c r="N127" s="10" t="n">
        <x:f>SUM(XLOOKUP('포켓몬_편집'!$AF127:$AN127,'분류_규칙'!$A$5:$A$76,'분류_규칙'!$N$5:$N$76,0))</x:f>
        <x:v>0</x:v>
      </x:c>
      <x:c r="O127" s="10" t="n">
        <x:f>SUM(XLOOKUP('포켓몬_편집'!$AF127:$AN127,'분류_규칙'!$A$5:$A$76,'분류_규칙'!$O$5:$O$76,0))</x:f>
        <x:v>2</x:v>
      </x:c>
      <x:c r="P127" s="10" t="n">
        <x:f>SUM(XLOOKUP('포켓몬_편집'!$AF127:$AN127,'분류_규칙'!$A$5:$A$76,'분류_규칙'!$P$5:$P$76,0))</x:f>
        <x:v>0</x:v>
      </x:c>
    </x:row>
    <x:row r="128" ht="22" customHeight="1">
      <x:c r="A128" s="5" t="n">
        <x:v>124</x:v>
      </x:c>
      <x:c r="B128" s="5" t="inlineStr">
        <x:is>
          <x:t xml:space="preserve">루주라</x:t>
        </x:is>
      </x:c>
      <x:c r="C128" s="5" t="inlineStr">
        <x:is>
          <x:t xml:space="preserve">jynx</x:t>
        </x:is>
      </x:c>
      <x:c r="D128" s="5" t="n">
        <x:v>1</x:v>
      </x:c>
      <x:c r="E128" s="10" t="n">
        <x:f>SUM(XLOOKUP('포켓몬_편집'!$AF128:$AN128,'분류_규칙'!$A$5:$A$76,'분류_규칙'!$E$5:$E$76,0))</x:f>
        <x:v>10</x:v>
      </x:c>
      <x:c r="F128" s="10" t="n">
        <x:f>SUM(XLOOKUP('포켓몬_편집'!$AF128:$AN128,'분류_규칙'!$A$5:$A$76,'분류_규칙'!$F$5:$F$76,0))</x:f>
        <x:v>7</x:v>
      </x:c>
      <x:c r="G128" s="10" t="n">
        <x:f>SUM(XLOOKUP('포켓몬_편집'!$AF128:$AN128,'분류_규칙'!$A$5:$A$76,'분류_규칙'!$G$5:$G$76,0))</x:f>
        <x:v>5</x:v>
      </x:c>
      <x:c r="H128" s="10" t="n">
        <x:f>SUM(XLOOKUP('포켓몬_편집'!$AF128:$AN128,'분류_규칙'!$A$5:$A$76,'분류_규칙'!$H$5:$H$76,0))</x:f>
        <x:v>5</x:v>
      </x:c>
      <x:c r="I128" s="10" t="n">
        <x:f>SUM(XLOOKUP('포켓몬_편집'!$AF128:$AN128,'분류_규칙'!$A$5:$A$76,'분류_규칙'!$I$5:$I$76,0))</x:f>
        <x:v>0</x:v>
      </x:c>
      <x:c r="J128" s="10" t="n">
        <x:f>SUM(XLOOKUP('포켓몬_편집'!$AF128:$AN128,'분류_규칙'!$A$5:$A$76,'분류_규칙'!$J$5:$J$76,0))</x:f>
        <x:v>2</x:v>
      </x:c>
      <x:c r="K128" s="10" t="n">
        <x:f>SUM(XLOOKUP('포켓몬_편집'!$AF128:$AN128,'분류_규칙'!$A$5:$A$76,'분류_규칙'!$K$5:$K$76,0))</x:f>
        <x:v>0</x:v>
      </x:c>
      <x:c r="L128" s="10" t="n">
        <x:f>SUM(XLOOKUP('포켓몬_편집'!$AF128:$AN128,'분류_규칙'!$A$5:$A$76,'분류_규칙'!$L$5:$L$76,0))</x:f>
        <x:v>0</x:v>
      </x:c>
      <x:c r="M128" s="10" t="n">
        <x:f>SUM(XLOOKUP('포켓몬_편집'!$AF128:$AN128,'분류_규칙'!$A$5:$A$76,'분류_규칙'!$M$5:$M$76,0))</x:f>
        <x:v>0</x:v>
      </x:c>
      <x:c r="N128" s="10" t="n">
        <x:f>SUM(XLOOKUP('포켓몬_편집'!$AF128:$AN128,'분류_규칙'!$A$5:$A$76,'분류_규칙'!$N$5:$N$76,0))</x:f>
        <x:v>0</x:v>
      </x:c>
      <x:c r="O128" s="10" t="n">
        <x:f>SUM(XLOOKUP('포켓몬_편집'!$AF128:$AN128,'분류_규칙'!$A$5:$A$76,'분류_규칙'!$O$5:$O$76,0))</x:f>
        <x:v>2</x:v>
      </x:c>
      <x:c r="P128" s="10" t="n">
        <x:f>SUM(XLOOKUP('포켓몬_편집'!$AF128:$AN128,'분류_규칙'!$A$5:$A$76,'분류_규칙'!$P$5:$P$76,0))</x:f>
        <x:v>0</x:v>
      </x:c>
    </x:row>
    <x:row r="129" ht="22" customHeight="1">
      <x:c r="A129" s="5" t="n">
        <x:v>125</x:v>
      </x:c>
      <x:c r="B129" s="5" t="inlineStr">
        <x:is>
          <x:t xml:space="preserve">에레브</x:t>
        </x:is>
      </x:c>
      <x:c r="C129" s="5" t="inlineStr">
        <x:is>
          <x:t xml:space="preserve">electabuzz</x:t>
        </x:is>
      </x:c>
      <x:c r="D129" s="5" t="n">
        <x:v>1</x:v>
      </x:c>
      <x:c r="E129" s="10" t="n">
        <x:f>SUM(XLOOKUP('포켓몬_편집'!$AF129:$AN129,'분류_규칙'!$A$5:$A$76,'분류_규칙'!$E$5:$E$76,0))</x:f>
        <x:v>10</x:v>
      </x:c>
      <x:c r="F129" s="10" t="n">
        <x:f>SUM(XLOOKUP('포켓몬_편집'!$AF129:$AN129,'분류_규칙'!$A$5:$A$76,'분류_규칙'!$F$5:$F$76,0))</x:f>
        <x:v>7</x:v>
      </x:c>
      <x:c r="G129" s="10" t="n">
        <x:f>SUM(XLOOKUP('포켓몬_편집'!$AF129:$AN129,'분류_규칙'!$A$5:$A$76,'분류_규칙'!$G$5:$G$76,0))</x:f>
        <x:v>5</x:v>
      </x:c>
      <x:c r="H129" s="10" t="n">
        <x:f>SUM(XLOOKUP('포켓몬_편집'!$AF129:$AN129,'분류_규칙'!$A$5:$A$76,'분류_규칙'!$H$5:$H$76,0))</x:f>
        <x:v>5</x:v>
      </x:c>
      <x:c r="I129" s="10" t="n">
        <x:f>SUM(XLOOKUP('포켓몬_편집'!$AF129:$AN129,'분류_규칙'!$A$5:$A$76,'분류_규칙'!$I$5:$I$76,0))</x:f>
        <x:v>0</x:v>
      </x:c>
      <x:c r="J129" s="10" t="n">
        <x:f>SUM(XLOOKUP('포켓몬_편집'!$AF129:$AN129,'분류_규칙'!$A$5:$A$76,'분류_규칙'!$J$5:$J$76,0))</x:f>
        <x:v>2</x:v>
      </x:c>
      <x:c r="K129" s="10" t="n">
        <x:f>SUM(XLOOKUP('포켓몬_편집'!$AF129:$AN129,'분류_규칙'!$A$5:$A$76,'분류_규칙'!$K$5:$K$76,0))</x:f>
        <x:v>0</x:v>
      </x:c>
      <x:c r="L129" s="10" t="n">
        <x:f>SUM(XLOOKUP('포켓몬_편집'!$AF129:$AN129,'분류_규칙'!$A$5:$A$76,'분류_규칙'!$L$5:$L$76,0))</x:f>
        <x:v>0</x:v>
      </x:c>
      <x:c r="M129" s="10" t="n">
        <x:f>SUM(XLOOKUP('포켓몬_편집'!$AF129:$AN129,'분류_규칙'!$A$5:$A$76,'분류_규칙'!$M$5:$M$76,0))</x:f>
        <x:v>0</x:v>
      </x:c>
      <x:c r="N129" s="10" t="n">
        <x:f>SUM(XLOOKUP('포켓몬_편집'!$AF129:$AN129,'분류_규칙'!$A$5:$A$76,'분류_규칙'!$N$5:$N$76,0))</x:f>
        <x:v>0</x:v>
      </x:c>
      <x:c r="O129" s="10" t="n">
        <x:f>SUM(XLOOKUP('포켓몬_편집'!$AF129:$AN129,'분류_규칙'!$A$5:$A$76,'분류_규칙'!$O$5:$O$76,0))</x:f>
        <x:v>2</x:v>
      </x:c>
      <x:c r="P129" s="10" t="n">
        <x:f>SUM(XLOOKUP('포켓몬_편집'!$AF129:$AN129,'분류_규칙'!$A$5:$A$76,'분류_규칙'!$P$5:$P$76,0))</x:f>
        <x:v>0</x:v>
      </x:c>
    </x:row>
    <x:row r="130" ht="22" customHeight="1">
      <x:c r="A130" s="5" t="n">
        <x:v>126</x:v>
      </x:c>
      <x:c r="B130" s="5" t="inlineStr">
        <x:is>
          <x:t xml:space="preserve">마그마</x:t>
        </x:is>
      </x:c>
      <x:c r="C130" s="5" t="inlineStr">
        <x:is>
          <x:t xml:space="preserve">magmar</x:t>
        </x:is>
      </x:c>
      <x:c r="D130" s="5" t="n">
        <x:v>1</x:v>
      </x:c>
      <x:c r="E130" s="10" t="n">
        <x:f>SUM(XLOOKUP('포켓몬_편집'!$AF130:$AN130,'분류_규칙'!$A$5:$A$76,'분류_규칙'!$E$5:$E$76,0))</x:f>
        <x:v>10</x:v>
      </x:c>
      <x:c r="F130" s="10" t="n">
        <x:f>SUM(XLOOKUP('포켓몬_편집'!$AF130:$AN130,'분류_규칙'!$A$5:$A$76,'분류_규칙'!$F$5:$F$76,0))</x:f>
        <x:v>7</x:v>
      </x:c>
      <x:c r="G130" s="10" t="n">
        <x:f>SUM(XLOOKUP('포켓몬_편집'!$AF130:$AN130,'분류_규칙'!$A$5:$A$76,'분류_규칙'!$G$5:$G$76,0))</x:f>
        <x:v>5</x:v>
      </x:c>
      <x:c r="H130" s="10" t="n">
        <x:f>SUM(XLOOKUP('포켓몬_편집'!$AF130:$AN130,'분류_규칙'!$A$5:$A$76,'분류_규칙'!$H$5:$H$76,0))</x:f>
        <x:v>5</x:v>
      </x:c>
      <x:c r="I130" s="10" t="n">
        <x:f>SUM(XLOOKUP('포켓몬_편집'!$AF130:$AN130,'분류_규칙'!$A$5:$A$76,'분류_규칙'!$I$5:$I$76,0))</x:f>
        <x:v>0</x:v>
      </x:c>
      <x:c r="J130" s="10" t="n">
        <x:f>SUM(XLOOKUP('포켓몬_편집'!$AF130:$AN130,'분류_규칙'!$A$5:$A$76,'분류_규칙'!$J$5:$J$76,0))</x:f>
        <x:v>2</x:v>
      </x:c>
      <x:c r="K130" s="10" t="n">
        <x:f>SUM(XLOOKUP('포켓몬_편집'!$AF130:$AN130,'분류_규칙'!$A$5:$A$76,'분류_규칙'!$K$5:$K$76,0))</x:f>
        <x:v>0</x:v>
      </x:c>
      <x:c r="L130" s="10" t="n">
        <x:f>SUM(XLOOKUP('포켓몬_편집'!$AF130:$AN130,'분류_규칙'!$A$5:$A$76,'분류_규칙'!$L$5:$L$76,0))</x:f>
        <x:v>0</x:v>
      </x:c>
      <x:c r="M130" s="10" t="n">
        <x:f>SUM(XLOOKUP('포켓몬_편집'!$AF130:$AN130,'분류_규칙'!$A$5:$A$76,'분류_규칙'!$M$5:$M$76,0))</x:f>
        <x:v>0</x:v>
      </x:c>
      <x:c r="N130" s="10" t="n">
        <x:f>SUM(XLOOKUP('포켓몬_편집'!$AF130:$AN130,'분류_규칙'!$A$5:$A$76,'분류_규칙'!$N$5:$N$76,0))</x:f>
        <x:v>0</x:v>
      </x:c>
      <x:c r="O130" s="10" t="n">
        <x:f>SUM(XLOOKUP('포켓몬_편집'!$AF130:$AN130,'분류_규칙'!$A$5:$A$76,'분류_규칙'!$O$5:$O$76,0))</x:f>
        <x:v>2</x:v>
      </x:c>
      <x:c r="P130" s="10" t="n">
        <x:f>SUM(XLOOKUP('포켓몬_편집'!$AF130:$AN130,'분류_규칙'!$A$5:$A$76,'분류_규칙'!$P$5:$P$76,0))</x:f>
        <x:v>0</x:v>
      </x:c>
    </x:row>
    <x:row r="131" ht="22" customHeight="1">
      <x:c r="A131" s="5" t="n">
        <x:v>127</x:v>
      </x:c>
      <x:c r="B131" s="5" t="inlineStr">
        <x:is>
          <x:t xml:space="preserve">쁘사이저</x:t>
        </x:is>
      </x:c>
      <x:c r="C131" s="5" t="inlineStr">
        <x:is>
          <x:t xml:space="preserve">pinsir</x:t>
        </x:is>
      </x:c>
      <x:c r="D131" s="5" t="n">
        <x:v>1</x:v>
      </x:c>
      <x:c r="E131" s="10" t="n">
        <x:f>SUM(XLOOKUP('포켓몬_편집'!$AF131:$AN131,'분류_규칙'!$A$5:$A$76,'분류_규칙'!$E$5:$E$76,0))</x:f>
        <x:v>10</x:v>
      </x:c>
      <x:c r="F131" s="10" t="n">
        <x:f>SUM(XLOOKUP('포켓몬_편집'!$AF131:$AN131,'분류_규칙'!$A$5:$A$76,'분류_규칙'!$F$5:$F$76,0))</x:f>
        <x:v>7</x:v>
      </x:c>
      <x:c r="G131" s="10" t="n">
        <x:f>SUM(XLOOKUP('포켓몬_편집'!$AF131:$AN131,'분류_규칙'!$A$5:$A$76,'분류_규칙'!$G$5:$G$76,0))</x:f>
        <x:v>5</x:v>
      </x:c>
      <x:c r="H131" s="10" t="n">
        <x:f>SUM(XLOOKUP('포켓몬_편집'!$AF131:$AN131,'분류_규칙'!$A$5:$A$76,'분류_규칙'!$H$5:$H$76,0))</x:f>
        <x:v>5</x:v>
      </x:c>
      <x:c r="I131" s="10" t="n">
        <x:f>SUM(XLOOKUP('포켓몬_편집'!$AF131:$AN131,'분류_규칙'!$A$5:$A$76,'분류_규칙'!$I$5:$I$76,0))</x:f>
        <x:v>0</x:v>
      </x:c>
      <x:c r="J131" s="10" t="n">
        <x:f>SUM(XLOOKUP('포켓몬_편집'!$AF131:$AN131,'분류_규칙'!$A$5:$A$76,'분류_규칙'!$J$5:$J$76,0))</x:f>
        <x:v>2</x:v>
      </x:c>
      <x:c r="K131" s="10" t="n">
        <x:f>SUM(XLOOKUP('포켓몬_편집'!$AF131:$AN131,'분류_규칙'!$A$5:$A$76,'분류_규칙'!$K$5:$K$76,0))</x:f>
        <x:v>0</x:v>
      </x:c>
      <x:c r="L131" s="10" t="n">
        <x:f>SUM(XLOOKUP('포켓몬_편집'!$AF131:$AN131,'분류_규칙'!$A$5:$A$76,'분류_규칙'!$L$5:$L$76,0))</x:f>
        <x:v>0</x:v>
      </x:c>
      <x:c r="M131" s="10" t="n">
        <x:f>SUM(XLOOKUP('포켓몬_편집'!$AF131:$AN131,'분류_규칙'!$A$5:$A$76,'분류_규칙'!$M$5:$M$76,0))</x:f>
        <x:v>0</x:v>
      </x:c>
      <x:c r="N131" s="10" t="n">
        <x:f>SUM(XLOOKUP('포켓몬_편집'!$AF131:$AN131,'분류_규칙'!$A$5:$A$76,'분류_규칙'!$N$5:$N$76,0))</x:f>
        <x:v>0</x:v>
      </x:c>
      <x:c r="O131" s="10" t="n">
        <x:f>SUM(XLOOKUP('포켓몬_편집'!$AF131:$AN131,'분류_규칙'!$A$5:$A$76,'분류_규칙'!$O$5:$O$76,0))</x:f>
        <x:v>2</x:v>
      </x:c>
      <x:c r="P131" s="10" t="n">
        <x:f>SUM(XLOOKUP('포켓몬_편집'!$AF131:$AN131,'분류_규칙'!$A$5:$A$76,'분류_규칙'!$P$5:$P$76,0))</x:f>
        <x:v>0</x:v>
      </x:c>
    </x:row>
    <x:row r="132" ht="22" customHeight="1">
      <x:c r="A132" s="5" t="n">
        <x:v>128</x:v>
      </x:c>
      <x:c r="B132" s="5" t="inlineStr">
        <x:is>
          <x:t xml:space="preserve">켄타로스</x:t>
        </x:is>
      </x:c>
      <x:c r="C132" s="5" t="inlineStr">
        <x:is>
          <x:t xml:space="preserve">tauros</x:t>
        </x:is>
      </x:c>
      <x:c r="D132" s="5" t="n">
        <x:v>1</x:v>
      </x:c>
      <x:c r="E132" s="10" t="n">
        <x:f>SUM(XLOOKUP('포켓몬_편집'!$AF132:$AN132,'분류_규칙'!$A$5:$A$76,'분류_규칙'!$E$5:$E$76,0))</x:f>
        <x:v>10</x:v>
      </x:c>
      <x:c r="F132" s="10" t="n">
        <x:f>SUM(XLOOKUP('포켓몬_편집'!$AF132:$AN132,'분류_규칙'!$A$5:$A$76,'분류_규칙'!$F$5:$F$76,0))</x:f>
        <x:v>7</x:v>
      </x:c>
      <x:c r="G132" s="10" t="n">
        <x:f>SUM(XLOOKUP('포켓몬_편집'!$AF132:$AN132,'분류_규칙'!$A$5:$A$76,'분류_규칙'!$G$5:$G$76,0))</x:f>
        <x:v>5</x:v>
      </x:c>
      <x:c r="H132" s="10" t="n">
        <x:f>SUM(XLOOKUP('포켓몬_편집'!$AF132:$AN132,'분류_규칙'!$A$5:$A$76,'분류_규칙'!$H$5:$H$76,0))</x:f>
        <x:v>5</x:v>
      </x:c>
      <x:c r="I132" s="10" t="n">
        <x:f>SUM(XLOOKUP('포켓몬_편집'!$AF132:$AN132,'분류_규칙'!$A$5:$A$76,'분류_규칙'!$I$5:$I$76,0))</x:f>
        <x:v>0</x:v>
      </x:c>
      <x:c r="J132" s="10" t="n">
        <x:f>SUM(XLOOKUP('포켓몬_편집'!$AF132:$AN132,'분류_규칙'!$A$5:$A$76,'분류_규칙'!$J$5:$J$76,0))</x:f>
        <x:v>2</x:v>
      </x:c>
      <x:c r="K132" s="10" t="n">
        <x:f>SUM(XLOOKUP('포켓몬_편집'!$AF132:$AN132,'분류_규칙'!$A$5:$A$76,'분류_규칙'!$K$5:$K$76,0))</x:f>
        <x:v>0</x:v>
      </x:c>
      <x:c r="L132" s="10" t="n">
        <x:f>SUM(XLOOKUP('포켓몬_편집'!$AF132:$AN132,'분류_규칙'!$A$5:$A$76,'분류_규칙'!$L$5:$L$76,0))</x:f>
        <x:v>0</x:v>
      </x:c>
      <x:c r="M132" s="10" t="n">
        <x:f>SUM(XLOOKUP('포켓몬_편집'!$AF132:$AN132,'분류_규칙'!$A$5:$A$76,'분류_규칙'!$M$5:$M$76,0))</x:f>
        <x:v>0</x:v>
      </x:c>
      <x:c r="N132" s="10" t="n">
        <x:f>SUM(XLOOKUP('포켓몬_편집'!$AF132:$AN132,'분류_규칙'!$A$5:$A$76,'분류_규칙'!$N$5:$N$76,0))</x:f>
        <x:v>0</x:v>
      </x:c>
      <x:c r="O132" s="10" t="n">
        <x:f>SUM(XLOOKUP('포켓몬_편집'!$AF132:$AN132,'분류_규칙'!$A$5:$A$76,'분류_규칙'!$O$5:$O$76,0))</x:f>
        <x:v>2</x:v>
      </x:c>
      <x:c r="P132" s="10" t="n">
        <x:f>SUM(XLOOKUP('포켓몬_편집'!$AF132:$AN132,'분류_규칙'!$A$5:$A$76,'분류_규칙'!$P$5:$P$76,0))</x:f>
        <x:v>0</x:v>
      </x:c>
    </x:row>
    <x:row r="133" ht="22" customHeight="1">
      <x:c r="A133" s="5" t="n">
        <x:v>129</x:v>
      </x:c>
      <x:c r="B133" s="5" t="inlineStr">
        <x:is>
          <x:t xml:space="preserve">잉어킹</x:t>
        </x:is>
      </x:c>
      <x:c r="C133" s="5" t="inlineStr">
        <x:is>
          <x:t xml:space="preserve">magikarp</x:t>
        </x:is>
      </x:c>
      <x:c r="D133" s="5" t="n">
        <x:v>1</x:v>
      </x:c>
      <x:c r="E133" s="10" t="n">
        <x:f>SUM(XLOOKUP('포켓몬_편집'!$AF133:$AN133,'분류_규칙'!$A$5:$A$76,'분류_규칙'!$E$5:$E$76,0))</x:f>
        <x:v>0</x:v>
      </x:c>
      <x:c r="F133" s="10" t="n">
        <x:f>SUM(XLOOKUP('포켓몬_편집'!$AF133:$AN133,'분류_규칙'!$A$5:$A$76,'분류_규칙'!$F$5:$F$76,0))</x:f>
        <x:v>0</x:v>
      </x:c>
      <x:c r="G133" s="10" t="n">
        <x:f>SUM(XLOOKUP('포켓몬_편집'!$AF133:$AN133,'분류_규칙'!$A$5:$A$76,'분류_규칙'!$G$5:$G$76,0))</x:f>
        <x:v>0</x:v>
      </x:c>
      <x:c r="H133" s="10" t="n">
        <x:f>SUM(XLOOKUP('포켓몬_편집'!$AF133:$AN133,'분류_규칙'!$A$5:$A$76,'분류_규칙'!$H$5:$H$76,0))</x:f>
        <x:v>0</x:v>
      </x:c>
      <x:c r="I133" s="10" t="n">
        <x:f>SUM(XLOOKUP('포켓몬_편집'!$AF133:$AN133,'분류_규칙'!$A$5:$A$76,'분류_규칙'!$I$5:$I$76,0))</x:f>
        <x:v>0</x:v>
      </x:c>
      <x:c r="J133" s="10" t="n">
        <x:f>SUM(XLOOKUP('포켓몬_편집'!$AF133:$AN133,'분류_규칙'!$A$5:$A$76,'분류_규칙'!$J$5:$J$76,0))</x:f>
        <x:v>3</x:v>
      </x:c>
      <x:c r="K133" s="10" t="n">
        <x:f>SUM(XLOOKUP('포켓몬_편집'!$AF133:$AN133,'분류_규칙'!$A$5:$A$76,'분류_규칙'!$K$5:$K$76,0))</x:f>
        <x:v>0</x:v>
      </x:c>
      <x:c r="L133" s="10" t="n">
        <x:f>SUM(XLOOKUP('포켓몬_편집'!$AF133:$AN133,'분류_규칙'!$A$5:$A$76,'분류_규칙'!$L$5:$L$76,0))</x:f>
        <x:v>30</x:v>
      </x:c>
      <x:c r="M133" s="10" t="n">
        <x:f>SUM(XLOOKUP('포켓몬_편집'!$AF133:$AN133,'분류_규칙'!$A$5:$A$76,'분류_규칙'!$M$5:$M$76,0))</x:f>
        <x:v>0</x:v>
      </x:c>
      <x:c r="N133" s="10" t="n">
        <x:f>SUM(XLOOKUP('포켓몬_편집'!$AF133:$AN133,'분류_규칙'!$A$5:$A$76,'분류_규칙'!$N$5:$N$76,0))</x:f>
        <x:v>0</x:v>
      </x:c>
      <x:c r="O133" s="10" t="n">
        <x:f>SUM(XLOOKUP('포켓몬_편집'!$AF133:$AN133,'분류_규칙'!$A$5:$A$76,'분류_규칙'!$O$5:$O$76,0))</x:f>
        <x:v>0</x:v>
      </x:c>
      <x:c r="P133" s="10" t="n">
        <x:f>SUM(XLOOKUP('포켓몬_편집'!$AF133:$AN133,'분류_규칙'!$A$5:$A$76,'분류_규칙'!$P$5:$P$76,0))</x:f>
        <x:v>0</x:v>
      </x:c>
    </x:row>
    <x:row r="134" ht="22" customHeight="1">
      <x:c r="A134" s="5" t="n">
        <x:v>130</x:v>
      </x:c>
      <x:c r="B134" s="5" t="inlineStr">
        <x:is>
          <x:t xml:space="preserve">갸라도스</x:t>
        </x:is>
      </x:c>
      <x:c r="C134" s="5" t="inlineStr">
        <x:is>
          <x:t xml:space="preserve">gyarados</x:t>
        </x:is>
      </x:c>
      <x:c r="D134" s="5" t="n">
        <x:v>1</x:v>
      </x:c>
      <x:c r="E134" s="10" t="n">
        <x:f>SUM(XLOOKUP('포켓몬_편집'!$AF134:$AN134,'분류_규칙'!$A$5:$A$76,'분류_규칙'!$E$5:$E$76,0))</x:f>
        <x:v>0</x:v>
      </x:c>
      <x:c r="F134" s="10" t="n">
        <x:f>SUM(XLOOKUP('포켓몬_편집'!$AF134:$AN134,'분류_규칙'!$A$5:$A$76,'분류_규칙'!$F$5:$F$76,0))</x:f>
        <x:v>0</x:v>
      </x:c>
      <x:c r="G134" s="10" t="n">
        <x:f>SUM(XLOOKUP('포켓몬_편집'!$AF134:$AN134,'분류_규칙'!$A$5:$A$76,'분류_규칙'!$G$5:$G$76,0))</x:f>
        <x:v>0</x:v>
      </x:c>
      <x:c r="H134" s="10" t="n">
        <x:f>SUM(XLOOKUP('포켓몬_편집'!$AF134:$AN134,'분류_규칙'!$A$5:$A$76,'분류_규칙'!$H$5:$H$76,0))</x:f>
        <x:v>0</x:v>
      </x:c>
      <x:c r="I134" s="10" t="n">
        <x:f>SUM(XLOOKUP('포켓몬_편집'!$AF134:$AN134,'분류_규칙'!$A$5:$A$76,'분류_규칙'!$I$5:$I$76,0))</x:f>
        <x:v>0</x:v>
      </x:c>
      <x:c r="J134" s="10" t="n">
        <x:f>SUM(XLOOKUP('포켓몬_편집'!$AF134:$AN134,'분류_규칙'!$A$5:$A$76,'분류_규칙'!$J$5:$J$76,0))</x:f>
        <x:v>3</x:v>
      </x:c>
      <x:c r="K134" s="10" t="n">
        <x:f>SUM(XLOOKUP('포켓몬_편집'!$AF134:$AN134,'분류_규칙'!$A$5:$A$76,'분류_규칙'!$K$5:$K$76,0))</x:f>
        <x:v>0</x:v>
      </x:c>
      <x:c r="L134" s="10" t="n">
        <x:f>SUM(XLOOKUP('포켓몬_편집'!$AF134:$AN134,'분류_규칙'!$A$5:$A$76,'분류_규칙'!$L$5:$L$76,0))</x:f>
        <x:v>30</x:v>
      </x:c>
      <x:c r="M134" s="10" t="n">
        <x:f>SUM(XLOOKUP('포켓몬_편집'!$AF134:$AN134,'분류_규칙'!$A$5:$A$76,'분류_규칙'!$M$5:$M$76,0))</x:f>
        <x:v>0</x:v>
      </x:c>
      <x:c r="N134" s="10" t="n">
        <x:f>SUM(XLOOKUP('포켓몬_편집'!$AF134:$AN134,'분류_규칙'!$A$5:$A$76,'분류_규칙'!$N$5:$N$76,0))</x:f>
        <x:v>0</x:v>
      </x:c>
      <x:c r="O134" s="10" t="n">
        <x:f>SUM(XLOOKUP('포켓몬_편집'!$AF134:$AN134,'분류_규칙'!$A$5:$A$76,'분류_규칙'!$O$5:$O$76,0))</x:f>
        <x:v>0</x:v>
      </x:c>
      <x:c r="P134" s="10" t="n">
        <x:f>SUM(XLOOKUP('포켓몬_편집'!$AF134:$AN134,'분류_규칙'!$A$5:$A$76,'분류_규칙'!$P$5:$P$76,0))</x:f>
        <x:v>0</x:v>
      </x:c>
    </x:row>
    <x:row r="135" ht="22" customHeight="1">
      <x:c r="A135" s="5" t="n">
        <x:v>131</x:v>
      </x:c>
      <x:c r="B135" s="5" t="inlineStr">
        <x:is>
          <x:t xml:space="preserve">라프라스</x:t>
        </x:is>
      </x:c>
      <x:c r="C135" s="5" t="inlineStr">
        <x:is>
          <x:t xml:space="preserve">lapras</x:t>
        </x:is>
      </x:c>
      <x:c r="D135" s="5" t="n">
        <x:v>1</x:v>
      </x:c>
      <x:c r="E135" s="10" t="n">
        <x:f>SUM(XLOOKUP('포켓몬_편집'!$AF135:$AN135,'분류_규칙'!$A$5:$A$76,'분류_규칙'!$E$5:$E$76,0))</x:f>
        <x:v>0</x:v>
      </x:c>
      <x:c r="F135" s="10" t="n">
        <x:f>SUM(XLOOKUP('포켓몬_편집'!$AF135:$AN135,'분류_규칙'!$A$5:$A$76,'분류_규칙'!$F$5:$F$76,0))</x:f>
        <x:v>0</x:v>
      </x:c>
      <x:c r="G135" s="10" t="n">
        <x:f>SUM(XLOOKUP('포켓몬_편집'!$AF135:$AN135,'분류_규칙'!$A$5:$A$76,'분류_규칙'!$G$5:$G$76,0))</x:f>
        <x:v>0</x:v>
      </x:c>
      <x:c r="H135" s="10" t="n">
        <x:f>SUM(XLOOKUP('포켓몬_편집'!$AF135:$AN135,'분류_규칙'!$A$5:$A$76,'분류_규칙'!$H$5:$H$76,0))</x:f>
        <x:v>0</x:v>
      </x:c>
      <x:c r="I135" s="10" t="n">
        <x:f>SUM(XLOOKUP('포켓몬_편집'!$AF135:$AN135,'분류_규칙'!$A$5:$A$76,'분류_규칙'!$I$5:$I$76,0))</x:f>
        <x:v>0</x:v>
      </x:c>
      <x:c r="J135" s="10" t="n">
        <x:f>SUM(XLOOKUP('포켓몬_편집'!$AF135:$AN135,'분류_규칙'!$A$5:$A$76,'분류_규칙'!$J$5:$J$76,0))</x:f>
        <x:v>3</x:v>
      </x:c>
      <x:c r="K135" s="10" t="n">
        <x:f>SUM(XLOOKUP('포켓몬_편집'!$AF135:$AN135,'분류_규칙'!$A$5:$A$76,'분류_규칙'!$K$5:$K$76,0))</x:f>
        <x:v>0</x:v>
      </x:c>
      <x:c r="L135" s="10" t="n">
        <x:f>SUM(XLOOKUP('포켓몬_편집'!$AF135:$AN135,'분류_규칙'!$A$5:$A$76,'분류_규칙'!$L$5:$L$76,0))</x:f>
        <x:v>30</x:v>
      </x:c>
      <x:c r="M135" s="10" t="n">
        <x:f>SUM(XLOOKUP('포켓몬_편집'!$AF135:$AN135,'분류_규칙'!$A$5:$A$76,'분류_규칙'!$M$5:$M$76,0))</x:f>
        <x:v>0</x:v>
      </x:c>
      <x:c r="N135" s="10" t="n">
        <x:f>SUM(XLOOKUP('포켓몬_편집'!$AF135:$AN135,'분류_규칙'!$A$5:$A$76,'분류_규칙'!$N$5:$N$76,0))</x:f>
        <x:v>0</x:v>
      </x:c>
      <x:c r="O135" s="10" t="n">
        <x:f>SUM(XLOOKUP('포켓몬_편집'!$AF135:$AN135,'분류_규칙'!$A$5:$A$76,'분류_규칙'!$O$5:$O$76,0))</x:f>
        <x:v>0</x:v>
      </x:c>
      <x:c r="P135" s="10" t="n">
        <x:f>SUM(XLOOKUP('포켓몬_편집'!$AF135:$AN135,'분류_규칙'!$A$5:$A$76,'분류_규칙'!$P$5:$P$76,0))</x:f>
        <x:v>0</x:v>
      </x:c>
    </x:row>
    <x:row r="136" ht="22" customHeight="1">
      <x:c r="A136" s="5" t="n">
        <x:v>132</x:v>
      </x:c>
      <x:c r="B136" s="5" t="inlineStr">
        <x:is>
          <x:t xml:space="preserve">메타몽</x:t>
        </x:is>
      </x:c>
      <x:c r="C136" s="5" t="inlineStr">
        <x:is>
          <x:t xml:space="preserve">ditto</x:t>
        </x:is>
      </x:c>
      <x:c r="D136" s="5" t="n">
        <x:v>1</x:v>
      </x:c>
      <x:c r="E136" s="10" t="n">
        <x:f>SUM(XLOOKUP('포켓몬_편집'!$AF136:$AN136,'분류_규칙'!$A$5:$A$76,'분류_규칙'!$E$5:$E$76,0))</x:f>
        <x:v>10</x:v>
      </x:c>
      <x:c r="F136" s="10" t="n">
        <x:f>SUM(XLOOKUP('포켓몬_편집'!$AF136:$AN136,'분류_규칙'!$A$5:$A$76,'분류_규칙'!$F$5:$F$76,0))</x:f>
        <x:v>7</x:v>
      </x:c>
      <x:c r="G136" s="10" t="n">
        <x:f>SUM(XLOOKUP('포켓몬_편집'!$AF136:$AN136,'분류_규칙'!$A$5:$A$76,'분류_규칙'!$G$5:$G$76,0))</x:f>
        <x:v>5</x:v>
      </x:c>
      <x:c r="H136" s="10" t="n">
        <x:f>SUM(XLOOKUP('포켓몬_편집'!$AF136:$AN136,'분류_규칙'!$A$5:$A$76,'분류_규칙'!$H$5:$H$76,0))</x:f>
        <x:v>5</x:v>
      </x:c>
      <x:c r="I136" s="10" t="n">
        <x:f>SUM(XLOOKUP('포켓몬_편집'!$AF136:$AN136,'분류_규칙'!$A$5:$A$76,'분류_규칙'!$I$5:$I$76,0))</x:f>
        <x:v>0</x:v>
      </x:c>
      <x:c r="J136" s="10" t="n">
        <x:f>SUM(XLOOKUP('포켓몬_편집'!$AF136:$AN136,'분류_규칙'!$A$5:$A$76,'분류_규칙'!$J$5:$J$76,0))</x:f>
        <x:v>2</x:v>
      </x:c>
      <x:c r="K136" s="10" t="n">
        <x:f>SUM(XLOOKUP('포켓몬_편집'!$AF136:$AN136,'분류_규칙'!$A$5:$A$76,'분류_규칙'!$K$5:$K$76,0))</x:f>
        <x:v>0</x:v>
      </x:c>
      <x:c r="L136" s="10" t="n">
        <x:f>SUM(XLOOKUP('포켓몬_편집'!$AF136:$AN136,'분류_규칙'!$A$5:$A$76,'분류_규칙'!$L$5:$L$76,0))</x:f>
        <x:v>0</x:v>
      </x:c>
      <x:c r="M136" s="10" t="n">
        <x:f>SUM(XLOOKUP('포켓몬_편집'!$AF136:$AN136,'분류_규칙'!$A$5:$A$76,'분류_규칙'!$M$5:$M$76,0))</x:f>
        <x:v>0</x:v>
      </x:c>
      <x:c r="N136" s="10" t="n">
        <x:f>SUM(XLOOKUP('포켓몬_편집'!$AF136:$AN136,'분류_규칙'!$A$5:$A$76,'분류_규칙'!$N$5:$N$76,0))</x:f>
        <x:v>0</x:v>
      </x:c>
      <x:c r="O136" s="10" t="n">
        <x:f>SUM(XLOOKUP('포켓몬_편집'!$AF136:$AN136,'분류_규칙'!$A$5:$A$76,'분류_규칙'!$O$5:$O$76,0))</x:f>
        <x:v>2</x:v>
      </x:c>
      <x:c r="P136" s="10" t="n">
        <x:f>SUM(XLOOKUP('포켓몬_편집'!$AF136:$AN136,'분류_규칙'!$A$5:$A$76,'분류_규칙'!$P$5:$P$76,0))</x:f>
        <x:v>0</x:v>
      </x:c>
    </x:row>
    <x:row r="137" ht="22" customHeight="1">
      <x:c r="A137" s="5" t="n">
        <x:v>133</x:v>
      </x:c>
      <x:c r="B137" s="5" t="inlineStr">
        <x:is>
          <x:t xml:space="preserve">이브이</x:t>
        </x:is>
      </x:c>
      <x:c r="C137" s="5" t="inlineStr">
        <x:is>
          <x:t xml:space="preserve">eevee</x:t>
        </x:is>
      </x:c>
      <x:c r="D137" s="5" t="n">
        <x:v>1</x:v>
      </x:c>
      <x:c r="E137" s="10" t="n">
        <x:f>SUM(XLOOKUP('포켓몬_편집'!$AF137:$AN137,'분류_규칙'!$A$5:$A$76,'분류_규칙'!$E$5:$E$76,0))</x:f>
        <x:v>10</x:v>
      </x:c>
      <x:c r="F137" s="10" t="n">
        <x:f>SUM(XLOOKUP('포켓몬_편집'!$AF137:$AN137,'분류_규칙'!$A$5:$A$76,'분류_규칙'!$F$5:$F$76,0))</x:f>
        <x:v>7</x:v>
      </x:c>
      <x:c r="G137" s="10" t="n">
        <x:f>SUM(XLOOKUP('포켓몬_편집'!$AF137:$AN137,'분류_규칙'!$A$5:$A$76,'분류_규칙'!$G$5:$G$76,0))</x:f>
        <x:v>5</x:v>
      </x:c>
      <x:c r="H137" s="10" t="n">
        <x:f>SUM(XLOOKUP('포켓몬_편집'!$AF137:$AN137,'분류_규칙'!$A$5:$A$76,'분류_규칙'!$H$5:$H$76,0))</x:f>
        <x:v>5</x:v>
      </x:c>
      <x:c r="I137" s="10" t="n">
        <x:f>SUM(XLOOKUP('포켓몬_편집'!$AF137:$AN137,'분류_규칙'!$A$5:$A$76,'분류_규칙'!$I$5:$I$76,0))</x:f>
        <x:v>0</x:v>
      </x:c>
      <x:c r="J137" s="10" t="n">
        <x:f>SUM(XLOOKUP('포켓몬_편집'!$AF137:$AN137,'분류_규칙'!$A$5:$A$76,'분류_규칙'!$J$5:$J$76,0))</x:f>
        <x:v>2</x:v>
      </x:c>
      <x:c r="K137" s="10" t="n">
        <x:f>SUM(XLOOKUP('포켓몬_편집'!$AF137:$AN137,'분류_규칙'!$A$5:$A$76,'분류_규칙'!$K$5:$K$76,0))</x:f>
        <x:v>0</x:v>
      </x:c>
      <x:c r="L137" s="10" t="n">
        <x:f>SUM(XLOOKUP('포켓몬_편집'!$AF137:$AN137,'분류_규칙'!$A$5:$A$76,'분류_규칙'!$L$5:$L$76,0))</x:f>
        <x:v>0</x:v>
      </x:c>
      <x:c r="M137" s="10" t="n">
        <x:f>SUM(XLOOKUP('포켓몬_편집'!$AF137:$AN137,'분류_규칙'!$A$5:$A$76,'분류_규칙'!$M$5:$M$76,0))</x:f>
        <x:v>0</x:v>
      </x:c>
      <x:c r="N137" s="10" t="n">
        <x:f>SUM(XLOOKUP('포켓몬_편집'!$AF137:$AN137,'분류_규칙'!$A$5:$A$76,'분류_규칙'!$N$5:$N$76,0))</x:f>
        <x:v>0</x:v>
      </x:c>
      <x:c r="O137" s="10" t="n">
        <x:f>SUM(XLOOKUP('포켓몬_편집'!$AF137:$AN137,'분류_규칙'!$A$5:$A$76,'분류_규칙'!$O$5:$O$76,0))</x:f>
        <x:v>2</x:v>
      </x:c>
      <x:c r="P137" s="10" t="n">
        <x:f>SUM(XLOOKUP('포켓몬_편집'!$AF137:$AN137,'분류_규칙'!$A$5:$A$76,'분류_규칙'!$P$5:$P$76,0))</x:f>
        <x:v>0</x:v>
      </x:c>
    </x:row>
    <x:row r="138" ht="22" customHeight="1">
      <x:c r="A138" s="5" t="n">
        <x:v>134</x:v>
      </x:c>
      <x:c r="B138" s="5" t="inlineStr">
        <x:is>
          <x:t xml:space="preserve">샤미드</x:t>
        </x:is>
      </x:c>
      <x:c r="C138" s="5" t="inlineStr">
        <x:is>
          <x:t xml:space="preserve">vaporeon</x:t>
        </x:is>
      </x:c>
      <x:c r="D138" s="5" t="n">
        <x:v>1</x:v>
      </x:c>
      <x:c r="E138" s="10" t="n">
        <x:f>SUM(XLOOKUP('포켓몬_편집'!$AF138:$AN138,'분류_규칙'!$A$5:$A$76,'분류_규칙'!$E$5:$E$76,0))</x:f>
        <x:v>0</x:v>
      </x:c>
      <x:c r="F138" s="10" t="n">
        <x:f>SUM(XLOOKUP('포켓몬_편집'!$AF138:$AN138,'분류_규칙'!$A$5:$A$76,'분류_규칙'!$F$5:$F$76,0))</x:f>
        <x:v>0</x:v>
      </x:c>
      <x:c r="G138" s="10" t="n">
        <x:f>SUM(XLOOKUP('포켓몬_편집'!$AF138:$AN138,'분류_규칙'!$A$5:$A$76,'분류_규칙'!$G$5:$G$76,0))</x:f>
        <x:v>0</x:v>
      </x:c>
      <x:c r="H138" s="10" t="n">
        <x:f>SUM(XLOOKUP('포켓몬_편집'!$AF138:$AN138,'분류_규칙'!$A$5:$A$76,'분류_규칙'!$H$5:$H$76,0))</x:f>
        <x:v>0</x:v>
      </x:c>
      <x:c r="I138" s="10" t="n">
        <x:f>SUM(XLOOKUP('포켓몬_편집'!$AF138:$AN138,'분류_규칙'!$A$5:$A$76,'분류_규칙'!$I$5:$I$76,0))</x:f>
        <x:v>0</x:v>
      </x:c>
      <x:c r="J138" s="10" t="n">
        <x:f>SUM(XLOOKUP('포켓몬_편집'!$AF138:$AN138,'분류_규칙'!$A$5:$A$76,'분류_규칙'!$J$5:$J$76,0))</x:f>
        <x:v>12</x:v>
      </x:c>
      <x:c r="K138" s="10" t="n">
        <x:f>SUM(XLOOKUP('포켓몬_편집'!$AF138:$AN138,'분류_규칙'!$A$5:$A$76,'분류_규칙'!$K$5:$K$76,0))</x:f>
        <x:v>30</x:v>
      </x:c>
      <x:c r="L138" s="10" t="n">
        <x:f>SUM(XLOOKUP('포켓몬_편집'!$AF138:$AN138,'분류_규칙'!$A$5:$A$76,'분류_규칙'!$L$5:$L$76,0))</x:f>
        <x:v>0</x:v>
      </x:c>
      <x:c r="M138" s="10" t="n">
        <x:f>SUM(XLOOKUP('포켓몬_편집'!$AF138:$AN138,'분류_규칙'!$A$5:$A$76,'분류_규칙'!$M$5:$M$76,0))</x:f>
        <x:v>0</x:v>
      </x:c>
      <x:c r="N138" s="10" t="n">
        <x:f>SUM(XLOOKUP('포켓몬_편집'!$AF138:$AN138,'분류_규칙'!$A$5:$A$76,'분류_규칙'!$N$5:$N$76,0))</x:f>
        <x:v>0</x:v>
      </x:c>
      <x:c r="O138" s="10" t="n">
        <x:f>SUM(XLOOKUP('포켓몬_편집'!$AF138:$AN138,'분류_규칙'!$A$5:$A$76,'분류_규칙'!$O$5:$O$76,0))</x:f>
        <x:v>0</x:v>
      </x:c>
      <x:c r="P138" s="10" t="n">
        <x:f>SUM(XLOOKUP('포켓몬_편집'!$AF138:$AN138,'분류_규칙'!$A$5:$A$76,'분류_규칙'!$P$5:$P$76,0))</x:f>
        <x:v>0</x:v>
      </x:c>
    </x:row>
    <x:row r="139" ht="22" customHeight="1">
      <x:c r="A139" s="5" t="n">
        <x:v>135</x:v>
      </x:c>
      <x:c r="B139" s="5" t="inlineStr">
        <x:is>
          <x:t xml:space="preserve">쥬피썬더</x:t>
        </x:is>
      </x:c>
      <x:c r="C139" s="5" t="inlineStr">
        <x:is>
          <x:t xml:space="preserve">jolteon</x:t>
        </x:is>
      </x:c>
      <x:c r="D139" s="5" t="n">
        <x:v>1</x:v>
      </x:c>
      <x:c r="E139" s="10" t="n">
        <x:f>SUM(XLOOKUP('포켓몬_편집'!$AF139:$AN139,'분류_규칙'!$A$5:$A$76,'분류_규칙'!$E$5:$E$76,0))</x:f>
        <x:v>10</x:v>
      </x:c>
      <x:c r="F139" s="10" t="n">
        <x:f>SUM(XLOOKUP('포켓몬_편집'!$AF139:$AN139,'분류_규칙'!$A$5:$A$76,'분류_규칙'!$F$5:$F$76,0))</x:f>
        <x:v>7</x:v>
      </x:c>
      <x:c r="G139" s="10" t="n">
        <x:f>SUM(XLOOKUP('포켓몬_편집'!$AF139:$AN139,'분류_규칙'!$A$5:$A$76,'분류_규칙'!$G$5:$G$76,0))</x:f>
        <x:v>5</x:v>
      </x:c>
      <x:c r="H139" s="10" t="n">
        <x:f>SUM(XLOOKUP('포켓몬_편집'!$AF139:$AN139,'분류_규칙'!$A$5:$A$76,'분류_규칙'!$H$5:$H$76,0))</x:f>
        <x:v>5</x:v>
      </x:c>
      <x:c r="I139" s="10" t="n">
        <x:f>SUM(XLOOKUP('포켓몬_편집'!$AF139:$AN139,'분류_규칙'!$A$5:$A$76,'분류_규칙'!$I$5:$I$76,0))</x:f>
        <x:v>0</x:v>
      </x:c>
      <x:c r="J139" s="10" t="n">
        <x:f>SUM(XLOOKUP('포켓몬_편집'!$AF139:$AN139,'분류_규칙'!$A$5:$A$76,'분류_규칙'!$J$5:$J$76,0))</x:f>
        <x:v>2</x:v>
      </x:c>
      <x:c r="K139" s="10" t="n">
        <x:f>SUM(XLOOKUP('포켓몬_편집'!$AF139:$AN139,'분류_규칙'!$A$5:$A$76,'분류_규칙'!$K$5:$K$76,0))</x:f>
        <x:v>0</x:v>
      </x:c>
      <x:c r="L139" s="10" t="n">
        <x:f>SUM(XLOOKUP('포켓몬_편집'!$AF139:$AN139,'분류_규칙'!$A$5:$A$76,'분류_규칙'!$L$5:$L$76,0))</x:f>
        <x:v>0</x:v>
      </x:c>
      <x:c r="M139" s="10" t="n">
        <x:f>SUM(XLOOKUP('포켓몬_편집'!$AF139:$AN139,'분류_규칙'!$A$5:$A$76,'분류_규칙'!$M$5:$M$76,0))</x:f>
        <x:v>0</x:v>
      </x:c>
      <x:c r="N139" s="10" t="n">
        <x:f>SUM(XLOOKUP('포켓몬_편집'!$AF139:$AN139,'분류_규칙'!$A$5:$A$76,'분류_규칙'!$N$5:$N$76,0))</x:f>
        <x:v>0</x:v>
      </x:c>
      <x:c r="O139" s="10" t="n">
        <x:f>SUM(XLOOKUP('포켓몬_편집'!$AF139:$AN139,'분류_규칙'!$A$5:$A$76,'분류_규칙'!$O$5:$O$76,0))</x:f>
        <x:v>2</x:v>
      </x:c>
      <x:c r="P139" s="10" t="n">
        <x:f>SUM(XLOOKUP('포켓몬_편집'!$AF139:$AN139,'분류_규칙'!$A$5:$A$76,'분류_규칙'!$P$5:$P$76,0))</x:f>
        <x:v>0</x:v>
      </x:c>
    </x:row>
    <x:row r="140" ht="22" customHeight="1">
      <x:c r="A140" s="5" t="n">
        <x:v>136</x:v>
      </x:c>
      <x:c r="B140" s="5" t="inlineStr">
        <x:is>
          <x:t xml:space="preserve">부스터</x:t>
        </x:is>
      </x:c>
      <x:c r="C140" s="5" t="inlineStr">
        <x:is>
          <x:t xml:space="preserve">flareon</x:t>
        </x:is>
      </x:c>
      <x:c r="D140" s="5" t="n">
        <x:v>1</x:v>
      </x:c>
      <x:c r="E140" s="10" t="n">
        <x:f>SUM(XLOOKUP('포켓몬_편집'!$AF140:$AN140,'분류_규칙'!$A$5:$A$76,'분류_규칙'!$E$5:$E$76,0))</x:f>
        <x:v>10</x:v>
      </x:c>
      <x:c r="F140" s="10" t="n">
        <x:f>SUM(XLOOKUP('포켓몬_편집'!$AF140:$AN140,'분류_규칙'!$A$5:$A$76,'분류_규칙'!$F$5:$F$76,0))</x:f>
        <x:v>7</x:v>
      </x:c>
      <x:c r="G140" s="10" t="n">
        <x:f>SUM(XLOOKUP('포켓몬_편집'!$AF140:$AN140,'분류_규칙'!$A$5:$A$76,'분류_규칙'!$G$5:$G$76,0))</x:f>
        <x:v>5</x:v>
      </x:c>
      <x:c r="H140" s="10" t="n">
        <x:f>SUM(XLOOKUP('포켓몬_편집'!$AF140:$AN140,'분류_규칙'!$A$5:$A$76,'분류_규칙'!$H$5:$H$76,0))</x:f>
        <x:v>5</x:v>
      </x:c>
      <x:c r="I140" s="10" t="n">
        <x:f>SUM(XLOOKUP('포켓몬_편집'!$AF140:$AN140,'분류_규칙'!$A$5:$A$76,'분류_규칙'!$I$5:$I$76,0))</x:f>
        <x:v>0</x:v>
      </x:c>
      <x:c r="J140" s="10" t="n">
        <x:f>SUM(XLOOKUP('포켓몬_편집'!$AF140:$AN140,'분류_규칙'!$A$5:$A$76,'분류_규칙'!$J$5:$J$76,0))</x:f>
        <x:v>2</x:v>
      </x:c>
      <x:c r="K140" s="10" t="n">
        <x:f>SUM(XLOOKUP('포켓몬_편집'!$AF140:$AN140,'분류_규칙'!$A$5:$A$76,'분류_규칙'!$K$5:$K$76,0))</x:f>
        <x:v>0</x:v>
      </x:c>
      <x:c r="L140" s="10" t="n">
        <x:f>SUM(XLOOKUP('포켓몬_편집'!$AF140:$AN140,'분류_규칙'!$A$5:$A$76,'분류_규칙'!$L$5:$L$76,0))</x:f>
        <x:v>0</x:v>
      </x:c>
      <x:c r="M140" s="10" t="n">
        <x:f>SUM(XLOOKUP('포켓몬_편집'!$AF140:$AN140,'분류_규칙'!$A$5:$A$76,'분류_규칙'!$M$5:$M$76,0))</x:f>
        <x:v>0</x:v>
      </x:c>
      <x:c r="N140" s="10" t="n">
        <x:f>SUM(XLOOKUP('포켓몬_편집'!$AF140:$AN140,'분류_규칙'!$A$5:$A$76,'분류_규칙'!$N$5:$N$76,0))</x:f>
        <x:v>0</x:v>
      </x:c>
      <x:c r="O140" s="10" t="n">
        <x:f>SUM(XLOOKUP('포켓몬_편집'!$AF140:$AN140,'분류_규칙'!$A$5:$A$76,'분류_규칙'!$O$5:$O$76,0))</x:f>
        <x:v>2</x:v>
      </x:c>
      <x:c r="P140" s="10" t="n">
        <x:f>SUM(XLOOKUP('포켓몬_편집'!$AF140:$AN140,'분류_규칙'!$A$5:$A$76,'분류_규칙'!$P$5:$P$76,0))</x:f>
        <x:v>0</x:v>
      </x:c>
    </x:row>
    <x:row r="141" ht="22" customHeight="1">
      <x:c r="A141" s="5" t="n">
        <x:v>137</x:v>
      </x:c>
      <x:c r="B141" s="5" t="inlineStr">
        <x:is>
          <x:t xml:space="preserve">폴리곤</x:t>
        </x:is>
      </x:c>
      <x:c r="C141" s="5" t="inlineStr">
        <x:is>
          <x:t xml:space="preserve">porygon</x:t>
        </x:is>
      </x:c>
      <x:c r="D141" s="5" t="n">
        <x:v>1</x:v>
      </x:c>
      <x:c r="E141" s="10" t="n">
        <x:f>SUM(XLOOKUP('포켓몬_편집'!$AF141:$AN141,'분류_규칙'!$A$5:$A$76,'분류_규칙'!$E$5:$E$76,0))</x:f>
        <x:v>0</x:v>
      </x:c>
      <x:c r="F141" s="10" t="n">
        <x:f>SUM(XLOOKUP('포켓몬_편집'!$AF141:$AN141,'분류_규칙'!$A$5:$A$76,'분류_규칙'!$F$5:$F$76,0))</x:f>
        <x:v>0</x:v>
      </x:c>
      <x:c r="G141" s="10" t="n">
        <x:f>SUM(XLOOKUP('포켓몬_편집'!$AF141:$AN141,'분류_규칙'!$A$5:$A$76,'분류_규칙'!$G$5:$G$76,0))</x:f>
        <x:v>0</x:v>
      </x:c>
      <x:c r="H141" s="10" t="n">
        <x:f>SUM(XLOOKUP('포켓몬_편집'!$AF141:$AN141,'분류_규칙'!$A$5:$A$76,'분류_규칙'!$H$5:$H$76,0))</x:f>
        <x:v>0</x:v>
      </x:c>
      <x:c r="I141" s="10" t="n">
        <x:f>SUM(XLOOKUP('포켓몬_편집'!$AF141:$AN141,'분류_규칙'!$A$5:$A$76,'분류_규칙'!$I$5:$I$76,0))</x:f>
        <x:v>0</x:v>
      </x:c>
      <x:c r="J141" s="10" t="n">
        <x:f>SUM(XLOOKUP('포켓몬_편집'!$AF141:$AN141,'분류_규칙'!$A$5:$A$76,'분류_규칙'!$J$5:$J$76,0))</x:f>
        <x:v>0</x:v>
      </x:c>
      <x:c r="K141" s="10" t="n">
        <x:f>SUM(XLOOKUP('포켓몬_편집'!$AF141:$AN141,'분류_규칙'!$A$5:$A$76,'분류_규칙'!$K$5:$K$76,0))</x:f>
        <x:v>0</x:v>
      </x:c>
      <x:c r="L141" s="10" t="n">
        <x:f>SUM(XLOOKUP('포켓몬_편집'!$AF141:$AN141,'분류_규칙'!$A$5:$A$76,'분류_규칙'!$L$5:$L$76,0))</x:f>
        <x:v>0</x:v>
      </x:c>
      <x:c r="M141" s="10" t="n">
        <x:f>SUM(XLOOKUP('포켓몬_편집'!$AF141:$AN141,'분류_규칙'!$A$5:$A$76,'분류_규칙'!$M$5:$M$76,0))</x:f>
        <x:v>0</x:v>
      </x:c>
      <x:c r="N141" s="10" t="n">
        <x:f>SUM(XLOOKUP('포켓몬_편집'!$AF141:$AN141,'분류_규칙'!$A$5:$A$76,'분류_규칙'!$N$5:$N$76,0))</x:f>
        <x:v>0</x:v>
      </x:c>
      <x:c r="O141" s="10" t="n">
        <x:f>SUM(XLOOKUP('포켓몬_편집'!$AF141:$AN141,'분류_규칙'!$A$5:$A$76,'분류_규칙'!$O$5:$O$76,0))</x:f>
        <x:v>30</x:v>
      </x:c>
      <x:c r="P141" s="10" t="n">
        <x:f>SUM(XLOOKUP('포켓몬_편집'!$AF141:$AN141,'분류_규칙'!$A$5:$A$76,'분류_규칙'!$P$5:$P$76,0))</x:f>
        <x:v>8</x:v>
      </x:c>
    </x:row>
    <x:row r="142" ht="22" customHeight="1">
      <x:c r="A142" s="5" t="n">
        <x:v>138</x:v>
      </x:c>
      <x:c r="B142" s="5" t="inlineStr">
        <x:is>
          <x:t xml:space="preserve">암나이트</x:t>
        </x:is>
      </x:c>
      <x:c r="C142" s="5" t="inlineStr">
        <x:is>
          <x:t xml:space="preserve">omanyte</x:t>
        </x:is>
      </x:c>
      <x:c r="D142" s="5" t="n">
        <x:v>1</x:v>
      </x:c>
      <x:c r="E142" s="10" t="n">
        <x:f>SUM(XLOOKUP('포켓몬_편집'!$AF142:$AN142,'분류_규칙'!$A$5:$A$76,'분류_규칙'!$E$5:$E$76,0))</x:f>
        <x:v>0</x:v>
      </x:c>
      <x:c r="F142" s="10" t="n">
        <x:f>SUM(XLOOKUP('포켓몬_편집'!$AF142:$AN142,'분류_규칙'!$A$5:$A$76,'분류_규칙'!$F$5:$F$76,0))</x:f>
        <x:v>0</x:v>
      </x:c>
      <x:c r="G142" s="10" t="n">
        <x:f>SUM(XLOOKUP('포켓몬_편집'!$AF142:$AN142,'분류_규칙'!$A$5:$A$76,'분류_규칙'!$G$5:$G$76,0))</x:f>
        <x:v>0</x:v>
      </x:c>
      <x:c r="H142" s="10" t="n">
        <x:f>SUM(XLOOKUP('포켓몬_편집'!$AF142:$AN142,'분류_규칙'!$A$5:$A$76,'분류_규칙'!$H$5:$H$76,0))</x:f>
        <x:v>0</x:v>
      </x:c>
      <x:c r="I142" s="10" t="n">
        <x:f>SUM(XLOOKUP('포켓몬_편집'!$AF142:$AN142,'분류_규칙'!$A$5:$A$76,'분류_규칙'!$I$5:$I$76,0))</x:f>
        <x:v>0</x:v>
      </x:c>
      <x:c r="J142" s="10" t="n">
        <x:f>SUM(XLOOKUP('포켓몬_편집'!$AF142:$AN142,'분류_규칙'!$A$5:$A$76,'분류_규칙'!$J$5:$J$76,0))</x:f>
        <x:v>22</x:v>
      </x:c>
      <x:c r="K142" s="10" t="n">
        <x:f>SUM(XLOOKUP('포켓몬_편집'!$AF142:$AN142,'분류_규칙'!$A$5:$A$76,'분류_규칙'!$K$5:$K$76,0))</x:f>
        <x:v>16</x:v>
      </x:c>
      <x:c r="L142" s="10" t="n">
        <x:f>SUM(XLOOKUP('포켓몬_편집'!$AF142:$AN142,'분류_규칙'!$A$5:$A$76,'분류_규칙'!$L$5:$L$76,0))</x:f>
        <x:v>8</x:v>
      </x:c>
      <x:c r="M142" s="10" t="n">
        <x:f>SUM(XLOOKUP('포켓몬_편집'!$AF142:$AN142,'분류_규칙'!$A$5:$A$76,'분류_규칙'!$M$5:$M$76,0))</x:f>
        <x:v>0</x:v>
      </x:c>
      <x:c r="N142" s="10" t="n">
        <x:f>SUM(XLOOKUP('포켓몬_편집'!$AF142:$AN142,'분류_규칙'!$A$5:$A$76,'분류_규칙'!$N$5:$N$76,0))</x:f>
        <x:v>0</x:v>
      </x:c>
      <x:c r="O142" s="10" t="n">
        <x:f>SUM(XLOOKUP('포켓몬_편집'!$AF142:$AN142,'분류_규칙'!$A$5:$A$76,'분류_규칙'!$O$5:$O$76,0))</x:f>
        <x:v>0</x:v>
      </x:c>
      <x:c r="P142" s="10" t="n">
        <x:f>SUM(XLOOKUP('포켓몬_편집'!$AF142:$AN142,'분류_규칙'!$A$5:$A$76,'분류_규칙'!$P$5:$P$76,0))</x:f>
        <x:v>0</x:v>
      </x:c>
    </x:row>
    <x:row r="143" ht="22" customHeight="1">
      <x:c r="A143" s="5" t="n">
        <x:v>139</x:v>
      </x:c>
      <x:c r="B143" s="5" t="inlineStr">
        <x:is>
          <x:t xml:space="preserve">암스타</x:t>
        </x:is>
      </x:c>
      <x:c r="C143" s="5" t="inlineStr">
        <x:is>
          <x:t xml:space="preserve">omastar</x:t>
        </x:is>
      </x:c>
      <x:c r="D143" s="5" t="n">
        <x:v>1</x:v>
      </x:c>
      <x:c r="E143" s="10" t="n">
        <x:f>SUM(XLOOKUP('포켓몬_편집'!$AF143:$AN143,'분류_규칙'!$A$5:$A$76,'분류_규칙'!$E$5:$E$76,0))</x:f>
        <x:v>0</x:v>
      </x:c>
      <x:c r="F143" s="10" t="n">
        <x:f>SUM(XLOOKUP('포켓몬_편집'!$AF143:$AN143,'분류_규칙'!$A$5:$A$76,'분류_규칙'!$F$5:$F$76,0))</x:f>
        <x:v>0</x:v>
      </x:c>
      <x:c r="G143" s="10" t="n">
        <x:f>SUM(XLOOKUP('포켓몬_편집'!$AF143:$AN143,'분류_규칙'!$A$5:$A$76,'분류_규칙'!$G$5:$G$76,0))</x:f>
        <x:v>0</x:v>
      </x:c>
      <x:c r="H143" s="10" t="n">
        <x:f>SUM(XLOOKUP('포켓몬_편집'!$AF143:$AN143,'분류_규칙'!$A$5:$A$76,'분류_규칙'!$H$5:$H$76,0))</x:f>
        <x:v>0</x:v>
      </x:c>
      <x:c r="I143" s="10" t="n">
        <x:f>SUM(XLOOKUP('포켓몬_편집'!$AF143:$AN143,'분류_규칙'!$A$5:$A$76,'분류_규칙'!$I$5:$I$76,0))</x:f>
        <x:v>0</x:v>
      </x:c>
      <x:c r="J143" s="10" t="n">
        <x:f>SUM(XLOOKUP('포켓몬_편집'!$AF143:$AN143,'분류_규칙'!$A$5:$A$76,'분류_규칙'!$J$5:$J$76,0))</x:f>
        <x:v>22</x:v>
      </x:c>
      <x:c r="K143" s="10" t="n">
        <x:f>SUM(XLOOKUP('포켓몬_편집'!$AF143:$AN143,'분류_규칙'!$A$5:$A$76,'분류_규칙'!$K$5:$K$76,0))</x:f>
        <x:v>16</x:v>
      </x:c>
      <x:c r="L143" s="10" t="n">
        <x:f>SUM(XLOOKUP('포켓몬_편집'!$AF143:$AN143,'분류_규칙'!$A$5:$A$76,'분류_규칙'!$L$5:$L$76,0))</x:f>
        <x:v>8</x:v>
      </x:c>
      <x:c r="M143" s="10" t="n">
        <x:f>SUM(XLOOKUP('포켓몬_편집'!$AF143:$AN143,'분류_규칙'!$A$5:$A$76,'분류_규칙'!$M$5:$M$76,0))</x:f>
        <x:v>0</x:v>
      </x:c>
      <x:c r="N143" s="10" t="n">
        <x:f>SUM(XLOOKUP('포켓몬_편집'!$AF143:$AN143,'분류_규칙'!$A$5:$A$76,'분류_규칙'!$N$5:$N$76,0))</x:f>
        <x:v>0</x:v>
      </x:c>
      <x:c r="O143" s="10" t="n">
        <x:f>SUM(XLOOKUP('포켓몬_편집'!$AF143:$AN143,'분류_규칙'!$A$5:$A$76,'분류_규칙'!$O$5:$O$76,0))</x:f>
        <x:v>0</x:v>
      </x:c>
      <x:c r="P143" s="10" t="n">
        <x:f>SUM(XLOOKUP('포켓몬_편집'!$AF143:$AN143,'분류_규칙'!$A$5:$A$76,'분류_규칙'!$P$5:$P$76,0))</x:f>
        <x:v>0</x:v>
      </x:c>
    </x:row>
    <x:row r="144" ht="22" customHeight="1">
      <x:c r="A144" s="5" t="n">
        <x:v>140</x:v>
      </x:c>
      <x:c r="B144" s="5" t="inlineStr">
        <x:is>
          <x:t xml:space="preserve">투구</x:t>
        </x:is>
      </x:c>
      <x:c r="C144" s="5" t="inlineStr">
        <x:is>
          <x:t xml:space="preserve">kabuto</x:t>
        </x:is>
      </x:c>
      <x:c r="D144" s="5" t="n">
        <x:v>1</x:v>
      </x:c>
      <x:c r="E144" s="10" t="n">
        <x:f>SUM(XLOOKUP('포켓몬_편집'!$AF144:$AN144,'분류_규칙'!$A$5:$A$76,'분류_규칙'!$E$5:$E$76,0))</x:f>
        <x:v>0</x:v>
      </x:c>
      <x:c r="F144" s="10" t="n">
        <x:f>SUM(XLOOKUP('포켓몬_편집'!$AF144:$AN144,'분류_규칙'!$A$5:$A$76,'분류_규칙'!$F$5:$F$76,0))</x:f>
        <x:v>0</x:v>
      </x:c>
      <x:c r="G144" s="10" t="n">
        <x:f>SUM(XLOOKUP('포켓몬_편집'!$AF144:$AN144,'분류_규칙'!$A$5:$A$76,'분류_규칙'!$G$5:$G$76,0))</x:f>
        <x:v>0</x:v>
      </x:c>
      <x:c r="H144" s="10" t="n">
        <x:f>SUM(XLOOKUP('포켓몬_편집'!$AF144:$AN144,'분류_규칙'!$A$5:$A$76,'분류_규칙'!$H$5:$H$76,0))</x:f>
        <x:v>0</x:v>
      </x:c>
      <x:c r="I144" s="10" t="n">
        <x:f>SUM(XLOOKUP('포켓몬_편집'!$AF144:$AN144,'분류_규칙'!$A$5:$A$76,'분류_규칙'!$I$5:$I$76,0))</x:f>
        <x:v>0</x:v>
      </x:c>
      <x:c r="J144" s="10" t="n">
        <x:f>SUM(XLOOKUP('포켓몬_편집'!$AF144:$AN144,'분류_규칙'!$A$5:$A$76,'분류_규칙'!$J$5:$J$76,0))</x:f>
        <x:v>22</x:v>
      </x:c>
      <x:c r="K144" s="10" t="n">
        <x:f>SUM(XLOOKUP('포켓몬_편집'!$AF144:$AN144,'분류_규칙'!$A$5:$A$76,'분류_규칙'!$K$5:$K$76,0))</x:f>
        <x:v>16</x:v>
      </x:c>
      <x:c r="L144" s="10" t="n">
        <x:f>SUM(XLOOKUP('포켓몬_편집'!$AF144:$AN144,'분류_규칙'!$A$5:$A$76,'분류_규칙'!$L$5:$L$76,0))</x:f>
        <x:v>8</x:v>
      </x:c>
      <x:c r="M144" s="10" t="n">
        <x:f>SUM(XLOOKUP('포켓몬_편집'!$AF144:$AN144,'분류_규칙'!$A$5:$A$76,'분류_규칙'!$M$5:$M$76,0))</x:f>
        <x:v>0</x:v>
      </x:c>
      <x:c r="N144" s="10" t="n">
        <x:f>SUM(XLOOKUP('포켓몬_편집'!$AF144:$AN144,'분류_규칙'!$A$5:$A$76,'분류_규칙'!$N$5:$N$76,0))</x:f>
        <x:v>0</x:v>
      </x:c>
      <x:c r="O144" s="10" t="n">
        <x:f>SUM(XLOOKUP('포켓몬_편집'!$AF144:$AN144,'분류_규칙'!$A$5:$A$76,'분류_규칙'!$O$5:$O$76,0))</x:f>
        <x:v>0</x:v>
      </x:c>
      <x:c r="P144" s="10" t="n">
        <x:f>SUM(XLOOKUP('포켓몬_편집'!$AF144:$AN144,'분류_규칙'!$A$5:$A$76,'분류_규칙'!$P$5:$P$76,0))</x:f>
        <x:v>0</x:v>
      </x:c>
    </x:row>
    <x:row r="145" ht="22" customHeight="1">
      <x:c r="A145" s="5" t="n">
        <x:v>141</x:v>
      </x:c>
      <x:c r="B145" s="5" t="inlineStr">
        <x:is>
          <x:t xml:space="preserve">투구푸스</x:t>
        </x:is>
      </x:c>
      <x:c r="C145" s="5" t="inlineStr">
        <x:is>
          <x:t xml:space="preserve">kabutops</x:t>
        </x:is>
      </x:c>
      <x:c r="D145" s="5" t="n">
        <x:v>1</x:v>
      </x:c>
      <x:c r="E145" s="10" t="n">
        <x:f>SUM(XLOOKUP('포켓몬_편집'!$AF145:$AN145,'분류_규칙'!$A$5:$A$76,'분류_규칙'!$E$5:$E$76,0))</x:f>
        <x:v>0</x:v>
      </x:c>
      <x:c r="F145" s="10" t="n">
        <x:f>SUM(XLOOKUP('포켓몬_편집'!$AF145:$AN145,'분류_규칙'!$A$5:$A$76,'분류_규칙'!$F$5:$F$76,0))</x:f>
        <x:v>0</x:v>
      </x:c>
      <x:c r="G145" s="10" t="n">
        <x:f>SUM(XLOOKUP('포켓몬_편집'!$AF145:$AN145,'분류_규칙'!$A$5:$A$76,'분류_규칙'!$G$5:$G$76,0))</x:f>
        <x:v>0</x:v>
      </x:c>
      <x:c r="H145" s="10" t="n">
        <x:f>SUM(XLOOKUP('포켓몬_편집'!$AF145:$AN145,'분류_규칙'!$A$5:$A$76,'분류_규칙'!$H$5:$H$76,0))</x:f>
        <x:v>0</x:v>
      </x:c>
      <x:c r="I145" s="10" t="n">
        <x:f>SUM(XLOOKUP('포켓몬_편집'!$AF145:$AN145,'분류_규칙'!$A$5:$A$76,'분류_규칙'!$I$5:$I$76,0))</x:f>
        <x:v>0</x:v>
      </x:c>
      <x:c r="J145" s="10" t="n">
        <x:f>SUM(XLOOKUP('포켓몬_편집'!$AF145:$AN145,'분류_규칙'!$A$5:$A$76,'분류_규칙'!$J$5:$J$76,0))</x:f>
        <x:v>22</x:v>
      </x:c>
      <x:c r="K145" s="10" t="n">
        <x:f>SUM(XLOOKUP('포켓몬_편집'!$AF145:$AN145,'분류_규칙'!$A$5:$A$76,'분류_규칙'!$K$5:$K$76,0))</x:f>
        <x:v>16</x:v>
      </x:c>
      <x:c r="L145" s="10" t="n">
        <x:f>SUM(XLOOKUP('포켓몬_편집'!$AF145:$AN145,'분류_규칙'!$A$5:$A$76,'분류_규칙'!$L$5:$L$76,0))</x:f>
        <x:v>8</x:v>
      </x:c>
      <x:c r="M145" s="10" t="n">
        <x:f>SUM(XLOOKUP('포켓몬_편집'!$AF145:$AN145,'분류_규칙'!$A$5:$A$76,'분류_규칙'!$M$5:$M$76,0))</x:f>
        <x:v>0</x:v>
      </x:c>
      <x:c r="N145" s="10" t="n">
        <x:f>SUM(XLOOKUP('포켓몬_편집'!$AF145:$AN145,'분류_규칙'!$A$5:$A$76,'분류_규칙'!$N$5:$N$76,0))</x:f>
        <x:v>0</x:v>
      </x:c>
      <x:c r="O145" s="10" t="n">
        <x:f>SUM(XLOOKUP('포켓몬_편집'!$AF145:$AN145,'분류_규칙'!$A$5:$A$76,'분류_규칙'!$O$5:$O$76,0))</x:f>
        <x:v>0</x:v>
      </x:c>
      <x:c r="P145" s="10" t="n">
        <x:f>SUM(XLOOKUP('포켓몬_편집'!$AF145:$AN145,'분류_규칙'!$A$5:$A$76,'분류_규칙'!$P$5:$P$76,0))</x:f>
        <x:v>0</x:v>
      </x:c>
    </x:row>
    <x:row r="146" ht="22" customHeight="1">
      <x:c r="A146" s="5" t="n">
        <x:v>142</x:v>
      </x:c>
      <x:c r="B146" s="5" t="inlineStr">
        <x:is>
          <x:t xml:space="preserve">프테라</x:t>
        </x:is>
      </x:c>
      <x:c r="C146" s="5" t="inlineStr">
        <x:is>
          <x:t xml:space="preserve">aerodactyl</x:t>
        </x:is>
      </x:c>
      <x:c r="D146" s="5" t="n">
        <x:v>1</x:v>
      </x:c>
      <x:c r="E146" s="10" t="n">
        <x:f>SUM(XLOOKUP('포켓몬_편집'!$AF146:$AN146,'분류_규칙'!$A$5:$A$76,'분류_규칙'!$E$5:$E$76,0))</x:f>
        <x:v>8</x:v>
      </x:c>
      <x:c r="F146" s="10" t="n">
        <x:f>SUM(XLOOKUP('포켓몬_편집'!$AF146:$AN146,'분류_규칙'!$A$5:$A$76,'분류_규칙'!$F$5:$F$76,0))</x:f>
        <x:v>8</x:v>
      </x:c>
      <x:c r="G146" s="10" t="n">
        <x:f>SUM(XLOOKUP('포켓몬_편집'!$AF146:$AN146,'분류_규칙'!$A$5:$A$76,'분류_규칙'!$G$5:$G$76,0))</x:f>
        <x:v>0</x:v>
      </x:c>
      <x:c r="H146" s="10" t="n">
        <x:f>SUM(XLOOKUP('포켓몬_편집'!$AF146:$AN146,'분류_규칙'!$A$5:$A$76,'분류_규칙'!$H$5:$H$76,0))</x:f>
        <x:v>12</x:v>
      </x:c>
      <x:c r="I146" s="10" t="n">
        <x:f>SUM(XLOOKUP('포켓몬_편집'!$AF146:$AN146,'분류_규칙'!$A$5:$A$76,'분류_규칙'!$I$5:$I$76,0))</x:f>
        <x:v>0</x:v>
      </x:c>
      <x:c r="J146" s="10" t="n">
        <x:f>SUM(XLOOKUP('포켓몬_편집'!$AF146:$AN146,'분류_규칙'!$A$5:$A$76,'분류_규칙'!$J$5:$J$76,0))</x:f>
        <x:v>0</x:v>
      </x:c>
      <x:c r="K146" s="10" t="n">
        <x:f>SUM(XLOOKUP('포켓몬_편집'!$AF146:$AN146,'분류_규칙'!$A$5:$A$76,'분류_규칙'!$K$5:$K$76,0))</x:f>
        <x:v>0</x:v>
      </x:c>
      <x:c r="L146" s="10" t="n">
        <x:f>SUM(XLOOKUP('포켓몬_편집'!$AF146:$AN146,'분류_규칙'!$A$5:$A$76,'분류_규칙'!$L$5:$L$76,0))</x:f>
        <x:v>3</x:v>
      </x:c>
      <x:c r="M146" s="10" t="n">
        <x:f>SUM(XLOOKUP('포켓몬_편집'!$AF146:$AN146,'분류_규칙'!$A$5:$A$76,'분류_규칙'!$M$5:$M$76,0))</x:f>
        <x:v>0</x:v>
      </x:c>
      <x:c r="N146" s="10" t="n">
        <x:f>SUM(XLOOKUP('포켓몬_편집'!$AF146:$AN146,'분류_규칙'!$A$5:$A$76,'분류_규칙'!$N$5:$N$76,0))</x:f>
        <x:v>0</x:v>
      </x:c>
      <x:c r="O146" s="10" t="n">
        <x:f>SUM(XLOOKUP('포켓몬_편집'!$AF146:$AN146,'분류_규칙'!$A$5:$A$76,'분류_규칙'!$O$5:$O$76,0))</x:f>
        <x:v>2</x:v>
      </x:c>
      <x:c r="P146" s="10" t="n">
        <x:f>SUM(XLOOKUP('포켓몬_편집'!$AF146:$AN146,'분류_규칙'!$A$5:$A$76,'분류_규칙'!$P$5:$P$76,0))</x:f>
        <x:v>0</x:v>
      </x:c>
    </x:row>
    <x:row r="147" ht="22" customHeight="1">
      <x:c r="A147" s="5" t="n">
        <x:v>143</x:v>
      </x:c>
      <x:c r="B147" s="5" t="inlineStr">
        <x:is>
          <x:t xml:space="preserve">잠만보</x:t>
        </x:is>
      </x:c>
      <x:c r="C147" s="5" t="inlineStr">
        <x:is>
          <x:t xml:space="preserve">snorlax</x:t>
        </x:is>
      </x:c>
      <x:c r="D147" s="5" t="n">
        <x:v>1</x:v>
      </x:c>
      <x:c r="E147" s="10" t="n">
        <x:f>SUM(XLOOKUP('포켓몬_편집'!$AF147:$AN147,'분류_규칙'!$A$5:$A$76,'분류_규칙'!$E$5:$E$76,0))</x:f>
        <x:v>10</x:v>
      </x:c>
      <x:c r="F147" s="10" t="n">
        <x:f>SUM(XLOOKUP('포켓몬_편집'!$AF147:$AN147,'분류_규칙'!$A$5:$A$76,'분류_규칙'!$F$5:$F$76,0))</x:f>
        <x:v>7</x:v>
      </x:c>
      <x:c r="G147" s="10" t="n">
        <x:f>SUM(XLOOKUP('포켓몬_편집'!$AF147:$AN147,'분류_규칙'!$A$5:$A$76,'분류_규칙'!$G$5:$G$76,0))</x:f>
        <x:v>5</x:v>
      </x:c>
      <x:c r="H147" s="10" t="n">
        <x:f>SUM(XLOOKUP('포켓몬_편집'!$AF147:$AN147,'분류_규칙'!$A$5:$A$76,'분류_규칙'!$H$5:$H$76,0))</x:f>
        <x:v>5</x:v>
      </x:c>
      <x:c r="I147" s="10" t="n">
        <x:f>SUM(XLOOKUP('포켓몬_편집'!$AF147:$AN147,'분류_규칙'!$A$5:$A$76,'분류_규칙'!$I$5:$I$76,0))</x:f>
        <x:v>0</x:v>
      </x:c>
      <x:c r="J147" s="10" t="n">
        <x:f>SUM(XLOOKUP('포켓몬_편집'!$AF147:$AN147,'분류_규칙'!$A$5:$A$76,'분류_규칙'!$J$5:$J$76,0))</x:f>
        <x:v>2</x:v>
      </x:c>
      <x:c r="K147" s="10" t="n">
        <x:f>SUM(XLOOKUP('포켓몬_편집'!$AF147:$AN147,'분류_규칙'!$A$5:$A$76,'분류_규칙'!$K$5:$K$76,0))</x:f>
        <x:v>0</x:v>
      </x:c>
      <x:c r="L147" s="10" t="n">
        <x:f>SUM(XLOOKUP('포켓몬_편집'!$AF147:$AN147,'분류_규칙'!$A$5:$A$76,'분류_규칙'!$L$5:$L$76,0))</x:f>
        <x:v>0</x:v>
      </x:c>
      <x:c r="M147" s="10" t="n">
        <x:f>SUM(XLOOKUP('포켓몬_편집'!$AF147:$AN147,'분류_규칙'!$A$5:$A$76,'분류_규칙'!$M$5:$M$76,0))</x:f>
        <x:v>0</x:v>
      </x:c>
      <x:c r="N147" s="10" t="n">
        <x:f>SUM(XLOOKUP('포켓몬_편집'!$AF147:$AN147,'분류_규칙'!$A$5:$A$76,'분류_규칙'!$N$5:$N$76,0))</x:f>
        <x:v>0</x:v>
      </x:c>
      <x:c r="O147" s="10" t="n">
        <x:f>SUM(XLOOKUP('포켓몬_편집'!$AF147:$AN147,'분류_규칙'!$A$5:$A$76,'분류_규칙'!$O$5:$O$76,0))</x:f>
        <x:v>2</x:v>
      </x:c>
      <x:c r="P147" s="10" t="n">
        <x:f>SUM(XLOOKUP('포켓몬_편집'!$AF147:$AN147,'분류_규칙'!$A$5:$A$76,'분류_규칙'!$P$5:$P$76,0))</x:f>
        <x:v>0</x:v>
      </x:c>
    </x:row>
    <x:row r="148" ht="22" customHeight="1">
      <x:c r="A148" s="5" t="n">
        <x:v>144</x:v>
      </x:c>
      <x:c r="B148" s="5" t="inlineStr">
        <x:is>
          <x:t xml:space="preserve">프리져</x:t>
        </x:is>
      </x:c>
      <x:c r="C148" s="5" t="inlineStr">
        <x:is>
          <x:t xml:space="preserve">articuno</x:t>
        </x:is>
      </x:c>
      <x:c r="D148" s="5" t="n">
        <x:v>1</x:v>
      </x:c>
      <x:c r="E148" s="10" t="n">
        <x:f>SUM(XLOOKUP('포켓몬_편집'!$AF148:$AN148,'분류_규칙'!$A$5:$A$76,'분류_규칙'!$E$5:$E$76,0))</x:f>
        <x:v>8</x:v>
      </x:c>
      <x:c r="F148" s="10" t="n">
        <x:f>SUM(XLOOKUP('포켓몬_편집'!$AF148:$AN148,'분류_규칙'!$A$5:$A$76,'분류_규칙'!$F$5:$F$76,0))</x:f>
        <x:v>8</x:v>
      </x:c>
      <x:c r="G148" s="10" t="n">
        <x:f>SUM(XLOOKUP('포켓몬_편집'!$AF148:$AN148,'분류_규칙'!$A$5:$A$76,'분류_규칙'!$G$5:$G$76,0))</x:f>
        <x:v>0</x:v>
      </x:c>
      <x:c r="H148" s="10" t="n">
        <x:f>SUM(XLOOKUP('포켓몬_편집'!$AF148:$AN148,'분류_규칙'!$A$5:$A$76,'분류_규칙'!$H$5:$H$76,0))</x:f>
        <x:v>12</x:v>
      </x:c>
      <x:c r="I148" s="10" t="n">
        <x:f>SUM(XLOOKUP('포켓몬_편집'!$AF148:$AN148,'분류_규칙'!$A$5:$A$76,'분류_규칙'!$I$5:$I$76,0))</x:f>
        <x:v>0</x:v>
      </x:c>
      <x:c r="J148" s="10" t="n">
        <x:f>SUM(XLOOKUP('포켓몬_편집'!$AF148:$AN148,'분류_규칙'!$A$5:$A$76,'분류_규칙'!$J$5:$J$76,0))</x:f>
        <x:v>0</x:v>
      </x:c>
      <x:c r="K148" s="10" t="n">
        <x:f>SUM(XLOOKUP('포켓몬_편집'!$AF148:$AN148,'분류_규칙'!$A$5:$A$76,'분류_규칙'!$K$5:$K$76,0))</x:f>
        <x:v>0</x:v>
      </x:c>
      <x:c r="L148" s="10" t="n">
        <x:f>SUM(XLOOKUP('포켓몬_편집'!$AF148:$AN148,'분류_규칙'!$A$5:$A$76,'분류_규칙'!$L$5:$L$76,0))</x:f>
        <x:v>3</x:v>
      </x:c>
      <x:c r="M148" s="10" t="n">
        <x:f>SUM(XLOOKUP('포켓몬_편집'!$AF148:$AN148,'분류_규칙'!$A$5:$A$76,'분류_규칙'!$M$5:$M$76,0))</x:f>
        <x:v>0</x:v>
      </x:c>
      <x:c r="N148" s="10" t="n">
        <x:f>SUM(XLOOKUP('포켓몬_편집'!$AF148:$AN148,'분류_규칙'!$A$5:$A$76,'분류_규칙'!$N$5:$N$76,0))</x:f>
        <x:v>0</x:v>
      </x:c>
      <x:c r="O148" s="10" t="n">
        <x:f>SUM(XLOOKUP('포켓몬_편집'!$AF148:$AN148,'분류_규칙'!$A$5:$A$76,'분류_규칙'!$O$5:$O$76,0))</x:f>
        <x:v>2</x:v>
      </x:c>
      <x:c r="P148" s="10" t="n">
        <x:f>SUM(XLOOKUP('포켓몬_편집'!$AF148:$AN148,'분류_규칙'!$A$5:$A$76,'분류_규칙'!$P$5:$P$76,0))</x:f>
        <x:v>0</x:v>
      </x:c>
    </x:row>
    <x:row r="149" ht="22" customHeight="1">
      <x:c r="A149" s="5" t="n">
        <x:v>145</x:v>
      </x:c>
      <x:c r="B149" s="5" t="inlineStr">
        <x:is>
          <x:t xml:space="preserve">썬더</x:t>
        </x:is>
      </x:c>
      <x:c r="C149" s="5" t="inlineStr">
        <x:is>
          <x:t xml:space="preserve">zapdos</x:t>
        </x:is>
      </x:c>
      <x:c r="D149" s="5" t="n">
        <x:v>1</x:v>
      </x:c>
      <x:c r="E149" s="10" t="n">
        <x:f>SUM(XLOOKUP('포켓몬_편집'!$AF149:$AN149,'분류_규칙'!$A$5:$A$76,'분류_규칙'!$E$5:$E$76,0))</x:f>
        <x:v>8</x:v>
      </x:c>
      <x:c r="F149" s="10" t="n">
        <x:f>SUM(XLOOKUP('포켓몬_편집'!$AF149:$AN149,'분류_규칙'!$A$5:$A$76,'분류_규칙'!$F$5:$F$76,0))</x:f>
        <x:v>8</x:v>
      </x:c>
      <x:c r="G149" s="10" t="n">
        <x:f>SUM(XLOOKUP('포켓몬_편집'!$AF149:$AN149,'분류_규칙'!$A$5:$A$76,'분류_규칙'!$G$5:$G$76,0))</x:f>
        <x:v>0</x:v>
      </x:c>
      <x:c r="H149" s="10" t="n">
        <x:f>SUM(XLOOKUP('포켓몬_편집'!$AF149:$AN149,'분류_규칙'!$A$5:$A$76,'분류_규칙'!$H$5:$H$76,0))</x:f>
        <x:v>12</x:v>
      </x:c>
      <x:c r="I149" s="10" t="n">
        <x:f>SUM(XLOOKUP('포켓몬_편집'!$AF149:$AN149,'분류_규칙'!$A$5:$A$76,'분류_규칙'!$I$5:$I$76,0))</x:f>
        <x:v>0</x:v>
      </x:c>
      <x:c r="J149" s="10" t="n">
        <x:f>SUM(XLOOKUP('포켓몬_편집'!$AF149:$AN149,'분류_규칙'!$A$5:$A$76,'분류_규칙'!$J$5:$J$76,0))</x:f>
        <x:v>0</x:v>
      </x:c>
      <x:c r="K149" s="10" t="n">
        <x:f>SUM(XLOOKUP('포켓몬_편집'!$AF149:$AN149,'분류_규칙'!$A$5:$A$76,'분류_규칙'!$K$5:$K$76,0))</x:f>
        <x:v>0</x:v>
      </x:c>
      <x:c r="L149" s="10" t="n">
        <x:f>SUM(XLOOKUP('포켓몬_편집'!$AF149:$AN149,'분류_규칙'!$A$5:$A$76,'분류_규칙'!$L$5:$L$76,0))</x:f>
        <x:v>3</x:v>
      </x:c>
      <x:c r="M149" s="10" t="n">
        <x:f>SUM(XLOOKUP('포켓몬_편집'!$AF149:$AN149,'분류_규칙'!$A$5:$A$76,'분류_규칙'!$M$5:$M$76,0))</x:f>
        <x:v>0</x:v>
      </x:c>
      <x:c r="N149" s="10" t="n">
        <x:f>SUM(XLOOKUP('포켓몬_편집'!$AF149:$AN149,'분류_규칙'!$A$5:$A$76,'분류_규칙'!$N$5:$N$76,0))</x:f>
        <x:v>0</x:v>
      </x:c>
      <x:c r="O149" s="10" t="n">
        <x:f>SUM(XLOOKUP('포켓몬_편집'!$AF149:$AN149,'분류_규칙'!$A$5:$A$76,'분류_규칙'!$O$5:$O$76,0))</x:f>
        <x:v>2</x:v>
      </x:c>
      <x:c r="P149" s="10" t="n">
        <x:f>SUM(XLOOKUP('포켓몬_편집'!$AF149:$AN149,'분류_규칙'!$A$5:$A$76,'분류_규칙'!$P$5:$P$76,0))</x:f>
        <x:v>0</x:v>
      </x:c>
    </x:row>
    <x:row r="150" ht="22" customHeight="1">
      <x:c r="A150" s="5" t="n">
        <x:v>146</x:v>
      </x:c>
      <x:c r="B150" s="5" t="inlineStr">
        <x:is>
          <x:t xml:space="preserve">파이어</x:t>
        </x:is>
      </x:c>
      <x:c r="C150" s="5" t="inlineStr">
        <x:is>
          <x:t xml:space="preserve">moltres</x:t>
        </x:is>
      </x:c>
      <x:c r="D150" s="5" t="n">
        <x:v>1</x:v>
      </x:c>
      <x:c r="E150" s="10" t="n">
        <x:f>SUM(XLOOKUP('포켓몬_편집'!$AF150:$AN150,'분류_규칙'!$A$5:$A$76,'분류_규칙'!$E$5:$E$76,0))</x:f>
        <x:v>8</x:v>
      </x:c>
      <x:c r="F150" s="10" t="n">
        <x:f>SUM(XLOOKUP('포켓몬_편집'!$AF150:$AN150,'분류_규칙'!$A$5:$A$76,'분류_규칙'!$F$5:$F$76,0))</x:f>
        <x:v>8</x:v>
      </x:c>
      <x:c r="G150" s="10" t="n">
        <x:f>SUM(XLOOKUP('포켓몬_편집'!$AF150:$AN150,'분류_규칙'!$A$5:$A$76,'분류_규칙'!$G$5:$G$76,0))</x:f>
        <x:v>0</x:v>
      </x:c>
      <x:c r="H150" s="10" t="n">
        <x:f>SUM(XLOOKUP('포켓몬_편집'!$AF150:$AN150,'분류_규칙'!$A$5:$A$76,'분류_규칙'!$H$5:$H$76,0))</x:f>
        <x:v>12</x:v>
      </x:c>
      <x:c r="I150" s="10" t="n">
        <x:f>SUM(XLOOKUP('포켓몬_편집'!$AF150:$AN150,'분류_규칙'!$A$5:$A$76,'분류_규칙'!$I$5:$I$76,0))</x:f>
        <x:v>0</x:v>
      </x:c>
      <x:c r="J150" s="10" t="n">
        <x:f>SUM(XLOOKUP('포켓몬_편집'!$AF150:$AN150,'분류_규칙'!$A$5:$A$76,'분류_규칙'!$J$5:$J$76,0))</x:f>
        <x:v>0</x:v>
      </x:c>
      <x:c r="K150" s="10" t="n">
        <x:f>SUM(XLOOKUP('포켓몬_편집'!$AF150:$AN150,'분류_규칙'!$A$5:$A$76,'분류_규칙'!$K$5:$K$76,0))</x:f>
        <x:v>0</x:v>
      </x:c>
      <x:c r="L150" s="10" t="n">
        <x:f>SUM(XLOOKUP('포켓몬_편집'!$AF150:$AN150,'분류_규칙'!$A$5:$A$76,'분류_규칙'!$L$5:$L$76,0))</x:f>
        <x:v>3</x:v>
      </x:c>
      <x:c r="M150" s="10" t="n">
        <x:f>SUM(XLOOKUP('포켓몬_편집'!$AF150:$AN150,'분류_규칙'!$A$5:$A$76,'분류_규칙'!$M$5:$M$76,0))</x:f>
        <x:v>0</x:v>
      </x:c>
      <x:c r="N150" s="10" t="n">
        <x:f>SUM(XLOOKUP('포켓몬_편집'!$AF150:$AN150,'분류_규칙'!$A$5:$A$76,'분류_규칙'!$N$5:$N$76,0))</x:f>
        <x:v>0</x:v>
      </x:c>
      <x:c r="O150" s="10" t="n">
        <x:f>SUM(XLOOKUP('포켓몬_편집'!$AF150:$AN150,'분류_규칙'!$A$5:$A$76,'분류_규칙'!$O$5:$O$76,0))</x:f>
        <x:v>2</x:v>
      </x:c>
      <x:c r="P150" s="10" t="n">
        <x:f>SUM(XLOOKUP('포켓몬_편집'!$AF150:$AN150,'분류_규칙'!$A$5:$A$76,'분류_규칙'!$P$5:$P$76,0))</x:f>
        <x:v>0</x:v>
      </x:c>
    </x:row>
    <x:row r="151" ht="22" customHeight="1">
      <x:c r="A151" s="5" t="n">
        <x:v>147</x:v>
      </x:c>
      <x:c r="B151" s="5" t="inlineStr">
        <x:is>
          <x:t xml:space="preserve">미뇽</x:t>
        </x:is>
      </x:c>
      <x:c r="C151" s="5" t="inlineStr">
        <x:is>
          <x:t xml:space="preserve">dratini</x:t>
        </x:is>
      </x:c>
      <x:c r="D151" s="5" t="n">
        <x:v>1</x:v>
      </x:c>
      <x:c r="E151" s="10" t="n">
        <x:f>SUM(XLOOKUP('포켓몬_편집'!$AF151:$AN151,'분류_규칙'!$A$5:$A$76,'분류_규칙'!$E$5:$E$76,0))</x:f>
        <x:v>0</x:v>
      </x:c>
      <x:c r="F151" s="10" t="n">
        <x:f>SUM(XLOOKUP('포켓몬_편집'!$AF151:$AN151,'분류_규칙'!$A$5:$A$76,'분류_규칙'!$F$5:$F$76,0))</x:f>
        <x:v>0</x:v>
      </x:c>
      <x:c r="G151" s="10" t="n">
        <x:f>SUM(XLOOKUP('포켓몬_편집'!$AF151:$AN151,'분류_규칙'!$A$5:$A$76,'분류_규칙'!$G$5:$G$76,0))</x:f>
        <x:v>0</x:v>
      </x:c>
      <x:c r="H151" s="10" t="n">
        <x:f>SUM(XLOOKUP('포켓몬_편집'!$AF151:$AN151,'분류_규칙'!$A$5:$A$76,'분류_규칙'!$H$5:$H$76,0))</x:f>
        <x:v>0</x:v>
      </x:c>
      <x:c r="I151" s="10" t="n">
        <x:f>SUM(XLOOKUP('포켓몬_편집'!$AF151:$AN151,'분류_규칙'!$A$5:$A$76,'분류_규칙'!$I$5:$I$76,0))</x:f>
        <x:v>0</x:v>
      </x:c>
      <x:c r="J151" s="10" t="n">
        <x:f>SUM(XLOOKUP('포켓몬_편집'!$AF151:$AN151,'분류_규칙'!$A$5:$A$76,'분류_규칙'!$J$5:$J$76,0))</x:f>
        <x:v>3</x:v>
      </x:c>
      <x:c r="K151" s="10" t="n">
        <x:f>SUM(XLOOKUP('포켓몬_편집'!$AF151:$AN151,'분류_규칙'!$A$5:$A$76,'분류_규칙'!$K$5:$K$76,0))</x:f>
        <x:v>0</x:v>
      </x:c>
      <x:c r="L151" s="10" t="n">
        <x:f>SUM(XLOOKUP('포켓몬_편집'!$AF151:$AN151,'분류_규칙'!$A$5:$A$76,'분류_규칙'!$L$5:$L$76,0))</x:f>
        <x:v>30</x:v>
      </x:c>
      <x:c r="M151" s="10" t="n">
        <x:f>SUM(XLOOKUP('포켓몬_편집'!$AF151:$AN151,'분류_규칙'!$A$5:$A$76,'분류_규칙'!$M$5:$M$76,0))</x:f>
        <x:v>0</x:v>
      </x:c>
      <x:c r="N151" s="10" t="n">
        <x:f>SUM(XLOOKUP('포켓몬_편집'!$AF151:$AN151,'분류_규칙'!$A$5:$A$76,'분류_규칙'!$N$5:$N$76,0))</x:f>
        <x:v>0</x:v>
      </x:c>
      <x:c r="O151" s="10" t="n">
        <x:f>SUM(XLOOKUP('포켓몬_편집'!$AF151:$AN151,'분류_규칙'!$A$5:$A$76,'분류_규칙'!$O$5:$O$76,0))</x:f>
        <x:v>0</x:v>
      </x:c>
      <x:c r="P151" s="10" t="n">
        <x:f>SUM(XLOOKUP('포켓몬_편집'!$AF151:$AN151,'분류_규칙'!$A$5:$A$76,'분류_규칙'!$P$5:$P$76,0))</x:f>
        <x:v>0</x:v>
      </x:c>
    </x:row>
    <x:row r="152" ht="22" customHeight="1">
      <x:c r="A152" s="5" t="n">
        <x:v>148</x:v>
      </x:c>
      <x:c r="B152" s="5" t="inlineStr">
        <x:is>
          <x:t xml:space="preserve">신뇽</x:t>
        </x:is>
      </x:c>
      <x:c r="C152" s="5" t="inlineStr">
        <x:is>
          <x:t xml:space="preserve">dragonair</x:t>
        </x:is>
      </x:c>
      <x:c r="D152" s="5" t="n">
        <x:v>1</x:v>
      </x:c>
      <x:c r="E152" s="10" t="n">
        <x:f>SUM(XLOOKUP('포켓몬_편집'!$AF152:$AN152,'분류_규칙'!$A$5:$A$76,'분류_규칙'!$E$5:$E$76,0))</x:f>
        <x:v>0</x:v>
      </x:c>
      <x:c r="F152" s="10" t="n">
        <x:f>SUM(XLOOKUP('포켓몬_편집'!$AF152:$AN152,'분류_규칙'!$A$5:$A$76,'분류_규칙'!$F$5:$F$76,0))</x:f>
        <x:v>0</x:v>
      </x:c>
      <x:c r="G152" s="10" t="n">
        <x:f>SUM(XLOOKUP('포켓몬_편집'!$AF152:$AN152,'분류_규칙'!$A$5:$A$76,'분류_규칙'!$G$5:$G$76,0))</x:f>
        <x:v>0</x:v>
      </x:c>
      <x:c r="H152" s="10" t="n">
        <x:f>SUM(XLOOKUP('포켓몬_편집'!$AF152:$AN152,'분류_규칙'!$A$5:$A$76,'분류_규칙'!$H$5:$H$76,0))</x:f>
        <x:v>0</x:v>
      </x:c>
      <x:c r="I152" s="10" t="n">
        <x:f>SUM(XLOOKUP('포켓몬_편집'!$AF152:$AN152,'분류_규칙'!$A$5:$A$76,'분류_규칙'!$I$5:$I$76,0))</x:f>
        <x:v>0</x:v>
      </x:c>
      <x:c r="J152" s="10" t="n">
        <x:f>SUM(XLOOKUP('포켓몬_편집'!$AF152:$AN152,'분류_규칙'!$A$5:$A$76,'분류_규칙'!$J$5:$J$76,0))</x:f>
        <x:v>3</x:v>
      </x:c>
      <x:c r="K152" s="10" t="n">
        <x:f>SUM(XLOOKUP('포켓몬_편집'!$AF152:$AN152,'분류_규칙'!$A$5:$A$76,'분류_규칙'!$K$5:$K$76,0))</x:f>
        <x:v>0</x:v>
      </x:c>
      <x:c r="L152" s="10" t="n">
        <x:f>SUM(XLOOKUP('포켓몬_편집'!$AF152:$AN152,'분류_규칙'!$A$5:$A$76,'분류_규칙'!$L$5:$L$76,0))</x:f>
        <x:v>30</x:v>
      </x:c>
      <x:c r="M152" s="10" t="n">
        <x:f>SUM(XLOOKUP('포켓몬_편집'!$AF152:$AN152,'분류_규칙'!$A$5:$A$76,'분류_규칙'!$M$5:$M$76,0))</x:f>
        <x:v>0</x:v>
      </x:c>
      <x:c r="N152" s="10" t="n">
        <x:f>SUM(XLOOKUP('포켓몬_편집'!$AF152:$AN152,'분류_규칙'!$A$5:$A$76,'분류_규칙'!$N$5:$N$76,0))</x:f>
        <x:v>0</x:v>
      </x:c>
      <x:c r="O152" s="10" t="n">
        <x:f>SUM(XLOOKUP('포켓몬_편집'!$AF152:$AN152,'분류_규칙'!$A$5:$A$76,'분류_규칙'!$O$5:$O$76,0))</x:f>
        <x:v>0</x:v>
      </x:c>
      <x:c r="P152" s="10" t="n">
        <x:f>SUM(XLOOKUP('포켓몬_편집'!$AF152:$AN152,'분류_규칙'!$A$5:$A$76,'분류_규칙'!$P$5:$P$76,0))</x:f>
        <x:v>0</x:v>
      </x:c>
    </x:row>
    <x:row r="153" ht="22" customHeight="1">
      <x:c r="A153" s="5" t="n">
        <x:v>149</x:v>
      </x:c>
      <x:c r="B153" s="5" t="inlineStr">
        <x:is>
          <x:t xml:space="preserve">망나뇽</x:t>
        </x:is>
      </x:c>
      <x:c r="C153" s="5" t="inlineStr">
        <x:is>
          <x:t xml:space="preserve">dragonite</x:t>
        </x:is>
      </x:c>
      <x:c r="D153" s="5" t="n">
        <x:v>1</x:v>
      </x:c>
      <x:c r="E153" s="10" t="n">
        <x:f>SUM(XLOOKUP('포켓몬_편집'!$AF153:$AN153,'분류_규칙'!$A$5:$A$76,'분류_규칙'!$E$5:$E$76,0))</x:f>
        <x:v>0</x:v>
      </x:c>
      <x:c r="F153" s="10" t="n">
        <x:f>SUM(XLOOKUP('포켓몬_편집'!$AF153:$AN153,'분류_규칙'!$A$5:$A$76,'분류_규칙'!$F$5:$F$76,0))</x:f>
        <x:v>0</x:v>
      </x:c>
      <x:c r="G153" s="10" t="n">
        <x:f>SUM(XLOOKUP('포켓몬_편집'!$AF153:$AN153,'분류_규칙'!$A$5:$A$76,'분류_규칙'!$G$5:$G$76,0))</x:f>
        <x:v>0</x:v>
      </x:c>
      <x:c r="H153" s="10" t="n">
        <x:f>SUM(XLOOKUP('포켓몬_편집'!$AF153:$AN153,'분류_규칙'!$A$5:$A$76,'분류_규칙'!$H$5:$H$76,0))</x:f>
        <x:v>0</x:v>
      </x:c>
      <x:c r="I153" s="10" t="n">
        <x:f>SUM(XLOOKUP('포켓몬_편집'!$AF153:$AN153,'분류_규칙'!$A$5:$A$76,'분류_규칙'!$I$5:$I$76,0))</x:f>
        <x:v>0</x:v>
      </x:c>
      <x:c r="J153" s="10" t="n">
        <x:f>SUM(XLOOKUP('포켓몬_편집'!$AF153:$AN153,'분류_규칙'!$A$5:$A$76,'분류_규칙'!$J$5:$J$76,0))</x:f>
        <x:v>3</x:v>
      </x:c>
      <x:c r="K153" s="10" t="n">
        <x:f>SUM(XLOOKUP('포켓몬_편집'!$AF153:$AN153,'분류_규칙'!$A$5:$A$76,'분류_규칙'!$K$5:$K$76,0))</x:f>
        <x:v>0</x:v>
      </x:c>
      <x:c r="L153" s="10" t="n">
        <x:f>SUM(XLOOKUP('포켓몬_편집'!$AF153:$AN153,'분류_규칙'!$A$5:$A$76,'분류_규칙'!$L$5:$L$76,0))</x:f>
        <x:v>30</x:v>
      </x:c>
      <x:c r="M153" s="10" t="n">
        <x:f>SUM(XLOOKUP('포켓몬_편집'!$AF153:$AN153,'분류_규칙'!$A$5:$A$76,'분류_규칙'!$M$5:$M$76,0))</x:f>
        <x:v>0</x:v>
      </x:c>
      <x:c r="N153" s="10" t="n">
        <x:f>SUM(XLOOKUP('포켓몬_편집'!$AF153:$AN153,'분류_규칙'!$A$5:$A$76,'분류_규칙'!$N$5:$N$76,0))</x:f>
        <x:v>0</x:v>
      </x:c>
      <x:c r="O153" s="10" t="n">
        <x:f>SUM(XLOOKUP('포켓몬_편집'!$AF153:$AN153,'분류_규칙'!$A$5:$A$76,'분류_규칙'!$O$5:$O$76,0))</x:f>
        <x:v>0</x:v>
      </x:c>
      <x:c r="P153" s="10" t="n">
        <x:f>SUM(XLOOKUP('포켓몬_편집'!$AF153:$AN153,'분류_규칙'!$A$5:$A$76,'분류_규칙'!$P$5:$P$76,0))</x:f>
        <x:v>0</x:v>
      </x:c>
    </x:row>
    <x:row r="154" ht="22" customHeight="1">
      <x:c r="A154" s="5" t="n">
        <x:v>150</x:v>
      </x:c>
      <x:c r="B154" s="5" t="inlineStr">
        <x:is>
          <x:t xml:space="preserve">뮤츠</x:t>
        </x:is>
      </x:c>
      <x:c r="C154" s="5" t="inlineStr">
        <x:is>
          <x:t xml:space="preserve">mewtwo</x:t>
        </x:is>
      </x:c>
      <x:c r="D154" s="5" t="n">
        <x:v>1</x:v>
      </x:c>
      <x:c r="E154" s="10" t="n">
        <x:f>SUM(XLOOKUP('포켓몬_편집'!$AF154:$AN154,'분류_규칙'!$A$5:$A$76,'분류_규칙'!$E$5:$E$76,0))</x:f>
        <x:v>0</x:v>
      </x:c>
      <x:c r="F154" s="10" t="n">
        <x:f>SUM(XLOOKUP('포켓몬_편집'!$AF154:$AN154,'분류_규칙'!$A$5:$A$76,'분류_규칙'!$F$5:$F$76,0))</x:f>
        <x:v>0</x:v>
      </x:c>
      <x:c r="G154" s="10" t="n">
        <x:f>SUM(XLOOKUP('포켓몬_편집'!$AF154:$AN154,'분류_규칙'!$A$5:$A$76,'분류_규칙'!$G$5:$G$76,0))</x:f>
        <x:v>0</x:v>
      </x:c>
      <x:c r="H154" s="10" t="n">
        <x:f>SUM(XLOOKUP('포켓몬_편집'!$AF154:$AN154,'분류_규칙'!$A$5:$A$76,'분류_규칙'!$H$5:$H$76,0))</x:f>
        <x:v>0</x:v>
      </x:c>
      <x:c r="I154" s="10" t="n">
        <x:f>SUM(XLOOKUP('포켓몬_편집'!$AF154:$AN154,'분류_규칙'!$A$5:$A$76,'분류_규칙'!$I$5:$I$76,0))</x:f>
        <x:v>0</x:v>
      </x:c>
      <x:c r="J154" s="10" t="n">
        <x:f>SUM(XLOOKUP('포켓몬_편집'!$AF154:$AN154,'분류_규칙'!$A$5:$A$76,'분류_규칙'!$J$5:$J$76,0))</x:f>
        <x:v>0</x:v>
      </x:c>
      <x:c r="K154" s="10" t="n">
        <x:f>SUM(XLOOKUP('포켓몬_편집'!$AF154:$AN154,'분류_규칙'!$A$5:$A$76,'분류_규칙'!$K$5:$K$76,0))</x:f>
        <x:v>0</x:v>
      </x:c>
      <x:c r="L154" s="10" t="n">
        <x:f>SUM(XLOOKUP('포켓몬_편집'!$AF154:$AN154,'분류_규칙'!$A$5:$A$76,'분류_규칙'!$L$5:$L$76,0))</x:f>
        <x:v>0</x:v>
      </x:c>
      <x:c r="M154" s="10" t="n">
        <x:f>SUM(XLOOKUP('포켓몬_편집'!$AF154:$AN154,'분류_규칙'!$A$5:$A$76,'분류_규칙'!$M$5:$M$76,0))</x:f>
        <x:v>0</x:v>
      </x:c>
      <x:c r="N154" s="10" t="n">
        <x:f>SUM(XLOOKUP('포켓몬_편집'!$AF154:$AN154,'분류_규칙'!$A$5:$A$76,'분류_규칙'!$N$5:$N$76,0))</x:f>
        <x:v>0</x:v>
      </x:c>
      <x:c r="O154" s="10" t="n">
        <x:f>SUM(XLOOKUP('포켓몬_편집'!$AF154:$AN154,'분류_규칙'!$A$5:$A$76,'분류_규칙'!$O$5:$O$76,0))</x:f>
        <x:v>30</x:v>
      </x:c>
      <x:c r="P154" s="10" t="n">
        <x:f>SUM(XLOOKUP('포켓몬_편집'!$AF154:$AN154,'분류_규칙'!$A$5:$A$76,'분류_규칙'!$P$5:$P$76,0))</x:f>
        <x:v>8</x:v>
      </x:c>
    </x:row>
    <x:row r="155" ht="22" customHeight="1">
      <x:c r="A155" s="5" t="n">
        <x:v>151</x:v>
      </x:c>
      <x:c r="B155" s="5" t="inlineStr">
        <x:is>
          <x:t xml:space="preserve">뮤</x:t>
        </x:is>
      </x:c>
      <x:c r="C155" s="5" t="inlineStr">
        <x:is>
          <x:t xml:space="preserve">mew</x:t>
        </x:is>
      </x:c>
      <x:c r="D155" s="5" t="n">
        <x:v>1</x:v>
      </x:c>
      <x:c r="E155" s="10" t="n">
        <x:f>SUM(XLOOKUP('포켓몬_편집'!$AF155:$AN155,'분류_규칙'!$A$5:$A$76,'분류_규칙'!$E$5:$E$76,0))</x:f>
        <x:v>8</x:v>
      </x:c>
      <x:c r="F155" s="10" t="n">
        <x:f>SUM(XLOOKUP('포켓몬_편집'!$AF155:$AN155,'분류_규칙'!$A$5:$A$76,'분류_규칙'!$F$5:$F$76,0))</x:f>
        <x:v>8</x:v>
      </x:c>
      <x:c r="G155" s="10" t="n">
        <x:f>SUM(XLOOKUP('포켓몬_편집'!$AF155:$AN155,'분류_규칙'!$A$5:$A$76,'분류_규칙'!$G$5:$G$76,0))</x:f>
        <x:v>0</x:v>
      </x:c>
      <x:c r="H155" s="10" t="n">
        <x:f>SUM(XLOOKUP('포켓몬_편집'!$AF155:$AN155,'분류_규칙'!$A$5:$A$76,'분류_규칙'!$H$5:$H$76,0))</x:f>
        <x:v>12</x:v>
      </x:c>
      <x:c r="I155" s="10" t="n">
        <x:f>SUM(XLOOKUP('포켓몬_편집'!$AF155:$AN155,'분류_규칙'!$A$5:$A$76,'분류_규칙'!$I$5:$I$76,0))</x:f>
        <x:v>0</x:v>
      </x:c>
      <x:c r="J155" s="10" t="n">
        <x:f>SUM(XLOOKUP('포켓몬_편집'!$AF155:$AN155,'분류_규칙'!$A$5:$A$76,'분류_규칙'!$J$5:$J$76,0))</x:f>
        <x:v>0</x:v>
      </x:c>
      <x:c r="K155" s="10" t="n">
        <x:f>SUM(XLOOKUP('포켓몬_편집'!$AF155:$AN155,'분류_규칙'!$A$5:$A$76,'분류_규칙'!$K$5:$K$76,0))</x:f>
        <x:v>0</x:v>
      </x:c>
      <x:c r="L155" s="10" t="n">
        <x:f>SUM(XLOOKUP('포켓몬_편집'!$AF155:$AN155,'분류_규칙'!$A$5:$A$76,'분류_규칙'!$L$5:$L$76,0))</x:f>
        <x:v>3</x:v>
      </x:c>
      <x:c r="M155" s="10" t="n">
        <x:f>SUM(XLOOKUP('포켓몬_편집'!$AF155:$AN155,'분류_규칙'!$A$5:$A$76,'분류_규칙'!$M$5:$M$76,0))</x:f>
        <x:v>0</x:v>
      </x:c>
      <x:c r="N155" s="10" t="n">
        <x:f>SUM(XLOOKUP('포켓몬_편집'!$AF155:$AN155,'분류_규칙'!$A$5:$A$76,'분류_규칙'!$N$5:$N$76,0))</x:f>
        <x:v>0</x:v>
      </x:c>
      <x:c r="O155" s="10" t="n">
        <x:f>SUM(XLOOKUP('포켓몬_편집'!$AF155:$AN155,'분류_규칙'!$A$5:$A$76,'분류_규칙'!$O$5:$O$76,0))</x:f>
        <x:v>2</x:v>
      </x:c>
      <x:c r="P155" s="10" t="n">
        <x:f>SUM(XLOOKUP('포켓몬_편집'!$AF155:$AN155,'분류_규칙'!$A$5:$A$76,'분류_규칙'!$P$5:$P$76,0))</x:f>
        <x:v>0</x:v>
      </x:c>
    </x:row>
    <x:row r="156" ht="22" customHeight="1">
      <x:c r="A156" s="5" t="n">
        <x:v>152</x:v>
      </x:c>
      <x:c r="B156" s="5" t="inlineStr">
        <x:is>
          <x:t xml:space="preserve">치코리타</x:t>
        </x:is>
      </x:c>
      <x:c r="C156" s="5" t="inlineStr">
        <x:is>
          <x:t xml:space="preserve">chikorita</x:t>
        </x:is>
      </x:c>
      <x:c r="D156" s="5" t="n">
        <x:v>2</x:v>
      </x:c>
      <x:c r="E156" s="10" t="n">
        <x:f>SUM(XLOOKUP('포켓몬_편집'!$AF156:$AN156,'분류_규칙'!$A$5:$A$76,'분류_규칙'!$E$5:$E$76,0))</x:f>
        <x:v>10</x:v>
      </x:c>
      <x:c r="F156" s="10" t="n">
        <x:f>SUM(XLOOKUP('포켓몬_편집'!$AF156:$AN156,'분류_규칙'!$A$5:$A$76,'분류_규칙'!$F$5:$F$76,0))</x:f>
        <x:v>7</x:v>
      </x:c>
      <x:c r="G156" s="10" t="n">
        <x:f>SUM(XLOOKUP('포켓몬_편집'!$AF156:$AN156,'분류_규칙'!$A$5:$A$76,'분류_규칙'!$G$5:$G$76,0))</x:f>
        <x:v>5</x:v>
      </x:c>
      <x:c r="H156" s="10" t="n">
        <x:f>SUM(XLOOKUP('포켓몬_편집'!$AF156:$AN156,'분류_규칙'!$A$5:$A$76,'분류_규칙'!$H$5:$H$76,0))</x:f>
        <x:v>5</x:v>
      </x:c>
      <x:c r="I156" s="10" t="n">
        <x:f>SUM(XLOOKUP('포켓몬_편집'!$AF156:$AN156,'분류_규칙'!$A$5:$A$76,'분류_규칙'!$I$5:$I$76,0))</x:f>
        <x:v>0</x:v>
      </x:c>
      <x:c r="J156" s="10" t="n">
        <x:f>SUM(XLOOKUP('포켓몬_편집'!$AF156:$AN156,'분류_규칙'!$A$5:$A$76,'분류_규칙'!$J$5:$J$76,0))</x:f>
        <x:v>2</x:v>
      </x:c>
      <x:c r="K156" s="10" t="n">
        <x:f>SUM(XLOOKUP('포켓몬_편집'!$AF156:$AN156,'분류_규칙'!$A$5:$A$76,'분류_규칙'!$K$5:$K$76,0))</x:f>
        <x:v>0</x:v>
      </x:c>
      <x:c r="L156" s="10" t="n">
        <x:f>SUM(XLOOKUP('포켓몬_편집'!$AF156:$AN156,'분류_규칙'!$A$5:$A$76,'분류_규칙'!$L$5:$L$76,0))</x:f>
        <x:v>0</x:v>
      </x:c>
      <x:c r="M156" s="10" t="n">
        <x:f>SUM(XLOOKUP('포켓몬_편집'!$AF156:$AN156,'분류_규칙'!$A$5:$A$76,'분류_규칙'!$M$5:$M$76,0))</x:f>
        <x:v>0</x:v>
      </x:c>
      <x:c r="N156" s="10" t="n">
        <x:f>SUM(XLOOKUP('포켓몬_편집'!$AF156:$AN156,'분류_규칙'!$A$5:$A$76,'분류_규칙'!$N$5:$N$76,0))</x:f>
        <x:v>0</x:v>
      </x:c>
      <x:c r="O156" s="10" t="n">
        <x:f>SUM(XLOOKUP('포켓몬_편집'!$AF156:$AN156,'분류_규칙'!$A$5:$A$76,'분류_규칙'!$O$5:$O$76,0))</x:f>
        <x:v>2</x:v>
      </x:c>
      <x:c r="P156" s="10" t="n">
        <x:f>SUM(XLOOKUP('포켓몬_편집'!$AF156:$AN156,'분류_규칙'!$A$5:$A$76,'분류_규칙'!$P$5:$P$76,0))</x:f>
        <x:v>0</x:v>
      </x:c>
    </x:row>
    <x:row r="157" ht="22" customHeight="1">
      <x:c r="A157" s="5" t="n">
        <x:v>153</x:v>
      </x:c>
      <x:c r="B157" s="5" t="inlineStr">
        <x:is>
          <x:t xml:space="preserve">베이리프</x:t>
        </x:is>
      </x:c>
      <x:c r="C157" s="5" t="inlineStr">
        <x:is>
          <x:t xml:space="preserve">bayleef</x:t>
        </x:is>
      </x:c>
      <x:c r="D157" s="5" t="n">
        <x:v>2</x:v>
      </x:c>
      <x:c r="E157" s="10" t="n">
        <x:f>SUM(XLOOKUP('포켓몬_편집'!$AF157:$AN157,'분류_규칙'!$A$5:$A$76,'분류_규칙'!$E$5:$E$76,0))</x:f>
        <x:v>10</x:v>
      </x:c>
      <x:c r="F157" s="10" t="n">
        <x:f>SUM(XLOOKUP('포켓몬_편집'!$AF157:$AN157,'분류_규칙'!$A$5:$A$76,'분류_규칙'!$F$5:$F$76,0))</x:f>
        <x:v>7</x:v>
      </x:c>
      <x:c r="G157" s="10" t="n">
        <x:f>SUM(XLOOKUP('포켓몬_편집'!$AF157:$AN157,'분류_규칙'!$A$5:$A$76,'분류_규칙'!$G$5:$G$76,0))</x:f>
        <x:v>5</x:v>
      </x:c>
      <x:c r="H157" s="10" t="n">
        <x:f>SUM(XLOOKUP('포켓몬_편집'!$AF157:$AN157,'분류_규칙'!$A$5:$A$76,'분류_규칙'!$H$5:$H$76,0))</x:f>
        <x:v>5</x:v>
      </x:c>
      <x:c r="I157" s="10" t="n">
        <x:f>SUM(XLOOKUP('포켓몬_편집'!$AF157:$AN157,'분류_규칙'!$A$5:$A$76,'분류_규칙'!$I$5:$I$76,0))</x:f>
        <x:v>0</x:v>
      </x:c>
      <x:c r="J157" s="10" t="n">
        <x:f>SUM(XLOOKUP('포켓몬_편집'!$AF157:$AN157,'분류_규칙'!$A$5:$A$76,'분류_규칙'!$J$5:$J$76,0))</x:f>
        <x:v>2</x:v>
      </x:c>
      <x:c r="K157" s="10" t="n">
        <x:f>SUM(XLOOKUP('포켓몬_편집'!$AF157:$AN157,'분류_규칙'!$A$5:$A$76,'분류_규칙'!$K$5:$K$76,0))</x:f>
        <x:v>0</x:v>
      </x:c>
      <x:c r="L157" s="10" t="n">
        <x:f>SUM(XLOOKUP('포켓몬_편집'!$AF157:$AN157,'분류_규칙'!$A$5:$A$76,'분류_규칙'!$L$5:$L$76,0))</x:f>
        <x:v>0</x:v>
      </x:c>
      <x:c r="M157" s="10" t="n">
        <x:f>SUM(XLOOKUP('포켓몬_편집'!$AF157:$AN157,'분류_규칙'!$A$5:$A$76,'분류_규칙'!$M$5:$M$76,0))</x:f>
        <x:v>0</x:v>
      </x:c>
      <x:c r="N157" s="10" t="n">
        <x:f>SUM(XLOOKUP('포켓몬_편집'!$AF157:$AN157,'분류_규칙'!$A$5:$A$76,'분류_규칙'!$N$5:$N$76,0))</x:f>
        <x:v>0</x:v>
      </x:c>
      <x:c r="O157" s="10" t="n">
        <x:f>SUM(XLOOKUP('포켓몬_편집'!$AF157:$AN157,'분류_규칙'!$A$5:$A$76,'분류_규칙'!$O$5:$O$76,0))</x:f>
        <x:v>2</x:v>
      </x:c>
      <x:c r="P157" s="10" t="n">
        <x:f>SUM(XLOOKUP('포켓몬_편집'!$AF157:$AN157,'분류_규칙'!$A$5:$A$76,'분류_규칙'!$P$5:$P$76,0))</x:f>
        <x:v>0</x:v>
      </x:c>
    </x:row>
    <x:row r="158" ht="22" customHeight="1">
      <x:c r="A158" s="5" t="n">
        <x:v>154</x:v>
      </x:c>
      <x:c r="B158" s="5" t="inlineStr">
        <x:is>
          <x:t xml:space="preserve">메가니움</x:t>
        </x:is>
      </x:c>
      <x:c r="C158" s="5" t="inlineStr">
        <x:is>
          <x:t xml:space="preserve">meganium</x:t>
        </x:is>
      </x:c>
      <x:c r="D158" s="5" t="n">
        <x:v>2</x:v>
      </x:c>
      <x:c r="E158" s="10" t="n">
        <x:f>SUM(XLOOKUP('포켓몬_편집'!$AF158:$AN158,'분류_규칙'!$A$5:$A$76,'분류_규칙'!$E$5:$E$76,0))</x:f>
        <x:v>10</x:v>
      </x:c>
      <x:c r="F158" s="10" t="n">
        <x:f>SUM(XLOOKUP('포켓몬_편집'!$AF158:$AN158,'분류_규칙'!$A$5:$A$76,'분류_규칙'!$F$5:$F$76,0))</x:f>
        <x:v>7</x:v>
      </x:c>
      <x:c r="G158" s="10" t="n">
        <x:f>SUM(XLOOKUP('포켓몬_편집'!$AF158:$AN158,'분류_규칙'!$A$5:$A$76,'분류_규칙'!$G$5:$G$76,0))</x:f>
        <x:v>5</x:v>
      </x:c>
      <x:c r="H158" s="10" t="n">
        <x:f>SUM(XLOOKUP('포켓몬_편집'!$AF158:$AN158,'분류_규칙'!$A$5:$A$76,'분류_규칙'!$H$5:$H$76,0))</x:f>
        <x:v>5</x:v>
      </x:c>
      <x:c r="I158" s="10" t="n">
        <x:f>SUM(XLOOKUP('포켓몬_편집'!$AF158:$AN158,'분류_규칙'!$A$5:$A$76,'분류_규칙'!$I$5:$I$76,0))</x:f>
        <x:v>0</x:v>
      </x:c>
      <x:c r="J158" s="10" t="n">
        <x:f>SUM(XLOOKUP('포켓몬_편집'!$AF158:$AN158,'분류_규칙'!$A$5:$A$76,'분류_규칙'!$J$5:$J$76,0))</x:f>
        <x:v>2</x:v>
      </x:c>
      <x:c r="K158" s="10" t="n">
        <x:f>SUM(XLOOKUP('포켓몬_편집'!$AF158:$AN158,'분류_규칙'!$A$5:$A$76,'분류_규칙'!$K$5:$K$76,0))</x:f>
        <x:v>0</x:v>
      </x:c>
      <x:c r="L158" s="10" t="n">
        <x:f>SUM(XLOOKUP('포켓몬_편집'!$AF158:$AN158,'분류_규칙'!$A$5:$A$76,'분류_규칙'!$L$5:$L$76,0))</x:f>
        <x:v>0</x:v>
      </x:c>
      <x:c r="M158" s="10" t="n">
        <x:f>SUM(XLOOKUP('포켓몬_편집'!$AF158:$AN158,'분류_규칙'!$A$5:$A$76,'분류_규칙'!$M$5:$M$76,0))</x:f>
        <x:v>0</x:v>
      </x:c>
      <x:c r="N158" s="10" t="n">
        <x:f>SUM(XLOOKUP('포켓몬_편집'!$AF158:$AN158,'분류_규칙'!$A$5:$A$76,'분류_규칙'!$N$5:$N$76,0))</x:f>
        <x:v>0</x:v>
      </x:c>
      <x:c r="O158" s="10" t="n">
        <x:f>SUM(XLOOKUP('포켓몬_편집'!$AF158:$AN158,'분류_규칙'!$A$5:$A$76,'분류_규칙'!$O$5:$O$76,0))</x:f>
        <x:v>2</x:v>
      </x:c>
      <x:c r="P158" s="10" t="n">
        <x:f>SUM(XLOOKUP('포켓몬_편집'!$AF158:$AN158,'분류_규칙'!$A$5:$A$76,'분류_규칙'!$P$5:$P$76,0))</x:f>
        <x:v>0</x:v>
      </x:c>
    </x:row>
    <x:row r="159" ht="22" customHeight="1">
      <x:c r="A159" s="5" t="n">
        <x:v>155</x:v>
      </x:c>
      <x:c r="B159" s="5" t="inlineStr">
        <x:is>
          <x:t xml:space="preserve">브케인</x:t>
        </x:is>
      </x:c>
      <x:c r="C159" s="5" t="inlineStr">
        <x:is>
          <x:t xml:space="preserve">cyndaquil</x:t>
        </x:is>
      </x:c>
      <x:c r="D159" s="5" t="n">
        <x:v>2</x:v>
      </x:c>
      <x:c r="E159" s="10" t="n">
        <x:f>SUM(XLOOKUP('포켓몬_편집'!$AF159:$AN159,'분류_규칙'!$A$5:$A$76,'분류_규칙'!$E$5:$E$76,0))</x:f>
        <x:v>10</x:v>
      </x:c>
      <x:c r="F159" s="10" t="n">
        <x:f>SUM(XLOOKUP('포켓몬_편집'!$AF159:$AN159,'분류_규칙'!$A$5:$A$76,'분류_규칙'!$F$5:$F$76,0))</x:f>
        <x:v>7</x:v>
      </x:c>
      <x:c r="G159" s="10" t="n">
        <x:f>SUM(XLOOKUP('포켓몬_편집'!$AF159:$AN159,'분류_규칙'!$A$5:$A$76,'분류_규칙'!$G$5:$G$76,0))</x:f>
        <x:v>5</x:v>
      </x:c>
      <x:c r="H159" s="10" t="n">
        <x:f>SUM(XLOOKUP('포켓몬_편집'!$AF159:$AN159,'분류_규칙'!$A$5:$A$76,'분류_규칙'!$H$5:$H$76,0))</x:f>
        <x:v>5</x:v>
      </x:c>
      <x:c r="I159" s="10" t="n">
        <x:f>SUM(XLOOKUP('포켓몬_편집'!$AF159:$AN159,'분류_규칙'!$A$5:$A$76,'분류_규칙'!$I$5:$I$76,0))</x:f>
        <x:v>0</x:v>
      </x:c>
      <x:c r="J159" s="10" t="n">
        <x:f>SUM(XLOOKUP('포켓몬_편집'!$AF159:$AN159,'분류_규칙'!$A$5:$A$76,'분류_규칙'!$J$5:$J$76,0))</x:f>
        <x:v>2</x:v>
      </x:c>
      <x:c r="K159" s="10" t="n">
        <x:f>SUM(XLOOKUP('포켓몬_편집'!$AF159:$AN159,'분류_규칙'!$A$5:$A$76,'분류_규칙'!$K$5:$K$76,0))</x:f>
        <x:v>0</x:v>
      </x:c>
      <x:c r="L159" s="10" t="n">
        <x:f>SUM(XLOOKUP('포켓몬_편집'!$AF159:$AN159,'분류_규칙'!$A$5:$A$76,'분류_규칙'!$L$5:$L$76,0))</x:f>
        <x:v>0</x:v>
      </x:c>
      <x:c r="M159" s="10" t="n">
        <x:f>SUM(XLOOKUP('포켓몬_편집'!$AF159:$AN159,'분류_규칙'!$A$5:$A$76,'분류_규칙'!$M$5:$M$76,0))</x:f>
        <x:v>0</x:v>
      </x:c>
      <x:c r="N159" s="10" t="n">
        <x:f>SUM(XLOOKUP('포켓몬_편집'!$AF159:$AN159,'분류_규칙'!$A$5:$A$76,'분류_규칙'!$N$5:$N$76,0))</x:f>
        <x:v>0</x:v>
      </x:c>
      <x:c r="O159" s="10" t="n">
        <x:f>SUM(XLOOKUP('포켓몬_편집'!$AF159:$AN159,'분류_규칙'!$A$5:$A$76,'분류_규칙'!$O$5:$O$76,0))</x:f>
        <x:v>2</x:v>
      </x:c>
      <x:c r="P159" s="10" t="n">
        <x:f>SUM(XLOOKUP('포켓몬_편집'!$AF159:$AN159,'분류_규칙'!$A$5:$A$76,'분류_규칙'!$P$5:$P$76,0))</x:f>
        <x:v>0</x:v>
      </x:c>
    </x:row>
    <x:row r="160" ht="22" customHeight="1">
      <x:c r="A160" s="5" t="n">
        <x:v>156</x:v>
      </x:c>
      <x:c r="B160" s="5" t="inlineStr">
        <x:is>
          <x:t xml:space="preserve">마그케인</x:t>
        </x:is>
      </x:c>
      <x:c r="C160" s="5" t="inlineStr">
        <x:is>
          <x:t xml:space="preserve">quilava</x:t>
        </x:is>
      </x:c>
      <x:c r="D160" s="5" t="n">
        <x:v>2</x:v>
      </x:c>
      <x:c r="E160" s="10" t="n">
        <x:f>SUM(XLOOKUP('포켓몬_편집'!$AF160:$AN160,'분류_규칙'!$A$5:$A$76,'분류_규칙'!$E$5:$E$76,0))</x:f>
        <x:v>10</x:v>
      </x:c>
      <x:c r="F160" s="10" t="n">
        <x:f>SUM(XLOOKUP('포켓몬_편집'!$AF160:$AN160,'분류_규칙'!$A$5:$A$76,'분류_규칙'!$F$5:$F$76,0))</x:f>
        <x:v>7</x:v>
      </x:c>
      <x:c r="G160" s="10" t="n">
        <x:f>SUM(XLOOKUP('포켓몬_편집'!$AF160:$AN160,'분류_규칙'!$A$5:$A$76,'분류_규칙'!$G$5:$G$76,0))</x:f>
        <x:v>5</x:v>
      </x:c>
      <x:c r="H160" s="10" t="n">
        <x:f>SUM(XLOOKUP('포켓몬_편집'!$AF160:$AN160,'분류_규칙'!$A$5:$A$76,'분류_규칙'!$H$5:$H$76,0))</x:f>
        <x:v>5</x:v>
      </x:c>
      <x:c r="I160" s="10" t="n">
        <x:f>SUM(XLOOKUP('포켓몬_편집'!$AF160:$AN160,'분류_규칙'!$A$5:$A$76,'분류_규칙'!$I$5:$I$76,0))</x:f>
        <x:v>0</x:v>
      </x:c>
      <x:c r="J160" s="10" t="n">
        <x:f>SUM(XLOOKUP('포켓몬_편집'!$AF160:$AN160,'분류_규칙'!$A$5:$A$76,'분류_규칙'!$J$5:$J$76,0))</x:f>
        <x:v>2</x:v>
      </x:c>
      <x:c r="K160" s="10" t="n">
        <x:f>SUM(XLOOKUP('포켓몬_편집'!$AF160:$AN160,'분류_규칙'!$A$5:$A$76,'분류_규칙'!$K$5:$K$76,0))</x:f>
        <x:v>0</x:v>
      </x:c>
      <x:c r="L160" s="10" t="n">
        <x:f>SUM(XLOOKUP('포켓몬_편집'!$AF160:$AN160,'분류_규칙'!$A$5:$A$76,'분류_규칙'!$L$5:$L$76,0))</x:f>
        <x:v>0</x:v>
      </x:c>
      <x:c r="M160" s="10" t="n">
        <x:f>SUM(XLOOKUP('포켓몬_편집'!$AF160:$AN160,'분류_규칙'!$A$5:$A$76,'분류_규칙'!$M$5:$M$76,0))</x:f>
        <x:v>0</x:v>
      </x:c>
      <x:c r="N160" s="10" t="n">
        <x:f>SUM(XLOOKUP('포켓몬_편집'!$AF160:$AN160,'분류_규칙'!$A$5:$A$76,'분류_규칙'!$N$5:$N$76,0))</x:f>
        <x:v>0</x:v>
      </x:c>
      <x:c r="O160" s="10" t="n">
        <x:f>SUM(XLOOKUP('포켓몬_편집'!$AF160:$AN160,'분류_규칙'!$A$5:$A$76,'분류_규칙'!$O$5:$O$76,0))</x:f>
        <x:v>2</x:v>
      </x:c>
      <x:c r="P160" s="10" t="n">
        <x:f>SUM(XLOOKUP('포켓몬_편집'!$AF160:$AN160,'분류_규칙'!$A$5:$A$76,'분류_규칙'!$P$5:$P$76,0))</x:f>
        <x:v>0</x:v>
      </x:c>
    </x:row>
    <x:row r="161" ht="22" customHeight="1">
      <x:c r="A161" s="5" t="n">
        <x:v>157</x:v>
      </x:c>
      <x:c r="B161" s="5" t="inlineStr">
        <x:is>
          <x:t xml:space="preserve">블레이범</x:t>
        </x:is>
      </x:c>
      <x:c r="C161" s="5" t="inlineStr">
        <x:is>
          <x:t xml:space="preserve">typhlosion</x:t>
        </x:is>
      </x:c>
      <x:c r="D161" s="5" t="n">
        <x:v>2</x:v>
      </x:c>
      <x:c r="E161" s="10" t="n">
        <x:f>SUM(XLOOKUP('포켓몬_편집'!$AF161:$AN161,'분류_규칙'!$A$5:$A$76,'분류_규칙'!$E$5:$E$76,0))</x:f>
        <x:v>10</x:v>
      </x:c>
      <x:c r="F161" s="10" t="n">
        <x:f>SUM(XLOOKUP('포켓몬_편집'!$AF161:$AN161,'분류_규칙'!$A$5:$A$76,'분류_규칙'!$F$5:$F$76,0))</x:f>
        <x:v>7</x:v>
      </x:c>
      <x:c r="G161" s="10" t="n">
        <x:f>SUM(XLOOKUP('포켓몬_편집'!$AF161:$AN161,'분류_규칙'!$A$5:$A$76,'분류_규칙'!$G$5:$G$76,0))</x:f>
        <x:v>5</x:v>
      </x:c>
      <x:c r="H161" s="10" t="n">
        <x:f>SUM(XLOOKUP('포켓몬_편집'!$AF161:$AN161,'분류_규칙'!$A$5:$A$76,'분류_규칙'!$H$5:$H$76,0))</x:f>
        <x:v>5</x:v>
      </x:c>
      <x:c r="I161" s="10" t="n">
        <x:f>SUM(XLOOKUP('포켓몬_편집'!$AF161:$AN161,'분류_규칙'!$A$5:$A$76,'분류_규칙'!$I$5:$I$76,0))</x:f>
        <x:v>0</x:v>
      </x:c>
      <x:c r="J161" s="10" t="n">
        <x:f>SUM(XLOOKUP('포켓몬_편집'!$AF161:$AN161,'분류_규칙'!$A$5:$A$76,'분류_규칙'!$J$5:$J$76,0))</x:f>
        <x:v>2</x:v>
      </x:c>
      <x:c r="K161" s="10" t="n">
        <x:f>SUM(XLOOKUP('포켓몬_편집'!$AF161:$AN161,'분류_규칙'!$A$5:$A$76,'분류_규칙'!$K$5:$K$76,0))</x:f>
        <x:v>0</x:v>
      </x:c>
      <x:c r="L161" s="10" t="n">
        <x:f>SUM(XLOOKUP('포켓몬_편집'!$AF161:$AN161,'분류_규칙'!$A$5:$A$76,'분류_규칙'!$L$5:$L$76,0))</x:f>
        <x:v>0</x:v>
      </x:c>
      <x:c r="M161" s="10" t="n">
        <x:f>SUM(XLOOKUP('포켓몬_편집'!$AF161:$AN161,'분류_규칙'!$A$5:$A$76,'분류_규칙'!$M$5:$M$76,0))</x:f>
        <x:v>0</x:v>
      </x:c>
      <x:c r="N161" s="10" t="n">
        <x:f>SUM(XLOOKUP('포켓몬_편집'!$AF161:$AN161,'분류_규칙'!$A$5:$A$76,'분류_규칙'!$N$5:$N$76,0))</x:f>
        <x:v>0</x:v>
      </x:c>
      <x:c r="O161" s="10" t="n">
        <x:f>SUM(XLOOKUP('포켓몬_편집'!$AF161:$AN161,'분류_규칙'!$A$5:$A$76,'분류_규칙'!$O$5:$O$76,0))</x:f>
        <x:v>2</x:v>
      </x:c>
      <x:c r="P161" s="10" t="n">
        <x:f>SUM(XLOOKUP('포켓몬_편집'!$AF161:$AN161,'분류_규칙'!$A$5:$A$76,'분류_규칙'!$P$5:$P$76,0))</x:f>
        <x:v>0</x:v>
      </x:c>
    </x:row>
    <x:row r="162" ht="22" customHeight="1">
      <x:c r="A162" s="5" t="n">
        <x:v>158</x:v>
      </x:c>
      <x:c r="B162" s="5" t="inlineStr">
        <x:is>
          <x:t xml:space="preserve">리아코</x:t>
        </x:is>
      </x:c>
      <x:c r="C162" s="5" t="inlineStr">
        <x:is>
          <x:t xml:space="preserve">totodile</x:t>
        </x:is>
      </x:c>
      <x:c r="D162" s="5" t="n">
        <x:v>2</x:v>
      </x:c>
      <x:c r="E162" s="10" t="n">
        <x:f>SUM(XLOOKUP('포켓몬_편집'!$AF162:$AN162,'분류_규칙'!$A$5:$A$76,'분류_규칙'!$E$5:$E$76,0))</x:f>
        <x:v>0</x:v>
      </x:c>
      <x:c r="F162" s="10" t="n">
        <x:f>SUM(XLOOKUP('포켓몬_편집'!$AF162:$AN162,'분류_규칙'!$A$5:$A$76,'분류_규칙'!$F$5:$F$76,0))</x:f>
        <x:v>0</x:v>
      </x:c>
      <x:c r="G162" s="10" t="n">
        <x:f>SUM(XLOOKUP('포켓몬_편집'!$AF162:$AN162,'분류_규칙'!$A$5:$A$76,'분류_규칙'!$G$5:$G$76,0))</x:f>
        <x:v>0</x:v>
      </x:c>
      <x:c r="H162" s="10" t="n">
        <x:f>SUM(XLOOKUP('포켓몬_편집'!$AF162:$AN162,'분류_규칙'!$A$5:$A$76,'분류_규칙'!$H$5:$H$76,0))</x:f>
        <x:v>0</x:v>
      </x:c>
      <x:c r="I162" s="10" t="n">
        <x:f>SUM(XLOOKUP('포켓몬_편집'!$AF162:$AN162,'분류_규칙'!$A$5:$A$76,'분류_규칙'!$I$5:$I$76,0))</x:f>
        <x:v>0</x:v>
      </x:c>
      <x:c r="J162" s="10" t="n">
        <x:f>SUM(XLOOKUP('포켓몬_편집'!$AF162:$AN162,'분류_규칙'!$A$5:$A$76,'분류_규칙'!$J$5:$J$76,0))</x:f>
        <x:v>22</x:v>
      </x:c>
      <x:c r="K162" s="10" t="n">
        <x:f>SUM(XLOOKUP('포켓몬_편집'!$AF162:$AN162,'분류_규칙'!$A$5:$A$76,'분류_규칙'!$K$5:$K$76,0))</x:f>
        <x:v>16</x:v>
      </x:c>
      <x:c r="L162" s="10" t="n">
        <x:f>SUM(XLOOKUP('포켓몬_편집'!$AF162:$AN162,'분류_규칙'!$A$5:$A$76,'분류_규칙'!$L$5:$L$76,0))</x:f>
        <x:v>8</x:v>
      </x:c>
      <x:c r="M162" s="10" t="n">
        <x:f>SUM(XLOOKUP('포켓몬_편집'!$AF162:$AN162,'분류_규칙'!$A$5:$A$76,'분류_규칙'!$M$5:$M$76,0))</x:f>
        <x:v>0</x:v>
      </x:c>
      <x:c r="N162" s="10" t="n">
        <x:f>SUM(XLOOKUP('포켓몬_편집'!$AF162:$AN162,'분류_규칙'!$A$5:$A$76,'분류_규칙'!$N$5:$N$76,0))</x:f>
        <x:v>0</x:v>
      </x:c>
      <x:c r="O162" s="10" t="n">
        <x:f>SUM(XLOOKUP('포켓몬_편집'!$AF162:$AN162,'분류_규칙'!$A$5:$A$76,'분류_규칙'!$O$5:$O$76,0))</x:f>
        <x:v>0</x:v>
      </x:c>
      <x:c r="P162" s="10" t="n">
        <x:f>SUM(XLOOKUP('포켓몬_편집'!$AF162:$AN162,'분류_규칙'!$A$5:$A$76,'분류_규칙'!$P$5:$P$76,0))</x:f>
        <x:v>0</x:v>
      </x:c>
    </x:row>
    <x:row r="163" ht="22" customHeight="1">
      <x:c r="A163" s="5" t="n">
        <x:v>159</x:v>
      </x:c>
      <x:c r="B163" s="5" t="inlineStr">
        <x:is>
          <x:t xml:space="preserve">엘리게이</x:t>
        </x:is>
      </x:c>
      <x:c r="C163" s="5" t="inlineStr">
        <x:is>
          <x:t xml:space="preserve">croconaw</x:t>
        </x:is>
      </x:c>
      <x:c r="D163" s="5" t="n">
        <x:v>2</x:v>
      </x:c>
      <x:c r="E163" s="10" t="n">
        <x:f>SUM(XLOOKUP('포켓몬_편집'!$AF163:$AN163,'분류_규칙'!$A$5:$A$76,'분류_규칙'!$E$5:$E$76,0))</x:f>
        <x:v>0</x:v>
      </x:c>
      <x:c r="F163" s="10" t="n">
        <x:f>SUM(XLOOKUP('포켓몬_편집'!$AF163:$AN163,'분류_규칙'!$A$5:$A$76,'분류_규칙'!$F$5:$F$76,0))</x:f>
        <x:v>0</x:v>
      </x:c>
      <x:c r="G163" s="10" t="n">
        <x:f>SUM(XLOOKUP('포켓몬_편집'!$AF163:$AN163,'분류_규칙'!$A$5:$A$76,'분류_규칙'!$G$5:$G$76,0))</x:f>
        <x:v>0</x:v>
      </x:c>
      <x:c r="H163" s="10" t="n">
        <x:f>SUM(XLOOKUP('포켓몬_편집'!$AF163:$AN163,'분류_규칙'!$A$5:$A$76,'분류_규칙'!$H$5:$H$76,0))</x:f>
        <x:v>0</x:v>
      </x:c>
      <x:c r="I163" s="10" t="n">
        <x:f>SUM(XLOOKUP('포켓몬_편집'!$AF163:$AN163,'분류_규칙'!$A$5:$A$76,'분류_규칙'!$I$5:$I$76,0))</x:f>
        <x:v>0</x:v>
      </x:c>
      <x:c r="J163" s="10" t="n">
        <x:f>SUM(XLOOKUP('포켓몬_편집'!$AF163:$AN163,'분류_규칙'!$A$5:$A$76,'분류_규칙'!$J$5:$J$76,0))</x:f>
        <x:v>22</x:v>
      </x:c>
      <x:c r="K163" s="10" t="n">
        <x:f>SUM(XLOOKUP('포켓몬_편집'!$AF163:$AN163,'분류_규칙'!$A$5:$A$76,'분류_규칙'!$K$5:$K$76,0))</x:f>
        <x:v>16</x:v>
      </x:c>
      <x:c r="L163" s="10" t="n">
        <x:f>SUM(XLOOKUP('포켓몬_편집'!$AF163:$AN163,'분류_규칙'!$A$5:$A$76,'분류_규칙'!$L$5:$L$76,0))</x:f>
        <x:v>8</x:v>
      </x:c>
      <x:c r="M163" s="10" t="n">
        <x:f>SUM(XLOOKUP('포켓몬_편집'!$AF163:$AN163,'분류_규칙'!$A$5:$A$76,'분류_규칙'!$M$5:$M$76,0))</x:f>
        <x:v>0</x:v>
      </x:c>
      <x:c r="N163" s="10" t="n">
        <x:f>SUM(XLOOKUP('포켓몬_편집'!$AF163:$AN163,'분류_규칙'!$A$5:$A$76,'분류_규칙'!$N$5:$N$76,0))</x:f>
        <x:v>0</x:v>
      </x:c>
      <x:c r="O163" s="10" t="n">
        <x:f>SUM(XLOOKUP('포켓몬_편집'!$AF163:$AN163,'분류_규칙'!$A$5:$A$76,'분류_규칙'!$O$5:$O$76,0))</x:f>
        <x:v>0</x:v>
      </x:c>
      <x:c r="P163" s="10" t="n">
        <x:f>SUM(XLOOKUP('포켓몬_편집'!$AF163:$AN163,'분류_규칙'!$A$5:$A$76,'분류_규칙'!$P$5:$P$76,0))</x:f>
        <x:v>0</x:v>
      </x:c>
    </x:row>
    <x:row r="164" ht="22" customHeight="1">
      <x:c r="A164" s="5" t="n">
        <x:v>160</x:v>
      </x:c>
      <x:c r="B164" s="5" t="inlineStr">
        <x:is>
          <x:t xml:space="preserve">장크로다일</x:t>
        </x:is>
      </x:c>
      <x:c r="C164" s="5" t="inlineStr">
        <x:is>
          <x:t xml:space="preserve">feraligatr</x:t>
        </x:is>
      </x:c>
      <x:c r="D164" s="5" t="n">
        <x:v>2</x:v>
      </x:c>
      <x:c r="E164" s="10" t="n">
        <x:f>SUM(XLOOKUP('포켓몬_편집'!$AF164:$AN164,'분류_규칙'!$A$5:$A$76,'분류_규칙'!$E$5:$E$76,0))</x:f>
        <x:v>0</x:v>
      </x:c>
      <x:c r="F164" s="10" t="n">
        <x:f>SUM(XLOOKUP('포켓몬_편집'!$AF164:$AN164,'분류_규칙'!$A$5:$A$76,'분류_규칙'!$F$5:$F$76,0))</x:f>
        <x:v>0</x:v>
      </x:c>
      <x:c r="G164" s="10" t="n">
        <x:f>SUM(XLOOKUP('포켓몬_편집'!$AF164:$AN164,'분류_규칙'!$A$5:$A$76,'분류_규칙'!$G$5:$G$76,0))</x:f>
        <x:v>0</x:v>
      </x:c>
      <x:c r="H164" s="10" t="n">
        <x:f>SUM(XLOOKUP('포켓몬_편집'!$AF164:$AN164,'분류_규칙'!$A$5:$A$76,'분류_규칙'!$H$5:$H$76,0))</x:f>
        <x:v>0</x:v>
      </x:c>
      <x:c r="I164" s="10" t="n">
        <x:f>SUM(XLOOKUP('포켓몬_편집'!$AF164:$AN164,'분류_규칙'!$A$5:$A$76,'분류_규칙'!$I$5:$I$76,0))</x:f>
        <x:v>0</x:v>
      </x:c>
      <x:c r="J164" s="10" t="n">
        <x:f>SUM(XLOOKUP('포켓몬_편집'!$AF164:$AN164,'분류_규칙'!$A$5:$A$76,'분류_규칙'!$J$5:$J$76,0))</x:f>
        <x:v>22</x:v>
      </x:c>
      <x:c r="K164" s="10" t="n">
        <x:f>SUM(XLOOKUP('포켓몬_편집'!$AF164:$AN164,'분류_규칙'!$A$5:$A$76,'분류_규칙'!$K$5:$K$76,0))</x:f>
        <x:v>16</x:v>
      </x:c>
      <x:c r="L164" s="10" t="n">
        <x:f>SUM(XLOOKUP('포켓몬_편집'!$AF164:$AN164,'분류_규칙'!$A$5:$A$76,'분류_규칙'!$L$5:$L$76,0))</x:f>
        <x:v>8</x:v>
      </x:c>
      <x:c r="M164" s="10" t="n">
        <x:f>SUM(XLOOKUP('포켓몬_편집'!$AF164:$AN164,'분류_규칙'!$A$5:$A$76,'분류_규칙'!$M$5:$M$76,0))</x:f>
        <x:v>0</x:v>
      </x:c>
      <x:c r="N164" s="10" t="n">
        <x:f>SUM(XLOOKUP('포켓몬_편집'!$AF164:$AN164,'분류_규칙'!$A$5:$A$76,'분류_규칙'!$N$5:$N$76,0))</x:f>
        <x:v>0</x:v>
      </x:c>
      <x:c r="O164" s="10" t="n">
        <x:f>SUM(XLOOKUP('포켓몬_편집'!$AF164:$AN164,'분류_규칙'!$A$5:$A$76,'분류_규칙'!$O$5:$O$76,0))</x:f>
        <x:v>0</x:v>
      </x:c>
      <x:c r="P164" s="10" t="n">
        <x:f>SUM(XLOOKUP('포켓몬_편집'!$AF164:$AN164,'분류_규칙'!$A$5:$A$76,'분류_규칙'!$P$5:$P$76,0))</x:f>
        <x:v>0</x:v>
      </x:c>
    </x:row>
    <x:row r="165" ht="22" customHeight="1">
      <x:c r="A165" s="5" t="n">
        <x:v>161</x:v>
      </x:c>
      <x:c r="B165" s="5" t="inlineStr">
        <x:is>
          <x:t xml:space="preserve">꼬리선</x:t>
        </x:is>
      </x:c>
      <x:c r="C165" s="5" t="inlineStr">
        <x:is>
          <x:t xml:space="preserve">sentret</x:t>
        </x:is>
      </x:c>
      <x:c r="D165" s="5" t="n">
        <x:v>2</x:v>
      </x:c>
      <x:c r="E165" s="10" t="n">
        <x:f>SUM(XLOOKUP('포켓몬_편집'!$AF165:$AN165,'분류_규칙'!$A$5:$A$76,'분류_규칙'!$E$5:$E$76,0))</x:f>
        <x:v>10</x:v>
      </x:c>
      <x:c r="F165" s="10" t="n">
        <x:f>SUM(XLOOKUP('포켓몬_편집'!$AF165:$AN165,'분류_규칙'!$A$5:$A$76,'분류_규칙'!$F$5:$F$76,0))</x:f>
        <x:v>7</x:v>
      </x:c>
      <x:c r="G165" s="10" t="n">
        <x:f>SUM(XLOOKUP('포켓몬_편집'!$AF165:$AN165,'분류_규칙'!$A$5:$A$76,'분류_규칙'!$G$5:$G$76,0))</x:f>
        <x:v>5</x:v>
      </x:c>
      <x:c r="H165" s="10" t="n">
        <x:f>SUM(XLOOKUP('포켓몬_편집'!$AF165:$AN165,'분류_규칙'!$A$5:$A$76,'분류_규칙'!$H$5:$H$76,0))</x:f>
        <x:v>5</x:v>
      </x:c>
      <x:c r="I165" s="10" t="n">
        <x:f>SUM(XLOOKUP('포켓몬_편집'!$AF165:$AN165,'분류_규칙'!$A$5:$A$76,'분류_규칙'!$I$5:$I$76,0))</x:f>
        <x:v>0</x:v>
      </x:c>
      <x:c r="J165" s="10" t="n">
        <x:f>SUM(XLOOKUP('포켓몬_편집'!$AF165:$AN165,'분류_규칙'!$A$5:$A$76,'분류_규칙'!$J$5:$J$76,0))</x:f>
        <x:v>2</x:v>
      </x:c>
      <x:c r="K165" s="10" t="n">
        <x:f>SUM(XLOOKUP('포켓몬_편집'!$AF165:$AN165,'분류_규칙'!$A$5:$A$76,'분류_규칙'!$K$5:$K$76,0))</x:f>
        <x:v>0</x:v>
      </x:c>
      <x:c r="L165" s="10" t="n">
        <x:f>SUM(XLOOKUP('포켓몬_편집'!$AF165:$AN165,'분류_규칙'!$A$5:$A$76,'분류_규칙'!$L$5:$L$76,0))</x:f>
        <x:v>0</x:v>
      </x:c>
      <x:c r="M165" s="10" t="n">
        <x:f>SUM(XLOOKUP('포켓몬_편집'!$AF165:$AN165,'분류_규칙'!$A$5:$A$76,'분류_규칙'!$M$5:$M$76,0))</x:f>
        <x:v>0</x:v>
      </x:c>
      <x:c r="N165" s="10" t="n">
        <x:f>SUM(XLOOKUP('포켓몬_편집'!$AF165:$AN165,'분류_규칙'!$A$5:$A$76,'분류_규칙'!$N$5:$N$76,0))</x:f>
        <x:v>0</x:v>
      </x:c>
      <x:c r="O165" s="10" t="n">
        <x:f>SUM(XLOOKUP('포켓몬_편집'!$AF165:$AN165,'분류_규칙'!$A$5:$A$76,'분류_규칙'!$O$5:$O$76,0))</x:f>
        <x:v>2</x:v>
      </x:c>
      <x:c r="P165" s="10" t="n">
        <x:f>SUM(XLOOKUP('포켓몬_편집'!$AF165:$AN165,'분류_규칙'!$A$5:$A$76,'분류_규칙'!$P$5:$P$76,0))</x:f>
        <x:v>0</x:v>
      </x:c>
    </x:row>
    <x:row r="166" ht="22" customHeight="1">
      <x:c r="A166" s="5" t="n">
        <x:v>162</x:v>
      </x:c>
      <x:c r="B166" s="5" t="inlineStr">
        <x:is>
          <x:t xml:space="preserve">다꼬리</x:t>
        </x:is>
      </x:c>
      <x:c r="C166" s="5" t="inlineStr">
        <x:is>
          <x:t xml:space="preserve">furret</x:t>
        </x:is>
      </x:c>
      <x:c r="D166" s="5" t="n">
        <x:v>2</x:v>
      </x:c>
      <x:c r="E166" s="10" t="n">
        <x:f>SUM(XLOOKUP('포켓몬_편집'!$AF166:$AN166,'분류_규칙'!$A$5:$A$76,'분류_규칙'!$E$5:$E$76,0))</x:f>
        <x:v>10</x:v>
      </x:c>
      <x:c r="F166" s="10" t="n">
        <x:f>SUM(XLOOKUP('포켓몬_편집'!$AF166:$AN166,'분류_규칙'!$A$5:$A$76,'분류_규칙'!$F$5:$F$76,0))</x:f>
        <x:v>7</x:v>
      </x:c>
      <x:c r="G166" s="10" t="n">
        <x:f>SUM(XLOOKUP('포켓몬_편집'!$AF166:$AN166,'분류_규칙'!$A$5:$A$76,'분류_규칙'!$G$5:$G$76,0))</x:f>
        <x:v>5</x:v>
      </x:c>
      <x:c r="H166" s="10" t="n">
        <x:f>SUM(XLOOKUP('포켓몬_편집'!$AF166:$AN166,'분류_규칙'!$A$5:$A$76,'분류_규칙'!$H$5:$H$76,0))</x:f>
        <x:v>5</x:v>
      </x:c>
      <x:c r="I166" s="10" t="n">
        <x:f>SUM(XLOOKUP('포켓몬_편집'!$AF166:$AN166,'분류_규칙'!$A$5:$A$76,'분류_규칙'!$I$5:$I$76,0))</x:f>
        <x:v>0</x:v>
      </x:c>
      <x:c r="J166" s="10" t="n">
        <x:f>SUM(XLOOKUP('포켓몬_편집'!$AF166:$AN166,'분류_규칙'!$A$5:$A$76,'분류_규칙'!$J$5:$J$76,0))</x:f>
        <x:v>2</x:v>
      </x:c>
      <x:c r="K166" s="10" t="n">
        <x:f>SUM(XLOOKUP('포켓몬_편집'!$AF166:$AN166,'분류_규칙'!$A$5:$A$76,'분류_규칙'!$K$5:$K$76,0))</x:f>
        <x:v>0</x:v>
      </x:c>
      <x:c r="L166" s="10" t="n">
        <x:f>SUM(XLOOKUP('포켓몬_편집'!$AF166:$AN166,'분류_규칙'!$A$5:$A$76,'분류_규칙'!$L$5:$L$76,0))</x:f>
        <x:v>0</x:v>
      </x:c>
      <x:c r="M166" s="10" t="n">
        <x:f>SUM(XLOOKUP('포켓몬_편집'!$AF166:$AN166,'분류_규칙'!$A$5:$A$76,'분류_규칙'!$M$5:$M$76,0))</x:f>
        <x:v>0</x:v>
      </x:c>
      <x:c r="N166" s="10" t="n">
        <x:f>SUM(XLOOKUP('포켓몬_편집'!$AF166:$AN166,'분류_규칙'!$A$5:$A$76,'분류_규칙'!$N$5:$N$76,0))</x:f>
        <x:v>0</x:v>
      </x:c>
      <x:c r="O166" s="10" t="n">
        <x:f>SUM(XLOOKUP('포켓몬_편집'!$AF166:$AN166,'분류_규칙'!$A$5:$A$76,'분류_규칙'!$O$5:$O$76,0))</x:f>
        <x:v>2</x:v>
      </x:c>
      <x:c r="P166" s="10" t="n">
        <x:f>SUM(XLOOKUP('포켓몬_편집'!$AF166:$AN166,'분류_규칙'!$A$5:$A$76,'분류_규칙'!$P$5:$P$76,0))</x:f>
        <x:v>0</x:v>
      </x:c>
    </x:row>
    <x:row r="167" ht="22" customHeight="1">
      <x:c r="A167" s="5" t="n">
        <x:v>163</x:v>
      </x:c>
      <x:c r="B167" s="5" t="inlineStr">
        <x:is>
          <x:t xml:space="preserve">부우부</x:t>
        </x:is>
      </x:c>
      <x:c r="C167" s="5" t="inlineStr">
        <x:is>
          <x:t xml:space="preserve">hoothoot</x:t>
        </x:is>
      </x:c>
      <x:c r="D167" s="5" t="n">
        <x:v>2</x:v>
      </x:c>
      <x:c r="E167" s="10" t="n">
        <x:f>SUM(XLOOKUP('포켓몬_편집'!$AF167:$AN167,'분류_규칙'!$A$5:$A$76,'분류_규칙'!$E$5:$E$76,0))</x:f>
        <x:v>8</x:v>
      </x:c>
      <x:c r="F167" s="10" t="n">
        <x:f>SUM(XLOOKUP('포켓몬_편집'!$AF167:$AN167,'분류_규칙'!$A$5:$A$76,'분류_규칙'!$F$5:$F$76,0))</x:f>
        <x:v>8</x:v>
      </x:c>
      <x:c r="G167" s="10" t="n">
        <x:f>SUM(XLOOKUP('포켓몬_편집'!$AF167:$AN167,'분류_규칙'!$A$5:$A$76,'분류_규칙'!$G$5:$G$76,0))</x:f>
        <x:v>0</x:v>
      </x:c>
      <x:c r="H167" s="10" t="n">
        <x:f>SUM(XLOOKUP('포켓몬_편집'!$AF167:$AN167,'분류_규칙'!$A$5:$A$76,'분류_규칙'!$H$5:$H$76,0))</x:f>
        <x:v>12</x:v>
      </x:c>
      <x:c r="I167" s="10" t="n">
        <x:f>SUM(XLOOKUP('포켓몬_편집'!$AF167:$AN167,'분류_규칙'!$A$5:$A$76,'분류_규칙'!$I$5:$I$76,0))</x:f>
        <x:v>0</x:v>
      </x:c>
      <x:c r="J167" s="10" t="n">
        <x:f>SUM(XLOOKUP('포켓몬_편집'!$AF167:$AN167,'분류_규칙'!$A$5:$A$76,'분류_규칙'!$J$5:$J$76,0))</x:f>
        <x:v>0</x:v>
      </x:c>
      <x:c r="K167" s="10" t="n">
        <x:f>SUM(XLOOKUP('포켓몬_편집'!$AF167:$AN167,'분류_규칙'!$A$5:$A$76,'분류_규칙'!$K$5:$K$76,0))</x:f>
        <x:v>0</x:v>
      </x:c>
      <x:c r="L167" s="10" t="n">
        <x:f>SUM(XLOOKUP('포켓몬_편집'!$AF167:$AN167,'분류_규칙'!$A$5:$A$76,'분류_규칙'!$L$5:$L$76,0))</x:f>
        <x:v>3</x:v>
      </x:c>
      <x:c r="M167" s="10" t="n">
        <x:f>SUM(XLOOKUP('포켓몬_편집'!$AF167:$AN167,'분류_규칙'!$A$5:$A$76,'분류_규칙'!$M$5:$M$76,0))</x:f>
        <x:v>0</x:v>
      </x:c>
      <x:c r="N167" s="10" t="n">
        <x:f>SUM(XLOOKUP('포켓몬_편집'!$AF167:$AN167,'분류_규칙'!$A$5:$A$76,'분류_규칙'!$N$5:$N$76,0))</x:f>
        <x:v>0</x:v>
      </x:c>
      <x:c r="O167" s="10" t="n">
        <x:f>SUM(XLOOKUP('포켓몬_편집'!$AF167:$AN167,'분류_규칙'!$A$5:$A$76,'분류_규칙'!$O$5:$O$76,0))</x:f>
        <x:v>2</x:v>
      </x:c>
      <x:c r="P167" s="10" t="n">
        <x:f>SUM(XLOOKUP('포켓몬_편집'!$AF167:$AN167,'분류_규칙'!$A$5:$A$76,'분류_규칙'!$P$5:$P$76,0))</x:f>
        <x:v>0</x:v>
      </x:c>
    </x:row>
    <x:row r="168" ht="22" customHeight="1">
      <x:c r="A168" s="5" t="n">
        <x:v>164</x:v>
      </x:c>
      <x:c r="B168" s="5" t="inlineStr">
        <x:is>
          <x:t xml:space="preserve">야부엉</x:t>
        </x:is>
      </x:c>
      <x:c r="C168" s="5" t="inlineStr">
        <x:is>
          <x:t xml:space="preserve">noctowl</x:t>
        </x:is>
      </x:c>
      <x:c r="D168" s="5" t="n">
        <x:v>2</x:v>
      </x:c>
      <x:c r="E168" s="10" t="n">
        <x:f>SUM(XLOOKUP('포켓몬_편집'!$AF168:$AN168,'분류_규칙'!$A$5:$A$76,'분류_규칙'!$E$5:$E$76,0))</x:f>
        <x:v>8</x:v>
      </x:c>
      <x:c r="F168" s="10" t="n">
        <x:f>SUM(XLOOKUP('포켓몬_편집'!$AF168:$AN168,'분류_규칙'!$A$5:$A$76,'분류_규칙'!$F$5:$F$76,0))</x:f>
        <x:v>8</x:v>
      </x:c>
      <x:c r="G168" s="10" t="n">
        <x:f>SUM(XLOOKUP('포켓몬_편집'!$AF168:$AN168,'분류_규칙'!$A$5:$A$76,'분류_규칙'!$G$5:$G$76,0))</x:f>
        <x:v>0</x:v>
      </x:c>
      <x:c r="H168" s="10" t="n">
        <x:f>SUM(XLOOKUP('포켓몬_편집'!$AF168:$AN168,'분류_규칙'!$A$5:$A$76,'분류_규칙'!$H$5:$H$76,0))</x:f>
        <x:v>12</x:v>
      </x:c>
      <x:c r="I168" s="10" t="n">
        <x:f>SUM(XLOOKUP('포켓몬_편집'!$AF168:$AN168,'분류_규칙'!$A$5:$A$76,'분류_규칙'!$I$5:$I$76,0))</x:f>
        <x:v>0</x:v>
      </x:c>
      <x:c r="J168" s="10" t="n">
        <x:f>SUM(XLOOKUP('포켓몬_편집'!$AF168:$AN168,'분류_규칙'!$A$5:$A$76,'분류_규칙'!$J$5:$J$76,0))</x:f>
        <x:v>0</x:v>
      </x:c>
      <x:c r="K168" s="10" t="n">
        <x:f>SUM(XLOOKUP('포켓몬_편집'!$AF168:$AN168,'분류_규칙'!$A$5:$A$76,'분류_규칙'!$K$5:$K$76,0))</x:f>
        <x:v>0</x:v>
      </x:c>
      <x:c r="L168" s="10" t="n">
        <x:f>SUM(XLOOKUP('포켓몬_편집'!$AF168:$AN168,'분류_규칙'!$A$5:$A$76,'분류_규칙'!$L$5:$L$76,0))</x:f>
        <x:v>3</x:v>
      </x:c>
      <x:c r="M168" s="10" t="n">
        <x:f>SUM(XLOOKUP('포켓몬_편집'!$AF168:$AN168,'분류_규칙'!$A$5:$A$76,'분류_규칙'!$M$5:$M$76,0))</x:f>
        <x:v>0</x:v>
      </x:c>
      <x:c r="N168" s="10" t="n">
        <x:f>SUM(XLOOKUP('포켓몬_편집'!$AF168:$AN168,'분류_규칙'!$A$5:$A$76,'분류_규칙'!$N$5:$N$76,0))</x:f>
        <x:v>0</x:v>
      </x:c>
      <x:c r="O168" s="10" t="n">
        <x:f>SUM(XLOOKUP('포켓몬_편집'!$AF168:$AN168,'분류_규칙'!$A$5:$A$76,'분류_규칙'!$O$5:$O$76,0))</x:f>
        <x:v>2</x:v>
      </x:c>
      <x:c r="P168" s="10" t="n">
        <x:f>SUM(XLOOKUP('포켓몬_편집'!$AF168:$AN168,'분류_규칙'!$A$5:$A$76,'분류_규칙'!$P$5:$P$76,0))</x:f>
        <x:v>0</x:v>
      </x:c>
    </x:row>
    <x:row r="169" ht="22" customHeight="1">
      <x:c r="A169" s="5" t="n">
        <x:v>165</x:v>
      </x:c>
      <x:c r="B169" s="5" t="inlineStr">
        <x:is>
          <x:t xml:space="preserve">레디바</x:t>
        </x:is>
      </x:c>
      <x:c r="C169" s="5" t="inlineStr">
        <x:is>
          <x:t xml:space="preserve">ledyba</x:t>
        </x:is>
      </x:c>
      <x:c r="D169" s="5" t="n">
        <x:v>2</x:v>
      </x:c>
      <x:c r="E169" s="10" t="n">
        <x:f>SUM(XLOOKUP('포켓몬_편집'!$AF169:$AN169,'분류_규칙'!$A$5:$A$76,'분류_규칙'!$E$5:$E$76,0))</x:f>
        <x:v>8</x:v>
      </x:c>
      <x:c r="F169" s="10" t="n">
        <x:f>SUM(XLOOKUP('포켓몬_편집'!$AF169:$AN169,'분류_규칙'!$A$5:$A$76,'분류_규칙'!$F$5:$F$76,0))</x:f>
        <x:v>8</x:v>
      </x:c>
      <x:c r="G169" s="10" t="n">
        <x:f>SUM(XLOOKUP('포켓몬_편집'!$AF169:$AN169,'분류_규칙'!$A$5:$A$76,'분류_규칙'!$G$5:$G$76,0))</x:f>
        <x:v>0</x:v>
      </x:c>
      <x:c r="H169" s="10" t="n">
        <x:f>SUM(XLOOKUP('포켓몬_편집'!$AF169:$AN169,'분류_규칙'!$A$5:$A$76,'분류_규칙'!$H$5:$H$76,0))</x:f>
        <x:v>12</x:v>
      </x:c>
      <x:c r="I169" s="10" t="n">
        <x:f>SUM(XLOOKUP('포켓몬_편집'!$AF169:$AN169,'분류_규칙'!$A$5:$A$76,'분류_규칙'!$I$5:$I$76,0))</x:f>
        <x:v>0</x:v>
      </x:c>
      <x:c r="J169" s="10" t="n">
        <x:f>SUM(XLOOKUP('포켓몬_편집'!$AF169:$AN169,'분류_규칙'!$A$5:$A$76,'분류_규칙'!$J$5:$J$76,0))</x:f>
        <x:v>0</x:v>
      </x:c>
      <x:c r="K169" s="10" t="n">
        <x:f>SUM(XLOOKUP('포켓몬_편집'!$AF169:$AN169,'분류_규칙'!$A$5:$A$76,'분류_규칙'!$K$5:$K$76,0))</x:f>
        <x:v>0</x:v>
      </x:c>
      <x:c r="L169" s="10" t="n">
        <x:f>SUM(XLOOKUP('포켓몬_편집'!$AF169:$AN169,'분류_규칙'!$A$5:$A$76,'분류_규칙'!$L$5:$L$76,0))</x:f>
        <x:v>3</x:v>
      </x:c>
      <x:c r="M169" s="10" t="n">
        <x:f>SUM(XLOOKUP('포켓몬_편집'!$AF169:$AN169,'분류_규칙'!$A$5:$A$76,'분류_규칙'!$M$5:$M$76,0))</x:f>
        <x:v>0</x:v>
      </x:c>
      <x:c r="N169" s="10" t="n">
        <x:f>SUM(XLOOKUP('포켓몬_편집'!$AF169:$AN169,'분류_규칙'!$A$5:$A$76,'분류_규칙'!$N$5:$N$76,0))</x:f>
        <x:v>0</x:v>
      </x:c>
      <x:c r="O169" s="10" t="n">
        <x:f>SUM(XLOOKUP('포켓몬_편집'!$AF169:$AN169,'분류_규칙'!$A$5:$A$76,'분류_규칙'!$O$5:$O$76,0))</x:f>
        <x:v>2</x:v>
      </x:c>
      <x:c r="P169" s="10" t="n">
        <x:f>SUM(XLOOKUP('포켓몬_편집'!$AF169:$AN169,'분류_규칙'!$A$5:$A$76,'분류_규칙'!$P$5:$P$76,0))</x:f>
        <x:v>0</x:v>
      </x:c>
    </x:row>
    <x:row r="170" ht="22" customHeight="1">
      <x:c r="A170" s="5" t="n">
        <x:v>166</x:v>
      </x:c>
      <x:c r="B170" s="5" t="inlineStr">
        <x:is>
          <x:t xml:space="preserve">레디안</x:t>
        </x:is>
      </x:c>
      <x:c r="C170" s="5" t="inlineStr">
        <x:is>
          <x:t xml:space="preserve">ledian</x:t>
        </x:is>
      </x:c>
      <x:c r="D170" s="5" t="n">
        <x:v>2</x:v>
      </x:c>
      <x:c r="E170" s="10" t="n">
        <x:f>SUM(XLOOKUP('포켓몬_편집'!$AF170:$AN170,'분류_규칙'!$A$5:$A$76,'분류_규칙'!$E$5:$E$76,0))</x:f>
        <x:v>8</x:v>
      </x:c>
      <x:c r="F170" s="10" t="n">
        <x:f>SUM(XLOOKUP('포켓몬_편집'!$AF170:$AN170,'분류_규칙'!$A$5:$A$76,'분류_규칙'!$F$5:$F$76,0))</x:f>
        <x:v>8</x:v>
      </x:c>
      <x:c r="G170" s="10" t="n">
        <x:f>SUM(XLOOKUP('포켓몬_편집'!$AF170:$AN170,'분류_규칙'!$A$5:$A$76,'분류_규칙'!$G$5:$G$76,0))</x:f>
        <x:v>0</x:v>
      </x:c>
      <x:c r="H170" s="10" t="n">
        <x:f>SUM(XLOOKUP('포켓몬_편집'!$AF170:$AN170,'분류_규칙'!$A$5:$A$76,'분류_규칙'!$H$5:$H$76,0))</x:f>
        <x:v>12</x:v>
      </x:c>
      <x:c r="I170" s="10" t="n">
        <x:f>SUM(XLOOKUP('포켓몬_편집'!$AF170:$AN170,'분류_규칙'!$A$5:$A$76,'분류_규칙'!$I$5:$I$76,0))</x:f>
        <x:v>0</x:v>
      </x:c>
      <x:c r="J170" s="10" t="n">
        <x:f>SUM(XLOOKUP('포켓몬_편집'!$AF170:$AN170,'분류_규칙'!$A$5:$A$76,'분류_규칙'!$J$5:$J$76,0))</x:f>
        <x:v>0</x:v>
      </x:c>
      <x:c r="K170" s="10" t="n">
        <x:f>SUM(XLOOKUP('포켓몬_편집'!$AF170:$AN170,'분류_규칙'!$A$5:$A$76,'분류_규칙'!$K$5:$K$76,0))</x:f>
        <x:v>0</x:v>
      </x:c>
      <x:c r="L170" s="10" t="n">
        <x:f>SUM(XLOOKUP('포켓몬_편집'!$AF170:$AN170,'분류_규칙'!$A$5:$A$76,'분류_규칙'!$L$5:$L$76,0))</x:f>
        <x:v>3</x:v>
      </x:c>
      <x:c r="M170" s="10" t="n">
        <x:f>SUM(XLOOKUP('포켓몬_편집'!$AF170:$AN170,'분류_규칙'!$A$5:$A$76,'분류_규칙'!$M$5:$M$76,0))</x:f>
        <x:v>0</x:v>
      </x:c>
      <x:c r="N170" s="10" t="n">
        <x:f>SUM(XLOOKUP('포켓몬_편집'!$AF170:$AN170,'분류_규칙'!$A$5:$A$76,'분류_규칙'!$N$5:$N$76,0))</x:f>
        <x:v>0</x:v>
      </x:c>
      <x:c r="O170" s="10" t="n">
        <x:f>SUM(XLOOKUP('포켓몬_편집'!$AF170:$AN170,'분류_규칙'!$A$5:$A$76,'분류_규칙'!$O$5:$O$76,0))</x:f>
        <x:v>2</x:v>
      </x:c>
      <x:c r="P170" s="10" t="n">
        <x:f>SUM(XLOOKUP('포켓몬_편집'!$AF170:$AN170,'분류_규칙'!$A$5:$A$76,'분류_규칙'!$P$5:$P$76,0))</x:f>
        <x:v>0</x:v>
      </x:c>
    </x:row>
    <x:row r="171" ht="22" customHeight="1">
      <x:c r="A171" s="5" t="n">
        <x:v>167</x:v>
      </x:c>
      <x:c r="B171" s="5" t="inlineStr">
        <x:is>
          <x:t xml:space="preserve">페이검</x:t>
        </x:is>
      </x:c>
      <x:c r="C171" s="5" t="inlineStr">
        <x:is>
          <x:t xml:space="preserve">spinarak</x:t>
        </x:is>
      </x:c>
      <x:c r="D171" s="5" t="n">
        <x:v>2</x:v>
      </x:c>
      <x:c r="E171" s="10" t="n">
        <x:f>SUM(XLOOKUP('포켓몬_편집'!$AF171:$AN171,'분류_규칙'!$A$5:$A$76,'분류_규칙'!$E$5:$E$76,0))</x:f>
        <x:v>10</x:v>
      </x:c>
      <x:c r="F171" s="10" t="n">
        <x:f>SUM(XLOOKUP('포켓몬_편집'!$AF171:$AN171,'분류_규칙'!$A$5:$A$76,'분류_규칙'!$F$5:$F$76,0))</x:f>
        <x:v>7</x:v>
      </x:c>
      <x:c r="G171" s="10" t="n">
        <x:f>SUM(XLOOKUP('포켓몬_편집'!$AF171:$AN171,'분류_규칙'!$A$5:$A$76,'분류_규칙'!$G$5:$G$76,0))</x:f>
        <x:v>5</x:v>
      </x:c>
      <x:c r="H171" s="10" t="n">
        <x:f>SUM(XLOOKUP('포켓몬_편집'!$AF171:$AN171,'분류_규칙'!$A$5:$A$76,'분류_규칙'!$H$5:$H$76,0))</x:f>
        <x:v>5</x:v>
      </x:c>
      <x:c r="I171" s="10" t="n">
        <x:f>SUM(XLOOKUP('포켓몬_편집'!$AF171:$AN171,'분류_규칙'!$A$5:$A$76,'분류_규칙'!$I$5:$I$76,0))</x:f>
        <x:v>0</x:v>
      </x:c>
      <x:c r="J171" s="10" t="n">
        <x:f>SUM(XLOOKUP('포켓몬_편집'!$AF171:$AN171,'분류_규칙'!$A$5:$A$76,'분류_규칙'!$J$5:$J$76,0))</x:f>
        <x:v>2</x:v>
      </x:c>
      <x:c r="K171" s="10" t="n">
        <x:f>SUM(XLOOKUP('포켓몬_편집'!$AF171:$AN171,'분류_규칙'!$A$5:$A$76,'분류_규칙'!$K$5:$K$76,0))</x:f>
        <x:v>0</x:v>
      </x:c>
      <x:c r="L171" s="10" t="n">
        <x:f>SUM(XLOOKUP('포켓몬_편집'!$AF171:$AN171,'분류_규칙'!$A$5:$A$76,'분류_규칙'!$L$5:$L$76,0))</x:f>
        <x:v>0</x:v>
      </x:c>
      <x:c r="M171" s="10" t="n">
        <x:f>SUM(XLOOKUP('포켓몬_편집'!$AF171:$AN171,'분류_규칙'!$A$5:$A$76,'분류_규칙'!$M$5:$M$76,0))</x:f>
        <x:v>0</x:v>
      </x:c>
      <x:c r="N171" s="10" t="n">
        <x:f>SUM(XLOOKUP('포켓몬_편집'!$AF171:$AN171,'분류_규칙'!$A$5:$A$76,'분류_규칙'!$N$5:$N$76,0))</x:f>
        <x:v>0</x:v>
      </x:c>
      <x:c r="O171" s="10" t="n">
        <x:f>SUM(XLOOKUP('포켓몬_편집'!$AF171:$AN171,'분류_규칙'!$A$5:$A$76,'분류_규칙'!$O$5:$O$76,0))</x:f>
        <x:v>2</x:v>
      </x:c>
      <x:c r="P171" s="10" t="n">
        <x:f>SUM(XLOOKUP('포켓몬_편집'!$AF171:$AN171,'분류_규칙'!$A$5:$A$76,'분류_규칙'!$P$5:$P$76,0))</x:f>
        <x:v>0</x:v>
      </x:c>
    </x:row>
    <x:row r="172" ht="22" customHeight="1">
      <x:c r="A172" s="5" t="n">
        <x:v>168</x:v>
      </x:c>
      <x:c r="B172" s="5" t="inlineStr">
        <x:is>
          <x:t xml:space="preserve">아리아도스</x:t>
        </x:is>
      </x:c>
      <x:c r="C172" s="5" t="inlineStr">
        <x:is>
          <x:t xml:space="preserve">ariados</x:t>
        </x:is>
      </x:c>
      <x:c r="D172" s="5" t="n">
        <x:v>2</x:v>
      </x:c>
      <x:c r="E172" s="10" t="n">
        <x:f>SUM(XLOOKUP('포켓몬_편집'!$AF172:$AN172,'분류_규칙'!$A$5:$A$76,'분류_규칙'!$E$5:$E$76,0))</x:f>
        <x:v>10</x:v>
      </x:c>
      <x:c r="F172" s="10" t="n">
        <x:f>SUM(XLOOKUP('포켓몬_편집'!$AF172:$AN172,'분류_규칙'!$A$5:$A$76,'분류_규칙'!$F$5:$F$76,0))</x:f>
        <x:v>7</x:v>
      </x:c>
      <x:c r="G172" s="10" t="n">
        <x:f>SUM(XLOOKUP('포켓몬_편집'!$AF172:$AN172,'분류_규칙'!$A$5:$A$76,'분류_규칙'!$G$5:$G$76,0))</x:f>
        <x:v>5</x:v>
      </x:c>
      <x:c r="H172" s="10" t="n">
        <x:f>SUM(XLOOKUP('포켓몬_편집'!$AF172:$AN172,'분류_규칙'!$A$5:$A$76,'분류_규칙'!$H$5:$H$76,0))</x:f>
        <x:v>5</x:v>
      </x:c>
      <x:c r="I172" s="10" t="n">
        <x:f>SUM(XLOOKUP('포켓몬_편집'!$AF172:$AN172,'분류_규칙'!$A$5:$A$76,'분류_규칙'!$I$5:$I$76,0))</x:f>
        <x:v>0</x:v>
      </x:c>
      <x:c r="J172" s="10" t="n">
        <x:f>SUM(XLOOKUP('포켓몬_편집'!$AF172:$AN172,'분류_규칙'!$A$5:$A$76,'분류_규칙'!$J$5:$J$76,0))</x:f>
        <x:v>2</x:v>
      </x:c>
      <x:c r="K172" s="10" t="n">
        <x:f>SUM(XLOOKUP('포켓몬_편집'!$AF172:$AN172,'분류_규칙'!$A$5:$A$76,'분류_규칙'!$K$5:$K$76,0))</x:f>
        <x:v>0</x:v>
      </x:c>
      <x:c r="L172" s="10" t="n">
        <x:f>SUM(XLOOKUP('포켓몬_편집'!$AF172:$AN172,'분류_규칙'!$A$5:$A$76,'분류_규칙'!$L$5:$L$76,0))</x:f>
        <x:v>0</x:v>
      </x:c>
      <x:c r="M172" s="10" t="n">
        <x:f>SUM(XLOOKUP('포켓몬_편집'!$AF172:$AN172,'분류_규칙'!$A$5:$A$76,'분류_규칙'!$M$5:$M$76,0))</x:f>
        <x:v>0</x:v>
      </x:c>
      <x:c r="N172" s="10" t="n">
        <x:f>SUM(XLOOKUP('포켓몬_편집'!$AF172:$AN172,'분류_규칙'!$A$5:$A$76,'분류_규칙'!$N$5:$N$76,0))</x:f>
        <x:v>0</x:v>
      </x:c>
      <x:c r="O172" s="10" t="n">
        <x:f>SUM(XLOOKUP('포켓몬_편집'!$AF172:$AN172,'분류_규칙'!$A$5:$A$76,'분류_규칙'!$O$5:$O$76,0))</x:f>
        <x:v>2</x:v>
      </x:c>
      <x:c r="P172" s="10" t="n">
        <x:f>SUM(XLOOKUP('포켓몬_편집'!$AF172:$AN172,'분류_규칙'!$A$5:$A$76,'분류_규칙'!$P$5:$P$76,0))</x:f>
        <x:v>0</x:v>
      </x:c>
    </x:row>
    <x:row r="173" ht="22" customHeight="1">
      <x:c r="A173" s="5" t="n">
        <x:v>169</x:v>
      </x:c>
      <x:c r="B173" s="5" t="inlineStr">
        <x:is>
          <x:t xml:space="preserve">크로뱃</x:t>
        </x:is>
      </x:c>
      <x:c r="C173" s="5" t="inlineStr">
        <x:is>
          <x:t xml:space="preserve">crobat</x:t>
        </x:is>
      </x:c>
      <x:c r="D173" s="5" t="n">
        <x:v>2</x:v>
      </x:c>
      <x:c r="E173" s="10" t="n">
        <x:f>SUM(XLOOKUP('포켓몬_편집'!$AF173:$AN173,'분류_규칙'!$A$5:$A$76,'분류_규칙'!$E$5:$E$76,0))</x:f>
        <x:v>8</x:v>
      </x:c>
      <x:c r="F173" s="10" t="n">
        <x:f>SUM(XLOOKUP('포켓몬_편집'!$AF173:$AN173,'분류_규칙'!$A$5:$A$76,'분류_규칙'!$F$5:$F$76,0))</x:f>
        <x:v>8</x:v>
      </x:c>
      <x:c r="G173" s="10" t="n">
        <x:f>SUM(XLOOKUP('포켓몬_편집'!$AF173:$AN173,'분류_규칙'!$A$5:$A$76,'분류_규칙'!$G$5:$G$76,0))</x:f>
        <x:v>0</x:v>
      </x:c>
      <x:c r="H173" s="10" t="n">
        <x:f>SUM(XLOOKUP('포켓몬_편집'!$AF173:$AN173,'분류_규칙'!$A$5:$A$76,'분류_규칙'!$H$5:$H$76,0))</x:f>
        <x:v>12</x:v>
      </x:c>
      <x:c r="I173" s="10" t="n">
        <x:f>SUM(XLOOKUP('포켓몬_편집'!$AF173:$AN173,'분류_규칙'!$A$5:$A$76,'분류_규칙'!$I$5:$I$76,0))</x:f>
        <x:v>0</x:v>
      </x:c>
      <x:c r="J173" s="10" t="n">
        <x:f>SUM(XLOOKUP('포켓몬_편집'!$AF173:$AN173,'분류_규칙'!$A$5:$A$76,'분류_규칙'!$J$5:$J$76,0))</x:f>
        <x:v>0</x:v>
      </x:c>
      <x:c r="K173" s="10" t="n">
        <x:f>SUM(XLOOKUP('포켓몬_편집'!$AF173:$AN173,'분류_규칙'!$A$5:$A$76,'분류_규칙'!$K$5:$K$76,0))</x:f>
        <x:v>0</x:v>
      </x:c>
      <x:c r="L173" s="10" t="n">
        <x:f>SUM(XLOOKUP('포켓몬_편집'!$AF173:$AN173,'분류_규칙'!$A$5:$A$76,'분류_규칙'!$L$5:$L$76,0))</x:f>
        <x:v>3</x:v>
      </x:c>
      <x:c r="M173" s="10" t="n">
        <x:f>SUM(XLOOKUP('포켓몬_편집'!$AF173:$AN173,'분류_규칙'!$A$5:$A$76,'분류_규칙'!$M$5:$M$76,0))</x:f>
        <x:v>0</x:v>
      </x:c>
      <x:c r="N173" s="10" t="n">
        <x:f>SUM(XLOOKUP('포켓몬_편집'!$AF173:$AN173,'분류_규칙'!$A$5:$A$76,'분류_규칙'!$N$5:$N$76,0))</x:f>
        <x:v>0</x:v>
      </x:c>
      <x:c r="O173" s="10" t="n">
        <x:f>SUM(XLOOKUP('포켓몬_편집'!$AF173:$AN173,'분류_규칙'!$A$5:$A$76,'분류_규칙'!$O$5:$O$76,0))</x:f>
        <x:v>2</x:v>
      </x:c>
      <x:c r="P173" s="10" t="n">
        <x:f>SUM(XLOOKUP('포켓몬_편집'!$AF173:$AN173,'분류_규칙'!$A$5:$A$76,'분류_규칙'!$P$5:$P$76,0))</x:f>
        <x:v>0</x:v>
      </x:c>
    </x:row>
    <x:row r="174" ht="22" customHeight="1">
      <x:c r="A174" s="5" t="n">
        <x:v>170</x:v>
      </x:c>
      <x:c r="B174" s="5" t="inlineStr">
        <x:is>
          <x:t xml:space="preserve">초라기</x:t>
        </x:is>
      </x:c>
      <x:c r="C174" s="5" t="inlineStr">
        <x:is>
          <x:t xml:space="preserve">chinchou</x:t>
        </x:is>
      </x:c>
      <x:c r="D174" s="5" t="n">
        <x:v>2</x:v>
      </x:c>
      <x:c r="E174" s="10" t="n">
        <x:f>SUM(XLOOKUP('포켓몬_편집'!$AF174:$AN174,'분류_규칙'!$A$5:$A$76,'분류_규칙'!$E$5:$E$76,0))</x:f>
        <x:v>0</x:v>
      </x:c>
      <x:c r="F174" s="10" t="n">
        <x:f>SUM(XLOOKUP('포켓몬_편집'!$AF174:$AN174,'분류_규칙'!$A$5:$A$76,'분류_규칙'!$F$5:$F$76,0))</x:f>
        <x:v>0</x:v>
      </x:c>
      <x:c r="G174" s="10" t="n">
        <x:f>SUM(XLOOKUP('포켓몬_편집'!$AF174:$AN174,'분류_규칙'!$A$5:$A$76,'분류_규칙'!$G$5:$G$76,0))</x:f>
        <x:v>0</x:v>
      </x:c>
      <x:c r="H174" s="10" t="n">
        <x:f>SUM(XLOOKUP('포켓몬_편집'!$AF174:$AN174,'분류_규칙'!$A$5:$A$76,'분류_규칙'!$H$5:$H$76,0))</x:f>
        <x:v>0</x:v>
      </x:c>
      <x:c r="I174" s="10" t="n">
        <x:f>SUM(XLOOKUP('포켓몬_편집'!$AF174:$AN174,'분류_규칙'!$A$5:$A$76,'분류_규칙'!$I$5:$I$76,0))</x:f>
        <x:v>0</x:v>
      </x:c>
      <x:c r="J174" s="10" t="n">
        <x:f>SUM(XLOOKUP('포켓몬_편집'!$AF174:$AN174,'분류_규칙'!$A$5:$A$76,'분류_규칙'!$J$5:$J$76,0))</x:f>
        <x:v>3</x:v>
      </x:c>
      <x:c r="K174" s="10" t="n">
        <x:f>SUM(XLOOKUP('포켓몬_편집'!$AF174:$AN174,'분류_규칙'!$A$5:$A$76,'분류_규칙'!$K$5:$K$76,0))</x:f>
        <x:v>0</x:v>
      </x:c>
      <x:c r="L174" s="10" t="n">
        <x:f>SUM(XLOOKUP('포켓몬_편집'!$AF174:$AN174,'분류_규칙'!$A$5:$A$76,'분류_규칙'!$L$5:$L$76,0))</x:f>
        <x:v>30</x:v>
      </x:c>
      <x:c r="M174" s="10" t="n">
        <x:f>SUM(XLOOKUP('포켓몬_편집'!$AF174:$AN174,'분류_규칙'!$A$5:$A$76,'분류_규칙'!$M$5:$M$76,0))</x:f>
        <x:v>0</x:v>
      </x:c>
      <x:c r="N174" s="10" t="n">
        <x:f>SUM(XLOOKUP('포켓몬_편집'!$AF174:$AN174,'분류_규칙'!$A$5:$A$76,'분류_규칙'!$N$5:$N$76,0))</x:f>
        <x:v>0</x:v>
      </x:c>
      <x:c r="O174" s="10" t="n">
        <x:f>SUM(XLOOKUP('포켓몬_편집'!$AF174:$AN174,'분류_규칙'!$A$5:$A$76,'분류_규칙'!$O$5:$O$76,0))</x:f>
        <x:v>0</x:v>
      </x:c>
      <x:c r="P174" s="10" t="n">
        <x:f>SUM(XLOOKUP('포켓몬_편집'!$AF174:$AN174,'분류_규칙'!$A$5:$A$76,'분류_규칙'!$P$5:$P$76,0))</x:f>
        <x:v>0</x:v>
      </x:c>
    </x:row>
    <x:row r="175" ht="22" customHeight="1">
      <x:c r="A175" s="5" t="n">
        <x:v>171</x:v>
      </x:c>
      <x:c r="B175" s="5" t="inlineStr">
        <x:is>
          <x:t xml:space="preserve">랜턴</x:t>
        </x:is>
      </x:c>
      <x:c r="C175" s="5" t="inlineStr">
        <x:is>
          <x:t xml:space="preserve">lanturn</x:t>
        </x:is>
      </x:c>
      <x:c r="D175" s="5" t="n">
        <x:v>2</x:v>
      </x:c>
      <x:c r="E175" s="10" t="n">
        <x:f>SUM(XLOOKUP('포켓몬_편집'!$AF175:$AN175,'분류_규칙'!$A$5:$A$76,'분류_규칙'!$E$5:$E$76,0))</x:f>
        <x:v>0</x:v>
      </x:c>
      <x:c r="F175" s="10" t="n">
        <x:f>SUM(XLOOKUP('포켓몬_편집'!$AF175:$AN175,'분류_규칙'!$A$5:$A$76,'분류_규칙'!$F$5:$F$76,0))</x:f>
        <x:v>0</x:v>
      </x:c>
      <x:c r="G175" s="10" t="n">
        <x:f>SUM(XLOOKUP('포켓몬_편집'!$AF175:$AN175,'분류_규칙'!$A$5:$A$76,'분류_규칙'!$G$5:$G$76,0))</x:f>
        <x:v>0</x:v>
      </x:c>
      <x:c r="H175" s="10" t="n">
        <x:f>SUM(XLOOKUP('포켓몬_편집'!$AF175:$AN175,'분류_규칙'!$A$5:$A$76,'분류_규칙'!$H$5:$H$76,0))</x:f>
        <x:v>0</x:v>
      </x:c>
      <x:c r="I175" s="10" t="n">
        <x:f>SUM(XLOOKUP('포켓몬_편집'!$AF175:$AN175,'분류_규칙'!$A$5:$A$76,'분류_규칙'!$I$5:$I$76,0))</x:f>
        <x:v>0</x:v>
      </x:c>
      <x:c r="J175" s="10" t="n">
        <x:f>SUM(XLOOKUP('포켓몬_편집'!$AF175:$AN175,'분류_규칙'!$A$5:$A$76,'분류_규칙'!$J$5:$J$76,0))</x:f>
        <x:v>3</x:v>
      </x:c>
      <x:c r="K175" s="10" t="n">
        <x:f>SUM(XLOOKUP('포켓몬_편집'!$AF175:$AN175,'분류_규칙'!$A$5:$A$76,'분류_규칙'!$K$5:$K$76,0))</x:f>
        <x:v>0</x:v>
      </x:c>
      <x:c r="L175" s="10" t="n">
        <x:f>SUM(XLOOKUP('포켓몬_편집'!$AF175:$AN175,'분류_규칙'!$A$5:$A$76,'분류_규칙'!$L$5:$L$76,0))</x:f>
        <x:v>30</x:v>
      </x:c>
      <x:c r="M175" s="10" t="n">
        <x:f>SUM(XLOOKUP('포켓몬_편집'!$AF175:$AN175,'분류_규칙'!$A$5:$A$76,'분류_규칙'!$M$5:$M$76,0))</x:f>
        <x:v>0</x:v>
      </x:c>
      <x:c r="N175" s="10" t="n">
        <x:f>SUM(XLOOKUP('포켓몬_편집'!$AF175:$AN175,'분류_규칙'!$A$5:$A$76,'분류_규칙'!$N$5:$N$76,0))</x:f>
        <x:v>0</x:v>
      </x:c>
      <x:c r="O175" s="10" t="n">
        <x:f>SUM(XLOOKUP('포켓몬_편집'!$AF175:$AN175,'분류_규칙'!$A$5:$A$76,'분류_규칙'!$O$5:$O$76,0))</x:f>
        <x:v>0</x:v>
      </x:c>
      <x:c r="P175" s="10" t="n">
        <x:f>SUM(XLOOKUP('포켓몬_편집'!$AF175:$AN175,'분류_규칙'!$A$5:$A$76,'분류_규칙'!$P$5:$P$76,0))</x:f>
        <x:v>0</x:v>
      </x:c>
    </x:row>
    <x:row r="176" ht="22" customHeight="1">
      <x:c r="A176" s="5" t="n">
        <x:v>172</x:v>
      </x:c>
      <x:c r="B176" s="5" t="inlineStr">
        <x:is>
          <x:t xml:space="preserve">피츄</x:t>
        </x:is>
      </x:c>
      <x:c r="C176" s="5" t="inlineStr">
        <x:is>
          <x:t xml:space="preserve">pichu</x:t>
        </x:is>
      </x:c>
      <x:c r="D176" s="5" t="n">
        <x:v>2</x:v>
      </x:c>
      <x:c r="E176" s="10" t="n">
        <x:f>SUM(XLOOKUP('포켓몬_편집'!$AF176:$AN176,'분류_규칙'!$A$5:$A$76,'분류_규칙'!$E$5:$E$76,0))</x:f>
        <x:v>10</x:v>
      </x:c>
      <x:c r="F176" s="10" t="n">
        <x:f>SUM(XLOOKUP('포켓몬_편집'!$AF176:$AN176,'분류_규칙'!$A$5:$A$76,'분류_규칙'!$F$5:$F$76,0))</x:f>
        <x:v>7</x:v>
      </x:c>
      <x:c r="G176" s="10" t="n">
        <x:f>SUM(XLOOKUP('포켓몬_편집'!$AF176:$AN176,'분류_규칙'!$A$5:$A$76,'분류_규칙'!$G$5:$G$76,0))</x:f>
        <x:v>5</x:v>
      </x:c>
      <x:c r="H176" s="10" t="n">
        <x:f>SUM(XLOOKUP('포켓몬_편집'!$AF176:$AN176,'분류_규칙'!$A$5:$A$76,'분류_규칙'!$H$5:$H$76,0))</x:f>
        <x:v>5</x:v>
      </x:c>
      <x:c r="I176" s="10" t="n">
        <x:f>SUM(XLOOKUP('포켓몬_편집'!$AF176:$AN176,'분류_규칙'!$A$5:$A$76,'분류_규칙'!$I$5:$I$76,0))</x:f>
        <x:v>0</x:v>
      </x:c>
      <x:c r="J176" s="10" t="n">
        <x:f>SUM(XLOOKUP('포켓몬_편집'!$AF176:$AN176,'분류_규칙'!$A$5:$A$76,'분류_규칙'!$J$5:$J$76,0))</x:f>
        <x:v>2</x:v>
      </x:c>
      <x:c r="K176" s="10" t="n">
        <x:f>SUM(XLOOKUP('포켓몬_편집'!$AF176:$AN176,'분류_규칙'!$A$5:$A$76,'분류_규칙'!$K$5:$K$76,0))</x:f>
        <x:v>0</x:v>
      </x:c>
      <x:c r="L176" s="10" t="n">
        <x:f>SUM(XLOOKUP('포켓몬_편집'!$AF176:$AN176,'분류_규칙'!$A$5:$A$76,'분류_규칙'!$L$5:$L$76,0))</x:f>
        <x:v>0</x:v>
      </x:c>
      <x:c r="M176" s="10" t="n">
        <x:f>SUM(XLOOKUP('포켓몬_편집'!$AF176:$AN176,'분류_규칙'!$A$5:$A$76,'분류_규칙'!$M$5:$M$76,0))</x:f>
        <x:v>0</x:v>
      </x:c>
      <x:c r="N176" s="10" t="n">
        <x:f>SUM(XLOOKUP('포켓몬_편집'!$AF176:$AN176,'분류_규칙'!$A$5:$A$76,'분류_규칙'!$N$5:$N$76,0))</x:f>
        <x:v>0</x:v>
      </x:c>
      <x:c r="O176" s="10" t="n">
        <x:f>SUM(XLOOKUP('포켓몬_편집'!$AF176:$AN176,'분류_규칙'!$A$5:$A$76,'분류_규칙'!$O$5:$O$76,0))</x:f>
        <x:v>2</x:v>
      </x:c>
      <x:c r="P176" s="10" t="n">
        <x:f>SUM(XLOOKUP('포켓몬_편집'!$AF176:$AN176,'분류_규칙'!$A$5:$A$76,'분류_규칙'!$P$5:$P$76,0))</x:f>
        <x:v>0</x:v>
      </x:c>
    </x:row>
    <x:row r="177" ht="22" customHeight="1">
      <x:c r="A177" s="5" t="n">
        <x:v>173</x:v>
      </x:c>
      <x:c r="B177" s="5" t="inlineStr">
        <x:is>
          <x:t xml:space="preserve">삐</x:t>
        </x:is>
      </x:c>
      <x:c r="C177" s="5" t="inlineStr">
        <x:is>
          <x:t xml:space="preserve">cleffa</x:t>
        </x:is>
      </x:c>
      <x:c r="D177" s="5" t="n">
        <x:v>2</x:v>
      </x:c>
      <x:c r="E177" s="10" t="n">
        <x:f>SUM(XLOOKUP('포켓몬_편집'!$AF177:$AN177,'분류_규칙'!$A$5:$A$76,'분류_규칙'!$E$5:$E$76,0))</x:f>
        <x:v>10</x:v>
      </x:c>
      <x:c r="F177" s="10" t="n">
        <x:f>SUM(XLOOKUP('포켓몬_편집'!$AF177:$AN177,'분류_규칙'!$A$5:$A$76,'분류_규칙'!$F$5:$F$76,0))</x:f>
        <x:v>7</x:v>
      </x:c>
      <x:c r="G177" s="10" t="n">
        <x:f>SUM(XLOOKUP('포켓몬_편집'!$AF177:$AN177,'분류_규칙'!$A$5:$A$76,'분류_규칙'!$G$5:$G$76,0))</x:f>
        <x:v>5</x:v>
      </x:c>
      <x:c r="H177" s="10" t="n">
        <x:f>SUM(XLOOKUP('포켓몬_편집'!$AF177:$AN177,'분류_규칙'!$A$5:$A$76,'분류_규칙'!$H$5:$H$76,0))</x:f>
        <x:v>5</x:v>
      </x:c>
      <x:c r="I177" s="10" t="n">
        <x:f>SUM(XLOOKUP('포켓몬_편집'!$AF177:$AN177,'분류_규칙'!$A$5:$A$76,'분류_규칙'!$I$5:$I$76,0))</x:f>
        <x:v>0</x:v>
      </x:c>
      <x:c r="J177" s="10" t="n">
        <x:f>SUM(XLOOKUP('포켓몬_편집'!$AF177:$AN177,'분류_규칙'!$A$5:$A$76,'분류_규칙'!$J$5:$J$76,0))</x:f>
        <x:v>2</x:v>
      </x:c>
      <x:c r="K177" s="10" t="n">
        <x:f>SUM(XLOOKUP('포켓몬_편집'!$AF177:$AN177,'분류_규칙'!$A$5:$A$76,'분류_규칙'!$K$5:$K$76,0))</x:f>
        <x:v>0</x:v>
      </x:c>
      <x:c r="L177" s="10" t="n">
        <x:f>SUM(XLOOKUP('포켓몬_편집'!$AF177:$AN177,'분류_규칙'!$A$5:$A$76,'분류_규칙'!$L$5:$L$76,0))</x:f>
        <x:v>0</x:v>
      </x:c>
      <x:c r="M177" s="10" t="n">
        <x:f>SUM(XLOOKUP('포켓몬_편집'!$AF177:$AN177,'분류_규칙'!$A$5:$A$76,'분류_규칙'!$M$5:$M$76,0))</x:f>
        <x:v>0</x:v>
      </x:c>
      <x:c r="N177" s="10" t="n">
        <x:f>SUM(XLOOKUP('포켓몬_편집'!$AF177:$AN177,'분류_규칙'!$A$5:$A$76,'분류_규칙'!$N$5:$N$76,0))</x:f>
        <x:v>0</x:v>
      </x:c>
      <x:c r="O177" s="10" t="n">
        <x:f>SUM(XLOOKUP('포켓몬_편집'!$AF177:$AN177,'분류_규칙'!$A$5:$A$76,'분류_규칙'!$O$5:$O$76,0))</x:f>
        <x:v>2</x:v>
      </x:c>
      <x:c r="P177" s="10" t="n">
        <x:f>SUM(XLOOKUP('포켓몬_편집'!$AF177:$AN177,'분류_규칙'!$A$5:$A$76,'분류_규칙'!$P$5:$P$76,0))</x:f>
        <x:v>0</x:v>
      </x:c>
    </x:row>
    <x:row r="178" ht="22" customHeight="1">
      <x:c r="A178" s="5" t="n">
        <x:v>174</x:v>
      </x:c>
      <x:c r="B178" s="5" t="inlineStr">
        <x:is>
          <x:t xml:space="preserve">푸푸린</x:t>
        </x:is>
      </x:c>
      <x:c r="C178" s="5" t="inlineStr">
        <x:is>
          <x:t xml:space="preserve">igglybuff</x:t>
        </x:is>
      </x:c>
      <x:c r="D178" s="5" t="n">
        <x:v>2</x:v>
      </x:c>
      <x:c r="E178" s="10" t="n">
        <x:f>SUM(XLOOKUP('포켓몬_편집'!$AF178:$AN178,'분류_규칙'!$A$5:$A$76,'분류_규칙'!$E$5:$E$76,0))</x:f>
        <x:v>8</x:v>
      </x:c>
      <x:c r="F178" s="10" t="n">
        <x:f>SUM(XLOOKUP('포켓몬_편집'!$AF178:$AN178,'분류_규칙'!$A$5:$A$76,'분류_규칙'!$F$5:$F$76,0))</x:f>
        <x:v>8</x:v>
      </x:c>
      <x:c r="G178" s="10" t="n">
        <x:f>SUM(XLOOKUP('포켓몬_편집'!$AF178:$AN178,'분류_규칙'!$A$5:$A$76,'분류_규칙'!$G$5:$G$76,0))</x:f>
        <x:v>0</x:v>
      </x:c>
      <x:c r="H178" s="10" t="n">
        <x:f>SUM(XLOOKUP('포켓몬_편집'!$AF178:$AN178,'분류_규칙'!$A$5:$A$76,'분류_규칙'!$H$5:$H$76,0))</x:f>
        <x:v>12</x:v>
      </x:c>
      <x:c r="I178" s="10" t="n">
        <x:f>SUM(XLOOKUP('포켓몬_편집'!$AF178:$AN178,'분류_규칙'!$A$5:$A$76,'분류_규칙'!$I$5:$I$76,0))</x:f>
        <x:v>0</x:v>
      </x:c>
      <x:c r="J178" s="10" t="n">
        <x:f>SUM(XLOOKUP('포켓몬_편집'!$AF178:$AN178,'분류_규칙'!$A$5:$A$76,'분류_규칙'!$J$5:$J$76,0))</x:f>
        <x:v>0</x:v>
      </x:c>
      <x:c r="K178" s="10" t="n">
        <x:f>SUM(XLOOKUP('포켓몬_편집'!$AF178:$AN178,'분류_규칙'!$A$5:$A$76,'분류_규칙'!$K$5:$K$76,0))</x:f>
        <x:v>0</x:v>
      </x:c>
      <x:c r="L178" s="10" t="n">
        <x:f>SUM(XLOOKUP('포켓몬_편집'!$AF178:$AN178,'분류_규칙'!$A$5:$A$76,'분류_규칙'!$L$5:$L$76,0))</x:f>
        <x:v>3</x:v>
      </x:c>
      <x:c r="M178" s="10" t="n">
        <x:f>SUM(XLOOKUP('포켓몬_편집'!$AF178:$AN178,'분류_규칙'!$A$5:$A$76,'분류_규칙'!$M$5:$M$76,0))</x:f>
        <x:v>0</x:v>
      </x:c>
      <x:c r="N178" s="10" t="n">
        <x:f>SUM(XLOOKUP('포켓몬_편집'!$AF178:$AN178,'분류_규칙'!$A$5:$A$76,'분류_규칙'!$N$5:$N$76,0))</x:f>
        <x:v>0</x:v>
      </x:c>
      <x:c r="O178" s="10" t="n">
        <x:f>SUM(XLOOKUP('포켓몬_편집'!$AF178:$AN178,'분류_규칙'!$A$5:$A$76,'분류_규칙'!$O$5:$O$76,0))</x:f>
        <x:v>2</x:v>
      </x:c>
      <x:c r="P178" s="10" t="n">
        <x:f>SUM(XLOOKUP('포켓몬_편집'!$AF178:$AN178,'분류_규칙'!$A$5:$A$76,'분류_규칙'!$P$5:$P$76,0))</x:f>
        <x:v>0</x:v>
      </x:c>
    </x:row>
    <x:row r="179" ht="22" customHeight="1">
      <x:c r="A179" s="5" t="n">
        <x:v>175</x:v>
      </x:c>
      <x:c r="B179" s="5" t="inlineStr">
        <x:is>
          <x:t xml:space="preserve">토게피</x:t>
        </x:is>
      </x:c>
      <x:c r="C179" s="5" t="inlineStr">
        <x:is>
          <x:t xml:space="preserve">togepi</x:t>
        </x:is>
      </x:c>
      <x:c r="D179" s="5" t="n">
        <x:v>2</x:v>
      </x:c>
      <x:c r="E179" s="10" t="n">
        <x:f>SUM(XLOOKUP('포켓몬_편집'!$AF179:$AN179,'분류_규칙'!$A$5:$A$76,'분류_규칙'!$E$5:$E$76,0))</x:f>
        <x:v>10</x:v>
      </x:c>
      <x:c r="F179" s="10" t="n">
        <x:f>SUM(XLOOKUP('포켓몬_편집'!$AF179:$AN179,'분류_규칙'!$A$5:$A$76,'분류_규칙'!$F$5:$F$76,0))</x:f>
        <x:v>7</x:v>
      </x:c>
      <x:c r="G179" s="10" t="n">
        <x:f>SUM(XLOOKUP('포켓몬_편집'!$AF179:$AN179,'분류_규칙'!$A$5:$A$76,'분류_규칙'!$G$5:$G$76,0))</x:f>
        <x:v>5</x:v>
      </x:c>
      <x:c r="H179" s="10" t="n">
        <x:f>SUM(XLOOKUP('포켓몬_편집'!$AF179:$AN179,'분류_규칙'!$A$5:$A$76,'분류_규칙'!$H$5:$H$76,0))</x:f>
        <x:v>5</x:v>
      </x:c>
      <x:c r="I179" s="10" t="n">
        <x:f>SUM(XLOOKUP('포켓몬_편집'!$AF179:$AN179,'분류_규칙'!$A$5:$A$76,'분류_규칙'!$I$5:$I$76,0))</x:f>
        <x:v>0</x:v>
      </x:c>
      <x:c r="J179" s="10" t="n">
        <x:f>SUM(XLOOKUP('포켓몬_편집'!$AF179:$AN179,'분류_규칙'!$A$5:$A$76,'분류_규칙'!$J$5:$J$76,0))</x:f>
        <x:v>2</x:v>
      </x:c>
      <x:c r="K179" s="10" t="n">
        <x:f>SUM(XLOOKUP('포켓몬_편집'!$AF179:$AN179,'분류_규칙'!$A$5:$A$76,'분류_규칙'!$K$5:$K$76,0))</x:f>
        <x:v>0</x:v>
      </x:c>
      <x:c r="L179" s="10" t="n">
        <x:f>SUM(XLOOKUP('포켓몬_편집'!$AF179:$AN179,'분류_규칙'!$A$5:$A$76,'분류_규칙'!$L$5:$L$76,0))</x:f>
        <x:v>0</x:v>
      </x:c>
      <x:c r="M179" s="10" t="n">
        <x:f>SUM(XLOOKUP('포켓몬_편집'!$AF179:$AN179,'분류_규칙'!$A$5:$A$76,'분류_규칙'!$M$5:$M$76,0))</x:f>
        <x:v>0</x:v>
      </x:c>
      <x:c r="N179" s="10" t="n">
        <x:f>SUM(XLOOKUP('포켓몬_편집'!$AF179:$AN179,'분류_규칙'!$A$5:$A$76,'분류_규칙'!$N$5:$N$76,0))</x:f>
        <x:v>0</x:v>
      </x:c>
      <x:c r="O179" s="10" t="n">
        <x:f>SUM(XLOOKUP('포켓몬_편집'!$AF179:$AN179,'분류_규칙'!$A$5:$A$76,'분류_규칙'!$O$5:$O$76,0))</x:f>
        <x:v>2</x:v>
      </x:c>
      <x:c r="P179" s="10" t="n">
        <x:f>SUM(XLOOKUP('포켓몬_편집'!$AF179:$AN179,'분류_규칙'!$A$5:$A$76,'분류_규칙'!$P$5:$P$76,0))</x:f>
        <x:v>0</x:v>
      </x:c>
    </x:row>
    <x:row r="180" ht="22" customHeight="1">
      <x:c r="A180" s="5" t="n">
        <x:v>176</x:v>
      </x:c>
      <x:c r="B180" s="5" t="inlineStr">
        <x:is>
          <x:t xml:space="preserve">토게틱</x:t>
        </x:is>
      </x:c>
      <x:c r="C180" s="5" t="inlineStr">
        <x:is>
          <x:t xml:space="preserve">togetic</x:t>
        </x:is>
      </x:c>
      <x:c r="D180" s="5" t="n">
        <x:v>2</x:v>
      </x:c>
      <x:c r="E180" s="10" t="n">
        <x:f>SUM(XLOOKUP('포켓몬_편집'!$AF180:$AN180,'분류_규칙'!$A$5:$A$76,'분류_규칙'!$E$5:$E$76,0))</x:f>
        <x:v>8</x:v>
      </x:c>
      <x:c r="F180" s="10" t="n">
        <x:f>SUM(XLOOKUP('포켓몬_편집'!$AF180:$AN180,'분류_규칙'!$A$5:$A$76,'분류_규칙'!$F$5:$F$76,0))</x:f>
        <x:v>8</x:v>
      </x:c>
      <x:c r="G180" s="10" t="n">
        <x:f>SUM(XLOOKUP('포켓몬_편집'!$AF180:$AN180,'분류_규칙'!$A$5:$A$76,'분류_규칙'!$G$5:$G$76,0))</x:f>
        <x:v>0</x:v>
      </x:c>
      <x:c r="H180" s="10" t="n">
        <x:f>SUM(XLOOKUP('포켓몬_편집'!$AF180:$AN180,'분류_규칙'!$A$5:$A$76,'분류_규칙'!$H$5:$H$76,0))</x:f>
        <x:v>12</x:v>
      </x:c>
      <x:c r="I180" s="10" t="n">
        <x:f>SUM(XLOOKUP('포켓몬_편집'!$AF180:$AN180,'분류_규칙'!$A$5:$A$76,'분류_규칙'!$I$5:$I$76,0))</x:f>
        <x:v>0</x:v>
      </x:c>
      <x:c r="J180" s="10" t="n">
        <x:f>SUM(XLOOKUP('포켓몬_편집'!$AF180:$AN180,'분류_규칙'!$A$5:$A$76,'분류_규칙'!$J$5:$J$76,0))</x:f>
        <x:v>0</x:v>
      </x:c>
      <x:c r="K180" s="10" t="n">
        <x:f>SUM(XLOOKUP('포켓몬_편집'!$AF180:$AN180,'분류_규칙'!$A$5:$A$76,'분류_규칙'!$K$5:$K$76,0))</x:f>
        <x:v>0</x:v>
      </x:c>
      <x:c r="L180" s="10" t="n">
        <x:f>SUM(XLOOKUP('포켓몬_편집'!$AF180:$AN180,'분류_규칙'!$A$5:$A$76,'분류_규칙'!$L$5:$L$76,0))</x:f>
        <x:v>3</x:v>
      </x:c>
      <x:c r="M180" s="10" t="n">
        <x:f>SUM(XLOOKUP('포켓몬_편집'!$AF180:$AN180,'분류_규칙'!$A$5:$A$76,'분류_규칙'!$M$5:$M$76,0))</x:f>
        <x:v>0</x:v>
      </x:c>
      <x:c r="N180" s="10" t="n">
        <x:f>SUM(XLOOKUP('포켓몬_편집'!$AF180:$AN180,'분류_규칙'!$A$5:$A$76,'분류_규칙'!$N$5:$N$76,0))</x:f>
        <x:v>0</x:v>
      </x:c>
      <x:c r="O180" s="10" t="n">
        <x:f>SUM(XLOOKUP('포켓몬_편집'!$AF180:$AN180,'분류_규칙'!$A$5:$A$76,'분류_규칙'!$O$5:$O$76,0))</x:f>
        <x:v>2</x:v>
      </x:c>
      <x:c r="P180" s="10" t="n">
        <x:f>SUM(XLOOKUP('포켓몬_편집'!$AF180:$AN180,'분류_규칙'!$A$5:$A$76,'분류_규칙'!$P$5:$P$76,0))</x:f>
        <x:v>0</x:v>
      </x:c>
    </x:row>
    <x:row r="181" ht="22" customHeight="1">
      <x:c r="A181" s="5" t="n">
        <x:v>177</x:v>
      </x:c>
      <x:c r="B181" s="5" t="inlineStr">
        <x:is>
          <x:t xml:space="preserve">네이티</x:t>
        </x:is>
      </x:c>
      <x:c r="C181" s="5" t="inlineStr">
        <x:is>
          <x:t xml:space="preserve">natu</x:t>
        </x:is>
      </x:c>
      <x:c r="D181" s="5" t="n">
        <x:v>2</x:v>
      </x:c>
      <x:c r="E181" s="10" t="n">
        <x:f>SUM(XLOOKUP('포켓몬_편집'!$AF181:$AN181,'분류_규칙'!$A$5:$A$76,'분류_규칙'!$E$5:$E$76,0))</x:f>
        <x:v>8</x:v>
      </x:c>
      <x:c r="F181" s="10" t="n">
        <x:f>SUM(XLOOKUP('포켓몬_편집'!$AF181:$AN181,'분류_규칙'!$A$5:$A$76,'분류_규칙'!$F$5:$F$76,0))</x:f>
        <x:v>8</x:v>
      </x:c>
      <x:c r="G181" s="10" t="n">
        <x:f>SUM(XLOOKUP('포켓몬_편집'!$AF181:$AN181,'분류_규칙'!$A$5:$A$76,'분류_규칙'!$G$5:$G$76,0))</x:f>
        <x:v>0</x:v>
      </x:c>
      <x:c r="H181" s="10" t="n">
        <x:f>SUM(XLOOKUP('포켓몬_편집'!$AF181:$AN181,'분류_규칙'!$A$5:$A$76,'분류_규칙'!$H$5:$H$76,0))</x:f>
        <x:v>12</x:v>
      </x:c>
      <x:c r="I181" s="10" t="n">
        <x:f>SUM(XLOOKUP('포켓몬_편집'!$AF181:$AN181,'분류_규칙'!$A$5:$A$76,'분류_규칙'!$I$5:$I$76,0))</x:f>
        <x:v>0</x:v>
      </x:c>
      <x:c r="J181" s="10" t="n">
        <x:f>SUM(XLOOKUP('포켓몬_편집'!$AF181:$AN181,'분류_규칙'!$A$5:$A$76,'분류_규칙'!$J$5:$J$76,0))</x:f>
        <x:v>0</x:v>
      </x:c>
      <x:c r="K181" s="10" t="n">
        <x:f>SUM(XLOOKUP('포켓몬_편집'!$AF181:$AN181,'분류_규칙'!$A$5:$A$76,'분류_규칙'!$K$5:$K$76,0))</x:f>
        <x:v>0</x:v>
      </x:c>
      <x:c r="L181" s="10" t="n">
        <x:f>SUM(XLOOKUP('포켓몬_편집'!$AF181:$AN181,'분류_규칙'!$A$5:$A$76,'분류_규칙'!$L$5:$L$76,0))</x:f>
        <x:v>3</x:v>
      </x:c>
      <x:c r="M181" s="10" t="n">
        <x:f>SUM(XLOOKUP('포켓몬_편집'!$AF181:$AN181,'분류_규칙'!$A$5:$A$76,'분류_규칙'!$M$5:$M$76,0))</x:f>
        <x:v>0</x:v>
      </x:c>
      <x:c r="N181" s="10" t="n">
        <x:f>SUM(XLOOKUP('포켓몬_편집'!$AF181:$AN181,'분류_규칙'!$A$5:$A$76,'분류_규칙'!$N$5:$N$76,0))</x:f>
        <x:v>0</x:v>
      </x:c>
      <x:c r="O181" s="10" t="n">
        <x:f>SUM(XLOOKUP('포켓몬_편집'!$AF181:$AN181,'분류_규칙'!$A$5:$A$76,'분류_규칙'!$O$5:$O$76,0))</x:f>
        <x:v>2</x:v>
      </x:c>
      <x:c r="P181" s="10" t="n">
        <x:f>SUM(XLOOKUP('포켓몬_편집'!$AF181:$AN181,'분류_규칙'!$A$5:$A$76,'분류_규칙'!$P$5:$P$76,0))</x:f>
        <x:v>0</x:v>
      </x:c>
    </x:row>
    <x:row r="182" ht="22" customHeight="1">
      <x:c r="A182" s="5" t="n">
        <x:v>178</x:v>
      </x:c>
      <x:c r="B182" s="5" t="inlineStr">
        <x:is>
          <x:t xml:space="preserve">네이티오</x:t>
        </x:is>
      </x:c>
      <x:c r="C182" s="5" t="inlineStr">
        <x:is>
          <x:t xml:space="preserve">xatu</x:t>
        </x:is>
      </x:c>
      <x:c r="D182" s="5" t="n">
        <x:v>2</x:v>
      </x:c>
      <x:c r="E182" s="10" t="n">
        <x:f>SUM(XLOOKUP('포켓몬_편집'!$AF182:$AN182,'분류_규칙'!$A$5:$A$76,'분류_규칙'!$E$5:$E$76,0))</x:f>
        <x:v>8</x:v>
      </x:c>
      <x:c r="F182" s="10" t="n">
        <x:f>SUM(XLOOKUP('포켓몬_편집'!$AF182:$AN182,'분류_규칙'!$A$5:$A$76,'분류_규칙'!$F$5:$F$76,0))</x:f>
        <x:v>8</x:v>
      </x:c>
      <x:c r="G182" s="10" t="n">
        <x:f>SUM(XLOOKUP('포켓몬_편집'!$AF182:$AN182,'분류_규칙'!$A$5:$A$76,'분류_규칙'!$G$5:$G$76,0))</x:f>
        <x:v>0</x:v>
      </x:c>
      <x:c r="H182" s="10" t="n">
        <x:f>SUM(XLOOKUP('포켓몬_편집'!$AF182:$AN182,'분류_규칙'!$A$5:$A$76,'분류_규칙'!$H$5:$H$76,0))</x:f>
        <x:v>12</x:v>
      </x:c>
      <x:c r="I182" s="10" t="n">
        <x:f>SUM(XLOOKUP('포켓몬_편집'!$AF182:$AN182,'분류_규칙'!$A$5:$A$76,'분류_규칙'!$I$5:$I$76,0))</x:f>
        <x:v>0</x:v>
      </x:c>
      <x:c r="J182" s="10" t="n">
        <x:f>SUM(XLOOKUP('포켓몬_편집'!$AF182:$AN182,'분류_규칙'!$A$5:$A$76,'분류_규칙'!$J$5:$J$76,0))</x:f>
        <x:v>0</x:v>
      </x:c>
      <x:c r="K182" s="10" t="n">
        <x:f>SUM(XLOOKUP('포켓몬_편집'!$AF182:$AN182,'분류_규칙'!$A$5:$A$76,'분류_규칙'!$K$5:$K$76,0))</x:f>
        <x:v>0</x:v>
      </x:c>
      <x:c r="L182" s="10" t="n">
        <x:f>SUM(XLOOKUP('포켓몬_편집'!$AF182:$AN182,'분류_규칙'!$A$5:$A$76,'분류_규칙'!$L$5:$L$76,0))</x:f>
        <x:v>3</x:v>
      </x:c>
      <x:c r="M182" s="10" t="n">
        <x:f>SUM(XLOOKUP('포켓몬_편집'!$AF182:$AN182,'분류_규칙'!$A$5:$A$76,'분류_규칙'!$M$5:$M$76,0))</x:f>
        <x:v>0</x:v>
      </x:c>
      <x:c r="N182" s="10" t="n">
        <x:f>SUM(XLOOKUP('포켓몬_편집'!$AF182:$AN182,'분류_규칙'!$A$5:$A$76,'분류_규칙'!$N$5:$N$76,0))</x:f>
        <x:v>0</x:v>
      </x:c>
      <x:c r="O182" s="10" t="n">
        <x:f>SUM(XLOOKUP('포켓몬_편집'!$AF182:$AN182,'분류_규칙'!$A$5:$A$76,'분류_규칙'!$O$5:$O$76,0))</x:f>
        <x:v>2</x:v>
      </x:c>
      <x:c r="P182" s="10" t="n">
        <x:f>SUM(XLOOKUP('포켓몬_편집'!$AF182:$AN182,'분류_규칙'!$A$5:$A$76,'분류_규칙'!$P$5:$P$76,0))</x:f>
        <x:v>0</x:v>
      </x:c>
    </x:row>
    <x:row r="183" ht="22" customHeight="1">
      <x:c r="A183" s="5" t="n">
        <x:v>179</x:v>
      </x:c>
      <x:c r="B183" s="5" t="inlineStr">
        <x:is>
          <x:t xml:space="preserve">메리프</x:t>
        </x:is>
      </x:c>
      <x:c r="C183" s="5" t="inlineStr">
        <x:is>
          <x:t xml:space="preserve">mareep</x:t>
        </x:is>
      </x:c>
      <x:c r="D183" s="5" t="n">
        <x:v>2</x:v>
      </x:c>
      <x:c r="E183" s="10" t="n">
        <x:f>SUM(XLOOKUP('포켓몬_편집'!$AF183:$AN183,'분류_규칙'!$A$5:$A$76,'분류_규칙'!$E$5:$E$76,0))</x:f>
        <x:v>10</x:v>
      </x:c>
      <x:c r="F183" s="10" t="n">
        <x:f>SUM(XLOOKUP('포켓몬_편집'!$AF183:$AN183,'분류_규칙'!$A$5:$A$76,'분류_규칙'!$F$5:$F$76,0))</x:f>
        <x:v>7</x:v>
      </x:c>
      <x:c r="G183" s="10" t="n">
        <x:f>SUM(XLOOKUP('포켓몬_편집'!$AF183:$AN183,'분류_규칙'!$A$5:$A$76,'분류_규칙'!$G$5:$G$76,0))</x:f>
        <x:v>5</x:v>
      </x:c>
      <x:c r="H183" s="10" t="n">
        <x:f>SUM(XLOOKUP('포켓몬_편집'!$AF183:$AN183,'분류_규칙'!$A$5:$A$76,'분류_규칙'!$H$5:$H$76,0))</x:f>
        <x:v>5</x:v>
      </x:c>
      <x:c r="I183" s="10" t="n">
        <x:f>SUM(XLOOKUP('포켓몬_편집'!$AF183:$AN183,'분류_규칙'!$A$5:$A$76,'분류_규칙'!$I$5:$I$76,0))</x:f>
        <x:v>0</x:v>
      </x:c>
      <x:c r="J183" s="10" t="n">
        <x:f>SUM(XLOOKUP('포켓몬_편집'!$AF183:$AN183,'분류_규칙'!$A$5:$A$76,'분류_규칙'!$J$5:$J$76,0))</x:f>
        <x:v>2</x:v>
      </x:c>
      <x:c r="K183" s="10" t="n">
        <x:f>SUM(XLOOKUP('포켓몬_편집'!$AF183:$AN183,'분류_규칙'!$A$5:$A$76,'분류_규칙'!$K$5:$K$76,0))</x:f>
        <x:v>0</x:v>
      </x:c>
      <x:c r="L183" s="10" t="n">
        <x:f>SUM(XLOOKUP('포켓몬_편집'!$AF183:$AN183,'분류_규칙'!$A$5:$A$76,'분류_규칙'!$L$5:$L$76,0))</x:f>
        <x:v>0</x:v>
      </x:c>
      <x:c r="M183" s="10" t="n">
        <x:f>SUM(XLOOKUP('포켓몬_편집'!$AF183:$AN183,'분류_규칙'!$A$5:$A$76,'분류_규칙'!$M$5:$M$76,0))</x:f>
        <x:v>0</x:v>
      </x:c>
      <x:c r="N183" s="10" t="n">
        <x:f>SUM(XLOOKUP('포켓몬_편집'!$AF183:$AN183,'분류_규칙'!$A$5:$A$76,'분류_규칙'!$N$5:$N$76,0))</x:f>
        <x:v>0</x:v>
      </x:c>
      <x:c r="O183" s="10" t="n">
        <x:f>SUM(XLOOKUP('포켓몬_편집'!$AF183:$AN183,'분류_규칙'!$A$5:$A$76,'분류_규칙'!$O$5:$O$76,0))</x:f>
        <x:v>2</x:v>
      </x:c>
      <x:c r="P183" s="10" t="n">
        <x:f>SUM(XLOOKUP('포켓몬_편집'!$AF183:$AN183,'분류_규칙'!$A$5:$A$76,'분류_규칙'!$P$5:$P$76,0))</x:f>
        <x:v>0</x:v>
      </x:c>
    </x:row>
    <x:row r="184" ht="22" customHeight="1">
      <x:c r="A184" s="5" t="n">
        <x:v>180</x:v>
      </x:c>
      <x:c r="B184" s="5" t="inlineStr">
        <x:is>
          <x:t xml:space="preserve">보송송</x:t>
        </x:is>
      </x:c>
      <x:c r="C184" s="5" t="inlineStr">
        <x:is>
          <x:t xml:space="preserve">flaaffy</x:t>
        </x:is>
      </x:c>
      <x:c r="D184" s="5" t="n">
        <x:v>2</x:v>
      </x:c>
      <x:c r="E184" s="10" t="n">
        <x:f>SUM(XLOOKUP('포켓몬_편집'!$AF184:$AN184,'분류_규칙'!$A$5:$A$76,'분류_규칙'!$E$5:$E$76,0))</x:f>
        <x:v>10</x:v>
      </x:c>
      <x:c r="F184" s="10" t="n">
        <x:f>SUM(XLOOKUP('포켓몬_편집'!$AF184:$AN184,'분류_규칙'!$A$5:$A$76,'분류_규칙'!$F$5:$F$76,0))</x:f>
        <x:v>7</x:v>
      </x:c>
      <x:c r="G184" s="10" t="n">
        <x:f>SUM(XLOOKUP('포켓몬_편집'!$AF184:$AN184,'분류_규칙'!$A$5:$A$76,'분류_규칙'!$G$5:$G$76,0))</x:f>
        <x:v>5</x:v>
      </x:c>
      <x:c r="H184" s="10" t="n">
        <x:f>SUM(XLOOKUP('포켓몬_편집'!$AF184:$AN184,'분류_규칙'!$A$5:$A$76,'분류_규칙'!$H$5:$H$76,0))</x:f>
        <x:v>5</x:v>
      </x:c>
      <x:c r="I184" s="10" t="n">
        <x:f>SUM(XLOOKUP('포켓몬_편집'!$AF184:$AN184,'분류_규칙'!$A$5:$A$76,'분류_규칙'!$I$5:$I$76,0))</x:f>
        <x:v>0</x:v>
      </x:c>
      <x:c r="J184" s="10" t="n">
        <x:f>SUM(XLOOKUP('포켓몬_편집'!$AF184:$AN184,'분류_규칙'!$A$5:$A$76,'분류_규칙'!$J$5:$J$76,0))</x:f>
        <x:v>2</x:v>
      </x:c>
      <x:c r="K184" s="10" t="n">
        <x:f>SUM(XLOOKUP('포켓몬_편집'!$AF184:$AN184,'분류_규칙'!$A$5:$A$76,'분류_규칙'!$K$5:$K$76,0))</x:f>
        <x:v>0</x:v>
      </x:c>
      <x:c r="L184" s="10" t="n">
        <x:f>SUM(XLOOKUP('포켓몬_편집'!$AF184:$AN184,'분류_규칙'!$A$5:$A$76,'분류_규칙'!$L$5:$L$76,0))</x:f>
        <x:v>0</x:v>
      </x:c>
      <x:c r="M184" s="10" t="n">
        <x:f>SUM(XLOOKUP('포켓몬_편집'!$AF184:$AN184,'분류_규칙'!$A$5:$A$76,'분류_규칙'!$M$5:$M$76,0))</x:f>
        <x:v>0</x:v>
      </x:c>
      <x:c r="N184" s="10" t="n">
        <x:f>SUM(XLOOKUP('포켓몬_편집'!$AF184:$AN184,'분류_규칙'!$A$5:$A$76,'분류_규칙'!$N$5:$N$76,0))</x:f>
        <x:v>0</x:v>
      </x:c>
      <x:c r="O184" s="10" t="n">
        <x:f>SUM(XLOOKUP('포켓몬_편집'!$AF184:$AN184,'분류_규칙'!$A$5:$A$76,'분류_규칙'!$O$5:$O$76,0))</x:f>
        <x:v>2</x:v>
      </x:c>
      <x:c r="P184" s="10" t="n">
        <x:f>SUM(XLOOKUP('포켓몬_편집'!$AF184:$AN184,'분류_규칙'!$A$5:$A$76,'분류_규칙'!$P$5:$P$76,0))</x:f>
        <x:v>0</x:v>
      </x:c>
    </x:row>
    <x:row r="185" ht="22" customHeight="1">
      <x:c r="A185" s="5" t="n">
        <x:v>181</x:v>
      </x:c>
      <x:c r="B185" s="5" t="inlineStr">
        <x:is>
          <x:t xml:space="preserve">전룡</x:t>
        </x:is>
      </x:c>
      <x:c r="C185" s="5" t="inlineStr">
        <x:is>
          <x:t xml:space="preserve">ampharos</x:t>
        </x:is>
      </x:c>
      <x:c r="D185" s="5" t="n">
        <x:v>2</x:v>
      </x:c>
      <x:c r="E185" s="10" t="n">
        <x:f>SUM(XLOOKUP('포켓몬_편집'!$AF185:$AN185,'분류_규칙'!$A$5:$A$76,'분류_규칙'!$E$5:$E$76,0))</x:f>
        <x:v>10</x:v>
      </x:c>
      <x:c r="F185" s="10" t="n">
        <x:f>SUM(XLOOKUP('포켓몬_편집'!$AF185:$AN185,'분류_규칙'!$A$5:$A$76,'분류_규칙'!$F$5:$F$76,0))</x:f>
        <x:v>7</x:v>
      </x:c>
      <x:c r="G185" s="10" t="n">
        <x:f>SUM(XLOOKUP('포켓몬_편집'!$AF185:$AN185,'분류_규칙'!$A$5:$A$76,'분류_규칙'!$G$5:$G$76,0))</x:f>
        <x:v>5</x:v>
      </x:c>
      <x:c r="H185" s="10" t="n">
        <x:f>SUM(XLOOKUP('포켓몬_편집'!$AF185:$AN185,'분류_규칙'!$A$5:$A$76,'분류_규칙'!$H$5:$H$76,0))</x:f>
        <x:v>5</x:v>
      </x:c>
      <x:c r="I185" s="10" t="n">
        <x:f>SUM(XLOOKUP('포켓몬_편집'!$AF185:$AN185,'분류_규칙'!$A$5:$A$76,'분류_규칙'!$I$5:$I$76,0))</x:f>
        <x:v>0</x:v>
      </x:c>
      <x:c r="J185" s="10" t="n">
        <x:f>SUM(XLOOKUP('포켓몬_편집'!$AF185:$AN185,'분류_규칙'!$A$5:$A$76,'분류_규칙'!$J$5:$J$76,0))</x:f>
        <x:v>2</x:v>
      </x:c>
      <x:c r="K185" s="10" t="n">
        <x:f>SUM(XLOOKUP('포켓몬_편집'!$AF185:$AN185,'분류_규칙'!$A$5:$A$76,'분류_규칙'!$K$5:$K$76,0))</x:f>
        <x:v>0</x:v>
      </x:c>
      <x:c r="L185" s="10" t="n">
        <x:f>SUM(XLOOKUP('포켓몬_편집'!$AF185:$AN185,'분류_규칙'!$A$5:$A$76,'분류_규칙'!$L$5:$L$76,0))</x:f>
        <x:v>0</x:v>
      </x:c>
      <x:c r="M185" s="10" t="n">
        <x:f>SUM(XLOOKUP('포켓몬_편집'!$AF185:$AN185,'분류_규칙'!$A$5:$A$76,'분류_규칙'!$M$5:$M$76,0))</x:f>
        <x:v>0</x:v>
      </x:c>
      <x:c r="N185" s="10" t="n">
        <x:f>SUM(XLOOKUP('포켓몬_편집'!$AF185:$AN185,'분류_규칙'!$A$5:$A$76,'분류_규칙'!$N$5:$N$76,0))</x:f>
        <x:v>0</x:v>
      </x:c>
      <x:c r="O185" s="10" t="n">
        <x:f>SUM(XLOOKUP('포켓몬_편집'!$AF185:$AN185,'분류_규칙'!$A$5:$A$76,'분류_규칙'!$O$5:$O$76,0))</x:f>
        <x:v>2</x:v>
      </x:c>
      <x:c r="P185" s="10" t="n">
        <x:f>SUM(XLOOKUP('포켓몬_편집'!$AF185:$AN185,'분류_규칙'!$A$5:$A$76,'분류_규칙'!$P$5:$P$76,0))</x:f>
        <x:v>0</x:v>
      </x:c>
    </x:row>
    <x:row r="186" ht="22" customHeight="1">
      <x:c r="A186" s="5" t="n">
        <x:v>182</x:v>
      </x:c>
      <x:c r="B186" s="5" t="inlineStr">
        <x:is>
          <x:t xml:space="preserve">아르코</x:t>
        </x:is>
      </x:c>
      <x:c r="C186" s="5" t="inlineStr">
        <x:is>
          <x:t xml:space="preserve">bellossom</x:t>
        </x:is>
      </x:c>
      <x:c r="D186" s="5" t="n">
        <x:v>2</x:v>
      </x:c>
      <x:c r="E186" s="10" t="n">
        <x:f>SUM(XLOOKUP('포켓몬_편집'!$AF186:$AN186,'분류_규칙'!$A$5:$A$76,'분류_규칙'!$E$5:$E$76,0))</x:f>
        <x:v>10</x:v>
      </x:c>
      <x:c r="F186" s="10" t="n">
        <x:f>SUM(XLOOKUP('포켓몬_편집'!$AF186:$AN186,'분류_규칙'!$A$5:$A$76,'분류_규칙'!$F$5:$F$76,0))</x:f>
        <x:v>7</x:v>
      </x:c>
      <x:c r="G186" s="10" t="n">
        <x:f>SUM(XLOOKUP('포켓몬_편집'!$AF186:$AN186,'분류_규칙'!$A$5:$A$76,'분류_규칙'!$G$5:$G$76,0))</x:f>
        <x:v>5</x:v>
      </x:c>
      <x:c r="H186" s="10" t="n">
        <x:f>SUM(XLOOKUP('포켓몬_편집'!$AF186:$AN186,'분류_규칙'!$A$5:$A$76,'분류_규칙'!$H$5:$H$76,0))</x:f>
        <x:v>5</x:v>
      </x:c>
      <x:c r="I186" s="10" t="n">
        <x:f>SUM(XLOOKUP('포켓몬_편집'!$AF186:$AN186,'분류_규칙'!$A$5:$A$76,'분류_규칙'!$I$5:$I$76,0))</x:f>
        <x:v>0</x:v>
      </x:c>
      <x:c r="J186" s="10" t="n">
        <x:f>SUM(XLOOKUP('포켓몬_편집'!$AF186:$AN186,'분류_규칙'!$A$5:$A$76,'분류_규칙'!$J$5:$J$76,0))</x:f>
        <x:v>2</x:v>
      </x:c>
      <x:c r="K186" s="10" t="n">
        <x:f>SUM(XLOOKUP('포켓몬_편집'!$AF186:$AN186,'분류_규칙'!$A$5:$A$76,'분류_규칙'!$K$5:$K$76,0))</x:f>
        <x:v>0</x:v>
      </x:c>
      <x:c r="L186" s="10" t="n">
        <x:f>SUM(XLOOKUP('포켓몬_편집'!$AF186:$AN186,'분류_규칙'!$A$5:$A$76,'분류_규칙'!$L$5:$L$76,0))</x:f>
        <x:v>0</x:v>
      </x:c>
      <x:c r="M186" s="10" t="n">
        <x:f>SUM(XLOOKUP('포켓몬_편집'!$AF186:$AN186,'분류_규칙'!$A$5:$A$76,'분류_규칙'!$M$5:$M$76,0))</x:f>
        <x:v>0</x:v>
      </x:c>
      <x:c r="N186" s="10" t="n">
        <x:f>SUM(XLOOKUP('포켓몬_편집'!$AF186:$AN186,'분류_규칙'!$A$5:$A$76,'분류_규칙'!$N$5:$N$76,0))</x:f>
        <x:v>0</x:v>
      </x:c>
      <x:c r="O186" s="10" t="n">
        <x:f>SUM(XLOOKUP('포켓몬_편집'!$AF186:$AN186,'분류_규칙'!$A$5:$A$76,'분류_규칙'!$O$5:$O$76,0))</x:f>
        <x:v>2</x:v>
      </x:c>
      <x:c r="P186" s="10" t="n">
        <x:f>SUM(XLOOKUP('포켓몬_편집'!$AF186:$AN186,'분류_규칙'!$A$5:$A$76,'분류_규칙'!$P$5:$P$76,0))</x:f>
        <x:v>0</x:v>
      </x:c>
    </x:row>
    <x:row r="187" ht="22" customHeight="1">
      <x:c r="A187" s="5" t="n">
        <x:v>183</x:v>
      </x:c>
      <x:c r="B187" s="5" t="inlineStr">
        <x:is>
          <x:t xml:space="preserve">마릴</x:t>
        </x:is>
      </x:c>
      <x:c r="C187" s="5" t="inlineStr">
        <x:is>
          <x:t xml:space="preserve">marill</x:t>
        </x:is>
      </x:c>
      <x:c r="D187" s="5" t="n">
        <x:v>2</x:v>
      </x:c>
      <x:c r="E187" s="10" t="n">
        <x:f>SUM(XLOOKUP('포켓몬_편집'!$AF187:$AN187,'분류_규칙'!$A$5:$A$76,'분류_규칙'!$E$5:$E$76,0))</x:f>
        <x:v>0</x:v>
      </x:c>
      <x:c r="F187" s="10" t="n">
        <x:f>SUM(XLOOKUP('포켓몬_편집'!$AF187:$AN187,'분류_규칙'!$A$5:$A$76,'분류_규칙'!$F$5:$F$76,0))</x:f>
        <x:v>0</x:v>
      </x:c>
      <x:c r="G187" s="10" t="n">
        <x:f>SUM(XLOOKUP('포켓몬_편집'!$AF187:$AN187,'분류_규칙'!$A$5:$A$76,'분류_규칙'!$G$5:$G$76,0))</x:f>
        <x:v>0</x:v>
      </x:c>
      <x:c r="H187" s="10" t="n">
        <x:f>SUM(XLOOKUP('포켓몬_편집'!$AF187:$AN187,'분류_규칙'!$A$5:$A$76,'분류_규칙'!$H$5:$H$76,0))</x:f>
        <x:v>0</x:v>
      </x:c>
      <x:c r="I187" s="10" t="n">
        <x:f>SUM(XLOOKUP('포켓몬_편집'!$AF187:$AN187,'분류_규칙'!$A$5:$A$76,'분류_규칙'!$I$5:$I$76,0))</x:f>
        <x:v>0</x:v>
      </x:c>
      <x:c r="J187" s="10" t="n">
        <x:f>SUM(XLOOKUP('포켓몬_편집'!$AF187:$AN187,'분류_규칙'!$A$5:$A$76,'분류_규칙'!$J$5:$J$76,0))</x:f>
        <x:v>12</x:v>
      </x:c>
      <x:c r="K187" s="10" t="n">
        <x:f>SUM(XLOOKUP('포켓몬_편집'!$AF187:$AN187,'분류_규칙'!$A$5:$A$76,'분류_규칙'!$K$5:$K$76,0))</x:f>
        <x:v>30</x:v>
      </x:c>
      <x:c r="L187" s="10" t="n">
        <x:f>SUM(XLOOKUP('포켓몬_편집'!$AF187:$AN187,'분류_규칙'!$A$5:$A$76,'분류_규칙'!$L$5:$L$76,0))</x:f>
        <x:v>0</x:v>
      </x:c>
      <x:c r="M187" s="10" t="n">
        <x:f>SUM(XLOOKUP('포켓몬_편집'!$AF187:$AN187,'분류_규칙'!$A$5:$A$76,'분류_규칙'!$M$5:$M$76,0))</x:f>
        <x:v>0</x:v>
      </x:c>
      <x:c r="N187" s="10" t="n">
        <x:f>SUM(XLOOKUP('포켓몬_편집'!$AF187:$AN187,'분류_규칙'!$A$5:$A$76,'분류_규칙'!$N$5:$N$76,0))</x:f>
        <x:v>0</x:v>
      </x:c>
      <x:c r="O187" s="10" t="n">
        <x:f>SUM(XLOOKUP('포켓몬_편집'!$AF187:$AN187,'분류_규칙'!$A$5:$A$76,'분류_규칙'!$O$5:$O$76,0))</x:f>
        <x:v>0</x:v>
      </x:c>
      <x:c r="P187" s="10" t="n">
        <x:f>SUM(XLOOKUP('포켓몬_편집'!$AF187:$AN187,'분류_규칙'!$A$5:$A$76,'분류_규칙'!$P$5:$P$76,0))</x:f>
        <x:v>0</x:v>
      </x:c>
    </x:row>
    <x:row r="188" ht="22" customHeight="1">
      <x:c r="A188" s="5" t="n">
        <x:v>184</x:v>
      </x:c>
      <x:c r="B188" s="5" t="inlineStr">
        <x:is>
          <x:t xml:space="preserve">마릴리</x:t>
        </x:is>
      </x:c>
      <x:c r="C188" s="5" t="inlineStr">
        <x:is>
          <x:t xml:space="preserve">azumarill</x:t>
        </x:is>
      </x:c>
      <x:c r="D188" s="5" t="n">
        <x:v>2</x:v>
      </x:c>
      <x:c r="E188" s="10" t="n">
        <x:f>SUM(XLOOKUP('포켓몬_편집'!$AF188:$AN188,'분류_규칙'!$A$5:$A$76,'분류_규칙'!$E$5:$E$76,0))</x:f>
        <x:v>0</x:v>
      </x:c>
      <x:c r="F188" s="10" t="n">
        <x:f>SUM(XLOOKUP('포켓몬_편집'!$AF188:$AN188,'분류_규칙'!$A$5:$A$76,'분류_규칙'!$F$5:$F$76,0))</x:f>
        <x:v>0</x:v>
      </x:c>
      <x:c r="G188" s="10" t="n">
        <x:f>SUM(XLOOKUP('포켓몬_편집'!$AF188:$AN188,'분류_규칙'!$A$5:$A$76,'분류_규칙'!$G$5:$G$76,0))</x:f>
        <x:v>0</x:v>
      </x:c>
      <x:c r="H188" s="10" t="n">
        <x:f>SUM(XLOOKUP('포켓몬_편집'!$AF188:$AN188,'분류_규칙'!$A$5:$A$76,'분류_규칙'!$H$5:$H$76,0))</x:f>
        <x:v>0</x:v>
      </x:c>
      <x:c r="I188" s="10" t="n">
        <x:f>SUM(XLOOKUP('포켓몬_편집'!$AF188:$AN188,'분류_규칙'!$A$5:$A$76,'분류_규칙'!$I$5:$I$76,0))</x:f>
        <x:v>0</x:v>
      </x:c>
      <x:c r="J188" s="10" t="n">
        <x:f>SUM(XLOOKUP('포켓몬_편집'!$AF188:$AN188,'분류_규칙'!$A$5:$A$76,'분류_규칙'!$J$5:$J$76,0))</x:f>
        <x:v>12</x:v>
      </x:c>
      <x:c r="K188" s="10" t="n">
        <x:f>SUM(XLOOKUP('포켓몬_편집'!$AF188:$AN188,'분류_규칙'!$A$5:$A$76,'분류_규칙'!$K$5:$K$76,0))</x:f>
        <x:v>30</x:v>
      </x:c>
      <x:c r="L188" s="10" t="n">
        <x:f>SUM(XLOOKUP('포켓몬_편집'!$AF188:$AN188,'분류_규칙'!$A$5:$A$76,'분류_규칙'!$L$5:$L$76,0))</x:f>
        <x:v>0</x:v>
      </x:c>
      <x:c r="M188" s="10" t="n">
        <x:f>SUM(XLOOKUP('포켓몬_편집'!$AF188:$AN188,'분류_규칙'!$A$5:$A$76,'분류_규칙'!$M$5:$M$76,0))</x:f>
        <x:v>0</x:v>
      </x:c>
      <x:c r="N188" s="10" t="n">
        <x:f>SUM(XLOOKUP('포켓몬_편집'!$AF188:$AN188,'분류_규칙'!$A$5:$A$76,'분류_규칙'!$N$5:$N$76,0))</x:f>
        <x:v>0</x:v>
      </x:c>
      <x:c r="O188" s="10" t="n">
        <x:f>SUM(XLOOKUP('포켓몬_편집'!$AF188:$AN188,'분류_규칙'!$A$5:$A$76,'분류_규칙'!$O$5:$O$76,0))</x:f>
        <x:v>0</x:v>
      </x:c>
      <x:c r="P188" s="10" t="n">
        <x:f>SUM(XLOOKUP('포켓몬_편집'!$AF188:$AN188,'분류_규칙'!$A$5:$A$76,'분류_규칙'!$P$5:$P$76,0))</x:f>
        <x:v>0</x:v>
      </x:c>
    </x:row>
    <x:row r="189" ht="22" customHeight="1">
      <x:c r="A189" s="5" t="n">
        <x:v>185</x:v>
      </x:c>
      <x:c r="B189" s="5" t="inlineStr">
        <x:is>
          <x:t xml:space="preserve">꼬지모</x:t>
        </x:is>
      </x:c>
      <x:c r="C189" s="5" t="inlineStr">
        <x:is>
          <x:t xml:space="preserve">sudowoodo</x:t>
        </x:is>
      </x:c>
      <x:c r="D189" s="5" t="n">
        <x:v>2</x:v>
      </x:c>
      <x:c r="E189" s="10" t="n">
        <x:f>SUM(XLOOKUP('포켓몬_편집'!$AF189:$AN189,'분류_규칙'!$A$5:$A$76,'분류_규칙'!$E$5:$E$76,0))</x:f>
        <x:v>10</x:v>
      </x:c>
      <x:c r="F189" s="10" t="n">
        <x:f>SUM(XLOOKUP('포켓몬_편집'!$AF189:$AN189,'분류_규칙'!$A$5:$A$76,'분류_규칙'!$F$5:$F$76,0))</x:f>
        <x:v>7</x:v>
      </x:c>
      <x:c r="G189" s="10" t="n">
        <x:f>SUM(XLOOKUP('포켓몬_편집'!$AF189:$AN189,'분류_규칙'!$A$5:$A$76,'분류_규칙'!$G$5:$G$76,0))</x:f>
        <x:v>5</x:v>
      </x:c>
      <x:c r="H189" s="10" t="n">
        <x:f>SUM(XLOOKUP('포켓몬_편집'!$AF189:$AN189,'분류_규칙'!$A$5:$A$76,'분류_규칙'!$H$5:$H$76,0))</x:f>
        <x:v>5</x:v>
      </x:c>
      <x:c r="I189" s="10" t="n">
        <x:f>SUM(XLOOKUP('포켓몬_편집'!$AF189:$AN189,'분류_규칙'!$A$5:$A$76,'분류_규칙'!$I$5:$I$76,0))</x:f>
        <x:v>0</x:v>
      </x:c>
      <x:c r="J189" s="10" t="n">
        <x:f>SUM(XLOOKUP('포켓몬_편집'!$AF189:$AN189,'분류_규칙'!$A$5:$A$76,'분류_규칙'!$J$5:$J$76,0))</x:f>
        <x:v>2</x:v>
      </x:c>
      <x:c r="K189" s="10" t="n">
        <x:f>SUM(XLOOKUP('포켓몬_편집'!$AF189:$AN189,'분류_규칙'!$A$5:$A$76,'분류_규칙'!$K$5:$K$76,0))</x:f>
        <x:v>0</x:v>
      </x:c>
      <x:c r="L189" s="10" t="n">
        <x:f>SUM(XLOOKUP('포켓몬_편집'!$AF189:$AN189,'분류_규칙'!$A$5:$A$76,'분류_규칙'!$L$5:$L$76,0))</x:f>
        <x:v>0</x:v>
      </x:c>
      <x:c r="M189" s="10" t="n">
        <x:f>SUM(XLOOKUP('포켓몬_편집'!$AF189:$AN189,'분류_규칙'!$A$5:$A$76,'분류_규칙'!$M$5:$M$76,0))</x:f>
        <x:v>0</x:v>
      </x:c>
      <x:c r="N189" s="10" t="n">
        <x:f>SUM(XLOOKUP('포켓몬_편집'!$AF189:$AN189,'분류_규칙'!$A$5:$A$76,'분류_규칙'!$N$5:$N$76,0))</x:f>
        <x:v>0</x:v>
      </x:c>
      <x:c r="O189" s="10" t="n">
        <x:f>SUM(XLOOKUP('포켓몬_편집'!$AF189:$AN189,'분류_규칙'!$A$5:$A$76,'분류_규칙'!$O$5:$O$76,0))</x:f>
        <x:v>2</x:v>
      </x:c>
      <x:c r="P189" s="10" t="n">
        <x:f>SUM(XLOOKUP('포켓몬_편집'!$AF189:$AN189,'분류_규칙'!$A$5:$A$76,'분류_규칙'!$P$5:$P$76,0))</x:f>
        <x:v>0</x:v>
      </x:c>
    </x:row>
    <x:row r="190" ht="22" customHeight="1">
      <x:c r="A190" s="5" t="n">
        <x:v>186</x:v>
      </x:c>
      <x:c r="B190" s="5" t="inlineStr">
        <x:is>
          <x:t xml:space="preserve">왕구리</x:t>
        </x:is>
      </x:c>
      <x:c r="C190" s="5" t="inlineStr">
        <x:is>
          <x:t xml:space="preserve">politoed</x:t>
        </x:is>
      </x:c>
      <x:c r="D190" s="5" t="n">
        <x:v>2</x:v>
      </x:c>
      <x:c r="E190" s="10" t="n">
        <x:f>SUM(XLOOKUP('포켓몬_편집'!$AF190:$AN190,'분류_규칙'!$A$5:$A$76,'분류_규칙'!$E$5:$E$76,0))</x:f>
        <x:v>0</x:v>
      </x:c>
      <x:c r="F190" s="10" t="n">
        <x:f>SUM(XLOOKUP('포켓몬_편집'!$AF190:$AN190,'분류_규칙'!$A$5:$A$76,'분류_규칙'!$F$5:$F$76,0))</x:f>
        <x:v>0</x:v>
      </x:c>
      <x:c r="G190" s="10" t="n">
        <x:f>SUM(XLOOKUP('포켓몬_편집'!$AF190:$AN190,'분류_규칙'!$A$5:$A$76,'분류_규칙'!$G$5:$G$76,0))</x:f>
        <x:v>0</x:v>
      </x:c>
      <x:c r="H190" s="10" t="n">
        <x:f>SUM(XLOOKUP('포켓몬_편집'!$AF190:$AN190,'분류_규칙'!$A$5:$A$76,'분류_규칙'!$H$5:$H$76,0))</x:f>
        <x:v>0</x:v>
      </x:c>
      <x:c r="I190" s="10" t="n">
        <x:f>SUM(XLOOKUP('포켓몬_편집'!$AF190:$AN190,'분류_규칙'!$A$5:$A$76,'분류_규칙'!$I$5:$I$76,0))</x:f>
        <x:v>0</x:v>
      </x:c>
      <x:c r="J190" s="10" t="n">
        <x:f>SUM(XLOOKUP('포켓몬_편집'!$AF190:$AN190,'분류_규칙'!$A$5:$A$76,'분류_규칙'!$J$5:$J$76,0))</x:f>
        <x:v>12</x:v>
      </x:c>
      <x:c r="K190" s="10" t="n">
        <x:f>SUM(XLOOKUP('포켓몬_편집'!$AF190:$AN190,'분류_규칙'!$A$5:$A$76,'분류_규칙'!$K$5:$K$76,0))</x:f>
        <x:v>30</x:v>
      </x:c>
      <x:c r="L190" s="10" t="n">
        <x:f>SUM(XLOOKUP('포켓몬_편집'!$AF190:$AN190,'분류_규칙'!$A$5:$A$76,'분류_규칙'!$L$5:$L$76,0))</x:f>
        <x:v>0</x:v>
      </x:c>
      <x:c r="M190" s="10" t="n">
        <x:f>SUM(XLOOKUP('포켓몬_편집'!$AF190:$AN190,'분류_규칙'!$A$5:$A$76,'분류_규칙'!$M$5:$M$76,0))</x:f>
        <x:v>0</x:v>
      </x:c>
      <x:c r="N190" s="10" t="n">
        <x:f>SUM(XLOOKUP('포켓몬_편집'!$AF190:$AN190,'분류_규칙'!$A$5:$A$76,'분류_규칙'!$N$5:$N$76,0))</x:f>
        <x:v>0</x:v>
      </x:c>
      <x:c r="O190" s="10" t="n">
        <x:f>SUM(XLOOKUP('포켓몬_편집'!$AF190:$AN190,'분류_규칙'!$A$5:$A$76,'분류_규칙'!$O$5:$O$76,0))</x:f>
        <x:v>0</x:v>
      </x:c>
      <x:c r="P190" s="10" t="n">
        <x:f>SUM(XLOOKUP('포켓몬_편집'!$AF190:$AN190,'분류_규칙'!$A$5:$A$76,'분류_규칙'!$P$5:$P$76,0))</x:f>
        <x:v>0</x:v>
      </x:c>
    </x:row>
    <x:row r="191" ht="22" customHeight="1">
      <x:c r="A191" s="5" t="n">
        <x:v>187</x:v>
      </x:c>
      <x:c r="B191" s="5" t="inlineStr">
        <x:is>
          <x:t xml:space="preserve">통통코</x:t>
        </x:is>
      </x:c>
      <x:c r="C191" s="5" t="inlineStr">
        <x:is>
          <x:t xml:space="preserve">hoppip</x:t>
        </x:is>
      </x:c>
      <x:c r="D191" s="5" t="n">
        <x:v>2</x:v>
      </x:c>
      <x:c r="E191" s="10" t="n">
        <x:f>SUM(XLOOKUP('포켓몬_편집'!$AF191:$AN191,'분류_규칙'!$A$5:$A$76,'분류_규칙'!$E$5:$E$76,0))</x:f>
        <x:v>8</x:v>
      </x:c>
      <x:c r="F191" s="10" t="n">
        <x:f>SUM(XLOOKUP('포켓몬_편집'!$AF191:$AN191,'분류_규칙'!$A$5:$A$76,'분류_규칙'!$F$5:$F$76,0))</x:f>
        <x:v>8</x:v>
      </x:c>
      <x:c r="G191" s="10" t="n">
        <x:f>SUM(XLOOKUP('포켓몬_편집'!$AF191:$AN191,'분류_규칙'!$A$5:$A$76,'분류_규칙'!$G$5:$G$76,0))</x:f>
        <x:v>0</x:v>
      </x:c>
      <x:c r="H191" s="10" t="n">
        <x:f>SUM(XLOOKUP('포켓몬_편집'!$AF191:$AN191,'분류_규칙'!$A$5:$A$76,'분류_규칙'!$H$5:$H$76,0))</x:f>
        <x:v>12</x:v>
      </x:c>
      <x:c r="I191" s="10" t="n">
        <x:f>SUM(XLOOKUP('포켓몬_편집'!$AF191:$AN191,'분류_규칙'!$A$5:$A$76,'분류_규칙'!$I$5:$I$76,0))</x:f>
        <x:v>0</x:v>
      </x:c>
      <x:c r="J191" s="10" t="n">
        <x:f>SUM(XLOOKUP('포켓몬_편집'!$AF191:$AN191,'분류_규칙'!$A$5:$A$76,'분류_규칙'!$J$5:$J$76,0))</x:f>
        <x:v>0</x:v>
      </x:c>
      <x:c r="K191" s="10" t="n">
        <x:f>SUM(XLOOKUP('포켓몬_편집'!$AF191:$AN191,'분류_규칙'!$A$5:$A$76,'분류_규칙'!$K$5:$K$76,0))</x:f>
        <x:v>0</x:v>
      </x:c>
      <x:c r="L191" s="10" t="n">
        <x:f>SUM(XLOOKUP('포켓몬_편집'!$AF191:$AN191,'분류_규칙'!$A$5:$A$76,'분류_규칙'!$L$5:$L$76,0))</x:f>
        <x:v>3</x:v>
      </x:c>
      <x:c r="M191" s="10" t="n">
        <x:f>SUM(XLOOKUP('포켓몬_편집'!$AF191:$AN191,'분류_규칙'!$A$5:$A$76,'분류_규칙'!$M$5:$M$76,0))</x:f>
        <x:v>0</x:v>
      </x:c>
      <x:c r="N191" s="10" t="n">
        <x:f>SUM(XLOOKUP('포켓몬_편집'!$AF191:$AN191,'분류_규칙'!$A$5:$A$76,'분류_규칙'!$N$5:$N$76,0))</x:f>
        <x:v>0</x:v>
      </x:c>
      <x:c r="O191" s="10" t="n">
        <x:f>SUM(XLOOKUP('포켓몬_편집'!$AF191:$AN191,'분류_규칙'!$A$5:$A$76,'분류_규칙'!$O$5:$O$76,0))</x:f>
        <x:v>2</x:v>
      </x:c>
      <x:c r="P191" s="10" t="n">
        <x:f>SUM(XLOOKUP('포켓몬_편집'!$AF191:$AN191,'분류_규칙'!$A$5:$A$76,'분류_규칙'!$P$5:$P$76,0))</x:f>
        <x:v>0</x:v>
      </x:c>
    </x:row>
    <x:row r="192" ht="22" customHeight="1">
      <x:c r="A192" s="5" t="n">
        <x:v>188</x:v>
      </x:c>
      <x:c r="B192" s="5" t="inlineStr">
        <x:is>
          <x:t xml:space="preserve">두코</x:t>
        </x:is>
      </x:c>
      <x:c r="C192" s="5" t="inlineStr">
        <x:is>
          <x:t xml:space="preserve">skiploom</x:t>
        </x:is>
      </x:c>
      <x:c r="D192" s="5" t="n">
        <x:v>2</x:v>
      </x:c>
      <x:c r="E192" s="10" t="n">
        <x:f>SUM(XLOOKUP('포켓몬_편집'!$AF192:$AN192,'분류_규칙'!$A$5:$A$76,'분류_규칙'!$E$5:$E$76,0))</x:f>
        <x:v>8</x:v>
      </x:c>
      <x:c r="F192" s="10" t="n">
        <x:f>SUM(XLOOKUP('포켓몬_편집'!$AF192:$AN192,'분류_규칙'!$A$5:$A$76,'분류_규칙'!$F$5:$F$76,0))</x:f>
        <x:v>8</x:v>
      </x:c>
      <x:c r="G192" s="10" t="n">
        <x:f>SUM(XLOOKUP('포켓몬_편집'!$AF192:$AN192,'분류_규칙'!$A$5:$A$76,'분류_규칙'!$G$5:$G$76,0))</x:f>
        <x:v>0</x:v>
      </x:c>
      <x:c r="H192" s="10" t="n">
        <x:f>SUM(XLOOKUP('포켓몬_편집'!$AF192:$AN192,'분류_규칙'!$A$5:$A$76,'분류_규칙'!$H$5:$H$76,0))</x:f>
        <x:v>12</x:v>
      </x:c>
      <x:c r="I192" s="10" t="n">
        <x:f>SUM(XLOOKUP('포켓몬_편집'!$AF192:$AN192,'분류_규칙'!$A$5:$A$76,'분류_규칙'!$I$5:$I$76,0))</x:f>
        <x:v>0</x:v>
      </x:c>
      <x:c r="J192" s="10" t="n">
        <x:f>SUM(XLOOKUP('포켓몬_편집'!$AF192:$AN192,'분류_규칙'!$A$5:$A$76,'분류_규칙'!$J$5:$J$76,0))</x:f>
        <x:v>0</x:v>
      </x:c>
      <x:c r="K192" s="10" t="n">
        <x:f>SUM(XLOOKUP('포켓몬_편집'!$AF192:$AN192,'분류_규칙'!$A$5:$A$76,'분류_규칙'!$K$5:$K$76,0))</x:f>
        <x:v>0</x:v>
      </x:c>
      <x:c r="L192" s="10" t="n">
        <x:f>SUM(XLOOKUP('포켓몬_편집'!$AF192:$AN192,'분류_규칙'!$A$5:$A$76,'분류_규칙'!$L$5:$L$76,0))</x:f>
        <x:v>3</x:v>
      </x:c>
      <x:c r="M192" s="10" t="n">
        <x:f>SUM(XLOOKUP('포켓몬_편집'!$AF192:$AN192,'분류_규칙'!$A$5:$A$76,'분류_규칙'!$M$5:$M$76,0))</x:f>
        <x:v>0</x:v>
      </x:c>
      <x:c r="N192" s="10" t="n">
        <x:f>SUM(XLOOKUP('포켓몬_편집'!$AF192:$AN192,'분류_규칙'!$A$5:$A$76,'분류_규칙'!$N$5:$N$76,0))</x:f>
        <x:v>0</x:v>
      </x:c>
      <x:c r="O192" s="10" t="n">
        <x:f>SUM(XLOOKUP('포켓몬_편집'!$AF192:$AN192,'분류_규칙'!$A$5:$A$76,'분류_규칙'!$O$5:$O$76,0))</x:f>
        <x:v>2</x:v>
      </x:c>
      <x:c r="P192" s="10" t="n">
        <x:f>SUM(XLOOKUP('포켓몬_편집'!$AF192:$AN192,'분류_규칙'!$A$5:$A$76,'분류_규칙'!$P$5:$P$76,0))</x:f>
        <x:v>0</x:v>
      </x:c>
    </x:row>
    <x:row r="193" ht="22" customHeight="1">
      <x:c r="A193" s="5" t="n">
        <x:v>189</x:v>
      </x:c>
      <x:c r="B193" s="5" t="inlineStr">
        <x:is>
          <x:t xml:space="preserve">솜솜코</x:t>
        </x:is>
      </x:c>
      <x:c r="C193" s="5" t="inlineStr">
        <x:is>
          <x:t xml:space="preserve">jumpluff</x:t>
        </x:is>
      </x:c>
      <x:c r="D193" s="5" t="n">
        <x:v>2</x:v>
      </x:c>
      <x:c r="E193" s="10" t="n">
        <x:f>SUM(XLOOKUP('포켓몬_편집'!$AF193:$AN193,'분류_규칙'!$A$5:$A$76,'분류_규칙'!$E$5:$E$76,0))</x:f>
        <x:v>8</x:v>
      </x:c>
      <x:c r="F193" s="10" t="n">
        <x:f>SUM(XLOOKUP('포켓몬_편집'!$AF193:$AN193,'분류_규칙'!$A$5:$A$76,'분류_규칙'!$F$5:$F$76,0))</x:f>
        <x:v>8</x:v>
      </x:c>
      <x:c r="G193" s="10" t="n">
        <x:f>SUM(XLOOKUP('포켓몬_편집'!$AF193:$AN193,'분류_규칙'!$A$5:$A$76,'분류_규칙'!$G$5:$G$76,0))</x:f>
        <x:v>0</x:v>
      </x:c>
      <x:c r="H193" s="10" t="n">
        <x:f>SUM(XLOOKUP('포켓몬_편집'!$AF193:$AN193,'분류_규칙'!$A$5:$A$76,'분류_규칙'!$H$5:$H$76,0))</x:f>
        <x:v>12</x:v>
      </x:c>
      <x:c r="I193" s="10" t="n">
        <x:f>SUM(XLOOKUP('포켓몬_편집'!$AF193:$AN193,'분류_규칙'!$A$5:$A$76,'분류_규칙'!$I$5:$I$76,0))</x:f>
        <x:v>0</x:v>
      </x:c>
      <x:c r="J193" s="10" t="n">
        <x:f>SUM(XLOOKUP('포켓몬_편집'!$AF193:$AN193,'분류_규칙'!$A$5:$A$76,'분류_규칙'!$J$5:$J$76,0))</x:f>
        <x:v>0</x:v>
      </x:c>
      <x:c r="K193" s="10" t="n">
        <x:f>SUM(XLOOKUP('포켓몬_편집'!$AF193:$AN193,'분류_규칙'!$A$5:$A$76,'분류_규칙'!$K$5:$K$76,0))</x:f>
        <x:v>0</x:v>
      </x:c>
      <x:c r="L193" s="10" t="n">
        <x:f>SUM(XLOOKUP('포켓몬_편집'!$AF193:$AN193,'분류_규칙'!$A$5:$A$76,'분류_규칙'!$L$5:$L$76,0))</x:f>
        <x:v>3</x:v>
      </x:c>
      <x:c r="M193" s="10" t="n">
        <x:f>SUM(XLOOKUP('포켓몬_편집'!$AF193:$AN193,'분류_규칙'!$A$5:$A$76,'분류_규칙'!$M$5:$M$76,0))</x:f>
        <x:v>0</x:v>
      </x:c>
      <x:c r="N193" s="10" t="n">
        <x:f>SUM(XLOOKUP('포켓몬_편집'!$AF193:$AN193,'분류_규칙'!$A$5:$A$76,'분류_규칙'!$N$5:$N$76,0))</x:f>
        <x:v>0</x:v>
      </x:c>
      <x:c r="O193" s="10" t="n">
        <x:f>SUM(XLOOKUP('포켓몬_편집'!$AF193:$AN193,'분류_규칙'!$A$5:$A$76,'분류_규칙'!$O$5:$O$76,0))</x:f>
        <x:v>2</x:v>
      </x:c>
      <x:c r="P193" s="10" t="n">
        <x:f>SUM(XLOOKUP('포켓몬_편집'!$AF193:$AN193,'분류_규칙'!$A$5:$A$76,'분류_규칙'!$P$5:$P$76,0))</x:f>
        <x:v>0</x:v>
      </x:c>
    </x:row>
    <x:row r="194" ht="22" customHeight="1">
      <x:c r="A194" s="5" t="n">
        <x:v>190</x:v>
      </x:c>
      <x:c r="B194" s="5" t="inlineStr">
        <x:is>
          <x:t xml:space="preserve">에이팜</x:t>
        </x:is>
      </x:c>
      <x:c r="C194" s="5" t="inlineStr">
        <x:is>
          <x:t xml:space="preserve">aipom</x:t>
        </x:is>
      </x:c>
      <x:c r="D194" s="5" t="n">
        <x:v>2</x:v>
      </x:c>
      <x:c r="E194" s="10" t="n">
        <x:f>SUM(XLOOKUP('포켓몬_편집'!$AF194:$AN194,'분류_규칙'!$A$5:$A$76,'분류_규칙'!$E$5:$E$76,0))</x:f>
        <x:v>10</x:v>
      </x:c>
      <x:c r="F194" s="10" t="n">
        <x:f>SUM(XLOOKUP('포켓몬_편집'!$AF194:$AN194,'분류_규칙'!$A$5:$A$76,'분류_규칙'!$F$5:$F$76,0))</x:f>
        <x:v>7</x:v>
      </x:c>
      <x:c r="G194" s="10" t="n">
        <x:f>SUM(XLOOKUP('포켓몬_편집'!$AF194:$AN194,'분류_규칙'!$A$5:$A$76,'분류_규칙'!$G$5:$G$76,0))</x:f>
        <x:v>5</x:v>
      </x:c>
      <x:c r="H194" s="10" t="n">
        <x:f>SUM(XLOOKUP('포켓몬_편집'!$AF194:$AN194,'분류_규칙'!$A$5:$A$76,'분류_규칙'!$H$5:$H$76,0))</x:f>
        <x:v>5</x:v>
      </x:c>
      <x:c r="I194" s="10" t="n">
        <x:f>SUM(XLOOKUP('포켓몬_편집'!$AF194:$AN194,'분류_규칙'!$A$5:$A$76,'분류_규칙'!$I$5:$I$76,0))</x:f>
        <x:v>0</x:v>
      </x:c>
      <x:c r="J194" s="10" t="n">
        <x:f>SUM(XLOOKUP('포켓몬_편집'!$AF194:$AN194,'분류_규칙'!$A$5:$A$76,'분류_규칙'!$J$5:$J$76,0))</x:f>
        <x:v>2</x:v>
      </x:c>
      <x:c r="K194" s="10" t="n">
        <x:f>SUM(XLOOKUP('포켓몬_편집'!$AF194:$AN194,'분류_규칙'!$A$5:$A$76,'분류_규칙'!$K$5:$K$76,0))</x:f>
        <x:v>0</x:v>
      </x:c>
      <x:c r="L194" s="10" t="n">
        <x:f>SUM(XLOOKUP('포켓몬_편집'!$AF194:$AN194,'분류_규칙'!$A$5:$A$76,'분류_규칙'!$L$5:$L$76,0))</x:f>
        <x:v>0</x:v>
      </x:c>
      <x:c r="M194" s="10" t="n">
        <x:f>SUM(XLOOKUP('포켓몬_편집'!$AF194:$AN194,'분류_규칙'!$A$5:$A$76,'분류_규칙'!$M$5:$M$76,0))</x:f>
        <x:v>0</x:v>
      </x:c>
      <x:c r="N194" s="10" t="n">
        <x:f>SUM(XLOOKUP('포켓몬_편집'!$AF194:$AN194,'분류_규칙'!$A$5:$A$76,'분류_규칙'!$N$5:$N$76,0))</x:f>
        <x:v>0</x:v>
      </x:c>
      <x:c r="O194" s="10" t="n">
        <x:f>SUM(XLOOKUP('포켓몬_편집'!$AF194:$AN194,'분류_규칙'!$A$5:$A$76,'분류_규칙'!$O$5:$O$76,0))</x:f>
        <x:v>2</x:v>
      </x:c>
      <x:c r="P194" s="10" t="n">
        <x:f>SUM(XLOOKUP('포켓몬_편집'!$AF194:$AN194,'분류_규칙'!$A$5:$A$76,'분류_규칙'!$P$5:$P$76,0))</x:f>
        <x:v>0</x:v>
      </x:c>
    </x:row>
    <x:row r="195" ht="22" customHeight="1">
      <x:c r="A195" s="5" t="n">
        <x:v>191</x:v>
      </x:c>
      <x:c r="B195" s="5" t="inlineStr">
        <x:is>
          <x:t xml:space="preserve">해너츠</x:t>
        </x:is>
      </x:c>
      <x:c r="C195" s="5" t="inlineStr">
        <x:is>
          <x:t xml:space="preserve">sunkern</x:t>
        </x:is>
      </x:c>
      <x:c r="D195" s="5" t="n">
        <x:v>2</x:v>
      </x:c>
      <x:c r="E195" s="10" t="n">
        <x:f>SUM(XLOOKUP('포켓몬_편집'!$AF195:$AN195,'분류_규칙'!$A$5:$A$76,'분류_규칙'!$E$5:$E$76,0))</x:f>
        <x:v>10</x:v>
      </x:c>
      <x:c r="F195" s="10" t="n">
        <x:f>SUM(XLOOKUP('포켓몬_편집'!$AF195:$AN195,'분류_규칙'!$A$5:$A$76,'분류_규칙'!$F$5:$F$76,0))</x:f>
        <x:v>7</x:v>
      </x:c>
      <x:c r="G195" s="10" t="n">
        <x:f>SUM(XLOOKUP('포켓몬_편집'!$AF195:$AN195,'분류_규칙'!$A$5:$A$76,'분류_규칙'!$G$5:$G$76,0))</x:f>
        <x:v>5</x:v>
      </x:c>
      <x:c r="H195" s="10" t="n">
        <x:f>SUM(XLOOKUP('포켓몬_편집'!$AF195:$AN195,'분류_규칙'!$A$5:$A$76,'분류_규칙'!$H$5:$H$76,0))</x:f>
        <x:v>5</x:v>
      </x:c>
      <x:c r="I195" s="10" t="n">
        <x:f>SUM(XLOOKUP('포켓몬_편집'!$AF195:$AN195,'분류_규칙'!$A$5:$A$76,'분류_규칙'!$I$5:$I$76,0))</x:f>
        <x:v>0</x:v>
      </x:c>
      <x:c r="J195" s="10" t="n">
        <x:f>SUM(XLOOKUP('포켓몬_편집'!$AF195:$AN195,'분류_규칙'!$A$5:$A$76,'분류_규칙'!$J$5:$J$76,0))</x:f>
        <x:v>2</x:v>
      </x:c>
      <x:c r="K195" s="10" t="n">
        <x:f>SUM(XLOOKUP('포켓몬_편집'!$AF195:$AN195,'분류_규칙'!$A$5:$A$76,'분류_규칙'!$K$5:$K$76,0))</x:f>
        <x:v>0</x:v>
      </x:c>
      <x:c r="L195" s="10" t="n">
        <x:f>SUM(XLOOKUP('포켓몬_편집'!$AF195:$AN195,'분류_규칙'!$A$5:$A$76,'분류_규칙'!$L$5:$L$76,0))</x:f>
        <x:v>0</x:v>
      </x:c>
      <x:c r="M195" s="10" t="n">
        <x:f>SUM(XLOOKUP('포켓몬_편집'!$AF195:$AN195,'분류_규칙'!$A$5:$A$76,'분류_규칙'!$M$5:$M$76,0))</x:f>
        <x:v>0</x:v>
      </x:c>
      <x:c r="N195" s="10" t="n">
        <x:f>SUM(XLOOKUP('포켓몬_편집'!$AF195:$AN195,'분류_규칙'!$A$5:$A$76,'분류_규칙'!$N$5:$N$76,0))</x:f>
        <x:v>0</x:v>
      </x:c>
      <x:c r="O195" s="10" t="n">
        <x:f>SUM(XLOOKUP('포켓몬_편집'!$AF195:$AN195,'분류_규칙'!$A$5:$A$76,'분류_규칙'!$O$5:$O$76,0))</x:f>
        <x:v>2</x:v>
      </x:c>
      <x:c r="P195" s="10" t="n">
        <x:f>SUM(XLOOKUP('포켓몬_편집'!$AF195:$AN195,'분류_규칙'!$A$5:$A$76,'분류_규칙'!$P$5:$P$76,0))</x:f>
        <x:v>0</x:v>
      </x:c>
    </x:row>
    <x:row r="196" ht="22" customHeight="1">
      <x:c r="A196" s="5" t="n">
        <x:v>192</x:v>
      </x:c>
      <x:c r="B196" s="5" t="inlineStr">
        <x:is>
          <x:t xml:space="preserve">해루미</x:t>
        </x:is>
      </x:c>
      <x:c r="C196" s="5" t="inlineStr">
        <x:is>
          <x:t xml:space="preserve">sunflora</x:t>
        </x:is>
      </x:c>
      <x:c r="D196" s="5" t="n">
        <x:v>2</x:v>
      </x:c>
      <x:c r="E196" s="10" t="n">
        <x:f>SUM(XLOOKUP('포켓몬_편집'!$AF196:$AN196,'분류_규칙'!$A$5:$A$76,'분류_규칙'!$E$5:$E$76,0))</x:f>
        <x:v>10</x:v>
      </x:c>
      <x:c r="F196" s="10" t="n">
        <x:f>SUM(XLOOKUP('포켓몬_편집'!$AF196:$AN196,'분류_규칙'!$A$5:$A$76,'분류_규칙'!$F$5:$F$76,0))</x:f>
        <x:v>7</x:v>
      </x:c>
      <x:c r="G196" s="10" t="n">
        <x:f>SUM(XLOOKUP('포켓몬_편집'!$AF196:$AN196,'분류_규칙'!$A$5:$A$76,'분류_규칙'!$G$5:$G$76,0))</x:f>
        <x:v>5</x:v>
      </x:c>
      <x:c r="H196" s="10" t="n">
        <x:f>SUM(XLOOKUP('포켓몬_편집'!$AF196:$AN196,'분류_규칙'!$A$5:$A$76,'분류_규칙'!$H$5:$H$76,0))</x:f>
        <x:v>5</x:v>
      </x:c>
      <x:c r="I196" s="10" t="n">
        <x:f>SUM(XLOOKUP('포켓몬_편집'!$AF196:$AN196,'분류_규칙'!$A$5:$A$76,'분류_규칙'!$I$5:$I$76,0))</x:f>
        <x:v>0</x:v>
      </x:c>
      <x:c r="J196" s="10" t="n">
        <x:f>SUM(XLOOKUP('포켓몬_편집'!$AF196:$AN196,'분류_규칙'!$A$5:$A$76,'분류_규칙'!$J$5:$J$76,0))</x:f>
        <x:v>2</x:v>
      </x:c>
      <x:c r="K196" s="10" t="n">
        <x:f>SUM(XLOOKUP('포켓몬_편집'!$AF196:$AN196,'분류_규칙'!$A$5:$A$76,'분류_규칙'!$K$5:$K$76,0))</x:f>
        <x:v>0</x:v>
      </x:c>
      <x:c r="L196" s="10" t="n">
        <x:f>SUM(XLOOKUP('포켓몬_편집'!$AF196:$AN196,'분류_규칙'!$A$5:$A$76,'분류_규칙'!$L$5:$L$76,0))</x:f>
        <x:v>0</x:v>
      </x:c>
      <x:c r="M196" s="10" t="n">
        <x:f>SUM(XLOOKUP('포켓몬_편집'!$AF196:$AN196,'분류_규칙'!$A$5:$A$76,'분류_규칙'!$M$5:$M$76,0))</x:f>
        <x:v>0</x:v>
      </x:c>
      <x:c r="N196" s="10" t="n">
        <x:f>SUM(XLOOKUP('포켓몬_편집'!$AF196:$AN196,'분류_규칙'!$A$5:$A$76,'분류_규칙'!$N$5:$N$76,0))</x:f>
        <x:v>0</x:v>
      </x:c>
      <x:c r="O196" s="10" t="n">
        <x:f>SUM(XLOOKUP('포켓몬_편집'!$AF196:$AN196,'분류_규칙'!$A$5:$A$76,'분류_규칙'!$O$5:$O$76,0))</x:f>
        <x:v>2</x:v>
      </x:c>
      <x:c r="P196" s="10" t="n">
        <x:f>SUM(XLOOKUP('포켓몬_편집'!$AF196:$AN196,'분류_규칙'!$A$5:$A$76,'분류_규칙'!$P$5:$P$76,0))</x:f>
        <x:v>0</x:v>
      </x:c>
    </x:row>
    <x:row r="197" ht="22" customHeight="1">
      <x:c r="A197" s="5" t="n">
        <x:v>193</x:v>
      </x:c>
      <x:c r="B197" s="5" t="inlineStr">
        <x:is>
          <x:t xml:space="preserve">왕자리</x:t>
        </x:is>
      </x:c>
      <x:c r="C197" s="5" t="inlineStr">
        <x:is>
          <x:t xml:space="preserve">yanma</x:t>
        </x:is>
      </x:c>
      <x:c r="D197" s="5" t="n">
        <x:v>2</x:v>
      </x:c>
      <x:c r="E197" s="10" t="n">
        <x:f>SUM(XLOOKUP('포켓몬_편집'!$AF197:$AN197,'분류_규칙'!$A$5:$A$76,'분류_규칙'!$E$5:$E$76,0))</x:f>
        <x:v>0</x:v>
      </x:c>
      <x:c r="F197" s="10" t="n">
        <x:f>SUM(XLOOKUP('포켓몬_편집'!$AF197:$AN197,'분류_규칙'!$A$5:$A$76,'분류_규칙'!$F$5:$F$76,0))</x:f>
        <x:v>0</x:v>
      </x:c>
      <x:c r="G197" s="10" t="n">
        <x:f>SUM(XLOOKUP('포켓몬_편집'!$AF197:$AN197,'분류_규칙'!$A$5:$A$76,'분류_규칙'!$G$5:$G$76,0))</x:f>
        <x:v>0</x:v>
      </x:c>
      <x:c r="H197" s="10" t="n">
        <x:f>SUM(XLOOKUP('포켓몬_편집'!$AF197:$AN197,'분류_규칙'!$A$5:$A$76,'분류_규칙'!$H$5:$H$76,0))</x:f>
        <x:v>0</x:v>
      </x:c>
      <x:c r="I197" s="10" t="n">
        <x:f>SUM(XLOOKUP('포켓몬_편집'!$AF197:$AN197,'분류_규칙'!$A$5:$A$76,'분류_규칙'!$I$5:$I$76,0))</x:f>
        <x:v>0</x:v>
      </x:c>
      <x:c r="J197" s="10" t="n">
        <x:f>SUM(XLOOKUP('포켓몬_편집'!$AF197:$AN197,'분류_규칙'!$A$5:$A$76,'분류_규칙'!$J$5:$J$76,0))</x:f>
        <x:v>12</x:v>
      </x:c>
      <x:c r="K197" s="10" t="n">
        <x:f>SUM(XLOOKUP('포켓몬_편집'!$AF197:$AN197,'분류_규칙'!$A$5:$A$76,'분류_규칙'!$K$5:$K$76,0))</x:f>
        <x:v>30</x:v>
      </x:c>
      <x:c r="L197" s="10" t="n">
        <x:f>SUM(XLOOKUP('포켓몬_편집'!$AF197:$AN197,'분류_규칙'!$A$5:$A$76,'분류_규칙'!$L$5:$L$76,0))</x:f>
        <x:v>0</x:v>
      </x:c>
      <x:c r="M197" s="10" t="n">
        <x:f>SUM(XLOOKUP('포켓몬_편집'!$AF197:$AN197,'분류_규칙'!$A$5:$A$76,'분류_규칙'!$M$5:$M$76,0))</x:f>
        <x:v>0</x:v>
      </x:c>
      <x:c r="N197" s="10" t="n">
        <x:f>SUM(XLOOKUP('포켓몬_편집'!$AF197:$AN197,'분류_규칙'!$A$5:$A$76,'분류_규칙'!$N$5:$N$76,0))</x:f>
        <x:v>0</x:v>
      </x:c>
      <x:c r="O197" s="10" t="n">
        <x:f>SUM(XLOOKUP('포켓몬_편집'!$AF197:$AN197,'분류_규칙'!$A$5:$A$76,'분류_규칙'!$O$5:$O$76,0))</x:f>
        <x:v>0</x:v>
      </x:c>
      <x:c r="P197" s="10" t="n">
        <x:f>SUM(XLOOKUP('포켓몬_편집'!$AF197:$AN197,'분류_규칙'!$A$5:$A$76,'분류_규칙'!$P$5:$P$76,0))</x:f>
        <x:v>0</x:v>
      </x:c>
    </x:row>
    <x:row r="198" ht="22" customHeight="1">
      <x:c r="A198" s="5" t="n">
        <x:v>194</x:v>
      </x:c>
      <x:c r="B198" s="5" t="inlineStr">
        <x:is>
          <x:t xml:space="preserve">우파</x:t>
        </x:is>
      </x:c>
      <x:c r="C198" s="5" t="inlineStr">
        <x:is>
          <x:t xml:space="preserve">wooper</x:t>
        </x:is>
      </x:c>
      <x:c r="D198" s="5" t="n">
        <x:v>2</x:v>
      </x:c>
      <x:c r="E198" s="10" t="n">
        <x:f>SUM(XLOOKUP('포켓몬_편집'!$AF198:$AN198,'분류_규칙'!$A$5:$A$76,'분류_규칙'!$E$5:$E$76,0))</x:f>
        <x:v>0</x:v>
      </x:c>
      <x:c r="F198" s="10" t="n">
        <x:f>SUM(XLOOKUP('포켓몬_편집'!$AF198:$AN198,'분류_규칙'!$A$5:$A$76,'분류_규칙'!$F$5:$F$76,0))</x:f>
        <x:v>0</x:v>
      </x:c>
      <x:c r="G198" s="10" t="n">
        <x:f>SUM(XLOOKUP('포켓몬_편집'!$AF198:$AN198,'분류_규칙'!$A$5:$A$76,'분류_규칙'!$G$5:$G$76,0))</x:f>
        <x:v>0</x:v>
      </x:c>
      <x:c r="H198" s="10" t="n">
        <x:f>SUM(XLOOKUP('포켓몬_편집'!$AF198:$AN198,'분류_규칙'!$A$5:$A$76,'분류_규칙'!$H$5:$H$76,0))</x:f>
        <x:v>0</x:v>
      </x:c>
      <x:c r="I198" s="10" t="n">
        <x:f>SUM(XLOOKUP('포켓몬_편집'!$AF198:$AN198,'분류_규칙'!$A$5:$A$76,'분류_규칙'!$I$5:$I$76,0))</x:f>
        <x:v>0</x:v>
      </x:c>
      <x:c r="J198" s="10" t="n">
        <x:f>SUM(XLOOKUP('포켓몬_편집'!$AF198:$AN198,'분류_규칙'!$A$5:$A$76,'분류_규칙'!$J$5:$J$76,0))</x:f>
        <x:v>22</x:v>
      </x:c>
      <x:c r="K198" s="10" t="n">
        <x:f>SUM(XLOOKUP('포켓몬_편집'!$AF198:$AN198,'분류_규칙'!$A$5:$A$76,'분류_규칙'!$K$5:$K$76,0))</x:f>
        <x:v>16</x:v>
      </x:c>
      <x:c r="L198" s="10" t="n">
        <x:f>SUM(XLOOKUP('포켓몬_편집'!$AF198:$AN198,'분류_규칙'!$A$5:$A$76,'분류_규칙'!$L$5:$L$76,0))</x:f>
        <x:v>8</x:v>
      </x:c>
      <x:c r="M198" s="10" t="n">
        <x:f>SUM(XLOOKUP('포켓몬_편집'!$AF198:$AN198,'분류_규칙'!$A$5:$A$76,'분류_규칙'!$M$5:$M$76,0))</x:f>
        <x:v>0</x:v>
      </x:c>
      <x:c r="N198" s="10" t="n">
        <x:f>SUM(XLOOKUP('포켓몬_편집'!$AF198:$AN198,'분류_규칙'!$A$5:$A$76,'분류_규칙'!$N$5:$N$76,0))</x:f>
        <x:v>0</x:v>
      </x:c>
      <x:c r="O198" s="10" t="n">
        <x:f>SUM(XLOOKUP('포켓몬_편집'!$AF198:$AN198,'분류_규칙'!$A$5:$A$76,'분류_규칙'!$O$5:$O$76,0))</x:f>
        <x:v>0</x:v>
      </x:c>
      <x:c r="P198" s="10" t="n">
        <x:f>SUM(XLOOKUP('포켓몬_편집'!$AF198:$AN198,'분류_규칙'!$A$5:$A$76,'분류_규칙'!$P$5:$P$76,0))</x:f>
        <x:v>0</x:v>
      </x:c>
    </x:row>
    <x:row r="199" ht="22" customHeight="1">
      <x:c r="A199" s="5" t="n">
        <x:v>195</x:v>
      </x:c>
      <x:c r="B199" s="5" t="inlineStr">
        <x:is>
          <x:t xml:space="preserve">누오</x:t>
        </x:is>
      </x:c>
      <x:c r="C199" s="5" t="inlineStr">
        <x:is>
          <x:t xml:space="preserve">quagsire</x:t>
        </x:is>
      </x:c>
      <x:c r="D199" s="5" t="n">
        <x:v>2</x:v>
      </x:c>
      <x:c r="E199" s="10" t="n">
        <x:f>SUM(XLOOKUP('포켓몬_편집'!$AF199:$AN199,'분류_규칙'!$A$5:$A$76,'분류_규칙'!$E$5:$E$76,0))</x:f>
        <x:v>0</x:v>
      </x:c>
      <x:c r="F199" s="10" t="n">
        <x:f>SUM(XLOOKUP('포켓몬_편집'!$AF199:$AN199,'분류_규칙'!$A$5:$A$76,'분류_규칙'!$F$5:$F$76,0))</x:f>
        <x:v>0</x:v>
      </x:c>
      <x:c r="G199" s="10" t="n">
        <x:f>SUM(XLOOKUP('포켓몬_편집'!$AF199:$AN199,'분류_규칙'!$A$5:$A$76,'분류_규칙'!$G$5:$G$76,0))</x:f>
        <x:v>0</x:v>
      </x:c>
      <x:c r="H199" s="10" t="n">
        <x:f>SUM(XLOOKUP('포켓몬_편집'!$AF199:$AN199,'분류_규칙'!$A$5:$A$76,'분류_규칙'!$H$5:$H$76,0))</x:f>
        <x:v>0</x:v>
      </x:c>
      <x:c r="I199" s="10" t="n">
        <x:f>SUM(XLOOKUP('포켓몬_편집'!$AF199:$AN199,'분류_규칙'!$A$5:$A$76,'분류_규칙'!$I$5:$I$76,0))</x:f>
        <x:v>0</x:v>
      </x:c>
      <x:c r="J199" s="10" t="n">
        <x:f>SUM(XLOOKUP('포켓몬_편집'!$AF199:$AN199,'분류_규칙'!$A$5:$A$76,'분류_규칙'!$J$5:$J$76,0))</x:f>
        <x:v>22</x:v>
      </x:c>
      <x:c r="K199" s="10" t="n">
        <x:f>SUM(XLOOKUP('포켓몬_편집'!$AF199:$AN199,'분류_규칙'!$A$5:$A$76,'분류_규칙'!$K$5:$K$76,0))</x:f>
        <x:v>16</x:v>
      </x:c>
      <x:c r="L199" s="10" t="n">
        <x:f>SUM(XLOOKUP('포켓몬_편집'!$AF199:$AN199,'분류_규칙'!$A$5:$A$76,'분류_규칙'!$L$5:$L$76,0))</x:f>
        <x:v>8</x:v>
      </x:c>
      <x:c r="M199" s="10" t="n">
        <x:f>SUM(XLOOKUP('포켓몬_편집'!$AF199:$AN199,'분류_규칙'!$A$5:$A$76,'분류_규칙'!$M$5:$M$76,0))</x:f>
        <x:v>0</x:v>
      </x:c>
      <x:c r="N199" s="10" t="n">
        <x:f>SUM(XLOOKUP('포켓몬_편집'!$AF199:$AN199,'분류_규칙'!$A$5:$A$76,'분류_규칙'!$N$5:$N$76,0))</x:f>
        <x:v>0</x:v>
      </x:c>
      <x:c r="O199" s="10" t="n">
        <x:f>SUM(XLOOKUP('포켓몬_편집'!$AF199:$AN199,'분류_규칙'!$A$5:$A$76,'분류_규칙'!$O$5:$O$76,0))</x:f>
        <x:v>0</x:v>
      </x:c>
      <x:c r="P199" s="10" t="n">
        <x:f>SUM(XLOOKUP('포켓몬_편집'!$AF199:$AN199,'분류_규칙'!$A$5:$A$76,'분류_규칙'!$P$5:$P$76,0))</x:f>
        <x:v>0</x:v>
      </x:c>
    </x:row>
    <x:row r="200" ht="22" customHeight="1">
      <x:c r="A200" s="5" t="n">
        <x:v>196</x:v>
      </x:c>
      <x:c r="B200" s="5" t="inlineStr">
        <x:is>
          <x:t xml:space="preserve">에브이</x:t>
        </x:is>
      </x:c>
      <x:c r="C200" s="5" t="inlineStr">
        <x:is>
          <x:t xml:space="preserve">espeon</x:t>
        </x:is>
      </x:c>
      <x:c r="D200" s="5" t="n">
        <x:v>2</x:v>
      </x:c>
      <x:c r="E200" s="10" t="n">
        <x:f>SUM(XLOOKUP('포켓몬_편집'!$AF200:$AN200,'분류_규칙'!$A$5:$A$76,'분류_규칙'!$E$5:$E$76,0))</x:f>
        <x:v>10</x:v>
      </x:c>
      <x:c r="F200" s="10" t="n">
        <x:f>SUM(XLOOKUP('포켓몬_편집'!$AF200:$AN200,'분류_규칙'!$A$5:$A$76,'분류_규칙'!$F$5:$F$76,0))</x:f>
        <x:v>7</x:v>
      </x:c>
      <x:c r="G200" s="10" t="n">
        <x:f>SUM(XLOOKUP('포켓몬_편집'!$AF200:$AN200,'분류_규칙'!$A$5:$A$76,'분류_규칙'!$G$5:$G$76,0))</x:f>
        <x:v>5</x:v>
      </x:c>
      <x:c r="H200" s="10" t="n">
        <x:f>SUM(XLOOKUP('포켓몬_편집'!$AF200:$AN200,'분류_규칙'!$A$5:$A$76,'분류_규칙'!$H$5:$H$76,0))</x:f>
        <x:v>5</x:v>
      </x:c>
      <x:c r="I200" s="10" t="n">
        <x:f>SUM(XLOOKUP('포켓몬_편집'!$AF200:$AN200,'분류_규칙'!$A$5:$A$76,'분류_규칙'!$I$5:$I$76,0))</x:f>
        <x:v>0</x:v>
      </x:c>
      <x:c r="J200" s="10" t="n">
        <x:f>SUM(XLOOKUP('포켓몬_편집'!$AF200:$AN200,'분류_규칙'!$A$5:$A$76,'분류_규칙'!$J$5:$J$76,0))</x:f>
        <x:v>2</x:v>
      </x:c>
      <x:c r="K200" s="10" t="n">
        <x:f>SUM(XLOOKUP('포켓몬_편집'!$AF200:$AN200,'분류_규칙'!$A$5:$A$76,'분류_규칙'!$K$5:$K$76,0))</x:f>
        <x:v>0</x:v>
      </x:c>
      <x:c r="L200" s="10" t="n">
        <x:f>SUM(XLOOKUP('포켓몬_편집'!$AF200:$AN200,'분류_규칙'!$A$5:$A$76,'분류_규칙'!$L$5:$L$76,0))</x:f>
        <x:v>0</x:v>
      </x:c>
      <x:c r="M200" s="10" t="n">
        <x:f>SUM(XLOOKUP('포켓몬_편집'!$AF200:$AN200,'분류_규칙'!$A$5:$A$76,'분류_규칙'!$M$5:$M$76,0))</x:f>
        <x:v>0</x:v>
      </x:c>
      <x:c r="N200" s="10" t="n">
        <x:f>SUM(XLOOKUP('포켓몬_편집'!$AF200:$AN200,'분류_규칙'!$A$5:$A$76,'분류_규칙'!$N$5:$N$76,0))</x:f>
        <x:v>0</x:v>
      </x:c>
      <x:c r="O200" s="10" t="n">
        <x:f>SUM(XLOOKUP('포켓몬_편집'!$AF200:$AN200,'분류_규칙'!$A$5:$A$76,'분류_규칙'!$O$5:$O$76,0))</x:f>
        <x:v>2</x:v>
      </x:c>
      <x:c r="P200" s="10" t="n">
        <x:f>SUM(XLOOKUP('포켓몬_편집'!$AF200:$AN200,'분류_규칙'!$A$5:$A$76,'분류_규칙'!$P$5:$P$76,0))</x:f>
        <x:v>0</x:v>
      </x:c>
    </x:row>
    <x:row r="201" ht="22" customHeight="1">
      <x:c r="A201" s="5" t="n">
        <x:v>197</x:v>
      </x:c>
      <x:c r="B201" s="5" t="inlineStr">
        <x:is>
          <x:t xml:space="preserve">블래키</x:t>
        </x:is>
      </x:c>
      <x:c r="C201" s="5" t="inlineStr">
        <x:is>
          <x:t xml:space="preserve">umbreon</x:t>
        </x:is>
      </x:c>
      <x:c r="D201" s="5" t="n">
        <x:v>2</x:v>
      </x:c>
      <x:c r="E201" s="10" t="n">
        <x:f>SUM(XLOOKUP('포켓몬_편집'!$AF201:$AN201,'분류_규칙'!$A$5:$A$76,'분류_규칙'!$E$5:$E$76,0))</x:f>
        <x:v>10</x:v>
      </x:c>
      <x:c r="F201" s="10" t="n">
        <x:f>SUM(XLOOKUP('포켓몬_편집'!$AF201:$AN201,'분류_규칙'!$A$5:$A$76,'분류_규칙'!$F$5:$F$76,0))</x:f>
        <x:v>7</x:v>
      </x:c>
      <x:c r="G201" s="10" t="n">
        <x:f>SUM(XLOOKUP('포켓몬_편집'!$AF201:$AN201,'분류_규칙'!$A$5:$A$76,'분류_규칙'!$G$5:$G$76,0))</x:f>
        <x:v>5</x:v>
      </x:c>
      <x:c r="H201" s="10" t="n">
        <x:f>SUM(XLOOKUP('포켓몬_편집'!$AF201:$AN201,'분류_규칙'!$A$5:$A$76,'분류_규칙'!$H$5:$H$76,0))</x:f>
        <x:v>5</x:v>
      </x:c>
      <x:c r="I201" s="10" t="n">
        <x:f>SUM(XLOOKUP('포켓몬_편집'!$AF201:$AN201,'분류_규칙'!$A$5:$A$76,'분류_규칙'!$I$5:$I$76,0))</x:f>
        <x:v>0</x:v>
      </x:c>
      <x:c r="J201" s="10" t="n">
        <x:f>SUM(XLOOKUP('포켓몬_편집'!$AF201:$AN201,'분류_규칙'!$A$5:$A$76,'분류_규칙'!$J$5:$J$76,0))</x:f>
        <x:v>2</x:v>
      </x:c>
      <x:c r="K201" s="10" t="n">
        <x:f>SUM(XLOOKUP('포켓몬_편집'!$AF201:$AN201,'분류_규칙'!$A$5:$A$76,'분류_규칙'!$K$5:$K$76,0))</x:f>
        <x:v>0</x:v>
      </x:c>
      <x:c r="L201" s="10" t="n">
        <x:f>SUM(XLOOKUP('포켓몬_편집'!$AF201:$AN201,'분류_규칙'!$A$5:$A$76,'분류_규칙'!$L$5:$L$76,0))</x:f>
        <x:v>0</x:v>
      </x:c>
      <x:c r="M201" s="10" t="n">
        <x:f>SUM(XLOOKUP('포켓몬_편집'!$AF201:$AN201,'분류_규칙'!$A$5:$A$76,'분류_규칙'!$M$5:$M$76,0))</x:f>
        <x:v>0</x:v>
      </x:c>
      <x:c r="N201" s="10" t="n">
        <x:f>SUM(XLOOKUP('포켓몬_편집'!$AF201:$AN201,'분류_규칙'!$A$5:$A$76,'분류_규칙'!$N$5:$N$76,0))</x:f>
        <x:v>0</x:v>
      </x:c>
      <x:c r="O201" s="10" t="n">
        <x:f>SUM(XLOOKUP('포켓몬_편집'!$AF201:$AN201,'분류_규칙'!$A$5:$A$76,'분류_규칙'!$O$5:$O$76,0))</x:f>
        <x:v>2</x:v>
      </x:c>
      <x:c r="P201" s="10" t="n">
        <x:f>SUM(XLOOKUP('포켓몬_편집'!$AF201:$AN201,'분류_규칙'!$A$5:$A$76,'분류_규칙'!$P$5:$P$76,0))</x:f>
        <x:v>0</x:v>
      </x:c>
    </x:row>
    <x:row r="202" ht="22" customHeight="1">
      <x:c r="A202" s="5" t="n">
        <x:v>198</x:v>
      </x:c>
      <x:c r="B202" s="5" t="inlineStr">
        <x:is>
          <x:t xml:space="preserve">니로우</x:t>
        </x:is>
      </x:c>
      <x:c r="C202" s="5" t="inlineStr">
        <x:is>
          <x:t xml:space="preserve">murkrow</x:t>
        </x:is>
      </x:c>
      <x:c r="D202" s="5" t="n">
        <x:v>2</x:v>
      </x:c>
      <x:c r="E202" s="10" t="n">
        <x:f>SUM(XLOOKUP('포켓몬_편집'!$AF202:$AN202,'분류_규칙'!$A$5:$A$76,'분류_규칙'!$E$5:$E$76,0))</x:f>
        <x:v>8</x:v>
      </x:c>
      <x:c r="F202" s="10" t="n">
        <x:f>SUM(XLOOKUP('포켓몬_편집'!$AF202:$AN202,'분류_규칙'!$A$5:$A$76,'분류_규칙'!$F$5:$F$76,0))</x:f>
        <x:v>8</x:v>
      </x:c>
      <x:c r="G202" s="10" t="n">
        <x:f>SUM(XLOOKUP('포켓몬_편집'!$AF202:$AN202,'분류_규칙'!$A$5:$A$76,'분류_규칙'!$G$5:$G$76,0))</x:f>
        <x:v>0</x:v>
      </x:c>
      <x:c r="H202" s="10" t="n">
        <x:f>SUM(XLOOKUP('포켓몬_편집'!$AF202:$AN202,'분류_규칙'!$A$5:$A$76,'분류_규칙'!$H$5:$H$76,0))</x:f>
        <x:v>12</x:v>
      </x:c>
      <x:c r="I202" s="10" t="n">
        <x:f>SUM(XLOOKUP('포켓몬_편집'!$AF202:$AN202,'분류_규칙'!$A$5:$A$76,'분류_규칙'!$I$5:$I$76,0))</x:f>
        <x:v>0</x:v>
      </x:c>
      <x:c r="J202" s="10" t="n">
        <x:f>SUM(XLOOKUP('포켓몬_편집'!$AF202:$AN202,'분류_규칙'!$A$5:$A$76,'분류_규칙'!$J$5:$J$76,0))</x:f>
        <x:v>0</x:v>
      </x:c>
      <x:c r="K202" s="10" t="n">
        <x:f>SUM(XLOOKUP('포켓몬_편집'!$AF202:$AN202,'분류_규칙'!$A$5:$A$76,'분류_규칙'!$K$5:$K$76,0))</x:f>
        <x:v>0</x:v>
      </x:c>
      <x:c r="L202" s="10" t="n">
        <x:f>SUM(XLOOKUP('포켓몬_편집'!$AF202:$AN202,'분류_규칙'!$A$5:$A$76,'분류_규칙'!$L$5:$L$76,0))</x:f>
        <x:v>3</x:v>
      </x:c>
      <x:c r="M202" s="10" t="n">
        <x:f>SUM(XLOOKUP('포켓몬_편집'!$AF202:$AN202,'분류_규칙'!$A$5:$A$76,'분류_규칙'!$M$5:$M$76,0))</x:f>
        <x:v>0</x:v>
      </x:c>
      <x:c r="N202" s="10" t="n">
        <x:f>SUM(XLOOKUP('포켓몬_편집'!$AF202:$AN202,'분류_규칙'!$A$5:$A$76,'분류_규칙'!$N$5:$N$76,0))</x:f>
        <x:v>0</x:v>
      </x:c>
      <x:c r="O202" s="10" t="n">
        <x:f>SUM(XLOOKUP('포켓몬_편집'!$AF202:$AN202,'분류_규칙'!$A$5:$A$76,'분류_규칙'!$O$5:$O$76,0))</x:f>
        <x:v>2</x:v>
      </x:c>
      <x:c r="P202" s="10" t="n">
        <x:f>SUM(XLOOKUP('포켓몬_편집'!$AF202:$AN202,'분류_규칙'!$A$5:$A$76,'분류_규칙'!$P$5:$P$76,0))</x:f>
        <x:v>0</x:v>
      </x:c>
    </x:row>
    <x:row r="203" ht="22" customHeight="1">
      <x:c r="A203" s="5" t="n">
        <x:v>199</x:v>
      </x:c>
      <x:c r="B203" s="5" t="inlineStr">
        <x:is>
          <x:t xml:space="preserve">야도킹</x:t>
        </x:is>
      </x:c>
      <x:c r="C203" s="5" t="inlineStr">
        <x:is>
          <x:t xml:space="preserve">slowking</x:t>
        </x:is>
      </x:c>
      <x:c r="D203" s="5" t="n">
        <x:v>2</x:v>
      </x:c>
      <x:c r="E203" s="10" t="n">
        <x:f>SUM(XLOOKUP('포켓몬_편집'!$AF203:$AN203,'분류_규칙'!$A$5:$A$76,'분류_규칙'!$E$5:$E$76,0))</x:f>
        <x:v>0</x:v>
      </x:c>
      <x:c r="F203" s="10" t="n">
        <x:f>SUM(XLOOKUP('포켓몬_편집'!$AF203:$AN203,'분류_규칙'!$A$5:$A$76,'분류_규칙'!$F$5:$F$76,0))</x:f>
        <x:v>0</x:v>
      </x:c>
      <x:c r="G203" s="10" t="n">
        <x:f>SUM(XLOOKUP('포켓몬_편집'!$AF203:$AN203,'분류_규칙'!$A$5:$A$76,'분류_규칙'!$G$5:$G$76,0))</x:f>
        <x:v>0</x:v>
      </x:c>
      <x:c r="H203" s="10" t="n">
        <x:f>SUM(XLOOKUP('포켓몬_편집'!$AF203:$AN203,'분류_규칙'!$A$5:$A$76,'분류_규칙'!$H$5:$H$76,0))</x:f>
        <x:v>0</x:v>
      </x:c>
      <x:c r="I203" s="10" t="n">
        <x:f>SUM(XLOOKUP('포켓몬_편집'!$AF203:$AN203,'분류_규칙'!$A$5:$A$76,'분류_규칙'!$I$5:$I$76,0))</x:f>
        <x:v>0</x:v>
      </x:c>
      <x:c r="J203" s="10" t="n">
        <x:f>SUM(XLOOKUP('포켓몬_편집'!$AF203:$AN203,'분류_규칙'!$A$5:$A$76,'분류_규칙'!$J$5:$J$76,0))</x:f>
        <x:v>3</x:v>
      </x:c>
      <x:c r="K203" s="10" t="n">
        <x:f>SUM(XLOOKUP('포켓몬_편집'!$AF203:$AN203,'분류_규칙'!$A$5:$A$76,'분류_규칙'!$K$5:$K$76,0))</x:f>
        <x:v>0</x:v>
      </x:c>
      <x:c r="L203" s="10" t="n">
        <x:f>SUM(XLOOKUP('포켓몬_편집'!$AF203:$AN203,'분류_규칙'!$A$5:$A$76,'분류_규칙'!$L$5:$L$76,0))</x:f>
        <x:v>30</x:v>
      </x:c>
      <x:c r="M203" s="10" t="n">
        <x:f>SUM(XLOOKUP('포켓몬_편집'!$AF203:$AN203,'분류_규칙'!$A$5:$A$76,'분류_규칙'!$M$5:$M$76,0))</x:f>
        <x:v>0</x:v>
      </x:c>
      <x:c r="N203" s="10" t="n">
        <x:f>SUM(XLOOKUP('포켓몬_편집'!$AF203:$AN203,'분류_규칙'!$A$5:$A$76,'분류_규칙'!$N$5:$N$76,0))</x:f>
        <x:v>0</x:v>
      </x:c>
      <x:c r="O203" s="10" t="n">
        <x:f>SUM(XLOOKUP('포켓몬_편집'!$AF203:$AN203,'분류_규칙'!$A$5:$A$76,'분류_규칙'!$O$5:$O$76,0))</x:f>
        <x:v>0</x:v>
      </x:c>
      <x:c r="P203" s="10" t="n">
        <x:f>SUM(XLOOKUP('포켓몬_편집'!$AF203:$AN203,'분류_규칙'!$A$5:$A$76,'분류_규칙'!$P$5:$P$76,0))</x:f>
        <x:v>0</x:v>
      </x:c>
    </x:row>
    <x:row r="204" ht="22" customHeight="1">
      <x:c r="A204" s="5" t="n">
        <x:v>200</x:v>
      </x:c>
      <x:c r="B204" s="5" t="inlineStr">
        <x:is>
          <x:t xml:space="preserve">무우마</x:t>
        </x:is>
      </x:c>
      <x:c r="C204" s="5" t="inlineStr">
        <x:is>
          <x:t xml:space="preserve">misdreavus</x:t>
        </x:is>
      </x:c>
      <x:c r="D204" s="5" t="n">
        <x:v>2</x:v>
      </x:c>
      <x:c r="E204" s="10" t="n">
        <x:f>SUM(XLOOKUP('포켓몬_편집'!$AF204:$AN204,'분류_규칙'!$A$5:$A$76,'분류_규칙'!$E$5:$E$76,0))</x:f>
        <x:v>8</x:v>
      </x:c>
      <x:c r="F204" s="10" t="n">
        <x:f>SUM(XLOOKUP('포켓몬_편집'!$AF204:$AN204,'분류_규칙'!$A$5:$A$76,'분류_규칙'!$F$5:$F$76,0))</x:f>
        <x:v>8</x:v>
      </x:c>
      <x:c r="G204" s="10" t="n">
        <x:f>SUM(XLOOKUP('포켓몬_편집'!$AF204:$AN204,'분류_규칙'!$A$5:$A$76,'분류_규칙'!$G$5:$G$76,0))</x:f>
        <x:v>0</x:v>
      </x:c>
      <x:c r="H204" s="10" t="n">
        <x:f>SUM(XLOOKUP('포켓몬_편집'!$AF204:$AN204,'분류_규칙'!$A$5:$A$76,'분류_규칙'!$H$5:$H$76,0))</x:f>
        <x:v>12</x:v>
      </x:c>
      <x:c r="I204" s="10" t="n">
        <x:f>SUM(XLOOKUP('포켓몬_편집'!$AF204:$AN204,'분류_규칙'!$A$5:$A$76,'분류_규칙'!$I$5:$I$76,0))</x:f>
        <x:v>0</x:v>
      </x:c>
      <x:c r="J204" s="10" t="n">
        <x:f>SUM(XLOOKUP('포켓몬_편집'!$AF204:$AN204,'분류_규칙'!$A$5:$A$76,'분류_규칙'!$J$5:$J$76,0))</x:f>
        <x:v>0</x:v>
      </x:c>
      <x:c r="K204" s="10" t="n">
        <x:f>SUM(XLOOKUP('포켓몬_편집'!$AF204:$AN204,'분류_규칙'!$A$5:$A$76,'분류_규칙'!$K$5:$K$76,0))</x:f>
        <x:v>0</x:v>
      </x:c>
      <x:c r="L204" s="10" t="n">
        <x:f>SUM(XLOOKUP('포켓몬_편집'!$AF204:$AN204,'분류_규칙'!$A$5:$A$76,'분류_규칙'!$L$5:$L$76,0))</x:f>
        <x:v>3</x:v>
      </x:c>
      <x:c r="M204" s="10" t="n">
        <x:f>SUM(XLOOKUP('포켓몬_편집'!$AF204:$AN204,'분류_규칙'!$A$5:$A$76,'분류_규칙'!$M$5:$M$76,0))</x:f>
        <x:v>0</x:v>
      </x:c>
      <x:c r="N204" s="10" t="n">
        <x:f>SUM(XLOOKUP('포켓몬_편집'!$AF204:$AN204,'분류_규칙'!$A$5:$A$76,'분류_규칙'!$N$5:$N$76,0))</x:f>
        <x:v>0</x:v>
      </x:c>
      <x:c r="O204" s="10" t="n">
        <x:f>SUM(XLOOKUP('포켓몬_편집'!$AF204:$AN204,'분류_규칙'!$A$5:$A$76,'분류_규칙'!$O$5:$O$76,0))</x:f>
        <x:v>2</x:v>
      </x:c>
      <x:c r="P204" s="10" t="n">
        <x:f>SUM(XLOOKUP('포켓몬_편집'!$AF204:$AN204,'분류_규칙'!$A$5:$A$76,'분류_규칙'!$P$5:$P$76,0))</x:f>
        <x:v>0</x:v>
      </x:c>
    </x:row>
    <x:row r="205" ht="22" customHeight="1">
      <x:c r="A205" s="5" t="n">
        <x:v>201</x:v>
      </x:c>
      <x:c r="B205" s="5" t="inlineStr">
        <x:is>
          <x:t xml:space="preserve">안농</x:t>
        </x:is>
      </x:c>
      <x:c r="C205" s="5" t="inlineStr">
        <x:is>
          <x:t xml:space="preserve">unown</x:t>
        </x:is>
      </x:c>
      <x:c r="D205" s="5" t="n">
        <x:v>2</x:v>
      </x:c>
      <x:c r="E205" s="10" t="n">
        <x:f>SUM(XLOOKUP('포켓몬_편집'!$AF205:$AN205,'분류_규칙'!$A$5:$A$76,'분류_규칙'!$E$5:$E$76,0))</x:f>
        <x:v>8</x:v>
      </x:c>
      <x:c r="F205" s="10" t="n">
        <x:f>SUM(XLOOKUP('포켓몬_편집'!$AF205:$AN205,'분류_규칙'!$A$5:$A$76,'분류_규칙'!$F$5:$F$76,0))</x:f>
        <x:v>8</x:v>
      </x:c>
      <x:c r="G205" s="10" t="n">
        <x:f>SUM(XLOOKUP('포켓몬_편집'!$AF205:$AN205,'분류_규칙'!$A$5:$A$76,'분류_규칙'!$G$5:$G$76,0))</x:f>
        <x:v>0</x:v>
      </x:c>
      <x:c r="H205" s="10" t="n">
        <x:f>SUM(XLOOKUP('포켓몬_편집'!$AF205:$AN205,'분류_규칙'!$A$5:$A$76,'분류_규칙'!$H$5:$H$76,0))</x:f>
        <x:v>12</x:v>
      </x:c>
      <x:c r="I205" s="10" t="n">
        <x:f>SUM(XLOOKUP('포켓몬_편집'!$AF205:$AN205,'분류_규칙'!$A$5:$A$76,'분류_규칙'!$I$5:$I$76,0))</x:f>
        <x:v>0</x:v>
      </x:c>
      <x:c r="J205" s="10" t="n">
        <x:f>SUM(XLOOKUP('포켓몬_편집'!$AF205:$AN205,'분류_규칙'!$A$5:$A$76,'분류_규칙'!$J$5:$J$76,0))</x:f>
        <x:v>0</x:v>
      </x:c>
      <x:c r="K205" s="10" t="n">
        <x:f>SUM(XLOOKUP('포켓몬_편집'!$AF205:$AN205,'분류_규칙'!$A$5:$A$76,'분류_규칙'!$K$5:$K$76,0))</x:f>
        <x:v>0</x:v>
      </x:c>
      <x:c r="L205" s="10" t="n">
        <x:f>SUM(XLOOKUP('포켓몬_편집'!$AF205:$AN205,'분류_규칙'!$A$5:$A$76,'분류_규칙'!$L$5:$L$76,0))</x:f>
        <x:v>3</x:v>
      </x:c>
      <x:c r="M205" s="10" t="n">
        <x:f>SUM(XLOOKUP('포켓몬_편집'!$AF205:$AN205,'분류_규칙'!$A$5:$A$76,'분류_규칙'!$M$5:$M$76,0))</x:f>
        <x:v>0</x:v>
      </x:c>
      <x:c r="N205" s="10" t="n">
        <x:f>SUM(XLOOKUP('포켓몬_편집'!$AF205:$AN205,'분류_규칙'!$A$5:$A$76,'분류_규칙'!$N$5:$N$76,0))</x:f>
        <x:v>0</x:v>
      </x:c>
      <x:c r="O205" s="10" t="n">
        <x:f>SUM(XLOOKUP('포켓몬_편집'!$AF205:$AN205,'분류_규칙'!$A$5:$A$76,'분류_규칙'!$O$5:$O$76,0))</x:f>
        <x:v>2</x:v>
      </x:c>
      <x:c r="P205" s="10" t="n">
        <x:f>SUM(XLOOKUP('포켓몬_편집'!$AF205:$AN205,'분류_규칙'!$A$5:$A$76,'분류_규칙'!$P$5:$P$76,0))</x:f>
        <x:v>0</x:v>
      </x:c>
    </x:row>
    <x:row r="206" ht="22" customHeight="1">
      <x:c r="A206" s="5" t="n">
        <x:v>202</x:v>
      </x:c>
      <x:c r="B206" s="5" t="inlineStr">
        <x:is>
          <x:t xml:space="preserve">마자용</x:t>
        </x:is>
      </x:c>
      <x:c r="C206" s="5" t="inlineStr">
        <x:is>
          <x:t xml:space="preserve">wobbuffet</x:t>
        </x:is>
      </x:c>
      <x:c r="D206" s="5" t="n">
        <x:v>2</x:v>
      </x:c>
      <x:c r="E206" s="10" t="n">
        <x:f>SUM(XLOOKUP('포켓몬_편집'!$AF206:$AN206,'분류_규칙'!$A$5:$A$76,'분류_규칙'!$E$5:$E$76,0))</x:f>
        <x:v>10</x:v>
      </x:c>
      <x:c r="F206" s="10" t="n">
        <x:f>SUM(XLOOKUP('포켓몬_편집'!$AF206:$AN206,'분류_규칙'!$A$5:$A$76,'분류_규칙'!$F$5:$F$76,0))</x:f>
        <x:v>7</x:v>
      </x:c>
      <x:c r="G206" s="10" t="n">
        <x:f>SUM(XLOOKUP('포켓몬_편집'!$AF206:$AN206,'분류_규칙'!$A$5:$A$76,'분류_규칙'!$G$5:$G$76,0))</x:f>
        <x:v>5</x:v>
      </x:c>
      <x:c r="H206" s="10" t="n">
        <x:f>SUM(XLOOKUP('포켓몬_편집'!$AF206:$AN206,'분류_규칙'!$A$5:$A$76,'분류_규칙'!$H$5:$H$76,0))</x:f>
        <x:v>5</x:v>
      </x:c>
      <x:c r="I206" s="10" t="n">
        <x:f>SUM(XLOOKUP('포켓몬_편집'!$AF206:$AN206,'분류_규칙'!$A$5:$A$76,'분류_규칙'!$I$5:$I$76,0))</x:f>
        <x:v>0</x:v>
      </x:c>
      <x:c r="J206" s="10" t="n">
        <x:f>SUM(XLOOKUP('포켓몬_편집'!$AF206:$AN206,'분류_규칙'!$A$5:$A$76,'분류_규칙'!$J$5:$J$76,0))</x:f>
        <x:v>2</x:v>
      </x:c>
      <x:c r="K206" s="10" t="n">
        <x:f>SUM(XLOOKUP('포켓몬_편집'!$AF206:$AN206,'분류_규칙'!$A$5:$A$76,'분류_규칙'!$K$5:$K$76,0))</x:f>
        <x:v>0</x:v>
      </x:c>
      <x:c r="L206" s="10" t="n">
        <x:f>SUM(XLOOKUP('포켓몬_편집'!$AF206:$AN206,'분류_규칙'!$A$5:$A$76,'분류_규칙'!$L$5:$L$76,0))</x:f>
        <x:v>0</x:v>
      </x:c>
      <x:c r="M206" s="10" t="n">
        <x:f>SUM(XLOOKUP('포켓몬_편집'!$AF206:$AN206,'분류_규칙'!$A$5:$A$76,'분류_규칙'!$M$5:$M$76,0))</x:f>
        <x:v>0</x:v>
      </x:c>
      <x:c r="N206" s="10" t="n">
        <x:f>SUM(XLOOKUP('포켓몬_편집'!$AF206:$AN206,'분류_규칙'!$A$5:$A$76,'분류_규칙'!$N$5:$N$76,0))</x:f>
        <x:v>0</x:v>
      </x:c>
      <x:c r="O206" s="10" t="n">
        <x:f>SUM(XLOOKUP('포켓몬_편집'!$AF206:$AN206,'분류_규칙'!$A$5:$A$76,'분류_규칙'!$O$5:$O$76,0))</x:f>
        <x:v>2</x:v>
      </x:c>
      <x:c r="P206" s="10" t="n">
        <x:f>SUM(XLOOKUP('포켓몬_편집'!$AF206:$AN206,'분류_규칙'!$A$5:$A$76,'분류_규칙'!$P$5:$P$76,0))</x:f>
        <x:v>0</x:v>
      </x:c>
    </x:row>
    <x:row r="207" ht="22" customHeight="1">
      <x:c r="A207" s="5" t="n">
        <x:v>203</x:v>
      </x:c>
      <x:c r="B207" s="5" t="inlineStr">
        <x:is>
          <x:t xml:space="preserve">키링키</x:t>
        </x:is>
      </x:c>
      <x:c r="C207" s="5" t="inlineStr">
        <x:is>
          <x:t xml:space="preserve">girafarig</x:t>
        </x:is>
      </x:c>
      <x:c r="D207" s="5" t="n">
        <x:v>2</x:v>
      </x:c>
      <x:c r="E207" s="10" t="n">
        <x:f>SUM(XLOOKUP('포켓몬_편집'!$AF207:$AN207,'분류_규칙'!$A$5:$A$76,'분류_규칙'!$E$5:$E$76,0))</x:f>
        <x:v>10</x:v>
      </x:c>
      <x:c r="F207" s="10" t="n">
        <x:f>SUM(XLOOKUP('포켓몬_편집'!$AF207:$AN207,'분류_규칙'!$A$5:$A$76,'분류_규칙'!$F$5:$F$76,0))</x:f>
        <x:v>7</x:v>
      </x:c>
      <x:c r="G207" s="10" t="n">
        <x:f>SUM(XLOOKUP('포켓몬_편집'!$AF207:$AN207,'분류_규칙'!$A$5:$A$76,'분류_규칙'!$G$5:$G$76,0))</x:f>
        <x:v>5</x:v>
      </x:c>
      <x:c r="H207" s="10" t="n">
        <x:f>SUM(XLOOKUP('포켓몬_편집'!$AF207:$AN207,'분류_규칙'!$A$5:$A$76,'분류_규칙'!$H$5:$H$76,0))</x:f>
        <x:v>5</x:v>
      </x:c>
      <x:c r="I207" s="10" t="n">
        <x:f>SUM(XLOOKUP('포켓몬_편집'!$AF207:$AN207,'분류_규칙'!$A$5:$A$76,'분류_규칙'!$I$5:$I$76,0))</x:f>
        <x:v>0</x:v>
      </x:c>
      <x:c r="J207" s="10" t="n">
        <x:f>SUM(XLOOKUP('포켓몬_편집'!$AF207:$AN207,'분류_규칙'!$A$5:$A$76,'분류_규칙'!$J$5:$J$76,0))</x:f>
        <x:v>2</x:v>
      </x:c>
      <x:c r="K207" s="10" t="n">
        <x:f>SUM(XLOOKUP('포켓몬_편집'!$AF207:$AN207,'분류_규칙'!$A$5:$A$76,'분류_규칙'!$K$5:$K$76,0))</x:f>
        <x:v>0</x:v>
      </x:c>
      <x:c r="L207" s="10" t="n">
        <x:f>SUM(XLOOKUP('포켓몬_편집'!$AF207:$AN207,'분류_규칙'!$A$5:$A$76,'분류_규칙'!$L$5:$L$76,0))</x:f>
        <x:v>0</x:v>
      </x:c>
      <x:c r="M207" s="10" t="n">
        <x:f>SUM(XLOOKUP('포켓몬_편집'!$AF207:$AN207,'분류_규칙'!$A$5:$A$76,'분류_규칙'!$M$5:$M$76,0))</x:f>
        <x:v>0</x:v>
      </x:c>
      <x:c r="N207" s="10" t="n">
        <x:f>SUM(XLOOKUP('포켓몬_편집'!$AF207:$AN207,'분류_규칙'!$A$5:$A$76,'분류_규칙'!$N$5:$N$76,0))</x:f>
        <x:v>0</x:v>
      </x:c>
      <x:c r="O207" s="10" t="n">
        <x:f>SUM(XLOOKUP('포켓몬_편집'!$AF207:$AN207,'분류_규칙'!$A$5:$A$76,'분류_규칙'!$O$5:$O$76,0))</x:f>
        <x:v>2</x:v>
      </x:c>
      <x:c r="P207" s="10" t="n">
        <x:f>SUM(XLOOKUP('포켓몬_편집'!$AF207:$AN207,'분류_규칙'!$A$5:$A$76,'분류_규칙'!$P$5:$P$76,0))</x:f>
        <x:v>0</x:v>
      </x:c>
    </x:row>
    <x:row r="208" ht="22" customHeight="1">
      <x:c r="A208" s="5" t="n">
        <x:v>204</x:v>
      </x:c>
      <x:c r="B208" s="5" t="inlineStr">
        <x:is>
          <x:t xml:space="preserve">피콘</x:t>
        </x:is>
      </x:c>
      <x:c r="C208" s="5" t="inlineStr">
        <x:is>
          <x:t xml:space="preserve">pineco</x:t>
        </x:is>
      </x:c>
      <x:c r="D208" s="5" t="n">
        <x:v>2</x:v>
      </x:c>
      <x:c r="E208" s="10" t="n">
        <x:f>SUM(XLOOKUP('포켓몬_편집'!$AF208:$AN208,'분류_규칙'!$A$5:$A$76,'분류_규칙'!$E$5:$E$76,0))</x:f>
        <x:v>10</x:v>
      </x:c>
      <x:c r="F208" s="10" t="n">
        <x:f>SUM(XLOOKUP('포켓몬_편집'!$AF208:$AN208,'분류_규칙'!$A$5:$A$76,'분류_규칙'!$F$5:$F$76,0))</x:f>
        <x:v>7</x:v>
      </x:c>
      <x:c r="G208" s="10" t="n">
        <x:f>SUM(XLOOKUP('포켓몬_편집'!$AF208:$AN208,'분류_규칙'!$A$5:$A$76,'분류_규칙'!$G$5:$G$76,0))</x:f>
        <x:v>5</x:v>
      </x:c>
      <x:c r="H208" s="10" t="n">
        <x:f>SUM(XLOOKUP('포켓몬_편집'!$AF208:$AN208,'분류_규칙'!$A$5:$A$76,'분류_규칙'!$H$5:$H$76,0))</x:f>
        <x:v>5</x:v>
      </x:c>
      <x:c r="I208" s="10" t="n">
        <x:f>SUM(XLOOKUP('포켓몬_편집'!$AF208:$AN208,'분류_규칙'!$A$5:$A$76,'분류_규칙'!$I$5:$I$76,0))</x:f>
        <x:v>0</x:v>
      </x:c>
      <x:c r="J208" s="10" t="n">
        <x:f>SUM(XLOOKUP('포켓몬_편집'!$AF208:$AN208,'분류_규칙'!$A$5:$A$76,'분류_규칙'!$J$5:$J$76,0))</x:f>
        <x:v>2</x:v>
      </x:c>
      <x:c r="K208" s="10" t="n">
        <x:f>SUM(XLOOKUP('포켓몬_편집'!$AF208:$AN208,'분류_규칙'!$A$5:$A$76,'분류_규칙'!$K$5:$K$76,0))</x:f>
        <x:v>0</x:v>
      </x:c>
      <x:c r="L208" s="10" t="n">
        <x:f>SUM(XLOOKUP('포켓몬_편집'!$AF208:$AN208,'분류_규칙'!$A$5:$A$76,'분류_규칙'!$L$5:$L$76,0))</x:f>
        <x:v>0</x:v>
      </x:c>
      <x:c r="M208" s="10" t="n">
        <x:f>SUM(XLOOKUP('포켓몬_편집'!$AF208:$AN208,'분류_규칙'!$A$5:$A$76,'분류_규칙'!$M$5:$M$76,0))</x:f>
        <x:v>0</x:v>
      </x:c>
      <x:c r="N208" s="10" t="n">
        <x:f>SUM(XLOOKUP('포켓몬_편집'!$AF208:$AN208,'분류_규칙'!$A$5:$A$76,'분류_규칙'!$N$5:$N$76,0))</x:f>
        <x:v>0</x:v>
      </x:c>
      <x:c r="O208" s="10" t="n">
        <x:f>SUM(XLOOKUP('포켓몬_편집'!$AF208:$AN208,'분류_규칙'!$A$5:$A$76,'분류_규칙'!$O$5:$O$76,0))</x:f>
        <x:v>2</x:v>
      </x:c>
      <x:c r="P208" s="10" t="n">
        <x:f>SUM(XLOOKUP('포켓몬_편집'!$AF208:$AN208,'분류_규칙'!$A$5:$A$76,'분류_규칙'!$P$5:$P$76,0))</x:f>
        <x:v>0</x:v>
      </x:c>
    </x:row>
    <x:row r="209" ht="22" customHeight="1">
      <x:c r="A209" s="5" t="n">
        <x:v>205</x:v>
      </x:c>
      <x:c r="B209" s="5" t="inlineStr">
        <x:is>
          <x:t xml:space="preserve">쏘콘</x:t>
        </x:is>
      </x:c>
      <x:c r="C209" s="5" t="inlineStr">
        <x:is>
          <x:t xml:space="preserve">forretress</x:t>
        </x:is>
      </x:c>
      <x:c r="D209" s="5" t="n">
        <x:v>2</x:v>
      </x:c>
      <x:c r="E209" s="10" t="n">
        <x:f>SUM(XLOOKUP('포켓몬_편집'!$AF209:$AN209,'분류_규칙'!$A$5:$A$76,'분류_규칙'!$E$5:$E$76,0))</x:f>
        <x:v>8</x:v>
      </x:c>
      <x:c r="F209" s="10" t="n">
        <x:f>SUM(XLOOKUP('포켓몬_편집'!$AF209:$AN209,'분류_규칙'!$A$5:$A$76,'분류_규칙'!$F$5:$F$76,0))</x:f>
        <x:v>8</x:v>
      </x:c>
      <x:c r="G209" s="10" t="n">
        <x:f>SUM(XLOOKUP('포켓몬_편집'!$AF209:$AN209,'분류_규칙'!$A$5:$A$76,'분류_규칙'!$G$5:$G$76,0))</x:f>
        <x:v>0</x:v>
      </x:c>
      <x:c r="H209" s="10" t="n">
        <x:f>SUM(XLOOKUP('포켓몬_편집'!$AF209:$AN209,'분류_규칙'!$A$5:$A$76,'분류_규칙'!$H$5:$H$76,0))</x:f>
        <x:v>12</x:v>
      </x:c>
      <x:c r="I209" s="10" t="n">
        <x:f>SUM(XLOOKUP('포켓몬_편집'!$AF209:$AN209,'분류_규칙'!$A$5:$A$76,'분류_규칙'!$I$5:$I$76,0))</x:f>
        <x:v>0</x:v>
      </x:c>
      <x:c r="J209" s="10" t="n">
        <x:f>SUM(XLOOKUP('포켓몬_편집'!$AF209:$AN209,'분류_규칙'!$A$5:$A$76,'분류_규칙'!$J$5:$J$76,0))</x:f>
        <x:v>0</x:v>
      </x:c>
      <x:c r="K209" s="10" t="n">
        <x:f>SUM(XLOOKUP('포켓몬_편집'!$AF209:$AN209,'분류_규칙'!$A$5:$A$76,'분류_규칙'!$K$5:$K$76,0))</x:f>
        <x:v>0</x:v>
      </x:c>
      <x:c r="L209" s="10" t="n">
        <x:f>SUM(XLOOKUP('포켓몬_편집'!$AF209:$AN209,'분류_규칙'!$A$5:$A$76,'분류_규칙'!$L$5:$L$76,0))</x:f>
        <x:v>3</x:v>
      </x:c>
      <x:c r="M209" s="10" t="n">
        <x:f>SUM(XLOOKUP('포켓몬_편집'!$AF209:$AN209,'분류_규칙'!$A$5:$A$76,'분류_규칙'!$M$5:$M$76,0))</x:f>
        <x:v>0</x:v>
      </x:c>
      <x:c r="N209" s="10" t="n">
        <x:f>SUM(XLOOKUP('포켓몬_편집'!$AF209:$AN209,'분류_규칙'!$A$5:$A$76,'분류_규칙'!$N$5:$N$76,0))</x:f>
        <x:v>0</x:v>
      </x:c>
      <x:c r="O209" s="10" t="n">
        <x:f>SUM(XLOOKUP('포켓몬_편집'!$AF209:$AN209,'분류_규칙'!$A$5:$A$76,'분류_규칙'!$O$5:$O$76,0))</x:f>
        <x:v>2</x:v>
      </x:c>
      <x:c r="P209" s="10" t="n">
        <x:f>SUM(XLOOKUP('포켓몬_편집'!$AF209:$AN209,'분류_규칙'!$A$5:$A$76,'분류_규칙'!$P$5:$P$76,0))</x:f>
        <x:v>0</x:v>
      </x:c>
    </x:row>
    <x:row r="210" ht="22" customHeight="1">
      <x:c r="A210" s="5" t="n">
        <x:v>206</x:v>
      </x:c>
      <x:c r="B210" s="5" t="inlineStr">
        <x:is>
          <x:t xml:space="preserve">노고치</x:t>
        </x:is>
      </x:c>
      <x:c r="C210" s="5" t="inlineStr">
        <x:is>
          <x:t xml:space="preserve">dunsparce</x:t>
        </x:is>
      </x:c>
      <x:c r="D210" s="5" t="n">
        <x:v>2</x:v>
      </x:c>
      <x:c r="E210" s="10" t="n">
        <x:f>SUM(XLOOKUP('포켓몬_편집'!$AF210:$AN210,'분류_규칙'!$A$5:$A$76,'분류_규칙'!$E$5:$E$76,0))</x:f>
        <x:v>10</x:v>
      </x:c>
      <x:c r="F210" s="10" t="n">
        <x:f>SUM(XLOOKUP('포켓몬_편집'!$AF210:$AN210,'분류_규칙'!$A$5:$A$76,'분류_규칙'!$F$5:$F$76,0))</x:f>
        <x:v>7</x:v>
      </x:c>
      <x:c r="G210" s="10" t="n">
        <x:f>SUM(XLOOKUP('포켓몬_편집'!$AF210:$AN210,'분류_규칙'!$A$5:$A$76,'분류_규칙'!$G$5:$G$76,0))</x:f>
        <x:v>5</x:v>
      </x:c>
      <x:c r="H210" s="10" t="n">
        <x:f>SUM(XLOOKUP('포켓몬_편집'!$AF210:$AN210,'분류_규칙'!$A$5:$A$76,'분류_규칙'!$H$5:$H$76,0))</x:f>
        <x:v>5</x:v>
      </x:c>
      <x:c r="I210" s="10" t="n">
        <x:f>SUM(XLOOKUP('포켓몬_편집'!$AF210:$AN210,'분류_규칙'!$A$5:$A$76,'분류_규칙'!$I$5:$I$76,0))</x:f>
        <x:v>0</x:v>
      </x:c>
      <x:c r="J210" s="10" t="n">
        <x:f>SUM(XLOOKUP('포켓몬_편집'!$AF210:$AN210,'분류_규칙'!$A$5:$A$76,'분류_규칙'!$J$5:$J$76,0))</x:f>
        <x:v>2</x:v>
      </x:c>
      <x:c r="K210" s="10" t="n">
        <x:f>SUM(XLOOKUP('포켓몬_편집'!$AF210:$AN210,'분류_규칙'!$A$5:$A$76,'분류_규칙'!$K$5:$K$76,0))</x:f>
        <x:v>0</x:v>
      </x:c>
      <x:c r="L210" s="10" t="n">
        <x:f>SUM(XLOOKUP('포켓몬_편집'!$AF210:$AN210,'분류_규칙'!$A$5:$A$76,'분류_규칙'!$L$5:$L$76,0))</x:f>
        <x:v>0</x:v>
      </x:c>
      <x:c r="M210" s="10" t="n">
        <x:f>SUM(XLOOKUP('포켓몬_편집'!$AF210:$AN210,'분류_규칙'!$A$5:$A$76,'분류_규칙'!$M$5:$M$76,0))</x:f>
        <x:v>0</x:v>
      </x:c>
      <x:c r="N210" s="10" t="n">
        <x:f>SUM(XLOOKUP('포켓몬_편집'!$AF210:$AN210,'분류_규칙'!$A$5:$A$76,'분류_규칙'!$N$5:$N$76,0))</x:f>
        <x:v>0</x:v>
      </x:c>
      <x:c r="O210" s="10" t="n">
        <x:f>SUM(XLOOKUP('포켓몬_편집'!$AF210:$AN210,'분류_규칙'!$A$5:$A$76,'분류_규칙'!$O$5:$O$76,0))</x:f>
        <x:v>2</x:v>
      </x:c>
      <x:c r="P210" s="10" t="n">
        <x:f>SUM(XLOOKUP('포켓몬_편집'!$AF210:$AN210,'분류_규칙'!$A$5:$A$76,'분류_규칙'!$P$5:$P$76,0))</x:f>
        <x:v>0</x:v>
      </x:c>
    </x:row>
    <x:row r="211" ht="22" customHeight="1">
      <x:c r="A211" s="5" t="n">
        <x:v>207</x:v>
      </x:c>
      <x:c r="B211" s="5" t="inlineStr">
        <x:is>
          <x:t xml:space="preserve">글라이거</x:t>
        </x:is>
      </x:c>
      <x:c r="C211" s="5" t="inlineStr">
        <x:is>
          <x:t xml:space="preserve">gligar</x:t>
        </x:is>
      </x:c>
      <x:c r="D211" s="5" t="n">
        <x:v>2</x:v>
      </x:c>
      <x:c r="E211" s="10" t="n">
        <x:f>SUM(XLOOKUP('포켓몬_편집'!$AF211:$AN211,'분류_규칙'!$A$5:$A$76,'분류_규칙'!$E$5:$E$76,0))</x:f>
        <x:v>8</x:v>
      </x:c>
      <x:c r="F211" s="10" t="n">
        <x:f>SUM(XLOOKUP('포켓몬_편집'!$AF211:$AN211,'분류_규칙'!$A$5:$A$76,'분류_규칙'!$F$5:$F$76,0))</x:f>
        <x:v>8</x:v>
      </x:c>
      <x:c r="G211" s="10" t="n">
        <x:f>SUM(XLOOKUP('포켓몬_편집'!$AF211:$AN211,'분류_규칙'!$A$5:$A$76,'분류_규칙'!$G$5:$G$76,0))</x:f>
        <x:v>0</x:v>
      </x:c>
      <x:c r="H211" s="10" t="n">
        <x:f>SUM(XLOOKUP('포켓몬_편집'!$AF211:$AN211,'분류_규칙'!$A$5:$A$76,'분류_규칙'!$H$5:$H$76,0))</x:f>
        <x:v>12</x:v>
      </x:c>
      <x:c r="I211" s="10" t="n">
        <x:f>SUM(XLOOKUP('포켓몬_편집'!$AF211:$AN211,'분류_규칙'!$A$5:$A$76,'분류_규칙'!$I$5:$I$76,0))</x:f>
        <x:v>0</x:v>
      </x:c>
      <x:c r="J211" s="10" t="n">
        <x:f>SUM(XLOOKUP('포켓몬_편집'!$AF211:$AN211,'분류_규칙'!$A$5:$A$76,'분류_규칙'!$J$5:$J$76,0))</x:f>
        <x:v>0</x:v>
      </x:c>
      <x:c r="K211" s="10" t="n">
        <x:f>SUM(XLOOKUP('포켓몬_편집'!$AF211:$AN211,'분류_규칙'!$A$5:$A$76,'분류_규칙'!$K$5:$K$76,0))</x:f>
        <x:v>0</x:v>
      </x:c>
      <x:c r="L211" s="10" t="n">
        <x:f>SUM(XLOOKUP('포켓몬_편집'!$AF211:$AN211,'분류_규칙'!$A$5:$A$76,'분류_규칙'!$L$5:$L$76,0))</x:f>
        <x:v>3</x:v>
      </x:c>
      <x:c r="M211" s="10" t="n">
        <x:f>SUM(XLOOKUP('포켓몬_편집'!$AF211:$AN211,'분류_규칙'!$A$5:$A$76,'분류_규칙'!$M$5:$M$76,0))</x:f>
        <x:v>0</x:v>
      </x:c>
      <x:c r="N211" s="10" t="n">
        <x:f>SUM(XLOOKUP('포켓몬_편집'!$AF211:$AN211,'분류_규칙'!$A$5:$A$76,'분류_규칙'!$N$5:$N$76,0))</x:f>
        <x:v>0</x:v>
      </x:c>
      <x:c r="O211" s="10" t="n">
        <x:f>SUM(XLOOKUP('포켓몬_편집'!$AF211:$AN211,'분류_규칙'!$A$5:$A$76,'분류_규칙'!$O$5:$O$76,0))</x:f>
        <x:v>2</x:v>
      </x:c>
      <x:c r="P211" s="10" t="n">
        <x:f>SUM(XLOOKUP('포켓몬_편집'!$AF211:$AN211,'분류_규칙'!$A$5:$A$76,'분류_규칙'!$P$5:$P$76,0))</x:f>
        <x:v>0</x:v>
      </x:c>
    </x:row>
    <x:row r="212" ht="22" customHeight="1">
      <x:c r="A212" s="5" t="n">
        <x:v>208</x:v>
      </x:c>
      <x:c r="B212" s="5" t="inlineStr">
        <x:is>
          <x:t xml:space="preserve">강철톤</x:t>
        </x:is>
      </x:c>
      <x:c r="C212" s="5" t="inlineStr">
        <x:is>
          <x:t xml:space="preserve">steelix</x:t>
        </x:is>
      </x:c>
      <x:c r="D212" s="5" t="n">
        <x:v>2</x:v>
      </x:c>
      <x:c r="E212" s="10" t="n">
        <x:f>SUM(XLOOKUP('포켓몬_편집'!$AF212:$AN212,'분류_규칙'!$A$5:$A$76,'분류_규칙'!$E$5:$E$76,0))</x:f>
        <x:v>10</x:v>
      </x:c>
      <x:c r="F212" s="10" t="n">
        <x:f>SUM(XLOOKUP('포켓몬_편집'!$AF212:$AN212,'분류_규칙'!$A$5:$A$76,'분류_규칙'!$F$5:$F$76,0))</x:f>
        <x:v>7</x:v>
      </x:c>
      <x:c r="G212" s="10" t="n">
        <x:f>SUM(XLOOKUP('포켓몬_편집'!$AF212:$AN212,'분류_규칙'!$A$5:$A$76,'분류_규칙'!$G$5:$G$76,0))</x:f>
        <x:v>5</x:v>
      </x:c>
      <x:c r="H212" s="10" t="n">
        <x:f>SUM(XLOOKUP('포켓몬_편집'!$AF212:$AN212,'분류_규칙'!$A$5:$A$76,'분류_규칙'!$H$5:$H$76,0))</x:f>
        <x:v>5</x:v>
      </x:c>
      <x:c r="I212" s="10" t="n">
        <x:f>SUM(XLOOKUP('포켓몬_편집'!$AF212:$AN212,'분류_규칙'!$A$5:$A$76,'분류_규칙'!$I$5:$I$76,0))</x:f>
        <x:v>0</x:v>
      </x:c>
      <x:c r="J212" s="10" t="n">
        <x:f>SUM(XLOOKUP('포켓몬_편집'!$AF212:$AN212,'분류_규칙'!$A$5:$A$76,'분류_규칙'!$J$5:$J$76,0))</x:f>
        <x:v>2</x:v>
      </x:c>
      <x:c r="K212" s="10" t="n">
        <x:f>SUM(XLOOKUP('포켓몬_편집'!$AF212:$AN212,'분류_규칙'!$A$5:$A$76,'분류_규칙'!$K$5:$K$76,0))</x:f>
        <x:v>0</x:v>
      </x:c>
      <x:c r="L212" s="10" t="n">
        <x:f>SUM(XLOOKUP('포켓몬_편집'!$AF212:$AN212,'분류_규칙'!$A$5:$A$76,'분류_규칙'!$L$5:$L$76,0))</x:f>
        <x:v>0</x:v>
      </x:c>
      <x:c r="M212" s="10" t="n">
        <x:f>SUM(XLOOKUP('포켓몬_편집'!$AF212:$AN212,'분류_규칙'!$A$5:$A$76,'분류_규칙'!$M$5:$M$76,0))</x:f>
        <x:v>0</x:v>
      </x:c>
      <x:c r="N212" s="10" t="n">
        <x:f>SUM(XLOOKUP('포켓몬_편집'!$AF212:$AN212,'분류_규칙'!$A$5:$A$76,'분류_규칙'!$N$5:$N$76,0))</x:f>
        <x:v>0</x:v>
      </x:c>
      <x:c r="O212" s="10" t="n">
        <x:f>SUM(XLOOKUP('포켓몬_편집'!$AF212:$AN212,'분류_규칙'!$A$5:$A$76,'분류_규칙'!$O$5:$O$76,0))</x:f>
        <x:v>2</x:v>
      </x:c>
      <x:c r="P212" s="10" t="n">
        <x:f>SUM(XLOOKUP('포켓몬_편집'!$AF212:$AN212,'분류_규칙'!$A$5:$A$76,'분류_규칙'!$P$5:$P$76,0))</x:f>
        <x:v>0</x:v>
      </x:c>
    </x:row>
    <x:row r="213" ht="22" customHeight="1">
      <x:c r="A213" s="5" t="n">
        <x:v>209</x:v>
      </x:c>
      <x:c r="B213" s="5" t="inlineStr">
        <x:is>
          <x:t xml:space="preserve">블루</x:t>
        </x:is>
      </x:c>
      <x:c r="C213" s="5" t="inlineStr">
        <x:is>
          <x:t xml:space="preserve">snubbull</x:t>
        </x:is>
      </x:c>
      <x:c r="D213" s="5" t="n">
        <x:v>2</x:v>
      </x:c>
      <x:c r="E213" s="10" t="n">
        <x:f>SUM(XLOOKUP('포켓몬_편집'!$AF213:$AN213,'분류_규칙'!$A$5:$A$76,'분류_규칙'!$E$5:$E$76,0))</x:f>
        <x:v>10</x:v>
      </x:c>
      <x:c r="F213" s="10" t="n">
        <x:f>SUM(XLOOKUP('포켓몬_편집'!$AF213:$AN213,'분류_규칙'!$A$5:$A$76,'분류_규칙'!$F$5:$F$76,0))</x:f>
        <x:v>7</x:v>
      </x:c>
      <x:c r="G213" s="10" t="n">
        <x:f>SUM(XLOOKUP('포켓몬_편집'!$AF213:$AN213,'분류_규칙'!$A$5:$A$76,'분류_규칙'!$G$5:$G$76,0))</x:f>
        <x:v>5</x:v>
      </x:c>
      <x:c r="H213" s="10" t="n">
        <x:f>SUM(XLOOKUP('포켓몬_편집'!$AF213:$AN213,'분류_규칙'!$A$5:$A$76,'분류_규칙'!$H$5:$H$76,0))</x:f>
        <x:v>5</x:v>
      </x:c>
      <x:c r="I213" s="10" t="n">
        <x:f>SUM(XLOOKUP('포켓몬_편집'!$AF213:$AN213,'분류_규칙'!$A$5:$A$76,'분류_규칙'!$I$5:$I$76,0))</x:f>
        <x:v>0</x:v>
      </x:c>
      <x:c r="J213" s="10" t="n">
        <x:f>SUM(XLOOKUP('포켓몬_편집'!$AF213:$AN213,'분류_규칙'!$A$5:$A$76,'분류_규칙'!$J$5:$J$76,0))</x:f>
        <x:v>2</x:v>
      </x:c>
      <x:c r="K213" s="10" t="n">
        <x:f>SUM(XLOOKUP('포켓몬_편집'!$AF213:$AN213,'분류_규칙'!$A$5:$A$76,'분류_규칙'!$K$5:$K$76,0))</x:f>
        <x:v>0</x:v>
      </x:c>
      <x:c r="L213" s="10" t="n">
        <x:f>SUM(XLOOKUP('포켓몬_편집'!$AF213:$AN213,'분류_규칙'!$A$5:$A$76,'분류_규칙'!$L$5:$L$76,0))</x:f>
        <x:v>0</x:v>
      </x:c>
      <x:c r="M213" s="10" t="n">
        <x:f>SUM(XLOOKUP('포켓몬_편집'!$AF213:$AN213,'분류_규칙'!$A$5:$A$76,'분류_규칙'!$M$5:$M$76,0))</x:f>
        <x:v>0</x:v>
      </x:c>
      <x:c r="N213" s="10" t="n">
        <x:f>SUM(XLOOKUP('포켓몬_편집'!$AF213:$AN213,'분류_규칙'!$A$5:$A$76,'분류_규칙'!$N$5:$N$76,0))</x:f>
        <x:v>0</x:v>
      </x:c>
      <x:c r="O213" s="10" t="n">
        <x:f>SUM(XLOOKUP('포켓몬_편집'!$AF213:$AN213,'분류_규칙'!$A$5:$A$76,'분류_규칙'!$O$5:$O$76,0))</x:f>
        <x:v>2</x:v>
      </x:c>
      <x:c r="P213" s="10" t="n">
        <x:f>SUM(XLOOKUP('포켓몬_편집'!$AF213:$AN213,'분류_규칙'!$A$5:$A$76,'분류_규칙'!$P$5:$P$76,0))</x:f>
        <x:v>0</x:v>
      </x:c>
    </x:row>
    <x:row r="214" ht="22" customHeight="1">
      <x:c r="A214" s="5" t="n">
        <x:v>210</x:v>
      </x:c>
      <x:c r="B214" s="5" t="inlineStr">
        <x:is>
          <x:t xml:space="preserve">그랑블루</x:t>
        </x:is>
      </x:c>
      <x:c r="C214" s="5" t="inlineStr">
        <x:is>
          <x:t xml:space="preserve">granbull</x:t>
        </x:is>
      </x:c>
      <x:c r="D214" s="5" t="n">
        <x:v>2</x:v>
      </x:c>
      <x:c r="E214" s="10" t="n">
        <x:f>SUM(XLOOKUP('포켓몬_편집'!$AF214:$AN214,'분류_규칙'!$A$5:$A$76,'분류_규칙'!$E$5:$E$76,0))</x:f>
        <x:v>10</x:v>
      </x:c>
      <x:c r="F214" s="10" t="n">
        <x:f>SUM(XLOOKUP('포켓몬_편집'!$AF214:$AN214,'분류_규칙'!$A$5:$A$76,'분류_규칙'!$F$5:$F$76,0))</x:f>
        <x:v>7</x:v>
      </x:c>
      <x:c r="G214" s="10" t="n">
        <x:f>SUM(XLOOKUP('포켓몬_편집'!$AF214:$AN214,'분류_규칙'!$A$5:$A$76,'분류_규칙'!$G$5:$G$76,0))</x:f>
        <x:v>5</x:v>
      </x:c>
      <x:c r="H214" s="10" t="n">
        <x:f>SUM(XLOOKUP('포켓몬_편집'!$AF214:$AN214,'분류_규칙'!$A$5:$A$76,'분류_규칙'!$H$5:$H$76,0))</x:f>
        <x:v>5</x:v>
      </x:c>
      <x:c r="I214" s="10" t="n">
        <x:f>SUM(XLOOKUP('포켓몬_편집'!$AF214:$AN214,'분류_규칙'!$A$5:$A$76,'분류_규칙'!$I$5:$I$76,0))</x:f>
        <x:v>0</x:v>
      </x:c>
      <x:c r="J214" s="10" t="n">
        <x:f>SUM(XLOOKUP('포켓몬_편집'!$AF214:$AN214,'분류_규칙'!$A$5:$A$76,'분류_규칙'!$J$5:$J$76,0))</x:f>
        <x:v>2</x:v>
      </x:c>
      <x:c r="K214" s="10" t="n">
        <x:f>SUM(XLOOKUP('포켓몬_편집'!$AF214:$AN214,'분류_규칙'!$A$5:$A$76,'분류_규칙'!$K$5:$K$76,0))</x:f>
        <x:v>0</x:v>
      </x:c>
      <x:c r="L214" s="10" t="n">
        <x:f>SUM(XLOOKUP('포켓몬_편집'!$AF214:$AN214,'분류_규칙'!$A$5:$A$76,'분류_규칙'!$L$5:$L$76,0))</x:f>
        <x:v>0</x:v>
      </x:c>
      <x:c r="M214" s="10" t="n">
        <x:f>SUM(XLOOKUP('포켓몬_편집'!$AF214:$AN214,'분류_규칙'!$A$5:$A$76,'분류_규칙'!$M$5:$M$76,0))</x:f>
        <x:v>0</x:v>
      </x:c>
      <x:c r="N214" s="10" t="n">
        <x:f>SUM(XLOOKUP('포켓몬_편집'!$AF214:$AN214,'분류_규칙'!$A$5:$A$76,'분류_규칙'!$N$5:$N$76,0))</x:f>
        <x:v>0</x:v>
      </x:c>
      <x:c r="O214" s="10" t="n">
        <x:f>SUM(XLOOKUP('포켓몬_편집'!$AF214:$AN214,'분류_규칙'!$A$5:$A$76,'분류_규칙'!$O$5:$O$76,0))</x:f>
        <x:v>2</x:v>
      </x:c>
      <x:c r="P214" s="10" t="n">
        <x:f>SUM(XLOOKUP('포켓몬_편집'!$AF214:$AN214,'분류_규칙'!$A$5:$A$76,'분류_규칙'!$P$5:$P$76,0))</x:f>
        <x:v>0</x:v>
      </x:c>
    </x:row>
    <x:row r="215" ht="22" customHeight="1">
      <x:c r="A215" s="5" t="n">
        <x:v>211</x:v>
      </x:c>
      <x:c r="B215" s="5" t="inlineStr">
        <x:is>
          <x:t xml:space="preserve">침바루</x:t>
        </x:is>
      </x:c>
      <x:c r="C215" s="5" t="inlineStr">
        <x:is>
          <x:t xml:space="preserve">qwilfish</x:t>
        </x:is>
      </x:c>
      <x:c r="D215" s="5" t="n">
        <x:v>2</x:v>
      </x:c>
      <x:c r="E215" s="10" t="n">
        <x:f>SUM(XLOOKUP('포켓몬_편집'!$AF215:$AN215,'분류_규칙'!$A$5:$A$76,'분류_규칙'!$E$5:$E$76,0))</x:f>
        <x:v>0</x:v>
      </x:c>
      <x:c r="F215" s="10" t="n">
        <x:f>SUM(XLOOKUP('포켓몬_편집'!$AF215:$AN215,'분류_규칙'!$A$5:$A$76,'분류_규칙'!$F$5:$F$76,0))</x:f>
        <x:v>0</x:v>
      </x:c>
      <x:c r="G215" s="10" t="n">
        <x:f>SUM(XLOOKUP('포켓몬_편집'!$AF215:$AN215,'분류_규칙'!$A$5:$A$76,'분류_규칙'!$G$5:$G$76,0))</x:f>
        <x:v>0</x:v>
      </x:c>
      <x:c r="H215" s="10" t="n">
        <x:f>SUM(XLOOKUP('포켓몬_편집'!$AF215:$AN215,'분류_규칙'!$A$5:$A$76,'분류_규칙'!$H$5:$H$76,0))</x:f>
        <x:v>0</x:v>
      </x:c>
      <x:c r="I215" s="10" t="n">
        <x:f>SUM(XLOOKUP('포켓몬_편집'!$AF215:$AN215,'분류_규칙'!$A$5:$A$76,'분류_규칙'!$I$5:$I$76,0))</x:f>
        <x:v>0</x:v>
      </x:c>
      <x:c r="J215" s="10" t="n">
        <x:f>SUM(XLOOKUP('포켓몬_편집'!$AF215:$AN215,'분류_규칙'!$A$5:$A$76,'분류_규칙'!$J$5:$J$76,0))</x:f>
        <x:v>3</x:v>
      </x:c>
      <x:c r="K215" s="10" t="n">
        <x:f>SUM(XLOOKUP('포켓몬_편집'!$AF215:$AN215,'분류_규칙'!$A$5:$A$76,'분류_규칙'!$K$5:$K$76,0))</x:f>
        <x:v>0</x:v>
      </x:c>
      <x:c r="L215" s="10" t="n">
        <x:f>SUM(XLOOKUP('포켓몬_편집'!$AF215:$AN215,'분류_규칙'!$A$5:$A$76,'분류_규칙'!$L$5:$L$76,0))</x:f>
        <x:v>30</x:v>
      </x:c>
      <x:c r="M215" s="10" t="n">
        <x:f>SUM(XLOOKUP('포켓몬_편집'!$AF215:$AN215,'분류_규칙'!$A$5:$A$76,'분류_규칙'!$M$5:$M$76,0))</x:f>
        <x:v>0</x:v>
      </x:c>
      <x:c r="N215" s="10" t="n">
        <x:f>SUM(XLOOKUP('포켓몬_편집'!$AF215:$AN215,'분류_규칙'!$A$5:$A$76,'분류_규칙'!$N$5:$N$76,0))</x:f>
        <x:v>0</x:v>
      </x:c>
      <x:c r="O215" s="10" t="n">
        <x:f>SUM(XLOOKUP('포켓몬_편집'!$AF215:$AN215,'분류_규칙'!$A$5:$A$76,'분류_규칙'!$O$5:$O$76,0))</x:f>
        <x:v>0</x:v>
      </x:c>
      <x:c r="P215" s="10" t="n">
        <x:f>SUM(XLOOKUP('포켓몬_편집'!$AF215:$AN215,'분류_규칙'!$A$5:$A$76,'분류_규칙'!$P$5:$P$76,0))</x:f>
        <x:v>0</x:v>
      </x:c>
    </x:row>
    <x:row r="216" ht="22" customHeight="1">
      <x:c r="A216" s="5" t="n">
        <x:v>212</x:v>
      </x:c>
      <x:c r="B216" s="5" t="inlineStr">
        <x:is>
          <x:t xml:space="preserve">핫삼</x:t>
        </x:is>
      </x:c>
      <x:c r="C216" s="5" t="inlineStr">
        <x:is>
          <x:t xml:space="preserve">scizor</x:t>
        </x:is>
      </x:c>
      <x:c r="D216" s="5" t="n">
        <x:v>2</x:v>
      </x:c>
      <x:c r="E216" s="10" t="n">
        <x:f>SUM(XLOOKUP('포켓몬_편집'!$AF216:$AN216,'분류_규칙'!$A$5:$A$76,'분류_규칙'!$E$5:$E$76,0))</x:f>
        <x:v>8</x:v>
      </x:c>
      <x:c r="F216" s="10" t="n">
        <x:f>SUM(XLOOKUP('포켓몬_편집'!$AF216:$AN216,'분류_규칙'!$A$5:$A$76,'분류_규칙'!$F$5:$F$76,0))</x:f>
        <x:v>8</x:v>
      </x:c>
      <x:c r="G216" s="10" t="n">
        <x:f>SUM(XLOOKUP('포켓몬_편집'!$AF216:$AN216,'분류_규칙'!$A$5:$A$76,'분류_규칙'!$G$5:$G$76,0))</x:f>
        <x:v>0</x:v>
      </x:c>
      <x:c r="H216" s="10" t="n">
        <x:f>SUM(XLOOKUP('포켓몬_편집'!$AF216:$AN216,'분류_규칙'!$A$5:$A$76,'분류_규칙'!$H$5:$H$76,0))</x:f>
        <x:v>12</x:v>
      </x:c>
      <x:c r="I216" s="10" t="n">
        <x:f>SUM(XLOOKUP('포켓몬_편집'!$AF216:$AN216,'분류_규칙'!$A$5:$A$76,'분류_규칙'!$I$5:$I$76,0))</x:f>
        <x:v>0</x:v>
      </x:c>
      <x:c r="J216" s="10" t="n">
        <x:f>SUM(XLOOKUP('포켓몬_편집'!$AF216:$AN216,'분류_규칙'!$A$5:$A$76,'분류_규칙'!$J$5:$J$76,0))</x:f>
        <x:v>0</x:v>
      </x:c>
      <x:c r="K216" s="10" t="n">
        <x:f>SUM(XLOOKUP('포켓몬_편집'!$AF216:$AN216,'분류_규칙'!$A$5:$A$76,'분류_규칙'!$K$5:$K$76,0))</x:f>
        <x:v>0</x:v>
      </x:c>
      <x:c r="L216" s="10" t="n">
        <x:f>SUM(XLOOKUP('포켓몬_편집'!$AF216:$AN216,'분류_규칙'!$A$5:$A$76,'분류_규칙'!$L$5:$L$76,0))</x:f>
        <x:v>3</x:v>
      </x:c>
      <x:c r="M216" s="10" t="n">
        <x:f>SUM(XLOOKUP('포켓몬_편집'!$AF216:$AN216,'분류_규칙'!$A$5:$A$76,'분류_규칙'!$M$5:$M$76,0))</x:f>
        <x:v>0</x:v>
      </x:c>
      <x:c r="N216" s="10" t="n">
        <x:f>SUM(XLOOKUP('포켓몬_편집'!$AF216:$AN216,'분류_규칙'!$A$5:$A$76,'분류_규칙'!$N$5:$N$76,0))</x:f>
        <x:v>0</x:v>
      </x:c>
      <x:c r="O216" s="10" t="n">
        <x:f>SUM(XLOOKUP('포켓몬_편집'!$AF216:$AN216,'분류_규칙'!$A$5:$A$76,'분류_규칙'!$O$5:$O$76,0))</x:f>
        <x:v>2</x:v>
      </x:c>
      <x:c r="P216" s="10" t="n">
        <x:f>SUM(XLOOKUP('포켓몬_편집'!$AF216:$AN216,'분류_규칙'!$A$5:$A$76,'분류_규칙'!$P$5:$P$76,0))</x:f>
        <x:v>0</x:v>
      </x:c>
    </x:row>
    <x:row r="217" ht="22" customHeight="1">
      <x:c r="A217" s="5" t="n">
        <x:v>213</x:v>
      </x:c>
      <x:c r="B217" s="5" t="inlineStr">
        <x:is>
          <x:t xml:space="preserve">단단지</x:t>
        </x:is>
      </x:c>
      <x:c r="C217" s="5" t="inlineStr">
        <x:is>
          <x:t xml:space="preserve">shuckle</x:t>
        </x:is>
      </x:c>
      <x:c r="D217" s="5" t="n">
        <x:v>2</x:v>
      </x:c>
      <x:c r="E217" s="10" t="n">
        <x:f>SUM(XLOOKUP('포켓몬_편집'!$AF217:$AN217,'분류_규칙'!$A$5:$A$76,'분류_규칙'!$E$5:$E$76,0))</x:f>
        <x:v>10</x:v>
      </x:c>
      <x:c r="F217" s="10" t="n">
        <x:f>SUM(XLOOKUP('포켓몬_편집'!$AF217:$AN217,'분류_규칙'!$A$5:$A$76,'분류_규칙'!$F$5:$F$76,0))</x:f>
        <x:v>7</x:v>
      </x:c>
      <x:c r="G217" s="10" t="n">
        <x:f>SUM(XLOOKUP('포켓몬_편집'!$AF217:$AN217,'분류_규칙'!$A$5:$A$76,'분류_규칙'!$G$5:$G$76,0))</x:f>
        <x:v>5</x:v>
      </x:c>
      <x:c r="H217" s="10" t="n">
        <x:f>SUM(XLOOKUP('포켓몬_편집'!$AF217:$AN217,'분류_규칙'!$A$5:$A$76,'분류_규칙'!$H$5:$H$76,0))</x:f>
        <x:v>5</x:v>
      </x:c>
      <x:c r="I217" s="10" t="n">
        <x:f>SUM(XLOOKUP('포켓몬_편집'!$AF217:$AN217,'분류_규칙'!$A$5:$A$76,'분류_규칙'!$I$5:$I$76,0))</x:f>
        <x:v>0</x:v>
      </x:c>
      <x:c r="J217" s="10" t="n">
        <x:f>SUM(XLOOKUP('포켓몬_편집'!$AF217:$AN217,'분류_규칙'!$A$5:$A$76,'분류_규칙'!$J$5:$J$76,0))</x:f>
        <x:v>2</x:v>
      </x:c>
      <x:c r="K217" s="10" t="n">
        <x:f>SUM(XLOOKUP('포켓몬_편집'!$AF217:$AN217,'분류_규칙'!$A$5:$A$76,'분류_규칙'!$K$5:$K$76,0))</x:f>
        <x:v>0</x:v>
      </x:c>
      <x:c r="L217" s="10" t="n">
        <x:f>SUM(XLOOKUP('포켓몬_편집'!$AF217:$AN217,'분류_규칙'!$A$5:$A$76,'분류_규칙'!$L$5:$L$76,0))</x:f>
        <x:v>0</x:v>
      </x:c>
      <x:c r="M217" s="10" t="n">
        <x:f>SUM(XLOOKUP('포켓몬_편집'!$AF217:$AN217,'분류_규칙'!$A$5:$A$76,'분류_규칙'!$M$5:$M$76,0))</x:f>
        <x:v>0</x:v>
      </x:c>
      <x:c r="N217" s="10" t="n">
        <x:f>SUM(XLOOKUP('포켓몬_편집'!$AF217:$AN217,'분류_규칙'!$A$5:$A$76,'분류_규칙'!$N$5:$N$76,0))</x:f>
        <x:v>0</x:v>
      </x:c>
      <x:c r="O217" s="10" t="n">
        <x:f>SUM(XLOOKUP('포켓몬_편집'!$AF217:$AN217,'분류_규칙'!$A$5:$A$76,'분류_규칙'!$O$5:$O$76,0))</x:f>
        <x:v>2</x:v>
      </x:c>
      <x:c r="P217" s="10" t="n">
        <x:f>SUM(XLOOKUP('포켓몬_편집'!$AF217:$AN217,'분류_규칙'!$A$5:$A$76,'분류_규칙'!$P$5:$P$76,0))</x:f>
        <x:v>0</x:v>
      </x:c>
    </x:row>
    <x:row r="218" ht="22" customHeight="1">
      <x:c r="A218" s="5" t="n">
        <x:v>214</x:v>
      </x:c>
      <x:c r="B218" s="5" t="inlineStr">
        <x:is>
          <x:t xml:space="preserve">헤라크로스</x:t>
        </x:is>
      </x:c>
      <x:c r="C218" s="5" t="inlineStr">
        <x:is>
          <x:t xml:space="preserve">heracross</x:t>
        </x:is>
      </x:c>
      <x:c r="D218" s="5" t="n">
        <x:v>2</x:v>
      </x:c>
      <x:c r="E218" s="10" t="n">
        <x:f>SUM(XLOOKUP('포켓몬_편집'!$AF218:$AN218,'분류_규칙'!$A$5:$A$76,'분류_규칙'!$E$5:$E$76,0))</x:f>
        <x:v>8</x:v>
      </x:c>
      <x:c r="F218" s="10" t="n">
        <x:f>SUM(XLOOKUP('포켓몬_편집'!$AF218:$AN218,'분류_규칙'!$A$5:$A$76,'분류_규칙'!$F$5:$F$76,0))</x:f>
        <x:v>8</x:v>
      </x:c>
      <x:c r="G218" s="10" t="n">
        <x:f>SUM(XLOOKUP('포켓몬_편집'!$AF218:$AN218,'분류_규칙'!$A$5:$A$76,'분류_규칙'!$G$5:$G$76,0))</x:f>
        <x:v>0</x:v>
      </x:c>
      <x:c r="H218" s="10" t="n">
        <x:f>SUM(XLOOKUP('포켓몬_편집'!$AF218:$AN218,'분류_규칙'!$A$5:$A$76,'분류_규칙'!$H$5:$H$76,0))</x:f>
        <x:v>12</x:v>
      </x:c>
      <x:c r="I218" s="10" t="n">
        <x:f>SUM(XLOOKUP('포켓몬_편집'!$AF218:$AN218,'분류_규칙'!$A$5:$A$76,'분류_규칙'!$I$5:$I$76,0))</x:f>
        <x:v>0</x:v>
      </x:c>
      <x:c r="J218" s="10" t="n">
        <x:f>SUM(XLOOKUP('포켓몬_편집'!$AF218:$AN218,'분류_규칙'!$A$5:$A$76,'분류_규칙'!$J$5:$J$76,0))</x:f>
        <x:v>0</x:v>
      </x:c>
      <x:c r="K218" s="10" t="n">
        <x:f>SUM(XLOOKUP('포켓몬_편집'!$AF218:$AN218,'분류_규칙'!$A$5:$A$76,'분류_규칙'!$K$5:$K$76,0))</x:f>
        <x:v>0</x:v>
      </x:c>
      <x:c r="L218" s="10" t="n">
        <x:f>SUM(XLOOKUP('포켓몬_편집'!$AF218:$AN218,'분류_규칙'!$A$5:$A$76,'분류_규칙'!$L$5:$L$76,0))</x:f>
        <x:v>3</x:v>
      </x:c>
      <x:c r="M218" s="10" t="n">
        <x:f>SUM(XLOOKUP('포켓몬_편집'!$AF218:$AN218,'분류_규칙'!$A$5:$A$76,'분류_규칙'!$M$5:$M$76,0))</x:f>
        <x:v>0</x:v>
      </x:c>
      <x:c r="N218" s="10" t="n">
        <x:f>SUM(XLOOKUP('포켓몬_편집'!$AF218:$AN218,'분류_규칙'!$A$5:$A$76,'분류_규칙'!$N$5:$N$76,0))</x:f>
        <x:v>0</x:v>
      </x:c>
      <x:c r="O218" s="10" t="n">
        <x:f>SUM(XLOOKUP('포켓몬_편집'!$AF218:$AN218,'분류_규칙'!$A$5:$A$76,'분류_규칙'!$O$5:$O$76,0))</x:f>
        <x:v>2</x:v>
      </x:c>
      <x:c r="P218" s="10" t="n">
        <x:f>SUM(XLOOKUP('포켓몬_편집'!$AF218:$AN218,'분류_규칙'!$A$5:$A$76,'분류_규칙'!$P$5:$P$76,0))</x:f>
        <x:v>0</x:v>
      </x:c>
    </x:row>
    <x:row r="219" ht="22" customHeight="1">
      <x:c r="A219" s="5" t="n">
        <x:v>215</x:v>
      </x:c>
      <x:c r="B219" s="5" t="inlineStr">
        <x:is>
          <x:t xml:space="preserve">포푸니</x:t>
        </x:is>
      </x:c>
      <x:c r="C219" s="5" t="inlineStr">
        <x:is>
          <x:t xml:space="preserve">sneasel</x:t>
        </x:is>
      </x:c>
      <x:c r="D219" s="5" t="n">
        <x:v>2</x:v>
      </x:c>
      <x:c r="E219" s="10" t="n">
        <x:f>SUM(XLOOKUP('포켓몬_편집'!$AF219:$AN219,'분류_규칙'!$A$5:$A$76,'분류_규칙'!$E$5:$E$76,0))</x:f>
        <x:v>10</x:v>
      </x:c>
      <x:c r="F219" s="10" t="n">
        <x:f>SUM(XLOOKUP('포켓몬_편집'!$AF219:$AN219,'분류_규칙'!$A$5:$A$76,'분류_규칙'!$F$5:$F$76,0))</x:f>
        <x:v>7</x:v>
      </x:c>
      <x:c r="G219" s="10" t="n">
        <x:f>SUM(XLOOKUP('포켓몬_편집'!$AF219:$AN219,'분류_규칙'!$A$5:$A$76,'분류_규칙'!$G$5:$G$76,0))</x:f>
        <x:v>5</x:v>
      </x:c>
      <x:c r="H219" s="10" t="n">
        <x:f>SUM(XLOOKUP('포켓몬_편집'!$AF219:$AN219,'분류_규칙'!$A$5:$A$76,'분류_규칙'!$H$5:$H$76,0))</x:f>
        <x:v>5</x:v>
      </x:c>
      <x:c r="I219" s="10" t="n">
        <x:f>SUM(XLOOKUP('포켓몬_편집'!$AF219:$AN219,'분류_규칙'!$A$5:$A$76,'분류_규칙'!$I$5:$I$76,0))</x:f>
        <x:v>0</x:v>
      </x:c>
      <x:c r="J219" s="10" t="n">
        <x:f>SUM(XLOOKUP('포켓몬_편집'!$AF219:$AN219,'분류_규칙'!$A$5:$A$76,'분류_규칙'!$J$5:$J$76,0))</x:f>
        <x:v>2</x:v>
      </x:c>
      <x:c r="K219" s="10" t="n">
        <x:f>SUM(XLOOKUP('포켓몬_편집'!$AF219:$AN219,'분류_규칙'!$A$5:$A$76,'분류_규칙'!$K$5:$K$76,0))</x:f>
        <x:v>0</x:v>
      </x:c>
      <x:c r="L219" s="10" t="n">
        <x:f>SUM(XLOOKUP('포켓몬_편집'!$AF219:$AN219,'분류_규칙'!$A$5:$A$76,'분류_규칙'!$L$5:$L$76,0))</x:f>
        <x:v>0</x:v>
      </x:c>
      <x:c r="M219" s="10" t="n">
        <x:f>SUM(XLOOKUP('포켓몬_편집'!$AF219:$AN219,'분류_규칙'!$A$5:$A$76,'분류_규칙'!$M$5:$M$76,0))</x:f>
        <x:v>0</x:v>
      </x:c>
      <x:c r="N219" s="10" t="n">
        <x:f>SUM(XLOOKUP('포켓몬_편집'!$AF219:$AN219,'분류_규칙'!$A$5:$A$76,'분류_규칙'!$N$5:$N$76,0))</x:f>
        <x:v>0</x:v>
      </x:c>
      <x:c r="O219" s="10" t="n">
        <x:f>SUM(XLOOKUP('포켓몬_편집'!$AF219:$AN219,'분류_규칙'!$A$5:$A$76,'분류_규칙'!$O$5:$O$76,0))</x:f>
        <x:v>2</x:v>
      </x:c>
      <x:c r="P219" s="10" t="n">
        <x:f>SUM(XLOOKUP('포켓몬_편집'!$AF219:$AN219,'분류_규칙'!$A$5:$A$76,'분류_규칙'!$P$5:$P$76,0))</x:f>
        <x:v>0</x:v>
      </x:c>
    </x:row>
    <x:row r="220" ht="22" customHeight="1">
      <x:c r="A220" s="5" t="n">
        <x:v>216</x:v>
      </x:c>
      <x:c r="B220" s="5" t="inlineStr">
        <x:is>
          <x:t xml:space="preserve">깜지곰</x:t>
        </x:is>
      </x:c>
      <x:c r="C220" s="5" t="inlineStr">
        <x:is>
          <x:t xml:space="preserve">teddiursa</x:t>
        </x:is>
      </x:c>
      <x:c r="D220" s="5" t="n">
        <x:v>2</x:v>
      </x:c>
      <x:c r="E220" s="10" t="n">
        <x:f>SUM(XLOOKUP('포켓몬_편집'!$AF220:$AN220,'분류_규칙'!$A$5:$A$76,'분류_규칙'!$E$5:$E$76,0))</x:f>
        <x:v>10</x:v>
      </x:c>
      <x:c r="F220" s="10" t="n">
        <x:f>SUM(XLOOKUP('포켓몬_편집'!$AF220:$AN220,'분류_규칙'!$A$5:$A$76,'분류_규칙'!$F$5:$F$76,0))</x:f>
        <x:v>7</x:v>
      </x:c>
      <x:c r="G220" s="10" t="n">
        <x:f>SUM(XLOOKUP('포켓몬_편집'!$AF220:$AN220,'분류_규칙'!$A$5:$A$76,'분류_규칙'!$G$5:$G$76,0))</x:f>
        <x:v>5</x:v>
      </x:c>
      <x:c r="H220" s="10" t="n">
        <x:f>SUM(XLOOKUP('포켓몬_편집'!$AF220:$AN220,'분류_규칙'!$A$5:$A$76,'분류_규칙'!$H$5:$H$76,0))</x:f>
        <x:v>5</x:v>
      </x:c>
      <x:c r="I220" s="10" t="n">
        <x:f>SUM(XLOOKUP('포켓몬_편집'!$AF220:$AN220,'분류_규칙'!$A$5:$A$76,'분류_규칙'!$I$5:$I$76,0))</x:f>
        <x:v>0</x:v>
      </x:c>
      <x:c r="J220" s="10" t="n">
        <x:f>SUM(XLOOKUP('포켓몬_편집'!$AF220:$AN220,'분류_규칙'!$A$5:$A$76,'분류_규칙'!$J$5:$J$76,0))</x:f>
        <x:v>2</x:v>
      </x:c>
      <x:c r="K220" s="10" t="n">
        <x:f>SUM(XLOOKUP('포켓몬_편집'!$AF220:$AN220,'분류_규칙'!$A$5:$A$76,'분류_규칙'!$K$5:$K$76,0))</x:f>
        <x:v>0</x:v>
      </x:c>
      <x:c r="L220" s="10" t="n">
        <x:f>SUM(XLOOKUP('포켓몬_편집'!$AF220:$AN220,'분류_규칙'!$A$5:$A$76,'분류_규칙'!$L$5:$L$76,0))</x:f>
        <x:v>0</x:v>
      </x:c>
      <x:c r="M220" s="10" t="n">
        <x:f>SUM(XLOOKUP('포켓몬_편집'!$AF220:$AN220,'분류_규칙'!$A$5:$A$76,'분류_규칙'!$M$5:$M$76,0))</x:f>
        <x:v>0</x:v>
      </x:c>
      <x:c r="N220" s="10" t="n">
        <x:f>SUM(XLOOKUP('포켓몬_편집'!$AF220:$AN220,'분류_규칙'!$A$5:$A$76,'분류_규칙'!$N$5:$N$76,0))</x:f>
        <x:v>0</x:v>
      </x:c>
      <x:c r="O220" s="10" t="n">
        <x:f>SUM(XLOOKUP('포켓몬_편집'!$AF220:$AN220,'분류_규칙'!$A$5:$A$76,'분류_규칙'!$O$5:$O$76,0))</x:f>
        <x:v>2</x:v>
      </x:c>
      <x:c r="P220" s="10" t="n">
        <x:f>SUM(XLOOKUP('포켓몬_편집'!$AF220:$AN220,'분류_규칙'!$A$5:$A$76,'분류_규칙'!$P$5:$P$76,0))</x:f>
        <x:v>0</x:v>
      </x:c>
    </x:row>
    <x:row r="221" ht="22" customHeight="1">
      <x:c r="A221" s="5" t="n">
        <x:v>217</x:v>
      </x:c>
      <x:c r="B221" s="5" t="inlineStr">
        <x:is>
          <x:t xml:space="preserve">링곰</x:t>
        </x:is>
      </x:c>
      <x:c r="C221" s="5" t="inlineStr">
        <x:is>
          <x:t xml:space="preserve">ursaring</x:t>
        </x:is>
      </x:c>
      <x:c r="D221" s="5" t="n">
        <x:v>2</x:v>
      </x:c>
      <x:c r="E221" s="10" t="n">
        <x:f>SUM(XLOOKUP('포켓몬_편집'!$AF221:$AN221,'분류_규칙'!$A$5:$A$76,'분류_규칙'!$E$5:$E$76,0))</x:f>
        <x:v>10</x:v>
      </x:c>
      <x:c r="F221" s="10" t="n">
        <x:f>SUM(XLOOKUP('포켓몬_편집'!$AF221:$AN221,'분류_규칙'!$A$5:$A$76,'분류_규칙'!$F$5:$F$76,0))</x:f>
        <x:v>7</x:v>
      </x:c>
      <x:c r="G221" s="10" t="n">
        <x:f>SUM(XLOOKUP('포켓몬_편집'!$AF221:$AN221,'분류_규칙'!$A$5:$A$76,'분류_규칙'!$G$5:$G$76,0))</x:f>
        <x:v>5</x:v>
      </x:c>
      <x:c r="H221" s="10" t="n">
        <x:f>SUM(XLOOKUP('포켓몬_편집'!$AF221:$AN221,'분류_규칙'!$A$5:$A$76,'분류_규칙'!$H$5:$H$76,0))</x:f>
        <x:v>5</x:v>
      </x:c>
      <x:c r="I221" s="10" t="n">
        <x:f>SUM(XLOOKUP('포켓몬_편집'!$AF221:$AN221,'분류_규칙'!$A$5:$A$76,'분류_규칙'!$I$5:$I$76,0))</x:f>
        <x:v>0</x:v>
      </x:c>
      <x:c r="J221" s="10" t="n">
        <x:f>SUM(XLOOKUP('포켓몬_편집'!$AF221:$AN221,'분류_규칙'!$A$5:$A$76,'분류_규칙'!$J$5:$J$76,0))</x:f>
        <x:v>2</x:v>
      </x:c>
      <x:c r="K221" s="10" t="n">
        <x:f>SUM(XLOOKUP('포켓몬_편집'!$AF221:$AN221,'분류_규칙'!$A$5:$A$76,'분류_규칙'!$K$5:$K$76,0))</x:f>
        <x:v>0</x:v>
      </x:c>
      <x:c r="L221" s="10" t="n">
        <x:f>SUM(XLOOKUP('포켓몬_편집'!$AF221:$AN221,'분류_규칙'!$A$5:$A$76,'분류_규칙'!$L$5:$L$76,0))</x:f>
        <x:v>0</x:v>
      </x:c>
      <x:c r="M221" s="10" t="n">
        <x:f>SUM(XLOOKUP('포켓몬_편집'!$AF221:$AN221,'분류_규칙'!$A$5:$A$76,'분류_규칙'!$M$5:$M$76,0))</x:f>
        <x:v>0</x:v>
      </x:c>
      <x:c r="N221" s="10" t="n">
        <x:f>SUM(XLOOKUP('포켓몬_편집'!$AF221:$AN221,'분류_규칙'!$A$5:$A$76,'분류_규칙'!$N$5:$N$76,0))</x:f>
        <x:v>0</x:v>
      </x:c>
      <x:c r="O221" s="10" t="n">
        <x:f>SUM(XLOOKUP('포켓몬_편집'!$AF221:$AN221,'분류_규칙'!$A$5:$A$76,'분류_규칙'!$O$5:$O$76,0))</x:f>
        <x:v>2</x:v>
      </x:c>
      <x:c r="P221" s="10" t="n">
        <x:f>SUM(XLOOKUP('포켓몬_편집'!$AF221:$AN221,'분류_규칙'!$A$5:$A$76,'분류_규칙'!$P$5:$P$76,0))</x:f>
        <x:v>0</x:v>
      </x:c>
    </x:row>
    <x:row r="222" ht="22" customHeight="1">
      <x:c r="A222" s="5" t="n">
        <x:v>218</x:v>
      </x:c>
      <x:c r="B222" s="5" t="inlineStr">
        <x:is>
          <x:t xml:space="preserve">마그마그</x:t>
        </x:is>
      </x:c>
      <x:c r="C222" s="5" t="inlineStr">
        <x:is>
          <x:t xml:space="preserve">slugma</x:t>
        </x:is>
      </x:c>
      <x:c r="D222" s="5" t="n">
        <x:v>2</x:v>
      </x:c>
      <x:c r="E222" s="10" t="n">
        <x:f>SUM(XLOOKUP('포켓몬_편집'!$AF222:$AN222,'분류_규칙'!$A$5:$A$76,'분류_규칙'!$E$5:$E$76,0))</x:f>
        <x:v>10</x:v>
      </x:c>
      <x:c r="F222" s="10" t="n">
        <x:f>SUM(XLOOKUP('포켓몬_편집'!$AF222:$AN222,'분류_규칙'!$A$5:$A$76,'분류_규칙'!$F$5:$F$76,0))</x:f>
        <x:v>7</x:v>
      </x:c>
      <x:c r="G222" s="10" t="n">
        <x:f>SUM(XLOOKUP('포켓몬_편집'!$AF222:$AN222,'분류_규칙'!$A$5:$A$76,'분류_규칙'!$G$5:$G$76,0))</x:f>
        <x:v>5</x:v>
      </x:c>
      <x:c r="H222" s="10" t="n">
        <x:f>SUM(XLOOKUP('포켓몬_편집'!$AF222:$AN222,'분류_규칙'!$A$5:$A$76,'분류_규칙'!$H$5:$H$76,0))</x:f>
        <x:v>5</x:v>
      </x:c>
      <x:c r="I222" s="10" t="n">
        <x:f>SUM(XLOOKUP('포켓몬_편집'!$AF222:$AN222,'분류_규칙'!$A$5:$A$76,'분류_규칙'!$I$5:$I$76,0))</x:f>
        <x:v>0</x:v>
      </x:c>
      <x:c r="J222" s="10" t="n">
        <x:f>SUM(XLOOKUP('포켓몬_편집'!$AF222:$AN222,'분류_규칙'!$A$5:$A$76,'분류_규칙'!$J$5:$J$76,0))</x:f>
        <x:v>2</x:v>
      </x:c>
      <x:c r="K222" s="10" t="n">
        <x:f>SUM(XLOOKUP('포켓몬_편집'!$AF222:$AN222,'분류_규칙'!$A$5:$A$76,'분류_규칙'!$K$5:$K$76,0))</x:f>
        <x:v>0</x:v>
      </x:c>
      <x:c r="L222" s="10" t="n">
        <x:f>SUM(XLOOKUP('포켓몬_편집'!$AF222:$AN222,'분류_규칙'!$A$5:$A$76,'분류_규칙'!$L$5:$L$76,0))</x:f>
        <x:v>0</x:v>
      </x:c>
      <x:c r="M222" s="10" t="n">
        <x:f>SUM(XLOOKUP('포켓몬_편집'!$AF222:$AN222,'분류_규칙'!$A$5:$A$76,'분류_규칙'!$M$5:$M$76,0))</x:f>
        <x:v>0</x:v>
      </x:c>
      <x:c r="N222" s="10" t="n">
        <x:f>SUM(XLOOKUP('포켓몬_편집'!$AF222:$AN222,'분류_규칙'!$A$5:$A$76,'분류_규칙'!$N$5:$N$76,0))</x:f>
        <x:v>0</x:v>
      </x:c>
      <x:c r="O222" s="10" t="n">
        <x:f>SUM(XLOOKUP('포켓몬_편집'!$AF222:$AN222,'분류_규칙'!$A$5:$A$76,'분류_규칙'!$O$5:$O$76,0))</x:f>
        <x:v>2</x:v>
      </x:c>
      <x:c r="P222" s="10" t="n">
        <x:f>SUM(XLOOKUP('포켓몬_편집'!$AF222:$AN222,'분류_규칙'!$A$5:$A$76,'분류_규칙'!$P$5:$P$76,0))</x:f>
        <x:v>0</x:v>
      </x:c>
    </x:row>
    <x:row r="223" ht="22" customHeight="1">
      <x:c r="A223" s="5" t="n">
        <x:v>219</x:v>
      </x:c>
      <x:c r="B223" s="5" t="inlineStr">
        <x:is>
          <x:t xml:space="preserve">마그카르고</x:t>
        </x:is>
      </x:c>
      <x:c r="C223" s="5" t="inlineStr">
        <x:is>
          <x:t xml:space="preserve">magcargo</x:t>
        </x:is>
      </x:c>
      <x:c r="D223" s="5" t="n">
        <x:v>2</x:v>
      </x:c>
      <x:c r="E223" s="10" t="n">
        <x:f>SUM(XLOOKUP('포켓몬_편집'!$AF223:$AN223,'분류_규칙'!$A$5:$A$76,'분류_규칙'!$E$5:$E$76,0))</x:f>
        <x:v>10</x:v>
      </x:c>
      <x:c r="F223" s="10" t="n">
        <x:f>SUM(XLOOKUP('포켓몬_편집'!$AF223:$AN223,'분류_규칙'!$A$5:$A$76,'분류_규칙'!$F$5:$F$76,0))</x:f>
        <x:v>7</x:v>
      </x:c>
      <x:c r="G223" s="10" t="n">
        <x:f>SUM(XLOOKUP('포켓몬_편집'!$AF223:$AN223,'분류_규칙'!$A$5:$A$76,'분류_규칙'!$G$5:$G$76,0))</x:f>
        <x:v>5</x:v>
      </x:c>
      <x:c r="H223" s="10" t="n">
        <x:f>SUM(XLOOKUP('포켓몬_편집'!$AF223:$AN223,'분류_규칙'!$A$5:$A$76,'분류_규칙'!$H$5:$H$76,0))</x:f>
        <x:v>5</x:v>
      </x:c>
      <x:c r="I223" s="10" t="n">
        <x:f>SUM(XLOOKUP('포켓몬_편집'!$AF223:$AN223,'분류_규칙'!$A$5:$A$76,'분류_규칙'!$I$5:$I$76,0))</x:f>
        <x:v>0</x:v>
      </x:c>
      <x:c r="J223" s="10" t="n">
        <x:f>SUM(XLOOKUP('포켓몬_편집'!$AF223:$AN223,'분류_규칙'!$A$5:$A$76,'분류_규칙'!$J$5:$J$76,0))</x:f>
        <x:v>2</x:v>
      </x:c>
      <x:c r="K223" s="10" t="n">
        <x:f>SUM(XLOOKUP('포켓몬_편집'!$AF223:$AN223,'분류_규칙'!$A$5:$A$76,'분류_규칙'!$K$5:$K$76,0))</x:f>
        <x:v>0</x:v>
      </x:c>
      <x:c r="L223" s="10" t="n">
        <x:f>SUM(XLOOKUP('포켓몬_편집'!$AF223:$AN223,'분류_규칙'!$A$5:$A$76,'분류_규칙'!$L$5:$L$76,0))</x:f>
        <x:v>0</x:v>
      </x:c>
      <x:c r="M223" s="10" t="n">
        <x:f>SUM(XLOOKUP('포켓몬_편집'!$AF223:$AN223,'분류_규칙'!$A$5:$A$76,'분류_규칙'!$M$5:$M$76,0))</x:f>
        <x:v>0</x:v>
      </x:c>
      <x:c r="N223" s="10" t="n">
        <x:f>SUM(XLOOKUP('포켓몬_편집'!$AF223:$AN223,'분류_규칙'!$A$5:$A$76,'분류_규칙'!$N$5:$N$76,0))</x:f>
        <x:v>0</x:v>
      </x:c>
      <x:c r="O223" s="10" t="n">
        <x:f>SUM(XLOOKUP('포켓몬_편집'!$AF223:$AN223,'분류_규칙'!$A$5:$A$76,'분류_규칙'!$O$5:$O$76,0))</x:f>
        <x:v>2</x:v>
      </x:c>
      <x:c r="P223" s="10" t="n">
        <x:f>SUM(XLOOKUP('포켓몬_편집'!$AF223:$AN223,'분류_규칙'!$A$5:$A$76,'분류_규칙'!$P$5:$P$76,0))</x:f>
        <x:v>0</x:v>
      </x:c>
    </x:row>
    <x:row r="224" ht="22" customHeight="1">
      <x:c r="A224" s="5" t="n">
        <x:v>220</x:v>
      </x:c>
      <x:c r="B224" s="5" t="inlineStr">
        <x:is>
          <x:t xml:space="preserve">꾸꾸리</x:t>
        </x:is>
      </x:c>
      <x:c r="C224" s="5" t="inlineStr">
        <x:is>
          <x:t xml:space="preserve">swinub</x:t>
        </x:is>
      </x:c>
      <x:c r="D224" s="5" t="n">
        <x:v>2</x:v>
      </x:c>
      <x:c r="E224" s="10" t="n">
        <x:f>SUM(XLOOKUP('포켓몬_편집'!$AF224:$AN224,'분류_규칙'!$A$5:$A$76,'분류_규칙'!$E$5:$E$76,0))</x:f>
        <x:v>10</x:v>
      </x:c>
      <x:c r="F224" s="10" t="n">
        <x:f>SUM(XLOOKUP('포켓몬_편집'!$AF224:$AN224,'분류_규칙'!$A$5:$A$76,'분류_규칙'!$F$5:$F$76,0))</x:f>
        <x:v>7</x:v>
      </x:c>
      <x:c r="G224" s="10" t="n">
        <x:f>SUM(XLOOKUP('포켓몬_편집'!$AF224:$AN224,'분류_규칙'!$A$5:$A$76,'분류_규칙'!$G$5:$G$76,0))</x:f>
        <x:v>5</x:v>
      </x:c>
      <x:c r="H224" s="10" t="n">
        <x:f>SUM(XLOOKUP('포켓몬_편집'!$AF224:$AN224,'분류_규칙'!$A$5:$A$76,'분류_규칙'!$H$5:$H$76,0))</x:f>
        <x:v>5</x:v>
      </x:c>
      <x:c r="I224" s="10" t="n">
        <x:f>SUM(XLOOKUP('포켓몬_편집'!$AF224:$AN224,'분류_규칙'!$A$5:$A$76,'분류_규칙'!$I$5:$I$76,0))</x:f>
        <x:v>0</x:v>
      </x:c>
      <x:c r="J224" s="10" t="n">
        <x:f>SUM(XLOOKUP('포켓몬_편집'!$AF224:$AN224,'분류_규칙'!$A$5:$A$76,'분류_규칙'!$J$5:$J$76,0))</x:f>
        <x:v>2</x:v>
      </x:c>
      <x:c r="K224" s="10" t="n">
        <x:f>SUM(XLOOKUP('포켓몬_편집'!$AF224:$AN224,'분류_규칙'!$A$5:$A$76,'분류_규칙'!$K$5:$K$76,0))</x:f>
        <x:v>0</x:v>
      </x:c>
      <x:c r="L224" s="10" t="n">
        <x:f>SUM(XLOOKUP('포켓몬_편집'!$AF224:$AN224,'분류_규칙'!$A$5:$A$76,'분류_규칙'!$L$5:$L$76,0))</x:f>
        <x:v>0</x:v>
      </x:c>
      <x:c r="M224" s="10" t="n">
        <x:f>SUM(XLOOKUP('포켓몬_편집'!$AF224:$AN224,'분류_규칙'!$A$5:$A$76,'분류_규칙'!$M$5:$M$76,0))</x:f>
        <x:v>0</x:v>
      </x:c>
      <x:c r="N224" s="10" t="n">
        <x:f>SUM(XLOOKUP('포켓몬_편집'!$AF224:$AN224,'분류_규칙'!$A$5:$A$76,'분류_규칙'!$N$5:$N$76,0))</x:f>
        <x:v>0</x:v>
      </x:c>
      <x:c r="O224" s="10" t="n">
        <x:f>SUM(XLOOKUP('포켓몬_편집'!$AF224:$AN224,'분류_규칙'!$A$5:$A$76,'분류_규칙'!$O$5:$O$76,0))</x:f>
        <x:v>2</x:v>
      </x:c>
      <x:c r="P224" s="10" t="n">
        <x:f>SUM(XLOOKUP('포켓몬_편집'!$AF224:$AN224,'분류_규칙'!$A$5:$A$76,'분류_규칙'!$P$5:$P$76,0))</x:f>
        <x:v>0</x:v>
      </x:c>
    </x:row>
    <x:row r="225" ht="22" customHeight="1">
      <x:c r="A225" s="5" t="n">
        <x:v>221</x:v>
      </x:c>
      <x:c r="B225" s="5" t="inlineStr">
        <x:is>
          <x:t xml:space="preserve">메꾸리</x:t>
        </x:is>
      </x:c>
      <x:c r="C225" s="5" t="inlineStr">
        <x:is>
          <x:t xml:space="preserve">piloswine</x:t>
        </x:is>
      </x:c>
      <x:c r="D225" s="5" t="n">
        <x:v>2</x:v>
      </x:c>
      <x:c r="E225" s="10" t="n">
        <x:f>SUM(XLOOKUP('포켓몬_편집'!$AF225:$AN225,'분류_규칙'!$A$5:$A$76,'분류_규칙'!$E$5:$E$76,0))</x:f>
        <x:v>10</x:v>
      </x:c>
      <x:c r="F225" s="10" t="n">
        <x:f>SUM(XLOOKUP('포켓몬_편집'!$AF225:$AN225,'분류_규칙'!$A$5:$A$76,'분류_규칙'!$F$5:$F$76,0))</x:f>
        <x:v>7</x:v>
      </x:c>
      <x:c r="G225" s="10" t="n">
        <x:f>SUM(XLOOKUP('포켓몬_편집'!$AF225:$AN225,'분류_규칙'!$A$5:$A$76,'분류_규칙'!$G$5:$G$76,0))</x:f>
        <x:v>5</x:v>
      </x:c>
      <x:c r="H225" s="10" t="n">
        <x:f>SUM(XLOOKUP('포켓몬_편집'!$AF225:$AN225,'분류_규칙'!$A$5:$A$76,'분류_규칙'!$H$5:$H$76,0))</x:f>
        <x:v>5</x:v>
      </x:c>
      <x:c r="I225" s="10" t="n">
        <x:f>SUM(XLOOKUP('포켓몬_편집'!$AF225:$AN225,'분류_규칙'!$A$5:$A$76,'분류_규칙'!$I$5:$I$76,0))</x:f>
        <x:v>0</x:v>
      </x:c>
      <x:c r="J225" s="10" t="n">
        <x:f>SUM(XLOOKUP('포켓몬_편집'!$AF225:$AN225,'분류_규칙'!$A$5:$A$76,'분류_규칙'!$J$5:$J$76,0))</x:f>
        <x:v>2</x:v>
      </x:c>
      <x:c r="K225" s="10" t="n">
        <x:f>SUM(XLOOKUP('포켓몬_편집'!$AF225:$AN225,'분류_규칙'!$A$5:$A$76,'분류_규칙'!$K$5:$K$76,0))</x:f>
        <x:v>0</x:v>
      </x:c>
      <x:c r="L225" s="10" t="n">
        <x:f>SUM(XLOOKUP('포켓몬_편집'!$AF225:$AN225,'분류_규칙'!$A$5:$A$76,'분류_규칙'!$L$5:$L$76,0))</x:f>
        <x:v>0</x:v>
      </x:c>
      <x:c r="M225" s="10" t="n">
        <x:f>SUM(XLOOKUP('포켓몬_편집'!$AF225:$AN225,'분류_규칙'!$A$5:$A$76,'분류_규칙'!$M$5:$M$76,0))</x:f>
        <x:v>0</x:v>
      </x:c>
      <x:c r="N225" s="10" t="n">
        <x:f>SUM(XLOOKUP('포켓몬_편집'!$AF225:$AN225,'분류_규칙'!$A$5:$A$76,'분류_규칙'!$N$5:$N$76,0))</x:f>
        <x:v>0</x:v>
      </x:c>
      <x:c r="O225" s="10" t="n">
        <x:f>SUM(XLOOKUP('포켓몬_편집'!$AF225:$AN225,'분류_규칙'!$A$5:$A$76,'분류_규칙'!$O$5:$O$76,0))</x:f>
        <x:v>2</x:v>
      </x:c>
      <x:c r="P225" s="10" t="n">
        <x:f>SUM(XLOOKUP('포켓몬_편집'!$AF225:$AN225,'분류_규칙'!$A$5:$A$76,'분류_규칙'!$P$5:$P$76,0))</x:f>
        <x:v>0</x:v>
      </x:c>
    </x:row>
    <x:row r="226" ht="22" customHeight="1">
      <x:c r="A226" s="5" t="n">
        <x:v>222</x:v>
      </x:c>
      <x:c r="B226" s="5" t="inlineStr">
        <x:is>
          <x:t xml:space="preserve">코산호</x:t>
        </x:is>
      </x:c>
      <x:c r="C226" s="5" t="inlineStr">
        <x:is>
          <x:t xml:space="preserve">corsola</x:t>
        </x:is>
      </x:c>
      <x:c r="D226" s="5" t="n">
        <x:v>2</x:v>
      </x:c>
      <x:c r="E226" s="10" t="n">
        <x:f>SUM(XLOOKUP('포켓몬_편집'!$AF226:$AN226,'분류_규칙'!$A$5:$A$76,'분류_규칙'!$E$5:$E$76,0))</x:f>
        <x:v>0</x:v>
      </x:c>
      <x:c r="F226" s="10" t="n">
        <x:f>SUM(XLOOKUP('포켓몬_편집'!$AF226:$AN226,'분류_규칙'!$A$5:$A$76,'분류_규칙'!$F$5:$F$76,0))</x:f>
        <x:v>0</x:v>
      </x:c>
      <x:c r="G226" s="10" t="n">
        <x:f>SUM(XLOOKUP('포켓몬_편집'!$AF226:$AN226,'분류_규칙'!$A$5:$A$76,'분류_규칙'!$G$5:$G$76,0))</x:f>
        <x:v>0</x:v>
      </x:c>
      <x:c r="H226" s="10" t="n">
        <x:f>SUM(XLOOKUP('포켓몬_편집'!$AF226:$AN226,'분류_규칙'!$A$5:$A$76,'분류_규칙'!$H$5:$H$76,0))</x:f>
        <x:v>0</x:v>
      </x:c>
      <x:c r="I226" s="10" t="n">
        <x:f>SUM(XLOOKUP('포켓몬_편집'!$AF226:$AN226,'분류_규칙'!$A$5:$A$76,'분류_규칙'!$I$5:$I$76,0))</x:f>
        <x:v>0</x:v>
      </x:c>
      <x:c r="J226" s="10" t="n">
        <x:f>SUM(XLOOKUP('포켓몬_편집'!$AF226:$AN226,'분류_규칙'!$A$5:$A$76,'분류_규칙'!$J$5:$J$76,0))</x:f>
        <x:v>3</x:v>
      </x:c>
      <x:c r="K226" s="10" t="n">
        <x:f>SUM(XLOOKUP('포켓몬_편집'!$AF226:$AN226,'분류_규칙'!$A$5:$A$76,'분류_규칙'!$K$5:$K$76,0))</x:f>
        <x:v>0</x:v>
      </x:c>
      <x:c r="L226" s="10" t="n">
        <x:f>SUM(XLOOKUP('포켓몬_편집'!$AF226:$AN226,'분류_규칙'!$A$5:$A$76,'분류_규칙'!$L$5:$L$76,0))</x:f>
        <x:v>30</x:v>
      </x:c>
      <x:c r="M226" s="10" t="n">
        <x:f>SUM(XLOOKUP('포켓몬_편집'!$AF226:$AN226,'분류_규칙'!$A$5:$A$76,'분류_규칙'!$M$5:$M$76,0))</x:f>
        <x:v>0</x:v>
      </x:c>
      <x:c r="N226" s="10" t="n">
        <x:f>SUM(XLOOKUP('포켓몬_편집'!$AF226:$AN226,'분류_규칙'!$A$5:$A$76,'분류_규칙'!$N$5:$N$76,0))</x:f>
        <x:v>0</x:v>
      </x:c>
      <x:c r="O226" s="10" t="n">
        <x:f>SUM(XLOOKUP('포켓몬_편집'!$AF226:$AN226,'분류_규칙'!$A$5:$A$76,'분류_규칙'!$O$5:$O$76,0))</x:f>
        <x:v>0</x:v>
      </x:c>
      <x:c r="P226" s="10" t="n">
        <x:f>SUM(XLOOKUP('포켓몬_편집'!$AF226:$AN226,'분류_규칙'!$A$5:$A$76,'분류_규칙'!$P$5:$P$76,0))</x:f>
        <x:v>0</x:v>
      </x:c>
    </x:row>
    <x:row r="227" ht="22" customHeight="1">
      <x:c r="A227" s="5" t="n">
        <x:v>223</x:v>
      </x:c>
      <x:c r="B227" s="5" t="inlineStr">
        <x:is>
          <x:t xml:space="preserve">총어</x:t>
        </x:is>
      </x:c>
      <x:c r="C227" s="5" t="inlineStr">
        <x:is>
          <x:t xml:space="preserve">remoraid</x:t>
        </x:is>
      </x:c>
      <x:c r="D227" s="5" t="n">
        <x:v>2</x:v>
      </x:c>
      <x:c r="E227" s="10" t="n">
        <x:f>SUM(XLOOKUP('포켓몬_편집'!$AF227:$AN227,'분류_규칙'!$A$5:$A$76,'분류_규칙'!$E$5:$E$76,0))</x:f>
        <x:v>0</x:v>
      </x:c>
      <x:c r="F227" s="10" t="n">
        <x:f>SUM(XLOOKUP('포켓몬_편집'!$AF227:$AN227,'분류_규칙'!$A$5:$A$76,'분류_규칙'!$F$5:$F$76,0))</x:f>
        <x:v>0</x:v>
      </x:c>
      <x:c r="G227" s="10" t="n">
        <x:f>SUM(XLOOKUP('포켓몬_편집'!$AF227:$AN227,'분류_규칙'!$A$5:$A$76,'분류_규칙'!$G$5:$G$76,0))</x:f>
        <x:v>0</x:v>
      </x:c>
      <x:c r="H227" s="10" t="n">
        <x:f>SUM(XLOOKUP('포켓몬_편집'!$AF227:$AN227,'분류_규칙'!$A$5:$A$76,'분류_규칙'!$H$5:$H$76,0))</x:f>
        <x:v>0</x:v>
      </x:c>
      <x:c r="I227" s="10" t="n">
        <x:f>SUM(XLOOKUP('포켓몬_편집'!$AF227:$AN227,'분류_규칙'!$A$5:$A$76,'분류_규칙'!$I$5:$I$76,0))</x:f>
        <x:v>0</x:v>
      </x:c>
      <x:c r="J227" s="10" t="n">
        <x:f>SUM(XLOOKUP('포켓몬_편집'!$AF227:$AN227,'분류_규칙'!$A$5:$A$76,'분류_규칙'!$J$5:$J$76,0))</x:f>
        <x:v>3</x:v>
      </x:c>
      <x:c r="K227" s="10" t="n">
        <x:f>SUM(XLOOKUP('포켓몬_편집'!$AF227:$AN227,'분류_규칙'!$A$5:$A$76,'분류_규칙'!$K$5:$K$76,0))</x:f>
        <x:v>0</x:v>
      </x:c>
      <x:c r="L227" s="10" t="n">
        <x:f>SUM(XLOOKUP('포켓몬_편집'!$AF227:$AN227,'분류_규칙'!$A$5:$A$76,'분류_규칙'!$L$5:$L$76,0))</x:f>
        <x:v>30</x:v>
      </x:c>
      <x:c r="M227" s="10" t="n">
        <x:f>SUM(XLOOKUP('포켓몬_편집'!$AF227:$AN227,'분류_규칙'!$A$5:$A$76,'분류_규칙'!$M$5:$M$76,0))</x:f>
        <x:v>0</x:v>
      </x:c>
      <x:c r="N227" s="10" t="n">
        <x:f>SUM(XLOOKUP('포켓몬_편집'!$AF227:$AN227,'분류_규칙'!$A$5:$A$76,'분류_규칙'!$N$5:$N$76,0))</x:f>
        <x:v>0</x:v>
      </x:c>
      <x:c r="O227" s="10" t="n">
        <x:f>SUM(XLOOKUP('포켓몬_편집'!$AF227:$AN227,'분류_규칙'!$A$5:$A$76,'분류_규칙'!$O$5:$O$76,0))</x:f>
        <x:v>0</x:v>
      </x:c>
      <x:c r="P227" s="10" t="n">
        <x:f>SUM(XLOOKUP('포켓몬_편집'!$AF227:$AN227,'분류_규칙'!$A$5:$A$76,'분류_규칙'!$P$5:$P$76,0))</x:f>
        <x:v>0</x:v>
      </x:c>
    </x:row>
    <x:row r="228" ht="22" customHeight="1">
      <x:c r="A228" s="5" t="n">
        <x:v>224</x:v>
      </x:c>
      <x:c r="B228" s="5" t="inlineStr">
        <x:is>
          <x:t xml:space="preserve">대포무노</x:t>
        </x:is>
      </x:c>
      <x:c r="C228" s="5" t="inlineStr">
        <x:is>
          <x:t xml:space="preserve">octillery</x:t>
        </x:is>
      </x:c>
      <x:c r="D228" s="5" t="n">
        <x:v>2</x:v>
      </x:c>
      <x:c r="E228" s="10" t="n">
        <x:f>SUM(XLOOKUP('포켓몬_편집'!$AF228:$AN228,'분류_규칙'!$A$5:$A$76,'분류_규칙'!$E$5:$E$76,0))</x:f>
        <x:v>0</x:v>
      </x:c>
      <x:c r="F228" s="10" t="n">
        <x:f>SUM(XLOOKUP('포켓몬_편집'!$AF228:$AN228,'분류_규칙'!$A$5:$A$76,'분류_규칙'!$F$5:$F$76,0))</x:f>
        <x:v>0</x:v>
      </x:c>
      <x:c r="G228" s="10" t="n">
        <x:f>SUM(XLOOKUP('포켓몬_편집'!$AF228:$AN228,'분류_규칙'!$A$5:$A$76,'분류_규칙'!$G$5:$G$76,0))</x:f>
        <x:v>0</x:v>
      </x:c>
      <x:c r="H228" s="10" t="n">
        <x:f>SUM(XLOOKUP('포켓몬_편집'!$AF228:$AN228,'분류_규칙'!$A$5:$A$76,'분류_규칙'!$H$5:$H$76,0))</x:f>
        <x:v>0</x:v>
      </x:c>
      <x:c r="I228" s="10" t="n">
        <x:f>SUM(XLOOKUP('포켓몬_편집'!$AF228:$AN228,'분류_규칙'!$A$5:$A$76,'분류_규칙'!$I$5:$I$76,0))</x:f>
        <x:v>0</x:v>
      </x:c>
      <x:c r="J228" s="10" t="n">
        <x:f>SUM(XLOOKUP('포켓몬_편집'!$AF228:$AN228,'분류_규칙'!$A$5:$A$76,'분류_규칙'!$J$5:$J$76,0))</x:f>
        <x:v>3</x:v>
      </x:c>
      <x:c r="K228" s="10" t="n">
        <x:f>SUM(XLOOKUP('포켓몬_편집'!$AF228:$AN228,'분류_규칙'!$A$5:$A$76,'분류_규칙'!$K$5:$K$76,0))</x:f>
        <x:v>0</x:v>
      </x:c>
      <x:c r="L228" s="10" t="n">
        <x:f>SUM(XLOOKUP('포켓몬_편집'!$AF228:$AN228,'분류_규칙'!$A$5:$A$76,'분류_규칙'!$L$5:$L$76,0))</x:f>
        <x:v>30</x:v>
      </x:c>
      <x:c r="M228" s="10" t="n">
        <x:f>SUM(XLOOKUP('포켓몬_편집'!$AF228:$AN228,'분류_규칙'!$A$5:$A$76,'분류_규칙'!$M$5:$M$76,0))</x:f>
        <x:v>0</x:v>
      </x:c>
      <x:c r="N228" s="10" t="n">
        <x:f>SUM(XLOOKUP('포켓몬_편집'!$AF228:$AN228,'분류_규칙'!$A$5:$A$76,'분류_규칙'!$N$5:$N$76,0))</x:f>
        <x:v>0</x:v>
      </x:c>
      <x:c r="O228" s="10" t="n">
        <x:f>SUM(XLOOKUP('포켓몬_편집'!$AF228:$AN228,'분류_규칙'!$A$5:$A$76,'분류_규칙'!$O$5:$O$76,0))</x:f>
        <x:v>0</x:v>
      </x:c>
      <x:c r="P228" s="10" t="n">
        <x:f>SUM(XLOOKUP('포켓몬_편집'!$AF228:$AN228,'분류_규칙'!$A$5:$A$76,'분류_규칙'!$P$5:$P$76,0))</x:f>
        <x:v>0</x:v>
      </x:c>
    </x:row>
    <x:row r="229" ht="22" customHeight="1">
      <x:c r="A229" s="5" t="n">
        <x:v>225</x:v>
      </x:c>
      <x:c r="B229" s="5" t="inlineStr">
        <x:is>
          <x:t xml:space="preserve">딜리버드</x:t>
        </x:is>
      </x:c>
      <x:c r="C229" s="5" t="inlineStr">
        <x:is>
          <x:t xml:space="preserve">delibird</x:t>
        </x:is>
      </x:c>
      <x:c r="D229" s="5" t="n">
        <x:v>2</x:v>
      </x:c>
      <x:c r="E229" s="10" t="n">
        <x:f>SUM(XLOOKUP('포켓몬_편집'!$AF229:$AN229,'분류_규칙'!$A$5:$A$76,'분류_규칙'!$E$5:$E$76,0))</x:f>
        <x:v>8</x:v>
      </x:c>
      <x:c r="F229" s="10" t="n">
        <x:f>SUM(XLOOKUP('포켓몬_편집'!$AF229:$AN229,'분류_규칙'!$A$5:$A$76,'분류_규칙'!$F$5:$F$76,0))</x:f>
        <x:v>8</x:v>
      </x:c>
      <x:c r="G229" s="10" t="n">
        <x:f>SUM(XLOOKUP('포켓몬_편집'!$AF229:$AN229,'분류_규칙'!$A$5:$A$76,'분류_규칙'!$G$5:$G$76,0))</x:f>
        <x:v>0</x:v>
      </x:c>
      <x:c r="H229" s="10" t="n">
        <x:f>SUM(XLOOKUP('포켓몬_편집'!$AF229:$AN229,'분류_규칙'!$A$5:$A$76,'분류_규칙'!$H$5:$H$76,0))</x:f>
        <x:v>12</x:v>
      </x:c>
      <x:c r="I229" s="10" t="n">
        <x:f>SUM(XLOOKUP('포켓몬_편집'!$AF229:$AN229,'분류_규칙'!$A$5:$A$76,'분류_규칙'!$I$5:$I$76,0))</x:f>
        <x:v>0</x:v>
      </x:c>
      <x:c r="J229" s="10" t="n">
        <x:f>SUM(XLOOKUP('포켓몬_편집'!$AF229:$AN229,'분류_규칙'!$A$5:$A$76,'분류_규칙'!$J$5:$J$76,0))</x:f>
        <x:v>0</x:v>
      </x:c>
      <x:c r="K229" s="10" t="n">
        <x:f>SUM(XLOOKUP('포켓몬_편집'!$AF229:$AN229,'분류_규칙'!$A$5:$A$76,'분류_규칙'!$K$5:$K$76,0))</x:f>
        <x:v>0</x:v>
      </x:c>
      <x:c r="L229" s="10" t="n">
        <x:f>SUM(XLOOKUP('포켓몬_편집'!$AF229:$AN229,'분류_규칙'!$A$5:$A$76,'분류_규칙'!$L$5:$L$76,0))</x:f>
        <x:v>3</x:v>
      </x:c>
      <x:c r="M229" s="10" t="n">
        <x:f>SUM(XLOOKUP('포켓몬_편집'!$AF229:$AN229,'분류_규칙'!$A$5:$A$76,'분류_규칙'!$M$5:$M$76,0))</x:f>
        <x:v>0</x:v>
      </x:c>
      <x:c r="N229" s="10" t="n">
        <x:f>SUM(XLOOKUP('포켓몬_편집'!$AF229:$AN229,'분류_규칙'!$A$5:$A$76,'분류_규칙'!$N$5:$N$76,0))</x:f>
        <x:v>0</x:v>
      </x:c>
      <x:c r="O229" s="10" t="n">
        <x:f>SUM(XLOOKUP('포켓몬_편집'!$AF229:$AN229,'분류_규칙'!$A$5:$A$76,'분류_규칙'!$O$5:$O$76,0))</x:f>
        <x:v>2</x:v>
      </x:c>
      <x:c r="P229" s="10" t="n">
        <x:f>SUM(XLOOKUP('포켓몬_편집'!$AF229:$AN229,'분류_규칙'!$A$5:$A$76,'분류_규칙'!$P$5:$P$76,0))</x:f>
        <x:v>0</x:v>
      </x:c>
    </x:row>
    <x:row r="230" ht="22" customHeight="1">
      <x:c r="A230" s="5" t="n">
        <x:v>226</x:v>
      </x:c>
      <x:c r="B230" s="5" t="inlineStr">
        <x:is>
          <x:t xml:space="preserve">만타인</x:t>
        </x:is>
      </x:c>
      <x:c r="C230" s="5" t="inlineStr">
        <x:is>
          <x:t xml:space="preserve">mantine</x:t>
        </x:is>
      </x:c>
      <x:c r="D230" s="5" t="n">
        <x:v>2</x:v>
      </x:c>
      <x:c r="E230" s="10" t="n">
        <x:f>SUM(XLOOKUP('포켓몬_편집'!$AF230:$AN230,'분류_규칙'!$A$5:$A$76,'분류_규칙'!$E$5:$E$76,0))</x:f>
        <x:v>0</x:v>
      </x:c>
      <x:c r="F230" s="10" t="n">
        <x:f>SUM(XLOOKUP('포켓몬_편집'!$AF230:$AN230,'분류_규칙'!$A$5:$A$76,'분류_규칙'!$F$5:$F$76,0))</x:f>
        <x:v>0</x:v>
      </x:c>
      <x:c r="G230" s="10" t="n">
        <x:f>SUM(XLOOKUP('포켓몬_편집'!$AF230:$AN230,'분류_규칙'!$A$5:$A$76,'분류_규칙'!$G$5:$G$76,0))</x:f>
        <x:v>0</x:v>
      </x:c>
      <x:c r="H230" s="10" t="n">
        <x:f>SUM(XLOOKUP('포켓몬_편집'!$AF230:$AN230,'분류_규칙'!$A$5:$A$76,'분류_규칙'!$H$5:$H$76,0))</x:f>
        <x:v>0</x:v>
      </x:c>
      <x:c r="I230" s="10" t="n">
        <x:f>SUM(XLOOKUP('포켓몬_편집'!$AF230:$AN230,'분류_규칙'!$A$5:$A$76,'분류_규칙'!$I$5:$I$76,0))</x:f>
        <x:v>0</x:v>
      </x:c>
      <x:c r="J230" s="10" t="n">
        <x:f>SUM(XLOOKUP('포켓몬_편집'!$AF230:$AN230,'분류_규칙'!$A$5:$A$76,'분류_규칙'!$J$5:$J$76,0))</x:f>
        <x:v>3</x:v>
      </x:c>
      <x:c r="K230" s="10" t="n">
        <x:f>SUM(XLOOKUP('포켓몬_편집'!$AF230:$AN230,'분류_규칙'!$A$5:$A$76,'분류_규칙'!$K$5:$K$76,0))</x:f>
        <x:v>0</x:v>
      </x:c>
      <x:c r="L230" s="10" t="n">
        <x:f>SUM(XLOOKUP('포켓몬_편집'!$AF230:$AN230,'분류_규칙'!$A$5:$A$76,'분류_규칙'!$L$5:$L$76,0))</x:f>
        <x:v>30</x:v>
      </x:c>
      <x:c r="M230" s="10" t="n">
        <x:f>SUM(XLOOKUP('포켓몬_편집'!$AF230:$AN230,'분류_규칙'!$A$5:$A$76,'분류_규칙'!$M$5:$M$76,0))</x:f>
        <x:v>0</x:v>
      </x:c>
      <x:c r="N230" s="10" t="n">
        <x:f>SUM(XLOOKUP('포켓몬_편집'!$AF230:$AN230,'분류_규칙'!$A$5:$A$76,'분류_규칙'!$N$5:$N$76,0))</x:f>
        <x:v>0</x:v>
      </x:c>
      <x:c r="O230" s="10" t="n">
        <x:f>SUM(XLOOKUP('포켓몬_편집'!$AF230:$AN230,'분류_규칙'!$A$5:$A$76,'분류_규칙'!$O$5:$O$76,0))</x:f>
        <x:v>0</x:v>
      </x:c>
      <x:c r="P230" s="10" t="n">
        <x:f>SUM(XLOOKUP('포켓몬_편집'!$AF230:$AN230,'분류_규칙'!$A$5:$A$76,'분류_규칙'!$P$5:$P$76,0))</x:f>
        <x:v>0</x:v>
      </x:c>
    </x:row>
    <x:row r="231" ht="22" customHeight="1">
      <x:c r="A231" s="5" t="n">
        <x:v>227</x:v>
      </x:c>
      <x:c r="B231" s="5" t="inlineStr">
        <x:is>
          <x:t xml:space="preserve">무장조</x:t>
        </x:is>
      </x:c>
      <x:c r="C231" s="5" t="inlineStr">
        <x:is>
          <x:t xml:space="preserve">skarmory</x:t>
        </x:is>
      </x:c>
      <x:c r="D231" s="5" t="n">
        <x:v>2</x:v>
      </x:c>
      <x:c r="E231" s="10" t="n">
        <x:f>SUM(XLOOKUP('포켓몬_편집'!$AF231:$AN231,'분류_규칙'!$A$5:$A$76,'분류_규칙'!$E$5:$E$76,0))</x:f>
        <x:v>8</x:v>
      </x:c>
      <x:c r="F231" s="10" t="n">
        <x:f>SUM(XLOOKUP('포켓몬_편집'!$AF231:$AN231,'분류_규칙'!$A$5:$A$76,'분류_규칙'!$F$5:$F$76,0))</x:f>
        <x:v>8</x:v>
      </x:c>
      <x:c r="G231" s="10" t="n">
        <x:f>SUM(XLOOKUP('포켓몬_편집'!$AF231:$AN231,'분류_규칙'!$A$5:$A$76,'분류_규칙'!$G$5:$G$76,0))</x:f>
        <x:v>0</x:v>
      </x:c>
      <x:c r="H231" s="10" t="n">
        <x:f>SUM(XLOOKUP('포켓몬_편집'!$AF231:$AN231,'분류_규칙'!$A$5:$A$76,'분류_규칙'!$H$5:$H$76,0))</x:f>
        <x:v>12</x:v>
      </x:c>
      <x:c r="I231" s="10" t="n">
        <x:f>SUM(XLOOKUP('포켓몬_편집'!$AF231:$AN231,'분류_규칙'!$A$5:$A$76,'분류_규칙'!$I$5:$I$76,0))</x:f>
        <x:v>0</x:v>
      </x:c>
      <x:c r="J231" s="10" t="n">
        <x:f>SUM(XLOOKUP('포켓몬_편집'!$AF231:$AN231,'분류_규칙'!$A$5:$A$76,'분류_규칙'!$J$5:$J$76,0))</x:f>
        <x:v>0</x:v>
      </x:c>
      <x:c r="K231" s="10" t="n">
        <x:f>SUM(XLOOKUP('포켓몬_편집'!$AF231:$AN231,'분류_규칙'!$A$5:$A$76,'분류_규칙'!$K$5:$K$76,0))</x:f>
        <x:v>0</x:v>
      </x:c>
      <x:c r="L231" s="10" t="n">
        <x:f>SUM(XLOOKUP('포켓몬_편집'!$AF231:$AN231,'분류_규칙'!$A$5:$A$76,'분류_규칙'!$L$5:$L$76,0))</x:f>
        <x:v>3</x:v>
      </x:c>
      <x:c r="M231" s="10" t="n">
        <x:f>SUM(XLOOKUP('포켓몬_편집'!$AF231:$AN231,'분류_규칙'!$A$5:$A$76,'분류_규칙'!$M$5:$M$76,0))</x:f>
        <x:v>0</x:v>
      </x:c>
      <x:c r="N231" s="10" t="n">
        <x:f>SUM(XLOOKUP('포켓몬_편집'!$AF231:$AN231,'분류_규칙'!$A$5:$A$76,'분류_규칙'!$N$5:$N$76,0))</x:f>
        <x:v>0</x:v>
      </x:c>
      <x:c r="O231" s="10" t="n">
        <x:f>SUM(XLOOKUP('포켓몬_편집'!$AF231:$AN231,'분류_규칙'!$A$5:$A$76,'분류_규칙'!$O$5:$O$76,0))</x:f>
        <x:v>2</x:v>
      </x:c>
      <x:c r="P231" s="10" t="n">
        <x:f>SUM(XLOOKUP('포켓몬_편집'!$AF231:$AN231,'분류_규칙'!$A$5:$A$76,'분류_규칙'!$P$5:$P$76,0))</x:f>
        <x:v>0</x:v>
      </x:c>
    </x:row>
    <x:row r="232" ht="22" customHeight="1">
      <x:c r="A232" s="5" t="n">
        <x:v>228</x:v>
      </x:c>
      <x:c r="B232" s="5" t="inlineStr">
        <x:is>
          <x:t xml:space="preserve">델빌</x:t>
        </x:is>
      </x:c>
      <x:c r="C232" s="5" t="inlineStr">
        <x:is>
          <x:t xml:space="preserve">houndour</x:t>
        </x:is>
      </x:c>
      <x:c r="D232" s="5" t="n">
        <x:v>2</x:v>
      </x:c>
      <x:c r="E232" s="10" t="n">
        <x:f>SUM(XLOOKUP('포켓몬_편집'!$AF232:$AN232,'분류_규칙'!$A$5:$A$76,'분류_규칙'!$E$5:$E$76,0))</x:f>
        <x:v>10</x:v>
      </x:c>
      <x:c r="F232" s="10" t="n">
        <x:f>SUM(XLOOKUP('포켓몬_편집'!$AF232:$AN232,'분류_규칙'!$A$5:$A$76,'분류_규칙'!$F$5:$F$76,0))</x:f>
        <x:v>7</x:v>
      </x:c>
      <x:c r="G232" s="10" t="n">
        <x:f>SUM(XLOOKUP('포켓몬_편집'!$AF232:$AN232,'분류_규칙'!$A$5:$A$76,'분류_규칙'!$G$5:$G$76,0))</x:f>
        <x:v>5</x:v>
      </x:c>
      <x:c r="H232" s="10" t="n">
        <x:f>SUM(XLOOKUP('포켓몬_편집'!$AF232:$AN232,'분류_규칙'!$A$5:$A$76,'분류_규칙'!$H$5:$H$76,0))</x:f>
        <x:v>5</x:v>
      </x:c>
      <x:c r="I232" s="10" t="n">
        <x:f>SUM(XLOOKUP('포켓몬_편집'!$AF232:$AN232,'분류_규칙'!$A$5:$A$76,'분류_규칙'!$I$5:$I$76,0))</x:f>
        <x:v>0</x:v>
      </x:c>
      <x:c r="J232" s="10" t="n">
        <x:f>SUM(XLOOKUP('포켓몬_편집'!$AF232:$AN232,'분류_규칙'!$A$5:$A$76,'분류_규칙'!$J$5:$J$76,0))</x:f>
        <x:v>2</x:v>
      </x:c>
      <x:c r="K232" s="10" t="n">
        <x:f>SUM(XLOOKUP('포켓몬_편집'!$AF232:$AN232,'분류_규칙'!$A$5:$A$76,'분류_규칙'!$K$5:$K$76,0))</x:f>
        <x:v>0</x:v>
      </x:c>
      <x:c r="L232" s="10" t="n">
        <x:f>SUM(XLOOKUP('포켓몬_편집'!$AF232:$AN232,'분류_규칙'!$A$5:$A$76,'분류_규칙'!$L$5:$L$76,0))</x:f>
        <x:v>0</x:v>
      </x:c>
      <x:c r="M232" s="10" t="n">
        <x:f>SUM(XLOOKUP('포켓몬_편집'!$AF232:$AN232,'분류_규칙'!$A$5:$A$76,'분류_규칙'!$M$5:$M$76,0))</x:f>
        <x:v>0</x:v>
      </x:c>
      <x:c r="N232" s="10" t="n">
        <x:f>SUM(XLOOKUP('포켓몬_편집'!$AF232:$AN232,'분류_규칙'!$A$5:$A$76,'분류_규칙'!$N$5:$N$76,0))</x:f>
        <x:v>0</x:v>
      </x:c>
      <x:c r="O232" s="10" t="n">
        <x:f>SUM(XLOOKUP('포켓몬_편집'!$AF232:$AN232,'분류_규칙'!$A$5:$A$76,'분류_규칙'!$O$5:$O$76,0))</x:f>
        <x:v>2</x:v>
      </x:c>
      <x:c r="P232" s="10" t="n">
        <x:f>SUM(XLOOKUP('포켓몬_편집'!$AF232:$AN232,'분류_규칙'!$A$5:$A$76,'분류_규칙'!$P$5:$P$76,0))</x:f>
        <x:v>0</x:v>
      </x:c>
    </x:row>
    <x:row r="233" ht="22" customHeight="1">
      <x:c r="A233" s="5" t="n">
        <x:v>229</x:v>
      </x:c>
      <x:c r="B233" s="5" t="inlineStr">
        <x:is>
          <x:t xml:space="preserve">헬가</x:t>
        </x:is>
      </x:c>
      <x:c r="C233" s="5" t="inlineStr">
        <x:is>
          <x:t xml:space="preserve">houndoom</x:t>
        </x:is>
      </x:c>
      <x:c r="D233" s="5" t="n">
        <x:v>2</x:v>
      </x:c>
      <x:c r="E233" s="10" t="n">
        <x:f>SUM(XLOOKUP('포켓몬_편집'!$AF233:$AN233,'분류_규칙'!$A$5:$A$76,'분류_규칙'!$E$5:$E$76,0))</x:f>
        <x:v>10</x:v>
      </x:c>
      <x:c r="F233" s="10" t="n">
        <x:f>SUM(XLOOKUP('포켓몬_편집'!$AF233:$AN233,'분류_규칙'!$A$5:$A$76,'분류_규칙'!$F$5:$F$76,0))</x:f>
        <x:v>7</x:v>
      </x:c>
      <x:c r="G233" s="10" t="n">
        <x:f>SUM(XLOOKUP('포켓몬_편집'!$AF233:$AN233,'분류_규칙'!$A$5:$A$76,'분류_규칙'!$G$5:$G$76,0))</x:f>
        <x:v>5</x:v>
      </x:c>
      <x:c r="H233" s="10" t="n">
        <x:f>SUM(XLOOKUP('포켓몬_편집'!$AF233:$AN233,'분류_규칙'!$A$5:$A$76,'분류_규칙'!$H$5:$H$76,0))</x:f>
        <x:v>5</x:v>
      </x:c>
      <x:c r="I233" s="10" t="n">
        <x:f>SUM(XLOOKUP('포켓몬_편집'!$AF233:$AN233,'분류_규칙'!$A$5:$A$76,'분류_규칙'!$I$5:$I$76,0))</x:f>
        <x:v>0</x:v>
      </x:c>
      <x:c r="J233" s="10" t="n">
        <x:f>SUM(XLOOKUP('포켓몬_편집'!$AF233:$AN233,'분류_규칙'!$A$5:$A$76,'분류_규칙'!$J$5:$J$76,0))</x:f>
        <x:v>2</x:v>
      </x:c>
      <x:c r="K233" s="10" t="n">
        <x:f>SUM(XLOOKUP('포켓몬_편집'!$AF233:$AN233,'분류_규칙'!$A$5:$A$76,'분류_규칙'!$K$5:$K$76,0))</x:f>
        <x:v>0</x:v>
      </x:c>
      <x:c r="L233" s="10" t="n">
        <x:f>SUM(XLOOKUP('포켓몬_편집'!$AF233:$AN233,'분류_규칙'!$A$5:$A$76,'분류_규칙'!$L$5:$L$76,0))</x:f>
        <x:v>0</x:v>
      </x:c>
      <x:c r="M233" s="10" t="n">
        <x:f>SUM(XLOOKUP('포켓몬_편집'!$AF233:$AN233,'분류_규칙'!$A$5:$A$76,'분류_규칙'!$M$5:$M$76,0))</x:f>
        <x:v>0</x:v>
      </x:c>
      <x:c r="N233" s="10" t="n">
        <x:f>SUM(XLOOKUP('포켓몬_편집'!$AF233:$AN233,'분류_규칙'!$A$5:$A$76,'분류_규칙'!$N$5:$N$76,0))</x:f>
        <x:v>0</x:v>
      </x:c>
      <x:c r="O233" s="10" t="n">
        <x:f>SUM(XLOOKUP('포켓몬_편집'!$AF233:$AN233,'분류_규칙'!$A$5:$A$76,'분류_규칙'!$O$5:$O$76,0))</x:f>
        <x:v>2</x:v>
      </x:c>
      <x:c r="P233" s="10" t="n">
        <x:f>SUM(XLOOKUP('포켓몬_편집'!$AF233:$AN233,'분류_규칙'!$A$5:$A$76,'분류_규칙'!$P$5:$P$76,0))</x:f>
        <x:v>0</x:v>
      </x:c>
    </x:row>
    <x:row r="234" ht="22" customHeight="1">
      <x:c r="A234" s="5" t="n">
        <x:v>230</x:v>
      </x:c>
      <x:c r="B234" s="5" t="inlineStr">
        <x:is>
          <x:t xml:space="preserve">킹드라</x:t>
        </x:is>
      </x:c>
      <x:c r="C234" s="5" t="inlineStr">
        <x:is>
          <x:t xml:space="preserve">kingdra</x:t>
        </x:is>
      </x:c>
      <x:c r="D234" s="5" t="n">
        <x:v>2</x:v>
      </x:c>
      <x:c r="E234" s="10" t="n">
        <x:f>SUM(XLOOKUP('포켓몬_편집'!$AF234:$AN234,'분류_규칙'!$A$5:$A$76,'분류_규칙'!$E$5:$E$76,0))</x:f>
        <x:v>0</x:v>
      </x:c>
      <x:c r="F234" s="10" t="n">
        <x:f>SUM(XLOOKUP('포켓몬_편집'!$AF234:$AN234,'분류_규칙'!$A$5:$A$76,'분류_규칙'!$F$5:$F$76,0))</x:f>
        <x:v>0</x:v>
      </x:c>
      <x:c r="G234" s="10" t="n">
        <x:f>SUM(XLOOKUP('포켓몬_편집'!$AF234:$AN234,'분류_규칙'!$A$5:$A$76,'분류_규칙'!$G$5:$G$76,0))</x:f>
        <x:v>0</x:v>
      </x:c>
      <x:c r="H234" s="10" t="n">
        <x:f>SUM(XLOOKUP('포켓몬_편집'!$AF234:$AN234,'분류_규칙'!$A$5:$A$76,'분류_규칙'!$H$5:$H$76,0))</x:f>
        <x:v>0</x:v>
      </x:c>
      <x:c r="I234" s="10" t="n">
        <x:f>SUM(XLOOKUP('포켓몬_편집'!$AF234:$AN234,'분류_규칙'!$A$5:$A$76,'분류_규칙'!$I$5:$I$76,0))</x:f>
        <x:v>0</x:v>
      </x:c>
      <x:c r="J234" s="10" t="n">
        <x:f>SUM(XLOOKUP('포켓몬_편집'!$AF234:$AN234,'분류_규칙'!$A$5:$A$76,'분류_규칙'!$J$5:$J$76,0))</x:f>
        <x:v>3</x:v>
      </x:c>
      <x:c r="K234" s="10" t="n">
        <x:f>SUM(XLOOKUP('포켓몬_편집'!$AF234:$AN234,'분류_규칙'!$A$5:$A$76,'분류_규칙'!$K$5:$K$76,0))</x:f>
        <x:v>0</x:v>
      </x:c>
      <x:c r="L234" s="10" t="n">
        <x:f>SUM(XLOOKUP('포켓몬_편집'!$AF234:$AN234,'분류_규칙'!$A$5:$A$76,'분류_규칙'!$L$5:$L$76,0))</x:f>
        <x:v>30</x:v>
      </x:c>
      <x:c r="M234" s="10" t="n">
        <x:f>SUM(XLOOKUP('포켓몬_편집'!$AF234:$AN234,'분류_규칙'!$A$5:$A$76,'분류_규칙'!$M$5:$M$76,0))</x:f>
        <x:v>0</x:v>
      </x:c>
      <x:c r="N234" s="10" t="n">
        <x:f>SUM(XLOOKUP('포켓몬_편집'!$AF234:$AN234,'분류_규칙'!$A$5:$A$76,'분류_규칙'!$N$5:$N$76,0))</x:f>
        <x:v>0</x:v>
      </x:c>
      <x:c r="O234" s="10" t="n">
        <x:f>SUM(XLOOKUP('포켓몬_편집'!$AF234:$AN234,'분류_규칙'!$A$5:$A$76,'분류_규칙'!$O$5:$O$76,0))</x:f>
        <x:v>0</x:v>
      </x:c>
      <x:c r="P234" s="10" t="n">
        <x:f>SUM(XLOOKUP('포켓몬_편집'!$AF234:$AN234,'분류_규칙'!$A$5:$A$76,'분류_규칙'!$P$5:$P$76,0))</x:f>
        <x:v>0</x:v>
      </x:c>
    </x:row>
    <x:row r="235" ht="22" customHeight="1">
      <x:c r="A235" s="5" t="n">
        <x:v>231</x:v>
      </x:c>
      <x:c r="B235" s="5" t="inlineStr">
        <x:is>
          <x:t xml:space="preserve">코코리</x:t>
        </x:is>
      </x:c>
      <x:c r="C235" s="5" t="inlineStr">
        <x:is>
          <x:t xml:space="preserve">phanpy</x:t>
        </x:is>
      </x:c>
      <x:c r="D235" s="5" t="n">
        <x:v>2</x:v>
      </x:c>
      <x:c r="E235" s="10" t="n">
        <x:f>SUM(XLOOKUP('포켓몬_편집'!$AF235:$AN235,'분류_규칙'!$A$5:$A$76,'분류_규칙'!$E$5:$E$76,0))</x:f>
        <x:v>10</x:v>
      </x:c>
      <x:c r="F235" s="10" t="n">
        <x:f>SUM(XLOOKUP('포켓몬_편집'!$AF235:$AN235,'분류_규칙'!$A$5:$A$76,'분류_규칙'!$F$5:$F$76,0))</x:f>
        <x:v>7</x:v>
      </x:c>
      <x:c r="G235" s="10" t="n">
        <x:f>SUM(XLOOKUP('포켓몬_편집'!$AF235:$AN235,'분류_규칙'!$A$5:$A$76,'분류_규칙'!$G$5:$G$76,0))</x:f>
        <x:v>5</x:v>
      </x:c>
      <x:c r="H235" s="10" t="n">
        <x:f>SUM(XLOOKUP('포켓몬_편집'!$AF235:$AN235,'분류_규칙'!$A$5:$A$76,'분류_규칙'!$H$5:$H$76,0))</x:f>
        <x:v>5</x:v>
      </x:c>
      <x:c r="I235" s="10" t="n">
        <x:f>SUM(XLOOKUP('포켓몬_편집'!$AF235:$AN235,'분류_규칙'!$A$5:$A$76,'분류_규칙'!$I$5:$I$76,0))</x:f>
        <x:v>0</x:v>
      </x:c>
      <x:c r="J235" s="10" t="n">
        <x:f>SUM(XLOOKUP('포켓몬_편집'!$AF235:$AN235,'분류_규칙'!$A$5:$A$76,'분류_규칙'!$J$5:$J$76,0))</x:f>
        <x:v>2</x:v>
      </x:c>
      <x:c r="K235" s="10" t="n">
        <x:f>SUM(XLOOKUP('포켓몬_편집'!$AF235:$AN235,'분류_규칙'!$A$5:$A$76,'분류_규칙'!$K$5:$K$76,0))</x:f>
        <x:v>0</x:v>
      </x:c>
      <x:c r="L235" s="10" t="n">
        <x:f>SUM(XLOOKUP('포켓몬_편집'!$AF235:$AN235,'분류_규칙'!$A$5:$A$76,'분류_규칙'!$L$5:$L$76,0))</x:f>
        <x:v>0</x:v>
      </x:c>
      <x:c r="M235" s="10" t="n">
        <x:f>SUM(XLOOKUP('포켓몬_편집'!$AF235:$AN235,'분류_규칙'!$A$5:$A$76,'분류_규칙'!$M$5:$M$76,0))</x:f>
        <x:v>0</x:v>
      </x:c>
      <x:c r="N235" s="10" t="n">
        <x:f>SUM(XLOOKUP('포켓몬_편집'!$AF235:$AN235,'분류_규칙'!$A$5:$A$76,'분류_규칙'!$N$5:$N$76,0))</x:f>
        <x:v>0</x:v>
      </x:c>
      <x:c r="O235" s="10" t="n">
        <x:f>SUM(XLOOKUP('포켓몬_편집'!$AF235:$AN235,'분류_규칙'!$A$5:$A$76,'분류_규칙'!$O$5:$O$76,0))</x:f>
        <x:v>2</x:v>
      </x:c>
      <x:c r="P235" s="10" t="n">
        <x:f>SUM(XLOOKUP('포켓몬_편집'!$AF235:$AN235,'분류_규칙'!$A$5:$A$76,'분류_규칙'!$P$5:$P$76,0))</x:f>
        <x:v>0</x:v>
      </x:c>
    </x:row>
    <x:row r="236" ht="22" customHeight="1">
      <x:c r="A236" s="5" t="n">
        <x:v>232</x:v>
      </x:c>
      <x:c r="B236" s="5" t="inlineStr">
        <x:is>
          <x:t xml:space="preserve">코리갑</x:t>
        </x:is>
      </x:c>
      <x:c r="C236" s="5" t="inlineStr">
        <x:is>
          <x:t xml:space="preserve">donphan</x:t>
        </x:is>
      </x:c>
      <x:c r="D236" s="5" t="n">
        <x:v>2</x:v>
      </x:c>
      <x:c r="E236" s="10" t="n">
        <x:f>SUM(XLOOKUP('포켓몬_편집'!$AF236:$AN236,'분류_규칙'!$A$5:$A$76,'분류_규칙'!$E$5:$E$76,0))</x:f>
        <x:v>10</x:v>
      </x:c>
      <x:c r="F236" s="10" t="n">
        <x:f>SUM(XLOOKUP('포켓몬_편집'!$AF236:$AN236,'분류_규칙'!$A$5:$A$76,'분류_규칙'!$F$5:$F$76,0))</x:f>
        <x:v>7</x:v>
      </x:c>
      <x:c r="G236" s="10" t="n">
        <x:f>SUM(XLOOKUP('포켓몬_편집'!$AF236:$AN236,'분류_규칙'!$A$5:$A$76,'분류_규칙'!$G$5:$G$76,0))</x:f>
        <x:v>5</x:v>
      </x:c>
      <x:c r="H236" s="10" t="n">
        <x:f>SUM(XLOOKUP('포켓몬_편집'!$AF236:$AN236,'분류_규칙'!$A$5:$A$76,'분류_규칙'!$H$5:$H$76,0))</x:f>
        <x:v>5</x:v>
      </x:c>
      <x:c r="I236" s="10" t="n">
        <x:f>SUM(XLOOKUP('포켓몬_편집'!$AF236:$AN236,'분류_규칙'!$A$5:$A$76,'분류_규칙'!$I$5:$I$76,0))</x:f>
        <x:v>0</x:v>
      </x:c>
      <x:c r="J236" s="10" t="n">
        <x:f>SUM(XLOOKUP('포켓몬_편집'!$AF236:$AN236,'분류_규칙'!$A$5:$A$76,'분류_규칙'!$J$5:$J$76,0))</x:f>
        <x:v>2</x:v>
      </x:c>
      <x:c r="K236" s="10" t="n">
        <x:f>SUM(XLOOKUP('포켓몬_편집'!$AF236:$AN236,'분류_규칙'!$A$5:$A$76,'분류_규칙'!$K$5:$K$76,0))</x:f>
        <x:v>0</x:v>
      </x:c>
      <x:c r="L236" s="10" t="n">
        <x:f>SUM(XLOOKUP('포켓몬_편집'!$AF236:$AN236,'분류_규칙'!$A$5:$A$76,'분류_규칙'!$L$5:$L$76,0))</x:f>
        <x:v>0</x:v>
      </x:c>
      <x:c r="M236" s="10" t="n">
        <x:f>SUM(XLOOKUP('포켓몬_편집'!$AF236:$AN236,'분류_규칙'!$A$5:$A$76,'분류_규칙'!$M$5:$M$76,0))</x:f>
        <x:v>0</x:v>
      </x:c>
      <x:c r="N236" s="10" t="n">
        <x:f>SUM(XLOOKUP('포켓몬_편집'!$AF236:$AN236,'분류_규칙'!$A$5:$A$76,'분류_규칙'!$N$5:$N$76,0))</x:f>
        <x:v>0</x:v>
      </x:c>
      <x:c r="O236" s="10" t="n">
        <x:f>SUM(XLOOKUP('포켓몬_편집'!$AF236:$AN236,'분류_규칙'!$A$5:$A$76,'분류_규칙'!$O$5:$O$76,0))</x:f>
        <x:v>2</x:v>
      </x:c>
      <x:c r="P236" s="10" t="n">
        <x:f>SUM(XLOOKUP('포켓몬_편집'!$AF236:$AN236,'분류_규칙'!$A$5:$A$76,'분류_규칙'!$P$5:$P$76,0))</x:f>
        <x:v>0</x:v>
      </x:c>
    </x:row>
    <x:row r="237" ht="22" customHeight="1">
      <x:c r="A237" s="5" t="n">
        <x:v>233</x:v>
      </x:c>
      <x:c r="B237" s="5" t="inlineStr">
        <x:is>
          <x:t xml:space="preserve">폴리곤2</x:t>
        </x:is>
      </x:c>
      <x:c r="C237" s="5" t="inlineStr">
        <x:is>
          <x:t xml:space="preserve">porygon2</x:t>
        </x:is>
      </x:c>
      <x:c r="D237" s="5" t="n">
        <x:v>2</x:v>
      </x:c>
      <x:c r="E237" s="10" t="n">
        <x:f>SUM(XLOOKUP('포켓몬_편집'!$AF237:$AN237,'분류_규칙'!$A$5:$A$76,'분류_규칙'!$E$5:$E$76,0))</x:f>
        <x:v>0</x:v>
      </x:c>
      <x:c r="F237" s="10" t="n">
        <x:f>SUM(XLOOKUP('포켓몬_편집'!$AF237:$AN237,'분류_규칙'!$A$5:$A$76,'분류_규칙'!$F$5:$F$76,0))</x:f>
        <x:v>0</x:v>
      </x:c>
      <x:c r="G237" s="10" t="n">
        <x:f>SUM(XLOOKUP('포켓몬_편집'!$AF237:$AN237,'분류_규칙'!$A$5:$A$76,'분류_규칙'!$G$5:$G$76,0))</x:f>
        <x:v>0</x:v>
      </x:c>
      <x:c r="H237" s="10" t="n">
        <x:f>SUM(XLOOKUP('포켓몬_편집'!$AF237:$AN237,'분류_규칙'!$A$5:$A$76,'분류_규칙'!$H$5:$H$76,0))</x:f>
        <x:v>0</x:v>
      </x:c>
      <x:c r="I237" s="10" t="n">
        <x:f>SUM(XLOOKUP('포켓몬_편집'!$AF237:$AN237,'분류_규칙'!$A$5:$A$76,'분류_규칙'!$I$5:$I$76,0))</x:f>
        <x:v>0</x:v>
      </x:c>
      <x:c r="J237" s="10" t="n">
        <x:f>SUM(XLOOKUP('포켓몬_편집'!$AF237:$AN237,'분류_규칙'!$A$5:$A$76,'분류_규칙'!$J$5:$J$76,0))</x:f>
        <x:v>0</x:v>
      </x:c>
      <x:c r="K237" s="10" t="n">
        <x:f>SUM(XLOOKUP('포켓몬_편집'!$AF237:$AN237,'분류_규칙'!$A$5:$A$76,'분류_규칙'!$K$5:$K$76,0))</x:f>
        <x:v>0</x:v>
      </x:c>
      <x:c r="L237" s="10" t="n">
        <x:f>SUM(XLOOKUP('포켓몬_편집'!$AF237:$AN237,'분류_규칙'!$A$5:$A$76,'분류_규칙'!$L$5:$L$76,0))</x:f>
        <x:v>0</x:v>
      </x:c>
      <x:c r="M237" s="10" t="n">
        <x:f>SUM(XLOOKUP('포켓몬_편집'!$AF237:$AN237,'분류_규칙'!$A$5:$A$76,'분류_규칙'!$M$5:$M$76,0))</x:f>
        <x:v>0</x:v>
      </x:c>
      <x:c r="N237" s="10" t="n">
        <x:f>SUM(XLOOKUP('포켓몬_편집'!$AF237:$AN237,'분류_규칙'!$A$5:$A$76,'분류_규칙'!$N$5:$N$76,0))</x:f>
        <x:v>0</x:v>
      </x:c>
      <x:c r="O237" s="10" t="n">
        <x:f>SUM(XLOOKUP('포켓몬_편집'!$AF237:$AN237,'분류_규칙'!$A$5:$A$76,'분류_규칙'!$O$5:$O$76,0))</x:f>
        <x:v>30</x:v>
      </x:c>
      <x:c r="P237" s="10" t="n">
        <x:f>SUM(XLOOKUP('포켓몬_편집'!$AF237:$AN237,'분류_규칙'!$A$5:$A$76,'분류_규칙'!$P$5:$P$76,0))</x:f>
        <x:v>8</x:v>
      </x:c>
    </x:row>
    <x:row r="238" ht="22" customHeight="1">
      <x:c r="A238" s="5" t="n">
        <x:v>234</x:v>
      </x:c>
      <x:c r="B238" s="5" t="inlineStr">
        <x:is>
          <x:t xml:space="preserve">노라키</x:t>
        </x:is>
      </x:c>
      <x:c r="C238" s="5" t="inlineStr">
        <x:is>
          <x:t xml:space="preserve">stantler</x:t>
        </x:is>
      </x:c>
      <x:c r="D238" s="5" t="n">
        <x:v>2</x:v>
      </x:c>
      <x:c r="E238" s="10" t="n">
        <x:f>SUM(XLOOKUP('포켓몬_편집'!$AF238:$AN238,'분류_규칙'!$A$5:$A$76,'분류_규칙'!$E$5:$E$76,0))</x:f>
        <x:v>10</x:v>
      </x:c>
      <x:c r="F238" s="10" t="n">
        <x:f>SUM(XLOOKUP('포켓몬_편집'!$AF238:$AN238,'분류_규칙'!$A$5:$A$76,'분류_규칙'!$F$5:$F$76,0))</x:f>
        <x:v>7</x:v>
      </x:c>
      <x:c r="G238" s="10" t="n">
        <x:f>SUM(XLOOKUP('포켓몬_편집'!$AF238:$AN238,'분류_규칙'!$A$5:$A$76,'분류_규칙'!$G$5:$G$76,0))</x:f>
        <x:v>5</x:v>
      </x:c>
      <x:c r="H238" s="10" t="n">
        <x:f>SUM(XLOOKUP('포켓몬_편집'!$AF238:$AN238,'분류_규칙'!$A$5:$A$76,'분류_규칙'!$H$5:$H$76,0))</x:f>
        <x:v>5</x:v>
      </x:c>
      <x:c r="I238" s="10" t="n">
        <x:f>SUM(XLOOKUP('포켓몬_편집'!$AF238:$AN238,'분류_규칙'!$A$5:$A$76,'분류_규칙'!$I$5:$I$76,0))</x:f>
        <x:v>0</x:v>
      </x:c>
      <x:c r="J238" s="10" t="n">
        <x:f>SUM(XLOOKUP('포켓몬_편집'!$AF238:$AN238,'분류_규칙'!$A$5:$A$76,'분류_규칙'!$J$5:$J$76,0))</x:f>
        <x:v>2</x:v>
      </x:c>
      <x:c r="K238" s="10" t="n">
        <x:f>SUM(XLOOKUP('포켓몬_편집'!$AF238:$AN238,'분류_규칙'!$A$5:$A$76,'분류_규칙'!$K$5:$K$76,0))</x:f>
        <x:v>0</x:v>
      </x:c>
      <x:c r="L238" s="10" t="n">
        <x:f>SUM(XLOOKUP('포켓몬_편집'!$AF238:$AN238,'분류_규칙'!$A$5:$A$76,'분류_규칙'!$L$5:$L$76,0))</x:f>
        <x:v>0</x:v>
      </x:c>
      <x:c r="M238" s="10" t="n">
        <x:f>SUM(XLOOKUP('포켓몬_편집'!$AF238:$AN238,'분류_규칙'!$A$5:$A$76,'분류_규칙'!$M$5:$M$76,0))</x:f>
        <x:v>0</x:v>
      </x:c>
      <x:c r="N238" s="10" t="n">
        <x:f>SUM(XLOOKUP('포켓몬_편집'!$AF238:$AN238,'분류_규칙'!$A$5:$A$76,'분류_규칙'!$N$5:$N$76,0))</x:f>
        <x:v>0</x:v>
      </x:c>
      <x:c r="O238" s="10" t="n">
        <x:f>SUM(XLOOKUP('포켓몬_편집'!$AF238:$AN238,'분류_규칙'!$A$5:$A$76,'분류_규칙'!$O$5:$O$76,0))</x:f>
        <x:v>2</x:v>
      </x:c>
      <x:c r="P238" s="10" t="n">
        <x:f>SUM(XLOOKUP('포켓몬_편집'!$AF238:$AN238,'분류_규칙'!$A$5:$A$76,'분류_규칙'!$P$5:$P$76,0))</x:f>
        <x:v>0</x:v>
      </x:c>
    </x:row>
    <x:row r="239" ht="22" customHeight="1">
      <x:c r="A239" s="5" t="n">
        <x:v>235</x:v>
      </x:c>
      <x:c r="B239" s="5" t="inlineStr">
        <x:is>
          <x:t xml:space="preserve">루브도</x:t>
        </x:is>
      </x:c>
      <x:c r="C239" s="5" t="inlineStr">
        <x:is>
          <x:t xml:space="preserve">smeargle</x:t>
        </x:is>
      </x:c>
      <x:c r="D239" s="5" t="n">
        <x:v>2</x:v>
      </x:c>
      <x:c r="E239" s="10" t="n">
        <x:f>SUM(XLOOKUP('포켓몬_편집'!$AF239:$AN239,'분류_규칙'!$A$5:$A$76,'분류_규칙'!$E$5:$E$76,0))</x:f>
        <x:v>10</x:v>
      </x:c>
      <x:c r="F239" s="10" t="n">
        <x:f>SUM(XLOOKUP('포켓몬_편집'!$AF239:$AN239,'분류_규칙'!$A$5:$A$76,'분류_규칙'!$F$5:$F$76,0))</x:f>
        <x:v>7</x:v>
      </x:c>
      <x:c r="G239" s="10" t="n">
        <x:f>SUM(XLOOKUP('포켓몬_편집'!$AF239:$AN239,'분류_규칙'!$A$5:$A$76,'분류_규칙'!$G$5:$G$76,0))</x:f>
        <x:v>5</x:v>
      </x:c>
      <x:c r="H239" s="10" t="n">
        <x:f>SUM(XLOOKUP('포켓몬_편집'!$AF239:$AN239,'분류_규칙'!$A$5:$A$76,'분류_규칙'!$H$5:$H$76,0))</x:f>
        <x:v>5</x:v>
      </x:c>
      <x:c r="I239" s="10" t="n">
        <x:f>SUM(XLOOKUP('포켓몬_편집'!$AF239:$AN239,'분류_규칙'!$A$5:$A$76,'분류_규칙'!$I$5:$I$76,0))</x:f>
        <x:v>0</x:v>
      </x:c>
      <x:c r="J239" s="10" t="n">
        <x:f>SUM(XLOOKUP('포켓몬_편집'!$AF239:$AN239,'분류_규칙'!$A$5:$A$76,'분류_규칙'!$J$5:$J$76,0))</x:f>
        <x:v>2</x:v>
      </x:c>
      <x:c r="K239" s="10" t="n">
        <x:f>SUM(XLOOKUP('포켓몬_편집'!$AF239:$AN239,'분류_규칙'!$A$5:$A$76,'분류_규칙'!$K$5:$K$76,0))</x:f>
        <x:v>0</x:v>
      </x:c>
      <x:c r="L239" s="10" t="n">
        <x:f>SUM(XLOOKUP('포켓몬_편집'!$AF239:$AN239,'분류_규칙'!$A$5:$A$76,'분류_규칙'!$L$5:$L$76,0))</x:f>
        <x:v>0</x:v>
      </x:c>
      <x:c r="M239" s="10" t="n">
        <x:f>SUM(XLOOKUP('포켓몬_편집'!$AF239:$AN239,'분류_규칙'!$A$5:$A$76,'분류_규칙'!$M$5:$M$76,0))</x:f>
        <x:v>0</x:v>
      </x:c>
      <x:c r="N239" s="10" t="n">
        <x:f>SUM(XLOOKUP('포켓몬_편집'!$AF239:$AN239,'분류_규칙'!$A$5:$A$76,'분류_규칙'!$N$5:$N$76,0))</x:f>
        <x:v>0</x:v>
      </x:c>
      <x:c r="O239" s="10" t="n">
        <x:f>SUM(XLOOKUP('포켓몬_편집'!$AF239:$AN239,'분류_규칙'!$A$5:$A$76,'분류_규칙'!$O$5:$O$76,0))</x:f>
        <x:v>2</x:v>
      </x:c>
      <x:c r="P239" s="10" t="n">
        <x:f>SUM(XLOOKUP('포켓몬_편집'!$AF239:$AN239,'분류_규칙'!$A$5:$A$76,'분류_규칙'!$P$5:$P$76,0))</x:f>
        <x:v>0</x:v>
      </x:c>
    </x:row>
    <x:row r="240" ht="22" customHeight="1">
      <x:c r="A240" s="5" t="n">
        <x:v>236</x:v>
      </x:c>
      <x:c r="B240" s="5" t="inlineStr">
        <x:is>
          <x:t xml:space="preserve">배루키</x:t>
        </x:is>
      </x:c>
      <x:c r="C240" s="5" t="inlineStr">
        <x:is>
          <x:t xml:space="preserve">tyrogue</x:t>
        </x:is>
      </x:c>
      <x:c r="D240" s="5" t="n">
        <x:v>2</x:v>
      </x:c>
      <x:c r="E240" s="10" t="n">
        <x:f>SUM(XLOOKUP('포켓몬_편집'!$AF240:$AN240,'분류_규칙'!$A$5:$A$76,'분류_규칙'!$E$5:$E$76,0))</x:f>
        <x:v>10</x:v>
      </x:c>
      <x:c r="F240" s="10" t="n">
        <x:f>SUM(XLOOKUP('포켓몬_편집'!$AF240:$AN240,'분류_규칙'!$A$5:$A$76,'분류_규칙'!$F$5:$F$76,0))</x:f>
        <x:v>7</x:v>
      </x:c>
      <x:c r="G240" s="10" t="n">
        <x:f>SUM(XLOOKUP('포켓몬_편집'!$AF240:$AN240,'분류_규칙'!$A$5:$A$76,'분류_규칙'!$G$5:$G$76,0))</x:f>
        <x:v>5</x:v>
      </x:c>
      <x:c r="H240" s="10" t="n">
        <x:f>SUM(XLOOKUP('포켓몬_편집'!$AF240:$AN240,'분류_규칙'!$A$5:$A$76,'분류_규칙'!$H$5:$H$76,0))</x:f>
        <x:v>5</x:v>
      </x:c>
      <x:c r="I240" s="10" t="n">
        <x:f>SUM(XLOOKUP('포켓몬_편집'!$AF240:$AN240,'분류_규칙'!$A$5:$A$76,'분류_규칙'!$I$5:$I$76,0))</x:f>
        <x:v>0</x:v>
      </x:c>
      <x:c r="J240" s="10" t="n">
        <x:f>SUM(XLOOKUP('포켓몬_편집'!$AF240:$AN240,'분류_규칙'!$A$5:$A$76,'분류_규칙'!$J$5:$J$76,0))</x:f>
        <x:v>2</x:v>
      </x:c>
      <x:c r="K240" s="10" t="n">
        <x:f>SUM(XLOOKUP('포켓몬_편집'!$AF240:$AN240,'분류_규칙'!$A$5:$A$76,'분류_규칙'!$K$5:$K$76,0))</x:f>
        <x:v>0</x:v>
      </x:c>
      <x:c r="L240" s="10" t="n">
        <x:f>SUM(XLOOKUP('포켓몬_편집'!$AF240:$AN240,'분류_규칙'!$A$5:$A$76,'분류_규칙'!$L$5:$L$76,0))</x:f>
        <x:v>0</x:v>
      </x:c>
      <x:c r="M240" s="10" t="n">
        <x:f>SUM(XLOOKUP('포켓몬_편집'!$AF240:$AN240,'분류_규칙'!$A$5:$A$76,'분류_규칙'!$M$5:$M$76,0))</x:f>
        <x:v>0</x:v>
      </x:c>
      <x:c r="N240" s="10" t="n">
        <x:f>SUM(XLOOKUP('포켓몬_편집'!$AF240:$AN240,'분류_규칙'!$A$5:$A$76,'분류_규칙'!$N$5:$N$76,0))</x:f>
        <x:v>0</x:v>
      </x:c>
      <x:c r="O240" s="10" t="n">
        <x:f>SUM(XLOOKUP('포켓몬_편집'!$AF240:$AN240,'분류_규칙'!$A$5:$A$76,'분류_규칙'!$O$5:$O$76,0))</x:f>
        <x:v>2</x:v>
      </x:c>
      <x:c r="P240" s="10" t="n">
        <x:f>SUM(XLOOKUP('포켓몬_편집'!$AF240:$AN240,'분류_규칙'!$A$5:$A$76,'분류_규칙'!$P$5:$P$76,0))</x:f>
        <x:v>0</x:v>
      </x:c>
    </x:row>
    <x:row r="241" ht="22" customHeight="1">
      <x:c r="A241" s="5" t="n">
        <x:v>237</x:v>
      </x:c>
      <x:c r="B241" s="5" t="inlineStr">
        <x:is>
          <x:t xml:space="preserve">카포에라</x:t>
        </x:is>
      </x:c>
      <x:c r="C241" s="5" t="inlineStr">
        <x:is>
          <x:t xml:space="preserve">hitmontop</x:t>
        </x:is>
      </x:c>
      <x:c r="D241" s="5" t="n">
        <x:v>2</x:v>
      </x:c>
      <x:c r="E241" s="10" t="n">
        <x:f>SUM(XLOOKUP('포켓몬_편집'!$AF241:$AN241,'분류_규칙'!$A$5:$A$76,'분류_규칙'!$E$5:$E$76,0))</x:f>
        <x:v>10</x:v>
      </x:c>
      <x:c r="F241" s="10" t="n">
        <x:f>SUM(XLOOKUP('포켓몬_편집'!$AF241:$AN241,'분류_규칙'!$A$5:$A$76,'분류_규칙'!$F$5:$F$76,0))</x:f>
        <x:v>7</x:v>
      </x:c>
      <x:c r="G241" s="10" t="n">
        <x:f>SUM(XLOOKUP('포켓몬_편집'!$AF241:$AN241,'분류_규칙'!$A$5:$A$76,'분류_규칙'!$G$5:$G$76,0))</x:f>
        <x:v>5</x:v>
      </x:c>
      <x:c r="H241" s="10" t="n">
        <x:f>SUM(XLOOKUP('포켓몬_편집'!$AF241:$AN241,'분류_규칙'!$A$5:$A$76,'분류_규칙'!$H$5:$H$76,0))</x:f>
        <x:v>5</x:v>
      </x:c>
      <x:c r="I241" s="10" t="n">
        <x:f>SUM(XLOOKUP('포켓몬_편집'!$AF241:$AN241,'분류_규칙'!$A$5:$A$76,'분류_규칙'!$I$5:$I$76,0))</x:f>
        <x:v>0</x:v>
      </x:c>
      <x:c r="J241" s="10" t="n">
        <x:f>SUM(XLOOKUP('포켓몬_편집'!$AF241:$AN241,'분류_규칙'!$A$5:$A$76,'분류_규칙'!$J$5:$J$76,0))</x:f>
        <x:v>2</x:v>
      </x:c>
      <x:c r="K241" s="10" t="n">
        <x:f>SUM(XLOOKUP('포켓몬_편집'!$AF241:$AN241,'분류_규칙'!$A$5:$A$76,'분류_규칙'!$K$5:$K$76,0))</x:f>
        <x:v>0</x:v>
      </x:c>
      <x:c r="L241" s="10" t="n">
        <x:f>SUM(XLOOKUP('포켓몬_편집'!$AF241:$AN241,'분류_규칙'!$A$5:$A$76,'분류_규칙'!$L$5:$L$76,0))</x:f>
        <x:v>0</x:v>
      </x:c>
      <x:c r="M241" s="10" t="n">
        <x:f>SUM(XLOOKUP('포켓몬_편집'!$AF241:$AN241,'분류_규칙'!$A$5:$A$76,'분류_규칙'!$M$5:$M$76,0))</x:f>
        <x:v>0</x:v>
      </x:c>
      <x:c r="N241" s="10" t="n">
        <x:f>SUM(XLOOKUP('포켓몬_편집'!$AF241:$AN241,'분류_규칙'!$A$5:$A$76,'분류_규칙'!$N$5:$N$76,0))</x:f>
        <x:v>0</x:v>
      </x:c>
      <x:c r="O241" s="10" t="n">
        <x:f>SUM(XLOOKUP('포켓몬_편집'!$AF241:$AN241,'분류_규칙'!$A$5:$A$76,'분류_규칙'!$O$5:$O$76,0))</x:f>
        <x:v>2</x:v>
      </x:c>
      <x:c r="P241" s="10" t="n">
        <x:f>SUM(XLOOKUP('포켓몬_편집'!$AF241:$AN241,'분류_규칙'!$A$5:$A$76,'분류_규칙'!$P$5:$P$76,0))</x:f>
        <x:v>0</x:v>
      </x:c>
    </x:row>
    <x:row r="242" ht="22" customHeight="1">
      <x:c r="A242" s="5" t="n">
        <x:v>238</x:v>
      </x:c>
      <x:c r="B242" s="5" t="inlineStr">
        <x:is>
          <x:t xml:space="preserve">뽀뽀라</x:t>
        </x:is>
      </x:c>
      <x:c r="C242" s="5" t="inlineStr">
        <x:is>
          <x:t xml:space="preserve">smoochum</x:t>
        </x:is>
      </x:c>
      <x:c r="D242" s="5" t="n">
        <x:v>2</x:v>
      </x:c>
      <x:c r="E242" s="10" t="n">
        <x:f>SUM(XLOOKUP('포켓몬_편집'!$AF242:$AN242,'분류_규칙'!$A$5:$A$76,'분류_규칙'!$E$5:$E$76,0))</x:f>
        <x:v>10</x:v>
      </x:c>
      <x:c r="F242" s="10" t="n">
        <x:f>SUM(XLOOKUP('포켓몬_편집'!$AF242:$AN242,'분류_규칙'!$A$5:$A$76,'분류_규칙'!$F$5:$F$76,0))</x:f>
        <x:v>7</x:v>
      </x:c>
      <x:c r="G242" s="10" t="n">
        <x:f>SUM(XLOOKUP('포켓몬_편집'!$AF242:$AN242,'분류_규칙'!$A$5:$A$76,'분류_규칙'!$G$5:$G$76,0))</x:f>
        <x:v>5</x:v>
      </x:c>
      <x:c r="H242" s="10" t="n">
        <x:f>SUM(XLOOKUP('포켓몬_편집'!$AF242:$AN242,'분류_규칙'!$A$5:$A$76,'분류_규칙'!$H$5:$H$76,0))</x:f>
        <x:v>5</x:v>
      </x:c>
      <x:c r="I242" s="10" t="n">
        <x:f>SUM(XLOOKUP('포켓몬_편집'!$AF242:$AN242,'분류_규칙'!$A$5:$A$76,'분류_규칙'!$I$5:$I$76,0))</x:f>
        <x:v>0</x:v>
      </x:c>
      <x:c r="J242" s="10" t="n">
        <x:f>SUM(XLOOKUP('포켓몬_편집'!$AF242:$AN242,'분류_규칙'!$A$5:$A$76,'분류_규칙'!$J$5:$J$76,0))</x:f>
        <x:v>2</x:v>
      </x:c>
      <x:c r="K242" s="10" t="n">
        <x:f>SUM(XLOOKUP('포켓몬_편집'!$AF242:$AN242,'분류_규칙'!$A$5:$A$76,'분류_규칙'!$K$5:$K$76,0))</x:f>
        <x:v>0</x:v>
      </x:c>
      <x:c r="L242" s="10" t="n">
        <x:f>SUM(XLOOKUP('포켓몬_편집'!$AF242:$AN242,'분류_규칙'!$A$5:$A$76,'분류_규칙'!$L$5:$L$76,0))</x:f>
        <x:v>0</x:v>
      </x:c>
      <x:c r="M242" s="10" t="n">
        <x:f>SUM(XLOOKUP('포켓몬_편집'!$AF242:$AN242,'분류_규칙'!$A$5:$A$76,'분류_규칙'!$M$5:$M$76,0))</x:f>
        <x:v>0</x:v>
      </x:c>
      <x:c r="N242" s="10" t="n">
        <x:f>SUM(XLOOKUP('포켓몬_편집'!$AF242:$AN242,'분류_규칙'!$A$5:$A$76,'분류_규칙'!$N$5:$N$76,0))</x:f>
        <x:v>0</x:v>
      </x:c>
      <x:c r="O242" s="10" t="n">
        <x:f>SUM(XLOOKUP('포켓몬_편집'!$AF242:$AN242,'분류_규칙'!$A$5:$A$76,'분류_규칙'!$O$5:$O$76,0))</x:f>
        <x:v>2</x:v>
      </x:c>
      <x:c r="P242" s="10" t="n">
        <x:f>SUM(XLOOKUP('포켓몬_편집'!$AF242:$AN242,'분류_규칙'!$A$5:$A$76,'분류_규칙'!$P$5:$P$76,0))</x:f>
        <x:v>0</x:v>
      </x:c>
    </x:row>
    <x:row r="243" ht="22" customHeight="1">
      <x:c r="A243" s="5" t="n">
        <x:v>239</x:v>
      </x:c>
      <x:c r="B243" s="5" t="inlineStr">
        <x:is>
          <x:t xml:space="preserve">에레키드</x:t>
        </x:is>
      </x:c>
      <x:c r="C243" s="5" t="inlineStr">
        <x:is>
          <x:t xml:space="preserve">elekid</x:t>
        </x:is>
      </x:c>
      <x:c r="D243" s="5" t="n">
        <x:v>2</x:v>
      </x:c>
      <x:c r="E243" s="10" t="n">
        <x:f>SUM(XLOOKUP('포켓몬_편집'!$AF243:$AN243,'분류_규칙'!$A$5:$A$76,'분류_규칙'!$E$5:$E$76,0))</x:f>
        <x:v>10</x:v>
      </x:c>
      <x:c r="F243" s="10" t="n">
        <x:f>SUM(XLOOKUP('포켓몬_편집'!$AF243:$AN243,'분류_규칙'!$A$5:$A$76,'분류_규칙'!$F$5:$F$76,0))</x:f>
        <x:v>7</x:v>
      </x:c>
      <x:c r="G243" s="10" t="n">
        <x:f>SUM(XLOOKUP('포켓몬_편집'!$AF243:$AN243,'분류_규칙'!$A$5:$A$76,'분류_규칙'!$G$5:$G$76,0))</x:f>
        <x:v>5</x:v>
      </x:c>
      <x:c r="H243" s="10" t="n">
        <x:f>SUM(XLOOKUP('포켓몬_편집'!$AF243:$AN243,'분류_규칙'!$A$5:$A$76,'분류_규칙'!$H$5:$H$76,0))</x:f>
        <x:v>5</x:v>
      </x:c>
      <x:c r="I243" s="10" t="n">
        <x:f>SUM(XLOOKUP('포켓몬_편집'!$AF243:$AN243,'분류_규칙'!$A$5:$A$76,'분류_규칙'!$I$5:$I$76,0))</x:f>
        <x:v>0</x:v>
      </x:c>
      <x:c r="J243" s="10" t="n">
        <x:f>SUM(XLOOKUP('포켓몬_편집'!$AF243:$AN243,'분류_규칙'!$A$5:$A$76,'분류_규칙'!$J$5:$J$76,0))</x:f>
        <x:v>2</x:v>
      </x:c>
      <x:c r="K243" s="10" t="n">
        <x:f>SUM(XLOOKUP('포켓몬_편집'!$AF243:$AN243,'분류_규칙'!$A$5:$A$76,'분류_규칙'!$K$5:$K$76,0))</x:f>
        <x:v>0</x:v>
      </x:c>
      <x:c r="L243" s="10" t="n">
        <x:f>SUM(XLOOKUP('포켓몬_편집'!$AF243:$AN243,'분류_규칙'!$A$5:$A$76,'분류_규칙'!$L$5:$L$76,0))</x:f>
        <x:v>0</x:v>
      </x:c>
      <x:c r="M243" s="10" t="n">
        <x:f>SUM(XLOOKUP('포켓몬_편집'!$AF243:$AN243,'분류_규칙'!$A$5:$A$76,'분류_규칙'!$M$5:$M$76,0))</x:f>
        <x:v>0</x:v>
      </x:c>
      <x:c r="N243" s="10" t="n">
        <x:f>SUM(XLOOKUP('포켓몬_편집'!$AF243:$AN243,'분류_규칙'!$A$5:$A$76,'분류_규칙'!$N$5:$N$76,0))</x:f>
        <x:v>0</x:v>
      </x:c>
      <x:c r="O243" s="10" t="n">
        <x:f>SUM(XLOOKUP('포켓몬_편집'!$AF243:$AN243,'분류_규칙'!$A$5:$A$76,'분류_규칙'!$O$5:$O$76,0))</x:f>
        <x:v>2</x:v>
      </x:c>
      <x:c r="P243" s="10" t="n">
        <x:f>SUM(XLOOKUP('포켓몬_편집'!$AF243:$AN243,'분류_규칙'!$A$5:$A$76,'분류_규칙'!$P$5:$P$76,0))</x:f>
        <x:v>0</x:v>
      </x:c>
    </x:row>
    <x:row r="244" ht="22" customHeight="1">
      <x:c r="A244" s="5" t="n">
        <x:v>240</x:v>
      </x:c>
      <x:c r="B244" s="5" t="inlineStr">
        <x:is>
          <x:t xml:space="preserve">마그비</x:t>
        </x:is>
      </x:c>
      <x:c r="C244" s="5" t="inlineStr">
        <x:is>
          <x:t xml:space="preserve">magby</x:t>
        </x:is>
      </x:c>
      <x:c r="D244" s="5" t="n">
        <x:v>2</x:v>
      </x:c>
      <x:c r="E244" s="10" t="n">
        <x:f>SUM(XLOOKUP('포켓몬_편집'!$AF244:$AN244,'분류_규칙'!$A$5:$A$76,'분류_규칙'!$E$5:$E$76,0))</x:f>
        <x:v>10</x:v>
      </x:c>
      <x:c r="F244" s="10" t="n">
        <x:f>SUM(XLOOKUP('포켓몬_편집'!$AF244:$AN244,'분류_규칙'!$A$5:$A$76,'분류_규칙'!$F$5:$F$76,0))</x:f>
        <x:v>7</x:v>
      </x:c>
      <x:c r="G244" s="10" t="n">
        <x:f>SUM(XLOOKUP('포켓몬_편집'!$AF244:$AN244,'분류_규칙'!$A$5:$A$76,'분류_규칙'!$G$5:$G$76,0))</x:f>
        <x:v>5</x:v>
      </x:c>
      <x:c r="H244" s="10" t="n">
        <x:f>SUM(XLOOKUP('포켓몬_편집'!$AF244:$AN244,'분류_규칙'!$A$5:$A$76,'분류_규칙'!$H$5:$H$76,0))</x:f>
        <x:v>5</x:v>
      </x:c>
      <x:c r="I244" s="10" t="n">
        <x:f>SUM(XLOOKUP('포켓몬_편집'!$AF244:$AN244,'분류_규칙'!$A$5:$A$76,'분류_규칙'!$I$5:$I$76,0))</x:f>
        <x:v>0</x:v>
      </x:c>
      <x:c r="J244" s="10" t="n">
        <x:f>SUM(XLOOKUP('포켓몬_편집'!$AF244:$AN244,'분류_규칙'!$A$5:$A$76,'분류_규칙'!$J$5:$J$76,0))</x:f>
        <x:v>2</x:v>
      </x:c>
      <x:c r="K244" s="10" t="n">
        <x:f>SUM(XLOOKUP('포켓몬_편집'!$AF244:$AN244,'분류_규칙'!$A$5:$A$76,'분류_규칙'!$K$5:$K$76,0))</x:f>
        <x:v>0</x:v>
      </x:c>
      <x:c r="L244" s="10" t="n">
        <x:f>SUM(XLOOKUP('포켓몬_편집'!$AF244:$AN244,'분류_규칙'!$A$5:$A$76,'분류_규칙'!$L$5:$L$76,0))</x:f>
        <x:v>0</x:v>
      </x:c>
      <x:c r="M244" s="10" t="n">
        <x:f>SUM(XLOOKUP('포켓몬_편집'!$AF244:$AN244,'분류_규칙'!$A$5:$A$76,'분류_규칙'!$M$5:$M$76,0))</x:f>
        <x:v>0</x:v>
      </x:c>
      <x:c r="N244" s="10" t="n">
        <x:f>SUM(XLOOKUP('포켓몬_편집'!$AF244:$AN244,'분류_규칙'!$A$5:$A$76,'분류_규칙'!$N$5:$N$76,0))</x:f>
        <x:v>0</x:v>
      </x:c>
      <x:c r="O244" s="10" t="n">
        <x:f>SUM(XLOOKUP('포켓몬_편집'!$AF244:$AN244,'분류_규칙'!$A$5:$A$76,'분류_규칙'!$O$5:$O$76,0))</x:f>
        <x:v>2</x:v>
      </x:c>
      <x:c r="P244" s="10" t="n">
        <x:f>SUM(XLOOKUP('포켓몬_편집'!$AF244:$AN244,'분류_규칙'!$A$5:$A$76,'분류_규칙'!$P$5:$P$76,0))</x:f>
        <x:v>0</x:v>
      </x:c>
    </x:row>
    <x:row r="245" ht="22" customHeight="1">
      <x:c r="A245" s="5" t="n">
        <x:v>241</x:v>
      </x:c>
      <x:c r="B245" s="5" t="inlineStr">
        <x:is>
          <x:t xml:space="preserve">밀탱크</x:t>
        </x:is>
      </x:c>
      <x:c r="C245" s="5" t="inlineStr">
        <x:is>
          <x:t xml:space="preserve">miltank</x:t>
        </x:is>
      </x:c>
      <x:c r="D245" s="5" t="n">
        <x:v>2</x:v>
      </x:c>
      <x:c r="E245" s="10" t="n">
        <x:f>SUM(XLOOKUP('포켓몬_편집'!$AF245:$AN245,'분류_규칙'!$A$5:$A$76,'분류_규칙'!$E$5:$E$76,0))</x:f>
        <x:v>10</x:v>
      </x:c>
      <x:c r="F245" s="10" t="n">
        <x:f>SUM(XLOOKUP('포켓몬_편집'!$AF245:$AN245,'분류_규칙'!$A$5:$A$76,'분류_규칙'!$F$5:$F$76,0))</x:f>
        <x:v>7</x:v>
      </x:c>
      <x:c r="G245" s="10" t="n">
        <x:f>SUM(XLOOKUP('포켓몬_편집'!$AF245:$AN245,'분류_규칙'!$A$5:$A$76,'분류_규칙'!$G$5:$G$76,0))</x:f>
        <x:v>5</x:v>
      </x:c>
      <x:c r="H245" s="10" t="n">
        <x:f>SUM(XLOOKUP('포켓몬_편집'!$AF245:$AN245,'분류_규칙'!$A$5:$A$76,'분류_규칙'!$H$5:$H$76,0))</x:f>
        <x:v>5</x:v>
      </x:c>
      <x:c r="I245" s="10" t="n">
        <x:f>SUM(XLOOKUP('포켓몬_편집'!$AF245:$AN245,'분류_규칙'!$A$5:$A$76,'분류_규칙'!$I$5:$I$76,0))</x:f>
        <x:v>0</x:v>
      </x:c>
      <x:c r="J245" s="10" t="n">
        <x:f>SUM(XLOOKUP('포켓몬_편집'!$AF245:$AN245,'분류_규칙'!$A$5:$A$76,'분류_규칙'!$J$5:$J$76,0))</x:f>
        <x:v>2</x:v>
      </x:c>
      <x:c r="K245" s="10" t="n">
        <x:f>SUM(XLOOKUP('포켓몬_편집'!$AF245:$AN245,'분류_규칙'!$A$5:$A$76,'분류_규칙'!$K$5:$K$76,0))</x:f>
        <x:v>0</x:v>
      </x:c>
      <x:c r="L245" s="10" t="n">
        <x:f>SUM(XLOOKUP('포켓몬_편집'!$AF245:$AN245,'분류_규칙'!$A$5:$A$76,'분류_규칙'!$L$5:$L$76,0))</x:f>
        <x:v>0</x:v>
      </x:c>
      <x:c r="M245" s="10" t="n">
        <x:f>SUM(XLOOKUP('포켓몬_편집'!$AF245:$AN245,'분류_규칙'!$A$5:$A$76,'분류_규칙'!$M$5:$M$76,0))</x:f>
        <x:v>0</x:v>
      </x:c>
      <x:c r="N245" s="10" t="n">
        <x:f>SUM(XLOOKUP('포켓몬_편집'!$AF245:$AN245,'분류_규칙'!$A$5:$A$76,'분류_규칙'!$N$5:$N$76,0))</x:f>
        <x:v>0</x:v>
      </x:c>
      <x:c r="O245" s="10" t="n">
        <x:f>SUM(XLOOKUP('포켓몬_편집'!$AF245:$AN245,'분류_규칙'!$A$5:$A$76,'분류_규칙'!$O$5:$O$76,0))</x:f>
        <x:v>2</x:v>
      </x:c>
      <x:c r="P245" s="10" t="n">
        <x:f>SUM(XLOOKUP('포켓몬_편집'!$AF245:$AN245,'분류_규칙'!$A$5:$A$76,'분류_규칙'!$P$5:$P$76,0))</x:f>
        <x:v>0</x:v>
      </x:c>
    </x:row>
    <x:row r="246" ht="22" customHeight="1">
      <x:c r="A246" s="5" t="n">
        <x:v>242</x:v>
      </x:c>
      <x:c r="B246" s="5" t="inlineStr">
        <x:is>
          <x:t xml:space="preserve">해피너스</x:t>
        </x:is>
      </x:c>
      <x:c r="C246" s="5" t="inlineStr">
        <x:is>
          <x:t xml:space="preserve">blissey</x:t>
        </x:is>
      </x:c>
      <x:c r="D246" s="5" t="n">
        <x:v>2</x:v>
      </x:c>
      <x:c r="E246" s="10" t="n">
        <x:f>SUM(XLOOKUP('포켓몬_편집'!$AF246:$AN246,'분류_규칙'!$A$5:$A$76,'분류_규칙'!$E$5:$E$76,0))</x:f>
        <x:v>10</x:v>
      </x:c>
      <x:c r="F246" s="10" t="n">
        <x:f>SUM(XLOOKUP('포켓몬_편집'!$AF246:$AN246,'분류_규칙'!$A$5:$A$76,'분류_규칙'!$F$5:$F$76,0))</x:f>
        <x:v>7</x:v>
      </x:c>
      <x:c r="G246" s="10" t="n">
        <x:f>SUM(XLOOKUP('포켓몬_편집'!$AF246:$AN246,'분류_규칙'!$A$5:$A$76,'분류_규칙'!$G$5:$G$76,0))</x:f>
        <x:v>5</x:v>
      </x:c>
      <x:c r="H246" s="10" t="n">
        <x:f>SUM(XLOOKUP('포켓몬_편집'!$AF246:$AN246,'분류_규칙'!$A$5:$A$76,'분류_규칙'!$H$5:$H$76,0))</x:f>
        <x:v>5</x:v>
      </x:c>
      <x:c r="I246" s="10" t="n">
        <x:f>SUM(XLOOKUP('포켓몬_편집'!$AF246:$AN246,'분류_규칙'!$A$5:$A$76,'분류_규칙'!$I$5:$I$76,0))</x:f>
        <x:v>0</x:v>
      </x:c>
      <x:c r="J246" s="10" t="n">
        <x:f>SUM(XLOOKUP('포켓몬_편집'!$AF246:$AN246,'분류_규칙'!$A$5:$A$76,'분류_규칙'!$J$5:$J$76,0))</x:f>
        <x:v>2</x:v>
      </x:c>
      <x:c r="K246" s="10" t="n">
        <x:f>SUM(XLOOKUP('포켓몬_편집'!$AF246:$AN246,'분류_규칙'!$A$5:$A$76,'분류_규칙'!$K$5:$K$76,0))</x:f>
        <x:v>0</x:v>
      </x:c>
      <x:c r="L246" s="10" t="n">
        <x:f>SUM(XLOOKUP('포켓몬_편집'!$AF246:$AN246,'분류_규칙'!$A$5:$A$76,'분류_규칙'!$L$5:$L$76,0))</x:f>
        <x:v>0</x:v>
      </x:c>
      <x:c r="M246" s="10" t="n">
        <x:f>SUM(XLOOKUP('포켓몬_편집'!$AF246:$AN246,'분류_규칙'!$A$5:$A$76,'분류_규칙'!$M$5:$M$76,0))</x:f>
        <x:v>0</x:v>
      </x:c>
      <x:c r="N246" s="10" t="n">
        <x:f>SUM(XLOOKUP('포켓몬_편집'!$AF246:$AN246,'분류_규칙'!$A$5:$A$76,'분류_규칙'!$N$5:$N$76,0))</x:f>
        <x:v>0</x:v>
      </x:c>
      <x:c r="O246" s="10" t="n">
        <x:f>SUM(XLOOKUP('포켓몬_편집'!$AF246:$AN246,'분류_규칙'!$A$5:$A$76,'분류_규칙'!$O$5:$O$76,0))</x:f>
        <x:v>2</x:v>
      </x:c>
      <x:c r="P246" s="10" t="n">
        <x:f>SUM(XLOOKUP('포켓몬_편집'!$AF246:$AN246,'분류_규칙'!$A$5:$A$76,'분류_규칙'!$P$5:$P$76,0))</x:f>
        <x:v>0</x:v>
      </x:c>
    </x:row>
    <x:row r="247" ht="22" customHeight="1">
      <x:c r="A247" s="5" t="n">
        <x:v>243</x:v>
      </x:c>
      <x:c r="B247" s="5" t="inlineStr">
        <x:is>
          <x:t xml:space="preserve">라이코</x:t>
        </x:is>
      </x:c>
      <x:c r="C247" s="5" t="inlineStr">
        <x:is>
          <x:t xml:space="preserve">raikou</x:t>
        </x:is>
      </x:c>
      <x:c r="D247" s="5" t="n">
        <x:v>2</x:v>
      </x:c>
      <x:c r="E247" s="10" t="n">
        <x:f>SUM(XLOOKUP('포켓몬_편집'!$AF247:$AN247,'분류_규칙'!$A$5:$A$76,'분류_규칙'!$E$5:$E$76,0))</x:f>
        <x:v>10</x:v>
      </x:c>
      <x:c r="F247" s="10" t="n">
        <x:f>SUM(XLOOKUP('포켓몬_편집'!$AF247:$AN247,'분류_규칙'!$A$5:$A$76,'분류_규칙'!$F$5:$F$76,0))</x:f>
        <x:v>7</x:v>
      </x:c>
      <x:c r="G247" s="10" t="n">
        <x:f>SUM(XLOOKUP('포켓몬_편집'!$AF247:$AN247,'분류_규칙'!$A$5:$A$76,'분류_규칙'!$G$5:$G$76,0))</x:f>
        <x:v>5</x:v>
      </x:c>
      <x:c r="H247" s="10" t="n">
        <x:f>SUM(XLOOKUP('포켓몬_편집'!$AF247:$AN247,'분류_규칙'!$A$5:$A$76,'분류_규칙'!$H$5:$H$76,0))</x:f>
        <x:v>5</x:v>
      </x:c>
      <x:c r="I247" s="10" t="n">
        <x:f>SUM(XLOOKUP('포켓몬_편집'!$AF247:$AN247,'분류_규칙'!$A$5:$A$76,'분류_규칙'!$I$5:$I$76,0))</x:f>
        <x:v>0</x:v>
      </x:c>
      <x:c r="J247" s="10" t="n">
        <x:f>SUM(XLOOKUP('포켓몬_편집'!$AF247:$AN247,'분류_규칙'!$A$5:$A$76,'분류_규칙'!$J$5:$J$76,0))</x:f>
        <x:v>2</x:v>
      </x:c>
      <x:c r="K247" s="10" t="n">
        <x:f>SUM(XLOOKUP('포켓몬_편집'!$AF247:$AN247,'분류_규칙'!$A$5:$A$76,'분류_규칙'!$K$5:$K$76,0))</x:f>
        <x:v>0</x:v>
      </x:c>
      <x:c r="L247" s="10" t="n">
        <x:f>SUM(XLOOKUP('포켓몬_편집'!$AF247:$AN247,'분류_규칙'!$A$5:$A$76,'분류_규칙'!$L$5:$L$76,0))</x:f>
        <x:v>0</x:v>
      </x:c>
      <x:c r="M247" s="10" t="n">
        <x:f>SUM(XLOOKUP('포켓몬_편집'!$AF247:$AN247,'분류_규칙'!$A$5:$A$76,'분류_규칙'!$M$5:$M$76,0))</x:f>
        <x:v>0</x:v>
      </x:c>
      <x:c r="N247" s="10" t="n">
        <x:f>SUM(XLOOKUP('포켓몬_편집'!$AF247:$AN247,'분류_규칙'!$A$5:$A$76,'분류_규칙'!$N$5:$N$76,0))</x:f>
        <x:v>0</x:v>
      </x:c>
      <x:c r="O247" s="10" t="n">
        <x:f>SUM(XLOOKUP('포켓몬_편집'!$AF247:$AN247,'분류_규칙'!$A$5:$A$76,'분류_규칙'!$O$5:$O$76,0))</x:f>
        <x:v>2</x:v>
      </x:c>
      <x:c r="P247" s="10" t="n">
        <x:f>SUM(XLOOKUP('포켓몬_편집'!$AF247:$AN247,'분류_규칙'!$A$5:$A$76,'분류_규칙'!$P$5:$P$76,0))</x:f>
        <x:v>0</x:v>
      </x:c>
    </x:row>
    <x:row r="248" ht="22" customHeight="1">
      <x:c r="A248" s="5" t="n">
        <x:v>244</x:v>
      </x:c>
      <x:c r="B248" s="5" t="inlineStr">
        <x:is>
          <x:t xml:space="preserve">앤테이</x:t>
        </x:is>
      </x:c>
      <x:c r="C248" s="5" t="inlineStr">
        <x:is>
          <x:t xml:space="preserve">entei</x:t>
        </x:is>
      </x:c>
      <x:c r="D248" s="5" t="n">
        <x:v>2</x:v>
      </x:c>
      <x:c r="E248" s="10" t="n">
        <x:f>SUM(XLOOKUP('포켓몬_편집'!$AF248:$AN248,'분류_규칙'!$A$5:$A$76,'분류_규칙'!$E$5:$E$76,0))</x:f>
        <x:v>10</x:v>
      </x:c>
      <x:c r="F248" s="10" t="n">
        <x:f>SUM(XLOOKUP('포켓몬_편집'!$AF248:$AN248,'분류_규칙'!$A$5:$A$76,'분류_규칙'!$F$5:$F$76,0))</x:f>
        <x:v>7</x:v>
      </x:c>
      <x:c r="G248" s="10" t="n">
        <x:f>SUM(XLOOKUP('포켓몬_편집'!$AF248:$AN248,'분류_규칙'!$A$5:$A$76,'분류_규칙'!$G$5:$G$76,0))</x:f>
        <x:v>5</x:v>
      </x:c>
      <x:c r="H248" s="10" t="n">
        <x:f>SUM(XLOOKUP('포켓몬_편집'!$AF248:$AN248,'분류_규칙'!$A$5:$A$76,'분류_규칙'!$H$5:$H$76,0))</x:f>
        <x:v>5</x:v>
      </x:c>
      <x:c r="I248" s="10" t="n">
        <x:f>SUM(XLOOKUP('포켓몬_편집'!$AF248:$AN248,'분류_규칙'!$A$5:$A$76,'분류_규칙'!$I$5:$I$76,0))</x:f>
        <x:v>0</x:v>
      </x:c>
      <x:c r="J248" s="10" t="n">
        <x:f>SUM(XLOOKUP('포켓몬_편집'!$AF248:$AN248,'분류_규칙'!$A$5:$A$76,'분류_규칙'!$J$5:$J$76,0))</x:f>
        <x:v>2</x:v>
      </x:c>
      <x:c r="K248" s="10" t="n">
        <x:f>SUM(XLOOKUP('포켓몬_편집'!$AF248:$AN248,'분류_규칙'!$A$5:$A$76,'분류_규칙'!$K$5:$K$76,0))</x:f>
        <x:v>0</x:v>
      </x:c>
      <x:c r="L248" s="10" t="n">
        <x:f>SUM(XLOOKUP('포켓몬_편집'!$AF248:$AN248,'분류_규칙'!$A$5:$A$76,'분류_규칙'!$L$5:$L$76,0))</x:f>
        <x:v>0</x:v>
      </x:c>
      <x:c r="M248" s="10" t="n">
        <x:f>SUM(XLOOKUP('포켓몬_편집'!$AF248:$AN248,'분류_규칙'!$A$5:$A$76,'분류_규칙'!$M$5:$M$76,0))</x:f>
        <x:v>0</x:v>
      </x:c>
      <x:c r="N248" s="10" t="n">
        <x:f>SUM(XLOOKUP('포켓몬_편집'!$AF248:$AN248,'분류_규칙'!$A$5:$A$76,'분류_규칙'!$N$5:$N$76,0))</x:f>
        <x:v>0</x:v>
      </x:c>
      <x:c r="O248" s="10" t="n">
        <x:f>SUM(XLOOKUP('포켓몬_편집'!$AF248:$AN248,'분류_규칙'!$A$5:$A$76,'분류_규칙'!$O$5:$O$76,0))</x:f>
        <x:v>2</x:v>
      </x:c>
      <x:c r="P248" s="10" t="n">
        <x:f>SUM(XLOOKUP('포켓몬_편집'!$AF248:$AN248,'분류_규칙'!$A$5:$A$76,'분류_규칙'!$P$5:$P$76,0))</x:f>
        <x:v>0</x:v>
      </x:c>
    </x:row>
    <x:row r="249" ht="22" customHeight="1">
      <x:c r="A249" s="5" t="n">
        <x:v>245</x:v>
      </x:c>
      <x:c r="B249" s="5" t="inlineStr">
        <x:is>
          <x:t xml:space="preserve">스이쿤</x:t>
        </x:is>
      </x:c>
      <x:c r="C249" s="5" t="inlineStr">
        <x:is>
          <x:t xml:space="preserve">suicune</x:t>
        </x:is>
      </x:c>
      <x:c r="D249" s="5" t="n">
        <x:v>2</x:v>
      </x:c>
      <x:c r="E249" s="10" t="n">
        <x:f>SUM(XLOOKUP('포켓몬_편집'!$AF249:$AN249,'분류_규칙'!$A$5:$A$76,'분류_규칙'!$E$5:$E$76,0))</x:f>
        <x:v>0</x:v>
      </x:c>
      <x:c r="F249" s="10" t="n">
        <x:f>SUM(XLOOKUP('포켓몬_편집'!$AF249:$AN249,'분류_규칙'!$A$5:$A$76,'분류_규칙'!$F$5:$F$76,0))</x:f>
        <x:v>0</x:v>
      </x:c>
      <x:c r="G249" s="10" t="n">
        <x:f>SUM(XLOOKUP('포켓몬_편집'!$AF249:$AN249,'분류_규칙'!$A$5:$A$76,'분류_규칙'!$G$5:$G$76,0))</x:f>
        <x:v>0</x:v>
      </x:c>
      <x:c r="H249" s="10" t="n">
        <x:f>SUM(XLOOKUP('포켓몬_편집'!$AF249:$AN249,'분류_규칙'!$A$5:$A$76,'분류_규칙'!$H$5:$H$76,0))</x:f>
        <x:v>0</x:v>
      </x:c>
      <x:c r="I249" s="10" t="n">
        <x:f>SUM(XLOOKUP('포켓몬_편집'!$AF249:$AN249,'분류_규칙'!$A$5:$A$76,'분류_규칙'!$I$5:$I$76,0))</x:f>
        <x:v>0</x:v>
      </x:c>
      <x:c r="J249" s="10" t="n">
        <x:f>SUM(XLOOKUP('포켓몬_편집'!$AF249:$AN249,'분류_규칙'!$A$5:$A$76,'분류_규칙'!$J$5:$J$76,0))</x:f>
        <x:v>22</x:v>
      </x:c>
      <x:c r="K249" s="10" t="n">
        <x:f>SUM(XLOOKUP('포켓몬_편집'!$AF249:$AN249,'분류_규칙'!$A$5:$A$76,'분류_규칙'!$K$5:$K$76,0))</x:f>
        <x:v>16</x:v>
      </x:c>
      <x:c r="L249" s="10" t="n">
        <x:f>SUM(XLOOKUP('포켓몬_편집'!$AF249:$AN249,'분류_규칙'!$A$5:$A$76,'분류_규칙'!$L$5:$L$76,0))</x:f>
        <x:v>8</x:v>
      </x:c>
      <x:c r="M249" s="10" t="n">
        <x:f>SUM(XLOOKUP('포켓몬_편집'!$AF249:$AN249,'분류_규칙'!$A$5:$A$76,'분류_규칙'!$M$5:$M$76,0))</x:f>
        <x:v>0</x:v>
      </x:c>
      <x:c r="N249" s="10" t="n">
        <x:f>SUM(XLOOKUP('포켓몬_편집'!$AF249:$AN249,'분류_규칙'!$A$5:$A$76,'분류_규칙'!$N$5:$N$76,0))</x:f>
        <x:v>0</x:v>
      </x:c>
      <x:c r="O249" s="10" t="n">
        <x:f>SUM(XLOOKUP('포켓몬_편집'!$AF249:$AN249,'분류_규칙'!$A$5:$A$76,'분류_규칙'!$O$5:$O$76,0))</x:f>
        <x:v>0</x:v>
      </x:c>
      <x:c r="P249" s="10" t="n">
        <x:f>SUM(XLOOKUP('포켓몬_편집'!$AF249:$AN249,'분류_규칙'!$A$5:$A$76,'분류_규칙'!$P$5:$P$76,0))</x:f>
        <x:v>0</x:v>
      </x:c>
    </x:row>
    <x:row r="250" ht="22" customHeight="1">
      <x:c r="A250" s="5" t="n">
        <x:v>246</x:v>
      </x:c>
      <x:c r="B250" s="5" t="inlineStr">
        <x:is>
          <x:t xml:space="preserve">애버라스</x:t>
        </x:is>
      </x:c>
      <x:c r="C250" s="5" t="inlineStr">
        <x:is>
          <x:t xml:space="preserve">larvitar</x:t>
        </x:is>
      </x:c>
      <x:c r="D250" s="5" t="n">
        <x:v>2</x:v>
      </x:c>
      <x:c r="E250" s="10" t="n">
        <x:f>SUM(XLOOKUP('포켓몬_편집'!$AF250:$AN250,'분류_규칙'!$A$5:$A$76,'분류_규칙'!$E$5:$E$76,0))</x:f>
        <x:v>10</x:v>
      </x:c>
      <x:c r="F250" s="10" t="n">
        <x:f>SUM(XLOOKUP('포켓몬_편집'!$AF250:$AN250,'분류_규칙'!$A$5:$A$76,'분류_규칙'!$F$5:$F$76,0))</x:f>
        <x:v>7</x:v>
      </x:c>
      <x:c r="G250" s="10" t="n">
        <x:f>SUM(XLOOKUP('포켓몬_편집'!$AF250:$AN250,'분류_규칙'!$A$5:$A$76,'분류_규칙'!$G$5:$G$76,0))</x:f>
        <x:v>5</x:v>
      </x:c>
      <x:c r="H250" s="10" t="n">
        <x:f>SUM(XLOOKUP('포켓몬_편집'!$AF250:$AN250,'분류_규칙'!$A$5:$A$76,'분류_규칙'!$H$5:$H$76,0))</x:f>
        <x:v>5</x:v>
      </x:c>
      <x:c r="I250" s="10" t="n">
        <x:f>SUM(XLOOKUP('포켓몬_편집'!$AF250:$AN250,'분류_규칙'!$A$5:$A$76,'분류_규칙'!$I$5:$I$76,0))</x:f>
        <x:v>0</x:v>
      </x:c>
      <x:c r="J250" s="10" t="n">
        <x:f>SUM(XLOOKUP('포켓몬_편집'!$AF250:$AN250,'분류_규칙'!$A$5:$A$76,'분류_규칙'!$J$5:$J$76,0))</x:f>
        <x:v>2</x:v>
      </x:c>
      <x:c r="K250" s="10" t="n">
        <x:f>SUM(XLOOKUP('포켓몬_편집'!$AF250:$AN250,'분류_규칙'!$A$5:$A$76,'분류_규칙'!$K$5:$K$76,0))</x:f>
        <x:v>0</x:v>
      </x:c>
      <x:c r="L250" s="10" t="n">
        <x:f>SUM(XLOOKUP('포켓몬_편집'!$AF250:$AN250,'분류_규칙'!$A$5:$A$76,'분류_규칙'!$L$5:$L$76,0))</x:f>
        <x:v>0</x:v>
      </x:c>
      <x:c r="M250" s="10" t="n">
        <x:f>SUM(XLOOKUP('포켓몬_편집'!$AF250:$AN250,'분류_규칙'!$A$5:$A$76,'분류_규칙'!$M$5:$M$76,0))</x:f>
        <x:v>0</x:v>
      </x:c>
      <x:c r="N250" s="10" t="n">
        <x:f>SUM(XLOOKUP('포켓몬_편집'!$AF250:$AN250,'분류_규칙'!$A$5:$A$76,'분류_규칙'!$N$5:$N$76,0))</x:f>
        <x:v>0</x:v>
      </x:c>
      <x:c r="O250" s="10" t="n">
        <x:f>SUM(XLOOKUP('포켓몬_편집'!$AF250:$AN250,'분류_규칙'!$A$5:$A$76,'분류_규칙'!$O$5:$O$76,0))</x:f>
        <x:v>2</x:v>
      </x:c>
      <x:c r="P250" s="10" t="n">
        <x:f>SUM(XLOOKUP('포켓몬_편집'!$AF250:$AN250,'분류_규칙'!$A$5:$A$76,'분류_규칙'!$P$5:$P$76,0))</x:f>
        <x:v>0</x:v>
      </x:c>
    </x:row>
    <x:row r="251" ht="22" customHeight="1">
      <x:c r="A251" s="5" t="n">
        <x:v>247</x:v>
      </x:c>
      <x:c r="B251" s="5" t="inlineStr">
        <x:is>
          <x:t xml:space="preserve">데기라스</x:t>
        </x:is>
      </x:c>
      <x:c r="C251" s="5" t="inlineStr">
        <x:is>
          <x:t xml:space="preserve">pupitar</x:t>
        </x:is>
      </x:c>
      <x:c r="D251" s="5" t="n">
        <x:v>2</x:v>
      </x:c>
      <x:c r="E251" s="10" t="n">
        <x:f>SUM(XLOOKUP('포켓몬_편집'!$AF251:$AN251,'분류_규칙'!$A$5:$A$76,'분류_규칙'!$E$5:$E$76,0))</x:f>
        <x:v>10</x:v>
      </x:c>
      <x:c r="F251" s="10" t="n">
        <x:f>SUM(XLOOKUP('포켓몬_편집'!$AF251:$AN251,'분류_규칙'!$A$5:$A$76,'분류_규칙'!$F$5:$F$76,0))</x:f>
        <x:v>7</x:v>
      </x:c>
      <x:c r="G251" s="10" t="n">
        <x:f>SUM(XLOOKUP('포켓몬_편집'!$AF251:$AN251,'분류_규칙'!$A$5:$A$76,'분류_규칙'!$G$5:$G$76,0))</x:f>
        <x:v>5</x:v>
      </x:c>
      <x:c r="H251" s="10" t="n">
        <x:f>SUM(XLOOKUP('포켓몬_편집'!$AF251:$AN251,'분류_규칙'!$A$5:$A$76,'분류_규칙'!$H$5:$H$76,0))</x:f>
        <x:v>5</x:v>
      </x:c>
      <x:c r="I251" s="10" t="n">
        <x:f>SUM(XLOOKUP('포켓몬_편집'!$AF251:$AN251,'분류_규칙'!$A$5:$A$76,'분류_규칙'!$I$5:$I$76,0))</x:f>
        <x:v>0</x:v>
      </x:c>
      <x:c r="J251" s="10" t="n">
        <x:f>SUM(XLOOKUP('포켓몬_편집'!$AF251:$AN251,'분류_규칙'!$A$5:$A$76,'분류_규칙'!$J$5:$J$76,0))</x:f>
        <x:v>2</x:v>
      </x:c>
      <x:c r="K251" s="10" t="n">
        <x:f>SUM(XLOOKUP('포켓몬_편집'!$AF251:$AN251,'분류_규칙'!$A$5:$A$76,'분류_규칙'!$K$5:$K$76,0))</x:f>
        <x:v>0</x:v>
      </x:c>
      <x:c r="L251" s="10" t="n">
        <x:f>SUM(XLOOKUP('포켓몬_편집'!$AF251:$AN251,'분류_규칙'!$A$5:$A$76,'분류_규칙'!$L$5:$L$76,0))</x:f>
        <x:v>0</x:v>
      </x:c>
      <x:c r="M251" s="10" t="n">
        <x:f>SUM(XLOOKUP('포켓몬_편집'!$AF251:$AN251,'분류_규칙'!$A$5:$A$76,'분류_규칙'!$M$5:$M$76,0))</x:f>
        <x:v>0</x:v>
      </x:c>
      <x:c r="N251" s="10" t="n">
        <x:f>SUM(XLOOKUP('포켓몬_편집'!$AF251:$AN251,'분류_규칙'!$A$5:$A$76,'분류_규칙'!$N$5:$N$76,0))</x:f>
        <x:v>0</x:v>
      </x:c>
      <x:c r="O251" s="10" t="n">
        <x:f>SUM(XLOOKUP('포켓몬_편집'!$AF251:$AN251,'분류_규칙'!$A$5:$A$76,'분류_규칙'!$O$5:$O$76,0))</x:f>
        <x:v>2</x:v>
      </x:c>
      <x:c r="P251" s="10" t="n">
        <x:f>SUM(XLOOKUP('포켓몬_편집'!$AF251:$AN251,'분류_규칙'!$A$5:$A$76,'분류_규칙'!$P$5:$P$76,0))</x:f>
        <x:v>0</x:v>
      </x:c>
    </x:row>
    <x:row r="252" ht="22" customHeight="1">
      <x:c r="A252" s="5" t="n">
        <x:v>248</x:v>
      </x:c>
      <x:c r="B252" s="5" t="inlineStr">
        <x:is>
          <x:t xml:space="preserve">마기라스</x:t>
        </x:is>
      </x:c>
      <x:c r="C252" s="5" t="inlineStr">
        <x:is>
          <x:t xml:space="preserve">tyranitar</x:t>
        </x:is>
      </x:c>
      <x:c r="D252" s="5" t="n">
        <x:v>2</x:v>
      </x:c>
      <x:c r="E252" s="10" t="n">
        <x:f>SUM(XLOOKUP('포켓몬_편집'!$AF252:$AN252,'분류_규칙'!$A$5:$A$76,'분류_규칙'!$E$5:$E$76,0))</x:f>
        <x:v>10</x:v>
      </x:c>
      <x:c r="F252" s="10" t="n">
        <x:f>SUM(XLOOKUP('포켓몬_편집'!$AF252:$AN252,'분류_규칙'!$A$5:$A$76,'분류_규칙'!$F$5:$F$76,0))</x:f>
        <x:v>7</x:v>
      </x:c>
      <x:c r="G252" s="10" t="n">
        <x:f>SUM(XLOOKUP('포켓몬_편집'!$AF252:$AN252,'분류_규칙'!$A$5:$A$76,'분류_규칙'!$G$5:$G$76,0))</x:f>
        <x:v>5</x:v>
      </x:c>
      <x:c r="H252" s="10" t="n">
        <x:f>SUM(XLOOKUP('포켓몬_편집'!$AF252:$AN252,'분류_규칙'!$A$5:$A$76,'분류_규칙'!$H$5:$H$76,0))</x:f>
        <x:v>5</x:v>
      </x:c>
      <x:c r="I252" s="10" t="n">
        <x:f>SUM(XLOOKUP('포켓몬_편집'!$AF252:$AN252,'분류_규칙'!$A$5:$A$76,'분류_규칙'!$I$5:$I$76,0))</x:f>
        <x:v>0</x:v>
      </x:c>
      <x:c r="J252" s="10" t="n">
        <x:f>SUM(XLOOKUP('포켓몬_편집'!$AF252:$AN252,'분류_규칙'!$A$5:$A$76,'분류_규칙'!$J$5:$J$76,0))</x:f>
        <x:v>2</x:v>
      </x:c>
      <x:c r="K252" s="10" t="n">
        <x:f>SUM(XLOOKUP('포켓몬_편집'!$AF252:$AN252,'분류_규칙'!$A$5:$A$76,'분류_규칙'!$K$5:$K$76,0))</x:f>
        <x:v>0</x:v>
      </x:c>
      <x:c r="L252" s="10" t="n">
        <x:f>SUM(XLOOKUP('포켓몬_편집'!$AF252:$AN252,'분류_규칙'!$A$5:$A$76,'분류_규칙'!$L$5:$L$76,0))</x:f>
        <x:v>0</x:v>
      </x:c>
      <x:c r="M252" s="10" t="n">
        <x:f>SUM(XLOOKUP('포켓몬_편집'!$AF252:$AN252,'분류_규칙'!$A$5:$A$76,'분류_규칙'!$M$5:$M$76,0))</x:f>
        <x:v>0</x:v>
      </x:c>
      <x:c r="N252" s="10" t="n">
        <x:f>SUM(XLOOKUP('포켓몬_편집'!$AF252:$AN252,'분류_규칙'!$A$5:$A$76,'분류_규칙'!$N$5:$N$76,0))</x:f>
        <x:v>0</x:v>
      </x:c>
      <x:c r="O252" s="10" t="n">
        <x:f>SUM(XLOOKUP('포켓몬_편집'!$AF252:$AN252,'분류_규칙'!$A$5:$A$76,'분류_규칙'!$O$5:$O$76,0))</x:f>
        <x:v>2</x:v>
      </x:c>
      <x:c r="P252" s="10" t="n">
        <x:f>SUM(XLOOKUP('포켓몬_편집'!$AF252:$AN252,'분류_규칙'!$A$5:$A$76,'분류_규칙'!$P$5:$P$76,0))</x:f>
        <x:v>0</x:v>
      </x:c>
    </x:row>
    <x:row r="253" ht="22" customHeight="1">
      <x:c r="A253" s="5" t="n">
        <x:v>249</x:v>
      </x:c>
      <x:c r="B253" s="5" t="inlineStr">
        <x:is>
          <x:t xml:space="preserve">루기아</x:t>
        </x:is>
      </x:c>
      <x:c r="C253" s="5" t="inlineStr">
        <x:is>
          <x:t xml:space="preserve">lugia</x:t>
        </x:is>
      </x:c>
      <x:c r="D253" s="5" t="n">
        <x:v>2</x:v>
      </x:c>
      <x:c r="E253" s="10" t="n">
        <x:f>SUM(XLOOKUP('포켓몬_편집'!$AF253:$AN253,'분류_규칙'!$A$5:$A$76,'분류_규칙'!$E$5:$E$76,0))</x:f>
        <x:v>8</x:v>
      </x:c>
      <x:c r="F253" s="10" t="n">
        <x:f>SUM(XLOOKUP('포켓몬_편집'!$AF253:$AN253,'분류_규칙'!$A$5:$A$76,'분류_규칙'!$F$5:$F$76,0))</x:f>
        <x:v>8</x:v>
      </x:c>
      <x:c r="G253" s="10" t="n">
        <x:f>SUM(XLOOKUP('포켓몬_편집'!$AF253:$AN253,'분류_규칙'!$A$5:$A$76,'분류_규칙'!$G$5:$G$76,0))</x:f>
        <x:v>0</x:v>
      </x:c>
      <x:c r="H253" s="10" t="n">
        <x:f>SUM(XLOOKUP('포켓몬_편집'!$AF253:$AN253,'분류_규칙'!$A$5:$A$76,'분류_규칙'!$H$5:$H$76,0))</x:f>
        <x:v>12</x:v>
      </x:c>
      <x:c r="I253" s="10" t="n">
        <x:f>SUM(XLOOKUP('포켓몬_편집'!$AF253:$AN253,'분류_규칙'!$A$5:$A$76,'분류_규칙'!$I$5:$I$76,0))</x:f>
        <x:v>0</x:v>
      </x:c>
      <x:c r="J253" s="10" t="n">
        <x:f>SUM(XLOOKUP('포켓몬_편집'!$AF253:$AN253,'분류_규칙'!$A$5:$A$76,'분류_규칙'!$J$5:$J$76,0))</x:f>
        <x:v>0</x:v>
      </x:c>
      <x:c r="K253" s="10" t="n">
        <x:f>SUM(XLOOKUP('포켓몬_편집'!$AF253:$AN253,'분류_규칙'!$A$5:$A$76,'분류_규칙'!$K$5:$K$76,0))</x:f>
        <x:v>0</x:v>
      </x:c>
      <x:c r="L253" s="10" t="n">
        <x:f>SUM(XLOOKUP('포켓몬_편집'!$AF253:$AN253,'분류_규칙'!$A$5:$A$76,'분류_규칙'!$L$5:$L$76,0))</x:f>
        <x:v>3</x:v>
      </x:c>
      <x:c r="M253" s="10" t="n">
        <x:f>SUM(XLOOKUP('포켓몬_편집'!$AF253:$AN253,'분류_규칙'!$A$5:$A$76,'분류_규칙'!$M$5:$M$76,0))</x:f>
        <x:v>0</x:v>
      </x:c>
      <x:c r="N253" s="10" t="n">
        <x:f>SUM(XLOOKUP('포켓몬_편집'!$AF253:$AN253,'분류_규칙'!$A$5:$A$76,'분류_규칙'!$N$5:$N$76,0))</x:f>
        <x:v>0</x:v>
      </x:c>
      <x:c r="O253" s="10" t="n">
        <x:f>SUM(XLOOKUP('포켓몬_편집'!$AF253:$AN253,'분류_규칙'!$A$5:$A$76,'분류_규칙'!$O$5:$O$76,0))</x:f>
        <x:v>2</x:v>
      </x:c>
      <x:c r="P253" s="10" t="n">
        <x:f>SUM(XLOOKUP('포켓몬_편집'!$AF253:$AN253,'분류_규칙'!$A$5:$A$76,'분류_규칙'!$P$5:$P$76,0))</x:f>
        <x:v>0</x:v>
      </x:c>
    </x:row>
    <x:row r="254" ht="22" customHeight="1">
      <x:c r="A254" s="5" t="n">
        <x:v>250</x:v>
      </x:c>
      <x:c r="B254" s="5" t="inlineStr">
        <x:is>
          <x:t xml:space="preserve">칠색조</x:t>
        </x:is>
      </x:c>
      <x:c r="C254" s="5" t="inlineStr">
        <x:is>
          <x:t xml:space="preserve">hooh</x:t>
        </x:is>
      </x:c>
      <x:c r="D254" s="5" t="n">
        <x:v>2</x:v>
      </x:c>
      <x:c r="E254" s="10" t="n">
        <x:f>SUM(XLOOKUP('포켓몬_편집'!$AF254:$AN254,'분류_규칙'!$A$5:$A$76,'분류_규칙'!$E$5:$E$76,0))</x:f>
        <x:v>8</x:v>
      </x:c>
      <x:c r="F254" s="10" t="n">
        <x:f>SUM(XLOOKUP('포켓몬_편집'!$AF254:$AN254,'분류_규칙'!$A$5:$A$76,'분류_규칙'!$F$5:$F$76,0))</x:f>
        <x:v>8</x:v>
      </x:c>
      <x:c r="G254" s="10" t="n">
        <x:f>SUM(XLOOKUP('포켓몬_편집'!$AF254:$AN254,'분류_규칙'!$A$5:$A$76,'분류_규칙'!$G$5:$G$76,0))</x:f>
        <x:v>0</x:v>
      </x:c>
      <x:c r="H254" s="10" t="n">
        <x:f>SUM(XLOOKUP('포켓몬_편집'!$AF254:$AN254,'분류_규칙'!$A$5:$A$76,'분류_규칙'!$H$5:$H$76,0))</x:f>
        <x:v>12</x:v>
      </x:c>
      <x:c r="I254" s="10" t="n">
        <x:f>SUM(XLOOKUP('포켓몬_편집'!$AF254:$AN254,'분류_규칙'!$A$5:$A$76,'분류_규칙'!$I$5:$I$76,0))</x:f>
        <x:v>0</x:v>
      </x:c>
      <x:c r="J254" s="10" t="n">
        <x:f>SUM(XLOOKUP('포켓몬_편집'!$AF254:$AN254,'분류_규칙'!$A$5:$A$76,'분류_규칙'!$J$5:$J$76,0))</x:f>
        <x:v>0</x:v>
      </x:c>
      <x:c r="K254" s="10" t="n">
        <x:f>SUM(XLOOKUP('포켓몬_편집'!$AF254:$AN254,'분류_규칙'!$A$5:$A$76,'분류_규칙'!$K$5:$K$76,0))</x:f>
        <x:v>0</x:v>
      </x:c>
      <x:c r="L254" s="10" t="n">
        <x:f>SUM(XLOOKUP('포켓몬_편집'!$AF254:$AN254,'분류_규칙'!$A$5:$A$76,'분류_규칙'!$L$5:$L$76,0))</x:f>
        <x:v>3</x:v>
      </x:c>
      <x:c r="M254" s="10" t="n">
        <x:f>SUM(XLOOKUP('포켓몬_편집'!$AF254:$AN254,'분류_규칙'!$A$5:$A$76,'분류_규칙'!$M$5:$M$76,0))</x:f>
        <x:v>0</x:v>
      </x:c>
      <x:c r="N254" s="10" t="n">
        <x:f>SUM(XLOOKUP('포켓몬_편집'!$AF254:$AN254,'분류_규칙'!$A$5:$A$76,'분류_규칙'!$N$5:$N$76,0))</x:f>
        <x:v>0</x:v>
      </x:c>
      <x:c r="O254" s="10" t="n">
        <x:f>SUM(XLOOKUP('포켓몬_편집'!$AF254:$AN254,'분류_규칙'!$A$5:$A$76,'분류_규칙'!$O$5:$O$76,0))</x:f>
        <x:v>2</x:v>
      </x:c>
      <x:c r="P254" s="10" t="n">
        <x:f>SUM(XLOOKUP('포켓몬_편집'!$AF254:$AN254,'분류_규칙'!$A$5:$A$76,'분류_규칙'!$P$5:$P$76,0))</x:f>
        <x:v>0</x:v>
      </x:c>
    </x:row>
    <x:row r="255" ht="22" customHeight="1">
      <x:c r="A255" s="5" t="n">
        <x:v>251</x:v>
      </x:c>
      <x:c r="B255" s="5" t="inlineStr">
        <x:is>
          <x:t xml:space="preserve">세레비</x:t>
        </x:is>
      </x:c>
      <x:c r="C255" s="5" t="inlineStr">
        <x:is>
          <x:t xml:space="preserve">celebi</x:t>
        </x:is>
      </x:c>
      <x:c r="D255" s="5" t="n">
        <x:v>2</x:v>
      </x:c>
      <x:c r="E255" s="10" t="n">
        <x:f>SUM(XLOOKUP('포켓몬_편집'!$AF255:$AN255,'분류_규칙'!$A$5:$A$76,'분류_규칙'!$E$5:$E$76,0))</x:f>
        <x:v>8</x:v>
      </x:c>
      <x:c r="F255" s="10" t="n">
        <x:f>SUM(XLOOKUP('포켓몬_편집'!$AF255:$AN255,'분류_규칙'!$A$5:$A$76,'분류_규칙'!$F$5:$F$76,0))</x:f>
        <x:v>8</x:v>
      </x:c>
      <x:c r="G255" s="10" t="n">
        <x:f>SUM(XLOOKUP('포켓몬_편집'!$AF255:$AN255,'분류_규칙'!$A$5:$A$76,'분류_규칙'!$G$5:$G$76,0))</x:f>
        <x:v>0</x:v>
      </x:c>
      <x:c r="H255" s="10" t="n">
        <x:f>SUM(XLOOKUP('포켓몬_편집'!$AF255:$AN255,'분류_규칙'!$A$5:$A$76,'분류_규칙'!$H$5:$H$76,0))</x:f>
        <x:v>12</x:v>
      </x:c>
      <x:c r="I255" s="10" t="n">
        <x:f>SUM(XLOOKUP('포켓몬_편집'!$AF255:$AN255,'분류_규칙'!$A$5:$A$76,'분류_규칙'!$I$5:$I$76,0))</x:f>
        <x:v>0</x:v>
      </x:c>
      <x:c r="J255" s="10" t="n">
        <x:f>SUM(XLOOKUP('포켓몬_편집'!$AF255:$AN255,'분류_규칙'!$A$5:$A$76,'분류_규칙'!$J$5:$J$76,0))</x:f>
        <x:v>0</x:v>
      </x:c>
      <x:c r="K255" s="10" t="n">
        <x:f>SUM(XLOOKUP('포켓몬_편집'!$AF255:$AN255,'분류_규칙'!$A$5:$A$76,'분류_규칙'!$K$5:$K$76,0))</x:f>
        <x:v>0</x:v>
      </x:c>
      <x:c r="L255" s="10" t="n">
        <x:f>SUM(XLOOKUP('포켓몬_편집'!$AF255:$AN255,'분류_규칙'!$A$5:$A$76,'분류_규칙'!$L$5:$L$76,0))</x:f>
        <x:v>3</x:v>
      </x:c>
      <x:c r="M255" s="10" t="n">
        <x:f>SUM(XLOOKUP('포켓몬_편집'!$AF255:$AN255,'분류_규칙'!$A$5:$A$76,'분류_규칙'!$M$5:$M$76,0))</x:f>
        <x:v>0</x:v>
      </x:c>
      <x:c r="N255" s="10" t="n">
        <x:f>SUM(XLOOKUP('포켓몬_편집'!$AF255:$AN255,'분류_규칙'!$A$5:$A$76,'분류_규칙'!$N$5:$N$76,0))</x:f>
        <x:v>0</x:v>
      </x:c>
      <x:c r="O255" s="10" t="n">
        <x:f>SUM(XLOOKUP('포켓몬_편집'!$AF255:$AN255,'분류_규칙'!$A$5:$A$76,'분류_규칙'!$O$5:$O$76,0))</x:f>
        <x:v>2</x:v>
      </x:c>
      <x:c r="P255" s="10" t="n">
        <x:f>SUM(XLOOKUP('포켓몬_편집'!$AF255:$AN255,'분류_규칙'!$A$5:$A$76,'분류_규칙'!$P$5:$P$76,0))</x:f>
        <x:v>0</x:v>
      </x:c>
    </x:row>
    <x:row r="256" ht="22" customHeight="1">
      <x:c r="A256" s="5" t="n">
        <x:v>252</x:v>
      </x:c>
      <x:c r="B256" s="5" t="inlineStr">
        <x:is>
          <x:t xml:space="preserve">나무지기</x:t>
        </x:is>
      </x:c>
      <x:c r="C256" s="5" t="inlineStr">
        <x:is>
          <x:t xml:space="preserve">treecko</x:t>
        </x:is>
      </x:c>
      <x:c r="D256" s="5" t="n">
        <x:v>3</x:v>
      </x:c>
      <x:c r="E256" s="10" t="n">
        <x:f>SUM(XLOOKUP('포켓몬_편집'!$AF256:$AN256,'분류_규칙'!$A$5:$A$76,'분류_규칙'!$E$5:$E$76,0))</x:f>
        <x:v>10</x:v>
      </x:c>
      <x:c r="F256" s="10" t="n">
        <x:f>SUM(XLOOKUP('포켓몬_편집'!$AF256:$AN256,'분류_규칙'!$A$5:$A$76,'분류_규칙'!$F$5:$F$76,0))</x:f>
        <x:v>7</x:v>
      </x:c>
      <x:c r="G256" s="10" t="n">
        <x:f>SUM(XLOOKUP('포켓몬_편집'!$AF256:$AN256,'분류_규칙'!$A$5:$A$76,'분류_규칙'!$G$5:$G$76,0))</x:f>
        <x:v>5</x:v>
      </x:c>
      <x:c r="H256" s="10" t="n">
        <x:f>SUM(XLOOKUP('포켓몬_편집'!$AF256:$AN256,'분류_규칙'!$A$5:$A$76,'분류_규칙'!$H$5:$H$76,0))</x:f>
        <x:v>5</x:v>
      </x:c>
      <x:c r="I256" s="10" t="n">
        <x:f>SUM(XLOOKUP('포켓몬_편집'!$AF256:$AN256,'분류_규칙'!$A$5:$A$76,'분류_규칙'!$I$5:$I$76,0))</x:f>
        <x:v>0</x:v>
      </x:c>
      <x:c r="J256" s="10" t="n">
        <x:f>SUM(XLOOKUP('포켓몬_편집'!$AF256:$AN256,'분류_규칙'!$A$5:$A$76,'분류_규칙'!$J$5:$J$76,0))</x:f>
        <x:v>2</x:v>
      </x:c>
      <x:c r="K256" s="10" t="n">
        <x:f>SUM(XLOOKUP('포켓몬_편집'!$AF256:$AN256,'분류_규칙'!$A$5:$A$76,'분류_규칙'!$K$5:$K$76,0))</x:f>
        <x:v>0</x:v>
      </x:c>
      <x:c r="L256" s="10" t="n">
        <x:f>SUM(XLOOKUP('포켓몬_편집'!$AF256:$AN256,'분류_규칙'!$A$5:$A$76,'분류_규칙'!$L$5:$L$76,0))</x:f>
        <x:v>0</x:v>
      </x:c>
      <x:c r="M256" s="10" t="n">
        <x:f>SUM(XLOOKUP('포켓몬_편집'!$AF256:$AN256,'분류_규칙'!$A$5:$A$76,'분류_규칙'!$M$5:$M$76,0))</x:f>
        <x:v>0</x:v>
      </x:c>
      <x:c r="N256" s="10" t="n">
        <x:f>SUM(XLOOKUP('포켓몬_편집'!$AF256:$AN256,'분류_규칙'!$A$5:$A$76,'분류_규칙'!$N$5:$N$76,0))</x:f>
        <x:v>0</x:v>
      </x:c>
      <x:c r="O256" s="10" t="n">
        <x:f>SUM(XLOOKUP('포켓몬_편집'!$AF256:$AN256,'분류_규칙'!$A$5:$A$76,'분류_규칙'!$O$5:$O$76,0))</x:f>
        <x:v>2</x:v>
      </x:c>
      <x:c r="P256" s="10" t="n">
        <x:f>SUM(XLOOKUP('포켓몬_편집'!$AF256:$AN256,'분류_규칙'!$A$5:$A$76,'분류_규칙'!$P$5:$P$76,0))</x:f>
        <x:v>0</x:v>
      </x:c>
    </x:row>
    <x:row r="257" ht="22" customHeight="1">
      <x:c r="A257" s="5" t="n">
        <x:v>253</x:v>
      </x:c>
      <x:c r="B257" s="5" t="inlineStr">
        <x:is>
          <x:t xml:space="preserve">나무돌이</x:t>
        </x:is>
      </x:c>
      <x:c r="C257" s="5" t="inlineStr">
        <x:is>
          <x:t xml:space="preserve">grovyle</x:t>
        </x:is>
      </x:c>
      <x:c r="D257" s="5" t="n">
        <x:v>3</x:v>
      </x:c>
      <x:c r="E257" s="10" t="n">
        <x:f>SUM(XLOOKUP('포켓몬_편집'!$AF257:$AN257,'분류_규칙'!$A$5:$A$76,'분류_규칙'!$E$5:$E$76,0))</x:f>
        <x:v>10</x:v>
      </x:c>
      <x:c r="F257" s="10" t="n">
        <x:f>SUM(XLOOKUP('포켓몬_편집'!$AF257:$AN257,'분류_규칙'!$A$5:$A$76,'분류_규칙'!$F$5:$F$76,0))</x:f>
        <x:v>7</x:v>
      </x:c>
      <x:c r="G257" s="10" t="n">
        <x:f>SUM(XLOOKUP('포켓몬_편집'!$AF257:$AN257,'분류_규칙'!$A$5:$A$76,'분류_규칙'!$G$5:$G$76,0))</x:f>
        <x:v>5</x:v>
      </x:c>
      <x:c r="H257" s="10" t="n">
        <x:f>SUM(XLOOKUP('포켓몬_편집'!$AF257:$AN257,'분류_규칙'!$A$5:$A$76,'분류_규칙'!$H$5:$H$76,0))</x:f>
        <x:v>5</x:v>
      </x:c>
      <x:c r="I257" s="10" t="n">
        <x:f>SUM(XLOOKUP('포켓몬_편집'!$AF257:$AN257,'분류_규칙'!$A$5:$A$76,'분류_규칙'!$I$5:$I$76,0))</x:f>
        <x:v>0</x:v>
      </x:c>
      <x:c r="J257" s="10" t="n">
        <x:f>SUM(XLOOKUP('포켓몬_편집'!$AF257:$AN257,'분류_규칙'!$A$5:$A$76,'분류_규칙'!$J$5:$J$76,0))</x:f>
        <x:v>2</x:v>
      </x:c>
      <x:c r="K257" s="10" t="n">
        <x:f>SUM(XLOOKUP('포켓몬_편집'!$AF257:$AN257,'분류_규칙'!$A$5:$A$76,'분류_규칙'!$K$5:$K$76,0))</x:f>
        <x:v>0</x:v>
      </x:c>
      <x:c r="L257" s="10" t="n">
        <x:f>SUM(XLOOKUP('포켓몬_편집'!$AF257:$AN257,'분류_규칙'!$A$5:$A$76,'분류_규칙'!$L$5:$L$76,0))</x:f>
        <x:v>0</x:v>
      </x:c>
      <x:c r="M257" s="10" t="n">
        <x:f>SUM(XLOOKUP('포켓몬_편집'!$AF257:$AN257,'분류_규칙'!$A$5:$A$76,'분류_규칙'!$M$5:$M$76,0))</x:f>
        <x:v>0</x:v>
      </x:c>
      <x:c r="N257" s="10" t="n">
        <x:f>SUM(XLOOKUP('포켓몬_편집'!$AF257:$AN257,'분류_규칙'!$A$5:$A$76,'분류_규칙'!$N$5:$N$76,0))</x:f>
        <x:v>0</x:v>
      </x:c>
      <x:c r="O257" s="10" t="n">
        <x:f>SUM(XLOOKUP('포켓몬_편집'!$AF257:$AN257,'분류_규칙'!$A$5:$A$76,'분류_규칙'!$O$5:$O$76,0))</x:f>
        <x:v>2</x:v>
      </x:c>
      <x:c r="P257" s="10" t="n">
        <x:f>SUM(XLOOKUP('포켓몬_편집'!$AF257:$AN257,'분류_규칙'!$A$5:$A$76,'분류_규칙'!$P$5:$P$76,0))</x:f>
        <x:v>0</x:v>
      </x:c>
    </x:row>
    <x:row r="258" ht="22" customHeight="1">
      <x:c r="A258" s="5" t="n">
        <x:v>254</x:v>
      </x:c>
      <x:c r="B258" s="5" t="inlineStr">
        <x:is>
          <x:t xml:space="preserve">나무킹</x:t>
        </x:is>
      </x:c>
      <x:c r="C258" s="5" t="inlineStr">
        <x:is>
          <x:t xml:space="preserve">sceptile</x:t>
        </x:is>
      </x:c>
      <x:c r="D258" s="5" t="n">
        <x:v>3</x:v>
      </x:c>
      <x:c r="E258" s="10" t="n">
        <x:f>SUM(XLOOKUP('포켓몬_편집'!$AF258:$AN258,'분류_규칙'!$A$5:$A$76,'분류_규칙'!$E$5:$E$76,0))</x:f>
        <x:v>10</x:v>
      </x:c>
      <x:c r="F258" s="10" t="n">
        <x:f>SUM(XLOOKUP('포켓몬_편집'!$AF258:$AN258,'분류_규칙'!$A$5:$A$76,'분류_규칙'!$F$5:$F$76,0))</x:f>
        <x:v>7</x:v>
      </x:c>
      <x:c r="G258" s="10" t="n">
        <x:f>SUM(XLOOKUP('포켓몬_편집'!$AF258:$AN258,'분류_규칙'!$A$5:$A$76,'분류_규칙'!$G$5:$G$76,0))</x:f>
        <x:v>5</x:v>
      </x:c>
      <x:c r="H258" s="10" t="n">
        <x:f>SUM(XLOOKUP('포켓몬_편집'!$AF258:$AN258,'분류_규칙'!$A$5:$A$76,'분류_규칙'!$H$5:$H$76,0))</x:f>
        <x:v>5</x:v>
      </x:c>
      <x:c r="I258" s="10" t="n">
        <x:f>SUM(XLOOKUP('포켓몬_편집'!$AF258:$AN258,'분류_규칙'!$A$5:$A$76,'분류_규칙'!$I$5:$I$76,0))</x:f>
        <x:v>0</x:v>
      </x:c>
      <x:c r="J258" s="10" t="n">
        <x:f>SUM(XLOOKUP('포켓몬_편집'!$AF258:$AN258,'분류_규칙'!$A$5:$A$76,'분류_규칙'!$J$5:$J$76,0))</x:f>
        <x:v>2</x:v>
      </x:c>
      <x:c r="K258" s="10" t="n">
        <x:f>SUM(XLOOKUP('포켓몬_편집'!$AF258:$AN258,'분류_규칙'!$A$5:$A$76,'분류_규칙'!$K$5:$K$76,0))</x:f>
        <x:v>0</x:v>
      </x:c>
      <x:c r="L258" s="10" t="n">
        <x:f>SUM(XLOOKUP('포켓몬_편집'!$AF258:$AN258,'분류_규칙'!$A$5:$A$76,'분류_규칙'!$L$5:$L$76,0))</x:f>
        <x:v>0</x:v>
      </x:c>
      <x:c r="M258" s="10" t="n">
        <x:f>SUM(XLOOKUP('포켓몬_편집'!$AF258:$AN258,'분류_규칙'!$A$5:$A$76,'분류_규칙'!$M$5:$M$76,0))</x:f>
        <x:v>0</x:v>
      </x:c>
      <x:c r="N258" s="10" t="n">
        <x:f>SUM(XLOOKUP('포켓몬_편집'!$AF258:$AN258,'분류_규칙'!$A$5:$A$76,'분류_규칙'!$N$5:$N$76,0))</x:f>
        <x:v>0</x:v>
      </x:c>
      <x:c r="O258" s="10" t="n">
        <x:f>SUM(XLOOKUP('포켓몬_편집'!$AF258:$AN258,'분류_규칙'!$A$5:$A$76,'분류_규칙'!$O$5:$O$76,0))</x:f>
        <x:v>2</x:v>
      </x:c>
      <x:c r="P258" s="10" t="n">
        <x:f>SUM(XLOOKUP('포켓몬_편집'!$AF258:$AN258,'분류_규칙'!$A$5:$A$76,'분류_규칙'!$P$5:$P$76,0))</x:f>
        <x:v>0</x:v>
      </x:c>
    </x:row>
    <x:row r="259" ht="22" customHeight="1">
      <x:c r="A259" s="5" t="n">
        <x:v>255</x:v>
      </x:c>
      <x:c r="B259" s="5" t="inlineStr">
        <x:is>
          <x:t xml:space="preserve">아차모</x:t>
        </x:is>
      </x:c>
      <x:c r="C259" s="5" t="inlineStr">
        <x:is>
          <x:t xml:space="preserve">torchic</x:t>
        </x:is>
      </x:c>
      <x:c r="D259" s="5" t="n">
        <x:v>3</x:v>
      </x:c>
      <x:c r="E259" s="10" t="n">
        <x:f>SUM(XLOOKUP('포켓몬_편집'!$AF259:$AN259,'분류_규칙'!$A$5:$A$76,'분류_규칙'!$E$5:$E$76,0))</x:f>
        <x:v>10</x:v>
      </x:c>
      <x:c r="F259" s="10" t="n">
        <x:f>SUM(XLOOKUP('포켓몬_편집'!$AF259:$AN259,'분류_규칙'!$A$5:$A$76,'분류_규칙'!$F$5:$F$76,0))</x:f>
        <x:v>7</x:v>
      </x:c>
      <x:c r="G259" s="10" t="n">
        <x:f>SUM(XLOOKUP('포켓몬_편집'!$AF259:$AN259,'분류_규칙'!$A$5:$A$76,'분류_규칙'!$G$5:$G$76,0))</x:f>
        <x:v>5</x:v>
      </x:c>
      <x:c r="H259" s="10" t="n">
        <x:f>SUM(XLOOKUP('포켓몬_편집'!$AF259:$AN259,'분류_규칙'!$A$5:$A$76,'분류_규칙'!$H$5:$H$76,0))</x:f>
        <x:v>5</x:v>
      </x:c>
      <x:c r="I259" s="10" t="n">
        <x:f>SUM(XLOOKUP('포켓몬_편집'!$AF259:$AN259,'분류_규칙'!$A$5:$A$76,'분류_규칙'!$I$5:$I$76,0))</x:f>
        <x:v>0</x:v>
      </x:c>
      <x:c r="J259" s="10" t="n">
        <x:f>SUM(XLOOKUP('포켓몬_편집'!$AF259:$AN259,'분류_규칙'!$A$5:$A$76,'분류_규칙'!$J$5:$J$76,0))</x:f>
        <x:v>2</x:v>
      </x:c>
      <x:c r="K259" s="10" t="n">
        <x:f>SUM(XLOOKUP('포켓몬_편집'!$AF259:$AN259,'분류_규칙'!$A$5:$A$76,'분류_규칙'!$K$5:$K$76,0))</x:f>
        <x:v>0</x:v>
      </x:c>
      <x:c r="L259" s="10" t="n">
        <x:f>SUM(XLOOKUP('포켓몬_편집'!$AF259:$AN259,'분류_규칙'!$A$5:$A$76,'분류_규칙'!$L$5:$L$76,0))</x:f>
        <x:v>0</x:v>
      </x:c>
      <x:c r="M259" s="10" t="n">
        <x:f>SUM(XLOOKUP('포켓몬_편집'!$AF259:$AN259,'분류_규칙'!$A$5:$A$76,'분류_규칙'!$M$5:$M$76,0))</x:f>
        <x:v>0</x:v>
      </x:c>
      <x:c r="N259" s="10" t="n">
        <x:f>SUM(XLOOKUP('포켓몬_편집'!$AF259:$AN259,'분류_규칙'!$A$5:$A$76,'분류_규칙'!$N$5:$N$76,0))</x:f>
        <x:v>0</x:v>
      </x:c>
      <x:c r="O259" s="10" t="n">
        <x:f>SUM(XLOOKUP('포켓몬_편집'!$AF259:$AN259,'분류_규칙'!$A$5:$A$76,'분류_규칙'!$O$5:$O$76,0))</x:f>
        <x:v>2</x:v>
      </x:c>
      <x:c r="P259" s="10" t="n">
        <x:f>SUM(XLOOKUP('포켓몬_편집'!$AF259:$AN259,'분류_규칙'!$A$5:$A$76,'분류_규칙'!$P$5:$P$76,0))</x:f>
        <x:v>0</x:v>
      </x:c>
    </x:row>
    <x:row r="260" ht="22" customHeight="1">
      <x:c r="A260" s="5" t="n">
        <x:v>256</x:v>
      </x:c>
      <x:c r="B260" s="5" t="inlineStr">
        <x:is>
          <x:t xml:space="preserve">영치코</x:t>
        </x:is>
      </x:c>
      <x:c r="C260" s="5" t="inlineStr">
        <x:is>
          <x:t xml:space="preserve">combusken</x:t>
        </x:is>
      </x:c>
      <x:c r="D260" s="5" t="n">
        <x:v>3</x:v>
      </x:c>
      <x:c r="E260" s="10" t="n">
        <x:f>SUM(XLOOKUP('포켓몬_편집'!$AF260:$AN260,'분류_규칙'!$A$5:$A$76,'분류_규칙'!$E$5:$E$76,0))</x:f>
        <x:v>10</x:v>
      </x:c>
      <x:c r="F260" s="10" t="n">
        <x:f>SUM(XLOOKUP('포켓몬_편집'!$AF260:$AN260,'분류_규칙'!$A$5:$A$76,'분류_규칙'!$F$5:$F$76,0))</x:f>
        <x:v>7</x:v>
      </x:c>
      <x:c r="G260" s="10" t="n">
        <x:f>SUM(XLOOKUP('포켓몬_편집'!$AF260:$AN260,'분류_규칙'!$A$5:$A$76,'분류_규칙'!$G$5:$G$76,0))</x:f>
        <x:v>5</x:v>
      </x:c>
      <x:c r="H260" s="10" t="n">
        <x:f>SUM(XLOOKUP('포켓몬_편집'!$AF260:$AN260,'분류_규칙'!$A$5:$A$76,'분류_규칙'!$H$5:$H$76,0))</x:f>
        <x:v>5</x:v>
      </x:c>
      <x:c r="I260" s="10" t="n">
        <x:f>SUM(XLOOKUP('포켓몬_편집'!$AF260:$AN260,'분류_규칙'!$A$5:$A$76,'분류_규칙'!$I$5:$I$76,0))</x:f>
        <x:v>0</x:v>
      </x:c>
      <x:c r="J260" s="10" t="n">
        <x:f>SUM(XLOOKUP('포켓몬_편집'!$AF260:$AN260,'분류_규칙'!$A$5:$A$76,'분류_규칙'!$J$5:$J$76,0))</x:f>
        <x:v>2</x:v>
      </x:c>
      <x:c r="K260" s="10" t="n">
        <x:f>SUM(XLOOKUP('포켓몬_편집'!$AF260:$AN260,'분류_규칙'!$A$5:$A$76,'분류_규칙'!$K$5:$K$76,0))</x:f>
        <x:v>0</x:v>
      </x:c>
      <x:c r="L260" s="10" t="n">
        <x:f>SUM(XLOOKUP('포켓몬_편집'!$AF260:$AN260,'분류_규칙'!$A$5:$A$76,'분류_규칙'!$L$5:$L$76,0))</x:f>
        <x:v>0</x:v>
      </x:c>
      <x:c r="M260" s="10" t="n">
        <x:f>SUM(XLOOKUP('포켓몬_편집'!$AF260:$AN260,'분류_규칙'!$A$5:$A$76,'분류_규칙'!$M$5:$M$76,0))</x:f>
        <x:v>0</x:v>
      </x:c>
      <x:c r="N260" s="10" t="n">
        <x:f>SUM(XLOOKUP('포켓몬_편집'!$AF260:$AN260,'분류_규칙'!$A$5:$A$76,'분류_규칙'!$N$5:$N$76,0))</x:f>
        <x:v>0</x:v>
      </x:c>
      <x:c r="O260" s="10" t="n">
        <x:f>SUM(XLOOKUP('포켓몬_편집'!$AF260:$AN260,'분류_규칙'!$A$5:$A$76,'분류_규칙'!$O$5:$O$76,0))</x:f>
        <x:v>2</x:v>
      </x:c>
      <x:c r="P260" s="10" t="n">
        <x:f>SUM(XLOOKUP('포켓몬_편집'!$AF260:$AN260,'분류_규칙'!$A$5:$A$76,'분류_규칙'!$P$5:$P$76,0))</x:f>
        <x:v>0</x:v>
      </x:c>
    </x:row>
    <x:row r="261" ht="22" customHeight="1">
      <x:c r="A261" s="5" t="n">
        <x:v>257</x:v>
      </x:c>
      <x:c r="B261" s="5" t="inlineStr">
        <x:is>
          <x:t xml:space="preserve">번치코</x:t>
        </x:is>
      </x:c>
      <x:c r="C261" s="5" t="inlineStr">
        <x:is>
          <x:t xml:space="preserve">blaziken</x:t>
        </x:is>
      </x:c>
      <x:c r="D261" s="5" t="n">
        <x:v>3</x:v>
      </x:c>
      <x:c r="E261" s="10" t="n">
        <x:f>SUM(XLOOKUP('포켓몬_편집'!$AF261:$AN261,'분류_규칙'!$A$5:$A$76,'분류_규칙'!$E$5:$E$76,0))</x:f>
        <x:v>10</x:v>
      </x:c>
      <x:c r="F261" s="10" t="n">
        <x:f>SUM(XLOOKUP('포켓몬_편집'!$AF261:$AN261,'분류_규칙'!$A$5:$A$76,'분류_규칙'!$F$5:$F$76,0))</x:f>
        <x:v>7</x:v>
      </x:c>
      <x:c r="G261" s="10" t="n">
        <x:f>SUM(XLOOKUP('포켓몬_편집'!$AF261:$AN261,'분류_규칙'!$A$5:$A$76,'분류_규칙'!$G$5:$G$76,0))</x:f>
        <x:v>5</x:v>
      </x:c>
      <x:c r="H261" s="10" t="n">
        <x:f>SUM(XLOOKUP('포켓몬_편집'!$AF261:$AN261,'분류_규칙'!$A$5:$A$76,'분류_규칙'!$H$5:$H$76,0))</x:f>
        <x:v>5</x:v>
      </x:c>
      <x:c r="I261" s="10" t="n">
        <x:f>SUM(XLOOKUP('포켓몬_편집'!$AF261:$AN261,'분류_규칙'!$A$5:$A$76,'분류_규칙'!$I$5:$I$76,0))</x:f>
        <x:v>0</x:v>
      </x:c>
      <x:c r="J261" s="10" t="n">
        <x:f>SUM(XLOOKUP('포켓몬_편집'!$AF261:$AN261,'분류_규칙'!$A$5:$A$76,'분류_규칙'!$J$5:$J$76,0))</x:f>
        <x:v>2</x:v>
      </x:c>
      <x:c r="K261" s="10" t="n">
        <x:f>SUM(XLOOKUP('포켓몬_편집'!$AF261:$AN261,'분류_규칙'!$A$5:$A$76,'분류_규칙'!$K$5:$K$76,0))</x:f>
        <x:v>0</x:v>
      </x:c>
      <x:c r="L261" s="10" t="n">
        <x:f>SUM(XLOOKUP('포켓몬_편집'!$AF261:$AN261,'분류_규칙'!$A$5:$A$76,'분류_규칙'!$L$5:$L$76,0))</x:f>
        <x:v>0</x:v>
      </x:c>
      <x:c r="M261" s="10" t="n">
        <x:f>SUM(XLOOKUP('포켓몬_편집'!$AF261:$AN261,'분류_규칙'!$A$5:$A$76,'분류_규칙'!$M$5:$M$76,0))</x:f>
        <x:v>0</x:v>
      </x:c>
      <x:c r="N261" s="10" t="n">
        <x:f>SUM(XLOOKUP('포켓몬_편집'!$AF261:$AN261,'분류_규칙'!$A$5:$A$76,'분류_규칙'!$N$5:$N$76,0))</x:f>
        <x:v>0</x:v>
      </x:c>
      <x:c r="O261" s="10" t="n">
        <x:f>SUM(XLOOKUP('포켓몬_편집'!$AF261:$AN261,'분류_규칙'!$A$5:$A$76,'분류_규칙'!$O$5:$O$76,0))</x:f>
        <x:v>2</x:v>
      </x:c>
      <x:c r="P261" s="10" t="n">
        <x:f>SUM(XLOOKUP('포켓몬_편집'!$AF261:$AN261,'분류_규칙'!$A$5:$A$76,'분류_규칙'!$P$5:$P$76,0))</x:f>
        <x:v>0</x:v>
      </x:c>
    </x:row>
    <x:row r="262" ht="22" customHeight="1">
      <x:c r="A262" s="5" t="n">
        <x:v>258</x:v>
      </x:c>
      <x:c r="B262" s="5" t="inlineStr">
        <x:is>
          <x:t xml:space="preserve">물짱이</x:t>
        </x:is>
      </x:c>
      <x:c r="C262" s="5" t="inlineStr">
        <x:is>
          <x:t xml:space="preserve">mudkip</x:t>
        </x:is>
      </x:c>
      <x:c r="D262" s="5" t="n">
        <x:v>3</x:v>
      </x:c>
      <x:c r="E262" s="10" t="n">
        <x:f>SUM(XLOOKUP('포켓몬_편집'!$AF262:$AN262,'분류_규칙'!$A$5:$A$76,'분류_규칙'!$E$5:$E$76,0))</x:f>
        <x:v>0</x:v>
      </x:c>
      <x:c r="F262" s="10" t="n">
        <x:f>SUM(XLOOKUP('포켓몬_편집'!$AF262:$AN262,'분류_규칙'!$A$5:$A$76,'분류_규칙'!$F$5:$F$76,0))</x:f>
        <x:v>0</x:v>
      </x:c>
      <x:c r="G262" s="10" t="n">
        <x:f>SUM(XLOOKUP('포켓몬_편집'!$AF262:$AN262,'분류_규칙'!$A$5:$A$76,'분류_규칙'!$G$5:$G$76,0))</x:f>
        <x:v>0</x:v>
      </x:c>
      <x:c r="H262" s="10" t="n">
        <x:f>SUM(XLOOKUP('포켓몬_편집'!$AF262:$AN262,'분류_규칙'!$A$5:$A$76,'분류_규칙'!$H$5:$H$76,0))</x:f>
        <x:v>0</x:v>
      </x:c>
      <x:c r="I262" s="10" t="n">
        <x:f>SUM(XLOOKUP('포켓몬_편집'!$AF262:$AN262,'분류_규칙'!$A$5:$A$76,'분류_규칙'!$I$5:$I$76,0))</x:f>
        <x:v>0</x:v>
      </x:c>
      <x:c r="J262" s="10" t="n">
        <x:f>SUM(XLOOKUP('포켓몬_편집'!$AF262:$AN262,'분류_규칙'!$A$5:$A$76,'분류_규칙'!$J$5:$J$76,0))</x:f>
        <x:v>22</x:v>
      </x:c>
      <x:c r="K262" s="10" t="n">
        <x:f>SUM(XLOOKUP('포켓몬_편집'!$AF262:$AN262,'분류_규칙'!$A$5:$A$76,'분류_규칙'!$K$5:$K$76,0))</x:f>
        <x:v>16</x:v>
      </x:c>
      <x:c r="L262" s="10" t="n">
        <x:f>SUM(XLOOKUP('포켓몬_편집'!$AF262:$AN262,'분류_규칙'!$A$5:$A$76,'분류_규칙'!$L$5:$L$76,0))</x:f>
        <x:v>8</x:v>
      </x:c>
      <x:c r="M262" s="10" t="n">
        <x:f>SUM(XLOOKUP('포켓몬_편집'!$AF262:$AN262,'분류_규칙'!$A$5:$A$76,'분류_규칙'!$M$5:$M$76,0))</x:f>
        <x:v>0</x:v>
      </x:c>
      <x:c r="N262" s="10" t="n">
        <x:f>SUM(XLOOKUP('포켓몬_편집'!$AF262:$AN262,'분류_규칙'!$A$5:$A$76,'분류_규칙'!$N$5:$N$76,0))</x:f>
        <x:v>0</x:v>
      </x:c>
      <x:c r="O262" s="10" t="n">
        <x:f>SUM(XLOOKUP('포켓몬_편집'!$AF262:$AN262,'분류_규칙'!$A$5:$A$76,'분류_규칙'!$O$5:$O$76,0))</x:f>
        <x:v>0</x:v>
      </x:c>
      <x:c r="P262" s="10" t="n">
        <x:f>SUM(XLOOKUP('포켓몬_편집'!$AF262:$AN262,'분류_규칙'!$A$5:$A$76,'분류_규칙'!$P$5:$P$76,0))</x:f>
        <x:v>0</x:v>
      </x:c>
    </x:row>
    <x:row r="263" ht="22" customHeight="1">
      <x:c r="A263" s="5" t="n">
        <x:v>259</x:v>
      </x:c>
      <x:c r="B263" s="5" t="inlineStr">
        <x:is>
          <x:t xml:space="preserve">늪짱이</x:t>
        </x:is>
      </x:c>
      <x:c r="C263" s="5" t="inlineStr">
        <x:is>
          <x:t xml:space="preserve">marshtomp</x:t>
        </x:is>
      </x:c>
      <x:c r="D263" s="5" t="n">
        <x:v>3</x:v>
      </x:c>
      <x:c r="E263" s="10" t="n">
        <x:f>SUM(XLOOKUP('포켓몬_편집'!$AF263:$AN263,'분류_규칙'!$A$5:$A$76,'분류_규칙'!$E$5:$E$76,0))</x:f>
        <x:v>0</x:v>
      </x:c>
      <x:c r="F263" s="10" t="n">
        <x:f>SUM(XLOOKUP('포켓몬_편집'!$AF263:$AN263,'분류_규칙'!$A$5:$A$76,'분류_규칙'!$F$5:$F$76,0))</x:f>
        <x:v>0</x:v>
      </x:c>
      <x:c r="G263" s="10" t="n">
        <x:f>SUM(XLOOKUP('포켓몬_편집'!$AF263:$AN263,'분류_규칙'!$A$5:$A$76,'분류_규칙'!$G$5:$G$76,0))</x:f>
        <x:v>0</x:v>
      </x:c>
      <x:c r="H263" s="10" t="n">
        <x:f>SUM(XLOOKUP('포켓몬_편집'!$AF263:$AN263,'분류_규칙'!$A$5:$A$76,'분류_규칙'!$H$5:$H$76,0))</x:f>
        <x:v>0</x:v>
      </x:c>
      <x:c r="I263" s="10" t="n">
        <x:f>SUM(XLOOKUP('포켓몬_편집'!$AF263:$AN263,'분류_규칙'!$A$5:$A$76,'분류_규칙'!$I$5:$I$76,0))</x:f>
        <x:v>0</x:v>
      </x:c>
      <x:c r="J263" s="10" t="n">
        <x:f>SUM(XLOOKUP('포켓몬_편집'!$AF263:$AN263,'분류_규칙'!$A$5:$A$76,'분류_규칙'!$J$5:$J$76,0))</x:f>
        <x:v>22</x:v>
      </x:c>
      <x:c r="K263" s="10" t="n">
        <x:f>SUM(XLOOKUP('포켓몬_편집'!$AF263:$AN263,'분류_규칙'!$A$5:$A$76,'분류_규칙'!$K$5:$K$76,0))</x:f>
        <x:v>16</x:v>
      </x:c>
      <x:c r="L263" s="10" t="n">
        <x:f>SUM(XLOOKUP('포켓몬_편집'!$AF263:$AN263,'분류_규칙'!$A$5:$A$76,'분류_규칙'!$L$5:$L$76,0))</x:f>
        <x:v>8</x:v>
      </x:c>
      <x:c r="M263" s="10" t="n">
        <x:f>SUM(XLOOKUP('포켓몬_편집'!$AF263:$AN263,'분류_규칙'!$A$5:$A$76,'분류_규칙'!$M$5:$M$76,0))</x:f>
        <x:v>0</x:v>
      </x:c>
      <x:c r="N263" s="10" t="n">
        <x:f>SUM(XLOOKUP('포켓몬_편집'!$AF263:$AN263,'분류_규칙'!$A$5:$A$76,'분류_규칙'!$N$5:$N$76,0))</x:f>
        <x:v>0</x:v>
      </x:c>
      <x:c r="O263" s="10" t="n">
        <x:f>SUM(XLOOKUP('포켓몬_편집'!$AF263:$AN263,'분류_규칙'!$A$5:$A$76,'분류_규칙'!$O$5:$O$76,0))</x:f>
        <x:v>0</x:v>
      </x:c>
      <x:c r="P263" s="10" t="n">
        <x:f>SUM(XLOOKUP('포켓몬_편집'!$AF263:$AN263,'분류_규칙'!$A$5:$A$76,'분류_규칙'!$P$5:$P$76,0))</x:f>
        <x:v>0</x:v>
      </x:c>
    </x:row>
    <x:row r="264" ht="22" customHeight="1">
      <x:c r="A264" s="5" t="n">
        <x:v>260</x:v>
      </x:c>
      <x:c r="B264" s="5" t="inlineStr">
        <x:is>
          <x:t xml:space="preserve">대짱이</x:t>
        </x:is>
      </x:c>
      <x:c r="C264" s="5" t="inlineStr">
        <x:is>
          <x:t xml:space="preserve">swampert</x:t>
        </x:is>
      </x:c>
      <x:c r="D264" s="5" t="n">
        <x:v>3</x:v>
      </x:c>
      <x:c r="E264" s="10" t="n">
        <x:f>SUM(XLOOKUP('포켓몬_편집'!$AF264:$AN264,'분류_규칙'!$A$5:$A$76,'분류_규칙'!$E$5:$E$76,0))</x:f>
        <x:v>0</x:v>
      </x:c>
      <x:c r="F264" s="10" t="n">
        <x:f>SUM(XLOOKUP('포켓몬_편집'!$AF264:$AN264,'분류_규칙'!$A$5:$A$76,'분류_규칙'!$F$5:$F$76,0))</x:f>
        <x:v>0</x:v>
      </x:c>
      <x:c r="G264" s="10" t="n">
        <x:f>SUM(XLOOKUP('포켓몬_편집'!$AF264:$AN264,'분류_규칙'!$A$5:$A$76,'분류_규칙'!$G$5:$G$76,0))</x:f>
        <x:v>0</x:v>
      </x:c>
      <x:c r="H264" s="10" t="n">
        <x:f>SUM(XLOOKUP('포켓몬_편집'!$AF264:$AN264,'분류_규칙'!$A$5:$A$76,'분류_규칙'!$H$5:$H$76,0))</x:f>
        <x:v>0</x:v>
      </x:c>
      <x:c r="I264" s="10" t="n">
        <x:f>SUM(XLOOKUP('포켓몬_편집'!$AF264:$AN264,'분류_규칙'!$A$5:$A$76,'분류_규칙'!$I$5:$I$76,0))</x:f>
        <x:v>0</x:v>
      </x:c>
      <x:c r="J264" s="10" t="n">
        <x:f>SUM(XLOOKUP('포켓몬_편집'!$AF264:$AN264,'분류_규칙'!$A$5:$A$76,'분류_규칙'!$J$5:$J$76,0))</x:f>
        <x:v>22</x:v>
      </x:c>
      <x:c r="K264" s="10" t="n">
        <x:f>SUM(XLOOKUP('포켓몬_편집'!$AF264:$AN264,'분류_규칙'!$A$5:$A$76,'분류_규칙'!$K$5:$K$76,0))</x:f>
        <x:v>16</x:v>
      </x:c>
      <x:c r="L264" s="10" t="n">
        <x:f>SUM(XLOOKUP('포켓몬_편집'!$AF264:$AN264,'분류_규칙'!$A$5:$A$76,'분류_규칙'!$L$5:$L$76,0))</x:f>
        <x:v>8</x:v>
      </x:c>
      <x:c r="M264" s="10" t="n">
        <x:f>SUM(XLOOKUP('포켓몬_편집'!$AF264:$AN264,'분류_규칙'!$A$5:$A$76,'분류_규칙'!$M$5:$M$76,0))</x:f>
        <x:v>0</x:v>
      </x:c>
      <x:c r="N264" s="10" t="n">
        <x:f>SUM(XLOOKUP('포켓몬_편집'!$AF264:$AN264,'분류_규칙'!$A$5:$A$76,'분류_규칙'!$N$5:$N$76,0))</x:f>
        <x:v>0</x:v>
      </x:c>
      <x:c r="O264" s="10" t="n">
        <x:f>SUM(XLOOKUP('포켓몬_편집'!$AF264:$AN264,'분류_규칙'!$A$5:$A$76,'분류_규칙'!$O$5:$O$76,0))</x:f>
        <x:v>0</x:v>
      </x:c>
      <x:c r="P264" s="10" t="n">
        <x:f>SUM(XLOOKUP('포켓몬_편집'!$AF264:$AN264,'분류_규칙'!$A$5:$A$76,'분류_규칙'!$P$5:$P$76,0))</x:f>
        <x:v>0</x:v>
      </x:c>
    </x:row>
    <x:row r="265" ht="22" customHeight="1">
      <x:c r="A265" s="5" t="n">
        <x:v>261</x:v>
      </x:c>
      <x:c r="B265" s="5" t="inlineStr">
        <x:is>
          <x:t xml:space="preserve">포챠나</x:t>
        </x:is>
      </x:c>
      <x:c r="C265" s="5" t="inlineStr">
        <x:is>
          <x:t xml:space="preserve">poochyena</x:t>
        </x:is>
      </x:c>
      <x:c r="D265" s="5" t="n">
        <x:v>3</x:v>
      </x:c>
      <x:c r="E265" s="10" t="n">
        <x:f>SUM(XLOOKUP('포켓몬_편집'!$AF265:$AN265,'분류_규칙'!$A$5:$A$76,'분류_규칙'!$E$5:$E$76,0))</x:f>
        <x:v>10</x:v>
      </x:c>
      <x:c r="F265" s="10" t="n">
        <x:f>SUM(XLOOKUP('포켓몬_편집'!$AF265:$AN265,'분류_규칙'!$A$5:$A$76,'분류_규칙'!$F$5:$F$76,0))</x:f>
        <x:v>7</x:v>
      </x:c>
      <x:c r="G265" s="10" t="n">
        <x:f>SUM(XLOOKUP('포켓몬_편집'!$AF265:$AN265,'분류_규칙'!$A$5:$A$76,'분류_규칙'!$G$5:$G$76,0))</x:f>
        <x:v>5</x:v>
      </x:c>
      <x:c r="H265" s="10" t="n">
        <x:f>SUM(XLOOKUP('포켓몬_편집'!$AF265:$AN265,'분류_규칙'!$A$5:$A$76,'분류_규칙'!$H$5:$H$76,0))</x:f>
        <x:v>5</x:v>
      </x:c>
      <x:c r="I265" s="10" t="n">
        <x:f>SUM(XLOOKUP('포켓몬_편집'!$AF265:$AN265,'분류_규칙'!$A$5:$A$76,'분류_규칙'!$I$5:$I$76,0))</x:f>
        <x:v>0</x:v>
      </x:c>
      <x:c r="J265" s="10" t="n">
        <x:f>SUM(XLOOKUP('포켓몬_편집'!$AF265:$AN265,'분류_규칙'!$A$5:$A$76,'분류_규칙'!$J$5:$J$76,0))</x:f>
        <x:v>2</x:v>
      </x:c>
      <x:c r="K265" s="10" t="n">
        <x:f>SUM(XLOOKUP('포켓몬_편집'!$AF265:$AN265,'분류_규칙'!$A$5:$A$76,'분류_규칙'!$K$5:$K$76,0))</x:f>
        <x:v>0</x:v>
      </x:c>
      <x:c r="L265" s="10" t="n">
        <x:f>SUM(XLOOKUP('포켓몬_편집'!$AF265:$AN265,'분류_규칙'!$A$5:$A$76,'분류_규칙'!$L$5:$L$76,0))</x:f>
        <x:v>0</x:v>
      </x:c>
      <x:c r="M265" s="10" t="n">
        <x:f>SUM(XLOOKUP('포켓몬_편집'!$AF265:$AN265,'분류_규칙'!$A$5:$A$76,'분류_규칙'!$M$5:$M$76,0))</x:f>
        <x:v>0</x:v>
      </x:c>
      <x:c r="N265" s="10" t="n">
        <x:f>SUM(XLOOKUP('포켓몬_편집'!$AF265:$AN265,'분류_규칙'!$A$5:$A$76,'분류_규칙'!$N$5:$N$76,0))</x:f>
        <x:v>0</x:v>
      </x:c>
      <x:c r="O265" s="10" t="n">
        <x:f>SUM(XLOOKUP('포켓몬_편집'!$AF265:$AN265,'분류_규칙'!$A$5:$A$76,'분류_규칙'!$O$5:$O$76,0))</x:f>
        <x:v>2</x:v>
      </x:c>
      <x:c r="P265" s="10" t="n">
        <x:f>SUM(XLOOKUP('포켓몬_편집'!$AF265:$AN265,'분류_규칙'!$A$5:$A$76,'분류_규칙'!$P$5:$P$76,0))</x:f>
        <x:v>0</x:v>
      </x:c>
    </x:row>
    <x:row r="266" ht="22" customHeight="1">
      <x:c r="A266" s="5" t="n">
        <x:v>262</x:v>
      </x:c>
      <x:c r="B266" s="5" t="inlineStr">
        <x:is>
          <x:t xml:space="preserve">그라에나</x:t>
        </x:is>
      </x:c>
      <x:c r="C266" s="5" t="inlineStr">
        <x:is>
          <x:t xml:space="preserve">mightyena</x:t>
        </x:is>
      </x:c>
      <x:c r="D266" s="5" t="n">
        <x:v>3</x:v>
      </x:c>
      <x:c r="E266" s="10" t="n">
        <x:f>SUM(XLOOKUP('포켓몬_편집'!$AF266:$AN266,'분류_규칙'!$A$5:$A$76,'분류_규칙'!$E$5:$E$76,0))</x:f>
        <x:v>10</x:v>
      </x:c>
      <x:c r="F266" s="10" t="n">
        <x:f>SUM(XLOOKUP('포켓몬_편집'!$AF266:$AN266,'분류_규칙'!$A$5:$A$76,'분류_규칙'!$F$5:$F$76,0))</x:f>
        <x:v>7</x:v>
      </x:c>
      <x:c r="G266" s="10" t="n">
        <x:f>SUM(XLOOKUP('포켓몬_편집'!$AF266:$AN266,'분류_규칙'!$A$5:$A$76,'분류_규칙'!$G$5:$G$76,0))</x:f>
        <x:v>5</x:v>
      </x:c>
      <x:c r="H266" s="10" t="n">
        <x:f>SUM(XLOOKUP('포켓몬_편집'!$AF266:$AN266,'분류_규칙'!$A$5:$A$76,'분류_규칙'!$H$5:$H$76,0))</x:f>
        <x:v>5</x:v>
      </x:c>
      <x:c r="I266" s="10" t="n">
        <x:f>SUM(XLOOKUP('포켓몬_편집'!$AF266:$AN266,'분류_규칙'!$A$5:$A$76,'분류_규칙'!$I$5:$I$76,0))</x:f>
        <x:v>0</x:v>
      </x:c>
      <x:c r="J266" s="10" t="n">
        <x:f>SUM(XLOOKUP('포켓몬_편집'!$AF266:$AN266,'분류_규칙'!$A$5:$A$76,'분류_규칙'!$J$5:$J$76,0))</x:f>
        <x:v>2</x:v>
      </x:c>
      <x:c r="K266" s="10" t="n">
        <x:f>SUM(XLOOKUP('포켓몬_편집'!$AF266:$AN266,'분류_규칙'!$A$5:$A$76,'분류_규칙'!$K$5:$K$76,0))</x:f>
        <x:v>0</x:v>
      </x:c>
      <x:c r="L266" s="10" t="n">
        <x:f>SUM(XLOOKUP('포켓몬_편집'!$AF266:$AN266,'분류_규칙'!$A$5:$A$76,'분류_규칙'!$L$5:$L$76,0))</x:f>
        <x:v>0</x:v>
      </x:c>
      <x:c r="M266" s="10" t="n">
        <x:f>SUM(XLOOKUP('포켓몬_편집'!$AF266:$AN266,'분류_규칙'!$A$5:$A$76,'분류_규칙'!$M$5:$M$76,0))</x:f>
        <x:v>0</x:v>
      </x:c>
      <x:c r="N266" s="10" t="n">
        <x:f>SUM(XLOOKUP('포켓몬_편집'!$AF266:$AN266,'분류_규칙'!$A$5:$A$76,'분류_규칙'!$N$5:$N$76,0))</x:f>
        <x:v>0</x:v>
      </x:c>
      <x:c r="O266" s="10" t="n">
        <x:f>SUM(XLOOKUP('포켓몬_편집'!$AF266:$AN266,'분류_규칙'!$A$5:$A$76,'분류_규칙'!$O$5:$O$76,0))</x:f>
        <x:v>2</x:v>
      </x:c>
      <x:c r="P266" s="10" t="n">
        <x:f>SUM(XLOOKUP('포켓몬_편집'!$AF266:$AN266,'분류_규칙'!$A$5:$A$76,'분류_규칙'!$P$5:$P$76,0))</x:f>
        <x:v>0</x:v>
      </x:c>
    </x:row>
    <x:row r="267" ht="22" customHeight="1">
      <x:c r="A267" s="5" t="n">
        <x:v>263</x:v>
      </x:c>
      <x:c r="B267" s="5" t="inlineStr">
        <x:is>
          <x:t xml:space="preserve">지그제구리</x:t>
        </x:is>
      </x:c>
      <x:c r="C267" s="5" t="inlineStr">
        <x:is>
          <x:t xml:space="preserve">zigzagoon</x:t>
        </x:is>
      </x:c>
      <x:c r="D267" s="5" t="n">
        <x:v>3</x:v>
      </x:c>
      <x:c r="E267" s="10" t="n">
        <x:f>SUM(XLOOKUP('포켓몬_편집'!$AF267:$AN267,'분류_규칙'!$A$5:$A$76,'분류_규칙'!$E$5:$E$76,0))</x:f>
        <x:v>10</x:v>
      </x:c>
      <x:c r="F267" s="10" t="n">
        <x:f>SUM(XLOOKUP('포켓몬_편집'!$AF267:$AN267,'분류_규칙'!$A$5:$A$76,'분류_규칙'!$F$5:$F$76,0))</x:f>
        <x:v>7</x:v>
      </x:c>
      <x:c r="G267" s="10" t="n">
        <x:f>SUM(XLOOKUP('포켓몬_편집'!$AF267:$AN267,'분류_규칙'!$A$5:$A$76,'분류_규칙'!$G$5:$G$76,0))</x:f>
        <x:v>5</x:v>
      </x:c>
      <x:c r="H267" s="10" t="n">
        <x:f>SUM(XLOOKUP('포켓몬_편집'!$AF267:$AN267,'분류_규칙'!$A$5:$A$76,'분류_규칙'!$H$5:$H$76,0))</x:f>
        <x:v>5</x:v>
      </x:c>
      <x:c r="I267" s="10" t="n">
        <x:f>SUM(XLOOKUP('포켓몬_편집'!$AF267:$AN267,'분류_규칙'!$A$5:$A$76,'분류_규칙'!$I$5:$I$76,0))</x:f>
        <x:v>0</x:v>
      </x:c>
      <x:c r="J267" s="10" t="n">
        <x:f>SUM(XLOOKUP('포켓몬_편집'!$AF267:$AN267,'분류_규칙'!$A$5:$A$76,'분류_규칙'!$J$5:$J$76,0))</x:f>
        <x:v>2</x:v>
      </x:c>
      <x:c r="K267" s="10" t="n">
        <x:f>SUM(XLOOKUP('포켓몬_편집'!$AF267:$AN267,'분류_규칙'!$A$5:$A$76,'분류_규칙'!$K$5:$K$76,0))</x:f>
        <x:v>0</x:v>
      </x:c>
      <x:c r="L267" s="10" t="n">
        <x:f>SUM(XLOOKUP('포켓몬_편집'!$AF267:$AN267,'분류_규칙'!$A$5:$A$76,'분류_규칙'!$L$5:$L$76,0))</x:f>
        <x:v>0</x:v>
      </x:c>
      <x:c r="M267" s="10" t="n">
        <x:f>SUM(XLOOKUP('포켓몬_편집'!$AF267:$AN267,'분류_규칙'!$A$5:$A$76,'분류_규칙'!$M$5:$M$76,0))</x:f>
        <x:v>0</x:v>
      </x:c>
      <x:c r="N267" s="10" t="n">
        <x:f>SUM(XLOOKUP('포켓몬_편집'!$AF267:$AN267,'분류_규칙'!$A$5:$A$76,'분류_규칙'!$N$5:$N$76,0))</x:f>
        <x:v>0</x:v>
      </x:c>
      <x:c r="O267" s="10" t="n">
        <x:f>SUM(XLOOKUP('포켓몬_편집'!$AF267:$AN267,'분류_규칙'!$A$5:$A$76,'분류_규칙'!$O$5:$O$76,0))</x:f>
        <x:v>2</x:v>
      </x:c>
      <x:c r="P267" s="10" t="n">
        <x:f>SUM(XLOOKUP('포켓몬_편집'!$AF267:$AN267,'분류_규칙'!$A$5:$A$76,'분류_규칙'!$P$5:$P$76,0))</x:f>
        <x:v>0</x:v>
      </x:c>
    </x:row>
    <x:row r="268" ht="22" customHeight="1">
      <x:c r="A268" s="5" t="n">
        <x:v>264</x:v>
      </x:c>
      <x:c r="B268" s="5" t="inlineStr">
        <x:is>
          <x:t xml:space="preserve">직구리</x:t>
        </x:is>
      </x:c>
      <x:c r="C268" s="5" t="inlineStr">
        <x:is>
          <x:t xml:space="preserve">linoone</x:t>
        </x:is>
      </x:c>
      <x:c r="D268" s="5" t="n">
        <x:v>3</x:v>
      </x:c>
      <x:c r="E268" s="10" t="n">
        <x:f>SUM(XLOOKUP('포켓몬_편집'!$AF268:$AN268,'분류_규칙'!$A$5:$A$76,'분류_규칙'!$E$5:$E$76,0))</x:f>
        <x:v>10</x:v>
      </x:c>
      <x:c r="F268" s="10" t="n">
        <x:f>SUM(XLOOKUP('포켓몬_편집'!$AF268:$AN268,'분류_규칙'!$A$5:$A$76,'분류_규칙'!$F$5:$F$76,0))</x:f>
        <x:v>7</x:v>
      </x:c>
      <x:c r="G268" s="10" t="n">
        <x:f>SUM(XLOOKUP('포켓몬_편집'!$AF268:$AN268,'분류_규칙'!$A$5:$A$76,'분류_규칙'!$G$5:$G$76,0))</x:f>
        <x:v>5</x:v>
      </x:c>
      <x:c r="H268" s="10" t="n">
        <x:f>SUM(XLOOKUP('포켓몬_편집'!$AF268:$AN268,'분류_규칙'!$A$5:$A$76,'분류_규칙'!$H$5:$H$76,0))</x:f>
        <x:v>5</x:v>
      </x:c>
      <x:c r="I268" s="10" t="n">
        <x:f>SUM(XLOOKUP('포켓몬_편집'!$AF268:$AN268,'분류_규칙'!$A$5:$A$76,'분류_규칙'!$I$5:$I$76,0))</x:f>
        <x:v>0</x:v>
      </x:c>
      <x:c r="J268" s="10" t="n">
        <x:f>SUM(XLOOKUP('포켓몬_편집'!$AF268:$AN268,'분류_규칙'!$A$5:$A$76,'분류_규칙'!$J$5:$J$76,0))</x:f>
        <x:v>2</x:v>
      </x:c>
      <x:c r="K268" s="10" t="n">
        <x:f>SUM(XLOOKUP('포켓몬_편집'!$AF268:$AN268,'분류_규칙'!$A$5:$A$76,'분류_규칙'!$K$5:$K$76,0))</x:f>
        <x:v>0</x:v>
      </x:c>
      <x:c r="L268" s="10" t="n">
        <x:f>SUM(XLOOKUP('포켓몬_편집'!$AF268:$AN268,'분류_규칙'!$A$5:$A$76,'분류_규칙'!$L$5:$L$76,0))</x:f>
        <x:v>0</x:v>
      </x:c>
      <x:c r="M268" s="10" t="n">
        <x:f>SUM(XLOOKUP('포켓몬_편집'!$AF268:$AN268,'분류_규칙'!$A$5:$A$76,'분류_규칙'!$M$5:$M$76,0))</x:f>
        <x:v>0</x:v>
      </x:c>
      <x:c r="N268" s="10" t="n">
        <x:f>SUM(XLOOKUP('포켓몬_편집'!$AF268:$AN268,'분류_규칙'!$A$5:$A$76,'분류_규칙'!$N$5:$N$76,0))</x:f>
        <x:v>0</x:v>
      </x:c>
      <x:c r="O268" s="10" t="n">
        <x:f>SUM(XLOOKUP('포켓몬_편집'!$AF268:$AN268,'분류_규칙'!$A$5:$A$76,'분류_규칙'!$O$5:$O$76,0))</x:f>
        <x:v>2</x:v>
      </x:c>
      <x:c r="P268" s="10" t="n">
        <x:f>SUM(XLOOKUP('포켓몬_편집'!$AF268:$AN268,'분류_규칙'!$A$5:$A$76,'분류_규칙'!$P$5:$P$76,0))</x:f>
        <x:v>0</x:v>
      </x:c>
    </x:row>
    <x:row r="269" ht="22" customHeight="1">
      <x:c r="A269" s="5" t="n">
        <x:v>265</x:v>
      </x:c>
      <x:c r="B269" s="5" t="inlineStr">
        <x:is>
          <x:t xml:space="preserve">개무소</x:t>
        </x:is>
      </x:c>
      <x:c r="C269" s="5" t="inlineStr">
        <x:is>
          <x:t xml:space="preserve">wurmple</x:t>
        </x:is>
      </x:c>
      <x:c r="D269" s="5" t="n">
        <x:v>3</x:v>
      </x:c>
      <x:c r="E269" s="10" t="n">
        <x:f>SUM(XLOOKUP('포켓몬_편집'!$AF269:$AN269,'분류_규칙'!$A$5:$A$76,'분류_규칙'!$E$5:$E$76,0))</x:f>
        <x:v>10</x:v>
      </x:c>
      <x:c r="F269" s="10" t="n">
        <x:f>SUM(XLOOKUP('포켓몬_편집'!$AF269:$AN269,'분류_규칙'!$A$5:$A$76,'분류_규칙'!$F$5:$F$76,0))</x:f>
        <x:v>7</x:v>
      </x:c>
      <x:c r="G269" s="10" t="n">
        <x:f>SUM(XLOOKUP('포켓몬_편집'!$AF269:$AN269,'분류_규칙'!$A$5:$A$76,'분류_규칙'!$G$5:$G$76,0))</x:f>
        <x:v>5</x:v>
      </x:c>
      <x:c r="H269" s="10" t="n">
        <x:f>SUM(XLOOKUP('포켓몬_편집'!$AF269:$AN269,'분류_규칙'!$A$5:$A$76,'분류_규칙'!$H$5:$H$76,0))</x:f>
        <x:v>5</x:v>
      </x:c>
      <x:c r="I269" s="10" t="n">
        <x:f>SUM(XLOOKUP('포켓몬_편집'!$AF269:$AN269,'분류_규칙'!$A$5:$A$76,'분류_규칙'!$I$5:$I$76,0))</x:f>
        <x:v>0</x:v>
      </x:c>
      <x:c r="J269" s="10" t="n">
        <x:f>SUM(XLOOKUP('포켓몬_편집'!$AF269:$AN269,'분류_규칙'!$A$5:$A$76,'분류_규칙'!$J$5:$J$76,0))</x:f>
        <x:v>2</x:v>
      </x:c>
      <x:c r="K269" s="10" t="n">
        <x:f>SUM(XLOOKUP('포켓몬_편집'!$AF269:$AN269,'분류_규칙'!$A$5:$A$76,'분류_규칙'!$K$5:$K$76,0))</x:f>
        <x:v>0</x:v>
      </x:c>
      <x:c r="L269" s="10" t="n">
        <x:f>SUM(XLOOKUP('포켓몬_편집'!$AF269:$AN269,'분류_규칙'!$A$5:$A$76,'분류_규칙'!$L$5:$L$76,0))</x:f>
        <x:v>0</x:v>
      </x:c>
      <x:c r="M269" s="10" t="n">
        <x:f>SUM(XLOOKUP('포켓몬_편집'!$AF269:$AN269,'분류_규칙'!$A$5:$A$76,'분류_규칙'!$M$5:$M$76,0))</x:f>
        <x:v>0</x:v>
      </x:c>
      <x:c r="N269" s="10" t="n">
        <x:f>SUM(XLOOKUP('포켓몬_편집'!$AF269:$AN269,'분류_규칙'!$A$5:$A$76,'분류_규칙'!$N$5:$N$76,0))</x:f>
        <x:v>0</x:v>
      </x:c>
      <x:c r="O269" s="10" t="n">
        <x:f>SUM(XLOOKUP('포켓몬_편집'!$AF269:$AN269,'분류_규칙'!$A$5:$A$76,'분류_규칙'!$O$5:$O$76,0))</x:f>
        <x:v>2</x:v>
      </x:c>
      <x:c r="P269" s="10" t="n">
        <x:f>SUM(XLOOKUP('포켓몬_편집'!$AF269:$AN269,'분류_규칙'!$A$5:$A$76,'분류_규칙'!$P$5:$P$76,0))</x:f>
        <x:v>0</x:v>
      </x:c>
    </x:row>
    <x:row r="270" ht="22" customHeight="1">
      <x:c r="A270" s="5" t="n">
        <x:v>266</x:v>
      </x:c>
      <x:c r="B270" s="5" t="inlineStr">
        <x:is>
          <x:t xml:space="preserve">실쿤</x:t>
        </x:is>
      </x:c>
      <x:c r="C270" s="5" t="inlineStr">
        <x:is>
          <x:t xml:space="preserve">silcoon</x:t>
        </x:is>
      </x:c>
      <x:c r="D270" s="5" t="n">
        <x:v>3</x:v>
      </x:c>
      <x:c r="E270" s="10" t="n">
        <x:f>SUM(XLOOKUP('포켓몬_편집'!$AF270:$AN270,'분류_규칙'!$A$5:$A$76,'분류_규칙'!$E$5:$E$76,0))</x:f>
        <x:v>10</x:v>
      </x:c>
      <x:c r="F270" s="10" t="n">
        <x:f>SUM(XLOOKUP('포켓몬_편집'!$AF270:$AN270,'분류_규칙'!$A$5:$A$76,'분류_규칙'!$F$5:$F$76,0))</x:f>
        <x:v>7</x:v>
      </x:c>
      <x:c r="G270" s="10" t="n">
        <x:f>SUM(XLOOKUP('포켓몬_편집'!$AF270:$AN270,'분류_규칙'!$A$5:$A$76,'분류_규칙'!$G$5:$G$76,0))</x:f>
        <x:v>5</x:v>
      </x:c>
      <x:c r="H270" s="10" t="n">
        <x:f>SUM(XLOOKUP('포켓몬_편집'!$AF270:$AN270,'분류_규칙'!$A$5:$A$76,'분류_규칙'!$H$5:$H$76,0))</x:f>
        <x:v>5</x:v>
      </x:c>
      <x:c r="I270" s="10" t="n">
        <x:f>SUM(XLOOKUP('포켓몬_편집'!$AF270:$AN270,'분류_규칙'!$A$5:$A$76,'분류_규칙'!$I$5:$I$76,0))</x:f>
        <x:v>0</x:v>
      </x:c>
      <x:c r="J270" s="10" t="n">
        <x:f>SUM(XLOOKUP('포켓몬_편집'!$AF270:$AN270,'분류_규칙'!$A$5:$A$76,'분류_규칙'!$J$5:$J$76,0))</x:f>
        <x:v>2</x:v>
      </x:c>
      <x:c r="K270" s="10" t="n">
        <x:f>SUM(XLOOKUP('포켓몬_편집'!$AF270:$AN270,'분류_규칙'!$A$5:$A$76,'분류_규칙'!$K$5:$K$76,0))</x:f>
        <x:v>0</x:v>
      </x:c>
      <x:c r="L270" s="10" t="n">
        <x:f>SUM(XLOOKUP('포켓몬_편집'!$AF270:$AN270,'분류_규칙'!$A$5:$A$76,'분류_규칙'!$L$5:$L$76,0))</x:f>
        <x:v>0</x:v>
      </x:c>
      <x:c r="M270" s="10" t="n">
        <x:f>SUM(XLOOKUP('포켓몬_편집'!$AF270:$AN270,'분류_규칙'!$A$5:$A$76,'분류_규칙'!$M$5:$M$76,0))</x:f>
        <x:v>0</x:v>
      </x:c>
      <x:c r="N270" s="10" t="n">
        <x:f>SUM(XLOOKUP('포켓몬_편집'!$AF270:$AN270,'분류_규칙'!$A$5:$A$76,'분류_규칙'!$N$5:$N$76,0))</x:f>
        <x:v>0</x:v>
      </x:c>
      <x:c r="O270" s="10" t="n">
        <x:f>SUM(XLOOKUP('포켓몬_편집'!$AF270:$AN270,'분류_규칙'!$A$5:$A$76,'분류_규칙'!$O$5:$O$76,0))</x:f>
        <x:v>2</x:v>
      </x:c>
      <x:c r="P270" s="10" t="n">
        <x:f>SUM(XLOOKUP('포켓몬_편집'!$AF270:$AN270,'분류_규칙'!$A$5:$A$76,'분류_규칙'!$P$5:$P$76,0))</x:f>
        <x:v>0</x:v>
      </x:c>
    </x:row>
    <x:row r="271" ht="22" customHeight="1">
      <x:c r="A271" s="5" t="n">
        <x:v>267</x:v>
      </x:c>
      <x:c r="B271" s="5" t="inlineStr">
        <x:is>
          <x:t xml:space="preserve">뷰티플라이</x:t>
        </x:is>
      </x:c>
      <x:c r="C271" s="5" t="inlineStr">
        <x:is>
          <x:t xml:space="preserve">beautifly</x:t>
        </x:is>
      </x:c>
      <x:c r="D271" s="5" t="n">
        <x:v>3</x:v>
      </x:c>
      <x:c r="E271" s="10" t="n">
        <x:f>SUM(XLOOKUP('포켓몬_편집'!$AF271:$AN271,'분류_규칙'!$A$5:$A$76,'분류_규칙'!$E$5:$E$76,0))</x:f>
        <x:v>8</x:v>
      </x:c>
      <x:c r="F271" s="10" t="n">
        <x:f>SUM(XLOOKUP('포켓몬_편집'!$AF271:$AN271,'분류_규칙'!$A$5:$A$76,'분류_규칙'!$F$5:$F$76,0))</x:f>
        <x:v>8</x:v>
      </x:c>
      <x:c r="G271" s="10" t="n">
        <x:f>SUM(XLOOKUP('포켓몬_편집'!$AF271:$AN271,'분류_규칙'!$A$5:$A$76,'분류_규칙'!$G$5:$G$76,0))</x:f>
        <x:v>0</x:v>
      </x:c>
      <x:c r="H271" s="10" t="n">
        <x:f>SUM(XLOOKUP('포켓몬_편집'!$AF271:$AN271,'분류_규칙'!$A$5:$A$76,'분류_규칙'!$H$5:$H$76,0))</x:f>
        <x:v>12</x:v>
      </x:c>
      <x:c r="I271" s="10" t="n">
        <x:f>SUM(XLOOKUP('포켓몬_편집'!$AF271:$AN271,'분류_규칙'!$A$5:$A$76,'분류_규칙'!$I$5:$I$76,0))</x:f>
        <x:v>0</x:v>
      </x:c>
      <x:c r="J271" s="10" t="n">
        <x:f>SUM(XLOOKUP('포켓몬_편집'!$AF271:$AN271,'분류_규칙'!$A$5:$A$76,'분류_규칙'!$J$5:$J$76,0))</x:f>
        <x:v>0</x:v>
      </x:c>
      <x:c r="K271" s="10" t="n">
        <x:f>SUM(XLOOKUP('포켓몬_편집'!$AF271:$AN271,'분류_규칙'!$A$5:$A$76,'분류_규칙'!$K$5:$K$76,0))</x:f>
        <x:v>0</x:v>
      </x:c>
      <x:c r="L271" s="10" t="n">
        <x:f>SUM(XLOOKUP('포켓몬_편집'!$AF271:$AN271,'분류_규칙'!$A$5:$A$76,'분류_규칙'!$L$5:$L$76,0))</x:f>
        <x:v>3</x:v>
      </x:c>
      <x:c r="M271" s="10" t="n">
        <x:f>SUM(XLOOKUP('포켓몬_편집'!$AF271:$AN271,'분류_규칙'!$A$5:$A$76,'분류_규칙'!$M$5:$M$76,0))</x:f>
        <x:v>0</x:v>
      </x:c>
      <x:c r="N271" s="10" t="n">
        <x:f>SUM(XLOOKUP('포켓몬_편집'!$AF271:$AN271,'분류_규칙'!$A$5:$A$76,'분류_규칙'!$N$5:$N$76,0))</x:f>
        <x:v>0</x:v>
      </x:c>
      <x:c r="O271" s="10" t="n">
        <x:f>SUM(XLOOKUP('포켓몬_편집'!$AF271:$AN271,'분류_규칙'!$A$5:$A$76,'분류_규칙'!$O$5:$O$76,0))</x:f>
        <x:v>2</x:v>
      </x:c>
      <x:c r="P271" s="10" t="n">
        <x:f>SUM(XLOOKUP('포켓몬_편집'!$AF271:$AN271,'분류_규칙'!$A$5:$A$76,'분류_규칙'!$P$5:$P$76,0))</x:f>
        <x:v>0</x:v>
      </x:c>
    </x:row>
    <x:row r="272" ht="22" customHeight="1">
      <x:c r="A272" s="5" t="n">
        <x:v>268</x:v>
      </x:c>
      <x:c r="B272" s="5" t="inlineStr">
        <x:is>
          <x:t xml:space="preserve">카스쿤</x:t>
        </x:is>
      </x:c>
      <x:c r="C272" s="5" t="inlineStr">
        <x:is>
          <x:t xml:space="preserve">cascoon</x:t>
        </x:is>
      </x:c>
      <x:c r="D272" s="5" t="n">
        <x:v>3</x:v>
      </x:c>
      <x:c r="E272" s="10" t="n">
        <x:f>SUM(XLOOKUP('포켓몬_편집'!$AF272:$AN272,'분류_규칙'!$A$5:$A$76,'분류_규칙'!$E$5:$E$76,0))</x:f>
        <x:v>10</x:v>
      </x:c>
      <x:c r="F272" s="10" t="n">
        <x:f>SUM(XLOOKUP('포켓몬_편집'!$AF272:$AN272,'분류_규칙'!$A$5:$A$76,'분류_규칙'!$F$5:$F$76,0))</x:f>
        <x:v>7</x:v>
      </x:c>
      <x:c r="G272" s="10" t="n">
        <x:f>SUM(XLOOKUP('포켓몬_편집'!$AF272:$AN272,'분류_규칙'!$A$5:$A$76,'분류_규칙'!$G$5:$G$76,0))</x:f>
        <x:v>5</x:v>
      </x:c>
      <x:c r="H272" s="10" t="n">
        <x:f>SUM(XLOOKUP('포켓몬_편집'!$AF272:$AN272,'분류_규칙'!$A$5:$A$76,'분류_규칙'!$H$5:$H$76,0))</x:f>
        <x:v>5</x:v>
      </x:c>
      <x:c r="I272" s="10" t="n">
        <x:f>SUM(XLOOKUP('포켓몬_편집'!$AF272:$AN272,'분류_규칙'!$A$5:$A$76,'분류_규칙'!$I$5:$I$76,0))</x:f>
        <x:v>0</x:v>
      </x:c>
      <x:c r="J272" s="10" t="n">
        <x:f>SUM(XLOOKUP('포켓몬_편집'!$AF272:$AN272,'분류_규칙'!$A$5:$A$76,'분류_규칙'!$J$5:$J$76,0))</x:f>
        <x:v>2</x:v>
      </x:c>
      <x:c r="K272" s="10" t="n">
        <x:f>SUM(XLOOKUP('포켓몬_편집'!$AF272:$AN272,'분류_규칙'!$A$5:$A$76,'분류_규칙'!$K$5:$K$76,0))</x:f>
        <x:v>0</x:v>
      </x:c>
      <x:c r="L272" s="10" t="n">
        <x:f>SUM(XLOOKUP('포켓몬_편집'!$AF272:$AN272,'분류_규칙'!$A$5:$A$76,'분류_규칙'!$L$5:$L$76,0))</x:f>
        <x:v>0</x:v>
      </x:c>
      <x:c r="M272" s="10" t="n">
        <x:f>SUM(XLOOKUP('포켓몬_편집'!$AF272:$AN272,'분류_규칙'!$A$5:$A$76,'분류_규칙'!$M$5:$M$76,0))</x:f>
        <x:v>0</x:v>
      </x:c>
      <x:c r="N272" s="10" t="n">
        <x:f>SUM(XLOOKUP('포켓몬_편집'!$AF272:$AN272,'분류_규칙'!$A$5:$A$76,'분류_규칙'!$N$5:$N$76,0))</x:f>
        <x:v>0</x:v>
      </x:c>
      <x:c r="O272" s="10" t="n">
        <x:f>SUM(XLOOKUP('포켓몬_편집'!$AF272:$AN272,'분류_규칙'!$A$5:$A$76,'분류_규칙'!$O$5:$O$76,0))</x:f>
        <x:v>2</x:v>
      </x:c>
      <x:c r="P272" s="10" t="n">
        <x:f>SUM(XLOOKUP('포켓몬_편집'!$AF272:$AN272,'분류_규칙'!$A$5:$A$76,'분류_규칙'!$P$5:$P$76,0))</x:f>
        <x:v>0</x:v>
      </x:c>
    </x:row>
    <x:row r="273" ht="22" customHeight="1">
      <x:c r="A273" s="5" t="n">
        <x:v>269</x:v>
      </x:c>
      <x:c r="B273" s="5" t="inlineStr">
        <x:is>
          <x:t xml:space="preserve">독케일</x:t>
        </x:is>
      </x:c>
      <x:c r="C273" s="5" t="inlineStr">
        <x:is>
          <x:t xml:space="preserve">dustox</x:t>
        </x:is>
      </x:c>
      <x:c r="D273" s="5" t="n">
        <x:v>3</x:v>
      </x:c>
      <x:c r="E273" s="10" t="n">
        <x:f>SUM(XLOOKUP('포켓몬_편집'!$AF273:$AN273,'분류_규칙'!$A$5:$A$76,'분류_규칙'!$E$5:$E$76,0))</x:f>
        <x:v>8</x:v>
      </x:c>
      <x:c r="F273" s="10" t="n">
        <x:f>SUM(XLOOKUP('포켓몬_편집'!$AF273:$AN273,'분류_규칙'!$A$5:$A$76,'분류_규칙'!$F$5:$F$76,0))</x:f>
        <x:v>8</x:v>
      </x:c>
      <x:c r="G273" s="10" t="n">
        <x:f>SUM(XLOOKUP('포켓몬_편집'!$AF273:$AN273,'분류_규칙'!$A$5:$A$76,'분류_규칙'!$G$5:$G$76,0))</x:f>
        <x:v>0</x:v>
      </x:c>
      <x:c r="H273" s="10" t="n">
        <x:f>SUM(XLOOKUP('포켓몬_편집'!$AF273:$AN273,'분류_규칙'!$A$5:$A$76,'분류_규칙'!$H$5:$H$76,0))</x:f>
        <x:v>12</x:v>
      </x:c>
      <x:c r="I273" s="10" t="n">
        <x:f>SUM(XLOOKUP('포켓몬_편집'!$AF273:$AN273,'분류_규칙'!$A$5:$A$76,'분류_규칙'!$I$5:$I$76,0))</x:f>
        <x:v>0</x:v>
      </x:c>
      <x:c r="J273" s="10" t="n">
        <x:f>SUM(XLOOKUP('포켓몬_편집'!$AF273:$AN273,'분류_규칙'!$A$5:$A$76,'분류_규칙'!$J$5:$J$76,0))</x:f>
        <x:v>0</x:v>
      </x:c>
      <x:c r="K273" s="10" t="n">
        <x:f>SUM(XLOOKUP('포켓몬_편집'!$AF273:$AN273,'분류_규칙'!$A$5:$A$76,'분류_규칙'!$K$5:$K$76,0))</x:f>
        <x:v>0</x:v>
      </x:c>
      <x:c r="L273" s="10" t="n">
        <x:f>SUM(XLOOKUP('포켓몬_편집'!$AF273:$AN273,'분류_규칙'!$A$5:$A$76,'분류_규칙'!$L$5:$L$76,0))</x:f>
        <x:v>3</x:v>
      </x:c>
      <x:c r="M273" s="10" t="n">
        <x:f>SUM(XLOOKUP('포켓몬_편집'!$AF273:$AN273,'분류_규칙'!$A$5:$A$76,'분류_규칙'!$M$5:$M$76,0))</x:f>
        <x:v>0</x:v>
      </x:c>
      <x:c r="N273" s="10" t="n">
        <x:f>SUM(XLOOKUP('포켓몬_편집'!$AF273:$AN273,'분류_규칙'!$A$5:$A$76,'분류_규칙'!$N$5:$N$76,0))</x:f>
        <x:v>0</x:v>
      </x:c>
      <x:c r="O273" s="10" t="n">
        <x:f>SUM(XLOOKUP('포켓몬_편집'!$AF273:$AN273,'분류_규칙'!$A$5:$A$76,'분류_규칙'!$O$5:$O$76,0))</x:f>
        <x:v>2</x:v>
      </x:c>
      <x:c r="P273" s="10" t="n">
        <x:f>SUM(XLOOKUP('포켓몬_편집'!$AF273:$AN273,'분류_규칙'!$A$5:$A$76,'분류_규칙'!$P$5:$P$76,0))</x:f>
        <x:v>0</x:v>
      </x:c>
    </x:row>
    <x:row r="274" ht="22" customHeight="1">
      <x:c r="A274" s="5" t="n">
        <x:v>270</x:v>
      </x:c>
      <x:c r="B274" s="5" t="inlineStr">
        <x:is>
          <x:t xml:space="preserve">연꽃몬</x:t>
        </x:is>
      </x:c>
      <x:c r="C274" s="5" t="inlineStr">
        <x:is>
          <x:t xml:space="preserve">lotad</x:t>
        </x:is>
      </x:c>
      <x:c r="D274" s="5" t="n">
        <x:v>3</x:v>
      </x:c>
      <x:c r="E274" s="10" t="n">
        <x:f>SUM(XLOOKUP('포켓몬_편집'!$AF274:$AN274,'분류_규칙'!$A$5:$A$76,'분류_규칙'!$E$5:$E$76,0))</x:f>
        <x:v>0</x:v>
      </x:c>
      <x:c r="F274" s="10" t="n">
        <x:f>SUM(XLOOKUP('포켓몬_편집'!$AF274:$AN274,'분류_규칙'!$A$5:$A$76,'분류_규칙'!$F$5:$F$76,0))</x:f>
        <x:v>0</x:v>
      </x:c>
      <x:c r="G274" s="10" t="n">
        <x:f>SUM(XLOOKUP('포켓몬_편집'!$AF274:$AN274,'분류_규칙'!$A$5:$A$76,'분류_규칙'!$G$5:$G$76,0))</x:f>
        <x:v>0</x:v>
      </x:c>
      <x:c r="H274" s="10" t="n">
        <x:f>SUM(XLOOKUP('포켓몬_편집'!$AF274:$AN274,'분류_규칙'!$A$5:$A$76,'분류_규칙'!$H$5:$H$76,0))</x:f>
        <x:v>0</x:v>
      </x:c>
      <x:c r="I274" s="10" t="n">
        <x:f>SUM(XLOOKUP('포켓몬_편집'!$AF274:$AN274,'분류_규칙'!$A$5:$A$76,'분류_규칙'!$I$5:$I$76,0))</x:f>
        <x:v>0</x:v>
      </x:c>
      <x:c r="J274" s="10" t="n">
        <x:f>SUM(XLOOKUP('포켓몬_편집'!$AF274:$AN274,'분류_규칙'!$A$5:$A$76,'분류_규칙'!$J$5:$J$76,0))</x:f>
        <x:v>22</x:v>
      </x:c>
      <x:c r="K274" s="10" t="n">
        <x:f>SUM(XLOOKUP('포켓몬_편집'!$AF274:$AN274,'분류_규칙'!$A$5:$A$76,'분류_규칙'!$K$5:$K$76,0))</x:f>
        <x:v>16</x:v>
      </x:c>
      <x:c r="L274" s="10" t="n">
        <x:f>SUM(XLOOKUP('포켓몬_편집'!$AF274:$AN274,'분류_규칙'!$A$5:$A$76,'분류_규칙'!$L$5:$L$76,0))</x:f>
        <x:v>8</x:v>
      </x:c>
      <x:c r="M274" s="10" t="n">
        <x:f>SUM(XLOOKUP('포켓몬_편집'!$AF274:$AN274,'분류_규칙'!$A$5:$A$76,'분류_규칙'!$M$5:$M$76,0))</x:f>
        <x:v>0</x:v>
      </x:c>
      <x:c r="N274" s="10" t="n">
        <x:f>SUM(XLOOKUP('포켓몬_편집'!$AF274:$AN274,'분류_규칙'!$A$5:$A$76,'분류_규칙'!$N$5:$N$76,0))</x:f>
        <x:v>0</x:v>
      </x:c>
      <x:c r="O274" s="10" t="n">
        <x:f>SUM(XLOOKUP('포켓몬_편집'!$AF274:$AN274,'분류_규칙'!$A$5:$A$76,'분류_규칙'!$O$5:$O$76,0))</x:f>
        <x:v>0</x:v>
      </x:c>
      <x:c r="P274" s="10" t="n">
        <x:f>SUM(XLOOKUP('포켓몬_편집'!$AF274:$AN274,'분류_규칙'!$A$5:$A$76,'분류_규칙'!$P$5:$P$76,0))</x:f>
        <x:v>0</x:v>
      </x:c>
    </x:row>
    <x:row r="275" ht="22" customHeight="1">
      <x:c r="A275" s="5" t="n">
        <x:v>271</x:v>
      </x:c>
      <x:c r="B275" s="5" t="inlineStr">
        <x:is>
          <x:t xml:space="preserve">로토스</x:t>
        </x:is>
      </x:c>
      <x:c r="C275" s="5" t="inlineStr">
        <x:is>
          <x:t xml:space="preserve">lombre</x:t>
        </x:is>
      </x:c>
      <x:c r="D275" s="5" t="n">
        <x:v>3</x:v>
      </x:c>
      <x:c r="E275" s="10" t="n">
        <x:f>SUM(XLOOKUP('포켓몬_편집'!$AF275:$AN275,'분류_규칙'!$A$5:$A$76,'분류_규칙'!$E$5:$E$76,0))</x:f>
        <x:v>0</x:v>
      </x:c>
      <x:c r="F275" s="10" t="n">
        <x:f>SUM(XLOOKUP('포켓몬_편집'!$AF275:$AN275,'분류_규칙'!$A$5:$A$76,'분류_규칙'!$F$5:$F$76,0))</x:f>
        <x:v>0</x:v>
      </x:c>
      <x:c r="G275" s="10" t="n">
        <x:f>SUM(XLOOKUP('포켓몬_편집'!$AF275:$AN275,'분류_규칙'!$A$5:$A$76,'분류_규칙'!$G$5:$G$76,0))</x:f>
        <x:v>0</x:v>
      </x:c>
      <x:c r="H275" s="10" t="n">
        <x:f>SUM(XLOOKUP('포켓몬_편집'!$AF275:$AN275,'분류_규칙'!$A$5:$A$76,'분류_규칙'!$H$5:$H$76,0))</x:f>
        <x:v>0</x:v>
      </x:c>
      <x:c r="I275" s="10" t="n">
        <x:f>SUM(XLOOKUP('포켓몬_편집'!$AF275:$AN275,'분류_규칙'!$A$5:$A$76,'분류_규칙'!$I$5:$I$76,0))</x:f>
        <x:v>0</x:v>
      </x:c>
      <x:c r="J275" s="10" t="n">
        <x:f>SUM(XLOOKUP('포켓몬_편집'!$AF275:$AN275,'분류_규칙'!$A$5:$A$76,'분류_규칙'!$J$5:$J$76,0))</x:f>
        <x:v>22</x:v>
      </x:c>
      <x:c r="K275" s="10" t="n">
        <x:f>SUM(XLOOKUP('포켓몬_편집'!$AF275:$AN275,'분류_규칙'!$A$5:$A$76,'분류_규칙'!$K$5:$K$76,0))</x:f>
        <x:v>16</x:v>
      </x:c>
      <x:c r="L275" s="10" t="n">
        <x:f>SUM(XLOOKUP('포켓몬_편집'!$AF275:$AN275,'분류_규칙'!$A$5:$A$76,'분류_규칙'!$L$5:$L$76,0))</x:f>
        <x:v>8</x:v>
      </x:c>
      <x:c r="M275" s="10" t="n">
        <x:f>SUM(XLOOKUP('포켓몬_편집'!$AF275:$AN275,'분류_규칙'!$A$5:$A$76,'분류_규칙'!$M$5:$M$76,0))</x:f>
        <x:v>0</x:v>
      </x:c>
      <x:c r="N275" s="10" t="n">
        <x:f>SUM(XLOOKUP('포켓몬_편집'!$AF275:$AN275,'분류_규칙'!$A$5:$A$76,'분류_규칙'!$N$5:$N$76,0))</x:f>
        <x:v>0</x:v>
      </x:c>
      <x:c r="O275" s="10" t="n">
        <x:f>SUM(XLOOKUP('포켓몬_편집'!$AF275:$AN275,'분류_규칙'!$A$5:$A$76,'분류_규칙'!$O$5:$O$76,0))</x:f>
        <x:v>0</x:v>
      </x:c>
      <x:c r="P275" s="10" t="n">
        <x:f>SUM(XLOOKUP('포켓몬_편집'!$AF275:$AN275,'분류_규칙'!$A$5:$A$76,'분류_규칙'!$P$5:$P$76,0))</x:f>
        <x:v>0</x:v>
      </x:c>
    </x:row>
    <x:row r="276" ht="22" customHeight="1">
      <x:c r="A276" s="5" t="n">
        <x:v>272</x:v>
      </x:c>
      <x:c r="B276" s="5" t="inlineStr">
        <x:is>
          <x:t xml:space="preserve">로파파</x:t>
        </x:is>
      </x:c>
      <x:c r="C276" s="5" t="inlineStr">
        <x:is>
          <x:t xml:space="preserve">ludicolo</x:t>
        </x:is>
      </x:c>
      <x:c r="D276" s="5" t="n">
        <x:v>3</x:v>
      </x:c>
      <x:c r="E276" s="10" t="n">
        <x:f>SUM(XLOOKUP('포켓몬_편집'!$AF276:$AN276,'분류_규칙'!$A$5:$A$76,'분류_규칙'!$E$5:$E$76,0))</x:f>
        <x:v>0</x:v>
      </x:c>
      <x:c r="F276" s="10" t="n">
        <x:f>SUM(XLOOKUP('포켓몬_편집'!$AF276:$AN276,'분류_규칙'!$A$5:$A$76,'분류_규칙'!$F$5:$F$76,0))</x:f>
        <x:v>0</x:v>
      </x:c>
      <x:c r="G276" s="10" t="n">
        <x:f>SUM(XLOOKUP('포켓몬_편집'!$AF276:$AN276,'분류_규칙'!$A$5:$A$76,'분류_규칙'!$G$5:$G$76,0))</x:f>
        <x:v>0</x:v>
      </x:c>
      <x:c r="H276" s="10" t="n">
        <x:f>SUM(XLOOKUP('포켓몬_편집'!$AF276:$AN276,'분류_규칙'!$A$5:$A$76,'분류_규칙'!$H$5:$H$76,0))</x:f>
        <x:v>0</x:v>
      </x:c>
      <x:c r="I276" s="10" t="n">
        <x:f>SUM(XLOOKUP('포켓몬_편집'!$AF276:$AN276,'분류_규칙'!$A$5:$A$76,'분류_규칙'!$I$5:$I$76,0))</x:f>
        <x:v>0</x:v>
      </x:c>
      <x:c r="J276" s="10" t="n">
        <x:f>SUM(XLOOKUP('포켓몬_편집'!$AF276:$AN276,'분류_규칙'!$A$5:$A$76,'분류_규칙'!$J$5:$J$76,0))</x:f>
        <x:v>22</x:v>
      </x:c>
      <x:c r="K276" s="10" t="n">
        <x:f>SUM(XLOOKUP('포켓몬_편집'!$AF276:$AN276,'분류_규칙'!$A$5:$A$76,'분류_규칙'!$K$5:$K$76,0))</x:f>
        <x:v>16</x:v>
      </x:c>
      <x:c r="L276" s="10" t="n">
        <x:f>SUM(XLOOKUP('포켓몬_편집'!$AF276:$AN276,'분류_규칙'!$A$5:$A$76,'분류_규칙'!$L$5:$L$76,0))</x:f>
        <x:v>8</x:v>
      </x:c>
      <x:c r="M276" s="10" t="n">
        <x:f>SUM(XLOOKUP('포켓몬_편집'!$AF276:$AN276,'분류_규칙'!$A$5:$A$76,'분류_규칙'!$M$5:$M$76,0))</x:f>
        <x:v>0</x:v>
      </x:c>
      <x:c r="N276" s="10" t="n">
        <x:f>SUM(XLOOKUP('포켓몬_편집'!$AF276:$AN276,'분류_규칙'!$A$5:$A$76,'분류_규칙'!$N$5:$N$76,0))</x:f>
        <x:v>0</x:v>
      </x:c>
      <x:c r="O276" s="10" t="n">
        <x:f>SUM(XLOOKUP('포켓몬_편집'!$AF276:$AN276,'분류_규칙'!$A$5:$A$76,'분류_규칙'!$O$5:$O$76,0))</x:f>
        <x:v>0</x:v>
      </x:c>
      <x:c r="P276" s="10" t="n">
        <x:f>SUM(XLOOKUP('포켓몬_편집'!$AF276:$AN276,'분류_규칙'!$A$5:$A$76,'분류_규칙'!$P$5:$P$76,0))</x:f>
        <x:v>0</x:v>
      </x:c>
    </x:row>
    <x:row r="277" ht="22" customHeight="1">
      <x:c r="A277" s="5" t="n">
        <x:v>273</x:v>
      </x:c>
      <x:c r="B277" s="5" t="inlineStr">
        <x:is>
          <x:t xml:space="preserve">도토링</x:t>
        </x:is>
      </x:c>
      <x:c r="C277" s="5" t="inlineStr">
        <x:is>
          <x:t xml:space="preserve">seedot</x:t>
        </x:is>
      </x:c>
      <x:c r="D277" s="5" t="n">
        <x:v>3</x:v>
      </x:c>
      <x:c r="E277" s="10" t="n">
        <x:f>SUM(XLOOKUP('포켓몬_편집'!$AF277:$AN277,'분류_규칙'!$A$5:$A$76,'분류_규칙'!$E$5:$E$76,0))</x:f>
        <x:v>10</x:v>
      </x:c>
      <x:c r="F277" s="10" t="n">
        <x:f>SUM(XLOOKUP('포켓몬_편집'!$AF277:$AN277,'분류_규칙'!$A$5:$A$76,'분류_규칙'!$F$5:$F$76,0))</x:f>
        <x:v>7</x:v>
      </x:c>
      <x:c r="G277" s="10" t="n">
        <x:f>SUM(XLOOKUP('포켓몬_편집'!$AF277:$AN277,'분류_규칙'!$A$5:$A$76,'분류_규칙'!$G$5:$G$76,0))</x:f>
        <x:v>5</x:v>
      </x:c>
      <x:c r="H277" s="10" t="n">
        <x:f>SUM(XLOOKUP('포켓몬_편집'!$AF277:$AN277,'분류_규칙'!$A$5:$A$76,'분류_규칙'!$H$5:$H$76,0))</x:f>
        <x:v>5</x:v>
      </x:c>
      <x:c r="I277" s="10" t="n">
        <x:f>SUM(XLOOKUP('포켓몬_편집'!$AF277:$AN277,'분류_규칙'!$A$5:$A$76,'분류_규칙'!$I$5:$I$76,0))</x:f>
        <x:v>0</x:v>
      </x:c>
      <x:c r="J277" s="10" t="n">
        <x:f>SUM(XLOOKUP('포켓몬_편집'!$AF277:$AN277,'분류_규칙'!$A$5:$A$76,'분류_규칙'!$J$5:$J$76,0))</x:f>
        <x:v>2</x:v>
      </x:c>
      <x:c r="K277" s="10" t="n">
        <x:f>SUM(XLOOKUP('포켓몬_편집'!$AF277:$AN277,'분류_규칙'!$A$5:$A$76,'분류_규칙'!$K$5:$K$76,0))</x:f>
        <x:v>0</x:v>
      </x:c>
      <x:c r="L277" s="10" t="n">
        <x:f>SUM(XLOOKUP('포켓몬_편집'!$AF277:$AN277,'분류_규칙'!$A$5:$A$76,'분류_규칙'!$L$5:$L$76,0))</x:f>
        <x:v>0</x:v>
      </x:c>
      <x:c r="M277" s="10" t="n">
        <x:f>SUM(XLOOKUP('포켓몬_편집'!$AF277:$AN277,'분류_규칙'!$A$5:$A$76,'분류_규칙'!$M$5:$M$76,0))</x:f>
        <x:v>0</x:v>
      </x:c>
      <x:c r="N277" s="10" t="n">
        <x:f>SUM(XLOOKUP('포켓몬_편집'!$AF277:$AN277,'분류_규칙'!$A$5:$A$76,'분류_규칙'!$N$5:$N$76,0))</x:f>
        <x:v>0</x:v>
      </x:c>
      <x:c r="O277" s="10" t="n">
        <x:f>SUM(XLOOKUP('포켓몬_편집'!$AF277:$AN277,'분류_규칙'!$A$5:$A$76,'분류_규칙'!$O$5:$O$76,0))</x:f>
        <x:v>2</x:v>
      </x:c>
      <x:c r="P277" s="10" t="n">
        <x:f>SUM(XLOOKUP('포켓몬_편집'!$AF277:$AN277,'분류_규칙'!$A$5:$A$76,'분류_규칙'!$P$5:$P$76,0))</x:f>
        <x:v>0</x:v>
      </x:c>
    </x:row>
    <x:row r="278" ht="22" customHeight="1">
      <x:c r="A278" s="5" t="n">
        <x:v>274</x:v>
      </x:c>
      <x:c r="B278" s="5" t="inlineStr">
        <x:is>
          <x:t xml:space="preserve">잎새코</x:t>
        </x:is>
      </x:c>
      <x:c r="C278" s="5" t="inlineStr">
        <x:is>
          <x:t xml:space="preserve">nuzleaf</x:t>
        </x:is>
      </x:c>
      <x:c r="D278" s="5" t="n">
        <x:v>3</x:v>
      </x:c>
      <x:c r="E278" s="10" t="n">
        <x:f>SUM(XLOOKUP('포켓몬_편집'!$AF278:$AN278,'분류_규칙'!$A$5:$A$76,'분류_규칙'!$E$5:$E$76,0))</x:f>
        <x:v>10</x:v>
      </x:c>
      <x:c r="F278" s="10" t="n">
        <x:f>SUM(XLOOKUP('포켓몬_편집'!$AF278:$AN278,'분류_규칙'!$A$5:$A$76,'분류_규칙'!$F$5:$F$76,0))</x:f>
        <x:v>7</x:v>
      </x:c>
      <x:c r="G278" s="10" t="n">
        <x:f>SUM(XLOOKUP('포켓몬_편집'!$AF278:$AN278,'분류_규칙'!$A$5:$A$76,'분류_규칙'!$G$5:$G$76,0))</x:f>
        <x:v>5</x:v>
      </x:c>
      <x:c r="H278" s="10" t="n">
        <x:f>SUM(XLOOKUP('포켓몬_편집'!$AF278:$AN278,'분류_규칙'!$A$5:$A$76,'분류_규칙'!$H$5:$H$76,0))</x:f>
        <x:v>5</x:v>
      </x:c>
      <x:c r="I278" s="10" t="n">
        <x:f>SUM(XLOOKUP('포켓몬_편집'!$AF278:$AN278,'분류_규칙'!$A$5:$A$76,'분류_규칙'!$I$5:$I$76,0))</x:f>
        <x:v>0</x:v>
      </x:c>
      <x:c r="J278" s="10" t="n">
        <x:f>SUM(XLOOKUP('포켓몬_편집'!$AF278:$AN278,'분류_규칙'!$A$5:$A$76,'분류_규칙'!$J$5:$J$76,0))</x:f>
        <x:v>2</x:v>
      </x:c>
      <x:c r="K278" s="10" t="n">
        <x:f>SUM(XLOOKUP('포켓몬_편집'!$AF278:$AN278,'분류_규칙'!$A$5:$A$76,'분류_규칙'!$K$5:$K$76,0))</x:f>
        <x:v>0</x:v>
      </x:c>
      <x:c r="L278" s="10" t="n">
        <x:f>SUM(XLOOKUP('포켓몬_편집'!$AF278:$AN278,'분류_규칙'!$A$5:$A$76,'분류_규칙'!$L$5:$L$76,0))</x:f>
        <x:v>0</x:v>
      </x:c>
      <x:c r="M278" s="10" t="n">
        <x:f>SUM(XLOOKUP('포켓몬_편집'!$AF278:$AN278,'분류_규칙'!$A$5:$A$76,'분류_규칙'!$M$5:$M$76,0))</x:f>
        <x:v>0</x:v>
      </x:c>
      <x:c r="N278" s="10" t="n">
        <x:f>SUM(XLOOKUP('포켓몬_편집'!$AF278:$AN278,'분류_규칙'!$A$5:$A$76,'분류_규칙'!$N$5:$N$76,0))</x:f>
        <x:v>0</x:v>
      </x:c>
      <x:c r="O278" s="10" t="n">
        <x:f>SUM(XLOOKUP('포켓몬_편집'!$AF278:$AN278,'분류_규칙'!$A$5:$A$76,'분류_규칙'!$O$5:$O$76,0))</x:f>
        <x:v>2</x:v>
      </x:c>
      <x:c r="P278" s="10" t="n">
        <x:f>SUM(XLOOKUP('포켓몬_편집'!$AF278:$AN278,'분류_규칙'!$A$5:$A$76,'분류_규칙'!$P$5:$P$76,0))</x:f>
        <x:v>0</x:v>
      </x:c>
    </x:row>
    <x:row r="279" ht="22" customHeight="1">
      <x:c r="A279" s="5" t="n">
        <x:v>275</x:v>
      </x:c>
      <x:c r="B279" s="5" t="inlineStr">
        <x:is>
          <x:t xml:space="preserve">다탱구</x:t>
        </x:is>
      </x:c>
      <x:c r="C279" s="5" t="inlineStr">
        <x:is>
          <x:t xml:space="preserve">shiftry</x:t>
        </x:is>
      </x:c>
      <x:c r="D279" s="5" t="n">
        <x:v>3</x:v>
      </x:c>
      <x:c r="E279" s="10" t="n">
        <x:f>SUM(XLOOKUP('포켓몬_편집'!$AF279:$AN279,'분류_규칙'!$A$5:$A$76,'분류_규칙'!$E$5:$E$76,0))</x:f>
        <x:v>10</x:v>
      </x:c>
      <x:c r="F279" s="10" t="n">
        <x:f>SUM(XLOOKUP('포켓몬_편집'!$AF279:$AN279,'분류_규칙'!$A$5:$A$76,'분류_규칙'!$F$5:$F$76,0))</x:f>
        <x:v>7</x:v>
      </x:c>
      <x:c r="G279" s="10" t="n">
        <x:f>SUM(XLOOKUP('포켓몬_편집'!$AF279:$AN279,'분류_규칙'!$A$5:$A$76,'분류_규칙'!$G$5:$G$76,0))</x:f>
        <x:v>5</x:v>
      </x:c>
      <x:c r="H279" s="10" t="n">
        <x:f>SUM(XLOOKUP('포켓몬_편집'!$AF279:$AN279,'분류_규칙'!$A$5:$A$76,'분류_규칙'!$H$5:$H$76,0))</x:f>
        <x:v>5</x:v>
      </x:c>
      <x:c r="I279" s="10" t="n">
        <x:f>SUM(XLOOKUP('포켓몬_편집'!$AF279:$AN279,'분류_규칙'!$A$5:$A$76,'분류_규칙'!$I$5:$I$76,0))</x:f>
        <x:v>0</x:v>
      </x:c>
      <x:c r="J279" s="10" t="n">
        <x:f>SUM(XLOOKUP('포켓몬_편집'!$AF279:$AN279,'분류_규칙'!$A$5:$A$76,'분류_규칙'!$J$5:$J$76,0))</x:f>
        <x:v>2</x:v>
      </x:c>
      <x:c r="K279" s="10" t="n">
        <x:f>SUM(XLOOKUP('포켓몬_편집'!$AF279:$AN279,'분류_규칙'!$A$5:$A$76,'분류_규칙'!$K$5:$K$76,0))</x:f>
        <x:v>0</x:v>
      </x:c>
      <x:c r="L279" s="10" t="n">
        <x:f>SUM(XLOOKUP('포켓몬_편집'!$AF279:$AN279,'분류_규칙'!$A$5:$A$76,'분류_규칙'!$L$5:$L$76,0))</x:f>
        <x:v>0</x:v>
      </x:c>
      <x:c r="M279" s="10" t="n">
        <x:f>SUM(XLOOKUP('포켓몬_편집'!$AF279:$AN279,'분류_규칙'!$A$5:$A$76,'분류_규칙'!$M$5:$M$76,0))</x:f>
        <x:v>0</x:v>
      </x:c>
      <x:c r="N279" s="10" t="n">
        <x:f>SUM(XLOOKUP('포켓몬_편집'!$AF279:$AN279,'분류_규칙'!$A$5:$A$76,'분류_규칙'!$N$5:$N$76,0))</x:f>
        <x:v>0</x:v>
      </x:c>
      <x:c r="O279" s="10" t="n">
        <x:f>SUM(XLOOKUP('포켓몬_편집'!$AF279:$AN279,'분류_규칙'!$A$5:$A$76,'분류_규칙'!$O$5:$O$76,0))</x:f>
        <x:v>2</x:v>
      </x:c>
      <x:c r="P279" s="10" t="n">
        <x:f>SUM(XLOOKUP('포켓몬_편집'!$AF279:$AN279,'분류_규칙'!$A$5:$A$76,'분류_규칙'!$P$5:$P$76,0))</x:f>
        <x:v>0</x:v>
      </x:c>
    </x:row>
    <x:row r="280" ht="22" customHeight="1">
      <x:c r="A280" s="5" t="n">
        <x:v>276</x:v>
      </x:c>
      <x:c r="B280" s="5" t="inlineStr">
        <x:is>
          <x:t xml:space="preserve">테일로</x:t>
        </x:is>
      </x:c>
      <x:c r="C280" s="5" t="inlineStr">
        <x:is>
          <x:t xml:space="preserve">taillow</x:t>
        </x:is>
      </x:c>
      <x:c r="D280" s="5" t="n">
        <x:v>3</x:v>
      </x:c>
      <x:c r="E280" s="10" t="n">
        <x:f>SUM(XLOOKUP('포켓몬_편집'!$AF280:$AN280,'분류_규칙'!$A$5:$A$76,'분류_규칙'!$E$5:$E$76,0))</x:f>
        <x:v>8</x:v>
      </x:c>
      <x:c r="F280" s="10" t="n">
        <x:f>SUM(XLOOKUP('포켓몬_편집'!$AF280:$AN280,'분류_규칙'!$A$5:$A$76,'분류_규칙'!$F$5:$F$76,0))</x:f>
        <x:v>8</x:v>
      </x:c>
      <x:c r="G280" s="10" t="n">
        <x:f>SUM(XLOOKUP('포켓몬_편집'!$AF280:$AN280,'분류_규칙'!$A$5:$A$76,'분류_규칙'!$G$5:$G$76,0))</x:f>
        <x:v>0</x:v>
      </x:c>
      <x:c r="H280" s="10" t="n">
        <x:f>SUM(XLOOKUP('포켓몬_편집'!$AF280:$AN280,'분류_규칙'!$A$5:$A$76,'분류_규칙'!$H$5:$H$76,0))</x:f>
        <x:v>12</x:v>
      </x:c>
      <x:c r="I280" s="10" t="n">
        <x:f>SUM(XLOOKUP('포켓몬_편집'!$AF280:$AN280,'분류_규칙'!$A$5:$A$76,'분류_규칙'!$I$5:$I$76,0))</x:f>
        <x:v>0</x:v>
      </x:c>
      <x:c r="J280" s="10" t="n">
        <x:f>SUM(XLOOKUP('포켓몬_편집'!$AF280:$AN280,'분류_규칙'!$A$5:$A$76,'분류_규칙'!$J$5:$J$76,0))</x:f>
        <x:v>0</x:v>
      </x:c>
      <x:c r="K280" s="10" t="n">
        <x:f>SUM(XLOOKUP('포켓몬_편집'!$AF280:$AN280,'분류_규칙'!$A$5:$A$76,'분류_규칙'!$K$5:$K$76,0))</x:f>
        <x:v>0</x:v>
      </x:c>
      <x:c r="L280" s="10" t="n">
        <x:f>SUM(XLOOKUP('포켓몬_편집'!$AF280:$AN280,'분류_규칙'!$A$5:$A$76,'분류_규칙'!$L$5:$L$76,0))</x:f>
        <x:v>3</x:v>
      </x:c>
      <x:c r="M280" s="10" t="n">
        <x:f>SUM(XLOOKUP('포켓몬_편집'!$AF280:$AN280,'분류_규칙'!$A$5:$A$76,'분류_규칙'!$M$5:$M$76,0))</x:f>
        <x:v>0</x:v>
      </x:c>
      <x:c r="N280" s="10" t="n">
        <x:f>SUM(XLOOKUP('포켓몬_편집'!$AF280:$AN280,'분류_규칙'!$A$5:$A$76,'분류_규칙'!$N$5:$N$76,0))</x:f>
        <x:v>0</x:v>
      </x:c>
      <x:c r="O280" s="10" t="n">
        <x:f>SUM(XLOOKUP('포켓몬_편집'!$AF280:$AN280,'분류_규칙'!$A$5:$A$76,'분류_규칙'!$O$5:$O$76,0))</x:f>
        <x:v>2</x:v>
      </x:c>
      <x:c r="P280" s="10" t="n">
        <x:f>SUM(XLOOKUP('포켓몬_편집'!$AF280:$AN280,'분류_규칙'!$A$5:$A$76,'분류_규칙'!$P$5:$P$76,0))</x:f>
        <x:v>0</x:v>
      </x:c>
    </x:row>
    <x:row r="281" ht="22" customHeight="1">
      <x:c r="A281" s="5" t="n">
        <x:v>277</x:v>
      </x:c>
      <x:c r="B281" s="5" t="inlineStr">
        <x:is>
          <x:t xml:space="preserve">스왈로</x:t>
        </x:is>
      </x:c>
      <x:c r="C281" s="5" t="inlineStr">
        <x:is>
          <x:t xml:space="preserve">swellow</x:t>
        </x:is>
      </x:c>
      <x:c r="D281" s="5" t="n">
        <x:v>3</x:v>
      </x:c>
      <x:c r="E281" s="10" t="n">
        <x:f>SUM(XLOOKUP('포켓몬_편집'!$AF281:$AN281,'분류_규칙'!$A$5:$A$76,'분류_규칙'!$E$5:$E$76,0))</x:f>
        <x:v>8</x:v>
      </x:c>
      <x:c r="F281" s="10" t="n">
        <x:f>SUM(XLOOKUP('포켓몬_편집'!$AF281:$AN281,'분류_규칙'!$A$5:$A$76,'분류_규칙'!$F$5:$F$76,0))</x:f>
        <x:v>8</x:v>
      </x:c>
      <x:c r="G281" s="10" t="n">
        <x:f>SUM(XLOOKUP('포켓몬_편집'!$AF281:$AN281,'분류_규칙'!$A$5:$A$76,'분류_규칙'!$G$5:$G$76,0))</x:f>
        <x:v>0</x:v>
      </x:c>
      <x:c r="H281" s="10" t="n">
        <x:f>SUM(XLOOKUP('포켓몬_편집'!$AF281:$AN281,'분류_규칙'!$A$5:$A$76,'분류_규칙'!$H$5:$H$76,0))</x:f>
        <x:v>12</x:v>
      </x:c>
      <x:c r="I281" s="10" t="n">
        <x:f>SUM(XLOOKUP('포켓몬_편집'!$AF281:$AN281,'분류_규칙'!$A$5:$A$76,'분류_규칙'!$I$5:$I$76,0))</x:f>
        <x:v>0</x:v>
      </x:c>
      <x:c r="J281" s="10" t="n">
        <x:f>SUM(XLOOKUP('포켓몬_편집'!$AF281:$AN281,'분류_규칙'!$A$5:$A$76,'분류_규칙'!$J$5:$J$76,0))</x:f>
        <x:v>0</x:v>
      </x:c>
      <x:c r="K281" s="10" t="n">
        <x:f>SUM(XLOOKUP('포켓몬_편집'!$AF281:$AN281,'분류_규칙'!$A$5:$A$76,'분류_규칙'!$K$5:$K$76,0))</x:f>
        <x:v>0</x:v>
      </x:c>
      <x:c r="L281" s="10" t="n">
        <x:f>SUM(XLOOKUP('포켓몬_편집'!$AF281:$AN281,'분류_규칙'!$A$5:$A$76,'분류_규칙'!$L$5:$L$76,0))</x:f>
        <x:v>3</x:v>
      </x:c>
      <x:c r="M281" s="10" t="n">
        <x:f>SUM(XLOOKUP('포켓몬_편집'!$AF281:$AN281,'분류_규칙'!$A$5:$A$76,'분류_규칙'!$M$5:$M$76,0))</x:f>
        <x:v>0</x:v>
      </x:c>
      <x:c r="N281" s="10" t="n">
        <x:f>SUM(XLOOKUP('포켓몬_편집'!$AF281:$AN281,'분류_규칙'!$A$5:$A$76,'분류_규칙'!$N$5:$N$76,0))</x:f>
        <x:v>0</x:v>
      </x:c>
      <x:c r="O281" s="10" t="n">
        <x:f>SUM(XLOOKUP('포켓몬_편집'!$AF281:$AN281,'분류_규칙'!$A$5:$A$76,'분류_규칙'!$O$5:$O$76,0))</x:f>
        <x:v>2</x:v>
      </x:c>
      <x:c r="P281" s="10" t="n">
        <x:f>SUM(XLOOKUP('포켓몬_편집'!$AF281:$AN281,'분류_규칙'!$A$5:$A$76,'분류_규칙'!$P$5:$P$76,0))</x:f>
        <x:v>0</x:v>
      </x:c>
    </x:row>
    <x:row r="282" ht="22" customHeight="1">
      <x:c r="A282" s="5" t="n">
        <x:v>278</x:v>
      </x:c>
      <x:c r="B282" s="5" t="inlineStr">
        <x:is>
          <x:t xml:space="preserve">갈모매</x:t>
        </x:is>
      </x:c>
      <x:c r="C282" s="5" t="inlineStr">
        <x:is>
          <x:t xml:space="preserve">wingull</x:t>
        </x:is>
      </x:c>
      <x:c r="D282" s="5" t="n">
        <x:v>3</x:v>
      </x:c>
      <x:c r="E282" s="10" t="n">
        <x:f>SUM(XLOOKUP('포켓몬_편집'!$AF282:$AN282,'분류_규칙'!$A$5:$A$76,'분류_규칙'!$E$5:$E$76,0))</x:f>
        <x:v>0</x:v>
      </x:c>
      <x:c r="F282" s="10" t="n">
        <x:f>SUM(XLOOKUP('포켓몬_편집'!$AF282:$AN282,'분류_규칙'!$A$5:$A$76,'분류_규칙'!$F$5:$F$76,0))</x:f>
        <x:v>0</x:v>
      </x:c>
      <x:c r="G282" s="10" t="n">
        <x:f>SUM(XLOOKUP('포켓몬_편집'!$AF282:$AN282,'분류_규칙'!$A$5:$A$76,'분류_규칙'!$G$5:$G$76,0))</x:f>
        <x:v>0</x:v>
      </x:c>
      <x:c r="H282" s="10" t="n">
        <x:f>SUM(XLOOKUP('포켓몬_편집'!$AF282:$AN282,'분류_규칙'!$A$5:$A$76,'분류_규칙'!$H$5:$H$76,0))</x:f>
        <x:v>0</x:v>
      </x:c>
      <x:c r="I282" s="10" t="n">
        <x:f>SUM(XLOOKUP('포켓몬_편집'!$AF282:$AN282,'분류_규칙'!$A$5:$A$76,'분류_규칙'!$I$5:$I$76,0))</x:f>
        <x:v>0</x:v>
      </x:c>
      <x:c r="J282" s="10" t="n">
        <x:f>SUM(XLOOKUP('포켓몬_편집'!$AF282:$AN282,'분류_규칙'!$A$5:$A$76,'분류_규칙'!$J$5:$J$76,0))</x:f>
        <x:v>3</x:v>
      </x:c>
      <x:c r="K282" s="10" t="n">
        <x:f>SUM(XLOOKUP('포켓몬_편집'!$AF282:$AN282,'분류_규칙'!$A$5:$A$76,'분류_규칙'!$K$5:$K$76,0))</x:f>
        <x:v>0</x:v>
      </x:c>
      <x:c r="L282" s="10" t="n">
        <x:f>SUM(XLOOKUP('포켓몬_편집'!$AF282:$AN282,'분류_규칙'!$A$5:$A$76,'분류_규칙'!$L$5:$L$76,0))</x:f>
        <x:v>30</x:v>
      </x:c>
      <x:c r="M282" s="10" t="n">
        <x:f>SUM(XLOOKUP('포켓몬_편집'!$AF282:$AN282,'분류_규칙'!$A$5:$A$76,'분류_규칙'!$M$5:$M$76,0))</x:f>
        <x:v>0</x:v>
      </x:c>
      <x:c r="N282" s="10" t="n">
        <x:f>SUM(XLOOKUP('포켓몬_편집'!$AF282:$AN282,'분류_규칙'!$A$5:$A$76,'분류_규칙'!$N$5:$N$76,0))</x:f>
        <x:v>0</x:v>
      </x:c>
      <x:c r="O282" s="10" t="n">
        <x:f>SUM(XLOOKUP('포켓몬_편집'!$AF282:$AN282,'분류_규칙'!$A$5:$A$76,'분류_규칙'!$O$5:$O$76,0))</x:f>
        <x:v>0</x:v>
      </x:c>
      <x:c r="P282" s="10" t="n">
        <x:f>SUM(XLOOKUP('포켓몬_편집'!$AF282:$AN282,'분류_규칙'!$A$5:$A$76,'분류_규칙'!$P$5:$P$76,0))</x:f>
        <x:v>0</x:v>
      </x:c>
    </x:row>
    <x:row r="283" ht="22" customHeight="1">
      <x:c r="A283" s="5" t="n">
        <x:v>279</x:v>
      </x:c>
      <x:c r="B283" s="5" t="inlineStr">
        <x:is>
          <x:t xml:space="preserve">패리퍼</x:t>
        </x:is>
      </x:c>
      <x:c r="C283" s="5" t="inlineStr">
        <x:is>
          <x:t xml:space="preserve">pelipper</x:t>
        </x:is>
      </x:c>
      <x:c r="D283" s="5" t="n">
        <x:v>3</x:v>
      </x:c>
      <x:c r="E283" s="10" t="n">
        <x:f>SUM(XLOOKUP('포켓몬_편집'!$AF283:$AN283,'분류_규칙'!$A$5:$A$76,'분류_규칙'!$E$5:$E$76,0))</x:f>
        <x:v>0</x:v>
      </x:c>
      <x:c r="F283" s="10" t="n">
        <x:f>SUM(XLOOKUP('포켓몬_편집'!$AF283:$AN283,'분류_규칙'!$A$5:$A$76,'분류_규칙'!$F$5:$F$76,0))</x:f>
        <x:v>0</x:v>
      </x:c>
      <x:c r="G283" s="10" t="n">
        <x:f>SUM(XLOOKUP('포켓몬_편집'!$AF283:$AN283,'분류_규칙'!$A$5:$A$76,'분류_규칙'!$G$5:$G$76,0))</x:f>
        <x:v>0</x:v>
      </x:c>
      <x:c r="H283" s="10" t="n">
        <x:f>SUM(XLOOKUP('포켓몬_편집'!$AF283:$AN283,'분류_규칙'!$A$5:$A$76,'분류_규칙'!$H$5:$H$76,0))</x:f>
        <x:v>0</x:v>
      </x:c>
      <x:c r="I283" s="10" t="n">
        <x:f>SUM(XLOOKUP('포켓몬_편집'!$AF283:$AN283,'분류_규칙'!$A$5:$A$76,'분류_규칙'!$I$5:$I$76,0))</x:f>
        <x:v>0</x:v>
      </x:c>
      <x:c r="J283" s="10" t="n">
        <x:f>SUM(XLOOKUP('포켓몬_편집'!$AF283:$AN283,'분류_규칙'!$A$5:$A$76,'분류_규칙'!$J$5:$J$76,0))</x:f>
        <x:v>3</x:v>
      </x:c>
      <x:c r="K283" s="10" t="n">
        <x:f>SUM(XLOOKUP('포켓몬_편집'!$AF283:$AN283,'분류_규칙'!$A$5:$A$76,'분류_규칙'!$K$5:$K$76,0))</x:f>
        <x:v>0</x:v>
      </x:c>
      <x:c r="L283" s="10" t="n">
        <x:f>SUM(XLOOKUP('포켓몬_편집'!$AF283:$AN283,'분류_규칙'!$A$5:$A$76,'분류_규칙'!$L$5:$L$76,0))</x:f>
        <x:v>30</x:v>
      </x:c>
      <x:c r="M283" s="10" t="n">
        <x:f>SUM(XLOOKUP('포켓몬_편집'!$AF283:$AN283,'분류_규칙'!$A$5:$A$76,'분류_규칙'!$M$5:$M$76,0))</x:f>
        <x:v>0</x:v>
      </x:c>
      <x:c r="N283" s="10" t="n">
        <x:f>SUM(XLOOKUP('포켓몬_편집'!$AF283:$AN283,'분류_규칙'!$A$5:$A$76,'분류_규칙'!$N$5:$N$76,0))</x:f>
        <x:v>0</x:v>
      </x:c>
      <x:c r="O283" s="10" t="n">
        <x:f>SUM(XLOOKUP('포켓몬_편집'!$AF283:$AN283,'분류_규칙'!$A$5:$A$76,'분류_규칙'!$O$5:$O$76,0))</x:f>
        <x:v>0</x:v>
      </x:c>
      <x:c r="P283" s="10" t="n">
        <x:f>SUM(XLOOKUP('포켓몬_편집'!$AF283:$AN283,'분류_규칙'!$A$5:$A$76,'분류_규칙'!$P$5:$P$76,0))</x:f>
        <x:v>0</x:v>
      </x:c>
    </x:row>
    <x:row r="284" ht="22" customHeight="1">
      <x:c r="A284" s="5" t="n">
        <x:v>280</x:v>
      </x:c>
      <x:c r="B284" s="5" t="inlineStr">
        <x:is>
          <x:t xml:space="preserve">랄토스</x:t>
        </x:is>
      </x:c>
      <x:c r="C284" s="5" t="inlineStr">
        <x:is>
          <x:t xml:space="preserve">ralts</x:t>
        </x:is>
      </x:c>
      <x:c r="D284" s="5" t="n">
        <x:v>3</x:v>
      </x:c>
      <x:c r="E284" s="10" t="n">
        <x:f>SUM(XLOOKUP('포켓몬_편집'!$AF284:$AN284,'분류_규칙'!$A$5:$A$76,'분류_규칙'!$E$5:$E$76,0))</x:f>
        <x:v>10</x:v>
      </x:c>
      <x:c r="F284" s="10" t="n">
        <x:f>SUM(XLOOKUP('포켓몬_편집'!$AF284:$AN284,'분류_규칙'!$A$5:$A$76,'분류_규칙'!$F$5:$F$76,0))</x:f>
        <x:v>7</x:v>
      </x:c>
      <x:c r="G284" s="10" t="n">
        <x:f>SUM(XLOOKUP('포켓몬_편집'!$AF284:$AN284,'분류_규칙'!$A$5:$A$76,'분류_규칙'!$G$5:$G$76,0))</x:f>
        <x:v>5</x:v>
      </x:c>
      <x:c r="H284" s="10" t="n">
        <x:f>SUM(XLOOKUP('포켓몬_편집'!$AF284:$AN284,'분류_규칙'!$A$5:$A$76,'분류_규칙'!$H$5:$H$76,0))</x:f>
        <x:v>5</x:v>
      </x:c>
      <x:c r="I284" s="10" t="n">
        <x:f>SUM(XLOOKUP('포켓몬_편집'!$AF284:$AN284,'분류_규칙'!$A$5:$A$76,'분류_규칙'!$I$5:$I$76,0))</x:f>
        <x:v>0</x:v>
      </x:c>
      <x:c r="J284" s="10" t="n">
        <x:f>SUM(XLOOKUP('포켓몬_편집'!$AF284:$AN284,'분류_규칙'!$A$5:$A$76,'분류_규칙'!$J$5:$J$76,0))</x:f>
        <x:v>2</x:v>
      </x:c>
      <x:c r="K284" s="10" t="n">
        <x:f>SUM(XLOOKUP('포켓몬_편집'!$AF284:$AN284,'분류_규칙'!$A$5:$A$76,'분류_규칙'!$K$5:$K$76,0))</x:f>
        <x:v>0</x:v>
      </x:c>
      <x:c r="L284" s="10" t="n">
        <x:f>SUM(XLOOKUP('포켓몬_편집'!$AF284:$AN284,'분류_규칙'!$A$5:$A$76,'분류_규칙'!$L$5:$L$76,0))</x:f>
        <x:v>0</x:v>
      </x:c>
      <x:c r="M284" s="10" t="n">
        <x:f>SUM(XLOOKUP('포켓몬_편집'!$AF284:$AN284,'분류_규칙'!$A$5:$A$76,'분류_규칙'!$M$5:$M$76,0))</x:f>
        <x:v>0</x:v>
      </x:c>
      <x:c r="N284" s="10" t="n">
        <x:f>SUM(XLOOKUP('포켓몬_편집'!$AF284:$AN284,'분류_규칙'!$A$5:$A$76,'분류_규칙'!$N$5:$N$76,0))</x:f>
        <x:v>0</x:v>
      </x:c>
      <x:c r="O284" s="10" t="n">
        <x:f>SUM(XLOOKUP('포켓몬_편집'!$AF284:$AN284,'분류_규칙'!$A$5:$A$76,'분류_규칙'!$O$5:$O$76,0))</x:f>
        <x:v>2</x:v>
      </x:c>
      <x:c r="P284" s="10" t="n">
        <x:f>SUM(XLOOKUP('포켓몬_편집'!$AF284:$AN284,'분류_규칙'!$A$5:$A$76,'분류_규칙'!$P$5:$P$76,0))</x:f>
        <x:v>0</x:v>
      </x:c>
    </x:row>
    <x:row r="285" ht="22" customHeight="1">
      <x:c r="A285" s="5" t="n">
        <x:v>281</x:v>
      </x:c>
      <x:c r="B285" s="5" t="inlineStr">
        <x:is>
          <x:t xml:space="preserve">킬리아</x:t>
        </x:is>
      </x:c>
      <x:c r="C285" s="5" t="inlineStr">
        <x:is>
          <x:t xml:space="preserve">kirlia</x:t>
        </x:is>
      </x:c>
      <x:c r="D285" s="5" t="n">
        <x:v>3</x:v>
      </x:c>
      <x:c r="E285" s="10" t="n">
        <x:f>SUM(XLOOKUP('포켓몬_편집'!$AF285:$AN285,'분류_규칙'!$A$5:$A$76,'분류_규칙'!$E$5:$E$76,0))</x:f>
        <x:v>10</x:v>
      </x:c>
      <x:c r="F285" s="10" t="n">
        <x:f>SUM(XLOOKUP('포켓몬_편집'!$AF285:$AN285,'분류_규칙'!$A$5:$A$76,'분류_규칙'!$F$5:$F$76,0))</x:f>
        <x:v>7</x:v>
      </x:c>
      <x:c r="G285" s="10" t="n">
        <x:f>SUM(XLOOKUP('포켓몬_편집'!$AF285:$AN285,'분류_규칙'!$A$5:$A$76,'분류_규칙'!$G$5:$G$76,0))</x:f>
        <x:v>5</x:v>
      </x:c>
      <x:c r="H285" s="10" t="n">
        <x:f>SUM(XLOOKUP('포켓몬_편집'!$AF285:$AN285,'분류_규칙'!$A$5:$A$76,'분류_규칙'!$H$5:$H$76,0))</x:f>
        <x:v>5</x:v>
      </x:c>
      <x:c r="I285" s="10" t="n">
        <x:f>SUM(XLOOKUP('포켓몬_편집'!$AF285:$AN285,'분류_규칙'!$A$5:$A$76,'분류_규칙'!$I$5:$I$76,0))</x:f>
        <x:v>0</x:v>
      </x:c>
      <x:c r="J285" s="10" t="n">
        <x:f>SUM(XLOOKUP('포켓몬_편집'!$AF285:$AN285,'분류_규칙'!$A$5:$A$76,'분류_규칙'!$J$5:$J$76,0))</x:f>
        <x:v>2</x:v>
      </x:c>
      <x:c r="K285" s="10" t="n">
        <x:f>SUM(XLOOKUP('포켓몬_편집'!$AF285:$AN285,'분류_규칙'!$A$5:$A$76,'분류_규칙'!$K$5:$K$76,0))</x:f>
        <x:v>0</x:v>
      </x:c>
      <x:c r="L285" s="10" t="n">
        <x:f>SUM(XLOOKUP('포켓몬_편집'!$AF285:$AN285,'분류_규칙'!$A$5:$A$76,'분류_규칙'!$L$5:$L$76,0))</x:f>
        <x:v>0</x:v>
      </x:c>
      <x:c r="M285" s="10" t="n">
        <x:f>SUM(XLOOKUP('포켓몬_편집'!$AF285:$AN285,'분류_규칙'!$A$5:$A$76,'분류_규칙'!$M$5:$M$76,0))</x:f>
        <x:v>0</x:v>
      </x:c>
      <x:c r="N285" s="10" t="n">
        <x:f>SUM(XLOOKUP('포켓몬_편집'!$AF285:$AN285,'분류_규칙'!$A$5:$A$76,'분류_규칙'!$N$5:$N$76,0))</x:f>
        <x:v>0</x:v>
      </x:c>
      <x:c r="O285" s="10" t="n">
        <x:f>SUM(XLOOKUP('포켓몬_편집'!$AF285:$AN285,'분류_규칙'!$A$5:$A$76,'분류_규칙'!$O$5:$O$76,0))</x:f>
        <x:v>2</x:v>
      </x:c>
      <x:c r="P285" s="10" t="n">
        <x:f>SUM(XLOOKUP('포켓몬_편집'!$AF285:$AN285,'분류_규칙'!$A$5:$A$76,'분류_규칙'!$P$5:$P$76,0))</x:f>
        <x:v>0</x:v>
      </x:c>
    </x:row>
    <x:row r="286" ht="22" customHeight="1">
      <x:c r="A286" s="5" t="n">
        <x:v>282</x:v>
      </x:c>
      <x:c r="B286" s="5" t="inlineStr">
        <x:is>
          <x:t xml:space="preserve">가디안</x:t>
        </x:is>
      </x:c>
      <x:c r="C286" s="5" t="inlineStr">
        <x:is>
          <x:t xml:space="preserve">gardevoir</x:t>
        </x:is>
      </x:c>
      <x:c r="D286" s="5" t="n">
        <x:v>3</x:v>
      </x:c>
      <x:c r="E286" s="10" t="n">
        <x:f>SUM(XLOOKUP('포켓몬_편집'!$AF286:$AN286,'분류_규칙'!$A$5:$A$76,'분류_규칙'!$E$5:$E$76,0))</x:f>
        <x:v>10</x:v>
      </x:c>
      <x:c r="F286" s="10" t="n">
        <x:f>SUM(XLOOKUP('포켓몬_편집'!$AF286:$AN286,'분류_규칙'!$A$5:$A$76,'분류_규칙'!$F$5:$F$76,0))</x:f>
        <x:v>7</x:v>
      </x:c>
      <x:c r="G286" s="10" t="n">
        <x:f>SUM(XLOOKUP('포켓몬_편집'!$AF286:$AN286,'분류_규칙'!$A$5:$A$76,'분류_규칙'!$G$5:$G$76,0))</x:f>
        <x:v>5</x:v>
      </x:c>
      <x:c r="H286" s="10" t="n">
        <x:f>SUM(XLOOKUP('포켓몬_편집'!$AF286:$AN286,'분류_규칙'!$A$5:$A$76,'분류_규칙'!$H$5:$H$76,0))</x:f>
        <x:v>5</x:v>
      </x:c>
      <x:c r="I286" s="10" t="n">
        <x:f>SUM(XLOOKUP('포켓몬_편집'!$AF286:$AN286,'분류_규칙'!$A$5:$A$76,'분류_규칙'!$I$5:$I$76,0))</x:f>
        <x:v>0</x:v>
      </x:c>
      <x:c r="J286" s="10" t="n">
        <x:f>SUM(XLOOKUP('포켓몬_편집'!$AF286:$AN286,'분류_규칙'!$A$5:$A$76,'분류_규칙'!$J$5:$J$76,0))</x:f>
        <x:v>2</x:v>
      </x:c>
      <x:c r="K286" s="10" t="n">
        <x:f>SUM(XLOOKUP('포켓몬_편집'!$AF286:$AN286,'분류_규칙'!$A$5:$A$76,'분류_규칙'!$K$5:$K$76,0))</x:f>
        <x:v>0</x:v>
      </x:c>
      <x:c r="L286" s="10" t="n">
        <x:f>SUM(XLOOKUP('포켓몬_편집'!$AF286:$AN286,'분류_규칙'!$A$5:$A$76,'분류_규칙'!$L$5:$L$76,0))</x:f>
        <x:v>0</x:v>
      </x:c>
      <x:c r="M286" s="10" t="n">
        <x:f>SUM(XLOOKUP('포켓몬_편집'!$AF286:$AN286,'분류_규칙'!$A$5:$A$76,'분류_규칙'!$M$5:$M$76,0))</x:f>
        <x:v>0</x:v>
      </x:c>
      <x:c r="N286" s="10" t="n">
        <x:f>SUM(XLOOKUP('포켓몬_편집'!$AF286:$AN286,'분류_규칙'!$A$5:$A$76,'분류_규칙'!$N$5:$N$76,0))</x:f>
        <x:v>0</x:v>
      </x:c>
      <x:c r="O286" s="10" t="n">
        <x:f>SUM(XLOOKUP('포켓몬_편집'!$AF286:$AN286,'분류_규칙'!$A$5:$A$76,'분류_규칙'!$O$5:$O$76,0))</x:f>
        <x:v>2</x:v>
      </x:c>
      <x:c r="P286" s="10" t="n">
        <x:f>SUM(XLOOKUP('포켓몬_편집'!$AF286:$AN286,'분류_규칙'!$A$5:$A$76,'분류_규칙'!$P$5:$P$76,0))</x:f>
        <x:v>0</x:v>
      </x:c>
    </x:row>
    <x:row r="287" ht="22" customHeight="1">
      <x:c r="A287" s="5" t="n">
        <x:v>283</x:v>
      </x:c>
      <x:c r="B287" s="5" t="inlineStr">
        <x:is>
          <x:t xml:space="preserve">비구술</x:t>
        </x:is>
      </x:c>
      <x:c r="C287" s="5" t="inlineStr">
        <x:is>
          <x:t xml:space="preserve">surskit</x:t>
        </x:is>
      </x:c>
      <x:c r="D287" s="5" t="n">
        <x:v>3</x:v>
      </x:c>
      <x:c r="E287" s="10" t="n">
        <x:f>SUM(XLOOKUP('포켓몬_편집'!$AF287:$AN287,'분류_규칙'!$A$5:$A$76,'분류_규칙'!$E$5:$E$76,0))</x:f>
        <x:v>0</x:v>
      </x:c>
      <x:c r="F287" s="10" t="n">
        <x:f>SUM(XLOOKUP('포켓몬_편집'!$AF287:$AN287,'분류_규칙'!$A$5:$A$76,'분류_규칙'!$F$5:$F$76,0))</x:f>
        <x:v>0</x:v>
      </x:c>
      <x:c r="G287" s="10" t="n">
        <x:f>SUM(XLOOKUP('포켓몬_편집'!$AF287:$AN287,'분류_규칙'!$A$5:$A$76,'분류_규칙'!$G$5:$G$76,0))</x:f>
        <x:v>0</x:v>
      </x:c>
      <x:c r="H287" s="10" t="n">
        <x:f>SUM(XLOOKUP('포켓몬_편집'!$AF287:$AN287,'분류_규칙'!$A$5:$A$76,'분류_규칙'!$H$5:$H$76,0))</x:f>
        <x:v>0</x:v>
      </x:c>
      <x:c r="I287" s="10" t="n">
        <x:f>SUM(XLOOKUP('포켓몬_편집'!$AF287:$AN287,'분류_규칙'!$A$5:$A$76,'분류_규칙'!$I$5:$I$76,0))</x:f>
        <x:v>0</x:v>
      </x:c>
      <x:c r="J287" s="10" t="n">
        <x:f>SUM(XLOOKUP('포켓몬_편집'!$AF287:$AN287,'분류_규칙'!$A$5:$A$76,'분류_규칙'!$J$5:$J$76,0))</x:f>
        <x:v>12</x:v>
      </x:c>
      <x:c r="K287" s="10" t="n">
        <x:f>SUM(XLOOKUP('포켓몬_편집'!$AF287:$AN287,'분류_규칙'!$A$5:$A$76,'분류_규칙'!$K$5:$K$76,0))</x:f>
        <x:v>30</x:v>
      </x:c>
      <x:c r="L287" s="10" t="n">
        <x:f>SUM(XLOOKUP('포켓몬_편집'!$AF287:$AN287,'분류_규칙'!$A$5:$A$76,'분류_규칙'!$L$5:$L$76,0))</x:f>
        <x:v>0</x:v>
      </x:c>
      <x:c r="M287" s="10" t="n">
        <x:f>SUM(XLOOKUP('포켓몬_편집'!$AF287:$AN287,'분류_규칙'!$A$5:$A$76,'분류_규칙'!$M$5:$M$76,0))</x:f>
        <x:v>0</x:v>
      </x:c>
      <x:c r="N287" s="10" t="n">
        <x:f>SUM(XLOOKUP('포켓몬_편집'!$AF287:$AN287,'분류_규칙'!$A$5:$A$76,'분류_규칙'!$N$5:$N$76,0))</x:f>
        <x:v>0</x:v>
      </x:c>
      <x:c r="O287" s="10" t="n">
        <x:f>SUM(XLOOKUP('포켓몬_편집'!$AF287:$AN287,'분류_규칙'!$A$5:$A$76,'분류_규칙'!$O$5:$O$76,0))</x:f>
        <x:v>0</x:v>
      </x:c>
      <x:c r="P287" s="10" t="n">
        <x:f>SUM(XLOOKUP('포켓몬_편집'!$AF287:$AN287,'분류_규칙'!$A$5:$A$76,'분류_규칙'!$P$5:$P$76,0))</x:f>
        <x:v>0</x:v>
      </x:c>
    </x:row>
    <x:row r="288" ht="22" customHeight="1">
      <x:c r="A288" s="5" t="n">
        <x:v>284</x:v>
      </x:c>
      <x:c r="B288" s="5" t="inlineStr">
        <x:is>
          <x:t xml:space="preserve">비나방</x:t>
        </x:is>
      </x:c>
      <x:c r="C288" s="5" t="inlineStr">
        <x:is>
          <x:t xml:space="preserve">masquerain</x:t>
        </x:is>
      </x:c>
      <x:c r="D288" s="5" t="n">
        <x:v>3</x:v>
      </x:c>
      <x:c r="E288" s="10" t="n">
        <x:f>SUM(XLOOKUP('포켓몬_편집'!$AF288:$AN288,'분류_규칙'!$A$5:$A$76,'분류_규칙'!$E$5:$E$76,0))</x:f>
        <x:v>0</x:v>
      </x:c>
      <x:c r="F288" s="10" t="n">
        <x:f>SUM(XLOOKUP('포켓몬_편집'!$AF288:$AN288,'분류_규칙'!$A$5:$A$76,'분류_규칙'!$F$5:$F$76,0))</x:f>
        <x:v>0</x:v>
      </x:c>
      <x:c r="G288" s="10" t="n">
        <x:f>SUM(XLOOKUP('포켓몬_편집'!$AF288:$AN288,'분류_규칙'!$A$5:$A$76,'분류_규칙'!$G$5:$G$76,0))</x:f>
        <x:v>0</x:v>
      </x:c>
      <x:c r="H288" s="10" t="n">
        <x:f>SUM(XLOOKUP('포켓몬_편집'!$AF288:$AN288,'분류_규칙'!$A$5:$A$76,'분류_규칙'!$H$5:$H$76,0))</x:f>
        <x:v>0</x:v>
      </x:c>
      <x:c r="I288" s="10" t="n">
        <x:f>SUM(XLOOKUP('포켓몬_편집'!$AF288:$AN288,'분류_규칙'!$A$5:$A$76,'분류_규칙'!$I$5:$I$76,0))</x:f>
        <x:v>0</x:v>
      </x:c>
      <x:c r="J288" s="10" t="n">
        <x:f>SUM(XLOOKUP('포켓몬_편집'!$AF288:$AN288,'분류_규칙'!$A$5:$A$76,'분류_규칙'!$J$5:$J$76,0))</x:f>
        <x:v>12</x:v>
      </x:c>
      <x:c r="K288" s="10" t="n">
        <x:f>SUM(XLOOKUP('포켓몬_편집'!$AF288:$AN288,'분류_규칙'!$A$5:$A$76,'분류_규칙'!$K$5:$K$76,0))</x:f>
        <x:v>30</x:v>
      </x:c>
      <x:c r="L288" s="10" t="n">
        <x:f>SUM(XLOOKUP('포켓몬_편집'!$AF288:$AN288,'분류_규칙'!$A$5:$A$76,'분류_규칙'!$L$5:$L$76,0))</x:f>
        <x:v>0</x:v>
      </x:c>
      <x:c r="M288" s="10" t="n">
        <x:f>SUM(XLOOKUP('포켓몬_편집'!$AF288:$AN288,'분류_규칙'!$A$5:$A$76,'분류_규칙'!$M$5:$M$76,0))</x:f>
        <x:v>0</x:v>
      </x:c>
      <x:c r="N288" s="10" t="n">
        <x:f>SUM(XLOOKUP('포켓몬_편집'!$AF288:$AN288,'분류_규칙'!$A$5:$A$76,'분류_규칙'!$N$5:$N$76,0))</x:f>
        <x:v>0</x:v>
      </x:c>
      <x:c r="O288" s="10" t="n">
        <x:f>SUM(XLOOKUP('포켓몬_편집'!$AF288:$AN288,'분류_규칙'!$A$5:$A$76,'분류_규칙'!$O$5:$O$76,0))</x:f>
        <x:v>0</x:v>
      </x:c>
      <x:c r="P288" s="10" t="n">
        <x:f>SUM(XLOOKUP('포켓몬_편집'!$AF288:$AN288,'분류_규칙'!$A$5:$A$76,'분류_규칙'!$P$5:$P$76,0))</x:f>
        <x:v>0</x:v>
      </x:c>
    </x:row>
    <x:row r="289" ht="22" customHeight="1">
      <x:c r="A289" s="5" t="n">
        <x:v>285</x:v>
      </x:c>
      <x:c r="B289" s="5" t="inlineStr">
        <x:is>
          <x:t xml:space="preserve">버섯꼬</x:t>
        </x:is>
      </x:c>
      <x:c r="C289" s="5" t="inlineStr">
        <x:is>
          <x:t xml:space="preserve">shroomish</x:t>
        </x:is>
      </x:c>
      <x:c r="D289" s="5" t="n">
        <x:v>3</x:v>
      </x:c>
      <x:c r="E289" s="10" t="n">
        <x:f>SUM(XLOOKUP('포켓몬_편집'!$AF289:$AN289,'분류_규칙'!$A$5:$A$76,'분류_규칙'!$E$5:$E$76,0))</x:f>
        <x:v>10</x:v>
      </x:c>
      <x:c r="F289" s="10" t="n">
        <x:f>SUM(XLOOKUP('포켓몬_편집'!$AF289:$AN289,'분류_규칙'!$A$5:$A$76,'분류_규칙'!$F$5:$F$76,0))</x:f>
        <x:v>7</x:v>
      </x:c>
      <x:c r="G289" s="10" t="n">
        <x:f>SUM(XLOOKUP('포켓몬_편집'!$AF289:$AN289,'분류_규칙'!$A$5:$A$76,'분류_규칙'!$G$5:$G$76,0))</x:f>
        <x:v>5</x:v>
      </x:c>
      <x:c r="H289" s="10" t="n">
        <x:f>SUM(XLOOKUP('포켓몬_편집'!$AF289:$AN289,'분류_규칙'!$A$5:$A$76,'분류_규칙'!$H$5:$H$76,0))</x:f>
        <x:v>5</x:v>
      </x:c>
      <x:c r="I289" s="10" t="n">
        <x:f>SUM(XLOOKUP('포켓몬_편집'!$AF289:$AN289,'분류_규칙'!$A$5:$A$76,'분류_규칙'!$I$5:$I$76,0))</x:f>
        <x:v>0</x:v>
      </x:c>
      <x:c r="J289" s="10" t="n">
        <x:f>SUM(XLOOKUP('포켓몬_편집'!$AF289:$AN289,'분류_규칙'!$A$5:$A$76,'분류_규칙'!$J$5:$J$76,0))</x:f>
        <x:v>2</x:v>
      </x:c>
      <x:c r="K289" s="10" t="n">
        <x:f>SUM(XLOOKUP('포켓몬_편집'!$AF289:$AN289,'분류_규칙'!$A$5:$A$76,'분류_규칙'!$K$5:$K$76,0))</x:f>
        <x:v>0</x:v>
      </x:c>
      <x:c r="L289" s="10" t="n">
        <x:f>SUM(XLOOKUP('포켓몬_편집'!$AF289:$AN289,'분류_규칙'!$A$5:$A$76,'분류_규칙'!$L$5:$L$76,0))</x:f>
        <x:v>0</x:v>
      </x:c>
      <x:c r="M289" s="10" t="n">
        <x:f>SUM(XLOOKUP('포켓몬_편집'!$AF289:$AN289,'분류_규칙'!$A$5:$A$76,'분류_규칙'!$M$5:$M$76,0))</x:f>
        <x:v>0</x:v>
      </x:c>
      <x:c r="N289" s="10" t="n">
        <x:f>SUM(XLOOKUP('포켓몬_편집'!$AF289:$AN289,'분류_규칙'!$A$5:$A$76,'분류_규칙'!$N$5:$N$76,0))</x:f>
        <x:v>0</x:v>
      </x:c>
      <x:c r="O289" s="10" t="n">
        <x:f>SUM(XLOOKUP('포켓몬_편집'!$AF289:$AN289,'분류_규칙'!$A$5:$A$76,'분류_규칙'!$O$5:$O$76,0))</x:f>
        <x:v>2</x:v>
      </x:c>
      <x:c r="P289" s="10" t="n">
        <x:f>SUM(XLOOKUP('포켓몬_편집'!$AF289:$AN289,'분류_규칙'!$A$5:$A$76,'분류_규칙'!$P$5:$P$76,0))</x:f>
        <x:v>0</x:v>
      </x:c>
    </x:row>
    <x:row r="290" ht="22" customHeight="1">
      <x:c r="A290" s="5" t="n">
        <x:v>286</x:v>
      </x:c>
      <x:c r="B290" s="5" t="inlineStr">
        <x:is>
          <x:t xml:space="preserve">버섯모</x:t>
        </x:is>
      </x:c>
      <x:c r="C290" s="5" t="inlineStr">
        <x:is>
          <x:t xml:space="preserve">breloom</x:t>
        </x:is>
      </x:c>
      <x:c r="D290" s="5" t="n">
        <x:v>3</x:v>
      </x:c>
      <x:c r="E290" s="10" t="n">
        <x:f>SUM(XLOOKUP('포켓몬_편집'!$AF290:$AN290,'분류_규칙'!$A$5:$A$76,'분류_규칙'!$E$5:$E$76,0))</x:f>
        <x:v>10</x:v>
      </x:c>
      <x:c r="F290" s="10" t="n">
        <x:f>SUM(XLOOKUP('포켓몬_편집'!$AF290:$AN290,'분류_규칙'!$A$5:$A$76,'분류_규칙'!$F$5:$F$76,0))</x:f>
        <x:v>7</x:v>
      </x:c>
      <x:c r="G290" s="10" t="n">
        <x:f>SUM(XLOOKUP('포켓몬_편집'!$AF290:$AN290,'분류_규칙'!$A$5:$A$76,'분류_규칙'!$G$5:$G$76,0))</x:f>
        <x:v>5</x:v>
      </x:c>
      <x:c r="H290" s="10" t="n">
        <x:f>SUM(XLOOKUP('포켓몬_편집'!$AF290:$AN290,'분류_규칙'!$A$5:$A$76,'분류_규칙'!$H$5:$H$76,0))</x:f>
        <x:v>5</x:v>
      </x:c>
      <x:c r="I290" s="10" t="n">
        <x:f>SUM(XLOOKUP('포켓몬_편집'!$AF290:$AN290,'분류_규칙'!$A$5:$A$76,'분류_규칙'!$I$5:$I$76,0))</x:f>
        <x:v>0</x:v>
      </x:c>
      <x:c r="J290" s="10" t="n">
        <x:f>SUM(XLOOKUP('포켓몬_편집'!$AF290:$AN290,'분류_규칙'!$A$5:$A$76,'분류_규칙'!$J$5:$J$76,0))</x:f>
        <x:v>2</x:v>
      </x:c>
      <x:c r="K290" s="10" t="n">
        <x:f>SUM(XLOOKUP('포켓몬_편집'!$AF290:$AN290,'분류_규칙'!$A$5:$A$76,'분류_규칙'!$K$5:$K$76,0))</x:f>
        <x:v>0</x:v>
      </x:c>
      <x:c r="L290" s="10" t="n">
        <x:f>SUM(XLOOKUP('포켓몬_편집'!$AF290:$AN290,'분류_규칙'!$A$5:$A$76,'분류_규칙'!$L$5:$L$76,0))</x:f>
        <x:v>0</x:v>
      </x:c>
      <x:c r="M290" s="10" t="n">
        <x:f>SUM(XLOOKUP('포켓몬_편집'!$AF290:$AN290,'분류_규칙'!$A$5:$A$76,'분류_규칙'!$M$5:$M$76,0))</x:f>
        <x:v>0</x:v>
      </x:c>
      <x:c r="N290" s="10" t="n">
        <x:f>SUM(XLOOKUP('포켓몬_편집'!$AF290:$AN290,'분류_규칙'!$A$5:$A$76,'분류_규칙'!$N$5:$N$76,0))</x:f>
        <x:v>0</x:v>
      </x:c>
      <x:c r="O290" s="10" t="n">
        <x:f>SUM(XLOOKUP('포켓몬_편집'!$AF290:$AN290,'분류_규칙'!$A$5:$A$76,'분류_규칙'!$O$5:$O$76,0))</x:f>
        <x:v>2</x:v>
      </x:c>
      <x:c r="P290" s="10" t="n">
        <x:f>SUM(XLOOKUP('포켓몬_편집'!$AF290:$AN290,'분류_규칙'!$A$5:$A$76,'분류_규칙'!$P$5:$P$76,0))</x:f>
        <x:v>0</x:v>
      </x:c>
    </x:row>
    <x:row r="291" ht="22" customHeight="1">
      <x:c r="A291" s="5" t="n">
        <x:v>287</x:v>
      </x:c>
      <x:c r="B291" s="5" t="inlineStr">
        <x:is>
          <x:t xml:space="preserve">게을로</x:t>
        </x:is>
      </x:c>
      <x:c r="C291" s="5" t="inlineStr">
        <x:is>
          <x:t xml:space="preserve">slakoth</x:t>
        </x:is>
      </x:c>
      <x:c r="D291" s="5" t="n">
        <x:v>3</x:v>
      </x:c>
      <x:c r="E291" s="10" t="n">
        <x:f>SUM(XLOOKUP('포켓몬_편집'!$AF291:$AN291,'분류_규칙'!$A$5:$A$76,'분류_규칙'!$E$5:$E$76,0))</x:f>
        <x:v>10</x:v>
      </x:c>
      <x:c r="F291" s="10" t="n">
        <x:f>SUM(XLOOKUP('포켓몬_편집'!$AF291:$AN291,'분류_규칙'!$A$5:$A$76,'분류_규칙'!$F$5:$F$76,0))</x:f>
        <x:v>7</x:v>
      </x:c>
      <x:c r="G291" s="10" t="n">
        <x:f>SUM(XLOOKUP('포켓몬_편집'!$AF291:$AN291,'분류_규칙'!$A$5:$A$76,'분류_규칙'!$G$5:$G$76,0))</x:f>
        <x:v>5</x:v>
      </x:c>
      <x:c r="H291" s="10" t="n">
        <x:f>SUM(XLOOKUP('포켓몬_편집'!$AF291:$AN291,'분류_규칙'!$A$5:$A$76,'분류_규칙'!$H$5:$H$76,0))</x:f>
        <x:v>5</x:v>
      </x:c>
      <x:c r="I291" s="10" t="n">
        <x:f>SUM(XLOOKUP('포켓몬_편집'!$AF291:$AN291,'분류_규칙'!$A$5:$A$76,'분류_규칙'!$I$5:$I$76,0))</x:f>
        <x:v>0</x:v>
      </x:c>
      <x:c r="J291" s="10" t="n">
        <x:f>SUM(XLOOKUP('포켓몬_편집'!$AF291:$AN291,'분류_규칙'!$A$5:$A$76,'분류_규칙'!$J$5:$J$76,0))</x:f>
        <x:v>2</x:v>
      </x:c>
      <x:c r="K291" s="10" t="n">
        <x:f>SUM(XLOOKUP('포켓몬_편집'!$AF291:$AN291,'분류_규칙'!$A$5:$A$76,'분류_규칙'!$K$5:$K$76,0))</x:f>
        <x:v>0</x:v>
      </x:c>
      <x:c r="L291" s="10" t="n">
        <x:f>SUM(XLOOKUP('포켓몬_편집'!$AF291:$AN291,'분류_규칙'!$A$5:$A$76,'분류_규칙'!$L$5:$L$76,0))</x:f>
        <x:v>0</x:v>
      </x:c>
      <x:c r="M291" s="10" t="n">
        <x:f>SUM(XLOOKUP('포켓몬_편집'!$AF291:$AN291,'분류_규칙'!$A$5:$A$76,'분류_규칙'!$M$5:$M$76,0))</x:f>
        <x:v>0</x:v>
      </x:c>
      <x:c r="N291" s="10" t="n">
        <x:f>SUM(XLOOKUP('포켓몬_편집'!$AF291:$AN291,'분류_규칙'!$A$5:$A$76,'분류_규칙'!$N$5:$N$76,0))</x:f>
        <x:v>0</x:v>
      </x:c>
      <x:c r="O291" s="10" t="n">
        <x:f>SUM(XLOOKUP('포켓몬_편집'!$AF291:$AN291,'분류_규칙'!$A$5:$A$76,'분류_규칙'!$O$5:$O$76,0))</x:f>
        <x:v>2</x:v>
      </x:c>
      <x:c r="P291" s="10" t="n">
        <x:f>SUM(XLOOKUP('포켓몬_편집'!$AF291:$AN291,'분류_규칙'!$A$5:$A$76,'분류_규칙'!$P$5:$P$76,0))</x:f>
        <x:v>0</x:v>
      </x:c>
    </x:row>
    <x:row r="292" ht="22" customHeight="1">
      <x:c r="A292" s="5" t="n">
        <x:v>288</x:v>
      </x:c>
      <x:c r="B292" s="5" t="inlineStr">
        <x:is>
          <x:t xml:space="preserve">발바로</x:t>
        </x:is>
      </x:c>
      <x:c r="C292" s="5" t="inlineStr">
        <x:is>
          <x:t xml:space="preserve">vigoroth</x:t>
        </x:is>
      </x:c>
      <x:c r="D292" s="5" t="n">
        <x:v>3</x:v>
      </x:c>
      <x:c r="E292" s="10" t="n">
        <x:f>SUM(XLOOKUP('포켓몬_편집'!$AF292:$AN292,'분류_규칙'!$A$5:$A$76,'분류_규칙'!$E$5:$E$76,0))</x:f>
        <x:v>10</x:v>
      </x:c>
      <x:c r="F292" s="10" t="n">
        <x:f>SUM(XLOOKUP('포켓몬_편집'!$AF292:$AN292,'분류_규칙'!$A$5:$A$76,'분류_규칙'!$F$5:$F$76,0))</x:f>
        <x:v>7</x:v>
      </x:c>
      <x:c r="G292" s="10" t="n">
        <x:f>SUM(XLOOKUP('포켓몬_편집'!$AF292:$AN292,'분류_규칙'!$A$5:$A$76,'분류_규칙'!$G$5:$G$76,0))</x:f>
        <x:v>5</x:v>
      </x:c>
      <x:c r="H292" s="10" t="n">
        <x:f>SUM(XLOOKUP('포켓몬_편집'!$AF292:$AN292,'분류_규칙'!$A$5:$A$76,'분류_규칙'!$H$5:$H$76,0))</x:f>
        <x:v>5</x:v>
      </x:c>
      <x:c r="I292" s="10" t="n">
        <x:f>SUM(XLOOKUP('포켓몬_편집'!$AF292:$AN292,'분류_규칙'!$A$5:$A$76,'분류_규칙'!$I$5:$I$76,0))</x:f>
        <x:v>0</x:v>
      </x:c>
      <x:c r="J292" s="10" t="n">
        <x:f>SUM(XLOOKUP('포켓몬_편집'!$AF292:$AN292,'분류_규칙'!$A$5:$A$76,'분류_규칙'!$J$5:$J$76,0))</x:f>
        <x:v>2</x:v>
      </x:c>
      <x:c r="K292" s="10" t="n">
        <x:f>SUM(XLOOKUP('포켓몬_편집'!$AF292:$AN292,'분류_규칙'!$A$5:$A$76,'분류_규칙'!$K$5:$K$76,0))</x:f>
        <x:v>0</x:v>
      </x:c>
      <x:c r="L292" s="10" t="n">
        <x:f>SUM(XLOOKUP('포켓몬_편집'!$AF292:$AN292,'분류_규칙'!$A$5:$A$76,'분류_규칙'!$L$5:$L$76,0))</x:f>
        <x:v>0</x:v>
      </x:c>
      <x:c r="M292" s="10" t="n">
        <x:f>SUM(XLOOKUP('포켓몬_편집'!$AF292:$AN292,'분류_규칙'!$A$5:$A$76,'분류_규칙'!$M$5:$M$76,0))</x:f>
        <x:v>0</x:v>
      </x:c>
      <x:c r="N292" s="10" t="n">
        <x:f>SUM(XLOOKUP('포켓몬_편집'!$AF292:$AN292,'분류_규칙'!$A$5:$A$76,'분류_규칙'!$N$5:$N$76,0))</x:f>
        <x:v>0</x:v>
      </x:c>
      <x:c r="O292" s="10" t="n">
        <x:f>SUM(XLOOKUP('포켓몬_편집'!$AF292:$AN292,'분류_규칙'!$A$5:$A$76,'분류_규칙'!$O$5:$O$76,0))</x:f>
        <x:v>2</x:v>
      </x:c>
      <x:c r="P292" s="10" t="n">
        <x:f>SUM(XLOOKUP('포켓몬_편집'!$AF292:$AN292,'분류_규칙'!$A$5:$A$76,'분류_규칙'!$P$5:$P$76,0))</x:f>
        <x:v>0</x:v>
      </x:c>
    </x:row>
    <x:row r="293" ht="22" customHeight="1">
      <x:c r="A293" s="5" t="n">
        <x:v>289</x:v>
      </x:c>
      <x:c r="B293" s="5" t="inlineStr">
        <x:is>
          <x:t xml:space="preserve">게을킹</x:t>
        </x:is>
      </x:c>
      <x:c r="C293" s="5" t="inlineStr">
        <x:is>
          <x:t xml:space="preserve">slaking</x:t>
        </x:is>
      </x:c>
      <x:c r="D293" s="5" t="n">
        <x:v>3</x:v>
      </x:c>
      <x:c r="E293" s="10" t="n">
        <x:f>SUM(XLOOKUP('포켓몬_편집'!$AF293:$AN293,'분류_규칙'!$A$5:$A$76,'분류_규칙'!$E$5:$E$76,0))</x:f>
        <x:v>10</x:v>
      </x:c>
      <x:c r="F293" s="10" t="n">
        <x:f>SUM(XLOOKUP('포켓몬_편집'!$AF293:$AN293,'분류_규칙'!$A$5:$A$76,'분류_규칙'!$F$5:$F$76,0))</x:f>
        <x:v>7</x:v>
      </x:c>
      <x:c r="G293" s="10" t="n">
        <x:f>SUM(XLOOKUP('포켓몬_편집'!$AF293:$AN293,'분류_규칙'!$A$5:$A$76,'분류_규칙'!$G$5:$G$76,0))</x:f>
        <x:v>5</x:v>
      </x:c>
      <x:c r="H293" s="10" t="n">
        <x:f>SUM(XLOOKUP('포켓몬_편집'!$AF293:$AN293,'분류_규칙'!$A$5:$A$76,'분류_규칙'!$H$5:$H$76,0))</x:f>
        <x:v>5</x:v>
      </x:c>
      <x:c r="I293" s="10" t="n">
        <x:f>SUM(XLOOKUP('포켓몬_편집'!$AF293:$AN293,'분류_규칙'!$A$5:$A$76,'분류_규칙'!$I$5:$I$76,0))</x:f>
        <x:v>0</x:v>
      </x:c>
      <x:c r="J293" s="10" t="n">
        <x:f>SUM(XLOOKUP('포켓몬_편집'!$AF293:$AN293,'분류_규칙'!$A$5:$A$76,'분류_규칙'!$J$5:$J$76,0))</x:f>
        <x:v>2</x:v>
      </x:c>
      <x:c r="K293" s="10" t="n">
        <x:f>SUM(XLOOKUP('포켓몬_편집'!$AF293:$AN293,'분류_규칙'!$A$5:$A$76,'분류_규칙'!$K$5:$K$76,0))</x:f>
        <x:v>0</x:v>
      </x:c>
      <x:c r="L293" s="10" t="n">
        <x:f>SUM(XLOOKUP('포켓몬_편집'!$AF293:$AN293,'분류_규칙'!$A$5:$A$76,'분류_규칙'!$L$5:$L$76,0))</x:f>
        <x:v>0</x:v>
      </x:c>
      <x:c r="M293" s="10" t="n">
        <x:f>SUM(XLOOKUP('포켓몬_편집'!$AF293:$AN293,'분류_규칙'!$A$5:$A$76,'분류_규칙'!$M$5:$M$76,0))</x:f>
        <x:v>0</x:v>
      </x:c>
      <x:c r="N293" s="10" t="n">
        <x:f>SUM(XLOOKUP('포켓몬_편집'!$AF293:$AN293,'분류_규칙'!$A$5:$A$76,'분류_규칙'!$N$5:$N$76,0))</x:f>
        <x:v>0</x:v>
      </x:c>
      <x:c r="O293" s="10" t="n">
        <x:f>SUM(XLOOKUP('포켓몬_편집'!$AF293:$AN293,'분류_규칙'!$A$5:$A$76,'분류_규칙'!$O$5:$O$76,0))</x:f>
        <x:v>2</x:v>
      </x:c>
      <x:c r="P293" s="10" t="n">
        <x:f>SUM(XLOOKUP('포켓몬_편집'!$AF293:$AN293,'분류_규칙'!$A$5:$A$76,'분류_규칙'!$P$5:$P$76,0))</x:f>
        <x:v>0</x:v>
      </x:c>
    </x:row>
    <x:row r="294" ht="22" customHeight="1">
      <x:c r="A294" s="5" t="n">
        <x:v>290</x:v>
      </x:c>
      <x:c r="B294" s="5" t="inlineStr">
        <x:is>
          <x:t xml:space="preserve">토중몬</x:t>
        </x:is>
      </x:c>
      <x:c r="C294" s="5" t="inlineStr">
        <x:is>
          <x:t xml:space="preserve">nincada</x:t>
        </x:is>
      </x:c>
      <x:c r="D294" s="5" t="n">
        <x:v>3</x:v>
      </x:c>
      <x:c r="E294" s="10" t="n">
        <x:f>SUM(XLOOKUP('포켓몬_편집'!$AF294:$AN294,'분류_규칙'!$A$5:$A$76,'분류_규칙'!$E$5:$E$76,0))</x:f>
        <x:v>10</x:v>
      </x:c>
      <x:c r="F294" s="10" t="n">
        <x:f>SUM(XLOOKUP('포켓몬_편집'!$AF294:$AN294,'분류_규칙'!$A$5:$A$76,'분류_규칙'!$F$5:$F$76,0))</x:f>
        <x:v>7</x:v>
      </x:c>
      <x:c r="G294" s="10" t="n">
        <x:f>SUM(XLOOKUP('포켓몬_편집'!$AF294:$AN294,'분류_규칙'!$A$5:$A$76,'분류_규칙'!$G$5:$G$76,0))</x:f>
        <x:v>5</x:v>
      </x:c>
      <x:c r="H294" s="10" t="n">
        <x:f>SUM(XLOOKUP('포켓몬_편집'!$AF294:$AN294,'분류_규칙'!$A$5:$A$76,'분류_규칙'!$H$5:$H$76,0))</x:f>
        <x:v>5</x:v>
      </x:c>
      <x:c r="I294" s="10" t="n">
        <x:f>SUM(XLOOKUP('포켓몬_편집'!$AF294:$AN294,'분류_규칙'!$A$5:$A$76,'분류_규칙'!$I$5:$I$76,0))</x:f>
        <x:v>0</x:v>
      </x:c>
      <x:c r="J294" s="10" t="n">
        <x:f>SUM(XLOOKUP('포켓몬_편집'!$AF294:$AN294,'분류_규칙'!$A$5:$A$76,'분류_규칙'!$J$5:$J$76,0))</x:f>
        <x:v>2</x:v>
      </x:c>
      <x:c r="K294" s="10" t="n">
        <x:f>SUM(XLOOKUP('포켓몬_편집'!$AF294:$AN294,'분류_규칙'!$A$5:$A$76,'분류_규칙'!$K$5:$K$76,0))</x:f>
        <x:v>0</x:v>
      </x:c>
      <x:c r="L294" s="10" t="n">
        <x:f>SUM(XLOOKUP('포켓몬_편집'!$AF294:$AN294,'분류_규칙'!$A$5:$A$76,'분류_규칙'!$L$5:$L$76,0))</x:f>
        <x:v>0</x:v>
      </x:c>
      <x:c r="M294" s="10" t="n">
        <x:f>SUM(XLOOKUP('포켓몬_편집'!$AF294:$AN294,'분류_규칙'!$A$5:$A$76,'분류_규칙'!$M$5:$M$76,0))</x:f>
        <x:v>0</x:v>
      </x:c>
      <x:c r="N294" s="10" t="n">
        <x:f>SUM(XLOOKUP('포켓몬_편집'!$AF294:$AN294,'분류_규칙'!$A$5:$A$76,'분류_규칙'!$N$5:$N$76,0))</x:f>
        <x:v>0</x:v>
      </x:c>
      <x:c r="O294" s="10" t="n">
        <x:f>SUM(XLOOKUP('포켓몬_편집'!$AF294:$AN294,'분류_규칙'!$A$5:$A$76,'분류_규칙'!$O$5:$O$76,0))</x:f>
        <x:v>2</x:v>
      </x:c>
      <x:c r="P294" s="10" t="n">
        <x:f>SUM(XLOOKUP('포켓몬_편집'!$AF294:$AN294,'분류_규칙'!$A$5:$A$76,'분류_규칙'!$P$5:$P$76,0))</x:f>
        <x:v>0</x:v>
      </x:c>
    </x:row>
    <x:row r="295" ht="22" customHeight="1">
      <x:c r="A295" s="5" t="n">
        <x:v>291</x:v>
      </x:c>
      <x:c r="B295" s="5" t="inlineStr">
        <x:is>
          <x:t xml:space="preserve">아이스크</x:t>
        </x:is>
      </x:c>
      <x:c r="C295" s="5" t="inlineStr">
        <x:is>
          <x:t xml:space="preserve">ninjask</x:t>
        </x:is>
      </x:c>
      <x:c r="D295" s="5" t="n">
        <x:v>3</x:v>
      </x:c>
      <x:c r="E295" s="10" t="n">
        <x:f>SUM(XLOOKUP('포켓몬_편집'!$AF295:$AN295,'분류_규칙'!$A$5:$A$76,'분류_규칙'!$E$5:$E$76,0))</x:f>
        <x:v>8</x:v>
      </x:c>
      <x:c r="F295" s="10" t="n">
        <x:f>SUM(XLOOKUP('포켓몬_편집'!$AF295:$AN295,'분류_규칙'!$A$5:$A$76,'분류_규칙'!$F$5:$F$76,0))</x:f>
        <x:v>8</x:v>
      </x:c>
      <x:c r="G295" s="10" t="n">
        <x:f>SUM(XLOOKUP('포켓몬_편집'!$AF295:$AN295,'분류_규칙'!$A$5:$A$76,'분류_규칙'!$G$5:$G$76,0))</x:f>
        <x:v>0</x:v>
      </x:c>
      <x:c r="H295" s="10" t="n">
        <x:f>SUM(XLOOKUP('포켓몬_편집'!$AF295:$AN295,'분류_규칙'!$A$5:$A$76,'분류_규칙'!$H$5:$H$76,0))</x:f>
        <x:v>12</x:v>
      </x:c>
      <x:c r="I295" s="10" t="n">
        <x:f>SUM(XLOOKUP('포켓몬_편집'!$AF295:$AN295,'분류_규칙'!$A$5:$A$76,'분류_규칙'!$I$5:$I$76,0))</x:f>
        <x:v>0</x:v>
      </x:c>
      <x:c r="J295" s="10" t="n">
        <x:f>SUM(XLOOKUP('포켓몬_편집'!$AF295:$AN295,'분류_규칙'!$A$5:$A$76,'분류_규칙'!$J$5:$J$76,0))</x:f>
        <x:v>0</x:v>
      </x:c>
      <x:c r="K295" s="10" t="n">
        <x:f>SUM(XLOOKUP('포켓몬_편집'!$AF295:$AN295,'분류_규칙'!$A$5:$A$76,'분류_규칙'!$K$5:$K$76,0))</x:f>
        <x:v>0</x:v>
      </x:c>
      <x:c r="L295" s="10" t="n">
        <x:f>SUM(XLOOKUP('포켓몬_편집'!$AF295:$AN295,'분류_규칙'!$A$5:$A$76,'분류_규칙'!$L$5:$L$76,0))</x:f>
        <x:v>3</x:v>
      </x:c>
      <x:c r="M295" s="10" t="n">
        <x:f>SUM(XLOOKUP('포켓몬_편집'!$AF295:$AN295,'분류_규칙'!$A$5:$A$76,'분류_규칙'!$M$5:$M$76,0))</x:f>
        <x:v>0</x:v>
      </x:c>
      <x:c r="N295" s="10" t="n">
        <x:f>SUM(XLOOKUP('포켓몬_편집'!$AF295:$AN295,'분류_규칙'!$A$5:$A$76,'분류_규칙'!$N$5:$N$76,0))</x:f>
        <x:v>0</x:v>
      </x:c>
      <x:c r="O295" s="10" t="n">
        <x:f>SUM(XLOOKUP('포켓몬_편집'!$AF295:$AN295,'분류_규칙'!$A$5:$A$76,'분류_규칙'!$O$5:$O$76,0))</x:f>
        <x:v>2</x:v>
      </x:c>
      <x:c r="P295" s="10" t="n">
        <x:f>SUM(XLOOKUP('포켓몬_편집'!$AF295:$AN295,'분류_규칙'!$A$5:$A$76,'분류_규칙'!$P$5:$P$76,0))</x:f>
        <x:v>0</x:v>
      </x:c>
    </x:row>
    <x:row r="296" ht="22" customHeight="1">
      <x:c r="A296" s="5" t="n">
        <x:v>292</x:v>
      </x:c>
      <x:c r="B296" s="5" t="inlineStr">
        <x:is>
          <x:t xml:space="preserve">껍질몬</x:t>
        </x:is>
      </x:c>
      <x:c r="C296" s="5" t="inlineStr">
        <x:is>
          <x:t xml:space="preserve">shedinja</x:t>
        </x:is>
      </x:c>
      <x:c r="D296" s="5" t="n">
        <x:v>3</x:v>
      </x:c>
      <x:c r="E296" s="10" t="n">
        <x:f>SUM(XLOOKUP('포켓몬_편집'!$AF296:$AN296,'분류_규칙'!$A$5:$A$76,'분류_규칙'!$E$5:$E$76,0))</x:f>
        <x:v>8</x:v>
      </x:c>
      <x:c r="F296" s="10" t="n">
        <x:f>SUM(XLOOKUP('포켓몬_편집'!$AF296:$AN296,'분류_규칙'!$A$5:$A$76,'분류_규칙'!$F$5:$F$76,0))</x:f>
        <x:v>8</x:v>
      </x:c>
      <x:c r="G296" s="10" t="n">
        <x:f>SUM(XLOOKUP('포켓몬_편집'!$AF296:$AN296,'분류_규칙'!$A$5:$A$76,'분류_규칙'!$G$5:$G$76,0))</x:f>
        <x:v>0</x:v>
      </x:c>
      <x:c r="H296" s="10" t="n">
        <x:f>SUM(XLOOKUP('포켓몬_편집'!$AF296:$AN296,'분류_규칙'!$A$5:$A$76,'분류_규칙'!$H$5:$H$76,0))</x:f>
        <x:v>12</x:v>
      </x:c>
      <x:c r="I296" s="10" t="n">
        <x:f>SUM(XLOOKUP('포켓몬_편집'!$AF296:$AN296,'분류_규칙'!$A$5:$A$76,'분류_규칙'!$I$5:$I$76,0))</x:f>
        <x:v>0</x:v>
      </x:c>
      <x:c r="J296" s="10" t="n">
        <x:f>SUM(XLOOKUP('포켓몬_편집'!$AF296:$AN296,'분류_규칙'!$A$5:$A$76,'분류_규칙'!$J$5:$J$76,0))</x:f>
        <x:v>0</x:v>
      </x:c>
      <x:c r="K296" s="10" t="n">
        <x:f>SUM(XLOOKUP('포켓몬_편집'!$AF296:$AN296,'분류_규칙'!$A$5:$A$76,'분류_규칙'!$K$5:$K$76,0))</x:f>
        <x:v>0</x:v>
      </x:c>
      <x:c r="L296" s="10" t="n">
        <x:f>SUM(XLOOKUP('포켓몬_편집'!$AF296:$AN296,'분류_규칙'!$A$5:$A$76,'분류_규칙'!$L$5:$L$76,0))</x:f>
        <x:v>3</x:v>
      </x:c>
      <x:c r="M296" s="10" t="n">
        <x:f>SUM(XLOOKUP('포켓몬_편집'!$AF296:$AN296,'분류_규칙'!$A$5:$A$76,'분류_규칙'!$M$5:$M$76,0))</x:f>
        <x:v>0</x:v>
      </x:c>
      <x:c r="N296" s="10" t="n">
        <x:f>SUM(XLOOKUP('포켓몬_편집'!$AF296:$AN296,'분류_규칙'!$A$5:$A$76,'분류_규칙'!$N$5:$N$76,0))</x:f>
        <x:v>0</x:v>
      </x:c>
      <x:c r="O296" s="10" t="n">
        <x:f>SUM(XLOOKUP('포켓몬_편집'!$AF296:$AN296,'분류_규칙'!$A$5:$A$76,'분류_규칙'!$O$5:$O$76,0))</x:f>
        <x:v>2</x:v>
      </x:c>
      <x:c r="P296" s="10" t="n">
        <x:f>SUM(XLOOKUP('포켓몬_편집'!$AF296:$AN296,'분류_규칙'!$A$5:$A$76,'분류_규칙'!$P$5:$P$76,0))</x:f>
        <x:v>0</x:v>
      </x:c>
    </x:row>
    <x:row r="297" ht="22" customHeight="1">
      <x:c r="A297" s="5" t="n">
        <x:v>293</x:v>
      </x:c>
      <x:c r="B297" s="5" t="inlineStr">
        <x:is>
          <x:t xml:space="preserve">소곤룡</x:t>
        </x:is>
      </x:c>
      <x:c r="C297" s="5" t="inlineStr">
        <x:is>
          <x:t xml:space="preserve">whismur</x:t>
        </x:is>
      </x:c>
      <x:c r="D297" s="5" t="n">
        <x:v>3</x:v>
      </x:c>
      <x:c r="E297" s="10" t="n">
        <x:f>SUM(XLOOKUP('포켓몬_편집'!$AF297:$AN297,'분류_규칙'!$A$5:$A$76,'분류_규칙'!$E$5:$E$76,0))</x:f>
        <x:v>10</x:v>
      </x:c>
      <x:c r="F297" s="10" t="n">
        <x:f>SUM(XLOOKUP('포켓몬_편집'!$AF297:$AN297,'분류_규칙'!$A$5:$A$76,'분류_규칙'!$F$5:$F$76,0))</x:f>
        <x:v>7</x:v>
      </x:c>
      <x:c r="G297" s="10" t="n">
        <x:f>SUM(XLOOKUP('포켓몬_편집'!$AF297:$AN297,'분류_규칙'!$A$5:$A$76,'분류_규칙'!$G$5:$G$76,0))</x:f>
        <x:v>5</x:v>
      </x:c>
      <x:c r="H297" s="10" t="n">
        <x:f>SUM(XLOOKUP('포켓몬_편집'!$AF297:$AN297,'분류_규칙'!$A$5:$A$76,'분류_규칙'!$H$5:$H$76,0))</x:f>
        <x:v>5</x:v>
      </x:c>
      <x:c r="I297" s="10" t="n">
        <x:f>SUM(XLOOKUP('포켓몬_편집'!$AF297:$AN297,'분류_규칙'!$A$5:$A$76,'분류_규칙'!$I$5:$I$76,0))</x:f>
        <x:v>0</x:v>
      </x:c>
      <x:c r="J297" s="10" t="n">
        <x:f>SUM(XLOOKUP('포켓몬_편집'!$AF297:$AN297,'분류_규칙'!$A$5:$A$76,'분류_규칙'!$J$5:$J$76,0))</x:f>
        <x:v>2</x:v>
      </x:c>
      <x:c r="K297" s="10" t="n">
        <x:f>SUM(XLOOKUP('포켓몬_편집'!$AF297:$AN297,'분류_규칙'!$A$5:$A$76,'분류_규칙'!$K$5:$K$76,0))</x:f>
        <x:v>0</x:v>
      </x:c>
      <x:c r="L297" s="10" t="n">
        <x:f>SUM(XLOOKUP('포켓몬_편집'!$AF297:$AN297,'분류_규칙'!$A$5:$A$76,'분류_규칙'!$L$5:$L$76,0))</x:f>
        <x:v>0</x:v>
      </x:c>
      <x:c r="M297" s="10" t="n">
        <x:f>SUM(XLOOKUP('포켓몬_편집'!$AF297:$AN297,'분류_규칙'!$A$5:$A$76,'분류_규칙'!$M$5:$M$76,0))</x:f>
        <x:v>0</x:v>
      </x:c>
      <x:c r="N297" s="10" t="n">
        <x:f>SUM(XLOOKUP('포켓몬_편집'!$AF297:$AN297,'분류_규칙'!$A$5:$A$76,'분류_규칙'!$N$5:$N$76,0))</x:f>
        <x:v>0</x:v>
      </x:c>
      <x:c r="O297" s="10" t="n">
        <x:f>SUM(XLOOKUP('포켓몬_편집'!$AF297:$AN297,'분류_규칙'!$A$5:$A$76,'분류_규칙'!$O$5:$O$76,0))</x:f>
        <x:v>2</x:v>
      </x:c>
      <x:c r="P297" s="10" t="n">
        <x:f>SUM(XLOOKUP('포켓몬_편집'!$AF297:$AN297,'분류_규칙'!$A$5:$A$76,'분류_규칙'!$P$5:$P$76,0))</x:f>
        <x:v>0</x:v>
      </x:c>
    </x:row>
    <x:row r="298" ht="22" customHeight="1">
      <x:c r="A298" s="5" t="n">
        <x:v>294</x:v>
      </x:c>
      <x:c r="B298" s="5" t="inlineStr">
        <x:is>
          <x:t xml:space="preserve">노공룡</x:t>
        </x:is>
      </x:c>
      <x:c r="C298" s="5" t="inlineStr">
        <x:is>
          <x:t xml:space="preserve">loudred</x:t>
        </x:is>
      </x:c>
      <x:c r="D298" s="5" t="n">
        <x:v>3</x:v>
      </x:c>
      <x:c r="E298" s="10" t="n">
        <x:f>SUM(XLOOKUP('포켓몬_편집'!$AF298:$AN298,'분류_규칙'!$A$5:$A$76,'분류_규칙'!$E$5:$E$76,0))</x:f>
        <x:v>10</x:v>
      </x:c>
      <x:c r="F298" s="10" t="n">
        <x:f>SUM(XLOOKUP('포켓몬_편집'!$AF298:$AN298,'분류_규칙'!$A$5:$A$76,'분류_규칙'!$F$5:$F$76,0))</x:f>
        <x:v>7</x:v>
      </x:c>
      <x:c r="G298" s="10" t="n">
        <x:f>SUM(XLOOKUP('포켓몬_편집'!$AF298:$AN298,'분류_규칙'!$A$5:$A$76,'분류_규칙'!$G$5:$G$76,0))</x:f>
        <x:v>5</x:v>
      </x:c>
      <x:c r="H298" s="10" t="n">
        <x:f>SUM(XLOOKUP('포켓몬_편집'!$AF298:$AN298,'분류_규칙'!$A$5:$A$76,'분류_규칙'!$H$5:$H$76,0))</x:f>
        <x:v>5</x:v>
      </x:c>
      <x:c r="I298" s="10" t="n">
        <x:f>SUM(XLOOKUP('포켓몬_편집'!$AF298:$AN298,'분류_규칙'!$A$5:$A$76,'분류_규칙'!$I$5:$I$76,0))</x:f>
        <x:v>0</x:v>
      </x:c>
      <x:c r="J298" s="10" t="n">
        <x:f>SUM(XLOOKUP('포켓몬_편집'!$AF298:$AN298,'분류_규칙'!$A$5:$A$76,'분류_규칙'!$J$5:$J$76,0))</x:f>
        <x:v>2</x:v>
      </x:c>
      <x:c r="K298" s="10" t="n">
        <x:f>SUM(XLOOKUP('포켓몬_편집'!$AF298:$AN298,'분류_규칙'!$A$5:$A$76,'분류_규칙'!$K$5:$K$76,0))</x:f>
        <x:v>0</x:v>
      </x:c>
      <x:c r="L298" s="10" t="n">
        <x:f>SUM(XLOOKUP('포켓몬_편집'!$AF298:$AN298,'분류_규칙'!$A$5:$A$76,'분류_규칙'!$L$5:$L$76,0))</x:f>
        <x:v>0</x:v>
      </x:c>
      <x:c r="M298" s="10" t="n">
        <x:f>SUM(XLOOKUP('포켓몬_편집'!$AF298:$AN298,'분류_규칙'!$A$5:$A$76,'분류_규칙'!$M$5:$M$76,0))</x:f>
        <x:v>0</x:v>
      </x:c>
      <x:c r="N298" s="10" t="n">
        <x:f>SUM(XLOOKUP('포켓몬_편집'!$AF298:$AN298,'분류_규칙'!$A$5:$A$76,'분류_규칙'!$N$5:$N$76,0))</x:f>
        <x:v>0</x:v>
      </x:c>
      <x:c r="O298" s="10" t="n">
        <x:f>SUM(XLOOKUP('포켓몬_편집'!$AF298:$AN298,'분류_규칙'!$A$5:$A$76,'분류_규칙'!$O$5:$O$76,0))</x:f>
        <x:v>2</x:v>
      </x:c>
      <x:c r="P298" s="10" t="n">
        <x:f>SUM(XLOOKUP('포켓몬_편집'!$AF298:$AN298,'분류_규칙'!$A$5:$A$76,'분류_규칙'!$P$5:$P$76,0))</x:f>
        <x:v>0</x:v>
      </x:c>
    </x:row>
    <x:row r="299" ht="22" customHeight="1">
      <x:c r="A299" s="5" t="n">
        <x:v>295</x:v>
      </x:c>
      <x:c r="B299" s="5" t="inlineStr">
        <x:is>
          <x:t xml:space="preserve">폭음룡</x:t>
        </x:is>
      </x:c>
      <x:c r="C299" s="5" t="inlineStr">
        <x:is>
          <x:t xml:space="preserve">exploud</x:t>
        </x:is>
      </x:c>
      <x:c r="D299" s="5" t="n">
        <x:v>3</x:v>
      </x:c>
      <x:c r="E299" s="10" t="n">
        <x:f>SUM(XLOOKUP('포켓몬_편집'!$AF299:$AN299,'분류_규칙'!$A$5:$A$76,'분류_규칙'!$E$5:$E$76,0))</x:f>
        <x:v>10</x:v>
      </x:c>
      <x:c r="F299" s="10" t="n">
        <x:f>SUM(XLOOKUP('포켓몬_편집'!$AF299:$AN299,'분류_규칙'!$A$5:$A$76,'분류_규칙'!$F$5:$F$76,0))</x:f>
        <x:v>7</x:v>
      </x:c>
      <x:c r="G299" s="10" t="n">
        <x:f>SUM(XLOOKUP('포켓몬_편집'!$AF299:$AN299,'분류_규칙'!$A$5:$A$76,'분류_규칙'!$G$5:$G$76,0))</x:f>
        <x:v>5</x:v>
      </x:c>
      <x:c r="H299" s="10" t="n">
        <x:f>SUM(XLOOKUP('포켓몬_편집'!$AF299:$AN299,'분류_규칙'!$A$5:$A$76,'분류_규칙'!$H$5:$H$76,0))</x:f>
        <x:v>5</x:v>
      </x:c>
      <x:c r="I299" s="10" t="n">
        <x:f>SUM(XLOOKUP('포켓몬_편집'!$AF299:$AN299,'분류_규칙'!$A$5:$A$76,'분류_규칙'!$I$5:$I$76,0))</x:f>
        <x:v>0</x:v>
      </x:c>
      <x:c r="J299" s="10" t="n">
        <x:f>SUM(XLOOKUP('포켓몬_편집'!$AF299:$AN299,'분류_규칙'!$A$5:$A$76,'분류_규칙'!$J$5:$J$76,0))</x:f>
        <x:v>2</x:v>
      </x:c>
      <x:c r="K299" s="10" t="n">
        <x:f>SUM(XLOOKUP('포켓몬_편집'!$AF299:$AN299,'분류_규칙'!$A$5:$A$76,'분류_규칙'!$K$5:$K$76,0))</x:f>
        <x:v>0</x:v>
      </x:c>
      <x:c r="L299" s="10" t="n">
        <x:f>SUM(XLOOKUP('포켓몬_편집'!$AF299:$AN299,'분류_규칙'!$A$5:$A$76,'분류_규칙'!$L$5:$L$76,0))</x:f>
        <x:v>0</x:v>
      </x:c>
      <x:c r="M299" s="10" t="n">
        <x:f>SUM(XLOOKUP('포켓몬_편집'!$AF299:$AN299,'분류_규칙'!$A$5:$A$76,'분류_규칙'!$M$5:$M$76,0))</x:f>
        <x:v>0</x:v>
      </x:c>
      <x:c r="N299" s="10" t="n">
        <x:f>SUM(XLOOKUP('포켓몬_편집'!$AF299:$AN299,'분류_규칙'!$A$5:$A$76,'분류_규칙'!$N$5:$N$76,0))</x:f>
        <x:v>0</x:v>
      </x:c>
      <x:c r="O299" s="10" t="n">
        <x:f>SUM(XLOOKUP('포켓몬_편집'!$AF299:$AN299,'분류_규칙'!$A$5:$A$76,'분류_규칙'!$O$5:$O$76,0))</x:f>
        <x:v>2</x:v>
      </x:c>
      <x:c r="P299" s="10" t="n">
        <x:f>SUM(XLOOKUP('포켓몬_편집'!$AF299:$AN299,'분류_규칙'!$A$5:$A$76,'분류_규칙'!$P$5:$P$76,0))</x:f>
        <x:v>0</x:v>
      </x:c>
    </x:row>
    <x:row r="300" ht="22" customHeight="1">
      <x:c r="A300" s="5" t="n">
        <x:v>296</x:v>
      </x:c>
      <x:c r="B300" s="5" t="inlineStr">
        <x:is>
          <x:t xml:space="preserve">마크탕</x:t>
        </x:is>
      </x:c>
      <x:c r="C300" s="5" t="inlineStr">
        <x:is>
          <x:t xml:space="preserve">makuhita</x:t>
        </x:is>
      </x:c>
      <x:c r="D300" s="5" t="n">
        <x:v>3</x:v>
      </x:c>
      <x:c r="E300" s="10" t="n">
        <x:f>SUM(XLOOKUP('포켓몬_편집'!$AF300:$AN300,'분류_규칙'!$A$5:$A$76,'분류_규칙'!$E$5:$E$76,0))</x:f>
        <x:v>10</x:v>
      </x:c>
      <x:c r="F300" s="10" t="n">
        <x:f>SUM(XLOOKUP('포켓몬_편집'!$AF300:$AN300,'분류_규칙'!$A$5:$A$76,'분류_규칙'!$F$5:$F$76,0))</x:f>
        <x:v>7</x:v>
      </x:c>
      <x:c r="G300" s="10" t="n">
        <x:f>SUM(XLOOKUP('포켓몬_편집'!$AF300:$AN300,'분류_규칙'!$A$5:$A$76,'분류_규칙'!$G$5:$G$76,0))</x:f>
        <x:v>5</x:v>
      </x:c>
      <x:c r="H300" s="10" t="n">
        <x:f>SUM(XLOOKUP('포켓몬_편집'!$AF300:$AN300,'분류_규칙'!$A$5:$A$76,'분류_규칙'!$H$5:$H$76,0))</x:f>
        <x:v>5</x:v>
      </x:c>
      <x:c r="I300" s="10" t="n">
        <x:f>SUM(XLOOKUP('포켓몬_편집'!$AF300:$AN300,'분류_규칙'!$A$5:$A$76,'분류_규칙'!$I$5:$I$76,0))</x:f>
        <x:v>0</x:v>
      </x:c>
      <x:c r="J300" s="10" t="n">
        <x:f>SUM(XLOOKUP('포켓몬_편집'!$AF300:$AN300,'분류_규칙'!$A$5:$A$76,'분류_규칙'!$J$5:$J$76,0))</x:f>
        <x:v>2</x:v>
      </x:c>
      <x:c r="K300" s="10" t="n">
        <x:f>SUM(XLOOKUP('포켓몬_편집'!$AF300:$AN300,'분류_규칙'!$A$5:$A$76,'분류_규칙'!$K$5:$K$76,0))</x:f>
        <x:v>0</x:v>
      </x:c>
      <x:c r="L300" s="10" t="n">
        <x:f>SUM(XLOOKUP('포켓몬_편집'!$AF300:$AN300,'분류_규칙'!$A$5:$A$76,'분류_규칙'!$L$5:$L$76,0))</x:f>
        <x:v>0</x:v>
      </x:c>
      <x:c r="M300" s="10" t="n">
        <x:f>SUM(XLOOKUP('포켓몬_편집'!$AF300:$AN300,'분류_규칙'!$A$5:$A$76,'분류_규칙'!$M$5:$M$76,0))</x:f>
        <x:v>0</x:v>
      </x:c>
      <x:c r="N300" s="10" t="n">
        <x:f>SUM(XLOOKUP('포켓몬_편집'!$AF300:$AN300,'분류_규칙'!$A$5:$A$76,'분류_규칙'!$N$5:$N$76,0))</x:f>
        <x:v>0</x:v>
      </x:c>
      <x:c r="O300" s="10" t="n">
        <x:f>SUM(XLOOKUP('포켓몬_편집'!$AF300:$AN300,'분류_규칙'!$A$5:$A$76,'분류_규칙'!$O$5:$O$76,0))</x:f>
        <x:v>2</x:v>
      </x:c>
      <x:c r="P300" s="10" t="n">
        <x:f>SUM(XLOOKUP('포켓몬_편집'!$AF300:$AN300,'분류_규칙'!$A$5:$A$76,'분류_규칙'!$P$5:$P$76,0))</x:f>
        <x:v>0</x:v>
      </x:c>
    </x:row>
    <x:row r="301" ht="22" customHeight="1">
      <x:c r="A301" s="5" t="n">
        <x:v>297</x:v>
      </x:c>
      <x:c r="B301" s="5" t="inlineStr">
        <x:is>
          <x:t xml:space="preserve">하리뭉</x:t>
        </x:is>
      </x:c>
      <x:c r="C301" s="5" t="inlineStr">
        <x:is>
          <x:t xml:space="preserve">hariyama</x:t>
        </x:is>
      </x:c>
      <x:c r="D301" s="5" t="n">
        <x:v>3</x:v>
      </x:c>
      <x:c r="E301" s="10" t="n">
        <x:f>SUM(XLOOKUP('포켓몬_편집'!$AF301:$AN301,'분류_규칙'!$A$5:$A$76,'분류_규칙'!$E$5:$E$76,0))</x:f>
        <x:v>10</x:v>
      </x:c>
      <x:c r="F301" s="10" t="n">
        <x:f>SUM(XLOOKUP('포켓몬_편집'!$AF301:$AN301,'분류_규칙'!$A$5:$A$76,'분류_규칙'!$F$5:$F$76,0))</x:f>
        <x:v>7</x:v>
      </x:c>
      <x:c r="G301" s="10" t="n">
        <x:f>SUM(XLOOKUP('포켓몬_편집'!$AF301:$AN301,'분류_규칙'!$A$5:$A$76,'분류_규칙'!$G$5:$G$76,0))</x:f>
        <x:v>5</x:v>
      </x:c>
      <x:c r="H301" s="10" t="n">
        <x:f>SUM(XLOOKUP('포켓몬_편집'!$AF301:$AN301,'분류_규칙'!$A$5:$A$76,'분류_규칙'!$H$5:$H$76,0))</x:f>
        <x:v>5</x:v>
      </x:c>
      <x:c r="I301" s="10" t="n">
        <x:f>SUM(XLOOKUP('포켓몬_편집'!$AF301:$AN301,'분류_규칙'!$A$5:$A$76,'분류_규칙'!$I$5:$I$76,0))</x:f>
        <x:v>0</x:v>
      </x:c>
      <x:c r="J301" s="10" t="n">
        <x:f>SUM(XLOOKUP('포켓몬_편집'!$AF301:$AN301,'분류_규칙'!$A$5:$A$76,'분류_규칙'!$J$5:$J$76,0))</x:f>
        <x:v>2</x:v>
      </x:c>
      <x:c r="K301" s="10" t="n">
        <x:f>SUM(XLOOKUP('포켓몬_편집'!$AF301:$AN301,'분류_규칙'!$A$5:$A$76,'분류_규칙'!$K$5:$K$76,0))</x:f>
        <x:v>0</x:v>
      </x:c>
      <x:c r="L301" s="10" t="n">
        <x:f>SUM(XLOOKUP('포켓몬_편집'!$AF301:$AN301,'분류_규칙'!$A$5:$A$76,'분류_규칙'!$L$5:$L$76,0))</x:f>
        <x:v>0</x:v>
      </x:c>
      <x:c r="M301" s="10" t="n">
        <x:f>SUM(XLOOKUP('포켓몬_편집'!$AF301:$AN301,'분류_규칙'!$A$5:$A$76,'분류_규칙'!$M$5:$M$76,0))</x:f>
        <x:v>0</x:v>
      </x:c>
      <x:c r="N301" s="10" t="n">
        <x:f>SUM(XLOOKUP('포켓몬_편집'!$AF301:$AN301,'분류_규칙'!$A$5:$A$76,'분류_규칙'!$N$5:$N$76,0))</x:f>
        <x:v>0</x:v>
      </x:c>
      <x:c r="O301" s="10" t="n">
        <x:f>SUM(XLOOKUP('포켓몬_편집'!$AF301:$AN301,'분류_규칙'!$A$5:$A$76,'분류_규칙'!$O$5:$O$76,0))</x:f>
        <x:v>2</x:v>
      </x:c>
      <x:c r="P301" s="10" t="n">
        <x:f>SUM(XLOOKUP('포켓몬_편집'!$AF301:$AN301,'분류_규칙'!$A$5:$A$76,'분류_규칙'!$P$5:$P$76,0))</x:f>
        <x:v>0</x:v>
      </x:c>
    </x:row>
    <x:row r="302" ht="22" customHeight="1">
      <x:c r="A302" s="5" t="n">
        <x:v>298</x:v>
      </x:c>
      <x:c r="B302" s="5" t="inlineStr">
        <x:is>
          <x:t xml:space="preserve">루리리</x:t>
        </x:is>
      </x:c>
      <x:c r="C302" s="5" t="inlineStr">
        <x:is>
          <x:t xml:space="preserve">azurill</x:t>
        </x:is>
      </x:c>
      <x:c r="D302" s="5" t="n">
        <x:v>3</x:v>
      </x:c>
      <x:c r="E302" s="10" t="n">
        <x:f>SUM(XLOOKUP('포켓몬_편집'!$AF302:$AN302,'분류_규칙'!$A$5:$A$76,'분류_규칙'!$E$5:$E$76,0))</x:f>
        <x:v>10</x:v>
      </x:c>
      <x:c r="F302" s="10" t="n">
        <x:f>SUM(XLOOKUP('포켓몬_편집'!$AF302:$AN302,'분류_규칙'!$A$5:$A$76,'분류_규칙'!$F$5:$F$76,0))</x:f>
        <x:v>7</x:v>
      </x:c>
      <x:c r="G302" s="10" t="n">
        <x:f>SUM(XLOOKUP('포켓몬_편집'!$AF302:$AN302,'분류_규칙'!$A$5:$A$76,'분류_규칙'!$G$5:$G$76,0))</x:f>
        <x:v>5</x:v>
      </x:c>
      <x:c r="H302" s="10" t="n">
        <x:f>SUM(XLOOKUP('포켓몬_편집'!$AF302:$AN302,'분류_규칙'!$A$5:$A$76,'분류_규칙'!$H$5:$H$76,0))</x:f>
        <x:v>5</x:v>
      </x:c>
      <x:c r="I302" s="10" t="n">
        <x:f>SUM(XLOOKUP('포켓몬_편집'!$AF302:$AN302,'분류_규칙'!$A$5:$A$76,'분류_규칙'!$I$5:$I$76,0))</x:f>
        <x:v>0</x:v>
      </x:c>
      <x:c r="J302" s="10" t="n">
        <x:f>SUM(XLOOKUP('포켓몬_편집'!$AF302:$AN302,'분류_규칙'!$A$5:$A$76,'분류_규칙'!$J$5:$J$76,0))</x:f>
        <x:v>2</x:v>
      </x:c>
      <x:c r="K302" s="10" t="n">
        <x:f>SUM(XLOOKUP('포켓몬_편집'!$AF302:$AN302,'분류_규칙'!$A$5:$A$76,'분류_규칙'!$K$5:$K$76,0))</x:f>
        <x:v>0</x:v>
      </x:c>
      <x:c r="L302" s="10" t="n">
        <x:f>SUM(XLOOKUP('포켓몬_편집'!$AF302:$AN302,'분류_규칙'!$A$5:$A$76,'분류_규칙'!$L$5:$L$76,0))</x:f>
        <x:v>0</x:v>
      </x:c>
      <x:c r="M302" s="10" t="n">
        <x:f>SUM(XLOOKUP('포켓몬_편집'!$AF302:$AN302,'분류_규칙'!$A$5:$A$76,'분류_규칙'!$M$5:$M$76,0))</x:f>
        <x:v>0</x:v>
      </x:c>
      <x:c r="N302" s="10" t="n">
        <x:f>SUM(XLOOKUP('포켓몬_편집'!$AF302:$AN302,'분류_규칙'!$A$5:$A$76,'분류_규칙'!$N$5:$N$76,0))</x:f>
        <x:v>0</x:v>
      </x:c>
      <x:c r="O302" s="10" t="n">
        <x:f>SUM(XLOOKUP('포켓몬_편집'!$AF302:$AN302,'분류_규칙'!$A$5:$A$76,'분류_규칙'!$O$5:$O$76,0))</x:f>
        <x:v>2</x:v>
      </x:c>
      <x:c r="P302" s="10" t="n">
        <x:f>SUM(XLOOKUP('포켓몬_편집'!$AF302:$AN302,'분류_규칙'!$A$5:$A$76,'분류_규칙'!$P$5:$P$76,0))</x:f>
        <x:v>0</x:v>
      </x:c>
    </x:row>
    <x:row r="303" ht="22" customHeight="1">
      <x:c r="A303" s="5" t="n">
        <x:v>299</x:v>
      </x:c>
      <x:c r="B303" s="5" t="inlineStr">
        <x:is>
          <x:t xml:space="preserve">코코파스</x:t>
        </x:is>
      </x:c>
      <x:c r="C303" s="5" t="inlineStr">
        <x:is>
          <x:t xml:space="preserve">nosepass</x:t>
        </x:is>
      </x:c>
      <x:c r="D303" s="5" t="n">
        <x:v>3</x:v>
      </x:c>
      <x:c r="E303" s="10" t="n">
        <x:f>SUM(XLOOKUP('포켓몬_편집'!$AF303:$AN303,'분류_규칙'!$A$5:$A$76,'분류_규칙'!$E$5:$E$76,0))</x:f>
        <x:v>10</x:v>
      </x:c>
      <x:c r="F303" s="10" t="n">
        <x:f>SUM(XLOOKUP('포켓몬_편집'!$AF303:$AN303,'분류_규칙'!$A$5:$A$76,'분류_규칙'!$F$5:$F$76,0))</x:f>
        <x:v>7</x:v>
      </x:c>
      <x:c r="G303" s="10" t="n">
        <x:f>SUM(XLOOKUP('포켓몬_편집'!$AF303:$AN303,'분류_규칙'!$A$5:$A$76,'분류_규칙'!$G$5:$G$76,0))</x:f>
        <x:v>5</x:v>
      </x:c>
      <x:c r="H303" s="10" t="n">
        <x:f>SUM(XLOOKUP('포켓몬_편집'!$AF303:$AN303,'분류_규칙'!$A$5:$A$76,'분류_규칙'!$H$5:$H$76,0))</x:f>
        <x:v>5</x:v>
      </x:c>
      <x:c r="I303" s="10" t="n">
        <x:f>SUM(XLOOKUP('포켓몬_편집'!$AF303:$AN303,'분류_규칙'!$A$5:$A$76,'분류_규칙'!$I$5:$I$76,0))</x:f>
        <x:v>0</x:v>
      </x:c>
      <x:c r="J303" s="10" t="n">
        <x:f>SUM(XLOOKUP('포켓몬_편집'!$AF303:$AN303,'분류_규칙'!$A$5:$A$76,'분류_규칙'!$J$5:$J$76,0))</x:f>
        <x:v>2</x:v>
      </x:c>
      <x:c r="K303" s="10" t="n">
        <x:f>SUM(XLOOKUP('포켓몬_편집'!$AF303:$AN303,'분류_규칙'!$A$5:$A$76,'분류_규칙'!$K$5:$K$76,0))</x:f>
        <x:v>0</x:v>
      </x:c>
      <x:c r="L303" s="10" t="n">
        <x:f>SUM(XLOOKUP('포켓몬_편집'!$AF303:$AN303,'분류_규칙'!$A$5:$A$76,'분류_규칙'!$L$5:$L$76,0))</x:f>
        <x:v>0</x:v>
      </x:c>
      <x:c r="M303" s="10" t="n">
        <x:f>SUM(XLOOKUP('포켓몬_편집'!$AF303:$AN303,'분류_규칙'!$A$5:$A$76,'분류_규칙'!$M$5:$M$76,0))</x:f>
        <x:v>0</x:v>
      </x:c>
      <x:c r="N303" s="10" t="n">
        <x:f>SUM(XLOOKUP('포켓몬_편집'!$AF303:$AN303,'분류_규칙'!$A$5:$A$76,'분류_규칙'!$N$5:$N$76,0))</x:f>
        <x:v>0</x:v>
      </x:c>
      <x:c r="O303" s="10" t="n">
        <x:f>SUM(XLOOKUP('포켓몬_편집'!$AF303:$AN303,'분류_규칙'!$A$5:$A$76,'분류_규칙'!$O$5:$O$76,0))</x:f>
        <x:v>2</x:v>
      </x:c>
      <x:c r="P303" s="10" t="n">
        <x:f>SUM(XLOOKUP('포켓몬_편집'!$AF303:$AN303,'분류_규칙'!$A$5:$A$76,'분류_규칙'!$P$5:$P$76,0))</x:f>
        <x:v>0</x:v>
      </x:c>
    </x:row>
    <x:row r="304" ht="22" customHeight="1">
      <x:c r="A304" s="5" t="n">
        <x:v>300</x:v>
      </x:c>
      <x:c r="B304" s="5" t="inlineStr">
        <x:is>
          <x:t xml:space="preserve">에나비</x:t>
        </x:is>
      </x:c>
      <x:c r="C304" s="5" t="inlineStr">
        <x:is>
          <x:t xml:space="preserve">skitty</x:t>
        </x:is>
      </x:c>
      <x:c r="D304" s="5" t="n">
        <x:v>3</x:v>
      </x:c>
      <x:c r="E304" s="10" t="n">
        <x:f>SUM(XLOOKUP('포켓몬_편집'!$AF304:$AN304,'분류_규칙'!$A$5:$A$76,'분류_규칙'!$E$5:$E$76,0))</x:f>
        <x:v>10</x:v>
      </x:c>
      <x:c r="F304" s="10" t="n">
        <x:f>SUM(XLOOKUP('포켓몬_편집'!$AF304:$AN304,'분류_규칙'!$A$5:$A$76,'분류_규칙'!$F$5:$F$76,0))</x:f>
        <x:v>7</x:v>
      </x:c>
      <x:c r="G304" s="10" t="n">
        <x:f>SUM(XLOOKUP('포켓몬_편집'!$AF304:$AN304,'분류_규칙'!$A$5:$A$76,'분류_규칙'!$G$5:$G$76,0))</x:f>
        <x:v>5</x:v>
      </x:c>
      <x:c r="H304" s="10" t="n">
        <x:f>SUM(XLOOKUP('포켓몬_편집'!$AF304:$AN304,'분류_규칙'!$A$5:$A$76,'분류_규칙'!$H$5:$H$76,0))</x:f>
        <x:v>5</x:v>
      </x:c>
      <x:c r="I304" s="10" t="n">
        <x:f>SUM(XLOOKUP('포켓몬_편집'!$AF304:$AN304,'분류_규칙'!$A$5:$A$76,'분류_규칙'!$I$5:$I$76,0))</x:f>
        <x:v>0</x:v>
      </x:c>
      <x:c r="J304" s="10" t="n">
        <x:f>SUM(XLOOKUP('포켓몬_편집'!$AF304:$AN304,'분류_규칙'!$A$5:$A$76,'분류_규칙'!$J$5:$J$76,0))</x:f>
        <x:v>2</x:v>
      </x:c>
      <x:c r="K304" s="10" t="n">
        <x:f>SUM(XLOOKUP('포켓몬_편집'!$AF304:$AN304,'분류_규칙'!$A$5:$A$76,'분류_규칙'!$K$5:$K$76,0))</x:f>
        <x:v>0</x:v>
      </x:c>
      <x:c r="L304" s="10" t="n">
        <x:f>SUM(XLOOKUP('포켓몬_편집'!$AF304:$AN304,'분류_규칙'!$A$5:$A$76,'분류_규칙'!$L$5:$L$76,0))</x:f>
        <x:v>0</x:v>
      </x:c>
      <x:c r="M304" s="10" t="n">
        <x:f>SUM(XLOOKUP('포켓몬_편집'!$AF304:$AN304,'분류_규칙'!$A$5:$A$76,'분류_규칙'!$M$5:$M$76,0))</x:f>
        <x:v>0</x:v>
      </x:c>
      <x:c r="N304" s="10" t="n">
        <x:f>SUM(XLOOKUP('포켓몬_편집'!$AF304:$AN304,'분류_규칙'!$A$5:$A$76,'분류_규칙'!$N$5:$N$76,0))</x:f>
        <x:v>0</x:v>
      </x:c>
      <x:c r="O304" s="10" t="n">
        <x:f>SUM(XLOOKUP('포켓몬_편집'!$AF304:$AN304,'분류_규칙'!$A$5:$A$76,'분류_규칙'!$O$5:$O$76,0))</x:f>
        <x:v>2</x:v>
      </x:c>
      <x:c r="P304" s="10" t="n">
        <x:f>SUM(XLOOKUP('포켓몬_편집'!$AF304:$AN304,'분류_규칙'!$A$5:$A$76,'분류_규칙'!$P$5:$P$76,0))</x:f>
        <x:v>0</x:v>
      </x:c>
    </x:row>
    <x:row r="305" ht="22" customHeight="1">
      <x:c r="A305" s="5" t="n">
        <x:v>301</x:v>
      </x:c>
      <x:c r="B305" s="5" t="inlineStr">
        <x:is>
          <x:t xml:space="preserve">델케티</x:t>
        </x:is>
      </x:c>
      <x:c r="C305" s="5" t="inlineStr">
        <x:is>
          <x:t xml:space="preserve">delcatty</x:t>
        </x:is>
      </x:c>
      <x:c r="D305" s="5" t="n">
        <x:v>3</x:v>
      </x:c>
      <x:c r="E305" s="10" t="n">
        <x:f>SUM(XLOOKUP('포켓몬_편집'!$AF305:$AN305,'분류_규칙'!$A$5:$A$76,'분류_규칙'!$E$5:$E$76,0))</x:f>
        <x:v>10</x:v>
      </x:c>
      <x:c r="F305" s="10" t="n">
        <x:f>SUM(XLOOKUP('포켓몬_편집'!$AF305:$AN305,'분류_규칙'!$A$5:$A$76,'분류_규칙'!$F$5:$F$76,0))</x:f>
        <x:v>7</x:v>
      </x:c>
      <x:c r="G305" s="10" t="n">
        <x:f>SUM(XLOOKUP('포켓몬_편집'!$AF305:$AN305,'분류_규칙'!$A$5:$A$76,'분류_규칙'!$G$5:$G$76,0))</x:f>
        <x:v>5</x:v>
      </x:c>
      <x:c r="H305" s="10" t="n">
        <x:f>SUM(XLOOKUP('포켓몬_편집'!$AF305:$AN305,'분류_규칙'!$A$5:$A$76,'분류_규칙'!$H$5:$H$76,0))</x:f>
        <x:v>5</x:v>
      </x:c>
      <x:c r="I305" s="10" t="n">
        <x:f>SUM(XLOOKUP('포켓몬_편집'!$AF305:$AN305,'분류_규칙'!$A$5:$A$76,'분류_규칙'!$I$5:$I$76,0))</x:f>
        <x:v>0</x:v>
      </x:c>
      <x:c r="J305" s="10" t="n">
        <x:f>SUM(XLOOKUP('포켓몬_편집'!$AF305:$AN305,'분류_규칙'!$A$5:$A$76,'분류_규칙'!$J$5:$J$76,0))</x:f>
        <x:v>2</x:v>
      </x:c>
      <x:c r="K305" s="10" t="n">
        <x:f>SUM(XLOOKUP('포켓몬_편집'!$AF305:$AN305,'분류_규칙'!$A$5:$A$76,'분류_규칙'!$K$5:$K$76,0))</x:f>
        <x:v>0</x:v>
      </x:c>
      <x:c r="L305" s="10" t="n">
        <x:f>SUM(XLOOKUP('포켓몬_편집'!$AF305:$AN305,'분류_규칙'!$A$5:$A$76,'분류_규칙'!$L$5:$L$76,0))</x:f>
        <x:v>0</x:v>
      </x:c>
      <x:c r="M305" s="10" t="n">
        <x:f>SUM(XLOOKUP('포켓몬_편집'!$AF305:$AN305,'분류_규칙'!$A$5:$A$76,'분류_규칙'!$M$5:$M$76,0))</x:f>
        <x:v>0</x:v>
      </x:c>
      <x:c r="N305" s="10" t="n">
        <x:f>SUM(XLOOKUP('포켓몬_편집'!$AF305:$AN305,'분류_규칙'!$A$5:$A$76,'분류_규칙'!$N$5:$N$76,0))</x:f>
        <x:v>0</x:v>
      </x:c>
      <x:c r="O305" s="10" t="n">
        <x:f>SUM(XLOOKUP('포켓몬_편집'!$AF305:$AN305,'분류_규칙'!$A$5:$A$76,'분류_규칙'!$O$5:$O$76,0))</x:f>
        <x:v>2</x:v>
      </x:c>
      <x:c r="P305" s="10" t="n">
        <x:f>SUM(XLOOKUP('포켓몬_편집'!$AF305:$AN305,'분류_규칙'!$A$5:$A$76,'분류_규칙'!$P$5:$P$76,0))</x:f>
        <x:v>0</x:v>
      </x:c>
    </x:row>
    <x:row r="306" ht="22" customHeight="1">
      <x:c r="A306" s="5" t="n">
        <x:v>302</x:v>
      </x:c>
      <x:c r="B306" s="5" t="inlineStr">
        <x:is>
          <x:t xml:space="preserve">깜까미</x:t>
        </x:is>
      </x:c>
      <x:c r="C306" s="5" t="inlineStr">
        <x:is>
          <x:t xml:space="preserve">sableye</x:t>
        </x:is>
      </x:c>
      <x:c r="D306" s="5" t="n">
        <x:v>3</x:v>
      </x:c>
      <x:c r="E306" s="10" t="n">
        <x:f>SUM(XLOOKUP('포켓몬_편집'!$AF306:$AN306,'분류_규칙'!$A$5:$A$76,'분류_규칙'!$E$5:$E$76,0))</x:f>
        <x:v>0</x:v>
      </x:c>
      <x:c r="F306" s="10" t="n">
        <x:f>SUM(XLOOKUP('포켓몬_편집'!$AF306:$AN306,'분류_규칙'!$A$5:$A$76,'분류_규칙'!$F$5:$F$76,0))</x:f>
        <x:v>0</x:v>
      </x:c>
      <x:c r="G306" s="10" t="n">
        <x:f>SUM(XLOOKUP('포켓몬_편집'!$AF306:$AN306,'분류_규칙'!$A$5:$A$76,'분류_규칙'!$G$5:$G$76,0))</x:f>
        <x:v>0</x:v>
      </x:c>
      <x:c r="H306" s="10" t="n">
        <x:f>SUM(XLOOKUP('포켓몬_편집'!$AF306:$AN306,'분류_규칙'!$A$5:$A$76,'분류_규칙'!$H$5:$H$76,0))</x:f>
        <x:v>10</x:v>
      </x:c>
      <x:c r="I306" s="10" t="n">
        <x:f>SUM(XLOOKUP('포켓몬_편집'!$AF306:$AN306,'분류_규칙'!$A$5:$A$76,'분류_규칙'!$I$5:$I$76,0))</x:f>
        <x:v>30</x:v>
      </x:c>
      <x:c r="J306" s="10" t="n">
        <x:f>SUM(XLOOKUP('포켓몬_편집'!$AF306:$AN306,'분류_규칙'!$A$5:$A$76,'분류_규칙'!$J$5:$J$76,0))</x:f>
        <x:v>0</x:v>
      </x:c>
      <x:c r="K306" s="10" t="n">
        <x:f>SUM(XLOOKUP('포켓몬_편집'!$AF306:$AN306,'분류_규칙'!$A$5:$A$76,'분류_규칙'!$K$5:$K$76,0))</x:f>
        <x:v>0</x:v>
      </x:c>
      <x:c r="L306" s="10" t="n">
        <x:f>SUM(XLOOKUP('포켓몬_편집'!$AF306:$AN306,'분류_규칙'!$A$5:$A$76,'분류_규칙'!$L$5:$L$76,0))</x:f>
        <x:v>0</x:v>
      </x:c>
      <x:c r="M306" s="10" t="n">
        <x:f>SUM(XLOOKUP('포켓몬_편집'!$AF306:$AN306,'분류_규칙'!$A$5:$A$76,'분류_규칙'!$M$5:$M$76,0))</x:f>
        <x:v>0</x:v>
      </x:c>
      <x:c r="N306" s="10" t="n">
        <x:f>SUM(XLOOKUP('포켓몬_편집'!$AF306:$AN306,'분류_규칙'!$A$5:$A$76,'분류_규칙'!$N$5:$N$76,0))</x:f>
        <x:v>0</x:v>
      </x:c>
      <x:c r="O306" s="10" t="n">
        <x:f>SUM(XLOOKUP('포켓몬_편집'!$AF306:$AN306,'분류_규칙'!$A$5:$A$76,'분류_규칙'!$O$5:$O$76,0))</x:f>
        <x:v>0</x:v>
      </x:c>
      <x:c r="P306" s="10" t="n">
        <x:f>SUM(XLOOKUP('포켓몬_편집'!$AF306:$AN306,'분류_규칙'!$A$5:$A$76,'분류_규칙'!$P$5:$P$76,0))</x:f>
        <x:v>0</x:v>
      </x:c>
    </x:row>
    <x:row r="307" ht="22" customHeight="1">
      <x:c r="A307" s="5" t="n">
        <x:v>303</x:v>
      </x:c>
      <x:c r="B307" s="5" t="inlineStr">
        <x:is>
          <x:t xml:space="preserve">입치트</x:t>
        </x:is>
      </x:c>
      <x:c r="C307" s="5" t="inlineStr">
        <x:is>
          <x:t xml:space="preserve">mawile</x:t>
        </x:is>
      </x:c>
      <x:c r="D307" s="5" t="n">
        <x:v>3</x:v>
      </x:c>
      <x:c r="E307" s="10" t="n">
        <x:f>SUM(XLOOKUP('포켓몬_편집'!$AF307:$AN307,'분류_규칙'!$A$5:$A$76,'분류_규칙'!$E$5:$E$76,0))</x:f>
        <x:v>10</x:v>
      </x:c>
      <x:c r="F307" s="10" t="n">
        <x:f>SUM(XLOOKUP('포켓몬_편집'!$AF307:$AN307,'분류_규칙'!$A$5:$A$76,'분류_규칙'!$F$5:$F$76,0))</x:f>
        <x:v>7</x:v>
      </x:c>
      <x:c r="G307" s="10" t="n">
        <x:f>SUM(XLOOKUP('포켓몬_편집'!$AF307:$AN307,'분류_규칙'!$A$5:$A$76,'분류_규칙'!$G$5:$G$76,0))</x:f>
        <x:v>5</x:v>
      </x:c>
      <x:c r="H307" s="10" t="n">
        <x:f>SUM(XLOOKUP('포켓몬_편집'!$AF307:$AN307,'분류_규칙'!$A$5:$A$76,'분류_규칙'!$H$5:$H$76,0))</x:f>
        <x:v>5</x:v>
      </x:c>
      <x:c r="I307" s="10" t="n">
        <x:f>SUM(XLOOKUP('포켓몬_편집'!$AF307:$AN307,'분류_규칙'!$A$5:$A$76,'분류_규칙'!$I$5:$I$76,0))</x:f>
        <x:v>0</x:v>
      </x:c>
      <x:c r="J307" s="10" t="n">
        <x:f>SUM(XLOOKUP('포켓몬_편집'!$AF307:$AN307,'분류_규칙'!$A$5:$A$76,'분류_규칙'!$J$5:$J$76,0))</x:f>
        <x:v>2</x:v>
      </x:c>
      <x:c r="K307" s="10" t="n">
        <x:f>SUM(XLOOKUP('포켓몬_편집'!$AF307:$AN307,'분류_규칙'!$A$5:$A$76,'분류_규칙'!$K$5:$K$76,0))</x:f>
        <x:v>0</x:v>
      </x:c>
      <x:c r="L307" s="10" t="n">
        <x:f>SUM(XLOOKUP('포켓몬_편집'!$AF307:$AN307,'분류_규칙'!$A$5:$A$76,'분류_규칙'!$L$5:$L$76,0))</x:f>
        <x:v>0</x:v>
      </x:c>
      <x:c r="M307" s="10" t="n">
        <x:f>SUM(XLOOKUP('포켓몬_편집'!$AF307:$AN307,'분류_규칙'!$A$5:$A$76,'분류_규칙'!$M$5:$M$76,0))</x:f>
        <x:v>0</x:v>
      </x:c>
      <x:c r="N307" s="10" t="n">
        <x:f>SUM(XLOOKUP('포켓몬_편집'!$AF307:$AN307,'분류_규칙'!$A$5:$A$76,'분류_규칙'!$N$5:$N$76,0))</x:f>
        <x:v>0</x:v>
      </x:c>
      <x:c r="O307" s="10" t="n">
        <x:f>SUM(XLOOKUP('포켓몬_편집'!$AF307:$AN307,'분류_규칙'!$A$5:$A$76,'분류_규칙'!$O$5:$O$76,0))</x:f>
        <x:v>2</x:v>
      </x:c>
      <x:c r="P307" s="10" t="n">
        <x:f>SUM(XLOOKUP('포켓몬_편집'!$AF307:$AN307,'분류_규칙'!$A$5:$A$76,'분류_규칙'!$P$5:$P$76,0))</x:f>
        <x:v>0</x:v>
      </x:c>
    </x:row>
    <x:row r="308" ht="22" customHeight="1">
      <x:c r="A308" s="5" t="n">
        <x:v>304</x:v>
      </x:c>
      <x:c r="B308" s="5" t="inlineStr">
        <x:is>
          <x:t xml:space="preserve">가보리</x:t>
        </x:is>
      </x:c>
      <x:c r="C308" s="5" t="inlineStr">
        <x:is>
          <x:t xml:space="preserve">aron</x:t>
        </x:is>
      </x:c>
      <x:c r="D308" s="5" t="n">
        <x:v>3</x:v>
      </x:c>
      <x:c r="E308" s="10" t="n">
        <x:f>SUM(XLOOKUP('포켓몬_편집'!$AF308:$AN308,'분류_규칙'!$A$5:$A$76,'분류_규칙'!$E$5:$E$76,0))</x:f>
        <x:v>10</x:v>
      </x:c>
      <x:c r="F308" s="10" t="n">
        <x:f>SUM(XLOOKUP('포켓몬_편집'!$AF308:$AN308,'분류_규칙'!$A$5:$A$76,'분류_규칙'!$F$5:$F$76,0))</x:f>
        <x:v>7</x:v>
      </x:c>
      <x:c r="G308" s="10" t="n">
        <x:f>SUM(XLOOKUP('포켓몬_편집'!$AF308:$AN308,'분류_규칙'!$A$5:$A$76,'분류_규칙'!$G$5:$G$76,0))</x:f>
        <x:v>5</x:v>
      </x:c>
      <x:c r="H308" s="10" t="n">
        <x:f>SUM(XLOOKUP('포켓몬_편집'!$AF308:$AN308,'분류_규칙'!$A$5:$A$76,'분류_규칙'!$H$5:$H$76,0))</x:f>
        <x:v>5</x:v>
      </x:c>
      <x:c r="I308" s="10" t="n">
        <x:f>SUM(XLOOKUP('포켓몬_편집'!$AF308:$AN308,'분류_규칙'!$A$5:$A$76,'분류_규칙'!$I$5:$I$76,0))</x:f>
        <x:v>0</x:v>
      </x:c>
      <x:c r="J308" s="10" t="n">
        <x:f>SUM(XLOOKUP('포켓몬_편집'!$AF308:$AN308,'분류_규칙'!$A$5:$A$76,'분류_규칙'!$J$5:$J$76,0))</x:f>
        <x:v>2</x:v>
      </x:c>
      <x:c r="K308" s="10" t="n">
        <x:f>SUM(XLOOKUP('포켓몬_편집'!$AF308:$AN308,'분류_규칙'!$A$5:$A$76,'분류_규칙'!$K$5:$K$76,0))</x:f>
        <x:v>0</x:v>
      </x:c>
      <x:c r="L308" s="10" t="n">
        <x:f>SUM(XLOOKUP('포켓몬_편집'!$AF308:$AN308,'분류_규칙'!$A$5:$A$76,'분류_규칙'!$L$5:$L$76,0))</x:f>
        <x:v>0</x:v>
      </x:c>
      <x:c r="M308" s="10" t="n">
        <x:f>SUM(XLOOKUP('포켓몬_편집'!$AF308:$AN308,'분류_규칙'!$A$5:$A$76,'분류_규칙'!$M$5:$M$76,0))</x:f>
        <x:v>0</x:v>
      </x:c>
      <x:c r="N308" s="10" t="n">
        <x:f>SUM(XLOOKUP('포켓몬_편집'!$AF308:$AN308,'분류_규칙'!$A$5:$A$76,'분류_규칙'!$N$5:$N$76,0))</x:f>
        <x:v>0</x:v>
      </x:c>
      <x:c r="O308" s="10" t="n">
        <x:f>SUM(XLOOKUP('포켓몬_편집'!$AF308:$AN308,'분류_규칙'!$A$5:$A$76,'분류_규칙'!$O$5:$O$76,0))</x:f>
        <x:v>2</x:v>
      </x:c>
      <x:c r="P308" s="10" t="n">
        <x:f>SUM(XLOOKUP('포켓몬_편집'!$AF308:$AN308,'분류_규칙'!$A$5:$A$76,'분류_규칙'!$P$5:$P$76,0))</x:f>
        <x:v>0</x:v>
      </x:c>
    </x:row>
    <x:row r="309" ht="22" customHeight="1">
      <x:c r="A309" s="5" t="n">
        <x:v>305</x:v>
      </x:c>
      <x:c r="B309" s="5" t="inlineStr">
        <x:is>
          <x:t xml:space="preserve">갱도라</x:t>
        </x:is>
      </x:c>
      <x:c r="C309" s="5" t="inlineStr">
        <x:is>
          <x:t xml:space="preserve">lairon</x:t>
        </x:is>
      </x:c>
      <x:c r="D309" s="5" t="n">
        <x:v>3</x:v>
      </x:c>
      <x:c r="E309" s="10" t="n">
        <x:f>SUM(XLOOKUP('포켓몬_편집'!$AF309:$AN309,'분류_규칙'!$A$5:$A$76,'분류_규칙'!$E$5:$E$76,0))</x:f>
        <x:v>10</x:v>
      </x:c>
      <x:c r="F309" s="10" t="n">
        <x:f>SUM(XLOOKUP('포켓몬_편집'!$AF309:$AN309,'분류_규칙'!$A$5:$A$76,'분류_규칙'!$F$5:$F$76,0))</x:f>
        <x:v>7</x:v>
      </x:c>
      <x:c r="G309" s="10" t="n">
        <x:f>SUM(XLOOKUP('포켓몬_편집'!$AF309:$AN309,'분류_규칙'!$A$5:$A$76,'분류_규칙'!$G$5:$G$76,0))</x:f>
        <x:v>5</x:v>
      </x:c>
      <x:c r="H309" s="10" t="n">
        <x:f>SUM(XLOOKUP('포켓몬_편집'!$AF309:$AN309,'분류_규칙'!$A$5:$A$76,'분류_규칙'!$H$5:$H$76,0))</x:f>
        <x:v>5</x:v>
      </x:c>
      <x:c r="I309" s="10" t="n">
        <x:f>SUM(XLOOKUP('포켓몬_편집'!$AF309:$AN309,'분류_규칙'!$A$5:$A$76,'분류_규칙'!$I$5:$I$76,0))</x:f>
        <x:v>0</x:v>
      </x:c>
      <x:c r="J309" s="10" t="n">
        <x:f>SUM(XLOOKUP('포켓몬_편집'!$AF309:$AN309,'분류_규칙'!$A$5:$A$76,'분류_규칙'!$J$5:$J$76,0))</x:f>
        <x:v>2</x:v>
      </x:c>
      <x:c r="K309" s="10" t="n">
        <x:f>SUM(XLOOKUP('포켓몬_편집'!$AF309:$AN309,'분류_규칙'!$A$5:$A$76,'분류_규칙'!$K$5:$K$76,0))</x:f>
        <x:v>0</x:v>
      </x:c>
      <x:c r="L309" s="10" t="n">
        <x:f>SUM(XLOOKUP('포켓몬_편집'!$AF309:$AN309,'분류_규칙'!$A$5:$A$76,'분류_규칙'!$L$5:$L$76,0))</x:f>
        <x:v>0</x:v>
      </x:c>
      <x:c r="M309" s="10" t="n">
        <x:f>SUM(XLOOKUP('포켓몬_편집'!$AF309:$AN309,'분류_규칙'!$A$5:$A$76,'분류_규칙'!$M$5:$M$76,0))</x:f>
        <x:v>0</x:v>
      </x:c>
      <x:c r="N309" s="10" t="n">
        <x:f>SUM(XLOOKUP('포켓몬_편집'!$AF309:$AN309,'분류_규칙'!$A$5:$A$76,'분류_규칙'!$N$5:$N$76,0))</x:f>
        <x:v>0</x:v>
      </x:c>
      <x:c r="O309" s="10" t="n">
        <x:f>SUM(XLOOKUP('포켓몬_편집'!$AF309:$AN309,'분류_규칙'!$A$5:$A$76,'분류_규칙'!$O$5:$O$76,0))</x:f>
        <x:v>2</x:v>
      </x:c>
      <x:c r="P309" s="10" t="n">
        <x:f>SUM(XLOOKUP('포켓몬_편집'!$AF309:$AN309,'분류_규칙'!$A$5:$A$76,'분류_규칙'!$P$5:$P$76,0))</x:f>
        <x:v>0</x:v>
      </x:c>
    </x:row>
    <x:row r="310" ht="22" customHeight="1">
      <x:c r="A310" s="5" t="n">
        <x:v>306</x:v>
      </x:c>
      <x:c r="B310" s="5" t="inlineStr">
        <x:is>
          <x:t xml:space="preserve">보스로라</x:t>
        </x:is>
      </x:c>
      <x:c r="C310" s="5" t="inlineStr">
        <x:is>
          <x:t xml:space="preserve">aggron</x:t>
        </x:is>
      </x:c>
      <x:c r="D310" s="5" t="n">
        <x:v>3</x:v>
      </x:c>
      <x:c r="E310" s="10" t="n">
        <x:f>SUM(XLOOKUP('포켓몬_편집'!$AF310:$AN310,'분류_규칙'!$A$5:$A$76,'분류_규칙'!$E$5:$E$76,0))</x:f>
        <x:v>10</x:v>
      </x:c>
      <x:c r="F310" s="10" t="n">
        <x:f>SUM(XLOOKUP('포켓몬_편집'!$AF310:$AN310,'분류_규칙'!$A$5:$A$76,'분류_규칙'!$F$5:$F$76,0))</x:f>
        <x:v>7</x:v>
      </x:c>
      <x:c r="G310" s="10" t="n">
        <x:f>SUM(XLOOKUP('포켓몬_편집'!$AF310:$AN310,'분류_규칙'!$A$5:$A$76,'분류_규칙'!$G$5:$G$76,0))</x:f>
        <x:v>5</x:v>
      </x:c>
      <x:c r="H310" s="10" t="n">
        <x:f>SUM(XLOOKUP('포켓몬_편집'!$AF310:$AN310,'분류_규칙'!$A$5:$A$76,'분류_규칙'!$H$5:$H$76,0))</x:f>
        <x:v>5</x:v>
      </x:c>
      <x:c r="I310" s="10" t="n">
        <x:f>SUM(XLOOKUP('포켓몬_편집'!$AF310:$AN310,'분류_규칙'!$A$5:$A$76,'분류_규칙'!$I$5:$I$76,0))</x:f>
        <x:v>0</x:v>
      </x:c>
      <x:c r="J310" s="10" t="n">
        <x:f>SUM(XLOOKUP('포켓몬_편집'!$AF310:$AN310,'분류_규칙'!$A$5:$A$76,'분류_규칙'!$J$5:$J$76,0))</x:f>
        <x:v>2</x:v>
      </x:c>
      <x:c r="K310" s="10" t="n">
        <x:f>SUM(XLOOKUP('포켓몬_편집'!$AF310:$AN310,'분류_규칙'!$A$5:$A$76,'분류_규칙'!$K$5:$K$76,0))</x:f>
        <x:v>0</x:v>
      </x:c>
      <x:c r="L310" s="10" t="n">
        <x:f>SUM(XLOOKUP('포켓몬_편집'!$AF310:$AN310,'분류_규칙'!$A$5:$A$76,'분류_규칙'!$L$5:$L$76,0))</x:f>
        <x:v>0</x:v>
      </x:c>
      <x:c r="M310" s="10" t="n">
        <x:f>SUM(XLOOKUP('포켓몬_편집'!$AF310:$AN310,'분류_규칙'!$A$5:$A$76,'분류_규칙'!$M$5:$M$76,0))</x:f>
        <x:v>0</x:v>
      </x:c>
      <x:c r="N310" s="10" t="n">
        <x:f>SUM(XLOOKUP('포켓몬_편집'!$AF310:$AN310,'분류_규칙'!$A$5:$A$76,'분류_규칙'!$N$5:$N$76,0))</x:f>
        <x:v>0</x:v>
      </x:c>
      <x:c r="O310" s="10" t="n">
        <x:f>SUM(XLOOKUP('포켓몬_편집'!$AF310:$AN310,'분류_규칙'!$A$5:$A$76,'분류_규칙'!$O$5:$O$76,0))</x:f>
        <x:v>2</x:v>
      </x:c>
      <x:c r="P310" s="10" t="n">
        <x:f>SUM(XLOOKUP('포켓몬_편집'!$AF310:$AN310,'분류_규칙'!$A$5:$A$76,'분류_규칙'!$P$5:$P$76,0))</x:f>
        <x:v>0</x:v>
      </x:c>
    </x:row>
    <x:row r="311" ht="22" customHeight="1">
      <x:c r="A311" s="5" t="n">
        <x:v>307</x:v>
      </x:c>
      <x:c r="B311" s="5" t="inlineStr">
        <x:is>
          <x:t xml:space="preserve">요가랑</x:t>
        </x:is>
      </x:c>
      <x:c r="C311" s="5" t="inlineStr">
        <x:is>
          <x:t xml:space="preserve">meditite</x:t>
        </x:is>
      </x:c>
      <x:c r="D311" s="5" t="n">
        <x:v>3</x:v>
      </x:c>
      <x:c r="E311" s="10" t="n">
        <x:f>SUM(XLOOKUP('포켓몬_편집'!$AF311:$AN311,'분류_규칙'!$A$5:$A$76,'분류_규칙'!$E$5:$E$76,0))</x:f>
        <x:v>10</x:v>
      </x:c>
      <x:c r="F311" s="10" t="n">
        <x:f>SUM(XLOOKUP('포켓몬_편집'!$AF311:$AN311,'분류_규칙'!$A$5:$A$76,'분류_규칙'!$F$5:$F$76,0))</x:f>
        <x:v>7</x:v>
      </x:c>
      <x:c r="G311" s="10" t="n">
        <x:f>SUM(XLOOKUP('포켓몬_편집'!$AF311:$AN311,'분류_규칙'!$A$5:$A$76,'분류_규칙'!$G$5:$G$76,0))</x:f>
        <x:v>5</x:v>
      </x:c>
      <x:c r="H311" s="10" t="n">
        <x:f>SUM(XLOOKUP('포켓몬_편집'!$AF311:$AN311,'분류_규칙'!$A$5:$A$76,'분류_규칙'!$H$5:$H$76,0))</x:f>
        <x:v>5</x:v>
      </x:c>
      <x:c r="I311" s="10" t="n">
        <x:f>SUM(XLOOKUP('포켓몬_편집'!$AF311:$AN311,'분류_규칙'!$A$5:$A$76,'분류_규칙'!$I$5:$I$76,0))</x:f>
        <x:v>0</x:v>
      </x:c>
      <x:c r="J311" s="10" t="n">
        <x:f>SUM(XLOOKUP('포켓몬_편집'!$AF311:$AN311,'분류_규칙'!$A$5:$A$76,'분류_규칙'!$J$5:$J$76,0))</x:f>
        <x:v>2</x:v>
      </x:c>
      <x:c r="K311" s="10" t="n">
        <x:f>SUM(XLOOKUP('포켓몬_편집'!$AF311:$AN311,'분류_규칙'!$A$5:$A$76,'분류_규칙'!$K$5:$K$76,0))</x:f>
        <x:v>0</x:v>
      </x:c>
      <x:c r="L311" s="10" t="n">
        <x:f>SUM(XLOOKUP('포켓몬_편집'!$AF311:$AN311,'분류_규칙'!$A$5:$A$76,'분류_규칙'!$L$5:$L$76,0))</x:f>
        <x:v>0</x:v>
      </x:c>
      <x:c r="M311" s="10" t="n">
        <x:f>SUM(XLOOKUP('포켓몬_편집'!$AF311:$AN311,'분류_규칙'!$A$5:$A$76,'분류_규칙'!$M$5:$M$76,0))</x:f>
        <x:v>0</x:v>
      </x:c>
      <x:c r="N311" s="10" t="n">
        <x:f>SUM(XLOOKUP('포켓몬_편집'!$AF311:$AN311,'분류_규칙'!$A$5:$A$76,'분류_규칙'!$N$5:$N$76,0))</x:f>
        <x:v>0</x:v>
      </x:c>
      <x:c r="O311" s="10" t="n">
        <x:f>SUM(XLOOKUP('포켓몬_편집'!$AF311:$AN311,'분류_규칙'!$A$5:$A$76,'분류_규칙'!$O$5:$O$76,0))</x:f>
        <x:v>2</x:v>
      </x:c>
      <x:c r="P311" s="10" t="n">
        <x:f>SUM(XLOOKUP('포켓몬_편집'!$AF311:$AN311,'분류_규칙'!$A$5:$A$76,'분류_규칙'!$P$5:$P$76,0))</x:f>
        <x:v>0</x:v>
      </x:c>
    </x:row>
    <x:row r="312" ht="22" customHeight="1">
      <x:c r="A312" s="5" t="n">
        <x:v>308</x:v>
      </x:c>
      <x:c r="B312" s="5" t="inlineStr">
        <x:is>
          <x:t xml:space="preserve">요가램</x:t>
        </x:is>
      </x:c>
      <x:c r="C312" s="5" t="inlineStr">
        <x:is>
          <x:t xml:space="preserve">medicham</x:t>
        </x:is>
      </x:c>
      <x:c r="D312" s="5" t="n">
        <x:v>3</x:v>
      </x:c>
      <x:c r="E312" s="10" t="n">
        <x:f>SUM(XLOOKUP('포켓몬_편집'!$AF312:$AN312,'분류_규칙'!$A$5:$A$76,'분류_규칙'!$E$5:$E$76,0))</x:f>
        <x:v>10</x:v>
      </x:c>
      <x:c r="F312" s="10" t="n">
        <x:f>SUM(XLOOKUP('포켓몬_편집'!$AF312:$AN312,'분류_규칙'!$A$5:$A$76,'분류_규칙'!$F$5:$F$76,0))</x:f>
        <x:v>7</x:v>
      </x:c>
      <x:c r="G312" s="10" t="n">
        <x:f>SUM(XLOOKUP('포켓몬_편집'!$AF312:$AN312,'분류_규칙'!$A$5:$A$76,'분류_규칙'!$G$5:$G$76,0))</x:f>
        <x:v>5</x:v>
      </x:c>
      <x:c r="H312" s="10" t="n">
        <x:f>SUM(XLOOKUP('포켓몬_편집'!$AF312:$AN312,'분류_규칙'!$A$5:$A$76,'분류_규칙'!$H$5:$H$76,0))</x:f>
        <x:v>5</x:v>
      </x:c>
      <x:c r="I312" s="10" t="n">
        <x:f>SUM(XLOOKUP('포켓몬_편집'!$AF312:$AN312,'분류_규칙'!$A$5:$A$76,'분류_규칙'!$I$5:$I$76,0))</x:f>
        <x:v>0</x:v>
      </x:c>
      <x:c r="J312" s="10" t="n">
        <x:f>SUM(XLOOKUP('포켓몬_편집'!$AF312:$AN312,'분류_규칙'!$A$5:$A$76,'분류_규칙'!$J$5:$J$76,0))</x:f>
        <x:v>2</x:v>
      </x:c>
      <x:c r="K312" s="10" t="n">
        <x:f>SUM(XLOOKUP('포켓몬_편집'!$AF312:$AN312,'분류_규칙'!$A$5:$A$76,'분류_규칙'!$K$5:$K$76,0))</x:f>
        <x:v>0</x:v>
      </x:c>
      <x:c r="L312" s="10" t="n">
        <x:f>SUM(XLOOKUP('포켓몬_편집'!$AF312:$AN312,'분류_규칙'!$A$5:$A$76,'분류_규칙'!$L$5:$L$76,0))</x:f>
        <x:v>0</x:v>
      </x:c>
      <x:c r="M312" s="10" t="n">
        <x:f>SUM(XLOOKUP('포켓몬_편집'!$AF312:$AN312,'분류_규칙'!$A$5:$A$76,'분류_규칙'!$M$5:$M$76,0))</x:f>
        <x:v>0</x:v>
      </x:c>
      <x:c r="N312" s="10" t="n">
        <x:f>SUM(XLOOKUP('포켓몬_편집'!$AF312:$AN312,'분류_규칙'!$A$5:$A$76,'분류_규칙'!$N$5:$N$76,0))</x:f>
        <x:v>0</x:v>
      </x:c>
      <x:c r="O312" s="10" t="n">
        <x:f>SUM(XLOOKUP('포켓몬_편집'!$AF312:$AN312,'분류_규칙'!$A$5:$A$76,'분류_규칙'!$O$5:$O$76,0))</x:f>
        <x:v>2</x:v>
      </x:c>
      <x:c r="P312" s="10" t="n">
        <x:f>SUM(XLOOKUP('포켓몬_편집'!$AF312:$AN312,'분류_규칙'!$A$5:$A$76,'분류_규칙'!$P$5:$P$76,0))</x:f>
        <x:v>0</x:v>
      </x:c>
    </x:row>
    <x:row r="313" ht="22" customHeight="1">
      <x:c r="A313" s="5" t="n">
        <x:v>309</x:v>
      </x:c>
      <x:c r="B313" s="5" t="inlineStr">
        <x:is>
          <x:t xml:space="preserve">썬더라이</x:t>
        </x:is>
      </x:c>
      <x:c r="C313" s="5" t="inlineStr">
        <x:is>
          <x:t xml:space="preserve">electrike</x:t>
        </x:is>
      </x:c>
      <x:c r="D313" s="5" t="n">
        <x:v>3</x:v>
      </x:c>
      <x:c r="E313" s="10" t="n">
        <x:f>SUM(XLOOKUP('포켓몬_편집'!$AF313:$AN313,'분류_규칙'!$A$5:$A$76,'분류_규칙'!$E$5:$E$76,0))</x:f>
        <x:v>10</x:v>
      </x:c>
      <x:c r="F313" s="10" t="n">
        <x:f>SUM(XLOOKUP('포켓몬_편집'!$AF313:$AN313,'분류_규칙'!$A$5:$A$76,'분류_규칙'!$F$5:$F$76,0))</x:f>
        <x:v>7</x:v>
      </x:c>
      <x:c r="G313" s="10" t="n">
        <x:f>SUM(XLOOKUP('포켓몬_편집'!$AF313:$AN313,'분류_규칙'!$A$5:$A$76,'분류_규칙'!$G$5:$G$76,0))</x:f>
        <x:v>5</x:v>
      </x:c>
      <x:c r="H313" s="10" t="n">
        <x:f>SUM(XLOOKUP('포켓몬_편집'!$AF313:$AN313,'분류_규칙'!$A$5:$A$76,'분류_규칙'!$H$5:$H$76,0))</x:f>
        <x:v>5</x:v>
      </x:c>
      <x:c r="I313" s="10" t="n">
        <x:f>SUM(XLOOKUP('포켓몬_편집'!$AF313:$AN313,'분류_규칙'!$A$5:$A$76,'분류_규칙'!$I$5:$I$76,0))</x:f>
        <x:v>0</x:v>
      </x:c>
      <x:c r="J313" s="10" t="n">
        <x:f>SUM(XLOOKUP('포켓몬_편집'!$AF313:$AN313,'분류_규칙'!$A$5:$A$76,'분류_규칙'!$J$5:$J$76,0))</x:f>
        <x:v>2</x:v>
      </x:c>
      <x:c r="K313" s="10" t="n">
        <x:f>SUM(XLOOKUP('포켓몬_편집'!$AF313:$AN313,'분류_규칙'!$A$5:$A$76,'분류_규칙'!$K$5:$K$76,0))</x:f>
        <x:v>0</x:v>
      </x:c>
      <x:c r="L313" s="10" t="n">
        <x:f>SUM(XLOOKUP('포켓몬_편집'!$AF313:$AN313,'분류_규칙'!$A$5:$A$76,'분류_규칙'!$L$5:$L$76,0))</x:f>
        <x:v>0</x:v>
      </x:c>
      <x:c r="M313" s="10" t="n">
        <x:f>SUM(XLOOKUP('포켓몬_편집'!$AF313:$AN313,'분류_규칙'!$A$5:$A$76,'분류_규칙'!$M$5:$M$76,0))</x:f>
        <x:v>0</x:v>
      </x:c>
      <x:c r="N313" s="10" t="n">
        <x:f>SUM(XLOOKUP('포켓몬_편집'!$AF313:$AN313,'분류_규칙'!$A$5:$A$76,'분류_규칙'!$N$5:$N$76,0))</x:f>
        <x:v>0</x:v>
      </x:c>
      <x:c r="O313" s="10" t="n">
        <x:f>SUM(XLOOKUP('포켓몬_편집'!$AF313:$AN313,'분류_규칙'!$A$5:$A$76,'분류_규칙'!$O$5:$O$76,0))</x:f>
        <x:v>2</x:v>
      </x:c>
      <x:c r="P313" s="10" t="n">
        <x:f>SUM(XLOOKUP('포켓몬_편집'!$AF313:$AN313,'분류_규칙'!$A$5:$A$76,'분류_규칙'!$P$5:$P$76,0))</x:f>
        <x:v>0</x:v>
      </x:c>
    </x:row>
    <x:row r="314" ht="22" customHeight="1">
      <x:c r="A314" s="5" t="n">
        <x:v>310</x:v>
      </x:c>
      <x:c r="B314" s="5" t="inlineStr">
        <x:is>
          <x:t xml:space="preserve">썬더볼트</x:t>
        </x:is>
      </x:c>
      <x:c r="C314" s="5" t="inlineStr">
        <x:is>
          <x:t xml:space="preserve">manectric</x:t>
        </x:is>
      </x:c>
      <x:c r="D314" s="5" t="n">
        <x:v>3</x:v>
      </x:c>
      <x:c r="E314" s="10" t="n">
        <x:f>SUM(XLOOKUP('포켓몬_편집'!$AF314:$AN314,'분류_규칙'!$A$5:$A$76,'분류_규칙'!$E$5:$E$76,0))</x:f>
        <x:v>10</x:v>
      </x:c>
      <x:c r="F314" s="10" t="n">
        <x:f>SUM(XLOOKUP('포켓몬_편집'!$AF314:$AN314,'분류_규칙'!$A$5:$A$76,'분류_규칙'!$F$5:$F$76,0))</x:f>
        <x:v>7</x:v>
      </x:c>
      <x:c r="G314" s="10" t="n">
        <x:f>SUM(XLOOKUP('포켓몬_편집'!$AF314:$AN314,'분류_규칙'!$A$5:$A$76,'분류_규칙'!$G$5:$G$76,0))</x:f>
        <x:v>5</x:v>
      </x:c>
      <x:c r="H314" s="10" t="n">
        <x:f>SUM(XLOOKUP('포켓몬_편집'!$AF314:$AN314,'분류_규칙'!$A$5:$A$76,'분류_규칙'!$H$5:$H$76,0))</x:f>
        <x:v>5</x:v>
      </x:c>
      <x:c r="I314" s="10" t="n">
        <x:f>SUM(XLOOKUP('포켓몬_편집'!$AF314:$AN314,'분류_규칙'!$A$5:$A$76,'분류_규칙'!$I$5:$I$76,0))</x:f>
        <x:v>0</x:v>
      </x:c>
      <x:c r="J314" s="10" t="n">
        <x:f>SUM(XLOOKUP('포켓몬_편집'!$AF314:$AN314,'분류_규칙'!$A$5:$A$76,'분류_규칙'!$J$5:$J$76,0))</x:f>
        <x:v>2</x:v>
      </x:c>
      <x:c r="K314" s="10" t="n">
        <x:f>SUM(XLOOKUP('포켓몬_편집'!$AF314:$AN314,'분류_규칙'!$A$5:$A$76,'분류_규칙'!$K$5:$K$76,0))</x:f>
        <x:v>0</x:v>
      </x:c>
      <x:c r="L314" s="10" t="n">
        <x:f>SUM(XLOOKUP('포켓몬_편집'!$AF314:$AN314,'분류_규칙'!$A$5:$A$76,'분류_규칙'!$L$5:$L$76,0))</x:f>
        <x:v>0</x:v>
      </x:c>
      <x:c r="M314" s="10" t="n">
        <x:f>SUM(XLOOKUP('포켓몬_편집'!$AF314:$AN314,'분류_규칙'!$A$5:$A$76,'분류_규칙'!$M$5:$M$76,0))</x:f>
        <x:v>0</x:v>
      </x:c>
      <x:c r="N314" s="10" t="n">
        <x:f>SUM(XLOOKUP('포켓몬_편집'!$AF314:$AN314,'분류_규칙'!$A$5:$A$76,'분류_규칙'!$N$5:$N$76,0))</x:f>
        <x:v>0</x:v>
      </x:c>
      <x:c r="O314" s="10" t="n">
        <x:f>SUM(XLOOKUP('포켓몬_편집'!$AF314:$AN314,'분류_규칙'!$A$5:$A$76,'분류_규칙'!$O$5:$O$76,0))</x:f>
        <x:v>2</x:v>
      </x:c>
      <x:c r="P314" s="10" t="n">
        <x:f>SUM(XLOOKUP('포켓몬_편집'!$AF314:$AN314,'분류_규칙'!$A$5:$A$76,'분류_규칙'!$P$5:$P$76,0))</x:f>
        <x:v>0</x:v>
      </x:c>
    </x:row>
    <x:row r="315" ht="22" customHeight="1">
      <x:c r="A315" s="5" t="n">
        <x:v>311</x:v>
      </x:c>
      <x:c r="B315" s="5" t="inlineStr">
        <x:is>
          <x:t xml:space="preserve">플러시</x:t>
        </x:is>
      </x:c>
      <x:c r="C315" s="5" t="inlineStr">
        <x:is>
          <x:t xml:space="preserve">plusle</x:t>
        </x:is>
      </x:c>
      <x:c r="D315" s="5" t="n">
        <x:v>3</x:v>
      </x:c>
      <x:c r="E315" s="10" t="n">
        <x:f>SUM(XLOOKUP('포켓몬_편집'!$AF315:$AN315,'분류_규칙'!$A$5:$A$76,'분류_규칙'!$E$5:$E$76,0))</x:f>
        <x:v>10</x:v>
      </x:c>
      <x:c r="F315" s="10" t="n">
        <x:f>SUM(XLOOKUP('포켓몬_편집'!$AF315:$AN315,'분류_규칙'!$A$5:$A$76,'분류_규칙'!$F$5:$F$76,0))</x:f>
        <x:v>7</x:v>
      </x:c>
      <x:c r="G315" s="10" t="n">
        <x:f>SUM(XLOOKUP('포켓몬_편집'!$AF315:$AN315,'분류_규칙'!$A$5:$A$76,'분류_규칙'!$G$5:$G$76,0))</x:f>
        <x:v>5</x:v>
      </x:c>
      <x:c r="H315" s="10" t="n">
        <x:f>SUM(XLOOKUP('포켓몬_편집'!$AF315:$AN315,'분류_규칙'!$A$5:$A$76,'분류_규칙'!$H$5:$H$76,0))</x:f>
        <x:v>5</x:v>
      </x:c>
      <x:c r="I315" s="10" t="n">
        <x:f>SUM(XLOOKUP('포켓몬_편집'!$AF315:$AN315,'분류_규칙'!$A$5:$A$76,'분류_규칙'!$I$5:$I$76,0))</x:f>
        <x:v>0</x:v>
      </x:c>
      <x:c r="J315" s="10" t="n">
        <x:f>SUM(XLOOKUP('포켓몬_편집'!$AF315:$AN315,'분류_규칙'!$A$5:$A$76,'분류_규칙'!$J$5:$J$76,0))</x:f>
        <x:v>2</x:v>
      </x:c>
      <x:c r="K315" s="10" t="n">
        <x:f>SUM(XLOOKUP('포켓몬_편집'!$AF315:$AN315,'분류_규칙'!$A$5:$A$76,'분류_규칙'!$K$5:$K$76,0))</x:f>
        <x:v>0</x:v>
      </x:c>
      <x:c r="L315" s="10" t="n">
        <x:f>SUM(XLOOKUP('포켓몬_편집'!$AF315:$AN315,'분류_규칙'!$A$5:$A$76,'분류_규칙'!$L$5:$L$76,0))</x:f>
        <x:v>0</x:v>
      </x:c>
      <x:c r="M315" s="10" t="n">
        <x:f>SUM(XLOOKUP('포켓몬_편집'!$AF315:$AN315,'분류_규칙'!$A$5:$A$76,'분류_규칙'!$M$5:$M$76,0))</x:f>
        <x:v>0</x:v>
      </x:c>
      <x:c r="N315" s="10" t="n">
        <x:f>SUM(XLOOKUP('포켓몬_편집'!$AF315:$AN315,'분류_규칙'!$A$5:$A$76,'분류_규칙'!$N$5:$N$76,0))</x:f>
        <x:v>0</x:v>
      </x:c>
      <x:c r="O315" s="10" t="n">
        <x:f>SUM(XLOOKUP('포켓몬_편집'!$AF315:$AN315,'분류_규칙'!$A$5:$A$76,'분류_규칙'!$O$5:$O$76,0))</x:f>
        <x:v>2</x:v>
      </x:c>
      <x:c r="P315" s="10" t="n">
        <x:f>SUM(XLOOKUP('포켓몬_편집'!$AF315:$AN315,'분류_규칙'!$A$5:$A$76,'분류_규칙'!$P$5:$P$76,0))</x:f>
        <x:v>0</x:v>
      </x:c>
    </x:row>
    <x:row r="316" ht="22" customHeight="1">
      <x:c r="A316" s="5" t="n">
        <x:v>312</x:v>
      </x:c>
      <x:c r="B316" s="5" t="inlineStr">
        <x:is>
          <x:t xml:space="preserve">마이농</x:t>
        </x:is>
      </x:c>
      <x:c r="C316" s="5" t="inlineStr">
        <x:is>
          <x:t xml:space="preserve">minun</x:t>
        </x:is>
      </x:c>
      <x:c r="D316" s="5" t="n">
        <x:v>3</x:v>
      </x:c>
      <x:c r="E316" s="10" t="n">
        <x:f>SUM(XLOOKUP('포켓몬_편집'!$AF316:$AN316,'분류_규칙'!$A$5:$A$76,'분류_규칙'!$E$5:$E$76,0))</x:f>
        <x:v>10</x:v>
      </x:c>
      <x:c r="F316" s="10" t="n">
        <x:f>SUM(XLOOKUP('포켓몬_편집'!$AF316:$AN316,'분류_규칙'!$A$5:$A$76,'분류_규칙'!$F$5:$F$76,0))</x:f>
        <x:v>7</x:v>
      </x:c>
      <x:c r="G316" s="10" t="n">
        <x:f>SUM(XLOOKUP('포켓몬_편집'!$AF316:$AN316,'분류_규칙'!$A$5:$A$76,'분류_규칙'!$G$5:$G$76,0))</x:f>
        <x:v>5</x:v>
      </x:c>
      <x:c r="H316" s="10" t="n">
        <x:f>SUM(XLOOKUP('포켓몬_편집'!$AF316:$AN316,'분류_규칙'!$A$5:$A$76,'분류_규칙'!$H$5:$H$76,0))</x:f>
        <x:v>5</x:v>
      </x:c>
      <x:c r="I316" s="10" t="n">
        <x:f>SUM(XLOOKUP('포켓몬_편집'!$AF316:$AN316,'분류_규칙'!$A$5:$A$76,'분류_규칙'!$I$5:$I$76,0))</x:f>
        <x:v>0</x:v>
      </x:c>
      <x:c r="J316" s="10" t="n">
        <x:f>SUM(XLOOKUP('포켓몬_편집'!$AF316:$AN316,'분류_규칙'!$A$5:$A$76,'분류_규칙'!$J$5:$J$76,0))</x:f>
        <x:v>2</x:v>
      </x:c>
      <x:c r="K316" s="10" t="n">
        <x:f>SUM(XLOOKUP('포켓몬_편집'!$AF316:$AN316,'분류_규칙'!$A$5:$A$76,'분류_규칙'!$K$5:$K$76,0))</x:f>
        <x:v>0</x:v>
      </x:c>
      <x:c r="L316" s="10" t="n">
        <x:f>SUM(XLOOKUP('포켓몬_편집'!$AF316:$AN316,'분류_규칙'!$A$5:$A$76,'분류_규칙'!$L$5:$L$76,0))</x:f>
        <x:v>0</x:v>
      </x:c>
      <x:c r="M316" s="10" t="n">
        <x:f>SUM(XLOOKUP('포켓몬_편집'!$AF316:$AN316,'분류_규칙'!$A$5:$A$76,'분류_규칙'!$M$5:$M$76,0))</x:f>
        <x:v>0</x:v>
      </x:c>
      <x:c r="N316" s="10" t="n">
        <x:f>SUM(XLOOKUP('포켓몬_편집'!$AF316:$AN316,'분류_규칙'!$A$5:$A$76,'분류_규칙'!$N$5:$N$76,0))</x:f>
        <x:v>0</x:v>
      </x:c>
      <x:c r="O316" s="10" t="n">
        <x:f>SUM(XLOOKUP('포켓몬_편집'!$AF316:$AN316,'분류_규칙'!$A$5:$A$76,'분류_규칙'!$O$5:$O$76,0))</x:f>
        <x:v>2</x:v>
      </x:c>
      <x:c r="P316" s="10" t="n">
        <x:f>SUM(XLOOKUP('포켓몬_편집'!$AF316:$AN316,'분류_규칙'!$A$5:$A$76,'분류_규칙'!$P$5:$P$76,0))</x:f>
        <x:v>0</x:v>
      </x:c>
    </x:row>
    <x:row r="317" ht="22" customHeight="1">
      <x:c r="A317" s="5" t="n">
        <x:v>313</x:v>
      </x:c>
      <x:c r="B317" s="5" t="inlineStr">
        <x:is>
          <x:t xml:space="preserve">볼비트</x:t>
        </x:is>
      </x:c>
      <x:c r="C317" s="5" t="inlineStr">
        <x:is>
          <x:t xml:space="preserve">volbeat</x:t>
        </x:is>
      </x:c>
      <x:c r="D317" s="5" t="n">
        <x:v>3</x:v>
      </x:c>
      <x:c r="E317" s="10" t="n">
        <x:f>SUM(XLOOKUP('포켓몬_편집'!$AF317:$AN317,'분류_규칙'!$A$5:$A$76,'분류_규칙'!$E$5:$E$76,0))</x:f>
        <x:v>0</x:v>
      </x:c>
      <x:c r="F317" s="10" t="n">
        <x:f>SUM(XLOOKUP('포켓몬_편집'!$AF317:$AN317,'분류_규칙'!$A$5:$A$76,'분류_규칙'!$F$5:$F$76,0))</x:f>
        <x:v>0</x:v>
      </x:c>
      <x:c r="G317" s="10" t="n">
        <x:f>SUM(XLOOKUP('포켓몬_편집'!$AF317:$AN317,'분류_규칙'!$A$5:$A$76,'분류_규칙'!$G$5:$G$76,0))</x:f>
        <x:v>0</x:v>
      </x:c>
      <x:c r="H317" s="10" t="n">
        <x:f>SUM(XLOOKUP('포켓몬_편집'!$AF317:$AN317,'분류_규칙'!$A$5:$A$76,'분류_규칙'!$H$5:$H$76,0))</x:f>
        <x:v>0</x:v>
      </x:c>
      <x:c r="I317" s="10" t="n">
        <x:f>SUM(XLOOKUP('포켓몬_편집'!$AF317:$AN317,'분류_규칙'!$A$5:$A$76,'분류_규칙'!$I$5:$I$76,0))</x:f>
        <x:v>0</x:v>
      </x:c>
      <x:c r="J317" s="10" t="n">
        <x:f>SUM(XLOOKUP('포켓몬_편집'!$AF317:$AN317,'분류_규칙'!$A$5:$A$76,'분류_규칙'!$J$5:$J$76,0))</x:f>
        <x:v>12</x:v>
      </x:c>
      <x:c r="K317" s="10" t="n">
        <x:f>SUM(XLOOKUP('포켓몬_편집'!$AF317:$AN317,'분류_규칙'!$A$5:$A$76,'분류_규칙'!$K$5:$K$76,0))</x:f>
        <x:v>30</x:v>
      </x:c>
      <x:c r="L317" s="10" t="n">
        <x:f>SUM(XLOOKUP('포켓몬_편집'!$AF317:$AN317,'분류_규칙'!$A$5:$A$76,'분류_규칙'!$L$5:$L$76,0))</x:f>
        <x:v>0</x:v>
      </x:c>
      <x:c r="M317" s="10" t="n">
        <x:f>SUM(XLOOKUP('포켓몬_편집'!$AF317:$AN317,'분류_규칙'!$A$5:$A$76,'분류_규칙'!$M$5:$M$76,0))</x:f>
        <x:v>0</x:v>
      </x:c>
      <x:c r="N317" s="10" t="n">
        <x:f>SUM(XLOOKUP('포켓몬_편집'!$AF317:$AN317,'분류_규칙'!$A$5:$A$76,'분류_규칙'!$N$5:$N$76,0))</x:f>
        <x:v>0</x:v>
      </x:c>
      <x:c r="O317" s="10" t="n">
        <x:f>SUM(XLOOKUP('포켓몬_편집'!$AF317:$AN317,'분류_규칙'!$A$5:$A$76,'분류_규칙'!$O$5:$O$76,0))</x:f>
        <x:v>0</x:v>
      </x:c>
      <x:c r="P317" s="10" t="n">
        <x:f>SUM(XLOOKUP('포켓몬_편집'!$AF317:$AN317,'분류_규칙'!$A$5:$A$76,'분류_규칙'!$P$5:$P$76,0))</x:f>
        <x:v>0</x:v>
      </x:c>
    </x:row>
    <x:row r="318" ht="22" customHeight="1">
      <x:c r="A318" s="5" t="n">
        <x:v>314</x:v>
      </x:c>
      <x:c r="B318" s="5" t="inlineStr">
        <x:is>
          <x:t xml:space="preserve">네오비트</x:t>
        </x:is>
      </x:c>
      <x:c r="C318" s="5" t="inlineStr">
        <x:is>
          <x:t xml:space="preserve">illumise</x:t>
        </x:is>
      </x:c>
      <x:c r="D318" s="5" t="n">
        <x:v>3</x:v>
      </x:c>
      <x:c r="E318" s="10" t="n">
        <x:f>SUM(XLOOKUP('포켓몬_편집'!$AF318:$AN318,'분류_규칙'!$A$5:$A$76,'분류_규칙'!$E$5:$E$76,0))</x:f>
        <x:v>0</x:v>
      </x:c>
      <x:c r="F318" s="10" t="n">
        <x:f>SUM(XLOOKUP('포켓몬_편집'!$AF318:$AN318,'분류_규칙'!$A$5:$A$76,'분류_규칙'!$F$5:$F$76,0))</x:f>
        <x:v>0</x:v>
      </x:c>
      <x:c r="G318" s="10" t="n">
        <x:f>SUM(XLOOKUP('포켓몬_편집'!$AF318:$AN318,'분류_규칙'!$A$5:$A$76,'분류_규칙'!$G$5:$G$76,0))</x:f>
        <x:v>0</x:v>
      </x:c>
      <x:c r="H318" s="10" t="n">
        <x:f>SUM(XLOOKUP('포켓몬_편집'!$AF318:$AN318,'분류_규칙'!$A$5:$A$76,'분류_규칙'!$H$5:$H$76,0))</x:f>
        <x:v>0</x:v>
      </x:c>
      <x:c r="I318" s="10" t="n">
        <x:f>SUM(XLOOKUP('포켓몬_편집'!$AF318:$AN318,'분류_규칙'!$A$5:$A$76,'분류_규칙'!$I$5:$I$76,0))</x:f>
        <x:v>0</x:v>
      </x:c>
      <x:c r="J318" s="10" t="n">
        <x:f>SUM(XLOOKUP('포켓몬_편집'!$AF318:$AN318,'분류_규칙'!$A$5:$A$76,'분류_규칙'!$J$5:$J$76,0))</x:f>
        <x:v>12</x:v>
      </x:c>
      <x:c r="K318" s="10" t="n">
        <x:f>SUM(XLOOKUP('포켓몬_편집'!$AF318:$AN318,'분류_규칙'!$A$5:$A$76,'분류_규칙'!$K$5:$K$76,0))</x:f>
        <x:v>30</x:v>
      </x:c>
      <x:c r="L318" s="10" t="n">
        <x:f>SUM(XLOOKUP('포켓몬_편집'!$AF318:$AN318,'분류_규칙'!$A$5:$A$76,'분류_규칙'!$L$5:$L$76,0))</x:f>
        <x:v>0</x:v>
      </x:c>
      <x:c r="M318" s="10" t="n">
        <x:f>SUM(XLOOKUP('포켓몬_편집'!$AF318:$AN318,'분류_규칙'!$A$5:$A$76,'분류_규칙'!$M$5:$M$76,0))</x:f>
        <x:v>0</x:v>
      </x:c>
      <x:c r="N318" s="10" t="n">
        <x:f>SUM(XLOOKUP('포켓몬_편집'!$AF318:$AN318,'분류_규칙'!$A$5:$A$76,'분류_규칙'!$N$5:$N$76,0))</x:f>
        <x:v>0</x:v>
      </x:c>
      <x:c r="O318" s="10" t="n">
        <x:f>SUM(XLOOKUP('포켓몬_편집'!$AF318:$AN318,'분류_규칙'!$A$5:$A$76,'분류_규칙'!$O$5:$O$76,0))</x:f>
        <x:v>0</x:v>
      </x:c>
      <x:c r="P318" s="10" t="n">
        <x:f>SUM(XLOOKUP('포켓몬_편집'!$AF318:$AN318,'분류_규칙'!$A$5:$A$76,'분류_규칙'!$P$5:$P$76,0))</x:f>
        <x:v>0</x:v>
      </x:c>
    </x:row>
    <x:row r="319" ht="22" customHeight="1">
      <x:c r="A319" s="5" t="n">
        <x:v>315</x:v>
      </x:c>
      <x:c r="B319" s="5" t="inlineStr">
        <x:is>
          <x:t xml:space="preserve">로젤리아</x:t>
        </x:is>
      </x:c>
      <x:c r="C319" s="5" t="inlineStr">
        <x:is>
          <x:t xml:space="preserve">roselia</x:t>
        </x:is>
      </x:c>
      <x:c r="D319" s="5" t="n">
        <x:v>3</x:v>
      </x:c>
      <x:c r="E319" s="10" t="n">
        <x:f>SUM(XLOOKUP('포켓몬_편집'!$AF319:$AN319,'분류_규칙'!$A$5:$A$76,'분류_규칙'!$E$5:$E$76,0))</x:f>
        <x:v>10</x:v>
      </x:c>
      <x:c r="F319" s="10" t="n">
        <x:f>SUM(XLOOKUP('포켓몬_편집'!$AF319:$AN319,'분류_규칙'!$A$5:$A$76,'분류_규칙'!$F$5:$F$76,0))</x:f>
        <x:v>7</x:v>
      </x:c>
      <x:c r="G319" s="10" t="n">
        <x:f>SUM(XLOOKUP('포켓몬_편집'!$AF319:$AN319,'분류_규칙'!$A$5:$A$76,'분류_규칙'!$G$5:$G$76,0))</x:f>
        <x:v>5</x:v>
      </x:c>
      <x:c r="H319" s="10" t="n">
        <x:f>SUM(XLOOKUP('포켓몬_편집'!$AF319:$AN319,'분류_규칙'!$A$5:$A$76,'분류_규칙'!$H$5:$H$76,0))</x:f>
        <x:v>5</x:v>
      </x:c>
      <x:c r="I319" s="10" t="n">
        <x:f>SUM(XLOOKUP('포켓몬_편집'!$AF319:$AN319,'분류_규칙'!$A$5:$A$76,'분류_규칙'!$I$5:$I$76,0))</x:f>
        <x:v>0</x:v>
      </x:c>
      <x:c r="J319" s="10" t="n">
        <x:f>SUM(XLOOKUP('포켓몬_편집'!$AF319:$AN319,'분류_규칙'!$A$5:$A$76,'분류_규칙'!$J$5:$J$76,0))</x:f>
        <x:v>2</x:v>
      </x:c>
      <x:c r="K319" s="10" t="n">
        <x:f>SUM(XLOOKUP('포켓몬_편집'!$AF319:$AN319,'분류_규칙'!$A$5:$A$76,'분류_규칙'!$K$5:$K$76,0))</x:f>
        <x:v>0</x:v>
      </x:c>
      <x:c r="L319" s="10" t="n">
        <x:f>SUM(XLOOKUP('포켓몬_편집'!$AF319:$AN319,'분류_규칙'!$A$5:$A$76,'분류_규칙'!$L$5:$L$76,0))</x:f>
        <x:v>0</x:v>
      </x:c>
      <x:c r="M319" s="10" t="n">
        <x:f>SUM(XLOOKUP('포켓몬_편집'!$AF319:$AN319,'분류_규칙'!$A$5:$A$76,'분류_규칙'!$M$5:$M$76,0))</x:f>
        <x:v>0</x:v>
      </x:c>
      <x:c r="N319" s="10" t="n">
        <x:f>SUM(XLOOKUP('포켓몬_편집'!$AF319:$AN319,'분류_규칙'!$A$5:$A$76,'분류_규칙'!$N$5:$N$76,0))</x:f>
        <x:v>0</x:v>
      </x:c>
      <x:c r="O319" s="10" t="n">
        <x:f>SUM(XLOOKUP('포켓몬_편집'!$AF319:$AN319,'분류_규칙'!$A$5:$A$76,'분류_규칙'!$O$5:$O$76,0))</x:f>
        <x:v>2</x:v>
      </x:c>
      <x:c r="P319" s="10" t="n">
        <x:f>SUM(XLOOKUP('포켓몬_편집'!$AF319:$AN319,'분류_규칙'!$A$5:$A$76,'분류_규칙'!$P$5:$P$76,0))</x:f>
        <x:v>0</x:v>
      </x:c>
    </x:row>
    <x:row r="320" ht="22" customHeight="1">
      <x:c r="A320" s="5" t="n">
        <x:v>316</x:v>
      </x:c>
      <x:c r="B320" s="5" t="inlineStr">
        <x:is>
          <x:t xml:space="preserve">꼴깍몬</x:t>
        </x:is>
      </x:c>
      <x:c r="C320" s="5" t="inlineStr">
        <x:is>
          <x:t xml:space="preserve">gulpin</x:t>
        </x:is>
      </x:c>
      <x:c r="D320" s="5" t="n">
        <x:v>3</x:v>
      </x:c>
      <x:c r="E320" s="10" t="n">
        <x:f>SUM(XLOOKUP('포켓몬_편집'!$AF320:$AN320,'분류_규칙'!$A$5:$A$76,'분류_규칙'!$E$5:$E$76,0))</x:f>
        <x:v>10</x:v>
      </x:c>
      <x:c r="F320" s="10" t="n">
        <x:f>SUM(XLOOKUP('포켓몬_편집'!$AF320:$AN320,'분류_규칙'!$A$5:$A$76,'분류_규칙'!$F$5:$F$76,0))</x:f>
        <x:v>7</x:v>
      </x:c>
      <x:c r="G320" s="10" t="n">
        <x:f>SUM(XLOOKUP('포켓몬_편집'!$AF320:$AN320,'분류_규칙'!$A$5:$A$76,'분류_규칙'!$G$5:$G$76,0))</x:f>
        <x:v>5</x:v>
      </x:c>
      <x:c r="H320" s="10" t="n">
        <x:f>SUM(XLOOKUP('포켓몬_편집'!$AF320:$AN320,'분류_규칙'!$A$5:$A$76,'분류_규칙'!$H$5:$H$76,0))</x:f>
        <x:v>5</x:v>
      </x:c>
      <x:c r="I320" s="10" t="n">
        <x:f>SUM(XLOOKUP('포켓몬_편집'!$AF320:$AN320,'분류_규칙'!$A$5:$A$76,'분류_규칙'!$I$5:$I$76,0))</x:f>
        <x:v>0</x:v>
      </x:c>
      <x:c r="J320" s="10" t="n">
        <x:f>SUM(XLOOKUP('포켓몬_편집'!$AF320:$AN320,'분류_규칙'!$A$5:$A$76,'분류_규칙'!$J$5:$J$76,0))</x:f>
        <x:v>2</x:v>
      </x:c>
      <x:c r="K320" s="10" t="n">
        <x:f>SUM(XLOOKUP('포켓몬_편집'!$AF320:$AN320,'분류_규칙'!$A$5:$A$76,'분류_규칙'!$K$5:$K$76,0))</x:f>
        <x:v>0</x:v>
      </x:c>
      <x:c r="L320" s="10" t="n">
        <x:f>SUM(XLOOKUP('포켓몬_편집'!$AF320:$AN320,'분류_규칙'!$A$5:$A$76,'분류_규칙'!$L$5:$L$76,0))</x:f>
        <x:v>0</x:v>
      </x:c>
      <x:c r="M320" s="10" t="n">
        <x:f>SUM(XLOOKUP('포켓몬_편집'!$AF320:$AN320,'분류_규칙'!$A$5:$A$76,'분류_규칙'!$M$5:$M$76,0))</x:f>
        <x:v>0</x:v>
      </x:c>
      <x:c r="N320" s="10" t="n">
        <x:f>SUM(XLOOKUP('포켓몬_편집'!$AF320:$AN320,'분류_규칙'!$A$5:$A$76,'분류_규칙'!$N$5:$N$76,0))</x:f>
        <x:v>0</x:v>
      </x:c>
      <x:c r="O320" s="10" t="n">
        <x:f>SUM(XLOOKUP('포켓몬_편집'!$AF320:$AN320,'분류_규칙'!$A$5:$A$76,'분류_규칙'!$O$5:$O$76,0))</x:f>
        <x:v>2</x:v>
      </x:c>
      <x:c r="P320" s="10" t="n">
        <x:f>SUM(XLOOKUP('포켓몬_편집'!$AF320:$AN320,'분류_규칙'!$A$5:$A$76,'분류_규칙'!$P$5:$P$76,0))</x:f>
        <x:v>0</x:v>
      </x:c>
    </x:row>
    <x:row r="321" ht="22" customHeight="1">
      <x:c r="A321" s="5" t="n">
        <x:v>317</x:v>
      </x:c>
      <x:c r="B321" s="5" t="inlineStr">
        <x:is>
          <x:t xml:space="preserve">꿀꺽몬</x:t>
        </x:is>
      </x:c>
      <x:c r="C321" s="5" t="inlineStr">
        <x:is>
          <x:t xml:space="preserve">swalot</x:t>
        </x:is>
      </x:c>
      <x:c r="D321" s="5" t="n">
        <x:v>3</x:v>
      </x:c>
      <x:c r="E321" s="10" t="n">
        <x:f>SUM(XLOOKUP('포켓몬_편집'!$AF321:$AN321,'분류_규칙'!$A$5:$A$76,'분류_규칙'!$E$5:$E$76,0))</x:f>
        <x:v>10</x:v>
      </x:c>
      <x:c r="F321" s="10" t="n">
        <x:f>SUM(XLOOKUP('포켓몬_편집'!$AF321:$AN321,'분류_규칙'!$A$5:$A$76,'분류_규칙'!$F$5:$F$76,0))</x:f>
        <x:v>7</x:v>
      </x:c>
      <x:c r="G321" s="10" t="n">
        <x:f>SUM(XLOOKUP('포켓몬_편집'!$AF321:$AN321,'분류_규칙'!$A$5:$A$76,'분류_규칙'!$G$5:$G$76,0))</x:f>
        <x:v>5</x:v>
      </x:c>
      <x:c r="H321" s="10" t="n">
        <x:f>SUM(XLOOKUP('포켓몬_편집'!$AF321:$AN321,'분류_규칙'!$A$5:$A$76,'분류_규칙'!$H$5:$H$76,0))</x:f>
        <x:v>5</x:v>
      </x:c>
      <x:c r="I321" s="10" t="n">
        <x:f>SUM(XLOOKUP('포켓몬_편집'!$AF321:$AN321,'분류_규칙'!$A$5:$A$76,'분류_규칙'!$I$5:$I$76,0))</x:f>
        <x:v>0</x:v>
      </x:c>
      <x:c r="J321" s="10" t="n">
        <x:f>SUM(XLOOKUP('포켓몬_편집'!$AF321:$AN321,'분류_규칙'!$A$5:$A$76,'분류_규칙'!$J$5:$J$76,0))</x:f>
        <x:v>2</x:v>
      </x:c>
      <x:c r="K321" s="10" t="n">
        <x:f>SUM(XLOOKUP('포켓몬_편집'!$AF321:$AN321,'분류_규칙'!$A$5:$A$76,'분류_규칙'!$K$5:$K$76,0))</x:f>
        <x:v>0</x:v>
      </x:c>
      <x:c r="L321" s="10" t="n">
        <x:f>SUM(XLOOKUP('포켓몬_편집'!$AF321:$AN321,'분류_규칙'!$A$5:$A$76,'분류_규칙'!$L$5:$L$76,0))</x:f>
        <x:v>0</x:v>
      </x:c>
      <x:c r="M321" s="10" t="n">
        <x:f>SUM(XLOOKUP('포켓몬_편집'!$AF321:$AN321,'분류_규칙'!$A$5:$A$76,'분류_규칙'!$M$5:$M$76,0))</x:f>
        <x:v>0</x:v>
      </x:c>
      <x:c r="N321" s="10" t="n">
        <x:f>SUM(XLOOKUP('포켓몬_편집'!$AF321:$AN321,'분류_규칙'!$A$5:$A$76,'분류_규칙'!$N$5:$N$76,0))</x:f>
        <x:v>0</x:v>
      </x:c>
      <x:c r="O321" s="10" t="n">
        <x:f>SUM(XLOOKUP('포켓몬_편집'!$AF321:$AN321,'분류_규칙'!$A$5:$A$76,'분류_규칙'!$O$5:$O$76,0))</x:f>
        <x:v>2</x:v>
      </x:c>
      <x:c r="P321" s="10" t="n">
        <x:f>SUM(XLOOKUP('포켓몬_편집'!$AF321:$AN321,'분류_규칙'!$A$5:$A$76,'분류_규칙'!$P$5:$P$76,0))</x:f>
        <x:v>0</x:v>
      </x:c>
    </x:row>
    <x:row r="322" ht="22" customHeight="1">
      <x:c r="A322" s="5" t="n">
        <x:v>318</x:v>
      </x:c>
      <x:c r="B322" s="5" t="inlineStr">
        <x:is>
          <x:t xml:space="preserve">샤프니아</x:t>
        </x:is>
      </x:c>
      <x:c r="C322" s="5" t="inlineStr">
        <x:is>
          <x:t xml:space="preserve">carvanha</x:t>
        </x:is>
      </x:c>
      <x:c r="D322" s="5" t="n">
        <x:v>3</x:v>
      </x:c>
      <x:c r="E322" s="10" t="n">
        <x:f>SUM(XLOOKUP('포켓몬_편집'!$AF322:$AN322,'분류_규칙'!$A$5:$A$76,'분류_규칙'!$E$5:$E$76,0))</x:f>
        <x:v>0</x:v>
      </x:c>
      <x:c r="F322" s="10" t="n">
        <x:f>SUM(XLOOKUP('포켓몬_편집'!$AF322:$AN322,'분류_규칙'!$A$5:$A$76,'분류_규칙'!$F$5:$F$76,0))</x:f>
        <x:v>0</x:v>
      </x:c>
      <x:c r="G322" s="10" t="n">
        <x:f>SUM(XLOOKUP('포켓몬_편집'!$AF322:$AN322,'분류_규칙'!$A$5:$A$76,'분류_규칙'!$G$5:$G$76,0))</x:f>
        <x:v>0</x:v>
      </x:c>
      <x:c r="H322" s="10" t="n">
        <x:f>SUM(XLOOKUP('포켓몬_편집'!$AF322:$AN322,'분류_규칙'!$A$5:$A$76,'분류_규칙'!$H$5:$H$76,0))</x:f>
        <x:v>0</x:v>
      </x:c>
      <x:c r="I322" s="10" t="n">
        <x:f>SUM(XLOOKUP('포켓몬_편집'!$AF322:$AN322,'분류_규칙'!$A$5:$A$76,'분류_규칙'!$I$5:$I$76,0))</x:f>
        <x:v>0</x:v>
      </x:c>
      <x:c r="J322" s="10" t="n">
        <x:f>SUM(XLOOKUP('포켓몬_편집'!$AF322:$AN322,'분류_규칙'!$A$5:$A$76,'분류_규칙'!$J$5:$J$76,0))</x:f>
        <x:v>3</x:v>
      </x:c>
      <x:c r="K322" s="10" t="n">
        <x:f>SUM(XLOOKUP('포켓몬_편집'!$AF322:$AN322,'분류_규칙'!$A$5:$A$76,'분류_규칙'!$K$5:$K$76,0))</x:f>
        <x:v>0</x:v>
      </x:c>
      <x:c r="L322" s="10" t="n">
        <x:f>SUM(XLOOKUP('포켓몬_편집'!$AF322:$AN322,'분류_규칙'!$A$5:$A$76,'분류_규칙'!$L$5:$L$76,0))</x:f>
        <x:v>30</x:v>
      </x:c>
      <x:c r="M322" s="10" t="n">
        <x:f>SUM(XLOOKUP('포켓몬_편집'!$AF322:$AN322,'분류_규칙'!$A$5:$A$76,'분류_규칙'!$M$5:$M$76,0))</x:f>
        <x:v>0</x:v>
      </x:c>
      <x:c r="N322" s="10" t="n">
        <x:f>SUM(XLOOKUP('포켓몬_편집'!$AF322:$AN322,'분류_규칙'!$A$5:$A$76,'분류_규칙'!$N$5:$N$76,0))</x:f>
        <x:v>0</x:v>
      </x:c>
      <x:c r="O322" s="10" t="n">
        <x:f>SUM(XLOOKUP('포켓몬_편집'!$AF322:$AN322,'분류_규칙'!$A$5:$A$76,'분류_규칙'!$O$5:$O$76,0))</x:f>
        <x:v>0</x:v>
      </x:c>
      <x:c r="P322" s="10" t="n">
        <x:f>SUM(XLOOKUP('포켓몬_편집'!$AF322:$AN322,'분류_규칙'!$A$5:$A$76,'분류_규칙'!$P$5:$P$76,0))</x:f>
        <x:v>0</x:v>
      </x:c>
    </x:row>
    <x:row r="323" ht="22" customHeight="1">
      <x:c r="A323" s="5" t="n">
        <x:v>319</x:v>
      </x:c>
      <x:c r="B323" s="5" t="inlineStr">
        <x:is>
          <x:t xml:space="preserve">샤크니아</x:t>
        </x:is>
      </x:c>
      <x:c r="C323" s="5" t="inlineStr">
        <x:is>
          <x:t xml:space="preserve">sharpedo</x:t>
        </x:is>
      </x:c>
      <x:c r="D323" s="5" t="n">
        <x:v>3</x:v>
      </x:c>
      <x:c r="E323" s="10" t="n">
        <x:f>SUM(XLOOKUP('포켓몬_편집'!$AF323:$AN323,'분류_규칙'!$A$5:$A$76,'분류_규칙'!$E$5:$E$76,0))</x:f>
        <x:v>0</x:v>
      </x:c>
      <x:c r="F323" s="10" t="n">
        <x:f>SUM(XLOOKUP('포켓몬_편집'!$AF323:$AN323,'분류_규칙'!$A$5:$A$76,'분류_규칙'!$F$5:$F$76,0))</x:f>
        <x:v>0</x:v>
      </x:c>
      <x:c r="G323" s="10" t="n">
        <x:f>SUM(XLOOKUP('포켓몬_편집'!$AF323:$AN323,'분류_규칙'!$A$5:$A$76,'분류_규칙'!$G$5:$G$76,0))</x:f>
        <x:v>0</x:v>
      </x:c>
      <x:c r="H323" s="10" t="n">
        <x:f>SUM(XLOOKUP('포켓몬_편집'!$AF323:$AN323,'분류_규칙'!$A$5:$A$76,'분류_규칙'!$H$5:$H$76,0))</x:f>
        <x:v>0</x:v>
      </x:c>
      <x:c r="I323" s="10" t="n">
        <x:f>SUM(XLOOKUP('포켓몬_편집'!$AF323:$AN323,'분류_규칙'!$A$5:$A$76,'분류_규칙'!$I$5:$I$76,0))</x:f>
        <x:v>0</x:v>
      </x:c>
      <x:c r="J323" s="10" t="n">
        <x:f>SUM(XLOOKUP('포켓몬_편집'!$AF323:$AN323,'분류_규칙'!$A$5:$A$76,'분류_규칙'!$J$5:$J$76,0))</x:f>
        <x:v>3</x:v>
      </x:c>
      <x:c r="K323" s="10" t="n">
        <x:f>SUM(XLOOKUP('포켓몬_편집'!$AF323:$AN323,'분류_규칙'!$A$5:$A$76,'분류_규칙'!$K$5:$K$76,0))</x:f>
        <x:v>0</x:v>
      </x:c>
      <x:c r="L323" s="10" t="n">
        <x:f>SUM(XLOOKUP('포켓몬_편집'!$AF323:$AN323,'분류_규칙'!$A$5:$A$76,'분류_규칙'!$L$5:$L$76,0))</x:f>
        <x:v>30</x:v>
      </x:c>
      <x:c r="M323" s="10" t="n">
        <x:f>SUM(XLOOKUP('포켓몬_편집'!$AF323:$AN323,'분류_규칙'!$A$5:$A$76,'분류_규칙'!$M$5:$M$76,0))</x:f>
        <x:v>0</x:v>
      </x:c>
      <x:c r="N323" s="10" t="n">
        <x:f>SUM(XLOOKUP('포켓몬_편집'!$AF323:$AN323,'분류_규칙'!$A$5:$A$76,'분류_규칙'!$N$5:$N$76,0))</x:f>
        <x:v>0</x:v>
      </x:c>
      <x:c r="O323" s="10" t="n">
        <x:f>SUM(XLOOKUP('포켓몬_편집'!$AF323:$AN323,'분류_규칙'!$A$5:$A$76,'분류_규칙'!$O$5:$O$76,0))</x:f>
        <x:v>0</x:v>
      </x:c>
      <x:c r="P323" s="10" t="n">
        <x:f>SUM(XLOOKUP('포켓몬_편집'!$AF323:$AN323,'분류_규칙'!$A$5:$A$76,'분류_규칙'!$P$5:$P$76,0))</x:f>
        <x:v>0</x:v>
      </x:c>
    </x:row>
    <x:row r="324" ht="22" customHeight="1">
      <x:c r="A324" s="5" t="n">
        <x:v>320</x:v>
      </x:c>
      <x:c r="B324" s="5" t="inlineStr">
        <x:is>
          <x:t xml:space="preserve">고래왕자</x:t>
        </x:is>
      </x:c>
      <x:c r="C324" s="5" t="inlineStr">
        <x:is>
          <x:t xml:space="preserve">wailmer</x:t>
        </x:is>
      </x:c>
      <x:c r="D324" s="5" t="n">
        <x:v>3</x:v>
      </x:c>
      <x:c r="E324" s="10" t="n">
        <x:f>SUM(XLOOKUP('포켓몬_편집'!$AF324:$AN324,'분류_규칙'!$A$5:$A$76,'분류_규칙'!$E$5:$E$76,0))</x:f>
        <x:v>0</x:v>
      </x:c>
      <x:c r="F324" s="10" t="n">
        <x:f>SUM(XLOOKUP('포켓몬_편집'!$AF324:$AN324,'분류_규칙'!$A$5:$A$76,'분류_규칙'!$F$5:$F$76,0))</x:f>
        <x:v>0</x:v>
      </x:c>
      <x:c r="G324" s="10" t="n">
        <x:f>SUM(XLOOKUP('포켓몬_편집'!$AF324:$AN324,'분류_규칙'!$A$5:$A$76,'분류_규칙'!$G$5:$G$76,0))</x:f>
        <x:v>0</x:v>
      </x:c>
      <x:c r="H324" s="10" t="n">
        <x:f>SUM(XLOOKUP('포켓몬_편집'!$AF324:$AN324,'분류_규칙'!$A$5:$A$76,'분류_규칙'!$H$5:$H$76,0))</x:f>
        <x:v>0</x:v>
      </x:c>
      <x:c r="I324" s="10" t="n">
        <x:f>SUM(XLOOKUP('포켓몬_편집'!$AF324:$AN324,'분류_규칙'!$A$5:$A$76,'분류_규칙'!$I$5:$I$76,0))</x:f>
        <x:v>0</x:v>
      </x:c>
      <x:c r="J324" s="10" t="n">
        <x:f>SUM(XLOOKUP('포켓몬_편집'!$AF324:$AN324,'분류_규칙'!$A$5:$A$76,'분류_규칙'!$J$5:$J$76,0))</x:f>
        <x:v>3</x:v>
      </x:c>
      <x:c r="K324" s="10" t="n">
        <x:f>SUM(XLOOKUP('포켓몬_편집'!$AF324:$AN324,'분류_규칙'!$A$5:$A$76,'분류_규칙'!$K$5:$K$76,0))</x:f>
        <x:v>0</x:v>
      </x:c>
      <x:c r="L324" s="10" t="n">
        <x:f>SUM(XLOOKUP('포켓몬_편집'!$AF324:$AN324,'분류_규칙'!$A$5:$A$76,'분류_규칙'!$L$5:$L$76,0))</x:f>
        <x:v>30</x:v>
      </x:c>
      <x:c r="M324" s="10" t="n">
        <x:f>SUM(XLOOKUP('포켓몬_편집'!$AF324:$AN324,'분류_규칙'!$A$5:$A$76,'분류_규칙'!$M$5:$M$76,0))</x:f>
        <x:v>0</x:v>
      </x:c>
      <x:c r="N324" s="10" t="n">
        <x:f>SUM(XLOOKUP('포켓몬_편집'!$AF324:$AN324,'분류_규칙'!$A$5:$A$76,'분류_규칙'!$N$5:$N$76,0))</x:f>
        <x:v>0</x:v>
      </x:c>
      <x:c r="O324" s="10" t="n">
        <x:f>SUM(XLOOKUP('포켓몬_편집'!$AF324:$AN324,'분류_규칙'!$A$5:$A$76,'분류_규칙'!$O$5:$O$76,0))</x:f>
        <x:v>0</x:v>
      </x:c>
      <x:c r="P324" s="10" t="n">
        <x:f>SUM(XLOOKUP('포켓몬_편집'!$AF324:$AN324,'분류_규칙'!$A$5:$A$76,'분류_규칙'!$P$5:$P$76,0))</x:f>
        <x:v>0</x:v>
      </x:c>
    </x:row>
    <x:row r="325" ht="22" customHeight="1">
      <x:c r="A325" s="5" t="n">
        <x:v>321</x:v>
      </x:c>
      <x:c r="B325" s="5" t="inlineStr">
        <x:is>
          <x:t xml:space="preserve">고래왕</x:t>
        </x:is>
      </x:c>
      <x:c r="C325" s="5" t="inlineStr">
        <x:is>
          <x:t xml:space="preserve">wailord</x:t>
        </x:is>
      </x:c>
      <x:c r="D325" s="5" t="n">
        <x:v>3</x:v>
      </x:c>
      <x:c r="E325" s="10" t="n">
        <x:f>SUM(XLOOKUP('포켓몬_편집'!$AF325:$AN325,'분류_규칙'!$A$5:$A$76,'분류_규칙'!$E$5:$E$76,0))</x:f>
        <x:v>0</x:v>
      </x:c>
      <x:c r="F325" s="10" t="n">
        <x:f>SUM(XLOOKUP('포켓몬_편집'!$AF325:$AN325,'분류_규칙'!$A$5:$A$76,'분류_규칙'!$F$5:$F$76,0))</x:f>
        <x:v>0</x:v>
      </x:c>
      <x:c r="G325" s="10" t="n">
        <x:f>SUM(XLOOKUP('포켓몬_편집'!$AF325:$AN325,'분류_규칙'!$A$5:$A$76,'분류_규칙'!$G$5:$G$76,0))</x:f>
        <x:v>0</x:v>
      </x:c>
      <x:c r="H325" s="10" t="n">
        <x:f>SUM(XLOOKUP('포켓몬_편집'!$AF325:$AN325,'분류_규칙'!$A$5:$A$76,'분류_규칙'!$H$5:$H$76,0))</x:f>
        <x:v>0</x:v>
      </x:c>
      <x:c r="I325" s="10" t="n">
        <x:f>SUM(XLOOKUP('포켓몬_편집'!$AF325:$AN325,'분류_규칙'!$A$5:$A$76,'분류_규칙'!$I$5:$I$76,0))</x:f>
        <x:v>0</x:v>
      </x:c>
      <x:c r="J325" s="10" t="n">
        <x:f>SUM(XLOOKUP('포켓몬_편집'!$AF325:$AN325,'분류_규칙'!$A$5:$A$76,'분류_규칙'!$J$5:$J$76,0))</x:f>
        <x:v>3</x:v>
      </x:c>
      <x:c r="K325" s="10" t="n">
        <x:f>SUM(XLOOKUP('포켓몬_편집'!$AF325:$AN325,'분류_규칙'!$A$5:$A$76,'분류_규칙'!$K$5:$K$76,0))</x:f>
        <x:v>0</x:v>
      </x:c>
      <x:c r="L325" s="10" t="n">
        <x:f>SUM(XLOOKUP('포켓몬_편집'!$AF325:$AN325,'분류_규칙'!$A$5:$A$76,'분류_규칙'!$L$5:$L$76,0))</x:f>
        <x:v>30</x:v>
      </x:c>
      <x:c r="M325" s="10" t="n">
        <x:f>SUM(XLOOKUP('포켓몬_편집'!$AF325:$AN325,'분류_규칙'!$A$5:$A$76,'분류_규칙'!$M$5:$M$76,0))</x:f>
        <x:v>0</x:v>
      </x:c>
      <x:c r="N325" s="10" t="n">
        <x:f>SUM(XLOOKUP('포켓몬_편집'!$AF325:$AN325,'분류_규칙'!$A$5:$A$76,'분류_규칙'!$N$5:$N$76,0))</x:f>
        <x:v>0</x:v>
      </x:c>
      <x:c r="O325" s="10" t="n">
        <x:f>SUM(XLOOKUP('포켓몬_편집'!$AF325:$AN325,'분류_규칙'!$A$5:$A$76,'분류_규칙'!$O$5:$O$76,0))</x:f>
        <x:v>0</x:v>
      </x:c>
      <x:c r="P325" s="10" t="n">
        <x:f>SUM(XLOOKUP('포켓몬_편집'!$AF325:$AN325,'분류_규칙'!$A$5:$A$76,'분류_규칙'!$P$5:$P$76,0))</x:f>
        <x:v>0</x:v>
      </x:c>
    </x:row>
    <x:row r="326" ht="22" customHeight="1">
      <x:c r="A326" s="5" t="n">
        <x:v>322</x:v>
      </x:c>
      <x:c r="B326" s="5" t="inlineStr">
        <x:is>
          <x:t xml:space="preserve">둔타</x:t>
        </x:is>
      </x:c>
      <x:c r="C326" s="5" t="inlineStr">
        <x:is>
          <x:t xml:space="preserve">numel</x:t>
        </x:is>
      </x:c>
      <x:c r="D326" s="5" t="n">
        <x:v>3</x:v>
      </x:c>
      <x:c r="E326" s="10" t="n">
        <x:f>SUM(XLOOKUP('포켓몬_편집'!$AF326:$AN326,'분류_규칙'!$A$5:$A$76,'분류_규칙'!$E$5:$E$76,0))</x:f>
        <x:v>10</x:v>
      </x:c>
      <x:c r="F326" s="10" t="n">
        <x:f>SUM(XLOOKUP('포켓몬_편집'!$AF326:$AN326,'분류_규칙'!$A$5:$A$76,'분류_규칙'!$F$5:$F$76,0))</x:f>
        <x:v>7</x:v>
      </x:c>
      <x:c r="G326" s="10" t="n">
        <x:f>SUM(XLOOKUP('포켓몬_편집'!$AF326:$AN326,'분류_규칙'!$A$5:$A$76,'분류_규칙'!$G$5:$G$76,0))</x:f>
        <x:v>5</x:v>
      </x:c>
      <x:c r="H326" s="10" t="n">
        <x:f>SUM(XLOOKUP('포켓몬_편집'!$AF326:$AN326,'분류_규칙'!$A$5:$A$76,'분류_규칙'!$H$5:$H$76,0))</x:f>
        <x:v>5</x:v>
      </x:c>
      <x:c r="I326" s="10" t="n">
        <x:f>SUM(XLOOKUP('포켓몬_편집'!$AF326:$AN326,'분류_규칙'!$A$5:$A$76,'분류_규칙'!$I$5:$I$76,0))</x:f>
        <x:v>0</x:v>
      </x:c>
      <x:c r="J326" s="10" t="n">
        <x:f>SUM(XLOOKUP('포켓몬_편집'!$AF326:$AN326,'분류_규칙'!$A$5:$A$76,'분류_규칙'!$J$5:$J$76,0))</x:f>
        <x:v>2</x:v>
      </x:c>
      <x:c r="K326" s="10" t="n">
        <x:f>SUM(XLOOKUP('포켓몬_편집'!$AF326:$AN326,'분류_규칙'!$A$5:$A$76,'분류_규칙'!$K$5:$K$76,0))</x:f>
        <x:v>0</x:v>
      </x:c>
      <x:c r="L326" s="10" t="n">
        <x:f>SUM(XLOOKUP('포켓몬_편집'!$AF326:$AN326,'분류_규칙'!$A$5:$A$76,'분류_규칙'!$L$5:$L$76,0))</x:f>
        <x:v>0</x:v>
      </x:c>
      <x:c r="M326" s="10" t="n">
        <x:f>SUM(XLOOKUP('포켓몬_편집'!$AF326:$AN326,'분류_규칙'!$A$5:$A$76,'분류_규칙'!$M$5:$M$76,0))</x:f>
        <x:v>0</x:v>
      </x:c>
      <x:c r="N326" s="10" t="n">
        <x:f>SUM(XLOOKUP('포켓몬_편집'!$AF326:$AN326,'분류_규칙'!$A$5:$A$76,'분류_규칙'!$N$5:$N$76,0))</x:f>
        <x:v>0</x:v>
      </x:c>
      <x:c r="O326" s="10" t="n">
        <x:f>SUM(XLOOKUP('포켓몬_편집'!$AF326:$AN326,'분류_규칙'!$A$5:$A$76,'분류_규칙'!$O$5:$O$76,0))</x:f>
        <x:v>2</x:v>
      </x:c>
      <x:c r="P326" s="10" t="n">
        <x:f>SUM(XLOOKUP('포켓몬_편집'!$AF326:$AN326,'분류_규칙'!$A$5:$A$76,'분류_규칙'!$P$5:$P$76,0))</x:f>
        <x:v>0</x:v>
      </x:c>
    </x:row>
    <x:row r="327" ht="22" customHeight="1">
      <x:c r="A327" s="5" t="n">
        <x:v>323</x:v>
      </x:c>
      <x:c r="B327" s="5" t="inlineStr">
        <x:is>
          <x:t xml:space="preserve">폭타</x:t>
        </x:is>
      </x:c>
      <x:c r="C327" s="5" t="inlineStr">
        <x:is>
          <x:t xml:space="preserve">camerupt</x:t>
        </x:is>
      </x:c>
      <x:c r="D327" s="5" t="n">
        <x:v>3</x:v>
      </x:c>
      <x:c r="E327" s="10" t="n">
        <x:f>SUM(XLOOKUP('포켓몬_편집'!$AF327:$AN327,'분류_규칙'!$A$5:$A$76,'분류_규칙'!$E$5:$E$76,0))</x:f>
        <x:v>10</x:v>
      </x:c>
      <x:c r="F327" s="10" t="n">
        <x:f>SUM(XLOOKUP('포켓몬_편집'!$AF327:$AN327,'분류_규칙'!$A$5:$A$76,'분류_규칙'!$F$5:$F$76,0))</x:f>
        <x:v>7</x:v>
      </x:c>
      <x:c r="G327" s="10" t="n">
        <x:f>SUM(XLOOKUP('포켓몬_편집'!$AF327:$AN327,'분류_규칙'!$A$5:$A$76,'분류_규칙'!$G$5:$G$76,0))</x:f>
        <x:v>5</x:v>
      </x:c>
      <x:c r="H327" s="10" t="n">
        <x:f>SUM(XLOOKUP('포켓몬_편집'!$AF327:$AN327,'분류_규칙'!$A$5:$A$76,'분류_규칙'!$H$5:$H$76,0))</x:f>
        <x:v>5</x:v>
      </x:c>
      <x:c r="I327" s="10" t="n">
        <x:f>SUM(XLOOKUP('포켓몬_편집'!$AF327:$AN327,'분류_규칙'!$A$5:$A$76,'분류_규칙'!$I$5:$I$76,0))</x:f>
        <x:v>0</x:v>
      </x:c>
      <x:c r="J327" s="10" t="n">
        <x:f>SUM(XLOOKUP('포켓몬_편집'!$AF327:$AN327,'분류_규칙'!$A$5:$A$76,'분류_규칙'!$J$5:$J$76,0))</x:f>
        <x:v>2</x:v>
      </x:c>
      <x:c r="K327" s="10" t="n">
        <x:f>SUM(XLOOKUP('포켓몬_편집'!$AF327:$AN327,'분류_규칙'!$A$5:$A$76,'분류_규칙'!$K$5:$K$76,0))</x:f>
        <x:v>0</x:v>
      </x:c>
      <x:c r="L327" s="10" t="n">
        <x:f>SUM(XLOOKUP('포켓몬_편집'!$AF327:$AN327,'분류_규칙'!$A$5:$A$76,'분류_규칙'!$L$5:$L$76,0))</x:f>
        <x:v>0</x:v>
      </x:c>
      <x:c r="M327" s="10" t="n">
        <x:f>SUM(XLOOKUP('포켓몬_편집'!$AF327:$AN327,'분류_규칙'!$A$5:$A$76,'분류_규칙'!$M$5:$M$76,0))</x:f>
        <x:v>0</x:v>
      </x:c>
      <x:c r="N327" s="10" t="n">
        <x:f>SUM(XLOOKUP('포켓몬_편집'!$AF327:$AN327,'분류_규칙'!$A$5:$A$76,'분류_규칙'!$N$5:$N$76,0))</x:f>
        <x:v>0</x:v>
      </x:c>
      <x:c r="O327" s="10" t="n">
        <x:f>SUM(XLOOKUP('포켓몬_편집'!$AF327:$AN327,'분류_규칙'!$A$5:$A$76,'분류_규칙'!$O$5:$O$76,0))</x:f>
        <x:v>2</x:v>
      </x:c>
      <x:c r="P327" s="10" t="n">
        <x:f>SUM(XLOOKUP('포켓몬_편집'!$AF327:$AN327,'분류_규칙'!$A$5:$A$76,'분류_규칙'!$P$5:$P$76,0))</x:f>
        <x:v>0</x:v>
      </x:c>
    </x:row>
    <x:row r="328" ht="22" customHeight="1">
      <x:c r="A328" s="5" t="n">
        <x:v>324</x:v>
      </x:c>
      <x:c r="B328" s="5" t="inlineStr">
        <x:is>
          <x:t xml:space="preserve">코터스</x:t>
        </x:is>
      </x:c>
      <x:c r="C328" s="5" t="inlineStr">
        <x:is>
          <x:t xml:space="preserve">torkoal</x:t>
        </x:is>
      </x:c>
      <x:c r="D328" s="5" t="n">
        <x:v>3</x:v>
      </x:c>
      <x:c r="E328" s="10" t="n">
        <x:f>SUM(XLOOKUP('포켓몬_편집'!$AF328:$AN328,'분류_규칙'!$A$5:$A$76,'분류_규칙'!$E$5:$E$76,0))</x:f>
        <x:v>10</x:v>
      </x:c>
      <x:c r="F328" s="10" t="n">
        <x:f>SUM(XLOOKUP('포켓몬_편집'!$AF328:$AN328,'분류_규칙'!$A$5:$A$76,'분류_규칙'!$F$5:$F$76,0))</x:f>
        <x:v>7</x:v>
      </x:c>
      <x:c r="G328" s="10" t="n">
        <x:f>SUM(XLOOKUP('포켓몬_편집'!$AF328:$AN328,'분류_규칙'!$A$5:$A$76,'분류_규칙'!$G$5:$G$76,0))</x:f>
        <x:v>5</x:v>
      </x:c>
      <x:c r="H328" s="10" t="n">
        <x:f>SUM(XLOOKUP('포켓몬_편집'!$AF328:$AN328,'분류_규칙'!$A$5:$A$76,'분류_규칙'!$H$5:$H$76,0))</x:f>
        <x:v>5</x:v>
      </x:c>
      <x:c r="I328" s="10" t="n">
        <x:f>SUM(XLOOKUP('포켓몬_편집'!$AF328:$AN328,'분류_규칙'!$A$5:$A$76,'분류_규칙'!$I$5:$I$76,0))</x:f>
        <x:v>0</x:v>
      </x:c>
      <x:c r="J328" s="10" t="n">
        <x:f>SUM(XLOOKUP('포켓몬_편집'!$AF328:$AN328,'분류_규칙'!$A$5:$A$76,'분류_규칙'!$J$5:$J$76,0))</x:f>
        <x:v>2</x:v>
      </x:c>
      <x:c r="K328" s="10" t="n">
        <x:f>SUM(XLOOKUP('포켓몬_편집'!$AF328:$AN328,'분류_규칙'!$A$5:$A$76,'분류_규칙'!$K$5:$K$76,0))</x:f>
        <x:v>0</x:v>
      </x:c>
      <x:c r="L328" s="10" t="n">
        <x:f>SUM(XLOOKUP('포켓몬_편집'!$AF328:$AN328,'분류_규칙'!$A$5:$A$76,'분류_규칙'!$L$5:$L$76,0))</x:f>
        <x:v>0</x:v>
      </x:c>
      <x:c r="M328" s="10" t="n">
        <x:f>SUM(XLOOKUP('포켓몬_편집'!$AF328:$AN328,'분류_규칙'!$A$5:$A$76,'분류_규칙'!$M$5:$M$76,0))</x:f>
        <x:v>0</x:v>
      </x:c>
      <x:c r="N328" s="10" t="n">
        <x:f>SUM(XLOOKUP('포켓몬_편집'!$AF328:$AN328,'분류_규칙'!$A$5:$A$76,'분류_규칙'!$N$5:$N$76,0))</x:f>
        <x:v>0</x:v>
      </x:c>
      <x:c r="O328" s="10" t="n">
        <x:f>SUM(XLOOKUP('포켓몬_편집'!$AF328:$AN328,'분류_규칙'!$A$5:$A$76,'분류_규칙'!$O$5:$O$76,0))</x:f>
        <x:v>2</x:v>
      </x:c>
      <x:c r="P328" s="10" t="n">
        <x:f>SUM(XLOOKUP('포켓몬_편집'!$AF328:$AN328,'분류_규칙'!$A$5:$A$76,'분류_규칙'!$P$5:$P$76,0))</x:f>
        <x:v>0</x:v>
      </x:c>
    </x:row>
    <x:row r="329" ht="22" customHeight="1">
      <x:c r="A329" s="5" t="n">
        <x:v>325</x:v>
      </x:c>
      <x:c r="B329" s="5" t="inlineStr">
        <x:is>
          <x:t xml:space="preserve">피그점프</x:t>
        </x:is>
      </x:c>
      <x:c r="C329" s="5" t="inlineStr">
        <x:is>
          <x:t xml:space="preserve">spoink</x:t>
        </x:is>
      </x:c>
      <x:c r="D329" s="5" t="n">
        <x:v>3</x:v>
      </x:c>
      <x:c r="E329" s="10" t="n">
        <x:f>SUM(XLOOKUP('포켓몬_편집'!$AF329:$AN329,'분류_규칙'!$A$5:$A$76,'분류_규칙'!$E$5:$E$76,0))</x:f>
        <x:v>10</x:v>
      </x:c>
      <x:c r="F329" s="10" t="n">
        <x:f>SUM(XLOOKUP('포켓몬_편집'!$AF329:$AN329,'분류_규칙'!$A$5:$A$76,'분류_규칙'!$F$5:$F$76,0))</x:f>
        <x:v>7</x:v>
      </x:c>
      <x:c r="G329" s="10" t="n">
        <x:f>SUM(XLOOKUP('포켓몬_편집'!$AF329:$AN329,'분류_규칙'!$A$5:$A$76,'분류_규칙'!$G$5:$G$76,0))</x:f>
        <x:v>5</x:v>
      </x:c>
      <x:c r="H329" s="10" t="n">
        <x:f>SUM(XLOOKUP('포켓몬_편집'!$AF329:$AN329,'분류_규칙'!$A$5:$A$76,'분류_규칙'!$H$5:$H$76,0))</x:f>
        <x:v>5</x:v>
      </x:c>
      <x:c r="I329" s="10" t="n">
        <x:f>SUM(XLOOKUP('포켓몬_편집'!$AF329:$AN329,'분류_규칙'!$A$5:$A$76,'분류_규칙'!$I$5:$I$76,0))</x:f>
        <x:v>0</x:v>
      </x:c>
      <x:c r="J329" s="10" t="n">
        <x:f>SUM(XLOOKUP('포켓몬_편집'!$AF329:$AN329,'분류_규칙'!$A$5:$A$76,'분류_규칙'!$J$5:$J$76,0))</x:f>
        <x:v>2</x:v>
      </x:c>
      <x:c r="K329" s="10" t="n">
        <x:f>SUM(XLOOKUP('포켓몬_편집'!$AF329:$AN329,'분류_규칙'!$A$5:$A$76,'분류_규칙'!$K$5:$K$76,0))</x:f>
        <x:v>0</x:v>
      </x:c>
      <x:c r="L329" s="10" t="n">
        <x:f>SUM(XLOOKUP('포켓몬_편집'!$AF329:$AN329,'분류_규칙'!$A$5:$A$76,'분류_규칙'!$L$5:$L$76,0))</x:f>
        <x:v>0</x:v>
      </x:c>
      <x:c r="M329" s="10" t="n">
        <x:f>SUM(XLOOKUP('포켓몬_편집'!$AF329:$AN329,'분류_규칙'!$A$5:$A$76,'분류_규칙'!$M$5:$M$76,0))</x:f>
        <x:v>0</x:v>
      </x:c>
      <x:c r="N329" s="10" t="n">
        <x:f>SUM(XLOOKUP('포켓몬_편집'!$AF329:$AN329,'분류_규칙'!$A$5:$A$76,'분류_규칙'!$N$5:$N$76,0))</x:f>
        <x:v>0</x:v>
      </x:c>
      <x:c r="O329" s="10" t="n">
        <x:f>SUM(XLOOKUP('포켓몬_편집'!$AF329:$AN329,'분류_규칙'!$A$5:$A$76,'분류_규칙'!$O$5:$O$76,0))</x:f>
        <x:v>2</x:v>
      </x:c>
      <x:c r="P329" s="10" t="n">
        <x:f>SUM(XLOOKUP('포켓몬_편집'!$AF329:$AN329,'분류_규칙'!$A$5:$A$76,'분류_규칙'!$P$5:$P$76,0))</x:f>
        <x:v>0</x:v>
      </x:c>
    </x:row>
    <x:row r="330" ht="22" customHeight="1">
      <x:c r="A330" s="5" t="n">
        <x:v>326</x:v>
      </x:c>
      <x:c r="B330" s="5" t="inlineStr">
        <x:is>
          <x:t xml:space="preserve">피그킹</x:t>
        </x:is>
      </x:c>
      <x:c r="C330" s="5" t="inlineStr">
        <x:is>
          <x:t xml:space="preserve">grumpig</x:t>
        </x:is>
      </x:c>
      <x:c r="D330" s="5" t="n">
        <x:v>3</x:v>
      </x:c>
      <x:c r="E330" s="10" t="n">
        <x:f>SUM(XLOOKUP('포켓몬_편집'!$AF330:$AN330,'분류_규칙'!$A$5:$A$76,'분류_규칙'!$E$5:$E$76,0))</x:f>
        <x:v>10</x:v>
      </x:c>
      <x:c r="F330" s="10" t="n">
        <x:f>SUM(XLOOKUP('포켓몬_편집'!$AF330:$AN330,'분류_규칙'!$A$5:$A$76,'분류_규칙'!$F$5:$F$76,0))</x:f>
        <x:v>7</x:v>
      </x:c>
      <x:c r="G330" s="10" t="n">
        <x:f>SUM(XLOOKUP('포켓몬_편집'!$AF330:$AN330,'분류_규칙'!$A$5:$A$76,'분류_규칙'!$G$5:$G$76,0))</x:f>
        <x:v>5</x:v>
      </x:c>
      <x:c r="H330" s="10" t="n">
        <x:f>SUM(XLOOKUP('포켓몬_편집'!$AF330:$AN330,'분류_규칙'!$A$5:$A$76,'분류_규칙'!$H$5:$H$76,0))</x:f>
        <x:v>5</x:v>
      </x:c>
      <x:c r="I330" s="10" t="n">
        <x:f>SUM(XLOOKUP('포켓몬_편집'!$AF330:$AN330,'분류_규칙'!$A$5:$A$76,'분류_규칙'!$I$5:$I$76,0))</x:f>
        <x:v>0</x:v>
      </x:c>
      <x:c r="J330" s="10" t="n">
        <x:f>SUM(XLOOKUP('포켓몬_편집'!$AF330:$AN330,'분류_규칙'!$A$5:$A$76,'분류_규칙'!$J$5:$J$76,0))</x:f>
        <x:v>2</x:v>
      </x:c>
      <x:c r="K330" s="10" t="n">
        <x:f>SUM(XLOOKUP('포켓몬_편집'!$AF330:$AN330,'분류_규칙'!$A$5:$A$76,'분류_규칙'!$K$5:$K$76,0))</x:f>
        <x:v>0</x:v>
      </x:c>
      <x:c r="L330" s="10" t="n">
        <x:f>SUM(XLOOKUP('포켓몬_편집'!$AF330:$AN330,'분류_규칙'!$A$5:$A$76,'분류_규칙'!$L$5:$L$76,0))</x:f>
        <x:v>0</x:v>
      </x:c>
      <x:c r="M330" s="10" t="n">
        <x:f>SUM(XLOOKUP('포켓몬_편집'!$AF330:$AN330,'분류_규칙'!$A$5:$A$76,'분류_규칙'!$M$5:$M$76,0))</x:f>
        <x:v>0</x:v>
      </x:c>
      <x:c r="N330" s="10" t="n">
        <x:f>SUM(XLOOKUP('포켓몬_편집'!$AF330:$AN330,'분류_규칙'!$A$5:$A$76,'분류_규칙'!$N$5:$N$76,0))</x:f>
        <x:v>0</x:v>
      </x:c>
      <x:c r="O330" s="10" t="n">
        <x:f>SUM(XLOOKUP('포켓몬_편집'!$AF330:$AN330,'분류_규칙'!$A$5:$A$76,'분류_규칙'!$O$5:$O$76,0))</x:f>
        <x:v>2</x:v>
      </x:c>
      <x:c r="P330" s="10" t="n">
        <x:f>SUM(XLOOKUP('포켓몬_편집'!$AF330:$AN330,'분류_규칙'!$A$5:$A$76,'분류_규칙'!$P$5:$P$76,0))</x:f>
        <x:v>0</x:v>
      </x:c>
    </x:row>
    <x:row r="331" ht="22" customHeight="1">
      <x:c r="A331" s="5" t="n">
        <x:v>327</x:v>
      </x:c>
      <x:c r="B331" s="5" t="inlineStr">
        <x:is>
          <x:t xml:space="preserve">얼루기</x:t>
        </x:is>
      </x:c>
      <x:c r="C331" s="5" t="inlineStr">
        <x:is>
          <x:t xml:space="preserve">spinda</x:t>
        </x:is>
      </x:c>
      <x:c r="D331" s="5" t="n">
        <x:v>3</x:v>
      </x:c>
      <x:c r="E331" s="10" t="n">
        <x:f>SUM(XLOOKUP('포켓몬_편집'!$AF331:$AN331,'분류_규칙'!$A$5:$A$76,'분류_규칙'!$E$5:$E$76,0))</x:f>
        <x:v>10</x:v>
      </x:c>
      <x:c r="F331" s="10" t="n">
        <x:f>SUM(XLOOKUP('포켓몬_편집'!$AF331:$AN331,'분류_규칙'!$A$5:$A$76,'분류_규칙'!$F$5:$F$76,0))</x:f>
        <x:v>7</x:v>
      </x:c>
      <x:c r="G331" s="10" t="n">
        <x:f>SUM(XLOOKUP('포켓몬_편집'!$AF331:$AN331,'분류_규칙'!$A$5:$A$76,'분류_규칙'!$G$5:$G$76,0))</x:f>
        <x:v>5</x:v>
      </x:c>
      <x:c r="H331" s="10" t="n">
        <x:f>SUM(XLOOKUP('포켓몬_편집'!$AF331:$AN331,'분류_규칙'!$A$5:$A$76,'분류_규칙'!$H$5:$H$76,0))</x:f>
        <x:v>5</x:v>
      </x:c>
      <x:c r="I331" s="10" t="n">
        <x:f>SUM(XLOOKUP('포켓몬_편집'!$AF331:$AN331,'분류_규칙'!$A$5:$A$76,'분류_규칙'!$I$5:$I$76,0))</x:f>
        <x:v>0</x:v>
      </x:c>
      <x:c r="J331" s="10" t="n">
        <x:f>SUM(XLOOKUP('포켓몬_편집'!$AF331:$AN331,'분류_규칙'!$A$5:$A$76,'분류_규칙'!$J$5:$J$76,0))</x:f>
        <x:v>2</x:v>
      </x:c>
      <x:c r="K331" s="10" t="n">
        <x:f>SUM(XLOOKUP('포켓몬_편집'!$AF331:$AN331,'분류_규칙'!$A$5:$A$76,'분류_규칙'!$K$5:$K$76,0))</x:f>
        <x:v>0</x:v>
      </x:c>
      <x:c r="L331" s="10" t="n">
        <x:f>SUM(XLOOKUP('포켓몬_편집'!$AF331:$AN331,'분류_규칙'!$A$5:$A$76,'분류_규칙'!$L$5:$L$76,0))</x:f>
        <x:v>0</x:v>
      </x:c>
      <x:c r="M331" s="10" t="n">
        <x:f>SUM(XLOOKUP('포켓몬_편집'!$AF331:$AN331,'분류_규칙'!$A$5:$A$76,'분류_규칙'!$M$5:$M$76,0))</x:f>
        <x:v>0</x:v>
      </x:c>
      <x:c r="N331" s="10" t="n">
        <x:f>SUM(XLOOKUP('포켓몬_편집'!$AF331:$AN331,'분류_규칙'!$A$5:$A$76,'분류_규칙'!$N$5:$N$76,0))</x:f>
        <x:v>0</x:v>
      </x:c>
      <x:c r="O331" s="10" t="n">
        <x:f>SUM(XLOOKUP('포켓몬_편집'!$AF331:$AN331,'분류_규칙'!$A$5:$A$76,'분류_규칙'!$O$5:$O$76,0))</x:f>
        <x:v>2</x:v>
      </x:c>
      <x:c r="P331" s="10" t="n">
        <x:f>SUM(XLOOKUP('포켓몬_편집'!$AF331:$AN331,'분류_규칙'!$A$5:$A$76,'분류_규칙'!$P$5:$P$76,0))</x:f>
        <x:v>0</x:v>
      </x:c>
    </x:row>
    <x:row r="332" ht="22" customHeight="1">
      <x:c r="A332" s="5" t="n">
        <x:v>328</x:v>
      </x:c>
      <x:c r="B332" s="5" t="inlineStr">
        <x:is>
          <x:t xml:space="preserve">톱치</x:t>
        </x:is>
      </x:c>
      <x:c r="C332" s="5" t="inlineStr">
        <x:is>
          <x:t xml:space="preserve">trapinch</x:t>
        </x:is>
      </x:c>
      <x:c r="D332" s="5" t="n">
        <x:v>3</x:v>
      </x:c>
      <x:c r="E332" s="10" t="n">
        <x:f>SUM(XLOOKUP('포켓몬_편집'!$AF332:$AN332,'분류_규칙'!$A$5:$A$76,'분류_규칙'!$E$5:$E$76,0))</x:f>
        <x:v>10</x:v>
      </x:c>
      <x:c r="F332" s="10" t="n">
        <x:f>SUM(XLOOKUP('포켓몬_편집'!$AF332:$AN332,'분류_규칙'!$A$5:$A$76,'분류_규칙'!$F$5:$F$76,0))</x:f>
        <x:v>7</x:v>
      </x:c>
      <x:c r="G332" s="10" t="n">
        <x:f>SUM(XLOOKUP('포켓몬_편집'!$AF332:$AN332,'분류_규칙'!$A$5:$A$76,'분류_규칙'!$G$5:$G$76,0))</x:f>
        <x:v>5</x:v>
      </x:c>
      <x:c r="H332" s="10" t="n">
        <x:f>SUM(XLOOKUP('포켓몬_편집'!$AF332:$AN332,'분류_규칙'!$A$5:$A$76,'분류_규칙'!$H$5:$H$76,0))</x:f>
        <x:v>5</x:v>
      </x:c>
      <x:c r="I332" s="10" t="n">
        <x:f>SUM(XLOOKUP('포켓몬_편집'!$AF332:$AN332,'분류_규칙'!$A$5:$A$76,'분류_규칙'!$I$5:$I$76,0))</x:f>
        <x:v>0</x:v>
      </x:c>
      <x:c r="J332" s="10" t="n">
        <x:f>SUM(XLOOKUP('포켓몬_편집'!$AF332:$AN332,'분류_규칙'!$A$5:$A$76,'분류_규칙'!$J$5:$J$76,0))</x:f>
        <x:v>2</x:v>
      </x:c>
      <x:c r="K332" s="10" t="n">
        <x:f>SUM(XLOOKUP('포켓몬_편집'!$AF332:$AN332,'분류_규칙'!$A$5:$A$76,'분류_규칙'!$K$5:$K$76,0))</x:f>
        <x:v>0</x:v>
      </x:c>
      <x:c r="L332" s="10" t="n">
        <x:f>SUM(XLOOKUP('포켓몬_편집'!$AF332:$AN332,'분류_규칙'!$A$5:$A$76,'분류_규칙'!$L$5:$L$76,0))</x:f>
        <x:v>0</x:v>
      </x:c>
      <x:c r="M332" s="10" t="n">
        <x:f>SUM(XLOOKUP('포켓몬_편집'!$AF332:$AN332,'분류_규칙'!$A$5:$A$76,'분류_규칙'!$M$5:$M$76,0))</x:f>
        <x:v>0</x:v>
      </x:c>
      <x:c r="N332" s="10" t="n">
        <x:f>SUM(XLOOKUP('포켓몬_편집'!$AF332:$AN332,'분류_규칙'!$A$5:$A$76,'분류_규칙'!$N$5:$N$76,0))</x:f>
        <x:v>0</x:v>
      </x:c>
      <x:c r="O332" s="10" t="n">
        <x:f>SUM(XLOOKUP('포켓몬_편집'!$AF332:$AN332,'분류_규칙'!$A$5:$A$76,'분류_규칙'!$O$5:$O$76,0))</x:f>
        <x:v>2</x:v>
      </x:c>
      <x:c r="P332" s="10" t="n">
        <x:f>SUM(XLOOKUP('포켓몬_편집'!$AF332:$AN332,'분류_규칙'!$A$5:$A$76,'분류_규칙'!$P$5:$P$76,0))</x:f>
        <x:v>0</x:v>
      </x:c>
    </x:row>
    <x:row r="333" ht="22" customHeight="1">
      <x:c r="A333" s="5" t="n">
        <x:v>329</x:v>
      </x:c>
      <x:c r="B333" s="5" t="inlineStr">
        <x:is>
          <x:t xml:space="preserve">비브라바</x:t>
        </x:is>
      </x:c>
      <x:c r="C333" s="5" t="inlineStr">
        <x:is>
          <x:t xml:space="preserve">vibrava</x:t>
        </x:is>
      </x:c>
      <x:c r="D333" s="5" t="n">
        <x:v>3</x:v>
      </x:c>
      <x:c r="E333" s="10" t="n">
        <x:f>SUM(XLOOKUP('포켓몬_편집'!$AF333:$AN333,'분류_규칙'!$A$5:$A$76,'분류_규칙'!$E$5:$E$76,0))</x:f>
        <x:v>8</x:v>
      </x:c>
      <x:c r="F333" s="10" t="n">
        <x:f>SUM(XLOOKUP('포켓몬_편집'!$AF333:$AN333,'분류_규칙'!$A$5:$A$76,'분류_규칙'!$F$5:$F$76,0))</x:f>
        <x:v>8</x:v>
      </x:c>
      <x:c r="G333" s="10" t="n">
        <x:f>SUM(XLOOKUP('포켓몬_편집'!$AF333:$AN333,'분류_규칙'!$A$5:$A$76,'분류_규칙'!$G$5:$G$76,0))</x:f>
        <x:v>0</x:v>
      </x:c>
      <x:c r="H333" s="10" t="n">
        <x:f>SUM(XLOOKUP('포켓몬_편집'!$AF333:$AN333,'분류_규칙'!$A$5:$A$76,'분류_규칙'!$H$5:$H$76,0))</x:f>
        <x:v>12</x:v>
      </x:c>
      <x:c r="I333" s="10" t="n">
        <x:f>SUM(XLOOKUP('포켓몬_편집'!$AF333:$AN333,'분류_규칙'!$A$5:$A$76,'분류_규칙'!$I$5:$I$76,0))</x:f>
        <x:v>0</x:v>
      </x:c>
      <x:c r="J333" s="10" t="n">
        <x:f>SUM(XLOOKUP('포켓몬_편집'!$AF333:$AN333,'분류_규칙'!$A$5:$A$76,'분류_규칙'!$J$5:$J$76,0))</x:f>
        <x:v>0</x:v>
      </x:c>
      <x:c r="K333" s="10" t="n">
        <x:f>SUM(XLOOKUP('포켓몬_편집'!$AF333:$AN333,'분류_규칙'!$A$5:$A$76,'분류_규칙'!$K$5:$K$76,0))</x:f>
        <x:v>0</x:v>
      </x:c>
      <x:c r="L333" s="10" t="n">
        <x:f>SUM(XLOOKUP('포켓몬_편집'!$AF333:$AN333,'분류_규칙'!$A$5:$A$76,'분류_규칙'!$L$5:$L$76,0))</x:f>
        <x:v>3</x:v>
      </x:c>
      <x:c r="M333" s="10" t="n">
        <x:f>SUM(XLOOKUP('포켓몬_편집'!$AF333:$AN333,'분류_규칙'!$A$5:$A$76,'분류_규칙'!$M$5:$M$76,0))</x:f>
        <x:v>0</x:v>
      </x:c>
      <x:c r="N333" s="10" t="n">
        <x:f>SUM(XLOOKUP('포켓몬_편집'!$AF333:$AN333,'분류_규칙'!$A$5:$A$76,'분류_규칙'!$N$5:$N$76,0))</x:f>
        <x:v>0</x:v>
      </x:c>
      <x:c r="O333" s="10" t="n">
        <x:f>SUM(XLOOKUP('포켓몬_편집'!$AF333:$AN333,'분류_규칙'!$A$5:$A$76,'분류_규칙'!$O$5:$O$76,0))</x:f>
        <x:v>2</x:v>
      </x:c>
      <x:c r="P333" s="10" t="n">
        <x:f>SUM(XLOOKUP('포켓몬_편집'!$AF333:$AN333,'분류_규칙'!$A$5:$A$76,'분류_규칙'!$P$5:$P$76,0))</x:f>
        <x:v>0</x:v>
      </x:c>
    </x:row>
    <x:row r="334" ht="22" customHeight="1">
      <x:c r="A334" s="5" t="n">
        <x:v>330</x:v>
      </x:c>
      <x:c r="B334" s="5" t="inlineStr">
        <x:is>
          <x:t xml:space="preserve">플라이곤</x:t>
        </x:is>
      </x:c>
      <x:c r="C334" s="5" t="inlineStr">
        <x:is>
          <x:t xml:space="preserve">flygon</x:t>
        </x:is>
      </x:c>
      <x:c r="D334" s="5" t="n">
        <x:v>3</x:v>
      </x:c>
      <x:c r="E334" s="10" t="n">
        <x:f>SUM(XLOOKUP('포켓몬_편집'!$AF334:$AN334,'분류_규칙'!$A$5:$A$76,'분류_규칙'!$E$5:$E$76,0))</x:f>
        <x:v>8</x:v>
      </x:c>
      <x:c r="F334" s="10" t="n">
        <x:f>SUM(XLOOKUP('포켓몬_편집'!$AF334:$AN334,'분류_규칙'!$A$5:$A$76,'분류_규칙'!$F$5:$F$76,0))</x:f>
        <x:v>8</x:v>
      </x:c>
      <x:c r="G334" s="10" t="n">
        <x:f>SUM(XLOOKUP('포켓몬_편집'!$AF334:$AN334,'분류_규칙'!$A$5:$A$76,'분류_규칙'!$G$5:$G$76,0))</x:f>
        <x:v>0</x:v>
      </x:c>
      <x:c r="H334" s="10" t="n">
        <x:f>SUM(XLOOKUP('포켓몬_편집'!$AF334:$AN334,'분류_규칙'!$A$5:$A$76,'분류_규칙'!$H$5:$H$76,0))</x:f>
        <x:v>12</x:v>
      </x:c>
      <x:c r="I334" s="10" t="n">
        <x:f>SUM(XLOOKUP('포켓몬_편집'!$AF334:$AN334,'분류_규칙'!$A$5:$A$76,'분류_규칙'!$I$5:$I$76,0))</x:f>
        <x:v>0</x:v>
      </x:c>
      <x:c r="J334" s="10" t="n">
        <x:f>SUM(XLOOKUP('포켓몬_편집'!$AF334:$AN334,'분류_규칙'!$A$5:$A$76,'분류_규칙'!$J$5:$J$76,0))</x:f>
        <x:v>0</x:v>
      </x:c>
      <x:c r="K334" s="10" t="n">
        <x:f>SUM(XLOOKUP('포켓몬_편집'!$AF334:$AN334,'분류_규칙'!$A$5:$A$76,'분류_규칙'!$K$5:$K$76,0))</x:f>
        <x:v>0</x:v>
      </x:c>
      <x:c r="L334" s="10" t="n">
        <x:f>SUM(XLOOKUP('포켓몬_편집'!$AF334:$AN334,'분류_규칙'!$A$5:$A$76,'분류_규칙'!$L$5:$L$76,0))</x:f>
        <x:v>3</x:v>
      </x:c>
      <x:c r="M334" s="10" t="n">
        <x:f>SUM(XLOOKUP('포켓몬_편집'!$AF334:$AN334,'분류_규칙'!$A$5:$A$76,'분류_규칙'!$M$5:$M$76,0))</x:f>
        <x:v>0</x:v>
      </x:c>
      <x:c r="N334" s="10" t="n">
        <x:f>SUM(XLOOKUP('포켓몬_편집'!$AF334:$AN334,'분류_규칙'!$A$5:$A$76,'분류_규칙'!$N$5:$N$76,0))</x:f>
        <x:v>0</x:v>
      </x:c>
      <x:c r="O334" s="10" t="n">
        <x:f>SUM(XLOOKUP('포켓몬_편집'!$AF334:$AN334,'분류_규칙'!$A$5:$A$76,'분류_규칙'!$O$5:$O$76,0))</x:f>
        <x:v>2</x:v>
      </x:c>
      <x:c r="P334" s="10" t="n">
        <x:f>SUM(XLOOKUP('포켓몬_편집'!$AF334:$AN334,'분류_규칙'!$A$5:$A$76,'분류_규칙'!$P$5:$P$76,0))</x:f>
        <x:v>0</x:v>
      </x:c>
    </x:row>
    <x:row r="335" ht="22" customHeight="1">
      <x:c r="A335" s="5" t="n">
        <x:v>331</x:v>
      </x:c>
      <x:c r="B335" s="5" t="inlineStr">
        <x:is>
          <x:t xml:space="preserve">선인왕</x:t>
        </x:is>
      </x:c>
      <x:c r="C335" s="5" t="inlineStr">
        <x:is>
          <x:t xml:space="preserve">cacnea</x:t>
        </x:is>
      </x:c>
      <x:c r="D335" s="5" t="n">
        <x:v>3</x:v>
      </x:c>
      <x:c r="E335" s="10" t="n">
        <x:f>SUM(XLOOKUP('포켓몬_편집'!$AF335:$AN335,'분류_규칙'!$A$5:$A$76,'분류_규칙'!$E$5:$E$76,0))</x:f>
        <x:v>10</x:v>
      </x:c>
      <x:c r="F335" s="10" t="n">
        <x:f>SUM(XLOOKUP('포켓몬_편집'!$AF335:$AN335,'분류_규칙'!$A$5:$A$76,'분류_규칙'!$F$5:$F$76,0))</x:f>
        <x:v>7</x:v>
      </x:c>
      <x:c r="G335" s="10" t="n">
        <x:f>SUM(XLOOKUP('포켓몬_편집'!$AF335:$AN335,'분류_규칙'!$A$5:$A$76,'분류_규칙'!$G$5:$G$76,0))</x:f>
        <x:v>5</x:v>
      </x:c>
      <x:c r="H335" s="10" t="n">
        <x:f>SUM(XLOOKUP('포켓몬_편집'!$AF335:$AN335,'분류_규칙'!$A$5:$A$76,'분류_규칙'!$H$5:$H$76,0))</x:f>
        <x:v>5</x:v>
      </x:c>
      <x:c r="I335" s="10" t="n">
        <x:f>SUM(XLOOKUP('포켓몬_편집'!$AF335:$AN335,'분류_규칙'!$A$5:$A$76,'분류_규칙'!$I$5:$I$76,0))</x:f>
        <x:v>0</x:v>
      </x:c>
      <x:c r="J335" s="10" t="n">
        <x:f>SUM(XLOOKUP('포켓몬_편집'!$AF335:$AN335,'분류_규칙'!$A$5:$A$76,'분류_규칙'!$J$5:$J$76,0))</x:f>
        <x:v>2</x:v>
      </x:c>
      <x:c r="K335" s="10" t="n">
        <x:f>SUM(XLOOKUP('포켓몬_편집'!$AF335:$AN335,'분류_규칙'!$A$5:$A$76,'분류_규칙'!$K$5:$K$76,0))</x:f>
        <x:v>0</x:v>
      </x:c>
      <x:c r="L335" s="10" t="n">
        <x:f>SUM(XLOOKUP('포켓몬_편집'!$AF335:$AN335,'분류_규칙'!$A$5:$A$76,'분류_규칙'!$L$5:$L$76,0))</x:f>
        <x:v>0</x:v>
      </x:c>
      <x:c r="M335" s="10" t="n">
        <x:f>SUM(XLOOKUP('포켓몬_편집'!$AF335:$AN335,'분류_규칙'!$A$5:$A$76,'분류_규칙'!$M$5:$M$76,0))</x:f>
        <x:v>0</x:v>
      </x:c>
      <x:c r="N335" s="10" t="n">
        <x:f>SUM(XLOOKUP('포켓몬_편집'!$AF335:$AN335,'분류_규칙'!$A$5:$A$76,'분류_규칙'!$N$5:$N$76,0))</x:f>
        <x:v>0</x:v>
      </x:c>
      <x:c r="O335" s="10" t="n">
        <x:f>SUM(XLOOKUP('포켓몬_편집'!$AF335:$AN335,'분류_규칙'!$A$5:$A$76,'분류_규칙'!$O$5:$O$76,0))</x:f>
        <x:v>2</x:v>
      </x:c>
      <x:c r="P335" s="10" t="n">
        <x:f>SUM(XLOOKUP('포켓몬_편집'!$AF335:$AN335,'분류_규칙'!$A$5:$A$76,'분류_규칙'!$P$5:$P$76,0))</x:f>
        <x:v>0</x:v>
      </x:c>
    </x:row>
    <x:row r="336" ht="22" customHeight="1">
      <x:c r="A336" s="5" t="n">
        <x:v>332</x:v>
      </x:c>
      <x:c r="B336" s="5" t="inlineStr">
        <x:is>
          <x:t xml:space="preserve">밤선인</x:t>
        </x:is>
      </x:c>
      <x:c r="C336" s="5" t="inlineStr">
        <x:is>
          <x:t xml:space="preserve">cacturne</x:t>
        </x:is>
      </x:c>
      <x:c r="D336" s="5" t="n">
        <x:v>3</x:v>
      </x:c>
      <x:c r="E336" s="10" t="n">
        <x:f>SUM(XLOOKUP('포켓몬_편집'!$AF336:$AN336,'분류_규칙'!$A$5:$A$76,'분류_규칙'!$E$5:$E$76,0))</x:f>
        <x:v>10</x:v>
      </x:c>
      <x:c r="F336" s="10" t="n">
        <x:f>SUM(XLOOKUP('포켓몬_편집'!$AF336:$AN336,'분류_규칙'!$A$5:$A$76,'분류_규칙'!$F$5:$F$76,0))</x:f>
        <x:v>7</x:v>
      </x:c>
      <x:c r="G336" s="10" t="n">
        <x:f>SUM(XLOOKUP('포켓몬_편집'!$AF336:$AN336,'분류_규칙'!$A$5:$A$76,'분류_규칙'!$G$5:$G$76,0))</x:f>
        <x:v>5</x:v>
      </x:c>
      <x:c r="H336" s="10" t="n">
        <x:f>SUM(XLOOKUP('포켓몬_편집'!$AF336:$AN336,'분류_규칙'!$A$5:$A$76,'분류_규칙'!$H$5:$H$76,0))</x:f>
        <x:v>5</x:v>
      </x:c>
      <x:c r="I336" s="10" t="n">
        <x:f>SUM(XLOOKUP('포켓몬_편집'!$AF336:$AN336,'분류_규칙'!$A$5:$A$76,'분류_규칙'!$I$5:$I$76,0))</x:f>
        <x:v>0</x:v>
      </x:c>
      <x:c r="J336" s="10" t="n">
        <x:f>SUM(XLOOKUP('포켓몬_편집'!$AF336:$AN336,'분류_규칙'!$A$5:$A$76,'분류_규칙'!$J$5:$J$76,0))</x:f>
        <x:v>2</x:v>
      </x:c>
      <x:c r="K336" s="10" t="n">
        <x:f>SUM(XLOOKUP('포켓몬_편집'!$AF336:$AN336,'분류_규칙'!$A$5:$A$76,'분류_규칙'!$K$5:$K$76,0))</x:f>
        <x:v>0</x:v>
      </x:c>
      <x:c r="L336" s="10" t="n">
        <x:f>SUM(XLOOKUP('포켓몬_편집'!$AF336:$AN336,'분류_규칙'!$A$5:$A$76,'분류_규칙'!$L$5:$L$76,0))</x:f>
        <x:v>0</x:v>
      </x:c>
      <x:c r="M336" s="10" t="n">
        <x:f>SUM(XLOOKUP('포켓몬_편집'!$AF336:$AN336,'분류_규칙'!$A$5:$A$76,'분류_규칙'!$M$5:$M$76,0))</x:f>
        <x:v>0</x:v>
      </x:c>
      <x:c r="N336" s="10" t="n">
        <x:f>SUM(XLOOKUP('포켓몬_편집'!$AF336:$AN336,'분류_규칙'!$A$5:$A$76,'분류_규칙'!$N$5:$N$76,0))</x:f>
        <x:v>0</x:v>
      </x:c>
      <x:c r="O336" s="10" t="n">
        <x:f>SUM(XLOOKUP('포켓몬_편집'!$AF336:$AN336,'분류_규칙'!$A$5:$A$76,'분류_규칙'!$O$5:$O$76,0))</x:f>
        <x:v>2</x:v>
      </x:c>
      <x:c r="P336" s="10" t="n">
        <x:f>SUM(XLOOKUP('포켓몬_편집'!$AF336:$AN336,'분류_규칙'!$A$5:$A$76,'분류_규칙'!$P$5:$P$76,0))</x:f>
        <x:v>0</x:v>
      </x:c>
    </x:row>
    <x:row r="337" ht="22" customHeight="1">
      <x:c r="A337" s="5" t="n">
        <x:v>333</x:v>
      </x:c>
      <x:c r="B337" s="5" t="inlineStr">
        <x:is>
          <x:t xml:space="preserve">파비코</x:t>
        </x:is>
      </x:c>
      <x:c r="C337" s="5" t="inlineStr">
        <x:is>
          <x:t xml:space="preserve">swablu</x:t>
        </x:is>
      </x:c>
      <x:c r="D337" s="5" t="n">
        <x:v>3</x:v>
      </x:c>
      <x:c r="E337" s="10" t="n">
        <x:f>SUM(XLOOKUP('포켓몬_편집'!$AF337:$AN337,'분류_규칙'!$A$5:$A$76,'분류_규칙'!$E$5:$E$76,0))</x:f>
        <x:v>8</x:v>
      </x:c>
      <x:c r="F337" s="10" t="n">
        <x:f>SUM(XLOOKUP('포켓몬_편집'!$AF337:$AN337,'분류_규칙'!$A$5:$A$76,'분류_규칙'!$F$5:$F$76,0))</x:f>
        <x:v>8</x:v>
      </x:c>
      <x:c r="G337" s="10" t="n">
        <x:f>SUM(XLOOKUP('포켓몬_편집'!$AF337:$AN337,'분류_규칙'!$A$5:$A$76,'분류_규칙'!$G$5:$G$76,0))</x:f>
        <x:v>0</x:v>
      </x:c>
      <x:c r="H337" s="10" t="n">
        <x:f>SUM(XLOOKUP('포켓몬_편집'!$AF337:$AN337,'분류_규칙'!$A$5:$A$76,'분류_규칙'!$H$5:$H$76,0))</x:f>
        <x:v>12</x:v>
      </x:c>
      <x:c r="I337" s="10" t="n">
        <x:f>SUM(XLOOKUP('포켓몬_편집'!$AF337:$AN337,'분류_규칙'!$A$5:$A$76,'분류_규칙'!$I$5:$I$76,0))</x:f>
        <x:v>0</x:v>
      </x:c>
      <x:c r="J337" s="10" t="n">
        <x:f>SUM(XLOOKUP('포켓몬_편집'!$AF337:$AN337,'분류_규칙'!$A$5:$A$76,'분류_규칙'!$J$5:$J$76,0))</x:f>
        <x:v>0</x:v>
      </x:c>
      <x:c r="K337" s="10" t="n">
        <x:f>SUM(XLOOKUP('포켓몬_편집'!$AF337:$AN337,'분류_규칙'!$A$5:$A$76,'분류_규칙'!$K$5:$K$76,0))</x:f>
        <x:v>0</x:v>
      </x:c>
      <x:c r="L337" s="10" t="n">
        <x:f>SUM(XLOOKUP('포켓몬_편집'!$AF337:$AN337,'분류_규칙'!$A$5:$A$76,'분류_규칙'!$L$5:$L$76,0))</x:f>
        <x:v>3</x:v>
      </x:c>
      <x:c r="M337" s="10" t="n">
        <x:f>SUM(XLOOKUP('포켓몬_편집'!$AF337:$AN337,'분류_규칙'!$A$5:$A$76,'분류_규칙'!$M$5:$M$76,0))</x:f>
        <x:v>0</x:v>
      </x:c>
      <x:c r="N337" s="10" t="n">
        <x:f>SUM(XLOOKUP('포켓몬_편집'!$AF337:$AN337,'분류_규칙'!$A$5:$A$76,'분류_규칙'!$N$5:$N$76,0))</x:f>
        <x:v>0</x:v>
      </x:c>
      <x:c r="O337" s="10" t="n">
        <x:f>SUM(XLOOKUP('포켓몬_편집'!$AF337:$AN337,'분류_규칙'!$A$5:$A$76,'분류_규칙'!$O$5:$O$76,0))</x:f>
        <x:v>2</x:v>
      </x:c>
      <x:c r="P337" s="10" t="n">
        <x:f>SUM(XLOOKUP('포켓몬_편집'!$AF337:$AN337,'분류_규칙'!$A$5:$A$76,'분류_규칙'!$P$5:$P$76,0))</x:f>
        <x:v>0</x:v>
      </x:c>
    </x:row>
    <x:row r="338" ht="22" customHeight="1">
      <x:c r="A338" s="5" t="n">
        <x:v>334</x:v>
      </x:c>
      <x:c r="B338" s="5" t="inlineStr">
        <x:is>
          <x:t xml:space="preserve">파비코리</x:t>
        </x:is>
      </x:c>
      <x:c r="C338" s="5" t="inlineStr">
        <x:is>
          <x:t xml:space="preserve">altaria</x:t>
        </x:is>
      </x:c>
      <x:c r="D338" s="5" t="n">
        <x:v>3</x:v>
      </x:c>
      <x:c r="E338" s="10" t="n">
        <x:f>SUM(XLOOKUP('포켓몬_편집'!$AF338:$AN338,'분류_규칙'!$A$5:$A$76,'분류_규칙'!$E$5:$E$76,0))</x:f>
        <x:v>8</x:v>
      </x:c>
      <x:c r="F338" s="10" t="n">
        <x:f>SUM(XLOOKUP('포켓몬_편집'!$AF338:$AN338,'분류_규칙'!$A$5:$A$76,'분류_규칙'!$F$5:$F$76,0))</x:f>
        <x:v>8</x:v>
      </x:c>
      <x:c r="G338" s="10" t="n">
        <x:f>SUM(XLOOKUP('포켓몬_편집'!$AF338:$AN338,'분류_규칙'!$A$5:$A$76,'분류_규칙'!$G$5:$G$76,0))</x:f>
        <x:v>0</x:v>
      </x:c>
      <x:c r="H338" s="10" t="n">
        <x:f>SUM(XLOOKUP('포켓몬_편집'!$AF338:$AN338,'분류_규칙'!$A$5:$A$76,'분류_규칙'!$H$5:$H$76,0))</x:f>
        <x:v>12</x:v>
      </x:c>
      <x:c r="I338" s="10" t="n">
        <x:f>SUM(XLOOKUP('포켓몬_편집'!$AF338:$AN338,'분류_규칙'!$A$5:$A$76,'분류_규칙'!$I$5:$I$76,0))</x:f>
        <x:v>0</x:v>
      </x:c>
      <x:c r="J338" s="10" t="n">
        <x:f>SUM(XLOOKUP('포켓몬_편집'!$AF338:$AN338,'분류_규칙'!$A$5:$A$76,'분류_규칙'!$J$5:$J$76,0))</x:f>
        <x:v>0</x:v>
      </x:c>
      <x:c r="K338" s="10" t="n">
        <x:f>SUM(XLOOKUP('포켓몬_편집'!$AF338:$AN338,'분류_규칙'!$A$5:$A$76,'분류_규칙'!$K$5:$K$76,0))</x:f>
        <x:v>0</x:v>
      </x:c>
      <x:c r="L338" s="10" t="n">
        <x:f>SUM(XLOOKUP('포켓몬_편집'!$AF338:$AN338,'분류_규칙'!$A$5:$A$76,'분류_규칙'!$L$5:$L$76,0))</x:f>
        <x:v>3</x:v>
      </x:c>
      <x:c r="M338" s="10" t="n">
        <x:f>SUM(XLOOKUP('포켓몬_편집'!$AF338:$AN338,'분류_규칙'!$A$5:$A$76,'분류_규칙'!$M$5:$M$76,0))</x:f>
        <x:v>0</x:v>
      </x:c>
      <x:c r="N338" s="10" t="n">
        <x:f>SUM(XLOOKUP('포켓몬_편집'!$AF338:$AN338,'분류_규칙'!$A$5:$A$76,'분류_규칙'!$N$5:$N$76,0))</x:f>
        <x:v>0</x:v>
      </x:c>
      <x:c r="O338" s="10" t="n">
        <x:f>SUM(XLOOKUP('포켓몬_편집'!$AF338:$AN338,'분류_규칙'!$A$5:$A$76,'분류_규칙'!$O$5:$O$76,0))</x:f>
        <x:v>2</x:v>
      </x:c>
      <x:c r="P338" s="10" t="n">
        <x:f>SUM(XLOOKUP('포켓몬_편집'!$AF338:$AN338,'분류_규칙'!$A$5:$A$76,'분류_규칙'!$P$5:$P$76,0))</x:f>
        <x:v>0</x:v>
      </x:c>
    </x:row>
    <x:row r="339" ht="22" customHeight="1">
      <x:c r="A339" s="5" t="n">
        <x:v>335</x:v>
      </x:c>
      <x:c r="B339" s="5" t="inlineStr">
        <x:is>
          <x:t xml:space="preserve">쟝고</x:t>
        </x:is>
      </x:c>
      <x:c r="C339" s="5" t="inlineStr">
        <x:is>
          <x:t xml:space="preserve">zangoose</x:t>
        </x:is>
      </x:c>
      <x:c r="D339" s="5" t="n">
        <x:v>3</x:v>
      </x:c>
      <x:c r="E339" s="10" t="n">
        <x:f>SUM(XLOOKUP('포켓몬_편집'!$AF339:$AN339,'분류_규칙'!$A$5:$A$76,'분류_규칙'!$E$5:$E$76,0))</x:f>
        <x:v>10</x:v>
      </x:c>
      <x:c r="F339" s="10" t="n">
        <x:f>SUM(XLOOKUP('포켓몬_편집'!$AF339:$AN339,'분류_규칙'!$A$5:$A$76,'분류_규칙'!$F$5:$F$76,0))</x:f>
        <x:v>7</x:v>
      </x:c>
      <x:c r="G339" s="10" t="n">
        <x:f>SUM(XLOOKUP('포켓몬_편집'!$AF339:$AN339,'분류_규칙'!$A$5:$A$76,'분류_규칙'!$G$5:$G$76,0))</x:f>
        <x:v>5</x:v>
      </x:c>
      <x:c r="H339" s="10" t="n">
        <x:f>SUM(XLOOKUP('포켓몬_편집'!$AF339:$AN339,'분류_규칙'!$A$5:$A$76,'분류_규칙'!$H$5:$H$76,0))</x:f>
        <x:v>5</x:v>
      </x:c>
      <x:c r="I339" s="10" t="n">
        <x:f>SUM(XLOOKUP('포켓몬_편집'!$AF339:$AN339,'분류_규칙'!$A$5:$A$76,'분류_규칙'!$I$5:$I$76,0))</x:f>
        <x:v>0</x:v>
      </x:c>
      <x:c r="J339" s="10" t="n">
        <x:f>SUM(XLOOKUP('포켓몬_편집'!$AF339:$AN339,'분류_규칙'!$A$5:$A$76,'분류_규칙'!$J$5:$J$76,0))</x:f>
        <x:v>2</x:v>
      </x:c>
      <x:c r="K339" s="10" t="n">
        <x:f>SUM(XLOOKUP('포켓몬_편집'!$AF339:$AN339,'분류_규칙'!$A$5:$A$76,'분류_규칙'!$K$5:$K$76,0))</x:f>
        <x:v>0</x:v>
      </x:c>
      <x:c r="L339" s="10" t="n">
        <x:f>SUM(XLOOKUP('포켓몬_편집'!$AF339:$AN339,'분류_규칙'!$A$5:$A$76,'분류_규칙'!$L$5:$L$76,0))</x:f>
        <x:v>0</x:v>
      </x:c>
      <x:c r="M339" s="10" t="n">
        <x:f>SUM(XLOOKUP('포켓몬_편집'!$AF339:$AN339,'분류_규칙'!$A$5:$A$76,'분류_규칙'!$M$5:$M$76,0))</x:f>
        <x:v>0</x:v>
      </x:c>
      <x:c r="N339" s="10" t="n">
        <x:f>SUM(XLOOKUP('포켓몬_편집'!$AF339:$AN339,'분류_규칙'!$A$5:$A$76,'분류_규칙'!$N$5:$N$76,0))</x:f>
        <x:v>0</x:v>
      </x:c>
      <x:c r="O339" s="10" t="n">
        <x:f>SUM(XLOOKUP('포켓몬_편집'!$AF339:$AN339,'분류_규칙'!$A$5:$A$76,'분류_규칙'!$O$5:$O$76,0))</x:f>
        <x:v>2</x:v>
      </x:c>
      <x:c r="P339" s="10" t="n">
        <x:f>SUM(XLOOKUP('포켓몬_편집'!$AF339:$AN339,'분류_규칙'!$A$5:$A$76,'분류_규칙'!$P$5:$P$76,0))</x:f>
        <x:v>0</x:v>
      </x:c>
    </x:row>
    <x:row r="340" ht="22" customHeight="1">
      <x:c r="A340" s="5" t="n">
        <x:v>336</x:v>
      </x:c>
      <x:c r="B340" s="5" t="inlineStr">
        <x:is>
          <x:t xml:space="preserve">세비퍼</x:t>
        </x:is>
      </x:c>
      <x:c r="C340" s="5" t="inlineStr">
        <x:is>
          <x:t xml:space="preserve">seviper</x:t>
        </x:is>
      </x:c>
      <x:c r="D340" s="5" t="n">
        <x:v>3</x:v>
      </x:c>
      <x:c r="E340" s="10" t="n">
        <x:f>SUM(XLOOKUP('포켓몬_편집'!$AF340:$AN340,'분류_규칙'!$A$5:$A$76,'분류_규칙'!$E$5:$E$76,0))</x:f>
        <x:v>10</x:v>
      </x:c>
      <x:c r="F340" s="10" t="n">
        <x:f>SUM(XLOOKUP('포켓몬_편집'!$AF340:$AN340,'분류_규칙'!$A$5:$A$76,'분류_규칙'!$F$5:$F$76,0))</x:f>
        <x:v>7</x:v>
      </x:c>
      <x:c r="G340" s="10" t="n">
        <x:f>SUM(XLOOKUP('포켓몬_편집'!$AF340:$AN340,'분류_규칙'!$A$5:$A$76,'분류_규칙'!$G$5:$G$76,0))</x:f>
        <x:v>5</x:v>
      </x:c>
      <x:c r="H340" s="10" t="n">
        <x:f>SUM(XLOOKUP('포켓몬_편집'!$AF340:$AN340,'분류_규칙'!$A$5:$A$76,'분류_규칙'!$H$5:$H$76,0))</x:f>
        <x:v>5</x:v>
      </x:c>
      <x:c r="I340" s="10" t="n">
        <x:f>SUM(XLOOKUP('포켓몬_편집'!$AF340:$AN340,'분류_규칙'!$A$5:$A$76,'분류_규칙'!$I$5:$I$76,0))</x:f>
        <x:v>0</x:v>
      </x:c>
      <x:c r="J340" s="10" t="n">
        <x:f>SUM(XLOOKUP('포켓몬_편집'!$AF340:$AN340,'분류_규칙'!$A$5:$A$76,'분류_규칙'!$J$5:$J$76,0))</x:f>
        <x:v>2</x:v>
      </x:c>
      <x:c r="K340" s="10" t="n">
        <x:f>SUM(XLOOKUP('포켓몬_편집'!$AF340:$AN340,'분류_규칙'!$A$5:$A$76,'분류_규칙'!$K$5:$K$76,0))</x:f>
        <x:v>0</x:v>
      </x:c>
      <x:c r="L340" s="10" t="n">
        <x:f>SUM(XLOOKUP('포켓몬_편집'!$AF340:$AN340,'분류_규칙'!$A$5:$A$76,'분류_규칙'!$L$5:$L$76,0))</x:f>
        <x:v>0</x:v>
      </x:c>
      <x:c r="M340" s="10" t="n">
        <x:f>SUM(XLOOKUP('포켓몬_편집'!$AF340:$AN340,'분류_규칙'!$A$5:$A$76,'분류_규칙'!$M$5:$M$76,0))</x:f>
        <x:v>0</x:v>
      </x:c>
      <x:c r="N340" s="10" t="n">
        <x:f>SUM(XLOOKUP('포켓몬_편집'!$AF340:$AN340,'분류_규칙'!$A$5:$A$76,'분류_규칙'!$N$5:$N$76,0))</x:f>
        <x:v>0</x:v>
      </x:c>
      <x:c r="O340" s="10" t="n">
        <x:f>SUM(XLOOKUP('포켓몬_편집'!$AF340:$AN340,'분류_규칙'!$A$5:$A$76,'분류_규칙'!$O$5:$O$76,0))</x:f>
        <x:v>2</x:v>
      </x:c>
      <x:c r="P340" s="10" t="n">
        <x:f>SUM(XLOOKUP('포켓몬_편집'!$AF340:$AN340,'분류_규칙'!$A$5:$A$76,'분류_규칙'!$P$5:$P$76,0))</x:f>
        <x:v>0</x:v>
      </x:c>
    </x:row>
    <x:row r="341" ht="22" customHeight="1">
      <x:c r="A341" s="5" t="n">
        <x:v>337</x:v>
      </x:c>
      <x:c r="B341" s="5" t="inlineStr">
        <x:is>
          <x:t xml:space="preserve">루나톤</x:t>
        </x:is>
      </x:c>
      <x:c r="C341" s="5" t="inlineStr">
        <x:is>
          <x:t xml:space="preserve">lunatone</x:t>
        </x:is>
      </x:c>
      <x:c r="D341" s="5" t="n">
        <x:v>3</x:v>
      </x:c>
      <x:c r="E341" s="10" t="n">
        <x:f>SUM(XLOOKUP('포켓몬_편집'!$AF341:$AN341,'분류_규칙'!$A$5:$A$76,'분류_규칙'!$E$5:$E$76,0))</x:f>
        <x:v>0</x:v>
      </x:c>
      <x:c r="F341" s="10" t="n">
        <x:f>SUM(XLOOKUP('포켓몬_편집'!$AF341:$AN341,'분류_규칙'!$A$5:$A$76,'분류_규칙'!$F$5:$F$76,0))</x:f>
        <x:v>0</x:v>
      </x:c>
      <x:c r="G341" s="10" t="n">
        <x:f>SUM(XLOOKUP('포켓몬_편집'!$AF341:$AN341,'분류_규칙'!$A$5:$A$76,'분류_규칙'!$G$5:$G$76,0))</x:f>
        <x:v>0</x:v>
      </x:c>
      <x:c r="H341" s="10" t="n">
        <x:f>SUM(XLOOKUP('포켓몬_편집'!$AF341:$AN341,'분류_규칙'!$A$5:$A$76,'분류_규칙'!$H$5:$H$76,0))</x:f>
        <x:v>10</x:v>
      </x:c>
      <x:c r="I341" s="10" t="n">
        <x:f>SUM(XLOOKUP('포켓몬_편집'!$AF341:$AN341,'분류_규칙'!$A$5:$A$76,'분류_규칙'!$I$5:$I$76,0))</x:f>
        <x:v>30</x:v>
      </x:c>
      <x:c r="J341" s="10" t="n">
        <x:f>SUM(XLOOKUP('포켓몬_편집'!$AF341:$AN341,'분류_규칙'!$A$5:$A$76,'분류_규칙'!$J$5:$J$76,0))</x:f>
        <x:v>0</x:v>
      </x:c>
      <x:c r="K341" s="10" t="n">
        <x:f>SUM(XLOOKUP('포켓몬_편집'!$AF341:$AN341,'분류_규칙'!$A$5:$A$76,'분류_규칙'!$K$5:$K$76,0))</x:f>
        <x:v>0</x:v>
      </x:c>
      <x:c r="L341" s="10" t="n">
        <x:f>SUM(XLOOKUP('포켓몬_편집'!$AF341:$AN341,'분류_규칙'!$A$5:$A$76,'분류_규칙'!$L$5:$L$76,0))</x:f>
        <x:v>0</x:v>
      </x:c>
      <x:c r="M341" s="10" t="n">
        <x:f>SUM(XLOOKUP('포켓몬_편집'!$AF341:$AN341,'분류_규칙'!$A$5:$A$76,'분류_규칙'!$M$5:$M$76,0))</x:f>
        <x:v>0</x:v>
      </x:c>
      <x:c r="N341" s="10" t="n">
        <x:f>SUM(XLOOKUP('포켓몬_편집'!$AF341:$AN341,'분류_규칙'!$A$5:$A$76,'분류_규칙'!$N$5:$N$76,0))</x:f>
        <x:v>0</x:v>
      </x:c>
      <x:c r="O341" s="10" t="n">
        <x:f>SUM(XLOOKUP('포켓몬_편집'!$AF341:$AN341,'분류_규칙'!$A$5:$A$76,'분류_규칙'!$O$5:$O$76,0))</x:f>
        <x:v>0</x:v>
      </x:c>
      <x:c r="P341" s="10" t="n">
        <x:f>SUM(XLOOKUP('포켓몬_편집'!$AF341:$AN341,'분류_규칙'!$A$5:$A$76,'분류_규칙'!$P$5:$P$76,0))</x:f>
        <x:v>0</x:v>
      </x:c>
    </x:row>
    <x:row r="342" ht="22" customHeight="1">
      <x:c r="A342" s="5" t="n">
        <x:v>338</x:v>
      </x:c>
      <x:c r="B342" s="5" t="inlineStr">
        <x:is>
          <x:t xml:space="preserve">솔록</x:t>
        </x:is>
      </x:c>
      <x:c r="C342" s="5" t="inlineStr">
        <x:is>
          <x:t xml:space="preserve">solrock</x:t>
        </x:is>
      </x:c>
      <x:c r="D342" s="5" t="n">
        <x:v>3</x:v>
      </x:c>
      <x:c r="E342" s="10" t="n">
        <x:f>SUM(XLOOKUP('포켓몬_편집'!$AF342:$AN342,'분류_규칙'!$A$5:$A$76,'분류_규칙'!$E$5:$E$76,0))</x:f>
        <x:v>0</x:v>
      </x:c>
      <x:c r="F342" s="10" t="n">
        <x:f>SUM(XLOOKUP('포켓몬_편집'!$AF342:$AN342,'분류_규칙'!$A$5:$A$76,'분류_규칙'!$F$5:$F$76,0))</x:f>
        <x:v>0</x:v>
      </x:c>
      <x:c r="G342" s="10" t="n">
        <x:f>SUM(XLOOKUP('포켓몬_편집'!$AF342:$AN342,'분류_규칙'!$A$5:$A$76,'분류_규칙'!$G$5:$G$76,0))</x:f>
        <x:v>0</x:v>
      </x:c>
      <x:c r="H342" s="10" t="n">
        <x:f>SUM(XLOOKUP('포켓몬_편집'!$AF342:$AN342,'분류_규칙'!$A$5:$A$76,'분류_규칙'!$H$5:$H$76,0))</x:f>
        <x:v>10</x:v>
      </x:c>
      <x:c r="I342" s="10" t="n">
        <x:f>SUM(XLOOKUP('포켓몬_편집'!$AF342:$AN342,'분류_규칙'!$A$5:$A$76,'분류_규칙'!$I$5:$I$76,0))</x:f>
        <x:v>30</x:v>
      </x:c>
      <x:c r="J342" s="10" t="n">
        <x:f>SUM(XLOOKUP('포켓몬_편집'!$AF342:$AN342,'분류_규칙'!$A$5:$A$76,'분류_규칙'!$J$5:$J$76,0))</x:f>
        <x:v>0</x:v>
      </x:c>
      <x:c r="K342" s="10" t="n">
        <x:f>SUM(XLOOKUP('포켓몬_편집'!$AF342:$AN342,'분류_규칙'!$A$5:$A$76,'분류_규칙'!$K$5:$K$76,0))</x:f>
        <x:v>0</x:v>
      </x:c>
      <x:c r="L342" s="10" t="n">
        <x:f>SUM(XLOOKUP('포켓몬_편집'!$AF342:$AN342,'분류_규칙'!$A$5:$A$76,'분류_규칙'!$L$5:$L$76,0))</x:f>
        <x:v>0</x:v>
      </x:c>
      <x:c r="M342" s="10" t="n">
        <x:f>SUM(XLOOKUP('포켓몬_편집'!$AF342:$AN342,'분류_규칙'!$A$5:$A$76,'분류_규칙'!$M$5:$M$76,0))</x:f>
        <x:v>0</x:v>
      </x:c>
      <x:c r="N342" s="10" t="n">
        <x:f>SUM(XLOOKUP('포켓몬_편집'!$AF342:$AN342,'분류_규칙'!$A$5:$A$76,'분류_규칙'!$N$5:$N$76,0))</x:f>
        <x:v>0</x:v>
      </x:c>
      <x:c r="O342" s="10" t="n">
        <x:f>SUM(XLOOKUP('포켓몬_편집'!$AF342:$AN342,'분류_규칙'!$A$5:$A$76,'분류_규칙'!$O$5:$O$76,0))</x:f>
        <x:v>0</x:v>
      </x:c>
      <x:c r="P342" s="10" t="n">
        <x:f>SUM(XLOOKUP('포켓몬_편집'!$AF342:$AN342,'분류_규칙'!$A$5:$A$76,'분류_규칙'!$P$5:$P$76,0))</x:f>
        <x:v>0</x:v>
      </x:c>
    </x:row>
    <x:row r="343" ht="22" customHeight="1">
      <x:c r="A343" s="5" t="n">
        <x:v>339</x:v>
      </x:c>
      <x:c r="B343" s="5" t="inlineStr">
        <x:is>
          <x:t xml:space="preserve">미꾸리</x:t>
        </x:is>
      </x:c>
      <x:c r="C343" s="5" t="inlineStr">
        <x:is>
          <x:t xml:space="preserve">barboach</x:t>
        </x:is>
      </x:c>
      <x:c r="D343" s="5" t="n">
        <x:v>3</x:v>
      </x:c>
      <x:c r="E343" s="10" t="n">
        <x:f>SUM(XLOOKUP('포켓몬_편집'!$AF343:$AN343,'분류_규칙'!$A$5:$A$76,'분류_규칙'!$E$5:$E$76,0))</x:f>
        <x:v>0</x:v>
      </x:c>
      <x:c r="F343" s="10" t="n">
        <x:f>SUM(XLOOKUP('포켓몬_편집'!$AF343:$AN343,'분류_규칙'!$A$5:$A$76,'분류_규칙'!$F$5:$F$76,0))</x:f>
        <x:v>0</x:v>
      </x:c>
      <x:c r="G343" s="10" t="n">
        <x:f>SUM(XLOOKUP('포켓몬_편집'!$AF343:$AN343,'분류_규칙'!$A$5:$A$76,'분류_규칙'!$G$5:$G$76,0))</x:f>
        <x:v>0</x:v>
      </x:c>
      <x:c r="H343" s="10" t="n">
        <x:f>SUM(XLOOKUP('포켓몬_편집'!$AF343:$AN343,'분류_규칙'!$A$5:$A$76,'분류_규칙'!$H$5:$H$76,0))</x:f>
        <x:v>0</x:v>
      </x:c>
      <x:c r="I343" s="10" t="n">
        <x:f>SUM(XLOOKUP('포켓몬_편집'!$AF343:$AN343,'분류_규칙'!$A$5:$A$76,'분류_규칙'!$I$5:$I$76,0))</x:f>
        <x:v>0</x:v>
      </x:c>
      <x:c r="J343" s="10" t="n">
        <x:f>SUM(XLOOKUP('포켓몬_편집'!$AF343:$AN343,'분류_규칙'!$A$5:$A$76,'분류_규칙'!$J$5:$J$76,0))</x:f>
        <x:v>12</x:v>
      </x:c>
      <x:c r="K343" s="10" t="n">
        <x:f>SUM(XLOOKUP('포켓몬_편집'!$AF343:$AN343,'분류_규칙'!$A$5:$A$76,'분류_규칙'!$K$5:$K$76,0))</x:f>
        <x:v>30</x:v>
      </x:c>
      <x:c r="L343" s="10" t="n">
        <x:f>SUM(XLOOKUP('포켓몬_편집'!$AF343:$AN343,'분류_규칙'!$A$5:$A$76,'분류_규칙'!$L$5:$L$76,0))</x:f>
        <x:v>0</x:v>
      </x:c>
      <x:c r="M343" s="10" t="n">
        <x:f>SUM(XLOOKUP('포켓몬_편집'!$AF343:$AN343,'분류_규칙'!$A$5:$A$76,'분류_규칙'!$M$5:$M$76,0))</x:f>
        <x:v>0</x:v>
      </x:c>
      <x:c r="N343" s="10" t="n">
        <x:f>SUM(XLOOKUP('포켓몬_편집'!$AF343:$AN343,'분류_규칙'!$A$5:$A$76,'분류_규칙'!$N$5:$N$76,0))</x:f>
        <x:v>0</x:v>
      </x:c>
      <x:c r="O343" s="10" t="n">
        <x:f>SUM(XLOOKUP('포켓몬_편집'!$AF343:$AN343,'분류_규칙'!$A$5:$A$76,'분류_규칙'!$O$5:$O$76,0))</x:f>
        <x:v>0</x:v>
      </x:c>
      <x:c r="P343" s="10" t="n">
        <x:f>SUM(XLOOKUP('포켓몬_편집'!$AF343:$AN343,'분류_규칙'!$A$5:$A$76,'분류_규칙'!$P$5:$P$76,0))</x:f>
        <x:v>0</x:v>
      </x:c>
    </x:row>
    <x:row r="344" ht="22" customHeight="1">
      <x:c r="A344" s="5" t="n">
        <x:v>340</x:v>
      </x:c>
      <x:c r="B344" s="5" t="inlineStr">
        <x:is>
          <x:t xml:space="preserve">메깅</x:t>
        </x:is>
      </x:c>
      <x:c r="C344" s="5" t="inlineStr">
        <x:is>
          <x:t xml:space="preserve">whiscash</x:t>
        </x:is>
      </x:c>
      <x:c r="D344" s="5" t="n">
        <x:v>3</x:v>
      </x:c>
      <x:c r="E344" s="10" t="n">
        <x:f>SUM(XLOOKUP('포켓몬_편집'!$AF344:$AN344,'분류_규칙'!$A$5:$A$76,'분류_규칙'!$E$5:$E$76,0))</x:f>
        <x:v>0</x:v>
      </x:c>
      <x:c r="F344" s="10" t="n">
        <x:f>SUM(XLOOKUP('포켓몬_편집'!$AF344:$AN344,'분류_규칙'!$A$5:$A$76,'분류_규칙'!$F$5:$F$76,0))</x:f>
        <x:v>0</x:v>
      </x:c>
      <x:c r="G344" s="10" t="n">
        <x:f>SUM(XLOOKUP('포켓몬_편집'!$AF344:$AN344,'분류_규칙'!$A$5:$A$76,'분류_규칙'!$G$5:$G$76,0))</x:f>
        <x:v>0</x:v>
      </x:c>
      <x:c r="H344" s="10" t="n">
        <x:f>SUM(XLOOKUP('포켓몬_편집'!$AF344:$AN344,'분류_규칙'!$A$5:$A$76,'분류_규칙'!$H$5:$H$76,0))</x:f>
        <x:v>0</x:v>
      </x:c>
      <x:c r="I344" s="10" t="n">
        <x:f>SUM(XLOOKUP('포켓몬_편집'!$AF344:$AN344,'분류_규칙'!$A$5:$A$76,'분류_규칙'!$I$5:$I$76,0))</x:f>
        <x:v>0</x:v>
      </x:c>
      <x:c r="J344" s="10" t="n">
        <x:f>SUM(XLOOKUP('포켓몬_편집'!$AF344:$AN344,'분류_규칙'!$A$5:$A$76,'분류_규칙'!$J$5:$J$76,0))</x:f>
        <x:v>12</x:v>
      </x:c>
      <x:c r="K344" s="10" t="n">
        <x:f>SUM(XLOOKUP('포켓몬_편집'!$AF344:$AN344,'분류_규칙'!$A$5:$A$76,'분류_규칙'!$K$5:$K$76,0))</x:f>
        <x:v>30</x:v>
      </x:c>
      <x:c r="L344" s="10" t="n">
        <x:f>SUM(XLOOKUP('포켓몬_편집'!$AF344:$AN344,'분류_규칙'!$A$5:$A$76,'분류_규칙'!$L$5:$L$76,0))</x:f>
        <x:v>0</x:v>
      </x:c>
      <x:c r="M344" s="10" t="n">
        <x:f>SUM(XLOOKUP('포켓몬_편집'!$AF344:$AN344,'분류_규칙'!$A$5:$A$76,'분류_규칙'!$M$5:$M$76,0))</x:f>
        <x:v>0</x:v>
      </x:c>
      <x:c r="N344" s="10" t="n">
        <x:f>SUM(XLOOKUP('포켓몬_편집'!$AF344:$AN344,'분류_규칙'!$A$5:$A$76,'분류_규칙'!$N$5:$N$76,0))</x:f>
        <x:v>0</x:v>
      </x:c>
      <x:c r="O344" s="10" t="n">
        <x:f>SUM(XLOOKUP('포켓몬_편집'!$AF344:$AN344,'분류_규칙'!$A$5:$A$76,'분류_규칙'!$O$5:$O$76,0))</x:f>
        <x:v>0</x:v>
      </x:c>
      <x:c r="P344" s="10" t="n">
        <x:f>SUM(XLOOKUP('포켓몬_편집'!$AF344:$AN344,'분류_규칙'!$A$5:$A$76,'분류_규칙'!$P$5:$P$76,0))</x:f>
        <x:v>0</x:v>
      </x:c>
    </x:row>
    <x:row r="345" ht="22" customHeight="1">
      <x:c r="A345" s="5" t="n">
        <x:v>341</x:v>
      </x:c>
      <x:c r="B345" s="5" t="inlineStr">
        <x:is>
          <x:t xml:space="preserve">가재군</x:t>
        </x:is>
      </x:c>
      <x:c r="C345" s="5" t="inlineStr">
        <x:is>
          <x:t xml:space="preserve">corphish</x:t>
        </x:is>
      </x:c>
      <x:c r="D345" s="5" t="n">
        <x:v>3</x:v>
      </x:c>
      <x:c r="E345" s="10" t="n">
        <x:f>SUM(XLOOKUP('포켓몬_편집'!$AF345:$AN345,'분류_규칙'!$A$5:$A$76,'분류_규칙'!$E$5:$E$76,0))</x:f>
        <x:v>0</x:v>
      </x:c>
      <x:c r="F345" s="10" t="n">
        <x:f>SUM(XLOOKUP('포켓몬_편집'!$AF345:$AN345,'분류_규칙'!$A$5:$A$76,'분류_규칙'!$F$5:$F$76,0))</x:f>
        <x:v>0</x:v>
      </x:c>
      <x:c r="G345" s="10" t="n">
        <x:f>SUM(XLOOKUP('포켓몬_편집'!$AF345:$AN345,'분류_규칙'!$A$5:$A$76,'분류_규칙'!$G$5:$G$76,0))</x:f>
        <x:v>0</x:v>
      </x:c>
      <x:c r="H345" s="10" t="n">
        <x:f>SUM(XLOOKUP('포켓몬_편집'!$AF345:$AN345,'분류_규칙'!$A$5:$A$76,'분류_규칙'!$H$5:$H$76,0))</x:f>
        <x:v>0</x:v>
      </x:c>
      <x:c r="I345" s="10" t="n">
        <x:f>SUM(XLOOKUP('포켓몬_편집'!$AF345:$AN345,'분류_규칙'!$A$5:$A$76,'분류_규칙'!$I$5:$I$76,0))</x:f>
        <x:v>0</x:v>
      </x:c>
      <x:c r="J345" s="10" t="n">
        <x:f>SUM(XLOOKUP('포켓몬_편집'!$AF345:$AN345,'분류_규칙'!$A$5:$A$76,'분류_규칙'!$J$5:$J$76,0))</x:f>
        <x:v>12</x:v>
      </x:c>
      <x:c r="K345" s="10" t="n">
        <x:f>SUM(XLOOKUP('포켓몬_편집'!$AF345:$AN345,'분류_규칙'!$A$5:$A$76,'분류_규칙'!$K$5:$K$76,0))</x:f>
        <x:v>30</x:v>
      </x:c>
      <x:c r="L345" s="10" t="n">
        <x:f>SUM(XLOOKUP('포켓몬_편집'!$AF345:$AN345,'분류_규칙'!$A$5:$A$76,'분류_규칙'!$L$5:$L$76,0))</x:f>
        <x:v>0</x:v>
      </x:c>
      <x:c r="M345" s="10" t="n">
        <x:f>SUM(XLOOKUP('포켓몬_편집'!$AF345:$AN345,'분류_규칙'!$A$5:$A$76,'분류_규칙'!$M$5:$M$76,0))</x:f>
        <x:v>0</x:v>
      </x:c>
      <x:c r="N345" s="10" t="n">
        <x:f>SUM(XLOOKUP('포켓몬_편집'!$AF345:$AN345,'분류_규칙'!$A$5:$A$76,'분류_규칙'!$N$5:$N$76,0))</x:f>
        <x:v>0</x:v>
      </x:c>
      <x:c r="O345" s="10" t="n">
        <x:f>SUM(XLOOKUP('포켓몬_편집'!$AF345:$AN345,'분류_규칙'!$A$5:$A$76,'분류_규칙'!$O$5:$O$76,0))</x:f>
        <x:v>0</x:v>
      </x:c>
      <x:c r="P345" s="10" t="n">
        <x:f>SUM(XLOOKUP('포켓몬_편집'!$AF345:$AN345,'분류_규칙'!$A$5:$A$76,'분류_규칙'!$P$5:$P$76,0))</x:f>
        <x:v>0</x:v>
      </x:c>
    </x:row>
    <x:row r="346" ht="22" customHeight="1">
      <x:c r="A346" s="5" t="n">
        <x:v>342</x:v>
      </x:c>
      <x:c r="B346" s="5" t="inlineStr">
        <x:is>
          <x:t xml:space="preserve">가재장군</x:t>
        </x:is>
      </x:c>
      <x:c r="C346" s="5" t="inlineStr">
        <x:is>
          <x:t xml:space="preserve">crawdaunt</x:t>
        </x:is>
      </x:c>
      <x:c r="D346" s="5" t="n">
        <x:v>3</x:v>
      </x:c>
      <x:c r="E346" s="10" t="n">
        <x:f>SUM(XLOOKUP('포켓몬_편집'!$AF346:$AN346,'분류_규칙'!$A$5:$A$76,'분류_규칙'!$E$5:$E$76,0))</x:f>
        <x:v>0</x:v>
      </x:c>
      <x:c r="F346" s="10" t="n">
        <x:f>SUM(XLOOKUP('포켓몬_편집'!$AF346:$AN346,'분류_규칙'!$A$5:$A$76,'분류_규칙'!$F$5:$F$76,0))</x:f>
        <x:v>0</x:v>
      </x:c>
      <x:c r="G346" s="10" t="n">
        <x:f>SUM(XLOOKUP('포켓몬_편집'!$AF346:$AN346,'분류_규칙'!$A$5:$A$76,'분류_규칙'!$G$5:$G$76,0))</x:f>
        <x:v>0</x:v>
      </x:c>
      <x:c r="H346" s="10" t="n">
        <x:f>SUM(XLOOKUP('포켓몬_편집'!$AF346:$AN346,'분류_규칙'!$A$5:$A$76,'분류_규칙'!$H$5:$H$76,0))</x:f>
        <x:v>0</x:v>
      </x:c>
      <x:c r="I346" s="10" t="n">
        <x:f>SUM(XLOOKUP('포켓몬_편집'!$AF346:$AN346,'분류_규칙'!$A$5:$A$76,'분류_규칙'!$I$5:$I$76,0))</x:f>
        <x:v>0</x:v>
      </x:c>
      <x:c r="J346" s="10" t="n">
        <x:f>SUM(XLOOKUP('포켓몬_편집'!$AF346:$AN346,'분류_규칙'!$A$5:$A$76,'분류_규칙'!$J$5:$J$76,0))</x:f>
        <x:v>12</x:v>
      </x:c>
      <x:c r="K346" s="10" t="n">
        <x:f>SUM(XLOOKUP('포켓몬_편집'!$AF346:$AN346,'분류_규칙'!$A$5:$A$76,'분류_규칙'!$K$5:$K$76,0))</x:f>
        <x:v>30</x:v>
      </x:c>
      <x:c r="L346" s="10" t="n">
        <x:f>SUM(XLOOKUP('포켓몬_편집'!$AF346:$AN346,'분류_규칙'!$A$5:$A$76,'분류_규칙'!$L$5:$L$76,0))</x:f>
        <x:v>0</x:v>
      </x:c>
      <x:c r="M346" s="10" t="n">
        <x:f>SUM(XLOOKUP('포켓몬_편집'!$AF346:$AN346,'분류_규칙'!$A$5:$A$76,'분류_규칙'!$M$5:$M$76,0))</x:f>
        <x:v>0</x:v>
      </x:c>
      <x:c r="N346" s="10" t="n">
        <x:f>SUM(XLOOKUP('포켓몬_편집'!$AF346:$AN346,'분류_규칙'!$A$5:$A$76,'분류_규칙'!$N$5:$N$76,0))</x:f>
        <x:v>0</x:v>
      </x:c>
      <x:c r="O346" s="10" t="n">
        <x:f>SUM(XLOOKUP('포켓몬_편집'!$AF346:$AN346,'분류_규칙'!$A$5:$A$76,'분류_규칙'!$O$5:$O$76,0))</x:f>
        <x:v>0</x:v>
      </x:c>
      <x:c r="P346" s="10" t="n">
        <x:f>SUM(XLOOKUP('포켓몬_편집'!$AF346:$AN346,'분류_규칙'!$A$5:$A$76,'분류_규칙'!$P$5:$P$76,0))</x:f>
        <x:v>0</x:v>
      </x:c>
    </x:row>
    <x:row r="347" ht="22" customHeight="1">
      <x:c r="A347" s="5" t="n">
        <x:v>343</x:v>
      </x:c>
      <x:c r="B347" s="5" t="inlineStr">
        <x:is>
          <x:t xml:space="preserve">오뚝군</x:t>
        </x:is>
      </x:c>
      <x:c r="C347" s="5" t="inlineStr">
        <x:is>
          <x:t xml:space="preserve">baltoy</x:t>
        </x:is>
      </x:c>
      <x:c r="D347" s="5" t="n">
        <x:v>3</x:v>
      </x:c>
      <x:c r="E347" s="10" t="n">
        <x:f>SUM(XLOOKUP('포켓몬_편집'!$AF347:$AN347,'분류_규칙'!$A$5:$A$76,'분류_규칙'!$E$5:$E$76,0))</x:f>
        <x:v>0</x:v>
      </x:c>
      <x:c r="F347" s="10" t="n">
        <x:f>SUM(XLOOKUP('포켓몬_편집'!$AF347:$AN347,'분류_규칙'!$A$5:$A$76,'분류_규칙'!$F$5:$F$76,0))</x:f>
        <x:v>0</x:v>
      </x:c>
      <x:c r="G347" s="10" t="n">
        <x:f>SUM(XLOOKUP('포켓몬_편집'!$AF347:$AN347,'분류_규칙'!$A$5:$A$76,'분류_규칙'!$G$5:$G$76,0))</x:f>
        <x:v>0</x:v>
      </x:c>
      <x:c r="H347" s="10" t="n">
        <x:f>SUM(XLOOKUP('포켓몬_편집'!$AF347:$AN347,'분류_규칙'!$A$5:$A$76,'분류_규칙'!$H$5:$H$76,0))</x:f>
        <x:v>0</x:v>
      </x:c>
      <x:c r="I347" s="10" t="n">
        <x:f>SUM(XLOOKUP('포켓몬_편집'!$AF347:$AN347,'분류_규칙'!$A$5:$A$76,'분류_규칙'!$I$5:$I$76,0))</x:f>
        <x:v>0</x:v>
      </x:c>
      <x:c r="J347" s="10" t="n">
        <x:f>SUM(XLOOKUP('포켓몬_편집'!$AF347:$AN347,'분류_규칙'!$A$5:$A$76,'분류_규칙'!$J$5:$J$76,0))</x:f>
        <x:v>0</x:v>
      </x:c>
      <x:c r="K347" s="10" t="n">
        <x:f>SUM(XLOOKUP('포켓몬_편집'!$AF347:$AN347,'분류_규칙'!$A$5:$A$76,'분류_규칙'!$K$5:$K$76,0))</x:f>
        <x:v>0</x:v>
      </x:c>
      <x:c r="L347" s="10" t="n">
        <x:f>SUM(XLOOKUP('포켓몬_편집'!$AF347:$AN347,'분류_규칙'!$A$5:$A$76,'분류_규칙'!$L$5:$L$76,0))</x:f>
        <x:v>0</x:v>
      </x:c>
      <x:c r="M347" s="10" t="n">
        <x:f>SUM(XLOOKUP('포켓몬_편집'!$AF347:$AN347,'분류_규칙'!$A$5:$A$76,'분류_규칙'!$M$5:$M$76,0))</x:f>
        <x:v>0</x:v>
      </x:c>
      <x:c r="N347" s="10" t="n">
        <x:f>SUM(XLOOKUP('포켓몬_편집'!$AF347:$AN347,'분류_규칙'!$A$5:$A$76,'분류_규칙'!$N$5:$N$76,0))</x:f>
        <x:v>0</x:v>
      </x:c>
      <x:c r="O347" s="10" t="n">
        <x:f>SUM(XLOOKUP('포켓몬_편집'!$AF347:$AN347,'분류_규칙'!$A$5:$A$76,'분류_규칙'!$O$5:$O$76,0))</x:f>
        <x:v>30</x:v>
      </x:c>
      <x:c r="P347" s="10" t="n">
        <x:f>SUM(XLOOKUP('포켓몬_편집'!$AF347:$AN347,'분류_규칙'!$A$5:$A$76,'분류_규칙'!$P$5:$P$76,0))</x:f>
        <x:v>8</x:v>
      </x:c>
    </x:row>
    <x:row r="348" ht="22" customHeight="1">
      <x:c r="A348" s="5" t="n">
        <x:v>344</x:v>
      </x:c>
      <x:c r="B348" s="5" t="inlineStr">
        <x:is>
          <x:t xml:space="preserve">점토도리</x:t>
        </x:is>
      </x:c>
      <x:c r="C348" s="5" t="inlineStr">
        <x:is>
          <x:t xml:space="preserve">claydol</x:t>
        </x:is>
      </x:c>
      <x:c r="D348" s="5" t="n">
        <x:v>3</x:v>
      </x:c>
      <x:c r="E348" s="10" t="n">
        <x:f>SUM(XLOOKUP('포켓몬_편집'!$AF348:$AN348,'분류_규칙'!$A$5:$A$76,'분류_규칙'!$E$5:$E$76,0))</x:f>
        <x:v>0</x:v>
      </x:c>
      <x:c r="F348" s="10" t="n">
        <x:f>SUM(XLOOKUP('포켓몬_편집'!$AF348:$AN348,'분류_규칙'!$A$5:$A$76,'분류_규칙'!$F$5:$F$76,0))</x:f>
        <x:v>0</x:v>
      </x:c>
      <x:c r="G348" s="10" t="n">
        <x:f>SUM(XLOOKUP('포켓몬_편집'!$AF348:$AN348,'분류_규칙'!$A$5:$A$76,'분류_규칙'!$G$5:$G$76,0))</x:f>
        <x:v>0</x:v>
      </x:c>
      <x:c r="H348" s="10" t="n">
        <x:f>SUM(XLOOKUP('포켓몬_편집'!$AF348:$AN348,'분류_규칙'!$A$5:$A$76,'분류_규칙'!$H$5:$H$76,0))</x:f>
        <x:v>0</x:v>
      </x:c>
      <x:c r="I348" s="10" t="n">
        <x:f>SUM(XLOOKUP('포켓몬_편집'!$AF348:$AN348,'분류_규칙'!$A$5:$A$76,'분류_규칙'!$I$5:$I$76,0))</x:f>
        <x:v>0</x:v>
      </x:c>
      <x:c r="J348" s="10" t="n">
        <x:f>SUM(XLOOKUP('포켓몬_편집'!$AF348:$AN348,'분류_규칙'!$A$5:$A$76,'분류_규칙'!$J$5:$J$76,0))</x:f>
        <x:v>0</x:v>
      </x:c>
      <x:c r="K348" s="10" t="n">
        <x:f>SUM(XLOOKUP('포켓몬_편집'!$AF348:$AN348,'분류_규칙'!$A$5:$A$76,'분류_규칙'!$K$5:$K$76,0))</x:f>
        <x:v>0</x:v>
      </x:c>
      <x:c r="L348" s="10" t="n">
        <x:f>SUM(XLOOKUP('포켓몬_편집'!$AF348:$AN348,'분류_규칙'!$A$5:$A$76,'분류_규칙'!$L$5:$L$76,0))</x:f>
        <x:v>0</x:v>
      </x:c>
      <x:c r="M348" s="10" t="n">
        <x:f>SUM(XLOOKUP('포켓몬_편집'!$AF348:$AN348,'분류_규칙'!$A$5:$A$76,'분류_규칙'!$M$5:$M$76,0))</x:f>
        <x:v>0</x:v>
      </x:c>
      <x:c r="N348" s="10" t="n">
        <x:f>SUM(XLOOKUP('포켓몬_편집'!$AF348:$AN348,'분류_규칙'!$A$5:$A$76,'분류_규칙'!$N$5:$N$76,0))</x:f>
        <x:v>0</x:v>
      </x:c>
      <x:c r="O348" s="10" t="n">
        <x:f>SUM(XLOOKUP('포켓몬_편집'!$AF348:$AN348,'분류_규칙'!$A$5:$A$76,'분류_규칙'!$O$5:$O$76,0))</x:f>
        <x:v>30</x:v>
      </x:c>
      <x:c r="P348" s="10" t="n">
        <x:f>SUM(XLOOKUP('포켓몬_편집'!$AF348:$AN348,'분류_규칙'!$A$5:$A$76,'분류_규칙'!$P$5:$P$76,0))</x:f>
        <x:v>8</x:v>
      </x:c>
    </x:row>
    <x:row r="349" ht="22" customHeight="1">
      <x:c r="A349" s="5" t="n">
        <x:v>345</x:v>
      </x:c>
      <x:c r="B349" s="5" t="inlineStr">
        <x:is>
          <x:t xml:space="preserve">릴링</x:t>
        </x:is>
      </x:c>
      <x:c r="C349" s="5" t="inlineStr">
        <x:is>
          <x:t xml:space="preserve">lileep</x:t>
        </x:is>
      </x:c>
      <x:c r="D349" s="5" t="n">
        <x:v>3</x:v>
      </x:c>
      <x:c r="E349" s="10" t="n">
        <x:f>SUM(XLOOKUP('포켓몬_편집'!$AF349:$AN349,'분류_규칙'!$A$5:$A$76,'분류_규칙'!$E$5:$E$76,0))</x:f>
        <x:v>10</x:v>
      </x:c>
      <x:c r="F349" s="10" t="n">
        <x:f>SUM(XLOOKUP('포켓몬_편집'!$AF349:$AN349,'분류_규칙'!$A$5:$A$76,'분류_규칙'!$F$5:$F$76,0))</x:f>
        <x:v>7</x:v>
      </x:c>
      <x:c r="G349" s="10" t="n">
        <x:f>SUM(XLOOKUP('포켓몬_편집'!$AF349:$AN349,'분류_규칙'!$A$5:$A$76,'분류_규칙'!$G$5:$G$76,0))</x:f>
        <x:v>5</x:v>
      </x:c>
      <x:c r="H349" s="10" t="n">
        <x:f>SUM(XLOOKUP('포켓몬_편집'!$AF349:$AN349,'분류_규칙'!$A$5:$A$76,'분류_규칙'!$H$5:$H$76,0))</x:f>
        <x:v>5</x:v>
      </x:c>
      <x:c r="I349" s="10" t="n">
        <x:f>SUM(XLOOKUP('포켓몬_편집'!$AF349:$AN349,'분류_규칙'!$A$5:$A$76,'분류_규칙'!$I$5:$I$76,0))</x:f>
        <x:v>0</x:v>
      </x:c>
      <x:c r="J349" s="10" t="n">
        <x:f>SUM(XLOOKUP('포켓몬_편집'!$AF349:$AN349,'분류_규칙'!$A$5:$A$76,'분류_규칙'!$J$5:$J$76,0))</x:f>
        <x:v>2</x:v>
      </x:c>
      <x:c r="K349" s="10" t="n">
        <x:f>SUM(XLOOKUP('포켓몬_편집'!$AF349:$AN349,'분류_규칙'!$A$5:$A$76,'분류_규칙'!$K$5:$K$76,0))</x:f>
        <x:v>0</x:v>
      </x:c>
      <x:c r="L349" s="10" t="n">
        <x:f>SUM(XLOOKUP('포켓몬_편집'!$AF349:$AN349,'분류_규칙'!$A$5:$A$76,'분류_규칙'!$L$5:$L$76,0))</x:f>
        <x:v>0</x:v>
      </x:c>
      <x:c r="M349" s="10" t="n">
        <x:f>SUM(XLOOKUP('포켓몬_편집'!$AF349:$AN349,'분류_규칙'!$A$5:$A$76,'분류_규칙'!$M$5:$M$76,0))</x:f>
        <x:v>0</x:v>
      </x:c>
      <x:c r="N349" s="10" t="n">
        <x:f>SUM(XLOOKUP('포켓몬_편집'!$AF349:$AN349,'분류_규칙'!$A$5:$A$76,'분류_규칙'!$N$5:$N$76,0))</x:f>
        <x:v>0</x:v>
      </x:c>
      <x:c r="O349" s="10" t="n">
        <x:f>SUM(XLOOKUP('포켓몬_편집'!$AF349:$AN349,'분류_규칙'!$A$5:$A$76,'분류_규칙'!$O$5:$O$76,0))</x:f>
        <x:v>2</x:v>
      </x:c>
      <x:c r="P349" s="10" t="n">
        <x:f>SUM(XLOOKUP('포켓몬_편집'!$AF349:$AN349,'분류_규칙'!$A$5:$A$76,'분류_규칙'!$P$5:$P$76,0))</x:f>
        <x:v>0</x:v>
      </x:c>
    </x:row>
    <x:row r="350" ht="22" customHeight="1">
      <x:c r="A350" s="5" t="n">
        <x:v>346</x:v>
      </x:c>
      <x:c r="B350" s="5" t="inlineStr">
        <x:is>
          <x:t xml:space="preserve">릴리요</x:t>
        </x:is>
      </x:c>
      <x:c r="C350" s="5" t="inlineStr">
        <x:is>
          <x:t xml:space="preserve">cradily</x:t>
        </x:is>
      </x:c>
      <x:c r="D350" s="5" t="n">
        <x:v>3</x:v>
      </x:c>
      <x:c r="E350" s="10" t="n">
        <x:f>SUM(XLOOKUP('포켓몬_편집'!$AF350:$AN350,'분류_규칙'!$A$5:$A$76,'분류_규칙'!$E$5:$E$76,0))</x:f>
        <x:v>10</x:v>
      </x:c>
      <x:c r="F350" s="10" t="n">
        <x:f>SUM(XLOOKUP('포켓몬_편집'!$AF350:$AN350,'분류_규칙'!$A$5:$A$76,'분류_규칙'!$F$5:$F$76,0))</x:f>
        <x:v>7</x:v>
      </x:c>
      <x:c r="G350" s="10" t="n">
        <x:f>SUM(XLOOKUP('포켓몬_편집'!$AF350:$AN350,'분류_규칙'!$A$5:$A$76,'분류_규칙'!$G$5:$G$76,0))</x:f>
        <x:v>5</x:v>
      </x:c>
      <x:c r="H350" s="10" t="n">
        <x:f>SUM(XLOOKUP('포켓몬_편집'!$AF350:$AN350,'분류_규칙'!$A$5:$A$76,'분류_규칙'!$H$5:$H$76,0))</x:f>
        <x:v>5</x:v>
      </x:c>
      <x:c r="I350" s="10" t="n">
        <x:f>SUM(XLOOKUP('포켓몬_편집'!$AF350:$AN350,'분류_규칙'!$A$5:$A$76,'분류_규칙'!$I$5:$I$76,0))</x:f>
        <x:v>0</x:v>
      </x:c>
      <x:c r="J350" s="10" t="n">
        <x:f>SUM(XLOOKUP('포켓몬_편집'!$AF350:$AN350,'분류_규칙'!$A$5:$A$76,'분류_규칙'!$J$5:$J$76,0))</x:f>
        <x:v>2</x:v>
      </x:c>
      <x:c r="K350" s="10" t="n">
        <x:f>SUM(XLOOKUP('포켓몬_편집'!$AF350:$AN350,'분류_규칙'!$A$5:$A$76,'분류_규칙'!$K$5:$K$76,0))</x:f>
        <x:v>0</x:v>
      </x:c>
      <x:c r="L350" s="10" t="n">
        <x:f>SUM(XLOOKUP('포켓몬_편집'!$AF350:$AN350,'분류_규칙'!$A$5:$A$76,'분류_규칙'!$L$5:$L$76,0))</x:f>
        <x:v>0</x:v>
      </x:c>
      <x:c r="M350" s="10" t="n">
        <x:f>SUM(XLOOKUP('포켓몬_편집'!$AF350:$AN350,'분류_규칙'!$A$5:$A$76,'분류_규칙'!$M$5:$M$76,0))</x:f>
        <x:v>0</x:v>
      </x:c>
      <x:c r="N350" s="10" t="n">
        <x:f>SUM(XLOOKUP('포켓몬_편집'!$AF350:$AN350,'분류_규칙'!$A$5:$A$76,'분류_규칙'!$N$5:$N$76,0))</x:f>
        <x:v>0</x:v>
      </x:c>
      <x:c r="O350" s="10" t="n">
        <x:f>SUM(XLOOKUP('포켓몬_편집'!$AF350:$AN350,'분류_규칙'!$A$5:$A$76,'분류_규칙'!$O$5:$O$76,0))</x:f>
        <x:v>2</x:v>
      </x:c>
      <x:c r="P350" s="10" t="n">
        <x:f>SUM(XLOOKUP('포켓몬_편집'!$AF350:$AN350,'분류_규칙'!$A$5:$A$76,'분류_규칙'!$P$5:$P$76,0))</x:f>
        <x:v>0</x:v>
      </x:c>
    </x:row>
    <x:row r="351" ht="22" customHeight="1">
      <x:c r="A351" s="5" t="n">
        <x:v>347</x:v>
      </x:c>
      <x:c r="B351" s="5" t="inlineStr">
        <x:is>
          <x:t xml:space="preserve">아노딥스</x:t>
        </x:is>
      </x:c>
      <x:c r="C351" s="5" t="inlineStr">
        <x:is>
          <x:t xml:space="preserve">anorith</x:t>
        </x:is>
      </x:c>
      <x:c r="D351" s="5" t="n">
        <x:v>3</x:v>
      </x:c>
      <x:c r="E351" s="10" t="n">
        <x:f>SUM(XLOOKUP('포켓몬_편집'!$AF351:$AN351,'분류_규칙'!$A$5:$A$76,'분류_규칙'!$E$5:$E$76,0))</x:f>
        <x:v>10</x:v>
      </x:c>
      <x:c r="F351" s="10" t="n">
        <x:f>SUM(XLOOKUP('포켓몬_편집'!$AF351:$AN351,'분류_규칙'!$A$5:$A$76,'분류_규칙'!$F$5:$F$76,0))</x:f>
        <x:v>7</x:v>
      </x:c>
      <x:c r="G351" s="10" t="n">
        <x:f>SUM(XLOOKUP('포켓몬_편집'!$AF351:$AN351,'분류_규칙'!$A$5:$A$76,'분류_규칙'!$G$5:$G$76,0))</x:f>
        <x:v>5</x:v>
      </x:c>
      <x:c r="H351" s="10" t="n">
        <x:f>SUM(XLOOKUP('포켓몬_편집'!$AF351:$AN351,'분류_규칙'!$A$5:$A$76,'분류_규칙'!$H$5:$H$76,0))</x:f>
        <x:v>5</x:v>
      </x:c>
      <x:c r="I351" s="10" t="n">
        <x:f>SUM(XLOOKUP('포켓몬_편집'!$AF351:$AN351,'분류_규칙'!$A$5:$A$76,'분류_규칙'!$I$5:$I$76,0))</x:f>
        <x:v>0</x:v>
      </x:c>
      <x:c r="J351" s="10" t="n">
        <x:f>SUM(XLOOKUP('포켓몬_편집'!$AF351:$AN351,'분류_규칙'!$A$5:$A$76,'분류_규칙'!$J$5:$J$76,0))</x:f>
        <x:v>2</x:v>
      </x:c>
      <x:c r="K351" s="10" t="n">
        <x:f>SUM(XLOOKUP('포켓몬_편집'!$AF351:$AN351,'분류_규칙'!$A$5:$A$76,'분류_규칙'!$K$5:$K$76,0))</x:f>
        <x:v>0</x:v>
      </x:c>
      <x:c r="L351" s="10" t="n">
        <x:f>SUM(XLOOKUP('포켓몬_편집'!$AF351:$AN351,'분류_규칙'!$A$5:$A$76,'분류_규칙'!$L$5:$L$76,0))</x:f>
        <x:v>0</x:v>
      </x:c>
      <x:c r="M351" s="10" t="n">
        <x:f>SUM(XLOOKUP('포켓몬_편집'!$AF351:$AN351,'분류_규칙'!$A$5:$A$76,'분류_규칙'!$M$5:$M$76,0))</x:f>
        <x:v>0</x:v>
      </x:c>
      <x:c r="N351" s="10" t="n">
        <x:f>SUM(XLOOKUP('포켓몬_편집'!$AF351:$AN351,'분류_규칙'!$A$5:$A$76,'분류_규칙'!$N$5:$N$76,0))</x:f>
        <x:v>0</x:v>
      </x:c>
      <x:c r="O351" s="10" t="n">
        <x:f>SUM(XLOOKUP('포켓몬_편집'!$AF351:$AN351,'분류_규칙'!$A$5:$A$76,'분류_규칙'!$O$5:$O$76,0))</x:f>
        <x:v>2</x:v>
      </x:c>
      <x:c r="P351" s="10" t="n">
        <x:f>SUM(XLOOKUP('포켓몬_편집'!$AF351:$AN351,'분류_규칙'!$A$5:$A$76,'분류_규칙'!$P$5:$P$76,0))</x:f>
        <x:v>0</x:v>
      </x:c>
    </x:row>
    <x:row r="352" ht="22" customHeight="1">
      <x:c r="A352" s="5" t="n">
        <x:v>348</x:v>
      </x:c>
      <x:c r="B352" s="5" t="inlineStr">
        <x:is>
          <x:t xml:space="preserve">아말도</x:t>
        </x:is>
      </x:c>
      <x:c r="C352" s="5" t="inlineStr">
        <x:is>
          <x:t xml:space="preserve">armaldo</x:t>
        </x:is>
      </x:c>
      <x:c r="D352" s="5" t="n">
        <x:v>3</x:v>
      </x:c>
      <x:c r="E352" s="10" t="n">
        <x:f>SUM(XLOOKUP('포켓몬_편집'!$AF352:$AN352,'분류_규칙'!$A$5:$A$76,'분류_규칙'!$E$5:$E$76,0))</x:f>
        <x:v>10</x:v>
      </x:c>
      <x:c r="F352" s="10" t="n">
        <x:f>SUM(XLOOKUP('포켓몬_편집'!$AF352:$AN352,'분류_규칙'!$A$5:$A$76,'분류_규칙'!$F$5:$F$76,0))</x:f>
        <x:v>7</x:v>
      </x:c>
      <x:c r="G352" s="10" t="n">
        <x:f>SUM(XLOOKUP('포켓몬_편집'!$AF352:$AN352,'분류_규칙'!$A$5:$A$76,'분류_규칙'!$G$5:$G$76,0))</x:f>
        <x:v>5</x:v>
      </x:c>
      <x:c r="H352" s="10" t="n">
        <x:f>SUM(XLOOKUP('포켓몬_편집'!$AF352:$AN352,'분류_규칙'!$A$5:$A$76,'분류_규칙'!$H$5:$H$76,0))</x:f>
        <x:v>5</x:v>
      </x:c>
      <x:c r="I352" s="10" t="n">
        <x:f>SUM(XLOOKUP('포켓몬_편집'!$AF352:$AN352,'분류_규칙'!$A$5:$A$76,'분류_규칙'!$I$5:$I$76,0))</x:f>
        <x:v>0</x:v>
      </x:c>
      <x:c r="J352" s="10" t="n">
        <x:f>SUM(XLOOKUP('포켓몬_편집'!$AF352:$AN352,'분류_규칙'!$A$5:$A$76,'분류_규칙'!$J$5:$J$76,0))</x:f>
        <x:v>2</x:v>
      </x:c>
      <x:c r="K352" s="10" t="n">
        <x:f>SUM(XLOOKUP('포켓몬_편집'!$AF352:$AN352,'분류_규칙'!$A$5:$A$76,'분류_규칙'!$K$5:$K$76,0))</x:f>
        <x:v>0</x:v>
      </x:c>
      <x:c r="L352" s="10" t="n">
        <x:f>SUM(XLOOKUP('포켓몬_편집'!$AF352:$AN352,'분류_규칙'!$A$5:$A$76,'분류_규칙'!$L$5:$L$76,0))</x:f>
        <x:v>0</x:v>
      </x:c>
      <x:c r="M352" s="10" t="n">
        <x:f>SUM(XLOOKUP('포켓몬_편집'!$AF352:$AN352,'분류_규칙'!$A$5:$A$76,'분류_규칙'!$M$5:$M$76,0))</x:f>
        <x:v>0</x:v>
      </x:c>
      <x:c r="N352" s="10" t="n">
        <x:f>SUM(XLOOKUP('포켓몬_편집'!$AF352:$AN352,'분류_규칙'!$A$5:$A$76,'분류_규칙'!$N$5:$N$76,0))</x:f>
        <x:v>0</x:v>
      </x:c>
      <x:c r="O352" s="10" t="n">
        <x:f>SUM(XLOOKUP('포켓몬_편집'!$AF352:$AN352,'분류_규칙'!$A$5:$A$76,'분류_규칙'!$O$5:$O$76,0))</x:f>
        <x:v>2</x:v>
      </x:c>
      <x:c r="P352" s="10" t="n">
        <x:f>SUM(XLOOKUP('포켓몬_편집'!$AF352:$AN352,'분류_규칙'!$A$5:$A$76,'분류_규칙'!$P$5:$P$76,0))</x:f>
        <x:v>0</x:v>
      </x:c>
    </x:row>
    <x:row r="353" ht="22" customHeight="1">
      <x:c r="A353" s="5" t="n">
        <x:v>349</x:v>
      </x:c>
      <x:c r="B353" s="5" t="inlineStr">
        <x:is>
          <x:t xml:space="preserve">빈티나</x:t>
        </x:is>
      </x:c>
      <x:c r="C353" s="5" t="inlineStr">
        <x:is>
          <x:t xml:space="preserve">feebas</x:t>
        </x:is>
      </x:c>
      <x:c r="D353" s="5" t="n">
        <x:v>3</x:v>
      </x:c>
      <x:c r="E353" s="10" t="n">
        <x:f>SUM(XLOOKUP('포켓몬_편집'!$AF353:$AN353,'분류_규칙'!$A$5:$A$76,'분류_규칙'!$E$5:$E$76,0))</x:f>
        <x:v>0</x:v>
      </x:c>
      <x:c r="F353" s="10" t="n">
        <x:f>SUM(XLOOKUP('포켓몬_편집'!$AF353:$AN353,'분류_규칙'!$A$5:$A$76,'분류_규칙'!$F$5:$F$76,0))</x:f>
        <x:v>0</x:v>
      </x:c>
      <x:c r="G353" s="10" t="n">
        <x:f>SUM(XLOOKUP('포켓몬_편집'!$AF353:$AN353,'분류_규칙'!$A$5:$A$76,'분류_규칙'!$G$5:$G$76,0))</x:f>
        <x:v>0</x:v>
      </x:c>
      <x:c r="H353" s="10" t="n">
        <x:f>SUM(XLOOKUP('포켓몬_편집'!$AF353:$AN353,'분류_규칙'!$A$5:$A$76,'분류_규칙'!$H$5:$H$76,0))</x:f>
        <x:v>0</x:v>
      </x:c>
      <x:c r="I353" s="10" t="n">
        <x:f>SUM(XLOOKUP('포켓몬_편집'!$AF353:$AN353,'분류_규칙'!$A$5:$A$76,'분류_규칙'!$I$5:$I$76,0))</x:f>
        <x:v>0</x:v>
      </x:c>
      <x:c r="J353" s="10" t="n">
        <x:f>SUM(XLOOKUP('포켓몬_편집'!$AF353:$AN353,'분류_규칙'!$A$5:$A$76,'분류_규칙'!$J$5:$J$76,0))</x:f>
        <x:v>22</x:v>
      </x:c>
      <x:c r="K353" s="10" t="n">
        <x:f>SUM(XLOOKUP('포켓몬_편집'!$AF353:$AN353,'분류_규칙'!$A$5:$A$76,'분류_규칙'!$K$5:$K$76,0))</x:f>
        <x:v>16</x:v>
      </x:c>
      <x:c r="L353" s="10" t="n">
        <x:f>SUM(XLOOKUP('포켓몬_편집'!$AF353:$AN353,'분류_규칙'!$A$5:$A$76,'분류_규칙'!$L$5:$L$76,0))</x:f>
        <x:v>8</x:v>
      </x:c>
      <x:c r="M353" s="10" t="n">
        <x:f>SUM(XLOOKUP('포켓몬_편집'!$AF353:$AN353,'분류_규칙'!$A$5:$A$76,'분류_규칙'!$M$5:$M$76,0))</x:f>
        <x:v>0</x:v>
      </x:c>
      <x:c r="N353" s="10" t="n">
        <x:f>SUM(XLOOKUP('포켓몬_편집'!$AF353:$AN353,'분류_규칙'!$A$5:$A$76,'분류_규칙'!$N$5:$N$76,0))</x:f>
        <x:v>0</x:v>
      </x:c>
      <x:c r="O353" s="10" t="n">
        <x:f>SUM(XLOOKUP('포켓몬_편집'!$AF353:$AN353,'분류_규칙'!$A$5:$A$76,'분류_규칙'!$O$5:$O$76,0))</x:f>
        <x:v>0</x:v>
      </x:c>
      <x:c r="P353" s="10" t="n">
        <x:f>SUM(XLOOKUP('포켓몬_편집'!$AF353:$AN353,'분류_규칙'!$A$5:$A$76,'분류_규칙'!$P$5:$P$76,0))</x:f>
        <x:v>0</x:v>
      </x:c>
    </x:row>
    <x:row r="354" ht="22" customHeight="1">
      <x:c r="A354" s="5" t="n">
        <x:v>350</x:v>
      </x:c>
      <x:c r="B354" s="5" t="inlineStr">
        <x:is>
          <x:t xml:space="preserve">밀로틱</x:t>
        </x:is>
      </x:c>
      <x:c r="C354" s="5" t="inlineStr">
        <x:is>
          <x:t xml:space="preserve">milotic</x:t>
        </x:is>
      </x:c>
      <x:c r="D354" s="5" t="n">
        <x:v>3</x:v>
      </x:c>
      <x:c r="E354" s="10" t="n">
        <x:f>SUM(XLOOKUP('포켓몬_편집'!$AF354:$AN354,'분류_규칙'!$A$5:$A$76,'분류_규칙'!$E$5:$E$76,0))</x:f>
        <x:v>0</x:v>
      </x:c>
      <x:c r="F354" s="10" t="n">
        <x:f>SUM(XLOOKUP('포켓몬_편집'!$AF354:$AN354,'분류_규칙'!$A$5:$A$76,'분류_규칙'!$F$5:$F$76,0))</x:f>
        <x:v>0</x:v>
      </x:c>
      <x:c r="G354" s="10" t="n">
        <x:f>SUM(XLOOKUP('포켓몬_편집'!$AF354:$AN354,'분류_규칙'!$A$5:$A$76,'분류_규칙'!$G$5:$G$76,0))</x:f>
        <x:v>0</x:v>
      </x:c>
      <x:c r="H354" s="10" t="n">
        <x:f>SUM(XLOOKUP('포켓몬_편집'!$AF354:$AN354,'분류_규칙'!$A$5:$A$76,'분류_규칙'!$H$5:$H$76,0))</x:f>
        <x:v>0</x:v>
      </x:c>
      <x:c r="I354" s="10" t="n">
        <x:f>SUM(XLOOKUP('포켓몬_편집'!$AF354:$AN354,'분류_규칙'!$A$5:$A$76,'분류_규칙'!$I$5:$I$76,0))</x:f>
        <x:v>0</x:v>
      </x:c>
      <x:c r="J354" s="10" t="n">
        <x:f>SUM(XLOOKUP('포켓몬_편집'!$AF354:$AN354,'분류_규칙'!$A$5:$A$76,'분류_규칙'!$J$5:$J$76,0))</x:f>
        <x:v>22</x:v>
      </x:c>
      <x:c r="K354" s="10" t="n">
        <x:f>SUM(XLOOKUP('포켓몬_편집'!$AF354:$AN354,'분류_규칙'!$A$5:$A$76,'분류_규칙'!$K$5:$K$76,0))</x:f>
        <x:v>16</x:v>
      </x:c>
      <x:c r="L354" s="10" t="n">
        <x:f>SUM(XLOOKUP('포켓몬_편집'!$AF354:$AN354,'분류_규칙'!$A$5:$A$76,'분류_규칙'!$L$5:$L$76,0))</x:f>
        <x:v>8</x:v>
      </x:c>
      <x:c r="M354" s="10" t="n">
        <x:f>SUM(XLOOKUP('포켓몬_편집'!$AF354:$AN354,'분류_규칙'!$A$5:$A$76,'분류_규칙'!$M$5:$M$76,0))</x:f>
        <x:v>0</x:v>
      </x:c>
      <x:c r="N354" s="10" t="n">
        <x:f>SUM(XLOOKUP('포켓몬_편집'!$AF354:$AN354,'분류_규칙'!$A$5:$A$76,'분류_규칙'!$N$5:$N$76,0))</x:f>
        <x:v>0</x:v>
      </x:c>
      <x:c r="O354" s="10" t="n">
        <x:f>SUM(XLOOKUP('포켓몬_편집'!$AF354:$AN354,'분류_규칙'!$A$5:$A$76,'분류_규칙'!$O$5:$O$76,0))</x:f>
        <x:v>0</x:v>
      </x:c>
      <x:c r="P354" s="10" t="n">
        <x:f>SUM(XLOOKUP('포켓몬_편집'!$AF354:$AN354,'분류_규칙'!$A$5:$A$76,'분류_규칙'!$P$5:$P$76,0))</x:f>
        <x:v>0</x:v>
      </x:c>
    </x:row>
    <x:row r="355" ht="22" customHeight="1">
      <x:c r="A355" s="5" t="n">
        <x:v>351</x:v>
      </x:c>
      <x:c r="B355" s="5" t="inlineStr">
        <x:is>
          <x:t xml:space="preserve">캐스퐁</x:t>
        </x:is>
      </x:c>
      <x:c r="C355" s="5" t="inlineStr">
        <x:is>
          <x:t xml:space="preserve">castform</x:t>
        </x:is>
      </x:c>
      <x:c r="D355" s="5" t="n">
        <x:v>3</x:v>
      </x:c>
      <x:c r="E355" s="10" t="n">
        <x:f>SUM(XLOOKUP('포켓몬_편집'!$AF355:$AN355,'분류_규칙'!$A$5:$A$76,'분류_규칙'!$E$5:$E$76,0))</x:f>
        <x:v>0</x:v>
      </x:c>
      <x:c r="F355" s="10" t="n">
        <x:f>SUM(XLOOKUP('포켓몬_편집'!$AF355:$AN355,'분류_규칙'!$A$5:$A$76,'분류_규칙'!$F$5:$F$76,0))</x:f>
        <x:v>0</x:v>
      </x:c>
      <x:c r="G355" s="10" t="n">
        <x:f>SUM(XLOOKUP('포켓몬_편집'!$AF355:$AN355,'분류_규칙'!$A$5:$A$76,'분류_규칙'!$G$5:$G$76,0))</x:f>
        <x:v>0</x:v>
      </x:c>
      <x:c r="H355" s="10" t="n">
        <x:f>SUM(XLOOKUP('포켓몬_편집'!$AF355:$AN355,'분류_규칙'!$A$5:$A$76,'분류_규칙'!$H$5:$H$76,0))</x:f>
        <x:v>0</x:v>
      </x:c>
      <x:c r="I355" s="10" t="n">
        <x:f>SUM(XLOOKUP('포켓몬_편집'!$AF355:$AN355,'분류_규칙'!$A$5:$A$76,'분류_규칙'!$I$5:$I$76,0))</x:f>
        <x:v>0</x:v>
      </x:c>
      <x:c r="J355" s="10" t="n">
        <x:f>SUM(XLOOKUP('포켓몬_편집'!$AF355:$AN355,'분류_규칙'!$A$5:$A$76,'분류_규칙'!$J$5:$J$76,0))</x:f>
        <x:v>0</x:v>
      </x:c>
      <x:c r="K355" s="10" t="n">
        <x:f>SUM(XLOOKUP('포켓몬_편집'!$AF355:$AN355,'분류_규칙'!$A$5:$A$76,'분류_규칙'!$K$5:$K$76,0))</x:f>
        <x:v>0</x:v>
      </x:c>
      <x:c r="L355" s="10" t="n">
        <x:f>SUM(XLOOKUP('포켓몬_편집'!$AF355:$AN355,'분류_규칙'!$A$5:$A$76,'분류_규칙'!$L$5:$L$76,0))</x:f>
        <x:v>0</x:v>
      </x:c>
      <x:c r="M355" s="10" t="n">
        <x:f>SUM(XLOOKUP('포켓몬_편집'!$AF355:$AN355,'분류_규칙'!$A$5:$A$76,'분류_규칙'!$M$5:$M$76,0))</x:f>
        <x:v>0</x:v>
      </x:c>
      <x:c r="N355" s="10" t="n">
        <x:f>SUM(XLOOKUP('포켓몬_편집'!$AF355:$AN355,'분류_규칙'!$A$5:$A$76,'분류_규칙'!$N$5:$N$76,0))</x:f>
        <x:v>0</x:v>
      </x:c>
      <x:c r="O355" s="10" t="n">
        <x:f>SUM(XLOOKUP('포켓몬_편집'!$AF355:$AN355,'분류_규칙'!$A$5:$A$76,'분류_규칙'!$O$5:$O$76,0))</x:f>
        <x:v>30</x:v>
      </x:c>
      <x:c r="P355" s="10" t="n">
        <x:f>SUM(XLOOKUP('포켓몬_편집'!$AF355:$AN355,'분류_규칙'!$A$5:$A$76,'분류_규칙'!$P$5:$P$76,0))</x:f>
        <x:v>8</x:v>
      </x:c>
    </x:row>
    <x:row r="356" ht="22" customHeight="1">
      <x:c r="A356" s="5" t="n">
        <x:v>352</x:v>
      </x:c>
      <x:c r="B356" s="5" t="inlineStr">
        <x:is>
          <x:t xml:space="preserve">켈리몬</x:t>
        </x:is>
      </x:c>
      <x:c r="C356" s="5" t="inlineStr">
        <x:is>
          <x:t xml:space="preserve">kecleon</x:t>
        </x:is>
      </x:c>
      <x:c r="D356" s="5" t="n">
        <x:v>3</x:v>
      </x:c>
      <x:c r="E356" s="10" t="n">
        <x:f>SUM(XLOOKUP('포켓몬_편집'!$AF356:$AN356,'분류_규칙'!$A$5:$A$76,'분류_규칙'!$E$5:$E$76,0))</x:f>
        <x:v>10</x:v>
      </x:c>
      <x:c r="F356" s="10" t="n">
        <x:f>SUM(XLOOKUP('포켓몬_편집'!$AF356:$AN356,'분류_규칙'!$A$5:$A$76,'분류_규칙'!$F$5:$F$76,0))</x:f>
        <x:v>7</x:v>
      </x:c>
      <x:c r="G356" s="10" t="n">
        <x:f>SUM(XLOOKUP('포켓몬_편집'!$AF356:$AN356,'분류_규칙'!$A$5:$A$76,'분류_규칙'!$G$5:$G$76,0))</x:f>
        <x:v>5</x:v>
      </x:c>
      <x:c r="H356" s="10" t="n">
        <x:f>SUM(XLOOKUP('포켓몬_편집'!$AF356:$AN356,'분류_규칙'!$A$5:$A$76,'분류_규칙'!$H$5:$H$76,0))</x:f>
        <x:v>5</x:v>
      </x:c>
      <x:c r="I356" s="10" t="n">
        <x:f>SUM(XLOOKUP('포켓몬_편집'!$AF356:$AN356,'분류_규칙'!$A$5:$A$76,'분류_규칙'!$I$5:$I$76,0))</x:f>
        <x:v>0</x:v>
      </x:c>
      <x:c r="J356" s="10" t="n">
        <x:f>SUM(XLOOKUP('포켓몬_편집'!$AF356:$AN356,'분류_규칙'!$A$5:$A$76,'분류_규칙'!$J$5:$J$76,0))</x:f>
        <x:v>2</x:v>
      </x:c>
      <x:c r="K356" s="10" t="n">
        <x:f>SUM(XLOOKUP('포켓몬_편집'!$AF356:$AN356,'분류_규칙'!$A$5:$A$76,'분류_규칙'!$K$5:$K$76,0))</x:f>
        <x:v>0</x:v>
      </x:c>
      <x:c r="L356" s="10" t="n">
        <x:f>SUM(XLOOKUP('포켓몬_편집'!$AF356:$AN356,'분류_규칙'!$A$5:$A$76,'분류_규칙'!$L$5:$L$76,0))</x:f>
        <x:v>0</x:v>
      </x:c>
      <x:c r="M356" s="10" t="n">
        <x:f>SUM(XLOOKUP('포켓몬_편집'!$AF356:$AN356,'분류_규칙'!$A$5:$A$76,'분류_규칙'!$M$5:$M$76,0))</x:f>
        <x:v>0</x:v>
      </x:c>
      <x:c r="N356" s="10" t="n">
        <x:f>SUM(XLOOKUP('포켓몬_편집'!$AF356:$AN356,'분류_규칙'!$A$5:$A$76,'분류_규칙'!$N$5:$N$76,0))</x:f>
        <x:v>0</x:v>
      </x:c>
      <x:c r="O356" s="10" t="n">
        <x:f>SUM(XLOOKUP('포켓몬_편집'!$AF356:$AN356,'분류_규칙'!$A$5:$A$76,'분류_규칙'!$O$5:$O$76,0))</x:f>
        <x:v>2</x:v>
      </x:c>
      <x:c r="P356" s="10" t="n">
        <x:f>SUM(XLOOKUP('포켓몬_편집'!$AF356:$AN356,'분류_규칙'!$A$5:$A$76,'분류_규칙'!$P$5:$P$76,0))</x:f>
        <x:v>0</x:v>
      </x:c>
    </x:row>
    <x:row r="357" ht="22" customHeight="1">
      <x:c r="A357" s="5" t="n">
        <x:v>353</x:v>
      </x:c>
      <x:c r="B357" s="5" t="inlineStr">
        <x:is>
          <x:t xml:space="preserve">어둠대신</x:t>
        </x:is>
      </x:c>
      <x:c r="C357" s="5" t="inlineStr">
        <x:is>
          <x:t xml:space="preserve">shuppet</x:t>
        </x:is>
      </x:c>
      <x:c r="D357" s="5" t="n">
        <x:v>3</x:v>
      </x:c>
      <x:c r="E357" s="10" t="n">
        <x:f>SUM(XLOOKUP('포켓몬_편집'!$AF357:$AN357,'분류_규칙'!$A$5:$A$76,'분류_규칙'!$E$5:$E$76,0))</x:f>
        <x:v>8</x:v>
      </x:c>
      <x:c r="F357" s="10" t="n">
        <x:f>SUM(XLOOKUP('포켓몬_편집'!$AF357:$AN357,'분류_규칙'!$A$5:$A$76,'분류_규칙'!$F$5:$F$76,0))</x:f>
        <x:v>8</x:v>
      </x:c>
      <x:c r="G357" s="10" t="n">
        <x:f>SUM(XLOOKUP('포켓몬_편집'!$AF357:$AN357,'분류_규칙'!$A$5:$A$76,'분류_규칙'!$G$5:$G$76,0))</x:f>
        <x:v>0</x:v>
      </x:c>
      <x:c r="H357" s="10" t="n">
        <x:f>SUM(XLOOKUP('포켓몬_편집'!$AF357:$AN357,'분류_규칙'!$A$5:$A$76,'분류_규칙'!$H$5:$H$76,0))</x:f>
        <x:v>12</x:v>
      </x:c>
      <x:c r="I357" s="10" t="n">
        <x:f>SUM(XLOOKUP('포켓몬_편집'!$AF357:$AN357,'분류_규칙'!$A$5:$A$76,'분류_규칙'!$I$5:$I$76,0))</x:f>
        <x:v>0</x:v>
      </x:c>
      <x:c r="J357" s="10" t="n">
        <x:f>SUM(XLOOKUP('포켓몬_편집'!$AF357:$AN357,'분류_규칙'!$A$5:$A$76,'분류_규칙'!$J$5:$J$76,0))</x:f>
        <x:v>0</x:v>
      </x:c>
      <x:c r="K357" s="10" t="n">
        <x:f>SUM(XLOOKUP('포켓몬_편집'!$AF357:$AN357,'분류_규칙'!$A$5:$A$76,'분류_규칙'!$K$5:$K$76,0))</x:f>
        <x:v>0</x:v>
      </x:c>
      <x:c r="L357" s="10" t="n">
        <x:f>SUM(XLOOKUP('포켓몬_편집'!$AF357:$AN357,'분류_규칙'!$A$5:$A$76,'분류_규칙'!$L$5:$L$76,0))</x:f>
        <x:v>3</x:v>
      </x:c>
      <x:c r="M357" s="10" t="n">
        <x:f>SUM(XLOOKUP('포켓몬_편집'!$AF357:$AN357,'분류_규칙'!$A$5:$A$76,'분류_규칙'!$M$5:$M$76,0))</x:f>
        <x:v>0</x:v>
      </x:c>
      <x:c r="N357" s="10" t="n">
        <x:f>SUM(XLOOKUP('포켓몬_편집'!$AF357:$AN357,'분류_규칙'!$A$5:$A$76,'분류_규칙'!$N$5:$N$76,0))</x:f>
        <x:v>0</x:v>
      </x:c>
      <x:c r="O357" s="10" t="n">
        <x:f>SUM(XLOOKUP('포켓몬_편집'!$AF357:$AN357,'분류_규칙'!$A$5:$A$76,'분류_규칙'!$O$5:$O$76,0))</x:f>
        <x:v>2</x:v>
      </x:c>
      <x:c r="P357" s="10" t="n">
        <x:f>SUM(XLOOKUP('포켓몬_편집'!$AF357:$AN357,'분류_규칙'!$A$5:$A$76,'분류_규칙'!$P$5:$P$76,0))</x:f>
        <x:v>0</x:v>
      </x:c>
    </x:row>
    <x:row r="358" ht="22" customHeight="1">
      <x:c r="A358" s="5" t="n">
        <x:v>354</x:v>
      </x:c>
      <x:c r="B358" s="5" t="inlineStr">
        <x:is>
          <x:t xml:space="preserve">다크펫</x:t>
        </x:is>
      </x:c>
      <x:c r="C358" s="5" t="inlineStr">
        <x:is>
          <x:t xml:space="preserve">banette</x:t>
        </x:is>
      </x:c>
      <x:c r="D358" s="5" t="n">
        <x:v>3</x:v>
      </x:c>
      <x:c r="E358" s="10" t="n">
        <x:f>SUM(XLOOKUP('포켓몬_편집'!$AF358:$AN358,'분류_규칙'!$A$5:$A$76,'분류_규칙'!$E$5:$E$76,0))</x:f>
        <x:v>8</x:v>
      </x:c>
      <x:c r="F358" s="10" t="n">
        <x:f>SUM(XLOOKUP('포켓몬_편집'!$AF358:$AN358,'분류_규칙'!$A$5:$A$76,'분류_규칙'!$F$5:$F$76,0))</x:f>
        <x:v>8</x:v>
      </x:c>
      <x:c r="G358" s="10" t="n">
        <x:f>SUM(XLOOKUP('포켓몬_편집'!$AF358:$AN358,'분류_규칙'!$A$5:$A$76,'분류_규칙'!$G$5:$G$76,0))</x:f>
        <x:v>0</x:v>
      </x:c>
      <x:c r="H358" s="10" t="n">
        <x:f>SUM(XLOOKUP('포켓몬_편집'!$AF358:$AN358,'분류_규칙'!$A$5:$A$76,'분류_규칙'!$H$5:$H$76,0))</x:f>
        <x:v>12</x:v>
      </x:c>
      <x:c r="I358" s="10" t="n">
        <x:f>SUM(XLOOKUP('포켓몬_편집'!$AF358:$AN358,'분류_규칙'!$A$5:$A$76,'분류_규칙'!$I$5:$I$76,0))</x:f>
        <x:v>0</x:v>
      </x:c>
      <x:c r="J358" s="10" t="n">
        <x:f>SUM(XLOOKUP('포켓몬_편집'!$AF358:$AN358,'분류_규칙'!$A$5:$A$76,'분류_규칙'!$J$5:$J$76,0))</x:f>
        <x:v>0</x:v>
      </x:c>
      <x:c r="K358" s="10" t="n">
        <x:f>SUM(XLOOKUP('포켓몬_편집'!$AF358:$AN358,'분류_규칙'!$A$5:$A$76,'분류_규칙'!$K$5:$K$76,0))</x:f>
        <x:v>0</x:v>
      </x:c>
      <x:c r="L358" s="10" t="n">
        <x:f>SUM(XLOOKUP('포켓몬_편집'!$AF358:$AN358,'분류_규칙'!$A$5:$A$76,'분류_규칙'!$L$5:$L$76,0))</x:f>
        <x:v>3</x:v>
      </x:c>
      <x:c r="M358" s="10" t="n">
        <x:f>SUM(XLOOKUP('포켓몬_편집'!$AF358:$AN358,'분류_규칙'!$A$5:$A$76,'분류_규칙'!$M$5:$M$76,0))</x:f>
        <x:v>0</x:v>
      </x:c>
      <x:c r="N358" s="10" t="n">
        <x:f>SUM(XLOOKUP('포켓몬_편집'!$AF358:$AN358,'분류_규칙'!$A$5:$A$76,'분류_규칙'!$N$5:$N$76,0))</x:f>
        <x:v>0</x:v>
      </x:c>
      <x:c r="O358" s="10" t="n">
        <x:f>SUM(XLOOKUP('포켓몬_편집'!$AF358:$AN358,'분류_규칙'!$A$5:$A$76,'분류_규칙'!$O$5:$O$76,0))</x:f>
        <x:v>2</x:v>
      </x:c>
      <x:c r="P358" s="10" t="n">
        <x:f>SUM(XLOOKUP('포켓몬_편집'!$AF358:$AN358,'분류_규칙'!$A$5:$A$76,'분류_규칙'!$P$5:$P$76,0))</x:f>
        <x:v>0</x:v>
      </x:c>
    </x:row>
    <x:row r="359" ht="22" customHeight="1">
      <x:c r="A359" s="5" t="n">
        <x:v>355</x:v>
      </x:c>
      <x:c r="B359" s="5" t="inlineStr">
        <x:is>
          <x:t xml:space="preserve">해골몽</x:t>
        </x:is>
      </x:c>
      <x:c r="C359" s="5" t="inlineStr">
        <x:is>
          <x:t xml:space="preserve">duskull</x:t>
        </x:is>
      </x:c>
      <x:c r="D359" s="5" t="n">
        <x:v>3</x:v>
      </x:c>
      <x:c r="E359" s="10" t="n">
        <x:f>SUM(XLOOKUP('포켓몬_편집'!$AF359:$AN359,'분류_규칙'!$A$5:$A$76,'분류_규칙'!$E$5:$E$76,0))</x:f>
        <x:v>8</x:v>
      </x:c>
      <x:c r="F359" s="10" t="n">
        <x:f>SUM(XLOOKUP('포켓몬_편집'!$AF359:$AN359,'분류_규칙'!$A$5:$A$76,'분류_규칙'!$F$5:$F$76,0))</x:f>
        <x:v>8</x:v>
      </x:c>
      <x:c r="G359" s="10" t="n">
        <x:f>SUM(XLOOKUP('포켓몬_편집'!$AF359:$AN359,'분류_규칙'!$A$5:$A$76,'분류_규칙'!$G$5:$G$76,0))</x:f>
        <x:v>0</x:v>
      </x:c>
      <x:c r="H359" s="10" t="n">
        <x:f>SUM(XLOOKUP('포켓몬_편집'!$AF359:$AN359,'분류_규칙'!$A$5:$A$76,'분류_규칙'!$H$5:$H$76,0))</x:f>
        <x:v>12</x:v>
      </x:c>
      <x:c r="I359" s="10" t="n">
        <x:f>SUM(XLOOKUP('포켓몬_편집'!$AF359:$AN359,'분류_규칙'!$A$5:$A$76,'분류_규칙'!$I$5:$I$76,0))</x:f>
        <x:v>0</x:v>
      </x:c>
      <x:c r="J359" s="10" t="n">
        <x:f>SUM(XLOOKUP('포켓몬_편집'!$AF359:$AN359,'분류_규칙'!$A$5:$A$76,'분류_규칙'!$J$5:$J$76,0))</x:f>
        <x:v>0</x:v>
      </x:c>
      <x:c r="K359" s="10" t="n">
        <x:f>SUM(XLOOKUP('포켓몬_편집'!$AF359:$AN359,'분류_규칙'!$A$5:$A$76,'분류_규칙'!$K$5:$K$76,0))</x:f>
        <x:v>0</x:v>
      </x:c>
      <x:c r="L359" s="10" t="n">
        <x:f>SUM(XLOOKUP('포켓몬_편집'!$AF359:$AN359,'분류_규칙'!$A$5:$A$76,'분류_규칙'!$L$5:$L$76,0))</x:f>
        <x:v>3</x:v>
      </x:c>
      <x:c r="M359" s="10" t="n">
        <x:f>SUM(XLOOKUP('포켓몬_편집'!$AF359:$AN359,'분류_규칙'!$A$5:$A$76,'분류_규칙'!$M$5:$M$76,0))</x:f>
        <x:v>0</x:v>
      </x:c>
      <x:c r="N359" s="10" t="n">
        <x:f>SUM(XLOOKUP('포켓몬_편집'!$AF359:$AN359,'분류_규칙'!$A$5:$A$76,'분류_규칙'!$N$5:$N$76,0))</x:f>
        <x:v>0</x:v>
      </x:c>
      <x:c r="O359" s="10" t="n">
        <x:f>SUM(XLOOKUP('포켓몬_편집'!$AF359:$AN359,'분류_규칙'!$A$5:$A$76,'분류_규칙'!$O$5:$O$76,0))</x:f>
        <x:v>2</x:v>
      </x:c>
      <x:c r="P359" s="10" t="n">
        <x:f>SUM(XLOOKUP('포켓몬_편집'!$AF359:$AN359,'분류_규칙'!$A$5:$A$76,'분류_규칙'!$P$5:$P$76,0))</x:f>
        <x:v>0</x:v>
      </x:c>
    </x:row>
    <x:row r="360" ht="22" customHeight="1">
      <x:c r="A360" s="5" t="n">
        <x:v>356</x:v>
      </x:c>
      <x:c r="B360" s="5" t="inlineStr">
        <x:is>
          <x:t xml:space="preserve">미라몽</x:t>
        </x:is>
      </x:c>
      <x:c r="C360" s="5" t="inlineStr">
        <x:is>
          <x:t xml:space="preserve">dusclops</x:t>
        </x:is>
      </x:c>
      <x:c r="D360" s="5" t="n">
        <x:v>3</x:v>
      </x:c>
      <x:c r="E360" s="10" t="n">
        <x:f>SUM(XLOOKUP('포켓몬_편집'!$AF360:$AN360,'분류_규칙'!$A$5:$A$76,'분류_규칙'!$E$5:$E$76,0))</x:f>
        <x:v>8</x:v>
      </x:c>
      <x:c r="F360" s="10" t="n">
        <x:f>SUM(XLOOKUP('포켓몬_편집'!$AF360:$AN360,'분류_규칙'!$A$5:$A$76,'분류_규칙'!$F$5:$F$76,0))</x:f>
        <x:v>8</x:v>
      </x:c>
      <x:c r="G360" s="10" t="n">
        <x:f>SUM(XLOOKUP('포켓몬_편집'!$AF360:$AN360,'분류_규칙'!$A$5:$A$76,'분류_규칙'!$G$5:$G$76,0))</x:f>
        <x:v>0</x:v>
      </x:c>
      <x:c r="H360" s="10" t="n">
        <x:f>SUM(XLOOKUP('포켓몬_편집'!$AF360:$AN360,'분류_규칙'!$A$5:$A$76,'분류_규칙'!$H$5:$H$76,0))</x:f>
        <x:v>12</x:v>
      </x:c>
      <x:c r="I360" s="10" t="n">
        <x:f>SUM(XLOOKUP('포켓몬_편집'!$AF360:$AN360,'분류_규칙'!$A$5:$A$76,'분류_규칙'!$I$5:$I$76,0))</x:f>
        <x:v>0</x:v>
      </x:c>
      <x:c r="J360" s="10" t="n">
        <x:f>SUM(XLOOKUP('포켓몬_편집'!$AF360:$AN360,'분류_규칙'!$A$5:$A$76,'분류_규칙'!$J$5:$J$76,0))</x:f>
        <x:v>0</x:v>
      </x:c>
      <x:c r="K360" s="10" t="n">
        <x:f>SUM(XLOOKUP('포켓몬_편집'!$AF360:$AN360,'분류_규칙'!$A$5:$A$76,'분류_규칙'!$K$5:$K$76,0))</x:f>
        <x:v>0</x:v>
      </x:c>
      <x:c r="L360" s="10" t="n">
        <x:f>SUM(XLOOKUP('포켓몬_편집'!$AF360:$AN360,'분류_규칙'!$A$5:$A$76,'분류_규칙'!$L$5:$L$76,0))</x:f>
        <x:v>3</x:v>
      </x:c>
      <x:c r="M360" s="10" t="n">
        <x:f>SUM(XLOOKUP('포켓몬_편집'!$AF360:$AN360,'분류_규칙'!$A$5:$A$76,'분류_규칙'!$M$5:$M$76,0))</x:f>
        <x:v>0</x:v>
      </x:c>
      <x:c r="N360" s="10" t="n">
        <x:f>SUM(XLOOKUP('포켓몬_편집'!$AF360:$AN360,'분류_규칙'!$A$5:$A$76,'분류_규칙'!$N$5:$N$76,0))</x:f>
        <x:v>0</x:v>
      </x:c>
      <x:c r="O360" s="10" t="n">
        <x:f>SUM(XLOOKUP('포켓몬_편집'!$AF360:$AN360,'분류_규칙'!$A$5:$A$76,'분류_규칙'!$O$5:$O$76,0))</x:f>
        <x:v>2</x:v>
      </x:c>
      <x:c r="P360" s="10" t="n">
        <x:f>SUM(XLOOKUP('포켓몬_편집'!$AF360:$AN360,'분류_규칙'!$A$5:$A$76,'분류_규칙'!$P$5:$P$76,0))</x:f>
        <x:v>0</x:v>
      </x:c>
    </x:row>
    <x:row r="361" ht="22" customHeight="1">
      <x:c r="A361" s="5" t="n">
        <x:v>357</x:v>
      </x:c>
      <x:c r="B361" s="5" t="inlineStr">
        <x:is>
          <x:t xml:space="preserve">트로피우스</x:t>
        </x:is>
      </x:c>
      <x:c r="C361" s="5" t="inlineStr">
        <x:is>
          <x:t xml:space="preserve">tropius</x:t>
        </x:is>
      </x:c>
      <x:c r="D361" s="5" t="n">
        <x:v>3</x:v>
      </x:c>
      <x:c r="E361" s="10" t="n">
        <x:f>SUM(XLOOKUP('포켓몬_편집'!$AF361:$AN361,'분류_규칙'!$A$5:$A$76,'분류_규칙'!$E$5:$E$76,0))</x:f>
        <x:v>8</x:v>
      </x:c>
      <x:c r="F361" s="10" t="n">
        <x:f>SUM(XLOOKUP('포켓몬_편집'!$AF361:$AN361,'분류_규칙'!$A$5:$A$76,'분류_규칙'!$F$5:$F$76,0))</x:f>
        <x:v>8</x:v>
      </x:c>
      <x:c r="G361" s="10" t="n">
        <x:f>SUM(XLOOKUP('포켓몬_편집'!$AF361:$AN361,'분류_규칙'!$A$5:$A$76,'분류_규칙'!$G$5:$G$76,0))</x:f>
        <x:v>0</x:v>
      </x:c>
      <x:c r="H361" s="10" t="n">
        <x:f>SUM(XLOOKUP('포켓몬_편집'!$AF361:$AN361,'분류_규칙'!$A$5:$A$76,'분류_규칙'!$H$5:$H$76,0))</x:f>
        <x:v>12</x:v>
      </x:c>
      <x:c r="I361" s="10" t="n">
        <x:f>SUM(XLOOKUP('포켓몬_편집'!$AF361:$AN361,'분류_규칙'!$A$5:$A$76,'분류_규칙'!$I$5:$I$76,0))</x:f>
        <x:v>0</x:v>
      </x:c>
      <x:c r="J361" s="10" t="n">
        <x:f>SUM(XLOOKUP('포켓몬_편집'!$AF361:$AN361,'분류_규칙'!$A$5:$A$76,'분류_규칙'!$J$5:$J$76,0))</x:f>
        <x:v>0</x:v>
      </x:c>
      <x:c r="K361" s="10" t="n">
        <x:f>SUM(XLOOKUP('포켓몬_편집'!$AF361:$AN361,'분류_규칙'!$A$5:$A$76,'분류_규칙'!$K$5:$K$76,0))</x:f>
        <x:v>0</x:v>
      </x:c>
      <x:c r="L361" s="10" t="n">
        <x:f>SUM(XLOOKUP('포켓몬_편집'!$AF361:$AN361,'분류_규칙'!$A$5:$A$76,'분류_규칙'!$L$5:$L$76,0))</x:f>
        <x:v>3</x:v>
      </x:c>
      <x:c r="M361" s="10" t="n">
        <x:f>SUM(XLOOKUP('포켓몬_편집'!$AF361:$AN361,'분류_규칙'!$A$5:$A$76,'분류_규칙'!$M$5:$M$76,0))</x:f>
        <x:v>0</x:v>
      </x:c>
      <x:c r="N361" s="10" t="n">
        <x:f>SUM(XLOOKUP('포켓몬_편집'!$AF361:$AN361,'분류_규칙'!$A$5:$A$76,'분류_규칙'!$N$5:$N$76,0))</x:f>
        <x:v>0</x:v>
      </x:c>
      <x:c r="O361" s="10" t="n">
        <x:f>SUM(XLOOKUP('포켓몬_편집'!$AF361:$AN361,'분류_규칙'!$A$5:$A$76,'분류_규칙'!$O$5:$O$76,0))</x:f>
        <x:v>2</x:v>
      </x:c>
      <x:c r="P361" s="10" t="n">
        <x:f>SUM(XLOOKUP('포켓몬_편집'!$AF361:$AN361,'분류_규칙'!$A$5:$A$76,'분류_규칙'!$P$5:$P$76,0))</x:f>
        <x:v>0</x:v>
      </x:c>
    </x:row>
    <x:row r="362" ht="22" customHeight="1">
      <x:c r="A362" s="5" t="n">
        <x:v>358</x:v>
      </x:c>
      <x:c r="B362" s="5" t="inlineStr">
        <x:is>
          <x:t xml:space="preserve">치렁</x:t>
        </x:is>
      </x:c>
      <x:c r="C362" s="5" t="inlineStr">
        <x:is>
          <x:t xml:space="preserve">chimecho</x:t>
        </x:is>
      </x:c>
      <x:c r="D362" s="5" t="n">
        <x:v>3</x:v>
      </x:c>
      <x:c r="E362" s="10" t="n">
        <x:f>SUM(XLOOKUP('포켓몬_편집'!$AF362:$AN362,'분류_규칙'!$A$5:$A$76,'분류_규칙'!$E$5:$E$76,0))</x:f>
        <x:v>8</x:v>
      </x:c>
      <x:c r="F362" s="10" t="n">
        <x:f>SUM(XLOOKUP('포켓몬_편집'!$AF362:$AN362,'분류_규칙'!$A$5:$A$76,'분류_규칙'!$F$5:$F$76,0))</x:f>
        <x:v>8</x:v>
      </x:c>
      <x:c r="G362" s="10" t="n">
        <x:f>SUM(XLOOKUP('포켓몬_편집'!$AF362:$AN362,'분류_규칙'!$A$5:$A$76,'분류_규칙'!$G$5:$G$76,0))</x:f>
        <x:v>0</x:v>
      </x:c>
      <x:c r="H362" s="10" t="n">
        <x:f>SUM(XLOOKUP('포켓몬_편집'!$AF362:$AN362,'분류_규칙'!$A$5:$A$76,'분류_규칙'!$H$5:$H$76,0))</x:f>
        <x:v>12</x:v>
      </x:c>
      <x:c r="I362" s="10" t="n">
        <x:f>SUM(XLOOKUP('포켓몬_편집'!$AF362:$AN362,'분류_규칙'!$A$5:$A$76,'분류_규칙'!$I$5:$I$76,0))</x:f>
        <x:v>0</x:v>
      </x:c>
      <x:c r="J362" s="10" t="n">
        <x:f>SUM(XLOOKUP('포켓몬_편집'!$AF362:$AN362,'분류_규칙'!$A$5:$A$76,'분류_규칙'!$J$5:$J$76,0))</x:f>
        <x:v>0</x:v>
      </x:c>
      <x:c r="K362" s="10" t="n">
        <x:f>SUM(XLOOKUP('포켓몬_편집'!$AF362:$AN362,'분류_규칙'!$A$5:$A$76,'분류_규칙'!$K$5:$K$76,0))</x:f>
        <x:v>0</x:v>
      </x:c>
      <x:c r="L362" s="10" t="n">
        <x:f>SUM(XLOOKUP('포켓몬_편집'!$AF362:$AN362,'분류_규칙'!$A$5:$A$76,'분류_규칙'!$L$5:$L$76,0))</x:f>
        <x:v>3</x:v>
      </x:c>
      <x:c r="M362" s="10" t="n">
        <x:f>SUM(XLOOKUP('포켓몬_편집'!$AF362:$AN362,'분류_규칙'!$A$5:$A$76,'분류_규칙'!$M$5:$M$76,0))</x:f>
        <x:v>0</x:v>
      </x:c>
      <x:c r="N362" s="10" t="n">
        <x:f>SUM(XLOOKUP('포켓몬_편집'!$AF362:$AN362,'분류_규칙'!$A$5:$A$76,'분류_규칙'!$N$5:$N$76,0))</x:f>
        <x:v>0</x:v>
      </x:c>
      <x:c r="O362" s="10" t="n">
        <x:f>SUM(XLOOKUP('포켓몬_편집'!$AF362:$AN362,'분류_규칙'!$A$5:$A$76,'분류_규칙'!$O$5:$O$76,0))</x:f>
        <x:v>2</x:v>
      </x:c>
      <x:c r="P362" s="10" t="n">
        <x:f>SUM(XLOOKUP('포켓몬_편집'!$AF362:$AN362,'분류_규칙'!$A$5:$A$76,'분류_규칙'!$P$5:$P$76,0))</x:f>
        <x:v>0</x:v>
      </x:c>
    </x:row>
    <x:row r="363" ht="22" customHeight="1">
      <x:c r="A363" s="5" t="n">
        <x:v>359</x:v>
      </x:c>
      <x:c r="B363" s="5" t="inlineStr">
        <x:is>
          <x:t xml:space="preserve">앱솔</x:t>
        </x:is>
      </x:c>
      <x:c r="C363" s="5" t="inlineStr">
        <x:is>
          <x:t xml:space="preserve">absol</x:t>
        </x:is>
      </x:c>
      <x:c r="D363" s="5" t="n">
        <x:v>3</x:v>
      </x:c>
      <x:c r="E363" s="10" t="n">
        <x:f>SUM(XLOOKUP('포켓몬_편집'!$AF363:$AN363,'분류_규칙'!$A$5:$A$76,'분류_규칙'!$E$5:$E$76,0))</x:f>
        <x:v>10</x:v>
      </x:c>
      <x:c r="F363" s="10" t="n">
        <x:f>SUM(XLOOKUP('포켓몬_편집'!$AF363:$AN363,'분류_규칙'!$A$5:$A$76,'분류_규칙'!$F$5:$F$76,0))</x:f>
        <x:v>7</x:v>
      </x:c>
      <x:c r="G363" s="10" t="n">
        <x:f>SUM(XLOOKUP('포켓몬_편집'!$AF363:$AN363,'분류_규칙'!$A$5:$A$76,'분류_규칙'!$G$5:$G$76,0))</x:f>
        <x:v>5</x:v>
      </x:c>
      <x:c r="H363" s="10" t="n">
        <x:f>SUM(XLOOKUP('포켓몬_편집'!$AF363:$AN363,'분류_규칙'!$A$5:$A$76,'분류_규칙'!$H$5:$H$76,0))</x:f>
        <x:v>5</x:v>
      </x:c>
      <x:c r="I363" s="10" t="n">
        <x:f>SUM(XLOOKUP('포켓몬_편집'!$AF363:$AN363,'분류_규칙'!$A$5:$A$76,'분류_규칙'!$I$5:$I$76,0))</x:f>
        <x:v>0</x:v>
      </x:c>
      <x:c r="J363" s="10" t="n">
        <x:f>SUM(XLOOKUP('포켓몬_편집'!$AF363:$AN363,'분류_규칙'!$A$5:$A$76,'분류_규칙'!$J$5:$J$76,0))</x:f>
        <x:v>2</x:v>
      </x:c>
      <x:c r="K363" s="10" t="n">
        <x:f>SUM(XLOOKUP('포켓몬_편집'!$AF363:$AN363,'분류_규칙'!$A$5:$A$76,'분류_규칙'!$K$5:$K$76,0))</x:f>
        <x:v>0</x:v>
      </x:c>
      <x:c r="L363" s="10" t="n">
        <x:f>SUM(XLOOKUP('포켓몬_편집'!$AF363:$AN363,'분류_규칙'!$A$5:$A$76,'분류_규칙'!$L$5:$L$76,0))</x:f>
        <x:v>0</x:v>
      </x:c>
      <x:c r="M363" s="10" t="n">
        <x:f>SUM(XLOOKUP('포켓몬_편집'!$AF363:$AN363,'분류_규칙'!$A$5:$A$76,'분류_규칙'!$M$5:$M$76,0))</x:f>
        <x:v>0</x:v>
      </x:c>
      <x:c r="N363" s="10" t="n">
        <x:f>SUM(XLOOKUP('포켓몬_편집'!$AF363:$AN363,'분류_규칙'!$A$5:$A$76,'분류_규칙'!$N$5:$N$76,0))</x:f>
        <x:v>0</x:v>
      </x:c>
      <x:c r="O363" s="10" t="n">
        <x:f>SUM(XLOOKUP('포켓몬_편집'!$AF363:$AN363,'분류_규칙'!$A$5:$A$76,'분류_규칙'!$O$5:$O$76,0))</x:f>
        <x:v>2</x:v>
      </x:c>
      <x:c r="P363" s="10" t="n">
        <x:f>SUM(XLOOKUP('포켓몬_편집'!$AF363:$AN363,'분류_규칙'!$A$5:$A$76,'분류_규칙'!$P$5:$P$76,0))</x:f>
        <x:v>0</x:v>
      </x:c>
    </x:row>
    <x:row r="364" ht="22" customHeight="1">
      <x:c r="A364" s="5" t="n">
        <x:v>360</x:v>
      </x:c>
      <x:c r="B364" s="5" t="inlineStr">
        <x:is>
          <x:t xml:space="preserve">마자</x:t>
        </x:is>
      </x:c>
      <x:c r="C364" s="5" t="inlineStr">
        <x:is>
          <x:t xml:space="preserve">wynaut</x:t>
        </x:is>
      </x:c>
      <x:c r="D364" s="5" t="n">
        <x:v>3</x:v>
      </x:c>
      <x:c r="E364" s="10" t="n">
        <x:f>SUM(XLOOKUP('포켓몬_편집'!$AF364:$AN364,'분류_규칙'!$A$5:$A$76,'분류_규칙'!$E$5:$E$76,0))</x:f>
        <x:v>10</x:v>
      </x:c>
      <x:c r="F364" s="10" t="n">
        <x:f>SUM(XLOOKUP('포켓몬_편집'!$AF364:$AN364,'분류_규칙'!$A$5:$A$76,'분류_규칙'!$F$5:$F$76,0))</x:f>
        <x:v>7</x:v>
      </x:c>
      <x:c r="G364" s="10" t="n">
        <x:f>SUM(XLOOKUP('포켓몬_편집'!$AF364:$AN364,'분류_규칙'!$A$5:$A$76,'분류_규칙'!$G$5:$G$76,0))</x:f>
        <x:v>5</x:v>
      </x:c>
      <x:c r="H364" s="10" t="n">
        <x:f>SUM(XLOOKUP('포켓몬_편집'!$AF364:$AN364,'분류_규칙'!$A$5:$A$76,'분류_규칙'!$H$5:$H$76,0))</x:f>
        <x:v>5</x:v>
      </x:c>
      <x:c r="I364" s="10" t="n">
        <x:f>SUM(XLOOKUP('포켓몬_편집'!$AF364:$AN364,'분류_규칙'!$A$5:$A$76,'분류_규칙'!$I$5:$I$76,0))</x:f>
        <x:v>0</x:v>
      </x:c>
      <x:c r="J364" s="10" t="n">
        <x:f>SUM(XLOOKUP('포켓몬_편집'!$AF364:$AN364,'분류_규칙'!$A$5:$A$76,'분류_규칙'!$J$5:$J$76,0))</x:f>
        <x:v>2</x:v>
      </x:c>
      <x:c r="K364" s="10" t="n">
        <x:f>SUM(XLOOKUP('포켓몬_편집'!$AF364:$AN364,'분류_규칙'!$A$5:$A$76,'분류_규칙'!$K$5:$K$76,0))</x:f>
        <x:v>0</x:v>
      </x:c>
      <x:c r="L364" s="10" t="n">
        <x:f>SUM(XLOOKUP('포켓몬_편집'!$AF364:$AN364,'분류_규칙'!$A$5:$A$76,'분류_규칙'!$L$5:$L$76,0))</x:f>
        <x:v>0</x:v>
      </x:c>
      <x:c r="M364" s="10" t="n">
        <x:f>SUM(XLOOKUP('포켓몬_편집'!$AF364:$AN364,'분류_규칙'!$A$5:$A$76,'분류_규칙'!$M$5:$M$76,0))</x:f>
        <x:v>0</x:v>
      </x:c>
      <x:c r="N364" s="10" t="n">
        <x:f>SUM(XLOOKUP('포켓몬_편집'!$AF364:$AN364,'분류_규칙'!$A$5:$A$76,'분류_규칙'!$N$5:$N$76,0))</x:f>
        <x:v>0</x:v>
      </x:c>
      <x:c r="O364" s="10" t="n">
        <x:f>SUM(XLOOKUP('포켓몬_편집'!$AF364:$AN364,'분류_규칙'!$A$5:$A$76,'분류_규칙'!$O$5:$O$76,0))</x:f>
        <x:v>2</x:v>
      </x:c>
      <x:c r="P364" s="10" t="n">
        <x:f>SUM(XLOOKUP('포켓몬_편집'!$AF364:$AN364,'분류_규칙'!$A$5:$A$76,'분류_규칙'!$P$5:$P$76,0))</x:f>
        <x:v>0</x:v>
      </x:c>
    </x:row>
    <x:row r="365" ht="22" customHeight="1">
      <x:c r="A365" s="5" t="n">
        <x:v>361</x:v>
      </x:c>
      <x:c r="B365" s="5" t="inlineStr">
        <x:is>
          <x:t xml:space="preserve">눈꼬마</x:t>
        </x:is>
      </x:c>
      <x:c r="C365" s="5" t="inlineStr">
        <x:is>
          <x:t xml:space="preserve">snorunt</x:t>
        </x:is>
      </x:c>
      <x:c r="D365" s="5" t="n">
        <x:v>3</x:v>
      </x:c>
      <x:c r="E365" s="10" t="n">
        <x:f>SUM(XLOOKUP('포켓몬_편집'!$AF365:$AN365,'분류_규칙'!$A$5:$A$76,'분류_규칙'!$E$5:$E$76,0))</x:f>
        <x:v>10</x:v>
      </x:c>
      <x:c r="F365" s="10" t="n">
        <x:f>SUM(XLOOKUP('포켓몬_편집'!$AF365:$AN365,'분류_규칙'!$A$5:$A$76,'분류_규칙'!$F$5:$F$76,0))</x:f>
        <x:v>7</x:v>
      </x:c>
      <x:c r="G365" s="10" t="n">
        <x:f>SUM(XLOOKUP('포켓몬_편집'!$AF365:$AN365,'분류_규칙'!$A$5:$A$76,'분류_규칙'!$G$5:$G$76,0))</x:f>
        <x:v>5</x:v>
      </x:c>
      <x:c r="H365" s="10" t="n">
        <x:f>SUM(XLOOKUP('포켓몬_편집'!$AF365:$AN365,'분류_규칙'!$A$5:$A$76,'분류_규칙'!$H$5:$H$76,0))</x:f>
        <x:v>5</x:v>
      </x:c>
      <x:c r="I365" s="10" t="n">
        <x:f>SUM(XLOOKUP('포켓몬_편집'!$AF365:$AN365,'분류_규칙'!$A$5:$A$76,'분류_규칙'!$I$5:$I$76,0))</x:f>
        <x:v>0</x:v>
      </x:c>
      <x:c r="J365" s="10" t="n">
        <x:f>SUM(XLOOKUP('포켓몬_편집'!$AF365:$AN365,'분류_규칙'!$A$5:$A$76,'분류_규칙'!$J$5:$J$76,0))</x:f>
        <x:v>2</x:v>
      </x:c>
      <x:c r="K365" s="10" t="n">
        <x:f>SUM(XLOOKUP('포켓몬_편집'!$AF365:$AN365,'분류_규칙'!$A$5:$A$76,'분류_규칙'!$K$5:$K$76,0))</x:f>
        <x:v>0</x:v>
      </x:c>
      <x:c r="L365" s="10" t="n">
        <x:f>SUM(XLOOKUP('포켓몬_편집'!$AF365:$AN365,'분류_규칙'!$A$5:$A$76,'분류_규칙'!$L$5:$L$76,0))</x:f>
        <x:v>0</x:v>
      </x:c>
      <x:c r="M365" s="10" t="n">
        <x:f>SUM(XLOOKUP('포켓몬_편집'!$AF365:$AN365,'분류_규칙'!$A$5:$A$76,'분류_규칙'!$M$5:$M$76,0))</x:f>
        <x:v>0</x:v>
      </x:c>
      <x:c r="N365" s="10" t="n">
        <x:f>SUM(XLOOKUP('포켓몬_편집'!$AF365:$AN365,'분류_규칙'!$A$5:$A$76,'분류_규칙'!$N$5:$N$76,0))</x:f>
        <x:v>0</x:v>
      </x:c>
      <x:c r="O365" s="10" t="n">
        <x:f>SUM(XLOOKUP('포켓몬_편집'!$AF365:$AN365,'분류_규칙'!$A$5:$A$76,'분류_규칙'!$O$5:$O$76,0))</x:f>
        <x:v>2</x:v>
      </x:c>
      <x:c r="P365" s="10" t="n">
        <x:f>SUM(XLOOKUP('포켓몬_편집'!$AF365:$AN365,'분류_규칙'!$A$5:$A$76,'분류_규칙'!$P$5:$P$76,0))</x:f>
        <x:v>0</x:v>
      </x:c>
    </x:row>
    <x:row r="366" ht="22" customHeight="1">
      <x:c r="A366" s="5" t="n">
        <x:v>362</x:v>
      </x:c>
      <x:c r="B366" s="5" t="inlineStr">
        <x:is>
          <x:t xml:space="preserve">얼음귀신</x:t>
        </x:is>
      </x:c>
      <x:c r="C366" s="5" t="inlineStr">
        <x:is>
          <x:t xml:space="preserve">glalie</x:t>
        </x:is>
      </x:c>
      <x:c r="D366" s="5" t="n">
        <x:v>3</x:v>
      </x:c>
      <x:c r="E366" s="10" t="n">
        <x:f>SUM(XLOOKUP('포켓몬_편집'!$AF366:$AN366,'분류_규칙'!$A$5:$A$76,'분류_규칙'!$E$5:$E$76,0))</x:f>
        <x:v>8</x:v>
      </x:c>
      <x:c r="F366" s="10" t="n">
        <x:f>SUM(XLOOKUP('포켓몬_편집'!$AF366:$AN366,'분류_규칙'!$A$5:$A$76,'분류_규칙'!$F$5:$F$76,0))</x:f>
        <x:v>8</x:v>
      </x:c>
      <x:c r="G366" s="10" t="n">
        <x:f>SUM(XLOOKUP('포켓몬_편집'!$AF366:$AN366,'분류_규칙'!$A$5:$A$76,'분류_규칙'!$G$5:$G$76,0))</x:f>
        <x:v>0</x:v>
      </x:c>
      <x:c r="H366" s="10" t="n">
        <x:f>SUM(XLOOKUP('포켓몬_편집'!$AF366:$AN366,'분류_규칙'!$A$5:$A$76,'분류_규칙'!$H$5:$H$76,0))</x:f>
        <x:v>12</x:v>
      </x:c>
      <x:c r="I366" s="10" t="n">
        <x:f>SUM(XLOOKUP('포켓몬_편집'!$AF366:$AN366,'분류_규칙'!$A$5:$A$76,'분류_규칙'!$I$5:$I$76,0))</x:f>
        <x:v>0</x:v>
      </x:c>
      <x:c r="J366" s="10" t="n">
        <x:f>SUM(XLOOKUP('포켓몬_편집'!$AF366:$AN366,'분류_규칙'!$A$5:$A$76,'분류_규칙'!$J$5:$J$76,0))</x:f>
        <x:v>0</x:v>
      </x:c>
      <x:c r="K366" s="10" t="n">
        <x:f>SUM(XLOOKUP('포켓몬_편집'!$AF366:$AN366,'분류_규칙'!$A$5:$A$76,'분류_규칙'!$K$5:$K$76,0))</x:f>
        <x:v>0</x:v>
      </x:c>
      <x:c r="L366" s="10" t="n">
        <x:f>SUM(XLOOKUP('포켓몬_편집'!$AF366:$AN366,'분류_규칙'!$A$5:$A$76,'분류_규칙'!$L$5:$L$76,0))</x:f>
        <x:v>3</x:v>
      </x:c>
      <x:c r="M366" s="10" t="n">
        <x:f>SUM(XLOOKUP('포켓몬_편집'!$AF366:$AN366,'분류_규칙'!$A$5:$A$76,'분류_규칙'!$M$5:$M$76,0))</x:f>
        <x:v>0</x:v>
      </x:c>
      <x:c r="N366" s="10" t="n">
        <x:f>SUM(XLOOKUP('포켓몬_편집'!$AF366:$AN366,'분류_규칙'!$A$5:$A$76,'분류_규칙'!$N$5:$N$76,0))</x:f>
        <x:v>0</x:v>
      </x:c>
      <x:c r="O366" s="10" t="n">
        <x:f>SUM(XLOOKUP('포켓몬_편집'!$AF366:$AN366,'분류_규칙'!$A$5:$A$76,'분류_규칙'!$O$5:$O$76,0))</x:f>
        <x:v>2</x:v>
      </x:c>
      <x:c r="P366" s="10" t="n">
        <x:f>SUM(XLOOKUP('포켓몬_편집'!$AF366:$AN366,'분류_규칙'!$A$5:$A$76,'분류_규칙'!$P$5:$P$76,0))</x:f>
        <x:v>0</x:v>
      </x:c>
    </x:row>
    <x:row r="367" ht="22" customHeight="1">
      <x:c r="A367" s="5" t="n">
        <x:v>363</x:v>
      </x:c>
      <x:c r="B367" s="5" t="inlineStr">
        <x:is>
          <x:t xml:space="preserve">대굴레오</x:t>
        </x:is>
      </x:c>
      <x:c r="C367" s="5" t="inlineStr">
        <x:is>
          <x:t xml:space="preserve">spheal</x:t>
        </x:is>
      </x:c>
      <x:c r="D367" s="5" t="n">
        <x:v>3</x:v>
      </x:c>
      <x:c r="E367" s="10" t="n">
        <x:f>SUM(XLOOKUP('포켓몬_편집'!$AF367:$AN367,'분류_규칙'!$A$5:$A$76,'분류_규칙'!$E$5:$E$76,0))</x:f>
        <x:v>0</x:v>
      </x:c>
      <x:c r="F367" s="10" t="n">
        <x:f>SUM(XLOOKUP('포켓몬_편집'!$AF367:$AN367,'분류_규칙'!$A$5:$A$76,'분류_규칙'!$F$5:$F$76,0))</x:f>
        <x:v>0</x:v>
      </x:c>
      <x:c r="G367" s="10" t="n">
        <x:f>SUM(XLOOKUP('포켓몬_편집'!$AF367:$AN367,'분류_규칙'!$A$5:$A$76,'분류_규칙'!$G$5:$G$76,0))</x:f>
        <x:v>0</x:v>
      </x:c>
      <x:c r="H367" s="10" t="n">
        <x:f>SUM(XLOOKUP('포켓몬_편집'!$AF367:$AN367,'분류_규칙'!$A$5:$A$76,'분류_규칙'!$H$5:$H$76,0))</x:f>
        <x:v>0</x:v>
      </x:c>
      <x:c r="I367" s="10" t="n">
        <x:f>SUM(XLOOKUP('포켓몬_편집'!$AF367:$AN367,'분류_규칙'!$A$5:$A$76,'분류_규칙'!$I$5:$I$76,0))</x:f>
        <x:v>0</x:v>
      </x:c>
      <x:c r="J367" s="10" t="n">
        <x:f>SUM(XLOOKUP('포켓몬_편집'!$AF367:$AN367,'분류_규칙'!$A$5:$A$76,'분류_규칙'!$J$5:$J$76,0))</x:f>
        <x:v>3</x:v>
      </x:c>
      <x:c r="K367" s="10" t="n">
        <x:f>SUM(XLOOKUP('포켓몬_편집'!$AF367:$AN367,'분류_규칙'!$A$5:$A$76,'분류_규칙'!$K$5:$K$76,0))</x:f>
        <x:v>0</x:v>
      </x:c>
      <x:c r="L367" s="10" t="n">
        <x:f>SUM(XLOOKUP('포켓몬_편집'!$AF367:$AN367,'분류_규칙'!$A$5:$A$76,'분류_규칙'!$L$5:$L$76,0))</x:f>
        <x:v>30</x:v>
      </x:c>
      <x:c r="M367" s="10" t="n">
        <x:f>SUM(XLOOKUP('포켓몬_편집'!$AF367:$AN367,'분류_규칙'!$A$5:$A$76,'분류_규칙'!$M$5:$M$76,0))</x:f>
        <x:v>0</x:v>
      </x:c>
      <x:c r="N367" s="10" t="n">
        <x:f>SUM(XLOOKUP('포켓몬_편집'!$AF367:$AN367,'분류_규칙'!$A$5:$A$76,'분류_규칙'!$N$5:$N$76,0))</x:f>
        <x:v>0</x:v>
      </x:c>
      <x:c r="O367" s="10" t="n">
        <x:f>SUM(XLOOKUP('포켓몬_편집'!$AF367:$AN367,'분류_규칙'!$A$5:$A$76,'분류_규칙'!$O$5:$O$76,0))</x:f>
        <x:v>0</x:v>
      </x:c>
      <x:c r="P367" s="10" t="n">
        <x:f>SUM(XLOOKUP('포켓몬_편집'!$AF367:$AN367,'분류_규칙'!$A$5:$A$76,'분류_규칙'!$P$5:$P$76,0))</x:f>
        <x:v>0</x:v>
      </x:c>
    </x:row>
    <x:row r="368" ht="22" customHeight="1">
      <x:c r="A368" s="5" t="n">
        <x:v>364</x:v>
      </x:c>
      <x:c r="B368" s="5" t="inlineStr">
        <x:is>
          <x:t xml:space="preserve">씨레오</x:t>
        </x:is>
      </x:c>
      <x:c r="C368" s="5" t="inlineStr">
        <x:is>
          <x:t xml:space="preserve">sealeo</x:t>
        </x:is>
      </x:c>
      <x:c r="D368" s="5" t="n">
        <x:v>3</x:v>
      </x:c>
      <x:c r="E368" s="10" t="n">
        <x:f>SUM(XLOOKUP('포켓몬_편집'!$AF368:$AN368,'분류_규칙'!$A$5:$A$76,'분류_규칙'!$E$5:$E$76,0))</x:f>
        <x:v>0</x:v>
      </x:c>
      <x:c r="F368" s="10" t="n">
        <x:f>SUM(XLOOKUP('포켓몬_편집'!$AF368:$AN368,'분류_규칙'!$A$5:$A$76,'분류_규칙'!$F$5:$F$76,0))</x:f>
        <x:v>0</x:v>
      </x:c>
      <x:c r="G368" s="10" t="n">
        <x:f>SUM(XLOOKUP('포켓몬_편집'!$AF368:$AN368,'분류_규칙'!$A$5:$A$76,'분류_규칙'!$G$5:$G$76,0))</x:f>
        <x:v>0</x:v>
      </x:c>
      <x:c r="H368" s="10" t="n">
        <x:f>SUM(XLOOKUP('포켓몬_편집'!$AF368:$AN368,'분류_규칙'!$A$5:$A$76,'분류_규칙'!$H$5:$H$76,0))</x:f>
        <x:v>0</x:v>
      </x:c>
      <x:c r="I368" s="10" t="n">
        <x:f>SUM(XLOOKUP('포켓몬_편집'!$AF368:$AN368,'분류_규칙'!$A$5:$A$76,'분류_규칙'!$I$5:$I$76,0))</x:f>
        <x:v>0</x:v>
      </x:c>
      <x:c r="J368" s="10" t="n">
        <x:f>SUM(XLOOKUP('포켓몬_편집'!$AF368:$AN368,'분류_규칙'!$A$5:$A$76,'분류_규칙'!$J$5:$J$76,0))</x:f>
        <x:v>3</x:v>
      </x:c>
      <x:c r="K368" s="10" t="n">
        <x:f>SUM(XLOOKUP('포켓몬_편집'!$AF368:$AN368,'분류_규칙'!$A$5:$A$76,'분류_규칙'!$K$5:$K$76,0))</x:f>
        <x:v>0</x:v>
      </x:c>
      <x:c r="L368" s="10" t="n">
        <x:f>SUM(XLOOKUP('포켓몬_편집'!$AF368:$AN368,'분류_규칙'!$A$5:$A$76,'분류_규칙'!$L$5:$L$76,0))</x:f>
        <x:v>30</x:v>
      </x:c>
      <x:c r="M368" s="10" t="n">
        <x:f>SUM(XLOOKUP('포켓몬_편집'!$AF368:$AN368,'분류_규칙'!$A$5:$A$76,'분류_규칙'!$M$5:$M$76,0))</x:f>
        <x:v>0</x:v>
      </x:c>
      <x:c r="N368" s="10" t="n">
        <x:f>SUM(XLOOKUP('포켓몬_편집'!$AF368:$AN368,'분류_규칙'!$A$5:$A$76,'분류_규칙'!$N$5:$N$76,0))</x:f>
        <x:v>0</x:v>
      </x:c>
      <x:c r="O368" s="10" t="n">
        <x:f>SUM(XLOOKUP('포켓몬_편집'!$AF368:$AN368,'분류_규칙'!$A$5:$A$76,'분류_규칙'!$O$5:$O$76,0))</x:f>
        <x:v>0</x:v>
      </x:c>
      <x:c r="P368" s="10" t="n">
        <x:f>SUM(XLOOKUP('포켓몬_편집'!$AF368:$AN368,'분류_규칙'!$A$5:$A$76,'분류_규칙'!$P$5:$P$76,0))</x:f>
        <x:v>0</x:v>
      </x:c>
    </x:row>
    <x:row r="369" ht="22" customHeight="1">
      <x:c r="A369" s="5" t="n">
        <x:v>365</x:v>
      </x:c>
      <x:c r="B369" s="5" t="inlineStr">
        <x:is>
          <x:t xml:space="preserve">씨카이저</x:t>
        </x:is>
      </x:c>
      <x:c r="C369" s="5" t="inlineStr">
        <x:is>
          <x:t xml:space="preserve">walrein</x:t>
        </x:is>
      </x:c>
      <x:c r="D369" s="5" t="n">
        <x:v>3</x:v>
      </x:c>
      <x:c r="E369" s="10" t="n">
        <x:f>SUM(XLOOKUP('포켓몬_편집'!$AF369:$AN369,'분류_규칙'!$A$5:$A$76,'분류_규칙'!$E$5:$E$76,0))</x:f>
        <x:v>0</x:v>
      </x:c>
      <x:c r="F369" s="10" t="n">
        <x:f>SUM(XLOOKUP('포켓몬_편집'!$AF369:$AN369,'분류_규칙'!$A$5:$A$76,'분류_규칙'!$F$5:$F$76,0))</x:f>
        <x:v>0</x:v>
      </x:c>
      <x:c r="G369" s="10" t="n">
        <x:f>SUM(XLOOKUP('포켓몬_편집'!$AF369:$AN369,'분류_규칙'!$A$5:$A$76,'분류_규칙'!$G$5:$G$76,0))</x:f>
        <x:v>0</x:v>
      </x:c>
      <x:c r="H369" s="10" t="n">
        <x:f>SUM(XLOOKUP('포켓몬_편집'!$AF369:$AN369,'분류_규칙'!$A$5:$A$76,'분류_규칙'!$H$5:$H$76,0))</x:f>
        <x:v>0</x:v>
      </x:c>
      <x:c r="I369" s="10" t="n">
        <x:f>SUM(XLOOKUP('포켓몬_편집'!$AF369:$AN369,'분류_규칙'!$A$5:$A$76,'분류_규칙'!$I$5:$I$76,0))</x:f>
        <x:v>0</x:v>
      </x:c>
      <x:c r="J369" s="10" t="n">
        <x:f>SUM(XLOOKUP('포켓몬_편집'!$AF369:$AN369,'분류_규칙'!$A$5:$A$76,'분류_규칙'!$J$5:$J$76,0))</x:f>
        <x:v>3</x:v>
      </x:c>
      <x:c r="K369" s="10" t="n">
        <x:f>SUM(XLOOKUP('포켓몬_편집'!$AF369:$AN369,'분류_규칙'!$A$5:$A$76,'분류_규칙'!$K$5:$K$76,0))</x:f>
        <x:v>0</x:v>
      </x:c>
      <x:c r="L369" s="10" t="n">
        <x:f>SUM(XLOOKUP('포켓몬_편집'!$AF369:$AN369,'분류_규칙'!$A$5:$A$76,'분류_규칙'!$L$5:$L$76,0))</x:f>
        <x:v>30</x:v>
      </x:c>
      <x:c r="M369" s="10" t="n">
        <x:f>SUM(XLOOKUP('포켓몬_편집'!$AF369:$AN369,'분류_규칙'!$A$5:$A$76,'분류_규칙'!$M$5:$M$76,0))</x:f>
        <x:v>0</x:v>
      </x:c>
      <x:c r="N369" s="10" t="n">
        <x:f>SUM(XLOOKUP('포켓몬_편집'!$AF369:$AN369,'분류_규칙'!$A$5:$A$76,'분류_규칙'!$N$5:$N$76,0))</x:f>
        <x:v>0</x:v>
      </x:c>
      <x:c r="O369" s="10" t="n">
        <x:f>SUM(XLOOKUP('포켓몬_편집'!$AF369:$AN369,'분류_규칙'!$A$5:$A$76,'분류_규칙'!$O$5:$O$76,0))</x:f>
        <x:v>0</x:v>
      </x:c>
      <x:c r="P369" s="10" t="n">
        <x:f>SUM(XLOOKUP('포켓몬_편집'!$AF369:$AN369,'분류_규칙'!$A$5:$A$76,'분류_규칙'!$P$5:$P$76,0))</x:f>
        <x:v>0</x:v>
      </x:c>
    </x:row>
    <x:row r="370" ht="22" customHeight="1">
      <x:c r="A370" s="5" t="n">
        <x:v>366</x:v>
      </x:c>
      <x:c r="B370" s="5" t="inlineStr">
        <x:is>
          <x:t xml:space="preserve">진주몽</x:t>
        </x:is>
      </x:c>
      <x:c r="C370" s="5" t="inlineStr">
        <x:is>
          <x:t xml:space="preserve">clamperl</x:t>
        </x:is>
      </x:c>
      <x:c r="D370" s="5" t="n">
        <x:v>3</x:v>
      </x:c>
      <x:c r="E370" s="10" t="n">
        <x:f>SUM(XLOOKUP('포켓몬_편집'!$AF370:$AN370,'분류_규칙'!$A$5:$A$76,'분류_규칙'!$E$5:$E$76,0))</x:f>
        <x:v>0</x:v>
      </x:c>
      <x:c r="F370" s="10" t="n">
        <x:f>SUM(XLOOKUP('포켓몬_편집'!$AF370:$AN370,'분류_규칙'!$A$5:$A$76,'분류_규칙'!$F$5:$F$76,0))</x:f>
        <x:v>0</x:v>
      </x:c>
      <x:c r="G370" s="10" t="n">
        <x:f>SUM(XLOOKUP('포켓몬_편집'!$AF370:$AN370,'분류_규칙'!$A$5:$A$76,'분류_규칙'!$G$5:$G$76,0))</x:f>
        <x:v>0</x:v>
      </x:c>
      <x:c r="H370" s="10" t="n">
        <x:f>SUM(XLOOKUP('포켓몬_편집'!$AF370:$AN370,'분류_규칙'!$A$5:$A$76,'분류_규칙'!$H$5:$H$76,0))</x:f>
        <x:v>0</x:v>
      </x:c>
      <x:c r="I370" s="10" t="n">
        <x:f>SUM(XLOOKUP('포켓몬_편집'!$AF370:$AN370,'분류_규칙'!$A$5:$A$76,'분류_규칙'!$I$5:$I$76,0))</x:f>
        <x:v>0</x:v>
      </x:c>
      <x:c r="J370" s="10" t="n">
        <x:f>SUM(XLOOKUP('포켓몬_편집'!$AF370:$AN370,'분류_규칙'!$A$5:$A$76,'분류_규칙'!$J$5:$J$76,0))</x:f>
        <x:v>3</x:v>
      </x:c>
      <x:c r="K370" s="10" t="n">
        <x:f>SUM(XLOOKUP('포켓몬_편집'!$AF370:$AN370,'분류_규칙'!$A$5:$A$76,'분류_규칙'!$K$5:$K$76,0))</x:f>
        <x:v>0</x:v>
      </x:c>
      <x:c r="L370" s="10" t="n">
        <x:f>SUM(XLOOKUP('포켓몬_편집'!$AF370:$AN370,'분류_규칙'!$A$5:$A$76,'분류_규칙'!$L$5:$L$76,0))</x:f>
        <x:v>30</x:v>
      </x:c>
      <x:c r="M370" s="10" t="n">
        <x:f>SUM(XLOOKUP('포켓몬_편집'!$AF370:$AN370,'분류_규칙'!$A$5:$A$76,'분류_규칙'!$M$5:$M$76,0))</x:f>
        <x:v>0</x:v>
      </x:c>
      <x:c r="N370" s="10" t="n">
        <x:f>SUM(XLOOKUP('포켓몬_편집'!$AF370:$AN370,'분류_규칙'!$A$5:$A$76,'분류_규칙'!$N$5:$N$76,0))</x:f>
        <x:v>0</x:v>
      </x:c>
      <x:c r="O370" s="10" t="n">
        <x:f>SUM(XLOOKUP('포켓몬_편집'!$AF370:$AN370,'분류_규칙'!$A$5:$A$76,'분류_규칙'!$O$5:$O$76,0))</x:f>
        <x:v>0</x:v>
      </x:c>
      <x:c r="P370" s="10" t="n">
        <x:f>SUM(XLOOKUP('포켓몬_편집'!$AF370:$AN370,'분류_규칙'!$A$5:$A$76,'분류_규칙'!$P$5:$P$76,0))</x:f>
        <x:v>0</x:v>
      </x:c>
    </x:row>
    <x:row r="371" ht="22" customHeight="1">
      <x:c r="A371" s="5" t="n">
        <x:v>367</x:v>
      </x:c>
      <x:c r="B371" s="5" t="inlineStr">
        <x:is>
          <x:t xml:space="preserve">헌테일</x:t>
        </x:is>
      </x:c>
      <x:c r="C371" s="5" t="inlineStr">
        <x:is>
          <x:t xml:space="preserve">huntail</x:t>
        </x:is>
      </x:c>
      <x:c r="D371" s="5" t="n">
        <x:v>3</x:v>
      </x:c>
      <x:c r="E371" s="10" t="n">
        <x:f>SUM(XLOOKUP('포켓몬_편집'!$AF371:$AN371,'분류_규칙'!$A$5:$A$76,'분류_규칙'!$E$5:$E$76,0))</x:f>
        <x:v>0</x:v>
      </x:c>
      <x:c r="F371" s="10" t="n">
        <x:f>SUM(XLOOKUP('포켓몬_편집'!$AF371:$AN371,'분류_규칙'!$A$5:$A$76,'분류_규칙'!$F$5:$F$76,0))</x:f>
        <x:v>0</x:v>
      </x:c>
      <x:c r="G371" s="10" t="n">
        <x:f>SUM(XLOOKUP('포켓몬_편집'!$AF371:$AN371,'분류_규칙'!$A$5:$A$76,'분류_규칙'!$G$5:$G$76,0))</x:f>
        <x:v>0</x:v>
      </x:c>
      <x:c r="H371" s="10" t="n">
        <x:f>SUM(XLOOKUP('포켓몬_편집'!$AF371:$AN371,'분류_규칙'!$A$5:$A$76,'분류_규칙'!$H$5:$H$76,0))</x:f>
        <x:v>0</x:v>
      </x:c>
      <x:c r="I371" s="10" t="n">
        <x:f>SUM(XLOOKUP('포켓몬_편집'!$AF371:$AN371,'분류_규칙'!$A$5:$A$76,'분류_규칙'!$I$5:$I$76,0))</x:f>
        <x:v>0</x:v>
      </x:c>
      <x:c r="J371" s="10" t="n">
        <x:f>SUM(XLOOKUP('포켓몬_편집'!$AF371:$AN371,'분류_규칙'!$A$5:$A$76,'분류_규칙'!$J$5:$J$76,0))</x:f>
        <x:v>3</x:v>
      </x:c>
      <x:c r="K371" s="10" t="n">
        <x:f>SUM(XLOOKUP('포켓몬_편집'!$AF371:$AN371,'분류_규칙'!$A$5:$A$76,'분류_규칙'!$K$5:$K$76,0))</x:f>
        <x:v>0</x:v>
      </x:c>
      <x:c r="L371" s="10" t="n">
        <x:f>SUM(XLOOKUP('포켓몬_편집'!$AF371:$AN371,'분류_규칙'!$A$5:$A$76,'분류_규칙'!$L$5:$L$76,0))</x:f>
        <x:v>30</x:v>
      </x:c>
      <x:c r="M371" s="10" t="n">
        <x:f>SUM(XLOOKUP('포켓몬_편집'!$AF371:$AN371,'분류_규칙'!$A$5:$A$76,'분류_규칙'!$M$5:$M$76,0))</x:f>
        <x:v>0</x:v>
      </x:c>
      <x:c r="N371" s="10" t="n">
        <x:f>SUM(XLOOKUP('포켓몬_편집'!$AF371:$AN371,'분류_규칙'!$A$5:$A$76,'분류_규칙'!$N$5:$N$76,0))</x:f>
        <x:v>0</x:v>
      </x:c>
      <x:c r="O371" s="10" t="n">
        <x:f>SUM(XLOOKUP('포켓몬_편집'!$AF371:$AN371,'분류_규칙'!$A$5:$A$76,'분류_규칙'!$O$5:$O$76,0))</x:f>
        <x:v>0</x:v>
      </x:c>
      <x:c r="P371" s="10" t="n">
        <x:f>SUM(XLOOKUP('포켓몬_편집'!$AF371:$AN371,'분류_규칙'!$A$5:$A$76,'분류_규칙'!$P$5:$P$76,0))</x:f>
        <x:v>0</x:v>
      </x:c>
    </x:row>
    <x:row r="372" ht="22" customHeight="1">
      <x:c r="A372" s="5" t="n">
        <x:v>368</x:v>
      </x:c>
      <x:c r="B372" s="5" t="inlineStr">
        <x:is>
          <x:t xml:space="preserve">분홍장이</x:t>
        </x:is>
      </x:c>
      <x:c r="C372" s="5" t="inlineStr">
        <x:is>
          <x:t xml:space="preserve">gorebyss</x:t>
        </x:is>
      </x:c>
      <x:c r="D372" s="5" t="n">
        <x:v>3</x:v>
      </x:c>
      <x:c r="E372" s="10" t="n">
        <x:f>SUM(XLOOKUP('포켓몬_편집'!$AF372:$AN372,'분류_규칙'!$A$5:$A$76,'분류_규칙'!$E$5:$E$76,0))</x:f>
        <x:v>0</x:v>
      </x:c>
      <x:c r="F372" s="10" t="n">
        <x:f>SUM(XLOOKUP('포켓몬_편집'!$AF372:$AN372,'분류_규칙'!$A$5:$A$76,'분류_규칙'!$F$5:$F$76,0))</x:f>
        <x:v>0</x:v>
      </x:c>
      <x:c r="G372" s="10" t="n">
        <x:f>SUM(XLOOKUP('포켓몬_편집'!$AF372:$AN372,'분류_규칙'!$A$5:$A$76,'분류_규칙'!$G$5:$G$76,0))</x:f>
        <x:v>0</x:v>
      </x:c>
      <x:c r="H372" s="10" t="n">
        <x:f>SUM(XLOOKUP('포켓몬_편집'!$AF372:$AN372,'분류_규칙'!$A$5:$A$76,'분류_규칙'!$H$5:$H$76,0))</x:f>
        <x:v>0</x:v>
      </x:c>
      <x:c r="I372" s="10" t="n">
        <x:f>SUM(XLOOKUP('포켓몬_편집'!$AF372:$AN372,'분류_규칙'!$A$5:$A$76,'분류_규칙'!$I$5:$I$76,0))</x:f>
        <x:v>0</x:v>
      </x:c>
      <x:c r="J372" s="10" t="n">
        <x:f>SUM(XLOOKUP('포켓몬_편집'!$AF372:$AN372,'분류_규칙'!$A$5:$A$76,'분류_규칙'!$J$5:$J$76,0))</x:f>
        <x:v>3</x:v>
      </x:c>
      <x:c r="K372" s="10" t="n">
        <x:f>SUM(XLOOKUP('포켓몬_편집'!$AF372:$AN372,'분류_규칙'!$A$5:$A$76,'분류_규칙'!$K$5:$K$76,0))</x:f>
        <x:v>0</x:v>
      </x:c>
      <x:c r="L372" s="10" t="n">
        <x:f>SUM(XLOOKUP('포켓몬_편집'!$AF372:$AN372,'분류_규칙'!$A$5:$A$76,'분류_규칙'!$L$5:$L$76,0))</x:f>
        <x:v>30</x:v>
      </x:c>
      <x:c r="M372" s="10" t="n">
        <x:f>SUM(XLOOKUP('포켓몬_편집'!$AF372:$AN372,'분류_규칙'!$A$5:$A$76,'분류_규칙'!$M$5:$M$76,0))</x:f>
        <x:v>0</x:v>
      </x:c>
      <x:c r="N372" s="10" t="n">
        <x:f>SUM(XLOOKUP('포켓몬_편집'!$AF372:$AN372,'분류_규칙'!$A$5:$A$76,'분류_규칙'!$N$5:$N$76,0))</x:f>
        <x:v>0</x:v>
      </x:c>
      <x:c r="O372" s="10" t="n">
        <x:f>SUM(XLOOKUP('포켓몬_편집'!$AF372:$AN372,'분류_규칙'!$A$5:$A$76,'분류_규칙'!$O$5:$O$76,0))</x:f>
        <x:v>0</x:v>
      </x:c>
      <x:c r="P372" s="10" t="n">
        <x:f>SUM(XLOOKUP('포켓몬_편집'!$AF372:$AN372,'분류_규칙'!$A$5:$A$76,'분류_규칙'!$P$5:$P$76,0))</x:f>
        <x:v>0</x:v>
      </x:c>
    </x:row>
    <x:row r="373" ht="22" customHeight="1">
      <x:c r="A373" s="5" t="n">
        <x:v>369</x:v>
      </x:c>
      <x:c r="B373" s="5" t="inlineStr">
        <x:is>
          <x:t xml:space="preserve">시라칸</x:t>
        </x:is>
      </x:c>
      <x:c r="C373" s="5" t="inlineStr">
        <x:is>
          <x:t xml:space="preserve">relicanth</x:t>
        </x:is>
      </x:c>
      <x:c r="D373" s="5" t="n">
        <x:v>3</x:v>
      </x:c>
      <x:c r="E373" s="10" t="n">
        <x:f>SUM(XLOOKUP('포켓몬_편집'!$AF373:$AN373,'분류_규칙'!$A$5:$A$76,'분류_규칙'!$E$5:$E$76,0))</x:f>
        <x:v>0</x:v>
      </x:c>
      <x:c r="F373" s="10" t="n">
        <x:f>SUM(XLOOKUP('포켓몬_편집'!$AF373:$AN373,'분류_규칙'!$A$5:$A$76,'분류_규칙'!$F$5:$F$76,0))</x:f>
        <x:v>0</x:v>
      </x:c>
      <x:c r="G373" s="10" t="n">
        <x:f>SUM(XLOOKUP('포켓몬_편집'!$AF373:$AN373,'분류_규칙'!$A$5:$A$76,'분류_규칙'!$G$5:$G$76,0))</x:f>
        <x:v>0</x:v>
      </x:c>
      <x:c r="H373" s="10" t="n">
        <x:f>SUM(XLOOKUP('포켓몬_편집'!$AF373:$AN373,'분류_규칙'!$A$5:$A$76,'분류_규칙'!$H$5:$H$76,0))</x:f>
        <x:v>0</x:v>
      </x:c>
      <x:c r="I373" s="10" t="n">
        <x:f>SUM(XLOOKUP('포켓몬_편집'!$AF373:$AN373,'분류_규칙'!$A$5:$A$76,'분류_규칙'!$I$5:$I$76,0))</x:f>
        <x:v>0</x:v>
      </x:c>
      <x:c r="J373" s="10" t="n">
        <x:f>SUM(XLOOKUP('포켓몬_편집'!$AF373:$AN373,'분류_규칙'!$A$5:$A$76,'분류_규칙'!$J$5:$J$76,0))</x:f>
        <x:v>3</x:v>
      </x:c>
      <x:c r="K373" s="10" t="n">
        <x:f>SUM(XLOOKUP('포켓몬_편집'!$AF373:$AN373,'분류_규칙'!$A$5:$A$76,'분류_규칙'!$K$5:$K$76,0))</x:f>
        <x:v>0</x:v>
      </x:c>
      <x:c r="L373" s="10" t="n">
        <x:f>SUM(XLOOKUP('포켓몬_편집'!$AF373:$AN373,'분류_규칙'!$A$5:$A$76,'분류_규칙'!$L$5:$L$76,0))</x:f>
        <x:v>30</x:v>
      </x:c>
      <x:c r="M373" s="10" t="n">
        <x:f>SUM(XLOOKUP('포켓몬_편집'!$AF373:$AN373,'분류_규칙'!$A$5:$A$76,'분류_규칙'!$M$5:$M$76,0))</x:f>
        <x:v>0</x:v>
      </x:c>
      <x:c r="N373" s="10" t="n">
        <x:f>SUM(XLOOKUP('포켓몬_편집'!$AF373:$AN373,'분류_규칙'!$A$5:$A$76,'분류_규칙'!$N$5:$N$76,0))</x:f>
        <x:v>0</x:v>
      </x:c>
      <x:c r="O373" s="10" t="n">
        <x:f>SUM(XLOOKUP('포켓몬_편집'!$AF373:$AN373,'분류_규칙'!$A$5:$A$76,'분류_규칙'!$O$5:$O$76,0))</x:f>
        <x:v>0</x:v>
      </x:c>
      <x:c r="P373" s="10" t="n">
        <x:f>SUM(XLOOKUP('포켓몬_편집'!$AF373:$AN373,'분류_규칙'!$A$5:$A$76,'분류_규칙'!$P$5:$P$76,0))</x:f>
        <x:v>0</x:v>
      </x:c>
    </x:row>
    <x:row r="374" ht="22" customHeight="1">
      <x:c r="A374" s="5" t="n">
        <x:v>370</x:v>
      </x:c>
      <x:c r="B374" s="5" t="inlineStr">
        <x:is>
          <x:t xml:space="preserve">사랑동이</x:t>
        </x:is>
      </x:c>
      <x:c r="C374" s="5" t="inlineStr">
        <x:is>
          <x:t xml:space="preserve">luvdisc</x:t>
        </x:is>
      </x:c>
      <x:c r="D374" s="5" t="n">
        <x:v>3</x:v>
      </x:c>
      <x:c r="E374" s="10" t="n">
        <x:f>SUM(XLOOKUP('포켓몬_편집'!$AF374:$AN374,'분류_규칙'!$A$5:$A$76,'분류_규칙'!$E$5:$E$76,0))</x:f>
        <x:v>0</x:v>
      </x:c>
      <x:c r="F374" s="10" t="n">
        <x:f>SUM(XLOOKUP('포켓몬_편집'!$AF374:$AN374,'분류_규칙'!$A$5:$A$76,'분류_규칙'!$F$5:$F$76,0))</x:f>
        <x:v>0</x:v>
      </x:c>
      <x:c r="G374" s="10" t="n">
        <x:f>SUM(XLOOKUP('포켓몬_편집'!$AF374:$AN374,'분류_규칙'!$A$5:$A$76,'분류_규칙'!$G$5:$G$76,0))</x:f>
        <x:v>0</x:v>
      </x:c>
      <x:c r="H374" s="10" t="n">
        <x:f>SUM(XLOOKUP('포켓몬_편집'!$AF374:$AN374,'분류_규칙'!$A$5:$A$76,'분류_규칙'!$H$5:$H$76,0))</x:f>
        <x:v>0</x:v>
      </x:c>
      <x:c r="I374" s="10" t="n">
        <x:f>SUM(XLOOKUP('포켓몬_편집'!$AF374:$AN374,'분류_규칙'!$A$5:$A$76,'분류_규칙'!$I$5:$I$76,0))</x:f>
        <x:v>0</x:v>
      </x:c>
      <x:c r="J374" s="10" t="n">
        <x:f>SUM(XLOOKUP('포켓몬_편집'!$AF374:$AN374,'분류_규칙'!$A$5:$A$76,'분류_규칙'!$J$5:$J$76,0))</x:f>
        <x:v>3</x:v>
      </x:c>
      <x:c r="K374" s="10" t="n">
        <x:f>SUM(XLOOKUP('포켓몬_편집'!$AF374:$AN374,'분류_규칙'!$A$5:$A$76,'분류_규칙'!$K$5:$K$76,0))</x:f>
        <x:v>0</x:v>
      </x:c>
      <x:c r="L374" s="10" t="n">
        <x:f>SUM(XLOOKUP('포켓몬_편집'!$AF374:$AN374,'분류_규칙'!$A$5:$A$76,'분류_규칙'!$L$5:$L$76,0))</x:f>
        <x:v>30</x:v>
      </x:c>
      <x:c r="M374" s="10" t="n">
        <x:f>SUM(XLOOKUP('포켓몬_편집'!$AF374:$AN374,'분류_규칙'!$A$5:$A$76,'분류_규칙'!$M$5:$M$76,0))</x:f>
        <x:v>0</x:v>
      </x:c>
      <x:c r="N374" s="10" t="n">
        <x:f>SUM(XLOOKUP('포켓몬_편집'!$AF374:$AN374,'분류_규칙'!$A$5:$A$76,'분류_규칙'!$N$5:$N$76,0))</x:f>
        <x:v>0</x:v>
      </x:c>
      <x:c r="O374" s="10" t="n">
        <x:f>SUM(XLOOKUP('포켓몬_편집'!$AF374:$AN374,'분류_규칙'!$A$5:$A$76,'분류_규칙'!$O$5:$O$76,0))</x:f>
        <x:v>0</x:v>
      </x:c>
      <x:c r="P374" s="10" t="n">
        <x:f>SUM(XLOOKUP('포켓몬_편집'!$AF374:$AN374,'분류_규칙'!$A$5:$A$76,'분류_규칙'!$P$5:$P$76,0))</x:f>
        <x:v>0</x:v>
      </x:c>
    </x:row>
    <x:row r="375" ht="22" customHeight="1">
      <x:c r="A375" s="5" t="n">
        <x:v>371</x:v>
      </x:c>
      <x:c r="B375" s="5" t="inlineStr">
        <x:is>
          <x:t xml:space="preserve">아공이</x:t>
        </x:is>
      </x:c>
      <x:c r="C375" s="5" t="inlineStr">
        <x:is>
          <x:t xml:space="preserve">bagon</x:t>
        </x:is>
      </x:c>
      <x:c r="D375" s="5" t="n">
        <x:v>3</x:v>
      </x:c>
      <x:c r="E375" s="10" t="n">
        <x:f>SUM(XLOOKUP('포켓몬_편집'!$AF375:$AN375,'분류_규칙'!$A$5:$A$76,'분류_규칙'!$E$5:$E$76,0))</x:f>
        <x:v>10</x:v>
      </x:c>
      <x:c r="F375" s="10" t="n">
        <x:f>SUM(XLOOKUP('포켓몬_편집'!$AF375:$AN375,'분류_규칙'!$A$5:$A$76,'분류_규칙'!$F$5:$F$76,0))</x:f>
        <x:v>7</x:v>
      </x:c>
      <x:c r="G375" s="10" t="n">
        <x:f>SUM(XLOOKUP('포켓몬_편집'!$AF375:$AN375,'분류_규칙'!$A$5:$A$76,'분류_규칙'!$G$5:$G$76,0))</x:f>
        <x:v>5</x:v>
      </x:c>
      <x:c r="H375" s="10" t="n">
        <x:f>SUM(XLOOKUP('포켓몬_편집'!$AF375:$AN375,'분류_규칙'!$A$5:$A$76,'분류_규칙'!$H$5:$H$76,0))</x:f>
        <x:v>5</x:v>
      </x:c>
      <x:c r="I375" s="10" t="n">
        <x:f>SUM(XLOOKUP('포켓몬_편집'!$AF375:$AN375,'분류_규칙'!$A$5:$A$76,'분류_규칙'!$I$5:$I$76,0))</x:f>
        <x:v>0</x:v>
      </x:c>
      <x:c r="J375" s="10" t="n">
        <x:f>SUM(XLOOKUP('포켓몬_편집'!$AF375:$AN375,'분류_규칙'!$A$5:$A$76,'분류_규칙'!$J$5:$J$76,0))</x:f>
        <x:v>2</x:v>
      </x:c>
      <x:c r="K375" s="10" t="n">
        <x:f>SUM(XLOOKUP('포켓몬_편집'!$AF375:$AN375,'분류_규칙'!$A$5:$A$76,'분류_규칙'!$K$5:$K$76,0))</x:f>
        <x:v>0</x:v>
      </x:c>
      <x:c r="L375" s="10" t="n">
        <x:f>SUM(XLOOKUP('포켓몬_편집'!$AF375:$AN375,'분류_규칙'!$A$5:$A$76,'분류_규칙'!$L$5:$L$76,0))</x:f>
        <x:v>0</x:v>
      </x:c>
      <x:c r="M375" s="10" t="n">
        <x:f>SUM(XLOOKUP('포켓몬_편집'!$AF375:$AN375,'분류_규칙'!$A$5:$A$76,'분류_규칙'!$M$5:$M$76,0))</x:f>
        <x:v>0</x:v>
      </x:c>
      <x:c r="N375" s="10" t="n">
        <x:f>SUM(XLOOKUP('포켓몬_편집'!$AF375:$AN375,'분류_규칙'!$A$5:$A$76,'분류_규칙'!$N$5:$N$76,0))</x:f>
        <x:v>0</x:v>
      </x:c>
      <x:c r="O375" s="10" t="n">
        <x:f>SUM(XLOOKUP('포켓몬_편집'!$AF375:$AN375,'분류_규칙'!$A$5:$A$76,'분류_규칙'!$O$5:$O$76,0))</x:f>
        <x:v>2</x:v>
      </x:c>
      <x:c r="P375" s="10" t="n">
        <x:f>SUM(XLOOKUP('포켓몬_편집'!$AF375:$AN375,'분류_규칙'!$A$5:$A$76,'분류_규칙'!$P$5:$P$76,0))</x:f>
        <x:v>0</x:v>
      </x:c>
    </x:row>
    <x:row r="376" ht="22" customHeight="1">
      <x:c r="A376" s="5" t="n">
        <x:v>372</x:v>
      </x:c>
      <x:c r="B376" s="5" t="inlineStr">
        <x:is>
          <x:t xml:space="preserve">쉘곤</x:t>
        </x:is>
      </x:c>
      <x:c r="C376" s="5" t="inlineStr">
        <x:is>
          <x:t xml:space="preserve">shelgon</x:t>
        </x:is>
      </x:c>
      <x:c r="D376" s="5" t="n">
        <x:v>3</x:v>
      </x:c>
      <x:c r="E376" s="10" t="n">
        <x:f>SUM(XLOOKUP('포켓몬_편집'!$AF376:$AN376,'분류_규칙'!$A$5:$A$76,'분류_규칙'!$E$5:$E$76,0))</x:f>
        <x:v>10</x:v>
      </x:c>
      <x:c r="F376" s="10" t="n">
        <x:f>SUM(XLOOKUP('포켓몬_편집'!$AF376:$AN376,'분류_규칙'!$A$5:$A$76,'분류_규칙'!$F$5:$F$76,0))</x:f>
        <x:v>7</x:v>
      </x:c>
      <x:c r="G376" s="10" t="n">
        <x:f>SUM(XLOOKUP('포켓몬_편집'!$AF376:$AN376,'분류_규칙'!$A$5:$A$76,'분류_규칙'!$G$5:$G$76,0))</x:f>
        <x:v>5</x:v>
      </x:c>
      <x:c r="H376" s="10" t="n">
        <x:f>SUM(XLOOKUP('포켓몬_편집'!$AF376:$AN376,'분류_규칙'!$A$5:$A$76,'분류_규칙'!$H$5:$H$76,0))</x:f>
        <x:v>5</x:v>
      </x:c>
      <x:c r="I376" s="10" t="n">
        <x:f>SUM(XLOOKUP('포켓몬_편집'!$AF376:$AN376,'분류_규칙'!$A$5:$A$76,'분류_규칙'!$I$5:$I$76,0))</x:f>
        <x:v>0</x:v>
      </x:c>
      <x:c r="J376" s="10" t="n">
        <x:f>SUM(XLOOKUP('포켓몬_편집'!$AF376:$AN376,'분류_규칙'!$A$5:$A$76,'분류_규칙'!$J$5:$J$76,0))</x:f>
        <x:v>2</x:v>
      </x:c>
      <x:c r="K376" s="10" t="n">
        <x:f>SUM(XLOOKUP('포켓몬_편집'!$AF376:$AN376,'분류_규칙'!$A$5:$A$76,'분류_규칙'!$K$5:$K$76,0))</x:f>
        <x:v>0</x:v>
      </x:c>
      <x:c r="L376" s="10" t="n">
        <x:f>SUM(XLOOKUP('포켓몬_편집'!$AF376:$AN376,'분류_규칙'!$A$5:$A$76,'분류_규칙'!$L$5:$L$76,0))</x:f>
        <x:v>0</x:v>
      </x:c>
      <x:c r="M376" s="10" t="n">
        <x:f>SUM(XLOOKUP('포켓몬_편집'!$AF376:$AN376,'분류_규칙'!$A$5:$A$76,'분류_규칙'!$M$5:$M$76,0))</x:f>
        <x:v>0</x:v>
      </x:c>
      <x:c r="N376" s="10" t="n">
        <x:f>SUM(XLOOKUP('포켓몬_편집'!$AF376:$AN376,'분류_규칙'!$A$5:$A$76,'분류_규칙'!$N$5:$N$76,0))</x:f>
        <x:v>0</x:v>
      </x:c>
      <x:c r="O376" s="10" t="n">
        <x:f>SUM(XLOOKUP('포켓몬_편집'!$AF376:$AN376,'분류_규칙'!$A$5:$A$76,'분류_규칙'!$O$5:$O$76,0))</x:f>
        <x:v>2</x:v>
      </x:c>
      <x:c r="P376" s="10" t="n">
        <x:f>SUM(XLOOKUP('포켓몬_편집'!$AF376:$AN376,'분류_규칙'!$A$5:$A$76,'분류_규칙'!$P$5:$P$76,0))</x:f>
        <x:v>0</x:v>
      </x:c>
    </x:row>
    <x:row r="377" ht="22" customHeight="1">
      <x:c r="A377" s="5" t="n">
        <x:v>373</x:v>
      </x:c>
      <x:c r="B377" s="5" t="inlineStr">
        <x:is>
          <x:t xml:space="preserve">보만다</x:t>
        </x:is>
      </x:c>
      <x:c r="C377" s="5" t="inlineStr">
        <x:is>
          <x:t xml:space="preserve">salamence</x:t>
        </x:is>
      </x:c>
      <x:c r="D377" s="5" t="n">
        <x:v>3</x:v>
      </x:c>
      <x:c r="E377" s="10" t="n">
        <x:f>SUM(XLOOKUP('포켓몬_편집'!$AF377:$AN377,'분류_규칙'!$A$5:$A$76,'분류_규칙'!$E$5:$E$76,0))</x:f>
        <x:v>8</x:v>
      </x:c>
      <x:c r="F377" s="10" t="n">
        <x:f>SUM(XLOOKUP('포켓몬_편집'!$AF377:$AN377,'분류_규칙'!$A$5:$A$76,'분류_규칙'!$F$5:$F$76,0))</x:f>
        <x:v>8</x:v>
      </x:c>
      <x:c r="G377" s="10" t="n">
        <x:f>SUM(XLOOKUP('포켓몬_편집'!$AF377:$AN377,'분류_규칙'!$A$5:$A$76,'분류_규칙'!$G$5:$G$76,0))</x:f>
        <x:v>0</x:v>
      </x:c>
      <x:c r="H377" s="10" t="n">
        <x:f>SUM(XLOOKUP('포켓몬_편집'!$AF377:$AN377,'분류_규칙'!$A$5:$A$76,'분류_규칙'!$H$5:$H$76,0))</x:f>
        <x:v>12</x:v>
      </x:c>
      <x:c r="I377" s="10" t="n">
        <x:f>SUM(XLOOKUP('포켓몬_편집'!$AF377:$AN377,'분류_규칙'!$A$5:$A$76,'분류_규칙'!$I$5:$I$76,0))</x:f>
        <x:v>0</x:v>
      </x:c>
      <x:c r="J377" s="10" t="n">
        <x:f>SUM(XLOOKUP('포켓몬_편집'!$AF377:$AN377,'분류_규칙'!$A$5:$A$76,'분류_규칙'!$J$5:$J$76,0))</x:f>
        <x:v>0</x:v>
      </x:c>
      <x:c r="K377" s="10" t="n">
        <x:f>SUM(XLOOKUP('포켓몬_편집'!$AF377:$AN377,'분류_규칙'!$A$5:$A$76,'분류_규칙'!$K$5:$K$76,0))</x:f>
        <x:v>0</x:v>
      </x:c>
      <x:c r="L377" s="10" t="n">
        <x:f>SUM(XLOOKUP('포켓몬_편집'!$AF377:$AN377,'분류_규칙'!$A$5:$A$76,'분류_규칙'!$L$5:$L$76,0))</x:f>
        <x:v>3</x:v>
      </x:c>
      <x:c r="M377" s="10" t="n">
        <x:f>SUM(XLOOKUP('포켓몬_편집'!$AF377:$AN377,'분류_규칙'!$A$5:$A$76,'분류_규칙'!$M$5:$M$76,0))</x:f>
        <x:v>0</x:v>
      </x:c>
      <x:c r="N377" s="10" t="n">
        <x:f>SUM(XLOOKUP('포켓몬_편집'!$AF377:$AN377,'분류_규칙'!$A$5:$A$76,'분류_규칙'!$N$5:$N$76,0))</x:f>
        <x:v>0</x:v>
      </x:c>
      <x:c r="O377" s="10" t="n">
        <x:f>SUM(XLOOKUP('포켓몬_편집'!$AF377:$AN377,'분류_규칙'!$A$5:$A$76,'분류_규칙'!$O$5:$O$76,0))</x:f>
        <x:v>2</x:v>
      </x:c>
      <x:c r="P377" s="10" t="n">
        <x:f>SUM(XLOOKUP('포켓몬_편집'!$AF377:$AN377,'분류_규칙'!$A$5:$A$76,'분류_규칙'!$P$5:$P$76,0))</x:f>
        <x:v>0</x:v>
      </x:c>
    </x:row>
    <x:row r="378" ht="22" customHeight="1">
      <x:c r="A378" s="5" t="n">
        <x:v>374</x:v>
      </x:c>
      <x:c r="B378" s="5" t="inlineStr">
        <x:is>
          <x:t xml:space="preserve">메탕</x:t>
        </x:is>
      </x:c>
      <x:c r="C378" s="5" t="inlineStr">
        <x:is>
          <x:t xml:space="preserve">beldum</x:t>
        </x:is>
      </x:c>
      <x:c r="D378" s="5" t="n">
        <x:v>3</x:v>
      </x:c>
      <x:c r="E378" s="10" t="n">
        <x:f>SUM(XLOOKUP('포켓몬_편집'!$AF378:$AN378,'분류_규칙'!$A$5:$A$76,'분류_규칙'!$E$5:$E$76,0))</x:f>
        <x:v>0</x:v>
      </x:c>
      <x:c r="F378" s="10" t="n">
        <x:f>SUM(XLOOKUP('포켓몬_편집'!$AF378:$AN378,'분류_규칙'!$A$5:$A$76,'분류_규칙'!$F$5:$F$76,0))</x:f>
        <x:v>0</x:v>
      </x:c>
      <x:c r="G378" s="10" t="n">
        <x:f>SUM(XLOOKUP('포켓몬_편집'!$AF378:$AN378,'분류_규칙'!$A$5:$A$76,'분류_규칙'!$G$5:$G$76,0))</x:f>
        <x:v>0</x:v>
      </x:c>
      <x:c r="H378" s="10" t="n">
        <x:f>SUM(XLOOKUP('포켓몬_편집'!$AF378:$AN378,'분류_규칙'!$A$5:$A$76,'분류_규칙'!$H$5:$H$76,0))</x:f>
        <x:v>0</x:v>
      </x:c>
      <x:c r="I378" s="10" t="n">
        <x:f>SUM(XLOOKUP('포켓몬_편집'!$AF378:$AN378,'분류_규칙'!$A$5:$A$76,'분류_규칙'!$I$5:$I$76,0))</x:f>
        <x:v>0</x:v>
      </x:c>
      <x:c r="J378" s="10" t="n">
        <x:f>SUM(XLOOKUP('포켓몬_편집'!$AF378:$AN378,'분류_규칙'!$A$5:$A$76,'분류_규칙'!$J$5:$J$76,0))</x:f>
        <x:v>0</x:v>
      </x:c>
      <x:c r="K378" s="10" t="n">
        <x:f>SUM(XLOOKUP('포켓몬_편집'!$AF378:$AN378,'분류_규칙'!$A$5:$A$76,'분류_규칙'!$K$5:$K$76,0))</x:f>
        <x:v>0</x:v>
      </x:c>
      <x:c r="L378" s="10" t="n">
        <x:f>SUM(XLOOKUP('포켓몬_편집'!$AF378:$AN378,'분류_규칙'!$A$5:$A$76,'분류_규칙'!$L$5:$L$76,0))</x:f>
        <x:v>0</x:v>
      </x:c>
      <x:c r="M378" s="10" t="n">
        <x:f>SUM(XLOOKUP('포켓몬_편집'!$AF378:$AN378,'분류_규칙'!$A$5:$A$76,'분류_규칙'!$M$5:$M$76,0))</x:f>
        <x:v>0</x:v>
      </x:c>
      <x:c r="N378" s="10" t="n">
        <x:f>SUM(XLOOKUP('포켓몬_편집'!$AF378:$AN378,'분류_규칙'!$A$5:$A$76,'분류_규칙'!$N$5:$N$76,0))</x:f>
        <x:v>0</x:v>
      </x:c>
      <x:c r="O378" s="10" t="n">
        <x:f>SUM(XLOOKUP('포켓몬_편집'!$AF378:$AN378,'분류_규칙'!$A$5:$A$76,'분류_규칙'!$O$5:$O$76,0))</x:f>
        <x:v>30</x:v>
      </x:c>
      <x:c r="P378" s="10" t="n">
        <x:f>SUM(XLOOKUP('포켓몬_편집'!$AF378:$AN378,'분류_규칙'!$A$5:$A$76,'분류_규칙'!$P$5:$P$76,0))</x:f>
        <x:v>8</x:v>
      </x:c>
    </x:row>
    <x:row r="379" ht="22" customHeight="1">
      <x:c r="A379" s="5" t="n">
        <x:v>375</x:v>
      </x:c>
      <x:c r="B379" s="5" t="inlineStr">
        <x:is>
          <x:t xml:space="preserve">메탕구</x:t>
        </x:is>
      </x:c>
      <x:c r="C379" s="5" t="inlineStr">
        <x:is>
          <x:t xml:space="preserve">metang</x:t>
        </x:is>
      </x:c>
      <x:c r="D379" s="5" t="n">
        <x:v>3</x:v>
      </x:c>
      <x:c r="E379" s="10" t="n">
        <x:f>SUM(XLOOKUP('포켓몬_편집'!$AF379:$AN379,'분류_규칙'!$A$5:$A$76,'분류_규칙'!$E$5:$E$76,0))</x:f>
        <x:v>0</x:v>
      </x:c>
      <x:c r="F379" s="10" t="n">
        <x:f>SUM(XLOOKUP('포켓몬_편집'!$AF379:$AN379,'분류_규칙'!$A$5:$A$76,'분류_규칙'!$F$5:$F$76,0))</x:f>
        <x:v>0</x:v>
      </x:c>
      <x:c r="G379" s="10" t="n">
        <x:f>SUM(XLOOKUP('포켓몬_편집'!$AF379:$AN379,'분류_규칙'!$A$5:$A$76,'분류_규칙'!$G$5:$G$76,0))</x:f>
        <x:v>0</x:v>
      </x:c>
      <x:c r="H379" s="10" t="n">
        <x:f>SUM(XLOOKUP('포켓몬_편집'!$AF379:$AN379,'분류_규칙'!$A$5:$A$76,'분류_규칙'!$H$5:$H$76,0))</x:f>
        <x:v>0</x:v>
      </x:c>
      <x:c r="I379" s="10" t="n">
        <x:f>SUM(XLOOKUP('포켓몬_편집'!$AF379:$AN379,'분류_규칙'!$A$5:$A$76,'분류_규칙'!$I$5:$I$76,0))</x:f>
        <x:v>0</x:v>
      </x:c>
      <x:c r="J379" s="10" t="n">
        <x:f>SUM(XLOOKUP('포켓몬_편집'!$AF379:$AN379,'분류_규칙'!$A$5:$A$76,'분류_규칙'!$J$5:$J$76,0))</x:f>
        <x:v>0</x:v>
      </x:c>
      <x:c r="K379" s="10" t="n">
        <x:f>SUM(XLOOKUP('포켓몬_편집'!$AF379:$AN379,'분류_규칙'!$A$5:$A$76,'분류_규칙'!$K$5:$K$76,0))</x:f>
        <x:v>0</x:v>
      </x:c>
      <x:c r="L379" s="10" t="n">
        <x:f>SUM(XLOOKUP('포켓몬_편집'!$AF379:$AN379,'분류_규칙'!$A$5:$A$76,'분류_규칙'!$L$5:$L$76,0))</x:f>
        <x:v>0</x:v>
      </x:c>
      <x:c r="M379" s="10" t="n">
        <x:f>SUM(XLOOKUP('포켓몬_편집'!$AF379:$AN379,'분류_규칙'!$A$5:$A$76,'분류_규칙'!$M$5:$M$76,0))</x:f>
        <x:v>0</x:v>
      </x:c>
      <x:c r="N379" s="10" t="n">
        <x:f>SUM(XLOOKUP('포켓몬_편집'!$AF379:$AN379,'분류_규칙'!$A$5:$A$76,'분류_규칙'!$N$5:$N$76,0))</x:f>
        <x:v>0</x:v>
      </x:c>
      <x:c r="O379" s="10" t="n">
        <x:f>SUM(XLOOKUP('포켓몬_편집'!$AF379:$AN379,'분류_규칙'!$A$5:$A$76,'분류_규칙'!$O$5:$O$76,0))</x:f>
        <x:v>30</x:v>
      </x:c>
      <x:c r="P379" s="10" t="n">
        <x:f>SUM(XLOOKUP('포켓몬_편집'!$AF379:$AN379,'분류_규칙'!$A$5:$A$76,'분류_규칙'!$P$5:$P$76,0))</x:f>
        <x:v>8</x:v>
      </x:c>
    </x:row>
    <x:row r="380" ht="22" customHeight="1">
      <x:c r="A380" s="5" t="n">
        <x:v>376</x:v>
      </x:c>
      <x:c r="B380" s="5" t="inlineStr">
        <x:is>
          <x:t xml:space="preserve">메타그로스</x:t>
        </x:is>
      </x:c>
      <x:c r="C380" s="5" t="inlineStr">
        <x:is>
          <x:t xml:space="preserve">metagross</x:t>
        </x:is>
      </x:c>
      <x:c r="D380" s="5" t="n">
        <x:v>3</x:v>
      </x:c>
      <x:c r="E380" s="10" t="n">
        <x:f>SUM(XLOOKUP('포켓몬_편집'!$AF380:$AN380,'분류_규칙'!$A$5:$A$76,'분류_규칙'!$E$5:$E$76,0))</x:f>
        <x:v>0</x:v>
      </x:c>
      <x:c r="F380" s="10" t="n">
        <x:f>SUM(XLOOKUP('포켓몬_편집'!$AF380:$AN380,'분류_규칙'!$A$5:$A$76,'분류_규칙'!$F$5:$F$76,0))</x:f>
        <x:v>0</x:v>
      </x:c>
      <x:c r="G380" s="10" t="n">
        <x:f>SUM(XLOOKUP('포켓몬_편집'!$AF380:$AN380,'분류_규칙'!$A$5:$A$76,'분류_규칙'!$G$5:$G$76,0))</x:f>
        <x:v>0</x:v>
      </x:c>
      <x:c r="H380" s="10" t="n">
        <x:f>SUM(XLOOKUP('포켓몬_편집'!$AF380:$AN380,'분류_규칙'!$A$5:$A$76,'분류_규칙'!$H$5:$H$76,0))</x:f>
        <x:v>0</x:v>
      </x:c>
      <x:c r="I380" s="10" t="n">
        <x:f>SUM(XLOOKUP('포켓몬_편집'!$AF380:$AN380,'분류_규칙'!$A$5:$A$76,'분류_규칙'!$I$5:$I$76,0))</x:f>
        <x:v>0</x:v>
      </x:c>
      <x:c r="J380" s="10" t="n">
        <x:f>SUM(XLOOKUP('포켓몬_편집'!$AF380:$AN380,'분류_규칙'!$A$5:$A$76,'분류_규칙'!$J$5:$J$76,0))</x:f>
        <x:v>0</x:v>
      </x:c>
      <x:c r="K380" s="10" t="n">
        <x:f>SUM(XLOOKUP('포켓몬_편집'!$AF380:$AN380,'분류_규칙'!$A$5:$A$76,'분류_규칙'!$K$5:$K$76,0))</x:f>
        <x:v>0</x:v>
      </x:c>
      <x:c r="L380" s="10" t="n">
        <x:f>SUM(XLOOKUP('포켓몬_편집'!$AF380:$AN380,'분류_규칙'!$A$5:$A$76,'분류_규칙'!$L$5:$L$76,0))</x:f>
        <x:v>0</x:v>
      </x:c>
      <x:c r="M380" s="10" t="n">
        <x:f>SUM(XLOOKUP('포켓몬_편집'!$AF380:$AN380,'분류_규칙'!$A$5:$A$76,'분류_규칙'!$M$5:$M$76,0))</x:f>
        <x:v>0</x:v>
      </x:c>
      <x:c r="N380" s="10" t="n">
        <x:f>SUM(XLOOKUP('포켓몬_편집'!$AF380:$AN380,'분류_규칙'!$A$5:$A$76,'분류_규칙'!$N$5:$N$76,0))</x:f>
        <x:v>0</x:v>
      </x:c>
      <x:c r="O380" s="10" t="n">
        <x:f>SUM(XLOOKUP('포켓몬_편집'!$AF380:$AN380,'분류_규칙'!$A$5:$A$76,'분류_규칙'!$O$5:$O$76,0))</x:f>
        <x:v>30</x:v>
      </x:c>
      <x:c r="P380" s="10" t="n">
        <x:f>SUM(XLOOKUP('포켓몬_편집'!$AF380:$AN380,'분류_규칙'!$A$5:$A$76,'분류_규칙'!$P$5:$P$76,0))</x:f>
        <x:v>8</x:v>
      </x:c>
    </x:row>
    <x:row r="381" ht="22" customHeight="1">
      <x:c r="A381" s="5" t="n">
        <x:v>377</x:v>
      </x:c>
      <x:c r="B381" s="5" t="inlineStr">
        <x:is>
          <x:t xml:space="preserve">레지락</x:t>
        </x:is>
      </x:c>
      <x:c r="C381" s="5" t="inlineStr">
        <x:is>
          <x:t xml:space="preserve">regirock</x:t>
        </x:is>
      </x:c>
      <x:c r="D381" s="5" t="n">
        <x:v>3</x:v>
      </x:c>
      <x:c r="E381" s="10" t="n">
        <x:f>SUM(XLOOKUP('포켓몬_편집'!$AF381:$AN381,'분류_규칙'!$A$5:$A$76,'분류_규칙'!$E$5:$E$76,0))</x:f>
        <x:v>10</x:v>
      </x:c>
      <x:c r="F381" s="10" t="n">
        <x:f>SUM(XLOOKUP('포켓몬_편집'!$AF381:$AN381,'분류_규칙'!$A$5:$A$76,'분류_규칙'!$F$5:$F$76,0))</x:f>
        <x:v>7</x:v>
      </x:c>
      <x:c r="G381" s="10" t="n">
        <x:f>SUM(XLOOKUP('포켓몬_편집'!$AF381:$AN381,'분류_규칙'!$A$5:$A$76,'분류_규칙'!$G$5:$G$76,0))</x:f>
        <x:v>5</x:v>
      </x:c>
      <x:c r="H381" s="10" t="n">
        <x:f>SUM(XLOOKUP('포켓몬_편집'!$AF381:$AN381,'분류_규칙'!$A$5:$A$76,'분류_규칙'!$H$5:$H$76,0))</x:f>
        <x:v>5</x:v>
      </x:c>
      <x:c r="I381" s="10" t="n">
        <x:f>SUM(XLOOKUP('포켓몬_편집'!$AF381:$AN381,'분류_규칙'!$A$5:$A$76,'분류_규칙'!$I$5:$I$76,0))</x:f>
        <x:v>0</x:v>
      </x:c>
      <x:c r="J381" s="10" t="n">
        <x:f>SUM(XLOOKUP('포켓몬_편집'!$AF381:$AN381,'분류_규칙'!$A$5:$A$76,'분류_규칙'!$J$5:$J$76,0))</x:f>
        <x:v>2</x:v>
      </x:c>
      <x:c r="K381" s="10" t="n">
        <x:f>SUM(XLOOKUP('포켓몬_편집'!$AF381:$AN381,'분류_규칙'!$A$5:$A$76,'분류_규칙'!$K$5:$K$76,0))</x:f>
        <x:v>0</x:v>
      </x:c>
      <x:c r="L381" s="10" t="n">
        <x:f>SUM(XLOOKUP('포켓몬_편집'!$AF381:$AN381,'분류_규칙'!$A$5:$A$76,'분류_규칙'!$L$5:$L$76,0))</x:f>
        <x:v>0</x:v>
      </x:c>
      <x:c r="M381" s="10" t="n">
        <x:f>SUM(XLOOKUP('포켓몬_편집'!$AF381:$AN381,'분류_규칙'!$A$5:$A$76,'분류_규칙'!$M$5:$M$76,0))</x:f>
        <x:v>0</x:v>
      </x:c>
      <x:c r="N381" s="10" t="n">
        <x:f>SUM(XLOOKUP('포켓몬_편집'!$AF381:$AN381,'분류_규칙'!$A$5:$A$76,'분류_규칙'!$N$5:$N$76,0))</x:f>
        <x:v>0</x:v>
      </x:c>
      <x:c r="O381" s="10" t="n">
        <x:f>SUM(XLOOKUP('포켓몬_편집'!$AF381:$AN381,'분류_규칙'!$A$5:$A$76,'분류_규칙'!$O$5:$O$76,0))</x:f>
        <x:v>2</x:v>
      </x:c>
      <x:c r="P381" s="10" t="n">
        <x:f>SUM(XLOOKUP('포켓몬_편집'!$AF381:$AN381,'분류_규칙'!$A$5:$A$76,'분류_규칙'!$P$5:$P$76,0))</x:f>
        <x:v>0</x:v>
      </x:c>
    </x:row>
    <x:row r="382" ht="22" customHeight="1">
      <x:c r="A382" s="5" t="n">
        <x:v>378</x:v>
      </x:c>
      <x:c r="B382" s="5" t="inlineStr">
        <x:is>
          <x:t xml:space="preserve">레지아이스</x:t>
        </x:is>
      </x:c>
      <x:c r="C382" s="5" t="inlineStr">
        <x:is>
          <x:t xml:space="preserve">regice</x:t>
        </x:is>
      </x:c>
      <x:c r="D382" s="5" t="n">
        <x:v>3</x:v>
      </x:c>
      <x:c r="E382" s="10" t="n">
        <x:f>SUM(XLOOKUP('포켓몬_편집'!$AF382:$AN382,'분류_규칙'!$A$5:$A$76,'분류_규칙'!$E$5:$E$76,0))</x:f>
        <x:v>10</x:v>
      </x:c>
      <x:c r="F382" s="10" t="n">
        <x:f>SUM(XLOOKUP('포켓몬_편집'!$AF382:$AN382,'분류_규칙'!$A$5:$A$76,'분류_규칙'!$F$5:$F$76,0))</x:f>
        <x:v>7</x:v>
      </x:c>
      <x:c r="G382" s="10" t="n">
        <x:f>SUM(XLOOKUP('포켓몬_편집'!$AF382:$AN382,'분류_규칙'!$A$5:$A$76,'분류_규칙'!$G$5:$G$76,0))</x:f>
        <x:v>5</x:v>
      </x:c>
      <x:c r="H382" s="10" t="n">
        <x:f>SUM(XLOOKUP('포켓몬_편집'!$AF382:$AN382,'분류_규칙'!$A$5:$A$76,'분류_규칙'!$H$5:$H$76,0))</x:f>
        <x:v>5</x:v>
      </x:c>
      <x:c r="I382" s="10" t="n">
        <x:f>SUM(XLOOKUP('포켓몬_편집'!$AF382:$AN382,'분류_규칙'!$A$5:$A$76,'분류_규칙'!$I$5:$I$76,0))</x:f>
        <x:v>0</x:v>
      </x:c>
      <x:c r="J382" s="10" t="n">
        <x:f>SUM(XLOOKUP('포켓몬_편집'!$AF382:$AN382,'분류_규칙'!$A$5:$A$76,'분류_규칙'!$J$5:$J$76,0))</x:f>
        <x:v>2</x:v>
      </x:c>
      <x:c r="K382" s="10" t="n">
        <x:f>SUM(XLOOKUP('포켓몬_편집'!$AF382:$AN382,'분류_규칙'!$A$5:$A$76,'분류_규칙'!$K$5:$K$76,0))</x:f>
        <x:v>0</x:v>
      </x:c>
      <x:c r="L382" s="10" t="n">
        <x:f>SUM(XLOOKUP('포켓몬_편집'!$AF382:$AN382,'분류_규칙'!$A$5:$A$76,'분류_규칙'!$L$5:$L$76,0))</x:f>
        <x:v>0</x:v>
      </x:c>
      <x:c r="M382" s="10" t="n">
        <x:f>SUM(XLOOKUP('포켓몬_편집'!$AF382:$AN382,'분류_규칙'!$A$5:$A$76,'분류_규칙'!$M$5:$M$76,0))</x:f>
        <x:v>0</x:v>
      </x:c>
      <x:c r="N382" s="10" t="n">
        <x:f>SUM(XLOOKUP('포켓몬_편집'!$AF382:$AN382,'분류_규칙'!$A$5:$A$76,'분류_규칙'!$N$5:$N$76,0))</x:f>
        <x:v>0</x:v>
      </x:c>
      <x:c r="O382" s="10" t="n">
        <x:f>SUM(XLOOKUP('포켓몬_편집'!$AF382:$AN382,'분류_규칙'!$A$5:$A$76,'분류_규칙'!$O$5:$O$76,0))</x:f>
        <x:v>2</x:v>
      </x:c>
      <x:c r="P382" s="10" t="n">
        <x:f>SUM(XLOOKUP('포켓몬_편집'!$AF382:$AN382,'분류_규칙'!$A$5:$A$76,'분류_규칙'!$P$5:$P$76,0))</x:f>
        <x:v>0</x:v>
      </x:c>
    </x:row>
    <x:row r="383" ht="22" customHeight="1">
      <x:c r="A383" s="5" t="n">
        <x:v>379</x:v>
      </x:c>
      <x:c r="B383" s="5" t="inlineStr">
        <x:is>
          <x:t xml:space="preserve">레지스틸</x:t>
        </x:is>
      </x:c>
      <x:c r="C383" s="5" t="inlineStr">
        <x:is>
          <x:t xml:space="preserve">registeel</x:t>
        </x:is>
      </x:c>
      <x:c r="D383" s="5" t="n">
        <x:v>3</x:v>
      </x:c>
      <x:c r="E383" s="10" t="n">
        <x:f>SUM(XLOOKUP('포켓몬_편집'!$AF383:$AN383,'분류_규칙'!$A$5:$A$76,'분류_규칙'!$E$5:$E$76,0))</x:f>
        <x:v>10</x:v>
      </x:c>
      <x:c r="F383" s="10" t="n">
        <x:f>SUM(XLOOKUP('포켓몬_편집'!$AF383:$AN383,'분류_규칙'!$A$5:$A$76,'분류_규칙'!$F$5:$F$76,0))</x:f>
        <x:v>7</x:v>
      </x:c>
      <x:c r="G383" s="10" t="n">
        <x:f>SUM(XLOOKUP('포켓몬_편집'!$AF383:$AN383,'분류_규칙'!$A$5:$A$76,'분류_규칙'!$G$5:$G$76,0))</x:f>
        <x:v>5</x:v>
      </x:c>
      <x:c r="H383" s="10" t="n">
        <x:f>SUM(XLOOKUP('포켓몬_편집'!$AF383:$AN383,'분류_규칙'!$A$5:$A$76,'분류_규칙'!$H$5:$H$76,0))</x:f>
        <x:v>5</x:v>
      </x:c>
      <x:c r="I383" s="10" t="n">
        <x:f>SUM(XLOOKUP('포켓몬_편집'!$AF383:$AN383,'분류_규칙'!$A$5:$A$76,'분류_규칙'!$I$5:$I$76,0))</x:f>
        <x:v>0</x:v>
      </x:c>
      <x:c r="J383" s="10" t="n">
        <x:f>SUM(XLOOKUP('포켓몬_편집'!$AF383:$AN383,'분류_규칙'!$A$5:$A$76,'분류_규칙'!$J$5:$J$76,0))</x:f>
        <x:v>2</x:v>
      </x:c>
      <x:c r="K383" s="10" t="n">
        <x:f>SUM(XLOOKUP('포켓몬_편집'!$AF383:$AN383,'분류_규칙'!$A$5:$A$76,'분류_규칙'!$K$5:$K$76,0))</x:f>
        <x:v>0</x:v>
      </x:c>
      <x:c r="L383" s="10" t="n">
        <x:f>SUM(XLOOKUP('포켓몬_편집'!$AF383:$AN383,'분류_규칙'!$A$5:$A$76,'분류_규칙'!$L$5:$L$76,0))</x:f>
        <x:v>0</x:v>
      </x:c>
      <x:c r="M383" s="10" t="n">
        <x:f>SUM(XLOOKUP('포켓몬_편집'!$AF383:$AN383,'분류_규칙'!$A$5:$A$76,'분류_규칙'!$M$5:$M$76,0))</x:f>
        <x:v>0</x:v>
      </x:c>
      <x:c r="N383" s="10" t="n">
        <x:f>SUM(XLOOKUP('포켓몬_편집'!$AF383:$AN383,'분류_규칙'!$A$5:$A$76,'분류_규칙'!$N$5:$N$76,0))</x:f>
        <x:v>0</x:v>
      </x:c>
      <x:c r="O383" s="10" t="n">
        <x:f>SUM(XLOOKUP('포켓몬_편집'!$AF383:$AN383,'분류_규칙'!$A$5:$A$76,'분류_규칙'!$O$5:$O$76,0))</x:f>
        <x:v>2</x:v>
      </x:c>
      <x:c r="P383" s="10" t="n">
        <x:f>SUM(XLOOKUP('포켓몬_편집'!$AF383:$AN383,'분류_규칙'!$A$5:$A$76,'분류_규칙'!$P$5:$P$76,0))</x:f>
        <x:v>0</x:v>
      </x:c>
    </x:row>
    <x:row r="384" ht="22" customHeight="1">
      <x:c r="A384" s="5" t="n">
        <x:v>380</x:v>
      </x:c>
      <x:c r="B384" s="5" t="inlineStr">
        <x:is>
          <x:t xml:space="preserve">라티아스</x:t>
        </x:is>
      </x:c>
      <x:c r="C384" s="5" t="inlineStr">
        <x:is>
          <x:t xml:space="preserve">latias</x:t>
        </x:is>
      </x:c>
      <x:c r="D384" s="5" t="n">
        <x:v>3</x:v>
      </x:c>
      <x:c r="E384" s="10" t="n">
        <x:f>SUM(XLOOKUP('포켓몬_편집'!$AF384:$AN384,'분류_규칙'!$A$5:$A$76,'분류_규칙'!$E$5:$E$76,0))</x:f>
        <x:v>8</x:v>
      </x:c>
      <x:c r="F384" s="10" t="n">
        <x:f>SUM(XLOOKUP('포켓몬_편집'!$AF384:$AN384,'분류_규칙'!$A$5:$A$76,'분류_규칙'!$F$5:$F$76,0))</x:f>
        <x:v>8</x:v>
      </x:c>
      <x:c r="G384" s="10" t="n">
        <x:f>SUM(XLOOKUP('포켓몬_편집'!$AF384:$AN384,'분류_규칙'!$A$5:$A$76,'분류_규칙'!$G$5:$G$76,0))</x:f>
        <x:v>0</x:v>
      </x:c>
      <x:c r="H384" s="10" t="n">
        <x:f>SUM(XLOOKUP('포켓몬_편집'!$AF384:$AN384,'분류_규칙'!$A$5:$A$76,'분류_규칙'!$H$5:$H$76,0))</x:f>
        <x:v>12</x:v>
      </x:c>
      <x:c r="I384" s="10" t="n">
        <x:f>SUM(XLOOKUP('포켓몬_편집'!$AF384:$AN384,'분류_규칙'!$A$5:$A$76,'분류_규칙'!$I$5:$I$76,0))</x:f>
        <x:v>0</x:v>
      </x:c>
      <x:c r="J384" s="10" t="n">
        <x:f>SUM(XLOOKUP('포켓몬_편집'!$AF384:$AN384,'분류_규칙'!$A$5:$A$76,'분류_규칙'!$J$5:$J$76,0))</x:f>
        <x:v>0</x:v>
      </x:c>
      <x:c r="K384" s="10" t="n">
        <x:f>SUM(XLOOKUP('포켓몬_편집'!$AF384:$AN384,'분류_규칙'!$A$5:$A$76,'분류_규칙'!$K$5:$K$76,0))</x:f>
        <x:v>0</x:v>
      </x:c>
      <x:c r="L384" s="10" t="n">
        <x:f>SUM(XLOOKUP('포켓몬_편집'!$AF384:$AN384,'분류_규칙'!$A$5:$A$76,'분류_규칙'!$L$5:$L$76,0))</x:f>
        <x:v>3</x:v>
      </x:c>
      <x:c r="M384" s="10" t="n">
        <x:f>SUM(XLOOKUP('포켓몬_편집'!$AF384:$AN384,'분류_규칙'!$A$5:$A$76,'분류_규칙'!$M$5:$M$76,0))</x:f>
        <x:v>0</x:v>
      </x:c>
      <x:c r="N384" s="10" t="n">
        <x:f>SUM(XLOOKUP('포켓몬_편집'!$AF384:$AN384,'분류_규칙'!$A$5:$A$76,'분류_규칙'!$N$5:$N$76,0))</x:f>
        <x:v>0</x:v>
      </x:c>
      <x:c r="O384" s="10" t="n">
        <x:f>SUM(XLOOKUP('포켓몬_편집'!$AF384:$AN384,'분류_규칙'!$A$5:$A$76,'분류_규칙'!$O$5:$O$76,0))</x:f>
        <x:v>2</x:v>
      </x:c>
      <x:c r="P384" s="10" t="n">
        <x:f>SUM(XLOOKUP('포켓몬_편집'!$AF384:$AN384,'분류_규칙'!$A$5:$A$76,'분류_규칙'!$P$5:$P$76,0))</x:f>
        <x:v>0</x:v>
      </x:c>
    </x:row>
    <x:row r="385" ht="22" customHeight="1">
      <x:c r="A385" s="5" t="n">
        <x:v>381</x:v>
      </x:c>
      <x:c r="B385" s="5" t="inlineStr">
        <x:is>
          <x:t xml:space="preserve">라티오스</x:t>
        </x:is>
      </x:c>
      <x:c r="C385" s="5" t="inlineStr">
        <x:is>
          <x:t xml:space="preserve">latios</x:t>
        </x:is>
      </x:c>
      <x:c r="D385" s="5" t="n">
        <x:v>3</x:v>
      </x:c>
      <x:c r="E385" s="10" t="n">
        <x:f>SUM(XLOOKUP('포켓몬_편집'!$AF385:$AN385,'분류_규칙'!$A$5:$A$76,'분류_규칙'!$E$5:$E$76,0))</x:f>
        <x:v>8</x:v>
      </x:c>
      <x:c r="F385" s="10" t="n">
        <x:f>SUM(XLOOKUP('포켓몬_편집'!$AF385:$AN385,'분류_규칙'!$A$5:$A$76,'분류_규칙'!$F$5:$F$76,0))</x:f>
        <x:v>8</x:v>
      </x:c>
      <x:c r="G385" s="10" t="n">
        <x:f>SUM(XLOOKUP('포켓몬_편집'!$AF385:$AN385,'분류_규칙'!$A$5:$A$76,'분류_규칙'!$G$5:$G$76,0))</x:f>
        <x:v>0</x:v>
      </x:c>
      <x:c r="H385" s="10" t="n">
        <x:f>SUM(XLOOKUP('포켓몬_편집'!$AF385:$AN385,'분류_규칙'!$A$5:$A$76,'분류_규칙'!$H$5:$H$76,0))</x:f>
        <x:v>12</x:v>
      </x:c>
      <x:c r="I385" s="10" t="n">
        <x:f>SUM(XLOOKUP('포켓몬_편집'!$AF385:$AN385,'분류_규칙'!$A$5:$A$76,'분류_규칙'!$I$5:$I$76,0))</x:f>
        <x:v>0</x:v>
      </x:c>
      <x:c r="J385" s="10" t="n">
        <x:f>SUM(XLOOKUP('포켓몬_편집'!$AF385:$AN385,'분류_규칙'!$A$5:$A$76,'분류_규칙'!$J$5:$J$76,0))</x:f>
        <x:v>0</x:v>
      </x:c>
      <x:c r="K385" s="10" t="n">
        <x:f>SUM(XLOOKUP('포켓몬_편집'!$AF385:$AN385,'분류_규칙'!$A$5:$A$76,'분류_규칙'!$K$5:$K$76,0))</x:f>
        <x:v>0</x:v>
      </x:c>
      <x:c r="L385" s="10" t="n">
        <x:f>SUM(XLOOKUP('포켓몬_편집'!$AF385:$AN385,'분류_규칙'!$A$5:$A$76,'분류_규칙'!$L$5:$L$76,0))</x:f>
        <x:v>3</x:v>
      </x:c>
      <x:c r="M385" s="10" t="n">
        <x:f>SUM(XLOOKUP('포켓몬_편집'!$AF385:$AN385,'분류_규칙'!$A$5:$A$76,'분류_규칙'!$M$5:$M$76,0))</x:f>
        <x:v>0</x:v>
      </x:c>
      <x:c r="N385" s="10" t="n">
        <x:f>SUM(XLOOKUP('포켓몬_편집'!$AF385:$AN385,'분류_규칙'!$A$5:$A$76,'분류_규칙'!$N$5:$N$76,0))</x:f>
        <x:v>0</x:v>
      </x:c>
      <x:c r="O385" s="10" t="n">
        <x:f>SUM(XLOOKUP('포켓몬_편집'!$AF385:$AN385,'분류_규칙'!$A$5:$A$76,'분류_규칙'!$O$5:$O$76,0))</x:f>
        <x:v>2</x:v>
      </x:c>
      <x:c r="P385" s="10" t="n">
        <x:f>SUM(XLOOKUP('포켓몬_편집'!$AF385:$AN385,'분류_규칙'!$A$5:$A$76,'분류_규칙'!$P$5:$P$76,0))</x:f>
        <x:v>0</x:v>
      </x:c>
    </x:row>
    <x:row r="386" ht="22" customHeight="1">
      <x:c r="A386" s="5" t="n">
        <x:v>382</x:v>
      </x:c>
      <x:c r="B386" s="5" t="inlineStr">
        <x:is>
          <x:t xml:space="preserve">가이오가</x:t>
        </x:is>
      </x:c>
      <x:c r="C386" s="5" t="inlineStr">
        <x:is>
          <x:t xml:space="preserve">kyogre</x:t>
        </x:is>
      </x:c>
      <x:c r="D386" s="5" t="n">
        <x:v>3</x:v>
      </x:c>
      <x:c r="E386" s="10" t="n">
        <x:f>SUM(XLOOKUP('포켓몬_편집'!$AF386:$AN386,'분류_규칙'!$A$5:$A$76,'분류_규칙'!$E$5:$E$76,0))</x:f>
        <x:v>0</x:v>
      </x:c>
      <x:c r="F386" s="10" t="n">
        <x:f>SUM(XLOOKUP('포켓몬_편집'!$AF386:$AN386,'분류_규칙'!$A$5:$A$76,'분류_규칙'!$F$5:$F$76,0))</x:f>
        <x:v>0</x:v>
      </x:c>
      <x:c r="G386" s="10" t="n">
        <x:f>SUM(XLOOKUP('포켓몬_편집'!$AF386:$AN386,'분류_규칙'!$A$5:$A$76,'분류_규칙'!$G$5:$G$76,0))</x:f>
        <x:v>0</x:v>
      </x:c>
      <x:c r="H386" s="10" t="n">
        <x:f>SUM(XLOOKUP('포켓몬_편집'!$AF386:$AN386,'분류_규칙'!$A$5:$A$76,'분류_규칙'!$H$5:$H$76,0))</x:f>
        <x:v>0</x:v>
      </x:c>
      <x:c r="I386" s="10" t="n">
        <x:f>SUM(XLOOKUP('포켓몬_편집'!$AF386:$AN386,'분류_규칙'!$A$5:$A$76,'분류_규칙'!$I$5:$I$76,0))</x:f>
        <x:v>0</x:v>
      </x:c>
      <x:c r="J386" s="10" t="n">
        <x:f>SUM(XLOOKUP('포켓몬_편집'!$AF386:$AN386,'분류_규칙'!$A$5:$A$76,'분류_규칙'!$J$5:$J$76,0))</x:f>
        <x:v>22</x:v>
      </x:c>
      <x:c r="K386" s="10" t="n">
        <x:f>SUM(XLOOKUP('포켓몬_편집'!$AF386:$AN386,'분류_규칙'!$A$5:$A$76,'분류_규칙'!$K$5:$K$76,0))</x:f>
        <x:v>16</x:v>
      </x:c>
      <x:c r="L386" s="10" t="n">
        <x:f>SUM(XLOOKUP('포켓몬_편집'!$AF386:$AN386,'분류_규칙'!$A$5:$A$76,'분류_규칙'!$L$5:$L$76,0))</x:f>
        <x:v>8</x:v>
      </x:c>
      <x:c r="M386" s="10" t="n">
        <x:f>SUM(XLOOKUP('포켓몬_편집'!$AF386:$AN386,'분류_규칙'!$A$5:$A$76,'분류_규칙'!$M$5:$M$76,0))</x:f>
        <x:v>0</x:v>
      </x:c>
      <x:c r="N386" s="10" t="n">
        <x:f>SUM(XLOOKUP('포켓몬_편집'!$AF386:$AN386,'분류_규칙'!$A$5:$A$76,'분류_규칙'!$N$5:$N$76,0))</x:f>
        <x:v>0</x:v>
      </x:c>
      <x:c r="O386" s="10" t="n">
        <x:f>SUM(XLOOKUP('포켓몬_편집'!$AF386:$AN386,'분류_규칙'!$A$5:$A$76,'분류_규칙'!$O$5:$O$76,0))</x:f>
        <x:v>0</x:v>
      </x:c>
      <x:c r="P386" s="10" t="n">
        <x:f>SUM(XLOOKUP('포켓몬_편집'!$AF386:$AN386,'분류_규칙'!$A$5:$A$76,'분류_규칙'!$P$5:$P$76,0))</x:f>
        <x:v>0</x:v>
      </x:c>
    </x:row>
    <x:row r="387" ht="22" customHeight="1">
      <x:c r="A387" s="5" t="n">
        <x:v>383</x:v>
      </x:c>
      <x:c r="B387" s="5" t="inlineStr">
        <x:is>
          <x:t xml:space="preserve">그란돈</x:t>
        </x:is>
      </x:c>
      <x:c r="C387" s="5" t="inlineStr">
        <x:is>
          <x:t xml:space="preserve">groudon</x:t>
        </x:is>
      </x:c>
      <x:c r="D387" s="5" t="n">
        <x:v>3</x:v>
      </x:c>
      <x:c r="E387" s="10" t="n">
        <x:f>SUM(XLOOKUP('포켓몬_편집'!$AF387:$AN387,'분류_규칙'!$A$5:$A$76,'분류_규칙'!$E$5:$E$76,0))</x:f>
        <x:v>10</x:v>
      </x:c>
      <x:c r="F387" s="10" t="n">
        <x:f>SUM(XLOOKUP('포켓몬_편집'!$AF387:$AN387,'분류_규칙'!$A$5:$A$76,'분류_규칙'!$F$5:$F$76,0))</x:f>
        <x:v>7</x:v>
      </x:c>
      <x:c r="G387" s="10" t="n">
        <x:f>SUM(XLOOKUP('포켓몬_편집'!$AF387:$AN387,'분류_규칙'!$A$5:$A$76,'분류_규칙'!$G$5:$G$76,0))</x:f>
        <x:v>5</x:v>
      </x:c>
      <x:c r="H387" s="10" t="n">
        <x:f>SUM(XLOOKUP('포켓몬_편집'!$AF387:$AN387,'분류_규칙'!$A$5:$A$76,'분류_규칙'!$H$5:$H$76,0))</x:f>
        <x:v>5</x:v>
      </x:c>
      <x:c r="I387" s="10" t="n">
        <x:f>SUM(XLOOKUP('포켓몬_편집'!$AF387:$AN387,'분류_규칙'!$A$5:$A$76,'분류_규칙'!$I$5:$I$76,0))</x:f>
        <x:v>0</x:v>
      </x:c>
      <x:c r="J387" s="10" t="n">
        <x:f>SUM(XLOOKUP('포켓몬_편집'!$AF387:$AN387,'분류_규칙'!$A$5:$A$76,'분류_규칙'!$J$5:$J$76,0))</x:f>
        <x:v>2</x:v>
      </x:c>
      <x:c r="K387" s="10" t="n">
        <x:f>SUM(XLOOKUP('포켓몬_편집'!$AF387:$AN387,'분류_규칙'!$A$5:$A$76,'분류_규칙'!$K$5:$K$76,0))</x:f>
        <x:v>0</x:v>
      </x:c>
      <x:c r="L387" s="10" t="n">
        <x:f>SUM(XLOOKUP('포켓몬_편집'!$AF387:$AN387,'분류_규칙'!$A$5:$A$76,'분류_규칙'!$L$5:$L$76,0))</x:f>
        <x:v>0</x:v>
      </x:c>
      <x:c r="M387" s="10" t="n">
        <x:f>SUM(XLOOKUP('포켓몬_편집'!$AF387:$AN387,'분류_규칙'!$A$5:$A$76,'분류_규칙'!$M$5:$M$76,0))</x:f>
        <x:v>0</x:v>
      </x:c>
      <x:c r="N387" s="10" t="n">
        <x:f>SUM(XLOOKUP('포켓몬_편집'!$AF387:$AN387,'분류_규칙'!$A$5:$A$76,'분류_규칙'!$N$5:$N$76,0))</x:f>
        <x:v>0</x:v>
      </x:c>
      <x:c r="O387" s="10" t="n">
        <x:f>SUM(XLOOKUP('포켓몬_편집'!$AF387:$AN387,'분류_규칙'!$A$5:$A$76,'분류_규칙'!$O$5:$O$76,0))</x:f>
        <x:v>2</x:v>
      </x:c>
      <x:c r="P387" s="10" t="n">
        <x:f>SUM(XLOOKUP('포켓몬_편집'!$AF387:$AN387,'분류_규칙'!$A$5:$A$76,'분류_규칙'!$P$5:$P$76,0))</x:f>
        <x:v>0</x:v>
      </x:c>
    </x:row>
    <x:row r="388" ht="22" customHeight="1">
      <x:c r="A388" s="5" t="n">
        <x:v>384</x:v>
      </x:c>
      <x:c r="B388" s="5" t="inlineStr">
        <x:is>
          <x:t xml:space="preserve">레쿠쟈</x:t>
        </x:is>
      </x:c>
      <x:c r="C388" s="5" t="inlineStr">
        <x:is>
          <x:t xml:space="preserve">rayquaza</x:t>
        </x:is>
      </x:c>
      <x:c r="D388" s="5" t="n">
        <x:v>3</x:v>
      </x:c>
      <x:c r="E388" s="10" t="n">
        <x:f>SUM(XLOOKUP('포켓몬_편집'!$AF388:$AN388,'분류_규칙'!$A$5:$A$76,'분류_규칙'!$E$5:$E$76,0))</x:f>
        <x:v>8</x:v>
      </x:c>
      <x:c r="F388" s="10" t="n">
        <x:f>SUM(XLOOKUP('포켓몬_편집'!$AF388:$AN388,'분류_규칙'!$A$5:$A$76,'분류_규칙'!$F$5:$F$76,0))</x:f>
        <x:v>8</x:v>
      </x:c>
      <x:c r="G388" s="10" t="n">
        <x:f>SUM(XLOOKUP('포켓몬_편집'!$AF388:$AN388,'분류_규칙'!$A$5:$A$76,'분류_규칙'!$G$5:$G$76,0))</x:f>
        <x:v>0</x:v>
      </x:c>
      <x:c r="H388" s="10" t="n">
        <x:f>SUM(XLOOKUP('포켓몬_편집'!$AF388:$AN388,'분류_규칙'!$A$5:$A$76,'분류_규칙'!$H$5:$H$76,0))</x:f>
        <x:v>12</x:v>
      </x:c>
      <x:c r="I388" s="10" t="n">
        <x:f>SUM(XLOOKUP('포켓몬_편집'!$AF388:$AN388,'분류_규칙'!$A$5:$A$76,'분류_규칙'!$I$5:$I$76,0))</x:f>
        <x:v>0</x:v>
      </x:c>
      <x:c r="J388" s="10" t="n">
        <x:f>SUM(XLOOKUP('포켓몬_편집'!$AF388:$AN388,'분류_규칙'!$A$5:$A$76,'분류_규칙'!$J$5:$J$76,0))</x:f>
        <x:v>0</x:v>
      </x:c>
      <x:c r="K388" s="10" t="n">
        <x:f>SUM(XLOOKUP('포켓몬_편집'!$AF388:$AN388,'분류_규칙'!$A$5:$A$76,'분류_규칙'!$K$5:$K$76,0))</x:f>
        <x:v>0</x:v>
      </x:c>
      <x:c r="L388" s="10" t="n">
        <x:f>SUM(XLOOKUP('포켓몬_편집'!$AF388:$AN388,'분류_규칙'!$A$5:$A$76,'분류_규칙'!$L$5:$L$76,0))</x:f>
        <x:v>3</x:v>
      </x:c>
      <x:c r="M388" s="10" t="n">
        <x:f>SUM(XLOOKUP('포켓몬_편집'!$AF388:$AN388,'분류_규칙'!$A$5:$A$76,'분류_규칙'!$M$5:$M$76,0))</x:f>
        <x:v>0</x:v>
      </x:c>
      <x:c r="N388" s="10" t="n">
        <x:f>SUM(XLOOKUP('포켓몬_편집'!$AF388:$AN388,'분류_규칙'!$A$5:$A$76,'분류_규칙'!$N$5:$N$76,0))</x:f>
        <x:v>0</x:v>
      </x:c>
      <x:c r="O388" s="10" t="n">
        <x:f>SUM(XLOOKUP('포켓몬_편집'!$AF388:$AN388,'분류_규칙'!$A$5:$A$76,'분류_규칙'!$O$5:$O$76,0))</x:f>
        <x:v>2</x:v>
      </x:c>
      <x:c r="P388" s="10" t="n">
        <x:f>SUM(XLOOKUP('포켓몬_편집'!$AF388:$AN388,'분류_규칙'!$A$5:$A$76,'분류_규칙'!$P$5:$P$76,0))</x:f>
        <x:v>0</x:v>
      </x:c>
    </x:row>
    <x:row r="389" ht="22" customHeight="1">
      <x:c r="A389" s="5" t="n">
        <x:v>385</x:v>
      </x:c>
      <x:c r="B389" s="5" t="inlineStr">
        <x:is>
          <x:t xml:space="preserve">지라치</x:t>
        </x:is>
      </x:c>
      <x:c r="C389" s="5" t="inlineStr">
        <x:is>
          <x:t xml:space="preserve">jirachi</x:t>
        </x:is>
      </x:c>
      <x:c r="D389" s="5" t="n">
        <x:v>3</x:v>
      </x:c>
      <x:c r="E389" s="10" t="n">
        <x:f>SUM(XLOOKUP('포켓몬_편집'!$AF389:$AN389,'분류_규칙'!$A$5:$A$76,'분류_규칙'!$E$5:$E$76,0))</x:f>
        <x:v>8</x:v>
      </x:c>
      <x:c r="F389" s="10" t="n">
        <x:f>SUM(XLOOKUP('포켓몬_편집'!$AF389:$AN389,'분류_규칙'!$A$5:$A$76,'분류_규칙'!$F$5:$F$76,0))</x:f>
        <x:v>8</x:v>
      </x:c>
      <x:c r="G389" s="10" t="n">
        <x:f>SUM(XLOOKUP('포켓몬_편집'!$AF389:$AN389,'분류_규칙'!$A$5:$A$76,'분류_규칙'!$G$5:$G$76,0))</x:f>
        <x:v>0</x:v>
      </x:c>
      <x:c r="H389" s="10" t="n">
        <x:f>SUM(XLOOKUP('포켓몬_편집'!$AF389:$AN389,'분류_규칙'!$A$5:$A$76,'분류_규칙'!$H$5:$H$76,0))</x:f>
        <x:v>12</x:v>
      </x:c>
      <x:c r="I389" s="10" t="n">
        <x:f>SUM(XLOOKUP('포켓몬_편집'!$AF389:$AN389,'분류_규칙'!$A$5:$A$76,'분류_규칙'!$I$5:$I$76,0))</x:f>
        <x:v>0</x:v>
      </x:c>
      <x:c r="J389" s="10" t="n">
        <x:f>SUM(XLOOKUP('포켓몬_편집'!$AF389:$AN389,'분류_규칙'!$A$5:$A$76,'분류_규칙'!$J$5:$J$76,0))</x:f>
        <x:v>0</x:v>
      </x:c>
      <x:c r="K389" s="10" t="n">
        <x:f>SUM(XLOOKUP('포켓몬_편집'!$AF389:$AN389,'분류_규칙'!$A$5:$A$76,'분류_규칙'!$K$5:$K$76,0))</x:f>
        <x:v>0</x:v>
      </x:c>
      <x:c r="L389" s="10" t="n">
        <x:f>SUM(XLOOKUP('포켓몬_편집'!$AF389:$AN389,'분류_규칙'!$A$5:$A$76,'분류_규칙'!$L$5:$L$76,0))</x:f>
        <x:v>3</x:v>
      </x:c>
      <x:c r="M389" s="10" t="n">
        <x:f>SUM(XLOOKUP('포켓몬_편집'!$AF389:$AN389,'분류_규칙'!$A$5:$A$76,'분류_규칙'!$M$5:$M$76,0))</x:f>
        <x:v>0</x:v>
      </x:c>
      <x:c r="N389" s="10" t="n">
        <x:f>SUM(XLOOKUP('포켓몬_편집'!$AF389:$AN389,'분류_규칙'!$A$5:$A$76,'분류_규칙'!$N$5:$N$76,0))</x:f>
        <x:v>0</x:v>
      </x:c>
      <x:c r="O389" s="10" t="n">
        <x:f>SUM(XLOOKUP('포켓몬_편집'!$AF389:$AN389,'분류_규칙'!$A$5:$A$76,'분류_규칙'!$O$5:$O$76,0))</x:f>
        <x:v>2</x:v>
      </x:c>
      <x:c r="P389" s="10" t="n">
        <x:f>SUM(XLOOKUP('포켓몬_편집'!$AF389:$AN389,'분류_규칙'!$A$5:$A$76,'분류_규칙'!$P$5:$P$76,0))</x:f>
        <x:v>0</x:v>
      </x:c>
    </x:row>
    <x:row r="390" ht="22" customHeight="1">
      <x:c r="A390" s="5" t="n">
        <x:v>386</x:v>
      </x:c>
      <x:c r="B390" s="5" t="inlineStr">
        <x:is>
          <x:t xml:space="preserve">테오키스</x:t>
        </x:is>
      </x:c>
      <x:c r="C390" s="5" t="inlineStr">
        <x:is>
          <x:t xml:space="preserve">deoxys</x:t>
        </x:is>
      </x:c>
      <x:c r="D390" s="5" t="n">
        <x:v>3</x:v>
      </x:c>
      <x:c r="E390" s="10" t="n">
        <x:f>SUM(XLOOKUP('포켓몬_편집'!$AF390:$AN390,'분류_규칙'!$A$5:$A$76,'분류_규칙'!$E$5:$E$76,0))</x:f>
        <x:v>8</x:v>
      </x:c>
      <x:c r="F390" s="10" t="n">
        <x:f>SUM(XLOOKUP('포켓몬_편집'!$AF390:$AN390,'분류_규칙'!$A$5:$A$76,'분류_규칙'!$F$5:$F$76,0))</x:f>
        <x:v>8</x:v>
      </x:c>
      <x:c r="G390" s="10" t="n">
        <x:f>SUM(XLOOKUP('포켓몬_편집'!$AF390:$AN390,'분류_규칙'!$A$5:$A$76,'분류_규칙'!$G$5:$G$76,0))</x:f>
        <x:v>0</x:v>
      </x:c>
      <x:c r="H390" s="10" t="n">
        <x:f>SUM(XLOOKUP('포켓몬_편집'!$AF390:$AN390,'분류_규칙'!$A$5:$A$76,'분류_규칙'!$H$5:$H$76,0))</x:f>
        <x:v>12</x:v>
      </x:c>
      <x:c r="I390" s="10" t="n">
        <x:f>SUM(XLOOKUP('포켓몬_편집'!$AF390:$AN390,'분류_규칙'!$A$5:$A$76,'분류_규칙'!$I$5:$I$76,0))</x:f>
        <x:v>0</x:v>
      </x:c>
      <x:c r="J390" s="10" t="n">
        <x:f>SUM(XLOOKUP('포켓몬_편집'!$AF390:$AN390,'분류_규칙'!$A$5:$A$76,'분류_규칙'!$J$5:$J$76,0))</x:f>
        <x:v>0</x:v>
      </x:c>
      <x:c r="K390" s="10" t="n">
        <x:f>SUM(XLOOKUP('포켓몬_편집'!$AF390:$AN390,'분류_규칙'!$A$5:$A$76,'분류_규칙'!$K$5:$K$76,0))</x:f>
        <x:v>0</x:v>
      </x:c>
      <x:c r="L390" s="10" t="n">
        <x:f>SUM(XLOOKUP('포켓몬_편집'!$AF390:$AN390,'분류_규칙'!$A$5:$A$76,'분류_규칙'!$L$5:$L$76,0))</x:f>
        <x:v>3</x:v>
      </x:c>
      <x:c r="M390" s="10" t="n">
        <x:f>SUM(XLOOKUP('포켓몬_편집'!$AF390:$AN390,'분류_규칙'!$A$5:$A$76,'분류_규칙'!$M$5:$M$76,0))</x:f>
        <x:v>0</x:v>
      </x:c>
      <x:c r="N390" s="10" t="n">
        <x:f>SUM(XLOOKUP('포켓몬_편집'!$AF390:$AN390,'분류_규칙'!$A$5:$A$76,'분류_규칙'!$N$5:$N$76,0))</x:f>
        <x:v>0</x:v>
      </x:c>
      <x:c r="O390" s="10" t="n">
        <x:f>SUM(XLOOKUP('포켓몬_편집'!$AF390:$AN390,'분류_규칙'!$A$5:$A$76,'분류_규칙'!$O$5:$O$76,0))</x:f>
        <x:v>2</x:v>
      </x:c>
      <x:c r="P390" s="10" t="n">
        <x:f>SUM(XLOOKUP('포켓몬_편집'!$AF390:$AN390,'분류_규칙'!$A$5:$A$76,'분류_규칙'!$P$5:$P$76,0))</x:f>
        <x:v>0</x:v>
      </x:c>
    </x:row>
    <x:row r="391" ht="22" customHeight="1">
      <x:c r="A391" s="5" t="n">
        <x:v>387</x:v>
      </x:c>
      <x:c r="B391" s="5" t="inlineStr">
        <x:is>
          <x:t xml:space="preserve">모부기</x:t>
        </x:is>
      </x:c>
      <x:c r="C391" s="5" t="inlineStr">
        <x:is>
          <x:t xml:space="preserve">turtwig</x:t>
        </x:is>
      </x:c>
      <x:c r="D391" s="5" t="n">
        <x:v>4</x:v>
      </x:c>
      <x:c r="E391" s="10" t="n">
        <x:f>SUM(XLOOKUP('포켓몬_편집'!$AF391:$AN391,'분류_규칙'!$A$5:$A$76,'분류_규칙'!$E$5:$E$76,0))</x:f>
        <x:v>10</x:v>
      </x:c>
      <x:c r="F391" s="10" t="n">
        <x:f>SUM(XLOOKUP('포켓몬_편집'!$AF391:$AN391,'분류_규칙'!$A$5:$A$76,'분류_규칙'!$F$5:$F$76,0))</x:f>
        <x:v>7</x:v>
      </x:c>
      <x:c r="G391" s="10" t="n">
        <x:f>SUM(XLOOKUP('포켓몬_편집'!$AF391:$AN391,'분류_규칙'!$A$5:$A$76,'분류_규칙'!$G$5:$G$76,0))</x:f>
        <x:v>5</x:v>
      </x:c>
      <x:c r="H391" s="10" t="n">
        <x:f>SUM(XLOOKUP('포켓몬_편집'!$AF391:$AN391,'분류_규칙'!$A$5:$A$76,'분류_규칙'!$H$5:$H$76,0))</x:f>
        <x:v>5</x:v>
      </x:c>
      <x:c r="I391" s="10" t="n">
        <x:f>SUM(XLOOKUP('포켓몬_편집'!$AF391:$AN391,'분류_규칙'!$A$5:$A$76,'분류_규칙'!$I$5:$I$76,0))</x:f>
        <x:v>0</x:v>
      </x:c>
      <x:c r="J391" s="10" t="n">
        <x:f>SUM(XLOOKUP('포켓몬_편집'!$AF391:$AN391,'분류_규칙'!$A$5:$A$76,'분류_규칙'!$J$5:$J$76,0))</x:f>
        <x:v>2</x:v>
      </x:c>
      <x:c r="K391" s="10" t="n">
        <x:f>SUM(XLOOKUP('포켓몬_편집'!$AF391:$AN391,'분류_규칙'!$A$5:$A$76,'분류_규칙'!$K$5:$K$76,0))</x:f>
        <x:v>0</x:v>
      </x:c>
      <x:c r="L391" s="10" t="n">
        <x:f>SUM(XLOOKUP('포켓몬_편집'!$AF391:$AN391,'분류_규칙'!$A$5:$A$76,'분류_규칙'!$L$5:$L$76,0))</x:f>
        <x:v>0</x:v>
      </x:c>
      <x:c r="M391" s="10" t="n">
        <x:f>SUM(XLOOKUP('포켓몬_편집'!$AF391:$AN391,'분류_규칙'!$A$5:$A$76,'분류_규칙'!$M$5:$M$76,0))</x:f>
        <x:v>0</x:v>
      </x:c>
      <x:c r="N391" s="10" t="n">
        <x:f>SUM(XLOOKUP('포켓몬_편집'!$AF391:$AN391,'분류_규칙'!$A$5:$A$76,'분류_규칙'!$N$5:$N$76,0))</x:f>
        <x:v>0</x:v>
      </x:c>
      <x:c r="O391" s="10" t="n">
        <x:f>SUM(XLOOKUP('포켓몬_편집'!$AF391:$AN391,'분류_규칙'!$A$5:$A$76,'분류_규칙'!$O$5:$O$76,0))</x:f>
        <x:v>2</x:v>
      </x:c>
      <x:c r="P391" s="10" t="n">
        <x:f>SUM(XLOOKUP('포켓몬_편집'!$AF391:$AN391,'분류_규칙'!$A$5:$A$76,'분류_규칙'!$P$5:$P$76,0))</x:f>
        <x:v>0</x:v>
      </x:c>
    </x:row>
    <x:row r="392" ht="22" customHeight="1">
      <x:c r="A392" s="5" t="n">
        <x:v>388</x:v>
      </x:c>
      <x:c r="B392" s="5" t="inlineStr">
        <x:is>
          <x:t xml:space="preserve">수풀부기</x:t>
        </x:is>
      </x:c>
      <x:c r="C392" s="5" t="inlineStr">
        <x:is>
          <x:t xml:space="preserve">grotle</x:t>
        </x:is>
      </x:c>
      <x:c r="D392" s="5" t="n">
        <x:v>4</x:v>
      </x:c>
      <x:c r="E392" s="10" t="n">
        <x:f>SUM(XLOOKUP('포켓몬_편집'!$AF392:$AN392,'분류_규칙'!$A$5:$A$76,'분류_규칙'!$E$5:$E$76,0))</x:f>
        <x:v>10</x:v>
      </x:c>
      <x:c r="F392" s="10" t="n">
        <x:f>SUM(XLOOKUP('포켓몬_편집'!$AF392:$AN392,'분류_규칙'!$A$5:$A$76,'분류_규칙'!$F$5:$F$76,0))</x:f>
        <x:v>7</x:v>
      </x:c>
      <x:c r="G392" s="10" t="n">
        <x:f>SUM(XLOOKUP('포켓몬_편집'!$AF392:$AN392,'분류_규칙'!$A$5:$A$76,'분류_규칙'!$G$5:$G$76,0))</x:f>
        <x:v>5</x:v>
      </x:c>
      <x:c r="H392" s="10" t="n">
        <x:f>SUM(XLOOKUP('포켓몬_편집'!$AF392:$AN392,'분류_규칙'!$A$5:$A$76,'분류_규칙'!$H$5:$H$76,0))</x:f>
        <x:v>5</x:v>
      </x:c>
      <x:c r="I392" s="10" t="n">
        <x:f>SUM(XLOOKUP('포켓몬_편집'!$AF392:$AN392,'분류_규칙'!$A$5:$A$76,'분류_규칙'!$I$5:$I$76,0))</x:f>
        <x:v>0</x:v>
      </x:c>
      <x:c r="J392" s="10" t="n">
        <x:f>SUM(XLOOKUP('포켓몬_편집'!$AF392:$AN392,'분류_규칙'!$A$5:$A$76,'분류_규칙'!$J$5:$J$76,0))</x:f>
        <x:v>2</x:v>
      </x:c>
      <x:c r="K392" s="10" t="n">
        <x:f>SUM(XLOOKUP('포켓몬_편집'!$AF392:$AN392,'분류_규칙'!$A$5:$A$76,'분류_규칙'!$K$5:$K$76,0))</x:f>
        <x:v>0</x:v>
      </x:c>
      <x:c r="L392" s="10" t="n">
        <x:f>SUM(XLOOKUP('포켓몬_편집'!$AF392:$AN392,'분류_규칙'!$A$5:$A$76,'분류_규칙'!$L$5:$L$76,0))</x:f>
        <x:v>0</x:v>
      </x:c>
      <x:c r="M392" s="10" t="n">
        <x:f>SUM(XLOOKUP('포켓몬_편집'!$AF392:$AN392,'분류_규칙'!$A$5:$A$76,'분류_규칙'!$M$5:$M$76,0))</x:f>
        <x:v>0</x:v>
      </x:c>
      <x:c r="N392" s="10" t="n">
        <x:f>SUM(XLOOKUP('포켓몬_편집'!$AF392:$AN392,'분류_규칙'!$A$5:$A$76,'분류_규칙'!$N$5:$N$76,0))</x:f>
        <x:v>0</x:v>
      </x:c>
      <x:c r="O392" s="10" t="n">
        <x:f>SUM(XLOOKUP('포켓몬_편집'!$AF392:$AN392,'분류_규칙'!$A$5:$A$76,'분류_규칙'!$O$5:$O$76,0))</x:f>
        <x:v>2</x:v>
      </x:c>
      <x:c r="P392" s="10" t="n">
        <x:f>SUM(XLOOKUP('포켓몬_편집'!$AF392:$AN392,'분류_규칙'!$A$5:$A$76,'분류_규칙'!$P$5:$P$76,0))</x:f>
        <x:v>0</x:v>
      </x:c>
    </x:row>
    <x:row r="393" ht="22" customHeight="1">
      <x:c r="A393" s="5" t="n">
        <x:v>389</x:v>
      </x:c>
      <x:c r="B393" s="5" t="inlineStr">
        <x:is>
          <x:t xml:space="preserve">토대부기</x:t>
        </x:is>
      </x:c>
      <x:c r="C393" s="5" t="inlineStr">
        <x:is>
          <x:t xml:space="preserve">torterra</x:t>
        </x:is>
      </x:c>
      <x:c r="D393" s="5" t="n">
        <x:v>4</x:v>
      </x:c>
      <x:c r="E393" s="10" t="n">
        <x:f>SUM(XLOOKUP('포켓몬_편집'!$AF393:$AN393,'분류_규칙'!$A$5:$A$76,'분류_규칙'!$E$5:$E$76,0))</x:f>
        <x:v>10</x:v>
      </x:c>
      <x:c r="F393" s="10" t="n">
        <x:f>SUM(XLOOKUP('포켓몬_편집'!$AF393:$AN393,'분류_규칙'!$A$5:$A$76,'분류_규칙'!$F$5:$F$76,0))</x:f>
        <x:v>7</x:v>
      </x:c>
      <x:c r="G393" s="10" t="n">
        <x:f>SUM(XLOOKUP('포켓몬_편집'!$AF393:$AN393,'분류_규칙'!$A$5:$A$76,'분류_규칙'!$G$5:$G$76,0))</x:f>
        <x:v>5</x:v>
      </x:c>
      <x:c r="H393" s="10" t="n">
        <x:f>SUM(XLOOKUP('포켓몬_편집'!$AF393:$AN393,'분류_규칙'!$A$5:$A$76,'분류_규칙'!$H$5:$H$76,0))</x:f>
        <x:v>5</x:v>
      </x:c>
      <x:c r="I393" s="10" t="n">
        <x:f>SUM(XLOOKUP('포켓몬_편집'!$AF393:$AN393,'분류_규칙'!$A$5:$A$76,'분류_규칙'!$I$5:$I$76,0))</x:f>
        <x:v>0</x:v>
      </x:c>
      <x:c r="J393" s="10" t="n">
        <x:f>SUM(XLOOKUP('포켓몬_편집'!$AF393:$AN393,'분류_규칙'!$A$5:$A$76,'분류_규칙'!$J$5:$J$76,0))</x:f>
        <x:v>2</x:v>
      </x:c>
      <x:c r="K393" s="10" t="n">
        <x:f>SUM(XLOOKUP('포켓몬_편집'!$AF393:$AN393,'분류_규칙'!$A$5:$A$76,'분류_규칙'!$K$5:$K$76,0))</x:f>
        <x:v>0</x:v>
      </x:c>
      <x:c r="L393" s="10" t="n">
        <x:f>SUM(XLOOKUP('포켓몬_편집'!$AF393:$AN393,'분류_규칙'!$A$5:$A$76,'분류_규칙'!$L$5:$L$76,0))</x:f>
        <x:v>0</x:v>
      </x:c>
      <x:c r="M393" s="10" t="n">
        <x:f>SUM(XLOOKUP('포켓몬_편집'!$AF393:$AN393,'분류_규칙'!$A$5:$A$76,'분류_규칙'!$M$5:$M$76,0))</x:f>
        <x:v>0</x:v>
      </x:c>
      <x:c r="N393" s="10" t="n">
        <x:f>SUM(XLOOKUP('포켓몬_편집'!$AF393:$AN393,'분류_규칙'!$A$5:$A$76,'분류_규칙'!$N$5:$N$76,0))</x:f>
        <x:v>0</x:v>
      </x:c>
      <x:c r="O393" s="10" t="n">
        <x:f>SUM(XLOOKUP('포켓몬_편집'!$AF393:$AN393,'분류_규칙'!$A$5:$A$76,'분류_규칙'!$O$5:$O$76,0))</x:f>
        <x:v>2</x:v>
      </x:c>
      <x:c r="P393" s="10" t="n">
        <x:f>SUM(XLOOKUP('포켓몬_편집'!$AF393:$AN393,'분류_규칙'!$A$5:$A$76,'분류_규칙'!$P$5:$P$76,0))</x:f>
        <x:v>0</x:v>
      </x:c>
    </x:row>
    <x:row r="394" ht="22" customHeight="1">
      <x:c r="A394" s="5" t="n">
        <x:v>390</x:v>
      </x:c>
      <x:c r="B394" s="5" t="inlineStr">
        <x:is>
          <x:t xml:space="preserve">불꽃숭이</x:t>
        </x:is>
      </x:c>
      <x:c r="C394" s="5" t="inlineStr">
        <x:is>
          <x:t xml:space="preserve">chimchar</x:t>
        </x:is>
      </x:c>
      <x:c r="D394" s="5" t="n">
        <x:v>4</x:v>
      </x:c>
      <x:c r="E394" s="10" t="n">
        <x:f>SUM(XLOOKUP('포켓몬_편집'!$AF394:$AN394,'분류_규칙'!$A$5:$A$76,'분류_규칙'!$E$5:$E$76,0))</x:f>
        <x:v>10</x:v>
      </x:c>
      <x:c r="F394" s="10" t="n">
        <x:f>SUM(XLOOKUP('포켓몬_편집'!$AF394:$AN394,'분류_규칙'!$A$5:$A$76,'분류_규칙'!$F$5:$F$76,0))</x:f>
        <x:v>7</x:v>
      </x:c>
      <x:c r="G394" s="10" t="n">
        <x:f>SUM(XLOOKUP('포켓몬_편집'!$AF394:$AN394,'분류_규칙'!$A$5:$A$76,'분류_규칙'!$G$5:$G$76,0))</x:f>
        <x:v>5</x:v>
      </x:c>
      <x:c r="H394" s="10" t="n">
        <x:f>SUM(XLOOKUP('포켓몬_편집'!$AF394:$AN394,'분류_규칙'!$A$5:$A$76,'분류_규칙'!$H$5:$H$76,0))</x:f>
        <x:v>5</x:v>
      </x:c>
      <x:c r="I394" s="10" t="n">
        <x:f>SUM(XLOOKUP('포켓몬_편집'!$AF394:$AN394,'분류_규칙'!$A$5:$A$76,'분류_규칙'!$I$5:$I$76,0))</x:f>
        <x:v>0</x:v>
      </x:c>
      <x:c r="J394" s="10" t="n">
        <x:f>SUM(XLOOKUP('포켓몬_편집'!$AF394:$AN394,'분류_규칙'!$A$5:$A$76,'분류_규칙'!$J$5:$J$76,0))</x:f>
        <x:v>2</x:v>
      </x:c>
      <x:c r="K394" s="10" t="n">
        <x:f>SUM(XLOOKUP('포켓몬_편집'!$AF394:$AN394,'분류_규칙'!$A$5:$A$76,'분류_규칙'!$K$5:$K$76,0))</x:f>
        <x:v>0</x:v>
      </x:c>
      <x:c r="L394" s="10" t="n">
        <x:f>SUM(XLOOKUP('포켓몬_편집'!$AF394:$AN394,'분류_규칙'!$A$5:$A$76,'분류_규칙'!$L$5:$L$76,0))</x:f>
        <x:v>0</x:v>
      </x:c>
      <x:c r="M394" s="10" t="n">
        <x:f>SUM(XLOOKUP('포켓몬_편집'!$AF394:$AN394,'분류_규칙'!$A$5:$A$76,'분류_규칙'!$M$5:$M$76,0))</x:f>
        <x:v>0</x:v>
      </x:c>
      <x:c r="N394" s="10" t="n">
        <x:f>SUM(XLOOKUP('포켓몬_편집'!$AF394:$AN394,'분류_규칙'!$A$5:$A$76,'분류_규칙'!$N$5:$N$76,0))</x:f>
        <x:v>0</x:v>
      </x:c>
      <x:c r="O394" s="10" t="n">
        <x:f>SUM(XLOOKUP('포켓몬_편집'!$AF394:$AN394,'분류_규칙'!$A$5:$A$76,'분류_규칙'!$O$5:$O$76,0))</x:f>
        <x:v>2</x:v>
      </x:c>
      <x:c r="P394" s="10" t="n">
        <x:f>SUM(XLOOKUP('포켓몬_편집'!$AF394:$AN394,'분류_규칙'!$A$5:$A$76,'분류_규칙'!$P$5:$P$76,0))</x:f>
        <x:v>0</x:v>
      </x:c>
    </x:row>
    <x:row r="395" ht="22" customHeight="1">
      <x:c r="A395" s="5" t="n">
        <x:v>391</x:v>
      </x:c>
      <x:c r="B395" s="5" t="inlineStr">
        <x:is>
          <x:t xml:space="preserve">파이숭이</x:t>
        </x:is>
      </x:c>
      <x:c r="C395" s="5" t="inlineStr">
        <x:is>
          <x:t xml:space="preserve">monferno</x:t>
        </x:is>
      </x:c>
      <x:c r="D395" s="5" t="n">
        <x:v>4</x:v>
      </x:c>
      <x:c r="E395" s="10" t="n">
        <x:f>SUM(XLOOKUP('포켓몬_편집'!$AF395:$AN395,'분류_규칙'!$A$5:$A$76,'분류_규칙'!$E$5:$E$76,0))</x:f>
        <x:v>10</x:v>
      </x:c>
      <x:c r="F395" s="10" t="n">
        <x:f>SUM(XLOOKUP('포켓몬_편집'!$AF395:$AN395,'분류_규칙'!$A$5:$A$76,'분류_규칙'!$F$5:$F$76,0))</x:f>
        <x:v>7</x:v>
      </x:c>
      <x:c r="G395" s="10" t="n">
        <x:f>SUM(XLOOKUP('포켓몬_편집'!$AF395:$AN395,'분류_규칙'!$A$5:$A$76,'분류_규칙'!$G$5:$G$76,0))</x:f>
        <x:v>5</x:v>
      </x:c>
      <x:c r="H395" s="10" t="n">
        <x:f>SUM(XLOOKUP('포켓몬_편집'!$AF395:$AN395,'분류_규칙'!$A$5:$A$76,'분류_규칙'!$H$5:$H$76,0))</x:f>
        <x:v>5</x:v>
      </x:c>
      <x:c r="I395" s="10" t="n">
        <x:f>SUM(XLOOKUP('포켓몬_편집'!$AF395:$AN395,'분류_규칙'!$A$5:$A$76,'분류_규칙'!$I$5:$I$76,0))</x:f>
        <x:v>0</x:v>
      </x:c>
      <x:c r="J395" s="10" t="n">
        <x:f>SUM(XLOOKUP('포켓몬_편집'!$AF395:$AN395,'분류_규칙'!$A$5:$A$76,'분류_규칙'!$J$5:$J$76,0))</x:f>
        <x:v>2</x:v>
      </x:c>
      <x:c r="K395" s="10" t="n">
        <x:f>SUM(XLOOKUP('포켓몬_편집'!$AF395:$AN395,'분류_규칙'!$A$5:$A$76,'분류_규칙'!$K$5:$K$76,0))</x:f>
        <x:v>0</x:v>
      </x:c>
      <x:c r="L395" s="10" t="n">
        <x:f>SUM(XLOOKUP('포켓몬_편집'!$AF395:$AN395,'분류_규칙'!$A$5:$A$76,'분류_규칙'!$L$5:$L$76,0))</x:f>
        <x:v>0</x:v>
      </x:c>
      <x:c r="M395" s="10" t="n">
        <x:f>SUM(XLOOKUP('포켓몬_편집'!$AF395:$AN395,'분류_규칙'!$A$5:$A$76,'분류_규칙'!$M$5:$M$76,0))</x:f>
        <x:v>0</x:v>
      </x:c>
      <x:c r="N395" s="10" t="n">
        <x:f>SUM(XLOOKUP('포켓몬_편집'!$AF395:$AN395,'분류_규칙'!$A$5:$A$76,'분류_규칙'!$N$5:$N$76,0))</x:f>
        <x:v>0</x:v>
      </x:c>
      <x:c r="O395" s="10" t="n">
        <x:f>SUM(XLOOKUP('포켓몬_편집'!$AF395:$AN395,'분류_규칙'!$A$5:$A$76,'분류_규칙'!$O$5:$O$76,0))</x:f>
        <x:v>2</x:v>
      </x:c>
      <x:c r="P395" s="10" t="n">
        <x:f>SUM(XLOOKUP('포켓몬_편집'!$AF395:$AN395,'분류_규칙'!$A$5:$A$76,'분류_규칙'!$P$5:$P$76,0))</x:f>
        <x:v>0</x:v>
      </x:c>
    </x:row>
    <x:row r="396" ht="22" customHeight="1">
      <x:c r="A396" s="5" t="n">
        <x:v>392</x:v>
      </x:c>
      <x:c r="B396" s="5" t="inlineStr">
        <x:is>
          <x:t xml:space="preserve">초염몽</x:t>
        </x:is>
      </x:c>
      <x:c r="C396" s="5" t="inlineStr">
        <x:is>
          <x:t xml:space="preserve">infernape</x:t>
        </x:is>
      </x:c>
      <x:c r="D396" s="5" t="n">
        <x:v>4</x:v>
      </x:c>
      <x:c r="E396" s="10" t="n">
        <x:f>SUM(XLOOKUP('포켓몬_편집'!$AF396:$AN396,'분류_규칙'!$A$5:$A$76,'분류_규칙'!$E$5:$E$76,0))</x:f>
        <x:v>10</x:v>
      </x:c>
      <x:c r="F396" s="10" t="n">
        <x:f>SUM(XLOOKUP('포켓몬_편집'!$AF396:$AN396,'분류_규칙'!$A$5:$A$76,'분류_규칙'!$F$5:$F$76,0))</x:f>
        <x:v>7</x:v>
      </x:c>
      <x:c r="G396" s="10" t="n">
        <x:f>SUM(XLOOKUP('포켓몬_편집'!$AF396:$AN396,'분류_규칙'!$A$5:$A$76,'분류_규칙'!$G$5:$G$76,0))</x:f>
        <x:v>5</x:v>
      </x:c>
      <x:c r="H396" s="10" t="n">
        <x:f>SUM(XLOOKUP('포켓몬_편집'!$AF396:$AN396,'분류_규칙'!$A$5:$A$76,'분류_규칙'!$H$5:$H$76,0))</x:f>
        <x:v>5</x:v>
      </x:c>
      <x:c r="I396" s="10" t="n">
        <x:f>SUM(XLOOKUP('포켓몬_편집'!$AF396:$AN396,'분류_규칙'!$A$5:$A$76,'분류_규칙'!$I$5:$I$76,0))</x:f>
        <x:v>0</x:v>
      </x:c>
      <x:c r="J396" s="10" t="n">
        <x:f>SUM(XLOOKUP('포켓몬_편집'!$AF396:$AN396,'분류_규칙'!$A$5:$A$76,'분류_규칙'!$J$5:$J$76,0))</x:f>
        <x:v>2</x:v>
      </x:c>
      <x:c r="K396" s="10" t="n">
        <x:f>SUM(XLOOKUP('포켓몬_편집'!$AF396:$AN396,'분류_규칙'!$A$5:$A$76,'분류_규칙'!$K$5:$K$76,0))</x:f>
        <x:v>0</x:v>
      </x:c>
      <x:c r="L396" s="10" t="n">
        <x:f>SUM(XLOOKUP('포켓몬_편집'!$AF396:$AN396,'분류_규칙'!$A$5:$A$76,'분류_규칙'!$L$5:$L$76,0))</x:f>
        <x:v>0</x:v>
      </x:c>
      <x:c r="M396" s="10" t="n">
        <x:f>SUM(XLOOKUP('포켓몬_편집'!$AF396:$AN396,'분류_규칙'!$A$5:$A$76,'분류_규칙'!$M$5:$M$76,0))</x:f>
        <x:v>0</x:v>
      </x:c>
      <x:c r="N396" s="10" t="n">
        <x:f>SUM(XLOOKUP('포켓몬_편집'!$AF396:$AN396,'분류_규칙'!$A$5:$A$76,'분류_규칙'!$N$5:$N$76,0))</x:f>
        <x:v>0</x:v>
      </x:c>
      <x:c r="O396" s="10" t="n">
        <x:f>SUM(XLOOKUP('포켓몬_편집'!$AF396:$AN396,'분류_규칙'!$A$5:$A$76,'분류_규칙'!$O$5:$O$76,0))</x:f>
        <x:v>2</x:v>
      </x:c>
      <x:c r="P396" s="10" t="n">
        <x:f>SUM(XLOOKUP('포켓몬_편집'!$AF396:$AN396,'분류_규칙'!$A$5:$A$76,'분류_규칙'!$P$5:$P$76,0))</x:f>
        <x:v>0</x:v>
      </x:c>
    </x:row>
    <x:row r="397" ht="22" customHeight="1">
      <x:c r="A397" s="5" t="n">
        <x:v>393</x:v>
      </x:c>
      <x:c r="B397" s="5" t="inlineStr">
        <x:is>
          <x:t xml:space="preserve">팽도리</x:t>
        </x:is>
      </x:c>
      <x:c r="C397" s="5" t="inlineStr">
        <x:is>
          <x:t xml:space="preserve">piplup</x:t>
        </x:is>
      </x:c>
      <x:c r="D397" s="5" t="n">
        <x:v>4</x:v>
      </x:c>
      <x:c r="E397" s="10" t="n">
        <x:f>SUM(XLOOKUP('포켓몬_편집'!$AF397:$AN397,'분류_규칙'!$A$5:$A$76,'분류_규칙'!$E$5:$E$76,0))</x:f>
        <x:v>0</x:v>
      </x:c>
      <x:c r="F397" s="10" t="n">
        <x:f>SUM(XLOOKUP('포켓몬_편집'!$AF397:$AN397,'분류_규칙'!$A$5:$A$76,'분류_규칙'!$F$5:$F$76,0))</x:f>
        <x:v>0</x:v>
      </x:c>
      <x:c r="G397" s="10" t="n">
        <x:f>SUM(XLOOKUP('포켓몬_편집'!$AF397:$AN397,'분류_규칙'!$A$5:$A$76,'분류_규칙'!$G$5:$G$76,0))</x:f>
        <x:v>0</x:v>
      </x:c>
      <x:c r="H397" s="10" t="n">
        <x:f>SUM(XLOOKUP('포켓몬_편집'!$AF397:$AN397,'분류_규칙'!$A$5:$A$76,'분류_규칙'!$H$5:$H$76,0))</x:f>
        <x:v>0</x:v>
      </x:c>
      <x:c r="I397" s="10" t="n">
        <x:f>SUM(XLOOKUP('포켓몬_편집'!$AF397:$AN397,'분류_규칙'!$A$5:$A$76,'분류_규칙'!$I$5:$I$76,0))</x:f>
        <x:v>0</x:v>
      </x:c>
      <x:c r="J397" s="10" t="n">
        <x:f>SUM(XLOOKUP('포켓몬_편집'!$AF397:$AN397,'분류_규칙'!$A$5:$A$76,'분류_규칙'!$J$5:$J$76,0))</x:f>
        <x:v>3</x:v>
      </x:c>
      <x:c r="K397" s="10" t="n">
        <x:f>SUM(XLOOKUP('포켓몬_편집'!$AF397:$AN397,'분류_규칙'!$A$5:$A$76,'분류_규칙'!$K$5:$K$76,0))</x:f>
        <x:v>0</x:v>
      </x:c>
      <x:c r="L397" s="10" t="n">
        <x:f>SUM(XLOOKUP('포켓몬_편집'!$AF397:$AN397,'분류_규칙'!$A$5:$A$76,'분류_규칙'!$L$5:$L$76,0))</x:f>
        <x:v>30</x:v>
      </x:c>
      <x:c r="M397" s="10" t="n">
        <x:f>SUM(XLOOKUP('포켓몬_편집'!$AF397:$AN397,'분류_규칙'!$A$5:$A$76,'분류_규칙'!$M$5:$M$76,0))</x:f>
        <x:v>0</x:v>
      </x:c>
      <x:c r="N397" s="10" t="n">
        <x:f>SUM(XLOOKUP('포켓몬_편집'!$AF397:$AN397,'분류_규칙'!$A$5:$A$76,'분류_규칙'!$N$5:$N$76,0))</x:f>
        <x:v>0</x:v>
      </x:c>
      <x:c r="O397" s="10" t="n">
        <x:f>SUM(XLOOKUP('포켓몬_편집'!$AF397:$AN397,'분류_규칙'!$A$5:$A$76,'분류_규칙'!$O$5:$O$76,0))</x:f>
        <x:v>0</x:v>
      </x:c>
      <x:c r="P397" s="10" t="n">
        <x:f>SUM(XLOOKUP('포켓몬_편집'!$AF397:$AN397,'분류_규칙'!$A$5:$A$76,'분류_규칙'!$P$5:$P$76,0))</x:f>
        <x:v>0</x:v>
      </x:c>
    </x:row>
    <x:row r="398" ht="22" customHeight="1">
      <x:c r="A398" s="5" t="n">
        <x:v>394</x:v>
      </x:c>
      <x:c r="B398" s="5" t="inlineStr">
        <x:is>
          <x:t xml:space="preserve">팽태자</x:t>
        </x:is>
      </x:c>
      <x:c r="C398" s="5" t="inlineStr">
        <x:is>
          <x:t xml:space="preserve">prinplup</x:t>
        </x:is>
      </x:c>
      <x:c r="D398" s="5" t="n">
        <x:v>4</x:v>
      </x:c>
      <x:c r="E398" s="10" t="n">
        <x:f>SUM(XLOOKUP('포켓몬_편집'!$AF398:$AN398,'분류_규칙'!$A$5:$A$76,'분류_규칙'!$E$5:$E$76,0))</x:f>
        <x:v>0</x:v>
      </x:c>
      <x:c r="F398" s="10" t="n">
        <x:f>SUM(XLOOKUP('포켓몬_편집'!$AF398:$AN398,'분류_규칙'!$A$5:$A$76,'분류_규칙'!$F$5:$F$76,0))</x:f>
        <x:v>0</x:v>
      </x:c>
      <x:c r="G398" s="10" t="n">
        <x:f>SUM(XLOOKUP('포켓몬_편집'!$AF398:$AN398,'분류_규칙'!$A$5:$A$76,'분류_규칙'!$G$5:$G$76,0))</x:f>
        <x:v>0</x:v>
      </x:c>
      <x:c r="H398" s="10" t="n">
        <x:f>SUM(XLOOKUP('포켓몬_편집'!$AF398:$AN398,'분류_규칙'!$A$5:$A$76,'분류_규칙'!$H$5:$H$76,0))</x:f>
        <x:v>0</x:v>
      </x:c>
      <x:c r="I398" s="10" t="n">
        <x:f>SUM(XLOOKUP('포켓몬_편집'!$AF398:$AN398,'분류_규칙'!$A$5:$A$76,'분류_규칙'!$I$5:$I$76,0))</x:f>
        <x:v>0</x:v>
      </x:c>
      <x:c r="J398" s="10" t="n">
        <x:f>SUM(XLOOKUP('포켓몬_편집'!$AF398:$AN398,'분류_규칙'!$A$5:$A$76,'분류_규칙'!$J$5:$J$76,0))</x:f>
        <x:v>3</x:v>
      </x:c>
      <x:c r="K398" s="10" t="n">
        <x:f>SUM(XLOOKUP('포켓몬_편집'!$AF398:$AN398,'분류_규칙'!$A$5:$A$76,'분류_규칙'!$K$5:$K$76,0))</x:f>
        <x:v>0</x:v>
      </x:c>
      <x:c r="L398" s="10" t="n">
        <x:f>SUM(XLOOKUP('포켓몬_편집'!$AF398:$AN398,'분류_규칙'!$A$5:$A$76,'분류_규칙'!$L$5:$L$76,0))</x:f>
        <x:v>30</x:v>
      </x:c>
      <x:c r="M398" s="10" t="n">
        <x:f>SUM(XLOOKUP('포켓몬_편집'!$AF398:$AN398,'분류_규칙'!$A$5:$A$76,'분류_규칙'!$M$5:$M$76,0))</x:f>
        <x:v>0</x:v>
      </x:c>
      <x:c r="N398" s="10" t="n">
        <x:f>SUM(XLOOKUP('포켓몬_편집'!$AF398:$AN398,'분류_규칙'!$A$5:$A$76,'분류_규칙'!$N$5:$N$76,0))</x:f>
        <x:v>0</x:v>
      </x:c>
      <x:c r="O398" s="10" t="n">
        <x:f>SUM(XLOOKUP('포켓몬_편집'!$AF398:$AN398,'분류_규칙'!$A$5:$A$76,'분류_규칙'!$O$5:$O$76,0))</x:f>
        <x:v>0</x:v>
      </x:c>
      <x:c r="P398" s="10" t="n">
        <x:f>SUM(XLOOKUP('포켓몬_편집'!$AF398:$AN398,'분류_규칙'!$A$5:$A$76,'분류_규칙'!$P$5:$P$76,0))</x:f>
        <x:v>0</x:v>
      </x:c>
    </x:row>
    <x:row r="399" ht="22" customHeight="1">
      <x:c r="A399" s="5" t="n">
        <x:v>395</x:v>
      </x:c>
      <x:c r="B399" s="5" t="inlineStr">
        <x:is>
          <x:t xml:space="preserve">엠페르트</x:t>
        </x:is>
      </x:c>
      <x:c r="C399" s="5" t="inlineStr">
        <x:is>
          <x:t xml:space="preserve">empoleon</x:t>
        </x:is>
      </x:c>
      <x:c r="D399" s="5" t="n">
        <x:v>4</x:v>
      </x:c>
      <x:c r="E399" s="10" t="n">
        <x:f>SUM(XLOOKUP('포켓몬_편집'!$AF399:$AN399,'분류_규칙'!$A$5:$A$76,'분류_규칙'!$E$5:$E$76,0))</x:f>
        <x:v>0</x:v>
      </x:c>
      <x:c r="F399" s="10" t="n">
        <x:f>SUM(XLOOKUP('포켓몬_편집'!$AF399:$AN399,'분류_규칙'!$A$5:$A$76,'분류_규칙'!$F$5:$F$76,0))</x:f>
        <x:v>0</x:v>
      </x:c>
      <x:c r="G399" s="10" t="n">
        <x:f>SUM(XLOOKUP('포켓몬_편집'!$AF399:$AN399,'분류_규칙'!$A$5:$A$76,'분류_규칙'!$G$5:$G$76,0))</x:f>
        <x:v>0</x:v>
      </x:c>
      <x:c r="H399" s="10" t="n">
        <x:f>SUM(XLOOKUP('포켓몬_편집'!$AF399:$AN399,'분류_규칙'!$A$5:$A$76,'분류_규칙'!$H$5:$H$76,0))</x:f>
        <x:v>0</x:v>
      </x:c>
      <x:c r="I399" s="10" t="n">
        <x:f>SUM(XLOOKUP('포켓몬_편집'!$AF399:$AN399,'분류_규칙'!$A$5:$A$76,'분류_규칙'!$I$5:$I$76,0))</x:f>
        <x:v>0</x:v>
      </x:c>
      <x:c r="J399" s="10" t="n">
        <x:f>SUM(XLOOKUP('포켓몬_편집'!$AF399:$AN399,'분류_규칙'!$A$5:$A$76,'분류_규칙'!$J$5:$J$76,0))</x:f>
        <x:v>3</x:v>
      </x:c>
      <x:c r="K399" s="10" t="n">
        <x:f>SUM(XLOOKUP('포켓몬_편집'!$AF399:$AN399,'분류_규칙'!$A$5:$A$76,'분류_규칙'!$K$5:$K$76,0))</x:f>
        <x:v>0</x:v>
      </x:c>
      <x:c r="L399" s="10" t="n">
        <x:f>SUM(XLOOKUP('포켓몬_편집'!$AF399:$AN399,'분류_규칙'!$A$5:$A$76,'분류_규칙'!$L$5:$L$76,0))</x:f>
        <x:v>30</x:v>
      </x:c>
      <x:c r="M399" s="10" t="n">
        <x:f>SUM(XLOOKUP('포켓몬_편집'!$AF399:$AN399,'분류_규칙'!$A$5:$A$76,'분류_규칙'!$M$5:$M$76,0))</x:f>
        <x:v>0</x:v>
      </x:c>
      <x:c r="N399" s="10" t="n">
        <x:f>SUM(XLOOKUP('포켓몬_편집'!$AF399:$AN399,'분류_규칙'!$A$5:$A$76,'분류_규칙'!$N$5:$N$76,0))</x:f>
        <x:v>0</x:v>
      </x:c>
      <x:c r="O399" s="10" t="n">
        <x:f>SUM(XLOOKUP('포켓몬_편집'!$AF399:$AN399,'분류_규칙'!$A$5:$A$76,'분류_규칙'!$O$5:$O$76,0))</x:f>
        <x:v>0</x:v>
      </x:c>
      <x:c r="P399" s="10" t="n">
        <x:f>SUM(XLOOKUP('포켓몬_편집'!$AF399:$AN399,'분류_규칙'!$A$5:$A$76,'분류_규칙'!$P$5:$P$76,0))</x:f>
        <x:v>0</x:v>
      </x:c>
    </x:row>
    <x:row r="400" ht="22" customHeight="1">
      <x:c r="A400" s="5" t="n">
        <x:v>396</x:v>
      </x:c>
      <x:c r="B400" s="5" t="inlineStr">
        <x:is>
          <x:t xml:space="preserve">찌르꼬</x:t>
        </x:is>
      </x:c>
      <x:c r="C400" s="5" t="inlineStr">
        <x:is>
          <x:t xml:space="preserve">starly</x:t>
        </x:is>
      </x:c>
      <x:c r="D400" s="5" t="n">
        <x:v>4</x:v>
      </x:c>
      <x:c r="E400" s="10" t="n">
        <x:f>SUM(XLOOKUP('포켓몬_편집'!$AF400:$AN400,'분류_규칙'!$A$5:$A$76,'분류_규칙'!$E$5:$E$76,0))</x:f>
        <x:v>8</x:v>
      </x:c>
      <x:c r="F400" s="10" t="n">
        <x:f>SUM(XLOOKUP('포켓몬_편집'!$AF400:$AN400,'분류_규칙'!$A$5:$A$76,'분류_규칙'!$F$5:$F$76,0))</x:f>
        <x:v>8</x:v>
      </x:c>
      <x:c r="G400" s="10" t="n">
        <x:f>SUM(XLOOKUP('포켓몬_편집'!$AF400:$AN400,'분류_규칙'!$A$5:$A$76,'분류_규칙'!$G$5:$G$76,0))</x:f>
        <x:v>0</x:v>
      </x:c>
      <x:c r="H400" s="10" t="n">
        <x:f>SUM(XLOOKUP('포켓몬_편집'!$AF400:$AN400,'분류_규칙'!$A$5:$A$76,'분류_규칙'!$H$5:$H$76,0))</x:f>
        <x:v>12</x:v>
      </x:c>
      <x:c r="I400" s="10" t="n">
        <x:f>SUM(XLOOKUP('포켓몬_편집'!$AF400:$AN400,'분류_규칙'!$A$5:$A$76,'분류_규칙'!$I$5:$I$76,0))</x:f>
        <x:v>0</x:v>
      </x:c>
      <x:c r="J400" s="10" t="n">
        <x:f>SUM(XLOOKUP('포켓몬_편집'!$AF400:$AN400,'분류_규칙'!$A$5:$A$76,'분류_규칙'!$J$5:$J$76,0))</x:f>
        <x:v>0</x:v>
      </x:c>
      <x:c r="K400" s="10" t="n">
        <x:f>SUM(XLOOKUP('포켓몬_편집'!$AF400:$AN400,'분류_규칙'!$A$5:$A$76,'분류_규칙'!$K$5:$K$76,0))</x:f>
        <x:v>0</x:v>
      </x:c>
      <x:c r="L400" s="10" t="n">
        <x:f>SUM(XLOOKUP('포켓몬_편집'!$AF400:$AN400,'분류_규칙'!$A$5:$A$76,'분류_규칙'!$L$5:$L$76,0))</x:f>
        <x:v>3</x:v>
      </x:c>
      <x:c r="M400" s="10" t="n">
        <x:f>SUM(XLOOKUP('포켓몬_편집'!$AF400:$AN400,'분류_규칙'!$A$5:$A$76,'분류_규칙'!$M$5:$M$76,0))</x:f>
        <x:v>0</x:v>
      </x:c>
      <x:c r="N400" s="10" t="n">
        <x:f>SUM(XLOOKUP('포켓몬_편집'!$AF400:$AN400,'분류_규칙'!$A$5:$A$76,'분류_규칙'!$N$5:$N$76,0))</x:f>
        <x:v>0</x:v>
      </x:c>
      <x:c r="O400" s="10" t="n">
        <x:f>SUM(XLOOKUP('포켓몬_편집'!$AF400:$AN400,'분류_규칙'!$A$5:$A$76,'분류_규칙'!$O$5:$O$76,0))</x:f>
        <x:v>2</x:v>
      </x:c>
      <x:c r="P400" s="10" t="n">
        <x:f>SUM(XLOOKUP('포켓몬_편집'!$AF400:$AN400,'분류_규칙'!$A$5:$A$76,'분류_규칙'!$P$5:$P$76,0))</x:f>
        <x:v>0</x:v>
      </x:c>
    </x:row>
    <x:row r="401" ht="22" customHeight="1">
      <x:c r="A401" s="5" t="n">
        <x:v>397</x:v>
      </x:c>
      <x:c r="B401" s="5" t="inlineStr">
        <x:is>
          <x:t xml:space="preserve">찌르버드</x:t>
        </x:is>
      </x:c>
      <x:c r="C401" s="5" t="inlineStr">
        <x:is>
          <x:t xml:space="preserve">staravia</x:t>
        </x:is>
      </x:c>
      <x:c r="D401" s="5" t="n">
        <x:v>4</x:v>
      </x:c>
      <x:c r="E401" s="10" t="n">
        <x:f>SUM(XLOOKUP('포켓몬_편집'!$AF401:$AN401,'분류_규칙'!$A$5:$A$76,'분류_규칙'!$E$5:$E$76,0))</x:f>
        <x:v>8</x:v>
      </x:c>
      <x:c r="F401" s="10" t="n">
        <x:f>SUM(XLOOKUP('포켓몬_편집'!$AF401:$AN401,'분류_규칙'!$A$5:$A$76,'분류_규칙'!$F$5:$F$76,0))</x:f>
        <x:v>8</x:v>
      </x:c>
      <x:c r="G401" s="10" t="n">
        <x:f>SUM(XLOOKUP('포켓몬_편집'!$AF401:$AN401,'분류_규칙'!$A$5:$A$76,'분류_규칙'!$G$5:$G$76,0))</x:f>
        <x:v>0</x:v>
      </x:c>
      <x:c r="H401" s="10" t="n">
        <x:f>SUM(XLOOKUP('포켓몬_편집'!$AF401:$AN401,'분류_규칙'!$A$5:$A$76,'분류_규칙'!$H$5:$H$76,0))</x:f>
        <x:v>12</x:v>
      </x:c>
      <x:c r="I401" s="10" t="n">
        <x:f>SUM(XLOOKUP('포켓몬_편집'!$AF401:$AN401,'분류_규칙'!$A$5:$A$76,'분류_규칙'!$I$5:$I$76,0))</x:f>
        <x:v>0</x:v>
      </x:c>
      <x:c r="J401" s="10" t="n">
        <x:f>SUM(XLOOKUP('포켓몬_편집'!$AF401:$AN401,'분류_규칙'!$A$5:$A$76,'분류_규칙'!$J$5:$J$76,0))</x:f>
        <x:v>0</x:v>
      </x:c>
      <x:c r="K401" s="10" t="n">
        <x:f>SUM(XLOOKUP('포켓몬_편집'!$AF401:$AN401,'분류_규칙'!$A$5:$A$76,'분류_규칙'!$K$5:$K$76,0))</x:f>
        <x:v>0</x:v>
      </x:c>
      <x:c r="L401" s="10" t="n">
        <x:f>SUM(XLOOKUP('포켓몬_편집'!$AF401:$AN401,'분류_규칙'!$A$5:$A$76,'분류_규칙'!$L$5:$L$76,0))</x:f>
        <x:v>3</x:v>
      </x:c>
      <x:c r="M401" s="10" t="n">
        <x:f>SUM(XLOOKUP('포켓몬_편집'!$AF401:$AN401,'분류_규칙'!$A$5:$A$76,'분류_규칙'!$M$5:$M$76,0))</x:f>
        <x:v>0</x:v>
      </x:c>
      <x:c r="N401" s="10" t="n">
        <x:f>SUM(XLOOKUP('포켓몬_편집'!$AF401:$AN401,'분류_규칙'!$A$5:$A$76,'분류_규칙'!$N$5:$N$76,0))</x:f>
        <x:v>0</x:v>
      </x:c>
      <x:c r="O401" s="10" t="n">
        <x:f>SUM(XLOOKUP('포켓몬_편집'!$AF401:$AN401,'분류_규칙'!$A$5:$A$76,'분류_규칙'!$O$5:$O$76,0))</x:f>
        <x:v>2</x:v>
      </x:c>
      <x:c r="P401" s="10" t="n">
        <x:f>SUM(XLOOKUP('포켓몬_편집'!$AF401:$AN401,'분류_규칙'!$A$5:$A$76,'분류_규칙'!$P$5:$P$76,0))</x:f>
        <x:v>0</x:v>
      </x:c>
    </x:row>
    <x:row r="402" ht="22" customHeight="1">
      <x:c r="A402" s="5" t="n">
        <x:v>398</x:v>
      </x:c>
      <x:c r="B402" s="5" t="inlineStr">
        <x:is>
          <x:t xml:space="preserve">찌르호크</x:t>
        </x:is>
      </x:c>
      <x:c r="C402" s="5" t="inlineStr">
        <x:is>
          <x:t xml:space="preserve">staraptor</x:t>
        </x:is>
      </x:c>
      <x:c r="D402" s="5" t="n">
        <x:v>4</x:v>
      </x:c>
      <x:c r="E402" s="10" t="n">
        <x:f>SUM(XLOOKUP('포켓몬_편집'!$AF402:$AN402,'분류_규칙'!$A$5:$A$76,'분류_규칙'!$E$5:$E$76,0))</x:f>
        <x:v>8</x:v>
      </x:c>
      <x:c r="F402" s="10" t="n">
        <x:f>SUM(XLOOKUP('포켓몬_편집'!$AF402:$AN402,'분류_규칙'!$A$5:$A$76,'분류_규칙'!$F$5:$F$76,0))</x:f>
        <x:v>8</x:v>
      </x:c>
      <x:c r="G402" s="10" t="n">
        <x:f>SUM(XLOOKUP('포켓몬_편집'!$AF402:$AN402,'분류_규칙'!$A$5:$A$76,'분류_규칙'!$G$5:$G$76,0))</x:f>
        <x:v>0</x:v>
      </x:c>
      <x:c r="H402" s="10" t="n">
        <x:f>SUM(XLOOKUP('포켓몬_편집'!$AF402:$AN402,'분류_규칙'!$A$5:$A$76,'분류_규칙'!$H$5:$H$76,0))</x:f>
        <x:v>12</x:v>
      </x:c>
      <x:c r="I402" s="10" t="n">
        <x:f>SUM(XLOOKUP('포켓몬_편집'!$AF402:$AN402,'분류_규칙'!$A$5:$A$76,'분류_규칙'!$I$5:$I$76,0))</x:f>
        <x:v>0</x:v>
      </x:c>
      <x:c r="J402" s="10" t="n">
        <x:f>SUM(XLOOKUP('포켓몬_편집'!$AF402:$AN402,'분류_규칙'!$A$5:$A$76,'분류_규칙'!$J$5:$J$76,0))</x:f>
        <x:v>0</x:v>
      </x:c>
      <x:c r="K402" s="10" t="n">
        <x:f>SUM(XLOOKUP('포켓몬_편집'!$AF402:$AN402,'분류_규칙'!$A$5:$A$76,'분류_규칙'!$K$5:$K$76,0))</x:f>
        <x:v>0</x:v>
      </x:c>
      <x:c r="L402" s="10" t="n">
        <x:f>SUM(XLOOKUP('포켓몬_편집'!$AF402:$AN402,'분류_규칙'!$A$5:$A$76,'분류_규칙'!$L$5:$L$76,0))</x:f>
        <x:v>3</x:v>
      </x:c>
      <x:c r="M402" s="10" t="n">
        <x:f>SUM(XLOOKUP('포켓몬_편집'!$AF402:$AN402,'분류_규칙'!$A$5:$A$76,'분류_규칙'!$M$5:$M$76,0))</x:f>
        <x:v>0</x:v>
      </x:c>
      <x:c r="N402" s="10" t="n">
        <x:f>SUM(XLOOKUP('포켓몬_편집'!$AF402:$AN402,'분류_규칙'!$A$5:$A$76,'분류_규칙'!$N$5:$N$76,0))</x:f>
        <x:v>0</x:v>
      </x:c>
      <x:c r="O402" s="10" t="n">
        <x:f>SUM(XLOOKUP('포켓몬_편집'!$AF402:$AN402,'분류_규칙'!$A$5:$A$76,'분류_규칙'!$O$5:$O$76,0))</x:f>
        <x:v>2</x:v>
      </x:c>
      <x:c r="P402" s="10" t="n">
        <x:f>SUM(XLOOKUP('포켓몬_편집'!$AF402:$AN402,'분류_규칙'!$A$5:$A$76,'분류_규칙'!$P$5:$P$76,0))</x:f>
        <x:v>0</x:v>
      </x:c>
    </x:row>
    <x:row r="403" ht="22" customHeight="1">
      <x:c r="A403" s="5" t="n">
        <x:v>399</x:v>
      </x:c>
      <x:c r="B403" s="5" t="inlineStr">
        <x:is>
          <x:t xml:space="preserve">비버니</x:t>
        </x:is>
      </x:c>
      <x:c r="C403" s="5" t="inlineStr">
        <x:is>
          <x:t xml:space="preserve">bidoof</x:t>
        </x:is>
      </x:c>
      <x:c r="D403" s="5" t="n">
        <x:v>4</x:v>
      </x:c>
      <x:c r="E403" s="10" t="n">
        <x:f>SUM(XLOOKUP('포켓몬_편집'!$AF403:$AN403,'분류_규칙'!$A$5:$A$76,'분류_규칙'!$E$5:$E$76,0))</x:f>
        <x:v>10</x:v>
      </x:c>
      <x:c r="F403" s="10" t="n">
        <x:f>SUM(XLOOKUP('포켓몬_편집'!$AF403:$AN403,'분류_규칙'!$A$5:$A$76,'분류_규칙'!$F$5:$F$76,0))</x:f>
        <x:v>7</x:v>
      </x:c>
      <x:c r="G403" s="10" t="n">
        <x:f>SUM(XLOOKUP('포켓몬_편집'!$AF403:$AN403,'분류_규칙'!$A$5:$A$76,'분류_규칙'!$G$5:$G$76,0))</x:f>
        <x:v>5</x:v>
      </x:c>
      <x:c r="H403" s="10" t="n">
        <x:f>SUM(XLOOKUP('포켓몬_편집'!$AF403:$AN403,'분류_규칙'!$A$5:$A$76,'분류_규칙'!$H$5:$H$76,0))</x:f>
        <x:v>5</x:v>
      </x:c>
      <x:c r="I403" s="10" t="n">
        <x:f>SUM(XLOOKUP('포켓몬_편집'!$AF403:$AN403,'분류_규칙'!$A$5:$A$76,'분류_규칙'!$I$5:$I$76,0))</x:f>
        <x:v>0</x:v>
      </x:c>
      <x:c r="J403" s="10" t="n">
        <x:f>SUM(XLOOKUP('포켓몬_편집'!$AF403:$AN403,'분류_규칙'!$A$5:$A$76,'분류_규칙'!$J$5:$J$76,0))</x:f>
        <x:v>2</x:v>
      </x:c>
      <x:c r="K403" s="10" t="n">
        <x:f>SUM(XLOOKUP('포켓몬_편집'!$AF403:$AN403,'분류_규칙'!$A$5:$A$76,'분류_규칙'!$K$5:$K$76,0))</x:f>
        <x:v>0</x:v>
      </x:c>
      <x:c r="L403" s="10" t="n">
        <x:f>SUM(XLOOKUP('포켓몬_편집'!$AF403:$AN403,'분류_규칙'!$A$5:$A$76,'분류_규칙'!$L$5:$L$76,0))</x:f>
        <x:v>0</x:v>
      </x:c>
      <x:c r="M403" s="10" t="n">
        <x:f>SUM(XLOOKUP('포켓몬_편집'!$AF403:$AN403,'분류_규칙'!$A$5:$A$76,'분류_규칙'!$M$5:$M$76,0))</x:f>
        <x:v>0</x:v>
      </x:c>
      <x:c r="N403" s="10" t="n">
        <x:f>SUM(XLOOKUP('포켓몬_편집'!$AF403:$AN403,'분류_규칙'!$A$5:$A$76,'분류_규칙'!$N$5:$N$76,0))</x:f>
        <x:v>0</x:v>
      </x:c>
      <x:c r="O403" s="10" t="n">
        <x:f>SUM(XLOOKUP('포켓몬_편집'!$AF403:$AN403,'분류_규칙'!$A$5:$A$76,'분류_규칙'!$O$5:$O$76,0))</x:f>
        <x:v>2</x:v>
      </x:c>
      <x:c r="P403" s="10" t="n">
        <x:f>SUM(XLOOKUP('포켓몬_편집'!$AF403:$AN403,'분류_규칙'!$A$5:$A$76,'분류_규칙'!$P$5:$P$76,0))</x:f>
        <x:v>0</x:v>
      </x:c>
    </x:row>
    <x:row r="404" ht="22" customHeight="1">
      <x:c r="A404" s="5" t="n">
        <x:v>400</x:v>
      </x:c>
      <x:c r="B404" s="5" t="inlineStr">
        <x:is>
          <x:t xml:space="preserve">비버통</x:t>
        </x:is>
      </x:c>
      <x:c r="C404" s="5" t="inlineStr">
        <x:is>
          <x:t xml:space="preserve">bibarel</x:t>
        </x:is>
      </x:c>
      <x:c r="D404" s="5" t="n">
        <x:v>4</x:v>
      </x:c>
      <x:c r="E404" s="10" t="n">
        <x:f>SUM(XLOOKUP('포켓몬_편집'!$AF404:$AN404,'분류_규칙'!$A$5:$A$76,'분류_규칙'!$E$5:$E$76,0))</x:f>
        <x:v>0</x:v>
      </x:c>
      <x:c r="F404" s="10" t="n">
        <x:f>SUM(XLOOKUP('포켓몬_편집'!$AF404:$AN404,'분류_규칙'!$A$5:$A$76,'분류_규칙'!$F$5:$F$76,0))</x:f>
        <x:v>0</x:v>
      </x:c>
      <x:c r="G404" s="10" t="n">
        <x:f>SUM(XLOOKUP('포켓몬_편집'!$AF404:$AN404,'분류_규칙'!$A$5:$A$76,'분류_규칙'!$G$5:$G$76,0))</x:f>
        <x:v>0</x:v>
      </x:c>
      <x:c r="H404" s="10" t="n">
        <x:f>SUM(XLOOKUP('포켓몬_편집'!$AF404:$AN404,'분류_규칙'!$A$5:$A$76,'분류_규칙'!$H$5:$H$76,0))</x:f>
        <x:v>0</x:v>
      </x:c>
      <x:c r="I404" s="10" t="n">
        <x:f>SUM(XLOOKUP('포켓몬_편집'!$AF404:$AN404,'분류_규칙'!$A$5:$A$76,'분류_규칙'!$I$5:$I$76,0))</x:f>
        <x:v>0</x:v>
      </x:c>
      <x:c r="J404" s="10" t="n">
        <x:f>SUM(XLOOKUP('포켓몬_편집'!$AF404:$AN404,'분류_규칙'!$A$5:$A$76,'분류_규칙'!$J$5:$J$76,0))</x:f>
        <x:v>12</x:v>
      </x:c>
      <x:c r="K404" s="10" t="n">
        <x:f>SUM(XLOOKUP('포켓몬_편집'!$AF404:$AN404,'분류_규칙'!$A$5:$A$76,'분류_규칙'!$K$5:$K$76,0))</x:f>
        <x:v>30</x:v>
      </x:c>
      <x:c r="L404" s="10" t="n">
        <x:f>SUM(XLOOKUP('포켓몬_편집'!$AF404:$AN404,'분류_규칙'!$A$5:$A$76,'분류_규칙'!$L$5:$L$76,0))</x:f>
        <x:v>0</x:v>
      </x:c>
      <x:c r="M404" s="10" t="n">
        <x:f>SUM(XLOOKUP('포켓몬_편집'!$AF404:$AN404,'분류_규칙'!$A$5:$A$76,'분류_규칙'!$M$5:$M$76,0))</x:f>
        <x:v>0</x:v>
      </x:c>
      <x:c r="N404" s="10" t="n">
        <x:f>SUM(XLOOKUP('포켓몬_편집'!$AF404:$AN404,'분류_규칙'!$A$5:$A$76,'분류_규칙'!$N$5:$N$76,0))</x:f>
        <x:v>0</x:v>
      </x:c>
      <x:c r="O404" s="10" t="n">
        <x:f>SUM(XLOOKUP('포켓몬_편집'!$AF404:$AN404,'분류_규칙'!$A$5:$A$76,'분류_규칙'!$O$5:$O$76,0))</x:f>
        <x:v>0</x:v>
      </x:c>
      <x:c r="P404" s="10" t="n">
        <x:f>SUM(XLOOKUP('포켓몬_편집'!$AF404:$AN404,'분류_규칙'!$A$5:$A$76,'분류_규칙'!$P$5:$P$76,0))</x:f>
        <x:v>0</x:v>
      </x:c>
    </x:row>
    <x:row r="405" ht="22" customHeight="1">
      <x:c r="A405" s="5" t="n">
        <x:v>401</x:v>
      </x:c>
      <x:c r="B405" s="5" t="inlineStr">
        <x:is>
          <x:t xml:space="preserve">귀뚤뚜기</x:t>
        </x:is>
      </x:c>
      <x:c r="C405" s="5" t="inlineStr">
        <x:is>
          <x:t xml:space="preserve">kricketot</x:t>
        </x:is>
      </x:c>
      <x:c r="D405" s="5" t="n">
        <x:v>4</x:v>
      </x:c>
      <x:c r="E405" s="10" t="n">
        <x:f>SUM(XLOOKUP('포켓몬_편집'!$AF405:$AN405,'분류_규칙'!$A$5:$A$76,'분류_규칙'!$E$5:$E$76,0))</x:f>
        <x:v>10</x:v>
      </x:c>
      <x:c r="F405" s="10" t="n">
        <x:f>SUM(XLOOKUP('포켓몬_편집'!$AF405:$AN405,'분류_규칙'!$A$5:$A$76,'분류_규칙'!$F$5:$F$76,0))</x:f>
        <x:v>7</x:v>
      </x:c>
      <x:c r="G405" s="10" t="n">
        <x:f>SUM(XLOOKUP('포켓몬_편집'!$AF405:$AN405,'분류_규칙'!$A$5:$A$76,'분류_규칙'!$G$5:$G$76,0))</x:f>
        <x:v>5</x:v>
      </x:c>
      <x:c r="H405" s="10" t="n">
        <x:f>SUM(XLOOKUP('포켓몬_편집'!$AF405:$AN405,'분류_규칙'!$A$5:$A$76,'분류_규칙'!$H$5:$H$76,0))</x:f>
        <x:v>5</x:v>
      </x:c>
      <x:c r="I405" s="10" t="n">
        <x:f>SUM(XLOOKUP('포켓몬_편집'!$AF405:$AN405,'분류_규칙'!$A$5:$A$76,'분류_규칙'!$I$5:$I$76,0))</x:f>
        <x:v>0</x:v>
      </x:c>
      <x:c r="J405" s="10" t="n">
        <x:f>SUM(XLOOKUP('포켓몬_편집'!$AF405:$AN405,'분류_규칙'!$A$5:$A$76,'분류_규칙'!$J$5:$J$76,0))</x:f>
        <x:v>2</x:v>
      </x:c>
      <x:c r="K405" s="10" t="n">
        <x:f>SUM(XLOOKUP('포켓몬_편집'!$AF405:$AN405,'분류_규칙'!$A$5:$A$76,'분류_규칙'!$K$5:$K$76,0))</x:f>
        <x:v>0</x:v>
      </x:c>
      <x:c r="L405" s="10" t="n">
        <x:f>SUM(XLOOKUP('포켓몬_편집'!$AF405:$AN405,'분류_규칙'!$A$5:$A$76,'분류_규칙'!$L$5:$L$76,0))</x:f>
        <x:v>0</x:v>
      </x:c>
      <x:c r="M405" s="10" t="n">
        <x:f>SUM(XLOOKUP('포켓몬_편집'!$AF405:$AN405,'분류_규칙'!$A$5:$A$76,'분류_규칙'!$M$5:$M$76,0))</x:f>
        <x:v>0</x:v>
      </x:c>
      <x:c r="N405" s="10" t="n">
        <x:f>SUM(XLOOKUP('포켓몬_편집'!$AF405:$AN405,'분류_규칙'!$A$5:$A$76,'분류_규칙'!$N$5:$N$76,0))</x:f>
        <x:v>0</x:v>
      </x:c>
      <x:c r="O405" s="10" t="n">
        <x:f>SUM(XLOOKUP('포켓몬_편집'!$AF405:$AN405,'분류_규칙'!$A$5:$A$76,'분류_규칙'!$O$5:$O$76,0))</x:f>
        <x:v>2</x:v>
      </x:c>
      <x:c r="P405" s="10" t="n">
        <x:f>SUM(XLOOKUP('포켓몬_편집'!$AF405:$AN405,'분류_규칙'!$A$5:$A$76,'분류_규칙'!$P$5:$P$76,0))</x:f>
        <x:v>0</x:v>
      </x:c>
    </x:row>
    <x:row r="406" ht="22" customHeight="1">
      <x:c r="A406" s="5" t="n">
        <x:v>402</x:v>
      </x:c>
      <x:c r="B406" s="5" t="inlineStr">
        <x:is>
          <x:t xml:space="preserve">귀뚤톡크</x:t>
        </x:is>
      </x:c>
      <x:c r="C406" s="5" t="inlineStr">
        <x:is>
          <x:t xml:space="preserve">kricketune</x:t>
        </x:is>
      </x:c>
      <x:c r="D406" s="5" t="n">
        <x:v>4</x:v>
      </x:c>
      <x:c r="E406" s="10" t="n">
        <x:f>SUM(XLOOKUP('포켓몬_편집'!$AF406:$AN406,'분류_규칙'!$A$5:$A$76,'분류_규칙'!$E$5:$E$76,0))</x:f>
        <x:v>8</x:v>
      </x:c>
      <x:c r="F406" s="10" t="n">
        <x:f>SUM(XLOOKUP('포켓몬_편집'!$AF406:$AN406,'분류_규칙'!$A$5:$A$76,'분류_규칙'!$F$5:$F$76,0))</x:f>
        <x:v>8</x:v>
      </x:c>
      <x:c r="G406" s="10" t="n">
        <x:f>SUM(XLOOKUP('포켓몬_편집'!$AF406:$AN406,'분류_규칙'!$A$5:$A$76,'분류_규칙'!$G$5:$G$76,0))</x:f>
        <x:v>0</x:v>
      </x:c>
      <x:c r="H406" s="10" t="n">
        <x:f>SUM(XLOOKUP('포켓몬_편집'!$AF406:$AN406,'분류_규칙'!$A$5:$A$76,'분류_규칙'!$H$5:$H$76,0))</x:f>
        <x:v>12</x:v>
      </x:c>
      <x:c r="I406" s="10" t="n">
        <x:f>SUM(XLOOKUP('포켓몬_편집'!$AF406:$AN406,'분류_규칙'!$A$5:$A$76,'분류_규칙'!$I$5:$I$76,0))</x:f>
        <x:v>0</x:v>
      </x:c>
      <x:c r="J406" s="10" t="n">
        <x:f>SUM(XLOOKUP('포켓몬_편집'!$AF406:$AN406,'분류_규칙'!$A$5:$A$76,'분류_규칙'!$J$5:$J$76,0))</x:f>
        <x:v>0</x:v>
      </x:c>
      <x:c r="K406" s="10" t="n">
        <x:f>SUM(XLOOKUP('포켓몬_편집'!$AF406:$AN406,'분류_규칙'!$A$5:$A$76,'분류_규칙'!$K$5:$K$76,0))</x:f>
        <x:v>0</x:v>
      </x:c>
      <x:c r="L406" s="10" t="n">
        <x:f>SUM(XLOOKUP('포켓몬_편집'!$AF406:$AN406,'분류_규칙'!$A$5:$A$76,'분류_규칙'!$L$5:$L$76,0))</x:f>
        <x:v>3</x:v>
      </x:c>
      <x:c r="M406" s="10" t="n">
        <x:f>SUM(XLOOKUP('포켓몬_편집'!$AF406:$AN406,'분류_규칙'!$A$5:$A$76,'분류_규칙'!$M$5:$M$76,0))</x:f>
        <x:v>0</x:v>
      </x:c>
      <x:c r="N406" s="10" t="n">
        <x:f>SUM(XLOOKUP('포켓몬_편집'!$AF406:$AN406,'분류_규칙'!$A$5:$A$76,'분류_규칙'!$N$5:$N$76,0))</x:f>
        <x:v>0</x:v>
      </x:c>
      <x:c r="O406" s="10" t="n">
        <x:f>SUM(XLOOKUP('포켓몬_편집'!$AF406:$AN406,'분류_규칙'!$A$5:$A$76,'분류_규칙'!$O$5:$O$76,0))</x:f>
        <x:v>2</x:v>
      </x:c>
      <x:c r="P406" s="10" t="n">
        <x:f>SUM(XLOOKUP('포켓몬_편집'!$AF406:$AN406,'분류_규칙'!$A$5:$A$76,'분류_규칙'!$P$5:$P$76,0))</x:f>
        <x:v>0</x:v>
      </x:c>
    </x:row>
    <x:row r="407" ht="22" customHeight="1">
      <x:c r="A407" s="5" t="n">
        <x:v>403</x:v>
      </x:c>
      <x:c r="B407" s="5" t="inlineStr">
        <x:is>
          <x:t xml:space="preserve">꼬링크</x:t>
        </x:is>
      </x:c>
      <x:c r="C407" s="5" t="inlineStr">
        <x:is>
          <x:t xml:space="preserve">shinx</x:t>
        </x:is>
      </x:c>
      <x:c r="D407" s="5" t="n">
        <x:v>4</x:v>
      </x:c>
      <x:c r="E407" s="10" t="n">
        <x:f>SUM(XLOOKUP('포켓몬_편집'!$AF407:$AN407,'분류_규칙'!$A$5:$A$76,'분류_규칙'!$E$5:$E$76,0))</x:f>
        <x:v>10</x:v>
      </x:c>
      <x:c r="F407" s="10" t="n">
        <x:f>SUM(XLOOKUP('포켓몬_편집'!$AF407:$AN407,'분류_규칙'!$A$5:$A$76,'분류_규칙'!$F$5:$F$76,0))</x:f>
        <x:v>7</x:v>
      </x:c>
      <x:c r="G407" s="10" t="n">
        <x:f>SUM(XLOOKUP('포켓몬_편집'!$AF407:$AN407,'분류_규칙'!$A$5:$A$76,'분류_규칙'!$G$5:$G$76,0))</x:f>
        <x:v>5</x:v>
      </x:c>
      <x:c r="H407" s="10" t="n">
        <x:f>SUM(XLOOKUP('포켓몬_편집'!$AF407:$AN407,'분류_규칙'!$A$5:$A$76,'분류_규칙'!$H$5:$H$76,0))</x:f>
        <x:v>5</x:v>
      </x:c>
      <x:c r="I407" s="10" t="n">
        <x:f>SUM(XLOOKUP('포켓몬_편집'!$AF407:$AN407,'분류_규칙'!$A$5:$A$76,'분류_규칙'!$I$5:$I$76,0))</x:f>
        <x:v>0</x:v>
      </x:c>
      <x:c r="J407" s="10" t="n">
        <x:f>SUM(XLOOKUP('포켓몬_편집'!$AF407:$AN407,'분류_규칙'!$A$5:$A$76,'분류_규칙'!$J$5:$J$76,0))</x:f>
        <x:v>2</x:v>
      </x:c>
      <x:c r="K407" s="10" t="n">
        <x:f>SUM(XLOOKUP('포켓몬_편집'!$AF407:$AN407,'분류_규칙'!$A$5:$A$76,'분류_규칙'!$K$5:$K$76,0))</x:f>
        <x:v>0</x:v>
      </x:c>
      <x:c r="L407" s="10" t="n">
        <x:f>SUM(XLOOKUP('포켓몬_편집'!$AF407:$AN407,'분류_규칙'!$A$5:$A$76,'분류_규칙'!$L$5:$L$76,0))</x:f>
        <x:v>0</x:v>
      </x:c>
      <x:c r="M407" s="10" t="n">
        <x:f>SUM(XLOOKUP('포켓몬_편집'!$AF407:$AN407,'분류_규칙'!$A$5:$A$76,'분류_규칙'!$M$5:$M$76,0))</x:f>
        <x:v>0</x:v>
      </x:c>
      <x:c r="N407" s="10" t="n">
        <x:f>SUM(XLOOKUP('포켓몬_편집'!$AF407:$AN407,'분류_규칙'!$A$5:$A$76,'분류_규칙'!$N$5:$N$76,0))</x:f>
        <x:v>0</x:v>
      </x:c>
      <x:c r="O407" s="10" t="n">
        <x:f>SUM(XLOOKUP('포켓몬_편집'!$AF407:$AN407,'분류_규칙'!$A$5:$A$76,'분류_규칙'!$O$5:$O$76,0))</x:f>
        <x:v>2</x:v>
      </x:c>
      <x:c r="P407" s="10" t="n">
        <x:f>SUM(XLOOKUP('포켓몬_편집'!$AF407:$AN407,'분류_규칙'!$A$5:$A$76,'분류_규칙'!$P$5:$P$76,0))</x:f>
        <x:v>0</x:v>
      </x:c>
    </x:row>
    <x:row r="408" ht="22" customHeight="1">
      <x:c r="A408" s="5" t="n">
        <x:v>404</x:v>
      </x:c>
      <x:c r="B408" s="5" t="inlineStr">
        <x:is>
          <x:t xml:space="preserve">럭시오</x:t>
        </x:is>
      </x:c>
      <x:c r="C408" s="5" t="inlineStr">
        <x:is>
          <x:t xml:space="preserve">luxio</x:t>
        </x:is>
      </x:c>
      <x:c r="D408" s="5" t="n">
        <x:v>4</x:v>
      </x:c>
      <x:c r="E408" s="10" t="n">
        <x:f>SUM(XLOOKUP('포켓몬_편집'!$AF408:$AN408,'분류_규칙'!$A$5:$A$76,'분류_규칙'!$E$5:$E$76,0))</x:f>
        <x:v>10</x:v>
      </x:c>
      <x:c r="F408" s="10" t="n">
        <x:f>SUM(XLOOKUP('포켓몬_편집'!$AF408:$AN408,'분류_규칙'!$A$5:$A$76,'분류_규칙'!$F$5:$F$76,0))</x:f>
        <x:v>7</x:v>
      </x:c>
      <x:c r="G408" s="10" t="n">
        <x:f>SUM(XLOOKUP('포켓몬_편집'!$AF408:$AN408,'분류_규칙'!$A$5:$A$76,'분류_규칙'!$G$5:$G$76,0))</x:f>
        <x:v>5</x:v>
      </x:c>
      <x:c r="H408" s="10" t="n">
        <x:f>SUM(XLOOKUP('포켓몬_편집'!$AF408:$AN408,'분류_규칙'!$A$5:$A$76,'분류_규칙'!$H$5:$H$76,0))</x:f>
        <x:v>5</x:v>
      </x:c>
      <x:c r="I408" s="10" t="n">
        <x:f>SUM(XLOOKUP('포켓몬_편집'!$AF408:$AN408,'분류_규칙'!$A$5:$A$76,'분류_규칙'!$I$5:$I$76,0))</x:f>
        <x:v>0</x:v>
      </x:c>
      <x:c r="J408" s="10" t="n">
        <x:f>SUM(XLOOKUP('포켓몬_편집'!$AF408:$AN408,'분류_규칙'!$A$5:$A$76,'분류_규칙'!$J$5:$J$76,0))</x:f>
        <x:v>2</x:v>
      </x:c>
      <x:c r="K408" s="10" t="n">
        <x:f>SUM(XLOOKUP('포켓몬_편집'!$AF408:$AN408,'분류_규칙'!$A$5:$A$76,'분류_규칙'!$K$5:$K$76,0))</x:f>
        <x:v>0</x:v>
      </x:c>
      <x:c r="L408" s="10" t="n">
        <x:f>SUM(XLOOKUP('포켓몬_편집'!$AF408:$AN408,'분류_규칙'!$A$5:$A$76,'분류_규칙'!$L$5:$L$76,0))</x:f>
        <x:v>0</x:v>
      </x:c>
      <x:c r="M408" s="10" t="n">
        <x:f>SUM(XLOOKUP('포켓몬_편집'!$AF408:$AN408,'분류_규칙'!$A$5:$A$76,'분류_규칙'!$M$5:$M$76,0))</x:f>
        <x:v>0</x:v>
      </x:c>
      <x:c r="N408" s="10" t="n">
        <x:f>SUM(XLOOKUP('포켓몬_편집'!$AF408:$AN408,'분류_규칙'!$A$5:$A$76,'분류_규칙'!$N$5:$N$76,0))</x:f>
        <x:v>0</x:v>
      </x:c>
      <x:c r="O408" s="10" t="n">
        <x:f>SUM(XLOOKUP('포켓몬_편집'!$AF408:$AN408,'분류_규칙'!$A$5:$A$76,'분류_규칙'!$O$5:$O$76,0))</x:f>
        <x:v>2</x:v>
      </x:c>
      <x:c r="P408" s="10" t="n">
        <x:f>SUM(XLOOKUP('포켓몬_편집'!$AF408:$AN408,'분류_규칙'!$A$5:$A$76,'분류_규칙'!$P$5:$P$76,0))</x:f>
        <x:v>0</x:v>
      </x:c>
    </x:row>
    <x:row r="409" ht="22" customHeight="1">
      <x:c r="A409" s="5" t="n">
        <x:v>405</x:v>
      </x:c>
      <x:c r="B409" s="5" t="inlineStr">
        <x:is>
          <x:t xml:space="preserve">렌트라</x:t>
        </x:is>
      </x:c>
      <x:c r="C409" s="5" t="inlineStr">
        <x:is>
          <x:t xml:space="preserve">luxray</x:t>
        </x:is>
      </x:c>
      <x:c r="D409" s="5" t="n">
        <x:v>4</x:v>
      </x:c>
      <x:c r="E409" s="10" t="n">
        <x:f>SUM(XLOOKUP('포켓몬_편집'!$AF409:$AN409,'분류_규칙'!$A$5:$A$76,'분류_규칙'!$E$5:$E$76,0))</x:f>
        <x:v>10</x:v>
      </x:c>
      <x:c r="F409" s="10" t="n">
        <x:f>SUM(XLOOKUP('포켓몬_편집'!$AF409:$AN409,'분류_규칙'!$A$5:$A$76,'분류_규칙'!$F$5:$F$76,0))</x:f>
        <x:v>7</x:v>
      </x:c>
      <x:c r="G409" s="10" t="n">
        <x:f>SUM(XLOOKUP('포켓몬_편집'!$AF409:$AN409,'분류_규칙'!$A$5:$A$76,'분류_규칙'!$G$5:$G$76,0))</x:f>
        <x:v>5</x:v>
      </x:c>
      <x:c r="H409" s="10" t="n">
        <x:f>SUM(XLOOKUP('포켓몬_편집'!$AF409:$AN409,'분류_규칙'!$A$5:$A$76,'분류_규칙'!$H$5:$H$76,0))</x:f>
        <x:v>5</x:v>
      </x:c>
      <x:c r="I409" s="10" t="n">
        <x:f>SUM(XLOOKUP('포켓몬_편집'!$AF409:$AN409,'분류_규칙'!$A$5:$A$76,'분류_규칙'!$I$5:$I$76,0))</x:f>
        <x:v>0</x:v>
      </x:c>
      <x:c r="J409" s="10" t="n">
        <x:f>SUM(XLOOKUP('포켓몬_편집'!$AF409:$AN409,'분류_규칙'!$A$5:$A$76,'분류_규칙'!$J$5:$J$76,0))</x:f>
        <x:v>2</x:v>
      </x:c>
      <x:c r="K409" s="10" t="n">
        <x:f>SUM(XLOOKUP('포켓몬_편집'!$AF409:$AN409,'분류_규칙'!$A$5:$A$76,'분류_규칙'!$K$5:$K$76,0))</x:f>
        <x:v>0</x:v>
      </x:c>
      <x:c r="L409" s="10" t="n">
        <x:f>SUM(XLOOKUP('포켓몬_편집'!$AF409:$AN409,'분류_규칙'!$A$5:$A$76,'분류_규칙'!$L$5:$L$76,0))</x:f>
        <x:v>0</x:v>
      </x:c>
      <x:c r="M409" s="10" t="n">
        <x:f>SUM(XLOOKUP('포켓몬_편집'!$AF409:$AN409,'분류_규칙'!$A$5:$A$76,'분류_규칙'!$M$5:$M$76,0))</x:f>
        <x:v>0</x:v>
      </x:c>
      <x:c r="N409" s="10" t="n">
        <x:f>SUM(XLOOKUP('포켓몬_편집'!$AF409:$AN409,'분류_규칙'!$A$5:$A$76,'분류_규칙'!$N$5:$N$76,0))</x:f>
        <x:v>0</x:v>
      </x:c>
      <x:c r="O409" s="10" t="n">
        <x:f>SUM(XLOOKUP('포켓몬_편집'!$AF409:$AN409,'분류_규칙'!$A$5:$A$76,'분류_규칙'!$O$5:$O$76,0))</x:f>
        <x:v>2</x:v>
      </x:c>
      <x:c r="P409" s="10" t="n">
        <x:f>SUM(XLOOKUP('포켓몬_편집'!$AF409:$AN409,'분류_규칙'!$A$5:$A$76,'분류_규칙'!$P$5:$P$76,0))</x:f>
        <x:v>0</x:v>
      </x:c>
    </x:row>
    <x:row r="410" ht="22" customHeight="1">
      <x:c r="A410" s="5" t="n">
        <x:v>406</x:v>
      </x:c>
      <x:c r="B410" s="5" t="inlineStr">
        <x:is>
          <x:t xml:space="preserve">꼬몽울</x:t>
        </x:is>
      </x:c>
      <x:c r="C410" s="5" t="inlineStr">
        <x:is>
          <x:t xml:space="preserve">budew</x:t>
        </x:is>
      </x:c>
      <x:c r="D410" s="5" t="n">
        <x:v>4</x:v>
      </x:c>
      <x:c r="E410" s="10" t="n">
        <x:f>SUM(XLOOKUP('포켓몬_편집'!$AF410:$AN410,'분류_규칙'!$A$5:$A$76,'분류_규칙'!$E$5:$E$76,0))</x:f>
        <x:v>10</x:v>
      </x:c>
      <x:c r="F410" s="10" t="n">
        <x:f>SUM(XLOOKUP('포켓몬_편집'!$AF410:$AN410,'분류_규칙'!$A$5:$A$76,'분류_규칙'!$F$5:$F$76,0))</x:f>
        <x:v>7</x:v>
      </x:c>
      <x:c r="G410" s="10" t="n">
        <x:f>SUM(XLOOKUP('포켓몬_편집'!$AF410:$AN410,'분류_규칙'!$A$5:$A$76,'분류_규칙'!$G$5:$G$76,0))</x:f>
        <x:v>5</x:v>
      </x:c>
      <x:c r="H410" s="10" t="n">
        <x:f>SUM(XLOOKUP('포켓몬_편집'!$AF410:$AN410,'분류_규칙'!$A$5:$A$76,'분류_규칙'!$H$5:$H$76,0))</x:f>
        <x:v>5</x:v>
      </x:c>
      <x:c r="I410" s="10" t="n">
        <x:f>SUM(XLOOKUP('포켓몬_편집'!$AF410:$AN410,'분류_규칙'!$A$5:$A$76,'분류_규칙'!$I$5:$I$76,0))</x:f>
        <x:v>0</x:v>
      </x:c>
      <x:c r="J410" s="10" t="n">
        <x:f>SUM(XLOOKUP('포켓몬_편집'!$AF410:$AN410,'분류_규칙'!$A$5:$A$76,'분류_규칙'!$J$5:$J$76,0))</x:f>
        <x:v>2</x:v>
      </x:c>
      <x:c r="K410" s="10" t="n">
        <x:f>SUM(XLOOKUP('포켓몬_편집'!$AF410:$AN410,'분류_규칙'!$A$5:$A$76,'분류_규칙'!$K$5:$K$76,0))</x:f>
        <x:v>0</x:v>
      </x:c>
      <x:c r="L410" s="10" t="n">
        <x:f>SUM(XLOOKUP('포켓몬_편집'!$AF410:$AN410,'분류_규칙'!$A$5:$A$76,'분류_규칙'!$L$5:$L$76,0))</x:f>
        <x:v>0</x:v>
      </x:c>
      <x:c r="M410" s="10" t="n">
        <x:f>SUM(XLOOKUP('포켓몬_편집'!$AF410:$AN410,'분류_규칙'!$A$5:$A$76,'분류_규칙'!$M$5:$M$76,0))</x:f>
        <x:v>0</x:v>
      </x:c>
      <x:c r="N410" s="10" t="n">
        <x:f>SUM(XLOOKUP('포켓몬_편집'!$AF410:$AN410,'분류_규칙'!$A$5:$A$76,'분류_규칙'!$N$5:$N$76,0))</x:f>
        <x:v>0</x:v>
      </x:c>
      <x:c r="O410" s="10" t="n">
        <x:f>SUM(XLOOKUP('포켓몬_편집'!$AF410:$AN410,'분류_규칙'!$A$5:$A$76,'분류_규칙'!$O$5:$O$76,0))</x:f>
        <x:v>2</x:v>
      </x:c>
      <x:c r="P410" s="10" t="n">
        <x:f>SUM(XLOOKUP('포켓몬_편집'!$AF410:$AN410,'분류_규칙'!$A$5:$A$76,'분류_규칙'!$P$5:$P$76,0))</x:f>
        <x:v>0</x:v>
      </x:c>
    </x:row>
    <x:row r="411" ht="22" customHeight="1">
      <x:c r="A411" s="5" t="n">
        <x:v>407</x:v>
      </x:c>
      <x:c r="B411" s="5" t="inlineStr">
        <x:is>
          <x:t xml:space="preserve">로즈레이드</x:t>
        </x:is>
      </x:c>
      <x:c r="C411" s="5" t="inlineStr">
        <x:is>
          <x:t xml:space="preserve">roserade</x:t>
        </x:is>
      </x:c>
      <x:c r="D411" s="5" t="n">
        <x:v>4</x:v>
      </x:c>
      <x:c r="E411" s="10" t="n">
        <x:f>SUM(XLOOKUP('포켓몬_편집'!$AF411:$AN411,'분류_규칙'!$A$5:$A$76,'분류_규칙'!$E$5:$E$76,0))</x:f>
        <x:v>10</x:v>
      </x:c>
      <x:c r="F411" s="10" t="n">
        <x:f>SUM(XLOOKUP('포켓몬_편집'!$AF411:$AN411,'분류_규칙'!$A$5:$A$76,'분류_규칙'!$F$5:$F$76,0))</x:f>
        <x:v>7</x:v>
      </x:c>
      <x:c r="G411" s="10" t="n">
        <x:f>SUM(XLOOKUP('포켓몬_편집'!$AF411:$AN411,'분류_규칙'!$A$5:$A$76,'분류_규칙'!$G$5:$G$76,0))</x:f>
        <x:v>5</x:v>
      </x:c>
      <x:c r="H411" s="10" t="n">
        <x:f>SUM(XLOOKUP('포켓몬_편집'!$AF411:$AN411,'분류_규칙'!$A$5:$A$76,'분류_규칙'!$H$5:$H$76,0))</x:f>
        <x:v>5</x:v>
      </x:c>
      <x:c r="I411" s="10" t="n">
        <x:f>SUM(XLOOKUP('포켓몬_편집'!$AF411:$AN411,'분류_규칙'!$A$5:$A$76,'분류_규칙'!$I$5:$I$76,0))</x:f>
        <x:v>0</x:v>
      </x:c>
      <x:c r="J411" s="10" t="n">
        <x:f>SUM(XLOOKUP('포켓몬_편집'!$AF411:$AN411,'분류_규칙'!$A$5:$A$76,'분류_규칙'!$J$5:$J$76,0))</x:f>
        <x:v>2</x:v>
      </x:c>
      <x:c r="K411" s="10" t="n">
        <x:f>SUM(XLOOKUP('포켓몬_편집'!$AF411:$AN411,'분류_규칙'!$A$5:$A$76,'분류_규칙'!$K$5:$K$76,0))</x:f>
        <x:v>0</x:v>
      </x:c>
      <x:c r="L411" s="10" t="n">
        <x:f>SUM(XLOOKUP('포켓몬_편집'!$AF411:$AN411,'분류_규칙'!$A$5:$A$76,'분류_규칙'!$L$5:$L$76,0))</x:f>
        <x:v>0</x:v>
      </x:c>
      <x:c r="M411" s="10" t="n">
        <x:f>SUM(XLOOKUP('포켓몬_편집'!$AF411:$AN411,'분류_규칙'!$A$5:$A$76,'분류_규칙'!$M$5:$M$76,0))</x:f>
        <x:v>0</x:v>
      </x:c>
      <x:c r="N411" s="10" t="n">
        <x:f>SUM(XLOOKUP('포켓몬_편집'!$AF411:$AN411,'분류_규칙'!$A$5:$A$76,'분류_규칙'!$N$5:$N$76,0))</x:f>
        <x:v>0</x:v>
      </x:c>
      <x:c r="O411" s="10" t="n">
        <x:f>SUM(XLOOKUP('포켓몬_편집'!$AF411:$AN411,'분류_규칙'!$A$5:$A$76,'분류_규칙'!$O$5:$O$76,0))</x:f>
        <x:v>2</x:v>
      </x:c>
      <x:c r="P411" s="10" t="n">
        <x:f>SUM(XLOOKUP('포켓몬_편집'!$AF411:$AN411,'분류_규칙'!$A$5:$A$76,'분류_규칙'!$P$5:$P$76,0))</x:f>
        <x:v>0</x:v>
      </x:c>
    </x:row>
    <x:row r="412" ht="22" customHeight="1">
      <x:c r="A412" s="5" t="n">
        <x:v>408</x:v>
      </x:c>
      <x:c r="B412" s="5" t="inlineStr">
        <x:is>
          <x:t xml:space="preserve">두개도스</x:t>
        </x:is>
      </x:c>
      <x:c r="C412" s="5" t="inlineStr">
        <x:is>
          <x:t xml:space="preserve">cranidos</x:t>
        </x:is>
      </x:c>
      <x:c r="D412" s="5" t="n">
        <x:v>4</x:v>
      </x:c>
      <x:c r="E412" s="10" t="n">
        <x:f>SUM(XLOOKUP('포켓몬_편집'!$AF412:$AN412,'분류_규칙'!$A$5:$A$76,'분류_규칙'!$E$5:$E$76,0))</x:f>
        <x:v>10</x:v>
      </x:c>
      <x:c r="F412" s="10" t="n">
        <x:f>SUM(XLOOKUP('포켓몬_편집'!$AF412:$AN412,'분류_규칙'!$A$5:$A$76,'분류_규칙'!$F$5:$F$76,0))</x:f>
        <x:v>7</x:v>
      </x:c>
      <x:c r="G412" s="10" t="n">
        <x:f>SUM(XLOOKUP('포켓몬_편집'!$AF412:$AN412,'분류_규칙'!$A$5:$A$76,'분류_규칙'!$G$5:$G$76,0))</x:f>
        <x:v>5</x:v>
      </x:c>
      <x:c r="H412" s="10" t="n">
        <x:f>SUM(XLOOKUP('포켓몬_편집'!$AF412:$AN412,'분류_규칙'!$A$5:$A$76,'분류_규칙'!$H$5:$H$76,0))</x:f>
        <x:v>5</x:v>
      </x:c>
      <x:c r="I412" s="10" t="n">
        <x:f>SUM(XLOOKUP('포켓몬_편집'!$AF412:$AN412,'분류_규칙'!$A$5:$A$76,'분류_규칙'!$I$5:$I$76,0))</x:f>
        <x:v>0</x:v>
      </x:c>
      <x:c r="J412" s="10" t="n">
        <x:f>SUM(XLOOKUP('포켓몬_편집'!$AF412:$AN412,'분류_규칙'!$A$5:$A$76,'분류_규칙'!$J$5:$J$76,0))</x:f>
        <x:v>2</x:v>
      </x:c>
      <x:c r="K412" s="10" t="n">
        <x:f>SUM(XLOOKUP('포켓몬_편집'!$AF412:$AN412,'분류_규칙'!$A$5:$A$76,'분류_규칙'!$K$5:$K$76,0))</x:f>
        <x:v>0</x:v>
      </x:c>
      <x:c r="L412" s="10" t="n">
        <x:f>SUM(XLOOKUP('포켓몬_편집'!$AF412:$AN412,'분류_규칙'!$A$5:$A$76,'분류_규칙'!$L$5:$L$76,0))</x:f>
        <x:v>0</x:v>
      </x:c>
      <x:c r="M412" s="10" t="n">
        <x:f>SUM(XLOOKUP('포켓몬_편집'!$AF412:$AN412,'분류_규칙'!$A$5:$A$76,'분류_규칙'!$M$5:$M$76,0))</x:f>
        <x:v>0</x:v>
      </x:c>
      <x:c r="N412" s="10" t="n">
        <x:f>SUM(XLOOKUP('포켓몬_편집'!$AF412:$AN412,'분류_규칙'!$A$5:$A$76,'분류_규칙'!$N$5:$N$76,0))</x:f>
        <x:v>0</x:v>
      </x:c>
      <x:c r="O412" s="10" t="n">
        <x:f>SUM(XLOOKUP('포켓몬_편집'!$AF412:$AN412,'분류_규칙'!$A$5:$A$76,'분류_규칙'!$O$5:$O$76,0))</x:f>
        <x:v>2</x:v>
      </x:c>
      <x:c r="P412" s="10" t="n">
        <x:f>SUM(XLOOKUP('포켓몬_편집'!$AF412:$AN412,'분류_규칙'!$A$5:$A$76,'분류_규칙'!$P$5:$P$76,0))</x:f>
        <x:v>0</x:v>
      </x:c>
    </x:row>
    <x:row r="413" ht="22" customHeight="1">
      <x:c r="A413" s="5" t="n">
        <x:v>409</x:v>
      </x:c>
      <x:c r="B413" s="5" t="inlineStr">
        <x:is>
          <x:t xml:space="preserve">램펄드</x:t>
        </x:is>
      </x:c>
      <x:c r="C413" s="5" t="inlineStr">
        <x:is>
          <x:t xml:space="preserve">rampardos</x:t>
        </x:is>
      </x:c>
      <x:c r="D413" s="5" t="n">
        <x:v>4</x:v>
      </x:c>
      <x:c r="E413" s="10" t="n">
        <x:f>SUM(XLOOKUP('포켓몬_편집'!$AF413:$AN413,'분류_규칙'!$A$5:$A$76,'분류_규칙'!$E$5:$E$76,0))</x:f>
        <x:v>10</x:v>
      </x:c>
      <x:c r="F413" s="10" t="n">
        <x:f>SUM(XLOOKUP('포켓몬_편집'!$AF413:$AN413,'분류_규칙'!$A$5:$A$76,'분류_규칙'!$F$5:$F$76,0))</x:f>
        <x:v>7</x:v>
      </x:c>
      <x:c r="G413" s="10" t="n">
        <x:f>SUM(XLOOKUP('포켓몬_편집'!$AF413:$AN413,'분류_규칙'!$A$5:$A$76,'분류_규칙'!$G$5:$G$76,0))</x:f>
        <x:v>5</x:v>
      </x:c>
      <x:c r="H413" s="10" t="n">
        <x:f>SUM(XLOOKUP('포켓몬_편집'!$AF413:$AN413,'분류_규칙'!$A$5:$A$76,'분류_규칙'!$H$5:$H$76,0))</x:f>
        <x:v>5</x:v>
      </x:c>
      <x:c r="I413" s="10" t="n">
        <x:f>SUM(XLOOKUP('포켓몬_편집'!$AF413:$AN413,'분류_규칙'!$A$5:$A$76,'분류_규칙'!$I$5:$I$76,0))</x:f>
        <x:v>0</x:v>
      </x:c>
      <x:c r="J413" s="10" t="n">
        <x:f>SUM(XLOOKUP('포켓몬_편집'!$AF413:$AN413,'분류_규칙'!$A$5:$A$76,'분류_규칙'!$J$5:$J$76,0))</x:f>
        <x:v>2</x:v>
      </x:c>
      <x:c r="K413" s="10" t="n">
        <x:f>SUM(XLOOKUP('포켓몬_편집'!$AF413:$AN413,'분류_규칙'!$A$5:$A$76,'분류_규칙'!$K$5:$K$76,0))</x:f>
        <x:v>0</x:v>
      </x:c>
      <x:c r="L413" s="10" t="n">
        <x:f>SUM(XLOOKUP('포켓몬_편집'!$AF413:$AN413,'분류_규칙'!$A$5:$A$76,'분류_규칙'!$L$5:$L$76,0))</x:f>
        <x:v>0</x:v>
      </x:c>
      <x:c r="M413" s="10" t="n">
        <x:f>SUM(XLOOKUP('포켓몬_편집'!$AF413:$AN413,'분류_규칙'!$A$5:$A$76,'분류_규칙'!$M$5:$M$76,0))</x:f>
        <x:v>0</x:v>
      </x:c>
      <x:c r="N413" s="10" t="n">
        <x:f>SUM(XLOOKUP('포켓몬_편집'!$AF413:$AN413,'분류_규칙'!$A$5:$A$76,'분류_규칙'!$N$5:$N$76,0))</x:f>
        <x:v>0</x:v>
      </x:c>
      <x:c r="O413" s="10" t="n">
        <x:f>SUM(XLOOKUP('포켓몬_편집'!$AF413:$AN413,'분류_규칙'!$A$5:$A$76,'분류_규칙'!$O$5:$O$76,0))</x:f>
        <x:v>2</x:v>
      </x:c>
      <x:c r="P413" s="10" t="n">
        <x:f>SUM(XLOOKUP('포켓몬_편집'!$AF413:$AN413,'분류_규칙'!$A$5:$A$76,'분류_규칙'!$P$5:$P$76,0))</x:f>
        <x:v>0</x:v>
      </x:c>
    </x:row>
    <x:row r="414" ht="22" customHeight="1">
      <x:c r="A414" s="5" t="n">
        <x:v>410</x:v>
      </x:c>
      <x:c r="B414" s="5" t="inlineStr">
        <x:is>
          <x:t xml:space="preserve">방패톱스</x:t>
        </x:is>
      </x:c>
      <x:c r="C414" s="5" t="inlineStr">
        <x:is>
          <x:t xml:space="preserve">shieldon</x:t>
        </x:is>
      </x:c>
      <x:c r="D414" s="5" t="n">
        <x:v>4</x:v>
      </x:c>
      <x:c r="E414" s="10" t="n">
        <x:f>SUM(XLOOKUP('포켓몬_편집'!$AF414:$AN414,'분류_규칙'!$A$5:$A$76,'분류_규칙'!$E$5:$E$76,0))</x:f>
        <x:v>10</x:v>
      </x:c>
      <x:c r="F414" s="10" t="n">
        <x:f>SUM(XLOOKUP('포켓몬_편집'!$AF414:$AN414,'분류_규칙'!$A$5:$A$76,'분류_규칙'!$F$5:$F$76,0))</x:f>
        <x:v>7</x:v>
      </x:c>
      <x:c r="G414" s="10" t="n">
        <x:f>SUM(XLOOKUP('포켓몬_편집'!$AF414:$AN414,'분류_규칙'!$A$5:$A$76,'분류_규칙'!$G$5:$G$76,0))</x:f>
        <x:v>5</x:v>
      </x:c>
      <x:c r="H414" s="10" t="n">
        <x:f>SUM(XLOOKUP('포켓몬_편집'!$AF414:$AN414,'분류_규칙'!$A$5:$A$76,'분류_규칙'!$H$5:$H$76,0))</x:f>
        <x:v>5</x:v>
      </x:c>
      <x:c r="I414" s="10" t="n">
        <x:f>SUM(XLOOKUP('포켓몬_편집'!$AF414:$AN414,'분류_규칙'!$A$5:$A$76,'분류_규칙'!$I$5:$I$76,0))</x:f>
        <x:v>0</x:v>
      </x:c>
      <x:c r="J414" s="10" t="n">
        <x:f>SUM(XLOOKUP('포켓몬_편집'!$AF414:$AN414,'분류_규칙'!$A$5:$A$76,'분류_규칙'!$J$5:$J$76,0))</x:f>
        <x:v>2</x:v>
      </x:c>
      <x:c r="K414" s="10" t="n">
        <x:f>SUM(XLOOKUP('포켓몬_편집'!$AF414:$AN414,'분류_규칙'!$A$5:$A$76,'분류_규칙'!$K$5:$K$76,0))</x:f>
        <x:v>0</x:v>
      </x:c>
      <x:c r="L414" s="10" t="n">
        <x:f>SUM(XLOOKUP('포켓몬_편집'!$AF414:$AN414,'분류_규칙'!$A$5:$A$76,'분류_규칙'!$L$5:$L$76,0))</x:f>
        <x:v>0</x:v>
      </x:c>
      <x:c r="M414" s="10" t="n">
        <x:f>SUM(XLOOKUP('포켓몬_편집'!$AF414:$AN414,'분류_규칙'!$A$5:$A$76,'분류_규칙'!$M$5:$M$76,0))</x:f>
        <x:v>0</x:v>
      </x:c>
      <x:c r="N414" s="10" t="n">
        <x:f>SUM(XLOOKUP('포켓몬_편집'!$AF414:$AN414,'분류_규칙'!$A$5:$A$76,'분류_규칙'!$N$5:$N$76,0))</x:f>
        <x:v>0</x:v>
      </x:c>
      <x:c r="O414" s="10" t="n">
        <x:f>SUM(XLOOKUP('포켓몬_편집'!$AF414:$AN414,'분류_규칙'!$A$5:$A$76,'분류_규칙'!$O$5:$O$76,0))</x:f>
        <x:v>2</x:v>
      </x:c>
      <x:c r="P414" s="10" t="n">
        <x:f>SUM(XLOOKUP('포켓몬_편집'!$AF414:$AN414,'분류_규칙'!$A$5:$A$76,'분류_규칙'!$P$5:$P$76,0))</x:f>
        <x:v>0</x:v>
      </x:c>
    </x:row>
    <x:row r="415" ht="22" customHeight="1">
      <x:c r="A415" s="5" t="n">
        <x:v>411</x:v>
      </x:c>
      <x:c r="B415" s="5" t="inlineStr">
        <x:is>
          <x:t xml:space="preserve">바리톱스</x:t>
        </x:is>
      </x:c>
      <x:c r="C415" s="5" t="inlineStr">
        <x:is>
          <x:t xml:space="preserve">bastiodon</x:t>
        </x:is>
      </x:c>
      <x:c r="D415" s="5" t="n">
        <x:v>4</x:v>
      </x:c>
      <x:c r="E415" s="10" t="n">
        <x:f>SUM(XLOOKUP('포켓몬_편집'!$AF415:$AN415,'분류_규칙'!$A$5:$A$76,'분류_규칙'!$E$5:$E$76,0))</x:f>
        <x:v>10</x:v>
      </x:c>
      <x:c r="F415" s="10" t="n">
        <x:f>SUM(XLOOKUP('포켓몬_편집'!$AF415:$AN415,'분류_규칙'!$A$5:$A$76,'분류_규칙'!$F$5:$F$76,0))</x:f>
        <x:v>7</x:v>
      </x:c>
      <x:c r="G415" s="10" t="n">
        <x:f>SUM(XLOOKUP('포켓몬_편집'!$AF415:$AN415,'분류_규칙'!$A$5:$A$76,'분류_규칙'!$G$5:$G$76,0))</x:f>
        <x:v>5</x:v>
      </x:c>
      <x:c r="H415" s="10" t="n">
        <x:f>SUM(XLOOKUP('포켓몬_편집'!$AF415:$AN415,'분류_규칙'!$A$5:$A$76,'분류_규칙'!$H$5:$H$76,0))</x:f>
        <x:v>5</x:v>
      </x:c>
      <x:c r="I415" s="10" t="n">
        <x:f>SUM(XLOOKUP('포켓몬_편집'!$AF415:$AN415,'분류_규칙'!$A$5:$A$76,'분류_규칙'!$I$5:$I$76,0))</x:f>
        <x:v>0</x:v>
      </x:c>
      <x:c r="J415" s="10" t="n">
        <x:f>SUM(XLOOKUP('포켓몬_편집'!$AF415:$AN415,'분류_규칙'!$A$5:$A$76,'분류_규칙'!$J$5:$J$76,0))</x:f>
        <x:v>2</x:v>
      </x:c>
      <x:c r="K415" s="10" t="n">
        <x:f>SUM(XLOOKUP('포켓몬_편집'!$AF415:$AN415,'분류_규칙'!$A$5:$A$76,'분류_규칙'!$K$5:$K$76,0))</x:f>
        <x:v>0</x:v>
      </x:c>
      <x:c r="L415" s="10" t="n">
        <x:f>SUM(XLOOKUP('포켓몬_편집'!$AF415:$AN415,'분류_규칙'!$A$5:$A$76,'분류_규칙'!$L$5:$L$76,0))</x:f>
        <x:v>0</x:v>
      </x:c>
      <x:c r="M415" s="10" t="n">
        <x:f>SUM(XLOOKUP('포켓몬_편집'!$AF415:$AN415,'분류_규칙'!$A$5:$A$76,'분류_규칙'!$M$5:$M$76,0))</x:f>
        <x:v>0</x:v>
      </x:c>
      <x:c r="N415" s="10" t="n">
        <x:f>SUM(XLOOKUP('포켓몬_편집'!$AF415:$AN415,'분류_규칙'!$A$5:$A$76,'분류_규칙'!$N$5:$N$76,0))</x:f>
        <x:v>0</x:v>
      </x:c>
      <x:c r="O415" s="10" t="n">
        <x:f>SUM(XLOOKUP('포켓몬_편집'!$AF415:$AN415,'분류_규칙'!$A$5:$A$76,'분류_규칙'!$O$5:$O$76,0))</x:f>
        <x:v>2</x:v>
      </x:c>
      <x:c r="P415" s="10" t="n">
        <x:f>SUM(XLOOKUP('포켓몬_편집'!$AF415:$AN415,'분류_규칙'!$A$5:$A$76,'분류_규칙'!$P$5:$P$76,0))</x:f>
        <x:v>0</x:v>
      </x:c>
    </x:row>
    <x:row r="416" ht="22" customHeight="1">
      <x:c r="A416" s="5" t="n">
        <x:v>412</x:v>
      </x:c>
      <x:c r="B416" s="5" t="inlineStr">
        <x:is>
          <x:t xml:space="preserve">도롱충이</x:t>
        </x:is>
      </x:c>
      <x:c r="C416" s="5" t="inlineStr">
        <x:is>
          <x:t xml:space="preserve">burmy</x:t>
        </x:is>
      </x:c>
      <x:c r="D416" s="5" t="n">
        <x:v>4</x:v>
      </x:c>
      <x:c r="E416" s="10" t="n">
        <x:f>SUM(XLOOKUP('포켓몬_편집'!$AF416:$AN416,'분류_규칙'!$A$5:$A$76,'분류_규칙'!$E$5:$E$76,0))</x:f>
        <x:v>10</x:v>
      </x:c>
      <x:c r="F416" s="10" t="n">
        <x:f>SUM(XLOOKUP('포켓몬_편집'!$AF416:$AN416,'분류_규칙'!$A$5:$A$76,'분류_규칙'!$F$5:$F$76,0))</x:f>
        <x:v>7</x:v>
      </x:c>
      <x:c r="G416" s="10" t="n">
        <x:f>SUM(XLOOKUP('포켓몬_편집'!$AF416:$AN416,'분류_규칙'!$A$5:$A$76,'분류_규칙'!$G$5:$G$76,0))</x:f>
        <x:v>5</x:v>
      </x:c>
      <x:c r="H416" s="10" t="n">
        <x:f>SUM(XLOOKUP('포켓몬_편집'!$AF416:$AN416,'분류_규칙'!$A$5:$A$76,'분류_규칙'!$H$5:$H$76,0))</x:f>
        <x:v>5</x:v>
      </x:c>
      <x:c r="I416" s="10" t="n">
        <x:f>SUM(XLOOKUP('포켓몬_편집'!$AF416:$AN416,'분류_규칙'!$A$5:$A$76,'분류_규칙'!$I$5:$I$76,0))</x:f>
        <x:v>0</x:v>
      </x:c>
      <x:c r="J416" s="10" t="n">
        <x:f>SUM(XLOOKUP('포켓몬_편집'!$AF416:$AN416,'분류_규칙'!$A$5:$A$76,'분류_규칙'!$J$5:$J$76,0))</x:f>
        <x:v>2</x:v>
      </x:c>
      <x:c r="K416" s="10" t="n">
        <x:f>SUM(XLOOKUP('포켓몬_편집'!$AF416:$AN416,'분류_규칙'!$A$5:$A$76,'분류_규칙'!$K$5:$K$76,0))</x:f>
        <x:v>0</x:v>
      </x:c>
      <x:c r="L416" s="10" t="n">
        <x:f>SUM(XLOOKUP('포켓몬_편집'!$AF416:$AN416,'분류_규칙'!$A$5:$A$76,'분류_규칙'!$L$5:$L$76,0))</x:f>
        <x:v>0</x:v>
      </x:c>
      <x:c r="M416" s="10" t="n">
        <x:f>SUM(XLOOKUP('포켓몬_편집'!$AF416:$AN416,'분류_규칙'!$A$5:$A$76,'분류_규칙'!$M$5:$M$76,0))</x:f>
        <x:v>0</x:v>
      </x:c>
      <x:c r="N416" s="10" t="n">
        <x:f>SUM(XLOOKUP('포켓몬_편집'!$AF416:$AN416,'분류_규칙'!$A$5:$A$76,'분류_규칙'!$N$5:$N$76,0))</x:f>
        <x:v>0</x:v>
      </x:c>
      <x:c r="O416" s="10" t="n">
        <x:f>SUM(XLOOKUP('포켓몬_편집'!$AF416:$AN416,'분류_규칙'!$A$5:$A$76,'분류_규칙'!$O$5:$O$76,0))</x:f>
        <x:v>2</x:v>
      </x:c>
      <x:c r="P416" s="10" t="n">
        <x:f>SUM(XLOOKUP('포켓몬_편집'!$AF416:$AN416,'분류_규칙'!$A$5:$A$76,'분류_규칙'!$P$5:$P$76,0))</x:f>
        <x:v>0</x:v>
      </x:c>
    </x:row>
    <x:row r="417" ht="22" customHeight="1">
      <x:c r="A417" s="5" t="n">
        <x:v>413</x:v>
      </x:c>
      <x:c r="B417" s="5" t="inlineStr">
        <x:is>
          <x:t xml:space="preserve">도롱마담</x:t>
        </x:is>
      </x:c>
      <x:c r="C417" s="5" t="inlineStr">
        <x:is>
          <x:t xml:space="preserve">wormadam</x:t>
        </x:is>
      </x:c>
      <x:c r="D417" s="5" t="n">
        <x:v>4</x:v>
      </x:c>
      <x:c r="E417" s="10" t="n">
        <x:f>SUM(XLOOKUP('포켓몬_편집'!$AF417:$AN417,'분류_규칙'!$A$5:$A$76,'분류_규칙'!$E$5:$E$76,0))</x:f>
        <x:v>10</x:v>
      </x:c>
      <x:c r="F417" s="10" t="n">
        <x:f>SUM(XLOOKUP('포켓몬_편집'!$AF417:$AN417,'분류_규칙'!$A$5:$A$76,'분류_규칙'!$F$5:$F$76,0))</x:f>
        <x:v>7</x:v>
      </x:c>
      <x:c r="G417" s="10" t="n">
        <x:f>SUM(XLOOKUP('포켓몬_편집'!$AF417:$AN417,'분류_규칙'!$A$5:$A$76,'분류_규칙'!$G$5:$G$76,0))</x:f>
        <x:v>5</x:v>
      </x:c>
      <x:c r="H417" s="10" t="n">
        <x:f>SUM(XLOOKUP('포켓몬_편집'!$AF417:$AN417,'분류_규칙'!$A$5:$A$76,'분류_규칙'!$H$5:$H$76,0))</x:f>
        <x:v>5</x:v>
      </x:c>
      <x:c r="I417" s="10" t="n">
        <x:f>SUM(XLOOKUP('포켓몬_편집'!$AF417:$AN417,'분류_규칙'!$A$5:$A$76,'분류_규칙'!$I$5:$I$76,0))</x:f>
        <x:v>0</x:v>
      </x:c>
      <x:c r="J417" s="10" t="n">
        <x:f>SUM(XLOOKUP('포켓몬_편집'!$AF417:$AN417,'분류_규칙'!$A$5:$A$76,'분류_규칙'!$J$5:$J$76,0))</x:f>
        <x:v>2</x:v>
      </x:c>
      <x:c r="K417" s="10" t="n">
        <x:f>SUM(XLOOKUP('포켓몬_편집'!$AF417:$AN417,'분류_규칙'!$A$5:$A$76,'분류_규칙'!$K$5:$K$76,0))</x:f>
        <x:v>0</x:v>
      </x:c>
      <x:c r="L417" s="10" t="n">
        <x:f>SUM(XLOOKUP('포켓몬_편집'!$AF417:$AN417,'분류_규칙'!$A$5:$A$76,'분류_규칙'!$L$5:$L$76,0))</x:f>
        <x:v>0</x:v>
      </x:c>
      <x:c r="M417" s="10" t="n">
        <x:f>SUM(XLOOKUP('포켓몬_편집'!$AF417:$AN417,'분류_규칙'!$A$5:$A$76,'분류_규칙'!$M$5:$M$76,0))</x:f>
        <x:v>0</x:v>
      </x:c>
      <x:c r="N417" s="10" t="n">
        <x:f>SUM(XLOOKUP('포켓몬_편집'!$AF417:$AN417,'분류_규칙'!$A$5:$A$76,'분류_규칙'!$N$5:$N$76,0))</x:f>
        <x:v>0</x:v>
      </x:c>
      <x:c r="O417" s="10" t="n">
        <x:f>SUM(XLOOKUP('포켓몬_편집'!$AF417:$AN417,'분류_규칙'!$A$5:$A$76,'분류_규칙'!$O$5:$O$76,0))</x:f>
        <x:v>2</x:v>
      </x:c>
      <x:c r="P417" s="10" t="n">
        <x:f>SUM(XLOOKUP('포켓몬_편집'!$AF417:$AN417,'분류_규칙'!$A$5:$A$76,'분류_규칙'!$P$5:$P$76,0))</x:f>
        <x:v>0</x:v>
      </x:c>
    </x:row>
    <x:row r="418" ht="22" customHeight="1">
      <x:c r="A418" s="5" t="n">
        <x:v>414</x:v>
      </x:c>
      <x:c r="B418" s="5" t="inlineStr">
        <x:is>
          <x:t xml:space="preserve">나메일</x:t>
        </x:is>
      </x:c>
      <x:c r="C418" s="5" t="inlineStr">
        <x:is>
          <x:t xml:space="preserve">mothim</x:t>
        </x:is>
      </x:c>
      <x:c r="D418" s="5" t="n">
        <x:v>4</x:v>
      </x:c>
      <x:c r="E418" s="10" t="n">
        <x:f>SUM(XLOOKUP('포켓몬_편집'!$AF418:$AN418,'분류_규칙'!$A$5:$A$76,'분류_규칙'!$E$5:$E$76,0))</x:f>
        <x:v>8</x:v>
      </x:c>
      <x:c r="F418" s="10" t="n">
        <x:f>SUM(XLOOKUP('포켓몬_편집'!$AF418:$AN418,'분류_규칙'!$A$5:$A$76,'분류_규칙'!$F$5:$F$76,0))</x:f>
        <x:v>8</x:v>
      </x:c>
      <x:c r="G418" s="10" t="n">
        <x:f>SUM(XLOOKUP('포켓몬_편집'!$AF418:$AN418,'분류_규칙'!$A$5:$A$76,'분류_규칙'!$G$5:$G$76,0))</x:f>
        <x:v>0</x:v>
      </x:c>
      <x:c r="H418" s="10" t="n">
        <x:f>SUM(XLOOKUP('포켓몬_편집'!$AF418:$AN418,'분류_규칙'!$A$5:$A$76,'분류_규칙'!$H$5:$H$76,0))</x:f>
        <x:v>12</x:v>
      </x:c>
      <x:c r="I418" s="10" t="n">
        <x:f>SUM(XLOOKUP('포켓몬_편집'!$AF418:$AN418,'분류_규칙'!$A$5:$A$76,'분류_규칙'!$I$5:$I$76,0))</x:f>
        <x:v>0</x:v>
      </x:c>
      <x:c r="J418" s="10" t="n">
        <x:f>SUM(XLOOKUP('포켓몬_편집'!$AF418:$AN418,'분류_규칙'!$A$5:$A$76,'분류_규칙'!$J$5:$J$76,0))</x:f>
        <x:v>0</x:v>
      </x:c>
      <x:c r="K418" s="10" t="n">
        <x:f>SUM(XLOOKUP('포켓몬_편집'!$AF418:$AN418,'분류_규칙'!$A$5:$A$76,'분류_규칙'!$K$5:$K$76,0))</x:f>
        <x:v>0</x:v>
      </x:c>
      <x:c r="L418" s="10" t="n">
        <x:f>SUM(XLOOKUP('포켓몬_편집'!$AF418:$AN418,'분류_규칙'!$A$5:$A$76,'분류_규칙'!$L$5:$L$76,0))</x:f>
        <x:v>3</x:v>
      </x:c>
      <x:c r="M418" s="10" t="n">
        <x:f>SUM(XLOOKUP('포켓몬_편집'!$AF418:$AN418,'분류_규칙'!$A$5:$A$76,'분류_규칙'!$M$5:$M$76,0))</x:f>
        <x:v>0</x:v>
      </x:c>
      <x:c r="N418" s="10" t="n">
        <x:f>SUM(XLOOKUP('포켓몬_편집'!$AF418:$AN418,'분류_규칙'!$A$5:$A$76,'분류_규칙'!$N$5:$N$76,0))</x:f>
        <x:v>0</x:v>
      </x:c>
      <x:c r="O418" s="10" t="n">
        <x:f>SUM(XLOOKUP('포켓몬_편집'!$AF418:$AN418,'분류_규칙'!$A$5:$A$76,'분류_규칙'!$O$5:$O$76,0))</x:f>
        <x:v>2</x:v>
      </x:c>
      <x:c r="P418" s="10" t="n">
        <x:f>SUM(XLOOKUP('포켓몬_편집'!$AF418:$AN418,'분류_규칙'!$A$5:$A$76,'분류_규칙'!$P$5:$P$76,0))</x:f>
        <x:v>0</x:v>
      </x:c>
    </x:row>
    <x:row r="419" ht="22" customHeight="1">
      <x:c r="A419" s="5" t="n">
        <x:v>415</x:v>
      </x:c>
      <x:c r="B419" s="5" t="inlineStr">
        <x:is>
          <x:t xml:space="preserve">세꿀버리</x:t>
        </x:is>
      </x:c>
      <x:c r="C419" s="5" t="inlineStr">
        <x:is>
          <x:t xml:space="preserve">combee</x:t>
        </x:is>
      </x:c>
      <x:c r="D419" s="5" t="n">
        <x:v>4</x:v>
      </x:c>
      <x:c r="E419" s="10" t="n">
        <x:f>SUM(XLOOKUP('포켓몬_편집'!$AF419:$AN419,'분류_규칙'!$A$5:$A$76,'분류_규칙'!$E$5:$E$76,0))</x:f>
        <x:v>8</x:v>
      </x:c>
      <x:c r="F419" s="10" t="n">
        <x:f>SUM(XLOOKUP('포켓몬_편집'!$AF419:$AN419,'분류_규칙'!$A$5:$A$76,'분류_규칙'!$F$5:$F$76,0))</x:f>
        <x:v>8</x:v>
      </x:c>
      <x:c r="G419" s="10" t="n">
        <x:f>SUM(XLOOKUP('포켓몬_편집'!$AF419:$AN419,'분류_규칙'!$A$5:$A$76,'분류_규칙'!$G$5:$G$76,0))</x:f>
        <x:v>0</x:v>
      </x:c>
      <x:c r="H419" s="10" t="n">
        <x:f>SUM(XLOOKUP('포켓몬_편집'!$AF419:$AN419,'분류_규칙'!$A$5:$A$76,'분류_규칙'!$H$5:$H$76,0))</x:f>
        <x:v>12</x:v>
      </x:c>
      <x:c r="I419" s="10" t="n">
        <x:f>SUM(XLOOKUP('포켓몬_편집'!$AF419:$AN419,'분류_규칙'!$A$5:$A$76,'분류_규칙'!$I$5:$I$76,0))</x:f>
        <x:v>0</x:v>
      </x:c>
      <x:c r="J419" s="10" t="n">
        <x:f>SUM(XLOOKUP('포켓몬_편집'!$AF419:$AN419,'분류_규칙'!$A$5:$A$76,'분류_규칙'!$J$5:$J$76,0))</x:f>
        <x:v>0</x:v>
      </x:c>
      <x:c r="K419" s="10" t="n">
        <x:f>SUM(XLOOKUP('포켓몬_편집'!$AF419:$AN419,'분류_규칙'!$A$5:$A$76,'분류_규칙'!$K$5:$K$76,0))</x:f>
        <x:v>0</x:v>
      </x:c>
      <x:c r="L419" s="10" t="n">
        <x:f>SUM(XLOOKUP('포켓몬_편집'!$AF419:$AN419,'분류_규칙'!$A$5:$A$76,'분류_규칙'!$L$5:$L$76,0))</x:f>
        <x:v>3</x:v>
      </x:c>
      <x:c r="M419" s="10" t="n">
        <x:f>SUM(XLOOKUP('포켓몬_편집'!$AF419:$AN419,'분류_규칙'!$A$5:$A$76,'분류_규칙'!$M$5:$M$76,0))</x:f>
        <x:v>0</x:v>
      </x:c>
      <x:c r="N419" s="10" t="n">
        <x:f>SUM(XLOOKUP('포켓몬_편집'!$AF419:$AN419,'분류_규칙'!$A$5:$A$76,'분류_규칙'!$N$5:$N$76,0))</x:f>
        <x:v>0</x:v>
      </x:c>
      <x:c r="O419" s="10" t="n">
        <x:f>SUM(XLOOKUP('포켓몬_편집'!$AF419:$AN419,'분류_규칙'!$A$5:$A$76,'분류_규칙'!$O$5:$O$76,0))</x:f>
        <x:v>2</x:v>
      </x:c>
      <x:c r="P419" s="10" t="n">
        <x:f>SUM(XLOOKUP('포켓몬_편집'!$AF419:$AN419,'분류_규칙'!$A$5:$A$76,'분류_규칙'!$P$5:$P$76,0))</x:f>
        <x:v>0</x:v>
      </x:c>
    </x:row>
    <x:row r="420" ht="22" customHeight="1">
      <x:c r="A420" s="5" t="n">
        <x:v>416</x:v>
      </x:c>
      <x:c r="B420" s="5" t="inlineStr">
        <x:is>
          <x:t xml:space="preserve">비퀸</x:t>
        </x:is>
      </x:c>
      <x:c r="C420" s="5" t="inlineStr">
        <x:is>
          <x:t xml:space="preserve">vespiquen</x:t>
        </x:is>
      </x:c>
      <x:c r="D420" s="5" t="n">
        <x:v>4</x:v>
      </x:c>
      <x:c r="E420" s="10" t="n">
        <x:f>SUM(XLOOKUP('포켓몬_편집'!$AF420:$AN420,'분류_규칙'!$A$5:$A$76,'분류_규칙'!$E$5:$E$76,0))</x:f>
        <x:v>8</x:v>
      </x:c>
      <x:c r="F420" s="10" t="n">
        <x:f>SUM(XLOOKUP('포켓몬_편집'!$AF420:$AN420,'분류_규칙'!$A$5:$A$76,'분류_규칙'!$F$5:$F$76,0))</x:f>
        <x:v>8</x:v>
      </x:c>
      <x:c r="G420" s="10" t="n">
        <x:f>SUM(XLOOKUP('포켓몬_편집'!$AF420:$AN420,'분류_규칙'!$A$5:$A$76,'분류_규칙'!$G$5:$G$76,0))</x:f>
        <x:v>0</x:v>
      </x:c>
      <x:c r="H420" s="10" t="n">
        <x:f>SUM(XLOOKUP('포켓몬_편집'!$AF420:$AN420,'분류_규칙'!$A$5:$A$76,'분류_규칙'!$H$5:$H$76,0))</x:f>
        <x:v>12</x:v>
      </x:c>
      <x:c r="I420" s="10" t="n">
        <x:f>SUM(XLOOKUP('포켓몬_편집'!$AF420:$AN420,'분류_규칙'!$A$5:$A$76,'분류_규칙'!$I$5:$I$76,0))</x:f>
        <x:v>0</x:v>
      </x:c>
      <x:c r="J420" s="10" t="n">
        <x:f>SUM(XLOOKUP('포켓몬_편집'!$AF420:$AN420,'분류_규칙'!$A$5:$A$76,'분류_규칙'!$J$5:$J$76,0))</x:f>
        <x:v>0</x:v>
      </x:c>
      <x:c r="K420" s="10" t="n">
        <x:f>SUM(XLOOKUP('포켓몬_편집'!$AF420:$AN420,'분류_규칙'!$A$5:$A$76,'분류_규칙'!$K$5:$K$76,0))</x:f>
        <x:v>0</x:v>
      </x:c>
      <x:c r="L420" s="10" t="n">
        <x:f>SUM(XLOOKUP('포켓몬_편집'!$AF420:$AN420,'분류_규칙'!$A$5:$A$76,'분류_규칙'!$L$5:$L$76,0))</x:f>
        <x:v>3</x:v>
      </x:c>
      <x:c r="M420" s="10" t="n">
        <x:f>SUM(XLOOKUP('포켓몬_편집'!$AF420:$AN420,'분류_규칙'!$A$5:$A$76,'분류_규칙'!$M$5:$M$76,0))</x:f>
        <x:v>0</x:v>
      </x:c>
      <x:c r="N420" s="10" t="n">
        <x:f>SUM(XLOOKUP('포켓몬_편집'!$AF420:$AN420,'분류_규칙'!$A$5:$A$76,'분류_규칙'!$N$5:$N$76,0))</x:f>
        <x:v>0</x:v>
      </x:c>
      <x:c r="O420" s="10" t="n">
        <x:f>SUM(XLOOKUP('포켓몬_편집'!$AF420:$AN420,'분류_규칙'!$A$5:$A$76,'분류_규칙'!$O$5:$O$76,0))</x:f>
        <x:v>2</x:v>
      </x:c>
      <x:c r="P420" s="10" t="n">
        <x:f>SUM(XLOOKUP('포켓몬_편집'!$AF420:$AN420,'분류_규칙'!$A$5:$A$76,'분류_규칙'!$P$5:$P$76,0))</x:f>
        <x:v>0</x:v>
      </x:c>
    </x:row>
    <x:row r="421" ht="22" customHeight="1">
      <x:c r="A421" s="5" t="n">
        <x:v>417</x:v>
      </x:c>
      <x:c r="B421" s="5" t="inlineStr">
        <x:is>
          <x:t xml:space="preserve">파치리스</x:t>
        </x:is>
      </x:c>
      <x:c r="C421" s="5" t="inlineStr">
        <x:is>
          <x:t xml:space="preserve">pachirisu</x:t>
        </x:is>
      </x:c>
      <x:c r="D421" s="5" t="n">
        <x:v>4</x:v>
      </x:c>
      <x:c r="E421" s="10" t="n">
        <x:f>SUM(XLOOKUP('포켓몬_편집'!$AF421:$AN421,'분류_규칙'!$A$5:$A$76,'분류_규칙'!$E$5:$E$76,0))</x:f>
        <x:v>10</x:v>
      </x:c>
      <x:c r="F421" s="10" t="n">
        <x:f>SUM(XLOOKUP('포켓몬_편집'!$AF421:$AN421,'분류_규칙'!$A$5:$A$76,'분류_규칙'!$F$5:$F$76,0))</x:f>
        <x:v>7</x:v>
      </x:c>
      <x:c r="G421" s="10" t="n">
        <x:f>SUM(XLOOKUP('포켓몬_편집'!$AF421:$AN421,'분류_규칙'!$A$5:$A$76,'분류_규칙'!$G$5:$G$76,0))</x:f>
        <x:v>5</x:v>
      </x:c>
      <x:c r="H421" s="10" t="n">
        <x:f>SUM(XLOOKUP('포켓몬_편집'!$AF421:$AN421,'분류_규칙'!$A$5:$A$76,'분류_규칙'!$H$5:$H$76,0))</x:f>
        <x:v>5</x:v>
      </x:c>
      <x:c r="I421" s="10" t="n">
        <x:f>SUM(XLOOKUP('포켓몬_편집'!$AF421:$AN421,'분류_규칙'!$A$5:$A$76,'분류_규칙'!$I$5:$I$76,0))</x:f>
        <x:v>0</x:v>
      </x:c>
      <x:c r="J421" s="10" t="n">
        <x:f>SUM(XLOOKUP('포켓몬_편집'!$AF421:$AN421,'분류_규칙'!$A$5:$A$76,'분류_규칙'!$J$5:$J$76,0))</x:f>
        <x:v>2</x:v>
      </x:c>
      <x:c r="K421" s="10" t="n">
        <x:f>SUM(XLOOKUP('포켓몬_편집'!$AF421:$AN421,'분류_규칙'!$A$5:$A$76,'분류_규칙'!$K$5:$K$76,0))</x:f>
        <x:v>0</x:v>
      </x:c>
      <x:c r="L421" s="10" t="n">
        <x:f>SUM(XLOOKUP('포켓몬_편집'!$AF421:$AN421,'분류_규칙'!$A$5:$A$76,'분류_규칙'!$L$5:$L$76,0))</x:f>
        <x:v>0</x:v>
      </x:c>
      <x:c r="M421" s="10" t="n">
        <x:f>SUM(XLOOKUP('포켓몬_편집'!$AF421:$AN421,'분류_규칙'!$A$5:$A$76,'분류_규칙'!$M$5:$M$76,0))</x:f>
        <x:v>0</x:v>
      </x:c>
      <x:c r="N421" s="10" t="n">
        <x:f>SUM(XLOOKUP('포켓몬_편집'!$AF421:$AN421,'분류_규칙'!$A$5:$A$76,'분류_규칙'!$N$5:$N$76,0))</x:f>
        <x:v>0</x:v>
      </x:c>
      <x:c r="O421" s="10" t="n">
        <x:f>SUM(XLOOKUP('포켓몬_편집'!$AF421:$AN421,'분류_규칙'!$A$5:$A$76,'분류_규칙'!$O$5:$O$76,0))</x:f>
        <x:v>2</x:v>
      </x:c>
      <x:c r="P421" s="10" t="n">
        <x:f>SUM(XLOOKUP('포켓몬_편집'!$AF421:$AN421,'분류_규칙'!$A$5:$A$76,'분류_규칙'!$P$5:$P$76,0))</x:f>
        <x:v>0</x:v>
      </x:c>
    </x:row>
    <x:row r="422" ht="22" customHeight="1">
      <x:c r="A422" s="5" t="n">
        <x:v>418</x:v>
      </x:c>
      <x:c r="B422" s="5" t="inlineStr">
        <x:is>
          <x:t xml:space="preserve">브이젤</x:t>
        </x:is>
      </x:c>
      <x:c r="C422" s="5" t="inlineStr">
        <x:is>
          <x:t xml:space="preserve">buizel</x:t>
        </x:is>
      </x:c>
      <x:c r="D422" s="5" t="n">
        <x:v>4</x:v>
      </x:c>
      <x:c r="E422" s="10" t="n">
        <x:f>SUM(XLOOKUP('포켓몬_편집'!$AF422:$AN422,'분류_규칙'!$A$5:$A$76,'분류_규칙'!$E$5:$E$76,0))</x:f>
        <x:v>0</x:v>
      </x:c>
      <x:c r="F422" s="10" t="n">
        <x:f>SUM(XLOOKUP('포켓몬_편집'!$AF422:$AN422,'분류_규칙'!$A$5:$A$76,'분류_규칙'!$F$5:$F$76,0))</x:f>
        <x:v>0</x:v>
      </x:c>
      <x:c r="G422" s="10" t="n">
        <x:f>SUM(XLOOKUP('포켓몬_편집'!$AF422:$AN422,'분류_규칙'!$A$5:$A$76,'분류_규칙'!$G$5:$G$76,0))</x:f>
        <x:v>0</x:v>
      </x:c>
      <x:c r="H422" s="10" t="n">
        <x:f>SUM(XLOOKUP('포켓몬_편집'!$AF422:$AN422,'분류_규칙'!$A$5:$A$76,'분류_규칙'!$H$5:$H$76,0))</x:f>
        <x:v>0</x:v>
      </x:c>
      <x:c r="I422" s="10" t="n">
        <x:f>SUM(XLOOKUP('포켓몬_편집'!$AF422:$AN422,'분류_규칙'!$A$5:$A$76,'분류_규칙'!$I$5:$I$76,0))</x:f>
        <x:v>0</x:v>
      </x:c>
      <x:c r="J422" s="10" t="n">
        <x:f>SUM(XLOOKUP('포켓몬_편집'!$AF422:$AN422,'분류_규칙'!$A$5:$A$76,'분류_규칙'!$J$5:$J$76,0))</x:f>
        <x:v>12</x:v>
      </x:c>
      <x:c r="K422" s="10" t="n">
        <x:f>SUM(XLOOKUP('포켓몬_편집'!$AF422:$AN422,'분류_규칙'!$A$5:$A$76,'분류_규칙'!$K$5:$K$76,0))</x:f>
        <x:v>30</x:v>
      </x:c>
      <x:c r="L422" s="10" t="n">
        <x:f>SUM(XLOOKUP('포켓몬_편집'!$AF422:$AN422,'분류_규칙'!$A$5:$A$76,'분류_규칙'!$L$5:$L$76,0))</x:f>
        <x:v>0</x:v>
      </x:c>
      <x:c r="M422" s="10" t="n">
        <x:f>SUM(XLOOKUP('포켓몬_편집'!$AF422:$AN422,'분류_규칙'!$A$5:$A$76,'분류_규칙'!$M$5:$M$76,0))</x:f>
        <x:v>0</x:v>
      </x:c>
      <x:c r="N422" s="10" t="n">
        <x:f>SUM(XLOOKUP('포켓몬_편집'!$AF422:$AN422,'분류_규칙'!$A$5:$A$76,'분류_규칙'!$N$5:$N$76,0))</x:f>
        <x:v>0</x:v>
      </x:c>
      <x:c r="O422" s="10" t="n">
        <x:f>SUM(XLOOKUP('포켓몬_편집'!$AF422:$AN422,'분류_규칙'!$A$5:$A$76,'분류_규칙'!$O$5:$O$76,0))</x:f>
        <x:v>0</x:v>
      </x:c>
      <x:c r="P422" s="10" t="n">
        <x:f>SUM(XLOOKUP('포켓몬_편집'!$AF422:$AN422,'분류_규칙'!$A$5:$A$76,'분류_규칙'!$P$5:$P$76,0))</x:f>
        <x:v>0</x:v>
      </x:c>
    </x:row>
    <x:row r="423" ht="22" customHeight="1">
      <x:c r="A423" s="5" t="n">
        <x:v>419</x:v>
      </x:c>
      <x:c r="B423" s="5" t="inlineStr">
        <x:is>
          <x:t xml:space="preserve">플로젤</x:t>
        </x:is>
      </x:c>
      <x:c r="C423" s="5" t="inlineStr">
        <x:is>
          <x:t xml:space="preserve">floatzel</x:t>
        </x:is>
      </x:c>
      <x:c r="D423" s="5" t="n">
        <x:v>4</x:v>
      </x:c>
      <x:c r="E423" s="10" t="n">
        <x:f>SUM(XLOOKUP('포켓몬_편집'!$AF423:$AN423,'분류_규칙'!$A$5:$A$76,'분류_규칙'!$E$5:$E$76,0))</x:f>
        <x:v>0</x:v>
      </x:c>
      <x:c r="F423" s="10" t="n">
        <x:f>SUM(XLOOKUP('포켓몬_편집'!$AF423:$AN423,'분류_규칙'!$A$5:$A$76,'분류_규칙'!$F$5:$F$76,0))</x:f>
        <x:v>0</x:v>
      </x:c>
      <x:c r="G423" s="10" t="n">
        <x:f>SUM(XLOOKUP('포켓몬_편집'!$AF423:$AN423,'분류_규칙'!$A$5:$A$76,'분류_규칙'!$G$5:$G$76,0))</x:f>
        <x:v>0</x:v>
      </x:c>
      <x:c r="H423" s="10" t="n">
        <x:f>SUM(XLOOKUP('포켓몬_편집'!$AF423:$AN423,'분류_규칙'!$A$5:$A$76,'분류_규칙'!$H$5:$H$76,0))</x:f>
        <x:v>0</x:v>
      </x:c>
      <x:c r="I423" s="10" t="n">
        <x:f>SUM(XLOOKUP('포켓몬_편집'!$AF423:$AN423,'분류_규칙'!$A$5:$A$76,'분류_규칙'!$I$5:$I$76,0))</x:f>
        <x:v>0</x:v>
      </x:c>
      <x:c r="J423" s="10" t="n">
        <x:f>SUM(XLOOKUP('포켓몬_편집'!$AF423:$AN423,'분류_규칙'!$A$5:$A$76,'분류_규칙'!$J$5:$J$76,0))</x:f>
        <x:v>12</x:v>
      </x:c>
      <x:c r="K423" s="10" t="n">
        <x:f>SUM(XLOOKUP('포켓몬_편집'!$AF423:$AN423,'분류_규칙'!$A$5:$A$76,'분류_규칙'!$K$5:$K$76,0))</x:f>
        <x:v>30</x:v>
      </x:c>
      <x:c r="L423" s="10" t="n">
        <x:f>SUM(XLOOKUP('포켓몬_편집'!$AF423:$AN423,'분류_규칙'!$A$5:$A$76,'분류_규칙'!$L$5:$L$76,0))</x:f>
        <x:v>0</x:v>
      </x:c>
      <x:c r="M423" s="10" t="n">
        <x:f>SUM(XLOOKUP('포켓몬_편집'!$AF423:$AN423,'분류_규칙'!$A$5:$A$76,'분류_규칙'!$M$5:$M$76,0))</x:f>
        <x:v>0</x:v>
      </x:c>
      <x:c r="N423" s="10" t="n">
        <x:f>SUM(XLOOKUP('포켓몬_편집'!$AF423:$AN423,'분류_규칙'!$A$5:$A$76,'분류_규칙'!$N$5:$N$76,0))</x:f>
        <x:v>0</x:v>
      </x:c>
      <x:c r="O423" s="10" t="n">
        <x:f>SUM(XLOOKUP('포켓몬_편집'!$AF423:$AN423,'분류_규칙'!$A$5:$A$76,'분류_규칙'!$O$5:$O$76,0))</x:f>
        <x:v>0</x:v>
      </x:c>
      <x:c r="P423" s="10" t="n">
        <x:f>SUM(XLOOKUP('포켓몬_편집'!$AF423:$AN423,'분류_규칙'!$A$5:$A$76,'분류_규칙'!$P$5:$P$76,0))</x:f>
        <x:v>0</x:v>
      </x:c>
    </x:row>
    <x:row r="424" ht="22" customHeight="1">
      <x:c r="A424" s="5" t="n">
        <x:v>420</x:v>
      </x:c>
      <x:c r="B424" s="5" t="inlineStr">
        <x:is>
          <x:t xml:space="preserve">체리버</x:t>
        </x:is>
      </x:c>
      <x:c r="C424" s="5" t="inlineStr">
        <x:is>
          <x:t xml:space="preserve">cherubi</x:t>
        </x:is>
      </x:c>
      <x:c r="D424" s="5" t="n">
        <x:v>4</x:v>
      </x:c>
      <x:c r="E424" s="10" t="n">
        <x:f>SUM(XLOOKUP('포켓몬_편집'!$AF424:$AN424,'분류_규칙'!$A$5:$A$76,'분류_규칙'!$E$5:$E$76,0))</x:f>
        <x:v>10</x:v>
      </x:c>
      <x:c r="F424" s="10" t="n">
        <x:f>SUM(XLOOKUP('포켓몬_편집'!$AF424:$AN424,'분류_규칙'!$A$5:$A$76,'분류_규칙'!$F$5:$F$76,0))</x:f>
        <x:v>7</x:v>
      </x:c>
      <x:c r="G424" s="10" t="n">
        <x:f>SUM(XLOOKUP('포켓몬_편집'!$AF424:$AN424,'분류_규칙'!$A$5:$A$76,'분류_규칙'!$G$5:$G$76,0))</x:f>
        <x:v>5</x:v>
      </x:c>
      <x:c r="H424" s="10" t="n">
        <x:f>SUM(XLOOKUP('포켓몬_편집'!$AF424:$AN424,'분류_규칙'!$A$5:$A$76,'분류_규칙'!$H$5:$H$76,0))</x:f>
        <x:v>5</x:v>
      </x:c>
      <x:c r="I424" s="10" t="n">
        <x:f>SUM(XLOOKUP('포켓몬_편집'!$AF424:$AN424,'분류_규칙'!$A$5:$A$76,'분류_규칙'!$I$5:$I$76,0))</x:f>
        <x:v>0</x:v>
      </x:c>
      <x:c r="J424" s="10" t="n">
        <x:f>SUM(XLOOKUP('포켓몬_편집'!$AF424:$AN424,'분류_규칙'!$A$5:$A$76,'분류_규칙'!$J$5:$J$76,0))</x:f>
        <x:v>2</x:v>
      </x:c>
      <x:c r="K424" s="10" t="n">
        <x:f>SUM(XLOOKUP('포켓몬_편집'!$AF424:$AN424,'분류_규칙'!$A$5:$A$76,'분류_규칙'!$K$5:$K$76,0))</x:f>
        <x:v>0</x:v>
      </x:c>
      <x:c r="L424" s="10" t="n">
        <x:f>SUM(XLOOKUP('포켓몬_편집'!$AF424:$AN424,'분류_규칙'!$A$5:$A$76,'분류_규칙'!$L$5:$L$76,0))</x:f>
        <x:v>0</x:v>
      </x:c>
      <x:c r="M424" s="10" t="n">
        <x:f>SUM(XLOOKUP('포켓몬_편집'!$AF424:$AN424,'분류_규칙'!$A$5:$A$76,'분류_규칙'!$M$5:$M$76,0))</x:f>
        <x:v>0</x:v>
      </x:c>
      <x:c r="N424" s="10" t="n">
        <x:f>SUM(XLOOKUP('포켓몬_편집'!$AF424:$AN424,'분류_규칙'!$A$5:$A$76,'분류_규칙'!$N$5:$N$76,0))</x:f>
        <x:v>0</x:v>
      </x:c>
      <x:c r="O424" s="10" t="n">
        <x:f>SUM(XLOOKUP('포켓몬_편집'!$AF424:$AN424,'분류_규칙'!$A$5:$A$76,'분류_규칙'!$O$5:$O$76,0))</x:f>
        <x:v>2</x:v>
      </x:c>
      <x:c r="P424" s="10" t="n">
        <x:f>SUM(XLOOKUP('포켓몬_편집'!$AF424:$AN424,'분류_규칙'!$A$5:$A$76,'분류_규칙'!$P$5:$P$76,0))</x:f>
        <x:v>0</x:v>
      </x:c>
    </x:row>
    <x:row r="425" ht="22" customHeight="1">
      <x:c r="A425" s="5" t="n">
        <x:v>421</x:v>
      </x:c>
      <x:c r="B425" s="5" t="inlineStr">
        <x:is>
          <x:t xml:space="preserve">체리꼬</x:t>
        </x:is>
      </x:c>
      <x:c r="C425" s="5" t="inlineStr">
        <x:is>
          <x:t xml:space="preserve">cherrim</x:t>
        </x:is>
      </x:c>
      <x:c r="D425" s="5" t="n">
        <x:v>4</x:v>
      </x:c>
      <x:c r="E425" s="10" t="n">
        <x:f>SUM(XLOOKUP('포켓몬_편집'!$AF425:$AN425,'분류_규칙'!$A$5:$A$76,'분류_규칙'!$E$5:$E$76,0))</x:f>
        <x:v>10</x:v>
      </x:c>
      <x:c r="F425" s="10" t="n">
        <x:f>SUM(XLOOKUP('포켓몬_편집'!$AF425:$AN425,'분류_규칙'!$A$5:$A$76,'분류_규칙'!$F$5:$F$76,0))</x:f>
        <x:v>7</x:v>
      </x:c>
      <x:c r="G425" s="10" t="n">
        <x:f>SUM(XLOOKUP('포켓몬_편집'!$AF425:$AN425,'분류_규칙'!$A$5:$A$76,'분류_규칙'!$G$5:$G$76,0))</x:f>
        <x:v>5</x:v>
      </x:c>
      <x:c r="H425" s="10" t="n">
        <x:f>SUM(XLOOKUP('포켓몬_편집'!$AF425:$AN425,'분류_규칙'!$A$5:$A$76,'분류_규칙'!$H$5:$H$76,0))</x:f>
        <x:v>5</x:v>
      </x:c>
      <x:c r="I425" s="10" t="n">
        <x:f>SUM(XLOOKUP('포켓몬_편집'!$AF425:$AN425,'분류_규칙'!$A$5:$A$76,'분류_규칙'!$I$5:$I$76,0))</x:f>
        <x:v>0</x:v>
      </x:c>
      <x:c r="J425" s="10" t="n">
        <x:f>SUM(XLOOKUP('포켓몬_편집'!$AF425:$AN425,'분류_규칙'!$A$5:$A$76,'분류_규칙'!$J$5:$J$76,0))</x:f>
        <x:v>2</x:v>
      </x:c>
      <x:c r="K425" s="10" t="n">
        <x:f>SUM(XLOOKUP('포켓몬_편집'!$AF425:$AN425,'분류_규칙'!$A$5:$A$76,'분류_규칙'!$K$5:$K$76,0))</x:f>
        <x:v>0</x:v>
      </x:c>
      <x:c r="L425" s="10" t="n">
        <x:f>SUM(XLOOKUP('포켓몬_편집'!$AF425:$AN425,'분류_규칙'!$A$5:$A$76,'분류_규칙'!$L$5:$L$76,0))</x:f>
        <x:v>0</x:v>
      </x:c>
      <x:c r="M425" s="10" t="n">
        <x:f>SUM(XLOOKUP('포켓몬_편집'!$AF425:$AN425,'분류_규칙'!$A$5:$A$76,'분류_규칙'!$M$5:$M$76,0))</x:f>
        <x:v>0</x:v>
      </x:c>
      <x:c r="N425" s="10" t="n">
        <x:f>SUM(XLOOKUP('포켓몬_편집'!$AF425:$AN425,'분류_규칙'!$A$5:$A$76,'분류_규칙'!$N$5:$N$76,0))</x:f>
        <x:v>0</x:v>
      </x:c>
      <x:c r="O425" s="10" t="n">
        <x:f>SUM(XLOOKUP('포켓몬_편집'!$AF425:$AN425,'분류_규칙'!$A$5:$A$76,'분류_규칙'!$O$5:$O$76,0))</x:f>
        <x:v>2</x:v>
      </x:c>
      <x:c r="P425" s="10" t="n">
        <x:f>SUM(XLOOKUP('포켓몬_편집'!$AF425:$AN425,'분류_규칙'!$A$5:$A$76,'분류_규칙'!$P$5:$P$76,0))</x:f>
        <x:v>0</x:v>
      </x:c>
    </x:row>
    <x:row r="426" ht="22" customHeight="1">
      <x:c r="A426" s="5" t="n">
        <x:v>422</x:v>
      </x:c>
      <x:c r="B426" s="5" t="inlineStr">
        <x:is>
          <x:t xml:space="preserve">깝질무</x:t>
        </x:is>
      </x:c>
      <x:c r="C426" s="5" t="inlineStr">
        <x:is>
          <x:t xml:space="preserve">shellos</x:t>
        </x:is>
      </x:c>
      <x:c r="D426" s="5" t="n">
        <x:v>4</x:v>
      </x:c>
      <x:c r="E426" s="10" t="n">
        <x:f>SUM(XLOOKUP('포켓몬_편집'!$AF426:$AN426,'분류_규칙'!$A$5:$A$76,'분류_규칙'!$E$5:$E$76,0))</x:f>
        <x:v>0</x:v>
      </x:c>
      <x:c r="F426" s="10" t="n">
        <x:f>SUM(XLOOKUP('포켓몬_편집'!$AF426:$AN426,'분류_규칙'!$A$5:$A$76,'분류_규칙'!$F$5:$F$76,0))</x:f>
        <x:v>0</x:v>
      </x:c>
      <x:c r="G426" s="10" t="n">
        <x:f>SUM(XLOOKUP('포켓몬_편집'!$AF426:$AN426,'분류_규칙'!$A$5:$A$76,'분류_규칙'!$G$5:$G$76,0))</x:f>
        <x:v>0</x:v>
      </x:c>
      <x:c r="H426" s="10" t="n">
        <x:f>SUM(XLOOKUP('포켓몬_편집'!$AF426:$AN426,'분류_규칙'!$A$5:$A$76,'분류_규칙'!$H$5:$H$76,0))</x:f>
        <x:v>0</x:v>
      </x:c>
      <x:c r="I426" s="10" t="n">
        <x:f>SUM(XLOOKUP('포켓몬_편집'!$AF426:$AN426,'분류_규칙'!$A$5:$A$76,'분류_규칙'!$I$5:$I$76,0))</x:f>
        <x:v>0</x:v>
      </x:c>
      <x:c r="J426" s="10" t="n">
        <x:f>SUM(XLOOKUP('포켓몬_편집'!$AF426:$AN426,'분류_규칙'!$A$5:$A$76,'분류_규칙'!$J$5:$J$76,0))</x:f>
        <x:v>3</x:v>
      </x:c>
      <x:c r="K426" s="10" t="n">
        <x:f>SUM(XLOOKUP('포켓몬_편집'!$AF426:$AN426,'분류_규칙'!$A$5:$A$76,'분류_규칙'!$K$5:$K$76,0))</x:f>
        <x:v>0</x:v>
      </x:c>
      <x:c r="L426" s="10" t="n">
        <x:f>SUM(XLOOKUP('포켓몬_편집'!$AF426:$AN426,'분류_규칙'!$A$5:$A$76,'분류_규칙'!$L$5:$L$76,0))</x:f>
        <x:v>30</x:v>
      </x:c>
      <x:c r="M426" s="10" t="n">
        <x:f>SUM(XLOOKUP('포켓몬_편집'!$AF426:$AN426,'분류_규칙'!$A$5:$A$76,'분류_규칙'!$M$5:$M$76,0))</x:f>
        <x:v>0</x:v>
      </x:c>
      <x:c r="N426" s="10" t="n">
        <x:f>SUM(XLOOKUP('포켓몬_편집'!$AF426:$AN426,'분류_규칙'!$A$5:$A$76,'분류_규칙'!$N$5:$N$76,0))</x:f>
        <x:v>0</x:v>
      </x:c>
      <x:c r="O426" s="10" t="n">
        <x:f>SUM(XLOOKUP('포켓몬_편집'!$AF426:$AN426,'분류_규칙'!$A$5:$A$76,'분류_규칙'!$O$5:$O$76,0))</x:f>
        <x:v>0</x:v>
      </x:c>
      <x:c r="P426" s="10" t="n">
        <x:f>SUM(XLOOKUP('포켓몬_편집'!$AF426:$AN426,'분류_규칙'!$A$5:$A$76,'분류_규칙'!$P$5:$P$76,0))</x:f>
        <x:v>0</x:v>
      </x:c>
    </x:row>
    <x:row r="427" ht="22" customHeight="1">
      <x:c r="A427" s="5" t="n">
        <x:v>423</x:v>
      </x:c>
      <x:c r="B427" s="5" t="inlineStr">
        <x:is>
          <x:t xml:space="preserve">트리토돈</x:t>
        </x:is>
      </x:c>
      <x:c r="C427" s="5" t="inlineStr">
        <x:is>
          <x:t xml:space="preserve">gastrodon</x:t>
        </x:is>
      </x:c>
      <x:c r="D427" s="5" t="n">
        <x:v>4</x:v>
      </x:c>
      <x:c r="E427" s="10" t="n">
        <x:f>SUM(XLOOKUP('포켓몬_편집'!$AF427:$AN427,'분류_규칙'!$A$5:$A$76,'분류_규칙'!$E$5:$E$76,0))</x:f>
        <x:v>0</x:v>
      </x:c>
      <x:c r="F427" s="10" t="n">
        <x:f>SUM(XLOOKUP('포켓몬_편집'!$AF427:$AN427,'분류_규칙'!$A$5:$A$76,'분류_규칙'!$F$5:$F$76,0))</x:f>
        <x:v>0</x:v>
      </x:c>
      <x:c r="G427" s="10" t="n">
        <x:f>SUM(XLOOKUP('포켓몬_편집'!$AF427:$AN427,'분류_규칙'!$A$5:$A$76,'분류_규칙'!$G$5:$G$76,0))</x:f>
        <x:v>0</x:v>
      </x:c>
      <x:c r="H427" s="10" t="n">
        <x:f>SUM(XLOOKUP('포켓몬_편집'!$AF427:$AN427,'분류_규칙'!$A$5:$A$76,'분류_규칙'!$H$5:$H$76,0))</x:f>
        <x:v>0</x:v>
      </x:c>
      <x:c r="I427" s="10" t="n">
        <x:f>SUM(XLOOKUP('포켓몬_편집'!$AF427:$AN427,'분류_규칙'!$A$5:$A$76,'분류_규칙'!$I$5:$I$76,0))</x:f>
        <x:v>0</x:v>
      </x:c>
      <x:c r="J427" s="10" t="n">
        <x:f>SUM(XLOOKUP('포켓몬_편집'!$AF427:$AN427,'분류_규칙'!$A$5:$A$76,'분류_규칙'!$J$5:$J$76,0))</x:f>
        <x:v>3</x:v>
      </x:c>
      <x:c r="K427" s="10" t="n">
        <x:f>SUM(XLOOKUP('포켓몬_편집'!$AF427:$AN427,'분류_규칙'!$A$5:$A$76,'분류_규칙'!$K$5:$K$76,0))</x:f>
        <x:v>0</x:v>
      </x:c>
      <x:c r="L427" s="10" t="n">
        <x:f>SUM(XLOOKUP('포켓몬_편집'!$AF427:$AN427,'분류_규칙'!$A$5:$A$76,'분류_규칙'!$L$5:$L$76,0))</x:f>
        <x:v>30</x:v>
      </x:c>
      <x:c r="M427" s="10" t="n">
        <x:f>SUM(XLOOKUP('포켓몬_편집'!$AF427:$AN427,'분류_규칙'!$A$5:$A$76,'분류_규칙'!$M$5:$M$76,0))</x:f>
        <x:v>0</x:v>
      </x:c>
      <x:c r="N427" s="10" t="n">
        <x:f>SUM(XLOOKUP('포켓몬_편집'!$AF427:$AN427,'분류_규칙'!$A$5:$A$76,'분류_규칙'!$N$5:$N$76,0))</x:f>
        <x:v>0</x:v>
      </x:c>
      <x:c r="O427" s="10" t="n">
        <x:f>SUM(XLOOKUP('포켓몬_편집'!$AF427:$AN427,'분류_규칙'!$A$5:$A$76,'분류_규칙'!$O$5:$O$76,0))</x:f>
        <x:v>0</x:v>
      </x:c>
      <x:c r="P427" s="10" t="n">
        <x:f>SUM(XLOOKUP('포켓몬_편집'!$AF427:$AN427,'분류_규칙'!$A$5:$A$76,'분류_규칙'!$P$5:$P$76,0))</x:f>
        <x:v>0</x:v>
      </x:c>
    </x:row>
    <x:row r="428" ht="22" customHeight="1">
      <x:c r="A428" s="5" t="n">
        <x:v>424</x:v>
      </x:c>
      <x:c r="B428" s="5" t="inlineStr">
        <x:is>
          <x:t xml:space="preserve">겟핸보숭</x:t>
        </x:is>
      </x:c>
      <x:c r="C428" s="5" t="inlineStr">
        <x:is>
          <x:t xml:space="preserve">ambipom</x:t>
        </x:is>
      </x:c>
      <x:c r="D428" s="5" t="n">
        <x:v>4</x:v>
      </x:c>
      <x:c r="E428" s="10" t="n">
        <x:f>SUM(XLOOKUP('포켓몬_편집'!$AF428:$AN428,'분류_규칙'!$A$5:$A$76,'분류_규칙'!$E$5:$E$76,0))</x:f>
        <x:v>10</x:v>
      </x:c>
      <x:c r="F428" s="10" t="n">
        <x:f>SUM(XLOOKUP('포켓몬_편집'!$AF428:$AN428,'분류_규칙'!$A$5:$A$76,'분류_규칙'!$F$5:$F$76,0))</x:f>
        <x:v>7</x:v>
      </x:c>
      <x:c r="G428" s="10" t="n">
        <x:f>SUM(XLOOKUP('포켓몬_편집'!$AF428:$AN428,'분류_규칙'!$A$5:$A$76,'분류_규칙'!$G$5:$G$76,0))</x:f>
        <x:v>5</x:v>
      </x:c>
      <x:c r="H428" s="10" t="n">
        <x:f>SUM(XLOOKUP('포켓몬_편집'!$AF428:$AN428,'분류_규칙'!$A$5:$A$76,'분류_규칙'!$H$5:$H$76,0))</x:f>
        <x:v>5</x:v>
      </x:c>
      <x:c r="I428" s="10" t="n">
        <x:f>SUM(XLOOKUP('포켓몬_편집'!$AF428:$AN428,'분류_규칙'!$A$5:$A$76,'분류_규칙'!$I$5:$I$76,0))</x:f>
        <x:v>0</x:v>
      </x:c>
      <x:c r="J428" s="10" t="n">
        <x:f>SUM(XLOOKUP('포켓몬_편집'!$AF428:$AN428,'분류_규칙'!$A$5:$A$76,'분류_규칙'!$J$5:$J$76,0))</x:f>
        <x:v>2</x:v>
      </x:c>
      <x:c r="K428" s="10" t="n">
        <x:f>SUM(XLOOKUP('포켓몬_편집'!$AF428:$AN428,'분류_규칙'!$A$5:$A$76,'분류_규칙'!$K$5:$K$76,0))</x:f>
        <x:v>0</x:v>
      </x:c>
      <x:c r="L428" s="10" t="n">
        <x:f>SUM(XLOOKUP('포켓몬_편집'!$AF428:$AN428,'분류_규칙'!$A$5:$A$76,'분류_규칙'!$L$5:$L$76,0))</x:f>
        <x:v>0</x:v>
      </x:c>
      <x:c r="M428" s="10" t="n">
        <x:f>SUM(XLOOKUP('포켓몬_편집'!$AF428:$AN428,'분류_규칙'!$A$5:$A$76,'분류_규칙'!$M$5:$M$76,0))</x:f>
        <x:v>0</x:v>
      </x:c>
      <x:c r="N428" s="10" t="n">
        <x:f>SUM(XLOOKUP('포켓몬_편집'!$AF428:$AN428,'분류_규칙'!$A$5:$A$76,'분류_규칙'!$N$5:$N$76,0))</x:f>
        <x:v>0</x:v>
      </x:c>
      <x:c r="O428" s="10" t="n">
        <x:f>SUM(XLOOKUP('포켓몬_편집'!$AF428:$AN428,'분류_규칙'!$A$5:$A$76,'분류_규칙'!$O$5:$O$76,0))</x:f>
        <x:v>2</x:v>
      </x:c>
      <x:c r="P428" s="10" t="n">
        <x:f>SUM(XLOOKUP('포켓몬_편집'!$AF428:$AN428,'분류_규칙'!$A$5:$A$76,'분류_규칙'!$P$5:$P$76,0))</x:f>
        <x:v>0</x:v>
      </x:c>
    </x:row>
    <x:row r="429" ht="22" customHeight="1">
      <x:c r="A429" s="5" t="n">
        <x:v>425</x:v>
      </x:c>
      <x:c r="B429" s="5" t="inlineStr">
        <x:is>
          <x:t xml:space="preserve">흔들풍손</x:t>
        </x:is>
      </x:c>
      <x:c r="C429" s="5" t="inlineStr">
        <x:is>
          <x:t xml:space="preserve">drifloon</x:t>
        </x:is>
      </x:c>
      <x:c r="D429" s="5" t="n">
        <x:v>4</x:v>
      </x:c>
      <x:c r="E429" s="10" t="n">
        <x:f>SUM(XLOOKUP('포켓몬_편집'!$AF429:$AN429,'분류_규칙'!$A$5:$A$76,'분류_규칙'!$E$5:$E$76,0))</x:f>
        <x:v>8</x:v>
      </x:c>
      <x:c r="F429" s="10" t="n">
        <x:f>SUM(XLOOKUP('포켓몬_편집'!$AF429:$AN429,'분류_규칙'!$A$5:$A$76,'분류_규칙'!$F$5:$F$76,0))</x:f>
        <x:v>8</x:v>
      </x:c>
      <x:c r="G429" s="10" t="n">
        <x:f>SUM(XLOOKUP('포켓몬_편집'!$AF429:$AN429,'분류_규칙'!$A$5:$A$76,'분류_규칙'!$G$5:$G$76,0))</x:f>
        <x:v>0</x:v>
      </x:c>
      <x:c r="H429" s="10" t="n">
        <x:f>SUM(XLOOKUP('포켓몬_편집'!$AF429:$AN429,'분류_규칙'!$A$5:$A$76,'분류_규칙'!$H$5:$H$76,0))</x:f>
        <x:v>12</x:v>
      </x:c>
      <x:c r="I429" s="10" t="n">
        <x:f>SUM(XLOOKUP('포켓몬_편집'!$AF429:$AN429,'분류_규칙'!$A$5:$A$76,'분류_규칙'!$I$5:$I$76,0))</x:f>
        <x:v>0</x:v>
      </x:c>
      <x:c r="J429" s="10" t="n">
        <x:f>SUM(XLOOKUP('포켓몬_편집'!$AF429:$AN429,'분류_규칙'!$A$5:$A$76,'분류_규칙'!$J$5:$J$76,0))</x:f>
        <x:v>0</x:v>
      </x:c>
      <x:c r="K429" s="10" t="n">
        <x:f>SUM(XLOOKUP('포켓몬_편집'!$AF429:$AN429,'분류_규칙'!$A$5:$A$76,'분류_규칙'!$K$5:$K$76,0))</x:f>
        <x:v>0</x:v>
      </x:c>
      <x:c r="L429" s="10" t="n">
        <x:f>SUM(XLOOKUP('포켓몬_편집'!$AF429:$AN429,'분류_규칙'!$A$5:$A$76,'분류_규칙'!$L$5:$L$76,0))</x:f>
        <x:v>3</x:v>
      </x:c>
      <x:c r="M429" s="10" t="n">
        <x:f>SUM(XLOOKUP('포켓몬_편집'!$AF429:$AN429,'분류_규칙'!$A$5:$A$76,'분류_규칙'!$M$5:$M$76,0))</x:f>
        <x:v>0</x:v>
      </x:c>
      <x:c r="N429" s="10" t="n">
        <x:f>SUM(XLOOKUP('포켓몬_편집'!$AF429:$AN429,'분류_규칙'!$A$5:$A$76,'분류_규칙'!$N$5:$N$76,0))</x:f>
        <x:v>0</x:v>
      </x:c>
      <x:c r="O429" s="10" t="n">
        <x:f>SUM(XLOOKUP('포켓몬_편집'!$AF429:$AN429,'분류_규칙'!$A$5:$A$76,'분류_규칙'!$O$5:$O$76,0))</x:f>
        <x:v>2</x:v>
      </x:c>
      <x:c r="P429" s="10" t="n">
        <x:f>SUM(XLOOKUP('포켓몬_편집'!$AF429:$AN429,'분류_규칙'!$A$5:$A$76,'분류_규칙'!$P$5:$P$76,0))</x:f>
        <x:v>0</x:v>
      </x:c>
    </x:row>
    <x:row r="430" ht="22" customHeight="1">
      <x:c r="A430" s="5" t="n">
        <x:v>426</x:v>
      </x:c>
      <x:c r="B430" s="5" t="inlineStr">
        <x:is>
          <x:t xml:space="preserve">둥실라이드</x:t>
        </x:is>
      </x:c>
      <x:c r="C430" s="5" t="inlineStr">
        <x:is>
          <x:t xml:space="preserve">drifblim</x:t>
        </x:is>
      </x:c>
      <x:c r="D430" s="5" t="n">
        <x:v>4</x:v>
      </x:c>
      <x:c r="E430" s="10" t="n">
        <x:f>SUM(XLOOKUP('포켓몬_편집'!$AF430:$AN430,'분류_규칙'!$A$5:$A$76,'분류_규칙'!$E$5:$E$76,0))</x:f>
        <x:v>8</x:v>
      </x:c>
      <x:c r="F430" s="10" t="n">
        <x:f>SUM(XLOOKUP('포켓몬_편집'!$AF430:$AN430,'분류_규칙'!$A$5:$A$76,'분류_규칙'!$F$5:$F$76,0))</x:f>
        <x:v>8</x:v>
      </x:c>
      <x:c r="G430" s="10" t="n">
        <x:f>SUM(XLOOKUP('포켓몬_편집'!$AF430:$AN430,'분류_규칙'!$A$5:$A$76,'분류_규칙'!$G$5:$G$76,0))</x:f>
        <x:v>0</x:v>
      </x:c>
      <x:c r="H430" s="10" t="n">
        <x:f>SUM(XLOOKUP('포켓몬_편집'!$AF430:$AN430,'분류_규칙'!$A$5:$A$76,'분류_규칙'!$H$5:$H$76,0))</x:f>
        <x:v>12</x:v>
      </x:c>
      <x:c r="I430" s="10" t="n">
        <x:f>SUM(XLOOKUP('포켓몬_편집'!$AF430:$AN430,'분류_규칙'!$A$5:$A$76,'분류_규칙'!$I$5:$I$76,0))</x:f>
        <x:v>0</x:v>
      </x:c>
      <x:c r="J430" s="10" t="n">
        <x:f>SUM(XLOOKUP('포켓몬_편집'!$AF430:$AN430,'분류_규칙'!$A$5:$A$76,'분류_규칙'!$J$5:$J$76,0))</x:f>
        <x:v>0</x:v>
      </x:c>
      <x:c r="K430" s="10" t="n">
        <x:f>SUM(XLOOKUP('포켓몬_편집'!$AF430:$AN430,'분류_규칙'!$A$5:$A$76,'분류_규칙'!$K$5:$K$76,0))</x:f>
        <x:v>0</x:v>
      </x:c>
      <x:c r="L430" s="10" t="n">
        <x:f>SUM(XLOOKUP('포켓몬_편집'!$AF430:$AN430,'분류_규칙'!$A$5:$A$76,'분류_규칙'!$L$5:$L$76,0))</x:f>
        <x:v>3</x:v>
      </x:c>
      <x:c r="M430" s="10" t="n">
        <x:f>SUM(XLOOKUP('포켓몬_편집'!$AF430:$AN430,'분류_규칙'!$A$5:$A$76,'분류_규칙'!$M$5:$M$76,0))</x:f>
        <x:v>0</x:v>
      </x:c>
      <x:c r="N430" s="10" t="n">
        <x:f>SUM(XLOOKUP('포켓몬_편집'!$AF430:$AN430,'분류_규칙'!$A$5:$A$76,'분류_규칙'!$N$5:$N$76,0))</x:f>
        <x:v>0</x:v>
      </x:c>
      <x:c r="O430" s="10" t="n">
        <x:f>SUM(XLOOKUP('포켓몬_편집'!$AF430:$AN430,'분류_규칙'!$A$5:$A$76,'분류_규칙'!$O$5:$O$76,0))</x:f>
        <x:v>2</x:v>
      </x:c>
      <x:c r="P430" s="10" t="n">
        <x:f>SUM(XLOOKUP('포켓몬_편집'!$AF430:$AN430,'분류_규칙'!$A$5:$A$76,'분류_규칙'!$P$5:$P$76,0))</x:f>
        <x:v>0</x:v>
      </x:c>
    </x:row>
    <x:row r="431" ht="22" customHeight="1">
      <x:c r="A431" s="5" t="n">
        <x:v>427</x:v>
      </x:c>
      <x:c r="B431" s="5" t="inlineStr">
        <x:is>
          <x:t xml:space="preserve">이어롤</x:t>
        </x:is>
      </x:c>
      <x:c r="C431" s="5" t="inlineStr">
        <x:is>
          <x:t xml:space="preserve">buneary</x:t>
        </x:is>
      </x:c>
      <x:c r="D431" s="5" t="n">
        <x:v>4</x:v>
      </x:c>
      <x:c r="E431" s="10" t="n">
        <x:f>SUM(XLOOKUP('포켓몬_편집'!$AF431:$AN431,'분류_규칙'!$A$5:$A$76,'분류_규칙'!$E$5:$E$76,0))</x:f>
        <x:v>10</x:v>
      </x:c>
      <x:c r="F431" s="10" t="n">
        <x:f>SUM(XLOOKUP('포켓몬_편집'!$AF431:$AN431,'분류_규칙'!$A$5:$A$76,'분류_규칙'!$F$5:$F$76,0))</x:f>
        <x:v>7</x:v>
      </x:c>
      <x:c r="G431" s="10" t="n">
        <x:f>SUM(XLOOKUP('포켓몬_편집'!$AF431:$AN431,'분류_규칙'!$A$5:$A$76,'분류_규칙'!$G$5:$G$76,0))</x:f>
        <x:v>5</x:v>
      </x:c>
      <x:c r="H431" s="10" t="n">
        <x:f>SUM(XLOOKUP('포켓몬_편집'!$AF431:$AN431,'분류_규칙'!$A$5:$A$76,'분류_규칙'!$H$5:$H$76,0))</x:f>
        <x:v>5</x:v>
      </x:c>
      <x:c r="I431" s="10" t="n">
        <x:f>SUM(XLOOKUP('포켓몬_편집'!$AF431:$AN431,'분류_규칙'!$A$5:$A$76,'분류_규칙'!$I$5:$I$76,0))</x:f>
        <x:v>0</x:v>
      </x:c>
      <x:c r="J431" s="10" t="n">
        <x:f>SUM(XLOOKUP('포켓몬_편집'!$AF431:$AN431,'분류_규칙'!$A$5:$A$76,'분류_규칙'!$J$5:$J$76,0))</x:f>
        <x:v>2</x:v>
      </x:c>
      <x:c r="K431" s="10" t="n">
        <x:f>SUM(XLOOKUP('포켓몬_편집'!$AF431:$AN431,'분류_규칙'!$A$5:$A$76,'분류_규칙'!$K$5:$K$76,0))</x:f>
        <x:v>0</x:v>
      </x:c>
      <x:c r="L431" s="10" t="n">
        <x:f>SUM(XLOOKUP('포켓몬_편집'!$AF431:$AN431,'분류_규칙'!$A$5:$A$76,'분류_규칙'!$L$5:$L$76,0))</x:f>
        <x:v>0</x:v>
      </x:c>
      <x:c r="M431" s="10" t="n">
        <x:f>SUM(XLOOKUP('포켓몬_편집'!$AF431:$AN431,'분류_규칙'!$A$5:$A$76,'분류_규칙'!$M$5:$M$76,0))</x:f>
        <x:v>0</x:v>
      </x:c>
      <x:c r="N431" s="10" t="n">
        <x:f>SUM(XLOOKUP('포켓몬_편집'!$AF431:$AN431,'분류_규칙'!$A$5:$A$76,'분류_규칙'!$N$5:$N$76,0))</x:f>
        <x:v>0</x:v>
      </x:c>
      <x:c r="O431" s="10" t="n">
        <x:f>SUM(XLOOKUP('포켓몬_편집'!$AF431:$AN431,'분류_규칙'!$A$5:$A$76,'분류_규칙'!$O$5:$O$76,0))</x:f>
        <x:v>2</x:v>
      </x:c>
      <x:c r="P431" s="10" t="n">
        <x:f>SUM(XLOOKUP('포켓몬_편집'!$AF431:$AN431,'분류_규칙'!$A$5:$A$76,'분류_규칙'!$P$5:$P$76,0))</x:f>
        <x:v>0</x:v>
      </x:c>
    </x:row>
    <x:row r="432" ht="22" customHeight="1">
      <x:c r="A432" s="5" t="n">
        <x:v>428</x:v>
      </x:c>
      <x:c r="B432" s="5" t="inlineStr">
        <x:is>
          <x:t xml:space="preserve">이어롭</x:t>
        </x:is>
      </x:c>
      <x:c r="C432" s="5" t="inlineStr">
        <x:is>
          <x:t xml:space="preserve">lopunny</x:t>
        </x:is>
      </x:c>
      <x:c r="D432" s="5" t="n">
        <x:v>4</x:v>
      </x:c>
      <x:c r="E432" s="10" t="n">
        <x:f>SUM(XLOOKUP('포켓몬_편집'!$AF432:$AN432,'분류_규칙'!$A$5:$A$76,'분류_규칙'!$E$5:$E$76,0))</x:f>
        <x:v>10</x:v>
      </x:c>
      <x:c r="F432" s="10" t="n">
        <x:f>SUM(XLOOKUP('포켓몬_편집'!$AF432:$AN432,'분류_규칙'!$A$5:$A$76,'분류_규칙'!$F$5:$F$76,0))</x:f>
        <x:v>7</x:v>
      </x:c>
      <x:c r="G432" s="10" t="n">
        <x:f>SUM(XLOOKUP('포켓몬_편집'!$AF432:$AN432,'분류_규칙'!$A$5:$A$76,'분류_규칙'!$G$5:$G$76,0))</x:f>
        <x:v>5</x:v>
      </x:c>
      <x:c r="H432" s="10" t="n">
        <x:f>SUM(XLOOKUP('포켓몬_편집'!$AF432:$AN432,'분류_규칙'!$A$5:$A$76,'분류_규칙'!$H$5:$H$76,0))</x:f>
        <x:v>5</x:v>
      </x:c>
      <x:c r="I432" s="10" t="n">
        <x:f>SUM(XLOOKUP('포켓몬_편집'!$AF432:$AN432,'분류_규칙'!$A$5:$A$76,'분류_규칙'!$I$5:$I$76,0))</x:f>
        <x:v>0</x:v>
      </x:c>
      <x:c r="J432" s="10" t="n">
        <x:f>SUM(XLOOKUP('포켓몬_편집'!$AF432:$AN432,'분류_규칙'!$A$5:$A$76,'분류_규칙'!$J$5:$J$76,0))</x:f>
        <x:v>2</x:v>
      </x:c>
      <x:c r="K432" s="10" t="n">
        <x:f>SUM(XLOOKUP('포켓몬_편집'!$AF432:$AN432,'분류_규칙'!$A$5:$A$76,'분류_규칙'!$K$5:$K$76,0))</x:f>
        <x:v>0</x:v>
      </x:c>
      <x:c r="L432" s="10" t="n">
        <x:f>SUM(XLOOKUP('포켓몬_편집'!$AF432:$AN432,'분류_규칙'!$A$5:$A$76,'분류_규칙'!$L$5:$L$76,0))</x:f>
        <x:v>0</x:v>
      </x:c>
      <x:c r="M432" s="10" t="n">
        <x:f>SUM(XLOOKUP('포켓몬_편집'!$AF432:$AN432,'분류_규칙'!$A$5:$A$76,'분류_규칙'!$M$5:$M$76,0))</x:f>
        <x:v>0</x:v>
      </x:c>
      <x:c r="N432" s="10" t="n">
        <x:f>SUM(XLOOKUP('포켓몬_편집'!$AF432:$AN432,'분류_규칙'!$A$5:$A$76,'분류_규칙'!$N$5:$N$76,0))</x:f>
        <x:v>0</x:v>
      </x:c>
      <x:c r="O432" s="10" t="n">
        <x:f>SUM(XLOOKUP('포켓몬_편집'!$AF432:$AN432,'분류_규칙'!$A$5:$A$76,'분류_규칙'!$O$5:$O$76,0))</x:f>
        <x:v>2</x:v>
      </x:c>
      <x:c r="P432" s="10" t="n">
        <x:f>SUM(XLOOKUP('포켓몬_편집'!$AF432:$AN432,'분류_규칙'!$A$5:$A$76,'분류_규칙'!$P$5:$P$76,0))</x:f>
        <x:v>0</x:v>
      </x:c>
    </x:row>
    <x:row r="433" ht="22" customHeight="1">
      <x:c r="A433" s="5" t="n">
        <x:v>429</x:v>
      </x:c>
      <x:c r="B433" s="5" t="inlineStr">
        <x:is>
          <x:t xml:space="preserve">무우마직</x:t>
        </x:is>
      </x:c>
      <x:c r="C433" s="5" t="inlineStr">
        <x:is>
          <x:t xml:space="preserve">mismagius</x:t>
        </x:is>
      </x:c>
      <x:c r="D433" s="5" t="n">
        <x:v>4</x:v>
      </x:c>
      <x:c r="E433" s="10" t="n">
        <x:f>SUM(XLOOKUP('포켓몬_편집'!$AF433:$AN433,'분류_규칙'!$A$5:$A$76,'분류_규칙'!$E$5:$E$76,0))</x:f>
        <x:v>8</x:v>
      </x:c>
      <x:c r="F433" s="10" t="n">
        <x:f>SUM(XLOOKUP('포켓몬_편집'!$AF433:$AN433,'분류_규칙'!$A$5:$A$76,'분류_규칙'!$F$5:$F$76,0))</x:f>
        <x:v>8</x:v>
      </x:c>
      <x:c r="G433" s="10" t="n">
        <x:f>SUM(XLOOKUP('포켓몬_편집'!$AF433:$AN433,'분류_규칙'!$A$5:$A$76,'분류_규칙'!$G$5:$G$76,0))</x:f>
        <x:v>0</x:v>
      </x:c>
      <x:c r="H433" s="10" t="n">
        <x:f>SUM(XLOOKUP('포켓몬_편집'!$AF433:$AN433,'분류_규칙'!$A$5:$A$76,'분류_규칙'!$H$5:$H$76,0))</x:f>
        <x:v>12</x:v>
      </x:c>
      <x:c r="I433" s="10" t="n">
        <x:f>SUM(XLOOKUP('포켓몬_편집'!$AF433:$AN433,'분류_규칙'!$A$5:$A$76,'분류_규칙'!$I$5:$I$76,0))</x:f>
        <x:v>0</x:v>
      </x:c>
      <x:c r="J433" s="10" t="n">
        <x:f>SUM(XLOOKUP('포켓몬_편집'!$AF433:$AN433,'분류_규칙'!$A$5:$A$76,'분류_규칙'!$J$5:$J$76,0))</x:f>
        <x:v>0</x:v>
      </x:c>
      <x:c r="K433" s="10" t="n">
        <x:f>SUM(XLOOKUP('포켓몬_편집'!$AF433:$AN433,'분류_규칙'!$A$5:$A$76,'분류_규칙'!$K$5:$K$76,0))</x:f>
        <x:v>0</x:v>
      </x:c>
      <x:c r="L433" s="10" t="n">
        <x:f>SUM(XLOOKUP('포켓몬_편집'!$AF433:$AN433,'분류_규칙'!$A$5:$A$76,'분류_규칙'!$L$5:$L$76,0))</x:f>
        <x:v>3</x:v>
      </x:c>
      <x:c r="M433" s="10" t="n">
        <x:f>SUM(XLOOKUP('포켓몬_편집'!$AF433:$AN433,'분류_규칙'!$A$5:$A$76,'분류_규칙'!$M$5:$M$76,0))</x:f>
        <x:v>0</x:v>
      </x:c>
      <x:c r="N433" s="10" t="n">
        <x:f>SUM(XLOOKUP('포켓몬_편집'!$AF433:$AN433,'분류_규칙'!$A$5:$A$76,'분류_규칙'!$N$5:$N$76,0))</x:f>
        <x:v>0</x:v>
      </x:c>
      <x:c r="O433" s="10" t="n">
        <x:f>SUM(XLOOKUP('포켓몬_편집'!$AF433:$AN433,'분류_규칙'!$A$5:$A$76,'분류_규칙'!$O$5:$O$76,0))</x:f>
        <x:v>2</x:v>
      </x:c>
      <x:c r="P433" s="10" t="n">
        <x:f>SUM(XLOOKUP('포켓몬_편집'!$AF433:$AN433,'분류_규칙'!$A$5:$A$76,'분류_규칙'!$P$5:$P$76,0))</x:f>
        <x:v>0</x:v>
      </x:c>
    </x:row>
    <x:row r="434" ht="22" customHeight="1">
      <x:c r="A434" s="5" t="n">
        <x:v>430</x:v>
      </x:c>
      <x:c r="B434" s="5" t="inlineStr">
        <x:is>
          <x:t xml:space="preserve">돈크로우</x:t>
        </x:is>
      </x:c>
      <x:c r="C434" s="5" t="inlineStr">
        <x:is>
          <x:t xml:space="preserve">honchkrow</x:t>
        </x:is>
      </x:c>
      <x:c r="D434" s="5" t="n">
        <x:v>4</x:v>
      </x:c>
      <x:c r="E434" s="10" t="n">
        <x:f>SUM(XLOOKUP('포켓몬_편집'!$AF434:$AN434,'분류_규칙'!$A$5:$A$76,'분류_규칙'!$E$5:$E$76,0))</x:f>
        <x:v>8</x:v>
      </x:c>
      <x:c r="F434" s="10" t="n">
        <x:f>SUM(XLOOKUP('포켓몬_편집'!$AF434:$AN434,'분류_규칙'!$A$5:$A$76,'분류_규칙'!$F$5:$F$76,0))</x:f>
        <x:v>8</x:v>
      </x:c>
      <x:c r="G434" s="10" t="n">
        <x:f>SUM(XLOOKUP('포켓몬_편집'!$AF434:$AN434,'분류_규칙'!$A$5:$A$76,'분류_규칙'!$G$5:$G$76,0))</x:f>
        <x:v>0</x:v>
      </x:c>
      <x:c r="H434" s="10" t="n">
        <x:f>SUM(XLOOKUP('포켓몬_편집'!$AF434:$AN434,'분류_규칙'!$A$5:$A$76,'분류_규칙'!$H$5:$H$76,0))</x:f>
        <x:v>12</x:v>
      </x:c>
      <x:c r="I434" s="10" t="n">
        <x:f>SUM(XLOOKUP('포켓몬_편집'!$AF434:$AN434,'분류_규칙'!$A$5:$A$76,'분류_규칙'!$I$5:$I$76,0))</x:f>
        <x:v>0</x:v>
      </x:c>
      <x:c r="J434" s="10" t="n">
        <x:f>SUM(XLOOKUP('포켓몬_편집'!$AF434:$AN434,'분류_규칙'!$A$5:$A$76,'분류_규칙'!$J$5:$J$76,0))</x:f>
        <x:v>0</x:v>
      </x:c>
      <x:c r="K434" s="10" t="n">
        <x:f>SUM(XLOOKUP('포켓몬_편집'!$AF434:$AN434,'분류_규칙'!$A$5:$A$76,'분류_규칙'!$K$5:$K$76,0))</x:f>
        <x:v>0</x:v>
      </x:c>
      <x:c r="L434" s="10" t="n">
        <x:f>SUM(XLOOKUP('포켓몬_편집'!$AF434:$AN434,'분류_규칙'!$A$5:$A$76,'분류_규칙'!$L$5:$L$76,0))</x:f>
        <x:v>3</x:v>
      </x:c>
      <x:c r="M434" s="10" t="n">
        <x:f>SUM(XLOOKUP('포켓몬_편집'!$AF434:$AN434,'분류_규칙'!$A$5:$A$76,'분류_규칙'!$M$5:$M$76,0))</x:f>
        <x:v>0</x:v>
      </x:c>
      <x:c r="N434" s="10" t="n">
        <x:f>SUM(XLOOKUP('포켓몬_편집'!$AF434:$AN434,'분류_규칙'!$A$5:$A$76,'분류_규칙'!$N$5:$N$76,0))</x:f>
        <x:v>0</x:v>
      </x:c>
      <x:c r="O434" s="10" t="n">
        <x:f>SUM(XLOOKUP('포켓몬_편집'!$AF434:$AN434,'분류_규칙'!$A$5:$A$76,'분류_규칙'!$O$5:$O$76,0))</x:f>
        <x:v>2</x:v>
      </x:c>
      <x:c r="P434" s="10" t="n">
        <x:f>SUM(XLOOKUP('포켓몬_편집'!$AF434:$AN434,'분류_규칙'!$A$5:$A$76,'분류_규칙'!$P$5:$P$76,0))</x:f>
        <x:v>0</x:v>
      </x:c>
    </x:row>
    <x:row r="435" ht="22" customHeight="1">
      <x:c r="A435" s="5" t="n">
        <x:v>431</x:v>
      </x:c>
      <x:c r="B435" s="5" t="inlineStr">
        <x:is>
          <x:t xml:space="preserve">나옹마</x:t>
        </x:is>
      </x:c>
      <x:c r="C435" s="5" t="inlineStr">
        <x:is>
          <x:t xml:space="preserve">glameow</x:t>
        </x:is>
      </x:c>
      <x:c r="D435" s="5" t="n">
        <x:v>4</x:v>
      </x:c>
      <x:c r="E435" s="10" t="n">
        <x:f>SUM(XLOOKUP('포켓몬_편집'!$AF435:$AN435,'분류_규칙'!$A$5:$A$76,'분류_규칙'!$E$5:$E$76,0))</x:f>
        <x:v>10</x:v>
      </x:c>
      <x:c r="F435" s="10" t="n">
        <x:f>SUM(XLOOKUP('포켓몬_편집'!$AF435:$AN435,'분류_규칙'!$A$5:$A$76,'분류_규칙'!$F$5:$F$76,0))</x:f>
        <x:v>7</x:v>
      </x:c>
      <x:c r="G435" s="10" t="n">
        <x:f>SUM(XLOOKUP('포켓몬_편집'!$AF435:$AN435,'분류_규칙'!$A$5:$A$76,'분류_규칙'!$G$5:$G$76,0))</x:f>
        <x:v>5</x:v>
      </x:c>
      <x:c r="H435" s="10" t="n">
        <x:f>SUM(XLOOKUP('포켓몬_편집'!$AF435:$AN435,'분류_규칙'!$A$5:$A$76,'분류_규칙'!$H$5:$H$76,0))</x:f>
        <x:v>5</x:v>
      </x:c>
      <x:c r="I435" s="10" t="n">
        <x:f>SUM(XLOOKUP('포켓몬_편집'!$AF435:$AN435,'분류_규칙'!$A$5:$A$76,'분류_규칙'!$I$5:$I$76,0))</x:f>
        <x:v>0</x:v>
      </x:c>
      <x:c r="J435" s="10" t="n">
        <x:f>SUM(XLOOKUP('포켓몬_편집'!$AF435:$AN435,'분류_규칙'!$A$5:$A$76,'분류_규칙'!$J$5:$J$76,0))</x:f>
        <x:v>2</x:v>
      </x:c>
      <x:c r="K435" s="10" t="n">
        <x:f>SUM(XLOOKUP('포켓몬_편집'!$AF435:$AN435,'분류_규칙'!$A$5:$A$76,'분류_규칙'!$K$5:$K$76,0))</x:f>
        <x:v>0</x:v>
      </x:c>
      <x:c r="L435" s="10" t="n">
        <x:f>SUM(XLOOKUP('포켓몬_편집'!$AF435:$AN435,'분류_규칙'!$A$5:$A$76,'분류_규칙'!$L$5:$L$76,0))</x:f>
        <x:v>0</x:v>
      </x:c>
      <x:c r="M435" s="10" t="n">
        <x:f>SUM(XLOOKUP('포켓몬_편집'!$AF435:$AN435,'분류_규칙'!$A$5:$A$76,'분류_규칙'!$M$5:$M$76,0))</x:f>
        <x:v>0</x:v>
      </x:c>
      <x:c r="N435" s="10" t="n">
        <x:f>SUM(XLOOKUP('포켓몬_편집'!$AF435:$AN435,'분류_규칙'!$A$5:$A$76,'분류_규칙'!$N$5:$N$76,0))</x:f>
        <x:v>0</x:v>
      </x:c>
      <x:c r="O435" s="10" t="n">
        <x:f>SUM(XLOOKUP('포켓몬_편집'!$AF435:$AN435,'분류_규칙'!$A$5:$A$76,'분류_규칙'!$O$5:$O$76,0))</x:f>
        <x:v>2</x:v>
      </x:c>
      <x:c r="P435" s="10" t="n">
        <x:f>SUM(XLOOKUP('포켓몬_편집'!$AF435:$AN435,'분류_규칙'!$A$5:$A$76,'분류_규칙'!$P$5:$P$76,0))</x:f>
        <x:v>0</x:v>
      </x:c>
    </x:row>
    <x:row r="436" ht="22" customHeight="1">
      <x:c r="A436" s="5" t="n">
        <x:v>432</x:v>
      </x:c>
      <x:c r="B436" s="5" t="inlineStr">
        <x:is>
          <x:t xml:space="preserve">몬냥이</x:t>
        </x:is>
      </x:c>
      <x:c r="C436" s="5" t="inlineStr">
        <x:is>
          <x:t xml:space="preserve">purugly</x:t>
        </x:is>
      </x:c>
      <x:c r="D436" s="5" t="n">
        <x:v>4</x:v>
      </x:c>
      <x:c r="E436" s="10" t="n">
        <x:f>SUM(XLOOKUP('포켓몬_편집'!$AF436:$AN436,'분류_규칙'!$A$5:$A$76,'분류_규칙'!$E$5:$E$76,0))</x:f>
        <x:v>10</x:v>
      </x:c>
      <x:c r="F436" s="10" t="n">
        <x:f>SUM(XLOOKUP('포켓몬_편집'!$AF436:$AN436,'분류_규칙'!$A$5:$A$76,'분류_규칙'!$F$5:$F$76,0))</x:f>
        <x:v>7</x:v>
      </x:c>
      <x:c r="G436" s="10" t="n">
        <x:f>SUM(XLOOKUP('포켓몬_편집'!$AF436:$AN436,'분류_규칙'!$A$5:$A$76,'분류_규칙'!$G$5:$G$76,0))</x:f>
        <x:v>5</x:v>
      </x:c>
      <x:c r="H436" s="10" t="n">
        <x:f>SUM(XLOOKUP('포켓몬_편집'!$AF436:$AN436,'분류_규칙'!$A$5:$A$76,'분류_규칙'!$H$5:$H$76,0))</x:f>
        <x:v>5</x:v>
      </x:c>
      <x:c r="I436" s="10" t="n">
        <x:f>SUM(XLOOKUP('포켓몬_편집'!$AF436:$AN436,'분류_규칙'!$A$5:$A$76,'분류_규칙'!$I$5:$I$76,0))</x:f>
        <x:v>0</x:v>
      </x:c>
      <x:c r="J436" s="10" t="n">
        <x:f>SUM(XLOOKUP('포켓몬_편집'!$AF436:$AN436,'분류_규칙'!$A$5:$A$76,'분류_규칙'!$J$5:$J$76,0))</x:f>
        <x:v>2</x:v>
      </x:c>
      <x:c r="K436" s="10" t="n">
        <x:f>SUM(XLOOKUP('포켓몬_편집'!$AF436:$AN436,'분류_규칙'!$A$5:$A$76,'분류_규칙'!$K$5:$K$76,0))</x:f>
        <x:v>0</x:v>
      </x:c>
      <x:c r="L436" s="10" t="n">
        <x:f>SUM(XLOOKUP('포켓몬_편집'!$AF436:$AN436,'분류_규칙'!$A$5:$A$76,'분류_규칙'!$L$5:$L$76,0))</x:f>
        <x:v>0</x:v>
      </x:c>
      <x:c r="M436" s="10" t="n">
        <x:f>SUM(XLOOKUP('포켓몬_편집'!$AF436:$AN436,'분류_규칙'!$A$5:$A$76,'분류_규칙'!$M$5:$M$76,0))</x:f>
        <x:v>0</x:v>
      </x:c>
      <x:c r="N436" s="10" t="n">
        <x:f>SUM(XLOOKUP('포켓몬_편집'!$AF436:$AN436,'분류_규칙'!$A$5:$A$76,'분류_규칙'!$N$5:$N$76,0))</x:f>
        <x:v>0</x:v>
      </x:c>
      <x:c r="O436" s="10" t="n">
        <x:f>SUM(XLOOKUP('포켓몬_편집'!$AF436:$AN436,'분류_규칙'!$A$5:$A$76,'분류_규칙'!$O$5:$O$76,0))</x:f>
        <x:v>2</x:v>
      </x:c>
      <x:c r="P436" s="10" t="n">
        <x:f>SUM(XLOOKUP('포켓몬_편집'!$AF436:$AN436,'분류_규칙'!$A$5:$A$76,'분류_규칙'!$P$5:$P$76,0))</x:f>
        <x:v>0</x:v>
      </x:c>
    </x:row>
    <x:row r="437" ht="22" customHeight="1">
      <x:c r="A437" s="5" t="n">
        <x:v>433</x:v>
      </x:c>
      <x:c r="B437" s="5" t="inlineStr">
        <x:is>
          <x:t xml:space="preserve">랑딸랑</x:t>
        </x:is>
      </x:c>
      <x:c r="C437" s="5" t="inlineStr">
        <x:is>
          <x:t xml:space="preserve">chingling</x:t>
        </x:is>
      </x:c>
      <x:c r="D437" s="5" t="n">
        <x:v>4</x:v>
      </x:c>
      <x:c r="E437" s="10" t="n">
        <x:f>SUM(XLOOKUP('포켓몬_편집'!$AF437:$AN437,'분류_규칙'!$A$5:$A$76,'분류_규칙'!$E$5:$E$76,0))</x:f>
        <x:v>8</x:v>
      </x:c>
      <x:c r="F437" s="10" t="n">
        <x:f>SUM(XLOOKUP('포켓몬_편집'!$AF437:$AN437,'분류_규칙'!$A$5:$A$76,'분류_규칙'!$F$5:$F$76,0))</x:f>
        <x:v>8</x:v>
      </x:c>
      <x:c r="G437" s="10" t="n">
        <x:f>SUM(XLOOKUP('포켓몬_편집'!$AF437:$AN437,'분류_규칙'!$A$5:$A$76,'분류_규칙'!$G$5:$G$76,0))</x:f>
        <x:v>0</x:v>
      </x:c>
      <x:c r="H437" s="10" t="n">
        <x:f>SUM(XLOOKUP('포켓몬_편집'!$AF437:$AN437,'분류_규칙'!$A$5:$A$76,'분류_규칙'!$H$5:$H$76,0))</x:f>
        <x:v>12</x:v>
      </x:c>
      <x:c r="I437" s="10" t="n">
        <x:f>SUM(XLOOKUP('포켓몬_편집'!$AF437:$AN437,'분류_규칙'!$A$5:$A$76,'분류_규칙'!$I$5:$I$76,0))</x:f>
        <x:v>0</x:v>
      </x:c>
      <x:c r="J437" s="10" t="n">
        <x:f>SUM(XLOOKUP('포켓몬_편집'!$AF437:$AN437,'분류_규칙'!$A$5:$A$76,'분류_규칙'!$J$5:$J$76,0))</x:f>
        <x:v>0</x:v>
      </x:c>
      <x:c r="K437" s="10" t="n">
        <x:f>SUM(XLOOKUP('포켓몬_편집'!$AF437:$AN437,'분류_규칙'!$A$5:$A$76,'분류_규칙'!$K$5:$K$76,0))</x:f>
        <x:v>0</x:v>
      </x:c>
      <x:c r="L437" s="10" t="n">
        <x:f>SUM(XLOOKUP('포켓몬_편집'!$AF437:$AN437,'분류_규칙'!$A$5:$A$76,'분류_규칙'!$L$5:$L$76,0))</x:f>
        <x:v>3</x:v>
      </x:c>
      <x:c r="M437" s="10" t="n">
        <x:f>SUM(XLOOKUP('포켓몬_편집'!$AF437:$AN437,'분류_규칙'!$A$5:$A$76,'분류_규칙'!$M$5:$M$76,0))</x:f>
        <x:v>0</x:v>
      </x:c>
      <x:c r="N437" s="10" t="n">
        <x:f>SUM(XLOOKUP('포켓몬_편집'!$AF437:$AN437,'분류_규칙'!$A$5:$A$76,'분류_규칙'!$N$5:$N$76,0))</x:f>
        <x:v>0</x:v>
      </x:c>
      <x:c r="O437" s="10" t="n">
        <x:f>SUM(XLOOKUP('포켓몬_편집'!$AF437:$AN437,'분류_규칙'!$A$5:$A$76,'분류_규칙'!$O$5:$O$76,0))</x:f>
        <x:v>2</x:v>
      </x:c>
      <x:c r="P437" s="10" t="n">
        <x:f>SUM(XLOOKUP('포켓몬_편집'!$AF437:$AN437,'분류_규칙'!$A$5:$A$76,'분류_규칙'!$P$5:$P$76,0))</x:f>
        <x:v>0</x:v>
      </x:c>
    </x:row>
    <x:row r="438" ht="22" customHeight="1">
      <x:c r="A438" s="5" t="n">
        <x:v>434</x:v>
      </x:c>
      <x:c r="B438" s="5" t="inlineStr">
        <x:is>
          <x:t xml:space="preserve">스컹뿡</x:t>
        </x:is>
      </x:c>
      <x:c r="C438" s="5" t="inlineStr">
        <x:is>
          <x:t xml:space="preserve">stunky</x:t>
        </x:is>
      </x:c>
      <x:c r="D438" s="5" t="n">
        <x:v>4</x:v>
      </x:c>
      <x:c r="E438" s="10" t="n">
        <x:f>SUM(XLOOKUP('포켓몬_편집'!$AF438:$AN438,'분류_규칙'!$A$5:$A$76,'분류_규칙'!$E$5:$E$76,0))</x:f>
        <x:v>10</x:v>
      </x:c>
      <x:c r="F438" s="10" t="n">
        <x:f>SUM(XLOOKUP('포켓몬_편집'!$AF438:$AN438,'분류_규칙'!$A$5:$A$76,'분류_규칙'!$F$5:$F$76,0))</x:f>
        <x:v>7</x:v>
      </x:c>
      <x:c r="G438" s="10" t="n">
        <x:f>SUM(XLOOKUP('포켓몬_편집'!$AF438:$AN438,'분류_규칙'!$A$5:$A$76,'분류_규칙'!$G$5:$G$76,0))</x:f>
        <x:v>5</x:v>
      </x:c>
      <x:c r="H438" s="10" t="n">
        <x:f>SUM(XLOOKUP('포켓몬_편집'!$AF438:$AN438,'분류_규칙'!$A$5:$A$76,'분류_규칙'!$H$5:$H$76,0))</x:f>
        <x:v>5</x:v>
      </x:c>
      <x:c r="I438" s="10" t="n">
        <x:f>SUM(XLOOKUP('포켓몬_편집'!$AF438:$AN438,'분류_규칙'!$A$5:$A$76,'분류_규칙'!$I$5:$I$76,0))</x:f>
        <x:v>0</x:v>
      </x:c>
      <x:c r="J438" s="10" t="n">
        <x:f>SUM(XLOOKUP('포켓몬_편집'!$AF438:$AN438,'분류_규칙'!$A$5:$A$76,'분류_규칙'!$J$5:$J$76,0))</x:f>
        <x:v>2</x:v>
      </x:c>
      <x:c r="K438" s="10" t="n">
        <x:f>SUM(XLOOKUP('포켓몬_편집'!$AF438:$AN438,'분류_규칙'!$A$5:$A$76,'분류_규칙'!$K$5:$K$76,0))</x:f>
        <x:v>0</x:v>
      </x:c>
      <x:c r="L438" s="10" t="n">
        <x:f>SUM(XLOOKUP('포켓몬_편집'!$AF438:$AN438,'분류_규칙'!$A$5:$A$76,'분류_규칙'!$L$5:$L$76,0))</x:f>
        <x:v>0</x:v>
      </x:c>
      <x:c r="M438" s="10" t="n">
        <x:f>SUM(XLOOKUP('포켓몬_편집'!$AF438:$AN438,'분류_규칙'!$A$5:$A$76,'분류_규칙'!$M$5:$M$76,0))</x:f>
        <x:v>0</x:v>
      </x:c>
      <x:c r="N438" s="10" t="n">
        <x:f>SUM(XLOOKUP('포켓몬_편집'!$AF438:$AN438,'분류_규칙'!$A$5:$A$76,'분류_규칙'!$N$5:$N$76,0))</x:f>
        <x:v>0</x:v>
      </x:c>
      <x:c r="O438" s="10" t="n">
        <x:f>SUM(XLOOKUP('포켓몬_편집'!$AF438:$AN438,'분류_규칙'!$A$5:$A$76,'분류_규칙'!$O$5:$O$76,0))</x:f>
        <x:v>2</x:v>
      </x:c>
      <x:c r="P438" s="10" t="n">
        <x:f>SUM(XLOOKUP('포켓몬_편집'!$AF438:$AN438,'분류_규칙'!$A$5:$A$76,'분류_규칙'!$P$5:$P$76,0))</x:f>
        <x:v>0</x:v>
      </x:c>
    </x:row>
    <x:row r="439" ht="22" customHeight="1">
      <x:c r="A439" s="5" t="n">
        <x:v>435</x:v>
      </x:c>
      <x:c r="B439" s="5" t="inlineStr">
        <x:is>
          <x:t xml:space="preserve">스컹탱크</x:t>
        </x:is>
      </x:c>
      <x:c r="C439" s="5" t="inlineStr">
        <x:is>
          <x:t xml:space="preserve">skuntank</x:t>
        </x:is>
      </x:c>
      <x:c r="D439" s="5" t="n">
        <x:v>4</x:v>
      </x:c>
      <x:c r="E439" s="10" t="n">
        <x:f>SUM(XLOOKUP('포켓몬_편집'!$AF439:$AN439,'분류_규칙'!$A$5:$A$76,'분류_규칙'!$E$5:$E$76,0))</x:f>
        <x:v>10</x:v>
      </x:c>
      <x:c r="F439" s="10" t="n">
        <x:f>SUM(XLOOKUP('포켓몬_편집'!$AF439:$AN439,'분류_규칙'!$A$5:$A$76,'분류_규칙'!$F$5:$F$76,0))</x:f>
        <x:v>7</x:v>
      </x:c>
      <x:c r="G439" s="10" t="n">
        <x:f>SUM(XLOOKUP('포켓몬_편집'!$AF439:$AN439,'분류_규칙'!$A$5:$A$76,'분류_규칙'!$G$5:$G$76,0))</x:f>
        <x:v>5</x:v>
      </x:c>
      <x:c r="H439" s="10" t="n">
        <x:f>SUM(XLOOKUP('포켓몬_편집'!$AF439:$AN439,'분류_규칙'!$A$5:$A$76,'분류_규칙'!$H$5:$H$76,0))</x:f>
        <x:v>5</x:v>
      </x:c>
      <x:c r="I439" s="10" t="n">
        <x:f>SUM(XLOOKUP('포켓몬_편집'!$AF439:$AN439,'분류_규칙'!$A$5:$A$76,'분류_규칙'!$I$5:$I$76,0))</x:f>
        <x:v>0</x:v>
      </x:c>
      <x:c r="J439" s="10" t="n">
        <x:f>SUM(XLOOKUP('포켓몬_편집'!$AF439:$AN439,'분류_규칙'!$A$5:$A$76,'분류_규칙'!$J$5:$J$76,0))</x:f>
        <x:v>2</x:v>
      </x:c>
      <x:c r="K439" s="10" t="n">
        <x:f>SUM(XLOOKUP('포켓몬_편집'!$AF439:$AN439,'분류_규칙'!$A$5:$A$76,'분류_규칙'!$K$5:$K$76,0))</x:f>
        <x:v>0</x:v>
      </x:c>
      <x:c r="L439" s="10" t="n">
        <x:f>SUM(XLOOKUP('포켓몬_편집'!$AF439:$AN439,'분류_규칙'!$A$5:$A$76,'분류_규칙'!$L$5:$L$76,0))</x:f>
        <x:v>0</x:v>
      </x:c>
      <x:c r="M439" s="10" t="n">
        <x:f>SUM(XLOOKUP('포켓몬_편집'!$AF439:$AN439,'분류_규칙'!$A$5:$A$76,'분류_규칙'!$M$5:$M$76,0))</x:f>
        <x:v>0</x:v>
      </x:c>
      <x:c r="N439" s="10" t="n">
        <x:f>SUM(XLOOKUP('포켓몬_편집'!$AF439:$AN439,'분류_규칙'!$A$5:$A$76,'분류_규칙'!$N$5:$N$76,0))</x:f>
        <x:v>0</x:v>
      </x:c>
      <x:c r="O439" s="10" t="n">
        <x:f>SUM(XLOOKUP('포켓몬_편집'!$AF439:$AN439,'분류_규칙'!$A$5:$A$76,'분류_규칙'!$O$5:$O$76,0))</x:f>
        <x:v>2</x:v>
      </x:c>
      <x:c r="P439" s="10" t="n">
        <x:f>SUM(XLOOKUP('포켓몬_편집'!$AF439:$AN439,'분류_규칙'!$A$5:$A$76,'분류_규칙'!$P$5:$P$76,0))</x:f>
        <x:v>0</x:v>
      </x:c>
    </x:row>
    <x:row r="440" ht="22" customHeight="1">
      <x:c r="A440" s="5" t="n">
        <x:v>436</x:v>
      </x:c>
      <x:c r="B440" s="5" t="inlineStr">
        <x:is>
          <x:t xml:space="preserve">동미러</x:t>
        </x:is>
      </x:c>
      <x:c r="C440" s="5" t="inlineStr">
        <x:is>
          <x:t xml:space="preserve">bronzor</x:t>
        </x:is>
      </x:c>
      <x:c r="D440" s="5" t="n">
        <x:v>4</x:v>
      </x:c>
      <x:c r="E440" s="10" t="n">
        <x:f>SUM(XLOOKUP('포켓몬_편집'!$AF440:$AN440,'분류_규칙'!$A$5:$A$76,'분류_규칙'!$E$5:$E$76,0))</x:f>
        <x:v>0</x:v>
      </x:c>
      <x:c r="F440" s="10" t="n">
        <x:f>SUM(XLOOKUP('포켓몬_편집'!$AF440:$AN440,'분류_규칙'!$A$5:$A$76,'분류_규칙'!$F$5:$F$76,0))</x:f>
        <x:v>0</x:v>
      </x:c>
      <x:c r="G440" s="10" t="n">
        <x:f>SUM(XLOOKUP('포켓몬_편집'!$AF440:$AN440,'분류_규칙'!$A$5:$A$76,'분류_규칙'!$G$5:$G$76,0))</x:f>
        <x:v>0</x:v>
      </x:c>
      <x:c r="H440" s="10" t="n">
        <x:f>SUM(XLOOKUP('포켓몬_편집'!$AF440:$AN440,'분류_규칙'!$A$5:$A$76,'분류_규칙'!$H$5:$H$76,0))</x:f>
        <x:v>0</x:v>
      </x:c>
      <x:c r="I440" s="10" t="n">
        <x:f>SUM(XLOOKUP('포켓몬_편집'!$AF440:$AN440,'분류_규칙'!$A$5:$A$76,'분류_규칙'!$I$5:$I$76,0))</x:f>
        <x:v>0</x:v>
      </x:c>
      <x:c r="J440" s="10" t="n">
        <x:f>SUM(XLOOKUP('포켓몬_편집'!$AF440:$AN440,'분류_규칙'!$A$5:$A$76,'분류_규칙'!$J$5:$J$76,0))</x:f>
        <x:v>0</x:v>
      </x:c>
      <x:c r="K440" s="10" t="n">
        <x:f>SUM(XLOOKUP('포켓몬_편집'!$AF440:$AN440,'분류_규칙'!$A$5:$A$76,'분류_규칙'!$K$5:$K$76,0))</x:f>
        <x:v>0</x:v>
      </x:c>
      <x:c r="L440" s="10" t="n">
        <x:f>SUM(XLOOKUP('포켓몬_편집'!$AF440:$AN440,'분류_규칙'!$A$5:$A$76,'분류_규칙'!$L$5:$L$76,0))</x:f>
        <x:v>0</x:v>
      </x:c>
      <x:c r="M440" s="10" t="n">
        <x:f>SUM(XLOOKUP('포켓몬_편집'!$AF440:$AN440,'분류_규칙'!$A$5:$A$76,'분류_규칙'!$M$5:$M$76,0))</x:f>
        <x:v>0</x:v>
      </x:c>
      <x:c r="N440" s="10" t="n">
        <x:f>SUM(XLOOKUP('포켓몬_편집'!$AF440:$AN440,'분류_규칙'!$A$5:$A$76,'분류_규칙'!$N$5:$N$76,0))</x:f>
        <x:v>0</x:v>
      </x:c>
      <x:c r="O440" s="10" t="n">
        <x:f>SUM(XLOOKUP('포켓몬_편집'!$AF440:$AN440,'분류_규칙'!$A$5:$A$76,'분류_규칙'!$O$5:$O$76,0))</x:f>
        <x:v>30</x:v>
      </x:c>
      <x:c r="P440" s="10" t="n">
        <x:f>SUM(XLOOKUP('포켓몬_편집'!$AF440:$AN440,'분류_규칙'!$A$5:$A$76,'분류_규칙'!$P$5:$P$76,0))</x:f>
        <x:v>8</x:v>
      </x:c>
    </x:row>
    <x:row r="441" ht="22" customHeight="1">
      <x:c r="A441" s="5" t="n">
        <x:v>437</x:v>
      </x:c>
      <x:c r="B441" s="5" t="inlineStr">
        <x:is>
          <x:t xml:space="preserve">동탁군</x:t>
        </x:is>
      </x:c>
      <x:c r="C441" s="5" t="inlineStr">
        <x:is>
          <x:t xml:space="preserve">bronzong</x:t>
        </x:is>
      </x:c>
      <x:c r="D441" s="5" t="n">
        <x:v>4</x:v>
      </x:c>
      <x:c r="E441" s="10" t="n">
        <x:f>SUM(XLOOKUP('포켓몬_편집'!$AF441:$AN441,'분류_규칙'!$A$5:$A$76,'분류_규칙'!$E$5:$E$76,0))</x:f>
        <x:v>0</x:v>
      </x:c>
      <x:c r="F441" s="10" t="n">
        <x:f>SUM(XLOOKUP('포켓몬_편집'!$AF441:$AN441,'분류_규칙'!$A$5:$A$76,'분류_규칙'!$F$5:$F$76,0))</x:f>
        <x:v>0</x:v>
      </x:c>
      <x:c r="G441" s="10" t="n">
        <x:f>SUM(XLOOKUP('포켓몬_편집'!$AF441:$AN441,'분류_규칙'!$A$5:$A$76,'분류_규칙'!$G$5:$G$76,0))</x:f>
        <x:v>0</x:v>
      </x:c>
      <x:c r="H441" s="10" t="n">
        <x:f>SUM(XLOOKUP('포켓몬_편집'!$AF441:$AN441,'분류_규칙'!$A$5:$A$76,'분류_규칙'!$H$5:$H$76,0))</x:f>
        <x:v>0</x:v>
      </x:c>
      <x:c r="I441" s="10" t="n">
        <x:f>SUM(XLOOKUP('포켓몬_편집'!$AF441:$AN441,'분류_규칙'!$A$5:$A$76,'분류_규칙'!$I$5:$I$76,0))</x:f>
        <x:v>0</x:v>
      </x:c>
      <x:c r="J441" s="10" t="n">
        <x:f>SUM(XLOOKUP('포켓몬_편집'!$AF441:$AN441,'분류_규칙'!$A$5:$A$76,'분류_규칙'!$J$5:$J$76,0))</x:f>
        <x:v>0</x:v>
      </x:c>
      <x:c r="K441" s="10" t="n">
        <x:f>SUM(XLOOKUP('포켓몬_편집'!$AF441:$AN441,'분류_규칙'!$A$5:$A$76,'분류_규칙'!$K$5:$K$76,0))</x:f>
        <x:v>0</x:v>
      </x:c>
      <x:c r="L441" s="10" t="n">
        <x:f>SUM(XLOOKUP('포켓몬_편집'!$AF441:$AN441,'분류_규칙'!$A$5:$A$76,'분류_규칙'!$L$5:$L$76,0))</x:f>
        <x:v>0</x:v>
      </x:c>
      <x:c r="M441" s="10" t="n">
        <x:f>SUM(XLOOKUP('포켓몬_편집'!$AF441:$AN441,'분류_규칙'!$A$5:$A$76,'분류_규칙'!$M$5:$M$76,0))</x:f>
        <x:v>0</x:v>
      </x:c>
      <x:c r="N441" s="10" t="n">
        <x:f>SUM(XLOOKUP('포켓몬_편집'!$AF441:$AN441,'분류_규칙'!$A$5:$A$76,'분류_규칙'!$N$5:$N$76,0))</x:f>
        <x:v>0</x:v>
      </x:c>
      <x:c r="O441" s="10" t="n">
        <x:f>SUM(XLOOKUP('포켓몬_편집'!$AF441:$AN441,'분류_규칙'!$A$5:$A$76,'분류_규칙'!$O$5:$O$76,0))</x:f>
        <x:v>30</x:v>
      </x:c>
      <x:c r="P441" s="10" t="n">
        <x:f>SUM(XLOOKUP('포켓몬_편집'!$AF441:$AN441,'분류_규칙'!$A$5:$A$76,'분류_규칙'!$P$5:$P$76,0))</x:f>
        <x:v>8</x:v>
      </x:c>
    </x:row>
    <x:row r="442" ht="22" customHeight="1">
      <x:c r="A442" s="5" t="n">
        <x:v>438</x:v>
      </x:c>
      <x:c r="B442" s="5" t="inlineStr">
        <x:is>
          <x:t xml:space="preserve">꼬지지</x:t>
        </x:is>
      </x:c>
      <x:c r="C442" s="5" t="inlineStr">
        <x:is>
          <x:t xml:space="preserve">bonsly</x:t>
        </x:is>
      </x:c>
      <x:c r="D442" s="5" t="n">
        <x:v>4</x:v>
      </x:c>
      <x:c r="E442" s="10" t="n">
        <x:f>SUM(XLOOKUP('포켓몬_편집'!$AF442:$AN442,'분류_규칙'!$A$5:$A$76,'분류_규칙'!$E$5:$E$76,0))</x:f>
        <x:v>10</x:v>
      </x:c>
      <x:c r="F442" s="10" t="n">
        <x:f>SUM(XLOOKUP('포켓몬_편집'!$AF442:$AN442,'분류_규칙'!$A$5:$A$76,'분류_규칙'!$F$5:$F$76,0))</x:f>
        <x:v>7</x:v>
      </x:c>
      <x:c r="G442" s="10" t="n">
        <x:f>SUM(XLOOKUP('포켓몬_편집'!$AF442:$AN442,'분류_규칙'!$A$5:$A$76,'분류_규칙'!$G$5:$G$76,0))</x:f>
        <x:v>5</x:v>
      </x:c>
      <x:c r="H442" s="10" t="n">
        <x:f>SUM(XLOOKUP('포켓몬_편집'!$AF442:$AN442,'분류_규칙'!$A$5:$A$76,'분류_규칙'!$H$5:$H$76,0))</x:f>
        <x:v>5</x:v>
      </x:c>
      <x:c r="I442" s="10" t="n">
        <x:f>SUM(XLOOKUP('포켓몬_편집'!$AF442:$AN442,'분류_규칙'!$A$5:$A$76,'분류_규칙'!$I$5:$I$76,0))</x:f>
        <x:v>0</x:v>
      </x:c>
      <x:c r="J442" s="10" t="n">
        <x:f>SUM(XLOOKUP('포켓몬_편집'!$AF442:$AN442,'분류_규칙'!$A$5:$A$76,'분류_규칙'!$J$5:$J$76,0))</x:f>
        <x:v>2</x:v>
      </x:c>
      <x:c r="K442" s="10" t="n">
        <x:f>SUM(XLOOKUP('포켓몬_편집'!$AF442:$AN442,'분류_규칙'!$A$5:$A$76,'분류_규칙'!$K$5:$K$76,0))</x:f>
        <x:v>0</x:v>
      </x:c>
      <x:c r="L442" s="10" t="n">
        <x:f>SUM(XLOOKUP('포켓몬_편집'!$AF442:$AN442,'분류_규칙'!$A$5:$A$76,'분류_규칙'!$L$5:$L$76,0))</x:f>
        <x:v>0</x:v>
      </x:c>
      <x:c r="M442" s="10" t="n">
        <x:f>SUM(XLOOKUP('포켓몬_편집'!$AF442:$AN442,'분류_규칙'!$A$5:$A$76,'분류_규칙'!$M$5:$M$76,0))</x:f>
        <x:v>0</x:v>
      </x:c>
      <x:c r="N442" s="10" t="n">
        <x:f>SUM(XLOOKUP('포켓몬_편집'!$AF442:$AN442,'분류_규칙'!$A$5:$A$76,'분류_규칙'!$N$5:$N$76,0))</x:f>
        <x:v>0</x:v>
      </x:c>
      <x:c r="O442" s="10" t="n">
        <x:f>SUM(XLOOKUP('포켓몬_편집'!$AF442:$AN442,'분류_규칙'!$A$5:$A$76,'분류_규칙'!$O$5:$O$76,0))</x:f>
        <x:v>2</x:v>
      </x:c>
      <x:c r="P442" s="10" t="n">
        <x:f>SUM(XLOOKUP('포켓몬_편집'!$AF442:$AN442,'분류_규칙'!$A$5:$A$76,'분류_규칙'!$P$5:$P$76,0))</x:f>
        <x:v>0</x:v>
      </x:c>
    </x:row>
    <x:row r="443" ht="22" customHeight="1">
      <x:c r="A443" s="5" t="n">
        <x:v>439</x:v>
      </x:c>
      <x:c r="B443" s="5" t="inlineStr">
        <x:is>
          <x:t xml:space="preserve">흉내내</x:t>
        </x:is>
      </x:c>
      <x:c r="C443" s="5" t="inlineStr">
        <x:is>
          <x:t xml:space="preserve">mimejr</x:t>
        </x:is>
      </x:c>
      <x:c r="D443" s="5" t="n">
        <x:v>4</x:v>
      </x:c>
      <x:c r="E443" s="10" t="n">
        <x:f>SUM(XLOOKUP('포켓몬_편집'!$AF443:$AN443,'분류_규칙'!$A$5:$A$76,'분류_규칙'!$E$5:$E$76,0))</x:f>
        <x:v>10</x:v>
      </x:c>
      <x:c r="F443" s="10" t="n">
        <x:f>SUM(XLOOKUP('포켓몬_편집'!$AF443:$AN443,'분류_규칙'!$A$5:$A$76,'분류_규칙'!$F$5:$F$76,0))</x:f>
        <x:v>7</x:v>
      </x:c>
      <x:c r="G443" s="10" t="n">
        <x:f>SUM(XLOOKUP('포켓몬_편집'!$AF443:$AN443,'분류_규칙'!$A$5:$A$76,'분류_규칙'!$G$5:$G$76,0))</x:f>
        <x:v>5</x:v>
      </x:c>
      <x:c r="H443" s="10" t="n">
        <x:f>SUM(XLOOKUP('포켓몬_편집'!$AF443:$AN443,'분류_규칙'!$A$5:$A$76,'분류_규칙'!$H$5:$H$76,0))</x:f>
        <x:v>5</x:v>
      </x:c>
      <x:c r="I443" s="10" t="n">
        <x:f>SUM(XLOOKUP('포켓몬_편집'!$AF443:$AN443,'분류_규칙'!$A$5:$A$76,'분류_규칙'!$I$5:$I$76,0))</x:f>
        <x:v>0</x:v>
      </x:c>
      <x:c r="J443" s="10" t="n">
        <x:f>SUM(XLOOKUP('포켓몬_편집'!$AF443:$AN443,'분류_규칙'!$A$5:$A$76,'분류_규칙'!$J$5:$J$76,0))</x:f>
        <x:v>2</x:v>
      </x:c>
      <x:c r="K443" s="10" t="n">
        <x:f>SUM(XLOOKUP('포켓몬_편집'!$AF443:$AN443,'분류_규칙'!$A$5:$A$76,'분류_규칙'!$K$5:$K$76,0))</x:f>
        <x:v>0</x:v>
      </x:c>
      <x:c r="L443" s="10" t="n">
        <x:f>SUM(XLOOKUP('포켓몬_편집'!$AF443:$AN443,'분류_규칙'!$A$5:$A$76,'분류_규칙'!$L$5:$L$76,0))</x:f>
        <x:v>0</x:v>
      </x:c>
      <x:c r="M443" s="10" t="n">
        <x:f>SUM(XLOOKUP('포켓몬_편집'!$AF443:$AN443,'분류_규칙'!$A$5:$A$76,'분류_규칙'!$M$5:$M$76,0))</x:f>
        <x:v>0</x:v>
      </x:c>
      <x:c r="N443" s="10" t="n">
        <x:f>SUM(XLOOKUP('포켓몬_편집'!$AF443:$AN443,'분류_규칙'!$A$5:$A$76,'분류_규칙'!$N$5:$N$76,0))</x:f>
        <x:v>0</x:v>
      </x:c>
      <x:c r="O443" s="10" t="n">
        <x:f>SUM(XLOOKUP('포켓몬_편집'!$AF443:$AN443,'분류_규칙'!$A$5:$A$76,'분류_규칙'!$O$5:$O$76,0))</x:f>
        <x:v>2</x:v>
      </x:c>
      <x:c r="P443" s="10" t="n">
        <x:f>SUM(XLOOKUP('포켓몬_편집'!$AF443:$AN443,'분류_규칙'!$A$5:$A$76,'분류_규칙'!$P$5:$P$76,0))</x:f>
        <x:v>0</x:v>
      </x:c>
    </x:row>
    <x:row r="444" ht="22" customHeight="1">
      <x:c r="A444" s="5" t="n">
        <x:v>440</x:v>
      </x:c>
      <x:c r="B444" s="5" t="inlineStr">
        <x:is>
          <x:t xml:space="preserve">핑복</x:t>
        </x:is>
      </x:c>
      <x:c r="C444" s="5" t="inlineStr">
        <x:is>
          <x:t xml:space="preserve">happiny</x:t>
        </x:is>
      </x:c>
      <x:c r="D444" s="5" t="n">
        <x:v>4</x:v>
      </x:c>
      <x:c r="E444" s="10" t="n">
        <x:f>SUM(XLOOKUP('포켓몬_편집'!$AF444:$AN444,'분류_규칙'!$A$5:$A$76,'분류_규칙'!$E$5:$E$76,0))</x:f>
        <x:v>10</x:v>
      </x:c>
      <x:c r="F444" s="10" t="n">
        <x:f>SUM(XLOOKUP('포켓몬_편집'!$AF444:$AN444,'분류_규칙'!$A$5:$A$76,'분류_규칙'!$F$5:$F$76,0))</x:f>
        <x:v>7</x:v>
      </x:c>
      <x:c r="G444" s="10" t="n">
        <x:f>SUM(XLOOKUP('포켓몬_편집'!$AF444:$AN444,'분류_규칙'!$A$5:$A$76,'분류_규칙'!$G$5:$G$76,0))</x:f>
        <x:v>5</x:v>
      </x:c>
      <x:c r="H444" s="10" t="n">
        <x:f>SUM(XLOOKUP('포켓몬_편집'!$AF444:$AN444,'분류_규칙'!$A$5:$A$76,'분류_규칙'!$H$5:$H$76,0))</x:f>
        <x:v>5</x:v>
      </x:c>
      <x:c r="I444" s="10" t="n">
        <x:f>SUM(XLOOKUP('포켓몬_편집'!$AF444:$AN444,'분류_규칙'!$A$5:$A$76,'분류_규칙'!$I$5:$I$76,0))</x:f>
        <x:v>0</x:v>
      </x:c>
      <x:c r="J444" s="10" t="n">
        <x:f>SUM(XLOOKUP('포켓몬_편집'!$AF444:$AN444,'분류_규칙'!$A$5:$A$76,'분류_규칙'!$J$5:$J$76,0))</x:f>
        <x:v>2</x:v>
      </x:c>
      <x:c r="K444" s="10" t="n">
        <x:f>SUM(XLOOKUP('포켓몬_편집'!$AF444:$AN444,'분류_규칙'!$A$5:$A$76,'분류_규칙'!$K$5:$K$76,0))</x:f>
        <x:v>0</x:v>
      </x:c>
      <x:c r="L444" s="10" t="n">
        <x:f>SUM(XLOOKUP('포켓몬_편집'!$AF444:$AN444,'분류_규칙'!$A$5:$A$76,'분류_규칙'!$L$5:$L$76,0))</x:f>
        <x:v>0</x:v>
      </x:c>
      <x:c r="M444" s="10" t="n">
        <x:f>SUM(XLOOKUP('포켓몬_편집'!$AF444:$AN444,'분류_규칙'!$A$5:$A$76,'분류_규칙'!$M$5:$M$76,0))</x:f>
        <x:v>0</x:v>
      </x:c>
      <x:c r="N444" s="10" t="n">
        <x:f>SUM(XLOOKUP('포켓몬_편집'!$AF444:$AN444,'분류_규칙'!$A$5:$A$76,'분류_규칙'!$N$5:$N$76,0))</x:f>
        <x:v>0</x:v>
      </x:c>
      <x:c r="O444" s="10" t="n">
        <x:f>SUM(XLOOKUP('포켓몬_편집'!$AF444:$AN444,'분류_규칙'!$A$5:$A$76,'분류_규칙'!$O$5:$O$76,0))</x:f>
        <x:v>2</x:v>
      </x:c>
      <x:c r="P444" s="10" t="n">
        <x:f>SUM(XLOOKUP('포켓몬_편집'!$AF444:$AN444,'분류_규칙'!$A$5:$A$76,'분류_규칙'!$P$5:$P$76,0))</x:f>
        <x:v>0</x:v>
      </x:c>
    </x:row>
    <x:row r="445" ht="22" customHeight="1">
      <x:c r="A445" s="5" t="n">
        <x:v>441</x:v>
      </x:c>
      <x:c r="B445" s="5" t="inlineStr">
        <x:is>
          <x:t xml:space="preserve">페라페</x:t>
        </x:is>
      </x:c>
      <x:c r="C445" s="5" t="inlineStr">
        <x:is>
          <x:t xml:space="preserve">chatot</x:t>
        </x:is>
      </x:c>
      <x:c r="D445" s="5" t="n">
        <x:v>4</x:v>
      </x:c>
      <x:c r="E445" s="10" t="n">
        <x:f>SUM(XLOOKUP('포켓몬_편집'!$AF445:$AN445,'분류_규칙'!$A$5:$A$76,'분류_규칙'!$E$5:$E$76,0))</x:f>
        <x:v>8</x:v>
      </x:c>
      <x:c r="F445" s="10" t="n">
        <x:f>SUM(XLOOKUP('포켓몬_편집'!$AF445:$AN445,'분류_규칙'!$A$5:$A$76,'분류_규칙'!$F$5:$F$76,0))</x:f>
        <x:v>8</x:v>
      </x:c>
      <x:c r="G445" s="10" t="n">
        <x:f>SUM(XLOOKUP('포켓몬_편집'!$AF445:$AN445,'분류_규칙'!$A$5:$A$76,'분류_규칙'!$G$5:$G$76,0))</x:f>
        <x:v>0</x:v>
      </x:c>
      <x:c r="H445" s="10" t="n">
        <x:f>SUM(XLOOKUP('포켓몬_편집'!$AF445:$AN445,'분류_규칙'!$A$5:$A$76,'분류_규칙'!$H$5:$H$76,0))</x:f>
        <x:v>12</x:v>
      </x:c>
      <x:c r="I445" s="10" t="n">
        <x:f>SUM(XLOOKUP('포켓몬_편집'!$AF445:$AN445,'분류_규칙'!$A$5:$A$76,'분류_규칙'!$I$5:$I$76,0))</x:f>
        <x:v>0</x:v>
      </x:c>
      <x:c r="J445" s="10" t="n">
        <x:f>SUM(XLOOKUP('포켓몬_편집'!$AF445:$AN445,'분류_규칙'!$A$5:$A$76,'분류_규칙'!$J$5:$J$76,0))</x:f>
        <x:v>0</x:v>
      </x:c>
      <x:c r="K445" s="10" t="n">
        <x:f>SUM(XLOOKUP('포켓몬_편집'!$AF445:$AN445,'분류_규칙'!$A$5:$A$76,'분류_규칙'!$K$5:$K$76,0))</x:f>
        <x:v>0</x:v>
      </x:c>
      <x:c r="L445" s="10" t="n">
        <x:f>SUM(XLOOKUP('포켓몬_편집'!$AF445:$AN445,'분류_규칙'!$A$5:$A$76,'분류_규칙'!$L$5:$L$76,0))</x:f>
        <x:v>3</x:v>
      </x:c>
      <x:c r="M445" s="10" t="n">
        <x:f>SUM(XLOOKUP('포켓몬_편집'!$AF445:$AN445,'분류_규칙'!$A$5:$A$76,'분류_규칙'!$M$5:$M$76,0))</x:f>
        <x:v>0</x:v>
      </x:c>
      <x:c r="N445" s="10" t="n">
        <x:f>SUM(XLOOKUP('포켓몬_편집'!$AF445:$AN445,'분류_규칙'!$A$5:$A$76,'분류_규칙'!$N$5:$N$76,0))</x:f>
        <x:v>0</x:v>
      </x:c>
      <x:c r="O445" s="10" t="n">
        <x:f>SUM(XLOOKUP('포켓몬_편집'!$AF445:$AN445,'분류_규칙'!$A$5:$A$76,'분류_규칙'!$O$5:$O$76,0))</x:f>
        <x:v>2</x:v>
      </x:c>
      <x:c r="P445" s="10" t="n">
        <x:f>SUM(XLOOKUP('포켓몬_편집'!$AF445:$AN445,'분류_규칙'!$A$5:$A$76,'분류_규칙'!$P$5:$P$76,0))</x:f>
        <x:v>0</x:v>
      </x:c>
    </x:row>
    <x:row r="446" ht="22" customHeight="1">
      <x:c r="A446" s="5" t="n">
        <x:v>442</x:v>
      </x:c>
      <x:c r="B446" s="5" t="inlineStr">
        <x:is>
          <x:t xml:space="preserve">화강돌</x:t>
        </x:is>
      </x:c>
      <x:c r="C446" s="5" t="inlineStr">
        <x:is>
          <x:t xml:space="preserve">spiritomb</x:t>
        </x:is>
      </x:c>
      <x:c r="D446" s="5" t="n">
        <x:v>4</x:v>
      </x:c>
      <x:c r="E446" s="10" t="n">
        <x:f>SUM(XLOOKUP('포켓몬_편집'!$AF446:$AN446,'분류_규칙'!$A$5:$A$76,'분류_규칙'!$E$5:$E$76,0))</x:f>
        <x:v>0</x:v>
      </x:c>
      <x:c r="F446" s="10" t="n">
        <x:f>SUM(XLOOKUP('포켓몬_편집'!$AF446:$AN446,'분류_규칙'!$A$5:$A$76,'분류_규칙'!$F$5:$F$76,0))</x:f>
        <x:v>0</x:v>
      </x:c>
      <x:c r="G446" s="10" t="n">
        <x:f>SUM(XLOOKUP('포켓몬_편집'!$AF446:$AN446,'분류_규칙'!$A$5:$A$76,'분류_규칙'!$G$5:$G$76,0))</x:f>
        <x:v>0</x:v>
      </x:c>
      <x:c r="H446" s="10" t="n">
        <x:f>SUM(XLOOKUP('포켓몬_편집'!$AF446:$AN446,'분류_규칙'!$A$5:$A$76,'분류_규칙'!$H$5:$H$76,0))</x:f>
        <x:v>10</x:v>
      </x:c>
      <x:c r="I446" s="10" t="n">
        <x:f>SUM(XLOOKUP('포켓몬_편집'!$AF446:$AN446,'분류_규칙'!$A$5:$A$76,'분류_규칙'!$I$5:$I$76,0))</x:f>
        <x:v>30</x:v>
      </x:c>
      <x:c r="J446" s="10" t="n">
        <x:f>SUM(XLOOKUP('포켓몬_편집'!$AF446:$AN446,'분류_규칙'!$A$5:$A$76,'분류_규칙'!$J$5:$J$76,0))</x:f>
        <x:v>0</x:v>
      </x:c>
      <x:c r="K446" s="10" t="n">
        <x:f>SUM(XLOOKUP('포켓몬_편집'!$AF446:$AN446,'분류_규칙'!$A$5:$A$76,'분류_규칙'!$K$5:$K$76,0))</x:f>
        <x:v>0</x:v>
      </x:c>
      <x:c r="L446" s="10" t="n">
        <x:f>SUM(XLOOKUP('포켓몬_편집'!$AF446:$AN446,'분류_규칙'!$A$5:$A$76,'분류_규칙'!$L$5:$L$76,0))</x:f>
        <x:v>0</x:v>
      </x:c>
      <x:c r="M446" s="10" t="n">
        <x:f>SUM(XLOOKUP('포켓몬_편집'!$AF446:$AN446,'분류_규칙'!$A$5:$A$76,'분류_규칙'!$M$5:$M$76,0))</x:f>
        <x:v>0</x:v>
      </x:c>
      <x:c r="N446" s="10" t="n">
        <x:f>SUM(XLOOKUP('포켓몬_편집'!$AF446:$AN446,'분류_규칙'!$A$5:$A$76,'분류_규칙'!$N$5:$N$76,0))</x:f>
        <x:v>0</x:v>
      </x:c>
      <x:c r="O446" s="10" t="n">
        <x:f>SUM(XLOOKUP('포켓몬_편집'!$AF446:$AN446,'분류_규칙'!$A$5:$A$76,'분류_규칙'!$O$5:$O$76,0))</x:f>
        <x:v>0</x:v>
      </x:c>
      <x:c r="P446" s="10" t="n">
        <x:f>SUM(XLOOKUP('포켓몬_편집'!$AF446:$AN446,'분류_규칙'!$A$5:$A$76,'분류_규칙'!$P$5:$P$76,0))</x:f>
        <x:v>0</x:v>
      </x:c>
    </x:row>
    <x:row r="447" ht="22" customHeight="1">
      <x:c r="A447" s="5" t="n">
        <x:v>443</x:v>
      </x:c>
      <x:c r="B447" s="5" t="inlineStr">
        <x:is>
          <x:t xml:space="preserve">딥상어동</x:t>
        </x:is>
      </x:c>
      <x:c r="C447" s="5" t="inlineStr">
        <x:is>
          <x:t xml:space="preserve">gible</x:t>
        </x:is>
      </x:c>
      <x:c r="D447" s="5" t="n">
        <x:v>4</x:v>
      </x:c>
      <x:c r="E447" s="10" t="n">
        <x:f>SUM(XLOOKUP('포켓몬_편집'!$AF447:$AN447,'분류_규칙'!$A$5:$A$76,'분류_규칙'!$E$5:$E$76,0))</x:f>
        <x:v>10</x:v>
      </x:c>
      <x:c r="F447" s="10" t="n">
        <x:f>SUM(XLOOKUP('포켓몬_편집'!$AF447:$AN447,'분류_규칙'!$A$5:$A$76,'분류_규칙'!$F$5:$F$76,0))</x:f>
        <x:v>7</x:v>
      </x:c>
      <x:c r="G447" s="10" t="n">
        <x:f>SUM(XLOOKUP('포켓몬_편집'!$AF447:$AN447,'분류_규칙'!$A$5:$A$76,'분류_규칙'!$G$5:$G$76,0))</x:f>
        <x:v>5</x:v>
      </x:c>
      <x:c r="H447" s="10" t="n">
        <x:f>SUM(XLOOKUP('포켓몬_편집'!$AF447:$AN447,'분류_규칙'!$A$5:$A$76,'분류_규칙'!$H$5:$H$76,0))</x:f>
        <x:v>5</x:v>
      </x:c>
      <x:c r="I447" s="10" t="n">
        <x:f>SUM(XLOOKUP('포켓몬_편집'!$AF447:$AN447,'분류_규칙'!$A$5:$A$76,'분류_규칙'!$I$5:$I$76,0))</x:f>
        <x:v>0</x:v>
      </x:c>
      <x:c r="J447" s="10" t="n">
        <x:f>SUM(XLOOKUP('포켓몬_편집'!$AF447:$AN447,'분류_규칙'!$A$5:$A$76,'분류_규칙'!$J$5:$J$76,0))</x:f>
        <x:v>2</x:v>
      </x:c>
      <x:c r="K447" s="10" t="n">
        <x:f>SUM(XLOOKUP('포켓몬_편집'!$AF447:$AN447,'분류_규칙'!$A$5:$A$76,'분류_규칙'!$K$5:$K$76,0))</x:f>
        <x:v>0</x:v>
      </x:c>
      <x:c r="L447" s="10" t="n">
        <x:f>SUM(XLOOKUP('포켓몬_편집'!$AF447:$AN447,'분류_규칙'!$A$5:$A$76,'분류_규칙'!$L$5:$L$76,0))</x:f>
        <x:v>0</x:v>
      </x:c>
      <x:c r="M447" s="10" t="n">
        <x:f>SUM(XLOOKUP('포켓몬_편집'!$AF447:$AN447,'분류_규칙'!$A$5:$A$76,'분류_규칙'!$M$5:$M$76,0))</x:f>
        <x:v>0</x:v>
      </x:c>
      <x:c r="N447" s="10" t="n">
        <x:f>SUM(XLOOKUP('포켓몬_편집'!$AF447:$AN447,'분류_규칙'!$A$5:$A$76,'분류_규칙'!$N$5:$N$76,0))</x:f>
        <x:v>0</x:v>
      </x:c>
      <x:c r="O447" s="10" t="n">
        <x:f>SUM(XLOOKUP('포켓몬_편집'!$AF447:$AN447,'분류_규칙'!$A$5:$A$76,'분류_규칙'!$O$5:$O$76,0))</x:f>
        <x:v>2</x:v>
      </x:c>
      <x:c r="P447" s="10" t="n">
        <x:f>SUM(XLOOKUP('포켓몬_편집'!$AF447:$AN447,'분류_규칙'!$A$5:$A$76,'분류_규칙'!$P$5:$P$76,0))</x:f>
        <x:v>0</x:v>
      </x:c>
    </x:row>
    <x:row r="448" ht="22" customHeight="1">
      <x:c r="A448" s="5" t="n">
        <x:v>444</x:v>
      </x:c>
      <x:c r="B448" s="5" t="inlineStr">
        <x:is>
          <x:t xml:space="preserve">한바이트</x:t>
        </x:is>
      </x:c>
      <x:c r="C448" s="5" t="inlineStr">
        <x:is>
          <x:t xml:space="preserve">gabite</x:t>
        </x:is>
      </x:c>
      <x:c r="D448" s="5" t="n">
        <x:v>4</x:v>
      </x:c>
      <x:c r="E448" s="10" t="n">
        <x:f>SUM(XLOOKUP('포켓몬_편집'!$AF448:$AN448,'분류_규칙'!$A$5:$A$76,'분류_규칙'!$E$5:$E$76,0))</x:f>
        <x:v>10</x:v>
      </x:c>
      <x:c r="F448" s="10" t="n">
        <x:f>SUM(XLOOKUP('포켓몬_편집'!$AF448:$AN448,'분류_규칙'!$A$5:$A$76,'분류_규칙'!$F$5:$F$76,0))</x:f>
        <x:v>7</x:v>
      </x:c>
      <x:c r="G448" s="10" t="n">
        <x:f>SUM(XLOOKUP('포켓몬_편집'!$AF448:$AN448,'분류_규칙'!$A$5:$A$76,'분류_규칙'!$G$5:$G$76,0))</x:f>
        <x:v>5</x:v>
      </x:c>
      <x:c r="H448" s="10" t="n">
        <x:f>SUM(XLOOKUP('포켓몬_편집'!$AF448:$AN448,'분류_규칙'!$A$5:$A$76,'분류_규칙'!$H$5:$H$76,0))</x:f>
        <x:v>5</x:v>
      </x:c>
      <x:c r="I448" s="10" t="n">
        <x:f>SUM(XLOOKUP('포켓몬_편집'!$AF448:$AN448,'분류_규칙'!$A$5:$A$76,'분류_규칙'!$I$5:$I$76,0))</x:f>
        <x:v>0</x:v>
      </x:c>
      <x:c r="J448" s="10" t="n">
        <x:f>SUM(XLOOKUP('포켓몬_편집'!$AF448:$AN448,'분류_규칙'!$A$5:$A$76,'분류_규칙'!$J$5:$J$76,0))</x:f>
        <x:v>2</x:v>
      </x:c>
      <x:c r="K448" s="10" t="n">
        <x:f>SUM(XLOOKUP('포켓몬_편집'!$AF448:$AN448,'분류_규칙'!$A$5:$A$76,'분류_규칙'!$K$5:$K$76,0))</x:f>
        <x:v>0</x:v>
      </x:c>
      <x:c r="L448" s="10" t="n">
        <x:f>SUM(XLOOKUP('포켓몬_편집'!$AF448:$AN448,'분류_규칙'!$A$5:$A$76,'분류_규칙'!$L$5:$L$76,0))</x:f>
        <x:v>0</x:v>
      </x:c>
      <x:c r="M448" s="10" t="n">
        <x:f>SUM(XLOOKUP('포켓몬_편집'!$AF448:$AN448,'분류_규칙'!$A$5:$A$76,'분류_규칙'!$M$5:$M$76,0))</x:f>
        <x:v>0</x:v>
      </x:c>
      <x:c r="N448" s="10" t="n">
        <x:f>SUM(XLOOKUP('포켓몬_편집'!$AF448:$AN448,'분류_규칙'!$A$5:$A$76,'분류_규칙'!$N$5:$N$76,0))</x:f>
        <x:v>0</x:v>
      </x:c>
      <x:c r="O448" s="10" t="n">
        <x:f>SUM(XLOOKUP('포켓몬_편집'!$AF448:$AN448,'분류_규칙'!$A$5:$A$76,'분류_규칙'!$O$5:$O$76,0))</x:f>
        <x:v>2</x:v>
      </x:c>
      <x:c r="P448" s="10" t="n">
        <x:f>SUM(XLOOKUP('포켓몬_편집'!$AF448:$AN448,'분류_규칙'!$A$5:$A$76,'분류_규칙'!$P$5:$P$76,0))</x:f>
        <x:v>0</x:v>
      </x:c>
    </x:row>
    <x:row r="449" ht="22" customHeight="1">
      <x:c r="A449" s="5" t="n">
        <x:v>445</x:v>
      </x:c>
      <x:c r="B449" s="5" t="inlineStr">
        <x:is>
          <x:t xml:space="preserve">한카리아스</x:t>
        </x:is>
      </x:c>
      <x:c r="C449" s="5" t="inlineStr">
        <x:is>
          <x:t xml:space="preserve">garchomp</x:t>
        </x:is>
      </x:c>
      <x:c r="D449" s="5" t="n">
        <x:v>4</x:v>
      </x:c>
      <x:c r="E449" s="10" t="n">
        <x:f>SUM(XLOOKUP('포켓몬_편집'!$AF449:$AN449,'분류_규칙'!$A$5:$A$76,'분류_규칙'!$E$5:$E$76,0))</x:f>
        <x:v>8</x:v>
      </x:c>
      <x:c r="F449" s="10" t="n">
        <x:f>SUM(XLOOKUP('포켓몬_편집'!$AF449:$AN449,'분류_규칙'!$A$5:$A$76,'분류_규칙'!$F$5:$F$76,0))</x:f>
        <x:v>8</x:v>
      </x:c>
      <x:c r="G449" s="10" t="n">
        <x:f>SUM(XLOOKUP('포켓몬_편집'!$AF449:$AN449,'분류_규칙'!$A$5:$A$76,'분류_규칙'!$G$5:$G$76,0))</x:f>
        <x:v>0</x:v>
      </x:c>
      <x:c r="H449" s="10" t="n">
        <x:f>SUM(XLOOKUP('포켓몬_편집'!$AF449:$AN449,'분류_규칙'!$A$5:$A$76,'분류_규칙'!$H$5:$H$76,0))</x:f>
        <x:v>12</x:v>
      </x:c>
      <x:c r="I449" s="10" t="n">
        <x:f>SUM(XLOOKUP('포켓몬_편집'!$AF449:$AN449,'분류_규칙'!$A$5:$A$76,'분류_규칙'!$I$5:$I$76,0))</x:f>
        <x:v>0</x:v>
      </x:c>
      <x:c r="J449" s="10" t="n">
        <x:f>SUM(XLOOKUP('포켓몬_편집'!$AF449:$AN449,'분류_규칙'!$A$5:$A$76,'분류_규칙'!$J$5:$J$76,0))</x:f>
        <x:v>0</x:v>
      </x:c>
      <x:c r="K449" s="10" t="n">
        <x:f>SUM(XLOOKUP('포켓몬_편집'!$AF449:$AN449,'분류_규칙'!$A$5:$A$76,'분류_규칙'!$K$5:$K$76,0))</x:f>
        <x:v>0</x:v>
      </x:c>
      <x:c r="L449" s="10" t="n">
        <x:f>SUM(XLOOKUP('포켓몬_편집'!$AF449:$AN449,'분류_규칙'!$A$5:$A$76,'분류_규칙'!$L$5:$L$76,0))</x:f>
        <x:v>3</x:v>
      </x:c>
      <x:c r="M449" s="10" t="n">
        <x:f>SUM(XLOOKUP('포켓몬_편집'!$AF449:$AN449,'분류_규칙'!$A$5:$A$76,'분류_규칙'!$M$5:$M$76,0))</x:f>
        <x:v>0</x:v>
      </x:c>
      <x:c r="N449" s="10" t="n">
        <x:f>SUM(XLOOKUP('포켓몬_편집'!$AF449:$AN449,'분류_규칙'!$A$5:$A$76,'분류_규칙'!$N$5:$N$76,0))</x:f>
        <x:v>0</x:v>
      </x:c>
      <x:c r="O449" s="10" t="n">
        <x:f>SUM(XLOOKUP('포켓몬_편집'!$AF449:$AN449,'분류_규칙'!$A$5:$A$76,'분류_규칙'!$O$5:$O$76,0))</x:f>
        <x:v>2</x:v>
      </x:c>
      <x:c r="P449" s="10" t="n">
        <x:f>SUM(XLOOKUP('포켓몬_편집'!$AF449:$AN449,'분류_규칙'!$A$5:$A$76,'분류_규칙'!$P$5:$P$76,0))</x:f>
        <x:v>0</x:v>
      </x:c>
    </x:row>
    <x:row r="450" ht="22" customHeight="1">
      <x:c r="A450" s="5" t="n">
        <x:v>446</x:v>
      </x:c>
      <x:c r="B450" s="5" t="inlineStr">
        <x:is>
          <x:t xml:space="preserve">먹고자</x:t>
        </x:is>
      </x:c>
      <x:c r="C450" s="5" t="inlineStr">
        <x:is>
          <x:t xml:space="preserve">munchlax</x:t>
        </x:is>
      </x:c>
      <x:c r="D450" s="5" t="n">
        <x:v>4</x:v>
      </x:c>
      <x:c r="E450" s="10" t="n">
        <x:f>SUM(XLOOKUP('포켓몬_편집'!$AF450:$AN450,'분류_규칙'!$A$5:$A$76,'분류_규칙'!$E$5:$E$76,0))</x:f>
        <x:v>10</x:v>
      </x:c>
      <x:c r="F450" s="10" t="n">
        <x:f>SUM(XLOOKUP('포켓몬_편집'!$AF450:$AN450,'분류_규칙'!$A$5:$A$76,'분류_규칙'!$F$5:$F$76,0))</x:f>
        <x:v>7</x:v>
      </x:c>
      <x:c r="G450" s="10" t="n">
        <x:f>SUM(XLOOKUP('포켓몬_편집'!$AF450:$AN450,'분류_규칙'!$A$5:$A$76,'분류_규칙'!$G$5:$G$76,0))</x:f>
        <x:v>5</x:v>
      </x:c>
      <x:c r="H450" s="10" t="n">
        <x:f>SUM(XLOOKUP('포켓몬_편집'!$AF450:$AN450,'분류_규칙'!$A$5:$A$76,'분류_규칙'!$H$5:$H$76,0))</x:f>
        <x:v>5</x:v>
      </x:c>
      <x:c r="I450" s="10" t="n">
        <x:f>SUM(XLOOKUP('포켓몬_편집'!$AF450:$AN450,'분류_규칙'!$A$5:$A$76,'분류_규칙'!$I$5:$I$76,0))</x:f>
        <x:v>0</x:v>
      </x:c>
      <x:c r="J450" s="10" t="n">
        <x:f>SUM(XLOOKUP('포켓몬_편집'!$AF450:$AN450,'분류_규칙'!$A$5:$A$76,'분류_규칙'!$J$5:$J$76,0))</x:f>
        <x:v>2</x:v>
      </x:c>
      <x:c r="K450" s="10" t="n">
        <x:f>SUM(XLOOKUP('포켓몬_편집'!$AF450:$AN450,'분류_규칙'!$A$5:$A$76,'분류_규칙'!$K$5:$K$76,0))</x:f>
        <x:v>0</x:v>
      </x:c>
      <x:c r="L450" s="10" t="n">
        <x:f>SUM(XLOOKUP('포켓몬_편집'!$AF450:$AN450,'분류_규칙'!$A$5:$A$76,'분류_규칙'!$L$5:$L$76,0))</x:f>
        <x:v>0</x:v>
      </x:c>
      <x:c r="M450" s="10" t="n">
        <x:f>SUM(XLOOKUP('포켓몬_편집'!$AF450:$AN450,'분류_규칙'!$A$5:$A$76,'분류_규칙'!$M$5:$M$76,0))</x:f>
        <x:v>0</x:v>
      </x:c>
      <x:c r="N450" s="10" t="n">
        <x:f>SUM(XLOOKUP('포켓몬_편집'!$AF450:$AN450,'분류_규칙'!$A$5:$A$76,'분류_규칙'!$N$5:$N$76,0))</x:f>
        <x:v>0</x:v>
      </x:c>
      <x:c r="O450" s="10" t="n">
        <x:f>SUM(XLOOKUP('포켓몬_편집'!$AF450:$AN450,'분류_규칙'!$A$5:$A$76,'분류_규칙'!$O$5:$O$76,0))</x:f>
        <x:v>2</x:v>
      </x:c>
      <x:c r="P450" s="10" t="n">
        <x:f>SUM(XLOOKUP('포켓몬_편집'!$AF450:$AN450,'분류_규칙'!$A$5:$A$76,'분류_규칙'!$P$5:$P$76,0))</x:f>
        <x:v>0</x:v>
      </x:c>
    </x:row>
    <x:row r="451" ht="22" customHeight="1">
      <x:c r="A451" s="5" t="n">
        <x:v>447</x:v>
      </x:c>
      <x:c r="B451" s="5" t="inlineStr">
        <x:is>
          <x:t xml:space="preserve">리오르</x:t>
        </x:is>
      </x:c>
      <x:c r="C451" s="5" t="inlineStr">
        <x:is>
          <x:t xml:space="preserve">riolu</x:t>
        </x:is>
      </x:c>
      <x:c r="D451" s="5" t="n">
        <x:v>4</x:v>
      </x:c>
      <x:c r="E451" s="10" t="n">
        <x:f>SUM(XLOOKUP('포켓몬_편집'!$AF451:$AN451,'분류_규칙'!$A$5:$A$76,'분류_규칙'!$E$5:$E$76,0))</x:f>
        <x:v>10</x:v>
      </x:c>
      <x:c r="F451" s="10" t="n">
        <x:f>SUM(XLOOKUP('포켓몬_편집'!$AF451:$AN451,'분류_규칙'!$A$5:$A$76,'분류_규칙'!$F$5:$F$76,0))</x:f>
        <x:v>7</x:v>
      </x:c>
      <x:c r="G451" s="10" t="n">
        <x:f>SUM(XLOOKUP('포켓몬_편집'!$AF451:$AN451,'분류_규칙'!$A$5:$A$76,'분류_규칙'!$G$5:$G$76,0))</x:f>
        <x:v>5</x:v>
      </x:c>
      <x:c r="H451" s="10" t="n">
        <x:f>SUM(XLOOKUP('포켓몬_편집'!$AF451:$AN451,'분류_규칙'!$A$5:$A$76,'분류_규칙'!$H$5:$H$76,0))</x:f>
        <x:v>5</x:v>
      </x:c>
      <x:c r="I451" s="10" t="n">
        <x:f>SUM(XLOOKUP('포켓몬_편집'!$AF451:$AN451,'분류_규칙'!$A$5:$A$76,'분류_규칙'!$I$5:$I$76,0))</x:f>
        <x:v>0</x:v>
      </x:c>
      <x:c r="J451" s="10" t="n">
        <x:f>SUM(XLOOKUP('포켓몬_편집'!$AF451:$AN451,'분류_규칙'!$A$5:$A$76,'분류_규칙'!$J$5:$J$76,0))</x:f>
        <x:v>2</x:v>
      </x:c>
      <x:c r="K451" s="10" t="n">
        <x:f>SUM(XLOOKUP('포켓몬_편집'!$AF451:$AN451,'분류_규칙'!$A$5:$A$76,'분류_규칙'!$K$5:$K$76,0))</x:f>
        <x:v>0</x:v>
      </x:c>
      <x:c r="L451" s="10" t="n">
        <x:f>SUM(XLOOKUP('포켓몬_편집'!$AF451:$AN451,'분류_규칙'!$A$5:$A$76,'분류_규칙'!$L$5:$L$76,0))</x:f>
        <x:v>0</x:v>
      </x:c>
      <x:c r="M451" s="10" t="n">
        <x:f>SUM(XLOOKUP('포켓몬_편집'!$AF451:$AN451,'분류_규칙'!$A$5:$A$76,'분류_규칙'!$M$5:$M$76,0))</x:f>
        <x:v>0</x:v>
      </x:c>
      <x:c r="N451" s="10" t="n">
        <x:f>SUM(XLOOKUP('포켓몬_편집'!$AF451:$AN451,'분류_규칙'!$A$5:$A$76,'분류_규칙'!$N$5:$N$76,0))</x:f>
        <x:v>0</x:v>
      </x:c>
      <x:c r="O451" s="10" t="n">
        <x:f>SUM(XLOOKUP('포켓몬_편집'!$AF451:$AN451,'분류_규칙'!$A$5:$A$76,'분류_규칙'!$O$5:$O$76,0))</x:f>
        <x:v>2</x:v>
      </x:c>
      <x:c r="P451" s="10" t="n">
        <x:f>SUM(XLOOKUP('포켓몬_편집'!$AF451:$AN451,'분류_규칙'!$A$5:$A$76,'분류_규칙'!$P$5:$P$76,0))</x:f>
        <x:v>0</x:v>
      </x:c>
    </x:row>
    <x:row r="452" ht="22" customHeight="1">
      <x:c r="A452" s="5" t="n">
        <x:v>448</x:v>
      </x:c>
      <x:c r="B452" s="5" t="inlineStr">
        <x:is>
          <x:t xml:space="preserve">루카리오</x:t>
        </x:is>
      </x:c>
      <x:c r="C452" s="5" t="inlineStr">
        <x:is>
          <x:t xml:space="preserve">lucario</x:t>
        </x:is>
      </x:c>
      <x:c r="D452" s="5" t="n">
        <x:v>4</x:v>
      </x:c>
      <x:c r="E452" s="10" t="n">
        <x:f>SUM(XLOOKUP('포켓몬_편집'!$AF452:$AN452,'분류_규칙'!$A$5:$A$76,'분류_규칙'!$E$5:$E$76,0))</x:f>
        <x:v>10</x:v>
      </x:c>
      <x:c r="F452" s="10" t="n">
        <x:f>SUM(XLOOKUP('포켓몬_편집'!$AF452:$AN452,'분류_규칙'!$A$5:$A$76,'분류_규칙'!$F$5:$F$76,0))</x:f>
        <x:v>7</x:v>
      </x:c>
      <x:c r="G452" s="10" t="n">
        <x:f>SUM(XLOOKUP('포켓몬_편집'!$AF452:$AN452,'분류_규칙'!$A$5:$A$76,'분류_규칙'!$G$5:$G$76,0))</x:f>
        <x:v>5</x:v>
      </x:c>
      <x:c r="H452" s="10" t="n">
        <x:f>SUM(XLOOKUP('포켓몬_편집'!$AF452:$AN452,'분류_규칙'!$A$5:$A$76,'분류_규칙'!$H$5:$H$76,0))</x:f>
        <x:v>5</x:v>
      </x:c>
      <x:c r="I452" s="10" t="n">
        <x:f>SUM(XLOOKUP('포켓몬_편집'!$AF452:$AN452,'분류_규칙'!$A$5:$A$76,'분류_규칙'!$I$5:$I$76,0))</x:f>
        <x:v>0</x:v>
      </x:c>
      <x:c r="J452" s="10" t="n">
        <x:f>SUM(XLOOKUP('포켓몬_편집'!$AF452:$AN452,'분류_규칙'!$A$5:$A$76,'분류_규칙'!$J$5:$J$76,0))</x:f>
        <x:v>2</x:v>
      </x:c>
      <x:c r="K452" s="10" t="n">
        <x:f>SUM(XLOOKUP('포켓몬_편집'!$AF452:$AN452,'분류_규칙'!$A$5:$A$76,'분류_규칙'!$K$5:$K$76,0))</x:f>
        <x:v>0</x:v>
      </x:c>
      <x:c r="L452" s="10" t="n">
        <x:f>SUM(XLOOKUP('포켓몬_편집'!$AF452:$AN452,'분류_규칙'!$A$5:$A$76,'분류_규칙'!$L$5:$L$76,0))</x:f>
        <x:v>0</x:v>
      </x:c>
      <x:c r="M452" s="10" t="n">
        <x:f>SUM(XLOOKUP('포켓몬_편집'!$AF452:$AN452,'분류_규칙'!$A$5:$A$76,'분류_규칙'!$M$5:$M$76,0))</x:f>
        <x:v>0</x:v>
      </x:c>
      <x:c r="N452" s="10" t="n">
        <x:f>SUM(XLOOKUP('포켓몬_편집'!$AF452:$AN452,'분류_규칙'!$A$5:$A$76,'분류_규칙'!$N$5:$N$76,0))</x:f>
        <x:v>0</x:v>
      </x:c>
      <x:c r="O452" s="10" t="n">
        <x:f>SUM(XLOOKUP('포켓몬_편집'!$AF452:$AN452,'분류_규칙'!$A$5:$A$76,'분류_규칙'!$O$5:$O$76,0))</x:f>
        <x:v>2</x:v>
      </x:c>
      <x:c r="P452" s="10" t="n">
        <x:f>SUM(XLOOKUP('포켓몬_편집'!$AF452:$AN452,'분류_규칙'!$A$5:$A$76,'분류_규칙'!$P$5:$P$76,0))</x:f>
        <x:v>0</x:v>
      </x:c>
    </x:row>
    <x:row r="453" ht="22" customHeight="1">
      <x:c r="A453" s="5" t="n">
        <x:v>449</x:v>
      </x:c>
      <x:c r="B453" s="5" t="inlineStr">
        <x:is>
          <x:t xml:space="preserve">히포포타스</x:t>
        </x:is>
      </x:c>
      <x:c r="C453" s="5" t="inlineStr">
        <x:is>
          <x:t xml:space="preserve">hippopotas</x:t>
        </x:is>
      </x:c>
      <x:c r="D453" s="5" t="n">
        <x:v>4</x:v>
      </x:c>
      <x:c r="E453" s="10" t="n">
        <x:f>SUM(XLOOKUP('포켓몬_편집'!$AF453:$AN453,'분류_규칙'!$A$5:$A$76,'분류_규칙'!$E$5:$E$76,0))</x:f>
        <x:v>10</x:v>
      </x:c>
      <x:c r="F453" s="10" t="n">
        <x:f>SUM(XLOOKUP('포켓몬_편집'!$AF453:$AN453,'분류_규칙'!$A$5:$A$76,'분류_규칙'!$F$5:$F$76,0))</x:f>
        <x:v>7</x:v>
      </x:c>
      <x:c r="G453" s="10" t="n">
        <x:f>SUM(XLOOKUP('포켓몬_편집'!$AF453:$AN453,'분류_규칙'!$A$5:$A$76,'분류_규칙'!$G$5:$G$76,0))</x:f>
        <x:v>5</x:v>
      </x:c>
      <x:c r="H453" s="10" t="n">
        <x:f>SUM(XLOOKUP('포켓몬_편집'!$AF453:$AN453,'분류_규칙'!$A$5:$A$76,'분류_규칙'!$H$5:$H$76,0))</x:f>
        <x:v>5</x:v>
      </x:c>
      <x:c r="I453" s="10" t="n">
        <x:f>SUM(XLOOKUP('포켓몬_편집'!$AF453:$AN453,'분류_규칙'!$A$5:$A$76,'분류_규칙'!$I$5:$I$76,0))</x:f>
        <x:v>0</x:v>
      </x:c>
      <x:c r="J453" s="10" t="n">
        <x:f>SUM(XLOOKUP('포켓몬_편집'!$AF453:$AN453,'분류_규칙'!$A$5:$A$76,'분류_규칙'!$J$5:$J$76,0))</x:f>
        <x:v>2</x:v>
      </x:c>
      <x:c r="K453" s="10" t="n">
        <x:f>SUM(XLOOKUP('포켓몬_편집'!$AF453:$AN453,'분류_규칙'!$A$5:$A$76,'분류_규칙'!$K$5:$K$76,0))</x:f>
        <x:v>0</x:v>
      </x:c>
      <x:c r="L453" s="10" t="n">
        <x:f>SUM(XLOOKUP('포켓몬_편집'!$AF453:$AN453,'분류_규칙'!$A$5:$A$76,'분류_규칙'!$L$5:$L$76,0))</x:f>
        <x:v>0</x:v>
      </x:c>
      <x:c r="M453" s="10" t="n">
        <x:f>SUM(XLOOKUP('포켓몬_편집'!$AF453:$AN453,'분류_규칙'!$A$5:$A$76,'분류_규칙'!$M$5:$M$76,0))</x:f>
        <x:v>0</x:v>
      </x:c>
      <x:c r="N453" s="10" t="n">
        <x:f>SUM(XLOOKUP('포켓몬_편집'!$AF453:$AN453,'분류_규칙'!$A$5:$A$76,'분류_규칙'!$N$5:$N$76,0))</x:f>
        <x:v>0</x:v>
      </x:c>
      <x:c r="O453" s="10" t="n">
        <x:f>SUM(XLOOKUP('포켓몬_편집'!$AF453:$AN453,'분류_규칙'!$A$5:$A$76,'분류_규칙'!$O$5:$O$76,0))</x:f>
        <x:v>2</x:v>
      </x:c>
      <x:c r="P453" s="10" t="n">
        <x:f>SUM(XLOOKUP('포켓몬_편집'!$AF453:$AN453,'분류_규칙'!$A$5:$A$76,'분류_규칙'!$P$5:$P$76,0))</x:f>
        <x:v>0</x:v>
      </x:c>
    </x:row>
    <x:row r="454" ht="22" customHeight="1">
      <x:c r="A454" s="5" t="n">
        <x:v>450</x:v>
      </x:c>
      <x:c r="B454" s="5" t="inlineStr">
        <x:is>
          <x:t xml:space="preserve">하마돈</x:t>
        </x:is>
      </x:c>
      <x:c r="C454" s="5" t="inlineStr">
        <x:is>
          <x:t xml:space="preserve">hippowdon</x:t>
        </x:is>
      </x:c>
      <x:c r="D454" s="5" t="n">
        <x:v>4</x:v>
      </x:c>
      <x:c r="E454" s="10" t="n">
        <x:f>SUM(XLOOKUP('포켓몬_편집'!$AF454:$AN454,'분류_규칙'!$A$5:$A$76,'분류_규칙'!$E$5:$E$76,0))</x:f>
        <x:v>10</x:v>
      </x:c>
      <x:c r="F454" s="10" t="n">
        <x:f>SUM(XLOOKUP('포켓몬_편집'!$AF454:$AN454,'분류_규칙'!$A$5:$A$76,'분류_규칙'!$F$5:$F$76,0))</x:f>
        <x:v>7</x:v>
      </x:c>
      <x:c r="G454" s="10" t="n">
        <x:f>SUM(XLOOKUP('포켓몬_편집'!$AF454:$AN454,'분류_규칙'!$A$5:$A$76,'분류_규칙'!$G$5:$G$76,0))</x:f>
        <x:v>5</x:v>
      </x:c>
      <x:c r="H454" s="10" t="n">
        <x:f>SUM(XLOOKUP('포켓몬_편집'!$AF454:$AN454,'분류_규칙'!$A$5:$A$76,'분류_규칙'!$H$5:$H$76,0))</x:f>
        <x:v>5</x:v>
      </x:c>
      <x:c r="I454" s="10" t="n">
        <x:f>SUM(XLOOKUP('포켓몬_편집'!$AF454:$AN454,'분류_규칙'!$A$5:$A$76,'분류_규칙'!$I$5:$I$76,0))</x:f>
        <x:v>0</x:v>
      </x:c>
      <x:c r="J454" s="10" t="n">
        <x:f>SUM(XLOOKUP('포켓몬_편집'!$AF454:$AN454,'분류_규칙'!$A$5:$A$76,'분류_규칙'!$J$5:$J$76,0))</x:f>
        <x:v>2</x:v>
      </x:c>
      <x:c r="K454" s="10" t="n">
        <x:f>SUM(XLOOKUP('포켓몬_편집'!$AF454:$AN454,'분류_규칙'!$A$5:$A$76,'분류_규칙'!$K$5:$K$76,0))</x:f>
        <x:v>0</x:v>
      </x:c>
      <x:c r="L454" s="10" t="n">
        <x:f>SUM(XLOOKUP('포켓몬_편집'!$AF454:$AN454,'분류_규칙'!$A$5:$A$76,'분류_규칙'!$L$5:$L$76,0))</x:f>
        <x:v>0</x:v>
      </x:c>
      <x:c r="M454" s="10" t="n">
        <x:f>SUM(XLOOKUP('포켓몬_편집'!$AF454:$AN454,'분류_규칙'!$A$5:$A$76,'분류_규칙'!$M$5:$M$76,0))</x:f>
        <x:v>0</x:v>
      </x:c>
      <x:c r="N454" s="10" t="n">
        <x:f>SUM(XLOOKUP('포켓몬_편집'!$AF454:$AN454,'분류_규칙'!$A$5:$A$76,'분류_규칙'!$N$5:$N$76,0))</x:f>
        <x:v>0</x:v>
      </x:c>
      <x:c r="O454" s="10" t="n">
        <x:f>SUM(XLOOKUP('포켓몬_편집'!$AF454:$AN454,'분류_규칙'!$A$5:$A$76,'분류_규칙'!$O$5:$O$76,0))</x:f>
        <x:v>2</x:v>
      </x:c>
      <x:c r="P454" s="10" t="n">
        <x:f>SUM(XLOOKUP('포켓몬_편집'!$AF454:$AN454,'분류_규칙'!$A$5:$A$76,'분류_규칙'!$P$5:$P$76,0))</x:f>
        <x:v>0</x:v>
      </x:c>
    </x:row>
    <x:row r="455" ht="22" customHeight="1">
      <x:c r="A455" s="5" t="n">
        <x:v>451</x:v>
      </x:c>
      <x:c r="B455" s="5" t="inlineStr">
        <x:is>
          <x:t xml:space="preserve">스콜피</x:t>
        </x:is>
      </x:c>
      <x:c r="C455" s="5" t="inlineStr">
        <x:is>
          <x:t xml:space="preserve">skorupi</x:t>
        </x:is>
      </x:c>
      <x:c r="D455" s="5" t="n">
        <x:v>4</x:v>
      </x:c>
      <x:c r="E455" s="10" t="n">
        <x:f>SUM(XLOOKUP('포켓몬_편집'!$AF455:$AN455,'분류_규칙'!$A$5:$A$76,'분류_규칙'!$E$5:$E$76,0))</x:f>
        <x:v>10</x:v>
      </x:c>
      <x:c r="F455" s="10" t="n">
        <x:f>SUM(XLOOKUP('포켓몬_편집'!$AF455:$AN455,'분류_규칙'!$A$5:$A$76,'분류_규칙'!$F$5:$F$76,0))</x:f>
        <x:v>7</x:v>
      </x:c>
      <x:c r="G455" s="10" t="n">
        <x:f>SUM(XLOOKUP('포켓몬_편집'!$AF455:$AN455,'분류_규칙'!$A$5:$A$76,'분류_규칙'!$G$5:$G$76,0))</x:f>
        <x:v>5</x:v>
      </x:c>
      <x:c r="H455" s="10" t="n">
        <x:f>SUM(XLOOKUP('포켓몬_편집'!$AF455:$AN455,'분류_규칙'!$A$5:$A$76,'분류_규칙'!$H$5:$H$76,0))</x:f>
        <x:v>5</x:v>
      </x:c>
      <x:c r="I455" s="10" t="n">
        <x:f>SUM(XLOOKUP('포켓몬_편집'!$AF455:$AN455,'분류_규칙'!$A$5:$A$76,'분류_규칙'!$I$5:$I$76,0))</x:f>
        <x:v>0</x:v>
      </x:c>
      <x:c r="J455" s="10" t="n">
        <x:f>SUM(XLOOKUP('포켓몬_편집'!$AF455:$AN455,'분류_규칙'!$A$5:$A$76,'분류_규칙'!$J$5:$J$76,0))</x:f>
        <x:v>2</x:v>
      </x:c>
      <x:c r="K455" s="10" t="n">
        <x:f>SUM(XLOOKUP('포켓몬_편집'!$AF455:$AN455,'분류_규칙'!$A$5:$A$76,'분류_규칙'!$K$5:$K$76,0))</x:f>
        <x:v>0</x:v>
      </x:c>
      <x:c r="L455" s="10" t="n">
        <x:f>SUM(XLOOKUP('포켓몬_편집'!$AF455:$AN455,'분류_규칙'!$A$5:$A$76,'분류_규칙'!$L$5:$L$76,0))</x:f>
        <x:v>0</x:v>
      </x:c>
      <x:c r="M455" s="10" t="n">
        <x:f>SUM(XLOOKUP('포켓몬_편집'!$AF455:$AN455,'분류_규칙'!$A$5:$A$76,'분류_규칙'!$M$5:$M$76,0))</x:f>
        <x:v>0</x:v>
      </x:c>
      <x:c r="N455" s="10" t="n">
        <x:f>SUM(XLOOKUP('포켓몬_편집'!$AF455:$AN455,'분류_규칙'!$A$5:$A$76,'분류_규칙'!$N$5:$N$76,0))</x:f>
        <x:v>0</x:v>
      </x:c>
      <x:c r="O455" s="10" t="n">
        <x:f>SUM(XLOOKUP('포켓몬_편집'!$AF455:$AN455,'분류_규칙'!$A$5:$A$76,'분류_규칙'!$O$5:$O$76,0))</x:f>
        <x:v>2</x:v>
      </x:c>
      <x:c r="P455" s="10" t="n">
        <x:f>SUM(XLOOKUP('포켓몬_편집'!$AF455:$AN455,'분류_규칙'!$A$5:$A$76,'분류_규칙'!$P$5:$P$76,0))</x:f>
        <x:v>0</x:v>
      </x:c>
    </x:row>
    <x:row r="456" ht="22" customHeight="1">
      <x:c r="A456" s="5" t="n">
        <x:v>452</x:v>
      </x:c>
      <x:c r="B456" s="5" t="inlineStr">
        <x:is>
          <x:t xml:space="preserve">드래피온</x:t>
        </x:is>
      </x:c>
      <x:c r="C456" s="5" t="inlineStr">
        <x:is>
          <x:t xml:space="preserve">drapion</x:t>
        </x:is>
      </x:c>
      <x:c r="D456" s="5" t="n">
        <x:v>4</x:v>
      </x:c>
      <x:c r="E456" s="10" t="n">
        <x:f>SUM(XLOOKUP('포켓몬_편집'!$AF456:$AN456,'분류_규칙'!$A$5:$A$76,'분류_규칙'!$E$5:$E$76,0))</x:f>
        <x:v>10</x:v>
      </x:c>
      <x:c r="F456" s="10" t="n">
        <x:f>SUM(XLOOKUP('포켓몬_편집'!$AF456:$AN456,'분류_규칙'!$A$5:$A$76,'분류_규칙'!$F$5:$F$76,0))</x:f>
        <x:v>7</x:v>
      </x:c>
      <x:c r="G456" s="10" t="n">
        <x:f>SUM(XLOOKUP('포켓몬_편집'!$AF456:$AN456,'분류_규칙'!$A$5:$A$76,'분류_규칙'!$G$5:$G$76,0))</x:f>
        <x:v>5</x:v>
      </x:c>
      <x:c r="H456" s="10" t="n">
        <x:f>SUM(XLOOKUP('포켓몬_편집'!$AF456:$AN456,'분류_규칙'!$A$5:$A$76,'분류_규칙'!$H$5:$H$76,0))</x:f>
        <x:v>5</x:v>
      </x:c>
      <x:c r="I456" s="10" t="n">
        <x:f>SUM(XLOOKUP('포켓몬_편집'!$AF456:$AN456,'분류_규칙'!$A$5:$A$76,'분류_규칙'!$I$5:$I$76,0))</x:f>
        <x:v>0</x:v>
      </x:c>
      <x:c r="J456" s="10" t="n">
        <x:f>SUM(XLOOKUP('포켓몬_편집'!$AF456:$AN456,'분류_규칙'!$A$5:$A$76,'분류_규칙'!$J$5:$J$76,0))</x:f>
        <x:v>2</x:v>
      </x:c>
      <x:c r="K456" s="10" t="n">
        <x:f>SUM(XLOOKUP('포켓몬_편집'!$AF456:$AN456,'분류_규칙'!$A$5:$A$76,'분류_규칙'!$K$5:$K$76,0))</x:f>
        <x:v>0</x:v>
      </x:c>
      <x:c r="L456" s="10" t="n">
        <x:f>SUM(XLOOKUP('포켓몬_편집'!$AF456:$AN456,'분류_규칙'!$A$5:$A$76,'분류_규칙'!$L$5:$L$76,0))</x:f>
        <x:v>0</x:v>
      </x:c>
      <x:c r="M456" s="10" t="n">
        <x:f>SUM(XLOOKUP('포켓몬_편집'!$AF456:$AN456,'분류_규칙'!$A$5:$A$76,'분류_규칙'!$M$5:$M$76,0))</x:f>
        <x:v>0</x:v>
      </x:c>
      <x:c r="N456" s="10" t="n">
        <x:f>SUM(XLOOKUP('포켓몬_편집'!$AF456:$AN456,'분류_규칙'!$A$5:$A$76,'분류_규칙'!$N$5:$N$76,0))</x:f>
        <x:v>0</x:v>
      </x:c>
      <x:c r="O456" s="10" t="n">
        <x:f>SUM(XLOOKUP('포켓몬_편집'!$AF456:$AN456,'분류_규칙'!$A$5:$A$76,'분류_규칙'!$O$5:$O$76,0))</x:f>
        <x:v>2</x:v>
      </x:c>
      <x:c r="P456" s="10" t="n">
        <x:f>SUM(XLOOKUP('포켓몬_편집'!$AF456:$AN456,'분류_규칙'!$A$5:$A$76,'분류_규칙'!$P$5:$P$76,0))</x:f>
        <x:v>0</x:v>
      </x:c>
    </x:row>
    <x:row r="457" ht="22" customHeight="1">
      <x:c r="A457" s="5" t="n">
        <x:v>453</x:v>
      </x:c>
      <x:c r="B457" s="5" t="inlineStr">
        <x:is>
          <x:t xml:space="preserve">삐딱구리</x:t>
        </x:is>
      </x:c>
      <x:c r="C457" s="5" t="inlineStr">
        <x:is>
          <x:t xml:space="preserve">croagunk</x:t>
        </x:is>
      </x:c>
      <x:c r="D457" s="5" t="n">
        <x:v>4</x:v>
      </x:c>
      <x:c r="E457" s="10" t="n">
        <x:f>SUM(XLOOKUP('포켓몬_편집'!$AF457:$AN457,'분류_규칙'!$A$5:$A$76,'분류_규칙'!$E$5:$E$76,0))</x:f>
        <x:v>10</x:v>
      </x:c>
      <x:c r="F457" s="10" t="n">
        <x:f>SUM(XLOOKUP('포켓몬_편집'!$AF457:$AN457,'분류_규칙'!$A$5:$A$76,'분류_규칙'!$F$5:$F$76,0))</x:f>
        <x:v>7</x:v>
      </x:c>
      <x:c r="G457" s="10" t="n">
        <x:f>SUM(XLOOKUP('포켓몬_편집'!$AF457:$AN457,'분류_규칙'!$A$5:$A$76,'분류_규칙'!$G$5:$G$76,0))</x:f>
        <x:v>5</x:v>
      </x:c>
      <x:c r="H457" s="10" t="n">
        <x:f>SUM(XLOOKUP('포켓몬_편집'!$AF457:$AN457,'분류_규칙'!$A$5:$A$76,'분류_규칙'!$H$5:$H$76,0))</x:f>
        <x:v>5</x:v>
      </x:c>
      <x:c r="I457" s="10" t="n">
        <x:f>SUM(XLOOKUP('포켓몬_편집'!$AF457:$AN457,'분류_규칙'!$A$5:$A$76,'분류_규칙'!$I$5:$I$76,0))</x:f>
        <x:v>0</x:v>
      </x:c>
      <x:c r="J457" s="10" t="n">
        <x:f>SUM(XLOOKUP('포켓몬_편집'!$AF457:$AN457,'분류_규칙'!$A$5:$A$76,'분류_규칙'!$J$5:$J$76,0))</x:f>
        <x:v>2</x:v>
      </x:c>
      <x:c r="K457" s="10" t="n">
        <x:f>SUM(XLOOKUP('포켓몬_편집'!$AF457:$AN457,'분류_규칙'!$A$5:$A$76,'분류_규칙'!$K$5:$K$76,0))</x:f>
        <x:v>0</x:v>
      </x:c>
      <x:c r="L457" s="10" t="n">
        <x:f>SUM(XLOOKUP('포켓몬_편집'!$AF457:$AN457,'분류_규칙'!$A$5:$A$76,'분류_규칙'!$L$5:$L$76,0))</x:f>
        <x:v>0</x:v>
      </x:c>
      <x:c r="M457" s="10" t="n">
        <x:f>SUM(XLOOKUP('포켓몬_편집'!$AF457:$AN457,'분류_규칙'!$A$5:$A$76,'분류_규칙'!$M$5:$M$76,0))</x:f>
        <x:v>0</x:v>
      </x:c>
      <x:c r="N457" s="10" t="n">
        <x:f>SUM(XLOOKUP('포켓몬_편집'!$AF457:$AN457,'분류_규칙'!$A$5:$A$76,'분류_규칙'!$N$5:$N$76,0))</x:f>
        <x:v>0</x:v>
      </x:c>
      <x:c r="O457" s="10" t="n">
        <x:f>SUM(XLOOKUP('포켓몬_편집'!$AF457:$AN457,'분류_규칙'!$A$5:$A$76,'분류_규칙'!$O$5:$O$76,0))</x:f>
        <x:v>2</x:v>
      </x:c>
      <x:c r="P457" s="10" t="n">
        <x:f>SUM(XLOOKUP('포켓몬_편집'!$AF457:$AN457,'분류_규칙'!$A$5:$A$76,'분류_규칙'!$P$5:$P$76,0))</x:f>
        <x:v>0</x:v>
      </x:c>
    </x:row>
    <x:row r="458" ht="22" customHeight="1">
      <x:c r="A458" s="5" t="n">
        <x:v>454</x:v>
      </x:c>
      <x:c r="B458" s="5" t="inlineStr">
        <x:is>
          <x:t xml:space="preserve">독개굴</x:t>
        </x:is>
      </x:c>
      <x:c r="C458" s="5" t="inlineStr">
        <x:is>
          <x:t xml:space="preserve">toxicroak</x:t>
        </x:is>
      </x:c>
      <x:c r="D458" s="5" t="n">
        <x:v>4</x:v>
      </x:c>
      <x:c r="E458" s="10" t="n">
        <x:f>SUM(XLOOKUP('포켓몬_편집'!$AF458:$AN458,'분류_규칙'!$A$5:$A$76,'분류_규칙'!$E$5:$E$76,0))</x:f>
        <x:v>10</x:v>
      </x:c>
      <x:c r="F458" s="10" t="n">
        <x:f>SUM(XLOOKUP('포켓몬_편집'!$AF458:$AN458,'분류_규칙'!$A$5:$A$76,'분류_규칙'!$F$5:$F$76,0))</x:f>
        <x:v>7</x:v>
      </x:c>
      <x:c r="G458" s="10" t="n">
        <x:f>SUM(XLOOKUP('포켓몬_편집'!$AF458:$AN458,'분류_규칙'!$A$5:$A$76,'분류_규칙'!$G$5:$G$76,0))</x:f>
        <x:v>5</x:v>
      </x:c>
      <x:c r="H458" s="10" t="n">
        <x:f>SUM(XLOOKUP('포켓몬_편집'!$AF458:$AN458,'분류_규칙'!$A$5:$A$76,'분류_규칙'!$H$5:$H$76,0))</x:f>
        <x:v>5</x:v>
      </x:c>
      <x:c r="I458" s="10" t="n">
        <x:f>SUM(XLOOKUP('포켓몬_편집'!$AF458:$AN458,'분류_규칙'!$A$5:$A$76,'분류_규칙'!$I$5:$I$76,0))</x:f>
        <x:v>0</x:v>
      </x:c>
      <x:c r="J458" s="10" t="n">
        <x:f>SUM(XLOOKUP('포켓몬_편집'!$AF458:$AN458,'분류_규칙'!$A$5:$A$76,'분류_규칙'!$J$5:$J$76,0))</x:f>
        <x:v>2</x:v>
      </x:c>
      <x:c r="K458" s="10" t="n">
        <x:f>SUM(XLOOKUP('포켓몬_편집'!$AF458:$AN458,'분류_규칙'!$A$5:$A$76,'분류_규칙'!$K$5:$K$76,0))</x:f>
        <x:v>0</x:v>
      </x:c>
      <x:c r="L458" s="10" t="n">
        <x:f>SUM(XLOOKUP('포켓몬_편집'!$AF458:$AN458,'분류_규칙'!$A$5:$A$76,'분류_규칙'!$L$5:$L$76,0))</x:f>
        <x:v>0</x:v>
      </x:c>
      <x:c r="M458" s="10" t="n">
        <x:f>SUM(XLOOKUP('포켓몬_편집'!$AF458:$AN458,'분류_규칙'!$A$5:$A$76,'분류_규칙'!$M$5:$M$76,0))</x:f>
        <x:v>0</x:v>
      </x:c>
      <x:c r="N458" s="10" t="n">
        <x:f>SUM(XLOOKUP('포켓몬_편집'!$AF458:$AN458,'분류_규칙'!$A$5:$A$76,'분류_규칙'!$N$5:$N$76,0))</x:f>
        <x:v>0</x:v>
      </x:c>
      <x:c r="O458" s="10" t="n">
        <x:f>SUM(XLOOKUP('포켓몬_편집'!$AF458:$AN458,'분류_규칙'!$A$5:$A$76,'분류_규칙'!$O$5:$O$76,0))</x:f>
        <x:v>2</x:v>
      </x:c>
      <x:c r="P458" s="10" t="n">
        <x:f>SUM(XLOOKUP('포켓몬_편집'!$AF458:$AN458,'분류_규칙'!$A$5:$A$76,'분류_규칙'!$P$5:$P$76,0))</x:f>
        <x:v>0</x:v>
      </x:c>
    </x:row>
    <x:row r="459" ht="22" customHeight="1">
      <x:c r="A459" s="5" t="n">
        <x:v>455</x:v>
      </x:c>
      <x:c r="B459" s="5" t="inlineStr">
        <x:is>
          <x:t xml:space="preserve">무스틈니</x:t>
        </x:is>
      </x:c>
      <x:c r="C459" s="5" t="inlineStr">
        <x:is>
          <x:t xml:space="preserve">carnivine</x:t>
        </x:is>
      </x:c>
      <x:c r="D459" s="5" t="n">
        <x:v>4</x:v>
      </x:c>
      <x:c r="E459" s="10" t="n">
        <x:f>SUM(XLOOKUP('포켓몬_편집'!$AF459:$AN459,'분류_규칙'!$A$5:$A$76,'분류_규칙'!$E$5:$E$76,0))</x:f>
        <x:v>8</x:v>
      </x:c>
      <x:c r="F459" s="10" t="n">
        <x:f>SUM(XLOOKUP('포켓몬_편집'!$AF459:$AN459,'분류_규칙'!$A$5:$A$76,'분류_규칙'!$F$5:$F$76,0))</x:f>
        <x:v>8</x:v>
      </x:c>
      <x:c r="G459" s="10" t="n">
        <x:f>SUM(XLOOKUP('포켓몬_편집'!$AF459:$AN459,'분류_규칙'!$A$5:$A$76,'분류_규칙'!$G$5:$G$76,0))</x:f>
        <x:v>0</x:v>
      </x:c>
      <x:c r="H459" s="10" t="n">
        <x:f>SUM(XLOOKUP('포켓몬_편집'!$AF459:$AN459,'분류_규칙'!$A$5:$A$76,'분류_규칙'!$H$5:$H$76,0))</x:f>
        <x:v>12</x:v>
      </x:c>
      <x:c r="I459" s="10" t="n">
        <x:f>SUM(XLOOKUP('포켓몬_편집'!$AF459:$AN459,'분류_규칙'!$A$5:$A$76,'분류_규칙'!$I$5:$I$76,0))</x:f>
        <x:v>0</x:v>
      </x:c>
      <x:c r="J459" s="10" t="n">
        <x:f>SUM(XLOOKUP('포켓몬_편집'!$AF459:$AN459,'분류_규칙'!$A$5:$A$76,'분류_규칙'!$J$5:$J$76,0))</x:f>
        <x:v>0</x:v>
      </x:c>
      <x:c r="K459" s="10" t="n">
        <x:f>SUM(XLOOKUP('포켓몬_편집'!$AF459:$AN459,'분류_규칙'!$A$5:$A$76,'분류_규칙'!$K$5:$K$76,0))</x:f>
        <x:v>0</x:v>
      </x:c>
      <x:c r="L459" s="10" t="n">
        <x:f>SUM(XLOOKUP('포켓몬_편집'!$AF459:$AN459,'분류_규칙'!$A$5:$A$76,'분류_규칙'!$L$5:$L$76,0))</x:f>
        <x:v>3</x:v>
      </x:c>
      <x:c r="M459" s="10" t="n">
        <x:f>SUM(XLOOKUP('포켓몬_편집'!$AF459:$AN459,'분류_규칙'!$A$5:$A$76,'분류_규칙'!$M$5:$M$76,0))</x:f>
        <x:v>0</x:v>
      </x:c>
      <x:c r="N459" s="10" t="n">
        <x:f>SUM(XLOOKUP('포켓몬_편집'!$AF459:$AN459,'분류_규칙'!$A$5:$A$76,'분류_규칙'!$N$5:$N$76,0))</x:f>
        <x:v>0</x:v>
      </x:c>
      <x:c r="O459" s="10" t="n">
        <x:f>SUM(XLOOKUP('포켓몬_편집'!$AF459:$AN459,'분류_규칙'!$A$5:$A$76,'분류_규칙'!$O$5:$O$76,0))</x:f>
        <x:v>2</x:v>
      </x:c>
      <x:c r="P459" s="10" t="n">
        <x:f>SUM(XLOOKUP('포켓몬_편집'!$AF459:$AN459,'분류_규칙'!$A$5:$A$76,'분류_규칙'!$P$5:$P$76,0))</x:f>
        <x:v>0</x:v>
      </x:c>
    </x:row>
    <x:row r="460" ht="22" customHeight="1">
      <x:c r="A460" s="5" t="n">
        <x:v>456</x:v>
      </x:c>
      <x:c r="B460" s="5" t="inlineStr">
        <x:is>
          <x:t xml:space="preserve">형광어</x:t>
        </x:is>
      </x:c>
      <x:c r="C460" s="5" t="inlineStr">
        <x:is>
          <x:t xml:space="preserve">finneon</x:t>
        </x:is>
      </x:c>
      <x:c r="D460" s="5" t="n">
        <x:v>4</x:v>
      </x:c>
      <x:c r="E460" s="10" t="n">
        <x:f>SUM(XLOOKUP('포켓몬_편집'!$AF460:$AN460,'분류_규칙'!$A$5:$A$76,'분류_규칙'!$E$5:$E$76,0))</x:f>
        <x:v>0</x:v>
      </x:c>
      <x:c r="F460" s="10" t="n">
        <x:f>SUM(XLOOKUP('포켓몬_편집'!$AF460:$AN460,'분류_규칙'!$A$5:$A$76,'분류_규칙'!$F$5:$F$76,0))</x:f>
        <x:v>0</x:v>
      </x:c>
      <x:c r="G460" s="10" t="n">
        <x:f>SUM(XLOOKUP('포켓몬_편집'!$AF460:$AN460,'분류_규칙'!$A$5:$A$76,'분류_규칙'!$G$5:$G$76,0))</x:f>
        <x:v>0</x:v>
      </x:c>
      <x:c r="H460" s="10" t="n">
        <x:f>SUM(XLOOKUP('포켓몬_편집'!$AF460:$AN460,'분류_규칙'!$A$5:$A$76,'분류_규칙'!$H$5:$H$76,0))</x:f>
        <x:v>0</x:v>
      </x:c>
      <x:c r="I460" s="10" t="n">
        <x:f>SUM(XLOOKUP('포켓몬_편집'!$AF460:$AN460,'분류_규칙'!$A$5:$A$76,'분류_규칙'!$I$5:$I$76,0))</x:f>
        <x:v>0</x:v>
      </x:c>
      <x:c r="J460" s="10" t="n">
        <x:f>SUM(XLOOKUP('포켓몬_편집'!$AF460:$AN460,'분류_규칙'!$A$5:$A$76,'분류_규칙'!$J$5:$J$76,0))</x:f>
        <x:v>3</x:v>
      </x:c>
      <x:c r="K460" s="10" t="n">
        <x:f>SUM(XLOOKUP('포켓몬_편집'!$AF460:$AN460,'분류_규칙'!$A$5:$A$76,'분류_규칙'!$K$5:$K$76,0))</x:f>
        <x:v>0</x:v>
      </x:c>
      <x:c r="L460" s="10" t="n">
        <x:f>SUM(XLOOKUP('포켓몬_편집'!$AF460:$AN460,'분류_규칙'!$A$5:$A$76,'분류_규칙'!$L$5:$L$76,0))</x:f>
        <x:v>30</x:v>
      </x:c>
      <x:c r="M460" s="10" t="n">
        <x:f>SUM(XLOOKUP('포켓몬_편집'!$AF460:$AN460,'분류_규칙'!$A$5:$A$76,'분류_규칙'!$M$5:$M$76,0))</x:f>
        <x:v>0</x:v>
      </x:c>
      <x:c r="N460" s="10" t="n">
        <x:f>SUM(XLOOKUP('포켓몬_편집'!$AF460:$AN460,'분류_규칙'!$A$5:$A$76,'분류_규칙'!$N$5:$N$76,0))</x:f>
        <x:v>0</x:v>
      </x:c>
      <x:c r="O460" s="10" t="n">
        <x:f>SUM(XLOOKUP('포켓몬_편집'!$AF460:$AN460,'분류_규칙'!$A$5:$A$76,'분류_규칙'!$O$5:$O$76,0))</x:f>
        <x:v>0</x:v>
      </x:c>
      <x:c r="P460" s="10" t="n">
        <x:f>SUM(XLOOKUP('포켓몬_편집'!$AF460:$AN460,'분류_규칙'!$A$5:$A$76,'분류_규칙'!$P$5:$P$76,0))</x:f>
        <x:v>0</x:v>
      </x:c>
    </x:row>
    <x:row r="461" ht="22" customHeight="1">
      <x:c r="A461" s="5" t="n">
        <x:v>457</x:v>
      </x:c>
      <x:c r="B461" s="5" t="inlineStr">
        <x:is>
          <x:t xml:space="preserve">네오라이트</x:t>
        </x:is>
      </x:c>
      <x:c r="C461" s="5" t="inlineStr">
        <x:is>
          <x:t xml:space="preserve">lumineon</x:t>
        </x:is>
      </x:c>
      <x:c r="D461" s="5" t="n">
        <x:v>4</x:v>
      </x:c>
      <x:c r="E461" s="10" t="n">
        <x:f>SUM(XLOOKUP('포켓몬_편집'!$AF461:$AN461,'분류_규칙'!$A$5:$A$76,'분류_규칙'!$E$5:$E$76,0))</x:f>
        <x:v>0</x:v>
      </x:c>
      <x:c r="F461" s="10" t="n">
        <x:f>SUM(XLOOKUP('포켓몬_편집'!$AF461:$AN461,'분류_규칙'!$A$5:$A$76,'분류_규칙'!$F$5:$F$76,0))</x:f>
        <x:v>0</x:v>
      </x:c>
      <x:c r="G461" s="10" t="n">
        <x:f>SUM(XLOOKUP('포켓몬_편집'!$AF461:$AN461,'분류_규칙'!$A$5:$A$76,'분류_규칙'!$G$5:$G$76,0))</x:f>
        <x:v>0</x:v>
      </x:c>
      <x:c r="H461" s="10" t="n">
        <x:f>SUM(XLOOKUP('포켓몬_편집'!$AF461:$AN461,'분류_규칙'!$A$5:$A$76,'분류_규칙'!$H$5:$H$76,0))</x:f>
        <x:v>0</x:v>
      </x:c>
      <x:c r="I461" s="10" t="n">
        <x:f>SUM(XLOOKUP('포켓몬_편집'!$AF461:$AN461,'분류_규칙'!$A$5:$A$76,'분류_규칙'!$I$5:$I$76,0))</x:f>
        <x:v>0</x:v>
      </x:c>
      <x:c r="J461" s="10" t="n">
        <x:f>SUM(XLOOKUP('포켓몬_편집'!$AF461:$AN461,'분류_규칙'!$A$5:$A$76,'분류_규칙'!$J$5:$J$76,0))</x:f>
        <x:v>3</x:v>
      </x:c>
      <x:c r="K461" s="10" t="n">
        <x:f>SUM(XLOOKUP('포켓몬_편집'!$AF461:$AN461,'분류_규칙'!$A$5:$A$76,'분류_규칙'!$K$5:$K$76,0))</x:f>
        <x:v>0</x:v>
      </x:c>
      <x:c r="L461" s="10" t="n">
        <x:f>SUM(XLOOKUP('포켓몬_편집'!$AF461:$AN461,'분류_규칙'!$A$5:$A$76,'분류_규칙'!$L$5:$L$76,0))</x:f>
        <x:v>30</x:v>
      </x:c>
      <x:c r="M461" s="10" t="n">
        <x:f>SUM(XLOOKUP('포켓몬_편집'!$AF461:$AN461,'분류_규칙'!$A$5:$A$76,'분류_규칙'!$M$5:$M$76,0))</x:f>
        <x:v>0</x:v>
      </x:c>
      <x:c r="N461" s="10" t="n">
        <x:f>SUM(XLOOKUP('포켓몬_편집'!$AF461:$AN461,'분류_규칙'!$A$5:$A$76,'분류_규칙'!$N$5:$N$76,0))</x:f>
        <x:v>0</x:v>
      </x:c>
      <x:c r="O461" s="10" t="n">
        <x:f>SUM(XLOOKUP('포켓몬_편집'!$AF461:$AN461,'분류_규칙'!$A$5:$A$76,'분류_규칙'!$O$5:$O$76,0))</x:f>
        <x:v>0</x:v>
      </x:c>
      <x:c r="P461" s="10" t="n">
        <x:f>SUM(XLOOKUP('포켓몬_편집'!$AF461:$AN461,'분류_규칙'!$A$5:$A$76,'분류_규칙'!$P$5:$P$76,0))</x:f>
        <x:v>0</x:v>
      </x:c>
    </x:row>
    <x:row r="462" ht="22" customHeight="1">
      <x:c r="A462" s="5" t="n">
        <x:v>458</x:v>
      </x:c>
      <x:c r="B462" s="5" t="inlineStr">
        <x:is>
          <x:t xml:space="preserve">타만타</x:t>
        </x:is>
      </x:c>
      <x:c r="C462" s="5" t="inlineStr">
        <x:is>
          <x:t xml:space="preserve">mantyke</x:t>
        </x:is>
      </x:c>
      <x:c r="D462" s="5" t="n">
        <x:v>4</x:v>
      </x:c>
      <x:c r="E462" s="10" t="n">
        <x:f>SUM(XLOOKUP('포켓몬_편집'!$AF462:$AN462,'분류_규칙'!$A$5:$A$76,'분류_규칙'!$E$5:$E$76,0))</x:f>
        <x:v>0</x:v>
      </x:c>
      <x:c r="F462" s="10" t="n">
        <x:f>SUM(XLOOKUP('포켓몬_편집'!$AF462:$AN462,'분류_규칙'!$A$5:$A$76,'분류_규칙'!$F$5:$F$76,0))</x:f>
        <x:v>0</x:v>
      </x:c>
      <x:c r="G462" s="10" t="n">
        <x:f>SUM(XLOOKUP('포켓몬_편집'!$AF462:$AN462,'분류_규칙'!$A$5:$A$76,'분류_규칙'!$G$5:$G$76,0))</x:f>
        <x:v>0</x:v>
      </x:c>
      <x:c r="H462" s="10" t="n">
        <x:f>SUM(XLOOKUP('포켓몬_편집'!$AF462:$AN462,'분류_규칙'!$A$5:$A$76,'분류_규칙'!$H$5:$H$76,0))</x:f>
        <x:v>0</x:v>
      </x:c>
      <x:c r="I462" s="10" t="n">
        <x:f>SUM(XLOOKUP('포켓몬_편집'!$AF462:$AN462,'분류_규칙'!$A$5:$A$76,'분류_규칙'!$I$5:$I$76,0))</x:f>
        <x:v>0</x:v>
      </x:c>
      <x:c r="J462" s="10" t="n">
        <x:f>SUM(XLOOKUP('포켓몬_편집'!$AF462:$AN462,'분류_규칙'!$A$5:$A$76,'분류_규칙'!$J$5:$J$76,0))</x:f>
        <x:v>3</x:v>
      </x:c>
      <x:c r="K462" s="10" t="n">
        <x:f>SUM(XLOOKUP('포켓몬_편집'!$AF462:$AN462,'분류_규칙'!$A$5:$A$76,'분류_규칙'!$K$5:$K$76,0))</x:f>
        <x:v>0</x:v>
      </x:c>
      <x:c r="L462" s="10" t="n">
        <x:f>SUM(XLOOKUP('포켓몬_편집'!$AF462:$AN462,'분류_규칙'!$A$5:$A$76,'분류_규칙'!$L$5:$L$76,0))</x:f>
        <x:v>30</x:v>
      </x:c>
      <x:c r="M462" s="10" t="n">
        <x:f>SUM(XLOOKUP('포켓몬_편집'!$AF462:$AN462,'분류_규칙'!$A$5:$A$76,'분류_규칙'!$M$5:$M$76,0))</x:f>
        <x:v>0</x:v>
      </x:c>
      <x:c r="N462" s="10" t="n">
        <x:f>SUM(XLOOKUP('포켓몬_편집'!$AF462:$AN462,'분류_규칙'!$A$5:$A$76,'분류_규칙'!$N$5:$N$76,0))</x:f>
        <x:v>0</x:v>
      </x:c>
      <x:c r="O462" s="10" t="n">
        <x:f>SUM(XLOOKUP('포켓몬_편집'!$AF462:$AN462,'분류_규칙'!$A$5:$A$76,'분류_규칙'!$O$5:$O$76,0))</x:f>
        <x:v>0</x:v>
      </x:c>
      <x:c r="P462" s="10" t="n">
        <x:f>SUM(XLOOKUP('포켓몬_편집'!$AF462:$AN462,'분류_규칙'!$A$5:$A$76,'분류_규칙'!$P$5:$P$76,0))</x:f>
        <x:v>0</x:v>
      </x:c>
    </x:row>
    <x:row r="463" ht="22" customHeight="1">
      <x:c r="A463" s="5" t="n">
        <x:v>459</x:v>
      </x:c>
      <x:c r="B463" s="5" t="inlineStr">
        <x:is>
          <x:t xml:space="preserve">눈쓰개</x:t>
        </x:is>
      </x:c>
      <x:c r="C463" s="5" t="inlineStr">
        <x:is>
          <x:t xml:space="preserve">snover</x:t>
        </x:is>
      </x:c>
      <x:c r="D463" s="5" t="n">
        <x:v>4</x:v>
      </x:c>
      <x:c r="E463" s="10" t="n">
        <x:f>SUM(XLOOKUP('포켓몬_편집'!$AF463:$AN463,'분류_규칙'!$A$5:$A$76,'분류_규칙'!$E$5:$E$76,0))</x:f>
        <x:v>10</x:v>
      </x:c>
      <x:c r="F463" s="10" t="n">
        <x:f>SUM(XLOOKUP('포켓몬_편집'!$AF463:$AN463,'분류_규칙'!$A$5:$A$76,'분류_규칙'!$F$5:$F$76,0))</x:f>
        <x:v>7</x:v>
      </x:c>
      <x:c r="G463" s="10" t="n">
        <x:f>SUM(XLOOKUP('포켓몬_편집'!$AF463:$AN463,'분류_규칙'!$A$5:$A$76,'분류_규칙'!$G$5:$G$76,0))</x:f>
        <x:v>5</x:v>
      </x:c>
      <x:c r="H463" s="10" t="n">
        <x:f>SUM(XLOOKUP('포켓몬_편집'!$AF463:$AN463,'분류_규칙'!$A$5:$A$76,'분류_규칙'!$H$5:$H$76,0))</x:f>
        <x:v>5</x:v>
      </x:c>
      <x:c r="I463" s="10" t="n">
        <x:f>SUM(XLOOKUP('포켓몬_편집'!$AF463:$AN463,'분류_규칙'!$A$5:$A$76,'분류_규칙'!$I$5:$I$76,0))</x:f>
        <x:v>0</x:v>
      </x:c>
      <x:c r="J463" s="10" t="n">
        <x:f>SUM(XLOOKUP('포켓몬_편집'!$AF463:$AN463,'분류_규칙'!$A$5:$A$76,'분류_규칙'!$J$5:$J$76,0))</x:f>
        <x:v>2</x:v>
      </x:c>
      <x:c r="K463" s="10" t="n">
        <x:f>SUM(XLOOKUP('포켓몬_편집'!$AF463:$AN463,'분류_규칙'!$A$5:$A$76,'분류_규칙'!$K$5:$K$76,0))</x:f>
        <x:v>0</x:v>
      </x:c>
      <x:c r="L463" s="10" t="n">
        <x:f>SUM(XLOOKUP('포켓몬_편집'!$AF463:$AN463,'분류_규칙'!$A$5:$A$76,'분류_규칙'!$L$5:$L$76,0))</x:f>
        <x:v>0</x:v>
      </x:c>
      <x:c r="M463" s="10" t="n">
        <x:f>SUM(XLOOKUP('포켓몬_편집'!$AF463:$AN463,'분류_규칙'!$A$5:$A$76,'분류_규칙'!$M$5:$M$76,0))</x:f>
        <x:v>0</x:v>
      </x:c>
      <x:c r="N463" s="10" t="n">
        <x:f>SUM(XLOOKUP('포켓몬_편집'!$AF463:$AN463,'분류_규칙'!$A$5:$A$76,'분류_규칙'!$N$5:$N$76,0))</x:f>
        <x:v>0</x:v>
      </x:c>
      <x:c r="O463" s="10" t="n">
        <x:f>SUM(XLOOKUP('포켓몬_편집'!$AF463:$AN463,'분류_규칙'!$A$5:$A$76,'분류_규칙'!$O$5:$O$76,0))</x:f>
        <x:v>2</x:v>
      </x:c>
      <x:c r="P463" s="10" t="n">
        <x:f>SUM(XLOOKUP('포켓몬_편집'!$AF463:$AN463,'분류_규칙'!$A$5:$A$76,'분류_규칙'!$P$5:$P$76,0))</x:f>
        <x:v>0</x:v>
      </x:c>
    </x:row>
    <x:row r="464" ht="22" customHeight="1">
      <x:c r="A464" s="5" t="n">
        <x:v>460</x:v>
      </x:c>
      <x:c r="B464" s="5" t="inlineStr">
        <x:is>
          <x:t xml:space="preserve">눈설왕</x:t>
        </x:is>
      </x:c>
      <x:c r="C464" s="5" t="inlineStr">
        <x:is>
          <x:t xml:space="preserve">abomasnow</x:t>
        </x:is>
      </x:c>
      <x:c r="D464" s="5" t="n">
        <x:v>4</x:v>
      </x:c>
      <x:c r="E464" s="10" t="n">
        <x:f>SUM(XLOOKUP('포켓몬_편집'!$AF464:$AN464,'분류_규칙'!$A$5:$A$76,'분류_규칙'!$E$5:$E$76,0))</x:f>
        <x:v>10</x:v>
      </x:c>
      <x:c r="F464" s="10" t="n">
        <x:f>SUM(XLOOKUP('포켓몬_편집'!$AF464:$AN464,'분류_규칙'!$A$5:$A$76,'분류_규칙'!$F$5:$F$76,0))</x:f>
        <x:v>7</x:v>
      </x:c>
      <x:c r="G464" s="10" t="n">
        <x:f>SUM(XLOOKUP('포켓몬_편집'!$AF464:$AN464,'분류_규칙'!$A$5:$A$76,'분류_규칙'!$G$5:$G$76,0))</x:f>
        <x:v>5</x:v>
      </x:c>
      <x:c r="H464" s="10" t="n">
        <x:f>SUM(XLOOKUP('포켓몬_편집'!$AF464:$AN464,'분류_규칙'!$A$5:$A$76,'분류_규칙'!$H$5:$H$76,0))</x:f>
        <x:v>5</x:v>
      </x:c>
      <x:c r="I464" s="10" t="n">
        <x:f>SUM(XLOOKUP('포켓몬_편집'!$AF464:$AN464,'분류_규칙'!$A$5:$A$76,'분류_규칙'!$I$5:$I$76,0))</x:f>
        <x:v>0</x:v>
      </x:c>
      <x:c r="J464" s="10" t="n">
        <x:f>SUM(XLOOKUP('포켓몬_편집'!$AF464:$AN464,'분류_규칙'!$A$5:$A$76,'분류_규칙'!$J$5:$J$76,0))</x:f>
        <x:v>2</x:v>
      </x:c>
      <x:c r="K464" s="10" t="n">
        <x:f>SUM(XLOOKUP('포켓몬_편집'!$AF464:$AN464,'분류_규칙'!$A$5:$A$76,'분류_규칙'!$K$5:$K$76,0))</x:f>
        <x:v>0</x:v>
      </x:c>
      <x:c r="L464" s="10" t="n">
        <x:f>SUM(XLOOKUP('포켓몬_편집'!$AF464:$AN464,'분류_규칙'!$A$5:$A$76,'분류_규칙'!$L$5:$L$76,0))</x:f>
        <x:v>0</x:v>
      </x:c>
      <x:c r="M464" s="10" t="n">
        <x:f>SUM(XLOOKUP('포켓몬_편집'!$AF464:$AN464,'분류_규칙'!$A$5:$A$76,'분류_규칙'!$M$5:$M$76,0))</x:f>
        <x:v>0</x:v>
      </x:c>
      <x:c r="N464" s="10" t="n">
        <x:f>SUM(XLOOKUP('포켓몬_편집'!$AF464:$AN464,'분류_규칙'!$A$5:$A$76,'분류_규칙'!$N$5:$N$76,0))</x:f>
        <x:v>0</x:v>
      </x:c>
      <x:c r="O464" s="10" t="n">
        <x:f>SUM(XLOOKUP('포켓몬_편집'!$AF464:$AN464,'분류_규칙'!$A$5:$A$76,'분류_규칙'!$O$5:$O$76,0))</x:f>
        <x:v>2</x:v>
      </x:c>
      <x:c r="P464" s="10" t="n">
        <x:f>SUM(XLOOKUP('포켓몬_편집'!$AF464:$AN464,'분류_규칙'!$A$5:$A$76,'분류_규칙'!$P$5:$P$76,0))</x:f>
        <x:v>0</x:v>
      </x:c>
    </x:row>
    <x:row r="465" ht="22" customHeight="1">
      <x:c r="A465" s="5" t="n">
        <x:v>461</x:v>
      </x:c>
      <x:c r="B465" s="5" t="inlineStr">
        <x:is>
          <x:t xml:space="preserve">포푸니라</x:t>
        </x:is>
      </x:c>
      <x:c r="C465" s="5" t="inlineStr">
        <x:is>
          <x:t xml:space="preserve">weavile</x:t>
        </x:is>
      </x:c>
      <x:c r="D465" s="5" t="n">
        <x:v>4</x:v>
      </x:c>
      <x:c r="E465" s="10" t="n">
        <x:f>SUM(XLOOKUP('포켓몬_편집'!$AF465:$AN465,'분류_규칙'!$A$5:$A$76,'분류_규칙'!$E$5:$E$76,0))</x:f>
        <x:v>10</x:v>
      </x:c>
      <x:c r="F465" s="10" t="n">
        <x:f>SUM(XLOOKUP('포켓몬_편집'!$AF465:$AN465,'분류_규칙'!$A$5:$A$76,'분류_규칙'!$F$5:$F$76,0))</x:f>
        <x:v>7</x:v>
      </x:c>
      <x:c r="G465" s="10" t="n">
        <x:f>SUM(XLOOKUP('포켓몬_편집'!$AF465:$AN465,'분류_규칙'!$A$5:$A$76,'분류_규칙'!$G$5:$G$76,0))</x:f>
        <x:v>5</x:v>
      </x:c>
      <x:c r="H465" s="10" t="n">
        <x:f>SUM(XLOOKUP('포켓몬_편집'!$AF465:$AN465,'분류_규칙'!$A$5:$A$76,'분류_규칙'!$H$5:$H$76,0))</x:f>
        <x:v>5</x:v>
      </x:c>
      <x:c r="I465" s="10" t="n">
        <x:f>SUM(XLOOKUP('포켓몬_편집'!$AF465:$AN465,'분류_규칙'!$A$5:$A$76,'분류_규칙'!$I$5:$I$76,0))</x:f>
        <x:v>0</x:v>
      </x:c>
      <x:c r="J465" s="10" t="n">
        <x:f>SUM(XLOOKUP('포켓몬_편집'!$AF465:$AN465,'분류_규칙'!$A$5:$A$76,'분류_규칙'!$J$5:$J$76,0))</x:f>
        <x:v>2</x:v>
      </x:c>
      <x:c r="K465" s="10" t="n">
        <x:f>SUM(XLOOKUP('포켓몬_편집'!$AF465:$AN465,'분류_규칙'!$A$5:$A$76,'분류_규칙'!$K$5:$K$76,0))</x:f>
        <x:v>0</x:v>
      </x:c>
      <x:c r="L465" s="10" t="n">
        <x:f>SUM(XLOOKUP('포켓몬_편집'!$AF465:$AN465,'분류_규칙'!$A$5:$A$76,'분류_규칙'!$L$5:$L$76,0))</x:f>
        <x:v>0</x:v>
      </x:c>
      <x:c r="M465" s="10" t="n">
        <x:f>SUM(XLOOKUP('포켓몬_편집'!$AF465:$AN465,'분류_규칙'!$A$5:$A$76,'분류_규칙'!$M$5:$M$76,0))</x:f>
        <x:v>0</x:v>
      </x:c>
      <x:c r="N465" s="10" t="n">
        <x:f>SUM(XLOOKUP('포켓몬_편집'!$AF465:$AN465,'분류_규칙'!$A$5:$A$76,'분류_규칙'!$N$5:$N$76,0))</x:f>
        <x:v>0</x:v>
      </x:c>
      <x:c r="O465" s="10" t="n">
        <x:f>SUM(XLOOKUP('포켓몬_편집'!$AF465:$AN465,'분류_규칙'!$A$5:$A$76,'분류_규칙'!$O$5:$O$76,0))</x:f>
        <x:v>2</x:v>
      </x:c>
      <x:c r="P465" s="10" t="n">
        <x:f>SUM(XLOOKUP('포켓몬_편집'!$AF465:$AN465,'분류_규칙'!$A$5:$A$76,'분류_규칙'!$P$5:$P$76,0))</x:f>
        <x:v>0</x:v>
      </x:c>
    </x:row>
    <x:row r="466" ht="22" customHeight="1">
      <x:c r="A466" s="5" t="n">
        <x:v>462</x:v>
      </x:c>
      <x:c r="B466" s="5" t="inlineStr">
        <x:is>
          <x:t xml:space="preserve">자포코일</x:t>
        </x:is>
      </x:c>
      <x:c r="C466" s="5" t="inlineStr">
        <x:is>
          <x:t xml:space="preserve">magnezone</x:t>
        </x:is>
      </x:c>
      <x:c r="D466" s="5" t="n">
        <x:v>4</x:v>
      </x:c>
      <x:c r="E466" s="10" t="n">
        <x:f>SUM(XLOOKUP('포켓몬_편집'!$AF466:$AN466,'분류_규칙'!$A$5:$A$76,'분류_규칙'!$E$5:$E$76,0))</x:f>
        <x:v>0</x:v>
      </x:c>
      <x:c r="F466" s="10" t="n">
        <x:f>SUM(XLOOKUP('포켓몬_편집'!$AF466:$AN466,'분류_규칙'!$A$5:$A$76,'분류_규칙'!$F$5:$F$76,0))</x:f>
        <x:v>0</x:v>
      </x:c>
      <x:c r="G466" s="10" t="n">
        <x:f>SUM(XLOOKUP('포켓몬_편집'!$AF466:$AN466,'분류_규칙'!$A$5:$A$76,'분류_규칙'!$G$5:$G$76,0))</x:f>
        <x:v>0</x:v>
      </x:c>
      <x:c r="H466" s="10" t="n">
        <x:f>SUM(XLOOKUP('포켓몬_편집'!$AF466:$AN466,'분류_규칙'!$A$5:$A$76,'분류_규칙'!$H$5:$H$76,0))</x:f>
        <x:v>0</x:v>
      </x:c>
      <x:c r="I466" s="10" t="n">
        <x:f>SUM(XLOOKUP('포켓몬_편집'!$AF466:$AN466,'분류_규칙'!$A$5:$A$76,'분류_규칙'!$I$5:$I$76,0))</x:f>
        <x:v>0</x:v>
      </x:c>
      <x:c r="J466" s="10" t="n">
        <x:f>SUM(XLOOKUP('포켓몬_편집'!$AF466:$AN466,'분류_규칙'!$A$5:$A$76,'분류_규칙'!$J$5:$J$76,0))</x:f>
        <x:v>0</x:v>
      </x:c>
      <x:c r="K466" s="10" t="n">
        <x:f>SUM(XLOOKUP('포켓몬_편집'!$AF466:$AN466,'분류_규칙'!$A$5:$A$76,'분류_규칙'!$K$5:$K$76,0))</x:f>
        <x:v>0</x:v>
      </x:c>
      <x:c r="L466" s="10" t="n">
        <x:f>SUM(XLOOKUP('포켓몬_편집'!$AF466:$AN466,'분류_규칙'!$A$5:$A$76,'분류_규칙'!$L$5:$L$76,0))</x:f>
        <x:v>0</x:v>
      </x:c>
      <x:c r="M466" s="10" t="n">
        <x:f>SUM(XLOOKUP('포켓몬_편집'!$AF466:$AN466,'분류_규칙'!$A$5:$A$76,'분류_규칙'!$M$5:$M$76,0))</x:f>
        <x:v>0</x:v>
      </x:c>
      <x:c r="N466" s="10" t="n">
        <x:f>SUM(XLOOKUP('포켓몬_편집'!$AF466:$AN466,'분류_규칙'!$A$5:$A$76,'분류_규칙'!$N$5:$N$76,0))</x:f>
        <x:v>0</x:v>
      </x:c>
      <x:c r="O466" s="10" t="n">
        <x:f>SUM(XLOOKUP('포켓몬_편집'!$AF466:$AN466,'분류_규칙'!$A$5:$A$76,'분류_규칙'!$O$5:$O$76,0))</x:f>
        <x:v>30</x:v>
      </x:c>
      <x:c r="P466" s="10" t="n">
        <x:f>SUM(XLOOKUP('포켓몬_편집'!$AF466:$AN466,'분류_규칙'!$A$5:$A$76,'분류_규칙'!$P$5:$P$76,0))</x:f>
        <x:v>8</x:v>
      </x:c>
    </x:row>
    <x:row r="467" ht="22" customHeight="1">
      <x:c r="A467" s="5" t="n">
        <x:v>463</x:v>
      </x:c>
      <x:c r="B467" s="5" t="inlineStr">
        <x:is>
          <x:t xml:space="preserve">내룸벨트</x:t>
        </x:is>
      </x:c>
      <x:c r="C467" s="5" t="inlineStr">
        <x:is>
          <x:t xml:space="preserve">lickilicky</x:t>
        </x:is>
      </x:c>
      <x:c r="D467" s="5" t="n">
        <x:v>4</x:v>
      </x:c>
      <x:c r="E467" s="10" t="n">
        <x:f>SUM(XLOOKUP('포켓몬_편집'!$AF467:$AN467,'분류_규칙'!$A$5:$A$76,'분류_규칙'!$E$5:$E$76,0))</x:f>
        <x:v>10</x:v>
      </x:c>
      <x:c r="F467" s="10" t="n">
        <x:f>SUM(XLOOKUP('포켓몬_편집'!$AF467:$AN467,'분류_규칙'!$A$5:$A$76,'분류_규칙'!$F$5:$F$76,0))</x:f>
        <x:v>7</x:v>
      </x:c>
      <x:c r="G467" s="10" t="n">
        <x:f>SUM(XLOOKUP('포켓몬_편집'!$AF467:$AN467,'분류_규칙'!$A$5:$A$76,'분류_규칙'!$G$5:$G$76,0))</x:f>
        <x:v>5</x:v>
      </x:c>
      <x:c r="H467" s="10" t="n">
        <x:f>SUM(XLOOKUP('포켓몬_편집'!$AF467:$AN467,'분류_규칙'!$A$5:$A$76,'분류_규칙'!$H$5:$H$76,0))</x:f>
        <x:v>5</x:v>
      </x:c>
      <x:c r="I467" s="10" t="n">
        <x:f>SUM(XLOOKUP('포켓몬_편집'!$AF467:$AN467,'분류_규칙'!$A$5:$A$76,'분류_규칙'!$I$5:$I$76,0))</x:f>
        <x:v>0</x:v>
      </x:c>
      <x:c r="J467" s="10" t="n">
        <x:f>SUM(XLOOKUP('포켓몬_편집'!$AF467:$AN467,'분류_규칙'!$A$5:$A$76,'분류_규칙'!$J$5:$J$76,0))</x:f>
        <x:v>2</x:v>
      </x:c>
      <x:c r="K467" s="10" t="n">
        <x:f>SUM(XLOOKUP('포켓몬_편집'!$AF467:$AN467,'분류_규칙'!$A$5:$A$76,'분류_규칙'!$K$5:$K$76,0))</x:f>
        <x:v>0</x:v>
      </x:c>
      <x:c r="L467" s="10" t="n">
        <x:f>SUM(XLOOKUP('포켓몬_편집'!$AF467:$AN467,'분류_규칙'!$A$5:$A$76,'분류_규칙'!$L$5:$L$76,0))</x:f>
        <x:v>0</x:v>
      </x:c>
      <x:c r="M467" s="10" t="n">
        <x:f>SUM(XLOOKUP('포켓몬_편집'!$AF467:$AN467,'분류_규칙'!$A$5:$A$76,'분류_규칙'!$M$5:$M$76,0))</x:f>
        <x:v>0</x:v>
      </x:c>
      <x:c r="N467" s="10" t="n">
        <x:f>SUM(XLOOKUP('포켓몬_편집'!$AF467:$AN467,'분류_규칙'!$A$5:$A$76,'분류_규칙'!$N$5:$N$76,0))</x:f>
        <x:v>0</x:v>
      </x:c>
      <x:c r="O467" s="10" t="n">
        <x:f>SUM(XLOOKUP('포켓몬_편집'!$AF467:$AN467,'분류_규칙'!$A$5:$A$76,'분류_규칙'!$O$5:$O$76,0))</x:f>
        <x:v>2</x:v>
      </x:c>
      <x:c r="P467" s="10" t="n">
        <x:f>SUM(XLOOKUP('포켓몬_편집'!$AF467:$AN467,'분류_규칙'!$A$5:$A$76,'분류_규칙'!$P$5:$P$76,0))</x:f>
        <x:v>0</x:v>
      </x:c>
    </x:row>
    <x:row r="468" ht="22" customHeight="1">
      <x:c r="A468" s="5" t="n">
        <x:v>464</x:v>
      </x:c>
      <x:c r="B468" s="5" t="inlineStr">
        <x:is>
          <x:t xml:space="preserve">거대코뿌리</x:t>
        </x:is>
      </x:c>
      <x:c r="C468" s="5" t="inlineStr">
        <x:is>
          <x:t xml:space="preserve">rhyperior</x:t>
        </x:is>
      </x:c>
      <x:c r="D468" s="5" t="n">
        <x:v>4</x:v>
      </x:c>
      <x:c r="E468" s="10" t="n">
        <x:f>SUM(XLOOKUP('포켓몬_편집'!$AF468:$AN468,'분류_규칙'!$A$5:$A$76,'분류_규칙'!$E$5:$E$76,0))</x:f>
        <x:v>10</x:v>
      </x:c>
      <x:c r="F468" s="10" t="n">
        <x:f>SUM(XLOOKUP('포켓몬_편집'!$AF468:$AN468,'분류_규칙'!$A$5:$A$76,'분류_규칙'!$F$5:$F$76,0))</x:f>
        <x:v>7</x:v>
      </x:c>
      <x:c r="G468" s="10" t="n">
        <x:f>SUM(XLOOKUP('포켓몬_편집'!$AF468:$AN468,'분류_규칙'!$A$5:$A$76,'분류_규칙'!$G$5:$G$76,0))</x:f>
        <x:v>5</x:v>
      </x:c>
      <x:c r="H468" s="10" t="n">
        <x:f>SUM(XLOOKUP('포켓몬_편집'!$AF468:$AN468,'분류_규칙'!$A$5:$A$76,'분류_규칙'!$H$5:$H$76,0))</x:f>
        <x:v>5</x:v>
      </x:c>
      <x:c r="I468" s="10" t="n">
        <x:f>SUM(XLOOKUP('포켓몬_편집'!$AF468:$AN468,'분류_규칙'!$A$5:$A$76,'분류_규칙'!$I$5:$I$76,0))</x:f>
        <x:v>0</x:v>
      </x:c>
      <x:c r="J468" s="10" t="n">
        <x:f>SUM(XLOOKUP('포켓몬_편집'!$AF468:$AN468,'분류_규칙'!$A$5:$A$76,'분류_규칙'!$J$5:$J$76,0))</x:f>
        <x:v>2</x:v>
      </x:c>
      <x:c r="K468" s="10" t="n">
        <x:f>SUM(XLOOKUP('포켓몬_편집'!$AF468:$AN468,'분류_규칙'!$A$5:$A$76,'분류_규칙'!$K$5:$K$76,0))</x:f>
        <x:v>0</x:v>
      </x:c>
      <x:c r="L468" s="10" t="n">
        <x:f>SUM(XLOOKUP('포켓몬_편집'!$AF468:$AN468,'분류_규칙'!$A$5:$A$76,'분류_규칙'!$L$5:$L$76,0))</x:f>
        <x:v>0</x:v>
      </x:c>
      <x:c r="M468" s="10" t="n">
        <x:f>SUM(XLOOKUP('포켓몬_편집'!$AF468:$AN468,'분류_규칙'!$A$5:$A$76,'분류_규칙'!$M$5:$M$76,0))</x:f>
        <x:v>0</x:v>
      </x:c>
      <x:c r="N468" s="10" t="n">
        <x:f>SUM(XLOOKUP('포켓몬_편집'!$AF468:$AN468,'분류_규칙'!$A$5:$A$76,'분류_규칙'!$N$5:$N$76,0))</x:f>
        <x:v>0</x:v>
      </x:c>
      <x:c r="O468" s="10" t="n">
        <x:f>SUM(XLOOKUP('포켓몬_편집'!$AF468:$AN468,'분류_규칙'!$A$5:$A$76,'분류_규칙'!$O$5:$O$76,0))</x:f>
        <x:v>2</x:v>
      </x:c>
      <x:c r="P468" s="10" t="n">
        <x:f>SUM(XLOOKUP('포켓몬_편집'!$AF468:$AN468,'분류_규칙'!$A$5:$A$76,'분류_규칙'!$P$5:$P$76,0))</x:f>
        <x:v>0</x:v>
      </x:c>
    </x:row>
    <x:row r="469" ht="22" customHeight="1">
      <x:c r="A469" s="5" t="n">
        <x:v>465</x:v>
      </x:c>
      <x:c r="B469" s="5" t="inlineStr">
        <x:is>
          <x:t xml:space="preserve">덩쿠림보</x:t>
        </x:is>
      </x:c>
      <x:c r="C469" s="5" t="inlineStr">
        <x:is>
          <x:t xml:space="preserve">tangrowth</x:t>
        </x:is>
      </x:c>
      <x:c r="D469" s="5" t="n">
        <x:v>4</x:v>
      </x:c>
      <x:c r="E469" s="10" t="n">
        <x:f>SUM(XLOOKUP('포켓몬_편집'!$AF469:$AN469,'분류_규칙'!$A$5:$A$76,'분류_규칙'!$E$5:$E$76,0))</x:f>
        <x:v>10</x:v>
      </x:c>
      <x:c r="F469" s="10" t="n">
        <x:f>SUM(XLOOKUP('포켓몬_편집'!$AF469:$AN469,'분류_규칙'!$A$5:$A$76,'분류_규칙'!$F$5:$F$76,0))</x:f>
        <x:v>7</x:v>
      </x:c>
      <x:c r="G469" s="10" t="n">
        <x:f>SUM(XLOOKUP('포켓몬_편집'!$AF469:$AN469,'분류_규칙'!$A$5:$A$76,'분류_규칙'!$G$5:$G$76,0))</x:f>
        <x:v>5</x:v>
      </x:c>
      <x:c r="H469" s="10" t="n">
        <x:f>SUM(XLOOKUP('포켓몬_편집'!$AF469:$AN469,'분류_규칙'!$A$5:$A$76,'분류_규칙'!$H$5:$H$76,0))</x:f>
        <x:v>5</x:v>
      </x:c>
      <x:c r="I469" s="10" t="n">
        <x:f>SUM(XLOOKUP('포켓몬_편집'!$AF469:$AN469,'분류_규칙'!$A$5:$A$76,'분류_규칙'!$I$5:$I$76,0))</x:f>
        <x:v>0</x:v>
      </x:c>
      <x:c r="J469" s="10" t="n">
        <x:f>SUM(XLOOKUP('포켓몬_편집'!$AF469:$AN469,'분류_규칙'!$A$5:$A$76,'분류_규칙'!$J$5:$J$76,0))</x:f>
        <x:v>2</x:v>
      </x:c>
      <x:c r="K469" s="10" t="n">
        <x:f>SUM(XLOOKUP('포켓몬_편집'!$AF469:$AN469,'분류_규칙'!$A$5:$A$76,'분류_규칙'!$K$5:$K$76,0))</x:f>
        <x:v>0</x:v>
      </x:c>
      <x:c r="L469" s="10" t="n">
        <x:f>SUM(XLOOKUP('포켓몬_편집'!$AF469:$AN469,'분류_규칙'!$A$5:$A$76,'분류_규칙'!$L$5:$L$76,0))</x:f>
        <x:v>0</x:v>
      </x:c>
      <x:c r="M469" s="10" t="n">
        <x:f>SUM(XLOOKUP('포켓몬_편집'!$AF469:$AN469,'분류_규칙'!$A$5:$A$76,'분류_규칙'!$M$5:$M$76,0))</x:f>
        <x:v>0</x:v>
      </x:c>
      <x:c r="N469" s="10" t="n">
        <x:f>SUM(XLOOKUP('포켓몬_편집'!$AF469:$AN469,'분류_규칙'!$A$5:$A$76,'분류_규칙'!$N$5:$N$76,0))</x:f>
        <x:v>0</x:v>
      </x:c>
      <x:c r="O469" s="10" t="n">
        <x:f>SUM(XLOOKUP('포켓몬_편집'!$AF469:$AN469,'분류_규칙'!$A$5:$A$76,'분류_규칙'!$O$5:$O$76,0))</x:f>
        <x:v>2</x:v>
      </x:c>
      <x:c r="P469" s="10" t="n">
        <x:f>SUM(XLOOKUP('포켓몬_편집'!$AF469:$AN469,'분류_규칙'!$A$5:$A$76,'분류_규칙'!$P$5:$P$76,0))</x:f>
        <x:v>0</x:v>
      </x:c>
    </x:row>
    <x:row r="470" ht="22" customHeight="1">
      <x:c r="A470" s="5" t="n">
        <x:v>466</x:v>
      </x:c>
      <x:c r="B470" s="5" t="inlineStr">
        <x:is>
          <x:t xml:space="preserve">에레키블</x:t>
        </x:is>
      </x:c>
      <x:c r="C470" s="5" t="inlineStr">
        <x:is>
          <x:t xml:space="preserve">electivire</x:t>
        </x:is>
      </x:c>
      <x:c r="D470" s="5" t="n">
        <x:v>4</x:v>
      </x:c>
      <x:c r="E470" s="10" t="n">
        <x:f>SUM(XLOOKUP('포켓몬_편집'!$AF470:$AN470,'분류_규칙'!$A$5:$A$76,'분류_규칙'!$E$5:$E$76,0))</x:f>
        <x:v>10</x:v>
      </x:c>
      <x:c r="F470" s="10" t="n">
        <x:f>SUM(XLOOKUP('포켓몬_편집'!$AF470:$AN470,'분류_규칙'!$A$5:$A$76,'분류_규칙'!$F$5:$F$76,0))</x:f>
        <x:v>7</x:v>
      </x:c>
      <x:c r="G470" s="10" t="n">
        <x:f>SUM(XLOOKUP('포켓몬_편집'!$AF470:$AN470,'분류_규칙'!$A$5:$A$76,'분류_규칙'!$G$5:$G$76,0))</x:f>
        <x:v>5</x:v>
      </x:c>
      <x:c r="H470" s="10" t="n">
        <x:f>SUM(XLOOKUP('포켓몬_편집'!$AF470:$AN470,'분류_규칙'!$A$5:$A$76,'분류_규칙'!$H$5:$H$76,0))</x:f>
        <x:v>5</x:v>
      </x:c>
      <x:c r="I470" s="10" t="n">
        <x:f>SUM(XLOOKUP('포켓몬_편집'!$AF470:$AN470,'분류_규칙'!$A$5:$A$76,'분류_규칙'!$I$5:$I$76,0))</x:f>
        <x:v>0</x:v>
      </x:c>
      <x:c r="J470" s="10" t="n">
        <x:f>SUM(XLOOKUP('포켓몬_편집'!$AF470:$AN470,'분류_규칙'!$A$5:$A$76,'분류_규칙'!$J$5:$J$76,0))</x:f>
        <x:v>2</x:v>
      </x:c>
      <x:c r="K470" s="10" t="n">
        <x:f>SUM(XLOOKUP('포켓몬_편집'!$AF470:$AN470,'분류_규칙'!$A$5:$A$76,'분류_규칙'!$K$5:$K$76,0))</x:f>
        <x:v>0</x:v>
      </x:c>
      <x:c r="L470" s="10" t="n">
        <x:f>SUM(XLOOKUP('포켓몬_편집'!$AF470:$AN470,'분류_규칙'!$A$5:$A$76,'분류_규칙'!$L$5:$L$76,0))</x:f>
        <x:v>0</x:v>
      </x:c>
      <x:c r="M470" s="10" t="n">
        <x:f>SUM(XLOOKUP('포켓몬_편집'!$AF470:$AN470,'분류_규칙'!$A$5:$A$76,'분류_규칙'!$M$5:$M$76,0))</x:f>
        <x:v>0</x:v>
      </x:c>
      <x:c r="N470" s="10" t="n">
        <x:f>SUM(XLOOKUP('포켓몬_편집'!$AF470:$AN470,'분류_규칙'!$A$5:$A$76,'분류_규칙'!$N$5:$N$76,0))</x:f>
        <x:v>0</x:v>
      </x:c>
      <x:c r="O470" s="10" t="n">
        <x:f>SUM(XLOOKUP('포켓몬_편집'!$AF470:$AN470,'분류_규칙'!$A$5:$A$76,'분류_규칙'!$O$5:$O$76,0))</x:f>
        <x:v>2</x:v>
      </x:c>
      <x:c r="P470" s="10" t="n">
        <x:f>SUM(XLOOKUP('포켓몬_편집'!$AF470:$AN470,'분류_규칙'!$A$5:$A$76,'분류_규칙'!$P$5:$P$76,0))</x:f>
        <x:v>0</x:v>
      </x:c>
    </x:row>
    <x:row r="471" ht="22" customHeight="1">
      <x:c r="A471" s="5" t="n">
        <x:v>467</x:v>
      </x:c>
      <x:c r="B471" s="5" t="inlineStr">
        <x:is>
          <x:t xml:space="preserve">마그마번</x:t>
        </x:is>
      </x:c>
      <x:c r="C471" s="5" t="inlineStr">
        <x:is>
          <x:t xml:space="preserve">magmortar</x:t>
        </x:is>
      </x:c>
      <x:c r="D471" s="5" t="n">
        <x:v>4</x:v>
      </x:c>
      <x:c r="E471" s="10" t="n">
        <x:f>SUM(XLOOKUP('포켓몬_편집'!$AF471:$AN471,'분류_규칙'!$A$5:$A$76,'분류_규칙'!$E$5:$E$76,0))</x:f>
        <x:v>10</x:v>
      </x:c>
      <x:c r="F471" s="10" t="n">
        <x:f>SUM(XLOOKUP('포켓몬_편집'!$AF471:$AN471,'분류_규칙'!$A$5:$A$76,'분류_규칙'!$F$5:$F$76,0))</x:f>
        <x:v>7</x:v>
      </x:c>
      <x:c r="G471" s="10" t="n">
        <x:f>SUM(XLOOKUP('포켓몬_편집'!$AF471:$AN471,'분류_규칙'!$A$5:$A$76,'분류_규칙'!$G$5:$G$76,0))</x:f>
        <x:v>5</x:v>
      </x:c>
      <x:c r="H471" s="10" t="n">
        <x:f>SUM(XLOOKUP('포켓몬_편집'!$AF471:$AN471,'분류_규칙'!$A$5:$A$76,'분류_규칙'!$H$5:$H$76,0))</x:f>
        <x:v>5</x:v>
      </x:c>
      <x:c r="I471" s="10" t="n">
        <x:f>SUM(XLOOKUP('포켓몬_편집'!$AF471:$AN471,'분류_규칙'!$A$5:$A$76,'분류_규칙'!$I$5:$I$76,0))</x:f>
        <x:v>0</x:v>
      </x:c>
      <x:c r="J471" s="10" t="n">
        <x:f>SUM(XLOOKUP('포켓몬_편집'!$AF471:$AN471,'분류_규칙'!$A$5:$A$76,'분류_규칙'!$J$5:$J$76,0))</x:f>
        <x:v>2</x:v>
      </x:c>
      <x:c r="K471" s="10" t="n">
        <x:f>SUM(XLOOKUP('포켓몬_편집'!$AF471:$AN471,'분류_규칙'!$A$5:$A$76,'분류_규칙'!$K$5:$K$76,0))</x:f>
        <x:v>0</x:v>
      </x:c>
      <x:c r="L471" s="10" t="n">
        <x:f>SUM(XLOOKUP('포켓몬_편집'!$AF471:$AN471,'분류_규칙'!$A$5:$A$76,'분류_규칙'!$L$5:$L$76,0))</x:f>
        <x:v>0</x:v>
      </x:c>
      <x:c r="M471" s="10" t="n">
        <x:f>SUM(XLOOKUP('포켓몬_편집'!$AF471:$AN471,'분류_규칙'!$A$5:$A$76,'분류_규칙'!$M$5:$M$76,0))</x:f>
        <x:v>0</x:v>
      </x:c>
      <x:c r="N471" s="10" t="n">
        <x:f>SUM(XLOOKUP('포켓몬_편집'!$AF471:$AN471,'분류_규칙'!$A$5:$A$76,'분류_규칙'!$N$5:$N$76,0))</x:f>
        <x:v>0</x:v>
      </x:c>
      <x:c r="O471" s="10" t="n">
        <x:f>SUM(XLOOKUP('포켓몬_편집'!$AF471:$AN471,'분류_규칙'!$A$5:$A$76,'분류_규칙'!$O$5:$O$76,0))</x:f>
        <x:v>2</x:v>
      </x:c>
      <x:c r="P471" s="10" t="n">
        <x:f>SUM(XLOOKUP('포켓몬_편집'!$AF471:$AN471,'분류_규칙'!$A$5:$A$76,'분류_규칙'!$P$5:$P$76,0))</x:f>
        <x:v>0</x:v>
      </x:c>
    </x:row>
    <x:row r="472" ht="22" customHeight="1">
      <x:c r="A472" s="5" t="n">
        <x:v>468</x:v>
      </x:c>
      <x:c r="B472" s="5" t="inlineStr">
        <x:is>
          <x:t xml:space="preserve">토게키스</x:t>
        </x:is>
      </x:c>
      <x:c r="C472" s="5" t="inlineStr">
        <x:is>
          <x:t xml:space="preserve">togekiss</x:t>
        </x:is>
      </x:c>
      <x:c r="D472" s="5" t="n">
        <x:v>4</x:v>
      </x:c>
      <x:c r="E472" s="10" t="n">
        <x:f>SUM(XLOOKUP('포켓몬_편집'!$AF472:$AN472,'분류_규칙'!$A$5:$A$76,'분류_규칙'!$E$5:$E$76,0))</x:f>
        <x:v>8</x:v>
      </x:c>
      <x:c r="F472" s="10" t="n">
        <x:f>SUM(XLOOKUP('포켓몬_편집'!$AF472:$AN472,'분류_규칙'!$A$5:$A$76,'분류_규칙'!$F$5:$F$76,0))</x:f>
        <x:v>8</x:v>
      </x:c>
      <x:c r="G472" s="10" t="n">
        <x:f>SUM(XLOOKUP('포켓몬_편집'!$AF472:$AN472,'분류_규칙'!$A$5:$A$76,'분류_규칙'!$G$5:$G$76,0))</x:f>
        <x:v>0</x:v>
      </x:c>
      <x:c r="H472" s="10" t="n">
        <x:f>SUM(XLOOKUP('포켓몬_편집'!$AF472:$AN472,'분류_규칙'!$A$5:$A$76,'분류_규칙'!$H$5:$H$76,0))</x:f>
        <x:v>12</x:v>
      </x:c>
      <x:c r="I472" s="10" t="n">
        <x:f>SUM(XLOOKUP('포켓몬_편집'!$AF472:$AN472,'분류_규칙'!$A$5:$A$76,'분류_규칙'!$I$5:$I$76,0))</x:f>
        <x:v>0</x:v>
      </x:c>
      <x:c r="J472" s="10" t="n">
        <x:f>SUM(XLOOKUP('포켓몬_편집'!$AF472:$AN472,'분류_규칙'!$A$5:$A$76,'분류_규칙'!$J$5:$J$76,0))</x:f>
        <x:v>0</x:v>
      </x:c>
      <x:c r="K472" s="10" t="n">
        <x:f>SUM(XLOOKUP('포켓몬_편집'!$AF472:$AN472,'분류_규칙'!$A$5:$A$76,'분류_규칙'!$K$5:$K$76,0))</x:f>
        <x:v>0</x:v>
      </x:c>
      <x:c r="L472" s="10" t="n">
        <x:f>SUM(XLOOKUP('포켓몬_편집'!$AF472:$AN472,'분류_규칙'!$A$5:$A$76,'분류_규칙'!$L$5:$L$76,0))</x:f>
        <x:v>3</x:v>
      </x:c>
      <x:c r="M472" s="10" t="n">
        <x:f>SUM(XLOOKUP('포켓몬_편집'!$AF472:$AN472,'분류_규칙'!$A$5:$A$76,'분류_규칙'!$M$5:$M$76,0))</x:f>
        <x:v>0</x:v>
      </x:c>
      <x:c r="N472" s="10" t="n">
        <x:f>SUM(XLOOKUP('포켓몬_편집'!$AF472:$AN472,'분류_규칙'!$A$5:$A$76,'분류_규칙'!$N$5:$N$76,0))</x:f>
        <x:v>0</x:v>
      </x:c>
      <x:c r="O472" s="10" t="n">
        <x:f>SUM(XLOOKUP('포켓몬_편집'!$AF472:$AN472,'분류_규칙'!$A$5:$A$76,'분류_규칙'!$O$5:$O$76,0))</x:f>
        <x:v>2</x:v>
      </x:c>
      <x:c r="P472" s="10" t="n">
        <x:f>SUM(XLOOKUP('포켓몬_편집'!$AF472:$AN472,'분류_규칙'!$A$5:$A$76,'분류_규칙'!$P$5:$P$76,0))</x:f>
        <x:v>0</x:v>
      </x:c>
    </x:row>
    <x:row r="473" ht="22" customHeight="1">
      <x:c r="A473" s="5" t="n">
        <x:v>469</x:v>
      </x:c>
      <x:c r="B473" s="5" t="inlineStr">
        <x:is>
          <x:t xml:space="preserve">메가자리</x:t>
        </x:is>
      </x:c>
      <x:c r="C473" s="5" t="inlineStr">
        <x:is>
          <x:t xml:space="preserve">yanmega</x:t>
        </x:is>
      </x:c>
      <x:c r="D473" s="5" t="n">
        <x:v>4</x:v>
      </x:c>
      <x:c r="E473" s="10" t="n">
        <x:f>SUM(XLOOKUP('포켓몬_편집'!$AF473:$AN473,'분류_규칙'!$A$5:$A$76,'분류_규칙'!$E$5:$E$76,0))</x:f>
        <x:v>0</x:v>
      </x:c>
      <x:c r="F473" s="10" t="n">
        <x:f>SUM(XLOOKUP('포켓몬_편집'!$AF473:$AN473,'분류_규칙'!$A$5:$A$76,'분류_규칙'!$F$5:$F$76,0))</x:f>
        <x:v>0</x:v>
      </x:c>
      <x:c r="G473" s="10" t="n">
        <x:f>SUM(XLOOKUP('포켓몬_편집'!$AF473:$AN473,'분류_규칙'!$A$5:$A$76,'분류_규칙'!$G$5:$G$76,0))</x:f>
        <x:v>0</x:v>
      </x:c>
      <x:c r="H473" s="10" t="n">
        <x:f>SUM(XLOOKUP('포켓몬_편집'!$AF473:$AN473,'분류_규칙'!$A$5:$A$76,'분류_규칙'!$H$5:$H$76,0))</x:f>
        <x:v>0</x:v>
      </x:c>
      <x:c r="I473" s="10" t="n">
        <x:f>SUM(XLOOKUP('포켓몬_편집'!$AF473:$AN473,'분류_규칙'!$A$5:$A$76,'분류_규칙'!$I$5:$I$76,0))</x:f>
        <x:v>0</x:v>
      </x:c>
      <x:c r="J473" s="10" t="n">
        <x:f>SUM(XLOOKUP('포켓몬_편집'!$AF473:$AN473,'분류_규칙'!$A$5:$A$76,'분류_규칙'!$J$5:$J$76,0))</x:f>
        <x:v>12</x:v>
      </x:c>
      <x:c r="K473" s="10" t="n">
        <x:f>SUM(XLOOKUP('포켓몬_편집'!$AF473:$AN473,'분류_규칙'!$A$5:$A$76,'분류_규칙'!$K$5:$K$76,0))</x:f>
        <x:v>30</x:v>
      </x:c>
      <x:c r="L473" s="10" t="n">
        <x:f>SUM(XLOOKUP('포켓몬_편집'!$AF473:$AN473,'분류_규칙'!$A$5:$A$76,'분류_규칙'!$L$5:$L$76,0))</x:f>
        <x:v>0</x:v>
      </x:c>
      <x:c r="M473" s="10" t="n">
        <x:f>SUM(XLOOKUP('포켓몬_편집'!$AF473:$AN473,'분류_규칙'!$A$5:$A$76,'분류_규칙'!$M$5:$M$76,0))</x:f>
        <x:v>0</x:v>
      </x:c>
      <x:c r="N473" s="10" t="n">
        <x:f>SUM(XLOOKUP('포켓몬_편집'!$AF473:$AN473,'분류_규칙'!$A$5:$A$76,'분류_규칙'!$N$5:$N$76,0))</x:f>
        <x:v>0</x:v>
      </x:c>
      <x:c r="O473" s="10" t="n">
        <x:f>SUM(XLOOKUP('포켓몬_편집'!$AF473:$AN473,'분류_규칙'!$A$5:$A$76,'분류_규칙'!$O$5:$O$76,0))</x:f>
        <x:v>0</x:v>
      </x:c>
      <x:c r="P473" s="10" t="n">
        <x:f>SUM(XLOOKUP('포켓몬_편집'!$AF473:$AN473,'분류_규칙'!$A$5:$A$76,'분류_규칙'!$P$5:$P$76,0))</x:f>
        <x:v>0</x:v>
      </x:c>
    </x:row>
    <x:row r="474" ht="22" customHeight="1">
      <x:c r="A474" s="5" t="n">
        <x:v>470</x:v>
      </x:c>
      <x:c r="B474" s="5" t="inlineStr">
        <x:is>
          <x:t xml:space="preserve">리피아</x:t>
        </x:is>
      </x:c>
      <x:c r="C474" s="5" t="inlineStr">
        <x:is>
          <x:t xml:space="preserve">leafeon</x:t>
        </x:is>
      </x:c>
      <x:c r="D474" s="5" t="n">
        <x:v>4</x:v>
      </x:c>
      <x:c r="E474" s="10" t="n">
        <x:f>SUM(XLOOKUP('포켓몬_편집'!$AF474:$AN474,'분류_규칙'!$A$5:$A$76,'분류_규칙'!$E$5:$E$76,0))</x:f>
        <x:v>10</x:v>
      </x:c>
      <x:c r="F474" s="10" t="n">
        <x:f>SUM(XLOOKUP('포켓몬_편집'!$AF474:$AN474,'분류_규칙'!$A$5:$A$76,'분류_규칙'!$F$5:$F$76,0))</x:f>
        <x:v>7</x:v>
      </x:c>
      <x:c r="G474" s="10" t="n">
        <x:f>SUM(XLOOKUP('포켓몬_편집'!$AF474:$AN474,'분류_규칙'!$A$5:$A$76,'분류_규칙'!$G$5:$G$76,0))</x:f>
        <x:v>5</x:v>
      </x:c>
      <x:c r="H474" s="10" t="n">
        <x:f>SUM(XLOOKUP('포켓몬_편집'!$AF474:$AN474,'분류_규칙'!$A$5:$A$76,'분류_규칙'!$H$5:$H$76,0))</x:f>
        <x:v>5</x:v>
      </x:c>
      <x:c r="I474" s="10" t="n">
        <x:f>SUM(XLOOKUP('포켓몬_편집'!$AF474:$AN474,'분류_규칙'!$A$5:$A$76,'분류_규칙'!$I$5:$I$76,0))</x:f>
        <x:v>0</x:v>
      </x:c>
      <x:c r="J474" s="10" t="n">
        <x:f>SUM(XLOOKUP('포켓몬_편집'!$AF474:$AN474,'분류_규칙'!$A$5:$A$76,'분류_규칙'!$J$5:$J$76,0))</x:f>
        <x:v>2</x:v>
      </x:c>
      <x:c r="K474" s="10" t="n">
        <x:f>SUM(XLOOKUP('포켓몬_편집'!$AF474:$AN474,'분류_규칙'!$A$5:$A$76,'분류_규칙'!$K$5:$K$76,0))</x:f>
        <x:v>0</x:v>
      </x:c>
      <x:c r="L474" s="10" t="n">
        <x:f>SUM(XLOOKUP('포켓몬_편집'!$AF474:$AN474,'분류_규칙'!$A$5:$A$76,'분류_규칙'!$L$5:$L$76,0))</x:f>
        <x:v>0</x:v>
      </x:c>
      <x:c r="M474" s="10" t="n">
        <x:f>SUM(XLOOKUP('포켓몬_편집'!$AF474:$AN474,'분류_규칙'!$A$5:$A$76,'분류_규칙'!$M$5:$M$76,0))</x:f>
        <x:v>0</x:v>
      </x:c>
      <x:c r="N474" s="10" t="n">
        <x:f>SUM(XLOOKUP('포켓몬_편집'!$AF474:$AN474,'분류_규칙'!$A$5:$A$76,'분류_규칙'!$N$5:$N$76,0))</x:f>
        <x:v>0</x:v>
      </x:c>
      <x:c r="O474" s="10" t="n">
        <x:f>SUM(XLOOKUP('포켓몬_편집'!$AF474:$AN474,'분류_규칙'!$A$5:$A$76,'분류_규칙'!$O$5:$O$76,0))</x:f>
        <x:v>2</x:v>
      </x:c>
      <x:c r="P474" s="10" t="n">
        <x:f>SUM(XLOOKUP('포켓몬_편집'!$AF474:$AN474,'분류_규칙'!$A$5:$A$76,'분류_규칙'!$P$5:$P$76,0))</x:f>
        <x:v>0</x:v>
      </x:c>
    </x:row>
    <x:row r="475" ht="22" customHeight="1">
      <x:c r="A475" s="5" t="n">
        <x:v>471</x:v>
      </x:c>
      <x:c r="B475" s="5" t="inlineStr">
        <x:is>
          <x:t xml:space="preserve">글레이시아</x:t>
        </x:is>
      </x:c>
      <x:c r="C475" s="5" t="inlineStr">
        <x:is>
          <x:t xml:space="preserve">glaceon</x:t>
        </x:is>
      </x:c>
      <x:c r="D475" s="5" t="n">
        <x:v>4</x:v>
      </x:c>
      <x:c r="E475" s="10" t="n">
        <x:f>SUM(XLOOKUP('포켓몬_편집'!$AF475:$AN475,'분류_규칙'!$A$5:$A$76,'분류_규칙'!$E$5:$E$76,0))</x:f>
        <x:v>10</x:v>
      </x:c>
      <x:c r="F475" s="10" t="n">
        <x:f>SUM(XLOOKUP('포켓몬_편집'!$AF475:$AN475,'분류_규칙'!$A$5:$A$76,'분류_규칙'!$F$5:$F$76,0))</x:f>
        <x:v>7</x:v>
      </x:c>
      <x:c r="G475" s="10" t="n">
        <x:f>SUM(XLOOKUP('포켓몬_편집'!$AF475:$AN475,'분류_규칙'!$A$5:$A$76,'분류_규칙'!$G$5:$G$76,0))</x:f>
        <x:v>5</x:v>
      </x:c>
      <x:c r="H475" s="10" t="n">
        <x:f>SUM(XLOOKUP('포켓몬_편집'!$AF475:$AN475,'분류_규칙'!$A$5:$A$76,'분류_규칙'!$H$5:$H$76,0))</x:f>
        <x:v>5</x:v>
      </x:c>
      <x:c r="I475" s="10" t="n">
        <x:f>SUM(XLOOKUP('포켓몬_편집'!$AF475:$AN475,'분류_규칙'!$A$5:$A$76,'분류_규칙'!$I$5:$I$76,0))</x:f>
        <x:v>0</x:v>
      </x:c>
      <x:c r="J475" s="10" t="n">
        <x:f>SUM(XLOOKUP('포켓몬_편집'!$AF475:$AN475,'분류_규칙'!$A$5:$A$76,'분류_규칙'!$J$5:$J$76,0))</x:f>
        <x:v>2</x:v>
      </x:c>
      <x:c r="K475" s="10" t="n">
        <x:f>SUM(XLOOKUP('포켓몬_편집'!$AF475:$AN475,'분류_규칙'!$A$5:$A$76,'분류_규칙'!$K$5:$K$76,0))</x:f>
        <x:v>0</x:v>
      </x:c>
      <x:c r="L475" s="10" t="n">
        <x:f>SUM(XLOOKUP('포켓몬_편집'!$AF475:$AN475,'분류_규칙'!$A$5:$A$76,'분류_규칙'!$L$5:$L$76,0))</x:f>
        <x:v>0</x:v>
      </x:c>
      <x:c r="M475" s="10" t="n">
        <x:f>SUM(XLOOKUP('포켓몬_편집'!$AF475:$AN475,'분류_규칙'!$A$5:$A$76,'분류_규칙'!$M$5:$M$76,0))</x:f>
        <x:v>0</x:v>
      </x:c>
      <x:c r="N475" s="10" t="n">
        <x:f>SUM(XLOOKUP('포켓몬_편집'!$AF475:$AN475,'분류_규칙'!$A$5:$A$76,'분류_규칙'!$N$5:$N$76,0))</x:f>
        <x:v>0</x:v>
      </x:c>
      <x:c r="O475" s="10" t="n">
        <x:f>SUM(XLOOKUP('포켓몬_편집'!$AF475:$AN475,'분류_규칙'!$A$5:$A$76,'분류_규칙'!$O$5:$O$76,0))</x:f>
        <x:v>2</x:v>
      </x:c>
      <x:c r="P475" s="10" t="n">
        <x:f>SUM(XLOOKUP('포켓몬_편집'!$AF475:$AN475,'분류_규칙'!$A$5:$A$76,'분류_규칙'!$P$5:$P$76,0))</x:f>
        <x:v>0</x:v>
      </x:c>
    </x:row>
    <x:row r="476" ht="22" customHeight="1">
      <x:c r="A476" s="5" t="n">
        <x:v>472</x:v>
      </x:c>
      <x:c r="B476" s="5" t="inlineStr">
        <x:is>
          <x:t xml:space="preserve">글라이온</x:t>
        </x:is>
      </x:c>
      <x:c r="C476" s="5" t="inlineStr">
        <x:is>
          <x:t xml:space="preserve">gliscor</x:t>
        </x:is>
      </x:c>
      <x:c r="D476" s="5" t="n">
        <x:v>4</x:v>
      </x:c>
      <x:c r="E476" s="10" t="n">
        <x:f>SUM(XLOOKUP('포켓몬_편집'!$AF476:$AN476,'분류_규칙'!$A$5:$A$76,'분류_규칙'!$E$5:$E$76,0))</x:f>
        <x:v>8</x:v>
      </x:c>
      <x:c r="F476" s="10" t="n">
        <x:f>SUM(XLOOKUP('포켓몬_편집'!$AF476:$AN476,'분류_규칙'!$A$5:$A$76,'분류_규칙'!$F$5:$F$76,0))</x:f>
        <x:v>8</x:v>
      </x:c>
      <x:c r="G476" s="10" t="n">
        <x:f>SUM(XLOOKUP('포켓몬_편집'!$AF476:$AN476,'분류_규칙'!$A$5:$A$76,'분류_규칙'!$G$5:$G$76,0))</x:f>
        <x:v>0</x:v>
      </x:c>
      <x:c r="H476" s="10" t="n">
        <x:f>SUM(XLOOKUP('포켓몬_편집'!$AF476:$AN476,'분류_규칙'!$A$5:$A$76,'분류_규칙'!$H$5:$H$76,0))</x:f>
        <x:v>12</x:v>
      </x:c>
      <x:c r="I476" s="10" t="n">
        <x:f>SUM(XLOOKUP('포켓몬_편집'!$AF476:$AN476,'분류_규칙'!$A$5:$A$76,'분류_규칙'!$I$5:$I$76,0))</x:f>
        <x:v>0</x:v>
      </x:c>
      <x:c r="J476" s="10" t="n">
        <x:f>SUM(XLOOKUP('포켓몬_편집'!$AF476:$AN476,'분류_규칙'!$A$5:$A$76,'분류_규칙'!$J$5:$J$76,0))</x:f>
        <x:v>0</x:v>
      </x:c>
      <x:c r="K476" s="10" t="n">
        <x:f>SUM(XLOOKUP('포켓몬_편집'!$AF476:$AN476,'분류_규칙'!$A$5:$A$76,'분류_규칙'!$K$5:$K$76,0))</x:f>
        <x:v>0</x:v>
      </x:c>
      <x:c r="L476" s="10" t="n">
        <x:f>SUM(XLOOKUP('포켓몬_편집'!$AF476:$AN476,'분류_규칙'!$A$5:$A$76,'분류_규칙'!$L$5:$L$76,0))</x:f>
        <x:v>3</x:v>
      </x:c>
      <x:c r="M476" s="10" t="n">
        <x:f>SUM(XLOOKUP('포켓몬_편집'!$AF476:$AN476,'분류_규칙'!$A$5:$A$76,'분류_규칙'!$M$5:$M$76,0))</x:f>
        <x:v>0</x:v>
      </x:c>
      <x:c r="N476" s="10" t="n">
        <x:f>SUM(XLOOKUP('포켓몬_편집'!$AF476:$AN476,'분류_규칙'!$A$5:$A$76,'분류_규칙'!$N$5:$N$76,0))</x:f>
        <x:v>0</x:v>
      </x:c>
      <x:c r="O476" s="10" t="n">
        <x:f>SUM(XLOOKUP('포켓몬_편집'!$AF476:$AN476,'분류_규칙'!$A$5:$A$76,'분류_규칙'!$O$5:$O$76,0))</x:f>
        <x:v>2</x:v>
      </x:c>
      <x:c r="P476" s="10" t="n">
        <x:f>SUM(XLOOKUP('포켓몬_편집'!$AF476:$AN476,'분류_규칙'!$A$5:$A$76,'분류_규칙'!$P$5:$P$76,0))</x:f>
        <x:v>0</x:v>
      </x:c>
    </x:row>
    <x:row r="477" ht="22" customHeight="1">
      <x:c r="A477" s="5" t="n">
        <x:v>473</x:v>
      </x:c>
      <x:c r="B477" s="5" t="inlineStr">
        <x:is>
          <x:t xml:space="preserve">맘모꾸리</x:t>
        </x:is>
      </x:c>
      <x:c r="C477" s="5" t="inlineStr">
        <x:is>
          <x:t xml:space="preserve">mamoswine</x:t>
        </x:is>
      </x:c>
      <x:c r="D477" s="5" t="n">
        <x:v>4</x:v>
      </x:c>
      <x:c r="E477" s="10" t="n">
        <x:f>SUM(XLOOKUP('포켓몬_편집'!$AF477:$AN477,'분류_규칙'!$A$5:$A$76,'분류_규칙'!$E$5:$E$76,0))</x:f>
        <x:v>10</x:v>
      </x:c>
      <x:c r="F477" s="10" t="n">
        <x:f>SUM(XLOOKUP('포켓몬_편집'!$AF477:$AN477,'분류_규칙'!$A$5:$A$76,'분류_규칙'!$F$5:$F$76,0))</x:f>
        <x:v>7</x:v>
      </x:c>
      <x:c r="G477" s="10" t="n">
        <x:f>SUM(XLOOKUP('포켓몬_편집'!$AF477:$AN477,'분류_규칙'!$A$5:$A$76,'분류_규칙'!$G$5:$G$76,0))</x:f>
        <x:v>5</x:v>
      </x:c>
      <x:c r="H477" s="10" t="n">
        <x:f>SUM(XLOOKUP('포켓몬_편집'!$AF477:$AN477,'분류_규칙'!$A$5:$A$76,'분류_규칙'!$H$5:$H$76,0))</x:f>
        <x:v>5</x:v>
      </x:c>
      <x:c r="I477" s="10" t="n">
        <x:f>SUM(XLOOKUP('포켓몬_편집'!$AF477:$AN477,'분류_규칙'!$A$5:$A$76,'분류_규칙'!$I$5:$I$76,0))</x:f>
        <x:v>0</x:v>
      </x:c>
      <x:c r="J477" s="10" t="n">
        <x:f>SUM(XLOOKUP('포켓몬_편집'!$AF477:$AN477,'분류_규칙'!$A$5:$A$76,'분류_규칙'!$J$5:$J$76,0))</x:f>
        <x:v>2</x:v>
      </x:c>
      <x:c r="K477" s="10" t="n">
        <x:f>SUM(XLOOKUP('포켓몬_편집'!$AF477:$AN477,'분류_규칙'!$A$5:$A$76,'분류_규칙'!$K$5:$K$76,0))</x:f>
        <x:v>0</x:v>
      </x:c>
      <x:c r="L477" s="10" t="n">
        <x:f>SUM(XLOOKUP('포켓몬_편집'!$AF477:$AN477,'분류_규칙'!$A$5:$A$76,'분류_규칙'!$L$5:$L$76,0))</x:f>
        <x:v>0</x:v>
      </x:c>
      <x:c r="M477" s="10" t="n">
        <x:f>SUM(XLOOKUP('포켓몬_편집'!$AF477:$AN477,'분류_규칙'!$A$5:$A$76,'분류_규칙'!$M$5:$M$76,0))</x:f>
        <x:v>0</x:v>
      </x:c>
      <x:c r="N477" s="10" t="n">
        <x:f>SUM(XLOOKUP('포켓몬_편집'!$AF477:$AN477,'분류_규칙'!$A$5:$A$76,'분류_규칙'!$N$5:$N$76,0))</x:f>
        <x:v>0</x:v>
      </x:c>
      <x:c r="O477" s="10" t="n">
        <x:f>SUM(XLOOKUP('포켓몬_편집'!$AF477:$AN477,'분류_규칙'!$A$5:$A$76,'분류_규칙'!$O$5:$O$76,0))</x:f>
        <x:v>2</x:v>
      </x:c>
      <x:c r="P477" s="10" t="n">
        <x:f>SUM(XLOOKUP('포켓몬_편집'!$AF477:$AN477,'분류_규칙'!$A$5:$A$76,'분류_규칙'!$P$5:$P$76,0))</x:f>
        <x:v>0</x:v>
      </x:c>
    </x:row>
    <x:row r="478" ht="22" customHeight="1">
      <x:c r="A478" s="5" t="n">
        <x:v>474</x:v>
      </x:c>
      <x:c r="B478" s="5" t="inlineStr">
        <x:is>
          <x:t xml:space="preserve">폴리곤Z</x:t>
        </x:is>
      </x:c>
      <x:c r="C478" s="5" t="inlineStr">
        <x:is>
          <x:t xml:space="preserve">porygonz</x:t>
        </x:is>
      </x:c>
      <x:c r="D478" s="5" t="n">
        <x:v>4</x:v>
      </x:c>
      <x:c r="E478" s="10" t="n">
        <x:f>SUM(XLOOKUP('포켓몬_편집'!$AF478:$AN478,'분류_규칙'!$A$5:$A$76,'분류_규칙'!$E$5:$E$76,0))</x:f>
        <x:v>0</x:v>
      </x:c>
      <x:c r="F478" s="10" t="n">
        <x:f>SUM(XLOOKUP('포켓몬_편집'!$AF478:$AN478,'분류_규칙'!$A$5:$A$76,'분류_규칙'!$F$5:$F$76,0))</x:f>
        <x:v>0</x:v>
      </x:c>
      <x:c r="G478" s="10" t="n">
        <x:f>SUM(XLOOKUP('포켓몬_편집'!$AF478:$AN478,'분류_규칙'!$A$5:$A$76,'분류_규칙'!$G$5:$G$76,0))</x:f>
        <x:v>0</x:v>
      </x:c>
      <x:c r="H478" s="10" t="n">
        <x:f>SUM(XLOOKUP('포켓몬_편집'!$AF478:$AN478,'분류_규칙'!$A$5:$A$76,'분류_규칙'!$H$5:$H$76,0))</x:f>
        <x:v>0</x:v>
      </x:c>
      <x:c r="I478" s="10" t="n">
        <x:f>SUM(XLOOKUP('포켓몬_편집'!$AF478:$AN478,'분류_규칙'!$A$5:$A$76,'분류_규칙'!$I$5:$I$76,0))</x:f>
        <x:v>0</x:v>
      </x:c>
      <x:c r="J478" s="10" t="n">
        <x:f>SUM(XLOOKUP('포켓몬_편집'!$AF478:$AN478,'분류_규칙'!$A$5:$A$76,'분류_규칙'!$J$5:$J$76,0))</x:f>
        <x:v>0</x:v>
      </x:c>
      <x:c r="K478" s="10" t="n">
        <x:f>SUM(XLOOKUP('포켓몬_편집'!$AF478:$AN478,'분류_규칙'!$A$5:$A$76,'분류_규칙'!$K$5:$K$76,0))</x:f>
        <x:v>0</x:v>
      </x:c>
      <x:c r="L478" s="10" t="n">
        <x:f>SUM(XLOOKUP('포켓몬_편집'!$AF478:$AN478,'분류_규칙'!$A$5:$A$76,'분류_규칙'!$L$5:$L$76,0))</x:f>
        <x:v>0</x:v>
      </x:c>
      <x:c r="M478" s="10" t="n">
        <x:f>SUM(XLOOKUP('포켓몬_편집'!$AF478:$AN478,'분류_규칙'!$A$5:$A$76,'분류_규칙'!$M$5:$M$76,0))</x:f>
        <x:v>0</x:v>
      </x:c>
      <x:c r="N478" s="10" t="n">
        <x:f>SUM(XLOOKUP('포켓몬_편집'!$AF478:$AN478,'분류_규칙'!$A$5:$A$76,'분류_규칙'!$N$5:$N$76,0))</x:f>
        <x:v>0</x:v>
      </x:c>
      <x:c r="O478" s="10" t="n">
        <x:f>SUM(XLOOKUP('포켓몬_편집'!$AF478:$AN478,'분류_규칙'!$A$5:$A$76,'분류_규칙'!$O$5:$O$76,0))</x:f>
        <x:v>30</x:v>
      </x:c>
      <x:c r="P478" s="10" t="n">
        <x:f>SUM(XLOOKUP('포켓몬_편집'!$AF478:$AN478,'분류_규칙'!$A$5:$A$76,'분류_규칙'!$P$5:$P$76,0))</x:f>
        <x:v>8</x:v>
      </x:c>
    </x:row>
    <x:row r="479" ht="22" customHeight="1">
      <x:c r="A479" s="5" t="n">
        <x:v>475</x:v>
      </x:c>
      <x:c r="B479" s="5" t="inlineStr">
        <x:is>
          <x:t xml:space="preserve">엘레이드</x:t>
        </x:is>
      </x:c>
      <x:c r="C479" s="5" t="inlineStr">
        <x:is>
          <x:t xml:space="preserve">gallade</x:t>
        </x:is>
      </x:c>
      <x:c r="D479" s="5" t="n">
        <x:v>4</x:v>
      </x:c>
      <x:c r="E479" s="10" t="n">
        <x:f>SUM(XLOOKUP('포켓몬_편집'!$AF479:$AN479,'분류_규칙'!$A$5:$A$76,'분류_규칙'!$E$5:$E$76,0))</x:f>
        <x:v>10</x:v>
      </x:c>
      <x:c r="F479" s="10" t="n">
        <x:f>SUM(XLOOKUP('포켓몬_편집'!$AF479:$AN479,'분류_규칙'!$A$5:$A$76,'분류_규칙'!$F$5:$F$76,0))</x:f>
        <x:v>7</x:v>
      </x:c>
      <x:c r="G479" s="10" t="n">
        <x:f>SUM(XLOOKUP('포켓몬_편집'!$AF479:$AN479,'분류_규칙'!$A$5:$A$76,'분류_규칙'!$G$5:$G$76,0))</x:f>
        <x:v>5</x:v>
      </x:c>
      <x:c r="H479" s="10" t="n">
        <x:f>SUM(XLOOKUP('포켓몬_편집'!$AF479:$AN479,'분류_규칙'!$A$5:$A$76,'분류_규칙'!$H$5:$H$76,0))</x:f>
        <x:v>5</x:v>
      </x:c>
      <x:c r="I479" s="10" t="n">
        <x:f>SUM(XLOOKUP('포켓몬_편집'!$AF479:$AN479,'분류_규칙'!$A$5:$A$76,'분류_규칙'!$I$5:$I$76,0))</x:f>
        <x:v>0</x:v>
      </x:c>
      <x:c r="J479" s="10" t="n">
        <x:f>SUM(XLOOKUP('포켓몬_편집'!$AF479:$AN479,'분류_규칙'!$A$5:$A$76,'분류_규칙'!$J$5:$J$76,0))</x:f>
        <x:v>2</x:v>
      </x:c>
      <x:c r="K479" s="10" t="n">
        <x:f>SUM(XLOOKUP('포켓몬_편집'!$AF479:$AN479,'분류_규칙'!$A$5:$A$76,'분류_규칙'!$K$5:$K$76,0))</x:f>
        <x:v>0</x:v>
      </x:c>
      <x:c r="L479" s="10" t="n">
        <x:f>SUM(XLOOKUP('포켓몬_편집'!$AF479:$AN479,'분류_규칙'!$A$5:$A$76,'분류_규칙'!$L$5:$L$76,0))</x:f>
        <x:v>0</x:v>
      </x:c>
      <x:c r="M479" s="10" t="n">
        <x:f>SUM(XLOOKUP('포켓몬_편집'!$AF479:$AN479,'분류_규칙'!$A$5:$A$76,'분류_규칙'!$M$5:$M$76,0))</x:f>
        <x:v>0</x:v>
      </x:c>
      <x:c r="N479" s="10" t="n">
        <x:f>SUM(XLOOKUP('포켓몬_편집'!$AF479:$AN479,'분류_규칙'!$A$5:$A$76,'분류_규칙'!$N$5:$N$76,0))</x:f>
        <x:v>0</x:v>
      </x:c>
      <x:c r="O479" s="10" t="n">
        <x:f>SUM(XLOOKUP('포켓몬_편집'!$AF479:$AN479,'분류_규칙'!$A$5:$A$76,'분류_규칙'!$O$5:$O$76,0))</x:f>
        <x:v>2</x:v>
      </x:c>
      <x:c r="P479" s="10" t="n">
        <x:f>SUM(XLOOKUP('포켓몬_편집'!$AF479:$AN479,'분류_규칙'!$A$5:$A$76,'분류_규칙'!$P$5:$P$76,0))</x:f>
        <x:v>0</x:v>
      </x:c>
    </x:row>
    <x:row r="480" ht="22" customHeight="1">
      <x:c r="A480" s="5" t="n">
        <x:v>476</x:v>
      </x:c>
      <x:c r="B480" s="5" t="inlineStr">
        <x:is>
          <x:t xml:space="preserve">대코파스</x:t>
        </x:is>
      </x:c>
      <x:c r="C480" s="5" t="inlineStr">
        <x:is>
          <x:t xml:space="preserve">probopass</x:t>
        </x:is>
      </x:c>
      <x:c r="D480" s="5" t="n">
        <x:v>4</x:v>
      </x:c>
      <x:c r="E480" s="10" t="n">
        <x:f>SUM(XLOOKUP('포켓몬_편집'!$AF480:$AN480,'분류_규칙'!$A$5:$A$76,'분류_규칙'!$E$5:$E$76,0))</x:f>
        <x:v>8</x:v>
      </x:c>
      <x:c r="F480" s="10" t="n">
        <x:f>SUM(XLOOKUP('포켓몬_편집'!$AF480:$AN480,'분류_규칙'!$A$5:$A$76,'분류_규칙'!$F$5:$F$76,0))</x:f>
        <x:v>8</x:v>
      </x:c>
      <x:c r="G480" s="10" t="n">
        <x:f>SUM(XLOOKUP('포켓몬_편집'!$AF480:$AN480,'분류_규칙'!$A$5:$A$76,'분류_규칙'!$G$5:$G$76,0))</x:f>
        <x:v>0</x:v>
      </x:c>
      <x:c r="H480" s="10" t="n">
        <x:f>SUM(XLOOKUP('포켓몬_편집'!$AF480:$AN480,'분류_규칙'!$A$5:$A$76,'분류_규칙'!$H$5:$H$76,0))</x:f>
        <x:v>12</x:v>
      </x:c>
      <x:c r="I480" s="10" t="n">
        <x:f>SUM(XLOOKUP('포켓몬_편집'!$AF480:$AN480,'분류_규칙'!$A$5:$A$76,'분류_규칙'!$I$5:$I$76,0))</x:f>
        <x:v>0</x:v>
      </x:c>
      <x:c r="J480" s="10" t="n">
        <x:f>SUM(XLOOKUP('포켓몬_편집'!$AF480:$AN480,'분류_규칙'!$A$5:$A$76,'분류_규칙'!$J$5:$J$76,0))</x:f>
        <x:v>0</x:v>
      </x:c>
      <x:c r="K480" s="10" t="n">
        <x:f>SUM(XLOOKUP('포켓몬_편집'!$AF480:$AN480,'분류_규칙'!$A$5:$A$76,'분류_규칙'!$K$5:$K$76,0))</x:f>
        <x:v>0</x:v>
      </x:c>
      <x:c r="L480" s="10" t="n">
        <x:f>SUM(XLOOKUP('포켓몬_편집'!$AF480:$AN480,'분류_규칙'!$A$5:$A$76,'분류_규칙'!$L$5:$L$76,0))</x:f>
        <x:v>3</x:v>
      </x:c>
      <x:c r="M480" s="10" t="n">
        <x:f>SUM(XLOOKUP('포켓몬_편집'!$AF480:$AN480,'분류_규칙'!$A$5:$A$76,'분류_규칙'!$M$5:$M$76,0))</x:f>
        <x:v>0</x:v>
      </x:c>
      <x:c r="N480" s="10" t="n">
        <x:f>SUM(XLOOKUP('포켓몬_편집'!$AF480:$AN480,'분류_규칙'!$A$5:$A$76,'분류_규칙'!$N$5:$N$76,0))</x:f>
        <x:v>0</x:v>
      </x:c>
      <x:c r="O480" s="10" t="n">
        <x:f>SUM(XLOOKUP('포켓몬_편집'!$AF480:$AN480,'분류_규칙'!$A$5:$A$76,'분류_규칙'!$O$5:$O$76,0))</x:f>
        <x:v>2</x:v>
      </x:c>
      <x:c r="P480" s="10" t="n">
        <x:f>SUM(XLOOKUP('포켓몬_편집'!$AF480:$AN480,'분류_규칙'!$A$5:$A$76,'분류_규칙'!$P$5:$P$76,0))</x:f>
        <x:v>0</x:v>
      </x:c>
    </x:row>
    <x:row r="481" ht="22" customHeight="1">
      <x:c r="A481" s="5" t="n">
        <x:v>477</x:v>
      </x:c>
      <x:c r="B481" s="5" t="inlineStr">
        <x:is>
          <x:t xml:space="preserve">야느와르몽</x:t>
        </x:is>
      </x:c>
      <x:c r="C481" s="5" t="inlineStr">
        <x:is>
          <x:t xml:space="preserve">dusknoir</x:t>
        </x:is>
      </x:c>
      <x:c r="D481" s="5" t="n">
        <x:v>4</x:v>
      </x:c>
      <x:c r="E481" s="10" t="n">
        <x:f>SUM(XLOOKUP('포켓몬_편집'!$AF481:$AN481,'분류_규칙'!$A$5:$A$76,'분류_규칙'!$E$5:$E$76,0))</x:f>
        <x:v>8</x:v>
      </x:c>
      <x:c r="F481" s="10" t="n">
        <x:f>SUM(XLOOKUP('포켓몬_편집'!$AF481:$AN481,'분류_규칙'!$A$5:$A$76,'분류_규칙'!$F$5:$F$76,0))</x:f>
        <x:v>8</x:v>
      </x:c>
      <x:c r="G481" s="10" t="n">
        <x:f>SUM(XLOOKUP('포켓몬_편집'!$AF481:$AN481,'분류_규칙'!$A$5:$A$76,'분류_규칙'!$G$5:$G$76,0))</x:f>
        <x:v>0</x:v>
      </x:c>
      <x:c r="H481" s="10" t="n">
        <x:f>SUM(XLOOKUP('포켓몬_편집'!$AF481:$AN481,'분류_규칙'!$A$5:$A$76,'분류_규칙'!$H$5:$H$76,0))</x:f>
        <x:v>12</x:v>
      </x:c>
      <x:c r="I481" s="10" t="n">
        <x:f>SUM(XLOOKUP('포켓몬_편집'!$AF481:$AN481,'분류_규칙'!$A$5:$A$76,'분류_규칙'!$I$5:$I$76,0))</x:f>
        <x:v>0</x:v>
      </x:c>
      <x:c r="J481" s="10" t="n">
        <x:f>SUM(XLOOKUP('포켓몬_편집'!$AF481:$AN481,'분류_규칙'!$A$5:$A$76,'분류_규칙'!$J$5:$J$76,0))</x:f>
        <x:v>0</x:v>
      </x:c>
      <x:c r="K481" s="10" t="n">
        <x:f>SUM(XLOOKUP('포켓몬_편집'!$AF481:$AN481,'분류_규칙'!$A$5:$A$76,'분류_규칙'!$K$5:$K$76,0))</x:f>
        <x:v>0</x:v>
      </x:c>
      <x:c r="L481" s="10" t="n">
        <x:f>SUM(XLOOKUP('포켓몬_편집'!$AF481:$AN481,'분류_규칙'!$A$5:$A$76,'분류_규칙'!$L$5:$L$76,0))</x:f>
        <x:v>3</x:v>
      </x:c>
      <x:c r="M481" s="10" t="n">
        <x:f>SUM(XLOOKUP('포켓몬_편집'!$AF481:$AN481,'분류_규칙'!$A$5:$A$76,'분류_규칙'!$M$5:$M$76,0))</x:f>
        <x:v>0</x:v>
      </x:c>
      <x:c r="N481" s="10" t="n">
        <x:f>SUM(XLOOKUP('포켓몬_편집'!$AF481:$AN481,'분류_규칙'!$A$5:$A$76,'분류_규칙'!$N$5:$N$76,0))</x:f>
        <x:v>0</x:v>
      </x:c>
      <x:c r="O481" s="10" t="n">
        <x:f>SUM(XLOOKUP('포켓몬_편집'!$AF481:$AN481,'분류_규칙'!$A$5:$A$76,'분류_규칙'!$O$5:$O$76,0))</x:f>
        <x:v>2</x:v>
      </x:c>
      <x:c r="P481" s="10" t="n">
        <x:f>SUM(XLOOKUP('포켓몬_편집'!$AF481:$AN481,'분류_규칙'!$A$5:$A$76,'분류_규칙'!$P$5:$P$76,0))</x:f>
        <x:v>0</x:v>
      </x:c>
    </x:row>
    <x:row r="482" ht="22" customHeight="1">
      <x:c r="A482" s="5" t="n">
        <x:v>478</x:v>
      </x:c>
      <x:c r="B482" s="5" t="inlineStr">
        <x:is>
          <x:t xml:space="preserve">눈여아</x:t>
        </x:is>
      </x:c>
      <x:c r="C482" s="5" t="inlineStr">
        <x:is>
          <x:t xml:space="preserve">froslass</x:t>
        </x:is>
      </x:c>
      <x:c r="D482" s="5" t="n">
        <x:v>4</x:v>
      </x:c>
      <x:c r="E482" s="10" t="n">
        <x:f>SUM(XLOOKUP('포켓몬_편집'!$AF482:$AN482,'분류_규칙'!$A$5:$A$76,'분류_규칙'!$E$5:$E$76,0))</x:f>
        <x:v>8</x:v>
      </x:c>
      <x:c r="F482" s="10" t="n">
        <x:f>SUM(XLOOKUP('포켓몬_편집'!$AF482:$AN482,'분류_규칙'!$A$5:$A$76,'분류_규칙'!$F$5:$F$76,0))</x:f>
        <x:v>8</x:v>
      </x:c>
      <x:c r="G482" s="10" t="n">
        <x:f>SUM(XLOOKUP('포켓몬_편집'!$AF482:$AN482,'분류_규칙'!$A$5:$A$76,'분류_규칙'!$G$5:$G$76,0))</x:f>
        <x:v>0</x:v>
      </x:c>
      <x:c r="H482" s="10" t="n">
        <x:f>SUM(XLOOKUP('포켓몬_편집'!$AF482:$AN482,'분류_규칙'!$A$5:$A$76,'분류_규칙'!$H$5:$H$76,0))</x:f>
        <x:v>12</x:v>
      </x:c>
      <x:c r="I482" s="10" t="n">
        <x:f>SUM(XLOOKUP('포켓몬_편집'!$AF482:$AN482,'분류_규칙'!$A$5:$A$76,'분류_규칙'!$I$5:$I$76,0))</x:f>
        <x:v>0</x:v>
      </x:c>
      <x:c r="J482" s="10" t="n">
        <x:f>SUM(XLOOKUP('포켓몬_편집'!$AF482:$AN482,'분류_규칙'!$A$5:$A$76,'분류_규칙'!$J$5:$J$76,0))</x:f>
        <x:v>0</x:v>
      </x:c>
      <x:c r="K482" s="10" t="n">
        <x:f>SUM(XLOOKUP('포켓몬_편집'!$AF482:$AN482,'분류_규칙'!$A$5:$A$76,'분류_규칙'!$K$5:$K$76,0))</x:f>
        <x:v>0</x:v>
      </x:c>
      <x:c r="L482" s="10" t="n">
        <x:f>SUM(XLOOKUP('포켓몬_편집'!$AF482:$AN482,'분류_규칙'!$A$5:$A$76,'분류_규칙'!$L$5:$L$76,0))</x:f>
        <x:v>3</x:v>
      </x:c>
      <x:c r="M482" s="10" t="n">
        <x:f>SUM(XLOOKUP('포켓몬_편집'!$AF482:$AN482,'분류_규칙'!$A$5:$A$76,'분류_규칙'!$M$5:$M$76,0))</x:f>
        <x:v>0</x:v>
      </x:c>
      <x:c r="N482" s="10" t="n">
        <x:f>SUM(XLOOKUP('포켓몬_편집'!$AF482:$AN482,'분류_규칙'!$A$5:$A$76,'분류_규칙'!$N$5:$N$76,0))</x:f>
        <x:v>0</x:v>
      </x:c>
      <x:c r="O482" s="10" t="n">
        <x:f>SUM(XLOOKUP('포켓몬_편집'!$AF482:$AN482,'분류_규칙'!$A$5:$A$76,'분류_규칙'!$O$5:$O$76,0))</x:f>
        <x:v>2</x:v>
      </x:c>
      <x:c r="P482" s="10" t="n">
        <x:f>SUM(XLOOKUP('포켓몬_편집'!$AF482:$AN482,'분류_규칙'!$A$5:$A$76,'분류_규칙'!$P$5:$P$76,0))</x:f>
        <x:v>0</x:v>
      </x:c>
    </x:row>
    <x:row r="483" ht="22" customHeight="1">
      <x:c r="A483" s="5" t="n">
        <x:v>479</x:v>
      </x:c>
      <x:c r="B483" s="5" t="inlineStr">
        <x:is>
          <x:t xml:space="preserve">로토무</x:t>
        </x:is>
      </x:c>
      <x:c r="C483" s="5" t="inlineStr">
        <x:is>
          <x:t xml:space="preserve">rotom</x:t>
        </x:is>
      </x:c>
      <x:c r="D483" s="5" t="n">
        <x:v>4</x:v>
      </x:c>
      <x:c r="E483" s="10" t="n">
        <x:f>SUM(XLOOKUP('포켓몬_편집'!$AF483:$AN483,'분류_규칙'!$A$5:$A$76,'분류_규칙'!$E$5:$E$76,0))</x:f>
        <x:v>0</x:v>
      </x:c>
      <x:c r="F483" s="10" t="n">
        <x:f>SUM(XLOOKUP('포켓몬_편집'!$AF483:$AN483,'분류_규칙'!$A$5:$A$76,'분류_규칙'!$F$5:$F$76,0))</x:f>
        <x:v>0</x:v>
      </x:c>
      <x:c r="G483" s="10" t="n">
        <x:f>SUM(XLOOKUP('포켓몬_편집'!$AF483:$AN483,'분류_규칙'!$A$5:$A$76,'분류_규칙'!$G$5:$G$76,0))</x:f>
        <x:v>0</x:v>
      </x:c>
      <x:c r="H483" s="10" t="n">
        <x:f>SUM(XLOOKUP('포켓몬_편집'!$AF483:$AN483,'분류_규칙'!$A$5:$A$76,'분류_규칙'!$H$5:$H$76,0))</x:f>
        <x:v>0</x:v>
      </x:c>
      <x:c r="I483" s="10" t="n">
        <x:f>SUM(XLOOKUP('포켓몬_편집'!$AF483:$AN483,'분류_규칙'!$A$5:$A$76,'분류_규칙'!$I$5:$I$76,0))</x:f>
        <x:v>0</x:v>
      </x:c>
      <x:c r="J483" s="10" t="n">
        <x:f>SUM(XLOOKUP('포켓몬_편집'!$AF483:$AN483,'분류_규칙'!$A$5:$A$76,'분류_규칙'!$J$5:$J$76,0))</x:f>
        <x:v>0</x:v>
      </x:c>
      <x:c r="K483" s="10" t="n">
        <x:f>SUM(XLOOKUP('포켓몬_편집'!$AF483:$AN483,'분류_규칙'!$A$5:$A$76,'분류_규칙'!$K$5:$K$76,0))</x:f>
        <x:v>0</x:v>
      </x:c>
      <x:c r="L483" s="10" t="n">
        <x:f>SUM(XLOOKUP('포켓몬_편집'!$AF483:$AN483,'분류_규칙'!$A$5:$A$76,'분류_규칙'!$L$5:$L$76,0))</x:f>
        <x:v>0</x:v>
      </x:c>
      <x:c r="M483" s="10" t="n">
        <x:f>SUM(XLOOKUP('포켓몬_편집'!$AF483:$AN483,'분류_규칙'!$A$5:$A$76,'분류_규칙'!$M$5:$M$76,0))</x:f>
        <x:v>0</x:v>
      </x:c>
      <x:c r="N483" s="10" t="n">
        <x:f>SUM(XLOOKUP('포켓몬_편집'!$AF483:$AN483,'분류_규칙'!$A$5:$A$76,'분류_규칙'!$N$5:$N$76,0))</x:f>
        <x:v>0</x:v>
      </x:c>
      <x:c r="O483" s="10" t="n">
        <x:f>SUM(XLOOKUP('포켓몬_편집'!$AF483:$AN483,'분류_규칙'!$A$5:$A$76,'분류_규칙'!$O$5:$O$76,0))</x:f>
        <x:v>30</x:v>
      </x:c>
      <x:c r="P483" s="10" t="n">
        <x:f>SUM(XLOOKUP('포켓몬_편집'!$AF483:$AN483,'분류_규칙'!$A$5:$A$76,'분류_규칙'!$P$5:$P$76,0))</x:f>
        <x:v>8</x:v>
      </x:c>
    </x:row>
    <x:row r="484" ht="22" customHeight="1">
      <x:c r="A484" s="5" t="n">
        <x:v>480</x:v>
      </x:c>
      <x:c r="B484" s="5" t="inlineStr">
        <x:is>
          <x:t xml:space="preserve">유크시</x:t>
        </x:is>
      </x:c>
      <x:c r="C484" s="5" t="inlineStr">
        <x:is>
          <x:t xml:space="preserve">uxie</x:t>
        </x:is>
      </x:c>
      <x:c r="D484" s="5" t="n">
        <x:v>4</x:v>
      </x:c>
      <x:c r="E484" s="10" t="n">
        <x:f>SUM(XLOOKUP('포켓몬_편집'!$AF484:$AN484,'분류_규칙'!$A$5:$A$76,'분류_규칙'!$E$5:$E$76,0))</x:f>
        <x:v>8</x:v>
      </x:c>
      <x:c r="F484" s="10" t="n">
        <x:f>SUM(XLOOKUP('포켓몬_편집'!$AF484:$AN484,'분류_규칙'!$A$5:$A$76,'분류_규칙'!$F$5:$F$76,0))</x:f>
        <x:v>8</x:v>
      </x:c>
      <x:c r="G484" s="10" t="n">
        <x:f>SUM(XLOOKUP('포켓몬_편집'!$AF484:$AN484,'분류_규칙'!$A$5:$A$76,'분류_규칙'!$G$5:$G$76,0))</x:f>
        <x:v>0</x:v>
      </x:c>
      <x:c r="H484" s="10" t="n">
        <x:f>SUM(XLOOKUP('포켓몬_편집'!$AF484:$AN484,'분류_규칙'!$A$5:$A$76,'분류_규칙'!$H$5:$H$76,0))</x:f>
        <x:v>12</x:v>
      </x:c>
      <x:c r="I484" s="10" t="n">
        <x:f>SUM(XLOOKUP('포켓몬_편집'!$AF484:$AN484,'분류_규칙'!$A$5:$A$76,'분류_규칙'!$I$5:$I$76,0))</x:f>
        <x:v>0</x:v>
      </x:c>
      <x:c r="J484" s="10" t="n">
        <x:f>SUM(XLOOKUP('포켓몬_편집'!$AF484:$AN484,'분류_규칙'!$A$5:$A$76,'분류_규칙'!$J$5:$J$76,0))</x:f>
        <x:v>0</x:v>
      </x:c>
      <x:c r="K484" s="10" t="n">
        <x:f>SUM(XLOOKUP('포켓몬_편집'!$AF484:$AN484,'분류_규칙'!$A$5:$A$76,'분류_규칙'!$K$5:$K$76,0))</x:f>
        <x:v>0</x:v>
      </x:c>
      <x:c r="L484" s="10" t="n">
        <x:f>SUM(XLOOKUP('포켓몬_편집'!$AF484:$AN484,'분류_규칙'!$A$5:$A$76,'분류_규칙'!$L$5:$L$76,0))</x:f>
        <x:v>3</x:v>
      </x:c>
      <x:c r="M484" s="10" t="n">
        <x:f>SUM(XLOOKUP('포켓몬_편집'!$AF484:$AN484,'분류_규칙'!$A$5:$A$76,'분류_규칙'!$M$5:$M$76,0))</x:f>
        <x:v>0</x:v>
      </x:c>
      <x:c r="N484" s="10" t="n">
        <x:f>SUM(XLOOKUP('포켓몬_편집'!$AF484:$AN484,'분류_규칙'!$A$5:$A$76,'분류_규칙'!$N$5:$N$76,0))</x:f>
        <x:v>0</x:v>
      </x:c>
      <x:c r="O484" s="10" t="n">
        <x:f>SUM(XLOOKUP('포켓몬_편집'!$AF484:$AN484,'분류_규칙'!$A$5:$A$76,'분류_규칙'!$O$5:$O$76,0))</x:f>
        <x:v>2</x:v>
      </x:c>
      <x:c r="P484" s="10" t="n">
        <x:f>SUM(XLOOKUP('포켓몬_편집'!$AF484:$AN484,'분류_규칙'!$A$5:$A$76,'분류_규칙'!$P$5:$P$76,0))</x:f>
        <x:v>0</x:v>
      </x:c>
    </x:row>
    <x:row r="485" ht="22" customHeight="1">
      <x:c r="A485" s="5" t="n">
        <x:v>481</x:v>
      </x:c>
      <x:c r="B485" s="5" t="inlineStr">
        <x:is>
          <x:t xml:space="preserve">엠라이트</x:t>
        </x:is>
      </x:c>
      <x:c r="C485" s="5" t="inlineStr">
        <x:is>
          <x:t xml:space="preserve">mesprit</x:t>
        </x:is>
      </x:c>
      <x:c r="D485" s="5" t="n">
        <x:v>4</x:v>
      </x:c>
      <x:c r="E485" s="10" t="n">
        <x:f>SUM(XLOOKUP('포켓몬_편집'!$AF485:$AN485,'분류_규칙'!$A$5:$A$76,'분류_규칙'!$E$5:$E$76,0))</x:f>
        <x:v>8</x:v>
      </x:c>
      <x:c r="F485" s="10" t="n">
        <x:f>SUM(XLOOKUP('포켓몬_편집'!$AF485:$AN485,'분류_규칙'!$A$5:$A$76,'분류_규칙'!$F$5:$F$76,0))</x:f>
        <x:v>8</x:v>
      </x:c>
      <x:c r="G485" s="10" t="n">
        <x:f>SUM(XLOOKUP('포켓몬_편집'!$AF485:$AN485,'분류_규칙'!$A$5:$A$76,'분류_규칙'!$G$5:$G$76,0))</x:f>
        <x:v>0</x:v>
      </x:c>
      <x:c r="H485" s="10" t="n">
        <x:f>SUM(XLOOKUP('포켓몬_편집'!$AF485:$AN485,'분류_규칙'!$A$5:$A$76,'분류_규칙'!$H$5:$H$76,0))</x:f>
        <x:v>12</x:v>
      </x:c>
      <x:c r="I485" s="10" t="n">
        <x:f>SUM(XLOOKUP('포켓몬_편집'!$AF485:$AN485,'분류_규칙'!$A$5:$A$76,'분류_규칙'!$I$5:$I$76,0))</x:f>
        <x:v>0</x:v>
      </x:c>
      <x:c r="J485" s="10" t="n">
        <x:f>SUM(XLOOKUP('포켓몬_편집'!$AF485:$AN485,'분류_규칙'!$A$5:$A$76,'분류_규칙'!$J$5:$J$76,0))</x:f>
        <x:v>0</x:v>
      </x:c>
      <x:c r="K485" s="10" t="n">
        <x:f>SUM(XLOOKUP('포켓몬_편집'!$AF485:$AN485,'분류_규칙'!$A$5:$A$76,'분류_규칙'!$K$5:$K$76,0))</x:f>
        <x:v>0</x:v>
      </x:c>
      <x:c r="L485" s="10" t="n">
        <x:f>SUM(XLOOKUP('포켓몬_편집'!$AF485:$AN485,'분류_규칙'!$A$5:$A$76,'분류_규칙'!$L$5:$L$76,0))</x:f>
        <x:v>3</x:v>
      </x:c>
      <x:c r="M485" s="10" t="n">
        <x:f>SUM(XLOOKUP('포켓몬_편집'!$AF485:$AN485,'분류_규칙'!$A$5:$A$76,'분류_규칙'!$M$5:$M$76,0))</x:f>
        <x:v>0</x:v>
      </x:c>
      <x:c r="N485" s="10" t="n">
        <x:f>SUM(XLOOKUP('포켓몬_편집'!$AF485:$AN485,'분류_규칙'!$A$5:$A$76,'분류_규칙'!$N$5:$N$76,0))</x:f>
        <x:v>0</x:v>
      </x:c>
      <x:c r="O485" s="10" t="n">
        <x:f>SUM(XLOOKUP('포켓몬_편집'!$AF485:$AN485,'분류_규칙'!$A$5:$A$76,'분류_규칙'!$O$5:$O$76,0))</x:f>
        <x:v>2</x:v>
      </x:c>
      <x:c r="P485" s="10" t="n">
        <x:f>SUM(XLOOKUP('포켓몬_편집'!$AF485:$AN485,'분류_규칙'!$A$5:$A$76,'분류_규칙'!$P$5:$P$76,0))</x:f>
        <x:v>0</x:v>
      </x:c>
    </x:row>
    <x:row r="486" ht="22" customHeight="1">
      <x:c r="A486" s="5" t="n">
        <x:v>482</x:v>
      </x:c>
      <x:c r="B486" s="5" t="inlineStr">
        <x:is>
          <x:t xml:space="preserve">아그놈</x:t>
        </x:is>
      </x:c>
      <x:c r="C486" s="5" t="inlineStr">
        <x:is>
          <x:t xml:space="preserve">azelf</x:t>
        </x:is>
      </x:c>
      <x:c r="D486" s="5" t="n">
        <x:v>4</x:v>
      </x:c>
      <x:c r="E486" s="10" t="n">
        <x:f>SUM(XLOOKUP('포켓몬_편집'!$AF486:$AN486,'분류_규칙'!$A$5:$A$76,'분류_규칙'!$E$5:$E$76,0))</x:f>
        <x:v>8</x:v>
      </x:c>
      <x:c r="F486" s="10" t="n">
        <x:f>SUM(XLOOKUP('포켓몬_편집'!$AF486:$AN486,'분류_규칙'!$A$5:$A$76,'분류_규칙'!$F$5:$F$76,0))</x:f>
        <x:v>8</x:v>
      </x:c>
      <x:c r="G486" s="10" t="n">
        <x:f>SUM(XLOOKUP('포켓몬_편집'!$AF486:$AN486,'분류_규칙'!$A$5:$A$76,'분류_규칙'!$G$5:$G$76,0))</x:f>
        <x:v>0</x:v>
      </x:c>
      <x:c r="H486" s="10" t="n">
        <x:f>SUM(XLOOKUP('포켓몬_편집'!$AF486:$AN486,'분류_규칙'!$A$5:$A$76,'분류_규칙'!$H$5:$H$76,0))</x:f>
        <x:v>12</x:v>
      </x:c>
      <x:c r="I486" s="10" t="n">
        <x:f>SUM(XLOOKUP('포켓몬_편집'!$AF486:$AN486,'분류_규칙'!$A$5:$A$76,'분류_규칙'!$I$5:$I$76,0))</x:f>
        <x:v>0</x:v>
      </x:c>
      <x:c r="J486" s="10" t="n">
        <x:f>SUM(XLOOKUP('포켓몬_편집'!$AF486:$AN486,'분류_규칙'!$A$5:$A$76,'분류_규칙'!$J$5:$J$76,0))</x:f>
        <x:v>0</x:v>
      </x:c>
      <x:c r="K486" s="10" t="n">
        <x:f>SUM(XLOOKUP('포켓몬_편집'!$AF486:$AN486,'분류_규칙'!$A$5:$A$76,'분류_규칙'!$K$5:$K$76,0))</x:f>
        <x:v>0</x:v>
      </x:c>
      <x:c r="L486" s="10" t="n">
        <x:f>SUM(XLOOKUP('포켓몬_편집'!$AF486:$AN486,'분류_규칙'!$A$5:$A$76,'분류_규칙'!$L$5:$L$76,0))</x:f>
        <x:v>3</x:v>
      </x:c>
      <x:c r="M486" s="10" t="n">
        <x:f>SUM(XLOOKUP('포켓몬_편집'!$AF486:$AN486,'분류_규칙'!$A$5:$A$76,'분류_규칙'!$M$5:$M$76,0))</x:f>
        <x:v>0</x:v>
      </x:c>
      <x:c r="N486" s="10" t="n">
        <x:f>SUM(XLOOKUP('포켓몬_편집'!$AF486:$AN486,'분류_규칙'!$A$5:$A$76,'분류_규칙'!$N$5:$N$76,0))</x:f>
        <x:v>0</x:v>
      </x:c>
      <x:c r="O486" s="10" t="n">
        <x:f>SUM(XLOOKUP('포켓몬_편집'!$AF486:$AN486,'분류_규칙'!$A$5:$A$76,'분류_규칙'!$O$5:$O$76,0))</x:f>
        <x:v>2</x:v>
      </x:c>
      <x:c r="P486" s="10" t="n">
        <x:f>SUM(XLOOKUP('포켓몬_편집'!$AF486:$AN486,'분류_규칙'!$A$5:$A$76,'분류_규칙'!$P$5:$P$76,0))</x:f>
        <x:v>0</x:v>
      </x:c>
    </x:row>
    <x:row r="487" ht="22" customHeight="1">
      <x:c r="A487" s="5" t="n">
        <x:v>483</x:v>
      </x:c>
      <x:c r="B487" s="5" t="inlineStr">
        <x:is>
          <x:t xml:space="preserve">디아루가</x:t>
        </x:is>
      </x:c>
      <x:c r="C487" s="5" t="inlineStr">
        <x:is>
          <x:t xml:space="preserve">dialga</x:t>
        </x:is>
      </x:c>
      <x:c r="D487" s="5" t="n">
        <x:v>4</x:v>
      </x:c>
      <x:c r="E487" s="10" t="n">
        <x:f>SUM(XLOOKUP('포켓몬_편집'!$AF487:$AN487,'분류_규칙'!$A$5:$A$76,'분류_규칙'!$E$5:$E$76,0))</x:f>
        <x:v>8</x:v>
      </x:c>
      <x:c r="F487" s="10" t="n">
        <x:f>SUM(XLOOKUP('포켓몬_편집'!$AF487:$AN487,'분류_규칙'!$A$5:$A$76,'분류_규칙'!$F$5:$F$76,0))</x:f>
        <x:v>8</x:v>
      </x:c>
      <x:c r="G487" s="10" t="n">
        <x:f>SUM(XLOOKUP('포켓몬_편집'!$AF487:$AN487,'분류_규칙'!$A$5:$A$76,'분류_규칙'!$G$5:$G$76,0))</x:f>
        <x:v>0</x:v>
      </x:c>
      <x:c r="H487" s="10" t="n">
        <x:f>SUM(XLOOKUP('포켓몬_편집'!$AF487:$AN487,'분류_규칙'!$A$5:$A$76,'분류_규칙'!$H$5:$H$76,0))</x:f>
        <x:v>12</x:v>
      </x:c>
      <x:c r="I487" s="10" t="n">
        <x:f>SUM(XLOOKUP('포켓몬_편집'!$AF487:$AN487,'분류_규칙'!$A$5:$A$76,'분류_규칙'!$I$5:$I$76,0))</x:f>
        <x:v>0</x:v>
      </x:c>
      <x:c r="J487" s="10" t="n">
        <x:f>SUM(XLOOKUP('포켓몬_편집'!$AF487:$AN487,'분류_규칙'!$A$5:$A$76,'분류_규칙'!$J$5:$J$76,0))</x:f>
        <x:v>0</x:v>
      </x:c>
      <x:c r="K487" s="10" t="n">
        <x:f>SUM(XLOOKUP('포켓몬_편집'!$AF487:$AN487,'분류_규칙'!$A$5:$A$76,'분류_규칙'!$K$5:$K$76,0))</x:f>
        <x:v>0</x:v>
      </x:c>
      <x:c r="L487" s="10" t="n">
        <x:f>SUM(XLOOKUP('포켓몬_편집'!$AF487:$AN487,'분류_규칙'!$A$5:$A$76,'분류_규칙'!$L$5:$L$76,0))</x:f>
        <x:v>3</x:v>
      </x:c>
      <x:c r="M487" s="10" t="n">
        <x:f>SUM(XLOOKUP('포켓몬_편집'!$AF487:$AN487,'분류_규칙'!$A$5:$A$76,'분류_규칙'!$M$5:$M$76,0))</x:f>
        <x:v>0</x:v>
      </x:c>
      <x:c r="N487" s="10" t="n">
        <x:f>SUM(XLOOKUP('포켓몬_편집'!$AF487:$AN487,'분류_규칙'!$A$5:$A$76,'분류_규칙'!$N$5:$N$76,0))</x:f>
        <x:v>0</x:v>
      </x:c>
      <x:c r="O487" s="10" t="n">
        <x:f>SUM(XLOOKUP('포켓몬_편집'!$AF487:$AN487,'분류_규칙'!$A$5:$A$76,'분류_규칙'!$O$5:$O$76,0))</x:f>
        <x:v>2</x:v>
      </x:c>
      <x:c r="P487" s="10" t="n">
        <x:f>SUM(XLOOKUP('포켓몬_편집'!$AF487:$AN487,'분류_규칙'!$A$5:$A$76,'분류_규칙'!$P$5:$P$76,0))</x:f>
        <x:v>0</x:v>
      </x:c>
    </x:row>
    <x:row r="488" ht="22" customHeight="1">
      <x:c r="A488" s="5" t="n">
        <x:v>484</x:v>
      </x:c>
      <x:c r="B488" s="5" t="inlineStr">
        <x:is>
          <x:t xml:space="preserve">펄기아</x:t>
        </x:is>
      </x:c>
      <x:c r="C488" s="5" t="inlineStr">
        <x:is>
          <x:t xml:space="preserve">palkia</x:t>
        </x:is>
      </x:c>
      <x:c r="D488" s="5" t="n">
        <x:v>4</x:v>
      </x:c>
      <x:c r="E488" s="10" t="n">
        <x:f>SUM(XLOOKUP('포켓몬_편집'!$AF488:$AN488,'분류_규칙'!$A$5:$A$76,'분류_규칙'!$E$5:$E$76,0))</x:f>
        <x:v>8</x:v>
      </x:c>
      <x:c r="F488" s="10" t="n">
        <x:f>SUM(XLOOKUP('포켓몬_편집'!$AF488:$AN488,'분류_규칙'!$A$5:$A$76,'분류_규칙'!$F$5:$F$76,0))</x:f>
        <x:v>8</x:v>
      </x:c>
      <x:c r="G488" s="10" t="n">
        <x:f>SUM(XLOOKUP('포켓몬_편집'!$AF488:$AN488,'분류_규칙'!$A$5:$A$76,'분류_규칙'!$G$5:$G$76,0))</x:f>
        <x:v>0</x:v>
      </x:c>
      <x:c r="H488" s="10" t="n">
        <x:f>SUM(XLOOKUP('포켓몬_편집'!$AF488:$AN488,'분류_규칙'!$A$5:$A$76,'분류_규칙'!$H$5:$H$76,0))</x:f>
        <x:v>12</x:v>
      </x:c>
      <x:c r="I488" s="10" t="n">
        <x:f>SUM(XLOOKUP('포켓몬_편집'!$AF488:$AN488,'분류_규칙'!$A$5:$A$76,'분류_규칙'!$I$5:$I$76,0))</x:f>
        <x:v>0</x:v>
      </x:c>
      <x:c r="J488" s="10" t="n">
        <x:f>SUM(XLOOKUP('포켓몬_편집'!$AF488:$AN488,'분류_규칙'!$A$5:$A$76,'분류_규칙'!$J$5:$J$76,0))</x:f>
        <x:v>0</x:v>
      </x:c>
      <x:c r="K488" s="10" t="n">
        <x:f>SUM(XLOOKUP('포켓몬_편집'!$AF488:$AN488,'분류_규칙'!$A$5:$A$76,'분류_규칙'!$K$5:$K$76,0))</x:f>
        <x:v>0</x:v>
      </x:c>
      <x:c r="L488" s="10" t="n">
        <x:f>SUM(XLOOKUP('포켓몬_편집'!$AF488:$AN488,'분류_규칙'!$A$5:$A$76,'분류_규칙'!$L$5:$L$76,0))</x:f>
        <x:v>3</x:v>
      </x:c>
      <x:c r="M488" s="10" t="n">
        <x:f>SUM(XLOOKUP('포켓몬_편집'!$AF488:$AN488,'분류_규칙'!$A$5:$A$76,'분류_규칙'!$M$5:$M$76,0))</x:f>
        <x:v>0</x:v>
      </x:c>
      <x:c r="N488" s="10" t="n">
        <x:f>SUM(XLOOKUP('포켓몬_편집'!$AF488:$AN488,'분류_규칙'!$A$5:$A$76,'분류_규칙'!$N$5:$N$76,0))</x:f>
        <x:v>0</x:v>
      </x:c>
      <x:c r="O488" s="10" t="n">
        <x:f>SUM(XLOOKUP('포켓몬_편집'!$AF488:$AN488,'분류_규칙'!$A$5:$A$76,'분류_규칙'!$O$5:$O$76,0))</x:f>
        <x:v>2</x:v>
      </x:c>
      <x:c r="P488" s="10" t="n">
        <x:f>SUM(XLOOKUP('포켓몬_편집'!$AF488:$AN488,'분류_규칙'!$A$5:$A$76,'분류_규칙'!$P$5:$P$76,0))</x:f>
        <x:v>0</x:v>
      </x:c>
    </x:row>
    <x:row r="489" ht="22" customHeight="1">
      <x:c r="A489" s="5" t="n">
        <x:v>485</x:v>
      </x:c>
      <x:c r="B489" s="5" t="inlineStr">
        <x:is>
          <x:t xml:space="preserve">히드런</x:t>
        </x:is>
      </x:c>
      <x:c r="C489" s="5" t="inlineStr">
        <x:is>
          <x:t xml:space="preserve">heatran</x:t>
        </x:is>
      </x:c>
      <x:c r="D489" s="5" t="n">
        <x:v>4</x:v>
      </x:c>
      <x:c r="E489" s="10" t="n">
        <x:f>SUM(XLOOKUP('포켓몬_편집'!$AF489:$AN489,'분류_규칙'!$A$5:$A$76,'분류_규칙'!$E$5:$E$76,0))</x:f>
        <x:v>10</x:v>
      </x:c>
      <x:c r="F489" s="10" t="n">
        <x:f>SUM(XLOOKUP('포켓몬_편집'!$AF489:$AN489,'분류_규칙'!$A$5:$A$76,'분류_규칙'!$F$5:$F$76,0))</x:f>
        <x:v>7</x:v>
      </x:c>
      <x:c r="G489" s="10" t="n">
        <x:f>SUM(XLOOKUP('포켓몬_편집'!$AF489:$AN489,'분류_규칙'!$A$5:$A$76,'분류_규칙'!$G$5:$G$76,0))</x:f>
        <x:v>5</x:v>
      </x:c>
      <x:c r="H489" s="10" t="n">
        <x:f>SUM(XLOOKUP('포켓몬_편집'!$AF489:$AN489,'분류_규칙'!$A$5:$A$76,'분류_규칙'!$H$5:$H$76,0))</x:f>
        <x:v>5</x:v>
      </x:c>
      <x:c r="I489" s="10" t="n">
        <x:f>SUM(XLOOKUP('포켓몬_편집'!$AF489:$AN489,'분류_규칙'!$A$5:$A$76,'분류_규칙'!$I$5:$I$76,0))</x:f>
        <x:v>0</x:v>
      </x:c>
      <x:c r="J489" s="10" t="n">
        <x:f>SUM(XLOOKUP('포켓몬_편집'!$AF489:$AN489,'분류_규칙'!$A$5:$A$76,'분류_규칙'!$J$5:$J$76,0))</x:f>
        <x:v>2</x:v>
      </x:c>
      <x:c r="K489" s="10" t="n">
        <x:f>SUM(XLOOKUP('포켓몬_편집'!$AF489:$AN489,'분류_규칙'!$A$5:$A$76,'분류_규칙'!$K$5:$K$76,0))</x:f>
        <x:v>0</x:v>
      </x:c>
      <x:c r="L489" s="10" t="n">
        <x:f>SUM(XLOOKUP('포켓몬_편집'!$AF489:$AN489,'분류_규칙'!$A$5:$A$76,'분류_규칙'!$L$5:$L$76,0))</x:f>
        <x:v>0</x:v>
      </x:c>
      <x:c r="M489" s="10" t="n">
        <x:f>SUM(XLOOKUP('포켓몬_편집'!$AF489:$AN489,'분류_규칙'!$A$5:$A$76,'분류_규칙'!$M$5:$M$76,0))</x:f>
        <x:v>0</x:v>
      </x:c>
      <x:c r="N489" s="10" t="n">
        <x:f>SUM(XLOOKUP('포켓몬_편집'!$AF489:$AN489,'분류_규칙'!$A$5:$A$76,'분류_규칙'!$N$5:$N$76,0))</x:f>
        <x:v>0</x:v>
      </x:c>
      <x:c r="O489" s="10" t="n">
        <x:f>SUM(XLOOKUP('포켓몬_편집'!$AF489:$AN489,'분류_규칙'!$A$5:$A$76,'분류_규칙'!$O$5:$O$76,0))</x:f>
        <x:v>2</x:v>
      </x:c>
      <x:c r="P489" s="10" t="n">
        <x:f>SUM(XLOOKUP('포켓몬_편집'!$AF489:$AN489,'분류_규칙'!$A$5:$A$76,'분류_규칙'!$P$5:$P$76,0))</x:f>
        <x:v>0</x:v>
      </x:c>
    </x:row>
    <x:row r="490" ht="22" customHeight="1">
      <x:c r="A490" s="5" t="n">
        <x:v>486</x:v>
      </x:c>
      <x:c r="B490" s="5" t="inlineStr">
        <x:is>
          <x:t xml:space="preserve">레지기가스</x:t>
        </x:is>
      </x:c>
      <x:c r="C490" s="5" t="inlineStr">
        <x:is>
          <x:t xml:space="preserve">regigigas</x:t>
        </x:is>
      </x:c>
      <x:c r="D490" s="5" t="n">
        <x:v>4</x:v>
      </x:c>
      <x:c r="E490" s="10" t="n">
        <x:f>SUM(XLOOKUP('포켓몬_편집'!$AF490:$AN490,'분류_규칙'!$A$5:$A$76,'분류_규칙'!$E$5:$E$76,0))</x:f>
        <x:v>10</x:v>
      </x:c>
      <x:c r="F490" s="10" t="n">
        <x:f>SUM(XLOOKUP('포켓몬_편집'!$AF490:$AN490,'분류_규칙'!$A$5:$A$76,'분류_규칙'!$F$5:$F$76,0))</x:f>
        <x:v>7</x:v>
      </x:c>
      <x:c r="G490" s="10" t="n">
        <x:f>SUM(XLOOKUP('포켓몬_편집'!$AF490:$AN490,'분류_규칙'!$A$5:$A$76,'분류_규칙'!$G$5:$G$76,0))</x:f>
        <x:v>5</x:v>
      </x:c>
      <x:c r="H490" s="10" t="n">
        <x:f>SUM(XLOOKUP('포켓몬_편집'!$AF490:$AN490,'분류_규칙'!$A$5:$A$76,'분류_규칙'!$H$5:$H$76,0))</x:f>
        <x:v>5</x:v>
      </x:c>
      <x:c r="I490" s="10" t="n">
        <x:f>SUM(XLOOKUP('포켓몬_편집'!$AF490:$AN490,'분류_규칙'!$A$5:$A$76,'분류_규칙'!$I$5:$I$76,0))</x:f>
        <x:v>0</x:v>
      </x:c>
      <x:c r="J490" s="10" t="n">
        <x:f>SUM(XLOOKUP('포켓몬_편집'!$AF490:$AN490,'분류_규칙'!$A$5:$A$76,'분류_규칙'!$J$5:$J$76,0))</x:f>
        <x:v>2</x:v>
      </x:c>
      <x:c r="K490" s="10" t="n">
        <x:f>SUM(XLOOKUP('포켓몬_편집'!$AF490:$AN490,'분류_규칙'!$A$5:$A$76,'분류_규칙'!$K$5:$K$76,0))</x:f>
        <x:v>0</x:v>
      </x:c>
      <x:c r="L490" s="10" t="n">
        <x:f>SUM(XLOOKUP('포켓몬_편집'!$AF490:$AN490,'분류_규칙'!$A$5:$A$76,'분류_규칙'!$L$5:$L$76,0))</x:f>
        <x:v>0</x:v>
      </x:c>
      <x:c r="M490" s="10" t="n">
        <x:f>SUM(XLOOKUP('포켓몬_편집'!$AF490:$AN490,'분류_규칙'!$A$5:$A$76,'분류_규칙'!$M$5:$M$76,0))</x:f>
        <x:v>0</x:v>
      </x:c>
      <x:c r="N490" s="10" t="n">
        <x:f>SUM(XLOOKUP('포켓몬_편집'!$AF490:$AN490,'분류_규칙'!$A$5:$A$76,'분류_규칙'!$N$5:$N$76,0))</x:f>
        <x:v>0</x:v>
      </x:c>
      <x:c r="O490" s="10" t="n">
        <x:f>SUM(XLOOKUP('포켓몬_편집'!$AF490:$AN490,'분류_규칙'!$A$5:$A$76,'분류_규칙'!$O$5:$O$76,0))</x:f>
        <x:v>2</x:v>
      </x:c>
      <x:c r="P490" s="10" t="n">
        <x:f>SUM(XLOOKUP('포켓몬_편집'!$AF490:$AN490,'분류_규칙'!$A$5:$A$76,'분류_규칙'!$P$5:$P$76,0))</x:f>
        <x:v>0</x:v>
      </x:c>
    </x:row>
    <x:row r="491" ht="22" customHeight="1">
      <x:c r="A491" s="5" t="n">
        <x:v>487</x:v>
      </x:c>
      <x:c r="B491" s="5" t="inlineStr">
        <x:is>
          <x:t xml:space="preserve">기라티나</x:t>
        </x:is>
      </x:c>
      <x:c r="C491" s="5" t="inlineStr">
        <x:is>
          <x:t xml:space="preserve">giratina</x:t>
        </x:is>
      </x:c>
      <x:c r="D491" s="5" t="n">
        <x:v>4</x:v>
      </x:c>
      <x:c r="E491" s="10" t="n">
        <x:f>SUM(XLOOKUP('포켓몬_편집'!$AF491:$AN491,'분류_규칙'!$A$5:$A$76,'분류_규칙'!$E$5:$E$76,0))</x:f>
        <x:v>0</x:v>
      </x:c>
      <x:c r="F491" s="10" t="n">
        <x:f>SUM(XLOOKUP('포켓몬_편집'!$AF491:$AN491,'분류_규칙'!$A$5:$A$76,'분류_규칙'!$F$5:$F$76,0))</x:f>
        <x:v>0</x:v>
      </x:c>
      <x:c r="G491" s="10" t="n">
        <x:f>SUM(XLOOKUP('포켓몬_편집'!$AF491:$AN491,'분류_규칙'!$A$5:$A$76,'분류_규칙'!$G$5:$G$76,0))</x:f>
        <x:v>0</x:v>
      </x:c>
      <x:c r="H491" s="10" t="n">
        <x:f>SUM(XLOOKUP('포켓몬_편집'!$AF491:$AN491,'분류_규칙'!$A$5:$A$76,'분류_규칙'!$H$5:$H$76,0))</x:f>
        <x:v>0</x:v>
      </x:c>
      <x:c r="I491" s="10" t="n">
        <x:f>SUM(XLOOKUP('포켓몬_편집'!$AF491:$AN491,'분류_규칙'!$A$5:$A$76,'분류_규칙'!$I$5:$I$76,0))</x:f>
        <x:v>10</x:v>
      </x:c>
      <x:c r="J491" s="10" t="n">
        <x:f>SUM(XLOOKUP('포켓몬_편집'!$AF491:$AN491,'분류_규칙'!$A$5:$A$76,'분류_규칙'!$J$5:$J$76,0))</x:f>
        <x:v>0</x:v>
      </x:c>
      <x:c r="K491" s="10" t="n">
        <x:f>SUM(XLOOKUP('포켓몬_편집'!$AF491:$AN491,'분류_규칙'!$A$5:$A$76,'분류_규칙'!$K$5:$K$76,0))</x:f>
        <x:v>0</x:v>
      </x:c>
      <x:c r="L491" s="10" t="n">
        <x:f>SUM(XLOOKUP('포켓몬_편집'!$AF491:$AN491,'분류_규칙'!$A$5:$A$76,'분류_규칙'!$L$5:$L$76,0))</x:f>
        <x:v>0</x:v>
      </x:c>
      <x:c r="M491" s="10" t="n">
        <x:f>SUM(XLOOKUP('포켓몬_편집'!$AF491:$AN491,'분류_규칙'!$A$5:$A$76,'분류_규칙'!$M$5:$M$76,0))</x:f>
        <x:v>0</x:v>
      </x:c>
      <x:c r="N491" s="10" t="n">
        <x:f>SUM(XLOOKUP('포켓몬_편집'!$AF491:$AN491,'분류_규칙'!$A$5:$A$76,'분류_규칙'!$N$5:$N$76,0))</x:f>
        <x:v>0</x:v>
      </x:c>
      <x:c r="O491" s="10" t="n">
        <x:f>SUM(XLOOKUP('포켓몬_편집'!$AF491:$AN491,'분류_규칙'!$A$5:$A$76,'분류_규칙'!$O$5:$O$76,0))</x:f>
        <x:v>5</x:v>
      </x:c>
      <x:c r="P491" s="10" t="n">
        <x:f>SUM(XLOOKUP('포켓몬_편집'!$AF491:$AN491,'분류_규칙'!$A$5:$A$76,'분류_규칙'!$P$5:$P$76,0))</x:f>
        <x:v>25</x:v>
      </x:c>
    </x:row>
    <x:row r="492" ht="22" customHeight="1">
      <x:c r="A492" s="5" t="n">
        <x:v>488</x:v>
      </x:c>
      <x:c r="B492" s="5" t="inlineStr">
        <x:is>
          <x:t xml:space="preserve">크레세리아</x:t>
        </x:is>
      </x:c>
      <x:c r="C492" s="5" t="inlineStr">
        <x:is>
          <x:t xml:space="preserve">cresselia</x:t>
        </x:is>
      </x:c>
      <x:c r="D492" s="5" t="n">
        <x:v>4</x:v>
      </x:c>
      <x:c r="E492" s="10" t="n">
        <x:f>SUM(XLOOKUP('포켓몬_편집'!$AF492:$AN492,'분류_규칙'!$A$5:$A$76,'분류_규칙'!$E$5:$E$76,0))</x:f>
        <x:v>8</x:v>
      </x:c>
      <x:c r="F492" s="10" t="n">
        <x:f>SUM(XLOOKUP('포켓몬_편집'!$AF492:$AN492,'분류_규칙'!$A$5:$A$76,'분류_규칙'!$F$5:$F$76,0))</x:f>
        <x:v>8</x:v>
      </x:c>
      <x:c r="G492" s="10" t="n">
        <x:f>SUM(XLOOKUP('포켓몬_편집'!$AF492:$AN492,'분류_규칙'!$A$5:$A$76,'분류_규칙'!$G$5:$G$76,0))</x:f>
        <x:v>0</x:v>
      </x:c>
      <x:c r="H492" s="10" t="n">
        <x:f>SUM(XLOOKUP('포켓몬_편집'!$AF492:$AN492,'분류_규칙'!$A$5:$A$76,'분류_규칙'!$H$5:$H$76,0))</x:f>
        <x:v>12</x:v>
      </x:c>
      <x:c r="I492" s="10" t="n">
        <x:f>SUM(XLOOKUP('포켓몬_편집'!$AF492:$AN492,'분류_규칙'!$A$5:$A$76,'분류_규칙'!$I$5:$I$76,0))</x:f>
        <x:v>0</x:v>
      </x:c>
      <x:c r="J492" s="10" t="n">
        <x:f>SUM(XLOOKUP('포켓몬_편집'!$AF492:$AN492,'분류_규칙'!$A$5:$A$76,'분류_규칙'!$J$5:$J$76,0))</x:f>
        <x:v>0</x:v>
      </x:c>
      <x:c r="K492" s="10" t="n">
        <x:f>SUM(XLOOKUP('포켓몬_편집'!$AF492:$AN492,'분류_규칙'!$A$5:$A$76,'분류_규칙'!$K$5:$K$76,0))</x:f>
        <x:v>0</x:v>
      </x:c>
      <x:c r="L492" s="10" t="n">
        <x:f>SUM(XLOOKUP('포켓몬_편집'!$AF492:$AN492,'분류_규칙'!$A$5:$A$76,'분류_규칙'!$L$5:$L$76,0))</x:f>
        <x:v>3</x:v>
      </x:c>
      <x:c r="M492" s="10" t="n">
        <x:f>SUM(XLOOKUP('포켓몬_편집'!$AF492:$AN492,'분류_규칙'!$A$5:$A$76,'분류_규칙'!$M$5:$M$76,0))</x:f>
        <x:v>0</x:v>
      </x:c>
      <x:c r="N492" s="10" t="n">
        <x:f>SUM(XLOOKUP('포켓몬_편집'!$AF492:$AN492,'분류_규칙'!$A$5:$A$76,'분류_규칙'!$N$5:$N$76,0))</x:f>
        <x:v>0</x:v>
      </x:c>
      <x:c r="O492" s="10" t="n">
        <x:f>SUM(XLOOKUP('포켓몬_편집'!$AF492:$AN492,'분류_규칙'!$A$5:$A$76,'분류_규칙'!$O$5:$O$76,0))</x:f>
        <x:v>2</x:v>
      </x:c>
      <x:c r="P492" s="10" t="n">
        <x:f>SUM(XLOOKUP('포켓몬_편집'!$AF492:$AN492,'분류_규칙'!$A$5:$A$76,'분류_규칙'!$P$5:$P$76,0))</x:f>
        <x:v>0</x:v>
      </x:c>
    </x:row>
    <x:row r="493" ht="22" customHeight="1">
      <x:c r="A493" s="5" t="n">
        <x:v>489</x:v>
      </x:c>
      <x:c r="B493" s="5" t="inlineStr">
        <x:is>
          <x:t xml:space="preserve">피오네</x:t>
        </x:is>
      </x:c>
      <x:c r="C493" s="5" t="inlineStr">
        <x:is>
          <x:t xml:space="preserve">phione</x:t>
        </x:is>
      </x:c>
      <x:c r="D493" s="5" t="n">
        <x:v>4</x:v>
      </x:c>
      <x:c r="E493" s="10" t="n">
        <x:f>SUM(XLOOKUP('포켓몬_편집'!$AF493:$AN493,'분류_규칙'!$A$5:$A$76,'분류_규칙'!$E$5:$E$76,0))</x:f>
        <x:v>0</x:v>
      </x:c>
      <x:c r="F493" s="10" t="n">
        <x:f>SUM(XLOOKUP('포켓몬_편집'!$AF493:$AN493,'분류_규칙'!$A$5:$A$76,'분류_규칙'!$F$5:$F$76,0))</x:f>
        <x:v>0</x:v>
      </x:c>
      <x:c r="G493" s="10" t="n">
        <x:f>SUM(XLOOKUP('포켓몬_편집'!$AF493:$AN493,'분류_규칙'!$A$5:$A$76,'분류_규칙'!$G$5:$G$76,0))</x:f>
        <x:v>0</x:v>
      </x:c>
      <x:c r="H493" s="10" t="n">
        <x:f>SUM(XLOOKUP('포켓몬_편집'!$AF493:$AN493,'분류_규칙'!$A$5:$A$76,'분류_규칙'!$H$5:$H$76,0))</x:f>
        <x:v>0</x:v>
      </x:c>
      <x:c r="I493" s="10" t="n">
        <x:f>SUM(XLOOKUP('포켓몬_편집'!$AF493:$AN493,'분류_규칙'!$A$5:$A$76,'분류_규칙'!$I$5:$I$76,0))</x:f>
        <x:v>0</x:v>
      </x:c>
      <x:c r="J493" s="10" t="n">
        <x:f>SUM(XLOOKUP('포켓몬_편집'!$AF493:$AN493,'분류_규칙'!$A$5:$A$76,'분류_규칙'!$J$5:$J$76,0))</x:f>
        <x:v>22</x:v>
      </x:c>
      <x:c r="K493" s="10" t="n">
        <x:f>SUM(XLOOKUP('포켓몬_편집'!$AF493:$AN493,'분류_규칙'!$A$5:$A$76,'분류_규칙'!$K$5:$K$76,0))</x:f>
        <x:v>16</x:v>
      </x:c>
      <x:c r="L493" s="10" t="n">
        <x:f>SUM(XLOOKUP('포켓몬_편집'!$AF493:$AN493,'분류_규칙'!$A$5:$A$76,'분류_규칙'!$L$5:$L$76,0))</x:f>
        <x:v>8</x:v>
      </x:c>
      <x:c r="M493" s="10" t="n">
        <x:f>SUM(XLOOKUP('포켓몬_편집'!$AF493:$AN493,'분류_규칙'!$A$5:$A$76,'분류_규칙'!$M$5:$M$76,0))</x:f>
        <x:v>0</x:v>
      </x:c>
      <x:c r="N493" s="10" t="n">
        <x:f>SUM(XLOOKUP('포켓몬_편집'!$AF493:$AN493,'분류_규칙'!$A$5:$A$76,'분류_규칙'!$N$5:$N$76,0))</x:f>
        <x:v>0</x:v>
      </x:c>
      <x:c r="O493" s="10" t="n">
        <x:f>SUM(XLOOKUP('포켓몬_편집'!$AF493:$AN493,'분류_규칙'!$A$5:$A$76,'분류_규칙'!$O$5:$O$76,0))</x:f>
        <x:v>0</x:v>
      </x:c>
      <x:c r="P493" s="10" t="n">
        <x:f>SUM(XLOOKUP('포켓몬_편집'!$AF493:$AN493,'분류_규칙'!$A$5:$A$76,'분류_규칙'!$P$5:$P$76,0))</x:f>
        <x:v>0</x:v>
      </x:c>
    </x:row>
    <x:row r="494" ht="22" customHeight="1">
      <x:c r="A494" s="5" t="n">
        <x:v>490</x:v>
      </x:c>
      <x:c r="B494" s="5" t="inlineStr">
        <x:is>
          <x:t xml:space="preserve">마나피</x:t>
        </x:is>
      </x:c>
      <x:c r="C494" s="5" t="inlineStr">
        <x:is>
          <x:t xml:space="preserve">manaphy</x:t>
        </x:is>
      </x:c>
      <x:c r="D494" s="5" t="n">
        <x:v>4</x:v>
      </x:c>
      <x:c r="E494" s="10" t="n">
        <x:f>SUM(XLOOKUP('포켓몬_편집'!$AF494:$AN494,'분류_규칙'!$A$5:$A$76,'분류_규칙'!$E$5:$E$76,0))</x:f>
        <x:v>0</x:v>
      </x:c>
      <x:c r="F494" s="10" t="n">
        <x:f>SUM(XLOOKUP('포켓몬_편집'!$AF494:$AN494,'분류_규칙'!$A$5:$A$76,'분류_규칙'!$F$5:$F$76,0))</x:f>
        <x:v>0</x:v>
      </x:c>
      <x:c r="G494" s="10" t="n">
        <x:f>SUM(XLOOKUP('포켓몬_편집'!$AF494:$AN494,'분류_규칙'!$A$5:$A$76,'분류_규칙'!$G$5:$G$76,0))</x:f>
        <x:v>0</x:v>
      </x:c>
      <x:c r="H494" s="10" t="n">
        <x:f>SUM(XLOOKUP('포켓몬_편집'!$AF494:$AN494,'분류_규칙'!$A$5:$A$76,'분류_규칙'!$H$5:$H$76,0))</x:f>
        <x:v>0</x:v>
      </x:c>
      <x:c r="I494" s="10" t="n">
        <x:f>SUM(XLOOKUP('포켓몬_편집'!$AF494:$AN494,'분류_규칙'!$A$5:$A$76,'분류_규칙'!$I$5:$I$76,0))</x:f>
        <x:v>0</x:v>
      </x:c>
      <x:c r="J494" s="10" t="n">
        <x:f>SUM(XLOOKUP('포켓몬_편집'!$AF494:$AN494,'분류_규칙'!$A$5:$A$76,'분류_규칙'!$J$5:$J$76,0))</x:f>
        <x:v>22</x:v>
      </x:c>
      <x:c r="K494" s="10" t="n">
        <x:f>SUM(XLOOKUP('포켓몬_편집'!$AF494:$AN494,'분류_규칙'!$A$5:$A$76,'분류_규칙'!$K$5:$K$76,0))</x:f>
        <x:v>16</x:v>
      </x:c>
      <x:c r="L494" s="10" t="n">
        <x:f>SUM(XLOOKUP('포켓몬_편집'!$AF494:$AN494,'분류_규칙'!$A$5:$A$76,'분류_규칙'!$L$5:$L$76,0))</x:f>
        <x:v>8</x:v>
      </x:c>
      <x:c r="M494" s="10" t="n">
        <x:f>SUM(XLOOKUP('포켓몬_편집'!$AF494:$AN494,'분류_규칙'!$A$5:$A$76,'분류_규칙'!$M$5:$M$76,0))</x:f>
        <x:v>0</x:v>
      </x:c>
      <x:c r="N494" s="10" t="n">
        <x:f>SUM(XLOOKUP('포켓몬_편집'!$AF494:$AN494,'분류_규칙'!$A$5:$A$76,'분류_규칙'!$N$5:$N$76,0))</x:f>
        <x:v>0</x:v>
      </x:c>
      <x:c r="O494" s="10" t="n">
        <x:f>SUM(XLOOKUP('포켓몬_편집'!$AF494:$AN494,'분류_규칙'!$A$5:$A$76,'분류_규칙'!$O$5:$O$76,0))</x:f>
        <x:v>0</x:v>
      </x:c>
      <x:c r="P494" s="10" t="n">
        <x:f>SUM(XLOOKUP('포켓몬_편집'!$AF494:$AN494,'분류_규칙'!$A$5:$A$76,'분류_규칙'!$P$5:$P$76,0))</x:f>
        <x:v>0</x:v>
      </x:c>
    </x:row>
    <x:row r="495" ht="22" customHeight="1">
      <x:c r="A495" s="5" t="n">
        <x:v>491</x:v>
      </x:c>
      <x:c r="B495" s="5" t="inlineStr">
        <x:is>
          <x:t xml:space="preserve">다크라이</x:t>
        </x:is>
      </x:c>
      <x:c r="C495" s="5" t="inlineStr">
        <x:is>
          <x:t xml:space="preserve">darkrai</x:t>
        </x:is>
      </x:c>
      <x:c r="D495" s="5" t="n">
        <x:v>4</x:v>
      </x:c>
      <x:c r="E495" s="10" t="n">
        <x:f>SUM(XLOOKUP('포켓몬_편집'!$AF495:$AN495,'분류_규칙'!$A$5:$A$76,'분류_규칙'!$E$5:$E$76,0))</x:f>
        <x:v>8</x:v>
      </x:c>
      <x:c r="F495" s="10" t="n">
        <x:f>SUM(XLOOKUP('포켓몬_편집'!$AF495:$AN495,'분류_규칙'!$A$5:$A$76,'분류_규칙'!$F$5:$F$76,0))</x:f>
        <x:v>8</x:v>
      </x:c>
      <x:c r="G495" s="10" t="n">
        <x:f>SUM(XLOOKUP('포켓몬_편집'!$AF495:$AN495,'분류_규칙'!$A$5:$A$76,'분류_규칙'!$G$5:$G$76,0))</x:f>
        <x:v>0</x:v>
      </x:c>
      <x:c r="H495" s="10" t="n">
        <x:f>SUM(XLOOKUP('포켓몬_편집'!$AF495:$AN495,'분류_규칙'!$A$5:$A$76,'분류_규칙'!$H$5:$H$76,0))</x:f>
        <x:v>12</x:v>
      </x:c>
      <x:c r="I495" s="10" t="n">
        <x:f>SUM(XLOOKUP('포켓몬_편집'!$AF495:$AN495,'분류_규칙'!$A$5:$A$76,'분류_규칙'!$I$5:$I$76,0))</x:f>
        <x:v>0</x:v>
      </x:c>
      <x:c r="J495" s="10" t="n">
        <x:f>SUM(XLOOKUP('포켓몬_편집'!$AF495:$AN495,'분류_규칙'!$A$5:$A$76,'분류_규칙'!$J$5:$J$76,0))</x:f>
        <x:v>0</x:v>
      </x:c>
      <x:c r="K495" s="10" t="n">
        <x:f>SUM(XLOOKUP('포켓몬_편집'!$AF495:$AN495,'분류_규칙'!$A$5:$A$76,'분류_규칙'!$K$5:$K$76,0))</x:f>
        <x:v>0</x:v>
      </x:c>
      <x:c r="L495" s="10" t="n">
        <x:f>SUM(XLOOKUP('포켓몬_편집'!$AF495:$AN495,'분류_규칙'!$A$5:$A$76,'분류_규칙'!$L$5:$L$76,0))</x:f>
        <x:v>3</x:v>
      </x:c>
      <x:c r="M495" s="10" t="n">
        <x:f>SUM(XLOOKUP('포켓몬_편집'!$AF495:$AN495,'분류_규칙'!$A$5:$A$76,'분류_규칙'!$M$5:$M$76,0))</x:f>
        <x:v>0</x:v>
      </x:c>
      <x:c r="N495" s="10" t="n">
        <x:f>SUM(XLOOKUP('포켓몬_편집'!$AF495:$AN495,'분류_규칙'!$A$5:$A$76,'분류_규칙'!$N$5:$N$76,0))</x:f>
        <x:v>0</x:v>
      </x:c>
      <x:c r="O495" s="10" t="n">
        <x:f>SUM(XLOOKUP('포켓몬_편집'!$AF495:$AN495,'분류_규칙'!$A$5:$A$76,'분류_규칙'!$O$5:$O$76,0))</x:f>
        <x:v>2</x:v>
      </x:c>
      <x:c r="P495" s="10" t="n">
        <x:f>SUM(XLOOKUP('포켓몬_편집'!$AF495:$AN495,'분류_규칙'!$A$5:$A$76,'분류_규칙'!$P$5:$P$76,0))</x:f>
        <x:v>0</x:v>
      </x:c>
    </x:row>
    <x:row r="496" ht="22" customHeight="1">
      <x:c r="A496" s="5" t="n">
        <x:v>492</x:v>
      </x:c>
      <x:c r="B496" s="5" t="inlineStr">
        <x:is>
          <x:t xml:space="preserve">쉐이미</x:t>
        </x:is>
      </x:c>
      <x:c r="C496" s="5" t="inlineStr">
        <x:is>
          <x:t xml:space="preserve">shaymin</x:t>
        </x:is>
      </x:c>
      <x:c r="D496" s="5" t="n">
        <x:v>4</x:v>
      </x:c>
      <x:c r="E496" s="10" t="n">
        <x:f>SUM(XLOOKUP('포켓몬_편집'!$AF496:$AN496,'분류_규칙'!$A$5:$A$76,'분류_규칙'!$E$5:$E$76,0))</x:f>
        <x:v>10</x:v>
      </x:c>
      <x:c r="F496" s="10" t="n">
        <x:f>SUM(XLOOKUP('포켓몬_편집'!$AF496:$AN496,'분류_규칙'!$A$5:$A$76,'분류_규칙'!$F$5:$F$76,0))</x:f>
        <x:v>7</x:v>
      </x:c>
      <x:c r="G496" s="10" t="n">
        <x:f>SUM(XLOOKUP('포켓몬_편집'!$AF496:$AN496,'분류_규칙'!$A$5:$A$76,'분류_규칙'!$G$5:$G$76,0))</x:f>
        <x:v>5</x:v>
      </x:c>
      <x:c r="H496" s="10" t="n">
        <x:f>SUM(XLOOKUP('포켓몬_편집'!$AF496:$AN496,'분류_규칙'!$A$5:$A$76,'분류_규칙'!$H$5:$H$76,0))</x:f>
        <x:v>5</x:v>
      </x:c>
      <x:c r="I496" s="10" t="n">
        <x:f>SUM(XLOOKUP('포켓몬_편집'!$AF496:$AN496,'분류_규칙'!$A$5:$A$76,'분류_규칙'!$I$5:$I$76,0))</x:f>
        <x:v>0</x:v>
      </x:c>
      <x:c r="J496" s="10" t="n">
        <x:f>SUM(XLOOKUP('포켓몬_편집'!$AF496:$AN496,'분류_규칙'!$A$5:$A$76,'분류_규칙'!$J$5:$J$76,0))</x:f>
        <x:v>2</x:v>
      </x:c>
      <x:c r="K496" s="10" t="n">
        <x:f>SUM(XLOOKUP('포켓몬_편집'!$AF496:$AN496,'분류_규칙'!$A$5:$A$76,'분류_규칙'!$K$5:$K$76,0))</x:f>
        <x:v>0</x:v>
      </x:c>
      <x:c r="L496" s="10" t="n">
        <x:f>SUM(XLOOKUP('포켓몬_편집'!$AF496:$AN496,'분류_규칙'!$A$5:$A$76,'분류_규칙'!$L$5:$L$76,0))</x:f>
        <x:v>0</x:v>
      </x:c>
      <x:c r="M496" s="10" t="n">
        <x:f>SUM(XLOOKUP('포켓몬_편집'!$AF496:$AN496,'분류_규칙'!$A$5:$A$76,'분류_규칙'!$M$5:$M$76,0))</x:f>
        <x:v>0</x:v>
      </x:c>
      <x:c r="N496" s="10" t="n">
        <x:f>SUM(XLOOKUP('포켓몬_편집'!$AF496:$AN496,'분류_규칙'!$A$5:$A$76,'분류_규칙'!$N$5:$N$76,0))</x:f>
        <x:v>0</x:v>
      </x:c>
      <x:c r="O496" s="10" t="n">
        <x:f>SUM(XLOOKUP('포켓몬_편집'!$AF496:$AN496,'분류_규칙'!$A$5:$A$76,'분류_규칙'!$O$5:$O$76,0))</x:f>
        <x:v>2</x:v>
      </x:c>
      <x:c r="P496" s="10" t="n">
        <x:f>SUM(XLOOKUP('포켓몬_편집'!$AF496:$AN496,'분류_규칙'!$A$5:$A$76,'분류_규칙'!$P$5:$P$76,0))</x:f>
        <x:v>0</x:v>
      </x:c>
    </x:row>
    <x:row r="497" ht="22" customHeight="1">
      <x:c r="A497" s="5" t="n">
        <x:v>493</x:v>
      </x:c>
      <x:c r="B497" s="5" t="inlineStr">
        <x:is>
          <x:t xml:space="preserve">아르세우스</x:t>
        </x:is>
      </x:c>
      <x:c r="C497" s="5" t="inlineStr">
        <x:is>
          <x:t xml:space="preserve">arceus</x:t>
        </x:is>
      </x:c>
      <x:c r="D497" s="5" t="n">
        <x:v>4</x:v>
      </x:c>
      <x:c r="E497" s="10" t="n">
        <x:f>SUM(XLOOKUP('포켓몬_편집'!$AF497:$AN497,'분류_규칙'!$A$5:$A$76,'분류_규칙'!$E$5:$E$76,0))</x:f>
        <x:v>8</x:v>
      </x:c>
      <x:c r="F497" s="10" t="n">
        <x:f>SUM(XLOOKUP('포켓몬_편집'!$AF497:$AN497,'분류_규칙'!$A$5:$A$76,'분류_규칙'!$F$5:$F$76,0))</x:f>
        <x:v>8</x:v>
      </x:c>
      <x:c r="G497" s="10" t="n">
        <x:f>SUM(XLOOKUP('포켓몬_편집'!$AF497:$AN497,'분류_규칙'!$A$5:$A$76,'분류_규칙'!$G$5:$G$76,0))</x:f>
        <x:v>0</x:v>
      </x:c>
      <x:c r="H497" s="10" t="n">
        <x:f>SUM(XLOOKUP('포켓몬_편집'!$AF497:$AN497,'분류_규칙'!$A$5:$A$76,'분류_규칙'!$H$5:$H$76,0))</x:f>
        <x:v>12</x:v>
      </x:c>
      <x:c r="I497" s="10" t="n">
        <x:f>SUM(XLOOKUP('포켓몬_편집'!$AF497:$AN497,'분류_규칙'!$A$5:$A$76,'분류_규칙'!$I$5:$I$76,0))</x:f>
        <x:v>0</x:v>
      </x:c>
      <x:c r="J497" s="10" t="n">
        <x:f>SUM(XLOOKUP('포켓몬_편집'!$AF497:$AN497,'분류_규칙'!$A$5:$A$76,'분류_규칙'!$J$5:$J$76,0))</x:f>
        <x:v>0</x:v>
      </x:c>
      <x:c r="K497" s="10" t="n">
        <x:f>SUM(XLOOKUP('포켓몬_편집'!$AF497:$AN497,'분류_규칙'!$A$5:$A$76,'분류_규칙'!$K$5:$K$76,0))</x:f>
        <x:v>0</x:v>
      </x:c>
      <x:c r="L497" s="10" t="n">
        <x:f>SUM(XLOOKUP('포켓몬_편집'!$AF497:$AN497,'분류_규칙'!$A$5:$A$76,'분류_규칙'!$L$5:$L$76,0))</x:f>
        <x:v>3</x:v>
      </x:c>
      <x:c r="M497" s="10" t="n">
        <x:f>SUM(XLOOKUP('포켓몬_편집'!$AF497:$AN497,'분류_규칙'!$A$5:$A$76,'분류_규칙'!$M$5:$M$76,0))</x:f>
        <x:v>0</x:v>
      </x:c>
      <x:c r="N497" s="10" t="n">
        <x:f>SUM(XLOOKUP('포켓몬_편집'!$AF497:$AN497,'분류_규칙'!$A$5:$A$76,'분류_규칙'!$N$5:$N$76,0))</x:f>
        <x:v>0</x:v>
      </x:c>
      <x:c r="O497" s="10" t="n">
        <x:f>SUM(XLOOKUP('포켓몬_편집'!$AF497:$AN497,'분류_규칙'!$A$5:$A$76,'분류_규칙'!$O$5:$O$76,0))</x:f>
        <x:v>2</x:v>
      </x:c>
      <x:c r="P497" s="10" t="n">
        <x:f>SUM(XLOOKUP('포켓몬_편집'!$AF497:$AN497,'분류_규칙'!$A$5:$A$76,'분류_규칙'!$P$5:$P$76,0))</x:f>
        <x:v>0</x:v>
      </x:c>
    </x:row>
    <x:row r="498" ht="22" customHeight="1">
      <x:c r="A498" s="5" t="n">
        <x:v>494</x:v>
      </x:c>
      <x:c r="B498" s="5" t="inlineStr">
        <x:is>
          <x:t xml:space="preserve">비크티니</x:t>
        </x:is>
      </x:c>
      <x:c r="C498" s="5" t="inlineStr">
        <x:is>
          <x:t xml:space="preserve">victini</x:t>
        </x:is>
      </x:c>
      <x:c r="D498" s="5" t="n">
        <x:v>5</x:v>
      </x:c>
      <x:c r="E498" s="10" t="n">
        <x:f>SUM(XLOOKUP('포켓몬_편집'!$AF498:$AN498,'분류_규칙'!$A$5:$A$76,'분류_규칙'!$E$5:$E$76,0))</x:f>
        <x:v>8</x:v>
      </x:c>
      <x:c r="F498" s="10" t="n">
        <x:f>SUM(XLOOKUP('포켓몬_편집'!$AF498:$AN498,'분류_규칙'!$A$5:$A$76,'분류_규칙'!$F$5:$F$76,0))</x:f>
        <x:v>8</x:v>
      </x:c>
      <x:c r="G498" s="10" t="n">
        <x:f>SUM(XLOOKUP('포켓몬_편집'!$AF498:$AN498,'분류_규칙'!$A$5:$A$76,'분류_규칙'!$G$5:$G$76,0))</x:f>
        <x:v>0</x:v>
      </x:c>
      <x:c r="H498" s="10" t="n">
        <x:f>SUM(XLOOKUP('포켓몬_편집'!$AF498:$AN498,'분류_규칙'!$A$5:$A$76,'분류_규칙'!$H$5:$H$76,0))</x:f>
        <x:v>12</x:v>
      </x:c>
      <x:c r="I498" s="10" t="n">
        <x:f>SUM(XLOOKUP('포켓몬_편집'!$AF498:$AN498,'분류_규칙'!$A$5:$A$76,'분류_규칙'!$I$5:$I$76,0))</x:f>
        <x:v>0</x:v>
      </x:c>
      <x:c r="J498" s="10" t="n">
        <x:f>SUM(XLOOKUP('포켓몬_편집'!$AF498:$AN498,'분류_규칙'!$A$5:$A$76,'분류_규칙'!$J$5:$J$76,0))</x:f>
        <x:v>0</x:v>
      </x:c>
      <x:c r="K498" s="10" t="n">
        <x:f>SUM(XLOOKUP('포켓몬_편집'!$AF498:$AN498,'분류_규칙'!$A$5:$A$76,'분류_규칙'!$K$5:$K$76,0))</x:f>
        <x:v>0</x:v>
      </x:c>
      <x:c r="L498" s="10" t="n">
        <x:f>SUM(XLOOKUP('포켓몬_편집'!$AF498:$AN498,'분류_규칙'!$A$5:$A$76,'분류_규칙'!$L$5:$L$76,0))</x:f>
        <x:v>3</x:v>
      </x:c>
      <x:c r="M498" s="10" t="n">
        <x:f>SUM(XLOOKUP('포켓몬_편집'!$AF498:$AN498,'분류_규칙'!$A$5:$A$76,'분류_규칙'!$M$5:$M$76,0))</x:f>
        <x:v>0</x:v>
      </x:c>
      <x:c r="N498" s="10" t="n">
        <x:f>SUM(XLOOKUP('포켓몬_편집'!$AF498:$AN498,'분류_규칙'!$A$5:$A$76,'분류_규칙'!$N$5:$N$76,0))</x:f>
        <x:v>0</x:v>
      </x:c>
      <x:c r="O498" s="10" t="n">
        <x:f>SUM(XLOOKUP('포켓몬_편집'!$AF498:$AN498,'분류_규칙'!$A$5:$A$76,'분류_규칙'!$O$5:$O$76,0))</x:f>
        <x:v>2</x:v>
      </x:c>
      <x:c r="P498" s="10" t="n">
        <x:f>SUM(XLOOKUP('포켓몬_편집'!$AF498:$AN498,'분류_규칙'!$A$5:$A$76,'분류_규칙'!$P$5:$P$76,0))</x:f>
        <x:v>0</x:v>
      </x:c>
    </x:row>
    <x:row r="499" ht="22" customHeight="1">
      <x:c r="A499" s="5" t="n">
        <x:v>495</x:v>
      </x:c>
      <x:c r="B499" s="5" t="inlineStr">
        <x:is>
          <x:t xml:space="preserve">주리비얀</x:t>
        </x:is>
      </x:c>
      <x:c r="C499" s="5" t="inlineStr">
        <x:is>
          <x:t xml:space="preserve">snivy</x:t>
        </x:is>
      </x:c>
      <x:c r="D499" s="5" t="n">
        <x:v>5</x:v>
      </x:c>
      <x:c r="E499" s="10" t="n">
        <x:f>SUM(XLOOKUP('포켓몬_편집'!$AF499:$AN499,'분류_규칙'!$A$5:$A$76,'분류_규칙'!$E$5:$E$76,0))</x:f>
        <x:v>10</x:v>
      </x:c>
      <x:c r="F499" s="10" t="n">
        <x:f>SUM(XLOOKUP('포켓몬_편집'!$AF499:$AN499,'분류_규칙'!$A$5:$A$76,'분류_규칙'!$F$5:$F$76,0))</x:f>
        <x:v>7</x:v>
      </x:c>
      <x:c r="G499" s="10" t="n">
        <x:f>SUM(XLOOKUP('포켓몬_편집'!$AF499:$AN499,'분류_규칙'!$A$5:$A$76,'분류_규칙'!$G$5:$G$76,0))</x:f>
        <x:v>5</x:v>
      </x:c>
      <x:c r="H499" s="10" t="n">
        <x:f>SUM(XLOOKUP('포켓몬_편집'!$AF499:$AN499,'분류_규칙'!$A$5:$A$76,'분류_규칙'!$H$5:$H$76,0))</x:f>
        <x:v>5</x:v>
      </x:c>
      <x:c r="I499" s="10" t="n">
        <x:f>SUM(XLOOKUP('포켓몬_편집'!$AF499:$AN499,'분류_규칙'!$A$5:$A$76,'분류_규칙'!$I$5:$I$76,0))</x:f>
        <x:v>0</x:v>
      </x:c>
      <x:c r="J499" s="10" t="n">
        <x:f>SUM(XLOOKUP('포켓몬_편집'!$AF499:$AN499,'분류_규칙'!$A$5:$A$76,'분류_규칙'!$J$5:$J$76,0))</x:f>
        <x:v>2</x:v>
      </x:c>
      <x:c r="K499" s="10" t="n">
        <x:f>SUM(XLOOKUP('포켓몬_편집'!$AF499:$AN499,'분류_규칙'!$A$5:$A$76,'분류_규칙'!$K$5:$K$76,0))</x:f>
        <x:v>0</x:v>
      </x:c>
      <x:c r="L499" s="10" t="n">
        <x:f>SUM(XLOOKUP('포켓몬_편집'!$AF499:$AN499,'분류_규칙'!$A$5:$A$76,'분류_규칙'!$L$5:$L$76,0))</x:f>
        <x:v>0</x:v>
      </x:c>
      <x:c r="M499" s="10" t="n">
        <x:f>SUM(XLOOKUP('포켓몬_편집'!$AF499:$AN499,'분류_규칙'!$A$5:$A$76,'분류_규칙'!$M$5:$M$76,0))</x:f>
        <x:v>0</x:v>
      </x:c>
      <x:c r="N499" s="10" t="n">
        <x:f>SUM(XLOOKUP('포켓몬_편집'!$AF499:$AN499,'분류_규칙'!$A$5:$A$76,'분류_규칙'!$N$5:$N$76,0))</x:f>
        <x:v>0</x:v>
      </x:c>
      <x:c r="O499" s="10" t="n">
        <x:f>SUM(XLOOKUP('포켓몬_편집'!$AF499:$AN499,'분류_규칙'!$A$5:$A$76,'분류_규칙'!$O$5:$O$76,0))</x:f>
        <x:v>2</x:v>
      </x:c>
      <x:c r="P499" s="10" t="n">
        <x:f>SUM(XLOOKUP('포켓몬_편집'!$AF499:$AN499,'분류_규칙'!$A$5:$A$76,'분류_규칙'!$P$5:$P$76,0))</x:f>
        <x:v>0</x:v>
      </x:c>
    </x:row>
    <x:row r="500" ht="22" customHeight="1">
      <x:c r="A500" s="5" t="n">
        <x:v>496</x:v>
      </x:c>
      <x:c r="B500" s="5" t="inlineStr">
        <x:is>
          <x:t xml:space="preserve">샤비</x:t>
        </x:is>
      </x:c>
      <x:c r="C500" s="5" t="inlineStr">
        <x:is>
          <x:t xml:space="preserve">servine</x:t>
        </x:is>
      </x:c>
      <x:c r="D500" s="5" t="n">
        <x:v>5</x:v>
      </x:c>
      <x:c r="E500" s="10" t="n">
        <x:f>SUM(XLOOKUP('포켓몬_편집'!$AF500:$AN500,'분류_규칙'!$A$5:$A$76,'분류_규칙'!$E$5:$E$76,0))</x:f>
        <x:v>10</x:v>
      </x:c>
      <x:c r="F500" s="10" t="n">
        <x:f>SUM(XLOOKUP('포켓몬_편집'!$AF500:$AN500,'분류_규칙'!$A$5:$A$76,'분류_규칙'!$F$5:$F$76,0))</x:f>
        <x:v>7</x:v>
      </x:c>
      <x:c r="G500" s="10" t="n">
        <x:f>SUM(XLOOKUP('포켓몬_편집'!$AF500:$AN500,'분류_규칙'!$A$5:$A$76,'분류_규칙'!$G$5:$G$76,0))</x:f>
        <x:v>5</x:v>
      </x:c>
      <x:c r="H500" s="10" t="n">
        <x:f>SUM(XLOOKUP('포켓몬_편집'!$AF500:$AN500,'분류_규칙'!$A$5:$A$76,'분류_규칙'!$H$5:$H$76,0))</x:f>
        <x:v>5</x:v>
      </x:c>
      <x:c r="I500" s="10" t="n">
        <x:f>SUM(XLOOKUP('포켓몬_편집'!$AF500:$AN500,'분류_규칙'!$A$5:$A$76,'분류_규칙'!$I$5:$I$76,0))</x:f>
        <x:v>0</x:v>
      </x:c>
      <x:c r="J500" s="10" t="n">
        <x:f>SUM(XLOOKUP('포켓몬_편집'!$AF500:$AN500,'분류_규칙'!$A$5:$A$76,'분류_규칙'!$J$5:$J$76,0))</x:f>
        <x:v>2</x:v>
      </x:c>
      <x:c r="K500" s="10" t="n">
        <x:f>SUM(XLOOKUP('포켓몬_편집'!$AF500:$AN500,'분류_규칙'!$A$5:$A$76,'분류_규칙'!$K$5:$K$76,0))</x:f>
        <x:v>0</x:v>
      </x:c>
      <x:c r="L500" s="10" t="n">
        <x:f>SUM(XLOOKUP('포켓몬_편집'!$AF500:$AN500,'분류_규칙'!$A$5:$A$76,'분류_규칙'!$L$5:$L$76,0))</x:f>
        <x:v>0</x:v>
      </x:c>
      <x:c r="M500" s="10" t="n">
        <x:f>SUM(XLOOKUP('포켓몬_편집'!$AF500:$AN500,'분류_규칙'!$A$5:$A$76,'분류_규칙'!$M$5:$M$76,0))</x:f>
        <x:v>0</x:v>
      </x:c>
      <x:c r="N500" s="10" t="n">
        <x:f>SUM(XLOOKUP('포켓몬_편집'!$AF500:$AN500,'분류_규칙'!$A$5:$A$76,'분류_규칙'!$N$5:$N$76,0))</x:f>
        <x:v>0</x:v>
      </x:c>
      <x:c r="O500" s="10" t="n">
        <x:f>SUM(XLOOKUP('포켓몬_편집'!$AF500:$AN500,'분류_규칙'!$A$5:$A$76,'분류_규칙'!$O$5:$O$76,0))</x:f>
        <x:v>2</x:v>
      </x:c>
      <x:c r="P500" s="10" t="n">
        <x:f>SUM(XLOOKUP('포켓몬_편집'!$AF500:$AN500,'분류_규칙'!$A$5:$A$76,'분류_규칙'!$P$5:$P$76,0))</x:f>
        <x:v>0</x:v>
      </x:c>
    </x:row>
    <x:row r="501" ht="22" customHeight="1">
      <x:c r="A501" s="5" t="n">
        <x:v>497</x:v>
      </x:c>
      <x:c r="B501" s="5" t="inlineStr">
        <x:is>
          <x:t xml:space="preserve">샤로다</x:t>
        </x:is>
      </x:c>
      <x:c r="C501" s="5" t="inlineStr">
        <x:is>
          <x:t xml:space="preserve">serperior</x:t>
        </x:is>
      </x:c>
      <x:c r="D501" s="5" t="n">
        <x:v>5</x:v>
      </x:c>
      <x:c r="E501" s="10" t="n">
        <x:f>SUM(XLOOKUP('포켓몬_편집'!$AF501:$AN501,'분류_규칙'!$A$5:$A$76,'분류_규칙'!$E$5:$E$76,0))</x:f>
        <x:v>10</x:v>
      </x:c>
      <x:c r="F501" s="10" t="n">
        <x:f>SUM(XLOOKUP('포켓몬_편집'!$AF501:$AN501,'분류_규칙'!$A$5:$A$76,'분류_규칙'!$F$5:$F$76,0))</x:f>
        <x:v>7</x:v>
      </x:c>
      <x:c r="G501" s="10" t="n">
        <x:f>SUM(XLOOKUP('포켓몬_편집'!$AF501:$AN501,'분류_규칙'!$A$5:$A$76,'분류_규칙'!$G$5:$G$76,0))</x:f>
        <x:v>5</x:v>
      </x:c>
      <x:c r="H501" s="10" t="n">
        <x:f>SUM(XLOOKUP('포켓몬_편집'!$AF501:$AN501,'분류_규칙'!$A$5:$A$76,'분류_규칙'!$H$5:$H$76,0))</x:f>
        <x:v>5</x:v>
      </x:c>
      <x:c r="I501" s="10" t="n">
        <x:f>SUM(XLOOKUP('포켓몬_편집'!$AF501:$AN501,'분류_규칙'!$A$5:$A$76,'분류_규칙'!$I$5:$I$76,0))</x:f>
        <x:v>0</x:v>
      </x:c>
      <x:c r="J501" s="10" t="n">
        <x:f>SUM(XLOOKUP('포켓몬_편집'!$AF501:$AN501,'분류_규칙'!$A$5:$A$76,'분류_규칙'!$J$5:$J$76,0))</x:f>
        <x:v>2</x:v>
      </x:c>
      <x:c r="K501" s="10" t="n">
        <x:f>SUM(XLOOKUP('포켓몬_편집'!$AF501:$AN501,'분류_규칙'!$A$5:$A$76,'분류_규칙'!$K$5:$K$76,0))</x:f>
        <x:v>0</x:v>
      </x:c>
      <x:c r="L501" s="10" t="n">
        <x:f>SUM(XLOOKUP('포켓몬_편집'!$AF501:$AN501,'분류_규칙'!$A$5:$A$76,'분류_규칙'!$L$5:$L$76,0))</x:f>
        <x:v>0</x:v>
      </x:c>
      <x:c r="M501" s="10" t="n">
        <x:f>SUM(XLOOKUP('포켓몬_편집'!$AF501:$AN501,'분류_규칙'!$A$5:$A$76,'분류_규칙'!$M$5:$M$76,0))</x:f>
        <x:v>0</x:v>
      </x:c>
      <x:c r="N501" s="10" t="n">
        <x:f>SUM(XLOOKUP('포켓몬_편집'!$AF501:$AN501,'분류_규칙'!$A$5:$A$76,'분류_규칙'!$N$5:$N$76,0))</x:f>
        <x:v>0</x:v>
      </x:c>
      <x:c r="O501" s="10" t="n">
        <x:f>SUM(XLOOKUP('포켓몬_편집'!$AF501:$AN501,'분류_규칙'!$A$5:$A$76,'분류_규칙'!$O$5:$O$76,0))</x:f>
        <x:v>2</x:v>
      </x:c>
      <x:c r="P501" s="10" t="n">
        <x:f>SUM(XLOOKUP('포켓몬_편집'!$AF501:$AN501,'분류_규칙'!$A$5:$A$76,'분류_규칙'!$P$5:$P$76,0))</x:f>
        <x:v>0</x:v>
      </x:c>
    </x:row>
    <x:row r="502" ht="22" customHeight="1">
      <x:c r="A502" s="5" t="n">
        <x:v>498</x:v>
      </x:c>
      <x:c r="B502" s="5" t="inlineStr">
        <x:is>
          <x:t xml:space="preserve">뚜꾸리</x:t>
        </x:is>
      </x:c>
      <x:c r="C502" s="5" t="inlineStr">
        <x:is>
          <x:t xml:space="preserve">tepig</x:t>
        </x:is>
      </x:c>
      <x:c r="D502" s="5" t="n">
        <x:v>5</x:v>
      </x:c>
      <x:c r="E502" s="10" t="n">
        <x:f>SUM(XLOOKUP('포켓몬_편집'!$AF502:$AN502,'분류_규칙'!$A$5:$A$76,'분류_규칙'!$E$5:$E$76,0))</x:f>
        <x:v>10</x:v>
      </x:c>
      <x:c r="F502" s="10" t="n">
        <x:f>SUM(XLOOKUP('포켓몬_편집'!$AF502:$AN502,'분류_규칙'!$A$5:$A$76,'분류_규칙'!$F$5:$F$76,0))</x:f>
        <x:v>7</x:v>
      </x:c>
      <x:c r="G502" s="10" t="n">
        <x:f>SUM(XLOOKUP('포켓몬_편집'!$AF502:$AN502,'분류_규칙'!$A$5:$A$76,'분류_규칙'!$G$5:$G$76,0))</x:f>
        <x:v>5</x:v>
      </x:c>
      <x:c r="H502" s="10" t="n">
        <x:f>SUM(XLOOKUP('포켓몬_편집'!$AF502:$AN502,'분류_규칙'!$A$5:$A$76,'분류_규칙'!$H$5:$H$76,0))</x:f>
        <x:v>5</x:v>
      </x:c>
      <x:c r="I502" s="10" t="n">
        <x:f>SUM(XLOOKUP('포켓몬_편집'!$AF502:$AN502,'분류_규칙'!$A$5:$A$76,'분류_규칙'!$I$5:$I$76,0))</x:f>
        <x:v>0</x:v>
      </x:c>
      <x:c r="J502" s="10" t="n">
        <x:f>SUM(XLOOKUP('포켓몬_편집'!$AF502:$AN502,'분류_규칙'!$A$5:$A$76,'분류_규칙'!$J$5:$J$76,0))</x:f>
        <x:v>2</x:v>
      </x:c>
      <x:c r="K502" s="10" t="n">
        <x:f>SUM(XLOOKUP('포켓몬_편집'!$AF502:$AN502,'분류_규칙'!$A$5:$A$76,'분류_규칙'!$K$5:$K$76,0))</x:f>
        <x:v>0</x:v>
      </x:c>
      <x:c r="L502" s="10" t="n">
        <x:f>SUM(XLOOKUP('포켓몬_편집'!$AF502:$AN502,'분류_규칙'!$A$5:$A$76,'분류_규칙'!$L$5:$L$76,0))</x:f>
        <x:v>0</x:v>
      </x:c>
      <x:c r="M502" s="10" t="n">
        <x:f>SUM(XLOOKUP('포켓몬_편집'!$AF502:$AN502,'분류_규칙'!$A$5:$A$76,'분류_규칙'!$M$5:$M$76,0))</x:f>
        <x:v>0</x:v>
      </x:c>
      <x:c r="N502" s="10" t="n">
        <x:f>SUM(XLOOKUP('포켓몬_편집'!$AF502:$AN502,'분류_규칙'!$A$5:$A$76,'분류_규칙'!$N$5:$N$76,0))</x:f>
        <x:v>0</x:v>
      </x:c>
      <x:c r="O502" s="10" t="n">
        <x:f>SUM(XLOOKUP('포켓몬_편집'!$AF502:$AN502,'분류_규칙'!$A$5:$A$76,'분류_규칙'!$O$5:$O$76,0))</x:f>
        <x:v>2</x:v>
      </x:c>
      <x:c r="P502" s="10" t="n">
        <x:f>SUM(XLOOKUP('포켓몬_편집'!$AF502:$AN502,'분류_규칙'!$A$5:$A$76,'분류_규칙'!$P$5:$P$76,0))</x:f>
        <x:v>0</x:v>
      </x:c>
    </x:row>
    <x:row r="503" ht="22" customHeight="1">
      <x:c r="A503" s="5" t="n">
        <x:v>499</x:v>
      </x:c>
      <x:c r="B503" s="5" t="inlineStr">
        <x:is>
          <x:t xml:space="preserve">차오꿀</x:t>
        </x:is>
      </x:c>
      <x:c r="C503" s="5" t="inlineStr">
        <x:is>
          <x:t xml:space="preserve">pignite</x:t>
        </x:is>
      </x:c>
      <x:c r="D503" s="5" t="n">
        <x:v>5</x:v>
      </x:c>
      <x:c r="E503" s="10" t="n">
        <x:f>SUM(XLOOKUP('포켓몬_편집'!$AF503:$AN503,'분류_규칙'!$A$5:$A$76,'분류_규칙'!$E$5:$E$76,0))</x:f>
        <x:v>10</x:v>
      </x:c>
      <x:c r="F503" s="10" t="n">
        <x:f>SUM(XLOOKUP('포켓몬_편집'!$AF503:$AN503,'분류_규칙'!$A$5:$A$76,'분류_규칙'!$F$5:$F$76,0))</x:f>
        <x:v>7</x:v>
      </x:c>
      <x:c r="G503" s="10" t="n">
        <x:f>SUM(XLOOKUP('포켓몬_편집'!$AF503:$AN503,'분류_규칙'!$A$5:$A$76,'분류_규칙'!$G$5:$G$76,0))</x:f>
        <x:v>5</x:v>
      </x:c>
      <x:c r="H503" s="10" t="n">
        <x:f>SUM(XLOOKUP('포켓몬_편집'!$AF503:$AN503,'분류_규칙'!$A$5:$A$76,'분류_규칙'!$H$5:$H$76,0))</x:f>
        <x:v>5</x:v>
      </x:c>
      <x:c r="I503" s="10" t="n">
        <x:f>SUM(XLOOKUP('포켓몬_편집'!$AF503:$AN503,'분류_규칙'!$A$5:$A$76,'분류_규칙'!$I$5:$I$76,0))</x:f>
        <x:v>0</x:v>
      </x:c>
      <x:c r="J503" s="10" t="n">
        <x:f>SUM(XLOOKUP('포켓몬_편집'!$AF503:$AN503,'분류_규칙'!$A$5:$A$76,'분류_규칙'!$J$5:$J$76,0))</x:f>
        <x:v>2</x:v>
      </x:c>
      <x:c r="K503" s="10" t="n">
        <x:f>SUM(XLOOKUP('포켓몬_편집'!$AF503:$AN503,'분류_규칙'!$A$5:$A$76,'분류_규칙'!$K$5:$K$76,0))</x:f>
        <x:v>0</x:v>
      </x:c>
      <x:c r="L503" s="10" t="n">
        <x:f>SUM(XLOOKUP('포켓몬_편집'!$AF503:$AN503,'분류_규칙'!$A$5:$A$76,'분류_규칙'!$L$5:$L$76,0))</x:f>
        <x:v>0</x:v>
      </x:c>
      <x:c r="M503" s="10" t="n">
        <x:f>SUM(XLOOKUP('포켓몬_편집'!$AF503:$AN503,'분류_규칙'!$A$5:$A$76,'분류_규칙'!$M$5:$M$76,0))</x:f>
        <x:v>0</x:v>
      </x:c>
      <x:c r="N503" s="10" t="n">
        <x:f>SUM(XLOOKUP('포켓몬_편집'!$AF503:$AN503,'분류_규칙'!$A$5:$A$76,'분류_규칙'!$N$5:$N$76,0))</x:f>
        <x:v>0</x:v>
      </x:c>
      <x:c r="O503" s="10" t="n">
        <x:f>SUM(XLOOKUP('포켓몬_편집'!$AF503:$AN503,'분류_규칙'!$A$5:$A$76,'분류_규칙'!$O$5:$O$76,0))</x:f>
        <x:v>2</x:v>
      </x:c>
      <x:c r="P503" s="10" t="n">
        <x:f>SUM(XLOOKUP('포켓몬_편집'!$AF503:$AN503,'분류_규칙'!$A$5:$A$76,'분류_규칙'!$P$5:$P$76,0))</x:f>
        <x:v>0</x:v>
      </x:c>
    </x:row>
    <x:row r="504" ht="22" customHeight="1">
      <x:c r="A504" s="5" t="n">
        <x:v>500</x:v>
      </x:c>
      <x:c r="B504" s="5" t="inlineStr">
        <x:is>
          <x:t xml:space="preserve">염무왕</x:t>
        </x:is>
      </x:c>
      <x:c r="C504" s="5" t="inlineStr">
        <x:is>
          <x:t xml:space="preserve">emboar</x:t>
        </x:is>
      </x:c>
      <x:c r="D504" s="5" t="n">
        <x:v>5</x:v>
      </x:c>
      <x:c r="E504" s="10" t="n">
        <x:f>SUM(XLOOKUP('포켓몬_편집'!$AF504:$AN504,'분류_규칙'!$A$5:$A$76,'분류_규칙'!$E$5:$E$76,0))</x:f>
        <x:v>10</x:v>
      </x:c>
      <x:c r="F504" s="10" t="n">
        <x:f>SUM(XLOOKUP('포켓몬_편집'!$AF504:$AN504,'분류_규칙'!$A$5:$A$76,'분류_규칙'!$F$5:$F$76,0))</x:f>
        <x:v>7</x:v>
      </x:c>
      <x:c r="G504" s="10" t="n">
        <x:f>SUM(XLOOKUP('포켓몬_편집'!$AF504:$AN504,'분류_규칙'!$A$5:$A$76,'분류_규칙'!$G$5:$G$76,0))</x:f>
        <x:v>5</x:v>
      </x:c>
      <x:c r="H504" s="10" t="n">
        <x:f>SUM(XLOOKUP('포켓몬_편집'!$AF504:$AN504,'분류_규칙'!$A$5:$A$76,'분류_규칙'!$H$5:$H$76,0))</x:f>
        <x:v>5</x:v>
      </x:c>
      <x:c r="I504" s="10" t="n">
        <x:f>SUM(XLOOKUP('포켓몬_편집'!$AF504:$AN504,'분류_규칙'!$A$5:$A$76,'분류_규칙'!$I$5:$I$76,0))</x:f>
        <x:v>0</x:v>
      </x:c>
      <x:c r="J504" s="10" t="n">
        <x:f>SUM(XLOOKUP('포켓몬_편집'!$AF504:$AN504,'분류_규칙'!$A$5:$A$76,'분류_규칙'!$J$5:$J$76,0))</x:f>
        <x:v>2</x:v>
      </x:c>
      <x:c r="K504" s="10" t="n">
        <x:f>SUM(XLOOKUP('포켓몬_편집'!$AF504:$AN504,'분류_규칙'!$A$5:$A$76,'분류_규칙'!$K$5:$K$76,0))</x:f>
        <x:v>0</x:v>
      </x:c>
      <x:c r="L504" s="10" t="n">
        <x:f>SUM(XLOOKUP('포켓몬_편집'!$AF504:$AN504,'분류_규칙'!$A$5:$A$76,'분류_규칙'!$L$5:$L$76,0))</x:f>
        <x:v>0</x:v>
      </x:c>
      <x:c r="M504" s="10" t="n">
        <x:f>SUM(XLOOKUP('포켓몬_편집'!$AF504:$AN504,'분류_규칙'!$A$5:$A$76,'분류_규칙'!$M$5:$M$76,0))</x:f>
        <x:v>0</x:v>
      </x:c>
      <x:c r="N504" s="10" t="n">
        <x:f>SUM(XLOOKUP('포켓몬_편집'!$AF504:$AN504,'분류_규칙'!$A$5:$A$76,'분류_규칙'!$N$5:$N$76,0))</x:f>
        <x:v>0</x:v>
      </x:c>
      <x:c r="O504" s="10" t="n">
        <x:f>SUM(XLOOKUP('포켓몬_편집'!$AF504:$AN504,'분류_규칙'!$A$5:$A$76,'분류_규칙'!$O$5:$O$76,0))</x:f>
        <x:v>2</x:v>
      </x:c>
      <x:c r="P504" s="10" t="n">
        <x:f>SUM(XLOOKUP('포켓몬_편집'!$AF504:$AN504,'분류_규칙'!$A$5:$A$76,'분류_규칙'!$P$5:$P$76,0))</x:f>
        <x:v>0</x:v>
      </x:c>
    </x:row>
    <x:row r="505" ht="22" customHeight="1">
      <x:c r="A505" s="5" t="n">
        <x:v>501</x:v>
      </x:c>
      <x:c r="B505" s="5" t="inlineStr">
        <x:is>
          <x:t xml:space="preserve">수댕이</x:t>
        </x:is>
      </x:c>
      <x:c r="C505" s="5" t="inlineStr">
        <x:is>
          <x:t xml:space="preserve">oshawott</x:t>
        </x:is>
      </x:c>
      <x:c r="D505" s="5" t="n">
        <x:v>5</x:v>
      </x:c>
      <x:c r="E505" s="10" t="n">
        <x:f>SUM(XLOOKUP('포켓몬_편집'!$AF505:$AN505,'분류_규칙'!$A$5:$A$76,'분류_규칙'!$E$5:$E$76,0))</x:f>
        <x:v>0</x:v>
      </x:c>
      <x:c r="F505" s="10" t="n">
        <x:f>SUM(XLOOKUP('포켓몬_편집'!$AF505:$AN505,'분류_규칙'!$A$5:$A$76,'분류_규칙'!$F$5:$F$76,0))</x:f>
        <x:v>0</x:v>
      </x:c>
      <x:c r="G505" s="10" t="n">
        <x:f>SUM(XLOOKUP('포켓몬_편집'!$AF505:$AN505,'분류_규칙'!$A$5:$A$76,'분류_규칙'!$G$5:$G$76,0))</x:f>
        <x:v>0</x:v>
      </x:c>
      <x:c r="H505" s="10" t="n">
        <x:f>SUM(XLOOKUP('포켓몬_편집'!$AF505:$AN505,'분류_규칙'!$A$5:$A$76,'분류_규칙'!$H$5:$H$76,0))</x:f>
        <x:v>0</x:v>
      </x:c>
      <x:c r="I505" s="10" t="n">
        <x:f>SUM(XLOOKUP('포켓몬_편집'!$AF505:$AN505,'분류_규칙'!$A$5:$A$76,'분류_규칙'!$I$5:$I$76,0))</x:f>
        <x:v>0</x:v>
      </x:c>
      <x:c r="J505" s="10" t="n">
        <x:f>SUM(XLOOKUP('포켓몬_편집'!$AF505:$AN505,'분류_규칙'!$A$5:$A$76,'분류_규칙'!$J$5:$J$76,0))</x:f>
        <x:v>3</x:v>
      </x:c>
      <x:c r="K505" s="10" t="n">
        <x:f>SUM(XLOOKUP('포켓몬_편집'!$AF505:$AN505,'분류_규칙'!$A$5:$A$76,'분류_규칙'!$K$5:$K$76,0))</x:f>
        <x:v>0</x:v>
      </x:c>
      <x:c r="L505" s="10" t="n">
        <x:f>SUM(XLOOKUP('포켓몬_편집'!$AF505:$AN505,'분류_규칙'!$A$5:$A$76,'분류_규칙'!$L$5:$L$76,0))</x:f>
        <x:v>30</x:v>
      </x:c>
      <x:c r="M505" s="10" t="n">
        <x:f>SUM(XLOOKUP('포켓몬_편집'!$AF505:$AN505,'분류_규칙'!$A$5:$A$76,'분류_규칙'!$M$5:$M$76,0))</x:f>
        <x:v>0</x:v>
      </x:c>
      <x:c r="N505" s="10" t="n">
        <x:f>SUM(XLOOKUP('포켓몬_편집'!$AF505:$AN505,'분류_규칙'!$A$5:$A$76,'분류_규칙'!$N$5:$N$76,0))</x:f>
        <x:v>0</x:v>
      </x:c>
      <x:c r="O505" s="10" t="n">
        <x:f>SUM(XLOOKUP('포켓몬_편집'!$AF505:$AN505,'분류_규칙'!$A$5:$A$76,'분류_규칙'!$O$5:$O$76,0))</x:f>
        <x:v>0</x:v>
      </x:c>
      <x:c r="P505" s="10" t="n">
        <x:f>SUM(XLOOKUP('포켓몬_편집'!$AF505:$AN505,'분류_규칙'!$A$5:$A$76,'분류_규칙'!$P$5:$P$76,0))</x:f>
        <x:v>0</x:v>
      </x:c>
    </x:row>
    <x:row r="506" ht="22" customHeight="1">
      <x:c r="A506" s="5" t="n">
        <x:v>502</x:v>
      </x:c>
      <x:c r="B506" s="5" t="inlineStr">
        <x:is>
          <x:t xml:space="preserve">쌍검자비</x:t>
        </x:is>
      </x:c>
      <x:c r="C506" s="5" t="inlineStr">
        <x:is>
          <x:t xml:space="preserve">dewott</x:t>
        </x:is>
      </x:c>
      <x:c r="D506" s="5" t="n">
        <x:v>5</x:v>
      </x:c>
      <x:c r="E506" s="10" t="n">
        <x:f>SUM(XLOOKUP('포켓몬_편집'!$AF506:$AN506,'분류_규칙'!$A$5:$A$76,'분류_규칙'!$E$5:$E$76,0))</x:f>
        <x:v>0</x:v>
      </x:c>
      <x:c r="F506" s="10" t="n">
        <x:f>SUM(XLOOKUP('포켓몬_편집'!$AF506:$AN506,'분류_규칙'!$A$5:$A$76,'분류_규칙'!$F$5:$F$76,0))</x:f>
        <x:v>0</x:v>
      </x:c>
      <x:c r="G506" s="10" t="n">
        <x:f>SUM(XLOOKUP('포켓몬_편집'!$AF506:$AN506,'분류_규칙'!$A$5:$A$76,'분류_규칙'!$G$5:$G$76,0))</x:f>
        <x:v>0</x:v>
      </x:c>
      <x:c r="H506" s="10" t="n">
        <x:f>SUM(XLOOKUP('포켓몬_편집'!$AF506:$AN506,'분류_규칙'!$A$5:$A$76,'분류_규칙'!$H$5:$H$76,0))</x:f>
        <x:v>0</x:v>
      </x:c>
      <x:c r="I506" s="10" t="n">
        <x:f>SUM(XLOOKUP('포켓몬_편집'!$AF506:$AN506,'분류_규칙'!$A$5:$A$76,'분류_규칙'!$I$5:$I$76,0))</x:f>
        <x:v>0</x:v>
      </x:c>
      <x:c r="J506" s="10" t="n">
        <x:f>SUM(XLOOKUP('포켓몬_편집'!$AF506:$AN506,'분류_규칙'!$A$5:$A$76,'분류_규칙'!$J$5:$J$76,0))</x:f>
        <x:v>3</x:v>
      </x:c>
      <x:c r="K506" s="10" t="n">
        <x:f>SUM(XLOOKUP('포켓몬_편집'!$AF506:$AN506,'분류_규칙'!$A$5:$A$76,'분류_규칙'!$K$5:$K$76,0))</x:f>
        <x:v>0</x:v>
      </x:c>
      <x:c r="L506" s="10" t="n">
        <x:f>SUM(XLOOKUP('포켓몬_편집'!$AF506:$AN506,'분류_규칙'!$A$5:$A$76,'분류_규칙'!$L$5:$L$76,0))</x:f>
        <x:v>30</x:v>
      </x:c>
      <x:c r="M506" s="10" t="n">
        <x:f>SUM(XLOOKUP('포켓몬_편집'!$AF506:$AN506,'분류_규칙'!$A$5:$A$76,'분류_규칙'!$M$5:$M$76,0))</x:f>
        <x:v>0</x:v>
      </x:c>
      <x:c r="N506" s="10" t="n">
        <x:f>SUM(XLOOKUP('포켓몬_편집'!$AF506:$AN506,'분류_규칙'!$A$5:$A$76,'분류_규칙'!$N$5:$N$76,0))</x:f>
        <x:v>0</x:v>
      </x:c>
      <x:c r="O506" s="10" t="n">
        <x:f>SUM(XLOOKUP('포켓몬_편집'!$AF506:$AN506,'분류_규칙'!$A$5:$A$76,'분류_규칙'!$O$5:$O$76,0))</x:f>
        <x:v>0</x:v>
      </x:c>
      <x:c r="P506" s="10" t="n">
        <x:f>SUM(XLOOKUP('포켓몬_편집'!$AF506:$AN506,'분류_규칙'!$A$5:$A$76,'분류_규칙'!$P$5:$P$76,0))</x:f>
        <x:v>0</x:v>
      </x:c>
    </x:row>
    <x:row r="507" ht="22" customHeight="1">
      <x:c r="A507" s="5" t="n">
        <x:v>503</x:v>
      </x:c>
      <x:c r="B507" s="5" t="inlineStr">
        <x:is>
          <x:t xml:space="preserve">대검귀</x:t>
        </x:is>
      </x:c>
      <x:c r="C507" s="5" t="inlineStr">
        <x:is>
          <x:t xml:space="preserve">samurott</x:t>
        </x:is>
      </x:c>
      <x:c r="D507" s="5" t="n">
        <x:v>5</x:v>
      </x:c>
      <x:c r="E507" s="10" t="n">
        <x:f>SUM(XLOOKUP('포켓몬_편집'!$AF507:$AN507,'분류_규칙'!$A$5:$A$76,'분류_규칙'!$E$5:$E$76,0))</x:f>
        <x:v>0</x:v>
      </x:c>
      <x:c r="F507" s="10" t="n">
        <x:f>SUM(XLOOKUP('포켓몬_편집'!$AF507:$AN507,'분류_규칙'!$A$5:$A$76,'분류_규칙'!$F$5:$F$76,0))</x:f>
        <x:v>0</x:v>
      </x:c>
      <x:c r="G507" s="10" t="n">
        <x:f>SUM(XLOOKUP('포켓몬_편집'!$AF507:$AN507,'분류_규칙'!$A$5:$A$76,'분류_규칙'!$G$5:$G$76,0))</x:f>
        <x:v>0</x:v>
      </x:c>
      <x:c r="H507" s="10" t="n">
        <x:f>SUM(XLOOKUP('포켓몬_편집'!$AF507:$AN507,'분류_규칙'!$A$5:$A$76,'분류_규칙'!$H$5:$H$76,0))</x:f>
        <x:v>0</x:v>
      </x:c>
      <x:c r="I507" s="10" t="n">
        <x:f>SUM(XLOOKUP('포켓몬_편집'!$AF507:$AN507,'분류_규칙'!$A$5:$A$76,'분류_규칙'!$I$5:$I$76,0))</x:f>
        <x:v>0</x:v>
      </x:c>
      <x:c r="J507" s="10" t="n">
        <x:f>SUM(XLOOKUP('포켓몬_편집'!$AF507:$AN507,'분류_규칙'!$A$5:$A$76,'분류_규칙'!$J$5:$J$76,0))</x:f>
        <x:v>3</x:v>
      </x:c>
      <x:c r="K507" s="10" t="n">
        <x:f>SUM(XLOOKUP('포켓몬_편집'!$AF507:$AN507,'분류_규칙'!$A$5:$A$76,'분류_규칙'!$K$5:$K$76,0))</x:f>
        <x:v>0</x:v>
      </x:c>
      <x:c r="L507" s="10" t="n">
        <x:f>SUM(XLOOKUP('포켓몬_편집'!$AF507:$AN507,'분류_규칙'!$A$5:$A$76,'분류_규칙'!$L$5:$L$76,0))</x:f>
        <x:v>30</x:v>
      </x:c>
      <x:c r="M507" s="10" t="n">
        <x:f>SUM(XLOOKUP('포켓몬_편집'!$AF507:$AN507,'분류_규칙'!$A$5:$A$76,'분류_규칙'!$M$5:$M$76,0))</x:f>
        <x:v>0</x:v>
      </x:c>
      <x:c r="N507" s="10" t="n">
        <x:f>SUM(XLOOKUP('포켓몬_편집'!$AF507:$AN507,'분류_규칙'!$A$5:$A$76,'분류_규칙'!$N$5:$N$76,0))</x:f>
        <x:v>0</x:v>
      </x:c>
      <x:c r="O507" s="10" t="n">
        <x:f>SUM(XLOOKUP('포켓몬_편집'!$AF507:$AN507,'분류_규칙'!$A$5:$A$76,'분류_규칙'!$O$5:$O$76,0))</x:f>
        <x:v>0</x:v>
      </x:c>
      <x:c r="P507" s="10" t="n">
        <x:f>SUM(XLOOKUP('포켓몬_편집'!$AF507:$AN507,'분류_규칙'!$A$5:$A$76,'분류_규칙'!$P$5:$P$76,0))</x:f>
        <x:v>0</x:v>
      </x:c>
    </x:row>
    <x:row r="508" ht="22" customHeight="1">
      <x:c r="A508" s="5" t="n">
        <x:v>504</x:v>
      </x:c>
      <x:c r="B508" s="5" t="inlineStr">
        <x:is>
          <x:t xml:space="preserve">보르쥐</x:t>
        </x:is>
      </x:c>
      <x:c r="C508" s="5" t="inlineStr">
        <x:is>
          <x:t xml:space="preserve">patrat</x:t>
        </x:is>
      </x:c>
      <x:c r="D508" s="5" t="n">
        <x:v>5</x:v>
      </x:c>
      <x:c r="E508" s="10" t="n">
        <x:f>SUM(XLOOKUP('포켓몬_편집'!$AF508:$AN508,'분류_규칙'!$A$5:$A$76,'분류_규칙'!$E$5:$E$76,0))</x:f>
        <x:v>10</x:v>
      </x:c>
      <x:c r="F508" s="10" t="n">
        <x:f>SUM(XLOOKUP('포켓몬_편집'!$AF508:$AN508,'분류_규칙'!$A$5:$A$76,'분류_규칙'!$F$5:$F$76,0))</x:f>
        <x:v>7</x:v>
      </x:c>
      <x:c r="G508" s="10" t="n">
        <x:f>SUM(XLOOKUP('포켓몬_편집'!$AF508:$AN508,'분류_규칙'!$A$5:$A$76,'분류_규칙'!$G$5:$G$76,0))</x:f>
        <x:v>5</x:v>
      </x:c>
      <x:c r="H508" s="10" t="n">
        <x:f>SUM(XLOOKUP('포켓몬_편집'!$AF508:$AN508,'분류_규칙'!$A$5:$A$76,'분류_규칙'!$H$5:$H$76,0))</x:f>
        <x:v>5</x:v>
      </x:c>
      <x:c r="I508" s="10" t="n">
        <x:f>SUM(XLOOKUP('포켓몬_편집'!$AF508:$AN508,'분류_규칙'!$A$5:$A$76,'분류_규칙'!$I$5:$I$76,0))</x:f>
        <x:v>0</x:v>
      </x:c>
      <x:c r="J508" s="10" t="n">
        <x:f>SUM(XLOOKUP('포켓몬_편집'!$AF508:$AN508,'분류_규칙'!$A$5:$A$76,'분류_규칙'!$J$5:$J$76,0))</x:f>
        <x:v>2</x:v>
      </x:c>
      <x:c r="K508" s="10" t="n">
        <x:f>SUM(XLOOKUP('포켓몬_편집'!$AF508:$AN508,'분류_규칙'!$A$5:$A$76,'분류_규칙'!$K$5:$K$76,0))</x:f>
        <x:v>0</x:v>
      </x:c>
      <x:c r="L508" s="10" t="n">
        <x:f>SUM(XLOOKUP('포켓몬_편집'!$AF508:$AN508,'분류_규칙'!$A$5:$A$76,'분류_규칙'!$L$5:$L$76,0))</x:f>
        <x:v>0</x:v>
      </x:c>
      <x:c r="M508" s="10" t="n">
        <x:f>SUM(XLOOKUP('포켓몬_편집'!$AF508:$AN508,'분류_규칙'!$A$5:$A$76,'분류_규칙'!$M$5:$M$76,0))</x:f>
        <x:v>0</x:v>
      </x:c>
      <x:c r="N508" s="10" t="n">
        <x:f>SUM(XLOOKUP('포켓몬_편집'!$AF508:$AN508,'분류_규칙'!$A$5:$A$76,'분류_규칙'!$N$5:$N$76,0))</x:f>
        <x:v>0</x:v>
      </x:c>
      <x:c r="O508" s="10" t="n">
        <x:f>SUM(XLOOKUP('포켓몬_편집'!$AF508:$AN508,'분류_규칙'!$A$5:$A$76,'분류_규칙'!$O$5:$O$76,0))</x:f>
        <x:v>2</x:v>
      </x:c>
      <x:c r="P508" s="10" t="n">
        <x:f>SUM(XLOOKUP('포켓몬_편집'!$AF508:$AN508,'분류_규칙'!$A$5:$A$76,'분류_규칙'!$P$5:$P$76,0))</x:f>
        <x:v>0</x:v>
      </x:c>
    </x:row>
    <x:row r="509" ht="22" customHeight="1">
      <x:c r="A509" s="5" t="n">
        <x:v>505</x:v>
      </x:c>
      <x:c r="B509" s="5" t="inlineStr">
        <x:is>
          <x:t xml:space="preserve">보르그</x:t>
        </x:is>
      </x:c>
      <x:c r="C509" s="5" t="inlineStr">
        <x:is>
          <x:t xml:space="preserve">watchog</x:t>
        </x:is>
      </x:c>
      <x:c r="D509" s="5" t="n">
        <x:v>5</x:v>
      </x:c>
      <x:c r="E509" s="10" t="n">
        <x:f>SUM(XLOOKUP('포켓몬_편집'!$AF509:$AN509,'분류_규칙'!$A$5:$A$76,'분류_규칙'!$E$5:$E$76,0))</x:f>
        <x:v>10</x:v>
      </x:c>
      <x:c r="F509" s="10" t="n">
        <x:f>SUM(XLOOKUP('포켓몬_편집'!$AF509:$AN509,'분류_규칙'!$A$5:$A$76,'분류_규칙'!$F$5:$F$76,0))</x:f>
        <x:v>7</x:v>
      </x:c>
      <x:c r="G509" s="10" t="n">
        <x:f>SUM(XLOOKUP('포켓몬_편집'!$AF509:$AN509,'분류_규칙'!$A$5:$A$76,'분류_규칙'!$G$5:$G$76,0))</x:f>
        <x:v>5</x:v>
      </x:c>
      <x:c r="H509" s="10" t="n">
        <x:f>SUM(XLOOKUP('포켓몬_편집'!$AF509:$AN509,'분류_규칙'!$A$5:$A$76,'분류_규칙'!$H$5:$H$76,0))</x:f>
        <x:v>5</x:v>
      </x:c>
      <x:c r="I509" s="10" t="n">
        <x:f>SUM(XLOOKUP('포켓몬_편집'!$AF509:$AN509,'분류_규칙'!$A$5:$A$76,'분류_규칙'!$I$5:$I$76,0))</x:f>
        <x:v>0</x:v>
      </x:c>
      <x:c r="J509" s="10" t="n">
        <x:f>SUM(XLOOKUP('포켓몬_편집'!$AF509:$AN509,'분류_규칙'!$A$5:$A$76,'분류_규칙'!$J$5:$J$76,0))</x:f>
        <x:v>2</x:v>
      </x:c>
      <x:c r="K509" s="10" t="n">
        <x:f>SUM(XLOOKUP('포켓몬_편집'!$AF509:$AN509,'분류_규칙'!$A$5:$A$76,'분류_규칙'!$K$5:$K$76,0))</x:f>
        <x:v>0</x:v>
      </x:c>
      <x:c r="L509" s="10" t="n">
        <x:f>SUM(XLOOKUP('포켓몬_편집'!$AF509:$AN509,'분류_규칙'!$A$5:$A$76,'분류_규칙'!$L$5:$L$76,0))</x:f>
        <x:v>0</x:v>
      </x:c>
      <x:c r="M509" s="10" t="n">
        <x:f>SUM(XLOOKUP('포켓몬_편집'!$AF509:$AN509,'분류_규칙'!$A$5:$A$76,'분류_규칙'!$M$5:$M$76,0))</x:f>
        <x:v>0</x:v>
      </x:c>
      <x:c r="N509" s="10" t="n">
        <x:f>SUM(XLOOKUP('포켓몬_편집'!$AF509:$AN509,'분류_규칙'!$A$5:$A$76,'분류_규칙'!$N$5:$N$76,0))</x:f>
        <x:v>0</x:v>
      </x:c>
      <x:c r="O509" s="10" t="n">
        <x:f>SUM(XLOOKUP('포켓몬_편집'!$AF509:$AN509,'분류_규칙'!$A$5:$A$76,'분류_규칙'!$O$5:$O$76,0))</x:f>
        <x:v>2</x:v>
      </x:c>
      <x:c r="P509" s="10" t="n">
        <x:f>SUM(XLOOKUP('포켓몬_편집'!$AF509:$AN509,'분류_규칙'!$A$5:$A$76,'분류_규칙'!$P$5:$P$76,0))</x:f>
        <x:v>0</x:v>
      </x:c>
    </x:row>
    <x:row r="510" ht="22" customHeight="1">
      <x:c r="A510" s="5" t="n">
        <x:v>506</x:v>
      </x:c>
      <x:c r="B510" s="5" t="inlineStr">
        <x:is>
          <x:t xml:space="preserve">요테리</x:t>
        </x:is>
      </x:c>
      <x:c r="C510" s="5" t="inlineStr">
        <x:is>
          <x:t xml:space="preserve">lillipup</x:t>
        </x:is>
      </x:c>
      <x:c r="D510" s="5" t="n">
        <x:v>5</x:v>
      </x:c>
      <x:c r="E510" s="10" t="n">
        <x:f>SUM(XLOOKUP('포켓몬_편집'!$AF510:$AN510,'분류_규칙'!$A$5:$A$76,'분류_규칙'!$E$5:$E$76,0))</x:f>
        <x:v>10</x:v>
      </x:c>
      <x:c r="F510" s="10" t="n">
        <x:f>SUM(XLOOKUP('포켓몬_편집'!$AF510:$AN510,'분류_규칙'!$A$5:$A$76,'분류_규칙'!$F$5:$F$76,0))</x:f>
        <x:v>7</x:v>
      </x:c>
      <x:c r="G510" s="10" t="n">
        <x:f>SUM(XLOOKUP('포켓몬_편집'!$AF510:$AN510,'분류_규칙'!$A$5:$A$76,'분류_규칙'!$G$5:$G$76,0))</x:f>
        <x:v>5</x:v>
      </x:c>
      <x:c r="H510" s="10" t="n">
        <x:f>SUM(XLOOKUP('포켓몬_편집'!$AF510:$AN510,'분류_규칙'!$A$5:$A$76,'분류_규칙'!$H$5:$H$76,0))</x:f>
        <x:v>5</x:v>
      </x:c>
      <x:c r="I510" s="10" t="n">
        <x:f>SUM(XLOOKUP('포켓몬_편집'!$AF510:$AN510,'분류_규칙'!$A$5:$A$76,'분류_규칙'!$I$5:$I$76,0))</x:f>
        <x:v>0</x:v>
      </x:c>
      <x:c r="J510" s="10" t="n">
        <x:f>SUM(XLOOKUP('포켓몬_편집'!$AF510:$AN510,'분류_규칙'!$A$5:$A$76,'분류_규칙'!$J$5:$J$76,0))</x:f>
        <x:v>2</x:v>
      </x:c>
      <x:c r="K510" s="10" t="n">
        <x:f>SUM(XLOOKUP('포켓몬_편집'!$AF510:$AN510,'분류_규칙'!$A$5:$A$76,'분류_규칙'!$K$5:$K$76,0))</x:f>
        <x:v>0</x:v>
      </x:c>
      <x:c r="L510" s="10" t="n">
        <x:f>SUM(XLOOKUP('포켓몬_편집'!$AF510:$AN510,'분류_규칙'!$A$5:$A$76,'분류_규칙'!$L$5:$L$76,0))</x:f>
        <x:v>0</x:v>
      </x:c>
      <x:c r="M510" s="10" t="n">
        <x:f>SUM(XLOOKUP('포켓몬_편집'!$AF510:$AN510,'분류_규칙'!$A$5:$A$76,'분류_규칙'!$M$5:$M$76,0))</x:f>
        <x:v>0</x:v>
      </x:c>
      <x:c r="N510" s="10" t="n">
        <x:f>SUM(XLOOKUP('포켓몬_편집'!$AF510:$AN510,'분류_규칙'!$A$5:$A$76,'분류_규칙'!$N$5:$N$76,0))</x:f>
        <x:v>0</x:v>
      </x:c>
      <x:c r="O510" s="10" t="n">
        <x:f>SUM(XLOOKUP('포켓몬_편집'!$AF510:$AN510,'분류_규칙'!$A$5:$A$76,'분류_규칙'!$O$5:$O$76,0))</x:f>
        <x:v>2</x:v>
      </x:c>
      <x:c r="P510" s="10" t="n">
        <x:f>SUM(XLOOKUP('포켓몬_편집'!$AF510:$AN510,'분류_규칙'!$A$5:$A$76,'분류_규칙'!$P$5:$P$76,0))</x:f>
        <x:v>0</x:v>
      </x:c>
    </x:row>
    <x:row r="511" ht="22" customHeight="1">
      <x:c r="A511" s="5" t="n">
        <x:v>507</x:v>
      </x:c>
      <x:c r="B511" s="5" t="inlineStr">
        <x:is>
          <x:t xml:space="preserve">하데리어</x:t>
        </x:is>
      </x:c>
      <x:c r="C511" s="5" t="inlineStr">
        <x:is>
          <x:t xml:space="preserve">herdier</x:t>
        </x:is>
      </x:c>
      <x:c r="D511" s="5" t="n">
        <x:v>5</x:v>
      </x:c>
      <x:c r="E511" s="10" t="n">
        <x:f>SUM(XLOOKUP('포켓몬_편집'!$AF511:$AN511,'분류_규칙'!$A$5:$A$76,'분류_규칙'!$E$5:$E$76,0))</x:f>
        <x:v>10</x:v>
      </x:c>
      <x:c r="F511" s="10" t="n">
        <x:f>SUM(XLOOKUP('포켓몬_편집'!$AF511:$AN511,'분류_규칙'!$A$5:$A$76,'분류_규칙'!$F$5:$F$76,0))</x:f>
        <x:v>7</x:v>
      </x:c>
      <x:c r="G511" s="10" t="n">
        <x:f>SUM(XLOOKUP('포켓몬_편집'!$AF511:$AN511,'분류_규칙'!$A$5:$A$76,'분류_규칙'!$G$5:$G$76,0))</x:f>
        <x:v>5</x:v>
      </x:c>
      <x:c r="H511" s="10" t="n">
        <x:f>SUM(XLOOKUP('포켓몬_편집'!$AF511:$AN511,'분류_규칙'!$A$5:$A$76,'분류_규칙'!$H$5:$H$76,0))</x:f>
        <x:v>5</x:v>
      </x:c>
      <x:c r="I511" s="10" t="n">
        <x:f>SUM(XLOOKUP('포켓몬_편집'!$AF511:$AN511,'분류_규칙'!$A$5:$A$76,'분류_규칙'!$I$5:$I$76,0))</x:f>
        <x:v>0</x:v>
      </x:c>
      <x:c r="J511" s="10" t="n">
        <x:f>SUM(XLOOKUP('포켓몬_편집'!$AF511:$AN511,'분류_규칙'!$A$5:$A$76,'분류_규칙'!$J$5:$J$76,0))</x:f>
        <x:v>2</x:v>
      </x:c>
      <x:c r="K511" s="10" t="n">
        <x:f>SUM(XLOOKUP('포켓몬_편집'!$AF511:$AN511,'분류_규칙'!$A$5:$A$76,'분류_규칙'!$K$5:$K$76,0))</x:f>
        <x:v>0</x:v>
      </x:c>
      <x:c r="L511" s="10" t="n">
        <x:f>SUM(XLOOKUP('포켓몬_편집'!$AF511:$AN511,'분류_규칙'!$A$5:$A$76,'분류_규칙'!$L$5:$L$76,0))</x:f>
        <x:v>0</x:v>
      </x:c>
      <x:c r="M511" s="10" t="n">
        <x:f>SUM(XLOOKUP('포켓몬_편집'!$AF511:$AN511,'분류_규칙'!$A$5:$A$76,'분류_규칙'!$M$5:$M$76,0))</x:f>
        <x:v>0</x:v>
      </x:c>
      <x:c r="N511" s="10" t="n">
        <x:f>SUM(XLOOKUP('포켓몬_편집'!$AF511:$AN511,'분류_규칙'!$A$5:$A$76,'분류_규칙'!$N$5:$N$76,0))</x:f>
        <x:v>0</x:v>
      </x:c>
      <x:c r="O511" s="10" t="n">
        <x:f>SUM(XLOOKUP('포켓몬_편집'!$AF511:$AN511,'분류_규칙'!$A$5:$A$76,'분류_규칙'!$O$5:$O$76,0))</x:f>
        <x:v>2</x:v>
      </x:c>
      <x:c r="P511" s="10" t="n">
        <x:f>SUM(XLOOKUP('포켓몬_편집'!$AF511:$AN511,'분류_규칙'!$A$5:$A$76,'분류_규칙'!$P$5:$P$76,0))</x:f>
        <x:v>0</x:v>
      </x:c>
    </x:row>
    <x:row r="512" ht="22" customHeight="1">
      <x:c r="A512" s="5" t="n">
        <x:v>508</x:v>
      </x:c>
      <x:c r="B512" s="5" t="inlineStr">
        <x:is>
          <x:t xml:space="preserve">바랜드</x:t>
        </x:is>
      </x:c>
      <x:c r="C512" s="5" t="inlineStr">
        <x:is>
          <x:t xml:space="preserve">stoutland</x:t>
        </x:is>
      </x:c>
      <x:c r="D512" s="5" t="n">
        <x:v>5</x:v>
      </x:c>
      <x:c r="E512" s="10" t="n">
        <x:f>SUM(XLOOKUP('포켓몬_편집'!$AF512:$AN512,'분류_규칙'!$A$5:$A$76,'분류_규칙'!$E$5:$E$76,0))</x:f>
        <x:v>10</x:v>
      </x:c>
      <x:c r="F512" s="10" t="n">
        <x:f>SUM(XLOOKUP('포켓몬_편집'!$AF512:$AN512,'분류_규칙'!$A$5:$A$76,'분류_규칙'!$F$5:$F$76,0))</x:f>
        <x:v>7</x:v>
      </x:c>
      <x:c r="G512" s="10" t="n">
        <x:f>SUM(XLOOKUP('포켓몬_편집'!$AF512:$AN512,'분류_규칙'!$A$5:$A$76,'분류_규칙'!$G$5:$G$76,0))</x:f>
        <x:v>5</x:v>
      </x:c>
      <x:c r="H512" s="10" t="n">
        <x:f>SUM(XLOOKUP('포켓몬_편집'!$AF512:$AN512,'분류_규칙'!$A$5:$A$76,'분류_규칙'!$H$5:$H$76,0))</x:f>
        <x:v>5</x:v>
      </x:c>
      <x:c r="I512" s="10" t="n">
        <x:f>SUM(XLOOKUP('포켓몬_편집'!$AF512:$AN512,'분류_규칙'!$A$5:$A$76,'분류_규칙'!$I$5:$I$76,0))</x:f>
        <x:v>0</x:v>
      </x:c>
      <x:c r="J512" s="10" t="n">
        <x:f>SUM(XLOOKUP('포켓몬_편집'!$AF512:$AN512,'분류_규칙'!$A$5:$A$76,'분류_규칙'!$J$5:$J$76,0))</x:f>
        <x:v>2</x:v>
      </x:c>
      <x:c r="K512" s="10" t="n">
        <x:f>SUM(XLOOKUP('포켓몬_편집'!$AF512:$AN512,'분류_규칙'!$A$5:$A$76,'분류_규칙'!$K$5:$K$76,0))</x:f>
        <x:v>0</x:v>
      </x:c>
      <x:c r="L512" s="10" t="n">
        <x:f>SUM(XLOOKUP('포켓몬_편집'!$AF512:$AN512,'분류_규칙'!$A$5:$A$76,'분류_규칙'!$L$5:$L$76,0))</x:f>
        <x:v>0</x:v>
      </x:c>
      <x:c r="M512" s="10" t="n">
        <x:f>SUM(XLOOKUP('포켓몬_편집'!$AF512:$AN512,'분류_규칙'!$A$5:$A$76,'분류_규칙'!$M$5:$M$76,0))</x:f>
        <x:v>0</x:v>
      </x:c>
      <x:c r="N512" s="10" t="n">
        <x:f>SUM(XLOOKUP('포켓몬_편집'!$AF512:$AN512,'분류_규칙'!$A$5:$A$76,'분류_규칙'!$N$5:$N$76,0))</x:f>
        <x:v>0</x:v>
      </x:c>
      <x:c r="O512" s="10" t="n">
        <x:f>SUM(XLOOKUP('포켓몬_편집'!$AF512:$AN512,'분류_규칙'!$A$5:$A$76,'분류_규칙'!$O$5:$O$76,0))</x:f>
        <x:v>2</x:v>
      </x:c>
      <x:c r="P512" s="10" t="n">
        <x:f>SUM(XLOOKUP('포켓몬_편집'!$AF512:$AN512,'분류_규칙'!$A$5:$A$76,'분류_규칙'!$P$5:$P$76,0))</x:f>
        <x:v>0</x:v>
      </x:c>
    </x:row>
    <x:row r="513" ht="22" customHeight="1">
      <x:c r="A513" s="5" t="n">
        <x:v>509</x:v>
      </x:c>
      <x:c r="B513" s="5" t="inlineStr">
        <x:is>
          <x:t xml:space="preserve">쌔비냥</x:t>
        </x:is>
      </x:c>
      <x:c r="C513" s="5" t="inlineStr">
        <x:is>
          <x:t xml:space="preserve">purrloin</x:t>
        </x:is>
      </x:c>
      <x:c r="D513" s="5" t="n">
        <x:v>5</x:v>
      </x:c>
      <x:c r="E513" s="10" t="n">
        <x:f>SUM(XLOOKUP('포켓몬_편집'!$AF513:$AN513,'분류_규칙'!$A$5:$A$76,'분류_규칙'!$E$5:$E$76,0))</x:f>
        <x:v>10</x:v>
      </x:c>
      <x:c r="F513" s="10" t="n">
        <x:f>SUM(XLOOKUP('포켓몬_편집'!$AF513:$AN513,'분류_규칙'!$A$5:$A$76,'분류_규칙'!$F$5:$F$76,0))</x:f>
        <x:v>7</x:v>
      </x:c>
      <x:c r="G513" s="10" t="n">
        <x:f>SUM(XLOOKUP('포켓몬_편집'!$AF513:$AN513,'분류_규칙'!$A$5:$A$76,'분류_규칙'!$G$5:$G$76,0))</x:f>
        <x:v>5</x:v>
      </x:c>
      <x:c r="H513" s="10" t="n">
        <x:f>SUM(XLOOKUP('포켓몬_편집'!$AF513:$AN513,'분류_규칙'!$A$5:$A$76,'분류_규칙'!$H$5:$H$76,0))</x:f>
        <x:v>5</x:v>
      </x:c>
      <x:c r="I513" s="10" t="n">
        <x:f>SUM(XLOOKUP('포켓몬_편집'!$AF513:$AN513,'분류_규칙'!$A$5:$A$76,'분류_규칙'!$I$5:$I$76,0))</x:f>
        <x:v>0</x:v>
      </x:c>
      <x:c r="J513" s="10" t="n">
        <x:f>SUM(XLOOKUP('포켓몬_편집'!$AF513:$AN513,'분류_규칙'!$A$5:$A$76,'분류_규칙'!$J$5:$J$76,0))</x:f>
        <x:v>2</x:v>
      </x:c>
      <x:c r="K513" s="10" t="n">
        <x:f>SUM(XLOOKUP('포켓몬_편집'!$AF513:$AN513,'분류_규칙'!$A$5:$A$76,'분류_규칙'!$K$5:$K$76,0))</x:f>
        <x:v>0</x:v>
      </x:c>
      <x:c r="L513" s="10" t="n">
        <x:f>SUM(XLOOKUP('포켓몬_편집'!$AF513:$AN513,'분류_규칙'!$A$5:$A$76,'분류_규칙'!$L$5:$L$76,0))</x:f>
        <x:v>0</x:v>
      </x:c>
      <x:c r="M513" s="10" t="n">
        <x:f>SUM(XLOOKUP('포켓몬_편집'!$AF513:$AN513,'분류_규칙'!$A$5:$A$76,'분류_규칙'!$M$5:$M$76,0))</x:f>
        <x:v>0</x:v>
      </x:c>
      <x:c r="N513" s="10" t="n">
        <x:f>SUM(XLOOKUP('포켓몬_편집'!$AF513:$AN513,'분류_규칙'!$A$5:$A$76,'분류_규칙'!$N$5:$N$76,0))</x:f>
        <x:v>0</x:v>
      </x:c>
      <x:c r="O513" s="10" t="n">
        <x:f>SUM(XLOOKUP('포켓몬_편집'!$AF513:$AN513,'분류_규칙'!$A$5:$A$76,'분류_규칙'!$O$5:$O$76,0))</x:f>
        <x:v>2</x:v>
      </x:c>
      <x:c r="P513" s="10" t="n">
        <x:f>SUM(XLOOKUP('포켓몬_편집'!$AF513:$AN513,'분류_규칙'!$A$5:$A$76,'분류_규칙'!$P$5:$P$76,0))</x:f>
        <x:v>0</x:v>
      </x:c>
    </x:row>
    <x:row r="514" ht="22" customHeight="1">
      <x:c r="A514" s="5" t="n">
        <x:v>510</x:v>
      </x:c>
      <x:c r="B514" s="5" t="inlineStr">
        <x:is>
          <x:t xml:space="preserve">레파르다스</x:t>
        </x:is>
      </x:c>
      <x:c r="C514" s="5" t="inlineStr">
        <x:is>
          <x:t xml:space="preserve">liepard</x:t>
        </x:is>
      </x:c>
      <x:c r="D514" s="5" t="n">
        <x:v>5</x:v>
      </x:c>
      <x:c r="E514" s="10" t="n">
        <x:f>SUM(XLOOKUP('포켓몬_편집'!$AF514:$AN514,'분류_규칙'!$A$5:$A$76,'분류_규칙'!$E$5:$E$76,0))</x:f>
        <x:v>10</x:v>
      </x:c>
      <x:c r="F514" s="10" t="n">
        <x:f>SUM(XLOOKUP('포켓몬_편집'!$AF514:$AN514,'분류_규칙'!$A$5:$A$76,'분류_규칙'!$F$5:$F$76,0))</x:f>
        <x:v>7</x:v>
      </x:c>
      <x:c r="G514" s="10" t="n">
        <x:f>SUM(XLOOKUP('포켓몬_편집'!$AF514:$AN514,'분류_규칙'!$A$5:$A$76,'분류_규칙'!$G$5:$G$76,0))</x:f>
        <x:v>5</x:v>
      </x:c>
      <x:c r="H514" s="10" t="n">
        <x:f>SUM(XLOOKUP('포켓몬_편집'!$AF514:$AN514,'분류_규칙'!$A$5:$A$76,'분류_규칙'!$H$5:$H$76,0))</x:f>
        <x:v>5</x:v>
      </x:c>
      <x:c r="I514" s="10" t="n">
        <x:f>SUM(XLOOKUP('포켓몬_편집'!$AF514:$AN514,'분류_규칙'!$A$5:$A$76,'분류_규칙'!$I$5:$I$76,0))</x:f>
        <x:v>0</x:v>
      </x:c>
      <x:c r="J514" s="10" t="n">
        <x:f>SUM(XLOOKUP('포켓몬_편집'!$AF514:$AN514,'분류_규칙'!$A$5:$A$76,'분류_규칙'!$J$5:$J$76,0))</x:f>
        <x:v>2</x:v>
      </x:c>
      <x:c r="K514" s="10" t="n">
        <x:f>SUM(XLOOKUP('포켓몬_편집'!$AF514:$AN514,'분류_규칙'!$A$5:$A$76,'분류_규칙'!$K$5:$K$76,0))</x:f>
        <x:v>0</x:v>
      </x:c>
      <x:c r="L514" s="10" t="n">
        <x:f>SUM(XLOOKUP('포켓몬_편집'!$AF514:$AN514,'분류_규칙'!$A$5:$A$76,'분류_규칙'!$L$5:$L$76,0))</x:f>
        <x:v>0</x:v>
      </x:c>
      <x:c r="M514" s="10" t="n">
        <x:f>SUM(XLOOKUP('포켓몬_편집'!$AF514:$AN514,'분류_규칙'!$A$5:$A$76,'분류_규칙'!$M$5:$M$76,0))</x:f>
        <x:v>0</x:v>
      </x:c>
      <x:c r="N514" s="10" t="n">
        <x:f>SUM(XLOOKUP('포켓몬_편집'!$AF514:$AN514,'분류_규칙'!$A$5:$A$76,'분류_규칙'!$N$5:$N$76,0))</x:f>
        <x:v>0</x:v>
      </x:c>
      <x:c r="O514" s="10" t="n">
        <x:f>SUM(XLOOKUP('포켓몬_편집'!$AF514:$AN514,'분류_규칙'!$A$5:$A$76,'분류_규칙'!$O$5:$O$76,0))</x:f>
        <x:v>2</x:v>
      </x:c>
      <x:c r="P514" s="10" t="n">
        <x:f>SUM(XLOOKUP('포켓몬_편집'!$AF514:$AN514,'분류_규칙'!$A$5:$A$76,'분류_규칙'!$P$5:$P$76,0))</x:f>
        <x:v>0</x:v>
      </x:c>
    </x:row>
    <x:row r="515" ht="22" customHeight="1">
      <x:c r="A515" s="5" t="n">
        <x:v>511</x:v>
      </x:c>
      <x:c r="B515" s="5" t="inlineStr">
        <x:is>
          <x:t xml:space="preserve">야나프</x:t>
        </x:is>
      </x:c>
      <x:c r="C515" s="5" t="inlineStr">
        <x:is>
          <x:t xml:space="preserve">pansage</x:t>
        </x:is>
      </x:c>
      <x:c r="D515" s="5" t="n">
        <x:v>5</x:v>
      </x:c>
      <x:c r="E515" s="10" t="n">
        <x:f>SUM(XLOOKUP('포켓몬_편집'!$AF515:$AN515,'분류_규칙'!$A$5:$A$76,'분류_규칙'!$E$5:$E$76,0))</x:f>
        <x:v>10</x:v>
      </x:c>
      <x:c r="F515" s="10" t="n">
        <x:f>SUM(XLOOKUP('포켓몬_편집'!$AF515:$AN515,'분류_규칙'!$A$5:$A$76,'분류_규칙'!$F$5:$F$76,0))</x:f>
        <x:v>7</x:v>
      </x:c>
      <x:c r="G515" s="10" t="n">
        <x:f>SUM(XLOOKUP('포켓몬_편집'!$AF515:$AN515,'분류_규칙'!$A$5:$A$76,'분류_규칙'!$G$5:$G$76,0))</x:f>
        <x:v>5</x:v>
      </x:c>
      <x:c r="H515" s="10" t="n">
        <x:f>SUM(XLOOKUP('포켓몬_편집'!$AF515:$AN515,'분류_규칙'!$A$5:$A$76,'분류_규칙'!$H$5:$H$76,0))</x:f>
        <x:v>5</x:v>
      </x:c>
      <x:c r="I515" s="10" t="n">
        <x:f>SUM(XLOOKUP('포켓몬_편집'!$AF515:$AN515,'분류_규칙'!$A$5:$A$76,'분류_규칙'!$I$5:$I$76,0))</x:f>
        <x:v>0</x:v>
      </x:c>
      <x:c r="J515" s="10" t="n">
        <x:f>SUM(XLOOKUP('포켓몬_편집'!$AF515:$AN515,'분류_규칙'!$A$5:$A$76,'분류_규칙'!$J$5:$J$76,0))</x:f>
        <x:v>2</x:v>
      </x:c>
      <x:c r="K515" s="10" t="n">
        <x:f>SUM(XLOOKUP('포켓몬_편집'!$AF515:$AN515,'분류_규칙'!$A$5:$A$76,'분류_규칙'!$K$5:$K$76,0))</x:f>
        <x:v>0</x:v>
      </x:c>
      <x:c r="L515" s="10" t="n">
        <x:f>SUM(XLOOKUP('포켓몬_편집'!$AF515:$AN515,'분류_규칙'!$A$5:$A$76,'분류_규칙'!$L$5:$L$76,0))</x:f>
        <x:v>0</x:v>
      </x:c>
      <x:c r="M515" s="10" t="n">
        <x:f>SUM(XLOOKUP('포켓몬_편집'!$AF515:$AN515,'분류_규칙'!$A$5:$A$76,'분류_규칙'!$M$5:$M$76,0))</x:f>
        <x:v>0</x:v>
      </x:c>
      <x:c r="N515" s="10" t="n">
        <x:f>SUM(XLOOKUP('포켓몬_편집'!$AF515:$AN515,'분류_규칙'!$A$5:$A$76,'분류_규칙'!$N$5:$N$76,0))</x:f>
        <x:v>0</x:v>
      </x:c>
      <x:c r="O515" s="10" t="n">
        <x:f>SUM(XLOOKUP('포켓몬_편집'!$AF515:$AN515,'분류_규칙'!$A$5:$A$76,'분류_규칙'!$O$5:$O$76,0))</x:f>
        <x:v>2</x:v>
      </x:c>
      <x:c r="P515" s="10" t="n">
        <x:f>SUM(XLOOKUP('포켓몬_편집'!$AF515:$AN515,'분류_규칙'!$A$5:$A$76,'분류_규칙'!$P$5:$P$76,0))</x:f>
        <x:v>0</x:v>
      </x:c>
    </x:row>
    <x:row r="516" ht="22" customHeight="1">
      <x:c r="A516" s="5" t="n">
        <x:v>512</x:v>
      </x:c>
      <x:c r="B516" s="5" t="inlineStr">
        <x:is>
          <x:t xml:space="preserve">야나키</x:t>
        </x:is>
      </x:c>
      <x:c r="C516" s="5" t="inlineStr">
        <x:is>
          <x:t xml:space="preserve">simisage</x:t>
        </x:is>
      </x:c>
      <x:c r="D516" s="5" t="n">
        <x:v>5</x:v>
      </x:c>
      <x:c r="E516" s="10" t="n">
        <x:f>SUM(XLOOKUP('포켓몬_편집'!$AF516:$AN516,'분류_규칙'!$A$5:$A$76,'분류_규칙'!$E$5:$E$76,0))</x:f>
        <x:v>10</x:v>
      </x:c>
      <x:c r="F516" s="10" t="n">
        <x:f>SUM(XLOOKUP('포켓몬_편집'!$AF516:$AN516,'분류_규칙'!$A$5:$A$76,'분류_규칙'!$F$5:$F$76,0))</x:f>
        <x:v>7</x:v>
      </x:c>
      <x:c r="G516" s="10" t="n">
        <x:f>SUM(XLOOKUP('포켓몬_편집'!$AF516:$AN516,'분류_규칙'!$A$5:$A$76,'분류_규칙'!$G$5:$G$76,0))</x:f>
        <x:v>5</x:v>
      </x:c>
      <x:c r="H516" s="10" t="n">
        <x:f>SUM(XLOOKUP('포켓몬_편집'!$AF516:$AN516,'분류_규칙'!$A$5:$A$76,'분류_규칙'!$H$5:$H$76,0))</x:f>
        <x:v>5</x:v>
      </x:c>
      <x:c r="I516" s="10" t="n">
        <x:f>SUM(XLOOKUP('포켓몬_편집'!$AF516:$AN516,'분류_규칙'!$A$5:$A$76,'분류_규칙'!$I$5:$I$76,0))</x:f>
        <x:v>0</x:v>
      </x:c>
      <x:c r="J516" s="10" t="n">
        <x:f>SUM(XLOOKUP('포켓몬_편집'!$AF516:$AN516,'분류_규칙'!$A$5:$A$76,'분류_규칙'!$J$5:$J$76,0))</x:f>
        <x:v>2</x:v>
      </x:c>
      <x:c r="K516" s="10" t="n">
        <x:f>SUM(XLOOKUP('포켓몬_편집'!$AF516:$AN516,'분류_규칙'!$A$5:$A$76,'분류_규칙'!$K$5:$K$76,0))</x:f>
        <x:v>0</x:v>
      </x:c>
      <x:c r="L516" s="10" t="n">
        <x:f>SUM(XLOOKUP('포켓몬_편집'!$AF516:$AN516,'분류_규칙'!$A$5:$A$76,'분류_규칙'!$L$5:$L$76,0))</x:f>
        <x:v>0</x:v>
      </x:c>
      <x:c r="M516" s="10" t="n">
        <x:f>SUM(XLOOKUP('포켓몬_편집'!$AF516:$AN516,'분류_규칙'!$A$5:$A$76,'분류_규칙'!$M$5:$M$76,0))</x:f>
        <x:v>0</x:v>
      </x:c>
      <x:c r="N516" s="10" t="n">
        <x:f>SUM(XLOOKUP('포켓몬_편집'!$AF516:$AN516,'분류_규칙'!$A$5:$A$76,'분류_규칙'!$N$5:$N$76,0))</x:f>
        <x:v>0</x:v>
      </x:c>
      <x:c r="O516" s="10" t="n">
        <x:f>SUM(XLOOKUP('포켓몬_편집'!$AF516:$AN516,'분류_규칙'!$A$5:$A$76,'분류_규칙'!$O$5:$O$76,0))</x:f>
        <x:v>2</x:v>
      </x:c>
      <x:c r="P516" s="10" t="n">
        <x:f>SUM(XLOOKUP('포켓몬_편집'!$AF516:$AN516,'분류_규칙'!$A$5:$A$76,'분류_규칙'!$P$5:$P$76,0))</x:f>
        <x:v>0</x:v>
      </x:c>
    </x:row>
    <x:row r="517" ht="22" customHeight="1">
      <x:c r="A517" s="5" t="n">
        <x:v>513</x:v>
      </x:c>
      <x:c r="B517" s="5" t="inlineStr">
        <x:is>
          <x:t xml:space="preserve">바오프</x:t>
        </x:is>
      </x:c>
      <x:c r="C517" s="5" t="inlineStr">
        <x:is>
          <x:t xml:space="preserve">pansear</x:t>
        </x:is>
      </x:c>
      <x:c r="D517" s="5" t="n">
        <x:v>5</x:v>
      </x:c>
      <x:c r="E517" s="10" t="n">
        <x:f>SUM(XLOOKUP('포켓몬_편집'!$AF517:$AN517,'분류_규칙'!$A$5:$A$76,'분류_규칙'!$E$5:$E$76,0))</x:f>
        <x:v>10</x:v>
      </x:c>
      <x:c r="F517" s="10" t="n">
        <x:f>SUM(XLOOKUP('포켓몬_편집'!$AF517:$AN517,'분류_규칙'!$A$5:$A$76,'분류_규칙'!$F$5:$F$76,0))</x:f>
        <x:v>7</x:v>
      </x:c>
      <x:c r="G517" s="10" t="n">
        <x:f>SUM(XLOOKUP('포켓몬_편집'!$AF517:$AN517,'분류_규칙'!$A$5:$A$76,'분류_규칙'!$G$5:$G$76,0))</x:f>
        <x:v>5</x:v>
      </x:c>
      <x:c r="H517" s="10" t="n">
        <x:f>SUM(XLOOKUP('포켓몬_편집'!$AF517:$AN517,'분류_규칙'!$A$5:$A$76,'분류_규칙'!$H$5:$H$76,0))</x:f>
        <x:v>5</x:v>
      </x:c>
      <x:c r="I517" s="10" t="n">
        <x:f>SUM(XLOOKUP('포켓몬_편집'!$AF517:$AN517,'분류_규칙'!$A$5:$A$76,'분류_규칙'!$I$5:$I$76,0))</x:f>
        <x:v>0</x:v>
      </x:c>
      <x:c r="J517" s="10" t="n">
        <x:f>SUM(XLOOKUP('포켓몬_편집'!$AF517:$AN517,'분류_규칙'!$A$5:$A$76,'분류_규칙'!$J$5:$J$76,0))</x:f>
        <x:v>2</x:v>
      </x:c>
      <x:c r="K517" s="10" t="n">
        <x:f>SUM(XLOOKUP('포켓몬_편집'!$AF517:$AN517,'분류_규칙'!$A$5:$A$76,'분류_규칙'!$K$5:$K$76,0))</x:f>
        <x:v>0</x:v>
      </x:c>
      <x:c r="L517" s="10" t="n">
        <x:f>SUM(XLOOKUP('포켓몬_편집'!$AF517:$AN517,'분류_규칙'!$A$5:$A$76,'분류_규칙'!$L$5:$L$76,0))</x:f>
        <x:v>0</x:v>
      </x:c>
      <x:c r="M517" s="10" t="n">
        <x:f>SUM(XLOOKUP('포켓몬_편집'!$AF517:$AN517,'분류_규칙'!$A$5:$A$76,'분류_규칙'!$M$5:$M$76,0))</x:f>
        <x:v>0</x:v>
      </x:c>
      <x:c r="N517" s="10" t="n">
        <x:f>SUM(XLOOKUP('포켓몬_편집'!$AF517:$AN517,'분류_규칙'!$A$5:$A$76,'분류_규칙'!$N$5:$N$76,0))</x:f>
        <x:v>0</x:v>
      </x:c>
      <x:c r="O517" s="10" t="n">
        <x:f>SUM(XLOOKUP('포켓몬_편집'!$AF517:$AN517,'분류_규칙'!$A$5:$A$76,'분류_규칙'!$O$5:$O$76,0))</x:f>
        <x:v>2</x:v>
      </x:c>
      <x:c r="P517" s="10" t="n">
        <x:f>SUM(XLOOKUP('포켓몬_편집'!$AF517:$AN517,'분류_규칙'!$A$5:$A$76,'분류_규칙'!$P$5:$P$76,0))</x:f>
        <x:v>0</x:v>
      </x:c>
    </x:row>
    <x:row r="518" ht="22" customHeight="1">
      <x:c r="A518" s="5" t="n">
        <x:v>514</x:v>
      </x:c>
      <x:c r="B518" s="5" t="inlineStr">
        <x:is>
          <x:t xml:space="preserve">바오키</x:t>
        </x:is>
      </x:c>
      <x:c r="C518" s="5" t="inlineStr">
        <x:is>
          <x:t xml:space="preserve">simisear</x:t>
        </x:is>
      </x:c>
      <x:c r="D518" s="5" t="n">
        <x:v>5</x:v>
      </x:c>
      <x:c r="E518" s="10" t="n">
        <x:f>SUM(XLOOKUP('포켓몬_편집'!$AF518:$AN518,'분류_규칙'!$A$5:$A$76,'분류_규칙'!$E$5:$E$76,0))</x:f>
        <x:v>10</x:v>
      </x:c>
      <x:c r="F518" s="10" t="n">
        <x:f>SUM(XLOOKUP('포켓몬_편집'!$AF518:$AN518,'분류_규칙'!$A$5:$A$76,'분류_규칙'!$F$5:$F$76,0))</x:f>
        <x:v>7</x:v>
      </x:c>
      <x:c r="G518" s="10" t="n">
        <x:f>SUM(XLOOKUP('포켓몬_편집'!$AF518:$AN518,'분류_규칙'!$A$5:$A$76,'분류_규칙'!$G$5:$G$76,0))</x:f>
        <x:v>5</x:v>
      </x:c>
      <x:c r="H518" s="10" t="n">
        <x:f>SUM(XLOOKUP('포켓몬_편집'!$AF518:$AN518,'분류_규칙'!$A$5:$A$76,'분류_규칙'!$H$5:$H$76,0))</x:f>
        <x:v>5</x:v>
      </x:c>
      <x:c r="I518" s="10" t="n">
        <x:f>SUM(XLOOKUP('포켓몬_편집'!$AF518:$AN518,'분류_규칙'!$A$5:$A$76,'분류_규칙'!$I$5:$I$76,0))</x:f>
        <x:v>0</x:v>
      </x:c>
      <x:c r="J518" s="10" t="n">
        <x:f>SUM(XLOOKUP('포켓몬_편집'!$AF518:$AN518,'분류_규칙'!$A$5:$A$76,'분류_규칙'!$J$5:$J$76,0))</x:f>
        <x:v>2</x:v>
      </x:c>
      <x:c r="K518" s="10" t="n">
        <x:f>SUM(XLOOKUP('포켓몬_편집'!$AF518:$AN518,'분류_규칙'!$A$5:$A$76,'분류_규칙'!$K$5:$K$76,0))</x:f>
        <x:v>0</x:v>
      </x:c>
      <x:c r="L518" s="10" t="n">
        <x:f>SUM(XLOOKUP('포켓몬_편집'!$AF518:$AN518,'분류_규칙'!$A$5:$A$76,'분류_규칙'!$L$5:$L$76,0))</x:f>
        <x:v>0</x:v>
      </x:c>
      <x:c r="M518" s="10" t="n">
        <x:f>SUM(XLOOKUP('포켓몬_편집'!$AF518:$AN518,'분류_규칙'!$A$5:$A$76,'분류_규칙'!$M$5:$M$76,0))</x:f>
        <x:v>0</x:v>
      </x:c>
      <x:c r="N518" s="10" t="n">
        <x:f>SUM(XLOOKUP('포켓몬_편집'!$AF518:$AN518,'분류_규칙'!$A$5:$A$76,'분류_규칙'!$N$5:$N$76,0))</x:f>
        <x:v>0</x:v>
      </x:c>
      <x:c r="O518" s="10" t="n">
        <x:f>SUM(XLOOKUP('포켓몬_편집'!$AF518:$AN518,'분류_규칙'!$A$5:$A$76,'분류_규칙'!$O$5:$O$76,0))</x:f>
        <x:v>2</x:v>
      </x:c>
      <x:c r="P518" s="10" t="n">
        <x:f>SUM(XLOOKUP('포켓몬_편집'!$AF518:$AN518,'분류_규칙'!$A$5:$A$76,'분류_규칙'!$P$5:$P$76,0))</x:f>
        <x:v>0</x:v>
      </x:c>
    </x:row>
    <x:row r="519" ht="22" customHeight="1">
      <x:c r="A519" s="5" t="n">
        <x:v>515</x:v>
      </x:c>
      <x:c r="B519" s="5" t="inlineStr">
        <x:is>
          <x:t xml:space="preserve">앗차프</x:t>
        </x:is>
      </x:c>
      <x:c r="C519" s="5" t="inlineStr">
        <x:is>
          <x:t xml:space="preserve">panpour</x:t>
        </x:is>
      </x:c>
      <x:c r="D519" s="5" t="n">
        <x:v>5</x:v>
      </x:c>
      <x:c r="E519" s="10" t="n">
        <x:f>SUM(XLOOKUP('포켓몬_편집'!$AF519:$AN519,'분류_규칙'!$A$5:$A$76,'분류_규칙'!$E$5:$E$76,0))</x:f>
        <x:v>0</x:v>
      </x:c>
      <x:c r="F519" s="10" t="n">
        <x:f>SUM(XLOOKUP('포켓몬_편집'!$AF519:$AN519,'분류_규칙'!$A$5:$A$76,'분류_규칙'!$F$5:$F$76,0))</x:f>
        <x:v>0</x:v>
      </x:c>
      <x:c r="G519" s="10" t="n">
        <x:f>SUM(XLOOKUP('포켓몬_편집'!$AF519:$AN519,'분류_규칙'!$A$5:$A$76,'분류_규칙'!$G$5:$G$76,0))</x:f>
        <x:v>0</x:v>
      </x:c>
      <x:c r="H519" s="10" t="n">
        <x:f>SUM(XLOOKUP('포켓몬_편집'!$AF519:$AN519,'분류_규칙'!$A$5:$A$76,'분류_규칙'!$H$5:$H$76,0))</x:f>
        <x:v>0</x:v>
      </x:c>
      <x:c r="I519" s="10" t="n">
        <x:f>SUM(XLOOKUP('포켓몬_편집'!$AF519:$AN519,'분류_규칙'!$A$5:$A$76,'분류_규칙'!$I$5:$I$76,0))</x:f>
        <x:v>0</x:v>
      </x:c>
      <x:c r="J519" s="10" t="n">
        <x:f>SUM(XLOOKUP('포켓몬_편집'!$AF519:$AN519,'분류_규칙'!$A$5:$A$76,'분류_규칙'!$J$5:$J$76,0))</x:f>
        <x:v>12</x:v>
      </x:c>
      <x:c r="K519" s="10" t="n">
        <x:f>SUM(XLOOKUP('포켓몬_편집'!$AF519:$AN519,'분류_규칙'!$A$5:$A$76,'분류_규칙'!$K$5:$K$76,0))</x:f>
        <x:v>30</x:v>
      </x:c>
      <x:c r="L519" s="10" t="n">
        <x:f>SUM(XLOOKUP('포켓몬_편집'!$AF519:$AN519,'분류_규칙'!$A$5:$A$76,'분류_규칙'!$L$5:$L$76,0))</x:f>
        <x:v>0</x:v>
      </x:c>
      <x:c r="M519" s="10" t="n">
        <x:f>SUM(XLOOKUP('포켓몬_편집'!$AF519:$AN519,'분류_규칙'!$A$5:$A$76,'분류_규칙'!$M$5:$M$76,0))</x:f>
        <x:v>0</x:v>
      </x:c>
      <x:c r="N519" s="10" t="n">
        <x:f>SUM(XLOOKUP('포켓몬_편집'!$AF519:$AN519,'분류_규칙'!$A$5:$A$76,'분류_규칙'!$N$5:$N$76,0))</x:f>
        <x:v>0</x:v>
      </x:c>
      <x:c r="O519" s="10" t="n">
        <x:f>SUM(XLOOKUP('포켓몬_편집'!$AF519:$AN519,'분류_규칙'!$A$5:$A$76,'분류_규칙'!$O$5:$O$76,0))</x:f>
        <x:v>0</x:v>
      </x:c>
      <x:c r="P519" s="10" t="n">
        <x:f>SUM(XLOOKUP('포켓몬_편집'!$AF519:$AN519,'분류_규칙'!$A$5:$A$76,'분류_규칙'!$P$5:$P$76,0))</x:f>
        <x:v>0</x:v>
      </x:c>
    </x:row>
    <x:row r="520" ht="22" customHeight="1">
      <x:c r="A520" s="5" t="n">
        <x:v>516</x:v>
      </x:c>
      <x:c r="B520" s="5" t="inlineStr">
        <x:is>
          <x:t xml:space="preserve">앗차키</x:t>
        </x:is>
      </x:c>
      <x:c r="C520" s="5" t="inlineStr">
        <x:is>
          <x:t xml:space="preserve">simipour</x:t>
        </x:is>
      </x:c>
      <x:c r="D520" s="5" t="n">
        <x:v>5</x:v>
      </x:c>
      <x:c r="E520" s="10" t="n">
        <x:f>SUM(XLOOKUP('포켓몬_편집'!$AF520:$AN520,'분류_규칙'!$A$5:$A$76,'분류_규칙'!$E$5:$E$76,0))</x:f>
        <x:v>0</x:v>
      </x:c>
      <x:c r="F520" s="10" t="n">
        <x:f>SUM(XLOOKUP('포켓몬_편집'!$AF520:$AN520,'분류_규칙'!$A$5:$A$76,'분류_규칙'!$F$5:$F$76,0))</x:f>
        <x:v>0</x:v>
      </x:c>
      <x:c r="G520" s="10" t="n">
        <x:f>SUM(XLOOKUP('포켓몬_편집'!$AF520:$AN520,'분류_규칙'!$A$5:$A$76,'분류_규칙'!$G$5:$G$76,0))</x:f>
        <x:v>0</x:v>
      </x:c>
      <x:c r="H520" s="10" t="n">
        <x:f>SUM(XLOOKUP('포켓몬_편집'!$AF520:$AN520,'분류_규칙'!$A$5:$A$76,'분류_규칙'!$H$5:$H$76,0))</x:f>
        <x:v>0</x:v>
      </x:c>
      <x:c r="I520" s="10" t="n">
        <x:f>SUM(XLOOKUP('포켓몬_편집'!$AF520:$AN520,'분류_규칙'!$A$5:$A$76,'분류_규칙'!$I$5:$I$76,0))</x:f>
        <x:v>0</x:v>
      </x:c>
      <x:c r="J520" s="10" t="n">
        <x:f>SUM(XLOOKUP('포켓몬_편집'!$AF520:$AN520,'분류_규칙'!$A$5:$A$76,'분류_규칙'!$J$5:$J$76,0))</x:f>
        <x:v>12</x:v>
      </x:c>
      <x:c r="K520" s="10" t="n">
        <x:f>SUM(XLOOKUP('포켓몬_편집'!$AF520:$AN520,'분류_규칙'!$A$5:$A$76,'분류_규칙'!$K$5:$K$76,0))</x:f>
        <x:v>30</x:v>
      </x:c>
      <x:c r="L520" s="10" t="n">
        <x:f>SUM(XLOOKUP('포켓몬_편집'!$AF520:$AN520,'분류_규칙'!$A$5:$A$76,'분류_규칙'!$L$5:$L$76,0))</x:f>
        <x:v>0</x:v>
      </x:c>
      <x:c r="M520" s="10" t="n">
        <x:f>SUM(XLOOKUP('포켓몬_편집'!$AF520:$AN520,'분류_규칙'!$A$5:$A$76,'분류_규칙'!$M$5:$M$76,0))</x:f>
        <x:v>0</x:v>
      </x:c>
      <x:c r="N520" s="10" t="n">
        <x:f>SUM(XLOOKUP('포켓몬_편집'!$AF520:$AN520,'분류_규칙'!$A$5:$A$76,'분류_규칙'!$N$5:$N$76,0))</x:f>
        <x:v>0</x:v>
      </x:c>
      <x:c r="O520" s="10" t="n">
        <x:f>SUM(XLOOKUP('포켓몬_편집'!$AF520:$AN520,'분류_규칙'!$A$5:$A$76,'분류_규칙'!$O$5:$O$76,0))</x:f>
        <x:v>0</x:v>
      </x:c>
      <x:c r="P520" s="10" t="n">
        <x:f>SUM(XLOOKUP('포켓몬_편집'!$AF520:$AN520,'분류_규칙'!$A$5:$A$76,'분류_규칙'!$P$5:$P$76,0))</x:f>
        <x:v>0</x:v>
      </x:c>
    </x:row>
    <x:row r="521" ht="22" customHeight="1">
      <x:c r="A521" s="5" t="n">
        <x:v>517</x:v>
      </x:c>
      <x:c r="B521" s="5" t="inlineStr">
        <x:is>
          <x:t xml:space="preserve">몽나</x:t>
        </x:is>
      </x:c>
      <x:c r="C521" s="5" t="inlineStr">
        <x:is>
          <x:t xml:space="preserve">munna</x:t>
        </x:is>
      </x:c>
      <x:c r="D521" s="5" t="n">
        <x:v>5</x:v>
      </x:c>
      <x:c r="E521" s="10" t="n">
        <x:f>SUM(XLOOKUP('포켓몬_편집'!$AF521:$AN521,'분류_규칙'!$A$5:$A$76,'분류_규칙'!$E$5:$E$76,0))</x:f>
        <x:v>8</x:v>
      </x:c>
      <x:c r="F521" s="10" t="n">
        <x:f>SUM(XLOOKUP('포켓몬_편집'!$AF521:$AN521,'분류_규칙'!$A$5:$A$76,'분류_규칙'!$F$5:$F$76,0))</x:f>
        <x:v>8</x:v>
      </x:c>
      <x:c r="G521" s="10" t="n">
        <x:f>SUM(XLOOKUP('포켓몬_편집'!$AF521:$AN521,'분류_규칙'!$A$5:$A$76,'분류_규칙'!$G$5:$G$76,0))</x:f>
        <x:v>0</x:v>
      </x:c>
      <x:c r="H521" s="10" t="n">
        <x:f>SUM(XLOOKUP('포켓몬_편집'!$AF521:$AN521,'분류_규칙'!$A$5:$A$76,'분류_규칙'!$H$5:$H$76,0))</x:f>
        <x:v>12</x:v>
      </x:c>
      <x:c r="I521" s="10" t="n">
        <x:f>SUM(XLOOKUP('포켓몬_편집'!$AF521:$AN521,'분류_규칙'!$A$5:$A$76,'분류_규칙'!$I$5:$I$76,0))</x:f>
        <x:v>0</x:v>
      </x:c>
      <x:c r="J521" s="10" t="n">
        <x:f>SUM(XLOOKUP('포켓몬_편집'!$AF521:$AN521,'분류_규칙'!$A$5:$A$76,'분류_규칙'!$J$5:$J$76,0))</x:f>
        <x:v>0</x:v>
      </x:c>
      <x:c r="K521" s="10" t="n">
        <x:f>SUM(XLOOKUP('포켓몬_편집'!$AF521:$AN521,'분류_규칙'!$A$5:$A$76,'분류_규칙'!$K$5:$K$76,0))</x:f>
        <x:v>0</x:v>
      </x:c>
      <x:c r="L521" s="10" t="n">
        <x:f>SUM(XLOOKUP('포켓몬_편집'!$AF521:$AN521,'분류_규칙'!$A$5:$A$76,'분류_규칙'!$L$5:$L$76,0))</x:f>
        <x:v>3</x:v>
      </x:c>
      <x:c r="M521" s="10" t="n">
        <x:f>SUM(XLOOKUP('포켓몬_편집'!$AF521:$AN521,'분류_규칙'!$A$5:$A$76,'분류_규칙'!$M$5:$M$76,0))</x:f>
        <x:v>0</x:v>
      </x:c>
      <x:c r="N521" s="10" t="n">
        <x:f>SUM(XLOOKUP('포켓몬_편집'!$AF521:$AN521,'분류_규칙'!$A$5:$A$76,'분류_규칙'!$N$5:$N$76,0))</x:f>
        <x:v>0</x:v>
      </x:c>
      <x:c r="O521" s="10" t="n">
        <x:f>SUM(XLOOKUP('포켓몬_편집'!$AF521:$AN521,'분류_규칙'!$A$5:$A$76,'분류_규칙'!$O$5:$O$76,0))</x:f>
        <x:v>2</x:v>
      </x:c>
      <x:c r="P521" s="10" t="n">
        <x:f>SUM(XLOOKUP('포켓몬_편집'!$AF521:$AN521,'분류_규칙'!$A$5:$A$76,'분류_규칙'!$P$5:$P$76,0))</x:f>
        <x:v>0</x:v>
      </x:c>
    </x:row>
    <x:row r="522" ht="22" customHeight="1">
      <x:c r="A522" s="5" t="n">
        <x:v>518</x:v>
      </x:c>
      <x:c r="B522" s="5" t="inlineStr">
        <x:is>
          <x:t xml:space="preserve">몽얌나</x:t>
        </x:is>
      </x:c>
      <x:c r="C522" s="5" t="inlineStr">
        <x:is>
          <x:t xml:space="preserve">musharna</x:t>
        </x:is>
      </x:c>
      <x:c r="D522" s="5" t="n">
        <x:v>5</x:v>
      </x:c>
      <x:c r="E522" s="10" t="n">
        <x:f>SUM(XLOOKUP('포켓몬_편집'!$AF522:$AN522,'분류_규칙'!$A$5:$A$76,'분류_규칙'!$E$5:$E$76,0))</x:f>
        <x:v>8</x:v>
      </x:c>
      <x:c r="F522" s="10" t="n">
        <x:f>SUM(XLOOKUP('포켓몬_편집'!$AF522:$AN522,'분류_규칙'!$A$5:$A$76,'분류_규칙'!$F$5:$F$76,0))</x:f>
        <x:v>8</x:v>
      </x:c>
      <x:c r="G522" s="10" t="n">
        <x:f>SUM(XLOOKUP('포켓몬_편집'!$AF522:$AN522,'분류_규칙'!$A$5:$A$76,'분류_규칙'!$G$5:$G$76,0))</x:f>
        <x:v>0</x:v>
      </x:c>
      <x:c r="H522" s="10" t="n">
        <x:f>SUM(XLOOKUP('포켓몬_편집'!$AF522:$AN522,'분류_규칙'!$A$5:$A$76,'분류_규칙'!$H$5:$H$76,0))</x:f>
        <x:v>12</x:v>
      </x:c>
      <x:c r="I522" s="10" t="n">
        <x:f>SUM(XLOOKUP('포켓몬_편집'!$AF522:$AN522,'분류_규칙'!$A$5:$A$76,'분류_규칙'!$I$5:$I$76,0))</x:f>
        <x:v>0</x:v>
      </x:c>
      <x:c r="J522" s="10" t="n">
        <x:f>SUM(XLOOKUP('포켓몬_편집'!$AF522:$AN522,'분류_규칙'!$A$5:$A$76,'분류_규칙'!$J$5:$J$76,0))</x:f>
        <x:v>0</x:v>
      </x:c>
      <x:c r="K522" s="10" t="n">
        <x:f>SUM(XLOOKUP('포켓몬_편집'!$AF522:$AN522,'분류_규칙'!$A$5:$A$76,'분류_규칙'!$K$5:$K$76,0))</x:f>
        <x:v>0</x:v>
      </x:c>
      <x:c r="L522" s="10" t="n">
        <x:f>SUM(XLOOKUP('포켓몬_편집'!$AF522:$AN522,'분류_규칙'!$A$5:$A$76,'분류_규칙'!$L$5:$L$76,0))</x:f>
        <x:v>3</x:v>
      </x:c>
      <x:c r="M522" s="10" t="n">
        <x:f>SUM(XLOOKUP('포켓몬_편집'!$AF522:$AN522,'분류_규칙'!$A$5:$A$76,'분류_규칙'!$M$5:$M$76,0))</x:f>
        <x:v>0</x:v>
      </x:c>
      <x:c r="N522" s="10" t="n">
        <x:f>SUM(XLOOKUP('포켓몬_편집'!$AF522:$AN522,'분류_규칙'!$A$5:$A$76,'분류_규칙'!$N$5:$N$76,0))</x:f>
        <x:v>0</x:v>
      </x:c>
      <x:c r="O522" s="10" t="n">
        <x:f>SUM(XLOOKUP('포켓몬_편집'!$AF522:$AN522,'분류_규칙'!$A$5:$A$76,'분류_규칙'!$O$5:$O$76,0))</x:f>
        <x:v>2</x:v>
      </x:c>
      <x:c r="P522" s="10" t="n">
        <x:f>SUM(XLOOKUP('포켓몬_편집'!$AF522:$AN522,'분류_규칙'!$A$5:$A$76,'분류_규칙'!$P$5:$P$76,0))</x:f>
        <x:v>0</x:v>
      </x:c>
    </x:row>
    <x:row r="523" ht="22" customHeight="1">
      <x:c r="A523" s="5" t="n">
        <x:v>519</x:v>
      </x:c>
      <x:c r="B523" s="5" t="inlineStr">
        <x:is>
          <x:t xml:space="preserve">콩둘기</x:t>
        </x:is>
      </x:c>
      <x:c r="C523" s="5" t="inlineStr">
        <x:is>
          <x:t xml:space="preserve">pidove</x:t>
        </x:is>
      </x:c>
      <x:c r="D523" s="5" t="n">
        <x:v>5</x:v>
      </x:c>
      <x:c r="E523" s="10" t="n">
        <x:f>SUM(XLOOKUP('포켓몬_편집'!$AF523:$AN523,'분류_규칙'!$A$5:$A$76,'분류_규칙'!$E$5:$E$76,0))</x:f>
        <x:v>8</x:v>
      </x:c>
      <x:c r="F523" s="10" t="n">
        <x:f>SUM(XLOOKUP('포켓몬_편집'!$AF523:$AN523,'분류_규칙'!$A$5:$A$76,'분류_규칙'!$F$5:$F$76,0))</x:f>
        <x:v>8</x:v>
      </x:c>
      <x:c r="G523" s="10" t="n">
        <x:f>SUM(XLOOKUP('포켓몬_편집'!$AF523:$AN523,'분류_규칙'!$A$5:$A$76,'분류_규칙'!$G$5:$G$76,0))</x:f>
        <x:v>0</x:v>
      </x:c>
      <x:c r="H523" s="10" t="n">
        <x:f>SUM(XLOOKUP('포켓몬_편집'!$AF523:$AN523,'분류_규칙'!$A$5:$A$76,'분류_규칙'!$H$5:$H$76,0))</x:f>
        <x:v>12</x:v>
      </x:c>
      <x:c r="I523" s="10" t="n">
        <x:f>SUM(XLOOKUP('포켓몬_편집'!$AF523:$AN523,'분류_규칙'!$A$5:$A$76,'분류_규칙'!$I$5:$I$76,0))</x:f>
        <x:v>0</x:v>
      </x:c>
      <x:c r="J523" s="10" t="n">
        <x:f>SUM(XLOOKUP('포켓몬_편집'!$AF523:$AN523,'분류_규칙'!$A$5:$A$76,'분류_규칙'!$J$5:$J$76,0))</x:f>
        <x:v>0</x:v>
      </x:c>
      <x:c r="K523" s="10" t="n">
        <x:f>SUM(XLOOKUP('포켓몬_편집'!$AF523:$AN523,'분류_규칙'!$A$5:$A$76,'분류_규칙'!$K$5:$K$76,0))</x:f>
        <x:v>0</x:v>
      </x:c>
      <x:c r="L523" s="10" t="n">
        <x:f>SUM(XLOOKUP('포켓몬_편집'!$AF523:$AN523,'분류_규칙'!$A$5:$A$76,'분류_규칙'!$L$5:$L$76,0))</x:f>
        <x:v>3</x:v>
      </x:c>
      <x:c r="M523" s="10" t="n">
        <x:f>SUM(XLOOKUP('포켓몬_편집'!$AF523:$AN523,'분류_규칙'!$A$5:$A$76,'분류_규칙'!$M$5:$M$76,0))</x:f>
        <x:v>0</x:v>
      </x:c>
      <x:c r="N523" s="10" t="n">
        <x:f>SUM(XLOOKUP('포켓몬_편집'!$AF523:$AN523,'분류_규칙'!$A$5:$A$76,'분류_규칙'!$N$5:$N$76,0))</x:f>
        <x:v>0</x:v>
      </x:c>
      <x:c r="O523" s="10" t="n">
        <x:f>SUM(XLOOKUP('포켓몬_편집'!$AF523:$AN523,'분류_규칙'!$A$5:$A$76,'분류_규칙'!$O$5:$O$76,0))</x:f>
        <x:v>2</x:v>
      </x:c>
      <x:c r="P523" s="10" t="n">
        <x:f>SUM(XLOOKUP('포켓몬_편집'!$AF523:$AN523,'분류_규칙'!$A$5:$A$76,'분류_규칙'!$P$5:$P$76,0))</x:f>
        <x:v>0</x:v>
      </x:c>
    </x:row>
    <x:row r="524" ht="22" customHeight="1">
      <x:c r="A524" s="5" t="n">
        <x:v>520</x:v>
      </x:c>
      <x:c r="B524" s="5" t="inlineStr">
        <x:is>
          <x:t xml:space="preserve">유토브</x:t>
        </x:is>
      </x:c>
      <x:c r="C524" s="5" t="inlineStr">
        <x:is>
          <x:t xml:space="preserve">tranquill</x:t>
        </x:is>
      </x:c>
      <x:c r="D524" s="5" t="n">
        <x:v>5</x:v>
      </x:c>
      <x:c r="E524" s="10" t="n">
        <x:f>SUM(XLOOKUP('포켓몬_편집'!$AF524:$AN524,'분류_규칙'!$A$5:$A$76,'분류_규칙'!$E$5:$E$76,0))</x:f>
        <x:v>8</x:v>
      </x:c>
      <x:c r="F524" s="10" t="n">
        <x:f>SUM(XLOOKUP('포켓몬_편집'!$AF524:$AN524,'분류_규칙'!$A$5:$A$76,'분류_규칙'!$F$5:$F$76,0))</x:f>
        <x:v>8</x:v>
      </x:c>
      <x:c r="G524" s="10" t="n">
        <x:f>SUM(XLOOKUP('포켓몬_편집'!$AF524:$AN524,'분류_규칙'!$A$5:$A$76,'분류_규칙'!$G$5:$G$76,0))</x:f>
        <x:v>0</x:v>
      </x:c>
      <x:c r="H524" s="10" t="n">
        <x:f>SUM(XLOOKUP('포켓몬_편집'!$AF524:$AN524,'분류_규칙'!$A$5:$A$76,'분류_규칙'!$H$5:$H$76,0))</x:f>
        <x:v>12</x:v>
      </x:c>
      <x:c r="I524" s="10" t="n">
        <x:f>SUM(XLOOKUP('포켓몬_편집'!$AF524:$AN524,'분류_규칙'!$A$5:$A$76,'분류_규칙'!$I$5:$I$76,0))</x:f>
        <x:v>0</x:v>
      </x:c>
      <x:c r="J524" s="10" t="n">
        <x:f>SUM(XLOOKUP('포켓몬_편집'!$AF524:$AN524,'분류_규칙'!$A$5:$A$76,'분류_규칙'!$J$5:$J$76,0))</x:f>
        <x:v>0</x:v>
      </x:c>
      <x:c r="K524" s="10" t="n">
        <x:f>SUM(XLOOKUP('포켓몬_편집'!$AF524:$AN524,'분류_규칙'!$A$5:$A$76,'분류_규칙'!$K$5:$K$76,0))</x:f>
        <x:v>0</x:v>
      </x:c>
      <x:c r="L524" s="10" t="n">
        <x:f>SUM(XLOOKUP('포켓몬_편집'!$AF524:$AN524,'분류_규칙'!$A$5:$A$76,'분류_규칙'!$L$5:$L$76,0))</x:f>
        <x:v>3</x:v>
      </x:c>
      <x:c r="M524" s="10" t="n">
        <x:f>SUM(XLOOKUP('포켓몬_편집'!$AF524:$AN524,'분류_규칙'!$A$5:$A$76,'분류_규칙'!$M$5:$M$76,0))</x:f>
        <x:v>0</x:v>
      </x:c>
      <x:c r="N524" s="10" t="n">
        <x:f>SUM(XLOOKUP('포켓몬_편집'!$AF524:$AN524,'분류_규칙'!$A$5:$A$76,'분류_규칙'!$N$5:$N$76,0))</x:f>
        <x:v>0</x:v>
      </x:c>
      <x:c r="O524" s="10" t="n">
        <x:f>SUM(XLOOKUP('포켓몬_편집'!$AF524:$AN524,'분류_규칙'!$A$5:$A$76,'분류_규칙'!$O$5:$O$76,0))</x:f>
        <x:v>2</x:v>
      </x:c>
      <x:c r="P524" s="10" t="n">
        <x:f>SUM(XLOOKUP('포켓몬_편집'!$AF524:$AN524,'분류_규칙'!$A$5:$A$76,'분류_규칙'!$P$5:$P$76,0))</x:f>
        <x:v>0</x:v>
      </x:c>
    </x:row>
    <x:row r="525" ht="22" customHeight="1">
      <x:c r="A525" s="5" t="n">
        <x:v>521</x:v>
      </x:c>
      <x:c r="B525" s="5" t="inlineStr">
        <x:is>
          <x:t xml:space="preserve">켄호로우</x:t>
        </x:is>
      </x:c>
      <x:c r="C525" s="5" t="inlineStr">
        <x:is>
          <x:t xml:space="preserve">unfezant</x:t>
        </x:is>
      </x:c>
      <x:c r="D525" s="5" t="n">
        <x:v>5</x:v>
      </x:c>
      <x:c r="E525" s="10" t="n">
        <x:f>SUM(XLOOKUP('포켓몬_편집'!$AF525:$AN525,'분류_규칙'!$A$5:$A$76,'분류_규칙'!$E$5:$E$76,0))</x:f>
        <x:v>8</x:v>
      </x:c>
      <x:c r="F525" s="10" t="n">
        <x:f>SUM(XLOOKUP('포켓몬_편집'!$AF525:$AN525,'분류_규칙'!$A$5:$A$76,'분류_규칙'!$F$5:$F$76,0))</x:f>
        <x:v>8</x:v>
      </x:c>
      <x:c r="G525" s="10" t="n">
        <x:f>SUM(XLOOKUP('포켓몬_편집'!$AF525:$AN525,'분류_규칙'!$A$5:$A$76,'분류_규칙'!$G$5:$G$76,0))</x:f>
        <x:v>0</x:v>
      </x:c>
      <x:c r="H525" s="10" t="n">
        <x:f>SUM(XLOOKUP('포켓몬_편집'!$AF525:$AN525,'분류_규칙'!$A$5:$A$76,'분류_규칙'!$H$5:$H$76,0))</x:f>
        <x:v>12</x:v>
      </x:c>
      <x:c r="I525" s="10" t="n">
        <x:f>SUM(XLOOKUP('포켓몬_편집'!$AF525:$AN525,'분류_규칙'!$A$5:$A$76,'분류_규칙'!$I$5:$I$76,0))</x:f>
        <x:v>0</x:v>
      </x:c>
      <x:c r="J525" s="10" t="n">
        <x:f>SUM(XLOOKUP('포켓몬_편집'!$AF525:$AN525,'분류_규칙'!$A$5:$A$76,'분류_규칙'!$J$5:$J$76,0))</x:f>
        <x:v>0</x:v>
      </x:c>
      <x:c r="K525" s="10" t="n">
        <x:f>SUM(XLOOKUP('포켓몬_편집'!$AF525:$AN525,'분류_규칙'!$A$5:$A$76,'분류_규칙'!$K$5:$K$76,0))</x:f>
        <x:v>0</x:v>
      </x:c>
      <x:c r="L525" s="10" t="n">
        <x:f>SUM(XLOOKUP('포켓몬_편집'!$AF525:$AN525,'분류_규칙'!$A$5:$A$76,'분류_규칙'!$L$5:$L$76,0))</x:f>
        <x:v>3</x:v>
      </x:c>
      <x:c r="M525" s="10" t="n">
        <x:f>SUM(XLOOKUP('포켓몬_편집'!$AF525:$AN525,'분류_규칙'!$A$5:$A$76,'분류_규칙'!$M$5:$M$76,0))</x:f>
        <x:v>0</x:v>
      </x:c>
      <x:c r="N525" s="10" t="n">
        <x:f>SUM(XLOOKUP('포켓몬_편집'!$AF525:$AN525,'분류_규칙'!$A$5:$A$76,'분류_규칙'!$N$5:$N$76,0))</x:f>
        <x:v>0</x:v>
      </x:c>
      <x:c r="O525" s="10" t="n">
        <x:f>SUM(XLOOKUP('포켓몬_편집'!$AF525:$AN525,'분류_규칙'!$A$5:$A$76,'분류_규칙'!$O$5:$O$76,0))</x:f>
        <x:v>2</x:v>
      </x:c>
      <x:c r="P525" s="10" t="n">
        <x:f>SUM(XLOOKUP('포켓몬_편집'!$AF525:$AN525,'분류_규칙'!$A$5:$A$76,'분류_규칙'!$P$5:$P$76,0))</x:f>
        <x:v>0</x:v>
      </x:c>
    </x:row>
    <x:row r="526" ht="22" customHeight="1">
      <x:c r="A526" s="5" t="n">
        <x:v>522</x:v>
      </x:c>
      <x:c r="B526" s="5" t="inlineStr">
        <x:is>
          <x:t xml:space="preserve">줄뮤마</x:t>
        </x:is>
      </x:c>
      <x:c r="C526" s="5" t="inlineStr">
        <x:is>
          <x:t xml:space="preserve">blitzle</x:t>
        </x:is>
      </x:c>
      <x:c r="D526" s="5" t="n">
        <x:v>5</x:v>
      </x:c>
      <x:c r="E526" s="10" t="n">
        <x:f>SUM(XLOOKUP('포켓몬_편집'!$AF526:$AN526,'분류_규칙'!$A$5:$A$76,'분류_규칙'!$E$5:$E$76,0))</x:f>
        <x:v>10</x:v>
      </x:c>
      <x:c r="F526" s="10" t="n">
        <x:f>SUM(XLOOKUP('포켓몬_편집'!$AF526:$AN526,'분류_규칙'!$A$5:$A$76,'분류_규칙'!$F$5:$F$76,0))</x:f>
        <x:v>7</x:v>
      </x:c>
      <x:c r="G526" s="10" t="n">
        <x:f>SUM(XLOOKUP('포켓몬_편집'!$AF526:$AN526,'분류_규칙'!$A$5:$A$76,'분류_규칙'!$G$5:$G$76,0))</x:f>
        <x:v>5</x:v>
      </x:c>
      <x:c r="H526" s="10" t="n">
        <x:f>SUM(XLOOKUP('포켓몬_편집'!$AF526:$AN526,'분류_규칙'!$A$5:$A$76,'분류_규칙'!$H$5:$H$76,0))</x:f>
        <x:v>5</x:v>
      </x:c>
      <x:c r="I526" s="10" t="n">
        <x:f>SUM(XLOOKUP('포켓몬_편집'!$AF526:$AN526,'분류_규칙'!$A$5:$A$76,'분류_규칙'!$I$5:$I$76,0))</x:f>
        <x:v>0</x:v>
      </x:c>
      <x:c r="J526" s="10" t="n">
        <x:f>SUM(XLOOKUP('포켓몬_편집'!$AF526:$AN526,'분류_규칙'!$A$5:$A$76,'분류_규칙'!$J$5:$J$76,0))</x:f>
        <x:v>2</x:v>
      </x:c>
      <x:c r="K526" s="10" t="n">
        <x:f>SUM(XLOOKUP('포켓몬_편집'!$AF526:$AN526,'분류_규칙'!$A$5:$A$76,'분류_규칙'!$K$5:$K$76,0))</x:f>
        <x:v>0</x:v>
      </x:c>
      <x:c r="L526" s="10" t="n">
        <x:f>SUM(XLOOKUP('포켓몬_편집'!$AF526:$AN526,'분류_규칙'!$A$5:$A$76,'분류_규칙'!$L$5:$L$76,0))</x:f>
        <x:v>0</x:v>
      </x:c>
      <x:c r="M526" s="10" t="n">
        <x:f>SUM(XLOOKUP('포켓몬_편집'!$AF526:$AN526,'분류_규칙'!$A$5:$A$76,'분류_규칙'!$M$5:$M$76,0))</x:f>
        <x:v>0</x:v>
      </x:c>
      <x:c r="N526" s="10" t="n">
        <x:f>SUM(XLOOKUP('포켓몬_편집'!$AF526:$AN526,'분류_규칙'!$A$5:$A$76,'분류_규칙'!$N$5:$N$76,0))</x:f>
        <x:v>0</x:v>
      </x:c>
      <x:c r="O526" s="10" t="n">
        <x:f>SUM(XLOOKUP('포켓몬_편집'!$AF526:$AN526,'분류_규칙'!$A$5:$A$76,'분류_규칙'!$O$5:$O$76,0))</x:f>
        <x:v>2</x:v>
      </x:c>
      <x:c r="P526" s="10" t="n">
        <x:f>SUM(XLOOKUP('포켓몬_편집'!$AF526:$AN526,'분류_규칙'!$A$5:$A$76,'분류_규칙'!$P$5:$P$76,0))</x:f>
        <x:v>0</x:v>
      </x:c>
    </x:row>
    <x:row r="527" ht="22" customHeight="1">
      <x:c r="A527" s="5" t="n">
        <x:v>523</x:v>
      </x:c>
      <x:c r="B527" s="5" t="inlineStr">
        <x:is>
          <x:t xml:space="preserve">제브라이카</x:t>
        </x:is>
      </x:c>
      <x:c r="C527" s="5" t="inlineStr">
        <x:is>
          <x:t xml:space="preserve">zebstrika</x:t>
        </x:is>
      </x:c>
      <x:c r="D527" s="5" t="n">
        <x:v>5</x:v>
      </x:c>
      <x:c r="E527" s="10" t="n">
        <x:f>SUM(XLOOKUP('포켓몬_편집'!$AF527:$AN527,'분류_규칙'!$A$5:$A$76,'분류_규칙'!$E$5:$E$76,0))</x:f>
        <x:v>10</x:v>
      </x:c>
      <x:c r="F527" s="10" t="n">
        <x:f>SUM(XLOOKUP('포켓몬_편집'!$AF527:$AN527,'분류_규칙'!$A$5:$A$76,'분류_규칙'!$F$5:$F$76,0))</x:f>
        <x:v>7</x:v>
      </x:c>
      <x:c r="G527" s="10" t="n">
        <x:f>SUM(XLOOKUP('포켓몬_편집'!$AF527:$AN527,'분류_규칙'!$A$5:$A$76,'분류_규칙'!$G$5:$G$76,0))</x:f>
        <x:v>5</x:v>
      </x:c>
      <x:c r="H527" s="10" t="n">
        <x:f>SUM(XLOOKUP('포켓몬_편집'!$AF527:$AN527,'분류_규칙'!$A$5:$A$76,'분류_규칙'!$H$5:$H$76,0))</x:f>
        <x:v>5</x:v>
      </x:c>
      <x:c r="I527" s="10" t="n">
        <x:f>SUM(XLOOKUP('포켓몬_편집'!$AF527:$AN527,'분류_규칙'!$A$5:$A$76,'분류_규칙'!$I$5:$I$76,0))</x:f>
        <x:v>0</x:v>
      </x:c>
      <x:c r="J527" s="10" t="n">
        <x:f>SUM(XLOOKUP('포켓몬_편집'!$AF527:$AN527,'분류_규칙'!$A$5:$A$76,'분류_규칙'!$J$5:$J$76,0))</x:f>
        <x:v>2</x:v>
      </x:c>
      <x:c r="K527" s="10" t="n">
        <x:f>SUM(XLOOKUP('포켓몬_편집'!$AF527:$AN527,'분류_규칙'!$A$5:$A$76,'분류_규칙'!$K$5:$K$76,0))</x:f>
        <x:v>0</x:v>
      </x:c>
      <x:c r="L527" s="10" t="n">
        <x:f>SUM(XLOOKUP('포켓몬_편집'!$AF527:$AN527,'분류_규칙'!$A$5:$A$76,'분류_규칙'!$L$5:$L$76,0))</x:f>
        <x:v>0</x:v>
      </x:c>
      <x:c r="M527" s="10" t="n">
        <x:f>SUM(XLOOKUP('포켓몬_편집'!$AF527:$AN527,'분류_규칙'!$A$5:$A$76,'분류_규칙'!$M$5:$M$76,0))</x:f>
        <x:v>0</x:v>
      </x:c>
      <x:c r="N527" s="10" t="n">
        <x:f>SUM(XLOOKUP('포켓몬_편집'!$AF527:$AN527,'분류_규칙'!$A$5:$A$76,'분류_규칙'!$N$5:$N$76,0))</x:f>
        <x:v>0</x:v>
      </x:c>
      <x:c r="O527" s="10" t="n">
        <x:f>SUM(XLOOKUP('포켓몬_편집'!$AF527:$AN527,'분류_규칙'!$A$5:$A$76,'분류_규칙'!$O$5:$O$76,0))</x:f>
        <x:v>2</x:v>
      </x:c>
      <x:c r="P527" s="10" t="n">
        <x:f>SUM(XLOOKUP('포켓몬_편집'!$AF527:$AN527,'분류_규칙'!$A$5:$A$76,'분류_규칙'!$P$5:$P$76,0))</x:f>
        <x:v>0</x:v>
      </x:c>
    </x:row>
    <x:row r="528" ht="22" customHeight="1">
      <x:c r="A528" s="5" t="n">
        <x:v>524</x:v>
      </x:c>
      <x:c r="B528" s="5" t="inlineStr">
        <x:is>
          <x:t xml:space="preserve">단굴</x:t>
        </x:is>
      </x:c>
      <x:c r="C528" s="5" t="inlineStr">
        <x:is>
          <x:t xml:space="preserve">roggenrola</x:t>
        </x:is>
      </x:c>
      <x:c r="D528" s="5" t="n">
        <x:v>5</x:v>
      </x:c>
      <x:c r="E528" s="10" t="n">
        <x:f>SUM(XLOOKUP('포켓몬_편집'!$AF528:$AN528,'분류_규칙'!$A$5:$A$76,'분류_규칙'!$E$5:$E$76,0))</x:f>
        <x:v>0</x:v>
      </x:c>
      <x:c r="F528" s="10" t="n">
        <x:f>SUM(XLOOKUP('포켓몬_편집'!$AF528:$AN528,'분류_규칙'!$A$5:$A$76,'분류_규칙'!$F$5:$F$76,0))</x:f>
        <x:v>0</x:v>
      </x:c>
      <x:c r="G528" s="10" t="n">
        <x:f>SUM(XLOOKUP('포켓몬_편집'!$AF528:$AN528,'분류_규칙'!$A$5:$A$76,'분류_규칙'!$G$5:$G$76,0))</x:f>
        <x:v>0</x:v>
      </x:c>
      <x:c r="H528" s="10" t="n">
        <x:f>SUM(XLOOKUP('포켓몬_편집'!$AF528:$AN528,'분류_규칙'!$A$5:$A$76,'분류_규칙'!$H$5:$H$76,0))</x:f>
        <x:v>10</x:v>
      </x:c>
      <x:c r="I528" s="10" t="n">
        <x:f>SUM(XLOOKUP('포켓몬_편집'!$AF528:$AN528,'분류_규칙'!$A$5:$A$76,'분류_규칙'!$I$5:$I$76,0))</x:f>
        <x:v>30</x:v>
      </x:c>
      <x:c r="J528" s="10" t="n">
        <x:f>SUM(XLOOKUP('포켓몬_편집'!$AF528:$AN528,'분류_규칙'!$A$5:$A$76,'분류_규칙'!$J$5:$J$76,0))</x:f>
        <x:v>0</x:v>
      </x:c>
      <x:c r="K528" s="10" t="n">
        <x:f>SUM(XLOOKUP('포켓몬_편집'!$AF528:$AN528,'분류_규칙'!$A$5:$A$76,'분류_규칙'!$K$5:$K$76,0))</x:f>
        <x:v>0</x:v>
      </x:c>
      <x:c r="L528" s="10" t="n">
        <x:f>SUM(XLOOKUP('포켓몬_편집'!$AF528:$AN528,'분류_규칙'!$A$5:$A$76,'분류_규칙'!$L$5:$L$76,0))</x:f>
        <x:v>0</x:v>
      </x:c>
      <x:c r="M528" s="10" t="n">
        <x:f>SUM(XLOOKUP('포켓몬_편집'!$AF528:$AN528,'분류_규칙'!$A$5:$A$76,'분류_규칙'!$M$5:$M$76,0))</x:f>
        <x:v>0</x:v>
      </x:c>
      <x:c r="N528" s="10" t="n">
        <x:f>SUM(XLOOKUP('포켓몬_편집'!$AF528:$AN528,'분류_규칙'!$A$5:$A$76,'분류_규칙'!$N$5:$N$76,0))</x:f>
        <x:v>0</x:v>
      </x:c>
      <x:c r="O528" s="10" t="n">
        <x:f>SUM(XLOOKUP('포켓몬_편집'!$AF528:$AN528,'분류_규칙'!$A$5:$A$76,'분류_규칙'!$O$5:$O$76,0))</x:f>
        <x:v>0</x:v>
      </x:c>
      <x:c r="P528" s="10" t="n">
        <x:f>SUM(XLOOKUP('포켓몬_편집'!$AF528:$AN528,'분류_규칙'!$A$5:$A$76,'분류_규칙'!$P$5:$P$76,0))</x:f>
        <x:v>0</x:v>
      </x:c>
    </x:row>
    <x:row r="529" ht="22" customHeight="1">
      <x:c r="A529" s="5" t="n">
        <x:v>525</x:v>
      </x:c>
      <x:c r="B529" s="5" t="inlineStr">
        <x:is>
          <x:t xml:space="preserve">암트르</x:t>
        </x:is>
      </x:c>
      <x:c r="C529" s="5" t="inlineStr">
        <x:is>
          <x:t xml:space="preserve">boldore</x:t>
        </x:is>
      </x:c>
      <x:c r="D529" s="5" t="n">
        <x:v>5</x:v>
      </x:c>
      <x:c r="E529" s="10" t="n">
        <x:f>SUM(XLOOKUP('포켓몬_편집'!$AF529:$AN529,'분류_규칙'!$A$5:$A$76,'분류_규칙'!$E$5:$E$76,0))</x:f>
        <x:v>0</x:v>
      </x:c>
      <x:c r="F529" s="10" t="n">
        <x:f>SUM(XLOOKUP('포켓몬_편집'!$AF529:$AN529,'분류_규칙'!$A$5:$A$76,'분류_규칙'!$F$5:$F$76,0))</x:f>
        <x:v>0</x:v>
      </x:c>
      <x:c r="G529" s="10" t="n">
        <x:f>SUM(XLOOKUP('포켓몬_편집'!$AF529:$AN529,'분류_규칙'!$A$5:$A$76,'분류_규칙'!$G$5:$G$76,0))</x:f>
        <x:v>0</x:v>
      </x:c>
      <x:c r="H529" s="10" t="n">
        <x:f>SUM(XLOOKUP('포켓몬_편집'!$AF529:$AN529,'분류_규칙'!$A$5:$A$76,'분류_규칙'!$H$5:$H$76,0))</x:f>
        <x:v>10</x:v>
      </x:c>
      <x:c r="I529" s="10" t="n">
        <x:f>SUM(XLOOKUP('포켓몬_편집'!$AF529:$AN529,'분류_규칙'!$A$5:$A$76,'분류_규칙'!$I$5:$I$76,0))</x:f>
        <x:v>30</x:v>
      </x:c>
      <x:c r="J529" s="10" t="n">
        <x:f>SUM(XLOOKUP('포켓몬_편집'!$AF529:$AN529,'분류_규칙'!$A$5:$A$76,'분류_규칙'!$J$5:$J$76,0))</x:f>
        <x:v>0</x:v>
      </x:c>
      <x:c r="K529" s="10" t="n">
        <x:f>SUM(XLOOKUP('포켓몬_편집'!$AF529:$AN529,'분류_규칙'!$A$5:$A$76,'분류_규칙'!$K$5:$K$76,0))</x:f>
        <x:v>0</x:v>
      </x:c>
      <x:c r="L529" s="10" t="n">
        <x:f>SUM(XLOOKUP('포켓몬_편집'!$AF529:$AN529,'분류_규칙'!$A$5:$A$76,'분류_규칙'!$L$5:$L$76,0))</x:f>
        <x:v>0</x:v>
      </x:c>
      <x:c r="M529" s="10" t="n">
        <x:f>SUM(XLOOKUP('포켓몬_편집'!$AF529:$AN529,'분류_규칙'!$A$5:$A$76,'분류_규칙'!$M$5:$M$76,0))</x:f>
        <x:v>0</x:v>
      </x:c>
      <x:c r="N529" s="10" t="n">
        <x:f>SUM(XLOOKUP('포켓몬_편집'!$AF529:$AN529,'분류_규칙'!$A$5:$A$76,'분류_규칙'!$N$5:$N$76,0))</x:f>
        <x:v>0</x:v>
      </x:c>
      <x:c r="O529" s="10" t="n">
        <x:f>SUM(XLOOKUP('포켓몬_편집'!$AF529:$AN529,'분류_규칙'!$A$5:$A$76,'분류_규칙'!$O$5:$O$76,0))</x:f>
        <x:v>0</x:v>
      </x:c>
      <x:c r="P529" s="10" t="n">
        <x:f>SUM(XLOOKUP('포켓몬_편집'!$AF529:$AN529,'분류_규칙'!$A$5:$A$76,'분류_규칙'!$P$5:$P$76,0))</x:f>
        <x:v>0</x:v>
      </x:c>
    </x:row>
    <x:row r="530" ht="22" customHeight="1">
      <x:c r="A530" s="5" t="n">
        <x:v>526</x:v>
      </x:c>
      <x:c r="B530" s="5" t="inlineStr">
        <x:is>
          <x:t xml:space="preserve">기가이어스</x:t>
        </x:is>
      </x:c>
      <x:c r="C530" s="5" t="inlineStr">
        <x:is>
          <x:t xml:space="preserve">gigalith</x:t>
        </x:is>
      </x:c>
      <x:c r="D530" s="5" t="n">
        <x:v>5</x:v>
      </x:c>
      <x:c r="E530" s="10" t="n">
        <x:f>SUM(XLOOKUP('포켓몬_편집'!$AF530:$AN530,'분류_규칙'!$A$5:$A$76,'분류_규칙'!$E$5:$E$76,0))</x:f>
        <x:v>0</x:v>
      </x:c>
      <x:c r="F530" s="10" t="n">
        <x:f>SUM(XLOOKUP('포켓몬_편집'!$AF530:$AN530,'분류_규칙'!$A$5:$A$76,'분류_규칙'!$F$5:$F$76,0))</x:f>
        <x:v>0</x:v>
      </x:c>
      <x:c r="G530" s="10" t="n">
        <x:f>SUM(XLOOKUP('포켓몬_편집'!$AF530:$AN530,'분류_규칙'!$A$5:$A$76,'분류_규칙'!$G$5:$G$76,0))</x:f>
        <x:v>0</x:v>
      </x:c>
      <x:c r="H530" s="10" t="n">
        <x:f>SUM(XLOOKUP('포켓몬_편집'!$AF530:$AN530,'분류_규칙'!$A$5:$A$76,'분류_규칙'!$H$5:$H$76,0))</x:f>
        <x:v>10</x:v>
      </x:c>
      <x:c r="I530" s="10" t="n">
        <x:f>SUM(XLOOKUP('포켓몬_편집'!$AF530:$AN530,'분류_규칙'!$A$5:$A$76,'분류_규칙'!$I$5:$I$76,0))</x:f>
        <x:v>30</x:v>
      </x:c>
      <x:c r="J530" s="10" t="n">
        <x:f>SUM(XLOOKUP('포켓몬_편집'!$AF530:$AN530,'분류_규칙'!$A$5:$A$76,'분류_규칙'!$J$5:$J$76,0))</x:f>
        <x:v>0</x:v>
      </x:c>
      <x:c r="K530" s="10" t="n">
        <x:f>SUM(XLOOKUP('포켓몬_편집'!$AF530:$AN530,'분류_규칙'!$A$5:$A$76,'분류_규칙'!$K$5:$K$76,0))</x:f>
        <x:v>0</x:v>
      </x:c>
      <x:c r="L530" s="10" t="n">
        <x:f>SUM(XLOOKUP('포켓몬_편집'!$AF530:$AN530,'분류_규칙'!$A$5:$A$76,'분류_규칙'!$L$5:$L$76,0))</x:f>
        <x:v>0</x:v>
      </x:c>
      <x:c r="M530" s="10" t="n">
        <x:f>SUM(XLOOKUP('포켓몬_편집'!$AF530:$AN530,'분류_규칙'!$A$5:$A$76,'분류_규칙'!$M$5:$M$76,0))</x:f>
        <x:v>0</x:v>
      </x:c>
      <x:c r="N530" s="10" t="n">
        <x:f>SUM(XLOOKUP('포켓몬_편집'!$AF530:$AN530,'분류_규칙'!$A$5:$A$76,'분류_규칙'!$N$5:$N$76,0))</x:f>
        <x:v>0</x:v>
      </x:c>
      <x:c r="O530" s="10" t="n">
        <x:f>SUM(XLOOKUP('포켓몬_편집'!$AF530:$AN530,'분류_규칙'!$A$5:$A$76,'분류_규칙'!$O$5:$O$76,0))</x:f>
        <x:v>0</x:v>
      </x:c>
      <x:c r="P530" s="10" t="n">
        <x:f>SUM(XLOOKUP('포켓몬_편집'!$AF530:$AN530,'분류_규칙'!$A$5:$A$76,'분류_규칙'!$P$5:$P$76,0))</x:f>
        <x:v>0</x:v>
      </x:c>
    </x:row>
    <x:row r="531" ht="22" customHeight="1">
      <x:c r="A531" s="5" t="n">
        <x:v>527</x:v>
      </x:c>
      <x:c r="B531" s="5" t="inlineStr">
        <x:is>
          <x:t xml:space="preserve">또르박쥐</x:t>
        </x:is>
      </x:c>
      <x:c r="C531" s="5" t="inlineStr">
        <x:is>
          <x:t xml:space="preserve">woobat</x:t>
        </x:is>
      </x:c>
      <x:c r="D531" s="5" t="n">
        <x:v>5</x:v>
      </x:c>
      <x:c r="E531" s="10" t="n">
        <x:f>SUM(XLOOKUP('포켓몬_편집'!$AF531:$AN531,'분류_규칙'!$A$5:$A$76,'분류_규칙'!$E$5:$E$76,0))</x:f>
        <x:v>8</x:v>
      </x:c>
      <x:c r="F531" s="10" t="n">
        <x:f>SUM(XLOOKUP('포켓몬_편집'!$AF531:$AN531,'분류_규칙'!$A$5:$A$76,'분류_규칙'!$F$5:$F$76,0))</x:f>
        <x:v>8</x:v>
      </x:c>
      <x:c r="G531" s="10" t="n">
        <x:f>SUM(XLOOKUP('포켓몬_편집'!$AF531:$AN531,'분류_규칙'!$A$5:$A$76,'분류_규칙'!$G$5:$G$76,0))</x:f>
        <x:v>0</x:v>
      </x:c>
      <x:c r="H531" s="10" t="n">
        <x:f>SUM(XLOOKUP('포켓몬_편집'!$AF531:$AN531,'분류_규칙'!$A$5:$A$76,'분류_규칙'!$H$5:$H$76,0))</x:f>
        <x:v>12</x:v>
      </x:c>
      <x:c r="I531" s="10" t="n">
        <x:f>SUM(XLOOKUP('포켓몬_편집'!$AF531:$AN531,'분류_규칙'!$A$5:$A$76,'분류_규칙'!$I$5:$I$76,0))</x:f>
        <x:v>0</x:v>
      </x:c>
      <x:c r="J531" s="10" t="n">
        <x:f>SUM(XLOOKUP('포켓몬_편집'!$AF531:$AN531,'분류_규칙'!$A$5:$A$76,'분류_규칙'!$J$5:$J$76,0))</x:f>
        <x:v>0</x:v>
      </x:c>
      <x:c r="K531" s="10" t="n">
        <x:f>SUM(XLOOKUP('포켓몬_편집'!$AF531:$AN531,'분류_규칙'!$A$5:$A$76,'분류_규칙'!$K$5:$K$76,0))</x:f>
        <x:v>0</x:v>
      </x:c>
      <x:c r="L531" s="10" t="n">
        <x:f>SUM(XLOOKUP('포켓몬_편집'!$AF531:$AN531,'분류_규칙'!$A$5:$A$76,'분류_규칙'!$L$5:$L$76,0))</x:f>
        <x:v>3</x:v>
      </x:c>
      <x:c r="M531" s="10" t="n">
        <x:f>SUM(XLOOKUP('포켓몬_편집'!$AF531:$AN531,'분류_규칙'!$A$5:$A$76,'분류_규칙'!$M$5:$M$76,0))</x:f>
        <x:v>0</x:v>
      </x:c>
      <x:c r="N531" s="10" t="n">
        <x:f>SUM(XLOOKUP('포켓몬_편집'!$AF531:$AN531,'분류_규칙'!$A$5:$A$76,'분류_규칙'!$N$5:$N$76,0))</x:f>
        <x:v>0</x:v>
      </x:c>
      <x:c r="O531" s="10" t="n">
        <x:f>SUM(XLOOKUP('포켓몬_편집'!$AF531:$AN531,'분류_규칙'!$A$5:$A$76,'분류_규칙'!$O$5:$O$76,0))</x:f>
        <x:v>2</x:v>
      </x:c>
      <x:c r="P531" s="10" t="n">
        <x:f>SUM(XLOOKUP('포켓몬_편집'!$AF531:$AN531,'분류_규칙'!$A$5:$A$76,'분류_규칙'!$P$5:$P$76,0))</x:f>
        <x:v>0</x:v>
      </x:c>
    </x:row>
    <x:row r="532" ht="22" customHeight="1">
      <x:c r="A532" s="5" t="n">
        <x:v>528</x:v>
      </x:c>
      <x:c r="B532" s="5" t="inlineStr">
        <x:is>
          <x:t xml:space="preserve">맘박쥐</x:t>
        </x:is>
      </x:c>
      <x:c r="C532" s="5" t="inlineStr">
        <x:is>
          <x:t xml:space="preserve">swoobat</x:t>
        </x:is>
      </x:c>
      <x:c r="D532" s="5" t="n">
        <x:v>5</x:v>
      </x:c>
      <x:c r="E532" s="10" t="n">
        <x:f>SUM(XLOOKUP('포켓몬_편집'!$AF532:$AN532,'분류_규칙'!$A$5:$A$76,'분류_규칙'!$E$5:$E$76,0))</x:f>
        <x:v>8</x:v>
      </x:c>
      <x:c r="F532" s="10" t="n">
        <x:f>SUM(XLOOKUP('포켓몬_편집'!$AF532:$AN532,'분류_규칙'!$A$5:$A$76,'분류_규칙'!$F$5:$F$76,0))</x:f>
        <x:v>8</x:v>
      </x:c>
      <x:c r="G532" s="10" t="n">
        <x:f>SUM(XLOOKUP('포켓몬_편집'!$AF532:$AN532,'분류_규칙'!$A$5:$A$76,'분류_규칙'!$G$5:$G$76,0))</x:f>
        <x:v>0</x:v>
      </x:c>
      <x:c r="H532" s="10" t="n">
        <x:f>SUM(XLOOKUP('포켓몬_편집'!$AF532:$AN532,'분류_규칙'!$A$5:$A$76,'분류_규칙'!$H$5:$H$76,0))</x:f>
        <x:v>12</x:v>
      </x:c>
      <x:c r="I532" s="10" t="n">
        <x:f>SUM(XLOOKUP('포켓몬_편집'!$AF532:$AN532,'분류_규칙'!$A$5:$A$76,'분류_규칙'!$I$5:$I$76,0))</x:f>
        <x:v>0</x:v>
      </x:c>
      <x:c r="J532" s="10" t="n">
        <x:f>SUM(XLOOKUP('포켓몬_편집'!$AF532:$AN532,'분류_규칙'!$A$5:$A$76,'분류_규칙'!$J$5:$J$76,0))</x:f>
        <x:v>0</x:v>
      </x:c>
      <x:c r="K532" s="10" t="n">
        <x:f>SUM(XLOOKUP('포켓몬_편집'!$AF532:$AN532,'분류_규칙'!$A$5:$A$76,'분류_규칙'!$K$5:$K$76,0))</x:f>
        <x:v>0</x:v>
      </x:c>
      <x:c r="L532" s="10" t="n">
        <x:f>SUM(XLOOKUP('포켓몬_편집'!$AF532:$AN532,'분류_규칙'!$A$5:$A$76,'분류_규칙'!$L$5:$L$76,0))</x:f>
        <x:v>3</x:v>
      </x:c>
      <x:c r="M532" s="10" t="n">
        <x:f>SUM(XLOOKUP('포켓몬_편집'!$AF532:$AN532,'분류_규칙'!$A$5:$A$76,'분류_규칙'!$M$5:$M$76,0))</x:f>
        <x:v>0</x:v>
      </x:c>
      <x:c r="N532" s="10" t="n">
        <x:f>SUM(XLOOKUP('포켓몬_편집'!$AF532:$AN532,'분류_규칙'!$A$5:$A$76,'분류_규칙'!$N$5:$N$76,0))</x:f>
        <x:v>0</x:v>
      </x:c>
      <x:c r="O532" s="10" t="n">
        <x:f>SUM(XLOOKUP('포켓몬_편집'!$AF532:$AN532,'분류_규칙'!$A$5:$A$76,'분류_규칙'!$O$5:$O$76,0))</x:f>
        <x:v>2</x:v>
      </x:c>
      <x:c r="P532" s="10" t="n">
        <x:f>SUM(XLOOKUP('포켓몬_편집'!$AF532:$AN532,'분류_규칙'!$A$5:$A$76,'분류_규칙'!$P$5:$P$76,0))</x:f>
        <x:v>0</x:v>
      </x:c>
    </x:row>
    <x:row r="533" ht="22" customHeight="1">
      <x:c r="A533" s="5" t="n">
        <x:v>529</x:v>
      </x:c>
      <x:c r="B533" s="5" t="inlineStr">
        <x:is>
          <x:t xml:space="preserve">두더류</x:t>
        </x:is>
      </x:c>
      <x:c r="C533" s="5" t="inlineStr">
        <x:is>
          <x:t xml:space="preserve">drilbur</x:t>
        </x:is>
      </x:c>
      <x:c r="D533" s="5" t="n">
        <x:v>5</x:v>
      </x:c>
      <x:c r="E533" s="10" t="n">
        <x:f>SUM(XLOOKUP('포켓몬_편집'!$AF533:$AN533,'분류_규칙'!$A$5:$A$76,'분류_규칙'!$E$5:$E$76,0))</x:f>
        <x:v>10</x:v>
      </x:c>
      <x:c r="F533" s="10" t="n">
        <x:f>SUM(XLOOKUP('포켓몬_편집'!$AF533:$AN533,'분류_규칙'!$A$5:$A$76,'분류_규칙'!$F$5:$F$76,0))</x:f>
        <x:v>7</x:v>
      </x:c>
      <x:c r="G533" s="10" t="n">
        <x:f>SUM(XLOOKUP('포켓몬_편집'!$AF533:$AN533,'분류_규칙'!$A$5:$A$76,'분류_규칙'!$G$5:$G$76,0))</x:f>
        <x:v>5</x:v>
      </x:c>
      <x:c r="H533" s="10" t="n">
        <x:f>SUM(XLOOKUP('포켓몬_편집'!$AF533:$AN533,'분류_규칙'!$A$5:$A$76,'분류_규칙'!$H$5:$H$76,0))</x:f>
        <x:v>5</x:v>
      </x:c>
      <x:c r="I533" s="10" t="n">
        <x:f>SUM(XLOOKUP('포켓몬_편집'!$AF533:$AN533,'분류_규칙'!$A$5:$A$76,'분류_규칙'!$I$5:$I$76,0))</x:f>
        <x:v>0</x:v>
      </x:c>
      <x:c r="J533" s="10" t="n">
        <x:f>SUM(XLOOKUP('포켓몬_편집'!$AF533:$AN533,'분류_규칙'!$A$5:$A$76,'분류_규칙'!$J$5:$J$76,0))</x:f>
        <x:v>2</x:v>
      </x:c>
      <x:c r="K533" s="10" t="n">
        <x:f>SUM(XLOOKUP('포켓몬_편집'!$AF533:$AN533,'분류_규칙'!$A$5:$A$76,'분류_규칙'!$K$5:$K$76,0))</x:f>
        <x:v>0</x:v>
      </x:c>
      <x:c r="L533" s="10" t="n">
        <x:f>SUM(XLOOKUP('포켓몬_편집'!$AF533:$AN533,'분류_규칙'!$A$5:$A$76,'분류_규칙'!$L$5:$L$76,0))</x:f>
        <x:v>0</x:v>
      </x:c>
      <x:c r="M533" s="10" t="n">
        <x:f>SUM(XLOOKUP('포켓몬_편집'!$AF533:$AN533,'분류_규칙'!$A$5:$A$76,'분류_규칙'!$M$5:$M$76,0))</x:f>
        <x:v>0</x:v>
      </x:c>
      <x:c r="N533" s="10" t="n">
        <x:f>SUM(XLOOKUP('포켓몬_편집'!$AF533:$AN533,'분류_규칙'!$A$5:$A$76,'분류_규칙'!$N$5:$N$76,0))</x:f>
        <x:v>0</x:v>
      </x:c>
      <x:c r="O533" s="10" t="n">
        <x:f>SUM(XLOOKUP('포켓몬_편집'!$AF533:$AN533,'분류_규칙'!$A$5:$A$76,'분류_규칙'!$O$5:$O$76,0))</x:f>
        <x:v>2</x:v>
      </x:c>
      <x:c r="P533" s="10" t="n">
        <x:f>SUM(XLOOKUP('포켓몬_편집'!$AF533:$AN533,'분류_규칙'!$A$5:$A$76,'분류_규칙'!$P$5:$P$76,0))</x:f>
        <x:v>0</x:v>
      </x:c>
    </x:row>
    <x:row r="534" ht="22" customHeight="1">
      <x:c r="A534" s="5" t="n">
        <x:v>530</x:v>
      </x:c>
      <x:c r="B534" s="5" t="inlineStr">
        <x:is>
          <x:t xml:space="preserve">몰드류</x:t>
        </x:is>
      </x:c>
      <x:c r="C534" s="5" t="inlineStr">
        <x:is>
          <x:t xml:space="preserve">excadrill</x:t>
        </x:is>
      </x:c>
      <x:c r="D534" s="5" t="n">
        <x:v>5</x:v>
      </x:c>
      <x:c r="E534" s="10" t="n">
        <x:f>SUM(XLOOKUP('포켓몬_편집'!$AF534:$AN534,'분류_규칙'!$A$5:$A$76,'분류_규칙'!$E$5:$E$76,0))</x:f>
        <x:v>10</x:v>
      </x:c>
      <x:c r="F534" s="10" t="n">
        <x:f>SUM(XLOOKUP('포켓몬_편집'!$AF534:$AN534,'분류_규칙'!$A$5:$A$76,'분류_규칙'!$F$5:$F$76,0))</x:f>
        <x:v>7</x:v>
      </x:c>
      <x:c r="G534" s="10" t="n">
        <x:f>SUM(XLOOKUP('포켓몬_편집'!$AF534:$AN534,'분류_규칙'!$A$5:$A$76,'분류_규칙'!$G$5:$G$76,0))</x:f>
        <x:v>5</x:v>
      </x:c>
      <x:c r="H534" s="10" t="n">
        <x:f>SUM(XLOOKUP('포켓몬_편집'!$AF534:$AN534,'분류_규칙'!$A$5:$A$76,'분류_규칙'!$H$5:$H$76,0))</x:f>
        <x:v>5</x:v>
      </x:c>
      <x:c r="I534" s="10" t="n">
        <x:f>SUM(XLOOKUP('포켓몬_편집'!$AF534:$AN534,'분류_규칙'!$A$5:$A$76,'분류_규칙'!$I$5:$I$76,0))</x:f>
        <x:v>0</x:v>
      </x:c>
      <x:c r="J534" s="10" t="n">
        <x:f>SUM(XLOOKUP('포켓몬_편집'!$AF534:$AN534,'분류_규칙'!$A$5:$A$76,'분류_규칙'!$J$5:$J$76,0))</x:f>
        <x:v>2</x:v>
      </x:c>
      <x:c r="K534" s="10" t="n">
        <x:f>SUM(XLOOKUP('포켓몬_편집'!$AF534:$AN534,'분류_규칙'!$A$5:$A$76,'분류_규칙'!$K$5:$K$76,0))</x:f>
        <x:v>0</x:v>
      </x:c>
      <x:c r="L534" s="10" t="n">
        <x:f>SUM(XLOOKUP('포켓몬_편집'!$AF534:$AN534,'분류_규칙'!$A$5:$A$76,'분류_규칙'!$L$5:$L$76,0))</x:f>
        <x:v>0</x:v>
      </x:c>
      <x:c r="M534" s="10" t="n">
        <x:f>SUM(XLOOKUP('포켓몬_편집'!$AF534:$AN534,'분류_규칙'!$A$5:$A$76,'분류_규칙'!$M$5:$M$76,0))</x:f>
        <x:v>0</x:v>
      </x:c>
      <x:c r="N534" s="10" t="n">
        <x:f>SUM(XLOOKUP('포켓몬_편집'!$AF534:$AN534,'분류_규칙'!$A$5:$A$76,'분류_규칙'!$N$5:$N$76,0))</x:f>
        <x:v>0</x:v>
      </x:c>
      <x:c r="O534" s="10" t="n">
        <x:f>SUM(XLOOKUP('포켓몬_편집'!$AF534:$AN534,'분류_규칙'!$A$5:$A$76,'분류_규칙'!$O$5:$O$76,0))</x:f>
        <x:v>2</x:v>
      </x:c>
      <x:c r="P534" s="10" t="n">
        <x:f>SUM(XLOOKUP('포켓몬_편집'!$AF534:$AN534,'분류_규칙'!$A$5:$A$76,'분류_규칙'!$P$5:$P$76,0))</x:f>
        <x:v>0</x:v>
      </x:c>
    </x:row>
    <x:row r="535" ht="22" customHeight="1">
      <x:c r="A535" s="5" t="n">
        <x:v>531</x:v>
      </x:c>
      <x:c r="B535" s="5" t="inlineStr">
        <x:is>
          <x:t xml:space="preserve">다부니</x:t>
        </x:is>
      </x:c>
      <x:c r="C535" s="5" t="inlineStr">
        <x:is>
          <x:t xml:space="preserve">audino</x:t>
        </x:is>
      </x:c>
      <x:c r="D535" s="5" t="n">
        <x:v>5</x:v>
      </x:c>
      <x:c r="E535" s="10" t="n">
        <x:f>SUM(XLOOKUP('포켓몬_편집'!$AF535:$AN535,'분류_규칙'!$A$5:$A$76,'분류_규칙'!$E$5:$E$76,0))</x:f>
        <x:v>10</x:v>
      </x:c>
      <x:c r="F535" s="10" t="n">
        <x:f>SUM(XLOOKUP('포켓몬_편집'!$AF535:$AN535,'분류_규칙'!$A$5:$A$76,'분류_규칙'!$F$5:$F$76,0))</x:f>
        <x:v>7</x:v>
      </x:c>
      <x:c r="G535" s="10" t="n">
        <x:f>SUM(XLOOKUP('포켓몬_편집'!$AF535:$AN535,'분류_규칙'!$A$5:$A$76,'분류_규칙'!$G$5:$G$76,0))</x:f>
        <x:v>5</x:v>
      </x:c>
      <x:c r="H535" s="10" t="n">
        <x:f>SUM(XLOOKUP('포켓몬_편집'!$AF535:$AN535,'분류_규칙'!$A$5:$A$76,'분류_규칙'!$H$5:$H$76,0))</x:f>
        <x:v>5</x:v>
      </x:c>
      <x:c r="I535" s="10" t="n">
        <x:f>SUM(XLOOKUP('포켓몬_편집'!$AF535:$AN535,'분류_규칙'!$A$5:$A$76,'분류_규칙'!$I$5:$I$76,0))</x:f>
        <x:v>0</x:v>
      </x:c>
      <x:c r="J535" s="10" t="n">
        <x:f>SUM(XLOOKUP('포켓몬_편집'!$AF535:$AN535,'분류_규칙'!$A$5:$A$76,'분류_규칙'!$J$5:$J$76,0))</x:f>
        <x:v>2</x:v>
      </x:c>
      <x:c r="K535" s="10" t="n">
        <x:f>SUM(XLOOKUP('포켓몬_편집'!$AF535:$AN535,'분류_규칙'!$A$5:$A$76,'분류_규칙'!$K$5:$K$76,0))</x:f>
        <x:v>0</x:v>
      </x:c>
      <x:c r="L535" s="10" t="n">
        <x:f>SUM(XLOOKUP('포켓몬_편집'!$AF535:$AN535,'분류_규칙'!$A$5:$A$76,'분류_규칙'!$L$5:$L$76,0))</x:f>
        <x:v>0</x:v>
      </x:c>
      <x:c r="M535" s="10" t="n">
        <x:f>SUM(XLOOKUP('포켓몬_편집'!$AF535:$AN535,'분류_규칙'!$A$5:$A$76,'분류_규칙'!$M$5:$M$76,0))</x:f>
        <x:v>0</x:v>
      </x:c>
      <x:c r="N535" s="10" t="n">
        <x:f>SUM(XLOOKUP('포켓몬_편집'!$AF535:$AN535,'분류_규칙'!$A$5:$A$76,'분류_규칙'!$N$5:$N$76,0))</x:f>
        <x:v>0</x:v>
      </x:c>
      <x:c r="O535" s="10" t="n">
        <x:f>SUM(XLOOKUP('포켓몬_편집'!$AF535:$AN535,'분류_규칙'!$A$5:$A$76,'분류_규칙'!$O$5:$O$76,0))</x:f>
        <x:v>2</x:v>
      </x:c>
      <x:c r="P535" s="10" t="n">
        <x:f>SUM(XLOOKUP('포켓몬_편집'!$AF535:$AN535,'분류_규칙'!$A$5:$A$76,'분류_규칙'!$P$5:$P$76,0))</x:f>
        <x:v>0</x:v>
      </x:c>
    </x:row>
    <x:row r="536" ht="22" customHeight="1">
      <x:c r="A536" s="5" t="n">
        <x:v>532</x:v>
      </x:c>
      <x:c r="B536" s="5" t="inlineStr">
        <x:is>
          <x:t xml:space="preserve">으랏차</x:t>
        </x:is>
      </x:c>
      <x:c r="C536" s="5" t="inlineStr">
        <x:is>
          <x:t xml:space="preserve">timburr</x:t>
        </x:is>
      </x:c>
      <x:c r="D536" s="5" t="n">
        <x:v>5</x:v>
      </x:c>
      <x:c r="E536" s="10" t="n">
        <x:f>SUM(XLOOKUP('포켓몬_편집'!$AF536:$AN536,'분류_규칙'!$A$5:$A$76,'분류_규칙'!$E$5:$E$76,0))</x:f>
        <x:v>10</x:v>
      </x:c>
      <x:c r="F536" s="10" t="n">
        <x:f>SUM(XLOOKUP('포켓몬_편집'!$AF536:$AN536,'분류_규칙'!$A$5:$A$76,'분류_규칙'!$F$5:$F$76,0))</x:f>
        <x:v>7</x:v>
      </x:c>
      <x:c r="G536" s="10" t="n">
        <x:f>SUM(XLOOKUP('포켓몬_편집'!$AF536:$AN536,'분류_규칙'!$A$5:$A$76,'분류_규칙'!$G$5:$G$76,0))</x:f>
        <x:v>5</x:v>
      </x:c>
      <x:c r="H536" s="10" t="n">
        <x:f>SUM(XLOOKUP('포켓몬_편집'!$AF536:$AN536,'분류_규칙'!$A$5:$A$76,'분류_규칙'!$H$5:$H$76,0))</x:f>
        <x:v>5</x:v>
      </x:c>
      <x:c r="I536" s="10" t="n">
        <x:f>SUM(XLOOKUP('포켓몬_편집'!$AF536:$AN536,'분류_규칙'!$A$5:$A$76,'분류_규칙'!$I$5:$I$76,0))</x:f>
        <x:v>0</x:v>
      </x:c>
      <x:c r="J536" s="10" t="n">
        <x:f>SUM(XLOOKUP('포켓몬_편집'!$AF536:$AN536,'분류_규칙'!$A$5:$A$76,'분류_규칙'!$J$5:$J$76,0))</x:f>
        <x:v>2</x:v>
      </x:c>
      <x:c r="K536" s="10" t="n">
        <x:f>SUM(XLOOKUP('포켓몬_편집'!$AF536:$AN536,'분류_규칙'!$A$5:$A$76,'분류_규칙'!$K$5:$K$76,0))</x:f>
        <x:v>0</x:v>
      </x:c>
      <x:c r="L536" s="10" t="n">
        <x:f>SUM(XLOOKUP('포켓몬_편집'!$AF536:$AN536,'분류_규칙'!$A$5:$A$76,'분류_규칙'!$L$5:$L$76,0))</x:f>
        <x:v>0</x:v>
      </x:c>
      <x:c r="M536" s="10" t="n">
        <x:f>SUM(XLOOKUP('포켓몬_편집'!$AF536:$AN536,'분류_규칙'!$A$5:$A$76,'분류_규칙'!$M$5:$M$76,0))</x:f>
        <x:v>0</x:v>
      </x:c>
      <x:c r="N536" s="10" t="n">
        <x:f>SUM(XLOOKUP('포켓몬_편집'!$AF536:$AN536,'분류_규칙'!$A$5:$A$76,'분류_규칙'!$N$5:$N$76,0))</x:f>
        <x:v>0</x:v>
      </x:c>
      <x:c r="O536" s="10" t="n">
        <x:f>SUM(XLOOKUP('포켓몬_편집'!$AF536:$AN536,'분류_규칙'!$A$5:$A$76,'분류_규칙'!$O$5:$O$76,0))</x:f>
        <x:v>2</x:v>
      </x:c>
      <x:c r="P536" s="10" t="n">
        <x:f>SUM(XLOOKUP('포켓몬_편집'!$AF536:$AN536,'분류_규칙'!$A$5:$A$76,'분류_규칙'!$P$5:$P$76,0))</x:f>
        <x:v>0</x:v>
      </x:c>
    </x:row>
    <x:row r="537" ht="22" customHeight="1">
      <x:c r="A537" s="5" t="n">
        <x:v>533</x:v>
      </x:c>
      <x:c r="B537" s="5" t="inlineStr">
        <x:is>
          <x:t xml:space="preserve">토쇠골</x:t>
        </x:is>
      </x:c>
      <x:c r="C537" s="5" t="inlineStr">
        <x:is>
          <x:t xml:space="preserve">gurdurr</x:t>
        </x:is>
      </x:c>
      <x:c r="D537" s="5" t="n">
        <x:v>5</x:v>
      </x:c>
      <x:c r="E537" s="10" t="n">
        <x:f>SUM(XLOOKUP('포켓몬_편집'!$AF537:$AN537,'분류_규칙'!$A$5:$A$76,'분류_규칙'!$E$5:$E$76,0))</x:f>
        <x:v>10</x:v>
      </x:c>
      <x:c r="F537" s="10" t="n">
        <x:f>SUM(XLOOKUP('포켓몬_편집'!$AF537:$AN537,'분류_규칙'!$A$5:$A$76,'분류_규칙'!$F$5:$F$76,0))</x:f>
        <x:v>7</x:v>
      </x:c>
      <x:c r="G537" s="10" t="n">
        <x:f>SUM(XLOOKUP('포켓몬_편집'!$AF537:$AN537,'분류_규칙'!$A$5:$A$76,'분류_규칙'!$G$5:$G$76,0))</x:f>
        <x:v>5</x:v>
      </x:c>
      <x:c r="H537" s="10" t="n">
        <x:f>SUM(XLOOKUP('포켓몬_편집'!$AF537:$AN537,'분류_규칙'!$A$5:$A$76,'분류_규칙'!$H$5:$H$76,0))</x:f>
        <x:v>5</x:v>
      </x:c>
      <x:c r="I537" s="10" t="n">
        <x:f>SUM(XLOOKUP('포켓몬_편집'!$AF537:$AN537,'분류_규칙'!$A$5:$A$76,'분류_규칙'!$I$5:$I$76,0))</x:f>
        <x:v>0</x:v>
      </x:c>
      <x:c r="J537" s="10" t="n">
        <x:f>SUM(XLOOKUP('포켓몬_편집'!$AF537:$AN537,'분류_규칙'!$A$5:$A$76,'분류_규칙'!$J$5:$J$76,0))</x:f>
        <x:v>2</x:v>
      </x:c>
      <x:c r="K537" s="10" t="n">
        <x:f>SUM(XLOOKUP('포켓몬_편집'!$AF537:$AN537,'분류_규칙'!$A$5:$A$76,'분류_규칙'!$K$5:$K$76,0))</x:f>
        <x:v>0</x:v>
      </x:c>
      <x:c r="L537" s="10" t="n">
        <x:f>SUM(XLOOKUP('포켓몬_편집'!$AF537:$AN537,'분류_규칙'!$A$5:$A$76,'분류_규칙'!$L$5:$L$76,0))</x:f>
        <x:v>0</x:v>
      </x:c>
      <x:c r="M537" s="10" t="n">
        <x:f>SUM(XLOOKUP('포켓몬_편집'!$AF537:$AN537,'분류_규칙'!$A$5:$A$76,'분류_규칙'!$M$5:$M$76,0))</x:f>
        <x:v>0</x:v>
      </x:c>
      <x:c r="N537" s="10" t="n">
        <x:f>SUM(XLOOKUP('포켓몬_편집'!$AF537:$AN537,'분류_규칙'!$A$5:$A$76,'분류_규칙'!$N$5:$N$76,0))</x:f>
        <x:v>0</x:v>
      </x:c>
      <x:c r="O537" s="10" t="n">
        <x:f>SUM(XLOOKUP('포켓몬_편집'!$AF537:$AN537,'분류_규칙'!$A$5:$A$76,'분류_규칙'!$O$5:$O$76,0))</x:f>
        <x:v>2</x:v>
      </x:c>
      <x:c r="P537" s="10" t="n">
        <x:f>SUM(XLOOKUP('포켓몬_편집'!$AF537:$AN537,'분류_규칙'!$A$5:$A$76,'분류_규칙'!$P$5:$P$76,0))</x:f>
        <x:v>0</x:v>
      </x:c>
    </x:row>
    <x:row r="538" ht="22" customHeight="1">
      <x:c r="A538" s="5" t="n">
        <x:v>534</x:v>
      </x:c>
      <x:c r="B538" s="5" t="inlineStr">
        <x:is>
          <x:t xml:space="preserve">노보청</x:t>
        </x:is>
      </x:c>
      <x:c r="C538" s="5" t="inlineStr">
        <x:is>
          <x:t xml:space="preserve">conkeldurr</x:t>
        </x:is>
      </x:c>
      <x:c r="D538" s="5" t="n">
        <x:v>5</x:v>
      </x:c>
      <x:c r="E538" s="10" t="n">
        <x:f>SUM(XLOOKUP('포켓몬_편집'!$AF538:$AN538,'분류_규칙'!$A$5:$A$76,'분류_규칙'!$E$5:$E$76,0))</x:f>
        <x:v>10</x:v>
      </x:c>
      <x:c r="F538" s="10" t="n">
        <x:f>SUM(XLOOKUP('포켓몬_편집'!$AF538:$AN538,'분류_규칙'!$A$5:$A$76,'분류_규칙'!$F$5:$F$76,0))</x:f>
        <x:v>7</x:v>
      </x:c>
      <x:c r="G538" s="10" t="n">
        <x:f>SUM(XLOOKUP('포켓몬_편집'!$AF538:$AN538,'분류_규칙'!$A$5:$A$76,'분류_규칙'!$G$5:$G$76,0))</x:f>
        <x:v>5</x:v>
      </x:c>
      <x:c r="H538" s="10" t="n">
        <x:f>SUM(XLOOKUP('포켓몬_편집'!$AF538:$AN538,'분류_규칙'!$A$5:$A$76,'분류_규칙'!$H$5:$H$76,0))</x:f>
        <x:v>5</x:v>
      </x:c>
      <x:c r="I538" s="10" t="n">
        <x:f>SUM(XLOOKUP('포켓몬_편집'!$AF538:$AN538,'분류_규칙'!$A$5:$A$76,'분류_규칙'!$I$5:$I$76,0))</x:f>
        <x:v>0</x:v>
      </x:c>
      <x:c r="J538" s="10" t="n">
        <x:f>SUM(XLOOKUP('포켓몬_편집'!$AF538:$AN538,'분류_규칙'!$A$5:$A$76,'분류_규칙'!$J$5:$J$76,0))</x:f>
        <x:v>2</x:v>
      </x:c>
      <x:c r="K538" s="10" t="n">
        <x:f>SUM(XLOOKUP('포켓몬_편집'!$AF538:$AN538,'분류_규칙'!$A$5:$A$76,'분류_규칙'!$K$5:$K$76,0))</x:f>
        <x:v>0</x:v>
      </x:c>
      <x:c r="L538" s="10" t="n">
        <x:f>SUM(XLOOKUP('포켓몬_편집'!$AF538:$AN538,'분류_규칙'!$A$5:$A$76,'분류_규칙'!$L$5:$L$76,0))</x:f>
        <x:v>0</x:v>
      </x:c>
      <x:c r="M538" s="10" t="n">
        <x:f>SUM(XLOOKUP('포켓몬_편집'!$AF538:$AN538,'분류_규칙'!$A$5:$A$76,'분류_규칙'!$M$5:$M$76,0))</x:f>
        <x:v>0</x:v>
      </x:c>
      <x:c r="N538" s="10" t="n">
        <x:f>SUM(XLOOKUP('포켓몬_편집'!$AF538:$AN538,'분류_규칙'!$A$5:$A$76,'분류_규칙'!$N$5:$N$76,0))</x:f>
        <x:v>0</x:v>
      </x:c>
      <x:c r="O538" s="10" t="n">
        <x:f>SUM(XLOOKUP('포켓몬_편집'!$AF538:$AN538,'분류_규칙'!$A$5:$A$76,'분류_규칙'!$O$5:$O$76,0))</x:f>
        <x:v>2</x:v>
      </x:c>
      <x:c r="P538" s="10" t="n">
        <x:f>SUM(XLOOKUP('포켓몬_편집'!$AF538:$AN538,'분류_규칙'!$A$5:$A$76,'분류_규칙'!$P$5:$P$76,0))</x:f>
        <x:v>0</x:v>
      </x:c>
    </x:row>
    <x:row r="539" ht="22" customHeight="1">
      <x:c r="A539" s="5" t="n">
        <x:v>535</x:v>
      </x:c>
      <x:c r="B539" s="5" t="inlineStr">
        <x:is>
          <x:t xml:space="preserve">동챙이</x:t>
        </x:is>
      </x:c>
      <x:c r="C539" s="5" t="inlineStr">
        <x:is>
          <x:t xml:space="preserve">tympole</x:t>
        </x:is>
      </x:c>
      <x:c r="D539" s="5" t="n">
        <x:v>5</x:v>
      </x:c>
      <x:c r="E539" s="10" t="n">
        <x:f>SUM(XLOOKUP('포켓몬_편집'!$AF539:$AN539,'분류_규칙'!$A$5:$A$76,'분류_규칙'!$E$5:$E$76,0))</x:f>
        <x:v>0</x:v>
      </x:c>
      <x:c r="F539" s="10" t="n">
        <x:f>SUM(XLOOKUP('포켓몬_편집'!$AF539:$AN539,'분류_규칙'!$A$5:$A$76,'분류_규칙'!$F$5:$F$76,0))</x:f>
        <x:v>0</x:v>
      </x:c>
      <x:c r="G539" s="10" t="n">
        <x:f>SUM(XLOOKUP('포켓몬_편집'!$AF539:$AN539,'분류_규칙'!$A$5:$A$76,'분류_규칙'!$G$5:$G$76,0))</x:f>
        <x:v>0</x:v>
      </x:c>
      <x:c r="H539" s="10" t="n">
        <x:f>SUM(XLOOKUP('포켓몬_편집'!$AF539:$AN539,'분류_규칙'!$A$5:$A$76,'분류_규칙'!$H$5:$H$76,0))</x:f>
        <x:v>0</x:v>
      </x:c>
      <x:c r="I539" s="10" t="n">
        <x:f>SUM(XLOOKUP('포켓몬_편집'!$AF539:$AN539,'분류_규칙'!$A$5:$A$76,'분류_규칙'!$I$5:$I$76,0))</x:f>
        <x:v>0</x:v>
      </x:c>
      <x:c r="J539" s="10" t="n">
        <x:f>SUM(XLOOKUP('포켓몬_편집'!$AF539:$AN539,'분류_규칙'!$A$5:$A$76,'분류_규칙'!$J$5:$J$76,0))</x:f>
        <x:v>22</x:v>
      </x:c>
      <x:c r="K539" s="10" t="n">
        <x:f>SUM(XLOOKUP('포켓몬_편집'!$AF539:$AN539,'분류_규칙'!$A$5:$A$76,'분류_규칙'!$K$5:$K$76,0))</x:f>
        <x:v>16</x:v>
      </x:c>
      <x:c r="L539" s="10" t="n">
        <x:f>SUM(XLOOKUP('포켓몬_편집'!$AF539:$AN539,'분류_규칙'!$A$5:$A$76,'분류_규칙'!$L$5:$L$76,0))</x:f>
        <x:v>8</x:v>
      </x:c>
      <x:c r="M539" s="10" t="n">
        <x:f>SUM(XLOOKUP('포켓몬_편집'!$AF539:$AN539,'분류_규칙'!$A$5:$A$76,'분류_규칙'!$M$5:$M$76,0))</x:f>
        <x:v>0</x:v>
      </x:c>
      <x:c r="N539" s="10" t="n">
        <x:f>SUM(XLOOKUP('포켓몬_편집'!$AF539:$AN539,'분류_규칙'!$A$5:$A$76,'분류_규칙'!$N$5:$N$76,0))</x:f>
        <x:v>0</x:v>
      </x:c>
      <x:c r="O539" s="10" t="n">
        <x:f>SUM(XLOOKUP('포켓몬_편집'!$AF539:$AN539,'분류_규칙'!$A$5:$A$76,'분류_규칙'!$O$5:$O$76,0))</x:f>
        <x:v>0</x:v>
      </x:c>
      <x:c r="P539" s="10" t="n">
        <x:f>SUM(XLOOKUP('포켓몬_편집'!$AF539:$AN539,'분류_규칙'!$A$5:$A$76,'분류_규칙'!$P$5:$P$76,0))</x:f>
        <x:v>0</x:v>
      </x:c>
    </x:row>
    <x:row r="540" ht="22" customHeight="1">
      <x:c r="A540" s="5" t="n">
        <x:v>536</x:v>
      </x:c>
      <x:c r="B540" s="5" t="inlineStr">
        <x:is>
          <x:t xml:space="preserve">두까비</x:t>
        </x:is>
      </x:c>
      <x:c r="C540" s="5" t="inlineStr">
        <x:is>
          <x:t xml:space="preserve">palpitoad</x:t>
        </x:is>
      </x:c>
      <x:c r="D540" s="5" t="n">
        <x:v>5</x:v>
      </x:c>
      <x:c r="E540" s="10" t="n">
        <x:f>SUM(XLOOKUP('포켓몬_편집'!$AF540:$AN540,'분류_규칙'!$A$5:$A$76,'분류_규칙'!$E$5:$E$76,0))</x:f>
        <x:v>0</x:v>
      </x:c>
      <x:c r="F540" s="10" t="n">
        <x:f>SUM(XLOOKUP('포켓몬_편집'!$AF540:$AN540,'분류_규칙'!$A$5:$A$76,'분류_규칙'!$F$5:$F$76,0))</x:f>
        <x:v>0</x:v>
      </x:c>
      <x:c r="G540" s="10" t="n">
        <x:f>SUM(XLOOKUP('포켓몬_편집'!$AF540:$AN540,'분류_규칙'!$A$5:$A$76,'분류_규칙'!$G$5:$G$76,0))</x:f>
        <x:v>0</x:v>
      </x:c>
      <x:c r="H540" s="10" t="n">
        <x:f>SUM(XLOOKUP('포켓몬_편집'!$AF540:$AN540,'분류_규칙'!$A$5:$A$76,'분류_규칙'!$H$5:$H$76,0))</x:f>
        <x:v>0</x:v>
      </x:c>
      <x:c r="I540" s="10" t="n">
        <x:f>SUM(XLOOKUP('포켓몬_편집'!$AF540:$AN540,'분류_규칙'!$A$5:$A$76,'분류_규칙'!$I$5:$I$76,0))</x:f>
        <x:v>0</x:v>
      </x:c>
      <x:c r="J540" s="10" t="n">
        <x:f>SUM(XLOOKUP('포켓몬_편집'!$AF540:$AN540,'분류_규칙'!$A$5:$A$76,'분류_규칙'!$J$5:$J$76,0))</x:f>
        <x:v>22</x:v>
      </x:c>
      <x:c r="K540" s="10" t="n">
        <x:f>SUM(XLOOKUP('포켓몬_편집'!$AF540:$AN540,'분류_규칙'!$A$5:$A$76,'분류_규칙'!$K$5:$K$76,0))</x:f>
        <x:v>16</x:v>
      </x:c>
      <x:c r="L540" s="10" t="n">
        <x:f>SUM(XLOOKUP('포켓몬_편집'!$AF540:$AN540,'분류_규칙'!$A$5:$A$76,'분류_규칙'!$L$5:$L$76,0))</x:f>
        <x:v>8</x:v>
      </x:c>
      <x:c r="M540" s="10" t="n">
        <x:f>SUM(XLOOKUP('포켓몬_편집'!$AF540:$AN540,'분류_규칙'!$A$5:$A$76,'분류_규칙'!$M$5:$M$76,0))</x:f>
        <x:v>0</x:v>
      </x:c>
      <x:c r="N540" s="10" t="n">
        <x:f>SUM(XLOOKUP('포켓몬_편집'!$AF540:$AN540,'분류_규칙'!$A$5:$A$76,'분류_규칙'!$N$5:$N$76,0))</x:f>
        <x:v>0</x:v>
      </x:c>
      <x:c r="O540" s="10" t="n">
        <x:f>SUM(XLOOKUP('포켓몬_편집'!$AF540:$AN540,'분류_규칙'!$A$5:$A$76,'분류_규칙'!$O$5:$O$76,0))</x:f>
        <x:v>0</x:v>
      </x:c>
      <x:c r="P540" s="10" t="n">
        <x:f>SUM(XLOOKUP('포켓몬_편집'!$AF540:$AN540,'분류_규칙'!$A$5:$A$76,'분류_규칙'!$P$5:$P$76,0))</x:f>
        <x:v>0</x:v>
      </x:c>
    </x:row>
    <x:row r="541" ht="22" customHeight="1">
      <x:c r="A541" s="5" t="n">
        <x:v>537</x:v>
      </x:c>
      <x:c r="B541" s="5" t="inlineStr">
        <x:is>
          <x:t xml:space="preserve">두빅굴</x:t>
        </x:is>
      </x:c>
      <x:c r="C541" s="5" t="inlineStr">
        <x:is>
          <x:t xml:space="preserve">seismitoad</x:t>
        </x:is>
      </x:c>
      <x:c r="D541" s="5" t="n">
        <x:v>5</x:v>
      </x:c>
      <x:c r="E541" s="10" t="n">
        <x:f>SUM(XLOOKUP('포켓몬_편집'!$AF541:$AN541,'분류_규칙'!$A$5:$A$76,'분류_규칙'!$E$5:$E$76,0))</x:f>
        <x:v>0</x:v>
      </x:c>
      <x:c r="F541" s="10" t="n">
        <x:f>SUM(XLOOKUP('포켓몬_편집'!$AF541:$AN541,'분류_규칙'!$A$5:$A$76,'분류_규칙'!$F$5:$F$76,0))</x:f>
        <x:v>0</x:v>
      </x:c>
      <x:c r="G541" s="10" t="n">
        <x:f>SUM(XLOOKUP('포켓몬_편집'!$AF541:$AN541,'분류_규칙'!$A$5:$A$76,'분류_규칙'!$G$5:$G$76,0))</x:f>
        <x:v>0</x:v>
      </x:c>
      <x:c r="H541" s="10" t="n">
        <x:f>SUM(XLOOKUP('포켓몬_편집'!$AF541:$AN541,'분류_규칙'!$A$5:$A$76,'분류_규칙'!$H$5:$H$76,0))</x:f>
        <x:v>0</x:v>
      </x:c>
      <x:c r="I541" s="10" t="n">
        <x:f>SUM(XLOOKUP('포켓몬_편집'!$AF541:$AN541,'분류_규칙'!$A$5:$A$76,'분류_규칙'!$I$5:$I$76,0))</x:f>
        <x:v>0</x:v>
      </x:c>
      <x:c r="J541" s="10" t="n">
        <x:f>SUM(XLOOKUP('포켓몬_편집'!$AF541:$AN541,'분류_규칙'!$A$5:$A$76,'분류_규칙'!$J$5:$J$76,0))</x:f>
        <x:v>22</x:v>
      </x:c>
      <x:c r="K541" s="10" t="n">
        <x:f>SUM(XLOOKUP('포켓몬_편집'!$AF541:$AN541,'분류_규칙'!$A$5:$A$76,'분류_규칙'!$K$5:$K$76,0))</x:f>
        <x:v>16</x:v>
      </x:c>
      <x:c r="L541" s="10" t="n">
        <x:f>SUM(XLOOKUP('포켓몬_편집'!$AF541:$AN541,'분류_규칙'!$A$5:$A$76,'분류_규칙'!$L$5:$L$76,0))</x:f>
        <x:v>8</x:v>
      </x:c>
      <x:c r="M541" s="10" t="n">
        <x:f>SUM(XLOOKUP('포켓몬_편집'!$AF541:$AN541,'분류_규칙'!$A$5:$A$76,'분류_규칙'!$M$5:$M$76,0))</x:f>
        <x:v>0</x:v>
      </x:c>
      <x:c r="N541" s="10" t="n">
        <x:f>SUM(XLOOKUP('포켓몬_편집'!$AF541:$AN541,'분류_규칙'!$A$5:$A$76,'분류_규칙'!$N$5:$N$76,0))</x:f>
        <x:v>0</x:v>
      </x:c>
      <x:c r="O541" s="10" t="n">
        <x:f>SUM(XLOOKUP('포켓몬_편집'!$AF541:$AN541,'분류_규칙'!$A$5:$A$76,'분류_규칙'!$O$5:$O$76,0))</x:f>
        <x:v>0</x:v>
      </x:c>
      <x:c r="P541" s="10" t="n">
        <x:f>SUM(XLOOKUP('포켓몬_편집'!$AF541:$AN541,'분류_규칙'!$A$5:$A$76,'분류_규칙'!$P$5:$P$76,0))</x:f>
        <x:v>0</x:v>
      </x:c>
    </x:row>
    <x:row r="542" ht="22" customHeight="1">
      <x:c r="A542" s="5" t="n">
        <x:v>538</x:v>
      </x:c>
      <x:c r="B542" s="5" t="inlineStr">
        <x:is>
          <x:t xml:space="preserve">던지미</x:t>
        </x:is>
      </x:c>
      <x:c r="C542" s="5" t="inlineStr">
        <x:is>
          <x:t xml:space="preserve">throh</x:t>
        </x:is>
      </x:c>
      <x:c r="D542" s="5" t="n">
        <x:v>5</x:v>
      </x:c>
      <x:c r="E542" s="10" t="n">
        <x:f>SUM(XLOOKUP('포켓몬_편집'!$AF542:$AN542,'분류_규칙'!$A$5:$A$76,'분류_규칙'!$E$5:$E$76,0))</x:f>
        <x:v>10</x:v>
      </x:c>
      <x:c r="F542" s="10" t="n">
        <x:f>SUM(XLOOKUP('포켓몬_편집'!$AF542:$AN542,'분류_규칙'!$A$5:$A$76,'분류_규칙'!$F$5:$F$76,0))</x:f>
        <x:v>7</x:v>
      </x:c>
      <x:c r="G542" s="10" t="n">
        <x:f>SUM(XLOOKUP('포켓몬_편집'!$AF542:$AN542,'분류_규칙'!$A$5:$A$76,'분류_규칙'!$G$5:$G$76,0))</x:f>
        <x:v>5</x:v>
      </x:c>
      <x:c r="H542" s="10" t="n">
        <x:f>SUM(XLOOKUP('포켓몬_편집'!$AF542:$AN542,'분류_규칙'!$A$5:$A$76,'분류_규칙'!$H$5:$H$76,0))</x:f>
        <x:v>5</x:v>
      </x:c>
      <x:c r="I542" s="10" t="n">
        <x:f>SUM(XLOOKUP('포켓몬_편집'!$AF542:$AN542,'분류_규칙'!$A$5:$A$76,'분류_규칙'!$I$5:$I$76,0))</x:f>
        <x:v>0</x:v>
      </x:c>
      <x:c r="J542" s="10" t="n">
        <x:f>SUM(XLOOKUP('포켓몬_편집'!$AF542:$AN542,'분류_규칙'!$A$5:$A$76,'분류_규칙'!$J$5:$J$76,0))</x:f>
        <x:v>2</x:v>
      </x:c>
      <x:c r="K542" s="10" t="n">
        <x:f>SUM(XLOOKUP('포켓몬_편집'!$AF542:$AN542,'분류_규칙'!$A$5:$A$76,'분류_규칙'!$K$5:$K$76,0))</x:f>
        <x:v>0</x:v>
      </x:c>
      <x:c r="L542" s="10" t="n">
        <x:f>SUM(XLOOKUP('포켓몬_편집'!$AF542:$AN542,'분류_규칙'!$A$5:$A$76,'분류_규칙'!$L$5:$L$76,0))</x:f>
        <x:v>0</x:v>
      </x:c>
      <x:c r="M542" s="10" t="n">
        <x:f>SUM(XLOOKUP('포켓몬_편집'!$AF542:$AN542,'분류_규칙'!$A$5:$A$76,'분류_규칙'!$M$5:$M$76,0))</x:f>
        <x:v>0</x:v>
      </x:c>
      <x:c r="N542" s="10" t="n">
        <x:f>SUM(XLOOKUP('포켓몬_편집'!$AF542:$AN542,'분류_규칙'!$A$5:$A$76,'분류_규칙'!$N$5:$N$76,0))</x:f>
        <x:v>0</x:v>
      </x:c>
      <x:c r="O542" s="10" t="n">
        <x:f>SUM(XLOOKUP('포켓몬_편집'!$AF542:$AN542,'분류_규칙'!$A$5:$A$76,'분류_규칙'!$O$5:$O$76,0))</x:f>
        <x:v>2</x:v>
      </x:c>
      <x:c r="P542" s="10" t="n">
        <x:f>SUM(XLOOKUP('포켓몬_편집'!$AF542:$AN542,'분류_규칙'!$A$5:$A$76,'분류_규칙'!$P$5:$P$76,0))</x:f>
        <x:v>0</x:v>
      </x:c>
    </x:row>
    <x:row r="543" ht="22" customHeight="1">
      <x:c r="A543" s="5" t="n">
        <x:v>539</x:v>
      </x:c>
      <x:c r="B543" s="5" t="inlineStr">
        <x:is>
          <x:t xml:space="preserve">타격귀</x:t>
        </x:is>
      </x:c>
      <x:c r="C543" s="5" t="inlineStr">
        <x:is>
          <x:t xml:space="preserve">sawk</x:t>
        </x:is>
      </x:c>
      <x:c r="D543" s="5" t="n">
        <x:v>5</x:v>
      </x:c>
      <x:c r="E543" s="10" t="n">
        <x:f>SUM(XLOOKUP('포켓몬_편집'!$AF543:$AN543,'분류_규칙'!$A$5:$A$76,'분류_규칙'!$E$5:$E$76,0))</x:f>
        <x:v>10</x:v>
      </x:c>
      <x:c r="F543" s="10" t="n">
        <x:f>SUM(XLOOKUP('포켓몬_편집'!$AF543:$AN543,'분류_규칙'!$A$5:$A$76,'분류_규칙'!$F$5:$F$76,0))</x:f>
        <x:v>7</x:v>
      </x:c>
      <x:c r="G543" s="10" t="n">
        <x:f>SUM(XLOOKUP('포켓몬_편집'!$AF543:$AN543,'분류_규칙'!$A$5:$A$76,'분류_규칙'!$G$5:$G$76,0))</x:f>
        <x:v>5</x:v>
      </x:c>
      <x:c r="H543" s="10" t="n">
        <x:f>SUM(XLOOKUP('포켓몬_편집'!$AF543:$AN543,'분류_규칙'!$A$5:$A$76,'분류_규칙'!$H$5:$H$76,0))</x:f>
        <x:v>5</x:v>
      </x:c>
      <x:c r="I543" s="10" t="n">
        <x:f>SUM(XLOOKUP('포켓몬_편집'!$AF543:$AN543,'분류_규칙'!$A$5:$A$76,'분류_규칙'!$I$5:$I$76,0))</x:f>
        <x:v>0</x:v>
      </x:c>
      <x:c r="J543" s="10" t="n">
        <x:f>SUM(XLOOKUP('포켓몬_편집'!$AF543:$AN543,'분류_규칙'!$A$5:$A$76,'분류_규칙'!$J$5:$J$76,0))</x:f>
        <x:v>2</x:v>
      </x:c>
      <x:c r="K543" s="10" t="n">
        <x:f>SUM(XLOOKUP('포켓몬_편집'!$AF543:$AN543,'분류_규칙'!$A$5:$A$76,'분류_규칙'!$K$5:$K$76,0))</x:f>
        <x:v>0</x:v>
      </x:c>
      <x:c r="L543" s="10" t="n">
        <x:f>SUM(XLOOKUP('포켓몬_편집'!$AF543:$AN543,'분류_규칙'!$A$5:$A$76,'분류_규칙'!$L$5:$L$76,0))</x:f>
        <x:v>0</x:v>
      </x:c>
      <x:c r="M543" s="10" t="n">
        <x:f>SUM(XLOOKUP('포켓몬_편집'!$AF543:$AN543,'분류_규칙'!$A$5:$A$76,'분류_규칙'!$M$5:$M$76,0))</x:f>
        <x:v>0</x:v>
      </x:c>
      <x:c r="N543" s="10" t="n">
        <x:f>SUM(XLOOKUP('포켓몬_편집'!$AF543:$AN543,'분류_규칙'!$A$5:$A$76,'분류_규칙'!$N$5:$N$76,0))</x:f>
        <x:v>0</x:v>
      </x:c>
      <x:c r="O543" s="10" t="n">
        <x:f>SUM(XLOOKUP('포켓몬_편집'!$AF543:$AN543,'분류_규칙'!$A$5:$A$76,'분류_규칙'!$O$5:$O$76,0))</x:f>
        <x:v>2</x:v>
      </x:c>
      <x:c r="P543" s="10" t="n">
        <x:f>SUM(XLOOKUP('포켓몬_편집'!$AF543:$AN543,'분류_규칙'!$A$5:$A$76,'분류_규칙'!$P$5:$P$76,0))</x:f>
        <x:v>0</x:v>
      </x:c>
    </x:row>
    <x:row r="544" ht="22" customHeight="1">
      <x:c r="A544" s="5" t="n">
        <x:v>540</x:v>
      </x:c>
      <x:c r="B544" s="5" t="inlineStr">
        <x:is>
          <x:t xml:space="preserve">두르보</x:t>
        </x:is>
      </x:c>
      <x:c r="C544" s="5" t="inlineStr">
        <x:is>
          <x:t xml:space="preserve">sewaddle</x:t>
        </x:is>
      </x:c>
      <x:c r="D544" s="5" t="n">
        <x:v>5</x:v>
      </x:c>
      <x:c r="E544" s="10" t="n">
        <x:f>SUM(XLOOKUP('포켓몬_편집'!$AF544:$AN544,'분류_규칙'!$A$5:$A$76,'분류_규칙'!$E$5:$E$76,0))</x:f>
        <x:v>10</x:v>
      </x:c>
      <x:c r="F544" s="10" t="n">
        <x:f>SUM(XLOOKUP('포켓몬_편집'!$AF544:$AN544,'분류_규칙'!$A$5:$A$76,'분류_규칙'!$F$5:$F$76,0))</x:f>
        <x:v>7</x:v>
      </x:c>
      <x:c r="G544" s="10" t="n">
        <x:f>SUM(XLOOKUP('포켓몬_편집'!$AF544:$AN544,'분류_규칙'!$A$5:$A$76,'분류_규칙'!$G$5:$G$76,0))</x:f>
        <x:v>5</x:v>
      </x:c>
      <x:c r="H544" s="10" t="n">
        <x:f>SUM(XLOOKUP('포켓몬_편집'!$AF544:$AN544,'분류_규칙'!$A$5:$A$76,'분류_규칙'!$H$5:$H$76,0))</x:f>
        <x:v>5</x:v>
      </x:c>
      <x:c r="I544" s="10" t="n">
        <x:f>SUM(XLOOKUP('포켓몬_편집'!$AF544:$AN544,'분류_규칙'!$A$5:$A$76,'분류_규칙'!$I$5:$I$76,0))</x:f>
        <x:v>0</x:v>
      </x:c>
      <x:c r="J544" s="10" t="n">
        <x:f>SUM(XLOOKUP('포켓몬_편집'!$AF544:$AN544,'분류_규칙'!$A$5:$A$76,'분류_규칙'!$J$5:$J$76,0))</x:f>
        <x:v>2</x:v>
      </x:c>
      <x:c r="K544" s="10" t="n">
        <x:f>SUM(XLOOKUP('포켓몬_편집'!$AF544:$AN544,'분류_규칙'!$A$5:$A$76,'분류_규칙'!$K$5:$K$76,0))</x:f>
        <x:v>0</x:v>
      </x:c>
      <x:c r="L544" s="10" t="n">
        <x:f>SUM(XLOOKUP('포켓몬_편집'!$AF544:$AN544,'분류_규칙'!$A$5:$A$76,'분류_규칙'!$L$5:$L$76,0))</x:f>
        <x:v>0</x:v>
      </x:c>
      <x:c r="M544" s="10" t="n">
        <x:f>SUM(XLOOKUP('포켓몬_편집'!$AF544:$AN544,'분류_규칙'!$A$5:$A$76,'분류_규칙'!$M$5:$M$76,0))</x:f>
        <x:v>0</x:v>
      </x:c>
      <x:c r="N544" s="10" t="n">
        <x:f>SUM(XLOOKUP('포켓몬_편집'!$AF544:$AN544,'분류_규칙'!$A$5:$A$76,'분류_규칙'!$N$5:$N$76,0))</x:f>
        <x:v>0</x:v>
      </x:c>
      <x:c r="O544" s="10" t="n">
        <x:f>SUM(XLOOKUP('포켓몬_편집'!$AF544:$AN544,'분류_규칙'!$A$5:$A$76,'분류_규칙'!$O$5:$O$76,0))</x:f>
        <x:v>2</x:v>
      </x:c>
      <x:c r="P544" s="10" t="n">
        <x:f>SUM(XLOOKUP('포켓몬_편집'!$AF544:$AN544,'분류_규칙'!$A$5:$A$76,'분류_규칙'!$P$5:$P$76,0))</x:f>
        <x:v>0</x:v>
      </x:c>
    </x:row>
    <x:row r="545" ht="22" customHeight="1">
      <x:c r="A545" s="5" t="n">
        <x:v>541</x:v>
      </x:c>
      <x:c r="B545" s="5" t="inlineStr">
        <x:is>
          <x:t xml:space="preserve">두르쿤</x:t>
        </x:is>
      </x:c>
      <x:c r="C545" s="5" t="inlineStr">
        <x:is>
          <x:t xml:space="preserve">swadloon</x:t>
        </x:is>
      </x:c>
      <x:c r="D545" s="5" t="n">
        <x:v>5</x:v>
      </x:c>
      <x:c r="E545" s="10" t="n">
        <x:f>SUM(XLOOKUP('포켓몬_편집'!$AF545:$AN545,'분류_규칙'!$A$5:$A$76,'분류_규칙'!$E$5:$E$76,0))</x:f>
        <x:v>10</x:v>
      </x:c>
      <x:c r="F545" s="10" t="n">
        <x:f>SUM(XLOOKUP('포켓몬_편집'!$AF545:$AN545,'분류_규칙'!$A$5:$A$76,'분류_규칙'!$F$5:$F$76,0))</x:f>
        <x:v>7</x:v>
      </x:c>
      <x:c r="G545" s="10" t="n">
        <x:f>SUM(XLOOKUP('포켓몬_편집'!$AF545:$AN545,'분류_규칙'!$A$5:$A$76,'분류_규칙'!$G$5:$G$76,0))</x:f>
        <x:v>5</x:v>
      </x:c>
      <x:c r="H545" s="10" t="n">
        <x:f>SUM(XLOOKUP('포켓몬_편집'!$AF545:$AN545,'분류_규칙'!$A$5:$A$76,'분류_규칙'!$H$5:$H$76,0))</x:f>
        <x:v>5</x:v>
      </x:c>
      <x:c r="I545" s="10" t="n">
        <x:f>SUM(XLOOKUP('포켓몬_편집'!$AF545:$AN545,'분류_규칙'!$A$5:$A$76,'분류_규칙'!$I$5:$I$76,0))</x:f>
        <x:v>0</x:v>
      </x:c>
      <x:c r="J545" s="10" t="n">
        <x:f>SUM(XLOOKUP('포켓몬_편집'!$AF545:$AN545,'분류_규칙'!$A$5:$A$76,'분류_규칙'!$J$5:$J$76,0))</x:f>
        <x:v>2</x:v>
      </x:c>
      <x:c r="K545" s="10" t="n">
        <x:f>SUM(XLOOKUP('포켓몬_편집'!$AF545:$AN545,'분류_규칙'!$A$5:$A$76,'분류_규칙'!$K$5:$K$76,0))</x:f>
        <x:v>0</x:v>
      </x:c>
      <x:c r="L545" s="10" t="n">
        <x:f>SUM(XLOOKUP('포켓몬_편집'!$AF545:$AN545,'분류_규칙'!$A$5:$A$76,'분류_규칙'!$L$5:$L$76,0))</x:f>
        <x:v>0</x:v>
      </x:c>
      <x:c r="M545" s="10" t="n">
        <x:f>SUM(XLOOKUP('포켓몬_편집'!$AF545:$AN545,'분류_규칙'!$A$5:$A$76,'분류_규칙'!$M$5:$M$76,0))</x:f>
        <x:v>0</x:v>
      </x:c>
      <x:c r="N545" s="10" t="n">
        <x:f>SUM(XLOOKUP('포켓몬_편집'!$AF545:$AN545,'분류_규칙'!$A$5:$A$76,'분류_규칙'!$N$5:$N$76,0))</x:f>
        <x:v>0</x:v>
      </x:c>
      <x:c r="O545" s="10" t="n">
        <x:f>SUM(XLOOKUP('포켓몬_편집'!$AF545:$AN545,'분류_규칙'!$A$5:$A$76,'분류_규칙'!$O$5:$O$76,0))</x:f>
        <x:v>2</x:v>
      </x:c>
      <x:c r="P545" s="10" t="n">
        <x:f>SUM(XLOOKUP('포켓몬_편집'!$AF545:$AN545,'분류_규칙'!$A$5:$A$76,'분류_규칙'!$P$5:$P$76,0))</x:f>
        <x:v>0</x:v>
      </x:c>
    </x:row>
    <x:row r="546" ht="22" customHeight="1">
      <x:c r="A546" s="5" t="n">
        <x:v>542</x:v>
      </x:c>
      <x:c r="B546" s="5" t="inlineStr">
        <x:is>
          <x:t xml:space="preserve">모아머</x:t>
        </x:is>
      </x:c>
      <x:c r="C546" s="5" t="inlineStr">
        <x:is>
          <x:t xml:space="preserve">leavanny</x:t>
        </x:is>
      </x:c>
      <x:c r="D546" s="5" t="n">
        <x:v>5</x:v>
      </x:c>
      <x:c r="E546" s="10" t="n">
        <x:f>SUM(XLOOKUP('포켓몬_편집'!$AF546:$AN546,'분류_규칙'!$A$5:$A$76,'분류_규칙'!$E$5:$E$76,0))</x:f>
        <x:v>10</x:v>
      </x:c>
      <x:c r="F546" s="10" t="n">
        <x:f>SUM(XLOOKUP('포켓몬_편집'!$AF546:$AN546,'분류_규칙'!$A$5:$A$76,'분류_규칙'!$F$5:$F$76,0))</x:f>
        <x:v>7</x:v>
      </x:c>
      <x:c r="G546" s="10" t="n">
        <x:f>SUM(XLOOKUP('포켓몬_편집'!$AF546:$AN546,'분류_규칙'!$A$5:$A$76,'분류_규칙'!$G$5:$G$76,0))</x:f>
        <x:v>5</x:v>
      </x:c>
      <x:c r="H546" s="10" t="n">
        <x:f>SUM(XLOOKUP('포켓몬_편집'!$AF546:$AN546,'분류_규칙'!$A$5:$A$76,'분류_규칙'!$H$5:$H$76,0))</x:f>
        <x:v>5</x:v>
      </x:c>
      <x:c r="I546" s="10" t="n">
        <x:f>SUM(XLOOKUP('포켓몬_편집'!$AF546:$AN546,'분류_규칙'!$A$5:$A$76,'분류_규칙'!$I$5:$I$76,0))</x:f>
        <x:v>0</x:v>
      </x:c>
      <x:c r="J546" s="10" t="n">
        <x:f>SUM(XLOOKUP('포켓몬_편집'!$AF546:$AN546,'분류_규칙'!$A$5:$A$76,'분류_규칙'!$J$5:$J$76,0))</x:f>
        <x:v>2</x:v>
      </x:c>
      <x:c r="K546" s="10" t="n">
        <x:f>SUM(XLOOKUP('포켓몬_편집'!$AF546:$AN546,'분류_규칙'!$A$5:$A$76,'분류_규칙'!$K$5:$K$76,0))</x:f>
        <x:v>0</x:v>
      </x:c>
      <x:c r="L546" s="10" t="n">
        <x:f>SUM(XLOOKUP('포켓몬_편집'!$AF546:$AN546,'분류_규칙'!$A$5:$A$76,'분류_규칙'!$L$5:$L$76,0))</x:f>
        <x:v>0</x:v>
      </x:c>
      <x:c r="M546" s="10" t="n">
        <x:f>SUM(XLOOKUP('포켓몬_편집'!$AF546:$AN546,'분류_규칙'!$A$5:$A$76,'분류_규칙'!$M$5:$M$76,0))</x:f>
        <x:v>0</x:v>
      </x:c>
      <x:c r="N546" s="10" t="n">
        <x:f>SUM(XLOOKUP('포켓몬_편집'!$AF546:$AN546,'분류_규칙'!$A$5:$A$76,'분류_규칙'!$N$5:$N$76,0))</x:f>
        <x:v>0</x:v>
      </x:c>
      <x:c r="O546" s="10" t="n">
        <x:f>SUM(XLOOKUP('포켓몬_편집'!$AF546:$AN546,'분류_규칙'!$A$5:$A$76,'분류_규칙'!$O$5:$O$76,0))</x:f>
        <x:v>2</x:v>
      </x:c>
      <x:c r="P546" s="10" t="n">
        <x:f>SUM(XLOOKUP('포켓몬_편집'!$AF546:$AN546,'분류_규칙'!$A$5:$A$76,'분류_규칙'!$P$5:$P$76,0))</x:f>
        <x:v>0</x:v>
      </x:c>
    </x:row>
    <x:row r="547" ht="22" customHeight="1">
      <x:c r="A547" s="5" t="n">
        <x:v>543</x:v>
      </x:c>
      <x:c r="B547" s="5" t="inlineStr">
        <x:is>
          <x:t xml:space="preserve">마디네</x:t>
        </x:is>
      </x:c>
      <x:c r="C547" s="5" t="inlineStr">
        <x:is>
          <x:t xml:space="preserve">venipede</x:t>
        </x:is>
      </x:c>
      <x:c r="D547" s="5" t="n">
        <x:v>5</x:v>
      </x:c>
      <x:c r="E547" s="10" t="n">
        <x:f>SUM(XLOOKUP('포켓몬_편집'!$AF547:$AN547,'분류_규칙'!$A$5:$A$76,'분류_규칙'!$E$5:$E$76,0))</x:f>
        <x:v>10</x:v>
      </x:c>
      <x:c r="F547" s="10" t="n">
        <x:f>SUM(XLOOKUP('포켓몬_편집'!$AF547:$AN547,'분류_규칙'!$A$5:$A$76,'분류_규칙'!$F$5:$F$76,0))</x:f>
        <x:v>7</x:v>
      </x:c>
      <x:c r="G547" s="10" t="n">
        <x:f>SUM(XLOOKUP('포켓몬_편집'!$AF547:$AN547,'분류_규칙'!$A$5:$A$76,'분류_규칙'!$G$5:$G$76,0))</x:f>
        <x:v>5</x:v>
      </x:c>
      <x:c r="H547" s="10" t="n">
        <x:f>SUM(XLOOKUP('포켓몬_편집'!$AF547:$AN547,'분류_규칙'!$A$5:$A$76,'분류_규칙'!$H$5:$H$76,0))</x:f>
        <x:v>5</x:v>
      </x:c>
      <x:c r="I547" s="10" t="n">
        <x:f>SUM(XLOOKUP('포켓몬_편집'!$AF547:$AN547,'분류_규칙'!$A$5:$A$76,'분류_규칙'!$I$5:$I$76,0))</x:f>
        <x:v>0</x:v>
      </x:c>
      <x:c r="J547" s="10" t="n">
        <x:f>SUM(XLOOKUP('포켓몬_편집'!$AF547:$AN547,'분류_규칙'!$A$5:$A$76,'분류_규칙'!$J$5:$J$76,0))</x:f>
        <x:v>2</x:v>
      </x:c>
      <x:c r="K547" s="10" t="n">
        <x:f>SUM(XLOOKUP('포켓몬_편집'!$AF547:$AN547,'분류_규칙'!$A$5:$A$76,'분류_규칙'!$K$5:$K$76,0))</x:f>
        <x:v>0</x:v>
      </x:c>
      <x:c r="L547" s="10" t="n">
        <x:f>SUM(XLOOKUP('포켓몬_편집'!$AF547:$AN547,'분류_규칙'!$A$5:$A$76,'분류_규칙'!$L$5:$L$76,0))</x:f>
        <x:v>0</x:v>
      </x:c>
      <x:c r="M547" s="10" t="n">
        <x:f>SUM(XLOOKUP('포켓몬_편집'!$AF547:$AN547,'분류_규칙'!$A$5:$A$76,'분류_규칙'!$M$5:$M$76,0))</x:f>
        <x:v>0</x:v>
      </x:c>
      <x:c r="N547" s="10" t="n">
        <x:f>SUM(XLOOKUP('포켓몬_편집'!$AF547:$AN547,'분류_규칙'!$A$5:$A$76,'분류_규칙'!$N$5:$N$76,0))</x:f>
        <x:v>0</x:v>
      </x:c>
      <x:c r="O547" s="10" t="n">
        <x:f>SUM(XLOOKUP('포켓몬_편집'!$AF547:$AN547,'분류_규칙'!$A$5:$A$76,'분류_규칙'!$O$5:$O$76,0))</x:f>
        <x:v>2</x:v>
      </x:c>
      <x:c r="P547" s="10" t="n">
        <x:f>SUM(XLOOKUP('포켓몬_편집'!$AF547:$AN547,'분류_규칙'!$A$5:$A$76,'분류_규칙'!$P$5:$P$76,0))</x:f>
        <x:v>0</x:v>
      </x:c>
    </x:row>
    <x:row r="548" ht="22" customHeight="1">
      <x:c r="A548" s="5" t="n">
        <x:v>544</x:v>
      </x:c>
      <x:c r="B548" s="5" t="inlineStr">
        <x:is>
          <x:t xml:space="preserve">휠구</x:t>
        </x:is>
      </x:c>
      <x:c r="C548" s="5" t="inlineStr">
        <x:is>
          <x:t xml:space="preserve">whirlipede</x:t>
        </x:is>
      </x:c>
      <x:c r="D548" s="5" t="n">
        <x:v>5</x:v>
      </x:c>
      <x:c r="E548" s="10" t="n">
        <x:f>SUM(XLOOKUP('포켓몬_편집'!$AF548:$AN548,'분류_규칙'!$A$5:$A$76,'분류_규칙'!$E$5:$E$76,0))</x:f>
        <x:v>10</x:v>
      </x:c>
      <x:c r="F548" s="10" t="n">
        <x:f>SUM(XLOOKUP('포켓몬_편집'!$AF548:$AN548,'분류_규칙'!$A$5:$A$76,'분류_규칙'!$F$5:$F$76,0))</x:f>
        <x:v>7</x:v>
      </x:c>
      <x:c r="G548" s="10" t="n">
        <x:f>SUM(XLOOKUP('포켓몬_편집'!$AF548:$AN548,'분류_규칙'!$A$5:$A$76,'분류_규칙'!$G$5:$G$76,0))</x:f>
        <x:v>5</x:v>
      </x:c>
      <x:c r="H548" s="10" t="n">
        <x:f>SUM(XLOOKUP('포켓몬_편집'!$AF548:$AN548,'분류_규칙'!$A$5:$A$76,'분류_규칙'!$H$5:$H$76,0))</x:f>
        <x:v>5</x:v>
      </x:c>
      <x:c r="I548" s="10" t="n">
        <x:f>SUM(XLOOKUP('포켓몬_편집'!$AF548:$AN548,'분류_규칙'!$A$5:$A$76,'분류_규칙'!$I$5:$I$76,0))</x:f>
        <x:v>0</x:v>
      </x:c>
      <x:c r="J548" s="10" t="n">
        <x:f>SUM(XLOOKUP('포켓몬_편집'!$AF548:$AN548,'분류_규칙'!$A$5:$A$76,'분류_규칙'!$J$5:$J$76,0))</x:f>
        <x:v>2</x:v>
      </x:c>
      <x:c r="K548" s="10" t="n">
        <x:f>SUM(XLOOKUP('포켓몬_편집'!$AF548:$AN548,'분류_규칙'!$A$5:$A$76,'분류_규칙'!$K$5:$K$76,0))</x:f>
        <x:v>0</x:v>
      </x:c>
      <x:c r="L548" s="10" t="n">
        <x:f>SUM(XLOOKUP('포켓몬_편집'!$AF548:$AN548,'분류_규칙'!$A$5:$A$76,'분류_규칙'!$L$5:$L$76,0))</x:f>
        <x:v>0</x:v>
      </x:c>
      <x:c r="M548" s="10" t="n">
        <x:f>SUM(XLOOKUP('포켓몬_편집'!$AF548:$AN548,'분류_규칙'!$A$5:$A$76,'분류_규칙'!$M$5:$M$76,0))</x:f>
        <x:v>0</x:v>
      </x:c>
      <x:c r="N548" s="10" t="n">
        <x:f>SUM(XLOOKUP('포켓몬_편집'!$AF548:$AN548,'분류_규칙'!$A$5:$A$76,'분류_규칙'!$N$5:$N$76,0))</x:f>
        <x:v>0</x:v>
      </x:c>
      <x:c r="O548" s="10" t="n">
        <x:f>SUM(XLOOKUP('포켓몬_편집'!$AF548:$AN548,'분류_규칙'!$A$5:$A$76,'분류_규칙'!$O$5:$O$76,0))</x:f>
        <x:v>2</x:v>
      </x:c>
      <x:c r="P548" s="10" t="n">
        <x:f>SUM(XLOOKUP('포켓몬_편집'!$AF548:$AN548,'분류_규칙'!$A$5:$A$76,'분류_규칙'!$P$5:$P$76,0))</x:f>
        <x:v>0</x:v>
      </x:c>
    </x:row>
    <x:row r="549" ht="22" customHeight="1">
      <x:c r="A549" s="5" t="n">
        <x:v>545</x:v>
      </x:c>
      <x:c r="B549" s="5" t="inlineStr">
        <x:is>
          <x:t xml:space="preserve">펜드라</x:t>
        </x:is>
      </x:c>
      <x:c r="C549" s="5" t="inlineStr">
        <x:is>
          <x:t xml:space="preserve">scolipede</x:t>
        </x:is>
      </x:c>
      <x:c r="D549" s="5" t="n">
        <x:v>5</x:v>
      </x:c>
      <x:c r="E549" s="10" t="n">
        <x:f>SUM(XLOOKUP('포켓몬_편집'!$AF549:$AN549,'분류_규칙'!$A$5:$A$76,'분류_규칙'!$E$5:$E$76,0))</x:f>
        <x:v>10</x:v>
      </x:c>
      <x:c r="F549" s="10" t="n">
        <x:f>SUM(XLOOKUP('포켓몬_편집'!$AF549:$AN549,'분류_규칙'!$A$5:$A$76,'분류_규칙'!$F$5:$F$76,0))</x:f>
        <x:v>7</x:v>
      </x:c>
      <x:c r="G549" s="10" t="n">
        <x:f>SUM(XLOOKUP('포켓몬_편집'!$AF549:$AN549,'분류_규칙'!$A$5:$A$76,'분류_규칙'!$G$5:$G$76,0))</x:f>
        <x:v>5</x:v>
      </x:c>
      <x:c r="H549" s="10" t="n">
        <x:f>SUM(XLOOKUP('포켓몬_편집'!$AF549:$AN549,'분류_규칙'!$A$5:$A$76,'분류_규칙'!$H$5:$H$76,0))</x:f>
        <x:v>5</x:v>
      </x:c>
      <x:c r="I549" s="10" t="n">
        <x:f>SUM(XLOOKUP('포켓몬_편집'!$AF549:$AN549,'분류_규칙'!$A$5:$A$76,'분류_규칙'!$I$5:$I$76,0))</x:f>
        <x:v>0</x:v>
      </x:c>
      <x:c r="J549" s="10" t="n">
        <x:f>SUM(XLOOKUP('포켓몬_편집'!$AF549:$AN549,'분류_규칙'!$A$5:$A$76,'분류_규칙'!$J$5:$J$76,0))</x:f>
        <x:v>2</x:v>
      </x:c>
      <x:c r="K549" s="10" t="n">
        <x:f>SUM(XLOOKUP('포켓몬_편집'!$AF549:$AN549,'분류_규칙'!$A$5:$A$76,'분류_규칙'!$K$5:$K$76,0))</x:f>
        <x:v>0</x:v>
      </x:c>
      <x:c r="L549" s="10" t="n">
        <x:f>SUM(XLOOKUP('포켓몬_편집'!$AF549:$AN549,'분류_규칙'!$A$5:$A$76,'분류_규칙'!$L$5:$L$76,0))</x:f>
        <x:v>0</x:v>
      </x:c>
      <x:c r="M549" s="10" t="n">
        <x:f>SUM(XLOOKUP('포켓몬_편집'!$AF549:$AN549,'분류_규칙'!$A$5:$A$76,'분류_규칙'!$M$5:$M$76,0))</x:f>
        <x:v>0</x:v>
      </x:c>
      <x:c r="N549" s="10" t="n">
        <x:f>SUM(XLOOKUP('포켓몬_편집'!$AF549:$AN549,'분류_규칙'!$A$5:$A$76,'분류_규칙'!$N$5:$N$76,0))</x:f>
        <x:v>0</x:v>
      </x:c>
      <x:c r="O549" s="10" t="n">
        <x:f>SUM(XLOOKUP('포켓몬_편집'!$AF549:$AN549,'분류_규칙'!$A$5:$A$76,'분류_규칙'!$O$5:$O$76,0))</x:f>
        <x:v>2</x:v>
      </x:c>
      <x:c r="P549" s="10" t="n">
        <x:f>SUM(XLOOKUP('포켓몬_편집'!$AF549:$AN549,'분류_규칙'!$A$5:$A$76,'분류_규칙'!$P$5:$P$76,0))</x:f>
        <x:v>0</x:v>
      </x:c>
    </x:row>
    <x:row r="550" ht="22" customHeight="1">
      <x:c r="A550" s="5" t="n">
        <x:v>546</x:v>
      </x:c>
      <x:c r="B550" s="5" t="inlineStr">
        <x:is>
          <x:t xml:space="preserve">소미안</x:t>
        </x:is>
      </x:c>
      <x:c r="C550" s="5" t="inlineStr">
        <x:is>
          <x:t xml:space="preserve">cottonee</x:t>
        </x:is>
      </x:c>
      <x:c r="D550" s="5" t="n">
        <x:v>5</x:v>
      </x:c>
      <x:c r="E550" s="10" t="n">
        <x:f>SUM(XLOOKUP('포켓몬_편집'!$AF550:$AN550,'분류_규칙'!$A$5:$A$76,'분류_규칙'!$E$5:$E$76,0))</x:f>
        <x:v>8</x:v>
      </x:c>
      <x:c r="F550" s="10" t="n">
        <x:f>SUM(XLOOKUP('포켓몬_편집'!$AF550:$AN550,'분류_규칙'!$A$5:$A$76,'분류_규칙'!$F$5:$F$76,0))</x:f>
        <x:v>8</x:v>
      </x:c>
      <x:c r="G550" s="10" t="n">
        <x:f>SUM(XLOOKUP('포켓몬_편집'!$AF550:$AN550,'분류_규칙'!$A$5:$A$76,'분류_규칙'!$G$5:$G$76,0))</x:f>
        <x:v>0</x:v>
      </x:c>
      <x:c r="H550" s="10" t="n">
        <x:f>SUM(XLOOKUP('포켓몬_편집'!$AF550:$AN550,'분류_규칙'!$A$5:$A$76,'분류_규칙'!$H$5:$H$76,0))</x:f>
        <x:v>12</x:v>
      </x:c>
      <x:c r="I550" s="10" t="n">
        <x:f>SUM(XLOOKUP('포켓몬_편집'!$AF550:$AN550,'분류_규칙'!$A$5:$A$76,'분류_규칙'!$I$5:$I$76,0))</x:f>
        <x:v>0</x:v>
      </x:c>
      <x:c r="J550" s="10" t="n">
        <x:f>SUM(XLOOKUP('포켓몬_편집'!$AF550:$AN550,'분류_규칙'!$A$5:$A$76,'분류_규칙'!$J$5:$J$76,0))</x:f>
        <x:v>0</x:v>
      </x:c>
      <x:c r="K550" s="10" t="n">
        <x:f>SUM(XLOOKUP('포켓몬_편집'!$AF550:$AN550,'분류_규칙'!$A$5:$A$76,'분류_규칙'!$K$5:$K$76,0))</x:f>
        <x:v>0</x:v>
      </x:c>
      <x:c r="L550" s="10" t="n">
        <x:f>SUM(XLOOKUP('포켓몬_편집'!$AF550:$AN550,'분류_규칙'!$A$5:$A$76,'분류_규칙'!$L$5:$L$76,0))</x:f>
        <x:v>3</x:v>
      </x:c>
      <x:c r="M550" s="10" t="n">
        <x:f>SUM(XLOOKUP('포켓몬_편집'!$AF550:$AN550,'분류_규칙'!$A$5:$A$76,'분류_규칙'!$M$5:$M$76,0))</x:f>
        <x:v>0</x:v>
      </x:c>
      <x:c r="N550" s="10" t="n">
        <x:f>SUM(XLOOKUP('포켓몬_편집'!$AF550:$AN550,'분류_규칙'!$A$5:$A$76,'분류_규칙'!$N$5:$N$76,0))</x:f>
        <x:v>0</x:v>
      </x:c>
      <x:c r="O550" s="10" t="n">
        <x:f>SUM(XLOOKUP('포켓몬_편집'!$AF550:$AN550,'분류_규칙'!$A$5:$A$76,'분류_규칙'!$O$5:$O$76,0))</x:f>
        <x:v>2</x:v>
      </x:c>
      <x:c r="P550" s="10" t="n">
        <x:f>SUM(XLOOKUP('포켓몬_편집'!$AF550:$AN550,'분류_규칙'!$A$5:$A$76,'분류_규칙'!$P$5:$P$76,0))</x:f>
        <x:v>0</x:v>
      </x:c>
    </x:row>
    <x:row r="551" ht="22" customHeight="1">
      <x:c r="A551" s="5" t="n">
        <x:v>547</x:v>
      </x:c>
      <x:c r="B551" s="5" t="inlineStr">
        <x:is>
          <x:t xml:space="preserve">엘풍</x:t>
        </x:is>
      </x:c>
      <x:c r="C551" s="5" t="inlineStr">
        <x:is>
          <x:t xml:space="preserve">whimsicott</x:t>
        </x:is>
      </x:c>
      <x:c r="D551" s="5" t="n">
        <x:v>5</x:v>
      </x:c>
      <x:c r="E551" s="10" t="n">
        <x:f>SUM(XLOOKUP('포켓몬_편집'!$AF551:$AN551,'분류_규칙'!$A$5:$A$76,'분류_규칙'!$E$5:$E$76,0))</x:f>
        <x:v>8</x:v>
      </x:c>
      <x:c r="F551" s="10" t="n">
        <x:f>SUM(XLOOKUP('포켓몬_편집'!$AF551:$AN551,'분류_규칙'!$A$5:$A$76,'분류_규칙'!$F$5:$F$76,0))</x:f>
        <x:v>8</x:v>
      </x:c>
      <x:c r="G551" s="10" t="n">
        <x:f>SUM(XLOOKUP('포켓몬_편집'!$AF551:$AN551,'분류_규칙'!$A$5:$A$76,'분류_규칙'!$G$5:$G$76,0))</x:f>
        <x:v>0</x:v>
      </x:c>
      <x:c r="H551" s="10" t="n">
        <x:f>SUM(XLOOKUP('포켓몬_편집'!$AF551:$AN551,'분류_규칙'!$A$5:$A$76,'분류_규칙'!$H$5:$H$76,0))</x:f>
        <x:v>12</x:v>
      </x:c>
      <x:c r="I551" s="10" t="n">
        <x:f>SUM(XLOOKUP('포켓몬_편집'!$AF551:$AN551,'분류_규칙'!$A$5:$A$76,'분류_규칙'!$I$5:$I$76,0))</x:f>
        <x:v>0</x:v>
      </x:c>
      <x:c r="J551" s="10" t="n">
        <x:f>SUM(XLOOKUP('포켓몬_편집'!$AF551:$AN551,'분류_규칙'!$A$5:$A$76,'분류_규칙'!$J$5:$J$76,0))</x:f>
        <x:v>0</x:v>
      </x:c>
      <x:c r="K551" s="10" t="n">
        <x:f>SUM(XLOOKUP('포켓몬_편집'!$AF551:$AN551,'분류_규칙'!$A$5:$A$76,'분류_규칙'!$K$5:$K$76,0))</x:f>
        <x:v>0</x:v>
      </x:c>
      <x:c r="L551" s="10" t="n">
        <x:f>SUM(XLOOKUP('포켓몬_편집'!$AF551:$AN551,'분류_규칙'!$A$5:$A$76,'분류_규칙'!$L$5:$L$76,0))</x:f>
        <x:v>3</x:v>
      </x:c>
      <x:c r="M551" s="10" t="n">
        <x:f>SUM(XLOOKUP('포켓몬_편집'!$AF551:$AN551,'분류_규칙'!$A$5:$A$76,'분류_규칙'!$M$5:$M$76,0))</x:f>
        <x:v>0</x:v>
      </x:c>
      <x:c r="N551" s="10" t="n">
        <x:f>SUM(XLOOKUP('포켓몬_편집'!$AF551:$AN551,'분류_규칙'!$A$5:$A$76,'분류_규칙'!$N$5:$N$76,0))</x:f>
        <x:v>0</x:v>
      </x:c>
      <x:c r="O551" s="10" t="n">
        <x:f>SUM(XLOOKUP('포켓몬_편집'!$AF551:$AN551,'분류_규칙'!$A$5:$A$76,'분류_규칙'!$O$5:$O$76,0))</x:f>
        <x:v>2</x:v>
      </x:c>
      <x:c r="P551" s="10" t="n">
        <x:f>SUM(XLOOKUP('포켓몬_편집'!$AF551:$AN551,'분류_규칙'!$A$5:$A$76,'분류_규칙'!$P$5:$P$76,0))</x:f>
        <x:v>0</x:v>
      </x:c>
    </x:row>
    <x:row r="552" ht="22" customHeight="1">
      <x:c r="A552" s="5" t="n">
        <x:v>548</x:v>
      </x:c>
      <x:c r="B552" s="5" t="inlineStr">
        <x:is>
          <x:t xml:space="preserve">치릴리</x:t>
        </x:is>
      </x:c>
      <x:c r="C552" s="5" t="inlineStr">
        <x:is>
          <x:t xml:space="preserve">petilil</x:t>
        </x:is>
      </x:c>
      <x:c r="D552" s="5" t="n">
        <x:v>5</x:v>
      </x:c>
      <x:c r="E552" s="10" t="n">
        <x:f>SUM(XLOOKUP('포켓몬_편집'!$AF552:$AN552,'분류_규칙'!$A$5:$A$76,'분류_규칙'!$E$5:$E$76,0))</x:f>
        <x:v>10</x:v>
      </x:c>
      <x:c r="F552" s="10" t="n">
        <x:f>SUM(XLOOKUP('포켓몬_편집'!$AF552:$AN552,'분류_규칙'!$A$5:$A$76,'분류_규칙'!$F$5:$F$76,0))</x:f>
        <x:v>7</x:v>
      </x:c>
      <x:c r="G552" s="10" t="n">
        <x:f>SUM(XLOOKUP('포켓몬_편집'!$AF552:$AN552,'분류_규칙'!$A$5:$A$76,'분류_규칙'!$G$5:$G$76,0))</x:f>
        <x:v>5</x:v>
      </x:c>
      <x:c r="H552" s="10" t="n">
        <x:f>SUM(XLOOKUP('포켓몬_편집'!$AF552:$AN552,'분류_규칙'!$A$5:$A$76,'분류_규칙'!$H$5:$H$76,0))</x:f>
        <x:v>5</x:v>
      </x:c>
      <x:c r="I552" s="10" t="n">
        <x:f>SUM(XLOOKUP('포켓몬_편집'!$AF552:$AN552,'분류_규칙'!$A$5:$A$76,'분류_규칙'!$I$5:$I$76,0))</x:f>
        <x:v>0</x:v>
      </x:c>
      <x:c r="J552" s="10" t="n">
        <x:f>SUM(XLOOKUP('포켓몬_편집'!$AF552:$AN552,'분류_규칙'!$A$5:$A$76,'분류_규칙'!$J$5:$J$76,0))</x:f>
        <x:v>2</x:v>
      </x:c>
      <x:c r="K552" s="10" t="n">
        <x:f>SUM(XLOOKUP('포켓몬_편집'!$AF552:$AN552,'분류_규칙'!$A$5:$A$76,'분류_규칙'!$K$5:$K$76,0))</x:f>
        <x:v>0</x:v>
      </x:c>
      <x:c r="L552" s="10" t="n">
        <x:f>SUM(XLOOKUP('포켓몬_편집'!$AF552:$AN552,'분류_규칙'!$A$5:$A$76,'분류_규칙'!$L$5:$L$76,0))</x:f>
        <x:v>0</x:v>
      </x:c>
      <x:c r="M552" s="10" t="n">
        <x:f>SUM(XLOOKUP('포켓몬_편집'!$AF552:$AN552,'분류_규칙'!$A$5:$A$76,'분류_규칙'!$M$5:$M$76,0))</x:f>
        <x:v>0</x:v>
      </x:c>
      <x:c r="N552" s="10" t="n">
        <x:f>SUM(XLOOKUP('포켓몬_편집'!$AF552:$AN552,'분류_규칙'!$A$5:$A$76,'분류_규칙'!$N$5:$N$76,0))</x:f>
        <x:v>0</x:v>
      </x:c>
      <x:c r="O552" s="10" t="n">
        <x:f>SUM(XLOOKUP('포켓몬_편집'!$AF552:$AN552,'분류_규칙'!$A$5:$A$76,'분류_규칙'!$O$5:$O$76,0))</x:f>
        <x:v>2</x:v>
      </x:c>
      <x:c r="P552" s="10" t="n">
        <x:f>SUM(XLOOKUP('포켓몬_편집'!$AF552:$AN552,'분류_규칙'!$A$5:$A$76,'분류_규칙'!$P$5:$P$76,0))</x:f>
        <x:v>0</x:v>
      </x:c>
    </x:row>
    <x:row r="553" ht="22" customHeight="1">
      <x:c r="A553" s="5" t="n">
        <x:v>549</x:v>
      </x:c>
      <x:c r="B553" s="5" t="inlineStr">
        <x:is>
          <x:t xml:space="preserve">드레디어</x:t>
        </x:is>
      </x:c>
      <x:c r="C553" s="5" t="inlineStr">
        <x:is>
          <x:t xml:space="preserve">lilligant</x:t>
        </x:is>
      </x:c>
      <x:c r="D553" s="5" t="n">
        <x:v>5</x:v>
      </x:c>
      <x:c r="E553" s="10" t="n">
        <x:f>SUM(XLOOKUP('포켓몬_편집'!$AF553:$AN553,'분류_규칙'!$A$5:$A$76,'분류_규칙'!$E$5:$E$76,0))</x:f>
        <x:v>10</x:v>
      </x:c>
      <x:c r="F553" s="10" t="n">
        <x:f>SUM(XLOOKUP('포켓몬_편집'!$AF553:$AN553,'분류_규칙'!$A$5:$A$76,'분류_규칙'!$F$5:$F$76,0))</x:f>
        <x:v>7</x:v>
      </x:c>
      <x:c r="G553" s="10" t="n">
        <x:f>SUM(XLOOKUP('포켓몬_편집'!$AF553:$AN553,'분류_규칙'!$A$5:$A$76,'분류_규칙'!$G$5:$G$76,0))</x:f>
        <x:v>5</x:v>
      </x:c>
      <x:c r="H553" s="10" t="n">
        <x:f>SUM(XLOOKUP('포켓몬_편집'!$AF553:$AN553,'분류_규칙'!$A$5:$A$76,'분류_규칙'!$H$5:$H$76,0))</x:f>
        <x:v>5</x:v>
      </x:c>
      <x:c r="I553" s="10" t="n">
        <x:f>SUM(XLOOKUP('포켓몬_편집'!$AF553:$AN553,'분류_규칙'!$A$5:$A$76,'분류_규칙'!$I$5:$I$76,0))</x:f>
        <x:v>0</x:v>
      </x:c>
      <x:c r="J553" s="10" t="n">
        <x:f>SUM(XLOOKUP('포켓몬_편집'!$AF553:$AN553,'분류_규칙'!$A$5:$A$76,'분류_규칙'!$J$5:$J$76,0))</x:f>
        <x:v>2</x:v>
      </x:c>
      <x:c r="K553" s="10" t="n">
        <x:f>SUM(XLOOKUP('포켓몬_편집'!$AF553:$AN553,'분류_규칙'!$A$5:$A$76,'분류_규칙'!$K$5:$K$76,0))</x:f>
        <x:v>0</x:v>
      </x:c>
      <x:c r="L553" s="10" t="n">
        <x:f>SUM(XLOOKUP('포켓몬_편집'!$AF553:$AN553,'분류_규칙'!$A$5:$A$76,'분류_규칙'!$L$5:$L$76,0))</x:f>
        <x:v>0</x:v>
      </x:c>
      <x:c r="M553" s="10" t="n">
        <x:f>SUM(XLOOKUP('포켓몬_편집'!$AF553:$AN553,'분류_규칙'!$A$5:$A$76,'분류_규칙'!$M$5:$M$76,0))</x:f>
        <x:v>0</x:v>
      </x:c>
      <x:c r="N553" s="10" t="n">
        <x:f>SUM(XLOOKUP('포켓몬_편집'!$AF553:$AN553,'분류_규칙'!$A$5:$A$76,'분류_규칙'!$N$5:$N$76,0))</x:f>
        <x:v>0</x:v>
      </x:c>
      <x:c r="O553" s="10" t="n">
        <x:f>SUM(XLOOKUP('포켓몬_편집'!$AF553:$AN553,'분류_규칙'!$A$5:$A$76,'분류_규칙'!$O$5:$O$76,0))</x:f>
        <x:v>2</x:v>
      </x:c>
      <x:c r="P553" s="10" t="n">
        <x:f>SUM(XLOOKUP('포켓몬_편집'!$AF553:$AN553,'분류_규칙'!$A$5:$A$76,'분류_규칙'!$P$5:$P$76,0))</x:f>
        <x:v>0</x:v>
      </x:c>
    </x:row>
    <x:row r="554" ht="22" customHeight="1">
      <x:c r="A554" s="5" t="n">
        <x:v>550</x:v>
      </x:c>
      <x:c r="B554" s="5" t="inlineStr">
        <x:is>
          <x:t xml:space="preserve">배쓰나이</x:t>
        </x:is>
      </x:c>
      <x:c r="C554" s="5" t="inlineStr">
        <x:is>
          <x:t xml:space="preserve">basculin</x:t>
        </x:is>
      </x:c>
      <x:c r="D554" s="5" t="n">
        <x:v>5</x:v>
      </x:c>
      <x:c r="E554" s="10" t="n">
        <x:f>SUM(XLOOKUP('포켓몬_편집'!$AF554:$AN554,'분류_규칙'!$A$5:$A$76,'분류_규칙'!$E$5:$E$76,0))</x:f>
        <x:v>0</x:v>
      </x:c>
      <x:c r="F554" s="10" t="n">
        <x:f>SUM(XLOOKUP('포켓몬_편집'!$AF554:$AN554,'분류_규칙'!$A$5:$A$76,'분류_규칙'!$F$5:$F$76,0))</x:f>
        <x:v>0</x:v>
      </x:c>
      <x:c r="G554" s="10" t="n">
        <x:f>SUM(XLOOKUP('포켓몬_편집'!$AF554:$AN554,'분류_규칙'!$A$5:$A$76,'분류_규칙'!$G$5:$G$76,0))</x:f>
        <x:v>0</x:v>
      </x:c>
      <x:c r="H554" s="10" t="n">
        <x:f>SUM(XLOOKUP('포켓몬_편집'!$AF554:$AN554,'분류_규칙'!$A$5:$A$76,'분류_규칙'!$H$5:$H$76,0))</x:f>
        <x:v>0</x:v>
      </x:c>
      <x:c r="I554" s="10" t="n">
        <x:f>SUM(XLOOKUP('포켓몬_편집'!$AF554:$AN554,'분류_규칙'!$A$5:$A$76,'분류_규칙'!$I$5:$I$76,0))</x:f>
        <x:v>0</x:v>
      </x:c>
      <x:c r="J554" s="10" t="n">
        <x:f>SUM(XLOOKUP('포켓몬_편집'!$AF554:$AN554,'분류_규칙'!$A$5:$A$76,'분류_규칙'!$J$5:$J$76,0))</x:f>
        <x:v>12</x:v>
      </x:c>
      <x:c r="K554" s="10" t="n">
        <x:f>SUM(XLOOKUP('포켓몬_편집'!$AF554:$AN554,'분류_규칙'!$A$5:$A$76,'분류_규칙'!$K$5:$K$76,0))</x:f>
        <x:v>30</x:v>
      </x:c>
      <x:c r="L554" s="10" t="n">
        <x:f>SUM(XLOOKUP('포켓몬_편집'!$AF554:$AN554,'분류_규칙'!$A$5:$A$76,'분류_규칙'!$L$5:$L$76,0))</x:f>
        <x:v>0</x:v>
      </x:c>
      <x:c r="M554" s="10" t="n">
        <x:f>SUM(XLOOKUP('포켓몬_편집'!$AF554:$AN554,'분류_규칙'!$A$5:$A$76,'분류_규칙'!$M$5:$M$76,0))</x:f>
        <x:v>0</x:v>
      </x:c>
      <x:c r="N554" s="10" t="n">
        <x:f>SUM(XLOOKUP('포켓몬_편집'!$AF554:$AN554,'분류_규칙'!$A$5:$A$76,'분류_규칙'!$N$5:$N$76,0))</x:f>
        <x:v>0</x:v>
      </x:c>
      <x:c r="O554" s="10" t="n">
        <x:f>SUM(XLOOKUP('포켓몬_편집'!$AF554:$AN554,'분류_규칙'!$A$5:$A$76,'분류_규칙'!$O$5:$O$76,0))</x:f>
        <x:v>0</x:v>
      </x:c>
      <x:c r="P554" s="10" t="n">
        <x:f>SUM(XLOOKUP('포켓몬_편집'!$AF554:$AN554,'분류_규칙'!$A$5:$A$76,'분류_규칙'!$P$5:$P$76,0))</x:f>
        <x:v>0</x:v>
      </x:c>
    </x:row>
    <x:row r="555" ht="22" customHeight="1">
      <x:c r="A555" s="5" t="n">
        <x:v>551</x:v>
      </x:c>
      <x:c r="B555" s="5" t="inlineStr">
        <x:is>
          <x:t xml:space="preserve">깜눈크</x:t>
        </x:is>
      </x:c>
      <x:c r="C555" s="5" t="inlineStr">
        <x:is>
          <x:t xml:space="preserve">sandile</x:t>
        </x:is>
      </x:c>
      <x:c r="D555" s="5" t="n">
        <x:v>5</x:v>
      </x:c>
      <x:c r="E555" s="10" t="n">
        <x:f>SUM(XLOOKUP('포켓몬_편집'!$AF555:$AN555,'분류_규칙'!$A$5:$A$76,'분류_규칙'!$E$5:$E$76,0))</x:f>
        <x:v>10</x:v>
      </x:c>
      <x:c r="F555" s="10" t="n">
        <x:f>SUM(XLOOKUP('포켓몬_편집'!$AF555:$AN555,'분류_규칙'!$A$5:$A$76,'분류_규칙'!$F$5:$F$76,0))</x:f>
        <x:v>7</x:v>
      </x:c>
      <x:c r="G555" s="10" t="n">
        <x:f>SUM(XLOOKUP('포켓몬_편집'!$AF555:$AN555,'분류_규칙'!$A$5:$A$76,'분류_규칙'!$G$5:$G$76,0))</x:f>
        <x:v>5</x:v>
      </x:c>
      <x:c r="H555" s="10" t="n">
        <x:f>SUM(XLOOKUP('포켓몬_편집'!$AF555:$AN555,'분류_규칙'!$A$5:$A$76,'분류_규칙'!$H$5:$H$76,0))</x:f>
        <x:v>5</x:v>
      </x:c>
      <x:c r="I555" s="10" t="n">
        <x:f>SUM(XLOOKUP('포켓몬_편집'!$AF555:$AN555,'분류_규칙'!$A$5:$A$76,'분류_규칙'!$I$5:$I$76,0))</x:f>
        <x:v>0</x:v>
      </x:c>
      <x:c r="J555" s="10" t="n">
        <x:f>SUM(XLOOKUP('포켓몬_편집'!$AF555:$AN555,'분류_규칙'!$A$5:$A$76,'분류_규칙'!$J$5:$J$76,0))</x:f>
        <x:v>2</x:v>
      </x:c>
      <x:c r="K555" s="10" t="n">
        <x:f>SUM(XLOOKUP('포켓몬_편집'!$AF555:$AN555,'분류_규칙'!$A$5:$A$76,'분류_규칙'!$K$5:$K$76,0))</x:f>
        <x:v>0</x:v>
      </x:c>
      <x:c r="L555" s="10" t="n">
        <x:f>SUM(XLOOKUP('포켓몬_편집'!$AF555:$AN555,'분류_규칙'!$A$5:$A$76,'분류_규칙'!$L$5:$L$76,0))</x:f>
        <x:v>0</x:v>
      </x:c>
      <x:c r="M555" s="10" t="n">
        <x:f>SUM(XLOOKUP('포켓몬_편집'!$AF555:$AN555,'분류_규칙'!$A$5:$A$76,'분류_규칙'!$M$5:$M$76,0))</x:f>
        <x:v>0</x:v>
      </x:c>
      <x:c r="N555" s="10" t="n">
        <x:f>SUM(XLOOKUP('포켓몬_편집'!$AF555:$AN555,'분류_규칙'!$A$5:$A$76,'분류_규칙'!$N$5:$N$76,0))</x:f>
        <x:v>0</x:v>
      </x:c>
      <x:c r="O555" s="10" t="n">
        <x:f>SUM(XLOOKUP('포켓몬_편집'!$AF555:$AN555,'분류_규칙'!$A$5:$A$76,'분류_규칙'!$O$5:$O$76,0))</x:f>
        <x:v>2</x:v>
      </x:c>
      <x:c r="P555" s="10" t="n">
        <x:f>SUM(XLOOKUP('포켓몬_편집'!$AF555:$AN555,'분류_규칙'!$A$5:$A$76,'분류_규칙'!$P$5:$P$76,0))</x:f>
        <x:v>0</x:v>
      </x:c>
    </x:row>
    <x:row r="556" ht="22" customHeight="1">
      <x:c r="A556" s="5" t="n">
        <x:v>552</x:v>
      </x:c>
      <x:c r="B556" s="5" t="inlineStr">
        <x:is>
          <x:t xml:space="preserve">악비르</x:t>
        </x:is>
      </x:c>
      <x:c r="C556" s="5" t="inlineStr">
        <x:is>
          <x:t xml:space="preserve">krokorok</x:t>
        </x:is>
      </x:c>
      <x:c r="D556" s="5" t="n">
        <x:v>5</x:v>
      </x:c>
      <x:c r="E556" s="10" t="n">
        <x:f>SUM(XLOOKUP('포켓몬_편집'!$AF556:$AN556,'분류_규칙'!$A$5:$A$76,'분류_규칙'!$E$5:$E$76,0))</x:f>
        <x:v>10</x:v>
      </x:c>
      <x:c r="F556" s="10" t="n">
        <x:f>SUM(XLOOKUP('포켓몬_편집'!$AF556:$AN556,'분류_규칙'!$A$5:$A$76,'분류_규칙'!$F$5:$F$76,0))</x:f>
        <x:v>7</x:v>
      </x:c>
      <x:c r="G556" s="10" t="n">
        <x:f>SUM(XLOOKUP('포켓몬_편집'!$AF556:$AN556,'분류_규칙'!$A$5:$A$76,'분류_규칙'!$G$5:$G$76,0))</x:f>
        <x:v>5</x:v>
      </x:c>
      <x:c r="H556" s="10" t="n">
        <x:f>SUM(XLOOKUP('포켓몬_편집'!$AF556:$AN556,'분류_규칙'!$A$5:$A$76,'분류_규칙'!$H$5:$H$76,0))</x:f>
        <x:v>5</x:v>
      </x:c>
      <x:c r="I556" s="10" t="n">
        <x:f>SUM(XLOOKUP('포켓몬_편집'!$AF556:$AN556,'분류_규칙'!$A$5:$A$76,'분류_규칙'!$I$5:$I$76,0))</x:f>
        <x:v>0</x:v>
      </x:c>
      <x:c r="J556" s="10" t="n">
        <x:f>SUM(XLOOKUP('포켓몬_편집'!$AF556:$AN556,'분류_규칙'!$A$5:$A$76,'분류_규칙'!$J$5:$J$76,0))</x:f>
        <x:v>2</x:v>
      </x:c>
      <x:c r="K556" s="10" t="n">
        <x:f>SUM(XLOOKUP('포켓몬_편집'!$AF556:$AN556,'분류_규칙'!$A$5:$A$76,'분류_규칙'!$K$5:$K$76,0))</x:f>
        <x:v>0</x:v>
      </x:c>
      <x:c r="L556" s="10" t="n">
        <x:f>SUM(XLOOKUP('포켓몬_편집'!$AF556:$AN556,'분류_규칙'!$A$5:$A$76,'분류_규칙'!$L$5:$L$76,0))</x:f>
        <x:v>0</x:v>
      </x:c>
      <x:c r="M556" s="10" t="n">
        <x:f>SUM(XLOOKUP('포켓몬_편집'!$AF556:$AN556,'분류_규칙'!$A$5:$A$76,'분류_규칙'!$M$5:$M$76,0))</x:f>
        <x:v>0</x:v>
      </x:c>
      <x:c r="N556" s="10" t="n">
        <x:f>SUM(XLOOKUP('포켓몬_편집'!$AF556:$AN556,'분류_규칙'!$A$5:$A$76,'분류_규칙'!$N$5:$N$76,0))</x:f>
        <x:v>0</x:v>
      </x:c>
      <x:c r="O556" s="10" t="n">
        <x:f>SUM(XLOOKUP('포켓몬_편집'!$AF556:$AN556,'분류_규칙'!$A$5:$A$76,'분류_규칙'!$O$5:$O$76,0))</x:f>
        <x:v>2</x:v>
      </x:c>
      <x:c r="P556" s="10" t="n">
        <x:f>SUM(XLOOKUP('포켓몬_편집'!$AF556:$AN556,'분류_규칙'!$A$5:$A$76,'분류_규칙'!$P$5:$P$76,0))</x:f>
        <x:v>0</x:v>
      </x:c>
    </x:row>
    <x:row r="557" ht="22" customHeight="1">
      <x:c r="A557" s="5" t="n">
        <x:v>553</x:v>
      </x:c>
      <x:c r="B557" s="5" t="inlineStr">
        <x:is>
          <x:t xml:space="preserve">악비아르</x:t>
        </x:is>
      </x:c>
      <x:c r="C557" s="5" t="inlineStr">
        <x:is>
          <x:t xml:space="preserve">krookodile</x:t>
        </x:is>
      </x:c>
      <x:c r="D557" s="5" t="n">
        <x:v>5</x:v>
      </x:c>
      <x:c r="E557" s="10" t="n">
        <x:f>SUM(XLOOKUP('포켓몬_편집'!$AF557:$AN557,'분류_규칙'!$A$5:$A$76,'분류_규칙'!$E$5:$E$76,0))</x:f>
        <x:v>10</x:v>
      </x:c>
      <x:c r="F557" s="10" t="n">
        <x:f>SUM(XLOOKUP('포켓몬_편집'!$AF557:$AN557,'분류_규칙'!$A$5:$A$76,'분류_규칙'!$F$5:$F$76,0))</x:f>
        <x:v>7</x:v>
      </x:c>
      <x:c r="G557" s="10" t="n">
        <x:f>SUM(XLOOKUP('포켓몬_편집'!$AF557:$AN557,'분류_규칙'!$A$5:$A$76,'분류_규칙'!$G$5:$G$76,0))</x:f>
        <x:v>5</x:v>
      </x:c>
      <x:c r="H557" s="10" t="n">
        <x:f>SUM(XLOOKUP('포켓몬_편집'!$AF557:$AN557,'분류_규칙'!$A$5:$A$76,'분류_규칙'!$H$5:$H$76,0))</x:f>
        <x:v>5</x:v>
      </x:c>
      <x:c r="I557" s="10" t="n">
        <x:f>SUM(XLOOKUP('포켓몬_편집'!$AF557:$AN557,'분류_규칙'!$A$5:$A$76,'분류_규칙'!$I$5:$I$76,0))</x:f>
        <x:v>0</x:v>
      </x:c>
      <x:c r="J557" s="10" t="n">
        <x:f>SUM(XLOOKUP('포켓몬_편집'!$AF557:$AN557,'분류_규칙'!$A$5:$A$76,'분류_규칙'!$J$5:$J$76,0))</x:f>
        <x:v>2</x:v>
      </x:c>
      <x:c r="K557" s="10" t="n">
        <x:f>SUM(XLOOKUP('포켓몬_편집'!$AF557:$AN557,'분류_규칙'!$A$5:$A$76,'분류_규칙'!$K$5:$K$76,0))</x:f>
        <x:v>0</x:v>
      </x:c>
      <x:c r="L557" s="10" t="n">
        <x:f>SUM(XLOOKUP('포켓몬_편집'!$AF557:$AN557,'분류_규칙'!$A$5:$A$76,'분류_규칙'!$L$5:$L$76,0))</x:f>
        <x:v>0</x:v>
      </x:c>
      <x:c r="M557" s="10" t="n">
        <x:f>SUM(XLOOKUP('포켓몬_편집'!$AF557:$AN557,'분류_규칙'!$A$5:$A$76,'분류_규칙'!$M$5:$M$76,0))</x:f>
        <x:v>0</x:v>
      </x:c>
      <x:c r="N557" s="10" t="n">
        <x:f>SUM(XLOOKUP('포켓몬_편집'!$AF557:$AN557,'분류_규칙'!$A$5:$A$76,'분류_규칙'!$N$5:$N$76,0))</x:f>
        <x:v>0</x:v>
      </x:c>
      <x:c r="O557" s="10" t="n">
        <x:f>SUM(XLOOKUP('포켓몬_편집'!$AF557:$AN557,'분류_규칙'!$A$5:$A$76,'분류_규칙'!$O$5:$O$76,0))</x:f>
        <x:v>2</x:v>
      </x:c>
      <x:c r="P557" s="10" t="n">
        <x:f>SUM(XLOOKUP('포켓몬_편집'!$AF557:$AN557,'분류_규칙'!$A$5:$A$76,'분류_규칙'!$P$5:$P$76,0))</x:f>
        <x:v>0</x:v>
      </x:c>
    </x:row>
    <x:row r="558" ht="22" customHeight="1">
      <x:c r="A558" s="5" t="n">
        <x:v>554</x:v>
      </x:c>
      <x:c r="B558" s="5" t="inlineStr">
        <x:is>
          <x:t xml:space="preserve">달막화</x:t>
        </x:is>
      </x:c>
      <x:c r="C558" s="5" t="inlineStr">
        <x:is>
          <x:t xml:space="preserve">darumaka</x:t>
        </x:is>
      </x:c>
      <x:c r="D558" s="5" t="n">
        <x:v>5</x:v>
      </x:c>
      <x:c r="E558" s="10" t="n">
        <x:f>SUM(XLOOKUP('포켓몬_편집'!$AF558:$AN558,'분류_규칙'!$A$5:$A$76,'분류_규칙'!$E$5:$E$76,0))</x:f>
        <x:v>10</x:v>
      </x:c>
      <x:c r="F558" s="10" t="n">
        <x:f>SUM(XLOOKUP('포켓몬_편집'!$AF558:$AN558,'분류_규칙'!$A$5:$A$76,'분류_규칙'!$F$5:$F$76,0))</x:f>
        <x:v>7</x:v>
      </x:c>
      <x:c r="G558" s="10" t="n">
        <x:f>SUM(XLOOKUP('포켓몬_편집'!$AF558:$AN558,'분류_규칙'!$A$5:$A$76,'분류_규칙'!$G$5:$G$76,0))</x:f>
        <x:v>5</x:v>
      </x:c>
      <x:c r="H558" s="10" t="n">
        <x:f>SUM(XLOOKUP('포켓몬_편집'!$AF558:$AN558,'분류_규칙'!$A$5:$A$76,'분류_규칙'!$H$5:$H$76,0))</x:f>
        <x:v>5</x:v>
      </x:c>
      <x:c r="I558" s="10" t="n">
        <x:f>SUM(XLOOKUP('포켓몬_편집'!$AF558:$AN558,'분류_규칙'!$A$5:$A$76,'분류_규칙'!$I$5:$I$76,0))</x:f>
        <x:v>0</x:v>
      </x:c>
      <x:c r="J558" s="10" t="n">
        <x:f>SUM(XLOOKUP('포켓몬_편집'!$AF558:$AN558,'분류_규칙'!$A$5:$A$76,'분류_규칙'!$J$5:$J$76,0))</x:f>
        <x:v>2</x:v>
      </x:c>
      <x:c r="K558" s="10" t="n">
        <x:f>SUM(XLOOKUP('포켓몬_편집'!$AF558:$AN558,'분류_규칙'!$A$5:$A$76,'분류_규칙'!$K$5:$K$76,0))</x:f>
        <x:v>0</x:v>
      </x:c>
      <x:c r="L558" s="10" t="n">
        <x:f>SUM(XLOOKUP('포켓몬_편집'!$AF558:$AN558,'분류_규칙'!$A$5:$A$76,'분류_규칙'!$L$5:$L$76,0))</x:f>
        <x:v>0</x:v>
      </x:c>
      <x:c r="M558" s="10" t="n">
        <x:f>SUM(XLOOKUP('포켓몬_편집'!$AF558:$AN558,'분류_규칙'!$A$5:$A$76,'분류_규칙'!$M$5:$M$76,0))</x:f>
        <x:v>0</x:v>
      </x:c>
      <x:c r="N558" s="10" t="n">
        <x:f>SUM(XLOOKUP('포켓몬_편집'!$AF558:$AN558,'분류_규칙'!$A$5:$A$76,'분류_규칙'!$N$5:$N$76,0))</x:f>
        <x:v>0</x:v>
      </x:c>
      <x:c r="O558" s="10" t="n">
        <x:f>SUM(XLOOKUP('포켓몬_편집'!$AF558:$AN558,'분류_규칙'!$A$5:$A$76,'분류_규칙'!$O$5:$O$76,0))</x:f>
        <x:v>2</x:v>
      </x:c>
      <x:c r="P558" s="10" t="n">
        <x:f>SUM(XLOOKUP('포켓몬_편집'!$AF558:$AN558,'분류_규칙'!$A$5:$A$76,'분류_규칙'!$P$5:$P$76,0))</x:f>
        <x:v>0</x:v>
      </x:c>
    </x:row>
    <x:row r="559" ht="22" customHeight="1">
      <x:c r="A559" s="5" t="n">
        <x:v>555</x:v>
      </x:c>
      <x:c r="B559" s="5" t="inlineStr">
        <x:is>
          <x:t xml:space="preserve">불비달마</x:t>
        </x:is>
      </x:c>
      <x:c r="C559" s="5" t="inlineStr">
        <x:is>
          <x:t xml:space="preserve">darmanitan</x:t>
        </x:is>
      </x:c>
      <x:c r="D559" s="5" t="n">
        <x:v>5</x:v>
      </x:c>
      <x:c r="E559" s="10" t="n">
        <x:f>SUM(XLOOKUP('포켓몬_편집'!$AF559:$AN559,'분류_규칙'!$A$5:$A$76,'분류_규칙'!$E$5:$E$76,0))</x:f>
        <x:v>10</x:v>
      </x:c>
      <x:c r="F559" s="10" t="n">
        <x:f>SUM(XLOOKUP('포켓몬_편집'!$AF559:$AN559,'분류_규칙'!$A$5:$A$76,'분류_규칙'!$F$5:$F$76,0))</x:f>
        <x:v>7</x:v>
      </x:c>
      <x:c r="G559" s="10" t="n">
        <x:f>SUM(XLOOKUP('포켓몬_편집'!$AF559:$AN559,'분류_규칙'!$A$5:$A$76,'분류_규칙'!$G$5:$G$76,0))</x:f>
        <x:v>5</x:v>
      </x:c>
      <x:c r="H559" s="10" t="n">
        <x:f>SUM(XLOOKUP('포켓몬_편집'!$AF559:$AN559,'분류_규칙'!$A$5:$A$76,'분류_규칙'!$H$5:$H$76,0))</x:f>
        <x:v>5</x:v>
      </x:c>
      <x:c r="I559" s="10" t="n">
        <x:f>SUM(XLOOKUP('포켓몬_편집'!$AF559:$AN559,'분류_규칙'!$A$5:$A$76,'분류_규칙'!$I$5:$I$76,0))</x:f>
        <x:v>0</x:v>
      </x:c>
      <x:c r="J559" s="10" t="n">
        <x:f>SUM(XLOOKUP('포켓몬_편집'!$AF559:$AN559,'분류_규칙'!$A$5:$A$76,'분류_규칙'!$J$5:$J$76,0))</x:f>
        <x:v>2</x:v>
      </x:c>
      <x:c r="K559" s="10" t="n">
        <x:f>SUM(XLOOKUP('포켓몬_편집'!$AF559:$AN559,'분류_규칙'!$A$5:$A$76,'분류_규칙'!$K$5:$K$76,0))</x:f>
        <x:v>0</x:v>
      </x:c>
      <x:c r="L559" s="10" t="n">
        <x:f>SUM(XLOOKUP('포켓몬_편집'!$AF559:$AN559,'분류_규칙'!$A$5:$A$76,'분류_규칙'!$L$5:$L$76,0))</x:f>
        <x:v>0</x:v>
      </x:c>
      <x:c r="M559" s="10" t="n">
        <x:f>SUM(XLOOKUP('포켓몬_편집'!$AF559:$AN559,'분류_규칙'!$A$5:$A$76,'분류_규칙'!$M$5:$M$76,0))</x:f>
        <x:v>0</x:v>
      </x:c>
      <x:c r="N559" s="10" t="n">
        <x:f>SUM(XLOOKUP('포켓몬_편집'!$AF559:$AN559,'분류_규칙'!$A$5:$A$76,'분류_규칙'!$N$5:$N$76,0))</x:f>
        <x:v>0</x:v>
      </x:c>
      <x:c r="O559" s="10" t="n">
        <x:f>SUM(XLOOKUP('포켓몬_편집'!$AF559:$AN559,'분류_규칙'!$A$5:$A$76,'분류_규칙'!$O$5:$O$76,0))</x:f>
        <x:v>2</x:v>
      </x:c>
      <x:c r="P559" s="10" t="n">
        <x:f>SUM(XLOOKUP('포켓몬_편집'!$AF559:$AN559,'분류_규칙'!$A$5:$A$76,'분류_규칙'!$P$5:$P$76,0))</x:f>
        <x:v>0</x:v>
      </x:c>
    </x:row>
    <x:row r="560" ht="22" customHeight="1">
      <x:c r="A560" s="5" t="n">
        <x:v>556</x:v>
      </x:c>
      <x:c r="B560" s="5" t="inlineStr">
        <x:is>
          <x:t xml:space="preserve">마라카치</x:t>
        </x:is>
      </x:c>
      <x:c r="C560" s="5" t="inlineStr">
        <x:is>
          <x:t xml:space="preserve">maractus</x:t>
        </x:is>
      </x:c>
      <x:c r="D560" s="5" t="n">
        <x:v>5</x:v>
      </x:c>
      <x:c r="E560" s="10" t="n">
        <x:f>SUM(XLOOKUP('포켓몬_편집'!$AF560:$AN560,'분류_규칙'!$A$5:$A$76,'분류_규칙'!$E$5:$E$76,0))</x:f>
        <x:v>10</x:v>
      </x:c>
      <x:c r="F560" s="10" t="n">
        <x:f>SUM(XLOOKUP('포켓몬_편집'!$AF560:$AN560,'분류_규칙'!$A$5:$A$76,'분류_규칙'!$F$5:$F$76,0))</x:f>
        <x:v>7</x:v>
      </x:c>
      <x:c r="G560" s="10" t="n">
        <x:f>SUM(XLOOKUP('포켓몬_편집'!$AF560:$AN560,'분류_규칙'!$A$5:$A$76,'분류_규칙'!$G$5:$G$76,0))</x:f>
        <x:v>5</x:v>
      </x:c>
      <x:c r="H560" s="10" t="n">
        <x:f>SUM(XLOOKUP('포켓몬_편집'!$AF560:$AN560,'분류_규칙'!$A$5:$A$76,'분류_규칙'!$H$5:$H$76,0))</x:f>
        <x:v>5</x:v>
      </x:c>
      <x:c r="I560" s="10" t="n">
        <x:f>SUM(XLOOKUP('포켓몬_편집'!$AF560:$AN560,'분류_규칙'!$A$5:$A$76,'분류_규칙'!$I$5:$I$76,0))</x:f>
        <x:v>0</x:v>
      </x:c>
      <x:c r="J560" s="10" t="n">
        <x:f>SUM(XLOOKUP('포켓몬_편집'!$AF560:$AN560,'분류_규칙'!$A$5:$A$76,'분류_규칙'!$J$5:$J$76,0))</x:f>
        <x:v>2</x:v>
      </x:c>
      <x:c r="K560" s="10" t="n">
        <x:f>SUM(XLOOKUP('포켓몬_편집'!$AF560:$AN560,'분류_규칙'!$A$5:$A$76,'분류_규칙'!$K$5:$K$76,0))</x:f>
        <x:v>0</x:v>
      </x:c>
      <x:c r="L560" s="10" t="n">
        <x:f>SUM(XLOOKUP('포켓몬_편집'!$AF560:$AN560,'분류_규칙'!$A$5:$A$76,'분류_규칙'!$L$5:$L$76,0))</x:f>
        <x:v>0</x:v>
      </x:c>
      <x:c r="M560" s="10" t="n">
        <x:f>SUM(XLOOKUP('포켓몬_편집'!$AF560:$AN560,'분류_규칙'!$A$5:$A$76,'분류_규칙'!$M$5:$M$76,0))</x:f>
        <x:v>0</x:v>
      </x:c>
      <x:c r="N560" s="10" t="n">
        <x:f>SUM(XLOOKUP('포켓몬_편집'!$AF560:$AN560,'분류_규칙'!$A$5:$A$76,'분류_규칙'!$N$5:$N$76,0))</x:f>
        <x:v>0</x:v>
      </x:c>
      <x:c r="O560" s="10" t="n">
        <x:f>SUM(XLOOKUP('포켓몬_편집'!$AF560:$AN560,'분류_규칙'!$A$5:$A$76,'분류_규칙'!$O$5:$O$76,0))</x:f>
        <x:v>2</x:v>
      </x:c>
      <x:c r="P560" s="10" t="n">
        <x:f>SUM(XLOOKUP('포켓몬_편집'!$AF560:$AN560,'분류_규칙'!$A$5:$A$76,'분류_규칙'!$P$5:$P$76,0))</x:f>
        <x:v>0</x:v>
      </x:c>
    </x:row>
    <x:row r="561" ht="22" customHeight="1">
      <x:c r="A561" s="5" t="n">
        <x:v>557</x:v>
      </x:c>
      <x:c r="B561" s="5" t="inlineStr">
        <x:is>
          <x:t xml:space="preserve">돌살이</x:t>
        </x:is>
      </x:c>
      <x:c r="C561" s="5" t="inlineStr">
        <x:is>
          <x:t xml:space="preserve">dwebble</x:t>
        </x:is>
      </x:c>
      <x:c r="D561" s="5" t="n">
        <x:v>5</x:v>
      </x:c>
      <x:c r="E561" s="10" t="n">
        <x:f>SUM(XLOOKUP('포켓몬_편집'!$AF561:$AN561,'분류_규칙'!$A$5:$A$76,'분류_규칙'!$E$5:$E$76,0))</x:f>
        <x:v>10</x:v>
      </x:c>
      <x:c r="F561" s="10" t="n">
        <x:f>SUM(XLOOKUP('포켓몬_편집'!$AF561:$AN561,'분류_규칙'!$A$5:$A$76,'분류_규칙'!$F$5:$F$76,0))</x:f>
        <x:v>7</x:v>
      </x:c>
      <x:c r="G561" s="10" t="n">
        <x:f>SUM(XLOOKUP('포켓몬_편집'!$AF561:$AN561,'분류_규칙'!$A$5:$A$76,'분류_규칙'!$G$5:$G$76,0))</x:f>
        <x:v>5</x:v>
      </x:c>
      <x:c r="H561" s="10" t="n">
        <x:f>SUM(XLOOKUP('포켓몬_편집'!$AF561:$AN561,'분류_규칙'!$A$5:$A$76,'분류_규칙'!$H$5:$H$76,0))</x:f>
        <x:v>5</x:v>
      </x:c>
      <x:c r="I561" s="10" t="n">
        <x:f>SUM(XLOOKUP('포켓몬_편집'!$AF561:$AN561,'분류_규칙'!$A$5:$A$76,'분류_규칙'!$I$5:$I$76,0))</x:f>
        <x:v>0</x:v>
      </x:c>
      <x:c r="J561" s="10" t="n">
        <x:f>SUM(XLOOKUP('포켓몬_편집'!$AF561:$AN561,'분류_규칙'!$A$5:$A$76,'분류_규칙'!$J$5:$J$76,0))</x:f>
        <x:v>2</x:v>
      </x:c>
      <x:c r="K561" s="10" t="n">
        <x:f>SUM(XLOOKUP('포켓몬_편집'!$AF561:$AN561,'분류_규칙'!$A$5:$A$76,'분류_규칙'!$K$5:$K$76,0))</x:f>
        <x:v>0</x:v>
      </x:c>
      <x:c r="L561" s="10" t="n">
        <x:f>SUM(XLOOKUP('포켓몬_편집'!$AF561:$AN561,'분류_규칙'!$A$5:$A$76,'분류_규칙'!$L$5:$L$76,0))</x:f>
        <x:v>0</x:v>
      </x:c>
      <x:c r="M561" s="10" t="n">
        <x:f>SUM(XLOOKUP('포켓몬_편집'!$AF561:$AN561,'분류_규칙'!$A$5:$A$76,'분류_규칙'!$M$5:$M$76,0))</x:f>
        <x:v>0</x:v>
      </x:c>
      <x:c r="N561" s="10" t="n">
        <x:f>SUM(XLOOKUP('포켓몬_편집'!$AF561:$AN561,'분류_규칙'!$A$5:$A$76,'분류_규칙'!$N$5:$N$76,0))</x:f>
        <x:v>0</x:v>
      </x:c>
      <x:c r="O561" s="10" t="n">
        <x:f>SUM(XLOOKUP('포켓몬_편집'!$AF561:$AN561,'분류_규칙'!$A$5:$A$76,'분류_규칙'!$O$5:$O$76,0))</x:f>
        <x:v>2</x:v>
      </x:c>
      <x:c r="P561" s="10" t="n">
        <x:f>SUM(XLOOKUP('포켓몬_편집'!$AF561:$AN561,'분류_규칙'!$A$5:$A$76,'분류_규칙'!$P$5:$P$76,0))</x:f>
        <x:v>0</x:v>
      </x:c>
    </x:row>
    <x:row r="562" ht="22" customHeight="1">
      <x:c r="A562" s="5" t="n">
        <x:v>558</x:v>
      </x:c>
      <x:c r="B562" s="5" t="inlineStr">
        <x:is>
          <x:t xml:space="preserve">암팰리스</x:t>
        </x:is>
      </x:c>
      <x:c r="C562" s="5" t="inlineStr">
        <x:is>
          <x:t xml:space="preserve">crustle</x:t>
        </x:is>
      </x:c>
      <x:c r="D562" s="5" t="n">
        <x:v>5</x:v>
      </x:c>
      <x:c r="E562" s="10" t="n">
        <x:f>SUM(XLOOKUP('포켓몬_편집'!$AF562:$AN562,'분류_규칙'!$A$5:$A$76,'분류_규칙'!$E$5:$E$76,0))</x:f>
        <x:v>10</x:v>
      </x:c>
      <x:c r="F562" s="10" t="n">
        <x:f>SUM(XLOOKUP('포켓몬_편집'!$AF562:$AN562,'분류_규칙'!$A$5:$A$76,'분류_규칙'!$F$5:$F$76,0))</x:f>
        <x:v>7</x:v>
      </x:c>
      <x:c r="G562" s="10" t="n">
        <x:f>SUM(XLOOKUP('포켓몬_편집'!$AF562:$AN562,'분류_규칙'!$A$5:$A$76,'분류_규칙'!$G$5:$G$76,0))</x:f>
        <x:v>5</x:v>
      </x:c>
      <x:c r="H562" s="10" t="n">
        <x:f>SUM(XLOOKUP('포켓몬_편집'!$AF562:$AN562,'분류_규칙'!$A$5:$A$76,'분류_규칙'!$H$5:$H$76,0))</x:f>
        <x:v>5</x:v>
      </x:c>
      <x:c r="I562" s="10" t="n">
        <x:f>SUM(XLOOKUP('포켓몬_편집'!$AF562:$AN562,'분류_규칙'!$A$5:$A$76,'분류_규칙'!$I$5:$I$76,0))</x:f>
        <x:v>0</x:v>
      </x:c>
      <x:c r="J562" s="10" t="n">
        <x:f>SUM(XLOOKUP('포켓몬_편집'!$AF562:$AN562,'분류_규칙'!$A$5:$A$76,'분류_규칙'!$J$5:$J$76,0))</x:f>
        <x:v>2</x:v>
      </x:c>
      <x:c r="K562" s="10" t="n">
        <x:f>SUM(XLOOKUP('포켓몬_편집'!$AF562:$AN562,'분류_규칙'!$A$5:$A$76,'분류_규칙'!$K$5:$K$76,0))</x:f>
        <x:v>0</x:v>
      </x:c>
      <x:c r="L562" s="10" t="n">
        <x:f>SUM(XLOOKUP('포켓몬_편집'!$AF562:$AN562,'분류_규칙'!$A$5:$A$76,'분류_규칙'!$L$5:$L$76,0))</x:f>
        <x:v>0</x:v>
      </x:c>
      <x:c r="M562" s="10" t="n">
        <x:f>SUM(XLOOKUP('포켓몬_편집'!$AF562:$AN562,'분류_규칙'!$A$5:$A$76,'분류_규칙'!$M$5:$M$76,0))</x:f>
        <x:v>0</x:v>
      </x:c>
      <x:c r="N562" s="10" t="n">
        <x:f>SUM(XLOOKUP('포켓몬_편집'!$AF562:$AN562,'분류_규칙'!$A$5:$A$76,'분류_규칙'!$N$5:$N$76,0))</x:f>
        <x:v>0</x:v>
      </x:c>
      <x:c r="O562" s="10" t="n">
        <x:f>SUM(XLOOKUP('포켓몬_편집'!$AF562:$AN562,'분류_규칙'!$A$5:$A$76,'분류_규칙'!$O$5:$O$76,0))</x:f>
        <x:v>2</x:v>
      </x:c>
      <x:c r="P562" s="10" t="n">
        <x:f>SUM(XLOOKUP('포켓몬_편집'!$AF562:$AN562,'분류_규칙'!$A$5:$A$76,'분류_규칙'!$P$5:$P$76,0))</x:f>
        <x:v>0</x:v>
      </x:c>
    </x:row>
    <x:row r="563" ht="22" customHeight="1">
      <x:c r="A563" s="5" t="n">
        <x:v>559</x:v>
      </x:c>
      <x:c r="B563" s="5" t="inlineStr">
        <x:is>
          <x:t xml:space="preserve">곤율랭</x:t>
        </x:is>
      </x:c>
      <x:c r="C563" s="5" t="inlineStr">
        <x:is>
          <x:t xml:space="preserve">scraggy</x:t>
        </x:is>
      </x:c>
      <x:c r="D563" s="5" t="n">
        <x:v>5</x:v>
      </x:c>
      <x:c r="E563" s="10" t="n">
        <x:f>SUM(XLOOKUP('포켓몬_편집'!$AF563:$AN563,'분류_규칙'!$A$5:$A$76,'분류_규칙'!$E$5:$E$76,0))</x:f>
        <x:v>10</x:v>
      </x:c>
      <x:c r="F563" s="10" t="n">
        <x:f>SUM(XLOOKUP('포켓몬_편집'!$AF563:$AN563,'분류_규칙'!$A$5:$A$76,'분류_규칙'!$F$5:$F$76,0))</x:f>
        <x:v>7</x:v>
      </x:c>
      <x:c r="G563" s="10" t="n">
        <x:f>SUM(XLOOKUP('포켓몬_편집'!$AF563:$AN563,'분류_규칙'!$A$5:$A$76,'분류_규칙'!$G$5:$G$76,0))</x:f>
        <x:v>5</x:v>
      </x:c>
      <x:c r="H563" s="10" t="n">
        <x:f>SUM(XLOOKUP('포켓몬_편집'!$AF563:$AN563,'분류_규칙'!$A$5:$A$76,'분류_규칙'!$H$5:$H$76,0))</x:f>
        <x:v>5</x:v>
      </x:c>
      <x:c r="I563" s="10" t="n">
        <x:f>SUM(XLOOKUP('포켓몬_편집'!$AF563:$AN563,'분류_규칙'!$A$5:$A$76,'분류_규칙'!$I$5:$I$76,0))</x:f>
        <x:v>0</x:v>
      </x:c>
      <x:c r="J563" s="10" t="n">
        <x:f>SUM(XLOOKUP('포켓몬_편집'!$AF563:$AN563,'분류_규칙'!$A$5:$A$76,'분류_규칙'!$J$5:$J$76,0))</x:f>
        <x:v>2</x:v>
      </x:c>
      <x:c r="K563" s="10" t="n">
        <x:f>SUM(XLOOKUP('포켓몬_편집'!$AF563:$AN563,'분류_규칙'!$A$5:$A$76,'분류_규칙'!$K$5:$K$76,0))</x:f>
        <x:v>0</x:v>
      </x:c>
      <x:c r="L563" s="10" t="n">
        <x:f>SUM(XLOOKUP('포켓몬_편집'!$AF563:$AN563,'분류_규칙'!$A$5:$A$76,'분류_규칙'!$L$5:$L$76,0))</x:f>
        <x:v>0</x:v>
      </x:c>
      <x:c r="M563" s="10" t="n">
        <x:f>SUM(XLOOKUP('포켓몬_편집'!$AF563:$AN563,'분류_규칙'!$A$5:$A$76,'분류_규칙'!$M$5:$M$76,0))</x:f>
        <x:v>0</x:v>
      </x:c>
      <x:c r="N563" s="10" t="n">
        <x:f>SUM(XLOOKUP('포켓몬_편집'!$AF563:$AN563,'분류_규칙'!$A$5:$A$76,'분류_규칙'!$N$5:$N$76,0))</x:f>
        <x:v>0</x:v>
      </x:c>
      <x:c r="O563" s="10" t="n">
        <x:f>SUM(XLOOKUP('포켓몬_편집'!$AF563:$AN563,'분류_규칙'!$A$5:$A$76,'분류_규칙'!$O$5:$O$76,0))</x:f>
        <x:v>2</x:v>
      </x:c>
      <x:c r="P563" s="10" t="n">
        <x:f>SUM(XLOOKUP('포켓몬_편집'!$AF563:$AN563,'분류_규칙'!$A$5:$A$76,'분류_규칙'!$P$5:$P$76,0))</x:f>
        <x:v>0</x:v>
      </x:c>
    </x:row>
    <x:row r="564" ht="22" customHeight="1">
      <x:c r="A564" s="5" t="n">
        <x:v>560</x:v>
      </x:c>
      <x:c r="B564" s="5" t="inlineStr">
        <x:is>
          <x:t xml:space="preserve">곤율거니</x:t>
        </x:is>
      </x:c>
      <x:c r="C564" s="5" t="inlineStr">
        <x:is>
          <x:t xml:space="preserve">scrafty</x:t>
        </x:is>
      </x:c>
      <x:c r="D564" s="5" t="n">
        <x:v>5</x:v>
      </x:c>
      <x:c r="E564" s="10" t="n">
        <x:f>SUM(XLOOKUP('포켓몬_편집'!$AF564:$AN564,'분류_규칙'!$A$5:$A$76,'분류_규칙'!$E$5:$E$76,0))</x:f>
        <x:v>10</x:v>
      </x:c>
      <x:c r="F564" s="10" t="n">
        <x:f>SUM(XLOOKUP('포켓몬_편집'!$AF564:$AN564,'분류_규칙'!$A$5:$A$76,'분류_규칙'!$F$5:$F$76,0))</x:f>
        <x:v>7</x:v>
      </x:c>
      <x:c r="G564" s="10" t="n">
        <x:f>SUM(XLOOKUP('포켓몬_편집'!$AF564:$AN564,'분류_규칙'!$A$5:$A$76,'분류_규칙'!$G$5:$G$76,0))</x:f>
        <x:v>5</x:v>
      </x:c>
      <x:c r="H564" s="10" t="n">
        <x:f>SUM(XLOOKUP('포켓몬_편집'!$AF564:$AN564,'분류_규칙'!$A$5:$A$76,'분류_규칙'!$H$5:$H$76,0))</x:f>
        <x:v>5</x:v>
      </x:c>
      <x:c r="I564" s="10" t="n">
        <x:f>SUM(XLOOKUP('포켓몬_편집'!$AF564:$AN564,'분류_규칙'!$A$5:$A$76,'분류_규칙'!$I$5:$I$76,0))</x:f>
        <x:v>0</x:v>
      </x:c>
      <x:c r="J564" s="10" t="n">
        <x:f>SUM(XLOOKUP('포켓몬_편집'!$AF564:$AN564,'분류_규칙'!$A$5:$A$76,'분류_규칙'!$J$5:$J$76,0))</x:f>
        <x:v>2</x:v>
      </x:c>
      <x:c r="K564" s="10" t="n">
        <x:f>SUM(XLOOKUP('포켓몬_편집'!$AF564:$AN564,'분류_규칙'!$A$5:$A$76,'분류_규칙'!$K$5:$K$76,0))</x:f>
        <x:v>0</x:v>
      </x:c>
      <x:c r="L564" s="10" t="n">
        <x:f>SUM(XLOOKUP('포켓몬_편집'!$AF564:$AN564,'분류_규칙'!$A$5:$A$76,'분류_규칙'!$L$5:$L$76,0))</x:f>
        <x:v>0</x:v>
      </x:c>
      <x:c r="M564" s="10" t="n">
        <x:f>SUM(XLOOKUP('포켓몬_편집'!$AF564:$AN564,'분류_규칙'!$A$5:$A$76,'분류_규칙'!$M$5:$M$76,0))</x:f>
        <x:v>0</x:v>
      </x:c>
      <x:c r="N564" s="10" t="n">
        <x:f>SUM(XLOOKUP('포켓몬_편집'!$AF564:$AN564,'분류_규칙'!$A$5:$A$76,'분류_규칙'!$N$5:$N$76,0))</x:f>
        <x:v>0</x:v>
      </x:c>
      <x:c r="O564" s="10" t="n">
        <x:f>SUM(XLOOKUP('포켓몬_편집'!$AF564:$AN564,'분류_규칙'!$A$5:$A$76,'분류_규칙'!$O$5:$O$76,0))</x:f>
        <x:v>2</x:v>
      </x:c>
      <x:c r="P564" s="10" t="n">
        <x:f>SUM(XLOOKUP('포켓몬_편집'!$AF564:$AN564,'분류_규칙'!$A$5:$A$76,'분류_규칙'!$P$5:$P$76,0))</x:f>
        <x:v>0</x:v>
      </x:c>
    </x:row>
    <x:row r="565" ht="22" customHeight="1">
      <x:c r="A565" s="5" t="n">
        <x:v>561</x:v>
      </x:c>
      <x:c r="B565" s="5" t="inlineStr">
        <x:is>
          <x:t xml:space="preserve">심보러</x:t>
        </x:is>
      </x:c>
      <x:c r="C565" s="5" t="inlineStr">
        <x:is>
          <x:t xml:space="preserve">sigilyph</x:t>
        </x:is>
      </x:c>
      <x:c r="D565" s="5" t="n">
        <x:v>5</x:v>
      </x:c>
      <x:c r="E565" s="10" t="n">
        <x:f>SUM(XLOOKUP('포켓몬_편집'!$AF565:$AN565,'분류_규칙'!$A$5:$A$76,'분류_규칙'!$E$5:$E$76,0))</x:f>
        <x:v>8</x:v>
      </x:c>
      <x:c r="F565" s="10" t="n">
        <x:f>SUM(XLOOKUP('포켓몬_편집'!$AF565:$AN565,'분류_규칙'!$A$5:$A$76,'분류_규칙'!$F$5:$F$76,0))</x:f>
        <x:v>8</x:v>
      </x:c>
      <x:c r="G565" s="10" t="n">
        <x:f>SUM(XLOOKUP('포켓몬_편집'!$AF565:$AN565,'분류_규칙'!$A$5:$A$76,'분류_규칙'!$G$5:$G$76,0))</x:f>
        <x:v>0</x:v>
      </x:c>
      <x:c r="H565" s="10" t="n">
        <x:f>SUM(XLOOKUP('포켓몬_편집'!$AF565:$AN565,'분류_규칙'!$A$5:$A$76,'분류_규칙'!$H$5:$H$76,0))</x:f>
        <x:v>12</x:v>
      </x:c>
      <x:c r="I565" s="10" t="n">
        <x:f>SUM(XLOOKUP('포켓몬_편집'!$AF565:$AN565,'분류_규칙'!$A$5:$A$76,'분류_규칙'!$I$5:$I$76,0))</x:f>
        <x:v>0</x:v>
      </x:c>
      <x:c r="J565" s="10" t="n">
        <x:f>SUM(XLOOKUP('포켓몬_편집'!$AF565:$AN565,'분류_규칙'!$A$5:$A$76,'분류_규칙'!$J$5:$J$76,0))</x:f>
        <x:v>0</x:v>
      </x:c>
      <x:c r="K565" s="10" t="n">
        <x:f>SUM(XLOOKUP('포켓몬_편집'!$AF565:$AN565,'분류_규칙'!$A$5:$A$76,'분류_규칙'!$K$5:$K$76,0))</x:f>
        <x:v>0</x:v>
      </x:c>
      <x:c r="L565" s="10" t="n">
        <x:f>SUM(XLOOKUP('포켓몬_편집'!$AF565:$AN565,'분류_규칙'!$A$5:$A$76,'분류_규칙'!$L$5:$L$76,0))</x:f>
        <x:v>3</x:v>
      </x:c>
      <x:c r="M565" s="10" t="n">
        <x:f>SUM(XLOOKUP('포켓몬_편집'!$AF565:$AN565,'분류_규칙'!$A$5:$A$76,'분류_규칙'!$M$5:$M$76,0))</x:f>
        <x:v>0</x:v>
      </x:c>
      <x:c r="N565" s="10" t="n">
        <x:f>SUM(XLOOKUP('포켓몬_편집'!$AF565:$AN565,'분류_규칙'!$A$5:$A$76,'분류_규칙'!$N$5:$N$76,0))</x:f>
        <x:v>0</x:v>
      </x:c>
      <x:c r="O565" s="10" t="n">
        <x:f>SUM(XLOOKUP('포켓몬_편집'!$AF565:$AN565,'분류_규칙'!$A$5:$A$76,'분류_규칙'!$O$5:$O$76,0))</x:f>
        <x:v>2</x:v>
      </x:c>
      <x:c r="P565" s="10" t="n">
        <x:f>SUM(XLOOKUP('포켓몬_편집'!$AF565:$AN565,'분류_규칙'!$A$5:$A$76,'분류_규칙'!$P$5:$P$76,0))</x:f>
        <x:v>0</x:v>
      </x:c>
    </x:row>
    <x:row r="566" ht="22" customHeight="1">
      <x:c r="A566" s="5" t="n">
        <x:v>562</x:v>
      </x:c>
      <x:c r="B566" s="5" t="inlineStr">
        <x:is>
          <x:t xml:space="preserve">데스마스</x:t>
        </x:is>
      </x:c>
      <x:c r="C566" s="5" t="inlineStr">
        <x:is>
          <x:t xml:space="preserve">yamask</x:t>
        </x:is>
      </x:c>
      <x:c r="D566" s="5" t="n">
        <x:v>5</x:v>
      </x:c>
      <x:c r="E566" s="10" t="n">
        <x:f>SUM(XLOOKUP('포켓몬_편집'!$AF566:$AN566,'분류_규칙'!$A$5:$A$76,'분류_규칙'!$E$5:$E$76,0))</x:f>
        <x:v>8</x:v>
      </x:c>
      <x:c r="F566" s="10" t="n">
        <x:f>SUM(XLOOKUP('포켓몬_편집'!$AF566:$AN566,'분류_규칙'!$A$5:$A$76,'분류_규칙'!$F$5:$F$76,0))</x:f>
        <x:v>8</x:v>
      </x:c>
      <x:c r="G566" s="10" t="n">
        <x:f>SUM(XLOOKUP('포켓몬_편집'!$AF566:$AN566,'분류_규칙'!$A$5:$A$76,'분류_규칙'!$G$5:$G$76,0))</x:f>
        <x:v>0</x:v>
      </x:c>
      <x:c r="H566" s="10" t="n">
        <x:f>SUM(XLOOKUP('포켓몬_편집'!$AF566:$AN566,'분류_규칙'!$A$5:$A$76,'분류_규칙'!$H$5:$H$76,0))</x:f>
        <x:v>12</x:v>
      </x:c>
      <x:c r="I566" s="10" t="n">
        <x:f>SUM(XLOOKUP('포켓몬_편집'!$AF566:$AN566,'분류_규칙'!$A$5:$A$76,'분류_규칙'!$I$5:$I$76,0))</x:f>
        <x:v>0</x:v>
      </x:c>
      <x:c r="J566" s="10" t="n">
        <x:f>SUM(XLOOKUP('포켓몬_편집'!$AF566:$AN566,'분류_규칙'!$A$5:$A$76,'분류_규칙'!$J$5:$J$76,0))</x:f>
        <x:v>0</x:v>
      </x:c>
      <x:c r="K566" s="10" t="n">
        <x:f>SUM(XLOOKUP('포켓몬_편집'!$AF566:$AN566,'분류_규칙'!$A$5:$A$76,'분류_규칙'!$K$5:$K$76,0))</x:f>
        <x:v>0</x:v>
      </x:c>
      <x:c r="L566" s="10" t="n">
        <x:f>SUM(XLOOKUP('포켓몬_편집'!$AF566:$AN566,'분류_규칙'!$A$5:$A$76,'분류_규칙'!$L$5:$L$76,0))</x:f>
        <x:v>3</x:v>
      </x:c>
      <x:c r="M566" s="10" t="n">
        <x:f>SUM(XLOOKUP('포켓몬_편집'!$AF566:$AN566,'분류_규칙'!$A$5:$A$76,'분류_규칙'!$M$5:$M$76,0))</x:f>
        <x:v>0</x:v>
      </x:c>
      <x:c r="N566" s="10" t="n">
        <x:f>SUM(XLOOKUP('포켓몬_편집'!$AF566:$AN566,'분류_규칙'!$A$5:$A$76,'분류_규칙'!$N$5:$N$76,0))</x:f>
        <x:v>0</x:v>
      </x:c>
      <x:c r="O566" s="10" t="n">
        <x:f>SUM(XLOOKUP('포켓몬_편집'!$AF566:$AN566,'분류_규칙'!$A$5:$A$76,'분류_규칙'!$O$5:$O$76,0))</x:f>
        <x:v>2</x:v>
      </x:c>
      <x:c r="P566" s="10" t="n">
        <x:f>SUM(XLOOKUP('포켓몬_편집'!$AF566:$AN566,'분류_규칙'!$A$5:$A$76,'분류_규칙'!$P$5:$P$76,0))</x:f>
        <x:v>0</x:v>
      </x:c>
    </x:row>
    <x:row r="567" ht="22" customHeight="1">
      <x:c r="A567" s="5" t="n">
        <x:v>563</x:v>
      </x:c>
      <x:c r="B567" s="5" t="inlineStr">
        <x:is>
          <x:t xml:space="preserve">데스니칸</x:t>
        </x:is>
      </x:c>
      <x:c r="C567" s="5" t="inlineStr">
        <x:is>
          <x:t xml:space="preserve">cofagrigus</x:t>
        </x:is>
      </x:c>
      <x:c r="D567" s="5" t="n">
        <x:v>5</x:v>
      </x:c>
      <x:c r="E567" s="10" t="n">
        <x:f>SUM(XLOOKUP('포켓몬_편집'!$AF567:$AN567,'분류_규칙'!$A$5:$A$76,'분류_규칙'!$E$5:$E$76,0))</x:f>
        <x:v>8</x:v>
      </x:c>
      <x:c r="F567" s="10" t="n">
        <x:f>SUM(XLOOKUP('포켓몬_편집'!$AF567:$AN567,'분류_규칙'!$A$5:$A$76,'분류_규칙'!$F$5:$F$76,0))</x:f>
        <x:v>8</x:v>
      </x:c>
      <x:c r="G567" s="10" t="n">
        <x:f>SUM(XLOOKUP('포켓몬_편집'!$AF567:$AN567,'분류_규칙'!$A$5:$A$76,'분류_규칙'!$G$5:$G$76,0))</x:f>
        <x:v>0</x:v>
      </x:c>
      <x:c r="H567" s="10" t="n">
        <x:f>SUM(XLOOKUP('포켓몬_편집'!$AF567:$AN567,'분류_규칙'!$A$5:$A$76,'분류_규칙'!$H$5:$H$76,0))</x:f>
        <x:v>12</x:v>
      </x:c>
      <x:c r="I567" s="10" t="n">
        <x:f>SUM(XLOOKUP('포켓몬_편집'!$AF567:$AN567,'분류_규칙'!$A$5:$A$76,'분류_규칙'!$I$5:$I$76,0))</x:f>
        <x:v>0</x:v>
      </x:c>
      <x:c r="J567" s="10" t="n">
        <x:f>SUM(XLOOKUP('포켓몬_편집'!$AF567:$AN567,'분류_규칙'!$A$5:$A$76,'분류_규칙'!$J$5:$J$76,0))</x:f>
        <x:v>0</x:v>
      </x:c>
      <x:c r="K567" s="10" t="n">
        <x:f>SUM(XLOOKUP('포켓몬_편집'!$AF567:$AN567,'분류_규칙'!$A$5:$A$76,'분류_규칙'!$K$5:$K$76,0))</x:f>
        <x:v>0</x:v>
      </x:c>
      <x:c r="L567" s="10" t="n">
        <x:f>SUM(XLOOKUP('포켓몬_편집'!$AF567:$AN567,'분류_규칙'!$A$5:$A$76,'분류_규칙'!$L$5:$L$76,0))</x:f>
        <x:v>3</x:v>
      </x:c>
      <x:c r="M567" s="10" t="n">
        <x:f>SUM(XLOOKUP('포켓몬_편집'!$AF567:$AN567,'분류_규칙'!$A$5:$A$76,'분류_규칙'!$M$5:$M$76,0))</x:f>
        <x:v>0</x:v>
      </x:c>
      <x:c r="N567" s="10" t="n">
        <x:f>SUM(XLOOKUP('포켓몬_편집'!$AF567:$AN567,'분류_규칙'!$A$5:$A$76,'분류_규칙'!$N$5:$N$76,0))</x:f>
        <x:v>0</x:v>
      </x:c>
      <x:c r="O567" s="10" t="n">
        <x:f>SUM(XLOOKUP('포켓몬_편집'!$AF567:$AN567,'분류_규칙'!$A$5:$A$76,'분류_규칙'!$O$5:$O$76,0))</x:f>
        <x:v>2</x:v>
      </x:c>
      <x:c r="P567" s="10" t="n">
        <x:f>SUM(XLOOKUP('포켓몬_편집'!$AF567:$AN567,'분류_규칙'!$A$5:$A$76,'분류_규칙'!$P$5:$P$76,0))</x:f>
        <x:v>0</x:v>
      </x:c>
    </x:row>
    <x:row r="568" ht="22" customHeight="1">
      <x:c r="A568" s="5" t="n">
        <x:v>564</x:v>
      </x:c>
      <x:c r="B568" s="5" t="inlineStr">
        <x:is>
          <x:t xml:space="preserve">프로토가</x:t>
        </x:is>
      </x:c>
      <x:c r="C568" s="5" t="inlineStr">
        <x:is>
          <x:t xml:space="preserve">tirtouga</x:t>
        </x:is>
      </x:c>
      <x:c r="D568" s="5" t="n">
        <x:v>5</x:v>
      </x:c>
      <x:c r="E568" s="10" t="n">
        <x:f>SUM(XLOOKUP('포켓몬_편집'!$AF568:$AN568,'분류_규칙'!$A$5:$A$76,'분류_규칙'!$E$5:$E$76,0))</x:f>
        <x:v>0</x:v>
      </x:c>
      <x:c r="F568" s="10" t="n">
        <x:f>SUM(XLOOKUP('포켓몬_편집'!$AF568:$AN568,'분류_규칙'!$A$5:$A$76,'분류_규칙'!$F$5:$F$76,0))</x:f>
        <x:v>0</x:v>
      </x:c>
      <x:c r="G568" s="10" t="n">
        <x:f>SUM(XLOOKUP('포켓몬_편집'!$AF568:$AN568,'분류_규칙'!$A$5:$A$76,'분류_규칙'!$G$5:$G$76,0))</x:f>
        <x:v>0</x:v>
      </x:c>
      <x:c r="H568" s="10" t="n">
        <x:f>SUM(XLOOKUP('포켓몬_편집'!$AF568:$AN568,'분류_규칙'!$A$5:$A$76,'분류_규칙'!$H$5:$H$76,0))</x:f>
        <x:v>0</x:v>
      </x:c>
      <x:c r="I568" s="10" t="n">
        <x:f>SUM(XLOOKUP('포켓몬_편집'!$AF568:$AN568,'분류_규칙'!$A$5:$A$76,'분류_규칙'!$I$5:$I$76,0))</x:f>
        <x:v>0</x:v>
      </x:c>
      <x:c r="J568" s="10" t="n">
        <x:f>SUM(XLOOKUP('포켓몬_편집'!$AF568:$AN568,'분류_규칙'!$A$5:$A$76,'분류_규칙'!$J$5:$J$76,0))</x:f>
        <x:v>22</x:v>
      </x:c>
      <x:c r="K568" s="10" t="n">
        <x:f>SUM(XLOOKUP('포켓몬_편집'!$AF568:$AN568,'분류_규칙'!$A$5:$A$76,'분류_규칙'!$K$5:$K$76,0))</x:f>
        <x:v>16</x:v>
      </x:c>
      <x:c r="L568" s="10" t="n">
        <x:f>SUM(XLOOKUP('포켓몬_편집'!$AF568:$AN568,'분류_규칙'!$A$5:$A$76,'분류_규칙'!$L$5:$L$76,0))</x:f>
        <x:v>8</x:v>
      </x:c>
      <x:c r="M568" s="10" t="n">
        <x:f>SUM(XLOOKUP('포켓몬_편집'!$AF568:$AN568,'분류_규칙'!$A$5:$A$76,'분류_규칙'!$M$5:$M$76,0))</x:f>
        <x:v>0</x:v>
      </x:c>
      <x:c r="N568" s="10" t="n">
        <x:f>SUM(XLOOKUP('포켓몬_편집'!$AF568:$AN568,'분류_규칙'!$A$5:$A$76,'분류_규칙'!$N$5:$N$76,0))</x:f>
        <x:v>0</x:v>
      </x:c>
      <x:c r="O568" s="10" t="n">
        <x:f>SUM(XLOOKUP('포켓몬_편집'!$AF568:$AN568,'분류_규칙'!$A$5:$A$76,'분류_규칙'!$O$5:$O$76,0))</x:f>
        <x:v>0</x:v>
      </x:c>
      <x:c r="P568" s="10" t="n">
        <x:f>SUM(XLOOKUP('포켓몬_편집'!$AF568:$AN568,'분류_규칙'!$A$5:$A$76,'분류_규칙'!$P$5:$P$76,0))</x:f>
        <x:v>0</x:v>
      </x:c>
    </x:row>
    <x:row r="569" ht="22" customHeight="1">
      <x:c r="A569" s="5" t="n">
        <x:v>565</x:v>
      </x:c>
      <x:c r="B569" s="5" t="inlineStr">
        <x:is>
          <x:t xml:space="preserve">늑골라</x:t>
        </x:is>
      </x:c>
      <x:c r="C569" s="5" t="inlineStr">
        <x:is>
          <x:t xml:space="preserve">carracosta</x:t>
        </x:is>
      </x:c>
      <x:c r="D569" s="5" t="n">
        <x:v>5</x:v>
      </x:c>
      <x:c r="E569" s="10" t="n">
        <x:f>SUM(XLOOKUP('포켓몬_편집'!$AF569:$AN569,'분류_규칙'!$A$5:$A$76,'분류_규칙'!$E$5:$E$76,0))</x:f>
        <x:v>0</x:v>
      </x:c>
      <x:c r="F569" s="10" t="n">
        <x:f>SUM(XLOOKUP('포켓몬_편집'!$AF569:$AN569,'분류_규칙'!$A$5:$A$76,'분류_규칙'!$F$5:$F$76,0))</x:f>
        <x:v>0</x:v>
      </x:c>
      <x:c r="G569" s="10" t="n">
        <x:f>SUM(XLOOKUP('포켓몬_편집'!$AF569:$AN569,'분류_규칙'!$A$5:$A$76,'분류_규칙'!$G$5:$G$76,0))</x:f>
        <x:v>0</x:v>
      </x:c>
      <x:c r="H569" s="10" t="n">
        <x:f>SUM(XLOOKUP('포켓몬_편집'!$AF569:$AN569,'분류_규칙'!$A$5:$A$76,'분류_규칙'!$H$5:$H$76,0))</x:f>
        <x:v>0</x:v>
      </x:c>
      <x:c r="I569" s="10" t="n">
        <x:f>SUM(XLOOKUP('포켓몬_편집'!$AF569:$AN569,'분류_규칙'!$A$5:$A$76,'분류_규칙'!$I$5:$I$76,0))</x:f>
        <x:v>0</x:v>
      </x:c>
      <x:c r="J569" s="10" t="n">
        <x:f>SUM(XLOOKUP('포켓몬_편집'!$AF569:$AN569,'분류_규칙'!$A$5:$A$76,'분류_규칙'!$J$5:$J$76,0))</x:f>
        <x:v>22</x:v>
      </x:c>
      <x:c r="K569" s="10" t="n">
        <x:f>SUM(XLOOKUP('포켓몬_편집'!$AF569:$AN569,'분류_규칙'!$A$5:$A$76,'분류_규칙'!$K$5:$K$76,0))</x:f>
        <x:v>16</x:v>
      </x:c>
      <x:c r="L569" s="10" t="n">
        <x:f>SUM(XLOOKUP('포켓몬_편집'!$AF569:$AN569,'분류_규칙'!$A$5:$A$76,'분류_규칙'!$L$5:$L$76,0))</x:f>
        <x:v>8</x:v>
      </x:c>
      <x:c r="M569" s="10" t="n">
        <x:f>SUM(XLOOKUP('포켓몬_편집'!$AF569:$AN569,'분류_규칙'!$A$5:$A$76,'분류_규칙'!$M$5:$M$76,0))</x:f>
        <x:v>0</x:v>
      </x:c>
      <x:c r="N569" s="10" t="n">
        <x:f>SUM(XLOOKUP('포켓몬_편집'!$AF569:$AN569,'분류_규칙'!$A$5:$A$76,'분류_규칙'!$N$5:$N$76,0))</x:f>
        <x:v>0</x:v>
      </x:c>
      <x:c r="O569" s="10" t="n">
        <x:f>SUM(XLOOKUP('포켓몬_편집'!$AF569:$AN569,'분류_규칙'!$A$5:$A$76,'분류_규칙'!$O$5:$O$76,0))</x:f>
        <x:v>0</x:v>
      </x:c>
      <x:c r="P569" s="10" t="n">
        <x:f>SUM(XLOOKUP('포켓몬_편집'!$AF569:$AN569,'분류_규칙'!$A$5:$A$76,'분류_규칙'!$P$5:$P$76,0))</x:f>
        <x:v>0</x:v>
      </x:c>
    </x:row>
    <x:row r="570" ht="22" customHeight="1">
      <x:c r="A570" s="5" t="n">
        <x:v>566</x:v>
      </x:c>
      <x:c r="B570" s="5" t="inlineStr">
        <x:is>
          <x:t xml:space="preserve">아켄</x:t>
        </x:is>
      </x:c>
      <x:c r="C570" s="5" t="inlineStr">
        <x:is>
          <x:t xml:space="preserve">archen</x:t>
        </x:is>
      </x:c>
      <x:c r="D570" s="5" t="n">
        <x:v>5</x:v>
      </x:c>
      <x:c r="E570" s="10" t="n">
        <x:f>SUM(XLOOKUP('포켓몬_편집'!$AF570:$AN570,'분류_규칙'!$A$5:$A$76,'분류_규칙'!$E$5:$E$76,0))</x:f>
        <x:v>8</x:v>
      </x:c>
      <x:c r="F570" s="10" t="n">
        <x:f>SUM(XLOOKUP('포켓몬_편집'!$AF570:$AN570,'분류_규칙'!$A$5:$A$76,'분류_규칙'!$F$5:$F$76,0))</x:f>
        <x:v>8</x:v>
      </x:c>
      <x:c r="G570" s="10" t="n">
        <x:f>SUM(XLOOKUP('포켓몬_편집'!$AF570:$AN570,'분류_규칙'!$A$5:$A$76,'분류_규칙'!$G$5:$G$76,0))</x:f>
        <x:v>0</x:v>
      </x:c>
      <x:c r="H570" s="10" t="n">
        <x:f>SUM(XLOOKUP('포켓몬_편집'!$AF570:$AN570,'분류_규칙'!$A$5:$A$76,'분류_규칙'!$H$5:$H$76,0))</x:f>
        <x:v>12</x:v>
      </x:c>
      <x:c r="I570" s="10" t="n">
        <x:f>SUM(XLOOKUP('포켓몬_편집'!$AF570:$AN570,'분류_규칙'!$A$5:$A$76,'분류_규칙'!$I$5:$I$76,0))</x:f>
        <x:v>0</x:v>
      </x:c>
      <x:c r="J570" s="10" t="n">
        <x:f>SUM(XLOOKUP('포켓몬_편집'!$AF570:$AN570,'분류_규칙'!$A$5:$A$76,'분류_규칙'!$J$5:$J$76,0))</x:f>
        <x:v>0</x:v>
      </x:c>
      <x:c r="K570" s="10" t="n">
        <x:f>SUM(XLOOKUP('포켓몬_편집'!$AF570:$AN570,'분류_규칙'!$A$5:$A$76,'분류_규칙'!$K$5:$K$76,0))</x:f>
        <x:v>0</x:v>
      </x:c>
      <x:c r="L570" s="10" t="n">
        <x:f>SUM(XLOOKUP('포켓몬_편집'!$AF570:$AN570,'분류_규칙'!$A$5:$A$76,'분류_규칙'!$L$5:$L$76,0))</x:f>
        <x:v>3</x:v>
      </x:c>
      <x:c r="M570" s="10" t="n">
        <x:f>SUM(XLOOKUP('포켓몬_편집'!$AF570:$AN570,'분류_규칙'!$A$5:$A$76,'분류_규칙'!$M$5:$M$76,0))</x:f>
        <x:v>0</x:v>
      </x:c>
      <x:c r="N570" s="10" t="n">
        <x:f>SUM(XLOOKUP('포켓몬_편집'!$AF570:$AN570,'분류_규칙'!$A$5:$A$76,'분류_규칙'!$N$5:$N$76,0))</x:f>
        <x:v>0</x:v>
      </x:c>
      <x:c r="O570" s="10" t="n">
        <x:f>SUM(XLOOKUP('포켓몬_편집'!$AF570:$AN570,'분류_규칙'!$A$5:$A$76,'분류_규칙'!$O$5:$O$76,0))</x:f>
        <x:v>2</x:v>
      </x:c>
      <x:c r="P570" s="10" t="n">
        <x:f>SUM(XLOOKUP('포켓몬_편집'!$AF570:$AN570,'분류_규칙'!$A$5:$A$76,'분류_규칙'!$P$5:$P$76,0))</x:f>
        <x:v>0</x:v>
      </x:c>
    </x:row>
    <x:row r="571" ht="22" customHeight="1">
      <x:c r="A571" s="5" t="n">
        <x:v>567</x:v>
      </x:c>
      <x:c r="B571" s="5" t="inlineStr">
        <x:is>
          <x:t xml:space="preserve">아케오스</x:t>
        </x:is>
      </x:c>
      <x:c r="C571" s="5" t="inlineStr">
        <x:is>
          <x:t xml:space="preserve">archeops</x:t>
        </x:is>
      </x:c>
      <x:c r="D571" s="5" t="n">
        <x:v>5</x:v>
      </x:c>
      <x:c r="E571" s="10" t="n">
        <x:f>SUM(XLOOKUP('포켓몬_편집'!$AF571:$AN571,'분류_규칙'!$A$5:$A$76,'분류_규칙'!$E$5:$E$76,0))</x:f>
        <x:v>8</x:v>
      </x:c>
      <x:c r="F571" s="10" t="n">
        <x:f>SUM(XLOOKUP('포켓몬_편집'!$AF571:$AN571,'분류_규칙'!$A$5:$A$76,'분류_규칙'!$F$5:$F$76,0))</x:f>
        <x:v>8</x:v>
      </x:c>
      <x:c r="G571" s="10" t="n">
        <x:f>SUM(XLOOKUP('포켓몬_편집'!$AF571:$AN571,'분류_규칙'!$A$5:$A$76,'분류_규칙'!$G$5:$G$76,0))</x:f>
        <x:v>0</x:v>
      </x:c>
      <x:c r="H571" s="10" t="n">
        <x:f>SUM(XLOOKUP('포켓몬_편집'!$AF571:$AN571,'분류_규칙'!$A$5:$A$76,'분류_규칙'!$H$5:$H$76,0))</x:f>
        <x:v>12</x:v>
      </x:c>
      <x:c r="I571" s="10" t="n">
        <x:f>SUM(XLOOKUP('포켓몬_편집'!$AF571:$AN571,'분류_규칙'!$A$5:$A$76,'분류_규칙'!$I$5:$I$76,0))</x:f>
        <x:v>0</x:v>
      </x:c>
      <x:c r="J571" s="10" t="n">
        <x:f>SUM(XLOOKUP('포켓몬_편집'!$AF571:$AN571,'분류_규칙'!$A$5:$A$76,'분류_규칙'!$J$5:$J$76,0))</x:f>
        <x:v>0</x:v>
      </x:c>
      <x:c r="K571" s="10" t="n">
        <x:f>SUM(XLOOKUP('포켓몬_편집'!$AF571:$AN571,'분류_규칙'!$A$5:$A$76,'분류_규칙'!$K$5:$K$76,0))</x:f>
        <x:v>0</x:v>
      </x:c>
      <x:c r="L571" s="10" t="n">
        <x:f>SUM(XLOOKUP('포켓몬_편집'!$AF571:$AN571,'분류_규칙'!$A$5:$A$76,'분류_규칙'!$L$5:$L$76,0))</x:f>
        <x:v>3</x:v>
      </x:c>
      <x:c r="M571" s="10" t="n">
        <x:f>SUM(XLOOKUP('포켓몬_편집'!$AF571:$AN571,'분류_규칙'!$A$5:$A$76,'분류_규칙'!$M$5:$M$76,0))</x:f>
        <x:v>0</x:v>
      </x:c>
      <x:c r="N571" s="10" t="n">
        <x:f>SUM(XLOOKUP('포켓몬_편집'!$AF571:$AN571,'분류_규칙'!$A$5:$A$76,'분류_규칙'!$N$5:$N$76,0))</x:f>
        <x:v>0</x:v>
      </x:c>
      <x:c r="O571" s="10" t="n">
        <x:f>SUM(XLOOKUP('포켓몬_편집'!$AF571:$AN571,'분류_규칙'!$A$5:$A$76,'분류_규칙'!$O$5:$O$76,0))</x:f>
        <x:v>2</x:v>
      </x:c>
      <x:c r="P571" s="10" t="n">
        <x:f>SUM(XLOOKUP('포켓몬_편집'!$AF571:$AN571,'분류_규칙'!$A$5:$A$76,'분류_규칙'!$P$5:$P$76,0))</x:f>
        <x:v>0</x:v>
      </x:c>
    </x:row>
    <x:row r="572" ht="22" customHeight="1">
      <x:c r="A572" s="5" t="n">
        <x:v>568</x:v>
      </x:c>
      <x:c r="B572" s="5" t="inlineStr">
        <x:is>
          <x:t xml:space="preserve">깨봉이</x:t>
        </x:is>
      </x:c>
      <x:c r="C572" s="5" t="inlineStr">
        <x:is>
          <x:t xml:space="preserve">trubbish</x:t>
        </x:is>
      </x:c>
      <x:c r="D572" s="5" t="n">
        <x:v>5</x:v>
      </x:c>
      <x:c r="E572" s="10" t="n">
        <x:f>SUM(XLOOKUP('포켓몬_편집'!$AF572:$AN572,'분류_규칙'!$A$5:$A$76,'분류_규칙'!$E$5:$E$76,0))</x:f>
        <x:v>10</x:v>
      </x:c>
      <x:c r="F572" s="10" t="n">
        <x:f>SUM(XLOOKUP('포켓몬_편집'!$AF572:$AN572,'분류_규칙'!$A$5:$A$76,'분류_규칙'!$F$5:$F$76,0))</x:f>
        <x:v>7</x:v>
      </x:c>
      <x:c r="G572" s="10" t="n">
        <x:f>SUM(XLOOKUP('포켓몬_편집'!$AF572:$AN572,'분류_규칙'!$A$5:$A$76,'분류_규칙'!$G$5:$G$76,0))</x:f>
        <x:v>5</x:v>
      </x:c>
      <x:c r="H572" s="10" t="n">
        <x:f>SUM(XLOOKUP('포켓몬_편집'!$AF572:$AN572,'분류_규칙'!$A$5:$A$76,'분류_규칙'!$H$5:$H$76,0))</x:f>
        <x:v>5</x:v>
      </x:c>
      <x:c r="I572" s="10" t="n">
        <x:f>SUM(XLOOKUP('포켓몬_편집'!$AF572:$AN572,'분류_규칙'!$A$5:$A$76,'분류_규칙'!$I$5:$I$76,0))</x:f>
        <x:v>0</x:v>
      </x:c>
      <x:c r="J572" s="10" t="n">
        <x:f>SUM(XLOOKUP('포켓몬_편집'!$AF572:$AN572,'분류_규칙'!$A$5:$A$76,'분류_규칙'!$J$5:$J$76,0))</x:f>
        <x:v>2</x:v>
      </x:c>
      <x:c r="K572" s="10" t="n">
        <x:f>SUM(XLOOKUP('포켓몬_편집'!$AF572:$AN572,'분류_규칙'!$A$5:$A$76,'분류_규칙'!$K$5:$K$76,0))</x:f>
        <x:v>0</x:v>
      </x:c>
      <x:c r="L572" s="10" t="n">
        <x:f>SUM(XLOOKUP('포켓몬_편집'!$AF572:$AN572,'분류_규칙'!$A$5:$A$76,'분류_규칙'!$L$5:$L$76,0))</x:f>
        <x:v>0</x:v>
      </x:c>
      <x:c r="M572" s="10" t="n">
        <x:f>SUM(XLOOKUP('포켓몬_편집'!$AF572:$AN572,'분류_규칙'!$A$5:$A$76,'분류_규칙'!$M$5:$M$76,0))</x:f>
        <x:v>0</x:v>
      </x:c>
      <x:c r="N572" s="10" t="n">
        <x:f>SUM(XLOOKUP('포켓몬_편집'!$AF572:$AN572,'분류_규칙'!$A$5:$A$76,'분류_규칙'!$N$5:$N$76,0))</x:f>
        <x:v>0</x:v>
      </x:c>
      <x:c r="O572" s="10" t="n">
        <x:f>SUM(XLOOKUP('포켓몬_편집'!$AF572:$AN572,'분류_규칙'!$A$5:$A$76,'분류_규칙'!$O$5:$O$76,0))</x:f>
        <x:v>2</x:v>
      </x:c>
      <x:c r="P572" s="10" t="n">
        <x:f>SUM(XLOOKUP('포켓몬_편집'!$AF572:$AN572,'분류_규칙'!$A$5:$A$76,'분류_규칙'!$P$5:$P$76,0))</x:f>
        <x:v>0</x:v>
      </x:c>
    </x:row>
    <x:row r="573" ht="22" customHeight="1">
      <x:c r="A573" s="5" t="n">
        <x:v>569</x:v>
      </x:c>
      <x:c r="B573" s="5" t="inlineStr">
        <x:is>
          <x:t xml:space="preserve">더스트나</x:t>
        </x:is>
      </x:c>
      <x:c r="C573" s="5" t="inlineStr">
        <x:is>
          <x:t xml:space="preserve">garbodor</x:t>
        </x:is>
      </x:c>
      <x:c r="D573" s="5" t="n">
        <x:v>5</x:v>
      </x:c>
      <x:c r="E573" s="10" t="n">
        <x:f>SUM(XLOOKUP('포켓몬_편집'!$AF573:$AN573,'분류_규칙'!$A$5:$A$76,'분류_규칙'!$E$5:$E$76,0))</x:f>
        <x:v>10</x:v>
      </x:c>
      <x:c r="F573" s="10" t="n">
        <x:f>SUM(XLOOKUP('포켓몬_편집'!$AF573:$AN573,'분류_규칙'!$A$5:$A$76,'분류_규칙'!$F$5:$F$76,0))</x:f>
        <x:v>7</x:v>
      </x:c>
      <x:c r="G573" s="10" t="n">
        <x:f>SUM(XLOOKUP('포켓몬_편집'!$AF573:$AN573,'분류_규칙'!$A$5:$A$76,'분류_규칙'!$G$5:$G$76,0))</x:f>
        <x:v>5</x:v>
      </x:c>
      <x:c r="H573" s="10" t="n">
        <x:f>SUM(XLOOKUP('포켓몬_편집'!$AF573:$AN573,'분류_규칙'!$A$5:$A$76,'분류_규칙'!$H$5:$H$76,0))</x:f>
        <x:v>5</x:v>
      </x:c>
      <x:c r="I573" s="10" t="n">
        <x:f>SUM(XLOOKUP('포켓몬_편집'!$AF573:$AN573,'분류_규칙'!$A$5:$A$76,'분류_규칙'!$I$5:$I$76,0))</x:f>
        <x:v>0</x:v>
      </x:c>
      <x:c r="J573" s="10" t="n">
        <x:f>SUM(XLOOKUP('포켓몬_편집'!$AF573:$AN573,'분류_규칙'!$A$5:$A$76,'분류_규칙'!$J$5:$J$76,0))</x:f>
        <x:v>2</x:v>
      </x:c>
      <x:c r="K573" s="10" t="n">
        <x:f>SUM(XLOOKUP('포켓몬_편집'!$AF573:$AN573,'분류_규칙'!$A$5:$A$76,'분류_규칙'!$K$5:$K$76,0))</x:f>
        <x:v>0</x:v>
      </x:c>
      <x:c r="L573" s="10" t="n">
        <x:f>SUM(XLOOKUP('포켓몬_편집'!$AF573:$AN573,'분류_규칙'!$A$5:$A$76,'분류_규칙'!$L$5:$L$76,0))</x:f>
        <x:v>0</x:v>
      </x:c>
      <x:c r="M573" s="10" t="n">
        <x:f>SUM(XLOOKUP('포켓몬_편집'!$AF573:$AN573,'분류_규칙'!$A$5:$A$76,'분류_규칙'!$M$5:$M$76,0))</x:f>
        <x:v>0</x:v>
      </x:c>
      <x:c r="N573" s="10" t="n">
        <x:f>SUM(XLOOKUP('포켓몬_편집'!$AF573:$AN573,'분류_규칙'!$A$5:$A$76,'분류_규칙'!$N$5:$N$76,0))</x:f>
        <x:v>0</x:v>
      </x:c>
      <x:c r="O573" s="10" t="n">
        <x:f>SUM(XLOOKUP('포켓몬_편집'!$AF573:$AN573,'분류_규칙'!$A$5:$A$76,'분류_규칙'!$O$5:$O$76,0))</x:f>
        <x:v>2</x:v>
      </x:c>
      <x:c r="P573" s="10" t="n">
        <x:f>SUM(XLOOKUP('포켓몬_편집'!$AF573:$AN573,'분류_규칙'!$A$5:$A$76,'분류_규칙'!$P$5:$P$76,0))</x:f>
        <x:v>0</x:v>
      </x:c>
    </x:row>
    <x:row r="574" ht="22" customHeight="1">
      <x:c r="A574" s="5" t="n">
        <x:v>570</x:v>
      </x:c>
      <x:c r="B574" s="5" t="inlineStr">
        <x:is>
          <x:t xml:space="preserve">조로아</x:t>
        </x:is>
      </x:c>
      <x:c r="C574" s="5" t="inlineStr">
        <x:is>
          <x:t xml:space="preserve">zorua</x:t>
        </x:is>
      </x:c>
      <x:c r="D574" s="5" t="n">
        <x:v>5</x:v>
      </x:c>
      <x:c r="E574" s="10" t="n">
        <x:f>SUM(XLOOKUP('포켓몬_편집'!$AF574:$AN574,'분류_규칙'!$A$5:$A$76,'분류_규칙'!$E$5:$E$76,0))</x:f>
        <x:v>10</x:v>
      </x:c>
      <x:c r="F574" s="10" t="n">
        <x:f>SUM(XLOOKUP('포켓몬_편집'!$AF574:$AN574,'분류_규칙'!$A$5:$A$76,'분류_규칙'!$F$5:$F$76,0))</x:f>
        <x:v>7</x:v>
      </x:c>
      <x:c r="G574" s="10" t="n">
        <x:f>SUM(XLOOKUP('포켓몬_편집'!$AF574:$AN574,'분류_규칙'!$A$5:$A$76,'분류_규칙'!$G$5:$G$76,0))</x:f>
        <x:v>5</x:v>
      </x:c>
      <x:c r="H574" s="10" t="n">
        <x:f>SUM(XLOOKUP('포켓몬_편집'!$AF574:$AN574,'분류_규칙'!$A$5:$A$76,'분류_규칙'!$H$5:$H$76,0))</x:f>
        <x:v>5</x:v>
      </x:c>
      <x:c r="I574" s="10" t="n">
        <x:f>SUM(XLOOKUP('포켓몬_편집'!$AF574:$AN574,'분류_규칙'!$A$5:$A$76,'분류_규칙'!$I$5:$I$76,0))</x:f>
        <x:v>0</x:v>
      </x:c>
      <x:c r="J574" s="10" t="n">
        <x:f>SUM(XLOOKUP('포켓몬_편집'!$AF574:$AN574,'분류_규칙'!$A$5:$A$76,'분류_규칙'!$J$5:$J$76,0))</x:f>
        <x:v>2</x:v>
      </x:c>
      <x:c r="K574" s="10" t="n">
        <x:f>SUM(XLOOKUP('포켓몬_편집'!$AF574:$AN574,'분류_규칙'!$A$5:$A$76,'분류_규칙'!$K$5:$K$76,0))</x:f>
        <x:v>0</x:v>
      </x:c>
      <x:c r="L574" s="10" t="n">
        <x:f>SUM(XLOOKUP('포켓몬_편집'!$AF574:$AN574,'분류_규칙'!$A$5:$A$76,'분류_규칙'!$L$5:$L$76,0))</x:f>
        <x:v>0</x:v>
      </x:c>
      <x:c r="M574" s="10" t="n">
        <x:f>SUM(XLOOKUP('포켓몬_편집'!$AF574:$AN574,'분류_규칙'!$A$5:$A$76,'분류_규칙'!$M$5:$M$76,0))</x:f>
        <x:v>0</x:v>
      </x:c>
      <x:c r="N574" s="10" t="n">
        <x:f>SUM(XLOOKUP('포켓몬_편집'!$AF574:$AN574,'분류_규칙'!$A$5:$A$76,'분류_규칙'!$N$5:$N$76,0))</x:f>
        <x:v>0</x:v>
      </x:c>
      <x:c r="O574" s="10" t="n">
        <x:f>SUM(XLOOKUP('포켓몬_편집'!$AF574:$AN574,'분류_규칙'!$A$5:$A$76,'분류_규칙'!$O$5:$O$76,0))</x:f>
        <x:v>2</x:v>
      </x:c>
      <x:c r="P574" s="10" t="n">
        <x:f>SUM(XLOOKUP('포켓몬_편집'!$AF574:$AN574,'분류_규칙'!$A$5:$A$76,'분류_규칙'!$P$5:$P$76,0))</x:f>
        <x:v>0</x:v>
      </x:c>
    </x:row>
    <x:row r="575" ht="22" customHeight="1">
      <x:c r="A575" s="5" t="n">
        <x:v>571</x:v>
      </x:c>
      <x:c r="B575" s="5" t="inlineStr">
        <x:is>
          <x:t xml:space="preserve">조로아크</x:t>
        </x:is>
      </x:c>
      <x:c r="C575" s="5" t="inlineStr">
        <x:is>
          <x:t xml:space="preserve">zoroark</x:t>
        </x:is>
      </x:c>
      <x:c r="D575" s="5" t="n">
        <x:v>5</x:v>
      </x:c>
      <x:c r="E575" s="10" t="n">
        <x:f>SUM(XLOOKUP('포켓몬_편집'!$AF575:$AN575,'분류_규칙'!$A$5:$A$76,'분류_규칙'!$E$5:$E$76,0))</x:f>
        <x:v>10</x:v>
      </x:c>
      <x:c r="F575" s="10" t="n">
        <x:f>SUM(XLOOKUP('포켓몬_편집'!$AF575:$AN575,'분류_규칙'!$A$5:$A$76,'분류_규칙'!$F$5:$F$76,0))</x:f>
        <x:v>7</x:v>
      </x:c>
      <x:c r="G575" s="10" t="n">
        <x:f>SUM(XLOOKUP('포켓몬_편집'!$AF575:$AN575,'분류_규칙'!$A$5:$A$76,'분류_규칙'!$G$5:$G$76,0))</x:f>
        <x:v>5</x:v>
      </x:c>
      <x:c r="H575" s="10" t="n">
        <x:f>SUM(XLOOKUP('포켓몬_편집'!$AF575:$AN575,'분류_규칙'!$A$5:$A$76,'분류_규칙'!$H$5:$H$76,0))</x:f>
        <x:v>5</x:v>
      </x:c>
      <x:c r="I575" s="10" t="n">
        <x:f>SUM(XLOOKUP('포켓몬_편집'!$AF575:$AN575,'분류_규칙'!$A$5:$A$76,'분류_규칙'!$I$5:$I$76,0))</x:f>
        <x:v>0</x:v>
      </x:c>
      <x:c r="J575" s="10" t="n">
        <x:f>SUM(XLOOKUP('포켓몬_편집'!$AF575:$AN575,'분류_규칙'!$A$5:$A$76,'분류_규칙'!$J$5:$J$76,0))</x:f>
        <x:v>2</x:v>
      </x:c>
      <x:c r="K575" s="10" t="n">
        <x:f>SUM(XLOOKUP('포켓몬_편집'!$AF575:$AN575,'분류_규칙'!$A$5:$A$76,'분류_규칙'!$K$5:$K$76,0))</x:f>
        <x:v>0</x:v>
      </x:c>
      <x:c r="L575" s="10" t="n">
        <x:f>SUM(XLOOKUP('포켓몬_편집'!$AF575:$AN575,'분류_규칙'!$A$5:$A$76,'분류_규칙'!$L$5:$L$76,0))</x:f>
        <x:v>0</x:v>
      </x:c>
      <x:c r="M575" s="10" t="n">
        <x:f>SUM(XLOOKUP('포켓몬_편집'!$AF575:$AN575,'분류_규칙'!$A$5:$A$76,'분류_규칙'!$M$5:$M$76,0))</x:f>
        <x:v>0</x:v>
      </x:c>
      <x:c r="N575" s="10" t="n">
        <x:f>SUM(XLOOKUP('포켓몬_편집'!$AF575:$AN575,'분류_규칙'!$A$5:$A$76,'분류_규칙'!$N$5:$N$76,0))</x:f>
        <x:v>0</x:v>
      </x:c>
      <x:c r="O575" s="10" t="n">
        <x:f>SUM(XLOOKUP('포켓몬_편집'!$AF575:$AN575,'분류_규칙'!$A$5:$A$76,'분류_규칙'!$O$5:$O$76,0))</x:f>
        <x:v>2</x:v>
      </x:c>
      <x:c r="P575" s="10" t="n">
        <x:f>SUM(XLOOKUP('포켓몬_편집'!$AF575:$AN575,'분류_규칙'!$A$5:$A$76,'분류_규칙'!$P$5:$P$76,0))</x:f>
        <x:v>0</x:v>
      </x:c>
    </x:row>
    <x:row r="576" ht="22" customHeight="1">
      <x:c r="A576" s="5" t="n">
        <x:v>572</x:v>
      </x:c>
      <x:c r="B576" s="5" t="inlineStr">
        <x:is>
          <x:t xml:space="preserve">치라미</x:t>
        </x:is>
      </x:c>
      <x:c r="C576" s="5" t="inlineStr">
        <x:is>
          <x:t xml:space="preserve">minccino</x:t>
        </x:is>
      </x:c>
      <x:c r="D576" s="5" t="n">
        <x:v>5</x:v>
      </x:c>
      <x:c r="E576" s="10" t="n">
        <x:f>SUM(XLOOKUP('포켓몬_편집'!$AF576:$AN576,'분류_규칙'!$A$5:$A$76,'분류_규칙'!$E$5:$E$76,0))</x:f>
        <x:v>10</x:v>
      </x:c>
      <x:c r="F576" s="10" t="n">
        <x:f>SUM(XLOOKUP('포켓몬_편집'!$AF576:$AN576,'분류_규칙'!$A$5:$A$76,'분류_규칙'!$F$5:$F$76,0))</x:f>
        <x:v>7</x:v>
      </x:c>
      <x:c r="G576" s="10" t="n">
        <x:f>SUM(XLOOKUP('포켓몬_편집'!$AF576:$AN576,'분류_규칙'!$A$5:$A$76,'분류_규칙'!$G$5:$G$76,0))</x:f>
        <x:v>5</x:v>
      </x:c>
      <x:c r="H576" s="10" t="n">
        <x:f>SUM(XLOOKUP('포켓몬_편집'!$AF576:$AN576,'분류_규칙'!$A$5:$A$76,'분류_규칙'!$H$5:$H$76,0))</x:f>
        <x:v>5</x:v>
      </x:c>
      <x:c r="I576" s="10" t="n">
        <x:f>SUM(XLOOKUP('포켓몬_편집'!$AF576:$AN576,'분류_규칙'!$A$5:$A$76,'분류_규칙'!$I$5:$I$76,0))</x:f>
        <x:v>0</x:v>
      </x:c>
      <x:c r="J576" s="10" t="n">
        <x:f>SUM(XLOOKUP('포켓몬_편집'!$AF576:$AN576,'분류_규칙'!$A$5:$A$76,'분류_규칙'!$J$5:$J$76,0))</x:f>
        <x:v>2</x:v>
      </x:c>
      <x:c r="K576" s="10" t="n">
        <x:f>SUM(XLOOKUP('포켓몬_편집'!$AF576:$AN576,'분류_규칙'!$A$5:$A$76,'분류_규칙'!$K$5:$K$76,0))</x:f>
        <x:v>0</x:v>
      </x:c>
      <x:c r="L576" s="10" t="n">
        <x:f>SUM(XLOOKUP('포켓몬_편집'!$AF576:$AN576,'분류_규칙'!$A$5:$A$76,'분류_규칙'!$L$5:$L$76,0))</x:f>
        <x:v>0</x:v>
      </x:c>
      <x:c r="M576" s="10" t="n">
        <x:f>SUM(XLOOKUP('포켓몬_편집'!$AF576:$AN576,'분류_규칙'!$A$5:$A$76,'분류_규칙'!$M$5:$M$76,0))</x:f>
        <x:v>0</x:v>
      </x:c>
      <x:c r="N576" s="10" t="n">
        <x:f>SUM(XLOOKUP('포켓몬_편집'!$AF576:$AN576,'분류_규칙'!$A$5:$A$76,'분류_규칙'!$N$5:$N$76,0))</x:f>
        <x:v>0</x:v>
      </x:c>
      <x:c r="O576" s="10" t="n">
        <x:f>SUM(XLOOKUP('포켓몬_편집'!$AF576:$AN576,'분류_규칙'!$A$5:$A$76,'분류_규칙'!$O$5:$O$76,0))</x:f>
        <x:v>2</x:v>
      </x:c>
      <x:c r="P576" s="10" t="n">
        <x:f>SUM(XLOOKUP('포켓몬_편집'!$AF576:$AN576,'분류_규칙'!$A$5:$A$76,'분류_규칙'!$P$5:$P$76,0))</x:f>
        <x:v>0</x:v>
      </x:c>
    </x:row>
    <x:row r="577" ht="22" customHeight="1">
      <x:c r="A577" s="5" t="n">
        <x:v>573</x:v>
      </x:c>
      <x:c r="B577" s="5" t="inlineStr">
        <x:is>
          <x:t xml:space="preserve">치라치노</x:t>
        </x:is>
      </x:c>
      <x:c r="C577" s="5" t="inlineStr">
        <x:is>
          <x:t xml:space="preserve">cinccino</x:t>
        </x:is>
      </x:c>
      <x:c r="D577" s="5" t="n">
        <x:v>5</x:v>
      </x:c>
      <x:c r="E577" s="10" t="n">
        <x:f>SUM(XLOOKUP('포켓몬_편집'!$AF577:$AN577,'분류_규칙'!$A$5:$A$76,'분류_규칙'!$E$5:$E$76,0))</x:f>
        <x:v>10</x:v>
      </x:c>
      <x:c r="F577" s="10" t="n">
        <x:f>SUM(XLOOKUP('포켓몬_편집'!$AF577:$AN577,'분류_규칙'!$A$5:$A$76,'분류_규칙'!$F$5:$F$76,0))</x:f>
        <x:v>7</x:v>
      </x:c>
      <x:c r="G577" s="10" t="n">
        <x:f>SUM(XLOOKUP('포켓몬_편집'!$AF577:$AN577,'분류_규칙'!$A$5:$A$76,'분류_규칙'!$G$5:$G$76,0))</x:f>
        <x:v>5</x:v>
      </x:c>
      <x:c r="H577" s="10" t="n">
        <x:f>SUM(XLOOKUP('포켓몬_편집'!$AF577:$AN577,'분류_규칙'!$A$5:$A$76,'분류_규칙'!$H$5:$H$76,0))</x:f>
        <x:v>5</x:v>
      </x:c>
      <x:c r="I577" s="10" t="n">
        <x:f>SUM(XLOOKUP('포켓몬_편집'!$AF577:$AN577,'분류_규칙'!$A$5:$A$76,'분류_규칙'!$I$5:$I$76,0))</x:f>
        <x:v>0</x:v>
      </x:c>
      <x:c r="J577" s="10" t="n">
        <x:f>SUM(XLOOKUP('포켓몬_편집'!$AF577:$AN577,'분류_규칙'!$A$5:$A$76,'분류_규칙'!$J$5:$J$76,0))</x:f>
        <x:v>2</x:v>
      </x:c>
      <x:c r="K577" s="10" t="n">
        <x:f>SUM(XLOOKUP('포켓몬_편집'!$AF577:$AN577,'분류_규칙'!$A$5:$A$76,'분류_규칙'!$K$5:$K$76,0))</x:f>
        <x:v>0</x:v>
      </x:c>
      <x:c r="L577" s="10" t="n">
        <x:f>SUM(XLOOKUP('포켓몬_편집'!$AF577:$AN577,'분류_규칙'!$A$5:$A$76,'분류_규칙'!$L$5:$L$76,0))</x:f>
        <x:v>0</x:v>
      </x:c>
      <x:c r="M577" s="10" t="n">
        <x:f>SUM(XLOOKUP('포켓몬_편집'!$AF577:$AN577,'분류_규칙'!$A$5:$A$76,'분류_규칙'!$M$5:$M$76,0))</x:f>
        <x:v>0</x:v>
      </x:c>
      <x:c r="N577" s="10" t="n">
        <x:f>SUM(XLOOKUP('포켓몬_편집'!$AF577:$AN577,'분류_규칙'!$A$5:$A$76,'분류_규칙'!$N$5:$N$76,0))</x:f>
        <x:v>0</x:v>
      </x:c>
      <x:c r="O577" s="10" t="n">
        <x:f>SUM(XLOOKUP('포켓몬_편집'!$AF577:$AN577,'분류_규칙'!$A$5:$A$76,'분류_규칙'!$O$5:$O$76,0))</x:f>
        <x:v>2</x:v>
      </x:c>
      <x:c r="P577" s="10" t="n">
        <x:f>SUM(XLOOKUP('포켓몬_편집'!$AF577:$AN577,'분류_규칙'!$A$5:$A$76,'분류_규칙'!$P$5:$P$76,0))</x:f>
        <x:v>0</x:v>
      </x:c>
    </x:row>
    <x:row r="578" ht="22" customHeight="1">
      <x:c r="A578" s="5" t="n">
        <x:v>574</x:v>
      </x:c>
      <x:c r="B578" s="5" t="inlineStr">
        <x:is>
          <x:t xml:space="preserve">고디탱</x:t>
        </x:is>
      </x:c>
      <x:c r="C578" s="5" t="inlineStr">
        <x:is>
          <x:t xml:space="preserve">gothita</x:t>
        </x:is>
      </x:c>
      <x:c r="D578" s="5" t="n">
        <x:v>5</x:v>
      </x:c>
      <x:c r="E578" s="10" t="n">
        <x:f>SUM(XLOOKUP('포켓몬_편집'!$AF578:$AN578,'분류_규칙'!$A$5:$A$76,'분류_규칙'!$E$5:$E$76,0))</x:f>
        <x:v>10</x:v>
      </x:c>
      <x:c r="F578" s="10" t="n">
        <x:f>SUM(XLOOKUP('포켓몬_편집'!$AF578:$AN578,'분류_규칙'!$A$5:$A$76,'분류_규칙'!$F$5:$F$76,0))</x:f>
        <x:v>7</x:v>
      </x:c>
      <x:c r="G578" s="10" t="n">
        <x:f>SUM(XLOOKUP('포켓몬_편집'!$AF578:$AN578,'분류_규칙'!$A$5:$A$76,'분류_규칙'!$G$5:$G$76,0))</x:f>
        <x:v>5</x:v>
      </x:c>
      <x:c r="H578" s="10" t="n">
        <x:f>SUM(XLOOKUP('포켓몬_편집'!$AF578:$AN578,'분류_규칙'!$A$5:$A$76,'분류_규칙'!$H$5:$H$76,0))</x:f>
        <x:v>5</x:v>
      </x:c>
      <x:c r="I578" s="10" t="n">
        <x:f>SUM(XLOOKUP('포켓몬_편집'!$AF578:$AN578,'분류_규칙'!$A$5:$A$76,'분류_규칙'!$I$5:$I$76,0))</x:f>
        <x:v>0</x:v>
      </x:c>
      <x:c r="J578" s="10" t="n">
        <x:f>SUM(XLOOKUP('포켓몬_편집'!$AF578:$AN578,'분류_규칙'!$A$5:$A$76,'분류_규칙'!$J$5:$J$76,0))</x:f>
        <x:v>2</x:v>
      </x:c>
      <x:c r="K578" s="10" t="n">
        <x:f>SUM(XLOOKUP('포켓몬_편집'!$AF578:$AN578,'분류_규칙'!$A$5:$A$76,'분류_규칙'!$K$5:$K$76,0))</x:f>
        <x:v>0</x:v>
      </x:c>
      <x:c r="L578" s="10" t="n">
        <x:f>SUM(XLOOKUP('포켓몬_편집'!$AF578:$AN578,'분류_규칙'!$A$5:$A$76,'분류_규칙'!$L$5:$L$76,0))</x:f>
        <x:v>0</x:v>
      </x:c>
      <x:c r="M578" s="10" t="n">
        <x:f>SUM(XLOOKUP('포켓몬_편집'!$AF578:$AN578,'분류_규칙'!$A$5:$A$76,'분류_규칙'!$M$5:$M$76,0))</x:f>
        <x:v>0</x:v>
      </x:c>
      <x:c r="N578" s="10" t="n">
        <x:f>SUM(XLOOKUP('포켓몬_편집'!$AF578:$AN578,'분류_규칙'!$A$5:$A$76,'분류_규칙'!$N$5:$N$76,0))</x:f>
        <x:v>0</x:v>
      </x:c>
      <x:c r="O578" s="10" t="n">
        <x:f>SUM(XLOOKUP('포켓몬_편집'!$AF578:$AN578,'분류_규칙'!$A$5:$A$76,'분류_규칙'!$O$5:$O$76,0))</x:f>
        <x:v>2</x:v>
      </x:c>
      <x:c r="P578" s="10" t="n">
        <x:f>SUM(XLOOKUP('포켓몬_편집'!$AF578:$AN578,'분류_규칙'!$A$5:$A$76,'분류_규칙'!$P$5:$P$76,0))</x:f>
        <x:v>0</x:v>
      </x:c>
    </x:row>
    <x:row r="579" ht="22" customHeight="1">
      <x:c r="A579" s="5" t="n">
        <x:v>575</x:v>
      </x:c>
      <x:c r="B579" s="5" t="inlineStr">
        <x:is>
          <x:t xml:space="preserve">고디보미</x:t>
        </x:is>
      </x:c>
      <x:c r="C579" s="5" t="inlineStr">
        <x:is>
          <x:t xml:space="preserve">gothorita</x:t>
        </x:is>
      </x:c>
      <x:c r="D579" s="5" t="n">
        <x:v>5</x:v>
      </x:c>
      <x:c r="E579" s="10" t="n">
        <x:f>SUM(XLOOKUP('포켓몬_편집'!$AF579:$AN579,'분류_규칙'!$A$5:$A$76,'분류_규칙'!$E$5:$E$76,0))</x:f>
        <x:v>10</x:v>
      </x:c>
      <x:c r="F579" s="10" t="n">
        <x:f>SUM(XLOOKUP('포켓몬_편집'!$AF579:$AN579,'분류_규칙'!$A$5:$A$76,'분류_규칙'!$F$5:$F$76,0))</x:f>
        <x:v>7</x:v>
      </x:c>
      <x:c r="G579" s="10" t="n">
        <x:f>SUM(XLOOKUP('포켓몬_편집'!$AF579:$AN579,'분류_규칙'!$A$5:$A$76,'분류_규칙'!$G$5:$G$76,0))</x:f>
        <x:v>5</x:v>
      </x:c>
      <x:c r="H579" s="10" t="n">
        <x:f>SUM(XLOOKUP('포켓몬_편집'!$AF579:$AN579,'분류_규칙'!$A$5:$A$76,'분류_규칙'!$H$5:$H$76,0))</x:f>
        <x:v>5</x:v>
      </x:c>
      <x:c r="I579" s="10" t="n">
        <x:f>SUM(XLOOKUP('포켓몬_편집'!$AF579:$AN579,'분류_규칙'!$A$5:$A$76,'분류_규칙'!$I$5:$I$76,0))</x:f>
        <x:v>0</x:v>
      </x:c>
      <x:c r="J579" s="10" t="n">
        <x:f>SUM(XLOOKUP('포켓몬_편집'!$AF579:$AN579,'분류_규칙'!$A$5:$A$76,'분류_규칙'!$J$5:$J$76,0))</x:f>
        <x:v>2</x:v>
      </x:c>
      <x:c r="K579" s="10" t="n">
        <x:f>SUM(XLOOKUP('포켓몬_편집'!$AF579:$AN579,'분류_규칙'!$A$5:$A$76,'분류_규칙'!$K$5:$K$76,0))</x:f>
        <x:v>0</x:v>
      </x:c>
      <x:c r="L579" s="10" t="n">
        <x:f>SUM(XLOOKUP('포켓몬_편집'!$AF579:$AN579,'분류_규칙'!$A$5:$A$76,'분류_규칙'!$L$5:$L$76,0))</x:f>
        <x:v>0</x:v>
      </x:c>
      <x:c r="M579" s="10" t="n">
        <x:f>SUM(XLOOKUP('포켓몬_편집'!$AF579:$AN579,'분류_규칙'!$A$5:$A$76,'분류_규칙'!$M$5:$M$76,0))</x:f>
        <x:v>0</x:v>
      </x:c>
      <x:c r="N579" s="10" t="n">
        <x:f>SUM(XLOOKUP('포켓몬_편집'!$AF579:$AN579,'분류_규칙'!$A$5:$A$76,'분류_규칙'!$N$5:$N$76,0))</x:f>
        <x:v>0</x:v>
      </x:c>
      <x:c r="O579" s="10" t="n">
        <x:f>SUM(XLOOKUP('포켓몬_편집'!$AF579:$AN579,'분류_규칙'!$A$5:$A$76,'분류_규칙'!$O$5:$O$76,0))</x:f>
        <x:v>2</x:v>
      </x:c>
      <x:c r="P579" s="10" t="n">
        <x:f>SUM(XLOOKUP('포켓몬_편집'!$AF579:$AN579,'분류_규칙'!$A$5:$A$76,'분류_규칙'!$P$5:$P$76,0))</x:f>
        <x:v>0</x:v>
      </x:c>
    </x:row>
    <x:row r="580" ht="22" customHeight="1">
      <x:c r="A580" s="5" t="n">
        <x:v>576</x:v>
      </x:c>
      <x:c r="B580" s="5" t="inlineStr">
        <x:is>
          <x:t xml:space="preserve">고디모아젤</x:t>
        </x:is>
      </x:c>
      <x:c r="C580" s="5" t="inlineStr">
        <x:is>
          <x:t xml:space="preserve">gothitelle</x:t>
        </x:is>
      </x:c>
      <x:c r="D580" s="5" t="n">
        <x:v>5</x:v>
      </x:c>
      <x:c r="E580" s="10" t="n">
        <x:f>SUM(XLOOKUP('포켓몬_편집'!$AF580:$AN580,'분류_규칙'!$A$5:$A$76,'분류_규칙'!$E$5:$E$76,0))</x:f>
        <x:v>10</x:v>
      </x:c>
      <x:c r="F580" s="10" t="n">
        <x:f>SUM(XLOOKUP('포켓몬_편집'!$AF580:$AN580,'분류_규칙'!$A$5:$A$76,'분류_규칙'!$F$5:$F$76,0))</x:f>
        <x:v>7</x:v>
      </x:c>
      <x:c r="G580" s="10" t="n">
        <x:f>SUM(XLOOKUP('포켓몬_편집'!$AF580:$AN580,'분류_규칙'!$A$5:$A$76,'분류_규칙'!$G$5:$G$76,0))</x:f>
        <x:v>5</x:v>
      </x:c>
      <x:c r="H580" s="10" t="n">
        <x:f>SUM(XLOOKUP('포켓몬_편집'!$AF580:$AN580,'분류_규칙'!$A$5:$A$76,'분류_규칙'!$H$5:$H$76,0))</x:f>
        <x:v>5</x:v>
      </x:c>
      <x:c r="I580" s="10" t="n">
        <x:f>SUM(XLOOKUP('포켓몬_편집'!$AF580:$AN580,'분류_규칙'!$A$5:$A$76,'분류_규칙'!$I$5:$I$76,0))</x:f>
        <x:v>0</x:v>
      </x:c>
      <x:c r="J580" s="10" t="n">
        <x:f>SUM(XLOOKUP('포켓몬_편집'!$AF580:$AN580,'분류_규칙'!$A$5:$A$76,'분류_규칙'!$J$5:$J$76,0))</x:f>
        <x:v>2</x:v>
      </x:c>
      <x:c r="K580" s="10" t="n">
        <x:f>SUM(XLOOKUP('포켓몬_편집'!$AF580:$AN580,'분류_규칙'!$A$5:$A$76,'분류_규칙'!$K$5:$K$76,0))</x:f>
        <x:v>0</x:v>
      </x:c>
      <x:c r="L580" s="10" t="n">
        <x:f>SUM(XLOOKUP('포켓몬_편집'!$AF580:$AN580,'분류_규칙'!$A$5:$A$76,'분류_규칙'!$L$5:$L$76,0))</x:f>
        <x:v>0</x:v>
      </x:c>
      <x:c r="M580" s="10" t="n">
        <x:f>SUM(XLOOKUP('포켓몬_편집'!$AF580:$AN580,'분류_규칙'!$A$5:$A$76,'분류_규칙'!$M$5:$M$76,0))</x:f>
        <x:v>0</x:v>
      </x:c>
      <x:c r="N580" s="10" t="n">
        <x:f>SUM(XLOOKUP('포켓몬_편집'!$AF580:$AN580,'분류_규칙'!$A$5:$A$76,'분류_규칙'!$N$5:$N$76,0))</x:f>
        <x:v>0</x:v>
      </x:c>
      <x:c r="O580" s="10" t="n">
        <x:f>SUM(XLOOKUP('포켓몬_편집'!$AF580:$AN580,'분류_규칙'!$A$5:$A$76,'분류_규칙'!$O$5:$O$76,0))</x:f>
        <x:v>2</x:v>
      </x:c>
      <x:c r="P580" s="10" t="n">
        <x:f>SUM(XLOOKUP('포켓몬_편집'!$AF580:$AN580,'분류_규칙'!$A$5:$A$76,'분류_규칙'!$P$5:$P$76,0))</x:f>
        <x:v>0</x:v>
      </x:c>
    </x:row>
    <x:row r="581" ht="22" customHeight="1">
      <x:c r="A581" s="5" t="n">
        <x:v>577</x:v>
      </x:c>
      <x:c r="B581" s="5" t="inlineStr">
        <x:is>
          <x:t xml:space="preserve">유니란</x:t>
        </x:is>
      </x:c>
      <x:c r="C581" s="5" t="inlineStr">
        <x:is>
          <x:t xml:space="preserve">solosis</x:t>
        </x:is>
      </x:c>
      <x:c r="D581" s="5" t="n">
        <x:v>5</x:v>
      </x:c>
      <x:c r="E581" s="10" t="n">
        <x:f>SUM(XLOOKUP('포켓몬_편집'!$AF581:$AN581,'분류_규칙'!$A$5:$A$76,'분류_규칙'!$E$5:$E$76,0))</x:f>
        <x:v>8</x:v>
      </x:c>
      <x:c r="F581" s="10" t="n">
        <x:f>SUM(XLOOKUP('포켓몬_편집'!$AF581:$AN581,'분류_규칙'!$A$5:$A$76,'분류_규칙'!$F$5:$F$76,0))</x:f>
        <x:v>8</x:v>
      </x:c>
      <x:c r="G581" s="10" t="n">
        <x:f>SUM(XLOOKUP('포켓몬_편집'!$AF581:$AN581,'분류_규칙'!$A$5:$A$76,'분류_규칙'!$G$5:$G$76,0))</x:f>
        <x:v>0</x:v>
      </x:c>
      <x:c r="H581" s="10" t="n">
        <x:f>SUM(XLOOKUP('포켓몬_편집'!$AF581:$AN581,'분류_규칙'!$A$5:$A$76,'분류_규칙'!$H$5:$H$76,0))</x:f>
        <x:v>12</x:v>
      </x:c>
      <x:c r="I581" s="10" t="n">
        <x:f>SUM(XLOOKUP('포켓몬_편집'!$AF581:$AN581,'분류_규칙'!$A$5:$A$76,'분류_규칙'!$I$5:$I$76,0))</x:f>
        <x:v>0</x:v>
      </x:c>
      <x:c r="J581" s="10" t="n">
        <x:f>SUM(XLOOKUP('포켓몬_편집'!$AF581:$AN581,'분류_규칙'!$A$5:$A$76,'분류_규칙'!$J$5:$J$76,0))</x:f>
        <x:v>0</x:v>
      </x:c>
      <x:c r="K581" s="10" t="n">
        <x:f>SUM(XLOOKUP('포켓몬_편집'!$AF581:$AN581,'분류_규칙'!$A$5:$A$76,'분류_규칙'!$K$5:$K$76,0))</x:f>
        <x:v>0</x:v>
      </x:c>
      <x:c r="L581" s="10" t="n">
        <x:f>SUM(XLOOKUP('포켓몬_편집'!$AF581:$AN581,'분류_규칙'!$A$5:$A$76,'분류_규칙'!$L$5:$L$76,0))</x:f>
        <x:v>3</x:v>
      </x:c>
      <x:c r="M581" s="10" t="n">
        <x:f>SUM(XLOOKUP('포켓몬_편집'!$AF581:$AN581,'분류_규칙'!$A$5:$A$76,'분류_규칙'!$M$5:$M$76,0))</x:f>
        <x:v>0</x:v>
      </x:c>
      <x:c r="N581" s="10" t="n">
        <x:f>SUM(XLOOKUP('포켓몬_편집'!$AF581:$AN581,'분류_규칙'!$A$5:$A$76,'분류_규칙'!$N$5:$N$76,0))</x:f>
        <x:v>0</x:v>
      </x:c>
      <x:c r="O581" s="10" t="n">
        <x:f>SUM(XLOOKUP('포켓몬_편집'!$AF581:$AN581,'분류_규칙'!$A$5:$A$76,'분류_규칙'!$O$5:$O$76,0))</x:f>
        <x:v>2</x:v>
      </x:c>
      <x:c r="P581" s="10" t="n">
        <x:f>SUM(XLOOKUP('포켓몬_편집'!$AF581:$AN581,'분류_규칙'!$A$5:$A$76,'분류_규칙'!$P$5:$P$76,0))</x:f>
        <x:v>0</x:v>
      </x:c>
    </x:row>
    <x:row r="582" ht="22" customHeight="1">
      <x:c r="A582" s="5" t="n">
        <x:v>578</x:v>
      </x:c>
      <x:c r="B582" s="5" t="inlineStr">
        <x:is>
          <x:t xml:space="preserve">듀란</x:t>
        </x:is>
      </x:c>
      <x:c r="C582" s="5" t="inlineStr">
        <x:is>
          <x:t xml:space="preserve">duosion</x:t>
        </x:is>
      </x:c>
      <x:c r="D582" s="5" t="n">
        <x:v>5</x:v>
      </x:c>
      <x:c r="E582" s="10" t="n">
        <x:f>SUM(XLOOKUP('포켓몬_편집'!$AF582:$AN582,'분류_규칙'!$A$5:$A$76,'분류_규칙'!$E$5:$E$76,0))</x:f>
        <x:v>8</x:v>
      </x:c>
      <x:c r="F582" s="10" t="n">
        <x:f>SUM(XLOOKUP('포켓몬_편집'!$AF582:$AN582,'분류_규칙'!$A$5:$A$76,'분류_규칙'!$F$5:$F$76,0))</x:f>
        <x:v>8</x:v>
      </x:c>
      <x:c r="G582" s="10" t="n">
        <x:f>SUM(XLOOKUP('포켓몬_편집'!$AF582:$AN582,'분류_규칙'!$A$5:$A$76,'분류_규칙'!$G$5:$G$76,0))</x:f>
        <x:v>0</x:v>
      </x:c>
      <x:c r="H582" s="10" t="n">
        <x:f>SUM(XLOOKUP('포켓몬_편집'!$AF582:$AN582,'분류_규칙'!$A$5:$A$76,'분류_규칙'!$H$5:$H$76,0))</x:f>
        <x:v>12</x:v>
      </x:c>
      <x:c r="I582" s="10" t="n">
        <x:f>SUM(XLOOKUP('포켓몬_편집'!$AF582:$AN582,'분류_규칙'!$A$5:$A$76,'분류_규칙'!$I$5:$I$76,0))</x:f>
        <x:v>0</x:v>
      </x:c>
      <x:c r="J582" s="10" t="n">
        <x:f>SUM(XLOOKUP('포켓몬_편집'!$AF582:$AN582,'분류_규칙'!$A$5:$A$76,'분류_규칙'!$J$5:$J$76,0))</x:f>
        <x:v>0</x:v>
      </x:c>
      <x:c r="K582" s="10" t="n">
        <x:f>SUM(XLOOKUP('포켓몬_편집'!$AF582:$AN582,'분류_규칙'!$A$5:$A$76,'분류_규칙'!$K$5:$K$76,0))</x:f>
        <x:v>0</x:v>
      </x:c>
      <x:c r="L582" s="10" t="n">
        <x:f>SUM(XLOOKUP('포켓몬_편집'!$AF582:$AN582,'분류_규칙'!$A$5:$A$76,'분류_규칙'!$L$5:$L$76,0))</x:f>
        <x:v>3</x:v>
      </x:c>
      <x:c r="M582" s="10" t="n">
        <x:f>SUM(XLOOKUP('포켓몬_편집'!$AF582:$AN582,'분류_규칙'!$A$5:$A$76,'분류_규칙'!$M$5:$M$76,0))</x:f>
        <x:v>0</x:v>
      </x:c>
      <x:c r="N582" s="10" t="n">
        <x:f>SUM(XLOOKUP('포켓몬_편집'!$AF582:$AN582,'분류_규칙'!$A$5:$A$76,'분류_규칙'!$N$5:$N$76,0))</x:f>
        <x:v>0</x:v>
      </x:c>
      <x:c r="O582" s="10" t="n">
        <x:f>SUM(XLOOKUP('포켓몬_편집'!$AF582:$AN582,'분류_규칙'!$A$5:$A$76,'분류_규칙'!$O$5:$O$76,0))</x:f>
        <x:v>2</x:v>
      </x:c>
      <x:c r="P582" s="10" t="n">
        <x:f>SUM(XLOOKUP('포켓몬_편집'!$AF582:$AN582,'분류_규칙'!$A$5:$A$76,'분류_규칙'!$P$5:$P$76,0))</x:f>
        <x:v>0</x:v>
      </x:c>
    </x:row>
    <x:row r="583" ht="22" customHeight="1">
      <x:c r="A583" s="5" t="n">
        <x:v>579</x:v>
      </x:c>
      <x:c r="B583" s="5" t="inlineStr">
        <x:is>
          <x:t xml:space="preserve">란쿨루스</x:t>
        </x:is>
      </x:c>
      <x:c r="C583" s="5" t="inlineStr">
        <x:is>
          <x:t xml:space="preserve">reuniclus</x:t>
        </x:is>
      </x:c>
      <x:c r="D583" s="5" t="n">
        <x:v>5</x:v>
      </x:c>
      <x:c r="E583" s="10" t="n">
        <x:f>SUM(XLOOKUP('포켓몬_편집'!$AF583:$AN583,'분류_규칙'!$A$5:$A$76,'분류_규칙'!$E$5:$E$76,0))</x:f>
        <x:v>8</x:v>
      </x:c>
      <x:c r="F583" s="10" t="n">
        <x:f>SUM(XLOOKUP('포켓몬_편집'!$AF583:$AN583,'분류_규칙'!$A$5:$A$76,'분류_규칙'!$F$5:$F$76,0))</x:f>
        <x:v>8</x:v>
      </x:c>
      <x:c r="G583" s="10" t="n">
        <x:f>SUM(XLOOKUP('포켓몬_편집'!$AF583:$AN583,'분류_규칙'!$A$5:$A$76,'분류_규칙'!$G$5:$G$76,0))</x:f>
        <x:v>0</x:v>
      </x:c>
      <x:c r="H583" s="10" t="n">
        <x:f>SUM(XLOOKUP('포켓몬_편집'!$AF583:$AN583,'분류_규칙'!$A$5:$A$76,'분류_규칙'!$H$5:$H$76,0))</x:f>
        <x:v>12</x:v>
      </x:c>
      <x:c r="I583" s="10" t="n">
        <x:f>SUM(XLOOKUP('포켓몬_편집'!$AF583:$AN583,'분류_규칙'!$A$5:$A$76,'분류_규칙'!$I$5:$I$76,0))</x:f>
        <x:v>0</x:v>
      </x:c>
      <x:c r="J583" s="10" t="n">
        <x:f>SUM(XLOOKUP('포켓몬_편집'!$AF583:$AN583,'분류_규칙'!$A$5:$A$76,'분류_규칙'!$J$5:$J$76,0))</x:f>
        <x:v>0</x:v>
      </x:c>
      <x:c r="K583" s="10" t="n">
        <x:f>SUM(XLOOKUP('포켓몬_편집'!$AF583:$AN583,'분류_규칙'!$A$5:$A$76,'분류_규칙'!$K$5:$K$76,0))</x:f>
        <x:v>0</x:v>
      </x:c>
      <x:c r="L583" s="10" t="n">
        <x:f>SUM(XLOOKUP('포켓몬_편집'!$AF583:$AN583,'분류_규칙'!$A$5:$A$76,'분류_규칙'!$L$5:$L$76,0))</x:f>
        <x:v>3</x:v>
      </x:c>
      <x:c r="M583" s="10" t="n">
        <x:f>SUM(XLOOKUP('포켓몬_편집'!$AF583:$AN583,'분류_규칙'!$A$5:$A$76,'분류_규칙'!$M$5:$M$76,0))</x:f>
        <x:v>0</x:v>
      </x:c>
      <x:c r="N583" s="10" t="n">
        <x:f>SUM(XLOOKUP('포켓몬_편집'!$AF583:$AN583,'분류_규칙'!$A$5:$A$76,'분류_규칙'!$N$5:$N$76,0))</x:f>
        <x:v>0</x:v>
      </x:c>
      <x:c r="O583" s="10" t="n">
        <x:f>SUM(XLOOKUP('포켓몬_편집'!$AF583:$AN583,'분류_규칙'!$A$5:$A$76,'분류_규칙'!$O$5:$O$76,0))</x:f>
        <x:v>2</x:v>
      </x:c>
      <x:c r="P583" s="10" t="n">
        <x:f>SUM(XLOOKUP('포켓몬_편집'!$AF583:$AN583,'분류_규칙'!$A$5:$A$76,'분류_규칙'!$P$5:$P$76,0))</x:f>
        <x:v>0</x:v>
      </x:c>
    </x:row>
    <x:row r="584" ht="22" customHeight="1">
      <x:c r="A584" s="5" t="n">
        <x:v>580</x:v>
      </x:c>
      <x:c r="B584" s="5" t="inlineStr">
        <x:is>
          <x:t xml:space="preserve">꼬지보리</x:t>
        </x:is>
      </x:c>
      <x:c r="C584" s="5" t="inlineStr">
        <x:is>
          <x:t xml:space="preserve">ducklett</x:t>
        </x:is>
      </x:c>
      <x:c r="D584" s="5" t="n">
        <x:v>5</x:v>
      </x:c>
      <x:c r="E584" s="10" t="n">
        <x:f>SUM(XLOOKUP('포켓몬_편집'!$AF584:$AN584,'분류_규칙'!$A$5:$A$76,'분류_규칙'!$E$5:$E$76,0))</x:f>
        <x:v>0</x:v>
      </x:c>
      <x:c r="F584" s="10" t="n">
        <x:f>SUM(XLOOKUP('포켓몬_편집'!$AF584:$AN584,'분류_규칙'!$A$5:$A$76,'분류_규칙'!$F$5:$F$76,0))</x:f>
        <x:v>0</x:v>
      </x:c>
      <x:c r="G584" s="10" t="n">
        <x:f>SUM(XLOOKUP('포켓몬_편집'!$AF584:$AN584,'분류_규칙'!$A$5:$A$76,'분류_규칙'!$G$5:$G$76,0))</x:f>
        <x:v>0</x:v>
      </x:c>
      <x:c r="H584" s="10" t="n">
        <x:f>SUM(XLOOKUP('포켓몬_편집'!$AF584:$AN584,'분류_규칙'!$A$5:$A$76,'분류_규칙'!$H$5:$H$76,0))</x:f>
        <x:v>0</x:v>
      </x:c>
      <x:c r="I584" s="10" t="n">
        <x:f>SUM(XLOOKUP('포켓몬_편집'!$AF584:$AN584,'분류_규칙'!$A$5:$A$76,'분류_규칙'!$I$5:$I$76,0))</x:f>
        <x:v>0</x:v>
      </x:c>
      <x:c r="J584" s="10" t="n">
        <x:f>SUM(XLOOKUP('포켓몬_편집'!$AF584:$AN584,'분류_규칙'!$A$5:$A$76,'분류_규칙'!$J$5:$J$76,0))</x:f>
        <x:v>12</x:v>
      </x:c>
      <x:c r="K584" s="10" t="n">
        <x:f>SUM(XLOOKUP('포켓몬_편집'!$AF584:$AN584,'분류_규칙'!$A$5:$A$76,'분류_규칙'!$K$5:$K$76,0))</x:f>
        <x:v>30</x:v>
      </x:c>
      <x:c r="L584" s="10" t="n">
        <x:f>SUM(XLOOKUP('포켓몬_편집'!$AF584:$AN584,'분류_규칙'!$A$5:$A$76,'분류_규칙'!$L$5:$L$76,0))</x:f>
        <x:v>0</x:v>
      </x:c>
      <x:c r="M584" s="10" t="n">
        <x:f>SUM(XLOOKUP('포켓몬_편집'!$AF584:$AN584,'분류_규칙'!$A$5:$A$76,'분류_규칙'!$M$5:$M$76,0))</x:f>
        <x:v>0</x:v>
      </x:c>
      <x:c r="N584" s="10" t="n">
        <x:f>SUM(XLOOKUP('포켓몬_편집'!$AF584:$AN584,'분류_규칙'!$A$5:$A$76,'분류_규칙'!$N$5:$N$76,0))</x:f>
        <x:v>0</x:v>
      </x:c>
      <x:c r="O584" s="10" t="n">
        <x:f>SUM(XLOOKUP('포켓몬_편집'!$AF584:$AN584,'분류_규칙'!$A$5:$A$76,'분류_규칙'!$O$5:$O$76,0))</x:f>
        <x:v>0</x:v>
      </x:c>
      <x:c r="P584" s="10" t="n">
        <x:f>SUM(XLOOKUP('포켓몬_편집'!$AF584:$AN584,'분류_규칙'!$A$5:$A$76,'분류_규칙'!$P$5:$P$76,0))</x:f>
        <x:v>0</x:v>
      </x:c>
    </x:row>
    <x:row r="585" ht="22" customHeight="1">
      <x:c r="A585" s="5" t="n">
        <x:v>581</x:v>
      </x:c>
      <x:c r="B585" s="5" t="inlineStr">
        <x:is>
          <x:t xml:space="preserve">스완나</x:t>
        </x:is>
      </x:c>
      <x:c r="C585" s="5" t="inlineStr">
        <x:is>
          <x:t xml:space="preserve">swanna</x:t>
        </x:is>
      </x:c>
      <x:c r="D585" s="5" t="n">
        <x:v>5</x:v>
      </x:c>
      <x:c r="E585" s="10" t="n">
        <x:f>SUM(XLOOKUP('포켓몬_편집'!$AF585:$AN585,'분류_규칙'!$A$5:$A$76,'분류_규칙'!$E$5:$E$76,0))</x:f>
        <x:v>0</x:v>
      </x:c>
      <x:c r="F585" s="10" t="n">
        <x:f>SUM(XLOOKUP('포켓몬_편집'!$AF585:$AN585,'분류_규칙'!$A$5:$A$76,'분류_규칙'!$F$5:$F$76,0))</x:f>
        <x:v>0</x:v>
      </x:c>
      <x:c r="G585" s="10" t="n">
        <x:f>SUM(XLOOKUP('포켓몬_편집'!$AF585:$AN585,'분류_규칙'!$A$5:$A$76,'분류_규칙'!$G$5:$G$76,0))</x:f>
        <x:v>0</x:v>
      </x:c>
      <x:c r="H585" s="10" t="n">
        <x:f>SUM(XLOOKUP('포켓몬_편집'!$AF585:$AN585,'분류_규칙'!$A$5:$A$76,'분류_규칙'!$H$5:$H$76,0))</x:f>
        <x:v>0</x:v>
      </x:c>
      <x:c r="I585" s="10" t="n">
        <x:f>SUM(XLOOKUP('포켓몬_편집'!$AF585:$AN585,'분류_규칙'!$A$5:$A$76,'분류_규칙'!$I$5:$I$76,0))</x:f>
        <x:v>0</x:v>
      </x:c>
      <x:c r="J585" s="10" t="n">
        <x:f>SUM(XLOOKUP('포켓몬_편집'!$AF585:$AN585,'분류_규칙'!$A$5:$A$76,'분류_규칙'!$J$5:$J$76,0))</x:f>
        <x:v>12</x:v>
      </x:c>
      <x:c r="K585" s="10" t="n">
        <x:f>SUM(XLOOKUP('포켓몬_편집'!$AF585:$AN585,'분류_규칙'!$A$5:$A$76,'분류_규칙'!$K$5:$K$76,0))</x:f>
        <x:v>30</x:v>
      </x:c>
      <x:c r="L585" s="10" t="n">
        <x:f>SUM(XLOOKUP('포켓몬_편집'!$AF585:$AN585,'분류_규칙'!$A$5:$A$76,'분류_규칙'!$L$5:$L$76,0))</x:f>
        <x:v>0</x:v>
      </x:c>
      <x:c r="M585" s="10" t="n">
        <x:f>SUM(XLOOKUP('포켓몬_편집'!$AF585:$AN585,'분류_규칙'!$A$5:$A$76,'분류_규칙'!$M$5:$M$76,0))</x:f>
        <x:v>0</x:v>
      </x:c>
      <x:c r="N585" s="10" t="n">
        <x:f>SUM(XLOOKUP('포켓몬_편집'!$AF585:$AN585,'분류_규칙'!$A$5:$A$76,'분류_규칙'!$N$5:$N$76,0))</x:f>
        <x:v>0</x:v>
      </x:c>
      <x:c r="O585" s="10" t="n">
        <x:f>SUM(XLOOKUP('포켓몬_편집'!$AF585:$AN585,'분류_규칙'!$A$5:$A$76,'분류_규칙'!$O$5:$O$76,0))</x:f>
        <x:v>0</x:v>
      </x:c>
      <x:c r="P585" s="10" t="n">
        <x:f>SUM(XLOOKUP('포켓몬_편집'!$AF585:$AN585,'분류_규칙'!$A$5:$A$76,'분류_규칙'!$P$5:$P$76,0))</x:f>
        <x:v>0</x:v>
      </x:c>
    </x:row>
    <x:row r="586" ht="22" customHeight="1">
      <x:c r="A586" s="5" t="n">
        <x:v>582</x:v>
      </x:c>
      <x:c r="B586" s="5" t="inlineStr">
        <x:is>
          <x:t xml:space="preserve">바닐프티</x:t>
        </x:is>
      </x:c>
      <x:c r="C586" s="5" t="inlineStr">
        <x:is>
          <x:t xml:space="preserve">vanillite</x:t>
        </x:is>
      </x:c>
      <x:c r="D586" s="5" t="n">
        <x:v>5</x:v>
      </x:c>
      <x:c r="E586" s="10" t="n">
        <x:f>SUM(XLOOKUP('포켓몬_편집'!$AF586:$AN586,'분류_규칙'!$A$5:$A$76,'분류_규칙'!$E$5:$E$76,0))</x:f>
        <x:v>8</x:v>
      </x:c>
      <x:c r="F586" s="10" t="n">
        <x:f>SUM(XLOOKUP('포켓몬_편집'!$AF586:$AN586,'분류_규칙'!$A$5:$A$76,'분류_규칙'!$F$5:$F$76,0))</x:f>
        <x:v>8</x:v>
      </x:c>
      <x:c r="G586" s="10" t="n">
        <x:f>SUM(XLOOKUP('포켓몬_편집'!$AF586:$AN586,'분류_규칙'!$A$5:$A$76,'분류_규칙'!$G$5:$G$76,0))</x:f>
        <x:v>0</x:v>
      </x:c>
      <x:c r="H586" s="10" t="n">
        <x:f>SUM(XLOOKUP('포켓몬_편집'!$AF586:$AN586,'분류_규칙'!$A$5:$A$76,'분류_규칙'!$H$5:$H$76,0))</x:f>
        <x:v>12</x:v>
      </x:c>
      <x:c r="I586" s="10" t="n">
        <x:f>SUM(XLOOKUP('포켓몬_편집'!$AF586:$AN586,'분류_규칙'!$A$5:$A$76,'분류_규칙'!$I$5:$I$76,0))</x:f>
        <x:v>0</x:v>
      </x:c>
      <x:c r="J586" s="10" t="n">
        <x:f>SUM(XLOOKUP('포켓몬_편집'!$AF586:$AN586,'분류_규칙'!$A$5:$A$76,'분류_규칙'!$J$5:$J$76,0))</x:f>
        <x:v>0</x:v>
      </x:c>
      <x:c r="K586" s="10" t="n">
        <x:f>SUM(XLOOKUP('포켓몬_편집'!$AF586:$AN586,'분류_규칙'!$A$5:$A$76,'분류_규칙'!$K$5:$K$76,0))</x:f>
        <x:v>0</x:v>
      </x:c>
      <x:c r="L586" s="10" t="n">
        <x:f>SUM(XLOOKUP('포켓몬_편집'!$AF586:$AN586,'분류_규칙'!$A$5:$A$76,'분류_규칙'!$L$5:$L$76,0))</x:f>
        <x:v>3</x:v>
      </x:c>
      <x:c r="M586" s="10" t="n">
        <x:f>SUM(XLOOKUP('포켓몬_편집'!$AF586:$AN586,'분류_규칙'!$A$5:$A$76,'분류_규칙'!$M$5:$M$76,0))</x:f>
        <x:v>0</x:v>
      </x:c>
      <x:c r="N586" s="10" t="n">
        <x:f>SUM(XLOOKUP('포켓몬_편집'!$AF586:$AN586,'분류_규칙'!$A$5:$A$76,'분류_규칙'!$N$5:$N$76,0))</x:f>
        <x:v>0</x:v>
      </x:c>
      <x:c r="O586" s="10" t="n">
        <x:f>SUM(XLOOKUP('포켓몬_편집'!$AF586:$AN586,'분류_규칙'!$A$5:$A$76,'분류_규칙'!$O$5:$O$76,0))</x:f>
        <x:v>2</x:v>
      </x:c>
      <x:c r="P586" s="10" t="n">
        <x:f>SUM(XLOOKUP('포켓몬_편집'!$AF586:$AN586,'분류_규칙'!$A$5:$A$76,'분류_규칙'!$P$5:$P$76,0))</x:f>
        <x:v>0</x:v>
      </x:c>
    </x:row>
    <x:row r="587" ht="22" customHeight="1">
      <x:c r="A587" s="5" t="n">
        <x:v>583</x:v>
      </x:c>
      <x:c r="B587" s="5" t="inlineStr">
        <x:is>
          <x:t xml:space="preserve">바닐리치</x:t>
        </x:is>
      </x:c>
      <x:c r="C587" s="5" t="inlineStr">
        <x:is>
          <x:t xml:space="preserve">vanillish</x:t>
        </x:is>
      </x:c>
      <x:c r="D587" s="5" t="n">
        <x:v>5</x:v>
      </x:c>
      <x:c r="E587" s="10" t="n">
        <x:f>SUM(XLOOKUP('포켓몬_편집'!$AF587:$AN587,'분류_규칙'!$A$5:$A$76,'분류_규칙'!$E$5:$E$76,0))</x:f>
        <x:v>8</x:v>
      </x:c>
      <x:c r="F587" s="10" t="n">
        <x:f>SUM(XLOOKUP('포켓몬_편집'!$AF587:$AN587,'분류_규칙'!$A$5:$A$76,'분류_규칙'!$F$5:$F$76,0))</x:f>
        <x:v>8</x:v>
      </x:c>
      <x:c r="G587" s="10" t="n">
        <x:f>SUM(XLOOKUP('포켓몬_편집'!$AF587:$AN587,'분류_규칙'!$A$5:$A$76,'분류_규칙'!$G$5:$G$76,0))</x:f>
        <x:v>0</x:v>
      </x:c>
      <x:c r="H587" s="10" t="n">
        <x:f>SUM(XLOOKUP('포켓몬_편집'!$AF587:$AN587,'분류_규칙'!$A$5:$A$76,'분류_규칙'!$H$5:$H$76,0))</x:f>
        <x:v>12</x:v>
      </x:c>
      <x:c r="I587" s="10" t="n">
        <x:f>SUM(XLOOKUP('포켓몬_편집'!$AF587:$AN587,'분류_규칙'!$A$5:$A$76,'분류_규칙'!$I$5:$I$76,0))</x:f>
        <x:v>0</x:v>
      </x:c>
      <x:c r="J587" s="10" t="n">
        <x:f>SUM(XLOOKUP('포켓몬_편집'!$AF587:$AN587,'분류_규칙'!$A$5:$A$76,'분류_규칙'!$J$5:$J$76,0))</x:f>
        <x:v>0</x:v>
      </x:c>
      <x:c r="K587" s="10" t="n">
        <x:f>SUM(XLOOKUP('포켓몬_편집'!$AF587:$AN587,'분류_규칙'!$A$5:$A$76,'분류_규칙'!$K$5:$K$76,0))</x:f>
        <x:v>0</x:v>
      </x:c>
      <x:c r="L587" s="10" t="n">
        <x:f>SUM(XLOOKUP('포켓몬_편집'!$AF587:$AN587,'분류_규칙'!$A$5:$A$76,'분류_규칙'!$L$5:$L$76,0))</x:f>
        <x:v>3</x:v>
      </x:c>
      <x:c r="M587" s="10" t="n">
        <x:f>SUM(XLOOKUP('포켓몬_편집'!$AF587:$AN587,'분류_규칙'!$A$5:$A$76,'분류_규칙'!$M$5:$M$76,0))</x:f>
        <x:v>0</x:v>
      </x:c>
      <x:c r="N587" s="10" t="n">
        <x:f>SUM(XLOOKUP('포켓몬_편집'!$AF587:$AN587,'분류_규칙'!$A$5:$A$76,'분류_규칙'!$N$5:$N$76,0))</x:f>
        <x:v>0</x:v>
      </x:c>
      <x:c r="O587" s="10" t="n">
        <x:f>SUM(XLOOKUP('포켓몬_편집'!$AF587:$AN587,'분류_규칙'!$A$5:$A$76,'분류_규칙'!$O$5:$O$76,0))</x:f>
        <x:v>2</x:v>
      </x:c>
      <x:c r="P587" s="10" t="n">
        <x:f>SUM(XLOOKUP('포켓몬_편집'!$AF587:$AN587,'분류_규칙'!$A$5:$A$76,'분류_규칙'!$P$5:$P$76,0))</x:f>
        <x:v>0</x:v>
      </x:c>
    </x:row>
    <x:row r="588" ht="22" customHeight="1">
      <x:c r="A588" s="5" t="n">
        <x:v>584</x:v>
      </x:c>
      <x:c r="B588" s="5" t="inlineStr">
        <x:is>
          <x:t xml:space="preserve">배바닐라</x:t>
        </x:is>
      </x:c>
      <x:c r="C588" s="5" t="inlineStr">
        <x:is>
          <x:t xml:space="preserve">vanilluxe</x:t>
        </x:is>
      </x:c>
      <x:c r="D588" s="5" t="n">
        <x:v>5</x:v>
      </x:c>
      <x:c r="E588" s="10" t="n">
        <x:f>SUM(XLOOKUP('포켓몬_편집'!$AF588:$AN588,'분류_규칙'!$A$5:$A$76,'분류_규칙'!$E$5:$E$76,0))</x:f>
        <x:v>8</x:v>
      </x:c>
      <x:c r="F588" s="10" t="n">
        <x:f>SUM(XLOOKUP('포켓몬_편집'!$AF588:$AN588,'분류_규칙'!$A$5:$A$76,'분류_규칙'!$F$5:$F$76,0))</x:f>
        <x:v>8</x:v>
      </x:c>
      <x:c r="G588" s="10" t="n">
        <x:f>SUM(XLOOKUP('포켓몬_편집'!$AF588:$AN588,'분류_규칙'!$A$5:$A$76,'분류_규칙'!$G$5:$G$76,0))</x:f>
        <x:v>0</x:v>
      </x:c>
      <x:c r="H588" s="10" t="n">
        <x:f>SUM(XLOOKUP('포켓몬_편집'!$AF588:$AN588,'분류_규칙'!$A$5:$A$76,'분류_규칙'!$H$5:$H$76,0))</x:f>
        <x:v>12</x:v>
      </x:c>
      <x:c r="I588" s="10" t="n">
        <x:f>SUM(XLOOKUP('포켓몬_편집'!$AF588:$AN588,'분류_규칙'!$A$5:$A$76,'분류_규칙'!$I$5:$I$76,0))</x:f>
        <x:v>0</x:v>
      </x:c>
      <x:c r="J588" s="10" t="n">
        <x:f>SUM(XLOOKUP('포켓몬_편집'!$AF588:$AN588,'분류_규칙'!$A$5:$A$76,'분류_규칙'!$J$5:$J$76,0))</x:f>
        <x:v>0</x:v>
      </x:c>
      <x:c r="K588" s="10" t="n">
        <x:f>SUM(XLOOKUP('포켓몬_편집'!$AF588:$AN588,'분류_규칙'!$A$5:$A$76,'분류_규칙'!$K$5:$K$76,0))</x:f>
        <x:v>0</x:v>
      </x:c>
      <x:c r="L588" s="10" t="n">
        <x:f>SUM(XLOOKUP('포켓몬_편집'!$AF588:$AN588,'분류_규칙'!$A$5:$A$76,'분류_규칙'!$L$5:$L$76,0))</x:f>
        <x:v>3</x:v>
      </x:c>
      <x:c r="M588" s="10" t="n">
        <x:f>SUM(XLOOKUP('포켓몬_편집'!$AF588:$AN588,'분류_규칙'!$A$5:$A$76,'분류_규칙'!$M$5:$M$76,0))</x:f>
        <x:v>0</x:v>
      </x:c>
      <x:c r="N588" s="10" t="n">
        <x:f>SUM(XLOOKUP('포켓몬_편집'!$AF588:$AN588,'분류_규칙'!$A$5:$A$76,'분류_규칙'!$N$5:$N$76,0))</x:f>
        <x:v>0</x:v>
      </x:c>
      <x:c r="O588" s="10" t="n">
        <x:f>SUM(XLOOKUP('포켓몬_편집'!$AF588:$AN588,'분류_규칙'!$A$5:$A$76,'분류_규칙'!$O$5:$O$76,0))</x:f>
        <x:v>2</x:v>
      </x:c>
      <x:c r="P588" s="10" t="n">
        <x:f>SUM(XLOOKUP('포켓몬_편집'!$AF588:$AN588,'분류_규칙'!$A$5:$A$76,'분류_규칙'!$P$5:$P$76,0))</x:f>
        <x:v>0</x:v>
      </x:c>
    </x:row>
    <x:row r="589" ht="22" customHeight="1">
      <x:c r="A589" s="5" t="n">
        <x:v>585</x:v>
      </x:c>
      <x:c r="B589" s="5" t="inlineStr">
        <x:is>
          <x:t xml:space="preserve">사철록</x:t>
        </x:is>
      </x:c>
      <x:c r="C589" s="5" t="inlineStr">
        <x:is>
          <x:t xml:space="preserve">deerling</x:t>
        </x:is>
      </x:c>
      <x:c r="D589" s="5" t="n">
        <x:v>5</x:v>
      </x:c>
      <x:c r="E589" s="10" t="n">
        <x:f>SUM(XLOOKUP('포켓몬_편집'!$AF589:$AN589,'분류_규칙'!$A$5:$A$76,'분류_규칙'!$E$5:$E$76,0))</x:f>
        <x:v>10</x:v>
      </x:c>
      <x:c r="F589" s="10" t="n">
        <x:f>SUM(XLOOKUP('포켓몬_편집'!$AF589:$AN589,'분류_규칙'!$A$5:$A$76,'분류_규칙'!$F$5:$F$76,0))</x:f>
        <x:v>7</x:v>
      </x:c>
      <x:c r="G589" s="10" t="n">
        <x:f>SUM(XLOOKUP('포켓몬_편집'!$AF589:$AN589,'분류_규칙'!$A$5:$A$76,'분류_규칙'!$G$5:$G$76,0))</x:f>
        <x:v>5</x:v>
      </x:c>
      <x:c r="H589" s="10" t="n">
        <x:f>SUM(XLOOKUP('포켓몬_편집'!$AF589:$AN589,'분류_규칙'!$A$5:$A$76,'분류_규칙'!$H$5:$H$76,0))</x:f>
        <x:v>5</x:v>
      </x:c>
      <x:c r="I589" s="10" t="n">
        <x:f>SUM(XLOOKUP('포켓몬_편집'!$AF589:$AN589,'분류_규칙'!$A$5:$A$76,'분류_규칙'!$I$5:$I$76,0))</x:f>
        <x:v>0</x:v>
      </x:c>
      <x:c r="J589" s="10" t="n">
        <x:f>SUM(XLOOKUP('포켓몬_편집'!$AF589:$AN589,'분류_규칙'!$A$5:$A$76,'분류_규칙'!$J$5:$J$76,0))</x:f>
        <x:v>2</x:v>
      </x:c>
      <x:c r="K589" s="10" t="n">
        <x:f>SUM(XLOOKUP('포켓몬_편집'!$AF589:$AN589,'분류_규칙'!$A$5:$A$76,'분류_규칙'!$K$5:$K$76,0))</x:f>
        <x:v>0</x:v>
      </x:c>
      <x:c r="L589" s="10" t="n">
        <x:f>SUM(XLOOKUP('포켓몬_편집'!$AF589:$AN589,'분류_규칙'!$A$5:$A$76,'분류_규칙'!$L$5:$L$76,0))</x:f>
        <x:v>0</x:v>
      </x:c>
      <x:c r="M589" s="10" t="n">
        <x:f>SUM(XLOOKUP('포켓몬_편집'!$AF589:$AN589,'분류_규칙'!$A$5:$A$76,'분류_규칙'!$M$5:$M$76,0))</x:f>
        <x:v>0</x:v>
      </x:c>
      <x:c r="N589" s="10" t="n">
        <x:f>SUM(XLOOKUP('포켓몬_편집'!$AF589:$AN589,'분류_규칙'!$A$5:$A$76,'분류_규칙'!$N$5:$N$76,0))</x:f>
        <x:v>0</x:v>
      </x:c>
      <x:c r="O589" s="10" t="n">
        <x:f>SUM(XLOOKUP('포켓몬_편집'!$AF589:$AN589,'분류_규칙'!$A$5:$A$76,'분류_규칙'!$O$5:$O$76,0))</x:f>
        <x:v>2</x:v>
      </x:c>
      <x:c r="P589" s="10" t="n">
        <x:f>SUM(XLOOKUP('포켓몬_편집'!$AF589:$AN589,'분류_규칙'!$A$5:$A$76,'분류_규칙'!$P$5:$P$76,0))</x:f>
        <x:v>0</x:v>
      </x:c>
    </x:row>
    <x:row r="590" ht="22" customHeight="1">
      <x:c r="A590" s="5" t="n">
        <x:v>586</x:v>
      </x:c>
      <x:c r="B590" s="5" t="inlineStr">
        <x:is>
          <x:t xml:space="preserve">바라철록</x:t>
        </x:is>
      </x:c>
      <x:c r="C590" s="5" t="inlineStr">
        <x:is>
          <x:t xml:space="preserve">sawsbuck</x:t>
        </x:is>
      </x:c>
      <x:c r="D590" s="5" t="n">
        <x:v>5</x:v>
      </x:c>
      <x:c r="E590" s="10" t="n">
        <x:f>SUM(XLOOKUP('포켓몬_편집'!$AF590:$AN590,'분류_규칙'!$A$5:$A$76,'분류_규칙'!$E$5:$E$76,0))</x:f>
        <x:v>10</x:v>
      </x:c>
      <x:c r="F590" s="10" t="n">
        <x:f>SUM(XLOOKUP('포켓몬_편집'!$AF590:$AN590,'분류_규칙'!$A$5:$A$76,'분류_규칙'!$F$5:$F$76,0))</x:f>
        <x:v>7</x:v>
      </x:c>
      <x:c r="G590" s="10" t="n">
        <x:f>SUM(XLOOKUP('포켓몬_편집'!$AF590:$AN590,'분류_규칙'!$A$5:$A$76,'분류_규칙'!$G$5:$G$76,0))</x:f>
        <x:v>5</x:v>
      </x:c>
      <x:c r="H590" s="10" t="n">
        <x:f>SUM(XLOOKUP('포켓몬_편집'!$AF590:$AN590,'분류_규칙'!$A$5:$A$76,'분류_규칙'!$H$5:$H$76,0))</x:f>
        <x:v>5</x:v>
      </x:c>
      <x:c r="I590" s="10" t="n">
        <x:f>SUM(XLOOKUP('포켓몬_편집'!$AF590:$AN590,'분류_규칙'!$A$5:$A$76,'분류_규칙'!$I$5:$I$76,0))</x:f>
        <x:v>0</x:v>
      </x:c>
      <x:c r="J590" s="10" t="n">
        <x:f>SUM(XLOOKUP('포켓몬_편집'!$AF590:$AN590,'분류_규칙'!$A$5:$A$76,'분류_규칙'!$J$5:$J$76,0))</x:f>
        <x:v>2</x:v>
      </x:c>
      <x:c r="K590" s="10" t="n">
        <x:f>SUM(XLOOKUP('포켓몬_편집'!$AF590:$AN590,'분류_규칙'!$A$5:$A$76,'분류_규칙'!$K$5:$K$76,0))</x:f>
        <x:v>0</x:v>
      </x:c>
      <x:c r="L590" s="10" t="n">
        <x:f>SUM(XLOOKUP('포켓몬_편집'!$AF590:$AN590,'분류_규칙'!$A$5:$A$76,'분류_규칙'!$L$5:$L$76,0))</x:f>
        <x:v>0</x:v>
      </x:c>
      <x:c r="M590" s="10" t="n">
        <x:f>SUM(XLOOKUP('포켓몬_편집'!$AF590:$AN590,'분류_규칙'!$A$5:$A$76,'분류_규칙'!$M$5:$M$76,0))</x:f>
        <x:v>0</x:v>
      </x:c>
      <x:c r="N590" s="10" t="n">
        <x:f>SUM(XLOOKUP('포켓몬_편집'!$AF590:$AN590,'분류_규칙'!$A$5:$A$76,'분류_규칙'!$N$5:$N$76,0))</x:f>
        <x:v>0</x:v>
      </x:c>
      <x:c r="O590" s="10" t="n">
        <x:f>SUM(XLOOKUP('포켓몬_편집'!$AF590:$AN590,'분류_규칙'!$A$5:$A$76,'분류_규칙'!$O$5:$O$76,0))</x:f>
        <x:v>2</x:v>
      </x:c>
      <x:c r="P590" s="10" t="n">
        <x:f>SUM(XLOOKUP('포켓몬_편집'!$AF590:$AN590,'분류_규칙'!$A$5:$A$76,'분류_규칙'!$P$5:$P$76,0))</x:f>
        <x:v>0</x:v>
      </x:c>
    </x:row>
    <x:row r="591" ht="22" customHeight="1">
      <x:c r="A591" s="5" t="n">
        <x:v>587</x:v>
      </x:c>
      <x:c r="B591" s="5" t="inlineStr">
        <x:is>
          <x:t xml:space="preserve">에몽가</x:t>
        </x:is>
      </x:c>
      <x:c r="C591" s="5" t="inlineStr">
        <x:is>
          <x:t xml:space="preserve">emolga</x:t>
        </x:is>
      </x:c>
      <x:c r="D591" s="5" t="n">
        <x:v>5</x:v>
      </x:c>
      <x:c r="E591" s="10" t="n">
        <x:f>SUM(XLOOKUP('포켓몬_편집'!$AF591:$AN591,'분류_규칙'!$A$5:$A$76,'분류_규칙'!$E$5:$E$76,0))</x:f>
        <x:v>8</x:v>
      </x:c>
      <x:c r="F591" s="10" t="n">
        <x:f>SUM(XLOOKUP('포켓몬_편집'!$AF591:$AN591,'분류_규칙'!$A$5:$A$76,'분류_규칙'!$F$5:$F$76,0))</x:f>
        <x:v>8</x:v>
      </x:c>
      <x:c r="G591" s="10" t="n">
        <x:f>SUM(XLOOKUP('포켓몬_편집'!$AF591:$AN591,'분류_규칙'!$A$5:$A$76,'분류_규칙'!$G$5:$G$76,0))</x:f>
        <x:v>0</x:v>
      </x:c>
      <x:c r="H591" s="10" t="n">
        <x:f>SUM(XLOOKUP('포켓몬_편집'!$AF591:$AN591,'분류_규칙'!$A$5:$A$76,'분류_규칙'!$H$5:$H$76,0))</x:f>
        <x:v>12</x:v>
      </x:c>
      <x:c r="I591" s="10" t="n">
        <x:f>SUM(XLOOKUP('포켓몬_편집'!$AF591:$AN591,'분류_규칙'!$A$5:$A$76,'분류_규칙'!$I$5:$I$76,0))</x:f>
        <x:v>0</x:v>
      </x:c>
      <x:c r="J591" s="10" t="n">
        <x:f>SUM(XLOOKUP('포켓몬_편집'!$AF591:$AN591,'분류_규칙'!$A$5:$A$76,'분류_규칙'!$J$5:$J$76,0))</x:f>
        <x:v>0</x:v>
      </x:c>
      <x:c r="K591" s="10" t="n">
        <x:f>SUM(XLOOKUP('포켓몬_편집'!$AF591:$AN591,'분류_규칙'!$A$5:$A$76,'분류_규칙'!$K$5:$K$76,0))</x:f>
        <x:v>0</x:v>
      </x:c>
      <x:c r="L591" s="10" t="n">
        <x:f>SUM(XLOOKUP('포켓몬_편집'!$AF591:$AN591,'분류_규칙'!$A$5:$A$76,'분류_규칙'!$L$5:$L$76,0))</x:f>
        <x:v>3</x:v>
      </x:c>
      <x:c r="M591" s="10" t="n">
        <x:f>SUM(XLOOKUP('포켓몬_편집'!$AF591:$AN591,'분류_규칙'!$A$5:$A$76,'분류_규칙'!$M$5:$M$76,0))</x:f>
        <x:v>0</x:v>
      </x:c>
      <x:c r="N591" s="10" t="n">
        <x:f>SUM(XLOOKUP('포켓몬_편집'!$AF591:$AN591,'분류_규칙'!$A$5:$A$76,'분류_규칙'!$N$5:$N$76,0))</x:f>
        <x:v>0</x:v>
      </x:c>
      <x:c r="O591" s="10" t="n">
        <x:f>SUM(XLOOKUP('포켓몬_편집'!$AF591:$AN591,'분류_규칙'!$A$5:$A$76,'분류_규칙'!$O$5:$O$76,0))</x:f>
        <x:v>2</x:v>
      </x:c>
      <x:c r="P591" s="10" t="n">
        <x:f>SUM(XLOOKUP('포켓몬_편집'!$AF591:$AN591,'분류_규칙'!$A$5:$A$76,'분류_규칙'!$P$5:$P$76,0))</x:f>
        <x:v>0</x:v>
      </x:c>
    </x:row>
    <x:row r="592" ht="22" customHeight="1">
      <x:c r="A592" s="5" t="n">
        <x:v>588</x:v>
      </x:c>
      <x:c r="B592" s="5" t="inlineStr">
        <x:is>
          <x:t xml:space="preserve">딱정곤</x:t>
        </x:is>
      </x:c>
      <x:c r="C592" s="5" t="inlineStr">
        <x:is>
          <x:t xml:space="preserve">karrablast</x:t>
        </x:is>
      </x:c>
      <x:c r="D592" s="5" t="n">
        <x:v>5</x:v>
      </x:c>
      <x:c r="E592" s="10" t="n">
        <x:f>SUM(XLOOKUP('포켓몬_편집'!$AF592:$AN592,'분류_규칙'!$A$5:$A$76,'분류_규칙'!$E$5:$E$76,0))</x:f>
        <x:v>10</x:v>
      </x:c>
      <x:c r="F592" s="10" t="n">
        <x:f>SUM(XLOOKUP('포켓몬_편집'!$AF592:$AN592,'분류_규칙'!$A$5:$A$76,'분류_규칙'!$F$5:$F$76,0))</x:f>
        <x:v>7</x:v>
      </x:c>
      <x:c r="G592" s="10" t="n">
        <x:f>SUM(XLOOKUP('포켓몬_편집'!$AF592:$AN592,'분류_규칙'!$A$5:$A$76,'분류_규칙'!$G$5:$G$76,0))</x:f>
        <x:v>5</x:v>
      </x:c>
      <x:c r="H592" s="10" t="n">
        <x:f>SUM(XLOOKUP('포켓몬_편집'!$AF592:$AN592,'분류_규칙'!$A$5:$A$76,'분류_규칙'!$H$5:$H$76,0))</x:f>
        <x:v>5</x:v>
      </x:c>
      <x:c r="I592" s="10" t="n">
        <x:f>SUM(XLOOKUP('포켓몬_편집'!$AF592:$AN592,'분류_규칙'!$A$5:$A$76,'분류_규칙'!$I$5:$I$76,0))</x:f>
        <x:v>0</x:v>
      </x:c>
      <x:c r="J592" s="10" t="n">
        <x:f>SUM(XLOOKUP('포켓몬_편집'!$AF592:$AN592,'분류_규칙'!$A$5:$A$76,'분류_규칙'!$J$5:$J$76,0))</x:f>
        <x:v>2</x:v>
      </x:c>
      <x:c r="K592" s="10" t="n">
        <x:f>SUM(XLOOKUP('포켓몬_편집'!$AF592:$AN592,'분류_규칙'!$A$5:$A$76,'분류_규칙'!$K$5:$K$76,0))</x:f>
        <x:v>0</x:v>
      </x:c>
      <x:c r="L592" s="10" t="n">
        <x:f>SUM(XLOOKUP('포켓몬_편집'!$AF592:$AN592,'분류_규칙'!$A$5:$A$76,'분류_규칙'!$L$5:$L$76,0))</x:f>
        <x:v>0</x:v>
      </x:c>
      <x:c r="M592" s="10" t="n">
        <x:f>SUM(XLOOKUP('포켓몬_편집'!$AF592:$AN592,'분류_규칙'!$A$5:$A$76,'분류_규칙'!$M$5:$M$76,0))</x:f>
        <x:v>0</x:v>
      </x:c>
      <x:c r="N592" s="10" t="n">
        <x:f>SUM(XLOOKUP('포켓몬_편집'!$AF592:$AN592,'분류_규칙'!$A$5:$A$76,'분류_규칙'!$N$5:$N$76,0))</x:f>
        <x:v>0</x:v>
      </x:c>
      <x:c r="O592" s="10" t="n">
        <x:f>SUM(XLOOKUP('포켓몬_편집'!$AF592:$AN592,'분류_규칙'!$A$5:$A$76,'분류_규칙'!$O$5:$O$76,0))</x:f>
        <x:v>2</x:v>
      </x:c>
      <x:c r="P592" s="10" t="n">
        <x:f>SUM(XLOOKUP('포켓몬_편집'!$AF592:$AN592,'분류_규칙'!$A$5:$A$76,'분류_규칙'!$P$5:$P$76,0))</x:f>
        <x:v>0</x:v>
      </x:c>
    </x:row>
    <x:row r="593" ht="22" customHeight="1">
      <x:c r="A593" s="5" t="n">
        <x:v>589</x:v>
      </x:c>
      <x:c r="B593" s="5" t="inlineStr">
        <x:is>
          <x:t xml:space="preserve">슈바르고</x:t>
        </x:is>
      </x:c>
      <x:c r="C593" s="5" t="inlineStr">
        <x:is>
          <x:t xml:space="preserve">escavalier</x:t>
        </x:is>
      </x:c>
      <x:c r="D593" s="5" t="n">
        <x:v>5</x:v>
      </x:c>
      <x:c r="E593" s="10" t="n">
        <x:f>SUM(XLOOKUP('포켓몬_편집'!$AF593:$AN593,'분류_규칙'!$A$5:$A$76,'분류_규칙'!$E$5:$E$76,0))</x:f>
        <x:v>8</x:v>
      </x:c>
      <x:c r="F593" s="10" t="n">
        <x:f>SUM(XLOOKUP('포켓몬_편집'!$AF593:$AN593,'분류_규칙'!$A$5:$A$76,'분류_규칙'!$F$5:$F$76,0))</x:f>
        <x:v>8</x:v>
      </x:c>
      <x:c r="G593" s="10" t="n">
        <x:f>SUM(XLOOKUP('포켓몬_편집'!$AF593:$AN593,'분류_규칙'!$A$5:$A$76,'분류_규칙'!$G$5:$G$76,0))</x:f>
        <x:v>0</x:v>
      </x:c>
      <x:c r="H593" s="10" t="n">
        <x:f>SUM(XLOOKUP('포켓몬_편집'!$AF593:$AN593,'분류_규칙'!$A$5:$A$76,'분류_규칙'!$H$5:$H$76,0))</x:f>
        <x:v>12</x:v>
      </x:c>
      <x:c r="I593" s="10" t="n">
        <x:f>SUM(XLOOKUP('포켓몬_편집'!$AF593:$AN593,'분류_규칙'!$A$5:$A$76,'분류_규칙'!$I$5:$I$76,0))</x:f>
        <x:v>0</x:v>
      </x:c>
      <x:c r="J593" s="10" t="n">
        <x:f>SUM(XLOOKUP('포켓몬_편집'!$AF593:$AN593,'분류_규칙'!$A$5:$A$76,'분류_규칙'!$J$5:$J$76,0))</x:f>
        <x:v>0</x:v>
      </x:c>
      <x:c r="K593" s="10" t="n">
        <x:f>SUM(XLOOKUP('포켓몬_편집'!$AF593:$AN593,'분류_규칙'!$A$5:$A$76,'분류_규칙'!$K$5:$K$76,0))</x:f>
        <x:v>0</x:v>
      </x:c>
      <x:c r="L593" s="10" t="n">
        <x:f>SUM(XLOOKUP('포켓몬_편집'!$AF593:$AN593,'분류_규칙'!$A$5:$A$76,'분류_규칙'!$L$5:$L$76,0))</x:f>
        <x:v>3</x:v>
      </x:c>
      <x:c r="M593" s="10" t="n">
        <x:f>SUM(XLOOKUP('포켓몬_편집'!$AF593:$AN593,'분류_규칙'!$A$5:$A$76,'분류_규칙'!$M$5:$M$76,0))</x:f>
        <x:v>0</x:v>
      </x:c>
      <x:c r="N593" s="10" t="n">
        <x:f>SUM(XLOOKUP('포켓몬_편집'!$AF593:$AN593,'분류_규칙'!$A$5:$A$76,'분류_규칙'!$N$5:$N$76,0))</x:f>
        <x:v>0</x:v>
      </x:c>
      <x:c r="O593" s="10" t="n">
        <x:f>SUM(XLOOKUP('포켓몬_편집'!$AF593:$AN593,'분류_규칙'!$A$5:$A$76,'분류_규칙'!$O$5:$O$76,0))</x:f>
        <x:v>2</x:v>
      </x:c>
      <x:c r="P593" s="10" t="n">
        <x:f>SUM(XLOOKUP('포켓몬_편집'!$AF593:$AN593,'분류_규칙'!$A$5:$A$76,'분류_규칙'!$P$5:$P$76,0))</x:f>
        <x:v>0</x:v>
      </x:c>
    </x:row>
    <x:row r="594" ht="22" customHeight="1">
      <x:c r="A594" s="5" t="n">
        <x:v>590</x:v>
      </x:c>
      <x:c r="B594" s="5" t="inlineStr">
        <x:is>
          <x:t xml:space="preserve">깜놀버슬</x:t>
        </x:is>
      </x:c>
      <x:c r="C594" s="5" t="inlineStr">
        <x:is>
          <x:t xml:space="preserve">foongus</x:t>
        </x:is>
      </x:c>
      <x:c r="D594" s="5" t="n">
        <x:v>5</x:v>
      </x:c>
      <x:c r="E594" s="10" t="n">
        <x:f>SUM(XLOOKUP('포켓몬_편집'!$AF594:$AN594,'분류_규칙'!$A$5:$A$76,'분류_규칙'!$E$5:$E$76,0))</x:f>
        <x:v>10</x:v>
      </x:c>
      <x:c r="F594" s="10" t="n">
        <x:f>SUM(XLOOKUP('포켓몬_편집'!$AF594:$AN594,'분류_규칙'!$A$5:$A$76,'분류_규칙'!$F$5:$F$76,0))</x:f>
        <x:v>7</x:v>
      </x:c>
      <x:c r="G594" s="10" t="n">
        <x:f>SUM(XLOOKUP('포켓몬_편집'!$AF594:$AN594,'분류_규칙'!$A$5:$A$76,'분류_규칙'!$G$5:$G$76,0))</x:f>
        <x:v>5</x:v>
      </x:c>
      <x:c r="H594" s="10" t="n">
        <x:f>SUM(XLOOKUP('포켓몬_편집'!$AF594:$AN594,'분류_규칙'!$A$5:$A$76,'분류_규칙'!$H$5:$H$76,0))</x:f>
        <x:v>5</x:v>
      </x:c>
      <x:c r="I594" s="10" t="n">
        <x:f>SUM(XLOOKUP('포켓몬_편집'!$AF594:$AN594,'분류_규칙'!$A$5:$A$76,'분류_규칙'!$I$5:$I$76,0))</x:f>
        <x:v>0</x:v>
      </x:c>
      <x:c r="J594" s="10" t="n">
        <x:f>SUM(XLOOKUP('포켓몬_편집'!$AF594:$AN594,'분류_규칙'!$A$5:$A$76,'분류_규칙'!$J$5:$J$76,0))</x:f>
        <x:v>2</x:v>
      </x:c>
      <x:c r="K594" s="10" t="n">
        <x:f>SUM(XLOOKUP('포켓몬_편집'!$AF594:$AN594,'분류_규칙'!$A$5:$A$76,'분류_규칙'!$K$5:$K$76,0))</x:f>
        <x:v>0</x:v>
      </x:c>
      <x:c r="L594" s="10" t="n">
        <x:f>SUM(XLOOKUP('포켓몬_편집'!$AF594:$AN594,'분류_규칙'!$A$5:$A$76,'분류_규칙'!$L$5:$L$76,0))</x:f>
        <x:v>0</x:v>
      </x:c>
      <x:c r="M594" s="10" t="n">
        <x:f>SUM(XLOOKUP('포켓몬_편집'!$AF594:$AN594,'분류_규칙'!$A$5:$A$76,'분류_규칙'!$M$5:$M$76,0))</x:f>
        <x:v>0</x:v>
      </x:c>
      <x:c r="N594" s="10" t="n">
        <x:f>SUM(XLOOKUP('포켓몬_편집'!$AF594:$AN594,'분류_규칙'!$A$5:$A$76,'분류_규칙'!$N$5:$N$76,0))</x:f>
        <x:v>0</x:v>
      </x:c>
      <x:c r="O594" s="10" t="n">
        <x:f>SUM(XLOOKUP('포켓몬_편집'!$AF594:$AN594,'분류_규칙'!$A$5:$A$76,'분류_규칙'!$O$5:$O$76,0))</x:f>
        <x:v>2</x:v>
      </x:c>
      <x:c r="P594" s="10" t="n">
        <x:f>SUM(XLOOKUP('포켓몬_편집'!$AF594:$AN594,'분류_규칙'!$A$5:$A$76,'분류_규칙'!$P$5:$P$76,0))</x:f>
        <x:v>0</x:v>
      </x:c>
    </x:row>
    <x:row r="595" ht="22" customHeight="1">
      <x:c r="A595" s="5" t="n">
        <x:v>591</x:v>
      </x:c>
      <x:c r="B595" s="5" t="inlineStr">
        <x:is>
          <x:t xml:space="preserve">뽀록나</x:t>
        </x:is>
      </x:c>
      <x:c r="C595" s="5" t="inlineStr">
        <x:is>
          <x:t xml:space="preserve">amoonguss</x:t>
        </x:is>
      </x:c>
      <x:c r="D595" s="5" t="n">
        <x:v>5</x:v>
      </x:c>
      <x:c r="E595" s="10" t="n">
        <x:f>SUM(XLOOKUP('포켓몬_편집'!$AF595:$AN595,'분류_규칙'!$A$5:$A$76,'분류_규칙'!$E$5:$E$76,0))</x:f>
        <x:v>10</x:v>
      </x:c>
      <x:c r="F595" s="10" t="n">
        <x:f>SUM(XLOOKUP('포켓몬_편집'!$AF595:$AN595,'분류_규칙'!$A$5:$A$76,'분류_규칙'!$F$5:$F$76,0))</x:f>
        <x:v>7</x:v>
      </x:c>
      <x:c r="G595" s="10" t="n">
        <x:f>SUM(XLOOKUP('포켓몬_편집'!$AF595:$AN595,'분류_규칙'!$A$5:$A$76,'분류_규칙'!$G$5:$G$76,0))</x:f>
        <x:v>5</x:v>
      </x:c>
      <x:c r="H595" s="10" t="n">
        <x:f>SUM(XLOOKUP('포켓몬_편집'!$AF595:$AN595,'분류_규칙'!$A$5:$A$76,'분류_규칙'!$H$5:$H$76,0))</x:f>
        <x:v>5</x:v>
      </x:c>
      <x:c r="I595" s="10" t="n">
        <x:f>SUM(XLOOKUP('포켓몬_편집'!$AF595:$AN595,'분류_규칙'!$A$5:$A$76,'분류_규칙'!$I$5:$I$76,0))</x:f>
        <x:v>0</x:v>
      </x:c>
      <x:c r="J595" s="10" t="n">
        <x:f>SUM(XLOOKUP('포켓몬_편집'!$AF595:$AN595,'분류_규칙'!$A$5:$A$76,'분류_규칙'!$J$5:$J$76,0))</x:f>
        <x:v>2</x:v>
      </x:c>
      <x:c r="K595" s="10" t="n">
        <x:f>SUM(XLOOKUP('포켓몬_편집'!$AF595:$AN595,'분류_규칙'!$A$5:$A$76,'분류_규칙'!$K$5:$K$76,0))</x:f>
        <x:v>0</x:v>
      </x:c>
      <x:c r="L595" s="10" t="n">
        <x:f>SUM(XLOOKUP('포켓몬_편집'!$AF595:$AN595,'분류_규칙'!$A$5:$A$76,'분류_규칙'!$L$5:$L$76,0))</x:f>
        <x:v>0</x:v>
      </x:c>
      <x:c r="M595" s="10" t="n">
        <x:f>SUM(XLOOKUP('포켓몬_편집'!$AF595:$AN595,'분류_규칙'!$A$5:$A$76,'분류_규칙'!$M$5:$M$76,0))</x:f>
        <x:v>0</x:v>
      </x:c>
      <x:c r="N595" s="10" t="n">
        <x:f>SUM(XLOOKUP('포켓몬_편집'!$AF595:$AN595,'분류_규칙'!$A$5:$A$76,'분류_규칙'!$N$5:$N$76,0))</x:f>
        <x:v>0</x:v>
      </x:c>
      <x:c r="O595" s="10" t="n">
        <x:f>SUM(XLOOKUP('포켓몬_편집'!$AF595:$AN595,'분류_규칙'!$A$5:$A$76,'분류_규칙'!$O$5:$O$76,0))</x:f>
        <x:v>2</x:v>
      </x:c>
      <x:c r="P595" s="10" t="n">
        <x:f>SUM(XLOOKUP('포켓몬_편집'!$AF595:$AN595,'분류_규칙'!$A$5:$A$76,'분류_규칙'!$P$5:$P$76,0))</x:f>
        <x:v>0</x:v>
      </x:c>
    </x:row>
    <x:row r="596" ht="22" customHeight="1">
      <x:c r="A596" s="5" t="n">
        <x:v>592</x:v>
      </x:c>
      <x:c r="B596" s="5" t="inlineStr">
        <x:is>
          <x:t xml:space="preserve">탱그릴</x:t>
        </x:is>
      </x:c>
      <x:c r="C596" s="5" t="inlineStr">
        <x:is>
          <x:t xml:space="preserve">frillish</x:t>
        </x:is>
      </x:c>
      <x:c r="D596" s="5" t="n">
        <x:v>5</x:v>
      </x:c>
      <x:c r="E596" s="10" t="n">
        <x:f>SUM(XLOOKUP('포켓몬_편집'!$AF596:$AN596,'분류_규칙'!$A$5:$A$76,'분류_규칙'!$E$5:$E$76,0))</x:f>
        <x:v>0</x:v>
      </x:c>
      <x:c r="F596" s="10" t="n">
        <x:f>SUM(XLOOKUP('포켓몬_편집'!$AF596:$AN596,'분류_규칙'!$A$5:$A$76,'분류_규칙'!$F$5:$F$76,0))</x:f>
        <x:v>0</x:v>
      </x:c>
      <x:c r="G596" s="10" t="n">
        <x:f>SUM(XLOOKUP('포켓몬_편집'!$AF596:$AN596,'분류_규칙'!$A$5:$A$76,'분류_규칙'!$G$5:$G$76,0))</x:f>
        <x:v>0</x:v>
      </x:c>
      <x:c r="H596" s="10" t="n">
        <x:f>SUM(XLOOKUP('포켓몬_편집'!$AF596:$AN596,'분류_규칙'!$A$5:$A$76,'분류_규칙'!$H$5:$H$76,0))</x:f>
        <x:v>0</x:v>
      </x:c>
      <x:c r="I596" s="10" t="n">
        <x:f>SUM(XLOOKUP('포켓몬_편집'!$AF596:$AN596,'분류_규칙'!$A$5:$A$76,'분류_규칙'!$I$5:$I$76,0))</x:f>
        <x:v>0</x:v>
      </x:c>
      <x:c r="J596" s="10" t="n">
        <x:f>SUM(XLOOKUP('포켓몬_편집'!$AF596:$AN596,'분류_규칙'!$A$5:$A$76,'분류_규칙'!$J$5:$J$76,0))</x:f>
        <x:v>3</x:v>
      </x:c>
      <x:c r="K596" s="10" t="n">
        <x:f>SUM(XLOOKUP('포켓몬_편집'!$AF596:$AN596,'분류_규칙'!$A$5:$A$76,'분류_규칙'!$K$5:$K$76,0))</x:f>
        <x:v>0</x:v>
      </x:c>
      <x:c r="L596" s="10" t="n">
        <x:f>SUM(XLOOKUP('포켓몬_편집'!$AF596:$AN596,'분류_규칙'!$A$5:$A$76,'분류_규칙'!$L$5:$L$76,0))</x:f>
        <x:v>30</x:v>
      </x:c>
      <x:c r="M596" s="10" t="n">
        <x:f>SUM(XLOOKUP('포켓몬_편집'!$AF596:$AN596,'분류_규칙'!$A$5:$A$76,'분류_규칙'!$M$5:$M$76,0))</x:f>
        <x:v>0</x:v>
      </x:c>
      <x:c r="N596" s="10" t="n">
        <x:f>SUM(XLOOKUP('포켓몬_편집'!$AF596:$AN596,'분류_규칙'!$A$5:$A$76,'분류_규칙'!$N$5:$N$76,0))</x:f>
        <x:v>0</x:v>
      </x:c>
      <x:c r="O596" s="10" t="n">
        <x:f>SUM(XLOOKUP('포켓몬_편집'!$AF596:$AN596,'분류_규칙'!$A$5:$A$76,'분류_규칙'!$O$5:$O$76,0))</x:f>
        <x:v>0</x:v>
      </x:c>
      <x:c r="P596" s="10" t="n">
        <x:f>SUM(XLOOKUP('포켓몬_편집'!$AF596:$AN596,'분류_규칙'!$A$5:$A$76,'분류_규칙'!$P$5:$P$76,0))</x:f>
        <x:v>0</x:v>
      </x:c>
    </x:row>
    <x:row r="597" ht="22" customHeight="1">
      <x:c r="A597" s="5" t="n">
        <x:v>593</x:v>
      </x:c>
      <x:c r="B597" s="5" t="inlineStr">
        <x:is>
          <x:t xml:space="preserve">탱탱겔</x:t>
        </x:is>
      </x:c>
      <x:c r="C597" s="5" t="inlineStr">
        <x:is>
          <x:t xml:space="preserve">jellicent</x:t>
        </x:is>
      </x:c>
      <x:c r="D597" s="5" t="n">
        <x:v>5</x:v>
      </x:c>
      <x:c r="E597" s="10" t="n">
        <x:f>SUM(XLOOKUP('포켓몬_편집'!$AF597:$AN597,'분류_규칙'!$A$5:$A$76,'분류_규칙'!$E$5:$E$76,0))</x:f>
        <x:v>0</x:v>
      </x:c>
      <x:c r="F597" s="10" t="n">
        <x:f>SUM(XLOOKUP('포켓몬_편집'!$AF597:$AN597,'분류_규칙'!$A$5:$A$76,'분류_규칙'!$F$5:$F$76,0))</x:f>
        <x:v>0</x:v>
      </x:c>
      <x:c r="G597" s="10" t="n">
        <x:f>SUM(XLOOKUP('포켓몬_편집'!$AF597:$AN597,'분류_규칙'!$A$5:$A$76,'분류_규칙'!$G$5:$G$76,0))</x:f>
        <x:v>0</x:v>
      </x:c>
      <x:c r="H597" s="10" t="n">
        <x:f>SUM(XLOOKUP('포켓몬_편집'!$AF597:$AN597,'분류_규칙'!$A$5:$A$76,'분류_규칙'!$H$5:$H$76,0))</x:f>
        <x:v>0</x:v>
      </x:c>
      <x:c r="I597" s="10" t="n">
        <x:f>SUM(XLOOKUP('포켓몬_편집'!$AF597:$AN597,'분류_규칙'!$A$5:$A$76,'분류_규칙'!$I$5:$I$76,0))</x:f>
        <x:v>0</x:v>
      </x:c>
      <x:c r="J597" s="10" t="n">
        <x:f>SUM(XLOOKUP('포켓몬_편집'!$AF597:$AN597,'분류_규칙'!$A$5:$A$76,'분류_규칙'!$J$5:$J$76,0))</x:f>
        <x:v>3</x:v>
      </x:c>
      <x:c r="K597" s="10" t="n">
        <x:f>SUM(XLOOKUP('포켓몬_편집'!$AF597:$AN597,'분류_규칙'!$A$5:$A$76,'분류_규칙'!$K$5:$K$76,0))</x:f>
        <x:v>0</x:v>
      </x:c>
      <x:c r="L597" s="10" t="n">
        <x:f>SUM(XLOOKUP('포켓몬_편집'!$AF597:$AN597,'분류_규칙'!$A$5:$A$76,'분류_규칙'!$L$5:$L$76,0))</x:f>
        <x:v>30</x:v>
      </x:c>
      <x:c r="M597" s="10" t="n">
        <x:f>SUM(XLOOKUP('포켓몬_편집'!$AF597:$AN597,'분류_규칙'!$A$5:$A$76,'분류_규칙'!$M$5:$M$76,0))</x:f>
        <x:v>0</x:v>
      </x:c>
      <x:c r="N597" s="10" t="n">
        <x:f>SUM(XLOOKUP('포켓몬_편집'!$AF597:$AN597,'분류_규칙'!$A$5:$A$76,'분류_규칙'!$N$5:$N$76,0))</x:f>
        <x:v>0</x:v>
      </x:c>
      <x:c r="O597" s="10" t="n">
        <x:f>SUM(XLOOKUP('포켓몬_편집'!$AF597:$AN597,'분류_규칙'!$A$5:$A$76,'분류_규칙'!$O$5:$O$76,0))</x:f>
        <x:v>0</x:v>
      </x:c>
      <x:c r="P597" s="10" t="n">
        <x:f>SUM(XLOOKUP('포켓몬_편집'!$AF597:$AN597,'분류_규칙'!$A$5:$A$76,'분류_규칙'!$P$5:$P$76,0))</x:f>
        <x:v>0</x:v>
      </x:c>
    </x:row>
    <x:row r="598" ht="22" customHeight="1">
      <x:c r="A598" s="5" t="n">
        <x:v>594</x:v>
      </x:c>
      <x:c r="B598" s="5" t="inlineStr">
        <x:is>
          <x:t xml:space="preserve">맘복치</x:t>
        </x:is>
      </x:c>
      <x:c r="C598" s="5" t="inlineStr">
        <x:is>
          <x:t xml:space="preserve">alomomola</x:t>
        </x:is>
      </x:c>
      <x:c r="D598" s="5" t="n">
        <x:v>5</x:v>
      </x:c>
      <x:c r="E598" s="10" t="n">
        <x:f>SUM(XLOOKUP('포켓몬_편집'!$AF598:$AN598,'분류_규칙'!$A$5:$A$76,'분류_규칙'!$E$5:$E$76,0))</x:f>
        <x:v>0</x:v>
      </x:c>
      <x:c r="F598" s="10" t="n">
        <x:f>SUM(XLOOKUP('포켓몬_편집'!$AF598:$AN598,'분류_규칙'!$A$5:$A$76,'분류_규칙'!$F$5:$F$76,0))</x:f>
        <x:v>0</x:v>
      </x:c>
      <x:c r="G598" s="10" t="n">
        <x:f>SUM(XLOOKUP('포켓몬_편집'!$AF598:$AN598,'분류_규칙'!$A$5:$A$76,'분류_규칙'!$G$5:$G$76,0))</x:f>
        <x:v>0</x:v>
      </x:c>
      <x:c r="H598" s="10" t="n">
        <x:f>SUM(XLOOKUP('포켓몬_편집'!$AF598:$AN598,'분류_규칙'!$A$5:$A$76,'분류_규칙'!$H$5:$H$76,0))</x:f>
        <x:v>0</x:v>
      </x:c>
      <x:c r="I598" s="10" t="n">
        <x:f>SUM(XLOOKUP('포켓몬_편집'!$AF598:$AN598,'분류_규칙'!$A$5:$A$76,'분류_규칙'!$I$5:$I$76,0))</x:f>
        <x:v>0</x:v>
      </x:c>
      <x:c r="J598" s="10" t="n">
        <x:f>SUM(XLOOKUP('포켓몬_편집'!$AF598:$AN598,'분류_규칙'!$A$5:$A$76,'분류_규칙'!$J$5:$J$76,0))</x:f>
        <x:v>3</x:v>
      </x:c>
      <x:c r="K598" s="10" t="n">
        <x:f>SUM(XLOOKUP('포켓몬_편집'!$AF598:$AN598,'분류_규칙'!$A$5:$A$76,'분류_규칙'!$K$5:$K$76,0))</x:f>
        <x:v>0</x:v>
      </x:c>
      <x:c r="L598" s="10" t="n">
        <x:f>SUM(XLOOKUP('포켓몬_편집'!$AF598:$AN598,'분류_규칙'!$A$5:$A$76,'분류_규칙'!$L$5:$L$76,0))</x:f>
        <x:v>30</x:v>
      </x:c>
      <x:c r="M598" s="10" t="n">
        <x:f>SUM(XLOOKUP('포켓몬_편집'!$AF598:$AN598,'분류_규칙'!$A$5:$A$76,'분류_규칙'!$M$5:$M$76,0))</x:f>
        <x:v>0</x:v>
      </x:c>
      <x:c r="N598" s="10" t="n">
        <x:f>SUM(XLOOKUP('포켓몬_편집'!$AF598:$AN598,'분류_규칙'!$A$5:$A$76,'분류_규칙'!$N$5:$N$76,0))</x:f>
        <x:v>0</x:v>
      </x:c>
      <x:c r="O598" s="10" t="n">
        <x:f>SUM(XLOOKUP('포켓몬_편집'!$AF598:$AN598,'분류_규칙'!$A$5:$A$76,'분류_규칙'!$O$5:$O$76,0))</x:f>
        <x:v>0</x:v>
      </x:c>
      <x:c r="P598" s="10" t="n">
        <x:f>SUM(XLOOKUP('포켓몬_편집'!$AF598:$AN598,'분류_규칙'!$A$5:$A$76,'분류_규칙'!$P$5:$P$76,0))</x:f>
        <x:v>0</x:v>
      </x:c>
    </x:row>
    <x:row r="599" ht="22" customHeight="1">
      <x:c r="A599" s="5" t="n">
        <x:v>595</x:v>
      </x:c>
      <x:c r="B599" s="5" t="inlineStr">
        <x:is>
          <x:t xml:space="preserve">파쪼옥</x:t>
        </x:is>
      </x:c>
      <x:c r="C599" s="5" t="inlineStr">
        <x:is>
          <x:t xml:space="preserve">joltik</x:t>
        </x:is>
      </x:c>
      <x:c r="D599" s="5" t="n">
        <x:v>5</x:v>
      </x:c>
      <x:c r="E599" s="10" t="n">
        <x:f>SUM(XLOOKUP('포켓몬_편집'!$AF599:$AN599,'분류_규칙'!$A$5:$A$76,'분류_규칙'!$E$5:$E$76,0))</x:f>
        <x:v>10</x:v>
      </x:c>
      <x:c r="F599" s="10" t="n">
        <x:f>SUM(XLOOKUP('포켓몬_편집'!$AF599:$AN599,'분류_규칙'!$A$5:$A$76,'분류_규칙'!$F$5:$F$76,0))</x:f>
        <x:v>7</x:v>
      </x:c>
      <x:c r="G599" s="10" t="n">
        <x:f>SUM(XLOOKUP('포켓몬_편집'!$AF599:$AN599,'분류_규칙'!$A$5:$A$76,'분류_규칙'!$G$5:$G$76,0))</x:f>
        <x:v>5</x:v>
      </x:c>
      <x:c r="H599" s="10" t="n">
        <x:f>SUM(XLOOKUP('포켓몬_편집'!$AF599:$AN599,'분류_규칙'!$A$5:$A$76,'분류_규칙'!$H$5:$H$76,0))</x:f>
        <x:v>5</x:v>
      </x:c>
      <x:c r="I599" s="10" t="n">
        <x:f>SUM(XLOOKUP('포켓몬_편집'!$AF599:$AN599,'분류_규칙'!$A$5:$A$76,'분류_규칙'!$I$5:$I$76,0))</x:f>
        <x:v>0</x:v>
      </x:c>
      <x:c r="J599" s="10" t="n">
        <x:f>SUM(XLOOKUP('포켓몬_편집'!$AF599:$AN599,'분류_규칙'!$A$5:$A$76,'분류_규칙'!$J$5:$J$76,0))</x:f>
        <x:v>2</x:v>
      </x:c>
      <x:c r="K599" s="10" t="n">
        <x:f>SUM(XLOOKUP('포켓몬_편집'!$AF599:$AN599,'분류_규칙'!$A$5:$A$76,'분류_규칙'!$K$5:$K$76,0))</x:f>
        <x:v>0</x:v>
      </x:c>
      <x:c r="L599" s="10" t="n">
        <x:f>SUM(XLOOKUP('포켓몬_편집'!$AF599:$AN599,'분류_규칙'!$A$5:$A$76,'분류_규칙'!$L$5:$L$76,0))</x:f>
        <x:v>0</x:v>
      </x:c>
      <x:c r="M599" s="10" t="n">
        <x:f>SUM(XLOOKUP('포켓몬_편집'!$AF599:$AN599,'분류_규칙'!$A$5:$A$76,'분류_규칙'!$M$5:$M$76,0))</x:f>
        <x:v>0</x:v>
      </x:c>
      <x:c r="N599" s="10" t="n">
        <x:f>SUM(XLOOKUP('포켓몬_편집'!$AF599:$AN599,'분류_규칙'!$A$5:$A$76,'분류_규칙'!$N$5:$N$76,0))</x:f>
        <x:v>0</x:v>
      </x:c>
      <x:c r="O599" s="10" t="n">
        <x:f>SUM(XLOOKUP('포켓몬_편집'!$AF599:$AN599,'분류_규칙'!$A$5:$A$76,'분류_규칙'!$O$5:$O$76,0))</x:f>
        <x:v>2</x:v>
      </x:c>
      <x:c r="P599" s="10" t="n">
        <x:f>SUM(XLOOKUP('포켓몬_편집'!$AF599:$AN599,'분류_규칙'!$A$5:$A$76,'분류_규칙'!$P$5:$P$76,0))</x:f>
        <x:v>0</x:v>
      </x:c>
    </x:row>
    <x:row r="600" ht="22" customHeight="1">
      <x:c r="A600" s="5" t="n">
        <x:v>596</x:v>
      </x:c>
      <x:c r="B600" s="5" t="inlineStr">
        <x:is>
          <x:t xml:space="preserve">전툴라</x:t>
        </x:is>
      </x:c>
      <x:c r="C600" s="5" t="inlineStr">
        <x:is>
          <x:t xml:space="preserve">galvantula</x:t>
        </x:is>
      </x:c>
      <x:c r="D600" s="5" t="n">
        <x:v>5</x:v>
      </x:c>
      <x:c r="E600" s="10" t="n">
        <x:f>SUM(XLOOKUP('포켓몬_편집'!$AF600:$AN600,'분류_규칙'!$A$5:$A$76,'분류_규칙'!$E$5:$E$76,0))</x:f>
        <x:v>10</x:v>
      </x:c>
      <x:c r="F600" s="10" t="n">
        <x:f>SUM(XLOOKUP('포켓몬_편집'!$AF600:$AN600,'분류_규칙'!$A$5:$A$76,'분류_규칙'!$F$5:$F$76,0))</x:f>
        <x:v>7</x:v>
      </x:c>
      <x:c r="G600" s="10" t="n">
        <x:f>SUM(XLOOKUP('포켓몬_편집'!$AF600:$AN600,'분류_규칙'!$A$5:$A$76,'분류_규칙'!$G$5:$G$76,0))</x:f>
        <x:v>5</x:v>
      </x:c>
      <x:c r="H600" s="10" t="n">
        <x:f>SUM(XLOOKUP('포켓몬_편집'!$AF600:$AN600,'분류_규칙'!$A$5:$A$76,'분류_규칙'!$H$5:$H$76,0))</x:f>
        <x:v>5</x:v>
      </x:c>
      <x:c r="I600" s="10" t="n">
        <x:f>SUM(XLOOKUP('포켓몬_편집'!$AF600:$AN600,'분류_규칙'!$A$5:$A$76,'분류_규칙'!$I$5:$I$76,0))</x:f>
        <x:v>0</x:v>
      </x:c>
      <x:c r="J600" s="10" t="n">
        <x:f>SUM(XLOOKUP('포켓몬_편집'!$AF600:$AN600,'분류_규칙'!$A$5:$A$76,'분류_규칙'!$J$5:$J$76,0))</x:f>
        <x:v>2</x:v>
      </x:c>
      <x:c r="K600" s="10" t="n">
        <x:f>SUM(XLOOKUP('포켓몬_편집'!$AF600:$AN600,'분류_규칙'!$A$5:$A$76,'분류_규칙'!$K$5:$K$76,0))</x:f>
        <x:v>0</x:v>
      </x:c>
      <x:c r="L600" s="10" t="n">
        <x:f>SUM(XLOOKUP('포켓몬_편집'!$AF600:$AN600,'분류_규칙'!$A$5:$A$76,'분류_규칙'!$L$5:$L$76,0))</x:f>
        <x:v>0</x:v>
      </x:c>
      <x:c r="M600" s="10" t="n">
        <x:f>SUM(XLOOKUP('포켓몬_편집'!$AF600:$AN600,'분류_규칙'!$A$5:$A$76,'분류_규칙'!$M$5:$M$76,0))</x:f>
        <x:v>0</x:v>
      </x:c>
      <x:c r="N600" s="10" t="n">
        <x:f>SUM(XLOOKUP('포켓몬_편집'!$AF600:$AN600,'분류_규칙'!$A$5:$A$76,'분류_규칙'!$N$5:$N$76,0))</x:f>
        <x:v>0</x:v>
      </x:c>
      <x:c r="O600" s="10" t="n">
        <x:f>SUM(XLOOKUP('포켓몬_편집'!$AF600:$AN600,'분류_규칙'!$A$5:$A$76,'분류_규칙'!$O$5:$O$76,0))</x:f>
        <x:v>2</x:v>
      </x:c>
      <x:c r="P600" s="10" t="n">
        <x:f>SUM(XLOOKUP('포켓몬_편집'!$AF600:$AN600,'분류_규칙'!$A$5:$A$76,'분류_규칙'!$P$5:$P$76,0))</x:f>
        <x:v>0</x:v>
      </x:c>
    </x:row>
    <x:row r="601" ht="22" customHeight="1">
      <x:c r="A601" s="5" t="n">
        <x:v>597</x:v>
      </x:c>
      <x:c r="B601" s="5" t="inlineStr">
        <x:is>
          <x:t xml:space="preserve">철시드</x:t>
        </x:is>
      </x:c>
      <x:c r="C601" s="5" t="inlineStr">
        <x:is>
          <x:t xml:space="preserve">ferroseed</x:t>
        </x:is>
      </x:c>
      <x:c r="D601" s="5" t="n">
        <x:v>5</x:v>
      </x:c>
      <x:c r="E601" s="10" t="n">
        <x:f>SUM(XLOOKUP('포켓몬_편집'!$AF601:$AN601,'분류_규칙'!$A$5:$A$76,'분류_규칙'!$E$5:$E$76,0))</x:f>
        <x:v>10</x:v>
      </x:c>
      <x:c r="F601" s="10" t="n">
        <x:f>SUM(XLOOKUP('포켓몬_편집'!$AF601:$AN601,'분류_규칙'!$A$5:$A$76,'분류_규칙'!$F$5:$F$76,0))</x:f>
        <x:v>7</x:v>
      </x:c>
      <x:c r="G601" s="10" t="n">
        <x:f>SUM(XLOOKUP('포켓몬_편집'!$AF601:$AN601,'분류_규칙'!$A$5:$A$76,'분류_규칙'!$G$5:$G$76,0))</x:f>
        <x:v>5</x:v>
      </x:c>
      <x:c r="H601" s="10" t="n">
        <x:f>SUM(XLOOKUP('포켓몬_편집'!$AF601:$AN601,'분류_규칙'!$A$5:$A$76,'분류_규칙'!$H$5:$H$76,0))</x:f>
        <x:v>5</x:v>
      </x:c>
      <x:c r="I601" s="10" t="n">
        <x:f>SUM(XLOOKUP('포켓몬_편집'!$AF601:$AN601,'분류_규칙'!$A$5:$A$76,'분류_규칙'!$I$5:$I$76,0))</x:f>
        <x:v>0</x:v>
      </x:c>
      <x:c r="J601" s="10" t="n">
        <x:f>SUM(XLOOKUP('포켓몬_편집'!$AF601:$AN601,'분류_규칙'!$A$5:$A$76,'분류_규칙'!$J$5:$J$76,0))</x:f>
        <x:v>2</x:v>
      </x:c>
      <x:c r="K601" s="10" t="n">
        <x:f>SUM(XLOOKUP('포켓몬_편집'!$AF601:$AN601,'분류_규칙'!$A$5:$A$76,'분류_규칙'!$K$5:$K$76,0))</x:f>
        <x:v>0</x:v>
      </x:c>
      <x:c r="L601" s="10" t="n">
        <x:f>SUM(XLOOKUP('포켓몬_편집'!$AF601:$AN601,'분류_규칙'!$A$5:$A$76,'분류_규칙'!$L$5:$L$76,0))</x:f>
        <x:v>0</x:v>
      </x:c>
      <x:c r="M601" s="10" t="n">
        <x:f>SUM(XLOOKUP('포켓몬_편집'!$AF601:$AN601,'분류_규칙'!$A$5:$A$76,'분류_규칙'!$M$5:$M$76,0))</x:f>
        <x:v>0</x:v>
      </x:c>
      <x:c r="N601" s="10" t="n">
        <x:f>SUM(XLOOKUP('포켓몬_편집'!$AF601:$AN601,'분류_규칙'!$A$5:$A$76,'분류_규칙'!$N$5:$N$76,0))</x:f>
        <x:v>0</x:v>
      </x:c>
      <x:c r="O601" s="10" t="n">
        <x:f>SUM(XLOOKUP('포켓몬_편집'!$AF601:$AN601,'분류_규칙'!$A$5:$A$76,'분류_규칙'!$O$5:$O$76,0))</x:f>
        <x:v>2</x:v>
      </x:c>
      <x:c r="P601" s="10" t="n">
        <x:f>SUM(XLOOKUP('포켓몬_편집'!$AF601:$AN601,'분류_규칙'!$A$5:$A$76,'분류_규칙'!$P$5:$P$76,0))</x:f>
        <x:v>0</x:v>
      </x:c>
    </x:row>
    <x:row r="602" ht="22" customHeight="1">
      <x:c r="A602" s="5" t="n">
        <x:v>598</x:v>
      </x:c>
      <x:c r="B602" s="5" t="inlineStr">
        <x:is>
          <x:t xml:space="preserve">너트령</x:t>
        </x:is>
      </x:c>
      <x:c r="C602" s="5" t="inlineStr">
        <x:is>
          <x:t xml:space="preserve">ferrothorn</x:t>
        </x:is>
      </x:c>
      <x:c r="D602" s="5" t="n">
        <x:v>5</x:v>
      </x:c>
      <x:c r="E602" s="10" t="n">
        <x:f>SUM(XLOOKUP('포켓몬_편집'!$AF602:$AN602,'분류_규칙'!$A$5:$A$76,'분류_규칙'!$E$5:$E$76,0))</x:f>
        <x:v>10</x:v>
      </x:c>
      <x:c r="F602" s="10" t="n">
        <x:f>SUM(XLOOKUP('포켓몬_편집'!$AF602:$AN602,'분류_규칙'!$A$5:$A$76,'분류_규칙'!$F$5:$F$76,0))</x:f>
        <x:v>7</x:v>
      </x:c>
      <x:c r="G602" s="10" t="n">
        <x:f>SUM(XLOOKUP('포켓몬_편집'!$AF602:$AN602,'분류_규칙'!$A$5:$A$76,'분류_규칙'!$G$5:$G$76,0))</x:f>
        <x:v>5</x:v>
      </x:c>
      <x:c r="H602" s="10" t="n">
        <x:f>SUM(XLOOKUP('포켓몬_편집'!$AF602:$AN602,'분류_규칙'!$A$5:$A$76,'분류_규칙'!$H$5:$H$76,0))</x:f>
        <x:v>5</x:v>
      </x:c>
      <x:c r="I602" s="10" t="n">
        <x:f>SUM(XLOOKUP('포켓몬_편집'!$AF602:$AN602,'분류_규칙'!$A$5:$A$76,'분류_규칙'!$I$5:$I$76,0))</x:f>
        <x:v>0</x:v>
      </x:c>
      <x:c r="J602" s="10" t="n">
        <x:f>SUM(XLOOKUP('포켓몬_편집'!$AF602:$AN602,'분류_규칙'!$A$5:$A$76,'분류_규칙'!$J$5:$J$76,0))</x:f>
        <x:v>2</x:v>
      </x:c>
      <x:c r="K602" s="10" t="n">
        <x:f>SUM(XLOOKUP('포켓몬_편집'!$AF602:$AN602,'분류_규칙'!$A$5:$A$76,'분류_규칙'!$K$5:$K$76,0))</x:f>
        <x:v>0</x:v>
      </x:c>
      <x:c r="L602" s="10" t="n">
        <x:f>SUM(XLOOKUP('포켓몬_편집'!$AF602:$AN602,'분류_규칙'!$A$5:$A$76,'분류_규칙'!$L$5:$L$76,0))</x:f>
        <x:v>0</x:v>
      </x:c>
      <x:c r="M602" s="10" t="n">
        <x:f>SUM(XLOOKUP('포켓몬_편집'!$AF602:$AN602,'분류_규칙'!$A$5:$A$76,'분류_규칙'!$M$5:$M$76,0))</x:f>
        <x:v>0</x:v>
      </x:c>
      <x:c r="N602" s="10" t="n">
        <x:f>SUM(XLOOKUP('포켓몬_편집'!$AF602:$AN602,'분류_규칙'!$A$5:$A$76,'분류_규칙'!$N$5:$N$76,0))</x:f>
        <x:v>0</x:v>
      </x:c>
      <x:c r="O602" s="10" t="n">
        <x:f>SUM(XLOOKUP('포켓몬_편집'!$AF602:$AN602,'분류_규칙'!$A$5:$A$76,'분류_규칙'!$O$5:$O$76,0))</x:f>
        <x:v>2</x:v>
      </x:c>
      <x:c r="P602" s="10" t="n">
        <x:f>SUM(XLOOKUP('포켓몬_편집'!$AF602:$AN602,'분류_규칙'!$A$5:$A$76,'분류_규칙'!$P$5:$P$76,0))</x:f>
        <x:v>0</x:v>
      </x:c>
    </x:row>
    <x:row r="603" ht="22" customHeight="1">
      <x:c r="A603" s="5" t="n">
        <x:v>599</x:v>
      </x:c>
      <x:c r="B603" s="5" t="inlineStr">
        <x:is>
          <x:t xml:space="preserve">기어르</x:t>
        </x:is>
      </x:c>
      <x:c r="C603" s="5" t="inlineStr">
        <x:is>
          <x:t xml:space="preserve">klink</x:t>
        </x:is>
      </x:c>
      <x:c r="D603" s="5" t="n">
        <x:v>5</x:v>
      </x:c>
      <x:c r="E603" s="10" t="n">
        <x:f>SUM(XLOOKUP('포켓몬_편집'!$AF603:$AN603,'분류_규칙'!$A$5:$A$76,'분류_규칙'!$E$5:$E$76,0))</x:f>
        <x:v>0</x:v>
      </x:c>
      <x:c r="F603" s="10" t="n">
        <x:f>SUM(XLOOKUP('포켓몬_편집'!$AF603:$AN603,'분류_규칙'!$A$5:$A$76,'분류_규칙'!$F$5:$F$76,0))</x:f>
        <x:v>0</x:v>
      </x:c>
      <x:c r="G603" s="10" t="n">
        <x:f>SUM(XLOOKUP('포켓몬_편집'!$AF603:$AN603,'분류_규칙'!$A$5:$A$76,'분류_규칙'!$G$5:$G$76,0))</x:f>
        <x:v>0</x:v>
      </x:c>
      <x:c r="H603" s="10" t="n">
        <x:f>SUM(XLOOKUP('포켓몬_편집'!$AF603:$AN603,'분류_규칙'!$A$5:$A$76,'분류_규칙'!$H$5:$H$76,0))</x:f>
        <x:v>0</x:v>
      </x:c>
      <x:c r="I603" s="10" t="n">
        <x:f>SUM(XLOOKUP('포켓몬_편집'!$AF603:$AN603,'분류_규칙'!$A$5:$A$76,'분류_규칙'!$I$5:$I$76,0))</x:f>
        <x:v>0</x:v>
      </x:c>
      <x:c r="J603" s="10" t="n">
        <x:f>SUM(XLOOKUP('포켓몬_편집'!$AF603:$AN603,'분류_규칙'!$A$5:$A$76,'분류_규칙'!$J$5:$J$76,0))</x:f>
        <x:v>0</x:v>
      </x:c>
      <x:c r="K603" s="10" t="n">
        <x:f>SUM(XLOOKUP('포켓몬_편집'!$AF603:$AN603,'분류_규칙'!$A$5:$A$76,'분류_규칙'!$K$5:$K$76,0))</x:f>
        <x:v>0</x:v>
      </x:c>
      <x:c r="L603" s="10" t="n">
        <x:f>SUM(XLOOKUP('포켓몬_편집'!$AF603:$AN603,'분류_규칙'!$A$5:$A$76,'분류_규칙'!$L$5:$L$76,0))</x:f>
        <x:v>0</x:v>
      </x:c>
      <x:c r="M603" s="10" t="n">
        <x:f>SUM(XLOOKUP('포켓몬_편집'!$AF603:$AN603,'분류_규칙'!$A$5:$A$76,'분류_규칙'!$M$5:$M$76,0))</x:f>
        <x:v>0</x:v>
      </x:c>
      <x:c r="N603" s="10" t="n">
        <x:f>SUM(XLOOKUP('포켓몬_편집'!$AF603:$AN603,'분류_규칙'!$A$5:$A$76,'분류_규칙'!$N$5:$N$76,0))</x:f>
        <x:v>0</x:v>
      </x:c>
      <x:c r="O603" s="10" t="n">
        <x:f>SUM(XLOOKUP('포켓몬_편집'!$AF603:$AN603,'분류_규칙'!$A$5:$A$76,'분류_규칙'!$O$5:$O$76,0))</x:f>
        <x:v>30</x:v>
      </x:c>
      <x:c r="P603" s="10" t="n">
        <x:f>SUM(XLOOKUP('포켓몬_편집'!$AF603:$AN603,'분류_규칙'!$A$5:$A$76,'분류_규칙'!$P$5:$P$76,0))</x:f>
        <x:v>8</x:v>
      </x:c>
    </x:row>
    <x:row r="604" ht="22" customHeight="1">
      <x:c r="A604" s="5" t="n">
        <x:v>600</x:v>
      </x:c>
      <x:c r="B604" s="5" t="inlineStr">
        <x:is>
          <x:t xml:space="preserve">기기어르</x:t>
        </x:is>
      </x:c>
      <x:c r="C604" s="5" t="inlineStr">
        <x:is>
          <x:t xml:space="preserve">klang</x:t>
        </x:is>
      </x:c>
      <x:c r="D604" s="5" t="n">
        <x:v>5</x:v>
      </x:c>
      <x:c r="E604" s="10" t="n">
        <x:f>SUM(XLOOKUP('포켓몬_편집'!$AF604:$AN604,'분류_규칙'!$A$5:$A$76,'분류_규칙'!$E$5:$E$76,0))</x:f>
        <x:v>0</x:v>
      </x:c>
      <x:c r="F604" s="10" t="n">
        <x:f>SUM(XLOOKUP('포켓몬_편집'!$AF604:$AN604,'분류_규칙'!$A$5:$A$76,'분류_규칙'!$F$5:$F$76,0))</x:f>
        <x:v>0</x:v>
      </x:c>
      <x:c r="G604" s="10" t="n">
        <x:f>SUM(XLOOKUP('포켓몬_편집'!$AF604:$AN604,'분류_규칙'!$A$5:$A$76,'분류_규칙'!$G$5:$G$76,0))</x:f>
        <x:v>0</x:v>
      </x:c>
      <x:c r="H604" s="10" t="n">
        <x:f>SUM(XLOOKUP('포켓몬_편집'!$AF604:$AN604,'분류_규칙'!$A$5:$A$76,'분류_규칙'!$H$5:$H$76,0))</x:f>
        <x:v>0</x:v>
      </x:c>
      <x:c r="I604" s="10" t="n">
        <x:f>SUM(XLOOKUP('포켓몬_편집'!$AF604:$AN604,'분류_규칙'!$A$5:$A$76,'분류_규칙'!$I$5:$I$76,0))</x:f>
        <x:v>0</x:v>
      </x:c>
      <x:c r="J604" s="10" t="n">
        <x:f>SUM(XLOOKUP('포켓몬_편집'!$AF604:$AN604,'분류_규칙'!$A$5:$A$76,'분류_규칙'!$J$5:$J$76,0))</x:f>
        <x:v>0</x:v>
      </x:c>
      <x:c r="K604" s="10" t="n">
        <x:f>SUM(XLOOKUP('포켓몬_편집'!$AF604:$AN604,'분류_규칙'!$A$5:$A$76,'분류_규칙'!$K$5:$K$76,0))</x:f>
        <x:v>0</x:v>
      </x:c>
      <x:c r="L604" s="10" t="n">
        <x:f>SUM(XLOOKUP('포켓몬_편집'!$AF604:$AN604,'분류_규칙'!$A$5:$A$76,'분류_규칙'!$L$5:$L$76,0))</x:f>
        <x:v>0</x:v>
      </x:c>
      <x:c r="M604" s="10" t="n">
        <x:f>SUM(XLOOKUP('포켓몬_편집'!$AF604:$AN604,'분류_규칙'!$A$5:$A$76,'분류_규칙'!$M$5:$M$76,0))</x:f>
        <x:v>0</x:v>
      </x:c>
      <x:c r="N604" s="10" t="n">
        <x:f>SUM(XLOOKUP('포켓몬_편집'!$AF604:$AN604,'분류_규칙'!$A$5:$A$76,'분류_규칙'!$N$5:$N$76,0))</x:f>
        <x:v>0</x:v>
      </x:c>
      <x:c r="O604" s="10" t="n">
        <x:f>SUM(XLOOKUP('포켓몬_편집'!$AF604:$AN604,'분류_규칙'!$A$5:$A$76,'분류_규칙'!$O$5:$O$76,0))</x:f>
        <x:v>30</x:v>
      </x:c>
      <x:c r="P604" s="10" t="n">
        <x:f>SUM(XLOOKUP('포켓몬_편집'!$AF604:$AN604,'분류_규칙'!$A$5:$A$76,'분류_규칙'!$P$5:$P$76,0))</x:f>
        <x:v>8</x:v>
      </x:c>
    </x:row>
    <x:row r="605" ht="22" customHeight="1">
      <x:c r="A605" s="5" t="n">
        <x:v>601</x:v>
      </x:c>
      <x:c r="B605" s="5" t="inlineStr">
        <x:is>
          <x:t xml:space="preserve">기기기어르</x:t>
        </x:is>
      </x:c>
      <x:c r="C605" s="5" t="inlineStr">
        <x:is>
          <x:t xml:space="preserve">klinklang</x:t>
        </x:is>
      </x:c>
      <x:c r="D605" s="5" t="n">
        <x:v>5</x:v>
      </x:c>
      <x:c r="E605" s="10" t="n">
        <x:f>SUM(XLOOKUP('포켓몬_편집'!$AF605:$AN605,'분류_규칙'!$A$5:$A$76,'분류_규칙'!$E$5:$E$76,0))</x:f>
        <x:v>0</x:v>
      </x:c>
      <x:c r="F605" s="10" t="n">
        <x:f>SUM(XLOOKUP('포켓몬_편집'!$AF605:$AN605,'분류_규칙'!$A$5:$A$76,'분류_규칙'!$F$5:$F$76,0))</x:f>
        <x:v>0</x:v>
      </x:c>
      <x:c r="G605" s="10" t="n">
        <x:f>SUM(XLOOKUP('포켓몬_편집'!$AF605:$AN605,'분류_규칙'!$A$5:$A$76,'분류_규칙'!$G$5:$G$76,0))</x:f>
        <x:v>0</x:v>
      </x:c>
      <x:c r="H605" s="10" t="n">
        <x:f>SUM(XLOOKUP('포켓몬_편집'!$AF605:$AN605,'분류_규칙'!$A$5:$A$76,'분류_규칙'!$H$5:$H$76,0))</x:f>
        <x:v>0</x:v>
      </x:c>
      <x:c r="I605" s="10" t="n">
        <x:f>SUM(XLOOKUP('포켓몬_편집'!$AF605:$AN605,'분류_규칙'!$A$5:$A$76,'분류_규칙'!$I$5:$I$76,0))</x:f>
        <x:v>0</x:v>
      </x:c>
      <x:c r="J605" s="10" t="n">
        <x:f>SUM(XLOOKUP('포켓몬_편집'!$AF605:$AN605,'분류_규칙'!$A$5:$A$76,'분류_규칙'!$J$5:$J$76,0))</x:f>
        <x:v>0</x:v>
      </x:c>
      <x:c r="K605" s="10" t="n">
        <x:f>SUM(XLOOKUP('포켓몬_편집'!$AF605:$AN605,'분류_규칙'!$A$5:$A$76,'분류_규칙'!$K$5:$K$76,0))</x:f>
        <x:v>0</x:v>
      </x:c>
      <x:c r="L605" s="10" t="n">
        <x:f>SUM(XLOOKUP('포켓몬_편집'!$AF605:$AN605,'분류_규칙'!$A$5:$A$76,'분류_규칙'!$L$5:$L$76,0))</x:f>
        <x:v>0</x:v>
      </x:c>
      <x:c r="M605" s="10" t="n">
        <x:f>SUM(XLOOKUP('포켓몬_편집'!$AF605:$AN605,'분류_규칙'!$A$5:$A$76,'분류_규칙'!$M$5:$M$76,0))</x:f>
        <x:v>0</x:v>
      </x:c>
      <x:c r="N605" s="10" t="n">
        <x:f>SUM(XLOOKUP('포켓몬_편집'!$AF605:$AN605,'분류_규칙'!$A$5:$A$76,'분류_규칙'!$N$5:$N$76,0))</x:f>
        <x:v>0</x:v>
      </x:c>
      <x:c r="O605" s="10" t="n">
        <x:f>SUM(XLOOKUP('포켓몬_편집'!$AF605:$AN605,'분류_규칙'!$A$5:$A$76,'분류_규칙'!$O$5:$O$76,0))</x:f>
        <x:v>30</x:v>
      </x:c>
      <x:c r="P605" s="10" t="n">
        <x:f>SUM(XLOOKUP('포켓몬_편집'!$AF605:$AN605,'분류_규칙'!$A$5:$A$76,'분류_규칙'!$P$5:$P$76,0))</x:f>
        <x:v>8</x:v>
      </x:c>
    </x:row>
    <x:row r="606" ht="22" customHeight="1">
      <x:c r="A606" s="5" t="n">
        <x:v>602</x:v>
      </x:c>
      <x:c r="B606" s="5" t="inlineStr">
        <x:is>
          <x:t xml:space="preserve">저리어</x:t>
        </x:is>
      </x:c>
      <x:c r="C606" s="5" t="inlineStr">
        <x:is>
          <x:t xml:space="preserve">tynamo</x:t>
        </x:is>
      </x:c>
      <x:c r="D606" s="5" t="n">
        <x:v>5</x:v>
      </x:c>
      <x:c r="E606" s="10" t="n">
        <x:f>SUM(XLOOKUP('포켓몬_편집'!$AF606:$AN606,'분류_규칙'!$A$5:$A$76,'분류_규칙'!$E$5:$E$76,0))</x:f>
        <x:v>0</x:v>
      </x:c>
      <x:c r="F606" s="10" t="n">
        <x:f>SUM(XLOOKUP('포켓몬_편집'!$AF606:$AN606,'분류_규칙'!$A$5:$A$76,'분류_규칙'!$F$5:$F$76,0))</x:f>
        <x:v>0</x:v>
      </x:c>
      <x:c r="G606" s="10" t="n">
        <x:f>SUM(XLOOKUP('포켓몬_편집'!$AF606:$AN606,'분류_규칙'!$A$5:$A$76,'분류_규칙'!$G$5:$G$76,0))</x:f>
        <x:v>0</x:v>
      </x:c>
      <x:c r="H606" s="10" t="n">
        <x:f>SUM(XLOOKUP('포켓몬_편집'!$AF606:$AN606,'분류_규칙'!$A$5:$A$76,'분류_규칙'!$H$5:$H$76,0))</x:f>
        <x:v>0</x:v>
      </x:c>
      <x:c r="I606" s="10" t="n">
        <x:f>SUM(XLOOKUP('포켓몬_편집'!$AF606:$AN606,'분류_규칙'!$A$5:$A$76,'분류_규칙'!$I$5:$I$76,0))</x:f>
        <x:v>0</x:v>
      </x:c>
      <x:c r="J606" s="10" t="n">
        <x:f>SUM(XLOOKUP('포켓몬_편집'!$AF606:$AN606,'분류_규칙'!$A$5:$A$76,'분류_규칙'!$J$5:$J$76,0))</x:f>
        <x:v>3</x:v>
      </x:c>
      <x:c r="K606" s="10" t="n">
        <x:f>SUM(XLOOKUP('포켓몬_편집'!$AF606:$AN606,'분류_규칙'!$A$5:$A$76,'분류_규칙'!$K$5:$K$76,0))</x:f>
        <x:v>0</x:v>
      </x:c>
      <x:c r="L606" s="10" t="n">
        <x:f>SUM(XLOOKUP('포켓몬_편집'!$AF606:$AN606,'분류_규칙'!$A$5:$A$76,'분류_규칙'!$L$5:$L$76,0))</x:f>
        <x:v>30</x:v>
      </x:c>
      <x:c r="M606" s="10" t="n">
        <x:f>SUM(XLOOKUP('포켓몬_편집'!$AF606:$AN606,'분류_규칙'!$A$5:$A$76,'분류_규칙'!$M$5:$M$76,0))</x:f>
        <x:v>0</x:v>
      </x:c>
      <x:c r="N606" s="10" t="n">
        <x:f>SUM(XLOOKUP('포켓몬_편집'!$AF606:$AN606,'분류_규칙'!$A$5:$A$76,'분류_규칙'!$N$5:$N$76,0))</x:f>
        <x:v>0</x:v>
      </x:c>
      <x:c r="O606" s="10" t="n">
        <x:f>SUM(XLOOKUP('포켓몬_편집'!$AF606:$AN606,'분류_규칙'!$A$5:$A$76,'분류_규칙'!$O$5:$O$76,0))</x:f>
        <x:v>0</x:v>
      </x:c>
      <x:c r="P606" s="10" t="n">
        <x:f>SUM(XLOOKUP('포켓몬_편집'!$AF606:$AN606,'분류_규칙'!$A$5:$A$76,'분류_규칙'!$P$5:$P$76,0))</x:f>
        <x:v>0</x:v>
      </x:c>
    </x:row>
    <x:row r="607" ht="22" customHeight="1">
      <x:c r="A607" s="5" t="n">
        <x:v>603</x:v>
      </x:c>
      <x:c r="B607" s="5" t="inlineStr">
        <x:is>
          <x:t xml:space="preserve">저리릴</x:t>
        </x:is>
      </x:c>
      <x:c r="C607" s="5" t="inlineStr">
        <x:is>
          <x:t xml:space="preserve">eelektrik</x:t>
        </x:is>
      </x:c>
      <x:c r="D607" s="5" t="n">
        <x:v>5</x:v>
      </x:c>
      <x:c r="E607" s="10" t="n">
        <x:f>SUM(XLOOKUP('포켓몬_편집'!$AF607:$AN607,'분류_규칙'!$A$5:$A$76,'분류_규칙'!$E$5:$E$76,0))</x:f>
        <x:v>0</x:v>
      </x:c>
      <x:c r="F607" s="10" t="n">
        <x:f>SUM(XLOOKUP('포켓몬_편집'!$AF607:$AN607,'분류_규칙'!$A$5:$A$76,'분류_규칙'!$F$5:$F$76,0))</x:f>
        <x:v>0</x:v>
      </x:c>
      <x:c r="G607" s="10" t="n">
        <x:f>SUM(XLOOKUP('포켓몬_편집'!$AF607:$AN607,'분류_규칙'!$A$5:$A$76,'분류_규칙'!$G$5:$G$76,0))</x:f>
        <x:v>0</x:v>
      </x:c>
      <x:c r="H607" s="10" t="n">
        <x:f>SUM(XLOOKUP('포켓몬_편집'!$AF607:$AN607,'분류_규칙'!$A$5:$A$76,'분류_규칙'!$H$5:$H$76,0))</x:f>
        <x:v>0</x:v>
      </x:c>
      <x:c r="I607" s="10" t="n">
        <x:f>SUM(XLOOKUP('포켓몬_편집'!$AF607:$AN607,'분류_규칙'!$A$5:$A$76,'분류_규칙'!$I$5:$I$76,0))</x:f>
        <x:v>0</x:v>
      </x:c>
      <x:c r="J607" s="10" t="n">
        <x:f>SUM(XLOOKUP('포켓몬_편집'!$AF607:$AN607,'분류_규칙'!$A$5:$A$76,'분류_규칙'!$J$5:$J$76,0))</x:f>
        <x:v>3</x:v>
      </x:c>
      <x:c r="K607" s="10" t="n">
        <x:f>SUM(XLOOKUP('포켓몬_편집'!$AF607:$AN607,'분류_규칙'!$A$5:$A$76,'분류_규칙'!$K$5:$K$76,0))</x:f>
        <x:v>0</x:v>
      </x:c>
      <x:c r="L607" s="10" t="n">
        <x:f>SUM(XLOOKUP('포켓몬_편집'!$AF607:$AN607,'분류_규칙'!$A$5:$A$76,'분류_규칙'!$L$5:$L$76,0))</x:f>
        <x:v>30</x:v>
      </x:c>
      <x:c r="M607" s="10" t="n">
        <x:f>SUM(XLOOKUP('포켓몬_편집'!$AF607:$AN607,'분류_규칙'!$A$5:$A$76,'분류_규칙'!$M$5:$M$76,0))</x:f>
        <x:v>0</x:v>
      </x:c>
      <x:c r="N607" s="10" t="n">
        <x:f>SUM(XLOOKUP('포켓몬_편집'!$AF607:$AN607,'분류_규칙'!$A$5:$A$76,'분류_규칙'!$N$5:$N$76,0))</x:f>
        <x:v>0</x:v>
      </x:c>
      <x:c r="O607" s="10" t="n">
        <x:f>SUM(XLOOKUP('포켓몬_편집'!$AF607:$AN607,'분류_규칙'!$A$5:$A$76,'분류_규칙'!$O$5:$O$76,0))</x:f>
        <x:v>0</x:v>
      </x:c>
      <x:c r="P607" s="10" t="n">
        <x:f>SUM(XLOOKUP('포켓몬_편집'!$AF607:$AN607,'분류_규칙'!$A$5:$A$76,'분류_규칙'!$P$5:$P$76,0))</x:f>
        <x:v>0</x:v>
      </x:c>
    </x:row>
    <x:row r="608" ht="22" customHeight="1">
      <x:c r="A608" s="5" t="n">
        <x:v>604</x:v>
      </x:c>
      <x:c r="B608" s="5" t="inlineStr">
        <x:is>
          <x:t xml:space="preserve">저리더프</x:t>
        </x:is>
      </x:c>
      <x:c r="C608" s="5" t="inlineStr">
        <x:is>
          <x:t xml:space="preserve">eelektross</x:t>
        </x:is>
      </x:c>
      <x:c r="D608" s="5" t="n">
        <x:v>5</x:v>
      </x:c>
      <x:c r="E608" s="10" t="n">
        <x:f>SUM(XLOOKUP('포켓몬_편집'!$AF608:$AN608,'분류_규칙'!$A$5:$A$76,'분류_규칙'!$E$5:$E$76,0))</x:f>
        <x:v>0</x:v>
      </x:c>
      <x:c r="F608" s="10" t="n">
        <x:f>SUM(XLOOKUP('포켓몬_편집'!$AF608:$AN608,'분류_규칙'!$A$5:$A$76,'분류_규칙'!$F$5:$F$76,0))</x:f>
        <x:v>0</x:v>
      </x:c>
      <x:c r="G608" s="10" t="n">
        <x:f>SUM(XLOOKUP('포켓몬_편집'!$AF608:$AN608,'분류_규칙'!$A$5:$A$76,'분류_규칙'!$G$5:$G$76,0))</x:f>
        <x:v>0</x:v>
      </x:c>
      <x:c r="H608" s="10" t="n">
        <x:f>SUM(XLOOKUP('포켓몬_편집'!$AF608:$AN608,'분류_규칙'!$A$5:$A$76,'분류_규칙'!$H$5:$H$76,0))</x:f>
        <x:v>0</x:v>
      </x:c>
      <x:c r="I608" s="10" t="n">
        <x:f>SUM(XLOOKUP('포켓몬_편집'!$AF608:$AN608,'분류_규칙'!$A$5:$A$76,'분류_규칙'!$I$5:$I$76,0))</x:f>
        <x:v>0</x:v>
      </x:c>
      <x:c r="J608" s="10" t="n">
        <x:f>SUM(XLOOKUP('포켓몬_편집'!$AF608:$AN608,'분류_규칙'!$A$5:$A$76,'분류_규칙'!$J$5:$J$76,0))</x:f>
        <x:v>3</x:v>
      </x:c>
      <x:c r="K608" s="10" t="n">
        <x:f>SUM(XLOOKUP('포켓몬_편집'!$AF608:$AN608,'분류_규칙'!$A$5:$A$76,'분류_규칙'!$K$5:$K$76,0))</x:f>
        <x:v>0</x:v>
      </x:c>
      <x:c r="L608" s="10" t="n">
        <x:f>SUM(XLOOKUP('포켓몬_편집'!$AF608:$AN608,'분류_규칙'!$A$5:$A$76,'분류_규칙'!$L$5:$L$76,0))</x:f>
        <x:v>30</x:v>
      </x:c>
      <x:c r="M608" s="10" t="n">
        <x:f>SUM(XLOOKUP('포켓몬_편집'!$AF608:$AN608,'분류_규칙'!$A$5:$A$76,'분류_규칙'!$M$5:$M$76,0))</x:f>
        <x:v>0</x:v>
      </x:c>
      <x:c r="N608" s="10" t="n">
        <x:f>SUM(XLOOKUP('포켓몬_편집'!$AF608:$AN608,'분류_규칙'!$A$5:$A$76,'분류_규칙'!$N$5:$N$76,0))</x:f>
        <x:v>0</x:v>
      </x:c>
      <x:c r="O608" s="10" t="n">
        <x:f>SUM(XLOOKUP('포켓몬_편집'!$AF608:$AN608,'분류_규칙'!$A$5:$A$76,'분류_규칙'!$O$5:$O$76,0))</x:f>
        <x:v>0</x:v>
      </x:c>
      <x:c r="P608" s="10" t="n">
        <x:f>SUM(XLOOKUP('포켓몬_편집'!$AF608:$AN608,'분류_규칙'!$A$5:$A$76,'분류_규칙'!$P$5:$P$76,0))</x:f>
        <x:v>0</x:v>
      </x:c>
    </x:row>
    <x:row r="609" ht="22" customHeight="1">
      <x:c r="A609" s="5" t="n">
        <x:v>605</x:v>
      </x:c>
      <x:c r="B609" s="5" t="inlineStr">
        <x:is>
          <x:t xml:space="preserve">리그레</x:t>
        </x:is>
      </x:c>
      <x:c r="C609" s="5" t="inlineStr">
        <x:is>
          <x:t xml:space="preserve">elgyem</x:t>
        </x:is>
      </x:c>
      <x:c r="D609" s="5" t="n">
        <x:v>5</x:v>
      </x:c>
      <x:c r="E609" s="10" t="n">
        <x:f>SUM(XLOOKUP('포켓몬_편집'!$AF609:$AN609,'분류_규칙'!$A$5:$A$76,'분류_규칙'!$E$5:$E$76,0))</x:f>
        <x:v>8</x:v>
      </x:c>
      <x:c r="F609" s="10" t="n">
        <x:f>SUM(XLOOKUP('포켓몬_편집'!$AF609:$AN609,'분류_규칙'!$A$5:$A$76,'분류_규칙'!$F$5:$F$76,0))</x:f>
        <x:v>8</x:v>
      </x:c>
      <x:c r="G609" s="10" t="n">
        <x:f>SUM(XLOOKUP('포켓몬_편집'!$AF609:$AN609,'분류_규칙'!$A$5:$A$76,'분류_규칙'!$G$5:$G$76,0))</x:f>
        <x:v>0</x:v>
      </x:c>
      <x:c r="H609" s="10" t="n">
        <x:f>SUM(XLOOKUP('포켓몬_편집'!$AF609:$AN609,'분류_규칙'!$A$5:$A$76,'분류_규칙'!$H$5:$H$76,0))</x:f>
        <x:v>12</x:v>
      </x:c>
      <x:c r="I609" s="10" t="n">
        <x:f>SUM(XLOOKUP('포켓몬_편집'!$AF609:$AN609,'분류_규칙'!$A$5:$A$76,'분류_규칙'!$I$5:$I$76,0))</x:f>
        <x:v>0</x:v>
      </x:c>
      <x:c r="J609" s="10" t="n">
        <x:f>SUM(XLOOKUP('포켓몬_편집'!$AF609:$AN609,'분류_규칙'!$A$5:$A$76,'분류_규칙'!$J$5:$J$76,0))</x:f>
        <x:v>0</x:v>
      </x:c>
      <x:c r="K609" s="10" t="n">
        <x:f>SUM(XLOOKUP('포켓몬_편집'!$AF609:$AN609,'분류_규칙'!$A$5:$A$76,'분류_규칙'!$K$5:$K$76,0))</x:f>
        <x:v>0</x:v>
      </x:c>
      <x:c r="L609" s="10" t="n">
        <x:f>SUM(XLOOKUP('포켓몬_편집'!$AF609:$AN609,'분류_규칙'!$A$5:$A$76,'분류_규칙'!$L$5:$L$76,0))</x:f>
        <x:v>3</x:v>
      </x:c>
      <x:c r="M609" s="10" t="n">
        <x:f>SUM(XLOOKUP('포켓몬_편집'!$AF609:$AN609,'분류_규칙'!$A$5:$A$76,'분류_규칙'!$M$5:$M$76,0))</x:f>
        <x:v>0</x:v>
      </x:c>
      <x:c r="N609" s="10" t="n">
        <x:f>SUM(XLOOKUP('포켓몬_편집'!$AF609:$AN609,'분류_규칙'!$A$5:$A$76,'분류_규칙'!$N$5:$N$76,0))</x:f>
        <x:v>0</x:v>
      </x:c>
      <x:c r="O609" s="10" t="n">
        <x:f>SUM(XLOOKUP('포켓몬_편집'!$AF609:$AN609,'분류_규칙'!$A$5:$A$76,'분류_규칙'!$O$5:$O$76,0))</x:f>
        <x:v>2</x:v>
      </x:c>
      <x:c r="P609" s="10" t="n">
        <x:f>SUM(XLOOKUP('포켓몬_편집'!$AF609:$AN609,'분류_규칙'!$A$5:$A$76,'분류_규칙'!$P$5:$P$76,0))</x:f>
        <x:v>0</x:v>
      </x:c>
    </x:row>
    <x:row r="610" ht="22" customHeight="1">
      <x:c r="A610" s="5" t="n">
        <x:v>606</x:v>
      </x:c>
      <x:c r="B610" s="5" t="inlineStr">
        <x:is>
          <x:t xml:space="preserve">벰크</x:t>
        </x:is>
      </x:c>
      <x:c r="C610" s="5" t="inlineStr">
        <x:is>
          <x:t xml:space="preserve">beheeyem</x:t>
        </x:is>
      </x:c>
      <x:c r="D610" s="5" t="n">
        <x:v>5</x:v>
      </x:c>
      <x:c r="E610" s="10" t="n">
        <x:f>SUM(XLOOKUP('포켓몬_편집'!$AF610:$AN610,'분류_규칙'!$A$5:$A$76,'분류_규칙'!$E$5:$E$76,0))</x:f>
        <x:v>8</x:v>
      </x:c>
      <x:c r="F610" s="10" t="n">
        <x:f>SUM(XLOOKUP('포켓몬_편집'!$AF610:$AN610,'분류_규칙'!$A$5:$A$76,'분류_규칙'!$F$5:$F$76,0))</x:f>
        <x:v>8</x:v>
      </x:c>
      <x:c r="G610" s="10" t="n">
        <x:f>SUM(XLOOKUP('포켓몬_편집'!$AF610:$AN610,'분류_규칙'!$A$5:$A$76,'분류_규칙'!$G$5:$G$76,0))</x:f>
        <x:v>0</x:v>
      </x:c>
      <x:c r="H610" s="10" t="n">
        <x:f>SUM(XLOOKUP('포켓몬_편집'!$AF610:$AN610,'분류_규칙'!$A$5:$A$76,'분류_규칙'!$H$5:$H$76,0))</x:f>
        <x:v>12</x:v>
      </x:c>
      <x:c r="I610" s="10" t="n">
        <x:f>SUM(XLOOKUP('포켓몬_편집'!$AF610:$AN610,'분류_규칙'!$A$5:$A$76,'분류_규칙'!$I$5:$I$76,0))</x:f>
        <x:v>0</x:v>
      </x:c>
      <x:c r="J610" s="10" t="n">
        <x:f>SUM(XLOOKUP('포켓몬_편집'!$AF610:$AN610,'분류_규칙'!$A$5:$A$76,'분류_규칙'!$J$5:$J$76,0))</x:f>
        <x:v>0</x:v>
      </x:c>
      <x:c r="K610" s="10" t="n">
        <x:f>SUM(XLOOKUP('포켓몬_편집'!$AF610:$AN610,'분류_규칙'!$A$5:$A$76,'분류_규칙'!$K$5:$K$76,0))</x:f>
        <x:v>0</x:v>
      </x:c>
      <x:c r="L610" s="10" t="n">
        <x:f>SUM(XLOOKUP('포켓몬_편집'!$AF610:$AN610,'분류_규칙'!$A$5:$A$76,'분류_규칙'!$L$5:$L$76,0))</x:f>
        <x:v>3</x:v>
      </x:c>
      <x:c r="M610" s="10" t="n">
        <x:f>SUM(XLOOKUP('포켓몬_편집'!$AF610:$AN610,'분류_규칙'!$A$5:$A$76,'분류_규칙'!$M$5:$M$76,0))</x:f>
        <x:v>0</x:v>
      </x:c>
      <x:c r="N610" s="10" t="n">
        <x:f>SUM(XLOOKUP('포켓몬_편집'!$AF610:$AN610,'분류_규칙'!$A$5:$A$76,'분류_규칙'!$N$5:$N$76,0))</x:f>
        <x:v>0</x:v>
      </x:c>
      <x:c r="O610" s="10" t="n">
        <x:f>SUM(XLOOKUP('포켓몬_편집'!$AF610:$AN610,'분류_규칙'!$A$5:$A$76,'분류_규칙'!$O$5:$O$76,0))</x:f>
        <x:v>2</x:v>
      </x:c>
      <x:c r="P610" s="10" t="n">
        <x:f>SUM(XLOOKUP('포켓몬_편집'!$AF610:$AN610,'분류_규칙'!$A$5:$A$76,'분류_규칙'!$P$5:$P$76,0))</x:f>
        <x:v>0</x:v>
      </x:c>
    </x:row>
    <x:row r="611" ht="22" customHeight="1">
      <x:c r="A611" s="5" t="n">
        <x:v>607</x:v>
      </x:c>
      <x:c r="B611" s="5" t="inlineStr">
        <x:is>
          <x:t xml:space="preserve">불켜미</x:t>
        </x:is>
      </x:c>
      <x:c r="C611" s="5" t="inlineStr">
        <x:is>
          <x:t xml:space="preserve">litwick</x:t>
        </x:is>
      </x:c>
      <x:c r="D611" s="5" t="n">
        <x:v>5</x:v>
      </x:c>
      <x:c r="E611" s="10" t="n">
        <x:f>SUM(XLOOKUP('포켓몬_편집'!$AF611:$AN611,'분류_규칙'!$A$5:$A$76,'분류_규칙'!$E$5:$E$76,0))</x:f>
        <x:v>0</x:v>
      </x:c>
      <x:c r="F611" s="10" t="n">
        <x:f>SUM(XLOOKUP('포켓몬_편집'!$AF611:$AN611,'분류_규칙'!$A$5:$A$76,'분류_규칙'!$F$5:$F$76,0))</x:f>
        <x:v>0</x:v>
      </x:c>
      <x:c r="G611" s="10" t="n">
        <x:f>SUM(XLOOKUP('포켓몬_편집'!$AF611:$AN611,'분류_규칙'!$A$5:$A$76,'분류_규칙'!$G$5:$G$76,0))</x:f>
        <x:v>0</x:v>
      </x:c>
      <x:c r="H611" s="10" t="n">
        <x:f>SUM(XLOOKUP('포켓몬_편집'!$AF611:$AN611,'분류_규칙'!$A$5:$A$76,'분류_규칙'!$H$5:$H$76,0))</x:f>
        <x:v>0</x:v>
      </x:c>
      <x:c r="I611" s="10" t="n">
        <x:f>SUM(XLOOKUP('포켓몬_편집'!$AF611:$AN611,'분류_규칙'!$A$5:$A$76,'분류_규칙'!$I$5:$I$76,0))</x:f>
        <x:v>10</x:v>
      </x:c>
      <x:c r="J611" s="10" t="n">
        <x:f>SUM(XLOOKUP('포켓몬_편집'!$AF611:$AN611,'분류_규칙'!$A$5:$A$76,'분류_규칙'!$J$5:$J$76,0))</x:f>
        <x:v>0</x:v>
      </x:c>
      <x:c r="K611" s="10" t="n">
        <x:f>SUM(XLOOKUP('포켓몬_편집'!$AF611:$AN611,'분류_규칙'!$A$5:$A$76,'분류_규칙'!$K$5:$K$76,0))</x:f>
        <x:v>0</x:v>
      </x:c>
      <x:c r="L611" s="10" t="n">
        <x:f>SUM(XLOOKUP('포켓몬_편집'!$AF611:$AN611,'분류_규칙'!$A$5:$A$76,'분류_규칙'!$L$5:$L$76,0))</x:f>
        <x:v>0</x:v>
      </x:c>
      <x:c r="M611" s="10" t="n">
        <x:f>SUM(XLOOKUP('포켓몬_편집'!$AF611:$AN611,'분류_규칙'!$A$5:$A$76,'분류_규칙'!$M$5:$M$76,0))</x:f>
        <x:v>0</x:v>
      </x:c>
      <x:c r="N611" s="10" t="n">
        <x:f>SUM(XLOOKUP('포켓몬_편집'!$AF611:$AN611,'분류_규칙'!$A$5:$A$76,'분류_규칙'!$N$5:$N$76,0))</x:f>
        <x:v>0</x:v>
      </x:c>
      <x:c r="O611" s="10" t="n">
        <x:f>SUM(XLOOKUP('포켓몬_편집'!$AF611:$AN611,'분류_규칙'!$A$5:$A$76,'분류_규칙'!$O$5:$O$76,0))</x:f>
        <x:v>5</x:v>
      </x:c>
      <x:c r="P611" s="10" t="n">
        <x:f>SUM(XLOOKUP('포켓몬_편집'!$AF611:$AN611,'분류_규칙'!$A$5:$A$76,'분류_규칙'!$P$5:$P$76,0))</x:f>
        <x:v>25</x:v>
      </x:c>
    </x:row>
    <x:row r="612" ht="22" customHeight="1">
      <x:c r="A612" s="5" t="n">
        <x:v>608</x:v>
      </x:c>
      <x:c r="B612" s="5" t="inlineStr">
        <x:is>
          <x:t xml:space="preserve">램프라</x:t>
        </x:is>
      </x:c>
      <x:c r="C612" s="5" t="inlineStr">
        <x:is>
          <x:t xml:space="preserve">lampent</x:t>
        </x:is>
      </x:c>
      <x:c r="D612" s="5" t="n">
        <x:v>5</x:v>
      </x:c>
      <x:c r="E612" s="10" t="n">
        <x:f>SUM(XLOOKUP('포켓몬_편집'!$AF612:$AN612,'분류_규칙'!$A$5:$A$76,'분류_규칙'!$E$5:$E$76,0))</x:f>
        <x:v>8</x:v>
      </x:c>
      <x:c r="F612" s="10" t="n">
        <x:f>SUM(XLOOKUP('포켓몬_편집'!$AF612:$AN612,'분류_규칙'!$A$5:$A$76,'분류_규칙'!$F$5:$F$76,0))</x:f>
        <x:v>8</x:v>
      </x:c>
      <x:c r="G612" s="10" t="n">
        <x:f>SUM(XLOOKUP('포켓몬_편집'!$AF612:$AN612,'분류_규칙'!$A$5:$A$76,'분류_규칙'!$G$5:$G$76,0))</x:f>
        <x:v>0</x:v>
      </x:c>
      <x:c r="H612" s="10" t="n">
        <x:f>SUM(XLOOKUP('포켓몬_편집'!$AF612:$AN612,'분류_규칙'!$A$5:$A$76,'분류_규칙'!$H$5:$H$76,0))</x:f>
        <x:v>12</x:v>
      </x:c>
      <x:c r="I612" s="10" t="n">
        <x:f>SUM(XLOOKUP('포켓몬_편집'!$AF612:$AN612,'분류_규칙'!$A$5:$A$76,'분류_규칙'!$I$5:$I$76,0))</x:f>
        <x:v>0</x:v>
      </x:c>
      <x:c r="J612" s="10" t="n">
        <x:f>SUM(XLOOKUP('포켓몬_편집'!$AF612:$AN612,'분류_규칙'!$A$5:$A$76,'분류_규칙'!$J$5:$J$76,0))</x:f>
        <x:v>0</x:v>
      </x:c>
      <x:c r="K612" s="10" t="n">
        <x:f>SUM(XLOOKUP('포켓몬_편집'!$AF612:$AN612,'분류_규칙'!$A$5:$A$76,'분류_규칙'!$K$5:$K$76,0))</x:f>
        <x:v>0</x:v>
      </x:c>
      <x:c r="L612" s="10" t="n">
        <x:f>SUM(XLOOKUP('포켓몬_편집'!$AF612:$AN612,'분류_규칙'!$A$5:$A$76,'분류_규칙'!$L$5:$L$76,0))</x:f>
        <x:v>3</x:v>
      </x:c>
      <x:c r="M612" s="10" t="n">
        <x:f>SUM(XLOOKUP('포켓몬_편집'!$AF612:$AN612,'분류_규칙'!$A$5:$A$76,'분류_규칙'!$M$5:$M$76,0))</x:f>
        <x:v>0</x:v>
      </x:c>
      <x:c r="N612" s="10" t="n">
        <x:f>SUM(XLOOKUP('포켓몬_편집'!$AF612:$AN612,'분류_규칙'!$A$5:$A$76,'분류_규칙'!$N$5:$N$76,0))</x:f>
        <x:v>0</x:v>
      </x:c>
      <x:c r="O612" s="10" t="n">
        <x:f>SUM(XLOOKUP('포켓몬_편집'!$AF612:$AN612,'분류_규칙'!$A$5:$A$76,'분류_규칙'!$O$5:$O$76,0))</x:f>
        <x:v>2</x:v>
      </x:c>
      <x:c r="P612" s="10" t="n">
        <x:f>SUM(XLOOKUP('포켓몬_편집'!$AF612:$AN612,'분류_규칙'!$A$5:$A$76,'분류_규칙'!$P$5:$P$76,0))</x:f>
        <x:v>0</x:v>
      </x:c>
    </x:row>
    <x:row r="613" ht="22" customHeight="1">
      <x:c r="A613" s="5" t="n">
        <x:v>609</x:v>
      </x:c>
      <x:c r="B613" s="5" t="inlineStr">
        <x:is>
          <x:t xml:space="preserve">샹델라</x:t>
        </x:is>
      </x:c>
      <x:c r="C613" s="5" t="inlineStr">
        <x:is>
          <x:t xml:space="preserve">chandelure</x:t>
        </x:is>
      </x:c>
      <x:c r="D613" s="5" t="n">
        <x:v>5</x:v>
      </x:c>
      <x:c r="E613" s="10" t="n">
        <x:f>SUM(XLOOKUP('포켓몬_편집'!$AF613:$AN613,'분류_규칙'!$A$5:$A$76,'분류_규칙'!$E$5:$E$76,0))</x:f>
        <x:v>8</x:v>
      </x:c>
      <x:c r="F613" s="10" t="n">
        <x:f>SUM(XLOOKUP('포켓몬_편집'!$AF613:$AN613,'분류_규칙'!$A$5:$A$76,'분류_규칙'!$F$5:$F$76,0))</x:f>
        <x:v>8</x:v>
      </x:c>
      <x:c r="G613" s="10" t="n">
        <x:f>SUM(XLOOKUP('포켓몬_편집'!$AF613:$AN613,'분류_규칙'!$A$5:$A$76,'분류_규칙'!$G$5:$G$76,0))</x:f>
        <x:v>0</x:v>
      </x:c>
      <x:c r="H613" s="10" t="n">
        <x:f>SUM(XLOOKUP('포켓몬_편집'!$AF613:$AN613,'분류_규칙'!$A$5:$A$76,'분류_규칙'!$H$5:$H$76,0))</x:f>
        <x:v>12</x:v>
      </x:c>
      <x:c r="I613" s="10" t="n">
        <x:f>SUM(XLOOKUP('포켓몬_편집'!$AF613:$AN613,'분류_규칙'!$A$5:$A$76,'분류_규칙'!$I$5:$I$76,0))</x:f>
        <x:v>0</x:v>
      </x:c>
      <x:c r="J613" s="10" t="n">
        <x:f>SUM(XLOOKUP('포켓몬_편집'!$AF613:$AN613,'분류_규칙'!$A$5:$A$76,'분류_규칙'!$J$5:$J$76,0))</x:f>
        <x:v>0</x:v>
      </x:c>
      <x:c r="K613" s="10" t="n">
        <x:f>SUM(XLOOKUP('포켓몬_편집'!$AF613:$AN613,'분류_규칙'!$A$5:$A$76,'분류_규칙'!$K$5:$K$76,0))</x:f>
        <x:v>0</x:v>
      </x:c>
      <x:c r="L613" s="10" t="n">
        <x:f>SUM(XLOOKUP('포켓몬_편집'!$AF613:$AN613,'분류_규칙'!$A$5:$A$76,'분류_규칙'!$L$5:$L$76,0))</x:f>
        <x:v>3</x:v>
      </x:c>
      <x:c r="M613" s="10" t="n">
        <x:f>SUM(XLOOKUP('포켓몬_편집'!$AF613:$AN613,'분류_규칙'!$A$5:$A$76,'분류_규칙'!$M$5:$M$76,0))</x:f>
        <x:v>0</x:v>
      </x:c>
      <x:c r="N613" s="10" t="n">
        <x:f>SUM(XLOOKUP('포켓몬_편집'!$AF613:$AN613,'분류_규칙'!$A$5:$A$76,'분류_규칙'!$N$5:$N$76,0))</x:f>
        <x:v>0</x:v>
      </x:c>
      <x:c r="O613" s="10" t="n">
        <x:f>SUM(XLOOKUP('포켓몬_편집'!$AF613:$AN613,'분류_규칙'!$A$5:$A$76,'분류_규칙'!$O$5:$O$76,0))</x:f>
        <x:v>2</x:v>
      </x:c>
      <x:c r="P613" s="10" t="n">
        <x:f>SUM(XLOOKUP('포켓몬_편집'!$AF613:$AN613,'분류_규칙'!$A$5:$A$76,'분류_규칙'!$P$5:$P$76,0))</x:f>
        <x:v>0</x:v>
      </x:c>
    </x:row>
    <x:row r="614" ht="22" customHeight="1">
      <x:c r="A614" s="5" t="n">
        <x:v>610</x:v>
      </x:c>
      <x:c r="B614" s="5" t="inlineStr">
        <x:is>
          <x:t xml:space="preserve">터검니</x:t>
        </x:is>
      </x:c>
      <x:c r="C614" s="5" t="inlineStr">
        <x:is>
          <x:t xml:space="preserve">axew</x:t>
        </x:is>
      </x:c>
      <x:c r="D614" s="5" t="n">
        <x:v>5</x:v>
      </x:c>
      <x:c r="E614" s="10" t="n">
        <x:f>SUM(XLOOKUP('포켓몬_편집'!$AF614:$AN614,'분류_규칙'!$A$5:$A$76,'분류_규칙'!$E$5:$E$76,0))</x:f>
        <x:v>10</x:v>
      </x:c>
      <x:c r="F614" s="10" t="n">
        <x:f>SUM(XLOOKUP('포켓몬_편집'!$AF614:$AN614,'분류_규칙'!$A$5:$A$76,'분류_규칙'!$F$5:$F$76,0))</x:f>
        <x:v>7</x:v>
      </x:c>
      <x:c r="G614" s="10" t="n">
        <x:f>SUM(XLOOKUP('포켓몬_편집'!$AF614:$AN614,'분류_규칙'!$A$5:$A$76,'분류_규칙'!$G$5:$G$76,0))</x:f>
        <x:v>5</x:v>
      </x:c>
      <x:c r="H614" s="10" t="n">
        <x:f>SUM(XLOOKUP('포켓몬_편집'!$AF614:$AN614,'분류_규칙'!$A$5:$A$76,'분류_규칙'!$H$5:$H$76,0))</x:f>
        <x:v>5</x:v>
      </x:c>
      <x:c r="I614" s="10" t="n">
        <x:f>SUM(XLOOKUP('포켓몬_편집'!$AF614:$AN614,'분류_규칙'!$A$5:$A$76,'분류_규칙'!$I$5:$I$76,0))</x:f>
        <x:v>0</x:v>
      </x:c>
      <x:c r="J614" s="10" t="n">
        <x:f>SUM(XLOOKUP('포켓몬_편집'!$AF614:$AN614,'분류_규칙'!$A$5:$A$76,'분류_규칙'!$J$5:$J$76,0))</x:f>
        <x:v>2</x:v>
      </x:c>
      <x:c r="K614" s="10" t="n">
        <x:f>SUM(XLOOKUP('포켓몬_편집'!$AF614:$AN614,'분류_규칙'!$A$5:$A$76,'분류_규칙'!$K$5:$K$76,0))</x:f>
        <x:v>0</x:v>
      </x:c>
      <x:c r="L614" s="10" t="n">
        <x:f>SUM(XLOOKUP('포켓몬_편집'!$AF614:$AN614,'분류_규칙'!$A$5:$A$76,'분류_규칙'!$L$5:$L$76,0))</x:f>
        <x:v>0</x:v>
      </x:c>
      <x:c r="M614" s="10" t="n">
        <x:f>SUM(XLOOKUP('포켓몬_편집'!$AF614:$AN614,'분류_규칙'!$A$5:$A$76,'분류_규칙'!$M$5:$M$76,0))</x:f>
        <x:v>0</x:v>
      </x:c>
      <x:c r="N614" s="10" t="n">
        <x:f>SUM(XLOOKUP('포켓몬_편집'!$AF614:$AN614,'분류_규칙'!$A$5:$A$76,'분류_규칙'!$N$5:$N$76,0))</x:f>
        <x:v>0</x:v>
      </x:c>
      <x:c r="O614" s="10" t="n">
        <x:f>SUM(XLOOKUP('포켓몬_편집'!$AF614:$AN614,'분류_규칙'!$A$5:$A$76,'분류_규칙'!$O$5:$O$76,0))</x:f>
        <x:v>2</x:v>
      </x:c>
      <x:c r="P614" s="10" t="n">
        <x:f>SUM(XLOOKUP('포켓몬_편집'!$AF614:$AN614,'분류_규칙'!$A$5:$A$76,'분류_규칙'!$P$5:$P$76,0))</x:f>
        <x:v>0</x:v>
      </x:c>
    </x:row>
    <x:row r="615" ht="22" customHeight="1">
      <x:c r="A615" s="5" t="n">
        <x:v>611</x:v>
      </x:c>
      <x:c r="B615" s="5" t="inlineStr">
        <x:is>
          <x:t xml:space="preserve">액슨도</x:t>
        </x:is>
      </x:c>
      <x:c r="C615" s="5" t="inlineStr">
        <x:is>
          <x:t xml:space="preserve">fraxure</x:t>
        </x:is>
      </x:c>
      <x:c r="D615" s="5" t="n">
        <x:v>5</x:v>
      </x:c>
      <x:c r="E615" s="10" t="n">
        <x:f>SUM(XLOOKUP('포켓몬_편집'!$AF615:$AN615,'분류_규칙'!$A$5:$A$76,'분류_규칙'!$E$5:$E$76,0))</x:f>
        <x:v>10</x:v>
      </x:c>
      <x:c r="F615" s="10" t="n">
        <x:f>SUM(XLOOKUP('포켓몬_편집'!$AF615:$AN615,'분류_규칙'!$A$5:$A$76,'분류_규칙'!$F$5:$F$76,0))</x:f>
        <x:v>7</x:v>
      </x:c>
      <x:c r="G615" s="10" t="n">
        <x:f>SUM(XLOOKUP('포켓몬_편집'!$AF615:$AN615,'분류_규칙'!$A$5:$A$76,'분류_규칙'!$G$5:$G$76,0))</x:f>
        <x:v>5</x:v>
      </x:c>
      <x:c r="H615" s="10" t="n">
        <x:f>SUM(XLOOKUP('포켓몬_편집'!$AF615:$AN615,'분류_규칙'!$A$5:$A$76,'분류_규칙'!$H$5:$H$76,0))</x:f>
        <x:v>5</x:v>
      </x:c>
      <x:c r="I615" s="10" t="n">
        <x:f>SUM(XLOOKUP('포켓몬_편집'!$AF615:$AN615,'분류_규칙'!$A$5:$A$76,'분류_규칙'!$I$5:$I$76,0))</x:f>
        <x:v>0</x:v>
      </x:c>
      <x:c r="J615" s="10" t="n">
        <x:f>SUM(XLOOKUP('포켓몬_편집'!$AF615:$AN615,'분류_규칙'!$A$5:$A$76,'분류_규칙'!$J$5:$J$76,0))</x:f>
        <x:v>2</x:v>
      </x:c>
      <x:c r="K615" s="10" t="n">
        <x:f>SUM(XLOOKUP('포켓몬_편집'!$AF615:$AN615,'분류_규칙'!$A$5:$A$76,'분류_규칙'!$K$5:$K$76,0))</x:f>
        <x:v>0</x:v>
      </x:c>
      <x:c r="L615" s="10" t="n">
        <x:f>SUM(XLOOKUP('포켓몬_편집'!$AF615:$AN615,'분류_규칙'!$A$5:$A$76,'분류_규칙'!$L$5:$L$76,0))</x:f>
        <x:v>0</x:v>
      </x:c>
      <x:c r="M615" s="10" t="n">
        <x:f>SUM(XLOOKUP('포켓몬_편집'!$AF615:$AN615,'분류_규칙'!$A$5:$A$76,'분류_규칙'!$M$5:$M$76,0))</x:f>
        <x:v>0</x:v>
      </x:c>
      <x:c r="N615" s="10" t="n">
        <x:f>SUM(XLOOKUP('포켓몬_편집'!$AF615:$AN615,'분류_규칙'!$A$5:$A$76,'분류_규칙'!$N$5:$N$76,0))</x:f>
        <x:v>0</x:v>
      </x:c>
      <x:c r="O615" s="10" t="n">
        <x:f>SUM(XLOOKUP('포켓몬_편집'!$AF615:$AN615,'분류_규칙'!$A$5:$A$76,'분류_규칙'!$O$5:$O$76,0))</x:f>
        <x:v>2</x:v>
      </x:c>
      <x:c r="P615" s="10" t="n">
        <x:f>SUM(XLOOKUP('포켓몬_편집'!$AF615:$AN615,'분류_규칙'!$A$5:$A$76,'분류_규칙'!$P$5:$P$76,0))</x:f>
        <x:v>0</x:v>
      </x:c>
    </x:row>
    <x:row r="616" ht="22" customHeight="1">
      <x:c r="A616" s="5" t="n">
        <x:v>612</x:v>
      </x:c>
      <x:c r="B616" s="5" t="inlineStr">
        <x:is>
          <x:t xml:space="preserve">액스라이즈</x:t>
        </x:is>
      </x:c>
      <x:c r="C616" s="5" t="inlineStr">
        <x:is>
          <x:t xml:space="preserve">haxorus</x:t>
        </x:is>
      </x:c>
      <x:c r="D616" s="5" t="n">
        <x:v>5</x:v>
      </x:c>
      <x:c r="E616" s="10" t="n">
        <x:f>SUM(XLOOKUP('포켓몬_편집'!$AF616:$AN616,'분류_규칙'!$A$5:$A$76,'분류_규칙'!$E$5:$E$76,0))</x:f>
        <x:v>10</x:v>
      </x:c>
      <x:c r="F616" s="10" t="n">
        <x:f>SUM(XLOOKUP('포켓몬_편집'!$AF616:$AN616,'분류_규칙'!$A$5:$A$76,'분류_규칙'!$F$5:$F$76,0))</x:f>
        <x:v>7</x:v>
      </x:c>
      <x:c r="G616" s="10" t="n">
        <x:f>SUM(XLOOKUP('포켓몬_편집'!$AF616:$AN616,'분류_규칙'!$A$5:$A$76,'분류_규칙'!$G$5:$G$76,0))</x:f>
        <x:v>5</x:v>
      </x:c>
      <x:c r="H616" s="10" t="n">
        <x:f>SUM(XLOOKUP('포켓몬_편집'!$AF616:$AN616,'분류_규칙'!$A$5:$A$76,'분류_규칙'!$H$5:$H$76,0))</x:f>
        <x:v>5</x:v>
      </x:c>
      <x:c r="I616" s="10" t="n">
        <x:f>SUM(XLOOKUP('포켓몬_편집'!$AF616:$AN616,'분류_규칙'!$A$5:$A$76,'분류_규칙'!$I$5:$I$76,0))</x:f>
        <x:v>0</x:v>
      </x:c>
      <x:c r="J616" s="10" t="n">
        <x:f>SUM(XLOOKUP('포켓몬_편집'!$AF616:$AN616,'분류_규칙'!$A$5:$A$76,'분류_규칙'!$J$5:$J$76,0))</x:f>
        <x:v>2</x:v>
      </x:c>
      <x:c r="K616" s="10" t="n">
        <x:f>SUM(XLOOKUP('포켓몬_편집'!$AF616:$AN616,'분류_규칙'!$A$5:$A$76,'분류_규칙'!$K$5:$K$76,0))</x:f>
        <x:v>0</x:v>
      </x:c>
      <x:c r="L616" s="10" t="n">
        <x:f>SUM(XLOOKUP('포켓몬_편집'!$AF616:$AN616,'분류_규칙'!$A$5:$A$76,'분류_규칙'!$L$5:$L$76,0))</x:f>
        <x:v>0</x:v>
      </x:c>
      <x:c r="M616" s="10" t="n">
        <x:f>SUM(XLOOKUP('포켓몬_편집'!$AF616:$AN616,'분류_규칙'!$A$5:$A$76,'분류_규칙'!$M$5:$M$76,0))</x:f>
        <x:v>0</x:v>
      </x:c>
      <x:c r="N616" s="10" t="n">
        <x:f>SUM(XLOOKUP('포켓몬_편집'!$AF616:$AN616,'분류_규칙'!$A$5:$A$76,'분류_규칙'!$N$5:$N$76,0))</x:f>
        <x:v>0</x:v>
      </x:c>
      <x:c r="O616" s="10" t="n">
        <x:f>SUM(XLOOKUP('포켓몬_편집'!$AF616:$AN616,'분류_규칙'!$A$5:$A$76,'분류_규칙'!$O$5:$O$76,0))</x:f>
        <x:v>2</x:v>
      </x:c>
      <x:c r="P616" s="10" t="n">
        <x:f>SUM(XLOOKUP('포켓몬_편집'!$AF616:$AN616,'분류_규칙'!$A$5:$A$76,'분류_규칙'!$P$5:$P$76,0))</x:f>
        <x:v>0</x:v>
      </x:c>
    </x:row>
    <x:row r="617" ht="22" customHeight="1">
      <x:c r="A617" s="5" t="n">
        <x:v>613</x:v>
      </x:c>
      <x:c r="B617" s="5" t="inlineStr">
        <x:is>
          <x:t xml:space="preserve">코고미</x:t>
        </x:is>
      </x:c>
      <x:c r="C617" s="5" t="inlineStr">
        <x:is>
          <x:t xml:space="preserve">cubchoo</x:t>
        </x:is>
      </x:c>
      <x:c r="D617" s="5" t="n">
        <x:v>5</x:v>
      </x:c>
      <x:c r="E617" s="10" t="n">
        <x:f>SUM(XLOOKUP('포켓몬_편집'!$AF617:$AN617,'분류_규칙'!$A$5:$A$76,'분류_규칙'!$E$5:$E$76,0))</x:f>
        <x:v>10</x:v>
      </x:c>
      <x:c r="F617" s="10" t="n">
        <x:f>SUM(XLOOKUP('포켓몬_편집'!$AF617:$AN617,'분류_규칙'!$A$5:$A$76,'분류_규칙'!$F$5:$F$76,0))</x:f>
        <x:v>7</x:v>
      </x:c>
      <x:c r="G617" s="10" t="n">
        <x:f>SUM(XLOOKUP('포켓몬_편집'!$AF617:$AN617,'분류_규칙'!$A$5:$A$76,'분류_규칙'!$G$5:$G$76,0))</x:f>
        <x:v>5</x:v>
      </x:c>
      <x:c r="H617" s="10" t="n">
        <x:f>SUM(XLOOKUP('포켓몬_편집'!$AF617:$AN617,'분류_규칙'!$A$5:$A$76,'분류_규칙'!$H$5:$H$76,0))</x:f>
        <x:v>5</x:v>
      </x:c>
      <x:c r="I617" s="10" t="n">
        <x:f>SUM(XLOOKUP('포켓몬_편집'!$AF617:$AN617,'분류_규칙'!$A$5:$A$76,'분류_규칙'!$I$5:$I$76,0))</x:f>
        <x:v>0</x:v>
      </x:c>
      <x:c r="J617" s="10" t="n">
        <x:f>SUM(XLOOKUP('포켓몬_편집'!$AF617:$AN617,'분류_규칙'!$A$5:$A$76,'분류_규칙'!$J$5:$J$76,0))</x:f>
        <x:v>2</x:v>
      </x:c>
      <x:c r="K617" s="10" t="n">
        <x:f>SUM(XLOOKUP('포켓몬_편집'!$AF617:$AN617,'분류_규칙'!$A$5:$A$76,'분류_규칙'!$K$5:$K$76,0))</x:f>
        <x:v>0</x:v>
      </x:c>
      <x:c r="L617" s="10" t="n">
        <x:f>SUM(XLOOKUP('포켓몬_편집'!$AF617:$AN617,'분류_규칙'!$A$5:$A$76,'분류_규칙'!$L$5:$L$76,0))</x:f>
        <x:v>0</x:v>
      </x:c>
      <x:c r="M617" s="10" t="n">
        <x:f>SUM(XLOOKUP('포켓몬_편집'!$AF617:$AN617,'분류_규칙'!$A$5:$A$76,'분류_규칙'!$M$5:$M$76,0))</x:f>
        <x:v>0</x:v>
      </x:c>
      <x:c r="N617" s="10" t="n">
        <x:f>SUM(XLOOKUP('포켓몬_편집'!$AF617:$AN617,'분류_규칙'!$A$5:$A$76,'분류_규칙'!$N$5:$N$76,0))</x:f>
        <x:v>0</x:v>
      </x:c>
      <x:c r="O617" s="10" t="n">
        <x:f>SUM(XLOOKUP('포켓몬_편집'!$AF617:$AN617,'분류_규칙'!$A$5:$A$76,'분류_규칙'!$O$5:$O$76,0))</x:f>
        <x:v>2</x:v>
      </x:c>
      <x:c r="P617" s="10" t="n">
        <x:f>SUM(XLOOKUP('포켓몬_편집'!$AF617:$AN617,'분류_규칙'!$A$5:$A$76,'분류_규칙'!$P$5:$P$76,0))</x:f>
        <x:v>0</x:v>
      </x:c>
    </x:row>
    <x:row r="618" ht="22" customHeight="1">
      <x:c r="A618" s="5" t="n">
        <x:v>614</x:v>
      </x:c>
      <x:c r="B618" s="5" t="inlineStr">
        <x:is>
          <x:t xml:space="preserve">툰베어</x:t>
        </x:is>
      </x:c>
      <x:c r="C618" s="5" t="inlineStr">
        <x:is>
          <x:t xml:space="preserve">beartic</x:t>
        </x:is>
      </x:c>
      <x:c r="D618" s="5" t="n">
        <x:v>5</x:v>
      </x:c>
      <x:c r="E618" s="10" t="n">
        <x:f>SUM(XLOOKUP('포켓몬_편집'!$AF618:$AN618,'분류_규칙'!$A$5:$A$76,'분류_규칙'!$E$5:$E$76,0))</x:f>
        <x:v>10</x:v>
      </x:c>
      <x:c r="F618" s="10" t="n">
        <x:f>SUM(XLOOKUP('포켓몬_편집'!$AF618:$AN618,'분류_규칙'!$A$5:$A$76,'분류_규칙'!$F$5:$F$76,0))</x:f>
        <x:v>7</x:v>
      </x:c>
      <x:c r="G618" s="10" t="n">
        <x:f>SUM(XLOOKUP('포켓몬_편집'!$AF618:$AN618,'분류_규칙'!$A$5:$A$76,'분류_규칙'!$G$5:$G$76,0))</x:f>
        <x:v>5</x:v>
      </x:c>
      <x:c r="H618" s="10" t="n">
        <x:f>SUM(XLOOKUP('포켓몬_편집'!$AF618:$AN618,'분류_규칙'!$A$5:$A$76,'분류_규칙'!$H$5:$H$76,0))</x:f>
        <x:v>5</x:v>
      </x:c>
      <x:c r="I618" s="10" t="n">
        <x:f>SUM(XLOOKUP('포켓몬_편집'!$AF618:$AN618,'분류_규칙'!$A$5:$A$76,'분류_규칙'!$I$5:$I$76,0))</x:f>
        <x:v>0</x:v>
      </x:c>
      <x:c r="J618" s="10" t="n">
        <x:f>SUM(XLOOKUP('포켓몬_편집'!$AF618:$AN618,'분류_규칙'!$A$5:$A$76,'분류_규칙'!$J$5:$J$76,0))</x:f>
        <x:v>2</x:v>
      </x:c>
      <x:c r="K618" s="10" t="n">
        <x:f>SUM(XLOOKUP('포켓몬_편집'!$AF618:$AN618,'분류_규칙'!$A$5:$A$76,'분류_규칙'!$K$5:$K$76,0))</x:f>
        <x:v>0</x:v>
      </x:c>
      <x:c r="L618" s="10" t="n">
        <x:f>SUM(XLOOKUP('포켓몬_편집'!$AF618:$AN618,'분류_규칙'!$A$5:$A$76,'분류_규칙'!$L$5:$L$76,0))</x:f>
        <x:v>0</x:v>
      </x:c>
      <x:c r="M618" s="10" t="n">
        <x:f>SUM(XLOOKUP('포켓몬_편집'!$AF618:$AN618,'분류_규칙'!$A$5:$A$76,'분류_규칙'!$M$5:$M$76,0))</x:f>
        <x:v>0</x:v>
      </x:c>
      <x:c r="N618" s="10" t="n">
        <x:f>SUM(XLOOKUP('포켓몬_편집'!$AF618:$AN618,'분류_규칙'!$A$5:$A$76,'분류_규칙'!$N$5:$N$76,0))</x:f>
        <x:v>0</x:v>
      </x:c>
      <x:c r="O618" s="10" t="n">
        <x:f>SUM(XLOOKUP('포켓몬_편집'!$AF618:$AN618,'분류_규칙'!$A$5:$A$76,'분류_규칙'!$O$5:$O$76,0))</x:f>
        <x:v>2</x:v>
      </x:c>
      <x:c r="P618" s="10" t="n">
        <x:f>SUM(XLOOKUP('포켓몬_편집'!$AF618:$AN618,'분류_규칙'!$A$5:$A$76,'분류_규칙'!$P$5:$P$76,0))</x:f>
        <x:v>0</x:v>
      </x:c>
    </x:row>
    <x:row r="619" ht="22" customHeight="1">
      <x:c r="A619" s="5" t="n">
        <x:v>615</x:v>
      </x:c>
      <x:c r="B619" s="5" t="inlineStr">
        <x:is>
          <x:t xml:space="preserve">프리지오</x:t>
        </x:is>
      </x:c>
      <x:c r="C619" s="5" t="inlineStr">
        <x:is>
          <x:t xml:space="preserve">cryogonal</x:t>
        </x:is>
      </x:c>
      <x:c r="D619" s="5" t="n">
        <x:v>5</x:v>
      </x:c>
      <x:c r="E619" s="10" t="n">
        <x:f>SUM(XLOOKUP('포켓몬_편집'!$AF619:$AN619,'분류_규칙'!$A$5:$A$76,'분류_규칙'!$E$5:$E$76,0))</x:f>
        <x:v>8</x:v>
      </x:c>
      <x:c r="F619" s="10" t="n">
        <x:f>SUM(XLOOKUP('포켓몬_편집'!$AF619:$AN619,'분류_규칙'!$A$5:$A$76,'분류_규칙'!$F$5:$F$76,0))</x:f>
        <x:v>8</x:v>
      </x:c>
      <x:c r="G619" s="10" t="n">
        <x:f>SUM(XLOOKUP('포켓몬_편집'!$AF619:$AN619,'분류_규칙'!$A$5:$A$76,'분류_규칙'!$G$5:$G$76,0))</x:f>
        <x:v>0</x:v>
      </x:c>
      <x:c r="H619" s="10" t="n">
        <x:f>SUM(XLOOKUP('포켓몬_편집'!$AF619:$AN619,'분류_규칙'!$A$5:$A$76,'분류_규칙'!$H$5:$H$76,0))</x:f>
        <x:v>12</x:v>
      </x:c>
      <x:c r="I619" s="10" t="n">
        <x:f>SUM(XLOOKUP('포켓몬_편집'!$AF619:$AN619,'분류_규칙'!$A$5:$A$76,'분류_규칙'!$I$5:$I$76,0))</x:f>
        <x:v>0</x:v>
      </x:c>
      <x:c r="J619" s="10" t="n">
        <x:f>SUM(XLOOKUP('포켓몬_편집'!$AF619:$AN619,'분류_규칙'!$A$5:$A$76,'분류_규칙'!$J$5:$J$76,0))</x:f>
        <x:v>0</x:v>
      </x:c>
      <x:c r="K619" s="10" t="n">
        <x:f>SUM(XLOOKUP('포켓몬_편집'!$AF619:$AN619,'분류_규칙'!$A$5:$A$76,'분류_규칙'!$K$5:$K$76,0))</x:f>
        <x:v>0</x:v>
      </x:c>
      <x:c r="L619" s="10" t="n">
        <x:f>SUM(XLOOKUP('포켓몬_편집'!$AF619:$AN619,'분류_규칙'!$A$5:$A$76,'분류_규칙'!$L$5:$L$76,0))</x:f>
        <x:v>3</x:v>
      </x:c>
      <x:c r="M619" s="10" t="n">
        <x:f>SUM(XLOOKUP('포켓몬_편집'!$AF619:$AN619,'분류_규칙'!$A$5:$A$76,'분류_규칙'!$M$5:$M$76,0))</x:f>
        <x:v>0</x:v>
      </x:c>
      <x:c r="N619" s="10" t="n">
        <x:f>SUM(XLOOKUP('포켓몬_편집'!$AF619:$AN619,'분류_규칙'!$A$5:$A$76,'분류_규칙'!$N$5:$N$76,0))</x:f>
        <x:v>0</x:v>
      </x:c>
      <x:c r="O619" s="10" t="n">
        <x:f>SUM(XLOOKUP('포켓몬_편집'!$AF619:$AN619,'분류_규칙'!$A$5:$A$76,'분류_규칙'!$O$5:$O$76,0))</x:f>
        <x:v>2</x:v>
      </x:c>
      <x:c r="P619" s="10" t="n">
        <x:f>SUM(XLOOKUP('포켓몬_편집'!$AF619:$AN619,'분류_규칙'!$A$5:$A$76,'분류_규칙'!$P$5:$P$76,0))</x:f>
        <x:v>0</x:v>
      </x:c>
    </x:row>
    <x:row r="620" ht="22" customHeight="1">
      <x:c r="A620" s="5" t="n">
        <x:v>616</x:v>
      </x:c>
      <x:c r="B620" s="5" t="inlineStr">
        <x:is>
          <x:t xml:space="preserve">쪼마리</x:t>
        </x:is>
      </x:c>
      <x:c r="C620" s="5" t="inlineStr">
        <x:is>
          <x:t xml:space="preserve">shelmet</x:t>
        </x:is>
      </x:c>
      <x:c r="D620" s="5" t="n">
        <x:v>5</x:v>
      </x:c>
      <x:c r="E620" s="10" t="n">
        <x:f>SUM(XLOOKUP('포켓몬_편집'!$AF620:$AN620,'분류_규칙'!$A$5:$A$76,'분류_규칙'!$E$5:$E$76,0))</x:f>
        <x:v>10</x:v>
      </x:c>
      <x:c r="F620" s="10" t="n">
        <x:f>SUM(XLOOKUP('포켓몬_편집'!$AF620:$AN620,'분류_규칙'!$A$5:$A$76,'분류_규칙'!$F$5:$F$76,0))</x:f>
        <x:v>7</x:v>
      </x:c>
      <x:c r="G620" s="10" t="n">
        <x:f>SUM(XLOOKUP('포켓몬_편집'!$AF620:$AN620,'분류_규칙'!$A$5:$A$76,'분류_규칙'!$G$5:$G$76,0))</x:f>
        <x:v>5</x:v>
      </x:c>
      <x:c r="H620" s="10" t="n">
        <x:f>SUM(XLOOKUP('포켓몬_편집'!$AF620:$AN620,'분류_규칙'!$A$5:$A$76,'분류_규칙'!$H$5:$H$76,0))</x:f>
        <x:v>5</x:v>
      </x:c>
      <x:c r="I620" s="10" t="n">
        <x:f>SUM(XLOOKUP('포켓몬_편집'!$AF620:$AN620,'분류_규칙'!$A$5:$A$76,'분류_규칙'!$I$5:$I$76,0))</x:f>
        <x:v>0</x:v>
      </x:c>
      <x:c r="J620" s="10" t="n">
        <x:f>SUM(XLOOKUP('포켓몬_편집'!$AF620:$AN620,'분류_규칙'!$A$5:$A$76,'분류_규칙'!$J$5:$J$76,0))</x:f>
        <x:v>2</x:v>
      </x:c>
      <x:c r="K620" s="10" t="n">
        <x:f>SUM(XLOOKUP('포켓몬_편집'!$AF620:$AN620,'분류_규칙'!$A$5:$A$76,'분류_규칙'!$K$5:$K$76,0))</x:f>
        <x:v>0</x:v>
      </x:c>
      <x:c r="L620" s="10" t="n">
        <x:f>SUM(XLOOKUP('포켓몬_편집'!$AF620:$AN620,'분류_규칙'!$A$5:$A$76,'분류_규칙'!$L$5:$L$76,0))</x:f>
        <x:v>0</x:v>
      </x:c>
      <x:c r="M620" s="10" t="n">
        <x:f>SUM(XLOOKUP('포켓몬_편집'!$AF620:$AN620,'분류_규칙'!$A$5:$A$76,'분류_규칙'!$M$5:$M$76,0))</x:f>
        <x:v>0</x:v>
      </x:c>
      <x:c r="N620" s="10" t="n">
        <x:f>SUM(XLOOKUP('포켓몬_편집'!$AF620:$AN620,'분류_규칙'!$A$5:$A$76,'분류_규칙'!$N$5:$N$76,0))</x:f>
        <x:v>0</x:v>
      </x:c>
      <x:c r="O620" s="10" t="n">
        <x:f>SUM(XLOOKUP('포켓몬_편집'!$AF620:$AN620,'분류_규칙'!$A$5:$A$76,'분류_규칙'!$O$5:$O$76,0))</x:f>
        <x:v>2</x:v>
      </x:c>
      <x:c r="P620" s="10" t="n">
        <x:f>SUM(XLOOKUP('포켓몬_편집'!$AF620:$AN620,'분류_규칙'!$A$5:$A$76,'분류_규칙'!$P$5:$P$76,0))</x:f>
        <x:v>0</x:v>
      </x:c>
    </x:row>
    <x:row r="621" ht="22" customHeight="1">
      <x:c r="A621" s="5" t="n">
        <x:v>617</x:v>
      </x:c>
      <x:c r="B621" s="5" t="inlineStr">
        <x:is>
          <x:t xml:space="preserve">어지리더</x:t>
        </x:is>
      </x:c>
      <x:c r="C621" s="5" t="inlineStr">
        <x:is>
          <x:t xml:space="preserve">accelgor</x:t>
        </x:is>
      </x:c>
      <x:c r="D621" s="5" t="n">
        <x:v>5</x:v>
      </x:c>
      <x:c r="E621" s="10" t="n">
        <x:f>SUM(XLOOKUP('포켓몬_편집'!$AF621:$AN621,'분류_규칙'!$A$5:$A$76,'분류_규칙'!$E$5:$E$76,0))</x:f>
        <x:v>10</x:v>
      </x:c>
      <x:c r="F621" s="10" t="n">
        <x:f>SUM(XLOOKUP('포켓몬_편집'!$AF621:$AN621,'분류_규칙'!$A$5:$A$76,'분류_규칙'!$F$5:$F$76,0))</x:f>
        <x:v>7</x:v>
      </x:c>
      <x:c r="G621" s="10" t="n">
        <x:f>SUM(XLOOKUP('포켓몬_편집'!$AF621:$AN621,'분류_규칙'!$A$5:$A$76,'분류_규칙'!$G$5:$G$76,0))</x:f>
        <x:v>5</x:v>
      </x:c>
      <x:c r="H621" s="10" t="n">
        <x:f>SUM(XLOOKUP('포켓몬_편집'!$AF621:$AN621,'분류_규칙'!$A$5:$A$76,'분류_규칙'!$H$5:$H$76,0))</x:f>
        <x:v>5</x:v>
      </x:c>
      <x:c r="I621" s="10" t="n">
        <x:f>SUM(XLOOKUP('포켓몬_편집'!$AF621:$AN621,'분류_규칙'!$A$5:$A$76,'분류_규칙'!$I$5:$I$76,0))</x:f>
        <x:v>0</x:v>
      </x:c>
      <x:c r="J621" s="10" t="n">
        <x:f>SUM(XLOOKUP('포켓몬_편집'!$AF621:$AN621,'분류_규칙'!$A$5:$A$76,'분류_규칙'!$J$5:$J$76,0))</x:f>
        <x:v>2</x:v>
      </x:c>
      <x:c r="K621" s="10" t="n">
        <x:f>SUM(XLOOKUP('포켓몬_편집'!$AF621:$AN621,'분류_규칙'!$A$5:$A$76,'분류_규칙'!$K$5:$K$76,0))</x:f>
        <x:v>0</x:v>
      </x:c>
      <x:c r="L621" s="10" t="n">
        <x:f>SUM(XLOOKUP('포켓몬_편집'!$AF621:$AN621,'분류_규칙'!$A$5:$A$76,'분류_규칙'!$L$5:$L$76,0))</x:f>
        <x:v>0</x:v>
      </x:c>
      <x:c r="M621" s="10" t="n">
        <x:f>SUM(XLOOKUP('포켓몬_편집'!$AF621:$AN621,'분류_규칙'!$A$5:$A$76,'분류_규칙'!$M$5:$M$76,0))</x:f>
        <x:v>0</x:v>
      </x:c>
      <x:c r="N621" s="10" t="n">
        <x:f>SUM(XLOOKUP('포켓몬_편집'!$AF621:$AN621,'분류_규칙'!$A$5:$A$76,'분류_규칙'!$N$5:$N$76,0))</x:f>
        <x:v>0</x:v>
      </x:c>
      <x:c r="O621" s="10" t="n">
        <x:f>SUM(XLOOKUP('포켓몬_편집'!$AF621:$AN621,'분류_규칙'!$A$5:$A$76,'분류_규칙'!$O$5:$O$76,0))</x:f>
        <x:v>2</x:v>
      </x:c>
      <x:c r="P621" s="10" t="n">
        <x:f>SUM(XLOOKUP('포켓몬_편집'!$AF621:$AN621,'분류_규칙'!$A$5:$A$76,'분류_규칙'!$P$5:$P$76,0))</x:f>
        <x:v>0</x:v>
      </x:c>
    </x:row>
    <x:row r="622" ht="22" customHeight="1">
      <x:c r="A622" s="5" t="n">
        <x:v>618</x:v>
      </x:c>
      <x:c r="B622" s="5" t="inlineStr">
        <x:is>
          <x:t xml:space="preserve">메더</x:t>
        </x:is>
      </x:c>
      <x:c r="C622" s="5" t="inlineStr">
        <x:is>
          <x:t xml:space="preserve">stunfisk</x:t>
        </x:is>
      </x:c>
      <x:c r="D622" s="5" t="n">
        <x:v>5</x:v>
      </x:c>
      <x:c r="E622" s="10" t="n">
        <x:f>SUM(XLOOKUP('포켓몬_편집'!$AF622:$AN622,'분류_규칙'!$A$5:$A$76,'분류_규칙'!$E$5:$E$76,0))</x:f>
        <x:v>10</x:v>
      </x:c>
      <x:c r="F622" s="10" t="n">
        <x:f>SUM(XLOOKUP('포켓몬_편집'!$AF622:$AN622,'분류_규칙'!$A$5:$A$76,'분류_규칙'!$F$5:$F$76,0))</x:f>
        <x:v>7</x:v>
      </x:c>
      <x:c r="G622" s="10" t="n">
        <x:f>SUM(XLOOKUP('포켓몬_편집'!$AF622:$AN622,'분류_규칙'!$A$5:$A$76,'분류_규칙'!$G$5:$G$76,0))</x:f>
        <x:v>5</x:v>
      </x:c>
      <x:c r="H622" s="10" t="n">
        <x:f>SUM(XLOOKUP('포켓몬_편집'!$AF622:$AN622,'분류_규칙'!$A$5:$A$76,'분류_규칙'!$H$5:$H$76,0))</x:f>
        <x:v>5</x:v>
      </x:c>
      <x:c r="I622" s="10" t="n">
        <x:f>SUM(XLOOKUP('포켓몬_편집'!$AF622:$AN622,'분류_규칙'!$A$5:$A$76,'분류_규칙'!$I$5:$I$76,0))</x:f>
        <x:v>0</x:v>
      </x:c>
      <x:c r="J622" s="10" t="n">
        <x:f>SUM(XLOOKUP('포켓몬_편집'!$AF622:$AN622,'분류_규칙'!$A$5:$A$76,'분류_규칙'!$J$5:$J$76,0))</x:f>
        <x:v>2</x:v>
      </x:c>
      <x:c r="K622" s="10" t="n">
        <x:f>SUM(XLOOKUP('포켓몬_편집'!$AF622:$AN622,'분류_규칙'!$A$5:$A$76,'분류_규칙'!$K$5:$K$76,0))</x:f>
        <x:v>0</x:v>
      </x:c>
      <x:c r="L622" s="10" t="n">
        <x:f>SUM(XLOOKUP('포켓몬_편집'!$AF622:$AN622,'분류_규칙'!$A$5:$A$76,'분류_규칙'!$L$5:$L$76,0))</x:f>
        <x:v>0</x:v>
      </x:c>
      <x:c r="M622" s="10" t="n">
        <x:f>SUM(XLOOKUP('포켓몬_편집'!$AF622:$AN622,'분류_규칙'!$A$5:$A$76,'분류_규칙'!$M$5:$M$76,0))</x:f>
        <x:v>0</x:v>
      </x:c>
      <x:c r="N622" s="10" t="n">
        <x:f>SUM(XLOOKUP('포켓몬_편집'!$AF622:$AN622,'분류_규칙'!$A$5:$A$76,'분류_규칙'!$N$5:$N$76,0))</x:f>
        <x:v>0</x:v>
      </x:c>
      <x:c r="O622" s="10" t="n">
        <x:f>SUM(XLOOKUP('포켓몬_편집'!$AF622:$AN622,'분류_규칙'!$A$5:$A$76,'분류_규칙'!$O$5:$O$76,0))</x:f>
        <x:v>2</x:v>
      </x:c>
      <x:c r="P622" s="10" t="n">
        <x:f>SUM(XLOOKUP('포켓몬_편집'!$AF622:$AN622,'분류_규칙'!$A$5:$A$76,'분류_규칙'!$P$5:$P$76,0))</x:f>
        <x:v>0</x:v>
      </x:c>
    </x:row>
    <x:row r="623" ht="22" customHeight="1">
      <x:c r="A623" s="5" t="n">
        <x:v>619</x:v>
      </x:c>
      <x:c r="B623" s="5" t="inlineStr">
        <x:is>
          <x:t xml:space="preserve">비조푸</x:t>
        </x:is>
      </x:c>
      <x:c r="C623" s="5" t="inlineStr">
        <x:is>
          <x:t xml:space="preserve">mienfoo</x:t>
        </x:is>
      </x:c>
      <x:c r="D623" s="5" t="n">
        <x:v>5</x:v>
      </x:c>
      <x:c r="E623" s="10" t="n">
        <x:f>SUM(XLOOKUP('포켓몬_편집'!$AF623:$AN623,'분류_규칙'!$A$5:$A$76,'분류_규칙'!$E$5:$E$76,0))</x:f>
        <x:v>10</x:v>
      </x:c>
      <x:c r="F623" s="10" t="n">
        <x:f>SUM(XLOOKUP('포켓몬_편집'!$AF623:$AN623,'분류_규칙'!$A$5:$A$76,'분류_규칙'!$F$5:$F$76,0))</x:f>
        <x:v>7</x:v>
      </x:c>
      <x:c r="G623" s="10" t="n">
        <x:f>SUM(XLOOKUP('포켓몬_편집'!$AF623:$AN623,'분류_규칙'!$A$5:$A$76,'분류_규칙'!$G$5:$G$76,0))</x:f>
        <x:v>5</x:v>
      </x:c>
      <x:c r="H623" s="10" t="n">
        <x:f>SUM(XLOOKUP('포켓몬_편집'!$AF623:$AN623,'분류_규칙'!$A$5:$A$76,'분류_규칙'!$H$5:$H$76,0))</x:f>
        <x:v>5</x:v>
      </x:c>
      <x:c r="I623" s="10" t="n">
        <x:f>SUM(XLOOKUP('포켓몬_편집'!$AF623:$AN623,'분류_규칙'!$A$5:$A$76,'분류_규칙'!$I$5:$I$76,0))</x:f>
        <x:v>0</x:v>
      </x:c>
      <x:c r="J623" s="10" t="n">
        <x:f>SUM(XLOOKUP('포켓몬_편집'!$AF623:$AN623,'분류_규칙'!$A$5:$A$76,'분류_규칙'!$J$5:$J$76,0))</x:f>
        <x:v>2</x:v>
      </x:c>
      <x:c r="K623" s="10" t="n">
        <x:f>SUM(XLOOKUP('포켓몬_편집'!$AF623:$AN623,'분류_규칙'!$A$5:$A$76,'분류_규칙'!$K$5:$K$76,0))</x:f>
        <x:v>0</x:v>
      </x:c>
      <x:c r="L623" s="10" t="n">
        <x:f>SUM(XLOOKUP('포켓몬_편집'!$AF623:$AN623,'분류_규칙'!$A$5:$A$76,'분류_규칙'!$L$5:$L$76,0))</x:f>
        <x:v>0</x:v>
      </x:c>
      <x:c r="M623" s="10" t="n">
        <x:f>SUM(XLOOKUP('포켓몬_편집'!$AF623:$AN623,'분류_규칙'!$A$5:$A$76,'분류_규칙'!$M$5:$M$76,0))</x:f>
        <x:v>0</x:v>
      </x:c>
      <x:c r="N623" s="10" t="n">
        <x:f>SUM(XLOOKUP('포켓몬_편집'!$AF623:$AN623,'분류_규칙'!$A$5:$A$76,'분류_규칙'!$N$5:$N$76,0))</x:f>
        <x:v>0</x:v>
      </x:c>
      <x:c r="O623" s="10" t="n">
        <x:f>SUM(XLOOKUP('포켓몬_편집'!$AF623:$AN623,'분류_규칙'!$A$5:$A$76,'분류_규칙'!$O$5:$O$76,0))</x:f>
        <x:v>2</x:v>
      </x:c>
      <x:c r="P623" s="10" t="n">
        <x:f>SUM(XLOOKUP('포켓몬_편집'!$AF623:$AN623,'분류_규칙'!$A$5:$A$76,'분류_규칙'!$P$5:$P$76,0))</x:f>
        <x:v>0</x:v>
      </x:c>
    </x:row>
    <x:row r="624" ht="22" customHeight="1">
      <x:c r="A624" s="5" t="n">
        <x:v>620</x:v>
      </x:c>
      <x:c r="B624" s="5" t="inlineStr">
        <x:is>
          <x:t xml:space="preserve">비조도</x:t>
        </x:is>
      </x:c>
      <x:c r="C624" s="5" t="inlineStr">
        <x:is>
          <x:t xml:space="preserve">mienshao</x:t>
        </x:is>
      </x:c>
      <x:c r="D624" s="5" t="n">
        <x:v>5</x:v>
      </x:c>
      <x:c r="E624" s="10" t="n">
        <x:f>SUM(XLOOKUP('포켓몬_편집'!$AF624:$AN624,'분류_규칙'!$A$5:$A$76,'분류_규칙'!$E$5:$E$76,0))</x:f>
        <x:v>10</x:v>
      </x:c>
      <x:c r="F624" s="10" t="n">
        <x:f>SUM(XLOOKUP('포켓몬_편집'!$AF624:$AN624,'분류_규칙'!$A$5:$A$76,'분류_규칙'!$F$5:$F$76,0))</x:f>
        <x:v>7</x:v>
      </x:c>
      <x:c r="G624" s="10" t="n">
        <x:f>SUM(XLOOKUP('포켓몬_편집'!$AF624:$AN624,'분류_규칙'!$A$5:$A$76,'분류_규칙'!$G$5:$G$76,0))</x:f>
        <x:v>5</x:v>
      </x:c>
      <x:c r="H624" s="10" t="n">
        <x:f>SUM(XLOOKUP('포켓몬_편집'!$AF624:$AN624,'분류_규칙'!$A$5:$A$76,'분류_규칙'!$H$5:$H$76,0))</x:f>
        <x:v>5</x:v>
      </x:c>
      <x:c r="I624" s="10" t="n">
        <x:f>SUM(XLOOKUP('포켓몬_편집'!$AF624:$AN624,'분류_규칙'!$A$5:$A$76,'분류_규칙'!$I$5:$I$76,0))</x:f>
        <x:v>0</x:v>
      </x:c>
      <x:c r="J624" s="10" t="n">
        <x:f>SUM(XLOOKUP('포켓몬_편집'!$AF624:$AN624,'분류_규칙'!$A$5:$A$76,'분류_규칙'!$J$5:$J$76,0))</x:f>
        <x:v>2</x:v>
      </x:c>
      <x:c r="K624" s="10" t="n">
        <x:f>SUM(XLOOKUP('포켓몬_편집'!$AF624:$AN624,'분류_규칙'!$A$5:$A$76,'분류_규칙'!$K$5:$K$76,0))</x:f>
        <x:v>0</x:v>
      </x:c>
      <x:c r="L624" s="10" t="n">
        <x:f>SUM(XLOOKUP('포켓몬_편집'!$AF624:$AN624,'분류_규칙'!$A$5:$A$76,'분류_규칙'!$L$5:$L$76,0))</x:f>
        <x:v>0</x:v>
      </x:c>
      <x:c r="M624" s="10" t="n">
        <x:f>SUM(XLOOKUP('포켓몬_편집'!$AF624:$AN624,'분류_규칙'!$A$5:$A$76,'분류_규칙'!$M$5:$M$76,0))</x:f>
        <x:v>0</x:v>
      </x:c>
      <x:c r="N624" s="10" t="n">
        <x:f>SUM(XLOOKUP('포켓몬_편집'!$AF624:$AN624,'분류_규칙'!$A$5:$A$76,'분류_규칙'!$N$5:$N$76,0))</x:f>
        <x:v>0</x:v>
      </x:c>
      <x:c r="O624" s="10" t="n">
        <x:f>SUM(XLOOKUP('포켓몬_편집'!$AF624:$AN624,'분류_규칙'!$A$5:$A$76,'분류_규칙'!$O$5:$O$76,0))</x:f>
        <x:v>2</x:v>
      </x:c>
      <x:c r="P624" s="10" t="n">
        <x:f>SUM(XLOOKUP('포켓몬_편집'!$AF624:$AN624,'분류_규칙'!$A$5:$A$76,'분류_규칙'!$P$5:$P$76,0))</x:f>
        <x:v>0</x:v>
      </x:c>
    </x:row>
    <x:row r="625" ht="22" customHeight="1">
      <x:c r="A625" s="5" t="n">
        <x:v>621</x:v>
      </x:c>
      <x:c r="B625" s="5" t="inlineStr">
        <x:is>
          <x:t xml:space="preserve">크리만</x:t>
        </x:is>
      </x:c>
      <x:c r="C625" s="5" t="inlineStr">
        <x:is>
          <x:t xml:space="preserve">druddigon</x:t>
        </x:is>
      </x:c>
      <x:c r="D625" s="5" t="n">
        <x:v>5</x:v>
      </x:c>
      <x:c r="E625" s="10" t="n">
        <x:f>SUM(XLOOKUP('포켓몬_편집'!$AF625:$AN625,'분류_규칙'!$A$5:$A$76,'분류_규칙'!$E$5:$E$76,0))</x:f>
        <x:v>10</x:v>
      </x:c>
      <x:c r="F625" s="10" t="n">
        <x:f>SUM(XLOOKUP('포켓몬_편집'!$AF625:$AN625,'분류_규칙'!$A$5:$A$76,'분류_규칙'!$F$5:$F$76,0))</x:f>
        <x:v>7</x:v>
      </x:c>
      <x:c r="G625" s="10" t="n">
        <x:f>SUM(XLOOKUP('포켓몬_편집'!$AF625:$AN625,'분류_규칙'!$A$5:$A$76,'분류_규칙'!$G$5:$G$76,0))</x:f>
        <x:v>5</x:v>
      </x:c>
      <x:c r="H625" s="10" t="n">
        <x:f>SUM(XLOOKUP('포켓몬_편집'!$AF625:$AN625,'분류_규칙'!$A$5:$A$76,'분류_규칙'!$H$5:$H$76,0))</x:f>
        <x:v>5</x:v>
      </x:c>
      <x:c r="I625" s="10" t="n">
        <x:f>SUM(XLOOKUP('포켓몬_편집'!$AF625:$AN625,'분류_규칙'!$A$5:$A$76,'분류_규칙'!$I$5:$I$76,0))</x:f>
        <x:v>0</x:v>
      </x:c>
      <x:c r="J625" s="10" t="n">
        <x:f>SUM(XLOOKUP('포켓몬_편집'!$AF625:$AN625,'분류_규칙'!$A$5:$A$76,'분류_규칙'!$J$5:$J$76,0))</x:f>
        <x:v>2</x:v>
      </x:c>
      <x:c r="K625" s="10" t="n">
        <x:f>SUM(XLOOKUP('포켓몬_편집'!$AF625:$AN625,'분류_규칙'!$A$5:$A$76,'분류_규칙'!$K$5:$K$76,0))</x:f>
        <x:v>0</x:v>
      </x:c>
      <x:c r="L625" s="10" t="n">
        <x:f>SUM(XLOOKUP('포켓몬_편집'!$AF625:$AN625,'분류_규칙'!$A$5:$A$76,'분류_규칙'!$L$5:$L$76,0))</x:f>
        <x:v>0</x:v>
      </x:c>
      <x:c r="M625" s="10" t="n">
        <x:f>SUM(XLOOKUP('포켓몬_편집'!$AF625:$AN625,'분류_규칙'!$A$5:$A$76,'분류_규칙'!$M$5:$M$76,0))</x:f>
        <x:v>0</x:v>
      </x:c>
      <x:c r="N625" s="10" t="n">
        <x:f>SUM(XLOOKUP('포켓몬_편집'!$AF625:$AN625,'분류_규칙'!$A$5:$A$76,'분류_규칙'!$N$5:$N$76,0))</x:f>
        <x:v>0</x:v>
      </x:c>
      <x:c r="O625" s="10" t="n">
        <x:f>SUM(XLOOKUP('포켓몬_편집'!$AF625:$AN625,'분류_규칙'!$A$5:$A$76,'분류_규칙'!$O$5:$O$76,0))</x:f>
        <x:v>2</x:v>
      </x:c>
      <x:c r="P625" s="10" t="n">
        <x:f>SUM(XLOOKUP('포켓몬_편집'!$AF625:$AN625,'분류_규칙'!$A$5:$A$76,'분류_규칙'!$P$5:$P$76,0))</x:f>
        <x:v>0</x:v>
      </x:c>
    </x:row>
    <x:row r="626" ht="22" customHeight="1">
      <x:c r="A626" s="5" t="n">
        <x:v>622</x:v>
      </x:c>
      <x:c r="B626" s="5" t="inlineStr">
        <x:is>
          <x:t xml:space="preserve">골비람</x:t>
        </x:is>
      </x:c>
      <x:c r="C626" s="5" t="inlineStr">
        <x:is>
          <x:t xml:space="preserve">golett</x:t>
        </x:is>
      </x:c>
      <x:c r="D626" s="5" t="n">
        <x:v>5</x:v>
      </x:c>
      <x:c r="E626" s="10" t="n">
        <x:f>SUM(XLOOKUP('포켓몬_편집'!$AF626:$AN626,'분류_규칙'!$A$5:$A$76,'분류_규칙'!$E$5:$E$76,0))</x:f>
        <x:v>0</x:v>
      </x:c>
      <x:c r="F626" s="10" t="n">
        <x:f>SUM(XLOOKUP('포켓몬_편집'!$AF626:$AN626,'분류_규칙'!$A$5:$A$76,'분류_규칙'!$F$5:$F$76,0))</x:f>
        <x:v>0</x:v>
      </x:c>
      <x:c r="G626" s="10" t="n">
        <x:f>SUM(XLOOKUP('포켓몬_편집'!$AF626:$AN626,'분류_규칙'!$A$5:$A$76,'분류_규칙'!$G$5:$G$76,0))</x:f>
        <x:v>0</x:v>
      </x:c>
      <x:c r="H626" s="10" t="n">
        <x:f>SUM(XLOOKUP('포켓몬_편집'!$AF626:$AN626,'분류_규칙'!$A$5:$A$76,'분류_규칙'!$H$5:$H$76,0))</x:f>
        <x:v>0</x:v>
      </x:c>
      <x:c r="I626" s="10" t="n">
        <x:f>SUM(XLOOKUP('포켓몬_편집'!$AF626:$AN626,'분류_규칙'!$A$5:$A$76,'분류_규칙'!$I$5:$I$76,0))</x:f>
        <x:v>0</x:v>
      </x:c>
      <x:c r="J626" s="10" t="n">
        <x:f>SUM(XLOOKUP('포켓몬_편집'!$AF626:$AN626,'분류_규칙'!$A$5:$A$76,'분류_규칙'!$J$5:$J$76,0))</x:f>
        <x:v>0</x:v>
      </x:c>
      <x:c r="K626" s="10" t="n">
        <x:f>SUM(XLOOKUP('포켓몬_편집'!$AF626:$AN626,'분류_규칙'!$A$5:$A$76,'분류_규칙'!$K$5:$K$76,0))</x:f>
        <x:v>0</x:v>
      </x:c>
      <x:c r="L626" s="10" t="n">
        <x:f>SUM(XLOOKUP('포켓몬_편집'!$AF626:$AN626,'분류_규칙'!$A$5:$A$76,'분류_규칙'!$L$5:$L$76,0))</x:f>
        <x:v>0</x:v>
      </x:c>
      <x:c r="M626" s="10" t="n">
        <x:f>SUM(XLOOKUP('포켓몬_편집'!$AF626:$AN626,'분류_규칙'!$A$5:$A$76,'분류_규칙'!$M$5:$M$76,0))</x:f>
        <x:v>0</x:v>
      </x:c>
      <x:c r="N626" s="10" t="n">
        <x:f>SUM(XLOOKUP('포켓몬_편집'!$AF626:$AN626,'분류_규칙'!$A$5:$A$76,'분류_규칙'!$N$5:$N$76,0))</x:f>
        <x:v>0</x:v>
      </x:c>
      <x:c r="O626" s="10" t="n">
        <x:f>SUM(XLOOKUP('포켓몬_편집'!$AF626:$AN626,'분류_규칙'!$A$5:$A$76,'분류_규칙'!$O$5:$O$76,0))</x:f>
        <x:v>30</x:v>
      </x:c>
      <x:c r="P626" s="10" t="n">
        <x:f>SUM(XLOOKUP('포켓몬_편집'!$AF626:$AN626,'분류_규칙'!$A$5:$A$76,'분류_규칙'!$P$5:$P$76,0))</x:f>
        <x:v>8</x:v>
      </x:c>
    </x:row>
    <x:row r="627" ht="22" customHeight="1">
      <x:c r="A627" s="5" t="n">
        <x:v>623</x:v>
      </x:c>
      <x:c r="B627" s="5" t="inlineStr">
        <x:is>
          <x:t xml:space="preserve">골루그</x:t>
        </x:is>
      </x:c>
      <x:c r="C627" s="5" t="inlineStr">
        <x:is>
          <x:t xml:space="preserve">golurk</x:t>
        </x:is>
      </x:c>
      <x:c r="D627" s="5" t="n">
        <x:v>5</x:v>
      </x:c>
      <x:c r="E627" s="10" t="n">
        <x:f>SUM(XLOOKUP('포켓몬_편집'!$AF627:$AN627,'분류_규칙'!$A$5:$A$76,'분류_규칙'!$E$5:$E$76,0))</x:f>
        <x:v>0</x:v>
      </x:c>
      <x:c r="F627" s="10" t="n">
        <x:f>SUM(XLOOKUP('포켓몬_편집'!$AF627:$AN627,'분류_규칙'!$A$5:$A$76,'분류_규칙'!$F$5:$F$76,0))</x:f>
        <x:v>0</x:v>
      </x:c>
      <x:c r="G627" s="10" t="n">
        <x:f>SUM(XLOOKUP('포켓몬_편집'!$AF627:$AN627,'분류_규칙'!$A$5:$A$76,'분류_규칙'!$G$5:$G$76,0))</x:f>
        <x:v>0</x:v>
      </x:c>
      <x:c r="H627" s="10" t="n">
        <x:f>SUM(XLOOKUP('포켓몬_편집'!$AF627:$AN627,'분류_규칙'!$A$5:$A$76,'분류_규칙'!$H$5:$H$76,0))</x:f>
        <x:v>0</x:v>
      </x:c>
      <x:c r="I627" s="10" t="n">
        <x:f>SUM(XLOOKUP('포켓몬_편집'!$AF627:$AN627,'분류_규칙'!$A$5:$A$76,'분류_규칙'!$I$5:$I$76,0))</x:f>
        <x:v>0</x:v>
      </x:c>
      <x:c r="J627" s="10" t="n">
        <x:f>SUM(XLOOKUP('포켓몬_편집'!$AF627:$AN627,'분류_규칙'!$A$5:$A$76,'분류_규칙'!$J$5:$J$76,0))</x:f>
        <x:v>0</x:v>
      </x:c>
      <x:c r="K627" s="10" t="n">
        <x:f>SUM(XLOOKUP('포켓몬_편집'!$AF627:$AN627,'분류_규칙'!$A$5:$A$76,'분류_규칙'!$K$5:$K$76,0))</x:f>
        <x:v>0</x:v>
      </x:c>
      <x:c r="L627" s="10" t="n">
        <x:f>SUM(XLOOKUP('포켓몬_편집'!$AF627:$AN627,'분류_규칙'!$A$5:$A$76,'분류_규칙'!$L$5:$L$76,0))</x:f>
        <x:v>0</x:v>
      </x:c>
      <x:c r="M627" s="10" t="n">
        <x:f>SUM(XLOOKUP('포켓몬_편집'!$AF627:$AN627,'분류_규칙'!$A$5:$A$76,'분류_규칙'!$M$5:$M$76,0))</x:f>
        <x:v>0</x:v>
      </x:c>
      <x:c r="N627" s="10" t="n">
        <x:f>SUM(XLOOKUP('포켓몬_편집'!$AF627:$AN627,'분류_규칙'!$A$5:$A$76,'분류_규칙'!$N$5:$N$76,0))</x:f>
        <x:v>0</x:v>
      </x:c>
      <x:c r="O627" s="10" t="n">
        <x:f>SUM(XLOOKUP('포켓몬_편집'!$AF627:$AN627,'분류_규칙'!$A$5:$A$76,'분류_규칙'!$O$5:$O$76,0))</x:f>
        <x:v>30</x:v>
      </x:c>
      <x:c r="P627" s="10" t="n">
        <x:f>SUM(XLOOKUP('포켓몬_편집'!$AF627:$AN627,'분류_규칙'!$A$5:$A$76,'분류_규칙'!$P$5:$P$76,0))</x:f>
        <x:v>8</x:v>
      </x:c>
    </x:row>
    <x:row r="628" ht="22" customHeight="1">
      <x:c r="A628" s="5" t="n">
        <x:v>624</x:v>
      </x:c>
      <x:c r="B628" s="5" t="inlineStr">
        <x:is>
          <x:t xml:space="preserve">자망칼</x:t>
        </x:is>
      </x:c>
      <x:c r="C628" s="5" t="inlineStr">
        <x:is>
          <x:t xml:space="preserve">pawniard</x:t>
        </x:is>
      </x:c>
      <x:c r="D628" s="5" t="n">
        <x:v>5</x:v>
      </x:c>
      <x:c r="E628" s="10" t="n">
        <x:f>SUM(XLOOKUP('포켓몬_편집'!$AF628:$AN628,'분류_규칙'!$A$5:$A$76,'분류_규칙'!$E$5:$E$76,0))</x:f>
        <x:v>10</x:v>
      </x:c>
      <x:c r="F628" s="10" t="n">
        <x:f>SUM(XLOOKUP('포켓몬_편집'!$AF628:$AN628,'분류_규칙'!$A$5:$A$76,'분류_규칙'!$F$5:$F$76,0))</x:f>
        <x:v>7</x:v>
      </x:c>
      <x:c r="G628" s="10" t="n">
        <x:f>SUM(XLOOKUP('포켓몬_편집'!$AF628:$AN628,'분류_규칙'!$A$5:$A$76,'분류_규칙'!$G$5:$G$76,0))</x:f>
        <x:v>5</x:v>
      </x:c>
      <x:c r="H628" s="10" t="n">
        <x:f>SUM(XLOOKUP('포켓몬_편집'!$AF628:$AN628,'분류_규칙'!$A$5:$A$76,'분류_규칙'!$H$5:$H$76,0))</x:f>
        <x:v>5</x:v>
      </x:c>
      <x:c r="I628" s="10" t="n">
        <x:f>SUM(XLOOKUP('포켓몬_편집'!$AF628:$AN628,'분류_규칙'!$A$5:$A$76,'분류_규칙'!$I$5:$I$76,0))</x:f>
        <x:v>0</x:v>
      </x:c>
      <x:c r="J628" s="10" t="n">
        <x:f>SUM(XLOOKUP('포켓몬_편집'!$AF628:$AN628,'분류_규칙'!$A$5:$A$76,'분류_규칙'!$J$5:$J$76,0))</x:f>
        <x:v>2</x:v>
      </x:c>
      <x:c r="K628" s="10" t="n">
        <x:f>SUM(XLOOKUP('포켓몬_편집'!$AF628:$AN628,'분류_규칙'!$A$5:$A$76,'분류_규칙'!$K$5:$K$76,0))</x:f>
        <x:v>0</x:v>
      </x:c>
      <x:c r="L628" s="10" t="n">
        <x:f>SUM(XLOOKUP('포켓몬_편집'!$AF628:$AN628,'분류_규칙'!$A$5:$A$76,'분류_규칙'!$L$5:$L$76,0))</x:f>
        <x:v>0</x:v>
      </x:c>
      <x:c r="M628" s="10" t="n">
        <x:f>SUM(XLOOKUP('포켓몬_편집'!$AF628:$AN628,'분류_규칙'!$A$5:$A$76,'분류_규칙'!$M$5:$M$76,0))</x:f>
        <x:v>0</x:v>
      </x:c>
      <x:c r="N628" s="10" t="n">
        <x:f>SUM(XLOOKUP('포켓몬_편집'!$AF628:$AN628,'분류_규칙'!$A$5:$A$76,'분류_규칙'!$N$5:$N$76,0))</x:f>
        <x:v>0</x:v>
      </x:c>
      <x:c r="O628" s="10" t="n">
        <x:f>SUM(XLOOKUP('포켓몬_편집'!$AF628:$AN628,'분류_규칙'!$A$5:$A$76,'분류_규칙'!$O$5:$O$76,0))</x:f>
        <x:v>2</x:v>
      </x:c>
      <x:c r="P628" s="10" t="n">
        <x:f>SUM(XLOOKUP('포켓몬_편집'!$AF628:$AN628,'분류_규칙'!$A$5:$A$76,'분류_규칙'!$P$5:$P$76,0))</x:f>
        <x:v>0</x:v>
      </x:c>
    </x:row>
    <x:row r="629" ht="22" customHeight="1">
      <x:c r="A629" s="5" t="n">
        <x:v>625</x:v>
      </x:c>
      <x:c r="B629" s="5" t="inlineStr">
        <x:is>
          <x:t xml:space="preserve">절각참</x:t>
        </x:is>
      </x:c>
      <x:c r="C629" s="5" t="inlineStr">
        <x:is>
          <x:t xml:space="preserve">bisharp</x:t>
        </x:is>
      </x:c>
      <x:c r="D629" s="5" t="n">
        <x:v>5</x:v>
      </x:c>
      <x:c r="E629" s="10" t="n">
        <x:f>SUM(XLOOKUP('포켓몬_편집'!$AF629:$AN629,'분류_규칙'!$A$5:$A$76,'분류_규칙'!$E$5:$E$76,0))</x:f>
        <x:v>10</x:v>
      </x:c>
      <x:c r="F629" s="10" t="n">
        <x:f>SUM(XLOOKUP('포켓몬_편집'!$AF629:$AN629,'분류_규칙'!$A$5:$A$76,'분류_규칙'!$F$5:$F$76,0))</x:f>
        <x:v>7</x:v>
      </x:c>
      <x:c r="G629" s="10" t="n">
        <x:f>SUM(XLOOKUP('포켓몬_편집'!$AF629:$AN629,'분류_규칙'!$A$5:$A$76,'분류_규칙'!$G$5:$G$76,0))</x:f>
        <x:v>5</x:v>
      </x:c>
      <x:c r="H629" s="10" t="n">
        <x:f>SUM(XLOOKUP('포켓몬_편집'!$AF629:$AN629,'분류_규칙'!$A$5:$A$76,'분류_규칙'!$H$5:$H$76,0))</x:f>
        <x:v>5</x:v>
      </x:c>
      <x:c r="I629" s="10" t="n">
        <x:f>SUM(XLOOKUP('포켓몬_편집'!$AF629:$AN629,'분류_규칙'!$A$5:$A$76,'분류_규칙'!$I$5:$I$76,0))</x:f>
        <x:v>0</x:v>
      </x:c>
      <x:c r="J629" s="10" t="n">
        <x:f>SUM(XLOOKUP('포켓몬_편집'!$AF629:$AN629,'분류_규칙'!$A$5:$A$76,'분류_규칙'!$J$5:$J$76,0))</x:f>
        <x:v>2</x:v>
      </x:c>
      <x:c r="K629" s="10" t="n">
        <x:f>SUM(XLOOKUP('포켓몬_편집'!$AF629:$AN629,'분류_규칙'!$A$5:$A$76,'분류_규칙'!$K$5:$K$76,0))</x:f>
        <x:v>0</x:v>
      </x:c>
      <x:c r="L629" s="10" t="n">
        <x:f>SUM(XLOOKUP('포켓몬_편집'!$AF629:$AN629,'분류_규칙'!$A$5:$A$76,'분류_규칙'!$L$5:$L$76,0))</x:f>
        <x:v>0</x:v>
      </x:c>
      <x:c r="M629" s="10" t="n">
        <x:f>SUM(XLOOKUP('포켓몬_편집'!$AF629:$AN629,'분류_규칙'!$A$5:$A$76,'분류_규칙'!$M$5:$M$76,0))</x:f>
        <x:v>0</x:v>
      </x:c>
      <x:c r="N629" s="10" t="n">
        <x:f>SUM(XLOOKUP('포켓몬_편집'!$AF629:$AN629,'분류_규칙'!$A$5:$A$76,'분류_규칙'!$N$5:$N$76,0))</x:f>
        <x:v>0</x:v>
      </x:c>
      <x:c r="O629" s="10" t="n">
        <x:f>SUM(XLOOKUP('포켓몬_편집'!$AF629:$AN629,'분류_규칙'!$A$5:$A$76,'분류_규칙'!$O$5:$O$76,0))</x:f>
        <x:v>2</x:v>
      </x:c>
      <x:c r="P629" s="10" t="n">
        <x:f>SUM(XLOOKUP('포켓몬_편집'!$AF629:$AN629,'분류_규칙'!$A$5:$A$76,'분류_규칙'!$P$5:$P$76,0))</x:f>
        <x:v>0</x:v>
      </x:c>
    </x:row>
    <x:row r="630" ht="22" customHeight="1">
      <x:c r="A630" s="5" t="n">
        <x:v>626</x:v>
      </x:c>
      <x:c r="B630" s="5" t="inlineStr">
        <x:is>
          <x:t xml:space="preserve">버프론</x:t>
        </x:is>
      </x:c>
      <x:c r="C630" s="5" t="inlineStr">
        <x:is>
          <x:t xml:space="preserve">bouffalant</x:t>
        </x:is>
      </x:c>
      <x:c r="D630" s="5" t="n">
        <x:v>5</x:v>
      </x:c>
      <x:c r="E630" s="10" t="n">
        <x:f>SUM(XLOOKUP('포켓몬_편집'!$AF630:$AN630,'분류_규칙'!$A$5:$A$76,'분류_규칙'!$E$5:$E$76,0))</x:f>
        <x:v>10</x:v>
      </x:c>
      <x:c r="F630" s="10" t="n">
        <x:f>SUM(XLOOKUP('포켓몬_편집'!$AF630:$AN630,'분류_규칙'!$A$5:$A$76,'분류_규칙'!$F$5:$F$76,0))</x:f>
        <x:v>7</x:v>
      </x:c>
      <x:c r="G630" s="10" t="n">
        <x:f>SUM(XLOOKUP('포켓몬_편집'!$AF630:$AN630,'분류_규칙'!$A$5:$A$76,'분류_규칙'!$G$5:$G$76,0))</x:f>
        <x:v>5</x:v>
      </x:c>
      <x:c r="H630" s="10" t="n">
        <x:f>SUM(XLOOKUP('포켓몬_편집'!$AF630:$AN630,'분류_규칙'!$A$5:$A$76,'분류_규칙'!$H$5:$H$76,0))</x:f>
        <x:v>5</x:v>
      </x:c>
      <x:c r="I630" s="10" t="n">
        <x:f>SUM(XLOOKUP('포켓몬_편집'!$AF630:$AN630,'분류_규칙'!$A$5:$A$76,'분류_규칙'!$I$5:$I$76,0))</x:f>
        <x:v>0</x:v>
      </x:c>
      <x:c r="J630" s="10" t="n">
        <x:f>SUM(XLOOKUP('포켓몬_편집'!$AF630:$AN630,'분류_규칙'!$A$5:$A$76,'분류_규칙'!$J$5:$J$76,0))</x:f>
        <x:v>2</x:v>
      </x:c>
      <x:c r="K630" s="10" t="n">
        <x:f>SUM(XLOOKUP('포켓몬_편집'!$AF630:$AN630,'분류_규칙'!$A$5:$A$76,'분류_규칙'!$K$5:$K$76,0))</x:f>
        <x:v>0</x:v>
      </x:c>
      <x:c r="L630" s="10" t="n">
        <x:f>SUM(XLOOKUP('포켓몬_편집'!$AF630:$AN630,'분류_규칙'!$A$5:$A$76,'분류_규칙'!$L$5:$L$76,0))</x:f>
        <x:v>0</x:v>
      </x:c>
      <x:c r="M630" s="10" t="n">
        <x:f>SUM(XLOOKUP('포켓몬_편집'!$AF630:$AN630,'분류_규칙'!$A$5:$A$76,'분류_규칙'!$M$5:$M$76,0))</x:f>
        <x:v>0</x:v>
      </x:c>
      <x:c r="N630" s="10" t="n">
        <x:f>SUM(XLOOKUP('포켓몬_편집'!$AF630:$AN630,'분류_규칙'!$A$5:$A$76,'분류_규칙'!$N$5:$N$76,0))</x:f>
        <x:v>0</x:v>
      </x:c>
      <x:c r="O630" s="10" t="n">
        <x:f>SUM(XLOOKUP('포켓몬_편집'!$AF630:$AN630,'분류_규칙'!$A$5:$A$76,'분류_규칙'!$O$5:$O$76,0))</x:f>
        <x:v>2</x:v>
      </x:c>
      <x:c r="P630" s="10" t="n">
        <x:f>SUM(XLOOKUP('포켓몬_편집'!$AF630:$AN630,'분류_규칙'!$A$5:$A$76,'분류_규칙'!$P$5:$P$76,0))</x:f>
        <x:v>0</x:v>
      </x:c>
    </x:row>
    <x:row r="631" ht="22" customHeight="1">
      <x:c r="A631" s="5" t="n">
        <x:v>627</x:v>
      </x:c>
      <x:c r="B631" s="5" t="inlineStr">
        <x:is>
          <x:t xml:space="preserve">수리둥보</x:t>
        </x:is>
      </x:c>
      <x:c r="C631" s="5" t="inlineStr">
        <x:is>
          <x:t xml:space="preserve">rufflet</x:t>
        </x:is>
      </x:c>
      <x:c r="D631" s="5" t="n">
        <x:v>5</x:v>
      </x:c>
      <x:c r="E631" s="10" t="n">
        <x:f>SUM(XLOOKUP('포켓몬_편집'!$AF631:$AN631,'분류_규칙'!$A$5:$A$76,'분류_규칙'!$E$5:$E$76,0))</x:f>
        <x:v>8</x:v>
      </x:c>
      <x:c r="F631" s="10" t="n">
        <x:f>SUM(XLOOKUP('포켓몬_편집'!$AF631:$AN631,'분류_규칙'!$A$5:$A$76,'분류_규칙'!$F$5:$F$76,0))</x:f>
        <x:v>8</x:v>
      </x:c>
      <x:c r="G631" s="10" t="n">
        <x:f>SUM(XLOOKUP('포켓몬_편집'!$AF631:$AN631,'분류_규칙'!$A$5:$A$76,'분류_규칙'!$G$5:$G$76,0))</x:f>
        <x:v>0</x:v>
      </x:c>
      <x:c r="H631" s="10" t="n">
        <x:f>SUM(XLOOKUP('포켓몬_편집'!$AF631:$AN631,'분류_규칙'!$A$5:$A$76,'분류_규칙'!$H$5:$H$76,0))</x:f>
        <x:v>12</x:v>
      </x:c>
      <x:c r="I631" s="10" t="n">
        <x:f>SUM(XLOOKUP('포켓몬_편집'!$AF631:$AN631,'분류_규칙'!$A$5:$A$76,'분류_규칙'!$I$5:$I$76,0))</x:f>
        <x:v>0</x:v>
      </x:c>
      <x:c r="J631" s="10" t="n">
        <x:f>SUM(XLOOKUP('포켓몬_편집'!$AF631:$AN631,'분류_규칙'!$A$5:$A$76,'분류_규칙'!$J$5:$J$76,0))</x:f>
        <x:v>0</x:v>
      </x:c>
      <x:c r="K631" s="10" t="n">
        <x:f>SUM(XLOOKUP('포켓몬_편집'!$AF631:$AN631,'분류_규칙'!$A$5:$A$76,'분류_규칙'!$K$5:$K$76,0))</x:f>
        <x:v>0</x:v>
      </x:c>
      <x:c r="L631" s="10" t="n">
        <x:f>SUM(XLOOKUP('포켓몬_편집'!$AF631:$AN631,'분류_규칙'!$A$5:$A$76,'분류_규칙'!$L$5:$L$76,0))</x:f>
        <x:v>3</x:v>
      </x:c>
      <x:c r="M631" s="10" t="n">
        <x:f>SUM(XLOOKUP('포켓몬_편집'!$AF631:$AN631,'분류_규칙'!$A$5:$A$76,'분류_규칙'!$M$5:$M$76,0))</x:f>
        <x:v>0</x:v>
      </x:c>
      <x:c r="N631" s="10" t="n">
        <x:f>SUM(XLOOKUP('포켓몬_편집'!$AF631:$AN631,'분류_규칙'!$A$5:$A$76,'분류_규칙'!$N$5:$N$76,0))</x:f>
        <x:v>0</x:v>
      </x:c>
      <x:c r="O631" s="10" t="n">
        <x:f>SUM(XLOOKUP('포켓몬_편집'!$AF631:$AN631,'분류_규칙'!$A$5:$A$76,'분류_규칙'!$O$5:$O$76,0))</x:f>
        <x:v>2</x:v>
      </x:c>
      <x:c r="P631" s="10" t="n">
        <x:f>SUM(XLOOKUP('포켓몬_편집'!$AF631:$AN631,'분류_규칙'!$A$5:$A$76,'분류_규칙'!$P$5:$P$76,0))</x:f>
        <x:v>0</x:v>
      </x:c>
    </x:row>
    <x:row r="632" ht="22" customHeight="1">
      <x:c r="A632" s="5" t="n">
        <x:v>628</x:v>
      </x:c>
      <x:c r="B632" s="5" t="inlineStr">
        <x:is>
          <x:t xml:space="preserve">워글</x:t>
        </x:is>
      </x:c>
      <x:c r="C632" s="5" t="inlineStr">
        <x:is>
          <x:t xml:space="preserve">braviary</x:t>
        </x:is>
      </x:c>
      <x:c r="D632" s="5" t="n">
        <x:v>5</x:v>
      </x:c>
      <x:c r="E632" s="10" t="n">
        <x:f>SUM(XLOOKUP('포켓몬_편집'!$AF632:$AN632,'분류_규칙'!$A$5:$A$76,'분류_규칙'!$E$5:$E$76,0))</x:f>
        <x:v>8</x:v>
      </x:c>
      <x:c r="F632" s="10" t="n">
        <x:f>SUM(XLOOKUP('포켓몬_편집'!$AF632:$AN632,'분류_규칙'!$A$5:$A$76,'분류_규칙'!$F$5:$F$76,0))</x:f>
        <x:v>8</x:v>
      </x:c>
      <x:c r="G632" s="10" t="n">
        <x:f>SUM(XLOOKUP('포켓몬_편집'!$AF632:$AN632,'분류_규칙'!$A$5:$A$76,'분류_규칙'!$G$5:$G$76,0))</x:f>
        <x:v>0</x:v>
      </x:c>
      <x:c r="H632" s="10" t="n">
        <x:f>SUM(XLOOKUP('포켓몬_편집'!$AF632:$AN632,'분류_규칙'!$A$5:$A$76,'분류_규칙'!$H$5:$H$76,0))</x:f>
        <x:v>12</x:v>
      </x:c>
      <x:c r="I632" s="10" t="n">
        <x:f>SUM(XLOOKUP('포켓몬_편집'!$AF632:$AN632,'분류_규칙'!$A$5:$A$76,'분류_규칙'!$I$5:$I$76,0))</x:f>
        <x:v>0</x:v>
      </x:c>
      <x:c r="J632" s="10" t="n">
        <x:f>SUM(XLOOKUP('포켓몬_편집'!$AF632:$AN632,'분류_규칙'!$A$5:$A$76,'분류_규칙'!$J$5:$J$76,0))</x:f>
        <x:v>0</x:v>
      </x:c>
      <x:c r="K632" s="10" t="n">
        <x:f>SUM(XLOOKUP('포켓몬_편집'!$AF632:$AN632,'분류_규칙'!$A$5:$A$76,'분류_규칙'!$K$5:$K$76,0))</x:f>
        <x:v>0</x:v>
      </x:c>
      <x:c r="L632" s="10" t="n">
        <x:f>SUM(XLOOKUP('포켓몬_편집'!$AF632:$AN632,'분류_규칙'!$A$5:$A$76,'분류_규칙'!$L$5:$L$76,0))</x:f>
        <x:v>3</x:v>
      </x:c>
      <x:c r="M632" s="10" t="n">
        <x:f>SUM(XLOOKUP('포켓몬_편집'!$AF632:$AN632,'분류_규칙'!$A$5:$A$76,'분류_규칙'!$M$5:$M$76,0))</x:f>
        <x:v>0</x:v>
      </x:c>
      <x:c r="N632" s="10" t="n">
        <x:f>SUM(XLOOKUP('포켓몬_편집'!$AF632:$AN632,'분류_규칙'!$A$5:$A$76,'분류_규칙'!$N$5:$N$76,0))</x:f>
        <x:v>0</x:v>
      </x:c>
      <x:c r="O632" s="10" t="n">
        <x:f>SUM(XLOOKUP('포켓몬_편집'!$AF632:$AN632,'분류_규칙'!$A$5:$A$76,'분류_규칙'!$O$5:$O$76,0))</x:f>
        <x:v>2</x:v>
      </x:c>
      <x:c r="P632" s="10" t="n">
        <x:f>SUM(XLOOKUP('포켓몬_편집'!$AF632:$AN632,'분류_규칙'!$A$5:$A$76,'분류_규칙'!$P$5:$P$76,0))</x:f>
        <x:v>0</x:v>
      </x:c>
    </x:row>
    <x:row r="633" ht="22" customHeight="1">
      <x:c r="A633" s="5" t="n">
        <x:v>629</x:v>
      </x:c>
      <x:c r="B633" s="5" t="inlineStr">
        <x:is>
          <x:t xml:space="preserve">벌차이</x:t>
        </x:is>
      </x:c>
      <x:c r="C633" s="5" t="inlineStr">
        <x:is>
          <x:t xml:space="preserve">vullaby</x:t>
        </x:is>
      </x:c>
      <x:c r="D633" s="5" t="n">
        <x:v>5</x:v>
      </x:c>
      <x:c r="E633" s="10" t="n">
        <x:f>SUM(XLOOKUP('포켓몬_편집'!$AF633:$AN633,'분류_규칙'!$A$5:$A$76,'분류_규칙'!$E$5:$E$76,0))</x:f>
        <x:v>8</x:v>
      </x:c>
      <x:c r="F633" s="10" t="n">
        <x:f>SUM(XLOOKUP('포켓몬_편집'!$AF633:$AN633,'분류_규칙'!$A$5:$A$76,'분류_규칙'!$F$5:$F$76,0))</x:f>
        <x:v>8</x:v>
      </x:c>
      <x:c r="G633" s="10" t="n">
        <x:f>SUM(XLOOKUP('포켓몬_편집'!$AF633:$AN633,'분류_규칙'!$A$5:$A$76,'분류_규칙'!$G$5:$G$76,0))</x:f>
        <x:v>0</x:v>
      </x:c>
      <x:c r="H633" s="10" t="n">
        <x:f>SUM(XLOOKUP('포켓몬_편집'!$AF633:$AN633,'분류_규칙'!$A$5:$A$76,'분류_규칙'!$H$5:$H$76,0))</x:f>
        <x:v>12</x:v>
      </x:c>
      <x:c r="I633" s="10" t="n">
        <x:f>SUM(XLOOKUP('포켓몬_편집'!$AF633:$AN633,'분류_규칙'!$A$5:$A$76,'분류_규칙'!$I$5:$I$76,0))</x:f>
        <x:v>0</x:v>
      </x:c>
      <x:c r="J633" s="10" t="n">
        <x:f>SUM(XLOOKUP('포켓몬_편집'!$AF633:$AN633,'분류_규칙'!$A$5:$A$76,'분류_규칙'!$J$5:$J$76,0))</x:f>
        <x:v>0</x:v>
      </x:c>
      <x:c r="K633" s="10" t="n">
        <x:f>SUM(XLOOKUP('포켓몬_편집'!$AF633:$AN633,'분류_규칙'!$A$5:$A$76,'분류_규칙'!$K$5:$K$76,0))</x:f>
        <x:v>0</x:v>
      </x:c>
      <x:c r="L633" s="10" t="n">
        <x:f>SUM(XLOOKUP('포켓몬_편집'!$AF633:$AN633,'분류_규칙'!$A$5:$A$76,'분류_규칙'!$L$5:$L$76,0))</x:f>
        <x:v>3</x:v>
      </x:c>
      <x:c r="M633" s="10" t="n">
        <x:f>SUM(XLOOKUP('포켓몬_편집'!$AF633:$AN633,'분류_규칙'!$A$5:$A$76,'분류_규칙'!$M$5:$M$76,0))</x:f>
        <x:v>0</x:v>
      </x:c>
      <x:c r="N633" s="10" t="n">
        <x:f>SUM(XLOOKUP('포켓몬_편집'!$AF633:$AN633,'분류_규칙'!$A$5:$A$76,'분류_규칙'!$N$5:$N$76,0))</x:f>
        <x:v>0</x:v>
      </x:c>
      <x:c r="O633" s="10" t="n">
        <x:f>SUM(XLOOKUP('포켓몬_편집'!$AF633:$AN633,'분류_규칙'!$A$5:$A$76,'분류_규칙'!$O$5:$O$76,0))</x:f>
        <x:v>2</x:v>
      </x:c>
      <x:c r="P633" s="10" t="n">
        <x:f>SUM(XLOOKUP('포켓몬_편집'!$AF633:$AN633,'분류_규칙'!$A$5:$A$76,'분류_규칙'!$P$5:$P$76,0))</x:f>
        <x:v>0</x:v>
      </x:c>
    </x:row>
    <x:row r="634" ht="22" customHeight="1">
      <x:c r="A634" s="5" t="n">
        <x:v>630</x:v>
      </x:c>
      <x:c r="B634" s="5" t="inlineStr">
        <x:is>
          <x:t xml:space="preserve">버랜지나</x:t>
        </x:is>
      </x:c>
      <x:c r="C634" s="5" t="inlineStr">
        <x:is>
          <x:t xml:space="preserve">mandibuzz</x:t>
        </x:is>
      </x:c>
      <x:c r="D634" s="5" t="n">
        <x:v>5</x:v>
      </x:c>
      <x:c r="E634" s="10" t="n">
        <x:f>SUM(XLOOKUP('포켓몬_편집'!$AF634:$AN634,'분류_규칙'!$A$5:$A$76,'분류_규칙'!$E$5:$E$76,0))</x:f>
        <x:v>8</x:v>
      </x:c>
      <x:c r="F634" s="10" t="n">
        <x:f>SUM(XLOOKUP('포켓몬_편집'!$AF634:$AN634,'분류_규칙'!$A$5:$A$76,'분류_규칙'!$F$5:$F$76,0))</x:f>
        <x:v>8</x:v>
      </x:c>
      <x:c r="G634" s="10" t="n">
        <x:f>SUM(XLOOKUP('포켓몬_편집'!$AF634:$AN634,'분류_규칙'!$A$5:$A$76,'분류_규칙'!$G$5:$G$76,0))</x:f>
        <x:v>0</x:v>
      </x:c>
      <x:c r="H634" s="10" t="n">
        <x:f>SUM(XLOOKUP('포켓몬_편집'!$AF634:$AN634,'분류_규칙'!$A$5:$A$76,'분류_규칙'!$H$5:$H$76,0))</x:f>
        <x:v>12</x:v>
      </x:c>
      <x:c r="I634" s="10" t="n">
        <x:f>SUM(XLOOKUP('포켓몬_편집'!$AF634:$AN634,'분류_규칙'!$A$5:$A$76,'분류_규칙'!$I$5:$I$76,0))</x:f>
        <x:v>0</x:v>
      </x:c>
      <x:c r="J634" s="10" t="n">
        <x:f>SUM(XLOOKUP('포켓몬_편집'!$AF634:$AN634,'분류_규칙'!$A$5:$A$76,'분류_규칙'!$J$5:$J$76,0))</x:f>
        <x:v>0</x:v>
      </x:c>
      <x:c r="K634" s="10" t="n">
        <x:f>SUM(XLOOKUP('포켓몬_편집'!$AF634:$AN634,'분류_규칙'!$A$5:$A$76,'분류_규칙'!$K$5:$K$76,0))</x:f>
        <x:v>0</x:v>
      </x:c>
      <x:c r="L634" s="10" t="n">
        <x:f>SUM(XLOOKUP('포켓몬_편집'!$AF634:$AN634,'분류_규칙'!$A$5:$A$76,'분류_규칙'!$L$5:$L$76,0))</x:f>
        <x:v>3</x:v>
      </x:c>
      <x:c r="M634" s="10" t="n">
        <x:f>SUM(XLOOKUP('포켓몬_편집'!$AF634:$AN634,'분류_규칙'!$A$5:$A$76,'분류_규칙'!$M$5:$M$76,0))</x:f>
        <x:v>0</x:v>
      </x:c>
      <x:c r="N634" s="10" t="n">
        <x:f>SUM(XLOOKUP('포켓몬_편집'!$AF634:$AN634,'분류_규칙'!$A$5:$A$76,'분류_규칙'!$N$5:$N$76,0))</x:f>
        <x:v>0</x:v>
      </x:c>
      <x:c r="O634" s="10" t="n">
        <x:f>SUM(XLOOKUP('포켓몬_편집'!$AF634:$AN634,'분류_규칙'!$A$5:$A$76,'분류_규칙'!$O$5:$O$76,0))</x:f>
        <x:v>2</x:v>
      </x:c>
      <x:c r="P634" s="10" t="n">
        <x:f>SUM(XLOOKUP('포켓몬_편집'!$AF634:$AN634,'분류_규칙'!$A$5:$A$76,'분류_규칙'!$P$5:$P$76,0))</x:f>
        <x:v>0</x:v>
      </x:c>
    </x:row>
    <x:row r="635" ht="22" customHeight="1">
      <x:c r="A635" s="5" t="n">
        <x:v>631</x:v>
      </x:c>
      <x:c r="B635" s="5" t="inlineStr">
        <x:is>
          <x:t xml:space="preserve">앤티골</x:t>
        </x:is>
      </x:c>
      <x:c r="C635" s="5" t="inlineStr">
        <x:is>
          <x:t xml:space="preserve">heatmor</x:t>
        </x:is>
      </x:c>
      <x:c r="D635" s="5" t="n">
        <x:v>5</x:v>
      </x:c>
      <x:c r="E635" s="10" t="n">
        <x:f>SUM(XLOOKUP('포켓몬_편집'!$AF635:$AN635,'분류_규칙'!$A$5:$A$76,'분류_규칙'!$E$5:$E$76,0))</x:f>
        <x:v>10</x:v>
      </x:c>
      <x:c r="F635" s="10" t="n">
        <x:f>SUM(XLOOKUP('포켓몬_편집'!$AF635:$AN635,'분류_규칙'!$A$5:$A$76,'분류_규칙'!$F$5:$F$76,0))</x:f>
        <x:v>7</x:v>
      </x:c>
      <x:c r="G635" s="10" t="n">
        <x:f>SUM(XLOOKUP('포켓몬_편집'!$AF635:$AN635,'분류_규칙'!$A$5:$A$76,'분류_규칙'!$G$5:$G$76,0))</x:f>
        <x:v>5</x:v>
      </x:c>
      <x:c r="H635" s="10" t="n">
        <x:f>SUM(XLOOKUP('포켓몬_편집'!$AF635:$AN635,'분류_규칙'!$A$5:$A$76,'분류_규칙'!$H$5:$H$76,0))</x:f>
        <x:v>5</x:v>
      </x:c>
      <x:c r="I635" s="10" t="n">
        <x:f>SUM(XLOOKUP('포켓몬_편집'!$AF635:$AN635,'분류_규칙'!$A$5:$A$76,'분류_규칙'!$I$5:$I$76,0))</x:f>
        <x:v>0</x:v>
      </x:c>
      <x:c r="J635" s="10" t="n">
        <x:f>SUM(XLOOKUP('포켓몬_편집'!$AF635:$AN635,'분류_규칙'!$A$5:$A$76,'분류_규칙'!$J$5:$J$76,0))</x:f>
        <x:v>2</x:v>
      </x:c>
      <x:c r="K635" s="10" t="n">
        <x:f>SUM(XLOOKUP('포켓몬_편집'!$AF635:$AN635,'분류_규칙'!$A$5:$A$76,'분류_규칙'!$K$5:$K$76,0))</x:f>
        <x:v>0</x:v>
      </x:c>
      <x:c r="L635" s="10" t="n">
        <x:f>SUM(XLOOKUP('포켓몬_편집'!$AF635:$AN635,'분류_규칙'!$A$5:$A$76,'분류_규칙'!$L$5:$L$76,0))</x:f>
        <x:v>0</x:v>
      </x:c>
      <x:c r="M635" s="10" t="n">
        <x:f>SUM(XLOOKUP('포켓몬_편집'!$AF635:$AN635,'분류_규칙'!$A$5:$A$76,'분류_규칙'!$M$5:$M$76,0))</x:f>
        <x:v>0</x:v>
      </x:c>
      <x:c r="N635" s="10" t="n">
        <x:f>SUM(XLOOKUP('포켓몬_편집'!$AF635:$AN635,'분류_규칙'!$A$5:$A$76,'분류_규칙'!$N$5:$N$76,0))</x:f>
        <x:v>0</x:v>
      </x:c>
      <x:c r="O635" s="10" t="n">
        <x:f>SUM(XLOOKUP('포켓몬_편집'!$AF635:$AN635,'분류_규칙'!$A$5:$A$76,'분류_규칙'!$O$5:$O$76,0))</x:f>
        <x:v>2</x:v>
      </x:c>
      <x:c r="P635" s="10" t="n">
        <x:f>SUM(XLOOKUP('포켓몬_편집'!$AF635:$AN635,'분류_규칙'!$A$5:$A$76,'분류_규칙'!$P$5:$P$76,0))</x:f>
        <x:v>0</x:v>
      </x:c>
    </x:row>
    <x:row r="636" ht="22" customHeight="1">
      <x:c r="A636" s="5" t="n">
        <x:v>632</x:v>
      </x:c>
      <x:c r="B636" s="5" t="inlineStr">
        <x:is>
          <x:t xml:space="preserve">아이앤트</x:t>
        </x:is>
      </x:c>
      <x:c r="C636" s="5" t="inlineStr">
        <x:is>
          <x:t xml:space="preserve">durant</x:t>
        </x:is>
      </x:c>
      <x:c r="D636" s="5" t="n">
        <x:v>5</x:v>
      </x:c>
      <x:c r="E636" s="10" t="n">
        <x:f>SUM(XLOOKUP('포켓몬_편집'!$AF636:$AN636,'분류_규칙'!$A$5:$A$76,'분류_규칙'!$E$5:$E$76,0))</x:f>
        <x:v>10</x:v>
      </x:c>
      <x:c r="F636" s="10" t="n">
        <x:f>SUM(XLOOKUP('포켓몬_편집'!$AF636:$AN636,'분류_규칙'!$A$5:$A$76,'분류_규칙'!$F$5:$F$76,0))</x:f>
        <x:v>7</x:v>
      </x:c>
      <x:c r="G636" s="10" t="n">
        <x:f>SUM(XLOOKUP('포켓몬_편집'!$AF636:$AN636,'분류_규칙'!$A$5:$A$76,'분류_규칙'!$G$5:$G$76,0))</x:f>
        <x:v>5</x:v>
      </x:c>
      <x:c r="H636" s="10" t="n">
        <x:f>SUM(XLOOKUP('포켓몬_편집'!$AF636:$AN636,'분류_규칙'!$A$5:$A$76,'분류_규칙'!$H$5:$H$76,0))</x:f>
        <x:v>5</x:v>
      </x:c>
      <x:c r="I636" s="10" t="n">
        <x:f>SUM(XLOOKUP('포켓몬_편집'!$AF636:$AN636,'분류_규칙'!$A$5:$A$76,'분류_규칙'!$I$5:$I$76,0))</x:f>
        <x:v>0</x:v>
      </x:c>
      <x:c r="J636" s="10" t="n">
        <x:f>SUM(XLOOKUP('포켓몬_편집'!$AF636:$AN636,'분류_규칙'!$A$5:$A$76,'분류_규칙'!$J$5:$J$76,0))</x:f>
        <x:v>2</x:v>
      </x:c>
      <x:c r="K636" s="10" t="n">
        <x:f>SUM(XLOOKUP('포켓몬_편집'!$AF636:$AN636,'분류_규칙'!$A$5:$A$76,'분류_규칙'!$K$5:$K$76,0))</x:f>
        <x:v>0</x:v>
      </x:c>
      <x:c r="L636" s="10" t="n">
        <x:f>SUM(XLOOKUP('포켓몬_편집'!$AF636:$AN636,'분류_규칙'!$A$5:$A$76,'분류_규칙'!$L$5:$L$76,0))</x:f>
        <x:v>0</x:v>
      </x:c>
      <x:c r="M636" s="10" t="n">
        <x:f>SUM(XLOOKUP('포켓몬_편집'!$AF636:$AN636,'분류_규칙'!$A$5:$A$76,'분류_규칙'!$M$5:$M$76,0))</x:f>
        <x:v>0</x:v>
      </x:c>
      <x:c r="N636" s="10" t="n">
        <x:f>SUM(XLOOKUP('포켓몬_편집'!$AF636:$AN636,'분류_규칙'!$A$5:$A$76,'분류_규칙'!$N$5:$N$76,0))</x:f>
        <x:v>0</x:v>
      </x:c>
      <x:c r="O636" s="10" t="n">
        <x:f>SUM(XLOOKUP('포켓몬_편집'!$AF636:$AN636,'분류_규칙'!$A$5:$A$76,'분류_규칙'!$O$5:$O$76,0))</x:f>
        <x:v>2</x:v>
      </x:c>
      <x:c r="P636" s="10" t="n">
        <x:f>SUM(XLOOKUP('포켓몬_편집'!$AF636:$AN636,'분류_규칙'!$A$5:$A$76,'분류_규칙'!$P$5:$P$76,0))</x:f>
        <x:v>0</x:v>
      </x:c>
    </x:row>
    <x:row r="637" ht="22" customHeight="1">
      <x:c r="A637" s="5" t="n">
        <x:v>633</x:v>
      </x:c>
      <x:c r="B637" s="5" t="inlineStr">
        <x:is>
          <x:t xml:space="preserve">모노두</x:t>
        </x:is>
      </x:c>
      <x:c r="C637" s="5" t="inlineStr">
        <x:is>
          <x:t xml:space="preserve">deino</x:t>
        </x:is>
      </x:c>
      <x:c r="D637" s="5" t="n">
        <x:v>5</x:v>
      </x:c>
      <x:c r="E637" s="10" t="n">
        <x:f>SUM(XLOOKUP('포켓몬_편집'!$AF637:$AN637,'분류_규칙'!$A$5:$A$76,'분류_규칙'!$E$5:$E$76,0))</x:f>
        <x:v>0</x:v>
      </x:c>
      <x:c r="F637" s="10" t="n">
        <x:f>SUM(XLOOKUP('포켓몬_편집'!$AF637:$AN637,'분류_규칙'!$A$5:$A$76,'분류_규칙'!$F$5:$F$76,0))</x:f>
        <x:v>0</x:v>
      </x:c>
      <x:c r="G637" s="10" t="n">
        <x:f>SUM(XLOOKUP('포켓몬_편집'!$AF637:$AN637,'분류_규칙'!$A$5:$A$76,'분류_규칙'!$G$5:$G$76,0))</x:f>
        <x:v>0</x:v>
      </x:c>
      <x:c r="H637" s="10" t="n">
        <x:f>SUM(XLOOKUP('포켓몬_편집'!$AF637:$AN637,'분류_규칙'!$A$5:$A$76,'분류_규칙'!$H$5:$H$76,0))</x:f>
        <x:v>10</x:v>
      </x:c>
      <x:c r="I637" s="10" t="n">
        <x:f>SUM(XLOOKUP('포켓몬_편집'!$AF637:$AN637,'분류_규칙'!$A$5:$A$76,'분류_규칙'!$I$5:$I$76,0))</x:f>
        <x:v>30</x:v>
      </x:c>
      <x:c r="J637" s="10" t="n">
        <x:f>SUM(XLOOKUP('포켓몬_편집'!$AF637:$AN637,'분류_규칙'!$A$5:$A$76,'분류_규칙'!$J$5:$J$76,0))</x:f>
        <x:v>0</x:v>
      </x:c>
      <x:c r="K637" s="10" t="n">
        <x:f>SUM(XLOOKUP('포켓몬_편집'!$AF637:$AN637,'분류_규칙'!$A$5:$A$76,'분류_규칙'!$K$5:$K$76,0))</x:f>
        <x:v>0</x:v>
      </x:c>
      <x:c r="L637" s="10" t="n">
        <x:f>SUM(XLOOKUP('포켓몬_편집'!$AF637:$AN637,'분류_규칙'!$A$5:$A$76,'분류_규칙'!$L$5:$L$76,0))</x:f>
        <x:v>0</x:v>
      </x:c>
      <x:c r="M637" s="10" t="n">
        <x:f>SUM(XLOOKUP('포켓몬_편집'!$AF637:$AN637,'분류_규칙'!$A$5:$A$76,'분류_규칙'!$M$5:$M$76,0))</x:f>
        <x:v>0</x:v>
      </x:c>
      <x:c r="N637" s="10" t="n">
        <x:f>SUM(XLOOKUP('포켓몬_편집'!$AF637:$AN637,'분류_규칙'!$A$5:$A$76,'분류_규칙'!$N$5:$N$76,0))</x:f>
        <x:v>0</x:v>
      </x:c>
      <x:c r="O637" s="10" t="n">
        <x:f>SUM(XLOOKUP('포켓몬_편집'!$AF637:$AN637,'분류_규칙'!$A$5:$A$76,'분류_규칙'!$O$5:$O$76,0))</x:f>
        <x:v>0</x:v>
      </x:c>
      <x:c r="P637" s="10" t="n">
        <x:f>SUM(XLOOKUP('포켓몬_편집'!$AF637:$AN637,'분류_규칙'!$A$5:$A$76,'분류_규칙'!$P$5:$P$76,0))</x:f>
        <x:v>0</x:v>
      </x:c>
    </x:row>
    <x:row r="638" ht="22" customHeight="1">
      <x:c r="A638" s="5" t="n">
        <x:v>634</x:v>
      </x:c>
      <x:c r="B638" s="5" t="inlineStr">
        <x:is>
          <x:t xml:space="preserve">디헤드</x:t>
        </x:is>
      </x:c>
      <x:c r="C638" s="5" t="inlineStr">
        <x:is>
          <x:t xml:space="preserve">zweilous</x:t>
        </x:is>
      </x:c>
      <x:c r="D638" s="5" t="n">
        <x:v>5</x:v>
      </x:c>
      <x:c r="E638" s="10" t="n">
        <x:f>SUM(XLOOKUP('포켓몬_편집'!$AF638:$AN638,'분류_규칙'!$A$5:$A$76,'분류_규칙'!$E$5:$E$76,0))</x:f>
        <x:v>0</x:v>
      </x:c>
      <x:c r="F638" s="10" t="n">
        <x:f>SUM(XLOOKUP('포켓몬_편집'!$AF638:$AN638,'분류_규칙'!$A$5:$A$76,'분류_규칙'!$F$5:$F$76,0))</x:f>
        <x:v>0</x:v>
      </x:c>
      <x:c r="G638" s="10" t="n">
        <x:f>SUM(XLOOKUP('포켓몬_편집'!$AF638:$AN638,'분류_규칙'!$A$5:$A$76,'분류_규칙'!$G$5:$G$76,0))</x:f>
        <x:v>0</x:v>
      </x:c>
      <x:c r="H638" s="10" t="n">
        <x:f>SUM(XLOOKUP('포켓몬_편집'!$AF638:$AN638,'분류_규칙'!$A$5:$A$76,'분류_규칙'!$H$5:$H$76,0))</x:f>
        <x:v>10</x:v>
      </x:c>
      <x:c r="I638" s="10" t="n">
        <x:f>SUM(XLOOKUP('포켓몬_편집'!$AF638:$AN638,'분류_규칙'!$A$5:$A$76,'분류_규칙'!$I$5:$I$76,0))</x:f>
        <x:v>30</x:v>
      </x:c>
      <x:c r="J638" s="10" t="n">
        <x:f>SUM(XLOOKUP('포켓몬_편집'!$AF638:$AN638,'분류_규칙'!$A$5:$A$76,'분류_규칙'!$J$5:$J$76,0))</x:f>
        <x:v>0</x:v>
      </x:c>
      <x:c r="K638" s="10" t="n">
        <x:f>SUM(XLOOKUP('포켓몬_편집'!$AF638:$AN638,'분류_규칙'!$A$5:$A$76,'분류_규칙'!$K$5:$K$76,0))</x:f>
        <x:v>0</x:v>
      </x:c>
      <x:c r="L638" s="10" t="n">
        <x:f>SUM(XLOOKUP('포켓몬_편집'!$AF638:$AN638,'분류_규칙'!$A$5:$A$76,'분류_규칙'!$L$5:$L$76,0))</x:f>
        <x:v>0</x:v>
      </x:c>
      <x:c r="M638" s="10" t="n">
        <x:f>SUM(XLOOKUP('포켓몬_편집'!$AF638:$AN638,'분류_규칙'!$A$5:$A$76,'분류_규칙'!$M$5:$M$76,0))</x:f>
        <x:v>0</x:v>
      </x:c>
      <x:c r="N638" s="10" t="n">
        <x:f>SUM(XLOOKUP('포켓몬_편집'!$AF638:$AN638,'분류_규칙'!$A$5:$A$76,'분류_규칙'!$N$5:$N$76,0))</x:f>
        <x:v>0</x:v>
      </x:c>
      <x:c r="O638" s="10" t="n">
        <x:f>SUM(XLOOKUP('포켓몬_편집'!$AF638:$AN638,'분류_규칙'!$A$5:$A$76,'분류_규칙'!$O$5:$O$76,0))</x:f>
        <x:v>0</x:v>
      </x:c>
      <x:c r="P638" s="10" t="n">
        <x:f>SUM(XLOOKUP('포켓몬_편집'!$AF638:$AN638,'분류_규칙'!$A$5:$A$76,'분류_규칙'!$P$5:$P$76,0))</x:f>
        <x:v>0</x:v>
      </x:c>
    </x:row>
    <x:row r="639" ht="22" customHeight="1">
      <x:c r="A639" s="5" t="n">
        <x:v>635</x:v>
      </x:c>
      <x:c r="B639" s="5" t="inlineStr">
        <x:is>
          <x:t xml:space="preserve">삼삼드래</x:t>
        </x:is>
      </x:c>
      <x:c r="C639" s="5" t="inlineStr">
        <x:is>
          <x:t xml:space="preserve">hydreigon</x:t>
        </x:is>
      </x:c>
      <x:c r="D639" s="5" t="n">
        <x:v>5</x:v>
      </x:c>
      <x:c r="E639" s="10" t="n">
        <x:f>SUM(XLOOKUP('포켓몬_편집'!$AF639:$AN639,'분류_규칙'!$A$5:$A$76,'분류_규칙'!$E$5:$E$76,0))</x:f>
        <x:v>0</x:v>
      </x:c>
      <x:c r="F639" s="10" t="n">
        <x:f>SUM(XLOOKUP('포켓몬_편집'!$AF639:$AN639,'분류_규칙'!$A$5:$A$76,'분류_규칙'!$F$5:$F$76,0))</x:f>
        <x:v>0</x:v>
      </x:c>
      <x:c r="G639" s="10" t="n">
        <x:f>SUM(XLOOKUP('포켓몬_편집'!$AF639:$AN639,'분류_규칙'!$A$5:$A$76,'분류_규칙'!$G$5:$G$76,0))</x:f>
        <x:v>0</x:v>
      </x:c>
      <x:c r="H639" s="10" t="n">
        <x:f>SUM(XLOOKUP('포켓몬_편집'!$AF639:$AN639,'분류_규칙'!$A$5:$A$76,'분류_규칙'!$H$5:$H$76,0))</x:f>
        <x:v>10</x:v>
      </x:c>
      <x:c r="I639" s="10" t="n">
        <x:f>SUM(XLOOKUP('포켓몬_편집'!$AF639:$AN639,'분류_규칙'!$A$5:$A$76,'분류_규칙'!$I$5:$I$76,0))</x:f>
        <x:v>30</x:v>
      </x:c>
      <x:c r="J639" s="10" t="n">
        <x:f>SUM(XLOOKUP('포켓몬_편집'!$AF639:$AN639,'분류_규칙'!$A$5:$A$76,'분류_규칙'!$J$5:$J$76,0))</x:f>
        <x:v>0</x:v>
      </x:c>
      <x:c r="K639" s="10" t="n">
        <x:f>SUM(XLOOKUP('포켓몬_편집'!$AF639:$AN639,'분류_규칙'!$A$5:$A$76,'분류_규칙'!$K$5:$K$76,0))</x:f>
        <x:v>0</x:v>
      </x:c>
      <x:c r="L639" s="10" t="n">
        <x:f>SUM(XLOOKUP('포켓몬_편집'!$AF639:$AN639,'분류_규칙'!$A$5:$A$76,'분류_규칙'!$L$5:$L$76,0))</x:f>
        <x:v>0</x:v>
      </x:c>
      <x:c r="M639" s="10" t="n">
        <x:f>SUM(XLOOKUP('포켓몬_편집'!$AF639:$AN639,'분류_규칙'!$A$5:$A$76,'분류_규칙'!$M$5:$M$76,0))</x:f>
        <x:v>0</x:v>
      </x:c>
      <x:c r="N639" s="10" t="n">
        <x:f>SUM(XLOOKUP('포켓몬_편집'!$AF639:$AN639,'분류_규칙'!$A$5:$A$76,'분류_규칙'!$N$5:$N$76,0))</x:f>
        <x:v>0</x:v>
      </x:c>
      <x:c r="O639" s="10" t="n">
        <x:f>SUM(XLOOKUP('포켓몬_편집'!$AF639:$AN639,'분류_규칙'!$A$5:$A$76,'분류_규칙'!$O$5:$O$76,0))</x:f>
        <x:v>0</x:v>
      </x:c>
      <x:c r="P639" s="10" t="n">
        <x:f>SUM(XLOOKUP('포켓몬_편집'!$AF639:$AN639,'분류_규칙'!$A$5:$A$76,'분류_규칙'!$P$5:$P$76,0))</x:f>
        <x:v>0</x:v>
      </x:c>
    </x:row>
    <x:row r="640" ht="22" customHeight="1">
      <x:c r="A640" s="5" t="n">
        <x:v>636</x:v>
      </x:c>
      <x:c r="B640" s="5" t="inlineStr">
        <x:is>
          <x:t xml:space="preserve">활화르바</x:t>
        </x:is>
      </x:c>
      <x:c r="C640" s="5" t="inlineStr">
        <x:is>
          <x:t xml:space="preserve">larvesta</x:t>
        </x:is>
      </x:c>
      <x:c r="D640" s="5" t="n">
        <x:v>5</x:v>
      </x:c>
      <x:c r="E640" s="10" t="n">
        <x:f>SUM(XLOOKUP('포켓몬_편집'!$AF640:$AN640,'분류_규칙'!$A$5:$A$76,'분류_규칙'!$E$5:$E$76,0))</x:f>
        <x:v>10</x:v>
      </x:c>
      <x:c r="F640" s="10" t="n">
        <x:f>SUM(XLOOKUP('포켓몬_편집'!$AF640:$AN640,'분류_규칙'!$A$5:$A$76,'분류_규칙'!$F$5:$F$76,0))</x:f>
        <x:v>7</x:v>
      </x:c>
      <x:c r="G640" s="10" t="n">
        <x:f>SUM(XLOOKUP('포켓몬_편집'!$AF640:$AN640,'분류_규칙'!$A$5:$A$76,'분류_규칙'!$G$5:$G$76,0))</x:f>
        <x:v>5</x:v>
      </x:c>
      <x:c r="H640" s="10" t="n">
        <x:f>SUM(XLOOKUP('포켓몬_편집'!$AF640:$AN640,'분류_규칙'!$A$5:$A$76,'분류_규칙'!$H$5:$H$76,0))</x:f>
        <x:v>5</x:v>
      </x:c>
      <x:c r="I640" s="10" t="n">
        <x:f>SUM(XLOOKUP('포켓몬_편집'!$AF640:$AN640,'분류_규칙'!$A$5:$A$76,'분류_규칙'!$I$5:$I$76,0))</x:f>
        <x:v>0</x:v>
      </x:c>
      <x:c r="J640" s="10" t="n">
        <x:f>SUM(XLOOKUP('포켓몬_편집'!$AF640:$AN640,'분류_규칙'!$A$5:$A$76,'분류_규칙'!$J$5:$J$76,0))</x:f>
        <x:v>2</x:v>
      </x:c>
      <x:c r="K640" s="10" t="n">
        <x:f>SUM(XLOOKUP('포켓몬_편집'!$AF640:$AN640,'분류_규칙'!$A$5:$A$76,'분류_규칙'!$K$5:$K$76,0))</x:f>
        <x:v>0</x:v>
      </x:c>
      <x:c r="L640" s="10" t="n">
        <x:f>SUM(XLOOKUP('포켓몬_편집'!$AF640:$AN640,'분류_규칙'!$A$5:$A$76,'분류_규칙'!$L$5:$L$76,0))</x:f>
        <x:v>0</x:v>
      </x:c>
      <x:c r="M640" s="10" t="n">
        <x:f>SUM(XLOOKUP('포켓몬_편집'!$AF640:$AN640,'분류_규칙'!$A$5:$A$76,'분류_규칙'!$M$5:$M$76,0))</x:f>
        <x:v>0</x:v>
      </x:c>
      <x:c r="N640" s="10" t="n">
        <x:f>SUM(XLOOKUP('포켓몬_편집'!$AF640:$AN640,'분류_규칙'!$A$5:$A$76,'분류_규칙'!$N$5:$N$76,0))</x:f>
        <x:v>0</x:v>
      </x:c>
      <x:c r="O640" s="10" t="n">
        <x:f>SUM(XLOOKUP('포켓몬_편집'!$AF640:$AN640,'분류_규칙'!$A$5:$A$76,'분류_규칙'!$O$5:$O$76,0))</x:f>
        <x:v>2</x:v>
      </x:c>
      <x:c r="P640" s="10" t="n">
        <x:f>SUM(XLOOKUP('포켓몬_편집'!$AF640:$AN640,'분류_규칙'!$A$5:$A$76,'분류_규칙'!$P$5:$P$76,0))</x:f>
        <x:v>0</x:v>
      </x:c>
    </x:row>
    <x:row r="641" ht="22" customHeight="1">
      <x:c r="A641" s="5" t="n">
        <x:v>637</x:v>
      </x:c>
      <x:c r="B641" s="5" t="inlineStr">
        <x:is>
          <x:t xml:space="preserve">불카모스</x:t>
        </x:is>
      </x:c>
      <x:c r="C641" s="5" t="inlineStr">
        <x:is>
          <x:t xml:space="preserve">volcarona</x:t>
        </x:is>
      </x:c>
      <x:c r="D641" s="5" t="n">
        <x:v>5</x:v>
      </x:c>
      <x:c r="E641" s="10" t="n">
        <x:f>SUM(XLOOKUP('포켓몬_편집'!$AF641:$AN641,'분류_규칙'!$A$5:$A$76,'분류_규칙'!$E$5:$E$76,0))</x:f>
        <x:v>8</x:v>
      </x:c>
      <x:c r="F641" s="10" t="n">
        <x:f>SUM(XLOOKUP('포켓몬_편집'!$AF641:$AN641,'분류_규칙'!$A$5:$A$76,'분류_규칙'!$F$5:$F$76,0))</x:f>
        <x:v>8</x:v>
      </x:c>
      <x:c r="G641" s="10" t="n">
        <x:f>SUM(XLOOKUP('포켓몬_편집'!$AF641:$AN641,'분류_규칙'!$A$5:$A$76,'분류_규칙'!$G$5:$G$76,0))</x:f>
        <x:v>0</x:v>
      </x:c>
      <x:c r="H641" s="10" t="n">
        <x:f>SUM(XLOOKUP('포켓몬_편집'!$AF641:$AN641,'분류_규칙'!$A$5:$A$76,'분류_규칙'!$H$5:$H$76,0))</x:f>
        <x:v>12</x:v>
      </x:c>
      <x:c r="I641" s="10" t="n">
        <x:f>SUM(XLOOKUP('포켓몬_편집'!$AF641:$AN641,'분류_규칙'!$A$5:$A$76,'분류_규칙'!$I$5:$I$76,0))</x:f>
        <x:v>0</x:v>
      </x:c>
      <x:c r="J641" s="10" t="n">
        <x:f>SUM(XLOOKUP('포켓몬_편집'!$AF641:$AN641,'분류_규칙'!$A$5:$A$76,'분류_규칙'!$J$5:$J$76,0))</x:f>
        <x:v>0</x:v>
      </x:c>
      <x:c r="K641" s="10" t="n">
        <x:f>SUM(XLOOKUP('포켓몬_편집'!$AF641:$AN641,'분류_규칙'!$A$5:$A$76,'분류_규칙'!$K$5:$K$76,0))</x:f>
        <x:v>0</x:v>
      </x:c>
      <x:c r="L641" s="10" t="n">
        <x:f>SUM(XLOOKUP('포켓몬_편집'!$AF641:$AN641,'분류_규칙'!$A$5:$A$76,'분류_규칙'!$L$5:$L$76,0))</x:f>
        <x:v>3</x:v>
      </x:c>
      <x:c r="M641" s="10" t="n">
        <x:f>SUM(XLOOKUP('포켓몬_편집'!$AF641:$AN641,'분류_규칙'!$A$5:$A$76,'분류_규칙'!$M$5:$M$76,0))</x:f>
        <x:v>0</x:v>
      </x:c>
      <x:c r="N641" s="10" t="n">
        <x:f>SUM(XLOOKUP('포켓몬_편집'!$AF641:$AN641,'분류_규칙'!$A$5:$A$76,'분류_규칙'!$N$5:$N$76,0))</x:f>
        <x:v>0</x:v>
      </x:c>
      <x:c r="O641" s="10" t="n">
        <x:f>SUM(XLOOKUP('포켓몬_편집'!$AF641:$AN641,'분류_규칙'!$A$5:$A$76,'분류_규칙'!$O$5:$O$76,0))</x:f>
        <x:v>2</x:v>
      </x:c>
      <x:c r="P641" s="10" t="n">
        <x:f>SUM(XLOOKUP('포켓몬_편집'!$AF641:$AN641,'분류_규칙'!$A$5:$A$76,'분류_규칙'!$P$5:$P$76,0))</x:f>
        <x:v>0</x:v>
      </x:c>
    </x:row>
    <x:row r="642" ht="22" customHeight="1">
      <x:c r="A642" s="5" t="n">
        <x:v>638</x:v>
      </x:c>
      <x:c r="B642" s="5" t="inlineStr">
        <x:is>
          <x:t xml:space="preserve">코바르온</x:t>
        </x:is>
      </x:c>
      <x:c r="C642" s="5" t="inlineStr">
        <x:is>
          <x:t xml:space="preserve">cobalion</x:t>
        </x:is>
      </x:c>
      <x:c r="D642" s="5" t="n">
        <x:v>5</x:v>
      </x:c>
      <x:c r="E642" s="10" t="n">
        <x:f>SUM(XLOOKUP('포켓몬_편집'!$AF642:$AN642,'분류_규칙'!$A$5:$A$76,'분류_규칙'!$E$5:$E$76,0))</x:f>
        <x:v>10</x:v>
      </x:c>
      <x:c r="F642" s="10" t="n">
        <x:f>SUM(XLOOKUP('포켓몬_편집'!$AF642:$AN642,'분류_규칙'!$A$5:$A$76,'분류_규칙'!$F$5:$F$76,0))</x:f>
        <x:v>7</x:v>
      </x:c>
      <x:c r="G642" s="10" t="n">
        <x:f>SUM(XLOOKUP('포켓몬_편집'!$AF642:$AN642,'분류_규칙'!$A$5:$A$76,'분류_규칙'!$G$5:$G$76,0))</x:f>
        <x:v>5</x:v>
      </x:c>
      <x:c r="H642" s="10" t="n">
        <x:f>SUM(XLOOKUP('포켓몬_편집'!$AF642:$AN642,'분류_규칙'!$A$5:$A$76,'분류_규칙'!$H$5:$H$76,0))</x:f>
        <x:v>5</x:v>
      </x:c>
      <x:c r="I642" s="10" t="n">
        <x:f>SUM(XLOOKUP('포켓몬_편집'!$AF642:$AN642,'분류_규칙'!$A$5:$A$76,'분류_규칙'!$I$5:$I$76,0))</x:f>
        <x:v>0</x:v>
      </x:c>
      <x:c r="J642" s="10" t="n">
        <x:f>SUM(XLOOKUP('포켓몬_편집'!$AF642:$AN642,'분류_규칙'!$A$5:$A$76,'분류_규칙'!$J$5:$J$76,0))</x:f>
        <x:v>2</x:v>
      </x:c>
      <x:c r="K642" s="10" t="n">
        <x:f>SUM(XLOOKUP('포켓몬_편집'!$AF642:$AN642,'분류_규칙'!$A$5:$A$76,'분류_규칙'!$K$5:$K$76,0))</x:f>
        <x:v>0</x:v>
      </x:c>
      <x:c r="L642" s="10" t="n">
        <x:f>SUM(XLOOKUP('포켓몬_편집'!$AF642:$AN642,'분류_규칙'!$A$5:$A$76,'분류_규칙'!$L$5:$L$76,0))</x:f>
        <x:v>0</x:v>
      </x:c>
      <x:c r="M642" s="10" t="n">
        <x:f>SUM(XLOOKUP('포켓몬_편집'!$AF642:$AN642,'분류_규칙'!$A$5:$A$76,'분류_규칙'!$M$5:$M$76,0))</x:f>
        <x:v>0</x:v>
      </x:c>
      <x:c r="N642" s="10" t="n">
        <x:f>SUM(XLOOKUP('포켓몬_편집'!$AF642:$AN642,'분류_규칙'!$A$5:$A$76,'분류_규칙'!$N$5:$N$76,0))</x:f>
        <x:v>0</x:v>
      </x:c>
      <x:c r="O642" s="10" t="n">
        <x:f>SUM(XLOOKUP('포켓몬_편집'!$AF642:$AN642,'분류_규칙'!$A$5:$A$76,'분류_규칙'!$O$5:$O$76,0))</x:f>
        <x:v>2</x:v>
      </x:c>
      <x:c r="P642" s="10" t="n">
        <x:f>SUM(XLOOKUP('포켓몬_편집'!$AF642:$AN642,'분류_규칙'!$A$5:$A$76,'분류_규칙'!$P$5:$P$76,0))</x:f>
        <x:v>0</x:v>
      </x:c>
    </x:row>
    <x:row r="643" ht="22" customHeight="1">
      <x:c r="A643" s="5" t="n">
        <x:v>639</x:v>
      </x:c>
      <x:c r="B643" s="5" t="inlineStr">
        <x:is>
          <x:t xml:space="preserve">테라키온</x:t>
        </x:is>
      </x:c>
      <x:c r="C643" s="5" t="inlineStr">
        <x:is>
          <x:t xml:space="preserve">terrakion</x:t>
        </x:is>
      </x:c>
      <x:c r="D643" s="5" t="n">
        <x:v>5</x:v>
      </x:c>
      <x:c r="E643" s="10" t="n">
        <x:f>SUM(XLOOKUP('포켓몬_편집'!$AF643:$AN643,'분류_규칙'!$A$5:$A$76,'분류_규칙'!$E$5:$E$76,0))</x:f>
        <x:v>10</x:v>
      </x:c>
      <x:c r="F643" s="10" t="n">
        <x:f>SUM(XLOOKUP('포켓몬_편집'!$AF643:$AN643,'분류_규칙'!$A$5:$A$76,'분류_규칙'!$F$5:$F$76,0))</x:f>
        <x:v>7</x:v>
      </x:c>
      <x:c r="G643" s="10" t="n">
        <x:f>SUM(XLOOKUP('포켓몬_편집'!$AF643:$AN643,'분류_규칙'!$A$5:$A$76,'분류_규칙'!$G$5:$G$76,0))</x:f>
        <x:v>5</x:v>
      </x:c>
      <x:c r="H643" s="10" t="n">
        <x:f>SUM(XLOOKUP('포켓몬_편집'!$AF643:$AN643,'분류_규칙'!$A$5:$A$76,'분류_규칙'!$H$5:$H$76,0))</x:f>
        <x:v>5</x:v>
      </x:c>
      <x:c r="I643" s="10" t="n">
        <x:f>SUM(XLOOKUP('포켓몬_편집'!$AF643:$AN643,'분류_규칙'!$A$5:$A$76,'분류_규칙'!$I$5:$I$76,0))</x:f>
        <x:v>0</x:v>
      </x:c>
      <x:c r="J643" s="10" t="n">
        <x:f>SUM(XLOOKUP('포켓몬_편집'!$AF643:$AN643,'분류_규칙'!$A$5:$A$76,'분류_규칙'!$J$5:$J$76,0))</x:f>
        <x:v>2</x:v>
      </x:c>
      <x:c r="K643" s="10" t="n">
        <x:f>SUM(XLOOKUP('포켓몬_편집'!$AF643:$AN643,'분류_규칙'!$A$5:$A$76,'분류_규칙'!$K$5:$K$76,0))</x:f>
        <x:v>0</x:v>
      </x:c>
      <x:c r="L643" s="10" t="n">
        <x:f>SUM(XLOOKUP('포켓몬_편집'!$AF643:$AN643,'분류_규칙'!$A$5:$A$76,'분류_규칙'!$L$5:$L$76,0))</x:f>
        <x:v>0</x:v>
      </x:c>
      <x:c r="M643" s="10" t="n">
        <x:f>SUM(XLOOKUP('포켓몬_편집'!$AF643:$AN643,'분류_규칙'!$A$5:$A$76,'분류_규칙'!$M$5:$M$76,0))</x:f>
        <x:v>0</x:v>
      </x:c>
      <x:c r="N643" s="10" t="n">
        <x:f>SUM(XLOOKUP('포켓몬_편집'!$AF643:$AN643,'분류_규칙'!$A$5:$A$76,'분류_규칙'!$N$5:$N$76,0))</x:f>
        <x:v>0</x:v>
      </x:c>
      <x:c r="O643" s="10" t="n">
        <x:f>SUM(XLOOKUP('포켓몬_편집'!$AF643:$AN643,'분류_규칙'!$A$5:$A$76,'분류_규칙'!$O$5:$O$76,0))</x:f>
        <x:v>2</x:v>
      </x:c>
      <x:c r="P643" s="10" t="n">
        <x:f>SUM(XLOOKUP('포켓몬_편집'!$AF643:$AN643,'분류_규칙'!$A$5:$A$76,'분류_규칙'!$P$5:$P$76,0))</x:f>
        <x:v>0</x:v>
      </x:c>
    </x:row>
    <x:row r="644" ht="22" customHeight="1">
      <x:c r="A644" s="5" t="n">
        <x:v>640</x:v>
      </x:c>
      <x:c r="B644" s="5" t="inlineStr">
        <x:is>
          <x:t xml:space="preserve">비리디온</x:t>
        </x:is>
      </x:c>
      <x:c r="C644" s="5" t="inlineStr">
        <x:is>
          <x:t xml:space="preserve">virizion</x:t>
        </x:is>
      </x:c>
      <x:c r="D644" s="5" t="n">
        <x:v>5</x:v>
      </x:c>
      <x:c r="E644" s="10" t="n">
        <x:f>SUM(XLOOKUP('포켓몬_편집'!$AF644:$AN644,'분류_규칙'!$A$5:$A$76,'분류_규칙'!$E$5:$E$76,0))</x:f>
        <x:v>10</x:v>
      </x:c>
      <x:c r="F644" s="10" t="n">
        <x:f>SUM(XLOOKUP('포켓몬_편집'!$AF644:$AN644,'분류_규칙'!$A$5:$A$76,'분류_규칙'!$F$5:$F$76,0))</x:f>
        <x:v>7</x:v>
      </x:c>
      <x:c r="G644" s="10" t="n">
        <x:f>SUM(XLOOKUP('포켓몬_편집'!$AF644:$AN644,'분류_규칙'!$A$5:$A$76,'분류_규칙'!$G$5:$G$76,0))</x:f>
        <x:v>5</x:v>
      </x:c>
      <x:c r="H644" s="10" t="n">
        <x:f>SUM(XLOOKUP('포켓몬_편집'!$AF644:$AN644,'분류_규칙'!$A$5:$A$76,'분류_규칙'!$H$5:$H$76,0))</x:f>
        <x:v>5</x:v>
      </x:c>
      <x:c r="I644" s="10" t="n">
        <x:f>SUM(XLOOKUP('포켓몬_편집'!$AF644:$AN644,'분류_규칙'!$A$5:$A$76,'분류_규칙'!$I$5:$I$76,0))</x:f>
        <x:v>0</x:v>
      </x:c>
      <x:c r="J644" s="10" t="n">
        <x:f>SUM(XLOOKUP('포켓몬_편집'!$AF644:$AN644,'분류_규칙'!$A$5:$A$76,'분류_규칙'!$J$5:$J$76,0))</x:f>
        <x:v>2</x:v>
      </x:c>
      <x:c r="K644" s="10" t="n">
        <x:f>SUM(XLOOKUP('포켓몬_편집'!$AF644:$AN644,'분류_규칙'!$A$5:$A$76,'분류_규칙'!$K$5:$K$76,0))</x:f>
        <x:v>0</x:v>
      </x:c>
      <x:c r="L644" s="10" t="n">
        <x:f>SUM(XLOOKUP('포켓몬_편집'!$AF644:$AN644,'분류_규칙'!$A$5:$A$76,'분류_규칙'!$L$5:$L$76,0))</x:f>
        <x:v>0</x:v>
      </x:c>
      <x:c r="M644" s="10" t="n">
        <x:f>SUM(XLOOKUP('포켓몬_편집'!$AF644:$AN644,'분류_규칙'!$A$5:$A$76,'분류_규칙'!$M$5:$M$76,0))</x:f>
        <x:v>0</x:v>
      </x:c>
      <x:c r="N644" s="10" t="n">
        <x:f>SUM(XLOOKUP('포켓몬_편집'!$AF644:$AN644,'분류_규칙'!$A$5:$A$76,'분류_규칙'!$N$5:$N$76,0))</x:f>
        <x:v>0</x:v>
      </x:c>
      <x:c r="O644" s="10" t="n">
        <x:f>SUM(XLOOKUP('포켓몬_편집'!$AF644:$AN644,'분류_규칙'!$A$5:$A$76,'분류_규칙'!$O$5:$O$76,0))</x:f>
        <x:v>2</x:v>
      </x:c>
      <x:c r="P644" s="10" t="n">
        <x:f>SUM(XLOOKUP('포켓몬_편집'!$AF644:$AN644,'분류_규칙'!$A$5:$A$76,'분류_규칙'!$P$5:$P$76,0))</x:f>
        <x:v>0</x:v>
      </x:c>
    </x:row>
    <x:row r="645" ht="22" customHeight="1">
      <x:c r="A645" s="5" t="n">
        <x:v>641</x:v>
      </x:c>
      <x:c r="B645" s="5" t="inlineStr">
        <x:is>
          <x:t xml:space="preserve">토네로스</x:t>
        </x:is>
      </x:c>
      <x:c r="C645" s="5" t="inlineStr">
        <x:is>
          <x:t xml:space="preserve">tornadus</x:t>
        </x:is>
      </x:c>
      <x:c r="D645" s="5" t="n">
        <x:v>5</x:v>
      </x:c>
      <x:c r="E645" s="10" t="n">
        <x:f>SUM(XLOOKUP('포켓몬_편집'!$AF645:$AN645,'분류_규칙'!$A$5:$A$76,'분류_규칙'!$E$5:$E$76,0))</x:f>
        <x:v>0</x:v>
      </x:c>
      <x:c r="F645" s="10" t="n">
        <x:f>SUM(XLOOKUP('포켓몬_편집'!$AF645:$AN645,'분류_규칙'!$A$5:$A$76,'분류_규칙'!$F$5:$F$76,0))</x:f>
        <x:v>0</x:v>
      </x:c>
      <x:c r="G645" s="10" t="n">
        <x:f>SUM(XLOOKUP('포켓몬_편집'!$AF645:$AN645,'분류_규칙'!$A$5:$A$76,'분류_규칙'!$G$5:$G$76,0))</x:f>
        <x:v>0</x:v>
      </x:c>
      <x:c r="H645" s="10" t="n">
        <x:f>SUM(XLOOKUP('포켓몬_편집'!$AF645:$AN645,'분류_규칙'!$A$5:$A$76,'분류_규칙'!$H$5:$H$76,0))</x:f>
        <x:v>0</x:v>
      </x:c>
      <x:c r="I645" s="10" t="n">
        <x:f>SUM(XLOOKUP('포켓몬_편집'!$AF645:$AN645,'분류_규칙'!$A$5:$A$76,'분류_규칙'!$I$5:$I$76,0))</x:f>
        <x:v>0</x:v>
      </x:c>
      <x:c r="J645" s="10" t="n">
        <x:f>SUM(XLOOKUP('포켓몬_편집'!$AF645:$AN645,'분류_규칙'!$A$5:$A$76,'분류_규칙'!$J$5:$J$76,0))</x:f>
        <x:v>3</x:v>
      </x:c>
      <x:c r="K645" s="10" t="n">
        <x:f>SUM(XLOOKUP('포켓몬_편집'!$AF645:$AN645,'분류_규칙'!$A$5:$A$76,'분류_규칙'!$K$5:$K$76,0))</x:f>
        <x:v>0</x:v>
      </x:c>
      <x:c r="L645" s="10" t="n">
        <x:f>SUM(XLOOKUP('포켓몬_편집'!$AF645:$AN645,'분류_규칙'!$A$5:$A$76,'분류_규칙'!$L$5:$L$76,0))</x:f>
        <x:v>30</x:v>
      </x:c>
      <x:c r="M645" s="10" t="n">
        <x:f>SUM(XLOOKUP('포켓몬_편집'!$AF645:$AN645,'분류_규칙'!$A$5:$A$76,'분류_규칙'!$M$5:$M$76,0))</x:f>
        <x:v>0</x:v>
      </x:c>
      <x:c r="N645" s="10" t="n">
        <x:f>SUM(XLOOKUP('포켓몬_편집'!$AF645:$AN645,'분류_규칙'!$A$5:$A$76,'분류_규칙'!$N$5:$N$76,0))</x:f>
        <x:v>0</x:v>
      </x:c>
      <x:c r="O645" s="10" t="n">
        <x:f>SUM(XLOOKUP('포켓몬_편집'!$AF645:$AN645,'분류_규칙'!$A$5:$A$76,'분류_규칙'!$O$5:$O$76,0))</x:f>
        <x:v>0</x:v>
      </x:c>
      <x:c r="P645" s="10" t="n">
        <x:f>SUM(XLOOKUP('포켓몬_편집'!$AF645:$AN645,'분류_규칙'!$A$5:$A$76,'분류_규칙'!$P$5:$P$76,0))</x:f>
        <x:v>0</x:v>
      </x:c>
    </x:row>
    <x:row r="646" ht="22" customHeight="1">
      <x:c r="A646" s="5" t="n">
        <x:v>642</x:v>
      </x:c>
      <x:c r="B646" s="5" t="inlineStr">
        <x:is>
          <x:t xml:space="preserve">볼트로스</x:t>
        </x:is>
      </x:c>
      <x:c r="C646" s="5" t="inlineStr">
        <x:is>
          <x:t xml:space="preserve">thundurus</x:t>
        </x:is>
      </x:c>
      <x:c r="D646" s="5" t="n">
        <x:v>5</x:v>
      </x:c>
      <x:c r="E646" s="10" t="n">
        <x:f>SUM(XLOOKUP('포켓몬_편집'!$AF646:$AN646,'분류_규칙'!$A$5:$A$76,'분류_규칙'!$E$5:$E$76,0))</x:f>
        <x:v>8</x:v>
      </x:c>
      <x:c r="F646" s="10" t="n">
        <x:f>SUM(XLOOKUP('포켓몬_편집'!$AF646:$AN646,'분류_규칙'!$A$5:$A$76,'분류_규칙'!$F$5:$F$76,0))</x:f>
        <x:v>8</x:v>
      </x:c>
      <x:c r="G646" s="10" t="n">
        <x:f>SUM(XLOOKUP('포켓몬_편집'!$AF646:$AN646,'분류_규칙'!$A$5:$A$76,'분류_규칙'!$G$5:$G$76,0))</x:f>
        <x:v>0</x:v>
      </x:c>
      <x:c r="H646" s="10" t="n">
        <x:f>SUM(XLOOKUP('포켓몬_편집'!$AF646:$AN646,'분류_규칙'!$A$5:$A$76,'분류_규칙'!$H$5:$H$76,0))</x:f>
        <x:v>12</x:v>
      </x:c>
      <x:c r="I646" s="10" t="n">
        <x:f>SUM(XLOOKUP('포켓몬_편집'!$AF646:$AN646,'분류_규칙'!$A$5:$A$76,'분류_규칙'!$I$5:$I$76,0))</x:f>
        <x:v>0</x:v>
      </x:c>
      <x:c r="J646" s="10" t="n">
        <x:f>SUM(XLOOKUP('포켓몬_편집'!$AF646:$AN646,'분류_규칙'!$A$5:$A$76,'분류_규칙'!$J$5:$J$76,0))</x:f>
        <x:v>0</x:v>
      </x:c>
      <x:c r="K646" s="10" t="n">
        <x:f>SUM(XLOOKUP('포켓몬_편집'!$AF646:$AN646,'분류_규칙'!$A$5:$A$76,'분류_규칙'!$K$5:$K$76,0))</x:f>
        <x:v>0</x:v>
      </x:c>
      <x:c r="L646" s="10" t="n">
        <x:f>SUM(XLOOKUP('포켓몬_편집'!$AF646:$AN646,'분류_규칙'!$A$5:$A$76,'분류_규칙'!$L$5:$L$76,0))</x:f>
        <x:v>3</x:v>
      </x:c>
      <x:c r="M646" s="10" t="n">
        <x:f>SUM(XLOOKUP('포켓몬_편집'!$AF646:$AN646,'분류_규칙'!$A$5:$A$76,'분류_규칙'!$M$5:$M$76,0))</x:f>
        <x:v>0</x:v>
      </x:c>
      <x:c r="N646" s="10" t="n">
        <x:f>SUM(XLOOKUP('포켓몬_편집'!$AF646:$AN646,'분류_규칙'!$A$5:$A$76,'분류_규칙'!$N$5:$N$76,0))</x:f>
        <x:v>0</x:v>
      </x:c>
      <x:c r="O646" s="10" t="n">
        <x:f>SUM(XLOOKUP('포켓몬_편집'!$AF646:$AN646,'분류_규칙'!$A$5:$A$76,'분류_규칙'!$O$5:$O$76,0))</x:f>
        <x:v>2</x:v>
      </x:c>
      <x:c r="P646" s="10" t="n">
        <x:f>SUM(XLOOKUP('포켓몬_편집'!$AF646:$AN646,'분류_규칙'!$A$5:$A$76,'분류_규칙'!$P$5:$P$76,0))</x:f>
        <x:v>0</x:v>
      </x:c>
    </x:row>
    <x:row r="647" ht="22" customHeight="1">
      <x:c r="A647" s="5" t="n">
        <x:v>643</x:v>
      </x:c>
      <x:c r="B647" s="5" t="inlineStr">
        <x:is>
          <x:t xml:space="preserve">레시라무</x:t>
        </x:is>
      </x:c>
      <x:c r="C647" s="5" t="inlineStr">
        <x:is>
          <x:t xml:space="preserve">reshiram</x:t>
        </x:is>
      </x:c>
      <x:c r="D647" s="5" t="n">
        <x:v>5</x:v>
      </x:c>
      <x:c r="E647" s="10" t="n">
        <x:f>SUM(XLOOKUP('포켓몬_편집'!$AF647:$AN647,'분류_규칙'!$A$5:$A$76,'분류_규칙'!$E$5:$E$76,0))</x:f>
        <x:v>8</x:v>
      </x:c>
      <x:c r="F647" s="10" t="n">
        <x:f>SUM(XLOOKUP('포켓몬_편집'!$AF647:$AN647,'분류_규칙'!$A$5:$A$76,'분류_규칙'!$F$5:$F$76,0))</x:f>
        <x:v>8</x:v>
      </x:c>
      <x:c r="G647" s="10" t="n">
        <x:f>SUM(XLOOKUP('포켓몬_편집'!$AF647:$AN647,'분류_규칙'!$A$5:$A$76,'분류_규칙'!$G$5:$G$76,0))</x:f>
        <x:v>0</x:v>
      </x:c>
      <x:c r="H647" s="10" t="n">
        <x:f>SUM(XLOOKUP('포켓몬_편집'!$AF647:$AN647,'분류_규칙'!$A$5:$A$76,'분류_규칙'!$H$5:$H$76,0))</x:f>
        <x:v>12</x:v>
      </x:c>
      <x:c r="I647" s="10" t="n">
        <x:f>SUM(XLOOKUP('포켓몬_편집'!$AF647:$AN647,'분류_규칙'!$A$5:$A$76,'분류_규칙'!$I$5:$I$76,0))</x:f>
        <x:v>0</x:v>
      </x:c>
      <x:c r="J647" s="10" t="n">
        <x:f>SUM(XLOOKUP('포켓몬_편집'!$AF647:$AN647,'분류_규칙'!$A$5:$A$76,'분류_규칙'!$J$5:$J$76,0))</x:f>
        <x:v>0</x:v>
      </x:c>
      <x:c r="K647" s="10" t="n">
        <x:f>SUM(XLOOKUP('포켓몬_편집'!$AF647:$AN647,'분류_규칙'!$A$5:$A$76,'분류_규칙'!$K$5:$K$76,0))</x:f>
        <x:v>0</x:v>
      </x:c>
      <x:c r="L647" s="10" t="n">
        <x:f>SUM(XLOOKUP('포켓몬_편집'!$AF647:$AN647,'분류_규칙'!$A$5:$A$76,'분류_규칙'!$L$5:$L$76,0))</x:f>
        <x:v>3</x:v>
      </x:c>
      <x:c r="M647" s="10" t="n">
        <x:f>SUM(XLOOKUP('포켓몬_편집'!$AF647:$AN647,'분류_규칙'!$A$5:$A$76,'분류_규칙'!$M$5:$M$76,0))</x:f>
        <x:v>0</x:v>
      </x:c>
      <x:c r="N647" s="10" t="n">
        <x:f>SUM(XLOOKUP('포켓몬_편집'!$AF647:$AN647,'분류_규칙'!$A$5:$A$76,'분류_규칙'!$N$5:$N$76,0))</x:f>
        <x:v>0</x:v>
      </x:c>
      <x:c r="O647" s="10" t="n">
        <x:f>SUM(XLOOKUP('포켓몬_편집'!$AF647:$AN647,'분류_규칙'!$A$5:$A$76,'분류_규칙'!$O$5:$O$76,0))</x:f>
        <x:v>2</x:v>
      </x:c>
      <x:c r="P647" s="10" t="n">
        <x:f>SUM(XLOOKUP('포켓몬_편집'!$AF647:$AN647,'분류_규칙'!$A$5:$A$76,'분류_규칙'!$P$5:$P$76,0))</x:f>
        <x:v>0</x:v>
      </x:c>
    </x:row>
    <x:row r="648" ht="22" customHeight="1">
      <x:c r="A648" s="5" t="n">
        <x:v>644</x:v>
      </x:c>
      <x:c r="B648" s="5" t="inlineStr">
        <x:is>
          <x:t xml:space="preserve">제크로무</x:t>
        </x:is>
      </x:c>
      <x:c r="C648" s="5" t="inlineStr">
        <x:is>
          <x:t xml:space="preserve">zekrom</x:t>
        </x:is>
      </x:c>
      <x:c r="D648" s="5" t="n">
        <x:v>5</x:v>
      </x:c>
      <x:c r="E648" s="10" t="n">
        <x:f>SUM(XLOOKUP('포켓몬_편집'!$AF648:$AN648,'분류_규칙'!$A$5:$A$76,'분류_규칙'!$E$5:$E$76,0))</x:f>
        <x:v>8</x:v>
      </x:c>
      <x:c r="F648" s="10" t="n">
        <x:f>SUM(XLOOKUP('포켓몬_편집'!$AF648:$AN648,'분류_규칙'!$A$5:$A$76,'분류_규칙'!$F$5:$F$76,0))</x:f>
        <x:v>8</x:v>
      </x:c>
      <x:c r="G648" s="10" t="n">
        <x:f>SUM(XLOOKUP('포켓몬_편집'!$AF648:$AN648,'분류_규칙'!$A$5:$A$76,'분류_규칙'!$G$5:$G$76,0))</x:f>
        <x:v>0</x:v>
      </x:c>
      <x:c r="H648" s="10" t="n">
        <x:f>SUM(XLOOKUP('포켓몬_편집'!$AF648:$AN648,'분류_규칙'!$A$5:$A$76,'분류_규칙'!$H$5:$H$76,0))</x:f>
        <x:v>12</x:v>
      </x:c>
      <x:c r="I648" s="10" t="n">
        <x:f>SUM(XLOOKUP('포켓몬_편집'!$AF648:$AN648,'분류_규칙'!$A$5:$A$76,'분류_규칙'!$I$5:$I$76,0))</x:f>
        <x:v>0</x:v>
      </x:c>
      <x:c r="J648" s="10" t="n">
        <x:f>SUM(XLOOKUP('포켓몬_편집'!$AF648:$AN648,'분류_규칙'!$A$5:$A$76,'분류_규칙'!$J$5:$J$76,0))</x:f>
        <x:v>0</x:v>
      </x:c>
      <x:c r="K648" s="10" t="n">
        <x:f>SUM(XLOOKUP('포켓몬_편집'!$AF648:$AN648,'분류_규칙'!$A$5:$A$76,'분류_규칙'!$K$5:$K$76,0))</x:f>
        <x:v>0</x:v>
      </x:c>
      <x:c r="L648" s="10" t="n">
        <x:f>SUM(XLOOKUP('포켓몬_편집'!$AF648:$AN648,'분류_규칙'!$A$5:$A$76,'분류_규칙'!$L$5:$L$76,0))</x:f>
        <x:v>3</x:v>
      </x:c>
      <x:c r="M648" s="10" t="n">
        <x:f>SUM(XLOOKUP('포켓몬_편집'!$AF648:$AN648,'분류_규칙'!$A$5:$A$76,'분류_규칙'!$M$5:$M$76,0))</x:f>
        <x:v>0</x:v>
      </x:c>
      <x:c r="N648" s="10" t="n">
        <x:f>SUM(XLOOKUP('포켓몬_편집'!$AF648:$AN648,'분류_규칙'!$A$5:$A$76,'분류_규칙'!$N$5:$N$76,0))</x:f>
        <x:v>0</x:v>
      </x:c>
      <x:c r="O648" s="10" t="n">
        <x:f>SUM(XLOOKUP('포켓몬_편집'!$AF648:$AN648,'분류_규칙'!$A$5:$A$76,'분류_규칙'!$O$5:$O$76,0))</x:f>
        <x:v>2</x:v>
      </x:c>
      <x:c r="P648" s="10" t="n">
        <x:f>SUM(XLOOKUP('포켓몬_편집'!$AF648:$AN648,'분류_규칙'!$A$5:$A$76,'분류_규칙'!$P$5:$P$76,0))</x:f>
        <x:v>0</x:v>
      </x:c>
    </x:row>
    <x:row r="649" ht="22" customHeight="1">
      <x:c r="A649" s="5" t="n">
        <x:v>645</x:v>
      </x:c>
      <x:c r="B649" s="5" t="inlineStr">
        <x:is>
          <x:t xml:space="preserve">랜드로스</x:t>
        </x:is>
      </x:c>
      <x:c r="C649" s="5" t="inlineStr">
        <x:is>
          <x:t xml:space="preserve">landorus</x:t>
        </x:is>
      </x:c>
      <x:c r="D649" s="5" t="n">
        <x:v>5</x:v>
      </x:c>
      <x:c r="E649" s="10" t="n">
        <x:f>SUM(XLOOKUP('포켓몬_편집'!$AF649:$AN649,'분류_규칙'!$A$5:$A$76,'분류_규칙'!$E$5:$E$76,0))</x:f>
        <x:v>8</x:v>
      </x:c>
      <x:c r="F649" s="10" t="n">
        <x:f>SUM(XLOOKUP('포켓몬_편집'!$AF649:$AN649,'분류_규칙'!$A$5:$A$76,'분류_규칙'!$F$5:$F$76,0))</x:f>
        <x:v>8</x:v>
      </x:c>
      <x:c r="G649" s="10" t="n">
        <x:f>SUM(XLOOKUP('포켓몬_편집'!$AF649:$AN649,'분류_규칙'!$A$5:$A$76,'분류_규칙'!$G$5:$G$76,0))</x:f>
        <x:v>0</x:v>
      </x:c>
      <x:c r="H649" s="10" t="n">
        <x:f>SUM(XLOOKUP('포켓몬_편집'!$AF649:$AN649,'분류_규칙'!$A$5:$A$76,'분류_규칙'!$H$5:$H$76,0))</x:f>
        <x:v>12</x:v>
      </x:c>
      <x:c r="I649" s="10" t="n">
        <x:f>SUM(XLOOKUP('포켓몬_편집'!$AF649:$AN649,'분류_규칙'!$A$5:$A$76,'분류_규칙'!$I$5:$I$76,0))</x:f>
        <x:v>0</x:v>
      </x:c>
      <x:c r="J649" s="10" t="n">
        <x:f>SUM(XLOOKUP('포켓몬_편집'!$AF649:$AN649,'분류_규칙'!$A$5:$A$76,'분류_규칙'!$J$5:$J$76,0))</x:f>
        <x:v>0</x:v>
      </x:c>
      <x:c r="K649" s="10" t="n">
        <x:f>SUM(XLOOKUP('포켓몬_편집'!$AF649:$AN649,'분류_규칙'!$A$5:$A$76,'분류_규칙'!$K$5:$K$76,0))</x:f>
        <x:v>0</x:v>
      </x:c>
      <x:c r="L649" s="10" t="n">
        <x:f>SUM(XLOOKUP('포켓몬_편집'!$AF649:$AN649,'분류_규칙'!$A$5:$A$76,'분류_규칙'!$L$5:$L$76,0))</x:f>
        <x:v>3</x:v>
      </x:c>
      <x:c r="M649" s="10" t="n">
        <x:f>SUM(XLOOKUP('포켓몬_편집'!$AF649:$AN649,'분류_규칙'!$A$5:$A$76,'분류_규칙'!$M$5:$M$76,0))</x:f>
        <x:v>0</x:v>
      </x:c>
      <x:c r="N649" s="10" t="n">
        <x:f>SUM(XLOOKUP('포켓몬_편집'!$AF649:$AN649,'분류_규칙'!$A$5:$A$76,'분류_규칙'!$N$5:$N$76,0))</x:f>
        <x:v>0</x:v>
      </x:c>
      <x:c r="O649" s="10" t="n">
        <x:f>SUM(XLOOKUP('포켓몬_편집'!$AF649:$AN649,'분류_규칙'!$A$5:$A$76,'분류_규칙'!$O$5:$O$76,0))</x:f>
        <x:v>2</x:v>
      </x:c>
      <x:c r="P649" s="10" t="n">
        <x:f>SUM(XLOOKUP('포켓몬_편집'!$AF649:$AN649,'분류_규칙'!$A$5:$A$76,'분류_규칙'!$P$5:$P$76,0))</x:f>
        <x:v>0</x:v>
      </x:c>
    </x:row>
    <x:row r="650" ht="22" customHeight="1">
      <x:c r="A650" s="5" t="n">
        <x:v>646</x:v>
      </x:c>
      <x:c r="B650" s="5" t="inlineStr">
        <x:is>
          <x:t xml:space="preserve">큐레무</x:t>
        </x:is>
      </x:c>
      <x:c r="C650" s="5" t="inlineStr">
        <x:is>
          <x:t xml:space="preserve">kyurem</x:t>
        </x:is>
      </x:c>
      <x:c r="D650" s="5" t="n">
        <x:v>5</x:v>
      </x:c>
      <x:c r="E650" s="10" t="n">
        <x:f>SUM(XLOOKUP('포켓몬_편집'!$AF650:$AN650,'분류_규칙'!$A$5:$A$76,'분류_규칙'!$E$5:$E$76,0))</x:f>
        <x:v>8</x:v>
      </x:c>
      <x:c r="F650" s="10" t="n">
        <x:f>SUM(XLOOKUP('포켓몬_편집'!$AF650:$AN650,'분류_규칙'!$A$5:$A$76,'분류_규칙'!$F$5:$F$76,0))</x:f>
        <x:v>8</x:v>
      </x:c>
      <x:c r="G650" s="10" t="n">
        <x:f>SUM(XLOOKUP('포켓몬_편집'!$AF650:$AN650,'분류_규칙'!$A$5:$A$76,'분류_규칙'!$G$5:$G$76,0))</x:f>
        <x:v>0</x:v>
      </x:c>
      <x:c r="H650" s="10" t="n">
        <x:f>SUM(XLOOKUP('포켓몬_편집'!$AF650:$AN650,'분류_규칙'!$A$5:$A$76,'분류_규칙'!$H$5:$H$76,0))</x:f>
        <x:v>12</x:v>
      </x:c>
      <x:c r="I650" s="10" t="n">
        <x:f>SUM(XLOOKUP('포켓몬_편집'!$AF650:$AN650,'분류_규칙'!$A$5:$A$76,'분류_규칙'!$I$5:$I$76,0))</x:f>
        <x:v>0</x:v>
      </x:c>
      <x:c r="J650" s="10" t="n">
        <x:f>SUM(XLOOKUP('포켓몬_편집'!$AF650:$AN650,'분류_규칙'!$A$5:$A$76,'분류_규칙'!$J$5:$J$76,0))</x:f>
        <x:v>0</x:v>
      </x:c>
      <x:c r="K650" s="10" t="n">
        <x:f>SUM(XLOOKUP('포켓몬_편집'!$AF650:$AN650,'분류_규칙'!$A$5:$A$76,'분류_규칙'!$K$5:$K$76,0))</x:f>
        <x:v>0</x:v>
      </x:c>
      <x:c r="L650" s="10" t="n">
        <x:f>SUM(XLOOKUP('포켓몬_편집'!$AF650:$AN650,'분류_규칙'!$A$5:$A$76,'분류_규칙'!$L$5:$L$76,0))</x:f>
        <x:v>3</x:v>
      </x:c>
      <x:c r="M650" s="10" t="n">
        <x:f>SUM(XLOOKUP('포켓몬_편집'!$AF650:$AN650,'분류_규칙'!$A$5:$A$76,'분류_규칙'!$M$5:$M$76,0))</x:f>
        <x:v>0</x:v>
      </x:c>
      <x:c r="N650" s="10" t="n">
        <x:f>SUM(XLOOKUP('포켓몬_편집'!$AF650:$AN650,'분류_규칙'!$A$5:$A$76,'분류_규칙'!$N$5:$N$76,0))</x:f>
        <x:v>0</x:v>
      </x:c>
      <x:c r="O650" s="10" t="n">
        <x:f>SUM(XLOOKUP('포켓몬_편집'!$AF650:$AN650,'분류_규칙'!$A$5:$A$76,'분류_규칙'!$O$5:$O$76,0))</x:f>
        <x:v>2</x:v>
      </x:c>
      <x:c r="P650" s="10" t="n">
        <x:f>SUM(XLOOKUP('포켓몬_편집'!$AF650:$AN650,'분류_규칙'!$A$5:$A$76,'분류_규칙'!$P$5:$P$76,0))</x:f>
        <x:v>0</x:v>
      </x:c>
    </x:row>
    <x:row r="651" ht="22" customHeight="1">
      <x:c r="A651" s="5" t="n">
        <x:v>647</x:v>
      </x:c>
      <x:c r="B651" s="5" t="inlineStr">
        <x:is>
          <x:t xml:space="preserve">케르디오</x:t>
        </x:is>
      </x:c>
      <x:c r="C651" s="5" t="inlineStr">
        <x:is>
          <x:t xml:space="preserve">keldeo</x:t>
        </x:is>
      </x:c>
      <x:c r="D651" s="5" t="n">
        <x:v>5</x:v>
      </x:c>
      <x:c r="E651" s="10" t="n">
        <x:f>SUM(XLOOKUP('포켓몬_편집'!$AF651:$AN651,'분류_규칙'!$A$5:$A$76,'분류_규칙'!$E$5:$E$76,0))</x:f>
        <x:v>0</x:v>
      </x:c>
      <x:c r="F651" s="10" t="n">
        <x:f>SUM(XLOOKUP('포켓몬_편집'!$AF651:$AN651,'분류_규칙'!$A$5:$A$76,'분류_규칙'!$F$5:$F$76,0))</x:f>
        <x:v>0</x:v>
      </x:c>
      <x:c r="G651" s="10" t="n">
        <x:f>SUM(XLOOKUP('포켓몬_편집'!$AF651:$AN651,'분류_규칙'!$A$5:$A$76,'분류_규칙'!$G$5:$G$76,0))</x:f>
        <x:v>0</x:v>
      </x:c>
      <x:c r="H651" s="10" t="n">
        <x:f>SUM(XLOOKUP('포켓몬_편집'!$AF651:$AN651,'분류_규칙'!$A$5:$A$76,'분류_규칙'!$H$5:$H$76,0))</x:f>
        <x:v>0</x:v>
      </x:c>
      <x:c r="I651" s="10" t="n">
        <x:f>SUM(XLOOKUP('포켓몬_편집'!$AF651:$AN651,'분류_규칙'!$A$5:$A$76,'분류_규칙'!$I$5:$I$76,0))</x:f>
        <x:v>0</x:v>
      </x:c>
      <x:c r="J651" s="10" t="n">
        <x:f>SUM(XLOOKUP('포켓몬_편집'!$AF651:$AN651,'분류_규칙'!$A$5:$A$76,'분류_규칙'!$J$5:$J$76,0))</x:f>
        <x:v>22</x:v>
      </x:c>
      <x:c r="K651" s="10" t="n">
        <x:f>SUM(XLOOKUP('포켓몬_편집'!$AF651:$AN651,'분류_규칙'!$A$5:$A$76,'분류_규칙'!$K$5:$K$76,0))</x:f>
        <x:v>16</x:v>
      </x:c>
      <x:c r="L651" s="10" t="n">
        <x:f>SUM(XLOOKUP('포켓몬_편집'!$AF651:$AN651,'분류_규칙'!$A$5:$A$76,'분류_규칙'!$L$5:$L$76,0))</x:f>
        <x:v>8</x:v>
      </x:c>
      <x:c r="M651" s="10" t="n">
        <x:f>SUM(XLOOKUP('포켓몬_편집'!$AF651:$AN651,'분류_규칙'!$A$5:$A$76,'분류_규칙'!$M$5:$M$76,0))</x:f>
        <x:v>0</x:v>
      </x:c>
      <x:c r="N651" s="10" t="n">
        <x:f>SUM(XLOOKUP('포켓몬_편집'!$AF651:$AN651,'분류_규칙'!$A$5:$A$76,'분류_규칙'!$N$5:$N$76,0))</x:f>
        <x:v>0</x:v>
      </x:c>
      <x:c r="O651" s="10" t="n">
        <x:f>SUM(XLOOKUP('포켓몬_편집'!$AF651:$AN651,'분류_규칙'!$A$5:$A$76,'분류_규칙'!$O$5:$O$76,0))</x:f>
        <x:v>0</x:v>
      </x:c>
      <x:c r="P651" s="10" t="n">
        <x:f>SUM(XLOOKUP('포켓몬_편집'!$AF651:$AN651,'분류_규칙'!$A$5:$A$76,'분류_규칙'!$P$5:$P$76,0))</x:f>
        <x:v>0</x:v>
      </x:c>
    </x:row>
    <x:row r="652" ht="22" customHeight="1">
      <x:c r="A652" s="5" t="n">
        <x:v>648</x:v>
      </x:c>
      <x:c r="B652" s="5" t="inlineStr">
        <x:is>
          <x:t xml:space="preserve">메로엣타</x:t>
        </x:is>
      </x:c>
      <x:c r="C652" s="5" t="inlineStr">
        <x:is>
          <x:t xml:space="preserve">meloetta</x:t>
        </x:is>
      </x:c>
      <x:c r="D652" s="5" t="n">
        <x:v>5</x:v>
      </x:c>
      <x:c r="E652" s="10" t="n">
        <x:f>SUM(XLOOKUP('포켓몬_편집'!$AF652:$AN652,'분류_규칙'!$A$5:$A$76,'분류_규칙'!$E$5:$E$76,0))</x:f>
        <x:v>8</x:v>
      </x:c>
      <x:c r="F652" s="10" t="n">
        <x:f>SUM(XLOOKUP('포켓몬_편집'!$AF652:$AN652,'분류_규칙'!$A$5:$A$76,'분류_규칙'!$F$5:$F$76,0))</x:f>
        <x:v>8</x:v>
      </x:c>
      <x:c r="G652" s="10" t="n">
        <x:f>SUM(XLOOKUP('포켓몬_편집'!$AF652:$AN652,'분류_규칙'!$A$5:$A$76,'분류_규칙'!$G$5:$G$76,0))</x:f>
        <x:v>0</x:v>
      </x:c>
      <x:c r="H652" s="10" t="n">
        <x:f>SUM(XLOOKUP('포켓몬_편집'!$AF652:$AN652,'분류_규칙'!$A$5:$A$76,'분류_규칙'!$H$5:$H$76,0))</x:f>
        <x:v>12</x:v>
      </x:c>
      <x:c r="I652" s="10" t="n">
        <x:f>SUM(XLOOKUP('포켓몬_편집'!$AF652:$AN652,'분류_규칙'!$A$5:$A$76,'분류_규칙'!$I$5:$I$76,0))</x:f>
        <x:v>0</x:v>
      </x:c>
      <x:c r="J652" s="10" t="n">
        <x:f>SUM(XLOOKUP('포켓몬_편집'!$AF652:$AN652,'분류_규칙'!$A$5:$A$76,'분류_규칙'!$J$5:$J$76,0))</x:f>
        <x:v>0</x:v>
      </x:c>
      <x:c r="K652" s="10" t="n">
        <x:f>SUM(XLOOKUP('포켓몬_편집'!$AF652:$AN652,'분류_규칙'!$A$5:$A$76,'분류_규칙'!$K$5:$K$76,0))</x:f>
        <x:v>0</x:v>
      </x:c>
      <x:c r="L652" s="10" t="n">
        <x:f>SUM(XLOOKUP('포켓몬_편집'!$AF652:$AN652,'분류_규칙'!$A$5:$A$76,'분류_규칙'!$L$5:$L$76,0))</x:f>
        <x:v>3</x:v>
      </x:c>
      <x:c r="M652" s="10" t="n">
        <x:f>SUM(XLOOKUP('포켓몬_편집'!$AF652:$AN652,'분류_규칙'!$A$5:$A$76,'분류_규칙'!$M$5:$M$76,0))</x:f>
        <x:v>0</x:v>
      </x:c>
      <x:c r="N652" s="10" t="n">
        <x:f>SUM(XLOOKUP('포켓몬_편집'!$AF652:$AN652,'분류_규칙'!$A$5:$A$76,'분류_규칙'!$N$5:$N$76,0))</x:f>
        <x:v>0</x:v>
      </x:c>
      <x:c r="O652" s="10" t="n">
        <x:f>SUM(XLOOKUP('포켓몬_편집'!$AF652:$AN652,'분류_규칙'!$A$5:$A$76,'분류_규칙'!$O$5:$O$76,0))</x:f>
        <x:v>2</x:v>
      </x:c>
      <x:c r="P652" s="10" t="n">
        <x:f>SUM(XLOOKUP('포켓몬_편집'!$AF652:$AN652,'분류_규칙'!$A$5:$A$76,'분류_규칙'!$P$5:$P$76,0))</x:f>
        <x:v>0</x:v>
      </x:c>
    </x:row>
    <x:row r="653" ht="22" customHeight="1">
      <x:c r="A653" s="5" t="n">
        <x:v>649</x:v>
      </x:c>
      <x:c r="B653" s="5" t="inlineStr">
        <x:is>
          <x:t xml:space="preserve">게노세크트</x:t>
        </x:is>
      </x:c>
      <x:c r="C653" s="5" t="inlineStr">
        <x:is>
          <x:t xml:space="preserve">genesect</x:t>
        </x:is>
      </x:c>
      <x:c r="D653" s="5" t="n">
        <x:v>5</x:v>
      </x:c>
      <x:c r="E653" s="10" t="n">
        <x:f>SUM(XLOOKUP('포켓몬_편집'!$AF653:$AN653,'분류_규칙'!$A$5:$A$76,'분류_규칙'!$E$5:$E$76,0))</x:f>
        <x:v>0</x:v>
      </x:c>
      <x:c r="F653" s="10" t="n">
        <x:f>SUM(XLOOKUP('포켓몬_편집'!$AF653:$AN653,'분류_규칙'!$A$5:$A$76,'분류_규칙'!$F$5:$F$76,0))</x:f>
        <x:v>0</x:v>
      </x:c>
      <x:c r="G653" s="10" t="n">
        <x:f>SUM(XLOOKUP('포켓몬_편집'!$AF653:$AN653,'분류_규칙'!$A$5:$A$76,'분류_규칙'!$G$5:$G$76,0))</x:f>
        <x:v>0</x:v>
      </x:c>
      <x:c r="H653" s="10" t="n">
        <x:f>SUM(XLOOKUP('포켓몬_편집'!$AF653:$AN653,'분류_규칙'!$A$5:$A$76,'분류_규칙'!$H$5:$H$76,0))</x:f>
        <x:v>0</x:v>
      </x:c>
      <x:c r="I653" s="10" t="n">
        <x:f>SUM(XLOOKUP('포켓몬_편집'!$AF653:$AN653,'분류_규칙'!$A$5:$A$76,'분류_규칙'!$I$5:$I$76,0))</x:f>
        <x:v>0</x:v>
      </x:c>
      <x:c r="J653" s="10" t="n">
        <x:f>SUM(XLOOKUP('포켓몬_편집'!$AF653:$AN653,'분류_규칙'!$A$5:$A$76,'분류_규칙'!$J$5:$J$76,0))</x:f>
        <x:v>0</x:v>
      </x:c>
      <x:c r="K653" s="10" t="n">
        <x:f>SUM(XLOOKUP('포켓몬_편집'!$AF653:$AN653,'분류_규칙'!$A$5:$A$76,'분류_규칙'!$K$5:$K$76,0))</x:f>
        <x:v>0</x:v>
      </x:c>
      <x:c r="L653" s="10" t="n">
        <x:f>SUM(XLOOKUP('포켓몬_편집'!$AF653:$AN653,'분류_규칙'!$A$5:$A$76,'분류_규칙'!$L$5:$L$76,0))</x:f>
        <x:v>0</x:v>
      </x:c>
      <x:c r="M653" s="10" t="n">
        <x:f>SUM(XLOOKUP('포켓몬_편집'!$AF653:$AN653,'분류_규칙'!$A$5:$A$76,'분류_규칙'!$M$5:$M$76,0))</x:f>
        <x:v>0</x:v>
      </x:c>
      <x:c r="N653" s="10" t="n">
        <x:f>SUM(XLOOKUP('포켓몬_편집'!$AF653:$AN653,'분류_규칙'!$A$5:$A$76,'분류_규칙'!$N$5:$N$76,0))</x:f>
        <x:v>0</x:v>
      </x:c>
      <x:c r="O653" s="10" t="n">
        <x:f>SUM(XLOOKUP('포켓몬_편집'!$AF653:$AN653,'분류_규칙'!$A$5:$A$76,'분류_규칙'!$O$5:$O$76,0))</x:f>
        <x:v>30</x:v>
      </x:c>
      <x:c r="P653" s="10" t="n">
        <x:f>SUM(XLOOKUP('포켓몬_편집'!$AF653:$AN653,'분류_규칙'!$A$5:$A$76,'분류_규칙'!$P$5:$P$76,0))</x:f>
        <x:v>8</x:v>
      </x:c>
    </x:row>
    <x:row r="654" ht="22" customHeight="1">
      <x:c r="A654" s="5" t="n">
        <x:v>650</x:v>
      </x:c>
      <x:c r="B654" s="5" t="inlineStr">
        <x:is>
          <x:t xml:space="preserve">도치마론</x:t>
        </x:is>
      </x:c>
      <x:c r="C654" s="5" t="inlineStr">
        <x:is>
          <x:t xml:space="preserve">chespin</x:t>
        </x:is>
      </x:c>
      <x:c r="D654" s="5" t="n">
        <x:v>6</x:v>
      </x:c>
      <x:c r="E654" s="10" t="n">
        <x:f>SUM(XLOOKUP('포켓몬_편집'!$AF654:$AN654,'분류_규칙'!$A$5:$A$76,'분류_규칙'!$E$5:$E$76,0))</x:f>
        <x:v>10</x:v>
      </x:c>
      <x:c r="F654" s="10" t="n">
        <x:f>SUM(XLOOKUP('포켓몬_편집'!$AF654:$AN654,'분류_규칙'!$A$5:$A$76,'분류_규칙'!$F$5:$F$76,0))</x:f>
        <x:v>7</x:v>
      </x:c>
      <x:c r="G654" s="10" t="n">
        <x:f>SUM(XLOOKUP('포켓몬_편집'!$AF654:$AN654,'분류_규칙'!$A$5:$A$76,'분류_규칙'!$G$5:$G$76,0))</x:f>
        <x:v>5</x:v>
      </x:c>
      <x:c r="H654" s="10" t="n">
        <x:f>SUM(XLOOKUP('포켓몬_편집'!$AF654:$AN654,'분류_규칙'!$A$5:$A$76,'분류_규칙'!$H$5:$H$76,0))</x:f>
        <x:v>5</x:v>
      </x:c>
      <x:c r="I654" s="10" t="n">
        <x:f>SUM(XLOOKUP('포켓몬_편집'!$AF654:$AN654,'분류_규칙'!$A$5:$A$76,'분류_규칙'!$I$5:$I$76,0))</x:f>
        <x:v>0</x:v>
      </x:c>
      <x:c r="J654" s="10" t="n">
        <x:f>SUM(XLOOKUP('포켓몬_편집'!$AF654:$AN654,'분류_규칙'!$A$5:$A$76,'분류_규칙'!$J$5:$J$76,0))</x:f>
        <x:v>2</x:v>
      </x:c>
      <x:c r="K654" s="10" t="n">
        <x:f>SUM(XLOOKUP('포켓몬_편집'!$AF654:$AN654,'분류_규칙'!$A$5:$A$76,'분류_규칙'!$K$5:$K$76,0))</x:f>
        <x:v>0</x:v>
      </x:c>
      <x:c r="L654" s="10" t="n">
        <x:f>SUM(XLOOKUP('포켓몬_편집'!$AF654:$AN654,'분류_규칙'!$A$5:$A$76,'분류_규칙'!$L$5:$L$76,0))</x:f>
        <x:v>0</x:v>
      </x:c>
      <x:c r="M654" s="10" t="n">
        <x:f>SUM(XLOOKUP('포켓몬_편집'!$AF654:$AN654,'분류_규칙'!$A$5:$A$76,'분류_규칙'!$M$5:$M$76,0))</x:f>
        <x:v>0</x:v>
      </x:c>
      <x:c r="N654" s="10" t="n">
        <x:f>SUM(XLOOKUP('포켓몬_편집'!$AF654:$AN654,'분류_규칙'!$A$5:$A$76,'분류_규칙'!$N$5:$N$76,0))</x:f>
        <x:v>0</x:v>
      </x:c>
      <x:c r="O654" s="10" t="n">
        <x:f>SUM(XLOOKUP('포켓몬_편집'!$AF654:$AN654,'분류_규칙'!$A$5:$A$76,'분류_규칙'!$O$5:$O$76,0))</x:f>
        <x:v>2</x:v>
      </x:c>
      <x:c r="P654" s="10" t="n">
        <x:f>SUM(XLOOKUP('포켓몬_편집'!$AF654:$AN654,'분류_규칙'!$A$5:$A$76,'분류_규칙'!$P$5:$P$76,0))</x:f>
        <x:v>0</x:v>
      </x:c>
    </x:row>
    <x:row r="655" ht="22" customHeight="1">
      <x:c r="A655" s="5" t="n">
        <x:v>651</x:v>
      </x:c>
      <x:c r="B655" s="5" t="inlineStr">
        <x:is>
          <x:t xml:space="preserve">도치보구</x:t>
        </x:is>
      </x:c>
      <x:c r="C655" s="5" t="inlineStr">
        <x:is>
          <x:t xml:space="preserve">quilladin</x:t>
        </x:is>
      </x:c>
      <x:c r="D655" s="5" t="n">
        <x:v>6</x:v>
      </x:c>
      <x:c r="E655" s="10" t="n">
        <x:f>SUM(XLOOKUP('포켓몬_편집'!$AF655:$AN655,'분류_규칙'!$A$5:$A$76,'분류_규칙'!$E$5:$E$76,0))</x:f>
        <x:v>10</x:v>
      </x:c>
      <x:c r="F655" s="10" t="n">
        <x:f>SUM(XLOOKUP('포켓몬_편집'!$AF655:$AN655,'분류_규칙'!$A$5:$A$76,'분류_규칙'!$F$5:$F$76,0))</x:f>
        <x:v>7</x:v>
      </x:c>
      <x:c r="G655" s="10" t="n">
        <x:f>SUM(XLOOKUP('포켓몬_편집'!$AF655:$AN655,'분류_규칙'!$A$5:$A$76,'분류_규칙'!$G$5:$G$76,0))</x:f>
        <x:v>5</x:v>
      </x:c>
      <x:c r="H655" s="10" t="n">
        <x:f>SUM(XLOOKUP('포켓몬_편집'!$AF655:$AN655,'분류_규칙'!$A$5:$A$76,'분류_규칙'!$H$5:$H$76,0))</x:f>
        <x:v>5</x:v>
      </x:c>
      <x:c r="I655" s="10" t="n">
        <x:f>SUM(XLOOKUP('포켓몬_편집'!$AF655:$AN655,'분류_규칙'!$A$5:$A$76,'분류_규칙'!$I$5:$I$76,0))</x:f>
        <x:v>0</x:v>
      </x:c>
      <x:c r="J655" s="10" t="n">
        <x:f>SUM(XLOOKUP('포켓몬_편집'!$AF655:$AN655,'분류_규칙'!$A$5:$A$76,'분류_규칙'!$J$5:$J$76,0))</x:f>
        <x:v>2</x:v>
      </x:c>
      <x:c r="K655" s="10" t="n">
        <x:f>SUM(XLOOKUP('포켓몬_편집'!$AF655:$AN655,'분류_규칙'!$A$5:$A$76,'분류_규칙'!$K$5:$K$76,0))</x:f>
        <x:v>0</x:v>
      </x:c>
      <x:c r="L655" s="10" t="n">
        <x:f>SUM(XLOOKUP('포켓몬_편집'!$AF655:$AN655,'분류_규칙'!$A$5:$A$76,'분류_규칙'!$L$5:$L$76,0))</x:f>
        <x:v>0</x:v>
      </x:c>
      <x:c r="M655" s="10" t="n">
        <x:f>SUM(XLOOKUP('포켓몬_편집'!$AF655:$AN655,'분류_규칙'!$A$5:$A$76,'분류_규칙'!$M$5:$M$76,0))</x:f>
        <x:v>0</x:v>
      </x:c>
      <x:c r="N655" s="10" t="n">
        <x:f>SUM(XLOOKUP('포켓몬_편집'!$AF655:$AN655,'분류_규칙'!$A$5:$A$76,'분류_규칙'!$N$5:$N$76,0))</x:f>
        <x:v>0</x:v>
      </x:c>
      <x:c r="O655" s="10" t="n">
        <x:f>SUM(XLOOKUP('포켓몬_편집'!$AF655:$AN655,'분류_규칙'!$A$5:$A$76,'분류_규칙'!$O$5:$O$76,0))</x:f>
        <x:v>2</x:v>
      </x:c>
      <x:c r="P655" s="10" t="n">
        <x:f>SUM(XLOOKUP('포켓몬_편집'!$AF655:$AN655,'분류_규칙'!$A$5:$A$76,'분류_규칙'!$P$5:$P$76,0))</x:f>
        <x:v>0</x:v>
      </x:c>
    </x:row>
    <x:row r="656" ht="22" customHeight="1">
      <x:c r="A656" s="5" t="n">
        <x:v>652</x:v>
      </x:c>
      <x:c r="B656" s="5" t="inlineStr">
        <x:is>
          <x:t xml:space="preserve">브리가론</x:t>
        </x:is>
      </x:c>
      <x:c r="C656" s="5" t="inlineStr">
        <x:is>
          <x:t xml:space="preserve">chesnaught</x:t>
        </x:is>
      </x:c>
      <x:c r="D656" s="5" t="n">
        <x:v>6</x:v>
      </x:c>
      <x:c r="E656" s="10" t="n">
        <x:f>SUM(XLOOKUP('포켓몬_편집'!$AF656:$AN656,'분류_규칙'!$A$5:$A$76,'분류_규칙'!$E$5:$E$76,0))</x:f>
        <x:v>10</x:v>
      </x:c>
      <x:c r="F656" s="10" t="n">
        <x:f>SUM(XLOOKUP('포켓몬_편집'!$AF656:$AN656,'분류_규칙'!$A$5:$A$76,'분류_규칙'!$F$5:$F$76,0))</x:f>
        <x:v>7</x:v>
      </x:c>
      <x:c r="G656" s="10" t="n">
        <x:f>SUM(XLOOKUP('포켓몬_편집'!$AF656:$AN656,'분류_규칙'!$A$5:$A$76,'분류_규칙'!$G$5:$G$76,0))</x:f>
        <x:v>5</x:v>
      </x:c>
      <x:c r="H656" s="10" t="n">
        <x:f>SUM(XLOOKUP('포켓몬_편집'!$AF656:$AN656,'분류_규칙'!$A$5:$A$76,'분류_규칙'!$H$5:$H$76,0))</x:f>
        <x:v>5</x:v>
      </x:c>
      <x:c r="I656" s="10" t="n">
        <x:f>SUM(XLOOKUP('포켓몬_편집'!$AF656:$AN656,'분류_규칙'!$A$5:$A$76,'분류_규칙'!$I$5:$I$76,0))</x:f>
        <x:v>0</x:v>
      </x:c>
      <x:c r="J656" s="10" t="n">
        <x:f>SUM(XLOOKUP('포켓몬_편집'!$AF656:$AN656,'분류_규칙'!$A$5:$A$76,'분류_규칙'!$J$5:$J$76,0))</x:f>
        <x:v>2</x:v>
      </x:c>
      <x:c r="K656" s="10" t="n">
        <x:f>SUM(XLOOKUP('포켓몬_편집'!$AF656:$AN656,'분류_규칙'!$A$5:$A$76,'분류_규칙'!$K$5:$K$76,0))</x:f>
        <x:v>0</x:v>
      </x:c>
      <x:c r="L656" s="10" t="n">
        <x:f>SUM(XLOOKUP('포켓몬_편집'!$AF656:$AN656,'분류_규칙'!$A$5:$A$76,'분류_규칙'!$L$5:$L$76,0))</x:f>
        <x:v>0</x:v>
      </x:c>
      <x:c r="M656" s="10" t="n">
        <x:f>SUM(XLOOKUP('포켓몬_편집'!$AF656:$AN656,'분류_규칙'!$A$5:$A$76,'분류_규칙'!$M$5:$M$76,0))</x:f>
        <x:v>0</x:v>
      </x:c>
      <x:c r="N656" s="10" t="n">
        <x:f>SUM(XLOOKUP('포켓몬_편집'!$AF656:$AN656,'분류_규칙'!$A$5:$A$76,'분류_규칙'!$N$5:$N$76,0))</x:f>
        <x:v>0</x:v>
      </x:c>
      <x:c r="O656" s="10" t="n">
        <x:f>SUM(XLOOKUP('포켓몬_편집'!$AF656:$AN656,'분류_규칙'!$A$5:$A$76,'분류_규칙'!$O$5:$O$76,0))</x:f>
        <x:v>2</x:v>
      </x:c>
      <x:c r="P656" s="10" t="n">
        <x:f>SUM(XLOOKUP('포켓몬_편집'!$AF656:$AN656,'분류_규칙'!$A$5:$A$76,'분류_규칙'!$P$5:$P$76,0))</x:f>
        <x:v>0</x:v>
      </x:c>
    </x:row>
    <x:row r="657" ht="22" customHeight="1">
      <x:c r="A657" s="5" t="n">
        <x:v>653</x:v>
      </x:c>
      <x:c r="B657" s="5" t="inlineStr">
        <x:is>
          <x:t xml:space="preserve">푸호꼬</x:t>
        </x:is>
      </x:c>
      <x:c r="C657" s="5" t="inlineStr">
        <x:is>
          <x:t xml:space="preserve">fennekin</x:t>
        </x:is>
      </x:c>
      <x:c r="D657" s="5" t="n">
        <x:v>6</x:v>
      </x:c>
      <x:c r="E657" s="10" t="n">
        <x:f>SUM(XLOOKUP('포켓몬_편집'!$AF657:$AN657,'분류_규칙'!$A$5:$A$76,'분류_규칙'!$E$5:$E$76,0))</x:f>
        <x:v>10</x:v>
      </x:c>
      <x:c r="F657" s="10" t="n">
        <x:f>SUM(XLOOKUP('포켓몬_편집'!$AF657:$AN657,'분류_규칙'!$A$5:$A$76,'분류_규칙'!$F$5:$F$76,0))</x:f>
        <x:v>7</x:v>
      </x:c>
      <x:c r="G657" s="10" t="n">
        <x:f>SUM(XLOOKUP('포켓몬_편집'!$AF657:$AN657,'분류_규칙'!$A$5:$A$76,'분류_규칙'!$G$5:$G$76,0))</x:f>
        <x:v>5</x:v>
      </x:c>
      <x:c r="H657" s="10" t="n">
        <x:f>SUM(XLOOKUP('포켓몬_편집'!$AF657:$AN657,'분류_규칙'!$A$5:$A$76,'분류_규칙'!$H$5:$H$76,0))</x:f>
        <x:v>5</x:v>
      </x:c>
      <x:c r="I657" s="10" t="n">
        <x:f>SUM(XLOOKUP('포켓몬_편집'!$AF657:$AN657,'분류_규칙'!$A$5:$A$76,'분류_규칙'!$I$5:$I$76,0))</x:f>
        <x:v>0</x:v>
      </x:c>
      <x:c r="J657" s="10" t="n">
        <x:f>SUM(XLOOKUP('포켓몬_편집'!$AF657:$AN657,'분류_규칙'!$A$5:$A$76,'분류_규칙'!$J$5:$J$76,0))</x:f>
        <x:v>2</x:v>
      </x:c>
      <x:c r="K657" s="10" t="n">
        <x:f>SUM(XLOOKUP('포켓몬_편집'!$AF657:$AN657,'분류_규칙'!$A$5:$A$76,'분류_규칙'!$K$5:$K$76,0))</x:f>
        <x:v>0</x:v>
      </x:c>
      <x:c r="L657" s="10" t="n">
        <x:f>SUM(XLOOKUP('포켓몬_편집'!$AF657:$AN657,'분류_규칙'!$A$5:$A$76,'분류_규칙'!$L$5:$L$76,0))</x:f>
        <x:v>0</x:v>
      </x:c>
      <x:c r="M657" s="10" t="n">
        <x:f>SUM(XLOOKUP('포켓몬_편집'!$AF657:$AN657,'분류_규칙'!$A$5:$A$76,'분류_규칙'!$M$5:$M$76,0))</x:f>
        <x:v>0</x:v>
      </x:c>
      <x:c r="N657" s="10" t="n">
        <x:f>SUM(XLOOKUP('포켓몬_편집'!$AF657:$AN657,'분류_규칙'!$A$5:$A$76,'분류_규칙'!$N$5:$N$76,0))</x:f>
        <x:v>0</x:v>
      </x:c>
      <x:c r="O657" s="10" t="n">
        <x:f>SUM(XLOOKUP('포켓몬_편집'!$AF657:$AN657,'분류_규칙'!$A$5:$A$76,'분류_규칙'!$O$5:$O$76,0))</x:f>
        <x:v>2</x:v>
      </x:c>
      <x:c r="P657" s="10" t="n">
        <x:f>SUM(XLOOKUP('포켓몬_편집'!$AF657:$AN657,'분류_규칙'!$A$5:$A$76,'분류_규칙'!$P$5:$P$76,0))</x:f>
        <x:v>0</x:v>
      </x:c>
    </x:row>
    <x:row r="658" ht="22" customHeight="1">
      <x:c r="A658" s="5" t="n">
        <x:v>654</x:v>
      </x:c>
      <x:c r="B658" s="5" t="inlineStr">
        <x:is>
          <x:t xml:space="preserve">테르나</x:t>
        </x:is>
      </x:c>
      <x:c r="C658" s="5" t="inlineStr">
        <x:is>
          <x:t xml:space="preserve">braixen</x:t>
        </x:is>
      </x:c>
      <x:c r="D658" s="5" t="n">
        <x:v>6</x:v>
      </x:c>
      <x:c r="E658" s="10" t="n">
        <x:f>SUM(XLOOKUP('포켓몬_편집'!$AF658:$AN658,'분류_규칙'!$A$5:$A$76,'분류_규칙'!$E$5:$E$76,0))</x:f>
        <x:v>10</x:v>
      </x:c>
      <x:c r="F658" s="10" t="n">
        <x:f>SUM(XLOOKUP('포켓몬_편집'!$AF658:$AN658,'분류_규칙'!$A$5:$A$76,'분류_규칙'!$F$5:$F$76,0))</x:f>
        <x:v>7</x:v>
      </x:c>
      <x:c r="G658" s="10" t="n">
        <x:f>SUM(XLOOKUP('포켓몬_편집'!$AF658:$AN658,'분류_규칙'!$A$5:$A$76,'분류_규칙'!$G$5:$G$76,0))</x:f>
        <x:v>5</x:v>
      </x:c>
      <x:c r="H658" s="10" t="n">
        <x:f>SUM(XLOOKUP('포켓몬_편집'!$AF658:$AN658,'분류_규칙'!$A$5:$A$76,'분류_규칙'!$H$5:$H$76,0))</x:f>
        <x:v>5</x:v>
      </x:c>
      <x:c r="I658" s="10" t="n">
        <x:f>SUM(XLOOKUP('포켓몬_편집'!$AF658:$AN658,'분류_규칙'!$A$5:$A$76,'분류_규칙'!$I$5:$I$76,0))</x:f>
        <x:v>0</x:v>
      </x:c>
      <x:c r="J658" s="10" t="n">
        <x:f>SUM(XLOOKUP('포켓몬_편집'!$AF658:$AN658,'분류_규칙'!$A$5:$A$76,'분류_규칙'!$J$5:$J$76,0))</x:f>
        <x:v>2</x:v>
      </x:c>
      <x:c r="K658" s="10" t="n">
        <x:f>SUM(XLOOKUP('포켓몬_편집'!$AF658:$AN658,'분류_규칙'!$A$5:$A$76,'분류_규칙'!$K$5:$K$76,0))</x:f>
        <x:v>0</x:v>
      </x:c>
      <x:c r="L658" s="10" t="n">
        <x:f>SUM(XLOOKUP('포켓몬_편집'!$AF658:$AN658,'분류_규칙'!$A$5:$A$76,'분류_규칙'!$L$5:$L$76,0))</x:f>
        <x:v>0</x:v>
      </x:c>
      <x:c r="M658" s="10" t="n">
        <x:f>SUM(XLOOKUP('포켓몬_편집'!$AF658:$AN658,'분류_규칙'!$A$5:$A$76,'분류_규칙'!$M$5:$M$76,0))</x:f>
        <x:v>0</x:v>
      </x:c>
      <x:c r="N658" s="10" t="n">
        <x:f>SUM(XLOOKUP('포켓몬_편집'!$AF658:$AN658,'분류_규칙'!$A$5:$A$76,'분류_규칙'!$N$5:$N$76,0))</x:f>
        <x:v>0</x:v>
      </x:c>
      <x:c r="O658" s="10" t="n">
        <x:f>SUM(XLOOKUP('포켓몬_편집'!$AF658:$AN658,'분류_규칙'!$A$5:$A$76,'분류_규칙'!$O$5:$O$76,0))</x:f>
        <x:v>2</x:v>
      </x:c>
      <x:c r="P658" s="10" t="n">
        <x:f>SUM(XLOOKUP('포켓몬_편집'!$AF658:$AN658,'분류_규칙'!$A$5:$A$76,'분류_규칙'!$P$5:$P$76,0))</x:f>
        <x:v>0</x:v>
      </x:c>
    </x:row>
    <x:row r="659" ht="22" customHeight="1">
      <x:c r="A659" s="5" t="n">
        <x:v>655</x:v>
      </x:c>
      <x:c r="B659" s="5" t="inlineStr">
        <x:is>
          <x:t xml:space="preserve">마폭시</x:t>
        </x:is>
      </x:c>
      <x:c r="C659" s="5" t="inlineStr">
        <x:is>
          <x:t xml:space="preserve">delphox</x:t>
        </x:is>
      </x:c>
      <x:c r="D659" s="5" t="n">
        <x:v>6</x:v>
      </x:c>
      <x:c r="E659" s="10" t="n">
        <x:f>SUM(XLOOKUP('포켓몬_편집'!$AF659:$AN659,'분류_규칙'!$A$5:$A$76,'분류_규칙'!$E$5:$E$76,0))</x:f>
        <x:v>10</x:v>
      </x:c>
      <x:c r="F659" s="10" t="n">
        <x:f>SUM(XLOOKUP('포켓몬_편집'!$AF659:$AN659,'분류_규칙'!$A$5:$A$76,'분류_규칙'!$F$5:$F$76,0))</x:f>
        <x:v>7</x:v>
      </x:c>
      <x:c r="G659" s="10" t="n">
        <x:f>SUM(XLOOKUP('포켓몬_편집'!$AF659:$AN659,'분류_규칙'!$A$5:$A$76,'분류_규칙'!$G$5:$G$76,0))</x:f>
        <x:v>5</x:v>
      </x:c>
      <x:c r="H659" s="10" t="n">
        <x:f>SUM(XLOOKUP('포켓몬_편집'!$AF659:$AN659,'분류_규칙'!$A$5:$A$76,'분류_규칙'!$H$5:$H$76,0))</x:f>
        <x:v>5</x:v>
      </x:c>
      <x:c r="I659" s="10" t="n">
        <x:f>SUM(XLOOKUP('포켓몬_편집'!$AF659:$AN659,'분류_규칙'!$A$5:$A$76,'분류_규칙'!$I$5:$I$76,0))</x:f>
        <x:v>0</x:v>
      </x:c>
      <x:c r="J659" s="10" t="n">
        <x:f>SUM(XLOOKUP('포켓몬_편집'!$AF659:$AN659,'분류_규칙'!$A$5:$A$76,'분류_규칙'!$J$5:$J$76,0))</x:f>
        <x:v>2</x:v>
      </x:c>
      <x:c r="K659" s="10" t="n">
        <x:f>SUM(XLOOKUP('포켓몬_편집'!$AF659:$AN659,'분류_규칙'!$A$5:$A$76,'분류_규칙'!$K$5:$K$76,0))</x:f>
        <x:v>0</x:v>
      </x:c>
      <x:c r="L659" s="10" t="n">
        <x:f>SUM(XLOOKUP('포켓몬_편집'!$AF659:$AN659,'분류_규칙'!$A$5:$A$76,'분류_규칙'!$L$5:$L$76,0))</x:f>
        <x:v>0</x:v>
      </x:c>
      <x:c r="M659" s="10" t="n">
        <x:f>SUM(XLOOKUP('포켓몬_편집'!$AF659:$AN659,'분류_규칙'!$A$5:$A$76,'분류_규칙'!$M$5:$M$76,0))</x:f>
        <x:v>0</x:v>
      </x:c>
      <x:c r="N659" s="10" t="n">
        <x:f>SUM(XLOOKUP('포켓몬_편집'!$AF659:$AN659,'분류_규칙'!$A$5:$A$76,'분류_규칙'!$N$5:$N$76,0))</x:f>
        <x:v>0</x:v>
      </x:c>
      <x:c r="O659" s="10" t="n">
        <x:f>SUM(XLOOKUP('포켓몬_편집'!$AF659:$AN659,'분류_규칙'!$A$5:$A$76,'분류_규칙'!$O$5:$O$76,0))</x:f>
        <x:v>2</x:v>
      </x:c>
      <x:c r="P659" s="10" t="n">
        <x:f>SUM(XLOOKUP('포켓몬_편집'!$AF659:$AN659,'분류_규칙'!$A$5:$A$76,'분류_규칙'!$P$5:$P$76,0))</x:f>
        <x:v>0</x:v>
      </x:c>
    </x:row>
    <x:row r="660" ht="22" customHeight="1">
      <x:c r="A660" s="5" t="n">
        <x:v>656</x:v>
      </x:c>
      <x:c r="B660" s="5" t="inlineStr">
        <x:is>
          <x:t xml:space="preserve">개구마르</x:t>
        </x:is>
      </x:c>
      <x:c r="C660" s="5" t="inlineStr">
        <x:is>
          <x:t xml:space="preserve">froakie</x:t>
        </x:is>
      </x:c>
      <x:c r="D660" s="5" t="n">
        <x:v>6</x:v>
      </x:c>
      <x:c r="E660" s="10" t="n">
        <x:f>SUM(XLOOKUP('포켓몬_편집'!$AF660:$AN660,'분류_규칙'!$A$5:$A$76,'분류_규칙'!$E$5:$E$76,0))</x:f>
        <x:v>0</x:v>
      </x:c>
      <x:c r="F660" s="10" t="n">
        <x:f>SUM(XLOOKUP('포켓몬_편집'!$AF660:$AN660,'분류_규칙'!$A$5:$A$76,'분류_규칙'!$F$5:$F$76,0))</x:f>
        <x:v>0</x:v>
      </x:c>
      <x:c r="G660" s="10" t="n">
        <x:f>SUM(XLOOKUP('포켓몬_편집'!$AF660:$AN660,'분류_규칙'!$A$5:$A$76,'분류_규칙'!$G$5:$G$76,0))</x:f>
        <x:v>0</x:v>
      </x:c>
      <x:c r="H660" s="10" t="n">
        <x:f>SUM(XLOOKUP('포켓몬_편집'!$AF660:$AN660,'분류_규칙'!$A$5:$A$76,'분류_규칙'!$H$5:$H$76,0))</x:f>
        <x:v>0</x:v>
      </x:c>
      <x:c r="I660" s="10" t="n">
        <x:f>SUM(XLOOKUP('포켓몬_편집'!$AF660:$AN660,'분류_규칙'!$A$5:$A$76,'분류_규칙'!$I$5:$I$76,0))</x:f>
        <x:v>0</x:v>
      </x:c>
      <x:c r="J660" s="10" t="n">
        <x:f>SUM(XLOOKUP('포켓몬_편집'!$AF660:$AN660,'분류_규칙'!$A$5:$A$76,'분류_규칙'!$J$5:$J$76,0))</x:f>
        <x:v>12</x:v>
      </x:c>
      <x:c r="K660" s="10" t="n">
        <x:f>SUM(XLOOKUP('포켓몬_편집'!$AF660:$AN660,'분류_규칙'!$A$5:$A$76,'분류_규칙'!$K$5:$K$76,0))</x:f>
        <x:v>30</x:v>
      </x:c>
      <x:c r="L660" s="10" t="n">
        <x:f>SUM(XLOOKUP('포켓몬_편집'!$AF660:$AN660,'분류_규칙'!$A$5:$A$76,'분류_규칙'!$L$5:$L$76,0))</x:f>
        <x:v>0</x:v>
      </x:c>
      <x:c r="M660" s="10" t="n">
        <x:f>SUM(XLOOKUP('포켓몬_편집'!$AF660:$AN660,'분류_규칙'!$A$5:$A$76,'분류_규칙'!$M$5:$M$76,0))</x:f>
        <x:v>0</x:v>
      </x:c>
      <x:c r="N660" s="10" t="n">
        <x:f>SUM(XLOOKUP('포켓몬_편집'!$AF660:$AN660,'분류_규칙'!$A$5:$A$76,'분류_규칙'!$N$5:$N$76,0))</x:f>
        <x:v>0</x:v>
      </x:c>
      <x:c r="O660" s="10" t="n">
        <x:f>SUM(XLOOKUP('포켓몬_편집'!$AF660:$AN660,'분류_규칙'!$A$5:$A$76,'분류_규칙'!$O$5:$O$76,0))</x:f>
        <x:v>0</x:v>
      </x:c>
      <x:c r="P660" s="10" t="n">
        <x:f>SUM(XLOOKUP('포켓몬_편집'!$AF660:$AN660,'분류_규칙'!$A$5:$A$76,'분류_규칙'!$P$5:$P$76,0))</x:f>
        <x:v>0</x:v>
      </x:c>
    </x:row>
    <x:row r="661" ht="22" customHeight="1">
      <x:c r="A661" s="5" t="n">
        <x:v>657</x:v>
      </x:c>
      <x:c r="B661" s="5" t="inlineStr">
        <x:is>
          <x:t xml:space="preserve">개굴반장</x:t>
        </x:is>
      </x:c>
      <x:c r="C661" s="5" t="inlineStr">
        <x:is>
          <x:t xml:space="preserve">frogadier</x:t>
        </x:is>
      </x:c>
      <x:c r="D661" s="5" t="n">
        <x:v>6</x:v>
      </x:c>
      <x:c r="E661" s="10" t="n">
        <x:f>SUM(XLOOKUP('포켓몬_편집'!$AF661:$AN661,'분류_규칙'!$A$5:$A$76,'분류_규칙'!$E$5:$E$76,0))</x:f>
        <x:v>0</x:v>
      </x:c>
      <x:c r="F661" s="10" t="n">
        <x:f>SUM(XLOOKUP('포켓몬_편집'!$AF661:$AN661,'분류_규칙'!$A$5:$A$76,'분류_규칙'!$F$5:$F$76,0))</x:f>
        <x:v>0</x:v>
      </x:c>
      <x:c r="G661" s="10" t="n">
        <x:f>SUM(XLOOKUP('포켓몬_편집'!$AF661:$AN661,'분류_규칙'!$A$5:$A$76,'분류_규칙'!$G$5:$G$76,0))</x:f>
        <x:v>0</x:v>
      </x:c>
      <x:c r="H661" s="10" t="n">
        <x:f>SUM(XLOOKUP('포켓몬_편집'!$AF661:$AN661,'분류_규칙'!$A$5:$A$76,'분류_규칙'!$H$5:$H$76,0))</x:f>
        <x:v>0</x:v>
      </x:c>
      <x:c r="I661" s="10" t="n">
        <x:f>SUM(XLOOKUP('포켓몬_편집'!$AF661:$AN661,'분류_규칙'!$A$5:$A$76,'분류_규칙'!$I$5:$I$76,0))</x:f>
        <x:v>0</x:v>
      </x:c>
      <x:c r="J661" s="10" t="n">
        <x:f>SUM(XLOOKUP('포켓몬_편집'!$AF661:$AN661,'분류_규칙'!$A$5:$A$76,'분류_규칙'!$J$5:$J$76,0))</x:f>
        <x:v>12</x:v>
      </x:c>
      <x:c r="K661" s="10" t="n">
        <x:f>SUM(XLOOKUP('포켓몬_편집'!$AF661:$AN661,'분류_규칙'!$A$5:$A$76,'분류_규칙'!$K$5:$K$76,0))</x:f>
        <x:v>30</x:v>
      </x:c>
      <x:c r="L661" s="10" t="n">
        <x:f>SUM(XLOOKUP('포켓몬_편집'!$AF661:$AN661,'분류_규칙'!$A$5:$A$76,'분류_규칙'!$L$5:$L$76,0))</x:f>
        <x:v>0</x:v>
      </x:c>
      <x:c r="M661" s="10" t="n">
        <x:f>SUM(XLOOKUP('포켓몬_편집'!$AF661:$AN661,'분류_규칙'!$A$5:$A$76,'분류_규칙'!$M$5:$M$76,0))</x:f>
        <x:v>0</x:v>
      </x:c>
      <x:c r="N661" s="10" t="n">
        <x:f>SUM(XLOOKUP('포켓몬_편집'!$AF661:$AN661,'분류_규칙'!$A$5:$A$76,'분류_규칙'!$N$5:$N$76,0))</x:f>
        <x:v>0</x:v>
      </x:c>
      <x:c r="O661" s="10" t="n">
        <x:f>SUM(XLOOKUP('포켓몬_편집'!$AF661:$AN661,'분류_규칙'!$A$5:$A$76,'분류_규칙'!$O$5:$O$76,0))</x:f>
        <x:v>0</x:v>
      </x:c>
      <x:c r="P661" s="10" t="n">
        <x:f>SUM(XLOOKUP('포켓몬_편집'!$AF661:$AN661,'분류_규칙'!$A$5:$A$76,'분류_규칙'!$P$5:$P$76,0))</x:f>
        <x:v>0</x:v>
      </x:c>
    </x:row>
    <x:row r="662" ht="22" customHeight="1">
      <x:c r="A662" s="5" t="n">
        <x:v>658</x:v>
      </x:c>
      <x:c r="B662" s="5" t="inlineStr">
        <x:is>
          <x:t xml:space="preserve">개굴닌자</x:t>
        </x:is>
      </x:c>
      <x:c r="C662" s="5" t="inlineStr">
        <x:is>
          <x:t xml:space="preserve">greninja</x:t>
        </x:is>
      </x:c>
      <x:c r="D662" s="5" t="n">
        <x:v>6</x:v>
      </x:c>
      <x:c r="E662" s="10" t="n">
        <x:f>SUM(XLOOKUP('포켓몬_편집'!$AF662:$AN662,'분류_규칙'!$A$5:$A$76,'분류_규칙'!$E$5:$E$76,0))</x:f>
        <x:v>0</x:v>
      </x:c>
      <x:c r="F662" s="10" t="n">
        <x:f>SUM(XLOOKUP('포켓몬_편집'!$AF662:$AN662,'분류_규칙'!$A$5:$A$76,'분류_규칙'!$F$5:$F$76,0))</x:f>
        <x:v>0</x:v>
      </x:c>
      <x:c r="G662" s="10" t="n">
        <x:f>SUM(XLOOKUP('포켓몬_편집'!$AF662:$AN662,'분류_규칙'!$A$5:$A$76,'분류_규칙'!$G$5:$G$76,0))</x:f>
        <x:v>0</x:v>
      </x:c>
      <x:c r="H662" s="10" t="n">
        <x:f>SUM(XLOOKUP('포켓몬_편집'!$AF662:$AN662,'분류_규칙'!$A$5:$A$76,'분류_규칙'!$H$5:$H$76,0))</x:f>
        <x:v>0</x:v>
      </x:c>
      <x:c r="I662" s="10" t="n">
        <x:f>SUM(XLOOKUP('포켓몬_편집'!$AF662:$AN662,'분류_규칙'!$A$5:$A$76,'분류_규칙'!$I$5:$I$76,0))</x:f>
        <x:v>0</x:v>
      </x:c>
      <x:c r="J662" s="10" t="n">
        <x:f>SUM(XLOOKUP('포켓몬_편집'!$AF662:$AN662,'분류_규칙'!$A$5:$A$76,'분류_규칙'!$J$5:$J$76,0))</x:f>
        <x:v>12</x:v>
      </x:c>
      <x:c r="K662" s="10" t="n">
        <x:f>SUM(XLOOKUP('포켓몬_편집'!$AF662:$AN662,'분류_규칙'!$A$5:$A$76,'분류_규칙'!$K$5:$K$76,0))</x:f>
        <x:v>30</x:v>
      </x:c>
      <x:c r="L662" s="10" t="n">
        <x:f>SUM(XLOOKUP('포켓몬_편집'!$AF662:$AN662,'분류_규칙'!$A$5:$A$76,'분류_규칙'!$L$5:$L$76,0))</x:f>
        <x:v>0</x:v>
      </x:c>
      <x:c r="M662" s="10" t="n">
        <x:f>SUM(XLOOKUP('포켓몬_편집'!$AF662:$AN662,'분류_규칙'!$A$5:$A$76,'분류_규칙'!$M$5:$M$76,0))</x:f>
        <x:v>0</x:v>
      </x:c>
      <x:c r="N662" s="10" t="n">
        <x:f>SUM(XLOOKUP('포켓몬_편집'!$AF662:$AN662,'분류_규칙'!$A$5:$A$76,'분류_규칙'!$N$5:$N$76,0))</x:f>
        <x:v>0</x:v>
      </x:c>
      <x:c r="O662" s="10" t="n">
        <x:f>SUM(XLOOKUP('포켓몬_편집'!$AF662:$AN662,'분류_규칙'!$A$5:$A$76,'분류_규칙'!$O$5:$O$76,0))</x:f>
        <x:v>0</x:v>
      </x:c>
      <x:c r="P662" s="10" t="n">
        <x:f>SUM(XLOOKUP('포켓몬_편집'!$AF662:$AN662,'분류_규칙'!$A$5:$A$76,'분류_규칙'!$P$5:$P$76,0))</x:f>
        <x:v>0</x:v>
      </x:c>
    </x:row>
    <x:row r="663" ht="22" customHeight="1">
      <x:c r="A663" s="5" t="n">
        <x:v>659</x:v>
      </x:c>
      <x:c r="B663" s="5" t="inlineStr">
        <x:is>
          <x:t xml:space="preserve">파르빗</x:t>
        </x:is>
      </x:c>
      <x:c r="C663" s="5" t="inlineStr">
        <x:is>
          <x:t xml:space="preserve">bunnelby</x:t>
        </x:is>
      </x:c>
      <x:c r="D663" s="5" t="n">
        <x:v>6</x:v>
      </x:c>
      <x:c r="E663" s="10" t="n">
        <x:f>SUM(XLOOKUP('포켓몬_편집'!$AF663:$AN663,'분류_규칙'!$A$5:$A$76,'분류_규칙'!$E$5:$E$76,0))</x:f>
        <x:v>10</x:v>
      </x:c>
      <x:c r="F663" s="10" t="n">
        <x:f>SUM(XLOOKUP('포켓몬_편집'!$AF663:$AN663,'분류_규칙'!$A$5:$A$76,'분류_규칙'!$F$5:$F$76,0))</x:f>
        <x:v>7</x:v>
      </x:c>
      <x:c r="G663" s="10" t="n">
        <x:f>SUM(XLOOKUP('포켓몬_편집'!$AF663:$AN663,'분류_규칙'!$A$5:$A$76,'분류_규칙'!$G$5:$G$76,0))</x:f>
        <x:v>5</x:v>
      </x:c>
      <x:c r="H663" s="10" t="n">
        <x:f>SUM(XLOOKUP('포켓몬_편집'!$AF663:$AN663,'분류_규칙'!$A$5:$A$76,'분류_규칙'!$H$5:$H$76,0))</x:f>
        <x:v>5</x:v>
      </x:c>
      <x:c r="I663" s="10" t="n">
        <x:f>SUM(XLOOKUP('포켓몬_편집'!$AF663:$AN663,'분류_규칙'!$A$5:$A$76,'분류_규칙'!$I$5:$I$76,0))</x:f>
        <x:v>0</x:v>
      </x:c>
      <x:c r="J663" s="10" t="n">
        <x:f>SUM(XLOOKUP('포켓몬_편집'!$AF663:$AN663,'분류_규칙'!$A$5:$A$76,'분류_규칙'!$J$5:$J$76,0))</x:f>
        <x:v>2</x:v>
      </x:c>
      <x:c r="K663" s="10" t="n">
        <x:f>SUM(XLOOKUP('포켓몬_편집'!$AF663:$AN663,'분류_규칙'!$A$5:$A$76,'분류_규칙'!$K$5:$K$76,0))</x:f>
        <x:v>0</x:v>
      </x:c>
      <x:c r="L663" s="10" t="n">
        <x:f>SUM(XLOOKUP('포켓몬_편집'!$AF663:$AN663,'분류_규칙'!$A$5:$A$76,'분류_규칙'!$L$5:$L$76,0))</x:f>
        <x:v>0</x:v>
      </x:c>
      <x:c r="M663" s="10" t="n">
        <x:f>SUM(XLOOKUP('포켓몬_편집'!$AF663:$AN663,'분류_규칙'!$A$5:$A$76,'분류_규칙'!$M$5:$M$76,0))</x:f>
        <x:v>0</x:v>
      </x:c>
      <x:c r="N663" s="10" t="n">
        <x:f>SUM(XLOOKUP('포켓몬_편집'!$AF663:$AN663,'분류_규칙'!$A$5:$A$76,'분류_규칙'!$N$5:$N$76,0))</x:f>
        <x:v>0</x:v>
      </x:c>
      <x:c r="O663" s="10" t="n">
        <x:f>SUM(XLOOKUP('포켓몬_편집'!$AF663:$AN663,'분류_규칙'!$A$5:$A$76,'분류_규칙'!$O$5:$O$76,0))</x:f>
        <x:v>2</x:v>
      </x:c>
      <x:c r="P663" s="10" t="n">
        <x:f>SUM(XLOOKUP('포켓몬_편집'!$AF663:$AN663,'분류_규칙'!$A$5:$A$76,'분류_규칙'!$P$5:$P$76,0))</x:f>
        <x:v>0</x:v>
      </x:c>
    </x:row>
    <x:row r="664" ht="22" customHeight="1">
      <x:c r="A664" s="5" t="n">
        <x:v>660</x:v>
      </x:c>
      <x:c r="B664" s="5" t="inlineStr">
        <x:is>
          <x:t xml:space="preserve">파르토</x:t>
        </x:is>
      </x:c>
      <x:c r="C664" s="5" t="inlineStr">
        <x:is>
          <x:t xml:space="preserve">diggersby</x:t>
        </x:is>
      </x:c>
      <x:c r="D664" s="5" t="n">
        <x:v>6</x:v>
      </x:c>
      <x:c r="E664" s="10" t="n">
        <x:f>SUM(XLOOKUP('포켓몬_편집'!$AF664:$AN664,'분류_규칙'!$A$5:$A$76,'분류_규칙'!$E$5:$E$76,0))</x:f>
        <x:v>10</x:v>
      </x:c>
      <x:c r="F664" s="10" t="n">
        <x:f>SUM(XLOOKUP('포켓몬_편집'!$AF664:$AN664,'분류_규칙'!$A$5:$A$76,'분류_규칙'!$F$5:$F$76,0))</x:f>
        <x:v>7</x:v>
      </x:c>
      <x:c r="G664" s="10" t="n">
        <x:f>SUM(XLOOKUP('포켓몬_편집'!$AF664:$AN664,'분류_규칙'!$A$5:$A$76,'분류_규칙'!$G$5:$G$76,0))</x:f>
        <x:v>5</x:v>
      </x:c>
      <x:c r="H664" s="10" t="n">
        <x:f>SUM(XLOOKUP('포켓몬_편집'!$AF664:$AN664,'분류_규칙'!$A$5:$A$76,'분류_규칙'!$H$5:$H$76,0))</x:f>
        <x:v>5</x:v>
      </x:c>
      <x:c r="I664" s="10" t="n">
        <x:f>SUM(XLOOKUP('포켓몬_편집'!$AF664:$AN664,'분류_규칙'!$A$5:$A$76,'분류_규칙'!$I$5:$I$76,0))</x:f>
        <x:v>0</x:v>
      </x:c>
      <x:c r="J664" s="10" t="n">
        <x:f>SUM(XLOOKUP('포켓몬_편집'!$AF664:$AN664,'분류_규칙'!$A$5:$A$76,'분류_규칙'!$J$5:$J$76,0))</x:f>
        <x:v>2</x:v>
      </x:c>
      <x:c r="K664" s="10" t="n">
        <x:f>SUM(XLOOKUP('포켓몬_편집'!$AF664:$AN664,'분류_규칙'!$A$5:$A$76,'분류_규칙'!$K$5:$K$76,0))</x:f>
        <x:v>0</x:v>
      </x:c>
      <x:c r="L664" s="10" t="n">
        <x:f>SUM(XLOOKUP('포켓몬_편집'!$AF664:$AN664,'분류_규칙'!$A$5:$A$76,'분류_규칙'!$L$5:$L$76,0))</x:f>
        <x:v>0</x:v>
      </x:c>
      <x:c r="M664" s="10" t="n">
        <x:f>SUM(XLOOKUP('포켓몬_편집'!$AF664:$AN664,'분류_규칙'!$A$5:$A$76,'분류_규칙'!$M$5:$M$76,0))</x:f>
        <x:v>0</x:v>
      </x:c>
      <x:c r="N664" s="10" t="n">
        <x:f>SUM(XLOOKUP('포켓몬_편집'!$AF664:$AN664,'분류_규칙'!$A$5:$A$76,'분류_규칙'!$N$5:$N$76,0))</x:f>
        <x:v>0</x:v>
      </x:c>
      <x:c r="O664" s="10" t="n">
        <x:f>SUM(XLOOKUP('포켓몬_편집'!$AF664:$AN664,'분류_규칙'!$A$5:$A$76,'분류_규칙'!$O$5:$O$76,0))</x:f>
        <x:v>2</x:v>
      </x:c>
      <x:c r="P664" s="10" t="n">
        <x:f>SUM(XLOOKUP('포켓몬_편집'!$AF664:$AN664,'분류_규칙'!$A$5:$A$76,'분류_규칙'!$P$5:$P$76,0))</x:f>
        <x:v>0</x:v>
      </x:c>
    </x:row>
    <x:row r="665" ht="22" customHeight="1">
      <x:c r="A665" s="5" t="n">
        <x:v>661</x:v>
      </x:c>
      <x:c r="B665" s="5" t="inlineStr">
        <x:is>
          <x:t xml:space="preserve">화살꼬빈</x:t>
        </x:is>
      </x:c>
      <x:c r="C665" s="5" t="inlineStr">
        <x:is>
          <x:t xml:space="preserve">fletchling</x:t>
        </x:is>
      </x:c>
      <x:c r="D665" s="5" t="n">
        <x:v>6</x:v>
      </x:c>
      <x:c r="E665" s="10" t="n">
        <x:f>SUM(XLOOKUP('포켓몬_편집'!$AF665:$AN665,'분류_규칙'!$A$5:$A$76,'분류_규칙'!$E$5:$E$76,0))</x:f>
        <x:v>8</x:v>
      </x:c>
      <x:c r="F665" s="10" t="n">
        <x:f>SUM(XLOOKUP('포켓몬_편집'!$AF665:$AN665,'분류_규칙'!$A$5:$A$76,'분류_규칙'!$F$5:$F$76,0))</x:f>
        <x:v>8</x:v>
      </x:c>
      <x:c r="G665" s="10" t="n">
        <x:f>SUM(XLOOKUP('포켓몬_편집'!$AF665:$AN665,'분류_규칙'!$A$5:$A$76,'분류_규칙'!$G$5:$G$76,0))</x:f>
        <x:v>0</x:v>
      </x:c>
      <x:c r="H665" s="10" t="n">
        <x:f>SUM(XLOOKUP('포켓몬_편집'!$AF665:$AN665,'분류_규칙'!$A$5:$A$76,'분류_규칙'!$H$5:$H$76,0))</x:f>
        <x:v>12</x:v>
      </x:c>
      <x:c r="I665" s="10" t="n">
        <x:f>SUM(XLOOKUP('포켓몬_편집'!$AF665:$AN665,'분류_규칙'!$A$5:$A$76,'분류_규칙'!$I$5:$I$76,0))</x:f>
        <x:v>0</x:v>
      </x:c>
      <x:c r="J665" s="10" t="n">
        <x:f>SUM(XLOOKUP('포켓몬_편집'!$AF665:$AN665,'분류_규칙'!$A$5:$A$76,'분류_규칙'!$J$5:$J$76,0))</x:f>
        <x:v>0</x:v>
      </x:c>
      <x:c r="K665" s="10" t="n">
        <x:f>SUM(XLOOKUP('포켓몬_편집'!$AF665:$AN665,'분류_규칙'!$A$5:$A$76,'분류_규칙'!$K$5:$K$76,0))</x:f>
        <x:v>0</x:v>
      </x:c>
      <x:c r="L665" s="10" t="n">
        <x:f>SUM(XLOOKUP('포켓몬_편집'!$AF665:$AN665,'분류_규칙'!$A$5:$A$76,'분류_규칙'!$L$5:$L$76,0))</x:f>
        <x:v>3</x:v>
      </x:c>
      <x:c r="M665" s="10" t="n">
        <x:f>SUM(XLOOKUP('포켓몬_편집'!$AF665:$AN665,'분류_규칙'!$A$5:$A$76,'분류_규칙'!$M$5:$M$76,0))</x:f>
        <x:v>0</x:v>
      </x:c>
      <x:c r="N665" s="10" t="n">
        <x:f>SUM(XLOOKUP('포켓몬_편집'!$AF665:$AN665,'분류_규칙'!$A$5:$A$76,'분류_규칙'!$N$5:$N$76,0))</x:f>
        <x:v>0</x:v>
      </x:c>
      <x:c r="O665" s="10" t="n">
        <x:f>SUM(XLOOKUP('포켓몬_편집'!$AF665:$AN665,'분류_규칙'!$A$5:$A$76,'분류_규칙'!$O$5:$O$76,0))</x:f>
        <x:v>2</x:v>
      </x:c>
      <x:c r="P665" s="10" t="n">
        <x:f>SUM(XLOOKUP('포켓몬_편집'!$AF665:$AN665,'분류_규칙'!$A$5:$A$76,'분류_규칙'!$P$5:$P$76,0))</x:f>
        <x:v>0</x:v>
      </x:c>
    </x:row>
    <x:row r="666" ht="22" customHeight="1">
      <x:c r="A666" s="5" t="n">
        <x:v>662</x:v>
      </x:c>
      <x:c r="B666" s="5" t="inlineStr">
        <x:is>
          <x:t xml:space="preserve">불화살빈</x:t>
        </x:is>
      </x:c>
      <x:c r="C666" s="5" t="inlineStr">
        <x:is>
          <x:t xml:space="preserve">fletchinder</x:t>
        </x:is>
      </x:c>
      <x:c r="D666" s="5" t="n">
        <x:v>6</x:v>
      </x:c>
      <x:c r="E666" s="10" t="n">
        <x:f>SUM(XLOOKUP('포켓몬_편집'!$AF666:$AN666,'분류_규칙'!$A$5:$A$76,'분류_규칙'!$E$5:$E$76,0))</x:f>
        <x:v>8</x:v>
      </x:c>
      <x:c r="F666" s="10" t="n">
        <x:f>SUM(XLOOKUP('포켓몬_편집'!$AF666:$AN666,'분류_규칙'!$A$5:$A$76,'분류_규칙'!$F$5:$F$76,0))</x:f>
        <x:v>8</x:v>
      </x:c>
      <x:c r="G666" s="10" t="n">
        <x:f>SUM(XLOOKUP('포켓몬_편집'!$AF666:$AN666,'분류_규칙'!$A$5:$A$76,'분류_규칙'!$G$5:$G$76,0))</x:f>
        <x:v>0</x:v>
      </x:c>
      <x:c r="H666" s="10" t="n">
        <x:f>SUM(XLOOKUP('포켓몬_편집'!$AF666:$AN666,'분류_규칙'!$A$5:$A$76,'분류_규칙'!$H$5:$H$76,0))</x:f>
        <x:v>12</x:v>
      </x:c>
      <x:c r="I666" s="10" t="n">
        <x:f>SUM(XLOOKUP('포켓몬_편집'!$AF666:$AN666,'분류_규칙'!$A$5:$A$76,'분류_규칙'!$I$5:$I$76,0))</x:f>
        <x:v>0</x:v>
      </x:c>
      <x:c r="J666" s="10" t="n">
        <x:f>SUM(XLOOKUP('포켓몬_편집'!$AF666:$AN666,'분류_규칙'!$A$5:$A$76,'분류_규칙'!$J$5:$J$76,0))</x:f>
        <x:v>0</x:v>
      </x:c>
      <x:c r="K666" s="10" t="n">
        <x:f>SUM(XLOOKUP('포켓몬_편집'!$AF666:$AN666,'분류_규칙'!$A$5:$A$76,'분류_규칙'!$K$5:$K$76,0))</x:f>
        <x:v>0</x:v>
      </x:c>
      <x:c r="L666" s="10" t="n">
        <x:f>SUM(XLOOKUP('포켓몬_편집'!$AF666:$AN666,'분류_규칙'!$A$5:$A$76,'분류_규칙'!$L$5:$L$76,0))</x:f>
        <x:v>3</x:v>
      </x:c>
      <x:c r="M666" s="10" t="n">
        <x:f>SUM(XLOOKUP('포켓몬_편집'!$AF666:$AN666,'분류_규칙'!$A$5:$A$76,'분류_규칙'!$M$5:$M$76,0))</x:f>
        <x:v>0</x:v>
      </x:c>
      <x:c r="N666" s="10" t="n">
        <x:f>SUM(XLOOKUP('포켓몬_편집'!$AF666:$AN666,'분류_규칙'!$A$5:$A$76,'분류_규칙'!$N$5:$N$76,0))</x:f>
        <x:v>0</x:v>
      </x:c>
      <x:c r="O666" s="10" t="n">
        <x:f>SUM(XLOOKUP('포켓몬_편집'!$AF666:$AN666,'분류_규칙'!$A$5:$A$76,'분류_규칙'!$O$5:$O$76,0))</x:f>
        <x:v>2</x:v>
      </x:c>
      <x:c r="P666" s="10" t="n">
        <x:f>SUM(XLOOKUP('포켓몬_편집'!$AF666:$AN666,'분류_규칙'!$A$5:$A$76,'분류_규칙'!$P$5:$P$76,0))</x:f>
        <x:v>0</x:v>
      </x:c>
    </x:row>
    <x:row r="667" ht="22" customHeight="1">
      <x:c r="A667" s="5" t="n">
        <x:v>663</x:v>
      </x:c>
      <x:c r="B667" s="5" t="inlineStr">
        <x:is>
          <x:t xml:space="preserve">파이어로</x:t>
        </x:is>
      </x:c>
      <x:c r="C667" s="5" t="inlineStr">
        <x:is>
          <x:t xml:space="preserve">talonflame</x:t>
        </x:is>
      </x:c>
      <x:c r="D667" s="5" t="n">
        <x:v>6</x:v>
      </x:c>
      <x:c r="E667" s="10" t="n">
        <x:f>SUM(XLOOKUP('포켓몬_편집'!$AF667:$AN667,'분류_규칙'!$A$5:$A$76,'분류_규칙'!$E$5:$E$76,0))</x:f>
        <x:v>8</x:v>
      </x:c>
      <x:c r="F667" s="10" t="n">
        <x:f>SUM(XLOOKUP('포켓몬_편집'!$AF667:$AN667,'분류_규칙'!$A$5:$A$76,'분류_규칙'!$F$5:$F$76,0))</x:f>
        <x:v>8</x:v>
      </x:c>
      <x:c r="G667" s="10" t="n">
        <x:f>SUM(XLOOKUP('포켓몬_편집'!$AF667:$AN667,'분류_규칙'!$A$5:$A$76,'분류_규칙'!$G$5:$G$76,0))</x:f>
        <x:v>0</x:v>
      </x:c>
      <x:c r="H667" s="10" t="n">
        <x:f>SUM(XLOOKUP('포켓몬_편집'!$AF667:$AN667,'분류_규칙'!$A$5:$A$76,'분류_규칙'!$H$5:$H$76,0))</x:f>
        <x:v>12</x:v>
      </x:c>
      <x:c r="I667" s="10" t="n">
        <x:f>SUM(XLOOKUP('포켓몬_편집'!$AF667:$AN667,'분류_규칙'!$A$5:$A$76,'분류_규칙'!$I$5:$I$76,0))</x:f>
        <x:v>0</x:v>
      </x:c>
      <x:c r="J667" s="10" t="n">
        <x:f>SUM(XLOOKUP('포켓몬_편집'!$AF667:$AN667,'분류_규칙'!$A$5:$A$76,'분류_규칙'!$J$5:$J$76,0))</x:f>
        <x:v>0</x:v>
      </x:c>
      <x:c r="K667" s="10" t="n">
        <x:f>SUM(XLOOKUP('포켓몬_편집'!$AF667:$AN667,'분류_규칙'!$A$5:$A$76,'분류_규칙'!$K$5:$K$76,0))</x:f>
        <x:v>0</x:v>
      </x:c>
      <x:c r="L667" s="10" t="n">
        <x:f>SUM(XLOOKUP('포켓몬_편집'!$AF667:$AN667,'분류_규칙'!$A$5:$A$76,'분류_규칙'!$L$5:$L$76,0))</x:f>
        <x:v>3</x:v>
      </x:c>
      <x:c r="M667" s="10" t="n">
        <x:f>SUM(XLOOKUP('포켓몬_편집'!$AF667:$AN667,'분류_규칙'!$A$5:$A$76,'분류_규칙'!$M$5:$M$76,0))</x:f>
        <x:v>0</x:v>
      </x:c>
      <x:c r="N667" s="10" t="n">
        <x:f>SUM(XLOOKUP('포켓몬_편집'!$AF667:$AN667,'분류_규칙'!$A$5:$A$76,'분류_규칙'!$N$5:$N$76,0))</x:f>
        <x:v>0</x:v>
      </x:c>
      <x:c r="O667" s="10" t="n">
        <x:f>SUM(XLOOKUP('포켓몬_편집'!$AF667:$AN667,'분류_규칙'!$A$5:$A$76,'분류_규칙'!$O$5:$O$76,0))</x:f>
        <x:v>2</x:v>
      </x:c>
      <x:c r="P667" s="10" t="n">
        <x:f>SUM(XLOOKUP('포켓몬_편집'!$AF667:$AN667,'분류_규칙'!$A$5:$A$76,'분류_규칙'!$P$5:$P$76,0))</x:f>
        <x:v>0</x:v>
      </x:c>
    </x:row>
    <x:row r="668" ht="22" customHeight="1">
      <x:c r="A668" s="5" t="n">
        <x:v>664</x:v>
      </x:c>
      <x:c r="B668" s="5" t="inlineStr">
        <x:is>
          <x:t xml:space="preserve">분이벌레</x:t>
        </x:is>
      </x:c>
      <x:c r="C668" s="5" t="inlineStr">
        <x:is>
          <x:t xml:space="preserve">scatterbug</x:t>
        </x:is>
      </x:c>
      <x:c r="D668" s="5" t="n">
        <x:v>6</x:v>
      </x:c>
      <x:c r="E668" s="10" t="n">
        <x:f>SUM(XLOOKUP('포켓몬_편집'!$AF668:$AN668,'분류_규칙'!$A$5:$A$76,'분류_규칙'!$E$5:$E$76,0))</x:f>
        <x:v>10</x:v>
      </x:c>
      <x:c r="F668" s="10" t="n">
        <x:f>SUM(XLOOKUP('포켓몬_편집'!$AF668:$AN668,'분류_규칙'!$A$5:$A$76,'분류_규칙'!$F$5:$F$76,0))</x:f>
        <x:v>7</x:v>
      </x:c>
      <x:c r="G668" s="10" t="n">
        <x:f>SUM(XLOOKUP('포켓몬_편집'!$AF668:$AN668,'분류_규칙'!$A$5:$A$76,'분류_규칙'!$G$5:$G$76,0))</x:f>
        <x:v>5</x:v>
      </x:c>
      <x:c r="H668" s="10" t="n">
        <x:f>SUM(XLOOKUP('포켓몬_편집'!$AF668:$AN668,'분류_규칙'!$A$5:$A$76,'분류_규칙'!$H$5:$H$76,0))</x:f>
        <x:v>5</x:v>
      </x:c>
      <x:c r="I668" s="10" t="n">
        <x:f>SUM(XLOOKUP('포켓몬_편집'!$AF668:$AN668,'분류_규칙'!$A$5:$A$76,'분류_규칙'!$I$5:$I$76,0))</x:f>
        <x:v>0</x:v>
      </x:c>
      <x:c r="J668" s="10" t="n">
        <x:f>SUM(XLOOKUP('포켓몬_편집'!$AF668:$AN668,'분류_규칙'!$A$5:$A$76,'분류_규칙'!$J$5:$J$76,0))</x:f>
        <x:v>2</x:v>
      </x:c>
      <x:c r="K668" s="10" t="n">
        <x:f>SUM(XLOOKUP('포켓몬_편집'!$AF668:$AN668,'분류_규칙'!$A$5:$A$76,'분류_규칙'!$K$5:$K$76,0))</x:f>
        <x:v>0</x:v>
      </x:c>
      <x:c r="L668" s="10" t="n">
        <x:f>SUM(XLOOKUP('포켓몬_편집'!$AF668:$AN668,'분류_규칙'!$A$5:$A$76,'분류_규칙'!$L$5:$L$76,0))</x:f>
        <x:v>0</x:v>
      </x:c>
      <x:c r="M668" s="10" t="n">
        <x:f>SUM(XLOOKUP('포켓몬_편집'!$AF668:$AN668,'분류_규칙'!$A$5:$A$76,'분류_규칙'!$M$5:$M$76,0))</x:f>
        <x:v>0</x:v>
      </x:c>
      <x:c r="N668" s="10" t="n">
        <x:f>SUM(XLOOKUP('포켓몬_편집'!$AF668:$AN668,'분류_규칙'!$A$5:$A$76,'분류_규칙'!$N$5:$N$76,0))</x:f>
        <x:v>0</x:v>
      </x:c>
      <x:c r="O668" s="10" t="n">
        <x:f>SUM(XLOOKUP('포켓몬_편집'!$AF668:$AN668,'분류_규칙'!$A$5:$A$76,'분류_규칙'!$O$5:$O$76,0))</x:f>
        <x:v>2</x:v>
      </x:c>
      <x:c r="P668" s="10" t="n">
        <x:f>SUM(XLOOKUP('포켓몬_편집'!$AF668:$AN668,'분류_규칙'!$A$5:$A$76,'분류_규칙'!$P$5:$P$76,0))</x:f>
        <x:v>0</x:v>
      </x:c>
    </x:row>
    <x:row r="669" ht="22" customHeight="1">
      <x:c r="A669" s="5" t="n">
        <x:v>665</x:v>
      </x:c>
      <x:c r="B669" s="5" t="inlineStr">
        <x:is>
          <x:t xml:space="preserve">분떠도리</x:t>
        </x:is>
      </x:c>
      <x:c r="C669" s="5" t="inlineStr">
        <x:is>
          <x:t xml:space="preserve">spewpa</x:t>
        </x:is>
      </x:c>
      <x:c r="D669" s="5" t="n">
        <x:v>6</x:v>
      </x:c>
      <x:c r="E669" s="10" t="n">
        <x:f>SUM(XLOOKUP('포켓몬_편집'!$AF669:$AN669,'분류_규칙'!$A$5:$A$76,'분류_규칙'!$E$5:$E$76,0))</x:f>
        <x:v>10</x:v>
      </x:c>
      <x:c r="F669" s="10" t="n">
        <x:f>SUM(XLOOKUP('포켓몬_편집'!$AF669:$AN669,'분류_규칙'!$A$5:$A$76,'분류_규칙'!$F$5:$F$76,0))</x:f>
        <x:v>7</x:v>
      </x:c>
      <x:c r="G669" s="10" t="n">
        <x:f>SUM(XLOOKUP('포켓몬_편집'!$AF669:$AN669,'분류_규칙'!$A$5:$A$76,'분류_규칙'!$G$5:$G$76,0))</x:f>
        <x:v>5</x:v>
      </x:c>
      <x:c r="H669" s="10" t="n">
        <x:f>SUM(XLOOKUP('포켓몬_편집'!$AF669:$AN669,'분류_규칙'!$A$5:$A$76,'분류_규칙'!$H$5:$H$76,0))</x:f>
        <x:v>5</x:v>
      </x:c>
      <x:c r="I669" s="10" t="n">
        <x:f>SUM(XLOOKUP('포켓몬_편집'!$AF669:$AN669,'분류_규칙'!$A$5:$A$76,'분류_규칙'!$I$5:$I$76,0))</x:f>
        <x:v>0</x:v>
      </x:c>
      <x:c r="J669" s="10" t="n">
        <x:f>SUM(XLOOKUP('포켓몬_편집'!$AF669:$AN669,'분류_규칙'!$A$5:$A$76,'분류_규칙'!$J$5:$J$76,0))</x:f>
        <x:v>2</x:v>
      </x:c>
      <x:c r="K669" s="10" t="n">
        <x:f>SUM(XLOOKUP('포켓몬_편집'!$AF669:$AN669,'분류_규칙'!$A$5:$A$76,'분류_규칙'!$K$5:$K$76,0))</x:f>
        <x:v>0</x:v>
      </x:c>
      <x:c r="L669" s="10" t="n">
        <x:f>SUM(XLOOKUP('포켓몬_편집'!$AF669:$AN669,'분류_규칙'!$A$5:$A$76,'분류_규칙'!$L$5:$L$76,0))</x:f>
        <x:v>0</x:v>
      </x:c>
      <x:c r="M669" s="10" t="n">
        <x:f>SUM(XLOOKUP('포켓몬_편집'!$AF669:$AN669,'분류_규칙'!$A$5:$A$76,'분류_규칙'!$M$5:$M$76,0))</x:f>
        <x:v>0</x:v>
      </x:c>
      <x:c r="N669" s="10" t="n">
        <x:f>SUM(XLOOKUP('포켓몬_편집'!$AF669:$AN669,'분류_규칙'!$A$5:$A$76,'분류_규칙'!$N$5:$N$76,0))</x:f>
        <x:v>0</x:v>
      </x:c>
      <x:c r="O669" s="10" t="n">
        <x:f>SUM(XLOOKUP('포켓몬_편집'!$AF669:$AN669,'분류_규칙'!$A$5:$A$76,'분류_규칙'!$O$5:$O$76,0))</x:f>
        <x:v>2</x:v>
      </x:c>
      <x:c r="P669" s="10" t="n">
        <x:f>SUM(XLOOKUP('포켓몬_편집'!$AF669:$AN669,'분류_규칙'!$A$5:$A$76,'분류_규칙'!$P$5:$P$76,0))</x:f>
        <x:v>0</x:v>
      </x:c>
    </x:row>
    <x:row r="670" ht="22" customHeight="1">
      <x:c r="A670" s="5" t="n">
        <x:v>666</x:v>
      </x:c>
      <x:c r="B670" s="5" t="inlineStr">
        <x:is>
          <x:t xml:space="preserve">비비용</x:t>
        </x:is>
      </x:c>
      <x:c r="C670" s="5" t="inlineStr">
        <x:is>
          <x:t xml:space="preserve">vivillon</x:t>
        </x:is>
      </x:c>
      <x:c r="D670" s="5" t="n">
        <x:v>6</x:v>
      </x:c>
      <x:c r="E670" s="10" t="n">
        <x:f>SUM(XLOOKUP('포켓몬_편집'!$AF670:$AN670,'분류_규칙'!$A$5:$A$76,'분류_규칙'!$E$5:$E$76,0))</x:f>
        <x:v>0</x:v>
      </x:c>
      <x:c r="F670" s="10" t="n">
        <x:f>SUM(XLOOKUP('포켓몬_편집'!$AF670:$AN670,'분류_규칙'!$A$5:$A$76,'분류_규칙'!$F$5:$F$76,0))</x:f>
        <x:v>0</x:v>
      </x:c>
      <x:c r="G670" s="10" t="n">
        <x:f>SUM(XLOOKUP('포켓몬_편집'!$AF670:$AN670,'분류_규칙'!$A$5:$A$76,'분류_규칙'!$G$5:$G$76,0))</x:f>
        <x:v>0</x:v>
      </x:c>
      <x:c r="H670" s="10" t="n">
        <x:f>SUM(XLOOKUP('포켓몬_편집'!$AF670:$AN670,'분류_규칙'!$A$5:$A$76,'분류_규칙'!$H$5:$H$76,0))</x:f>
        <x:v>0</x:v>
      </x:c>
      <x:c r="I670" s="10" t="n">
        <x:f>SUM(XLOOKUP('포켓몬_편집'!$AF670:$AN670,'분류_규칙'!$A$5:$A$76,'분류_규칙'!$I$5:$I$76,0))</x:f>
        <x:v>0</x:v>
      </x:c>
      <x:c r="J670" s="10" t="n">
        <x:f>SUM(XLOOKUP('포켓몬_편집'!$AF670:$AN670,'분류_규칙'!$A$5:$A$76,'분류_규칙'!$J$5:$J$76,0))</x:f>
        <x:v>3</x:v>
      </x:c>
      <x:c r="K670" s="10" t="n">
        <x:f>SUM(XLOOKUP('포켓몬_편집'!$AF670:$AN670,'분류_규칙'!$A$5:$A$76,'분류_규칙'!$K$5:$K$76,0))</x:f>
        <x:v>0</x:v>
      </x:c>
      <x:c r="L670" s="10" t="n">
        <x:f>SUM(XLOOKUP('포켓몬_편집'!$AF670:$AN670,'분류_규칙'!$A$5:$A$76,'분류_규칙'!$L$5:$L$76,0))</x:f>
        <x:v>30</x:v>
      </x:c>
      <x:c r="M670" s="10" t="n">
        <x:f>SUM(XLOOKUP('포켓몬_편집'!$AF670:$AN670,'분류_규칙'!$A$5:$A$76,'분류_규칙'!$M$5:$M$76,0))</x:f>
        <x:v>0</x:v>
      </x:c>
      <x:c r="N670" s="10" t="n">
        <x:f>SUM(XLOOKUP('포켓몬_편집'!$AF670:$AN670,'분류_규칙'!$A$5:$A$76,'분류_규칙'!$N$5:$N$76,0))</x:f>
        <x:v>0</x:v>
      </x:c>
      <x:c r="O670" s="10" t="n">
        <x:f>SUM(XLOOKUP('포켓몬_편집'!$AF670:$AN670,'분류_규칙'!$A$5:$A$76,'분류_규칙'!$O$5:$O$76,0))</x:f>
        <x:v>0</x:v>
      </x:c>
      <x:c r="P670" s="10" t="n">
        <x:f>SUM(XLOOKUP('포켓몬_편집'!$AF670:$AN670,'분류_규칙'!$A$5:$A$76,'분류_규칙'!$P$5:$P$76,0))</x:f>
        <x:v>0</x:v>
      </x:c>
    </x:row>
    <x:row r="671" ht="22" customHeight="1">
      <x:c r="A671" s="5" t="n">
        <x:v>667</x:v>
      </x:c>
      <x:c r="B671" s="5" t="inlineStr">
        <x:is>
          <x:t xml:space="preserve">레오꼬</x:t>
        </x:is>
      </x:c>
      <x:c r="C671" s="5" t="inlineStr">
        <x:is>
          <x:t xml:space="preserve">litleo</x:t>
        </x:is>
      </x:c>
      <x:c r="D671" s="5" t="n">
        <x:v>6</x:v>
      </x:c>
      <x:c r="E671" s="10" t="n">
        <x:f>SUM(XLOOKUP('포켓몬_편집'!$AF671:$AN671,'분류_규칙'!$A$5:$A$76,'분류_규칙'!$E$5:$E$76,0))</x:f>
        <x:v>10</x:v>
      </x:c>
      <x:c r="F671" s="10" t="n">
        <x:f>SUM(XLOOKUP('포켓몬_편집'!$AF671:$AN671,'분류_규칙'!$A$5:$A$76,'분류_규칙'!$F$5:$F$76,0))</x:f>
        <x:v>7</x:v>
      </x:c>
      <x:c r="G671" s="10" t="n">
        <x:f>SUM(XLOOKUP('포켓몬_편집'!$AF671:$AN671,'분류_규칙'!$A$5:$A$76,'분류_규칙'!$G$5:$G$76,0))</x:f>
        <x:v>5</x:v>
      </x:c>
      <x:c r="H671" s="10" t="n">
        <x:f>SUM(XLOOKUP('포켓몬_편집'!$AF671:$AN671,'분류_규칙'!$A$5:$A$76,'분류_규칙'!$H$5:$H$76,0))</x:f>
        <x:v>5</x:v>
      </x:c>
      <x:c r="I671" s="10" t="n">
        <x:f>SUM(XLOOKUP('포켓몬_편집'!$AF671:$AN671,'분류_규칙'!$A$5:$A$76,'분류_규칙'!$I$5:$I$76,0))</x:f>
        <x:v>0</x:v>
      </x:c>
      <x:c r="J671" s="10" t="n">
        <x:f>SUM(XLOOKUP('포켓몬_편집'!$AF671:$AN671,'분류_규칙'!$A$5:$A$76,'분류_규칙'!$J$5:$J$76,0))</x:f>
        <x:v>2</x:v>
      </x:c>
      <x:c r="K671" s="10" t="n">
        <x:f>SUM(XLOOKUP('포켓몬_편집'!$AF671:$AN671,'분류_규칙'!$A$5:$A$76,'분류_규칙'!$K$5:$K$76,0))</x:f>
        <x:v>0</x:v>
      </x:c>
      <x:c r="L671" s="10" t="n">
        <x:f>SUM(XLOOKUP('포켓몬_편집'!$AF671:$AN671,'분류_규칙'!$A$5:$A$76,'분류_규칙'!$L$5:$L$76,0))</x:f>
        <x:v>0</x:v>
      </x:c>
      <x:c r="M671" s="10" t="n">
        <x:f>SUM(XLOOKUP('포켓몬_편집'!$AF671:$AN671,'분류_규칙'!$A$5:$A$76,'분류_규칙'!$M$5:$M$76,0))</x:f>
        <x:v>0</x:v>
      </x:c>
      <x:c r="N671" s="10" t="n">
        <x:f>SUM(XLOOKUP('포켓몬_편집'!$AF671:$AN671,'분류_규칙'!$A$5:$A$76,'분류_규칙'!$N$5:$N$76,0))</x:f>
        <x:v>0</x:v>
      </x:c>
      <x:c r="O671" s="10" t="n">
        <x:f>SUM(XLOOKUP('포켓몬_편집'!$AF671:$AN671,'분류_규칙'!$A$5:$A$76,'분류_규칙'!$O$5:$O$76,0))</x:f>
        <x:v>2</x:v>
      </x:c>
      <x:c r="P671" s="10" t="n">
        <x:f>SUM(XLOOKUP('포켓몬_편집'!$AF671:$AN671,'분류_규칙'!$A$5:$A$76,'분류_규칙'!$P$5:$P$76,0))</x:f>
        <x:v>0</x:v>
      </x:c>
    </x:row>
    <x:row r="672" ht="22" customHeight="1">
      <x:c r="A672" s="5" t="n">
        <x:v>668</x:v>
      </x:c>
      <x:c r="B672" s="5" t="inlineStr">
        <x:is>
          <x:t xml:space="preserve">화염레오</x:t>
        </x:is>
      </x:c>
      <x:c r="C672" s="5" t="inlineStr">
        <x:is>
          <x:t xml:space="preserve">pyroar</x:t>
        </x:is>
      </x:c>
      <x:c r="D672" s="5" t="n">
        <x:v>6</x:v>
      </x:c>
      <x:c r="E672" s="10" t="n">
        <x:f>SUM(XLOOKUP('포켓몬_편집'!$AF672:$AN672,'분류_규칙'!$A$5:$A$76,'분류_규칙'!$E$5:$E$76,0))</x:f>
        <x:v>10</x:v>
      </x:c>
      <x:c r="F672" s="10" t="n">
        <x:f>SUM(XLOOKUP('포켓몬_편집'!$AF672:$AN672,'분류_규칙'!$A$5:$A$76,'분류_규칙'!$F$5:$F$76,0))</x:f>
        <x:v>7</x:v>
      </x:c>
      <x:c r="G672" s="10" t="n">
        <x:f>SUM(XLOOKUP('포켓몬_편집'!$AF672:$AN672,'분류_규칙'!$A$5:$A$76,'분류_규칙'!$G$5:$G$76,0))</x:f>
        <x:v>5</x:v>
      </x:c>
      <x:c r="H672" s="10" t="n">
        <x:f>SUM(XLOOKUP('포켓몬_편집'!$AF672:$AN672,'분류_규칙'!$A$5:$A$76,'분류_규칙'!$H$5:$H$76,0))</x:f>
        <x:v>5</x:v>
      </x:c>
      <x:c r="I672" s="10" t="n">
        <x:f>SUM(XLOOKUP('포켓몬_편집'!$AF672:$AN672,'분류_규칙'!$A$5:$A$76,'분류_규칙'!$I$5:$I$76,0))</x:f>
        <x:v>0</x:v>
      </x:c>
      <x:c r="J672" s="10" t="n">
        <x:f>SUM(XLOOKUP('포켓몬_편집'!$AF672:$AN672,'분류_규칙'!$A$5:$A$76,'분류_규칙'!$J$5:$J$76,0))</x:f>
        <x:v>2</x:v>
      </x:c>
      <x:c r="K672" s="10" t="n">
        <x:f>SUM(XLOOKUP('포켓몬_편집'!$AF672:$AN672,'분류_규칙'!$A$5:$A$76,'분류_규칙'!$K$5:$K$76,0))</x:f>
        <x:v>0</x:v>
      </x:c>
      <x:c r="L672" s="10" t="n">
        <x:f>SUM(XLOOKUP('포켓몬_편집'!$AF672:$AN672,'분류_규칙'!$A$5:$A$76,'분류_규칙'!$L$5:$L$76,0))</x:f>
        <x:v>0</x:v>
      </x:c>
      <x:c r="M672" s="10" t="n">
        <x:f>SUM(XLOOKUP('포켓몬_편집'!$AF672:$AN672,'분류_규칙'!$A$5:$A$76,'분류_규칙'!$M$5:$M$76,0))</x:f>
        <x:v>0</x:v>
      </x:c>
      <x:c r="N672" s="10" t="n">
        <x:f>SUM(XLOOKUP('포켓몬_편집'!$AF672:$AN672,'분류_규칙'!$A$5:$A$76,'분류_규칙'!$N$5:$N$76,0))</x:f>
        <x:v>0</x:v>
      </x:c>
      <x:c r="O672" s="10" t="n">
        <x:f>SUM(XLOOKUP('포켓몬_편집'!$AF672:$AN672,'분류_규칙'!$A$5:$A$76,'분류_규칙'!$O$5:$O$76,0))</x:f>
        <x:v>2</x:v>
      </x:c>
      <x:c r="P672" s="10" t="n">
        <x:f>SUM(XLOOKUP('포켓몬_편집'!$AF672:$AN672,'분류_규칙'!$A$5:$A$76,'분류_규칙'!$P$5:$P$76,0))</x:f>
        <x:v>0</x:v>
      </x:c>
    </x:row>
    <x:row r="673" ht="22" customHeight="1">
      <x:c r="A673" s="5" t="n">
        <x:v>669</x:v>
      </x:c>
      <x:c r="B673" s="5" t="inlineStr">
        <x:is>
          <x:t xml:space="preserve">플라베베</x:t>
        </x:is>
      </x:c>
      <x:c r="C673" s="5" t="inlineStr">
        <x:is>
          <x:t xml:space="preserve">flabebe</x:t>
        </x:is>
      </x:c>
      <x:c r="D673" s="5" t="n">
        <x:v>6</x:v>
      </x:c>
      <x:c r="E673" s="10" t="n">
        <x:f>SUM(XLOOKUP('포켓몬_편집'!$AF673:$AN673,'분류_규칙'!$A$5:$A$76,'분류_규칙'!$E$5:$E$76,0))</x:f>
        <x:v>8</x:v>
      </x:c>
      <x:c r="F673" s="10" t="n">
        <x:f>SUM(XLOOKUP('포켓몬_편집'!$AF673:$AN673,'분류_규칙'!$A$5:$A$76,'분류_규칙'!$F$5:$F$76,0))</x:f>
        <x:v>8</x:v>
      </x:c>
      <x:c r="G673" s="10" t="n">
        <x:f>SUM(XLOOKUP('포켓몬_편집'!$AF673:$AN673,'분류_규칙'!$A$5:$A$76,'분류_규칙'!$G$5:$G$76,0))</x:f>
        <x:v>0</x:v>
      </x:c>
      <x:c r="H673" s="10" t="n">
        <x:f>SUM(XLOOKUP('포켓몬_편집'!$AF673:$AN673,'분류_규칙'!$A$5:$A$76,'분류_규칙'!$H$5:$H$76,0))</x:f>
        <x:v>12</x:v>
      </x:c>
      <x:c r="I673" s="10" t="n">
        <x:f>SUM(XLOOKUP('포켓몬_편집'!$AF673:$AN673,'분류_규칙'!$A$5:$A$76,'분류_규칙'!$I$5:$I$76,0))</x:f>
        <x:v>0</x:v>
      </x:c>
      <x:c r="J673" s="10" t="n">
        <x:f>SUM(XLOOKUP('포켓몬_편집'!$AF673:$AN673,'분류_규칙'!$A$5:$A$76,'분류_규칙'!$J$5:$J$76,0))</x:f>
        <x:v>0</x:v>
      </x:c>
      <x:c r="K673" s="10" t="n">
        <x:f>SUM(XLOOKUP('포켓몬_편집'!$AF673:$AN673,'분류_규칙'!$A$5:$A$76,'분류_규칙'!$K$5:$K$76,0))</x:f>
        <x:v>0</x:v>
      </x:c>
      <x:c r="L673" s="10" t="n">
        <x:f>SUM(XLOOKUP('포켓몬_편집'!$AF673:$AN673,'분류_규칙'!$A$5:$A$76,'분류_규칙'!$L$5:$L$76,0))</x:f>
        <x:v>3</x:v>
      </x:c>
      <x:c r="M673" s="10" t="n">
        <x:f>SUM(XLOOKUP('포켓몬_편집'!$AF673:$AN673,'분류_규칙'!$A$5:$A$76,'분류_규칙'!$M$5:$M$76,0))</x:f>
        <x:v>0</x:v>
      </x:c>
      <x:c r="N673" s="10" t="n">
        <x:f>SUM(XLOOKUP('포켓몬_편집'!$AF673:$AN673,'분류_규칙'!$A$5:$A$76,'분류_규칙'!$N$5:$N$76,0))</x:f>
        <x:v>0</x:v>
      </x:c>
      <x:c r="O673" s="10" t="n">
        <x:f>SUM(XLOOKUP('포켓몬_편집'!$AF673:$AN673,'분류_규칙'!$A$5:$A$76,'분류_규칙'!$O$5:$O$76,0))</x:f>
        <x:v>2</x:v>
      </x:c>
      <x:c r="P673" s="10" t="n">
        <x:f>SUM(XLOOKUP('포켓몬_편집'!$AF673:$AN673,'분류_규칙'!$A$5:$A$76,'분류_규칙'!$P$5:$P$76,0))</x:f>
        <x:v>0</x:v>
      </x:c>
    </x:row>
    <x:row r="674" ht="22" customHeight="1">
      <x:c r="A674" s="5" t="n">
        <x:v>670</x:v>
      </x:c>
      <x:c r="B674" s="5" t="inlineStr">
        <x:is>
          <x:t xml:space="preserve">플라엣테</x:t>
        </x:is>
      </x:c>
      <x:c r="C674" s="5" t="inlineStr">
        <x:is>
          <x:t xml:space="preserve">floette</x:t>
        </x:is>
      </x:c>
      <x:c r="D674" s="5" t="n">
        <x:v>6</x:v>
      </x:c>
      <x:c r="E674" s="10" t="n">
        <x:f>SUM(XLOOKUP('포켓몬_편집'!$AF674:$AN674,'분류_규칙'!$A$5:$A$76,'분류_규칙'!$E$5:$E$76,0))</x:f>
        <x:v>8</x:v>
      </x:c>
      <x:c r="F674" s="10" t="n">
        <x:f>SUM(XLOOKUP('포켓몬_편집'!$AF674:$AN674,'분류_규칙'!$A$5:$A$76,'분류_규칙'!$F$5:$F$76,0))</x:f>
        <x:v>8</x:v>
      </x:c>
      <x:c r="G674" s="10" t="n">
        <x:f>SUM(XLOOKUP('포켓몬_편집'!$AF674:$AN674,'분류_규칙'!$A$5:$A$76,'분류_규칙'!$G$5:$G$76,0))</x:f>
        <x:v>0</x:v>
      </x:c>
      <x:c r="H674" s="10" t="n">
        <x:f>SUM(XLOOKUP('포켓몬_편집'!$AF674:$AN674,'분류_규칙'!$A$5:$A$76,'분류_규칙'!$H$5:$H$76,0))</x:f>
        <x:v>12</x:v>
      </x:c>
      <x:c r="I674" s="10" t="n">
        <x:f>SUM(XLOOKUP('포켓몬_편집'!$AF674:$AN674,'분류_규칙'!$A$5:$A$76,'분류_규칙'!$I$5:$I$76,0))</x:f>
        <x:v>0</x:v>
      </x:c>
      <x:c r="J674" s="10" t="n">
        <x:f>SUM(XLOOKUP('포켓몬_편집'!$AF674:$AN674,'분류_규칙'!$A$5:$A$76,'분류_규칙'!$J$5:$J$76,0))</x:f>
        <x:v>0</x:v>
      </x:c>
      <x:c r="K674" s="10" t="n">
        <x:f>SUM(XLOOKUP('포켓몬_편집'!$AF674:$AN674,'분류_규칙'!$A$5:$A$76,'분류_규칙'!$K$5:$K$76,0))</x:f>
        <x:v>0</x:v>
      </x:c>
      <x:c r="L674" s="10" t="n">
        <x:f>SUM(XLOOKUP('포켓몬_편집'!$AF674:$AN674,'분류_규칙'!$A$5:$A$76,'분류_규칙'!$L$5:$L$76,0))</x:f>
        <x:v>3</x:v>
      </x:c>
      <x:c r="M674" s="10" t="n">
        <x:f>SUM(XLOOKUP('포켓몬_편집'!$AF674:$AN674,'분류_규칙'!$A$5:$A$76,'분류_규칙'!$M$5:$M$76,0))</x:f>
        <x:v>0</x:v>
      </x:c>
      <x:c r="N674" s="10" t="n">
        <x:f>SUM(XLOOKUP('포켓몬_편집'!$AF674:$AN674,'분류_규칙'!$A$5:$A$76,'분류_규칙'!$N$5:$N$76,0))</x:f>
        <x:v>0</x:v>
      </x:c>
      <x:c r="O674" s="10" t="n">
        <x:f>SUM(XLOOKUP('포켓몬_편집'!$AF674:$AN674,'분류_규칙'!$A$5:$A$76,'분류_규칙'!$O$5:$O$76,0))</x:f>
        <x:v>2</x:v>
      </x:c>
      <x:c r="P674" s="10" t="n">
        <x:f>SUM(XLOOKUP('포켓몬_편집'!$AF674:$AN674,'분류_규칙'!$A$5:$A$76,'분류_규칙'!$P$5:$P$76,0))</x:f>
        <x:v>0</x:v>
      </x:c>
    </x:row>
    <x:row r="675" ht="22" customHeight="1">
      <x:c r="A675" s="5" t="n">
        <x:v>671</x:v>
      </x:c>
      <x:c r="B675" s="5" t="inlineStr">
        <x:is>
          <x:t xml:space="preserve">플라제스</x:t>
        </x:is>
      </x:c>
      <x:c r="C675" s="5" t="inlineStr">
        <x:is>
          <x:t xml:space="preserve">florges</x:t>
        </x:is>
      </x:c>
      <x:c r="D675" s="5" t="n">
        <x:v>6</x:v>
      </x:c>
      <x:c r="E675" s="10" t="n">
        <x:f>SUM(XLOOKUP('포켓몬_편집'!$AF675:$AN675,'분류_규칙'!$A$5:$A$76,'분류_규칙'!$E$5:$E$76,0))</x:f>
        <x:v>8</x:v>
      </x:c>
      <x:c r="F675" s="10" t="n">
        <x:f>SUM(XLOOKUP('포켓몬_편집'!$AF675:$AN675,'분류_규칙'!$A$5:$A$76,'분류_규칙'!$F$5:$F$76,0))</x:f>
        <x:v>8</x:v>
      </x:c>
      <x:c r="G675" s="10" t="n">
        <x:f>SUM(XLOOKUP('포켓몬_편집'!$AF675:$AN675,'분류_규칙'!$A$5:$A$76,'분류_규칙'!$G$5:$G$76,0))</x:f>
        <x:v>0</x:v>
      </x:c>
      <x:c r="H675" s="10" t="n">
        <x:f>SUM(XLOOKUP('포켓몬_편집'!$AF675:$AN675,'분류_규칙'!$A$5:$A$76,'분류_규칙'!$H$5:$H$76,0))</x:f>
        <x:v>12</x:v>
      </x:c>
      <x:c r="I675" s="10" t="n">
        <x:f>SUM(XLOOKUP('포켓몬_편집'!$AF675:$AN675,'분류_규칙'!$A$5:$A$76,'분류_규칙'!$I$5:$I$76,0))</x:f>
        <x:v>0</x:v>
      </x:c>
      <x:c r="J675" s="10" t="n">
        <x:f>SUM(XLOOKUP('포켓몬_편집'!$AF675:$AN675,'분류_규칙'!$A$5:$A$76,'분류_규칙'!$J$5:$J$76,0))</x:f>
        <x:v>0</x:v>
      </x:c>
      <x:c r="K675" s="10" t="n">
        <x:f>SUM(XLOOKUP('포켓몬_편집'!$AF675:$AN675,'분류_규칙'!$A$5:$A$76,'분류_규칙'!$K$5:$K$76,0))</x:f>
        <x:v>0</x:v>
      </x:c>
      <x:c r="L675" s="10" t="n">
        <x:f>SUM(XLOOKUP('포켓몬_편집'!$AF675:$AN675,'분류_규칙'!$A$5:$A$76,'분류_규칙'!$L$5:$L$76,0))</x:f>
        <x:v>3</x:v>
      </x:c>
      <x:c r="M675" s="10" t="n">
        <x:f>SUM(XLOOKUP('포켓몬_편집'!$AF675:$AN675,'분류_규칙'!$A$5:$A$76,'분류_규칙'!$M$5:$M$76,0))</x:f>
        <x:v>0</x:v>
      </x:c>
      <x:c r="N675" s="10" t="n">
        <x:f>SUM(XLOOKUP('포켓몬_편집'!$AF675:$AN675,'분류_규칙'!$A$5:$A$76,'분류_규칙'!$N$5:$N$76,0))</x:f>
        <x:v>0</x:v>
      </x:c>
      <x:c r="O675" s="10" t="n">
        <x:f>SUM(XLOOKUP('포켓몬_편집'!$AF675:$AN675,'분류_규칙'!$A$5:$A$76,'분류_규칙'!$O$5:$O$76,0))</x:f>
        <x:v>2</x:v>
      </x:c>
      <x:c r="P675" s="10" t="n">
        <x:f>SUM(XLOOKUP('포켓몬_편집'!$AF675:$AN675,'분류_규칙'!$A$5:$A$76,'분류_규칙'!$P$5:$P$76,0))</x:f>
        <x:v>0</x:v>
      </x:c>
    </x:row>
    <x:row r="676" ht="22" customHeight="1">
      <x:c r="A676" s="5" t="n">
        <x:v>672</x:v>
      </x:c>
      <x:c r="B676" s="5" t="inlineStr">
        <x:is>
          <x:t xml:space="preserve">메이클</x:t>
        </x:is>
      </x:c>
      <x:c r="C676" s="5" t="inlineStr">
        <x:is>
          <x:t xml:space="preserve">skiddo</x:t>
        </x:is>
      </x:c>
      <x:c r="D676" s="5" t="n">
        <x:v>6</x:v>
      </x:c>
      <x:c r="E676" s="10" t="n">
        <x:f>SUM(XLOOKUP('포켓몬_편집'!$AF676:$AN676,'분류_규칙'!$A$5:$A$76,'분류_규칙'!$E$5:$E$76,0))</x:f>
        <x:v>10</x:v>
      </x:c>
      <x:c r="F676" s="10" t="n">
        <x:f>SUM(XLOOKUP('포켓몬_편집'!$AF676:$AN676,'분류_규칙'!$A$5:$A$76,'분류_규칙'!$F$5:$F$76,0))</x:f>
        <x:v>7</x:v>
      </x:c>
      <x:c r="G676" s="10" t="n">
        <x:f>SUM(XLOOKUP('포켓몬_편집'!$AF676:$AN676,'분류_규칙'!$A$5:$A$76,'분류_규칙'!$G$5:$G$76,0))</x:f>
        <x:v>5</x:v>
      </x:c>
      <x:c r="H676" s="10" t="n">
        <x:f>SUM(XLOOKUP('포켓몬_편집'!$AF676:$AN676,'분류_규칙'!$A$5:$A$76,'분류_규칙'!$H$5:$H$76,0))</x:f>
        <x:v>5</x:v>
      </x:c>
      <x:c r="I676" s="10" t="n">
        <x:f>SUM(XLOOKUP('포켓몬_편집'!$AF676:$AN676,'분류_규칙'!$A$5:$A$76,'분류_규칙'!$I$5:$I$76,0))</x:f>
        <x:v>0</x:v>
      </x:c>
      <x:c r="J676" s="10" t="n">
        <x:f>SUM(XLOOKUP('포켓몬_편집'!$AF676:$AN676,'분류_규칙'!$A$5:$A$76,'분류_규칙'!$J$5:$J$76,0))</x:f>
        <x:v>2</x:v>
      </x:c>
      <x:c r="K676" s="10" t="n">
        <x:f>SUM(XLOOKUP('포켓몬_편집'!$AF676:$AN676,'분류_규칙'!$A$5:$A$76,'분류_규칙'!$K$5:$K$76,0))</x:f>
        <x:v>0</x:v>
      </x:c>
      <x:c r="L676" s="10" t="n">
        <x:f>SUM(XLOOKUP('포켓몬_편집'!$AF676:$AN676,'분류_규칙'!$A$5:$A$76,'분류_규칙'!$L$5:$L$76,0))</x:f>
        <x:v>0</x:v>
      </x:c>
      <x:c r="M676" s="10" t="n">
        <x:f>SUM(XLOOKUP('포켓몬_편집'!$AF676:$AN676,'분류_규칙'!$A$5:$A$76,'분류_규칙'!$M$5:$M$76,0))</x:f>
        <x:v>0</x:v>
      </x:c>
      <x:c r="N676" s="10" t="n">
        <x:f>SUM(XLOOKUP('포켓몬_편집'!$AF676:$AN676,'분류_규칙'!$A$5:$A$76,'분류_규칙'!$N$5:$N$76,0))</x:f>
        <x:v>0</x:v>
      </x:c>
      <x:c r="O676" s="10" t="n">
        <x:f>SUM(XLOOKUP('포켓몬_편집'!$AF676:$AN676,'분류_규칙'!$A$5:$A$76,'분류_규칙'!$O$5:$O$76,0))</x:f>
        <x:v>2</x:v>
      </x:c>
      <x:c r="P676" s="10" t="n">
        <x:f>SUM(XLOOKUP('포켓몬_편집'!$AF676:$AN676,'분류_규칙'!$A$5:$A$76,'분류_규칙'!$P$5:$P$76,0))</x:f>
        <x:v>0</x:v>
      </x:c>
    </x:row>
    <x:row r="677" ht="22" customHeight="1">
      <x:c r="A677" s="5" t="n">
        <x:v>673</x:v>
      </x:c>
      <x:c r="B677" s="5" t="inlineStr">
        <x:is>
          <x:t xml:space="preserve">고고트</x:t>
        </x:is>
      </x:c>
      <x:c r="C677" s="5" t="inlineStr">
        <x:is>
          <x:t xml:space="preserve">gogoat</x:t>
        </x:is>
      </x:c>
      <x:c r="D677" s="5" t="n">
        <x:v>6</x:v>
      </x:c>
      <x:c r="E677" s="10" t="n">
        <x:f>SUM(XLOOKUP('포켓몬_편집'!$AF677:$AN677,'분류_규칙'!$A$5:$A$76,'분류_규칙'!$E$5:$E$76,0))</x:f>
        <x:v>10</x:v>
      </x:c>
      <x:c r="F677" s="10" t="n">
        <x:f>SUM(XLOOKUP('포켓몬_편집'!$AF677:$AN677,'분류_규칙'!$A$5:$A$76,'분류_규칙'!$F$5:$F$76,0))</x:f>
        <x:v>7</x:v>
      </x:c>
      <x:c r="G677" s="10" t="n">
        <x:f>SUM(XLOOKUP('포켓몬_편집'!$AF677:$AN677,'분류_규칙'!$A$5:$A$76,'분류_규칙'!$G$5:$G$76,0))</x:f>
        <x:v>5</x:v>
      </x:c>
      <x:c r="H677" s="10" t="n">
        <x:f>SUM(XLOOKUP('포켓몬_편집'!$AF677:$AN677,'분류_규칙'!$A$5:$A$76,'분류_규칙'!$H$5:$H$76,0))</x:f>
        <x:v>5</x:v>
      </x:c>
      <x:c r="I677" s="10" t="n">
        <x:f>SUM(XLOOKUP('포켓몬_편집'!$AF677:$AN677,'분류_규칙'!$A$5:$A$76,'분류_규칙'!$I$5:$I$76,0))</x:f>
        <x:v>0</x:v>
      </x:c>
      <x:c r="J677" s="10" t="n">
        <x:f>SUM(XLOOKUP('포켓몬_편집'!$AF677:$AN677,'분류_규칙'!$A$5:$A$76,'분류_규칙'!$J$5:$J$76,0))</x:f>
        <x:v>2</x:v>
      </x:c>
      <x:c r="K677" s="10" t="n">
        <x:f>SUM(XLOOKUP('포켓몬_편집'!$AF677:$AN677,'분류_규칙'!$A$5:$A$76,'분류_규칙'!$K$5:$K$76,0))</x:f>
        <x:v>0</x:v>
      </x:c>
      <x:c r="L677" s="10" t="n">
        <x:f>SUM(XLOOKUP('포켓몬_편집'!$AF677:$AN677,'분류_규칙'!$A$5:$A$76,'분류_규칙'!$L$5:$L$76,0))</x:f>
        <x:v>0</x:v>
      </x:c>
      <x:c r="M677" s="10" t="n">
        <x:f>SUM(XLOOKUP('포켓몬_편집'!$AF677:$AN677,'분류_규칙'!$A$5:$A$76,'분류_규칙'!$M$5:$M$76,0))</x:f>
        <x:v>0</x:v>
      </x:c>
      <x:c r="N677" s="10" t="n">
        <x:f>SUM(XLOOKUP('포켓몬_편집'!$AF677:$AN677,'분류_규칙'!$A$5:$A$76,'분류_규칙'!$N$5:$N$76,0))</x:f>
        <x:v>0</x:v>
      </x:c>
      <x:c r="O677" s="10" t="n">
        <x:f>SUM(XLOOKUP('포켓몬_편집'!$AF677:$AN677,'분류_규칙'!$A$5:$A$76,'분류_규칙'!$O$5:$O$76,0))</x:f>
        <x:v>2</x:v>
      </x:c>
      <x:c r="P677" s="10" t="n">
        <x:f>SUM(XLOOKUP('포켓몬_편집'!$AF677:$AN677,'분류_규칙'!$A$5:$A$76,'분류_규칙'!$P$5:$P$76,0))</x:f>
        <x:v>0</x:v>
      </x:c>
    </x:row>
    <x:row r="678" ht="22" customHeight="1">
      <x:c r="A678" s="5" t="n">
        <x:v>674</x:v>
      </x:c>
      <x:c r="B678" s="5" t="inlineStr">
        <x:is>
          <x:t xml:space="preserve">판짱</x:t>
        </x:is>
      </x:c>
      <x:c r="C678" s="5" t="inlineStr">
        <x:is>
          <x:t xml:space="preserve">pancham</x:t>
        </x:is>
      </x:c>
      <x:c r="D678" s="5" t="n">
        <x:v>6</x:v>
      </x:c>
      <x:c r="E678" s="10" t="n">
        <x:f>SUM(XLOOKUP('포켓몬_편집'!$AF678:$AN678,'분류_규칙'!$A$5:$A$76,'분류_규칙'!$E$5:$E$76,0))</x:f>
        <x:v>10</x:v>
      </x:c>
      <x:c r="F678" s="10" t="n">
        <x:f>SUM(XLOOKUP('포켓몬_편집'!$AF678:$AN678,'분류_규칙'!$A$5:$A$76,'분류_규칙'!$F$5:$F$76,0))</x:f>
        <x:v>7</x:v>
      </x:c>
      <x:c r="G678" s="10" t="n">
        <x:f>SUM(XLOOKUP('포켓몬_편집'!$AF678:$AN678,'분류_규칙'!$A$5:$A$76,'분류_규칙'!$G$5:$G$76,0))</x:f>
        <x:v>5</x:v>
      </x:c>
      <x:c r="H678" s="10" t="n">
        <x:f>SUM(XLOOKUP('포켓몬_편집'!$AF678:$AN678,'분류_규칙'!$A$5:$A$76,'분류_규칙'!$H$5:$H$76,0))</x:f>
        <x:v>5</x:v>
      </x:c>
      <x:c r="I678" s="10" t="n">
        <x:f>SUM(XLOOKUP('포켓몬_편집'!$AF678:$AN678,'분류_규칙'!$A$5:$A$76,'분류_규칙'!$I$5:$I$76,0))</x:f>
        <x:v>0</x:v>
      </x:c>
      <x:c r="J678" s="10" t="n">
        <x:f>SUM(XLOOKUP('포켓몬_편집'!$AF678:$AN678,'분류_규칙'!$A$5:$A$76,'분류_규칙'!$J$5:$J$76,0))</x:f>
        <x:v>2</x:v>
      </x:c>
      <x:c r="K678" s="10" t="n">
        <x:f>SUM(XLOOKUP('포켓몬_편집'!$AF678:$AN678,'분류_규칙'!$A$5:$A$76,'분류_규칙'!$K$5:$K$76,0))</x:f>
        <x:v>0</x:v>
      </x:c>
      <x:c r="L678" s="10" t="n">
        <x:f>SUM(XLOOKUP('포켓몬_편집'!$AF678:$AN678,'분류_규칙'!$A$5:$A$76,'분류_규칙'!$L$5:$L$76,0))</x:f>
        <x:v>0</x:v>
      </x:c>
      <x:c r="M678" s="10" t="n">
        <x:f>SUM(XLOOKUP('포켓몬_편집'!$AF678:$AN678,'분류_규칙'!$A$5:$A$76,'분류_규칙'!$M$5:$M$76,0))</x:f>
        <x:v>0</x:v>
      </x:c>
      <x:c r="N678" s="10" t="n">
        <x:f>SUM(XLOOKUP('포켓몬_편집'!$AF678:$AN678,'분류_규칙'!$A$5:$A$76,'분류_규칙'!$N$5:$N$76,0))</x:f>
        <x:v>0</x:v>
      </x:c>
      <x:c r="O678" s="10" t="n">
        <x:f>SUM(XLOOKUP('포켓몬_편집'!$AF678:$AN678,'분류_규칙'!$A$5:$A$76,'분류_규칙'!$O$5:$O$76,0))</x:f>
        <x:v>2</x:v>
      </x:c>
      <x:c r="P678" s="10" t="n">
        <x:f>SUM(XLOOKUP('포켓몬_편집'!$AF678:$AN678,'분류_규칙'!$A$5:$A$76,'분류_규칙'!$P$5:$P$76,0))</x:f>
        <x:v>0</x:v>
      </x:c>
    </x:row>
    <x:row r="679" ht="22" customHeight="1">
      <x:c r="A679" s="5" t="n">
        <x:v>675</x:v>
      </x:c>
      <x:c r="B679" s="5" t="inlineStr">
        <x:is>
          <x:t xml:space="preserve">부란다</x:t>
        </x:is>
      </x:c>
      <x:c r="C679" s="5" t="inlineStr">
        <x:is>
          <x:t xml:space="preserve">pangoro</x:t>
        </x:is>
      </x:c>
      <x:c r="D679" s="5" t="n">
        <x:v>6</x:v>
      </x:c>
      <x:c r="E679" s="10" t="n">
        <x:f>SUM(XLOOKUP('포켓몬_편집'!$AF679:$AN679,'분류_규칙'!$A$5:$A$76,'분류_규칙'!$E$5:$E$76,0))</x:f>
        <x:v>10</x:v>
      </x:c>
      <x:c r="F679" s="10" t="n">
        <x:f>SUM(XLOOKUP('포켓몬_편집'!$AF679:$AN679,'분류_규칙'!$A$5:$A$76,'분류_규칙'!$F$5:$F$76,0))</x:f>
        <x:v>7</x:v>
      </x:c>
      <x:c r="G679" s="10" t="n">
        <x:f>SUM(XLOOKUP('포켓몬_편집'!$AF679:$AN679,'분류_규칙'!$A$5:$A$76,'분류_규칙'!$G$5:$G$76,0))</x:f>
        <x:v>5</x:v>
      </x:c>
      <x:c r="H679" s="10" t="n">
        <x:f>SUM(XLOOKUP('포켓몬_편집'!$AF679:$AN679,'분류_규칙'!$A$5:$A$76,'분류_규칙'!$H$5:$H$76,0))</x:f>
        <x:v>5</x:v>
      </x:c>
      <x:c r="I679" s="10" t="n">
        <x:f>SUM(XLOOKUP('포켓몬_편집'!$AF679:$AN679,'분류_규칙'!$A$5:$A$76,'분류_규칙'!$I$5:$I$76,0))</x:f>
        <x:v>0</x:v>
      </x:c>
      <x:c r="J679" s="10" t="n">
        <x:f>SUM(XLOOKUP('포켓몬_편집'!$AF679:$AN679,'분류_규칙'!$A$5:$A$76,'분류_규칙'!$J$5:$J$76,0))</x:f>
        <x:v>2</x:v>
      </x:c>
      <x:c r="K679" s="10" t="n">
        <x:f>SUM(XLOOKUP('포켓몬_편집'!$AF679:$AN679,'분류_규칙'!$A$5:$A$76,'분류_규칙'!$K$5:$K$76,0))</x:f>
        <x:v>0</x:v>
      </x:c>
      <x:c r="L679" s="10" t="n">
        <x:f>SUM(XLOOKUP('포켓몬_편집'!$AF679:$AN679,'분류_규칙'!$A$5:$A$76,'분류_규칙'!$L$5:$L$76,0))</x:f>
        <x:v>0</x:v>
      </x:c>
      <x:c r="M679" s="10" t="n">
        <x:f>SUM(XLOOKUP('포켓몬_편집'!$AF679:$AN679,'분류_규칙'!$A$5:$A$76,'분류_규칙'!$M$5:$M$76,0))</x:f>
        <x:v>0</x:v>
      </x:c>
      <x:c r="N679" s="10" t="n">
        <x:f>SUM(XLOOKUP('포켓몬_편집'!$AF679:$AN679,'분류_규칙'!$A$5:$A$76,'분류_규칙'!$N$5:$N$76,0))</x:f>
        <x:v>0</x:v>
      </x:c>
      <x:c r="O679" s="10" t="n">
        <x:f>SUM(XLOOKUP('포켓몬_편집'!$AF679:$AN679,'분류_규칙'!$A$5:$A$76,'분류_규칙'!$O$5:$O$76,0))</x:f>
        <x:v>2</x:v>
      </x:c>
      <x:c r="P679" s="10" t="n">
        <x:f>SUM(XLOOKUP('포켓몬_편집'!$AF679:$AN679,'분류_규칙'!$A$5:$A$76,'분류_규칙'!$P$5:$P$76,0))</x:f>
        <x:v>0</x:v>
      </x:c>
    </x:row>
    <x:row r="680" ht="22" customHeight="1">
      <x:c r="A680" s="5" t="n">
        <x:v>676</x:v>
      </x:c>
      <x:c r="B680" s="5" t="inlineStr">
        <x:is>
          <x:t xml:space="preserve">트리미앙</x:t>
        </x:is>
      </x:c>
      <x:c r="C680" s="5" t="inlineStr">
        <x:is>
          <x:t xml:space="preserve">furfrou</x:t>
        </x:is>
      </x:c>
      <x:c r="D680" s="5" t="n">
        <x:v>6</x:v>
      </x:c>
      <x:c r="E680" s="10" t="n">
        <x:f>SUM(XLOOKUP('포켓몬_편집'!$AF680:$AN680,'분류_규칙'!$A$5:$A$76,'분류_규칙'!$E$5:$E$76,0))</x:f>
        <x:v>10</x:v>
      </x:c>
      <x:c r="F680" s="10" t="n">
        <x:f>SUM(XLOOKUP('포켓몬_편집'!$AF680:$AN680,'분류_규칙'!$A$5:$A$76,'분류_규칙'!$F$5:$F$76,0))</x:f>
        <x:v>7</x:v>
      </x:c>
      <x:c r="G680" s="10" t="n">
        <x:f>SUM(XLOOKUP('포켓몬_편집'!$AF680:$AN680,'분류_규칙'!$A$5:$A$76,'분류_규칙'!$G$5:$G$76,0))</x:f>
        <x:v>5</x:v>
      </x:c>
      <x:c r="H680" s="10" t="n">
        <x:f>SUM(XLOOKUP('포켓몬_편집'!$AF680:$AN680,'분류_규칙'!$A$5:$A$76,'분류_규칙'!$H$5:$H$76,0))</x:f>
        <x:v>5</x:v>
      </x:c>
      <x:c r="I680" s="10" t="n">
        <x:f>SUM(XLOOKUP('포켓몬_편집'!$AF680:$AN680,'분류_규칙'!$A$5:$A$76,'분류_규칙'!$I$5:$I$76,0))</x:f>
        <x:v>0</x:v>
      </x:c>
      <x:c r="J680" s="10" t="n">
        <x:f>SUM(XLOOKUP('포켓몬_편집'!$AF680:$AN680,'분류_규칙'!$A$5:$A$76,'분류_규칙'!$J$5:$J$76,0))</x:f>
        <x:v>2</x:v>
      </x:c>
      <x:c r="K680" s="10" t="n">
        <x:f>SUM(XLOOKUP('포켓몬_편집'!$AF680:$AN680,'분류_규칙'!$A$5:$A$76,'분류_규칙'!$K$5:$K$76,0))</x:f>
        <x:v>0</x:v>
      </x:c>
      <x:c r="L680" s="10" t="n">
        <x:f>SUM(XLOOKUP('포켓몬_편집'!$AF680:$AN680,'분류_규칙'!$A$5:$A$76,'분류_규칙'!$L$5:$L$76,0))</x:f>
        <x:v>0</x:v>
      </x:c>
      <x:c r="M680" s="10" t="n">
        <x:f>SUM(XLOOKUP('포켓몬_편집'!$AF680:$AN680,'분류_규칙'!$A$5:$A$76,'분류_규칙'!$M$5:$M$76,0))</x:f>
        <x:v>0</x:v>
      </x:c>
      <x:c r="N680" s="10" t="n">
        <x:f>SUM(XLOOKUP('포켓몬_편집'!$AF680:$AN680,'분류_규칙'!$A$5:$A$76,'분류_규칙'!$N$5:$N$76,0))</x:f>
        <x:v>0</x:v>
      </x:c>
      <x:c r="O680" s="10" t="n">
        <x:f>SUM(XLOOKUP('포켓몬_편집'!$AF680:$AN680,'분류_규칙'!$A$5:$A$76,'분류_규칙'!$O$5:$O$76,0))</x:f>
        <x:v>2</x:v>
      </x:c>
      <x:c r="P680" s="10" t="n">
        <x:f>SUM(XLOOKUP('포켓몬_편집'!$AF680:$AN680,'분류_규칙'!$A$5:$A$76,'분류_규칙'!$P$5:$P$76,0))</x:f>
        <x:v>0</x:v>
      </x:c>
    </x:row>
    <x:row r="681" ht="22" customHeight="1">
      <x:c r="A681" s="5" t="n">
        <x:v>677</x:v>
      </x:c>
      <x:c r="B681" s="5" t="inlineStr">
        <x:is>
          <x:t xml:space="preserve">냐스퍼</x:t>
        </x:is>
      </x:c>
      <x:c r="C681" s="5" t="inlineStr">
        <x:is>
          <x:t xml:space="preserve">espurr</x:t>
        </x:is>
      </x:c>
      <x:c r="D681" s="5" t="n">
        <x:v>6</x:v>
      </x:c>
      <x:c r="E681" s="10" t="n">
        <x:f>SUM(XLOOKUP('포켓몬_편집'!$AF681:$AN681,'분류_규칙'!$A$5:$A$76,'분류_규칙'!$E$5:$E$76,0))</x:f>
        <x:v>10</x:v>
      </x:c>
      <x:c r="F681" s="10" t="n">
        <x:f>SUM(XLOOKUP('포켓몬_편집'!$AF681:$AN681,'분류_규칙'!$A$5:$A$76,'분류_규칙'!$F$5:$F$76,0))</x:f>
        <x:v>7</x:v>
      </x:c>
      <x:c r="G681" s="10" t="n">
        <x:f>SUM(XLOOKUP('포켓몬_편집'!$AF681:$AN681,'분류_규칙'!$A$5:$A$76,'분류_규칙'!$G$5:$G$76,0))</x:f>
        <x:v>5</x:v>
      </x:c>
      <x:c r="H681" s="10" t="n">
        <x:f>SUM(XLOOKUP('포켓몬_편집'!$AF681:$AN681,'분류_규칙'!$A$5:$A$76,'분류_규칙'!$H$5:$H$76,0))</x:f>
        <x:v>5</x:v>
      </x:c>
      <x:c r="I681" s="10" t="n">
        <x:f>SUM(XLOOKUP('포켓몬_편집'!$AF681:$AN681,'분류_규칙'!$A$5:$A$76,'분류_규칙'!$I$5:$I$76,0))</x:f>
        <x:v>0</x:v>
      </x:c>
      <x:c r="J681" s="10" t="n">
        <x:f>SUM(XLOOKUP('포켓몬_편집'!$AF681:$AN681,'분류_규칙'!$A$5:$A$76,'분류_규칙'!$J$5:$J$76,0))</x:f>
        <x:v>2</x:v>
      </x:c>
      <x:c r="K681" s="10" t="n">
        <x:f>SUM(XLOOKUP('포켓몬_편집'!$AF681:$AN681,'분류_규칙'!$A$5:$A$76,'분류_규칙'!$K$5:$K$76,0))</x:f>
        <x:v>0</x:v>
      </x:c>
      <x:c r="L681" s="10" t="n">
        <x:f>SUM(XLOOKUP('포켓몬_편집'!$AF681:$AN681,'분류_규칙'!$A$5:$A$76,'분류_규칙'!$L$5:$L$76,0))</x:f>
        <x:v>0</x:v>
      </x:c>
      <x:c r="M681" s="10" t="n">
        <x:f>SUM(XLOOKUP('포켓몬_편집'!$AF681:$AN681,'분류_규칙'!$A$5:$A$76,'분류_규칙'!$M$5:$M$76,0))</x:f>
        <x:v>0</x:v>
      </x:c>
      <x:c r="N681" s="10" t="n">
        <x:f>SUM(XLOOKUP('포켓몬_편집'!$AF681:$AN681,'분류_규칙'!$A$5:$A$76,'분류_규칙'!$N$5:$N$76,0))</x:f>
        <x:v>0</x:v>
      </x:c>
      <x:c r="O681" s="10" t="n">
        <x:f>SUM(XLOOKUP('포켓몬_편집'!$AF681:$AN681,'분류_규칙'!$A$5:$A$76,'분류_규칙'!$O$5:$O$76,0))</x:f>
        <x:v>2</x:v>
      </x:c>
      <x:c r="P681" s="10" t="n">
        <x:f>SUM(XLOOKUP('포켓몬_편집'!$AF681:$AN681,'분류_규칙'!$A$5:$A$76,'분류_규칙'!$P$5:$P$76,0))</x:f>
        <x:v>0</x:v>
      </x:c>
    </x:row>
    <x:row r="682" ht="22" customHeight="1">
      <x:c r="A682" s="5" t="n">
        <x:v>678</x:v>
      </x:c>
      <x:c r="B682" s="5" t="inlineStr">
        <x:is>
          <x:t xml:space="preserve">냐오닉스</x:t>
        </x:is>
      </x:c>
      <x:c r="C682" s="5" t="inlineStr">
        <x:is>
          <x:t xml:space="preserve">meowstic</x:t>
        </x:is>
      </x:c>
      <x:c r="D682" s="5" t="n">
        <x:v>6</x:v>
      </x:c>
      <x:c r="E682" s="10" t="n">
        <x:f>SUM(XLOOKUP('포켓몬_편집'!$AF682:$AN682,'분류_규칙'!$A$5:$A$76,'분류_규칙'!$E$5:$E$76,0))</x:f>
        <x:v>10</x:v>
      </x:c>
      <x:c r="F682" s="10" t="n">
        <x:f>SUM(XLOOKUP('포켓몬_편집'!$AF682:$AN682,'분류_규칙'!$A$5:$A$76,'분류_규칙'!$F$5:$F$76,0))</x:f>
        <x:v>7</x:v>
      </x:c>
      <x:c r="G682" s="10" t="n">
        <x:f>SUM(XLOOKUP('포켓몬_편집'!$AF682:$AN682,'분류_규칙'!$A$5:$A$76,'분류_규칙'!$G$5:$G$76,0))</x:f>
        <x:v>5</x:v>
      </x:c>
      <x:c r="H682" s="10" t="n">
        <x:f>SUM(XLOOKUP('포켓몬_편집'!$AF682:$AN682,'분류_규칙'!$A$5:$A$76,'분류_규칙'!$H$5:$H$76,0))</x:f>
        <x:v>5</x:v>
      </x:c>
      <x:c r="I682" s="10" t="n">
        <x:f>SUM(XLOOKUP('포켓몬_편집'!$AF682:$AN682,'분류_규칙'!$A$5:$A$76,'분류_규칙'!$I$5:$I$76,0))</x:f>
        <x:v>0</x:v>
      </x:c>
      <x:c r="J682" s="10" t="n">
        <x:f>SUM(XLOOKUP('포켓몬_편집'!$AF682:$AN682,'분류_규칙'!$A$5:$A$76,'분류_규칙'!$J$5:$J$76,0))</x:f>
        <x:v>2</x:v>
      </x:c>
      <x:c r="K682" s="10" t="n">
        <x:f>SUM(XLOOKUP('포켓몬_편집'!$AF682:$AN682,'분류_규칙'!$A$5:$A$76,'분류_규칙'!$K$5:$K$76,0))</x:f>
        <x:v>0</x:v>
      </x:c>
      <x:c r="L682" s="10" t="n">
        <x:f>SUM(XLOOKUP('포켓몬_편집'!$AF682:$AN682,'분류_규칙'!$A$5:$A$76,'분류_규칙'!$L$5:$L$76,0))</x:f>
        <x:v>0</x:v>
      </x:c>
      <x:c r="M682" s="10" t="n">
        <x:f>SUM(XLOOKUP('포켓몬_편집'!$AF682:$AN682,'분류_규칙'!$A$5:$A$76,'분류_규칙'!$M$5:$M$76,0))</x:f>
        <x:v>0</x:v>
      </x:c>
      <x:c r="N682" s="10" t="n">
        <x:f>SUM(XLOOKUP('포켓몬_편집'!$AF682:$AN682,'분류_규칙'!$A$5:$A$76,'분류_규칙'!$N$5:$N$76,0))</x:f>
        <x:v>0</x:v>
      </x:c>
      <x:c r="O682" s="10" t="n">
        <x:f>SUM(XLOOKUP('포켓몬_편집'!$AF682:$AN682,'분류_규칙'!$A$5:$A$76,'분류_규칙'!$O$5:$O$76,0))</x:f>
        <x:v>2</x:v>
      </x:c>
      <x:c r="P682" s="10" t="n">
        <x:f>SUM(XLOOKUP('포켓몬_편집'!$AF682:$AN682,'분류_규칙'!$A$5:$A$76,'분류_규칙'!$P$5:$P$76,0))</x:f>
        <x:v>0</x:v>
      </x:c>
    </x:row>
    <x:row r="683" ht="22" customHeight="1">
      <x:c r="A683" s="5" t="n">
        <x:v>679</x:v>
      </x:c>
      <x:c r="B683" s="5" t="inlineStr">
        <x:is>
          <x:t xml:space="preserve">단칼빙</x:t>
        </x:is>
      </x:c>
      <x:c r="C683" s="5" t="inlineStr">
        <x:is>
          <x:t xml:space="preserve">honedge</x:t>
        </x:is>
      </x:c>
      <x:c r="D683" s="5" t="n">
        <x:v>6</x:v>
      </x:c>
      <x:c r="E683" s="10" t="n">
        <x:f>SUM(XLOOKUP('포켓몬_편집'!$AF683:$AN683,'분류_규칙'!$A$5:$A$76,'분류_규칙'!$E$5:$E$76,0))</x:f>
        <x:v>8</x:v>
      </x:c>
      <x:c r="F683" s="10" t="n">
        <x:f>SUM(XLOOKUP('포켓몬_편집'!$AF683:$AN683,'분류_규칙'!$A$5:$A$76,'분류_규칙'!$F$5:$F$76,0))</x:f>
        <x:v>8</x:v>
      </x:c>
      <x:c r="G683" s="10" t="n">
        <x:f>SUM(XLOOKUP('포켓몬_편집'!$AF683:$AN683,'분류_규칙'!$A$5:$A$76,'분류_규칙'!$G$5:$G$76,0))</x:f>
        <x:v>0</x:v>
      </x:c>
      <x:c r="H683" s="10" t="n">
        <x:f>SUM(XLOOKUP('포켓몬_편집'!$AF683:$AN683,'분류_규칙'!$A$5:$A$76,'분류_규칙'!$H$5:$H$76,0))</x:f>
        <x:v>12</x:v>
      </x:c>
      <x:c r="I683" s="10" t="n">
        <x:f>SUM(XLOOKUP('포켓몬_편집'!$AF683:$AN683,'분류_규칙'!$A$5:$A$76,'분류_규칙'!$I$5:$I$76,0))</x:f>
        <x:v>0</x:v>
      </x:c>
      <x:c r="J683" s="10" t="n">
        <x:f>SUM(XLOOKUP('포켓몬_편집'!$AF683:$AN683,'분류_규칙'!$A$5:$A$76,'분류_규칙'!$J$5:$J$76,0))</x:f>
        <x:v>0</x:v>
      </x:c>
      <x:c r="K683" s="10" t="n">
        <x:f>SUM(XLOOKUP('포켓몬_편집'!$AF683:$AN683,'분류_규칙'!$A$5:$A$76,'분류_규칙'!$K$5:$K$76,0))</x:f>
        <x:v>0</x:v>
      </x:c>
      <x:c r="L683" s="10" t="n">
        <x:f>SUM(XLOOKUP('포켓몬_편집'!$AF683:$AN683,'분류_규칙'!$A$5:$A$76,'분류_규칙'!$L$5:$L$76,0))</x:f>
        <x:v>3</x:v>
      </x:c>
      <x:c r="M683" s="10" t="n">
        <x:f>SUM(XLOOKUP('포켓몬_편집'!$AF683:$AN683,'분류_규칙'!$A$5:$A$76,'분류_규칙'!$M$5:$M$76,0))</x:f>
        <x:v>0</x:v>
      </x:c>
      <x:c r="N683" s="10" t="n">
        <x:f>SUM(XLOOKUP('포켓몬_편집'!$AF683:$AN683,'분류_규칙'!$A$5:$A$76,'분류_규칙'!$N$5:$N$76,0))</x:f>
        <x:v>0</x:v>
      </x:c>
      <x:c r="O683" s="10" t="n">
        <x:f>SUM(XLOOKUP('포켓몬_편집'!$AF683:$AN683,'분류_규칙'!$A$5:$A$76,'분류_규칙'!$O$5:$O$76,0))</x:f>
        <x:v>2</x:v>
      </x:c>
      <x:c r="P683" s="10" t="n">
        <x:f>SUM(XLOOKUP('포켓몬_편집'!$AF683:$AN683,'분류_규칙'!$A$5:$A$76,'분류_규칙'!$P$5:$P$76,0))</x:f>
        <x:v>0</x:v>
      </x:c>
    </x:row>
    <x:row r="684" ht="22" customHeight="1">
      <x:c r="A684" s="5" t="n">
        <x:v>680</x:v>
      </x:c>
      <x:c r="B684" s="5" t="inlineStr">
        <x:is>
          <x:t xml:space="preserve">쌍검킬</x:t>
        </x:is>
      </x:c>
      <x:c r="C684" s="5" t="inlineStr">
        <x:is>
          <x:t xml:space="preserve">doublade</x:t>
        </x:is>
      </x:c>
      <x:c r="D684" s="5" t="n">
        <x:v>6</x:v>
      </x:c>
      <x:c r="E684" s="10" t="n">
        <x:f>SUM(XLOOKUP('포켓몬_편집'!$AF684:$AN684,'분류_규칙'!$A$5:$A$76,'분류_규칙'!$E$5:$E$76,0))</x:f>
        <x:v>8</x:v>
      </x:c>
      <x:c r="F684" s="10" t="n">
        <x:f>SUM(XLOOKUP('포켓몬_편집'!$AF684:$AN684,'분류_규칙'!$A$5:$A$76,'분류_규칙'!$F$5:$F$76,0))</x:f>
        <x:v>8</x:v>
      </x:c>
      <x:c r="G684" s="10" t="n">
        <x:f>SUM(XLOOKUP('포켓몬_편집'!$AF684:$AN684,'분류_규칙'!$A$5:$A$76,'분류_규칙'!$G$5:$G$76,0))</x:f>
        <x:v>0</x:v>
      </x:c>
      <x:c r="H684" s="10" t="n">
        <x:f>SUM(XLOOKUP('포켓몬_편집'!$AF684:$AN684,'분류_규칙'!$A$5:$A$76,'분류_규칙'!$H$5:$H$76,0))</x:f>
        <x:v>12</x:v>
      </x:c>
      <x:c r="I684" s="10" t="n">
        <x:f>SUM(XLOOKUP('포켓몬_편집'!$AF684:$AN684,'분류_규칙'!$A$5:$A$76,'분류_규칙'!$I$5:$I$76,0))</x:f>
        <x:v>0</x:v>
      </x:c>
      <x:c r="J684" s="10" t="n">
        <x:f>SUM(XLOOKUP('포켓몬_편집'!$AF684:$AN684,'분류_규칙'!$A$5:$A$76,'분류_규칙'!$J$5:$J$76,0))</x:f>
        <x:v>0</x:v>
      </x:c>
      <x:c r="K684" s="10" t="n">
        <x:f>SUM(XLOOKUP('포켓몬_편집'!$AF684:$AN684,'분류_규칙'!$A$5:$A$76,'분류_규칙'!$K$5:$K$76,0))</x:f>
        <x:v>0</x:v>
      </x:c>
      <x:c r="L684" s="10" t="n">
        <x:f>SUM(XLOOKUP('포켓몬_편집'!$AF684:$AN684,'분류_규칙'!$A$5:$A$76,'분류_규칙'!$L$5:$L$76,0))</x:f>
        <x:v>3</x:v>
      </x:c>
      <x:c r="M684" s="10" t="n">
        <x:f>SUM(XLOOKUP('포켓몬_편집'!$AF684:$AN684,'분류_규칙'!$A$5:$A$76,'분류_규칙'!$M$5:$M$76,0))</x:f>
        <x:v>0</x:v>
      </x:c>
      <x:c r="N684" s="10" t="n">
        <x:f>SUM(XLOOKUP('포켓몬_편집'!$AF684:$AN684,'분류_규칙'!$A$5:$A$76,'분류_규칙'!$N$5:$N$76,0))</x:f>
        <x:v>0</x:v>
      </x:c>
      <x:c r="O684" s="10" t="n">
        <x:f>SUM(XLOOKUP('포켓몬_편집'!$AF684:$AN684,'분류_규칙'!$A$5:$A$76,'분류_규칙'!$O$5:$O$76,0))</x:f>
        <x:v>2</x:v>
      </x:c>
      <x:c r="P684" s="10" t="n">
        <x:f>SUM(XLOOKUP('포켓몬_편집'!$AF684:$AN684,'분류_규칙'!$A$5:$A$76,'분류_규칙'!$P$5:$P$76,0))</x:f>
        <x:v>0</x:v>
      </x:c>
    </x:row>
    <x:row r="685" ht="22" customHeight="1">
      <x:c r="A685" s="5" t="n">
        <x:v>681</x:v>
      </x:c>
      <x:c r="B685" s="5" t="inlineStr">
        <x:is>
          <x:t xml:space="preserve">킬가르도</x:t>
        </x:is>
      </x:c>
      <x:c r="C685" s="5" t="inlineStr">
        <x:is>
          <x:t xml:space="preserve">aegislash</x:t>
        </x:is>
      </x:c>
      <x:c r="D685" s="5" t="n">
        <x:v>6</x:v>
      </x:c>
      <x:c r="E685" s="10" t="n">
        <x:f>SUM(XLOOKUP('포켓몬_편집'!$AF685:$AN685,'분류_규칙'!$A$5:$A$76,'분류_규칙'!$E$5:$E$76,0))</x:f>
        <x:v>8</x:v>
      </x:c>
      <x:c r="F685" s="10" t="n">
        <x:f>SUM(XLOOKUP('포켓몬_편집'!$AF685:$AN685,'분류_규칙'!$A$5:$A$76,'분류_규칙'!$F$5:$F$76,0))</x:f>
        <x:v>8</x:v>
      </x:c>
      <x:c r="G685" s="10" t="n">
        <x:f>SUM(XLOOKUP('포켓몬_편집'!$AF685:$AN685,'분류_규칙'!$A$5:$A$76,'분류_규칙'!$G$5:$G$76,0))</x:f>
        <x:v>0</x:v>
      </x:c>
      <x:c r="H685" s="10" t="n">
        <x:f>SUM(XLOOKUP('포켓몬_편집'!$AF685:$AN685,'분류_규칙'!$A$5:$A$76,'분류_규칙'!$H$5:$H$76,0))</x:f>
        <x:v>12</x:v>
      </x:c>
      <x:c r="I685" s="10" t="n">
        <x:f>SUM(XLOOKUP('포켓몬_편집'!$AF685:$AN685,'분류_규칙'!$A$5:$A$76,'분류_규칙'!$I$5:$I$76,0))</x:f>
        <x:v>0</x:v>
      </x:c>
      <x:c r="J685" s="10" t="n">
        <x:f>SUM(XLOOKUP('포켓몬_편집'!$AF685:$AN685,'분류_규칙'!$A$5:$A$76,'분류_규칙'!$J$5:$J$76,0))</x:f>
        <x:v>0</x:v>
      </x:c>
      <x:c r="K685" s="10" t="n">
        <x:f>SUM(XLOOKUP('포켓몬_편집'!$AF685:$AN685,'분류_규칙'!$A$5:$A$76,'분류_규칙'!$K$5:$K$76,0))</x:f>
        <x:v>0</x:v>
      </x:c>
      <x:c r="L685" s="10" t="n">
        <x:f>SUM(XLOOKUP('포켓몬_편집'!$AF685:$AN685,'분류_규칙'!$A$5:$A$76,'분류_규칙'!$L$5:$L$76,0))</x:f>
        <x:v>3</x:v>
      </x:c>
      <x:c r="M685" s="10" t="n">
        <x:f>SUM(XLOOKUP('포켓몬_편집'!$AF685:$AN685,'분류_규칙'!$A$5:$A$76,'분류_규칙'!$M$5:$M$76,0))</x:f>
        <x:v>0</x:v>
      </x:c>
      <x:c r="N685" s="10" t="n">
        <x:f>SUM(XLOOKUP('포켓몬_편집'!$AF685:$AN685,'분류_규칙'!$A$5:$A$76,'분류_규칙'!$N$5:$N$76,0))</x:f>
        <x:v>0</x:v>
      </x:c>
      <x:c r="O685" s="10" t="n">
        <x:f>SUM(XLOOKUP('포켓몬_편집'!$AF685:$AN685,'분류_규칙'!$A$5:$A$76,'분류_규칙'!$O$5:$O$76,0))</x:f>
        <x:v>2</x:v>
      </x:c>
      <x:c r="P685" s="10" t="n">
        <x:f>SUM(XLOOKUP('포켓몬_편집'!$AF685:$AN685,'분류_규칙'!$A$5:$A$76,'분류_규칙'!$P$5:$P$76,0))</x:f>
        <x:v>0</x:v>
      </x:c>
    </x:row>
    <x:row r="686" ht="22" customHeight="1">
      <x:c r="A686" s="5" t="n">
        <x:v>682</x:v>
      </x:c>
      <x:c r="B686" s="5" t="inlineStr">
        <x:is>
          <x:t xml:space="preserve">슈쁘</x:t>
        </x:is>
      </x:c>
      <x:c r="C686" s="5" t="inlineStr">
        <x:is>
          <x:t xml:space="preserve">spritzee</x:t>
        </x:is>
      </x:c>
      <x:c r="D686" s="5" t="n">
        <x:v>6</x:v>
      </x:c>
      <x:c r="E686" s="10" t="n">
        <x:f>SUM(XLOOKUP('포켓몬_편집'!$AF686:$AN686,'분류_규칙'!$A$5:$A$76,'분류_규칙'!$E$5:$E$76,0))</x:f>
        <x:v>8</x:v>
      </x:c>
      <x:c r="F686" s="10" t="n">
        <x:f>SUM(XLOOKUP('포켓몬_편집'!$AF686:$AN686,'분류_규칙'!$A$5:$A$76,'분류_규칙'!$F$5:$F$76,0))</x:f>
        <x:v>8</x:v>
      </x:c>
      <x:c r="G686" s="10" t="n">
        <x:f>SUM(XLOOKUP('포켓몬_편집'!$AF686:$AN686,'분류_규칙'!$A$5:$A$76,'분류_규칙'!$G$5:$G$76,0))</x:f>
        <x:v>0</x:v>
      </x:c>
      <x:c r="H686" s="10" t="n">
        <x:f>SUM(XLOOKUP('포켓몬_편집'!$AF686:$AN686,'분류_규칙'!$A$5:$A$76,'분류_규칙'!$H$5:$H$76,0))</x:f>
        <x:v>12</x:v>
      </x:c>
      <x:c r="I686" s="10" t="n">
        <x:f>SUM(XLOOKUP('포켓몬_편집'!$AF686:$AN686,'분류_규칙'!$A$5:$A$76,'분류_규칙'!$I$5:$I$76,0))</x:f>
        <x:v>0</x:v>
      </x:c>
      <x:c r="J686" s="10" t="n">
        <x:f>SUM(XLOOKUP('포켓몬_편집'!$AF686:$AN686,'분류_규칙'!$A$5:$A$76,'분류_규칙'!$J$5:$J$76,0))</x:f>
        <x:v>0</x:v>
      </x:c>
      <x:c r="K686" s="10" t="n">
        <x:f>SUM(XLOOKUP('포켓몬_편집'!$AF686:$AN686,'분류_규칙'!$A$5:$A$76,'분류_규칙'!$K$5:$K$76,0))</x:f>
        <x:v>0</x:v>
      </x:c>
      <x:c r="L686" s="10" t="n">
        <x:f>SUM(XLOOKUP('포켓몬_편집'!$AF686:$AN686,'분류_규칙'!$A$5:$A$76,'분류_규칙'!$L$5:$L$76,0))</x:f>
        <x:v>3</x:v>
      </x:c>
      <x:c r="M686" s="10" t="n">
        <x:f>SUM(XLOOKUP('포켓몬_편집'!$AF686:$AN686,'분류_규칙'!$A$5:$A$76,'분류_규칙'!$M$5:$M$76,0))</x:f>
        <x:v>0</x:v>
      </x:c>
      <x:c r="N686" s="10" t="n">
        <x:f>SUM(XLOOKUP('포켓몬_편집'!$AF686:$AN686,'분류_규칙'!$A$5:$A$76,'분류_규칙'!$N$5:$N$76,0))</x:f>
        <x:v>0</x:v>
      </x:c>
      <x:c r="O686" s="10" t="n">
        <x:f>SUM(XLOOKUP('포켓몬_편집'!$AF686:$AN686,'분류_규칙'!$A$5:$A$76,'분류_규칙'!$O$5:$O$76,0))</x:f>
        <x:v>2</x:v>
      </x:c>
      <x:c r="P686" s="10" t="n">
        <x:f>SUM(XLOOKUP('포켓몬_편집'!$AF686:$AN686,'분류_규칙'!$A$5:$A$76,'분류_규칙'!$P$5:$P$76,0))</x:f>
        <x:v>0</x:v>
      </x:c>
    </x:row>
    <x:row r="687" ht="22" customHeight="1">
      <x:c r="A687" s="5" t="n">
        <x:v>683</x:v>
      </x:c>
      <x:c r="B687" s="5" t="inlineStr">
        <x:is>
          <x:t xml:space="preserve">프레프티르</x:t>
        </x:is>
      </x:c>
      <x:c r="C687" s="5" t="inlineStr">
        <x:is>
          <x:t xml:space="preserve">aromatisse</x:t>
        </x:is>
      </x:c>
      <x:c r="D687" s="5" t="n">
        <x:v>6</x:v>
      </x:c>
      <x:c r="E687" s="10" t="n">
        <x:f>SUM(XLOOKUP('포켓몬_편집'!$AF687:$AN687,'분류_규칙'!$A$5:$A$76,'분류_규칙'!$E$5:$E$76,0))</x:f>
        <x:v>10</x:v>
      </x:c>
      <x:c r="F687" s="10" t="n">
        <x:f>SUM(XLOOKUP('포켓몬_편집'!$AF687:$AN687,'분류_규칙'!$A$5:$A$76,'분류_규칙'!$F$5:$F$76,0))</x:f>
        <x:v>7</x:v>
      </x:c>
      <x:c r="G687" s="10" t="n">
        <x:f>SUM(XLOOKUP('포켓몬_편집'!$AF687:$AN687,'분류_규칙'!$A$5:$A$76,'분류_규칙'!$G$5:$G$76,0))</x:f>
        <x:v>5</x:v>
      </x:c>
      <x:c r="H687" s="10" t="n">
        <x:f>SUM(XLOOKUP('포켓몬_편집'!$AF687:$AN687,'분류_규칙'!$A$5:$A$76,'분류_규칙'!$H$5:$H$76,0))</x:f>
        <x:v>5</x:v>
      </x:c>
      <x:c r="I687" s="10" t="n">
        <x:f>SUM(XLOOKUP('포켓몬_편집'!$AF687:$AN687,'분류_규칙'!$A$5:$A$76,'분류_규칙'!$I$5:$I$76,0))</x:f>
        <x:v>0</x:v>
      </x:c>
      <x:c r="J687" s="10" t="n">
        <x:f>SUM(XLOOKUP('포켓몬_편집'!$AF687:$AN687,'분류_규칙'!$A$5:$A$76,'분류_규칙'!$J$5:$J$76,0))</x:f>
        <x:v>2</x:v>
      </x:c>
      <x:c r="K687" s="10" t="n">
        <x:f>SUM(XLOOKUP('포켓몬_편집'!$AF687:$AN687,'분류_규칙'!$A$5:$A$76,'분류_규칙'!$K$5:$K$76,0))</x:f>
        <x:v>0</x:v>
      </x:c>
      <x:c r="L687" s="10" t="n">
        <x:f>SUM(XLOOKUP('포켓몬_편집'!$AF687:$AN687,'분류_규칙'!$A$5:$A$76,'분류_규칙'!$L$5:$L$76,0))</x:f>
        <x:v>0</x:v>
      </x:c>
      <x:c r="M687" s="10" t="n">
        <x:f>SUM(XLOOKUP('포켓몬_편집'!$AF687:$AN687,'분류_규칙'!$A$5:$A$76,'분류_규칙'!$M$5:$M$76,0))</x:f>
        <x:v>0</x:v>
      </x:c>
      <x:c r="N687" s="10" t="n">
        <x:f>SUM(XLOOKUP('포켓몬_편집'!$AF687:$AN687,'분류_규칙'!$A$5:$A$76,'분류_규칙'!$N$5:$N$76,0))</x:f>
        <x:v>0</x:v>
      </x:c>
      <x:c r="O687" s="10" t="n">
        <x:f>SUM(XLOOKUP('포켓몬_편집'!$AF687:$AN687,'분류_규칙'!$A$5:$A$76,'분류_규칙'!$O$5:$O$76,0))</x:f>
        <x:v>2</x:v>
      </x:c>
      <x:c r="P687" s="10" t="n">
        <x:f>SUM(XLOOKUP('포켓몬_편집'!$AF687:$AN687,'분류_규칙'!$A$5:$A$76,'분류_규칙'!$P$5:$P$76,0))</x:f>
        <x:v>0</x:v>
      </x:c>
    </x:row>
    <x:row r="688" ht="22" customHeight="1">
      <x:c r="A688" s="5" t="n">
        <x:v>684</x:v>
      </x:c>
      <x:c r="B688" s="5" t="inlineStr">
        <x:is>
          <x:t xml:space="preserve">나룸퍼프</x:t>
        </x:is>
      </x:c>
      <x:c r="C688" s="5" t="inlineStr">
        <x:is>
          <x:t xml:space="preserve">swirlix</x:t>
        </x:is>
      </x:c>
      <x:c r="D688" s="5" t="n">
        <x:v>6</x:v>
      </x:c>
      <x:c r="E688" s="10" t="n">
        <x:f>SUM(XLOOKUP('포켓몬_편집'!$AF688:$AN688,'분류_규칙'!$A$5:$A$76,'분류_규칙'!$E$5:$E$76,0))</x:f>
        <x:v>8</x:v>
      </x:c>
      <x:c r="F688" s="10" t="n">
        <x:f>SUM(XLOOKUP('포켓몬_편집'!$AF688:$AN688,'분류_규칙'!$A$5:$A$76,'분류_규칙'!$F$5:$F$76,0))</x:f>
        <x:v>8</x:v>
      </x:c>
      <x:c r="G688" s="10" t="n">
        <x:f>SUM(XLOOKUP('포켓몬_편집'!$AF688:$AN688,'분류_규칙'!$A$5:$A$76,'분류_규칙'!$G$5:$G$76,0))</x:f>
        <x:v>0</x:v>
      </x:c>
      <x:c r="H688" s="10" t="n">
        <x:f>SUM(XLOOKUP('포켓몬_편집'!$AF688:$AN688,'분류_규칙'!$A$5:$A$76,'분류_규칙'!$H$5:$H$76,0))</x:f>
        <x:v>12</x:v>
      </x:c>
      <x:c r="I688" s="10" t="n">
        <x:f>SUM(XLOOKUP('포켓몬_편집'!$AF688:$AN688,'분류_규칙'!$A$5:$A$76,'분류_규칙'!$I$5:$I$76,0))</x:f>
        <x:v>0</x:v>
      </x:c>
      <x:c r="J688" s="10" t="n">
        <x:f>SUM(XLOOKUP('포켓몬_편집'!$AF688:$AN688,'분류_규칙'!$A$5:$A$76,'분류_규칙'!$J$5:$J$76,0))</x:f>
        <x:v>0</x:v>
      </x:c>
      <x:c r="K688" s="10" t="n">
        <x:f>SUM(XLOOKUP('포켓몬_편집'!$AF688:$AN688,'분류_규칙'!$A$5:$A$76,'분류_규칙'!$K$5:$K$76,0))</x:f>
        <x:v>0</x:v>
      </x:c>
      <x:c r="L688" s="10" t="n">
        <x:f>SUM(XLOOKUP('포켓몬_편집'!$AF688:$AN688,'분류_규칙'!$A$5:$A$76,'분류_규칙'!$L$5:$L$76,0))</x:f>
        <x:v>3</x:v>
      </x:c>
      <x:c r="M688" s="10" t="n">
        <x:f>SUM(XLOOKUP('포켓몬_편집'!$AF688:$AN688,'분류_규칙'!$A$5:$A$76,'분류_규칙'!$M$5:$M$76,0))</x:f>
        <x:v>0</x:v>
      </x:c>
      <x:c r="N688" s="10" t="n">
        <x:f>SUM(XLOOKUP('포켓몬_편집'!$AF688:$AN688,'분류_규칙'!$A$5:$A$76,'분류_규칙'!$N$5:$N$76,0))</x:f>
        <x:v>0</x:v>
      </x:c>
      <x:c r="O688" s="10" t="n">
        <x:f>SUM(XLOOKUP('포켓몬_편집'!$AF688:$AN688,'분류_규칙'!$A$5:$A$76,'분류_규칙'!$O$5:$O$76,0))</x:f>
        <x:v>2</x:v>
      </x:c>
      <x:c r="P688" s="10" t="n">
        <x:f>SUM(XLOOKUP('포켓몬_편집'!$AF688:$AN688,'분류_규칙'!$A$5:$A$76,'분류_규칙'!$P$5:$P$76,0))</x:f>
        <x:v>0</x:v>
      </x:c>
    </x:row>
    <x:row r="689" ht="22" customHeight="1">
      <x:c r="A689" s="5" t="n">
        <x:v>685</x:v>
      </x:c>
      <x:c r="B689" s="5" t="inlineStr">
        <x:is>
          <x:t xml:space="preserve">나루림</x:t>
        </x:is>
      </x:c>
      <x:c r="C689" s="5" t="inlineStr">
        <x:is>
          <x:t xml:space="preserve">slurpuff</x:t>
        </x:is>
      </x:c>
      <x:c r="D689" s="5" t="n">
        <x:v>6</x:v>
      </x:c>
      <x:c r="E689" s="10" t="n">
        <x:f>SUM(XLOOKUP('포켓몬_편집'!$AF689:$AN689,'분류_규칙'!$A$5:$A$76,'분류_규칙'!$E$5:$E$76,0))</x:f>
        <x:v>10</x:v>
      </x:c>
      <x:c r="F689" s="10" t="n">
        <x:f>SUM(XLOOKUP('포켓몬_편집'!$AF689:$AN689,'분류_규칙'!$A$5:$A$76,'분류_규칙'!$F$5:$F$76,0))</x:f>
        <x:v>7</x:v>
      </x:c>
      <x:c r="G689" s="10" t="n">
        <x:f>SUM(XLOOKUP('포켓몬_편집'!$AF689:$AN689,'분류_규칙'!$A$5:$A$76,'분류_규칙'!$G$5:$G$76,0))</x:f>
        <x:v>5</x:v>
      </x:c>
      <x:c r="H689" s="10" t="n">
        <x:f>SUM(XLOOKUP('포켓몬_편집'!$AF689:$AN689,'분류_규칙'!$A$5:$A$76,'분류_규칙'!$H$5:$H$76,0))</x:f>
        <x:v>5</x:v>
      </x:c>
      <x:c r="I689" s="10" t="n">
        <x:f>SUM(XLOOKUP('포켓몬_편집'!$AF689:$AN689,'분류_규칙'!$A$5:$A$76,'분류_규칙'!$I$5:$I$76,0))</x:f>
        <x:v>0</x:v>
      </x:c>
      <x:c r="J689" s="10" t="n">
        <x:f>SUM(XLOOKUP('포켓몬_편집'!$AF689:$AN689,'분류_규칙'!$A$5:$A$76,'분류_규칙'!$J$5:$J$76,0))</x:f>
        <x:v>2</x:v>
      </x:c>
      <x:c r="K689" s="10" t="n">
        <x:f>SUM(XLOOKUP('포켓몬_편집'!$AF689:$AN689,'분류_규칙'!$A$5:$A$76,'분류_규칙'!$K$5:$K$76,0))</x:f>
        <x:v>0</x:v>
      </x:c>
      <x:c r="L689" s="10" t="n">
        <x:f>SUM(XLOOKUP('포켓몬_편집'!$AF689:$AN689,'분류_규칙'!$A$5:$A$76,'분류_규칙'!$L$5:$L$76,0))</x:f>
        <x:v>0</x:v>
      </x:c>
      <x:c r="M689" s="10" t="n">
        <x:f>SUM(XLOOKUP('포켓몬_편집'!$AF689:$AN689,'분류_규칙'!$A$5:$A$76,'분류_규칙'!$M$5:$M$76,0))</x:f>
        <x:v>0</x:v>
      </x:c>
      <x:c r="N689" s="10" t="n">
        <x:f>SUM(XLOOKUP('포켓몬_편집'!$AF689:$AN689,'분류_규칙'!$A$5:$A$76,'분류_규칙'!$N$5:$N$76,0))</x:f>
        <x:v>0</x:v>
      </x:c>
      <x:c r="O689" s="10" t="n">
        <x:f>SUM(XLOOKUP('포켓몬_편집'!$AF689:$AN689,'분류_규칙'!$A$5:$A$76,'분류_규칙'!$O$5:$O$76,0))</x:f>
        <x:v>2</x:v>
      </x:c>
      <x:c r="P689" s="10" t="n">
        <x:f>SUM(XLOOKUP('포켓몬_편집'!$AF689:$AN689,'분류_규칙'!$A$5:$A$76,'분류_규칙'!$P$5:$P$76,0))</x:f>
        <x:v>0</x:v>
      </x:c>
    </x:row>
    <x:row r="690" ht="22" customHeight="1">
      <x:c r="A690" s="5" t="n">
        <x:v>686</x:v>
      </x:c>
      <x:c r="B690" s="5" t="inlineStr">
        <x:is>
          <x:t xml:space="preserve">오케이징</x:t>
        </x:is>
      </x:c>
      <x:c r="C690" s="5" t="inlineStr">
        <x:is>
          <x:t xml:space="preserve">inkay</x:t>
        </x:is>
      </x:c>
      <x:c r="D690" s="5" t="n">
        <x:v>6</x:v>
      </x:c>
      <x:c r="E690" s="10" t="n">
        <x:f>SUM(XLOOKUP('포켓몬_편집'!$AF690:$AN690,'분류_규칙'!$A$5:$A$76,'분류_규칙'!$E$5:$E$76,0))</x:f>
        <x:v>0</x:v>
      </x:c>
      <x:c r="F690" s="10" t="n">
        <x:f>SUM(XLOOKUP('포켓몬_편집'!$AF690:$AN690,'분류_규칙'!$A$5:$A$76,'분류_규칙'!$F$5:$F$76,0))</x:f>
        <x:v>0</x:v>
      </x:c>
      <x:c r="G690" s="10" t="n">
        <x:f>SUM(XLOOKUP('포켓몬_편집'!$AF690:$AN690,'분류_규칙'!$A$5:$A$76,'분류_규칙'!$G$5:$G$76,0))</x:f>
        <x:v>0</x:v>
      </x:c>
      <x:c r="H690" s="10" t="n">
        <x:f>SUM(XLOOKUP('포켓몬_편집'!$AF690:$AN690,'분류_규칙'!$A$5:$A$76,'분류_규칙'!$H$5:$H$76,0))</x:f>
        <x:v>0</x:v>
      </x:c>
      <x:c r="I690" s="10" t="n">
        <x:f>SUM(XLOOKUP('포켓몬_편집'!$AF690:$AN690,'분류_규칙'!$A$5:$A$76,'분류_규칙'!$I$5:$I$76,0))</x:f>
        <x:v>0</x:v>
      </x:c>
      <x:c r="J690" s="10" t="n">
        <x:f>SUM(XLOOKUP('포켓몬_편집'!$AF690:$AN690,'분류_규칙'!$A$5:$A$76,'분류_규칙'!$J$5:$J$76,0))</x:f>
        <x:v>3</x:v>
      </x:c>
      <x:c r="K690" s="10" t="n">
        <x:f>SUM(XLOOKUP('포켓몬_편집'!$AF690:$AN690,'분류_규칙'!$A$5:$A$76,'분류_규칙'!$K$5:$K$76,0))</x:f>
        <x:v>0</x:v>
      </x:c>
      <x:c r="L690" s="10" t="n">
        <x:f>SUM(XLOOKUP('포켓몬_편집'!$AF690:$AN690,'분류_규칙'!$A$5:$A$76,'분류_규칙'!$L$5:$L$76,0))</x:f>
        <x:v>30</x:v>
      </x:c>
      <x:c r="M690" s="10" t="n">
        <x:f>SUM(XLOOKUP('포켓몬_편집'!$AF690:$AN690,'분류_규칙'!$A$5:$A$76,'분류_규칙'!$M$5:$M$76,0))</x:f>
        <x:v>0</x:v>
      </x:c>
      <x:c r="N690" s="10" t="n">
        <x:f>SUM(XLOOKUP('포켓몬_편집'!$AF690:$AN690,'분류_규칙'!$A$5:$A$76,'분류_규칙'!$N$5:$N$76,0))</x:f>
        <x:v>0</x:v>
      </x:c>
      <x:c r="O690" s="10" t="n">
        <x:f>SUM(XLOOKUP('포켓몬_편집'!$AF690:$AN690,'분류_규칙'!$A$5:$A$76,'분류_규칙'!$O$5:$O$76,0))</x:f>
        <x:v>0</x:v>
      </x:c>
      <x:c r="P690" s="10" t="n">
        <x:f>SUM(XLOOKUP('포켓몬_편집'!$AF690:$AN690,'분류_규칙'!$A$5:$A$76,'분류_규칙'!$P$5:$P$76,0))</x:f>
        <x:v>0</x:v>
      </x:c>
    </x:row>
    <x:row r="691" ht="22" customHeight="1">
      <x:c r="A691" s="5" t="n">
        <x:v>687</x:v>
      </x:c>
      <x:c r="B691" s="5" t="inlineStr">
        <x:is>
          <x:t xml:space="preserve">칼라마네로</x:t>
        </x:is>
      </x:c>
      <x:c r="C691" s="5" t="inlineStr">
        <x:is>
          <x:t xml:space="preserve">malamar</x:t>
        </x:is>
      </x:c>
      <x:c r="D691" s="5" t="n">
        <x:v>6</x:v>
      </x:c>
      <x:c r="E691" s="10" t="n">
        <x:f>SUM(XLOOKUP('포켓몬_편집'!$AF691:$AN691,'분류_규칙'!$A$5:$A$76,'분류_규칙'!$E$5:$E$76,0))</x:f>
        <x:v>0</x:v>
      </x:c>
      <x:c r="F691" s="10" t="n">
        <x:f>SUM(XLOOKUP('포켓몬_편집'!$AF691:$AN691,'분류_규칙'!$A$5:$A$76,'분류_규칙'!$F$5:$F$76,0))</x:f>
        <x:v>0</x:v>
      </x:c>
      <x:c r="G691" s="10" t="n">
        <x:f>SUM(XLOOKUP('포켓몬_편집'!$AF691:$AN691,'분류_규칙'!$A$5:$A$76,'분류_규칙'!$G$5:$G$76,0))</x:f>
        <x:v>0</x:v>
      </x:c>
      <x:c r="H691" s="10" t="n">
        <x:f>SUM(XLOOKUP('포켓몬_편집'!$AF691:$AN691,'분류_규칙'!$A$5:$A$76,'분류_규칙'!$H$5:$H$76,0))</x:f>
        <x:v>0</x:v>
      </x:c>
      <x:c r="I691" s="10" t="n">
        <x:f>SUM(XLOOKUP('포켓몬_편집'!$AF691:$AN691,'분류_규칙'!$A$5:$A$76,'분류_규칙'!$I$5:$I$76,0))</x:f>
        <x:v>0</x:v>
      </x:c>
      <x:c r="J691" s="10" t="n">
        <x:f>SUM(XLOOKUP('포켓몬_편집'!$AF691:$AN691,'분류_규칙'!$A$5:$A$76,'분류_규칙'!$J$5:$J$76,0))</x:f>
        <x:v>3</x:v>
      </x:c>
      <x:c r="K691" s="10" t="n">
        <x:f>SUM(XLOOKUP('포켓몬_편집'!$AF691:$AN691,'분류_규칙'!$A$5:$A$76,'분류_규칙'!$K$5:$K$76,0))</x:f>
        <x:v>0</x:v>
      </x:c>
      <x:c r="L691" s="10" t="n">
        <x:f>SUM(XLOOKUP('포켓몬_편집'!$AF691:$AN691,'분류_규칙'!$A$5:$A$76,'분류_규칙'!$L$5:$L$76,0))</x:f>
        <x:v>30</x:v>
      </x:c>
      <x:c r="M691" s="10" t="n">
        <x:f>SUM(XLOOKUP('포켓몬_편집'!$AF691:$AN691,'분류_규칙'!$A$5:$A$76,'분류_규칙'!$M$5:$M$76,0))</x:f>
        <x:v>0</x:v>
      </x:c>
      <x:c r="N691" s="10" t="n">
        <x:f>SUM(XLOOKUP('포켓몬_편집'!$AF691:$AN691,'분류_규칙'!$A$5:$A$76,'분류_규칙'!$N$5:$N$76,0))</x:f>
        <x:v>0</x:v>
      </x:c>
      <x:c r="O691" s="10" t="n">
        <x:f>SUM(XLOOKUP('포켓몬_편집'!$AF691:$AN691,'분류_규칙'!$A$5:$A$76,'분류_규칙'!$O$5:$O$76,0))</x:f>
        <x:v>0</x:v>
      </x:c>
      <x:c r="P691" s="10" t="n">
        <x:f>SUM(XLOOKUP('포켓몬_편집'!$AF691:$AN691,'분류_규칙'!$A$5:$A$76,'분류_규칙'!$P$5:$P$76,0))</x:f>
        <x:v>0</x:v>
      </x:c>
    </x:row>
    <x:row r="692" ht="22" customHeight="1">
      <x:c r="A692" s="5" t="n">
        <x:v>688</x:v>
      </x:c>
      <x:c r="B692" s="5" t="inlineStr">
        <x:is>
          <x:t xml:space="preserve">거북손손</x:t>
        </x:is>
      </x:c>
      <x:c r="C692" s="5" t="inlineStr">
        <x:is>
          <x:t xml:space="preserve">binacle</x:t>
        </x:is>
      </x:c>
      <x:c r="D692" s="5" t="n">
        <x:v>6</x:v>
      </x:c>
      <x:c r="E692" s="10" t="n">
        <x:f>SUM(XLOOKUP('포켓몬_편집'!$AF692:$AN692,'분류_규칙'!$A$5:$A$76,'분류_규칙'!$E$5:$E$76,0))</x:f>
        <x:v>0</x:v>
      </x:c>
      <x:c r="F692" s="10" t="n">
        <x:f>SUM(XLOOKUP('포켓몬_편집'!$AF692:$AN692,'분류_규칙'!$A$5:$A$76,'분류_규칙'!$F$5:$F$76,0))</x:f>
        <x:v>0</x:v>
      </x:c>
      <x:c r="G692" s="10" t="n">
        <x:f>SUM(XLOOKUP('포켓몬_편집'!$AF692:$AN692,'분류_규칙'!$A$5:$A$76,'분류_규칙'!$G$5:$G$76,0))</x:f>
        <x:v>0</x:v>
      </x:c>
      <x:c r="H692" s="10" t="n">
        <x:f>SUM(XLOOKUP('포켓몬_편집'!$AF692:$AN692,'분류_규칙'!$A$5:$A$76,'분류_규칙'!$H$5:$H$76,0))</x:f>
        <x:v>0</x:v>
      </x:c>
      <x:c r="I692" s="10" t="n">
        <x:f>SUM(XLOOKUP('포켓몬_편집'!$AF692:$AN692,'분류_규칙'!$A$5:$A$76,'분류_규칙'!$I$5:$I$76,0))</x:f>
        <x:v>0</x:v>
      </x:c>
      <x:c r="J692" s="10" t="n">
        <x:f>SUM(XLOOKUP('포켓몬_편집'!$AF692:$AN692,'분류_규칙'!$A$5:$A$76,'분류_규칙'!$J$5:$J$76,0))</x:f>
        <x:v>3</x:v>
      </x:c>
      <x:c r="K692" s="10" t="n">
        <x:f>SUM(XLOOKUP('포켓몬_편집'!$AF692:$AN692,'분류_규칙'!$A$5:$A$76,'분류_규칙'!$K$5:$K$76,0))</x:f>
        <x:v>0</x:v>
      </x:c>
      <x:c r="L692" s="10" t="n">
        <x:f>SUM(XLOOKUP('포켓몬_편집'!$AF692:$AN692,'분류_규칙'!$A$5:$A$76,'분류_규칙'!$L$5:$L$76,0))</x:f>
        <x:v>30</x:v>
      </x:c>
      <x:c r="M692" s="10" t="n">
        <x:f>SUM(XLOOKUP('포켓몬_편집'!$AF692:$AN692,'분류_규칙'!$A$5:$A$76,'분류_규칙'!$M$5:$M$76,0))</x:f>
        <x:v>0</x:v>
      </x:c>
      <x:c r="N692" s="10" t="n">
        <x:f>SUM(XLOOKUP('포켓몬_편집'!$AF692:$AN692,'분류_규칙'!$A$5:$A$76,'분류_규칙'!$N$5:$N$76,0))</x:f>
        <x:v>0</x:v>
      </x:c>
      <x:c r="O692" s="10" t="n">
        <x:f>SUM(XLOOKUP('포켓몬_편집'!$AF692:$AN692,'분류_규칙'!$A$5:$A$76,'분류_규칙'!$O$5:$O$76,0))</x:f>
        <x:v>0</x:v>
      </x:c>
      <x:c r="P692" s="10" t="n">
        <x:f>SUM(XLOOKUP('포켓몬_편집'!$AF692:$AN692,'분류_규칙'!$A$5:$A$76,'분류_규칙'!$P$5:$P$76,0))</x:f>
        <x:v>0</x:v>
      </x:c>
    </x:row>
    <x:row r="693" ht="22" customHeight="1">
      <x:c r="A693" s="5" t="n">
        <x:v>689</x:v>
      </x:c>
      <x:c r="B693" s="5" t="inlineStr">
        <x:is>
          <x:t xml:space="preserve">거북손데스</x:t>
        </x:is>
      </x:c>
      <x:c r="C693" s="5" t="inlineStr">
        <x:is>
          <x:t xml:space="preserve">barbaracle</x:t>
        </x:is>
      </x:c>
      <x:c r="D693" s="5" t="n">
        <x:v>6</x:v>
      </x:c>
      <x:c r="E693" s="10" t="n">
        <x:f>SUM(XLOOKUP('포켓몬_편집'!$AF693:$AN693,'분류_규칙'!$A$5:$A$76,'분류_규칙'!$E$5:$E$76,0))</x:f>
        <x:v>0</x:v>
      </x:c>
      <x:c r="F693" s="10" t="n">
        <x:f>SUM(XLOOKUP('포켓몬_편집'!$AF693:$AN693,'분류_규칙'!$A$5:$A$76,'분류_규칙'!$F$5:$F$76,0))</x:f>
        <x:v>0</x:v>
      </x:c>
      <x:c r="G693" s="10" t="n">
        <x:f>SUM(XLOOKUP('포켓몬_편집'!$AF693:$AN693,'분류_규칙'!$A$5:$A$76,'분류_규칙'!$G$5:$G$76,0))</x:f>
        <x:v>0</x:v>
      </x:c>
      <x:c r="H693" s="10" t="n">
        <x:f>SUM(XLOOKUP('포켓몬_편집'!$AF693:$AN693,'분류_규칙'!$A$5:$A$76,'분류_규칙'!$H$5:$H$76,0))</x:f>
        <x:v>0</x:v>
      </x:c>
      <x:c r="I693" s="10" t="n">
        <x:f>SUM(XLOOKUP('포켓몬_편집'!$AF693:$AN693,'분류_규칙'!$A$5:$A$76,'분류_규칙'!$I$5:$I$76,0))</x:f>
        <x:v>0</x:v>
      </x:c>
      <x:c r="J693" s="10" t="n">
        <x:f>SUM(XLOOKUP('포켓몬_편집'!$AF693:$AN693,'분류_규칙'!$A$5:$A$76,'분류_규칙'!$J$5:$J$76,0))</x:f>
        <x:v>3</x:v>
      </x:c>
      <x:c r="K693" s="10" t="n">
        <x:f>SUM(XLOOKUP('포켓몬_편집'!$AF693:$AN693,'분류_규칙'!$A$5:$A$76,'분류_규칙'!$K$5:$K$76,0))</x:f>
        <x:v>0</x:v>
      </x:c>
      <x:c r="L693" s="10" t="n">
        <x:f>SUM(XLOOKUP('포켓몬_편집'!$AF693:$AN693,'분류_규칙'!$A$5:$A$76,'분류_규칙'!$L$5:$L$76,0))</x:f>
        <x:v>30</x:v>
      </x:c>
      <x:c r="M693" s="10" t="n">
        <x:f>SUM(XLOOKUP('포켓몬_편집'!$AF693:$AN693,'분류_규칙'!$A$5:$A$76,'분류_규칙'!$M$5:$M$76,0))</x:f>
        <x:v>0</x:v>
      </x:c>
      <x:c r="N693" s="10" t="n">
        <x:f>SUM(XLOOKUP('포켓몬_편집'!$AF693:$AN693,'분류_규칙'!$A$5:$A$76,'분류_규칙'!$N$5:$N$76,0))</x:f>
        <x:v>0</x:v>
      </x:c>
      <x:c r="O693" s="10" t="n">
        <x:f>SUM(XLOOKUP('포켓몬_편집'!$AF693:$AN693,'분류_규칙'!$A$5:$A$76,'분류_규칙'!$O$5:$O$76,0))</x:f>
        <x:v>0</x:v>
      </x:c>
      <x:c r="P693" s="10" t="n">
        <x:f>SUM(XLOOKUP('포켓몬_편집'!$AF693:$AN693,'분류_규칙'!$A$5:$A$76,'분류_규칙'!$P$5:$P$76,0))</x:f>
        <x:v>0</x:v>
      </x:c>
    </x:row>
    <x:row r="694" ht="22" customHeight="1">
      <x:c r="A694" s="5" t="n">
        <x:v>690</x:v>
      </x:c>
      <x:c r="B694" s="5" t="inlineStr">
        <x:is>
          <x:t xml:space="preserve">수레기</x:t>
        </x:is>
      </x:c>
      <x:c r="C694" s="5" t="inlineStr">
        <x:is>
          <x:t xml:space="preserve">skrelp</x:t>
        </x:is>
      </x:c>
      <x:c r="D694" s="5" t="n">
        <x:v>6</x:v>
      </x:c>
      <x:c r="E694" s="10" t="n">
        <x:f>SUM(XLOOKUP('포켓몬_편집'!$AF694:$AN694,'분류_규칙'!$A$5:$A$76,'분류_규칙'!$E$5:$E$76,0))</x:f>
        <x:v>0</x:v>
      </x:c>
      <x:c r="F694" s="10" t="n">
        <x:f>SUM(XLOOKUP('포켓몬_편집'!$AF694:$AN694,'분류_규칙'!$A$5:$A$76,'분류_규칙'!$F$5:$F$76,0))</x:f>
        <x:v>0</x:v>
      </x:c>
      <x:c r="G694" s="10" t="n">
        <x:f>SUM(XLOOKUP('포켓몬_편집'!$AF694:$AN694,'분류_규칙'!$A$5:$A$76,'분류_규칙'!$G$5:$G$76,0))</x:f>
        <x:v>0</x:v>
      </x:c>
      <x:c r="H694" s="10" t="n">
        <x:f>SUM(XLOOKUP('포켓몬_편집'!$AF694:$AN694,'분류_규칙'!$A$5:$A$76,'분류_규칙'!$H$5:$H$76,0))</x:f>
        <x:v>0</x:v>
      </x:c>
      <x:c r="I694" s="10" t="n">
        <x:f>SUM(XLOOKUP('포켓몬_편집'!$AF694:$AN694,'분류_규칙'!$A$5:$A$76,'분류_규칙'!$I$5:$I$76,0))</x:f>
        <x:v>0</x:v>
      </x:c>
      <x:c r="J694" s="10" t="n">
        <x:f>SUM(XLOOKUP('포켓몬_편집'!$AF694:$AN694,'분류_규칙'!$A$5:$A$76,'분류_규칙'!$J$5:$J$76,0))</x:f>
        <x:v>3</x:v>
      </x:c>
      <x:c r="K694" s="10" t="n">
        <x:f>SUM(XLOOKUP('포켓몬_편집'!$AF694:$AN694,'분류_규칙'!$A$5:$A$76,'분류_규칙'!$K$5:$K$76,0))</x:f>
        <x:v>0</x:v>
      </x:c>
      <x:c r="L694" s="10" t="n">
        <x:f>SUM(XLOOKUP('포켓몬_편집'!$AF694:$AN694,'분류_규칙'!$A$5:$A$76,'분류_규칙'!$L$5:$L$76,0))</x:f>
        <x:v>30</x:v>
      </x:c>
      <x:c r="M694" s="10" t="n">
        <x:f>SUM(XLOOKUP('포켓몬_편집'!$AF694:$AN694,'분류_규칙'!$A$5:$A$76,'분류_규칙'!$M$5:$M$76,0))</x:f>
        <x:v>0</x:v>
      </x:c>
      <x:c r="N694" s="10" t="n">
        <x:f>SUM(XLOOKUP('포켓몬_편집'!$AF694:$AN694,'분류_규칙'!$A$5:$A$76,'분류_규칙'!$N$5:$N$76,0))</x:f>
        <x:v>0</x:v>
      </x:c>
      <x:c r="O694" s="10" t="n">
        <x:f>SUM(XLOOKUP('포켓몬_편집'!$AF694:$AN694,'분류_규칙'!$A$5:$A$76,'분류_규칙'!$O$5:$O$76,0))</x:f>
        <x:v>0</x:v>
      </x:c>
      <x:c r="P694" s="10" t="n">
        <x:f>SUM(XLOOKUP('포켓몬_편집'!$AF694:$AN694,'분류_규칙'!$A$5:$A$76,'분류_규칙'!$P$5:$P$76,0))</x:f>
        <x:v>0</x:v>
      </x:c>
    </x:row>
    <x:row r="695" ht="22" customHeight="1">
      <x:c r="A695" s="5" t="n">
        <x:v>691</x:v>
      </x:c>
      <x:c r="B695" s="5" t="inlineStr">
        <x:is>
          <x:t xml:space="preserve">드래캄</x:t>
        </x:is>
      </x:c>
      <x:c r="C695" s="5" t="inlineStr">
        <x:is>
          <x:t xml:space="preserve">dragalge</x:t>
        </x:is>
      </x:c>
      <x:c r="D695" s="5" t="n">
        <x:v>6</x:v>
      </x:c>
      <x:c r="E695" s="10" t="n">
        <x:f>SUM(XLOOKUP('포켓몬_편집'!$AF695:$AN695,'분류_규칙'!$A$5:$A$76,'분류_규칙'!$E$5:$E$76,0))</x:f>
        <x:v>0</x:v>
      </x:c>
      <x:c r="F695" s="10" t="n">
        <x:f>SUM(XLOOKUP('포켓몬_편집'!$AF695:$AN695,'분류_규칙'!$A$5:$A$76,'분류_규칙'!$F$5:$F$76,0))</x:f>
        <x:v>0</x:v>
      </x:c>
      <x:c r="G695" s="10" t="n">
        <x:f>SUM(XLOOKUP('포켓몬_편집'!$AF695:$AN695,'분류_규칙'!$A$5:$A$76,'분류_규칙'!$G$5:$G$76,0))</x:f>
        <x:v>0</x:v>
      </x:c>
      <x:c r="H695" s="10" t="n">
        <x:f>SUM(XLOOKUP('포켓몬_편집'!$AF695:$AN695,'분류_규칙'!$A$5:$A$76,'분류_규칙'!$H$5:$H$76,0))</x:f>
        <x:v>0</x:v>
      </x:c>
      <x:c r="I695" s="10" t="n">
        <x:f>SUM(XLOOKUP('포켓몬_편집'!$AF695:$AN695,'분류_규칙'!$A$5:$A$76,'분류_규칙'!$I$5:$I$76,0))</x:f>
        <x:v>0</x:v>
      </x:c>
      <x:c r="J695" s="10" t="n">
        <x:f>SUM(XLOOKUP('포켓몬_편집'!$AF695:$AN695,'분류_규칙'!$A$5:$A$76,'분류_규칙'!$J$5:$J$76,0))</x:f>
        <x:v>3</x:v>
      </x:c>
      <x:c r="K695" s="10" t="n">
        <x:f>SUM(XLOOKUP('포켓몬_편집'!$AF695:$AN695,'분류_규칙'!$A$5:$A$76,'분류_규칙'!$K$5:$K$76,0))</x:f>
        <x:v>0</x:v>
      </x:c>
      <x:c r="L695" s="10" t="n">
        <x:f>SUM(XLOOKUP('포켓몬_편집'!$AF695:$AN695,'분류_규칙'!$A$5:$A$76,'분류_규칙'!$L$5:$L$76,0))</x:f>
        <x:v>30</x:v>
      </x:c>
      <x:c r="M695" s="10" t="n">
        <x:f>SUM(XLOOKUP('포켓몬_편집'!$AF695:$AN695,'분류_규칙'!$A$5:$A$76,'분류_규칙'!$M$5:$M$76,0))</x:f>
        <x:v>0</x:v>
      </x:c>
      <x:c r="N695" s="10" t="n">
        <x:f>SUM(XLOOKUP('포켓몬_편집'!$AF695:$AN695,'분류_규칙'!$A$5:$A$76,'분류_규칙'!$N$5:$N$76,0))</x:f>
        <x:v>0</x:v>
      </x:c>
      <x:c r="O695" s="10" t="n">
        <x:f>SUM(XLOOKUP('포켓몬_편집'!$AF695:$AN695,'분류_규칙'!$A$5:$A$76,'분류_규칙'!$O$5:$O$76,0))</x:f>
        <x:v>0</x:v>
      </x:c>
      <x:c r="P695" s="10" t="n">
        <x:f>SUM(XLOOKUP('포켓몬_편집'!$AF695:$AN695,'분류_규칙'!$A$5:$A$76,'분류_규칙'!$P$5:$P$76,0))</x:f>
        <x:v>0</x:v>
      </x:c>
    </x:row>
    <x:row r="696" ht="22" customHeight="1">
      <x:c r="A696" s="5" t="n">
        <x:v>692</x:v>
      </x:c>
      <x:c r="B696" s="5" t="inlineStr">
        <x:is>
          <x:t xml:space="preserve">완철포</x:t>
        </x:is>
      </x:c>
      <x:c r="C696" s="5" t="inlineStr">
        <x:is>
          <x:t xml:space="preserve">clauncher</x:t>
        </x:is>
      </x:c>
      <x:c r="D696" s="5" t="n">
        <x:v>6</x:v>
      </x:c>
      <x:c r="E696" s="10" t="n">
        <x:f>SUM(XLOOKUP('포켓몬_편집'!$AF696:$AN696,'분류_규칙'!$A$5:$A$76,'분류_규칙'!$E$5:$E$76,0))</x:f>
        <x:v>0</x:v>
      </x:c>
      <x:c r="F696" s="10" t="n">
        <x:f>SUM(XLOOKUP('포켓몬_편집'!$AF696:$AN696,'분류_규칙'!$A$5:$A$76,'분류_규칙'!$F$5:$F$76,0))</x:f>
        <x:v>0</x:v>
      </x:c>
      <x:c r="G696" s="10" t="n">
        <x:f>SUM(XLOOKUP('포켓몬_편집'!$AF696:$AN696,'분류_규칙'!$A$5:$A$76,'분류_규칙'!$G$5:$G$76,0))</x:f>
        <x:v>0</x:v>
      </x:c>
      <x:c r="H696" s="10" t="n">
        <x:f>SUM(XLOOKUP('포켓몬_편집'!$AF696:$AN696,'분류_규칙'!$A$5:$A$76,'분류_규칙'!$H$5:$H$76,0))</x:f>
        <x:v>0</x:v>
      </x:c>
      <x:c r="I696" s="10" t="n">
        <x:f>SUM(XLOOKUP('포켓몬_편집'!$AF696:$AN696,'분류_규칙'!$A$5:$A$76,'분류_규칙'!$I$5:$I$76,0))</x:f>
        <x:v>0</x:v>
      </x:c>
      <x:c r="J696" s="10" t="n">
        <x:f>SUM(XLOOKUP('포켓몬_편집'!$AF696:$AN696,'분류_규칙'!$A$5:$A$76,'분류_규칙'!$J$5:$J$76,0))</x:f>
        <x:v>3</x:v>
      </x:c>
      <x:c r="K696" s="10" t="n">
        <x:f>SUM(XLOOKUP('포켓몬_편집'!$AF696:$AN696,'분류_규칙'!$A$5:$A$76,'분류_규칙'!$K$5:$K$76,0))</x:f>
        <x:v>0</x:v>
      </x:c>
      <x:c r="L696" s="10" t="n">
        <x:f>SUM(XLOOKUP('포켓몬_편집'!$AF696:$AN696,'분류_규칙'!$A$5:$A$76,'분류_규칙'!$L$5:$L$76,0))</x:f>
        <x:v>30</x:v>
      </x:c>
      <x:c r="M696" s="10" t="n">
        <x:f>SUM(XLOOKUP('포켓몬_편집'!$AF696:$AN696,'분류_규칙'!$A$5:$A$76,'분류_규칙'!$M$5:$M$76,0))</x:f>
        <x:v>0</x:v>
      </x:c>
      <x:c r="N696" s="10" t="n">
        <x:f>SUM(XLOOKUP('포켓몬_편집'!$AF696:$AN696,'분류_규칙'!$A$5:$A$76,'분류_규칙'!$N$5:$N$76,0))</x:f>
        <x:v>0</x:v>
      </x:c>
      <x:c r="O696" s="10" t="n">
        <x:f>SUM(XLOOKUP('포켓몬_편집'!$AF696:$AN696,'분류_규칙'!$A$5:$A$76,'분류_규칙'!$O$5:$O$76,0))</x:f>
        <x:v>0</x:v>
      </x:c>
      <x:c r="P696" s="10" t="n">
        <x:f>SUM(XLOOKUP('포켓몬_편집'!$AF696:$AN696,'분류_규칙'!$A$5:$A$76,'분류_규칙'!$P$5:$P$76,0))</x:f>
        <x:v>0</x:v>
      </x:c>
    </x:row>
    <x:row r="697" ht="22" customHeight="1">
      <x:c r="A697" s="5" t="n">
        <x:v>693</x:v>
      </x:c>
      <x:c r="B697" s="5" t="inlineStr">
        <x:is>
          <x:t xml:space="preserve">블로스터</x:t>
        </x:is>
      </x:c>
      <x:c r="C697" s="5" t="inlineStr">
        <x:is>
          <x:t xml:space="preserve">clawitzer</x:t>
        </x:is>
      </x:c>
      <x:c r="D697" s="5" t="n">
        <x:v>6</x:v>
      </x:c>
      <x:c r="E697" s="10" t="n">
        <x:f>SUM(XLOOKUP('포켓몬_편집'!$AF697:$AN697,'분류_규칙'!$A$5:$A$76,'분류_규칙'!$E$5:$E$76,0))</x:f>
        <x:v>0</x:v>
      </x:c>
      <x:c r="F697" s="10" t="n">
        <x:f>SUM(XLOOKUP('포켓몬_편집'!$AF697:$AN697,'분류_규칙'!$A$5:$A$76,'분류_규칙'!$F$5:$F$76,0))</x:f>
        <x:v>0</x:v>
      </x:c>
      <x:c r="G697" s="10" t="n">
        <x:f>SUM(XLOOKUP('포켓몬_편집'!$AF697:$AN697,'분류_규칙'!$A$5:$A$76,'분류_규칙'!$G$5:$G$76,0))</x:f>
        <x:v>0</x:v>
      </x:c>
      <x:c r="H697" s="10" t="n">
        <x:f>SUM(XLOOKUP('포켓몬_편집'!$AF697:$AN697,'분류_규칙'!$A$5:$A$76,'분류_규칙'!$H$5:$H$76,0))</x:f>
        <x:v>0</x:v>
      </x:c>
      <x:c r="I697" s="10" t="n">
        <x:f>SUM(XLOOKUP('포켓몬_편집'!$AF697:$AN697,'분류_규칙'!$A$5:$A$76,'분류_규칙'!$I$5:$I$76,0))</x:f>
        <x:v>0</x:v>
      </x:c>
      <x:c r="J697" s="10" t="n">
        <x:f>SUM(XLOOKUP('포켓몬_편집'!$AF697:$AN697,'분류_규칙'!$A$5:$A$76,'분류_규칙'!$J$5:$J$76,0))</x:f>
        <x:v>3</x:v>
      </x:c>
      <x:c r="K697" s="10" t="n">
        <x:f>SUM(XLOOKUP('포켓몬_편집'!$AF697:$AN697,'분류_규칙'!$A$5:$A$76,'분류_규칙'!$K$5:$K$76,0))</x:f>
        <x:v>0</x:v>
      </x:c>
      <x:c r="L697" s="10" t="n">
        <x:f>SUM(XLOOKUP('포켓몬_편집'!$AF697:$AN697,'분류_규칙'!$A$5:$A$76,'분류_규칙'!$L$5:$L$76,0))</x:f>
        <x:v>30</x:v>
      </x:c>
      <x:c r="M697" s="10" t="n">
        <x:f>SUM(XLOOKUP('포켓몬_편집'!$AF697:$AN697,'분류_규칙'!$A$5:$A$76,'분류_규칙'!$M$5:$M$76,0))</x:f>
        <x:v>0</x:v>
      </x:c>
      <x:c r="N697" s="10" t="n">
        <x:f>SUM(XLOOKUP('포켓몬_편집'!$AF697:$AN697,'분류_규칙'!$A$5:$A$76,'분류_규칙'!$N$5:$N$76,0))</x:f>
        <x:v>0</x:v>
      </x:c>
      <x:c r="O697" s="10" t="n">
        <x:f>SUM(XLOOKUP('포켓몬_편집'!$AF697:$AN697,'분류_규칙'!$A$5:$A$76,'분류_규칙'!$O$5:$O$76,0))</x:f>
        <x:v>0</x:v>
      </x:c>
      <x:c r="P697" s="10" t="n">
        <x:f>SUM(XLOOKUP('포켓몬_편집'!$AF697:$AN697,'분류_규칙'!$A$5:$A$76,'분류_규칙'!$P$5:$P$76,0))</x:f>
        <x:v>0</x:v>
      </x:c>
    </x:row>
    <x:row r="698" ht="22" customHeight="1">
      <x:c r="A698" s="5" t="n">
        <x:v>694</x:v>
      </x:c>
      <x:c r="B698" s="5" t="inlineStr">
        <x:is>
          <x:t xml:space="preserve">목도리키텔</x:t>
        </x:is>
      </x:c>
      <x:c r="C698" s="5" t="inlineStr">
        <x:is>
          <x:t xml:space="preserve">helioptile</x:t>
        </x:is>
      </x:c>
      <x:c r="D698" s="5" t="n">
        <x:v>6</x:v>
      </x:c>
      <x:c r="E698" s="10" t="n">
        <x:f>SUM(XLOOKUP('포켓몬_편집'!$AF698:$AN698,'분류_규칙'!$A$5:$A$76,'분류_규칙'!$E$5:$E$76,0))</x:f>
        <x:v>10</x:v>
      </x:c>
      <x:c r="F698" s="10" t="n">
        <x:f>SUM(XLOOKUP('포켓몬_편집'!$AF698:$AN698,'분류_규칙'!$A$5:$A$76,'분류_규칙'!$F$5:$F$76,0))</x:f>
        <x:v>7</x:v>
      </x:c>
      <x:c r="G698" s="10" t="n">
        <x:f>SUM(XLOOKUP('포켓몬_편집'!$AF698:$AN698,'분류_규칙'!$A$5:$A$76,'분류_규칙'!$G$5:$G$76,0))</x:f>
        <x:v>5</x:v>
      </x:c>
      <x:c r="H698" s="10" t="n">
        <x:f>SUM(XLOOKUP('포켓몬_편집'!$AF698:$AN698,'분류_규칙'!$A$5:$A$76,'분류_규칙'!$H$5:$H$76,0))</x:f>
        <x:v>5</x:v>
      </x:c>
      <x:c r="I698" s="10" t="n">
        <x:f>SUM(XLOOKUP('포켓몬_편집'!$AF698:$AN698,'분류_규칙'!$A$5:$A$76,'분류_규칙'!$I$5:$I$76,0))</x:f>
        <x:v>0</x:v>
      </x:c>
      <x:c r="J698" s="10" t="n">
        <x:f>SUM(XLOOKUP('포켓몬_편집'!$AF698:$AN698,'분류_규칙'!$A$5:$A$76,'분류_규칙'!$J$5:$J$76,0))</x:f>
        <x:v>2</x:v>
      </x:c>
      <x:c r="K698" s="10" t="n">
        <x:f>SUM(XLOOKUP('포켓몬_편집'!$AF698:$AN698,'분류_규칙'!$A$5:$A$76,'분류_규칙'!$K$5:$K$76,0))</x:f>
        <x:v>0</x:v>
      </x:c>
      <x:c r="L698" s="10" t="n">
        <x:f>SUM(XLOOKUP('포켓몬_편집'!$AF698:$AN698,'분류_규칙'!$A$5:$A$76,'분류_규칙'!$L$5:$L$76,0))</x:f>
        <x:v>0</x:v>
      </x:c>
      <x:c r="M698" s="10" t="n">
        <x:f>SUM(XLOOKUP('포켓몬_편집'!$AF698:$AN698,'분류_규칙'!$A$5:$A$76,'분류_규칙'!$M$5:$M$76,0))</x:f>
        <x:v>0</x:v>
      </x:c>
      <x:c r="N698" s="10" t="n">
        <x:f>SUM(XLOOKUP('포켓몬_편집'!$AF698:$AN698,'분류_규칙'!$A$5:$A$76,'분류_규칙'!$N$5:$N$76,0))</x:f>
        <x:v>0</x:v>
      </x:c>
      <x:c r="O698" s="10" t="n">
        <x:f>SUM(XLOOKUP('포켓몬_편집'!$AF698:$AN698,'분류_규칙'!$A$5:$A$76,'분류_규칙'!$O$5:$O$76,0))</x:f>
        <x:v>2</x:v>
      </x:c>
      <x:c r="P698" s="10" t="n">
        <x:f>SUM(XLOOKUP('포켓몬_편집'!$AF698:$AN698,'분류_규칙'!$A$5:$A$76,'분류_규칙'!$P$5:$P$76,0))</x:f>
        <x:v>0</x:v>
      </x:c>
    </x:row>
    <x:row r="699" ht="22" customHeight="1">
      <x:c r="A699" s="5" t="n">
        <x:v>695</x:v>
      </x:c>
      <x:c r="B699" s="5" t="inlineStr">
        <x:is>
          <x:t xml:space="preserve">일레도리자드</x:t>
        </x:is>
      </x:c>
      <x:c r="C699" s="5" t="inlineStr">
        <x:is>
          <x:t xml:space="preserve">heliolisk</x:t>
        </x:is>
      </x:c>
      <x:c r="D699" s="5" t="n">
        <x:v>6</x:v>
      </x:c>
      <x:c r="E699" s="10" t="n">
        <x:f>SUM(XLOOKUP('포켓몬_편집'!$AF699:$AN699,'분류_규칙'!$A$5:$A$76,'분류_규칙'!$E$5:$E$76,0))</x:f>
        <x:v>10</x:v>
      </x:c>
      <x:c r="F699" s="10" t="n">
        <x:f>SUM(XLOOKUP('포켓몬_편집'!$AF699:$AN699,'분류_규칙'!$A$5:$A$76,'분류_규칙'!$F$5:$F$76,0))</x:f>
        <x:v>7</x:v>
      </x:c>
      <x:c r="G699" s="10" t="n">
        <x:f>SUM(XLOOKUP('포켓몬_편집'!$AF699:$AN699,'분류_규칙'!$A$5:$A$76,'분류_규칙'!$G$5:$G$76,0))</x:f>
        <x:v>5</x:v>
      </x:c>
      <x:c r="H699" s="10" t="n">
        <x:f>SUM(XLOOKUP('포켓몬_편집'!$AF699:$AN699,'분류_규칙'!$A$5:$A$76,'분류_규칙'!$H$5:$H$76,0))</x:f>
        <x:v>5</x:v>
      </x:c>
      <x:c r="I699" s="10" t="n">
        <x:f>SUM(XLOOKUP('포켓몬_편집'!$AF699:$AN699,'분류_규칙'!$A$5:$A$76,'분류_규칙'!$I$5:$I$76,0))</x:f>
        <x:v>0</x:v>
      </x:c>
      <x:c r="J699" s="10" t="n">
        <x:f>SUM(XLOOKUP('포켓몬_편집'!$AF699:$AN699,'분류_규칙'!$A$5:$A$76,'분류_규칙'!$J$5:$J$76,0))</x:f>
        <x:v>2</x:v>
      </x:c>
      <x:c r="K699" s="10" t="n">
        <x:f>SUM(XLOOKUP('포켓몬_편집'!$AF699:$AN699,'분류_규칙'!$A$5:$A$76,'분류_규칙'!$K$5:$K$76,0))</x:f>
        <x:v>0</x:v>
      </x:c>
      <x:c r="L699" s="10" t="n">
        <x:f>SUM(XLOOKUP('포켓몬_편집'!$AF699:$AN699,'분류_규칙'!$A$5:$A$76,'분류_규칙'!$L$5:$L$76,0))</x:f>
        <x:v>0</x:v>
      </x:c>
      <x:c r="M699" s="10" t="n">
        <x:f>SUM(XLOOKUP('포켓몬_편집'!$AF699:$AN699,'분류_규칙'!$A$5:$A$76,'분류_규칙'!$M$5:$M$76,0))</x:f>
        <x:v>0</x:v>
      </x:c>
      <x:c r="N699" s="10" t="n">
        <x:f>SUM(XLOOKUP('포켓몬_편집'!$AF699:$AN699,'분류_규칙'!$A$5:$A$76,'분류_규칙'!$N$5:$N$76,0))</x:f>
        <x:v>0</x:v>
      </x:c>
      <x:c r="O699" s="10" t="n">
        <x:f>SUM(XLOOKUP('포켓몬_편집'!$AF699:$AN699,'분류_규칙'!$A$5:$A$76,'분류_규칙'!$O$5:$O$76,0))</x:f>
        <x:v>2</x:v>
      </x:c>
      <x:c r="P699" s="10" t="n">
        <x:f>SUM(XLOOKUP('포켓몬_편집'!$AF699:$AN699,'분류_규칙'!$A$5:$A$76,'분류_규칙'!$P$5:$P$76,0))</x:f>
        <x:v>0</x:v>
      </x:c>
    </x:row>
    <x:row r="700" ht="22" customHeight="1">
      <x:c r="A700" s="5" t="n">
        <x:v>696</x:v>
      </x:c>
      <x:c r="B700" s="5" t="inlineStr">
        <x:is>
          <x:t xml:space="preserve">티고라스</x:t>
        </x:is>
      </x:c>
      <x:c r="C700" s="5" t="inlineStr">
        <x:is>
          <x:t xml:space="preserve">tyrunt</x:t>
        </x:is>
      </x:c>
      <x:c r="D700" s="5" t="n">
        <x:v>6</x:v>
      </x:c>
      <x:c r="E700" s="10" t="n">
        <x:f>SUM(XLOOKUP('포켓몬_편집'!$AF700:$AN700,'분류_규칙'!$A$5:$A$76,'분류_규칙'!$E$5:$E$76,0))</x:f>
        <x:v>10</x:v>
      </x:c>
      <x:c r="F700" s="10" t="n">
        <x:f>SUM(XLOOKUP('포켓몬_편집'!$AF700:$AN700,'분류_규칙'!$A$5:$A$76,'분류_규칙'!$F$5:$F$76,0))</x:f>
        <x:v>7</x:v>
      </x:c>
      <x:c r="G700" s="10" t="n">
        <x:f>SUM(XLOOKUP('포켓몬_편집'!$AF700:$AN700,'분류_규칙'!$A$5:$A$76,'분류_규칙'!$G$5:$G$76,0))</x:f>
        <x:v>5</x:v>
      </x:c>
      <x:c r="H700" s="10" t="n">
        <x:f>SUM(XLOOKUP('포켓몬_편집'!$AF700:$AN700,'분류_규칙'!$A$5:$A$76,'분류_규칙'!$H$5:$H$76,0))</x:f>
        <x:v>5</x:v>
      </x:c>
      <x:c r="I700" s="10" t="n">
        <x:f>SUM(XLOOKUP('포켓몬_편집'!$AF700:$AN700,'분류_규칙'!$A$5:$A$76,'분류_규칙'!$I$5:$I$76,0))</x:f>
        <x:v>0</x:v>
      </x:c>
      <x:c r="J700" s="10" t="n">
        <x:f>SUM(XLOOKUP('포켓몬_편집'!$AF700:$AN700,'분류_규칙'!$A$5:$A$76,'분류_규칙'!$J$5:$J$76,0))</x:f>
        <x:v>2</x:v>
      </x:c>
      <x:c r="K700" s="10" t="n">
        <x:f>SUM(XLOOKUP('포켓몬_편집'!$AF700:$AN700,'분류_규칙'!$A$5:$A$76,'분류_규칙'!$K$5:$K$76,0))</x:f>
        <x:v>0</x:v>
      </x:c>
      <x:c r="L700" s="10" t="n">
        <x:f>SUM(XLOOKUP('포켓몬_편집'!$AF700:$AN700,'분류_규칙'!$A$5:$A$76,'분류_규칙'!$L$5:$L$76,0))</x:f>
        <x:v>0</x:v>
      </x:c>
      <x:c r="M700" s="10" t="n">
        <x:f>SUM(XLOOKUP('포켓몬_편집'!$AF700:$AN700,'분류_규칙'!$A$5:$A$76,'분류_규칙'!$M$5:$M$76,0))</x:f>
        <x:v>0</x:v>
      </x:c>
      <x:c r="N700" s="10" t="n">
        <x:f>SUM(XLOOKUP('포켓몬_편집'!$AF700:$AN700,'분류_규칙'!$A$5:$A$76,'분류_규칙'!$N$5:$N$76,0))</x:f>
        <x:v>0</x:v>
      </x:c>
      <x:c r="O700" s="10" t="n">
        <x:f>SUM(XLOOKUP('포켓몬_편집'!$AF700:$AN700,'분류_규칙'!$A$5:$A$76,'분류_규칙'!$O$5:$O$76,0))</x:f>
        <x:v>2</x:v>
      </x:c>
      <x:c r="P700" s="10" t="n">
        <x:f>SUM(XLOOKUP('포켓몬_편집'!$AF700:$AN700,'분류_규칙'!$A$5:$A$76,'분류_규칙'!$P$5:$P$76,0))</x:f>
        <x:v>0</x:v>
      </x:c>
    </x:row>
    <x:row r="701" ht="22" customHeight="1">
      <x:c r="A701" s="5" t="n">
        <x:v>697</x:v>
      </x:c>
      <x:c r="B701" s="5" t="inlineStr">
        <x:is>
          <x:t xml:space="preserve">견고라스</x:t>
        </x:is>
      </x:c>
      <x:c r="C701" s="5" t="inlineStr">
        <x:is>
          <x:t xml:space="preserve">tyrantrum</x:t>
        </x:is>
      </x:c>
      <x:c r="D701" s="5" t="n">
        <x:v>6</x:v>
      </x:c>
      <x:c r="E701" s="10" t="n">
        <x:f>SUM(XLOOKUP('포켓몬_편집'!$AF701:$AN701,'분류_규칙'!$A$5:$A$76,'분류_규칙'!$E$5:$E$76,0))</x:f>
        <x:v>10</x:v>
      </x:c>
      <x:c r="F701" s="10" t="n">
        <x:f>SUM(XLOOKUP('포켓몬_편집'!$AF701:$AN701,'분류_규칙'!$A$5:$A$76,'분류_규칙'!$F$5:$F$76,0))</x:f>
        <x:v>7</x:v>
      </x:c>
      <x:c r="G701" s="10" t="n">
        <x:f>SUM(XLOOKUP('포켓몬_편집'!$AF701:$AN701,'분류_규칙'!$A$5:$A$76,'분류_규칙'!$G$5:$G$76,0))</x:f>
        <x:v>5</x:v>
      </x:c>
      <x:c r="H701" s="10" t="n">
        <x:f>SUM(XLOOKUP('포켓몬_편집'!$AF701:$AN701,'분류_규칙'!$A$5:$A$76,'분류_규칙'!$H$5:$H$76,0))</x:f>
        <x:v>5</x:v>
      </x:c>
      <x:c r="I701" s="10" t="n">
        <x:f>SUM(XLOOKUP('포켓몬_편집'!$AF701:$AN701,'분류_규칙'!$A$5:$A$76,'분류_규칙'!$I$5:$I$76,0))</x:f>
        <x:v>0</x:v>
      </x:c>
      <x:c r="J701" s="10" t="n">
        <x:f>SUM(XLOOKUP('포켓몬_편집'!$AF701:$AN701,'분류_규칙'!$A$5:$A$76,'분류_규칙'!$J$5:$J$76,0))</x:f>
        <x:v>2</x:v>
      </x:c>
      <x:c r="K701" s="10" t="n">
        <x:f>SUM(XLOOKUP('포켓몬_편집'!$AF701:$AN701,'분류_규칙'!$A$5:$A$76,'분류_규칙'!$K$5:$K$76,0))</x:f>
        <x:v>0</x:v>
      </x:c>
      <x:c r="L701" s="10" t="n">
        <x:f>SUM(XLOOKUP('포켓몬_편집'!$AF701:$AN701,'분류_규칙'!$A$5:$A$76,'분류_규칙'!$L$5:$L$76,0))</x:f>
        <x:v>0</x:v>
      </x:c>
      <x:c r="M701" s="10" t="n">
        <x:f>SUM(XLOOKUP('포켓몬_편집'!$AF701:$AN701,'분류_규칙'!$A$5:$A$76,'분류_규칙'!$M$5:$M$76,0))</x:f>
        <x:v>0</x:v>
      </x:c>
      <x:c r="N701" s="10" t="n">
        <x:f>SUM(XLOOKUP('포켓몬_편집'!$AF701:$AN701,'분류_규칙'!$A$5:$A$76,'분류_규칙'!$N$5:$N$76,0))</x:f>
        <x:v>0</x:v>
      </x:c>
      <x:c r="O701" s="10" t="n">
        <x:f>SUM(XLOOKUP('포켓몬_편집'!$AF701:$AN701,'분류_규칙'!$A$5:$A$76,'분류_규칙'!$O$5:$O$76,0))</x:f>
        <x:v>2</x:v>
      </x:c>
      <x:c r="P701" s="10" t="n">
        <x:f>SUM(XLOOKUP('포켓몬_편집'!$AF701:$AN701,'분류_규칙'!$A$5:$A$76,'분류_규칙'!$P$5:$P$76,0))</x:f>
        <x:v>0</x:v>
      </x:c>
    </x:row>
    <x:row r="702" ht="22" customHeight="1">
      <x:c r="A702" s="5" t="n">
        <x:v>698</x:v>
      </x:c>
      <x:c r="B702" s="5" t="inlineStr">
        <x:is>
          <x:t xml:space="preserve">아마루스</x:t>
        </x:is>
      </x:c>
      <x:c r="C702" s="5" t="inlineStr">
        <x:is>
          <x:t xml:space="preserve">amaura</x:t>
        </x:is>
      </x:c>
      <x:c r="D702" s="5" t="n">
        <x:v>6</x:v>
      </x:c>
      <x:c r="E702" s="10" t="n">
        <x:f>SUM(XLOOKUP('포켓몬_편집'!$AF702:$AN702,'분류_규칙'!$A$5:$A$76,'분류_규칙'!$E$5:$E$76,0))</x:f>
        <x:v>10</x:v>
      </x:c>
      <x:c r="F702" s="10" t="n">
        <x:f>SUM(XLOOKUP('포켓몬_편집'!$AF702:$AN702,'분류_규칙'!$A$5:$A$76,'분류_규칙'!$F$5:$F$76,0))</x:f>
        <x:v>7</x:v>
      </x:c>
      <x:c r="G702" s="10" t="n">
        <x:f>SUM(XLOOKUP('포켓몬_편집'!$AF702:$AN702,'분류_규칙'!$A$5:$A$76,'분류_규칙'!$G$5:$G$76,0))</x:f>
        <x:v>5</x:v>
      </x:c>
      <x:c r="H702" s="10" t="n">
        <x:f>SUM(XLOOKUP('포켓몬_편집'!$AF702:$AN702,'분류_규칙'!$A$5:$A$76,'분류_규칙'!$H$5:$H$76,0))</x:f>
        <x:v>5</x:v>
      </x:c>
      <x:c r="I702" s="10" t="n">
        <x:f>SUM(XLOOKUP('포켓몬_편집'!$AF702:$AN702,'분류_규칙'!$A$5:$A$76,'분류_규칙'!$I$5:$I$76,0))</x:f>
        <x:v>0</x:v>
      </x:c>
      <x:c r="J702" s="10" t="n">
        <x:f>SUM(XLOOKUP('포켓몬_편집'!$AF702:$AN702,'분류_규칙'!$A$5:$A$76,'분류_규칙'!$J$5:$J$76,0))</x:f>
        <x:v>2</x:v>
      </x:c>
      <x:c r="K702" s="10" t="n">
        <x:f>SUM(XLOOKUP('포켓몬_편집'!$AF702:$AN702,'분류_규칙'!$A$5:$A$76,'분류_규칙'!$K$5:$K$76,0))</x:f>
        <x:v>0</x:v>
      </x:c>
      <x:c r="L702" s="10" t="n">
        <x:f>SUM(XLOOKUP('포켓몬_편집'!$AF702:$AN702,'분류_규칙'!$A$5:$A$76,'분류_규칙'!$L$5:$L$76,0))</x:f>
        <x:v>0</x:v>
      </x:c>
      <x:c r="M702" s="10" t="n">
        <x:f>SUM(XLOOKUP('포켓몬_편집'!$AF702:$AN702,'분류_규칙'!$A$5:$A$76,'분류_규칙'!$M$5:$M$76,0))</x:f>
        <x:v>0</x:v>
      </x:c>
      <x:c r="N702" s="10" t="n">
        <x:f>SUM(XLOOKUP('포켓몬_편집'!$AF702:$AN702,'분류_규칙'!$A$5:$A$76,'분류_규칙'!$N$5:$N$76,0))</x:f>
        <x:v>0</x:v>
      </x:c>
      <x:c r="O702" s="10" t="n">
        <x:f>SUM(XLOOKUP('포켓몬_편집'!$AF702:$AN702,'분류_규칙'!$A$5:$A$76,'분류_규칙'!$O$5:$O$76,0))</x:f>
        <x:v>2</x:v>
      </x:c>
      <x:c r="P702" s="10" t="n">
        <x:f>SUM(XLOOKUP('포켓몬_편집'!$AF702:$AN702,'분류_규칙'!$A$5:$A$76,'분류_규칙'!$P$5:$P$76,0))</x:f>
        <x:v>0</x:v>
      </x:c>
    </x:row>
    <x:row r="703" ht="22" customHeight="1">
      <x:c r="A703" s="5" t="n">
        <x:v>699</x:v>
      </x:c>
      <x:c r="B703" s="5" t="inlineStr">
        <x:is>
          <x:t xml:space="preserve">아마루르가</x:t>
        </x:is>
      </x:c>
      <x:c r="C703" s="5" t="inlineStr">
        <x:is>
          <x:t xml:space="preserve">aurorus</x:t>
        </x:is>
      </x:c>
      <x:c r="D703" s="5" t="n">
        <x:v>6</x:v>
      </x:c>
      <x:c r="E703" s="10" t="n">
        <x:f>SUM(XLOOKUP('포켓몬_편집'!$AF703:$AN703,'분류_규칙'!$A$5:$A$76,'분류_규칙'!$E$5:$E$76,0))</x:f>
        <x:v>10</x:v>
      </x:c>
      <x:c r="F703" s="10" t="n">
        <x:f>SUM(XLOOKUP('포켓몬_편집'!$AF703:$AN703,'분류_규칙'!$A$5:$A$76,'분류_규칙'!$F$5:$F$76,0))</x:f>
        <x:v>7</x:v>
      </x:c>
      <x:c r="G703" s="10" t="n">
        <x:f>SUM(XLOOKUP('포켓몬_편집'!$AF703:$AN703,'분류_규칙'!$A$5:$A$76,'분류_규칙'!$G$5:$G$76,0))</x:f>
        <x:v>5</x:v>
      </x:c>
      <x:c r="H703" s="10" t="n">
        <x:f>SUM(XLOOKUP('포켓몬_편집'!$AF703:$AN703,'분류_규칙'!$A$5:$A$76,'분류_규칙'!$H$5:$H$76,0))</x:f>
        <x:v>5</x:v>
      </x:c>
      <x:c r="I703" s="10" t="n">
        <x:f>SUM(XLOOKUP('포켓몬_편집'!$AF703:$AN703,'분류_규칙'!$A$5:$A$76,'분류_규칙'!$I$5:$I$76,0))</x:f>
        <x:v>0</x:v>
      </x:c>
      <x:c r="J703" s="10" t="n">
        <x:f>SUM(XLOOKUP('포켓몬_편집'!$AF703:$AN703,'분류_규칙'!$A$5:$A$76,'분류_규칙'!$J$5:$J$76,0))</x:f>
        <x:v>2</x:v>
      </x:c>
      <x:c r="K703" s="10" t="n">
        <x:f>SUM(XLOOKUP('포켓몬_편집'!$AF703:$AN703,'분류_규칙'!$A$5:$A$76,'분류_규칙'!$K$5:$K$76,0))</x:f>
        <x:v>0</x:v>
      </x:c>
      <x:c r="L703" s="10" t="n">
        <x:f>SUM(XLOOKUP('포켓몬_편집'!$AF703:$AN703,'분류_규칙'!$A$5:$A$76,'분류_규칙'!$L$5:$L$76,0))</x:f>
        <x:v>0</x:v>
      </x:c>
      <x:c r="M703" s="10" t="n">
        <x:f>SUM(XLOOKUP('포켓몬_편집'!$AF703:$AN703,'분류_규칙'!$A$5:$A$76,'분류_규칙'!$M$5:$M$76,0))</x:f>
        <x:v>0</x:v>
      </x:c>
      <x:c r="N703" s="10" t="n">
        <x:f>SUM(XLOOKUP('포켓몬_편집'!$AF703:$AN703,'분류_규칙'!$A$5:$A$76,'분류_규칙'!$N$5:$N$76,0))</x:f>
        <x:v>0</x:v>
      </x:c>
      <x:c r="O703" s="10" t="n">
        <x:f>SUM(XLOOKUP('포켓몬_편집'!$AF703:$AN703,'분류_규칙'!$A$5:$A$76,'분류_규칙'!$O$5:$O$76,0))</x:f>
        <x:v>2</x:v>
      </x:c>
      <x:c r="P703" s="10" t="n">
        <x:f>SUM(XLOOKUP('포켓몬_편집'!$AF703:$AN703,'분류_규칙'!$A$5:$A$76,'분류_규칙'!$P$5:$P$76,0))</x:f>
        <x:v>0</x:v>
      </x:c>
    </x:row>
    <x:row r="704" ht="22" customHeight="1">
      <x:c r="A704" s="5" t="n">
        <x:v>700</x:v>
      </x:c>
      <x:c r="B704" s="5" t="inlineStr">
        <x:is>
          <x:t xml:space="preserve">님피아</x:t>
        </x:is>
      </x:c>
      <x:c r="C704" s="5" t="inlineStr">
        <x:is>
          <x:t xml:space="preserve">sylveon</x:t>
        </x:is>
      </x:c>
      <x:c r="D704" s="5" t="n">
        <x:v>6</x:v>
      </x:c>
      <x:c r="E704" s="10" t="n">
        <x:f>SUM(XLOOKUP('포켓몬_편집'!$AF704:$AN704,'분류_규칙'!$A$5:$A$76,'분류_규칙'!$E$5:$E$76,0))</x:f>
        <x:v>10</x:v>
      </x:c>
      <x:c r="F704" s="10" t="n">
        <x:f>SUM(XLOOKUP('포켓몬_편집'!$AF704:$AN704,'분류_규칙'!$A$5:$A$76,'분류_규칙'!$F$5:$F$76,0))</x:f>
        <x:v>7</x:v>
      </x:c>
      <x:c r="G704" s="10" t="n">
        <x:f>SUM(XLOOKUP('포켓몬_편집'!$AF704:$AN704,'분류_규칙'!$A$5:$A$76,'분류_규칙'!$G$5:$G$76,0))</x:f>
        <x:v>5</x:v>
      </x:c>
      <x:c r="H704" s="10" t="n">
        <x:f>SUM(XLOOKUP('포켓몬_편집'!$AF704:$AN704,'분류_규칙'!$A$5:$A$76,'분류_규칙'!$H$5:$H$76,0))</x:f>
        <x:v>5</x:v>
      </x:c>
      <x:c r="I704" s="10" t="n">
        <x:f>SUM(XLOOKUP('포켓몬_편집'!$AF704:$AN704,'분류_규칙'!$A$5:$A$76,'분류_규칙'!$I$5:$I$76,0))</x:f>
        <x:v>0</x:v>
      </x:c>
      <x:c r="J704" s="10" t="n">
        <x:f>SUM(XLOOKUP('포켓몬_편집'!$AF704:$AN704,'분류_규칙'!$A$5:$A$76,'분류_규칙'!$J$5:$J$76,0))</x:f>
        <x:v>2</x:v>
      </x:c>
      <x:c r="K704" s="10" t="n">
        <x:f>SUM(XLOOKUP('포켓몬_편집'!$AF704:$AN704,'분류_규칙'!$A$5:$A$76,'분류_규칙'!$K$5:$K$76,0))</x:f>
        <x:v>0</x:v>
      </x:c>
      <x:c r="L704" s="10" t="n">
        <x:f>SUM(XLOOKUP('포켓몬_편집'!$AF704:$AN704,'분류_규칙'!$A$5:$A$76,'분류_규칙'!$L$5:$L$76,0))</x:f>
        <x:v>0</x:v>
      </x:c>
      <x:c r="M704" s="10" t="n">
        <x:f>SUM(XLOOKUP('포켓몬_편집'!$AF704:$AN704,'분류_규칙'!$A$5:$A$76,'분류_규칙'!$M$5:$M$76,0))</x:f>
        <x:v>0</x:v>
      </x:c>
      <x:c r="N704" s="10" t="n">
        <x:f>SUM(XLOOKUP('포켓몬_편집'!$AF704:$AN704,'분류_규칙'!$A$5:$A$76,'분류_규칙'!$N$5:$N$76,0))</x:f>
        <x:v>0</x:v>
      </x:c>
      <x:c r="O704" s="10" t="n">
        <x:f>SUM(XLOOKUP('포켓몬_편집'!$AF704:$AN704,'분류_규칙'!$A$5:$A$76,'분류_규칙'!$O$5:$O$76,0))</x:f>
        <x:v>2</x:v>
      </x:c>
      <x:c r="P704" s="10" t="n">
        <x:f>SUM(XLOOKUP('포켓몬_편집'!$AF704:$AN704,'분류_규칙'!$A$5:$A$76,'분류_규칙'!$P$5:$P$76,0))</x:f>
        <x:v>0</x:v>
      </x:c>
    </x:row>
    <x:row r="705" ht="22" customHeight="1">
      <x:c r="A705" s="5" t="n">
        <x:v>701</x:v>
      </x:c>
      <x:c r="B705" s="5" t="inlineStr">
        <x:is>
          <x:t xml:space="preserve">루차불</x:t>
        </x:is>
      </x:c>
      <x:c r="C705" s="5" t="inlineStr">
        <x:is>
          <x:t xml:space="preserve">hawlucha</x:t>
        </x:is>
      </x:c>
      <x:c r="D705" s="5" t="n">
        <x:v>6</x:v>
      </x:c>
      <x:c r="E705" s="10" t="n">
        <x:f>SUM(XLOOKUP('포켓몬_편집'!$AF705:$AN705,'분류_규칙'!$A$5:$A$76,'분류_규칙'!$E$5:$E$76,0))</x:f>
        <x:v>8</x:v>
      </x:c>
      <x:c r="F705" s="10" t="n">
        <x:f>SUM(XLOOKUP('포켓몬_편집'!$AF705:$AN705,'분류_규칙'!$A$5:$A$76,'분류_규칙'!$F$5:$F$76,0))</x:f>
        <x:v>8</x:v>
      </x:c>
      <x:c r="G705" s="10" t="n">
        <x:f>SUM(XLOOKUP('포켓몬_편집'!$AF705:$AN705,'분류_규칙'!$A$5:$A$76,'분류_규칙'!$G$5:$G$76,0))</x:f>
        <x:v>0</x:v>
      </x:c>
      <x:c r="H705" s="10" t="n">
        <x:f>SUM(XLOOKUP('포켓몬_편집'!$AF705:$AN705,'분류_규칙'!$A$5:$A$76,'분류_규칙'!$H$5:$H$76,0))</x:f>
        <x:v>12</x:v>
      </x:c>
      <x:c r="I705" s="10" t="n">
        <x:f>SUM(XLOOKUP('포켓몬_편집'!$AF705:$AN705,'분류_규칙'!$A$5:$A$76,'분류_규칙'!$I$5:$I$76,0))</x:f>
        <x:v>0</x:v>
      </x:c>
      <x:c r="J705" s="10" t="n">
        <x:f>SUM(XLOOKUP('포켓몬_편집'!$AF705:$AN705,'분류_규칙'!$A$5:$A$76,'분류_규칙'!$J$5:$J$76,0))</x:f>
        <x:v>0</x:v>
      </x:c>
      <x:c r="K705" s="10" t="n">
        <x:f>SUM(XLOOKUP('포켓몬_편집'!$AF705:$AN705,'분류_규칙'!$A$5:$A$76,'분류_규칙'!$K$5:$K$76,0))</x:f>
        <x:v>0</x:v>
      </x:c>
      <x:c r="L705" s="10" t="n">
        <x:f>SUM(XLOOKUP('포켓몬_편집'!$AF705:$AN705,'분류_규칙'!$A$5:$A$76,'분류_규칙'!$L$5:$L$76,0))</x:f>
        <x:v>3</x:v>
      </x:c>
      <x:c r="M705" s="10" t="n">
        <x:f>SUM(XLOOKUP('포켓몬_편집'!$AF705:$AN705,'분류_규칙'!$A$5:$A$76,'분류_규칙'!$M$5:$M$76,0))</x:f>
        <x:v>0</x:v>
      </x:c>
      <x:c r="N705" s="10" t="n">
        <x:f>SUM(XLOOKUP('포켓몬_편집'!$AF705:$AN705,'분류_규칙'!$A$5:$A$76,'분류_규칙'!$N$5:$N$76,0))</x:f>
        <x:v>0</x:v>
      </x:c>
      <x:c r="O705" s="10" t="n">
        <x:f>SUM(XLOOKUP('포켓몬_편집'!$AF705:$AN705,'분류_규칙'!$A$5:$A$76,'분류_규칙'!$O$5:$O$76,0))</x:f>
        <x:v>2</x:v>
      </x:c>
      <x:c r="P705" s="10" t="n">
        <x:f>SUM(XLOOKUP('포켓몬_편집'!$AF705:$AN705,'분류_규칙'!$A$5:$A$76,'분류_규칙'!$P$5:$P$76,0))</x:f>
        <x:v>0</x:v>
      </x:c>
    </x:row>
    <x:row r="706" ht="22" customHeight="1">
      <x:c r="A706" s="5" t="n">
        <x:v>702</x:v>
      </x:c>
      <x:c r="B706" s="5" t="inlineStr">
        <x:is>
          <x:t xml:space="preserve">데덴네</x:t>
        </x:is>
      </x:c>
      <x:c r="C706" s="5" t="inlineStr">
        <x:is>
          <x:t xml:space="preserve">dedenne</x:t>
        </x:is>
      </x:c>
      <x:c r="D706" s="5" t="n">
        <x:v>6</x:v>
      </x:c>
      <x:c r="E706" s="10" t="n">
        <x:f>SUM(XLOOKUP('포켓몬_편집'!$AF706:$AN706,'분류_규칙'!$A$5:$A$76,'분류_규칙'!$E$5:$E$76,0))</x:f>
        <x:v>10</x:v>
      </x:c>
      <x:c r="F706" s="10" t="n">
        <x:f>SUM(XLOOKUP('포켓몬_편집'!$AF706:$AN706,'분류_규칙'!$A$5:$A$76,'분류_규칙'!$F$5:$F$76,0))</x:f>
        <x:v>7</x:v>
      </x:c>
      <x:c r="G706" s="10" t="n">
        <x:f>SUM(XLOOKUP('포켓몬_편집'!$AF706:$AN706,'분류_규칙'!$A$5:$A$76,'분류_규칙'!$G$5:$G$76,0))</x:f>
        <x:v>5</x:v>
      </x:c>
      <x:c r="H706" s="10" t="n">
        <x:f>SUM(XLOOKUP('포켓몬_편집'!$AF706:$AN706,'분류_규칙'!$A$5:$A$76,'분류_규칙'!$H$5:$H$76,0))</x:f>
        <x:v>5</x:v>
      </x:c>
      <x:c r="I706" s="10" t="n">
        <x:f>SUM(XLOOKUP('포켓몬_편집'!$AF706:$AN706,'분류_규칙'!$A$5:$A$76,'분류_규칙'!$I$5:$I$76,0))</x:f>
        <x:v>0</x:v>
      </x:c>
      <x:c r="J706" s="10" t="n">
        <x:f>SUM(XLOOKUP('포켓몬_편집'!$AF706:$AN706,'분류_규칙'!$A$5:$A$76,'분류_규칙'!$J$5:$J$76,0))</x:f>
        <x:v>2</x:v>
      </x:c>
      <x:c r="K706" s="10" t="n">
        <x:f>SUM(XLOOKUP('포켓몬_편집'!$AF706:$AN706,'분류_규칙'!$A$5:$A$76,'분류_규칙'!$K$5:$K$76,0))</x:f>
        <x:v>0</x:v>
      </x:c>
      <x:c r="L706" s="10" t="n">
        <x:f>SUM(XLOOKUP('포켓몬_편집'!$AF706:$AN706,'분류_규칙'!$A$5:$A$76,'분류_규칙'!$L$5:$L$76,0))</x:f>
        <x:v>0</x:v>
      </x:c>
      <x:c r="M706" s="10" t="n">
        <x:f>SUM(XLOOKUP('포켓몬_편집'!$AF706:$AN706,'분류_규칙'!$A$5:$A$76,'분류_규칙'!$M$5:$M$76,0))</x:f>
        <x:v>0</x:v>
      </x:c>
      <x:c r="N706" s="10" t="n">
        <x:f>SUM(XLOOKUP('포켓몬_편집'!$AF706:$AN706,'분류_규칙'!$A$5:$A$76,'분류_규칙'!$N$5:$N$76,0))</x:f>
        <x:v>0</x:v>
      </x:c>
      <x:c r="O706" s="10" t="n">
        <x:f>SUM(XLOOKUP('포켓몬_편집'!$AF706:$AN706,'분류_규칙'!$A$5:$A$76,'분류_규칙'!$O$5:$O$76,0))</x:f>
        <x:v>2</x:v>
      </x:c>
      <x:c r="P706" s="10" t="n">
        <x:f>SUM(XLOOKUP('포켓몬_편집'!$AF706:$AN706,'분류_규칙'!$A$5:$A$76,'분류_규칙'!$P$5:$P$76,0))</x:f>
        <x:v>0</x:v>
      </x:c>
    </x:row>
    <x:row r="707" ht="22" customHeight="1">
      <x:c r="A707" s="5" t="n">
        <x:v>703</x:v>
      </x:c>
      <x:c r="B707" s="5" t="inlineStr">
        <x:is>
          <x:t xml:space="preserve">멜리시</x:t>
        </x:is>
      </x:c>
      <x:c r="C707" s="5" t="inlineStr">
        <x:is>
          <x:t xml:space="preserve">carbink</x:t>
        </x:is>
      </x:c>
      <x:c r="D707" s="5" t="n">
        <x:v>6</x:v>
      </x:c>
      <x:c r="E707" s="10" t="n">
        <x:f>SUM(XLOOKUP('포켓몬_편집'!$AF707:$AN707,'분류_규칙'!$A$5:$A$76,'분류_규칙'!$E$5:$E$76,0))</x:f>
        <x:v>8</x:v>
      </x:c>
      <x:c r="F707" s="10" t="n">
        <x:f>SUM(XLOOKUP('포켓몬_편집'!$AF707:$AN707,'분류_규칙'!$A$5:$A$76,'분류_규칙'!$F$5:$F$76,0))</x:f>
        <x:v>8</x:v>
      </x:c>
      <x:c r="G707" s="10" t="n">
        <x:f>SUM(XLOOKUP('포켓몬_편집'!$AF707:$AN707,'분류_규칙'!$A$5:$A$76,'분류_규칙'!$G$5:$G$76,0))</x:f>
        <x:v>0</x:v>
      </x:c>
      <x:c r="H707" s="10" t="n">
        <x:f>SUM(XLOOKUP('포켓몬_편집'!$AF707:$AN707,'분류_규칙'!$A$5:$A$76,'분류_규칙'!$H$5:$H$76,0))</x:f>
        <x:v>12</x:v>
      </x:c>
      <x:c r="I707" s="10" t="n">
        <x:f>SUM(XLOOKUP('포켓몬_편집'!$AF707:$AN707,'분류_규칙'!$A$5:$A$76,'분류_규칙'!$I$5:$I$76,0))</x:f>
        <x:v>0</x:v>
      </x:c>
      <x:c r="J707" s="10" t="n">
        <x:f>SUM(XLOOKUP('포켓몬_편집'!$AF707:$AN707,'분류_규칙'!$A$5:$A$76,'분류_규칙'!$J$5:$J$76,0))</x:f>
        <x:v>0</x:v>
      </x:c>
      <x:c r="K707" s="10" t="n">
        <x:f>SUM(XLOOKUP('포켓몬_편집'!$AF707:$AN707,'분류_규칙'!$A$5:$A$76,'분류_규칙'!$K$5:$K$76,0))</x:f>
        <x:v>0</x:v>
      </x:c>
      <x:c r="L707" s="10" t="n">
        <x:f>SUM(XLOOKUP('포켓몬_편집'!$AF707:$AN707,'분류_규칙'!$A$5:$A$76,'분류_규칙'!$L$5:$L$76,0))</x:f>
        <x:v>3</x:v>
      </x:c>
      <x:c r="M707" s="10" t="n">
        <x:f>SUM(XLOOKUP('포켓몬_편집'!$AF707:$AN707,'분류_규칙'!$A$5:$A$76,'분류_규칙'!$M$5:$M$76,0))</x:f>
        <x:v>0</x:v>
      </x:c>
      <x:c r="N707" s="10" t="n">
        <x:f>SUM(XLOOKUP('포켓몬_편집'!$AF707:$AN707,'분류_규칙'!$A$5:$A$76,'분류_규칙'!$N$5:$N$76,0))</x:f>
        <x:v>0</x:v>
      </x:c>
      <x:c r="O707" s="10" t="n">
        <x:f>SUM(XLOOKUP('포켓몬_편집'!$AF707:$AN707,'분류_규칙'!$A$5:$A$76,'분류_규칙'!$O$5:$O$76,0))</x:f>
        <x:v>2</x:v>
      </x:c>
      <x:c r="P707" s="10" t="n">
        <x:f>SUM(XLOOKUP('포켓몬_편집'!$AF707:$AN707,'분류_규칙'!$A$5:$A$76,'분류_규칙'!$P$5:$P$76,0))</x:f>
        <x:v>0</x:v>
      </x:c>
    </x:row>
    <x:row r="708" ht="22" customHeight="1">
      <x:c r="A708" s="5" t="n">
        <x:v>704</x:v>
      </x:c>
      <x:c r="B708" s="5" t="inlineStr">
        <x:is>
          <x:t xml:space="preserve">미끄메라</x:t>
        </x:is>
      </x:c>
      <x:c r="C708" s="5" t="inlineStr">
        <x:is>
          <x:t xml:space="preserve">goomy</x:t>
        </x:is>
      </x:c>
      <x:c r="D708" s="5" t="n">
        <x:v>6</x:v>
      </x:c>
      <x:c r="E708" s="10" t="n">
        <x:f>SUM(XLOOKUP('포켓몬_편집'!$AF708:$AN708,'분류_규칙'!$A$5:$A$76,'분류_규칙'!$E$5:$E$76,0))</x:f>
        <x:v>10</x:v>
      </x:c>
      <x:c r="F708" s="10" t="n">
        <x:f>SUM(XLOOKUP('포켓몬_편집'!$AF708:$AN708,'분류_규칙'!$A$5:$A$76,'분류_규칙'!$F$5:$F$76,0))</x:f>
        <x:v>7</x:v>
      </x:c>
      <x:c r="G708" s="10" t="n">
        <x:f>SUM(XLOOKUP('포켓몬_편집'!$AF708:$AN708,'분류_규칙'!$A$5:$A$76,'분류_규칙'!$G$5:$G$76,0))</x:f>
        <x:v>5</x:v>
      </x:c>
      <x:c r="H708" s="10" t="n">
        <x:f>SUM(XLOOKUP('포켓몬_편집'!$AF708:$AN708,'분류_규칙'!$A$5:$A$76,'분류_규칙'!$H$5:$H$76,0))</x:f>
        <x:v>5</x:v>
      </x:c>
      <x:c r="I708" s="10" t="n">
        <x:f>SUM(XLOOKUP('포켓몬_편집'!$AF708:$AN708,'분류_규칙'!$A$5:$A$76,'분류_규칙'!$I$5:$I$76,0))</x:f>
        <x:v>0</x:v>
      </x:c>
      <x:c r="J708" s="10" t="n">
        <x:f>SUM(XLOOKUP('포켓몬_편집'!$AF708:$AN708,'분류_규칙'!$A$5:$A$76,'분류_규칙'!$J$5:$J$76,0))</x:f>
        <x:v>2</x:v>
      </x:c>
      <x:c r="K708" s="10" t="n">
        <x:f>SUM(XLOOKUP('포켓몬_편집'!$AF708:$AN708,'분류_규칙'!$A$5:$A$76,'분류_규칙'!$K$5:$K$76,0))</x:f>
        <x:v>0</x:v>
      </x:c>
      <x:c r="L708" s="10" t="n">
        <x:f>SUM(XLOOKUP('포켓몬_편집'!$AF708:$AN708,'분류_규칙'!$A$5:$A$76,'분류_규칙'!$L$5:$L$76,0))</x:f>
        <x:v>0</x:v>
      </x:c>
      <x:c r="M708" s="10" t="n">
        <x:f>SUM(XLOOKUP('포켓몬_편집'!$AF708:$AN708,'분류_규칙'!$A$5:$A$76,'분류_규칙'!$M$5:$M$76,0))</x:f>
        <x:v>0</x:v>
      </x:c>
      <x:c r="N708" s="10" t="n">
        <x:f>SUM(XLOOKUP('포켓몬_편집'!$AF708:$AN708,'분류_규칙'!$A$5:$A$76,'분류_규칙'!$N$5:$N$76,0))</x:f>
        <x:v>0</x:v>
      </x:c>
      <x:c r="O708" s="10" t="n">
        <x:f>SUM(XLOOKUP('포켓몬_편집'!$AF708:$AN708,'분류_규칙'!$A$5:$A$76,'분류_규칙'!$O$5:$O$76,0))</x:f>
        <x:v>2</x:v>
      </x:c>
      <x:c r="P708" s="10" t="n">
        <x:f>SUM(XLOOKUP('포켓몬_편집'!$AF708:$AN708,'분류_규칙'!$A$5:$A$76,'분류_규칙'!$P$5:$P$76,0))</x:f>
        <x:v>0</x:v>
      </x:c>
    </x:row>
    <x:row r="709" ht="22" customHeight="1">
      <x:c r="A709" s="5" t="n">
        <x:v>705</x:v>
      </x:c>
      <x:c r="B709" s="5" t="inlineStr">
        <x:is>
          <x:t xml:space="preserve">미끄네일</x:t>
        </x:is>
      </x:c>
      <x:c r="C709" s="5" t="inlineStr">
        <x:is>
          <x:t xml:space="preserve">sliggoo</x:t>
        </x:is>
      </x:c>
      <x:c r="D709" s="5" t="n">
        <x:v>6</x:v>
      </x:c>
      <x:c r="E709" s="10" t="n">
        <x:f>SUM(XLOOKUP('포켓몬_편집'!$AF709:$AN709,'분류_규칙'!$A$5:$A$76,'분류_규칙'!$E$5:$E$76,0))</x:f>
        <x:v>10</x:v>
      </x:c>
      <x:c r="F709" s="10" t="n">
        <x:f>SUM(XLOOKUP('포켓몬_편집'!$AF709:$AN709,'분류_규칙'!$A$5:$A$76,'분류_규칙'!$F$5:$F$76,0))</x:f>
        <x:v>7</x:v>
      </x:c>
      <x:c r="G709" s="10" t="n">
        <x:f>SUM(XLOOKUP('포켓몬_편집'!$AF709:$AN709,'분류_규칙'!$A$5:$A$76,'분류_규칙'!$G$5:$G$76,0))</x:f>
        <x:v>5</x:v>
      </x:c>
      <x:c r="H709" s="10" t="n">
        <x:f>SUM(XLOOKUP('포켓몬_편집'!$AF709:$AN709,'분류_규칙'!$A$5:$A$76,'분류_규칙'!$H$5:$H$76,0))</x:f>
        <x:v>5</x:v>
      </x:c>
      <x:c r="I709" s="10" t="n">
        <x:f>SUM(XLOOKUP('포켓몬_편집'!$AF709:$AN709,'분류_규칙'!$A$5:$A$76,'분류_규칙'!$I$5:$I$76,0))</x:f>
        <x:v>0</x:v>
      </x:c>
      <x:c r="J709" s="10" t="n">
        <x:f>SUM(XLOOKUP('포켓몬_편집'!$AF709:$AN709,'분류_규칙'!$A$5:$A$76,'분류_규칙'!$J$5:$J$76,0))</x:f>
        <x:v>2</x:v>
      </x:c>
      <x:c r="K709" s="10" t="n">
        <x:f>SUM(XLOOKUP('포켓몬_편집'!$AF709:$AN709,'분류_규칙'!$A$5:$A$76,'분류_규칙'!$K$5:$K$76,0))</x:f>
        <x:v>0</x:v>
      </x:c>
      <x:c r="L709" s="10" t="n">
        <x:f>SUM(XLOOKUP('포켓몬_편집'!$AF709:$AN709,'분류_규칙'!$A$5:$A$76,'분류_규칙'!$L$5:$L$76,0))</x:f>
        <x:v>0</x:v>
      </x:c>
      <x:c r="M709" s="10" t="n">
        <x:f>SUM(XLOOKUP('포켓몬_편집'!$AF709:$AN709,'분류_규칙'!$A$5:$A$76,'분류_규칙'!$M$5:$M$76,0))</x:f>
        <x:v>0</x:v>
      </x:c>
      <x:c r="N709" s="10" t="n">
        <x:f>SUM(XLOOKUP('포켓몬_편집'!$AF709:$AN709,'분류_규칙'!$A$5:$A$76,'분류_규칙'!$N$5:$N$76,0))</x:f>
        <x:v>0</x:v>
      </x:c>
      <x:c r="O709" s="10" t="n">
        <x:f>SUM(XLOOKUP('포켓몬_편집'!$AF709:$AN709,'분류_규칙'!$A$5:$A$76,'분류_규칙'!$O$5:$O$76,0))</x:f>
        <x:v>2</x:v>
      </x:c>
      <x:c r="P709" s="10" t="n">
        <x:f>SUM(XLOOKUP('포켓몬_편집'!$AF709:$AN709,'분류_규칙'!$A$5:$A$76,'분류_규칙'!$P$5:$P$76,0))</x:f>
        <x:v>0</x:v>
      </x:c>
    </x:row>
    <x:row r="710" ht="22" customHeight="1">
      <x:c r="A710" s="5" t="n">
        <x:v>706</x:v>
      </x:c>
      <x:c r="B710" s="5" t="inlineStr">
        <x:is>
          <x:t xml:space="preserve">미끄래곤</x:t>
        </x:is>
      </x:c>
      <x:c r="C710" s="5" t="inlineStr">
        <x:is>
          <x:t xml:space="preserve">goodra</x:t>
        </x:is>
      </x:c>
      <x:c r="D710" s="5" t="n">
        <x:v>6</x:v>
      </x:c>
      <x:c r="E710" s="10" t="n">
        <x:f>SUM(XLOOKUP('포켓몬_편집'!$AF710:$AN710,'분류_규칙'!$A$5:$A$76,'분류_규칙'!$E$5:$E$76,0))</x:f>
        <x:v>10</x:v>
      </x:c>
      <x:c r="F710" s="10" t="n">
        <x:f>SUM(XLOOKUP('포켓몬_편집'!$AF710:$AN710,'분류_규칙'!$A$5:$A$76,'분류_규칙'!$F$5:$F$76,0))</x:f>
        <x:v>7</x:v>
      </x:c>
      <x:c r="G710" s="10" t="n">
        <x:f>SUM(XLOOKUP('포켓몬_편집'!$AF710:$AN710,'분류_규칙'!$A$5:$A$76,'분류_규칙'!$G$5:$G$76,0))</x:f>
        <x:v>5</x:v>
      </x:c>
      <x:c r="H710" s="10" t="n">
        <x:f>SUM(XLOOKUP('포켓몬_편집'!$AF710:$AN710,'분류_규칙'!$A$5:$A$76,'분류_규칙'!$H$5:$H$76,0))</x:f>
        <x:v>5</x:v>
      </x:c>
      <x:c r="I710" s="10" t="n">
        <x:f>SUM(XLOOKUP('포켓몬_편집'!$AF710:$AN710,'분류_규칙'!$A$5:$A$76,'분류_규칙'!$I$5:$I$76,0))</x:f>
        <x:v>0</x:v>
      </x:c>
      <x:c r="J710" s="10" t="n">
        <x:f>SUM(XLOOKUP('포켓몬_편집'!$AF710:$AN710,'분류_규칙'!$A$5:$A$76,'분류_규칙'!$J$5:$J$76,0))</x:f>
        <x:v>2</x:v>
      </x:c>
      <x:c r="K710" s="10" t="n">
        <x:f>SUM(XLOOKUP('포켓몬_편집'!$AF710:$AN710,'분류_규칙'!$A$5:$A$76,'분류_규칙'!$K$5:$K$76,0))</x:f>
        <x:v>0</x:v>
      </x:c>
      <x:c r="L710" s="10" t="n">
        <x:f>SUM(XLOOKUP('포켓몬_편집'!$AF710:$AN710,'분류_규칙'!$A$5:$A$76,'분류_규칙'!$L$5:$L$76,0))</x:f>
        <x:v>0</x:v>
      </x:c>
      <x:c r="M710" s="10" t="n">
        <x:f>SUM(XLOOKUP('포켓몬_편집'!$AF710:$AN710,'분류_규칙'!$A$5:$A$76,'분류_규칙'!$M$5:$M$76,0))</x:f>
        <x:v>0</x:v>
      </x:c>
      <x:c r="N710" s="10" t="n">
        <x:f>SUM(XLOOKUP('포켓몬_편집'!$AF710:$AN710,'분류_규칙'!$A$5:$A$76,'분류_규칙'!$N$5:$N$76,0))</x:f>
        <x:v>0</x:v>
      </x:c>
      <x:c r="O710" s="10" t="n">
        <x:f>SUM(XLOOKUP('포켓몬_편집'!$AF710:$AN710,'분류_규칙'!$A$5:$A$76,'분류_규칙'!$O$5:$O$76,0))</x:f>
        <x:v>2</x:v>
      </x:c>
      <x:c r="P710" s="10" t="n">
        <x:f>SUM(XLOOKUP('포켓몬_편집'!$AF710:$AN710,'분류_규칙'!$A$5:$A$76,'분류_규칙'!$P$5:$P$76,0))</x:f>
        <x:v>0</x:v>
      </x:c>
    </x:row>
    <x:row r="711" ht="22" customHeight="1">
      <x:c r="A711" s="5" t="n">
        <x:v>707</x:v>
      </x:c>
      <x:c r="B711" s="5" t="inlineStr">
        <x:is>
          <x:t xml:space="preserve">클레피</x:t>
        </x:is>
      </x:c>
      <x:c r="C711" s="5" t="inlineStr">
        <x:is>
          <x:t xml:space="preserve">klefki</x:t>
        </x:is>
      </x:c>
      <x:c r="D711" s="5" t="n">
        <x:v>6</x:v>
      </x:c>
      <x:c r="E711" s="10" t="n">
        <x:f>SUM(XLOOKUP('포켓몬_편집'!$AF711:$AN711,'분류_규칙'!$A$5:$A$76,'분류_규칙'!$E$5:$E$76,0))</x:f>
        <x:v>8</x:v>
      </x:c>
      <x:c r="F711" s="10" t="n">
        <x:f>SUM(XLOOKUP('포켓몬_편집'!$AF711:$AN711,'분류_규칙'!$A$5:$A$76,'분류_규칙'!$F$5:$F$76,0))</x:f>
        <x:v>8</x:v>
      </x:c>
      <x:c r="G711" s="10" t="n">
        <x:f>SUM(XLOOKUP('포켓몬_편집'!$AF711:$AN711,'분류_규칙'!$A$5:$A$76,'분류_규칙'!$G$5:$G$76,0))</x:f>
        <x:v>0</x:v>
      </x:c>
      <x:c r="H711" s="10" t="n">
        <x:f>SUM(XLOOKUP('포켓몬_편집'!$AF711:$AN711,'분류_규칙'!$A$5:$A$76,'분류_규칙'!$H$5:$H$76,0))</x:f>
        <x:v>12</x:v>
      </x:c>
      <x:c r="I711" s="10" t="n">
        <x:f>SUM(XLOOKUP('포켓몬_편집'!$AF711:$AN711,'분류_규칙'!$A$5:$A$76,'분류_규칙'!$I$5:$I$76,0))</x:f>
        <x:v>0</x:v>
      </x:c>
      <x:c r="J711" s="10" t="n">
        <x:f>SUM(XLOOKUP('포켓몬_편집'!$AF711:$AN711,'분류_규칙'!$A$5:$A$76,'분류_규칙'!$J$5:$J$76,0))</x:f>
        <x:v>0</x:v>
      </x:c>
      <x:c r="K711" s="10" t="n">
        <x:f>SUM(XLOOKUP('포켓몬_편집'!$AF711:$AN711,'분류_규칙'!$A$5:$A$76,'분류_규칙'!$K$5:$K$76,0))</x:f>
        <x:v>0</x:v>
      </x:c>
      <x:c r="L711" s="10" t="n">
        <x:f>SUM(XLOOKUP('포켓몬_편집'!$AF711:$AN711,'분류_규칙'!$A$5:$A$76,'분류_규칙'!$L$5:$L$76,0))</x:f>
        <x:v>3</x:v>
      </x:c>
      <x:c r="M711" s="10" t="n">
        <x:f>SUM(XLOOKUP('포켓몬_편집'!$AF711:$AN711,'분류_규칙'!$A$5:$A$76,'분류_규칙'!$M$5:$M$76,0))</x:f>
        <x:v>0</x:v>
      </x:c>
      <x:c r="N711" s="10" t="n">
        <x:f>SUM(XLOOKUP('포켓몬_편집'!$AF711:$AN711,'분류_규칙'!$A$5:$A$76,'분류_규칙'!$N$5:$N$76,0))</x:f>
        <x:v>0</x:v>
      </x:c>
      <x:c r="O711" s="10" t="n">
        <x:f>SUM(XLOOKUP('포켓몬_편집'!$AF711:$AN711,'분류_규칙'!$A$5:$A$76,'분류_규칙'!$O$5:$O$76,0))</x:f>
        <x:v>2</x:v>
      </x:c>
      <x:c r="P711" s="10" t="n">
        <x:f>SUM(XLOOKUP('포켓몬_편집'!$AF711:$AN711,'분류_규칙'!$A$5:$A$76,'분류_규칙'!$P$5:$P$76,0))</x:f>
        <x:v>0</x:v>
      </x:c>
    </x:row>
    <x:row r="712" ht="22" customHeight="1">
      <x:c r="A712" s="5" t="n">
        <x:v>708</x:v>
      </x:c>
      <x:c r="B712" s="5" t="inlineStr">
        <x:is>
          <x:t xml:space="preserve">나목령</x:t>
        </x:is>
      </x:c>
      <x:c r="C712" s="5" t="inlineStr">
        <x:is>
          <x:t xml:space="preserve">phantump</x:t>
        </x:is>
      </x:c>
      <x:c r="D712" s="5" t="n">
        <x:v>6</x:v>
      </x:c>
      <x:c r="E712" s="10" t="n">
        <x:f>SUM(XLOOKUP('포켓몬_편집'!$AF712:$AN712,'분류_규칙'!$A$5:$A$76,'분류_규칙'!$E$5:$E$76,0))</x:f>
        <x:v>8</x:v>
      </x:c>
      <x:c r="F712" s="10" t="n">
        <x:f>SUM(XLOOKUP('포켓몬_편집'!$AF712:$AN712,'분류_규칙'!$A$5:$A$76,'분류_규칙'!$F$5:$F$76,0))</x:f>
        <x:v>8</x:v>
      </x:c>
      <x:c r="G712" s="10" t="n">
        <x:f>SUM(XLOOKUP('포켓몬_편집'!$AF712:$AN712,'분류_규칙'!$A$5:$A$76,'분류_규칙'!$G$5:$G$76,0))</x:f>
        <x:v>0</x:v>
      </x:c>
      <x:c r="H712" s="10" t="n">
        <x:f>SUM(XLOOKUP('포켓몬_편집'!$AF712:$AN712,'분류_규칙'!$A$5:$A$76,'분류_규칙'!$H$5:$H$76,0))</x:f>
        <x:v>12</x:v>
      </x:c>
      <x:c r="I712" s="10" t="n">
        <x:f>SUM(XLOOKUP('포켓몬_편집'!$AF712:$AN712,'분류_규칙'!$A$5:$A$76,'분류_규칙'!$I$5:$I$76,0))</x:f>
        <x:v>0</x:v>
      </x:c>
      <x:c r="J712" s="10" t="n">
        <x:f>SUM(XLOOKUP('포켓몬_편집'!$AF712:$AN712,'분류_규칙'!$A$5:$A$76,'분류_규칙'!$J$5:$J$76,0))</x:f>
        <x:v>0</x:v>
      </x:c>
      <x:c r="K712" s="10" t="n">
        <x:f>SUM(XLOOKUP('포켓몬_편집'!$AF712:$AN712,'분류_규칙'!$A$5:$A$76,'분류_규칙'!$K$5:$K$76,0))</x:f>
        <x:v>0</x:v>
      </x:c>
      <x:c r="L712" s="10" t="n">
        <x:f>SUM(XLOOKUP('포켓몬_편집'!$AF712:$AN712,'분류_규칙'!$A$5:$A$76,'분류_규칙'!$L$5:$L$76,0))</x:f>
        <x:v>3</x:v>
      </x:c>
      <x:c r="M712" s="10" t="n">
        <x:f>SUM(XLOOKUP('포켓몬_편집'!$AF712:$AN712,'분류_규칙'!$A$5:$A$76,'분류_규칙'!$M$5:$M$76,0))</x:f>
        <x:v>0</x:v>
      </x:c>
      <x:c r="N712" s="10" t="n">
        <x:f>SUM(XLOOKUP('포켓몬_편집'!$AF712:$AN712,'분류_규칙'!$A$5:$A$76,'분류_규칙'!$N$5:$N$76,0))</x:f>
        <x:v>0</x:v>
      </x:c>
      <x:c r="O712" s="10" t="n">
        <x:f>SUM(XLOOKUP('포켓몬_편집'!$AF712:$AN712,'분류_규칙'!$A$5:$A$76,'분류_규칙'!$O$5:$O$76,0))</x:f>
        <x:v>2</x:v>
      </x:c>
      <x:c r="P712" s="10" t="n">
        <x:f>SUM(XLOOKUP('포켓몬_편집'!$AF712:$AN712,'분류_규칙'!$A$5:$A$76,'분류_규칙'!$P$5:$P$76,0))</x:f>
        <x:v>0</x:v>
      </x:c>
    </x:row>
    <x:row r="713" ht="22" customHeight="1">
      <x:c r="A713" s="5" t="n">
        <x:v>709</x:v>
      </x:c>
      <x:c r="B713" s="5" t="inlineStr">
        <x:is>
          <x:t xml:space="preserve">대로트</x:t>
        </x:is>
      </x:c>
      <x:c r="C713" s="5" t="inlineStr">
        <x:is>
          <x:t xml:space="preserve">trevenant</x:t>
        </x:is>
      </x:c>
      <x:c r="D713" s="5" t="n">
        <x:v>6</x:v>
      </x:c>
      <x:c r="E713" s="10" t="n">
        <x:f>SUM(XLOOKUP('포켓몬_편집'!$AF713:$AN713,'분류_규칙'!$A$5:$A$76,'분류_규칙'!$E$5:$E$76,0))</x:f>
        <x:v>0</x:v>
      </x:c>
      <x:c r="F713" s="10" t="n">
        <x:f>SUM(XLOOKUP('포켓몬_편집'!$AF713:$AN713,'분류_규칙'!$A$5:$A$76,'분류_규칙'!$F$5:$F$76,0))</x:f>
        <x:v>0</x:v>
      </x:c>
      <x:c r="G713" s="10" t="n">
        <x:f>SUM(XLOOKUP('포켓몬_편집'!$AF713:$AN713,'분류_규칙'!$A$5:$A$76,'분류_규칙'!$G$5:$G$76,0))</x:f>
        <x:v>0</x:v>
      </x:c>
      <x:c r="H713" s="10" t="n">
        <x:f>SUM(XLOOKUP('포켓몬_편집'!$AF713:$AN713,'분류_규칙'!$A$5:$A$76,'분류_규칙'!$H$5:$H$76,0))</x:f>
        <x:v>0</x:v>
      </x:c>
      <x:c r="I713" s="10" t="n">
        <x:f>SUM(XLOOKUP('포켓몬_편집'!$AF713:$AN713,'분류_규칙'!$A$5:$A$76,'분류_규칙'!$I$5:$I$76,0))</x:f>
        <x:v>10</x:v>
      </x:c>
      <x:c r="J713" s="10" t="n">
        <x:f>SUM(XLOOKUP('포켓몬_편집'!$AF713:$AN713,'분류_규칙'!$A$5:$A$76,'분류_규칙'!$J$5:$J$76,0))</x:f>
        <x:v>0</x:v>
      </x:c>
      <x:c r="K713" s="10" t="n">
        <x:f>SUM(XLOOKUP('포켓몬_편집'!$AF713:$AN713,'분류_규칙'!$A$5:$A$76,'분류_규칙'!$K$5:$K$76,0))</x:f>
        <x:v>0</x:v>
      </x:c>
      <x:c r="L713" s="10" t="n">
        <x:f>SUM(XLOOKUP('포켓몬_편집'!$AF713:$AN713,'분류_규칙'!$A$5:$A$76,'분류_규칙'!$L$5:$L$76,0))</x:f>
        <x:v>0</x:v>
      </x:c>
      <x:c r="M713" s="10" t="n">
        <x:f>SUM(XLOOKUP('포켓몬_편집'!$AF713:$AN713,'분류_규칙'!$A$5:$A$76,'분류_규칙'!$M$5:$M$76,0))</x:f>
        <x:v>0</x:v>
      </x:c>
      <x:c r="N713" s="10" t="n">
        <x:f>SUM(XLOOKUP('포켓몬_편집'!$AF713:$AN713,'분류_규칙'!$A$5:$A$76,'분류_규칙'!$N$5:$N$76,0))</x:f>
        <x:v>0</x:v>
      </x:c>
      <x:c r="O713" s="10" t="n">
        <x:f>SUM(XLOOKUP('포켓몬_편집'!$AF713:$AN713,'분류_규칙'!$A$5:$A$76,'분류_규칙'!$O$5:$O$76,0))</x:f>
        <x:v>5</x:v>
      </x:c>
      <x:c r="P713" s="10" t="n">
        <x:f>SUM(XLOOKUP('포켓몬_편집'!$AF713:$AN713,'분류_규칙'!$A$5:$A$76,'분류_규칙'!$P$5:$P$76,0))</x:f>
        <x:v>25</x:v>
      </x:c>
    </x:row>
    <x:row r="714" ht="22" customHeight="1">
      <x:c r="A714" s="5" t="n">
        <x:v>710</x:v>
      </x:c>
      <x:c r="B714" s="5" t="inlineStr">
        <x:is>
          <x:t xml:space="preserve">호바귀</x:t>
        </x:is>
      </x:c>
      <x:c r="C714" s="5" t="inlineStr">
        <x:is>
          <x:t xml:space="preserve">pumpkaboo</x:t>
        </x:is>
      </x:c>
      <x:c r="D714" s="5" t="n">
        <x:v>6</x:v>
      </x:c>
      <x:c r="E714" s="10" t="n">
        <x:f>SUM(XLOOKUP('포켓몬_편집'!$AF714:$AN714,'분류_규칙'!$A$5:$A$76,'분류_규칙'!$E$5:$E$76,0))</x:f>
        <x:v>8</x:v>
      </x:c>
      <x:c r="F714" s="10" t="n">
        <x:f>SUM(XLOOKUP('포켓몬_편집'!$AF714:$AN714,'분류_규칙'!$A$5:$A$76,'분류_규칙'!$F$5:$F$76,0))</x:f>
        <x:v>8</x:v>
      </x:c>
      <x:c r="G714" s="10" t="n">
        <x:f>SUM(XLOOKUP('포켓몬_편집'!$AF714:$AN714,'분류_규칙'!$A$5:$A$76,'분류_규칙'!$G$5:$G$76,0))</x:f>
        <x:v>0</x:v>
      </x:c>
      <x:c r="H714" s="10" t="n">
        <x:f>SUM(XLOOKUP('포켓몬_편집'!$AF714:$AN714,'분류_규칙'!$A$5:$A$76,'분류_규칙'!$H$5:$H$76,0))</x:f>
        <x:v>12</x:v>
      </x:c>
      <x:c r="I714" s="10" t="n">
        <x:f>SUM(XLOOKUP('포켓몬_편집'!$AF714:$AN714,'분류_규칙'!$A$5:$A$76,'분류_규칙'!$I$5:$I$76,0))</x:f>
        <x:v>0</x:v>
      </x:c>
      <x:c r="J714" s="10" t="n">
        <x:f>SUM(XLOOKUP('포켓몬_편집'!$AF714:$AN714,'분류_규칙'!$A$5:$A$76,'분류_규칙'!$J$5:$J$76,0))</x:f>
        <x:v>0</x:v>
      </x:c>
      <x:c r="K714" s="10" t="n">
        <x:f>SUM(XLOOKUP('포켓몬_편집'!$AF714:$AN714,'분류_규칙'!$A$5:$A$76,'분류_규칙'!$K$5:$K$76,0))</x:f>
        <x:v>0</x:v>
      </x:c>
      <x:c r="L714" s="10" t="n">
        <x:f>SUM(XLOOKUP('포켓몬_편집'!$AF714:$AN714,'분류_규칙'!$A$5:$A$76,'분류_규칙'!$L$5:$L$76,0))</x:f>
        <x:v>3</x:v>
      </x:c>
      <x:c r="M714" s="10" t="n">
        <x:f>SUM(XLOOKUP('포켓몬_편집'!$AF714:$AN714,'분류_규칙'!$A$5:$A$76,'분류_규칙'!$M$5:$M$76,0))</x:f>
        <x:v>0</x:v>
      </x:c>
      <x:c r="N714" s="10" t="n">
        <x:f>SUM(XLOOKUP('포켓몬_편집'!$AF714:$AN714,'분류_규칙'!$A$5:$A$76,'분류_규칙'!$N$5:$N$76,0))</x:f>
        <x:v>0</x:v>
      </x:c>
      <x:c r="O714" s="10" t="n">
        <x:f>SUM(XLOOKUP('포켓몬_편집'!$AF714:$AN714,'분류_규칙'!$A$5:$A$76,'분류_규칙'!$O$5:$O$76,0))</x:f>
        <x:v>2</x:v>
      </x:c>
      <x:c r="P714" s="10" t="n">
        <x:f>SUM(XLOOKUP('포켓몬_편집'!$AF714:$AN714,'분류_규칙'!$A$5:$A$76,'분류_규칙'!$P$5:$P$76,0))</x:f>
        <x:v>0</x:v>
      </x:c>
    </x:row>
    <x:row r="715" ht="22" customHeight="1">
      <x:c r="A715" s="5" t="n">
        <x:v>711</x:v>
      </x:c>
      <x:c r="B715" s="5" t="inlineStr">
        <x:is>
          <x:t xml:space="preserve">펌킨인</x:t>
        </x:is>
      </x:c>
      <x:c r="C715" s="5" t="inlineStr">
        <x:is>
          <x:t xml:space="preserve">gourgeist</x:t>
        </x:is>
      </x:c>
      <x:c r="D715" s="5" t="n">
        <x:v>6</x:v>
      </x:c>
      <x:c r="E715" s="10" t="n">
        <x:f>SUM(XLOOKUP('포켓몬_편집'!$AF715:$AN715,'분류_규칙'!$A$5:$A$76,'분류_규칙'!$E$5:$E$76,0))</x:f>
        <x:v>8</x:v>
      </x:c>
      <x:c r="F715" s="10" t="n">
        <x:f>SUM(XLOOKUP('포켓몬_편집'!$AF715:$AN715,'분류_규칙'!$A$5:$A$76,'분류_규칙'!$F$5:$F$76,0))</x:f>
        <x:v>8</x:v>
      </x:c>
      <x:c r="G715" s="10" t="n">
        <x:f>SUM(XLOOKUP('포켓몬_편집'!$AF715:$AN715,'분류_규칙'!$A$5:$A$76,'분류_규칙'!$G$5:$G$76,0))</x:f>
        <x:v>0</x:v>
      </x:c>
      <x:c r="H715" s="10" t="n">
        <x:f>SUM(XLOOKUP('포켓몬_편집'!$AF715:$AN715,'분류_규칙'!$A$5:$A$76,'분류_규칙'!$H$5:$H$76,0))</x:f>
        <x:v>12</x:v>
      </x:c>
      <x:c r="I715" s="10" t="n">
        <x:f>SUM(XLOOKUP('포켓몬_편집'!$AF715:$AN715,'분류_규칙'!$A$5:$A$76,'분류_규칙'!$I$5:$I$76,0))</x:f>
        <x:v>0</x:v>
      </x:c>
      <x:c r="J715" s="10" t="n">
        <x:f>SUM(XLOOKUP('포켓몬_편집'!$AF715:$AN715,'분류_규칙'!$A$5:$A$76,'분류_규칙'!$J$5:$J$76,0))</x:f>
        <x:v>0</x:v>
      </x:c>
      <x:c r="K715" s="10" t="n">
        <x:f>SUM(XLOOKUP('포켓몬_편집'!$AF715:$AN715,'분류_규칙'!$A$5:$A$76,'분류_규칙'!$K$5:$K$76,0))</x:f>
        <x:v>0</x:v>
      </x:c>
      <x:c r="L715" s="10" t="n">
        <x:f>SUM(XLOOKUP('포켓몬_편집'!$AF715:$AN715,'분류_규칙'!$A$5:$A$76,'분류_규칙'!$L$5:$L$76,0))</x:f>
        <x:v>3</x:v>
      </x:c>
      <x:c r="M715" s="10" t="n">
        <x:f>SUM(XLOOKUP('포켓몬_편집'!$AF715:$AN715,'분류_규칙'!$A$5:$A$76,'분류_규칙'!$M$5:$M$76,0))</x:f>
        <x:v>0</x:v>
      </x:c>
      <x:c r="N715" s="10" t="n">
        <x:f>SUM(XLOOKUP('포켓몬_편집'!$AF715:$AN715,'분류_규칙'!$A$5:$A$76,'분류_규칙'!$N$5:$N$76,0))</x:f>
        <x:v>0</x:v>
      </x:c>
      <x:c r="O715" s="10" t="n">
        <x:f>SUM(XLOOKUP('포켓몬_편집'!$AF715:$AN715,'분류_규칙'!$A$5:$A$76,'분류_규칙'!$O$5:$O$76,0))</x:f>
        <x:v>2</x:v>
      </x:c>
      <x:c r="P715" s="10" t="n">
        <x:f>SUM(XLOOKUP('포켓몬_편집'!$AF715:$AN715,'분류_규칙'!$A$5:$A$76,'분류_규칙'!$P$5:$P$76,0))</x:f>
        <x:v>0</x:v>
      </x:c>
    </x:row>
    <x:row r="716" ht="22" customHeight="1">
      <x:c r="A716" s="5" t="n">
        <x:v>712</x:v>
      </x:c>
      <x:c r="B716" s="5" t="inlineStr">
        <x:is>
          <x:t xml:space="preserve">꽁어름</x:t>
        </x:is>
      </x:c>
      <x:c r="C716" s="5" t="inlineStr">
        <x:is>
          <x:t xml:space="preserve">bergmite</x:t>
        </x:is>
      </x:c>
      <x:c r="D716" s="5" t="n">
        <x:v>6</x:v>
      </x:c>
      <x:c r="E716" s="10" t="n">
        <x:f>SUM(XLOOKUP('포켓몬_편집'!$AF716:$AN716,'분류_규칙'!$A$5:$A$76,'분류_규칙'!$E$5:$E$76,0))</x:f>
        <x:v>10</x:v>
      </x:c>
      <x:c r="F716" s="10" t="n">
        <x:f>SUM(XLOOKUP('포켓몬_편집'!$AF716:$AN716,'분류_규칙'!$A$5:$A$76,'분류_규칙'!$F$5:$F$76,0))</x:f>
        <x:v>7</x:v>
      </x:c>
      <x:c r="G716" s="10" t="n">
        <x:f>SUM(XLOOKUP('포켓몬_편집'!$AF716:$AN716,'분류_규칙'!$A$5:$A$76,'분류_규칙'!$G$5:$G$76,0))</x:f>
        <x:v>5</x:v>
      </x:c>
      <x:c r="H716" s="10" t="n">
        <x:f>SUM(XLOOKUP('포켓몬_편집'!$AF716:$AN716,'분류_규칙'!$A$5:$A$76,'분류_규칙'!$H$5:$H$76,0))</x:f>
        <x:v>5</x:v>
      </x:c>
      <x:c r="I716" s="10" t="n">
        <x:f>SUM(XLOOKUP('포켓몬_편집'!$AF716:$AN716,'분류_규칙'!$A$5:$A$76,'분류_규칙'!$I$5:$I$76,0))</x:f>
        <x:v>0</x:v>
      </x:c>
      <x:c r="J716" s="10" t="n">
        <x:f>SUM(XLOOKUP('포켓몬_편집'!$AF716:$AN716,'분류_규칙'!$A$5:$A$76,'분류_규칙'!$J$5:$J$76,0))</x:f>
        <x:v>2</x:v>
      </x:c>
      <x:c r="K716" s="10" t="n">
        <x:f>SUM(XLOOKUP('포켓몬_편집'!$AF716:$AN716,'분류_규칙'!$A$5:$A$76,'분류_규칙'!$K$5:$K$76,0))</x:f>
        <x:v>0</x:v>
      </x:c>
      <x:c r="L716" s="10" t="n">
        <x:f>SUM(XLOOKUP('포켓몬_편집'!$AF716:$AN716,'분류_규칙'!$A$5:$A$76,'분류_규칙'!$L$5:$L$76,0))</x:f>
        <x:v>0</x:v>
      </x:c>
      <x:c r="M716" s="10" t="n">
        <x:f>SUM(XLOOKUP('포켓몬_편집'!$AF716:$AN716,'분류_규칙'!$A$5:$A$76,'분류_규칙'!$M$5:$M$76,0))</x:f>
        <x:v>0</x:v>
      </x:c>
      <x:c r="N716" s="10" t="n">
        <x:f>SUM(XLOOKUP('포켓몬_편집'!$AF716:$AN716,'분류_규칙'!$A$5:$A$76,'분류_규칙'!$N$5:$N$76,0))</x:f>
        <x:v>0</x:v>
      </x:c>
      <x:c r="O716" s="10" t="n">
        <x:f>SUM(XLOOKUP('포켓몬_편집'!$AF716:$AN716,'분류_규칙'!$A$5:$A$76,'분류_규칙'!$O$5:$O$76,0))</x:f>
        <x:v>2</x:v>
      </x:c>
      <x:c r="P716" s="10" t="n">
        <x:f>SUM(XLOOKUP('포켓몬_편집'!$AF716:$AN716,'분류_규칙'!$A$5:$A$76,'분류_규칙'!$P$5:$P$76,0))</x:f>
        <x:v>0</x:v>
      </x:c>
    </x:row>
    <x:row r="717" ht="22" customHeight="1">
      <x:c r="A717" s="5" t="n">
        <x:v>713</x:v>
      </x:c>
      <x:c r="B717" s="5" t="inlineStr">
        <x:is>
          <x:t xml:space="preserve">크레베이스</x:t>
        </x:is>
      </x:c>
      <x:c r="C717" s="5" t="inlineStr">
        <x:is>
          <x:t xml:space="preserve">avalugg</x:t>
        </x:is>
      </x:c>
      <x:c r="D717" s="5" t="n">
        <x:v>6</x:v>
      </x:c>
      <x:c r="E717" s="10" t="n">
        <x:f>SUM(XLOOKUP('포켓몬_편집'!$AF717:$AN717,'분류_규칙'!$A$5:$A$76,'분류_규칙'!$E$5:$E$76,0))</x:f>
        <x:v>10</x:v>
      </x:c>
      <x:c r="F717" s="10" t="n">
        <x:f>SUM(XLOOKUP('포켓몬_편집'!$AF717:$AN717,'분류_규칙'!$A$5:$A$76,'분류_규칙'!$F$5:$F$76,0))</x:f>
        <x:v>7</x:v>
      </x:c>
      <x:c r="G717" s="10" t="n">
        <x:f>SUM(XLOOKUP('포켓몬_편집'!$AF717:$AN717,'분류_규칙'!$A$5:$A$76,'분류_규칙'!$G$5:$G$76,0))</x:f>
        <x:v>5</x:v>
      </x:c>
      <x:c r="H717" s="10" t="n">
        <x:f>SUM(XLOOKUP('포켓몬_편집'!$AF717:$AN717,'분류_규칙'!$A$5:$A$76,'분류_규칙'!$H$5:$H$76,0))</x:f>
        <x:v>5</x:v>
      </x:c>
      <x:c r="I717" s="10" t="n">
        <x:f>SUM(XLOOKUP('포켓몬_편집'!$AF717:$AN717,'분류_규칙'!$A$5:$A$76,'분류_규칙'!$I$5:$I$76,0))</x:f>
        <x:v>0</x:v>
      </x:c>
      <x:c r="J717" s="10" t="n">
        <x:f>SUM(XLOOKUP('포켓몬_편집'!$AF717:$AN717,'분류_규칙'!$A$5:$A$76,'분류_규칙'!$J$5:$J$76,0))</x:f>
        <x:v>2</x:v>
      </x:c>
      <x:c r="K717" s="10" t="n">
        <x:f>SUM(XLOOKUP('포켓몬_편집'!$AF717:$AN717,'분류_규칙'!$A$5:$A$76,'분류_규칙'!$K$5:$K$76,0))</x:f>
        <x:v>0</x:v>
      </x:c>
      <x:c r="L717" s="10" t="n">
        <x:f>SUM(XLOOKUP('포켓몬_편집'!$AF717:$AN717,'분류_규칙'!$A$5:$A$76,'분류_규칙'!$L$5:$L$76,0))</x:f>
        <x:v>0</x:v>
      </x:c>
      <x:c r="M717" s="10" t="n">
        <x:f>SUM(XLOOKUP('포켓몬_편집'!$AF717:$AN717,'분류_규칙'!$A$5:$A$76,'분류_규칙'!$M$5:$M$76,0))</x:f>
        <x:v>0</x:v>
      </x:c>
      <x:c r="N717" s="10" t="n">
        <x:f>SUM(XLOOKUP('포켓몬_편집'!$AF717:$AN717,'분류_규칙'!$A$5:$A$76,'분류_규칙'!$N$5:$N$76,0))</x:f>
        <x:v>0</x:v>
      </x:c>
      <x:c r="O717" s="10" t="n">
        <x:f>SUM(XLOOKUP('포켓몬_편집'!$AF717:$AN717,'분류_규칙'!$A$5:$A$76,'분류_규칙'!$O$5:$O$76,0))</x:f>
        <x:v>2</x:v>
      </x:c>
      <x:c r="P717" s="10" t="n">
        <x:f>SUM(XLOOKUP('포켓몬_편집'!$AF717:$AN717,'분류_규칙'!$A$5:$A$76,'분류_규칙'!$P$5:$P$76,0))</x:f>
        <x:v>0</x:v>
      </x:c>
    </x:row>
    <x:row r="718" ht="22" customHeight="1">
      <x:c r="A718" s="5" t="n">
        <x:v>714</x:v>
      </x:c>
      <x:c r="B718" s="5" t="inlineStr">
        <x:is>
          <x:t xml:space="preserve">음뱃</x:t>
        </x:is>
      </x:c>
      <x:c r="C718" s="5" t="inlineStr">
        <x:is>
          <x:t xml:space="preserve">noibat</x:t>
        </x:is>
      </x:c>
      <x:c r="D718" s="5" t="n">
        <x:v>6</x:v>
      </x:c>
      <x:c r="E718" s="10" t="n">
        <x:f>SUM(XLOOKUP('포켓몬_편집'!$AF718:$AN718,'분류_규칙'!$A$5:$A$76,'분류_규칙'!$E$5:$E$76,0))</x:f>
        <x:v>8</x:v>
      </x:c>
      <x:c r="F718" s="10" t="n">
        <x:f>SUM(XLOOKUP('포켓몬_편집'!$AF718:$AN718,'분류_규칙'!$A$5:$A$76,'분류_규칙'!$F$5:$F$76,0))</x:f>
        <x:v>8</x:v>
      </x:c>
      <x:c r="G718" s="10" t="n">
        <x:f>SUM(XLOOKUP('포켓몬_편집'!$AF718:$AN718,'분류_규칙'!$A$5:$A$76,'분류_규칙'!$G$5:$G$76,0))</x:f>
        <x:v>0</x:v>
      </x:c>
      <x:c r="H718" s="10" t="n">
        <x:f>SUM(XLOOKUP('포켓몬_편집'!$AF718:$AN718,'분류_규칙'!$A$5:$A$76,'분류_규칙'!$H$5:$H$76,0))</x:f>
        <x:v>12</x:v>
      </x:c>
      <x:c r="I718" s="10" t="n">
        <x:f>SUM(XLOOKUP('포켓몬_편집'!$AF718:$AN718,'분류_규칙'!$A$5:$A$76,'분류_규칙'!$I$5:$I$76,0))</x:f>
        <x:v>0</x:v>
      </x:c>
      <x:c r="J718" s="10" t="n">
        <x:f>SUM(XLOOKUP('포켓몬_편집'!$AF718:$AN718,'분류_규칙'!$A$5:$A$76,'분류_규칙'!$J$5:$J$76,0))</x:f>
        <x:v>0</x:v>
      </x:c>
      <x:c r="K718" s="10" t="n">
        <x:f>SUM(XLOOKUP('포켓몬_편집'!$AF718:$AN718,'분류_규칙'!$A$5:$A$76,'분류_규칙'!$K$5:$K$76,0))</x:f>
        <x:v>0</x:v>
      </x:c>
      <x:c r="L718" s="10" t="n">
        <x:f>SUM(XLOOKUP('포켓몬_편집'!$AF718:$AN718,'분류_규칙'!$A$5:$A$76,'분류_규칙'!$L$5:$L$76,0))</x:f>
        <x:v>3</x:v>
      </x:c>
      <x:c r="M718" s="10" t="n">
        <x:f>SUM(XLOOKUP('포켓몬_편집'!$AF718:$AN718,'분류_규칙'!$A$5:$A$76,'분류_규칙'!$M$5:$M$76,0))</x:f>
        <x:v>0</x:v>
      </x:c>
      <x:c r="N718" s="10" t="n">
        <x:f>SUM(XLOOKUP('포켓몬_편집'!$AF718:$AN718,'분류_규칙'!$A$5:$A$76,'분류_규칙'!$N$5:$N$76,0))</x:f>
        <x:v>0</x:v>
      </x:c>
      <x:c r="O718" s="10" t="n">
        <x:f>SUM(XLOOKUP('포켓몬_편집'!$AF718:$AN718,'분류_규칙'!$A$5:$A$76,'분류_규칙'!$O$5:$O$76,0))</x:f>
        <x:v>2</x:v>
      </x:c>
      <x:c r="P718" s="10" t="n">
        <x:f>SUM(XLOOKUP('포켓몬_편집'!$AF718:$AN718,'분류_규칙'!$A$5:$A$76,'분류_규칙'!$P$5:$P$76,0))</x:f>
        <x:v>0</x:v>
      </x:c>
    </x:row>
    <x:row r="719" ht="22" customHeight="1">
      <x:c r="A719" s="5" t="n">
        <x:v>715</x:v>
      </x:c>
      <x:c r="B719" s="5" t="inlineStr">
        <x:is>
          <x:t xml:space="preserve">음번</x:t>
        </x:is>
      </x:c>
      <x:c r="C719" s="5" t="inlineStr">
        <x:is>
          <x:t xml:space="preserve">noivern</x:t>
        </x:is>
      </x:c>
      <x:c r="D719" s="5" t="n">
        <x:v>6</x:v>
      </x:c>
      <x:c r="E719" s="10" t="n">
        <x:f>SUM(XLOOKUP('포켓몬_편집'!$AF719:$AN719,'분류_규칙'!$A$5:$A$76,'분류_규칙'!$E$5:$E$76,0))</x:f>
        <x:v>8</x:v>
      </x:c>
      <x:c r="F719" s="10" t="n">
        <x:f>SUM(XLOOKUP('포켓몬_편집'!$AF719:$AN719,'분류_규칙'!$A$5:$A$76,'분류_규칙'!$F$5:$F$76,0))</x:f>
        <x:v>8</x:v>
      </x:c>
      <x:c r="G719" s="10" t="n">
        <x:f>SUM(XLOOKUP('포켓몬_편집'!$AF719:$AN719,'분류_규칙'!$A$5:$A$76,'분류_규칙'!$G$5:$G$76,0))</x:f>
        <x:v>0</x:v>
      </x:c>
      <x:c r="H719" s="10" t="n">
        <x:f>SUM(XLOOKUP('포켓몬_편집'!$AF719:$AN719,'분류_규칙'!$A$5:$A$76,'분류_규칙'!$H$5:$H$76,0))</x:f>
        <x:v>12</x:v>
      </x:c>
      <x:c r="I719" s="10" t="n">
        <x:f>SUM(XLOOKUP('포켓몬_편집'!$AF719:$AN719,'분류_규칙'!$A$5:$A$76,'분류_규칙'!$I$5:$I$76,0))</x:f>
        <x:v>0</x:v>
      </x:c>
      <x:c r="J719" s="10" t="n">
        <x:f>SUM(XLOOKUP('포켓몬_편집'!$AF719:$AN719,'분류_규칙'!$A$5:$A$76,'분류_규칙'!$J$5:$J$76,0))</x:f>
        <x:v>0</x:v>
      </x:c>
      <x:c r="K719" s="10" t="n">
        <x:f>SUM(XLOOKUP('포켓몬_편집'!$AF719:$AN719,'분류_규칙'!$A$5:$A$76,'분류_규칙'!$K$5:$K$76,0))</x:f>
        <x:v>0</x:v>
      </x:c>
      <x:c r="L719" s="10" t="n">
        <x:f>SUM(XLOOKUP('포켓몬_편집'!$AF719:$AN719,'분류_규칙'!$A$5:$A$76,'분류_규칙'!$L$5:$L$76,0))</x:f>
        <x:v>3</x:v>
      </x:c>
      <x:c r="M719" s="10" t="n">
        <x:f>SUM(XLOOKUP('포켓몬_편집'!$AF719:$AN719,'분류_규칙'!$A$5:$A$76,'분류_규칙'!$M$5:$M$76,0))</x:f>
        <x:v>0</x:v>
      </x:c>
      <x:c r="N719" s="10" t="n">
        <x:f>SUM(XLOOKUP('포켓몬_편집'!$AF719:$AN719,'분류_규칙'!$A$5:$A$76,'분류_규칙'!$N$5:$N$76,0))</x:f>
        <x:v>0</x:v>
      </x:c>
      <x:c r="O719" s="10" t="n">
        <x:f>SUM(XLOOKUP('포켓몬_편집'!$AF719:$AN719,'분류_규칙'!$A$5:$A$76,'분류_규칙'!$O$5:$O$76,0))</x:f>
        <x:v>2</x:v>
      </x:c>
      <x:c r="P719" s="10" t="n">
        <x:f>SUM(XLOOKUP('포켓몬_편집'!$AF719:$AN719,'분류_규칙'!$A$5:$A$76,'분류_규칙'!$P$5:$P$76,0))</x:f>
        <x:v>0</x:v>
      </x:c>
    </x:row>
    <x:row r="720" ht="22" customHeight="1">
      <x:c r="A720" s="5" t="n">
        <x:v>716</x:v>
      </x:c>
      <x:c r="B720" s="5" t="inlineStr">
        <x:is>
          <x:t xml:space="preserve">제르네아스</x:t>
        </x:is>
      </x:c>
      <x:c r="C720" s="5" t="inlineStr">
        <x:is>
          <x:t xml:space="preserve">xerneas</x:t>
        </x:is>
      </x:c>
      <x:c r="D720" s="5" t="n">
        <x:v>6</x:v>
      </x:c>
      <x:c r="E720" s="10" t="n">
        <x:f>SUM(XLOOKUP('포켓몬_편집'!$AF720:$AN720,'분류_규칙'!$A$5:$A$76,'분류_규칙'!$E$5:$E$76,0))</x:f>
        <x:v>10</x:v>
      </x:c>
      <x:c r="F720" s="10" t="n">
        <x:f>SUM(XLOOKUP('포켓몬_편집'!$AF720:$AN720,'분류_규칙'!$A$5:$A$76,'분류_규칙'!$F$5:$F$76,0))</x:f>
        <x:v>7</x:v>
      </x:c>
      <x:c r="G720" s="10" t="n">
        <x:f>SUM(XLOOKUP('포켓몬_편집'!$AF720:$AN720,'분류_규칙'!$A$5:$A$76,'분류_규칙'!$G$5:$G$76,0))</x:f>
        <x:v>5</x:v>
      </x:c>
      <x:c r="H720" s="10" t="n">
        <x:f>SUM(XLOOKUP('포켓몬_편집'!$AF720:$AN720,'분류_규칙'!$A$5:$A$76,'분류_규칙'!$H$5:$H$76,0))</x:f>
        <x:v>5</x:v>
      </x:c>
      <x:c r="I720" s="10" t="n">
        <x:f>SUM(XLOOKUP('포켓몬_편집'!$AF720:$AN720,'분류_규칙'!$A$5:$A$76,'분류_규칙'!$I$5:$I$76,0))</x:f>
        <x:v>0</x:v>
      </x:c>
      <x:c r="J720" s="10" t="n">
        <x:f>SUM(XLOOKUP('포켓몬_편집'!$AF720:$AN720,'분류_규칙'!$A$5:$A$76,'분류_규칙'!$J$5:$J$76,0))</x:f>
        <x:v>2</x:v>
      </x:c>
      <x:c r="K720" s="10" t="n">
        <x:f>SUM(XLOOKUP('포켓몬_편집'!$AF720:$AN720,'분류_규칙'!$A$5:$A$76,'분류_규칙'!$K$5:$K$76,0))</x:f>
        <x:v>0</x:v>
      </x:c>
      <x:c r="L720" s="10" t="n">
        <x:f>SUM(XLOOKUP('포켓몬_편집'!$AF720:$AN720,'분류_규칙'!$A$5:$A$76,'분류_규칙'!$L$5:$L$76,0))</x:f>
        <x:v>0</x:v>
      </x:c>
      <x:c r="M720" s="10" t="n">
        <x:f>SUM(XLOOKUP('포켓몬_편집'!$AF720:$AN720,'분류_규칙'!$A$5:$A$76,'분류_규칙'!$M$5:$M$76,0))</x:f>
        <x:v>0</x:v>
      </x:c>
      <x:c r="N720" s="10" t="n">
        <x:f>SUM(XLOOKUP('포켓몬_편집'!$AF720:$AN720,'분류_규칙'!$A$5:$A$76,'분류_규칙'!$N$5:$N$76,0))</x:f>
        <x:v>0</x:v>
      </x:c>
      <x:c r="O720" s="10" t="n">
        <x:f>SUM(XLOOKUP('포켓몬_편집'!$AF720:$AN720,'분류_규칙'!$A$5:$A$76,'분류_규칙'!$O$5:$O$76,0))</x:f>
        <x:v>2</x:v>
      </x:c>
      <x:c r="P720" s="10" t="n">
        <x:f>SUM(XLOOKUP('포켓몬_편집'!$AF720:$AN720,'분류_규칙'!$A$5:$A$76,'분류_규칙'!$P$5:$P$76,0))</x:f>
        <x:v>0</x:v>
      </x:c>
    </x:row>
    <x:row r="721" ht="22" customHeight="1">
      <x:c r="A721" s="5" t="n">
        <x:v>717</x:v>
      </x:c>
      <x:c r="B721" s="5" t="inlineStr">
        <x:is>
          <x:t xml:space="preserve">이벨타르</x:t>
        </x:is>
      </x:c>
      <x:c r="C721" s="5" t="inlineStr">
        <x:is>
          <x:t xml:space="preserve">yveltal</x:t>
        </x:is>
      </x:c>
      <x:c r="D721" s="5" t="n">
        <x:v>6</x:v>
      </x:c>
      <x:c r="E721" s="10" t="n">
        <x:f>SUM(XLOOKUP('포켓몬_편집'!$AF721:$AN721,'분류_규칙'!$A$5:$A$76,'분류_규칙'!$E$5:$E$76,0))</x:f>
        <x:v>8</x:v>
      </x:c>
      <x:c r="F721" s="10" t="n">
        <x:f>SUM(XLOOKUP('포켓몬_편집'!$AF721:$AN721,'분류_규칙'!$A$5:$A$76,'분류_규칙'!$F$5:$F$76,0))</x:f>
        <x:v>8</x:v>
      </x:c>
      <x:c r="G721" s="10" t="n">
        <x:f>SUM(XLOOKUP('포켓몬_편집'!$AF721:$AN721,'분류_규칙'!$A$5:$A$76,'분류_규칙'!$G$5:$G$76,0))</x:f>
        <x:v>0</x:v>
      </x:c>
      <x:c r="H721" s="10" t="n">
        <x:f>SUM(XLOOKUP('포켓몬_편집'!$AF721:$AN721,'분류_규칙'!$A$5:$A$76,'분류_규칙'!$H$5:$H$76,0))</x:f>
        <x:v>12</x:v>
      </x:c>
      <x:c r="I721" s="10" t="n">
        <x:f>SUM(XLOOKUP('포켓몬_편집'!$AF721:$AN721,'분류_규칙'!$A$5:$A$76,'분류_규칙'!$I$5:$I$76,0))</x:f>
        <x:v>0</x:v>
      </x:c>
      <x:c r="J721" s="10" t="n">
        <x:f>SUM(XLOOKUP('포켓몬_편집'!$AF721:$AN721,'분류_규칙'!$A$5:$A$76,'분류_규칙'!$J$5:$J$76,0))</x:f>
        <x:v>0</x:v>
      </x:c>
      <x:c r="K721" s="10" t="n">
        <x:f>SUM(XLOOKUP('포켓몬_편집'!$AF721:$AN721,'분류_규칙'!$A$5:$A$76,'분류_규칙'!$K$5:$K$76,0))</x:f>
        <x:v>0</x:v>
      </x:c>
      <x:c r="L721" s="10" t="n">
        <x:f>SUM(XLOOKUP('포켓몬_편집'!$AF721:$AN721,'분류_규칙'!$A$5:$A$76,'분류_규칙'!$L$5:$L$76,0))</x:f>
        <x:v>3</x:v>
      </x:c>
      <x:c r="M721" s="10" t="n">
        <x:f>SUM(XLOOKUP('포켓몬_편집'!$AF721:$AN721,'분류_규칙'!$A$5:$A$76,'분류_규칙'!$M$5:$M$76,0))</x:f>
        <x:v>0</x:v>
      </x:c>
      <x:c r="N721" s="10" t="n">
        <x:f>SUM(XLOOKUP('포켓몬_편집'!$AF721:$AN721,'분류_규칙'!$A$5:$A$76,'분류_규칙'!$N$5:$N$76,0))</x:f>
        <x:v>0</x:v>
      </x:c>
      <x:c r="O721" s="10" t="n">
        <x:f>SUM(XLOOKUP('포켓몬_편집'!$AF721:$AN721,'분류_규칙'!$A$5:$A$76,'분류_규칙'!$O$5:$O$76,0))</x:f>
        <x:v>2</x:v>
      </x:c>
      <x:c r="P721" s="10" t="n">
        <x:f>SUM(XLOOKUP('포켓몬_편집'!$AF721:$AN721,'분류_규칙'!$A$5:$A$76,'분류_규칙'!$P$5:$P$76,0))</x:f>
        <x:v>0</x:v>
      </x:c>
    </x:row>
    <x:row r="722" ht="22" customHeight="1">
      <x:c r="A722" s="5" t="n">
        <x:v>718</x:v>
      </x:c>
      <x:c r="B722" s="5" t="inlineStr">
        <x:is>
          <x:t xml:space="preserve">지가르데</x:t>
        </x:is>
      </x:c>
      <x:c r="C722" s="5" t="inlineStr">
        <x:is>
          <x:t xml:space="preserve">zygarde</x:t>
        </x:is>
      </x:c>
      <x:c r="D722" s="5" t="n">
        <x:v>6</x:v>
      </x:c>
      <x:c r="E722" s="10" t="n">
        <x:f>SUM(XLOOKUP('포켓몬_편집'!$AF722:$AN722,'분류_규칙'!$A$5:$A$76,'분류_규칙'!$E$5:$E$76,0))</x:f>
        <x:v>0</x:v>
      </x:c>
      <x:c r="F722" s="10" t="n">
        <x:f>SUM(XLOOKUP('포켓몬_편집'!$AF722:$AN722,'분류_규칙'!$A$5:$A$76,'분류_규칙'!$F$5:$F$76,0))</x:f>
        <x:v>0</x:v>
      </x:c>
      <x:c r="G722" s="10" t="n">
        <x:f>SUM(XLOOKUP('포켓몬_편집'!$AF722:$AN722,'분류_규칙'!$A$5:$A$76,'분류_규칙'!$G$5:$G$76,0))</x:f>
        <x:v>0</x:v>
      </x:c>
      <x:c r="H722" s="10" t="n">
        <x:f>SUM(XLOOKUP('포켓몬_편집'!$AF722:$AN722,'분류_규칙'!$A$5:$A$76,'분류_규칙'!$H$5:$H$76,0))</x:f>
        <x:v>10</x:v>
      </x:c>
      <x:c r="I722" s="10" t="n">
        <x:f>SUM(XLOOKUP('포켓몬_편집'!$AF722:$AN722,'분류_규칙'!$A$5:$A$76,'분류_규칙'!$I$5:$I$76,0))</x:f>
        <x:v>30</x:v>
      </x:c>
      <x:c r="J722" s="10" t="n">
        <x:f>SUM(XLOOKUP('포켓몬_편집'!$AF722:$AN722,'분류_규칙'!$A$5:$A$76,'분류_규칙'!$J$5:$J$76,0))</x:f>
        <x:v>0</x:v>
      </x:c>
      <x:c r="K722" s="10" t="n">
        <x:f>SUM(XLOOKUP('포켓몬_편집'!$AF722:$AN722,'분류_규칙'!$A$5:$A$76,'분류_규칙'!$K$5:$K$76,0))</x:f>
        <x:v>0</x:v>
      </x:c>
      <x:c r="L722" s="10" t="n">
        <x:f>SUM(XLOOKUP('포켓몬_편집'!$AF722:$AN722,'분류_규칙'!$A$5:$A$76,'분류_규칙'!$L$5:$L$76,0))</x:f>
        <x:v>0</x:v>
      </x:c>
      <x:c r="M722" s="10" t="n">
        <x:f>SUM(XLOOKUP('포켓몬_편집'!$AF722:$AN722,'분류_규칙'!$A$5:$A$76,'분류_규칙'!$M$5:$M$76,0))</x:f>
        <x:v>0</x:v>
      </x:c>
      <x:c r="N722" s="10" t="n">
        <x:f>SUM(XLOOKUP('포켓몬_편집'!$AF722:$AN722,'분류_규칙'!$A$5:$A$76,'분류_규칙'!$N$5:$N$76,0))</x:f>
        <x:v>0</x:v>
      </x:c>
      <x:c r="O722" s="10" t="n">
        <x:f>SUM(XLOOKUP('포켓몬_편집'!$AF722:$AN722,'분류_규칙'!$A$5:$A$76,'분류_규칙'!$O$5:$O$76,0))</x:f>
        <x:v>0</x:v>
      </x:c>
      <x:c r="P722" s="10" t="n">
        <x:f>SUM(XLOOKUP('포켓몬_편집'!$AF722:$AN722,'분류_규칙'!$A$5:$A$76,'분류_규칙'!$P$5:$P$76,0))</x:f>
        <x:v>0</x:v>
      </x:c>
    </x:row>
    <x:row r="723" ht="22" customHeight="1">
      <x:c r="A723" s="5" t="n">
        <x:v>719</x:v>
      </x:c>
      <x:c r="B723" s="5" t="inlineStr">
        <x:is>
          <x:t xml:space="preserve">디안시</x:t>
        </x:is>
      </x:c>
      <x:c r="C723" s="5" t="inlineStr">
        <x:is>
          <x:t xml:space="preserve">diancie</x:t>
        </x:is>
      </x:c>
      <x:c r="D723" s="5" t="n">
        <x:v>6</x:v>
      </x:c>
      <x:c r="E723" s="10" t="n">
        <x:f>SUM(XLOOKUP('포켓몬_편집'!$AF723:$AN723,'분류_규칙'!$A$5:$A$76,'분류_규칙'!$E$5:$E$76,0))</x:f>
        <x:v>0</x:v>
      </x:c>
      <x:c r="F723" s="10" t="n">
        <x:f>SUM(XLOOKUP('포켓몬_편집'!$AF723:$AN723,'분류_규칙'!$A$5:$A$76,'분류_규칙'!$F$5:$F$76,0))</x:f>
        <x:v>0</x:v>
      </x:c>
      <x:c r="G723" s="10" t="n">
        <x:f>SUM(XLOOKUP('포켓몬_편집'!$AF723:$AN723,'분류_규칙'!$A$5:$A$76,'분류_규칙'!$G$5:$G$76,0))</x:f>
        <x:v>0</x:v>
      </x:c>
      <x:c r="H723" s="10" t="n">
        <x:f>SUM(XLOOKUP('포켓몬_편집'!$AF723:$AN723,'분류_규칙'!$A$5:$A$76,'분류_규칙'!$H$5:$H$76,0))</x:f>
        <x:v>10</x:v>
      </x:c>
      <x:c r="I723" s="10" t="n">
        <x:f>SUM(XLOOKUP('포켓몬_편집'!$AF723:$AN723,'분류_규칙'!$A$5:$A$76,'분류_규칙'!$I$5:$I$76,0))</x:f>
        <x:v>30</x:v>
      </x:c>
      <x:c r="J723" s="10" t="n">
        <x:f>SUM(XLOOKUP('포켓몬_편집'!$AF723:$AN723,'분류_규칙'!$A$5:$A$76,'분류_규칙'!$J$5:$J$76,0))</x:f>
        <x:v>0</x:v>
      </x:c>
      <x:c r="K723" s="10" t="n">
        <x:f>SUM(XLOOKUP('포켓몬_편집'!$AF723:$AN723,'분류_규칙'!$A$5:$A$76,'분류_규칙'!$K$5:$K$76,0))</x:f>
        <x:v>0</x:v>
      </x:c>
      <x:c r="L723" s="10" t="n">
        <x:f>SUM(XLOOKUP('포켓몬_편집'!$AF723:$AN723,'분류_규칙'!$A$5:$A$76,'분류_규칙'!$L$5:$L$76,0))</x:f>
        <x:v>0</x:v>
      </x:c>
      <x:c r="M723" s="10" t="n">
        <x:f>SUM(XLOOKUP('포켓몬_편집'!$AF723:$AN723,'분류_규칙'!$A$5:$A$76,'분류_규칙'!$M$5:$M$76,0))</x:f>
        <x:v>0</x:v>
      </x:c>
      <x:c r="N723" s="10" t="n">
        <x:f>SUM(XLOOKUP('포켓몬_편집'!$AF723:$AN723,'분류_규칙'!$A$5:$A$76,'분류_규칙'!$N$5:$N$76,0))</x:f>
        <x:v>0</x:v>
      </x:c>
      <x:c r="O723" s="10" t="n">
        <x:f>SUM(XLOOKUP('포켓몬_편집'!$AF723:$AN723,'분류_규칙'!$A$5:$A$76,'분류_규칙'!$O$5:$O$76,0))</x:f>
        <x:v>0</x:v>
      </x:c>
      <x:c r="P723" s="10" t="n">
        <x:f>SUM(XLOOKUP('포켓몬_편집'!$AF723:$AN723,'분류_규칙'!$A$5:$A$76,'분류_규칙'!$P$5:$P$76,0))</x:f>
        <x:v>0</x:v>
      </x:c>
    </x:row>
    <x:row r="724" ht="22" customHeight="1">
      <x:c r="A724" s="5" t="n">
        <x:v>720</x:v>
      </x:c>
      <x:c r="B724" s="5" t="inlineStr">
        <x:is>
          <x:t xml:space="preserve">후파</x:t>
        </x:is>
      </x:c>
      <x:c r="C724" s="5" t="inlineStr">
        <x:is>
          <x:t xml:space="preserve">hoopa</x:t>
        </x:is>
      </x:c>
      <x:c r="D724" s="5" t="n">
        <x:v>6</x:v>
      </x:c>
      <x:c r="E724" s="10" t="n">
        <x:f>SUM(XLOOKUP('포켓몬_편집'!$AF724:$AN724,'분류_규칙'!$A$5:$A$76,'분류_규칙'!$E$5:$E$76,0))</x:f>
        <x:v>0</x:v>
      </x:c>
      <x:c r="F724" s="10" t="n">
        <x:f>SUM(XLOOKUP('포켓몬_편집'!$AF724:$AN724,'분류_규칙'!$A$5:$A$76,'분류_규칙'!$F$5:$F$76,0))</x:f>
        <x:v>0</x:v>
      </x:c>
      <x:c r="G724" s="10" t="n">
        <x:f>SUM(XLOOKUP('포켓몬_편집'!$AF724:$AN724,'분류_규칙'!$A$5:$A$76,'분류_규칙'!$G$5:$G$76,0))</x:f>
        <x:v>0</x:v>
      </x:c>
      <x:c r="H724" s="10" t="n">
        <x:f>SUM(XLOOKUP('포켓몬_편집'!$AF724:$AN724,'분류_규칙'!$A$5:$A$76,'분류_규칙'!$H$5:$H$76,0))</x:f>
        <x:v>0</x:v>
      </x:c>
      <x:c r="I724" s="10" t="n">
        <x:f>SUM(XLOOKUP('포켓몬_편집'!$AF724:$AN724,'분류_규칙'!$A$5:$A$76,'분류_규칙'!$I$5:$I$76,0))</x:f>
        <x:v>10</x:v>
      </x:c>
      <x:c r="J724" s="10" t="n">
        <x:f>SUM(XLOOKUP('포켓몬_편집'!$AF724:$AN724,'분류_규칙'!$A$5:$A$76,'분류_규칙'!$J$5:$J$76,0))</x:f>
        <x:v>0</x:v>
      </x:c>
      <x:c r="K724" s="10" t="n">
        <x:f>SUM(XLOOKUP('포켓몬_편집'!$AF724:$AN724,'분류_규칙'!$A$5:$A$76,'분류_규칙'!$K$5:$K$76,0))</x:f>
        <x:v>0</x:v>
      </x:c>
      <x:c r="L724" s="10" t="n">
        <x:f>SUM(XLOOKUP('포켓몬_편집'!$AF724:$AN724,'분류_규칙'!$A$5:$A$76,'분류_규칙'!$L$5:$L$76,0))</x:f>
        <x:v>0</x:v>
      </x:c>
      <x:c r="M724" s="10" t="n">
        <x:f>SUM(XLOOKUP('포켓몬_편집'!$AF724:$AN724,'분류_규칙'!$A$5:$A$76,'분류_규칙'!$M$5:$M$76,0))</x:f>
        <x:v>0</x:v>
      </x:c>
      <x:c r="N724" s="10" t="n">
        <x:f>SUM(XLOOKUP('포켓몬_편집'!$AF724:$AN724,'분류_규칙'!$A$5:$A$76,'분류_규칙'!$N$5:$N$76,0))</x:f>
        <x:v>0</x:v>
      </x:c>
      <x:c r="O724" s="10" t="n">
        <x:f>SUM(XLOOKUP('포켓몬_편집'!$AF724:$AN724,'분류_규칙'!$A$5:$A$76,'분류_규칙'!$O$5:$O$76,0))</x:f>
        <x:v>5</x:v>
      </x:c>
      <x:c r="P724" s="10" t="n">
        <x:f>SUM(XLOOKUP('포켓몬_편집'!$AF724:$AN724,'분류_규칙'!$A$5:$A$76,'분류_규칙'!$P$5:$P$76,0))</x:f>
        <x:v>25</x:v>
      </x:c>
    </x:row>
    <x:row r="725" ht="22" customHeight="1">
      <x:c r="A725" s="5" t="n">
        <x:v>721</x:v>
      </x:c>
      <x:c r="B725" s="5" t="inlineStr">
        <x:is>
          <x:t xml:space="preserve">볼케니온</x:t>
        </x:is>
      </x:c>
      <x:c r="C725" s="5" t="inlineStr">
        <x:is>
          <x:t xml:space="preserve">volcanion</x:t>
        </x:is>
      </x:c>
      <x:c r="D725" s="5" t="n">
        <x:v>6</x:v>
      </x:c>
      <x:c r="E725" s="10" t="n">
        <x:f>SUM(XLOOKUP('포켓몬_편집'!$AF725:$AN725,'분류_규칙'!$A$5:$A$76,'분류_규칙'!$E$5:$E$76,0))</x:f>
        <x:v>0</x:v>
      </x:c>
      <x:c r="F725" s="10" t="n">
        <x:f>SUM(XLOOKUP('포켓몬_편집'!$AF725:$AN725,'분류_규칙'!$A$5:$A$76,'분류_규칙'!$F$5:$F$76,0))</x:f>
        <x:v>0</x:v>
      </x:c>
      <x:c r="G725" s="10" t="n">
        <x:f>SUM(XLOOKUP('포켓몬_편집'!$AF725:$AN725,'분류_규칙'!$A$5:$A$76,'분류_규칙'!$G$5:$G$76,0))</x:f>
        <x:v>0</x:v>
      </x:c>
      <x:c r="H725" s="10" t="n">
        <x:f>SUM(XLOOKUP('포켓몬_편집'!$AF725:$AN725,'분류_규칙'!$A$5:$A$76,'분류_규칙'!$H$5:$H$76,0))</x:f>
        <x:v>0</x:v>
      </x:c>
      <x:c r="I725" s="10" t="n">
        <x:f>SUM(XLOOKUP('포켓몬_편집'!$AF725:$AN725,'분류_규칙'!$A$5:$A$76,'분류_규칙'!$I$5:$I$76,0))</x:f>
        <x:v>0</x:v>
      </x:c>
      <x:c r="J725" s="10" t="n">
        <x:f>SUM(XLOOKUP('포켓몬_편집'!$AF725:$AN725,'분류_규칙'!$A$5:$A$76,'분류_규칙'!$J$5:$J$76,0))</x:f>
        <x:v>22</x:v>
      </x:c>
      <x:c r="K725" s="10" t="n">
        <x:f>SUM(XLOOKUP('포켓몬_편집'!$AF725:$AN725,'분류_규칙'!$A$5:$A$76,'분류_규칙'!$K$5:$K$76,0))</x:f>
        <x:v>16</x:v>
      </x:c>
      <x:c r="L725" s="10" t="n">
        <x:f>SUM(XLOOKUP('포켓몬_편집'!$AF725:$AN725,'분류_규칙'!$A$5:$A$76,'분류_규칙'!$L$5:$L$76,0))</x:f>
        <x:v>8</x:v>
      </x:c>
      <x:c r="M725" s="10" t="n">
        <x:f>SUM(XLOOKUP('포켓몬_편집'!$AF725:$AN725,'분류_규칙'!$A$5:$A$76,'분류_규칙'!$M$5:$M$76,0))</x:f>
        <x:v>0</x:v>
      </x:c>
      <x:c r="N725" s="10" t="n">
        <x:f>SUM(XLOOKUP('포켓몬_편집'!$AF725:$AN725,'분류_규칙'!$A$5:$A$76,'분류_규칙'!$N$5:$N$76,0))</x:f>
        <x:v>0</x:v>
      </x:c>
      <x:c r="O725" s="10" t="n">
        <x:f>SUM(XLOOKUP('포켓몬_편집'!$AF725:$AN725,'분류_규칙'!$A$5:$A$76,'분류_규칙'!$O$5:$O$76,0))</x:f>
        <x:v>0</x:v>
      </x:c>
      <x:c r="P725" s="10" t="n">
        <x:f>SUM(XLOOKUP('포켓몬_편집'!$AF725:$AN725,'분류_규칙'!$A$5:$A$76,'분류_규칙'!$P$5:$P$76,0))</x:f>
        <x:v>0</x:v>
      </x:c>
    </x:row>
    <x:row r="726" ht="22" customHeight="1">
      <x:c r="A726" s="5" t="n">
        <x:v>722</x:v>
      </x:c>
      <x:c r="B726" s="5" t="inlineStr">
        <x:is>
          <x:t xml:space="preserve">나몰빼미</x:t>
        </x:is>
      </x:c>
      <x:c r="C726" s="5" t="inlineStr">
        <x:is>
          <x:t xml:space="preserve">rowlet</x:t>
        </x:is>
      </x:c>
      <x:c r="D726" s="5" t="n">
        <x:v>7</x:v>
      </x:c>
      <x:c r="E726" s="10" t="n">
        <x:f>SUM(XLOOKUP('포켓몬_편집'!$AF726:$AN726,'분류_규칙'!$A$5:$A$76,'분류_규칙'!$E$5:$E$76,0))</x:f>
        <x:v>8</x:v>
      </x:c>
      <x:c r="F726" s="10" t="n">
        <x:f>SUM(XLOOKUP('포켓몬_편집'!$AF726:$AN726,'분류_규칙'!$A$5:$A$76,'분류_규칙'!$F$5:$F$76,0))</x:f>
        <x:v>8</x:v>
      </x:c>
      <x:c r="G726" s="10" t="n">
        <x:f>SUM(XLOOKUP('포켓몬_편집'!$AF726:$AN726,'분류_규칙'!$A$5:$A$76,'분류_규칙'!$G$5:$G$76,0))</x:f>
        <x:v>0</x:v>
      </x:c>
      <x:c r="H726" s="10" t="n">
        <x:f>SUM(XLOOKUP('포켓몬_편집'!$AF726:$AN726,'분류_규칙'!$A$5:$A$76,'분류_규칙'!$H$5:$H$76,0))</x:f>
        <x:v>12</x:v>
      </x:c>
      <x:c r="I726" s="10" t="n">
        <x:f>SUM(XLOOKUP('포켓몬_편집'!$AF726:$AN726,'분류_규칙'!$A$5:$A$76,'분류_규칙'!$I$5:$I$76,0))</x:f>
        <x:v>0</x:v>
      </x:c>
      <x:c r="J726" s="10" t="n">
        <x:f>SUM(XLOOKUP('포켓몬_편집'!$AF726:$AN726,'분류_규칙'!$A$5:$A$76,'분류_규칙'!$J$5:$J$76,0))</x:f>
        <x:v>0</x:v>
      </x:c>
      <x:c r="K726" s="10" t="n">
        <x:f>SUM(XLOOKUP('포켓몬_편집'!$AF726:$AN726,'분류_규칙'!$A$5:$A$76,'분류_규칙'!$K$5:$K$76,0))</x:f>
        <x:v>0</x:v>
      </x:c>
      <x:c r="L726" s="10" t="n">
        <x:f>SUM(XLOOKUP('포켓몬_편집'!$AF726:$AN726,'분류_규칙'!$A$5:$A$76,'분류_규칙'!$L$5:$L$76,0))</x:f>
        <x:v>3</x:v>
      </x:c>
      <x:c r="M726" s="10" t="n">
        <x:f>SUM(XLOOKUP('포켓몬_편집'!$AF726:$AN726,'분류_규칙'!$A$5:$A$76,'분류_규칙'!$M$5:$M$76,0))</x:f>
        <x:v>0</x:v>
      </x:c>
      <x:c r="N726" s="10" t="n">
        <x:f>SUM(XLOOKUP('포켓몬_편집'!$AF726:$AN726,'분류_규칙'!$A$5:$A$76,'분류_규칙'!$N$5:$N$76,0))</x:f>
        <x:v>0</x:v>
      </x:c>
      <x:c r="O726" s="10" t="n">
        <x:f>SUM(XLOOKUP('포켓몬_편집'!$AF726:$AN726,'분류_규칙'!$A$5:$A$76,'분류_규칙'!$O$5:$O$76,0))</x:f>
        <x:v>2</x:v>
      </x:c>
      <x:c r="P726" s="10" t="n">
        <x:f>SUM(XLOOKUP('포켓몬_편집'!$AF726:$AN726,'분류_규칙'!$A$5:$A$76,'분류_규칙'!$P$5:$P$76,0))</x:f>
        <x:v>0</x:v>
      </x:c>
    </x:row>
    <x:row r="727" ht="22" customHeight="1">
      <x:c r="A727" s="5" t="n">
        <x:v>723</x:v>
      </x:c>
      <x:c r="B727" s="5" t="inlineStr">
        <x:is>
          <x:t xml:space="preserve">빼미스로우</x:t>
        </x:is>
      </x:c>
      <x:c r="C727" s="5" t="inlineStr">
        <x:is>
          <x:t xml:space="preserve">dartrix</x:t>
        </x:is>
      </x:c>
      <x:c r="D727" s="5" t="n">
        <x:v>7</x:v>
      </x:c>
      <x:c r="E727" s="10" t="n">
        <x:f>SUM(XLOOKUP('포켓몬_편집'!$AF727:$AN727,'분류_규칙'!$A$5:$A$76,'분류_규칙'!$E$5:$E$76,0))</x:f>
        <x:v>8</x:v>
      </x:c>
      <x:c r="F727" s="10" t="n">
        <x:f>SUM(XLOOKUP('포켓몬_편집'!$AF727:$AN727,'분류_규칙'!$A$5:$A$76,'분류_규칙'!$F$5:$F$76,0))</x:f>
        <x:v>8</x:v>
      </x:c>
      <x:c r="G727" s="10" t="n">
        <x:f>SUM(XLOOKUP('포켓몬_편집'!$AF727:$AN727,'분류_규칙'!$A$5:$A$76,'분류_규칙'!$G$5:$G$76,0))</x:f>
        <x:v>0</x:v>
      </x:c>
      <x:c r="H727" s="10" t="n">
        <x:f>SUM(XLOOKUP('포켓몬_편집'!$AF727:$AN727,'분류_규칙'!$A$5:$A$76,'분류_규칙'!$H$5:$H$76,0))</x:f>
        <x:v>12</x:v>
      </x:c>
      <x:c r="I727" s="10" t="n">
        <x:f>SUM(XLOOKUP('포켓몬_편집'!$AF727:$AN727,'분류_규칙'!$A$5:$A$76,'분류_규칙'!$I$5:$I$76,0))</x:f>
        <x:v>0</x:v>
      </x:c>
      <x:c r="J727" s="10" t="n">
        <x:f>SUM(XLOOKUP('포켓몬_편집'!$AF727:$AN727,'분류_규칙'!$A$5:$A$76,'분류_규칙'!$J$5:$J$76,0))</x:f>
        <x:v>0</x:v>
      </x:c>
      <x:c r="K727" s="10" t="n">
        <x:f>SUM(XLOOKUP('포켓몬_편집'!$AF727:$AN727,'분류_규칙'!$A$5:$A$76,'분류_규칙'!$K$5:$K$76,0))</x:f>
        <x:v>0</x:v>
      </x:c>
      <x:c r="L727" s="10" t="n">
        <x:f>SUM(XLOOKUP('포켓몬_편집'!$AF727:$AN727,'분류_규칙'!$A$5:$A$76,'분류_규칙'!$L$5:$L$76,0))</x:f>
        <x:v>3</x:v>
      </x:c>
      <x:c r="M727" s="10" t="n">
        <x:f>SUM(XLOOKUP('포켓몬_편집'!$AF727:$AN727,'분류_규칙'!$A$5:$A$76,'분류_규칙'!$M$5:$M$76,0))</x:f>
        <x:v>0</x:v>
      </x:c>
      <x:c r="N727" s="10" t="n">
        <x:f>SUM(XLOOKUP('포켓몬_편집'!$AF727:$AN727,'분류_규칙'!$A$5:$A$76,'분류_규칙'!$N$5:$N$76,0))</x:f>
        <x:v>0</x:v>
      </x:c>
      <x:c r="O727" s="10" t="n">
        <x:f>SUM(XLOOKUP('포켓몬_편집'!$AF727:$AN727,'분류_규칙'!$A$5:$A$76,'분류_규칙'!$O$5:$O$76,0))</x:f>
        <x:v>2</x:v>
      </x:c>
      <x:c r="P727" s="10" t="n">
        <x:f>SUM(XLOOKUP('포켓몬_편집'!$AF727:$AN727,'분류_규칙'!$A$5:$A$76,'분류_규칙'!$P$5:$P$76,0))</x:f>
        <x:v>0</x:v>
      </x:c>
    </x:row>
    <x:row r="728" ht="22" customHeight="1">
      <x:c r="A728" s="5" t="n">
        <x:v>724</x:v>
      </x:c>
      <x:c r="B728" s="5" t="inlineStr">
        <x:is>
          <x:t xml:space="preserve">모크나이퍼</x:t>
        </x:is>
      </x:c>
      <x:c r="C728" s="5" t="inlineStr">
        <x:is>
          <x:t xml:space="preserve">decidueye</x:t>
        </x:is>
      </x:c>
      <x:c r="D728" s="5" t="n">
        <x:v>7</x:v>
      </x:c>
      <x:c r="E728" s="10" t="n">
        <x:f>SUM(XLOOKUP('포켓몬_편집'!$AF728:$AN728,'분류_규칙'!$A$5:$A$76,'분류_규칙'!$E$5:$E$76,0))</x:f>
        <x:v>8</x:v>
      </x:c>
      <x:c r="F728" s="10" t="n">
        <x:f>SUM(XLOOKUP('포켓몬_편집'!$AF728:$AN728,'분류_규칙'!$A$5:$A$76,'분류_규칙'!$F$5:$F$76,0))</x:f>
        <x:v>8</x:v>
      </x:c>
      <x:c r="G728" s="10" t="n">
        <x:f>SUM(XLOOKUP('포켓몬_편집'!$AF728:$AN728,'분류_규칙'!$A$5:$A$76,'분류_규칙'!$G$5:$G$76,0))</x:f>
        <x:v>0</x:v>
      </x:c>
      <x:c r="H728" s="10" t="n">
        <x:f>SUM(XLOOKUP('포켓몬_편집'!$AF728:$AN728,'분류_규칙'!$A$5:$A$76,'분류_규칙'!$H$5:$H$76,0))</x:f>
        <x:v>12</x:v>
      </x:c>
      <x:c r="I728" s="10" t="n">
        <x:f>SUM(XLOOKUP('포켓몬_편집'!$AF728:$AN728,'분류_규칙'!$A$5:$A$76,'분류_규칙'!$I$5:$I$76,0))</x:f>
        <x:v>0</x:v>
      </x:c>
      <x:c r="J728" s="10" t="n">
        <x:f>SUM(XLOOKUP('포켓몬_편집'!$AF728:$AN728,'분류_규칙'!$A$5:$A$76,'분류_규칙'!$J$5:$J$76,0))</x:f>
        <x:v>0</x:v>
      </x:c>
      <x:c r="K728" s="10" t="n">
        <x:f>SUM(XLOOKUP('포켓몬_편집'!$AF728:$AN728,'분류_규칙'!$A$5:$A$76,'분류_규칙'!$K$5:$K$76,0))</x:f>
        <x:v>0</x:v>
      </x:c>
      <x:c r="L728" s="10" t="n">
        <x:f>SUM(XLOOKUP('포켓몬_편집'!$AF728:$AN728,'분류_규칙'!$A$5:$A$76,'분류_규칙'!$L$5:$L$76,0))</x:f>
        <x:v>3</x:v>
      </x:c>
      <x:c r="M728" s="10" t="n">
        <x:f>SUM(XLOOKUP('포켓몬_편집'!$AF728:$AN728,'분류_규칙'!$A$5:$A$76,'분류_규칙'!$M$5:$M$76,0))</x:f>
        <x:v>0</x:v>
      </x:c>
      <x:c r="N728" s="10" t="n">
        <x:f>SUM(XLOOKUP('포켓몬_편집'!$AF728:$AN728,'분류_규칙'!$A$5:$A$76,'분류_규칙'!$N$5:$N$76,0))</x:f>
        <x:v>0</x:v>
      </x:c>
      <x:c r="O728" s="10" t="n">
        <x:f>SUM(XLOOKUP('포켓몬_편집'!$AF728:$AN728,'분류_규칙'!$A$5:$A$76,'분류_규칙'!$O$5:$O$76,0))</x:f>
        <x:v>2</x:v>
      </x:c>
      <x:c r="P728" s="10" t="n">
        <x:f>SUM(XLOOKUP('포켓몬_편집'!$AF728:$AN728,'분류_규칙'!$A$5:$A$76,'분류_규칙'!$P$5:$P$76,0))</x:f>
        <x:v>0</x:v>
      </x:c>
    </x:row>
    <x:row r="729" ht="22" customHeight="1">
      <x:c r="A729" s="5" t="n">
        <x:v>725</x:v>
      </x:c>
      <x:c r="B729" s="5" t="inlineStr">
        <x:is>
          <x:t xml:space="preserve">냐오불</x:t>
        </x:is>
      </x:c>
      <x:c r="C729" s="5" t="inlineStr">
        <x:is>
          <x:t xml:space="preserve">litten</x:t>
        </x:is>
      </x:c>
      <x:c r="D729" s="5" t="n">
        <x:v>7</x:v>
      </x:c>
      <x:c r="E729" s="10" t="n">
        <x:f>SUM(XLOOKUP('포켓몬_편집'!$AF729:$AN729,'분류_규칙'!$A$5:$A$76,'분류_규칙'!$E$5:$E$76,0))</x:f>
        <x:v>10</x:v>
      </x:c>
      <x:c r="F729" s="10" t="n">
        <x:f>SUM(XLOOKUP('포켓몬_편집'!$AF729:$AN729,'분류_규칙'!$A$5:$A$76,'분류_규칙'!$F$5:$F$76,0))</x:f>
        <x:v>7</x:v>
      </x:c>
      <x:c r="G729" s="10" t="n">
        <x:f>SUM(XLOOKUP('포켓몬_편집'!$AF729:$AN729,'분류_규칙'!$A$5:$A$76,'분류_규칙'!$G$5:$G$76,0))</x:f>
        <x:v>5</x:v>
      </x:c>
      <x:c r="H729" s="10" t="n">
        <x:f>SUM(XLOOKUP('포켓몬_편집'!$AF729:$AN729,'분류_규칙'!$A$5:$A$76,'분류_규칙'!$H$5:$H$76,0))</x:f>
        <x:v>5</x:v>
      </x:c>
      <x:c r="I729" s="10" t="n">
        <x:f>SUM(XLOOKUP('포켓몬_편집'!$AF729:$AN729,'분류_규칙'!$A$5:$A$76,'분류_규칙'!$I$5:$I$76,0))</x:f>
        <x:v>0</x:v>
      </x:c>
      <x:c r="J729" s="10" t="n">
        <x:f>SUM(XLOOKUP('포켓몬_편집'!$AF729:$AN729,'분류_규칙'!$A$5:$A$76,'분류_규칙'!$J$5:$J$76,0))</x:f>
        <x:v>2</x:v>
      </x:c>
      <x:c r="K729" s="10" t="n">
        <x:f>SUM(XLOOKUP('포켓몬_편집'!$AF729:$AN729,'분류_규칙'!$A$5:$A$76,'분류_규칙'!$K$5:$K$76,0))</x:f>
        <x:v>0</x:v>
      </x:c>
      <x:c r="L729" s="10" t="n">
        <x:f>SUM(XLOOKUP('포켓몬_편집'!$AF729:$AN729,'분류_규칙'!$A$5:$A$76,'분류_규칙'!$L$5:$L$76,0))</x:f>
        <x:v>0</x:v>
      </x:c>
      <x:c r="M729" s="10" t="n">
        <x:f>SUM(XLOOKUP('포켓몬_편집'!$AF729:$AN729,'분류_규칙'!$A$5:$A$76,'분류_규칙'!$M$5:$M$76,0))</x:f>
        <x:v>0</x:v>
      </x:c>
      <x:c r="N729" s="10" t="n">
        <x:f>SUM(XLOOKUP('포켓몬_편집'!$AF729:$AN729,'분류_규칙'!$A$5:$A$76,'분류_규칙'!$N$5:$N$76,0))</x:f>
        <x:v>0</x:v>
      </x:c>
      <x:c r="O729" s="10" t="n">
        <x:f>SUM(XLOOKUP('포켓몬_편집'!$AF729:$AN729,'분류_규칙'!$A$5:$A$76,'분류_규칙'!$O$5:$O$76,0))</x:f>
        <x:v>2</x:v>
      </x:c>
      <x:c r="P729" s="10" t="n">
        <x:f>SUM(XLOOKUP('포켓몬_편집'!$AF729:$AN729,'분류_규칙'!$A$5:$A$76,'분류_규칙'!$P$5:$P$76,0))</x:f>
        <x:v>0</x:v>
      </x:c>
    </x:row>
    <x:row r="730" ht="22" customHeight="1">
      <x:c r="A730" s="5" t="n">
        <x:v>726</x:v>
      </x:c>
      <x:c r="B730" s="5" t="inlineStr">
        <x:is>
          <x:t xml:space="preserve">냐오히트</x:t>
        </x:is>
      </x:c>
      <x:c r="C730" s="5" t="inlineStr">
        <x:is>
          <x:t xml:space="preserve">torracat</x:t>
        </x:is>
      </x:c>
      <x:c r="D730" s="5" t="n">
        <x:v>7</x:v>
      </x:c>
      <x:c r="E730" s="10" t="n">
        <x:f>SUM(XLOOKUP('포켓몬_편집'!$AF730:$AN730,'분류_규칙'!$A$5:$A$76,'분류_규칙'!$E$5:$E$76,0))</x:f>
        <x:v>10</x:v>
      </x:c>
      <x:c r="F730" s="10" t="n">
        <x:f>SUM(XLOOKUP('포켓몬_편집'!$AF730:$AN730,'분류_규칙'!$A$5:$A$76,'분류_규칙'!$F$5:$F$76,0))</x:f>
        <x:v>7</x:v>
      </x:c>
      <x:c r="G730" s="10" t="n">
        <x:f>SUM(XLOOKUP('포켓몬_편집'!$AF730:$AN730,'분류_규칙'!$A$5:$A$76,'분류_규칙'!$G$5:$G$76,0))</x:f>
        <x:v>5</x:v>
      </x:c>
      <x:c r="H730" s="10" t="n">
        <x:f>SUM(XLOOKUP('포켓몬_편집'!$AF730:$AN730,'분류_규칙'!$A$5:$A$76,'분류_규칙'!$H$5:$H$76,0))</x:f>
        <x:v>5</x:v>
      </x:c>
      <x:c r="I730" s="10" t="n">
        <x:f>SUM(XLOOKUP('포켓몬_편집'!$AF730:$AN730,'분류_규칙'!$A$5:$A$76,'분류_규칙'!$I$5:$I$76,0))</x:f>
        <x:v>0</x:v>
      </x:c>
      <x:c r="J730" s="10" t="n">
        <x:f>SUM(XLOOKUP('포켓몬_편집'!$AF730:$AN730,'분류_규칙'!$A$5:$A$76,'분류_규칙'!$J$5:$J$76,0))</x:f>
        <x:v>2</x:v>
      </x:c>
      <x:c r="K730" s="10" t="n">
        <x:f>SUM(XLOOKUP('포켓몬_편집'!$AF730:$AN730,'분류_규칙'!$A$5:$A$76,'분류_규칙'!$K$5:$K$76,0))</x:f>
        <x:v>0</x:v>
      </x:c>
      <x:c r="L730" s="10" t="n">
        <x:f>SUM(XLOOKUP('포켓몬_편집'!$AF730:$AN730,'분류_규칙'!$A$5:$A$76,'분류_규칙'!$L$5:$L$76,0))</x:f>
        <x:v>0</x:v>
      </x:c>
      <x:c r="M730" s="10" t="n">
        <x:f>SUM(XLOOKUP('포켓몬_편집'!$AF730:$AN730,'분류_규칙'!$A$5:$A$76,'분류_규칙'!$M$5:$M$76,0))</x:f>
        <x:v>0</x:v>
      </x:c>
      <x:c r="N730" s="10" t="n">
        <x:f>SUM(XLOOKUP('포켓몬_편집'!$AF730:$AN730,'분류_규칙'!$A$5:$A$76,'분류_규칙'!$N$5:$N$76,0))</x:f>
        <x:v>0</x:v>
      </x:c>
      <x:c r="O730" s="10" t="n">
        <x:f>SUM(XLOOKUP('포켓몬_편집'!$AF730:$AN730,'분류_규칙'!$A$5:$A$76,'분류_규칙'!$O$5:$O$76,0))</x:f>
        <x:v>2</x:v>
      </x:c>
      <x:c r="P730" s="10" t="n">
        <x:f>SUM(XLOOKUP('포켓몬_편집'!$AF730:$AN730,'분류_규칙'!$A$5:$A$76,'분류_규칙'!$P$5:$P$76,0))</x:f>
        <x:v>0</x:v>
      </x:c>
    </x:row>
    <x:row r="731" ht="22" customHeight="1">
      <x:c r="A731" s="5" t="n">
        <x:v>727</x:v>
      </x:c>
      <x:c r="B731" s="5" t="inlineStr">
        <x:is>
          <x:t xml:space="preserve">어흥염</x:t>
        </x:is>
      </x:c>
      <x:c r="C731" s="5" t="inlineStr">
        <x:is>
          <x:t xml:space="preserve">incineroar</x:t>
        </x:is>
      </x:c>
      <x:c r="D731" s="5" t="n">
        <x:v>7</x:v>
      </x:c>
      <x:c r="E731" s="10" t="n">
        <x:f>SUM(XLOOKUP('포켓몬_편집'!$AF731:$AN731,'분류_규칙'!$A$5:$A$76,'분류_규칙'!$E$5:$E$76,0))</x:f>
        <x:v>10</x:v>
      </x:c>
      <x:c r="F731" s="10" t="n">
        <x:f>SUM(XLOOKUP('포켓몬_편집'!$AF731:$AN731,'분류_규칙'!$A$5:$A$76,'분류_규칙'!$F$5:$F$76,0))</x:f>
        <x:v>7</x:v>
      </x:c>
      <x:c r="G731" s="10" t="n">
        <x:f>SUM(XLOOKUP('포켓몬_편집'!$AF731:$AN731,'분류_규칙'!$A$5:$A$76,'분류_규칙'!$G$5:$G$76,0))</x:f>
        <x:v>5</x:v>
      </x:c>
      <x:c r="H731" s="10" t="n">
        <x:f>SUM(XLOOKUP('포켓몬_편집'!$AF731:$AN731,'분류_규칙'!$A$5:$A$76,'분류_규칙'!$H$5:$H$76,0))</x:f>
        <x:v>5</x:v>
      </x:c>
      <x:c r="I731" s="10" t="n">
        <x:f>SUM(XLOOKUP('포켓몬_편집'!$AF731:$AN731,'분류_규칙'!$A$5:$A$76,'분류_규칙'!$I$5:$I$76,0))</x:f>
        <x:v>0</x:v>
      </x:c>
      <x:c r="J731" s="10" t="n">
        <x:f>SUM(XLOOKUP('포켓몬_편집'!$AF731:$AN731,'분류_규칙'!$A$5:$A$76,'분류_규칙'!$J$5:$J$76,0))</x:f>
        <x:v>2</x:v>
      </x:c>
      <x:c r="K731" s="10" t="n">
        <x:f>SUM(XLOOKUP('포켓몬_편집'!$AF731:$AN731,'분류_규칙'!$A$5:$A$76,'분류_규칙'!$K$5:$K$76,0))</x:f>
        <x:v>0</x:v>
      </x:c>
      <x:c r="L731" s="10" t="n">
        <x:f>SUM(XLOOKUP('포켓몬_편집'!$AF731:$AN731,'분류_규칙'!$A$5:$A$76,'분류_규칙'!$L$5:$L$76,0))</x:f>
        <x:v>0</x:v>
      </x:c>
      <x:c r="M731" s="10" t="n">
        <x:f>SUM(XLOOKUP('포켓몬_편집'!$AF731:$AN731,'분류_규칙'!$A$5:$A$76,'분류_규칙'!$M$5:$M$76,0))</x:f>
        <x:v>0</x:v>
      </x:c>
      <x:c r="N731" s="10" t="n">
        <x:f>SUM(XLOOKUP('포켓몬_편집'!$AF731:$AN731,'분류_규칙'!$A$5:$A$76,'분류_규칙'!$N$5:$N$76,0))</x:f>
        <x:v>0</x:v>
      </x:c>
      <x:c r="O731" s="10" t="n">
        <x:f>SUM(XLOOKUP('포켓몬_편집'!$AF731:$AN731,'분류_규칙'!$A$5:$A$76,'분류_규칙'!$O$5:$O$76,0))</x:f>
        <x:v>2</x:v>
      </x:c>
      <x:c r="P731" s="10" t="n">
        <x:f>SUM(XLOOKUP('포켓몬_편집'!$AF731:$AN731,'분류_규칙'!$A$5:$A$76,'분류_규칙'!$P$5:$P$76,0))</x:f>
        <x:v>0</x:v>
      </x:c>
    </x:row>
    <x:row r="732" ht="22" customHeight="1">
      <x:c r="A732" s="5" t="n">
        <x:v>728</x:v>
      </x:c>
      <x:c r="B732" s="5" t="inlineStr">
        <x:is>
          <x:t xml:space="preserve">누리공</x:t>
        </x:is>
      </x:c>
      <x:c r="C732" s="5" t="inlineStr">
        <x:is>
          <x:t xml:space="preserve">popplio</x:t>
        </x:is>
      </x:c>
      <x:c r="D732" s="5" t="n">
        <x:v>7</x:v>
      </x:c>
      <x:c r="E732" s="10" t="n">
        <x:f>SUM(XLOOKUP('포켓몬_편집'!$AF732:$AN732,'분류_규칙'!$A$5:$A$76,'분류_규칙'!$E$5:$E$76,0))</x:f>
        <x:v>0</x:v>
      </x:c>
      <x:c r="F732" s="10" t="n">
        <x:f>SUM(XLOOKUP('포켓몬_편집'!$AF732:$AN732,'분류_규칙'!$A$5:$A$76,'분류_규칙'!$F$5:$F$76,0))</x:f>
        <x:v>0</x:v>
      </x:c>
      <x:c r="G732" s="10" t="n">
        <x:f>SUM(XLOOKUP('포켓몬_편집'!$AF732:$AN732,'분류_규칙'!$A$5:$A$76,'분류_규칙'!$G$5:$G$76,0))</x:f>
        <x:v>0</x:v>
      </x:c>
      <x:c r="H732" s="10" t="n">
        <x:f>SUM(XLOOKUP('포켓몬_편집'!$AF732:$AN732,'분류_규칙'!$A$5:$A$76,'분류_규칙'!$H$5:$H$76,0))</x:f>
        <x:v>0</x:v>
      </x:c>
      <x:c r="I732" s="10" t="n">
        <x:f>SUM(XLOOKUP('포켓몬_편집'!$AF732:$AN732,'분류_규칙'!$A$5:$A$76,'분류_규칙'!$I$5:$I$76,0))</x:f>
        <x:v>0</x:v>
      </x:c>
      <x:c r="J732" s="10" t="n">
        <x:f>SUM(XLOOKUP('포켓몬_편집'!$AF732:$AN732,'분류_규칙'!$A$5:$A$76,'분류_규칙'!$J$5:$J$76,0))</x:f>
        <x:v>3</x:v>
      </x:c>
      <x:c r="K732" s="10" t="n">
        <x:f>SUM(XLOOKUP('포켓몬_편집'!$AF732:$AN732,'분류_규칙'!$A$5:$A$76,'분류_규칙'!$K$5:$K$76,0))</x:f>
        <x:v>0</x:v>
      </x:c>
      <x:c r="L732" s="10" t="n">
        <x:f>SUM(XLOOKUP('포켓몬_편집'!$AF732:$AN732,'분류_규칙'!$A$5:$A$76,'분류_규칙'!$L$5:$L$76,0))</x:f>
        <x:v>30</x:v>
      </x:c>
      <x:c r="M732" s="10" t="n">
        <x:f>SUM(XLOOKUP('포켓몬_편집'!$AF732:$AN732,'분류_규칙'!$A$5:$A$76,'분류_규칙'!$M$5:$M$76,0))</x:f>
        <x:v>0</x:v>
      </x:c>
      <x:c r="N732" s="10" t="n">
        <x:f>SUM(XLOOKUP('포켓몬_편집'!$AF732:$AN732,'분류_규칙'!$A$5:$A$76,'분류_규칙'!$N$5:$N$76,0))</x:f>
        <x:v>0</x:v>
      </x:c>
      <x:c r="O732" s="10" t="n">
        <x:f>SUM(XLOOKUP('포켓몬_편집'!$AF732:$AN732,'분류_규칙'!$A$5:$A$76,'분류_규칙'!$O$5:$O$76,0))</x:f>
        <x:v>0</x:v>
      </x:c>
      <x:c r="P732" s="10" t="n">
        <x:f>SUM(XLOOKUP('포켓몬_편집'!$AF732:$AN732,'분류_규칙'!$A$5:$A$76,'분류_규칙'!$P$5:$P$76,0))</x:f>
        <x:v>0</x:v>
      </x:c>
    </x:row>
    <x:row r="733" ht="22" customHeight="1">
      <x:c r="A733" s="5" t="n">
        <x:v>729</x:v>
      </x:c>
      <x:c r="B733" s="5" t="inlineStr">
        <x:is>
          <x:t xml:space="preserve">키요공</x:t>
        </x:is>
      </x:c>
      <x:c r="C733" s="5" t="inlineStr">
        <x:is>
          <x:t xml:space="preserve">brionne</x:t>
        </x:is>
      </x:c>
      <x:c r="D733" s="5" t="n">
        <x:v>7</x:v>
      </x:c>
      <x:c r="E733" s="10" t="n">
        <x:f>SUM(XLOOKUP('포켓몬_편집'!$AF733:$AN733,'분류_규칙'!$A$5:$A$76,'분류_규칙'!$E$5:$E$76,0))</x:f>
        <x:v>0</x:v>
      </x:c>
      <x:c r="F733" s="10" t="n">
        <x:f>SUM(XLOOKUP('포켓몬_편집'!$AF733:$AN733,'분류_규칙'!$A$5:$A$76,'분류_규칙'!$F$5:$F$76,0))</x:f>
        <x:v>0</x:v>
      </x:c>
      <x:c r="G733" s="10" t="n">
        <x:f>SUM(XLOOKUP('포켓몬_편집'!$AF733:$AN733,'분류_규칙'!$A$5:$A$76,'분류_규칙'!$G$5:$G$76,0))</x:f>
        <x:v>0</x:v>
      </x:c>
      <x:c r="H733" s="10" t="n">
        <x:f>SUM(XLOOKUP('포켓몬_편집'!$AF733:$AN733,'분류_규칙'!$A$5:$A$76,'분류_규칙'!$H$5:$H$76,0))</x:f>
        <x:v>0</x:v>
      </x:c>
      <x:c r="I733" s="10" t="n">
        <x:f>SUM(XLOOKUP('포켓몬_편집'!$AF733:$AN733,'분류_규칙'!$A$5:$A$76,'분류_규칙'!$I$5:$I$76,0))</x:f>
        <x:v>0</x:v>
      </x:c>
      <x:c r="J733" s="10" t="n">
        <x:f>SUM(XLOOKUP('포켓몬_편집'!$AF733:$AN733,'분류_규칙'!$A$5:$A$76,'분류_규칙'!$J$5:$J$76,0))</x:f>
        <x:v>3</x:v>
      </x:c>
      <x:c r="K733" s="10" t="n">
        <x:f>SUM(XLOOKUP('포켓몬_편집'!$AF733:$AN733,'분류_규칙'!$A$5:$A$76,'분류_규칙'!$K$5:$K$76,0))</x:f>
        <x:v>0</x:v>
      </x:c>
      <x:c r="L733" s="10" t="n">
        <x:f>SUM(XLOOKUP('포켓몬_편집'!$AF733:$AN733,'분류_규칙'!$A$5:$A$76,'분류_규칙'!$L$5:$L$76,0))</x:f>
        <x:v>30</x:v>
      </x:c>
      <x:c r="M733" s="10" t="n">
        <x:f>SUM(XLOOKUP('포켓몬_편집'!$AF733:$AN733,'분류_규칙'!$A$5:$A$76,'분류_규칙'!$M$5:$M$76,0))</x:f>
        <x:v>0</x:v>
      </x:c>
      <x:c r="N733" s="10" t="n">
        <x:f>SUM(XLOOKUP('포켓몬_편집'!$AF733:$AN733,'분류_규칙'!$A$5:$A$76,'분류_규칙'!$N$5:$N$76,0))</x:f>
        <x:v>0</x:v>
      </x:c>
      <x:c r="O733" s="10" t="n">
        <x:f>SUM(XLOOKUP('포켓몬_편집'!$AF733:$AN733,'분류_규칙'!$A$5:$A$76,'분류_규칙'!$O$5:$O$76,0))</x:f>
        <x:v>0</x:v>
      </x:c>
      <x:c r="P733" s="10" t="n">
        <x:f>SUM(XLOOKUP('포켓몬_편집'!$AF733:$AN733,'분류_규칙'!$A$5:$A$76,'분류_규칙'!$P$5:$P$76,0))</x:f>
        <x:v>0</x:v>
      </x:c>
    </x:row>
    <x:row r="734" ht="22" customHeight="1">
      <x:c r="A734" s="5" t="n">
        <x:v>730</x:v>
      </x:c>
      <x:c r="B734" s="5" t="inlineStr">
        <x:is>
          <x:t xml:space="preserve">누리레느</x:t>
        </x:is>
      </x:c>
      <x:c r="C734" s="5" t="inlineStr">
        <x:is>
          <x:t xml:space="preserve">primarina</x:t>
        </x:is>
      </x:c>
      <x:c r="D734" s="5" t="n">
        <x:v>7</x:v>
      </x:c>
      <x:c r="E734" s="10" t="n">
        <x:f>SUM(XLOOKUP('포켓몬_편집'!$AF734:$AN734,'분류_규칙'!$A$5:$A$76,'분류_규칙'!$E$5:$E$76,0))</x:f>
        <x:v>0</x:v>
      </x:c>
      <x:c r="F734" s="10" t="n">
        <x:f>SUM(XLOOKUP('포켓몬_편집'!$AF734:$AN734,'분류_규칙'!$A$5:$A$76,'분류_규칙'!$F$5:$F$76,0))</x:f>
        <x:v>0</x:v>
      </x:c>
      <x:c r="G734" s="10" t="n">
        <x:f>SUM(XLOOKUP('포켓몬_편집'!$AF734:$AN734,'분류_규칙'!$A$5:$A$76,'분류_규칙'!$G$5:$G$76,0))</x:f>
        <x:v>0</x:v>
      </x:c>
      <x:c r="H734" s="10" t="n">
        <x:f>SUM(XLOOKUP('포켓몬_편집'!$AF734:$AN734,'분류_규칙'!$A$5:$A$76,'분류_규칙'!$H$5:$H$76,0))</x:f>
        <x:v>0</x:v>
      </x:c>
      <x:c r="I734" s="10" t="n">
        <x:f>SUM(XLOOKUP('포켓몬_편집'!$AF734:$AN734,'분류_규칙'!$A$5:$A$76,'분류_규칙'!$I$5:$I$76,0))</x:f>
        <x:v>0</x:v>
      </x:c>
      <x:c r="J734" s="10" t="n">
        <x:f>SUM(XLOOKUP('포켓몬_편집'!$AF734:$AN734,'분류_규칙'!$A$5:$A$76,'분류_규칙'!$J$5:$J$76,0))</x:f>
        <x:v>3</x:v>
      </x:c>
      <x:c r="K734" s="10" t="n">
        <x:f>SUM(XLOOKUP('포켓몬_편집'!$AF734:$AN734,'분류_규칙'!$A$5:$A$76,'분류_규칙'!$K$5:$K$76,0))</x:f>
        <x:v>0</x:v>
      </x:c>
      <x:c r="L734" s="10" t="n">
        <x:f>SUM(XLOOKUP('포켓몬_편집'!$AF734:$AN734,'분류_규칙'!$A$5:$A$76,'분류_규칙'!$L$5:$L$76,0))</x:f>
        <x:v>30</x:v>
      </x:c>
      <x:c r="M734" s="10" t="n">
        <x:f>SUM(XLOOKUP('포켓몬_편집'!$AF734:$AN734,'분류_규칙'!$A$5:$A$76,'분류_규칙'!$M$5:$M$76,0))</x:f>
        <x:v>0</x:v>
      </x:c>
      <x:c r="N734" s="10" t="n">
        <x:f>SUM(XLOOKUP('포켓몬_편집'!$AF734:$AN734,'분류_규칙'!$A$5:$A$76,'분류_규칙'!$N$5:$N$76,0))</x:f>
        <x:v>0</x:v>
      </x:c>
      <x:c r="O734" s="10" t="n">
        <x:f>SUM(XLOOKUP('포켓몬_편집'!$AF734:$AN734,'분류_규칙'!$A$5:$A$76,'분류_규칙'!$O$5:$O$76,0))</x:f>
        <x:v>0</x:v>
      </x:c>
      <x:c r="P734" s="10" t="n">
        <x:f>SUM(XLOOKUP('포켓몬_편집'!$AF734:$AN734,'분류_규칙'!$A$5:$A$76,'분류_규칙'!$P$5:$P$76,0))</x:f>
        <x:v>0</x:v>
      </x:c>
    </x:row>
    <x:row r="735" ht="22" customHeight="1">
      <x:c r="A735" s="5" t="n">
        <x:v>731</x:v>
      </x:c>
      <x:c r="B735" s="5" t="inlineStr">
        <x:is>
          <x:t xml:space="preserve">콕코구리</x:t>
        </x:is>
      </x:c>
      <x:c r="C735" s="5" t="inlineStr">
        <x:is>
          <x:t xml:space="preserve">pikipek</x:t>
        </x:is>
      </x:c>
      <x:c r="D735" s="5" t="n">
        <x:v>7</x:v>
      </x:c>
      <x:c r="E735" s="10" t="n">
        <x:f>SUM(XLOOKUP('포켓몬_편집'!$AF735:$AN735,'분류_규칙'!$A$5:$A$76,'분류_규칙'!$E$5:$E$76,0))</x:f>
        <x:v>8</x:v>
      </x:c>
      <x:c r="F735" s="10" t="n">
        <x:f>SUM(XLOOKUP('포켓몬_편집'!$AF735:$AN735,'분류_규칙'!$A$5:$A$76,'분류_규칙'!$F$5:$F$76,0))</x:f>
        <x:v>8</x:v>
      </x:c>
      <x:c r="G735" s="10" t="n">
        <x:f>SUM(XLOOKUP('포켓몬_편집'!$AF735:$AN735,'분류_규칙'!$A$5:$A$76,'분류_규칙'!$G$5:$G$76,0))</x:f>
        <x:v>0</x:v>
      </x:c>
      <x:c r="H735" s="10" t="n">
        <x:f>SUM(XLOOKUP('포켓몬_편집'!$AF735:$AN735,'분류_규칙'!$A$5:$A$76,'분류_규칙'!$H$5:$H$76,0))</x:f>
        <x:v>12</x:v>
      </x:c>
      <x:c r="I735" s="10" t="n">
        <x:f>SUM(XLOOKUP('포켓몬_편집'!$AF735:$AN735,'분류_규칙'!$A$5:$A$76,'분류_규칙'!$I$5:$I$76,0))</x:f>
        <x:v>0</x:v>
      </x:c>
      <x:c r="J735" s="10" t="n">
        <x:f>SUM(XLOOKUP('포켓몬_편집'!$AF735:$AN735,'분류_규칙'!$A$5:$A$76,'분류_규칙'!$J$5:$J$76,0))</x:f>
        <x:v>0</x:v>
      </x:c>
      <x:c r="K735" s="10" t="n">
        <x:f>SUM(XLOOKUP('포켓몬_편집'!$AF735:$AN735,'분류_규칙'!$A$5:$A$76,'분류_규칙'!$K$5:$K$76,0))</x:f>
        <x:v>0</x:v>
      </x:c>
      <x:c r="L735" s="10" t="n">
        <x:f>SUM(XLOOKUP('포켓몬_편집'!$AF735:$AN735,'분류_규칙'!$A$5:$A$76,'분류_규칙'!$L$5:$L$76,0))</x:f>
        <x:v>3</x:v>
      </x:c>
      <x:c r="M735" s="10" t="n">
        <x:f>SUM(XLOOKUP('포켓몬_편집'!$AF735:$AN735,'분류_규칙'!$A$5:$A$76,'분류_규칙'!$M$5:$M$76,0))</x:f>
        <x:v>0</x:v>
      </x:c>
      <x:c r="N735" s="10" t="n">
        <x:f>SUM(XLOOKUP('포켓몬_편집'!$AF735:$AN735,'분류_규칙'!$A$5:$A$76,'분류_규칙'!$N$5:$N$76,0))</x:f>
        <x:v>0</x:v>
      </x:c>
      <x:c r="O735" s="10" t="n">
        <x:f>SUM(XLOOKUP('포켓몬_편집'!$AF735:$AN735,'분류_규칙'!$A$5:$A$76,'분류_규칙'!$O$5:$O$76,0))</x:f>
        <x:v>2</x:v>
      </x:c>
      <x:c r="P735" s="10" t="n">
        <x:f>SUM(XLOOKUP('포켓몬_편집'!$AF735:$AN735,'분류_규칙'!$A$5:$A$76,'분류_규칙'!$P$5:$P$76,0))</x:f>
        <x:v>0</x:v>
      </x:c>
    </x:row>
    <x:row r="736" ht="22" customHeight="1">
      <x:c r="A736" s="5" t="n">
        <x:v>732</x:v>
      </x:c>
      <x:c r="B736" s="5" t="inlineStr">
        <x:is>
          <x:t xml:space="preserve">크라파</x:t>
        </x:is>
      </x:c>
      <x:c r="C736" s="5" t="inlineStr">
        <x:is>
          <x:t xml:space="preserve">trumbeak</x:t>
        </x:is>
      </x:c>
      <x:c r="D736" s="5" t="n">
        <x:v>7</x:v>
      </x:c>
      <x:c r="E736" s="10" t="n">
        <x:f>SUM(XLOOKUP('포켓몬_편집'!$AF736:$AN736,'분류_규칙'!$A$5:$A$76,'분류_규칙'!$E$5:$E$76,0))</x:f>
        <x:v>8</x:v>
      </x:c>
      <x:c r="F736" s="10" t="n">
        <x:f>SUM(XLOOKUP('포켓몬_편집'!$AF736:$AN736,'분류_규칙'!$A$5:$A$76,'분류_규칙'!$F$5:$F$76,0))</x:f>
        <x:v>8</x:v>
      </x:c>
      <x:c r="G736" s="10" t="n">
        <x:f>SUM(XLOOKUP('포켓몬_편집'!$AF736:$AN736,'분류_규칙'!$A$5:$A$76,'분류_규칙'!$G$5:$G$76,0))</x:f>
        <x:v>0</x:v>
      </x:c>
      <x:c r="H736" s="10" t="n">
        <x:f>SUM(XLOOKUP('포켓몬_편집'!$AF736:$AN736,'분류_규칙'!$A$5:$A$76,'분류_규칙'!$H$5:$H$76,0))</x:f>
        <x:v>12</x:v>
      </x:c>
      <x:c r="I736" s="10" t="n">
        <x:f>SUM(XLOOKUP('포켓몬_편집'!$AF736:$AN736,'분류_규칙'!$A$5:$A$76,'분류_규칙'!$I$5:$I$76,0))</x:f>
        <x:v>0</x:v>
      </x:c>
      <x:c r="J736" s="10" t="n">
        <x:f>SUM(XLOOKUP('포켓몬_편집'!$AF736:$AN736,'분류_규칙'!$A$5:$A$76,'분류_규칙'!$J$5:$J$76,0))</x:f>
        <x:v>0</x:v>
      </x:c>
      <x:c r="K736" s="10" t="n">
        <x:f>SUM(XLOOKUP('포켓몬_편집'!$AF736:$AN736,'분류_규칙'!$A$5:$A$76,'분류_규칙'!$K$5:$K$76,0))</x:f>
        <x:v>0</x:v>
      </x:c>
      <x:c r="L736" s="10" t="n">
        <x:f>SUM(XLOOKUP('포켓몬_편집'!$AF736:$AN736,'분류_규칙'!$A$5:$A$76,'분류_규칙'!$L$5:$L$76,0))</x:f>
        <x:v>3</x:v>
      </x:c>
      <x:c r="M736" s="10" t="n">
        <x:f>SUM(XLOOKUP('포켓몬_편집'!$AF736:$AN736,'분류_규칙'!$A$5:$A$76,'분류_규칙'!$M$5:$M$76,0))</x:f>
        <x:v>0</x:v>
      </x:c>
      <x:c r="N736" s="10" t="n">
        <x:f>SUM(XLOOKUP('포켓몬_편집'!$AF736:$AN736,'분류_규칙'!$A$5:$A$76,'분류_규칙'!$N$5:$N$76,0))</x:f>
        <x:v>0</x:v>
      </x:c>
      <x:c r="O736" s="10" t="n">
        <x:f>SUM(XLOOKUP('포켓몬_편집'!$AF736:$AN736,'분류_규칙'!$A$5:$A$76,'분류_규칙'!$O$5:$O$76,0))</x:f>
        <x:v>2</x:v>
      </x:c>
      <x:c r="P736" s="10" t="n">
        <x:f>SUM(XLOOKUP('포켓몬_편집'!$AF736:$AN736,'분류_규칙'!$A$5:$A$76,'분류_규칙'!$P$5:$P$76,0))</x:f>
        <x:v>0</x:v>
      </x:c>
    </x:row>
    <x:row r="737" ht="22" customHeight="1">
      <x:c r="A737" s="5" t="n">
        <x:v>733</x:v>
      </x:c>
      <x:c r="B737" s="5" t="inlineStr">
        <x:is>
          <x:t xml:space="preserve">왕큰부리</x:t>
        </x:is>
      </x:c>
      <x:c r="C737" s="5" t="inlineStr">
        <x:is>
          <x:t xml:space="preserve">toucannon</x:t>
        </x:is>
      </x:c>
      <x:c r="D737" s="5" t="n">
        <x:v>7</x:v>
      </x:c>
      <x:c r="E737" s="10" t="n">
        <x:f>SUM(XLOOKUP('포켓몬_편집'!$AF737:$AN737,'분류_규칙'!$A$5:$A$76,'분류_규칙'!$E$5:$E$76,0))</x:f>
        <x:v>8</x:v>
      </x:c>
      <x:c r="F737" s="10" t="n">
        <x:f>SUM(XLOOKUP('포켓몬_편집'!$AF737:$AN737,'분류_규칙'!$A$5:$A$76,'분류_규칙'!$F$5:$F$76,0))</x:f>
        <x:v>8</x:v>
      </x:c>
      <x:c r="G737" s="10" t="n">
        <x:f>SUM(XLOOKUP('포켓몬_편집'!$AF737:$AN737,'분류_규칙'!$A$5:$A$76,'분류_규칙'!$G$5:$G$76,0))</x:f>
        <x:v>0</x:v>
      </x:c>
      <x:c r="H737" s="10" t="n">
        <x:f>SUM(XLOOKUP('포켓몬_편집'!$AF737:$AN737,'분류_규칙'!$A$5:$A$76,'분류_규칙'!$H$5:$H$76,0))</x:f>
        <x:v>12</x:v>
      </x:c>
      <x:c r="I737" s="10" t="n">
        <x:f>SUM(XLOOKUP('포켓몬_편집'!$AF737:$AN737,'분류_규칙'!$A$5:$A$76,'분류_규칙'!$I$5:$I$76,0))</x:f>
        <x:v>0</x:v>
      </x:c>
      <x:c r="J737" s="10" t="n">
        <x:f>SUM(XLOOKUP('포켓몬_편집'!$AF737:$AN737,'분류_규칙'!$A$5:$A$76,'분류_규칙'!$J$5:$J$76,0))</x:f>
        <x:v>0</x:v>
      </x:c>
      <x:c r="K737" s="10" t="n">
        <x:f>SUM(XLOOKUP('포켓몬_편집'!$AF737:$AN737,'분류_규칙'!$A$5:$A$76,'분류_규칙'!$K$5:$K$76,0))</x:f>
        <x:v>0</x:v>
      </x:c>
      <x:c r="L737" s="10" t="n">
        <x:f>SUM(XLOOKUP('포켓몬_편집'!$AF737:$AN737,'분류_규칙'!$A$5:$A$76,'분류_규칙'!$L$5:$L$76,0))</x:f>
        <x:v>3</x:v>
      </x:c>
      <x:c r="M737" s="10" t="n">
        <x:f>SUM(XLOOKUP('포켓몬_편집'!$AF737:$AN737,'분류_규칙'!$A$5:$A$76,'분류_규칙'!$M$5:$M$76,0))</x:f>
        <x:v>0</x:v>
      </x:c>
      <x:c r="N737" s="10" t="n">
        <x:f>SUM(XLOOKUP('포켓몬_편집'!$AF737:$AN737,'분류_규칙'!$A$5:$A$76,'분류_규칙'!$N$5:$N$76,0))</x:f>
        <x:v>0</x:v>
      </x:c>
      <x:c r="O737" s="10" t="n">
        <x:f>SUM(XLOOKUP('포켓몬_편집'!$AF737:$AN737,'분류_규칙'!$A$5:$A$76,'분류_규칙'!$O$5:$O$76,0))</x:f>
        <x:v>2</x:v>
      </x:c>
      <x:c r="P737" s="10" t="n">
        <x:f>SUM(XLOOKUP('포켓몬_편집'!$AF737:$AN737,'분류_규칙'!$A$5:$A$76,'분류_규칙'!$P$5:$P$76,0))</x:f>
        <x:v>0</x:v>
      </x:c>
    </x:row>
    <x:row r="738" ht="22" customHeight="1">
      <x:c r="A738" s="5" t="n">
        <x:v>734</x:v>
      </x:c>
      <x:c r="B738" s="5" t="inlineStr">
        <x:is>
          <x:t xml:space="preserve">영구스</x:t>
        </x:is>
      </x:c>
      <x:c r="C738" s="5" t="inlineStr">
        <x:is>
          <x:t xml:space="preserve">yungoos</x:t>
        </x:is>
      </x:c>
      <x:c r="D738" s="5" t="n">
        <x:v>7</x:v>
      </x:c>
      <x:c r="E738" s="10" t="n">
        <x:f>SUM(XLOOKUP('포켓몬_편집'!$AF738:$AN738,'분류_규칙'!$A$5:$A$76,'분류_규칙'!$E$5:$E$76,0))</x:f>
        <x:v>10</x:v>
      </x:c>
      <x:c r="F738" s="10" t="n">
        <x:f>SUM(XLOOKUP('포켓몬_편집'!$AF738:$AN738,'분류_규칙'!$A$5:$A$76,'분류_규칙'!$F$5:$F$76,0))</x:f>
        <x:v>7</x:v>
      </x:c>
      <x:c r="G738" s="10" t="n">
        <x:f>SUM(XLOOKUP('포켓몬_편집'!$AF738:$AN738,'분류_규칙'!$A$5:$A$76,'분류_규칙'!$G$5:$G$76,0))</x:f>
        <x:v>5</x:v>
      </x:c>
      <x:c r="H738" s="10" t="n">
        <x:f>SUM(XLOOKUP('포켓몬_편집'!$AF738:$AN738,'분류_규칙'!$A$5:$A$76,'분류_규칙'!$H$5:$H$76,0))</x:f>
        <x:v>5</x:v>
      </x:c>
      <x:c r="I738" s="10" t="n">
        <x:f>SUM(XLOOKUP('포켓몬_편집'!$AF738:$AN738,'분류_규칙'!$A$5:$A$76,'분류_규칙'!$I$5:$I$76,0))</x:f>
        <x:v>0</x:v>
      </x:c>
      <x:c r="J738" s="10" t="n">
        <x:f>SUM(XLOOKUP('포켓몬_편집'!$AF738:$AN738,'분류_규칙'!$A$5:$A$76,'분류_규칙'!$J$5:$J$76,0))</x:f>
        <x:v>2</x:v>
      </x:c>
      <x:c r="K738" s="10" t="n">
        <x:f>SUM(XLOOKUP('포켓몬_편집'!$AF738:$AN738,'분류_규칙'!$A$5:$A$76,'분류_규칙'!$K$5:$K$76,0))</x:f>
        <x:v>0</x:v>
      </x:c>
      <x:c r="L738" s="10" t="n">
        <x:f>SUM(XLOOKUP('포켓몬_편집'!$AF738:$AN738,'분류_규칙'!$A$5:$A$76,'분류_규칙'!$L$5:$L$76,0))</x:f>
        <x:v>0</x:v>
      </x:c>
      <x:c r="M738" s="10" t="n">
        <x:f>SUM(XLOOKUP('포켓몬_편집'!$AF738:$AN738,'분류_규칙'!$A$5:$A$76,'분류_규칙'!$M$5:$M$76,0))</x:f>
        <x:v>0</x:v>
      </x:c>
      <x:c r="N738" s="10" t="n">
        <x:f>SUM(XLOOKUP('포켓몬_편집'!$AF738:$AN738,'분류_규칙'!$A$5:$A$76,'분류_규칙'!$N$5:$N$76,0))</x:f>
        <x:v>0</x:v>
      </x:c>
      <x:c r="O738" s="10" t="n">
        <x:f>SUM(XLOOKUP('포켓몬_편집'!$AF738:$AN738,'분류_규칙'!$A$5:$A$76,'분류_규칙'!$O$5:$O$76,0))</x:f>
        <x:v>2</x:v>
      </x:c>
      <x:c r="P738" s="10" t="n">
        <x:f>SUM(XLOOKUP('포켓몬_편집'!$AF738:$AN738,'분류_규칙'!$A$5:$A$76,'분류_규칙'!$P$5:$P$76,0))</x:f>
        <x:v>0</x:v>
      </x:c>
    </x:row>
    <x:row r="739" ht="22" customHeight="1">
      <x:c r="A739" s="5" t="n">
        <x:v>735</x:v>
      </x:c>
      <x:c r="B739" s="5" t="inlineStr">
        <x:is>
          <x:t xml:space="preserve">형사구스</x:t>
        </x:is>
      </x:c>
      <x:c r="C739" s="5" t="inlineStr">
        <x:is>
          <x:t xml:space="preserve">gumshoos</x:t>
        </x:is>
      </x:c>
      <x:c r="D739" s="5" t="n">
        <x:v>7</x:v>
      </x:c>
      <x:c r="E739" s="10" t="n">
        <x:f>SUM(XLOOKUP('포켓몬_편집'!$AF739:$AN739,'분류_규칙'!$A$5:$A$76,'분류_규칙'!$E$5:$E$76,0))</x:f>
        <x:v>10</x:v>
      </x:c>
      <x:c r="F739" s="10" t="n">
        <x:f>SUM(XLOOKUP('포켓몬_편집'!$AF739:$AN739,'분류_규칙'!$A$5:$A$76,'분류_규칙'!$F$5:$F$76,0))</x:f>
        <x:v>7</x:v>
      </x:c>
      <x:c r="G739" s="10" t="n">
        <x:f>SUM(XLOOKUP('포켓몬_편집'!$AF739:$AN739,'분류_규칙'!$A$5:$A$76,'분류_규칙'!$G$5:$G$76,0))</x:f>
        <x:v>5</x:v>
      </x:c>
      <x:c r="H739" s="10" t="n">
        <x:f>SUM(XLOOKUP('포켓몬_편집'!$AF739:$AN739,'분류_규칙'!$A$5:$A$76,'분류_규칙'!$H$5:$H$76,0))</x:f>
        <x:v>5</x:v>
      </x:c>
      <x:c r="I739" s="10" t="n">
        <x:f>SUM(XLOOKUP('포켓몬_편집'!$AF739:$AN739,'분류_규칙'!$A$5:$A$76,'분류_규칙'!$I$5:$I$76,0))</x:f>
        <x:v>0</x:v>
      </x:c>
      <x:c r="J739" s="10" t="n">
        <x:f>SUM(XLOOKUP('포켓몬_편집'!$AF739:$AN739,'분류_규칙'!$A$5:$A$76,'분류_규칙'!$J$5:$J$76,0))</x:f>
        <x:v>2</x:v>
      </x:c>
      <x:c r="K739" s="10" t="n">
        <x:f>SUM(XLOOKUP('포켓몬_편집'!$AF739:$AN739,'분류_규칙'!$A$5:$A$76,'분류_규칙'!$K$5:$K$76,0))</x:f>
        <x:v>0</x:v>
      </x:c>
      <x:c r="L739" s="10" t="n">
        <x:f>SUM(XLOOKUP('포켓몬_편집'!$AF739:$AN739,'분류_규칙'!$A$5:$A$76,'분류_규칙'!$L$5:$L$76,0))</x:f>
        <x:v>0</x:v>
      </x:c>
      <x:c r="M739" s="10" t="n">
        <x:f>SUM(XLOOKUP('포켓몬_편집'!$AF739:$AN739,'분류_규칙'!$A$5:$A$76,'분류_규칙'!$M$5:$M$76,0))</x:f>
        <x:v>0</x:v>
      </x:c>
      <x:c r="N739" s="10" t="n">
        <x:f>SUM(XLOOKUP('포켓몬_편집'!$AF739:$AN739,'분류_규칙'!$A$5:$A$76,'분류_규칙'!$N$5:$N$76,0))</x:f>
        <x:v>0</x:v>
      </x:c>
      <x:c r="O739" s="10" t="n">
        <x:f>SUM(XLOOKUP('포켓몬_편집'!$AF739:$AN739,'분류_규칙'!$A$5:$A$76,'분류_규칙'!$O$5:$O$76,0))</x:f>
        <x:v>2</x:v>
      </x:c>
      <x:c r="P739" s="10" t="n">
        <x:f>SUM(XLOOKUP('포켓몬_편집'!$AF739:$AN739,'분류_규칙'!$A$5:$A$76,'분류_규칙'!$P$5:$P$76,0))</x:f>
        <x:v>0</x:v>
      </x:c>
    </x:row>
    <x:row r="740" ht="22" customHeight="1">
      <x:c r="A740" s="5" t="n">
        <x:v>736</x:v>
      </x:c>
      <x:c r="B740" s="5" t="inlineStr">
        <x:is>
          <x:t xml:space="preserve">턱지충이</x:t>
        </x:is>
      </x:c>
      <x:c r="C740" s="5" t="inlineStr">
        <x:is>
          <x:t xml:space="preserve">grubbin</x:t>
        </x:is>
      </x:c>
      <x:c r="D740" s="5" t="n">
        <x:v>7</x:v>
      </x:c>
      <x:c r="E740" s="10" t="n">
        <x:f>SUM(XLOOKUP('포켓몬_편집'!$AF740:$AN740,'분류_규칙'!$A$5:$A$76,'분류_규칙'!$E$5:$E$76,0))</x:f>
        <x:v>10</x:v>
      </x:c>
      <x:c r="F740" s="10" t="n">
        <x:f>SUM(XLOOKUP('포켓몬_편집'!$AF740:$AN740,'분류_규칙'!$A$5:$A$76,'분류_규칙'!$F$5:$F$76,0))</x:f>
        <x:v>7</x:v>
      </x:c>
      <x:c r="G740" s="10" t="n">
        <x:f>SUM(XLOOKUP('포켓몬_편집'!$AF740:$AN740,'분류_규칙'!$A$5:$A$76,'분류_규칙'!$G$5:$G$76,0))</x:f>
        <x:v>5</x:v>
      </x:c>
      <x:c r="H740" s="10" t="n">
        <x:f>SUM(XLOOKUP('포켓몬_편집'!$AF740:$AN740,'분류_규칙'!$A$5:$A$76,'분류_규칙'!$H$5:$H$76,0))</x:f>
        <x:v>5</x:v>
      </x:c>
      <x:c r="I740" s="10" t="n">
        <x:f>SUM(XLOOKUP('포켓몬_편집'!$AF740:$AN740,'분류_규칙'!$A$5:$A$76,'분류_규칙'!$I$5:$I$76,0))</x:f>
        <x:v>0</x:v>
      </x:c>
      <x:c r="J740" s="10" t="n">
        <x:f>SUM(XLOOKUP('포켓몬_편집'!$AF740:$AN740,'분류_규칙'!$A$5:$A$76,'분류_규칙'!$J$5:$J$76,0))</x:f>
        <x:v>2</x:v>
      </x:c>
      <x:c r="K740" s="10" t="n">
        <x:f>SUM(XLOOKUP('포켓몬_편집'!$AF740:$AN740,'분류_규칙'!$A$5:$A$76,'분류_규칙'!$K$5:$K$76,0))</x:f>
        <x:v>0</x:v>
      </x:c>
      <x:c r="L740" s="10" t="n">
        <x:f>SUM(XLOOKUP('포켓몬_편집'!$AF740:$AN740,'분류_규칙'!$A$5:$A$76,'분류_규칙'!$L$5:$L$76,0))</x:f>
        <x:v>0</x:v>
      </x:c>
      <x:c r="M740" s="10" t="n">
        <x:f>SUM(XLOOKUP('포켓몬_편집'!$AF740:$AN740,'분류_규칙'!$A$5:$A$76,'분류_규칙'!$M$5:$M$76,0))</x:f>
        <x:v>0</x:v>
      </x:c>
      <x:c r="N740" s="10" t="n">
        <x:f>SUM(XLOOKUP('포켓몬_편집'!$AF740:$AN740,'분류_규칙'!$A$5:$A$76,'분류_규칙'!$N$5:$N$76,0))</x:f>
        <x:v>0</x:v>
      </x:c>
      <x:c r="O740" s="10" t="n">
        <x:f>SUM(XLOOKUP('포켓몬_편집'!$AF740:$AN740,'분류_규칙'!$A$5:$A$76,'분류_규칙'!$O$5:$O$76,0))</x:f>
        <x:v>2</x:v>
      </x:c>
      <x:c r="P740" s="10" t="n">
        <x:f>SUM(XLOOKUP('포켓몬_편집'!$AF740:$AN740,'분류_규칙'!$A$5:$A$76,'분류_규칙'!$P$5:$P$76,0))</x:f>
        <x:v>0</x:v>
      </x:c>
    </x:row>
    <x:row r="741" ht="22" customHeight="1">
      <x:c r="A741" s="5" t="n">
        <x:v>737</x:v>
      </x:c>
      <x:c r="B741" s="5" t="inlineStr">
        <x:is>
          <x:t xml:space="preserve">전지충이</x:t>
        </x:is>
      </x:c>
      <x:c r="C741" s="5" t="inlineStr">
        <x:is>
          <x:t xml:space="preserve">charjabug</x:t>
        </x:is>
      </x:c>
      <x:c r="D741" s="5" t="n">
        <x:v>7</x:v>
      </x:c>
      <x:c r="E741" s="10" t="n">
        <x:f>SUM(XLOOKUP('포켓몬_편집'!$AF741:$AN741,'분류_규칙'!$A$5:$A$76,'분류_규칙'!$E$5:$E$76,0))</x:f>
        <x:v>10</x:v>
      </x:c>
      <x:c r="F741" s="10" t="n">
        <x:f>SUM(XLOOKUP('포켓몬_편집'!$AF741:$AN741,'분류_규칙'!$A$5:$A$76,'분류_규칙'!$F$5:$F$76,0))</x:f>
        <x:v>7</x:v>
      </x:c>
      <x:c r="G741" s="10" t="n">
        <x:f>SUM(XLOOKUP('포켓몬_편집'!$AF741:$AN741,'분류_규칙'!$A$5:$A$76,'분류_규칙'!$G$5:$G$76,0))</x:f>
        <x:v>5</x:v>
      </x:c>
      <x:c r="H741" s="10" t="n">
        <x:f>SUM(XLOOKUP('포켓몬_편집'!$AF741:$AN741,'분류_규칙'!$A$5:$A$76,'분류_규칙'!$H$5:$H$76,0))</x:f>
        <x:v>5</x:v>
      </x:c>
      <x:c r="I741" s="10" t="n">
        <x:f>SUM(XLOOKUP('포켓몬_편집'!$AF741:$AN741,'분류_규칙'!$A$5:$A$76,'분류_규칙'!$I$5:$I$76,0))</x:f>
        <x:v>0</x:v>
      </x:c>
      <x:c r="J741" s="10" t="n">
        <x:f>SUM(XLOOKUP('포켓몬_편집'!$AF741:$AN741,'분류_규칙'!$A$5:$A$76,'분류_규칙'!$J$5:$J$76,0))</x:f>
        <x:v>2</x:v>
      </x:c>
      <x:c r="K741" s="10" t="n">
        <x:f>SUM(XLOOKUP('포켓몬_편집'!$AF741:$AN741,'분류_규칙'!$A$5:$A$76,'분류_규칙'!$K$5:$K$76,0))</x:f>
        <x:v>0</x:v>
      </x:c>
      <x:c r="L741" s="10" t="n">
        <x:f>SUM(XLOOKUP('포켓몬_편집'!$AF741:$AN741,'분류_규칙'!$A$5:$A$76,'분류_규칙'!$L$5:$L$76,0))</x:f>
        <x:v>0</x:v>
      </x:c>
      <x:c r="M741" s="10" t="n">
        <x:f>SUM(XLOOKUP('포켓몬_편집'!$AF741:$AN741,'분류_규칙'!$A$5:$A$76,'분류_규칙'!$M$5:$M$76,0))</x:f>
        <x:v>0</x:v>
      </x:c>
      <x:c r="N741" s="10" t="n">
        <x:f>SUM(XLOOKUP('포켓몬_편집'!$AF741:$AN741,'분류_규칙'!$A$5:$A$76,'분류_규칙'!$N$5:$N$76,0))</x:f>
        <x:v>0</x:v>
      </x:c>
      <x:c r="O741" s="10" t="n">
        <x:f>SUM(XLOOKUP('포켓몬_편집'!$AF741:$AN741,'분류_규칙'!$A$5:$A$76,'분류_규칙'!$O$5:$O$76,0))</x:f>
        <x:v>2</x:v>
      </x:c>
      <x:c r="P741" s="10" t="n">
        <x:f>SUM(XLOOKUP('포켓몬_편집'!$AF741:$AN741,'분류_규칙'!$A$5:$A$76,'분류_규칙'!$P$5:$P$76,0))</x:f>
        <x:v>0</x:v>
      </x:c>
    </x:row>
    <x:row r="742" ht="22" customHeight="1">
      <x:c r="A742" s="5" t="n">
        <x:v>738</x:v>
      </x:c>
      <x:c r="B742" s="5" t="inlineStr">
        <x:is>
          <x:t xml:space="preserve">투구뿌논</x:t>
        </x:is>
      </x:c>
      <x:c r="C742" s="5" t="inlineStr">
        <x:is>
          <x:t xml:space="preserve">vikavolt</x:t>
        </x:is>
      </x:c>
      <x:c r="D742" s="5" t="n">
        <x:v>7</x:v>
      </x:c>
      <x:c r="E742" s="10" t="n">
        <x:f>SUM(XLOOKUP('포켓몬_편집'!$AF742:$AN742,'분류_규칙'!$A$5:$A$76,'분류_규칙'!$E$5:$E$76,0))</x:f>
        <x:v>8</x:v>
      </x:c>
      <x:c r="F742" s="10" t="n">
        <x:f>SUM(XLOOKUP('포켓몬_편집'!$AF742:$AN742,'분류_규칙'!$A$5:$A$76,'분류_규칙'!$F$5:$F$76,0))</x:f>
        <x:v>8</x:v>
      </x:c>
      <x:c r="G742" s="10" t="n">
        <x:f>SUM(XLOOKUP('포켓몬_편집'!$AF742:$AN742,'분류_규칙'!$A$5:$A$76,'분류_규칙'!$G$5:$G$76,0))</x:f>
        <x:v>0</x:v>
      </x:c>
      <x:c r="H742" s="10" t="n">
        <x:f>SUM(XLOOKUP('포켓몬_편집'!$AF742:$AN742,'분류_규칙'!$A$5:$A$76,'분류_규칙'!$H$5:$H$76,0))</x:f>
        <x:v>12</x:v>
      </x:c>
      <x:c r="I742" s="10" t="n">
        <x:f>SUM(XLOOKUP('포켓몬_편집'!$AF742:$AN742,'분류_규칙'!$A$5:$A$76,'분류_규칙'!$I$5:$I$76,0))</x:f>
        <x:v>0</x:v>
      </x:c>
      <x:c r="J742" s="10" t="n">
        <x:f>SUM(XLOOKUP('포켓몬_편집'!$AF742:$AN742,'분류_규칙'!$A$5:$A$76,'분류_규칙'!$J$5:$J$76,0))</x:f>
        <x:v>0</x:v>
      </x:c>
      <x:c r="K742" s="10" t="n">
        <x:f>SUM(XLOOKUP('포켓몬_편집'!$AF742:$AN742,'분류_규칙'!$A$5:$A$76,'분류_규칙'!$K$5:$K$76,0))</x:f>
        <x:v>0</x:v>
      </x:c>
      <x:c r="L742" s="10" t="n">
        <x:f>SUM(XLOOKUP('포켓몬_편집'!$AF742:$AN742,'분류_규칙'!$A$5:$A$76,'분류_규칙'!$L$5:$L$76,0))</x:f>
        <x:v>3</x:v>
      </x:c>
      <x:c r="M742" s="10" t="n">
        <x:f>SUM(XLOOKUP('포켓몬_편집'!$AF742:$AN742,'분류_규칙'!$A$5:$A$76,'분류_규칙'!$M$5:$M$76,0))</x:f>
        <x:v>0</x:v>
      </x:c>
      <x:c r="N742" s="10" t="n">
        <x:f>SUM(XLOOKUP('포켓몬_편집'!$AF742:$AN742,'분류_규칙'!$A$5:$A$76,'분류_규칙'!$N$5:$N$76,0))</x:f>
        <x:v>0</x:v>
      </x:c>
      <x:c r="O742" s="10" t="n">
        <x:f>SUM(XLOOKUP('포켓몬_편집'!$AF742:$AN742,'분류_규칙'!$A$5:$A$76,'분류_규칙'!$O$5:$O$76,0))</x:f>
        <x:v>2</x:v>
      </x:c>
      <x:c r="P742" s="10" t="n">
        <x:f>SUM(XLOOKUP('포켓몬_편집'!$AF742:$AN742,'분류_규칙'!$A$5:$A$76,'분류_규칙'!$P$5:$P$76,0))</x:f>
        <x:v>0</x:v>
      </x:c>
    </x:row>
    <x:row r="743" ht="22" customHeight="1">
      <x:c r="A743" s="5" t="n">
        <x:v>739</x:v>
      </x:c>
      <x:c r="B743" s="5" t="inlineStr">
        <x:is>
          <x:t xml:space="preserve">오기지게</x:t>
        </x:is>
      </x:c>
      <x:c r="C743" s="5" t="inlineStr">
        <x:is>
          <x:t xml:space="preserve">crabrawler</x:t>
        </x:is>
      </x:c>
      <x:c r="D743" s="5" t="n">
        <x:v>7</x:v>
      </x:c>
      <x:c r="E743" s="10" t="n">
        <x:f>SUM(XLOOKUP('포켓몬_편집'!$AF743:$AN743,'분류_규칙'!$A$5:$A$76,'분류_규칙'!$E$5:$E$76,0))</x:f>
        <x:v>0</x:v>
      </x:c>
      <x:c r="F743" s="10" t="n">
        <x:f>SUM(XLOOKUP('포켓몬_편집'!$AF743:$AN743,'분류_규칙'!$A$5:$A$76,'분류_규칙'!$F$5:$F$76,0))</x:f>
        <x:v>0</x:v>
      </x:c>
      <x:c r="G743" s="10" t="n">
        <x:f>SUM(XLOOKUP('포켓몬_편집'!$AF743:$AN743,'분류_규칙'!$A$5:$A$76,'분류_규칙'!$G$5:$G$76,0))</x:f>
        <x:v>0</x:v>
      </x:c>
      <x:c r="H743" s="10" t="n">
        <x:f>SUM(XLOOKUP('포켓몬_편집'!$AF743:$AN743,'분류_규칙'!$A$5:$A$76,'분류_규칙'!$H$5:$H$76,0))</x:f>
        <x:v>0</x:v>
      </x:c>
      <x:c r="I743" s="10" t="n">
        <x:f>SUM(XLOOKUP('포켓몬_편집'!$AF743:$AN743,'분류_규칙'!$A$5:$A$76,'분류_규칙'!$I$5:$I$76,0))</x:f>
        <x:v>0</x:v>
      </x:c>
      <x:c r="J743" s="10" t="n">
        <x:f>SUM(XLOOKUP('포켓몬_편집'!$AF743:$AN743,'분류_규칙'!$A$5:$A$76,'분류_규칙'!$J$5:$J$76,0))</x:f>
        <x:v>3</x:v>
      </x:c>
      <x:c r="K743" s="10" t="n">
        <x:f>SUM(XLOOKUP('포켓몬_편집'!$AF743:$AN743,'분류_규칙'!$A$5:$A$76,'분류_규칙'!$K$5:$K$76,0))</x:f>
        <x:v>0</x:v>
      </x:c>
      <x:c r="L743" s="10" t="n">
        <x:f>SUM(XLOOKUP('포켓몬_편집'!$AF743:$AN743,'분류_규칙'!$A$5:$A$76,'분류_규칙'!$L$5:$L$76,0))</x:f>
        <x:v>30</x:v>
      </x:c>
      <x:c r="M743" s="10" t="n">
        <x:f>SUM(XLOOKUP('포켓몬_편집'!$AF743:$AN743,'분류_규칙'!$A$5:$A$76,'분류_규칙'!$M$5:$M$76,0))</x:f>
        <x:v>0</x:v>
      </x:c>
      <x:c r="N743" s="10" t="n">
        <x:f>SUM(XLOOKUP('포켓몬_편집'!$AF743:$AN743,'분류_규칙'!$A$5:$A$76,'분류_규칙'!$N$5:$N$76,0))</x:f>
        <x:v>0</x:v>
      </x:c>
      <x:c r="O743" s="10" t="n">
        <x:f>SUM(XLOOKUP('포켓몬_편집'!$AF743:$AN743,'분류_규칙'!$A$5:$A$76,'분류_규칙'!$O$5:$O$76,0))</x:f>
        <x:v>0</x:v>
      </x:c>
      <x:c r="P743" s="10" t="n">
        <x:f>SUM(XLOOKUP('포켓몬_편집'!$AF743:$AN743,'분류_규칙'!$A$5:$A$76,'분류_규칙'!$P$5:$P$76,0))</x:f>
        <x:v>0</x:v>
      </x:c>
    </x:row>
    <x:row r="744" ht="22" customHeight="1">
      <x:c r="A744" s="5" t="n">
        <x:v>740</x:v>
      </x:c>
      <x:c r="B744" s="5" t="inlineStr">
        <x:is>
          <x:t xml:space="preserve">모단단게</x:t>
        </x:is>
      </x:c>
      <x:c r="C744" s="5" t="inlineStr">
        <x:is>
          <x:t xml:space="preserve">crabominable</x:t>
        </x:is>
      </x:c>
      <x:c r="D744" s="5" t="n">
        <x:v>7</x:v>
      </x:c>
      <x:c r="E744" s="10" t="n">
        <x:f>SUM(XLOOKUP('포켓몬_편집'!$AF744:$AN744,'분류_규칙'!$A$5:$A$76,'분류_규칙'!$E$5:$E$76,0))</x:f>
        <x:v>10</x:v>
      </x:c>
      <x:c r="F744" s="10" t="n">
        <x:f>SUM(XLOOKUP('포켓몬_편집'!$AF744:$AN744,'분류_규칙'!$A$5:$A$76,'분류_규칙'!$F$5:$F$76,0))</x:f>
        <x:v>7</x:v>
      </x:c>
      <x:c r="G744" s="10" t="n">
        <x:f>SUM(XLOOKUP('포켓몬_편집'!$AF744:$AN744,'분류_규칙'!$A$5:$A$76,'분류_규칙'!$G$5:$G$76,0))</x:f>
        <x:v>5</x:v>
      </x:c>
      <x:c r="H744" s="10" t="n">
        <x:f>SUM(XLOOKUP('포켓몬_편집'!$AF744:$AN744,'분류_규칙'!$A$5:$A$76,'분류_규칙'!$H$5:$H$76,0))</x:f>
        <x:v>5</x:v>
      </x:c>
      <x:c r="I744" s="10" t="n">
        <x:f>SUM(XLOOKUP('포켓몬_편집'!$AF744:$AN744,'분류_규칙'!$A$5:$A$76,'분류_규칙'!$I$5:$I$76,0))</x:f>
        <x:v>0</x:v>
      </x:c>
      <x:c r="J744" s="10" t="n">
        <x:f>SUM(XLOOKUP('포켓몬_편집'!$AF744:$AN744,'분류_규칙'!$A$5:$A$76,'분류_규칙'!$J$5:$J$76,0))</x:f>
        <x:v>2</x:v>
      </x:c>
      <x:c r="K744" s="10" t="n">
        <x:f>SUM(XLOOKUP('포켓몬_편집'!$AF744:$AN744,'분류_규칙'!$A$5:$A$76,'분류_규칙'!$K$5:$K$76,0))</x:f>
        <x:v>0</x:v>
      </x:c>
      <x:c r="L744" s="10" t="n">
        <x:f>SUM(XLOOKUP('포켓몬_편집'!$AF744:$AN744,'분류_규칙'!$A$5:$A$76,'분류_규칙'!$L$5:$L$76,0))</x:f>
        <x:v>0</x:v>
      </x:c>
      <x:c r="M744" s="10" t="n">
        <x:f>SUM(XLOOKUP('포켓몬_편집'!$AF744:$AN744,'분류_규칙'!$A$5:$A$76,'분류_규칙'!$M$5:$M$76,0))</x:f>
        <x:v>0</x:v>
      </x:c>
      <x:c r="N744" s="10" t="n">
        <x:f>SUM(XLOOKUP('포켓몬_편집'!$AF744:$AN744,'분류_규칙'!$A$5:$A$76,'분류_규칙'!$N$5:$N$76,0))</x:f>
        <x:v>0</x:v>
      </x:c>
      <x:c r="O744" s="10" t="n">
        <x:f>SUM(XLOOKUP('포켓몬_편집'!$AF744:$AN744,'분류_규칙'!$A$5:$A$76,'분류_규칙'!$O$5:$O$76,0))</x:f>
        <x:v>2</x:v>
      </x:c>
      <x:c r="P744" s="10" t="n">
        <x:f>SUM(XLOOKUP('포켓몬_편집'!$AF744:$AN744,'분류_규칙'!$A$5:$A$76,'분류_규칙'!$P$5:$P$76,0))</x:f>
        <x:v>0</x:v>
      </x:c>
    </x:row>
    <x:row r="745" ht="22" customHeight="1">
      <x:c r="A745" s="5" t="n">
        <x:v>741</x:v>
      </x:c>
      <x:c r="B745" s="5" t="inlineStr">
        <x:is>
          <x:t xml:space="preserve">춤추새</x:t>
        </x:is>
      </x:c>
      <x:c r="C745" s="5" t="inlineStr">
        <x:is>
          <x:t xml:space="preserve">oricorio</x:t>
        </x:is>
      </x:c>
      <x:c r="D745" s="5" t="n">
        <x:v>7</x:v>
      </x:c>
      <x:c r="E745" s="10" t="n">
        <x:f>SUM(XLOOKUP('포켓몬_편집'!$AF745:$AN745,'분류_규칙'!$A$5:$A$76,'분류_규칙'!$E$5:$E$76,0))</x:f>
        <x:v>8</x:v>
      </x:c>
      <x:c r="F745" s="10" t="n">
        <x:f>SUM(XLOOKUP('포켓몬_편집'!$AF745:$AN745,'분류_규칙'!$A$5:$A$76,'분류_규칙'!$F$5:$F$76,0))</x:f>
        <x:v>8</x:v>
      </x:c>
      <x:c r="G745" s="10" t="n">
        <x:f>SUM(XLOOKUP('포켓몬_편집'!$AF745:$AN745,'분류_규칙'!$A$5:$A$76,'분류_규칙'!$G$5:$G$76,0))</x:f>
        <x:v>0</x:v>
      </x:c>
      <x:c r="H745" s="10" t="n">
        <x:f>SUM(XLOOKUP('포켓몬_편집'!$AF745:$AN745,'분류_규칙'!$A$5:$A$76,'분류_규칙'!$H$5:$H$76,0))</x:f>
        <x:v>12</x:v>
      </x:c>
      <x:c r="I745" s="10" t="n">
        <x:f>SUM(XLOOKUP('포켓몬_편집'!$AF745:$AN745,'분류_규칙'!$A$5:$A$76,'분류_규칙'!$I$5:$I$76,0))</x:f>
        <x:v>0</x:v>
      </x:c>
      <x:c r="J745" s="10" t="n">
        <x:f>SUM(XLOOKUP('포켓몬_편집'!$AF745:$AN745,'분류_규칙'!$A$5:$A$76,'분류_규칙'!$J$5:$J$76,0))</x:f>
        <x:v>0</x:v>
      </x:c>
      <x:c r="K745" s="10" t="n">
        <x:f>SUM(XLOOKUP('포켓몬_편집'!$AF745:$AN745,'분류_규칙'!$A$5:$A$76,'분류_규칙'!$K$5:$K$76,0))</x:f>
        <x:v>0</x:v>
      </x:c>
      <x:c r="L745" s="10" t="n">
        <x:f>SUM(XLOOKUP('포켓몬_편집'!$AF745:$AN745,'분류_규칙'!$A$5:$A$76,'분류_규칙'!$L$5:$L$76,0))</x:f>
        <x:v>3</x:v>
      </x:c>
      <x:c r="M745" s="10" t="n">
        <x:f>SUM(XLOOKUP('포켓몬_편집'!$AF745:$AN745,'분류_규칙'!$A$5:$A$76,'분류_규칙'!$M$5:$M$76,0))</x:f>
        <x:v>0</x:v>
      </x:c>
      <x:c r="N745" s="10" t="n">
        <x:f>SUM(XLOOKUP('포켓몬_편집'!$AF745:$AN745,'분류_규칙'!$A$5:$A$76,'분류_규칙'!$N$5:$N$76,0))</x:f>
        <x:v>0</x:v>
      </x:c>
      <x:c r="O745" s="10" t="n">
        <x:f>SUM(XLOOKUP('포켓몬_편집'!$AF745:$AN745,'분류_규칙'!$A$5:$A$76,'분류_규칙'!$O$5:$O$76,0))</x:f>
        <x:v>2</x:v>
      </x:c>
      <x:c r="P745" s="10" t="n">
        <x:f>SUM(XLOOKUP('포켓몬_편집'!$AF745:$AN745,'분류_규칙'!$A$5:$A$76,'분류_규칙'!$P$5:$P$76,0))</x:f>
        <x:v>0</x:v>
      </x:c>
    </x:row>
    <x:row r="746" ht="22" customHeight="1">
      <x:c r="A746" s="5" t="n">
        <x:v>742</x:v>
      </x:c>
      <x:c r="B746" s="5" t="inlineStr">
        <x:is>
          <x:t xml:space="preserve">에블리</x:t>
        </x:is>
      </x:c>
      <x:c r="C746" s="5" t="inlineStr">
        <x:is>
          <x:t xml:space="preserve">cutiefly</x:t>
        </x:is>
      </x:c>
      <x:c r="D746" s="5" t="n">
        <x:v>7</x:v>
      </x:c>
      <x:c r="E746" s="10" t="n">
        <x:f>SUM(XLOOKUP('포켓몬_편집'!$AF746:$AN746,'분류_규칙'!$A$5:$A$76,'분류_규칙'!$E$5:$E$76,0))</x:f>
        <x:v>8</x:v>
      </x:c>
      <x:c r="F746" s="10" t="n">
        <x:f>SUM(XLOOKUP('포켓몬_편집'!$AF746:$AN746,'분류_규칙'!$A$5:$A$76,'분류_규칙'!$F$5:$F$76,0))</x:f>
        <x:v>8</x:v>
      </x:c>
      <x:c r="G746" s="10" t="n">
        <x:f>SUM(XLOOKUP('포켓몬_편집'!$AF746:$AN746,'분류_규칙'!$A$5:$A$76,'분류_규칙'!$G$5:$G$76,0))</x:f>
        <x:v>0</x:v>
      </x:c>
      <x:c r="H746" s="10" t="n">
        <x:f>SUM(XLOOKUP('포켓몬_편집'!$AF746:$AN746,'분류_규칙'!$A$5:$A$76,'분류_규칙'!$H$5:$H$76,0))</x:f>
        <x:v>12</x:v>
      </x:c>
      <x:c r="I746" s="10" t="n">
        <x:f>SUM(XLOOKUP('포켓몬_편집'!$AF746:$AN746,'분류_규칙'!$A$5:$A$76,'분류_규칙'!$I$5:$I$76,0))</x:f>
        <x:v>0</x:v>
      </x:c>
      <x:c r="J746" s="10" t="n">
        <x:f>SUM(XLOOKUP('포켓몬_편집'!$AF746:$AN746,'분류_규칙'!$A$5:$A$76,'분류_규칙'!$J$5:$J$76,0))</x:f>
        <x:v>0</x:v>
      </x:c>
      <x:c r="K746" s="10" t="n">
        <x:f>SUM(XLOOKUP('포켓몬_편집'!$AF746:$AN746,'분류_규칙'!$A$5:$A$76,'분류_규칙'!$K$5:$K$76,0))</x:f>
        <x:v>0</x:v>
      </x:c>
      <x:c r="L746" s="10" t="n">
        <x:f>SUM(XLOOKUP('포켓몬_편집'!$AF746:$AN746,'분류_규칙'!$A$5:$A$76,'분류_규칙'!$L$5:$L$76,0))</x:f>
        <x:v>3</x:v>
      </x:c>
      <x:c r="M746" s="10" t="n">
        <x:f>SUM(XLOOKUP('포켓몬_편집'!$AF746:$AN746,'분류_규칙'!$A$5:$A$76,'분류_규칙'!$M$5:$M$76,0))</x:f>
        <x:v>0</x:v>
      </x:c>
      <x:c r="N746" s="10" t="n">
        <x:f>SUM(XLOOKUP('포켓몬_편집'!$AF746:$AN746,'분류_규칙'!$A$5:$A$76,'분류_규칙'!$N$5:$N$76,0))</x:f>
        <x:v>0</x:v>
      </x:c>
      <x:c r="O746" s="10" t="n">
        <x:f>SUM(XLOOKUP('포켓몬_편집'!$AF746:$AN746,'분류_규칙'!$A$5:$A$76,'분류_규칙'!$O$5:$O$76,0))</x:f>
        <x:v>2</x:v>
      </x:c>
      <x:c r="P746" s="10" t="n">
        <x:f>SUM(XLOOKUP('포켓몬_편집'!$AF746:$AN746,'분류_규칙'!$A$5:$A$76,'분류_규칙'!$P$5:$P$76,0))</x:f>
        <x:v>0</x:v>
      </x:c>
    </x:row>
    <x:row r="747" ht="22" customHeight="1">
      <x:c r="A747" s="5" t="n">
        <x:v>743</x:v>
      </x:c>
      <x:c r="B747" s="5" t="inlineStr">
        <x:is>
          <x:t xml:space="preserve">에리본</x:t>
        </x:is>
      </x:c>
      <x:c r="C747" s="5" t="inlineStr">
        <x:is>
          <x:t xml:space="preserve">ribombee</x:t>
        </x:is>
      </x:c>
      <x:c r="D747" s="5" t="n">
        <x:v>7</x:v>
      </x:c>
      <x:c r="E747" s="10" t="n">
        <x:f>SUM(XLOOKUP('포켓몬_편집'!$AF747:$AN747,'분류_규칙'!$A$5:$A$76,'분류_규칙'!$E$5:$E$76,0))</x:f>
        <x:v>8</x:v>
      </x:c>
      <x:c r="F747" s="10" t="n">
        <x:f>SUM(XLOOKUP('포켓몬_편집'!$AF747:$AN747,'분류_규칙'!$A$5:$A$76,'분류_규칙'!$F$5:$F$76,0))</x:f>
        <x:v>8</x:v>
      </x:c>
      <x:c r="G747" s="10" t="n">
        <x:f>SUM(XLOOKUP('포켓몬_편집'!$AF747:$AN747,'분류_규칙'!$A$5:$A$76,'분류_규칙'!$G$5:$G$76,0))</x:f>
        <x:v>0</x:v>
      </x:c>
      <x:c r="H747" s="10" t="n">
        <x:f>SUM(XLOOKUP('포켓몬_편집'!$AF747:$AN747,'분류_규칙'!$A$5:$A$76,'분류_규칙'!$H$5:$H$76,0))</x:f>
        <x:v>12</x:v>
      </x:c>
      <x:c r="I747" s="10" t="n">
        <x:f>SUM(XLOOKUP('포켓몬_편집'!$AF747:$AN747,'분류_규칙'!$A$5:$A$76,'분류_규칙'!$I$5:$I$76,0))</x:f>
        <x:v>0</x:v>
      </x:c>
      <x:c r="J747" s="10" t="n">
        <x:f>SUM(XLOOKUP('포켓몬_편집'!$AF747:$AN747,'분류_규칙'!$A$5:$A$76,'분류_규칙'!$J$5:$J$76,0))</x:f>
        <x:v>0</x:v>
      </x:c>
      <x:c r="K747" s="10" t="n">
        <x:f>SUM(XLOOKUP('포켓몬_편집'!$AF747:$AN747,'분류_규칙'!$A$5:$A$76,'분류_규칙'!$K$5:$K$76,0))</x:f>
        <x:v>0</x:v>
      </x:c>
      <x:c r="L747" s="10" t="n">
        <x:f>SUM(XLOOKUP('포켓몬_편집'!$AF747:$AN747,'분류_규칙'!$A$5:$A$76,'분류_규칙'!$L$5:$L$76,0))</x:f>
        <x:v>3</x:v>
      </x:c>
      <x:c r="M747" s="10" t="n">
        <x:f>SUM(XLOOKUP('포켓몬_편집'!$AF747:$AN747,'분류_규칙'!$A$5:$A$76,'분류_규칙'!$M$5:$M$76,0))</x:f>
        <x:v>0</x:v>
      </x:c>
      <x:c r="N747" s="10" t="n">
        <x:f>SUM(XLOOKUP('포켓몬_편집'!$AF747:$AN747,'분류_규칙'!$A$5:$A$76,'분류_규칙'!$N$5:$N$76,0))</x:f>
        <x:v>0</x:v>
      </x:c>
      <x:c r="O747" s="10" t="n">
        <x:f>SUM(XLOOKUP('포켓몬_편집'!$AF747:$AN747,'분류_규칙'!$A$5:$A$76,'분류_규칙'!$O$5:$O$76,0))</x:f>
        <x:v>2</x:v>
      </x:c>
      <x:c r="P747" s="10" t="n">
        <x:f>SUM(XLOOKUP('포켓몬_편집'!$AF747:$AN747,'분류_규칙'!$A$5:$A$76,'분류_규칙'!$P$5:$P$76,0))</x:f>
        <x:v>0</x:v>
      </x:c>
    </x:row>
    <x:row r="748" ht="22" customHeight="1">
      <x:c r="A748" s="5" t="n">
        <x:v>744</x:v>
      </x:c>
      <x:c r="B748" s="5" t="inlineStr">
        <x:is>
          <x:t xml:space="preserve">암멍이</x:t>
        </x:is>
      </x:c>
      <x:c r="C748" s="5" t="inlineStr">
        <x:is>
          <x:t xml:space="preserve">rockruff</x:t>
        </x:is>
      </x:c>
      <x:c r="D748" s="5" t="n">
        <x:v>7</x:v>
      </x:c>
      <x:c r="E748" s="10" t="n">
        <x:f>SUM(XLOOKUP('포켓몬_편집'!$AF748:$AN748,'분류_규칙'!$A$5:$A$76,'분류_규칙'!$E$5:$E$76,0))</x:f>
        <x:v>10</x:v>
      </x:c>
      <x:c r="F748" s="10" t="n">
        <x:f>SUM(XLOOKUP('포켓몬_편집'!$AF748:$AN748,'분류_규칙'!$A$5:$A$76,'분류_규칙'!$F$5:$F$76,0))</x:f>
        <x:v>7</x:v>
      </x:c>
      <x:c r="G748" s="10" t="n">
        <x:f>SUM(XLOOKUP('포켓몬_편집'!$AF748:$AN748,'분류_규칙'!$A$5:$A$76,'분류_규칙'!$G$5:$G$76,0))</x:f>
        <x:v>5</x:v>
      </x:c>
      <x:c r="H748" s="10" t="n">
        <x:f>SUM(XLOOKUP('포켓몬_편집'!$AF748:$AN748,'분류_규칙'!$A$5:$A$76,'분류_규칙'!$H$5:$H$76,0))</x:f>
        <x:v>5</x:v>
      </x:c>
      <x:c r="I748" s="10" t="n">
        <x:f>SUM(XLOOKUP('포켓몬_편집'!$AF748:$AN748,'분류_규칙'!$A$5:$A$76,'분류_규칙'!$I$5:$I$76,0))</x:f>
        <x:v>0</x:v>
      </x:c>
      <x:c r="J748" s="10" t="n">
        <x:f>SUM(XLOOKUP('포켓몬_편집'!$AF748:$AN748,'분류_규칙'!$A$5:$A$76,'분류_규칙'!$J$5:$J$76,0))</x:f>
        <x:v>2</x:v>
      </x:c>
      <x:c r="K748" s="10" t="n">
        <x:f>SUM(XLOOKUP('포켓몬_편집'!$AF748:$AN748,'분류_규칙'!$A$5:$A$76,'분류_규칙'!$K$5:$K$76,0))</x:f>
        <x:v>0</x:v>
      </x:c>
      <x:c r="L748" s="10" t="n">
        <x:f>SUM(XLOOKUP('포켓몬_편집'!$AF748:$AN748,'분류_규칙'!$A$5:$A$76,'분류_규칙'!$L$5:$L$76,0))</x:f>
        <x:v>0</x:v>
      </x:c>
      <x:c r="M748" s="10" t="n">
        <x:f>SUM(XLOOKUP('포켓몬_편집'!$AF748:$AN748,'분류_규칙'!$A$5:$A$76,'분류_규칙'!$M$5:$M$76,0))</x:f>
        <x:v>0</x:v>
      </x:c>
      <x:c r="N748" s="10" t="n">
        <x:f>SUM(XLOOKUP('포켓몬_편집'!$AF748:$AN748,'분류_규칙'!$A$5:$A$76,'분류_규칙'!$N$5:$N$76,0))</x:f>
        <x:v>0</x:v>
      </x:c>
      <x:c r="O748" s="10" t="n">
        <x:f>SUM(XLOOKUP('포켓몬_편집'!$AF748:$AN748,'분류_규칙'!$A$5:$A$76,'분류_규칙'!$O$5:$O$76,0))</x:f>
        <x:v>2</x:v>
      </x:c>
      <x:c r="P748" s="10" t="n">
        <x:f>SUM(XLOOKUP('포켓몬_편집'!$AF748:$AN748,'분류_규칙'!$A$5:$A$76,'분류_규칙'!$P$5:$P$76,0))</x:f>
        <x:v>0</x:v>
      </x:c>
    </x:row>
    <x:row r="749" ht="22" customHeight="1">
      <x:c r="A749" s="5" t="n">
        <x:v>745</x:v>
      </x:c>
      <x:c r="B749" s="5" t="inlineStr">
        <x:is>
          <x:t xml:space="preserve">루가루암</x:t>
        </x:is>
      </x:c>
      <x:c r="C749" s="5" t="inlineStr">
        <x:is>
          <x:t xml:space="preserve">lycanroc</x:t>
        </x:is>
      </x:c>
      <x:c r="D749" s="5" t="n">
        <x:v>7</x:v>
      </x:c>
      <x:c r="E749" s="10" t="n">
        <x:f>SUM(XLOOKUP('포켓몬_편집'!$AF749:$AN749,'분류_규칙'!$A$5:$A$76,'분류_규칙'!$E$5:$E$76,0))</x:f>
        <x:v>10</x:v>
      </x:c>
      <x:c r="F749" s="10" t="n">
        <x:f>SUM(XLOOKUP('포켓몬_편집'!$AF749:$AN749,'분류_규칙'!$A$5:$A$76,'분류_규칙'!$F$5:$F$76,0))</x:f>
        <x:v>7</x:v>
      </x:c>
      <x:c r="G749" s="10" t="n">
        <x:f>SUM(XLOOKUP('포켓몬_편집'!$AF749:$AN749,'분류_규칙'!$A$5:$A$76,'분류_규칙'!$G$5:$G$76,0))</x:f>
        <x:v>5</x:v>
      </x:c>
      <x:c r="H749" s="10" t="n">
        <x:f>SUM(XLOOKUP('포켓몬_편집'!$AF749:$AN749,'분류_규칙'!$A$5:$A$76,'분류_규칙'!$H$5:$H$76,0))</x:f>
        <x:v>5</x:v>
      </x:c>
      <x:c r="I749" s="10" t="n">
        <x:f>SUM(XLOOKUP('포켓몬_편집'!$AF749:$AN749,'분류_규칙'!$A$5:$A$76,'분류_규칙'!$I$5:$I$76,0))</x:f>
        <x:v>0</x:v>
      </x:c>
      <x:c r="J749" s="10" t="n">
        <x:f>SUM(XLOOKUP('포켓몬_편집'!$AF749:$AN749,'분류_규칙'!$A$5:$A$76,'분류_규칙'!$J$5:$J$76,0))</x:f>
        <x:v>2</x:v>
      </x:c>
      <x:c r="K749" s="10" t="n">
        <x:f>SUM(XLOOKUP('포켓몬_편집'!$AF749:$AN749,'분류_규칙'!$A$5:$A$76,'분류_규칙'!$K$5:$K$76,0))</x:f>
        <x:v>0</x:v>
      </x:c>
      <x:c r="L749" s="10" t="n">
        <x:f>SUM(XLOOKUP('포켓몬_편집'!$AF749:$AN749,'분류_규칙'!$A$5:$A$76,'분류_규칙'!$L$5:$L$76,0))</x:f>
        <x:v>0</x:v>
      </x:c>
      <x:c r="M749" s="10" t="n">
        <x:f>SUM(XLOOKUP('포켓몬_편집'!$AF749:$AN749,'분류_규칙'!$A$5:$A$76,'분류_규칙'!$M$5:$M$76,0))</x:f>
        <x:v>0</x:v>
      </x:c>
      <x:c r="N749" s="10" t="n">
        <x:f>SUM(XLOOKUP('포켓몬_편집'!$AF749:$AN749,'분류_규칙'!$A$5:$A$76,'분류_규칙'!$N$5:$N$76,0))</x:f>
        <x:v>0</x:v>
      </x:c>
      <x:c r="O749" s="10" t="n">
        <x:f>SUM(XLOOKUP('포켓몬_편집'!$AF749:$AN749,'분류_규칙'!$A$5:$A$76,'분류_규칙'!$O$5:$O$76,0))</x:f>
        <x:v>2</x:v>
      </x:c>
      <x:c r="P749" s="10" t="n">
        <x:f>SUM(XLOOKUP('포켓몬_편집'!$AF749:$AN749,'분류_규칙'!$A$5:$A$76,'분류_규칙'!$P$5:$P$76,0))</x:f>
        <x:v>0</x:v>
      </x:c>
    </x:row>
    <x:row r="750" ht="22" customHeight="1">
      <x:c r="A750" s="5" t="n">
        <x:v>746</x:v>
      </x:c>
      <x:c r="B750" s="5" t="inlineStr">
        <x:is>
          <x:t xml:space="preserve">약어리</x:t>
        </x:is>
      </x:c>
      <x:c r="C750" s="5" t="inlineStr">
        <x:is>
          <x:t xml:space="preserve">wishiwashi</x:t>
        </x:is>
      </x:c>
      <x:c r="D750" s="5" t="n">
        <x:v>7</x:v>
      </x:c>
      <x:c r="E750" s="10" t="n">
        <x:f>SUM(XLOOKUP('포켓몬_편집'!$AF750:$AN750,'분류_규칙'!$A$5:$A$76,'분류_규칙'!$E$5:$E$76,0))</x:f>
        <x:v>0</x:v>
      </x:c>
      <x:c r="F750" s="10" t="n">
        <x:f>SUM(XLOOKUP('포켓몬_편집'!$AF750:$AN750,'분류_규칙'!$A$5:$A$76,'분류_규칙'!$F$5:$F$76,0))</x:f>
        <x:v>0</x:v>
      </x:c>
      <x:c r="G750" s="10" t="n">
        <x:f>SUM(XLOOKUP('포켓몬_편집'!$AF750:$AN750,'분류_규칙'!$A$5:$A$76,'분류_규칙'!$G$5:$G$76,0))</x:f>
        <x:v>0</x:v>
      </x:c>
      <x:c r="H750" s="10" t="n">
        <x:f>SUM(XLOOKUP('포켓몬_편집'!$AF750:$AN750,'분류_규칙'!$A$5:$A$76,'분류_규칙'!$H$5:$H$76,0))</x:f>
        <x:v>0</x:v>
      </x:c>
      <x:c r="I750" s="10" t="n">
        <x:f>SUM(XLOOKUP('포켓몬_편집'!$AF750:$AN750,'분류_규칙'!$A$5:$A$76,'분류_규칙'!$I$5:$I$76,0))</x:f>
        <x:v>0</x:v>
      </x:c>
      <x:c r="J750" s="10" t="n">
        <x:f>SUM(XLOOKUP('포켓몬_편집'!$AF750:$AN750,'분류_규칙'!$A$5:$A$76,'분류_규칙'!$J$5:$J$76,0))</x:f>
        <x:v>3</x:v>
      </x:c>
      <x:c r="K750" s="10" t="n">
        <x:f>SUM(XLOOKUP('포켓몬_편집'!$AF750:$AN750,'분류_규칙'!$A$5:$A$76,'분류_규칙'!$K$5:$K$76,0))</x:f>
        <x:v>0</x:v>
      </x:c>
      <x:c r="L750" s="10" t="n">
        <x:f>SUM(XLOOKUP('포켓몬_편집'!$AF750:$AN750,'분류_규칙'!$A$5:$A$76,'분류_규칙'!$L$5:$L$76,0))</x:f>
        <x:v>30</x:v>
      </x:c>
      <x:c r="M750" s="10" t="n">
        <x:f>SUM(XLOOKUP('포켓몬_편집'!$AF750:$AN750,'분류_규칙'!$A$5:$A$76,'분류_규칙'!$M$5:$M$76,0))</x:f>
        <x:v>0</x:v>
      </x:c>
      <x:c r="N750" s="10" t="n">
        <x:f>SUM(XLOOKUP('포켓몬_편집'!$AF750:$AN750,'분류_규칙'!$A$5:$A$76,'분류_규칙'!$N$5:$N$76,0))</x:f>
        <x:v>0</x:v>
      </x:c>
      <x:c r="O750" s="10" t="n">
        <x:f>SUM(XLOOKUP('포켓몬_편집'!$AF750:$AN750,'분류_규칙'!$A$5:$A$76,'분류_규칙'!$O$5:$O$76,0))</x:f>
        <x:v>0</x:v>
      </x:c>
      <x:c r="P750" s="10" t="n">
        <x:f>SUM(XLOOKUP('포켓몬_편집'!$AF750:$AN750,'분류_규칙'!$A$5:$A$76,'분류_규칙'!$P$5:$P$76,0))</x:f>
        <x:v>0</x:v>
      </x:c>
    </x:row>
    <x:row r="751" ht="22" customHeight="1">
      <x:c r="A751" s="5" t="n">
        <x:v>747</x:v>
      </x:c>
      <x:c r="B751" s="5" t="inlineStr">
        <x:is>
          <x:t xml:space="preserve">시마사리</x:t>
        </x:is>
      </x:c>
      <x:c r="C751" s="5" t="inlineStr">
        <x:is>
          <x:t xml:space="preserve">mareanie</x:t>
        </x:is>
      </x:c>
      <x:c r="D751" s="5" t="n">
        <x:v>7</x:v>
      </x:c>
      <x:c r="E751" s="10" t="n">
        <x:f>SUM(XLOOKUP('포켓몬_편집'!$AF751:$AN751,'분류_규칙'!$A$5:$A$76,'분류_규칙'!$E$5:$E$76,0))</x:f>
        <x:v>0</x:v>
      </x:c>
      <x:c r="F751" s="10" t="n">
        <x:f>SUM(XLOOKUP('포켓몬_편집'!$AF751:$AN751,'분류_규칙'!$A$5:$A$76,'분류_규칙'!$F$5:$F$76,0))</x:f>
        <x:v>0</x:v>
      </x:c>
      <x:c r="G751" s="10" t="n">
        <x:f>SUM(XLOOKUP('포켓몬_편집'!$AF751:$AN751,'분류_규칙'!$A$5:$A$76,'분류_규칙'!$G$5:$G$76,0))</x:f>
        <x:v>0</x:v>
      </x:c>
      <x:c r="H751" s="10" t="n">
        <x:f>SUM(XLOOKUP('포켓몬_편집'!$AF751:$AN751,'분류_규칙'!$A$5:$A$76,'분류_규칙'!$H$5:$H$76,0))</x:f>
        <x:v>0</x:v>
      </x:c>
      <x:c r="I751" s="10" t="n">
        <x:f>SUM(XLOOKUP('포켓몬_편집'!$AF751:$AN751,'분류_규칙'!$A$5:$A$76,'분류_규칙'!$I$5:$I$76,0))</x:f>
        <x:v>0</x:v>
      </x:c>
      <x:c r="J751" s="10" t="n">
        <x:f>SUM(XLOOKUP('포켓몬_편집'!$AF751:$AN751,'분류_규칙'!$A$5:$A$76,'분류_규칙'!$J$5:$J$76,0))</x:f>
        <x:v>3</x:v>
      </x:c>
      <x:c r="K751" s="10" t="n">
        <x:f>SUM(XLOOKUP('포켓몬_편집'!$AF751:$AN751,'분류_규칙'!$A$5:$A$76,'분류_규칙'!$K$5:$K$76,0))</x:f>
        <x:v>0</x:v>
      </x:c>
      <x:c r="L751" s="10" t="n">
        <x:f>SUM(XLOOKUP('포켓몬_편집'!$AF751:$AN751,'분류_규칙'!$A$5:$A$76,'분류_규칙'!$L$5:$L$76,0))</x:f>
        <x:v>30</x:v>
      </x:c>
      <x:c r="M751" s="10" t="n">
        <x:f>SUM(XLOOKUP('포켓몬_편집'!$AF751:$AN751,'분류_규칙'!$A$5:$A$76,'분류_규칙'!$M$5:$M$76,0))</x:f>
        <x:v>0</x:v>
      </x:c>
      <x:c r="N751" s="10" t="n">
        <x:f>SUM(XLOOKUP('포켓몬_편집'!$AF751:$AN751,'분류_규칙'!$A$5:$A$76,'분류_규칙'!$N$5:$N$76,0))</x:f>
        <x:v>0</x:v>
      </x:c>
      <x:c r="O751" s="10" t="n">
        <x:f>SUM(XLOOKUP('포켓몬_편집'!$AF751:$AN751,'분류_규칙'!$A$5:$A$76,'분류_규칙'!$O$5:$O$76,0))</x:f>
        <x:v>0</x:v>
      </x:c>
      <x:c r="P751" s="10" t="n">
        <x:f>SUM(XLOOKUP('포켓몬_편집'!$AF751:$AN751,'분류_규칙'!$A$5:$A$76,'분류_규칙'!$P$5:$P$76,0))</x:f>
        <x:v>0</x:v>
      </x:c>
    </x:row>
    <x:row r="752" ht="22" customHeight="1">
      <x:c r="A752" s="5" t="n">
        <x:v>748</x:v>
      </x:c>
      <x:c r="B752" s="5" t="inlineStr">
        <x:is>
          <x:t xml:space="preserve">더시마사리</x:t>
        </x:is>
      </x:c>
      <x:c r="C752" s="5" t="inlineStr">
        <x:is>
          <x:t xml:space="preserve">toxapex</x:t>
        </x:is>
      </x:c>
      <x:c r="D752" s="5" t="n">
        <x:v>7</x:v>
      </x:c>
      <x:c r="E752" s="10" t="n">
        <x:f>SUM(XLOOKUP('포켓몬_편집'!$AF752:$AN752,'분류_규칙'!$A$5:$A$76,'분류_규칙'!$E$5:$E$76,0))</x:f>
        <x:v>0</x:v>
      </x:c>
      <x:c r="F752" s="10" t="n">
        <x:f>SUM(XLOOKUP('포켓몬_편집'!$AF752:$AN752,'분류_규칙'!$A$5:$A$76,'분류_규칙'!$F$5:$F$76,0))</x:f>
        <x:v>0</x:v>
      </x:c>
      <x:c r="G752" s="10" t="n">
        <x:f>SUM(XLOOKUP('포켓몬_편집'!$AF752:$AN752,'분류_규칙'!$A$5:$A$76,'분류_규칙'!$G$5:$G$76,0))</x:f>
        <x:v>0</x:v>
      </x:c>
      <x:c r="H752" s="10" t="n">
        <x:f>SUM(XLOOKUP('포켓몬_편집'!$AF752:$AN752,'분류_규칙'!$A$5:$A$76,'분류_규칙'!$H$5:$H$76,0))</x:f>
        <x:v>0</x:v>
      </x:c>
      <x:c r="I752" s="10" t="n">
        <x:f>SUM(XLOOKUP('포켓몬_편집'!$AF752:$AN752,'분류_규칙'!$A$5:$A$76,'분류_규칙'!$I$5:$I$76,0))</x:f>
        <x:v>0</x:v>
      </x:c>
      <x:c r="J752" s="10" t="n">
        <x:f>SUM(XLOOKUP('포켓몬_편집'!$AF752:$AN752,'분류_규칙'!$A$5:$A$76,'분류_규칙'!$J$5:$J$76,0))</x:f>
        <x:v>3</x:v>
      </x:c>
      <x:c r="K752" s="10" t="n">
        <x:f>SUM(XLOOKUP('포켓몬_편집'!$AF752:$AN752,'분류_규칙'!$A$5:$A$76,'분류_규칙'!$K$5:$K$76,0))</x:f>
        <x:v>0</x:v>
      </x:c>
      <x:c r="L752" s="10" t="n">
        <x:f>SUM(XLOOKUP('포켓몬_편집'!$AF752:$AN752,'분류_규칙'!$A$5:$A$76,'분류_규칙'!$L$5:$L$76,0))</x:f>
        <x:v>30</x:v>
      </x:c>
      <x:c r="M752" s="10" t="n">
        <x:f>SUM(XLOOKUP('포켓몬_편집'!$AF752:$AN752,'분류_규칙'!$A$5:$A$76,'분류_규칙'!$M$5:$M$76,0))</x:f>
        <x:v>0</x:v>
      </x:c>
      <x:c r="N752" s="10" t="n">
        <x:f>SUM(XLOOKUP('포켓몬_편집'!$AF752:$AN752,'분류_규칙'!$A$5:$A$76,'분류_규칙'!$N$5:$N$76,0))</x:f>
        <x:v>0</x:v>
      </x:c>
      <x:c r="O752" s="10" t="n">
        <x:f>SUM(XLOOKUP('포켓몬_편집'!$AF752:$AN752,'분류_규칙'!$A$5:$A$76,'분류_규칙'!$O$5:$O$76,0))</x:f>
        <x:v>0</x:v>
      </x:c>
      <x:c r="P752" s="10" t="n">
        <x:f>SUM(XLOOKUP('포켓몬_편집'!$AF752:$AN752,'분류_규칙'!$A$5:$A$76,'분류_규칙'!$P$5:$P$76,0))</x:f>
        <x:v>0</x:v>
      </x:c>
    </x:row>
    <x:row r="753" ht="22" customHeight="1">
      <x:c r="A753" s="5" t="n">
        <x:v>749</x:v>
      </x:c>
      <x:c r="B753" s="5" t="inlineStr">
        <x:is>
          <x:t xml:space="preserve">머드나기</x:t>
        </x:is>
      </x:c>
      <x:c r="C753" s="5" t="inlineStr">
        <x:is>
          <x:t xml:space="preserve">mudbray</x:t>
        </x:is>
      </x:c>
      <x:c r="D753" s="5" t="n">
        <x:v>7</x:v>
      </x:c>
      <x:c r="E753" s="10" t="n">
        <x:f>SUM(XLOOKUP('포켓몬_편집'!$AF753:$AN753,'분류_규칙'!$A$5:$A$76,'분류_규칙'!$E$5:$E$76,0))</x:f>
        <x:v>10</x:v>
      </x:c>
      <x:c r="F753" s="10" t="n">
        <x:f>SUM(XLOOKUP('포켓몬_편집'!$AF753:$AN753,'분류_규칙'!$A$5:$A$76,'분류_규칙'!$F$5:$F$76,0))</x:f>
        <x:v>7</x:v>
      </x:c>
      <x:c r="G753" s="10" t="n">
        <x:f>SUM(XLOOKUP('포켓몬_편집'!$AF753:$AN753,'분류_규칙'!$A$5:$A$76,'분류_규칙'!$G$5:$G$76,0))</x:f>
        <x:v>5</x:v>
      </x:c>
      <x:c r="H753" s="10" t="n">
        <x:f>SUM(XLOOKUP('포켓몬_편집'!$AF753:$AN753,'분류_규칙'!$A$5:$A$76,'분류_규칙'!$H$5:$H$76,0))</x:f>
        <x:v>5</x:v>
      </x:c>
      <x:c r="I753" s="10" t="n">
        <x:f>SUM(XLOOKUP('포켓몬_편집'!$AF753:$AN753,'분류_규칙'!$A$5:$A$76,'분류_규칙'!$I$5:$I$76,0))</x:f>
        <x:v>0</x:v>
      </x:c>
      <x:c r="J753" s="10" t="n">
        <x:f>SUM(XLOOKUP('포켓몬_편집'!$AF753:$AN753,'분류_규칙'!$A$5:$A$76,'분류_규칙'!$J$5:$J$76,0))</x:f>
        <x:v>2</x:v>
      </x:c>
      <x:c r="K753" s="10" t="n">
        <x:f>SUM(XLOOKUP('포켓몬_편집'!$AF753:$AN753,'분류_규칙'!$A$5:$A$76,'분류_규칙'!$K$5:$K$76,0))</x:f>
        <x:v>0</x:v>
      </x:c>
      <x:c r="L753" s="10" t="n">
        <x:f>SUM(XLOOKUP('포켓몬_편집'!$AF753:$AN753,'분류_규칙'!$A$5:$A$76,'분류_규칙'!$L$5:$L$76,0))</x:f>
        <x:v>0</x:v>
      </x:c>
      <x:c r="M753" s="10" t="n">
        <x:f>SUM(XLOOKUP('포켓몬_편집'!$AF753:$AN753,'분류_규칙'!$A$5:$A$76,'분류_규칙'!$M$5:$M$76,0))</x:f>
        <x:v>0</x:v>
      </x:c>
      <x:c r="N753" s="10" t="n">
        <x:f>SUM(XLOOKUP('포켓몬_편집'!$AF753:$AN753,'분류_규칙'!$A$5:$A$76,'분류_규칙'!$N$5:$N$76,0))</x:f>
        <x:v>0</x:v>
      </x:c>
      <x:c r="O753" s="10" t="n">
        <x:f>SUM(XLOOKUP('포켓몬_편집'!$AF753:$AN753,'분류_규칙'!$A$5:$A$76,'분류_규칙'!$O$5:$O$76,0))</x:f>
        <x:v>2</x:v>
      </x:c>
      <x:c r="P753" s="10" t="n">
        <x:f>SUM(XLOOKUP('포켓몬_편집'!$AF753:$AN753,'분류_규칙'!$A$5:$A$76,'분류_규칙'!$P$5:$P$76,0))</x:f>
        <x:v>0</x:v>
      </x:c>
    </x:row>
    <x:row r="754" ht="22" customHeight="1">
      <x:c r="A754" s="5" t="n">
        <x:v>750</x:v>
      </x:c>
      <x:c r="B754" s="5" t="inlineStr">
        <x:is>
          <x:t xml:space="preserve">만마드</x:t>
        </x:is>
      </x:c>
      <x:c r="C754" s="5" t="inlineStr">
        <x:is>
          <x:t xml:space="preserve">mudsdale</x:t>
        </x:is>
      </x:c>
      <x:c r="D754" s="5" t="n">
        <x:v>7</x:v>
      </x:c>
      <x:c r="E754" s="10" t="n">
        <x:f>SUM(XLOOKUP('포켓몬_편집'!$AF754:$AN754,'분류_규칙'!$A$5:$A$76,'분류_규칙'!$E$5:$E$76,0))</x:f>
        <x:v>10</x:v>
      </x:c>
      <x:c r="F754" s="10" t="n">
        <x:f>SUM(XLOOKUP('포켓몬_편집'!$AF754:$AN754,'분류_규칙'!$A$5:$A$76,'분류_규칙'!$F$5:$F$76,0))</x:f>
        <x:v>7</x:v>
      </x:c>
      <x:c r="G754" s="10" t="n">
        <x:f>SUM(XLOOKUP('포켓몬_편집'!$AF754:$AN754,'분류_규칙'!$A$5:$A$76,'분류_규칙'!$G$5:$G$76,0))</x:f>
        <x:v>5</x:v>
      </x:c>
      <x:c r="H754" s="10" t="n">
        <x:f>SUM(XLOOKUP('포켓몬_편집'!$AF754:$AN754,'분류_규칙'!$A$5:$A$76,'분류_규칙'!$H$5:$H$76,0))</x:f>
        <x:v>5</x:v>
      </x:c>
      <x:c r="I754" s="10" t="n">
        <x:f>SUM(XLOOKUP('포켓몬_편집'!$AF754:$AN754,'분류_규칙'!$A$5:$A$76,'분류_규칙'!$I$5:$I$76,0))</x:f>
        <x:v>0</x:v>
      </x:c>
      <x:c r="J754" s="10" t="n">
        <x:f>SUM(XLOOKUP('포켓몬_편집'!$AF754:$AN754,'분류_규칙'!$A$5:$A$76,'분류_규칙'!$J$5:$J$76,0))</x:f>
        <x:v>2</x:v>
      </x:c>
      <x:c r="K754" s="10" t="n">
        <x:f>SUM(XLOOKUP('포켓몬_편집'!$AF754:$AN754,'분류_규칙'!$A$5:$A$76,'분류_규칙'!$K$5:$K$76,0))</x:f>
        <x:v>0</x:v>
      </x:c>
      <x:c r="L754" s="10" t="n">
        <x:f>SUM(XLOOKUP('포켓몬_편집'!$AF754:$AN754,'분류_규칙'!$A$5:$A$76,'분류_규칙'!$L$5:$L$76,0))</x:f>
        <x:v>0</x:v>
      </x:c>
      <x:c r="M754" s="10" t="n">
        <x:f>SUM(XLOOKUP('포켓몬_편집'!$AF754:$AN754,'분류_규칙'!$A$5:$A$76,'분류_규칙'!$M$5:$M$76,0))</x:f>
        <x:v>0</x:v>
      </x:c>
      <x:c r="N754" s="10" t="n">
        <x:f>SUM(XLOOKUP('포켓몬_편집'!$AF754:$AN754,'분류_규칙'!$A$5:$A$76,'분류_규칙'!$N$5:$N$76,0))</x:f>
        <x:v>0</x:v>
      </x:c>
      <x:c r="O754" s="10" t="n">
        <x:f>SUM(XLOOKUP('포켓몬_편집'!$AF754:$AN754,'분류_규칙'!$A$5:$A$76,'분류_규칙'!$O$5:$O$76,0))</x:f>
        <x:v>2</x:v>
      </x:c>
      <x:c r="P754" s="10" t="n">
        <x:f>SUM(XLOOKUP('포켓몬_편집'!$AF754:$AN754,'분류_규칙'!$A$5:$A$76,'분류_규칙'!$P$5:$P$76,0))</x:f>
        <x:v>0</x:v>
      </x:c>
    </x:row>
    <x:row r="755" ht="22" customHeight="1">
      <x:c r="A755" s="5" t="n">
        <x:v>751</x:v>
      </x:c>
      <x:c r="B755" s="5" t="inlineStr">
        <x:is>
          <x:t xml:space="preserve">물거미</x:t>
        </x:is>
      </x:c>
      <x:c r="C755" s="5" t="inlineStr">
        <x:is>
          <x:t xml:space="preserve">dewpider</x:t>
        </x:is>
      </x:c>
      <x:c r="D755" s="5" t="n">
        <x:v>7</x:v>
      </x:c>
      <x:c r="E755" s="10" t="n">
        <x:f>SUM(XLOOKUP('포켓몬_편집'!$AF755:$AN755,'분류_규칙'!$A$5:$A$76,'분류_규칙'!$E$5:$E$76,0))</x:f>
        <x:v>0</x:v>
      </x:c>
      <x:c r="F755" s="10" t="n">
        <x:f>SUM(XLOOKUP('포켓몬_편집'!$AF755:$AN755,'분류_규칙'!$A$5:$A$76,'분류_규칙'!$F$5:$F$76,0))</x:f>
        <x:v>0</x:v>
      </x:c>
      <x:c r="G755" s="10" t="n">
        <x:f>SUM(XLOOKUP('포켓몬_편집'!$AF755:$AN755,'분류_규칙'!$A$5:$A$76,'분류_규칙'!$G$5:$G$76,0))</x:f>
        <x:v>0</x:v>
      </x:c>
      <x:c r="H755" s="10" t="n">
        <x:f>SUM(XLOOKUP('포켓몬_편집'!$AF755:$AN755,'분류_규칙'!$A$5:$A$76,'분류_규칙'!$H$5:$H$76,0))</x:f>
        <x:v>0</x:v>
      </x:c>
      <x:c r="I755" s="10" t="n">
        <x:f>SUM(XLOOKUP('포켓몬_편집'!$AF755:$AN755,'분류_규칙'!$A$5:$A$76,'분류_규칙'!$I$5:$I$76,0))</x:f>
        <x:v>0</x:v>
      </x:c>
      <x:c r="J755" s="10" t="n">
        <x:f>SUM(XLOOKUP('포켓몬_편집'!$AF755:$AN755,'분류_규칙'!$A$5:$A$76,'분류_규칙'!$J$5:$J$76,0))</x:f>
        <x:v>12</x:v>
      </x:c>
      <x:c r="K755" s="10" t="n">
        <x:f>SUM(XLOOKUP('포켓몬_편집'!$AF755:$AN755,'분류_규칙'!$A$5:$A$76,'분류_규칙'!$K$5:$K$76,0))</x:f>
        <x:v>30</x:v>
      </x:c>
      <x:c r="L755" s="10" t="n">
        <x:f>SUM(XLOOKUP('포켓몬_편집'!$AF755:$AN755,'분류_규칙'!$A$5:$A$76,'분류_규칙'!$L$5:$L$76,0))</x:f>
        <x:v>0</x:v>
      </x:c>
      <x:c r="M755" s="10" t="n">
        <x:f>SUM(XLOOKUP('포켓몬_편집'!$AF755:$AN755,'분류_규칙'!$A$5:$A$76,'분류_규칙'!$M$5:$M$76,0))</x:f>
        <x:v>0</x:v>
      </x:c>
      <x:c r="N755" s="10" t="n">
        <x:f>SUM(XLOOKUP('포켓몬_편집'!$AF755:$AN755,'분류_규칙'!$A$5:$A$76,'분류_규칙'!$N$5:$N$76,0))</x:f>
        <x:v>0</x:v>
      </x:c>
      <x:c r="O755" s="10" t="n">
        <x:f>SUM(XLOOKUP('포켓몬_편집'!$AF755:$AN755,'분류_규칙'!$A$5:$A$76,'분류_규칙'!$O$5:$O$76,0))</x:f>
        <x:v>0</x:v>
      </x:c>
      <x:c r="P755" s="10" t="n">
        <x:f>SUM(XLOOKUP('포켓몬_편집'!$AF755:$AN755,'분류_규칙'!$A$5:$A$76,'분류_규칙'!$P$5:$P$76,0))</x:f>
        <x:v>0</x:v>
      </x:c>
    </x:row>
    <x:row r="756" ht="22" customHeight="1">
      <x:c r="A756" s="5" t="n">
        <x:v>752</x:v>
      </x:c>
      <x:c r="B756" s="5" t="inlineStr">
        <x:is>
          <x:t xml:space="preserve">깨비물거미</x:t>
        </x:is>
      </x:c>
      <x:c r="C756" s="5" t="inlineStr">
        <x:is>
          <x:t xml:space="preserve">araquanid</x:t>
        </x:is>
      </x:c>
      <x:c r="D756" s="5" t="n">
        <x:v>7</x:v>
      </x:c>
      <x:c r="E756" s="10" t="n">
        <x:f>SUM(XLOOKUP('포켓몬_편집'!$AF756:$AN756,'분류_규칙'!$A$5:$A$76,'분류_규칙'!$E$5:$E$76,0))</x:f>
        <x:v>0</x:v>
      </x:c>
      <x:c r="F756" s="10" t="n">
        <x:f>SUM(XLOOKUP('포켓몬_편집'!$AF756:$AN756,'분류_규칙'!$A$5:$A$76,'분류_규칙'!$F$5:$F$76,0))</x:f>
        <x:v>0</x:v>
      </x:c>
      <x:c r="G756" s="10" t="n">
        <x:f>SUM(XLOOKUP('포켓몬_편집'!$AF756:$AN756,'분류_규칙'!$A$5:$A$76,'분류_규칙'!$G$5:$G$76,0))</x:f>
        <x:v>0</x:v>
      </x:c>
      <x:c r="H756" s="10" t="n">
        <x:f>SUM(XLOOKUP('포켓몬_편집'!$AF756:$AN756,'분류_규칙'!$A$5:$A$76,'분류_규칙'!$H$5:$H$76,0))</x:f>
        <x:v>0</x:v>
      </x:c>
      <x:c r="I756" s="10" t="n">
        <x:f>SUM(XLOOKUP('포켓몬_편집'!$AF756:$AN756,'분류_규칙'!$A$5:$A$76,'분류_규칙'!$I$5:$I$76,0))</x:f>
        <x:v>0</x:v>
      </x:c>
      <x:c r="J756" s="10" t="n">
        <x:f>SUM(XLOOKUP('포켓몬_편집'!$AF756:$AN756,'분류_규칙'!$A$5:$A$76,'분류_규칙'!$J$5:$J$76,0))</x:f>
        <x:v>12</x:v>
      </x:c>
      <x:c r="K756" s="10" t="n">
        <x:f>SUM(XLOOKUP('포켓몬_편집'!$AF756:$AN756,'분류_규칙'!$A$5:$A$76,'분류_규칙'!$K$5:$K$76,0))</x:f>
        <x:v>30</x:v>
      </x:c>
      <x:c r="L756" s="10" t="n">
        <x:f>SUM(XLOOKUP('포켓몬_편집'!$AF756:$AN756,'분류_규칙'!$A$5:$A$76,'분류_규칙'!$L$5:$L$76,0))</x:f>
        <x:v>0</x:v>
      </x:c>
      <x:c r="M756" s="10" t="n">
        <x:f>SUM(XLOOKUP('포켓몬_편집'!$AF756:$AN756,'분류_규칙'!$A$5:$A$76,'분류_규칙'!$M$5:$M$76,0))</x:f>
        <x:v>0</x:v>
      </x:c>
      <x:c r="N756" s="10" t="n">
        <x:f>SUM(XLOOKUP('포켓몬_편집'!$AF756:$AN756,'분류_규칙'!$A$5:$A$76,'분류_규칙'!$N$5:$N$76,0))</x:f>
        <x:v>0</x:v>
      </x:c>
      <x:c r="O756" s="10" t="n">
        <x:f>SUM(XLOOKUP('포켓몬_편집'!$AF756:$AN756,'분류_규칙'!$A$5:$A$76,'분류_규칙'!$O$5:$O$76,0))</x:f>
        <x:v>0</x:v>
      </x:c>
      <x:c r="P756" s="10" t="n">
        <x:f>SUM(XLOOKUP('포켓몬_편집'!$AF756:$AN756,'분류_규칙'!$A$5:$A$76,'분류_규칙'!$P$5:$P$76,0))</x:f>
        <x:v>0</x:v>
      </x:c>
    </x:row>
    <x:row r="757" ht="22" customHeight="1">
      <x:c r="A757" s="5" t="n">
        <x:v>753</x:v>
      </x:c>
      <x:c r="B757" s="5" t="inlineStr">
        <x:is>
          <x:t xml:space="preserve">짜랑랑</x:t>
        </x:is>
      </x:c>
      <x:c r="C757" s="5" t="inlineStr">
        <x:is>
          <x:t xml:space="preserve">fomantis</x:t>
        </x:is>
      </x:c>
      <x:c r="D757" s="5" t="n">
        <x:v>7</x:v>
      </x:c>
      <x:c r="E757" s="10" t="n">
        <x:f>SUM(XLOOKUP('포켓몬_편집'!$AF757:$AN757,'분류_규칙'!$A$5:$A$76,'분류_규칙'!$E$5:$E$76,0))</x:f>
        <x:v>10</x:v>
      </x:c>
      <x:c r="F757" s="10" t="n">
        <x:f>SUM(XLOOKUP('포켓몬_편집'!$AF757:$AN757,'분류_규칙'!$A$5:$A$76,'분류_규칙'!$F$5:$F$76,0))</x:f>
        <x:v>7</x:v>
      </x:c>
      <x:c r="G757" s="10" t="n">
        <x:f>SUM(XLOOKUP('포켓몬_편집'!$AF757:$AN757,'분류_규칙'!$A$5:$A$76,'분류_규칙'!$G$5:$G$76,0))</x:f>
        <x:v>5</x:v>
      </x:c>
      <x:c r="H757" s="10" t="n">
        <x:f>SUM(XLOOKUP('포켓몬_편집'!$AF757:$AN757,'분류_규칙'!$A$5:$A$76,'분류_규칙'!$H$5:$H$76,0))</x:f>
        <x:v>5</x:v>
      </x:c>
      <x:c r="I757" s="10" t="n">
        <x:f>SUM(XLOOKUP('포켓몬_편집'!$AF757:$AN757,'분류_규칙'!$A$5:$A$76,'분류_규칙'!$I$5:$I$76,0))</x:f>
        <x:v>0</x:v>
      </x:c>
      <x:c r="J757" s="10" t="n">
        <x:f>SUM(XLOOKUP('포켓몬_편집'!$AF757:$AN757,'분류_규칙'!$A$5:$A$76,'분류_규칙'!$J$5:$J$76,0))</x:f>
        <x:v>2</x:v>
      </x:c>
      <x:c r="K757" s="10" t="n">
        <x:f>SUM(XLOOKUP('포켓몬_편집'!$AF757:$AN757,'분류_규칙'!$A$5:$A$76,'분류_규칙'!$K$5:$K$76,0))</x:f>
        <x:v>0</x:v>
      </x:c>
      <x:c r="L757" s="10" t="n">
        <x:f>SUM(XLOOKUP('포켓몬_편집'!$AF757:$AN757,'분류_규칙'!$A$5:$A$76,'분류_규칙'!$L$5:$L$76,0))</x:f>
        <x:v>0</x:v>
      </x:c>
      <x:c r="M757" s="10" t="n">
        <x:f>SUM(XLOOKUP('포켓몬_편집'!$AF757:$AN757,'분류_규칙'!$A$5:$A$76,'분류_규칙'!$M$5:$M$76,0))</x:f>
        <x:v>0</x:v>
      </x:c>
      <x:c r="N757" s="10" t="n">
        <x:f>SUM(XLOOKUP('포켓몬_편집'!$AF757:$AN757,'분류_규칙'!$A$5:$A$76,'분류_규칙'!$N$5:$N$76,0))</x:f>
        <x:v>0</x:v>
      </x:c>
      <x:c r="O757" s="10" t="n">
        <x:f>SUM(XLOOKUP('포켓몬_편집'!$AF757:$AN757,'분류_규칙'!$A$5:$A$76,'분류_규칙'!$O$5:$O$76,0))</x:f>
        <x:v>2</x:v>
      </x:c>
      <x:c r="P757" s="10" t="n">
        <x:f>SUM(XLOOKUP('포켓몬_편집'!$AF757:$AN757,'분류_규칙'!$A$5:$A$76,'분류_규칙'!$P$5:$P$76,0))</x:f>
        <x:v>0</x:v>
      </x:c>
    </x:row>
    <x:row r="758" ht="22" customHeight="1">
      <x:c r="A758" s="5" t="n">
        <x:v>754</x:v>
      </x:c>
      <x:c r="B758" s="5" t="inlineStr">
        <x:is>
          <x:t xml:space="preserve">라란티스</x:t>
        </x:is>
      </x:c>
      <x:c r="C758" s="5" t="inlineStr">
        <x:is>
          <x:t xml:space="preserve">lurantis</x:t>
        </x:is>
      </x:c>
      <x:c r="D758" s="5" t="n">
        <x:v>7</x:v>
      </x:c>
      <x:c r="E758" s="10" t="n">
        <x:f>SUM(XLOOKUP('포켓몬_편집'!$AF758:$AN758,'분류_규칙'!$A$5:$A$76,'분류_규칙'!$E$5:$E$76,0))</x:f>
        <x:v>10</x:v>
      </x:c>
      <x:c r="F758" s="10" t="n">
        <x:f>SUM(XLOOKUP('포켓몬_편집'!$AF758:$AN758,'분류_규칙'!$A$5:$A$76,'분류_규칙'!$F$5:$F$76,0))</x:f>
        <x:v>7</x:v>
      </x:c>
      <x:c r="G758" s="10" t="n">
        <x:f>SUM(XLOOKUP('포켓몬_편집'!$AF758:$AN758,'분류_규칙'!$A$5:$A$76,'분류_규칙'!$G$5:$G$76,0))</x:f>
        <x:v>5</x:v>
      </x:c>
      <x:c r="H758" s="10" t="n">
        <x:f>SUM(XLOOKUP('포켓몬_편집'!$AF758:$AN758,'분류_규칙'!$A$5:$A$76,'분류_규칙'!$H$5:$H$76,0))</x:f>
        <x:v>5</x:v>
      </x:c>
      <x:c r="I758" s="10" t="n">
        <x:f>SUM(XLOOKUP('포켓몬_편집'!$AF758:$AN758,'분류_규칙'!$A$5:$A$76,'분류_규칙'!$I$5:$I$76,0))</x:f>
        <x:v>0</x:v>
      </x:c>
      <x:c r="J758" s="10" t="n">
        <x:f>SUM(XLOOKUP('포켓몬_편집'!$AF758:$AN758,'분류_규칙'!$A$5:$A$76,'분류_규칙'!$J$5:$J$76,0))</x:f>
        <x:v>2</x:v>
      </x:c>
      <x:c r="K758" s="10" t="n">
        <x:f>SUM(XLOOKUP('포켓몬_편집'!$AF758:$AN758,'분류_규칙'!$A$5:$A$76,'분류_규칙'!$K$5:$K$76,0))</x:f>
        <x:v>0</x:v>
      </x:c>
      <x:c r="L758" s="10" t="n">
        <x:f>SUM(XLOOKUP('포켓몬_편집'!$AF758:$AN758,'분류_규칙'!$A$5:$A$76,'분류_규칙'!$L$5:$L$76,0))</x:f>
        <x:v>0</x:v>
      </x:c>
      <x:c r="M758" s="10" t="n">
        <x:f>SUM(XLOOKUP('포켓몬_편집'!$AF758:$AN758,'분류_규칙'!$A$5:$A$76,'분류_규칙'!$M$5:$M$76,0))</x:f>
        <x:v>0</x:v>
      </x:c>
      <x:c r="N758" s="10" t="n">
        <x:f>SUM(XLOOKUP('포켓몬_편집'!$AF758:$AN758,'분류_규칙'!$A$5:$A$76,'분류_규칙'!$N$5:$N$76,0))</x:f>
        <x:v>0</x:v>
      </x:c>
      <x:c r="O758" s="10" t="n">
        <x:f>SUM(XLOOKUP('포켓몬_편집'!$AF758:$AN758,'분류_규칙'!$A$5:$A$76,'분류_규칙'!$O$5:$O$76,0))</x:f>
        <x:v>2</x:v>
      </x:c>
      <x:c r="P758" s="10" t="n">
        <x:f>SUM(XLOOKUP('포켓몬_편집'!$AF758:$AN758,'분류_규칙'!$A$5:$A$76,'분류_규칙'!$P$5:$P$76,0))</x:f>
        <x:v>0</x:v>
      </x:c>
    </x:row>
    <x:row r="759" ht="22" customHeight="1">
      <x:c r="A759" s="5" t="n">
        <x:v>755</x:v>
      </x:c>
      <x:c r="B759" s="5" t="inlineStr">
        <x:is>
          <x:t xml:space="preserve">자마슈</x:t>
        </x:is>
      </x:c>
      <x:c r="C759" s="5" t="inlineStr">
        <x:is>
          <x:t xml:space="preserve">morelull</x:t>
        </x:is>
      </x:c>
      <x:c r="D759" s="5" t="n">
        <x:v>7</x:v>
      </x:c>
      <x:c r="E759" s="10" t="n">
        <x:f>SUM(XLOOKUP('포켓몬_편집'!$AF759:$AN759,'분류_규칙'!$A$5:$A$76,'분류_규칙'!$E$5:$E$76,0))</x:f>
        <x:v>10</x:v>
      </x:c>
      <x:c r="F759" s="10" t="n">
        <x:f>SUM(XLOOKUP('포켓몬_편집'!$AF759:$AN759,'분류_규칙'!$A$5:$A$76,'분류_규칙'!$F$5:$F$76,0))</x:f>
        <x:v>7</x:v>
      </x:c>
      <x:c r="G759" s="10" t="n">
        <x:f>SUM(XLOOKUP('포켓몬_편집'!$AF759:$AN759,'분류_규칙'!$A$5:$A$76,'분류_규칙'!$G$5:$G$76,0))</x:f>
        <x:v>5</x:v>
      </x:c>
      <x:c r="H759" s="10" t="n">
        <x:f>SUM(XLOOKUP('포켓몬_편집'!$AF759:$AN759,'분류_규칙'!$A$5:$A$76,'분류_규칙'!$H$5:$H$76,0))</x:f>
        <x:v>5</x:v>
      </x:c>
      <x:c r="I759" s="10" t="n">
        <x:f>SUM(XLOOKUP('포켓몬_편집'!$AF759:$AN759,'분류_규칙'!$A$5:$A$76,'분류_규칙'!$I$5:$I$76,0))</x:f>
        <x:v>0</x:v>
      </x:c>
      <x:c r="J759" s="10" t="n">
        <x:f>SUM(XLOOKUP('포켓몬_편집'!$AF759:$AN759,'분류_규칙'!$A$5:$A$76,'분류_규칙'!$J$5:$J$76,0))</x:f>
        <x:v>2</x:v>
      </x:c>
      <x:c r="K759" s="10" t="n">
        <x:f>SUM(XLOOKUP('포켓몬_편집'!$AF759:$AN759,'분류_규칙'!$A$5:$A$76,'분류_규칙'!$K$5:$K$76,0))</x:f>
        <x:v>0</x:v>
      </x:c>
      <x:c r="L759" s="10" t="n">
        <x:f>SUM(XLOOKUP('포켓몬_편집'!$AF759:$AN759,'분류_규칙'!$A$5:$A$76,'분류_규칙'!$L$5:$L$76,0))</x:f>
        <x:v>0</x:v>
      </x:c>
      <x:c r="M759" s="10" t="n">
        <x:f>SUM(XLOOKUP('포켓몬_편집'!$AF759:$AN759,'분류_규칙'!$A$5:$A$76,'분류_규칙'!$M$5:$M$76,0))</x:f>
        <x:v>0</x:v>
      </x:c>
      <x:c r="N759" s="10" t="n">
        <x:f>SUM(XLOOKUP('포켓몬_편집'!$AF759:$AN759,'분류_규칙'!$A$5:$A$76,'분류_규칙'!$N$5:$N$76,0))</x:f>
        <x:v>0</x:v>
      </x:c>
      <x:c r="O759" s="10" t="n">
        <x:f>SUM(XLOOKUP('포켓몬_편집'!$AF759:$AN759,'분류_규칙'!$A$5:$A$76,'분류_규칙'!$O$5:$O$76,0))</x:f>
        <x:v>2</x:v>
      </x:c>
      <x:c r="P759" s="10" t="n">
        <x:f>SUM(XLOOKUP('포켓몬_편집'!$AF759:$AN759,'분류_규칙'!$A$5:$A$76,'분류_규칙'!$P$5:$P$76,0))</x:f>
        <x:v>0</x:v>
      </x:c>
    </x:row>
    <x:row r="760" ht="22" customHeight="1">
      <x:c r="A760" s="5" t="n">
        <x:v>756</x:v>
      </x:c>
      <x:c r="B760" s="5" t="inlineStr">
        <x:is>
          <x:t xml:space="preserve">마셰이드</x:t>
        </x:is>
      </x:c>
      <x:c r="C760" s="5" t="inlineStr">
        <x:is>
          <x:t xml:space="preserve">shiinotic</x:t>
        </x:is>
      </x:c>
      <x:c r="D760" s="5" t="n">
        <x:v>7</x:v>
      </x:c>
      <x:c r="E760" s="10" t="n">
        <x:f>SUM(XLOOKUP('포켓몬_편집'!$AF760:$AN760,'분류_규칙'!$A$5:$A$76,'분류_규칙'!$E$5:$E$76,0))</x:f>
        <x:v>10</x:v>
      </x:c>
      <x:c r="F760" s="10" t="n">
        <x:f>SUM(XLOOKUP('포켓몬_편집'!$AF760:$AN760,'분류_규칙'!$A$5:$A$76,'분류_규칙'!$F$5:$F$76,0))</x:f>
        <x:v>7</x:v>
      </x:c>
      <x:c r="G760" s="10" t="n">
        <x:f>SUM(XLOOKUP('포켓몬_편집'!$AF760:$AN760,'분류_규칙'!$A$5:$A$76,'분류_규칙'!$G$5:$G$76,0))</x:f>
        <x:v>5</x:v>
      </x:c>
      <x:c r="H760" s="10" t="n">
        <x:f>SUM(XLOOKUP('포켓몬_편집'!$AF760:$AN760,'분류_규칙'!$A$5:$A$76,'분류_규칙'!$H$5:$H$76,0))</x:f>
        <x:v>5</x:v>
      </x:c>
      <x:c r="I760" s="10" t="n">
        <x:f>SUM(XLOOKUP('포켓몬_편집'!$AF760:$AN760,'분류_규칙'!$A$5:$A$76,'분류_규칙'!$I$5:$I$76,0))</x:f>
        <x:v>0</x:v>
      </x:c>
      <x:c r="J760" s="10" t="n">
        <x:f>SUM(XLOOKUP('포켓몬_편집'!$AF760:$AN760,'분류_규칙'!$A$5:$A$76,'분류_규칙'!$J$5:$J$76,0))</x:f>
        <x:v>2</x:v>
      </x:c>
      <x:c r="K760" s="10" t="n">
        <x:f>SUM(XLOOKUP('포켓몬_편집'!$AF760:$AN760,'분류_규칙'!$A$5:$A$76,'분류_규칙'!$K$5:$K$76,0))</x:f>
        <x:v>0</x:v>
      </x:c>
      <x:c r="L760" s="10" t="n">
        <x:f>SUM(XLOOKUP('포켓몬_편집'!$AF760:$AN760,'분류_규칙'!$A$5:$A$76,'분류_규칙'!$L$5:$L$76,0))</x:f>
        <x:v>0</x:v>
      </x:c>
      <x:c r="M760" s="10" t="n">
        <x:f>SUM(XLOOKUP('포켓몬_편집'!$AF760:$AN760,'분류_규칙'!$A$5:$A$76,'분류_규칙'!$M$5:$M$76,0))</x:f>
        <x:v>0</x:v>
      </x:c>
      <x:c r="N760" s="10" t="n">
        <x:f>SUM(XLOOKUP('포켓몬_편집'!$AF760:$AN760,'분류_규칙'!$A$5:$A$76,'분류_규칙'!$N$5:$N$76,0))</x:f>
        <x:v>0</x:v>
      </x:c>
      <x:c r="O760" s="10" t="n">
        <x:f>SUM(XLOOKUP('포켓몬_편집'!$AF760:$AN760,'분류_규칙'!$A$5:$A$76,'분류_규칙'!$O$5:$O$76,0))</x:f>
        <x:v>2</x:v>
      </x:c>
      <x:c r="P760" s="10" t="n">
        <x:f>SUM(XLOOKUP('포켓몬_편집'!$AF760:$AN760,'분류_규칙'!$A$5:$A$76,'분류_규칙'!$P$5:$P$76,0))</x:f>
        <x:v>0</x:v>
      </x:c>
    </x:row>
    <x:row r="761" ht="22" customHeight="1">
      <x:c r="A761" s="5" t="n">
        <x:v>757</x:v>
      </x:c>
      <x:c r="B761" s="5" t="inlineStr">
        <x:is>
          <x:t xml:space="preserve">야도뇽</x:t>
        </x:is>
      </x:c>
      <x:c r="C761" s="5" t="inlineStr">
        <x:is>
          <x:t xml:space="preserve">salandit</x:t>
        </x:is>
      </x:c>
      <x:c r="D761" s="5" t="n">
        <x:v>7</x:v>
      </x:c>
      <x:c r="E761" s="10" t="n">
        <x:f>SUM(XLOOKUP('포켓몬_편집'!$AF761:$AN761,'분류_규칙'!$A$5:$A$76,'분류_규칙'!$E$5:$E$76,0))</x:f>
        <x:v>10</x:v>
      </x:c>
      <x:c r="F761" s="10" t="n">
        <x:f>SUM(XLOOKUP('포켓몬_편집'!$AF761:$AN761,'분류_규칙'!$A$5:$A$76,'분류_규칙'!$F$5:$F$76,0))</x:f>
        <x:v>7</x:v>
      </x:c>
      <x:c r="G761" s="10" t="n">
        <x:f>SUM(XLOOKUP('포켓몬_편집'!$AF761:$AN761,'분류_규칙'!$A$5:$A$76,'분류_규칙'!$G$5:$G$76,0))</x:f>
        <x:v>5</x:v>
      </x:c>
      <x:c r="H761" s="10" t="n">
        <x:f>SUM(XLOOKUP('포켓몬_편집'!$AF761:$AN761,'분류_규칙'!$A$5:$A$76,'분류_규칙'!$H$5:$H$76,0))</x:f>
        <x:v>5</x:v>
      </x:c>
      <x:c r="I761" s="10" t="n">
        <x:f>SUM(XLOOKUP('포켓몬_편집'!$AF761:$AN761,'분류_규칙'!$A$5:$A$76,'분류_규칙'!$I$5:$I$76,0))</x:f>
        <x:v>0</x:v>
      </x:c>
      <x:c r="J761" s="10" t="n">
        <x:f>SUM(XLOOKUP('포켓몬_편집'!$AF761:$AN761,'분류_규칙'!$A$5:$A$76,'분류_규칙'!$J$5:$J$76,0))</x:f>
        <x:v>2</x:v>
      </x:c>
      <x:c r="K761" s="10" t="n">
        <x:f>SUM(XLOOKUP('포켓몬_편집'!$AF761:$AN761,'분류_규칙'!$A$5:$A$76,'분류_규칙'!$K$5:$K$76,0))</x:f>
        <x:v>0</x:v>
      </x:c>
      <x:c r="L761" s="10" t="n">
        <x:f>SUM(XLOOKUP('포켓몬_편집'!$AF761:$AN761,'분류_규칙'!$A$5:$A$76,'분류_규칙'!$L$5:$L$76,0))</x:f>
        <x:v>0</x:v>
      </x:c>
      <x:c r="M761" s="10" t="n">
        <x:f>SUM(XLOOKUP('포켓몬_편집'!$AF761:$AN761,'분류_규칙'!$A$5:$A$76,'분류_규칙'!$M$5:$M$76,0))</x:f>
        <x:v>0</x:v>
      </x:c>
      <x:c r="N761" s="10" t="n">
        <x:f>SUM(XLOOKUP('포켓몬_편집'!$AF761:$AN761,'분류_규칙'!$A$5:$A$76,'분류_규칙'!$N$5:$N$76,0))</x:f>
        <x:v>0</x:v>
      </x:c>
      <x:c r="O761" s="10" t="n">
        <x:f>SUM(XLOOKUP('포켓몬_편집'!$AF761:$AN761,'분류_규칙'!$A$5:$A$76,'분류_규칙'!$O$5:$O$76,0))</x:f>
        <x:v>2</x:v>
      </x:c>
      <x:c r="P761" s="10" t="n">
        <x:f>SUM(XLOOKUP('포켓몬_편집'!$AF761:$AN761,'분류_규칙'!$A$5:$A$76,'분류_규칙'!$P$5:$P$76,0))</x:f>
        <x:v>0</x:v>
      </x:c>
    </x:row>
    <x:row r="762" ht="22" customHeight="1">
      <x:c r="A762" s="5" t="n">
        <x:v>758</x:v>
      </x:c>
      <x:c r="B762" s="5" t="inlineStr">
        <x:is>
          <x:t xml:space="preserve">염뉴트</x:t>
        </x:is>
      </x:c>
      <x:c r="C762" s="5" t="inlineStr">
        <x:is>
          <x:t xml:space="preserve">salazzle</x:t>
        </x:is>
      </x:c>
      <x:c r="D762" s="5" t="n">
        <x:v>7</x:v>
      </x:c>
      <x:c r="E762" s="10" t="n">
        <x:f>SUM(XLOOKUP('포켓몬_편집'!$AF762:$AN762,'분류_규칙'!$A$5:$A$76,'분류_규칙'!$E$5:$E$76,0))</x:f>
        <x:v>10</x:v>
      </x:c>
      <x:c r="F762" s="10" t="n">
        <x:f>SUM(XLOOKUP('포켓몬_편집'!$AF762:$AN762,'분류_규칙'!$A$5:$A$76,'분류_규칙'!$F$5:$F$76,0))</x:f>
        <x:v>7</x:v>
      </x:c>
      <x:c r="G762" s="10" t="n">
        <x:f>SUM(XLOOKUP('포켓몬_편집'!$AF762:$AN762,'분류_규칙'!$A$5:$A$76,'분류_규칙'!$G$5:$G$76,0))</x:f>
        <x:v>5</x:v>
      </x:c>
      <x:c r="H762" s="10" t="n">
        <x:f>SUM(XLOOKUP('포켓몬_편집'!$AF762:$AN762,'분류_규칙'!$A$5:$A$76,'분류_규칙'!$H$5:$H$76,0))</x:f>
        <x:v>5</x:v>
      </x:c>
      <x:c r="I762" s="10" t="n">
        <x:f>SUM(XLOOKUP('포켓몬_편집'!$AF762:$AN762,'분류_규칙'!$A$5:$A$76,'분류_규칙'!$I$5:$I$76,0))</x:f>
        <x:v>0</x:v>
      </x:c>
      <x:c r="J762" s="10" t="n">
        <x:f>SUM(XLOOKUP('포켓몬_편집'!$AF762:$AN762,'분류_규칙'!$A$5:$A$76,'분류_규칙'!$J$5:$J$76,0))</x:f>
        <x:v>2</x:v>
      </x:c>
      <x:c r="K762" s="10" t="n">
        <x:f>SUM(XLOOKUP('포켓몬_편집'!$AF762:$AN762,'분류_규칙'!$A$5:$A$76,'분류_규칙'!$K$5:$K$76,0))</x:f>
        <x:v>0</x:v>
      </x:c>
      <x:c r="L762" s="10" t="n">
        <x:f>SUM(XLOOKUP('포켓몬_편집'!$AF762:$AN762,'분류_규칙'!$A$5:$A$76,'분류_규칙'!$L$5:$L$76,0))</x:f>
        <x:v>0</x:v>
      </x:c>
      <x:c r="M762" s="10" t="n">
        <x:f>SUM(XLOOKUP('포켓몬_편집'!$AF762:$AN762,'분류_규칙'!$A$5:$A$76,'분류_규칙'!$M$5:$M$76,0))</x:f>
        <x:v>0</x:v>
      </x:c>
      <x:c r="N762" s="10" t="n">
        <x:f>SUM(XLOOKUP('포켓몬_편집'!$AF762:$AN762,'분류_규칙'!$A$5:$A$76,'분류_규칙'!$N$5:$N$76,0))</x:f>
        <x:v>0</x:v>
      </x:c>
      <x:c r="O762" s="10" t="n">
        <x:f>SUM(XLOOKUP('포켓몬_편집'!$AF762:$AN762,'분류_규칙'!$A$5:$A$76,'분류_규칙'!$O$5:$O$76,0))</x:f>
        <x:v>2</x:v>
      </x:c>
      <x:c r="P762" s="10" t="n">
        <x:f>SUM(XLOOKUP('포켓몬_편집'!$AF762:$AN762,'분류_규칙'!$A$5:$A$76,'분류_규칙'!$P$5:$P$76,0))</x:f>
        <x:v>0</x:v>
      </x:c>
    </x:row>
    <x:row r="763" ht="22" customHeight="1">
      <x:c r="A763" s="5" t="n">
        <x:v>759</x:v>
      </x:c>
      <x:c r="B763" s="5" t="inlineStr">
        <x:is>
          <x:t xml:space="preserve">포곰곰</x:t>
        </x:is>
      </x:c>
      <x:c r="C763" s="5" t="inlineStr">
        <x:is>
          <x:t xml:space="preserve">stufful</x:t>
        </x:is>
      </x:c>
      <x:c r="D763" s="5" t="n">
        <x:v>7</x:v>
      </x:c>
      <x:c r="E763" s="10" t="n">
        <x:f>SUM(XLOOKUP('포켓몬_편집'!$AF763:$AN763,'분류_규칙'!$A$5:$A$76,'분류_규칙'!$E$5:$E$76,0))</x:f>
        <x:v>10</x:v>
      </x:c>
      <x:c r="F763" s="10" t="n">
        <x:f>SUM(XLOOKUP('포켓몬_편집'!$AF763:$AN763,'분류_규칙'!$A$5:$A$76,'분류_규칙'!$F$5:$F$76,0))</x:f>
        <x:v>7</x:v>
      </x:c>
      <x:c r="G763" s="10" t="n">
        <x:f>SUM(XLOOKUP('포켓몬_편집'!$AF763:$AN763,'분류_규칙'!$A$5:$A$76,'분류_규칙'!$G$5:$G$76,0))</x:f>
        <x:v>5</x:v>
      </x:c>
      <x:c r="H763" s="10" t="n">
        <x:f>SUM(XLOOKUP('포켓몬_편집'!$AF763:$AN763,'분류_규칙'!$A$5:$A$76,'분류_규칙'!$H$5:$H$76,0))</x:f>
        <x:v>5</x:v>
      </x:c>
      <x:c r="I763" s="10" t="n">
        <x:f>SUM(XLOOKUP('포켓몬_편집'!$AF763:$AN763,'분류_규칙'!$A$5:$A$76,'분류_규칙'!$I$5:$I$76,0))</x:f>
        <x:v>0</x:v>
      </x:c>
      <x:c r="J763" s="10" t="n">
        <x:f>SUM(XLOOKUP('포켓몬_편집'!$AF763:$AN763,'분류_규칙'!$A$5:$A$76,'분류_규칙'!$J$5:$J$76,0))</x:f>
        <x:v>2</x:v>
      </x:c>
      <x:c r="K763" s="10" t="n">
        <x:f>SUM(XLOOKUP('포켓몬_편집'!$AF763:$AN763,'분류_규칙'!$A$5:$A$76,'분류_규칙'!$K$5:$K$76,0))</x:f>
        <x:v>0</x:v>
      </x:c>
      <x:c r="L763" s="10" t="n">
        <x:f>SUM(XLOOKUP('포켓몬_편집'!$AF763:$AN763,'분류_규칙'!$A$5:$A$76,'분류_규칙'!$L$5:$L$76,0))</x:f>
        <x:v>0</x:v>
      </x:c>
      <x:c r="M763" s="10" t="n">
        <x:f>SUM(XLOOKUP('포켓몬_편집'!$AF763:$AN763,'분류_규칙'!$A$5:$A$76,'분류_규칙'!$M$5:$M$76,0))</x:f>
        <x:v>0</x:v>
      </x:c>
      <x:c r="N763" s="10" t="n">
        <x:f>SUM(XLOOKUP('포켓몬_편집'!$AF763:$AN763,'분류_규칙'!$A$5:$A$76,'분류_규칙'!$N$5:$N$76,0))</x:f>
        <x:v>0</x:v>
      </x:c>
      <x:c r="O763" s="10" t="n">
        <x:f>SUM(XLOOKUP('포켓몬_편집'!$AF763:$AN763,'분류_규칙'!$A$5:$A$76,'분류_규칙'!$O$5:$O$76,0))</x:f>
        <x:v>2</x:v>
      </x:c>
      <x:c r="P763" s="10" t="n">
        <x:f>SUM(XLOOKUP('포켓몬_편집'!$AF763:$AN763,'분류_규칙'!$A$5:$A$76,'분류_규칙'!$P$5:$P$76,0))</x:f>
        <x:v>0</x:v>
      </x:c>
    </x:row>
    <x:row r="764" ht="22" customHeight="1">
      <x:c r="A764" s="5" t="n">
        <x:v>760</x:v>
      </x:c>
      <x:c r="B764" s="5" t="inlineStr">
        <x:is>
          <x:t xml:space="preserve">이븐곰</x:t>
        </x:is>
      </x:c>
      <x:c r="C764" s="5" t="inlineStr">
        <x:is>
          <x:t xml:space="preserve">bewear</x:t>
        </x:is>
      </x:c>
      <x:c r="D764" s="5" t="n">
        <x:v>7</x:v>
      </x:c>
      <x:c r="E764" s="10" t="n">
        <x:f>SUM(XLOOKUP('포켓몬_편집'!$AF764:$AN764,'분류_규칙'!$A$5:$A$76,'분류_규칙'!$E$5:$E$76,0))</x:f>
        <x:v>10</x:v>
      </x:c>
      <x:c r="F764" s="10" t="n">
        <x:f>SUM(XLOOKUP('포켓몬_편집'!$AF764:$AN764,'분류_규칙'!$A$5:$A$76,'분류_규칙'!$F$5:$F$76,0))</x:f>
        <x:v>7</x:v>
      </x:c>
      <x:c r="G764" s="10" t="n">
        <x:f>SUM(XLOOKUP('포켓몬_편집'!$AF764:$AN764,'분류_규칙'!$A$5:$A$76,'분류_규칙'!$G$5:$G$76,0))</x:f>
        <x:v>5</x:v>
      </x:c>
      <x:c r="H764" s="10" t="n">
        <x:f>SUM(XLOOKUP('포켓몬_편집'!$AF764:$AN764,'분류_규칙'!$A$5:$A$76,'분류_규칙'!$H$5:$H$76,0))</x:f>
        <x:v>5</x:v>
      </x:c>
      <x:c r="I764" s="10" t="n">
        <x:f>SUM(XLOOKUP('포켓몬_편집'!$AF764:$AN764,'분류_규칙'!$A$5:$A$76,'분류_규칙'!$I$5:$I$76,0))</x:f>
        <x:v>0</x:v>
      </x:c>
      <x:c r="J764" s="10" t="n">
        <x:f>SUM(XLOOKUP('포켓몬_편집'!$AF764:$AN764,'분류_규칙'!$A$5:$A$76,'분류_규칙'!$J$5:$J$76,0))</x:f>
        <x:v>2</x:v>
      </x:c>
      <x:c r="K764" s="10" t="n">
        <x:f>SUM(XLOOKUP('포켓몬_편집'!$AF764:$AN764,'분류_규칙'!$A$5:$A$76,'분류_규칙'!$K$5:$K$76,0))</x:f>
        <x:v>0</x:v>
      </x:c>
      <x:c r="L764" s="10" t="n">
        <x:f>SUM(XLOOKUP('포켓몬_편집'!$AF764:$AN764,'분류_규칙'!$A$5:$A$76,'분류_규칙'!$L$5:$L$76,0))</x:f>
        <x:v>0</x:v>
      </x:c>
      <x:c r="M764" s="10" t="n">
        <x:f>SUM(XLOOKUP('포켓몬_편집'!$AF764:$AN764,'분류_규칙'!$A$5:$A$76,'분류_규칙'!$M$5:$M$76,0))</x:f>
        <x:v>0</x:v>
      </x:c>
      <x:c r="N764" s="10" t="n">
        <x:f>SUM(XLOOKUP('포켓몬_편집'!$AF764:$AN764,'분류_규칙'!$A$5:$A$76,'분류_규칙'!$N$5:$N$76,0))</x:f>
        <x:v>0</x:v>
      </x:c>
      <x:c r="O764" s="10" t="n">
        <x:f>SUM(XLOOKUP('포켓몬_편집'!$AF764:$AN764,'분류_규칙'!$A$5:$A$76,'분류_규칙'!$O$5:$O$76,0))</x:f>
        <x:v>2</x:v>
      </x:c>
      <x:c r="P764" s="10" t="n">
        <x:f>SUM(XLOOKUP('포켓몬_편집'!$AF764:$AN764,'분류_규칙'!$A$5:$A$76,'분류_규칙'!$P$5:$P$76,0))</x:f>
        <x:v>0</x:v>
      </x:c>
    </x:row>
    <x:row r="765" ht="22" customHeight="1">
      <x:c r="A765" s="5" t="n">
        <x:v>761</x:v>
      </x:c>
      <x:c r="B765" s="5" t="inlineStr">
        <x:is>
          <x:t xml:space="preserve">달콤아</x:t>
        </x:is>
      </x:c>
      <x:c r="C765" s="5" t="inlineStr">
        <x:is>
          <x:t xml:space="preserve">bounsweet</x:t>
        </x:is>
      </x:c>
      <x:c r="D765" s="5" t="n">
        <x:v>7</x:v>
      </x:c>
      <x:c r="E765" s="10" t="n">
        <x:f>SUM(XLOOKUP('포켓몬_편집'!$AF765:$AN765,'분류_규칙'!$A$5:$A$76,'분류_규칙'!$E$5:$E$76,0))</x:f>
        <x:v>10</x:v>
      </x:c>
      <x:c r="F765" s="10" t="n">
        <x:f>SUM(XLOOKUP('포켓몬_편집'!$AF765:$AN765,'분류_규칙'!$A$5:$A$76,'분류_규칙'!$F$5:$F$76,0))</x:f>
        <x:v>7</x:v>
      </x:c>
      <x:c r="G765" s="10" t="n">
        <x:f>SUM(XLOOKUP('포켓몬_편집'!$AF765:$AN765,'분류_규칙'!$A$5:$A$76,'분류_규칙'!$G$5:$G$76,0))</x:f>
        <x:v>5</x:v>
      </x:c>
      <x:c r="H765" s="10" t="n">
        <x:f>SUM(XLOOKUP('포켓몬_편집'!$AF765:$AN765,'분류_규칙'!$A$5:$A$76,'분류_규칙'!$H$5:$H$76,0))</x:f>
        <x:v>5</x:v>
      </x:c>
      <x:c r="I765" s="10" t="n">
        <x:f>SUM(XLOOKUP('포켓몬_편집'!$AF765:$AN765,'분류_규칙'!$A$5:$A$76,'분류_규칙'!$I$5:$I$76,0))</x:f>
        <x:v>0</x:v>
      </x:c>
      <x:c r="J765" s="10" t="n">
        <x:f>SUM(XLOOKUP('포켓몬_편집'!$AF765:$AN765,'분류_규칙'!$A$5:$A$76,'분류_규칙'!$J$5:$J$76,0))</x:f>
        <x:v>2</x:v>
      </x:c>
      <x:c r="K765" s="10" t="n">
        <x:f>SUM(XLOOKUP('포켓몬_편집'!$AF765:$AN765,'분류_규칙'!$A$5:$A$76,'분류_규칙'!$K$5:$K$76,0))</x:f>
        <x:v>0</x:v>
      </x:c>
      <x:c r="L765" s="10" t="n">
        <x:f>SUM(XLOOKUP('포켓몬_편집'!$AF765:$AN765,'분류_규칙'!$A$5:$A$76,'분류_규칙'!$L$5:$L$76,0))</x:f>
        <x:v>0</x:v>
      </x:c>
      <x:c r="M765" s="10" t="n">
        <x:f>SUM(XLOOKUP('포켓몬_편집'!$AF765:$AN765,'분류_규칙'!$A$5:$A$76,'분류_규칙'!$M$5:$M$76,0))</x:f>
        <x:v>0</x:v>
      </x:c>
      <x:c r="N765" s="10" t="n">
        <x:f>SUM(XLOOKUP('포켓몬_편집'!$AF765:$AN765,'분류_규칙'!$A$5:$A$76,'분류_규칙'!$N$5:$N$76,0))</x:f>
        <x:v>0</x:v>
      </x:c>
      <x:c r="O765" s="10" t="n">
        <x:f>SUM(XLOOKUP('포켓몬_편집'!$AF765:$AN765,'분류_규칙'!$A$5:$A$76,'분류_규칙'!$O$5:$O$76,0))</x:f>
        <x:v>2</x:v>
      </x:c>
      <x:c r="P765" s="10" t="n">
        <x:f>SUM(XLOOKUP('포켓몬_편집'!$AF765:$AN765,'분류_규칙'!$A$5:$A$76,'분류_규칙'!$P$5:$P$76,0))</x:f>
        <x:v>0</x:v>
      </x:c>
    </x:row>
    <x:row r="766" ht="22" customHeight="1">
      <x:c r="A766" s="5" t="n">
        <x:v>762</x:v>
      </x:c>
      <x:c r="B766" s="5" t="inlineStr">
        <x:is>
          <x:t xml:space="preserve">달무리나</x:t>
        </x:is>
      </x:c>
      <x:c r="C766" s="5" t="inlineStr">
        <x:is>
          <x:t xml:space="preserve">steenee</x:t>
        </x:is>
      </x:c>
      <x:c r="D766" s="5" t="n">
        <x:v>7</x:v>
      </x:c>
      <x:c r="E766" s="10" t="n">
        <x:f>SUM(XLOOKUP('포켓몬_편집'!$AF766:$AN766,'분류_규칙'!$A$5:$A$76,'분류_규칙'!$E$5:$E$76,0))</x:f>
        <x:v>10</x:v>
      </x:c>
      <x:c r="F766" s="10" t="n">
        <x:f>SUM(XLOOKUP('포켓몬_편집'!$AF766:$AN766,'분류_규칙'!$A$5:$A$76,'분류_규칙'!$F$5:$F$76,0))</x:f>
        <x:v>7</x:v>
      </x:c>
      <x:c r="G766" s="10" t="n">
        <x:f>SUM(XLOOKUP('포켓몬_편집'!$AF766:$AN766,'분류_규칙'!$A$5:$A$76,'분류_규칙'!$G$5:$G$76,0))</x:f>
        <x:v>5</x:v>
      </x:c>
      <x:c r="H766" s="10" t="n">
        <x:f>SUM(XLOOKUP('포켓몬_편집'!$AF766:$AN766,'분류_규칙'!$A$5:$A$76,'분류_규칙'!$H$5:$H$76,0))</x:f>
        <x:v>5</x:v>
      </x:c>
      <x:c r="I766" s="10" t="n">
        <x:f>SUM(XLOOKUP('포켓몬_편집'!$AF766:$AN766,'분류_규칙'!$A$5:$A$76,'분류_규칙'!$I$5:$I$76,0))</x:f>
        <x:v>0</x:v>
      </x:c>
      <x:c r="J766" s="10" t="n">
        <x:f>SUM(XLOOKUP('포켓몬_편집'!$AF766:$AN766,'분류_규칙'!$A$5:$A$76,'분류_규칙'!$J$5:$J$76,0))</x:f>
        <x:v>2</x:v>
      </x:c>
      <x:c r="K766" s="10" t="n">
        <x:f>SUM(XLOOKUP('포켓몬_편집'!$AF766:$AN766,'분류_규칙'!$A$5:$A$76,'분류_규칙'!$K$5:$K$76,0))</x:f>
        <x:v>0</x:v>
      </x:c>
      <x:c r="L766" s="10" t="n">
        <x:f>SUM(XLOOKUP('포켓몬_편집'!$AF766:$AN766,'분류_규칙'!$A$5:$A$76,'분류_규칙'!$L$5:$L$76,0))</x:f>
        <x:v>0</x:v>
      </x:c>
      <x:c r="M766" s="10" t="n">
        <x:f>SUM(XLOOKUP('포켓몬_편집'!$AF766:$AN766,'분류_규칙'!$A$5:$A$76,'분류_규칙'!$M$5:$M$76,0))</x:f>
        <x:v>0</x:v>
      </x:c>
      <x:c r="N766" s="10" t="n">
        <x:f>SUM(XLOOKUP('포켓몬_편집'!$AF766:$AN766,'분류_규칙'!$A$5:$A$76,'분류_규칙'!$N$5:$N$76,0))</x:f>
        <x:v>0</x:v>
      </x:c>
      <x:c r="O766" s="10" t="n">
        <x:f>SUM(XLOOKUP('포켓몬_편집'!$AF766:$AN766,'분류_규칙'!$A$5:$A$76,'분류_규칙'!$O$5:$O$76,0))</x:f>
        <x:v>2</x:v>
      </x:c>
      <x:c r="P766" s="10" t="n">
        <x:f>SUM(XLOOKUP('포켓몬_편집'!$AF766:$AN766,'분류_규칙'!$A$5:$A$76,'분류_규칙'!$P$5:$P$76,0))</x:f>
        <x:v>0</x:v>
      </x:c>
    </x:row>
    <x:row r="767" ht="22" customHeight="1">
      <x:c r="A767" s="5" t="n">
        <x:v>763</x:v>
      </x:c>
      <x:c r="B767" s="5" t="inlineStr">
        <x:is>
          <x:t xml:space="preserve">달코퀸</x:t>
        </x:is>
      </x:c>
      <x:c r="C767" s="5" t="inlineStr">
        <x:is>
          <x:t xml:space="preserve">tsareena</x:t>
        </x:is>
      </x:c>
      <x:c r="D767" s="5" t="n">
        <x:v>7</x:v>
      </x:c>
      <x:c r="E767" s="10" t="n">
        <x:f>SUM(XLOOKUP('포켓몬_편집'!$AF767:$AN767,'분류_규칙'!$A$5:$A$76,'분류_규칙'!$E$5:$E$76,0))</x:f>
        <x:v>10</x:v>
      </x:c>
      <x:c r="F767" s="10" t="n">
        <x:f>SUM(XLOOKUP('포켓몬_편집'!$AF767:$AN767,'분류_규칙'!$A$5:$A$76,'분류_규칙'!$F$5:$F$76,0))</x:f>
        <x:v>7</x:v>
      </x:c>
      <x:c r="G767" s="10" t="n">
        <x:f>SUM(XLOOKUP('포켓몬_편집'!$AF767:$AN767,'분류_규칙'!$A$5:$A$76,'분류_규칙'!$G$5:$G$76,0))</x:f>
        <x:v>5</x:v>
      </x:c>
      <x:c r="H767" s="10" t="n">
        <x:f>SUM(XLOOKUP('포켓몬_편집'!$AF767:$AN767,'분류_규칙'!$A$5:$A$76,'분류_규칙'!$H$5:$H$76,0))</x:f>
        <x:v>5</x:v>
      </x:c>
      <x:c r="I767" s="10" t="n">
        <x:f>SUM(XLOOKUP('포켓몬_편집'!$AF767:$AN767,'분류_규칙'!$A$5:$A$76,'분류_규칙'!$I$5:$I$76,0))</x:f>
        <x:v>0</x:v>
      </x:c>
      <x:c r="J767" s="10" t="n">
        <x:f>SUM(XLOOKUP('포켓몬_편집'!$AF767:$AN767,'분류_규칙'!$A$5:$A$76,'분류_규칙'!$J$5:$J$76,0))</x:f>
        <x:v>2</x:v>
      </x:c>
      <x:c r="K767" s="10" t="n">
        <x:f>SUM(XLOOKUP('포켓몬_편집'!$AF767:$AN767,'분류_규칙'!$A$5:$A$76,'분류_규칙'!$K$5:$K$76,0))</x:f>
        <x:v>0</x:v>
      </x:c>
      <x:c r="L767" s="10" t="n">
        <x:f>SUM(XLOOKUP('포켓몬_편집'!$AF767:$AN767,'분류_규칙'!$A$5:$A$76,'분류_규칙'!$L$5:$L$76,0))</x:f>
        <x:v>0</x:v>
      </x:c>
      <x:c r="M767" s="10" t="n">
        <x:f>SUM(XLOOKUP('포켓몬_편집'!$AF767:$AN767,'분류_규칙'!$A$5:$A$76,'분류_규칙'!$M$5:$M$76,0))</x:f>
        <x:v>0</x:v>
      </x:c>
      <x:c r="N767" s="10" t="n">
        <x:f>SUM(XLOOKUP('포켓몬_편집'!$AF767:$AN767,'분류_규칙'!$A$5:$A$76,'분류_규칙'!$N$5:$N$76,0))</x:f>
        <x:v>0</x:v>
      </x:c>
      <x:c r="O767" s="10" t="n">
        <x:f>SUM(XLOOKUP('포켓몬_편집'!$AF767:$AN767,'분류_규칙'!$A$5:$A$76,'분류_규칙'!$O$5:$O$76,0))</x:f>
        <x:v>2</x:v>
      </x:c>
      <x:c r="P767" s="10" t="n">
        <x:f>SUM(XLOOKUP('포켓몬_편집'!$AF767:$AN767,'분류_규칙'!$A$5:$A$76,'분류_규칙'!$P$5:$P$76,0))</x:f>
        <x:v>0</x:v>
      </x:c>
    </x:row>
    <x:row r="768" ht="22" customHeight="1">
      <x:c r="A768" s="5" t="n">
        <x:v>764</x:v>
      </x:c>
      <x:c r="B768" s="5" t="inlineStr">
        <x:is>
          <x:t xml:space="preserve">큐아링</x:t>
        </x:is>
      </x:c>
      <x:c r="C768" s="5" t="inlineStr">
        <x:is>
          <x:t xml:space="preserve">comfey</x:t>
        </x:is>
      </x:c>
      <x:c r="D768" s="5" t="n">
        <x:v>7</x:v>
      </x:c>
      <x:c r="E768" s="10" t="n">
        <x:f>SUM(XLOOKUP('포켓몬_편집'!$AF768:$AN768,'분류_규칙'!$A$5:$A$76,'분류_규칙'!$E$5:$E$76,0))</x:f>
        <x:v>8</x:v>
      </x:c>
      <x:c r="F768" s="10" t="n">
        <x:f>SUM(XLOOKUP('포켓몬_편집'!$AF768:$AN768,'분류_규칙'!$A$5:$A$76,'분류_규칙'!$F$5:$F$76,0))</x:f>
        <x:v>8</x:v>
      </x:c>
      <x:c r="G768" s="10" t="n">
        <x:f>SUM(XLOOKUP('포켓몬_편집'!$AF768:$AN768,'분류_규칙'!$A$5:$A$76,'분류_규칙'!$G$5:$G$76,0))</x:f>
        <x:v>0</x:v>
      </x:c>
      <x:c r="H768" s="10" t="n">
        <x:f>SUM(XLOOKUP('포켓몬_편집'!$AF768:$AN768,'분류_규칙'!$A$5:$A$76,'분류_규칙'!$H$5:$H$76,0))</x:f>
        <x:v>12</x:v>
      </x:c>
      <x:c r="I768" s="10" t="n">
        <x:f>SUM(XLOOKUP('포켓몬_편집'!$AF768:$AN768,'분류_규칙'!$A$5:$A$76,'분류_규칙'!$I$5:$I$76,0))</x:f>
        <x:v>0</x:v>
      </x:c>
      <x:c r="J768" s="10" t="n">
        <x:f>SUM(XLOOKUP('포켓몬_편집'!$AF768:$AN768,'분류_규칙'!$A$5:$A$76,'분류_규칙'!$J$5:$J$76,0))</x:f>
        <x:v>0</x:v>
      </x:c>
      <x:c r="K768" s="10" t="n">
        <x:f>SUM(XLOOKUP('포켓몬_편집'!$AF768:$AN768,'분류_규칙'!$A$5:$A$76,'분류_규칙'!$K$5:$K$76,0))</x:f>
        <x:v>0</x:v>
      </x:c>
      <x:c r="L768" s="10" t="n">
        <x:f>SUM(XLOOKUP('포켓몬_편집'!$AF768:$AN768,'분류_규칙'!$A$5:$A$76,'분류_규칙'!$L$5:$L$76,0))</x:f>
        <x:v>3</x:v>
      </x:c>
      <x:c r="M768" s="10" t="n">
        <x:f>SUM(XLOOKUP('포켓몬_편집'!$AF768:$AN768,'분류_규칙'!$A$5:$A$76,'분류_규칙'!$M$5:$M$76,0))</x:f>
        <x:v>0</x:v>
      </x:c>
      <x:c r="N768" s="10" t="n">
        <x:f>SUM(XLOOKUP('포켓몬_편집'!$AF768:$AN768,'분류_규칙'!$A$5:$A$76,'분류_규칙'!$N$5:$N$76,0))</x:f>
        <x:v>0</x:v>
      </x:c>
      <x:c r="O768" s="10" t="n">
        <x:f>SUM(XLOOKUP('포켓몬_편집'!$AF768:$AN768,'분류_규칙'!$A$5:$A$76,'분류_규칙'!$O$5:$O$76,0))</x:f>
        <x:v>2</x:v>
      </x:c>
      <x:c r="P768" s="10" t="n">
        <x:f>SUM(XLOOKUP('포켓몬_편집'!$AF768:$AN768,'분류_규칙'!$A$5:$A$76,'분류_규칙'!$P$5:$P$76,0))</x:f>
        <x:v>0</x:v>
      </x:c>
    </x:row>
    <x:row r="769" ht="22" customHeight="1">
      <x:c r="A769" s="5" t="n">
        <x:v>765</x:v>
      </x:c>
      <x:c r="B769" s="5" t="inlineStr">
        <x:is>
          <x:t xml:space="preserve">하랑우탄</x:t>
        </x:is>
      </x:c>
      <x:c r="C769" s="5" t="inlineStr">
        <x:is>
          <x:t xml:space="preserve">oranguru</x:t>
        </x:is>
      </x:c>
      <x:c r="D769" s="5" t="n">
        <x:v>7</x:v>
      </x:c>
      <x:c r="E769" s="10" t="n">
        <x:f>SUM(XLOOKUP('포켓몬_편집'!$AF769:$AN769,'분류_규칙'!$A$5:$A$76,'분류_규칙'!$E$5:$E$76,0))</x:f>
        <x:v>10</x:v>
      </x:c>
      <x:c r="F769" s="10" t="n">
        <x:f>SUM(XLOOKUP('포켓몬_편집'!$AF769:$AN769,'분류_규칙'!$A$5:$A$76,'분류_규칙'!$F$5:$F$76,0))</x:f>
        <x:v>7</x:v>
      </x:c>
      <x:c r="G769" s="10" t="n">
        <x:f>SUM(XLOOKUP('포켓몬_편집'!$AF769:$AN769,'분류_규칙'!$A$5:$A$76,'분류_규칙'!$G$5:$G$76,0))</x:f>
        <x:v>5</x:v>
      </x:c>
      <x:c r="H769" s="10" t="n">
        <x:f>SUM(XLOOKUP('포켓몬_편집'!$AF769:$AN769,'분류_규칙'!$A$5:$A$76,'분류_규칙'!$H$5:$H$76,0))</x:f>
        <x:v>5</x:v>
      </x:c>
      <x:c r="I769" s="10" t="n">
        <x:f>SUM(XLOOKUP('포켓몬_편집'!$AF769:$AN769,'분류_규칙'!$A$5:$A$76,'분류_규칙'!$I$5:$I$76,0))</x:f>
        <x:v>0</x:v>
      </x:c>
      <x:c r="J769" s="10" t="n">
        <x:f>SUM(XLOOKUP('포켓몬_편집'!$AF769:$AN769,'분류_규칙'!$A$5:$A$76,'분류_규칙'!$J$5:$J$76,0))</x:f>
        <x:v>2</x:v>
      </x:c>
      <x:c r="K769" s="10" t="n">
        <x:f>SUM(XLOOKUP('포켓몬_편집'!$AF769:$AN769,'분류_규칙'!$A$5:$A$76,'분류_규칙'!$K$5:$K$76,0))</x:f>
        <x:v>0</x:v>
      </x:c>
      <x:c r="L769" s="10" t="n">
        <x:f>SUM(XLOOKUP('포켓몬_편집'!$AF769:$AN769,'분류_규칙'!$A$5:$A$76,'분류_규칙'!$L$5:$L$76,0))</x:f>
        <x:v>0</x:v>
      </x:c>
      <x:c r="M769" s="10" t="n">
        <x:f>SUM(XLOOKUP('포켓몬_편집'!$AF769:$AN769,'분류_규칙'!$A$5:$A$76,'분류_규칙'!$M$5:$M$76,0))</x:f>
        <x:v>0</x:v>
      </x:c>
      <x:c r="N769" s="10" t="n">
        <x:f>SUM(XLOOKUP('포켓몬_편집'!$AF769:$AN769,'분류_규칙'!$A$5:$A$76,'분류_규칙'!$N$5:$N$76,0))</x:f>
        <x:v>0</x:v>
      </x:c>
      <x:c r="O769" s="10" t="n">
        <x:f>SUM(XLOOKUP('포켓몬_편집'!$AF769:$AN769,'분류_규칙'!$A$5:$A$76,'분류_규칙'!$O$5:$O$76,0))</x:f>
        <x:v>2</x:v>
      </x:c>
      <x:c r="P769" s="10" t="n">
        <x:f>SUM(XLOOKUP('포켓몬_편집'!$AF769:$AN769,'분류_규칙'!$A$5:$A$76,'분류_규칙'!$P$5:$P$76,0))</x:f>
        <x:v>0</x:v>
      </x:c>
    </x:row>
    <x:row r="770" ht="22" customHeight="1">
      <x:c r="A770" s="5" t="n">
        <x:v>766</x:v>
      </x:c>
      <x:c r="B770" s="5" t="inlineStr">
        <x:is>
          <x:t xml:space="preserve">내던숭이</x:t>
        </x:is>
      </x:c>
      <x:c r="C770" s="5" t="inlineStr">
        <x:is>
          <x:t xml:space="preserve">passimian</x:t>
        </x:is>
      </x:c>
      <x:c r="D770" s="5" t="n">
        <x:v>7</x:v>
      </x:c>
      <x:c r="E770" s="10" t="n">
        <x:f>SUM(XLOOKUP('포켓몬_편집'!$AF770:$AN770,'분류_규칙'!$A$5:$A$76,'분류_규칙'!$E$5:$E$76,0))</x:f>
        <x:v>10</x:v>
      </x:c>
      <x:c r="F770" s="10" t="n">
        <x:f>SUM(XLOOKUP('포켓몬_편집'!$AF770:$AN770,'분류_규칙'!$A$5:$A$76,'분류_규칙'!$F$5:$F$76,0))</x:f>
        <x:v>7</x:v>
      </x:c>
      <x:c r="G770" s="10" t="n">
        <x:f>SUM(XLOOKUP('포켓몬_편집'!$AF770:$AN770,'분류_규칙'!$A$5:$A$76,'분류_규칙'!$G$5:$G$76,0))</x:f>
        <x:v>5</x:v>
      </x:c>
      <x:c r="H770" s="10" t="n">
        <x:f>SUM(XLOOKUP('포켓몬_편집'!$AF770:$AN770,'분류_규칙'!$A$5:$A$76,'분류_규칙'!$H$5:$H$76,0))</x:f>
        <x:v>5</x:v>
      </x:c>
      <x:c r="I770" s="10" t="n">
        <x:f>SUM(XLOOKUP('포켓몬_편집'!$AF770:$AN770,'분류_규칙'!$A$5:$A$76,'분류_규칙'!$I$5:$I$76,0))</x:f>
        <x:v>0</x:v>
      </x:c>
      <x:c r="J770" s="10" t="n">
        <x:f>SUM(XLOOKUP('포켓몬_편집'!$AF770:$AN770,'분류_규칙'!$A$5:$A$76,'분류_규칙'!$J$5:$J$76,0))</x:f>
        <x:v>2</x:v>
      </x:c>
      <x:c r="K770" s="10" t="n">
        <x:f>SUM(XLOOKUP('포켓몬_편집'!$AF770:$AN770,'분류_규칙'!$A$5:$A$76,'분류_규칙'!$K$5:$K$76,0))</x:f>
        <x:v>0</x:v>
      </x:c>
      <x:c r="L770" s="10" t="n">
        <x:f>SUM(XLOOKUP('포켓몬_편집'!$AF770:$AN770,'분류_규칙'!$A$5:$A$76,'분류_규칙'!$L$5:$L$76,0))</x:f>
        <x:v>0</x:v>
      </x:c>
      <x:c r="M770" s="10" t="n">
        <x:f>SUM(XLOOKUP('포켓몬_편집'!$AF770:$AN770,'분류_규칙'!$A$5:$A$76,'분류_규칙'!$M$5:$M$76,0))</x:f>
        <x:v>0</x:v>
      </x:c>
      <x:c r="N770" s="10" t="n">
        <x:f>SUM(XLOOKUP('포켓몬_편집'!$AF770:$AN770,'분류_규칙'!$A$5:$A$76,'분류_규칙'!$N$5:$N$76,0))</x:f>
        <x:v>0</x:v>
      </x:c>
      <x:c r="O770" s="10" t="n">
        <x:f>SUM(XLOOKUP('포켓몬_편집'!$AF770:$AN770,'분류_규칙'!$A$5:$A$76,'분류_규칙'!$O$5:$O$76,0))</x:f>
        <x:v>2</x:v>
      </x:c>
      <x:c r="P770" s="10" t="n">
        <x:f>SUM(XLOOKUP('포켓몬_편집'!$AF770:$AN770,'분류_규칙'!$A$5:$A$76,'분류_규칙'!$P$5:$P$76,0))</x:f>
        <x:v>0</x:v>
      </x:c>
    </x:row>
    <x:row r="771" ht="22" customHeight="1">
      <x:c r="A771" s="5" t="n">
        <x:v>767</x:v>
      </x:c>
      <x:c r="B771" s="5" t="inlineStr">
        <x:is>
          <x:t xml:space="preserve">꼬시레</x:t>
        </x:is>
      </x:c>
      <x:c r="C771" s="5" t="inlineStr">
        <x:is>
          <x:t xml:space="preserve">wimpod</x:t>
        </x:is>
      </x:c>
      <x:c r="D771" s="5" t="n">
        <x:v>7</x:v>
      </x:c>
      <x:c r="E771" s="10" t="n">
        <x:f>SUM(XLOOKUP('포켓몬_편집'!$AF771:$AN771,'분류_규칙'!$A$5:$A$76,'분류_규칙'!$E$5:$E$76,0))</x:f>
        <x:v>0</x:v>
      </x:c>
      <x:c r="F771" s="10" t="n">
        <x:f>SUM(XLOOKUP('포켓몬_편집'!$AF771:$AN771,'분류_규칙'!$A$5:$A$76,'분류_규칙'!$F$5:$F$76,0))</x:f>
        <x:v>0</x:v>
      </x:c>
      <x:c r="G771" s="10" t="n">
        <x:f>SUM(XLOOKUP('포켓몬_편집'!$AF771:$AN771,'분류_규칙'!$A$5:$A$76,'분류_규칙'!$G$5:$G$76,0))</x:f>
        <x:v>0</x:v>
      </x:c>
      <x:c r="H771" s="10" t="n">
        <x:f>SUM(XLOOKUP('포켓몬_편집'!$AF771:$AN771,'분류_규칙'!$A$5:$A$76,'분류_규칙'!$H$5:$H$76,0))</x:f>
        <x:v>0</x:v>
      </x:c>
      <x:c r="I771" s="10" t="n">
        <x:f>SUM(XLOOKUP('포켓몬_편집'!$AF771:$AN771,'분류_규칙'!$A$5:$A$76,'분류_규칙'!$I$5:$I$76,0))</x:f>
        <x:v>0</x:v>
      </x:c>
      <x:c r="J771" s="10" t="n">
        <x:f>SUM(XLOOKUP('포켓몬_편집'!$AF771:$AN771,'분류_규칙'!$A$5:$A$76,'분류_규칙'!$J$5:$J$76,0))</x:f>
        <x:v>3</x:v>
      </x:c>
      <x:c r="K771" s="10" t="n">
        <x:f>SUM(XLOOKUP('포켓몬_편집'!$AF771:$AN771,'분류_규칙'!$A$5:$A$76,'분류_규칙'!$K$5:$K$76,0))</x:f>
        <x:v>0</x:v>
      </x:c>
      <x:c r="L771" s="10" t="n">
        <x:f>SUM(XLOOKUP('포켓몬_편집'!$AF771:$AN771,'분류_규칙'!$A$5:$A$76,'분류_규칙'!$L$5:$L$76,0))</x:f>
        <x:v>30</x:v>
      </x:c>
      <x:c r="M771" s="10" t="n">
        <x:f>SUM(XLOOKUP('포켓몬_편집'!$AF771:$AN771,'분류_규칙'!$A$5:$A$76,'분류_규칙'!$M$5:$M$76,0))</x:f>
        <x:v>0</x:v>
      </x:c>
      <x:c r="N771" s="10" t="n">
        <x:f>SUM(XLOOKUP('포켓몬_편집'!$AF771:$AN771,'분류_규칙'!$A$5:$A$76,'분류_규칙'!$N$5:$N$76,0))</x:f>
        <x:v>0</x:v>
      </x:c>
      <x:c r="O771" s="10" t="n">
        <x:f>SUM(XLOOKUP('포켓몬_편집'!$AF771:$AN771,'분류_규칙'!$A$5:$A$76,'분류_규칙'!$O$5:$O$76,0))</x:f>
        <x:v>0</x:v>
      </x:c>
      <x:c r="P771" s="10" t="n">
        <x:f>SUM(XLOOKUP('포켓몬_편집'!$AF771:$AN771,'분류_규칙'!$A$5:$A$76,'분류_규칙'!$P$5:$P$76,0))</x:f>
        <x:v>0</x:v>
      </x:c>
    </x:row>
    <x:row r="772" ht="22" customHeight="1">
      <x:c r="A772" s="5" t="n">
        <x:v>768</x:v>
      </x:c>
      <x:c r="B772" s="5" t="inlineStr">
        <x:is>
          <x:t xml:space="preserve">갑주무사</x:t>
        </x:is>
      </x:c>
      <x:c r="C772" s="5" t="inlineStr">
        <x:is>
          <x:t xml:space="preserve">golisopod</x:t>
        </x:is>
      </x:c>
      <x:c r="D772" s="5" t="n">
        <x:v>7</x:v>
      </x:c>
      <x:c r="E772" s="10" t="n">
        <x:f>SUM(XLOOKUP('포켓몬_편집'!$AF772:$AN772,'분류_규칙'!$A$5:$A$76,'분류_규칙'!$E$5:$E$76,0))</x:f>
        <x:v>0</x:v>
      </x:c>
      <x:c r="F772" s="10" t="n">
        <x:f>SUM(XLOOKUP('포켓몬_편집'!$AF772:$AN772,'분류_규칙'!$A$5:$A$76,'분류_규칙'!$F$5:$F$76,0))</x:f>
        <x:v>0</x:v>
      </x:c>
      <x:c r="G772" s="10" t="n">
        <x:f>SUM(XLOOKUP('포켓몬_편집'!$AF772:$AN772,'분류_규칙'!$A$5:$A$76,'분류_규칙'!$G$5:$G$76,0))</x:f>
        <x:v>0</x:v>
      </x:c>
      <x:c r="H772" s="10" t="n">
        <x:f>SUM(XLOOKUP('포켓몬_편집'!$AF772:$AN772,'분류_규칙'!$A$5:$A$76,'분류_규칙'!$H$5:$H$76,0))</x:f>
        <x:v>0</x:v>
      </x:c>
      <x:c r="I772" s="10" t="n">
        <x:f>SUM(XLOOKUP('포켓몬_편집'!$AF772:$AN772,'분류_규칙'!$A$5:$A$76,'분류_규칙'!$I$5:$I$76,0))</x:f>
        <x:v>0</x:v>
      </x:c>
      <x:c r="J772" s="10" t="n">
        <x:f>SUM(XLOOKUP('포켓몬_편집'!$AF772:$AN772,'분류_규칙'!$A$5:$A$76,'분류_규칙'!$J$5:$J$76,0))</x:f>
        <x:v>3</x:v>
      </x:c>
      <x:c r="K772" s="10" t="n">
        <x:f>SUM(XLOOKUP('포켓몬_편집'!$AF772:$AN772,'분류_규칙'!$A$5:$A$76,'분류_규칙'!$K$5:$K$76,0))</x:f>
        <x:v>0</x:v>
      </x:c>
      <x:c r="L772" s="10" t="n">
        <x:f>SUM(XLOOKUP('포켓몬_편집'!$AF772:$AN772,'분류_규칙'!$A$5:$A$76,'분류_규칙'!$L$5:$L$76,0))</x:f>
        <x:v>30</x:v>
      </x:c>
      <x:c r="M772" s="10" t="n">
        <x:f>SUM(XLOOKUP('포켓몬_편집'!$AF772:$AN772,'분류_규칙'!$A$5:$A$76,'분류_규칙'!$M$5:$M$76,0))</x:f>
        <x:v>0</x:v>
      </x:c>
      <x:c r="N772" s="10" t="n">
        <x:f>SUM(XLOOKUP('포켓몬_편집'!$AF772:$AN772,'분류_규칙'!$A$5:$A$76,'분류_규칙'!$N$5:$N$76,0))</x:f>
        <x:v>0</x:v>
      </x:c>
      <x:c r="O772" s="10" t="n">
        <x:f>SUM(XLOOKUP('포켓몬_편집'!$AF772:$AN772,'분류_규칙'!$A$5:$A$76,'분류_규칙'!$O$5:$O$76,0))</x:f>
        <x:v>0</x:v>
      </x:c>
      <x:c r="P772" s="10" t="n">
        <x:f>SUM(XLOOKUP('포켓몬_편집'!$AF772:$AN772,'분류_규칙'!$A$5:$A$76,'분류_규칙'!$P$5:$P$76,0))</x:f>
        <x:v>0</x:v>
      </x:c>
    </x:row>
    <x:row r="773" ht="22" customHeight="1">
      <x:c r="A773" s="5" t="n">
        <x:v>769</x:v>
      </x:c>
      <x:c r="B773" s="5" t="inlineStr">
        <x:is>
          <x:t xml:space="preserve">모래꿍</x:t>
        </x:is>
      </x:c>
      <x:c r="C773" s="5" t="inlineStr">
        <x:is>
          <x:t xml:space="preserve">sandygast</x:t>
        </x:is>
      </x:c>
      <x:c r="D773" s="5" t="n">
        <x:v>7</x:v>
      </x:c>
      <x:c r="E773" s="10" t="n">
        <x:f>SUM(XLOOKUP('포켓몬_편집'!$AF773:$AN773,'분류_규칙'!$A$5:$A$76,'분류_규칙'!$E$5:$E$76,0))</x:f>
        <x:v>0</x:v>
      </x:c>
      <x:c r="F773" s="10" t="n">
        <x:f>SUM(XLOOKUP('포켓몬_편집'!$AF773:$AN773,'분류_규칙'!$A$5:$A$76,'분류_규칙'!$F$5:$F$76,0))</x:f>
        <x:v>0</x:v>
      </x:c>
      <x:c r="G773" s="10" t="n">
        <x:f>SUM(XLOOKUP('포켓몬_편집'!$AF773:$AN773,'분류_규칙'!$A$5:$A$76,'분류_규칙'!$G$5:$G$76,0))</x:f>
        <x:v>0</x:v>
      </x:c>
      <x:c r="H773" s="10" t="n">
        <x:f>SUM(XLOOKUP('포켓몬_편집'!$AF773:$AN773,'분류_규칙'!$A$5:$A$76,'분류_규칙'!$H$5:$H$76,0))</x:f>
        <x:v>0</x:v>
      </x:c>
      <x:c r="I773" s="10" t="n">
        <x:f>SUM(XLOOKUP('포켓몬_편집'!$AF773:$AN773,'분류_규칙'!$A$5:$A$76,'분류_규칙'!$I$5:$I$76,0))</x:f>
        <x:v>0</x:v>
      </x:c>
      <x:c r="J773" s="10" t="n">
        <x:f>SUM(XLOOKUP('포켓몬_편집'!$AF773:$AN773,'분류_규칙'!$A$5:$A$76,'분류_규칙'!$J$5:$J$76,0))</x:f>
        <x:v>3</x:v>
      </x:c>
      <x:c r="K773" s="10" t="n">
        <x:f>SUM(XLOOKUP('포켓몬_편집'!$AF773:$AN773,'분류_규칙'!$A$5:$A$76,'분류_규칙'!$K$5:$K$76,0))</x:f>
        <x:v>0</x:v>
      </x:c>
      <x:c r="L773" s="10" t="n">
        <x:f>SUM(XLOOKUP('포켓몬_편집'!$AF773:$AN773,'분류_규칙'!$A$5:$A$76,'분류_규칙'!$L$5:$L$76,0))</x:f>
        <x:v>30</x:v>
      </x:c>
      <x:c r="M773" s="10" t="n">
        <x:f>SUM(XLOOKUP('포켓몬_편집'!$AF773:$AN773,'분류_규칙'!$A$5:$A$76,'분류_규칙'!$M$5:$M$76,0))</x:f>
        <x:v>0</x:v>
      </x:c>
      <x:c r="N773" s="10" t="n">
        <x:f>SUM(XLOOKUP('포켓몬_편집'!$AF773:$AN773,'분류_규칙'!$A$5:$A$76,'분류_규칙'!$N$5:$N$76,0))</x:f>
        <x:v>0</x:v>
      </x:c>
      <x:c r="O773" s="10" t="n">
        <x:f>SUM(XLOOKUP('포켓몬_편집'!$AF773:$AN773,'분류_규칙'!$A$5:$A$76,'분류_규칙'!$O$5:$O$76,0))</x:f>
        <x:v>0</x:v>
      </x:c>
      <x:c r="P773" s="10" t="n">
        <x:f>SUM(XLOOKUP('포켓몬_편집'!$AF773:$AN773,'분류_규칙'!$A$5:$A$76,'분류_규칙'!$P$5:$P$76,0))</x:f>
        <x:v>0</x:v>
      </x:c>
    </x:row>
    <x:row r="774" ht="22" customHeight="1">
      <x:c r="A774" s="5" t="n">
        <x:v>770</x:v>
      </x:c>
      <x:c r="B774" s="5" t="inlineStr">
        <x:is>
          <x:t xml:space="preserve">모래성이당</x:t>
        </x:is>
      </x:c>
      <x:c r="C774" s="5" t="inlineStr">
        <x:is>
          <x:t xml:space="preserve">palossand</x:t>
        </x:is>
      </x:c>
      <x:c r="D774" s="5" t="n">
        <x:v>7</x:v>
      </x:c>
      <x:c r="E774" s="10" t="n">
        <x:f>SUM(XLOOKUP('포켓몬_편집'!$AF774:$AN774,'분류_규칙'!$A$5:$A$76,'분류_규칙'!$E$5:$E$76,0))</x:f>
        <x:v>0</x:v>
      </x:c>
      <x:c r="F774" s="10" t="n">
        <x:f>SUM(XLOOKUP('포켓몬_편집'!$AF774:$AN774,'분류_규칙'!$A$5:$A$76,'분류_규칙'!$F$5:$F$76,0))</x:f>
        <x:v>0</x:v>
      </x:c>
      <x:c r="G774" s="10" t="n">
        <x:f>SUM(XLOOKUP('포켓몬_편집'!$AF774:$AN774,'분류_규칙'!$A$5:$A$76,'분류_규칙'!$G$5:$G$76,0))</x:f>
        <x:v>0</x:v>
      </x:c>
      <x:c r="H774" s="10" t="n">
        <x:f>SUM(XLOOKUP('포켓몬_편집'!$AF774:$AN774,'분류_규칙'!$A$5:$A$76,'분류_규칙'!$H$5:$H$76,0))</x:f>
        <x:v>0</x:v>
      </x:c>
      <x:c r="I774" s="10" t="n">
        <x:f>SUM(XLOOKUP('포켓몬_편집'!$AF774:$AN774,'분류_규칙'!$A$5:$A$76,'분류_규칙'!$I$5:$I$76,0))</x:f>
        <x:v>0</x:v>
      </x:c>
      <x:c r="J774" s="10" t="n">
        <x:f>SUM(XLOOKUP('포켓몬_편집'!$AF774:$AN774,'분류_규칙'!$A$5:$A$76,'분류_규칙'!$J$5:$J$76,0))</x:f>
        <x:v>3</x:v>
      </x:c>
      <x:c r="K774" s="10" t="n">
        <x:f>SUM(XLOOKUP('포켓몬_편집'!$AF774:$AN774,'분류_규칙'!$A$5:$A$76,'분류_규칙'!$K$5:$K$76,0))</x:f>
        <x:v>0</x:v>
      </x:c>
      <x:c r="L774" s="10" t="n">
        <x:f>SUM(XLOOKUP('포켓몬_편집'!$AF774:$AN774,'분류_규칙'!$A$5:$A$76,'분류_규칙'!$L$5:$L$76,0))</x:f>
        <x:v>30</x:v>
      </x:c>
      <x:c r="M774" s="10" t="n">
        <x:f>SUM(XLOOKUP('포켓몬_편집'!$AF774:$AN774,'분류_규칙'!$A$5:$A$76,'분류_규칙'!$M$5:$M$76,0))</x:f>
        <x:v>0</x:v>
      </x:c>
      <x:c r="N774" s="10" t="n">
        <x:f>SUM(XLOOKUP('포켓몬_편집'!$AF774:$AN774,'분류_규칙'!$A$5:$A$76,'분류_규칙'!$N$5:$N$76,0))</x:f>
        <x:v>0</x:v>
      </x:c>
      <x:c r="O774" s="10" t="n">
        <x:f>SUM(XLOOKUP('포켓몬_편집'!$AF774:$AN774,'분류_규칙'!$A$5:$A$76,'분류_규칙'!$O$5:$O$76,0))</x:f>
        <x:v>0</x:v>
      </x:c>
      <x:c r="P774" s="10" t="n">
        <x:f>SUM(XLOOKUP('포켓몬_편집'!$AF774:$AN774,'분류_규칙'!$A$5:$A$76,'분류_규칙'!$P$5:$P$76,0))</x:f>
        <x:v>0</x:v>
      </x:c>
    </x:row>
    <x:row r="775" ht="22" customHeight="1">
      <x:c r="A775" s="5" t="n">
        <x:v>771</x:v>
      </x:c>
      <x:c r="B775" s="5" t="inlineStr">
        <x:is>
          <x:t xml:space="preserve">해무기</x:t>
        </x:is>
      </x:c>
      <x:c r="C775" s="5" t="inlineStr">
        <x:is>
          <x:t xml:space="preserve">pyukumuku</x:t>
        </x:is>
      </x:c>
      <x:c r="D775" s="5" t="n">
        <x:v>7</x:v>
      </x:c>
      <x:c r="E775" s="10" t="n">
        <x:f>SUM(XLOOKUP('포켓몬_편집'!$AF775:$AN775,'분류_규칙'!$A$5:$A$76,'분류_규칙'!$E$5:$E$76,0))</x:f>
        <x:v>0</x:v>
      </x:c>
      <x:c r="F775" s="10" t="n">
        <x:f>SUM(XLOOKUP('포켓몬_편집'!$AF775:$AN775,'분류_규칙'!$A$5:$A$76,'분류_규칙'!$F$5:$F$76,0))</x:f>
        <x:v>0</x:v>
      </x:c>
      <x:c r="G775" s="10" t="n">
        <x:f>SUM(XLOOKUP('포켓몬_편집'!$AF775:$AN775,'분류_규칙'!$A$5:$A$76,'분류_규칙'!$G$5:$G$76,0))</x:f>
        <x:v>0</x:v>
      </x:c>
      <x:c r="H775" s="10" t="n">
        <x:f>SUM(XLOOKUP('포켓몬_편집'!$AF775:$AN775,'분류_규칙'!$A$5:$A$76,'분류_규칙'!$H$5:$H$76,0))</x:f>
        <x:v>0</x:v>
      </x:c>
      <x:c r="I775" s="10" t="n">
        <x:f>SUM(XLOOKUP('포켓몬_편집'!$AF775:$AN775,'분류_규칙'!$A$5:$A$76,'분류_규칙'!$I$5:$I$76,0))</x:f>
        <x:v>0</x:v>
      </x:c>
      <x:c r="J775" s="10" t="n">
        <x:f>SUM(XLOOKUP('포켓몬_편집'!$AF775:$AN775,'분류_규칙'!$A$5:$A$76,'분류_규칙'!$J$5:$J$76,0))</x:f>
        <x:v>3</x:v>
      </x:c>
      <x:c r="K775" s="10" t="n">
        <x:f>SUM(XLOOKUP('포켓몬_편집'!$AF775:$AN775,'분류_규칙'!$A$5:$A$76,'분류_규칙'!$K$5:$K$76,0))</x:f>
        <x:v>0</x:v>
      </x:c>
      <x:c r="L775" s="10" t="n">
        <x:f>SUM(XLOOKUP('포켓몬_편집'!$AF775:$AN775,'분류_규칙'!$A$5:$A$76,'분류_규칙'!$L$5:$L$76,0))</x:f>
        <x:v>30</x:v>
      </x:c>
      <x:c r="M775" s="10" t="n">
        <x:f>SUM(XLOOKUP('포켓몬_편집'!$AF775:$AN775,'분류_규칙'!$A$5:$A$76,'분류_규칙'!$M$5:$M$76,0))</x:f>
        <x:v>0</x:v>
      </x:c>
      <x:c r="N775" s="10" t="n">
        <x:f>SUM(XLOOKUP('포켓몬_편집'!$AF775:$AN775,'분류_규칙'!$A$5:$A$76,'분류_규칙'!$N$5:$N$76,0))</x:f>
        <x:v>0</x:v>
      </x:c>
      <x:c r="O775" s="10" t="n">
        <x:f>SUM(XLOOKUP('포켓몬_편집'!$AF775:$AN775,'분류_규칙'!$A$5:$A$76,'분류_규칙'!$O$5:$O$76,0))</x:f>
        <x:v>0</x:v>
      </x:c>
      <x:c r="P775" s="10" t="n">
        <x:f>SUM(XLOOKUP('포켓몬_편집'!$AF775:$AN775,'분류_규칙'!$A$5:$A$76,'분류_규칙'!$P$5:$P$76,0))</x:f>
        <x:v>0</x:v>
      </x:c>
    </x:row>
    <x:row r="776" ht="22" customHeight="1">
      <x:c r="A776" s="5" t="n">
        <x:v>772</x:v>
      </x:c>
      <x:c r="B776" s="5" t="inlineStr">
        <x:is>
          <x:t xml:space="preserve">타입:널</x:t>
        </x:is>
      </x:c>
      <x:c r="C776" s="5" t="inlineStr">
        <x:is>
          <x:t xml:space="preserve">typenull</x:t>
        </x:is>
      </x:c>
      <x:c r="D776" s="5" t="n">
        <x:v>7</x:v>
      </x:c>
      <x:c r="E776" s="10" t="n">
        <x:f>SUM(XLOOKUP('포켓몬_편집'!$AF776:$AN776,'분류_규칙'!$A$5:$A$76,'분류_규칙'!$E$5:$E$76,0))</x:f>
        <x:v>10</x:v>
      </x:c>
      <x:c r="F776" s="10" t="n">
        <x:f>SUM(XLOOKUP('포켓몬_편집'!$AF776:$AN776,'분류_규칙'!$A$5:$A$76,'분류_규칙'!$F$5:$F$76,0))</x:f>
        <x:v>7</x:v>
      </x:c>
      <x:c r="G776" s="10" t="n">
        <x:f>SUM(XLOOKUP('포켓몬_편집'!$AF776:$AN776,'분류_규칙'!$A$5:$A$76,'분류_규칙'!$G$5:$G$76,0))</x:f>
        <x:v>5</x:v>
      </x:c>
      <x:c r="H776" s="10" t="n">
        <x:f>SUM(XLOOKUP('포켓몬_편집'!$AF776:$AN776,'분류_규칙'!$A$5:$A$76,'분류_규칙'!$H$5:$H$76,0))</x:f>
        <x:v>5</x:v>
      </x:c>
      <x:c r="I776" s="10" t="n">
        <x:f>SUM(XLOOKUP('포켓몬_편집'!$AF776:$AN776,'분류_규칙'!$A$5:$A$76,'분류_규칙'!$I$5:$I$76,0))</x:f>
        <x:v>0</x:v>
      </x:c>
      <x:c r="J776" s="10" t="n">
        <x:f>SUM(XLOOKUP('포켓몬_편집'!$AF776:$AN776,'분류_규칙'!$A$5:$A$76,'분류_규칙'!$J$5:$J$76,0))</x:f>
        <x:v>2</x:v>
      </x:c>
      <x:c r="K776" s="10" t="n">
        <x:f>SUM(XLOOKUP('포켓몬_편집'!$AF776:$AN776,'분류_규칙'!$A$5:$A$76,'분류_규칙'!$K$5:$K$76,0))</x:f>
        <x:v>0</x:v>
      </x:c>
      <x:c r="L776" s="10" t="n">
        <x:f>SUM(XLOOKUP('포켓몬_편집'!$AF776:$AN776,'분류_규칙'!$A$5:$A$76,'분류_규칙'!$L$5:$L$76,0))</x:f>
        <x:v>0</x:v>
      </x:c>
      <x:c r="M776" s="10" t="n">
        <x:f>SUM(XLOOKUP('포켓몬_편집'!$AF776:$AN776,'분류_규칙'!$A$5:$A$76,'분류_규칙'!$M$5:$M$76,0))</x:f>
        <x:v>0</x:v>
      </x:c>
      <x:c r="N776" s="10" t="n">
        <x:f>SUM(XLOOKUP('포켓몬_편집'!$AF776:$AN776,'분류_규칙'!$A$5:$A$76,'분류_규칙'!$N$5:$N$76,0))</x:f>
        <x:v>0</x:v>
      </x:c>
      <x:c r="O776" s="10" t="n">
        <x:f>SUM(XLOOKUP('포켓몬_편집'!$AF776:$AN776,'분류_규칙'!$A$5:$A$76,'분류_규칙'!$O$5:$O$76,0))</x:f>
        <x:v>2</x:v>
      </x:c>
      <x:c r="P776" s="10" t="n">
        <x:f>SUM(XLOOKUP('포켓몬_편집'!$AF776:$AN776,'분류_규칙'!$A$5:$A$76,'분류_규칙'!$P$5:$P$76,0))</x:f>
        <x:v>0</x:v>
      </x:c>
    </x:row>
    <x:row r="777" ht="22" customHeight="1">
      <x:c r="A777" s="5" t="n">
        <x:v>773</x:v>
      </x:c>
      <x:c r="B777" s="5" t="inlineStr">
        <x:is>
          <x:t xml:space="preserve">실버디</x:t>
        </x:is>
      </x:c>
      <x:c r="C777" s="5" t="inlineStr">
        <x:is>
          <x:t xml:space="preserve">silvally</x:t>
        </x:is>
      </x:c>
      <x:c r="D777" s="5" t="n">
        <x:v>7</x:v>
      </x:c>
      <x:c r="E777" s="10" t="n">
        <x:f>SUM(XLOOKUP('포켓몬_편집'!$AF777:$AN777,'분류_규칙'!$A$5:$A$76,'분류_규칙'!$E$5:$E$76,0))</x:f>
        <x:v>0</x:v>
      </x:c>
      <x:c r="F777" s="10" t="n">
        <x:f>SUM(XLOOKUP('포켓몬_편집'!$AF777:$AN777,'분류_규칙'!$A$5:$A$76,'분류_규칙'!$F$5:$F$76,0))</x:f>
        <x:v>0</x:v>
      </x:c>
      <x:c r="G777" s="10" t="n">
        <x:f>SUM(XLOOKUP('포켓몬_편집'!$AF777:$AN777,'분류_규칙'!$A$5:$A$76,'분류_규칙'!$G$5:$G$76,0))</x:f>
        <x:v>0</x:v>
      </x:c>
      <x:c r="H777" s="10" t="n">
        <x:f>SUM(XLOOKUP('포켓몬_편집'!$AF777:$AN777,'분류_규칙'!$A$5:$A$76,'분류_규칙'!$H$5:$H$76,0))</x:f>
        <x:v>0</x:v>
      </x:c>
      <x:c r="I777" s="10" t="n">
        <x:f>SUM(XLOOKUP('포켓몬_편집'!$AF777:$AN777,'분류_규칙'!$A$5:$A$76,'분류_규칙'!$I$5:$I$76,0))</x:f>
        <x:v>0</x:v>
      </x:c>
      <x:c r="J777" s="10" t="n">
        <x:f>SUM(XLOOKUP('포켓몬_편집'!$AF777:$AN777,'분류_규칙'!$A$5:$A$76,'분류_규칙'!$J$5:$J$76,0))</x:f>
        <x:v>0</x:v>
      </x:c>
      <x:c r="K777" s="10" t="n">
        <x:f>SUM(XLOOKUP('포켓몬_편집'!$AF777:$AN777,'분류_규칙'!$A$5:$A$76,'분류_규칙'!$K$5:$K$76,0))</x:f>
        <x:v>0</x:v>
      </x:c>
      <x:c r="L777" s="10" t="n">
        <x:f>SUM(XLOOKUP('포켓몬_편집'!$AF777:$AN777,'분류_규칙'!$A$5:$A$76,'분류_규칙'!$L$5:$L$76,0))</x:f>
        <x:v>0</x:v>
      </x:c>
      <x:c r="M777" s="10" t="n">
        <x:f>SUM(XLOOKUP('포켓몬_편집'!$AF777:$AN777,'분류_규칙'!$A$5:$A$76,'분류_규칙'!$M$5:$M$76,0))</x:f>
        <x:v>0</x:v>
      </x:c>
      <x:c r="N777" s="10" t="n">
        <x:f>SUM(XLOOKUP('포켓몬_편집'!$AF777:$AN777,'분류_규칙'!$A$5:$A$76,'분류_규칙'!$N$5:$N$76,0))</x:f>
        <x:v>0</x:v>
      </x:c>
      <x:c r="O777" s="10" t="n">
        <x:f>SUM(XLOOKUP('포켓몬_편집'!$AF777:$AN777,'분류_규칙'!$A$5:$A$76,'분류_규칙'!$O$5:$O$76,0))</x:f>
        <x:v>30</x:v>
      </x:c>
      <x:c r="P777" s="10" t="n">
        <x:f>SUM(XLOOKUP('포켓몬_편집'!$AF777:$AN777,'분류_규칙'!$A$5:$A$76,'분류_규칙'!$P$5:$P$76,0))</x:f>
        <x:v>8</x:v>
      </x:c>
    </x:row>
    <x:row r="778" ht="22" customHeight="1">
      <x:c r="A778" s="5" t="n">
        <x:v>774</x:v>
      </x:c>
      <x:c r="B778" s="5" t="inlineStr">
        <x:is>
          <x:t xml:space="preserve">메테노</x:t>
        </x:is>
      </x:c>
      <x:c r="C778" s="5" t="inlineStr">
        <x:is>
          <x:t xml:space="preserve">minior</x:t>
        </x:is>
      </x:c>
      <x:c r="D778" s="5" t="n">
        <x:v>7</x:v>
      </x:c>
      <x:c r="E778" s="10" t="n">
        <x:f>SUM(XLOOKUP('포켓몬_편집'!$AF778:$AN778,'분류_규칙'!$A$5:$A$76,'분류_규칙'!$E$5:$E$76,0))</x:f>
        <x:v>8</x:v>
      </x:c>
      <x:c r="F778" s="10" t="n">
        <x:f>SUM(XLOOKUP('포켓몬_편집'!$AF778:$AN778,'분류_규칙'!$A$5:$A$76,'분류_규칙'!$F$5:$F$76,0))</x:f>
        <x:v>8</x:v>
      </x:c>
      <x:c r="G778" s="10" t="n">
        <x:f>SUM(XLOOKUP('포켓몬_편집'!$AF778:$AN778,'분류_규칙'!$A$5:$A$76,'분류_규칙'!$G$5:$G$76,0))</x:f>
        <x:v>0</x:v>
      </x:c>
      <x:c r="H778" s="10" t="n">
        <x:f>SUM(XLOOKUP('포켓몬_편집'!$AF778:$AN778,'분류_규칙'!$A$5:$A$76,'분류_규칙'!$H$5:$H$76,0))</x:f>
        <x:v>12</x:v>
      </x:c>
      <x:c r="I778" s="10" t="n">
        <x:f>SUM(XLOOKUP('포켓몬_편집'!$AF778:$AN778,'분류_규칙'!$A$5:$A$76,'분류_규칙'!$I$5:$I$76,0))</x:f>
        <x:v>0</x:v>
      </x:c>
      <x:c r="J778" s="10" t="n">
        <x:f>SUM(XLOOKUP('포켓몬_편집'!$AF778:$AN778,'분류_규칙'!$A$5:$A$76,'분류_규칙'!$J$5:$J$76,0))</x:f>
        <x:v>0</x:v>
      </x:c>
      <x:c r="K778" s="10" t="n">
        <x:f>SUM(XLOOKUP('포켓몬_편집'!$AF778:$AN778,'분류_규칙'!$A$5:$A$76,'분류_규칙'!$K$5:$K$76,0))</x:f>
        <x:v>0</x:v>
      </x:c>
      <x:c r="L778" s="10" t="n">
        <x:f>SUM(XLOOKUP('포켓몬_편집'!$AF778:$AN778,'분류_규칙'!$A$5:$A$76,'분류_규칙'!$L$5:$L$76,0))</x:f>
        <x:v>3</x:v>
      </x:c>
      <x:c r="M778" s="10" t="n">
        <x:f>SUM(XLOOKUP('포켓몬_편집'!$AF778:$AN778,'분류_규칙'!$A$5:$A$76,'분류_규칙'!$M$5:$M$76,0))</x:f>
        <x:v>0</x:v>
      </x:c>
      <x:c r="N778" s="10" t="n">
        <x:f>SUM(XLOOKUP('포켓몬_편집'!$AF778:$AN778,'분류_규칙'!$A$5:$A$76,'분류_규칙'!$N$5:$N$76,0))</x:f>
        <x:v>0</x:v>
      </x:c>
      <x:c r="O778" s="10" t="n">
        <x:f>SUM(XLOOKUP('포켓몬_편집'!$AF778:$AN778,'분류_규칙'!$A$5:$A$76,'분류_규칙'!$O$5:$O$76,0))</x:f>
        <x:v>2</x:v>
      </x:c>
      <x:c r="P778" s="10" t="n">
        <x:f>SUM(XLOOKUP('포켓몬_편집'!$AF778:$AN778,'분류_규칙'!$A$5:$A$76,'분류_규칙'!$P$5:$P$76,0))</x:f>
        <x:v>0</x:v>
      </x:c>
    </x:row>
    <x:row r="779" ht="22" customHeight="1">
      <x:c r="A779" s="5" t="n">
        <x:v>775</x:v>
      </x:c>
      <x:c r="B779" s="5" t="inlineStr">
        <x:is>
          <x:t xml:space="preserve">자말라</x:t>
        </x:is>
      </x:c>
      <x:c r="C779" s="5" t="inlineStr">
        <x:is>
          <x:t xml:space="preserve">komala</x:t>
        </x:is>
      </x:c>
      <x:c r="D779" s="5" t="n">
        <x:v>7</x:v>
      </x:c>
      <x:c r="E779" s="10" t="n">
        <x:f>SUM(XLOOKUP('포켓몬_편집'!$AF779:$AN779,'분류_규칙'!$A$5:$A$76,'분류_규칙'!$E$5:$E$76,0))</x:f>
        <x:v>10</x:v>
      </x:c>
      <x:c r="F779" s="10" t="n">
        <x:f>SUM(XLOOKUP('포켓몬_편집'!$AF779:$AN779,'분류_규칙'!$A$5:$A$76,'분류_규칙'!$F$5:$F$76,0))</x:f>
        <x:v>7</x:v>
      </x:c>
      <x:c r="G779" s="10" t="n">
        <x:f>SUM(XLOOKUP('포켓몬_편집'!$AF779:$AN779,'분류_규칙'!$A$5:$A$76,'분류_규칙'!$G$5:$G$76,0))</x:f>
        <x:v>5</x:v>
      </x:c>
      <x:c r="H779" s="10" t="n">
        <x:f>SUM(XLOOKUP('포켓몬_편집'!$AF779:$AN779,'분류_규칙'!$A$5:$A$76,'분류_규칙'!$H$5:$H$76,0))</x:f>
        <x:v>5</x:v>
      </x:c>
      <x:c r="I779" s="10" t="n">
        <x:f>SUM(XLOOKUP('포켓몬_편집'!$AF779:$AN779,'분류_규칙'!$A$5:$A$76,'분류_규칙'!$I$5:$I$76,0))</x:f>
        <x:v>0</x:v>
      </x:c>
      <x:c r="J779" s="10" t="n">
        <x:f>SUM(XLOOKUP('포켓몬_편집'!$AF779:$AN779,'분류_규칙'!$A$5:$A$76,'분류_규칙'!$J$5:$J$76,0))</x:f>
        <x:v>2</x:v>
      </x:c>
      <x:c r="K779" s="10" t="n">
        <x:f>SUM(XLOOKUP('포켓몬_편집'!$AF779:$AN779,'분류_규칙'!$A$5:$A$76,'분류_규칙'!$K$5:$K$76,0))</x:f>
        <x:v>0</x:v>
      </x:c>
      <x:c r="L779" s="10" t="n">
        <x:f>SUM(XLOOKUP('포켓몬_편집'!$AF779:$AN779,'분류_규칙'!$A$5:$A$76,'분류_규칙'!$L$5:$L$76,0))</x:f>
        <x:v>0</x:v>
      </x:c>
      <x:c r="M779" s="10" t="n">
        <x:f>SUM(XLOOKUP('포켓몬_편집'!$AF779:$AN779,'분류_규칙'!$A$5:$A$76,'분류_규칙'!$M$5:$M$76,0))</x:f>
        <x:v>0</x:v>
      </x:c>
      <x:c r="N779" s="10" t="n">
        <x:f>SUM(XLOOKUP('포켓몬_편집'!$AF779:$AN779,'분류_규칙'!$A$5:$A$76,'분류_규칙'!$N$5:$N$76,0))</x:f>
        <x:v>0</x:v>
      </x:c>
      <x:c r="O779" s="10" t="n">
        <x:f>SUM(XLOOKUP('포켓몬_편집'!$AF779:$AN779,'분류_규칙'!$A$5:$A$76,'분류_규칙'!$O$5:$O$76,0))</x:f>
        <x:v>2</x:v>
      </x:c>
      <x:c r="P779" s="10" t="n">
        <x:f>SUM(XLOOKUP('포켓몬_편집'!$AF779:$AN779,'분류_규칙'!$A$5:$A$76,'분류_규칙'!$P$5:$P$76,0))</x:f>
        <x:v>0</x:v>
      </x:c>
    </x:row>
    <x:row r="780" ht="22" customHeight="1">
      <x:c r="A780" s="5" t="n">
        <x:v>776</x:v>
      </x:c>
      <x:c r="B780" s="5" t="inlineStr">
        <x:is>
          <x:t xml:space="preserve">폭거북스</x:t>
        </x:is>
      </x:c>
      <x:c r="C780" s="5" t="inlineStr">
        <x:is>
          <x:t xml:space="preserve">turtonator</x:t>
        </x:is>
      </x:c>
      <x:c r="D780" s="5" t="n">
        <x:v>7</x:v>
      </x:c>
      <x:c r="E780" s="10" t="n">
        <x:f>SUM(XLOOKUP('포켓몬_편집'!$AF780:$AN780,'분류_규칙'!$A$5:$A$76,'분류_규칙'!$E$5:$E$76,0))</x:f>
        <x:v>10</x:v>
      </x:c>
      <x:c r="F780" s="10" t="n">
        <x:f>SUM(XLOOKUP('포켓몬_편집'!$AF780:$AN780,'분류_규칙'!$A$5:$A$76,'분류_규칙'!$F$5:$F$76,0))</x:f>
        <x:v>7</x:v>
      </x:c>
      <x:c r="G780" s="10" t="n">
        <x:f>SUM(XLOOKUP('포켓몬_편집'!$AF780:$AN780,'분류_규칙'!$A$5:$A$76,'분류_규칙'!$G$5:$G$76,0))</x:f>
        <x:v>5</x:v>
      </x:c>
      <x:c r="H780" s="10" t="n">
        <x:f>SUM(XLOOKUP('포켓몬_편집'!$AF780:$AN780,'분류_규칙'!$A$5:$A$76,'분류_규칙'!$H$5:$H$76,0))</x:f>
        <x:v>5</x:v>
      </x:c>
      <x:c r="I780" s="10" t="n">
        <x:f>SUM(XLOOKUP('포켓몬_편집'!$AF780:$AN780,'분류_규칙'!$A$5:$A$76,'분류_규칙'!$I$5:$I$76,0))</x:f>
        <x:v>0</x:v>
      </x:c>
      <x:c r="J780" s="10" t="n">
        <x:f>SUM(XLOOKUP('포켓몬_편집'!$AF780:$AN780,'분류_규칙'!$A$5:$A$76,'분류_규칙'!$J$5:$J$76,0))</x:f>
        <x:v>2</x:v>
      </x:c>
      <x:c r="K780" s="10" t="n">
        <x:f>SUM(XLOOKUP('포켓몬_편집'!$AF780:$AN780,'분류_규칙'!$A$5:$A$76,'분류_규칙'!$K$5:$K$76,0))</x:f>
        <x:v>0</x:v>
      </x:c>
      <x:c r="L780" s="10" t="n">
        <x:f>SUM(XLOOKUP('포켓몬_편집'!$AF780:$AN780,'분류_규칙'!$A$5:$A$76,'분류_규칙'!$L$5:$L$76,0))</x:f>
        <x:v>0</x:v>
      </x:c>
      <x:c r="M780" s="10" t="n">
        <x:f>SUM(XLOOKUP('포켓몬_편집'!$AF780:$AN780,'분류_규칙'!$A$5:$A$76,'분류_규칙'!$M$5:$M$76,0))</x:f>
        <x:v>0</x:v>
      </x:c>
      <x:c r="N780" s="10" t="n">
        <x:f>SUM(XLOOKUP('포켓몬_편집'!$AF780:$AN780,'분류_규칙'!$A$5:$A$76,'분류_규칙'!$N$5:$N$76,0))</x:f>
        <x:v>0</x:v>
      </x:c>
      <x:c r="O780" s="10" t="n">
        <x:f>SUM(XLOOKUP('포켓몬_편집'!$AF780:$AN780,'분류_규칙'!$A$5:$A$76,'분류_규칙'!$O$5:$O$76,0))</x:f>
        <x:v>2</x:v>
      </x:c>
      <x:c r="P780" s="10" t="n">
        <x:f>SUM(XLOOKUP('포켓몬_편집'!$AF780:$AN780,'분류_규칙'!$A$5:$A$76,'분류_규칙'!$P$5:$P$76,0))</x:f>
        <x:v>0</x:v>
      </x:c>
    </x:row>
    <x:row r="781" ht="22" customHeight="1">
      <x:c r="A781" s="5" t="n">
        <x:v>777</x:v>
      </x:c>
      <x:c r="B781" s="5" t="inlineStr">
        <x:is>
          <x:t xml:space="preserve">토게데마루</x:t>
        </x:is>
      </x:c>
      <x:c r="C781" s="5" t="inlineStr">
        <x:is>
          <x:t xml:space="preserve">togedemaru</x:t>
        </x:is>
      </x:c>
      <x:c r="D781" s="5" t="n">
        <x:v>7</x:v>
      </x:c>
      <x:c r="E781" s="10" t="n">
        <x:f>SUM(XLOOKUP('포켓몬_편집'!$AF781:$AN781,'분류_규칙'!$A$5:$A$76,'분류_규칙'!$E$5:$E$76,0))</x:f>
        <x:v>10</x:v>
      </x:c>
      <x:c r="F781" s="10" t="n">
        <x:f>SUM(XLOOKUP('포켓몬_편집'!$AF781:$AN781,'분류_규칙'!$A$5:$A$76,'분류_규칙'!$F$5:$F$76,0))</x:f>
        <x:v>7</x:v>
      </x:c>
      <x:c r="G781" s="10" t="n">
        <x:f>SUM(XLOOKUP('포켓몬_편집'!$AF781:$AN781,'분류_규칙'!$A$5:$A$76,'분류_규칙'!$G$5:$G$76,0))</x:f>
        <x:v>5</x:v>
      </x:c>
      <x:c r="H781" s="10" t="n">
        <x:f>SUM(XLOOKUP('포켓몬_편집'!$AF781:$AN781,'분류_규칙'!$A$5:$A$76,'분류_규칙'!$H$5:$H$76,0))</x:f>
        <x:v>5</x:v>
      </x:c>
      <x:c r="I781" s="10" t="n">
        <x:f>SUM(XLOOKUP('포켓몬_편집'!$AF781:$AN781,'분류_규칙'!$A$5:$A$76,'분류_규칙'!$I$5:$I$76,0))</x:f>
        <x:v>0</x:v>
      </x:c>
      <x:c r="J781" s="10" t="n">
        <x:f>SUM(XLOOKUP('포켓몬_편집'!$AF781:$AN781,'분류_규칙'!$A$5:$A$76,'분류_규칙'!$J$5:$J$76,0))</x:f>
        <x:v>2</x:v>
      </x:c>
      <x:c r="K781" s="10" t="n">
        <x:f>SUM(XLOOKUP('포켓몬_편집'!$AF781:$AN781,'분류_규칙'!$A$5:$A$76,'분류_규칙'!$K$5:$K$76,0))</x:f>
        <x:v>0</x:v>
      </x:c>
      <x:c r="L781" s="10" t="n">
        <x:f>SUM(XLOOKUP('포켓몬_편집'!$AF781:$AN781,'분류_규칙'!$A$5:$A$76,'분류_규칙'!$L$5:$L$76,0))</x:f>
        <x:v>0</x:v>
      </x:c>
      <x:c r="M781" s="10" t="n">
        <x:f>SUM(XLOOKUP('포켓몬_편집'!$AF781:$AN781,'분류_규칙'!$A$5:$A$76,'분류_규칙'!$M$5:$M$76,0))</x:f>
        <x:v>0</x:v>
      </x:c>
      <x:c r="N781" s="10" t="n">
        <x:f>SUM(XLOOKUP('포켓몬_편집'!$AF781:$AN781,'분류_규칙'!$A$5:$A$76,'분류_규칙'!$N$5:$N$76,0))</x:f>
        <x:v>0</x:v>
      </x:c>
      <x:c r="O781" s="10" t="n">
        <x:f>SUM(XLOOKUP('포켓몬_편집'!$AF781:$AN781,'분류_규칙'!$A$5:$A$76,'분류_규칙'!$O$5:$O$76,0))</x:f>
        <x:v>2</x:v>
      </x:c>
      <x:c r="P781" s="10" t="n">
        <x:f>SUM(XLOOKUP('포켓몬_편집'!$AF781:$AN781,'분류_규칙'!$A$5:$A$76,'분류_규칙'!$P$5:$P$76,0))</x:f>
        <x:v>0</x:v>
      </x:c>
    </x:row>
    <x:row r="782" ht="22" customHeight="1">
      <x:c r="A782" s="5" t="n">
        <x:v>778</x:v>
      </x:c>
      <x:c r="B782" s="5" t="inlineStr">
        <x:is>
          <x:t xml:space="preserve">따라큐</x:t>
        </x:is>
      </x:c>
      <x:c r="C782" s="5" t="inlineStr">
        <x:is>
          <x:t xml:space="preserve">mimikyu</x:t>
        </x:is>
      </x:c>
      <x:c r="D782" s="5" t="n">
        <x:v>7</x:v>
      </x:c>
      <x:c r="E782" s="10" t="n">
        <x:f>SUM(XLOOKUP('포켓몬_편집'!$AF782:$AN782,'분류_규칙'!$A$5:$A$76,'분류_규칙'!$E$5:$E$76,0))</x:f>
        <x:v>0</x:v>
      </x:c>
      <x:c r="F782" s="10" t="n">
        <x:f>SUM(XLOOKUP('포켓몬_편집'!$AF782:$AN782,'분류_규칙'!$A$5:$A$76,'분류_규칙'!$F$5:$F$76,0))</x:f>
        <x:v>0</x:v>
      </x:c>
      <x:c r="G782" s="10" t="n">
        <x:f>SUM(XLOOKUP('포켓몬_편집'!$AF782:$AN782,'분류_규칙'!$A$5:$A$76,'분류_규칙'!$G$5:$G$76,0))</x:f>
        <x:v>0</x:v>
      </x:c>
      <x:c r="H782" s="10" t="n">
        <x:f>SUM(XLOOKUP('포켓몬_편집'!$AF782:$AN782,'분류_규칙'!$A$5:$A$76,'분류_규칙'!$H$5:$H$76,0))</x:f>
        <x:v>0</x:v>
      </x:c>
      <x:c r="I782" s="10" t="n">
        <x:f>SUM(XLOOKUP('포켓몬_편집'!$AF782:$AN782,'분류_규칙'!$A$5:$A$76,'분류_규칙'!$I$5:$I$76,0))</x:f>
        <x:v>10</x:v>
      </x:c>
      <x:c r="J782" s="10" t="n">
        <x:f>SUM(XLOOKUP('포켓몬_편집'!$AF782:$AN782,'분류_규칙'!$A$5:$A$76,'분류_규칙'!$J$5:$J$76,0))</x:f>
        <x:v>0</x:v>
      </x:c>
      <x:c r="K782" s="10" t="n">
        <x:f>SUM(XLOOKUP('포켓몬_편집'!$AF782:$AN782,'분류_규칙'!$A$5:$A$76,'분류_규칙'!$K$5:$K$76,0))</x:f>
        <x:v>0</x:v>
      </x:c>
      <x:c r="L782" s="10" t="n">
        <x:f>SUM(XLOOKUP('포켓몬_편집'!$AF782:$AN782,'분류_규칙'!$A$5:$A$76,'분류_규칙'!$L$5:$L$76,0))</x:f>
        <x:v>0</x:v>
      </x:c>
      <x:c r="M782" s="10" t="n">
        <x:f>SUM(XLOOKUP('포켓몬_편집'!$AF782:$AN782,'분류_규칙'!$A$5:$A$76,'분류_규칙'!$M$5:$M$76,0))</x:f>
        <x:v>0</x:v>
      </x:c>
      <x:c r="N782" s="10" t="n">
        <x:f>SUM(XLOOKUP('포켓몬_편집'!$AF782:$AN782,'분류_규칙'!$A$5:$A$76,'분류_규칙'!$N$5:$N$76,0))</x:f>
        <x:v>0</x:v>
      </x:c>
      <x:c r="O782" s="10" t="n">
        <x:f>SUM(XLOOKUP('포켓몬_편집'!$AF782:$AN782,'분류_규칙'!$A$5:$A$76,'분류_규칙'!$O$5:$O$76,0))</x:f>
        <x:v>5</x:v>
      </x:c>
      <x:c r="P782" s="10" t="n">
        <x:f>SUM(XLOOKUP('포켓몬_편집'!$AF782:$AN782,'분류_규칙'!$A$5:$A$76,'분류_규칙'!$P$5:$P$76,0))</x:f>
        <x:v>25</x:v>
      </x:c>
    </x:row>
    <x:row r="783" ht="22" customHeight="1">
      <x:c r="A783" s="5" t="n">
        <x:v>779</x:v>
      </x:c>
      <x:c r="B783" s="5" t="inlineStr">
        <x:is>
          <x:t xml:space="preserve">치갈기</x:t>
        </x:is>
      </x:c>
      <x:c r="C783" s="5" t="inlineStr">
        <x:is>
          <x:t xml:space="preserve">bruxish</x:t>
        </x:is>
      </x:c>
      <x:c r="D783" s="5" t="n">
        <x:v>7</x:v>
      </x:c>
      <x:c r="E783" s="10" t="n">
        <x:f>SUM(XLOOKUP('포켓몬_편집'!$AF783:$AN783,'분류_규칙'!$A$5:$A$76,'분류_규칙'!$E$5:$E$76,0))</x:f>
        <x:v>0</x:v>
      </x:c>
      <x:c r="F783" s="10" t="n">
        <x:f>SUM(XLOOKUP('포켓몬_편집'!$AF783:$AN783,'분류_규칙'!$A$5:$A$76,'분류_규칙'!$F$5:$F$76,0))</x:f>
        <x:v>0</x:v>
      </x:c>
      <x:c r="G783" s="10" t="n">
        <x:f>SUM(XLOOKUP('포켓몬_편집'!$AF783:$AN783,'분류_규칙'!$A$5:$A$76,'분류_규칙'!$G$5:$G$76,0))</x:f>
        <x:v>0</x:v>
      </x:c>
      <x:c r="H783" s="10" t="n">
        <x:f>SUM(XLOOKUP('포켓몬_편집'!$AF783:$AN783,'분류_규칙'!$A$5:$A$76,'분류_규칙'!$H$5:$H$76,0))</x:f>
        <x:v>0</x:v>
      </x:c>
      <x:c r="I783" s="10" t="n">
        <x:f>SUM(XLOOKUP('포켓몬_편집'!$AF783:$AN783,'분류_규칙'!$A$5:$A$76,'분류_규칙'!$I$5:$I$76,0))</x:f>
        <x:v>0</x:v>
      </x:c>
      <x:c r="J783" s="10" t="n">
        <x:f>SUM(XLOOKUP('포켓몬_편집'!$AF783:$AN783,'분류_규칙'!$A$5:$A$76,'분류_규칙'!$J$5:$J$76,0))</x:f>
        <x:v>3</x:v>
      </x:c>
      <x:c r="K783" s="10" t="n">
        <x:f>SUM(XLOOKUP('포켓몬_편집'!$AF783:$AN783,'분류_규칙'!$A$5:$A$76,'분류_규칙'!$K$5:$K$76,0))</x:f>
        <x:v>0</x:v>
      </x:c>
      <x:c r="L783" s="10" t="n">
        <x:f>SUM(XLOOKUP('포켓몬_편집'!$AF783:$AN783,'분류_규칙'!$A$5:$A$76,'분류_규칙'!$L$5:$L$76,0))</x:f>
        <x:v>30</x:v>
      </x:c>
      <x:c r="M783" s="10" t="n">
        <x:f>SUM(XLOOKUP('포켓몬_편집'!$AF783:$AN783,'분류_규칙'!$A$5:$A$76,'분류_규칙'!$M$5:$M$76,0))</x:f>
        <x:v>0</x:v>
      </x:c>
      <x:c r="N783" s="10" t="n">
        <x:f>SUM(XLOOKUP('포켓몬_편집'!$AF783:$AN783,'분류_규칙'!$A$5:$A$76,'분류_규칙'!$N$5:$N$76,0))</x:f>
        <x:v>0</x:v>
      </x:c>
      <x:c r="O783" s="10" t="n">
        <x:f>SUM(XLOOKUP('포켓몬_편집'!$AF783:$AN783,'분류_규칙'!$A$5:$A$76,'분류_규칙'!$O$5:$O$76,0))</x:f>
        <x:v>0</x:v>
      </x:c>
      <x:c r="P783" s="10" t="n">
        <x:f>SUM(XLOOKUP('포켓몬_편집'!$AF783:$AN783,'분류_규칙'!$A$5:$A$76,'분류_규칙'!$P$5:$P$76,0))</x:f>
        <x:v>0</x:v>
      </x:c>
    </x:row>
    <x:row r="784" ht="22" customHeight="1">
      <x:c r="A784" s="5" t="n">
        <x:v>780</x:v>
      </x:c>
      <x:c r="B784" s="5" t="inlineStr">
        <x:is>
          <x:t xml:space="preserve">할비롱</x:t>
        </x:is>
      </x:c>
      <x:c r="C784" s="5" t="inlineStr">
        <x:is>
          <x:t xml:space="preserve">drampa</x:t>
        </x:is>
      </x:c>
      <x:c r="D784" s="5" t="n">
        <x:v>7</x:v>
      </x:c>
      <x:c r="E784" s="10" t="n">
        <x:f>SUM(XLOOKUP('포켓몬_편집'!$AF784:$AN784,'분류_규칙'!$A$5:$A$76,'분류_규칙'!$E$5:$E$76,0))</x:f>
        <x:v>8</x:v>
      </x:c>
      <x:c r="F784" s="10" t="n">
        <x:f>SUM(XLOOKUP('포켓몬_편집'!$AF784:$AN784,'분류_규칙'!$A$5:$A$76,'분류_규칙'!$F$5:$F$76,0))</x:f>
        <x:v>8</x:v>
      </x:c>
      <x:c r="G784" s="10" t="n">
        <x:f>SUM(XLOOKUP('포켓몬_편집'!$AF784:$AN784,'분류_규칙'!$A$5:$A$76,'분류_규칙'!$G$5:$G$76,0))</x:f>
        <x:v>0</x:v>
      </x:c>
      <x:c r="H784" s="10" t="n">
        <x:f>SUM(XLOOKUP('포켓몬_편집'!$AF784:$AN784,'분류_규칙'!$A$5:$A$76,'분류_규칙'!$H$5:$H$76,0))</x:f>
        <x:v>12</x:v>
      </x:c>
      <x:c r="I784" s="10" t="n">
        <x:f>SUM(XLOOKUP('포켓몬_편집'!$AF784:$AN784,'분류_규칙'!$A$5:$A$76,'분류_규칙'!$I$5:$I$76,0))</x:f>
        <x:v>0</x:v>
      </x:c>
      <x:c r="J784" s="10" t="n">
        <x:f>SUM(XLOOKUP('포켓몬_편집'!$AF784:$AN784,'분류_규칙'!$A$5:$A$76,'분류_규칙'!$J$5:$J$76,0))</x:f>
        <x:v>0</x:v>
      </x:c>
      <x:c r="K784" s="10" t="n">
        <x:f>SUM(XLOOKUP('포켓몬_편집'!$AF784:$AN784,'분류_규칙'!$A$5:$A$76,'분류_규칙'!$K$5:$K$76,0))</x:f>
        <x:v>0</x:v>
      </x:c>
      <x:c r="L784" s="10" t="n">
        <x:f>SUM(XLOOKUP('포켓몬_편집'!$AF784:$AN784,'분류_규칙'!$A$5:$A$76,'분류_규칙'!$L$5:$L$76,0))</x:f>
        <x:v>3</x:v>
      </x:c>
      <x:c r="M784" s="10" t="n">
        <x:f>SUM(XLOOKUP('포켓몬_편집'!$AF784:$AN784,'분류_규칙'!$A$5:$A$76,'분류_규칙'!$M$5:$M$76,0))</x:f>
        <x:v>0</x:v>
      </x:c>
      <x:c r="N784" s="10" t="n">
        <x:f>SUM(XLOOKUP('포켓몬_편집'!$AF784:$AN784,'분류_규칙'!$A$5:$A$76,'분류_규칙'!$N$5:$N$76,0))</x:f>
        <x:v>0</x:v>
      </x:c>
      <x:c r="O784" s="10" t="n">
        <x:f>SUM(XLOOKUP('포켓몬_편집'!$AF784:$AN784,'분류_규칙'!$A$5:$A$76,'분류_규칙'!$O$5:$O$76,0))</x:f>
        <x:v>2</x:v>
      </x:c>
      <x:c r="P784" s="10" t="n">
        <x:f>SUM(XLOOKUP('포켓몬_편집'!$AF784:$AN784,'분류_규칙'!$A$5:$A$76,'분류_규칙'!$P$5:$P$76,0))</x:f>
        <x:v>0</x:v>
      </x:c>
    </x:row>
    <x:row r="785" ht="22" customHeight="1">
      <x:c r="A785" s="5" t="n">
        <x:v>781</x:v>
      </x:c>
      <x:c r="B785" s="5" t="inlineStr">
        <x:is>
          <x:t xml:space="preserve">타타륜</x:t>
        </x:is>
      </x:c>
      <x:c r="C785" s="5" t="inlineStr">
        <x:is>
          <x:t xml:space="preserve">dhelmise</x:t>
        </x:is>
      </x:c>
      <x:c r="D785" s="5" t="n">
        <x:v>7</x:v>
      </x:c>
      <x:c r="E785" s="10" t="n">
        <x:f>SUM(XLOOKUP('포켓몬_편집'!$AF785:$AN785,'분류_규칙'!$A$5:$A$76,'분류_규칙'!$E$5:$E$76,0))</x:f>
        <x:v>0</x:v>
      </x:c>
      <x:c r="F785" s="10" t="n">
        <x:f>SUM(XLOOKUP('포켓몬_편집'!$AF785:$AN785,'분류_규칙'!$A$5:$A$76,'분류_규칙'!$F$5:$F$76,0))</x:f>
        <x:v>0</x:v>
      </x:c>
      <x:c r="G785" s="10" t="n">
        <x:f>SUM(XLOOKUP('포켓몬_편집'!$AF785:$AN785,'분류_규칙'!$A$5:$A$76,'분류_규칙'!$G$5:$G$76,0))</x:f>
        <x:v>0</x:v>
      </x:c>
      <x:c r="H785" s="10" t="n">
        <x:f>SUM(XLOOKUP('포켓몬_편집'!$AF785:$AN785,'분류_규칙'!$A$5:$A$76,'분류_규칙'!$H$5:$H$76,0))</x:f>
        <x:v>0</x:v>
      </x:c>
      <x:c r="I785" s="10" t="n">
        <x:f>SUM(XLOOKUP('포켓몬_편집'!$AF785:$AN785,'분류_규칙'!$A$5:$A$76,'분류_규칙'!$I$5:$I$76,0))</x:f>
        <x:v>0</x:v>
      </x:c>
      <x:c r="J785" s="10" t="n">
        <x:f>SUM(XLOOKUP('포켓몬_편집'!$AF785:$AN785,'분류_규칙'!$A$5:$A$76,'분류_규칙'!$J$5:$J$76,0))</x:f>
        <x:v>3</x:v>
      </x:c>
      <x:c r="K785" s="10" t="n">
        <x:f>SUM(XLOOKUP('포켓몬_편집'!$AF785:$AN785,'분류_규칙'!$A$5:$A$76,'분류_규칙'!$K$5:$K$76,0))</x:f>
        <x:v>0</x:v>
      </x:c>
      <x:c r="L785" s="10" t="n">
        <x:f>SUM(XLOOKUP('포켓몬_편집'!$AF785:$AN785,'분류_규칙'!$A$5:$A$76,'분류_규칙'!$L$5:$L$76,0))</x:f>
        <x:v>30</x:v>
      </x:c>
      <x:c r="M785" s="10" t="n">
        <x:f>SUM(XLOOKUP('포켓몬_편집'!$AF785:$AN785,'분류_규칙'!$A$5:$A$76,'분류_규칙'!$M$5:$M$76,0))</x:f>
        <x:v>0</x:v>
      </x:c>
      <x:c r="N785" s="10" t="n">
        <x:f>SUM(XLOOKUP('포켓몬_편집'!$AF785:$AN785,'분류_규칙'!$A$5:$A$76,'분류_규칙'!$N$5:$N$76,0))</x:f>
        <x:v>0</x:v>
      </x:c>
      <x:c r="O785" s="10" t="n">
        <x:f>SUM(XLOOKUP('포켓몬_편집'!$AF785:$AN785,'분류_규칙'!$A$5:$A$76,'분류_규칙'!$O$5:$O$76,0))</x:f>
        <x:v>0</x:v>
      </x:c>
      <x:c r="P785" s="10" t="n">
        <x:f>SUM(XLOOKUP('포켓몬_편집'!$AF785:$AN785,'분류_규칙'!$A$5:$A$76,'분류_규칙'!$P$5:$P$76,0))</x:f>
        <x:v>0</x:v>
      </x:c>
    </x:row>
    <x:row r="786" ht="22" customHeight="1">
      <x:c r="A786" s="5" t="n">
        <x:v>782</x:v>
      </x:c>
      <x:c r="B786" s="5" t="inlineStr">
        <x:is>
          <x:t xml:space="preserve">짜랑꼬</x:t>
        </x:is>
      </x:c>
      <x:c r="C786" s="5" t="inlineStr">
        <x:is>
          <x:t xml:space="preserve">jangmoo</x:t>
        </x:is>
      </x:c>
      <x:c r="D786" s="5" t="n">
        <x:v>7</x:v>
      </x:c>
      <x:c r="E786" s="10" t="n">
        <x:f>SUM(XLOOKUP('포켓몬_편집'!$AF786:$AN786,'분류_규칙'!$A$5:$A$76,'분류_규칙'!$E$5:$E$76,0))</x:f>
        <x:v>10</x:v>
      </x:c>
      <x:c r="F786" s="10" t="n">
        <x:f>SUM(XLOOKUP('포켓몬_편집'!$AF786:$AN786,'분류_규칙'!$A$5:$A$76,'분류_규칙'!$F$5:$F$76,0))</x:f>
        <x:v>7</x:v>
      </x:c>
      <x:c r="G786" s="10" t="n">
        <x:f>SUM(XLOOKUP('포켓몬_편집'!$AF786:$AN786,'분류_규칙'!$A$5:$A$76,'분류_규칙'!$G$5:$G$76,0))</x:f>
        <x:v>5</x:v>
      </x:c>
      <x:c r="H786" s="10" t="n">
        <x:f>SUM(XLOOKUP('포켓몬_편집'!$AF786:$AN786,'분류_규칙'!$A$5:$A$76,'분류_규칙'!$H$5:$H$76,0))</x:f>
        <x:v>5</x:v>
      </x:c>
      <x:c r="I786" s="10" t="n">
        <x:f>SUM(XLOOKUP('포켓몬_편집'!$AF786:$AN786,'분류_규칙'!$A$5:$A$76,'분류_규칙'!$I$5:$I$76,0))</x:f>
        <x:v>0</x:v>
      </x:c>
      <x:c r="J786" s="10" t="n">
        <x:f>SUM(XLOOKUP('포켓몬_편집'!$AF786:$AN786,'분류_규칙'!$A$5:$A$76,'분류_규칙'!$J$5:$J$76,0))</x:f>
        <x:v>2</x:v>
      </x:c>
      <x:c r="K786" s="10" t="n">
        <x:f>SUM(XLOOKUP('포켓몬_편집'!$AF786:$AN786,'분류_규칙'!$A$5:$A$76,'분류_규칙'!$K$5:$K$76,0))</x:f>
        <x:v>0</x:v>
      </x:c>
      <x:c r="L786" s="10" t="n">
        <x:f>SUM(XLOOKUP('포켓몬_편집'!$AF786:$AN786,'분류_규칙'!$A$5:$A$76,'분류_규칙'!$L$5:$L$76,0))</x:f>
        <x:v>0</x:v>
      </x:c>
      <x:c r="M786" s="10" t="n">
        <x:f>SUM(XLOOKUP('포켓몬_편집'!$AF786:$AN786,'분류_규칙'!$A$5:$A$76,'분류_규칙'!$M$5:$M$76,0))</x:f>
        <x:v>0</x:v>
      </x:c>
      <x:c r="N786" s="10" t="n">
        <x:f>SUM(XLOOKUP('포켓몬_편집'!$AF786:$AN786,'분류_규칙'!$A$5:$A$76,'분류_규칙'!$N$5:$N$76,0))</x:f>
        <x:v>0</x:v>
      </x:c>
      <x:c r="O786" s="10" t="n">
        <x:f>SUM(XLOOKUP('포켓몬_편집'!$AF786:$AN786,'분류_규칙'!$A$5:$A$76,'분류_규칙'!$O$5:$O$76,0))</x:f>
        <x:v>2</x:v>
      </x:c>
      <x:c r="P786" s="10" t="n">
        <x:f>SUM(XLOOKUP('포켓몬_편집'!$AF786:$AN786,'분류_규칙'!$A$5:$A$76,'분류_규칙'!$P$5:$P$76,0))</x:f>
        <x:v>0</x:v>
      </x:c>
    </x:row>
    <x:row r="787" ht="22" customHeight="1">
      <x:c r="A787" s="5" t="n">
        <x:v>783</x:v>
      </x:c>
      <x:c r="B787" s="5" t="inlineStr">
        <x:is>
          <x:t xml:space="preserve">짜랑고우</x:t>
        </x:is>
      </x:c>
      <x:c r="C787" s="5" t="inlineStr">
        <x:is>
          <x:t xml:space="preserve">hakamoo</x:t>
        </x:is>
      </x:c>
      <x:c r="D787" s="5" t="n">
        <x:v>7</x:v>
      </x:c>
      <x:c r="E787" s="10" t="n">
        <x:f>SUM(XLOOKUP('포켓몬_편집'!$AF787:$AN787,'분류_규칙'!$A$5:$A$76,'분류_규칙'!$E$5:$E$76,0))</x:f>
        <x:v>10</x:v>
      </x:c>
      <x:c r="F787" s="10" t="n">
        <x:f>SUM(XLOOKUP('포켓몬_편집'!$AF787:$AN787,'분류_규칙'!$A$5:$A$76,'분류_규칙'!$F$5:$F$76,0))</x:f>
        <x:v>7</x:v>
      </x:c>
      <x:c r="G787" s="10" t="n">
        <x:f>SUM(XLOOKUP('포켓몬_편집'!$AF787:$AN787,'분류_규칙'!$A$5:$A$76,'분류_규칙'!$G$5:$G$76,0))</x:f>
        <x:v>5</x:v>
      </x:c>
      <x:c r="H787" s="10" t="n">
        <x:f>SUM(XLOOKUP('포켓몬_편집'!$AF787:$AN787,'분류_규칙'!$A$5:$A$76,'분류_규칙'!$H$5:$H$76,0))</x:f>
        <x:v>5</x:v>
      </x:c>
      <x:c r="I787" s="10" t="n">
        <x:f>SUM(XLOOKUP('포켓몬_편집'!$AF787:$AN787,'분류_규칙'!$A$5:$A$76,'분류_규칙'!$I$5:$I$76,0))</x:f>
        <x:v>0</x:v>
      </x:c>
      <x:c r="J787" s="10" t="n">
        <x:f>SUM(XLOOKUP('포켓몬_편집'!$AF787:$AN787,'분류_규칙'!$A$5:$A$76,'분류_규칙'!$J$5:$J$76,0))</x:f>
        <x:v>2</x:v>
      </x:c>
      <x:c r="K787" s="10" t="n">
        <x:f>SUM(XLOOKUP('포켓몬_편집'!$AF787:$AN787,'분류_규칙'!$A$5:$A$76,'분류_규칙'!$K$5:$K$76,0))</x:f>
        <x:v>0</x:v>
      </x:c>
      <x:c r="L787" s="10" t="n">
        <x:f>SUM(XLOOKUP('포켓몬_편집'!$AF787:$AN787,'분류_규칙'!$A$5:$A$76,'분류_규칙'!$L$5:$L$76,0))</x:f>
        <x:v>0</x:v>
      </x:c>
      <x:c r="M787" s="10" t="n">
        <x:f>SUM(XLOOKUP('포켓몬_편집'!$AF787:$AN787,'분류_규칙'!$A$5:$A$76,'분류_규칙'!$M$5:$M$76,0))</x:f>
        <x:v>0</x:v>
      </x:c>
      <x:c r="N787" s="10" t="n">
        <x:f>SUM(XLOOKUP('포켓몬_편집'!$AF787:$AN787,'분류_규칙'!$A$5:$A$76,'분류_규칙'!$N$5:$N$76,0))</x:f>
        <x:v>0</x:v>
      </x:c>
      <x:c r="O787" s="10" t="n">
        <x:f>SUM(XLOOKUP('포켓몬_편집'!$AF787:$AN787,'분류_규칙'!$A$5:$A$76,'분류_규칙'!$O$5:$O$76,0))</x:f>
        <x:v>2</x:v>
      </x:c>
      <x:c r="P787" s="10" t="n">
        <x:f>SUM(XLOOKUP('포켓몬_편집'!$AF787:$AN787,'분류_규칙'!$A$5:$A$76,'분류_규칙'!$P$5:$P$76,0))</x:f>
        <x:v>0</x:v>
      </x:c>
    </x:row>
    <x:row r="788" ht="22" customHeight="1">
      <x:c r="A788" s="5" t="n">
        <x:v>784</x:v>
      </x:c>
      <x:c r="B788" s="5" t="inlineStr">
        <x:is>
          <x:t xml:space="preserve">짜랑고우거</x:t>
        </x:is>
      </x:c>
      <x:c r="C788" s="5" t="inlineStr">
        <x:is>
          <x:t xml:space="preserve">kommoo</x:t>
        </x:is>
      </x:c>
      <x:c r="D788" s="5" t="n">
        <x:v>7</x:v>
      </x:c>
      <x:c r="E788" s="10" t="n">
        <x:f>SUM(XLOOKUP('포켓몬_편집'!$AF788:$AN788,'분류_규칙'!$A$5:$A$76,'분류_규칙'!$E$5:$E$76,0))</x:f>
        <x:v>10</x:v>
      </x:c>
      <x:c r="F788" s="10" t="n">
        <x:f>SUM(XLOOKUP('포켓몬_편집'!$AF788:$AN788,'분류_규칙'!$A$5:$A$76,'분류_규칙'!$F$5:$F$76,0))</x:f>
        <x:v>7</x:v>
      </x:c>
      <x:c r="G788" s="10" t="n">
        <x:f>SUM(XLOOKUP('포켓몬_편집'!$AF788:$AN788,'분류_규칙'!$A$5:$A$76,'분류_규칙'!$G$5:$G$76,0))</x:f>
        <x:v>5</x:v>
      </x:c>
      <x:c r="H788" s="10" t="n">
        <x:f>SUM(XLOOKUP('포켓몬_편집'!$AF788:$AN788,'분류_규칙'!$A$5:$A$76,'분류_규칙'!$H$5:$H$76,0))</x:f>
        <x:v>5</x:v>
      </x:c>
      <x:c r="I788" s="10" t="n">
        <x:f>SUM(XLOOKUP('포켓몬_편집'!$AF788:$AN788,'분류_규칙'!$A$5:$A$76,'분류_규칙'!$I$5:$I$76,0))</x:f>
        <x:v>0</x:v>
      </x:c>
      <x:c r="J788" s="10" t="n">
        <x:f>SUM(XLOOKUP('포켓몬_편집'!$AF788:$AN788,'분류_규칙'!$A$5:$A$76,'분류_규칙'!$J$5:$J$76,0))</x:f>
        <x:v>2</x:v>
      </x:c>
      <x:c r="K788" s="10" t="n">
        <x:f>SUM(XLOOKUP('포켓몬_편집'!$AF788:$AN788,'분류_규칙'!$A$5:$A$76,'분류_규칙'!$K$5:$K$76,0))</x:f>
        <x:v>0</x:v>
      </x:c>
      <x:c r="L788" s="10" t="n">
        <x:f>SUM(XLOOKUP('포켓몬_편집'!$AF788:$AN788,'분류_규칙'!$A$5:$A$76,'분류_규칙'!$L$5:$L$76,0))</x:f>
        <x:v>0</x:v>
      </x:c>
      <x:c r="M788" s="10" t="n">
        <x:f>SUM(XLOOKUP('포켓몬_편집'!$AF788:$AN788,'분류_규칙'!$A$5:$A$76,'분류_규칙'!$M$5:$M$76,0))</x:f>
        <x:v>0</x:v>
      </x:c>
      <x:c r="N788" s="10" t="n">
        <x:f>SUM(XLOOKUP('포켓몬_편집'!$AF788:$AN788,'분류_규칙'!$A$5:$A$76,'분류_규칙'!$N$5:$N$76,0))</x:f>
        <x:v>0</x:v>
      </x:c>
      <x:c r="O788" s="10" t="n">
        <x:f>SUM(XLOOKUP('포켓몬_편집'!$AF788:$AN788,'분류_규칙'!$A$5:$A$76,'분류_규칙'!$O$5:$O$76,0))</x:f>
        <x:v>2</x:v>
      </x:c>
      <x:c r="P788" s="10" t="n">
        <x:f>SUM(XLOOKUP('포켓몬_편집'!$AF788:$AN788,'분류_규칙'!$A$5:$A$76,'분류_규칙'!$P$5:$P$76,0))</x:f>
        <x:v>0</x:v>
      </x:c>
    </x:row>
    <x:row r="789" ht="22" customHeight="1">
      <x:c r="A789" s="5" t="n">
        <x:v>785</x:v>
      </x:c>
      <x:c r="B789" s="5" t="inlineStr">
        <x:is>
          <x:t xml:space="preserve">카푸꼬꼬꼭</x:t>
        </x:is>
      </x:c>
      <x:c r="C789" s="5" t="inlineStr">
        <x:is>
          <x:t xml:space="preserve">tapukoko</x:t>
        </x:is>
      </x:c>
      <x:c r="D789" s="5" t="n">
        <x:v>7</x:v>
      </x:c>
      <x:c r="E789" s="10" t="n">
        <x:f>SUM(XLOOKUP('포켓몬_편집'!$AF789:$AN789,'분류_규칙'!$A$5:$A$76,'분류_규칙'!$E$5:$E$76,0))</x:f>
        <x:v>8</x:v>
      </x:c>
      <x:c r="F789" s="10" t="n">
        <x:f>SUM(XLOOKUP('포켓몬_편집'!$AF789:$AN789,'분류_규칙'!$A$5:$A$76,'분류_규칙'!$F$5:$F$76,0))</x:f>
        <x:v>8</x:v>
      </x:c>
      <x:c r="G789" s="10" t="n">
        <x:f>SUM(XLOOKUP('포켓몬_편집'!$AF789:$AN789,'분류_규칙'!$A$5:$A$76,'분류_규칙'!$G$5:$G$76,0))</x:f>
        <x:v>0</x:v>
      </x:c>
      <x:c r="H789" s="10" t="n">
        <x:f>SUM(XLOOKUP('포켓몬_편집'!$AF789:$AN789,'분류_규칙'!$A$5:$A$76,'분류_규칙'!$H$5:$H$76,0))</x:f>
        <x:v>12</x:v>
      </x:c>
      <x:c r="I789" s="10" t="n">
        <x:f>SUM(XLOOKUP('포켓몬_편집'!$AF789:$AN789,'분류_규칙'!$A$5:$A$76,'분류_규칙'!$I$5:$I$76,0))</x:f>
        <x:v>0</x:v>
      </x:c>
      <x:c r="J789" s="10" t="n">
        <x:f>SUM(XLOOKUP('포켓몬_편집'!$AF789:$AN789,'분류_규칙'!$A$5:$A$76,'분류_규칙'!$J$5:$J$76,0))</x:f>
        <x:v>0</x:v>
      </x:c>
      <x:c r="K789" s="10" t="n">
        <x:f>SUM(XLOOKUP('포켓몬_편집'!$AF789:$AN789,'분류_규칙'!$A$5:$A$76,'분류_규칙'!$K$5:$K$76,0))</x:f>
        <x:v>0</x:v>
      </x:c>
      <x:c r="L789" s="10" t="n">
        <x:f>SUM(XLOOKUP('포켓몬_편집'!$AF789:$AN789,'분류_규칙'!$A$5:$A$76,'분류_규칙'!$L$5:$L$76,0))</x:f>
        <x:v>3</x:v>
      </x:c>
      <x:c r="M789" s="10" t="n">
        <x:f>SUM(XLOOKUP('포켓몬_편집'!$AF789:$AN789,'분류_규칙'!$A$5:$A$76,'분류_규칙'!$M$5:$M$76,0))</x:f>
        <x:v>0</x:v>
      </x:c>
      <x:c r="N789" s="10" t="n">
        <x:f>SUM(XLOOKUP('포켓몬_편집'!$AF789:$AN789,'분류_규칙'!$A$5:$A$76,'분류_규칙'!$N$5:$N$76,0))</x:f>
        <x:v>0</x:v>
      </x:c>
      <x:c r="O789" s="10" t="n">
        <x:f>SUM(XLOOKUP('포켓몬_편집'!$AF789:$AN789,'분류_규칙'!$A$5:$A$76,'분류_규칙'!$O$5:$O$76,0))</x:f>
        <x:v>2</x:v>
      </x:c>
      <x:c r="P789" s="10" t="n">
        <x:f>SUM(XLOOKUP('포켓몬_편집'!$AF789:$AN789,'분류_규칙'!$A$5:$A$76,'분류_규칙'!$P$5:$P$76,0))</x:f>
        <x:v>0</x:v>
      </x:c>
    </x:row>
    <x:row r="790" ht="22" customHeight="1">
      <x:c r="A790" s="5" t="n">
        <x:v>786</x:v>
      </x:c>
      <x:c r="B790" s="5" t="inlineStr">
        <x:is>
          <x:t xml:space="preserve">카푸나비나</x:t>
        </x:is>
      </x:c>
      <x:c r="C790" s="5" t="inlineStr">
        <x:is>
          <x:t xml:space="preserve">tapulele</x:t>
        </x:is>
      </x:c>
      <x:c r="D790" s="5" t="n">
        <x:v>7</x:v>
      </x:c>
      <x:c r="E790" s="10" t="n">
        <x:f>SUM(XLOOKUP('포켓몬_편집'!$AF790:$AN790,'분류_규칙'!$A$5:$A$76,'분류_규칙'!$E$5:$E$76,0))</x:f>
        <x:v>0</x:v>
      </x:c>
      <x:c r="F790" s="10" t="n">
        <x:f>SUM(XLOOKUP('포켓몬_편집'!$AF790:$AN790,'분류_규칙'!$A$5:$A$76,'분류_규칙'!$F$5:$F$76,0))</x:f>
        <x:v>0</x:v>
      </x:c>
      <x:c r="G790" s="10" t="n">
        <x:f>SUM(XLOOKUP('포켓몬_편집'!$AF790:$AN790,'분류_규칙'!$A$5:$A$76,'분류_규칙'!$G$5:$G$76,0))</x:f>
        <x:v>0</x:v>
      </x:c>
      <x:c r="H790" s="10" t="n">
        <x:f>SUM(XLOOKUP('포켓몬_편집'!$AF790:$AN790,'분류_규칙'!$A$5:$A$76,'분류_규칙'!$H$5:$H$76,0))</x:f>
        <x:v>0</x:v>
      </x:c>
      <x:c r="I790" s="10" t="n">
        <x:f>SUM(XLOOKUP('포켓몬_편집'!$AF790:$AN790,'분류_규칙'!$A$5:$A$76,'분류_규칙'!$I$5:$I$76,0))</x:f>
        <x:v>0</x:v>
      </x:c>
      <x:c r="J790" s="10" t="n">
        <x:f>SUM(XLOOKUP('포켓몬_편집'!$AF790:$AN790,'분류_규칙'!$A$5:$A$76,'분류_규칙'!$J$5:$J$76,0))</x:f>
        <x:v>3</x:v>
      </x:c>
      <x:c r="K790" s="10" t="n">
        <x:f>SUM(XLOOKUP('포켓몬_편집'!$AF790:$AN790,'분류_규칙'!$A$5:$A$76,'분류_규칙'!$K$5:$K$76,0))</x:f>
        <x:v>0</x:v>
      </x:c>
      <x:c r="L790" s="10" t="n">
        <x:f>SUM(XLOOKUP('포켓몬_편집'!$AF790:$AN790,'분류_규칙'!$A$5:$A$76,'분류_규칙'!$L$5:$L$76,0))</x:f>
        <x:v>30</x:v>
      </x:c>
      <x:c r="M790" s="10" t="n">
        <x:f>SUM(XLOOKUP('포켓몬_편집'!$AF790:$AN790,'분류_규칙'!$A$5:$A$76,'분류_규칙'!$M$5:$M$76,0))</x:f>
        <x:v>0</x:v>
      </x:c>
      <x:c r="N790" s="10" t="n">
        <x:f>SUM(XLOOKUP('포켓몬_편집'!$AF790:$AN790,'분류_규칙'!$A$5:$A$76,'분류_규칙'!$N$5:$N$76,0))</x:f>
        <x:v>0</x:v>
      </x:c>
      <x:c r="O790" s="10" t="n">
        <x:f>SUM(XLOOKUP('포켓몬_편집'!$AF790:$AN790,'분류_규칙'!$A$5:$A$76,'분류_규칙'!$O$5:$O$76,0))</x:f>
        <x:v>0</x:v>
      </x:c>
      <x:c r="P790" s="10" t="n">
        <x:f>SUM(XLOOKUP('포켓몬_편집'!$AF790:$AN790,'분류_규칙'!$A$5:$A$76,'분류_규칙'!$P$5:$P$76,0))</x:f>
        <x:v>0</x:v>
      </x:c>
    </x:row>
    <x:row r="791" ht="22" customHeight="1">
      <x:c r="A791" s="5" t="n">
        <x:v>787</x:v>
      </x:c>
      <x:c r="B791" s="5" t="inlineStr">
        <x:is>
          <x:t xml:space="preserve">카푸브루루</x:t>
        </x:is>
      </x:c>
      <x:c r="C791" s="5" t="inlineStr">
        <x:is>
          <x:t xml:space="preserve">tapubulu</x:t>
        </x:is>
      </x:c>
      <x:c r="D791" s="5" t="n">
        <x:v>7</x:v>
      </x:c>
      <x:c r="E791" s="10" t="n">
        <x:f>SUM(XLOOKUP('포켓몬_편집'!$AF791:$AN791,'분류_규칙'!$A$5:$A$76,'분류_규칙'!$E$5:$E$76,0))</x:f>
        <x:v>0</x:v>
      </x:c>
      <x:c r="F791" s="10" t="n">
        <x:f>SUM(XLOOKUP('포켓몬_편집'!$AF791:$AN791,'분류_규칙'!$A$5:$A$76,'분류_규칙'!$F$5:$F$76,0))</x:f>
        <x:v>0</x:v>
      </x:c>
      <x:c r="G791" s="10" t="n">
        <x:f>SUM(XLOOKUP('포켓몬_편집'!$AF791:$AN791,'분류_규칙'!$A$5:$A$76,'분류_규칙'!$G$5:$G$76,0))</x:f>
        <x:v>0</x:v>
      </x:c>
      <x:c r="H791" s="10" t="n">
        <x:f>SUM(XLOOKUP('포켓몬_편집'!$AF791:$AN791,'분류_규칙'!$A$5:$A$76,'분류_규칙'!$H$5:$H$76,0))</x:f>
        <x:v>0</x:v>
      </x:c>
      <x:c r="I791" s="10" t="n">
        <x:f>SUM(XLOOKUP('포켓몬_편집'!$AF791:$AN791,'분류_규칙'!$A$5:$A$76,'분류_규칙'!$I$5:$I$76,0))</x:f>
        <x:v>0</x:v>
      </x:c>
      <x:c r="J791" s="10" t="n">
        <x:f>SUM(XLOOKUP('포켓몬_편집'!$AF791:$AN791,'분류_규칙'!$A$5:$A$76,'분류_규칙'!$J$5:$J$76,0))</x:f>
        <x:v>12</x:v>
      </x:c>
      <x:c r="K791" s="10" t="n">
        <x:f>SUM(XLOOKUP('포켓몬_편집'!$AF791:$AN791,'분류_규칙'!$A$5:$A$76,'분류_규칙'!$K$5:$K$76,0))</x:f>
        <x:v>30</x:v>
      </x:c>
      <x:c r="L791" s="10" t="n">
        <x:f>SUM(XLOOKUP('포켓몬_편집'!$AF791:$AN791,'분류_규칙'!$A$5:$A$76,'분류_규칙'!$L$5:$L$76,0))</x:f>
        <x:v>0</x:v>
      </x:c>
      <x:c r="M791" s="10" t="n">
        <x:f>SUM(XLOOKUP('포켓몬_편집'!$AF791:$AN791,'분류_규칙'!$A$5:$A$76,'분류_규칙'!$M$5:$M$76,0))</x:f>
        <x:v>0</x:v>
      </x:c>
      <x:c r="N791" s="10" t="n">
        <x:f>SUM(XLOOKUP('포켓몬_편집'!$AF791:$AN791,'분류_규칙'!$A$5:$A$76,'분류_규칙'!$N$5:$N$76,0))</x:f>
        <x:v>0</x:v>
      </x:c>
      <x:c r="O791" s="10" t="n">
        <x:f>SUM(XLOOKUP('포켓몬_편집'!$AF791:$AN791,'분류_규칙'!$A$5:$A$76,'분류_규칙'!$O$5:$O$76,0))</x:f>
        <x:v>0</x:v>
      </x:c>
      <x:c r="P791" s="10" t="n">
        <x:f>SUM(XLOOKUP('포켓몬_편집'!$AF791:$AN791,'분류_규칙'!$A$5:$A$76,'분류_규칙'!$P$5:$P$76,0))</x:f>
        <x:v>0</x:v>
      </x:c>
    </x:row>
    <x:row r="792" ht="22" customHeight="1">
      <x:c r="A792" s="5" t="n">
        <x:v>788</x:v>
      </x:c>
      <x:c r="B792" s="5" t="inlineStr">
        <x:is>
          <x:t xml:space="preserve">카푸느지느</x:t>
        </x:is>
      </x:c>
      <x:c r="C792" s="5" t="inlineStr">
        <x:is>
          <x:t xml:space="preserve">tapufini</x:t>
        </x:is>
      </x:c>
      <x:c r="D792" s="5" t="n">
        <x:v>7</x:v>
      </x:c>
      <x:c r="E792" s="10" t="n">
        <x:f>SUM(XLOOKUP('포켓몬_편집'!$AF792:$AN792,'분류_규칙'!$A$5:$A$76,'분류_규칙'!$E$5:$E$76,0))</x:f>
        <x:v>0</x:v>
      </x:c>
      <x:c r="F792" s="10" t="n">
        <x:f>SUM(XLOOKUP('포켓몬_편집'!$AF792:$AN792,'분류_규칙'!$A$5:$A$76,'분류_규칙'!$F$5:$F$76,0))</x:f>
        <x:v>0</x:v>
      </x:c>
      <x:c r="G792" s="10" t="n">
        <x:f>SUM(XLOOKUP('포켓몬_편집'!$AF792:$AN792,'분류_규칙'!$A$5:$A$76,'분류_규칙'!$G$5:$G$76,0))</x:f>
        <x:v>0</x:v>
      </x:c>
      <x:c r="H792" s="10" t="n">
        <x:f>SUM(XLOOKUP('포켓몬_편집'!$AF792:$AN792,'분류_규칙'!$A$5:$A$76,'분류_규칙'!$H$5:$H$76,0))</x:f>
        <x:v>0</x:v>
      </x:c>
      <x:c r="I792" s="10" t="n">
        <x:f>SUM(XLOOKUP('포켓몬_편집'!$AF792:$AN792,'분류_규칙'!$A$5:$A$76,'분류_규칙'!$I$5:$I$76,0))</x:f>
        <x:v>0</x:v>
      </x:c>
      <x:c r="J792" s="10" t="n">
        <x:f>SUM(XLOOKUP('포켓몬_편집'!$AF792:$AN792,'분류_규칙'!$A$5:$A$76,'분류_규칙'!$J$5:$J$76,0))</x:f>
        <x:v>3</x:v>
      </x:c>
      <x:c r="K792" s="10" t="n">
        <x:f>SUM(XLOOKUP('포켓몬_편집'!$AF792:$AN792,'분류_규칙'!$A$5:$A$76,'분류_규칙'!$K$5:$K$76,0))</x:f>
        <x:v>0</x:v>
      </x:c>
      <x:c r="L792" s="10" t="n">
        <x:f>SUM(XLOOKUP('포켓몬_편집'!$AF792:$AN792,'분류_규칙'!$A$5:$A$76,'분류_규칙'!$L$5:$L$76,0))</x:f>
        <x:v>30</x:v>
      </x:c>
      <x:c r="M792" s="10" t="n">
        <x:f>SUM(XLOOKUP('포켓몬_편집'!$AF792:$AN792,'분류_규칙'!$A$5:$A$76,'분류_규칙'!$M$5:$M$76,0))</x:f>
        <x:v>0</x:v>
      </x:c>
      <x:c r="N792" s="10" t="n">
        <x:f>SUM(XLOOKUP('포켓몬_편집'!$AF792:$AN792,'분류_규칙'!$A$5:$A$76,'분류_규칙'!$N$5:$N$76,0))</x:f>
        <x:v>0</x:v>
      </x:c>
      <x:c r="O792" s="10" t="n">
        <x:f>SUM(XLOOKUP('포켓몬_편집'!$AF792:$AN792,'분류_규칙'!$A$5:$A$76,'분류_규칙'!$O$5:$O$76,0))</x:f>
        <x:v>0</x:v>
      </x:c>
      <x:c r="P792" s="10" t="n">
        <x:f>SUM(XLOOKUP('포켓몬_편집'!$AF792:$AN792,'분류_규칙'!$A$5:$A$76,'분류_규칙'!$P$5:$P$76,0))</x:f>
        <x:v>0</x:v>
      </x:c>
    </x:row>
    <x:row r="793" ht="22" customHeight="1">
      <x:c r="A793" s="5" t="n">
        <x:v>789</x:v>
      </x:c>
      <x:c r="B793" s="5" t="inlineStr">
        <x:is>
          <x:t xml:space="preserve">코스모그</x:t>
        </x:is>
      </x:c>
      <x:c r="C793" s="5" t="inlineStr">
        <x:is>
          <x:t xml:space="preserve">cosmog</x:t>
        </x:is>
      </x:c>
      <x:c r="D793" s="5" t="n">
        <x:v>7</x:v>
      </x:c>
      <x:c r="E793" s="10" t="n">
        <x:f>SUM(XLOOKUP('포켓몬_편집'!$AF793:$AN793,'분류_규칙'!$A$5:$A$76,'분류_규칙'!$E$5:$E$76,0))</x:f>
        <x:v>8</x:v>
      </x:c>
      <x:c r="F793" s="10" t="n">
        <x:f>SUM(XLOOKUP('포켓몬_편집'!$AF793:$AN793,'분류_규칙'!$A$5:$A$76,'분류_규칙'!$F$5:$F$76,0))</x:f>
        <x:v>8</x:v>
      </x:c>
      <x:c r="G793" s="10" t="n">
        <x:f>SUM(XLOOKUP('포켓몬_편집'!$AF793:$AN793,'분류_규칙'!$A$5:$A$76,'분류_규칙'!$G$5:$G$76,0))</x:f>
        <x:v>0</x:v>
      </x:c>
      <x:c r="H793" s="10" t="n">
        <x:f>SUM(XLOOKUP('포켓몬_편집'!$AF793:$AN793,'분류_규칙'!$A$5:$A$76,'분류_규칙'!$H$5:$H$76,0))</x:f>
        <x:v>12</x:v>
      </x:c>
      <x:c r="I793" s="10" t="n">
        <x:f>SUM(XLOOKUP('포켓몬_편집'!$AF793:$AN793,'분류_규칙'!$A$5:$A$76,'분류_규칙'!$I$5:$I$76,0))</x:f>
        <x:v>0</x:v>
      </x:c>
      <x:c r="J793" s="10" t="n">
        <x:f>SUM(XLOOKUP('포켓몬_편집'!$AF793:$AN793,'분류_규칙'!$A$5:$A$76,'분류_규칙'!$J$5:$J$76,0))</x:f>
        <x:v>0</x:v>
      </x:c>
      <x:c r="K793" s="10" t="n">
        <x:f>SUM(XLOOKUP('포켓몬_편집'!$AF793:$AN793,'분류_규칙'!$A$5:$A$76,'분류_규칙'!$K$5:$K$76,0))</x:f>
        <x:v>0</x:v>
      </x:c>
      <x:c r="L793" s="10" t="n">
        <x:f>SUM(XLOOKUP('포켓몬_편집'!$AF793:$AN793,'분류_규칙'!$A$5:$A$76,'분류_규칙'!$L$5:$L$76,0))</x:f>
        <x:v>3</x:v>
      </x:c>
      <x:c r="M793" s="10" t="n">
        <x:f>SUM(XLOOKUP('포켓몬_편집'!$AF793:$AN793,'분류_규칙'!$A$5:$A$76,'분류_규칙'!$M$5:$M$76,0))</x:f>
        <x:v>0</x:v>
      </x:c>
      <x:c r="N793" s="10" t="n">
        <x:f>SUM(XLOOKUP('포켓몬_편집'!$AF793:$AN793,'분류_규칙'!$A$5:$A$76,'분류_규칙'!$N$5:$N$76,0))</x:f>
        <x:v>0</x:v>
      </x:c>
      <x:c r="O793" s="10" t="n">
        <x:f>SUM(XLOOKUP('포켓몬_편집'!$AF793:$AN793,'분류_규칙'!$A$5:$A$76,'분류_규칙'!$O$5:$O$76,0))</x:f>
        <x:v>2</x:v>
      </x:c>
      <x:c r="P793" s="10" t="n">
        <x:f>SUM(XLOOKUP('포켓몬_편집'!$AF793:$AN793,'분류_규칙'!$A$5:$A$76,'분류_규칙'!$P$5:$P$76,0))</x:f>
        <x:v>0</x:v>
      </x:c>
    </x:row>
    <x:row r="794" ht="22" customHeight="1">
      <x:c r="A794" s="5" t="n">
        <x:v>790</x:v>
      </x:c>
      <x:c r="B794" s="5" t="inlineStr">
        <x:is>
          <x:t xml:space="preserve">코스모움</x:t>
        </x:is>
      </x:c>
      <x:c r="C794" s="5" t="inlineStr">
        <x:is>
          <x:t xml:space="preserve">cosmoem</x:t>
        </x:is>
      </x:c>
      <x:c r="D794" s="5" t="n">
        <x:v>7</x:v>
      </x:c>
      <x:c r="E794" s="10" t="n">
        <x:f>SUM(XLOOKUP('포켓몬_편집'!$AF794:$AN794,'분류_규칙'!$A$5:$A$76,'분류_규칙'!$E$5:$E$76,0))</x:f>
        <x:v>8</x:v>
      </x:c>
      <x:c r="F794" s="10" t="n">
        <x:f>SUM(XLOOKUP('포켓몬_편집'!$AF794:$AN794,'분류_규칙'!$A$5:$A$76,'분류_규칙'!$F$5:$F$76,0))</x:f>
        <x:v>8</x:v>
      </x:c>
      <x:c r="G794" s="10" t="n">
        <x:f>SUM(XLOOKUP('포켓몬_편집'!$AF794:$AN794,'분류_규칙'!$A$5:$A$76,'분류_규칙'!$G$5:$G$76,0))</x:f>
        <x:v>0</x:v>
      </x:c>
      <x:c r="H794" s="10" t="n">
        <x:f>SUM(XLOOKUP('포켓몬_편집'!$AF794:$AN794,'분류_규칙'!$A$5:$A$76,'분류_규칙'!$H$5:$H$76,0))</x:f>
        <x:v>12</x:v>
      </x:c>
      <x:c r="I794" s="10" t="n">
        <x:f>SUM(XLOOKUP('포켓몬_편집'!$AF794:$AN794,'분류_규칙'!$A$5:$A$76,'분류_규칙'!$I$5:$I$76,0))</x:f>
        <x:v>0</x:v>
      </x:c>
      <x:c r="J794" s="10" t="n">
        <x:f>SUM(XLOOKUP('포켓몬_편집'!$AF794:$AN794,'분류_규칙'!$A$5:$A$76,'분류_규칙'!$J$5:$J$76,0))</x:f>
        <x:v>0</x:v>
      </x:c>
      <x:c r="K794" s="10" t="n">
        <x:f>SUM(XLOOKUP('포켓몬_편집'!$AF794:$AN794,'분류_규칙'!$A$5:$A$76,'분류_규칙'!$K$5:$K$76,0))</x:f>
        <x:v>0</x:v>
      </x:c>
      <x:c r="L794" s="10" t="n">
        <x:f>SUM(XLOOKUP('포켓몬_편집'!$AF794:$AN794,'분류_규칙'!$A$5:$A$76,'분류_규칙'!$L$5:$L$76,0))</x:f>
        <x:v>3</x:v>
      </x:c>
      <x:c r="M794" s="10" t="n">
        <x:f>SUM(XLOOKUP('포켓몬_편집'!$AF794:$AN794,'분류_규칙'!$A$5:$A$76,'분류_규칙'!$M$5:$M$76,0))</x:f>
        <x:v>0</x:v>
      </x:c>
      <x:c r="N794" s="10" t="n">
        <x:f>SUM(XLOOKUP('포켓몬_편집'!$AF794:$AN794,'분류_규칙'!$A$5:$A$76,'분류_규칙'!$N$5:$N$76,0))</x:f>
        <x:v>0</x:v>
      </x:c>
      <x:c r="O794" s="10" t="n">
        <x:f>SUM(XLOOKUP('포켓몬_편집'!$AF794:$AN794,'분류_규칙'!$A$5:$A$76,'분류_규칙'!$O$5:$O$76,0))</x:f>
        <x:v>2</x:v>
      </x:c>
      <x:c r="P794" s="10" t="n">
        <x:f>SUM(XLOOKUP('포켓몬_편집'!$AF794:$AN794,'분류_규칙'!$A$5:$A$76,'분류_규칙'!$P$5:$P$76,0))</x:f>
        <x:v>0</x:v>
      </x:c>
    </x:row>
    <x:row r="795" ht="22" customHeight="1">
      <x:c r="A795" s="5" t="n">
        <x:v>791</x:v>
      </x:c>
      <x:c r="B795" s="5" t="inlineStr">
        <x:is>
          <x:t xml:space="preserve">솔가레오</x:t>
        </x:is>
      </x:c>
      <x:c r="C795" s="5" t="inlineStr">
        <x:is>
          <x:t xml:space="preserve">solgaleo</x:t>
        </x:is>
      </x:c>
      <x:c r="D795" s="5" t="n">
        <x:v>7</x:v>
      </x:c>
      <x:c r="E795" s="10" t="n">
        <x:f>SUM(XLOOKUP('포켓몬_편집'!$AF795:$AN795,'분류_규칙'!$A$5:$A$76,'분류_규칙'!$E$5:$E$76,0))</x:f>
        <x:v>8</x:v>
      </x:c>
      <x:c r="F795" s="10" t="n">
        <x:f>SUM(XLOOKUP('포켓몬_편집'!$AF795:$AN795,'분류_규칙'!$A$5:$A$76,'분류_규칙'!$F$5:$F$76,0))</x:f>
        <x:v>8</x:v>
      </x:c>
      <x:c r="G795" s="10" t="n">
        <x:f>SUM(XLOOKUP('포켓몬_편집'!$AF795:$AN795,'분류_규칙'!$A$5:$A$76,'분류_규칙'!$G$5:$G$76,0))</x:f>
        <x:v>0</x:v>
      </x:c>
      <x:c r="H795" s="10" t="n">
        <x:f>SUM(XLOOKUP('포켓몬_편집'!$AF795:$AN795,'분류_규칙'!$A$5:$A$76,'분류_규칙'!$H$5:$H$76,0))</x:f>
        <x:v>12</x:v>
      </x:c>
      <x:c r="I795" s="10" t="n">
        <x:f>SUM(XLOOKUP('포켓몬_편집'!$AF795:$AN795,'분류_규칙'!$A$5:$A$76,'분류_규칙'!$I$5:$I$76,0))</x:f>
        <x:v>0</x:v>
      </x:c>
      <x:c r="J795" s="10" t="n">
        <x:f>SUM(XLOOKUP('포켓몬_편집'!$AF795:$AN795,'분류_규칙'!$A$5:$A$76,'분류_규칙'!$J$5:$J$76,0))</x:f>
        <x:v>0</x:v>
      </x:c>
      <x:c r="K795" s="10" t="n">
        <x:f>SUM(XLOOKUP('포켓몬_편집'!$AF795:$AN795,'분류_규칙'!$A$5:$A$76,'분류_규칙'!$K$5:$K$76,0))</x:f>
        <x:v>0</x:v>
      </x:c>
      <x:c r="L795" s="10" t="n">
        <x:f>SUM(XLOOKUP('포켓몬_편집'!$AF795:$AN795,'분류_규칙'!$A$5:$A$76,'분류_규칙'!$L$5:$L$76,0))</x:f>
        <x:v>3</x:v>
      </x:c>
      <x:c r="M795" s="10" t="n">
        <x:f>SUM(XLOOKUP('포켓몬_편집'!$AF795:$AN795,'분류_규칙'!$A$5:$A$76,'분류_규칙'!$M$5:$M$76,0))</x:f>
        <x:v>0</x:v>
      </x:c>
      <x:c r="N795" s="10" t="n">
        <x:f>SUM(XLOOKUP('포켓몬_편집'!$AF795:$AN795,'분류_규칙'!$A$5:$A$76,'분류_규칙'!$N$5:$N$76,0))</x:f>
        <x:v>0</x:v>
      </x:c>
      <x:c r="O795" s="10" t="n">
        <x:f>SUM(XLOOKUP('포켓몬_편집'!$AF795:$AN795,'분류_규칙'!$A$5:$A$76,'분류_규칙'!$O$5:$O$76,0))</x:f>
        <x:v>2</x:v>
      </x:c>
      <x:c r="P795" s="10" t="n">
        <x:f>SUM(XLOOKUP('포켓몬_편집'!$AF795:$AN795,'분류_규칙'!$A$5:$A$76,'분류_규칙'!$P$5:$P$76,0))</x:f>
        <x:v>0</x:v>
      </x:c>
    </x:row>
    <x:row r="796" ht="22" customHeight="1">
      <x:c r="A796" s="5" t="n">
        <x:v>792</x:v>
      </x:c>
      <x:c r="B796" s="5" t="inlineStr">
        <x:is>
          <x:t xml:space="preserve">루나아라</x:t>
        </x:is>
      </x:c>
      <x:c r="C796" s="5" t="inlineStr">
        <x:is>
          <x:t xml:space="preserve">lunala</x:t>
        </x:is>
      </x:c>
      <x:c r="D796" s="5" t="n">
        <x:v>7</x:v>
      </x:c>
      <x:c r="E796" s="10" t="n">
        <x:f>SUM(XLOOKUP('포켓몬_편집'!$AF796:$AN796,'분류_규칙'!$A$5:$A$76,'분류_규칙'!$E$5:$E$76,0))</x:f>
        <x:v>0</x:v>
      </x:c>
      <x:c r="F796" s="10" t="n">
        <x:f>SUM(XLOOKUP('포켓몬_편집'!$AF796:$AN796,'분류_규칙'!$A$5:$A$76,'분류_규칙'!$F$5:$F$76,0))</x:f>
        <x:v>0</x:v>
      </x:c>
      <x:c r="G796" s="10" t="n">
        <x:f>SUM(XLOOKUP('포켓몬_편집'!$AF796:$AN796,'분류_규칙'!$A$5:$A$76,'분류_규칙'!$G$5:$G$76,0))</x:f>
        <x:v>0</x:v>
      </x:c>
      <x:c r="H796" s="10" t="n">
        <x:f>SUM(XLOOKUP('포켓몬_편집'!$AF796:$AN796,'분류_규칙'!$A$5:$A$76,'분류_규칙'!$H$5:$H$76,0))</x:f>
        <x:v>0</x:v>
      </x:c>
      <x:c r="I796" s="10" t="n">
        <x:f>SUM(XLOOKUP('포켓몬_편집'!$AF796:$AN796,'분류_규칙'!$A$5:$A$76,'분류_규칙'!$I$5:$I$76,0))</x:f>
        <x:v>10</x:v>
      </x:c>
      <x:c r="J796" s="10" t="n">
        <x:f>SUM(XLOOKUP('포켓몬_편집'!$AF796:$AN796,'분류_규칙'!$A$5:$A$76,'분류_규칙'!$J$5:$J$76,0))</x:f>
        <x:v>0</x:v>
      </x:c>
      <x:c r="K796" s="10" t="n">
        <x:f>SUM(XLOOKUP('포켓몬_편집'!$AF796:$AN796,'분류_규칙'!$A$5:$A$76,'분류_규칙'!$K$5:$K$76,0))</x:f>
        <x:v>0</x:v>
      </x:c>
      <x:c r="L796" s="10" t="n">
        <x:f>SUM(XLOOKUP('포켓몬_편집'!$AF796:$AN796,'분류_규칙'!$A$5:$A$76,'분류_규칙'!$L$5:$L$76,0))</x:f>
        <x:v>0</x:v>
      </x:c>
      <x:c r="M796" s="10" t="n">
        <x:f>SUM(XLOOKUP('포켓몬_편집'!$AF796:$AN796,'분류_규칙'!$A$5:$A$76,'분류_규칙'!$M$5:$M$76,0))</x:f>
        <x:v>0</x:v>
      </x:c>
      <x:c r="N796" s="10" t="n">
        <x:f>SUM(XLOOKUP('포켓몬_편집'!$AF796:$AN796,'분류_규칙'!$A$5:$A$76,'분류_규칙'!$N$5:$N$76,0))</x:f>
        <x:v>0</x:v>
      </x:c>
      <x:c r="O796" s="10" t="n">
        <x:f>SUM(XLOOKUP('포켓몬_편집'!$AF796:$AN796,'분류_규칙'!$A$5:$A$76,'분류_규칙'!$O$5:$O$76,0))</x:f>
        <x:v>5</x:v>
      </x:c>
      <x:c r="P796" s="10" t="n">
        <x:f>SUM(XLOOKUP('포켓몬_편집'!$AF796:$AN796,'분류_규칙'!$A$5:$A$76,'분류_규칙'!$P$5:$P$76,0))</x:f>
        <x:v>25</x:v>
      </x:c>
    </x:row>
    <x:row r="797" ht="22" customHeight="1">
      <x:c r="A797" s="5" t="n">
        <x:v>793</x:v>
      </x:c>
      <x:c r="B797" s="5" t="inlineStr">
        <x:is>
          <x:t xml:space="preserve">텅비드</x:t>
        </x:is>
      </x:c>
      <x:c r="C797" s="5" t="inlineStr">
        <x:is>
          <x:t xml:space="preserve">nihilego</x:t>
        </x:is>
      </x:c>
      <x:c r="D797" s="5" t="n">
        <x:v>7</x:v>
      </x:c>
      <x:c r="E797" s="10" t="n">
        <x:f>SUM(XLOOKUP('포켓몬_편집'!$AF797:$AN797,'분류_규칙'!$A$5:$A$76,'분류_규칙'!$E$5:$E$76,0))</x:f>
        <x:v>0</x:v>
      </x:c>
      <x:c r="F797" s="10" t="n">
        <x:f>SUM(XLOOKUP('포켓몬_편집'!$AF797:$AN797,'분류_규칙'!$A$5:$A$76,'분류_규칙'!$F$5:$F$76,0))</x:f>
        <x:v>0</x:v>
      </x:c>
      <x:c r="G797" s="10" t="n">
        <x:f>SUM(XLOOKUP('포켓몬_편집'!$AF797:$AN797,'분류_규칙'!$A$5:$A$76,'분류_규칙'!$G$5:$G$76,0))</x:f>
        <x:v>0</x:v>
      </x:c>
      <x:c r="H797" s="10" t="n">
        <x:f>SUM(XLOOKUP('포켓몬_편집'!$AF797:$AN797,'분류_규칙'!$A$5:$A$76,'분류_규칙'!$H$5:$H$76,0))</x:f>
        <x:v>0</x:v>
      </x:c>
      <x:c r="I797" s="10" t="n">
        <x:f>SUM(XLOOKUP('포켓몬_편집'!$AF797:$AN797,'분류_규칙'!$A$5:$A$76,'분류_규칙'!$I$5:$I$76,0))</x:f>
        <x:v>0</x:v>
      </x:c>
      <x:c r="J797" s="10" t="n">
        <x:f>SUM(XLOOKUP('포켓몬_편집'!$AF797:$AN797,'분류_규칙'!$A$5:$A$76,'분류_규칙'!$J$5:$J$76,0))</x:f>
        <x:v>3</x:v>
      </x:c>
      <x:c r="K797" s="10" t="n">
        <x:f>SUM(XLOOKUP('포켓몬_편집'!$AF797:$AN797,'분류_규칙'!$A$5:$A$76,'분류_규칙'!$K$5:$K$76,0))</x:f>
        <x:v>0</x:v>
      </x:c>
      <x:c r="L797" s="10" t="n">
        <x:f>SUM(XLOOKUP('포켓몬_편집'!$AF797:$AN797,'분류_규칙'!$A$5:$A$76,'분류_규칙'!$L$5:$L$76,0))</x:f>
        <x:v>30</x:v>
      </x:c>
      <x:c r="M797" s="10" t="n">
        <x:f>SUM(XLOOKUP('포켓몬_편집'!$AF797:$AN797,'분류_규칙'!$A$5:$A$76,'분류_규칙'!$M$5:$M$76,0))</x:f>
        <x:v>0</x:v>
      </x:c>
      <x:c r="N797" s="10" t="n">
        <x:f>SUM(XLOOKUP('포켓몬_편집'!$AF797:$AN797,'분류_규칙'!$A$5:$A$76,'분류_규칙'!$N$5:$N$76,0))</x:f>
        <x:v>0</x:v>
      </x:c>
      <x:c r="O797" s="10" t="n">
        <x:f>SUM(XLOOKUP('포켓몬_편집'!$AF797:$AN797,'분류_규칙'!$A$5:$A$76,'분류_규칙'!$O$5:$O$76,0))</x:f>
        <x:v>0</x:v>
      </x:c>
      <x:c r="P797" s="10" t="n">
        <x:f>SUM(XLOOKUP('포켓몬_편집'!$AF797:$AN797,'분류_규칙'!$A$5:$A$76,'분류_규칙'!$P$5:$P$76,0))</x:f>
        <x:v>0</x:v>
      </x:c>
    </x:row>
    <x:row r="798" ht="22" customHeight="1">
      <x:c r="A798" s="5" t="n">
        <x:v>794</x:v>
      </x:c>
      <x:c r="B798" s="5" t="inlineStr">
        <x:is>
          <x:t xml:space="preserve">매시붕</x:t>
        </x:is>
      </x:c>
      <x:c r="C798" s="5" t="inlineStr">
        <x:is>
          <x:t xml:space="preserve">buzzwole</x:t>
        </x:is>
      </x:c>
      <x:c r="D798" s="5" t="n">
        <x:v>7</x:v>
      </x:c>
      <x:c r="E798" s="10" t="n">
        <x:f>SUM(XLOOKUP('포켓몬_편집'!$AF798:$AN798,'분류_규칙'!$A$5:$A$76,'분류_규칙'!$E$5:$E$76,0))</x:f>
        <x:v>8</x:v>
      </x:c>
      <x:c r="F798" s="10" t="n">
        <x:f>SUM(XLOOKUP('포켓몬_편집'!$AF798:$AN798,'분류_규칙'!$A$5:$A$76,'분류_규칙'!$F$5:$F$76,0))</x:f>
        <x:v>8</x:v>
      </x:c>
      <x:c r="G798" s="10" t="n">
        <x:f>SUM(XLOOKUP('포켓몬_편집'!$AF798:$AN798,'분류_규칙'!$A$5:$A$76,'분류_규칙'!$G$5:$G$76,0))</x:f>
        <x:v>0</x:v>
      </x:c>
      <x:c r="H798" s="10" t="n">
        <x:f>SUM(XLOOKUP('포켓몬_편집'!$AF798:$AN798,'분류_규칙'!$A$5:$A$76,'분류_규칙'!$H$5:$H$76,0))</x:f>
        <x:v>12</x:v>
      </x:c>
      <x:c r="I798" s="10" t="n">
        <x:f>SUM(XLOOKUP('포켓몬_편집'!$AF798:$AN798,'분류_규칙'!$A$5:$A$76,'분류_규칙'!$I$5:$I$76,0))</x:f>
        <x:v>0</x:v>
      </x:c>
      <x:c r="J798" s="10" t="n">
        <x:f>SUM(XLOOKUP('포켓몬_편집'!$AF798:$AN798,'분류_규칙'!$A$5:$A$76,'분류_규칙'!$J$5:$J$76,0))</x:f>
        <x:v>0</x:v>
      </x:c>
      <x:c r="K798" s="10" t="n">
        <x:f>SUM(XLOOKUP('포켓몬_편집'!$AF798:$AN798,'분류_규칙'!$A$5:$A$76,'분류_규칙'!$K$5:$K$76,0))</x:f>
        <x:v>0</x:v>
      </x:c>
      <x:c r="L798" s="10" t="n">
        <x:f>SUM(XLOOKUP('포켓몬_편집'!$AF798:$AN798,'분류_규칙'!$A$5:$A$76,'분류_규칙'!$L$5:$L$76,0))</x:f>
        <x:v>3</x:v>
      </x:c>
      <x:c r="M798" s="10" t="n">
        <x:f>SUM(XLOOKUP('포켓몬_편집'!$AF798:$AN798,'분류_규칙'!$A$5:$A$76,'분류_규칙'!$M$5:$M$76,0))</x:f>
        <x:v>0</x:v>
      </x:c>
      <x:c r="N798" s="10" t="n">
        <x:f>SUM(XLOOKUP('포켓몬_편집'!$AF798:$AN798,'분류_규칙'!$A$5:$A$76,'분류_규칙'!$N$5:$N$76,0))</x:f>
        <x:v>0</x:v>
      </x:c>
      <x:c r="O798" s="10" t="n">
        <x:f>SUM(XLOOKUP('포켓몬_편집'!$AF798:$AN798,'분류_규칙'!$A$5:$A$76,'분류_규칙'!$O$5:$O$76,0))</x:f>
        <x:v>2</x:v>
      </x:c>
      <x:c r="P798" s="10" t="n">
        <x:f>SUM(XLOOKUP('포켓몬_편집'!$AF798:$AN798,'분류_규칙'!$A$5:$A$76,'분류_규칙'!$P$5:$P$76,0))</x:f>
        <x:v>0</x:v>
      </x:c>
    </x:row>
    <x:row r="799" ht="22" customHeight="1">
      <x:c r="A799" s="5" t="n">
        <x:v>795</x:v>
      </x:c>
      <x:c r="B799" s="5" t="inlineStr">
        <x:is>
          <x:t xml:space="preserve">페로코체</x:t>
        </x:is>
      </x:c>
      <x:c r="C799" s="5" t="inlineStr">
        <x:is>
          <x:t xml:space="preserve">pheromosa</x:t>
        </x:is>
      </x:c>
      <x:c r="D799" s="5" t="n">
        <x:v>7</x:v>
      </x:c>
      <x:c r="E799" s="10" t="n">
        <x:f>SUM(XLOOKUP('포켓몬_편집'!$AF799:$AN799,'분류_규칙'!$A$5:$A$76,'분류_규칙'!$E$5:$E$76,0))</x:f>
        <x:v>8</x:v>
      </x:c>
      <x:c r="F799" s="10" t="n">
        <x:f>SUM(XLOOKUP('포켓몬_편집'!$AF799:$AN799,'분류_규칙'!$A$5:$A$76,'분류_규칙'!$F$5:$F$76,0))</x:f>
        <x:v>8</x:v>
      </x:c>
      <x:c r="G799" s="10" t="n">
        <x:f>SUM(XLOOKUP('포켓몬_편집'!$AF799:$AN799,'분류_규칙'!$A$5:$A$76,'분류_규칙'!$G$5:$G$76,0))</x:f>
        <x:v>0</x:v>
      </x:c>
      <x:c r="H799" s="10" t="n">
        <x:f>SUM(XLOOKUP('포켓몬_편집'!$AF799:$AN799,'분류_규칙'!$A$5:$A$76,'분류_규칙'!$H$5:$H$76,0))</x:f>
        <x:v>12</x:v>
      </x:c>
      <x:c r="I799" s="10" t="n">
        <x:f>SUM(XLOOKUP('포켓몬_편집'!$AF799:$AN799,'분류_규칙'!$A$5:$A$76,'분류_규칙'!$I$5:$I$76,0))</x:f>
        <x:v>0</x:v>
      </x:c>
      <x:c r="J799" s="10" t="n">
        <x:f>SUM(XLOOKUP('포켓몬_편집'!$AF799:$AN799,'분류_규칙'!$A$5:$A$76,'분류_규칙'!$J$5:$J$76,0))</x:f>
        <x:v>0</x:v>
      </x:c>
      <x:c r="K799" s="10" t="n">
        <x:f>SUM(XLOOKUP('포켓몬_편집'!$AF799:$AN799,'분류_규칙'!$A$5:$A$76,'분류_규칙'!$K$5:$K$76,0))</x:f>
        <x:v>0</x:v>
      </x:c>
      <x:c r="L799" s="10" t="n">
        <x:f>SUM(XLOOKUP('포켓몬_편집'!$AF799:$AN799,'분류_규칙'!$A$5:$A$76,'분류_규칙'!$L$5:$L$76,0))</x:f>
        <x:v>3</x:v>
      </x:c>
      <x:c r="M799" s="10" t="n">
        <x:f>SUM(XLOOKUP('포켓몬_편집'!$AF799:$AN799,'분류_규칙'!$A$5:$A$76,'분류_규칙'!$M$5:$M$76,0))</x:f>
        <x:v>0</x:v>
      </x:c>
      <x:c r="N799" s="10" t="n">
        <x:f>SUM(XLOOKUP('포켓몬_편집'!$AF799:$AN799,'분류_규칙'!$A$5:$A$76,'분류_규칙'!$N$5:$N$76,0))</x:f>
        <x:v>0</x:v>
      </x:c>
      <x:c r="O799" s="10" t="n">
        <x:f>SUM(XLOOKUP('포켓몬_편집'!$AF799:$AN799,'분류_규칙'!$A$5:$A$76,'분류_규칙'!$O$5:$O$76,0))</x:f>
        <x:v>2</x:v>
      </x:c>
      <x:c r="P799" s="10" t="n">
        <x:f>SUM(XLOOKUP('포켓몬_편집'!$AF799:$AN799,'분류_규칙'!$A$5:$A$76,'분류_규칙'!$P$5:$P$76,0))</x:f>
        <x:v>0</x:v>
      </x:c>
    </x:row>
    <x:row r="800" ht="22" customHeight="1">
      <x:c r="A800" s="5" t="n">
        <x:v>796</x:v>
      </x:c>
      <x:c r="B800" s="5" t="inlineStr">
        <x:is>
          <x:t xml:space="preserve">전수목</x:t>
        </x:is>
      </x:c>
      <x:c r="C800" s="5" t="inlineStr">
        <x:is>
          <x:t xml:space="preserve">xurkitree</x:t>
        </x:is>
      </x:c>
      <x:c r="D800" s="5" t="n">
        <x:v>7</x:v>
      </x:c>
      <x:c r="E800" s="10" t="n">
        <x:f>SUM(XLOOKUP('포켓몬_편집'!$AF800:$AN800,'분류_규칙'!$A$5:$A$76,'분류_규칙'!$E$5:$E$76,0))</x:f>
        <x:v>10</x:v>
      </x:c>
      <x:c r="F800" s="10" t="n">
        <x:f>SUM(XLOOKUP('포켓몬_편집'!$AF800:$AN800,'분류_규칙'!$A$5:$A$76,'분류_규칙'!$F$5:$F$76,0))</x:f>
        <x:v>7</x:v>
      </x:c>
      <x:c r="G800" s="10" t="n">
        <x:f>SUM(XLOOKUP('포켓몬_편집'!$AF800:$AN800,'분류_규칙'!$A$5:$A$76,'분류_규칙'!$G$5:$G$76,0))</x:f>
        <x:v>5</x:v>
      </x:c>
      <x:c r="H800" s="10" t="n">
        <x:f>SUM(XLOOKUP('포켓몬_편집'!$AF800:$AN800,'분류_규칙'!$A$5:$A$76,'분류_규칙'!$H$5:$H$76,0))</x:f>
        <x:v>5</x:v>
      </x:c>
      <x:c r="I800" s="10" t="n">
        <x:f>SUM(XLOOKUP('포켓몬_편집'!$AF800:$AN800,'분류_규칙'!$A$5:$A$76,'분류_규칙'!$I$5:$I$76,0))</x:f>
        <x:v>0</x:v>
      </x:c>
      <x:c r="J800" s="10" t="n">
        <x:f>SUM(XLOOKUP('포켓몬_편집'!$AF800:$AN800,'분류_규칙'!$A$5:$A$76,'분류_규칙'!$J$5:$J$76,0))</x:f>
        <x:v>2</x:v>
      </x:c>
      <x:c r="K800" s="10" t="n">
        <x:f>SUM(XLOOKUP('포켓몬_편집'!$AF800:$AN800,'분류_규칙'!$A$5:$A$76,'분류_규칙'!$K$5:$K$76,0))</x:f>
        <x:v>0</x:v>
      </x:c>
      <x:c r="L800" s="10" t="n">
        <x:f>SUM(XLOOKUP('포켓몬_편집'!$AF800:$AN800,'분류_규칙'!$A$5:$A$76,'분류_규칙'!$L$5:$L$76,0))</x:f>
        <x:v>0</x:v>
      </x:c>
      <x:c r="M800" s="10" t="n">
        <x:f>SUM(XLOOKUP('포켓몬_편집'!$AF800:$AN800,'분류_규칙'!$A$5:$A$76,'분류_규칙'!$M$5:$M$76,0))</x:f>
        <x:v>0</x:v>
      </x:c>
      <x:c r="N800" s="10" t="n">
        <x:f>SUM(XLOOKUP('포켓몬_편집'!$AF800:$AN800,'분류_규칙'!$A$5:$A$76,'분류_규칙'!$N$5:$N$76,0))</x:f>
        <x:v>0</x:v>
      </x:c>
      <x:c r="O800" s="10" t="n">
        <x:f>SUM(XLOOKUP('포켓몬_편집'!$AF800:$AN800,'분류_규칙'!$A$5:$A$76,'분류_규칙'!$O$5:$O$76,0))</x:f>
        <x:v>2</x:v>
      </x:c>
      <x:c r="P800" s="10" t="n">
        <x:f>SUM(XLOOKUP('포켓몬_편집'!$AF800:$AN800,'분류_규칙'!$A$5:$A$76,'분류_규칙'!$P$5:$P$76,0))</x:f>
        <x:v>0</x:v>
      </x:c>
    </x:row>
    <x:row r="801" ht="22" customHeight="1">
      <x:c r="A801" s="5" t="n">
        <x:v>797</x:v>
      </x:c>
      <x:c r="B801" s="5" t="inlineStr">
        <x:is>
          <x:t xml:space="preserve">철화구야</x:t>
        </x:is>
      </x:c>
      <x:c r="C801" s="5" t="inlineStr">
        <x:is>
          <x:t xml:space="preserve">celesteela</x:t>
        </x:is>
      </x:c>
      <x:c r="D801" s="5" t="n">
        <x:v>7</x:v>
      </x:c>
      <x:c r="E801" s="10" t="n">
        <x:f>SUM(XLOOKUP('포켓몬_편집'!$AF801:$AN801,'분류_규칙'!$A$5:$A$76,'분류_규칙'!$E$5:$E$76,0))</x:f>
        <x:v>8</x:v>
      </x:c>
      <x:c r="F801" s="10" t="n">
        <x:f>SUM(XLOOKUP('포켓몬_편집'!$AF801:$AN801,'분류_규칙'!$A$5:$A$76,'분류_규칙'!$F$5:$F$76,0))</x:f>
        <x:v>8</x:v>
      </x:c>
      <x:c r="G801" s="10" t="n">
        <x:f>SUM(XLOOKUP('포켓몬_편집'!$AF801:$AN801,'분류_규칙'!$A$5:$A$76,'분류_규칙'!$G$5:$G$76,0))</x:f>
        <x:v>0</x:v>
      </x:c>
      <x:c r="H801" s="10" t="n">
        <x:f>SUM(XLOOKUP('포켓몬_편집'!$AF801:$AN801,'분류_규칙'!$A$5:$A$76,'분류_규칙'!$H$5:$H$76,0))</x:f>
        <x:v>12</x:v>
      </x:c>
      <x:c r="I801" s="10" t="n">
        <x:f>SUM(XLOOKUP('포켓몬_편집'!$AF801:$AN801,'분류_규칙'!$A$5:$A$76,'분류_규칙'!$I$5:$I$76,0))</x:f>
        <x:v>0</x:v>
      </x:c>
      <x:c r="J801" s="10" t="n">
        <x:f>SUM(XLOOKUP('포켓몬_편집'!$AF801:$AN801,'분류_규칙'!$A$5:$A$76,'분류_규칙'!$J$5:$J$76,0))</x:f>
        <x:v>0</x:v>
      </x:c>
      <x:c r="K801" s="10" t="n">
        <x:f>SUM(XLOOKUP('포켓몬_편집'!$AF801:$AN801,'분류_규칙'!$A$5:$A$76,'분류_규칙'!$K$5:$K$76,0))</x:f>
        <x:v>0</x:v>
      </x:c>
      <x:c r="L801" s="10" t="n">
        <x:f>SUM(XLOOKUP('포켓몬_편집'!$AF801:$AN801,'분류_규칙'!$A$5:$A$76,'분류_규칙'!$L$5:$L$76,0))</x:f>
        <x:v>3</x:v>
      </x:c>
      <x:c r="M801" s="10" t="n">
        <x:f>SUM(XLOOKUP('포켓몬_편집'!$AF801:$AN801,'분류_규칙'!$A$5:$A$76,'분류_규칙'!$M$5:$M$76,0))</x:f>
        <x:v>0</x:v>
      </x:c>
      <x:c r="N801" s="10" t="n">
        <x:f>SUM(XLOOKUP('포켓몬_편집'!$AF801:$AN801,'분류_규칙'!$A$5:$A$76,'분류_규칙'!$N$5:$N$76,0))</x:f>
        <x:v>0</x:v>
      </x:c>
      <x:c r="O801" s="10" t="n">
        <x:f>SUM(XLOOKUP('포켓몬_편집'!$AF801:$AN801,'분류_규칙'!$A$5:$A$76,'분류_규칙'!$O$5:$O$76,0))</x:f>
        <x:v>2</x:v>
      </x:c>
      <x:c r="P801" s="10" t="n">
        <x:f>SUM(XLOOKUP('포켓몬_편집'!$AF801:$AN801,'분류_규칙'!$A$5:$A$76,'분류_규칙'!$P$5:$P$76,0))</x:f>
        <x:v>0</x:v>
      </x:c>
    </x:row>
    <x:row r="802" ht="22" customHeight="1">
      <x:c r="A802" s="5" t="n">
        <x:v>798</x:v>
      </x:c>
      <x:c r="B802" s="5" t="inlineStr">
        <x:is>
          <x:t xml:space="preserve">종이신도</x:t>
        </x:is>
      </x:c>
      <x:c r="C802" s="5" t="inlineStr">
        <x:is>
          <x:t xml:space="preserve">kartana</x:t>
        </x:is>
      </x:c>
      <x:c r="D802" s="5" t="n">
        <x:v>7</x:v>
      </x:c>
      <x:c r="E802" s="10" t="n">
        <x:f>SUM(XLOOKUP('포켓몬_편집'!$AF802:$AN802,'분류_규칙'!$A$5:$A$76,'분류_규칙'!$E$5:$E$76,0))</x:f>
        <x:v>8</x:v>
      </x:c>
      <x:c r="F802" s="10" t="n">
        <x:f>SUM(XLOOKUP('포켓몬_편집'!$AF802:$AN802,'분류_규칙'!$A$5:$A$76,'분류_규칙'!$F$5:$F$76,0))</x:f>
        <x:v>8</x:v>
      </x:c>
      <x:c r="G802" s="10" t="n">
        <x:f>SUM(XLOOKUP('포켓몬_편집'!$AF802:$AN802,'분류_규칙'!$A$5:$A$76,'분류_규칙'!$G$5:$G$76,0))</x:f>
        <x:v>0</x:v>
      </x:c>
      <x:c r="H802" s="10" t="n">
        <x:f>SUM(XLOOKUP('포켓몬_편집'!$AF802:$AN802,'분류_규칙'!$A$5:$A$76,'분류_규칙'!$H$5:$H$76,0))</x:f>
        <x:v>12</x:v>
      </x:c>
      <x:c r="I802" s="10" t="n">
        <x:f>SUM(XLOOKUP('포켓몬_편집'!$AF802:$AN802,'분류_규칙'!$A$5:$A$76,'분류_규칙'!$I$5:$I$76,0))</x:f>
        <x:v>0</x:v>
      </x:c>
      <x:c r="J802" s="10" t="n">
        <x:f>SUM(XLOOKUP('포켓몬_편집'!$AF802:$AN802,'분류_규칙'!$A$5:$A$76,'분류_규칙'!$J$5:$J$76,0))</x:f>
        <x:v>0</x:v>
      </x:c>
      <x:c r="K802" s="10" t="n">
        <x:f>SUM(XLOOKUP('포켓몬_편집'!$AF802:$AN802,'분류_규칙'!$A$5:$A$76,'분류_규칙'!$K$5:$K$76,0))</x:f>
        <x:v>0</x:v>
      </x:c>
      <x:c r="L802" s="10" t="n">
        <x:f>SUM(XLOOKUP('포켓몬_편집'!$AF802:$AN802,'분류_규칙'!$A$5:$A$76,'분류_규칙'!$L$5:$L$76,0))</x:f>
        <x:v>3</x:v>
      </x:c>
      <x:c r="M802" s="10" t="n">
        <x:f>SUM(XLOOKUP('포켓몬_편집'!$AF802:$AN802,'분류_규칙'!$A$5:$A$76,'분류_규칙'!$M$5:$M$76,0))</x:f>
        <x:v>0</x:v>
      </x:c>
      <x:c r="N802" s="10" t="n">
        <x:f>SUM(XLOOKUP('포켓몬_편집'!$AF802:$AN802,'분류_규칙'!$A$5:$A$76,'분류_규칙'!$N$5:$N$76,0))</x:f>
        <x:v>0</x:v>
      </x:c>
      <x:c r="O802" s="10" t="n">
        <x:f>SUM(XLOOKUP('포켓몬_편집'!$AF802:$AN802,'분류_규칙'!$A$5:$A$76,'분류_규칙'!$O$5:$O$76,0))</x:f>
        <x:v>2</x:v>
      </x:c>
      <x:c r="P802" s="10" t="n">
        <x:f>SUM(XLOOKUP('포켓몬_편집'!$AF802:$AN802,'분류_규칙'!$A$5:$A$76,'분류_규칙'!$P$5:$P$76,0))</x:f>
        <x:v>0</x:v>
      </x:c>
    </x:row>
    <x:row r="803" ht="22" customHeight="1">
      <x:c r="A803" s="5" t="n">
        <x:v>799</x:v>
      </x:c>
      <x:c r="B803" s="5" t="inlineStr">
        <x:is>
          <x:t xml:space="preserve">악식킹</x:t>
        </x:is>
      </x:c>
      <x:c r="C803" s="5" t="inlineStr">
        <x:is>
          <x:t xml:space="preserve">guzzlord</x:t>
        </x:is>
      </x:c>
      <x:c r="D803" s="5" t="n">
        <x:v>7</x:v>
      </x:c>
      <x:c r="E803" s="10" t="n">
        <x:f>SUM(XLOOKUP('포켓몬_편집'!$AF803:$AN803,'분류_규칙'!$A$5:$A$76,'분류_규칙'!$E$5:$E$76,0))</x:f>
        <x:v>10</x:v>
      </x:c>
      <x:c r="F803" s="10" t="n">
        <x:f>SUM(XLOOKUP('포켓몬_편집'!$AF803:$AN803,'분류_규칙'!$A$5:$A$76,'분류_규칙'!$F$5:$F$76,0))</x:f>
        <x:v>7</x:v>
      </x:c>
      <x:c r="G803" s="10" t="n">
        <x:f>SUM(XLOOKUP('포켓몬_편집'!$AF803:$AN803,'분류_규칙'!$A$5:$A$76,'분류_규칙'!$G$5:$G$76,0))</x:f>
        <x:v>5</x:v>
      </x:c>
      <x:c r="H803" s="10" t="n">
        <x:f>SUM(XLOOKUP('포켓몬_편집'!$AF803:$AN803,'분류_규칙'!$A$5:$A$76,'분류_규칙'!$H$5:$H$76,0))</x:f>
        <x:v>5</x:v>
      </x:c>
      <x:c r="I803" s="10" t="n">
        <x:f>SUM(XLOOKUP('포켓몬_편집'!$AF803:$AN803,'분류_규칙'!$A$5:$A$76,'분류_규칙'!$I$5:$I$76,0))</x:f>
        <x:v>0</x:v>
      </x:c>
      <x:c r="J803" s="10" t="n">
        <x:f>SUM(XLOOKUP('포켓몬_편집'!$AF803:$AN803,'분류_규칙'!$A$5:$A$76,'분류_규칙'!$J$5:$J$76,0))</x:f>
        <x:v>2</x:v>
      </x:c>
      <x:c r="K803" s="10" t="n">
        <x:f>SUM(XLOOKUP('포켓몬_편집'!$AF803:$AN803,'분류_규칙'!$A$5:$A$76,'분류_규칙'!$K$5:$K$76,0))</x:f>
        <x:v>0</x:v>
      </x:c>
      <x:c r="L803" s="10" t="n">
        <x:f>SUM(XLOOKUP('포켓몬_편집'!$AF803:$AN803,'분류_규칙'!$A$5:$A$76,'분류_규칙'!$L$5:$L$76,0))</x:f>
        <x:v>0</x:v>
      </x:c>
      <x:c r="M803" s="10" t="n">
        <x:f>SUM(XLOOKUP('포켓몬_편집'!$AF803:$AN803,'분류_규칙'!$A$5:$A$76,'분류_규칙'!$M$5:$M$76,0))</x:f>
        <x:v>0</x:v>
      </x:c>
      <x:c r="N803" s="10" t="n">
        <x:f>SUM(XLOOKUP('포켓몬_편집'!$AF803:$AN803,'분류_규칙'!$A$5:$A$76,'분류_규칙'!$N$5:$N$76,0))</x:f>
        <x:v>0</x:v>
      </x:c>
      <x:c r="O803" s="10" t="n">
        <x:f>SUM(XLOOKUP('포켓몬_편집'!$AF803:$AN803,'분류_규칙'!$A$5:$A$76,'분류_규칙'!$O$5:$O$76,0))</x:f>
        <x:v>2</x:v>
      </x:c>
      <x:c r="P803" s="10" t="n">
        <x:f>SUM(XLOOKUP('포켓몬_편집'!$AF803:$AN803,'분류_규칙'!$A$5:$A$76,'분류_규칙'!$P$5:$P$76,0))</x:f>
        <x:v>0</x:v>
      </x:c>
    </x:row>
    <x:row r="804" ht="22" customHeight="1">
      <x:c r="A804" s="5" t="n">
        <x:v>800</x:v>
      </x:c>
      <x:c r="B804" s="5" t="inlineStr">
        <x:is>
          <x:t xml:space="preserve">네크로즈마</x:t>
        </x:is>
      </x:c>
      <x:c r="C804" s="5" t="inlineStr">
        <x:is>
          <x:t xml:space="preserve">necrozma</x:t>
        </x:is>
      </x:c>
      <x:c r="D804" s="5" t="n">
        <x:v>7</x:v>
      </x:c>
      <x:c r="E804" s="10" t="n">
        <x:f>SUM(XLOOKUP('포켓몬_편집'!$AF804:$AN804,'분류_규칙'!$A$5:$A$76,'분류_규칙'!$E$5:$E$76,0))</x:f>
        <x:v>8</x:v>
      </x:c>
      <x:c r="F804" s="10" t="n">
        <x:f>SUM(XLOOKUP('포켓몬_편집'!$AF804:$AN804,'분류_규칙'!$A$5:$A$76,'분류_규칙'!$F$5:$F$76,0))</x:f>
        <x:v>8</x:v>
      </x:c>
      <x:c r="G804" s="10" t="n">
        <x:f>SUM(XLOOKUP('포켓몬_편집'!$AF804:$AN804,'분류_규칙'!$A$5:$A$76,'분류_규칙'!$G$5:$G$76,0))</x:f>
        <x:v>0</x:v>
      </x:c>
      <x:c r="H804" s="10" t="n">
        <x:f>SUM(XLOOKUP('포켓몬_편집'!$AF804:$AN804,'분류_규칙'!$A$5:$A$76,'분류_규칙'!$H$5:$H$76,0))</x:f>
        <x:v>12</x:v>
      </x:c>
      <x:c r="I804" s="10" t="n">
        <x:f>SUM(XLOOKUP('포켓몬_편집'!$AF804:$AN804,'분류_규칙'!$A$5:$A$76,'분류_규칙'!$I$5:$I$76,0))</x:f>
        <x:v>0</x:v>
      </x:c>
      <x:c r="J804" s="10" t="n">
        <x:f>SUM(XLOOKUP('포켓몬_편집'!$AF804:$AN804,'분류_규칙'!$A$5:$A$76,'분류_규칙'!$J$5:$J$76,0))</x:f>
        <x:v>0</x:v>
      </x:c>
      <x:c r="K804" s="10" t="n">
        <x:f>SUM(XLOOKUP('포켓몬_편집'!$AF804:$AN804,'분류_규칙'!$A$5:$A$76,'분류_규칙'!$K$5:$K$76,0))</x:f>
        <x:v>0</x:v>
      </x:c>
      <x:c r="L804" s="10" t="n">
        <x:f>SUM(XLOOKUP('포켓몬_편집'!$AF804:$AN804,'분류_규칙'!$A$5:$A$76,'분류_규칙'!$L$5:$L$76,0))</x:f>
        <x:v>3</x:v>
      </x:c>
      <x:c r="M804" s="10" t="n">
        <x:f>SUM(XLOOKUP('포켓몬_편집'!$AF804:$AN804,'분류_규칙'!$A$5:$A$76,'분류_규칙'!$M$5:$M$76,0))</x:f>
        <x:v>0</x:v>
      </x:c>
      <x:c r="N804" s="10" t="n">
        <x:f>SUM(XLOOKUP('포켓몬_편집'!$AF804:$AN804,'분류_규칙'!$A$5:$A$76,'분류_규칙'!$N$5:$N$76,0))</x:f>
        <x:v>0</x:v>
      </x:c>
      <x:c r="O804" s="10" t="n">
        <x:f>SUM(XLOOKUP('포켓몬_편집'!$AF804:$AN804,'분류_규칙'!$A$5:$A$76,'분류_규칙'!$O$5:$O$76,0))</x:f>
        <x:v>2</x:v>
      </x:c>
      <x:c r="P804" s="10" t="n">
        <x:f>SUM(XLOOKUP('포켓몬_편집'!$AF804:$AN804,'분류_규칙'!$A$5:$A$76,'분류_규칙'!$P$5:$P$76,0))</x:f>
        <x:v>0</x:v>
      </x:c>
    </x:row>
    <x:row r="805" ht="22" customHeight="1">
      <x:c r="A805" s="5" t="n">
        <x:v>801</x:v>
      </x:c>
      <x:c r="B805" s="5" t="inlineStr">
        <x:is>
          <x:t xml:space="preserve">마기아나</x:t>
        </x:is>
      </x:c>
      <x:c r="C805" s="5" t="inlineStr">
        <x:is>
          <x:t xml:space="preserve">magearna</x:t>
        </x:is>
      </x:c>
      <x:c r="D805" s="5" t="n">
        <x:v>7</x:v>
      </x:c>
      <x:c r="E805" s="10" t="n">
        <x:f>SUM(XLOOKUP('포켓몬_편집'!$AF805:$AN805,'분류_규칙'!$A$5:$A$76,'분류_규칙'!$E$5:$E$76,0))</x:f>
        <x:v>0</x:v>
      </x:c>
      <x:c r="F805" s="10" t="n">
        <x:f>SUM(XLOOKUP('포켓몬_편집'!$AF805:$AN805,'분류_규칙'!$A$5:$A$76,'분류_규칙'!$F$5:$F$76,0))</x:f>
        <x:v>0</x:v>
      </x:c>
      <x:c r="G805" s="10" t="n">
        <x:f>SUM(XLOOKUP('포켓몬_편집'!$AF805:$AN805,'분류_규칙'!$A$5:$A$76,'분류_규칙'!$G$5:$G$76,0))</x:f>
        <x:v>0</x:v>
      </x:c>
      <x:c r="H805" s="10" t="n">
        <x:f>SUM(XLOOKUP('포켓몬_편집'!$AF805:$AN805,'분류_규칙'!$A$5:$A$76,'분류_규칙'!$H$5:$H$76,0))</x:f>
        <x:v>0</x:v>
      </x:c>
      <x:c r="I805" s="10" t="n">
        <x:f>SUM(XLOOKUP('포켓몬_편집'!$AF805:$AN805,'분류_규칙'!$A$5:$A$76,'분류_규칙'!$I$5:$I$76,0))</x:f>
        <x:v>0</x:v>
      </x:c>
      <x:c r="J805" s="10" t="n">
        <x:f>SUM(XLOOKUP('포켓몬_편집'!$AF805:$AN805,'분류_규칙'!$A$5:$A$76,'분류_규칙'!$J$5:$J$76,0))</x:f>
        <x:v>0</x:v>
      </x:c>
      <x:c r="K805" s="10" t="n">
        <x:f>SUM(XLOOKUP('포켓몬_편집'!$AF805:$AN805,'분류_규칙'!$A$5:$A$76,'분류_규칙'!$K$5:$K$76,0))</x:f>
        <x:v>0</x:v>
      </x:c>
      <x:c r="L805" s="10" t="n">
        <x:f>SUM(XLOOKUP('포켓몬_편집'!$AF805:$AN805,'분류_규칙'!$A$5:$A$76,'분류_규칙'!$L$5:$L$76,0))</x:f>
        <x:v>0</x:v>
      </x:c>
      <x:c r="M805" s="10" t="n">
        <x:f>SUM(XLOOKUP('포켓몬_편집'!$AF805:$AN805,'분류_규칙'!$A$5:$A$76,'분류_규칙'!$M$5:$M$76,0))</x:f>
        <x:v>0</x:v>
      </x:c>
      <x:c r="N805" s="10" t="n">
        <x:f>SUM(XLOOKUP('포켓몬_편집'!$AF805:$AN805,'분류_규칙'!$A$5:$A$76,'분류_규칙'!$N$5:$N$76,0))</x:f>
        <x:v>0</x:v>
      </x:c>
      <x:c r="O805" s="10" t="n">
        <x:f>SUM(XLOOKUP('포켓몬_편집'!$AF805:$AN805,'분류_규칙'!$A$5:$A$76,'분류_규칙'!$O$5:$O$76,0))</x:f>
        <x:v>30</x:v>
      </x:c>
      <x:c r="P805" s="10" t="n">
        <x:f>SUM(XLOOKUP('포켓몬_편집'!$AF805:$AN805,'분류_규칙'!$A$5:$A$76,'분류_규칙'!$P$5:$P$76,0))</x:f>
        <x:v>8</x:v>
      </x:c>
    </x:row>
    <x:row r="806" ht="22" customHeight="1">
      <x:c r="A806" s="5" t="n">
        <x:v>802</x:v>
      </x:c>
      <x:c r="B806" s="5" t="inlineStr">
        <x:is>
          <x:t xml:space="preserve">마샤도</x:t>
        </x:is>
      </x:c>
      <x:c r="C806" s="5" t="inlineStr">
        <x:is>
          <x:t xml:space="preserve">marshadow</x:t>
        </x:is>
      </x:c>
      <x:c r="D806" s="5" t="n">
        <x:v>7</x:v>
      </x:c>
      <x:c r="E806" s="10" t="n">
        <x:f>SUM(XLOOKUP('포켓몬_편집'!$AF806:$AN806,'분류_규칙'!$A$5:$A$76,'분류_규칙'!$E$5:$E$76,0))</x:f>
        <x:v>0</x:v>
      </x:c>
      <x:c r="F806" s="10" t="n">
        <x:f>SUM(XLOOKUP('포켓몬_편집'!$AF806:$AN806,'분류_규칙'!$A$5:$A$76,'분류_규칙'!$F$5:$F$76,0))</x:f>
        <x:v>0</x:v>
      </x:c>
      <x:c r="G806" s="10" t="n">
        <x:f>SUM(XLOOKUP('포켓몬_편집'!$AF806:$AN806,'분류_규칙'!$A$5:$A$76,'분류_규칙'!$G$5:$G$76,0))</x:f>
        <x:v>0</x:v>
      </x:c>
      <x:c r="H806" s="10" t="n">
        <x:f>SUM(XLOOKUP('포켓몬_편집'!$AF806:$AN806,'분류_규칙'!$A$5:$A$76,'분류_규칙'!$H$5:$H$76,0))</x:f>
        <x:v>0</x:v>
      </x:c>
      <x:c r="I806" s="10" t="n">
        <x:f>SUM(XLOOKUP('포켓몬_편집'!$AF806:$AN806,'분류_규칙'!$A$5:$A$76,'분류_규칙'!$I$5:$I$76,0))</x:f>
        <x:v>10</x:v>
      </x:c>
      <x:c r="J806" s="10" t="n">
        <x:f>SUM(XLOOKUP('포켓몬_편집'!$AF806:$AN806,'분류_규칙'!$A$5:$A$76,'분류_규칙'!$J$5:$J$76,0))</x:f>
        <x:v>0</x:v>
      </x:c>
      <x:c r="K806" s="10" t="n">
        <x:f>SUM(XLOOKUP('포켓몬_편집'!$AF806:$AN806,'분류_규칙'!$A$5:$A$76,'분류_규칙'!$K$5:$K$76,0))</x:f>
        <x:v>0</x:v>
      </x:c>
      <x:c r="L806" s="10" t="n">
        <x:f>SUM(XLOOKUP('포켓몬_편집'!$AF806:$AN806,'분류_규칙'!$A$5:$A$76,'분류_규칙'!$L$5:$L$76,0))</x:f>
        <x:v>0</x:v>
      </x:c>
      <x:c r="M806" s="10" t="n">
        <x:f>SUM(XLOOKUP('포켓몬_편집'!$AF806:$AN806,'분류_규칙'!$A$5:$A$76,'분류_규칙'!$M$5:$M$76,0))</x:f>
        <x:v>0</x:v>
      </x:c>
      <x:c r="N806" s="10" t="n">
        <x:f>SUM(XLOOKUP('포켓몬_편집'!$AF806:$AN806,'분류_규칙'!$A$5:$A$76,'분류_규칙'!$N$5:$N$76,0))</x:f>
        <x:v>0</x:v>
      </x:c>
      <x:c r="O806" s="10" t="n">
        <x:f>SUM(XLOOKUP('포켓몬_편집'!$AF806:$AN806,'분류_규칙'!$A$5:$A$76,'분류_규칙'!$O$5:$O$76,0))</x:f>
        <x:v>5</x:v>
      </x:c>
      <x:c r="P806" s="10" t="n">
        <x:f>SUM(XLOOKUP('포켓몬_편집'!$AF806:$AN806,'분류_규칙'!$A$5:$A$76,'분류_규칙'!$P$5:$P$76,0))</x:f>
        <x:v>25</x:v>
      </x:c>
    </x:row>
    <x:row r="807" ht="22" customHeight="1">
      <x:c r="A807" s="5" t="n">
        <x:v>803</x:v>
      </x:c>
      <x:c r="B807" s="5" t="inlineStr">
        <x:is>
          <x:t xml:space="preserve">베베놈</x:t>
        </x:is>
      </x:c>
      <x:c r="C807" s="5" t="inlineStr">
        <x:is>
          <x:t xml:space="preserve">poipole</x:t>
        </x:is>
      </x:c>
      <x:c r="D807" s="5" t="n">
        <x:v>7</x:v>
      </x:c>
      <x:c r="E807" s="10" t="n">
        <x:f>SUM(XLOOKUP('포켓몬_편집'!$AF807:$AN807,'분류_규칙'!$A$5:$A$76,'분류_규칙'!$E$5:$E$76,0))</x:f>
        <x:v>8</x:v>
      </x:c>
      <x:c r="F807" s="10" t="n">
        <x:f>SUM(XLOOKUP('포켓몬_편집'!$AF807:$AN807,'분류_규칙'!$A$5:$A$76,'분류_규칙'!$F$5:$F$76,0))</x:f>
        <x:v>8</x:v>
      </x:c>
      <x:c r="G807" s="10" t="n">
        <x:f>SUM(XLOOKUP('포켓몬_편집'!$AF807:$AN807,'분류_규칙'!$A$5:$A$76,'분류_규칙'!$G$5:$G$76,0))</x:f>
        <x:v>0</x:v>
      </x:c>
      <x:c r="H807" s="10" t="n">
        <x:f>SUM(XLOOKUP('포켓몬_편집'!$AF807:$AN807,'분류_규칙'!$A$5:$A$76,'분류_규칙'!$H$5:$H$76,0))</x:f>
        <x:v>12</x:v>
      </x:c>
      <x:c r="I807" s="10" t="n">
        <x:f>SUM(XLOOKUP('포켓몬_편집'!$AF807:$AN807,'분류_규칙'!$A$5:$A$76,'분류_규칙'!$I$5:$I$76,0))</x:f>
        <x:v>0</x:v>
      </x:c>
      <x:c r="J807" s="10" t="n">
        <x:f>SUM(XLOOKUP('포켓몬_편집'!$AF807:$AN807,'분류_규칙'!$A$5:$A$76,'분류_규칙'!$J$5:$J$76,0))</x:f>
        <x:v>0</x:v>
      </x:c>
      <x:c r="K807" s="10" t="n">
        <x:f>SUM(XLOOKUP('포켓몬_편집'!$AF807:$AN807,'분류_규칙'!$A$5:$A$76,'분류_규칙'!$K$5:$K$76,0))</x:f>
        <x:v>0</x:v>
      </x:c>
      <x:c r="L807" s="10" t="n">
        <x:f>SUM(XLOOKUP('포켓몬_편집'!$AF807:$AN807,'분류_규칙'!$A$5:$A$76,'분류_규칙'!$L$5:$L$76,0))</x:f>
        <x:v>3</x:v>
      </x:c>
      <x:c r="M807" s="10" t="n">
        <x:f>SUM(XLOOKUP('포켓몬_편집'!$AF807:$AN807,'분류_규칙'!$A$5:$A$76,'분류_규칙'!$M$5:$M$76,0))</x:f>
        <x:v>0</x:v>
      </x:c>
      <x:c r="N807" s="10" t="n">
        <x:f>SUM(XLOOKUP('포켓몬_편집'!$AF807:$AN807,'분류_규칙'!$A$5:$A$76,'분류_규칙'!$N$5:$N$76,0))</x:f>
        <x:v>0</x:v>
      </x:c>
      <x:c r="O807" s="10" t="n">
        <x:f>SUM(XLOOKUP('포켓몬_편집'!$AF807:$AN807,'분류_규칙'!$A$5:$A$76,'분류_규칙'!$O$5:$O$76,0))</x:f>
        <x:v>2</x:v>
      </x:c>
      <x:c r="P807" s="10" t="n">
        <x:f>SUM(XLOOKUP('포켓몬_편집'!$AF807:$AN807,'분류_규칙'!$A$5:$A$76,'분류_규칙'!$P$5:$P$76,0))</x:f>
        <x:v>0</x:v>
      </x:c>
    </x:row>
    <x:row r="808" ht="22" customHeight="1">
      <x:c r="A808" s="5" t="n">
        <x:v>804</x:v>
      </x:c>
      <x:c r="B808" s="5" t="inlineStr">
        <x:is>
          <x:t xml:space="preserve">아고용</x:t>
        </x:is>
      </x:c>
      <x:c r="C808" s="5" t="inlineStr">
        <x:is>
          <x:t xml:space="preserve">naganadel</x:t>
        </x:is>
      </x:c>
      <x:c r="D808" s="5" t="n">
        <x:v>7</x:v>
      </x:c>
      <x:c r="E808" s="10" t="n">
        <x:f>SUM(XLOOKUP('포켓몬_편집'!$AF808:$AN808,'분류_규칙'!$A$5:$A$76,'분류_규칙'!$E$5:$E$76,0))</x:f>
        <x:v>8</x:v>
      </x:c>
      <x:c r="F808" s="10" t="n">
        <x:f>SUM(XLOOKUP('포켓몬_편집'!$AF808:$AN808,'분류_규칙'!$A$5:$A$76,'분류_규칙'!$F$5:$F$76,0))</x:f>
        <x:v>8</x:v>
      </x:c>
      <x:c r="G808" s="10" t="n">
        <x:f>SUM(XLOOKUP('포켓몬_편집'!$AF808:$AN808,'분류_규칙'!$A$5:$A$76,'분류_규칙'!$G$5:$G$76,0))</x:f>
        <x:v>0</x:v>
      </x:c>
      <x:c r="H808" s="10" t="n">
        <x:f>SUM(XLOOKUP('포켓몬_편집'!$AF808:$AN808,'분류_규칙'!$A$5:$A$76,'분류_규칙'!$H$5:$H$76,0))</x:f>
        <x:v>12</x:v>
      </x:c>
      <x:c r="I808" s="10" t="n">
        <x:f>SUM(XLOOKUP('포켓몬_편집'!$AF808:$AN808,'분류_규칙'!$A$5:$A$76,'분류_규칙'!$I$5:$I$76,0))</x:f>
        <x:v>0</x:v>
      </x:c>
      <x:c r="J808" s="10" t="n">
        <x:f>SUM(XLOOKUP('포켓몬_편집'!$AF808:$AN808,'분류_규칙'!$A$5:$A$76,'분류_규칙'!$J$5:$J$76,0))</x:f>
        <x:v>0</x:v>
      </x:c>
      <x:c r="K808" s="10" t="n">
        <x:f>SUM(XLOOKUP('포켓몬_편집'!$AF808:$AN808,'분류_규칙'!$A$5:$A$76,'분류_규칙'!$K$5:$K$76,0))</x:f>
        <x:v>0</x:v>
      </x:c>
      <x:c r="L808" s="10" t="n">
        <x:f>SUM(XLOOKUP('포켓몬_편집'!$AF808:$AN808,'분류_규칙'!$A$5:$A$76,'분류_규칙'!$L$5:$L$76,0))</x:f>
        <x:v>3</x:v>
      </x:c>
      <x:c r="M808" s="10" t="n">
        <x:f>SUM(XLOOKUP('포켓몬_편집'!$AF808:$AN808,'분류_규칙'!$A$5:$A$76,'분류_규칙'!$M$5:$M$76,0))</x:f>
        <x:v>0</x:v>
      </x:c>
      <x:c r="N808" s="10" t="n">
        <x:f>SUM(XLOOKUP('포켓몬_편집'!$AF808:$AN808,'분류_규칙'!$A$5:$A$76,'분류_규칙'!$N$5:$N$76,0))</x:f>
        <x:v>0</x:v>
      </x:c>
      <x:c r="O808" s="10" t="n">
        <x:f>SUM(XLOOKUP('포켓몬_편집'!$AF808:$AN808,'분류_규칙'!$A$5:$A$76,'분류_규칙'!$O$5:$O$76,0))</x:f>
        <x:v>2</x:v>
      </x:c>
      <x:c r="P808" s="10" t="n">
        <x:f>SUM(XLOOKUP('포켓몬_편집'!$AF808:$AN808,'분류_규칙'!$A$5:$A$76,'분류_규칙'!$P$5:$P$76,0))</x:f>
        <x:v>0</x:v>
      </x:c>
    </x:row>
    <x:row r="809" ht="22" customHeight="1">
      <x:c r="A809" s="5" t="n">
        <x:v>805</x:v>
      </x:c>
      <x:c r="B809" s="5" t="inlineStr">
        <x:is>
          <x:t xml:space="preserve">차곡차곡</x:t>
        </x:is>
      </x:c>
      <x:c r="C809" s="5" t="inlineStr">
        <x:is>
          <x:t xml:space="preserve">stakataka</x:t>
        </x:is>
      </x:c>
      <x:c r="D809" s="5" t="n">
        <x:v>7</x:v>
      </x:c>
      <x:c r="E809" s="10" t="n">
        <x:f>SUM(XLOOKUP('포켓몬_편집'!$AF809:$AN809,'분류_규칙'!$A$5:$A$76,'분류_규칙'!$E$5:$E$76,0))</x:f>
        <x:v>0</x:v>
      </x:c>
      <x:c r="F809" s="10" t="n">
        <x:f>SUM(XLOOKUP('포켓몬_편집'!$AF809:$AN809,'분류_규칙'!$A$5:$A$76,'분류_규칙'!$F$5:$F$76,0))</x:f>
        <x:v>0</x:v>
      </x:c>
      <x:c r="G809" s="10" t="n">
        <x:f>SUM(XLOOKUP('포켓몬_편집'!$AF809:$AN809,'분류_규칙'!$A$5:$A$76,'분류_규칙'!$G$5:$G$76,0))</x:f>
        <x:v>0</x:v>
      </x:c>
      <x:c r="H809" s="10" t="n">
        <x:f>SUM(XLOOKUP('포켓몬_편집'!$AF809:$AN809,'분류_규칙'!$A$5:$A$76,'분류_규칙'!$H$5:$H$76,0))</x:f>
        <x:v>10</x:v>
      </x:c>
      <x:c r="I809" s="10" t="n">
        <x:f>SUM(XLOOKUP('포켓몬_편집'!$AF809:$AN809,'분류_규칙'!$A$5:$A$76,'분류_규칙'!$I$5:$I$76,0))</x:f>
        <x:v>30</x:v>
      </x:c>
      <x:c r="J809" s="10" t="n">
        <x:f>SUM(XLOOKUP('포켓몬_편집'!$AF809:$AN809,'분류_규칙'!$A$5:$A$76,'분류_규칙'!$J$5:$J$76,0))</x:f>
        <x:v>0</x:v>
      </x:c>
      <x:c r="K809" s="10" t="n">
        <x:f>SUM(XLOOKUP('포켓몬_편집'!$AF809:$AN809,'분류_규칙'!$A$5:$A$76,'분류_규칙'!$K$5:$K$76,0))</x:f>
        <x:v>0</x:v>
      </x:c>
      <x:c r="L809" s="10" t="n">
        <x:f>SUM(XLOOKUP('포켓몬_편집'!$AF809:$AN809,'분류_규칙'!$A$5:$A$76,'분류_규칙'!$L$5:$L$76,0))</x:f>
        <x:v>0</x:v>
      </x:c>
      <x:c r="M809" s="10" t="n">
        <x:f>SUM(XLOOKUP('포켓몬_편집'!$AF809:$AN809,'분류_규칙'!$A$5:$A$76,'분류_규칙'!$M$5:$M$76,0))</x:f>
        <x:v>0</x:v>
      </x:c>
      <x:c r="N809" s="10" t="n">
        <x:f>SUM(XLOOKUP('포켓몬_편집'!$AF809:$AN809,'분류_규칙'!$A$5:$A$76,'분류_규칙'!$N$5:$N$76,0))</x:f>
        <x:v>0</x:v>
      </x:c>
      <x:c r="O809" s="10" t="n">
        <x:f>SUM(XLOOKUP('포켓몬_편집'!$AF809:$AN809,'분류_규칙'!$A$5:$A$76,'분류_규칙'!$O$5:$O$76,0))</x:f>
        <x:v>0</x:v>
      </x:c>
      <x:c r="P809" s="10" t="n">
        <x:f>SUM(XLOOKUP('포켓몬_편집'!$AF809:$AN809,'분류_규칙'!$A$5:$A$76,'분류_규칙'!$P$5:$P$76,0))</x:f>
        <x:v>0</x:v>
      </x:c>
    </x:row>
    <x:row r="810" ht="22" customHeight="1">
      <x:c r="A810" s="5" t="n">
        <x:v>806</x:v>
      </x:c>
      <x:c r="B810" s="5" t="inlineStr">
        <x:is>
          <x:t xml:space="preserve">두파팡</x:t>
        </x:is>
      </x:c>
      <x:c r="C810" s="5" t="inlineStr">
        <x:is>
          <x:t xml:space="preserve">blacephalon</x:t>
        </x:is>
      </x:c>
      <x:c r="D810" s="5" t="n">
        <x:v>7</x:v>
      </x:c>
      <x:c r="E810" s="10" t="n">
        <x:f>SUM(XLOOKUP('포켓몬_편집'!$AF810:$AN810,'분류_규칙'!$A$5:$A$76,'분류_규칙'!$E$5:$E$76,0))</x:f>
        <x:v>0</x:v>
      </x:c>
      <x:c r="F810" s="10" t="n">
        <x:f>SUM(XLOOKUP('포켓몬_편집'!$AF810:$AN810,'분류_규칙'!$A$5:$A$76,'분류_규칙'!$F$5:$F$76,0))</x:f>
        <x:v>0</x:v>
      </x:c>
      <x:c r="G810" s="10" t="n">
        <x:f>SUM(XLOOKUP('포켓몬_편집'!$AF810:$AN810,'분류_규칙'!$A$5:$A$76,'분류_규칙'!$G$5:$G$76,0))</x:f>
        <x:v>0</x:v>
      </x:c>
      <x:c r="H810" s="10" t="n">
        <x:f>SUM(XLOOKUP('포켓몬_편집'!$AF810:$AN810,'분류_규칙'!$A$5:$A$76,'분류_규칙'!$H$5:$H$76,0))</x:f>
        <x:v>0</x:v>
      </x:c>
      <x:c r="I810" s="10" t="n">
        <x:f>SUM(XLOOKUP('포켓몬_편집'!$AF810:$AN810,'분류_규칙'!$A$5:$A$76,'분류_규칙'!$I$5:$I$76,0))</x:f>
        <x:v>10</x:v>
      </x:c>
      <x:c r="J810" s="10" t="n">
        <x:f>SUM(XLOOKUP('포켓몬_편집'!$AF810:$AN810,'분류_규칙'!$A$5:$A$76,'분류_규칙'!$J$5:$J$76,0))</x:f>
        <x:v>0</x:v>
      </x:c>
      <x:c r="K810" s="10" t="n">
        <x:f>SUM(XLOOKUP('포켓몬_편집'!$AF810:$AN810,'분류_규칙'!$A$5:$A$76,'분류_규칙'!$K$5:$K$76,0))</x:f>
        <x:v>0</x:v>
      </x:c>
      <x:c r="L810" s="10" t="n">
        <x:f>SUM(XLOOKUP('포켓몬_편집'!$AF810:$AN810,'분류_규칙'!$A$5:$A$76,'분류_규칙'!$L$5:$L$76,0))</x:f>
        <x:v>0</x:v>
      </x:c>
      <x:c r="M810" s="10" t="n">
        <x:f>SUM(XLOOKUP('포켓몬_편집'!$AF810:$AN810,'분류_규칙'!$A$5:$A$76,'분류_규칙'!$M$5:$M$76,0))</x:f>
        <x:v>0</x:v>
      </x:c>
      <x:c r="N810" s="10" t="n">
        <x:f>SUM(XLOOKUP('포켓몬_편집'!$AF810:$AN810,'분류_규칙'!$A$5:$A$76,'분류_규칙'!$N$5:$N$76,0))</x:f>
        <x:v>0</x:v>
      </x:c>
      <x:c r="O810" s="10" t="n">
        <x:f>SUM(XLOOKUP('포켓몬_편집'!$AF810:$AN810,'분류_규칙'!$A$5:$A$76,'분류_규칙'!$O$5:$O$76,0))</x:f>
        <x:v>5</x:v>
      </x:c>
      <x:c r="P810" s="10" t="n">
        <x:f>SUM(XLOOKUP('포켓몬_편집'!$AF810:$AN810,'분류_규칙'!$A$5:$A$76,'분류_규칙'!$P$5:$P$76,0))</x:f>
        <x:v>25</x:v>
      </x:c>
    </x:row>
    <x:row r="811" ht="22" customHeight="1">
      <x:c r="A811" s="5" t="n">
        <x:v>807</x:v>
      </x:c>
      <x:c r="B811" s="5" t="inlineStr">
        <x:is>
          <x:t xml:space="preserve">제라오라</x:t>
        </x:is>
      </x:c>
      <x:c r="C811" s="5" t="inlineStr">
        <x:is>
          <x:t xml:space="preserve">zeraora</x:t>
        </x:is>
      </x:c>
      <x:c r="D811" s="5" t="n">
        <x:v>7</x:v>
      </x:c>
      <x:c r="E811" s="10" t="n">
        <x:f>SUM(XLOOKUP('포켓몬_편집'!$AF811:$AN811,'분류_규칙'!$A$5:$A$76,'분류_규칙'!$E$5:$E$76,0))</x:f>
        <x:v>10</x:v>
      </x:c>
      <x:c r="F811" s="10" t="n">
        <x:f>SUM(XLOOKUP('포켓몬_편집'!$AF811:$AN811,'분류_규칙'!$A$5:$A$76,'분류_규칙'!$F$5:$F$76,0))</x:f>
        <x:v>7</x:v>
      </x:c>
      <x:c r="G811" s="10" t="n">
        <x:f>SUM(XLOOKUP('포켓몬_편집'!$AF811:$AN811,'분류_규칙'!$A$5:$A$76,'분류_규칙'!$G$5:$G$76,0))</x:f>
        <x:v>5</x:v>
      </x:c>
      <x:c r="H811" s="10" t="n">
        <x:f>SUM(XLOOKUP('포켓몬_편집'!$AF811:$AN811,'분류_규칙'!$A$5:$A$76,'분류_규칙'!$H$5:$H$76,0))</x:f>
        <x:v>5</x:v>
      </x:c>
      <x:c r="I811" s="10" t="n">
        <x:f>SUM(XLOOKUP('포켓몬_편집'!$AF811:$AN811,'분류_규칙'!$A$5:$A$76,'분류_규칙'!$I$5:$I$76,0))</x:f>
        <x:v>0</x:v>
      </x:c>
      <x:c r="J811" s="10" t="n">
        <x:f>SUM(XLOOKUP('포켓몬_편집'!$AF811:$AN811,'분류_규칙'!$A$5:$A$76,'분류_규칙'!$J$5:$J$76,0))</x:f>
        <x:v>2</x:v>
      </x:c>
      <x:c r="K811" s="10" t="n">
        <x:f>SUM(XLOOKUP('포켓몬_편집'!$AF811:$AN811,'분류_규칙'!$A$5:$A$76,'분류_규칙'!$K$5:$K$76,0))</x:f>
        <x:v>0</x:v>
      </x:c>
      <x:c r="L811" s="10" t="n">
        <x:f>SUM(XLOOKUP('포켓몬_편집'!$AF811:$AN811,'분류_규칙'!$A$5:$A$76,'분류_규칙'!$L$5:$L$76,0))</x:f>
        <x:v>0</x:v>
      </x:c>
      <x:c r="M811" s="10" t="n">
        <x:f>SUM(XLOOKUP('포켓몬_편집'!$AF811:$AN811,'분류_규칙'!$A$5:$A$76,'분류_규칙'!$M$5:$M$76,0))</x:f>
        <x:v>0</x:v>
      </x:c>
      <x:c r="N811" s="10" t="n">
        <x:f>SUM(XLOOKUP('포켓몬_편집'!$AF811:$AN811,'분류_규칙'!$A$5:$A$76,'분류_규칙'!$N$5:$N$76,0))</x:f>
        <x:v>0</x:v>
      </x:c>
      <x:c r="O811" s="10" t="n">
        <x:f>SUM(XLOOKUP('포켓몬_편집'!$AF811:$AN811,'분류_규칙'!$A$5:$A$76,'분류_규칙'!$O$5:$O$76,0))</x:f>
        <x:v>2</x:v>
      </x:c>
      <x:c r="P811" s="10" t="n">
        <x:f>SUM(XLOOKUP('포켓몬_편집'!$AF811:$AN811,'분류_규칙'!$A$5:$A$76,'분류_규칙'!$P$5:$P$76,0))</x:f>
        <x:v>0</x:v>
      </x:c>
    </x:row>
    <x:row r="812" ht="22" customHeight="1">
      <x:c r="A812" s="5" t="n">
        <x:v>808</x:v>
      </x:c>
      <x:c r="B812" s="5" t="inlineStr">
        <x:is>
          <x:t xml:space="preserve">멜탄</x:t>
        </x:is>
      </x:c>
      <x:c r="C812" s="5" t="inlineStr">
        <x:is>
          <x:t xml:space="preserve">meltan</x:t>
        </x:is>
      </x:c>
      <x:c r="D812" s="5" t="n">
        <x:v>7</x:v>
      </x:c>
      <x:c r="E812" s="10" t="n">
        <x:f>SUM(XLOOKUP('포켓몬_편집'!$AF812:$AN812,'분류_규칙'!$A$5:$A$76,'분류_규칙'!$E$5:$E$76,0))</x:f>
        <x:v>0</x:v>
      </x:c>
      <x:c r="F812" s="10" t="n">
        <x:f>SUM(XLOOKUP('포켓몬_편집'!$AF812:$AN812,'분류_규칙'!$A$5:$A$76,'분류_규칙'!$F$5:$F$76,0))</x:f>
        <x:v>0</x:v>
      </x:c>
      <x:c r="G812" s="10" t="n">
        <x:f>SUM(XLOOKUP('포켓몬_편집'!$AF812:$AN812,'분류_규칙'!$A$5:$A$76,'분류_규칙'!$G$5:$G$76,0))</x:f>
        <x:v>0</x:v>
      </x:c>
      <x:c r="H812" s="10" t="n">
        <x:f>SUM(XLOOKUP('포켓몬_편집'!$AF812:$AN812,'분류_규칙'!$A$5:$A$76,'분류_규칙'!$H$5:$H$76,0))</x:f>
        <x:v>0</x:v>
      </x:c>
      <x:c r="I812" s="10" t="n">
        <x:f>SUM(XLOOKUP('포켓몬_편집'!$AF812:$AN812,'분류_규칙'!$A$5:$A$76,'분류_규칙'!$I$5:$I$76,0))</x:f>
        <x:v>0</x:v>
      </x:c>
      <x:c r="J812" s="10" t="n">
        <x:f>SUM(XLOOKUP('포켓몬_편집'!$AF812:$AN812,'분류_규칙'!$A$5:$A$76,'분류_규칙'!$J$5:$J$76,0))</x:f>
        <x:v>0</x:v>
      </x:c>
      <x:c r="K812" s="10" t="n">
        <x:f>SUM(XLOOKUP('포켓몬_편집'!$AF812:$AN812,'분류_규칙'!$A$5:$A$76,'분류_규칙'!$K$5:$K$76,0))</x:f>
        <x:v>0</x:v>
      </x:c>
      <x:c r="L812" s="10" t="n">
        <x:f>SUM(XLOOKUP('포켓몬_편집'!$AF812:$AN812,'분류_규칙'!$A$5:$A$76,'분류_규칙'!$L$5:$L$76,0))</x:f>
        <x:v>0</x:v>
      </x:c>
      <x:c r="M812" s="10" t="n">
        <x:f>SUM(XLOOKUP('포켓몬_편집'!$AF812:$AN812,'분류_규칙'!$A$5:$A$76,'분류_규칙'!$M$5:$M$76,0))</x:f>
        <x:v>0</x:v>
      </x:c>
      <x:c r="N812" s="10" t="n">
        <x:f>SUM(XLOOKUP('포켓몬_편집'!$AF812:$AN812,'분류_규칙'!$A$5:$A$76,'분류_규칙'!$N$5:$N$76,0))</x:f>
        <x:v>0</x:v>
      </x:c>
      <x:c r="O812" s="10" t="n">
        <x:f>SUM(XLOOKUP('포켓몬_편집'!$AF812:$AN812,'분류_규칙'!$A$5:$A$76,'분류_규칙'!$O$5:$O$76,0))</x:f>
        <x:v>30</x:v>
      </x:c>
      <x:c r="P812" s="10" t="n">
        <x:f>SUM(XLOOKUP('포켓몬_편집'!$AF812:$AN812,'분류_규칙'!$A$5:$A$76,'분류_규칙'!$P$5:$P$76,0))</x:f>
        <x:v>8</x:v>
      </x:c>
    </x:row>
    <x:row r="813" ht="22" customHeight="1">
      <x:c r="A813" s="5" t="n">
        <x:v>809</x:v>
      </x:c>
      <x:c r="B813" s="5" t="inlineStr">
        <x:is>
          <x:t xml:space="preserve">멜메탈</x:t>
        </x:is>
      </x:c>
      <x:c r="C813" s="5" t="inlineStr">
        <x:is>
          <x:t xml:space="preserve">melmetal</x:t>
        </x:is>
      </x:c>
      <x:c r="D813" s="5" t="n">
        <x:v>7</x:v>
      </x:c>
      <x:c r="E813" s="10" t="n">
        <x:f>SUM(XLOOKUP('포켓몬_편집'!$AF813:$AN813,'분류_규칙'!$A$5:$A$76,'분류_규칙'!$E$5:$E$76,0))</x:f>
        <x:v>0</x:v>
      </x:c>
      <x:c r="F813" s="10" t="n">
        <x:f>SUM(XLOOKUP('포켓몬_편집'!$AF813:$AN813,'분류_규칙'!$A$5:$A$76,'분류_규칙'!$F$5:$F$76,0))</x:f>
        <x:v>0</x:v>
      </x:c>
      <x:c r="G813" s="10" t="n">
        <x:f>SUM(XLOOKUP('포켓몬_편집'!$AF813:$AN813,'분류_규칙'!$A$5:$A$76,'분류_규칙'!$G$5:$G$76,0))</x:f>
        <x:v>0</x:v>
      </x:c>
      <x:c r="H813" s="10" t="n">
        <x:f>SUM(XLOOKUP('포켓몬_편집'!$AF813:$AN813,'분류_규칙'!$A$5:$A$76,'분류_규칙'!$H$5:$H$76,0))</x:f>
        <x:v>0</x:v>
      </x:c>
      <x:c r="I813" s="10" t="n">
        <x:f>SUM(XLOOKUP('포켓몬_편집'!$AF813:$AN813,'분류_규칙'!$A$5:$A$76,'분류_규칙'!$I$5:$I$76,0))</x:f>
        <x:v>0</x:v>
      </x:c>
      <x:c r="J813" s="10" t="n">
        <x:f>SUM(XLOOKUP('포켓몬_편집'!$AF813:$AN813,'분류_규칙'!$A$5:$A$76,'분류_규칙'!$J$5:$J$76,0))</x:f>
        <x:v>0</x:v>
      </x:c>
      <x:c r="K813" s="10" t="n">
        <x:f>SUM(XLOOKUP('포켓몬_편집'!$AF813:$AN813,'분류_규칙'!$A$5:$A$76,'분류_규칙'!$K$5:$K$76,0))</x:f>
        <x:v>0</x:v>
      </x:c>
      <x:c r="L813" s="10" t="n">
        <x:f>SUM(XLOOKUP('포켓몬_편집'!$AF813:$AN813,'분류_규칙'!$A$5:$A$76,'분류_규칙'!$L$5:$L$76,0))</x:f>
        <x:v>0</x:v>
      </x:c>
      <x:c r="M813" s="10" t="n">
        <x:f>SUM(XLOOKUP('포켓몬_편집'!$AF813:$AN813,'분류_규칙'!$A$5:$A$76,'분류_규칙'!$M$5:$M$76,0))</x:f>
        <x:v>0</x:v>
      </x:c>
      <x:c r="N813" s="10" t="n">
        <x:f>SUM(XLOOKUP('포켓몬_편집'!$AF813:$AN813,'분류_규칙'!$A$5:$A$76,'분류_규칙'!$N$5:$N$76,0))</x:f>
        <x:v>0</x:v>
      </x:c>
      <x:c r="O813" s="10" t="n">
        <x:f>SUM(XLOOKUP('포켓몬_편집'!$AF813:$AN813,'분류_규칙'!$A$5:$A$76,'분류_규칙'!$O$5:$O$76,0))</x:f>
        <x:v>30</x:v>
      </x:c>
      <x:c r="P813" s="10" t="n">
        <x:f>SUM(XLOOKUP('포켓몬_편집'!$AF813:$AN813,'분류_규칙'!$A$5:$A$76,'분류_규칙'!$P$5:$P$76,0))</x:f>
        <x:v>8</x:v>
      </x:c>
    </x:row>
    <x:row r="814" ht="22" customHeight="1">
      <x:c r="A814" s="5" t="n">
        <x:v>810</x:v>
      </x:c>
      <x:c r="B814" s="5" t="inlineStr">
        <x:is>
          <x:t xml:space="preserve">흥나숭</x:t>
        </x:is>
      </x:c>
      <x:c r="C814" s="5" t="inlineStr">
        <x:is>
          <x:t xml:space="preserve">grookey</x:t>
        </x:is>
      </x:c>
      <x:c r="D814" s="5" t="n">
        <x:v>8</x:v>
      </x:c>
      <x:c r="E814" s="10" t="n">
        <x:f>SUM(XLOOKUP('포켓몬_편집'!$AF814:$AN814,'분류_규칙'!$A$5:$A$76,'분류_규칙'!$E$5:$E$76,0))</x:f>
        <x:v>10</x:v>
      </x:c>
      <x:c r="F814" s="10" t="n">
        <x:f>SUM(XLOOKUP('포켓몬_편집'!$AF814:$AN814,'분류_규칙'!$A$5:$A$76,'분류_규칙'!$F$5:$F$76,0))</x:f>
        <x:v>7</x:v>
      </x:c>
      <x:c r="G814" s="10" t="n">
        <x:f>SUM(XLOOKUP('포켓몬_편집'!$AF814:$AN814,'분류_규칙'!$A$5:$A$76,'분류_규칙'!$G$5:$G$76,0))</x:f>
        <x:v>5</x:v>
      </x:c>
      <x:c r="H814" s="10" t="n">
        <x:f>SUM(XLOOKUP('포켓몬_편집'!$AF814:$AN814,'분류_규칙'!$A$5:$A$76,'분류_규칙'!$H$5:$H$76,0))</x:f>
        <x:v>5</x:v>
      </x:c>
      <x:c r="I814" s="10" t="n">
        <x:f>SUM(XLOOKUP('포켓몬_편집'!$AF814:$AN814,'분류_규칙'!$A$5:$A$76,'분류_규칙'!$I$5:$I$76,0))</x:f>
        <x:v>0</x:v>
      </x:c>
      <x:c r="J814" s="10" t="n">
        <x:f>SUM(XLOOKUP('포켓몬_편집'!$AF814:$AN814,'분류_규칙'!$A$5:$A$76,'분류_규칙'!$J$5:$J$76,0))</x:f>
        <x:v>2</x:v>
      </x:c>
      <x:c r="K814" s="10" t="n">
        <x:f>SUM(XLOOKUP('포켓몬_편집'!$AF814:$AN814,'분류_규칙'!$A$5:$A$76,'분류_규칙'!$K$5:$K$76,0))</x:f>
        <x:v>0</x:v>
      </x:c>
      <x:c r="L814" s="10" t="n">
        <x:f>SUM(XLOOKUP('포켓몬_편집'!$AF814:$AN814,'분류_규칙'!$A$5:$A$76,'분류_규칙'!$L$5:$L$76,0))</x:f>
        <x:v>0</x:v>
      </x:c>
      <x:c r="M814" s="10" t="n">
        <x:f>SUM(XLOOKUP('포켓몬_편집'!$AF814:$AN814,'분류_규칙'!$A$5:$A$76,'분류_규칙'!$M$5:$M$76,0))</x:f>
        <x:v>0</x:v>
      </x:c>
      <x:c r="N814" s="10" t="n">
        <x:f>SUM(XLOOKUP('포켓몬_편집'!$AF814:$AN814,'분류_규칙'!$A$5:$A$76,'분류_규칙'!$N$5:$N$76,0))</x:f>
        <x:v>0</x:v>
      </x:c>
      <x:c r="O814" s="10" t="n">
        <x:f>SUM(XLOOKUP('포켓몬_편집'!$AF814:$AN814,'분류_규칙'!$A$5:$A$76,'분류_규칙'!$O$5:$O$76,0))</x:f>
        <x:v>2</x:v>
      </x:c>
      <x:c r="P814" s="10" t="n">
        <x:f>SUM(XLOOKUP('포켓몬_편집'!$AF814:$AN814,'분류_규칙'!$A$5:$A$76,'분류_규칙'!$P$5:$P$76,0))</x:f>
        <x:v>0</x:v>
      </x:c>
    </x:row>
    <x:row r="815" ht="22" customHeight="1">
      <x:c r="A815" s="5" t="n">
        <x:v>811</x:v>
      </x:c>
      <x:c r="B815" s="5" t="inlineStr">
        <x:is>
          <x:t xml:space="preserve">채키몽</x:t>
        </x:is>
      </x:c>
      <x:c r="C815" s="5" t="inlineStr">
        <x:is>
          <x:t xml:space="preserve">thwackey</x:t>
        </x:is>
      </x:c>
      <x:c r="D815" s="5" t="n">
        <x:v>8</x:v>
      </x:c>
      <x:c r="E815" s="10" t="n">
        <x:f>SUM(XLOOKUP('포켓몬_편집'!$AF815:$AN815,'분류_규칙'!$A$5:$A$76,'분류_규칙'!$E$5:$E$76,0))</x:f>
        <x:v>10</x:v>
      </x:c>
      <x:c r="F815" s="10" t="n">
        <x:f>SUM(XLOOKUP('포켓몬_편집'!$AF815:$AN815,'분류_규칙'!$A$5:$A$76,'분류_규칙'!$F$5:$F$76,0))</x:f>
        <x:v>7</x:v>
      </x:c>
      <x:c r="G815" s="10" t="n">
        <x:f>SUM(XLOOKUP('포켓몬_편집'!$AF815:$AN815,'분류_규칙'!$A$5:$A$76,'분류_규칙'!$G$5:$G$76,0))</x:f>
        <x:v>5</x:v>
      </x:c>
      <x:c r="H815" s="10" t="n">
        <x:f>SUM(XLOOKUP('포켓몬_편집'!$AF815:$AN815,'분류_규칙'!$A$5:$A$76,'분류_규칙'!$H$5:$H$76,0))</x:f>
        <x:v>5</x:v>
      </x:c>
      <x:c r="I815" s="10" t="n">
        <x:f>SUM(XLOOKUP('포켓몬_편집'!$AF815:$AN815,'분류_규칙'!$A$5:$A$76,'분류_규칙'!$I$5:$I$76,0))</x:f>
        <x:v>0</x:v>
      </x:c>
      <x:c r="J815" s="10" t="n">
        <x:f>SUM(XLOOKUP('포켓몬_편집'!$AF815:$AN815,'분류_규칙'!$A$5:$A$76,'분류_규칙'!$J$5:$J$76,0))</x:f>
        <x:v>2</x:v>
      </x:c>
      <x:c r="K815" s="10" t="n">
        <x:f>SUM(XLOOKUP('포켓몬_편집'!$AF815:$AN815,'분류_규칙'!$A$5:$A$76,'분류_규칙'!$K$5:$K$76,0))</x:f>
        <x:v>0</x:v>
      </x:c>
      <x:c r="L815" s="10" t="n">
        <x:f>SUM(XLOOKUP('포켓몬_편집'!$AF815:$AN815,'분류_규칙'!$A$5:$A$76,'분류_규칙'!$L$5:$L$76,0))</x:f>
        <x:v>0</x:v>
      </x:c>
      <x:c r="M815" s="10" t="n">
        <x:f>SUM(XLOOKUP('포켓몬_편집'!$AF815:$AN815,'분류_규칙'!$A$5:$A$76,'분류_규칙'!$M$5:$M$76,0))</x:f>
        <x:v>0</x:v>
      </x:c>
      <x:c r="N815" s="10" t="n">
        <x:f>SUM(XLOOKUP('포켓몬_편집'!$AF815:$AN815,'분류_규칙'!$A$5:$A$76,'분류_규칙'!$N$5:$N$76,0))</x:f>
        <x:v>0</x:v>
      </x:c>
      <x:c r="O815" s="10" t="n">
        <x:f>SUM(XLOOKUP('포켓몬_편집'!$AF815:$AN815,'분류_규칙'!$A$5:$A$76,'분류_규칙'!$O$5:$O$76,0))</x:f>
        <x:v>2</x:v>
      </x:c>
      <x:c r="P815" s="10" t="n">
        <x:f>SUM(XLOOKUP('포켓몬_편집'!$AF815:$AN815,'분류_규칙'!$A$5:$A$76,'분류_규칙'!$P$5:$P$76,0))</x:f>
        <x:v>0</x:v>
      </x:c>
    </x:row>
    <x:row r="816" ht="22" customHeight="1">
      <x:c r="A816" s="5" t="n">
        <x:v>812</x:v>
      </x:c>
      <x:c r="B816" s="5" t="inlineStr">
        <x:is>
          <x:t xml:space="preserve">고릴타</x:t>
        </x:is>
      </x:c>
      <x:c r="C816" s="5" t="inlineStr">
        <x:is>
          <x:t xml:space="preserve">rillaboom</x:t>
        </x:is>
      </x:c>
      <x:c r="D816" s="5" t="n">
        <x:v>8</x:v>
      </x:c>
      <x:c r="E816" s="10" t="n">
        <x:f>SUM(XLOOKUP('포켓몬_편집'!$AF816:$AN816,'분류_규칙'!$A$5:$A$76,'분류_규칙'!$E$5:$E$76,0))</x:f>
        <x:v>10</x:v>
      </x:c>
      <x:c r="F816" s="10" t="n">
        <x:f>SUM(XLOOKUP('포켓몬_편집'!$AF816:$AN816,'분류_규칙'!$A$5:$A$76,'분류_규칙'!$F$5:$F$76,0))</x:f>
        <x:v>7</x:v>
      </x:c>
      <x:c r="G816" s="10" t="n">
        <x:f>SUM(XLOOKUP('포켓몬_편집'!$AF816:$AN816,'분류_규칙'!$A$5:$A$76,'분류_규칙'!$G$5:$G$76,0))</x:f>
        <x:v>5</x:v>
      </x:c>
      <x:c r="H816" s="10" t="n">
        <x:f>SUM(XLOOKUP('포켓몬_편집'!$AF816:$AN816,'분류_규칙'!$A$5:$A$76,'분류_규칙'!$H$5:$H$76,0))</x:f>
        <x:v>5</x:v>
      </x:c>
      <x:c r="I816" s="10" t="n">
        <x:f>SUM(XLOOKUP('포켓몬_편집'!$AF816:$AN816,'분류_규칙'!$A$5:$A$76,'분류_규칙'!$I$5:$I$76,0))</x:f>
        <x:v>0</x:v>
      </x:c>
      <x:c r="J816" s="10" t="n">
        <x:f>SUM(XLOOKUP('포켓몬_편집'!$AF816:$AN816,'분류_규칙'!$A$5:$A$76,'분류_규칙'!$J$5:$J$76,0))</x:f>
        <x:v>2</x:v>
      </x:c>
      <x:c r="K816" s="10" t="n">
        <x:f>SUM(XLOOKUP('포켓몬_편집'!$AF816:$AN816,'분류_규칙'!$A$5:$A$76,'분류_규칙'!$K$5:$K$76,0))</x:f>
        <x:v>0</x:v>
      </x:c>
      <x:c r="L816" s="10" t="n">
        <x:f>SUM(XLOOKUP('포켓몬_편집'!$AF816:$AN816,'분류_규칙'!$A$5:$A$76,'분류_규칙'!$L$5:$L$76,0))</x:f>
        <x:v>0</x:v>
      </x:c>
      <x:c r="M816" s="10" t="n">
        <x:f>SUM(XLOOKUP('포켓몬_편집'!$AF816:$AN816,'분류_규칙'!$A$5:$A$76,'분류_규칙'!$M$5:$M$76,0))</x:f>
        <x:v>0</x:v>
      </x:c>
      <x:c r="N816" s="10" t="n">
        <x:f>SUM(XLOOKUP('포켓몬_편집'!$AF816:$AN816,'분류_규칙'!$A$5:$A$76,'분류_규칙'!$N$5:$N$76,0))</x:f>
        <x:v>0</x:v>
      </x:c>
      <x:c r="O816" s="10" t="n">
        <x:f>SUM(XLOOKUP('포켓몬_편집'!$AF816:$AN816,'분류_규칙'!$A$5:$A$76,'분류_규칙'!$O$5:$O$76,0))</x:f>
        <x:v>2</x:v>
      </x:c>
      <x:c r="P816" s="10" t="n">
        <x:f>SUM(XLOOKUP('포켓몬_편집'!$AF816:$AN816,'분류_규칙'!$A$5:$A$76,'분류_규칙'!$P$5:$P$76,0))</x:f>
        <x:v>0</x:v>
      </x:c>
    </x:row>
    <x:row r="817" ht="22" customHeight="1">
      <x:c r="A817" s="5" t="n">
        <x:v>813</x:v>
      </x:c>
      <x:c r="B817" s="5" t="inlineStr">
        <x:is>
          <x:t xml:space="preserve">염버니</x:t>
        </x:is>
      </x:c>
      <x:c r="C817" s="5" t="inlineStr">
        <x:is>
          <x:t xml:space="preserve">scorbunny</x:t>
        </x:is>
      </x:c>
      <x:c r="D817" s="5" t="n">
        <x:v>8</x:v>
      </x:c>
      <x:c r="E817" s="10" t="n">
        <x:f>SUM(XLOOKUP('포켓몬_편집'!$AF817:$AN817,'분류_규칙'!$A$5:$A$76,'분류_규칙'!$E$5:$E$76,0))</x:f>
        <x:v>10</x:v>
      </x:c>
      <x:c r="F817" s="10" t="n">
        <x:f>SUM(XLOOKUP('포켓몬_편집'!$AF817:$AN817,'분류_규칙'!$A$5:$A$76,'분류_규칙'!$F$5:$F$76,0))</x:f>
        <x:v>7</x:v>
      </x:c>
      <x:c r="G817" s="10" t="n">
        <x:f>SUM(XLOOKUP('포켓몬_편집'!$AF817:$AN817,'분류_규칙'!$A$5:$A$76,'분류_규칙'!$G$5:$G$76,0))</x:f>
        <x:v>5</x:v>
      </x:c>
      <x:c r="H817" s="10" t="n">
        <x:f>SUM(XLOOKUP('포켓몬_편집'!$AF817:$AN817,'분류_규칙'!$A$5:$A$76,'분류_규칙'!$H$5:$H$76,0))</x:f>
        <x:v>5</x:v>
      </x:c>
      <x:c r="I817" s="10" t="n">
        <x:f>SUM(XLOOKUP('포켓몬_편집'!$AF817:$AN817,'분류_규칙'!$A$5:$A$76,'분류_규칙'!$I$5:$I$76,0))</x:f>
        <x:v>0</x:v>
      </x:c>
      <x:c r="J817" s="10" t="n">
        <x:f>SUM(XLOOKUP('포켓몬_편집'!$AF817:$AN817,'분류_규칙'!$A$5:$A$76,'분류_규칙'!$J$5:$J$76,0))</x:f>
        <x:v>2</x:v>
      </x:c>
      <x:c r="K817" s="10" t="n">
        <x:f>SUM(XLOOKUP('포켓몬_편집'!$AF817:$AN817,'분류_규칙'!$A$5:$A$76,'분류_규칙'!$K$5:$K$76,0))</x:f>
        <x:v>0</x:v>
      </x:c>
      <x:c r="L817" s="10" t="n">
        <x:f>SUM(XLOOKUP('포켓몬_편집'!$AF817:$AN817,'분류_규칙'!$A$5:$A$76,'분류_규칙'!$L$5:$L$76,0))</x:f>
        <x:v>0</x:v>
      </x:c>
      <x:c r="M817" s="10" t="n">
        <x:f>SUM(XLOOKUP('포켓몬_편집'!$AF817:$AN817,'분류_규칙'!$A$5:$A$76,'분류_규칙'!$M$5:$M$76,0))</x:f>
        <x:v>0</x:v>
      </x:c>
      <x:c r="N817" s="10" t="n">
        <x:f>SUM(XLOOKUP('포켓몬_편집'!$AF817:$AN817,'분류_규칙'!$A$5:$A$76,'분류_규칙'!$N$5:$N$76,0))</x:f>
        <x:v>0</x:v>
      </x:c>
      <x:c r="O817" s="10" t="n">
        <x:f>SUM(XLOOKUP('포켓몬_편집'!$AF817:$AN817,'분류_규칙'!$A$5:$A$76,'분류_규칙'!$O$5:$O$76,0))</x:f>
        <x:v>2</x:v>
      </x:c>
      <x:c r="P817" s="10" t="n">
        <x:f>SUM(XLOOKUP('포켓몬_편집'!$AF817:$AN817,'분류_규칙'!$A$5:$A$76,'분류_규칙'!$P$5:$P$76,0))</x:f>
        <x:v>0</x:v>
      </x:c>
    </x:row>
    <x:row r="818" ht="22" customHeight="1">
      <x:c r="A818" s="5" t="n">
        <x:v>814</x:v>
      </x:c>
      <x:c r="B818" s="5" t="inlineStr">
        <x:is>
          <x:t xml:space="preserve">래비풋</x:t>
        </x:is>
      </x:c>
      <x:c r="C818" s="5" t="inlineStr">
        <x:is>
          <x:t xml:space="preserve">raboot</x:t>
        </x:is>
      </x:c>
      <x:c r="D818" s="5" t="n">
        <x:v>8</x:v>
      </x:c>
      <x:c r="E818" s="10" t="n">
        <x:f>SUM(XLOOKUP('포켓몬_편집'!$AF818:$AN818,'분류_규칙'!$A$5:$A$76,'분류_규칙'!$E$5:$E$76,0))</x:f>
        <x:v>10</x:v>
      </x:c>
      <x:c r="F818" s="10" t="n">
        <x:f>SUM(XLOOKUP('포켓몬_편집'!$AF818:$AN818,'분류_규칙'!$A$5:$A$76,'분류_규칙'!$F$5:$F$76,0))</x:f>
        <x:v>7</x:v>
      </x:c>
      <x:c r="G818" s="10" t="n">
        <x:f>SUM(XLOOKUP('포켓몬_편집'!$AF818:$AN818,'분류_규칙'!$A$5:$A$76,'분류_규칙'!$G$5:$G$76,0))</x:f>
        <x:v>5</x:v>
      </x:c>
      <x:c r="H818" s="10" t="n">
        <x:f>SUM(XLOOKUP('포켓몬_편집'!$AF818:$AN818,'분류_규칙'!$A$5:$A$76,'분류_규칙'!$H$5:$H$76,0))</x:f>
        <x:v>5</x:v>
      </x:c>
      <x:c r="I818" s="10" t="n">
        <x:f>SUM(XLOOKUP('포켓몬_편집'!$AF818:$AN818,'분류_규칙'!$A$5:$A$76,'분류_규칙'!$I$5:$I$76,0))</x:f>
        <x:v>0</x:v>
      </x:c>
      <x:c r="J818" s="10" t="n">
        <x:f>SUM(XLOOKUP('포켓몬_편집'!$AF818:$AN818,'분류_규칙'!$A$5:$A$76,'분류_규칙'!$J$5:$J$76,0))</x:f>
        <x:v>2</x:v>
      </x:c>
      <x:c r="K818" s="10" t="n">
        <x:f>SUM(XLOOKUP('포켓몬_편집'!$AF818:$AN818,'분류_규칙'!$A$5:$A$76,'분류_규칙'!$K$5:$K$76,0))</x:f>
        <x:v>0</x:v>
      </x:c>
      <x:c r="L818" s="10" t="n">
        <x:f>SUM(XLOOKUP('포켓몬_편집'!$AF818:$AN818,'분류_규칙'!$A$5:$A$76,'분류_규칙'!$L$5:$L$76,0))</x:f>
        <x:v>0</x:v>
      </x:c>
      <x:c r="M818" s="10" t="n">
        <x:f>SUM(XLOOKUP('포켓몬_편집'!$AF818:$AN818,'분류_규칙'!$A$5:$A$76,'분류_규칙'!$M$5:$M$76,0))</x:f>
        <x:v>0</x:v>
      </x:c>
      <x:c r="N818" s="10" t="n">
        <x:f>SUM(XLOOKUP('포켓몬_편집'!$AF818:$AN818,'분류_규칙'!$A$5:$A$76,'분류_규칙'!$N$5:$N$76,0))</x:f>
        <x:v>0</x:v>
      </x:c>
      <x:c r="O818" s="10" t="n">
        <x:f>SUM(XLOOKUP('포켓몬_편집'!$AF818:$AN818,'분류_규칙'!$A$5:$A$76,'분류_규칙'!$O$5:$O$76,0))</x:f>
        <x:v>2</x:v>
      </x:c>
      <x:c r="P818" s="10" t="n">
        <x:f>SUM(XLOOKUP('포켓몬_편집'!$AF818:$AN818,'분류_규칙'!$A$5:$A$76,'분류_규칙'!$P$5:$P$76,0))</x:f>
        <x:v>0</x:v>
      </x:c>
    </x:row>
    <x:row r="819" ht="22" customHeight="1">
      <x:c r="A819" s="5" t="n">
        <x:v>815</x:v>
      </x:c>
      <x:c r="B819" s="5" t="inlineStr">
        <x:is>
          <x:t xml:space="preserve">에이스번</x:t>
        </x:is>
      </x:c>
      <x:c r="C819" s="5" t="inlineStr">
        <x:is>
          <x:t xml:space="preserve">cinderace</x:t>
        </x:is>
      </x:c>
      <x:c r="D819" s="5" t="n">
        <x:v>8</x:v>
      </x:c>
      <x:c r="E819" s="10" t="n">
        <x:f>SUM(XLOOKUP('포켓몬_편집'!$AF819:$AN819,'분류_규칙'!$A$5:$A$76,'분류_규칙'!$E$5:$E$76,0))</x:f>
        <x:v>10</x:v>
      </x:c>
      <x:c r="F819" s="10" t="n">
        <x:f>SUM(XLOOKUP('포켓몬_편집'!$AF819:$AN819,'분류_규칙'!$A$5:$A$76,'분류_규칙'!$F$5:$F$76,0))</x:f>
        <x:v>7</x:v>
      </x:c>
      <x:c r="G819" s="10" t="n">
        <x:f>SUM(XLOOKUP('포켓몬_편집'!$AF819:$AN819,'분류_규칙'!$A$5:$A$76,'분류_규칙'!$G$5:$G$76,0))</x:f>
        <x:v>5</x:v>
      </x:c>
      <x:c r="H819" s="10" t="n">
        <x:f>SUM(XLOOKUP('포켓몬_편집'!$AF819:$AN819,'분류_규칙'!$A$5:$A$76,'분류_규칙'!$H$5:$H$76,0))</x:f>
        <x:v>5</x:v>
      </x:c>
      <x:c r="I819" s="10" t="n">
        <x:f>SUM(XLOOKUP('포켓몬_편집'!$AF819:$AN819,'분류_규칙'!$A$5:$A$76,'분류_규칙'!$I$5:$I$76,0))</x:f>
        <x:v>0</x:v>
      </x:c>
      <x:c r="J819" s="10" t="n">
        <x:f>SUM(XLOOKUP('포켓몬_편집'!$AF819:$AN819,'분류_규칙'!$A$5:$A$76,'분류_규칙'!$J$5:$J$76,0))</x:f>
        <x:v>2</x:v>
      </x:c>
      <x:c r="K819" s="10" t="n">
        <x:f>SUM(XLOOKUP('포켓몬_편집'!$AF819:$AN819,'분류_규칙'!$A$5:$A$76,'분류_규칙'!$K$5:$K$76,0))</x:f>
        <x:v>0</x:v>
      </x:c>
      <x:c r="L819" s="10" t="n">
        <x:f>SUM(XLOOKUP('포켓몬_편집'!$AF819:$AN819,'분류_규칙'!$A$5:$A$76,'분류_규칙'!$L$5:$L$76,0))</x:f>
        <x:v>0</x:v>
      </x:c>
      <x:c r="M819" s="10" t="n">
        <x:f>SUM(XLOOKUP('포켓몬_편집'!$AF819:$AN819,'분류_규칙'!$A$5:$A$76,'분류_규칙'!$M$5:$M$76,0))</x:f>
        <x:v>0</x:v>
      </x:c>
      <x:c r="N819" s="10" t="n">
        <x:f>SUM(XLOOKUP('포켓몬_편집'!$AF819:$AN819,'분류_규칙'!$A$5:$A$76,'분류_규칙'!$N$5:$N$76,0))</x:f>
        <x:v>0</x:v>
      </x:c>
      <x:c r="O819" s="10" t="n">
        <x:f>SUM(XLOOKUP('포켓몬_편집'!$AF819:$AN819,'분류_규칙'!$A$5:$A$76,'분류_규칙'!$O$5:$O$76,0))</x:f>
        <x:v>2</x:v>
      </x:c>
      <x:c r="P819" s="10" t="n">
        <x:f>SUM(XLOOKUP('포켓몬_편집'!$AF819:$AN819,'분류_규칙'!$A$5:$A$76,'분류_규칙'!$P$5:$P$76,0))</x:f>
        <x:v>0</x:v>
      </x:c>
    </x:row>
    <x:row r="820" ht="22" customHeight="1">
      <x:c r="A820" s="5" t="n">
        <x:v>816</x:v>
      </x:c>
      <x:c r="B820" s="5" t="inlineStr">
        <x:is>
          <x:t xml:space="preserve">울머기</x:t>
        </x:is>
      </x:c>
      <x:c r="C820" s="5" t="inlineStr">
        <x:is>
          <x:t xml:space="preserve">sobble</x:t>
        </x:is>
      </x:c>
      <x:c r="D820" s="5" t="n">
        <x:v>8</x:v>
      </x:c>
      <x:c r="E820" s="10" t="n">
        <x:f>SUM(XLOOKUP('포켓몬_편집'!$AF820:$AN820,'분류_규칙'!$A$5:$A$76,'분류_규칙'!$E$5:$E$76,0))</x:f>
        <x:v>0</x:v>
      </x:c>
      <x:c r="F820" s="10" t="n">
        <x:f>SUM(XLOOKUP('포켓몬_편집'!$AF820:$AN820,'분류_규칙'!$A$5:$A$76,'분류_규칙'!$F$5:$F$76,0))</x:f>
        <x:v>0</x:v>
      </x:c>
      <x:c r="G820" s="10" t="n">
        <x:f>SUM(XLOOKUP('포켓몬_편집'!$AF820:$AN820,'분류_규칙'!$A$5:$A$76,'분류_규칙'!$G$5:$G$76,0))</x:f>
        <x:v>0</x:v>
      </x:c>
      <x:c r="H820" s="10" t="n">
        <x:f>SUM(XLOOKUP('포켓몬_편집'!$AF820:$AN820,'분류_규칙'!$A$5:$A$76,'분류_규칙'!$H$5:$H$76,0))</x:f>
        <x:v>0</x:v>
      </x:c>
      <x:c r="I820" s="10" t="n">
        <x:f>SUM(XLOOKUP('포켓몬_편집'!$AF820:$AN820,'분류_규칙'!$A$5:$A$76,'분류_규칙'!$I$5:$I$76,0))</x:f>
        <x:v>0</x:v>
      </x:c>
      <x:c r="J820" s="10" t="n">
        <x:f>SUM(XLOOKUP('포켓몬_편집'!$AF820:$AN820,'분류_규칙'!$A$5:$A$76,'분류_규칙'!$J$5:$J$76,0))</x:f>
        <x:v>22</x:v>
      </x:c>
      <x:c r="K820" s="10" t="n">
        <x:f>SUM(XLOOKUP('포켓몬_편집'!$AF820:$AN820,'분류_규칙'!$A$5:$A$76,'분류_규칙'!$K$5:$K$76,0))</x:f>
        <x:v>16</x:v>
      </x:c>
      <x:c r="L820" s="10" t="n">
        <x:f>SUM(XLOOKUP('포켓몬_편집'!$AF820:$AN820,'분류_규칙'!$A$5:$A$76,'분류_규칙'!$L$5:$L$76,0))</x:f>
        <x:v>8</x:v>
      </x:c>
      <x:c r="M820" s="10" t="n">
        <x:f>SUM(XLOOKUP('포켓몬_편집'!$AF820:$AN820,'분류_규칙'!$A$5:$A$76,'분류_규칙'!$M$5:$M$76,0))</x:f>
        <x:v>0</x:v>
      </x:c>
      <x:c r="N820" s="10" t="n">
        <x:f>SUM(XLOOKUP('포켓몬_편집'!$AF820:$AN820,'분류_규칙'!$A$5:$A$76,'분류_규칙'!$N$5:$N$76,0))</x:f>
        <x:v>0</x:v>
      </x:c>
      <x:c r="O820" s="10" t="n">
        <x:f>SUM(XLOOKUP('포켓몬_편집'!$AF820:$AN820,'분류_규칙'!$A$5:$A$76,'분류_규칙'!$O$5:$O$76,0))</x:f>
        <x:v>0</x:v>
      </x:c>
      <x:c r="P820" s="10" t="n">
        <x:f>SUM(XLOOKUP('포켓몬_편집'!$AF820:$AN820,'분류_규칙'!$A$5:$A$76,'분류_규칙'!$P$5:$P$76,0))</x:f>
        <x:v>0</x:v>
      </x:c>
    </x:row>
    <x:row r="821" ht="22" customHeight="1">
      <x:c r="A821" s="5" t="n">
        <x:v>817</x:v>
      </x:c>
      <x:c r="B821" s="5" t="inlineStr">
        <x:is>
          <x:t xml:space="preserve">누겔레온</x:t>
        </x:is>
      </x:c>
      <x:c r="C821" s="5" t="inlineStr">
        <x:is>
          <x:t xml:space="preserve">drizzile</x:t>
        </x:is>
      </x:c>
      <x:c r="D821" s="5" t="n">
        <x:v>8</x:v>
      </x:c>
      <x:c r="E821" s="10" t="n">
        <x:f>SUM(XLOOKUP('포켓몬_편집'!$AF821:$AN821,'분류_규칙'!$A$5:$A$76,'분류_규칙'!$E$5:$E$76,0))</x:f>
        <x:v>0</x:v>
      </x:c>
      <x:c r="F821" s="10" t="n">
        <x:f>SUM(XLOOKUP('포켓몬_편집'!$AF821:$AN821,'분류_규칙'!$A$5:$A$76,'분류_규칙'!$F$5:$F$76,0))</x:f>
        <x:v>0</x:v>
      </x:c>
      <x:c r="G821" s="10" t="n">
        <x:f>SUM(XLOOKUP('포켓몬_편집'!$AF821:$AN821,'분류_규칙'!$A$5:$A$76,'분류_규칙'!$G$5:$G$76,0))</x:f>
        <x:v>0</x:v>
      </x:c>
      <x:c r="H821" s="10" t="n">
        <x:f>SUM(XLOOKUP('포켓몬_편집'!$AF821:$AN821,'분류_규칙'!$A$5:$A$76,'분류_규칙'!$H$5:$H$76,0))</x:f>
        <x:v>0</x:v>
      </x:c>
      <x:c r="I821" s="10" t="n">
        <x:f>SUM(XLOOKUP('포켓몬_편집'!$AF821:$AN821,'분류_규칙'!$A$5:$A$76,'분류_규칙'!$I$5:$I$76,0))</x:f>
        <x:v>0</x:v>
      </x:c>
      <x:c r="J821" s="10" t="n">
        <x:f>SUM(XLOOKUP('포켓몬_편집'!$AF821:$AN821,'분류_규칙'!$A$5:$A$76,'분류_규칙'!$J$5:$J$76,0))</x:f>
        <x:v>22</x:v>
      </x:c>
      <x:c r="K821" s="10" t="n">
        <x:f>SUM(XLOOKUP('포켓몬_편집'!$AF821:$AN821,'분류_규칙'!$A$5:$A$76,'분류_규칙'!$K$5:$K$76,0))</x:f>
        <x:v>16</x:v>
      </x:c>
      <x:c r="L821" s="10" t="n">
        <x:f>SUM(XLOOKUP('포켓몬_편집'!$AF821:$AN821,'분류_규칙'!$A$5:$A$76,'분류_규칙'!$L$5:$L$76,0))</x:f>
        <x:v>8</x:v>
      </x:c>
      <x:c r="M821" s="10" t="n">
        <x:f>SUM(XLOOKUP('포켓몬_편집'!$AF821:$AN821,'분류_규칙'!$A$5:$A$76,'분류_규칙'!$M$5:$M$76,0))</x:f>
        <x:v>0</x:v>
      </x:c>
      <x:c r="N821" s="10" t="n">
        <x:f>SUM(XLOOKUP('포켓몬_편집'!$AF821:$AN821,'분류_규칙'!$A$5:$A$76,'분류_규칙'!$N$5:$N$76,0))</x:f>
        <x:v>0</x:v>
      </x:c>
      <x:c r="O821" s="10" t="n">
        <x:f>SUM(XLOOKUP('포켓몬_편집'!$AF821:$AN821,'분류_규칙'!$A$5:$A$76,'분류_규칙'!$O$5:$O$76,0))</x:f>
        <x:v>0</x:v>
      </x:c>
      <x:c r="P821" s="10" t="n">
        <x:f>SUM(XLOOKUP('포켓몬_편집'!$AF821:$AN821,'분류_규칙'!$A$5:$A$76,'분류_규칙'!$P$5:$P$76,0))</x:f>
        <x:v>0</x:v>
      </x:c>
    </x:row>
    <x:row r="822" ht="22" customHeight="1">
      <x:c r="A822" s="5" t="n">
        <x:v>818</x:v>
      </x:c>
      <x:c r="B822" s="5" t="inlineStr">
        <x:is>
          <x:t xml:space="preserve">인텔리레온</x:t>
        </x:is>
      </x:c>
      <x:c r="C822" s="5" t="inlineStr">
        <x:is>
          <x:t xml:space="preserve">inteleon</x:t>
        </x:is>
      </x:c>
      <x:c r="D822" s="5" t="n">
        <x:v>8</x:v>
      </x:c>
      <x:c r="E822" s="10" t="n">
        <x:f>SUM(XLOOKUP('포켓몬_편집'!$AF822:$AN822,'분류_규칙'!$A$5:$A$76,'분류_규칙'!$E$5:$E$76,0))</x:f>
        <x:v>0</x:v>
      </x:c>
      <x:c r="F822" s="10" t="n">
        <x:f>SUM(XLOOKUP('포켓몬_편집'!$AF822:$AN822,'분류_규칙'!$A$5:$A$76,'분류_규칙'!$F$5:$F$76,0))</x:f>
        <x:v>0</x:v>
      </x:c>
      <x:c r="G822" s="10" t="n">
        <x:f>SUM(XLOOKUP('포켓몬_편집'!$AF822:$AN822,'분류_규칙'!$A$5:$A$76,'분류_규칙'!$G$5:$G$76,0))</x:f>
        <x:v>0</x:v>
      </x:c>
      <x:c r="H822" s="10" t="n">
        <x:f>SUM(XLOOKUP('포켓몬_편집'!$AF822:$AN822,'분류_규칙'!$A$5:$A$76,'분류_규칙'!$H$5:$H$76,0))</x:f>
        <x:v>0</x:v>
      </x:c>
      <x:c r="I822" s="10" t="n">
        <x:f>SUM(XLOOKUP('포켓몬_편집'!$AF822:$AN822,'분류_규칙'!$A$5:$A$76,'분류_규칙'!$I$5:$I$76,0))</x:f>
        <x:v>0</x:v>
      </x:c>
      <x:c r="J822" s="10" t="n">
        <x:f>SUM(XLOOKUP('포켓몬_편집'!$AF822:$AN822,'분류_규칙'!$A$5:$A$76,'분류_규칙'!$J$5:$J$76,0))</x:f>
        <x:v>22</x:v>
      </x:c>
      <x:c r="K822" s="10" t="n">
        <x:f>SUM(XLOOKUP('포켓몬_편집'!$AF822:$AN822,'분류_규칙'!$A$5:$A$76,'분류_규칙'!$K$5:$K$76,0))</x:f>
        <x:v>16</x:v>
      </x:c>
      <x:c r="L822" s="10" t="n">
        <x:f>SUM(XLOOKUP('포켓몬_편집'!$AF822:$AN822,'분류_규칙'!$A$5:$A$76,'분류_규칙'!$L$5:$L$76,0))</x:f>
        <x:v>8</x:v>
      </x:c>
      <x:c r="M822" s="10" t="n">
        <x:f>SUM(XLOOKUP('포켓몬_편집'!$AF822:$AN822,'분류_규칙'!$A$5:$A$76,'분류_규칙'!$M$5:$M$76,0))</x:f>
        <x:v>0</x:v>
      </x:c>
      <x:c r="N822" s="10" t="n">
        <x:f>SUM(XLOOKUP('포켓몬_편집'!$AF822:$AN822,'분류_규칙'!$A$5:$A$76,'분류_규칙'!$N$5:$N$76,0))</x:f>
        <x:v>0</x:v>
      </x:c>
      <x:c r="O822" s="10" t="n">
        <x:f>SUM(XLOOKUP('포켓몬_편집'!$AF822:$AN822,'분류_규칙'!$A$5:$A$76,'분류_규칙'!$O$5:$O$76,0))</x:f>
        <x:v>0</x:v>
      </x:c>
      <x:c r="P822" s="10" t="n">
        <x:f>SUM(XLOOKUP('포켓몬_편집'!$AF822:$AN822,'분류_규칙'!$A$5:$A$76,'분류_규칙'!$P$5:$P$76,0))</x:f>
        <x:v>0</x:v>
      </x:c>
    </x:row>
    <x:row r="823" ht="22" customHeight="1">
      <x:c r="A823" s="5" t="n">
        <x:v>819</x:v>
      </x:c>
      <x:c r="B823" s="5" t="inlineStr">
        <x:is>
          <x:t xml:space="preserve">탐리스</x:t>
        </x:is>
      </x:c>
      <x:c r="C823" s="5" t="inlineStr">
        <x:is>
          <x:t xml:space="preserve">skwovet</x:t>
        </x:is>
      </x:c>
      <x:c r="D823" s="5" t="n">
        <x:v>8</x:v>
      </x:c>
      <x:c r="E823" s="10" t="n">
        <x:f>SUM(XLOOKUP('포켓몬_편집'!$AF823:$AN823,'분류_규칙'!$A$5:$A$76,'분류_규칙'!$E$5:$E$76,0))</x:f>
        <x:v>10</x:v>
      </x:c>
      <x:c r="F823" s="10" t="n">
        <x:f>SUM(XLOOKUP('포켓몬_편집'!$AF823:$AN823,'분류_규칙'!$A$5:$A$76,'분류_규칙'!$F$5:$F$76,0))</x:f>
        <x:v>7</x:v>
      </x:c>
      <x:c r="G823" s="10" t="n">
        <x:f>SUM(XLOOKUP('포켓몬_편집'!$AF823:$AN823,'분류_규칙'!$A$5:$A$76,'분류_규칙'!$G$5:$G$76,0))</x:f>
        <x:v>5</x:v>
      </x:c>
      <x:c r="H823" s="10" t="n">
        <x:f>SUM(XLOOKUP('포켓몬_편집'!$AF823:$AN823,'분류_규칙'!$A$5:$A$76,'분류_규칙'!$H$5:$H$76,0))</x:f>
        <x:v>5</x:v>
      </x:c>
      <x:c r="I823" s="10" t="n">
        <x:f>SUM(XLOOKUP('포켓몬_편집'!$AF823:$AN823,'분류_규칙'!$A$5:$A$76,'분류_규칙'!$I$5:$I$76,0))</x:f>
        <x:v>0</x:v>
      </x:c>
      <x:c r="J823" s="10" t="n">
        <x:f>SUM(XLOOKUP('포켓몬_편집'!$AF823:$AN823,'분류_규칙'!$A$5:$A$76,'분류_규칙'!$J$5:$J$76,0))</x:f>
        <x:v>2</x:v>
      </x:c>
      <x:c r="K823" s="10" t="n">
        <x:f>SUM(XLOOKUP('포켓몬_편집'!$AF823:$AN823,'분류_규칙'!$A$5:$A$76,'분류_규칙'!$K$5:$K$76,0))</x:f>
        <x:v>0</x:v>
      </x:c>
      <x:c r="L823" s="10" t="n">
        <x:f>SUM(XLOOKUP('포켓몬_편집'!$AF823:$AN823,'분류_규칙'!$A$5:$A$76,'분류_규칙'!$L$5:$L$76,0))</x:f>
        <x:v>0</x:v>
      </x:c>
      <x:c r="M823" s="10" t="n">
        <x:f>SUM(XLOOKUP('포켓몬_편집'!$AF823:$AN823,'분류_규칙'!$A$5:$A$76,'분류_규칙'!$M$5:$M$76,0))</x:f>
        <x:v>0</x:v>
      </x:c>
      <x:c r="N823" s="10" t="n">
        <x:f>SUM(XLOOKUP('포켓몬_편집'!$AF823:$AN823,'분류_규칙'!$A$5:$A$76,'분류_규칙'!$N$5:$N$76,0))</x:f>
        <x:v>0</x:v>
      </x:c>
      <x:c r="O823" s="10" t="n">
        <x:f>SUM(XLOOKUP('포켓몬_편집'!$AF823:$AN823,'분류_규칙'!$A$5:$A$76,'분류_규칙'!$O$5:$O$76,0))</x:f>
        <x:v>2</x:v>
      </x:c>
      <x:c r="P823" s="10" t="n">
        <x:f>SUM(XLOOKUP('포켓몬_편집'!$AF823:$AN823,'분류_규칙'!$A$5:$A$76,'분류_규칙'!$P$5:$P$76,0))</x:f>
        <x:v>0</x:v>
      </x:c>
    </x:row>
    <x:row r="824" ht="22" customHeight="1">
      <x:c r="A824" s="5" t="n">
        <x:v>820</x:v>
      </x:c>
      <x:c r="B824" s="5" t="inlineStr">
        <x:is>
          <x:t xml:space="preserve">요씽리스</x:t>
        </x:is>
      </x:c>
      <x:c r="C824" s="5" t="inlineStr">
        <x:is>
          <x:t xml:space="preserve">greedent</x:t>
        </x:is>
      </x:c>
      <x:c r="D824" s="5" t="n">
        <x:v>8</x:v>
      </x:c>
      <x:c r="E824" s="10" t="n">
        <x:f>SUM(XLOOKUP('포켓몬_편집'!$AF824:$AN824,'분류_규칙'!$A$5:$A$76,'분류_규칙'!$E$5:$E$76,0))</x:f>
        <x:v>10</x:v>
      </x:c>
      <x:c r="F824" s="10" t="n">
        <x:f>SUM(XLOOKUP('포켓몬_편집'!$AF824:$AN824,'분류_규칙'!$A$5:$A$76,'분류_규칙'!$F$5:$F$76,0))</x:f>
        <x:v>7</x:v>
      </x:c>
      <x:c r="G824" s="10" t="n">
        <x:f>SUM(XLOOKUP('포켓몬_편집'!$AF824:$AN824,'분류_규칙'!$A$5:$A$76,'분류_규칙'!$G$5:$G$76,0))</x:f>
        <x:v>5</x:v>
      </x:c>
      <x:c r="H824" s="10" t="n">
        <x:f>SUM(XLOOKUP('포켓몬_편집'!$AF824:$AN824,'분류_규칙'!$A$5:$A$76,'분류_규칙'!$H$5:$H$76,0))</x:f>
        <x:v>5</x:v>
      </x:c>
      <x:c r="I824" s="10" t="n">
        <x:f>SUM(XLOOKUP('포켓몬_편집'!$AF824:$AN824,'분류_규칙'!$A$5:$A$76,'분류_규칙'!$I$5:$I$76,0))</x:f>
        <x:v>0</x:v>
      </x:c>
      <x:c r="J824" s="10" t="n">
        <x:f>SUM(XLOOKUP('포켓몬_편집'!$AF824:$AN824,'분류_규칙'!$A$5:$A$76,'분류_규칙'!$J$5:$J$76,0))</x:f>
        <x:v>2</x:v>
      </x:c>
      <x:c r="K824" s="10" t="n">
        <x:f>SUM(XLOOKUP('포켓몬_편집'!$AF824:$AN824,'분류_규칙'!$A$5:$A$76,'분류_규칙'!$K$5:$K$76,0))</x:f>
        <x:v>0</x:v>
      </x:c>
      <x:c r="L824" s="10" t="n">
        <x:f>SUM(XLOOKUP('포켓몬_편집'!$AF824:$AN824,'분류_규칙'!$A$5:$A$76,'분류_규칙'!$L$5:$L$76,0))</x:f>
        <x:v>0</x:v>
      </x:c>
      <x:c r="M824" s="10" t="n">
        <x:f>SUM(XLOOKUP('포켓몬_편집'!$AF824:$AN824,'분류_규칙'!$A$5:$A$76,'분류_규칙'!$M$5:$M$76,0))</x:f>
        <x:v>0</x:v>
      </x:c>
      <x:c r="N824" s="10" t="n">
        <x:f>SUM(XLOOKUP('포켓몬_편집'!$AF824:$AN824,'분류_규칙'!$A$5:$A$76,'분류_규칙'!$N$5:$N$76,0))</x:f>
        <x:v>0</x:v>
      </x:c>
      <x:c r="O824" s="10" t="n">
        <x:f>SUM(XLOOKUP('포켓몬_편집'!$AF824:$AN824,'분류_규칙'!$A$5:$A$76,'분류_규칙'!$O$5:$O$76,0))</x:f>
        <x:v>2</x:v>
      </x:c>
      <x:c r="P824" s="10" t="n">
        <x:f>SUM(XLOOKUP('포켓몬_편집'!$AF824:$AN824,'분류_규칙'!$A$5:$A$76,'분류_규칙'!$P$5:$P$76,0))</x:f>
        <x:v>0</x:v>
      </x:c>
    </x:row>
    <x:row r="825" ht="22" customHeight="1">
      <x:c r="A825" s="5" t="n">
        <x:v>821</x:v>
      </x:c>
      <x:c r="B825" s="5" t="inlineStr">
        <x:is>
          <x:t xml:space="preserve">파라꼬</x:t>
        </x:is>
      </x:c>
      <x:c r="C825" s="5" t="inlineStr">
        <x:is>
          <x:t xml:space="preserve">rookidee</x:t>
        </x:is>
      </x:c>
      <x:c r="D825" s="5" t="n">
        <x:v>8</x:v>
      </x:c>
      <x:c r="E825" s="10" t="n">
        <x:f>SUM(XLOOKUP('포켓몬_편집'!$AF825:$AN825,'분류_규칙'!$A$5:$A$76,'분류_규칙'!$E$5:$E$76,0))</x:f>
        <x:v>8</x:v>
      </x:c>
      <x:c r="F825" s="10" t="n">
        <x:f>SUM(XLOOKUP('포켓몬_편집'!$AF825:$AN825,'분류_규칙'!$A$5:$A$76,'분류_규칙'!$F$5:$F$76,0))</x:f>
        <x:v>8</x:v>
      </x:c>
      <x:c r="G825" s="10" t="n">
        <x:f>SUM(XLOOKUP('포켓몬_편집'!$AF825:$AN825,'분류_규칙'!$A$5:$A$76,'분류_규칙'!$G$5:$G$76,0))</x:f>
        <x:v>0</x:v>
      </x:c>
      <x:c r="H825" s="10" t="n">
        <x:f>SUM(XLOOKUP('포켓몬_편집'!$AF825:$AN825,'분류_규칙'!$A$5:$A$76,'분류_규칙'!$H$5:$H$76,0))</x:f>
        <x:v>12</x:v>
      </x:c>
      <x:c r="I825" s="10" t="n">
        <x:f>SUM(XLOOKUP('포켓몬_편집'!$AF825:$AN825,'분류_규칙'!$A$5:$A$76,'분류_규칙'!$I$5:$I$76,0))</x:f>
        <x:v>0</x:v>
      </x:c>
      <x:c r="J825" s="10" t="n">
        <x:f>SUM(XLOOKUP('포켓몬_편집'!$AF825:$AN825,'분류_규칙'!$A$5:$A$76,'분류_규칙'!$J$5:$J$76,0))</x:f>
        <x:v>0</x:v>
      </x:c>
      <x:c r="K825" s="10" t="n">
        <x:f>SUM(XLOOKUP('포켓몬_편집'!$AF825:$AN825,'분류_규칙'!$A$5:$A$76,'분류_규칙'!$K$5:$K$76,0))</x:f>
        <x:v>0</x:v>
      </x:c>
      <x:c r="L825" s="10" t="n">
        <x:f>SUM(XLOOKUP('포켓몬_편집'!$AF825:$AN825,'분류_규칙'!$A$5:$A$76,'분류_규칙'!$L$5:$L$76,0))</x:f>
        <x:v>3</x:v>
      </x:c>
      <x:c r="M825" s="10" t="n">
        <x:f>SUM(XLOOKUP('포켓몬_편집'!$AF825:$AN825,'분류_규칙'!$A$5:$A$76,'분류_규칙'!$M$5:$M$76,0))</x:f>
        <x:v>0</x:v>
      </x:c>
      <x:c r="N825" s="10" t="n">
        <x:f>SUM(XLOOKUP('포켓몬_편집'!$AF825:$AN825,'분류_규칙'!$A$5:$A$76,'분류_규칙'!$N$5:$N$76,0))</x:f>
        <x:v>0</x:v>
      </x:c>
      <x:c r="O825" s="10" t="n">
        <x:f>SUM(XLOOKUP('포켓몬_편집'!$AF825:$AN825,'분류_규칙'!$A$5:$A$76,'분류_규칙'!$O$5:$O$76,0))</x:f>
        <x:v>2</x:v>
      </x:c>
      <x:c r="P825" s="10" t="n">
        <x:f>SUM(XLOOKUP('포켓몬_편집'!$AF825:$AN825,'분류_규칙'!$A$5:$A$76,'분류_규칙'!$P$5:$P$76,0))</x:f>
        <x:v>0</x:v>
      </x:c>
    </x:row>
    <x:row r="826" ht="22" customHeight="1">
      <x:c r="A826" s="5" t="n">
        <x:v>822</x:v>
      </x:c>
      <x:c r="B826" s="5" t="inlineStr">
        <x:is>
          <x:t xml:space="preserve">파크로우</x:t>
        </x:is>
      </x:c>
      <x:c r="C826" s="5" t="inlineStr">
        <x:is>
          <x:t xml:space="preserve">corvisquire</x:t>
        </x:is>
      </x:c>
      <x:c r="D826" s="5" t="n">
        <x:v>8</x:v>
      </x:c>
      <x:c r="E826" s="10" t="n">
        <x:f>SUM(XLOOKUP('포켓몬_편집'!$AF826:$AN826,'분류_규칙'!$A$5:$A$76,'분류_규칙'!$E$5:$E$76,0))</x:f>
        <x:v>8</x:v>
      </x:c>
      <x:c r="F826" s="10" t="n">
        <x:f>SUM(XLOOKUP('포켓몬_편집'!$AF826:$AN826,'분류_규칙'!$A$5:$A$76,'분류_규칙'!$F$5:$F$76,0))</x:f>
        <x:v>8</x:v>
      </x:c>
      <x:c r="G826" s="10" t="n">
        <x:f>SUM(XLOOKUP('포켓몬_편집'!$AF826:$AN826,'분류_규칙'!$A$5:$A$76,'분류_규칙'!$G$5:$G$76,0))</x:f>
        <x:v>0</x:v>
      </x:c>
      <x:c r="H826" s="10" t="n">
        <x:f>SUM(XLOOKUP('포켓몬_편집'!$AF826:$AN826,'분류_규칙'!$A$5:$A$76,'분류_규칙'!$H$5:$H$76,0))</x:f>
        <x:v>12</x:v>
      </x:c>
      <x:c r="I826" s="10" t="n">
        <x:f>SUM(XLOOKUP('포켓몬_편집'!$AF826:$AN826,'분류_규칙'!$A$5:$A$76,'분류_규칙'!$I$5:$I$76,0))</x:f>
        <x:v>0</x:v>
      </x:c>
      <x:c r="J826" s="10" t="n">
        <x:f>SUM(XLOOKUP('포켓몬_편집'!$AF826:$AN826,'분류_규칙'!$A$5:$A$76,'분류_규칙'!$J$5:$J$76,0))</x:f>
        <x:v>0</x:v>
      </x:c>
      <x:c r="K826" s="10" t="n">
        <x:f>SUM(XLOOKUP('포켓몬_편집'!$AF826:$AN826,'분류_규칙'!$A$5:$A$76,'분류_규칙'!$K$5:$K$76,0))</x:f>
        <x:v>0</x:v>
      </x:c>
      <x:c r="L826" s="10" t="n">
        <x:f>SUM(XLOOKUP('포켓몬_편집'!$AF826:$AN826,'분류_규칙'!$A$5:$A$76,'분류_규칙'!$L$5:$L$76,0))</x:f>
        <x:v>3</x:v>
      </x:c>
      <x:c r="M826" s="10" t="n">
        <x:f>SUM(XLOOKUP('포켓몬_편집'!$AF826:$AN826,'분류_규칙'!$A$5:$A$76,'분류_규칙'!$M$5:$M$76,0))</x:f>
        <x:v>0</x:v>
      </x:c>
      <x:c r="N826" s="10" t="n">
        <x:f>SUM(XLOOKUP('포켓몬_편집'!$AF826:$AN826,'분류_규칙'!$A$5:$A$76,'분류_규칙'!$N$5:$N$76,0))</x:f>
        <x:v>0</x:v>
      </x:c>
      <x:c r="O826" s="10" t="n">
        <x:f>SUM(XLOOKUP('포켓몬_편집'!$AF826:$AN826,'분류_규칙'!$A$5:$A$76,'분류_규칙'!$O$5:$O$76,0))</x:f>
        <x:v>2</x:v>
      </x:c>
      <x:c r="P826" s="10" t="n">
        <x:f>SUM(XLOOKUP('포켓몬_편집'!$AF826:$AN826,'분류_규칙'!$A$5:$A$76,'분류_규칙'!$P$5:$P$76,0))</x:f>
        <x:v>0</x:v>
      </x:c>
    </x:row>
    <x:row r="827" ht="22" customHeight="1">
      <x:c r="A827" s="5" t="n">
        <x:v>823</x:v>
      </x:c>
      <x:c r="B827" s="5" t="inlineStr">
        <x:is>
          <x:t xml:space="preserve">아머까오</x:t>
        </x:is>
      </x:c>
      <x:c r="C827" s="5" t="inlineStr">
        <x:is>
          <x:t xml:space="preserve">corviknight</x:t>
        </x:is>
      </x:c>
      <x:c r="D827" s="5" t="n">
        <x:v>8</x:v>
      </x:c>
      <x:c r="E827" s="10" t="n">
        <x:f>SUM(XLOOKUP('포켓몬_편집'!$AF827:$AN827,'분류_규칙'!$A$5:$A$76,'분류_규칙'!$E$5:$E$76,0))</x:f>
        <x:v>8</x:v>
      </x:c>
      <x:c r="F827" s="10" t="n">
        <x:f>SUM(XLOOKUP('포켓몬_편집'!$AF827:$AN827,'분류_규칙'!$A$5:$A$76,'분류_규칙'!$F$5:$F$76,0))</x:f>
        <x:v>8</x:v>
      </x:c>
      <x:c r="G827" s="10" t="n">
        <x:f>SUM(XLOOKUP('포켓몬_편집'!$AF827:$AN827,'분류_규칙'!$A$5:$A$76,'분류_규칙'!$G$5:$G$76,0))</x:f>
        <x:v>0</x:v>
      </x:c>
      <x:c r="H827" s="10" t="n">
        <x:f>SUM(XLOOKUP('포켓몬_편집'!$AF827:$AN827,'분류_규칙'!$A$5:$A$76,'분류_규칙'!$H$5:$H$76,0))</x:f>
        <x:v>12</x:v>
      </x:c>
      <x:c r="I827" s="10" t="n">
        <x:f>SUM(XLOOKUP('포켓몬_편집'!$AF827:$AN827,'분류_규칙'!$A$5:$A$76,'분류_규칙'!$I$5:$I$76,0))</x:f>
        <x:v>0</x:v>
      </x:c>
      <x:c r="J827" s="10" t="n">
        <x:f>SUM(XLOOKUP('포켓몬_편집'!$AF827:$AN827,'분류_규칙'!$A$5:$A$76,'분류_규칙'!$J$5:$J$76,0))</x:f>
        <x:v>0</x:v>
      </x:c>
      <x:c r="K827" s="10" t="n">
        <x:f>SUM(XLOOKUP('포켓몬_편집'!$AF827:$AN827,'분류_규칙'!$A$5:$A$76,'분류_규칙'!$K$5:$K$76,0))</x:f>
        <x:v>0</x:v>
      </x:c>
      <x:c r="L827" s="10" t="n">
        <x:f>SUM(XLOOKUP('포켓몬_편집'!$AF827:$AN827,'분류_규칙'!$A$5:$A$76,'분류_규칙'!$L$5:$L$76,0))</x:f>
        <x:v>3</x:v>
      </x:c>
      <x:c r="M827" s="10" t="n">
        <x:f>SUM(XLOOKUP('포켓몬_편집'!$AF827:$AN827,'분류_규칙'!$A$5:$A$76,'분류_규칙'!$M$5:$M$76,0))</x:f>
        <x:v>0</x:v>
      </x:c>
      <x:c r="N827" s="10" t="n">
        <x:f>SUM(XLOOKUP('포켓몬_편집'!$AF827:$AN827,'분류_규칙'!$A$5:$A$76,'분류_규칙'!$N$5:$N$76,0))</x:f>
        <x:v>0</x:v>
      </x:c>
      <x:c r="O827" s="10" t="n">
        <x:f>SUM(XLOOKUP('포켓몬_편집'!$AF827:$AN827,'분류_규칙'!$A$5:$A$76,'분류_규칙'!$O$5:$O$76,0))</x:f>
        <x:v>2</x:v>
      </x:c>
      <x:c r="P827" s="10" t="n">
        <x:f>SUM(XLOOKUP('포켓몬_편집'!$AF827:$AN827,'분류_규칙'!$A$5:$A$76,'분류_규칙'!$P$5:$P$76,0))</x:f>
        <x:v>0</x:v>
      </x:c>
    </x:row>
    <x:row r="828" ht="22" customHeight="1">
      <x:c r="A828" s="5" t="n">
        <x:v>824</x:v>
      </x:c>
      <x:c r="B828" s="5" t="inlineStr">
        <x:is>
          <x:t xml:space="preserve">두루지벌레</x:t>
        </x:is>
      </x:c>
      <x:c r="C828" s="5" t="inlineStr">
        <x:is>
          <x:t xml:space="preserve">blipbug</x:t>
        </x:is>
      </x:c>
      <x:c r="D828" s="5" t="n">
        <x:v>8</x:v>
      </x:c>
      <x:c r="E828" s="10" t="n">
        <x:f>SUM(XLOOKUP('포켓몬_편집'!$AF828:$AN828,'분류_규칙'!$A$5:$A$76,'분류_규칙'!$E$5:$E$76,0))</x:f>
        <x:v>10</x:v>
      </x:c>
      <x:c r="F828" s="10" t="n">
        <x:f>SUM(XLOOKUP('포켓몬_편집'!$AF828:$AN828,'분류_규칙'!$A$5:$A$76,'분류_규칙'!$F$5:$F$76,0))</x:f>
        <x:v>7</x:v>
      </x:c>
      <x:c r="G828" s="10" t="n">
        <x:f>SUM(XLOOKUP('포켓몬_편집'!$AF828:$AN828,'분류_규칙'!$A$5:$A$76,'분류_규칙'!$G$5:$G$76,0))</x:f>
        <x:v>5</x:v>
      </x:c>
      <x:c r="H828" s="10" t="n">
        <x:f>SUM(XLOOKUP('포켓몬_편집'!$AF828:$AN828,'분류_규칙'!$A$5:$A$76,'분류_규칙'!$H$5:$H$76,0))</x:f>
        <x:v>5</x:v>
      </x:c>
      <x:c r="I828" s="10" t="n">
        <x:f>SUM(XLOOKUP('포켓몬_편집'!$AF828:$AN828,'분류_규칙'!$A$5:$A$76,'분류_규칙'!$I$5:$I$76,0))</x:f>
        <x:v>0</x:v>
      </x:c>
      <x:c r="J828" s="10" t="n">
        <x:f>SUM(XLOOKUP('포켓몬_편집'!$AF828:$AN828,'분류_규칙'!$A$5:$A$76,'분류_규칙'!$J$5:$J$76,0))</x:f>
        <x:v>2</x:v>
      </x:c>
      <x:c r="K828" s="10" t="n">
        <x:f>SUM(XLOOKUP('포켓몬_편집'!$AF828:$AN828,'분류_규칙'!$A$5:$A$76,'분류_규칙'!$K$5:$K$76,0))</x:f>
        <x:v>0</x:v>
      </x:c>
      <x:c r="L828" s="10" t="n">
        <x:f>SUM(XLOOKUP('포켓몬_편집'!$AF828:$AN828,'분류_규칙'!$A$5:$A$76,'분류_규칙'!$L$5:$L$76,0))</x:f>
        <x:v>0</x:v>
      </x:c>
      <x:c r="M828" s="10" t="n">
        <x:f>SUM(XLOOKUP('포켓몬_편집'!$AF828:$AN828,'분류_규칙'!$A$5:$A$76,'분류_규칙'!$M$5:$M$76,0))</x:f>
        <x:v>0</x:v>
      </x:c>
      <x:c r="N828" s="10" t="n">
        <x:f>SUM(XLOOKUP('포켓몬_편집'!$AF828:$AN828,'분류_규칙'!$A$5:$A$76,'분류_규칙'!$N$5:$N$76,0))</x:f>
        <x:v>0</x:v>
      </x:c>
      <x:c r="O828" s="10" t="n">
        <x:f>SUM(XLOOKUP('포켓몬_편집'!$AF828:$AN828,'분류_규칙'!$A$5:$A$76,'분류_규칙'!$O$5:$O$76,0))</x:f>
        <x:v>2</x:v>
      </x:c>
      <x:c r="P828" s="10" t="n">
        <x:f>SUM(XLOOKUP('포켓몬_편집'!$AF828:$AN828,'분류_규칙'!$A$5:$A$76,'분류_규칙'!$P$5:$P$76,0))</x:f>
        <x:v>0</x:v>
      </x:c>
    </x:row>
    <x:row r="829" ht="22" customHeight="1">
      <x:c r="A829" s="5" t="n">
        <x:v>825</x:v>
      </x:c>
      <x:c r="B829" s="5" t="inlineStr">
        <x:is>
          <x:t xml:space="preserve">레돔벌레</x:t>
        </x:is>
      </x:c>
      <x:c r="C829" s="5" t="inlineStr">
        <x:is>
          <x:t xml:space="preserve">dottler</x:t>
        </x:is>
      </x:c>
      <x:c r="D829" s="5" t="n">
        <x:v>8</x:v>
      </x:c>
      <x:c r="E829" s="10" t="n">
        <x:f>SUM(XLOOKUP('포켓몬_편집'!$AF829:$AN829,'분류_규칙'!$A$5:$A$76,'분류_규칙'!$E$5:$E$76,0))</x:f>
        <x:v>10</x:v>
      </x:c>
      <x:c r="F829" s="10" t="n">
        <x:f>SUM(XLOOKUP('포켓몬_편집'!$AF829:$AN829,'분류_규칙'!$A$5:$A$76,'분류_규칙'!$F$5:$F$76,0))</x:f>
        <x:v>7</x:v>
      </x:c>
      <x:c r="G829" s="10" t="n">
        <x:f>SUM(XLOOKUP('포켓몬_편집'!$AF829:$AN829,'분류_규칙'!$A$5:$A$76,'분류_규칙'!$G$5:$G$76,0))</x:f>
        <x:v>5</x:v>
      </x:c>
      <x:c r="H829" s="10" t="n">
        <x:f>SUM(XLOOKUP('포켓몬_편집'!$AF829:$AN829,'분류_규칙'!$A$5:$A$76,'분류_규칙'!$H$5:$H$76,0))</x:f>
        <x:v>5</x:v>
      </x:c>
      <x:c r="I829" s="10" t="n">
        <x:f>SUM(XLOOKUP('포켓몬_편집'!$AF829:$AN829,'분류_규칙'!$A$5:$A$76,'분류_규칙'!$I$5:$I$76,0))</x:f>
        <x:v>0</x:v>
      </x:c>
      <x:c r="J829" s="10" t="n">
        <x:f>SUM(XLOOKUP('포켓몬_편집'!$AF829:$AN829,'분류_규칙'!$A$5:$A$76,'분류_규칙'!$J$5:$J$76,0))</x:f>
        <x:v>2</x:v>
      </x:c>
      <x:c r="K829" s="10" t="n">
        <x:f>SUM(XLOOKUP('포켓몬_편집'!$AF829:$AN829,'분류_규칙'!$A$5:$A$76,'분류_규칙'!$K$5:$K$76,0))</x:f>
        <x:v>0</x:v>
      </x:c>
      <x:c r="L829" s="10" t="n">
        <x:f>SUM(XLOOKUP('포켓몬_편집'!$AF829:$AN829,'분류_규칙'!$A$5:$A$76,'분류_규칙'!$L$5:$L$76,0))</x:f>
        <x:v>0</x:v>
      </x:c>
      <x:c r="M829" s="10" t="n">
        <x:f>SUM(XLOOKUP('포켓몬_편집'!$AF829:$AN829,'분류_규칙'!$A$5:$A$76,'분류_규칙'!$M$5:$M$76,0))</x:f>
        <x:v>0</x:v>
      </x:c>
      <x:c r="N829" s="10" t="n">
        <x:f>SUM(XLOOKUP('포켓몬_편집'!$AF829:$AN829,'분류_규칙'!$A$5:$A$76,'분류_규칙'!$N$5:$N$76,0))</x:f>
        <x:v>0</x:v>
      </x:c>
      <x:c r="O829" s="10" t="n">
        <x:f>SUM(XLOOKUP('포켓몬_편집'!$AF829:$AN829,'분류_규칙'!$A$5:$A$76,'분류_규칙'!$O$5:$O$76,0))</x:f>
        <x:v>2</x:v>
      </x:c>
      <x:c r="P829" s="10" t="n">
        <x:f>SUM(XLOOKUP('포켓몬_편집'!$AF829:$AN829,'분류_규칙'!$A$5:$A$76,'분류_규칙'!$P$5:$P$76,0))</x:f>
        <x:v>0</x:v>
      </x:c>
    </x:row>
    <x:row r="830" ht="22" customHeight="1">
      <x:c r="A830" s="5" t="n">
        <x:v>826</x:v>
      </x:c>
      <x:c r="B830" s="5" t="inlineStr">
        <x:is>
          <x:t xml:space="preserve">이올브</x:t>
        </x:is>
      </x:c>
      <x:c r="C830" s="5" t="inlineStr">
        <x:is>
          <x:t xml:space="preserve">orbeetle</x:t>
        </x:is>
      </x:c>
      <x:c r="D830" s="5" t="n">
        <x:v>8</x:v>
      </x:c>
      <x:c r="E830" s="10" t="n">
        <x:f>SUM(XLOOKUP('포켓몬_편집'!$AF830:$AN830,'분류_규칙'!$A$5:$A$76,'분류_규칙'!$E$5:$E$76,0))</x:f>
        <x:v>8</x:v>
      </x:c>
      <x:c r="F830" s="10" t="n">
        <x:f>SUM(XLOOKUP('포켓몬_편집'!$AF830:$AN830,'분류_규칙'!$A$5:$A$76,'분류_규칙'!$F$5:$F$76,0))</x:f>
        <x:v>8</x:v>
      </x:c>
      <x:c r="G830" s="10" t="n">
        <x:f>SUM(XLOOKUP('포켓몬_편집'!$AF830:$AN830,'분류_규칙'!$A$5:$A$76,'분류_규칙'!$G$5:$G$76,0))</x:f>
        <x:v>0</x:v>
      </x:c>
      <x:c r="H830" s="10" t="n">
        <x:f>SUM(XLOOKUP('포켓몬_편집'!$AF830:$AN830,'분류_규칙'!$A$5:$A$76,'분류_규칙'!$H$5:$H$76,0))</x:f>
        <x:v>12</x:v>
      </x:c>
      <x:c r="I830" s="10" t="n">
        <x:f>SUM(XLOOKUP('포켓몬_편집'!$AF830:$AN830,'분류_규칙'!$A$5:$A$76,'분류_규칙'!$I$5:$I$76,0))</x:f>
        <x:v>0</x:v>
      </x:c>
      <x:c r="J830" s="10" t="n">
        <x:f>SUM(XLOOKUP('포켓몬_편집'!$AF830:$AN830,'분류_규칙'!$A$5:$A$76,'분류_규칙'!$J$5:$J$76,0))</x:f>
        <x:v>0</x:v>
      </x:c>
      <x:c r="K830" s="10" t="n">
        <x:f>SUM(XLOOKUP('포켓몬_편집'!$AF830:$AN830,'분류_규칙'!$A$5:$A$76,'분류_규칙'!$K$5:$K$76,0))</x:f>
        <x:v>0</x:v>
      </x:c>
      <x:c r="L830" s="10" t="n">
        <x:f>SUM(XLOOKUP('포켓몬_편집'!$AF830:$AN830,'분류_규칙'!$A$5:$A$76,'분류_규칙'!$L$5:$L$76,0))</x:f>
        <x:v>3</x:v>
      </x:c>
      <x:c r="M830" s="10" t="n">
        <x:f>SUM(XLOOKUP('포켓몬_편집'!$AF830:$AN830,'분류_규칙'!$A$5:$A$76,'분류_규칙'!$M$5:$M$76,0))</x:f>
        <x:v>0</x:v>
      </x:c>
      <x:c r="N830" s="10" t="n">
        <x:f>SUM(XLOOKUP('포켓몬_편집'!$AF830:$AN830,'분류_규칙'!$A$5:$A$76,'분류_규칙'!$N$5:$N$76,0))</x:f>
        <x:v>0</x:v>
      </x:c>
      <x:c r="O830" s="10" t="n">
        <x:f>SUM(XLOOKUP('포켓몬_편집'!$AF830:$AN830,'분류_규칙'!$A$5:$A$76,'분류_규칙'!$O$5:$O$76,0))</x:f>
        <x:v>2</x:v>
      </x:c>
      <x:c r="P830" s="10" t="n">
        <x:f>SUM(XLOOKUP('포켓몬_편집'!$AF830:$AN830,'분류_규칙'!$A$5:$A$76,'분류_규칙'!$P$5:$P$76,0))</x:f>
        <x:v>0</x:v>
      </x:c>
    </x:row>
    <x:row r="831" ht="22" customHeight="1">
      <x:c r="A831" s="5" t="n">
        <x:v>827</x:v>
      </x:c>
      <x:c r="B831" s="5" t="inlineStr">
        <x:is>
          <x:t xml:space="preserve">훔처우</x:t>
        </x:is>
      </x:c>
      <x:c r="C831" s="5" t="inlineStr">
        <x:is>
          <x:t xml:space="preserve">nickit</x:t>
        </x:is>
      </x:c>
      <x:c r="D831" s="5" t="n">
        <x:v>8</x:v>
      </x:c>
      <x:c r="E831" s="10" t="n">
        <x:f>SUM(XLOOKUP('포켓몬_편집'!$AF831:$AN831,'분류_규칙'!$A$5:$A$76,'분류_규칙'!$E$5:$E$76,0))</x:f>
        <x:v>10</x:v>
      </x:c>
      <x:c r="F831" s="10" t="n">
        <x:f>SUM(XLOOKUP('포켓몬_편집'!$AF831:$AN831,'분류_규칙'!$A$5:$A$76,'분류_규칙'!$F$5:$F$76,0))</x:f>
        <x:v>7</x:v>
      </x:c>
      <x:c r="G831" s="10" t="n">
        <x:f>SUM(XLOOKUP('포켓몬_편집'!$AF831:$AN831,'분류_규칙'!$A$5:$A$76,'분류_규칙'!$G$5:$G$76,0))</x:f>
        <x:v>5</x:v>
      </x:c>
      <x:c r="H831" s="10" t="n">
        <x:f>SUM(XLOOKUP('포켓몬_편집'!$AF831:$AN831,'분류_규칙'!$A$5:$A$76,'분류_규칙'!$H$5:$H$76,0))</x:f>
        <x:v>5</x:v>
      </x:c>
      <x:c r="I831" s="10" t="n">
        <x:f>SUM(XLOOKUP('포켓몬_편집'!$AF831:$AN831,'분류_규칙'!$A$5:$A$76,'분류_규칙'!$I$5:$I$76,0))</x:f>
        <x:v>0</x:v>
      </x:c>
      <x:c r="J831" s="10" t="n">
        <x:f>SUM(XLOOKUP('포켓몬_편집'!$AF831:$AN831,'분류_규칙'!$A$5:$A$76,'분류_규칙'!$J$5:$J$76,0))</x:f>
        <x:v>2</x:v>
      </x:c>
      <x:c r="K831" s="10" t="n">
        <x:f>SUM(XLOOKUP('포켓몬_편집'!$AF831:$AN831,'분류_규칙'!$A$5:$A$76,'분류_규칙'!$K$5:$K$76,0))</x:f>
        <x:v>0</x:v>
      </x:c>
      <x:c r="L831" s="10" t="n">
        <x:f>SUM(XLOOKUP('포켓몬_편집'!$AF831:$AN831,'분류_규칙'!$A$5:$A$76,'분류_규칙'!$L$5:$L$76,0))</x:f>
        <x:v>0</x:v>
      </x:c>
      <x:c r="M831" s="10" t="n">
        <x:f>SUM(XLOOKUP('포켓몬_편집'!$AF831:$AN831,'분류_규칙'!$A$5:$A$76,'분류_규칙'!$M$5:$M$76,0))</x:f>
        <x:v>0</x:v>
      </x:c>
      <x:c r="N831" s="10" t="n">
        <x:f>SUM(XLOOKUP('포켓몬_편집'!$AF831:$AN831,'분류_규칙'!$A$5:$A$76,'분류_규칙'!$N$5:$N$76,0))</x:f>
        <x:v>0</x:v>
      </x:c>
      <x:c r="O831" s="10" t="n">
        <x:f>SUM(XLOOKUP('포켓몬_편집'!$AF831:$AN831,'분류_규칙'!$A$5:$A$76,'분류_규칙'!$O$5:$O$76,0))</x:f>
        <x:v>2</x:v>
      </x:c>
      <x:c r="P831" s="10" t="n">
        <x:f>SUM(XLOOKUP('포켓몬_편집'!$AF831:$AN831,'분류_규칙'!$A$5:$A$76,'분류_규칙'!$P$5:$P$76,0))</x:f>
        <x:v>0</x:v>
      </x:c>
    </x:row>
    <x:row r="832" ht="22" customHeight="1">
      <x:c r="A832" s="5" t="n">
        <x:v>828</x:v>
      </x:c>
      <x:c r="B832" s="5" t="inlineStr">
        <x:is>
          <x:t xml:space="preserve">폭슬라이</x:t>
        </x:is>
      </x:c>
      <x:c r="C832" s="5" t="inlineStr">
        <x:is>
          <x:t xml:space="preserve">thievul</x:t>
        </x:is>
      </x:c>
      <x:c r="D832" s="5" t="n">
        <x:v>8</x:v>
      </x:c>
      <x:c r="E832" s="10" t="n">
        <x:f>SUM(XLOOKUP('포켓몬_편집'!$AF832:$AN832,'분류_규칙'!$A$5:$A$76,'분류_규칙'!$E$5:$E$76,0))</x:f>
        <x:v>10</x:v>
      </x:c>
      <x:c r="F832" s="10" t="n">
        <x:f>SUM(XLOOKUP('포켓몬_편집'!$AF832:$AN832,'분류_규칙'!$A$5:$A$76,'분류_규칙'!$F$5:$F$76,0))</x:f>
        <x:v>7</x:v>
      </x:c>
      <x:c r="G832" s="10" t="n">
        <x:f>SUM(XLOOKUP('포켓몬_편집'!$AF832:$AN832,'분류_규칙'!$A$5:$A$76,'분류_규칙'!$G$5:$G$76,0))</x:f>
        <x:v>5</x:v>
      </x:c>
      <x:c r="H832" s="10" t="n">
        <x:f>SUM(XLOOKUP('포켓몬_편집'!$AF832:$AN832,'분류_규칙'!$A$5:$A$76,'분류_규칙'!$H$5:$H$76,0))</x:f>
        <x:v>5</x:v>
      </x:c>
      <x:c r="I832" s="10" t="n">
        <x:f>SUM(XLOOKUP('포켓몬_편집'!$AF832:$AN832,'분류_규칙'!$A$5:$A$76,'분류_규칙'!$I$5:$I$76,0))</x:f>
        <x:v>0</x:v>
      </x:c>
      <x:c r="J832" s="10" t="n">
        <x:f>SUM(XLOOKUP('포켓몬_편집'!$AF832:$AN832,'분류_규칙'!$A$5:$A$76,'분류_규칙'!$J$5:$J$76,0))</x:f>
        <x:v>2</x:v>
      </x:c>
      <x:c r="K832" s="10" t="n">
        <x:f>SUM(XLOOKUP('포켓몬_편집'!$AF832:$AN832,'분류_규칙'!$A$5:$A$76,'분류_규칙'!$K$5:$K$76,0))</x:f>
        <x:v>0</x:v>
      </x:c>
      <x:c r="L832" s="10" t="n">
        <x:f>SUM(XLOOKUP('포켓몬_편집'!$AF832:$AN832,'분류_규칙'!$A$5:$A$76,'분류_규칙'!$L$5:$L$76,0))</x:f>
        <x:v>0</x:v>
      </x:c>
      <x:c r="M832" s="10" t="n">
        <x:f>SUM(XLOOKUP('포켓몬_편집'!$AF832:$AN832,'분류_규칙'!$A$5:$A$76,'분류_규칙'!$M$5:$M$76,0))</x:f>
        <x:v>0</x:v>
      </x:c>
      <x:c r="N832" s="10" t="n">
        <x:f>SUM(XLOOKUP('포켓몬_편집'!$AF832:$AN832,'분류_규칙'!$A$5:$A$76,'분류_규칙'!$N$5:$N$76,0))</x:f>
        <x:v>0</x:v>
      </x:c>
      <x:c r="O832" s="10" t="n">
        <x:f>SUM(XLOOKUP('포켓몬_편집'!$AF832:$AN832,'분류_규칙'!$A$5:$A$76,'분류_규칙'!$O$5:$O$76,0))</x:f>
        <x:v>2</x:v>
      </x:c>
      <x:c r="P832" s="10" t="n">
        <x:f>SUM(XLOOKUP('포켓몬_편집'!$AF832:$AN832,'분류_규칙'!$A$5:$A$76,'분류_규칙'!$P$5:$P$76,0))</x:f>
        <x:v>0</x:v>
      </x:c>
    </x:row>
    <x:row r="833" ht="22" customHeight="1">
      <x:c r="A833" s="5" t="n">
        <x:v>829</x:v>
      </x:c>
      <x:c r="B833" s="5" t="inlineStr">
        <x:is>
          <x:t xml:space="preserve">꼬모카</x:t>
        </x:is>
      </x:c>
      <x:c r="C833" s="5" t="inlineStr">
        <x:is>
          <x:t xml:space="preserve">gossifleur</x:t>
        </x:is>
      </x:c>
      <x:c r="D833" s="5" t="n">
        <x:v>8</x:v>
      </x:c>
      <x:c r="E833" s="10" t="n">
        <x:f>SUM(XLOOKUP('포켓몬_편집'!$AF833:$AN833,'분류_규칙'!$A$5:$A$76,'분류_규칙'!$E$5:$E$76,0))</x:f>
        <x:v>8</x:v>
      </x:c>
      <x:c r="F833" s="10" t="n">
        <x:f>SUM(XLOOKUP('포켓몬_편집'!$AF833:$AN833,'분류_규칙'!$A$5:$A$76,'분류_규칙'!$F$5:$F$76,0))</x:f>
        <x:v>8</x:v>
      </x:c>
      <x:c r="G833" s="10" t="n">
        <x:f>SUM(XLOOKUP('포켓몬_편집'!$AF833:$AN833,'분류_규칙'!$A$5:$A$76,'분류_규칙'!$G$5:$G$76,0))</x:f>
        <x:v>0</x:v>
      </x:c>
      <x:c r="H833" s="10" t="n">
        <x:f>SUM(XLOOKUP('포켓몬_편집'!$AF833:$AN833,'분류_규칙'!$A$5:$A$76,'분류_규칙'!$H$5:$H$76,0))</x:f>
        <x:v>12</x:v>
      </x:c>
      <x:c r="I833" s="10" t="n">
        <x:f>SUM(XLOOKUP('포켓몬_편집'!$AF833:$AN833,'분류_규칙'!$A$5:$A$76,'분류_규칙'!$I$5:$I$76,0))</x:f>
        <x:v>0</x:v>
      </x:c>
      <x:c r="J833" s="10" t="n">
        <x:f>SUM(XLOOKUP('포켓몬_편집'!$AF833:$AN833,'분류_규칙'!$A$5:$A$76,'분류_규칙'!$J$5:$J$76,0))</x:f>
        <x:v>0</x:v>
      </x:c>
      <x:c r="K833" s="10" t="n">
        <x:f>SUM(XLOOKUP('포켓몬_편집'!$AF833:$AN833,'분류_규칙'!$A$5:$A$76,'분류_규칙'!$K$5:$K$76,0))</x:f>
        <x:v>0</x:v>
      </x:c>
      <x:c r="L833" s="10" t="n">
        <x:f>SUM(XLOOKUP('포켓몬_편집'!$AF833:$AN833,'분류_규칙'!$A$5:$A$76,'분류_규칙'!$L$5:$L$76,0))</x:f>
        <x:v>3</x:v>
      </x:c>
      <x:c r="M833" s="10" t="n">
        <x:f>SUM(XLOOKUP('포켓몬_편집'!$AF833:$AN833,'분류_규칙'!$A$5:$A$76,'분류_규칙'!$M$5:$M$76,0))</x:f>
        <x:v>0</x:v>
      </x:c>
      <x:c r="N833" s="10" t="n">
        <x:f>SUM(XLOOKUP('포켓몬_편집'!$AF833:$AN833,'분류_규칙'!$A$5:$A$76,'분류_규칙'!$N$5:$N$76,0))</x:f>
        <x:v>0</x:v>
      </x:c>
      <x:c r="O833" s="10" t="n">
        <x:f>SUM(XLOOKUP('포켓몬_편집'!$AF833:$AN833,'분류_규칙'!$A$5:$A$76,'분류_규칙'!$O$5:$O$76,0))</x:f>
        <x:v>2</x:v>
      </x:c>
      <x:c r="P833" s="10" t="n">
        <x:f>SUM(XLOOKUP('포켓몬_편집'!$AF833:$AN833,'분류_규칙'!$A$5:$A$76,'분류_규칙'!$P$5:$P$76,0))</x:f>
        <x:v>0</x:v>
      </x:c>
    </x:row>
    <x:row r="834" ht="22" customHeight="1">
      <x:c r="A834" s="5" t="n">
        <x:v>830</x:v>
      </x:c>
      <x:c r="B834" s="5" t="inlineStr">
        <x:is>
          <x:t xml:space="preserve">백솜모카</x:t>
        </x:is>
      </x:c>
      <x:c r="C834" s="5" t="inlineStr">
        <x:is>
          <x:t xml:space="preserve">eldegoss</x:t>
        </x:is>
      </x:c>
      <x:c r="D834" s="5" t="n">
        <x:v>8</x:v>
      </x:c>
      <x:c r="E834" s="10" t="n">
        <x:f>SUM(XLOOKUP('포켓몬_편집'!$AF834:$AN834,'분류_규칙'!$A$5:$A$76,'분류_규칙'!$E$5:$E$76,0))</x:f>
        <x:v>8</x:v>
      </x:c>
      <x:c r="F834" s="10" t="n">
        <x:f>SUM(XLOOKUP('포켓몬_편집'!$AF834:$AN834,'분류_규칙'!$A$5:$A$76,'분류_규칙'!$F$5:$F$76,0))</x:f>
        <x:v>8</x:v>
      </x:c>
      <x:c r="G834" s="10" t="n">
        <x:f>SUM(XLOOKUP('포켓몬_편집'!$AF834:$AN834,'분류_규칙'!$A$5:$A$76,'분류_규칙'!$G$5:$G$76,0))</x:f>
        <x:v>0</x:v>
      </x:c>
      <x:c r="H834" s="10" t="n">
        <x:f>SUM(XLOOKUP('포켓몬_편집'!$AF834:$AN834,'분류_규칙'!$A$5:$A$76,'분류_규칙'!$H$5:$H$76,0))</x:f>
        <x:v>12</x:v>
      </x:c>
      <x:c r="I834" s="10" t="n">
        <x:f>SUM(XLOOKUP('포켓몬_편집'!$AF834:$AN834,'분류_규칙'!$A$5:$A$76,'분류_규칙'!$I$5:$I$76,0))</x:f>
        <x:v>0</x:v>
      </x:c>
      <x:c r="J834" s="10" t="n">
        <x:f>SUM(XLOOKUP('포켓몬_편집'!$AF834:$AN834,'분류_규칙'!$A$5:$A$76,'분류_규칙'!$J$5:$J$76,0))</x:f>
        <x:v>0</x:v>
      </x:c>
      <x:c r="K834" s="10" t="n">
        <x:f>SUM(XLOOKUP('포켓몬_편집'!$AF834:$AN834,'분류_규칙'!$A$5:$A$76,'분류_규칙'!$K$5:$K$76,0))</x:f>
        <x:v>0</x:v>
      </x:c>
      <x:c r="L834" s="10" t="n">
        <x:f>SUM(XLOOKUP('포켓몬_편집'!$AF834:$AN834,'분류_규칙'!$A$5:$A$76,'분류_규칙'!$L$5:$L$76,0))</x:f>
        <x:v>3</x:v>
      </x:c>
      <x:c r="M834" s="10" t="n">
        <x:f>SUM(XLOOKUP('포켓몬_편집'!$AF834:$AN834,'분류_규칙'!$A$5:$A$76,'분류_규칙'!$M$5:$M$76,0))</x:f>
        <x:v>0</x:v>
      </x:c>
      <x:c r="N834" s="10" t="n">
        <x:f>SUM(XLOOKUP('포켓몬_편집'!$AF834:$AN834,'분류_규칙'!$A$5:$A$76,'분류_규칙'!$N$5:$N$76,0))</x:f>
        <x:v>0</x:v>
      </x:c>
      <x:c r="O834" s="10" t="n">
        <x:f>SUM(XLOOKUP('포켓몬_편집'!$AF834:$AN834,'분류_규칙'!$A$5:$A$76,'분류_규칙'!$O$5:$O$76,0))</x:f>
        <x:v>2</x:v>
      </x:c>
      <x:c r="P834" s="10" t="n">
        <x:f>SUM(XLOOKUP('포켓몬_편집'!$AF834:$AN834,'분류_규칙'!$A$5:$A$76,'분류_규칙'!$P$5:$P$76,0))</x:f>
        <x:v>0</x:v>
      </x:c>
    </x:row>
    <x:row r="835" ht="22" customHeight="1">
      <x:c r="A835" s="5" t="n">
        <x:v>831</x:v>
      </x:c>
      <x:c r="B835" s="5" t="inlineStr">
        <x:is>
          <x:t xml:space="preserve">우르</x:t>
        </x:is>
      </x:c>
      <x:c r="C835" s="5" t="inlineStr">
        <x:is>
          <x:t xml:space="preserve">wooloo</x:t>
        </x:is>
      </x:c>
      <x:c r="D835" s="5" t="n">
        <x:v>8</x:v>
      </x:c>
      <x:c r="E835" s="10" t="n">
        <x:f>SUM(XLOOKUP('포켓몬_편집'!$AF835:$AN835,'분류_규칙'!$A$5:$A$76,'분류_규칙'!$E$5:$E$76,0))</x:f>
        <x:v>10</x:v>
      </x:c>
      <x:c r="F835" s="10" t="n">
        <x:f>SUM(XLOOKUP('포켓몬_편집'!$AF835:$AN835,'분류_규칙'!$A$5:$A$76,'분류_규칙'!$F$5:$F$76,0))</x:f>
        <x:v>7</x:v>
      </x:c>
      <x:c r="G835" s="10" t="n">
        <x:f>SUM(XLOOKUP('포켓몬_편집'!$AF835:$AN835,'분류_규칙'!$A$5:$A$76,'분류_규칙'!$G$5:$G$76,0))</x:f>
        <x:v>5</x:v>
      </x:c>
      <x:c r="H835" s="10" t="n">
        <x:f>SUM(XLOOKUP('포켓몬_편집'!$AF835:$AN835,'분류_규칙'!$A$5:$A$76,'분류_규칙'!$H$5:$H$76,0))</x:f>
        <x:v>5</x:v>
      </x:c>
      <x:c r="I835" s="10" t="n">
        <x:f>SUM(XLOOKUP('포켓몬_편집'!$AF835:$AN835,'분류_규칙'!$A$5:$A$76,'분류_규칙'!$I$5:$I$76,0))</x:f>
        <x:v>0</x:v>
      </x:c>
      <x:c r="J835" s="10" t="n">
        <x:f>SUM(XLOOKUP('포켓몬_편집'!$AF835:$AN835,'분류_규칙'!$A$5:$A$76,'분류_규칙'!$J$5:$J$76,0))</x:f>
        <x:v>2</x:v>
      </x:c>
      <x:c r="K835" s="10" t="n">
        <x:f>SUM(XLOOKUP('포켓몬_편집'!$AF835:$AN835,'분류_규칙'!$A$5:$A$76,'분류_규칙'!$K$5:$K$76,0))</x:f>
        <x:v>0</x:v>
      </x:c>
      <x:c r="L835" s="10" t="n">
        <x:f>SUM(XLOOKUP('포켓몬_편집'!$AF835:$AN835,'분류_규칙'!$A$5:$A$76,'분류_규칙'!$L$5:$L$76,0))</x:f>
        <x:v>0</x:v>
      </x:c>
      <x:c r="M835" s="10" t="n">
        <x:f>SUM(XLOOKUP('포켓몬_편집'!$AF835:$AN835,'분류_규칙'!$A$5:$A$76,'분류_규칙'!$M$5:$M$76,0))</x:f>
        <x:v>0</x:v>
      </x:c>
      <x:c r="N835" s="10" t="n">
        <x:f>SUM(XLOOKUP('포켓몬_편집'!$AF835:$AN835,'분류_규칙'!$A$5:$A$76,'분류_규칙'!$N$5:$N$76,0))</x:f>
        <x:v>0</x:v>
      </x:c>
      <x:c r="O835" s="10" t="n">
        <x:f>SUM(XLOOKUP('포켓몬_편집'!$AF835:$AN835,'분류_규칙'!$A$5:$A$76,'분류_규칙'!$O$5:$O$76,0))</x:f>
        <x:v>2</x:v>
      </x:c>
      <x:c r="P835" s="10" t="n">
        <x:f>SUM(XLOOKUP('포켓몬_편집'!$AF835:$AN835,'분류_규칙'!$A$5:$A$76,'분류_규칙'!$P$5:$P$76,0))</x:f>
        <x:v>0</x:v>
      </x:c>
    </x:row>
    <x:row r="836" ht="22" customHeight="1">
      <x:c r="A836" s="5" t="n">
        <x:v>832</x:v>
      </x:c>
      <x:c r="B836" s="5" t="inlineStr">
        <x:is>
          <x:t xml:space="preserve">배우르</x:t>
        </x:is>
      </x:c>
      <x:c r="C836" s="5" t="inlineStr">
        <x:is>
          <x:t xml:space="preserve">dubwool</x:t>
        </x:is>
      </x:c>
      <x:c r="D836" s="5" t="n">
        <x:v>8</x:v>
      </x:c>
      <x:c r="E836" s="10" t="n">
        <x:f>SUM(XLOOKUP('포켓몬_편집'!$AF836:$AN836,'분류_규칙'!$A$5:$A$76,'분류_규칙'!$E$5:$E$76,0))</x:f>
        <x:v>10</x:v>
      </x:c>
      <x:c r="F836" s="10" t="n">
        <x:f>SUM(XLOOKUP('포켓몬_편집'!$AF836:$AN836,'분류_규칙'!$A$5:$A$76,'분류_규칙'!$F$5:$F$76,0))</x:f>
        <x:v>7</x:v>
      </x:c>
      <x:c r="G836" s="10" t="n">
        <x:f>SUM(XLOOKUP('포켓몬_편집'!$AF836:$AN836,'분류_규칙'!$A$5:$A$76,'분류_규칙'!$G$5:$G$76,0))</x:f>
        <x:v>5</x:v>
      </x:c>
      <x:c r="H836" s="10" t="n">
        <x:f>SUM(XLOOKUP('포켓몬_편집'!$AF836:$AN836,'분류_규칙'!$A$5:$A$76,'분류_규칙'!$H$5:$H$76,0))</x:f>
        <x:v>5</x:v>
      </x:c>
      <x:c r="I836" s="10" t="n">
        <x:f>SUM(XLOOKUP('포켓몬_편집'!$AF836:$AN836,'분류_규칙'!$A$5:$A$76,'분류_규칙'!$I$5:$I$76,0))</x:f>
        <x:v>0</x:v>
      </x:c>
      <x:c r="J836" s="10" t="n">
        <x:f>SUM(XLOOKUP('포켓몬_편집'!$AF836:$AN836,'분류_규칙'!$A$5:$A$76,'분류_규칙'!$J$5:$J$76,0))</x:f>
        <x:v>2</x:v>
      </x:c>
      <x:c r="K836" s="10" t="n">
        <x:f>SUM(XLOOKUP('포켓몬_편집'!$AF836:$AN836,'분류_규칙'!$A$5:$A$76,'분류_규칙'!$K$5:$K$76,0))</x:f>
        <x:v>0</x:v>
      </x:c>
      <x:c r="L836" s="10" t="n">
        <x:f>SUM(XLOOKUP('포켓몬_편집'!$AF836:$AN836,'분류_규칙'!$A$5:$A$76,'분류_규칙'!$L$5:$L$76,0))</x:f>
        <x:v>0</x:v>
      </x:c>
      <x:c r="M836" s="10" t="n">
        <x:f>SUM(XLOOKUP('포켓몬_편집'!$AF836:$AN836,'분류_규칙'!$A$5:$A$76,'분류_규칙'!$M$5:$M$76,0))</x:f>
        <x:v>0</x:v>
      </x:c>
      <x:c r="N836" s="10" t="n">
        <x:f>SUM(XLOOKUP('포켓몬_편집'!$AF836:$AN836,'분류_규칙'!$A$5:$A$76,'분류_규칙'!$N$5:$N$76,0))</x:f>
        <x:v>0</x:v>
      </x:c>
      <x:c r="O836" s="10" t="n">
        <x:f>SUM(XLOOKUP('포켓몬_편집'!$AF836:$AN836,'분류_규칙'!$A$5:$A$76,'분류_규칙'!$O$5:$O$76,0))</x:f>
        <x:v>2</x:v>
      </x:c>
      <x:c r="P836" s="10" t="n">
        <x:f>SUM(XLOOKUP('포켓몬_편집'!$AF836:$AN836,'분류_규칙'!$A$5:$A$76,'분류_규칙'!$P$5:$P$76,0))</x:f>
        <x:v>0</x:v>
      </x:c>
    </x:row>
    <x:row r="837" ht="22" customHeight="1">
      <x:c r="A837" s="5" t="n">
        <x:v>833</x:v>
      </x:c>
      <x:c r="B837" s="5" t="inlineStr">
        <x:is>
          <x:t xml:space="preserve">깨물부기</x:t>
        </x:is>
      </x:c>
      <x:c r="C837" s="5" t="inlineStr">
        <x:is>
          <x:t xml:space="preserve">chewtle</x:t>
        </x:is>
      </x:c>
      <x:c r="D837" s="5" t="n">
        <x:v>8</x:v>
      </x:c>
      <x:c r="E837" s="10" t="n">
        <x:f>SUM(XLOOKUP('포켓몬_편집'!$AF837:$AN837,'분류_규칙'!$A$5:$A$76,'분류_규칙'!$E$5:$E$76,0))</x:f>
        <x:v>0</x:v>
      </x:c>
      <x:c r="F837" s="10" t="n">
        <x:f>SUM(XLOOKUP('포켓몬_편집'!$AF837:$AN837,'분류_규칙'!$A$5:$A$76,'분류_규칙'!$F$5:$F$76,0))</x:f>
        <x:v>0</x:v>
      </x:c>
      <x:c r="G837" s="10" t="n">
        <x:f>SUM(XLOOKUP('포켓몬_편집'!$AF837:$AN837,'분류_규칙'!$A$5:$A$76,'분류_규칙'!$G$5:$G$76,0))</x:f>
        <x:v>0</x:v>
      </x:c>
      <x:c r="H837" s="10" t="n">
        <x:f>SUM(XLOOKUP('포켓몬_편집'!$AF837:$AN837,'분류_규칙'!$A$5:$A$76,'분류_규칙'!$H$5:$H$76,0))</x:f>
        <x:v>0</x:v>
      </x:c>
      <x:c r="I837" s="10" t="n">
        <x:f>SUM(XLOOKUP('포켓몬_편집'!$AF837:$AN837,'분류_규칙'!$A$5:$A$76,'분류_규칙'!$I$5:$I$76,0))</x:f>
        <x:v>0</x:v>
      </x:c>
      <x:c r="J837" s="10" t="n">
        <x:f>SUM(XLOOKUP('포켓몬_편집'!$AF837:$AN837,'분류_규칙'!$A$5:$A$76,'분류_규칙'!$J$5:$J$76,0))</x:f>
        <x:v>12</x:v>
      </x:c>
      <x:c r="K837" s="10" t="n">
        <x:f>SUM(XLOOKUP('포켓몬_편집'!$AF837:$AN837,'분류_규칙'!$A$5:$A$76,'분류_규칙'!$K$5:$K$76,0))</x:f>
        <x:v>30</x:v>
      </x:c>
      <x:c r="L837" s="10" t="n">
        <x:f>SUM(XLOOKUP('포켓몬_편집'!$AF837:$AN837,'분류_규칙'!$A$5:$A$76,'분류_규칙'!$L$5:$L$76,0))</x:f>
        <x:v>0</x:v>
      </x:c>
      <x:c r="M837" s="10" t="n">
        <x:f>SUM(XLOOKUP('포켓몬_편집'!$AF837:$AN837,'분류_규칙'!$A$5:$A$76,'분류_규칙'!$M$5:$M$76,0))</x:f>
        <x:v>0</x:v>
      </x:c>
      <x:c r="N837" s="10" t="n">
        <x:f>SUM(XLOOKUP('포켓몬_편집'!$AF837:$AN837,'분류_규칙'!$A$5:$A$76,'분류_규칙'!$N$5:$N$76,0))</x:f>
        <x:v>0</x:v>
      </x:c>
      <x:c r="O837" s="10" t="n">
        <x:f>SUM(XLOOKUP('포켓몬_편집'!$AF837:$AN837,'분류_규칙'!$A$5:$A$76,'분류_규칙'!$O$5:$O$76,0))</x:f>
        <x:v>0</x:v>
      </x:c>
      <x:c r="P837" s="10" t="n">
        <x:f>SUM(XLOOKUP('포켓몬_편집'!$AF837:$AN837,'분류_규칙'!$A$5:$A$76,'분류_규칙'!$P$5:$P$76,0))</x:f>
        <x:v>0</x:v>
      </x:c>
    </x:row>
    <x:row r="838" ht="22" customHeight="1">
      <x:c r="A838" s="5" t="n">
        <x:v>834</x:v>
      </x:c>
      <x:c r="B838" s="5" t="inlineStr">
        <x:is>
          <x:t xml:space="preserve">갈가부기</x:t>
        </x:is>
      </x:c>
      <x:c r="C838" s="5" t="inlineStr">
        <x:is>
          <x:t xml:space="preserve">drednaw</x:t>
        </x:is>
      </x:c>
      <x:c r="D838" s="5" t="n">
        <x:v>8</x:v>
      </x:c>
      <x:c r="E838" s="10" t="n">
        <x:f>SUM(XLOOKUP('포켓몬_편집'!$AF838:$AN838,'분류_규칙'!$A$5:$A$76,'분류_규칙'!$E$5:$E$76,0))</x:f>
        <x:v>0</x:v>
      </x:c>
      <x:c r="F838" s="10" t="n">
        <x:f>SUM(XLOOKUP('포켓몬_편집'!$AF838:$AN838,'분류_규칙'!$A$5:$A$76,'분류_규칙'!$F$5:$F$76,0))</x:f>
        <x:v>0</x:v>
      </x:c>
      <x:c r="G838" s="10" t="n">
        <x:f>SUM(XLOOKUP('포켓몬_편집'!$AF838:$AN838,'분류_규칙'!$A$5:$A$76,'분류_규칙'!$G$5:$G$76,0))</x:f>
        <x:v>0</x:v>
      </x:c>
      <x:c r="H838" s="10" t="n">
        <x:f>SUM(XLOOKUP('포켓몬_편집'!$AF838:$AN838,'분류_규칙'!$A$5:$A$76,'분류_규칙'!$H$5:$H$76,0))</x:f>
        <x:v>0</x:v>
      </x:c>
      <x:c r="I838" s="10" t="n">
        <x:f>SUM(XLOOKUP('포켓몬_편집'!$AF838:$AN838,'분류_규칙'!$A$5:$A$76,'분류_규칙'!$I$5:$I$76,0))</x:f>
        <x:v>0</x:v>
      </x:c>
      <x:c r="J838" s="10" t="n">
        <x:f>SUM(XLOOKUP('포켓몬_편집'!$AF838:$AN838,'분류_규칙'!$A$5:$A$76,'분류_규칙'!$J$5:$J$76,0))</x:f>
        <x:v>12</x:v>
      </x:c>
      <x:c r="K838" s="10" t="n">
        <x:f>SUM(XLOOKUP('포켓몬_편집'!$AF838:$AN838,'분류_규칙'!$A$5:$A$76,'분류_규칙'!$K$5:$K$76,0))</x:f>
        <x:v>30</x:v>
      </x:c>
      <x:c r="L838" s="10" t="n">
        <x:f>SUM(XLOOKUP('포켓몬_편집'!$AF838:$AN838,'분류_규칙'!$A$5:$A$76,'분류_규칙'!$L$5:$L$76,0))</x:f>
        <x:v>0</x:v>
      </x:c>
      <x:c r="M838" s="10" t="n">
        <x:f>SUM(XLOOKUP('포켓몬_편집'!$AF838:$AN838,'분류_규칙'!$A$5:$A$76,'분류_규칙'!$M$5:$M$76,0))</x:f>
        <x:v>0</x:v>
      </x:c>
      <x:c r="N838" s="10" t="n">
        <x:f>SUM(XLOOKUP('포켓몬_편집'!$AF838:$AN838,'분류_규칙'!$A$5:$A$76,'분류_규칙'!$N$5:$N$76,0))</x:f>
        <x:v>0</x:v>
      </x:c>
      <x:c r="O838" s="10" t="n">
        <x:f>SUM(XLOOKUP('포켓몬_편집'!$AF838:$AN838,'분류_규칙'!$A$5:$A$76,'분류_규칙'!$O$5:$O$76,0))</x:f>
        <x:v>0</x:v>
      </x:c>
      <x:c r="P838" s="10" t="n">
        <x:f>SUM(XLOOKUP('포켓몬_편집'!$AF838:$AN838,'분류_규칙'!$A$5:$A$76,'분류_규칙'!$P$5:$P$76,0))</x:f>
        <x:v>0</x:v>
      </x:c>
    </x:row>
    <x:row r="839" ht="22" customHeight="1">
      <x:c r="A839" s="5" t="n">
        <x:v>835</x:v>
      </x:c>
      <x:c r="B839" s="5" t="inlineStr">
        <x:is>
          <x:t xml:space="preserve">멍파치</x:t>
        </x:is>
      </x:c>
      <x:c r="C839" s="5" t="inlineStr">
        <x:is>
          <x:t xml:space="preserve">yamper</x:t>
        </x:is>
      </x:c>
      <x:c r="D839" s="5" t="n">
        <x:v>8</x:v>
      </x:c>
      <x:c r="E839" s="10" t="n">
        <x:f>SUM(XLOOKUP('포켓몬_편집'!$AF839:$AN839,'분류_규칙'!$A$5:$A$76,'분류_규칙'!$E$5:$E$76,0))</x:f>
        <x:v>10</x:v>
      </x:c>
      <x:c r="F839" s="10" t="n">
        <x:f>SUM(XLOOKUP('포켓몬_편집'!$AF839:$AN839,'분류_규칙'!$A$5:$A$76,'분류_규칙'!$F$5:$F$76,0))</x:f>
        <x:v>7</x:v>
      </x:c>
      <x:c r="G839" s="10" t="n">
        <x:f>SUM(XLOOKUP('포켓몬_편집'!$AF839:$AN839,'분류_규칙'!$A$5:$A$76,'분류_규칙'!$G$5:$G$76,0))</x:f>
        <x:v>5</x:v>
      </x:c>
      <x:c r="H839" s="10" t="n">
        <x:f>SUM(XLOOKUP('포켓몬_편집'!$AF839:$AN839,'분류_규칙'!$A$5:$A$76,'분류_규칙'!$H$5:$H$76,0))</x:f>
        <x:v>5</x:v>
      </x:c>
      <x:c r="I839" s="10" t="n">
        <x:f>SUM(XLOOKUP('포켓몬_편집'!$AF839:$AN839,'분류_규칙'!$A$5:$A$76,'분류_규칙'!$I$5:$I$76,0))</x:f>
        <x:v>0</x:v>
      </x:c>
      <x:c r="J839" s="10" t="n">
        <x:f>SUM(XLOOKUP('포켓몬_편집'!$AF839:$AN839,'분류_규칙'!$A$5:$A$76,'분류_규칙'!$J$5:$J$76,0))</x:f>
        <x:v>2</x:v>
      </x:c>
      <x:c r="K839" s="10" t="n">
        <x:f>SUM(XLOOKUP('포켓몬_편집'!$AF839:$AN839,'분류_규칙'!$A$5:$A$76,'분류_규칙'!$K$5:$K$76,0))</x:f>
        <x:v>0</x:v>
      </x:c>
      <x:c r="L839" s="10" t="n">
        <x:f>SUM(XLOOKUP('포켓몬_편집'!$AF839:$AN839,'분류_규칙'!$A$5:$A$76,'분류_규칙'!$L$5:$L$76,0))</x:f>
        <x:v>0</x:v>
      </x:c>
      <x:c r="M839" s="10" t="n">
        <x:f>SUM(XLOOKUP('포켓몬_편집'!$AF839:$AN839,'분류_규칙'!$A$5:$A$76,'분류_규칙'!$M$5:$M$76,0))</x:f>
        <x:v>0</x:v>
      </x:c>
      <x:c r="N839" s="10" t="n">
        <x:f>SUM(XLOOKUP('포켓몬_편집'!$AF839:$AN839,'분류_규칙'!$A$5:$A$76,'분류_규칙'!$N$5:$N$76,0))</x:f>
        <x:v>0</x:v>
      </x:c>
      <x:c r="O839" s="10" t="n">
        <x:f>SUM(XLOOKUP('포켓몬_편집'!$AF839:$AN839,'분류_규칙'!$A$5:$A$76,'분류_규칙'!$O$5:$O$76,0))</x:f>
        <x:v>2</x:v>
      </x:c>
      <x:c r="P839" s="10" t="n">
        <x:f>SUM(XLOOKUP('포켓몬_편집'!$AF839:$AN839,'분류_규칙'!$A$5:$A$76,'분류_규칙'!$P$5:$P$76,0))</x:f>
        <x:v>0</x:v>
      </x:c>
    </x:row>
    <x:row r="840" ht="22" customHeight="1">
      <x:c r="A840" s="5" t="n">
        <x:v>836</x:v>
      </x:c>
      <x:c r="B840" s="5" t="inlineStr">
        <x:is>
          <x:t xml:space="preserve">펄스멍</x:t>
        </x:is>
      </x:c>
      <x:c r="C840" s="5" t="inlineStr">
        <x:is>
          <x:t xml:space="preserve">boltund</x:t>
        </x:is>
      </x:c>
      <x:c r="D840" s="5" t="n">
        <x:v>8</x:v>
      </x:c>
      <x:c r="E840" s="10" t="n">
        <x:f>SUM(XLOOKUP('포켓몬_편집'!$AF840:$AN840,'분류_규칙'!$A$5:$A$76,'분류_규칙'!$E$5:$E$76,0))</x:f>
        <x:v>10</x:v>
      </x:c>
      <x:c r="F840" s="10" t="n">
        <x:f>SUM(XLOOKUP('포켓몬_편집'!$AF840:$AN840,'분류_규칙'!$A$5:$A$76,'분류_규칙'!$F$5:$F$76,0))</x:f>
        <x:v>7</x:v>
      </x:c>
      <x:c r="G840" s="10" t="n">
        <x:f>SUM(XLOOKUP('포켓몬_편집'!$AF840:$AN840,'분류_규칙'!$A$5:$A$76,'분류_규칙'!$G$5:$G$76,0))</x:f>
        <x:v>5</x:v>
      </x:c>
      <x:c r="H840" s="10" t="n">
        <x:f>SUM(XLOOKUP('포켓몬_편집'!$AF840:$AN840,'분류_규칙'!$A$5:$A$76,'분류_규칙'!$H$5:$H$76,0))</x:f>
        <x:v>5</x:v>
      </x:c>
      <x:c r="I840" s="10" t="n">
        <x:f>SUM(XLOOKUP('포켓몬_편집'!$AF840:$AN840,'분류_규칙'!$A$5:$A$76,'분류_규칙'!$I$5:$I$76,0))</x:f>
        <x:v>0</x:v>
      </x:c>
      <x:c r="J840" s="10" t="n">
        <x:f>SUM(XLOOKUP('포켓몬_편집'!$AF840:$AN840,'분류_규칙'!$A$5:$A$76,'분류_규칙'!$J$5:$J$76,0))</x:f>
        <x:v>2</x:v>
      </x:c>
      <x:c r="K840" s="10" t="n">
        <x:f>SUM(XLOOKUP('포켓몬_편집'!$AF840:$AN840,'분류_규칙'!$A$5:$A$76,'분류_규칙'!$K$5:$K$76,0))</x:f>
        <x:v>0</x:v>
      </x:c>
      <x:c r="L840" s="10" t="n">
        <x:f>SUM(XLOOKUP('포켓몬_편집'!$AF840:$AN840,'분류_규칙'!$A$5:$A$76,'분류_규칙'!$L$5:$L$76,0))</x:f>
        <x:v>0</x:v>
      </x:c>
      <x:c r="M840" s="10" t="n">
        <x:f>SUM(XLOOKUP('포켓몬_편집'!$AF840:$AN840,'분류_규칙'!$A$5:$A$76,'분류_규칙'!$M$5:$M$76,0))</x:f>
        <x:v>0</x:v>
      </x:c>
      <x:c r="N840" s="10" t="n">
        <x:f>SUM(XLOOKUP('포켓몬_편집'!$AF840:$AN840,'분류_규칙'!$A$5:$A$76,'분류_규칙'!$N$5:$N$76,0))</x:f>
        <x:v>0</x:v>
      </x:c>
      <x:c r="O840" s="10" t="n">
        <x:f>SUM(XLOOKUP('포켓몬_편집'!$AF840:$AN840,'분류_규칙'!$A$5:$A$76,'분류_규칙'!$O$5:$O$76,0))</x:f>
        <x:v>2</x:v>
      </x:c>
      <x:c r="P840" s="10" t="n">
        <x:f>SUM(XLOOKUP('포켓몬_편집'!$AF840:$AN840,'분류_규칙'!$A$5:$A$76,'분류_규칙'!$P$5:$P$76,0))</x:f>
        <x:v>0</x:v>
      </x:c>
    </x:row>
    <x:row r="841" ht="22" customHeight="1">
      <x:c r="A841" s="5" t="n">
        <x:v>837</x:v>
      </x:c>
      <x:c r="B841" s="5" t="inlineStr">
        <x:is>
          <x:t xml:space="preserve">탄동</x:t>
        </x:is>
      </x:c>
      <x:c r="C841" s="5" t="inlineStr">
        <x:is>
          <x:t xml:space="preserve">rolycoly</x:t>
        </x:is>
      </x:c>
      <x:c r="D841" s="5" t="n">
        <x:v>8</x:v>
      </x:c>
      <x:c r="E841" s="10" t="n">
        <x:f>SUM(XLOOKUP('포켓몬_편집'!$AF841:$AN841,'분류_규칙'!$A$5:$A$76,'분류_규칙'!$E$5:$E$76,0))</x:f>
        <x:v>0</x:v>
      </x:c>
      <x:c r="F841" s="10" t="n">
        <x:f>SUM(XLOOKUP('포켓몬_편집'!$AF841:$AN841,'분류_규칙'!$A$5:$A$76,'분류_규칙'!$F$5:$F$76,0))</x:f>
        <x:v>0</x:v>
      </x:c>
      <x:c r="G841" s="10" t="n">
        <x:f>SUM(XLOOKUP('포켓몬_편집'!$AF841:$AN841,'분류_규칙'!$A$5:$A$76,'분류_규칙'!$G$5:$G$76,0))</x:f>
        <x:v>0</x:v>
      </x:c>
      <x:c r="H841" s="10" t="n">
        <x:f>SUM(XLOOKUP('포켓몬_편집'!$AF841:$AN841,'분류_규칙'!$A$5:$A$76,'분류_규칙'!$H$5:$H$76,0))</x:f>
        <x:v>10</x:v>
      </x:c>
      <x:c r="I841" s="10" t="n">
        <x:f>SUM(XLOOKUP('포켓몬_편집'!$AF841:$AN841,'분류_규칙'!$A$5:$A$76,'분류_규칙'!$I$5:$I$76,0))</x:f>
        <x:v>30</x:v>
      </x:c>
      <x:c r="J841" s="10" t="n">
        <x:f>SUM(XLOOKUP('포켓몬_편집'!$AF841:$AN841,'분류_규칙'!$A$5:$A$76,'분류_규칙'!$J$5:$J$76,0))</x:f>
        <x:v>0</x:v>
      </x:c>
      <x:c r="K841" s="10" t="n">
        <x:f>SUM(XLOOKUP('포켓몬_편집'!$AF841:$AN841,'분류_규칙'!$A$5:$A$76,'분류_규칙'!$K$5:$K$76,0))</x:f>
        <x:v>0</x:v>
      </x:c>
      <x:c r="L841" s="10" t="n">
        <x:f>SUM(XLOOKUP('포켓몬_편집'!$AF841:$AN841,'분류_규칙'!$A$5:$A$76,'분류_규칙'!$L$5:$L$76,0))</x:f>
        <x:v>0</x:v>
      </x:c>
      <x:c r="M841" s="10" t="n">
        <x:f>SUM(XLOOKUP('포켓몬_편집'!$AF841:$AN841,'분류_규칙'!$A$5:$A$76,'분류_규칙'!$M$5:$M$76,0))</x:f>
        <x:v>0</x:v>
      </x:c>
      <x:c r="N841" s="10" t="n">
        <x:f>SUM(XLOOKUP('포켓몬_편집'!$AF841:$AN841,'분류_규칙'!$A$5:$A$76,'분류_규칙'!$N$5:$N$76,0))</x:f>
        <x:v>0</x:v>
      </x:c>
      <x:c r="O841" s="10" t="n">
        <x:f>SUM(XLOOKUP('포켓몬_편집'!$AF841:$AN841,'분류_규칙'!$A$5:$A$76,'분류_규칙'!$O$5:$O$76,0))</x:f>
        <x:v>0</x:v>
      </x:c>
      <x:c r="P841" s="10" t="n">
        <x:f>SUM(XLOOKUP('포켓몬_편집'!$AF841:$AN841,'분류_규칙'!$A$5:$A$76,'분류_규칙'!$P$5:$P$76,0))</x:f>
        <x:v>0</x:v>
      </x:c>
    </x:row>
    <x:row r="842" ht="22" customHeight="1">
      <x:c r="A842" s="5" t="n">
        <x:v>838</x:v>
      </x:c>
      <x:c r="B842" s="5" t="inlineStr">
        <x:is>
          <x:t xml:space="preserve">탄차곤</x:t>
        </x:is>
      </x:c>
      <x:c r="C842" s="5" t="inlineStr">
        <x:is>
          <x:t xml:space="preserve">carkol</x:t>
        </x:is>
      </x:c>
      <x:c r="D842" s="5" t="n">
        <x:v>8</x:v>
      </x:c>
      <x:c r="E842" s="10" t="n">
        <x:f>SUM(XLOOKUP('포켓몬_편집'!$AF842:$AN842,'분류_규칙'!$A$5:$A$76,'분류_규칙'!$E$5:$E$76,0))</x:f>
        <x:v>0</x:v>
      </x:c>
      <x:c r="F842" s="10" t="n">
        <x:f>SUM(XLOOKUP('포켓몬_편집'!$AF842:$AN842,'분류_규칙'!$A$5:$A$76,'분류_규칙'!$F$5:$F$76,0))</x:f>
        <x:v>0</x:v>
      </x:c>
      <x:c r="G842" s="10" t="n">
        <x:f>SUM(XLOOKUP('포켓몬_편집'!$AF842:$AN842,'분류_규칙'!$A$5:$A$76,'분류_규칙'!$G$5:$G$76,0))</x:f>
        <x:v>0</x:v>
      </x:c>
      <x:c r="H842" s="10" t="n">
        <x:f>SUM(XLOOKUP('포켓몬_편집'!$AF842:$AN842,'분류_규칙'!$A$5:$A$76,'분류_규칙'!$H$5:$H$76,0))</x:f>
        <x:v>10</x:v>
      </x:c>
      <x:c r="I842" s="10" t="n">
        <x:f>SUM(XLOOKUP('포켓몬_편집'!$AF842:$AN842,'분류_규칙'!$A$5:$A$76,'분류_규칙'!$I$5:$I$76,0))</x:f>
        <x:v>30</x:v>
      </x:c>
      <x:c r="J842" s="10" t="n">
        <x:f>SUM(XLOOKUP('포켓몬_편집'!$AF842:$AN842,'분류_규칙'!$A$5:$A$76,'분류_규칙'!$J$5:$J$76,0))</x:f>
        <x:v>0</x:v>
      </x:c>
      <x:c r="K842" s="10" t="n">
        <x:f>SUM(XLOOKUP('포켓몬_편집'!$AF842:$AN842,'분류_규칙'!$A$5:$A$76,'분류_규칙'!$K$5:$K$76,0))</x:f>
        <x:v>0</x:v>
      </x:c>
      <x:c r="L842" s="10" t="n">
        <x:f>SUM(XLOOKUP('포켓몬_편집'!$AF842:$AN842,'분류_규칙'!$A$5:$A$76,'분류_규칙'!$L$5:$L$76,0))</x:f>
        <x:v>0</x:v>
      </x:c>
      <x:c r="M842" s="10" t="n">
        <x:f>SUM(XLOOKUP('포켓몬_편집'!$AF842:$AN842,'분류_규칙'!$A$5:$A$76,'분류_규칙'!$M$5:$M$76,0))</x:f>
        <x:v>0</x:v>
      </x:c>
      <x:c r="N842" s="10" t="n">
        <x:f>SUM(XLOOKUP('포켓몬_편집'!$AF842:$AN842,'분류_규칙'!$A$5:$A$76,'분류_규칙'!$N$5:$N$76,0))</x:f>
        <x:v>0</x:v>
      </x:c>
      <x:c r="O842" s="10" t="n">
        <x:f>SUM(XLOOKUP('포켓몬_편집'!$AF842:$AN842,'분류_규칙'!$A$5:$A$76,'분류_규칙'!$O$5:$O$76,0))</x:f>
        <x:v>0</x:v>
      </x:c>
      <x:c r="P842" s="10" t="n">
        <x:f>SUM(XLOOKUP('포켓몬_편집'!$AF842:$AN842,'분류_규칙'!$A$5:$A$76,'분류_규칙'!$P$5:$P$76,0))</x:f>
        <x:v>0</x:v>
      </x:c>
    </x:row>
    <x:row r="843" ht="22" customHeight="1">
      <x:c r="A843" s="5" t="n">
        <x:v>839</x:v>
      </x:c>
      <x:c r="B843" s="5" t="inlineStr">
        <x:is>
          <x:t xml:space="preserve">석탄산</x:t>
        </x:is>
      </x:c>
      <x:c r="C843" s="5" t="inlineStr">
        <x:is>
          <x:t xml:space="preserve">coalossal</x:t>
        </x:is>
      </x:c>
      <x:c r="D843" s="5" t="n">
        <x:v>8</x:v>
      </x:c>
      <x:c r="E843" s="10" t="n">
        <x:f>SUM(XLOOKUP('포켓몬_편집'!$AF843:$AN843,'분류_규칙'!$A$5:$A$76,'분류_규칙'!$E$5:$E$76,0))</x:f>
        <x:v>0</x:v>
      </x:c>
      <x:c r="F843" s="10" t="n">
        <x:f>SUM(XLOOKUP('포켓몬_편집'!$AF843:$AN843,'분류_규칙'!$A$5:$A$76,'분류_규칙'!$F$5:$F$76,0))</x:f>
        <x:v>0</x:v>
      </x:c>
      <x:c r="G843" s="10" t="n">
        <x:f>SUM(XLOOKUP('포켓몬_편집'!$AF843:$AN843,'분류_규칙'!$A$5:$A$76,'분류_규칙'!$G$5:$G$76,0))</x:f>
        <x:v>0</x:v>
      </x:c>
      <x:c r="H843" s="10" t="n">
        <x:f>SUM(XLOOKUP('포켓몬_편집'!$AF843:$AN843,'분류_규칙'!$A$5:$A$76,'분류_규칙'!$H$5:$H$76,0))</x:f>
        <x:v>10</x:v>
      </x:c>
      <x:c r="I843" s="10" t="n">
        <x:f>SUM(XLOOKUP('포켓몬_편집'!$AF843:$AN843,'분류_규칙'!$A$5:$A$76,'분류_규칙'!$I$5:$I$76,0))</x:f>
        <x:v>30</x:v>
      </x:c>
      <x:c r="J843" s="10" t="n">
        <x:f>SUM(XLOOKUP('포켓몬_편집'!$AF843:$AN843,'분류_규칙'!$A$5:$A$76,'분류_규칙'!$J$5:$J$76,0))</x:f>
        <x:v>0</x:v>
      </x:c>
      <x:c r="K843" s="10" t="n">
        <x:f>SUM(XLOOKUP('포켓몬_편집'!$AF843:$AN843,'분류_규칙'!$A$5:$A$76,'분류_규칙'!$K$5:$K$76,0))</x:f>
        <x:v>0</x:v>
      </x:c>
      <x:c r="L843" s="10" t="n">
        <x:f>SUM(XLOOKUP('포켓몬_편집'!$AF843:$AN843,'분류_규칙'!$A$5:$A$76,'분류_규칙'!$L$5:$L$76,0))</x:f>
        <x:v>0</x:v>
      </x:c>
      <x:c r="M843" s="10" t="n">
        <x:f>SUM(XLOOKUP('포켓몬_편집'!$AF843:$AN843,'분류_규칙'!$A$5:$A$76,'분류_규칙'!$M$5:$M$76,0))</x:f>
        <x:v>0</x:v>
      </x:c>
      <x:c r="N843" s="10" t="n">
        <x:f>SUM(XLOOKUP('포켓몬_편집'!$AF843:$AN843,'분류_규칙'!$A$5:$A$76,'분류_규칙'!$N$5:$N$76,0))</x:f>
        <x:v>0</x:v>
      </x:c>
      <x:c r="O843" s="10" t="n">
        <x:f>SUM(XLOOKUP('포켓몬_편집'!$AF843:$AN843,'분류_규칙'!$A$5:$A$76,'분류_규칙'!$O$5:$O$76,0))</x:f>
        <x:v>0</x:v>
      </x:c>
      <x:c r="P843" s="10" t="n">
        <x:f>SUM(XLOOKUP('포켓몬_편집'!$AF843:$AN843,'분류_규칙'!$A$5:$A$76,'분류_규칙'!$P$5:$P$76,0))</x:f>
        <x:v>0</x:v>
      </x:c>
    </x:row>
    <x:row r="844" ht="22" customHeight="1">
      <x:c r="A844" s="5" t="n">
        <x:v>840</x:v>
      </x:c>
      <x:c r="B844" s="5" t="inlineStr">
        <x:is>
          <x:t xml:space="preserve">과사삭벌레</x:t>
        </x:is>
      </x:c>
      <x:c r="C844" s="5" t="inlineStr">
        <x:is>
          <x:t xml:space="preserve">applin</x:t>
        </x:is>
      </x:c>
      <x:c r="D844" s="5" t="n">
        <x:v>8</x:v>
      </x:c>
      <x:c r="E844" s="10" t="n">
        <x:f>SUM(XLOOKUP('포켓몬_편집'!$AF844:$AN844,'분류_규칙'!$A$5:$A$76,'분류_규칙'!$E$5:$E$76,0))</x:f>
        <x:v>10</x:v>
      </x:c>
      <x:c r="F844" s="10" t="n">
        <x:f>SUM(XLOOKUP('포켓몬_편집'!$AF844:$AN844,'분류_규칙'!$A$5:$A$76,'분류_규칙'!$F$5:$F$76,0))</x:f>
        <x:v>7</x:v>
      </x:c>
      <x:c r="G844" s="10" t="n">
        <x:f>SUM(XLOOKUP('포켓몬_편집'!$AF844:$AN844,'분류_규칙'!$A$5:$A$76,'분류_규칙'!$G$5:$G$76,0))</x:f>
        <x:v>5</x:v>
      </x:c>
      <x:c r="H844" s="10" t="n">
        <x:f>SUM(XLOOKUP('포켓몬_편집'!$AF844:$AN844,'분류_규칙'!$A$5:$A$76,'분류_규칙'!$H$5:$H$76,0))</x:f>
        <x:v>5</x:v>
      </x:c>
      <x:c r="I844" s="10" t="n">
        <x:f>SUM(XLOOKUP('포켓몬_편집'!$AF844:$AN844,'분류_규칙'!$A$5:$A$76,'분류_규칙'!$I$5:$I$76,0))</x:f>
        <x:v>0</x:v>
      </x:c>
      <x:c r="J844" s="10" t="n">
        <x:f>SUM(XLOOKUP('포켓몬_편집'!$AF844:$AN844,'분류_규칙'!$A$5:$A$76,'분류_규칙'!$J$5:$J$76,0))</x:f>
        <x:v>2</x:v>
      </x:c>
      <x:c r="K844" s="10" t="n">
        <x:f>SUM(XLOOKUP('포켓몬_편집'!$AF844:$AN844,'분류_규칙'!$A$5:$A$76,'분류_규칙'!$K$5:$K$76,0))</x:f>
        <x:v>0</x:v>
      </x:c>
      <x:c r="L844" s="10" t="n">
        <x:f>SUM(XLOOKUP('포켓몬_편집'!$AF844:$AN844,'분류_규칙'!$A$5:$A$76,'분류_규칙'!$L$5:$L$76,0))</x:f>
        <x:v>0</x:v>
      </x:c>
      <x:c r="M844" s="10" t="n">
        <x:f>SUM(XLOOKUP('포켓몬_편집'!$AF844:$AN844,'분류_규칙'!$A$5:$A$76,'분류_규칙'!$M$5:$M$76,0))</x:f>
        <x:v>0</x:v>
      </x:c>
      <x:c r="N844" s="10" t="n">
        <x:f>SUM(XLOOKUP('포켓몬_편집'!$AF844:$AN844,'분류_규칙'!$A$5:$A$76,'분류_규칙'!$N$5:$N$76,0))</x:f>
        <x:v>0</x:v>
      </x:c>
      <x:c r="O844" s="10" t="n">
        <x:f>SUM(XLOOKUP('포켓몬_편집'!$AF844:$AN844,'분류_규칙'!$A$5:$A$76,'분류_규칙'!$O$5:$O$76,0))</x:f>
        <x:v>2</x:v>
      </x:c>
      <x:c r="P844" s="10" t="n">
        <x:f>SUM(XLOOKUP('포켓몬_편집'!$AF844:$AN844,'분류_규칙'!$A$5:$A$76,'분류_규칙'!$P$5:$P$76,0))</x:f>
        <x:v>0</x:v>
      </x:c>
    </x:row>
    <x:row r="845" ht="22" customHeight="1">
      <x:c r="A845" s="5" t="n">
        <x:v>841</x:v>
      </x:c>
      <x:c r="B845" s="5" t="inlineStr">
        <x:is>
          <x:t xml:space="preserve">애프룡</x:t>
        </x:is>
      </x:c>
      <x:c r="C845" s="5" t="inlineStr">
        <x:is>
          <x:t xml:space="preserve">flapple</x:t>
        </x:is>
      </x:c>
      <x:c r="D845" s="5" t="n">
        <x:v>8</x:v>
      </x:c>
      <x:c r="E845" s="10" t="n">
        <x:f>SUM(XLOOKUP('포켓몬_편집'!$AF845:$AN845,'분류_규칙'!$A$5:$A$76,'분류_규칙'!$E$5:$E$76,0))</x:f>
        <x:v>8</x:v>
      </x:c>
      <x:c r="F845" s="10" t="n">
        <x:f>SUM(XLOOKUP('포켓몬_편집'!$AF845:$AN845,'분류_규칙'!$A$5:$A$76,'분류_규칙'!$F$5:$F$76,0))</x:f>
        <x:v>8</x:v>
      </x:c>
      <x:c r="G845" s="10" t="n">
        <x:f>SUM(XLOOKUP('포켓몬_편집'!$AF845:$AN845,'분류_규칙'!$A$5:$A$76,'분류_규칙'!$G$5:$G$76,0))</x:f>
        <x:v>0</x:v>
      </x:c>
      <x:c r="H845" s="10" t="n">
        <x:f>SUM(XLOOKUP('포켓몬_편집'!$AF845:$AN845,'분류_규칙'!$A$5:$A$76,'분류_규칙'!$H$5:$H$76,0))</x:f>
        <x:v>12</x:v>
      </x:c>
      <x:c r="I845" s="10" t="n">
        <x:f>SUM(XLOOKUP('포켓몬_편집'!$AF845:$AN845,'분류_규칙'!$A$5:$A$76,'분류_규칙'!$I$5:$I$76,0))</x:f>
        <x:v>0</x:v>
      </x:c>
      <x:c r="J845" s="10" t="n">
        <x:f>SUM(XLOOKUP('포켓몬_편집'!$AF845:$AN845,'분류_규칙'!$A$5:$A$76,'분류_규칙'!$J$5:$J$76,0))</x:f>
        <x:v>0</x:v>
      </x:c>
      <x:c r="K845" s="10" t="n">
        <x:f>SUM(XLOOKUP('포켓몬_편집'!$AF845:$AN845,'분류_규칙'!$A$5:$A$76,'분류_규칙'!$K$5:$K$76,0))</x:f>
        <x:v>0</x:v>
      </x:c>
      <x:c r="L845" s="10" t="n">
        <x:f>SUM(XLOOKUP('포켓몬_편집'!$AF845:$AN845,'분류_규칙'!$A$5:$A$76,'분류_규칙'!$L$5:$L$76,0))</x:f>
        <x:v>3</x:v>
      </x:c>
      <x:c r="M845" s="10" t="n">
        <x:f>SUM(XLOOKUP('포켓몬_편집'!$AF845:$AN845,'분류_규칙'!$A$5:$A$76,'분류_규칙'!$M$5:$M$76,0))</x:f>
        <x:v>0</x:v>
      </x:c>
      <x:c r="N845" s="10" t="n">
        <x:f>SUM(XLOOKUP('포켓몬_편집'!$AF845:$AN845,'분류_규칙'!$A$5:$A$76,'분류_규칙'!$N$5:$N$76,0))</x:f>
        <x:v>0</x:v>
      </x:c>
      <x:c r="O845" s="10" t="n">
        <x:f>SUM(XLOOKUP('포켓몬_편집'!$AF845:$AN845,'분류_규칙'!$A$5:$A$76,'분류_규칙'!$O$5:$O$76,0))</x:f>
        <x:v>2</x:v>
      </x:c>
      <x:c r="P845" s="10" t="n">
        <x:f>SUM(XLOOKUP('포켓몬_편집'!$AF845:$AN845,'분류_규칙'!$A$5:$A$76,'분류_규칙'!$P$5:$P$76,0))</x:f>
        <x:v>0</x:v>
      </x:c>
    </x:row>
    <x:row r="846" ht="22" customHeight="1">
      <x:c r="A846" s="5" t="n">
        <x:v>842</x:v>
      </x:c>
      <x:c r="B846" s="5" t="inlineStr">
        <x:is>
          <x:t xml:space="preserve">단지래플</x:t>
        </x:is>
      </x:c>
      <x:c r="C846" s="5" t="inlineStr">
        <x:is>
          <x:t xml:space="preserve">appletun</x:t>
        </x:is>
      </x:c>
      <x:c r="D846" s="5" t="n">
        <x:v>8</x:v>
      </x:c>
      <x:c r="E846" s="10" t="n">
        <x:f>SUM(XLOOKUP('포켓몬_편집'!$AF846:$AN846,'분류_규칙'!$A$5:$A$76,'분류_규칙'!$E$5:$E$76,0))</x:f>
        <x:v>10</x:v>
      </x:c>
      <x:c r="F846" s="10" t="n">
        <x:f>SUM(XLOOKUP('포켓몬_편집'!$AF846:$AN846,'분류_규칙'!$A$5:$A$76,'분류_규칙'!$F$5:$F$76,0))</x:f>
        <x:v>7</x:v>
      </x:c>
      <x:c r="G846" s="10" t="n">
        <x:f>SUM(XLOOKUP('포켓몬_편집'!$AF846:$AN846,'분류_규칙'!$A$5:$A$76,'분류_규칙'!$G$5:$G$76,0))</x:f>
        <x:v>5</x:v>
      </x:c>
      <x:c r="H846" s="10" t="n">
        <x:f>SUM(XLOOKUP('포켓몬_편집'!$AF846:$AN846,'분류_규칙'!$A$5:$A$76,'분류_규칙'!$H$5:$H$76,0))</x:f>
        <x:v>5</x:v>
      </x:c>
      <x:c r="I846" s="10" t="n">
        <x:f>SUM(XLOOKUP('포켓몬_편집'!$AF846:$AN846,'분류_규칙'!$A$5:$A$76,'분류_규칙'!$I$5:$I$76,0))</x:f>
        <x:v>0</x:v>
      </x:c>
      <x:c r="J846" s="10" t="n">
        <x:f>SUM(XLOOKUP('포켓몬_편집'!$AF846:$AN846,'분류_규칙'!$A$5:$A$76,'분류_규칙'!$J$5:$J$76,0))</x:f>
        <x:v>2</x:v>
      </x:c>
      <x:c r="K846" s="10" t="n">
        <x:f>SUM(XLOOKUP('포켓몬_편집'!$AF846:$AN846,'분류_규칙'!$A$5:$A$76,'분류_규칙'!$K$5:$K$76,0))</x:f>
        <x:v>0</x:v>
      </x:c>
      <x:c r="L846" s="10" t="n">
        <x:f>SUM(XLOOKUP('포켓몬_편집'!$AF846:$AN846,'분류_규칙'!$A$5:$A$76,'분류_규칙'!$L$5:$L$76,0))</x:f>
        <x:v>0</x:v>
      </x:c>
      <x:c r="M846" s="10" t="n">
        <x:f>SUM(XLOOKUP('포켓몬_편집'!$AF846:$AN846,'분류_규칙'!$A$5:$A$76,'분류_규칙'!$M$5:$M$76,0))</x:f>
        <x:v>0</x:v>
      </x:c>
      <x:c r="N846" s="10" t="n">
        <x:f>SUM(XLOOKUP('포켓몬_편집'!$AF846:$AN846,'분류_규칙'!$A$5:$A$76,'분류_규칙'!$N$5:$N$76,0))</x:f>
        <x:v>0</x:v>
      </x:c>
      <x:c r="O846" s="10" t="n">
        <x:f>SUM(XLOOKUP('포켓몬_편집'!$AF846:$AN846,'분류_규칙'!$A$5:$A$76,'분류_규칙'!$O$5:$O$76,0))</x:f>
        <x:v>2</x:v>
      </x:c>
      <x:c r="P846" s="10" t="n">
        <x:f>SUM(XLOOKUP('포켓몬_편집'!$AF846:$AN846,'분류_규칙'!$A$5:$A$76,'분류_규칙'!$P$5:$P$76,0))</x:f>
        <x:v>0</x:v>
      </x:c>
    </x:row>
    <x:row r="847" ht="22" customHeight="1">
      <x:c r="A847" s="5" t="n">
        <x:v>843</x:v>
      </x:c>
      <x:c r="B847" s="5" t="inlineStr">
        <x:is>
          <x:t xml:space="preserve">모래뱀</x:t>
        </x:is>
      </x:c>
      <x:c r="C847" s="5" t="inlineStr">
        <x:is>
          <x:t xml:space="preserve">silicobra</x:t>
        </x:is>
      </x:c>
      <x:c r="D847" s="5" t="n">
        <x:v>8</x:v>
      </x:c>
      <x:c r="E847" s="10" t="n">
        <x:f>SUM(XLOOKUP('포켓몬_편집'!$AF847:$AN847,'분류_규칙'!$A$5:$A$76,'분류_규칙'!$E$5:$E$76,0))</x:f>
        <x:v>10</x:v>
      </x:c>
      <x:c r="F847" s="10" t="n">
        <x:f>SUM(XLOOKUP('포켓몬_편집'!$AF847:$AN847,'분류_규칙'!$A$5:$A$76,'분류_규칙'!$F$5:$F$76,0))</x:f>
        <x:v>7</x:v>
      </x:c>
      <x:c r="G847" s="10" t="n">
        <x:f>SUM(XLOOKUP('포켓몬_편집'!$AF847:$AN847,'분류_규칙'!$A$5:$A$76,'분류_규칙'!$G$5:$G$76,0))</x:f>
        <x:v>5</x:v>
      </x:c>
      <x:c r="H847" s="10" t="n">
        <x:f>SUM(XLOOKUP('포켓몬_편집'!$AF847:$AN847,'분류_규칙'!$A$5:$A$76,'분류_규칙'!$H$5:$H$76,0))</x:f>
        <x:v>5</x:v>
      </x:c>
      <x:c r="I847" s="10" t="n">
        <x:f>SUM(XLOOKUP('포켓몬_편집'!$AF847:$AN847,'분류_규칙'!$A$5:$A$76,'분류_규칙'!$I$5:$I$76,0))</x:f>
        <x:v>0</x:v>
      </x:c>
      <x:c r="J847" s="10" t="n">
        <x:f>SUM(XLOOKUP('포켓몬_편집'!$AF847:$AN847,'분류_규칙'!$A$5:$A$76,'분류_규칙'!$J$5:$J$76,0))</x:f>
        <x:v>2</x:v>
      </x:c>
      <x:c r="K847" s="10" t="n">
        <x:f>SUM(XLOOKUP('포켓몬_편집'!$AF847:$AN847,'분류_규칙'!$A$5:$A$76,'분류_규칙'!$K$5:$K$76,0))</x:f>
        <x:v>0</x:v>
      </x:c>
      <x:c r="L847" s="10" t="n">
        <x:f>SUM(XLOOKUP('포켓몬_편집'!$AF847:$AN847,'분류_규칙'!$A$5:$A$76,'분류_규칙'!$L$5:$L$76,0))</x:f>
        <x:v>0</x:v>
      </x:c>
      <x:c r="M847" s="10" t="n">
        <x:f>SUM(XLOOKUP('포켓몬_편집'!$AF847:$AN847,'분류_규칙'!$A$5:$A$76,'분류_규칙'!$M$5:$M$76,0))</x:f>
        <x:v>0</x:v>
      </x:c>
      <x:c r="N847" s="10" t="n">
        <x:f>SUM(XLOOKUP('포켓몬_편집'!$AF847:$AN847,'분류_규칙'!$A$5:$A$76,'분류_규칙'!$N$5:$N$76,0))</x:f>
        <x:v>0</x:v>
      </x:c>
      <x:c r="O847" s="10" t="n">
        <x:f>SUM(XLOOKUP('포켓몬_편집'!$AF847:$AN847,'분류_규칙'!$A$5:$A$76,'분류_규칙'!$O$5:$O$76,0))</x:f>
        <x:v>2</x:v>
      </x:c>
      <x:c r="P847" s="10" t="n">
        <x:f>SUM(XLOOKUP('포켓몬_편집'!$AF847:$AN847,'분류_규칙'!$A$5:$A$76,'분류_규칙'!$P$5:$P$76,0))</x:f>
        <x:v>0</x:v>
      </x:c>
    </x:row>
    <x:row r="848" ht="22" customHeight="1">
      <x:c r="A848" s="5" t="n">
        <x:v>844</x:v>
      </x:c>
      <x:c r="B848" s="5" t="inlineStr">
        <x:is>
          <x:t xml:space="preserve">사다이사</x:t>
        </x:is>
      </x:c>
      <x:c r="C848" s="5" t="inlineStr">
        <x:is>
          <x:t xml:space="preserve">sandaconda</x:t>
        </x:is>
      </x:c>
      <x:c r="D848" s="5" t="n">
        <x:v>8</x:v>
      </x:c>
      <x:c r="E848" s="10" t="n">
        <x:f>SUM(XLOOKUP('포켓몬_편집'!$AF848:$AN848,'분류_규칙'!$A$5:$A$76,'분류_규칙'!$E$5:$E$76,0))</x:f>
        <x:v>10</x:v>
      </x:c>
      <x:c r="F848" s="10" t="n">
        <x:f>SUM(XLOOKUP('포켓몬_편집'!$AF848:$AN848,'분류_규칙'!$A$5:$A$76,'분류_규칙'!$F$5:$F$76,0))</x:f>
        <x:v>7</x:v>
      </x:c>
      <x:c r="G848" s="10" t="n">
        <x:f>SUM(XLOOKUP('포켓몬_편집'!$AF848:$AN848,'분류_규칙'!$A$5:$A$76,'분류_규칙'!$G$5:$G$76,0))</x:f>
        <x:v>5</x:v>
      </x:c>
      <x:c r="H848" s="10" t="n">
        <x:f>SUM(XLOOKUP('포켓몬_편집'!$AF848:$AN848,'분류_규칙'!$A$5:$A$76,'분류_규칙'!$H$5:$H$76,0))</x:f>
        <x:v>5</x:v>
      </x:c>
      <x:c r="I848" s="10" t="n">
        <x:f>SUM(XLOOKUP('포켓몬_편집'!$AF848:$AN848,'분류_규칙'!$A$5:$A$76,'분류_규칙'!$I$5:$I$76,0))</x:f>
        <x:v>0</x:v>
      </x:c>
      <x:c r="J848" s="10" t="n">
        <x:f>SUM(XLOOKUP('포켓몬_편집'!$AF848:$AN848,'분류_규칙'!$A$5:$A$76,'분류_규칙'!$J$5:$J$76,0))</x:f>
        <x:v>2</x:v>
      </x:c>
      <x:c r="K848" s="10" t="n">
        <x:f>SUM(XLOOKUP('포켓몬_편집'!$AF848:$AN848,'분류_규칙'!$A$5:$A$76,'분류_규칙'!$K$5:$K$76,0))</x:f>
        <x:v>0</x:v>
      </x:c>
      <x:c r="L848" s="10" t="n">
        <x:f>SUM(XLOOKUP('포켓몬_편집'!$AF848:$AN848,'분류_규칙'!$A$5:$A$76,'분류_규칙'!$L$5:$L$76,0))</x:f>
        <x:v>0</x:v>
      </x:c>
      <x:c r="M848" s="10" t="n">
        <x:f>SUM(XLOOKUP('포켓몬_편집'!$AF848:$AN848,'분류_규칙'!$A$5:$A$76,'분류_규칙'!$M$5:$M$76,0))</x:f>
        <x:v>0</x:v>
      </x:c>
      <x:c r="N848" s="10" t="n">
        <x:f>SUM(XLOOKUP('포켓몬_편집'!$AF848:$AN848,'분류_규칙'!$A$5:$A$76,'분류_규칙'!$N$5:$N$76,0))</x:f>
        <x:v>0</x:v>
      </x:c>
      <x:c r="O848" s="10" t="n">
        <x:f>SUM(XLOOKUP('포켓몬_편집'!$AF848:$AN848,'분류_규칙'!$A$5:$A$76,'분류_규칙'!$O$5:$O$76,0))</x:f>
        <x:v>2</x:v>
      </x:c>
      <x:c r="P848" s="10" t="n">
        <x:f>SUM(XLOOKUP('포켓몬_편집'!$AF848:$AN848,'분류_규칙'!$A$5:$A$76,'분류_규칙'!$P$5:$P$76,0))</x:f>
        <x:v>0</x:v>
      </x:c>
    </x:row>
    <x:row r="849" ht="22" customHeight="1">
      <x:c r="A849" s="5" t="n">
        <x:v>845</x:v>
      </x:c>
      <x:c r="B849" s="5" t="inlineStr">
        <x:is>
          <x:t xml:space="preserve">윽우지</x:t>
        </x:is>
      </x:c>
      <x:c r="C849" s="5" t="inlineStr">
        <x:is>
          <x:t xml:space="preserve">cramorant</x:t>
        </x:is>
      </x:c>
      <x:c r="D849" s="5" t="n">
        <x:v>8</x:v>
      </x:c>
      <x:c r="E849" s="10" t="n">
        <x:f>SUM(XLOOKUP('포켓몬_편집'!$AF849:$AN849,'분류_규칙'!$A$5:$A$76,'분류_규칙'!$E$5:$E$76,0))</x:f>
        <x:v>0</x:v>
      </x:c>
      <x:c r="F849" s="10" t="n">
        <x:f>SUM(XLOOKUP('포켓몬_편집'!$AF849:$AN849,'분류_규칙'!$A$5:$A$76,'분류_규칙'!$F$5:$F$76,0))</x:f>
        <x:v>0</x:v>
      </x:c>
      <x:c r="G849" s="10" t="n">
        <x:f>SUM(XLOOKUP('포켓몬_편집'!$AF849:$AN849,'분류_규칙'!$A$5:$A$76,'분류_규칙'!$G$5:$G$76,0))</x:f>
        <x:v>0</x:v>
      </x:c>
      <x:c r="H849" s="10" t="n">
        <x:f>SUM(XLOOKUP('포켓몬_편집'!$AF849:$AN849,'분류_규칙'!$A$5:$A$76,'분류_규칙'!$H$5:$H$76,0))</x:f>
        <x:v>0</x:v>
      </x:c>
      <x:c r="I849" s="10" t="n">
        <x:f>SUM(XLOOKUP('포켓몬_편집'!$AF849:$AN849,'분류_규칙'!$A$5:$A$76,'분류_규칙'!$I$5:$I$76,0))</x:f>
        <x:v>0</x:v>
      </x:c>
      <x:c r="J849" s="10" t="n">
        <x:f>SUM(XLOOKUP('포켓몬_편집'!$AF849:$AN849,'분류_규칙'!$A$5:$A$76,'분류_규칙'!$J$5:$J$76,0))</x:f>
        <x:v>3</x:v>
      </x:c>
      <x:c r="K849" s="10" t="n">
        <x:f>SUM(XLOOKUP('포켓몬_편집'!$AF849:$AN849,'분류_규칙'!$A$5:$A$76,'분류_규칙'!$K$5:$K$76,0))</x:f>
        <x:v>0</x:v>
      </x:c>
      <x:c r="L849" s="10" t="n">
        <x:f>SUM(XLOOKUP('포켓몬_편집'!$AF849:$AN849,'분류_규칙'!$A$5:$A$76,'분류_규칙'!$L$5:$L$76,0))</x:f>
        <x:v>30</x:v>
      </x:c>
      <x:c r="M849" s="10" t="n">
        <x:f>SUM(XLOOKUP('포켓몬_편집'!$AF849:$AN849,'분류_규칙'!$A$5:$A$76,'분류_규칙'!$M$5:$M$76,0))</x:f>
        <x:v>0</x:v>
      </x:c>
      <x:c r="N849" s="10" t="n">
        <x:f>SUM(XLOOKUP('포켓몬_편집'!$AF849:$AN849,'분류_규칙'!$A$5:$A$76,'분류_규칙'!$N$5:$N$76,0))</x:f>
        <x:v>0</x:v>
      </x:c>
      <x:c r="O849" s="10" t="n">
        <x:f>SUM(XLOOKUP('포켓몬_편집'!$AF849:$AN849,'분류_규칙'!$A$5:$A$76,'분류_규칙'!$O$5:$O$76,0))</x:f>
        <x:v>0</x:v>
      </x:c>
      <x:c r="P849" s="10" t="n">
        <x:f>SUM(XLOOKUP('포켓몬_편집'!$AF849:$AN849,'분류_규칙'!$A$5:$A$76,'분류_규칙'!$P$5:$P$76,0))</x:f>
        <x:v>0</x:v>
      </x:c>
    </x:row>
    <x:row r="850" ht="22" customHeight="1">
      <x:c r="A850" s="5" t="n">
        <x:v>846</x:v>
      </x:c>
      <x:c r="B850" s="5" t="inlineStr">
        <x:is>
          <x:t xml:space="preserve">찌로꼬치</x:t>
        </x:is>
      </x:c>
      <x:c r="C850" s="5" t="inlineStr">
        <x:is>
          <x:t xml:space="preserve">arrokuda</x:t>
        </x:is>
      </x:c>
      <x:c r="D850" s="5" t="n">
        <x:v>8</x:v>
      </x:c>
      <x:c r="E850" s="10" t="n">
        <x:f>SUM(XLOOKUP('포켓몬_편집'!$AF850:$AN850,'분류_규칙'!$A$5:$A$76,'분류_규칙'!$E$5:$E$76,0))</x:f>
        <x:v>0</x:v>
      </x:c>
      <x:c r="F850" s="10" t="n">
        <x:f>SUM(XLOOKUP('포켓몬_편집'!$AF850:$AN850,'분류_규칙'!$A$5:$A$76,'분류_규칙'!$F$5:$F$76,0))</x:f>
        <x:v>0</x:v>
      </x:c>
      <x:c r="G850" s="10" t="n">
        <x:f>SUM(XLOOKUP('포켓몬_편집'!$AF850:$AN850,'분류_규칙'!$A$5:$A$76,'분류_규칙'!$G$5:$G$76,0))</x:f>
        <x:v>0</x:v>
      </x:c>
      <x:c r="H850" s="10" t="n">
        <x:f>SUM(XLOOKUP('포켓몬_편집'!$AF850:$AN850,'분류_규칙'!$A$5:$A$76,'분류_규칙'!$H$5:$H$76,0))</x:f>
        <x:v>0</x:v>
      </x:c>
      <x:c r="I850" s="10" t="n">
        <x:f>SUM(XLOOKUP('포켓몬_편집'!$AF850:$AN850,'분류_규칙'!$A$5:$A$76,'분류_규칙'!$I$5:$I$76,0))</x:f>
        <x:v>0</x:v>
      </x:c>
      <x:c r="J850" s="10" t="n">
        <x:f>SUM(XLOOKUP('포켓몬_편집'!$AF850:$AN850,'분류_규칙'!$A$5:$A$76,'분류_규칙'!$J$5:$J$76,0))</x:f>
        <x:v>3</x:v>
      </x:c>
      <x:c r="K850" s="10" t="n">
        <x:f>SUM(XLOOKUP('포켓몬_편집'!$AF850:$AN850,'분류_규칙'!$A$5:$A$76,'분류_규칙'!$K$5:$K$76,0))</x:f>
        <x:v>0</x:v>
      </x:c>
      <x:c r="L850" s="10" t="n">
        <x:f>SUM(XLOOKUP('포켓몬_편집'!$AF850:$AN850,'분류_규칙'!$A$5:$A$76,'분류_규칙'!$L$5:$L$76,0))</x:f>
        <x:v>30</x:v>
      </x:c>
      <x:c r="M850" s="10" t="n">
        <x:f>SUM(XLOOKUP('포켓몬_편집'!$AF850:$AN850,'분류_규칙'!$A$5:$A$76,'분류_규칙'!$M$5:$M$76,0))</x:f>
        <x:v>0</x:v>
      </x:c>
      <x:c r="N850" s="10" t="n">
        <x:f>SUM(XLOOKUP('포켓몬_편집'!$AF850:$AN850,'분류_규칙'!$A$5:$A$76,'분류_규칙'!$N$5:$N$76,0))</x:f>
        <x:v>0</x:v>
      </x:c>
      <x:c r="O850" s="10" t="n">
        <x:f>SUM(XLOOKUP('포켓몬_편집'!$AF850:$AN850,'분류_규칙'!$A$5:$A$76,'분류_규칙'!$O$5:$O$76,0))</x:f>
        <x:v>0</x:v>
      </x:c>
      <x:c r="P850" s="10" t="n">
        <x:f>SUM(XLOOKUP('포켓몬_편집'!$AF850:$AN850,'분류_규칙'!$A$5:$A$76,'분류_규칙'!$P$5:$P$76,0))</x:f>
        <x:v>0</x:v>
      </x:c>
    </x:row>
    <x:row r="851" ht="22" customHeight="1">
      <x:c r="A851" s="5" t="n">
        <x:v>847</x:v>
      </x:c>
      <x:c r="B851" s="5" t="inlineStr">
        <x:is>
          <x:t xml:space="preserve">꼬치조</x:t>
        </x:is>
      </x:c>
      <x:c r="C851" s="5" t="inlineStr">
        <x:is>
          <x:t xml:space="preserve">barraskewda</x:t>
        </x:is>
      </x:c>
      <x:c r="D851" s="5" t="n">
        <x:v>8</x:v>
      </x:c>
      <x:c r="E851" s="10" t="n">
        <x:f>SUM(XLOOKUP('포켓몬_편집'!$AF851:$AN851,'분류_규칙'!$A$5:$A$76,'분류_규칙'!$E$5:$E$76,0))</x:f>
        <x:v>0</x:v>
      </x:c>
      <x:c r="F851" s="10" t="n">
        <x:f>SUM(XLOOKUP('포켓몬_편집'!$AF851:$AN851,'분류_규칙'!$A$5:$A$76,'분류_규칙'!$F$5:$F$76,0))</x:f>
        <x:v>0</x:v>
      </x:c>
      <x:c r="G851" s="10" t="n">
        <x:f>SUM(XLOOKUP('포켓몬_편집'!$AF851:$AN851,'분류_규칙'!$A$5:$A$76,'분류_규칙'!$G$5:$G$76,0))</x:f>
        <x:v>0</x:v>
      </x:c>
      <x:c r="H851" s="10" t="n">
        <x:f>SUM(XLOOKUP('포켓몬_편집'!$AF851:$AN851,'분류_규칙'!$A$5:$A$76,'분류_규칙'!$H$5:$H$76,0))</x:f>
        <x:v>0</x:v>
      </x:c>
      <x:c r="I851" s="10" t="n">
        <x:f>SUM(XLOOKUP('포켓몬_편집'!$AF851:$AN851,'분류_규칙'!$A$5:$A$76,'분류_규칙'!$I$5:$I$76,0))</x:f>
        <x:v>0</x:v>
      </x:c>
      <x:c r="J851" s="10" t="n">
        <x:f>SUM(XLOOKUP('포켓몬_편집'!$AF851:$AN851,'분류_규칙'!$A$5:$A$76,'분류_규칙'!$J$5:$J$76,0))</x:f>
        <x:v>3</x:v>
      </x:c>
      <x:c r="K851" s="10" t="n">
        <x:f>SUM(XLOOKUP('포켓몬_편집'!$AF851:$AN851,'분류_규칙'!$A$5:$A$76,'분류_규칙'!$K$5:$K$76,0))</x:f>
        <x:v>0</x:v>
      </x:c>
      <x:c r="L851" s="10" t="n">
        <x:f>SUM(XLOOKUP('포켓몬_편집'!$AF851:$AN851,'분류_규칙'!$A$5:$A$76,'분류_규칙'!$L$5:$L$76,0))</x:f>
        <x:v>30</x:v>
      </x:c>
      <x:c r="M851" s="10" t="n">
        <x:f>SUM(XLOOKUP('포켓몬_편집'!$AF851:$AN851,'분류_규칙'!$A$5:$A$76,'분류_규칙'!$M$5:$M$76,0))</x:f>
        <x:v>0</x:v>
      </x:c>
      <x:c r="N851" s="10" t="n">
        <x:f>SUM(XLOOKUP('포켓몬_편집'!$AF851:$AN851,'분류_규칙'!$A$5:$A$76,'분류_규칙'!$N$5:$N$76,0))</x:f>
        <x:v>0</x:v>
      </x:c>
      <x:c r="O851" s="10" t="n">
        <x:f>SUM(XLOOKUP('포켓몬_편집'!$AF851:$AN851,'분류_규칙'!$A$5:$A$76,'분류_규칙'!$O$5:$O$76,0))</x:f>
        <x:v>0</x:v>
      </x:c>
      <x:c r="P851" s="10" t="n">
        <x:f>SUM(XLOOKUP('포켓몬_편집'!$AF851:$AN851,'분류_규칙'!$A$5:$A$76,'분류_규칙'!$P$5:$P$76,0))</x:f>
        <x:v>0</x:v>
      </x:c>
    </x:row>
    <x:row r="852" ht="22" customHeight="1">
      <x:c r="A852" s="5" t="n">
        <x:v>848</x:v>
      </x:c>
      <x:c r="B852" s="5" t="inlineStr">
        <x:is>
          <x:t xml:space="preserve">일레즌</x:t>
        </x:is>
      </x:c>
      <x:c r="C852" s="5" t="inlineStr">
        <x:is>
          <x:t xml:space="preserve">toxel</x:t>
        </x:is>
      </x:c>
      <x:c r="D852" s="5" t="n">
        <x:v>8</x:v>
      </x:c>
      <x:c r="E852" s="10" t="n">
        <x:f>SUM(XLOOKUP('포켓몬_편집'!$AF852:$AN852,'분류_규칙'!$A$5:$A$76,'분류_규칙'!$E$5:$E$76,0))</x:f>
        <x:v>10</x:v>
      </x:c>
      <x:c r="F852" s="10" t="n">
        <x:f>SUM(XLOOKUP('포켓몬_편집'!$AF852:$AN852,'분류_규칙'!$A$5:$A$76,'분류_규칙'!$F$5:$F$76,0))</x:f>
        <x:v>7</x:v>
      </x:c>
      <x:c r="G852" s="10" t="n">
        <x:f>SUM(XLOOKUP('포켓몬_편집'!$AF852:$AN852,'분류_규칙'!$A$5:$A$76,'분류_규칙'!$G$5:$G$76,0))</x:f>
        <x:v>5</x:v>
      </x:c>
      <x:c r="H852" s="10" t="n">
        <x:f>SUM(XLOOKUP('포켓몬_편집'!$AF852:$AN852,'분류_규칙'!$A$5:$A$76,'분류_규칙'!$H$5:$H$76,0))</x:f>
        <x:v>5</x:v>
      </x:c>
      <x:c r="I852" s="10" t="n">
        <x:f>SUM(XLOOKUP('포켓몬_편집'!$AF852:$AN852,'분류_규칙'!$A$5:$A$76,'분류_규칙'!$I$5:$I$76,0))</x:f>
        <x:v>0</x:v>
      </x:c>
      <x:c r="J852" s="10" t="n">
        <x:f>SUM(XLOOKUP('포켓몬_편집'!$AF852:$AN852,'분류_규칙'!$A$5:$A$76,'분류_규칙'!$J$5:$J$76,0))</x:f>
        <x:v>2</x:v>
      </x:c>
      <x:c r="K852" s="10" t="n">
        <x:f>SUM(XLOOKUP('포켓몬_편집'!$AF852:$AN852,'분류_규칙'!$A$5:$A$76,'분류_규칙'!$K$5:$K$76,0))</x:f>
        <x:v>0</x:v>
      </x:c>
      <x:c r="L852" s="10" t="n">
        <x:f>SUM(XLOOKUP('포켓몬_편집'!$AF852:$AN852,'분류_규칙'!$A$5:$A$76,'분류_규칙'!$L$5:$L$76,0))</x:f>
        <x:v>0</x:v>
      </x:c>
      <x:c r="M852" s="10" t="n">
        <x:f>SUM(XLOOKUP('포켓몬_편집'!$AF852:$AN852,'분류_규칙'!$A$5:$A$76,'분류_규칙'!$M$5:$M$76,0))</x:f>
        <x:v>0</x:v>
      </x:c>
      <x:c r="N852" s="10" t="n">
        <x:f>SUM(XLOOKUP('포켓몬_편집'!$AF852:$AN852,'분류_규칙'!$A$5:$A$76,'분류_규칙'!$N$5:$N$76,0))</x:f>
        <x:v>0</x:v>
      </x:c>
      <x:c r="O852" s="10" t="n">
        <x:f>SUM(XLOOKUP('포켓몬_편집'!$AF852:$AN852,'분류_규칙'!$A$5:$A$76,'분류_규칙'!$O$5:$O$76,0))</x:f>
        <x:v>2</x:v>
      </x:c>
      <x:c r="P852" s="10" t="n">
        <x:f>SUM(XLOOKUP('포켓몬_편집'!$AF852:$AN852,'분류_규칙'!$A$5:$A$76,'분류_규칙'!$P$5:$P$76,0))</x:f>
        <x:v>0</x:v>
      </x:c>
    </x:row>
    <x:row r="853" ht="22" customHeight="1">
      <x:c r="A853" s="5" t="n">
        <x:v>849</x:v>
      </x:c>
      <x:c r="B853" s="5" t="inlineStr">
        <x:is>
          <x:t xml:space="preserve">스트린더</x:t>
        </x:is>
      </x:c>
      <x:c r="C853" s="5" t="inlineStr">
        <x:is>
          <x:t xml:space="preserve">toxtricity</x:t>
        </x:is>
      </x:c>
      <x:c r="D853" s="5" t="n">
        <x:v>8</x:v>
      </x:c>
      <x:c r="E853" s="10" t="n">
        <x:f>SUM(XLOOKUP('포켓몬_편집'!$AF853:$AN853,'분류_규칙'!$A$5:$A$76,'분류_규칙'!$E$5:$E$76,0))</x:f>
        <x:v>10</x:v>
      </x:c>
      <x:c r="F853" s="10" t="n">
        <x:f>SUM(XLOOKUP('포켓몬_편집'!$AF853:$AN853,'분류_규칙'!$A$5:$A$76,'분류_규칙'!$F$5:$F$76,0))</x:f>
        <x:v>7</x:v>
      </x:c>
      <x:c r="G853" s="10" t="n">
        <x:f>SUM(XLOOKUP('포켓몬_편집'!$AF853:$AN853,'분류_규칙'!$A$5:$A$76,'분류_규칙'!$G$5:$G$76,0))</x:f>
        <x:v>5</x:v>
      </x:c>
      <x:c r="H853" s="10" t="n">
        <x:f>SUM(XLOOKUP('포켓몬_편집'!$AF853:$AN853,'분류_규칙'!$A$5:$A$76,'분류_규칙'!$H$5:$H$76,0))</x:f>
        <x:v>5</x:v>
      </x:c>
      <x:c r="I853" s="10" t="n">
        <x:f>SUM(XLOOKUP('포켓몬_편집'!$AF853:$AN853,'분류_규칙'!$A$5:$A$76,'분류_규칙'!$I$5:$I$76,0))</x:f>
        <x:v>0</x:v>
      </x:c>
      <x:c r="J853" s="10" t="n">
        <x:f>SUM(XLOOKUP('포켓몬_편집'!$AF853:$AN853,'분류_규칙'!$A$5:$A$76,'분류_규칙'!$J$5:$J$76,0))</x:f>
        <x:v>2</x:v>
      </x:c>
      <x:c r="K853" s="10" t="n">
        <x:f>SUM(XLOOKUP('포켓몬_편집'!$AF853:$AN853,'분류_규칙'!$A$5:$A$76,'분류_규칙'!$K$5:$K$76,0))</x:f>
        <x:v>0</x:v>
      </x:c>
      <x:c r="L853" s="10" t="n">
        <x:f>SUM(XLOOKUP('포켓몬_편집'!$AF853:$AN853,'분류_규칙'!$A$5:$A$76,'분류_규칙'!$L$5:$L$76,0))</x:f>
        <x:v>0</x:v>
      </x:c>
      <x:c r="M853" s="10" t="n">
        <x:f>SUM(XLOOKUP('포켓몬_편집'!$AF853:$AN853,'분류_규칙'!$A$5:$A$76,'분류_규칙'!$M$5:$M$76,0))</x:f>
        <x:v>0</x:v>
      </x:c>
      <x:c r="N853" s="10" t="n">
        <x:f>SUM(XLOOKUP('포켓몬_편집'!$AF853:$AN853,'분류_규칙'!$A$5:$A$76,'분류_규칙'!$N$5:$N$76,0))</x:f>
        <x:v>0</x:v>
      </x:c>
      <x:c r="O853" s="10" t="n">
        <x:f>SUM(XLOOKUP('포켓몬_편집'!$AF853:$AN853,'분류_규칙'!$A$5:$A$76,'분류_규칙'!$O$5:$O$76,0))</x:f>
        <x:v>2</x:v>
      </x:c>
      <x:c r="P853" s="10" t="n">
        <x:f>SUM(XLOOKUP('포켓몬_편집'!$AF853:$AN853,'분류_규칙'!$A$5:$A$76,'분류_규칙'!$P$5:$P$76,0))</x:f>
        <x:v>0</x:v>
      </x:c>
    </x:row>
    <x:row r="854" ht="22" customHeight="1">
      <x:c r="A854" s="5" t="n">
        <x:v>850</x:v>
      </x:c>
      <x:c r="B854" s="5" t="inlineStr">
        <x:is>
          <x:t xml:space="preserve">태우지네</x:t>
        </x:is>
      </x:c>
      <x:c r="C854" s="5" t="inlineStr">
        <x:is>
          <x:t xml:space="preserve">sizzlipede</x:t>
        </x:is>
      </x:c>
      <x:c r="D854" s="5" t="n">
        <x:v>8</x:v>
      </x:c>
      <x:c r="E854" s="10" t="n">
        <x:f>SUM(XLOOKUP('포켓몬_편집'!$AF854:$AN854,'분류_규칙'!$A$5:$A$76,'분류_규칙'!$E$5:$E$76,0))</x:f>
        <x:v>10</x:v>
      </x:c>
      <x:c r="F854" s="10" t="n">
        <x:f>SUM(XLOOKUP('포켓몬_편집'!$AF854:$AN854,'분류_규칙'!$A$5:$A$76,'분류_규칙'!$F$5:$F$76,0))</x:f>
        <x:v>7</x:v>
      </x:c>
      <x:c r="G854" s="10" t="n">
        <x:f>SUM(XLOOKUP('포켓몬_편집'!$AF854:$AN854,'분류_규칙'!$A$5:$A$76,'분류_규칙'!$G$5:$G$76,0))</x:f>
        <x:v>5</x:v>
      </x:c>
      <x:c r="H854" s="10" t="n">
        <x:f>SUM(XLOOKUP('포켓몬_편집'!$AF854:$AN854,'분류_규칙'!$A$5:$A$76,'분류_규칙'!$H$5:$H$76,0))</x:f>
        <x:v>5</x:v>
      </x:c>
      <x:c r="I854" s="10" t="n">
        <x:f>SUM(XLOOKUP('포켓몬_편집'!$AF854:$AN854,'분류_규칙'!$A$5:$A$76,'분류_규칙'!$I$5:$I$76,0))</x:f>
        <x:v>0</x:v>
      </x:c>
      <x:c r="J854" s="10" t="n">
        <x:f>SUM(XLOOKUP('포켓몬_편집'!$AF854:$AN854,'분류_규칙'!$A$5:$A$76,'분류_규칙'!$J$5:$J$76,0))</x:f>
        <x:v>2</x:v>
      </x:c>
      <x:c r="K854" s="10" t="n">
        <x:f>SUM(XLOOKUP('포켓몬_편집'!$AF854:$AN854,'분류_규칙'!$A$5:$A$76,'분류_규칙'!$K$5:$K$76,0))</x:f>
        <x:v>0</x:v>
      </x:c>
      <x:c r="L854" s="10" t="n">
        <x:f>SUM(XLOOKUP('포켓몬_편집'!$AF854:$AN854,'분류_규칙'!$A$5:$A$76,'분류_규칙'!$L$5:$L$76,0))</x:f>
        <x:v>0</x:v>
      </x:c>
      <x:c r="M854" s="10" t="n">
        <x:f>SUM(XLOOKUP('포켓몬_편집'!$AF854:$AN854,'분류_규칙'!$A$5:$A$76,'분류_규칙'!$M$5:$M$76,0))</x:f>
        <x:v>0</x:v>
      </x:c>
      <x:c r="N854" s="10" t="n">
        <x:f>SUM(XLOOKUP('포켓몬_편집'!$AF854:$AN854,'분류_규칙'!$A$5:$A$76,'분류_규칙'!$N$5:$N$76,0))</x:f>
        <x:v>0</x:v>
      </x:c>
      <x:c r="O854" s="10" t="n">
        <x:f>SUM(XLOOKUP('포켓몬_편집'!$AF854:$AN854,'분류_규칙'!$A$5:$A$76,'분류_규칙'!$O$5:$O$76,0))</x:f>
        <x:v>2</x:v>
      </x:c>
      <x:c r="P854" s="10" t="n">
        <x:f>SUM(XLOOKUP('포켓몬_편집'!$AF854:$AN854,'분류_규칙'!$A$5:$A$76,'분류_규칙'!$P$5:$P$76,0))</x:f>
        <x:v>0</x:v>
      </x:c>
    </x:row>
    <x:row r="855" ht="22" customHeight="1">
      <x:c r="A855" s="5" t="n">
        <x:v>851</x:v>
      </x:c>
      <x:c r="B855" s="5" t="inlineStr">
        <x:is>
          <x:t xml:space="preserve">다태우지네</x:t>
        </x:is>
      </x:c>
      <x:c r="C855" s="5" t="inlineStr">
        <x:is>
          <x:t xml:space="preserve">centiskorch</x:t>
        </x:is>
      </x:c>
      <x:c r="D855" s="5" t="n">
        <x:v>8</x:v>
      </x:c>
      <x:c r="E855" s="10" t="n">
        <x:f>SUM(XLOOKUP('포켓몬_편집'!$AF855:$AN855,'분류_규칙'!$A$5:$A$76,'분류_규칙'!$E$5:$E$76,0))</x:f>
        <x:v>10</x:v>
      </x:c>
      <x:c r="F855" s="10" t="n">
        <x:f>SUM(XLOOKUP('포켓몬_편집'!$AF855:$AN855,'분류_규칙'!$A$5:$A$76,'분류_규칙'!$F$5:$F$76,0))</x:f>
        <x:v>7</x:v>
      </x:c>
      <x:c r="G855" s="10" t="n">
        <x:f>SUM(XLOOKUP('포켓몬_편집'!$AF855:$AN855,'분류_규칙'!$A$5:$A$76,'분류_규칙'!$G$5:$G$76,0))</x:f>
        <x:v>5</x:v>
      </x:c>
      <x:c r="H855" s="10" t="n">
        <x:f>SUM(XLOOKUP('포켓몬_편집'!$AF855:$AN855,'분류_규칙'!$A$5:$A$76,'분류_규칙'!$H$5:$H$76,0))</x:f>
        <x:v>5</x:v>
      </x:c>
      <x:c r="I855" s="10" t="n">
        <x:f>SUM(XLOOKUP('포켓몬_편집'!$AF855:$AN855,'분류_규칙'!$A$5:$A$76,'분류_규칙'!$I$5:$I$76,0))</x:f>
        <x:v>0</x:v>
      </x:c>
      <x:c r="J855" s="10" t="n">
        <x:f>SUM(XLOOKUP('포켓몬_편집'!$AF855:$AN855,'분류_규칙'!$A$5:$A$76,'분류_규칙'!$J$5:$J$76,0))</x:f>
        <x:v>2</x:v>
      </x:c>
      <x:c r="K855" s="10" t="n">
        <x:f>SUM(XLOOKUP('포켓몬_편집'!$AF855:$AN855,'분류_규칙'!$A$5:$A$76,'분류_규칙'!$K$5:$K$76,0))</x:f>
        <x:v>0</x:v>
      </x:c>
      <x:c r="L855" s="10" t="n">
        <x:f>SUM(XLOOKUP('포켓몬_편집'!$AF855:$AN855,'분류_규칙'!$A$5:$A$76,'분류_규칙'!$L$5:$L$76,0))</x:f>
        <x:v>0</x:v>
      </x:c>
      <x:c r="M855" s="10" t="n">
        <x:f>SUM(XLOOKUP('포켓몬_편집'!$AF855:$AN855,'분류_규칙'!$A$5:$A$76,'분류_규칙'!$M$5:$M$76,0))</x:f>
        <x:v>0</x:v>
      </x:c>
      <x:c r="N855" s="10" t="n">
        <x:f>SUM(XLOOKUP('포켓몬_편집'!$AF855:$AN855,'분류_규칙'!$A$5:$A$76,'분류_규칙'!$N$5:$N$76,0))</x:f>
        <x:v>0</x:v>
      </x:c>
      <x:c r="O855" s="10" t="n">
        <x:f>SUM(XLOOKUP('포켓몬_편집'!$AF855:$AN855,'분류_규칙'!$A$5:$A$76,'분류_규칙'!$O$5:$O$76,0))</x:f>
        <x:v>2</x:v>
      </x:c>
      <x:c r="P855" s="10" t="n">
        <x:f>SUM(XLOOKUP('포켓몬_편집'!$AF855:$AN855,'분류_규칙'!$A$5:$A$76,'분류_규칙'!$P$5:$P$76,0))</x:f>
        <x:v>0</x:v>
      </x:c>
    </x:row>
    <x:row r="856" ht="22" customHeight="1">
      <x:c r="A856" s="5" t="n">
        <x:v>852</x:v>
      </x:c>
      <x:c r="B856" s="5" t="inlineStr">
        <x:is>
          <x:t xml:space="preserve">때때무노</x:t>
        </x:is>
      </x:c>
      <x:c r="C856" s="5" t="inlineStr">
        <x:is>
          <x:t xml:space="preserve">clobbopus</x:t>
        </x:is>
      </x:c>
      <x:c r="D856" s="5" t="n">
        <x:v>8</x:v>
      </x:c>
      <x:c r="E856" s="10" t="n">
        <x:f>SUM(XLOOKUP('포켓몬_편집'!$AF856:$AN856,'분류_규칙'!$A$5:$A$76,'분류_규칙'!$E$5:$E$76,0))</x:f>
        <x:v>0</x:v>
      </x:c>
      <x:c r="F856" s="10" t="n">
        <x:f>SUM(XLOOKUP('포켓몬_편집'!$AF856:$AN856,'분류_규칙'!$A$5:$A$76,'분류_규칙'!$F$5:$F$76,0))</x:f>
        <x:v>0</x:v>
      </x:c>
      <x:c r="G856" s="10" t="n">
        <x:f>SUM(XLOOKUP('포켓몬_편집'!$AF856:$AN856,'분류_규칙'!$A$5:$A$76,'분류_규칙'!$G$5:$G$76,0))</x:f>
        <x:v>0</x:v>
      </x:c>
      <x:c r="H856" s="10" t="n">
        <x:f>SUM(XLOOKUP('포켓몬_편집'!$AF856:$AN856,'분류_규칙'!$A$5:$A$76,'분류_규칙'!$H$5:$H$76,0))</x:f>
        <x:v>0</x:v>
      </x:c>
      <x:c r="I856" s="10" t="n">
        <x:f>SUM(XLOOKUP('포켓몬_편집'!$AF856:$AN856,'분류_규칙'!$A$5:$A$76,'분류_규칙'!$I$5:$I$76,0))</x:f>
        <x:v>0</x:v>
      </x:c>
      <x:c r="J856" s="10" t="n">
        <x:f>SUM(XLOOKUP('포켓몬_편집'!$AF856:$AN856,'분류_규칙'!$A$5:$A$76,'분류_규칙'!$J$5:$J$76,0))</x:f>
        <x:v>3</x:v>
      </x:c>
      <x:c r="K856" s="10" t="n">
        <x:f>SUM(XLOOKUP('포켓몬_편집'!$AF856:$AN856,'분류_규칙'!$A$5:$A$76,'분류_규칙'!$K$5:$K$76,0))</x:f>
        <x:v>0</x:v>
      </x:c>
      <x:c r="L856" s="10" t="n">
        <x:f>SUM(XLOOKUP('포켓몬_편집'!$AF856:$AN856,'분류_규칙'!$A$5:$A$76,'분류_규칙'!$L$5:$L$76,0))</x:f>
        <x:v>30</x:v>
      </x:c>
      <x:c r="M856" s="10" t="n">
        <x:f>SUM(XLOOKUP('포켓몬_편집'!$AF856:$AN856,'분류_규칙'!$A$5:$A$76,'분류_규칙'!$M$5:$M$76,0))</x:f>
        <x:v>0</x:v>
      </x:c>
      <x:c r="N856" s="10" t="n">
        <x:f>SUM(XLOOKUP('포켓몬_편집'!$AF856:$AN856,'분류_규칙'!$A$5:$A$76,'분류_규칙'!$N$5:$N$76,0))</x:f>
        <x:v>0</x:v>
      </x:c>
      <x:c r="O856" s="10" t="n">
        <x:f>SUM(XLOOKUP('포켓몬_편집'!$AF856:$AN856,'분류_규칙'!$A$5:$A$76,'분류_규칙'!$O$5:$O$76,0))</x:f>
        <x:v>0</x:v>
      </x:c>
      <x:c r="P856" s="10" t="n">
        <x:f>SUM(XLOOKUP('포켓몬_편집'!$AF856:$AN856,'분류_규칙'!$A$5:$A$76,'분류_규칙'!$P$5:$P$76,0))</x:f>
        <x:v>0</x:v>
      </x:c>
    </x:row>
    <x:row r="857" ht="22" customHeight="1">
      <x:c r="A857" s="5" t="n">
        <x:v>853</x:v>
      </x:c>
      <x:c r="B857" s="5" t="inlineStr">
        <x:is>
          <x:t xml:space="preserve">케오퍼스</x:t>
        </x:is>
      </x:c>
      <x:c r="C857" s="5" t="inlineStr">
        <x:is>
          <x:t xml:space="preserve">grapploct</x:t>
        </x:is>
      </x:c>
      <x:c r="D857" s="5" t="n">
        <x:v>8</x:v>
      </x:c>
      <x:c r="E857" s="10" t="n">
        <x:f>SUM(XLOOKUP('포켓몬_편집'!$AF857:$AN857,'분류_규칙'!$A$5:$A$76,'분류_규칙'!$E$5:$E$76,0))</x:f>
        <x:v>0</x:v>
      </x:c>
      <x:c r="F857" s="10" t="n">
        <x:f>SUM(XLOOKUP('포켓몬_편집'!$AF857:$AN857,'분류_규칙'!$A$5:$A$76,'분류_규칙'!$F$5:$F$76,0))</x:f>
        <x:v>0</x:v>
      </x:c>
      <x:c r="G857" s="10" t="n">
        <x:f>SUM(XLOOKUP('포켓몬_편집'!$AF857:$AN857,'분류_규칙'!$A$5:$A$76,'분류_규칙'!$G$5:$G$76,0))</x:f>
        <x:v>0</x:v>
      </x:c>
      <x:c r="H857" s="10" t="n">
        <x:f>SUM(XLOOKUP('포켓몬_편집'!$AF857:$AN857,'분류_규칙'!$A$5:$A$76,'분류_규칙'!$H$5:$H$76,0))</x:f>
        <x:v>0</x:v>
      </x:c>
      <x:c r="I857" s="10" t="n">
        <x:f>SUM(XLOOKUP('포켓몬_편집'!$AF857:$AN857,'분류_규칙'!$A$5:$A$76,'분류_규칙'!$I$5:$I$76,0))</x:f>
        <x:v>0</x:v>
      </x:c>
      <x:c r="J857" s="10" t="n">
        <x:f>SUM(XLOOKUP('포켓몬_편집'!$AF857:$AN857,'분류_규칙'!$A$5:$A$76,'분류_규칙'!$J$5:$J$76,0))</x:f>
        <x:v>3</x:v>
      </x:c>
      <x:c r="K857" s="10" t="n">
        <x:f>SUM(XLOOKUP('포켓몬_편집'!$AF857:$AN857,'분류_규칙'!$A$5:$A$76,'분류_규칙'!$K$5:$K$76,0))</x:f>
        <x:v>0</x:v>
      </x:c>
      <x:c r="L857" s="10" t="n">
        <x:f>SUM(XLOOKUP('포켓몬_편집'!$AF857:$AN857,'분류_규칙'!$A$5:$A$76,'분류_규칙'!$L$5:$L$76,0))</x:f>
        <x:v>30</x:v>
      </x:c>
      <x:c r="M857" s="10" t="n">
        <x:f>SUM(XLOOKUP('포켓몬_편집'!$AF857:$AN857,'분류_규칙'!$A$5:$A$76,'분류_규칙'!$M$5:$M$76,0))</x:f>
        <x:v>0</x:v>
      </x:c>
      <x:c r="N857" s="10" t="n">
        <x:f>SUM(XLOOKUP('포켓몬_편집'!$AF857:$AN857,'분류_규칙'!$A$5:$A$76,'분류_규칙'!$N$5:$N$76,0))</x:f>
        <x:v>0</x:v>
      </x:c>
      <x:c r="O857" s="10" t="n">
        <x:f>SUM(XLOOKUP('포켓몬_편집'!$AF857:$AN857,'분류_규칙'!$A$5:$A$76,'분류_규칙'!$O$5:$O$76,0))</x:f>
        <x:v>0</x:v>
      </x:c>
      <x:c r="P857" s="10" t="n">
        <x:f>SUM(XLOOKUP('포켓몬_편집'!$AF857:$AN857,'분류_규칙'!$A$5:$A$76,'분류_규칙'!$P$5:$P$76,0))</x:f>
        <x:v>0</x:v>
      </x:c>
    </x:row>
    <x:row r="858" ht="22" customHeight="1">
      <x:c r="A858" s="5" t="n">
        <x:v>854</x:v>
      </x:c>
      <x:c r="B858" s="5" t="inlineStr">
        <x:is>
          <x:t xml:space="preserve">데인차</x:t>
        </x:is>
      </x:c>
      <x:c r="C858" s="5" t="inlineStr">
        <x:is>
          <x:t xml:space="preserve">sinistea</x:t>
        </x:is>
      </x:c>
      <x:c r="D858" s="5" t="n">
        <x:v>8</x:v>
      </x:c>
      <x:c r="E858" s="10" t="n">
        <x:f>SUM(XLOOKUP('포켓몬_편집'!$AF858:$AN858,'분류_규칙'!$A$5:$A$76,'분류_규칙'!$E$5:$E$76,0))</x:f>
        <x:v>0</x:v>
      </x:c>
      <x:c r="F858" s="10" t="n">
        <x:f>SUM(XLOOKUP('포켓몬_편집'!$AF858:$AN858,'분류_규칙'!$A$5:$A$76,'분류_규칙'!$F$5:$F$76,0))</x:f>
        <x:v>0</x:v>
      </x:c>
      <x:c r="G858" s="10" t="n">
        <x:f>SUM(XLOOKUP('포켓몬_편집'!$AF858:$AN858,'분류_규칙'!$A$5:$A$76,'분류_규칙'!$G$5:$G$76,0))</x:f>
        <x:v>0</x:v>
      </x:c>
      <x:c r="H858" s="10" t="n">
        <x:f>SUM(XLOOKUP('포켓몬_편집'!$AF858:$AN858,'분류_규칙'!$A$5:$A$76,'분류_규칙'!$H$5:$H$76,0))</x:f>
        <x:v>0</x:v>
      </x:c>
      <x:c r="I858" s="10" t="n">
        <x:f>SUM(XLOOKUP('포켓몬_편집'!$AF858:$AN858,'분류_규칙'!$A$5:$A$76,'분류_규칙'!$I$5:$I$76,0))</x:f>
        <x:v>0</x:v>
      </x:c>
      <x:c r="J858" s="10" t="n">
        <x:f>SUM(XLOOKUP('포켓몬_편집'!$AF858:$AN858,'분류_규칙'!$A$5:$A$76,'분류_규칙'!$J$5:$J$76,0))</x:f>
        <x:v>0</x:v>
      </x:c>
      <x:c r="K858" s="10" t="n">
        <x:f>SUM(XLOOKUP('포켓몬_편집'!$AF858:$AN858,'분류_규칙'!$A$5:$A$76,'분류_규칙'!$K$5:$K$76,0))</x:f>
        <x:v>0</x:v>
      </x:c>
      <x:c r="L858" s="10" t="n">
        <x:f>SUM(XLOOKUP('포켓몬_편집'!$AF858:$AN858,'분류_규칙'!$A$5:$A$76,'분류_규칙'!$L$5:$L$76,0))</x:f>
        <x:v>0</x:v>
      </x:c>
      <x:c r="M858" s="10" t="n">
        <x:f>SUM(XLOOKUP('포켓몬_편집'!$AF858:$AN858,'분류_규칙'!$A$5:$A$76,'분류_규칙'!$M$5:$M$76,0))</x:f>
        <x:v>0</x:v>
      </x:c>
      <x:c r="N858" s="10" t="n">
        <x:f>SUM(XLOOKUP('포켓몬_편집'!$AF858:$AN858,'분류_규칙'!$A$5:$A$76,'분류_규칙'!$N$5:$N$76,0))</x:f>
        <x:v>0</x:v>
      </x:c>
      <x:c r="O858" s="10" t="n">
        <x:f>SUM(XLOOKUP('포켓몬_편집'!$AF858:$AN858,'분류_규칙'!$A$5:$A$76,'분류_규칙'!$O$5:$O$76,0))</x:f>
        <x:v>30</x:v>
      </x:c>
      <x:c r="P858" s="10" t="n">
        <x:f>SUM(XLOOKUP('포켓몬_편집'!$AF858:$AN858,'분류_규칙'!$A$5:$A$76,'분류_규칙'!$P$5:$P$76,0))</x:f>
        <x:v>8</x:v>
      </x:c>
    </x:row>
    <x:row r="859" ht="22" customHeight="1">
      <x:c r="A859" s="5" t="n">
        <x:v>855</x:v>
      </x:c>
      <x:c r="B859" s="5" t="inlineStr">
        <x:is>
          <x:t xml:space="preserve">포트데스</x:t>
        </x:is>
      </x:c>
      <x:c r="C859" s="5" t="inlineStr">
        <x:is>
          <x:t xml:space="preserve">polteageist</x:t>
        </x:is>
      </x:c>
      <x:c r="D859" s="5" t="n">
        <x:v>8</x:v>
      </x:c>
      <x:c r="E859" s="10" t="n">
        <x:f>SUM(XLOOKUP('포켓몬_편집'!$AF859:$AN859,'분류_규칙'!$A$5:$A$76,'분류_규칙'!$E$5:$E$76,0))</x:f>
        <x:v>0</x:v>
      </x:c>
      <x:c r="F859" s="10" t="n">
        <x:f>SUM(XLOOKUP('포켓몬_편집'!$AF859:$AN859,'분류_규칙'!$A$5:$A$76,'분류_규칙'!$F$5:$F$76,0))</x:f>
        <x:v>0</x:v>
      </x:c>
      <x:c r="G859" s="10" t="n">
        <x:f>SUM(XLOOKUP('포켓몬_편집'!$AF859:$AN859,'분류_규칙'!$A$5:$A$76,'분류_규칙'!$G$5:$G$76,0))</x:f>
        <x:v>0</x:v>
      </x:c>
      <x:c r="H859" s="10" t="n">
        <x:f>SUM(XLOOKUP('포켓몬_편집'!$AF859:$AN859,'분류_규칙'!$A$5:$A$76,'분류_규칙'!$H$5:$H$76,0))</x:f>
        <x:v>0</x:v>
      </x:c>
      <x:c r="I859" s="10" t="n">
        <x:f>SUM(XLOOKUP('포켓몬_편집'!$AF859:$AN859,'분류_규칙'!$A$5:$A$76,'분류_규칙'!$I$5:$I$76,0))</x:f>
        <x:v>0</x:v>
      </x:c>
      <x:c r="J859" s="10" t="n">
        <x:f>SUM(XLOOKUP('포켓몬_편집'!$AF859:$AN859,'분류_규칙'!$A$5:$A$76,'분류_규칙'!$J$5:$J$76,0))</x:f>
        <x:v>0</x:v>
      </x:c>
      <x:c r="K859" s="10" t="n">
        <x:f>SUM(XLOOKUP('포켓몬_편집'!$AF859:$AN859,'분류_규칙'!$A$5:$A$76,'분류_규칙'!$K$5:$K$76,0))</x:f>
        <x:v>0</x:v>
      </x:c>
      <x:c r="L859" s="10" t="n">
        <x:f>SUM(XLOOKUP('포켓몬_편집'!$AF859:$AN859,'분류_규칙'!$A$5:$A$76,'분류_규칙'!$L$5:$L$76,0))</x:f>
        <x:v>0</x:v>
      </x:c>
      <x:c r="M859" s="10" t="n">
        <x:f>SUM(XLOOKUP('포켓몬_편집'!$AF859:$AN859,'분류_규칙'!$A$5:$A$76,'분류_규칙'!$M$5:$M$76,0))</x:f>
        <x:v>0</x:v>
      </x:c>
      <x:c r="N859" s="10" t="n">
        <x:f>SUM(XLOOKUP('포켓몬_편집'!$AF859:$AN859,'분류_규칙'!$A$5:$A$76,'분류_규칙'!$N$5:$N$76,0))</x:f>
        <x:v>0</x:v>
      </x:c>
      <x:c r="O859" s="10" t="n">
        <x:f>SUM(XLOOKUP('포켓몬_편집'!$AF859:$AN859,'분류_규칙'!$A$5:$A$76,'분류_규칙'!$O$5:$O$76,0))</x:f>
        <x:v>30</x:v>
      </x:c>
      <x:c r="P859" s="10" t="n">
        <x:f>SUM(XLOOKUP('포켓몬_편집'!$AF859:$AN859,'분류_규칙'!$A$5:$A$76,'분류_규칙'!$P$5:$P$76,0))</x:f>
        <x:v>8</x:v>
      </x:c>
    </x:row>
    <x:row r="860" ht="22" customHeight="1">
      <x:c r="A860" s="5" t="n">
        <x:v>856</x:v>
      </x:c>
      <x:c r="B860" s="5" t="inlineStr">
        <x:is>
          <x:t xml:space="preserve">몸지브림</x:t>
        </x:is>
      </x:c>
      <x:c r="C860" s="5" t="inlineStr">
        <x:is>
          <x:t xml:space="preserve">hatenna</x:t>
        </x:is>
      </x:c>
      <x:c r="D860" s="5" t="n">
        <x:v>8</x:v>
      </x:c>
      <x:c r="E860" s="10" t="n">
        <x:f>SUM(XLOOKUP('포켓몬_편집'!$AF860:$AN860,'분류_규칙'!$A$5:$A$76,'분류_규칙'!$E$5:$E$76,0))</x:f>
        <x:v>10</x:v>
      </x:c>
      <x:c r="F860" s="10" t="n">
        <x:f>SUM(XLOOKUP('포켓몬_편집'!$AF860:$AN860,'분류_규칙'!$A$5:$A$76,'분류_규칙'!$F$5:$F$76,0))</x:f>
        <x:v>7</x:v>
      </x:c>
      <x:c r="G860" s="10" t="n">
        <x:f>SUM(XLOOKUP('포켓몬_편집'!$AF860:$AN860,'분류_규칙'!$A$5:$A$76,'분류_규칙'!$G$5:$G$76,0))</x:f>
        <x:v>5</x:v>
      </x:c>
      <x:c r="H860" s="10" t="n">
        <x:f>SUM(XLOOKUP('포켓몬_편집'!$AF860:$AN860,'분류_규칙'!$A$5:$A$76,'분류_규칙'!$H$5:$H$76,0))</x:f>
        <x:v>5</x:v>
      </x:c>
      <x:c r="I860" s="10" t="n">
        <x:f>SUM(XLOOKUP('포켓몬_편집'!$AF860:$AN860,'분류_규칙'!$A$5:$A$76,'분류_규칙'!$I$5:$I$76,0))</x:f>
        <x:v>0</x:v>
      </x:c>
      <x:c r="J860" s="10" t="n">
        <x:f>SUM(XLOOKUP('포켓몬_편집'!$AF860:$AN860,'분류_규칙'!$A$5:$A$76,'분류_규칙'!$J$5:$J$76,0))</x:f>
        <x:v>2</x:v>
      </x:c>
      <x:c r="K860" s="10" t="n">
        <x:f>SUM(XLOOKUP('포켓몬_편집'!$AF860:$AN860,'분류_규칙'!$A$5:$A$76,'분류_규칙'!$K$5:$K$76,0))</x:f>
        <x:v>0</x:v>
      </x:c>
      <x:c r="L860" s="10" t="n">
        <x:f>SUM(XLOOKUP('포켓몬_편집'!$AF860:$AN860,'분류_규칙'!$A$5:$A$76,'분류_규칙'!$L$5:$L$76,0))</x:f>
        <x:v>0</x:v>
      </x:c>
      <x:c r="M860" s="10" t="n">
        <x:f>SUM(XLOOKUP('포켓몬_편집'!$AF860:$AN860,'분류_규칙'!$A$5:$A$76,'분류_규칙'!$M$5:$M$76,0))</x:f>
        <x:v>0</x:v>
      </x:c>
      <x:c r="N860" s="10" t="n">
        <x:f>SUM(XLOOKUP('포켓몬_편집'!$AF860:$AN860,'분류_규칙'!$A$5:$A$76,'분류_규칙'!$N$5:$N$76,0))</x:f>
        <x:v>0</x:v>
      </x:c>
      <x:c r="O860" s="10" t="n">
        <x:f>SUM(XLOOKUP('포켓몬_편집'!$AF860:$AN860,'분류_규칙'!$A$5:$A$76,'분류_규칙'!$O$5:$O$76,0))</x:f>
        <x:v>2</x:v>
      </x:c>
      <x:c r="P860" s="10" t="n">
        <x:f>SUM(XLOOKUP('포켓몬_편집'!$AF860:$AN860,'분류_규칙'!$A$5:$A$76,'분류_규칙'!$P$5:$P$76,0))</x:f>
        <x:v>0</x:v>
      </x:c>
    </x:row>
    <x:row r="861" ht="22" customHeight="1">
      <x:c r="A861" s="5" t="n">
        <x:v>857</x:v>
      </x:c>
      <x:c r="B861" s="5" t="inlineStr">
        <x:is>
          <x:t xml:space="preserve">손지브림</x:t>
        </x:is>
      </x:c>
      <x:c r="C861" s="5" t="inlineStr">
        <x:is>
          <x:t xml:space="preserve">hattrem</x:t>
        </x:is>
      </x:c>
      <x:c r="D861" s="5" t="n">
        <x:v>8</x:v>
      </x:c>
      <x:c r="E861" s="10" t="n">
        <x:f>SUM(XLOOKUP('포켓몬_편집'!$AF861:$AN861,'분류_규칙'!$A$5:$A$76,'분류_규칙'!$E$5:$E$76,0))</x:f>
        <x:v>10</x:v>
      </x:c>
      <x:c r="F861" s="10" t="n">
        <x:f>SUM(XLOOKUP('포켓몬_편집'!$AF861:$AN861,'분류_규칙'!$A$5:$A$76,'분류_규칙'!$F$5:$F$76,0))</x:f>
        <x:v>7</x:v>
      </x:c>
      <x:c r="G861" s="10" t="n">
        <x:f>SUM(XLOOKUP('포켓몬_편집'!$AF861:$AN861,'분류_규칙'!$A$5:$A$76,'분류_규칙'!$G$5:$G$76,0))</x:f>
        <x:v>5</x:v>
      </x:c>
      <x:c r="H861" s="10" t="n">
        <x:f>SUM(XLOOKUP('포켓몬_편집'!$AF861:$AN861,'분류_규칙'!$A$5:$A$76,'분류_규칙'!$H$5:$H$76,0))</x:f>
        <x:v>5</x:v>
      </x:c>
      <x:c r="I861" s="10" t="n">
        <x:f>SUM(XLOOKUP('포켓몬_편집'!$AF861:$AN861,'분류_규칙'!$A$5:$A$76,'분류_규칙'!$I$5:$I$76,0))</x:f>
        <x:v>0</x:v>
      </x:c>
      <x:c r="J861" s="10" t="n">
        <x:f>SUM(XLOOKUP('포켓몬_편집'!$AF861:$AN861,'분류_규칙'!$A$5:$A$76,'분류_규칙'!$J$5:$J$76,0))</x:f>
        <x:v>2</x:v>
      </x:c>
      <x:c r="K861" s="10" t="n">
        <x:f>SUM(XLOOKUP('포켓몬_편집'!$AF861:$AN861,'분류_규칙'!$A$5:$A$76,'분류_규칙'!$K$5:$K$76,0))</x:f>
        <x:v>0</x:v>
      </x:c>
      <x:c r="L861" s="10" t="n">
        <x:f>SUM(XLOOKUP('포켓몬_편집'!$AF861:$AN861,'분류_규칙'!$A$5:$A$76,'분류_규칙'!$L$5:$L$76,0))</x:f>
        <x:v>0</x:v>
      </x:c>
      <x:c r="M861" s="10" t="n">
        <x:f>SUM(XLOOKUP('포켓몬_편집'!$AF861:$AN861,'분류_규칙'!$A$5:$A$76,'분류_규칙'!$M$5:$M$76,0))</x:f>
        <x:v>0</x:v>
      </x:c>
      <x:c r="N861" s="10" t="n">
        <x:f>SUM(XLOOKUP('포켓몬_편집'!$AF861:$AN861,'분류_규칙'!$A$5:$A$76,'분류_규칙'!$N$5:$N$76,0))</x:f>
        <x:v>0</x:v>
      </x:c>
      <x:c r="O861" s="10" t="n">
        <x:f>SUM(XLOOKUP('포켓몬_편집'!$AF861:$AN861,'분류_규칙'!$A$5:$A$76,'분류_규칙'!$O$5:$O$76,0))</x:f>
        <x:v>2</x:v>
      </x:c>
      <x:c r="P861" s="10" t="n">
        <x:f>SUM(XLOOKUP('포켓몬_편집'!$AF861:$AN861,'분류_규칙'!$A$5:$A$76,'분류_규칙'!$P$5:$P$76,0))</x:f>
        <x:v>0</x:v>
      </x:c>
    </x:row>
    <x:row r="862" ht="22" customHeight="1">
      <x:c r="A862" s="5" t="n">
        <x:v>858</x:v>
      </x:c>
      <x:c r="B862" s="5" t="inlineStr">
        <x:is>
          <x:t xml:space="preserve">브리무음</x:t>
        </x:is>
      </x:c>
      <x:c r="C862" s="5" t="inlineStr">
        <x:is>
          <x:t xml:space="preserve">hatterene</x:t>
        </x:is>
      </x:c>
      <x:c r="D862" s="5" t="n">
        <x:v>8</x:v>
      </x:c>
      <x:c r="E862" s="10" t="n">
        <x:f>SUM(XLOOKUP('포켓몬_편집'!$AF862:$AN862,'분류_규칙'!$A$5:$A$76,'분류_규칙'!$E$5:$E$76,0))</x:f>
        <x:v>10</x:v>
      </x:c>
      <x:c r="F862" s="10" t="n">
        <x:f>SUM(XLOOKUP('포켓몬_편집'!$AF862:$AN862,'분류_규칙'!$A$5:$A$76,'분류_규칙'!$F$5:$F$76,0))</x:f>
        <x:v>7</x:v>
      </x:c>
      <x:c r="G862" s="10" t="n">
        <x:f>SUM(XLOOKUP('포켓몬_편집'!$AF862:$AN862,'분류_규칙'!$A$5:$A$76,'분류_규칙'!$G$5:$G$76,0))</x:f>
        <x:v>5</x:v>
      </x:c>
      <x:c r="H862" s="10" t="n">
        <x:f>SUM(XLOOKUP('포켓몬_편집'!$AF862:$AN862,'분류_규칙'!$A$5:$A$76,'분류_규칙'!$H$5:$H$76,0))</x:f>
        <x:v>5</x:v>
      </x:c>
      <x:c r="I862" s="10" t="n">
        <x:f>SUM(XLOOKUP('포켓몬_편집'!$AF862:$AN862,'분류_규칙'!$A$5:$A$76,'분류_규칙'!$I$5:$I$76,0))</x:f>
        <x:v>0</x:v>
      </x:c>
      <x:c r="J862" s="10" t="n">
        <x:f>SUM(XLOOKUP('포켓몬_편집'!$AF862:$AN862,'분류_규칙'!$A$5:$A$76,'분류_규칙'!$J$5:$J$76,0))</x:f>
        <x:v>2</x:v>
      </x:c>
      <x:c r="K862" s="10" t="n">
        <x:f>SUM(XLOOKUP('포켓몬_편집'!$AF862:$AN862,'분류_규칙'!$A$5:$A$76,'분류_규칙'!$K$5:$K$76,0))</x:f>
        <x:v>0</x:v>
      </x:c>
      <x:c r="L862" s="10" t="n">
        <x:f>SUM(XLOOKUP('포켓몬_편집'!$AF862:$AN862,'분류_규칙'!$A$5:$A$76,'분류_규칙'!$L$5:$L$76,0))</x:f>
        <x:v>0</x:v>
      </x:c>
      <x:c r="M862" s="10" t="n">
        <x:f>SUM(XLOOKUP('포켓몬_편집'!$AF862:$AN862,'분류_규칙'!$A$5:$A$76,'분류_규칙'!$M$5:$M$76,0))</x:f>
        <x:v>0</x:v>
      </x:c>
      <x:c r="N862" s="10" t="n">
        <x:f>SUM(XLOOKUP('포켓몬_편집'!$AF862:$AN862,'분류_규칙'!$A$5:$A$76,'분류_규칙'!$N$5:$N$76,0))</x:f>
        <x:v>0</x:v>
      </x:c>
      <x:c r="O862" s="10" t="n">
        <x:f>SUM(XLOOKUP('포켓몬_편집'!$AF862:$AN862,'분류_규칙'!$A$5:$A$76,'분류_규칙'!$O$5:$O$76,0))</x:f>
        <x:v>2</x:v>
      </x:c>
      <x:c r="P862" s="10" t="n">
        <x:f>SUM(XLOOKUP('포켓몬_편집'!$AF862:$AN862,'분류_규칙'!$A$5:$A$76,'분류_규칙'!$P$5:$P$76,0))</x:f>
        <x:v>0</x:v>
      </x:c>
    </x:row>
    <x:row r="863" ht="22" customHeight="1">
      <x:c r="A863" s="5" t="n">
        <x:v>859</x:v>
      </x:c>
      <x:c r="B863" s="5" t="inlineStr">
        <x:is>
          <x:t xml:space="preserve">메롱꿍</x:t>
        </x:is>
      </x:c>
      <x:c r="C863" s="5" t="inlineStr">
        <x:is>
          <x:t xml:space="preserve">impidimp</x:t>
        </x:is>
      </x:c>
      <x:c r="D863" s="5" t="n">
        <x:v>8</x:v>
      </x:c>
      <x:c r="E863" s="10" t="n">
        <x:f>SUM(XLOOKUP('포켓몬_편집'!$AF863:$AN863,'분류_규칙'!$A$5:$A$76,'분류_규칙'!$E$5:$E$76,0))</x:f>
        <x:v>10</x:v>
      </x:c>
      <x:c r="F863" s="10" t="n">
        <x:f>SUM(XLOOKUP('포켓몬_편집'!$AF863:$AN863,'분류_규칙'!$A$5:$A$76,'분류_규칙'!$F$5:$F$76,0))</x:f>
        <x:v>7</x:v>
      </x:c>
      <x:c r="G863" s="10" t="n">
        <x:f>SUM(XLOOKUP('포켓몬_편집'!$AF863:$AN863,'분류_규칙'!$A$5:$A$76,'분류_규칙'!$G$5:$G$76,0))</x:f>
        <x:v>5</x:v>
      </x:c>
      <x:c r="H863" s="10" t="n">
        <x:f>SUM(XLOOKUP('포켓몬_편집'!$AF863:$AN863,'분류_규칙'!$A$5:$A$76,'분류_규칙'!$H$5:$H$76,0))</x:f>
        <x:v>5</x:v>
      </x:c>
      <x:c r="I863" s="10" t="n">
        <x:f>SUM(XLOOKUP('포켓몬_편집'!$AF863:$AN863,'분류_규칙'!$A$5:$A$76,'분류_규칙'!$I$5:$I$76,0))</x:f>
        <x:v>0</x:v>
      </x:c>
      <x:c r="J863" s="10" t="n">
        <x:f>SUM(XLOOKUP('포켓몬_편집'!$AF863:$AN863,'분류_규칙'!$A$5:$A$76,'분류_규칙'!$J$5:$J$76,0))</x:f>
        <x:v>2</x:v>
      </x:c>
      <x:c r="K863" s="10" t="n">
        <x:f>SUM(XLOOKUP('포켓몬_편집'!$AF863:$AN863,'분류_규칙'!$A$5:$A$76,'분류_규칙'!$K$5:$K$76,0))</x:f>
        <x:v>0</x:v>
      </x:c>
      <x:c r="L863" s="10" t="n">
        <x:f>SUM(XLOOKUP('포켓몬_편집'!$AF863:$AN863,'분류_규칙'!$A$5:$A$76,'분류_규칙'!$L$5:$L$76,0))</x:f>
        <x:v>0</x:v>
      </x:c>
      <x:c r="M863" s="10" t="n">
        <x:f>SUM(XLOOKUP('포켓몬_편집'!$AF863:$AN863,'분류_규칙'!$A$5:$A$76,'분류_규칙'!$M$5:$M$76,0))</x:f>
        <x:v>0</x:v>
      </x:c>
      <x:c r="N863" s="10" t="n">
        <x:f>SUM(XLOOKUP('포켓몬_편집'!$AF863:$AN863,'분류_규칙'!$A$5:$A$76,'분류_규칙'!$N$5:$N$76,0))</x:f>
        <x:v>0</x:v>
      </x:c>
      <x:c r="O863" s="10" t="n">
        <x:f>SUM(XLOOKUP('포켓몬_편집'!$AF863:$AN863,'분류_규칙'!$A$5:$A$76,'분류_규칙'!$O$5:$O$76,0))</x:f>
        <x:v>2</x:v>
      </x:c>
      <x:c r="P863" s="10" t="n">
        <x:f>SUM(XLOOKUP('포켓몬_편집'!$AF863:$AN863,'분류_규칙'!$A$5:$A$76,'분류_규칙'!$P$5:$P$76,0))</x:f>
        <x:v>0</x:v>
      </x:c>
    </x:row>
    <x:row r="864" ht="22" customHeight="1">
      <x:c r="A864" s="5" t="n">
        <x:v>860</x:v>
      </x:c>
      <x:c r="B864" s="5" t="inlineStr">
        <x:is>
          <x:t xml:space="preserve">쏘겨모</x:t>
        </x:is>
      </x:c>
      <x:c r="C864" s="5" t="inlineStr">
        <x:is>
          <x:t xml:space="preserve">morgrem</x:t>
        </x:is>
      </x:c>
      <x:c r="D864" s="5" t="n">
        <x:v>8</x:v>
      </x:c>
      <x:c r="E864" s="10" t="n">
        <x:f>SUM(XLOOKUP('포켓몬_편집'!$AF864:$AN864,'분류_규칙'!$A$5:$A$76,'분류_규칙'!$E$5:$E$76,0))</x:f>
        <x:v>10</x:v>
      </x:c>
      <x:c r="F864" s="10" t="n">
        <x:f>SUM(XLOOKUP('포켓몬_편집'!$AF864:$AN864,'분류_규칙'!$A$5:$A$76,'분류_규칙'!$F$5:$F$76,0))</x:f>
        <x:v>7</x:v>
      </x:c>
      <x:c r="G864" s="10" t="n">
        <x:f>SUM(XLOOKUP('포켓몬_편집'!$AF864:$AN864,'분류_규칙'!$A$5:$A$76,'분류_규칙'!$G$5:$G$76,0))</x:f>
        <x:v>5</x:v>
      </x:c>
      <x:c r="H864" s="10" t="n">
        <x:f>SUM(XLOOKUP('포켓몬_편집'!$AF864:$AN864,'분류_규칙'!$A$5:$A$76,'분류_규칙'!$H$5:$H$76,0))</x:f>
        <x:v>5</x:v>
      </x:c>
      <x:c r="I864" s="10" t="n">
        <x:f>SUM(XLOOKUP('포켓몬_편집'!$AF864:$AN864,'분류_규칙'!$A$5:$A$76,'분류_규칙'!$I$5:$I$76,0))</x:f>
        <x:v>0</x:v>
      </x:c>
      <x:c r="J864" s="10" t="n">
        <x:f>SUM(XLOOKUP('포켓몬_편집'!$AF864:$AN864,'분류_규칙'!$A$5:$A$76,'분류_규칙'!$J$5:$J$76,0))</x:f>
        <x:v>2</x:v>
      </x:c>
      <x:c r="K864" s="10" t="n">
        <x:f>SUM(XLOOKUP('포켓몬_편집'!$AF864:$AN864,'분류_규칙'!$A$5:$A$76,'분류_규칙'!$K$5:$K$76,0))</x:f>
        <x:v>0</x:v>
      </x:c>
      <x:c r="L864" s="10" t="n">
        <x:f>SUM(XLOOKUP('포켓몬_편집'!$AF864:$AN864,'분류_규칙'!$A$5:$A$76,'분류_규칙'!$L$5:$L$76,0))</x:f>
        <x:v>0</x:v>
      </x:c>
      <x:c r="M864" s="10" t="n">
        <x:f>SUM(XLOOKUP('포켓몬_편집'!$AF864:$AN864,'분류_규칙'!$A$5:$A$76,'분류_규칙'!$M$5:$M$76,0))</x:f>
        <x:v>0</x:v>
      </x:c>
      <x:c r="N864" s="10" t="n">
        <x:f>SUM(XLOOKUP('포켓몬_편집'!$AF864:$AN864,'분류_규칙'!$A$5:$A$76,'분류_규칙'!$N$5:$N$76,0))</x:f>
        <x:v>0</x:v>
      </x:c>
      <x:c r="O864" s="10" t="n">
        <x:f>SUM(XLOOKUP('포켓몬_편집'!$AF864:$AN864,'분류_규칙'!$A$5:$A$76,'분류_규칙'!$O$5:$O$76,0))</x:f>
        <x:v>2</x:v>
      </x:c>
      <x:c r="P864" s="10" t="n">
        <x:f>SUM(XLOOKUP('포켓몬_편집'!$AF864:$AN864,'분류_규칙'!$A$5:$A$76,'분류_규칙'!$P$5:$P$76,0))</x:f>
        <x:v>0</x:v>
      </x:c>
    </x:row>
    <x:row r="865" ht="22" customHeight="1">
      <x:c r="A865" s="5" t="n">
        <x:v>861</x:v>
      </x:c>
      <x:c r="B865" s="5" t="inlineStr">
        <x:is>
          <x:t xml:space="preserve">오롱털</x:t>
        </x:is>
      </x:c>
      <x:c r="C865" s="5" t="inlineStr">
        <x:is>
          <x:t xml:space="preserve">grimmsnarl</x:t>
        </x:is>
      </x:c>
      <x:c r="D865" s="5" t="n">
        <x:v>8</x:v>
      </x:c>
      <x:c r="E865" s="10" t="n">
        <x:f>SUM(XLOOKUP('포켓몬_편집'!$AF865:$AN865,'분류_규칙'!$A$5:$A$76,'분류_규칙'!$E$5:$E$76,0))</x:f>
        <x:v>10</x:v>
      </x:c>
      <x:c r="F865" s="10" t="n">
        <x:f>SUM(XLOOKUP('포켓몬_편집'!$AF865:$AN865,'분류_규칙'!$A$5:$A$76,'분류_규칙'!$F$5:$F$76,0))</x:f>
        <x:v>7</x:v>
      </x:c>
      <x:c r="G865" s="10" t="n">
        <x:f>SUM(XLOOKUP('포켓몬_편집'!$AF865:$AN865,'분류_규칙'!$A$5:$A$76,'분류_규칙'!$G$5:$G$76,0))</x:f>
        <x:v>5</x:v>
      </x:c>
      <x:c r="H865" s="10" t="n">
        <x:f>SUM(XLOOKUP('포켓몬_편집'!$AF865:$AN865,'분류_규칙'!$A$5:$A$76,'분류_규칙'!$H$5:$H$76,0))</x:f>
        <x:v>5</x:v>
      </x:c>
      <x:c r="I865" s="10" t="n">
        <x:f>SUM(XLOOKUP('포켓몬_편집'!$AF865:$AN865,'분류_규칙'!$A$5:$A$76,'분류_규칙'!$I$5:$I$76,0))</x:f>
        <x:v>0</x:v>
      </x:c>
      <x:c r="J865" s="10" t="n">
        <x:f>SUM(XLOOKUP('포켓몬_편집'!$AF865:$AN865,'분류_규칙'!$A$5:$A$76,'분류_규칙'!$J$5:$J$76,0))</x:f>
        <x:v>2</x:v>
      </x:c>
      <x:c r="K865" s="10" t="n">
        <x:f>SUM(XLOOKUP('포켓몬_편집'!$AF865:$AN865,'분류_규칙'!$A$5:$A$76,'분류_규칙'!$K$5:$K$76,0))</x:f>
        <x:v>0</x:v>
      </x:c>
      <x:c r="L865" s="10" t="n">
        <x:f>SUM(XLOOKUP('포켓몬_편집'!$AF865:$AN865,'분류_규칙'!$A$5:$A$76,'분류_규칙'!$L$5:$L$76,0))</x:f>
        <x:v>0</x:v>
      </x:c>
      <x:c r="M865" s="10" t="n">
        <x:f>SUM(XLOOKUP('포켓몬_편집'!$AF865:$AN865,'분류_규칙'!$A$5:$A$76,'분류_규칙'!$M$5:$M$76,0))</x:f>
        <x:v>0</x:v>
      </x:c>
      <x:c r="N865" s="10" t="n">
        <x:f>SUM(XLOOKUP('포켓몬_편집'!$AF865:$AN865,'분류_규칙'!$A$5:$A$76,'분류_규칙'!$N$5:$N$76,0))</x:f>
        <x:v>0</x:v>
      </x:c>
      <x:c r="O865" s="10" t="n">
        <x:f>SUM(XLOOKUP('포켓몬_편집'!$AF865:$AN865,'분류_규칙'!$A$5:$A$76,'분류_규칙'!$O$5:$O$76,0))</x:f>
        <x:v>2</x:v>
      </x:c>
      <x:c r="P865" s="10" t="n">
        <x:f>SUM(XLOOKUP('포켓몬_편집'!$AF865:$AN865,'분류_규칙'!$A$5:$A$76,'분류_규칙'!$P$5:$P$76,0))</x:f>
        <x:v>0</x:v>
      </x:c>
    </x:row>
    <x:row r="866" ht="22" customHeight="1">
      <x:c r="A866" s="5" t="n">
        <x:v>862</x:v>
      </x:c>
      <x:c r="B866" s="5" t="inlineStr">
        <x:is>
          <x:t xml:space="preserve">가로막구리</x:t>
        </x:is>
      </x:c>
      <x:c r="C866" s="5" t="inlineStr">
        <x:is>
          <x:t xml:space="preserve">obstagoon</x:t>
        </x:is>
      </x:c>
      <x:c r="D866" s="5" t="n">
        <x:v>8</x:v>
      </x:c>
      <x:c r="E866" s="10" t="n">
        <x:f>SUM(XLOOKUP('포켓몬_편집'!$AF866:$AN866,'분류_규칙'!$A$5:$A$76,'분류_규칙'!$E$5:$E$76,0))</x:f>
        <x:v>10</x:v>
      </x:c>
      <x:c r="F866" s="10" t="n">
        <x:f>SUM(XLOOKUP('포켓몬_편집'!$AF866:$AN866,'분류_규칙'!$A$5:$A$76,'분류_규칙'!$F$5:$F$76,0))</x:f>
        <x:v>7</x:v>
      </x:c>
      <x:c r="G866" s="10" t="n">
        <x:f>SUM(XLOOKUP('포켓몬_편집'!$AF866:$AN866,'분류_규칙'!$A$5:$A$76,'분류_규칙'!$G$5:$G$76,0))</x:f>
        <x:v>5</x:v>
      </x:c>
      <x:c r="H866" s="10" t="n">
        <x:f>SUM(XLOOKUP('포켓몬_편집'!$AF866:$AN866,'분류_규칙'!$A$5:$A$76,'분류_규칙'!$H$5:$H$76,0))</x:f>
        <x:v>5</x:v>
      </x:c>
      <x:c r="I866" s="10" t="n">
        <x:f>SUM(XLOOKUP('포켓몬_편집'!$AF866:$AN866,'분류_규칙'!$A$5:$A$76,'분류_규칙'!$I$5:$I$76,0))</x:f>
        <x:v>0</x:v>
      </x:c>
      <x:c r="J866" s="10" t="n">
        <x:f>SUM(XLOOKUP('포켓몬_편집'!$AF866:$AN866,'분류_규칙'!$A$5:$A$76,'분류_규칙'!$J$5:$J$76,0))</x:f>
        <x:v>2</x:v>
      </x:c>
      <x:c r="K866" s="10" t="n">
        <x:f>SUM(XLOOKUP('포켓몬_편집'!$AF866:$AN866,'분류_규칙'!$A$5:$A$76,'분류_규칙'!$K$5:$K$76,0))</x:f>
        <x:v>0</x:v>
      </x:c>
      <x:c r="L866" s="10" t="n">
        <x:f>SUM(XLOOKUP('포켓몬_편집'!$AF866:$AN866,'분류_규칙'!$A$5:$A$76,'분류_규칙'!$L$5:$L$76,0))</x:f>
        <x:v>0</x:v>
      </x:c>
      <x:c r="M866" s="10" t="n">
        <x:f>SUM(XLOOKUP('포켓몬_편집'!$AF866:$AN866,'분류_규칙'!$A$5:$A$76,'분류_규칙'!$M$5:$M$76,0))</x:f>
        <x:v>0</x:v>
      </x:c>
      <x:c r="N866" s="10" t="n">
        <x:f>SUM(XLOOKUP('포켓몬_편집'!$AF866:$AN866,'분류_규칙'!$A$5:$A$76,'분류_규칙'!$N$5:$N$76,0))</x:f>
        <x:v>0</x:v>
      </x:c>
      <x:c r="O866" s="10" t="n">
        <x:f>SUM(XLOOKUP('포켓몬_편집'!$AF866:$AN866,'분류_규칙'!$A$5:$A$76,'분류_규칙'!$O$5:$O$76,0))</x:f>
        <x:v>2</x:v>
      </x:c>
      <x:c r="P866" s="10" t="n">
        <x:f>SUM(XLOOKUP('포켓몬_편집'!$AF866:$AN866,'분류_규칙'!$A$5:$A$76,'분류_규칙'!$P$5:$P$76,0))</x:f>
        <x:v>0</x:v>
      </x:c>
    </x:row>
    <x:row r="867" ht="22" customHeight="1">
      <x:c r="A867" s="5" t="n">
        <x:v>863</x:v>
      </x:c>
      <x:c r="B867" s="5" t="inlineStr">
        <x:is>
          <x:t xml:space="preserve">나이킹</x:t>
        </x:is>
      </x:c>
      <x:c r="C867" s="5" t="inlineStr">
        <x:is>
          <x:t xml:space="preserve">perrserker</x:t>
        </x:is>
      </x:c>
      <x:c r="D867" s="5" t="n">
        <x:v>8</x:v>
      </x:c>
      <x:c r="E867" s="10" t="n">
        <x:f>SUM(XLOOKUP('포켓몬_편집'!$AF867:$AN867,'분류_규칙'!$A$5:$A$76,'분류_규칙'!$E$5:$E$76,0))</x:f>
        <x:v>10</x:v>
      </x:c>
      <x:c r="F867" s="10" t="n">
        <x:f>SUM(XLOOKUP('포켓몬_편집'!$AF867:$AN867,'분류_규칙'!$A$5:$A$76,'분류_규칙'!$F$5:$F$76,0))</x:f>
        <x:v>7</x:v>
      </x:c>
      <x:c r="G867" s="10" t="n">
        <x:f>SUM(XLOOKUP('포켓몬_편집'!$AF867:$AN867,'분류_규칙'!$A$5:$A$76,'분류_규칙'!$G$5:$G$76,0))</x:f>
        <x:v>5</x:v>
      </x:c>
      <x:c r="H867" s="10" t="n">
        <x:f>SUM(XLOOKUP('포켓몬_편집'!$AF867:$AN867,'분류_규칙'!$A$5:$A$76,'분류_규칙'!$H$5:$H$76,0))</x:f>
        <x:v>5</x:v>
      </x:c>
      <x:c r="I867" s="10" t="n">
        <x:f>SUM(XLOOKUP('포켓몬_편집'!$AF867:$AN867,'분류_규칙'!$A$5:$A$76,'분류_규칙'!$I$5:$I$76,0))</x:f>
        <x:v>0</x:v>
      </x:c>
      <x:c r="J867" s="10" t="n">
        <x:f>SUM(XLOOKUP('포켓몬_편집'!$AF867:$AN867,'분류_규칙'!$A$5:$A$76,'분류_규칙'!$J$5:$J$76,0))</x:f>
        <x:v>2</x:v>
      </x:c>
      <x:c r="K867" s="10" t="n">
        <x:f>SUM(XLOOKUP('포켓몬_편집'!$AF867:$AN867,'분류_규칙'!$A$5:$A$76,'분류_규칙'!$K$5:$K$76,0))</x:f>
        <x:v>0</x:v>
      </x:c>
      <x:c r="L867" s="10" t="n">
        <x:f>SUM(XLOOKUP('포켓몬_편집'!$AF867:$AN867,'분류_규칙'!$A$5:$A$76,'분류_규칙'!$L$5:$L$76,0))</x:f>
        <x:v>0</x:v>
      </x:c>
      <x:c r="M867" s="10" t="n">
        <x:f>SUM(XLOOKUP('포켓몬_편집'!$AF867:$AN867,'분류_규칙'!$A$5:$A$76,'분류_규칙'!$M$5:$M$76,0))</x:f>
        <x:v>0</x:v>
      </x:c>
      <x:c r="N867" s="10" t="n">
        <x:f>SUM(XLOOKUP('포켓몬_편집'!$AF867:$AN867,'분류_규칙'!$A$5:$A$76,'분류_규칙'!$N$5:$N$76,0))</x:f>
        <x:v>0</x:v>
      </x:c>
      <x:c r="O867" s="10" t="n">
        <x:f>SUM(XLOOKUP('포켓몬_편집'!$AF867:$AN867,'분류_규칙'!$A$5:$A$76,'분류_규칙'!$O$5:$O$76,0))</x:f>
        <x:v>2</x:v>
      </x:c>
      <x:c r="P867" s="10" t="n">
        <x:f>SUM(XLOOKUP('포켓몬_편집'!$AF867:$AN867,'분류_규칙'!$A$5:$A$76,'분류_규칙'!$P$5:$P$76,0))</x:f>
        <x:v>0</x:v>
      </x:c>
    </x:row>
    <x:row r="868" ht="22" customHeight="1">
      <x:c r="A868" s="5" t="n">
        <x:v>864</x:v>
      </x:c>
      <x:c r="B868" s="5" t="inlineStr">
        <x:is>
          <x:t xml:space="preserve">산호르곤</x:t>
        </x:is>
      </x:c>
      <x:c r="C868" s="5" t="inlineStr">
        <x:is>
          <x:t xml:space="preserve">cursola</x:t>
        </x:is>
      </x:c>
      <x:c r="D868" s="5" t="n">
        <x:v>8</x:v>
      </x:c>
      <x:c r="E868" s="10" t="n">
        <x:f>SUM(XLOOKUP('포켓몬_편집'!$AF868:$AN868,'분류_규칙'!$A$5:$A$76,'분류_규칙'!$E$5:$E$76,0))</x:f>
        <x:v>0</x:v>
      </x:c>
      <x:c r="F868" s="10" t="n">
        <x:f>SUM(XLOOKUP('포켓몬_편집'!$AF868:$AN868,'분류_규칙'!$A$5:$A$76,'분류_규칙'!$F$5:$F$76,0))</x:f>
        <x:v>0</x:v>
      </x:c>
      <x:c r="G868" s="10" t="n">
        <x:f>SUM(XLOOKUP('포켓몬_편집'!$AF868:$AN868,'분류_규칙'!$A$5:$A$76,'분류_규칙'!$G$5:$G$76,0))</x:f>
        <x:v>0</x:v>
      </x:c>
      <x:c r="H868" s="10" t="n">
        <x:f>SUM(XLOOKUP('포켓몬_편집'!$AF868:$AN868,'분류_규칙'!$A$5:$A$76,'분류_규칙'!$H$5:$H$76,0))</x:f>
        <x:v>0</x:v>
      </x:c>
      <x:c r="I868" s="10" t="n">
        <x:f>SUM(XLOOKUP('포켓몬_편집'!$AF868:$AN868,'분류_규칙'!$A$5:$A$76,'분류_규칙'!$I$5:$I$76,0))</x:f>
        <x:v>0</x:v>
      </x:c>
      <x:c r="J868" s="10" t="n">
        <x:f>SUM(XLOOKUP('포켓몬_편집'!$AF868:$AN868,'분류_규칙'!$A$5:$A$76,'분류_규칙'!$J$5:$J$76,0))</x:f>
        <x:v>3</x:v>
      </x:c>
      <x:c r="K868" s="10" t="n">
        <x:f>SUM(XLOOKUP('포켓몬_편집'!$AF868:$AN868,'분류_규칙'!$A$5:$A$76,'분류_규칙'!$K$5:$K$76,0))</x:f>
        <x:v>0</x:v>
      </x:c>
      <x:c r="L868" s="10" t="n">
        <x:f>SUM(XLOOKUP('포켓몬_편집'!$AF868:$AN868,'분류_규칙'!$A$5:$A$76,'분류_규칙'!$L$5:$L$76,0))</x:f>
        <x:v>30</x:v>
      </x:c>
      <x:c r="M868" s="10" t="n">
        <x:f>SUM(XLOOKUP('포켓몬_편집'!$AF868:$AN868,'분류_규칙'!$A$5:$A$76,'분류_규칙'!$M$5:$M$76,0))</x:f>
        <x:v>0</x:v>
      </x:c>
      <x:c r="N868" s="10" t="n">
        <x:f>SUM(XLOOKUP('포켓몬_편집'!$AF868:$AN868,'분류_규칙'!$A$5:$A$76,'분류_규칙'!$N$5:$N$76,0))</x:f>
        <x:v>0</x:v>
      </x:c>
      <x:c r="O868" s="10" t="n">
        <x:f>SUM(XLOOKUP('포켓몬_편집'!$AF868:$AN868,'분류_규칙'!$A$5:$A$76,'분류_규칙'!$O$5:$O$76,0))</x:f>
        <x:v>0</x:v>
      </x:c>
      <x:c r="P868" s="10" t="n">
        <x:f>SUM(XLOOKUP('포켓몬_편집'!$AF868:$AN868,'분류_규칙'!$A$5:$A$76,'분류_규칙'!$P$5:$P$76,0))</x:f>
        <x:v>0</x:v>
      </x:c>
    </x:row>
    <x:row r="869" ht="22" customHeight="1">
      <x:c r="A869" s="5" t="n">
        <x:v>865</x:v>
      </x:c>
      <x:c r="B869" s="5" t="inlineStr">
        <x:is>
          <x:t xml:space="preserve">창파나이트</x:t>
        </x:is>
      </x:c>
      <x:c r="C869" s="5" t="inlineStr">
        <x:is>
          <x:t xml:space="preserve">sirfetchd</x:t>
        </x:is>
      </x:c>
      <x:c r="D869" s="5" t="n">
        <x:v>8</x:v>
      </x:c>
      <x:c r="E869" s="10" t="n">
        <x:f>SUM(XLOOKUP('포켓몬_편집'!$AF869:$AN869,'분류_규칙'!$A$5:$A$76,'분류_규칙'!$E$5:$E$76,0))</x:f>
        <x:v>10</x:v>
      </x:c>
      <x:c r="F869" s="10" t="n">
        <x:f>SUM(XLOOKUP('포켓몬_편집'!$AF869:$AN869,'분류_규칙'!$A$5:$A$76,'분류_규칙'!$F$5:$F$76,0))</x:f>
        <x:v>7</x:v>
      </x:c>
      <x:c r="G869" s="10" t="n">
        <x:f>SUM(XLOOKUP('포켓몬_편집'!$AF869:$AN869,'분류_규칙'!$A$5:$A$76,'분류_규칙'!$G$5:$G$76,0))</x:f>
        <x:v>5</x:v>
      </x:c>
      <x:c r="H869" s="10" t="n">
        <x:f>SUM(XLOOKUP('포켓몬_편집'!$AF869:$AN869,'분류_규칙'!$A$5:$A$76,'분류_규칙'!$H$5:$H$76,0))</x:f>
        <x:v>5</x:v>
      </x:c>
      <x:c r="I869" s="10" t="n">
        <x:f>SUM(XLOOKUP('포켓몬_편집'!$AF869:$AN869,'분류_규칙'!$A$5:$A$76,'분류_규칙'!$I$5:$I$76,0))</x:f>
        <x:v>0</x:v>
      </x:c>
      <x:c r="J869" s="10" t="n">
        <x:f>SUM(XLOOKUP('포켓몬_편집'!$AF869:$AN869,'분류_규칙'!$A$5:$A$76,'분류_규칙'!$J$5:$J$76,0))</x:f>
        <x:v>2</x:v>
      </x:c>
      <x:c r="K869" s="10" t="n">
        <x:f>SUM(XLOOKUP('포켓몬_편집'!$AF869:$AN869,'분류_규칙'!$A$5:$A$76,'분류_규칙'!$K$5:$K$76,0))</x:f>
        <x:v>0</x:v>
      </x:c>
      <x:c r="L869" s="10" t="n">
        <x:f>SUM(XLOOKUP('포켓몬_편집'!$AF869:$AN869,'분류_규칙'!$A$5:$A$76,'분류_규칙'!$L$5:$L$76,0))</x:f>
        <x:v>0</x:v>
      </x:c>
      <x:c r="M869" s="10" t="n">
        <x:f>SUM(XLOOKUP('포켓몬_편집'!$AF869:$AN869,'분류_규칙'!$A$5:$A$76,'분류_규칙'!$M$5:$M$76,0))</x:f>
        <x:v>0</x:v>
      </x:c>
      <x:c r="N869" s="10" t="n">
        <x:f>SUM(XLOOKUP('포켓몬_편집'!$AF869:$AN869,'분류_규칙'!$A$5:$A$76,'분류_규칙'!$N$5:$N$76,0))</x:f>
        <x:v>0</x:v>
      </x:c>
      <x:c r="O869" s="10" t="n">
        <x:f>SUM(XLOOKUP('포켓몬_편집'!$AF869:$AN869,'분류_규칙'!$A$5:$A$76,'분류_규칙'!$O$5:$O$76,0))</x:f>
        <x:v>2</x:v>
      </x:c>
      <x:c r="P869" s="10" t="n">
        <x:f>SUM(XLOOKUP('포켓몬_편집'!$AF869:$AN869,'분류_규칙'!$A$5:$A$76,'분류_규칙'!$P$5:$P$76,0))</x:f>
        <x:v>0</x:v>
      </x:c>
    </x:row>
    <x:row r="870" ht="22" customHeight="1">
      <x:c r="A870" s="5" t="n">
        <x:v>866</x:v>
      </x:c>
      <x:c r="B870" s="5" t="inlineStr">
        <x:is>
          <x:t xml:space="preserve">마임꽁꽁</x:t>
        </x:is>
      </x:c>
      <x:c r="C870" s="5" t="inlineStr">
        <x:is>
          <x:t xml:space="preserve">mrrime</x:t>
        </x:is>
      </x:c>
      <x:c r="D870" s="5" t="n">
        <x:v>8</x:v>
      </x:c>
      <x:c r="E870" s="10" t="n">
        <x:f>SUM(XLOOKUP('포켓몬_편집'!$AF870:$AN870,'분류_규칙'!$A$5:$A$76,'분류_규칙'!$E$5:$E$76,0))</x:f>
        <x:v>10</x:v>
      </x:c>
      <x:c r="F870" s="10" t="n">
        <x:f>SUM(XLOOKUP('포켓몬_편집'!$AF870:$AN870,'분류_규칙'!$A$5:$A$76,'분류_규칙'!$F$5:$F$76,0))</x:f>
        <x:v>7</x:v>
      </x:c>
      <x:c r="G870" s="10" t="n">
        <x:f>SUM(XLOOKUP('포켓몬_편집'!$AF870:$AN870,'분류_규칙'!$A$5:$A$76,'분류_규칙'!$G$5:$G$76,0))</x:f>
        <x:v>5</x:v>
      </x:c>
      <x:c r="H870" s="10" t="n">
        <x:f>SUM(XLOOKUP('포켓몬_편집'!$AF870:$AN870,'분류_규칙'!$A$5:$A$76,'분류_규칙'!$H$5:$H$76,0))</x:f>
        <x:v>5</x:v>
      </x:c>
      <x:c r="I870" s="10" t="n">
        <x:f>SUM(XLOOKUP('포켓몬_편집'!$AF870:$AN870,'분류_규칙'!$A$5:$A$76,'분류_규칙'!$I$5:$I$76,0))</x:f>
        <x:v>0</x:v>
      </x:c>
      <x:c r="J870" s="10" t="n">
        <x:f>SUM(XLOOKUP('포켓몬_편집'!$AF870:$AN870,'분류_규칙'!$A$5:$A$76,'분류_규칙'!$J$5:$J$76,0))</x:f>
        <x:v>2</x:v>
      </x:c>
      <x:c r="K870" s="10" t="n">
        <x:f>SUM(XLOOKUP('포켓몬_편집'!$AF870:$AN870,'분류_규칙'!$A$5:$A$76,'분류_규칙'!$K$5:$K$76,0))</x:f>
        <x:v>0</x:v>
      </x:c>
      <x:c r="L870" s="10" t="n">
        <x:f>SUM(XLOOKUP('포켓몬_편집'!$AF870:$AN870,'분류_규칙'!$A$5:$A$76,'분류_규칙'!$L$5:$L$76,0))</x:f>
        <x:v>0</x:v>
      </x:c>
      <x:c r="M870" s="10" t="n">
        <x:f>SUM(XLOOKUP('포켓몬_편집'!$AF870:$AN870,'분류_규칙'!$A$5:$A$76,'분류_규칙'!$M$5:$M$76,0))</x:f>
        <x:v>0</x:v>
      </x:c>
      <x:c r="N870" s="10" t="n">
        <x:f>SUM(XLOOKUP('포켓몬_편집'!$AF870:$AN870,'분류_규칙'!$A$5:$A$76,'분류_규칙'!$N$5:$N$76,0))</x:f>
        <x:v>0</x:v>
      </x:c>
      <x:c r="O870" s="10" t="n">
        <x:f>SUM(XLOOKUP('포켓몬_편집'!$AF870:$AN870,'분류_규칙'!$A$5:$A$76,'분류_규칙'!$O$5:$O$76,0))</x:f>
        <x:v>2</x:v>
      </x:c>
      <x:c r="P870" s="10" t="n">
        <x:f>SUM(XLOOKUP('포켓몬_편집'!$AF870:$AN870,'분류_규칙'!$A$5:$A$76,'분류_규칙'!$P$5:$P$76,0))</x:f>
        <x:v>0</x:v>
      </x:c>
    </x:row>
    <x:row r="871" ht="22" customHeight="1">
      <x:c r="A871" s="5" t="n">
        <x:v>867</x:v>
      </x:c>
      <x:c r="B871" s="5" t="inlineStr">
        <x:is>
          <x:t xml:space="preserve">데스판</x:t>
        </x:is>
      </x:c>
      <x:c r="C871" s="5" t="inlineStr">
        <x:is>
          <x:t xml:space="preserve">runerigus</x:t>
        </x:is>
      </x:c>
      <x:c r="D871" s="5" t="n">
        <x:v>8</x:v>
      </x:c>
      <x:c r="E871" s="10" t="n">
        <x:f>SUM(XLOOKUP('포켓몬_편집'!$AF871:$AN871,'분류_규칙'!$A$5:$A$76,'분류_규칙'!$E$5:$E$76,0))</x:f>
        <x:v>8</x:v>
      </x:c>
      <x:c r="F871" s="10" t="n">
        <x:f>SUM(XLOOKUP('포켓몬_편집'!$AF871:$AN871,'분류_규칙'!$A$5:$A$76,'분류_규칙'!$F$5:$F$76,0))</x:f>
        <x:v>8</x:v>
      </x:c>
      <x:c r="G871" s="10" t="n">
        <x:f>SUM(XLOOKUP('포켓몬_편집'!$AF871:$AN871,'분류_규칙'!$A$5:$A$76,'분류_규칙'!$G$5:$G$76,0))</x:f>
        <x:v>0</x:v>
      </x:c>
      <x:c r="H871" s="10" t="n">
        <x:f>SUM(XLOOKUP('포켓몬_편집'!$AF871:$AN871,'분류_규칙'!$A$5:$A$76,'분류_규칙'!$H$5:$H$76,0))</x:f>
        <x:v>12</x:v>
      </x:c>
      <x:c r="I871" s="10" t="n">
        <x:f>SUM(XLOOKUP('포켓몬_편집'!$AF871:$AN871,'분류_규칙'!$A$5:$A$76,'분류_규칙'!$I$5:$I$76,0))</x:f>
        <x:v>0</x:v>
      </x:c>
      <x:c r="J871" s="10" t="n">
        <x:f>SUM(XLOOKUP('포켓몬_편집'!$AF871:$AN871,'분류_규칙'!$A$5:$A$76,'분류_규칙'!$J$5:$J$76,0))</x:f>
        <x:v>0</x:v>
      </x:c>
      <x:c r="K871" s="10" t="n">
        <x:f>SUM(XLOOKUP('포켓몬_편집'!$AF871:$AN871,'분류_규칙'!$A$5:$A$76,'분류_규칙'!$K$5:$K$76,0))</x:f>
        <x:v>0</x:v>
      </x:c>
      <x:c r="L871" s="10" t="n">
        <x:f>SUM(XLOOKUP('포켓몬_편집'!$AF871:$AN871,'분류_규칙'!$A$5:$A$76,'분류_규칙'!$L$5:$L$76,0))</x:f>
        <x:v>3</x:v>
      </x:c>
      <x:c r="M871" s="10" t="n">
        <x:f>SUM(XLOOKUP('포켓몬_편집'!$AF871:$AN871,'분류_규칙'!$A$5:$A$76,'분류_규칙'!$M$5:$M$76,0))</x:f>
        <x:v>0</x:v>
      </x:c>
      <x:c r="N871" s="10" t="n">
        <x:f>SUM(XLOOKUP('포켓몬_편집'!$AF871:$AN871,'분류_규칙'!$A$5:$A$76,'분류_규칙'!$N$5:$N$76,0))</x:f>
        <x:v>0</x:v>
      </x:c>
      <x:c r="O871" s="10" t="n">
        <x:f>SUM(XLOOKUP('포켓몬_편집'!$AF871:$AN871,'분류_규칙'!$A$5:$A$76,'분류_규칙'!$O$5:$O$76,0))</x:f>
        <x:v>2</x:v>
      </x:c>
      <x:c r="P871" s="10" t="n">
        <x:f>SUM(XLOOKUP('포켓몬_편집'!$AF871:$AN871,'분류_규칙'!$A$5:$A$76,'분류_규칙'!$P$5:$P$76,0))</x:f>
        <x:v>0</x:v>
      </x:c>
    </x:row>
    <x:row r="872" ht="22" customHeight="1">
      <x:c r="A872" s="5" t="n">
        <x:v>868</x:v>
      </x:c>
      <x:c r="B872" s="5" t="inlineStr">
        <x:is>
          <x:t xml:space="preserve">마빌크</x:t>
        </x:is>
      </x:c>
      <x:c r="C872" s="5" t="inlineStr">
        <x:is>
          <x:t xml:space="preserve">milcery</x:t>
        </x:is>
      </x:c>
      <x:c r="D872" s="5" t="n">
        <x:v>8</x:v>
      </x:c>
      <x:c r="E872" s="10" t="n">
        <x:f>SUM(XLOOKUP('포켓몬_편집'!$AF872:$AN872,'분류_규칙'!$A$5:$A$76,'분류_규칙'!$E$5:$E$76,0))</x:f>
        <x:v>8</x:v>
      </x:c>
      <x:c r="F872" s="10" t="n">
        <x:f>SUM(XLOOKUP('포켓몬_편집'!$AF872:$AN872,'분류_규칙'!$A$5:$A$76,'분류_규칙'!$F$5:$F$76,0))</x:f>
        <x:v>8</x:v>
      </x:c>
      <x:c r="G872" s="10" t="n">
        <x:f>SUM(XLOOKUP('포켓몬_편집'!$AF872:$AN872,'분류_규칙'!$A$5:$A$76,'분류_규칙'!$G$5:$G$76,0))</x:f>
        <x:v>0</x:v>
      </x:c>
      <x:c r="H872" s="10" t="n">
        <x:f>SUM(XLOOKUP('포켓몬_편집'!$AF872:$AN872,'분류_규칙'!$A$5:$A$76,'분류_규칙'!$H$5:$H$76,0))</x:f>
        <x:v>12</x:v>
      </x:c>
      <x:c r="I872" s="10" t="n">
        <x:f>SUM(XLOOKUP('포켓몬_편집'!$AF872:$AN872,'분류_규칙'!$A$5:$A$76,'분류_규칙'!$I$5:$I$76,0))</x:f>
        <x:v>0</x:v>
      </x:c>
      <x:c r="J872" s="10" t="n">
        <x:f>SUM(XLOOKUP('포켓몬_편집'!$AF872:$AN872,'분류_규칙'!$A$5:$A$76,'분류_규칙'!$J$5:$J$76,0))</x:f>
        <x:v>0</x:v>
      </x:c>
      <x:c r="K872" s="10" t="n">
        <x:f>SUM(XLOOKUP('포켓몬_편집'!$AF872:$AN872,'분류_규칙'!$A$5:$A$76,'분류_규칙'!$K$5:$K$76,0))</x:f>
        <x:v>0</x:v>
      </x:c>
      <x:c r="L872" s="10" t="n">
        <x:f>SUM(XLOOKUP('포켓몬_편집'!$AF872:$AN872,'분류_규칙'!$A$5:$A$76,'분류_규칙'!$L$5:$L$76,0))</x:f>
        <x:v>3</x:v>
      </x:c>
      <x:c r="M872" s="10" t="n">
        <x:f>SUM(XLOOKUP('포켓몬_편집'!$AF872:$AN872,'분류_규칙'!$A$5:$A$76,'분류_규칙'!$M$5:$M$76,0))</x:f>
        <x:v>0</x:v>
      </x:c>
      <x:c r="N872" s="10" t="n">
        <x:f>SUM(XLOOKUP('포켓몬_편집'!$AF872:$AN872,'분류_규칙'!$A$5:$A$76,'분류_규칙'!$N$5:$N$76,0))</x:f>
        <x:v>0</x:v>
      </x:c>
      <x:c r="O872" s="10" t="n">
        <x:f>SUM(XLOOKUP('포켓몬_편집'!$AF872:$AN872,'분류_규칙'!$A$5:$A$76,'분류_규칙'!$O$5:$O$76,0))</x:f>
        <x:v>2</x:v>
      </x:c>
      <x:c r="P872" s="10" t="n">
        <x:f>SUM(XLOOKUP('포켓몬_편집'!$AF872:$AN872,'분류_규칙'!$A$5:$A$76,'분류_규칙'!$P$5:$P$76,0))</x:f>
        <x:v>0</x:v>
      </x:c>
    </x:row>
    <x:row r="873" ht="22" customHeight="1">
      <x:c r="A873" s="5" t="n">
        <x:v>869</x:v>
      </x:c>
      <x:c r="B873" s="5" t="inlineStr">
        <x:is>
          <x:t xml:space="preserve">마휘핑</x:t>
        </x:is>
      </x:c>
      <x:c r="C873" s="5" t="inlineStr">
        <x:is>
          <x:t xml:space="preserve">alcremie</x:t>
        </x:is>
      </x:c>
      <x:c r="D873" s="5" t="n">
        <x:v>8</x:v>
      </x:c>
      <x:c r="E873" s="10" t="n">
        <x:f>SUM(XLOOKUP('포켓몬_편집'!$AF873:$AN873,'분류_규칙'!$A$5:$A$76,'분류_규칙'!$E$5:$E$76,0))</x:f>
        <x:v>10</x:v>
      </x:c>
      <x:c r="F873" s="10" t="n">
        <x:f>SUM(XLOOKUP('포켓몬_편집'!$AF873:$AN873,'분류_규칙'!$A$5:$A$76,'분류_규칙'!$F$5:$F$76,0))</x:f>
        <x:v>7</x:v>
      </x:c>
      <x:c r="G873" s="10" t="n">
        <x:f>SUM(XLOOKUP('포켓몬_편집'!$AF873:$AN873,'분류_규칙'!$A$5:$A$76,'분류_규칙'!$G$5:$G$76,0))</x:f>
        <x:v>5</x:v>
      </x:c>
      <x:c r="H873" s="10" t="n">
        <x:f>SUM(XLOOKUP('포켓몬_편집'!$AF873:$AN873,'분류_규칙'!$A$5:$A$76,'분류_규칙'!$H$5:$H$76,0))</x:f>
        <x:v>5</x:v>
      </x:c>
      <x:c r="I873" s="10" t="n">
        <x:f>SUM(XLOOKUP('포켓몬_편집'!$AF873:$AN873,'분류_규칙'!$A$5:$A$76,'분류_규칙'!$I$5:$I$76,0))</x:f>
        <x:v>0</x:v>
      </x:c>
      <x:c r="J873" s="10" t="n">
        <x:f>SUM(XLOOKUP('포켓몬_편집'!$AF873:$AN873,'분류_규칙'!$A$5:$A$76,'분류_규칙'!$J$5:$J$76,0))</x:f>
        <x:v>2</x:v>
      </x:c>
      <x:c r="K873" s="10" t="n">
        <x:f>SUM(XLOOKUP('포켓몬_편집'!$AF873:$AN873,'분류_규칙'!$A$5:$A$76,'분류_규칙'!$K$5:$K$76,0))</x:f>
        <x:v>0</x:v>
      </x:c>
      <x:c r="L873" s="10" t="n">
        <x:f>SUM(XLOOKUP('포켓몬_편집'!$AF873:$AN873,'분류_규칙'!$A$5:$A$76,'분류_규칙'!$L$5:$L$76,0))</x:f>
        <x:v>0</x:v>
      </x:c>
      <x:c r="M873" s="10" t="n">
        <x:f>SUM(XLOOKUP('포켓몬_편집'!$AF873:$AN873,'분류_규칙'!$A$5:$A$76,'분류_규칙'!$M$5:$M$76,0))</x:f>
        <x:v>0</x:v>
      </x:c>
      <x:c r="N873" s="10" t="n">
        <x:f>SUM(XLOOKUP('포켓몬_편집'!$AF873:$AN873,'분류_규칙'!$A$5:$A$76,'분류_규칙'!$N$5:$N$76,0))</x:f>
        <x:v>0</x:v>
      </x:c>
      <x:c r="O873" s="10" t="n">
        <x:f>SUM(XLOOKUP('포켓몬_편집'!$AF873:$AN873,'분류_규칙'!$A$5:$A$76,'분류_규칙'!$O$5:$O$76,0))</x:f>
        <x:v>2</x:v>
      </x:c>
      <x:c r="P873" s="10" t="n">
        <x:f>SUM(XLOOKUP('포켓몬_편집'!$AF873:$AN873,'분류_규칙'!$A$5:$A$76,'분류_규칙'!$P$5:$P$76,0))</x:f>
        <x:v>0</x:v>
      </x:c>
    </x:row>
    <x:row r="874" ht="22" customHeight="1">
      <x:c r="A874" s="5" t="n">
        <x:v>870</x:v>
      </x:c>
      <x:c r="B874" s="5" t="inlineStr">
        <x:is>
          <x:t xml:space="preserve">대여르</x:t>
        </x:is>
      </x:c>
      <x:c r="C874" s="5" t="inlineStr">
        <x:is>
          <x:t xml:space="preserve">falinks</x:t>
        </x:is>
      </x:c>
      <x:c r="D874" s="5" t="n">
        <x:v>8</x:v>
      </x:c>
      <x:c r="E874" s="10" t="n">
        <x:f>SUM(XLOOKUP('포켓몬_편집'!$AF874:$AN874,'분류_규칙'!$A$5:$A$76,'분류_규칙'!$E$5:$E$76,0))</x:f>
        <x:v>10</x:v>
      </x:c>
      <x:c r="F874" s="10" t="n">
        <x:f>SUM(XLOOKUP('포켓몬_편집'!$AF874:$AN874,'분류_규칙'!$A$5:$A$76,'분류_규칙'!$F$5:$F$76,0))</x:f>
        <x:v>7</x:v>
      </x:c>
      <x:c r="G874" s="10" t="n">
        <x:f>SUM(XLOOKUP('포켓몬_편집'!$AF874:$AN874,'분류_규칙'!$A$5:$A$76,'분류_규칙'!$G$5:$G$76,0))</x:f>
        <x:v>5</x:v>
      </x:c>
      <x:c r="H874" s="10" t="n">
        <x:f>SUM(XLOOKUP('포켓몬_편집'!$AF874:$AN874,'분류_규칙'!$A$5:$A$76,'분류_규칙'!$H$5:$H$76,0))</x:f>
        <x:v>5</x:v>
      </x:c>
      <x:c r="I874" s="10" t="n">
        <x:f>SUM(XLOOKUP('포켓몬_편집'!$AF874:$AN874,'분류_규칙'!$A$5:$A$76,'분류_규칙'!$I$5:$I$76,0))</x:f>
        <x:v>0</x:v>
      </x:c>
      <x:c r="J874" s="10" t="n">
        <x:f>SUM(XLOOKUP('포켓몬_편집'!$AF874:$AN874,'분류_규칙'!$A$5:$A$76,'분류_규칙'!$J$5:$J$76,0))</x:f>
        <x:v>2</x:v>
      </x:c>
      <x:c r="K874" s="10" t="n">
        <x:f>SUM(XLOOKUP('포켓몬_편집'!$AF874:$AN874,'분류_규칙'!$A$5:$A$76,'분류_규칙'!$K$5:$K$76,0))</x:f>
        <x:v>0</x:v>
      </x:c>
      <x:c r="L874" s="10" t="n">
        <x:f>SUM(XLOOKUP('포켓몬_편집'!$AF874:$AN874,'분류_규칙'!$A$5:$A$76,'분류_규칙'!$L$5:$L$76,0))</x:f>
        <x:v>0</x:v>
      </x:c>
      <x:c r="M874" s="10" t="n">
        <x:f>SUM(XLOOKUP('포켓몬_편집'!$AF874:$AN874,'분류_규칙'!$A$5:$A$76,'분류_규칙'!$M$5:$M$76,0))</x:f>
        <x:v>0</x:v>
      </x:c>
      <x:c r="N874" s="10" t="n">
        <x:f>SUM(XLOOKUP('포켓몬_편집'!$AF874:$AN874,'분류_규칙'!$A$5:$A$76,'분류_규칙'!$N$5:$N$76,0))</x:f>
        <x:v>0</x:v>
      </x:c>
      <x:c r="O874" s="10" t="n">
        <x:f>SUM(XLOOKUP('포켓몬_편집'!$AF874:$AN874,'분류_규칙'!$A$5:$A$76,'분류_규칙'!$O$5:$O$76,0))</x:f>
        <x:v>2</x:v>
      </x:c>
      <x:c r="P874" s="10" t="n">
        <x:f>SUM(XLOOKUP('포켓몬_편집'!$AF874:$AN874,'분류_규칙'!$A$5:$A$76,'분류_규칙'!$P$5:$P$76,0))</x:f>
        <x:v>0</x:v>
      </x:c>
    </x:row>
    <x:row r="875" ht="22" customHeight="1">
      <x:c r="A875" s="5" t="n">
        <x:v>871</x:v>
      </x:c>
      <x:c r="B875" s="5" t="inlineStr">
        <x:is>
          <x:t xml:space="preserve">찌르성게</x:t>
        </x:is>
      </x:c>
      <x:c r="C875" s="5" t="inlineStr">
        <x:is>
          <x:t xml:space="preserve">pincurchin</x:t>
        </x:is>
      </x:c>
      <x:c r="D875" s="5" t="n">
        <x:v>8</x:v>
      </x:c>
      <x:c r="E875" s="10" t="n">
        <x:f>SUM(XLOOKUP('포켓몬_편집'!$AF875:$AN875,'분류_규칙'!$A$5:$A$76,'분류_규칙'!$E$5:$E$76,0))</x:f>
        <x:v>0</x:v>
      </x:c>
      <x:c r="F875" s="10" t="n">
        <x:f>SUM(XLOOKUP('포켓몬_편집'!$AF875:$AN875,'분류_규칙'!$A$5:$A$76,'분류_규칙'!$F$5:$F$76,0))</x:f>
        <x:v>0</x:v>
      </x:c>
      <x:c r="G875" s="10" t="n">
        <x:f>SUM(XLOOKUP('포켓몬_편집'!$AF875:$AN875,'분류_규칙'!$A$5:$A$76,'분류_규칙'!$G$5:$G$76,0))</x:f>
        <x:v>0</x:v>
      </x:c>
      <x:c r="H875" s="10" t="n">
        <x:f>SUM(XLOOKUP('포켓몬_편집'!$AF875:$AN875,'분류_규칙'!$A$5:$A$76,'분류_규칙'!$H$5:$H$76,0))</x:f>
        <x:v>0</x:v>
      </x:c>
      <x:c r="I875" s="10" t="n">
        <x:f>SUM(XLOOKUP('포켓몬_편집'!$AF875:$AN875,'분류_규칙'!$A$5:$A$76,'분류_규칙'!$I$5:$I$76,0))</x:f>
        <x:v>0</x:v>
      </x:c>
      <x:c r="J875" s="10" t="n">
        <x:f>SUM(XLOOKUP('포켓몬_편집'!$AF875:$AN875,'분류_규칙'!$A$5:$A$76,'분류_규칙'!$J$5:$J$76,0))</x:f>
        <x:v>3</x:v>
      </x:c>
      <x:c r="K875" s="10" t="n">
        <x:f>SUM(XLOOKUP('포켓몬_편집'!$AF875:$AN875,'분류_규칙'!$A$5:$A$76,'분류_규칙'!$K$5:$K$76,0))</x:f>
        <x:v>0</x:v>
      </x:c>
      <x:c r="L875" s="10" t="n">
        <x:f>SUM(XLOOKUP('포켓몬_편집'!$AF875:$AN875,'분류_규칙'!$A$5:$A$76,'분류_규칙'!$L$5:$L$76,0))</x:f>
        <x:v>30</x:v>
      </x:c>
      <x:c r="M875" s="10" t="n">
        <x:f>SUM(XLOOKUP('포켓몬_편집'!$AF875:$AN875,'분류_규칙'!$A$5:$A$76,'분류_규칙'!$M$5:$M$76,0))</x:f>
        <x:v>0</x:v>
      </x:c>
      <x:c r="N875" s="10" t="n">
        <x:f>SUM(XLOOKUP('포켓몬_편집'!$AF875:$AN875,'분류_규칙'!$A$5:$A$76,'분류_규칙'!$N$5:$N$76,0))</x:f>
        <x:v>0</x:v>
      </x:c>
      <x:c r="O875" s="10" t="n">
        <x:f>SUM(XLOOKUP('포켓몬_편집'!$AF875:$AN875,'분류_규칙'!$A$5:$A$76,'분류_규칙'!$O$5:$O$76,0))</x:f>
        <x:v>0</x:v>
      </x:c>
      <x:c r="P875" s="10" t="n">
        <x:f>SUM(XLOOKUP('포켓몬_편집'!$AF875:$AN875,'분류_규칙'!$A$5:$A$76,'분류_규칙'!$P$5:$P$76,0))</x:f>
        <x:v>0</x:v>
      </x:c>
    </x:row>
    <x:row r="876" ht="22" customHeight="1">
      <x:c r="A876" s="5" t="n">
        <x:v>872</x:v>
      </x:c>
      <x:c r="B876" s="5" t="inlineStr">
        <x:is>
          <x:t xml:space="preserve">누니머기</x:t>
        </x:is>
      </x:c>
      <x:c r="C876" s="5" t="inlineStr">
        <x:is>
          <x:t xml:space="preserve">snom</x:t>
        </x:is>
      </x:c>
      <x:c r="D876" s="5" t="n">
        <x:v>8</x:v>
      </x:c>
      <x:c r="E876" s="10" t="n">
        <x:f>SUM(XLOOKUP('포켓몬_편집'!$AF876:$AN876,'분류_규칙'!$A$5:$A$76,'분류_규칙'!$E$5:$E$76,0))</x:f>
        <x:v>10</x:v>
      </x:c>
      <x:c r="F876" s="10" t="n">
        <x:f>SUM(XLOOKUP('포켓몬_편집'!$AF876:$AN876,'분류_규칙'!$A$5:$A$76,'분류_규칙'!$F$5:$F$76,0))</x:f>
        <x:v>7</x:v>
      </x:c>
      <x:c r="G876" s="10" t="n">
        <x:f>SUM(XLOOKUP('포켓몬_편집'!$AF876:$AN876,'분류_규칙'!$A$5:$A$76,'분류_규칙'!$G$5:$G$76,0))</x:f>
        <x:v>5</x:v>
      </x:c>
      <x:c r="H876" s="10" t="n">
        <x:f>SUM(XLOOKUP('포켓몬_편집'!$AF876:$AN876,'분류_규칙'!$A$5:$A$76,'분류_규칙'!$H$5:$H$76,0))</x:f>
        <x:v>5</x:v>
      </x:c>
      <x:c r="I876" s="10" t="n">
        <x:f>SUM(XLOOKUP('포켓몬_편집'!$AF876:$AN876,'분류_규칙'!$A$5:$A$76,'분류_규칙'!$I$5:$I$76,0))</x:f>
        <x:v>0</x:v>
      </x:c>
      <x:c r="J876" s="10" t="n">
        <x:f>SUM(XLOOKUP('포켓몬_편집'!$AF876:$AN876,'분류_규칙'!$A$5:$A$76,'분류_규칙'!$J$5:$J$76,0))</x:f>
        <x:v>2</x:v>
      </x:c>
      <x:c r="K876" s="10" t="n">
        <x:f>SUM(XLOOKUP('포켓몬_편집'!$AF876:$AN876,'분류_규칙'!$A$5:$A$76,'분류_규칙'!$K$5:$K$76,0))</x:f>
        <x:v>0</x:v>
      </x:c>
      <x:c r="L876" s="10" t="n">
        <x:f>SUM(XLOOKUP('포켓몬_편집'!$AF876:$AN876,'분류_규칙'!$A$5:$A$76,'분류_규칙'!$L$5:$L$76,0))</x:f>
        <x:v>0</x:v>
      </x:c>
      <x:c r="M876" s="10" t="n">
        <x:f>SUM(XLOOKUP('포켓몬_편집'!$AF876:$AN876,'분류_규칙'!$A$5:$A$76,'분류_규칙'!$M$5:$M$76,0))</x:f>
        <x:v>0</x:v>
      </x:c>
      <x:c r="N876" s="10" t="n">
        <x:f>SUM(XLOOKUP('포켓몬_편집'!$AF876:$AN876,'분류_규칙'!$A$5:$A$76,'분류_규칙'!$N$5:$N$76,0))</x:f>
        <x:v>0</x:v>
      </x:c>
      <x:c r="O876" s="10" t="n">
        <x:f>SUM(XLOOKUP('포켓몬_편집'!$AF876:$AN876,'분류_규칙'!$A$5:$A$76,'분류_규칙'!$O$5:$O$76,0))</x:f>
        <x:v>2</x:v>
      </x:c>
      <x:c r="P876" s="10" t="n">
        <x:f>SUM(XLOOKUP('포켓몬_편집'!$AF876:$AN876,'분류_규칙'!$A$5:$A$76,'분류_규칙'!$P$5:$P$76,0))</x:f>
        <x:v>0</x:v>
      </x:c>
    </x:row>
    <x:row r="877" ht="22" customHeight="1">
      <x:c r="A877" s="5" t="n">
        <x:v>873</x:v>
      </x:c>
      <x:c r="B877" s="5" t="inlineStr">
        <x:is>
          <x:t xml:space="preserve">모스노우</x:t>
        </x:is>
      </x:c>
      <x:c r="C877" s="5" t="inlineStr">
        <x:is>
          <x:t xml:space="preserve">frosmoth</x:t>
        </x:is>
      </x:c>
      <x:c r="D877" s="5" t="n">
        <x:v>8</x:v>
      </x:c>
      <x:c r="E877" s="10" t="n">
        <x:f>SUM(XLOOKUP('포켓몬_편집'!$AF877:$AN877,'분류_규칙'!$A$5:$A$76,'분류_규칙'!$E$5:$E$76,0))</x:f>
        <x:v>8</x:v>
      </x:c>
      <x:c r="F877" s="10" t="n">
        <x:f>SUM(XLOOKUP('포켓몬_편집'!$AF877:$AN877,'분류_규칙'!$A$5:$A$76,'분류_규칙'!$F$5:$F$76,0))</x:f>
        <x:v>8</x:v>
      </x:c>
      <x:c r="G877" s="10" t="n">
        <x:f>SUM(XLOOKUP('포켓몬_편집'!$AF877:$AN877,'분류_규칙'!$A$5:$A$76,'분류_규칙'!$G$5:$G$76,0))</x:f>
        <x:v>0</x:v>
      </x:c>
      <x:c r="H877" s="10" t="n">
        <x:f>SUM(XLOOKUP('포켓몬_편집'!$AF877:$AN877,'분류_규칙'!$A$5:$A$76,'분류_규칙'!$H$5:$H$76,0))</x:f>
        <x:v>12</x:v>
      </x:c>
      <x:c r="I877" s="10" t="n">
        <x:f>SUM(XLOOKUP('포켓몬_편집'!$AF877:$AN877,'분류_규칙'!$A$5:$A$76,'분류_규칙'!$I$5:$I$76,0))</x:f>
        <x:v>0</x:v>
      </x:c>
      <x:c r="J877" s="10" t="n">
        <x:f>SUM(XLOOKUP('포켓몬_편집'!$AF877:$AN877,'분류_규칙'!$A$5:$A$76,'분류_규칙'!$J$5:$J$76,0))</x:f>
        <x:v>0</x:v>
      </x:c>
      <x:c r="K877" s="10" t="n">
        <x:f>SUM(XLOOKUP('포켓몬_편집'!$AF877:$AN877,'분류_규칙'!$A$5:$A$76,'분류_규칙'!$K$5:$K$76,0))</x:f>
        <x:v>0</x:v>
      </x:c>
      <x:c r="L877" s="10" t="n">
        <x:f>SUM(XLOOKUP('포켓몬_편집'!$AF877:$AN877,'분류_규칙'!$A$5:$A$76,'분류_규칙'!$L$5:$L$76,0))</x:f>
        <x:v>3</x:v>
      </x:c>
      <x:c r="M877" s="10" t="n">
        <x:f>SUM(XLOOKUP('포켓몬_편집'!$AF877:$AN877,'분류_규칙'!$A$5:$A$76,'분류_규칙'!$M$5:$M$76,0))</x:f>
        <x:v>0</x:v>
      </x:c>
      <x:c r="N877" s="10" t="n">
        <x:f>SUM(XLOOKUP('포켓몬_편집'!$AF877:$AN877,'분류_규칙'!$A$5:$A$76,'분류_규칙'!$N$5:$N$76,0))</x:f>
        <x:v>0</x:v>
      </x:c>
      <x:c r="O877" s="10" t="n">
        <x:f>SUM(XLOOKUP('포켓몬_편집'!$AF877:$AN877,'분류_규칙'!$A$5:$A$76,'분류_규칙'!$O$5:$O$76,0))</x:f>
        <x:v>2</x:v>
      </x:c>
      <x:c r="P877" s="10" t="n">
        <x:f>SUM(XLOOKUP('포켓몬_편집'!$AF877:$AN877,'분류_규칙'!$A$5:$A$76,'분류_규칙'!$P$5:$P$76,0))</x:f>
        <x:v>0</x:v>
      </x:c>
    </x:row>
    <x:row r="878" ht="22" customHeight="1">
      <x:c r="A878" s="5" t="n">
        <x:v>874</x:v>
      </x:c>
      <x:c r="B878" s="5" t="inlineStr">
        <x:is>
          <x:t xml:space="preserve">돌헨진</x:t>
        </x:is>
      </x:c>
      <x:c r="C878" s="5" t="inlineStr">
        <x:is>
          <x:t xml:space="preserve">stonjourner</x:t>
        </x:is>
      </x:c>
      <x:c r="D878" s="5" t="n">
        <x:v>8</x:v>
      </x:c>
      <x:c r="E878" s="10" t="n">
        <x:f>SUM(XLOOKUP('포켓몬_편집'!$AF878:$AN878,'분류_규칙'!$A$5:$A$76,'분류_규칙'!$E$5:$E$76,0))</x:f>
        <x:v>10</x:v>
      </x:c>
      <x:c r="F878" s="10" t="n">
        <x:f>SUM(XLOOKUP('포켓몬_편집'!$AF878:$AN878,'분류_규칙'!$A$5:$A$76,'분류_규칙'!$F$5:$F$76,0))</x:f>
        <x:v>7</x:v>
      </x:c>
      <x:c r="G878" s="10" t="n">
        <x:f>SUM(XLOOKUP('포켓몬_편집'!$AF878:$AN878,'분류_규칙'!$A$5:$A$76,'분류_규칙'!$G$5:$G$76,0))</x:f>
        <x:v>5</x:v>
      </x:c>
      <x:c r="H878" s="10" t="n">
        <x:f>SUM(XLOOKUP('포켓몬_편집'!$AF878:$AN878,'분류_규칙'!$A$5:$A$76,'분류_규칙'!$H$5:$H$76,0))</x:f>
        <x:v>5</x:v>
      </x:c>
      <x:c r="I878" s="10" t="n">
        <x:f>SUM(XLOOKUP('포켓몬_편집'!$AF878:$AN878,'분류_규칙'!$A$5:$A$76,'분류_규칙'!$I$5:$I$76,0))</x:f>
        <x:v>0</x:v>
      </x:c>
      <x:c r="J878" s="10" t="n">
        <x:f>SUM(XLOOKUP('포켓몬_편집'!$AF878:$AN878,'분류_규칙'!$A$5:$A$76,'분류_규칙'!$J$5:$J$76,0))</x:f>
        <x:v>2</x:v>
      </x:c>
      <x:c r="K878" s="10" t="n">
        <x:f>SUM(XLOOKUP('포켓몬_편집'!$AF878:$AN878,'분류_규칙'!$A$5:$A$76,'분류_규칙'!$K$5:$K$76,0))</x:f>
        <x:v>0</x:v>
      </x:c>
      <x:c r="L878" s="10" t="n">
        <x:f>SUM(XLOOKUP('포켓몬_편집'!$AF878:$AN878,'분류_규칙'!$A$5:$A$76,'분류_규칙'!$L$5:$L$76,0))</x:f>
        <x:v>0</x:v>
      </x:c>
      <x:c r="M878" s="10" t="n">
        <x:f>SUM(XLOOKUP('포켓몬_편집'!$AF878:$AN878,'분류_규칙'!$A$5:$A$76,'분류_규칙'!$M$5:$M$76,0))</x:f>
        <x:v>0</x:v>
      </x:c>
      <x:c r="N878" s="10" t="n">
        <x:f>SUM(XLOOKUP('포켓몬_편집'!$AF878:$AN878,'분류_규칙'!$A$5:$A$76,'분류_규칙'!$N$5:$N$76,0))</x:f>
        <x:v>0</x:v>
      </x:c>
      <x:c r="O878" s="10" t="n">
        <x:f>SUM(XLOOKUP('포켓몬_편집'!$AF878:$AN878,'분류_규칙'!$A$5:$A$76,'분류_규칙'!$O$5:$O$76,0))</x:f>
        <x:v>2</x:v>
      </x:c>
      <x:c r="P878" s="10" t="n">
        <x:f>SUM(XLOOKUP('포켓몬_편집'!$AF878:$AN878,'분류_규칙'!$A$5:$A$76,'분류_규칙'!$P$5:$P$76,0))</x:f>
        <x:v>0</x:v>
      </x:c>
    </x:row>
    <x:row r="879" ht="22" customHeight="1">
      <x:c r="A879" s="5" t="n">
        <x:v>875</x:v>
      </x:c>
      <x:c r="B879" s="5" t="inlineStr">
        <x:is>
          <x:t xml:space="preserve">빙큐보</x:t>
        </x:is>
      </x:c>
      <x:c r="C879" s="5" t="inlineStr">
        <x:is>
          <x:t xml:space="preserve">eiscue</x:t>
        </x:is>
      </x:c>
      <x:c r="D879" s="5" t="n">
        <x:v>8</x:v>
      </x:c>
      <x:c r="E879" s="10" t="n">
        <x:f>SUM(XLOOKUP('포켓몬_편집'!$AF879:$AN879,'분류_규칙'!$A$5:$A$76,'분류_규칙'!$E$5:$E$76,0))</x:f>
        <x:v>10</x:v>
      </x:c>
      <x:c r="F879" s="10" t="n">
        <x:f>SUM(XLOOKUP('포켓몬_편집'!$AF879:$AN879,'분류_규칙'!$A$5:$A$76,'분류_규칙'!$F$5:$F$76,0))</x:f>
        <x:v>7</x:v>
      </x:c>
      <x:c r="G879" s="10" t="n">
        <x:f>SUM(XLOOKUP('포켓몬_편집'!$AF879:$AN879,'분류_규칙'!$A$5:$A$76,'분류_규칙'!$G$5:$G$76,0))</x:f>
        <x:v>5</x:v>
      </x:c>
      <x:c r="H879" s="10" t="n">
        <x:f>SUM(XLOOKUP('포켓몬_편집'!$AF879:$AN879,'분류_규칙'!$A$5:$A$76,'분류_규칙'!$H$5:$H$76,0))</x:f>
        <x:v>5</x:v>
      </x:c>
      <x:c r="I879" s="10" t="n">
        <x:f>SUM(XLOOKUP('포켓몬_편집'!$AF879:$AN879,'분류_규칙'!$A$5:$A$76,'분류_규칙'!$I$5:$I$76,0))</x:f>
        <x:v>0</x:v>
      </x:c>
      <x:c r="J879" s="10" t="n">
        <x:f>SUM(XLOOKUP('포켓몬_편집'!$AF879:$AN879,'분류_규칙'!$A$5:$A$76,'분류_규칙'!$J$5:$J$76,0))</x:f>
        <x:v>2</x:v>
      </x:c>
      <x:c r="K879" s="10" t="n">
        <x:f>SUM(XLOOKUP('포켓몬_편집'!$AF879:$AN879,'분류_규칙'!$A$5:$A$76,'분류_규칙'!$K$5:$K$76,0))</x:f>
        <x:v>0</x:v>
      </x:c>
      <x:c r="L879" s="10" t="n">
        <x:f>SUM(XLOOKUP('포켓몬_편집'!$AF879:$AN879,'분류_규칙'!$A$5:$A$76,'분류_규칙'!$L$5:$L$76,0))</x:f>
        <x:v>0</x:v>
      </x:c>
      <x:c r="M879" s="10" t="n">
        <x:f>SUM(XLOOKUP('포켓몬_편집'!$AF879:$AN879,'분류_규칙'!$A$5:$A$76,'분류_규칙'!$M$5:$M$76,0))</x:f>
        <x:v>0</x:v>
      </x:c>
      <x:c r="N879" s="10" t="n">
        <x:f>SUM(XLOOKUP('포켓몬_편집'!$AF879:$AN879,'분류_규칙'!$A$5:$A$76,'분류_규칙'!$N$5:$N$76,0))</x:f>
        <x:v>0</x:v>
      </x:c>
      <x:c r="O879" s="10" t="n">
        <x:f>SUM(XLOOKUP('포켓몬_편집'!$AF879:$AN879,'분류_규칙'!$A$5:$A$76,'분류_규칙'!$O$5:$O$76,0))</x:f>
        <x:v>2</x:v>
      </x:c>
      <x:c r="P879" s="10" t="n">
        <x:f>SUM(XLOOKUP('포켓몬_편집'!$AF879:$AN879,'분류_규칙'!$A$5:$A$76,'분류_규칙'!$P$5:$P$76,0))</x:f>
        <x:v>0</x:v>
      </x:c>
    </x:row>
    <x:row r="880" ht="22" customHeight="1">
      <x:c r="A880" s="5" t="n">
        <x:v>876</x:v>
      </x:c>
      <x:c r="B880" s="5" t="inlineStr">
        <x:is>
          <x:t xml:space="preserve">에써르</x:t>
        </x:is>
      </x:c>
      <x:c r="C880" s="5" t="inlineStr">
        <x:is>
          <x:t xml:space="preserve">indeedee</x:t>
        </x:is>
      </x:c>
      <x:c r="D880" s="5" t="n">
        <x:v>8</x:v>
      </x:c>
      <x:c r="E880" s="10" t="n">
        <x:f>SUM(XLOOKUP('포켓몬_편집'!$AF880:$AN880,'분류_규칙'!$A$5:$A$76,'분류_규칙'!$E$5:$E$76,0))</x:f>
        <x:v>10</x:v>
      </x:c>
      <x:c r="F880" s="10" t="n">
        <x:f>SUM(XLOOKUP('포켓몬_편집'!$AF880:$AN880,'분류_규칙'!$A$5:$A$76,'분류_규칙'!$F$5:$F$76,0))</x:f>
        <x:v>7</x:v>
      </x:c>
      <x:c r="G880" s="10" t="n">
        <x:f>SUM(XLOOKUP('포켓몬_편집'!$AF880:$AN880,'분류_규칙'!$A$5:$A$76,'분류_규칙'!$G$5:$G$76,0))</x:f>
        <x:v>5</x:v>
      </x:c>
      <x:c r="H880" s="10" t="n">
        <x:f>SUM(XLOOKUP('포켓몬_편집'!$AF880:$AN880,'분류_규칙'!$A$5:$A$76,'분류_규칙'!$H$5:$H$76,0))</x:f>
        <x:v>5</x:v>
      </x:c>
      <x:c r="I880" s="10" t="n">
        <x:f>SUM(XLOOKUP('포켓몬_편집'!$AF880:$AN880,'분류_규칙'!$A$5:$A$76,'분류_규칙'!$I$5:$I$76,0))</x:f>
        <x:v>0</x:v>
      </x:c>
      <x:c r="J880" s="10" t="n">
        <x:f>SUM(XLOOKUP('포켓몬_편집'!$AF880:$AN880,'분류_규칙'!$A$5:$A$76,'분류_규칙'!$J$5:$J$76,0))</x:f>
        <x:v>2</x:v>
      </x:c>
      <x:c r="K880" s="10" t="n">
        <x:f>SUM(XLOOKUP('포켓몬_편집'!$AF880:$AN880,'분류_규칙'!$A$5:$A$76,'분류_규칙'!$K$5:$K$76,0))</x:f>
        <x:v>0</x:v>
      </x:c>
      <x:c r="L880" s="10" t="n">
        <x:f>SUM(XLOOKUP('포켓몬_편집'!$AF880:$AN880,'분류_규칙'!$A$5:$A$76,'분류_규칙'!$L$5:$L$76,0))</x:f>
        <x:v>0</x:v>
      </x:c>
      <x:c r="M880" s="10" t="n">
        <x:f>SUM(XLOOKUP('포켓몬_편집'!$AF880:$AN880,'분류_규칙'!$A$5:$A$76,'분류_규칙'!$M$5:$M$76,0))</x:f>
        <x:v>0</x:v>
      </x:c>
      <x:c r="N880" s="10" t="n">
        <x:f>SUM(XLOOKUP('포켓몬_편집'!$AF880:$AN880,'분류_규칙'!$A$5:$A$76,'분류_규칙'!$N$5:$N$76,0))</x:f>
        <x:v>0</x:v>
      </x:c>
      <x:c r="O880" s="10" t="n">
        <x:f>SUM(XLOOKUP('포켓몬_편집'!$AF880:$AN880,'분류_규칙'!$A$5:$A$76,'분류_규칙'!$O$5:$O$76,0))</x:f>
        <x:v>2</x:v>
      </x:c>
      <x:c r="P880" s="10" t="n">
        <x:f>SUM(XLOOKUP('포켓몬_편집'!$AF880:$AN880,'분류_규칙'!$A$5:$A$76,'분류_규칙'!$P$5:$P$76,0))</x:f>
        <x:v>0</x:v>
      </x:c>
    </x:row>
    <x:row r="881" ht="22" customHeight="1">
      <x:c r="A881" s="5" t="n">
        <x:v>877</x:v>
      </x:c>
      <x:c r="B881" s="5" t="inlineStr">
        <x:is>
          <x:t xml:space="preserve">모르페코</x:t>
        </x:is>
      </x:c>
      <x:c r="C881" s="5" t="inlineStr">
        <x:is>
          <x:t xml:space="preserve">morpeko</x:t>
        </x:is>
      </x:c>
      <x:c r="D881" s="5" t="n">
        <x:v>8</x:v>
      </x:c>
      <x:c r="E881" s="10" t="n">
        <x:f>SUM(XLOOKUP('포켓몬_편집'!$AF881:$AN881,'분류_규칙'!$A$5:$A$76,'분류_규칙'!$E$5:$E$76,0))</x:f>
        <x:v>10</x:v>
      </x:c>
      <x:c r="F881" s="10" t="n">
        <x:f>SUM(XLOOKUP('포켓몬_편집'!$AF881:$AN881,'분류_규칙'!$A$5:$A$76,'분류_규칙'!$F$5:$F$76,0))</x:f>
        <x:v>7</x:v>
      </x:c>
      <x:c r="G881" s="10" t="n">
        <x:f>SUM(XLOOKUP('포켓몬_편집'!$AF881:$AN881,'분류_규칙'!$A$5:$A$76,'분류_규칙'!$G$5:$G$76,0))</x:f>
        <x:v>5</x:v>
      </x:c>
      <x:c r="H881" s="10" t="n">
        <x:f>SUM(XLOOKUP('포켓몬_편집'!$AF881:$AN881,'분류_규칙'!$A$5:$A$76,'분류_규칙'!$H$5:$H$76,0))</x:f>
        <x:v>5</x:v>
      </x:c>
      <x:c r="I881" s="10" t="n">
        <x:f>SUM(XLOOKUP('포켓몬_편집'!$AF881:$AN881,'분류_규칙'!$A$5:$A$76,'분류_규칙'!$I$5:$I$76,0))</x:f>
        <x:v>0</x:v>
      </x:c>
      <x:c r="J881" s="10" t="n">
        <x:f>SUM(XLOOKUP('포켓몬_편집'!$AF881:$AN881,'분류_규칙'!$A$5:$A$76,'분류_규칙'!$J$5:$J$76,0))</x:f>
        <x:v>2</x:v>
      </x:c>
      <x:c r="K881" s="10" t="n">
        <x:f>SUM(XLOOKUP('포켓몬_편집'!$AF881:$AN881,'분류_규칙'!$A$5:$A$76,'분류_규칙'!$K$5:$K$76,0))</x:f>
        <x:v>0</x:v>
      </x:c>
      <x:c r="L881" s="10" t="n">
        <x:f>SUM(XLOOKUP('포켓몬_편집'!$AF881:$AN881,'분류_규칙'!$A$5:$A$76,'분류_규칙'!$L$5:$L$76,0))</x:f>
        <x:v>0</x:v>
      </x:c>
      <x:c r="M881" s="10" t="n">
        <x:f>SUM(XLOOKUP('포켓몬_편집'!$AF881:$AN881,'분류_규칙'!$A$5:$A$76,'분류_규칙'!$M$5:$M$76,0))</x:f>
        <x:v>0</x:v>
      </x:c>
      <x:c r="N881" s="10" t="n">
        <x:f>SUM(XLOOKUP('포켓몬_편집'!$AF881:$AN881,'분류_규칙'!$A$5:$A$76,'분류_규칙'!$N$5:$N$76,0))</x:f>
        <x:v>0</x:v>
      </x:c>
      <x:c r="O881" s="10" t="n">
        <x:f>SUM(XLOOKUP('포켓몬_편집'!$AF881:$AN881,'분류_규칙'!$A$5:$A$76,'분류_규칙'!$O$5:$O$76,0))</x:f>
        <x:v>2</x:v>
      </x:c>
      <x:c r="P881" s="10" t="n">
        <x:f>SUM(XLOOKUP('포켓몬_편집'!$AF881:$AN881,'분류_규칙'!$A$5:$A$76,'분류_규칙'!$P$5:$P$76,0))</x:f>
        <x:v>0</x:v>
      </x:c>
    </x:row>
    <x:row r="882" ht="22" customHeight="1">
      <x:c r="A882" s="5" t="n">
        <x:v>878</x:v>
      </x:c>
      <x:c r="B882" s="5" t="inlineStr">
        <x:is>
          <x:t xml:space="preserve">끼리동</x:t>
        </x:is>
      </x:c>
      <x:c r="C882" s="5" t="inlineStr">
        <x:is>
          <x:t xml:space="preserve">cufant</x:t>
        </x:is>
      </x:c>
      <x:c r="D882" s="5" t="n">
        <x:v>8</x:v>
      </x:c>
      <x:c r="E882" s="10" t="n">
        <x:f>SUM(XLOOKUP('포켓몬_편집'!$AF882:$AN882,'분류_규칙'!$A$5:$A$76,'분류_규칙'!$E$5:$E$76,0))</x:f>
        <x:v>10</x:v>
      </x:c>
      <x:c r="F882" s="10" t="n">
        <x:f>SUM(XLOOKUP('포켓몬_편집'!$AF882:$AN882,'분류_규칙'!$A$5:$A$76,'분류_규칙'!$F$5:$F$76,0))</x:f>
        <x:v>7</x:v>
      </x:c>
      <x:c r="G882" s="10" t="n">
        <x:f>SUM(XLOOKUP('포켓몬_편집'!$AF882:$AN882,'분류_규칙'!$A$5:$A$76,'분류_규칙'!$G$5:$G$76,0))</x:f>
        <x:v>5</x:v>
      </x:c>
      <x:c r="H882" s="10" t="n">
        <x:f>SUM(XLOOKUP('포켓몬_편집'!$AF882:$AN882,'분류_규칙'!$A$5:$A$76,'분류_규칙'!$H$5:$H$76,0))</x:f>
        <x:v>5</x:v>
      </x:c>
      <x:c r="I882" s="10" t="n">
        <x:f>SUM(XLOOKUP('포켓몬_편집'!$AF882:$AN882,'분류_규칙'!$A$5:$A$76,'분류_규칙'!$I$5:$I$76,0))</x:f>
        <x:v>0</x:v>
      </x:c>
      <x:c r="J882" s="10" t="n">
        <x:f>SUM(XLOOKUP('포켓몬_편집'!$AF882:$AN882,'분류_규칙'!$A$5:$A$76,'분류_규칙'!$J$5:$J$76,0))</x:f>
        <x:v>2</x:v>
      </x:c>
      <x:c r="K882" s="10" t="n">
        <x:f>SUM(XLOOKUP('포켓몬_편집'!$AF882:$AN882,'분류_규칙'!$A$5:$A$76,'분류_규칙'!$K$5:$K$76,0))</x:f>
        <x:v>0</x:v>
      </x:c>
      <x:c r="L882" s="10" t="n">
        <x:f>SUM(XLOOKUP('포켓몬_편집'!$AF882:$AN882,'분류_규칙'!$A$5:$A$76,'분류_규칙'!$L$5:$L$76,0))</x:f>
        <x:v>0</x:v>
      </x:c>
      <x:c r="M882" s="10" t="n">
        <x:f>SUM(XLOOKUP('포켓몬_편집'!$AF882:$AN882,'분류_규칙'!$A$5:$A$76,'분류_규칙'!$M$5:$M$76,0))</x:f>
        <x:v>0</x:v>
      </x:c>
      <x:c r="N882" s="10" t="n">
        <x:f>SUM(XLOOKUP('포켓몬_편집'!$AF882:$AN882,'분류_규칙'!$A$5:$A$76,'분류_규칙'!$N$5:$N$76,0))</x:f>
        <x:v>0</x:v>
      </x:c>
      <x:c r="O882" s="10" t="n">
        <x:f>SUM(XLOOKUP('포켓몬_편집'!$AF882:$AN882,'분류_규칙'!$A$5:$A$76,'분류_규칙'!$O$5:$O$76,0))</x:f>
        <x:v>2</x:v>
      </x:c>
      <x:c r="P882" s="10" t="n">
        <x:f>SUM(XLOOKUP('포켓몬_편집'!$AF882:$AN882,'분류_규칙'!$A$5:$A$76,'분류_규칙'!$P$5:$P$76,0))</x:f>
        <x:v>0</x:v>
      </x:c>
    </x:row>
    <x:row r="883" ht="22" customHeight="1">
      <x:c r="A883" s="5" t="n">
        <x:v>879</x:v>
      </x:c>
      <x:c r="B883" s="5" t="inlineStr">
        <x:is>
          <x:t xml:space="preserve">대왕끼리동</x:t>
        </x:is>
      </x:c>
      <x:c r="C883" s="5" t="inlineStr">
        <x:is>
          <x:t xml:space="preserve">copperajah</x:t>
        </x:is>
      </x:c>
      <x:c r="D883" s="5" t="n">
        <x:v>8</x:v>
      </x:c>
      <x:c r="E883" s="10" t="n">
        <x:f>SUM(XLOOKUP('포켓몬_편집'!$AF883:$AN883,'분류_규칙'!$A$5:$A$76,'분류_규칙'!$E$5:$E$76,0))</x:f>
        <x:v>10</x:v>
      </x:c>
      <x:c r="F883" s="10" t="n">
        <x:f>SUM(XLOOKUP('포켓몬_편집'!$AF883:$AN883,'분류_규칙'!$A$5:$A$76,'분류_규칙'!$F$5:$F$76,0))</x:f>
        <x:v>7</x:v>
      </x:c>
      <x:c r="G883" s="10" t="n">
        <x:f>SUM(XLOOKUP('포켓몬_편집'!$AF883:$AN883,'분류_규칙'!$A$5:$A$76,'분류_규칙'!$G$5:$G$76,0))</x:f>
        <x:v>5</x:v>
      </x:c>
      <x:c r="H883" s="10" t="n">
        <x:f>SUM(XLOOKUP('포켓몬_편집'!$AF883:$AN883,'분류_규칙'!$A$5:$A$76,'분류_규칙'!$H$5:$H$76,0))</x:f>
        <x:v>5</x:v>
      </x:c>
      <x:c r="I883" s="10" t="n">
        <x:f>SUM(XLOOKUP('포켓몬_편집'!$AF883:$AN883,'분류_규칙'!$A$5:$A$76,'분류_규칙'!$I$5:$I$76,0))</x:f>
        <x:v>0</x:v>
      </x:c>
      <x:c r="J883" s="10" t="n">
        <x:f>SUM(XLOOKUP('포켓몬_편집'!$AF883:$AN883,'분류_규칙'!$A$5:$A$76,'분류_규칙'!$J$5:$J$76,0))</x:f>
        <x:v>2</x:v>
      </x:c>
      <x:c r="K883" s="10" t="n">
        <x:f>SUM(XLOOKUP('포켓몬_편집'!$AF883:$AN883,'분류_규칙'!$A$5:$A$76,'분류_규칙'!$K$5:$K$76,0))</x:f>
        <x:v>0</x:v>
      </x:c>
      <x:c r="L883" s="10" t="n">
        <x:f>SUM(XLOOKUP('포켓몬_편집'!$AF883:$AN883,'분류_규칙'!$A$5:$A$76,'분류_규칙'!$L$5:$L$76,0))</x:f>
        <x:v>0</x:v>
      </x:c>
      <x:c r="M883" s="10" t="n">
        <x:f>SUM(XLOOKUP('포켓몬_편집'!$AF883:$AN883,'분류_규칙'!$A$5:$A$76,'분류_규칙'!$M$5:$M$76,0))</x:f>
        <x:v>0</x:v>
      </x:c>
      <x:c r="N883" s="10" t="n">
        <x:f>SUM(XLOOKUP('포켓몬_편집'!$AF883:$AN883,'분류_규칙'!$A$5:$A$76,'분류_규칙'!$N$5:$N$76,0))</x:f>
        <x:v>0</x:v>
      </x:c>
      <x:c r="O883" s="10" t="n">
        <x:f>SUM(XLOOKUP('포켓몬_편집'!$AF883:$AN883,'분류_규칙'!$A$5:$A$76,'분류_규칙'!$O$5:$O$76,0))</x:f>
        <x:v>2</x:v>
      </x:c>
      <x:c r="P883" s="10" t="n">
        <x:f>SUM(XLOOKUP('포켓몬_편집'!$AF883:$AN883,'분류_규칙'!$A$5:$A$76,'분류_규칙'!$P$5:$P$76,0))</x:f>
        <x:v>0</x:v>
      </x:c>
    </x:row>
    <x:row r="884" ht="22" customHeight="1">
      <x:c r="A884" s="5" t="n">
        <x:v>880</x:v>
      </x:c>
      <x:c r="B884" s="5" t="inlineStr">
        <x:is>
          <x:t xml:space="preserve">파치래곤</x:t>
        </x:is>
      </x:c>
      <x:c r="C884" s="5" t="inlineStr">
        <x:is>
          <x:t xml:space="preserve">dracozolt</x:t>
        </x:is>
      </x:c>
      <x:c r="D884" s="5" t="n">
        <x:v>8</x:v>
      </x:c>
      <x:c r="E884" s="10" t="n">
        <x:f>SUM(XLOOKUP('포켓몬_편집'!$AF884:$AN884,'분류_규칙'!$A$5:$A$76,'분류_규칙'!$E$5:$E$76,0))</x:f>
        <x:v>10</x:v>
      </x:c>
      <x:c r="F884" s="10" t="n">
        <x:f>SUM(XLOOKUP('포켓몬_편집'!$AF884:$AN884,'분류_규칙'!$A$5:$A$76,'분류_규칙'!$F$5:$F$76,0))</x:f>
        <x:v>7</x:v>
      </x:c>
      <x:c r="G884" s="10" t="n">
        <x:f>SUM(XLOOKUP('포켓몬_편집'!$AF884:$AN884,'분류_규칙'!$A$5:$A$76,'분류_규칙'!$G$5:$G$76,0))</x:f>
        <x:v>5</x:v>
      </x:c>
      <x:c r="H884" s="10" t="n">
        <x:f>SUM(XLOOKUP('포켓몬_편집'!$AF884:$AN884,'분류_규칙'!$A$5:$A$76,'분류_규칙'!$H$5:$H$76,0))</x:f>
        <x:v>5</x:v>
      </x:c>
      <x:c r="I884" s="10" t="n">
        <x:f>SUM(XLOOKUP('포켓몬_편집'!$AF884:$AN884,'분류_규칙'!$A$5:$A$76,'분류_규칙'!$I$5:$I$76,0))</x:f>
        <x:v>0</x:v>
      </x:c>
      <x:c r="J884" s="10" t="n">
        <x:f>SUM(XLOOKUP('포켓몬_편집'!$AF884:$AN884,'분류_규칙'!$A$5:$A$76,'분류_규칙'!$J$5:$J$76,0))</x:f>
        <x:v>2</x:v>
      </x:c>
      <x:c r="K884" s="10" t="n">
        <x:f>SUM(XLOOKUP('포켓몬_편집'!$AF884:$AN884,'분류_규칙'!$A$5:$A$76,'분류_규칙'!$K$5:$K$76,0))</x:f>
        <x:v>0</x:v>
      </x:c>
      <x:c r="L884" s="10" t="n">
        <x:f>SUM(XLOOKUP('포켓몬_편집'!$AF884:$AN884,'분류_규칙'!$A$5:$A$76,'분류_규칙'!$L$5:$L$76,0))</x:f>
        <x:v>0</x:v>
      </x:c>
      <x:c r="M884" s="10" t="n">
        <x:f>SUM(XLOOKUP('포켓몬_편집'!$AF884:$AN884,'분류_규칙'!$A$5:$A$76,'분류_규칙'!$M$5:$M$76,0))</x:f>
        <x:v>0</x:v>
      </x:c>
      <x:c r="N884" s="10" t="n">
        <x:f>SUM(XLOOKUP('포켓몬_편집'!$AF884:$AN884,'분류_규칙'!$A$5:$A$76,'분류_규칙'!$N$5:$N$76,0))</x:f>
        <x:v>0</x:v>
      </x:c>
      <x:c r="O884" s="10" t="n">
        <x:f>SUM(XLOOKUP('포켓몬_편집'!$AF884:$AN884,'분류_규칙'!$A$5:$A$76,'분류_규칙'!$O$5:$O$76,0))</x:f>
        <x:v>2</x:v>
      </x:c>
      <x:c r="P884" s="10" t="n">
        <x:f>SUM(XLOOKUP('포켓몬_편집'!$AF884:$AN884,'분류_규칙'!$A$5:$A$76,'분류_규칙'!$P$5:$P$76,0))</x:f>
        <x:v>0</x:v>
      </x:c>
    </x:row>
    <x:row r="885" ht="22" customHeight="1">
      <x:c r="A885" s="5" t="n">
        <x:v>881</x:v>
      </x:c>
      <x:c r="B885" s="5" t="inlineStr">
        <x:is>
          <x:t xml:space="preserve">파치르돈</x:t>
        </x:is>
      </x:c>
      <x:c r="C885" s="5" t="inlineStr">
        <x:is>
          <x:t xml:space="preserve">arctozolt</x:t>
        </x:is>
      </x:c>
      <x:c r="D885" s="5" t="n">
        <x:v>8</x:v>
      </x:c>
      <x:c r="E885" s="10" t="n">
        <x:f>SUM(XLOOKUP('포켓몬_편집'!$AF885:$AN885,'분류_규칙'!$A$5:$A$76,'분류_규칙'!$E$5:$E$76,0))</x:f>
        <x:v>10</x:v>
      </x:c>
      <x:c r="F885" s="10" t="n">
        <x:f>SUM(XLOOKUP('포켓몬_편집'!$AF885:$AN885,'분류_규칙'!$A$5:$A$76,'분류_규칙'!$F$5:$F$76,0))</x:f>
        <x:v>7</x:v>
      </x:c>
      <x:c r="G885" s="10" t="n">
        <x:f>SUM(XLOOKUP('포켓몬_편집'!$AF885:$AN885,'분류_규칙'!$A$5:$A$76,'분류_규칙'!$G$5:$G$76,0))</x:f>
        <x:v>5</x:v>
      </x:c>
      <x:c r="H885" s="10" t="n">
        <x:f>SUM(XLOOKUP('포켓몬_편집'!$AF885:$AN885,'분류_규칙'!$A$5:$A$76,'분류_규칙'!$H$5:$H$76,0))</x:f>
        <x:v>5</x:v>
      </x:c>
      <x:c r="I885" s="10" t="n">
        <x:f>SUM(XLOOKUP('포켓몬_편집'!$AF885:$AN885,'분류_규칙'!$A$5:$A$76,'분류_규칙'!$I$5:$I$76,0))</x:f>
        <x:v>0</x:v>
      </x:c>
      <x:c r="J885" s="10" t="n">
        <x:f>SUM(XLOOKUP('포켓몬_편집'!$AF885:$AN885,'분류_규칙'!$A$5:$A$76,'분류_규칙'!$J$5:$J$76,0))</x:f>
        <x:v>2</x:v>
      </x:c>
      <x:c r="K885" s="10" t="n">
        <x:f>SUM(XLOOKUP('포켓몬_편집'!$AF885:$AN885,'분류_규칙'!$A$5:$A$76,'분류_규칙'!$K$5:$K$76,0))</x:f>
        <x:v>0</x:v>
      </x:c>
      <x:c r="L885" s="10" t="n">
        <x:f>SUM(XLOOKUP('포켓몬_편집'!$AF885:$AN885,'분류_규칙'!$A$5:$A$76,'분류_규칙'!$L$5:$L$76,0))</x:f>
        <x:v>0</x:v>
      </x:c>
      <x:c r="M885" s="10" t="n">
        <x:f>SUM(XLOOKUP('포켓몬_편집'!$AF885:$AN885,'분류_규칙'!$A$5:$A$76,'분류_규칙'!$M$5:$M$76,0))</x:f>
        <x:v>0</x:v>
      </x:c>
      <x:c r="N885" s="10" t="n">
        <x:f>SUM(XLOOKUP('포켓몬_편집'!$AF885:$AN885,'분류_규칙'!$A$5:$A$76,'분류_규칙'!$N$5:$N$76,0))</x:f>
        <x:v>0</x:v>
      </x:c>
      <x:c r="O885" s="10" t="n">
        <x:f>SUM(XLOOKUP('포켓몬_편집'!$AF885:$AN885,'분류_규칙'!$A$5:$A$76,'분류_규칙'!$O$5:$O$76,0))</x:f>
        <x:v>2</x:v>
      </x:c>
      <x:c r="P885" s="10" t="n">
        <x:f>SUM(XLOOKUP('포켓몬_편집'!$AF885:$AN885,'분류_규칙'!$A$5:$A$76,'분류_규칙'!$P$5:$P$76,0))</x:f>
        <x:v>0</x:v>
      </x:c>
    </x:row>
    <x:row r="886" ht="22" customHeight="1">
      <x:c r="A886" s="5" t="n">
        <x:v>882</x:v>
      </x:c>
      <x:c r="B886" s="5" t="inlineStr">
        <x:is>
          <x:t xml:space="preserve">어래곤</x:t>
        </x:is>
      </x:c>
      <x:c r="C886" s="5" t="inlineStr">
        <x:is>
          <x:t xml:space="preserve">dracovish</x:t>
        </x:is>
      </x:c>
      <x:c r="D886" s="5" t="n">
        <x:v>8</x:v>
      </x:c>
      <x:c r="E886" s="10" t="n">
        <x:f>SUM(XLOOKUP('포켓몬_편집'!$AF886:$AN886,'분류_규칙'!$A$5:$A$76,'분류_규칙'!$E$5:$E$76,0))</x:f>
        <x:v>0</x:v>
      </x:c>
      <x:c r="F886" s="10" t="n">
        <x:f>SUM(XLOOKUP('포켓몬_편집'!$AF886:$AN886,'분류_규칙'!$A$5:$A$76,'분류_규칙'!$F$5:$F$76,0))</x:f>
        <x:v>0</x:v>
      </x:c>
      <x:c r="G886" s="10" t="n">
        <x:f>SUM(XLOOKUP('포켓몬_편집'!$AF886:$AN886,'분류_규칙'!$A$5:$A$76,'분류_규칙'!$G$5:$G$76,0))</x:f>
        <x:v>0</x:v>
      </x:c>
      <x:c r="H886" s="10" t="n">
        <x:f>SUM(XLOOKUP('포켓몬_편집'!$AF886:$AN886,'분류_규칙'!$A$5:$A$76,'분류_규칙'!$H$5:$H$76,0))</x:f>
        <x:v>0</x:v>
      </x:c>
      <x:c r="I886" s="10" t="n">
        <x:f>SUM(XLOOKUP('포켓몬_편집'!$AF886:$AN886,'분류_규칙'!$A$5:$A$76,'분류_규칙'!$I$5:$I$76,0))</x:f>
        <x:v>0</x:v>
      </x:c>
      <x:c r="J886" s="10" t="n">
        <x:f>SUM(XLOOKUP('포켓몬_편집'!$AF886:$AN886,'분류_규칙'!$A$5:$A$76,'분류_규칙'!$J$5:$J$76,0))</x:f>
        <x:v>22</x:v>
      </x:c>
      <x:c r="K886" s="10" t="n">
        <x:f>SUM(XLOOKUP('포켓몬_편집'!$AF886:$AN886,'분류_규칙'!$A$5:$A$76,'분류_규칙'!$K$5:$K$76,0))</x:f>
        <x:v>16</x:v>
      </x:c>
      <x:c r="L886" s="10" t="n">
        <x:f>SUM(XLOOKUP('포켓몬_편집'!$AF886:$AN886,'분류_규칙'!$A$5:$A$76,'분류_규칙'!$L$5:$L$76,0))</x:f>
        <x:v>8</x:v>
      </x:c>
      <x:c r="M886" s="10" t="n">
        <x:f>SUM(XLOOKUP('포켓몬_편집'!$AF886:$AN886,'분류_규칙'!$A$5:$A$76,'분류_규칙'!$M$5:$M$76,0))</x:f>
        <x:v>0</x:v>
      </x:c>
      <x:c r="N886" s="10" t="n">
        <x:f>SUM(XLOOKUP('포켓몬_편집'!$AF886:$AN886,'분류_규칙'!$A$5:$A$76,'분류_규칙'!$N$5:$N$76,0))</x:f>
        <x:v>0</x:v>
      </x:c>
      <x:c r="O886" s="10" t="n">
        <x:f>SUM(XLOOKUP('포켓몬_편집'!$AF886:$AN886,'분류_규칙'!$A$5:$A$76,'분류_규칙'!$O$5:$O$76,0))</x:f>
        <x:v>0</x:v>
      </x:c>
      <x:c r="P886" s="10" t="n">
        <x:f>SUM(XLOOKUP('포켓몬_편집'!$AF886:$AN886,'분류_규칙'!$A$5:$A$76,'분류_규칙'!$P$5:$P$76,0))</x:f>
        <x:v>0</x:v>
      </x:c>
    </x:row>
    <x:row r="887" ht="22" customHeight="1">
      <x:c r="A887" s="5" t="n">
        <x:v>883</x:v>
      </x:c>
      <x:c r="B887" s="5" t="inlineStr">
        <x:is>
          <x:t xml:space="preserve">어치르돈</x:t>
        </x:is>
      </x:c>
      <x:c r="C887" s="5" t="inlineStr">
        <x:is>
          <x:t xml:space="preserve">arctovish</x:t>
        </x:is>
      </x:c>
      <x:c r="D887" s="5" t="n">
        <x:v>8</x:v>
      </x:c>
      <x:c r="E887" s="10" t="n">
        <x:f>SUM(XLOOKUP('포켓몬_편집'!$AF887:$AN887,'분류_규칙'!$A$5:$A$76,'분류_규칙'!$E$5:$E$76,0))</x:f>
        <x:v>0</x:v>
      </x:c>
      <x:c r="F887" s="10" t="n">
        <x:f>SUM(XLOOKUP('포켓몬_편집'!$AF887:$AN887,'분류_규칙'!$A$5:$A$76,'분류_규칙'!$F$5:$F$76,0))</x:f>
        <x:v>0</x:v>
      </x:c>
      <x:c r="G887" s="10" t="n">
        <x:f>SUM(XLOOKUP('포켓몬_편집'!$AF887:$AN887,'분류_규칙'!$A$5:$A$76,'분류_규칙'!$G$5:$G$76,0))</x:f>
        <x:v>0</x:v>
      </x:c>
      <x:c r="H887" s="10" t="n">
        <x:f>SUM(XLOOKUP('포켓몬_편집'!$AF887:$AN887,'분류_규칙'!$A$5:$A$76,'분류_규칙'!$H$5:$H$76,0))</x:f>
        <x:v>0</x:v>
      </x:c>
      <x:c r="I887" s="10" t="n">
        <x:f>SUM(XLOOKUP('포켓몬_편집'!$AF887:$AN887,'분류_규칙'!$A$5:$A$76,'분류_규칙'!$I$5:$I$76,0))</x:f>
        <x:v>0</x:v>
      </x:c>
      <x:c r="J887" s="10" t="n">
        <x:f>SUM(XLOOKUP('포켓몬_편집'!$AF887:$AN887,'분류_규칙'!$A$5:$A$76,'분류_규칙'!$J$5:$J$76,0))</x:f>
        <x:v>22</x:v>
      </x:c>
      <x:c r="K887" s="10" t="n">
        <x:f>SUM(XLOOKUP('포켓몬_편집'!$AF887:$AN887,'분류_규칙'!$A$5:$A$76,'분류_규칙'!$K$5:$K$76,0))</x:f>
        <x:v>16</x:v>
      </x:c>
      <x:c r="L887" s="10" t="n">
        <x:f>SUM(XLOOKUP('포켓몬_편집'!$AF887:$AN887,'분류_규칙'!$A$5:$A$76,'분류_규칙'!$L$5:$L$76,0))</x:f>
        <x:v>8</x:v>
      </x:c>
      <x:c r="M887" s="10" t="n">
        <x:f>SUM(XLOOKUP('포켓몬_편집'!$AF887:$AN887,'분류_규칙'!$A$5:$A$76,'분류_규칙'!$M$5:$M$76,0))</x:f>
        <x:v>0</x:v>
      </x:c>
      <x:c r="N887" s="10" t="n">
        <x:f>SUM(XLOOKUP('포켓몬_편집'!$AF887:$AN887,'분류_규칙'!$A$5:$A$76,'분류_규칙'!$N$5:$N$76,0))</x:f>
        <x:v>0</x:v>
      </x:c>
      <x:c r="O887" s="10" t="n">
        <x:f>SUM(XLOOKUP('포켓몬_편집'!$AF887:$AN887,'분류_규칙'!$A$5:$A$76,'분류_규칙'!$O$5:$O$76,0))</x:f>
        <x:v>0</x:v>
      </x:c>
      <x:c r="P887" s="10" t="n">
        <x:f>SUM(XLOOKUP('포켓몬_편집'!$AF887:$AN887,'분류_규칙'!$A$5:$A$76,'분류_규칙'!$P$5:$P$76,0))</x:f>
        <x:v>0</x:v>
      </x:c>
    </x:row>
    <x:row r="888" ht="22" customHeight="1">
      <x:c r="A888" s="5" t="n">
        <x:v>884</x:v>
      </x:c>
      <x:c r="B888" s="5" t="inlineStr">
        <x:is>
          <x:t xml:space="preserve">두랄루돈</x:t>
        </x:is>
      </x:c>
      <x:c r="C888" s="5" t="inlineStr">
        <x:is>
          <x:t xml:space="preserve">duraludon</x:t>
        </x:is>
      </x:c>
      <x:c r="D888" s="5" t="n">
        <x:v>8</x:v>
      </x:c>
      <x:c r="E888" s="10" t="n">
        <x:f>SUM(XLOOKUP('포켓몬_편집'!$AF888:$AN888,'분류_규칙'!$A$5:$A$76,'분류_규칙'!$E$5:$E$76,0))</x:f>
        <x:v>10</x:v>
      </x:c>
      <x:c r="F888" s="10" t="n">
        <x:f>SUM(XLOOKUP('포켓몬_편집'!$AF888:$AN888,'분류_규칙'!$A$5:$A$76,'분류_규칙'!$F$5:$F$76,0))</x:f>
        <x:v>7</x:v>
      </x:c>
      <x:c r="G888" s="10" t="n">
        <x:f>SUM(XLOOKUP('포켓몬_편집'!$AF888:$AN888,'분류_규칙'!$A$5:$A$76,'분류_규칙'!$G$5:$G$76,0))</x:f>
        <x:v>5</x:v>
      </x:c>
      <x:c r="H888" s="10" t="n">
        <x:f>SUM(XLOOKUP('포켓몬_편집'!$AF888:$AN888,'분류_규칙'!$A$5:$A$76,'분류_규칙'!$H$5:$H$76,0))</x:f>
        <x:v>5</x:v>
      </x:c>
      <x:c r="I888" s="10" t="n">
        <x:f>SUM(XLOOKUP('포켓몬_편집'!$AF888:$AN888,'분류_규칙'!$A$5:$A$76,'분류_규칙'!$I$5:$I$76,0))</x:f>
        <x:v>0</x:v>
      </x:c>
      <x:c r="J888" s="10" t="n">
        <x:f>SUM(XLOOKUP('포켓몬_편집'!$AF888:$AN888,'분류_규칙'!$A$5:$A$76,'분류_규칙'!$J$5:$J$76,0))</x:f>
        <x:v>2</x:v>
      </x:c>
      <x:c r="K888" s="10" t="n">
        <x:f>SUM(XLOOKUP('포켓몬_편집'!$AF888:$AN888,'분류_규칙'!$A$5:$A$76,'분류_규칙'!$K$5:$K$76,0))</x:f>
        <x:v>0</x:v>
      </x:c>
      <x:c r="L888" s="10" t="n">
        <x:f>SUM(XLOOKUP('포켓몬_편집'!$AF888:$AN888,'분류_규칙'!$A$5:$A$76,'분류_규칙'!$L$5:$L$76,0))</x:f>
        <x:v>0</x:v>
      </x:c>
      <x:c r="M888" s="10" t="n">
        <x:f>SUM(XLOOKUP('포켓몬_편집'!$AF888:$AN888,'분류_규칙'!$A$5:$A$76,'분류_규칙'!$M$5:$M$76,0))</x:f>
        <x:v>0</x:v>
      </x:c>
      <x:c r="N888" s="10" t="n">
        <x:f>SUM(XLOOKUP('포켓몬_편집'!$AF888:$AN888,'분류_규칙'!$A$5:$A$76,'분류_규칙'!$N$5:$N$76,0))</x:f>
        <x:v>0</x:v>
      </x:c>
      <x:c r="O888" s="10" t="n">
        <x:f>SUM(XLOOKUP('포켓몬_편집'!$AF888:$AN888,'분류_규칙'!$A$5:$A$76,'분류_규칙'!$O$5:$O$76,0))</x:f>
        <x:v>2</x:v>
      </x:c>
      <x:c r="P888" s="10" t="n">
        <x:f>SUM(XLOOKUP('포켓몬_편집'!$AF888:$AN888,'분류_규칙'!$A$5:$A$76,'분류_규칙'!$P$5:$P$76,0))</x:f>
        <x:v>0</x:v>
      </x:c>
    </x:row>
    <x:row r="889" ht="22" customHeight="1">
      <x:c r="A889" s="5" t="n">
        <x:v>885</x:v>
      </x:c>
      <x:c r="B889" s="5" t="inlineStr">
        <x:is>
          <x:t xml:space="preserve">드라꼰</x:t>
        </x:is>
      </x:c>
      <x:c r="C889" s="5" t="inlineStr">
        <x:is>
          <x:t xml:space="preserve">dreepy</x:t>
        </x:is>
      </x:c>
      <x:c r="D889" s="5" t="n">
        <x:v>8</x:v>
      </x:c>
      <x:c r="E889" s="10" t="n">
        <x:f>SUM(XLOOKUP('포켓몬_편집'!$AF889:$AN889,'분류_규칙'!$A$5:$A$76,'분류_규칙'!$E$5:$E$76,0))</x:f>
        <x:v>0</x:v>
      </x:c>
      <x:c r="F889" s="10" t="n">
        <x:f>SUM(XLOOKUP('포켓몬_편집'!$AF889:$AN889,'분류_규칙'!$A$5:$A$76,'분류_규칙'!$F$5:$F$76,0))</x:f>
        <x:v>0</x:v>
      </x:c>
      <x:c r="G889" s="10" t="n">
        <x:f>SUM(XLOOKUP('포켓몬_편집'!$AF889:$AN889,'분류_규칙'!$A$5:$A$76,'분류_규칙'!$G$5:$G$76,0))</x:f>
        <x:v>0</x:v>
      </x:c>
      <x:c r="H889" s="10" t="n">
        <x:f>SUM(XLOOKUP('포켓몬_편집'!$AF889:$AN889,'분류_규칙'!$A$5:$A$76,'분류_규칙'!$H$5:$H$76,0))</x:f>
        <x:v>0</x:v>
      </x:c>
      <x:c r="I889" s="10" t="n">
        <x:f>SUM(XLOOKUP('포켓몬_편집'!$AF889:$AN889,'분류_규칙'!$A$5:$A$76,'분류_규칙'!$I$5:$I$76,0))</x:f>
        <x:v>0</x:v>
      </x:c>
      <x:c r="J889" s="10" t="n">
        <x:f>SUM(XLOOKUP('포켓몬_편집'!$AF889:$AN889,'분류_규칙'!$A$5:$A$76,'분류_규칙'!$J$5:$J$76,0))</x:f>
        <x:v>3</x:v>
      </x:c>
      <x:c r="K889" s="10" t="n">
        <x:f>SUM(XLOOKUP('포켓몬_편집'!$AF889:$AN889,'분류_규칙'!$A$5:$A$76,'분류_규칙'!$K$5:$K$76,0))</x:f>
        <x:v>0</x:v>
      </x:c>
      <x:c r="L889" s="10" t="n">
        <x:f>SUM(XLOOKUP('포켓몬_편집'!$AF889:$AN889,'분류_규칙'!$A$5:$A$76,'분류_규칙'!$L$5:$L$76,0))</x:f>
        <x:v>30</x:v>
      </x:c>
      <x:c r="M889" s="10" t="n">
        <x:f>SUM(XLOOKUP('포켓몬_편집'!$AF889:$AN889,'분류_규칙'!$A$5:$A$76,'분류_규칙'!$M$5:$M$76,0))</x:f>
        <x:v>0</x:v>
      </x:c>
      <x:c r="N889" s="10" t="n">
        <x:f>SUM(XLOOKUP('포켓몬_편집'!$AF889:$AN889,'분류_규칙'!$A$5:$A$76,'분류_규칙'!$N$5:$N$76,0))</x:f>
        <x:v>0</x:v>
      </x:c>
      <x:c r="O889" s="10" t="n">
        <x:f>SUM(XLOOKUP('포켓몬_편집'!$AF889:$AN889,'분류_규칙'!$A$5:$A$76,'분류_규칙'!$O$5:$O$76,0))</x:f>
        <x:v>0</x:v>
      </x:c>
      <x:c r="P889" s="10" t="n">
        <x:f>SUM(XLOOKUP('포켓몬_편집'!$AF889:$AN889,'분류_규칙'!$A$5:$A$76,'분류_규칙'!$P$5:$P$76,0))</x:f>
        <x:v>0</x:v>
      </x:c>
    </x:row>
    <x:row r="890" ht="22" customHeight="1">
      <x:c r="A890" s="5" t="n">
        <x:v>886</x:v>
      </x:c>
      <x:c r="B890" s="5" t="inlineStr">
        <x:is>
          <x:t xml:space="preserve">드래런치</x:t>
        </x:is>
      </x:c>
      <x:c r="C890" s="5" t="inlineStr">
        <x:is>
          <x:t xml:space="preserve">drakloak</x:t>
        </x:is>
      </x:c>
      <x:c r="D890" s="5" t="n">
        <x:v>8</x:v>
      </x:c>
      <x:c r="E890" s="10" t="n">
        <x:f>SUM(XLOOKUP('포켓몬_편집'!$AF890:$AN890,'분류_규칙'!$A$5:$A$76,'분류_규칙'!$E$5:$E$76,0))</x:f>
        <x:v>0</x:v>
      </x:c>
      <x:c r="F890" s="10" t="n">
        <x:f>SUM(XLOOKUP('포켓몬_편집'!$AF890:$AN890,'분류_규칙'!$A$5:$A$76,'분류_규칙'!$F$5:$F$76,0))</x:f>
        <x:v>0</x:v>
      </x:c>
      <x:c r="G890" s="10" t="n">
        <x:f>SUM(XLOOKUP('포켓몬_편집'!$AF890:$AN890,'분류_규칙'!$A$5:$A$76,'분류_규칙'!$G$5:$G$76,0))</x:f>
        <x:v>0</x:v>
      </x:c>
      <x:c r="H890" s="10" t="n">
        <x:f>SUM(XLOOKUP('포켓몬_편집'!$AF890:$AN890,'분류_규칙'!$A$5:$A$76,'분류_규칙'!$H$5:$H$76,0))</x:f>
        <x:v>0</x:v>
      </x:c>
      <x:c r="I890" s="10" t="n">
        <x:f>SUM(XLOOKUP('포켓몬_편집'!$AF890:$AN890,'분류_규칙'!$A$5:$A$76,'분류_규칙'!$I$5:$I$76,0))</x:f>
        <x:v>0</x:v>
      </x:c>
      <x:c r="J890" s="10" t="n">
        <x:f>SUM(XLOOKUP('포켓몬_편집'!$AF890:$AN890,'분류_규칙'!$A$5:$A$76,'분류_규칙'!$J$5:$J$76,0))</x:f>
        <x:v>3</x:v>
      </x:c>
      <x:c r="K890" s="10" t="n">
        <x:f>SUM(XLOOKUP('포켓몬_편집'!$AF890:$AN890,'분류_규칙'!$A$5:$A$76,'분류_규칙'!$K$5:$K$76,0))</x:f>
        <x:v>0</x:v>
      </x:c>
      <x:c r="L890" s="10" t="n">
        <x:f>SUM(XLOOKUP('포켓몬_편집'!$AF890:$AN890,'분류_규칙'!$A$5:$A$76,'분류_규칙'!$L$5:$L$76,0))</x:f>
        <x:v>30</x:v>
      </x:c>
      <x:c r="M890" s="10" t="n">
        <x:f>SUM(XLOOKUP('포켓몬_편집'!$AF890:$AN890,'분류_규칙'!$A$5:$A$76,'분류_규칙'!$M$5:$M$76,0))</x:f>
        <x:v>0</x:v>
      </x:c>
      <x:c r="N890" s="10" t="n">
        <x:f>SUM(XLOOKUP('포켓몬_편집'!$AF890:$AN890,'분류_규칙'!$A$5:$A$76,'분류_규칙'!$N$5:$N$76,0))</x:f>
        <x:v>0</x:v>
      </x:c>
      <x:c r="O890" s="10" t="n">
        <x:f>SUM(XLOOKUP('포켓몬_편집'!$AF890:$AN890,'분류_규칙'!$A$5:$A$76,'분류_규칙'!$O$5:$O$76,0))</x:f>
        <x:v>0</x:v>
      </x:c>
      <x:c r="P890" s="10" t="n">
        <x:f>SUM(XLOOKUP('포켓몬_편집'!$AF890:$AN890,'분류_규칙'!$A$5:$A$76,'분류_규칙'!$P$5:$P$76,0))</x:f>
        <x:v>0</x:v>
      </x:c>
    </x:row>
    <x:row r="891" ht="22" customHeight="1">
      <x:c r="A891" s="5" t="n">
        <x:v>887</x:v>
      </x:c>
      <x:c r="B891" s="5" t="inlineStr">
        <x:is>
          <x:t xml:space="preserve">드래펄트</x:t>
        </x:is>
      </x:c>
      <x:c r="C891" s="5" t="inlineStr">
        <x:is>
          <x:t xml:space="preserve">dragapult</x:t>
        </x:is>
      </x:c>
      <x:c r="D891" s="5" t="n">
        <x:v>8</x:v>
      </x:c>
      <x:c r="E891" s="10" t="n">
        <x:f>SUM(XLOOKUP('포켓몬_편집'!$AF891:$AN891,'분류_규칙'!$A$5:$A$76,'분류_규칙'!$E$5:$E$76,0))</x:f>
        <x:v>0</x:v>
      </x:c>
      <x:c r="F891" s="10" t="n">
        <x:f>SUM(XLOOKUP('포켓몬_편집'!$AF891:$AN891,'분류_규칙'!$A$5:$A$76,'분류_규칙'!$F$5:$F$76,0))</x:f>
        <x:v>0</x:v>
      </x:c>
      <x:c r="G891" s="10" t="n">
        <x:f>SUM(XLOOKUP('포켓몬_편집'!$AF891:$AN891,'분류_규칙'!$A$5:$A$76,'분류_규칙'!$G$5:$G$76,0))</x:f>
        <x:v>0</x:v>
      </x:c>
      <x:c r="H891" s="10" t="n">
        <x:f>SUM(XLOOKUP('포켓몬_편집'!$AF891:$AN891,'분류_규칙'!$A$5:$A$76,'분류_규칙'!$H$5:$H$76,0))</x:f>
        <x:v>0</x:v>
      </x:c>
      <x:c r="I891" s="10" t="n">
        <x:f>SUM(XLOOKUP('포켓몬_편집'!$AF891:$AN891,'분류_규칙'!$A$5:$A$76,'분류_규칙'!$I$5:$I$76,0))</x:f>
        <x:v>0</x:v>
      </x:c>
      <x:c r="J891" s="10" t="n">
        <x:f>SUM(XLOOKUP('포켓몬_편집'!$AF891:$AN891,'분류_규칙'!$A$5:$A$76,'분류_규칙'!$J$5:$J$76,0))</x:f>
        <x:v>3</x:v>
      </x:c>
      <x:c r="K891" s="10" t="n">
        <x:f>SUM(XLOOKUP('포켓몬_편집'!$AF891:$AN891,'분류_규칙'!$A$5:$A$76,'분류_규칙'!$K$5:$K$76,0))</x:f>
        <x:v>0</x:v>
      </x:c>
      <x:c r="L891" s="10" t="n">
        <x:f>SUM(XLOOKUP('포켓몬_편집'!$AF891:$AN891,'분류_규칙'!$A$5:$A$76,'분류_규칙'!$L$5:$L$76,0))</x:f>
        <x:v>30</x:v>
      </x:c>
      <x:c r="M891" s="10" t="n">
        <x:f>SUM(XLOOKUP('포켓몬_편집'!$AF891:$AN891,'분류_규칙'!$A$5:$A$76,'분류_규칙'!$M$5:$M$76,0))</x:f>
        <x:v>0</x:v>
      </x:c>
      <x:c r="N891" s="10" t="n">
        <x:f>SUM(XLOOKUP('포켓몬_편집'!$AF891:$AN891,'분류_규칙'!$A$5:$A$76,'분류_규칙'!$N$5:$N$76,0))</x:f>
        <x:v>0</x:v>
      </x:c>
      <x:c r="O891" s="10" t="n">
        <x:f>SUM(XLOOKUP('포켓몬_편집'!$AF891:$AN891,'분류_규칙'!$A$5:$A$76,'분류_규칙'!$O$5:$O$76,0))</x:f>
        <x:v>0</x:v>
      </x:c>
      <x:c r="P891" s="10" t="n">
        <x:f>SUM(XLOOKUP('포켓몬_편집'!$AF891:$AN891,'분류_규칙'!$A$5:$A$76,'분류_규칙'!$P$5:$P$76,0))</x:f>
        <x:v>0</x:v>
      </x:c>
    </x:row>
    <x:row r="892" ht="22" customHeight="1">
      <x:c r="A892" s="5" t="n">
        <x:v>888</x:v>
      </x:c>
      <x:c r="B892" s="5" t="inlineStr">
        <x:is>
          <x:t xml:space="preserve">자시안</x:t>
        </x:is>
      </x:c>
      <x:c r="C892" s="5" t="inlineStr">
        <x:is>
          <x:t xml:space="preserve">zacian</x:t>
        </x:is>
      </x:c>
      <x:c r="D892" s="5" t="n">
        <x:v>8</x:v>
      </x:c>
      <x:c r="E892" s="10" t="n">
        <x:f>SUM(XLOOKUP('포켓몬_편집'!$AF892:$AN892,'분류_규칙'!$A$5:$A$76,'분류_규칙'!$E$5:$E$76,0))</x:f>
        <x:v>10</x:v>
      </x:c>
      <x:c r="F892" s="10" t="n">
        <x:f>SUM(XLOOKUP('포켓몬_편집'!$AF892:$AN892,'분류_규칙'!$A$5:$A$76,'분류_규칙'!$F$5:$F$76,0))</x:f>
        <x:v>7</x:v>
      </x:c>
      <x:c r="G892" s="10" t="n">
        <x:f>SUM(XLOOKUP('포켓몬_편집'!$AF892:$AN892,'분류_규칙'!$A$5:$A$76,'분류_규칙'!$G$5:$G$76,0))</x:f>
        <x:v>5</x:v>
      </x:c>
      <x:c r="H892" s="10" t="n">
        <x:f>SUM(XLOOKUP('포켓몬_편집'!$AF892:$AN892,'분류_규칙'!$A$5:$A$76,'분류_규칙'!$H$5:$H$76,0))</x:f>
        <x:v>5</x:v>
      </x:c>
      <x:c r="I892" s="10" t="n">
        <x:f>SUM(XLOOKUP('포켓몬_편집'!$AF892:$AN892,'분류_규칙'!$A$5:$A$76,'분류_규칙'!$I$5:$I$76,0))</x:f>
        <x:v>0</x:v>
      </x:c>
      <x:c r="J892" s="10" t="n">
        <x:f>SUM(XLOOKUP('포켓몬_편집'!$AF892:$AN892,'분류_규칙'!$A$5:$A$76,'분류_규칙'!$J$5:$J$76,0))</x:f>
        <x:v>2</x:v>
      </x:c>
      <x:c r="K892" s="10" t="n">
        <x:f>SUM(XLOOKUP('포켓몬_편집'!$AF892:$AN892,'분류_규칙'!$A$5:$A$76,'분류_규칙'!$K$5:$K$76,0))</x:f>
        <x:v>0</x:v>
      </x:c>
      <x:c r="L892" s="10" t="n">
        <x:f>SUM(XLOOKUP('포켓몬_편집'!$AF892:$AN892,'분류_규칙'!$A$5:$A$76,'분류_규칙'!$L$5:$L$76,0))</x:f>
        <x:v>0</x:v>
      </x:c>
      <x:c r="M892" s="10" t="n">
        <x:f>SUM(XLOOKUP('포켓몬_편집'!$AF892:$AN892,'분류_규칙'!$A$5:$A$76,'분류_규칙'!$M$5:$M$76,0))</x:f>
        <x:v>0</x:v>
      </x:c>
      <x:c r="N892" s="10" t="n">
        <x:f>SUM(XLOOKUP('포켓몬_편집'!$AF892:$AN892,'분류_규칙'!$A$5:$A$76,'분류_규칙'!$N$5:$N$76,0))</x:f>
        <x:v>0</x:v>
      </x:c>
      <x:c r="O892" s="10" t="n">
        <x:f>SUM(XLOOKUP('포켓몬_편집'!$AF892:$AN892,'분류_규칙'!$A$5:$A$76,'분류_규칙'!$O$5:$O$76,0))</x:f>
        <x:v>2</x:v>
      </x:c>
      <x:c r="P892" s="10" t="n">
        <x:f>SUM(XLOOKUP('포켓몬_편집'!$AF892:$AN892,'분류_규칙'!$A$5:$A$76,'분류_규칙'!$P$5:$P$76,0))</x:f>
        <x:v>0</x:v>
      </x:c>
    </x:row>
    <x:row r="893" ht="22" customHeight="1">
      <x:c r="A893" s="5" t="n">
        <x:v>889</x:v>
      </x:c>
      <x:c r="B893" s="5" t="inlineStr">
        <x:is>
          <x:t xml:space="preserve">자마젠타</x:t>
        </x:is>
      </x:c>
      <x:c r="C893" s="5" t="inlineStr">
        <x:is>
          <x:t xml:space="preserve">zamazenta</x:t>
        </x:is>
      </x:c>
      <x:c r="D893" s="5" t="n">
        <x:v>8</x:v>
      </x:c>
      <x:c r="E893" s="10" t="n">
        <x:f>SUM(XLOOKUP('포켓몬_편집'!$AF893:$AN893,'분류_규칙'!$A$5:$A$76,'분류_규칙'!$E$5:$E$76,0))</x:f>
        <x:v>10</x:v>
      </x:c>
      <x:c r="F893" s="10" t="n">
        <x:f>SUM(XLOOKUP('포켓몬_편집'!$AF893:$AN893,'분류_규칙'!$A$5:$A$76,'분류_규칙'!$F$5:$F$76,0))</x:f>
        <x:v>7</x:v>
      </x:c>
      <x:c r="G893" s="10" t="n">
        <x:f>SUM(XLOOKUP('포켓몬_편집'!$AF893:$AN893,'분류_규칙'!$A$5:$A$76,'분류_규칙'!$G$5:$G$76,0))</x:f>
        <x:v>5</x:v>
      </x:c>
      <x:c r="H893" s="10" t="n">
        <x:f>SUM(XLOOKUP('포켓몬_편집'!$AF893:$AN893,'분류_규칙'!$A$5:$A$76,'분류_규칙'!$H$5:$H$76,0))</x:f>
        <x:v>5</x:v>
      </x:c>
      <x:c r="I893" s="10" t="n">
        <x:f>SUM(XLOOKUP('포켓몬_편집'!$AF893:$AN893,'분류_규칙'!$A$5:$A$76,'분류_규칙'!$I$5:$I$76,0))</x:f>
        <x:v>0</x:v>
      </x:c>
      <x:c r="J893" s="10" t="n">
        <x:f>SUM(XLOOKUP('포켓몬_편집'!$AF893:$AN893,'분류_규칙'!$A$5:$A$76,'분류_규칙'!$J$5:$J$76,0))</x:f>
        <x:v>2</x:v>
      </x:c>
      <x:c r="K893" s="10" t="n">
        <x:f>SUM(XLOOKUP('포켓몬_편집'!$AF893:$AN893,'분류_규칙'!$A$5:$A$76,'분류_규칙'!$K$5:$K$76,0))</x:f>
        <x:v>0</x:v>
      </x:c>
      <x:c r="L893" s="10" t="n">
        <x:f>SUM(XLOOKUP('포켓몬_편집'!$AF893:$AN893,'분류_규칙'!$A$5:$A$76,'분류_규칙'!$L$5:$L$76,0))</x:f>
        <x:v>0</x:v>
      </x:c>
      <x:c r="M893" s="10" t="n">
        <x:f>SUM(XLOOKUP('포켓몬_편집'!$AF893:$AN893,'분류_규칙'!$A$5:$A$76,'분류_규칙'!$M$5:$M$76,0))</x:f>
        <x:v>0</x:v>
      </x:c>
      <x:c r="N893" s="10" t="n">
        <x:f>SUM(XLOOKUP('포켓몬_편집'!$AF893:$AN893,'분류_규칙'!$A$5:$A$76,'분류_규칙'!$N$5:$N$76,0))</x:f>
        <x:v>0</x:v>
      </x:c>
      <x:c r="O893" s="10" t="n">
        <x:f>SUM(XLOOKUP('포켓몬_편집'!$AF893:$AN893,'분류_규칙'!$A$5:$A$76,'분류_규칙'!$O$5:$O$76,0))</x:f>
        <x:v>2</x:v>
      </x:c>
      <x:c r="P893" s="10" t="n">
        <x:f>SUM(XLOOKUP('포켓몬_편집'!$AF893:$AN893,'분류_규칙'!$A$5:$A$76,'분류_규칙'!$P$5:$P$76,0))</x:f>
        <x:v>0</x:v>
      </x:c>
    </x:row>
    <x:row r="894" ht="22" customHeight="1">
      <x:c r="A894" s="5" t="n">
        <x:v>890</x:v>
      </x:c>
      <x:c r="B894" s="5" t="inlineStr">
        <x:is>
          <x:t xml:space="preserve">무한다이노</x:t>
        </x:is>
      </x:c>
      <x:c r="C894" s="5" t="inlineStr">
        <x:is>
          <x:t xml:space="preserve">eternatus</x:t>
        </x:is>
      </x:c>
      <x:c r="D894" s="5" t="n">
        <x:v>8</x:v>
      </x:c>
      <x:c r="E894" s="10" t="n">
        <x:f>SUM(XLOOKUP('포켓몬_편집'!$AF894:$AN894,'분류_규칙'!$A$5:$A$76,'분류_규칙'!$E$5:$E$76,0))</x:f>
        <x:v>8</x:v>
      </x:c>
      <x:c r="F894" s="10" t="n">
        <x:f>SUM(XLOOKUP('포켓몬_편집'!$AF894:$AN894,'분류_규칙'!$A$5:$A$76,'분류_규칙'!$F$5:$F$76,0))</x:f>
        <x:v>8</x:v>
      </x:c>
      <x:c r="G894" s="10" t="n">
        <x:f>SUM(XLOOKUP('포켓몬_편집'!$AF894:$AN894,'분류_규칙'!$A$5:$A$76,'분류_규칙'!$G$5:$G$76,0))</x:f>
        <x:v>0</x:v>
      </x:c>
      <x:c r="H894" s="10" t="n">
        <x:f>SUM(XLOOKUP('포켓몬_편집'!$AF894:$AN894,'분류_규칙'!$A$5:$A$76,'분류_규칙'!$H$5:$H$76,0))</x:f>
        <x:v>12</x:v>
      </x:c>
      <x:c r="I894" s="10" t="n">
        <x:f>SUM(XLOOKUP('포켓몬_편집'!$AF894:$AN894,'분류_규칙'!$A$5:$A$76,'분류_규칙'!$I$5:$I$76,0))</x:f>
        <x:v>0</x:v>
      </x:c>
      <x:c r="J894" s="10" t="n">
        <x:f>SUM(XLOOKUP('포켓몬_편집'!$AF894:$AN894,'분류_규칙'!$A$5:$A$76,'분류_규칙'!$J$5:$J$76,0))</x:f>
        <x:v>0</x:v>
      </x:c>
      <x:c r="K894" s="10" t="n">
        <x:f>SUM(XLOOKUP('포켓몬_편집'!$AF894:$AN894,'분류_규칙'!$A$5:$A$76,'분류_규칙'!$K$5:$K$76,0))</x:f>
        <x:v>0</x:v>
      </x:c>
      <x:c r="L894" s="10" t="n">
        <x:f>SUM(XLOOKUP('포켓몬_편집'!$AF894:$AN894,'분류_규칙'!$A$5:$A$76,'분류_규칙'!$L$5:$L$76,0))</x:f>
        <x:v>3</x:v>
      </x:c>
      <x:c r="M894" s="10" t="n">
        <x:f>SUM(XLOOKUP('포켓몬_편집'!$AF894:$AN894,'분류_규칙'!$A$5:$A$76,'분류_규칙'!$M$5:$M$76,0))</x:f>
        <x:v>0</x:v>
      </x:c>
      <x:c r="N894" s="10" t="n">
        <x:f>SUM(XLOOKUP('포켓몬_편집'!$AF894:$AN894,'분류_규칙'!$A$5:$A$76,'분류_규칙'!$N$5:$N$76,0))</x:f>
        <x:v>0</x:v>
      </x:c>
      <x:c r="O894" s="10" t="n">
        <x:f>SUM(XLOOKUP('포켓몬_편집'!$AF894:$AN894,'분류_규칙'!$A$5:$A$76,'분류_규칙'!$O$5:$O$76,0))</x:f>
        <x:v>2</x:v>
      </x:c>
      <x:c r="P894" s="10" t="n">
        <x:f>SUM(XLOOKUP('포켓몬_편집'!$AF894:$AN894,'분류_규칙'!$A$5:$A$76,'분류_규칙'!$P$5:$P$76,0))</x:f>
        <x:v>0</x:v>
      </x:c>
    </x:row>
    <x:row r="895" ht="22" customHeight="1">
      <x:c r="A895" s="5" t="n">
        <x:v>891</x:v>
      </x:c>
      <x:c r="B895" s="5" t="inlineStr">
        <x:is>
          <x:t xml:space="preserve">치고마</x:t>
        </x:is>
      </x:c>
      <x:c r="C895" s="5" t="inlineStr">
        <x:is>
          <x:t xml:space="preserve">kubfu</x:t>
        </x:is>
      </x:c>
      <x:c r="D895" s="5" t="n">
        <x:v>8</x:v>
      </x:c>
      <x:c r="E895" s="10" t="n">
        <x:f>SUM(XLOOKUP('포켓몬_편집'!$AF895:$AN895,'분류_규칙'!$A$5:$A$76,'분류_규칙'!$E$5:$E$76,0))</x:f>
        <x:v>10</x:v>
      </x:c>
      <x:c r="F895" s="10" t="n">
        <x:f>SUM(XLOOKUP('포켓몬_편집'!$AF895:$AN895,'분류_규칙'!$A$5:$A$76,'분류_규칙'!$F$5:$F$76,0))</x:f>
        <x:v>7</x:v>
      </x:c>
      <x:c r="G895" s="10" t="n">
        <x:f>SUM(XLOOKUP('포켓몬_편집'!$AF895:$AN895,'분류_규칙'!$A$5:$A$76,'분류_규칙'!$G$5:$G$76,0))</x:f>
        <x:v>5</x:v>
      </x:c>
      <x:c r="H895" s="10" t="n">
        <x:f>SUM(XLOOKUP('포켓몬_편집'!$AF895:$AN895,'분류_규칙'!$A$5:$A$76,'분류_규칙'!$H$5:$H$76,0))</x:f>
        <x:v>5</x:v>
      </x:c>
      <x:c r="I895" s="10" t="n">
        <x:f>SUM(XLOOKUP('포켓몬_편집'!$AF895:$AN895,'분류_규칙'!$A$5:$A$76,'분류_규칙'!$I$5:$I$76,0))</x:f>
        <x:v>0</x:v>
      </x:c>
      <x:c r="J895" s="10" t="n">
        <x:f>SUM(XLOOKUP('포켓몬_편집'!$AF895:$AN895,'분류_규칙'!$A$5:$A$76,'분류_규칙'!$J$5:$J$76,0))</x:f>
        <x:v>2</x:v>
      </x:c>
      <x:c r="K895" s="10" t="n">
        <x:f>SUM(XLOOKUP('포켓몬_편집'!$AF895:$AN895,'분류_규칙'!$A$5:$A$76,'분류_규칙'!$K$5:$K$76,0))</x:f>
        <x:v>0</x:v>
      </x:c>
      <x:c r="L895" s="10" t="n">
        <x:f>SUM(XLOOKUP('포켓몬_편집'!$AF895:$AN895,'분류_규칙'!$A$5:$A$76,'분류_규칙'!$L$5:$L$76,0))</x:f>
        <x:v>0</x:v>
      </x:c>
      <x:c r="M895" s="10" t="n">
        <x:f>SUM(XLOOKUP('포켓몬_편집'!$AF895:$AN895,'분류_규칙'!$A$5:$A$76,'분류_규칙'!$M$5:$M$76,0))</x:f>
        <x:v>0</x:v>
      </x:c>
      <x:c r="N895" s="10" t="n">
        <x:f>SUM(XLOOKUP('포켓몬_편집'!$AF895:$AN895,'분류_규칙'!$A$5:$A$76,'분류_규칙'!$N$5:$N$76,0))</x:f>
        <x:v>0</x:v>
      </x:c>
      <x:c r="O895" s="10" t="n">
        <x:f>SUM(XLOOKUP('포켓몬_편집'!$AF895:$AN895,'분류_규칙'!$A$5:$A$76,'분류_규칙'!$O$5:$O$76,0))</x:f>
        <x:v>2</x:v>
      </x:c>
      <x:c r="P895" s="10" t="n">
        <x:f>SUM(XLOOKUP('포켓몬_편집'!$AF895:$AN895,'분류_규칙'!$A$5:$A$76,'분류_규칙'!$P$5:$P$76,0))</x:f>
        <x:v>0</x:v>
      </x:c>
    </x:row>
    <x:row r="896" ht="22" customHeight="1">
      <x:c r="A896" s="5" t="n">
        <x:v>892</x:v>
      </x:c>
      <x:c r="B896" s="5" t="inlineStr">
        <x:is>
          <x:t xml:space="preserve">우라오스</x:t>
        </x:is>
      </x:c>
      <x:c r="C896" s="5" t="inlineStr">
        <x:is>
          <x:t xml:space="preserve">urshifu</x:t>
        </x:is>
      </x:c>
      <x:c r="D896" s="5" t="n">
        <x:v>8</x:v>
      </x:c>
      <x:c r="E896" s="10" t="n">
        <x:f>SUM(XLOOKUP('포켓몬_편집'!$AF896:$AN896,'분류_규칙'!$A$5:$A$76,'분류_규칙'!$E$5:$E$76,0))</x:f>
        <x:v>10</x:v>
      </x:c>
      <x:c r="F896" s="10" t="n">
        <x:f>SUM(XLOOKUP('포켓몬_편집'!$AF896:$AN896,'분류_규칙'!$A$5:$A$76,'분류_규칙'!$F$5:$F$76,0))</x:f>
        <x:v>7</x:v>
      </x:c>
      <x:c r="G896" s="10" t="n">
        <x:f>SUM(XLOOKUP('포켓몬_편집'!$AF896:$AN896,'분류_규칙'!$A$5:$A$76,'분류_규칙'!$G$5:$G$76,0))</x:f>
        <x:v>5</x:v>
      </x:c>
      <x:c r="H896" s="10" t="n">
        <x:f>SUM(XLOOKUP('포켓몬_편집'!$AF896:$AN896,'분류_규칙'!$A$5:$A$76,'분류_규칙'!$H$5:$H$76,0))</x:f>
        <x:v>5</x:v>
      </x:c>
      <x:c r="I896" s="10" t="n">
        <x:f>SUM(XLOOKUP('포켓몬_편집'!$AF896:$AN896,'분류_규칙'!$A$5:$A$76,'분류_규칙'!$I$5:$I$76,0))</x:f>
        <x:v>0</x:v>
      </x:c>
      <x:c r="J896" s="10" t="n">
        <x:f>SUM(XLOOKUP('포켓몬_편집'!$AF896:$AN896,'분류_규칙'!$A$5:$A$76,'분류_규칙'!$J$5:$J$76,0))</x:f>
        <x:v>2</x:v>
      </x:c>
      <x:c r="K896" s="10" t="n">
        <x:f>SUM(XLOOKUP('포켓몬_편집'!$AF896:$AN896,'분류_규칙'!$A$5:$A$76,'분류_규칙'!$K$5:$K$76,0))</x:f>
        <x:v>0</x:v>
      </x:c>
      <x:c r="L896" s="10" t="n">
        <x:f>SUM(XLOOKUP('포켓몬_편집'!$AF896:$AN896,'분류_규칙'!$A$5:$A$76,'분류_규칙'!$L$5:$L$76,0))</x:f>
        <x:v>0</x:v>
      </x:c>
      <x:c r="M896" s="10" t="n">
        <x:f>SUM(XLOOKUP('포켓몬_편집'!$AF896:$AN896,'분류_규칙'!$A$5:$A$76,'분류_규칙'!$M$5:$M$76,0))</x:f>
        <x:v>0</x:v>
      </x:c>
      <x:c r="N896" s="10" t="n">
        <x:f>SUM(XLOOKUP('포켓몬_편집'!$AF896:$AN896,'분류_규칙'!$A$5:$A$76,'분류_규칙'!$N$5:$N$76,0))</x:f>
        <x:v>0</x:v>
      </x:c>
      <x:c r="O896" s="10" t="n">
        <x:f>SUM(XLOOKUP('포켓몬_편집'!$AF896:$AN896,'분류_규칙'!$A$5:$A$76,'분류_규칙'!$O$5:$O$76,0))</x:f>
        <x:v>2</x:v>
      </x:c>
      <x:c r="P896" s="10" t="n">
        <x:f>SUM(XLOOKUP('포켓몬_편집'!$AF896:$AN896,'분류_규칙'!$A$5:$A$76,'분류_규칙'!$P$5:$P$76,0))</x:f>
        <x:v>0</x:v>
      </x:c>
    </x:row>
    <x:row r="897" ht="22" customHeight="1">
      <x:c r="A897" s="5" t="n">
        <x:v>893</x:v>
      </x:c>
      <x:c r="B897" s="5" t="inlineStr">
        <x:is>
          <x:t xml:space="preserve">자루도</x:t>
        </x:is>
      </x:c>
      <x:c r="C897" s="5" t="inlineStr">
        <x:is>
          <x:t xml:space="preserve">zarude</x:t>
        </x:is>
      </x:c>
      <x:c r="D897" s="5" t="n">
        <x:v>8</x:v>
      </x:c>
      <x:c r="E897" s="10" t="n">
        <x:f>SUM(XLOOKUP('포켓몬_편집'!$AF897:$AN897,'분류_규칙'!$A$5:$A$76,'분류_규칙'!$E$5:$E$76,0))</x:f>
        <x:v>10</x:v>
      </x:c>
      <x:c r="F897" s="10" t="n">
        <x:f>SUM(XLOOKUP('포켓몬_편집'!$AF897:$AN897,'분류_규칙'!$A$5:$A$76,'분류_규칙'!$F$5:$F$76,0))</x:f>
        <x:v>7</x:v>
      </x:c>
      <x:c r="G897" s="10" t="n">
        <x:f>SUM(XLOOKUP('포켓몬_편집'!$AF897:$AN897,'분류_규칙'!$A$5:$A$76,'분류_규칙'!$G$5:$G$76,0))</x:f>
        <x:v>5</x:v>
      </x:c>
      <x:c r="H897" s="10" t="n">
        <x:f>SUM(XLOOKUP('포켓몬_편집'!$AF897:$AN897,'분류_규칙'!$A$5:$A$76,'분류_규칙'!$H$5:$H$76,0))</x:f>
        <x:v>5</x:v>
      </x:c>
      <x:c r="I897" s="10" t="n">
        <x:f>SUM(XLOOKUP('포켓몬_편집'!$AF897:$AN897,'분류_규칙'!$A$5:$A$76,'분류_규칙'!$I$5:$I$76,0))</x:f>
        <x:v>0</x:v>
      </x:c>
      <x:c r="J897" s="10" t="n">
        <x:f>SUM(XLOOKUP('포켓몬_편집'!$AF897:$AN897,'분류_규칙'!$A$5:$A$76,'분류_규칙'!$J$5:$J$76,0))</x:f>
        <x:v>2</x:v>
      </x:c>
      <x:c r="K897" s="10" t="n">
        <x:f>SUM(XLOOKUP('포켓몬_편집'!$AF897:$AN897,'분류_규칙'!$A$5:$A$76,'분류_규칙'!$K$5:$K$76,0))</x:f>
        <x:v>0</x:v>
      </x:c>
      <x:c r="L897" s="10" t="n">
        <x:f>SUM(XLOOKUP('포켓몬_편집'!$AF897:$AN897,'분류_규칙'!$A$5:$A$76,'분류_규칙'!$L$5:$L$76,0))</x:f>
        <x:v>0</x:v>
      </x:c>
      <x:c r="M897" s="10" t="n">
        <x:f>SUM(XLOOKUP('포켓몬_편집'!$AF897:$AN897,'분류_규칙'!$A$5:$A$76,'분류_규칙'!$M$5:$M$76,0))</x:f>
        <x:v>0</x:v>
      </x:c>
      <x:c r="N897" s="10" t="n">
        <x:f>SUM(XLOOKUP('포켓몬_편집'!$AF897:$AN897,'분류_규칙'!$A$5:$A$76,'분류_규칙'!$N$5:$N$76,0))</x:f>
        <x:v>0</x:v>
      </x:c>
      <x:c r="O897" s="10" t="n">
        <x:f>SUM(XLOOKUP('포켓몬_편집'!$AF897:$AN897,'분류_규칙'!$A$5:$A$76,'분류_규칙'!$O$5:$O$76,0))</x:f>
        <x:v>2</x:v>
      </x:c>
      <x:c r="P897" s="10" t="n">
        <x:f>SUM(XLOOKUP('포켓몬_편집'!$AF897:$AN897,'분류_규칙'!$A$5:$A$76,'분류_규칙'!$P$5:$P$76,0))</x:f>
        <x:v>0</x:v>
      </x:c>
    </x:row>
    <x:row r="898" ht="22" customHeight="1">
      <x:c r="A898" s="5" t="n">
        <x:v>894</x:v>
      </x:c>
      <x:c r="B898" s="5" t="inlineStr">
        <x:is>
          <x:t xml:space="preserve">레지에레키</x:t>
        </x:is>
      </x:c>
      <x:c r="C898" s="5" t="inlineStr">
        <x:is>
          <x:t xml:space="preserve">regieleki</x:t>
        </x:is>
      </x:c>
      <x:c r="D898" s="5" t="n">
        <x:v>8</x:v>
      </x:c>
      <x:c r="E898" s="10" t="n">
        <x:f>SUM(XLOOKUP('포켓몬_편집'!$AF898:$AN898,'분류_규칙'!$A$5:$A$76,'분류_규칙'!$E$5:$E$76,0))</x:f>
        <x:v>8</x:v>
      </x:c>
      <x:c r="F898" s="10" t="n">
        <x:f>SUM(XLOOKUP('포켓몬_편집'!$AF898:$AN898,'분류_규칙'!$A$5:$A$76,'분류_규칙'!$F$5:$F$76,0))</x:f>
        <x:v>8</x:v>
      </x:c>
      <x:c r="G898" s="10" t="n">
        <x:f>SUM(XLOOKUP('포켓몬_편집'!$AF898:$AN898,'분류_규칙'!$A$5:$A$76,'분류_규칙'!$G$5:$G$76,0))</x:f>
        <x:v>0</x:v>
      </x:c>
      <x:c r="H898" s="10" t="n">
        <x:f>SUM(XLOOKUP('포켓몬_편집'!$AF898:$AN898,'분류_규칙'!$A$5:$A$76,'분류_규칙'!$H$5:$H$76,0))</x:f>
        <x:v>12</x:v>
      </x:c>
      <x:c r="I898" s="10" t="n">
        <x:f>SUM(XLOOKUP('포켓몬_편집'!$AF898:$AN898,'분류_규칙'!$A$5:$A$76,'분류_규칙'!$I$5:$I$76,0))</x:f>
        <x:v>0</x:v>
      </x:c>
      <x:c r="J898" s="10" t="n">
        <x:f>SUM(XLOOKUP('포켓몬_편집'!$AF898:$AN898,'분류_규칙'!$A$5:$A$76,'분류_규칙'!$J$5:$J$76,0))</x:f>
        <x:v>0</x:v>
      </x:c>
      <x:c r="K898" s="10" t="n">
        <x:f>SUM(XLOOKUP('포켓몬_편집'!$AF898:$AN898,'분류_규칙'!$A$5:$A$76,'분류_규칙'!$K$5:$K$76,0))</x:f>
        <x:v>0</x:v>
      </x:c>
      <x:c r="L898" s="10" t="n">
        <x:f>SUM(XLOOKUP('포켓몬_편집'!$AF898:$AN898,'분류_규칙'!$A$5:$A$76,'분류_규칙'!$L$5:$L$76,0))</x:f>
        <x:v>3</x:v>
      </x:c>
      <x:c r="M898" s="10" t="n">
        <x:f>SUM(XLOOKUP('포켓몬_편집'!$AF898:$AN898,'분류_규칙'!$A$5:$A$76,'분류_규칙'!$M$5:$M$76,0))</x:f>
        <x:v>0</x:v>
      </x:c>
      <x:c r="N898" s="10" t="n">
        <x:f>SUM(XLOOKUP('포켓몬_편집'!$AF898:$AN898,'분류_규칙'!$A$5:$A$76,'분류_규칙'!$N$5:$N$76,0))</x:f>
        <x:v>0</x:v>
      </x:c>
      <x:c r="O898" s="10" t="n">
        <x:f>SUM(XLOOKUP('포켓몬_편집'!$AF898:$AN898,'분류_규칙'!$A$5:$A$76,'분류_규칙'!$O$5:$O$76,0))</x:f>
        <x:v>2</x:v>
      </x:c>
      <x:c r="P898" s="10" t="n">
        <x:f>SUM(XLOOKUP('포켓몬_편집'!$AF898:$AN898,'분류_규칙'!$A$5:$A$76,'분류_규칙'!$P$5:$P$76,0))</x:f>
        <x:v>0</x:v>
      </x:c>
    </x:row>
    <x:row r="899" ht="22" customHeight="1">
      <x:c r="A899" s="5" t="n">
        <x:v>895</x:v>
      </x:c>
      <x:c r="B899" s="5" t="inlineStr">
        <x:is>
          <x:t xml:space="preserve">레지드래고</x:t>
        </x:is>
      </x:c>
      <x:c r="C899" s="5" t="inlineStr">
        <x:is>
          <x:t xml:space="preserve">regidrago</x:t>
        </x:is>
      </x:c>
      <x:c r="D899" s="5" t="n">
        <x:v>8</x:v>
      </x:c>
      <x:c r="E899" s="10" t="n">
        <x:f>SUM(XLOOKUP('포켓몬_편집'!$AF899:$AN899,'분류_규칙'!$A$5:$A$76,'분류_규칙'!$E$5:$E$76,0))</x:f>
        <x:v>8</x:v>
      </x:c>
      <x:c r="F899" s="10" t="n">
        <x:f>SUM(XLOOKUP('포켓몬_편집'!$AF899:$AN899,'분류_규칙'!$A$5:$A$76,'분류_규칙'!$F$5:$F$76,0))</x:f>
        <x:v>8</x:v>
      </x:c>
      <x:c r="G899" s="10" t="n">
        <x:f>SUM(XLOOKUP('포켓몬_편집'!$AF899:$AN899,'분류_규칙'!$A$5:$A$76,'분류_규칙'!$G$5:$G$76,0))</x:f>
        <x:v>0</x:v>
      </x:c>
      <x:c r="H899" s="10" t="n">
        <x:f>SUM(XLOOKUP('포켓몬_편집'!$AF899:$AN899,'분류_규칙'!$A$5:$A$76,'분류_규칙'!$H$5:$H$76,0))</x:f>
        <x:v>12</x:v>
      </x:c>
      <x:c r="I899" s="10" t="n">
        <x:f>SUM(XLOOKUP('포켓몬_편집'!$AF899:$AN899,'분류_규칙'!$A$5:$A$76,'분류_규칙'!$I$5:$I$76,0))</x:f>
        <x:v>0</x:v>
      </x:c>
      <x:c r="J899" s="10" t="n">
        <x:f>SUM(XLOOKUP('포켓몬_편집'!$AF899:$AN899,'분류_규칙'!$A$5:$A$76,'분류_규칙'!$J$5:$J$76,0))</x:f>
        <x:v>0</x:v>
      </x:c>
      <x:c r="K899" s="10" t="n">
        <x:f>SUM(XLOOKUP('포켓몬_편집'!$AF899:$AN899,'분류_규칙'!$A$5:$A$76,'분류_규칙'!$K$5:$K$76,0))</x:f>
        <x:v>0</x:v>
      </x:c>
      <x:c r="L899" s="10" t="n">
        <x:f>SUM(XLOOKUP('포켓몬_편집'!$AF899:$AN899,'분류_규칙'!$A$5:$A$76,'분류_규칙'!$L$5:$L$76,0))</x:f>
        <x:v>3</x:v>
      </x:c>
      <x:c r="M899" s="10" t="n">
        <x:f>SUM(XLOOKUP('포켓몬_편집'!$AF899:$AN899,'분류_규칙'!$A$5:$A$76,'분류_규칙'!$M$5:$M$76,0))</x:f>
        <x:v>0</x:v>
      </x:c>
      <x:c r="N899" s="10" t="n">
        <x:f>SUM(XLOOKUP('포켓몬_편집'!$AF899:$AN899,'분류_규칙'!$A$5:$A$76,'분류_규칙'!$N$5:$N$76,0))</x:f>
        <x:v>0</x:v>
      </x:c>
      <x:c r="O899" s="10" t="n">
        <x:f>SUM(XLOOKUP('포켓몬_편집'!$AF899:$AN899,'분류_규칙'!$A$5:$A$76,'분류_규칙'!$O$5:$O$76,0))</x:f>
        <x:v>2</x:v>
      </x:c>
      <x:c r="P899" s="10" t="n">
        <x:f>SUM(XLOOKUP('포켓몬_편집'!$AF899:$AN899,'분류_규칙'!$A$5:$A$76,'분류_규칙'!$P$5:$P$76,0))</x:f>
        <x:v>0</x:v>
      </x:c>
    </x:row>
    <x:row r="900" ht="22" customHeight="1">
      <x:c r="A900" s="5" t="n">
        <x:v>896</x:v>
      </x:c>
      <x:c r="B900" s="5" t="inlineStr">
        <x:is>
          <x:t xml:space="preserve">블리자포스</x:t>
        </x:is>
      </x:c>
      <x:c r="C900" s="5" t="inlineStr">
        <x:is>
          <x:t xml:space="preserve">glastrier</x:t>
        </x:is>
      </x:c>
      <x:c r="D900" s="5" t="n">
        <x:v>8</x:v>
      </x:c>
      <x:c r="E900" s="10" t="n">
        <x:f>SUM(XLOOKUP('포켓몬_편집'!$AF900:$AN900,'분류_규칙'!$A$5:$A$76,'분류_규칙'!$E$5:$E$76,0))</x:f>
        <x:v>10</x:v>
      </x:c>
      <x:c r="F900" s="10" t="n">
        <x:f>SUM(XLOOKUP('포켓몬_편집'!$AF900:$AN900,'분류_규칙'!$A$5:$A$76,'분류_규칙'!$F$5:$F$76,0))</x:f>
        <x:v>7</x:v>
      </x:c>
      <x:c r="G900" s="10" t="n">
        <x:f>SUM(XLOOKUP('포켓몬_편집'!$AF900:$AN900,'분류_규칙'!$A$5:$A$76,'분류_규칙'!$G$5:$G$76,0))</x:f>
        <x:v>5</x:v>
      </x:c>
      <x:c r="H900" s="10" t="n">
        <x:f>SUM(XLOOKUP('포켓몬_편집'!$AF900:$AN900,'분류_규칙'!$A$5:$A$76,'분류_규칙'!$H$5:$H$76,0))</x:f>
        <x:v>5</x:v>
      </x:c>
      <x:c r="I900" s="10" t="n">
        <x:f>SUM(XLOOKUP('포켓몬_편집'!$AF900:$AN900,'분류_규칙'!$A$5:$A$76,'분류_규칙'!$I$5:$I$76,0))</x:f>
        <x:v>0</x:v>
      </x:c>
      <x:c r="J900" s="10" t="n">
        <x:f>SUM(XLOOKUP('포켓몬_편집'!$AF900:$AN900,'분류_규칙'!$A$5:$A$76,'분류_규칙'!$J$5:$J$76,0))</x:f>
        <x:v>2</x:v>
      </x:c>
      <x:c r="K900" s="10" t="n">
        <x:f>SUM(XLOOKUP('포켓몬_편집'!$AF900:$AN900,'분류_규칙'!$A$5:$A$76,'분류_규칙'!$K$5:$K$76,0))</x:f>
        <x:v>0</x:v>
      </x:c>
      <x:c r="L900" s="10" t="n">
        <x:f>SUM(XLOOKUP('포켓몬_편집'!$AF900:$AN900,'분류_규칙'!$A$5:$A$76,'분류_규칙'!$L$5:$L$76,0))</x:f>
        <x:v>0</x:v>
      </x:c>
      <x:c r="M900" s="10" t="n">
        <x:f>SUM(XLOOKUP('포켓몬_편집'!$AF900:$AN900,'분류_규칙'!$A$5:$A$76,'분류_규칙'!$M$5:$M$76,0))</x:f>
        <x:v>0</x:v>
      </x:c>
      <x:c r="N900" s="10" t="n">
        <x:f>SUM(XLOOKUP('포켓몬_편집'!$AF900:$AN900,'분류_규칙'!$A$5:$A$76,'분류_규칙'!$N$5:$N$76,0))</x:f>
        <x:v>0</x:v>
      </x:c>
      <x:c r="O900" s="10" t="n">
        <x:f>SUM(XLOOKUP('포켓몬_편집'!$AF900:$AN900,'분류_규칙'!$A$5:$A$76,'분류_규칙'!$O$5:$O$76,0))</x:f>
        <x:v>2</x:v>
      </x:c>
      <x:c r="P900" s="10" t="n">
        <x:f>SUM(XLOOKUP('포켓몬_편집'!$AF900:$AN900,'분류_규칙'!$A$5:$A$76,'분류_규칙'!$P$5:$P$76,0))</x:f>
        <x:v>0</x:v>
      </x:c>
    </x:row>
    <x:row r="901" ht="22" customHeight="1">
      <x:c r="A901" s="5" t="n">
        <x:v>897</x:v>
      </x:c>
      <x:c r="B901" s="5" t="inlineStr">
        <x:is>
          <x:t xml:space="preserve">레이스포스</x:t>
        </x:is>
      </x:c>
      <x:c r="C901" s="5" t="inlineStr">
        <x:is>
          <x:t xml:space="preserve">spectrier</x:t>
        </x:is>
      </x:c>
      <x:c r="D901" s="5" t="n">
        <x:v>8</x:v>
      </x:c>
      <x:c r="E901" s="10" t="n">
        <x:f>SUM(XLOOKUP('포켓몬_편집'!$AF901:$AN901,'분류_규칙'!$A$5:$A$76,'분류_규칙'!$E$5:$E$76,0))</x:f>
        <x:v>0</x:v>
      </x:c>
      <x:c r="F901" s="10" t="n">
        <x:f>SUM(XLOOKUP('포켓몬_편집'!$AF901:$AN901,'분류_규칙'!$A$5:$A$76,'분류_규칙'!$F$5:$F$76,0))</x:f>
        <x:v>0</x:v>
      </x:c>
      <x:c r="G901" s="10" t="n">
        <x:f>SUM(XLOOKUP('포켓몬_편집'!$AF901:$AN901,'분류_규칙'!$A$5:$A$76,'분류_규칙'!$G$5:$G$76,0))</x:f>
        <x:v>0</x:v>
      </x:c>
      <x:c r="H901" s="10" t="n">
        <x:f>SUM(XLOOKUP('포켓몬_편집'!$AF901:$AN901,'분류_규칙'!$A$5:$A$76,'분류_규칙'!$H$5:$H$76,0))</x:f>
        <x:v>0</x:v>
      </x:c>
      <x:c r="I901" s="10" t="n">
        <x:f>SUM(XLOOKUP('포켓몬_편집'!$AF901:$AN901,'분류_규칙'!$A$5:$A$76,'분류_규칙'!$I$5:$I$76,0))</x:f>
        <x:v>10</x:v>
      </x:c>
      <x:c r="J901" s="10" t="n">
        <x:f>SUM(XLOOKUP('포켓몬_편집'!$AF901:$AN901,'분류_규칙'!$A$5:$A$76,'분류_규칙'!$J$5:$J$76,0))</x:f>
        <x:v>0</x:v>
      </x:c>
      <x:c r="K901" s="10" t="n">
        <x:f>SUM(XLOOKUP('포켓몬_편집'!$AF901:$AN901,'분류_규칙'!$A$5:$A$76,'분류_규칙'!$K$5:$K$76,0))</x:f>
        <x:v>0</x:v>
      </x:c>
      <x:c r="L901" s="10" t="n">
        <x:f>SUM(XLOOKUP('포켓몬_편집'!$AF901:$AN901,'분류_규칙'!$A$5:$A$76,'분류_규칙'!$L$5:$L$76,0))</x:f>
        <x:v>0</x:v>
      </x:c>
      <x:c r="M901" s="10" t="n">
        <x:f>SUM(XLOOKUP('포켓몬_편집'!$AF901:$AN901,'분류_규칙'!$A$5:$A$76,'분류_규칙'!$M$5:$M$76,0))</x:f>
        <x:v>0</x:v>
      </x:c>
      <x:c r="N901" s="10" t="n">
        <x:f>SUM(XLOOKUP('포켓몬_편집'!$AF901:$AN901,'분류_규칙'!$A$5:$A$76,'분류_규칙'!$N$5:$N$76,0))</x:f>
        <x:v>0</x:v>
      </x:c>
      <x:c r="O901" s="10" t="n">
        <x:f>SUM(XLOOKUP('포켓몬_편집'!$AF901:$AN901,'분류_규칙'!$A$5:$A$76,'분류_규칙'!$O$5:$O$76,0))</x:f>
        <x:v>5</x:v>
      </x:c>
      <x:c r="P901" s="10" t="n">
        <x:f>SUM(XLOOKUP('포켓몬_편집'!$AF901:$AN901,'분류_규칙'!$A$5:$A$76,'분류_규칙'!$P$5:$P$76,0))</x:f>
        <x:v>25</x:v>
      </x:c>
    </x:row>
    <x:row r="902" ht="22" customHeight="1">
      <x:c r="A902" s="5" t="n">
        <x:v>898</x:v>
      </x:c>
      <x:c r="B902" s="5" t="inlineStr">
        <x:is>
          <x:t xml:space="preserve">버드렉스</x:t>
        </x:is>
      </x:c>
      <x:c r="C902" s="5" t="inlineStr">
        <x:is>
          <x:t xml:space="preserve">calyrex</x:t>
        </x:is>
      </x:c>
      <x:c r="D902" s="5" t="n">
        <x:v>8</x:v>
      </x:c>
      <x:c r="E902" s="10" t="n">
        <x:f>SUM(XLOOKUP('포켓몬_편집'!$AF902:$AN902,'분류_규칙'!$A$5:$A$76,'분류_규칙'!$E$5:$E$76,0))</x:f>
        <x:v>10</x:v>
      </x:c>
      <x:c r="F902" s="10" t="n">
        <x:f>SUM(XLOOKUP('포켓몬_편집'!$AF902:$AN902,'분류_규칙'!$A$5:$A$76,'분류_규칙'!$F$5:$F$76,0))</x:f>
        <x:v>7</x:v>
      </x:c>
      <x:c r="G902" s="10" t="n">
        <x:f>SUM(XLOOKUP('포켓몬_편집'!$AF902:$AN902,'분류_규칙'!$A$5:$A$76,'분류_규칙'!$G$5:$G$76,0))</x:f>
        <x:v>5</x:v>
      </x:c>
      <x:c r="H902" s="10" t="n">
        <x:f>SUM(XLOOKUP('포켓몬_편집'!$AF902:$AN902,'분류_규칙'!$A$5:$A$76,'분류_규칙'!$H$5:$H$76,0))</x:f>
        <x:v>5</x:v>
      </x:c>
      <x:c r="I902" s="10" t="n">
        <x:f>SUM(XLOOKUP('포켓몬_편집'!$AF902:$AN902,'분류_규칙'!$A$5:$A$76,'분류_규칙'!$I$5:$I$76,0))</x:f>
        <x:v>0</x:v>
      </x:c>
      <x:c r="J902" s="10" t="n">
        <x:f>SUM(XLOOKUP('포켓몬_편집'!$AF902:$AN902,'분류_규칙'!$A$5:$A$76,'분류_규칙'!$J$5:$J$76,0))</x:f>
        <x:v>2</x:v>
      </x:c>
      <x:c r="K902" s="10" t="n">
        <x:f>SUM(XLOOKUP('포켓몬_편집'!$AF902:$AN902,'분류_규칙'!$A$5:$A$76,'분류_규칙'!$K$5:$K$76,0))</x:f>
        <x:v>0</x:v>
      </x:c>
      <x:c r="L902" s="10" t="n">
        <x:f>SUM(XLOOKUP('포켓몬_편집'!$AF902:$AN902,'분류_규칙'!$A$5:$A$76,'분류_규칙'!$L$5:$L$76,0))</x:f>
        <x:v>0</x:v>
      </x:c>
      <x:c r="M902" s="10" t="n">
        <x:f>SUM(XLOOKUP('포켓몬_편집'!$AF902:$AN902,'분류_규칙'!$A$5:$A$76,'분류_규칙'!$M$5:$M$76,0))</x:f>
        <x:v>0</x:v>
      </x:c>
      <x:c r="N902" s="10" t="n">
        <x:f>SUM(XLOOKUP('포켓몬_편집'!$AF902:$AN902,'분류_규칙'!$A$5:$A$76,'분류_규칙'!$N$5:$N$76,0))</x:f>
        <x:v>0</x:v>
      </x:c>
      <x:c r="O902" s="10" t="n">
        <x:f>SUM(XLOOKUP('포켓몬_편집'!$AF902:$AN902,'분류_규칙'!$A$5:$A$76,'분류_규칙'!$O$5:$O$76,0))</x:f>
        <x:v>2</x:v>
      </x:c>
      <x:c r="P902" s="10" t="n">
        <x:f>SUM(XLOOKUP('포켓몬_편집'!$AF902:$AN902,'분류_규칙'!$A$5:$A$76,'분류_규칙'!$P$5:$P$76,0))</x:f>
        <x:v>0</x:v>
      </x:c>
    </x:row>
    <x:row r="903" ht="22" customHeight="1">
      <x:c r="A903" s="5" t="n">
        <x:v>899</x:v>
      </x:c>
      <x:c r="B903" s="5" t="inlineStr">
        <x:is>
          <x:t xml:space="preserve">신비록</x:t>
        </x:is>
      </x:c>
      <x:c r="C903" s="5" t="inlineStr">
        <x:is>
          <x:t xml:space="preserve">wyrdeer</x:t>
        </x:is>
      </x:c>
      <x:c r="D903" s="5" t="n">
        <x:v>8</x:v>
      </x:c>
      <x:c r="E903" s="10" t="n">
        <x:f>SUM(XLOOKUP('포켓몬_편집'!$AF903:$AN903,'분류_규칙'!$A$5:$A$76,'분류_규칙'!$E$5:$E$76,0))</x:f>
        <x:v>10</x:v>
      </x:c>
      <x:c r="F903" s="10" t="n">
        <x:f>SUM(XLOOKUP('포켓몬_편집'!$AF903:$AN903,'분류_규칙'!$A$5:$A$76,'분류_규칙'!$F$5:$F$76,0))</x:f>
        <x:v>7</x:v>
      </x:c>
      <x:c r="G903" s="10" t="n">
        <x:f>SUM(XLOOKUP('포켓몬_편집'!$AF903:$AN903,'분류_규칙'!$A$5:$A$76,'분류_규칙'!$G$5:$G$76,0))</x:f>
        <x:v>5</x:v>
      </x:c>
      <x:c r="H903" s="10" t="n">
        <x:f>SUM(XLOOKUP('포켓몬_편집'!$AF903:$AN903,'분류_규칙'!$A$5:$A$76,'분류_규칙'!$H$5:$H$76,0))</x:f>
        <x:v>5</x:v>
      </x:c>
      <x:c r="I903" s="10" t="n">
        <x:f>SUM(XLOOKUP('포켓몬_편집'!$AF903:$AN903,'분류_규칙'!$A$5:$A$76,'분류_규칙'!$I$5:$I$76,0))</x:f>
        <x:v>0</x:v>
      </x:c>
      <x:c r="J903" s="10" t="n">
        <x:f>SUM(XLOOKUP('포켓몬_편집'!$AF903:$AN903,'분류_규칙'!$A$5:$A$76,'분류_규칙'!$J$5:$J$76,0))</x:f>
        <x:v>2</x:v>
      </x:c>
      <x:c r="K903" s="10" t="n">
        <x:f>SUM(XLOOKUP('포켓몬_편집'!$AF903:$AN903,'분류_규칙'!$A$5:$A$76,'분류_규칙'!$K$5:$K$76,0))</x:f>
        <x:v>0</x:v>
      </x:c>
      <x:c r="L903" s="10" t="n">
        <x:f>SUM(XLOOKUP('포켓몬_편집'!$AF903:$AN903,'분류_규칙'!$A$5:$A$76,'분류_규칙'!$L$5:$L$76,0))</x:f>
        <x:v>0</x:v>
      </x:c>
      <x:c r="M903" s="10" t="n">
        <x:f>SUM(XLOOKUP('포켓몬_편집'!$AF903:$AN903,'분류_규칙'!$A$5:$A$76,'분류_규칙'!$M$5:$M$76,0))</x:f>
        <x:v>0</x:v>
      </x:c>
      <x:c r="N903" s="10" t="n">
        <x:f>SUM(XLOOKUP('포켓몬_편집'!$AF903:$AN903,'분류_규칙'!$A$5:$A$76,'분류_규칙'!$N$5:$N$76,0))</x:f>
        <x:v>0</x:v>
      </x:c>
      <x:c r="O903" s="10" t="n">
        <x:f>SUM(XLOOKUP('포켓몬_편집'!$AF903:$AN903,'분류_규칙'!$A$5:$A$76,'분류_규칙'!$O$5:$O$76,0))</x:f>
        <x:v>2</x:v>
      </x:c>
      <x:c r="P903" s="10" t="n">
        <x:f>SUM(XLOOKUP('포켓몬_편집'!$AF903:$AN903,'분류_규칙'!$A$5:$A$76,'분류_규칙'!$P$5:$P$76,0))</x:f>
        <x:v>0</x:v>
      </x:c>
    </x:row>
    <x:row r="904" ht="22" customHeight="1">
      <x:c r="A904" s="5" t="n">
        <x:v>900</x:v>
      </x:c>
      <x:c r="B904" s="5" t="inlineStr">
        <x:is>
          <x:t xml:space="preserve">사마자르</x:t>
        </x:is>
      </x:c>
      <x:c r="C904" s="5" t="inlineStr">
        <x:is>
          <x:t xml:space="preserve">kleavor</x:t>
        </x:is>
      </x:c>
      <x:c r="D904" s="5" t="n">
        <x:v>8</x:v>
      </x:c>
      <x:c r="E904" s="10" t="n">
        <x:f>SUM(XLOOKUP('포켓몬_편집'!$AF904:$AN904,'분류_규칙'!$A$5:$A$76,'분류_규칙'!$E$5:$E$76,0))</x:f>
        <x:v>10</x:v>
      </x:c>
      <x:c r="F904" s="10" t="n">
        <x:f>SUM(XLOOKUP('포켓몬_편집'!$AF904:$AN904,'분류_규칙'!$A$5:$A$76,'분류_규칙'!$F$5:$F$76,0))</x:f>
        <x:v>7</x:v>
      </x:c>
      <x:c r="G904" s="10" t="n">
        <x:f>SUM(XLOOKUP('포켓몬_편집'!$AF904:$AN904,'분류_규칙'!$A$5:$A$76,'분류_규칙'!$G$5:$G$76,0))</x:f>
        <x:v>5</x:v>
      </x:c>
      <x:c r="H904" s="10" t="n">
        <x:f>SUM(XLOOKUP('포켓몬_편집'!$AF904:$AN904,'분류_규칙'!$A$5:$A$76,'분류_규칙'!$H$5:$H$76,0))</x:f>
        <x:v>5</x:v>
      </x:c>
      <x:c r="I904" s="10" t="n">
        <x:f>SUM(XLOOKUP('포켓몬_편집'!$AF904:$AN904,'분류_규칙'!$A$5:$A$76,'분류_규칙'!$I$5:$I$76,0))</x:f>
        <x:v>0</x:v>
      </x:c>
      <x:c r="J904" s="10" t="n">
        <x:f>SUM(XLOOKUP('포켓몬_편집'!$AF904:$AN904,'분류_규칙'!$A$5:$A$76,'분류_규칙'!$J$5:$J$76,0))</x:f>
        <x:v>2</x:v>
      </x:c>
      <x:c r="K904" s="10" t="n">
        <x:f>SUM(XLOOKUP('포켓몬_편집'!$AF904:$AN904,'분류_규칙'!$A$5:$A$76,'분류_규칙'!$K$5:$K$76,0))</x:f>
        <x:v>0</x:v>
      </x:c>
      <x:c r="L904" s="10" t="n">
        <x:f>SUM(XLOOKUP('포켓몬_편집'!$AF904:$AN904,'분류_규칙'!$A$5:$A$76,'분류_규칙'!$L$5:$L$76,0))</x:f>
        <x:v>0</x:v>
      </x:c>
      <x:c r="M904" s="10" t="n">
        <x:f>SUM(XLOOKUP('포켓몬_편집'!$AF904:$AN904,'분류_규칙'!$A$5:$A$76,'분류_규칙'!$M$5:$M$76,0))</x:f>
        <x:v>0</x:v>
      </x:c>
      <x:c r="N904" s="10" t="n">
        <x:f>SUM(XLOOKUP('포켓몬_편집'!$AF904:$AN904,'분류_규칙'!$A$5:$A$76,'분류_규칙'!$N$5:$N$76,0))</x:f>
        <x:v>0</x:v>
      </x:c>
      <x:c r="O904" s="10" t="n">
        <x:f>SUM(XLOOKUP('포켓몬_편집'!$AF904:$AN904,'분류_규칙'!$A$5:$A$76,'분류_규칙'!$O$5:$O$76,0))</x:f>
        <x:v>2</x:v>
      </x:c>
      <x:c r="P904" s="10" t="n">
        <x:f>SUM(XLOOKUP('포켓몬_편집'!$AF904:$AN904,'분류_규칙'!$A$5:$A$76,'분류_규칙'!$P$5:$P$76,0))</x:f>
        <x:v>0</x:v>
      </x:c>
    </x:row>
    <x:row r="905" ht="22" customHeight="1">
      <x:c r="A905" s="5" t="n">
        <x:v>901</x:v>
      </x:c>
      <x:c r="B905" s="5" t="inlineStr">
        <x:is>
          <x:t xml:space="preserve">다투곰</x:t>
        </x:is>
      </x:c>
      <x:c r="C905" s="5" t="inlineStr">
        <x:is>
          <x:t xml:space="preserve">ursaluna</x:t>
        </x:is>
      </x:c>
      <x:c r="D905" s="5" t="n">
        <x:v>8</x:v>
      </x:c>
      <x:c r="E905" s="10" t="n">
        <x:f>SUM(XLOOKUP('포켓몬_편집'!$AF905:$AN905,'분류_규칙'!$A$5:$A$76,'분류_규칙'!$E$5:$E$76,0))</x:f>
        <x:v>10</x:v>
      </x:c>
      <x:c r="F905" s="10" t="n">
        <x:f>SUM(XLOOKUP('포켓몬_편집'!$AF905:$AN905,'분류_규칙'!$A$5:$A$76,'분류_규칙'!$F$5:$F$76,0))</x:f>
        <x:v>7</x:v>
      </x:c>
      <x:c r="G905" s="10" t="n">
        <x:f>SUM(XLOOKUP('포켓몬_편집'!$AF905:$AN905,'분류_규칙'!$A$5:$A$76,'분류_규칙'!$G$5:$G$76,0))</x:f>
        <x:v>5</x:v>
      </x:c>
      <x:c r="H905" s="10" t="n">
        <x:f>SUM(XLOOKUP('포켓몬_편집'!$AF905:$AN905,'분류_규칙'!$A$5:$A$76,'분류_규칙'!$H$5:$H$76,0))</x:f>
        <x:v>5</x:v>
      </x:c>
      <x:c r="I905" s="10" t="n">
        <x:f>SUM(XLOOKUP('포켓몬_편집'!$AF905:$AN905,'분류_규칙'!$A$5:$A$76,'분류_규칙'!$I$5:$I$76,0))</x:f>
        <x:v>0</x:v>
      </x:c>
      <x:c r="J905" s="10" t="n">
        <x:f>SUM(XLOOKUP('포켓몬_편집'!$AF905:$AN905,'분류_규칙'!$A$5:$A$76,'분류_규칙'!$J$5:$J$76,0))</x:f>
        <x:v>2</x:v>
      </x:c>
      <x:c r="K905" s="10" t="n">
        <x:f>SUM(XLOOKUP('포켓몬_편집'!$AF905:$AN905,'분류_규칙'!$A$5:$A$76,'분류_규칙'!$K$5:$K$76,0))</x:f>
        <x:v>0</x:v>
      </x:c>
      <x:c r="L905" s="10" t="n">
        <x:f>SUM(XLOOKUP('포켓몬_편집'!$AF905:$AN905,'분류_규칙'!$A$5:$A$76,'분류_규칙'!$L$5:$L$76,0))</x:f>
        <x:v>0</x:v>
      </x:c>
      <x:c r="M905" s="10" t="n">
        <x:f>SUM(XLOOKUP('포켓몬_편집'!$AF905:$AN905,'분류_규칙'!$A$5:$A$76,'분류_규칙'!$M$5:$M$76,0))</x:f>
        <x:v>0</x:v>
      </x:c>
      <x:c r="N905" s="10" t="n">
        <x:f>SUM(XLOOKUP('포켓몬_편집'!$AF905:$AN905,'분류_규칙'!$A$5:$A$76,'분류_규칙'!$N$5:$N$76,0))</x:f>
        <x:v>0</x:v>
      </x:c>
      <x:c r="O905" s="10" t="n">
        <x:f>SUM(XLOOKUP('포켓몬_편집'!$AF905:$AN905,'분류_규칙'!$A$5:$A$76,'분류_규칙'!$O$5:$O$76,0))</x:f>
        <x:v>2</x:v>
      </x:c>
      <x:c r="P905" s="10" t="n">
        <x:f>SUM(XLOOKUP('포켓몬_편집'!$AF905:$AN905,'분류_규칙'!$A$5:$A$76,'분류_규칙'!$P$5:$P$76,0))</x:f>
        <x:v>0</x:v>
      </x:c>
    </x:row>
    <x:row r="906" ht="22" customHeight="1">
      <x:c r="A906" s="5" t="n">
        <x:v>902</x:v>
      </x:c>
      <x:c r="B906" s="5" t="inlineStr">
        <x:is>
          <x:t xml:space="preserve">대쓰여너</x:t>
        </x:is>
      </x:c>
      <x:c r="C906" s="5" t="inlineStr">
        <x:is>
          <x:t xml:space="preserve">basculegion</x:t>
        </x:is>
      </x:c>
      <x:c r="D906" s="5" t="n">
        <x:v>8</x:v>
      </x:c>
      <x:c r="E906" s="10" t="n">
        <x:f>SUM(XLOOKUP('포켓몬_편집'!$AF906:$AN906,'분류_규칙'!$A$5:$A$76,'분류_규칙'!$E$5:$E$76,0))</x:f>
        <x:v>0</x:v>
      </x:c>
      <x:c r="F906" s="10" t="n">
        <x:f>SUM(XLOOKUP('포켓몬_편집'!$AF906:$AN906,'분류_규칙'!$A$5:$A$76,'분류_규칙'!$F$5:$F$76,0))</x:f>
        <x:v>0</x:v>
      </x:c>
      <x:c r="G906" s="10" t="n">
        <x:f>SUM(XLOOKUP('포켓몬_편집'!$AF906:$AN906,'분류_규칙'!$A$5:$A$76,'분류_규칙'!$G$5:$G$76,0))</x:f>
        <x:v>0</x:v>
      </x:c>
      <x:c r="H906" s="10" t="n">
        <x:f>SUM(XLOOKUP('포켓몬_편집'!$AF906:$AN906,'분류_규칙'!$A$5:$A$76,'분류_규칙'!$H$5:$H$76,0))</x:f>
        <x:v>0</x:v>
      </x:c>
      <x:c r="I906" s="10" t="n">
        <x:f>SUM(XLOOKUP('포켓몬_편집'!$AF906:$AN906,'분류_규칙'!$A$5:$A$76,'분류_규칙'!$I$5:$I$76,0))</x:f>
        <x:v>0</x:v>
      </x:c>
      <x:c r="J906" s="10" t="n">
        <x:f>SUM(XLOOKUP('포켓몬_편집'!$AF906:$AN906,'분류_규칙'!$A$5:$A$76,'분류_규칙'!$J$5:$J$76,0))</x:f>
        <x:v>12</x:v>
      </x:c>
      <x:c r="K906" s="10" t="n">
        <x:f>SUM(XLOOKUP('포켓몬_편집'!$AF906:$AN906,'분류_규칙'!$A$5:$A$76,'분류_규칙'!$K$5:$K$76,0))</x:f>
        <x:v>30</x:v>
      </x:c>
      <x:c r="L906" s="10" t="n">
        <x:f>SUM(XLOOKUP('포켓몬_편집'!$AF906:$AN906,'분류_규칙'!$A$5:$A$76,'분류_규칙'!$L$5:$L$76,0))</x:f>
        <x:v>0</x:v>
      </x:c>
      <x:c r="M906" s="10" t="n">
        <x:f>SUM(XLOOKUP('포켓몬_편집'!$AF906:$AN906,'분류_규칙'!$A$5:$A$76,'분류_규칙'!$M$5:$M$76,0))</x:f>
        <x:v>0</x:v>
      </x:c>
      <x:c r="N906" s="10" t="n">
        <x:f>SUM(XLOOKUP('포켓몬_편집'!$AF906:$AN906,'분류_규칙'!$A$5:$A$76,'분류_규칙'!$N$5:$N$76,0))</x:f>
        <x:v>0</x:v>
      </x:c>
      <x:c r="O906" s="10" t="n">
        <x:f>SUM(XLOOKUP('포켓몬_편집'!$AF906:$AN906,'분류_규칙'!$A$5:$A$76,'분류_규칙'!$O$5:$O$76,0))</x:f>
        <x:v>0</x:v>
      </x:c>
      <x:c r="P906" s="10" t="n">
        <x:f>SUM(XLOOKUP('포켓몬_편집'!$AF906:$AN906,'분류_규칙'!$A$5:$A$76,'분류_규칙'!$P$5:$P$76,0))</x:f>
        <x:v>0</x:v>
      </x:c>
    </x:row>
    <x:row r="907" ht="22" customHeight="1">
      <x:c r="A907" s="5" t="n">
        <x:v>903</x:v>
      </x:c>
      <x:c r="B907" s="5" t="inlineStr">
        <x:is>
          <x:t xml:space="preserve">포푸니크</x:t>
        </x:is>
      </x:c>
      <x:c r="C907" s="5" t="inlineStr">
        <x:is>
          <x:t xml:space="preserve">sneasler</x:t>
        </x:is>
      </x:c>
      <x:c r="D907" s="5" t="n">
        <x:v>8</x:v>
      </x:c>
      <x:c r="E907" s="10" t="n">
        <x:f>SUM(XLOOKUP('포켓몬_편집'!$AF907:$AN907,'분류_규칙'!$A$5:$A$76,'분류_규칙'!$E$5:$E$76,0))</x:f>
        <x:v>10</x:v>
      </x:c>
      <x:c r="F907" s="10" t="n">
        <x:f>SUM(XLOOKUP('포켓몬_편집'!$AF907:$AN907,'분류_규칙'!$A$5:$A$76,'분류_규칙'!$F$5:$F$76,0))</x:f>
        <x:v>7</x:v>
      </x:c>
      <x:c r="G907" s="10" t="n">
        <x:f>SUM(XLOOKUP('포켓몬_편집'!$AF907:$AN907,'분류_규칙'!$A$5:$A$76,'분류_규칙'!$G$5:$G$76,0))</x:f>
        <x:v>5</x:v>
      </x:c>
      <x:c r="H907" s="10" t="n">
        <x:f>SUM(XLOOKUP('포켓몬_편집'!$AF907:$AN907,'분류_규칙'!$A$5:$A$76,'분류_규칙'!$H$5:$H$76,0))</x:f>
        <x:v>5</x:v>
      </x:c>
      <x:c r="I907" s="10" t="n">
        <x:f>SUM(XLOOKUP('포켓몬_편집'!$AF907:$AN907,'분류_규칙'!$A$5:$A$76,'분류_규칙'!$I$5:$I$76,0))</x:f>
        <x:v>0</x:v>
      </x:c>
      <x:c r="J907" s="10" t="n">
        <x:f>SUM(XLOOKUP('포켓몬_편집'!$AF907:$AN907,'분류_규칙'!$A$5:$A$76,'분류_규칙'!$J$5:$J$76,0))</x:f>
        <x:v>2</x:v>
      </x:c>
      <x:c r="K907" s="10" t="n">
        <x:f>SUM(XLOOKUP('포켓몬_편집'!$AF907:$AN907,'분류_규칙'!$A$5:$A$76,'분류_규칙'!$K$5:$K$76,0))</x:f>
        <x:v>0</x:v>
      </x:c>
      <x:c r="L907" s="10" t="n">
        <x:f>SUM(XLOOKUP('포켓몬_편집'!$AF907:$AN907,'분류_규칙'!$A$5:$A$76,'분류_규칙'!$L$5:$L$76,0))</x:f>
        <x:v>0</x:v>
      </x:c>
      <x:c r="M907" s="10" t="n">
        <x:f>SUM(XLOOKUP('포켓몬_편집'!$AF907:$AN907,'분류_규칙'!$A$5:$A$76,'분류_규칙'!$M$5:$M$76,0))</x:f>
        <x:v>0</x:v>
      </x:c>
      <x:c r="N907" s="10" t="n">
        <x:f>SUM(XLOOKUP('포켓몬_편집'!$AF907:$AN907,'분류_규칙'!$A$5:$A$76,'분류_규칙'!$N$5:$N$76,0))</x:f>
        <x:v>0</x:v>
      </x:c>
      <x:c r="O907" s="10" t="n">
        <x:f>SUM(XLOOKUP('포켓몬_편집'!$AF907:$AN907,'분류_규칙'!$A$5:$A$76,'분류_규칙'!$O$5:$O$76,0))</x:f>
        <x:v>2</x:v>
      </x:c>
      <x:c r="P907" s="10" t="n">
        <x:f>SUM(XLOOKUP('포켓몬_편집'!$AF907:$AN907,'분류_규칙'!$A$5:$A$76,'분류_규칙'!$P$5:$P$76,0))</x:f>
        <x:v>0</x:v>
      </x:c>
    </x:row>
    <x:row r="908" ht="22" customHeight="1">
      <x:c r="A908" s="5" t="n">
        <x:v>904</x:v>
      </x:c>
      <x:c r="B908" s="5" t="inlineStr">
        <x:is>
          <x:t xml:space="preserve">장침바루</x:t>
        </x:is>
      </x:c>
      <x:c r="C908" s="5" t="inlineStr">
        <x:is>
          <x:t xml:space="preserve">overqwil</x:t>
        </x:is>
      </x:c>
      <x:c r="D908" s="5" t="n">
        <x:v>8</x:v>
      </x:c>
      <x:c r="E908" s="10" t="n">
        <x:f>SUM(XLOOKUP('포켓몬_편집'!$AF908:$AN908,'분류_규칙'!$A$5:$A$76,'분류_규칙'!$E$5:$E$76,0))</x:f>
        <x:v>10</x:v>
      </x:c>
      <x:c r="F908" s="10" t="n">
        <x:f>SUM(XLOOKUP('포켓몬_편집'!$AF908:$AN908,'분류_규칙'!$A$5:$A$76,'분류_규칙'!$F$5:$F$76,0))</x:f>
        <x:v>7</x:v>
      </x:c>
      <x:c r="G908" s="10" t="n">
        <x:f>SUM(XLOOKUP('포켓몬_편집'!$AF908:$AN908,'분류_규칙'!$A$5:$A$76,'분류_규칙'!$G$5:$G$76,0))</x:f>
        <x:v>5</x:v>
      </x:c>
      <x:c r="H908" s="10" t="n">
        <x:f>SUM(XLOOKUP('포켓몬_편집'!$AF908:$AN908,'분류_규칙'!$A$5:$A$76,'분류_규칙'!$H$5:$H$76,0))</x:f>
        <x:v>5</x:v>
      </x:c>
      <x:c r="I908" s="10" t="n">
        <x:f>SUM(XLOOKUP('포켓몬_편집'!$AF908:$AN908,'분류_규칙'!$A$5:$A$76,'분류_규칙'!$I$5:$I$76,0))</x:f>
        <x:v>0</x:v>
      </x:c>
      <x:c r="J908" s="10" t="n">
        <x:f>SUM(XLOOKUP('포켓몬_편집'!$AF908:$AN908,'분류_규칙'!$A$5:$A$76,'분류_규칙'!$J$5:$J$76,0))</x:f>
        <x:v>2</x:v>
      </x:c>
      <x:c r="K908" s="10" t="n">
        <x:f>SUM(XLOOKUP('포켓몬_편집'!$AF908:$AN908,'분류_규칙'!$A$5:$A$76,'분류_규칙'!$K$5:$K$76,0))</x:f>
        <x:v>0</x:v>
      </x:c>
      <x:c r="L908" s="10" t="n">
        <x:f>SUM(XLOOKUP('포켓몬_편집'!$AF908:$AN908,'분류_규칙'!$A$5:$A$76,'분류_규칙'!$L$5:$L$76,0))</x:f>
        <x:v>0</x:v>
      </x:c>
      <x:c r="M908" s="10" t="n">
        <x:f>SUM(XLOOKUP('포켓몬_편집'!$AF908:$AN908,'분류_규칙'!$A$5:$A$76,'분류_규칙'!$M$5:$M$76,0))</x:f>
        <x:v>0</x:v>
      </x:c>
      <x:c r="N908" s="10" t="n">
        <x:f>SUM(XLOOKUP('포켓몬_편집'!$AF908:$AN908,'분류_규칙'!$A$5:$A$76,'분류_규칙'!$N$5:$N$76,0))</x:f>
        <x:v>0</x:v>
      </x:c>
      <x:c r="O908" s="10" t="n">
        <x:f>SUM(XLOOKUP('포켓몬_편집'!$AF908:$AN908,'분류_규칙'!$A$5:$A$76,'분류_규칙'!$O$5:$O$76,0))</x:f>
        <x:v>2</x:v>
      </x:c>
      <x:c r="P908" s="10" t="n">
        <x:f>SUM(XLOOKUP('포켓몬_편집'!$AF908:$AN908,'분류_규칙'!$A$5:$A$76,'분류_규칙'!$P$5:$P$76,0))</x:f>
        <x:v>0</x:v>
      </x:c>
    </x:row>
    <x:row r="909" ht="22" customHeight="1">
      <x:c r="A909" s="5" t="n">
        <x:v>905</x:v>
      </x:c>
      <x:c r="B909" s="5" t="inlineStr">
        <x:is>
          <x:t xml:space="preserve">러브로스</x:t>
        </x:is>
      </x:c>
      <x:c r="C909" s="5" t="inlineStr">
        <x:is>
          <x:t xml:space="preserve">enamorus</x:t>
        </x:is>
      </x:c>
      <x:c r="D909" s="5" t="n">
        <x:v>8</x:v>
      </x:c>
      <x:c r="E909" s="10" t="n">
        <x:f>SUM(XLOOKUP('포켓몬_편집'!$AF909:$AN909,'분류_규칙'!$A$5:$A$76,'분류_규칙'!$E$5:$E$76,0))</x:f>
        <x:v>8</x:v>
      </x:c>
      <x:c r="F909" s="10" t="n">
        <x:f>SUM(XLOOKUP('포켓몬_편집'!$AF909:$AN909,'분류_규칙'!$A$5:$A$76,'분류_규칙'!$F$5:$F$76,0))</x:f>
        <x:v>8</x:v>
      </x:c>
      <x:c r="G909" s="10" t="n">
        <x:f>SUM(XLOOKUP('포켓몬_편집'!$AF909:$AN909,'분류_규칙'!$A$5:$A$76,'분류_규칙'!$G$5:$G$76,0))</x:f>
        <x:v>0</x:v>
      </x:c>
      <x:c r="H909" s="10" t="n">
        <x:f>SUM(XLOOKUP('포켓몬_편집'!$AF909:$AN909,'분류_규칙'!$A$5:$A$76,'분류_규칙'!$H$5:$H$76,0))</x:f>
        <x:v>12</x:v>
      </x:c>
      <x:c r="I909" s="10" t="n">
        <x:f>SUM(XLOOKUP('포켓몬_편집'!$AF909:$AN909,'분류_규칙'!$A$5:$A$76,'분류_규칙'!$I$5:$I$76,0))</x:f>
        <x:v>0</x:v>
      </x:c>
      <x:c r="J909" s="10" t="n">
        <x:f>SUM(XLOOKUP('포켓몬_편집'!$AF909:$AN909,'분류_규칙'!$A$5:$A$76,'분류_규칙'!$J$5:$J$76,0))</x:f>
        <x:v>0</x:v>
      </x:c>
      <x:c r="K909" s="10" t="n">
        <x:f>SUM(XLOOKUP('포켓몬_편집'!$AF909:$AN909,'분류_규칙'!$A$5:$A$76,'분류_규칙'!$K$5:$K$76,0))</x:f>
        <x:v>0</x:v>
      </x:c>
      <x:c r="L909" s="10" t="n">
        <x:f>SUM(XLOOKUP('포켓몬_편집'!$AF909:$AN909,'분류_규칙'!$A$5:$A$76,'분류_규칙'!$L$5:$L$76,0))</x:f>
        <x:v>3</x:v>
      </x:c>
      <x:c r="M909" s="10" t="n">
        <x:f>SUM(XLOOKUP('포켓몬_편집'!$AF909:$AN909,'분류_규칙'!$A$5:$A$76,'분류_규칙'!$M$5:$M$76,0))</x:f>
        <x:v>0</x:v>
      </x:c>
      <x:c r="N909" s="10" t="n">
        <x:f>SUM(XLOOKUP('포켓몬_편집'!$AF909:$AN909,'분류_규칙'!$A$5:$A$76,'분류_규칙'!$N$5:$N$76,0))</x:f>
        <x:v>0</x:v>
      </x:c>
      <x:c r="O909" s="10" t="n">
        <x:f>SUM(XLOOKUP('포켓몬_편집'!$AF909:$AN909,'분류_규칙'!$A$5:$A$76,'분류_규칙'!$O$5:$O$76,0))</x:f>
        <x:v>2</x:v>
      </x:c>
      <x:c r="P909" s="10" t="n">
        <x:f>SUM(XLOOKUP('포켓몬_편집'!$AF909:$AN909,'분류_규칙'!$A$5:$A$76,'분류_규칙'!$P$5:$P$76,0))</x:f>
        <x:v>0</x:v>
      </x:c>
    </x:row>
    <x:row r="910" ht="22" customHeight="1">
      <x:c r="A910" s="5" t="n">
        <x:v>906</x:v>
      </x:c>
      <x:c r="B910" s="5" t="inlineStr">
        <x:is>
          <x:t xml:space="preserve">나오하</x:t>
        </x:is>
      </x:c>
      <x:c r="C910" s="5" t="inlineStr">
        <x:is>
          <x:t xml:space="preserve">sprigatito</x:t>
        </x:is>
      </x:c>
      <x:c r="D910" s="5" t="n">
        <x:v>9</x:v>
      </x:c>
      <x:c r="E910" s="10" t="n">
        <x:f>SUM(XLOOKUP('포켓몬_편집'!$AF910:$AN910,'분류_규칙'!$A$5:$A$76,'분류_규칙'!$E$5:$E$76,0))</x:f>
        <x:v>10</x:v>
      </x:c>
      <x:c r="F910" s="10" t="n">
        <x:f>SUM(XLOOKUP('포켓몬_편집'!$AF910:$AN910,'분류_규칙'!$A$5:$A$76,'분류_규칙'!$F$5:$F$76,0))</x:f>
        <x:v>7</x:v>
      </x:c>
      <x:c r="G910" s="10" t="n">
        <x:f>SUM(XLOOKUP('포켓몬_편집'!$AF910:$AN910,'분류_규칙'!$A$5:$A$76,'분류_규칙'!$G$5:$G$76,0))</x:f>
        <x:v>5</x:v>
      </x:c>
      <x:c r="H910" s="10" t="n">
        <x:f>SUM(XLOOKUP('포켓몬_편집'!$AF910:$AN910,'분류_규칙'!$A$5:$A$76,'분류_규칙'!$H$5:$H$76,0))</x:f>
        <x:v>5</x:v>
      </x:c>
      <x:c r="I910" s="10" t="n">
        <x:f>SUM(XLOOKUP('포켓몬_편집'!$AF910:$AN910,'분류_규칙'!$A$5:$A$76,'분류_규칙'!$I$5:$I$76,0))</x:f>
        <x:v>0</x:v>
      </x:c>
      <x:c r="J910" s="10" t="n">
        <x:f>SUM(XLOOKUP('포켓몬_편집'!$AF910:$AN910,'분류_규칙'!$A$5:$A$76,'분류_규칙'!$J$5:$J$76,0))</x:f>
        <x:v>2</x:v>
      </x:c>
      <x:c r="K910" s="10" t="n">
        <x:f>SUM(XLOOKUP('포켓몬_편집'!$AF910:$AN910,'분류_규칙'!$A$5:$A$76,'분류_규칙'!$K$5:$K$76,0))</x:f>
        <x:v>0</x:v>
      </x:c>
      <x:c r="L910" s="10" t="n">
        <x:f>SUM(XLOOKUP('포켓몬_편집'!$AF910:$AN910,'분류_규칙'!$A$5:$A$76,'분류_규칙'!$L$5:$L$76,0))</x:f>
        <x:v>0</x:v>
      </x:c>
      <x:c r="M910" s="10" t="n">
        <x:f>SUM(XLOOKUP('포켓몬_편집'!$AF910:$AN910,'분류_규칙'!$A$5:$A$76,'분류_규칙'!$M$5:$M$76,0))</x:f>
        <x:v>0</x:v>
      </x:c>
      <x:c r="N910" s="10" t="n">
        <x:f>SUM(XLOOKUP('포켓몬_편집'!$AF910:$AN910,'분류_규칙'!$A$5:$A$76,'분류_규칙'!$N$5:$N$76,0))</x:f>
        <x:v>0</x:v>
      </x:c>
      <x:c r="O910" s="10" t="n">
        <x:f>SUM(XLOOKUP('포켓몬_편집'!$AF910:$AN910,'분류_규칙'!$A$5:$A$76,'분류_규칙'!$O$5:$O$76,0))</x:f>
        <x:v>2</x:v>
      </x:c>
      <x:c r="P910" s="10" t="n">
        <x:f>SUM(XLOOKUP('포켓몬_편집'!$AF910:$AN910,'분류_규칙'!$A$5:$A$76,'분류_규칙'!$P$5:$P$76,0))</x:f>
        <x:v>0</x:v>
      </x:c>
    </x:row>
    <x:row r="911" ht="22" customHeight="1">
      <x:c r="A911" s="5" t="n">
        <x:v>907</x:v>
      </x:c>
      <x:c r="B911" s="5" t="inlineStr">
        <x:is>
          <x:t xml:space="preserve">나로테</x:t>
        </x:is>
      </x:c>
      <x:c r="C911" s="5" t="inlineStr">
        <x:is>
          <x:t xml:space="preserve">floragato</x:t>
        </x:is>
      </x:c>
      <x:c r="D911" s="5" t="n">
        <x:v>9</x:v>
      </x:c>
      <x:c r="E911" s="10" t="n">
        <x:f>SUM(XLOOKUP('포켓몬_편집'!$AF911:$AN911,'분류_규칙'!$A$5:$A$76,'분류_규칙'!$E$5:$E$76,0))</x:f>
        <x:v>10</x:v>
      </x:c>
      <x:c r="F911" s="10" t="n">
        <x:f>SUM(XLOOKUP('포켓몬_편집'!$AF911:$AN911,'분류_규칙'!$A$5:$A$76,'분류_규칙'!$F$5:$F$76,0))</x:f>
        <x:v>7</x:v>
      </x:c>
      <x:c r="G911" s="10" t="n">
        <x:f>SUM(XLOOKUP('포켓몬_편집'!$AF911:$AN911,'분류_규칙'!$A$5:$A$76,'분류_규칙'!$G$5:$G$76,0))</x:f>
        <x:v>5</x:v>
      </x:c>
      <x:c r="H911" s="10" t="n">
        <x:f>SUM(XLOOKUP('포켓몬_편집'!$AF911:$AN911,'분류_규칙'!$A$5:$A$76,'분류_규칙'!$H$5:$H$76,0))</x:f>
        <x:v>5</x:v>
      </x:c>
      <x:c r="I911" s="10" t="n">
        <x:f>SUM(XLOOKUP('포켓몬_편집'!$AF911:$AN911,'분류_규칙'!$A$5:$A$76,'분류_규칙'!$I$5:$I$76,0))</x:f>
        <x:v>0</x:v>
      </x:c>
      <x:c r="J911" s="10" t="n">
        <x:f>SUM(XLOOKUP('포켓몬_편집'!$AF911:$AN911,'분류_규칙'!$A$5:$A$76,'분류_규칙'!$J$5:$J$76,0))</x:f>
        <x:v>2</x:v>
      </x:c>
      <x:c r="K911" s="10" t="n">
        <x:f>SUM(XLOOKUP('포켓몬_편집'!$AF911:$AN911,'분류_규칙'!$A$5:$A$76,'분류_규칙'!$K$5:$K$76,0))</x:f>
        <x:v>0</x:v>
      </x:c>
      <x:c r="L911" s="10" t="n">
        <x:f>SUM(XLOOKUP('포켓몬_편집'!$AF911:$AN911,'분류_규칙'!$A$5:$A$76,'분류_규칙'!$L$5:$L$76,0))</x:f>
        <x:v>0</x:v>
      </x:c>
      <x:c r="M911" s="10" t="n">
        <x:f>SUM(XLOOKUP('포켓몬_편집'!$AF911:$AN911,'분류_규칙'!$A$5:$A$76,'분류_규칙'!$M$5:$M$76,0))</x:f>
        <x:v>0</x:v>
      </x:c>
      <x:c r="N911" s="10" t="n">
        <x:f>SUM(XLOOKUP('포켓몬_편집'!$AF911:$AN911,'분류_규칙'!$A$5:$A$76,'분류_규칙'!$N$5:$N$76,0))</x:f>
        <x:v>0</x:v>
      </x:c>
      <x:c r="O911" s="10" t="n">
        <x:f>SUM(XLOOKUP('포켓몬_편집'!$AF911:$AN911,'분류_규칙'!$A$5:$A$76,'분류_규칙'!$O$5:$O$76,0))</x:f>
        <x:v>2</x:v>
      </x:c>
      <x:c r="P911" s="10" t="n">
        <x:f>SUM(XLOOKUP('포켓몬_편집'!$AF911:$AN911,'분류_규칙'!$A$5:$A$76,'분류_규칙'!$P$5:$P$76,0))</x:f>
        <x:v>0</x:v>
      </x:c>
    </x:row>
    <x:row r="912" ht="22" customHeight="1">
      <x:c r="A912" s="5" t="n">
        <x:v>908</x:v>
      </x:c>
      <x:c r="B912" s="5" t="inlineStr">
        <x:is>
          <x:t xml:space="preserve">마스카나</x:t>
        </x:is>
      </x:c>
      <x:c r="C912" s="5" t="inlineStr">
        <x:is>
          <x:t xml:space="preserve">meowscarada</x:t>
        </x:is>
      </x:c>
      <x:c r="D912" s="5" t="n">
        <x:v>9</x:v>
      </x:c>
      <x:c r="E912" s="10" t="n">
        <x:f>SUM(XLOOKUP('포켓몬_편집'!$AF912:$AN912,'분류_규칙'!$A$5:$A$76,'분류_규칙'!$E$5:$E$76,0))</x:f>
        <x:v>10</x:v>
      </x:c>
      <x:c r="F912" s="10" t="n">
        <x:f>SUM(XLOOKUP('포켓몬_편집'!$AF912:$AN912,'분류_규칙'!$A$5:$A$76,'분류_규칙'!$F$5:$F$76,0))</x:f>
        <x:v>7</x:v>
      </x:c>
      <x:c r="G912" s="10" t="n">
        <x:f>SUM(XLOOKUP('포켓몬_편집'!$AF912:$AN912,'분류_규칙'!$A$5:$A$76,'분류_규칙'!$G$5:$G$76,0))</x:f>
        <x:v>5</x:v>
      </x:c>
      <x:c r="H912" s="10" t="n">
        <x:f>SUM(XLOOKUP('포켓몬_편집'!$AF912:$AN912,'분류_규칙'!$A$5:$A$76,'분류_규칙'!$H$5:$H$76,0))</x:f>
        <x:v>5</x:v>
      </x:c>
      <x:c r="I912" s="10" t="n">
        <x:f>SUM(XLOOKUP('포켓몬_편집'!$AF912:$AN912,'분류_규칙'!$A$5:$A$76,'분류_규칙'!$I$5:$I$76,0))</x:f>
        <x:v>0</x:v>
      </x:c>
      <x:c r="J912" s="10" t="n">
        <x:f>SUM(XLOOKUP('포켓몬_편집'!$AF912:$AN912,'분류_규칙'!$A$5:$A$76,'분류_규칙'!$J$5:$J$76,0))</x:f>
        <x:v>2</x:v>
      </x:c>
      <x:c r="K912" s="10" t="n">
        <x:f>SUM(XLOOKUP('포켓몬_편집'!$AF912:$AN912,'분류_규칙'!$A$5:$A$76,'분류_규칙'!$K$5:$K$76,0))</x:f>
        <x:v>0</x:v>
      </x:c>
      <x:c r="L912" s="10" t="n">
        <x:f>SUM(XLOOKUP('포켓몬_편집'!$AF912:$AN912,'분류_규칙'!$A$5:$A$76,'분류_규칙'!$L$5:$L$76,0))</x:f>
        <x:v>0</x:v>
      </x:c>
      <x:c r="M912" s="10" t="n">
        <x:f>SUM(XLOOKUP('포켓몬_편집'!$AF912:$AN912,'분류_규칙'!$A$5:$A$76,'분류_규칙'!$M$5:$M$76,0))</x:f>
        <x:v>0</x:v>
      </x:c>
      <x:c r="N912" s="10" t="n">
        <x:f>SUM(XLOOKUP('포켓몬_편집'!$AF912:$AN912,'분류_규칙'!$A$5:$A$76,'분류_규칙'!$N$5:$N$76,0))</x:f>
        <x:v>0</x:v>
      </x:c>
      <x:c r="O912" s="10" t="n">
        <x:f>SUM(XLOOKUP('포켓몬_편집'!$AF912:$AN912,'분류_규칙'!$A$5:$A$76,'분류_규칙'!$O$5:$O$76,0))</x:f>
        <x:v>2</x:v>
      </x:c>
      <x:c r="P912" s="10" t="n">
        <x:f>SUM(XLOOKUP('포켓몬_편집'!$AF912:$AN912,'분류_규칙'!$A$5:$A$76,'분류_규칙'!$P$5:$P$76,0))</x:f>
        <x:v>0</x:v>
      </x:c>
    </x:row>
    <x:row r="913" ht="22" customHeight="1">
      <x:c r="A913" s="5" t="n">
        <x:v>909</x:v>
      </x:c>
      <x:c r="B913" s="5" t="inlineStr">
        <x:is>
          <x:t xml:space="preserve">뜨아거</x:t>
        </x:is>
      </x:c>
      <x:c r="C913" s="5" t="inlineStr">
        <x:is>
          <x:t xml:space="preserve">fuecoco</x:t>
        </x:is>
      </x:c>
      <x:c r="D913" s="5" t="n">
        <x:v>9</x:v>
      </x:c>
      <x:c r="E913" s="10" t="n">
        <x:f>SUM(XLOOKUP('포켓몬_편집'!$AF913:$AN913,'분류_규칙'!$A$5:$A$76,'분류_규칙'!$E$5:$E$76,0))</x:f>
        <x:v>10</x:v>
      </x:c>
      <x:c r="F913" s="10" t="n">
        <x:f>SUM(XLOOKUP('포켓몬_편집'!$AF913:$AN913,'분류_규칙'!$A$5:$A$76,'분류_규칙'!$F$5:$F$76,0))</x:f>
        <x:v>7</x:v>
      </x:c>
      <x:c r="G913" s="10" t="n">
        <x:f>SUM(XLOOKUP('포켓몬_편집'!$AF913:$AN913,'분류_규칙'!$A$5:$A$76,'분류_규칙'!$G$5:$G$76,0))</x:f>
        <x:v>5</x:v>
      </x:c>
      <x:c r="H913" s="10" t="n">
        <x:f>SUM(XLOOKUP('포켓몬_편집'!$AF913:$AN913,'분류_규칙'!$A$5:$A$76,'분류_규칙'!$H$5:$H$76,0))</x:f>
        <x:v>5</x:v>
      </x:c>
      <x:c r="I913" s="10" t="n">
        <x:f>SUM(XLOOKUP('포켓몬_편집'!$AF913:$AN913,'분류_규칙'!$A$5:$A$76,'분류_규칙'!$I$5:$I$76,0))</x:f>
        <x:v>0</x:v>
      </x:c>
      <x:c r="J913" s="10" t="n">
        <x:f>SUM(XLOOKUP('포켓몬_편집'!$AF913:$AN913,'분류_규칙'!$A$5:$A$76,'분류_규칙'!$J$5:$J$76,0))</x:f>
        <x:v>2</x:v>
      </x:c>
      <x:c r="K913" s="10" t="n">
        <x:f>SUM(XLOOKUP('포켓몬_편집'!$AF913:$AN913,'분류_규칙'!$A$5:$A$76,'분류_규칙'!$K$5:$K$76,0))</x:f>
        <x:v>0</x:v>
      </x:c>
      <x:c r="L913" s="10" t="n">
        <x:f>SUM(XLOOKUP('포켓몬_편집'!$AF913:$AN913,'분류_규칙'!$A$5:$A$76,'분류_규칙'!$L$5:$L$76,0))</x:f>
        <x:v>0</x:v>
      </x:c>
      <x:c r="M913" s="10" t="n">
        <x:f>SUM(XLOOKUP('포켓몬_편집'!$AF913:$AN913,'분류_규칙'!$A$5:$A$76,'분류_규칙'!$M$5:$M$76,0))</x:f>
        <x:v>0</x:v>
      </x:c>
      <x:c r="N913" s="10" t="n">
        <x:f>SUM(XLOOKUP('포켓몬_편집'!$AF913:$AN913,'분류_규칙'!$A$5:$A$76,'분류_규칙'!$N$5:$N$76,0))</x:f>
        <x:v>0</x:v>
      </x:c>
      <x:c r="O913" s="10" t="n">
        <x:f>SUM(XLOOKUP('포켓몬_편집'!$AF913:$AN913,'분류_규칙'!$A$5:$A$76,'분류_규칙'!$O$5:$O$76,0))</x:f>
        <x:v>2</x:v>
      </x:c>
      <x:c r="P913" s="10" t="n">
        <x:f>SUM(XLOOKUP('포켓몬_편집'!$AF913:$AN913,'분류_규칙'!$A$5:$A$76,'분류_규칙'!$P$5:$P$76,0))</x:f>
        <x:v>0</x:v>
      </x:c>
    </x:row>
    <x:row r="914" ht="22" customHeight="1">
      <x:c r="A914" s="5" t="n">
        <x:v>910</x:v>
      </x:c>
      <x:c r="B914" s="5" t="inlineStr">
        <x:is>
          <x:t xml:space="preserve">악뜨거</x:t>
        </x:is>
      </x:c>
      <x:c r="C914" s="5" t="inlineStr">
        <x:is>
          <x:t xml:space="preserve">crocalor</x:t>
        </x:is>
      </x:c>
      <x:c r="D914" s="5" t="n">
        <x:v>9</x:v>
      </x:c>
      <x:c r="E914" s="10" t="n">
        <x:f>SUM(XLOOKUP('포켓몬_편집'!$AF914:$AN914,'분류_규칙'!$A$5:$A$76,'분류_규칙'!$E$5:$E$76,0))</x:f>
        <x:v>10</x:v>
      </x:c>
      <x:c r="F914" s="10" t="n">
        <x:f>SUM(XLOOKUP('포켓몬_편집'!$AF914:$AN914,'분류_규칙'!$A$5:$A$76,'분류_규칙'!$F$5:$F$76,0))</x:f>
        <x:v>7</x:v>
      </x:c>
      <x:c r="G914" s="10" t="n">
        <x:f>SUM(XLOOKUP('포켓몬_편집'!$AF914:$AN914,'분류_규칙'!$A$5:$A$76,'분류_규칙'!$G$5:$G$76,0))</x:f>
        <x:v>5</x:v>
      </x:c>
      <x:c r="H914" s="10" t="n">
        <x:f>SUM(XLOOKUP('포켓몬_편집'!$AF914:$AN914,'분류_규칙'!$A$5:$A$76,'분류_규칙'!$H$5:$H$76,0))</x:f>
        <x:v>5</x:v>
      </x:c>
      <x:c r="I914" s="10" t="n">
        <x:f>SUM(XLOOKUP('포켓몬_편집'!$AF914:$AN914,'분류_규칙'!$A$5:$A$76,'분류_규칙'!$I$5:$I$76,0))</x:f>
        <x:v>0</x:v>
      </x:c>
      <x:c r="J914" s="10" t="n">
        <x:f>SUM(XLOOKUP('포켓몬_편집'!$AF914:$AN914,'분류_규칙'!$A$5:$A$76,'분류_규칙'!$J$5:$J$76,0))</x:f>
        <x:v>2</x:v>
      </x:c>
      <x:c r="K914" s="10" t="n">
        <x:f>SUM(XLOOKUP('포켓몬_편집'!$AF914:$AN914,'분류_규칙'!$A$5:$A$76,'분류_규칙'!$K$5:$K$76,0))</x:f>
        <x:v>0</x:v>
      </x:c>
      <x:c r="L914" s="10" t="n">
        <x:f>SUM(XLOOKUP('포켓몬_편집'!$AF914:$AN914,'분류_규칙'!$A$5:$A$76,'분류_규칙'!$L$5:$L$76,0))</x:f>
        <x:v>0</x:v>
      </x:c>
      <x:c r="M914" s="10" t="n">
        <x:f>SUM(XLOOKUP('포켓몬_편집'!$AF914:$AN914,'분류_규칙'!$A$5:$A$76,'분류_규칙'!$M$5:$M$76,0))</x:f>
        <x:v>0</x:v>
      </x:c>
      <x:c r="N914" s="10" t="n">
        <x:f>SUM(XLOOKUP('포켓몬_편집'!$AF914:$AN914,'분류_규칙'!$A$5:$A$76,'분류_규칙'!$N$5:$N$76,0))</x:f>
        <x:v>0</x:v>
      </x:c>
      <x:c r="O914" s="10" t="n">
        <x:f>SUM(XLOOKUP('포켓몬_편집'!$AF914:$AN914,'분류_규칙'!$A$5:$A$76,'분류_규칙'!$O$5:$O$76,0))</x:f>
        <x:v>2</x:v>
      </x:c>
      <x:c r="P914" s="10" t="n">
        <x:f>SUM(XLOOKUP('포켓몬_편집'!$AF914:$AN914,'분류_규칙'!$A$5:$A$76,'분류_규칙'!$P$5:$P$76,0))</x:f>
        <x:v>0</x:v>
      </x:c>
    </x:row>
    <x:row r="915" ht="22" customHeight="1">
      <x:c r="A915" s="5" t="n">
        <x:v>911</x:v>
      </x:c>
      <x:c r="B915" s="5" t="inlineStr">
        <x:is>
          <x:t xml:space="preserve">라우드본</x:t>
        </x:is>
      </x:c>
      <x:c r="C915" s="5" t="inlineStr">
        <x:is>
          <x:t xml:space="preserve">skeledirge</x:t>
        </x:is>
      </x:c>
      <x:c r="D915" s="5" t="n">
        <x:v>9</x:v>
      </x:c>
      <x:c r="E915" s="10" t="n">
        <x:f>SUM(XLOOKUP('포켓몬_편집'!$AF915:$AN915,'분류_규칙'!$A$5:$A$76,'분류_규칙'!$E$5:$E$76,0))</x:f>
        <x:v>0</x:v>
      </x:c>
      <x:c r="F915" s="10" t="n">
        <x:f>SUM(XLOOKUP('포켓몬_편집'!$AF915:$AN915,'분류_규칙'!$A$5:$A$76,'분류_규칙'!$F$5:$F$76,0))</x:f>
        <x:v>0</x:v>
      </x:c>
      <x:c r="G915" s="10" t="n">
        <x:f>SUM(XLOOKUP('포켓몬_편집'!$AF915:$AN915,'분류_규칙'!$A$5:$A$76,'분류_규칙'!$G$5:$G$76,0))</x:f>
        <x:v>0</x:v>
      </x:c>
      <x:c r="H915" s="10" t="n">
        <x:f>SUM(XLOOKUP('포켓몬_편집'!$AF915:$AN915,'분류_규칙'!$A$5:$A$76,'분류_규칙'!$H$5:$H$76,0))</x:f>
        <x:v>0</x:v>
      </x:c>
      <x:c r="I915" s="10" t="n">
        <x:f>SUM(XLOOKUP('포켓몬_편집'!$AF915:$AN915,'분류_규칙'!$A$5:$A$76,'분류_규칙'!$I$5:$I$76,0))</x:f>
        <x:v>10</x:v>
      </x:c>
      <x:c r="J915" s="10" t="n">
        <x:f>SUM(XLOOKUP('포켓몬_편집'!$AF915:$AN915,'분류_규칙'!$A$5:$A$76,'분류_규칙'!$J$5:$J$76,0))</x:f>
        <x:v>0</x:v>
      </x:c>
      <x:c r="K915" s="10" t="n">
        <x:f>SUM(XLOOKUP('포켓몬_편집'!$AF915:$AN915,'분류_규칙'!$A$5:$A$76,'분류_규칙'!$K$5:$K$76,0))</x:f>
        <x:v>0</x:v>
      </x:c>
      <x:c r="L915" s="10" t="n">
        <x:f>SUM(XLOOKUP('포켓몬_편집'!$AF915:$AN915,'분류_규칙'!$A$5:$A$76,'분류_규칙'!$L$5:$L$76,0))</x:f>
        <x:v>0</x:v>
      </x:c>
      <x:c r="M915" s="10" t="n">
        <x:f>SUM(XLOOKUP('포켓몬_편집'!$AF915:$AN915,'분류_규칙'!$A$5:$A$76,'분류_규칙'!$M$5:$M$76,0))</x:f>
        <x:v>0</x:v>
      </x:c>
      <x:c r="N915" s="10" t="n">
        <x:f>SUM(XLOOKUP('포켓몬_편집'!$AF915:$AN915,'분류_규칙'!$A$5:$A$76,'분류_규칙'!$N$5:$N$76,0))</x:f>
        <x:v>0</x:v>
      </x:c>
      <x:c r="O915" s="10" t="n">
        <x:f>SUM(XLOOKUP('포켓몬_편집'!$AF915:$AN915,'분류_규칙'!$A$5:$A$76,'분류_규칙'!$O$5:$O$76,0))</x:f>
        <x:v>5</x:v>
      </x:c>
      <x:c r="P915" s="10" t="n">
        <x:f>SUM(XLOOKUP('포켓몬_편집'!$AF915:$AN915,'분류_규칙'!$A$5:$A$76,'분류_규칙'!$P$5:$P$76,0))</x:f>
        <x:v>25</x:v>
      </x:c>
    </x:row>
    <x:row r="916" ht="22" customHeight="1">
      <x:c r="A916" s="5" t="n">
        <x:v>912</x:v>
      </x:c>
      <x:c r="B916" s="5" t="inlineStr">
        <x:is>
          <x:t xml:space="preserve">꾸왁스</x:t>
        </x:is>
      </x:c>
      <x:c r="C916" s="5" t="inlineStr">
        <x:is>
          <x:t xml:space="preserve">quaxly</x:t>
        </x:is>
      </x:c>
      <x:c r="D916" s="5" t="n">
        <x:v>9</x:v>
      </x:c>
      <x:c r="E916" s="10" t="n">
        <x:f>SUM(XLOOKUP('포켓몬_편집'!$AF916:$AN916,'분류_규칙'!$A$5:$A$76,'분류_규칙'!$E$5:$E$76,0))</x:f>
        <x:v>0</x:v>
      </x:c>
      <x:c r="F916" s="10" t="n">
        <x:f>SUM(XLOOKUP('포켓몬_편집'!$AF916:$AN916,'분류_규칙'!$A$5:$A$76,'분류_규칙'!$F$5:$F$76,0))</x:f>
        <x:v>0</x:v>
      </x:c>
      <x:c r="G916" s="10" t="n">
        <x:f>SUM(XLOOKUP('포켓몬_편집'!$AF916:$AN916,'분류_규칙'!$A$5:$A$76,'분류_규칙'!$G$5:$G$76,0))</x:f>
        <x:v>0</x:v>
      </x:c>
      <x:c r="H916" s="10" t="n">
        <x:f>SUM(XLOOKUP('포켓몬_편집'!$AF916:$AN916,'분류_규칙'!$A$5:$A$76,'분류_규칙'!$H$5:$H$76,0))</x:f>
        <x:v>0</x:v>
      </x:c>
      <x:c r="I916" s="10" t="n">
        <x:f>SUM(XLOOKUP('포켓몬_편집'!$AF916:$AN916,'분류_규칙'!$A$5:$A$76,'분류_규칙'!$I$5:$I$76,0))</x:f>
        <x:v>0</x:v>
      </x:c>
      <x:c r="J916" s="10" t="n">
        <x:f>SUM(XLOOKUP('포켓몬_편집'!$AF916:$AN916,'분류_규칙'!$A$5:$A$76,'분류_규칙'!$J$5:$J$76,0))</x:f>
        <x:v>12</x:v>
      </x:c>
      <x:c r="K916" s="10" t="n">
        <x:f>SUM(XLOOKUP('포켓몬_편집'!$AF916:$AN916,'분류_규칙'!$A$5:$A$76,'분류_규칙'!$K$5:$K$76,0))</x:f>
        <x:v>30</x:v>
      </x:c>
      <x:c r="L916" s="10" t="n">
        <x:f>SUM(XLOOKUP('포켓몬_편집'!$AF916:$AN916,'분류_규칙'!$A$5:$A$76,'분류_규칙'!$L$5:$L$76,0))</x:f>
        <x:v>0</x:v>
      </x:c>
      <x:c r="M916" s="10" t="n">
        <x:f>SUM(XLOOKUP('포켓몬_편집'!$AF916:$AN916,'분류_규칙'!$A$5:$A$76,'분류_규칙'!$M$5:$M$76,0))</x:f>
        <x:v>0</x:v>
      </x:c>
      <x:c r="N916" s="10" t="n">
        <x:f>SUM(XLOOKUP('포켓몬_편집'!$AF916:$AN916,'분류_규칙'!$A$5:$A$76,'분류_규칙'!$N$5:$N$76,0))</x:f>
        <x:v>0</x:v>
      </x:c>
      <x:c r="O916" s="10" t="n">
        <x:f>SUM(XLOOKUP('포켓몬_편집'!$AF916:$AN916,'분류_규칙'!$A$5:$A$76,'분류_규칙'!$O$5:$O$76,0))</x:f>
        <x:v>0</x:v>
      </x:c>
      <x:c r="P916" s="10" t="n">
        <x:f>SUM(XLOOKUP('포켓몬_편집'!$AF916:$AN916,'분류_규칙'!$A$5:$A$76,'분류_규칙'!$P$5:$P$76,0))</x:f>
        <x:v>0</x:v>
      </x:c>
    </x:row>
    <x:row r="917" ht="22" customHeight="1">
      <x:c r="A917" s="5" t="n">
        <x:v>913</x:v>
      </x:c>
      <x:c r="B917" s="5" t="inlineStr">
        <x:is>
          <x:t xml:space="preserve">아꾸왁</x:t>
        </x:is>
      </x:c>
      <x:c r="C917" s="5" t="inlineStr">
        <x:is>
          <x:t xml:space="preserve">quaxwell</x:t>
        </x:is>
      </x:c>
      <x:c r="D917" s="5" t="n">
        <x:v>9</x:v>
      </x:c>
      <x:c r="E917" s="10" t="n">
        <x:f>SUM(XLOOKUP('포켓몬_편집'!$AF917:$AN917,'분류_규칙'!$A$5:$A$76,'분류_규칙'!$E$5:$E$76,0))</x:f>
        <x:v>0</x:v>
      </x:c>
      <x:c r="F917" s="10" t="n">
        <x:f>SUM(XLOOKUP('포켓몬_편집'!$AF917:$AN917,'분류_규칙'!$A$5:$A$76,'분류_규칙'!$F$5:$F$76,0))</x:f>
        <x:v>0</x:v>
      </x:c>
      <x:c r="G917" s="10" t="n">
        <x:f>SUM(XLOOKUP('포켓몬_편집'!$AF917:$AN917,'분류_규칙'!$A$5:$A$76,'분류_규칙'!$G$5:$G$76,0))</x:f>
        <x:v>0</x:v>
      </x:c>
      <x:c r="H917" s="10" t="n">
        <x:f>SUM(XLOOKUP('포켓몬_편집'!$AF917:$AN917,'분류_규칙'!$A$5:$A$76,'분류_규칙'!$H$5:$H$76,0))</x:f>
        <x:v>0</x:v>
      </x:c>
      <x:c r="I917" s="10" t="n">
        <x:f>SUM(XLOOKUP('포켓몬_편집'!$AF917:$AN917,'분류_규칙'!$A$5:$A$76,'분류_규칙'!$I$5:$I$76,0))</x:f>
        <x:v>0</x:v>
      </x:c>
      <x:c r="J917" s="10" t="n">
        <x:f>SUM(XLOOKUP('포켓몬_편집'!$AF917:$AN917,'분류_규칙'!$A$5:$A$76,'분류_규칙'!$J$5:$J$76,0))</x:f>
        <x:v>12</x:v>
      </x:c>
      <x:c r="K917" s="10" t="n">
        <x:f>SUM(XLOOKUP('포켓몬_편집'!$AF917:$AN917,'분류_규칙'!$A$5:$A$76,'분류_규칙'!$K$5:$K$76,0))</x:f>
        <x:v>30</x:v>
      </x:c>
      <x:c r="L917" s="10" t="n">
        <x:f>SUM(XLOOKUP('포켓몬_편집'!$AF917:$AN917,'분류_규칙'!$A$5:$A$76,'분류_규칙'!$L$5:$L$76,0))</x:f>
        <x:v>0</x:v>
      </x:c>
      <x:c r="M917" s="10" t="n">
        <x:f>SUM(XLOOKUP('포켓몬_편집'!$AF917:$AN917,'분류_규칙'!$A$5:$A$76,'분류_규칙'!$M$5:$M$76,0))</x:f>
        <x:v>0</x:v>
      </x:c>
      <x:c r="N917" s="10" t="n">
        <x:f>SUM(XLOOKUP('포켓몬_편집'!$AF917:$AN917,'분류_규칙'!$A$5:$A$76,'분류_규칙'!$N$5:$N$76,0))</x:f>
        <x:v>0</x:v>
      </x:c>
      <x:c r="O917" s="10" t="n">
        <x:f>SUM(XLOOKUP('포켓몬_편집'!$AF917:$AN917,'분류_규칙'!$A$5:$A$76,'분류_규칙'!$O$5:$O$76,0))</x:f>
        <x:v>0</x:v>
      </x:c>
      <x:c r="P917" s="10" t="n">
        <x:f>SUM(XLOOKUP('포켓몬_편집'!$AF917:$AN917,'분류_규칙'!$A$5:$A$76,'분류_규칙'!$P$5:$P$76,0))</x:f>
        <x:v>0</x:v>
      </x:c>
    </x:row>
    <x:row r="918" ht="22" customHeight="1">
      <x:c r="A918" s="5" t="n">
        <x:v>914</x:v>
      </x:c>
      <x:c r="B918" s="5" t="inlineStr">
        <x:is>
          <x:t xml:space="preserve">웨이니발</x:t>
        </x:is>
      </x:c>
      <x:c r="C918" s="5" t="inlineStr">
        <x:is>
          <x:t xml:space="preserve">quaquaval</x:t>
        </x:is>
      </x:c>
      <x:c r="D918" s="5" t="n">
        <x:v>9</x:v>
      </x:c>
      <x:c r="E918" s="10" t="n">
        <x:f>SUM(XLOOKUP('포켓몬_편집'!$AF918:$AN918,'분류_규칙'!$A$5:$A$76,'분류_규칙'!$E$5:$E$76,0))</x:f>
        <x:v>0</x:v>
      </x:c>
      <x:c r="F918" s="10" t="n">
        <x:f>SUM(XLOOKUP('포켓몬_편집'!$AF918:$AN918,'분류_규칙'!$A$5:$A$76,'분류_규칙'!$F$5:$F$76,0))</x:f>
        <x:v>0</x:v>
      </x:c>
      <x:c r="G918" s="10" t="n">
        <x:f>SUM(XLOOKUP('포켓몬_편집'!$AF918:$AN918,'분류_규칙'!$A$5:$A$76,'분류_규칙'!$G$5:$G$76,0))</x:f>
        <x:v>0</x:v>
      </x:c>
      <x:c r="H918" s="10" t="n">
        <x:f>SUM(XLOOKUP('포켓몬_편집'!$AF918:$AN918,'분류_규칙'!$A$5:$A$76,'분류_규칙'!$H$5:$H$76,0))</x:f>
        <x:v>0</x:v>
      </x:c>
      <x:c r="I918" s="10" t="n">
        <x:f>SUM(XLOOKUP('포켓몬_편집'!$AF918:$AN918,'분류_규칙'!$A$5:$A$76,'분류_규칙'!$I$5:$I$76,0))</x:f>
        <x:v>0</x:v>
      </x:c>
      <x:c r="J918" s="10" t="n">
        <x:f>SUM(XLOOKUP('포켓몬_편집'!$AF918:$AN918,'분류_규칙'!$A$5:$A$76,'분류_규칙'!$J$5:$J$76,0))</x:f>
        <x:v>12</x:v>
      </x:c>
      <x:c r="K918" s="10" t="n">
        <x:f>SUM(XLOOKUP('포켓몬_편집'!$AF918:$AN918,'분류_규칙'!$A$5:$A$76,'분류_규칙'!$K$5:$K$76,0))</x:f>
        <x:v>30</x:v>
      </x:c>
      <x:c r="L918" s="10" t="n">
        <x:f>SUM(XLOOKUP('포켓몬_편집'!$AF918:$AN918,'분류_규칙'!$A$5:$A$76,'분류_규칙'!$L$5:$L$76,0))</x:f>
        <x:v>0</x:v>
      </x:c>
      <x:c r="M918" s="10" t="n">
        <x:f>SUM(XLOOKUP('포켓몬_편집'!$AF918:$AN918,'분류_규칙'!$A$5:$A$76,'분류_규칙'!$M$5:$M$76,0))</x:f>
        <x:v>0</x:v>
      </x:c>
      <x:c r="N918" s="10" t="n">
        <x:f>SUM(XLOOKUP('포켓몬_편집'!$AF918:$AN918,'분류_규칙'!$A$5:$A$76,'분류_규칙'!$N$5:$N$76,0))</x:f>
        <x:v>0</x:v>
      </x:c>
      <x:c r="O918" s="10" t="n">
        <x:f>SUM(XLOOKUP('포켓몬_편집'!$AF918:$AN918,'분류_규칙'!$A$5:$A$76,'분류_규칙'!$O$5:$O$76,0))</x:f>
        <x:v>0</x:v>
      </x:c>
      <x:c r="P918" s="10" t="n">
        <x:f>SUM(XLOOKUP('포켓몬_편집'!$AF918:$AN918,'분류_규칙'!$A$5:$A$76,'분류_규칙'!$P$5:$P$76,0))</x:f>
        <x:v>0</x:v>
      </x:c>
    </x:row>
    <x:row r="919" ht="22" customHeight="1">
      <x:c r="A919" s="5" t="n">
        <x:v>915</x:v>
      </x:c>
      <x:c r="B919" s="5" t="inlineStr">
        <x:is>
          <x:t xml:space="preserve">맛보돈</x:t>
        </x:is>
      </x:c>
      <x:c r="C919" s="5" t="inlineStr">
        <x:is>
          <x:t xml:space="preserve">lechonk</x:t>
        </x:is>
      </x:c>
      <x:c r="D919" s="5" t="n">
        <x:v>9</x:v>
      </x:c>
      <x:c r="E919" s="10" t="n">
        <x:f>SUM(XLOOKUP('포켓몬_편집'!$AF919:$AN919,'분류_규칙'!$A$5:$A$76,'분류_규칙'!$E$5:$E$76,0))</x:f>
        <x:v>10</x:v>
      </x:c>
      <x:c r="F919" s="10" t="n">
        <x:f>SUM(XLOOKUP('포켓몬_편집'!$AF919:$AN919,'분류_규칙'!$A$5:$A$76,'분류_규칙'!$F$5:$F$76,0))</x:f>
        <x:v>7</x:v>
      </x:c>
      <x:c r="G919" s="10" t="n">
        <x:f>SUM(XLOOKUP('포켓몬_편집'!$AF919:$AN919,'분류_규칙'!$A$5:$A$76,'분류_규칙'!$G$5:$G$76,0))</x:f>
        <x:v>5</x:v>
      </x:c>
      <x:c r="H919" s="10" t="n">
        <x:f>SUM(XLOOKUP('포켓몬_편집'!$AF919:$AN919,'분류_규칙'!$A$5:$A$76,'분류_규칙'!$H$5:$H$76,0))</x:f>
        <x:v>5</x:v>
      </x:c>
      <x:c r="I919" s="10" t="n">
        <x:f>SUM(XLOOKUP('포켓몬_편집'!$AF919:$AN919,'분류_규칙'!$A$5:$A$76,'분류_규칙'!$I$5:$I$76,0))</x:f>
        <x:v>0</x:v>
      </x:c>
      <x:c r="J919" s="10" t="n">
        <x:f>SUM(XLOOKUP('포켓몬_편집'!$AF919:$AN919,'분류_규칙'!$A$5:$A$76,'분류_규칙'!$J$5:$J$76,0))</x:f>
        <x:v>2</x:v>
      </x:c>
      <x:c r="K919" s="10" t="n">
        <x:f>SUM(XLOOKUP('포켓몬_편집'!$AF919:$AN919,'분류_규칙'!$A$5:$A$76,'분류_규칙'!$K$5:$K$76,0))</x:f>
        <x:v>0</x:v>
      </x:c>
      <x:c r="L919" s="10" t="n">
        <x:f>SUM(XLOOKUP('포켓몬_편집'!$AF919:$AN919,'분류_규칙'!$A$5:$A$76,'분류_규칙'!$L$5:$L$76,0))</x:f>
        <x:v>0</x:v>
      </x:c>
      <x:c r="M919" s="10" t="n">
        <x:f>SUM(XLOOKUP('포켓몬_편집'!$AF919:$AN919,'분류_규칙'!$A$5:$A$76,'분류_규칙'!$M$5:$M$76,0))</x:f>
        <x:v>0</x:v>
      </x:c>
      <x:c r="N919" s="10" t="n">
        <x:f>SUM(XLOOKUP('포켓몬_편집'!$AF919:$AN919,'분류_규칙'!$A$5:$A$76,'분류_규칙'!$N$5:$N$76,0))</x:f>
        <x:v>0</x:v>
      </x:c>
      <x:c r="O919" s="10" t="n">
        <x:f>SUM(XLOOKUP('포켓몬_편집'!$AF919:$AN919,'분류_규칙'!$A$5:$A$76,'분류_규칙'!$O$5:$O$76,0))</x:f>
        <x:v>2</x:v>
      </x:c>
      <x:c r="P919" s="10" t="n">
        <x:f>SUM(XLOOKUP('포켓몬_편집'!$AF919:$AN919,'분류_규칙'!$A$5:$A$76,'분류_규칙'!$P$5:$P$76,0))</x:f>
        <x:v>0</x:v>
      </x:c>
    </x:row>
    <x:row r="920" ht="22" customHeight="1">
      <x:c r="A920" s="5" t="n">
        <x:v>916</x:v>
      </x:c>
      <x:c r="B920" s="5" t="inlineStr">
        <x:is>
          <x:t xml:space="preserve">퍼퓨돈</x:t>
        </x:is>
      </x:c>
      <x:c r="C920" s="5" t="inlineStr">
        <x:is>
          <x:t xml:space="preserve">oinkologne</x:t>
        </x:is>
      </x:c>
      <x:c r="D920" s="5" t="n">
        <x:v>9</x:v>
      </x:c>
      <x:c r="E920" s="10" t="n">
        <x:f>SUM(XLOOKUP('포켓몬_편집'!$AF920:$AN920,'분류_규칙'!$A$5:$A$76,'분류_규칙'!$E$5:$E$76,0))</x:f>
        <x:v>10</x:v>
      </x:c>
      <x:c r="F920" s="10" t="n">
        <x:f>SUM(XLOOKUP('포켓몬_편집'!$AF920:$AN920,'분류_규칙'!$A$5:$A$76,'분류_규칙'!$F$5:$F$76,0))</x:f>
        <x:v>7</x:v>
      </x:c>
      <x:c r="G920" s="10" t="n">
        <x:f>SUM(XLOOKUP('포켓몬_편집'!$AF920:$AN920,'분류_규칙'!$A$5:$A$76,'분류_규칙'!$G$5:$G$76,0))</x:f>
        <x:v>5</x:v>
      </x:c>
      <x:c r="H920" s="10" t="n">
        <x:f>SUM(XLOOKUP('포켓몬_편집'!$AF920:$AN920,'분류_규칙'!$A$5:$A$76,'분류_규칙'!$H$5:$H$76,0))</x:f>
        <x:v>5</x:v>
      </x:c>
      <x:c r="I920" s="10" t="n">
        <x:f>SUM(XLOOKUP('포켓몬_편집'!$AF920:$AN920,'분류_규칙'!$A$5:$A$76,'분류_규칙'!$I$5:$I$76,0))</x:f>
        <x:v>0</x:v>
      </x:c>
      <x:c r="J920" s="10" t="n">
        <x:f>SUM(XLOOKUP('포켓몬_편집'!$AF920:$AN920,'분류_규칙'!$A$5:$A$76,'분류_규칙'!$J$5:$J$76,0))</x:f>
        <x:v>2</x:v>
      </x:c>
      <x:c r="K920" s="10" t="n">
        <x:f>SUM(XLOOKUP('포켓몬_편집'!$AF920:$AN920,'분류_규칙'!$A$5:$A$76,'분류_규칙'!$K$5:$K$76,0))</x:f>
        <x:v>0</x:v>
      </x:c>
      <x:c r="L920" s="10" t="n">
        <x:f>SUM(XLOOKUP('포켓몬_편집'!$AF920:$AN920,'분류_규칙'!$A$5:$A$76,'분류_규칙'!$L$5:$L$76,0))</x:f>
        <x:v>0</x:v>
      </x:c>
      <x:c r="M920" s="10" t="n">
        <x:f>SUM(XLOOKUP('포켓몬_편집'!$AF920:$AN920,'분류_규칙'!$A$5:$A$76,'분류_규칙'!$M$5:$M$76,0))</x:f>
        <x:v>0</x:v>
      </x:c>
      <x:c r="N920" s="10" t="n">
        <x:f>SUM(XLOOKUP('포켓몬_편집'!$AF920:$AN920,'분류_규칙'!$A$5:$A$76,'분류_규칙'!$N$5:$N$76,0))</x:f>
        <x:v>0</x:v>
      </x:c>
      <x:c r="O920" s="10" t="n">
        <x:f>SUM(XLOOKUP('포켓몬_편집'!$AF920:$AN920,'분류_규칙'!$A$5:$A$76,'분류_규칙'!$O$5:$O$76,0))</x:f>
        <x:v>2</x:v>
      </x:c>
      <x:c r="P920" s="10" t="n">
        <x:f>SUM(XLOOKUP('포켓몬_편집'!$AF920:$AN920,'분류_규칙'!$A$5:$A$76,'분류_규칙'!$P$5:$P$76,0))</x:f>
        <x:v>0</x:v>
      </x:c>
    </x:row>
    <x:row r="921" ht="22" customHeight="1">
      <x:c r="A921" s="5" t="n">
        <x:v>917</x:v>
      </x:c>
      <x:c r="B921" s="5" t="inlineStr">
        <x:is>
          <x:t xml:space="preserve">타랜툴라</x:t>
        </x:is>
      </x:c>
      <x:c r="C921" s="5" t="inlineStr">
        <x:is>
          <x:t xml:space="preserve">tarountula</x:t>
        </x:is>
      </x:c>
      <x:c r="D921" s="5" t="n">
        <x:v>9</x:v>
      </x:c>
      <x:c r="E921" s="10" t="n">
        <x:f>SUM(XLOOKUP('포켓몬_편집'!$AF921:$AN921,'분류_규칙'!$A$5:$A$76,'분류_규칙'!$E$5:$E$76,0))</x:f>
        <x:v>10</x:v>
      </x:c>
      <x:c r="F921" s="10" t="n">
        <x:f>SUM(XLOOKUP('포켓몬_편집'!$AF921:$AN921,'분류_규칙'!$A$5:$A$76,'분류_규칙'!$F$5:$F$76,0))</x:f>
        <x:v>7</x:v>
      </x:c>
      <x:c r="G921" s="10" t="n">
        <x:f>SUM(XLOOKUP('포켓몬_편집'!$AF921:$AN921,'분류_규칙'!$A$5:$A$76,'분류_규칙'!$G$5:$G$76,0))</x:f>
        <x:v>5</x:v>
      </x:c>
      <x:c r="H921" s="10" t="n">
        <x:f>SUM(XLOOKUP('포켓몬_편집'!$AF921:$AN921,'분류_규칙'!$A$5:$A$76,'분류_규칙'!$H$5:$H$76,0))</x:f>
        <x:v>5</x:v>
      </x:c>
      <x:c r="I921" s="10" t="n">
        <x:f>SUM(XLOOKUP('포켓몬_편집'!$AF921:$AN921,'분류_규칙'!$A$5:$A$76,'분류_규칙'!$I$5:$I$76,0))</x:f>
        <x:v>0</x:v>
      </x:c>
      <x:c r="J921" s="10" t="n">
        <x:f>SUM(XLOOKUP('포켓몬_편집'!$AF921:$AN921,'분류_규칙'!$A$5:$A$76,'분류_규칙'!$J$5:$J$76,0))</x:f>
        <x:v>2</x:v>
      </x:c>
      <x:c r="K921" s="10" t="n">
        <x:f>SUM(XLOOKUP('포켓몬_편집'!$AF921:$AN921,'분류_규칙'!$A$5:$A$76,'분류_규칙'!$K$5:$K$76,0))</x:f>
        <x:v>0</x:v>
      </x:c>
      <x:c r="L921" s="10" t="n">
        <x:f>SUM(XLOOKUP('포켓몬_편집'!$AF921:$AN921,'분류_규칙'!$A$5:$A$76,'분류_규칙'!$L$5:$L$76,0))</x:f>
        <x:v>0</x:v>
      </x:c>
      <x:c r="M921" s="10" t="n">
        <x:f>SUM(XLOOKUP('포켓몬_편집'!$AF921:$AN921,'분류_규칙'!$A$5:$A$76,'분류_규칙'!$M$5:$M$76,0))</x:f>
        <x:v>0</x:v>
      </x:c>
      <x:c r="N921" s="10" t="n">
        <x:f>SUM(XLOOKUP('포켓몬_편집'!$AF921:$AN921,'분류_규칙'!$A$5:$A$76,'분류_규칙'!$N$5:$N$76,0))</x:f>
        <x:v>0</x:v>
      </x:c>
      <x:c r="O921" s="10" t="n">
        <x:f>SUM(XLOOKUP('포켓몬_편집'!$AF921:$AN921,'분류_규칙'!$A$5:$A$76,'분류_규칙'!$O$5:$O$76,0))</x:f>
        <x:v>2</x:v>
      </x:c>
      <x:c r="P921" s="10" t="n">
        <x:f>SUM(XLOOKUP('포켓몬_편집'!$AF921:$AN921,'분류_규칙'!$A$5:$A$76,'분류_규칙'!$P$5:$P$76,0))</x:f>
        <x:v>0</x:v>
      </x:c>
    </x:row>
    <x:row r="922" ht="22" customHeight="1">
      <x:c r="A922" s="5" t="n">
        <x:v>918</x:v>
      </x:c>
      <x:c r="B922" s="5" t="inlineStr">
        <x:is>
          <x:t xml:space="preserve">트래피더</x:t>
        </x:is>
      </x:c>
      <x:c r="C922" s="5" t="inlineStr">
        <x:is>
          <x:t xml:space="preserve">spidops</x:t>
        </x:is>
      </x:c>
      <x:c r="D922" s="5" t="n">
        <x:v>9</x:v>
      </x:c>
      <x:c r="E922" s="10" t="n">
        <x:f>SUM(XLOOKUP('포켓몬_편집'!$AF922:$AN922,'분류_규칙'!$A$5:$A$76,'분류_규칙'!$E$5:$E$76,0))</x:f>
        <x:v>10</x:v>
      </x:c>
      <x:c r="F922" s="10" t="n">
        <x:f>SUM(XLOOKUP('포켓몬_편집'!$AF922:$AN922,'분류_규칙'!$A$5:$A$76,'분류_규칙'!$F$5:$F$76,0))</x:f>
        <x:v>7</x:v>
      </x:c>
      <x:c r="G922" s="10" t="n">
        <x:f>SUM(XLOOKUP('포켓몬_편집'!$AF922:$AN922,'분류_규칙'!$A$5:$A$76,'분류_규칙'!$G$5:$G$76,0))</x:f>
        <x:v>5</x:v>
      </x:c>
      <x:c r="H922" s="10" t="n">
        <x:f>SUM(XLOOKUP('포켓몬_편집'!$AF922:$AN922,'분류_규칙'!$A$5:$A$76,'분류_규칙'!$H$5:$H$76,0))</x:f>
        <x:v>5</x:v>
      </x:c>
      <x:c r="I922" s="10" t="n">
        <x:f>SUM(XLOOKUP('포켓몬_편집'!$AF922:$AN922,'분류_규칙'!$A$5:$A$76,'분류_규칙'!$I$5:$I$76,0))</x:f>
        <x:v>0</x:v>
      </x:c>
      <x:c r="J922" s="10" t="n">
        <x:f>SUM(XLOOKUP('포켓몬_편집'!$AF922:$AN922,'분류_규칙'!$A$5:$A$76,'분류_규칙'!$J$5:$J$76,0))</x:f>
        <x:v>2</x:v>
      </x:c>
      <x:c r="K922" s="10" t="n">
        <x:f>SUM(XLOOKUP('포켓몬_편집'!$AF922:$AN922,'분류_규칙'!$A$5:$A$76,'분류_규칙'!$K$5:$K$76,0))</x:f>
        <x:v>0</x:v>
      </x:c>
      <x:c r="L922" s="10" t="n">
        <x:f>SUM(XLOOKUP('포켓몬_편집'!$AF922:$AN922,'분류_규칙'!$A$5:$A$76,'분류_규칙'!$L$5:$L$76,0))</x:f>
        <x:v>0</x:v>
      </x:c>
      <x:c r="M922" s="10" t="n">
        <x:f>SUM(XLOOKUP('포켓몬_편집'!$AF922:$AN922,'분류_규칙'!$A$5:$A$76,'분류_규칙'!$M$5:$M$76,0))</x:f>
        <x:v>0</x:v>
      </x:c>
      <x:c r="N922" s="10" t="n">
        <x:f>SUM(XLOOKUP('포켓몬_편집'!$AF922:$AN922,'분류_규칙'!$A$5:$A$76,'분류_규칙'!$N$5:$N$76,0))</x:f>
        <x:v>0</x:v>
      </x:c>
      <x:c r="O922" s="10" t="n">
        <x:f>SUM(XLOOKUP('포켓몬_편집'!$AF922:$AN922,'분류_규칙'!$A$5:$A$76,'분류_규칙'!$O$5:$O$76,0))</x:f>
        <x:v>2</x:v>
      </x:c>
      <x:c r="P922" s="10" t="n">
        <x:f>SUM(XLOOKUP('포켓몬_편집'!$AF922:$AN922,'분류_규칙'!$A$5:$A$76,'분류_규칙'!$P$5:$P$76,0))</x:f>
        <x:v>0</x:v>
      </x:c>
    </x:row>
    <x:row r="923" ht="22" customHeight="1">
      <x:c r="A923" s="5" t="n">
        <x:v>919</x:v>
      </x:c>
      <x:c r="B923" s="5" t="inlineStr">
        <x:is>
          <x:t xml:space="preserve">콩알뚜기</x:t>
        </x:is>
      </x:c>
      <x:c r="C923" s="5" t="inlineStr">
        <x:is>
          <x:t xml:space="preserve">nymble</x:t>
        </x:is>
      </x:c>
      <x:c r="D923" s="5" t="n">
        <x:v>9</x:v>
      </x:c>
      <x:c r="E923" s="10" t="n">
        <x:f>SUM(XLOOKUP('포켓몬_편집'!$AF923:$AN923,'분류_규칙'!$A$5:$A$76,'분류_규칙'!$E$5:$E$76,0))</x:f>
        <x:v>10</x:v>
      </x:c>
      <x:c r="F923" s="10" t="n">
        <x:f>SUM(XLOOKUP('포켓몬_편집'!$AF923:$AN923,'분류_규칙'!$A$5:$A$76,'분류_규칙'!$F$5:$F$76,0))</x:f>
        <x:v>7</x:v>
      </x:c>
      <x:c r="G923" s="10" t="n">
        <x:f>SUM(XLOOKUP('포켓몬_편집'!$AF923:$AN923,'분류_규칙'!$A$5:$A$76,'분류_규칙'!$G$5:$G$76,0))</x:f>
        <x:v>5</x:v>
      </x:c>
      <x:c r="H923" s="10" t="n">
        <x:f>SUM(XLOOKUP('포켓몬_편집'!$AF923:$AN923,'분류_규칙'!$A$5:$A$76,'분류_규칙'!$H$5:$H$76,0))</x:f>
        <x:v>5</x:v>
      </x:c>
      <x:c r="I923" s="10" t="n">
        <x:f>SUM(XLOOKUP('포켓몬_편집'!$AF923:$AN923,'분류_규칙'!$A$5:$A$76,'분류_규칙'!$I$5:$I$76,0))</x:f>
        <x:v>0</x:v>
      </x:c>
      <x:c r="J923" s="10" t="n">
        <x:f>SUM(XLOOKUP('포켓몬_편집'!$AF923:$AN923,'분류_규칙'!$A$5:$A$76,'분류_규칙'!$J$5:$J$76,0))</x:f>
        <x:v>2</x:v>
      </x:c>
      <x:c r="K923" s="10" t="n">
        <x:f>SUM(XLOOKUP('포켓몬_편집'!$AF923:$AN923,'분류_규칙'!$A$5:$A$76,'분류_규칙'!$K$5:$K$76,0))</x:f>
        <x:v>0</x:v>
      </x:c>
      <x:c r="L923" s="10" t="n">
        <x:f>SUM(XLOOKUP('포켓몬_편집'!$AF923:$AN923,'분류_규칙'!$A$5:$A$76,'분류_규칙'!$L$5:$L$76,0))</x:f>
        <x:v>0</x:v>
      </x:c>
      <x:c r="M923" s="10" t="n">
        <x:f>SUM(XLOOKUP('포켓몬_편집'!$AF923:$AN923,'분류_규칙'!$A$5:$A$76,'분류_규칙'!$M$5:$M$76,0))</x:f>
        <x:v>0</x:v>
      </x:c>
      <x:c r="N923" s="10" t="n">
        <x:f>SUM(XLOOKUP('포켓몬_편집'!$AF923:$AN923,'분류_규칙'!$A$5:$A$76,'분류_규칙'!$N$5:$N$76,0))</x:f>
        <x:v>0</x:v>
      </x:c>
      <x:c r="O923" s="10" t="n">
        <x:f>SUM(XLOOKUP('포켓몬_편집'!$AF923:$AN923,'분류_규칙'!$A$5:$A$76,'분류_규칙'!$O$5:$O$76,0))</x:f>
        <x:v>2</x:v>
      </x:c>
      <x:c r="P923" s="10" t="n">
        <x:f>SUM(XLOOKUP('포켓몬_편집'!$AF923:$AN923,'분류_규칙'!$A$5:$A$76,'분류_규칙'!$P$5:$P$76,0))</x:f>
        <x:v>0</x:v>
      </x:c>
    </x:row>
    <x:row r="924" ht="22" customHeight="1">
      <x:c r="A924" s="5" t="n">
        <x:v>920</x:v>
      </x:c>
      <x:c r="B924" s="5" t="inlineStr">
        <x:is>
          <x:t xml:space="preserve">엑스레그</x:t>
        </x:is>
      </x:c>
      <x:c r="C924" s="5" t="inlineStr">
        <x:is>
          <x:t xml:space="preserve">lokix</x:t>
        </x:is>
      </x:c>
      <x:c r="D924" s="5" t="n">
        <x:v>9</x:v>
      </x:c>
      <x:c r="E924" s="10" t="n">
        <x:f>SUM(XLOOKUP('포켓몬_편집'!$AF924:$AN924,'분류_규칙'!$A$5:$A$76,'분류_규칙'!$E$5:$E$76,0))</x:f>
        <x:v>10</x:v>
      </x:c>
      <x:c r="F924" s="10" t="n">
        <x:f>SUM(XLOOKUP('포켓몬_편집'!$AF924:$AN924,'분류_규칙'!$A$5:$A$76,'분류_규칙'!$F$5:$F$76,0))</x:f>
        <x:v>7</x:v>
      </x:c>
      <x:c r="G924" s="10" t="n">
        <x:f>SUM(XLOOKUP('포켓몬_편집'!$AF924:$AN924,'분류_규칙'!$A$5:$A$76,'분류_규칙'!$G$5:$G$76,0))</x:f>
        <x:v>5</x:v>
      </x:c>
      <x:c r="H924" s="10" t="n">
        <x:f>SUM(XLOOKUP('포켓몬_편집'!$AF924:$AN924,'분류_규칙'!$A$5:$A$76,'분류_규칙'!$H$5:$H$76,0))</x:f>
        <x:v>5</x:v>
      </x:c>
      <x:c r="I924" s="10" t="n">
        <x:f>SUM(XLOOKUP('포켓몬_편집'!$AF924:$AN924,'분류_규칙'!$A$5:$A$76,'분류_규칙'!$I$5:$I$76,0))</x:f>
        <x:v>0</x:v>
      </x:c>
      <x:c r="J924" s="10" t="n">
        <x:f>SUM(XLOOKUP('포켓몬_편집'!$AF924:$AN924,'분류_규칙'!$A$5:$A$76,'분류_규칙'!$J$5:$J$76,0))</x:f>
        <x:v>2</x:v>
      </x:c>
      <x:c r="K924" s="10" t="n">
        <x:f>SUM(XLOOKUP('포켓몬_편집'!$AF924:$AN924,'분류_규칙'!$A$5:$A$76,'분류_규칙'!$K$5:$K$76,0))</x:f>
        <x:v>0</x:v>
      </x:c>
      <x:c r="L924" s="10" t="n">
        <x:f>SUM(XLOOKUP('포켓몬_편집'!$AF924:$AN924,'분류_규칙'!$A$5:$A$76,'분류_규칙'!$L$5:$L$76,0))</x:f>
        <x:v>0</x:v>
      </x:c>
      <x:c r="M924" s="10" t="n">
        <x:f>SUM(XLOOKUP('포켓몬_편집'!$AF924:$AN924,'분류_규칙'!$A$5:$A$76,'분류_규칙'!$M$5:$M$76,0))</x:f>
        <x:v>0</x:v>
      </x:c>
      <x:c r="N924" s="10" t="n">
        <x:f>SUM(XLOOKUP('포켓몬_편집'!$AF924:$AN924,'분류_규칙'!$A$5:$A$76,'분류_규칙'!$N$5:$N$76,0))</x:f>
        <x:v>0</x:v>
      </x:c>
      <x:c r="O924" s="10" t="n">
        <x:f>SUM(XLOOKUP('포켓몬_편집'!$AF924:$AN924,'분류_규칙'!$A$5:$A$76,'분류_규칙'!$O$5:$O$76,0))</x:f>
        <x:v>2</x:v>
      </x:c>
      <x:c r="P924" s="10" t="n">
        <x:f>SUM(XLOOKUP('포켓몬_편집'!$AF924:$AN924,'분류_규칙'!$A$5:$A$76,'분류_규칙'!$P$5:$P$76,0))</x:f>
        <x:v>0</x:v>
      </x:c>
    </x:row>
    <x:row r="925" ht="22" customHeight="1">
      <x:c r="A925" s="5" t="n">
        <x:v>921</x:v>
      </x:c>
      <x:c r="B925" s="5" t="inlineStr">
        <x:is>
          <x:t xml:space="preserve">빠모</x:t>
        </x:is>
      </x:c>
      <x:c r="C925" s="5" t="inlineStr">
        <x:is>
          <x:t xml:space="preserve">pawmi</x:t>
        </x:is>
      </x:c>
      <x:c r="D925" s="5" t="n">
        <x:v>9</x:v>
      </x:c>
      <x:c r="E925" s="10" t="n">
        <x:f>SUM(XLOOKUP('포켓몬_편집'!$AF925:$AN925,'분류_규칙'!$A$5:$A$76,'분류_규칙'!$E$5:$E$76,0))</x:f>
        <x:v>10</x:v>
      </x:c>
      <x:c r="F925" s="10" t="n">
        <x:f>SUM(XLOOKUP('포켓몬_편집'!$AF925:$AN925,'분류_규칙'!$A$5:$A$76,'분류_규칙'!$F$5:$F$76,0))</x:f>
        <x:v>7</x:v>
      </x:c>
      <x:c r="G925" s="10" t="n">
        <x:f>SUM(XLOOKUP('포켓몬_편집'!$AF925:$AN925,'분류_규칙'!$A$5:$A$76,'분류_규칙'!$G$5:$G$76,0))</x:f>
        <x:v>5</x:v>
      </x:c>
      <x:c r="H925" s="10" t="n">
        <x:f>SUM(XLOOKUP('포켓몬_편집'!$AF925:$AN925,'분류_규칙'!$A$5:$A$76,'분류_규칙'!$H$5:$H$76,0))</x:f>
        <x:v>5</x:v>
      </x:c>
      <x:c r="I925" s="10" t="n">
        <x:f>SUM(XLOOKUP('포켓몬_편집'!$AF925:$AN925,'분류_규칙'!$A$5:$A$76,'분류_규칙'!$I$5:$I$76,0))</x:f>
        <x:v>0</x:v>
      </x:c>
      <x:c r="J925" s="10" t="n">
        <x:f>SUM(XLOOKUP('포켓몬_편집'!$AF925:$AN925,'분류_규칙'!$A$5:$A$76,'분류_규칙'!$J$5:$J$76,0))</x:f>
        <x:v>2</x:v>
      </x:c>
      <x:c r="K925" s="10" t="n">
        <x:f>SUM(XLOOKUP('포켓몬_편집'!$AF925:$AN925,'분류_규칙'!$A$5:$A$76,'분류_규칙'!$K$5:$K$76,0))</x:f>
        <x:v>0</x:v>
      </x:c>
      <x:c r="L925" s="10" t="n">
        <x:f>SUM(XLOOKUP('포켓몬_편집'!$AF925:$AN925,'분류_규칙'!$A$5:$A$76,'분류_규칙'!$L$5:$L$76,0))</x:f>
        <x:v>0</x:v>
      </x:c>
      <x:c r="M925" s="10" t="n">
        <x:f>SUM(XLOOKUP('포켓몬_편집'!$AF925:$AN925,'분류_규칙'!$A$5:$A$76,'분류_규칙'!$M$5:$M$76,0))</x:f>
        <x:v>0</x:v>
      </x:c>
      <x:c r="N925" s="10" t="n">
        <x:f>SUM(XLOOKUP('포켓몬_편집'!$AF925:$AN925,'분류_규칙'!$A$5:$A$76,'분류_규칙'!$N$5:$N$76,0))</x:f>
        <x:v>0</x:v>
      </x:c>
      <x:c r="O925" s="10" t="n">
        <x:f>SUM(XLOOKUP('포켓몬_편집'!$AF925:$AN925,'분류_규칙'!$A$5:$A$76,'분류_규칙'!$O$5:$O$76,0))</x:f>
        <x:v>2</x:v>
      </x:c>
      <x:c r="P925" s="10" t="n">
        <x:f>SUM(XLOOKUP('포켓몬_편집'!$AF925:$AN925,'분류_규칙'!$A$5:$A$76,'분류_규칙'!$P$5:$P$76,0))</x:f>
        <x:v>0</x:v>
      </x:c>
    </x:row>
    <x:row r="926" ht="22" customHeight="1">
      <x:c r="A926" s="5" t="n">
        <x:v>922</x:v>
      </x:c>
      <x:c r="B926" s="5" t="inlineStr">
        <x:is>
          <x:t xml:space="preserve">빠모트</x:t>
        </x:is>
      </x:c>
      <x:c r="C926" s="5" t="inlineStr">
        <x:is>
          <x:t xml:space="preserve">pawmo</x:t>
        </x:is>
      </x:c>
      <x:c r="D926" s="5" t="n">
        <x:v>9</x:v>
      </x:c>
      <x:c r="E926" s="10" t="n">
        <x:f>SUM(XLOOKUP('포켓몬_편집'!$AF926:$AN926,'분류_규칙'!$A$5:$A$76,'분류_규칙'!$E$5:$E$76,0))</x:f>
        <x:v>10</x:v>
      </x:c>
      <x:c r="F926" s="10" t="n">
        <x:f>SUM(XLOOKUP('포켓몬_편집'!$AF926:$AN926,'분류_규칙'!$A$5:$A$76,'분류_규칙'!$F$5:$F$76,0))</x:f>
        <x:v>7</x:v>
      </x:c>
      <x:c r="G926" s="10" t="n">
        <x:f>SUM(XLOOKUP('포켓몬_편집'!$AF926:$AN926,'분류_규칙'!$A$5:$A$76,'분류_규칙'!$G$5:$G$76,0))</x:f>
        <x:v>5</x:v>
      </x:c>
      <x:c r="H926" s="10" t="n">
        <x:f>SUM(XLOOKUP('포켓몬_편집'!$AF926:$AN926,'분류_규칙'!$A$5:$A$76,'분류_규칙'!$H$5:$H$76,0))</x:f>
        <x:v>5</x:v>
      </x:c>
      <x:c r="I926" s="10" t="n">
        <x:f>SUM(XLOOKUP('포켓몬_편집'!$AF926:$AN926,'분류_규칙'!$A$5:$A$76,'분류_규칙'!$I$5:$I$76,0))</x:f>
        <x:v>0</x:v>
      </x:c>
      <x:c r="J926" s="10" t="n">
        <x:f>SUM(XLOOKUP('포켓몬_편집'!$AF926:$AN926,'분류_규칙'!$A$5:$A$76,'분류_규칙'!$J$5:$J$76,0))</x:f>
        <x:v>2</x:v>
      </x:c>
      <x:c r="K926" s="10" t="n">
        <x:f>SUM(XLOOKUP('포켓몬_편집'!$AF926:$AN926,'분류_규칙'!$A$5:$A$76,'분류_규칙'!$K$5:$K$76,0))</x:f>
        <x:v>0</x:v>
      </x:c>
      <x:c r="L926" s="10" t="n">
        <x:f>SUM(XLOOKUP('포켓몬_편집'!$AF926:$AN926,'분류_규칙'!$A$5:$A$76,'분류_규칙'!$L$5:$L$76,0))</x:f>
        <x:v>0</x:v>
      </x:c>
      <x:c r="M926" s="10" t="n">
        <x:f>SUM(XLOOKUP('포켓몬_편집'!$AF926:$AN926,'분류_규칙'!$A$5:$A$76,'분류_규칙'!$M$5:$M$76,0))</x:f>
        <x:v>0</x:v>
      </x:c>
      <x:c r="N926" s="10" t="n">
        <x:f>SUM(XLOOKUP('포켓몬_편집'!$AF926:$AN926,'분류_규칙'!$A$5:$A$76,'분류_규칙'!$N$5:$N$76,0))</x:f>
        <x:v>0</x:v>
      </x:c>
      <x:c r="O926" s="10" t="n">
        <x:f>SUM(XLOOKUP('포켓몬_편집'!$AF926:$AN926,'분류_규칙'!$A$5:$A$76,'분류_규칙'!$O$5:$O$76,0))</x:f>
        <x:v>2</x:v>
      </x:c>
      <x:c r="P926" s="10" t="n">
        <x:f>SUM(XLOOKUP('포켓몬_편집'!$AF926:$AN926,'분류_규칙'!$A$5:$A$76,'분류_규칙'!$P$5:$P$76,0))</x:f>
        <x:v>0</x:v>
      </x:c>
    </x:row>
    <x:row r="927" ht="22" customHeight="1">
      <x:c r="A927" s="5" t="n">
        <x:v>923</x:v>
      </x:c>
      <x:c r="B927" s="5" t="inlineStr">
        <x:is>
          <x:t xml:space="preserve">빠르모트</x:t>
        </x:is>
      </x:c>
      <x:c r="C927" s="5" t="inlineStr">
        <x:is>
          <x:t xml:space="preserve">pawmot</x:t>
        </x:is>
      </x:c>
      <x:c r="D927" s="5" t="n">
        <x:v>9</x:v>
      </x:c>
      <x:c r="E927" s="10" t="n">
        <x:f>SUM(XLOOKUP('포켓몬_편집'!$AF927:$AN927,'분류_규칙'!$A$5:$A$76,'분류_규칙'!$E$5:$E$76,0))</x:f>
        <x:v>10</x:v>
      </x:c>
      <x:c r="F927" s="10" t="n">
        <x:f>SUM(XLOOKUP('포켓몬_편집'!$AF927:$AN927,'분류_규칙'!$A$5:$A$76,'분류_규칙'!$F$5:$F$76,0))</x:f>
        <x:v>7</x:v>
      </x:c>
      <x:c r="G927" s="10" t="n">
        <x:f>SUM(XLOOKUP('포켓몬_편집'!$AF927:$AN927,'분류_규칙'!$A$5:$A$76,'분류_규칙'!$G$5:$G$76,0))</x:f>
        <x:v>5</x:v>
      </x:c>
      <x:c r="H927" s="10" t="n">
        <x:f>SUM(XLOOKUP('포켓몬_편집'!$AF927:$AN927,'분류_규칙'!$A$5:$A$76,'분류_규칙'!$H$5:$H$76,0))</x:f>
        <x:v>5</x:v>
      </x:c>
      <x:c r="I927" s="10" t="n">
        <x:f>SUM(XLOOKUP('포켓몬_편집'!$AF927:$AN927,'분류_규칙'!$A$5:$A$76,'분류_규칙'!$I$5:$I$76,0))</x:f>
        <x:v>0</x:v>
      </x:c>
      <x:c r="J927" s="10" t="n">
        <x:f>SUM(XLOOKUP('포켓몬_편집'!$AF927:$AN927,'분류_규칙'!$A$5:$A$76,'분류_규칙'!$J$5:$J$76,0))</x:f>
        <x:v>2</x:v>
      </x:c>
      <x:c r="K927" s="10" t="n">
        <x:f>SUM(XLOOKUP('포켓몬_편집'!$AF927:$AN927,'분류_규칙'!$A$5:$A$76,'분류_규칙'!$K$5:$K$76,0))</x:f>
        <x:v>0</x:v>
      </x:c>
      <x:c r="L927" s="10" t="n">
        <x:f>SUM(XLOOKUP('포켓몬_편집'!$AF927:$AN927,'분류_규칙'!$A$5:$A$76,'분류_규칙'!$L$5:$L$76,0))</x:f>
        <x:v>0</x:v>
      </x:c>
      <x:c r="M927" s="10" t="n">
        <x:f>SUM(XLOOKUP('포켓몬_편집'!$AF927:$AN927,'분류_규칙'!$A$5:$A$76,'분류_규칙'!$M$5:$M$76,0))</x:f>
        <x:v>0</x:v>
      </x:c>
      <x:c r="N927" s="10" t="n">
        <x:f>SUM(XLOOKUP('포켓몬_편집'!$AF927:$AN927,'분류_규칙'!$A$5:$A$76,'분류_규칙'!$N$5:$N$76,0))</x:f>
        <x:v>0</x:v>
      </x:c>
      <x:c r="O927" s="10" t="n">
        <x:f>SUM(XLOOKUP('포켓몬_편집'!$AF927:$AN927,'분류_규칙'!$A$5:$A$76,'분류_규칙'!$O$5:$O$76,0))</x:f>
        <x:v>2</x:v>
      </x:c>
      <x:c r="P927" s="10" t="n">
        <x:f>SUM(XLOOKUP('포켓몬_편집'!$AF927:$AN927,'분류_규칙'!$A$5:$A$76,'분류_규칙'!$P$5:$P$76,0))</x:f>
        <x:v>0</x:v>
      </x:c>
    </x:row>
    <x:row r="928" ht="22" customHeight="1">
      <x:c r="A928" s="5" t="n">
        <x:v>924</x:v>
      </x:c>
      <x:c r="B928" s="5" t="inlineStr">
        <x:is>
          <x:t xml:space="preserve">두리쥐</x:t>
        </x:is>
      </x:c>
      <x:c r="C928" s="5" t="inlineStr">
        <x:is>
          <x:t xml:space="preserve">tandemaus</x:t>
        </x:is>
      </x:c>
      <x:c r="D928" s="5" t="n">
        <x:v>9</x:v>
      </x:c>
      <x:c r="E928" s="10" t="n">
        <x:f>SUM(XLOOKUP('포켓몬_편집'!$AF928:$AN928,'분류_규칙'!$A$5:$A$76,'분류_규칙'!$E$5:$E$76,0))</x:f>
        <x:v>10</x:v>
      </x:c>
      <x:c r="F928" s="10" t="n">
        <x:f>SUM(XLOOKUP('포켓몬_편집'!$AF928:$AN928,'분류_규칙'!$A$5:$A$76,'분류_규칙'!$F$5:$F$76,0))</x:f>
        <x:v>7</x:v>
      </x:c>
      <x:c r="G928" s="10" t="n">
        <x:f>SUM(XLOOKUP('포켓몬_편집'!$AF928:$AN928,'분류_규칙'!$A$5:$A$76,'분류_규칙'!$G$5:$G$76,0))</x:f>
        <x:v>5</x:v>
      </x:c>
      <x:c r="H928" s="10" t="n">
        <x:f>SUM(XLOOKUP('포켓몬_편집'!$AF928:$AN928,'분류_규칙'!$A$5:$A$76,'분류_규칙'!$H$5:$H$76,0))</x:f>
        <x:v>5</x:v>
      </x:c>
      <x:c r="I928" s="10" t="n">
        <x:f>SUM(XLOOKUP('포켓몬_편집'!$AF928:$AN928,'분류_규칙'!$A$5:$A$76,'분류_규칙'!$I$5:$I$76,0))</x:f>
        <x:v>0</x:v>
      </x:c>
      <x:c r="J928" s="10" t="n">
        <x:f>SUM(XLOOKUP('포켓몬_편집'!$AF928:$AN928,'분류_규칙'!$A$5:$A$76,'분류_규칙'!$J$5:$J$76,0))</x:f>
        <x:v>2</x:v>
      </x:c>
      <x:c r="K928" s="10" t="n">
        <x:f>SUM(XLOOKUP('포켓몬_편집'!$AF928:$AN928,'분류_규칙'!$A$5:$A$76,'분류_규칙'!$K$5:$K$76,0))</x:f>
        <x:v>0</x:v>
      </x:c>
      <x:c r="L928" s="10" t="n">
        <x:f>SUM(XLOOKUP('포켓몬_편집'!$AF928:$AN928,'분류_규칙'!$A$5:$A$76,'분류_규칙'!$L$5:$L$76,0))</x:f>
        <x:v>0</x:v>
      </x:c>
      <x:c r="M928" s="10" t="n">
        <x:f>SUM(XLOOKUP('포켓몬_편집'!$AF928:$AN928,'분류_규칙'!$A$5:$A$76,'분류_규칙'!$M$5:$M$76,0))</x:f>
        <x:v>0</x:v>
      </x:c>
      <x:c r="N928" s="10" t="n">
        <x:f>SUM(XLOOKUP('포켓몬_편집'!$AF928:$AN928,'분류_규칙'!$A$5:$A$76,'분류_규칙'!$N$5:$N$76,0))</x:f>
        <x:v>0</x:v>
      </x:c>
      <x:c r="O928" s="10" t="n">
        <x:f>SUM(XLOOKUP('포켓몬_편집'!$AF928:$AN928,'분류_규칙'!$A$5:$A$76,'분류_규칙'!$O$5:$O$76,0))</x:f>
        <x:v>2</x:v>
      </x:c>
      <x:c r="P928" s="10" t="n">
        <x:f>SUM(XLOOKUP('포켓몬_편집'!$AF928:$AN928,'분류_규칙'!$A$5:$A$76,'분류_규칙'!$P$5:$P$76,0))</x:f>
        <x:v>0</x:v>
      </x:c>
    </x:row>
    <x:row r="929" ht="22" customHeight="1">
      <x:c r="A929" s="5" t="n">
        <x:v>925</x:v>
      </x:c>
      <x:c r="B929" s="5" t="inlineStr">
        <x:is>
          <x:t xml:space="preserve">파밀리쥐</x:t>
        </x:is>
      </x:c>
      <x:c r="C929" s="5" t="inlineStr">
        <x:is>
          <x:t xml:space="preserve">maushold</x:t>
        </x:is>
      </x:c>
      <x:c r="D929" s="5" t="n">
        <x:v>9</x:v>
      </x:c>
      <x:c r="E929" s="10" t="n">
        <x:f>SUM(XLOOKUP('포켓몬_편집'!$AF929:$AN929,'분류_규칙'!$A$5:$A$76,'분류_규칙'!$E$5:$E$76,0))</x:f>
        <x:v>10</x:v>
      </x:c>
      <x:c r="F929" s="10" t="n">
        <x:f>SUM(XLOOKUP('포켓몬_편집'!$AF929:$AN929,'분류_규칙'!$A$5:$A$76,'분류_규칙'!$F$5:$F$76,0))</x:f>
        <x:v>7</x:v>
      </x:c>
      <x:c r="G929" s="10" t="n">
        <x:f>SUM(XLOOKUP('포켓몬_편집'!$AF929:$AN929,'분류_규칙'!$A$5:$A$76,'분류_규칙'!$G$5:$G$76,0))</x:f>
        <x:v>5</x:v>
      </x:c>
      <x:c r="H929" s="10" t="n">
        <x:f>SUM(XLOOKUP('포켓몬_편집'!$AF929:$AN929,'분류_규칙'!$A$5:$A$76,'분류_규칙'!$H$5:$H$76,0))</x:f>
        <x:v>5</x:v>
      </x:c>
      <x:c r="I929" s="10" t="n">
        <x:f>SUM(XLOOKUP('포켓몬_편집'!$AF929:$AN929,'분류_규칙'!$A$5:$A$76,'분류_규칙'!$I$5:$I$76,0))</x:f>
        <x:v>0</x:v>
      </x:c>
      <x:c r="J929" s="10" t="n">
        <x:f>SUM(XLOOKUP('포켓몬_편집'!$AF929:$AN929,'분류_규칙'!$A$5:$A$76,'분류_규칙'!$J$5:$J$76,0))</x:f>
        <x:v>2</x:v>
      </x:c>
      <x:c r="K929" s="10" t="n">
        <x:f>SUM(XLOOKUP('포켓몬_편집'!$AF929:$AN929,'분류_규칙'!$A$5:$A$76,'분류_규칙'!$K$5:$K$76,0))</x:f>
        <x:v>0</x:v>
      </x:c>
      <x:c r="L929" s="10" t="n">
        <x:f>SUM(XLOOKUP('포켓몬_편집'!$AF929:$AN929,'분류_규칙'!$A$5:$A$76,'분류_규칙'!$L$5:$L$76,0))</x:f>
        <x:v>0</x:v>
      </x:c>
      <x:c r="M929" s="10" t="n">
        <x:f>SUM(XLOOKUP('포켓몬_편집'!$AF929:$AN929,'분류_규칙'!$A$5:$A$76,'분류_규칙'!$M$5:$M$76,0))</x:f>
        <x:v>0</x:v>
      </x:c>
      <x:c r="N929" s="10" t="n">
        <x:f>SUM(XLOOKUP('포켓몬_편집'!$AF929:$AN929,'분류_규칙'!$A$5:$A$76,'분류_규칙'!$N$5:$N$76,0))</x:f>
        <x:v>0</x:v>
      </x:c>
      <x:c r="O929" s="10" t="n">
        <x:f>SUM(XLOOKUP('포켓몬_편집'!$AF929:$AN929,'분류_규칙'!$A$5:$A$76,'분류_규칙'!$O$5:$O$76,0))</x:f>
        <x:v>2</x:v>
      </x:c>
      <x:c r="P929" s="10" t="n">
        <x:f>SUM(XLOOKUP('포켓몬_편집'!$AF929:$AN929,'분류_규칙'!$A$5:$A$76,'분류_규칙'!$P$5:$P$76,0))</x:f>
        <x:v>0</x:v>
      </x:c>
    </x:row>
    <x:row r="930" ht="22" customHeight="1">
      <x:c r="A930" s="5" t="n">
        <x:v>926</x:v>
      </x:c>
      <x:c r="B930" s="5" t="inlineStr">
        <x:is>
          <x:t xml:space="preserve">쫀도기</x:t>
        </x:is>
      </x:c>
      <x:c r="C930" s="5" t="inlineStr">
        <x:is>
          <x:t xml:space="preserve">fidough</x:t>
        </x:is>
      </x:c>
      <x:c r="D930" s="5" t="n">
        <x:v>9</x:v>
      </x:c>
      <x:c r="E930" s="10" t="n">
        <x:f>SUM(XLOOKUP('포켓몬_편집'!$AF930:$AN930,'분류_규칙'!$A$5:$A$76,'분류_규칙'!$E$5:$E$76,0))</x:f>
        <x:v>10</x:v>
      </x:c>
      <x:c r="F930" s="10" t="n">
        <x:f>SUM(XLOOKUP('포켓몬_편집'!$AF930:$AN930,'분류_규칙'!$A$5:$A$76,'분류_규칙'!$F$5:$F$76,0))</x:f>
        <x:v>7</x:v>
      </x:c>
      <x:c r="G930" s="10" t="n">
        <x:f>SUM(XLOOKUP('포켓몬_편집'!$AF930:$AN930,'분류_규칙'!$A$5:$A$76,'분류_규칙'!$G$5:$G$76,0))</x:f>
        <x:v>5</x:v>
      </x:c>
      <x:c r="H930" s="10" t="n">
        <x:f>SUM(XLOOKUP('포켓몬_편집'!$AF930:$AN930,'분류_규칙'!$A$5:$A$76,'분류_규칙'!$H$5:$H$76,0))</x:f>
        <x:v>5</x:v>
      </x:c>
      <x:c r="I930" s="10" t="n">
        <x:f>SUM(XLOOKUP('포켓몬_편집'!$AF930:$AN930,'분류_규칙'!$A$5:$A$76,'분류_규칙'!$I$5:$I$76,0))</x:f>
        <x:v>0</x:v>
      </x:c>
      <x:c r="J930" s="10" t="n">
        <x:f>SUM(XLOOKUP('포켓몬_편집'!$AF930:$AN930,'분류_규칙'!$A$5:$A$76,'분류_규칙'!$J$5:$J$76,0))</x:f>
        <x:v>2</x:v>
      </x:c>
      <x:c r="K930" s="10" t="n">
        <x:f>SUM(XLOOKUP('포켓몬_편집'!$AF930:$AN930,'분류_규칙'!$A$5:$A$76,'분류_규칙'!$K$5:$K$76,0))</x:f>
        <x:v>0</x:v>
      </x:c>
      <x:c r="L930" s="10" t="n">
        <x:f>SUM(XLOOKUP('포켓몬_편집'!$AF930:$AN930,'분류_규칙'!$A$5:$A$76,'분류_규칙'!$L$5:$L$76,0))</x:f>
        <x:v>0</x:v>
      </x:c>
      <x:c r="M930" s="10" t="n">
        <x:f>SUM(XLOOKUP('포켓몬_편집'!$AF930:$AN930,'분류_규칙'!$A$5:$A$76,'분류_규칙'!$M$5:$M$76,0))</x:f>
        <x:v>0</x:v>
      </x:c>
      <x:c r="N930" s="10" t="n">
        <x:f>SUM(XLOOKUP('포켓몬_편집'!$AF930:$AN930,'분류_규칙'!$A$5:$A$76,'분류_규칙'!$N$5:$N$76,0))</x:f>
        <x:v>0</x:v>
      </x:c>
      <x:c r="O930" s="10" t="n">
        <x:f>SUM(XLOOKUP('포켓몬_편집'!$AF930:$AN930,'분류_규칙'!$A$5:$A$76,'분류_규칙'!$O$5:$O$76,0))</x:f>
        <x:v>2</x:v>
      </x:c>
      <x:c r="P930" s="10" t="n">
        <x:f>SUM(XLOOKUP('포켓몬_편집'!$AF930:$AN930,'분류_규칙'!$A$5:$A$76,'분류_규칙'!$P$5:$P$76,0))</x:f>
        <x:v>0</x:v>
      </x:c>
    </x:row>
    <x:row r="931" ht="22" customHeight="1">
      <x:c r="A931" s="5" t="n">
        <x:v>927</x:v>
      </x:c>
      <x:c r="B931" s="5" t="inlineStr">
        <x:is>
          <x:t xml:space="preserve">바우첼</x:t>
        </x:is>
      </x:c>
      <x:c r="C931" s="5" t="inlineStr">
        <x:is>
          <x:t xml:space="preserve">dachsbun</x:t>
        </x:is>
      </x:c>
      <x:c r="D931" s="5" t="n">
        <x:v>9</x:v>
      </x:c>
      <x:c r="E931" s="10" t="n">
        <x:f>SUM(XLOOKUP('포켓몬_편집'!$AF931:$AN931,'분류_규칙'!$A$5:$A$76,'분류_규칙'!$E$5:$E$76,0))</x:f>
        <x:v>10</x:v>
      </x:c>
      <x:c r="F931" s="10" t="n">
        <x:f>SUM(XLOOKUP('포켓몬_편집'!$AF931:$AN931,'분류_규칙'!$A$5:$A$76,'분류_규칙'!$F$5:$F$76,0))</x:f>
        <x:v>7</x:v>
      </x:c>
      <x:c r="G931" s="10" t="n">
        <x:f>SUM(XLOOKUP('포켓몬_편집'!$AF931:$AN931,'분류_규칙'!$A$5:$A$76,'분류_규칙'!$G$5:$G$76,0))</x:f>
        <x:v>5</x:v>
      </x:c>
      <x:c r="H931" s="10" t="n">
        <x:f>SUM(XLOOKUP('포켓몬_편집'!$AF931:$AN931,'분류_규칙'!$A$5:$A$76,'분류_규칙'!$H$5:$H$76,0))</x:f>
        <x:v>5</x:v>
      </x:c>
      <x:c r="I931" s="10" t="n">
        <x:f>SUM(XLOOKUP('포켓몬_편집'!$AF931:$AN931,'분류_규칙'!$A$5:$A$76,'분류_규칙'!$I$5:$I$76,0))</x:f>
        <x:v>0</x:v>
      </x:c>
      <x:c r="J931" s="10" t="n">
        <x:f>SUM(XLOOKUP('포켓몬_편집'!$AF931:$AN931,'분류_규칙'!$A$5:$A$76,'분류_규칙'!$J$5:$J$76,0))</x:f>
        <x:v>2</x:v>
      </x:c>
      <x:c r="K931" s="10" t="n">
        <x:f>SUM(XLOOKUP('포켓몬_편집'!$AF931:$AN931,'분류_규칙'!$A$5:$A$76,'분류_규칙'!$K$5:$K$76,0))</x:f>
        <x:v>0</x:v>
      </x:c>
      <x:c r="L931" s="10" t="n">
        <x:f>SUM(XLOOKUP('포켓몬_편집'!$AF931:$AN931,'분류_규칙'!$A$5:$A$76,'분류_규칙'!$L$5:$L$76,0))</x:f>
        <x:v>0</x:v>
      </x:c>
      <x:c r="M931" s="10" t="n">
        <x:f>SUM(XLOOKUP('포켓몬_편집'!$AF931:$AN931,'분류_규칙'!$A$5:$A$76,'분류_규칙'!$M$5:$M$76,0))</x:f>
        <x:v>0</x:v>
      </x:c>
      <x:c r="N931" s="10" t="n">
        <x:f>SUM(XLOOKUP('포켓몬_편집'!$AF931:$AN931,'분류_규칙'!$A$5:$A$76,'분류_규칙'!$N$5:$N$76,0))</x:f>
        <x:v>0</x:v>
      </x:c>
      <x:c r="O931" s="10" t="n">
        <x:f>SUM(XLOOKUP('포켓몬_편집'!$AF931:$AN931,'분류_규칙'!$A$5:$A$76,'분류_규칙'!$O$5:$O$76,0))</x:f>
        <x:v>2</x:v>
      </x:c>
      <x:c r="P931" s="10" t="n">
        <x:f>SUM(XLOOKUP('포켓몬_편집'!$AF931:$AN931,'분류_규칙'!$A$5:$A$76,'분류_규칙'!$P$5:$P$76,0))</x:f>
        <x:v>0</x:v>
      </x:c>
    </x:row>
    <x:row r="932" ht="22" customHeight="1">
      <x:c r="A932" s="5" t="n">
        <x:v>928</x:v>
      </x:c>
      <x:c r="B932" s="5" t="inlineStr">
        <x:is>
          <x:t xml:space="preserve">미니브</x:t>
        </x:is>
      </x:c>
      <x:c r="C932" s="5" t="inlineStr">
        <x:is>
          <x:t xml:space="preserve">smoliv</x:t>
        </x:is>
      </x:c>
      <x:c r="D932" s="5" t="n">
        <x:v>9</x:v>
      </x:c>
      <x:c r="E932" s="10" t="n">
        <x:f>SUM(XLOOKUP('포켓몬_편집'!$AF932:$AN932,'분류_규칙'!$A$5:$A$76,'분류_규칙'!$E$5:$E$76,0))</x:f>
        <x:v>10</x:v>
      </x:c>
      <x:c r="F932" s="10" t="n">
        <x:f>SUM(XLOOKUP('포켓몬_편집'!$AF932:$AN932,'분류_규칙'!$A$5:$A$76,'분류_규칙'!$F$5:$F$76,0))</x:f>
        <x:v>7</x:v>
      </x:c>
      <x:c r="G932" s="10" t="n">
        <x:f>SUM(XLOOKUP('포켓몬_편집'!$AF932:$AN932,'분류_규칙'!$A$5:$A$76,'분류_규칙'!$G$5:$G$76,0))</x:f>
        <x:v>5</x:v>
      </x:c>
      <x:c r="H932" s="10" t="n">
        <x:f>SUM(XLOOKUP('포켓몬_편집'!$AF932:$AN932,'분류_규칙'!$A$5:$A$76,'분류_규칙'!$H$5:$H$76,0))</x:f>
        <x:v>5</x:v>
      </x:c>
      <x:c r="I932" s="10" t="n">
        <x:f>SUM(XLOOKUP('포켓몬_편집'!$AF932:$AN932,'분류_규칙'!$A$5:$A$76,'분류_규칙'!$I$5:$I$76,0))</x:f>
        <x:v>0</x:v>
      </x:c>
      <x:c r="J932" s="10" t="n">
        <x:f>SUM(XLOOKUP('포켓몬_편집'!$AF932:$AN932,'분류_규칙'!$A$5:$A$76,'분류_규칙'!$J$5:$J$76,0))</x:f>
        <x:v>2</x:v>
      </x:c>
      <x:c r="K932" s="10" t="n">
        <x:f>SUM(XLOOKUP('포켓몬_편집'!$AF932:$AN932,'분류_규칙'!$A$5:$A$76,'분류_규칙'!$K$5:$K$76,0))</x:f>
        <x:v>0</x:v>
      </x:c>
      <x:c r="L932" s="10" t="n">
        <x:f>SUM(XLOOKUP('포켓몬_편집'!$AF932:$AN932,'분류_규칙'!$A$5:$A$76,'분류_규칙'!$L$5:$L$76,0))</x:f>
        <x:v>0</x:v>
      </x:c>
      <x:c r="M932" s="10" t="n">
        <x:f>SUM(XLOOKUP('포켓몬_편집'!$AF932:$AN932,'분류_규칙'!$A$5:$A$76,'분류_규칙'!$M$5:$M$76,0))</x:f>
        <x:v>0</x:v>
      </x:c>
      <x:c r="N932" s="10" t="n">
        <x:f>SUM(XLOOKUP('포켓몬_편집'!$AF932:$AN932,'분류_규칙'!$A$5:$A$76,'분류_규칙'!$N$5:$N$76,0))</x:f>
        <x:v>0</x:v>
      </x:c>
      <x:c r="O932" s="10" t="n">
        <x:f>SUM(XLOOKUP('포켓몬_편집'!$AF932:$AN932,'분류_규칙'!$A$5:$A$76,'분류_규칙'!$O$5:$O$76,0))</x:f>
        <x:v>2</x:v>
      </x:c>
      <x:c r="P932" s="10" t="n">
        <x:f>SUM(XLOOKUP('포켓몬_편집'!$AF932:$AN932,'분류_규칙'!$A$5:$A$76,'분류_규칙'!$P$5:$P$76,0))</x:f>
        <x:v>0</x:v>
      </x:c>
    </x:row>
    <x:row r="933" ht="22" customHeight="1">
      <x:c r="A933" s="5" t="n">
        <x:v>929</x:v>
      </x:c>
      <x:c r="B933" s="5" t="inlineStr">
        <x:is>
          <x:t xml:space="preserve">올리뇨</x:t>
        </x:is>
      </x:c>
      <x:c r="C933" s="5" t="inlineStr">
        <x:is>
          <x:t xml:space="preserve">dolliv</x:t>
        </x:is>
      </x:c>
      <x:c r="D933" s="5" t="n">
        <x:v>9</x:v>
      </x:c>
      <x:c r="E933" s="10" t="n">
        <x:f>SUM(XLOOKUP('포켓몬_편집'!$AF933:$AN933,'분류_규칙'!$A$5:$A$76,'분류_규칙'!$E$5:$E$76,0))</x:f>
        <x:v>10</x:v>
      </x:c>
      <x:c r="F933" s="10" t="n">
        <x:f>SUM(XLOOKUP('포켓몬_편집'!$AF933:$AN933,'분류_규칙'!$A$5:$A$76,'분류_규칙'!$F$5:$F$76,0))</x:f>
        <x:v>7</x:v>
      </x:c>
      <x:c r="G933" s="10" t="n">
        <x:f>SUM(XLOOKUP('포켓몬_편집'!$AF933:$AN933,'분류_규칙'!$A$5:$A$76,'분류_규칙'!$G$5:$G$76,0))</x:f>
        <x:v>5</x:v>
      </x:c>
      <x:c r="H933" s="10" t="n">
        <x:f>SUM(XLOOKUP('포켓몬_편집'!$AF933:$AN933,'분류_규칙'!$A$5:$A$76,'분류_규칙'!$H$5:$H$76,0))</x:f>
        <x:v>5</x:v>
      </x:c>
      <x:c r="I933" s="10" t="n">
        <x:f>SUM(XLOOKUP('포켓몬_편집'!$AF933:$AN933,'분류_규칙'!$A$5:$A$76,'분류_규칙'!$I$5:$I$76,0))</x:f>
        <x:v>0</x:v>
      </x:c>
      <x:c r="J933" s="10" t="n">
        <x:f>SUM(XLOOKUP('포켓몬_편집'!$AF933:$AN933,'분류_규칙'!$A$5:$A$76,'분류_규칙'!$J$5:$J$76,0))</x:f>
        <x:v>2</x:v>
      </x:c>
      <x:c r="K933" s="10" t="n">
        <x:f>SUM(XLOOKUP('포켓몬_편집'!$AF933:$AN933,'분류_규칙'!$A$5:$A$76,'분류_규칙'!$K$5:$K$76,0))</x:f>
        <x:v>0</x:v>
      </x:c>
      <x:c r="L933" s="10" t="n">
        <x:f>SUM(XLOOKUP('포켓몬_편집'!$AF933:$AN933,'분류_규칙'!$A$5:$A$76,'분류_규칙'!$L$5:$L$76,0))</x:f>
        <x:v>0</x:v>
      </x:c>
      <x:c r="M933" s="10" t="n">
        <x:f>SUM(XLOOKUP('포켓몬_편집'!$AF933:$AN933,'분류_규칙'!$A$5:$A$76,'분류_규칙'!$M$5:$M$76,0))</x:f>
        <x:v>0</x:v>
      </x:c>
      <x:c r="N933" s="10" t="n">
        <x:f>SUM(XLOOKUP('포켓몬_편집'!$AF933:$AN933,'분류_규칙'!$A$5:$A$76,'분류_규칙'!$N$5:$N$76,0))</x:f>
        <x:v>0</x:v>
      </x:c>
      <x:c r="O933" s="10" t="n">
        <x:f>SUM(XLOOKUP('포켓몬_편집'!$AF933:$AN933,'분류_규칙'!$A$5:$A$76,'분류_규칙'!$O$5:$O$76,0))</x:f>
        <x:v>2</x:v>
      </x:c>
      <x:c r="P933" s="10" t="n">
        <x:f>SUM(XLOOKUP('포켓몬_편집'!$AF933:$AN933,'분류_규칙'!$A$5:$A$76,'분류_규칙'!$P$5:$P$76,0))</x:f>
        <x:v>0</x:v>
      </x:c>
    </x:row>
    <x:row r="934" ht="22" customHeight="1">
      <x:c r="A934" s="5" t="n">
        <x:v>930</x:v>
      </x:c>
      <x:c r="B934" s="5" t="inlineStr">
        <x:is>
          <x:t xml:space="preserve">올리르바</x:t>
        </x:is>
      </x:c>
      <x:c r="C934" s="5" t="inlineStr">
        <x:is>
          <x:t xml:space="preserve">arboliva</x:t>
        </x:is>
      </x:c>
      <x:c r="D934" s="5" t="n">
        <x:v>9</x:v>
      </x:c>
      <x:c r="E934" s="10" t="n">
        <x:f>SUM(XLOOKUP('포켓몬_편집'!$AF934:$AN934,'분류_규칙'!$A$5:$A$76,'분류_규칙'!$E$5:$E$76,0))</x:f>
        <x:v>10</x:v>
      </x:c>
      <x:c r="F934" s="10" t="n">
        <x:f>SUM(XLOOKUP('포켓몬_편집'!$AF934:$AN934,'분류_규칙'!$A$5:$A$76,'분류_규칙'!$F$5:$F$76,0))</x:f>
        <x:v>7</x:v>
      </x:c>
      <x:c r="G934" s="10" t="n">
        <x:f>SUM(XLOOKUP('포켓몬_편집'!$AF934:$AN934,'분류_규칙'!$A$5:$A$76,'분류_규칙'!$G$5:$G$76,0))</x:f>
        <x:v>5</x:v>
      </x:c>
      <x:c r="H934" s="10" t="n">
        <x:f>SUM(XLOOKUP('포켓몬_편집'!$AF934:$AN934,'분류_규칙'!$A$5:$A$76,'분류_규칙'!$H$5:$H$76,0))</x:f>
        <x:v>5</x:v>
      </x:c>
      <x:c r="I934" s="10" t="n">
        <x:f>SUM(XLOOKUP('포켓몬_편집'!$AF934:$AN934,'분류_규칙'!$A$5:$A$76,'분류_규칙'!$I$5:$I$76,0))</x:f>
        <x:v>0</x:v>
      </x:c>
      <x:c r="J934" s="10" t="n">
        <x:f>SUM(XLOOKUP('포켓몬_편집'!$AF934:$AN934,'분류_규칙'!$A$5:$A$76,'분류_규칙'!$J$5:$J$76,0))</x:f>
        <x:v>2</x:v>
      </x:c>
      <x:c r="K934" s="10" t="n">
        <x:f>SUM(XLOOKUP('포켓몬_편집'!$AF934:$AN934,'분류_규칙'!$A$5:$A$76,'분류_규칙'!$K$5:$K$76,0))</x:f>
        <x:v>0</x:v>
      </x:c>
      <x:c r="L934" s="10" t="n">
        <x:f>SUM(XLOOKUP('포켓몬_편집'!$AF934:$AN934,'분류_규칙'!$A$5:$A$76,'분류_규칙'!$L$5:$L$76,0))</x:f>
        <x:v>0</x:v>
      </x:c>
      <x:c r="M934" s="10" t="n">
        <x:f>SUM(XLOOKUP('포켓몬_편집'!$AF934:$AN934,'분류_규칙'!$A$5:$A$76,'분류_규칙'!$M$5:$M$76,0))</x:f>
        <x:v>0</x:v>
      </x:c>
      <x:c r="N934" s="10" t="n">
        <x:f>SUM(XLOOKUP('포켓몬_편집'!$AF934:$AN934,'분류_규칙'!$A$5:$A$76,'분류_규칙'!$N$5:$N$76,0))</x:f>
        <x:v>0</x:v>
      </x:c>
      <x:c r="O934" s="10" t="n">
        <x:f>SUM(XLOOKUP('포켓몬_편집'!$AF934:$AN934,'분류_규칙'!$A$5:$A$76,'분류_규칙'!$O$5:$O$76,0))</x:f>
        <x:v>2</x:v>
      </x:c>
      <x:c r="P934" s="10" t="n">
        <x:f>SUM(XLOOKUP('포켓몬_편집'!$AF934:$AN934,'분류_규칙'!$A$5:$A$76,'분류_규칙'!$P$5:$P$76,0))</x:f>
        <x:v>0</x:v>
      </x:c>
    </x:row>
    <x:row r="935" ht="22" customHeight="1">
      <x:c r="A935" s="5" t="n">
        <x:v>931</x:v>
      </x:c>
      <x:c r="B935" s="5" t="inlineStr">
        <x:is>
          <x:t xml:space="preserve">시비꼬</x:t>
        </x:is>
      </x:c>
      <x:c r="C935" s="5" t="inlineStr">
        <x:is>
          <x:t xml:space="preserve">squawkabilly</x:t>
        </x:is>
      </x:c>
      <x:c r="D935" s="5" t="n">
        <x:v>9</x:v>
      </x:c>
      <x:c r="E935" s="10" t="n">
        <x:f>SUM(XLOOKUP('포켓몬_편집'!$AF935:$AN935,'분류_규칙'!$A$5:$A$76,'분류_규칙'!$E$5:$E$76,0))</x:f>
        <x:v>8</x:v>
      </x:c>
      <x:c r="F935" s="10" t="n">
        <x:f>SUM(XLOOKUP('포켓몬_편집'!$AF935:$AN935,'분류_규칙'!$A$5:$A$76,'분류_규칙'!$F$5:$F$76,0))</x:f>
        <x:v>8</x:v>
      </x:c>
      <x:c r="G935" s="10" t="n">
        <x:f>SUM(XLOOKUP('포켓몬_편집'!$AF935:$AN935,'분류_규칙'!$A$5:$A$76,'분류_규칙'!$G$5:$G$76,0))</x:f>
        <x:v>0</x:v>
      </x:c>
      <x:c r="H935" s="10" t="n">
        <x:f>SUM(XLOOKUP('포켓몬_편집'!$AF935:$AN935,'분류_규칙'!$A$5:$A$76,'분류_규칙'!$H$5:$H$76,0))</x:f>
        <x:v>12</x:v>
      </x:c>
      <x:c r="I935" s="10" t="n">
        <x:f>SUM(XLOOKUP('포켓몬_편집'!$AF935:$AN935,'분류_규칙'!$A$5:$A$76,'분류_규칙'!$I$5:$I$76,0))</x:f>
        <x:v>0</x:v>
      </x:c>
      <x:c r="J935" s="10" t="n">
        <x:f>SUM(XLOOKUP('포켓몬_편집'!$AF935:$AN935,'분류_규칙'!$A$5:$A$76,'분류_규칙'!$J$5:$J$76,0))</x:f>
        <x:v>0</x:v>
      </x:c>
      <x:c r="K935" s="10" t="n">
        <x:f>SUM(XLOOKUP('포켓몬_편집'!$AF935:$AN935,'분류_규칙'!$A$5:$A$76,'분류_규칙'!$K$5:$K$76,0))</x:f>
        <x:v>0</x:v>
      </x:c>
      <x:c r="L935" s="10" t="n">
        <x:f>SUM(XLOOKUP('포켓몬_편집'!$AF935:$AN935,'분류_규칙'!$A$5:$A$76,'분류_규칙'!$L$5:$L$76,0))</x:f>
        <x:v>3</x:v>
      </x:c>
      <x:c r="M935" s="10" t="n">
        <x:f>SUM(XLOOKUP('포켓몬_편집'!$AF935:$AN935,'분류_규칙'!$A$5:$A$76,'분류_규칙'!$M$5:$M$76,0))</x:f>
        <x:v>0</x:v>
      </x:c>
      <x:c r="N935" s="10" t="n">
        <x:f>SUM(XLOOKUP('포켓몬_편집'!$AF935:$AN935,'분류_규칙'!$A$5:$A$76,'분류_규칙'!$N$5:$N$76,0))</x:f>
        <x:v>0</x:v>
      </x:c>
      <x:c r="O935" s="10" t="n">
        <x:f>SUM(XLOOKUP('포켓몬_편집'!$AF935:$AN935,'분류_규칙'!$A$5:$A$76,'분류_규칙'!$O$5:$O$76,0))</x:f>
        <x:v>2</x:v>
      </x:c>
      <x:c r="P935" s="10" t="n">
        <x:f>SUM(XLOOKUP('포켓몬_편집'!$AF935:$AN935,'분류_규칙'!$A$5:$A$76,'분류_규칙'!$P$5:$P$76,0))</x:f>
        <x:v>0</x:v>
      </x:c>
    </x:row>
    <x:row r="936" ht="22" customHeight="1">
      <x:c r="A936" s="5" t="n">
        <x:v>932</x:v>
      </x:c>
      <x:c r="B936" s="5" t="inlineStr">
        <x:is>
          <x:t xml:space="preserve">베베솔트</x:t>
        </x:is>
      </x:c>
      <x:c r="C936" s="5" t="inlineStr">
        <x:is>
          <x:t xml:space="preserve">nacli</x:t>
        </x:is>
      </x:c>
      <x:c r="D936" s="5" t="n">
        <x:v>9</x:v>
      </x:c>
      <x:c r="E936" s="10" t="n">
        <x:f>SUM(XLOOKUP('포켓몬_편집'!$AF936:$AN936,'분류_규칙'!$A$5:$A$76,'분류_규칙'!$E$5:$E$76,0))</x:f>
        <x:v>10</x:v>
      </x:c>
      <x:c r="F936" s="10" t="n">
        <x:f>SUM(XLOOKUP('포켓몬_편집'!$AF936:$AN936,'분류_규칙'!$A$5:$A$76,'분류_규칙'!$F$5:$F$76,0))</x:f>
        <x:v>7</x:v>
      </x:c>
      <x:c r="G936" s="10" t="n">
        <x:f>SUM(XLOOKUP('포켓몬_편집'!$AF936:$AN936,'분류_규칙'!$A$5:$A$76,'분류_규칙'!$G$5:$G$76,0))</x:f>
        <x:v>5</x:v>
      </x:c>
      <x:c r="H936" s="10" t="n">
        <x:f>SUM(XLOOKUP('포켓몬_편집'!$AF936:$AN936,'분류_규칙'!$A$5:$A$76,'분류_규칙'!$H$5:$H$76,0))</x:f>
        <x:v>5</x:v>
      </x:c>
      <x:c r="I936" s="10" t="n">
        <x:f>SUM(XLOOKUP('포켓몬_편집'!$AF936:$AN936,'분류_규칙'!$A$5:$A$76,'분류_규칙'!$I$5:$I$76,0))</x:f>
        <x:v>0</x:v>
      </x:c>
      <x:c r="J936" s="10" t="n">
        <x:f>SUM(XLOOKUP('포켓몬_편집'!$AF936:$AN936,'분류_규칙'!$A$5:$A$76,'분류_규칙'!$J$5:$J$76,0))</x:f>
        <x:v>2</x:v>
      </x:c>
      <x:c r="K936" s="10" t="n">
        <x:f>SUM(XLOOKUP('포켓몬_편집'!$AF936:$AN936,'분류_규칙'!$A$5:$A$76,'분류_규칙'!$K$5:$K$76,0))</x:f>
        <x:v>0</x:v>
      </x:c>
      <x:c r="L936" s="10" t="n">
        <x:f>SUM(XLOOKUP('포켓몬_편집'!$AF936:$AN936,'분류_규칙'!$A$5:$A$76,'분류_규칙'!$L$5:$L$76,0))</x:f>
        <x:v>0</x:v>
      </x:c>
      <x:c r="M936" s="10" t="n">
        <x:f>SUM(XLOOKUP('포켓몬_편집'!$AF936:$AN936,'분류_규칙'!$A$5:$A$76,'분류_규칙'!$M$5:$M$76,0))</x:f>
        <x:v>0</x:v>
      </x:c>
      <x:c r="N936" s="10" t="n">
        <x:f>SUM(XLOOKUP('포켓몬_편집'!$AF936:$AN936,'분류_규칙'!$A$5:$A$76,'분류_규칙'!$N$5:$N$76,0))</x:f>
        <x:v>0</x:v>
      </x:c>
      <x:c r="O936" s="10" t="n">
        <x:f>SUM(XLOOKUP('포켓몬_편집'!$AF936:$AN936,'분류_규칙'!$A$5:$A$76,'분류_규칙'!$O$5:$O$76,0))</x:f>
        <x:v>2</x:v>
      </x:c>
      <x:c r="P936" s="10" t="n">
        <x:f>SUM(XLOOKUP('포켓몬_편집'!$AF936:$AN936,'분류_규칙'!$A$5:$A$76,'분류_규칙'!$P$5:$P$76,0))</x:f>
        <x:v>0</x:v>
      </x:c>
    </x:row>
    <x:row r="937" ht="22" customHeight="1">
      <x:c r="A937" s="5" t="n">
        <x:v>933</x:v>
      </x:c>
      <x:c r="B937" s="5" t="inlineStr">
        <x:is>
          <x:t xml:space="preserve">스태솔트</x:t>
        </x:is>
      </x:c>
      <x:c r="C937" s="5" t="inlineStr">
        <x:is>
          <x:t xml:space="preserve">naclstack</x:t>
        </x:is>
      </x:c>
      <x:c r="D937" s="5" t="n">
        <x:v>9</x:v>
      </x:c>
      <x:c r="E937" s="10" t="n">
        <x:f>SUM(XLOOKUP('포켓몬_편집'!$AF937:$AN937,'분류_규칙'!$A$5:$A$76,'분류_규칙'!$E$5:$E$76,0))</x:f>
        <x:v>10</x:v>
      </x:c>
      <x:c r="F937" s="10" t="n">
        <x:f>SUM(XLOOKUP('포켓몬_편집'!$AF937:$AN937,'분류_규칙'!$A$5:$A$76,'분류_규칙'!$F$5:$F$76,0))</x:f>
        <x:v>7</x:v>
      </x:c>
      <x:c r="G937" s="10" t="n">
        <x:f>SUM(XLOOKUP('포켓몬_편집'!$AF937:$AN937,'분류_규칙'!$A$5:$A$76,'분류_규칙'!$G$5:$G$76,0))</x:f>
        <x:v>5</x:v>
      </x:c>
      <x:c r="H937" s="10" t="n">
        <x:f>SUM(XLOOKUP('포켓몬_편집'!$AF937:$AN937,'분류_규칙'!$A$5:$A$76,'분류_규칙'!$H$5:$H$76,0))</x:f>
        <x:v>5</x:v>
      </x:c>
      <x:c r="I937" s="10" t="n">
        <x:f>SUM(XLOOKUP('포켓몬_편집'!$AF937:$AN937,'분류_규칙'!$A$5:$A$76,'분류_규칙'!$I$5:$I$76,0))</x:f>
        <x:v>0</x:v>
      </x:c>
      <x:c r="J937" s="10" t="n">
        <x:f>SUM(XLOOKUP('포켓몬_편집'!$AF937:$AN937,'분류_규칙'!$A$5:$A$76,'분류_규칙'!$J$5:$J$76,0))</x:f>
        <x:v>2</x:v>
      </x:c>
      <x:c r="K937" s="10" t="n">
        <x:f>SUM(XLOOKUP('포켓몬_편집'!$AF937:$AN937,'분류_규칙'!$A$5:$A$76,'분류_규칙'!$K$5:$K$76,0))</x:f>
        <x:v>0</x:v>
      </x:c>
      <x:c r="L937" s="10" t="n">
        <x:f>SUM(XLOOKUP('포켓몬_편집'!$AF937:$AN937,'분류_규칙'!$A$5:$A$76,'분류_규칙'!$L$5:$L$76,0))</x:f>
        <x:v>0</x:v>
      </x:c>
      <x:c r="M937" s="10" t="n">
        <x:f>SUM(XLOOKUP('포켓몬_편집'!$AF937:$AN937,'분류_규칙'!$A$5:$A$76,'분류_규칙'!$M$5:$M$76,0))</x:f>
        <x:v>0</x:v>
      </x:c>
      <x:c r="N937" s="10" t="n">
        <x:f>SUM(XLOOKUP('포켓몬_편집'!$AF937:$AN937,'분류_규칙'!$A$5:$A$76,'분류_규칙'!$N$5:$N$76,0))</x:f>
        <x:v>0</x:v>
      </x:c>
      <x:c r="O937" s="10" t="n">
        <x:f>SUM(XLOOKUP('포켓몬_편집'!$AF937:$AN937,'분류_규칙'!$A$5:$A$76,'분류_규칙'!$O$5:$O$76,0))</x:f>
        <x:v>2</x:v>
      </x:c>
      <x:c r="P937" s="10" t="n">
        <x:f>SUM(XLOOKUP('포켓몬_편집'!$AF937:$AN937,'분류_규칙'!$A$5:$A$76,'분류_규칙'!$P$5:$P$76,0))</x:f>
        <x:v>0</x:v>
      </x:c>
    </x:row>
    <x:row r="938" ht="22" customHeight="1">
      <x:c r="A938" s="5" t="n">
        <x:v>934</x:v>
      </x:c>
      <x:c r="B938" s="5" t="inlineStr">
        <x:is>
          <x:t xml:space="preserve">콜로솔트</x:t>
        </x:is>
      </x:c>
      <x:c r="C938" s="5" t="inlineStr">
        <x:is>
          <x:t xml:space="preserve">garganacl</x:t>
        </x:is>
      </x:c>
      <x:c r="D938" s="5" t="n">
        <x:v>9</x:v>
      </x:c>
      <x:c r="E938" s="10" t="n">
        <x:f>SUM(XLOOKUP('포켓몬_편집'!$AF938:$AN938,'분류_규칙'!$A$5:$A$76,'분류_규칙'!$E$5:$E$76,0))</x:f>
        <x:v>10</x:v>
      </x:c>
      <x:c r="F938" s="10" t="n">
        <x:f>SUM(XLOOKUP('포켓몬_편집'!$AF938:$AN938,'분류_규칙'!$A$5:$A$76,'분류_규칙'!$F$5:$F$76,0))</x:f>
        <x:v>7</x:v>
      </x:c>
      <x:c r="G938" s="10" t="n">
        <x:f>SUM(XLOOKUP('포켓몬_편집'!$AF938:$AN938,'분류_규칙'!$A$5:$A$76,'분류_규칙'!$G$5:$G$76,0))</x:f>
        <x:v>5</x:v>
      </x:c>
      <x:c r="H938" s="10" t="n">
        <x:f>SUM(XLOOKUP('포켓몬_편집'!$AF938:$AN938,'분류_규칙'!$A$5:$A$76,'분류_규칙'!$H$5:$H$76,0))</x:f>
        <x:v>5</x:v>
      </x:c>
      <x:c r="I938" s="10" t="n">
        <x:f>SUM(XLOOKUP('포켓몬_편집'!$AF938:$AN938,'분류_규칙'!$A$5:$A$76,'분류_규칙'!$I$5:$I$76,0))</x:f>
        <x:v>0</x:v>
      </x:c>
      <x:c r="J938" s="10" t="n">
        <x:f>SUM(XLOOKUP('포켓몬_편집'!$AF938:$AN938,'분류_규칙'!$A$5:$A$76,'분류_규칙'!$J$5:$J$76,0))</x:f>
        <x:v>2</x:v>
      </x:c>
      <x:c r="K938" s="10" t="n">
        <x:f>SUM(XLOOKUP('포켓몬_편집'!$AF938:$AN938,'분류_규칙'!$A$5:$A$76,'분류_규칙'!$K$5:$K$76,0))</x:f>
        <x:v>0</x:v>
      </x:c>
      <x:c r="L938" s="10" t="n">
        <x:f>SUM(XLOOKUP('포켓몬_편집'!$AF938:$AN938,'분류_규칙'!$A$5:$A$76,'분류_규칙'!$L$5:$L$76,0))</x:f>
        <x:v>0</x:v>
      </x:c>
      <x:c r="M938" s="10" t="n">
        <x:f>SUM(XLOOKUP('포켓몬_편집'!$AF938:$AN938,'분류_규칙'!$A$5:$A$76,'분류_규칙'!$M$5:$M$76,0))</x:f>
        <x:v>0</x:v>
      </x:c>
      <x:c r="N938" s="10" t="n">
        <x:f>SUM(XLOOKUP('포켓몬_편집'!$AF938:$AN938,'분류_규칙'!$A$5:$A$76,'분류_규칙'!$N$5:$N$76,0))</x:f>
        <x:v>0</x:v>
      </x:c>
      <x:c r="O938" s="10" t="n">
        <x:f>SUM(XLOOKUP('포켓몬_편집'!$AF938:$AN938,'분류_규칙'!$A$5:$A$76,'분류_규칙'!$O$5:$O$76,0))</x:f>
        <x:v>2</x:v>
      </x:c>
      <x:c r="P938" s="10" t="n">
        <x:f>SUM(XLOOKUP('포켓몬_편집'!$AF938:$AN938,'분류_규칙'!$A$5:$A$76,'분류_규칙'!$P$5:$P$76,0))</x:f>
        <x:v>0</x:v>
      </x:c>
    </x:row>
    <x:row r="939" ht="22" customHeight="1">
      <x:c r="A939" s="5" t="n">
        <x:v>935</x:v>
      </x:c>
      <x:c r="B939" s="5" t="inlineStr">
        <x:is>
          <x:t xml:space="preserve">카르본</x:t>
        </x:is>
      </x:c>
      <x:c r="C939" s="5" t="inlineStr">
        <x:is>
          <x:t xml:space="preserve">charcadet</x:t>
        </x:is>
      </x:c>
      <x:c r="D939" s="5" t="n">
        <x:v>9</x:v>
      </x:c>
      <x:c r="E939" s="10" t="n">
        <x:f>SUM(XLOOKUP('포켓몬_편집'!$AF939:$AN939,'분류_규칙'!$A$5:$A$76,'분류_규칙'!$E$5:$E$76,0))</x:f>
        <x:v>10</x:v>
      </x:c>
      <x:c r="F939" s="10" t="n">
        <x:f>SUM(XLOOKUP('포켓몬_편집'!$AF939:$AN939,'분류_규칙'!$A$5:$A$76,'분류_규칙'!$F$5:$F$76,0))</x:f>
        <x:v>7</x:v>
      </x:c>
      <x:c r="G939" s="10" t="n">
        <x:f>SUM(XLOOKUP('포켓몬_편집'!$AF939:$AN939,'분류_규칙'!$A$5:$A$76,'분류_규칙'!$G$5:$G$76,0))</x:f>
        <x:v>5</x:v>
      </x:c>
      <x:c r="H939" s="10" t="n">
        <x:f>SUM(XLOOKUP('포켓몬_편집'!$AF939:$AN939,'분류_규칙'!$A$5:$A$76,'분류_규칙'!$H$5:$H$76,0))</x:f>
        <x:v>5</x:v>
      </x:c>
      <x:c r="I939" s="10" t="n">
        <x:f>SUM(XLOOKUP('포켓몬_편집'!$AF939:$AN939,'분류_규칙'!$A$5:$A$76,'분류_규칙'!$I$5:$I$76,0))</x:f>
        <x:v>0</x:v>
      </x:c>
      <x:c r="J939" s="10" t="n">
        <x:f>SUM(XLOOKUP('포켓몬_편집'!$AF939:$AN939,'분류_규칙'!$A$5:$A$76,'분류_규칙'!$J$5:$J$76,0))</x:f>
        <x:v>2</x:v>
      </x:c>
      <x:c r="K939" s="10" t="n">
        <x:f>SUM(XLOOKUP('포켓몬_편집'!$AF939:$AN939,'분류_규칙'!$A$5:$A$76,'분류_규칙'!$K$5:$K$76,0))</x:f>
        <x:v>0</x:v>
      </x:c>
      <x:c r="L939" s="10" t="n">
        <x:f>SUM(XLOOKUP('포켓몬_편집'!$AF939:$AN939,'분류_규칙'!$A$5:$A$76,'분류_규칙'!$L$5:$L$76,0))</x:f>
        <x:v>0</x:v>
      </x:c>
      <x:c r="M939" s="10" t="n">
        <x:f>SUM(XLOOKUP('포켓몬_편집'!$AF939:$AN939,'분류_규칙'!$A$5:$A$76,'분류_규칙'!$M$5:$M$76,0))</x:f>
        <x:v>0</x:v>
      </x:c>
      <x:c r="N939" s="10" t="n">
        <x:f>SUM(XLOOKUP('포켓몬_편집'!$AF939:$AN939,'분류_규칙'!$A$5:$A$76,'분류_규칙'!$N$5:$N$76,0))</x:f>
        <x:v>0</x:v>
      </x:c>
      <x:c r="O939" s="10" t="n">
        <x:f>SUM(XLOOKUP('포켓몬_편집'!$AF939:$AN939,'분류_규칙'!$A$5:$A$76,'분류_규칙'!$O$5:$O$76,0))</x:f>
        <x:v>2</x:v>
      </x:c>
      <x:c r="P939" s="10" t="n">
        <x:f>SUM(XLOOKUP('포켓몬_편집'!$AF939:$AN939,'분류_규칙'!$A$5:$A$76,'분류_규칙'!$P$5:$P$76,0))</x:f>
        <x:v>0</x:v>
      </x:c>
    </x:row>
    <x:row r="940" ht="22" customHeight="1">
      <x:c r="A940" s="5" t="n">
        <x:v>936</x:v>
      </x:c>
      <x:c r="B940" s="5" t="inlineStr">
        <x:is>
          <x:t xml:space="preserve">카디나르마</x:t>
        </x:is>
      </x:c>
      <x:c r="C940" s="5" t="inlineStr">
        <x:is>
          <x:t xml:space="preserve">armarouge</x:t>
        </x:is>
      </x:c>
      <x:c r="D940" s="5" t="n">
        <x:v>9</x:v>
      </x:c>
      <x:c r="E940" s="10" t="n">
        <x:f>SUM(XLOOKUP('포켓몬_편집'!$AF940:$AN940,'분류_규칙'!$A$5:$A$76,'분류_규칙'!$E$5:$E$76,0))</x:f>
        <x:v>10</x:v>
      </x:c>
      <x:c r="F940" s="10" t="n">
        <x:f>SUM(XLOOKUP('포켓몬_편집'!$AF940:$AN940,'분류_규칙'!$A$5:$A$76,'분류_규칙'!$F$5:$F$76,0))</x:f>
        <x:v>7</x:v>
      </x:c>
      <x:c r="G940" s="10" t="n">
        <x:f>SUM(XLOOKUP('포켓몬_편집'!$AF940:$AN940,'분류_규칙'!$A$5:$A$76,'분류_규칙'!$G$5:$G$76,0))</x:f>
        <x:v>5</x:v>
      </x:c>
      <x:c r="H940" s="10" t="n">
        <x:f>SUM(XLOOKUP('포켓몬_편집'!$AF940:$AN940,'분류_규칙'!$A$5:$A$76,'분류_규칙'!$H$5:$H$76,0))</x:f>
        <x:v>5</x:v>
      </x:c>
      <x:c r="I940" s="10" t="n">
        <x:f>SUM(XLOOKUP('포켓몬_편집'!$AF940:$AN940,'분류_규칙'!$A$5:$A$76,'분류_규칙'!$I$5:$I$76,0))</x:f>
        <x:v>0</x:v>
      </x:c>
      <x:c r="J940" s="10" t="n">
        <x:f>SUM(XLOOKUP('포켓몬_편집'!$AF940:$AN940,'분류_규칙'!$A$5:$A$76,'분류_규칙'!$J$5:$J$76,0))</x:f>
        <x:v>2</x:v>
      </x:c>
      <x:c r="K940" s="10" t="n">
        <x:f>SUM(XLOOKUP('포켓몬_편집'!$AF940:$AN940,'분류_규칙'!$A$5:$A$76,'분류_규칙'!$K$5:$K$76,0))</x:f>
        <x:v>0</x:v>
      </x:c>
      <x:c r="L940" s="10" t="n">
        <x:f>SUM(XLOOKUP('포켓몬_편집'!$AF940:$AN940,'분류_규칙'!$A$5:$A$76,'분류_규칙'!$L$5:$L$76,0))</x:f>
        <x:v>0</x:v>
      </x:c>
      <x:c r="M940" s="10" t="n">
        <x:f>SUM(XLOOKUP('포켓몬_편집'!$AF940:$AN940,'분류_규칙'!$A$5:$A$76,'분류_규칙'!$M$5:$M$76,0))</x:f>
        <x:v>0</x:v>
      </x:c>
      <x:c r="N940" s="10" t="n">
        <x:f>SUM(XLOOKUP('포켓몬_편집'!$AF940:$AN940,'분류_규칙'!$A$5:$A$76,'분류_규칙'!$N$5:$N$76,0))</x:f>
        <x:v>0</x:v>
      </x:c>
      <x:c r="O940" s="10" t="n">
        <x:f>SUM(XLOOKUP('포켓몬_편집'!$AF940:$AN940,'분류_규칙'!$A$5:$A$76,'분류_규칙'!$O$5:$O$76,0))</x:f>
        <x:v>2</x:v>
      </x:c>
      <x:c r="P940" s="10" t="n">
        <x:f>SUM(XLOOKUP('포켓몬_편집'!$AF940:$AN940,'분류_규칙'!$A$5:$A$76,'분류_규칙'!$P$5:$P$76,0))</x:f>
        <x:v>0</x:v>
      </x:c>
    </x:row>
    <x:row r="941" ht="22" customHeight="1">
      <x:c r="A941" s="5" t="n">
        <x:v>937</x:v>
      </x:c>
      <x:c r="B941" s="5" t="inlineStr">
        <x:is>
          <x:t xml:space="preserve">파라블레이즈</x:t>
        </x:is>
      </x:c>
      <x:c r="C941" s="5" t="inlineStr">
        <x:is>
          <x:t xml:space="preserve">ceruledge</x:t>
        </x:is>
      </x:c>
      <x:c r="D941" s="5" t="n">
        <x:v>9</x:v>
      </x:c>
      <x:c r="E941" s="10" t="n">
        <x:f>SUM(XLOOKUP('포켓몬_편집'!$AF941:$AN941,'분류_규칙'!$A$5:$A$76,'분류_규칙'!$E$5:$E$76,0))</x:f>
        <x:v>0</x:v>
      </x:c>
      <x:c r="F941" s="10" t="n">
        <x:f>SUM(XLOOKUP('포켓몬_편집'!$AF941:$AN941,'분류_규칙'!$A$5:$A$76,'분류_규칙'!$F$5:$F$76,0))</x:f>
        <x:v>0</x:v>
      </x:c>
      <x:c r="G941" s="10" t="n">
        <x:f>SUM(XLOOKUP('포켓몬_편집'!$AF941:$AN941,'분류_규칙'!$A$5:$A$76,'분류_규칙'!$G$5:$G$76,0))</x:f>
        <x:v>0</x:v>
      </x:c>
      <x:c r="H941" s="10" t="n">
        <x:f>SUM(XLOOKUP('포켓몬_편집'!$AF941:$AN941,'분류_규칙'!$A$5:$A$76,'분류_규칙'!$H$5:$H$76,0))</x:f>
        <x:v>0</x:v>
      </x:c>
      <x:c r="I941" s="10" t="n">
        <x:f>SUM(XLOOKUP('포켓몬_편집'!$AF941:$AN941,'분류_규칙'!$A$5:$A$76,'분류_규칙'!$I$5:$I$76,0))</x:f>
        <x:v>10</x:v>
      </x:c>
      <x:c r="J941" s="10" t="n">
        <x:f>SUM(XLOOKUP('포켓몬_편집'!$AF941:$AN941,'분류_규칙'!$A$5:$A$76,'분류_규칙'!$J$5:$J$76,0))</x:f>
        <x:v>0</x:v>
      </x:c>
      <x:c r="K941" s="10" t="n">
        <x:f>SUM(XLOOKUP('포켓몬_편집'!$AF941:$AN941,'분류_규칙'!$A$5:$A$76,'분류_규칙'!$K$5:$K$76,0))</x:f>
        <x:v>0</x:v>
      </x:c>
      <x:c r="L941" s="10" t="n">
        <x:f>SUM(XLOOKUP('포켓몬_편집'!$AF941:$AN941,'분류_규칙'!$A$5:$A$76,'분류_규칙'!$L$5:$L$76,0))</x:f>
        <x:v>0</x:v>
      </x:c>
      <x:c r="M941" s="10" t="n">
        <x:f>SUM(XLOOKUP('포켓몬_편집'!$AF941:$AN941,'분류_규칙'!$A$5:$A$76,'분류_규칙'!$M$5:$M$76,0))</x:f>
        <x:v>0</x:v>
      </x:c>
      <x:c r="N941" s="10" t="n">
        <x:f>SUM(XLOOKUP('포켓몬_편집'!$AF941:$AN941,'분류_규칙'!$A$5:$A$76,'분류_규칙'!$N$5:$N$76,0))</x:f>
        <x:v>0</x:v>
      </x:c>
      <x:c r="O941" s="10" t="n">
        <x:f>SUM(XLOOKUP('포켓몬_편집'!$AF941:$AN941,'분류_규칙'!$A$5:$A$76,'분류_규칙'!$O$5:$O$76,0))</x:f>
        <x:v>5</x:v>
      </x:c>
      <x:c r="P941" s="10" t="n">
        <x:f>SUM(XLOOKUP('포켓몬_편집'!$AF941:$AN941,'분류_규칙'!$A$5:$A$76,'분류_규칙'!$P$5:$P$76,0))</x:f>
        <x:v>25</x:v>
      </x:c>
    </x:row>
    <x:row r="942" ht="22" customHeight="1">
      <x:c r="A942" s="5" t="n">
        <x:v>938</x:v>
      </x:c>
      <x:c r="B942" s="5" t="inlineStr">
        <x:is>
          <x:t xml:space="preserve">빈나두</x:t>
        </x:is>
      </x:c>
      <x:c r="C942" s="5" t="inlineStr">
        <x:is>
          <x:t xml:space="preserve">tadbulb</x:t>
        </x:is>
      </x:c>
      <x:c r="D942" s="5" t="n">
        <x:v>9</x:v>
      </x:c>
      <x:c r="E942" s="10" t="n">
        <x:f>SUM(XLOOKUP('포켓몬_편집'!$AF942:$AN942,'분류_규칙'!$A$5:$A$76,'분류_규칙'!$E$5:$E$76,0))</x:f>
        <x:v>0</x:v>
      </x:c>
      <x:c r="F942" s="10" t="n">
        <x:f>SUM(XLOOKUP('포켓몬_편집'!$AF942:$AN942,'분류_규칙'!$A$5:$A$76,'분류_규칙'!$F$5:$F$76,0))</x:f>
        <x:v>0</x:v>
      </x:c>
      <x:c r="G942" s="10" t="n">
        <x:f>SUM(XLOOKUP('포켓몬_편집'!$AF942:$AN942,'분류_규칙'!$A$5:$A$76,'분류_규칙'!$G$5:$G$76,0))</x:f>
        <x:v>0</x:v>
      </x:c>
      <x:c r="H942" s="10" t="n">
        <x:f>SUM(XLOOKUP('포켓몬_편집'!$AF942:$AN942,'분류_규칙'!$A$5:$A$76,'분류_규칙'!$H$5:$H$76,0))</x:f>
        <x:v>0</x:v>
      </x:c>
      <x:c r="I942" s="10" t="n">
        <x:f>SUM(XLOOKUP('포켓몬_편집'!$AF942:$AN942,'분류_규칙'!$A$5:$A$76,'분류_규칙'!$I$5:$I$76,0))</x:f>
        <x:v>0</x:v>
      </x:c>
      <x:c r="J942" s="10" t="n">
        <x:f>SUM(XLOOKUP('포켓몬_편집'!$AF942:$AN942,'분류_규칙'!$A$5:$A$76,'분류_규칙'!$J$5:$J$76,0))</x:f>
        <x:v>12</x:v>
      </x:c>
      <x:c r="K942" s="10" t="n">
        <x:f>SUM(XLOOKUP('포켓몬_편집'!$AF942:$AN942,'분류_규칙'!$A$5:$A$76,'분류_규칙'!$K$5:$K$76,0))</x:f>
        <x:v>30</x:v>
      </x:c>
      <x:c r="L942" s="10" t="n">
        <x:f>SUM(XLOOKUP('포켓몬_편집'!$AF942:$AN942,'분류_규칙'!$A$5:$A$76,'분류_규칙'!$L$5:$L$76,0))</x:f>
        <x:v>0</x:v>
      </x:c>
      <x:c r="M942" s="10" t="n">
        <x:f>SUM(XLOOKUP('포켓몬_편집'!$AF942:$AN942,'분류_규칙'!$A$5:$A$76,'분류_규칙'!$M$5:$M$76,0))</x:f>
        <x:v>0</x:v>
      </x:c>
      <x:c r="N942" s="10" t="n">
        <x:f>SUM(XLOOKUP('포켓몬_편집'!$AF942:$AN942,'분류_규칙'!$A$5:$A$76,'분류_규칙'!$N$5:$N$76,0))</x:f>
        <x:v>0</x:v>
      </x:c>
      <x:c r="O942" s="10" t="n">
        <x:f>SUM(XLOOKUP('포켓몬_편집'!$AF942:$AN942,'분류_규칙'!$A$5:$A$76,'분류_규칙'!$O$5:$O$76,0))</x:f>
        <x:v>0</x:v>
      </x:c>
      <x:c r="P942" s="10" t="n">
        <x:f>SUM(XLOOKUP('포켓몬_편집'!$AF942:$AN942,'분류_규칙'!$A$5:$A$76,'분류_규칙'!$P$5:$P$76,0))</x:f>
        <x:v>0</x:v>
      </x:c>
    </x:row>
    <x:row r="943" ht="22" customHeight="1">
      <x:c r="A943" s="5" t="n">
        <x:v>939</x:v>
      </x:c>
      <x:c r="B943" s="5" t="inlineStr">
        <x:is>
          <x:t xml:space="preserve">찌리배리</x:t>
        </x:is>
      </x:c>
      <x:c r="C943" s="5" t="inlineStr">
        <x:is>
          <x:t xml:space="preserve">bellibolt</x:t>
        </x:is>
      </x:c>
      <x:c r="D943" s="5" t="n">
        <x:v>9</x:v>
      </x:c>
      <x:c r="E943" s="10" t="n">
        <x:f>SUM(XLOOKUP('포켓몬_편집'!$AF943:$AN943,'분류_규칙'!$A$5:$A$76,'분류_규칙'!$E$5:$E$76,0))</x:f>
        <x:v>0</x:v>
      </x:c>
      <x:c r="F943" s="10" t="n">
        <x:f>SUM(XLOOKUP('포켓몬_편집'!$AF943:$AN943,'분류_규칙'!$A$5:$A$76,'분류_규칙'!$F$5:$F$76,0))</x:f>
        <x:v>0</x:v>
      </x:c>
      <x:c r="G943" s="10" t="n">
        <x:f>SUM(XLOOKUP('포켓몬_편집'!$AF943:$AN943,'분류_규칙'!$A$5:$A$76,'분류_규칙'!$G$5:$G$76,0))</x:f>
        <x:v>0</x:v>
      </x:c>
      <x:c r="H943" s="10" t="n">
        <x:f>SUM(XLOOKUP('포켓몬_편집'!$AF943:$AN943,'분류_규칙'!$A$5:$A$76,'분류_규칙'!$H$5:$H$76,0))</x:f>
        <x:v>0</x:v>
      </x:c>
      <x:c r="I943" s="10" t="n">
        <x:f>SUM(XLOOKUP('포켓몬_편집'!$AF943:$AN943,'분류_규칙'!$A$5:$A$76,'분류_규칙'!$I$5:$I$76,0))</x:f>
        <x:v>0</x:v>
      </x:c>
      <x:c r="J943" s="10" t="n">
        <x:f>SUM(XLOOKUP('포켓몬_편집'!$AF943:$AN943,'분류_규칙'!$A$5:$A$76,'분류_규칙'!$J$5:$J$76,0))</x:f>
        <x:v>12</x:v>
      </x:c>
      <x:c r="K943" s="10" t="n">
        <x:f>SUM(XLOOKUP('포켓몬_편집'!$AF943:$AN943,'분류_규칙'!$A$5:$A$76,'분류_규칙'!$K$5:$K$76,0))</x:f>
        <x:v>30</x:v>
      </x:c>
      <x:c r="L943" s="10" t="n">
        <x:f>SUM(XLOOKUP('포켓몬_편집'!$AF943:$AN943,'분류_규칙'!$A$5:$A$76,'분류_규칙'!$L$5:$L$76,0))</x:f>
        <x:v>0</x:v>
      </x:c>
      <x:c r="M943" s="10" t="n">
        <x:f>SUM(XLOOKUP('포켓몬_편집'!$AF943:$AN943,'분류_규칙'!$A$5:$A$76,'분류_규칙'!$M$5:$M$76,0))</x:f>
        <x:v>0</x:v>
      </x:c>
      <x:c r="N943" s="10" t="n">
        <x:f>SUM(XLOOKUP('포켓몬_편집'!$AF943:$AN943,'분류_규칙'!$A$5:$A$76,'분류_규칙'!$N$5:$N$76,0))</x:f>
        <x:v>0</x:v>
      </x:c>
      <x:c r="O943" s="10" t="n">
        <x:f>SUM(XLOOKUP('포켓몬_편집'!$AF943:$AN943,'분류_규칙'!$A$5:$A$76,'분류_규칙'!$O$5:$O$76,0))</x:f>
        <x:v>0</x:v>
      </x:c>
      <x:c r="P943" s="10" t="n">
        <x:f>SUM(XLOOKUP('포켓몬_편집'!$AF943:$AN943,'분류_규칙'!$A$5:$A$76,'분류_규칙'!$P$5:$P$76,0))</x:f>
        <x:v>0</x:v>
      </x:c>
    </x:row>
    <x:row r="944" ht="22" customHeight="1">
      <x:c r="A944" s="5" t="n">
        <x:v>940</x:v>
      </x:c>
      <x:c r="B944" s="5" t="inlineStr">
        <x:is>
          <x:t xml:space="preserve">찌리비</x:t>
        </x:is>
      </x:c>
      <x:c r="C944" s="5" t="inlineStr">
        <x:is>
          <x:t xml:space="preserve">wattrel</x:t>
        </x:is>
      </x:c>
      <x:c r="D944" s="5" t="n">
        <x:v>9</x:v>
      </x:c>
      <x:c r="E944" s="10" t="n">
        <x:f>SUM(XLOOKUP('포켓몬_편집'!$AF944:$AN944,'분류_규칙'!$A$5:$A$76,'분류_규칙'!$E$5:$E$76,0))</x:f>
        <x:v>0</x:v>
      </x:c>
      <x:c r="F944" s="10" t="n">
        <x:f>SUM(XLOOKUP('포켓몬_편집'!$AF944:$AN944,'분류_규칙'!$A$5:$A$76,'분류_규칙'!$F$5:$F$76,0))</x:f>
        <x:v>0</x:v>
      </x:c>
      <x:c r="G944" s="10" t="n">
        <x:f>SUM(XLOOKUP('포켓몬_편집'!$AF944:$AN944,'분류_규칙'!$A$5:$A$76,'분류_규칙'!$G$5:$G$76,0))</x:f>
        <x:v>0</x:v>
      </x:c>
      <x:c r="H944" s="10" t="n">
        <x:f>SUM(XLOOKUP('포켓몬_편집'!$AF944:$AN944,'분류_규칙'!$A$5:$A$76,'분류_규칙'!$H$5:$H$76,0))</x:f>
        <x:v>0</x:v>
      </x:c>
      <x:c r="I944" s="10" t="n">
        <x:f>SUM(XLOOKUP('포켓몬_편집'!$AF944:$AN944,'분류_규칙'!$A$5:$A$76,'분류_규칙'!$I$5:$I$76,0))</x:f>
        <x:v>0</x:v>
      </x:c>
      <x:c r="J944" s="10" t="n">
        <x:f>SUM(XLOOKUP('포켓몬_편집'!$AF944:$AN944,'분류_규칙'!$A$5:$A$76,'분류_규칙'!$J$5:$J$76,0))</x:f>
        <x:v>3</x:v>
      </x:c>
      <x:c r="K944" s="10" t="n">
        <x:f>SUM(XLOOKUP('포켓몬_편집'!$AF944:$AN944,'분류_규칙'!$A$5:$A$76,'분류_규칙'!$K$5:$K$76,0))</x:f>
        <x:v>0</x:v>
      </x:c>
      <x:c r="L944" s="10" t="n">
        <x:f>SUM(XLOOKUP('포켓몬_편집'!$AF944:$AN944,'분류_규칙'!$A$5:$A$76,'분류_규칙'!$L$5:$L$76,0))</x:f>
        <x:v>30</x:v>
      </x:c>
      <x:c r="M944" s="10" t="n">
        <x:f>SUM(XLOOKUP('포켓몬_편집'!$AF944:$AN944,'분류_규칙'!$A$5:$A$76,'분류_규칙'!$M$5:$M$76,0))</x:f>
        <x:v>0</x:v>
      </x:c>
      <x:c r="N944" s="10" t="n">
        <x:f>SUM(XLOOKUP('포켓몬_편집'!$AF944:$AN944,'분류_규칙'!$A$5:$A$76,'분류_규칙'!$N$5:$N$76,0))</x:f>
        <x:v>0</x:v>
      </x:c>
      <x:c r="O944" s="10" t="n">
        <x:f>SUM(XLOOKUP('포켓몬_편집'!$AF944:$AN944,'분류_규칙'!$A$5:$A$76,'분류_규칙'!$O$5:$O$76,0))</x:f>
        <x:v>0</x:v>
      </x:c>
      <x:c r="P944" s="10" t="n">
        <x:f>SUM(XLOOKUP('포켓몬_편집'!$AF944:$AN944,'분류_규칙'!$A$5:$A$76,'분류_규칙'!$P$5:$P$76,0))</x:f>
        <x:v>0</x:v>
      </x:c>
    </x:row>
    <x:row r="945" ht="22" customHeight="1">
      <x:c r="A945" s="5" t="n">
        <x:v>941</x:v>
      </x:c>
      <x:c r="B945" s="5" t="inlineStr">
        <x:is>
          <x:t xml:space="preserve">찌리비크</x:t>
        </x:is>
      </x:c>
      <x:c r="C945" s="5" t="inlineStr">
        <x:is>
          <x:t xml:space="preserve">kilowattrel</x:t>
        </x:is>
      </x:c>
      <x:c r="D945" s="5" t="n">
        <x:v>9</x:v>
      </x:c>
      <x:c r="E945" s="10" t="n">
        <x:f>SUM(XLOOKUP('포켓몬_편집'!$AF945:$AN945,'분류_규칙'!$A$5:$A$76,'분류_규칙'!$E$5:$E$76,0))</x:f>
        <x:v>0</x:v>
      </x:c>
      <x:c r="F945" s="10" t="n">
        <x:f>SUM(XLOOKUP('포켓몬_편집'!$AF945:$AN945,'분류_규칙'!$A$5:$A$76,'분류_규칙'!$F$5:$F$76,0))</x:f>
        <x:v>0</x:v>
      </x:c>
      <x:c r="G945" s="10" t="n">
        <x:f>SUM(XLOOKUP('포켓몬_편집'!$AF945:$AN945,'분류_규칙'!$A$5:$A$76,'분류_규칙'!$G$5:$G$76,0))</x:f>
        <x:v>0</x:v>
      </x:c>
      <x:c r="H945" s="10" t="n">
        <x:f>SUM(XLOOKUP('포켓몬_편집'!$AF945:$AN945,'분류_규칙'!$A$5:$A$76,'분류_규칙'!$H$5:$H$76,0))</x:f>
        <x:v>0</x:v>
      </x:c>
      <x:c r="I945" s="10" t="n">
        <x:f>SUM(XLOOKUP('포켓몬_편집'!$AF945:$AN945,'분류_규칙'!$A$5:$A$76,'분류_규칙'!$I$5:$I$76,0))</x:f>
        <x:v>0</x:v>
      </x:c>
      <x:c r="J945" s="10" t="n">
        <x:f>SUM(XLOOKUP('포켓몬_편집'!$AF945:$AN945,'분류_규칙'!$A$5:$A$76,'분류_규칙'!$J$5:$J$76,0))</x:f>
        <x:v>3</x:v>
      </x:c>
      <x:c r="K945" s="10" t="n">
        <x:f>SUM(XLOOKUP('포켓몬_편집'!$AF945:$AN945,'분류_규칙'!$A$5:$A$76,'분류_규칙'!$K$5:$K$76,0))</x:f>
        <x:v>0</x:v>
      </x:c>
      <x:c r="L945" s="10" t="n">
        <x:f>SUM(XLOOKUP('포켓몬_편집'!$AF945:$AN945,'분류_규칙'!$A$5:$A$76,'분류_규칙'!$L$5:$L$76,0))</x:f>
        <x:v>30</x:v>
      </x:c>
      <x:c r="M945" s="10" t="n">
        <x:f>SUM(XLOOKUP('포켓몬_편집'!$AF945:$AN945,'분류_규칙'!$A$5:$A$76,'분류_규칙'!$M$5:$M$76,0))</x:f>
        <x:v>0</x:v>
      </x:c>
      <x:c r="N945" s="10" t="n">
        <x:f>SUM(XLOOKUP('포켓몬_편집'!$AF945:$AN945,'분류_규칙'!$A$5:$A$76,'분류_규칙'!$N$5:$N$76,0))</x:f>
        <x:v>0</x:v>
      </x:c>
      <x:c r="O945" s="10" t="n">
        <x:f>SUM(XLOOKUP('포켓몬_편집'!$AF945:$AN945,'분류_규칙'!$A$5:$A$76,'분류_규칙'!$O$5:$O$76,0))</x:f>
        <x:v>0</x:v>
      </x:c>
      <x:c r="P945" s="10" t="n">
        <x:f>SUM(XLOOKUP('포켓몬_편집'!$AF945:$AN945,'분류_규칙'!$A$5:$A$76,'분류_규칙'!$P$5:$P$76,0))</x:f>
        <x:v>0</x:v>
      </x:c>
    </x:row>
    <x:row r="946" ht="22" customHeight="1">
      <x:c r="A946" s="5" t="n">
        <x:v>942</x:v>
      </x:c>
      <x:c r="B946" s="5" t="inlineStr">
        <x:is>
          <x:t xml:space="preserve">오라티프</x:t>
        </x:is>
      </x:c>
      <x:c r="C946" s="5" t="inlineStr">
        <x:is>
          <x:t xml:space="preserve">maschiff</x:t>
        </x:is>
      </x:c>
      <x:c r="D946" s="5" t="n">
        <x:v>9</x:v>
      </x:c>
      <x:c r="E946" s="10" t="n">
        <x:f>SUM(XLOOKUP('포켓몬_편집'!$AF946:$AN946,'분류_규칙'!$A$5:$A$76,'분류_규칙'!$E$5:$E$76,0))</x:f>
        <x:v>10</x:v>
      </x:c>
      <x:c r="F946" s="10" t="n">
        <x:f>SUM(XLOOKUP('포켓몬_편집'!$AF946:$AN946,'분류_규칙'!$A$5:$A$76,'분류_규칙'!$F$5:$F$76,0))</x:f>
        <x:v>7</x:v>
      </x:c>
      <x:c r="G946" s="10" t="n">
        <x:f>SUM(XLOOKUP('포켓몬_편집'!$AF946:$AN946,'분류_규칙'!$A$5:$A$76,'분류_규칙'!$G$5:$G$76,0))</x:f>
        <x:v>5</x:v>
      </x:c>
      <x:c r="H946" s="10" t="n">
        <x:f>SUM(XLOOKUP('포켓몬_편집'!$AF946:$AN946,'분류_규칙'!$A$5:$A$76,'분류_규칙'!$H$5:$H$76,0))</x:f>
        <x:v>5</x:v>
      </x:c>
      <x:c r="I946" s="10" t="n">
        <x:f>SUM(XLOOKUP('포켓몬_편집'!$AF946:$AN946,'분류_규칙'!$A$5:$A$76,'분류_규칙'!$I$5:$I$76,0))</x:f>
        <x:v>0</x:v>
      </x:c>
      <x:c r="J946" s="10" t="n">
        <x:f>SUM(XLOOKUP('포켓몬_편집'!$AF946:$AN946,'분류_규칙'!$A$5:$A$76,'분류_규칙'!$J$5:$J$76,0))</x:f>
        <x:v>2</x:v>
      </x:c>
      <x:c r="K946" s="10" t="n">
        <x:f>SUM(XLOOKUP('포켓몬_편집'!$AF946:$AN946,'분류_규칙'!$A$5:$A$76,'분류_규칙'!$K$5:$K$76,0))</x:f>
        <x:v>0</x:v>
      </x:c>
      <x:c r="L946" s="10" t="n">
        <x:f>SUM(XLOOKUP('포켓몬_편집'!$AF946:$AN946,'분류_규칙'!$A$5:$A$76,'분류_규칙'!$L$5:$L$76,0))</x:f>
        <x:v>0</x:v>
      </x:c>
      <x:c r="M946" s="10" t="n">
        <x:f>SUM(XLOOKUP('포켓몬_편집'!$AF946:$AN946,'분류_규칙'!$A$5:$A$76,'분류_규칙'!$M$5:$M$76,0))</x:f>
        <x:v>0</x:v>
      </x:c>
      <x:c r="N946" s="10" t="n">
        <x:f>SUM(XLOOKUP('포켓몬_편집'!$AF946:$AN946,'분류_규칙'!$A$5:$A$76,'분류_규칙'!$N$5:$N$76,0))</x:f>
        <x:v>0</x:v>
      </x:c>
      <x:c r="O946" s="10" t="n">
        <x:f>SUM(XLOOKUP('포켓몬_편집'!$AF946:$AN946,'분류_규칙'!$A$5:$A$76,'분류_규칙'!$O$5:$O$76,0))</x:f>
        <x:v>2</x:v>
      </x:c>
      <x:c r="P946" s="10" t="n">
        <x:f>SUM(XLOOKUP('포켓몬_편집'!$AF946:$AN946,'분류_규칙'!$A$5:$A$76,'분류_규칙'!$P$5:$P$76,0))</x:f>
        <x:v>0</x:v>
      </x:c>
    </x:row>
    <x:row r="947" ht="22" customHeight="1">
      <x:c r="A947" s="5" t="n">
        <x:v>943</x:v>
      </x:c>
      <x:c r="B947" s="5" t="inlineStr">
        <x:is>
          <x:t xml:space="preserve">마피티프</x:t>
        </x:is>
      </x:c>
      <x:c r="C947" s="5" t="inlineStr">
        <x:is>
          <x:t xml:space="preserve">mabosstiff</x:t>
        </x:is>
      </x:c>
      <x:c r="D947" s="5" t="n">
        <x:v>9</x:v>
      </x:c>
      <x:c r="E947" s="10" t="n">
        <x:f>SUM(XLOOKUP('포켓몬_편집'!$AF947:$AN947,'분류_규칙'!$A$5:$A$76,'분류_규칙'!$E$5:$E$76,0))</x:f>
        <x:v>10</x:v>
      </x:c>
      <x:c r="F947" s="10" t="n">
        <x:f>SUM(XLOOKUP('포켓몬_편집'!$AF947:$AN947,'분류_규칙'!$A$5:$A$76,'분류_규칙'!$F$5:$F$76,0))</x:f>
        <x:v>7</x:v>
      </x:c>
      <x:c r="G947" s="10" t="n">
        <x:f>SUM(XLOOKUP('포켓몬_편집'!$AF947:$AN947,'분류_규칙'!$A$5:$A$76,'분류_규칙'!$G$5:$G$76,0))</x:f>
        <x:v>5</x:v>
      </x:c>
      <x:c r="H947" s="10" t="n">
        <x:f>SUM(XLOOKUP('포켓몬_편집'!$AF947:$AN947,'분류_규칙'!$A$5:$A$76,'분류_규칙'!$H$5:$H$76,0))</x:f>
        <x:v>5</x:v>
      </x:c>
      <x:c r="I947" s="10" t="n">
        <x:f>SUM(XLOOKUP('포켓몬_편집'!$AF947:$AN947,'분류_규칙'!$A$5:$A$76,'분류_규칙'!$I$5:$I$76,0))</x:f>
        <x:v>0</x:v>
      </x:c>
      <x:c r="J947" s="10" t="n">
        <x:f>SUM(XLOOKUP('포켓몬_편집'!$AF947:$AN947,'분류_규칙'!$A$5:$A$76,'분류_규칙'!$J$5:$J$76,0))</x:f>
        <x:v>2</x:v>
      </x:c>
      <x:c r="K947" s="10" t="n">
        <x:f>SUM(XLOOKUP('포켓몬_편집'!$AF947:$AN947,'분류_규칙'!$A$5:$A$76,'분류_규칙'!$K$5:$K$76,0))</x:f>
        <x:v>0</x:v>
      </x:c>
      <x:c r="L947" s="10" t="n">
        <x:f>SUM(XLOOKUP('포켓몬_편집'!$AF947:$AN947,'분류_규칙'!$A$5:$A$76,'분류_규칙'!$L$5:$L$76,0))</x:f>
        <x:v>0</x:v>
      </x:c>
      <x:c r="M947" s="10" t="n">
        <x:f>SUM(XLOOKUP('포켓몬_편집'!$AF947:$AN947,'분류_규칙'!$A$5:$A$76,'분류_규칙'!$M$5:$M$76,0))</x:f>
        <x:v>0</x:v>
      </x:c>
      <x:c r="N947" s="10" t="n">
        <x:f>SUM(XLOOKUP('포켓몬_편집'!$AF947:$AN947,'분류_규칙'!$A$5:$A$76,'분류_규칙'!$N$5:$N$76,0))</x:f>
        <x:v>0</x:v>
      </x:c>
      <x:c r="O947" s="10" t="n">
        <x:f>SUM(XLOOKUP('포켓몬_편집'!$AF947:$AN947,'분류_규칙'!$A$5:$A$76,'분류_규칙'!$O$5:$O$76,0))</x:f>
        <x:v>2</x:v>
      </x:c>
      <x:c r="P947" s="10" t="n">
        <x:f>SUM(XLOOKUP('포켓몬_편집'!$AF947:$AN947,'분류_규칙'!$A$5:$A$76,'분류_규칙'!$P$5:$P$76,0))</x:f>
        <x:v>0</x:v>
      </x:c>
    </x:row>
    <x:row r="948" ht="22" customHeight="1">
      <x:c r="A948" s="5" t="n">
        <x:v>944</x:v>
      </x:c>
      <x:c r="B948" s="5" t="inlineStr">
        <x:is>
          <x:t xml:space="preserve">땃쭈르</x:t>
        </x:is>
      </x:c>
      <x:c r="C948" s="5" t="inlineStr">
        <x:is>
          <x:t xml:space="preserve">shroodle</x:t>
        </x:is>
      </x:c>
      <x:c r="D948" s="5" t="n">
        <x:v>9</x:v>
      </x:c>
      <x:c r="E948" s="10" t="n">
        <x:f>SUM(XLOOKUP('포켓몬_편집'!$AF948:$AN948,'분류_규칙'!$A$5:$A$76,'분류_규칙'!$E$5:$E$76,0))</x:f>
        <x:v>10</x:v>
      </x:c>
      <x:c r="F948" s="10" t="n">
        <x:f>SUM(XLOOKUP('포켓몬_편집'!$AF948:$AN948,'분류_규칙'!$A$5:$A$76,'분류_규칙'!$F$5:$F$76,0))</x:f>
        <x:v>7</x:v>
      </x:c>
      <x:c r="G948" s="10" t="n">
        <x:f>SUM(XLOOKUP('포켓몬_편집'!$AF948:$AN948,'분류_규칙'!$A$5:$A$76,'분류_규칙'!$G$5:$G$76,0))</x:f>
        <x:v>5</x:v>
      </x:c>
      <x:c r="H948" s="10" t="n">
        <x:f>SUM(XLOOKUP('포켓몬_편집'!$AF948:$AN948,'분류_규칙'!$A$5:$A$76,'분류_규칙'!$H$5:$H$76,0))</x:f>
        <x:v>5</x:v>
      </x:c>
      <x:c r="I948" s="10" t="n">
        <x:f>SUM(XLOOKUP('포켓몬_편집'!$AF948:$AN948,'분류_규칙'!$A$5:$A$76,'분류_규칙'!$I$5:$I$76,0))</x:f>
        <x:v>0</x:v>
      </x:c>
      <x:c r="J948" s="10" t="n">
        <x:f>SUM(XLOOKUP('포켓몬_편집'!$AF948:$AN948,'분류_규칙'!$A$5:$A$76,'분류_규칙'!$J$5:$J$76,0))</x:f>
        <x:v>2</x:v>
      </x:c>
      <x:c r="K948" s="10" t="n">
        <x:f>SUM(XLOOKUP('포켓몬_편집'!$AF948:$AN948,'분류_규칙'!$A$5:$A$76,'분류_규칙'!$K$5:$K$76,0))</x:f>
        <x:v>0</x:v>
      </x:c>
      <x:c r="L948" s="10" t="n">
        <x:f>SUM(XLOOKUP('포켓몬_편집'!$AF948:$AN948,'분류_규칙'!$A$5:$A$76,'분류_규칙'!$L$5:$L$76,0))</x:f>
        <x:v>0</x:v>
      </x:c>
      <x:c r="M948" s="10" t="n">
        <x:f>SUM(XLOOKUP('포켓몬_편집'!$AF948:$AN948,'분류_규칙'!$A$5:$A$76,'분류_규칙'!$M$5:$M$76,0))</x:f>
        <x:v>0</x:v>
      </x:c>
      <x:c r="N948" s="10" t="n">
        <x:f>SUM(XLOOKUP('포켓몬_편집'!$AF948:$AN948,'분류_규칙'!$A$5:$A$76,'분류_규칙'!$N$5:$N$76,0))</x:f>
        <x:v>0</x:v>
      </x:c>
      <x:c r="O948" s="10" t="n">
        <x:f>SUM(XLOOKUP('포켓몬_편집'!$AF948:$AN948,'분류_규칙'!$A$5:$A$76,'분류_규칙'!$O$5:$O$76,0))</x:f>
        <x:v>2</x:v>
      </x:c>
      <x:c r="P948" s="10" t="n">
        <x:f>SUM(XLOOKUP('포켓몬_편집'!$AF948:$AN948,'분류_규칙'!$A$5:$A$76,'분류_규칙'!$P$5:$P$76,0))</x:f>
        <x:v>0</x:v>
      </x:c>
    </x:row>
    <x:row r="949" ht="22" customHeight="1">
      <x:c r="A949" s="5" t="n">
        <x:v>945</x:v>
      </x:c>
      <x:c r="B949" s="5" t="inlineStr">
        <x:is>
          <x:t xml:space="preserve">태깅구르</x:t>
        </x:is>
      </x:c>
      <x:c r="C949" s="5" t="inlineStr">
        <x:is>
          <x:t xml:space="preserve">grafaiai</x:t>
        </x:is>
      </x:c>
      <x:c r="D949" s="5" t="n">
        <x:v>9</x:v>
      </x:c>
      <x:c r="E949" s="10" t="n">
        <x:f>SUM(XLOOKUP('포켓몬_편집'!$AF949:$AN949,'분류_규칙'!$A$5:$A$76,'분류_규칙'!$E$5:$E$76,0))</x:f>
        <x:v>10</x:v>
      </x:c>
      <x:c r="F949" s="10" t="n">
        <x:f>SUM(XLOOKUP('포켓몬_편집'!$AF949:$AN949,'분류_규칙'!$A$5:$A$76,'분류_규칙'!$F$5:$F$76,0))</x:f>
        <x:v>7</x:v>
      </x:c>
      <x:c r="G949" s="10" t="n">
        <x:f>SUM(XLOOKUP('포켓몬_편집'!$AF949:$AN949,'분류_규칙'!$A$5:$A$76,'분류_규칙'!$G$5:$G$76,0))</x:f>
        <x:v>5</x:v>
      </x:c>
      <x:c r="H949" s="10" t="n">
        <x:f>SUM(XLOOKUP('포켓몬_편집'!$AF949:$AN949,'분류_규칙'!$A$5:$A$76,'분류_규칙'!$H$5:$H$76,0))</x:f>
        <x:v>5</x:v>
      </x:c>
      <x:c r="I949" s="10" t="n">
        <x:f>SUM(XLOOKUP('포켓몬_편집'!$AF949:$AN949,'분류_규칙'!$A$5:$A$76,'분류_규칙'!$I$5:$I$76,0))</x:f>
        <x:v>0</x:v>
      </x:c>
      <x:c r="J949" s="10" t="n">
        <x:f>SUM(XLOOKUP('포켓몬_편집'!$AF949:$AN949,'분류_규칙'!$A$5:$A$76,'분류_규칙'!$J$5:$J$76,0))</x:f>
        <x:v>2</x:v>
      </x:c>
      <x:c r="K949" s="10" t="n">
        <x:f>SUM(XLOOKUP('포켓몬_편집'!$AF949:$AN949,'분류_규칙'!$A$5:$A$76,'분류_규칙'!$K$5:$K$76,0))</x:f>
        <x:v>0</x:v>
      </x:c>
      <x:c r="L949" s="10" t="n">
        <x:f>SUM(XLOOKUP('포켓몬_편집'!$AF949:$AN949,'분류_규칙'!$A$5:$A$76,'분류_규칙'!$L$5:$L$76,0))</x:f>
        <x:v>0</x:v>
      </x:c>
      <x:c r="M949" s="10" t="n">
        <x:f>SUM(XLOOKUP('포켓몬_편집'!$AF949:$AN949,'분류_규칙'!$A$5:$A$76,'분류_규칙'!$M$5:$M$76,0))</x:f>
        <x:v>0</x:v>
      </x:c>
      <x:c r="N949" s="10" t="n">
        <x:f>SUM(XLOOKUP('포켓몬_편집'!$AF949:$AN949,'분류_규칙'!$A$5:$A$76,'분류_규칙'!$N$5:$N$76,0))</x:f>
        <x:v>0</x:v>
      </x:c>
      <x:c r="O949" s="10" t="n">
        <x:f>SUM(XLOOKUP('포켓몬_편집'!$AF949:$AN949,'분류_규칙'!$A$5:$A$76,'분류_규칙'!$O$5:$O$76,0))</x:f>
        <x:v>2</x:v>
      </x:c>
      <x:c r="P949" s="10" t="n">
        <x:f>SUM(XLOOKUP('포켓몬_편집'!$AF949:$AN949,'분류_규칙'!$A$5:$A$76,'분류_규칙'!$P$5:$P$76,0))</x:f>
        <x:v>0</x:v>
      </x:c>
    </x:row>
    <x:row r="950" ht="22" customHeight="1">
      <x:c r="A950" s="5" t="n">
        <x:v>946</x:v>
      </x:c>
      <x:c r="B950" s="5" t="inlineStr">
        <x:is>
          <x:t xml:space="preserve">그푸리</x:t>
        </x:is>
      </x:c>
      <x:c r="C950" s="5" t="inlineStr">
        <x:is>
          <x:t xml:space="preserve">bramblin</x:t>
        </x:is>
      </x:c>
      <x:c r="D950" s="5" t="n">
        <x:v>9</x:v>
      </x:c>
      <x:c r="E950" s="10" t="n">
        <x:f>SUM(XLOOKUP('포켓몬_편집'!$AF950:$AN950,'분류_규칙'!$A$5:$A$76,'분류_규칙'!$E$5:$E$76,0))</x:f>
        <x:v>0</x:v>
      </x:c>
      <x:c r="F950" s="10" t="n">
        <x:f>SUM(XLOOKUP('포켓몬_편집'!$AF950:$AN950,'분류_규칙'!$A$5:$A$76,'분류_규칙'!$F$5:$F$76,0))</x:f>
        <x:v>0</x:v>
      </x:c>
      <x:c r="G950" s="10" t="n">
        <x:f>SUM(XLOOKUP('포켓몬_편집'!$AF950:$AN950,'분류_규칙'!$A$5:$A$76,'분류_규칙'!$G$5:$G$76,0))</x:f>
        <x:v>0</x:v>
      </x:c>
      <x:c r="H950" s="10" t="n">
        <x:f>SUM(XLOOKUP('포켓몬_편집'!$AF950:$AN950,'분류_규칙'!$A$5:$A$76,'분류_규칙'!$H$5:$H$76,0))</x:f>
        <x:v>0</x:v>
      </x:c>
      <x:c r="I950" s="10" t="n">
        <x:f>SUM(XLOOKUP('포켓몬_편집'!$AF950:$AN950,'분류_규칙'!$A$5:$A$76,'분류_규칙'!$I$5:$I$76,0))</x:f>
        <x:v>10</x:v>
      </x:c>
      <x:c r="J950" s="10" t="n">
        <x:f>SUM(XLOOKUP('포켓몬_편집'!$AF950:$AN950,'분류_규칙'!$A$5:$A$76,'분류_규칙'!$J$5:$J$76,0))</x:f>
        <x:v>0</x:v>
      </x:c>
      <x:c r="K950" s="10" t="n">
        <x:f>SUM(XLOOKUP('포켓몬_편집'!$AF950:$AN950,'분류_규칙'!$A$5:$A$76,'분류_규칙'!$K$5:$K$76,0))</x:f>
        <x:v>0</x:v>
      </x:c>
      <x:c r="L950" s="10" t="n">
        <x:f>SUM(XLOOKUP('포켓몬_편집'!$AF950:$AN950,'분류_규칙'!$A$5:$A$76,'분류_규칙'!$L$5:$L$76,0))</x:f>
        <x:v>0</x:v>
      </x:c>
      <x:c r="M950" s="10" t="n">
        <x:f>SUM(XLOOKUP('포켓몬_편집'!$AF950:$AN950,'분류_규칙'!$A$5:$A$76,'분류_규칙'!$M$5:$M$76,0))</x:f>
        <x:v>0</x:v>
      </x:c>
      <x:c r="N950" s="10" t="n">
        <x:f>SUM(XLOOKUP('포켓몬_편집'!$AF950:$AN950,'분류_규칙'!$A$5:$A$76,'분류_규칙'!$N$5:$N$76,0))</x:f>
        <x:v>0</x:v>
      </x:c>
      <x:c r="O950" s="10" t="n">
        <x:f>SUM(XLOOKUP('포켓몬_편집'!$AF950:$AN950,'분류_규칙'!$A$5:$A$76,'분류_규칙'!$O$5:$O$76,0))</x:f>
        <x:v>5</x:v>
      </x:c>
      <x:c r="P950" s="10" t="n">
        <x:f>SUM(XLOOKUP('포켓몬_편집'!$AF950:$AN950,'분류_규칙'!$A$5:$A$76,'분류_규칙'!$P$5:$P$76,0))</x:f>
        <x:v>25</x:v>
      </x:c>
    </x:row>
    <x:row r="951" ht="22" customHeight="1">
      <x:c r="A951" s="5" t="n">
        <x:v>947</x:v>
      </x:c>
      <x:c r="B951" s="5" t="inlineStr">
        <x:is>
          <x:t xml:space="preserve">공푸리</x:t>
        </x:is>
      </x:c>
      <x:c r="C951" s="5" t="inlineStr">
        <x:is>
          <x:t xml:space="preserve">brambleghast</x:t>
        </x:is>
      </x:c>
      <x:c r="D951" s="5" t="n">
        <x:v>9</x:v>
      </x:c>
      <x:c r="E951" s="10" t="n">
        <x:f>SUM(XLOOKUP('포켓몬_편집'!$AF951:$AN951,'분류_규칙'!$A$5:$A$76,'분류_규칙'!$E$5:$E$76,0))</x:f>
        <x:v>0</x:v>
      </x:c>
      <x:c r="F951" s="10" t="n">
        <x:f>SUM(XLOOKUP('포켓몬_편집'!$AF951:$AN951,'분류_규칙'!$A$5:$A$76,'분류_규칙'!$F$5:$F$76,0))</x:f>
        <x:v>0</x:v>
      </x:c>
      <x:c r="G951" s="10" t="n">
        <x:f>SUM(XLOOKUP('포켓몬_편집'!$AF951:$AN951,'분류_규칙'!$A$5:$A$76,'분류_규칙'!$G$5:$G$76,0))</x:f>
        <x:v>0</x:v>
      </x:c>
      <x:c r="H951" s="10" t="n">
        <x:f>SUM(XLOOKUP('포켓몬_편집'!$AF951:$AN951,'분류_규칙'!$A$5:$A$76,'분류_규칙'!$H$5:$H$76,0))</x:f>
        <x:v>0</x:v>
      </x:c>
      <x:c r="I951" s="10" t="n">
        <x:f>SUM(XLOOKUP('포켓몬_편집'!$AF951:$AN951,'분류_규칙'!$A$5:$A$76,'분류_규칙'!$I$5:$I$76,0))</x:f>
        <x:v>10</x:v>
      </x:c>
      <x:c r="J951" s="10" t="n">
        <x:f>SUM(XLOOKUP('포켓몬_편집'!$AF951:$AN951,'분류_규칙'!$A$5:$A$76,'분류_규칙'!$J$5:$J$76,0))</x:f>
        <x:v>0</x:v>
      </x:c>
      <x:c r="K951" s="10" t="n">
        <x:f>SUM(XLOOKUP('포켓몬_편집'!$AF951:$AN951,'분류_규칙'!$A$5:$A$76,'분류_규칙'!$K$5:$K$76,0))</x:f>
        <x:v>0</x:v>
      </x:c>
      <x:c r="L951" s="10" t="n">
        <x:f>SUM(XLOOKUP('포켓몬_편집'!$AF951:$AN951,'분류_규칙'!$A$5:$A$76,'분류_규칙'!$L$5:$L$76,0))</x:f>
        <x:v>0</x:v>
      </x:c>
      <x:c r="M951" s="10" t="n">
        <x:f>SUM(XLOOKUP('포켓몬_편집'!$AF951:$AN951,'분류_규칙'!$A$5:$A$76,'분류_규칙'!$M$5:$M$76,0))</x:f>
        <x:v>0</x:v>
      </x:c>
      <x:c r="N951" s="10" t="n">
        <x:f>SUM(XLOOKUP('포켓몬_편집'!$AF951:$AN951,'분류_규칙'!$A$5:$A$76,'분류_규칙'!$N$5:$N$76,0))</x:f>
        <x:v>0</x:v>
      </x:c>
      <x:c r="O951" s="10" t="n">
        <x:f>SUM(XLOOKUP('포켓몬_편집'!$AF951:$AN951,'분류_규칙'!$A$5:$A$76,'분류_규칙'!$O$5:$O$76,0))</x:f>
        <x:v>5</x:v>
      </x:c>
      <x:c r="P951" s="10" t="n">
        <x:f>SUM(XLOOKUP('포켓몬_편집'!$AF951:$AN951,'분류_규칙'!$A$5:$A$76,'분류_규칙'!$P$5:$P$76,0))</x:f>
        <x:v>25</x:v>
      </x:c>
    </x:row>
    <x:row r="952" ht="22" customHeight="1">
      <x:c r="A952" s="5" t="n">
        <x:v>948</x:v>
      </x:c>
      <x:c r="B952" s="5" t="inlineStr">
        <x:is>
          <x:t xml:space="preserve">들눈해</x:t>
        </x:is>
      </x:c>
      <x:c r="C952" s="5" t="inlineStr">
        <x:is>
          <x:t xml:space="preserve">toedscool</x:t>
        </x:is>
      </x:c>
      <x:c r="D952" s="5" t="n">
        <x:v>9</x:v>
      </x:c>
      <x:c r="E952" s="10" t="n">
        <x:f>SUM(XLOOKUP('포켓몬_편집'!$AF952:$AN952,'분류_규칙'!$A$5:$A$76,'분류_규칙'!$E$5:$E$76,0))</x:f>
        <x:v>10</x:v>
      </x:c>
      <x:c r="F952" s="10" t="n">
        <x:f>SUM(XLOOKUP('포켓몬_편집'!$AF952:$AN952,'분류_규칙'!$A$5:$A$76,'분류_규칙'!$F$5:$F$76,0))</x:f>
        <x:v>7</x:v>
      </x:c>
      <x:c r="G952" s="10" t="n">
        <x:f>SUM(XLOOKUP('포켓몬_편집'!$AF952:$AN952,'분류_규칙'!$A$5:$A$76,'분류_규칙'!$G$5:$G$76,0))</x:f>
        <x:v>5</x:v>
      </x:c>
      <x:c r="H952" s="10" t="n">
        <x:f>SUM(XLOOKUP('포켓몬_편집'!$AF952:$AN952,'분류_규칙'!$A$5:$A$76,'분류_규칙'!$H$5:$H$76,0))</x:f>
        <x:v>5</x:v>
      </x:c>
      <x:c r="I952" s="10" t="n">
        <x:f>SUM(XLOOKUP('포켓몬_편집'!$AF952:$AN952,'분류_규칙'!$A$5:$A$76,'분류_규칙'!$I$5:$I$76,0))</x:f>
        <x:v>0</x:v>
      </x:c>
      <x:c r="J952" s="10" t="n">
        <x:f>SUM(XLOOKUP('포켓몬_편집'!$AF952:$AN952,'분류_규칙'!$A$5:$A$76,'분류_규칙'!$J$5:$J$76,0))</x:f>
        <x:v>2</x:v>
      </x:c>
      <x:c r="K952" s="10" t="n">
        <x:f>SUM(XLOOKUP('포켓몬_편집'!$AF952:$AN952,'분류_규칙'!$A$5:$A$76,'분류_규칙'!$K$5:$K$76,0))</x:f>
        <x:v>0</x:v>
      </x:c>
      <x:c r="L952" s="10" t="n">
        <x:f>SUM(XLOOKUP('포켓몬_편집'!$AF952:$AN952,'분류_규칙'!$A$5:$A$76,'분류_규칙'!$L$5:$L$76,0))</x:f>
        <x:v>0</x:v>
      </x:c>
      <x:c r="M952" s="10" t="n">
        <x:f>SUM(XLOOKUP('포켓몬_편집'!$AF952:$AN952,'분류_규칙'!$A$5:$A$76,'분류_규칙'!$M$5:$M$76,0))</x:f>
        <x:v>0</x:v>
      </x:c>
      <x:c r="N952" s="10" t="n">
        <x:f>SUM(XLOOKUP('포켓몬_편집'!$AF952:$AN952,'분류_규칙'!$A$5:$A$76,'분류_규칙'!$N$5:$N$76,0))</x:f>
        <x:v>0</x:v>
      </x:c>
      <x:c r="O952" s="10" t="n">
        <x:f>SUM(XLOOKUP('포켓몬_편집'!$AF952:$AN952,'분류_규칙'!$A$5:$A$76,'분류_규칙'!$O$5:$O$76,0))</x:f>
        <x:v>2</x:v>
      </x:c>
      <x:c r="P952" s="10" t="n">
        <x:f>SUM(XLOOKUP('포켓몬_편집'!$AF952:$AN952,'분류_규칙'!$A$5:$A$76,'분류_규칙'!$P$5:$P$76,0))</x:f>
        <x:v>0</x:v>
      </x:c>
    </x:row>
    <x:row r="953" ht="22" customHeight="1">
      <x:c r="A953" s="5" t="n">
        <x:v>949</x:v>
      </x:c>
      <x:c r="B953" s="5" t="inlineStr">
        <x:is>
          <x:t xml:space="preserve">육파리</x:t>
        </x:is>
      </x:c>
      <x:c r="C953" s="5" t="inlineStr">
        <x:is>
          <x:t xml:space="preserve">toedscruel</x:t>
        </x:is>
      </x:c>
      <x:c r="D953" s="5" t="n">
        <x:v>9</x:v>
      </x:c>
      <x:c r="E953" s="10" t="n">
        <x:f>SUM(XLOOKUP('포켓몬_편집'!$AF953:$AN953,'분류_규칙'!$A$5:$A$76,'분류_규칙'!$E$5:$E$76,0))</x:f>
        <x:v>10</x:v>
      </x:c>
      <x:c r="F953" s="10" t="n">
        <x:f>SUM(XLOOKUP('포켓몬_편집'!$AF953:$AN953,'분류_규칙'!$A$5:$A$76,'분류_규칙'!$F$5:$F$76,0))</x:f>
        <x:v>7</x:v>
      </x:c>
      <x:c r="G953" s="10" t="n">
        <x:f>SUM(XLOOKUP('포켓몬_편집'!$AF953:$AN953,'분류_규칙'!$A$5:$A$76,'분류_규칙'!$G$5:$G$76,0))</x:f>
        <x:v>5</x:v>
      </x:c>
      <x:c r="H953" s="10" t="n">
        <x:f>SUM(XLOOKUP('포켓몬_편집'!$AF953:$AN953,'분류_규칙'!$A$5:$A$76,'분류_규칙'!$H$5:$H$76,0))</x:f>
        <x:v>5</x:v>
      </x:c>
      <x:c r="I953" s="10" t="n">
        <x:f>SUM(XLOOKUP('포켓몬_편집'!$AF953:$AN953,'분류_규칙'!$A$5:$A$76,'분류_규칙'!$I$5:$I$76,0))</x:f>
        <x:v>0</x:v>
      </x:c>
      <x:c r="J953" s="10" t="n">
        <x:f>SUM(XLOOKUP('포켓몬_편집'!$AF953:$AN953,'분류_규칙'!$A$5:$A$76,'분류_규칙'!$J$5:$J$76,0))</x:f>
        <x:v>2</x:v>
      </x:c>
      <x:c r="K953" s="10" t="n">
        <x:f>SUM(XLOOKUP('포켓몬_편집'!$AF953:$AN953,'분류_규칙'!$A$5:$A$76,'분류_규칙'!$K$5:$K$76,0))</x:f>
        <x:v>0</x:v>
      </x:c>
      <x:c r="L953" s="10" t="n">
        <x:f>SUM(XLOOKUP('포켓몬_편집'!$AF953:$AN953,'분류_규칙'!$A$5:$A$76,'분류_규칙'!$L$5:$L$76,0))</x:f>
        <x:v>0</x:v>
      </x:c>
      <x:c r="M953" s="10" t="n">
        <x:f>SUM(XLOOKUP('포켓몬_편집'!$AF953:$AN953,'분류_규칙'!$A$5:$A$76,'분류_규칙'!$M$5:$M$76,0))</x:f>
        <x:v>0</x:v>
      </x:c>
      <x:c r="N953" s="10" t="n">
        <x:f>SUM(XLOOKUP('포켓몬_편집'!$AF953:$AN953,'분류_규칙'!$A$5:$A$76,'분류_규칙'!$N$5:$N$76,0))</x:f>
        <x:v>0</x:v>
      </x:c>
      <x:c r="O953" s="10" t="n">
        <x:f>SUM(XLOOKUP('포켓몬_편집'!$AF953:$AN953,'분류_규칙'!$A$5:$A$76,'분류_규칙'!$O$5:$O$76,0))</x:f>
        <x:v>2</x:v>
      </x:c>
      <x:c r="P953" s="10" t="n">
        <x:f>SUM(XLOOKUP('포켓몬_편집'!$AF953:$AN953,'분류_규칙'!$A$5:$A$76,'분류_규칙'!$P$5:$P$76,0))</x:f>
        <x:v>0</x:v>
      </x:c>
    </x:row>
    <x:row r="954" ht="22" customHeight="1">
      <x:c r="A954" s="5" t="n">
        <x:v>950</x:v>
      </x:c>
      <x:c r="B954" s="5" t="inlineStr">
        <x:is>
          <x:t xml:space="preserve">절벼게</x:t>
        </x:is>
      </x:c>
      <x:c r="C954" s="5" t="inlineStr">
        <x:is>
          <x:t xml:space="preserve">klawf</x:t>
        </x:is>
      </x:c>
      <x:c r="D954" s="5" t="n">
        <x:v>9</x:v>
      </x:c>
      <x:c r="E954" s="10" t="n">
        <x:f>SUM(XLOOKUP('포켓몬_편집'!$AF954:$AN954,'분류_규칙'!$A$5:$A$76,'분류_규칙'!$E$5:$E$76,0))</x:f>
        <x:v>10</x:v>
      </x:c>
      <x:c r="F954" s="10" t="n">
        <x:f>SUM(XLOOKUP('포켓몬_편집'!$AF954:$AN954,'분류_규칙'!$A$5:$A$76,'분류_규칙'!$F$5:$F$76,0))</x:f>
        <x:v>7</x:v>
      </x:c>
      <x:c r="G954" s="10" t="n">
        <x:f>SUM(XLOOKUP('포켓몬_편집'!$AF954:$AN954,'분류_규칙'!$A$5:$A$76,'분류_규칙'!$G$5:$G$76,0))</x:f>
        <x:v>5</x:v>
      </x:c>
      <x:c r="H954" s="10" t="n">
        <x:f>SUM(XLOOKUP('포켓몬_편집'!$AF954:$AN954,'분류_규칙'!$A$5:$A$76,'분류_규칙'!$H$5:$H$76,0))</x:f>
        <x:v>5</x:v>
      </x:c>
      <x:c r="I954" s="10" t="n">
        <x:f>SUM(XLOOKUP('포켓몬_편집'!$AF954:$AN954,'분류_규칙'!$A$5:$A$76,'분류_규칙'!$I$5:$I$76,0))</x:f>
        <x:v>0</x:v>
      </x:c>
      <x:c r="J954" s="10" t="n">
        <x:f>SUM(XLOOKUP('포켓몬_편집'!$AF954:$AN954,'분류_규칙'!$A$5:$A$76,'분류_규칙'!$J$5:$J$76,0))</x:f>
        <x:v>2</x:v>
      </x:c>
      <x:c r="K954" s="10" t="n">
        <x:f>SUM(XLOOKUP('포켓몬_편집'!$AF954:$AN954,'분류_규칙'!$A$5:$A$76,'분류_규칙'!$K$5:$K$76,0))</x:f>
        <x:v>0</x:v>
      </x:c>
      <x:c r="L954" s="10" t="n">
        <x:f>SUM(XLOOKUP('포켓몬_편집'!$AF954:$AN954,'분류_규칙'!$A$5:$A$76,'분류_규칙'!$L$5:$L$76,0))</x:f>
        <x:v>0</x:v>
      </x:c>
      <x:c r="M954" s="10" t="n">
        <x:f>SUM(XLOOKUP('포켓몬_편집'!$AF954:$AN954,'분류_규칙'!$A$5:$A$76,'분류_규칙'!$M$5:$M$76,0))</x:f>
        <x:v>0</x:v>
      </x:c>
      <x:c r="N954" s="10" t="n">
        <x:f>SUM(XLOOKUP('포켓몬_편집'!$AF954:$AN954,'분류_규칙'!$A$5:$A$76,'분류_규칙'!$N$5:$N$76,0))</x:f>
        <x:v>0</x:v>
      </x:c>
      <x:c r="O954" s="10" t="n">
        <x:f>SUM(XLOOKUP('포켓몬_편집'!$AF954:$AN954,'분류_규칙'!$A$5:$A$76,'분류_규칙'!$O$5:$O$76,0))</x:f>
        <x:v>2</x:v>
      </x:c>
      <x:c r="P954" s="10" t="n">
        <x:f>SUM(XLOOKUP('포켓몬_편집'!$AF954:$AN954,'분류_규칙'!$A$5:$A$76,'분류_규칙'!$P$5:$P$76,0))</x:f>
        <x:v>0</x:v>
      </x:c>
    </x:row>
    <x:row r="955" ht="22" customHeight="1">
      <x:c r="A955" s="5" t="n">
        <x:v>951</x:v>
      </x:c>
      <x:c r="B955" s="5" t="inlineStr">
        <x:is>
          <x:t xml:space="preserve">캡싸이</x:t>
        </x:is>
      </x:c>
      <x:c r="C955" s="5" t="inlineStr">
        <x:is>
          <x:t xml:space="preserve">capsakid</x:t>
        </x:is>
      </x:c>
      <x:c r="D955" s="5" t="n">
        <x:v>9</x:v>
      </x:c>
      <x:c r="E955" s="10" t="n">
        <x:f>SUM(XLOOKUP('포켓몬_편집'!$AF955:$AN955,'분류_규칙'!$A$5:$A$76,'분류_규칙'!$E$5:$E$76,0))</x:f>
        <x:v>10</x:v>
      </x:c>
      <x:c r="F955" s="10" t="n">
        <x:f>SUM(XLOOKUP('포켓몬_편집'!$AF955:$AN955,'분류_규칙'!$A$5:$A$76,'분류_규칙'!$F$5:$F$76,0))</x:f>
        <x:v>7</x:v>
      </x:c>
      <x:c r="G955" s="10" t="n">
        <x:f>SUM(XLOOKUP('포켓몬_편집'!$AF955:$AN955,'분류_규칙'!$A$5:$A$76,'분류_규칙'!$G$5:$G$76,0))</x:f>
        <x:v>5</x:v>
      </x:c>
      <x:c r="H955" s="10" t="n">
        <x:f>SUM(XLOOKUP('포켓몬_편집'!$AF955:$AN955,'분류_규칙'!$A$5:$A$76,'분류_규칙'!$H$5:$H$76,0))</x:f>
        <x:v>5</x:v>
      </x:c>
      <x:c r="I955" s="10" t="n">
        <x:f>SUM(XLOOKUP('포켓몬_편집'!$AF955:$AN955,'분류_규칙'!$A$5:$A$76,'분류_규칙'!$I$5:$I$76,0))</x:f>
        <x:v>0</x:v>
      </x:c>
      <x:c r="J955" s="10" t="n">
        <x:f>SUM(XLOOKUP('포켓몬_편집'!$AF955:$AN955,'분류_규칙'!$A$5:$A$76,'분류_규칙'!$J$5:$J$76,0))</x:f>
        <x:v>2</x:v>
      </x:c>
      <x:c r="K955" s="10" t="n">
        <x:f>SUM(XLOOKUP('포켓몬_편집'!$AF955:$AN955,'분류_규칙'!$A$5:$A$76,'분류_규칙'!$K$5:$K$76,0))</x:f>
        <x:v>0</x:v>
      </x:c>
      <x:c r="L955" s="10" t="n">
        <x:f>SUM(XLOOKUP('포켓몬_편집'!$AF955:$AN955,'분류_규칙'!$A$5:$A$76,'분류_규칙'!$L$5:$L$76,0))</x:f>
        <x:v>0</x:v>
      </x:c>
      <x:c r="M955" s="10" t="n">
        <x:f>SUM(XLOOKUP('포켓몬_편집'!$AF955:$AN955,'분류_규칙'!$A$5:$A$76,'분류_규칙'!$M$5:$M$76,0))</x:f>
        <x:v>0</x:v>
      </x:c>
      <x:c r="N955" s="10" t="n">
        <x:f>SUM(XLOOKUP('포켓몬_편집'!$AF955:$AN955,'분류_규칙'!$A$5:$A$76,'분류_규칙'!$N$5:$N$76,0))</x:f>
        <x:v>0</x:v>
      </x:c>
      <x:c r="O955" s="10" t="n">
        <x:f>SUM(XLOOKUP('포켓몬_편집'!$AF955:$AN955,'분류_규칙'!$A$5:$A$76,'분류_규칙'!$O$5:$O$76,0))</x:f>
        <x:v>2</x:v>
      </x:c>
      <x:c r="P955" s="10" t="n">
        <x:f>SUM(XLOOKUP('포켓몬_편집'!$AF955:$AN955,'분류_규칙'!$A$5:$A$76,'분류_규칙'!$P$5:$P$76,0))</x:f>
        <x:v>0</x:v>
      </x:c>
    </x:row>
    <x:row r="956" ht="22" customHeight="1">
      <x:c r="A956" s="5" t="n">
        <x:v>952</x:v>
      </x:c>
      <x:c r="B956" s="5" t="inlineStr">
        <x:is>
          <x:t xml:space="preserve">스코빌런</x:t>
        </x:is>
      </x:c>
      <x:c r="C956" s="5" t="inlineStr">
        <x:is>
          <x:t xml:space="preserve">scovillain</x:t>
        </x:is>
      </x:c>
      <x:c r="D956" s="5" t="n">
        <x:v>9</x:v>
      </x:c>
      <x:c r="E956" s="10" t="n">
        <x:f>SUM(XLOOKUP('포켓몬_편집'!$AF956:$AN956,'분류_규칙'!$A$5:$A$76,'분류_규칙'!$E$5:$E$76,0))</x:f>
        <x:v>10</x:v>
      </x:c>
      <x:c r="F956" s="10" t="n">
        <x:f>SUM(XLOOKUP('포켓몬_편집'!$AF956:$AN956,'분류_규칙'!$A$5:$A$76,'분류_규칙'!$F$5:$F$76,0))</x:f>
        <x:v>7</x:v>
      </x:c>
      <x:c r="G956" s="10" t="n">
        <x:f>SUM(XLOOKUP('포켓몬_편집'!$AF956:$AN956,'분류_규칙'!$A$5:$A$76,'분류_규칙'!$G$5:$G$76,0))</x:f>
        <x:v>5</x:v>
      </x:c>
      <x:c r="H956" s="10" t="n">
        <x:f>SUM(XLOOKUP('포켓몬_편집'!$AF956:$AN956,'분류_규칙'!$A$5:$A$76,'분류_규칙'!$H$5:$H$76,0))</x:f>
        <x:v>5</x:v>
      </x:c>
      <x:c r="I956" s="10" t="n">
        <x:f>SUM(XLOOKUP('포켓몬_편집'!$AF956:$AN956,'분류_규칙'!$A$5:$A$76,'분류_규칙'!$I$5:$I$76,0))</x:f>
        <x:v>0</x:v>
      </x:c>
      <x:c r="J956" s="10" t="n">
        <x:f>SUM(XLOOKUP('포켓몬_편집'!$AF956:$AN956,'분류_규칙'!$A$5:$A$76,'분류_규칙'!$J$5:$J$76,0))</x:f>
        <x:v>2</x:v>
      </x:c>
      <x:c r="K956" s="10" t="n">
        <x:f>SUM(XLOOKUP('포켓몬_편집'!$AF956:$AN956,'분류_규칙'!$A$5:$A$76,'분류_규칙'!$K$5:$K$76,0))</x:f>
        <x:v>0</x:v>
      </x:c>
      <x:c r="L956" s="10" t="n">
        <x:f>SUM(XLOOKUP('포켓몬_편집'!$AF956:$AN956,'분류_규칙'!$A$5:$A$76,'분류_규칙'!$L$5:$L$76,0))</x:f>
        <x:v>0</x:v>
      </x:c>
      <x:c r="M956" s="10" t="n">
        <x:f>SUM(XLOOKUP('포켓몬_편집'!$AF956:$AN956,'분류_규칙'!$A$5:$A$76,'분류_규칙'!$M$5:$M$76,0))</x:f>
        <x:v>0</x:v>
      </x:c>
      <x:c r="N956" s="10" t="n">
        <x:f>SUM(XLOOKUP('포켓몬_편집'!$AF956:$AN956,'분류_규칙'!$A$5:$A$76,'분류_규칙'!$N$5:$N$76,0))</x:f>
        <x:v>0</x:v>
      </x:c>
      <x:c r="O956" s="10" t="n">
        <x:f>SUM(XLOOKUP('포켓몬_편집'!$AF956:$AN956,'분류_규칙'!$A$5:$A$76,'분류_규칙'!$O$5:$O$76,0))</x:f>
        <x:v>2</x:v>
      </x:c>
      <x:c r="P956" s="10" t="n">
        <x:f>SUM(XLOOKUP('포켓몬_편집'!$AF956:$AN956,'분류_규칙'!$A$5:$A$76,'분류_규칙'!$P$5:$P$76,0))</x:f>
        <x:v>0</x:v>
      </x:c>
    </x:row>
    <x:row r="957" ht="22" customHeight="1">
      <x:c r="A957" s="5" t="n">
        <x:v>953</x:v>
      </x:c>
      <x:c r="B957" s="5" t="inlineStr">
        <x:is>
          <x:t xml:space="preserve">구르데</x:t>
        </x:is>
      </x:c>
      <x:c r="C957" s="5" t="inlineStr">
        <x:is>
          <x:t xml:space="preserve">rellor</x:t>
        </x:is>
      </x:c>
      <x:c r="D957" s="5" t="n">
        <x:v>9</x:v>
      </x:c>
      <x:c r="E957" s="10" t="n">
        <x:f>SUM(XLOOKUP('포켓몬_편집'!$AF957:$AN957,'분류_규칙'!$A$5:$A$76,'분류_규칙'!$E$5:$E$76,0))</x:f>
        <x:v>10</x:v>
      </x:c>
      <x:c r="F957" s="10" t="n">
        <x:f>SUM(XLOOKUP('포켓몬_편집'!$AF957:$AN957,'분류_규칙'!$A$5:$A$76,'분류_규칙'!$F$5:$F$76,0))</x:f>
        <x:v>7</x:v>
      </x:c>
      <x:c r="G957" s="10" t="n">
        <x:f>SUM(XLOOKUP('포켓몬_편집'!$AF957:$AN957,'분류_규칙'!$A$5:$A$76,'분류_규칙'!$G$5:$G$76,0))</x:f>
        <x:v>5</x:v>
      </x:c>
      <x:c r="H957" s="10" t="n">
        <x:f>SUM(XLOOKUP('포켓몬_편집'!$AF957:$AN957,'분류_규칙'!$A$5:$A$76,'분류_규칙'!$H$5:$H$76,0))</x:f>
        <x:v>5</x:v>
      </x:c>
      <x:c r="I957" s="10" t="n">
        <x:f>SUM(XLOOKUP('포켓몬_편집'!$AF957:$AN957,'분류_규칙'!$A$5:$A$76,'분류_규칙'!$I$5:$I$76,0))</x:f>
        <x:v>0</x:v>
      </x:c>
      <x:c r="J957" s="10" t="n">
        <x:f>SUM(XLOOKUP('포켓몬_편집'!$AF957:$AN957,'분류_규칙'!$A$5:$A$76,'분류_규칙'!$J$5:$J$76,0))</x:f>
        <x:v>2</x:v>
      </x:c>
      <x:c r="K957" s="10" t="n">
        <x:f>SUM(XLOOKUP('포켓몬_편집'!$AF957:$AN957,'분류_규칙'!$A$5:$A$76,'분류_규칙'!$K$5:$K$76,0))</x:f>
        <x:v>0</x:v>
      </x:c>
      <x:c r="L957" s="10" t="n">
        <x:f>SUM(XLOOKUP('포켓몬_편집'!$AF957:$AN957,'분류_규칙'!$A$5:$A$76,'분류_규칙'!$L$5:$L$76,0))</x:f>
        <x:v>0</x:v>
      </x:c>
      <x:c r="M957" s="10" t="n">
        <x:f>SUM(XLOOKUP('포켓몬_편집'!$AF957:$AN957,'분류_규칙'!$A$5:$A$76,'분류_규칙'!$M$5:$M$76,0))</x:f>
        <x:v>0</x:v>
      </x:c>
      <x:c r="N957" s="10" t="n">
        <x:f>SUM(XLOOKUP('포켓몬_편집'!$AF957:$AN957,'분류_규칙'!$A$5:$A$76,'분류_규칙'!$N$5:$N$76,0))</x:f>
        <x:v>0</x:v>
      </x:c>
      <x:c r="O957" s="10" t="n">
        <x:f>SUM(XLOOKUP('포켓몬_편집'!$AF957:$AN957,'분류_규칙'!$A$5:$A$76,'분류_규칙'!$O$5:$O$76,0))</x:f>
        <x:v>2</x:v>
      </x:c>
      <x:c r="P957" s="10" t="n">
        <x:f>SUM(XLOOKUP('포켓몬_편집'!$AF957:$AN957,'분류_규칙'!$A$5:$A$76,'분류_규칙'!$P$5:$P$76,0))</x:f>
        <x:v>0</x:v>
      </x:c>
    </x:row>
    <x:row r="958" ht="22" customHeight="1">
      <x:c r="A958" s="5" t="n">
        <x:v>954</x:v>
      </x:c>
      <x:c r="B958" s="5" t="inlineStr">
        <x:is>
          <x:t xml:space="preserve">베라카스</x:t>
        </x:is>
      </x:c>
      <x:c r="C958" s="5" t="inlineStr">
        <x:is>
          <x:t xml:space="preserve">rabsca</x:t>
        </x:is>
      </x:c>
      <x:c r="D958" s="5" t="n">
        <x:v>9</x:v>
      </x:c>
      <x:c r="E958" s="10" t="n">
        <x:f>SUM(XLOOKUP('포켓몬_편집'!$AF958:$AN958,'분류_규칙'!$A$5:$A$76,'분류_규칙'!$E$5:$E$76,0))</x:f>
        <x:v>8</x:v>
      </x:c>
      <x:c r="F958" s="10" t="n">
        <x:f>SUM(XLOOKUP('포켓몬_편집'!$AF958:$AN958,'분류_규칙'!$A$5:$A$76,'분류_규칙'!$F$5:$F$76,0))</x:f>
        <x:v>8</x:v>
      </x:c>
      <x:c r="G958" s="10" t="n">
        <x:f>SUM(XLOOKUP('포켓몬_편집'!$AF958:$AN958,'분류_규칙'!$A$5:$A$76,'분류_규칙'!$G$5:$G$76,0))</x:f>
        <x:v>0</x:v>
      </x:c>
      <x:c r="H958" s="10" t="n">
        <x:f>SUM(XLOOKUP('포켓몬_편집'!$AF958:$AN958,'분류_규칙'!$A$5:$A$76,'분류_규칙'!$H$5:$H$76,0))</x:f>
        <x:v>12</x:v>
      </x:c>
      <x:c r="I958" s="10" t="n">
        <x:f>SUM(XLOOKUP('포켓몬_편집'!$AF958:$AN958,'분류_규칙'!$A$5:$A$76,'분류_규칙'!$I$5:$I$76,0))</x:f>
        <x:v>0</x:v>
      </x:c>
      <x:c r="J958" s="10" t="n">
        <x:f>SUM(XLOOKUP('포켓몬_편집'!$AF958:$AN958,'분류_규칙'!$A$5:$A$76,'분류_규칙'!$J$5:$J$76,0))</x:f>
        <x:v>0</x:v>
      </x:c>
      <x:c r="K958" s="10" t="n">
        <x:f>SUM(XLOOKUP('포켓몬_편집'!$AF958:$AN958,'분류_규칙'!$A$5:$A$76,'분류_규칙'!$K$5:$K$76,0))</x:f>
        <x:v>0</x:v>
      </x:c>
      <x:c r="L958" s="10" t="n">
        <x:f>SUM(XLOOKUP('포켓몬_편집'!$AF958:$AN958,'분류_규칙'!$A$5:$A$76,'분류_규칙'!$L$5:$L$76,0))</x:f>
        <x:v>3</x:v>
      </x:c>
      <x:c r="M958" s="10" t="n">
        <x:f>SUM(XLOOKUP('포켓몬_편집'!$AF958:$AN958,'분류_규칙'!$A$5:$A$76,'분류_규칙'!$M$5:$M$76,0))</x:f>
        <x:v>0</x:v>
      </x:c>
      <x:c r="N958" s="10" t="n">
        <x:f>SUM(XLOOKUP('포켓몬_편집'!$AF958:$AN958,'분류_규칙'!$A$5:$A$76,'분류_규칙'!$N$5:$N$76,0))</x:f>
        <x:v>0</x:v>
      </x:c>
      <x:c r="O958" s="10" t="n">
        <x:f>SUM(XLOOKUP('포켓몬_편집'!$AF958:$AN958,'분류_규칙'!$A$5:$A$76,'분류_규칙'!$O$5:$O$76,0))</x:f>
        <x:v>2</x:v>
      </x:c>
      <x:c r="P958" s="10" t="n">
        <x:f>SUM(XLOOKUP('포켓몬_편집'!$AF958:$AN958,'분류_규칙'!$A$5:$A$76,'분류_규칙'!$P$5:$P$76,0))</x:f>
        <x:v>0</x:v>
      </x:c>
    </x:row>
    <x:row r="959" ht="22" customHeight="1">
      <x:c r="A959" s="5" t="n">
        <x:v>955</x:v>
      </x:c>
      <x:c r="B959" s="5" t="inlineStr">
        <x:is>
          <x:t xml:space="preserve">하느라기</x:t>
        </x:is>
      </x:c>
      <x:c r="C959" s="5" t="inlineStr">
        <x:is>
          <x:t xml:space="preserve">flittle</x:t>
        </x:is>
      </x:c>
      <x:c r="D959" s="5" t="n">
        <x:v>9</x:v>
      </x:c>
      <x:c r="E959" s="10" t="n">
        <x:f>SUM(XLOOKUP('포켓몬_편집'!$AF959:$AN959,'분류_규칙'!$A$5:$A$76,'분류_규칙'!$E$5:$E$76,0))</x:f>
        <x:v>8</x:v>
      </x:c>
      <x:c r="F959" s="10" t="n">
        <x:f>SUM(XLOOKUP('포켓몬_편집'!$AF959:$AN959,'분류_규칙'!$A$5:$A$76,'분류_규칙'!$F$5:$F$76,0))</x:f>
        <x:v>8</x:v>
      </x:c>
      <x:c r="G959" s="10" t="n">
        <x:f>SUM(XLOOKUP('포켓몬_편집'!$AF959:$AN959,'분류_규칙'!$A$5:$A$76,'분류_규칙'!$G$5:$G$76,0))</x:f>
        <x:v>0</x:v>
      </x:c>
      <x:c r="H959" s="10" t="n">
        <x:f>SUM(XLOOKUP('포켓몬_편집'!$AF959:$AN959,'분류_규칙'!$A$5:$A$76,'분류_규칙'!$H$5:$H$76,0))</x:f>
        <x:v>12</x:v>
      </x:c>
      <x:c r="I959" s="10" t="n">
        <x:f>SUM(XLOOKUP('포켓몬_편집'!$AF959:$AN959,'분류_규칙'!$A$5:$A$76,'분류_규칙'!$I$5:$I$76,0))</x:f>
        <x:v>0</x:v>
      </x:c>
      <x:c r="J959" s="10" t="n">
        <x:f>SUM(XLOOKUP('포켓몬_편집'!$AF959:$AN959,'분류_규칙'!$A$5:$A$76,'분류_규칙'!$J$5:$J$76,0))</x:f>
        <x:v>0</x:v>
      </x:c>
      <x:c r="K959" s="10" t="n">
        <x:f>SUM(XLOOKUP('포켓몬_편집'!$AF959:$AN959,'분류_규칙'!$A$5:$A$76,'분류_규칙'!$K$5:$K$76,0))</x:f>
        <x:v>0</x:v>
      </x:c>
      <x:c r="L959" s="10" t="n">
        <x:f>SUM(XLOOKUP('포켓몬_편집'!$AF959:$AN959,'분류_규칙'!$A$5:$A$76,'분류_규칙'!$L$5:$L$76,0))</x:f>
        <x:v>3</x:v>
      </x:c>
      <x:c r="M959" s="10" t="n">
        <x:f>SUM(XLOOKUP('포켓몬_편집'!$AF959:$AN959,'분류_규칙'!$A$5:$A$76,'분류_규칙'!$M$5:$M$76,0))</x:f>
        <x:v>0</x:v>
      </x:c>
      <x:c r="N959" s="10" t="n">
        <x:f>SUM(XLOOKUP('포켓몬_편집'!$AF959:$AN959,'분류_규칙'!$A$5:$A$76,'분류_규칙'!$N$5:$N$76,0))</x:f>
        <x:v>0</x:v>
      </x:c>
      <x:c r="O959" s="10" t="n">
        <x:f>SUM(XLOOKUP('포켓몬_편집'!$AF959:$AN959,'분류_규칙'!$A$5:$A$76,'분류_규칙'!$O$5:$O$76,0))</x:f>
        <x:v>2</x:v>
      </x:c>
      <x:c r="P959" s="10" t="n">
        <x:f>SUM(XLOOKUP('포켓몬_편집'!$AF959:$AN959,'분류_규칙'!$A$5:$A$76,'분류_규칙'!$P$5:$P$76,0))</x:f>
        <x:v>0</x:v>
      </x:c>
    </x:row>
    <x:row r="960" ht="22" customHeight="1">
      <x:c r="A960" s="5" t="n">
        <x:v>956</x:v>
      </x:c>
      <x:c r="B960" s="5" t="inlineStr">
        <x:is>
          <x:t xml:space="preserve">클레스퍼트라</x:t>
        </x:is>
      </x:c>
      <x:c r="C960" s="5" t="inlineStr">
        <x:is>
          <x:t xml:space="preserve">espathra</x:t>
        </x:is>
      </x:c>
      <x:c r="D960" s="5" t="n">
        <x:v>9</x:v>
      </x:c>
      <x:c r="E960" s="10" t="n">
        <x:f>SUM(XLOOKUP('포켓몬_편집'!$AF960:$AN960,'분류_규칙'!$A$5:$A$76,'분류_규칙'!$E$5:$E$76,0))</x:f>
        <x:v>10</x:v>
      </x:c>
      <x:c r="F960" s="10" t="n">
        <x:f>SUM(XLOOKUP('포켓몬_편집'!$AF960:$AN960,'분류_규칙'!$A$5:$A$76,'분류_규칙'!$F$5:$F$76,0))</x:f>
        <x:v>7</x:v>
      </x:c>
      <x:c r="G960" s="10" t="n">
        <x:f>SUM(XLOOKUP('포켓몬_편집'!$AF960:$AN960,'분류_규칙'!$A$5:$A$76,'분류_규칙'!$G$5:$G$76,0))</x:f>
        <x:v>5</x:v>
      </x:c>
      <x:c r="H960" s="10" t="n">
        <x:f>SUM(XLOOKUP('포켓몬_편집'!$AF960:$AN960,'분류_규칙'!$A$5:$A$76,'분류_규칙'!$H$5:$H$76,0))</x:f>
        <x:v>5</x:v>
      </x:c>
      <x:c r="I960" s="10" t="n">
        <x:f>SUM(XLOOKUP('포켓몬_편집'!$AF960:$AN960,'분류_규칙'!$A$5:$A$76,'분류_규칙'!$I$5:$I$76,0))</x:f>
        <x:v>0</x:v>
      </x:c>
      <x:c r="J960" s="10" t="n">
        <x:f>SUM(XLOOKUP('포켓몬_편집'!$AF960:$AN960,'분류_규칙'!$A$5:$A$76,'분류_규칙'!$J$5:$J$76,0))</x:f>
        <x:v>2</x:v>
      </x:c>
      <x:c r="K960" s="10" t="n">
        <x:f>SUM(XLOOKUP('포켓몬_편집'!$AF960:$AN960,'분류_규칙'!$A$5:$A$76,'분류_규칙'!$K$5:$K$76,0))</x:f>
        <x:v>0</x:v>
      </x:c>
      <x:c r="L960" s="10" t="n">
        <x:f>SUM(XLOOKUP('포켓몬_편집'!$AF960:$AN960,'분류_규칙'!$A$5:$A$76,'분류_규칙'!$L$5:$L$76,0))</x:f>
        <x:v>0</x:v>
      </x:c>
      <x:c r="M960" s="10" t="n">
        <x:f>SUM(XLOOKUP('포켓몬_편집'!$AF960:$AN960,'분류_규칙'!$A$5:$A$76,'분류_규칙'!$M$5:$M$76,0))</x:f>
        <x:v>0</x:v>
      </x:c>
      <x:c r="N960" s="10" t="n">
        <x:f>SUM(XLOOKUP('포켓몬_편집'!$AF960:$AN960,'분류_규칙'!$A$5:$A$76,'분류_규칙'!$N$5:$N$76,0))</x:f>
        <x:v>0</x:v>
      </x:c>
      <x:c r="O960" s="10" t="n">
        <x:f>SUM(XLOOKUP('포켓몬_편집'!$AF960:$AN960,'분류_규칙'!$A$5:$A$76,'분류_규칙'!$O$5:$O$76,0))</x:f>
        <x:v>2</x:v>
      </x:c>
      <x:c r="P960" s="10" t="n">
        <x:f>SUM(XLOOKUP('포켓몬_편집'!$AF960:$AN960,'분류_규칙'!$A$5:$A$76,'분류_규칙'!$P$5:$P$76,0))</x:f>
        <x:v>0</x:v>
      </x:c>
    </x:row>
    <x:row r="961" ht="22" customHeight="1">
      <x:c r="A961" s="5" t="n">
        <x:v>957</x:v>
      </x:c>
      <x:c r="B961" s="5" t="inlineStr">
        <x:is>
          <x:t xml:space="preserve">어리짱</x:t>
        </x:is>
      </x:c>
      <x:c r="C961" s="5" t="inlineStr">
        <x:is>
          <x:t xml:space="preserve">tinkatink</x:t>
        </x:is>
      </x:c>
      <x:c r="D961" s="5" t="n">
        <x:v>9</x:v>
      </x:c>
      <x:c r="E961" s="10" t="n">
        <x:f>SUM(XLOOKUP('포켓몬_편집'!$AF961:$AN961,'분류_규칙'!$A$5:$A$76,'분류_규칙'!$E$5:$E$76,0))</x:f>
        <x:v>10</x:v>
      </x:c>
      <x:c r="F961" s="10" t="n">
        <x:f>SUM(XLOOKUP('포켓몬_편집'!$AF961:$AN961,'분류_규칙'!$A$5:$A$76,'분류_규칙'!$F$5:$F$76,0))</x:f>
        <x:v>7</x:v>
      </x:c>
      <x:c r="G961" s="10" t="n">
        <x:f>SUM(XLOOKUP('포켓몬_편집'!$AF961:$AN961,'분류_규칙'!$A$5:$A$76,'분류_규칙'!$G$5:$G$76,0))</x:f>
        <x:v>5</x:v>
      </x:c>
      <x:c r="H961" s="10" t="n">
        <x:f>SUM(XLOOKUP('포켓몬_편집'!$AF961:$AN961,'분류_규칙'!$A$5:$A$76,'분류_규칙'!$H$5:$H$76,0))</x:f>
        <x:v>5</x:v>
      </x:c>
      <x:c r="I961" s="10" t="n">
        <x:f>SUM(XLOOKUP('포켓몬_편집'!$AF961:$AN961,'분류_규칙'!$A$5:$A$76,'분류_규칙'!$I$5:$I$76,0))</x:f>
        <x:v>0</x:v>
      </x:c>
      <x:c r="J961" s="10" t="n">
        <x:f>SUM(XLOOKUP('포켓몬_편집'!$AF961:$AN961,'분류_규칙'!$A$5:$A$76,'분류_규칙'!$J$5:$J$76,0))</x:f>
        <x:v>2</x:v>
      </x:c>
      <x:c r="K961" s="10" t="n">
        <x:f>SUM(XLOOKUP('포켓몬_편집'!$AF961:$AN961,'분류_규칙'!$A$5:$A$76,'분류_규칙'!$K$5:$K$76,0))</x:f>
        <x:v>0</x:v>
      </x:c>
      <x:c r="L961" s="10" t="n">
        <x:f>SUM(XLOOKUP('포켓몬_편집'!$AF961:$AN961,'분류_규칙'!$A$5:$A$76,'분류_규칙'!$L$5:$L$76,0))</x:f>
        <x:v>0</x:v>
      </x:c>
      <x:c r="M961" s="10" t="n">
        <x:f>SUM(XLOOKUP('포켓몬_편집'!$AF961:$AN961,'분류_규칙'!$A$5:$A$76,'분류_규칙'!$M$5:$M$76,0))</x:f>
        <x:v>0</x:v>
      </x:c>
      <x:c r="N961" s="10" t="n">
        <x:f>SUM(XLOOKUP('포켓몬_편집'!$AF961:$AN961,'분류_규칙'!$A$5:$A$76,'분류_규칙'!$N$5:$N$76,0))</x:f>
        <x:v>0</x:v>
      </x:c>
      <x:c r="O961" s="10" t="n">
        <x:f>SUM(XLOOKUP('포켓몬_편집'!$AF961:$AN961,'분류_규칙'!$A$5:$A$76,'분류_규칙'!$O$5:$O$76,0))</x:f>
        <x:v>2</x:v>
      </x:c>
      <x:c r="P961" s="10" t="n">
        <x:f>SUM(XLOOKUP('포켓몬_편집'!$AF961:$AN961,'분류_규칙'!$A$5:$A$76,'분류_규칙'!$P$5:$P$76,0))</x:f>
        <x:v>0</x:v>
      </x:c>
    </x:row>
    <x:row r="962" ht="22" customHeight="1">
      <x:c r="A962" s="5" t="n">
        <x:v>958</x:v>
      </x:c>
      <x:c r="B962" s="5" t="inlineStr">
        <x:is>
          <x:t xml:space="preserve">벼리짱</x:t>
        </x:is>
      </x:c>
      <x:c r="C962" s="5" t="inlineStr">
        <x:is>
          <x:t xml:space="preserve">tinkatuff</x:t>
        </x:is>
      </x:c>
      <x:c r="D962" s="5" t="n">
        <x:v>9</x:v>
      </x:c>
      <x:c r="E962" s="10" t="n">
        <x:f>SUM(XLOOKUP('포켓몬_편집'!$AF962:$AN962,'분류_규칙'!$A$5:$A$76,'분류_규칙'!$E$5:$E$76,0))</x:f>
        <x:v>10</x:v>
      </x:c>
      <x:c r="F962" s="10" t="n">
        <x:f>SUM(XLOOKUP('포켓몬_편집'!$AF962:$AN962,'분류_규칙'!$A$5:$A$76,'분류_규칙'!$F$5:$F$76,0))</x:f>
        <x:v>7</x:v>
      </x:c>
      <x:c r="G962" s="10" t="n">
        <x:f>SUM(XLOOKUP('포켓몬_편집'!$AF962:$AN962,'분류_규칙'!$A$5:$A$76,'분류_규칙'!$G$5:$G$76,0))</x:f>
        <x:v>5</x:v>
      </x:c>
      <x:c r="H962" s="10" t="n">
        <x:f>SUM(XLOOKUP('포켓몬_편집'!$AF962:$AN962,'분류_규칙'!$A$5:$A$76,'분류_규칙'!$H$5:$H$76,0))</x:f>
        <x:v>5</x:v>
      </x:c>
      <x:c r="I962" s="10" t="n">
        <x:f>SUM(XLOOKUP('포켓몬_편집'!$AF962:$AN962,'분류_규칙'!$A$5:$A$76,'분류_규칙'!$I$5:$I$76,0))</x:f>
        <x:v>0</x:v>
      </x:c>
      <x:c r="J962" s="10" t="n">
        <x:f>SUM(XLOOKUP('포켓몬_편집'!$AF962:$AN962,'분류_규칙'!$A$5:$A$76,'분류_규칙'!$J$5:$J$76,0))</x:f>
        <x:v>2</x:v>
      </x:c>
      <x:c r="K962" s="10" t="n">
        <x:f>SUM(XLOOKUP('포켓몬_편집'!$AF962:$AN962,'분류_규칙'!$A$5:$A$76,'분류_규칙'!$K$5:$K$76,0))</x:f>
        <x:v>0</x:v>
      </x:c>
      <x:c r="L962" s="10" t="n">
        <x:f>SUM(XLOOKUP('포켓몬_편집'!$AF962:$AN962,'분류_규칙'!$A$5:$A$76,'분류_규칙'!$L$5:$L$76,0))</x:f>
        <x:v>0</x:v>
      </x:c>
      <x:c r="M962" s="10" t="n">
        <x:f>SUM(XLOOKUP('포켓몬_편집'!$AF962:$AN962,'분류_규칙'!$A$5:$A$76,'분류_규칙'!$M$5:$M$76,0))</x:f>
        <x:v>0</x:v>
      </x:c>
      <x:c r="N962" s="10" t="n">
        <x:f>SUM(XLOOKUP('포켓몬_편집'!$AF962:$AN962,'분류_규칙'!$A$5:$A$76,'분류_규칙'!$N$5:$N$76,0))</x:f>
        <x:v>0</x:v>
      </x:c>
      <x:c r="O962" s="10" t="n">
        <x:f>SUM(XLOOKUP('포켓몬_편집'!$AF962:$AN962,'분류_규칙'!$A$5:$A$76,'분류_규칙'!$O$5:$O$76,0))</x:f>
        <x:v>2</x:v>
      </x:c>
      <x:c r="P962" s="10" t="n">
        <x:f>SUM(XLOOKUP('포켓몬_편집'!$AF962:$AN962,'분류_규칙'!$A$5:$A$76,'분류_규칙'!$P$5:$P$76,0))</x:f>
        <x:v>0</x:v>
      </x:c>
    </x:row>
    <x:row r="963" ht="22" customHeight="1">
      <x:c r="A963" s="5" t="n">
        <x:v>959</x:v>
      </x:c>
      <x:c r="B963" s="5" t="inlineStr">
        <x:is>
          <x:t xml:space="preserve">두드리짱</x:t>
        </x:is>
      </x:c>
      <x:c r="C963" s="5" t="inlineStr">
        <x:is>
          <x:t xml:space="preserve">tinkaton</x:t>
        </x:is>
      </x:c>
      <x:c r="D963" s="5" t="n">
        <x:v>9</x:v>
      </x:c>
      <x:c r="E963" s="10" t="n">
        <x:f>SUM(XLOOKUP('포켓몬_편집'!$AF963:$AN963,'분류_규칙'!$A$5:$A$76,'분류_규칙'!$E$5:$E$76,0))</x:f>
        <x:v>10</x:v>
      </x:c>
      <x:c r="F963" s="10" t="n">
        <x:f>SUM(XLOOKUP('포켓몬_편집'!$AF963:$AN963,'분류_규칙'!$A$5:$A$76,'분류_규칙'!$F$5:$F$76,0))</x:f>
        <x:v>7</x:v>
      </x:c>
      <x:c r="G963" s="10" t="n">
        <x:f>SUM(XLOOKUP('포켓몬_편집'!$AF963:$AN963,'분류_규칙'!$A$5:$A$76,'분류_규칙'!$G$5:$G$76,0))</x:f>
        <x:v>5</x:v>
      </x:c>
      <x:c r="H963" s="10" t="n">
        <x:f>SUM(XLOOKUP('포켓몬_편집'!$AF963:$AN963,'분류_규칙'!$A$5:$A$76,'분류_규칙'!$H$5:$H$76,0))</x:f>
        <x:v>5</x:v>
      </x:c>
      <x:c r="I963" s="10" t="n">
        <x:f>SUM(XLOOKUP('포켓몬_편집'!$AF963:$AN963,'분류_규칙'!$A$5:$A$76,'분류_규칙'!$I$5:$I$76,0))</x:f>
        <x:v>0</x:v>
      </x:c>
      <x:c r="J963" s="10" t="n">
        <x:f>SUM(XLOOKUP('포켓몬_편집'!$AF963:$AN963,'분류_규칙'!$A$5:$A$76,'분류_규칙'!$J$5:$J$76,0))</x:f>
        <x:v>2</x:v>
      </x:c>
      <x:c r="K963" s="10" t="n">
        <x:f>SUM(XLOOKUP('포켓몬_편집'!$AF963:$AN963,'분류_규칙'!$A$5:$A$76,'분류_규칙'!$K$5:$K$76,0))</x:f>
        <x:v>0</x:v>
      </x:c>
      <x:c r="L963" s="10" t="n">
        <x:f>SUM(XLOOKUP('포켓몬_편집'!$AF963:$AN963,'분류_규칙'!$A$5:$A$76,'분류_규칙'!$L$5:$L$76,0))</x:f>
        <x:v>0</x:v>
      </x:c>
      <x:c r="M963" s="10" t="n">
        <x:f>SUM(XLOOKUP('포켓몬_편집'!$AF963:$AN963,'분류_규칙'!$A$5:$A$76,'분류_규칙'!$M$5:$M$76,0))</x:f>
        <x:v>0</x:v>
      </x:c>
      <x:c r="N963" s="10" t="n">
        <x:f>SUM(XLOOKUP('포켓몬_편집'!$AF963:$AN963,'분류_규칙'!$A$5:$A$76,'분류_규칙'!$N$5:$N$76,0))</x:f>
        <x:v>0</x:v>
      </x:c>
      <x:c r="O963" s="10" t="n">
        <x:f>SUM(XLOOKUP('포켓몬_편집'!$AF963:$AN963,'분류_규칙'!$A$5:$A$76,'분류_규칙'!$O$5:$O$76,0))</x:f>
        <x:v>2</x:v>
      </x:c>
      <x:c r="P963" s="10" t="n">
        <x:f>SUM(XLOOKUP('포켓몬_편집'!$AF963:$AN963,'분류_규칙'!$A$5:$A$76,'분류_규칙'!$P$5:$P$76,0))</x:f>
        <x:v>0</x:v>
      </x:c>
    </x:row>
    <x:row r="964" ht="22" customHeight="1">
      <x:c r="A964" s="5" t="n">
        <x:v>960</x:v>
      </x:c>
      <x:c r="B964" s="5" t="inlineStr">
        <x:is>
          <x:t xml:space="preserve">바다그다</x:t>
        </x:is>
      </x:c>
      <x:c r="C964" s="5" t="inlineStr">
        <x:is>
          <x:t xml:space="preserve">wiglett</x:t>
        </x:is>
      </x:c>
      <x:c r="D964" s="5" t="n">
        <x:v>9</x:v>
      </x:c>
      <x:c r="E964" s="10" t="n">
        <x:f>SUM(XLOOKUP('포켓몬_편집'!$AF964:$AN964,'분류_규칙'!$A$5:$A$76,'분류_규칙'!$E$5:$E$76,0))</x:f>
        <x:v>0</x:v>
      </x:c>
      <x:c r="F964" s="10" t="n">
        <x:f>SUM(XLOOKUP('포켓몬_편집'!$AF964:$AN964,'분류_규칙'!$A$5:$A$76,'분류_규칙'!$F$5:$F$76,0))</x:f>
        <x:v>0</x:v>
      </x:c>
      <x:c r="G964" s="10" t="n">
        <x:f>SUM(XLOOKUP('포켓몬_편집'!$AF964:$AN964,'분류_규칙'!$A$5:$A$76,'분류_규칙'!$G$5:$G$76,0))</x:f>
        <x:v>0</x:v>
      </x:c>
      <x:c r="H964" s="10" t="n">
        <x:f>SUM(XLOOKUP('포켓몬_편집'!$AF964:$AN964,'분류_규칙'!$A$5:$A$76,'분류_규칙'!$H$5:$H$76,0))</x:f>
        <x:v>0</x:v>
      </x:c>
      <x:c r="I964" s="10" t="n">
        <x:f>SUM(XLOOKUP('포켓몬_편집'!$AF964:$AN964,'분류_규칙'!$A$5:$A$76,'분류_규칙'!$I$5:$I$76,0))</x:f>
        <x:v>0</x:v>
      </x:c>
      <x:c r="J964" s="10" t="n">
        <x:f>SUM(XLOOKUP('포켓몬_편집'!$AF964:$AN964,'분류_규칙'!$A$5:$A$76,'분류_규칙'!$J$5:$J$76,0))</x:f>
        <x:v>3</x:v>
      </x:c>
      <x:c r="K964" s="10" t="n">
        <x:f>SUM(XLOOKUP('포켓몬_편집'!$AF964:$AN964,'분류_규칙'!$A$5:$A$76,'분류_규칙'!$K$5:$K$76,0))</x:f>
        <x:v>0</x:v>
      </x:c>
      <x:c r="L964" s="10" t="n">
        <x:f>SUM(XLOOKUP('포켓몬_편집'!$AF964:$AN964,'분류_규칙'!$A$5:$A$76,'분류_규칙'!$L$5:$L$76,0))</x:f>
        <x:v>30</x:v>
      </x:c>
      <x:c r="M964" s="10" t="n">
        <x:f>SUM(XLOOKUP('포켓몬_편집'!$AF964:$AN964,'분류_규칙'!$A$5:$A$76,'분류_규칙'!$M$5:$M$76,0))</x:f>
        <x:v>0</x:v>
      </x:c>
      <x:c r="N964" s="10" t="n">
        <x:f>SUM(XLOOKUP('포켓몬_편집'!$AF964:$AN964,'분류_규칙'!$A$5:$A$76,'분류_규칙'!$N$5:$N$76,0))</x:f>
        <x:v>0</x:v>
      </x:c>
      <x:c r="O964" s="10" t="n">
        <x:f>SUM(XLOOKUP('포켓몬_편집'!$AF964:$AN964,'분류_규칙'!$A$5:$A$76,'분류_규칙'!$O$5:$O$76,0))</x:f>
        <x:v>0</x:v>
      </x:c>
      <x:c r="P964" s="10" t="n">
        <x:f>SUM(XLOOKUP('포켓몬_편집'!$AF964:$AN964,'분류_규칙'!$A$5:$A$76,'분류_규칙'!$P$5:$P$76,0))</x:f>
        <x:v>0</x:v>
      </x:c>
    </x:row>
    <x:row r="965" ht="22" customHeight="1">
      <x:c r="A965" s="5" t="n">
        <x:v>961</x:v>
      </x:c>
      <x:c r="B965" s="5" t="inlineStr">
        <x:is>
          <x:t xml:space="preserve">바닥트리오</x:t>
        </x:is>
      </x:c>
      <x:c r="C965" s="5" t="inlineStr">
        <x:is>
          <x:t xml:space="preserve">wugtrio</x:t>
        </x:is>
      </x:c>
      <x:c r="D965" s="5" t="n">
        <x:v>9</x:v>
      </x:c>
      <x:c r="E965" s="10" t="n">
        <x:f>SUM(XLOOKUP('포켓몬_편집'!$AF965:$AN965,'분류_규칙'!$A$5:$A$76,'분류_규칙'!$E$5:$E$76,0))</x:f>
        <x:v>0</x:v>
      </x:c>
      <x:c r="F965" s="10" t="n">
        <x:f>SUM(XLOOKUP('포켓몬_편집'!$AF965:$AN965,'분류_규칙'!$A$5:$A$76,'분류_규칙'!$F$5:$F$76,0))</x:f>
        <x:v>0</x:v>
      </x:c>
      <x:c r="G965" s="10" t="n">
        <x:f>SUM(XLOOKUP('포켓몬_편집'!$AF965:$AN965,'분류_규칙'!$A$5:$A$76,'분류_규칙'!$G$5:$G$76,0))</x:f>
        <x:v>0</x:v>
      </x:c>
      <x:c r="H965" s="10" t="n">
        <x:f>SUM(XLOOKUP('포켓몬_편집'!$AF965:$AN965,'분류_규칙'!$A$5:$A$76,'분류_규칙'!$H$5:$H$76,0))</x:f>
        <x:v>0</x:v>
      </x:c>
      <x:c r="I965" s="10" t="n">
        <x:f>SUM(XLOOKUP('포켓몬_편집'!$AF965:$AN965,'분류_규칙'!$A$5:$A$76,'분류_규칙'!$I$5:$I$76,0))</x:f>
        <x:v>0</x:v>
      </x:c>
      <x:c r="J965" s="10" t="n">
        <x:f>SUM(XLOOKUP('포켓몬_편집'!$AF965:$AN965,'분류_규칙'!$A$5:$A$76,'분류_규칙'!$J$5:$J$76,0))</x:f>
        <x:v>3</x:v>
      </x:c>
      <x:c r="K965" s="10" t="n">
        <x:f>SUM(XLOOKUP('포켓몬_편집'!$AF965:$AN965,'분류_규칙'!$A$5:$A$76,'분류_규칙'!$K$5:$K$76,0))</x:f>
        <x:v>0</x:v>
      </x:c>
      <x:c r="L965" s="10" t="n">
        <x:f>SUM(XLOOKUP('포켓몬_편집'!$AF965:$AN965,'분류_규칙'!$A$5:$A$76,'분류_규칙'!$L$5:$L$76,0))</x:f>
        <x:v>30</x:v>
      </x:c>
      <x:c r="M965" s="10" t="n">
        <x:f>SUM(XLOOKUP('포켓몬_편집'!$AF965:$AN965,'분류_규칙'!$A$5:$A$76,'분류_규칙'!$M$5:$M$76,0))</x:f>
        <x:v>0</x:v>
      </x:c>
      <x:c r="N965" s="10" t="n">
        <x:f>SUM(XLOOKUP('포켓몬_편집'!$AF965:$AN965,'분류_규칙'!$A$5:$A$76,'분류_규칙'!$N$5:$N$76,0))</x:f>
        <x:v>0</x:v>
      </x:c>
      <x:c r="O965" s="10" t="n">
        <x:f>SUM(XLOOKUP('포켓몬_편집'!$AF965:$AN965,'분류_규칙'!$A$5:$A$76,'분류_규칙'!$O$5:$O$76,0))</x:f>
        <x:v>0</x:v>
      </x:c>
      <x:c r="P965" s="10" t="n">
        <x:f>SUM(XLOOKUP('포켓몬_편집'!$AF965:$AN965,'분류_규칙'!$A$5:$A$76,'분류_규칙'!$P$5:$P$76,0))</x:f>
        <x:v>0</x:v>
      </x:c>
    </x:row>
    <x:row r="966" ht="22" customHeight="1">
      <x:c r="A966" s="5" t="n">
        <x:v>962</x:v>
      </x:c>
      <x:c r="B966" s="5" t="inlineStr">
        <x:is>
          <x:t xml:space="preserve">떨구새</x:t>
        </x:is>
      </x:c>
      <x:c r="C966" s="5" t="inlineStr">
        <x:is>
          <x:t xml:space="preserve">bombirdier</x:t>
        </x:is>
      </x:c>
      <x:c r="D966" s="5" t="n">
        <x:v>9</x:v>
      </x:c>
      <x:c r="E966" s="10" t="n">
        <x:f>SUM(XLOOKUP('포켓몬_편집'!$AF966:$AN966,'분류_규칙'!$A$5:$A$76,'분류_규칙'!$E$5:$E$76,0))</x:f>
        <x:v>0</x:v>
      </x:c>
      <x:c r="F966" s="10" t="n">
        <x:f>SUM(XLOOKUP('포켓몬_편집'!$AF966:$AN966,'분류_규칙'!$A$5:$A$76,'분류_규칙'!$F$5:$F$76,0))</x:f>
        <x:v>0</x:v>
      </x:c>
      <x:c r="G966" s="10" t="n">
        <x:f>SUM(XLOOKUP('포켓몬_편집'!$AF966:$AN966,'분류_규칙'!$A$5:$A$76,'분류_규칙'!$G$5:$G$76,0))</x:f>
        <x:v>0</x:v>
      </x:c>
      <x:c r="H966" s="10" t="n">
        <x:f>SUM(XLOOKUP('포켓몬_편집'!$AF966:$AN966,'분류_규칙'!$A$5:$A$76,'분류_규칙'!$H$5:$H$76,0))</x:f>
        <x:v>0</x:v>
      </x:c>
      <x:c r="I966" s="10" t="n">
        <x:f>SUM(XLOOKUP('포켓몬_편집'!$AF966:$AN966,'분류_규칙'!$A$5:$A$76,'분류_규칙'!$I$5:$I$76,0))</x:f>
        <x:v>0</x:v>
      </x:c>
      <x:c r="J966" s="10" t="n">
        <x:f>SUM(XLOOKUP('포켓몬_편집'!$AF966:$AN966,'분류_규칙'!$A$5:$A$76,'분류_규칙'!$J$5:$J$76,0))</x:f>
        <x:v>3</x:v>
      </x:c>
      <x:c r="K966" s="10" t="n">
        <x:f>SUM(XLOOKUP('포켓몬_편집'!$AF966:$AN966,'분류_규칙'!$A$5:$A$76,'분류_규칙'!$K$5:$K$76,0))</x:f>
        <x:v>0</x:v>
      </x:c>
      <x:c r="L966" s="10" t="n">
        <x:f>SUM(XLOOKUP('포켓몬_편집'!$AF966:$AN966,'분류_규칙'!$A$5:$A$76,'분류_규칙'!$L$5:$L$76,0))</x:f>
        <x:v>30</x:v>
      </x:c>
      <x:c r="M966" s="10" t="n">
        <x:f>SUM(XLOOKUP('포켓몬_편집'!$AF966:$AN966,'분류_규칙'!$A$5:$A$76,'분류_규칙'!$M$5:$M$76,0))</x:f>
        <x:v>0</x:v>
      </x:c>
      <x:c r="N966" s="10" t="n">
        <x:f>SUM(XLOOKUP('포켓몬_편집'!$AF966:$AN966,'분류_규칙'!$A$5:$A$76,'분류_규칙'!$N$5:$N$76,0))</x:f>
        <x:v>0</x:v>
      </x:c>
      <x:c r="O966" s="10" t="n">
        <x:f>SUM(XLOOKUP('포켓몬_편집'!$AF966:$AN966,'분류_규칙'!$A$5:$A$76,'분류_규칙'!$O$5:$O$76,0))</x:f>
        <x:v>0</x:v>
      </x:c>
      <x:c r="P966" s="10" t="n">
        <x:f>SUM(XLOOKUP('포켓몬_편집'!$AF966:$AN966,'분류_규칙'!$A$5:$A$76,'분류_규칙'!$P$5:$P$76,0))</x:f>
        <x:v>0</x:v>
      </x:c>
    </x:row>
    <x:row r="967" ht="22" customHeight="1">
      <x:c r="A967" s="5" t="n">
        <x:v>963</x:v>
      </x:c>
      <x:c r="B967" s="5" t="inlineStr">
        <x:is>
          <x:t xml:space="preserve">맨돌핀</x:t>
        </x:is>
      </x:c>
      <x:c r="C967" s="5" t="inlineStr">
        <x:is>
          <x:t xml:space="preserve">finizen</x:t>
        </x:is>
      </x:c>
      <x:c r="D967" s="5" t="n">
        <x:v>9</x:v>
      </x:c>
      <x:c r="E967" s="10" t="n">
        <x:f>SUM(XLOOKUP('포켓몬_편집'!$AF967:$AN967,'분류_규칙'!$A$5:$A$76,'분류_규칙'!$E$5:$E$76,0))</x:f>
        <x:v>0</x:v>
      </x:c>
      <x:c r="F967" s="10" t="n">
        <x:f>SUM(XLOOKUP('포켓몬_편집'!$AF967:$AN967,'분류_규칙'!$A$5:$A$76,'분류_규칙'!$F$5:$F$76,0))</x:f>
        <x:v>0</x:v>
      </x:c>
      <x:c r="G967" s="10" t="n">
        <x:f>SUM(XLOOKUP('포켓몬_편집'!$AF967:$AN967,'분류_규칙'!$A$5:$A$76,'분류_규칙'!$G$5:$G$76,0))</x:f>
        <x:v>0</x:v>
      </x:c>
      <x:c r="H967" s="10" t="n">
        <x:f>SUM(XLOOKUP('포켓몬_편집'!$AF967:$AN967,'분류_규칙'!$A$5:$A$76,'분류_규칙'!$H$5:$H$76,0))</x:f>
        <x:v>0</x:v>
      </x:c>
      <x:c r="I967" s="10" t="n">
        <x:f>SUM(XLOOKUP('포켓몬_편집'!$AF967:$AN967,'분류_규칙'!$A$5:$A$76,'분류_규칙'!$I$5:$I$76,0))</x:f>
        <x:v>0</x:v>
      </x:c>
      <x:c r="J967" s="10" t="n">
        <x:f>SUM(XLOOKUP('포켓몬_편집'!$AF967:$AN967,'분류_규칙'!$A$5:$A$76,'분류_규칙'!$J$5:$J$76,0))</x:f>
        <x:v>3</x:v>
      </x:c>
      <x:c r="K967" s="10" t="n">
        <x:f>SUM(XLOOKUP('포켓몬_편집'!$AF967:$AN967,'분류_규칙'!$A$5:$A$76,'분류_규칙'!$K$5:$K$76,0))</x:f>
        <x:v>0</x:v>
      </x:c>
      <x:c r="L967" s="10" t="n">
        <x:f>SUM(XLOOKUP('포켓몬_편집'!$AF967:$AN967,'분류_규칙'!$A$5:$A$76,'분류_규칙'!$L$5:$L$76,0))</x:f>
        <x:v>30</x:v>
      </x:c>
      <x:c r="M967" s="10" t="n">
        <x:f>SUM(XLOOKUP('포켓몬_편집'!$AF967:$AN967,'분류_규칙'!$A$5:$A$76,'분류_규칙'!$M$5:$M$76,0))</x:f>
        <x:v>0</x:v>
      </x:c>
      <x:c r="N967" s="10" t="n">
        <x:f>SUM(XLOOKUP('포켓몬_편집'!$AF967:$AN967,'분류_규칙'!$A$5:$A$76,'분류_규칙'!$N$5:$N$76,0))</x:f>
        <x:v>0</x:v>
      </x:c>
      <x:c r="O967" s="10" t="n">
        <x:f>SUM(XLOOKUP('포켓몬_편집'!$AF967:$AN967,'분류_규칙'!$A$5:$A$76,'분류_규칙'!$O$5:$O$76,0))</x:f>
        <x:v>0</x:v>
      </x:c>
      <x:c r="P967" s="10" t="n">
        <x:f>SUM(XLOOKUP('포켓몬_편집'!$AF967:$AN967,'분류_규칙'!$A$5:$A$76,'분류_규칙'!$P$5:$P$76,0))</x:f>
        <x:v>0</x:v>
      </x:c>
    </x:row>
    <x:row r="968" ht="22" customHeight="1">
      <x:c r="A968" s="5" t="n">
        <x:v>964</x:v>
      </x:c>
      <x:c r="B968" s="5" t="inlineStr">
        <x:is>
          <x:t xml:space="preserve">돌핀맨</x:t>
        </x:is>
      </x:c>
      <x:c r="C968" s="5" t="inlineStr">
        <x:is>
          <x:t xml:space="preserve">palafin</x:t>
        </x:is>
      </x:c>
      <x:c r="D968" s="5" t="n">
        <x:v>9</x:v>
      </x:c>
      <x:c r="E968" s="10" t="n">
        <x:f>SUM(XLOOKUP('포켓몬_편집'!$AF968:$AN968,'분류_규칙'!$A$5:$A$76,'분류_규칙'!$E$5:$E$76,0))</x:f>
        <x:v>0</x:v>
      </x:c>
      <x:c r="F968" s="10" t="n">
        <x:f>SUM(XLOOKUP('포켓몬_편집'!$AF968:$AN968,'분류_규칙'!$A$5:$A$76,'분류_규칙'!$F$5:$F$76,0))</x:f>
        <x:v>0</x:v>
      </x:c>
      <x:c r="G968" s="10" t="n">
        <x:f>SUM(XLOOKUP('포켓몬_편집'!$AF968:$AN968,'분류_규칙'!$A$5:$A$76,'분류_규칙'!$G$5:$G$76,0))</x:f>
        <x:v>0</x:v>
      </x:c>
      <x:c r="H968" s="10" t="n">
        <x:f>SUM(XLOOKUP('포켓몬_편집'!$AF968:$AN968,'분류_규칙'!$A$5:$A$76,'분류_규칙'!$H$5:$H$76,0))</x:f>
        <x:v>0</x:v>
      </x:c>
      <x:c r="I968" s="10" t="n">
        <x:f>SUM(XLOOKUP('포켓몬_편집'!$AF968:$AN968,'분류_규칙'!$A$5:$A$76,'분류_규칙'!$I$5:$I$76,0))</x:f>
        <x:v>0</x:v>
      </x:c>
      <x:c r="J968" s="10" t="n">
        <x:f>SUM(XLOOKUP('포켓몬_편집'!$AF968:$AN968,'분류_규칙'!$A$5:$A$76,'분류_규칙'!$J$5:$J$76,0))</x:f>
        <x:v>3</x:v>
      </x:c>
      <x:c r="K968" s="10" t="n">
        <x:f>SUM(XLOOKUP('포켓몬_편집'!$AF968:$AN968,'분류_규칙'!$A$5:$A$76,'분류_규칙'!$K$5:$K$76,0))</x:f>
        <x:v>0</x:v>
      </x:c>
      <x:c r="L968" s="10" t="n">
        <x:f>SUM(XLOOKUP('포켓몬_편집'!$AF968:$AN968,'분류_규칙'!$A$5:$A$76,'분류_규칙'!$L$5:$L$76,0))</x:f>
        <x:v>30</x:v>
      </x:c>
      <x:c r="M968" s="10" t="n">
        <x:f>SUM(XLOOKUP('포켓몬_편집'!$AF968:$AN968,'분류_규칙'!$A$5:$A$76,'분류_규칙'!$M$5:$M$76,0))</x:f>
        <x:v>0</x:v>
      </x:c>
      <x:c r="N968" s="10" t="n">
        <x:f>SUM(XLOOKUP('포켓몬_편집'!$AF968:$AN968,'분류_규칙'!$A$5:$A$76,'분류_규칙'!$N$5:$N$76,0))</x:f>
        <x:v>0</x:v>
      </x:c>
      <x:c r="O968" s="10" t="n">
        <x:f>SUM(XLOOKUP('포켓몬_편집'!$AF968:$AN968,'분류_규칙'!$A$5:$A$76,'분류_규칙'!$O$5:$O$76,0))</x:f>
        <x:v>0</x:v>
      </x:c>
      <x:c r="P968" s="10" t="n">
        <x:f>SUM(XLOOKUP('포켓몬_편집'!$AF968:$AN968,'분류_규칙'!$A$5:$A$76,'분류_규칙'!$P$5:$P$76,0))</x:f>
        <x:v>0</x:v>
      </x:c>
    </x:row>
    <x:row r="969" ht="22" customHeight="1">
      <x:c r="A969" s="5" t="n">
        <x:v>965</x:v>
      </x:c>
      <x:c r="B969" s="5" t="inlineStr">
        <x:is>
          <x:t xml:space="preserve">부르롱</x:t>
        </x:is>
      </x:c>
      <x:c r="C969" s="5" t="inlineStr">
        <x:is>
          <x:t xml:space="preserve">varoom</x:t>
        </x:is>
      </x:c>
      <x:c r="D969" s="5" t="n">
        <x:v>9</x:v>
      </x:c>
      <x:c r="E969" s="10" t="n">
        <x:f>SUM(XLOOKUP('포켓몬_편집'!$AF969:$AN969,'분류_규칙'!$A$5:$A$76,'분류_규칙'!$E$5:$E$76,0))</x:f>
        <x:v>0</x:v>
      </x:c>
      <x:c r="F969" s="10" t="n">
        <x:f>SUM(XLOOKUP('포켓몬_편집'!$AF969:$AN969,'분류_규칙'!$A$5:$A$76,'분류_규칙'!$F$5:$F$76,0))</x:f>
        <x:v>0</x:v>
      </x:c>
      <x:c r="G969" s="10" t="n">
        <x:f>SUM(XLOOKUP('포켓몬_편집'!$AF969:$AN969,'분류_규칙'!$A$5:$A$76,'분류_규칙'!$G$5:$G$76,0))</x:f>
        <x:v>0</x:v>
      </x:c>
      <x:c r="H969" s="10" t="n">
        <x:f>SUM(XLOOKUP('포켓몬_편집'!$AF969:$AN969,'분류_규칙'!$A$5:$A$76,'분류_규칙'!$H$5:$H$76,0))</x:f>
        <x:v>0</x:v>
      </x:c>
      <x:c r="I969" s="10" t="n">
        <x:f>SUM(XLOOKUP('포켓몬_편집'!$AF969:$AN969,'분류_규칙'!$A$5:$A$76,'분류_규칙'!$I$5:$I$76,0))</x:f>
        <x:v>0</x:v>
      </x:c>
      <x:c r="J969" s="10" t="n">
        <x:f>SUM(XLOOKUP('포켓몬_편집'!$AF969:$AN969,'분류_규칙'!$A$5:$A$76,'분류_규칙'!$J$5:$J$76,0))</x:f>
        <x:v>0</x:v>
      </x:c>
      <x:c r="K969" s="10" t="n">
        <x:f>SUM(XLOOKUP('포켓몬_편집'!$AF969:$AN969,'분류_규칙'!$A$5:$A$76,'분류_규칙'!$K$5:$K$76,0))</x:f>
        <x:v>0</x:v>
      </x:c>
      <x:c r="L969" s="10" t="n">
        <x:f>SUM(XLOOKUP('포켓몬_편집'!$AF969:$AN969,'분류_규칙'!$A$5:$A$76,'분류_규칙'!$L$5:$L$76,0))</x:f>
        <x:v>0</x:v>
      </x:c>
      <x:c r="M969" s="10" t="n">
        <x:f>SUM(XLOOKUP('포켓몬_편집'!$AF969:$AN969,'분류_규칙'!$A$5:$A$76,'분류_규칙'!$M$5:$M$76,0))</x:f>
        <x:v>0</x:v>
      </x:c>
      <x:c r="N969" s="10" t="n">
        <x:f>SUM(XLOOKUP('포켓몬_편집'!$AF969:$AN969,'분류_규칙'!$A$5:$A$76,'분류_규칙'!$N$5:$N$76,0))</x:f>
        <x:v>0</x:v>
      </x:c>
      <x:c r="O969" s="10" t="n">
        <x:f>SUM(XLOOKUP('포켓몬_편집'!$AF969:$AN969,'분류_규칙'!$A$5:$A$76,'분류_규칙'!$O$5:$O$76,0))</x:f>
        <x:v>30</x:v>
      </x:c>
      <x:c r="P969" s="10" t="n">
        <x:f>SUM(XLOOKUP('포켓몬_편집'!$AF969:$AN969,'분류_규칙'!$A$5:$A$76,'분류_규칙'!$P$5:$P$76,0))</x:f>
        <x:v>8</x:v>
      </x:c>
    </x:row>
    <x:row r="970" ht="22" customHeight="1">
      <x:c r="A970" s="5" t="n">
        <x:v>966</x:v>
      </x:c>
      <x:c r="B970" s="5" t="inlineStr">
        <x:is>
          <x:t xml:space="preserve">부르르룸</x:t>
        </x:is>
      </x:c>
      <x:c r="C970" s="5" t="inlineStr">
        <x:is>
          <x:t xml:space="preserve">revavroom</x:t>
        </x:is>
      </x:c>
      <x:c r="D970" s="5" t="n">
        <x:v>9</x:v>
      </x:c>
      <x:c r="E970" s="10" t="n">
        <x:f>SUM(XLOOKUP('포켓몬_편집'!$AF970:$AN970,'분류_규칙'!$A$5:$A$76,'분류_규칙'!$E$5:$E$76,0))</x:f>
        <x:v>0</x:v>
      </x:c>
      <x:c r="F970" s="10" t="n">
        <x:f>SUM(XLOOKUP('포켓몬_편집'!$AF970:$AN970,'분류_규칙'!$A$5:$A$76,'분류_규칙'!$F$5:$F$76,0))</x:f>
        <x:v>0</x:v>
      </x:c>
      <x:c r="G970" s="10" t="n">
        <x:f>SUM(XLOOKUP('포켓몬_편집'!$AF970:$AN970,'분류_규칙'!$A$5:$A$76,'분류_규칙'!$G$5:$G$76,0))</x:f>
        <x:v>0</x:v>
      </x:c>
      <x:c r="H970" s="10" t="n">
        <x:f>SUM(XLOOKUP('포켓몬_편집'!$AF970:$AN970,'분류_규칙'!$A$5:$A$76,'분류_규칙'!$H$5:$H$76,0))</x:f>
        <x:v>0</x:v>
      </x:c>
      <x:c r="I970" s="10" t="n">
        <x:f>SUM(XLOOKUP('포켓몬_편집'!$AF970:$AN970,'분류_규칙'!$A$5:$A$76,'분류_규칙'!$I$5:$I$76,0))</x:f>
        <x:v>0</x:v>
      </x:c>
      <x:c r="J970" s="10" t="n">
        <x:f>SUM(XLOOKUP('포켓몬_편집'!$AF970:$AN970,'분류_규칙'!$A$5:$A$76,'분류_규칙'!$J$5:$J$76,0))</x:f>
        <x:v>0</x:v>
      </x:c>
      <x:c r="K970" s="10" t="n">
        <x:f>SUM(XLOOKUP('포켓몬_편집'!$AF970:$AN970,'분류_규칙'!$A$5:$A$76,'분류_규칙'!$K$5:$K$76,0))</x:f>
        <x:v>0</x:v>
      </x:c>
      <x:c r="L970" s="10" t="n">
        <x:f>SUM(XLOOKUP('포켓몬_편집'!$AF970:$AN970,'분류_규칙'!$A$5:$A$76,'분류_규칙'!$L$5:$L$76,0))</x:f>
        <x:v>0</x:v>
      </x:c>
      <x:c r="M970" s="10" t="n">
        <x:f>SUM(XLOOKUP('포켓몬_편집'!$AF970:$AN970,'분류_규칙'!$A$5:$A$76,'분류_규칙'!$M$5:$M$76,0))</x:f>
        <x:v>0</x:v>
      </x:c>
      <x:c r="N970" s="10" t="n">
        <x:f>SUM(XLOOKUP('포켓몬_편집'!$AF970:$AN970,'분류_규칙'!$A$5:$A$76,'분류_규칙'!$N$5:$N$76,0))</x:f>
        <x:v>0</x:v>
      </x:c>
      <x:c r="O970" s="10" t="n">
        <x:f>SUM(XLOOKUP('포켓몬_편집'!$AF970:$AN970,'분류_규칙'!$A$5:$A$76,'분류_규칙'!$O$5:$O$76,0))</x:f>
        <x:v>30</x:v>
      </x:c>
      <x:c r="P970" s="10" t="n">
        <x:f>SUM(XLOOKUP('포켓몬_편집'!$AF970:$AN970,'분류_규칙'!$A$5:$A$76,'분류_규칙'!$P$5:$P$76,0))</x:f>
        <x:v>8</x:v>
      </x:c>
    </x:row>
    <x:row r="971" ht="22" customHeight="1">
      <x:c r="A971" s="5" t="n">
        <x:v>967</x:v>
      </x:c>
      <x:c r="B971" s="5" t="inlineStr">
        <x:is>
          <x:t xml:space="preserve">모토마</x:t>
        </x:is>
      </x:c>
      <x:c r="C971" s="5" t="inlineStr">
        <x:is>
          <x:t xml:space="preserve">cyclizar</x:t>
        </x:is>
      </x:c>
      <x:c r="D971" s="5" t="n">
        <x:v>9</x:v>
      </x:c>
      <x:c r="E971" s="10" t="n">
        <x:f>SUM(XLOOKUP('포켓몬_편집'!$AF971:$AN971,'분류_규칙'!$A$5:$A$76,'분류_규칙'!$E$5:$E$76,0))</x:f>
        <x:v>10</x:v>
      </x:c>
      <x:c r="F971" s="10" t="n">
        <x:f>SUM(XLOOKUP('포켓몬_편집'!$AF971:$AN971,'분류_규칙'!$A$5:$A$76,'분류_규칙'!$F$5:$F$76,0))</x:f>
        <x:v>7</x:v>
      </x:c>
      <x:c r="G971" s="10" t="n">
        <x:f>SUM(XLOOKUP('포켓몬_편집'!$AF971:$AN971,'분류_규칙'!$A$5:$A$76,'분류_규칙'!$G$5:$G$76,0))</x:f>
        <x:v>5</x:v>
      </x:c>
      <x:c r="H971" s="10" t="n">
        <x:f>SUM(XLOOKUP('포켓몬_편집'!$AF971:$AN971,'분류_규칙'!$A$5:$A$76,'분류_규칙'!$H$5:$H$76,0))</x:f>
        <x:v>5</x:v>
      </x:c>
      <x:c r="I971" s="10" t="n">
        <x:f>SUM(XLOOKUP('포켓몬_편집'!$AF971:$AN971,'분류_규칙'!$A$5:$A$76,'분류_규칙'!$I$5:$I$76,0))</x:f>
        <x:v>0</x:v>
      </x:c>
      <x:c r="J971" s="10" t="n">
        <x:f>SUM(XLOOKUP('포켓몬_편집'!$AF971:$AN971,'분류_규칙'!$A$5:$A$76,'분류_규칙'!$J$5:$J$76,0))</x:f>
        <x:v>2</x:v>
      </x:c>
      <x:c r="K971" s="10" t="n">
        <x:f>SUM(XLOOKUP('포켓몬_편집'!$AF971:$AN971,'분류_규칙'!$A$5:$A$76,'분류_규칙'!$K$5:$K$76,0))</x:f>
        <x:v>0</x:v>
      </x:c>
      <x:c r="L971" s="10" t="n">
        <x:f>SUM(XLOOKUP('포켓몬_편집'!$AF971:$AN971,'분류_규칙'!$A$5:$A$76,'분류_규칙'!$L$5:$L$76,0))</x:f>
        <x:v>0</x:v>
      </x:c>
      <x:c r="M971" s="10" t="n">
        <x:f>SUM(XLOOKUP('포켓몬_편집'!$AF971:$AN971,'분류_규칙'!$A$5:$A$76,'분류_규칙'!$M$5:$M$76,0))</x:f>
        <x:v>0</x:v>
      </x:c>
      <x:c r="N971" s="10" t="n">
        <x:f>SUM(XLOOKUP('포켓몬_편집'!$AF971:$AN971,'분류_규칙'!$A$5:$A$76,'분류_규칙'!$N$5:$N$76,0))</x:f>
        <x:v>0</x:v>
      </x:c>
      <x:c r="O971" s="10" t="n">
        <x:f>SUM(XLOOKUP('포켓몬_편집'!$AF971:$AN971,'분류_규칙'!$A$5:$A$76,'분류_규칙'!$O$5:$O$76,0))</x:f>
        <x:v>2</x:v>
      </x:c>
      <x:c r="P971" s="10" t="n">
        <x:f>SUM(XLOOKUP('포켓몬_편집'!$AF971:$AN971,'분류_규칙'!$A$5:$A$76,'분류_규칙'!$P$5:$P$76,0))</x:f>
        <x:v>0</x:v>
      </x:c>
    </x:row>
    <x:row r="972" ht="22" customHeight="1">
      <x:c r="A972" s="5" t="n">
        <x:v>968</x:v>
      </x:c>
      <x:c r="B972" s="5" t="inlineStr">
        <x:is>
          <x:t xml:space="preserve">꿈트렁</x:t>
        </x:is>
      </x:c>
      <x:c r="C972" s="5" t="inlineStr">
        <x:is>
          <x:t xml:space="preserve">orthworm</x:t>
        </x:is>
      </x:c>
      <x:c r="D972" s="5" t="n">
        <x:v>9</x:v>
      </x:c>
      <x:c r="E972" s="10" t="n">
        <x:f>SUM(XLOOKUP('포켓몬_편집'!$AF972:$AN972,'분류_규칙'!$A$5:$A$76,'분류_규칙'!$E$5:$E$76,0))</x:f>
        <x:v>10</x:v>
      </x:c>
      <x:c r="F972" s="10" t="n">
        <x:f>SUM(XLOOKUP('포켓몬_편집'!$AF972:$AN972,'분류_규칙'!$A$5:$A$76,'분류_규칙'!$F$5:$F$76,0))</x:f>
        <x:v>7</x:v>
      </x:c>
      <x:c r="G972" s="10" t="n">
        <x:f>SUM(XLOOKUP('포켓몬_편집'!$AF972:$AN972,'분류_규칙'!$A$5:$A$76,'분류_규칙'!$G$5:$G$76,0))</x:f>
        <x:v>5</x:v>
      </x:c>
      <x:c r="H972" s="10" t="n">
        <x:f>SUM(XLOOKUP('포켓몬_편집'!$AF972:$AN972,'분류_규칙'!$A$5:$A$76,'분류_규칙'!$H$5:$H$76,0))</x:f>
        <x:v>5</x:v>
      </x:c>
      <x:c r="I972" s="10" t="n">
        <x:f>SUM(XLOOKUP('포켓몬_편집'!$AF972:$AN972,'분류_규칙'!$A$5:$A$76,'분류_규칙'!$I$5:$I$76,0))</x:f>
        <x:v>0</x:v>
      </x:c>
      <x:c r="J972" s="10" t="n">
        <x:f>SUM(XLOOKUP('포켓몬_편집'!$AF972:$AN972,'분류_규칙'!$A$5:$A$76,'분류_규칙'!$J$5:$J$76,0))</x:f>
        <x:v>2</x:v>
      </x:c>
      <x:c r="K972" s="10" t="n">
        <x:f>SUM(XLOOKUP('포켓몬_편집'!$AF972:$AN972,'분류_규칙'!$A$5:$A$76,'분류_규칙'!$K$5:$K$76,0))</x:f>
        <x:v>0</x:v>
      </x:c>
      <x:c r="L972" s="10" t="n">
        <x:f>SUM(XLOOKUP('포켓몬_편집'!$AF972:$AN972,'분류_규칙'!$A$5:$A$76,'분류_규칙'!$L$5:$L$76,0))</x:f>
        <x:v>0</x:v>
      </x:c>
      <x:c r="M972" s="10" t="n">
        <x:f>SUM(XLOOKUP('포켓몬_편집'!$AF972:$AN972,'분류_규칙'!$A$5:$A$76,'분류_규칙'!$M$5:$M$76,0))</x:f>
        <x:v>0</x:v>
      </x:c>
      <x:c r="N972" s="10" t="n">
        <x:f>SUM(XLOOKUP('포켓몬_편집'!$AF972:$AN972,'분류_규칙'!$A$5:$A$76,'분류_규칙'!$N$5:$N$76,0))</x:f>
        <x:v>0</x:v>
      </x:c>
      <x:c r="O972" s="10" t="n">
        <x:f>SUM(XLOOKUP('포켓몬_편집'!$AF972:$AN972,'분류_규칙'!$A$5:$A$76,'분류_규칙'!$O$5:$O$76,0))</x:f>
        <x:v>2</x:v>
      </x:c>
      <x:c r="P972" s="10" t="n">
        <x:f>SUM(XLOOKUP('포켓몬_편집'!$AF972:$AN972,'분류_규칙'!$A$5:$A$76,'분류_규칙'!$P$5:$P$76,0))</x:f>
        <x:v>0</x:v>
      </x:c>
    </x:row>
    <x:row r="973" ht="22" customHeight="1">
      <x:c r="A973" s="5" t="n">
        <x:v>969</x:v>
      </x:c>
      <x:c r="B973" s="5" t="inlineStr">
        <x:is>
          <x:t xml:space="preserve">초롱순</x:t>
        </x:is>
      </x:c>
      <x:c r="C973" s="5" t="inlineStr">
        <x:is>
          <x:t xml:space="preserve">glimmet</x:t>
        </x:is>
      </x:c>
      <x:c r="D973" s="5" t="n">
        <x:v>9</x:v>
      </x:c>
      <x:c r="E973" s="10" t="n">
        <x:f>SUM(XLOOKUP('포켓몬_편집'!$AF973:$AN973,'분류_규칙'!$A$5:$A$76,'분류_규칙'!$E$5:$E$76,0))</x:f>
        <x:v>8</x:v>
      </x:c>
      <x:c r="F973" s="10" t="n">
        <x:f>SUM(XLOOKUP('포켓몬_편집'!$AF973:$AN973,'분류_규칙'!$A$5:$A$76,'분류_규칙'!$F$5:$F$76,0))</x:f>
        <x:v>8</x:v>
      </x:c>
      <x:c r="G973" s="10" t="n">
        <x:f>SUM(XLOOKUP('포켓몬_편집'!$AF973:$AN973,'분류_규칙'!$A$5:$A$76,'분류_규칙'!$G$5:$G$76,0))</x:f>
        <x:v>0</x:v>
      </x:c>
      <x:c r="H973" s="10" t="n">
        <x:f>SUM(XLOOKUP('포켓몬_편집'!$AF973:$AN973,'분류_규칙'!$A$5:$A$76,'분류_규칙'!$H$5:$H$76,0))</x:f>
        <x:v>12</x:v>
      </x:c>
      <x:c r="I973" s="10" t="n">
        <x:f>SUM(XLOOKUP('포켓몬_편집'!$AF973:$AN973,'분류_규칙'!$A$5:$A$76,'분류_규칙'!$I$5:$I$76,0))</x:f>
        <x:v>0</x:v>
      </x:c>
      <x:c r="J973" s="10" t="n">
        <x:f>SUM(XLOOKUP('포켓몬_편집'!$AF973:$AN973,'분류_규칙'!$A$5:$A$76,'분류_규칙'!$J$5:$J$76,0))</x:f>
        <x:v>0</x:v>
      </x:c>
      <x:c r="K973" s="10" t="n">
        <x:f>SUM(XLOOKUP('포켓몬_편집'!$AF973:$AN973,'분류_규칙'!$A$5:$A$76,'분류_규칙'!$K$5:$K$76,0))</x:f>
        <x:v>0</x:v>
      </x:c>
      <x:c r="L973" s="10" t="n">
        <x:f>SUM(XLOOKUP('포켓몬_편집'!$AF973:$AN973,'분류_규칙'!$A$5:$A$76,'분류_규칙'!$L$5:$L$76,0))</x:f>
        <x:v>3</x:v>
      </x:c>
      <x:c r="M973" s="10" t="n">
        <x:f>SUM(XLOOKUP('포켓몬_편집'!$AF973:$AN973,'분류_규칙'!$A$5:$A$76,'분류_규칙'!$M$5:$M$76,0))</x:f>
        <x:v>0</x:v>
      </x:c>
      <x:c r="N973" s="10" t="n">
        <x:f>SUM(XLOOKUP('포켓몬_편집'!$AF973:$AN973,'분류_규칙'!$A$5:$A$76,'분류_규칙'!$N$5:$N$76,0))</x:f>
        <x:v>0</x:v>
      </x:c>
      <x:c r="O973" s="10" t="n">
        <x:f>SUM(XLOOKUP('포켓몬_편집'!$AF973:$AN973,'분류_규칙'!$A$5:$A$76,'분류_규칙'!$O$5:$O$76,0))</x:f>
        <x:v>2</x:v>
      </x:c>
      <x:c r="P973" s="10" t="n">
        <x:f>SUM(XLOOKUP('포켓몬_편집'!$AF973:$AN973,'분류_규칙'!$A$5:$A$76,'분류_규칙'!$P$5:$P$76,0))</x:f>
        <x:v>0</x:v>
      </x:c>
    </x:row>
    <x:row r="974" ht="22" customHeight="1">
      <x:c r="A974" s="5" t="n">
        <x:v>970</x:v>
      </x:c>
      <x:c r="B974" s="5" t="inlineStr">
        <x:is>
          <x:t xml:space="preserve">킬라플로르</x:t>
        </x:is>
      </x:c>
      <x:c r="C974" s="5" t="inlineStr">
        <x:is>
          <x:t xml:space="preserve">glimmora</x:t>
        </x:is>
      </x:c>
      <x:c r="D974" s="5" t="n">
        <x:v>9</x:v>
      </x:c>
      <x:c r="E974" s="10" t="n">
        <x:f>SUM(XLOOKUP('포켓몬_편집'!$AF974:$AN974,'분류_규칙'!$A$5:$A$76,'분류_규칙'!$E$5:$E$76,0))</x:f>
        <x:v>8</x:v>
      </x:c>
      <x:c r="F974" s="10" t="n">
        <x:f>SUM(XLOOKUP('포켓몬_편집'!$AF974:$AN974,'분류_규칙'!$A$5:$A$76,'분류_규칙'!$F$5:$F$76,0))</x:f>
        <x:v>8</x:v>
      </x:c>
      <x:c r="G974" s="10" t="n">
        <x:f>SUM(XLOOKUP('포켓몬_편집'!$AF974:$AN974,'분류_규칙'!$A$5:$A$76,'분류_규칙'!$G$5:$G$76,0))</x:f>
        <x:v>0</x:v>
      </x:c>
      <x:c r="H974" s="10" t="n">
        <x:f>SUM(XLOOKUP('포켓몬_편집'!$AF974:$AN974,'분류_규칙'!$A$5:$A$76,'분류_규칙'!$H$5:$H$76,0))</x:f>
        <x:v>12</x:v>
      </x:c>
      <x:c r="I974" s="10" t="n">
        <x:f>SUM(XLOOKUP('포켓몬_편집'!$AF974:$AN974,'분류_규칙'!$A$5:$A$76,'분류_규칙'!$I$5:$I$76,0))</x:f>
        <x:v>0</x:v>
      </x:c>
      <x:c r="J974" s="10" t="n">
        <x:f>SUM(XLOOKUP('포켓몬_편집'!$AF974:$AN974,'분류_규칙'!$A$5:$A$76,'분류_규칙'!$J$5:$J$76,0))</x:f>
        <x:v>0</x:v>
      </x:c>
      <x:c r="K974" s="10" t="n">
        <x:f>SUM(XLOOKUP('포켓몬_편집'!$AF974:$AN974,'분류_규칙'!$A$5:$A$76,'분류_규칙'!$K$5:$K$76,0))</x:f>
        <x:v>0</x:v>
      </x:c>
      <x:c r="L974" s="10" t="n">
        <x:f>SUM(XLOOKUP('포켓몬_편집'!$AF974:$AN974,'분류_규칙'!$A$5:$A$76,'분류_규칙'!$L$5:$L$76,0))</x:f>
        <x:v>3</x:v>
      </x:c>
      <x:c r="M974" s="10" t="n">
        <x:f>SUM(XLOOKUP('포켓몬_편집'!$AF974:$AN974,'분류_규칙'!$A$5:$A$76,'분류_규칙'!$M$5:$M$76,0))</x:f>
        <x:v>0</x:v>
      </x:c>
      <x:c r="N974" s="10" t="n">
        <x:f>SUM(XLOOKUP('포켓몬_편집'!$AF974:$AN974,'분류_규칙'!$A$5:$A$76,'분류_규칙'!$N$5:$N$76,0))</x:f>
        <x:v>0</x:v>
      </x:c>
      <x:c r="O974" s="10" t="n">
        <x:f>SUM(XLOOKUP('포켓몬_편집'!$AF974:$AN974,'분류_규칙'!$A$5:$A$76,'분류_규칙'!$O$5:$O$76,0))</x:f>
        <x:v>2</x:v>
      </x:c>
      <x:c r="P974" s="10" t="n">
        <x:f>SUM(XLOOKUP('포켓몬_편집'!$AF974:$AN974,'분류_규칙'!$A$5:$A$76,'분류_규칙'!$P$5:$P$76,0))</x:f>
        <x:v>0</x:v>
      </x:c>
    </x:row>
    <x:row r="975" ht="22" customHeight="1">
      <x:c r="A975" s="5" t="n">
        <x:v>971</x:v>
      </x:c>
      <x:c r="B975" s="5" t="inlineStr">
        <x:is>
          <x:t xml:space="preserve">망망이</x:t>
        </x:is>
      </x:c>
      <x:c r="C975" s="5" t="inlineStr">
        <x:is>
          <x:t xml:space="preserve">greavard</x:t>
        </x:is>
      </x:c>
      <x:c r="D975" s="5" t="n">
        <x:v>9</x:v>
      </x:c>
      <x:c r="E975" s="10" t="n">
        <x:f>SUM(XLOOKUP('포켓몬_편집'!$AF975:$AN975,'분류_규칙'!$A$5:$A$76,'분류_규칙'!$E$5:$E$76,0))</x:f>
        <x:v>0</x:v>
      </x:c>
      <x:c r="F975" s="10" t="n">
        <x:f>SUM(XLOOKUP('포켓몬_편집'!$AF975:$AN975,'분류_규칙'!$A$5:$A$76,'분류_규칙'!$F$5:$F$76,0))</x:f>
        <x:v>0</x:v>
      </x:c>
      <x:c r="G975" s="10" t="n">
        <x:f>SUM(XLOOKUP('포켓몬_편집'!$AF975:$AN975,'분류_규칙'!$A$5:$A$76,'분류_규칙'!$G$5:$G$76,0))</x:f>
        <x:v>0</x:v>
      </x:c>
      <x:c r="H975" s="10" t="n">
        <x:f>SUM(XLOOKUP('포켓몬_편집'!$AF975:$AN975,'분류_규칙'!$A$5:$A$76,'분류_규칙'!$H$5:$H$76,0))</x:f>
        <x:v>0</x:v>
      </x:c>
      <x:c r="I975" s="10" t="n">
        <x:f>SUM(XLOOKUP('포켓몬_편집'!$AF975:$AN975,'분류_규칙'!$A$5:$A$76,'분류_규칙'!$I$5:$I$76,0))</x:f>
        <x:v>10</x:v>
      </x:c>
      <x:c r="J975" s="10" t="n">
        <x:f>SUM(XLOOKUP('포켓몬_편집'!$AF975:$AN975,'분류_규칙'!$A$5:$A$76,'분류_규칙'!$J$5:$J$76,0))</x:f>
        <x:v>0</x:v>
      </x:c>
      <x:c r="K975" s="10" t="n">
        <x:f>SUM(XLOOKUP('포켓몬_편집'!$AF975:$AN975,'분류_규칙'!$A$5:$A$76,'분류_규칙'!$K$5:$K$76,0))</x:f>
        <x:v>0</x:v>
      </x:c>
      <x:c r="L975" s="10" t="n">
        <x:f>SUM(XLOOKUP('포켓몬_편집'!$AF975:$AN975,'분류_규칙'!$A$5:$A$76,'분류_규칙'!$L$5:$L$76,0))</x:f>
        <x:v>0</x:v>
      </x:c>
      <x:c r="M975" s="10" t="n">
        <x:f>SUM(XLOOKUP('포켓몬_편집'!$AF975:$AN975,'분류_규칙'!$A$5:$A$76,'분류_규칙'!$M$5:$M$76,0))</x:f>
        <x:v>0</x:v>
      </x:c>
      <x:c r="N975" s="10" t="n">
        <x:f>SUM(XLOOKUP('포켓몬_편집'!$AF975:$AN975,'분류_규칙'!$A$5:$A$76,'분류_규칙'!$N$5:$N$76,0))</x:f>
        <x:v>0</x:v>
      </x:c>
      <x:c r="O975" s="10" t="n">
        <x:f>SUM(XLOOKUP('포켓몬_편집'!$AF975:$AN975,'분류_규칙'!$A$5:$A$76,'분류_규칙'!$O$5:$O$76,0))</x:f>
        <x:v>5</x:v>
      </x:c>
      <x:c r="P975" s="10" t="n">
        <x:f>SUM(XLOOKUP('포켓몬_편집'!$AF975:$AN975,'분류_규칙'!$A$5:$A$76,'분류_규칙'!$P$5:$P$76,0))</x:f>
        <x:v>25</x:v>
      </x:c>
    </x:row>
    <x:row r="976" ht="22" customHeight="1">
      <x:c r="A976" s="5" t="n">
        <x:v>972</x:v>
      </x:c>
      <x:c r="B976" s="5" t="inlineStr">
        <x:is>
          <x:t xml:space="preserve">묘두기</x:t>
        </x:is>
      </x:c>
      <x:c r="C976" s="5" t="inlineStr">
        <x:is>
          <x:t xml:space="preserve">houndstone</x:t>
        </x:is>
      </x:c>
      <x:c r="D976" s="5" t="n">
        <x:v>9</x:v>
      </x:c>
      <x:c r="E976" s="10" t="n">
        <x:f>SUM(XLOOKUP('포켓몬_편집'!$AF976:$AN976,'분류_규칙'!$A$5:$A$76,'분류_규칙'!$E$5:$E$76,0))</x:f>
        <x:v>0</x:v>
      </x:c>
      <x:c r="F976" s="10" t="n">
        <x:f>SUM(XLOOKUP('포켓몬_편집'!$AF976:$AN976,'분류_규칙'!$A$5:$A$76,'분류_규칙'!$F$5:$F$76,0))</x:f>
        <x:v>0</x:v>
      </x:c>
      <x:c r="G976" s="10" t="n">
        <x:f>SUM(XLOOKUP('포켓몬_편집'!$AF976:$AN976,'분류_규칙'!$A$5:$A$76,'분류_규칙'!$G$5:$G$76,0))</x:f>
        <x:v>0</x:v>
      </x:c>
      <x:c r="H976" s="10" t="n">
        <x:f>SUM(XLOOKUP('포켓몬_편집'!$AF976:$AN976,'분류_규칙'!$A$5:$A$76,'분류_규칙'!$H$5:$H$76,0))</x:f>
        <x:v>0</x:v>
      </x:c>
      <x:c r="I976" s="10" t="n">
        <x:f>SUM(XLOOKUP('포켓몬_편집'!$AF976:$AN976,'분류_규칙'!$A$5:$A$76,'분류_규칙'!$I$5:$I$76,0))</x:f>
        <x:v>10</x:v>
      </x:c>
      <x:c r="J976" s="10" t="n">
        <x:f>SUM(XLOOKUP('포켓몬_편집'!$AF976:$AN976,'분류_규칙'!$A$5:$A$76,'분류_규칙'!$J$5:$J$76,0))</x:f>
        <x:v>0</x:v>
      </x:c>
      <x:c r="K976" s="10" t="n">
        <x:f>SUM(XLOOKUP('포켓몬_편집'!$AF976:$AN976,'분류_규칙'!$A$5:$A$76,'분류_규칙'!$K$5:$K$76,0))</x:f>
        <x:v>0</x:v>
      </x:c>
      <x:c r="L976" s="10" t="n">
        <x:f>SUM(XLOOKUP('포켓몬_편집'!$AF976:$AN976,'분류_규칙'!$A$5:$A$76,'분류_규칙'!$L$5:$L$76,0))</x:f>
        <x:v>0</x:v>
      </x:c>
      <x:c r="M976" s="10" t="n">
        <x:f>SUM(XLOOKUP('포켓몬_편집'!$AF976:$AN976,'분류_규칙'!$A$5:$A$76,'분류_규칙'!$M$5:$M$76,0))</x:f>
        <x:v>0</x:v>
      </x:c>
      <x:c r="N976" s="10" t="n">
        <x:f>SUM(XLOOKUP('포켓몬_편집'!$AF976:$AN976,'분류_규칙'!$A$5:$A$76,'분류_규칙'!$N$5:$N$76,0))</x:f>
        <x:v>0</x:v>
      </x:c>
      <x:c r="O976" s="10" t="n">
        <x:f>SUM(XLOOKUP('포켓몬_편집'!$AF976:$AN976,'분류_규칙'!$A$5:$A$76,'분류_규칙'!$O$5:$O$76,0))</x:f>
        <x:v>5</x:v>
      </x:c>
      <x:c r="P976" s="10" t="n">
        <x:f>SUM(XLOOKUP('포켓몬_편집'!$AF976:$AN976,'분류_규칙'!$A$5:$A$76,'분류_규칙'!$P$5:$P$76,0))</x:f>
        <x:v>25</x:v>
      </x:c>
    </x:row>
    <x:row r="977" ht="22" customHeight="1">
      <x:c r="A977" s="5" t="n">
        <x:v>973</x:v>
      </x:c>
      <x:c r="B977" s="5" t="inlineStr">
        <x:is>
          <x:t xml:space="preserve">꼬이밍고</x:t>
        </x:is>
      </x:c>
      <x:c r="C977" s="5" t="inlineStr">
        <x:is>
          <x:t xml:space="preserve">flamigo</x:t>
        </x:is>
      </x:c>
      <x:c r="D977" s="5" t="n">
        <x:v>9</x:v>
      </x:c>
      <x:c r="E977" s="10" t="n">
        <x:f>SUM(XLOOKUP('포켓몬_편집'!$AF977:$AN977,'분류_규칙'!$A$5:$A$76,'분류_규칙'!$E$5:$E$76,0))</x:f>
        <x:v>8</x:v>
      </x:c>
      <x:c r="F977" s="10" t="n">
        <x:f>SUM(XLOOKUP('포켓몬_편집'!$AF977:$AN977,'분류_규칙'!$A$5:$A$76,'분류_규칙'!$F$5:$F$76,0))</x:f>
        <x:v>8</x:v>
      </x:c>
      <x:c r="G977" s="10" t="n">
        <x:f>SUM(XLOOKUP('포켓몬_편집'!$AF977:$AN977,'분류_규칙'!$A$5:$A$76,'분류_규칙'!$G$5:$G$76,0))</x:f>
        <x:v>0</x:v>
      </x:c>
      <x:c r="H977" s="10" t="n">
        <x:f>SUM(XLOOKUP('포켓몬_편집'!$AF977:$AN977,'분류_규칙'!$A$5:$A$76,'분류_규칙'!$H$5:$H$76,0))</x:f>
        <x:v>12</x:v>
      </x:c>
      <x:c r="I977" s="10" t="n">
        <x:f>SUM(XLOOKUP('포켓몬_편집'!$AF977:$AN977,'분류_규칙'!$A$5:$A$76,'분류_규칙'!$I$5:$I$76,0))</x:f>
        <x:v>0</x:v>
      </x:c>
      <x:c r="J977" s="10" t="n">
        <x:f>SUM(XLOOKUP('포켓몬_편집'!$AF977:$AN977,'분류_규칙'!$A$5:$A$76,'분류_규칙'!$J$5:$J$76,0))</x:f>
        <x:v>0</x:v>
      </x:c>
      <x:c r="K977" s="10" t="n">
        <x:f>SUM(XLOOKUP('포켓몬_편집'!$AF977:$AN977,'분류_규칙'!$A$5:$A$76,'분류_규칙'!$K$5:$K$76,0))</x:f>
        <x:v>0</x:v>
      </x:c>
      <x:c r="L977" s="10" t="n">
        <x:f>SUM(XLOOKUP('포켓몬_편집'!$AF977:$AN977,'분류_규칙'!$A$5:$A$76,'분류_규칙'!$L$5:$L$76,0))</x:f>
        <x:v>3</x:v>
      </x:c>
      <x:c r="M977" s="10" t="n">
        <x:f>SUM(XLOOKUP('포켓몬_편집'!$AF977:$AN977,'분류_규칙'!$A$5:$A$76,'분류_규칙'!$M$5:$M$76,0))</x:f>
        <x:v>0</x:v>
      </x:c>
      <x:c r="N977" s="10" t="n">
        <x:f>SUM(XLOOKUP('포켓몬_편집'!$AF977:$AN977,'분류_규칙'!$A$5:$A$76,'분류_규칙'!$N$5:$N$76,0))</x:f>
        <x:v>0</x:v>
      </x:c>
      <x:c r="O977" s="10" t="n">
        <x:f>SUM(XLOOKUP('포켓몬_편집'!$AF977:$AN977,'분류_규칙'!$A$5:$A$76,'분류_규칙'!$O$5:$O$76,0))</x:f>
        <x:v>2</x:v>
      </x:c>
      <x:c r="P977" s="10" t="n">
        <x:f>SUM(XLOOKUP('포켓몬_편집'!$AF977:$AN977,'분류_규칙'!$A$5:$A$76,'분류_규칙'!$P$5:$P$76,0))</x:f>
        <x:v>0</x:v>
      </x:c>
    </x:row>
    <x:row r="978" ht="22" customHeight="1">
      <x:c r="A978" s="5" t="n">
        <x:v>974</x:v>
      </x:c>
      <x:c r="B978" s="5" t="inlineStr">
        <x:is>
          <x:t xml:space="preserve">터벅고래</x:t>
        </x:is>
      </x:c>
      <x:c r="C978" s="5" t="inlineStr">
        <x:is>
          <x:t xml:space="preserve">cetoddle</x:t>
        </x:is>
      </x:c>
      <x:c r="D978" s="5" t="n">
        <x:v>9</x:v>
      </x:c>
      <x:c r="E978" s="10" t="n">
        <x:f>SUM(XLOOKUP('포켓몬_편집'!$AF978:$AN978,'분류_규칙'!$A$5:$A$76,'분류_규칙'!$E$5:$E$76,0))</x:f>
        <x:v>10</x:v>
      </x:c>
      <x:c r="F978" s="10" t="n">
        <x:f>SUM(XLOOKUP('포켓몬_편집'!$AF978:$AN978,'분류_규칙'!$A$5:$A$76,'분류_규칙'!$F$5:$F$76,0))</x:f>
        <x:v>7</x:v>
      </x:c>
      <x:c r="G978" s="10" t="n">
        <x:f>SUM(XLOOKUP('포켓몬_편집'!$AF978:$AN978,'분류_규칙'!$A$5:$A$76,'분류_규칙'!$G$5:$G$76,0))</x:f>
        <x:v>5</x:v>
      </x:c>
      <x:c r="H978" s="10" t="n">
        <x:f>SUM(XLOOKUP('포켓몬_편집'!$AF978:$AN978,'분류_규칙'!$A$5:$A$76,'분류_규칙'!$H$5:$H$76,0))</x:f>
        <x:v>5</x:v>
      </x:c>
      <x:c r="I978" s="10" t="n">
        <x:f>SUM(XLOOKUP('포켓몬_편집'!$AF978:$AN978,'분류_규칙'!$A$5:$A$76,'분류_규칙'!$I$5:$I$76,0))</x:f>
        <x:v>0</x:v>
      </x:c>
      <x:c r="J978" s="10" t="n">
        <x:f>SUM(XLOOKUP('포켓몬_편집'!$AF978:$AN978,'분류_규칙'!$A$5:$A$76,'분류_규칙'!$J$5:$J$76,0))</x:f>
        <x:v>2</x:v>
      </x:c>
      <x:c r="K978" s="10" t="n">
        <x:f>SUM(XLOOKUP('포켓몬_편집'!$AF978:$AN978,'분류_규칙'!$A$5:$A$76,'분류_규칙'!$K$5:$K$76,0))</x:f>
        <x:v>0</x:v>
      </x:c>
      <x:c r="L978" s="10" t="n">
        <x:f>SUM(XLOOKUP('포켓몬_편집'!$AF978:$AN978,'분류_규칙'!$A$5:$A$76,'분류_규칙'!$L$5:$L$76,0))</x:f>
        <x:v>0</x:v>
      </x:c>
      <x:c r="M978" s="10" t="n">
        <x:f>SUM(XLOOKUP('포켓몬_편집'!$AF978:$AN978,'분류_규칙'!$A$5:$A$76,'분류_규칙'!$M$5:$M$76,0))</x:f>
        <x:v>0</x:v>
      </x:c>
      <x:c r="N978" s="10" t="n">
        <x:f>SUM(XLOOKUP('포켓몬_편집'!$AF978:$AN978,'분류_규칙'!$A$5:$A$76,'분류_규칙'!$N$5:$N$76,0))</x:f>
        <x:v>0</x:v>
      </x:c>
      <x:c r="O978" s="10" t="n">
        <x:f>SUM(XLOOKUP('포켓몬_편집'!$AF978:$AN978,'분류_규칙'!$A$5:$A$76,'분류_규칙'!$O$5:$O$76,0))</x:f>
        <x:v>2</x:v>
      </x:c>
      <x:c r="P978" s="10" t="n">
        <x:f>SUM(XLOOKUP('포켓몬_편집'!$AF978:$AN978,'분류_규칙'!$A$5:$A$76,'분류_규칙'!$P$5:$P$76,0))</x:f>
        <x:v>0</x:v>
      </x:c>
    </x:row>
    <x:row r="979" ht="22" customHeight="1">
      <x:c r="A979" s="5" t="n">
        <x:v>975</x:v>
      </x:c>
      <x:c r="B979" s="5" t="inlineStr">
        <x:is>
          <x:t xml:space="preserve">우락고래</x:t>
        </x:is>
      </x:c>
      <x:c r="C979" s="5" t="inlineStr">
        <x:is>
          <x:t xml:space="preserve">cetitan</x:t>
        </x:is>
      </x:c>
      <x:c r="D979" s="5" t="n">
        <x:v>9</x:v>
      </x:c>
      <x:c r="E979" s="10" t="n">
        <x:f>SUM(XLOOKUP('포켓몬_편집'!$AF979:$AN979,'분류_규칙'!$A$5:$A$76,'분류_규칙'!$E$5:$E$76,0))</x:f>
        <x:v>10</x:v>
      </x:c>
      <x:c r="F979" s="10" t="n">
        <x:f>SUM(XLOOKUP('포켓몬_편집'!$AF979:$AN979,'분류_규칙'!$A$5:$A$76,'분류_규칙'!$F$5:$F$76,0))</x:f>
        <x:v>7</x:v>
      </x:c>
      <x:c r="G979" s="10" t="n">
        <x:f>SUM(XLOOKUP('포켓몬_편집'!$AF979:$AN979,'분류_규칙'!$A$5:$A$76,'분류_규칙'!$G$5:$G$76,0))</x:f>
        <x:v>5</x:v>
      </x:c>
      <x:c r="H979" s="10" t="n">
        <x:f>SUM(XLOOKUP('포켓몬_편집'!$AF979:$AN979,'분류_규칙'!$A$5:$A$76,'분류_규칙'!$H$5:$H$76,0))</x:f>
        <x:v>5</x:v>
      </x:c>
      <x:c r="I979" s="10" t="n">
        <x:f>SUM(XLOOKUP('포켓몬_편집'!$AF979:$AN979,'분류_규칙'!$A$5:$A$76,'분류_규칙'!$I$5:$I$76,0))</x:f>
        <x:v>0</x:v>
      </x:c>
      <x:c r="J979" s="10" t="n">
        <x:f>SUM(XLOOKUP('포켓몬_편집'!$AF979:$AN979,'분류_규칙'!$A$5:$A$76,'분류_규칙'!$J$5:$J$76,0))</x:f>
        <x:v>2</x:v>
      </x:c>
      <x:c r="K979" s="10" t="n">
        <x:f>SUM(XLOOKUP('포켓몬_편집'!$AF979:$AN979,'분류_규칙'!$A$5:$A$76,'분류_규칙'!$K$5:$K$76,0))</x:f>
        <x:v>0</x:v>
      </x:c>
      <x:c r="L979" s="10" t="n">
        <x:f>SUM(XLOOKUP('포켓몬_편집'!$AF979:$AN979,'분류_규칙'!$A$5:$A$76,'분류_규칙'!$L$5:$L$76,0))</x:f>
        <x:v>0</x:v>
      </x:c>
      <x:c r="M979" s="10" t="n">
        <x:f>SUM(XLOOKUP('포켓몬_편집'!$AF979:$AN979,'분류_규칙'!$A$5:$A$76,'분류_규칙'!$M$5:$M$76,0))</x:f>
        <x:v>0</x:v>
      </x:c>
      <x:c r="N979" s="10" t="n">
        <x:f>SUM(XLOOKUP('포켓몬_편집'!$AF979:$AN979,'분류_규칙'!$A$5:$A$76,'분류_규칙'!$N$5:$N$76,0))</x:f>
        <x:v>0</x:v>
      </x:c>
      <x:c r="O979" s="10" t="n">
        <x:f>SUM(XLOOKUP('포켓몬_편집'!$AF979:$AN979,'분류_규칙'!$A$5:$A$76,'분류_규칙'!$O$5:$O$76,0))</x:f>
        <x:v>2</x:v>
      </x:c>
      <x:c r="P979" s="10" t="n">
        <x:f>SUM(XLOOKUP('포켓몬_편집'!$AF979:$AN979,'분류_규칙'!$A$5:$A$76,'분류_규칙'!$P$5:$P$76,0))</x:f>
        <x:v>0</x:v>
      </x:c>
    </x:row>
    <x:row r="980" ht="22" customHeight="1">
      <x:c r="A980" s="5" t="n">
        <x:v>976</x:v>
      </x:c>
      <x:c r="B980" s="5" t="inlineStr">
        <x:is>
          <x:t xml:space="preserve">가비루사</x:t>
        </x:is>
      </x:c>
      <x:c r="C980" s="5" t="inlineStr">
        <x:is>
          <x:t xml:space="preserve">veluza</x:t>
        </x:is>
      </x:c>
      <x:c r="D980" s="5" t="n">
        <x:v>9</x:v>
      </x:c>
      <x:c r="E980" s="10" t="n">
        <x:f>SUM(XLOOKUP('포켓몬_편집'!$AF980:$AN980,'분류_규칙'!$A$5:$A$76,'분류_규칙'!$E$5:$E$76,0))</x:f>
        <x:v>0</x:v>
      </x:c>
      <x:c r="F980" s="10" t="n">
        <x:f>SUM(XLOOKUP('포켓몬_편집'!$AF980:$AN980,'분류_규칙'!$A$5:$A$76,'분류_규칙'!$F$5:$F$76,0))</x:f>
        <x:v>0</x:v>
      </x:c>
      <x:c r="G980" s="10" t="n">
        <x:f>SUM(XLOOKUP('포켓몬_편집'!$AF980:$AN980,'분류_규칙'!$A$5:$A$76,'분류_규칙'!$G$5:$G$76,0))</x:f>
        <x:v>0</x:v>
      </x:c>
      <x:c r="H980" s="10" t="n">
        <x:f>SUM(XLOOKUP('포켓몬_편집'!$AF980:$AN980,'분류_규칙'!$A$5:$A$76,'분류_규칙'!$H$5:$H$76,0))</x:f>
        <x:v>0</x:v>
      </x:c>
      <x:c r="I980" s="10" t="n">
        <x:f>SUM(XLOOKUP('포켓몬_편집'!$AF980:$AN980,'분류_규칙'!$A$5:$A$76,'분류_규칙'!$I$5:$I$76,0))</x:f>
        <x:v>0</x:v>
      </x:c>
      <x:c r="J980" s="10" t="n">
        <x:f>SUM(XLOOKUP('포켓몬_편집'!$AF980:$AN980,'분류_규칙'!$A$5:$A$76,'분류_규칙'!$J$5:$J$76,0))</x:f>
        <x:v>3</x:v>
      </x:c>
      <x:c r="K980" s="10" t="n">
        <x:f>SUM(XLOOKUP('포켓몬_편집'!$AF980:$AN980,'분류_규칙'!$A$5:$A$76,'분류_규칙'!$K$5:$K$76,0))</x:f>
        <x:v>0</x:v>
      </x:c>
      <x:c r="L980" s="10" t="n">
        <x:f>SUM(XLOOKUP('포켓몬_편집'!$AF980:$AN980,'분류_규칙'!$A$5:$A$76,'분류_규칙'!$L$5:$L$76,0))</x:f>
        <x:v>30</x:v>
      </x:c>
      <x:c r="M980" s="10" t="n">
        <x:f>SUM(XLOOKUP('포켓몬_편집'!$AF980:$AN980,'분류_규칙'!$A$5:$A$76,'분류_규칙'!$M$5:$M$76,0))</x:f>
        <x:v>0</x:v>
      </x:c>
      <x:c r="N980" s="10" t="n">
        <x:f>SUM(XLOOKUP('포켓몬_편집'!$AF980:$AN980,'분류_규칙'!$A$5:$A$76,'분류_규칙'!$N$5:$N$76,0))</x:f>
        <x:v>0</x:v>
      </x:c>
      <x:c r="O980" s="10" t="n">
        <x:f>SUM(XLOOKUP('포켓몬_편집'!$AF980:$AN980,'분류_규칙'!$A$5:$A$76,'분류_규칙'!$O$5:$O$76,0))</x:f>
        <x:v>0</x:v>
      </x:c>
      <x:c r="P980" s="10" t="n">
        <x:f>SUM(XLOOKUP('포켓몬_편집'!$AF980:$AN980,'분류_규칙'!$A$5:$A$76,'분류_규칙'!$P$5:$P$76,0))</x:f>
        <x:v>0</x:v>
      </x:c>
    </x:row>
    <x:row r="981" ht="22" customHeight="1">
      <x:c r="A981" s="5" t="n">
        <x:v>977</x:v>
      </x:c>
      <x:c r="B981" s="5" t="inlineStr">
        <x:is>
          <x:t xml:space="preserve">어써러셔</x:t>
        </x:is>
      </x:c>
      <x:c r="C981" s="5" t="inlineStr">
        <x:is>
          <x:t xml:space="preserve">dondozo</x:t>
        </x:is>
      </x:c>
      <x:c r="D981" s="5" t="n">
        <x:v>9</x:v>
      </x:c>
      <x:c r="E981" s="10" t="n">
        <x:f>SUM(XLOOKUP('포켓몬_편집'!$AF981:$AN981,'분류_규칙'!$A$5:$A$76,'분류_규칙'!$E$5:$E$76,0))</x:f>
        <x:v>0</x:v>
      </x:c>
      <x:c r="F981" s="10" t="n">
        <x:f>SUM(XLOOKUP('포켓몬_편집'!$AF981:$AN981,'분류_규칙'!$A$5:$A$76,'분류_규칙'!$F$5:$F$76,0))</x:f>
        <x:v>0</x:v>
      </x:c>
      <x:c r="G981" s="10" t="n">
        <x:f>SUM(XLOOKUP('포켓몬_편집'!$AF981:$AN981,'분류_규칙'!$A$5:$A$76,'분류_규칙'!$G$5:$G$76,0))</x:f>
        <x:v>0</x:v>
      </x:c>
      <x:c r="H981" s="10" t="n">
        <x:f>SUM(XLOOKUP('포켓몬_편집'!$AF981:$AN981,'분류_규칙'!$A$5:$A$76,'분류_규칙'!$H$5:$H$76,0))</x:f>
        <x:v>0</x:v>
      </x:c>
      <x:c r="I981" s="10" t="n">
        <x:f>SUM(XLOOKUP('포켓몬_편집'!$AF981:$AN981,'분류_규칙'!$A$5:$A$76,'분류_규칙'!$I$5:$I$76,0))</x:f>
        <x:v>0</x:v>
      </x:c>
      <x:c r="J981" s="10" t="n">
        <x:f>SUM(XLOOKUP('포켓몬_편집'!$AF981:$AN981,'분류_규칙'!$A$5:$A$76,'분류_규칙'!$J$5:$J$76,0))</x:f>
        <x:v>22</x:v>
      </x:c>
      <x:c r="K981" s="10" t="n">
        <x:f>SUM(XLOOKUP('포켓몬_편집'!$AF981:$AN981,'분류_규칙'!$A$5:$A$76,'분류_규칙'!$K$5:$K$76,0))</x:f>
        <x:v>16</x:v>
      </x:c>
      <x:c r="L981" s="10" t="n">
        <x:f>SUM(XLOOKUP('포켓몬_편집'!$AF981:$AN981,'분류_규칙'!$A$5:$A$76,'분류_규칙'!$L$5:$L$76,0))</x:f>
        <x:v>8</x:v>
      </x:c>
      <x:c r="M981" s="10" t="n">
        <x:f>SUM(XLOOKUP('포켓몬_편집'!$AF981:$AN981,'분류_규칙'!$A$5:$A$76,'분류_규칙'!$M$5:$M$76,0))</x:f>
        <x:v>0</x:v>
      </x:c>
      <x:c r="N981" s="10" t="n">
        <x:f>SUM(XLOOKUP('포켓몬_편집'!$AF981:$AN981,'분류_규칙'!$A$5:$A$76,'분류_규칙'!$N$5:$N$76,0))</x:f>
        <x:v>0</x:v>
      </x:c>
      <x:c r="O981" s="10" t="n">
        <x:f>SUM(XLOOKUP('포켓몬_편집'!$AF981:$AN981,'분류_규칙'!$A$5:$A$76,'분류_규칙'!$O$5:$O$76,0))</x:f>
        <x:v>0</x:v>
      </x:c>
      <x:c r="P981" s="10" t="n">
        <x:f>SUM(XLOOKUP('포켓몬_편집'!$AF981:$AN981,'분류_규칙'!$A$5:$A$76,'분류_규칙'!$P$5:$P$76,0))</x:f>
        <x:v>0</x:v>
      </x:c>
    </x:row>
    <x:row r="982" ht="22" customHeight="1">
      <x:c r="A982" s="5" t="n">
        <x:v>978</x:v>
      </x:c>
      <x:c r="B982" s="5" t="inlineStr">
        <x:is>
          <x:t xml:space="preserve">싸리용</x:t>
        </x:is>
      </x:c>
      <x:c r="C982" s="5" t="inlineStr">
        <x:is>
          <x:t xml:space="preserve">tatsugiri</x:t>
        </x:is>
      </x:c>
      <x:c r="D982" s="5" t="n">
        <x:v>9</x:v>
      </x:c>
      <x:c r="E982" s="10" t="n">
        <x:f>SUM(XLOOKUP('포켓몬_편집'!$AF982:$AN982,'분류_규칙'!$A$5:$A$76,'분류_규칙'!$E$5:$E$76,0))</x:f>
        <x:v>0</x:v>
      </x:c>
      <x:c r="F982" s="10" t="n">
        <x:f>SUM(XLOOKUP('포켓몬_편집'!$AF982:$AN982,'분류_규칙'!$A$5:$A$76,'분류_규칙'!$F$5:$F$76,0))</x:f>
        <x:v>0</x:v>
      </x:c>
      <x:c r="G982" s="10" t="n">
        <x:f>SUM(XLOOKUP('포켓몬_편집'!$AF982:$AN982,'분류_규칙'!$A$5:$A$76,'분류_규칙'!$G$5:$G$76,0))</x:f>
        <x:v>0</x:v>
      </x:c>
      <x:c r="H982" s="10" t="n">
        <x:f>SUM(XLOOKUP('포켓몬_편집'!$AF982:$AN982,'분류_규칙'!$A$5:$A$76,'분류_규칙'!$H$5:$H$76,0))</x:f>
        <x:v>0</x:v>
      </x:c>
      <x:c r="I982" s="10" t="n">
        <x:f>SUM(XLOOKUP('포켓몬_편집'!$AF982:$AN982,'분류_규칙'!$A$5:$A$76,'분류_규칙'!$I$5:$I$76,0))</x:f>
        <x:v>0</x:v>
      </x:c>
      <x:c r="J982" s="10" t="n">
        <x:f>SUM(XLOOKUP('포켓몬_편집'!$AF982:$AN982,'분류_규칙'!$A$5:$A$76,'분류_규칙'!$J$5:$J$76,0))</x:f>
        <x:v>22</x:v>
      </x:c>
      <x:c r="K982" s="10" t="n">
        <x:f>SUM(XLOOKUP('포켓몬_편집'!$AF982:$AN982,'분류_규칙'!$A$5:$A$76,'분류_규칙'!$K$5:$K$76,0))</x:f>
        <x:v>16</x:v>
      </x:c>
      <x:c r="L982" s="10" t="n">
        <x:f>SUM(XLOOKUP('포켓몬_편집'!$AF982:$AN982,'분류_규칙'!$A$5:$A$76,'분류_규칙'!$L$5:$L$76,0))</x:f>
        <x:v>8</x:v>
      </x:c>
      <x:c r="M982" s="10" t="n">
        <x:f>SUM(XLOOKUP('포켓몬_편집'!$AF982:$AN982,'분류_규칙'!$A$5:$A$76,'분류_규칙'!$M$5:$M$76,0))</x:f>
        <x:v>0</x:v>
      </x:c>
      <x:c r="N982" s="10" t="n">
        <x:f>SUM(XLOOKUP('포켓몬_편집'!$AF982:$AN982,'분류_규칙'!$A$5:$A$76,'분류_규칙'!$N$5:$N$76,0))</x:f>
        <x:v>0</x:v>
      </x:c>
      <x:c r="O982" s="10" t="n">
        <x:f>SUM(XLOOKUP('포켓몬_편집'!$AF982:$AN982,'분류_규칙'!$A$5:$A$76,'분류_규칙'!$O$5:$O$76,0))</x:f>
        <x:v>0</x:v>
      </x:c>
      <x:c r="P982" s="10" t="n">
        <x:f>SUM(XLOOKUP('포켓몬_편집'!$AF982:$AN982,'분류_규칙'!$A$5:$A$76,'분류_규칙'!$P$5:$P$76,0))</x:f>
        <x:v>0</x:v>
      </x:c>
    </x:row>
    <x:row r="983" ht="22" customHeight="1">
      <x:c r="A983" s="5" t="n">
        <x:v>979</x:v>
      </x:c>
      <x:c r="B983" s="5" t="inlineStr">
        <x:is>
          <x:t xml:space="preserve">저승갓숭</x:t>
        </x:is>
      </x:c>
      <x:c r="C983" s="5" t="inlineStr">
        <x:is>
          <x:t xml:space="preserve">annihilape</x:t>
        </x:is>
      </x:c>
      <x:c r="D983" s="5" t="n">
        <x:v>9</x:v>
      </x:c>
      <x:c r="E983" s="10" t="n">
        <x:f>SUM(XLOOKUP('포켓몬_편집'!$AF983:$AN983,'분류_규칙'!$A$5:$A$76,'분류_규칙'!$E$5:$E$76,0))</x:f>
        <x:v>0</x:v>
      </x:c>
      <x:c r="F983" s="10" t="n">
        <x:f>SUM(XLOOKUP('포켓몬_편집'!$AF983:$AN983,'분류_규칙'!$A$5:$A$76,'분류_규칙'!$F$5:$F$76,0))</x:f>
        <x:v>0</x:v>
      </x:c>
      <x:c r="G983" s="10" t="n">
        <x:f>SUM(XLOOKUP('포켓몬_편집'!$AF983:$AN983,'분류_규칙'!$A$5:$A$76,'분류_규칙'!$G$5:$G$76,0))</x:f>
        <x:v>0</x:v>
      </x:c>
      <x:c r="H983" s="10" t="n">
        <x:f>SUM(XLOOKUP('포켓몬_편집'!$AF983:$AN983,'분류_규칙'!$A$5:$A$76,'분류_규칙'!$H$5:$H$76,0))</x:f>
        <x:v>0</x:v>
      </x:c>
      <x:c r="I983" s="10" t="n">
        <x:f>SUM(XLOOKUP('포켓몬_편집'!$AF983:$AN983,'분류_규칙'!$A$5:$A$76,'분류_규칙'!$I$5:$I$76,0))</x:f>
        <x:v>10</x:v>
      </x:c>
      <x:c r="J983" s="10" t="n">
        <x:f>SUM(XLOOKUP('포켓몬_편집'!$AF983:$AN983,'분류_규칙'!$A$5:$A$76,'분류_규칙'!$J$5:$J$76,0))</x:f>
        <x:v>0</x:v>
      </x:c>
      <x:c r="K983" s="10" t="n">
        <x:f>SUM(XLOOKUP('포켓몬_편집'!$AF983:$AN983,'분류_규칙'!$A$5:$A$76,'분류_규칙'!$K$5:$K$76,0))</x:f>
        <x:v>0</x:v>
      </x:c>
      <x:c r="L983" s="10" t="n">
        <x:f>SUM(XLOOKUP('포켓몬_편집'!$AF983:$AN983,'분류_규칙'!$A$5:$A$76,'분류_규칙'!$L$5:$L$76,0))</x:f>
        <x:v>0</x:v>
      </x:c>
      <x:c r="M983" s="10" t="n">
        <x:f>SUM(XLOOKUP('포켓몬_편집'!$AF983:$AN983,'분류_규칙'!$A$5:$A$76,'분류_규칙'!$M$5:$M$76,0))</x:f>
        <x:v>0</x:v>
      </x:c>
      <x:c r="N983" s="10" t="n">
        <x:f>SUM(XLOOKUP('포켓몬_편집'!$AF983:$AN983,'분류_규칙'!$A$5:$A$76,'분류_규칙'!$N$5:$N$76,0))</x:f>
        <x:v>0</x:v>
      </x:c>
      <x:c r="O983" s="10" t="n">
        <x:f>SUM(XLOOKUP('포켓몬_편집'!$AF983:$AN983,'분류_규칙'!$A$5:$A$76,'분류_규칙'!$O$5:$O$76,0))</x:f>
        <x:v>5</x:v>
      </x:c>
      <x:c r="P983" s="10" t="n">
        <x:f>SUM(XLOOKUP('포켓몬_편집'!$AF983:$AN983,'분류_규칙'!$A$5:$A$76,'분류_규칙'!$P$5:$P$76,0))</x:f>
        <x:v>25</x:v>
      </x:c>
    </x:row>
    <x:row r="984" ht="22" customHeight="1">
      <x:c r="A984" s="5" t="n">
        <x:v>980</x:v>
      </x:c>
      <x:c r="B984" s="5" t="inlineStr">
        <x:is>
          <x:t xml:space="preserve">토오</x:t>
        </x:is>
      </x:c>
      <x:c r="C984" s="5" t="inlineStr">
        <x:is>
          <x:t xml:space="preserve">clodsire</x:t>
        </x:is>
      </x:c>
      <x:c r="D984" s="5" t="n">
        <x:v>9</x:v>
      </x:c>
      <x:c r="E984" s="10" t="n">
        <x:f>SUM(XLOOKUP('포켓몬_편집'!$AF984:$AN984,'분류_규칙'!$A$5:$A$76,'분류_규칙'!$E$5:$E$76,0))</x:f>
        <x:v>10</x:v>
      </x:c>
      <x:c r="F984" s="10" t="n">
        <x:f>SUM(XLOOKUP('포켓몬_편집'!$AF984:$AN984,'분류_규칙'!$A$5:$A$76,'분류_규칙'!$F$5:$F$76,0))</x:f>
        <x:v>7</x:v>
      </x:c>
      <x:c r="G984" s="10" t="n">
        <x:f>SUM(XLOOKUP('포켓몬_편집'!$AF984:$AN984,'분류_규칙'!$A$5:$A$76,'분류_규칙'!$G$5:$G$76,0))</x:f>
        <x:v>5</x:v>
      </x:c>
      <x:c r="H984" s="10" t="n">
        <x:f>SUM(XLOOKUP('포켓몬_편집'!$AF984:$AN984,'분류_규칙'!$A$5:$A$76,'분류_규칙'!$H$5:$H$76,0))</x:f>
        <x:v>5</x:v>
      </x:c>
      <x:c r="I984" s="10" t="n">
        <x:f>SUM(XLOOKUP('포켓몬_편집'!$AF984:$AN984,'분류_규칙'!$A$5:$A$76,'분류_규칙'!$I$5:$I$76,0))</x:f>
        <x:v>0</x:v>
      </x:c>
      <x:c r="J984" s="10" t="n">
        <x:f>SUM(XLOOKUP('포켓몬_편집'!$AF984:$AN984,'분류_규칙'!$A$5:$A$76,'분류_규칙'!$J$5:$J$76,0))</x:f>
        <x:v>2</x:v>
      </x:c>
      <x:c r="K984" s="10" t="n">
        <x:f>SUM(XLOOKUP('포켓몬_편집'!$AF984:$AN984,'분류_규칙'!$A$5:$A$76,'분류_규칙'!$K$5:$K$76,0))</x:f>
        <x:v>0</x:v>
      </x:c>
      <x:c r="L984" s="10" t="n">
        <x:f>SUM(XLOOKUP('포켓몬_편집'!$AF984:$AN984,'분류_규칙'!$A$5:$A$76,'분류_규칙'!$L$5:$L$76,0))</x:f>
        <x:v>0</x:v>
      </x:c>
      <x:c r="M984" s="10" t="n">
        <x:f>SUM(XLOOKUP('포켓몬_편집'!$AF984:$AN984,'분류_규칙'!$A$5:$A$76,'분류_규칙'!$M$5:$M$76,0))</x:f>
        <x:v>0</x:v>
      </x:c>
      <x:c r="N984" s="10" t="n">
        <x:f>SUM(XLOOKUP('포켓몬_편집'!$AF984:$AN984,'분류_규칙'!$A$5:$A$76,'분류_규칙'!$N$5:$N$76,0))</x:f>
        <x:v>0</x:v>
      </x:c>
      <x:c r="O984" s="10" t="n">
        <x:f>SUM(XLOOKUP('포켓몬_편집'!$AF984:$AN984,'분류_규칙'!$A$5:$A$76,'분류_규칙'!$O$5:$O$76,0))</x:f>
        <x:v>2</x:v>
      </x:c>
      <x:c r="P984" s="10" t="n">
        <x:f>SUM(XLOOKUP('포켓몬_편집'!$AF984:$AN984,'분류_규칙'!$A$5:$A$76,'분류_규칙'!$P$5:$P$76,0))</x:f>
        <x:v>0</x:v>
      </x:c>
    </x:row>
    <x:row r="985" ht="22" customHeight="1">
      <x:c r="A985" s="5" t="n">
        <x:v>981</x:v>
      </x:c>
      <x:c r="B985" s="5" t="inlineStr">
        <x:is>
          <x:t xml:space="preserve">키키링</x:t>
        </x:is>
      </x:c>
      <x:c r="C985" s="5" t="inlineStr">
        <x:is>
          <x:t xml:space="preserve">farigiraf</x:t>
        </x:is>
      </x:c>
      <x:c r="D985" s="5" t="n">
        <x:v>9</x:v>
      </x:c>
      <x:c r="E985" s="10" t="n">
        <x:f>SUM(XLOOKUP('포켓몬_편집'!$AF985:$AN985,'분류_규칙'!$A$5:$A$76,'분류_규칙'!$E$5:$E$76,0))</x:f>
        <x:v>10</x:v>
      </x:c>
      <x:c r="F985" s="10" t="n">
        <x:f>SUM(XLOOKUP('포켓몬_편집'!$AF985:$AN985,'분류_규칙'!$A$5:$A$76,'분류_규칙'!$F$5:$F$76,0))</x:f>
        <x:v>7</x:v>
      </x:c>
      <x:c r="G985" s="10" t="n">
        <x:f>SUM(XLOOKUP('포켓몬_편집'!$AF985:$AN985,'분류_규칙'!$A$5:$A$76,'분류_규칙'!$G$5:$G$76,0))</x:f>
        <x:v>5</x:v>
      </x:c>
      <x:c r="H985" s="10" t="n">
        <x:f>SUM(XLOOKUP('포켓몬_편집'!$AF985:$AN985,'분류_규칙'!$A$5:$A$76,'분류_규칙'!$H$5:$H$76,0))</x:f>
        <x:v>5</x:v>
      </x:c>
      <x:c r="I985" s="10" t="n">
        <x:f>SUM(XLOOKUP('포켓몬_편집'!$AF985:$AN985,'분류_규칙'!$A$5:$A$76,'분류_규칙'!$I$5:$I$76,0))</x:f>
        <x:v>0</x:v>
      </x:c>
      <x:c r="J985" s="10" t="n">
        <x:f>SUM(XLOOKUP('포켓몬_편집'!$AF985:$AN985,'분류_규칙'!$A$5:$A$76,'분류_규칙'!$J$5:$J$76,0))</x:f>
        <x:v>2</x:v>
      </x:c>
      <x:c r="K985" s="10" t="n">
        <x:f>SUM(XLOOKUP('포켓몬_편집'!$AF985:$AN985,'분류_규칙'!$A$5:$A$76,'분류_규칙'!$K$5:$K$76,0))</x:f>
        <x:v>0</x:v>
      </x:c>
      <x:c r="L985" s="10" t="n">
        <x:f>SUM(XLOOKUP('포켓몬_편집'!$AF985:$AN985,'분류_규칙'!$A$5:$A$76,'분류_규칙'!$L$5:$L$76,0))</x:f>
        <x:v>0</x:v>
      </x:c>
      <x:c r="M985" s="10" t="n">
        <x:f>SUM(XLOOKUP('포켓몬_편집'!$AF985:$AN985,'분류_규칙'!$A$5:$A$76,'분류_규칙'!$M$5:$M$76,0))</x:f>
        <x:v>0</x:v>
      </x:c>
      <x:c r="N985" s="10" t="n">
        <x:f>SUM(XLOOKUP('포켓몬_편집'!$AF985:$AN985,'분류_규칙'!$A$5:$A$76,'분류_규칙'!$N$5:$N$76,0))</x:f>
        <x:v>0</x:v>
      </x:c>
      <x:c r="O985" s="10" t="n">
        <x:f>SUM(XLOOKUP('포켓몬_편집'!$AF985:$AN985,'분류_규칙'!$A$5:$A$76,'분류_규칙'!$O$5:$O$76,0))</x:f>
        <x:v>2</x:v>
      </x:c>
      <x:c r="P985" s="10" t="n">
        <x:f>SUM(XLOOKUP('포켓몬_편집'!$AF985:$AN985,'분류_규칙'!$A$5:$A$76,'분류_규칙'!$P$5:$P$76,0))</x:f>
        <x:v>0</x:v>
      </x:c>
    </x:row>
    <x:row r="986" ht="22" customHeight="1">
      <x:c r="A986" s="5" t="n">
        <x:v>982</x:v>
      </x:c>
      <x:c r="B986" s="5" t="inlineStr">
        <x:is>
          <x:t xml:space="preserve">노고고치</x:t>
        </x:is>
      </x:c>
      <x:c r="C986" s="5" t="inlineStr">
        <x:is>
          <x:t xml:space="preserve">dudunsparce</x:t>
        </x:is>
      </x:c>
      <x:c r="D986" s="5" t="n">
        <x:v>9</x:v>
      </x:c>
      <x:c r="E986" s="10" t="n">
        <x:f>SUM(XLOOKUP('포켓몬_편집'!$AF986:$AN986,'분류_규칙'!$A$5:$A$76,'분류_규칙'!$E$5:$E$76,0))</x:f>
        <x:v>10</x:v>
      </x:c>
      <x:c r="F986" s="10" t="n">
        <x:f>SUM(XLOOKUP('포켓몬_편집'!$AF986:$AN986,'분류_규칙'!$A$5:$A$76,'분류_규칙'!$F$5:$F$76,0))</x:f>
        <x:v>7</x:v>
      </x:c>
      <x:c r="G986" s="10" t="n">
        <x:f>SUM(XLOOKUP('포켓몬_편집'!$AF986:$AN986,'분류_규칙'!$A$5:$A$76,'분류_규칙'!$G$5:$G$76,0))</x:f>
        <x:v>5</x:v>
      </x:c>
      <x:c r="H986" s="10" t="n">
        <x:f>SUM(XLOOKUP('포켓몬_편집'!$AF986:$AN986,'분류_규칙'!$A$5:$A$76,'분류_규칙'!$H$5:$H$76,0))</x:f>
        <x:v>5</x:v>
      </x:c>
      <x:c r="I986" s="10" t="n">
        <x:f>SUM(XLOOKUP('포켓몬_편집'!$AF986:$AN986,'분류_규칙'!$A$5:$A$76,'분류_규칙'!$I$5:$I$76,0))</x:f>
        <x:v>0</x:v>
      </x:c>
      <x:c r="J986" s="10" t="n">
        <x:f>SUM(XLOOKUP('포켓몬_편집'!$AF986:$AN986,'분류_규칙'!$A$5:$A$76,'분류_규칙'!$J$5:$J$76,0))</x:f>
        <x:v>2</x:v>
      </x:c>
      <x:c r="K986" s="10" t="n">
        <x:f>SUM(XLOOKUP('포켓몬_편집'!$AF986:$AN986,'분류_규칙'!$A$5:$A$76,'분류_규칙'!$K$5:$K$76,0))</x:f>
        <x:v>0</x:v>
      </x:c>
      <x:c r="L986" s="10" t="n">
        <x:f>SUM(XLOOKUP('포켓몬_편집'!$AF986:$AN986,'분류_규칙'!$A$5:$A$76,'분류_규칙'!$L$5:$L$76,0))</x:f>
        <x:v>0</x:v>
      </x:c>
      <x:c r="M986" s="10" t="n">
        <x:f>SUM(XLOOKUP('포켓몬_편집'!$AF986:$AN986,'분류_규칙'!$A$5:$A$76,'분류_규칙'!$M$5:$M$76,0))</x:f>
        <x:v>0</x:v>
      </x:c>
      <x:c r="N986" s="10" t="n">
        <x:f>SUM(XLOOKUP('포켓몬_편집'!$AF986:$AN986,'분류_규칙'!$A$5:$A$76,'분류_규칙'!$N$5:$N$76,0))</x:f>
        <x:v>0</x:v>
      </x:c>
      <x:c r="O986" s="10" t="n">
        <x:f>SUM(XLOOKUP('포켓몬_편집'!$AF986:$AN986,'분류_규칙'!$A$5:$A$76,'분류_규칙'!$O$5:$O$76,0))</x:f>
        <x:v>2</x:v>
      </x:c>
      <x:c r="P986" s="10" t="n">
        <x:f>SUM(XLOOKUP('포켓몬_편집'!$AF986:$AN986,'분류_규칙'!$A$5:$A$76,'분류_규칙'!$P$5:$P$76,0))</x:f>
        <x:v>0</x:v>
      </x:c>
    </x:row>
    <x:row r="987" ht="22" customHeight="1">
      <x:c r="A987" s="5" t="n">
        <x:v>983</x:v>
      </x:c>
      <x:c r="B987" s="5" t="inlineStr">
        <x:is>
          <x:t xml:space="preserve">대도각참</x:t>
        </x:is>
      </x:c>
      <x:c r="C987" s="5" t="inlineStr">
        <x:is>
          <x:t xml:space="preserve">kingambit</x:t>
        </x:is>
      </x:c>
      <x:c r="D987" s="5" t="n">
        <x:v>9</x:v>
      </x:c>
      <x:c r="E987" s="10" t="n">
        <x:f>SUM(XLOOKUP('포켓몬_편집'!$AF987:$AN987,'분류_규칙'!$A$5:$A$76,'분류_규칙'!$E$5:$E$76,0))</x:f>
        <x:v>10</x:v>
      </x:c>
      <x:c r="F987" s="10" t="n">
        <x:f>SUM(XLOOKUP('포켓몬_편집'!$AF987:$AN987,'분류_규칙'!$A$5:$A$76,'분류_규칙'!$F$5:$F$76,0))</x:f>
        <x:v>7</x:v>
      </x:c>
      <x:c r="G987" s="10" t="n">
        <x:f>SUM(XLOOKUP('포켓몬_편집'!$AF987:$AN987,'분류_규칙'!$A$5:$A$76,'분류_규칙'!$G$5:$G$76,0))</x:f>
        <x:v>5</x:v>
      </x:c>
      <x:c r="H987" s="10" t="n">
        <x:f>SUM(XLOOKUP('포켓몬_편집'!$AF987:$AN987,'분류_규칙'!$A$5:$A$76,'분류_규칙'!$H$5:$H$76,0))</x:f>
        <x:v>5</x:v>
      </x:c>
      <x:c r="I987" s="10" t="n">
        <x:f>SUM(XLOOKUP('포켓몬_편집'!$AF987:$AN987,'분류_규칙'!$A$5:$A$76,'분류_규칙'!$I$5:$I$76,0))</x:f>
        <x:v>0</x:v>
      </x:c>
      <x:c r="J987" s="10" t="n">
        <x:f>SUM(XLOOKUP('포켓몬_편집'!$AF987:$AN987,'분류_규칙'!$A$5:$A$76,'분류_규칙'!$J$5:$J$76,0))</x:f>
        <x:v>2</x:v>
      </x:c>
      <x:c r="K987" s="10" t="n">
        <x:f>SUM(XLOOKUP('포켓몬_편집'!$AF987:$AN987,'분류_규칙'!$A$5:$A$76,'분류_규칙'!$K$5:$K$76,0))</x:f>
        <x:v>0</x:v>
      </x:c>
      <x:c r="L987" s="10" t="n">
        <x:f>SUM(XLOOKUP('포켓몬_편집'!$AF987:$AN987,'분류_규칙'!$A$5:$A$76,'분류_규칙'!$L$5:$L$76,0))</x:f>
        <x:v>0</x:v>
      </x:c>
      <x:c r="M987" s="10" t="n">
        <x:f>SUM(XLOOKUP('포켓몬_편집'!$AF987:$AN987,'분류_규칙'!$A$5:$A$76,'분류_규칙'!$M$5:$M$76,0))</x:f>
        <x:v>0</x:v>
      </x:c>
      <x:c r="N987" s="10" t="n">
        <x:f>SUM(XLOOKUP('포켓몬_편집'!$AF987:$AN987,'분류_규칙'!$A$5:$A$76,'분류_규칙'!$N$5:$N$76,0))</x:f>
        <x:v>0</x:v>
      </x:c>
      <x:c r="O987" s="10" t="n">
        <x:f>SUM(XLOOKUP('포켓몬_편집'!$AF987:$AN987,'분류_규칙'!$A$5:$A$76,'분류_규칙'!$O$5:$O$76,0))</x:f>
        <x:v>2</x:v>
      </x:c>
      <x:c r="P987" s="10" t="n">
        <x:f>SUM(XLOOKUP('포켓몬_편집'!$AF987:$AN987,'분류_규칙'!$A$5:$A$76,'분류_규칙'!$P$5:$P$76,0))</x:f>
        <x:v>0</x:v>
      </x:c>
    </x:row>
    <x:row r="988" ht="22" customHeight="1">
      <x:c r="A988" s="5" t="n">
        <x:v>984</x:v>
      </x:c>
      <x:c r="B988" s="5" t="inlineStr">
        <x:is>
          <x:t xml:space="preserve">위대한엄니</x:t>
        </x:is>
      </x:c>
      <x:c r="C988" s="5" t="inlineStr">
        <x:is>
          <x:t xml:space="preserve">greattusk</x:t>
        </x:is>
      </x:c>
      <x:c r="D988" s="5" t="n">
        <x:v>9</x:v>
      </x:c>
      <x:c r="E988" s="10" t="n">
        <x:f>SUM(XLOOKUP('포켓몬_편집'!$AF988:$AN988,'분류_규칙'!$A$5:$A$76,'분류_규칙'!$E$5:$E$76,0))</x:f>
        <x:v>10</x:v>
      </x:c>
      <x:c r="F988" s="10" t="n">
        <x:f>SUM(XLOOKUP('포켓몬_편집'!$AF988:$AN988,'분류_규칙'!$A$5:$A$76,'분류_규칙'!$F$5:$F$76,0))</x:f>
        <x:v>7</x:v>
      </x:c>
      <x:c r="G988" s="10" t="n">
        <x:f>SUM(XLOOKUP('포켓몬_편집'!$AF988:$AN988,'분류_규칙'!$A$5:$A$76,'분류_규칙'!$G$5:$G$76,0))</x:f>
        <x:v>5</x:v>
      </x:c>
      <x:c r="H988" s="10" t="n">
        <x:f>SUM(XLOOKUP('포켓몬_편집'!$AF988:$AN988,'분류_규칙'!$A$5:$A$76,'분류_규칙'!$H$5:$H$76,0))</x:f>
        <x:v>5</x:v>
      </x:c>
      <x:c r="I988" s="10" t="n">
        <x:f>SUM(XLOOKUP('포켓몬_편집'!$AF988:$AN988,'분류_규칙'!$A$5:$A$76,'분류_규칙'!$I$5:$I$76,0))</x:f>
        <x:v>0</x:v>
      </x:c>
      <x:c r="J988" s="10" t="n">
        <x:f>SUM(XLOOKUP('포켓몬_편집'!$AF988:$AN988,'분류_규칙'!$A$5:$A$76,'분류_규칙'!$J$5:$J$76,0))</x:f>
        <x:v>2</x:v>
      </x:c>
      <x:c r="K988" s="10" t="n">
        <x:f>SUM(XLOOKUP('포켓몬_편집'!$AF988:$AN988,'분류_규칙'!$A$5:$A$76,'분류_규칙'!$K$5:$K$76,0))</x:f>
        <x:v>0</x:v>
      </x:c>
      <x:c r="L988" s="10" t="n">
        <x:f>SUM(XLOOKUP('포켓몬_편집'!$AF988:$AN988,'분류_규칙'!$A$5:$A$76,'분류_규칙'!$L$5:$L$76,0))</x:f>
        <x:v>0</x:v>
      </x:c>
      <x:c r="M988" s="10" t="n">
        <x:f>SUM(XLOOKUP('포켓몬_편집'!$AF988:$AN988,'분류_규칙'!$A$5:$A$76,'분류_규칙'!$M$5:$M$76,0))</x:f>
        <x:v>0</x:v>
      </x:c>
      <x:c r="N988" s="10" t="n">
        <x:f>SUM(XLOOKUP('포켓몬_편집'!$AF988:$AN988,'분류_규칙'!$A$5:$A$76,'분류_규칙'!$N$5:$N$76,0))</x:f>
        <x:v>0</x:v>
      </x:c>
      <x:c r="O988" s="10" t="n">
        <x:f>SUM(XLOOKUP('포켓몬_편집'!$AF988:$AN988,'분류_규칙'!$A$5:$A$76,'분류_규칙'!$O$5:$O$76,0))</x:f>
        <x:v>2</x:v>
      </x:c>
      <x:c r="P988" s="10" t="n">
        <x:f>SUM(XLOOKUP('포켓몬_편집'!$AF988:$AN988,'분류_규칙'!$A$5:$A$76,'분류_규칙'!$P$5:$P$76,0))</x:f>
        <x:v>0</x:v>
      </x:c>
    </x:row>
    <x:row r="989" ht="22" customHeight="1">
      <x:c r="A989" s="5" t="n">
        <x:v>985</x:v>
      </x:c>
      <x:c r="B989" s="5" t="inlineStr">
        <x:is>
          <x:t xml:space="preserve">우렁찬꼬리</x:t>
        </x:is>
      </x:c>
      <x:c r="C989" s="5" t="inlineStr">
        <x:is>
          <x:t xml:space="preserve">screamtail</x:t>
        </x:is>
      </x:c>
      <x:c r="D989" s="5" t="n">
        <x:v>9</x:v>
      </x:c>
      <x:c r="E989" s="10" t="n">
        <x:f>SUM(XLOOKUP('포켓몬_편집'!$AF989:$AN989,'분류_규칙'!$A$5:$A$76,'분류_규칙'!$E$5:$E$76,0))</x:f>
        <x:v>10</x:v>
      </x:c>
      <x:c r="F989" s="10" t="n">
        <x:f>SUM(XLOOKUP('포켓몬_편집'!$AF989:$AN989,'분류_규칙'!$A$5:$A$76,'분류_규칙'!$F$5:$F$76,0))</x:f>
        <x:v>7</x:v>
      </x:c>
      <x:c r="G989" s="10" t="n">
        <x:f>SUM(XLOOKUP('포켓몬_편집'!$AF989:$AN989,'분류_규칙'!$A$5:$A$76,'분류_규칙'!$G$5:$G$76,0))</x:f>
        <x:v>5</x:v>
      </x:c>
      <x:c r="H989" s="10" t="n">
        <x:f>SUM(XLOOKUP('포켓몬_편집'!$AF989:$AN989,'분류_규칙'!$A$5:$A$76,'분류_규칙'!$H$5:$H$76,0))</x:f>
        <x:v>5</x:v>
      </x:c>
      <x:c r="I989" s="10" t="n">
        <x:f>SUM(XLOOKUP('포켓몬_편집'!$AF989:$AN989,'분류_규칙'!$A$5:$A$76,'분류_규칙'!$I$5:$I$76,0))</x:f>
        <x:v>0</x:v>
      </x:c>
      <x:c r="J989" s="10" t="n">
        <x:f>SUM(XLOOKUP('포켓몬_편집'!$AF989:$AN989,'분류_규칙'!$A$5:$A$76,'분류_규칙'!$J$5:$J$76,0))</x:f>
        <x:v>2</x:v>
      </x:c>
      <x:c r="K989" s="10" t="n">
        <x:f>SUM(XLOOKUP('포켓몬_편집'!$AF989:$AN989,'분류_규칙'!$A$5:$A$76,'분류_규칙'!$K$5:$K$76,0))</x:f>
        <x:v>0</x:v>
      </x:c>
      <x:c r="L989" s="10" t="n">
        <x:f>SUM(XLOOKUP('포켓몬_편집'!$AF989:$AN989,'분류_규칙'!$A$5:$A$76,'분류_규칙'!$L$5:$L$76,0))</x:f>
        <x:v>0</x:v>
      </x:c>
      <x:c r="M989" s="10" t="n">
        <x:f>SUM(XLOOKUP('포켓몬_편집'!$AF989:$AN989,'분류_규칙'!$A$5:$A$76,'분류_규칙'!$M$5:$M$76,0))</x:f>
        <x:v>0</x:v>
      </x:c>
      <x:c r="N989" s="10" t="n">
        <x:f>SUM(XLOOKUP('포켓몬_편집'!$AF989:$AN989,'분류_규칙'!$A$5:$A$76,'분류_규칙'!$N$5:$N$76,0))</x:f>
        <x:v>0</x:v>
      </x:c>
      <x:c r="O989" s="10" t="n">
        <x:f>SUM(XLOOKUP('포켓몬_편집'!$AF989:$AN989,'분류_규칙'!$A$5:$A$76,'분류_규칙'!$O$5:$O$76,0))</x:f>
        <x:v>2</x:v>
      </x:c>
      <x:c r="P989" s="10" t="n">
        <x:f>SUM(XLOOKUP('포켓몬_편집'!$AF989:$AN989,'분류_규칙'!$A$5:$A$76,'분류_규칙'!$P$5:$P$76,0))</x:f>
        <x:v>0</x:v>
      </x:c>
    </x:row>
    <x:row r="990" ht="22" customHeight="1">
      <x:c r="A990" s="5" t="n">
        <x:v>986</x:v>
      </x:c>
      <x:c r="B990" s="5" t="inlineStr">
        <x:is>
          <x:t xml:space="preserve">사나운버섯</x:t>
        </x:is>
      </x:c>
      <x:c r="C990" s="5" t="inlineStr">
        <x:is>
          <x:t xml:space="preserve">brutebonnet</x:t>
        </x:is>
      </x:c>
      <x:c r="D990" s="5" t="n">
        <x:v>9</x:v>
      </x:c>
      <x:c r="E990" s="10" t="n">
        <x:f>SUM(XLOOKUP('포켓몬_편집'!$AF990:$AN990,'분류_규칙'!$A$5:$A$76,'분류_규칙'!$E$5:$E$76,0))</x:f>
        <x:v>10</x:v>
      </x:c>
      <x:c r="F990" s="10" t="n">
        <x:f>SUM(XLOOKUP('포켓몬_편집'!$AF990:$AN990,'분류_규칙'!$A$5:$A$76,'분류_규칙'!$F$5:$F$76,0))</x:f>
        <x:v>7</x:v>
      </x:c>
      <x:c r="G990" s="10" t="n">
        <x:f>SUM(XLOOKUP('포켓몬_편집'!$AF990:$AN990,'분류_규칙'!$A$5:$A$76,'분류_규칙'!$G$5:$G$76,0))</x:f>
        <x:v>5</x:v>
      </x:c>
      <x:c r="H990" s="10" t="n">
        <x:f>SUM(XLOOKUP('포켓몬_편집'!$AF990:$AN990,'분류_규칙'!$A$5:$A$76,'분류_규칙'!$H$5:$H$76,0))</x:f>
        <x:v>5</x:v>
      </x:c>
      <x:c r="I990" s="10" t="n">
        <x:f>SUM(XLOOKUP('포켓몬_편집'!$AF990:$AN990,'분류_규칙'!$A$5:$A$76,'분류_규칙'!$I$5:$I$76,0))</x:f>
        <x:v>0</x:v>
      </x:c>
      <x:c r="J990" s="10" t="n">
        <x:f>SUM(XLOOKUP('포켓몬_편집'!$AF990:$AN990,'분류_규칙'!$A$5:$A$76,'분류_규칙'!$J$5:$J$76,0))</x:f>
        <x:v>2</x:v>
      </x:c>
      <x:c r="K990" s="10" t="n">
        <x:f>SUM(XLOOKUP('포켓몬_편집'!$AF990:$AN990,'분류_규칙'!$A$5:$A$76,'분류_규칙'!$K$5:$K$76,0))</x:f>
        <x:v>0</x:v>
      </x:c>
      <x:c r="L990" s="10" t="n">
        <x:f>SUM(XLOOKUP('포켓몬_편집'!$AF990:$AN990,'분류_규칙'!$A$5:$A$76,'분류_규칙'!$L$5:$L$76,0))</x:f>
        <x:v>0</x:v>
      </x:c>
      <x:c r="M990" s="10" t="n">
        <x:f>SUM(XLOOKUP('포켓몬_편집'!$AF990:$AN990,'분류_규칙'!$A$5:$A$76,'분류_규칙'!$M$5:$M$76,0))</x:f>
        <x:v>0</x:v>
      </x:c>
      <x:c r="N990" s="10" t="n">
        <x:f>SUM(XLOOKUP('포켓몬_편집'!$AF990:$AN990,'분류_규칙'!$A$5:$A$76,'분류_규칙'!$N$5:$N$76,0))</x:f>
        <x:v>0</x:v>
      </x:c>
      <x:c r="O990" s="10" t="n">
        <x:f>SUM(XLOOKUP('포켓몬_편집'!$AF990:$AN990,'분류_규칙'!$A$5:$A$76,'분류_규칙'!$O$5:$O$76,0))</x:f>
        <x:v>2</x:v>
      </x:c>
      <x:c r="P990" s="10" t="n">
        <x:f>SUM(XLOOKUP('포켓몬_편집'!$AF990:$AN990,'분류_규칙'!$A$5:$A$76,'분류_규칙'!$P$5:$P$76,0))</x:f>
        <x:v>0</x:v>
      </x:c>
    </x:row>
    <x:row r="991" ht="22" customHeight="1">
      <x:c r="A991" s="5" t="n">
        <x:v>987</x:v>
      </x:c>
      <x:c r="B991" s="5" t="inlineStr">
        <x:is>
          <x:t xml:space="preserve">날개치는머리</x:t>
        </x:is>
      </x:c>
      <x:c r="C991" s="5" t="inlineStr">
        <x:is>
          <x:t xml:space="preserve">fluttermane</x:t>
        </x:is>
      </x:c>
      <x:c r="D991" s="5" t="n">
        <x:v>9</x:v>
      </x:c>
      <x:c r="E991" s="10" t="n">
        <x:f>SUM(XLOOKUP('포켓몬_편집'!$AF991:$AN991,'분류_규칙'!$A$5:$A$76,'분류_규칙'!$E$5:$E$76,0))</x:f>
        <x:v>8</x:v>
      </x:c>
      <x:c r="F991" s="10" t="n">
        <x:f>SUM(XLOOKUP('포켓몬_편집'!$AF991:$AN991,'분류_규칙'!$A$5:$A$76,'분류_규칙'!$F$5:$F$76,0))</x:f>
        <x:v>8</x:v>
      </x:c>
      <x:c r="G991" s="10" t="n">
        <x:f>SUM(XLOOKUP('포켓몬_편집'!$AF991:$AN991,'분류_규칙'!$A$5:$A$76,'분류_규칙'!$G$5:$G$76,0))</x:f>
        <x:v>0</x:v>
      </x:c>
      <x:c r="H991" s="10" t="n">
        <x:f>SUM(XLOOKUP('포켓몬_편집'!$AF991:$AN991,'분류_규칙'!$A$5:$A$76,'분류_규칙'!$H$5:$H$76,0))</x:f>
        <x:v>12</x:v>
      </x:c>
      <x:c r="I991" s="10" t="n">
        <x:f>SUM(XLOOKUP('포켓몬_편집'!$AF991:$AN991,'분류_규칙'!$A$5:$A$76,'분류_규칙'!$I$5:$I$76,0))</x:f>
        <x:v>0</x:v>
      </x:c>
      <x:c r="J991" s="10" t="n">
        <x:f>SUM(XLOOKUP('포켓몬_편집'!$AF991:$AN991,'분류_규칙'!$A$5:$A$76,'분류_규칙'!$J$5:$J$76,0))</x:f>
        <x:v>0</x:v>
      </x:c>
      <x:c r="K991" s="10" t="n">
        <x:f>SUM(XLOOKUP('포켓몬_편집'!$AF991:$AN991,'분류_규칙'!$A$5:$A$76,'분류_규칙'!$K$5:$K$76,0))</x:f>
        <x:v>0</x:v>
      </x:c>
      <x:c r="L991" s="10" t="n">
        <x:f>SUM(XLOOKUP('포켓몬_편집'!$AF991:$AN991,'분류_규칙'!$A$5:$A$76,'분류_규칙'!$L$5:$L$76,0))</x:f>
        <x:v>3</x:v>
      </x:c>
      <x:c r="M991" s="10" t="n">
        <x:f>SUM(XLOOKUP('포켓몬_편집'!$AF991:$AN991,'분류_규칙'!$A$5:$A$76,'분류_규칙'!$M$5:$M$76,0))</x:f>
        <x:v>0</x:v>
      </x:c>
      <x:c r="N991" s="10" t="n">
        <x:f>SUM(XLOOKUP('포켓몬_편집'!$AF991:$AN991,'분류_규칙'!$A$5:$A$76,'분류_규칙'!$N$5:$N$76,0))</x:f>
        <x:v>0</x:v>
      </x:c>
      <x:c r="O991" s="10" t="n">
        <x:f>SUM(XLOOKUP('포켓몬_편집'!$AF991:$AN991,'분류_규칙'!$A$5:$A$76,'분류_규칙'!$O$5:$O$76,0))</x:f>
        <x:v>2</x:v>
      </x:c>
      <x:c r="P991" s="10" t="n">
        <x:f>SUM(XLOOKUP('포켓몬_편집'!$AF991:$AN991,'분류_규칙'!$A$5:$A$76,'분류_규칙'!$P$5:$P$76,0))</x:f>
        <x:v>0</x:v>
      </x:c>
    </x:row>
    <x:row r="992" ht="22" customHeight="1">
      <x:c r="A992" s="5" t="n">
        <x:v>988</x:v>
      </x:c>
      <x:c r="B992" s="5" t="inlineStr">
        <x:is>
          <x:t xml:space="preserve">땅을기는날개</x:t>
        </x:is>
      </x:c>
      <x:c r="C992" s="5" t="inlineStr">
        <x:is>
          <x:t xml:space="preserve">slitherwing</x:t>
        </x:is>
      </x:c>
      <x:c r="D992" s="5" t="n">
        <x:v>9</x:v>
      </x:c>
      <x:c r="E992" s="10" t="n">
        <x:f>SUM(XLOOKUP('포켓몬_편집'!$AF992:$AN992,'분류_규칙'!$A$5:$A$76,'분류_규칙'!$E$5:$E$76,0))</x:f>
        <x:v>10</x:v>
      </x:c>
      <x:c r="F992" s="10" t="n">
        <x:f>SUM(XLOOKUP('포켓몬_편집'!$AF992:$AN992,'분류_규칙'!$A$5:$A$76,'분류_규칙'!$F$5:$F$76,0))</x:f>
        <x:v>7</x:v>
      </x:c>
      <x:c r="G992" s="10" t="n">
        <x:f>SUM(XLOOKUP('포켓몬_편집'!$AF992:$AN992,'분류_규칙'!$A$5:$A$76,'분류_규칙'!$G$5:$G$76,0))</x:f>
        <x:v>5</x:v>
      </x:c>
      <x:c r="H992" s="10" t="n">
        <x:f>SUM(XLOOKUP('포켓몬_편집'!$AF992:$AN992,'분류_규칙'!$A$5:$A$76,'분류_규칙'!$H$5:$H$76,0))</x:f>
        <x:v>5</x:v>
      </x:c>
      <x:c r="I992" s="10" t="n">
        <x:f>SUM(XLOOKUP('포켓몬_편집'!$AF992:$AN992,'분류_규칙'!$A$5:$A$76,'분류_규칙'!$I$5:$I$76,0))</x:f>
        <x:v>0</x:v>
      </x:c>
      <x:c r="J992" s="10" t="n">
        <x:f>SUM(XLOOKUP('포켓몬_편집'!$AF992:$AN992,'분류_규칙'!$A$5:$A$76,'분류_규칙'!$J$5:$J$76,0))</x:f>
        <x:v>2</x:v>
      </x:c>
      <x:c r="K992" s="10" t="n">
        <x:f>SUM(XLOOKUP('포켓몬_편집'!$AF992:$AN992,'분류_규칙'!$A$5:$A$76,'분류_규칙'!$K$5:$K$76,0))</x:f>
        <x:v>0</x:v>
      </x:c>
      <x:c r="L992" s="10" t="n">
        <x:f>SUM(XLOOKUP('포켓몬_편집'!$AF992:$AN992,'분류_규칙'!$A$5:$A$76,'분류_규칙'!$L$5:$L$76,0))</x:f>
        <x:v>0</x:v>
      </x:c>
      <x:c r="M992" s="10" t="n">
        <x:f>SUM(XLOOKUP('포켓몬_편집'!$AF992:$AN992,'분류_규칙'!$A$5:$A$76,'분류_규칙'!$M$5:$M$76,0))</x:f>
        <x:v>0</x:v>
      </x:c>
      <x:c r="N992" s="10" t="n">
        <x:f>SUM(XLOOKUP('포켓몬_편집'!$AF992:$AN992,'분류_규칙'!$A$5:$A$76,'분류_규칙'!$N$5:$N$76,0))</x:f>
        <x:v>0</x:v>
      </x:c>
      <x:c r="O992" s="10" t="n">
        <x:f>SUM(XLOOKUP('포켓몬_편집'!$AF992:$AN992,'분류_규칙'!$A$5:$A$76,'분류_규칙'!$O$5:$O$76,0))</x:f>
        <x:v>2</x:v>
      </x:c>
      <x:c r="P992" s="10" t="n">
        <x:f>SUM(XLOOKUP('포켓몬_편집'!$AF992:$AN992,'분류_규칙'!$A$5:$A$76,'분류_규칙'!$P$5:$P$76,0))</x:f>
        <x:v>0</x:v>
      </x:c>
    </x:row>
    <x:row r="993" ht="22" customHeight="1">
      <x:c r="A993" s="5" t="n">
        <x:v>989</x:v>
      </x:c>
      <x:c r="B993" s="5" t="inlineStr">
        <x:is>
          <x:t xml:space="preserve">모래털가죽</x:t>
        </x:is>
      </x:c>
      <x:c r="C993" s="5" t="inlineStr">
        <x:is>
          <x:t xml:space="preserve">sandyshocks</x:t>
        </x:is>
      </x:c>
      <x:c r="D993" s="5" t="n">
        <x:v>9</x:v>
      </x:c>
      <x:c r="E993" s="10" t="n">
        <x:f>SUM(XLOOKUP('포켓몬_편집'!$AF993:$AN993,'분류_규칙'!$A$5:$A$76,'분류_규칙'!$E$5:$E$76,0))</x:f>
        <x:v>10</x:v>
      </x:c>
      <x:c r="F993" s="10" t="n">
        <x:f>SUM(XLOOKUP('포켓몬_편집'!$AF993:$AN993,'분류_규칙'!$A$5:$A$76,'분류_규칙'!$F$5:$F$76,0))</x:f>
        <x:v>7</x:v>
      </x:c>
      <x:c r="G993" s="10" t="n">
        <x:f>SUM(XLOOKUP('포켓몬_편집'!$AF993:$AN993,'분류_규칙'!$A$5:$A$76,'분류_규칙'!$G$5:$G$76,0))</x:f>
        <x:v>5</x:v>
      </x:c>
      <x:c r="H993" s="10" t="n">
        <x:f>SUM(XLOOKUP('포켓몬_편집'!$AF993:$AN993,'분류_규칙'!$A$5:$A$76,'분류_규칙'!$H$5:$H$76,0))</x:f>
        <x:v>5</x:v>
      </x:c>
      <x:c r="I993" s="10" t="n">
        <x:f>SUM(XLOOKUP('포켓몬_편집'!$AF993:$AN993,'분류_규칙'!$A$5:$A$76,'분류_규칙'!$I$5:$I$76,0))</x:f>
        <x:v>0</x:v>
      </x:c>
      <x:c r="J993" s="10" t="n">
        <x:f>SUM(XLOOKUP('포켓몬_편집'!$AF993:$AN993,'분류_규칙'!$A$5:$A$76,'분류_규칙'!$J$5:$J$76,0))</x:f>
        <x:v>2</x:v>
      </x:c>
      <x:c r="K993" s="10" t="n">
        <x:f>SUM(XLOOKUP('포켓몬_편집'!$AF993:$AN993,'분류_규칙'!$A$5:$A$76,'분류_규칙'!$K$5:$K$76,0))</x:f>
        <x:v>0</x:v>
      </x:c>
      <x:c r="L993" s="10" t="n">
        <x:f>SUM(XLOOKUP('포켓몬_편집'!$AF993:$AN993,'분류_규칙'!$A$5:$A$76,'분류_규칙'!$L$5:$L$76,0))</x:f>
        <x:v>0</x:v>
      </x:c>
      <x:c r="M993" s="10" t="n">
        <x:f>SUM(XLOOKUP('포켓몬_편집'!$AF993:$AN993,'분류_규칙'!$A$5:$A$76,'분류_규칙'!$M$5:$M$76,0))</x:f>
        <x:v>0</x:v>
      </x:c>
      <x:c r="N993" s="10" t="n">
        <x:f>SUM(XLOOKUP('포켓몬_편집'!$AF993:$AN993,'분류_규칙'!$A$5:$A$76,'분류_규칙'!$N$5:$N$76,0))</x:f>
        <x:v>0</x:v>
      </x:c>
      <x:c r="O993" s="10" t="n">
        <x:f>SUM(XLOOKUP('포켓몬_편집'!$AF993:$AN993,'분류_규칙'!$A$5:$A$76,'분류_규칙'!$O$5:$O$76,0))</x:f>
        <x:v>2</x:v>
      </x:c>
      <x:c r="P993" s="10" t="n">
        <x:f>SUM(XLOOKUP('포켓몬_편집'!$AF993:$AN993,'분류_규칙'!$A$5:$A$76,'분류_규칙'!$P$5:$P$76,0))</x:f>
        <x:v>0</x:v>
      </x:c>
    </x:row>
    <x:row r="994" ht="22" customHeight="1">
      <x:c r="A994" s="5" t="n">
        <x:v>990</x:v>
      </x:c>
      <x:c r="B994" s="5" t="inlineStr">
        <x:is>
          <x:t xml:space="preserve">무쇠바퀴</x:t>
        </x:is>
      </x:c>
      <x:c r="C994" s="5" t="inlineStr">
        <x:is>
          <x:t xml:space="preserve">irontreads</x:t>
        </x:is>
      </x:c>
      <x:c r="D994" s="5" t="n">
        <x:v>9</x:v>
      </x:c>
      <x:c r="E994" s="10" t="n">
        <x:f>SUM(XLOOKUP('포켓몬_편집'!$AF994:$AN994,'분류_규칙'!$A$5:$A$76,'분류_규칙'!$E$5:$E$76,0))</x:f>
        <x:v>10</x:v>
      </x:c>
      <x:c r="F994" s="10" t="n">
        <x:f>SUM(XLOOKUP('포켓몬_편집'!$AF994:$AN994,'분류_규칙'!$A$5:$A$76,'분류_규칙'!$F$5:$F$76,0))</x:f>
        <x:v>7</x:v>
      </x:c>
      <x:c r="G994" s="10" t="n">
        <x:f>SUM(XLOOKUP('포켓몬_편집'!$AF994:$AN994,'분류_규칙'!$A$5:$A$76,'분류_규칙'!$G$5:$G$76,0))</x:f>
        <x:v>5</x:v>
      </x:c>
      <x:c r="H994" s="10" t="n">
        <x:f>SUM(XLOOKUP('포켓몬_편집'!$AF994:$AN994,'분류_규칙'!$A$5:$A$76,'분류_규칙'!$H$5:$H$76,0))</x:f>
        <x:v>5</x:v>
      </x:c>
      <x:c r="I994" s="10" t="n">
        <x:f>SUM(XLOOKUP('포켓몬_편집'!$AF994:$AN994,'분류_규칙'!$A$5:$A$76,'분류_규칙'!$I$5:$I$76,0))</x:f>
        <x:v>0</x:v>
      </x:c>
      <x:c r="J994" s="10" t="n">
        <x:f>SUM(XLOOKUP('포켓몬_편집'!$AF994:$AN994,'분류_규칙'!$A$5:$A$76,'분류_규칙'!$J$5:$J$76,0))</x:f>
        <x:v>2</x:v>
      </x:c>
      <x:c r="K994" s="10" t="n">
        <x:f>SUM(XLOOKUP('포켓몬_편집'!$AF994:$AN994,'분류_규칙'!$A$5:$A$76,'분류_규칙'!$K$5:$K$76,0))</x:f>
        <x:v>0</x:v>
      </x:c>
      <x:c r="L994" s="10" t="n">
        <x:f>SUM(XLOOKUP('포켓몬_편집'!$AF994:$AN994,'분류_규칙'!$A$5:$A$76,'분류_규칙'!$L$5:$L$76,0))</x:f>
        <x:v>0</x:v>
      </x:c>
      <x:c r="M994" s="10" t="n">
        <x:f>SUM(XLOOKUP('포켓몬_편집'!$AF994:$AN994,'분류_규칙'!$A$5:$A$76,'분류_규칙'!$M$5:$M$76,0))</x:f>
        <x:v>0</x:v>
      </x:c>
      <x:c r="N994" s="10" t="n">
        <x:f>SUM(XLOOKUP('포켓몬_편집'!$AF994:$AN994,'분류_규칙'!$A$5:$A$76,'분류_규칙'!$N$5:$N$76,0))</x:f>
        <x:v>0</x:v>
      </x:c>
      <x:c r="O994" s="10" t="n">
        <x:f>SUM(XLOOKUP('포켓몬_편집'!$AF994:$AN994,'분류_규칙'!$A$5:$A$76,'분류_규칙'!$O$5:$O$76,0))</x:f>
        <x:v>2</x:v>
      </x:c>
      <x:c r="P994" s="10" t="n">
        <x:f>SUM(XLOOKUP('포켓몬_편집'!$AF994:$AN994,'분류_규칙'!$A$5:$A$76,'분류_규칙'!$P$5:$P$76,0))</x:f>
        <x:v>0</x:v>
      </x:c>
    </x:row>
    <x:row r="995" ht="22" customHeight="1">
      <x:c r="A995" s="5" t="n">
        <x:v>991</x:v>
      </x:c>
      <x:c r="B995" s="5" t="inlineStr">
        <x:is>
          <x:t xml:space="preserve">무쇠보따리</x:t>
        </x:is>
      </x:c>
      <x:c r="C995" s="5" t="inlineStr">
        <x:is>
          <x:t xml:space="preserve">ironbundle</x:t>
        </x:is>
      </x:c>
      <x:c r="D995" s="5" t="n">
        <x:v>9</x:v>
      </x:c>
      <x:c r="E995" s="10" t="n">
        <x:f>SUM(XLOOKUP('포켓몬_편집'!$AF995:$AN995,'분류_규칙'!$A$5:$A$76,'분류_규칙'!$E$5:$E$76,0))</x:f>
        <x:v>0</x:v>
      </x:c>
      <x:c r="F995" s="10" t="n">
        <x:f>SUM(XLOOKUP('포켓몬_편집'!$AF995:$AN995,'분류_규칙'!$A$5:$A$76,'분류_규칙'!$F$5:$F$76,0))</x:f>
        <x:v>0</x:v>
      </x:c>
      <x:c r="G995" s="10" t="n">
        <x:f>SUM(XLOOKUP('포켓몬_편집'!$AF995:$AN995,'분류_규칙'!$A$5:$A$76,'분류_규칙'!$G$5:$G$76,0))</x:f>
        <x:v>0</x:v>
      </x:c>
      <x:c r="H995" s="10" t="n">
        <x:f>SUM(XLOOKUP('포켓몬_편집'!$AF995:$AN995,'분류_규칙'!$A$5:$A$76,'분류_규칙'!$H$5:$H$76,0))</x:f>
        <x:v>0</x:v>
      </x:c>
      <x:c r="I995" s="10" t="n">
        <x:f>SUM(XLOOKUP('포켓몬_편집'!$AF995:$AN995,'분류_규칙'!$A$5:$A$76,'분류_규칙'!$I$5:$I$76,0))</x:f>
        <x:v>0</x:v>
      </x:c>
      <x:c r="J995" s="10" t="n">
        <x:f>SUM(XLOOKUP('포켓몬_편집'!$AF995:$AN995,'분류_규칙'!$A$5:$A$76,'분류_규칙'!$J$5:$J$76,0))</x:f>
        <x:v>22</x:v>
      </x:c>
      <x:c r="K995" s="10" t="n">
        <x:f>SUM(XLOOKUP('포켓몬_편집'!$AF995:$AN995,'분류_규칙'!$A$5:$A$76,'분류_규칙'!$K$5:$K$76,0))</x:f>
        <x:v>16</x:v>
      </x:c>
      <x:c r="L995" s="10" t="n">
        <x:f>SUM(XLOOKUP('포켓몬_편집'!$AF995:$AN995,'분류_규칙'!$A$5:$A$76,'분류_규칙'!$L$5:$L$76,0))</x:f>
        <x:v>8</x:v>
      </x:c>
      <x:c r="M995" s="10" t="n">
        <x:f>SUM(XLOOKUP('포켓몬_편집'!$AF995:$AN995,'분류_규칙'!$A$5:$A$76,'분류_규칙'!$M$5:$M$76,0))</x:f>
        <x:v>0</x:v>
      </x:c>
      <x:c r="N995" s="10" t="n">
        <x:f>SUM(XLOOKUP('포켓몬_편집'!$AF995:$AN995,'분류_규칙'!$A$5:$A$76,'분류_규칙'!$N$5:$N$76,0))</x:f>
        <x:v>0</x:v>
      </x:c>
      <x:c r="O995" s="10" t="n">
        <x:f>SUM(XLOOKUP('포켓몬_편집'!$AF995:$AN995,'분류_규칙'!$A$5:$A$76,'분류_규칙'!$O$5:$O$76,0))</x:f>
        <x:v>0</x:v>
      </x:c>
      <x:c r="P995" s="10" t="n">
        <x:f>SUM(XLOOKUP('포켓몬_편집'!$AF995:$AN995,'분류_규칙'!$A$5:$A$76,'분류_규칙'!$P$5:$P$76,0))</x:f>
        <x:v>0</x:v>
      </x:c>
    </x:row>
    <x:row r="996" ht="22" customHeight="1">
      <x:c r="A996" s="5" t="n">
        <x:v>992</x:v>
      </x:c>
      <x:c r="B996" s="5" t="inlineStr">
        <x:is>
          <x:t xml:space="preserve">무쇠손</x:t>
        </x:is>
      </x:c>
      <x:c r="C996" s="5" t="inlineStr">
        <x:is>
          <x:t xml:space="preserve">ironhands</x:t>
        </x:is>
      </x:c>
      <x:c r="D996" s="5" t="n">
        <x:v>9</x:v>
      </x:c>
      <x:c r="E996" s="10" t="n">
        <x:f>SUM(XLOOKUP('포켓몬_편집'!$AF996:$AN996,'분류_규칙'!$A$5:$A$76,'분류_규칙'!$E$5:$E$76,0))</x:f>
        <x:v>10</x:v>
      </x:c>
      <x:c r="F996" s="10" t="n">
        <x:f>SUM(XLOOKUP('포켓몬_편집'!$AF996:$AN996,'분류_규칙'!$A$5:$A$76,'분류_규칙'!$F$5:$F$76,0))</x:f>
        <x:v>7</x:v>
      </x:c>
      <x:c r="G996" s="10" t="n">
        <x:f>SUM(XLOOKUP('포켓몬_편집'!$AF996:$AN996,'분류_규칙'!$A$5:$A$76,'분류_규칙'!$G$5:$G$76,0))</x:f>
        <x:v>5</x:v>
      </x:c>
      <x:c r="H996" s="10" t="n">
        <x:f>SUM(XLOOKUP('포켓몬_편집'!$AF996:$AN996,'분류_규칙'!$A$5:$A$76,'분류_규칙'!$H$5:$H$76,0))</x:f>
        <x:v>5</x:v>
      </x:c>
      <x:c r="I996" s="10" t="n">
        <x:f>SUM(XLOOKUP('포켓몬_편집'!$AF996:$AN996,'분류_규칙'!$A$5:$A$76,'분류_규칙'!$I$5:$I$76,0))</x:f>
        <x:v>0</x:v>
      </x:c>
      <x:c r="J996" s="10" t="n">
        <x:f>SUM(XLOOKUP('포켓몬_편집'!$AF996:$AN996,'분류_규칙'!$A$5:$A$76,'분류_규칙'!$J$5:$J$76,0))</x:f>
        <x:v>2</x:v>
      </x:c>
      <x:c r="K996" s="10" t="n">
        <x:f>SUM(XLOOKUP('포켓몬_편집'!$AF996:$AN996,'분류_규칙'!$A$5:$A$76,'분류_규칙'!$K$5:$K$76,0))</x:f>
        <x:v>0</x:v>
      </x:c>
      <x:c r="L996" s="10" t="n">
        <x:f>SUM(XLOOKUP('포켓몬_편집'!$AF996:$AN996,'분류_규칙'!$A$5:$A$76,'분류_규칙'!$L$5:$L$76,0))</x:f>
        <x:v>0</x:v>
      </x:c>
      <x:c r="M996" s="10" t="n">
        <x:f>SUM(XLOOKUP('포켓몬_편집'!$AF996:$AN996,'분류_규칙'!$A$5:$A$76,'분류_규칙'!$M$5:$M$76,0))</x:f>
        <x:v>0</x:v>
      </x:c>
      <x:c r="N996" s="10" t="n">
        <x:f>SUM(XLOOKUP('포켓몬_편집'!$AF996:$AN996,'분류_규칙'!$A$5:$A$76,'분류_규칙'!$N$5:$N$76,0))</x:f>
        <x:v>0</x:v>
      </x:c>
      <x:c r="O996" s="10" t="n">
        <x:f>SUM(XLOOKUP('포켓몬_편집'!$AF996:$AN996,'분류_규칙'!$A$5:$A$76,'분류_규칙'!$O$5:$O$76,0))</x:f>
        <x:v>2</x:v>
      </x:c>
      <x:c r="P996" s="10" t="n">
        <x:f>SUM(XLOOKUP('포켓몬_편집'!$AF996:$AN996,'분류_규칙'!$A$5:$A$76,'분류_규칙'!$P$5:$P$76,0))</x:f>
        <x:v>0</x:v>
      </x:c>
    </x:row>
    <x:row r="997" ht="22" customHeight="1">
      <x:c r="A997" s="5" t="n">
        <x:v>993</x:v>
      </x:c>
      <x:c r="B997" s="5" t="inlineStr">
        <x:is>
          <x:t xml:space="preserve">무쇠머리</x:t>
        </x:is>
      </x:c>
      <x:c r="C997" s="5" t="inlineStr">
        <x:is>
          <x:t xml:space="preserve">ironjugulis</x:t>
        </x:is>
      </x:c>
      <x:c r="D997" s="5" t="n">
        <x:v>9</x:v>
      </x:c>
      <x:c r="E997" s="10" t="n">
        <x:f>SUM(XLOOKUP('포켓몬_편집'!$AF997:$AN997,'분류_규칙'!$A$5:$A$76,'분류_규칙'!$E$5:$E$76,0))</x:f>
        <x:v>8</x:v>
      </x:c>
      <x:c r="F997" s="10" t="n">
        <x:f>SUM(XLOOKUP('포켓몬_편집'!$AF997:$AN997,'분류_규칙'!$A$5:$A$76,'분류_규칙'!$F$5:$F$76,0))</x:f>
        <x:v>8</x:v>
      </x:c>
      <x:c r="G997" s="10" t="n">
        <x:f>SUM(XLOOKUP('포켓몬_편집'!$AF997:$AN997,'분류_규칙'!$A$5:$A$76,'분류_규칙'!$G$5:$G$76,0))</x:f>
        <x:v>0</x:v>
      </x:c>
      <x:c r="H997" s="10" t="n">
        <x:f>SUM(XLOOKUP('포켓몬_편집'!$AF997:$AN997,'분류_규칙'!$A$5:$A$76,'분류_규칙'!$H$5:$H$76,0))</x:f>
        <x:v>12</x:v>
      </x:c>
      <x:c r="I997" s="10" t="n">
        <x:f>SUM(XLOOKUP('포켓몬_편집'!$AF997:$AN997,'분류_규칙'!$A$5:$A$76,'분류_규칙'!$I$5:$I$76,0))</x:f>
        <x:v>0</x:v>
      </x:c>
      <x:c r="J997" s="10" t="n">
        <x:f>SUM(XLOOKUP('포켓몬_편집'!$AF997:$AN997,'분류_규칙'!$A$5:$A$76,'분류_규칙'!$J$5:$J$76,0))</x:f>
        <x:v>0</x:v>
      </x:c>
      <x:c r="K997" s="10" t="n">
        <x:f>SUM(XLOOKUP('포켓몬_편집'!$AF997:$AN997,'분류_규칙'!$A$5:$A$76,'분류_규칙'!$K$5:$K$76,0))</x:f>
        <x:v>0</x:v>
      </x:c>
      <x:c r="L997" s="10" t="n">
        <x:f>SUM(XLOOKUP('포켓몬_편집'!$AF997:$AN997,'분류_규칙'!$A$5:$A$76,'분류_규칙'!$L$5:$L$76,0))</x:f>
        <x:v>3</x:v>
      </x:c>
      <x:c r="M997" s="10" t="n">
        <x:f>SUM(XLOOKUP('포켓몬_편집'!$AF997:$AN997,'분류_규칙'!$A$5:$A$76,'분류_규칙'!$M$5:$M$76,0))</x:f>
        <x:v>0</x:v>
      </x:c>
      <x:c r="N997" s="10" t="n">
        <x:f>SUM(XLOOKUP('포켓몬_편집'!$AF997:$AN997,'분류_규칙'!$A$5:$A$76,'분류_규칙'!$N$5:$N$76,0))</x:f>
        <x:v>0</x:v>
      </x:c>
      <x:c r="O997" s="10" t="n">
        <x:f>SUM(XLOOKUP('포켓몬_편집'!$AF997:$AN997,'분류_규칙'!$A$5:$A$76,'분류_규칙'!$O$5:$O$76,0))</x:f>
        <x:v>2</x:v>
      </x:c>
      <x:c r="P997" s="10" t="n">
        <x:f>SUM(XLOOKUP('포켓몬_편집'!$AF997:$AN997,'분류_규칙'!$A$5:$A$76,'분류_규칙'!$P$5:$P$76,0))</x:f>
        <x:v>0</x:v>
      </x:c>
    </x:row>
    <x:row r="998" ht="22" customHeight="1">
      <x:c r="A998" s="5" t="n">
        <x:v>994</x:v>
      </x:c>
      <x:c r="B998" s="5" t="inlineStr">
        <x:is>
          <x:t xml:space="preserve">무쇠독나방</x:t>
        </x:is>
      </x:c>
      <x:c r="C998" s="5" t="inlineStr">
        <x:is>
          <x:t xml:space="preserve">ironmoth</x:t>
        </x:is>
      </x:c>
      <x:c r="D998" s="5" t="n">
        <x:v>9</x:v>
      </x:c>
      <x:c r="E998" s="10" t="n">
        <x:f>SUM(XLOOKUP('포켓몬_편집'!$AF998:$AN998,'분류_규칙'!$A$5:$A$76,'분류_규칙'!$E$5:$E$76,0))</x:f>
        <x:v>8</x:v>
      </x:c>
      <x:c r="F998" s="10" t="n">
        <x:f>SUM(XLOOKUP('포켓몬_편집'!$AF998:$AN998,'분류_규칙'!$A$5:$A$76,'분류_규칙'!$F$5:$F$76,0))</x:f>
        <x:v>8</x:v>
      </x:c>
      <x:c r="G998" s="10" t="n">
        <x:f>SUM(XLOOKUP('포켓몬_편집'!$AF998:$AN998,'분류_규칙'!$A$5:$A$76,'분류_규칙'!$G$5:$G$76,0))</x:f>
        <x:v>0</x:v>
      </x:c>
      <x:c r="H998" s="10" t="n">
        <x:f>SUM(XLOOKUP('포켓몬_편집'!$AF998:$AN998,'분류_규칙'!$A$5:$A$76,'분류_규칙'!$H$5:$H$76,0))</x:f>
        <x:v>12</x:v>
      </x:c>
      <x:c r="I998" s="10" t="n">
        <x:f>SUM(XLOOKUP('포켓몬_편집'!$AF998:$AN998,'분류_규칙'!$A$5:$A$76,'분류_규칙'!$I$5:$I$76,0))</x:f>
        <x:v>0</x:v>
      </x:c>
      <x:c r="J998" s="10" t="n">
        <x:f>SUM(XLOOKUP('포켓몬_편집'!$AF998:$AN998,'분류_규칙'!$A$5:$A$76,'분류_규칙'!$J$5:$J$76,0))</x:f>
        <x:v>0</x:v>
      </x:c>
      <x:c r="K998" s="10" t="n">
        <x:f>SUM(XLOOKUP('포켓몬_편집'!$AF998:$AN998,'분류_규칙'!$A$5:$A$76,'분류_규칙'!$K$5:$K$76,0))</x:f>
        <x:v>0</x:v>
      </x:c>
      <x:c r="L998" s="10" t="n">
        <x:f>SUM(XLOOKUP('포켓몬_편집'!$AF998:$AN998,'분류_규칙'!$A$5:$A$76,'분류_규칙'!$L$5:$L$76,0))</x:f>
        <x:v>3</x:v>
      </x:c>
      <x:c r="M998" s="10" t="n">
        <x:f>SUM(XLOOKUP('포켓몬_편집'!$AF998:$AN998,'분류_규칙'!$A$5:$A$76,'분류_규칙'!$M$5:$M$76,0))</x:f>
        <x:v>0</x:v>
      </x:c>
      <x:c r="N998" s="10" t="n">
        <x:f>SUM(XLOOKUP('포켓몬_편집'!$AF998:$AN998,'분류_규칙'!$A$5:$A$76,'분류_규칙'!$N$5:$N$76,0))</x:f>
        <x:v>0</x:v>
      </x:c>
      <x:c r="O998" s="10" t="n">
        <x:f>SUM(XLOOKUP('포켓몬_편집'!$AF998:$AN998,'분류_규칙'!$A$5:$A$76,'분류_규칙'!$O$5:$O$76,0))</x:f>
        <x:v>2</x:v>
      </x:c>
      <x:c r="P998" s="10" t="n">
        <x:f>SUM(XLOOKUP('포켓몬_편집'!$AF998:$AN998,'분류_규칙'!$A$5:$A$76,'분류_규칙'!$P$5:$P$76,0))</x:f>
        <x:v>0</x:v>
      </x:c>
    </x:row>
    <x:row r="999" ht="22" customHeight="1">
      <x:c r="A999" s="5" t="n">
        <x:v>995</x:v>
      </x:c>
      <x:c r="B999" s="5" t="inlineStr">
        <x:is>
          <x:t xml:space="preserve">무쇠가시</x:t>
        </x:is>
      </x:c>
      <x:c r="C999" s="5" t="inlineStr">
        <x:is>
          <x:t xml:space="preserve">ironthorns</x:t>
        </x:is>
      </x:c>
      <x:c r="D999" s="5" t="n">
        <x:v>9</x:v>
      </x:c>
      <x:c r="E999" s="10" t="n">
        <x:f>SUM(XLOOKUP('포켓몬_편집'!$AF999:$AN999,'분류_규칙'!$A$5:$A$76,'분류_규칙'!$E$5:$E$76,0))</x:f>
        <x:v>10</x:v>
      </x:c>
      <x:c r="F999" s="10" t="n">
        <x:f>SUM(XLOOKUP('포켓몬_편집'!$AF999:$AN999,'분류_규칙'!$A$5:$A$76,'분류_규칙'!$F$5:$F$76,0))</x:f>
        <x:v>7</x:v>
      </x:c>
      <x:c r="G999" s="10" t="n">
        <x:f>SUM(XLOOKUP('포켓몬_편집'!$AF999:$AN999,'분류_규칙'!$A$5:$A$76,'분류_규칙'!$G$5:$G$76,0))</x:f>
        <x:v>5</x:v>
      </x:c>
      <x:c r="H999" s="10" t="n">
        <x:f>SUM(XLOOKUP('포켓몬_편집'!$AF999:$AN999,'분류_규칙'!$A$5:$A$76,'분류_규칙'!$H$5:$H$76,0))</x:f>
        <x:v>5</x:v>
      </x:c>
      <x:c r="I999" s="10" t="n">
        <x:f>SUM(XLOOKUP('포켓몬_편집'!$AF999:$AN999,'분류_규칙'!$A$5:$A$76,'분류_규칙'!$I$5:$I$76,0))</x:f>
        <x:v>0</x:v>
      </x:c>
      <x:c r="J999" s="10" t="n">
        <x:f>SUM(XLOOKUP('포켓몬_편집'!$AF999:$AN999,'분류_규칙'!$A$5:$A$76,'분류_규칙'!$J$5:$J$76,0))</x:f>
        <x:v>2</x:v>
      </x:c>
      <x:c r="K999" s="10" t="n">
        <x:f>SUM(XLOOKUP('포켓몬_편집'!$AF999:$AN999,'분류_규칙'!$A$5:$A$76,'분류_규칙'!$K$5:$K$76,0))</x:f>
        <x:v>0</x:v>
      </x:c>
      <x:c r="L999" s="10" t="n">
        <x:f>SUM(XLOOKUP('포켓몬_편집'!$AF999:$AN999,'분류_규칙'!$A$5:$A$76,'분류_규칙'!$L$5:$L$76,0))</x:f>
        <x:v>0</x:v>
      </x:c>
      <x:c r="M999" s="10" t="n">
        <x:f>SUM(XLOOKUP('포켓몬_편집'!$AF999:$AN999,'분류_규칙'!$A$5:$A$76,'분류_규칙'!$M$5:$M$76,0))</x:f>
        <x:v>0</x:v>
      </x:c>
      <x:c r="N999" s="10" t="n">
        <x:f>SUM(XLOOKUP('포켓몬_편집'!$AF999:$AN999,'분류_규칙'!$A$5:$A$76,'분류_규칙'!$N$5:$N$76,0))</x:f>
        <x:v>0</x:v>
      </x:c>
      <x:c r="O999" s="10" t="n">
        <x:f>SUM(XLOOKUP('포켓몬_편집'!$AF999:$AN999,'분류_규칙'!$A$5:$A$76,'분류_규칙'!$O$5:$O$76,0))</x:f>
        <x:v>2</x:v>
      </x:c>
      <x:c r="P999" s="10" t="n">
        <x:f>SUM(XLOOKUP('포켓몬_편집'!$AF999:$AN999,'분류_규칙'!$A$5:$A$76,'분류_규칙'!$P$5:$P$76,0))</x:f>
        <x:v>0</x:v>
      </x:c>
    </x:row>
    <x:row r="1000" ht="22" customHeight="1">
      <x:c r="A1000" s="5" t="n">
        <x:v>996</x:v>
      </x:c>
      <x:c r="B1000" s="5" t="inlineStr">
        <x:is>
          <x:t xml:space="preserve">드니차</x:t>
        </x:is>
      </x:c>
      <x:c r="C1000" s="5" t="inlineStr">
        <x:is>
          <x:t xml:space="preserve">frigibax</x:t>
        </x:is>
      </x:c>
      <x:c r="D1000" s="5" t="n">
        <x:v>9</x:v>
      </x:c>
      <x:c r="E1000" s="10" t="n">
        <x:f>SUM(XLOOKUP('포켓몬_편집'!$AF1000:$AN1000,'분류_규칙'!$A$5:$A$76,'분류_규칙'!$E$5:$E$76,0))</x:f>
        <x:v>10</x:v>
      </x:c>
      <x:c r="F1000" s="10" t="n">
        <x:f>SUM(XLOOKUP('포켓몬_편집'!$AF1000:$AN1000,'분류_규칙'!$A$5:$A$76,'분류_규칙'!$F$5:$F$76,0))</x:f>
        <x:v>7</x:v>
      </x:c>
      <x:c r="G1000" s="10" t="n">
        <x:f>SUM(XLOOKUP('포켓몬_편집'!$AF1000:$AN1000,'분류_규칙'!$A$5:$A$76,'분류_규칙'!$G$5:$G$76,0))</x:f>
        <x:v>5</x:v>
      </x:c>
      <x:c r="H1000" s="10" t="n">
        <x:f>SUM(XLOOKUP('포켓몬_편집'!$AF1000:$AN1000,'분류_규칙'!$A$5:$A$76,'분류_규칙'!$H$5:$H$76,0))</x:f>
        <x:v>5</x:v>
      </x:c>
      <x:c r="I1000" s="10" t="n">
        <x:f>SUM(XLOOKUP('포켓몬_편집'!$AF1000:$AN1000,'분류_규칙'!$A$5:$A$76,'분류_규칙'!$I$5:$I$76,0))</x:f>
        <x:v>0</x:v>
      </x:c>
      <x:c r="J1000" s="10" t="n">
        <x:f>SUM(XLOOKUP('포켓몬_편집'!$AF1000:$AN1000,'분류_규칙'!$A$5:$A$76,'분류_규칙'!$J$5:$J$76,0))</x:f>
        <x:v>2</x:v>
      </x:c>
      <x:c r="K1000" s="10" t="n">
        <x:f>SUM(XLOOKUP('포켓몬_편집'!$AF1000:$AN1000,'분류_규칙'!$A$5:$A$76,'분류_규칙'!$K$5:$K$76,0))</x:f>
        <x:v>0</x:v>
      </x:c>
      <x:c r="L1000" s="10" t="n">
        <x:f>SUM(XLOOKUP('포켓몬_편집'!$AF1000:$AN1000,'분류_규칙'!$A$5:$A$76,'분류_규칙'!$L$5:$L$76,0))</x:f>
        <x:v>0</x:v>
      </x:c>
      <x:c r="M1000" s="10" t="n">
        <x:f>SUM(XLOOKUP('포켓몬_편집'!$AF1000:$AN1000,'분류_규칙'!$A$5:$A$76,'분류_규칙'!$M$5:$M$76,0))</x:f>
        <x:v>0</x:v>
      </x:c>
      <x:c r="N1000" s="10" t="n">
        <x:f>SUM(XLOOKUP('포켓몬_편집'!$AF1000:$AN1000,'분류_규칙'!$A$5:$A$76,'분류_규칙'!$N$5:$N$76,0))</x:f>
        <x:v>0</x:v>
      </x:c>
      <x:c r="O1000" s="10" t="n">
        <x:f>SUM(XLOOKUP('포켓몬_편집'!$AF1000:$AN1000,'분류_규칙'!$A$5:$A$76,'분류_규칙'!$O$5:$O$76,0))</x:f>
        <x:v>2</x:v>
      </x:c>
      <x:c r="P1000" s="10" t="n">
        <x:f>SUM(XLOOKUP('포켓몬_편집'!$AF1000:$AN1000,'분류_규칙'!$A$5:$A$76,'분류_규칙'!$P$5:$P$76,0))</x:f>
        <x:v>0</x:v>
      </x:c>
    </x:row>
    <x:row r="1001" ht="22" customHeight="1">
      <x:c r="A1001" s="5" t="n">
        <x:v>997</x:v>
      </x:c>
      <x:c r="B1001" s="5" t="inlineStr">
        <x:is>
          <x:t xml:space="preserve">드니꽁</x:t>
        </x:is>
      </x:c>
      <x:c r="C1001" s="5" t="inlineStr">
        <x:is>
          <x:t xml:space="preserve">arctibax</x:t>
        </x:is>
      </x:c>
      <x:c r="D1001" s="5" t="n">
        <x:v>9</x:v>
      </x:c>
      <x:c r="E1001" s="10" t="n">
        <x:f>SUM(XLOOKUP('포켓몬_편집'!$AF1001:$AN1001,'분류_규칙'!$A$5:$A$76,'분류_규칙'!$E$5:$E$76,0))</x:f>
        <x:v>10</x:v>
      </x:c>
      <x:c r="F1001" s="10" t="n">
        <x:f>SUM(XLOOKUP('포켓몬_편집'!$AF1001:$AN1001,'분류_규칙'!$A$5:$A$76,'분류_규칙'!$F$5:$F$76,0))</x:f>
        <x:v>7</x:v>
      </x:c>
      <x:c r="G1001" s="10" t="n">
        <x:f>SUM(XLOOKUP('포켓몬_편집'!$AF1001:$AN1001,'분류_규칙'!$A$5:$A$76,'분류_규칙'!$G$5:$G$76,0))</x:f>
        <x:v>5</x:v>
      </x:c>
      <x:c r="H1001" s="10" t="n">
        <x:f>SUM(XLOOKUP('포켓몬_편집'!$AF1001:$AN1001,'분류_규칙'!$A$5:$A$76,'분류_규칙'!$H$5:$H$76,0))</x:f>
        <x:v>5</x:v>
      </x:c>
      <x:c r="I1001" s="10" t="n">
        <x:f>SUM(XLOOKUP('포켓몬_편집'!$AF1001:$AN1001,'분류_규칙'!$A$5:$A$76,'분류_규칙'!$I$5:$I$76,0))</x:f>
        <x:v>0</x:v>
      </x:c>
      <x:c r="J1001" s="10" t="n">
        <x:f>SUM(XLOOKUP('포켓몬_편집'!$AF1001:$AN1001,'분류_규칙'!$A$5:$A$76,'분류_규칙'!$J$5:$J$76,0))</x:f>
        <x:v>2</x:v>
      </x:c>
      <x:c r="K1001" s="10" t="n">
        <x:f>SUM(XLOOKUP('포켓몬_편집'!$AF1001:$AN1001,'분류_규칙'!$A$5:$A$76,'분류_규칙'!$K$5:$K$76,0))</x:f>
        <x:v>0</x:v>
      </x:c>
      <x:c r="L1001" s="10" t="n">
        <x:f>SUM(XLOOKUP('포켓몬_편집'!$AF1001:$AN1001,'분류_규칙'!$A$5:$A$76,'분류_규칙'!$L$5:$L$76,0))</x:f>
        <x:v>0</x:v>
      </x:c>
      <x:c r="M1001" s="10" t="n">
        <x:f>SUM(XLOOKUP('포켓몬_편집'!$AF1001:$AN1001,'분류_규칙'!$A$5:$A$76,'분류_규칙'!$M$5:$M$76,0))</x:f>
        <x:v>0</x:v>
      </x:c>
      <x:c r="N1001" s="10" t="n">
        <x:f>SUM(XLOOKUP('포켓몬_편집'!$AF1001:$AN1001,'분류_규칙'!$A$5:$A$76,'분류_규칙'!$N$5:$N$76,0))</x:f>
        <x:v>0</x:v>
      </x:c>
      <x:c r="O1001" s="10" t="n">
        <x:f>SUM(XLOOKUP('포켓몬_편집'!$AF1001:$AN1001,'분류_규칙'!$A$5:$A$76,'분류_규칙'!$O$5:$O$76,0))</x:f>
        <x:v>2</x:v>
      </x:c>
      <x:c r="P1001" s="10" t="n">
        <x:f>SUM(XLOOKUP('포켓몬_편집'!$AF1001:$AN1001,'분류_규칙'!$A$5:$A$76,'분류_규칙'!$P$5:$P$76,0))</x:f>
        <x:v>0</x:v>
      </x:c>
    </x:row>
    <x:row r="1002" ht="22" customHeight="1">
      <x:c r="A1002" s="5" t="n">
        <x:v>998</x:v>
      </x:c>
      <x:c r="B1002" s="5" t="inlineStr">
        <x:is>
          <x:t xml:space="preserve">드닐레이브</x:t>
        </x:is>
      </x:c>
      <x:c r="C1002" s="5" t="inlineStr">
        <x:is>
          <x:t xml:space="preserve">baxcalibur</x:t>
        </x:is>
      </x:c>
      <x:c r="D1002" s="5" t="n">
        <x:v>9</x:v>
      </x:c>
      <x:c r="E1002" s="10" t="n">
        <x:f>SUM(XLOOKUP('포켓몬_편집'!$AF1002:$AN1002,'분류_규칙'!$A$5:$A$76,'분류_규칙'!$E$5:$E$76,0))</x:f>
        <x:v>10</x:v>
      </x:c>
      <x:c r="F1002" s="10" t="n">
        <x:f>SUM(XLOOKUP('포켓몬_편집'!$AF1002:$AN1002,'분류_규칙'!$A$5:$A$76,'분류_규칙'!$F$5:$F$76,0))</x:f>
        <x:v>7</x:v>
      </x:c>
      <x:c r="G1002" s="10" t="n">
        <x:f>SUM(XLOOKUP('포켓몬_편집'!$AF1002:$AN1002,'분류_규칙'!$A$5:$A$76,'분류_규칙'!$G$5:$G$76,0))</x:f>
        <x:v>5</x:v>
      </x:c>
      <x:c r="H1002" s="10" t="n">
        <x:f>SUM(XLOOKUP('포켓몬_편집'!$AF1002:$AN1002,'분류_규칙'!$A$5:$A$76,'분류_규칙'!$H$5:$H$76,0))</x:f>
        <x:v>5</x:v>
      </x:c>
      <x:c r="I1002" s="10" t="n">
        <x:f>SUM(XLOOKUP('포켓몬_편집'!$AF1002:$AN1002,'분류_규칙'!$A$5:$A$76,'분류_규칙'!$I$5:$I$76,0))</x:f>
        <x:v>0</x:v>
      </x:c>
      <x:c r="J1002" s="10" t="n">
        <x:f>SUM(XLOOKUP('포켓몬_편집'!$AF1002:$AN1002,'분류_규칙'!$A$5:$A$76,'분류_규칙'!$J$5:$J$76,0))</x:f>
        <x:v>2</x:v>
      </x:c>
      <x:c r="K1002" s="10" t="n">
        <x:f>SUM(XLOOKUP('포켓몬_편집'!$AF1002:$AN1002,'분류_규칙'!$A$5:$A$76,'분류_규칙'!$K$5:$K$76,0))</x:f>
        <x:v>0</x:v>
      </x:c>
      <x:c r="L1002" s="10" t="n">
        <x:f>SUM(XLOOKUP('포켓몬_편집'!$AF1002:$AN1002,'분류_규칙'!$A$5:$A$76,'분류_규칙'!$L$5:$L$76,0))</x:f>
        <x:v>0</x:v>
      </x:c>
      <x:c r="M1002" s="10" t="n">
        <x:f>SUM(XLOOKUP('포켓몬_편집'!$AF1002:$AN1002,'분류_규칙'!$A$5:$A$76,'분류_규칙'!$M$5:$M$76,0))</x:f>
        <x:v>0</x:v>
      </x:c>
      <x:c r="N1002" s="10" t="n">
        <x:f>SUM(XLOOKUP('포켓몬_편집'!$AF1002:$AN1002,'분류_규칙'!$A$5:$A$76,'분류_규칙'!$N$5:$N$76,0))</x:f>
        <x:v>0</x:v>
      </x:c>
      <x:c r="O1002" s="10" t="n">
        <x:f>SUM(XLOOKUP('포켓몬_편집'!$AF1002:$AN1002,'분류_규칙'!$A$5:$A$76,'분류_규칙'!$O$5:$O$76,0))</x:f>
        <x:v>2</x:v>
      </x:c>
      <x:c r="P1002" s="10" t="n">
        <x:f>SUM(XLOOKUP('포켓몬_편집'!$AF1002:$AN1002,'분류_규칙'!$A$5:$A$76,'분류_규칙'!$P$5:$P$76,0))</x:f>
        <x:v>0</x:v>
      </x:c>
    </x:row>
    <x:row r="1003" ht="22" customHeight="1">
      <x:c r="A1003" s="5" t="n">
        <x:v>999</x:v>
      </x:c>
      <x:c r="B1003" s="5" t="inlineStr">
        <x:is>
          <x:t xml:space="preserve">모으령</x:t>
        </x:is>
      </x:c>
      <x:c r="C1003" s="5" t="inlineStr">
        <x:is>
          <x:t xml:space="preserve">gimmighoul</x:t>
        </x:is>
      </x:c>
      <x:c r="D1003" s="5" t="n">
        <x:v>9</x:v>
      </x:c>
      <x:c r="E1003" s="10" t="n">
        <x:f>SUM(XLOOKUP('포켓몬_편집'!$AF1003:$AN1003,'분류_규칙'!$A$5:$A$76,'분류_규칙'!$E$5:$E$76,0))</x:f>
        <x:v>0</x:v>
      </x:c>
      <x:c r="F1003" s="10" t="n">
        <x:f>SUM(XLOOKUP('포켓몬_편집'!$AF1003:$AN1003,'분류_규칙'!$A$5:$A$76,'분류_규칙'!$F$5:$F$76,0))</x:f>
        <x:v>0</x:v>
      </x:c>
      <x:c r="G1003" s="10" t="n">
        <x:f>SUM(XLOOKUP('포켓몬_편집'!$AF1003:$AN1003,'분류_규칙'!$A$5:$A$76,'분류_규칙'!$G$5:$G$76,0))</x:f>
        <x:v>0</x:v>
      </x:c>
      <x:c r="H1003" s="10" t="n">
        <x:f>SUM(XLOOKUP('포켓몬_편집'!$AF1003:$AN1003,'분류_규칙'!$A$5:$A$76,'분류_규칙'!$H$5:$H$76,0))</x:f>
        <x:v>0</x:v>
      </x:c>
      <x:c r="I1003" s="10" t="n">
        <x:f>SUM(XLOOKUP('포켓몬_편집'!$AF1003:$AN1003,'분류_규칙'!$A$5:$A$76,'분류_규칙'!$I$5:$I$76,0))</x:f>
        <x:v>10</x:v>
      </x:c>
      <x:c r="J1003" s="10" t="n">
        <x:f>SUM(XLOOKUP('포켓몬_편집'!$AF1003:$AN1003,'분류_규칙'!$A$5:$A$76,'분류_규칙'!$J$5:$J$76,0))</x:f>
        <x:v>0</x:v>
      </x:c>
      <x:c r="K1003" s="10" t="n">
        <x:f>SUM(XLOOKUP('포켓몬_편집'!$AF1003:$AN1003,'분류_규칙'!$A$5:$A$76,'분류_규칙'!$K$5:$K$76,0))</x:f>
        <x:v>0</x:v>
      </x:c>
      <x:c r="L1003" s="10" t="n">
        <x:f>SUM(XLOOKUP('포켓몬_편집'!$AF1003:$AN1003,'분류_규칙'!$A$5:$A$76,'분류_규칙'!$L$5:$L$76,0))</x:f>
        <x:v>0</x:v>
      </x:c>
      <x:c r="M1003" s="10" t="n">
        <x:f>SUM(XLOOKUP('포켓몬_편집'!$AF1003:$AN1003,'분류_규칙'!$A$5:$A$76,'분류_규칙'!$M$5:$M$76,0))</x:f>
        <x:v>0</x:v>
      </x:c>
      <x:c r="N1003" s="10" t="n">
        <x:f>SUM(XLOOKUP('포켓몬_편집'!$AF1003:$AN1003,'분류_규칙'!$A$5:$A$76,'분류_규칙'!$N$5:$N$76,0))</x:f>
        <x:v>0</x:v>
      </x:c>
      <x:c r="O1003" s="10" t="n">
        <x:f>SUM(XLOOKUP('포켓몬_편집'!$AF1003:$AN1003,'분류_규칙'!$A$5:$A$76,'분류_규칙'!$O$5:$O$76,0))</x:f>
        <x:v>5</x:v>
      </x:c>
      <x:c r="P1003" s="10" t="n">
        <x:f>SUM(XLOOKUP('포켓몬_편집'!$AF1003:$AN1003,'분류_규칙'!$A$5:$A$76,'분류_규칙'!$P$5:$P$76,0))</x:f>
        <x:v>25</x:v>
      </x:c>
    </x:row>
    <x:row r="1004" ht="22" customHeight="1">
      <x:c r="A1004" s="5" t="n">
        <x:v>1000</x:v>
      </x:c>
      <x:c r="B1004" s="5" t="inlineStr">
        <x:is>
          <x:t xml:space="preserve">타부자고</x:t>
        </x:is>
      </x:c>
      <x:c r="C1004" s="5" t="inlineStr">
        <x:is>
          <x:t xml:space="preserve">gholdengo</x:t>
        </x:is>
      </x:c>
      <x:c r="D1004" s="5" t="n">
        <x:v>9</x:v>
      </x:c>
      <x:c r="E1004" s="10" t="n">
        <x:f>SUM(XLOOKUP('포켓몬_편집'!$AF1004:$AN1004,'분류_규칙'!$A$5:$A$76,'분류_규칙'!$E$5:$E$76,0))</x:f>
        <x:v>0</x:v>
      </x:c>
      <x:c r="F1004" s="10" t="n">
        <x:f>SUM(XLOOKUP('포켓몬_편집'!$AF1004:$AN1004,'분류_규칙'!$A$5:$A$76,'분류_규칙'!$F$5:$F$76,0))</x:f>
        <x:v>0</x:v>
      </x:c>
      <x:c r="G1004" s="10" t="n">
        <x:f>SUM(XLOOKUP('포켓몬_편집'!$AF1004:$AN1004,'분류_규칙'!$A$5:$A$76,'분류_규칙'!$G$5:$G$76,0))</x:f>
        <x:v>0</x:v>
      </x:c>
      <x:c r="H1004" s="10" t="n">
        <x:f>SUM(XLOOKUP('포켓몬_편집'!$AF1004:$AN1004,'분류_규칙'!$A$5:$A$76,'분류_규칙'!$H$5:$H$76,0))</x:f>
        <x:v>0</x:v>
      </x:c>
      <x:c r="I1004" s="10" t="n">
        <x:f>SUM(XLOOKUP('포켓몬_편집'!$AF1004:$AN1004,'분류_규칙'!$A$5:$A$76,'분류_규칙'!$I$5:$I$76,0))</x:f>
        <x:v>0</x:v>
      </x:c>
      <x:c r="J1004" s="10" t="n">
        <x:f>SUM(XLOOKUP('포켓몬_편집'!$AF1004:$AN1004,'분류_규칙'!$A$5:$A$76,'분류_규칙'!$J$5:$J$76,0))</x:f>
        <x:v>0</x:v>
      </x:c>
      <x:c r="K1004" s="10" t="n">
        <x:f>SUM(XLOOKUP('포켓몬_편집'!$AF1004:$AN1004,'분류_규칙'!$A$5:$A$76,'분류_규칙'!$K$5:$K$76,0))</x:f>
        <x:v>0</x:v>
      </x:c>
      <x:c r="L1004" s="10" t="n">
        <x:f>SUM(XLOOKUP('포켓몬_편집'!$AF1004:$AN1004,'분류_규칙'!$A$5:$A$76,'분류_규칙'!$L$5:$L$76,0))</x:f>
        <x:v>0</x:v>
      </x:c>
      <x:c r="M1004" s="10" t="n">
        <x:f>SUM(XLOOKUP('포켓몬_편집'!$AF1004:$AN1004,'분류_규칙'!$A$5:$A$76,'분류_규칙'!$M$5:$M$76,0))</x:f>
        <x:v>0</x:v>
      </x:c>
      <x:c r="N1004" s="10" t="n">
        <x:f>SUM(XLOOKUP('포켓몬_편집'!$AF1004:$AN1004,'분류_규칙'!$A$5:$A$76,'분류_규칙'!$N$5:$N$76,0))</x:f>
        <x:v>0</x:v>
      </x:c>
      <x:c r="O1004" s="10" t="n">
        <x:f>SUM(XLOOKUP('포켓몬_편집'!$AF1004:$AN1004,'분류_규칙'!$A$5:$A$76,'분류_규칙'!$O$5:$O$76,0))</x:f>
        <x:v>30</x:v>
      </x:c>
      <x:c r="P1004" s="10" t="n">
        <x:f>SUM(XLOOKUP('포켓몬_편집'!$AF1004:$AN1004,'분류_규칙'!$A$5:$A$76,'분류_규칙'!$P$5:$P$76,0))</x:f>
        <x:v>8</x:v>
      </x:c>
    </x:row>
    <x:row r="1005" ht="22" customHeight="1">
      <x:c r="A1005" s="5" t="n">
        <x:v>1001</x:v>
      </x:c>
      <x:c r="B1005" s="5" t="inlineStr">
        <x:is>
          <x:t xml:space="preserve">총지엔</x:t>
        </x:is>
      </x:c>
      <x:c r="C1005" s="5" t="inlineStr">
        <x:is>
          <x:t xml:space="preserve">wochien</x:t>
        </x:is>
      </x:c>
      <x:c r="D1005" s="5" t="n">
        <x:v>9</x:v>
      </x:c>
      <x:c r="E1005" s="10" t="n">
        <x:f>SUM(XLOOKUP('포켓몬_편집'!$AF1005:$AN1005,'분류_규칙'!$A$5:$A$76,'분류_규칙'!$E$5:$E$76,0))</x:f>
        <x:v>10</x:v>
      </x:c>
      <x:c r="F1005" s="10" t="n">
        <x:f>SUM(XLOOKUP('포켓몬_편집'!$AF1005:$AN1005,'분류_규칙'!$A$5:$A$76,'분류_규칙'!$F$5:$F$76,0))</x:f>
        <x:v>7</x:v>
      </x:c>
      <x:c r="G1005" s="10" t="n">
        <x:f>SUM(XLOOKUP('포켓몬_편집'!$AF1005:$AN1005,'분류_규칙'!$A$5:$A$76,'분류_규칙'!$G$5:$G$76,0))</x:f>
        <x:v>5</x:v>
      </x:c>
      <x:c r="H1005" s="10" t="n">
        <x:f>SUM(XLOOKUP('포켓몬_편집'!$AF1005:$AN1005,'분류_규칙'!$A$5:$A$76,'분류_규칙'!$H$5:$H$76,0))</x:f>
        <x:v>5</x:v>
      </x:c>
      <x:c r="I1005" s="10" t="n">
        <x:f>SUM(XLOOKUP('포켓몬_편집'!$AF1005:$AN1005,'분류_규칙'!$A$5:$A$76,'분류_규칙'!$I$5:$I$76,0))</x:f>
        <x:v>0</x:v>
      </x:c>
      <x:c r="J1005" s="10" t="n">
        <x:f>SUM(XLOOKUP('포켓몬_편집'!$AF1005:$AN1005,'분류_규칙'!$A$5:$A$76,'분류_규칙'!$J$5:$J$76,0))</x:f>
        <x:v>2</x:v>
      </x:c>
      <x:c r="K1005" s="10" t="n">
        <x:f>SUM(XLOOKUP('포켓몬_편집'!$AF1005:$AN1005,'분류_규칙'!$A$5:$A$76,'분류_규칙'!$K$5:$K$76,0))</x:f>
        <x:v>0</x:v>
      </x:c>
      <x:c r="L1005" s="10" t="n">
        <x:f>SUM(XLOOKUP('포켓몬_편집'!$AF1005:$AN1005,'분류_규칙'!$A$5:$A$76,'분류_규칙'!$L$5:$L$76,0))</x:f>
        <x:v>0</x:v>
      </x:c>
      <x:c r="M1005" s="10" t="n">
        <x:f>SUM(XLOOKUP('포켓몬_편집'!$AF1005:$AN1005,'분류_규칙'!$A$5:$A$76,'분류_규칙'!$M$5:$M$76,0))</x:f>
        <x:v>0</x:v>
      </x:c>
      <x:c r="N1005" s="10" t="n">
        <x:f>SUM(XLOOKUP('포켓몬_편집'!$AF1005:$AN1005,'분류_규칙'!$A$5:$A$76,'분류_규칙'!$N$5:$N$76,0))</x:f>
        <x:v>0</x:v>
      </x:c>
      <x:c r="O1005" s="10" t="n">
        <x:f>SUM(XLOOKUP('포켓몬_편집'!$AF1005:$AN1005,'분류_규칙'!$A$5:$A$76,'분류_규칙'!$O$5:$O$76,0))</x:f>
        <x:v>2</x:v>
      </x:c>
      <x:c r="P1005" s="10" t="n">
        <x:f>SUM(XLOOKUP('포켓몬_편집'!$AF1005:$AN1005,'분류_규칙'!$A$5:$A$76,'분류_규칙'!$P$5:$P$76,0))</x:f>
        <x:v>0</x:v>
      </x:c>
    </x:row>
    <x:row r="1006" ht="22" customHeight="1">
      <x:c r="A1006" s="5" t="n">
        <x:v>1002</x:v>
      </x:c>
      <x:c r="B1006" s="5" t="inlineStr">
        <x:is>
          <x:t xml:space="preserve">파오젠</x:t>
        </x:is>
      </x:c>
      <x:c r="C1006" s="5" t="inlineStr">
        <x:is>
          <x:t xml:space="preserve">chienpao</x:t>
        </x:is>
      </x:c>
      <x:c r="D1006" s="5" t="n">
        <x:v>9</x:v>
      </x:c>
      <x:c r="E1006" s="10" t="n">
        <x:f>SUM(XLOOKUP('포켓몬_편집'!$AF1006:$AN1006,'분류_규칙'!$A$5:$A$76,'분류_규칙'!$E$5:$E$76,0))</x:f>
        <x:v>10</x:v>
      </x:c>
      <x:c r="F1006" s="10" t="n">
        <x:f>SUM(XLOOKUP('포켓몬_편집'!$AF1006:$AN1006,'분류_규칙'!$A$5:$A$76,'분류_규칙'!$F$5:$F$76,0))</x:f>
        <x:v>7</x:v>
      </x:c>
      <x:c r="G1006" s="10" t="n">
        <x:f>SUM(XLOOKUP('포켓몬_편집'!$AF1006:$AN1006,'분류_규칙'!$A$5:$A$76,'분류_규칙'!$G$5:$G$76,0))</x:f>
        <x:v>5</x:v>
      </x:c>
      <x:c r="H1006" s="10" t="n">
        <x:f>SUM(XLOOKUP('포켓몬_편집'!$AF1006:$AN1006,'분류_규칙'!$A$5:$A$76,'분류_규칙'!$H$5:$H$76,0))</x:f>
        <x:v>5</x:v>
      </x:c>
      <x:c r="I1006" s="10" t="n">
        <x:f>SUM(XLOOKUP('포켓몬_편집'!$AF1006:$AN1006,'분류_규칙'!$A$5:$A$76,'분류_규칙'!$I$5:$I$76,0))</x:f>
        <x:v>0</x:v>
      </x:c>
      <x:c r="J1006" s="10" t="n">
        <x:f>SUM(XLOOKUP('포켓몬_편집'!$AF1006:$AN1006,'분류_규칙'!$A$5:$A$76,'분류_규칙'!$J$5:$J$76,0))</x:f>
        <x:v>2</x:v>
      </x:c>
      <x:c r="K1006" s="10" t="n">
        <x:f>SUM(XLOOKUP('포켓몬_편집'!$AF1006:$AN1006,'분류_규칙'!$A$5:$A$76,'분류_규칙'!$K$5:$K$76,0))</x:f>
        <x:v>0</x:v>
      </x:c>
      <x:c r="L1006" s="10" t="n">
        <x:f>SUM(XLOOKUP('포켓몬_편집'!$AF1006:$AN1006,'분류_규칙'!$A$5:$A$76,'분류_규칙'!$L$5:$L$76,0))</x:f>
        <x:v>0</x:v>
      </x:c>
      <x:c r="M1006" s="10" t="n">
        <x:f>SUM(XLOOKUP('포켓몬_편집'!$AF1006:$AN1006,'분류_규칙'!$A$5:$A$76,'분류_규칙'!$M$5:$M$76,0))</x:f>
        <x:v>0</x:v>
      </x:c>
      <x:c r="N1006" s="10" t="n">
        <x:f>SUM(XLOOKUP('포켓몬_편집'!$AF1006:$AN1006,'분류_규칙'!$A$5:$A$76,'분류_규칙'!$N$5:$N$76,0))</x:f>
        <x:v>0</x:v>
      </x:c>
      <x:c r="O1006" s="10" t="n">
        <x:f>SUM(XLOOKUP('포켓몬_편집'!$AF1006:$AN1006,'분류_규칙'!$A$5:$A$76,'분류_규칙'!$O$5:$O$76,0))</x:f>
        <x:v>2</x:v>
      </x:c>
      <x:c r="P1006" s="10" t="n">
        <x:f>SUM(XLOOKUP('포켓몬_편집'!$AF1006:$AN1006,'분류_규칙'!$A$5:$A$76,'분류_규칙'!$P$5:$P$76,0))</x:f>
        <x:v>0</x:v>
      </x:c>
    </x:row>
    <x:row r="1007" ht="22" customHeight="1">
      <x:c r="A1007" s="5" t="n">
        <x:v>1003</x:v>
      </x:c>
      <x:c r="B1007" s="5" t="inlineStr">
        <x:is>
          <x:t xml:space="preserve">딩루</x:t>
        </x:is>
      </x:c>
      <x:c r="C1007" s="5" t="inlineStr">
        <x:is>
          <x:t xml:space="preserve">tinglu</x:t>
        </x:is>
      </x:c>
      <x:c r="D1007" s="5" t="n">
        <x:v>9</x:v>
      </x:c>
      <x:c r="E1007" s="10" t="n">
        <x:f>SUM(XLOOKUP('포켓몬_편집'!$AF1007:$AN1007,'분류_규칙'!$A$5:$A$76,'분류_규칙'!$E$5:$E$76,0))</x:f>
        <x:v>10</x:v>
      </x:c>
      <x:c r="F1007" s="10" t="n">
        <x:f>SUM(XLOOKUP('포켓몬_편집'!$AF1007:$AN1007,'분류_규칙'!$A$5:$A$76,'분류_규칙'!$F$5:$F$76,0))</x:f>
        <x:v>7</x:v>
      </x:c>
      <x:c r="G1007" s="10" t="n">
        <x:f>SUM(XLOOKUP('포켓몬_편집'!$AF1007:$AN1007,'분류_규칙'!$A$5:$A$76,'분류_규칙'!$G$5:$G$76,0))</x:f>
        <x:v>5</x:v>
      </x:c>
      <x:c r="H1007" s="10" t="n">
        <x:f>SUM(XLOOKUP('포켓몬_편집'!$AF1007:$AN1007,'분류_규칙'!$A$5:$A$76,'분류_규칙'!$H$5:$H$76,0))</x:f>
        <x:v>5</x:v>
      </x:c>
      <x:c r="I1007" s="10" t="n">
        <x:f>SUM(XLOOKUP('포켓몬_편집'!$AF1007:$AN1007,'분류_규칙'!$A$5:$A$76,'분류_규칙'!$I$5:$I$76,0))</x:f>
        <x:v>0</x:v>
      </x:c>
      <x:c r="J1007" s="10" t="n">
        <x:f>SUM(XLOOKUP('포켓몬_편집'!$AF1007:$AN1007,'분류_규칙'!$A$5:$A$76,'분류_규칙'!$J$5:$J$76,0))</x:f>
        <x:v>2</x:v>
      </x:c>
      <x:c r="K1007" s="10" t="n">
        <x:f>SUM(XLOOKUP('포켓몬_편집'!$AF1007:$AN1007,'분류_규칙'!$A$5:$A$76,'분류_규칙'!$K$5:$K$76,0))</x:f>
        <x:v>0</x:v>
      </x:c>
      <x:c r="L1007" s="10" t="n">
        <x:f>SUM(XLOOKUP('포켓몬_편집'!$AF1007:$AN1007,'분류_규칙'!$A$5:$A$76,'분류_규칙'!$L$5:$L$76,0))</x:f>
        <x:v>0</x:v>
      </x:c>
      <x:c r="M1007" s="10" t="n">
        <x:f>SUM(XLOOKUP('포켓몬_편집'!$AF1007:$AN1007,'분류_규칙'!$A$5:$A$76,'분류_규칙'!$M$5:$M$76,0))</x:f>
        <x:v>0</x:v>
      </x:c>
      <x:c r="N1007" s="10" t="n">
        <x:f>SUM(XLOOKUP('포켓몬_편집'!$AF1007:$AN1007,'분류_규칙'!$A$5:$A$76,'분류_규칙'!$N$5:$N$76,0))</x:f>
        <x:v>0</x:v>
      </x:c>
      <x:c r="O1007" s="10" t="n">
        <x:f>SUM(XLOOKUP('포켓몬_편집'!$AF1007:$AN1007,'분류_규칙'!$A$5:$A$76,'분류_규칙'!$O$5:$O$76,0))</x:f>
        <x:v>2</x:v>
      </x:c>
      <x:c r="P1007" s="10" t="n">
        <x:f>SUM(XLOOKUP('포켓몬_편집'!$AF1007:$AN1007,'분류_규칙'!$A$5:$A$76,'분류_규칙'!$P$5:$P$76,0))</x:f>
        <x:v>0</x:v>
      </x:c>
    </x:row>
    <x:row r="1008" ht="22" customHeight="1">
      <x:c r="A1008" s="5" t="n">
        <x:v>1004</x:v>
      </x:c>
      <x:c r="B1008" s="5" t="inlineStr">
        <x:is>
          <x:t xml:space="preserve">위유이</x:t>
        </x:is>
      </x:c>
      <x:c r="C1008" s="5" t="inlineStr">
        <x:is>
          <x:t xml:space="preserve">chiyu</x:t>
        </x:is>
      </x:c>
      <x:c r="D1008" s="5" t="n">
        <x:v>9</x:v>
      </x:c>
      <x:c r="E1008" s="10" t="n">
        <x:f>SUM(XLOOKUP('포켓몬_편집'!$AF1008:$AN1008,'분류_규칙'!$A$5:$A$76,'분류_규칙'!$E$5:$E$76,0))</x:f>
        <x:v>8</x:v>
      </x:c>
      <x:c r="F1008" s="10" t="n">
        <x:f>SUM(XLOOKUP('포켓몬_편집'!$AF1008:$AN1008,'분류_규칙'!$A$5:$A$76,'분류_규칙'!$F$5:$F$76,0))</x:f>
        <x:v>8</x:v>
      </x:c>
      <x:c r="G1008" s="10" t="n">
        <x:f>SUM(XLOOKUP('포켓몬_편집'!$AF1008:$AN1008,'분류_규칙'!$A$5:$A$76,'분류_규칙'!$G$5:$G$76,0))</x:f>
        <x:v>0</x:v>
      </x:c>
      <x:c r="H1008" s="10" t="n">
        <x:f>SUM(XLOOKUP('포켓몬_편집'!$AF1008:$AN1008,'분류_규칙'!$A$5:$A$76,'분류_규칙'!$H$5:$H$76,0))</x:f>
        <x:v>12</x:v>
      </x:c>
      <x:c r="I1008" s="10" t="n">
        <x:f>SUM(XLOOKUP('포켓몬_편집'!$AF1008:$AN1008,'분류_규칙'!$A$5:$A$76,'분류_규칙'!$I$5:$I$76,0))</x:f>
        <x:v>0</x:v>
      </x:c>
      <x:c r="J1008" s="10" t="n">
        <x:f>SUM(XLOOKUP('포켓몬_편집'!$AF1008:$AN1008,'분류_규칙'!$A$5:$A$76,'분류_규칙'!$J$5:$J$76,0))</x:f>
        <x:v>0</x:v>
      </x:c>
      <x:c r="K1008" s="10" t="n">
        <x:f>SUM(XLOOKUP('포켓몬_편집'!$AF1008:$AN1008,'분류_규칙'!$A$5:$A$76,'분류_규칙'!$K$5:$K$76,0))</x:f>
        <x:v>0</x:v>
      </x:c>
      <x:c r="L1008" s="10" t="n">
        <x:f>SUM(XLOOKUP('포켓몬_편집'!$AF1008:$AN1008,'분류_규칙'!$A$5:$A$76,'분류_규칙'!$L$5:$L$76,0))</x:f>
        <x:v>3</x:v>
      </x:c>
      <x:c r="M1008" s="10" t="n">
        <x:f>SUM(XLOOKUP('포켓몬_편집'!$AF1008:$AN1008,'분류_규칙'!$A$5:$A$76,'분류_규칙'!$M$5:$M$76,0))</x:f>
        <x:v>0</x:v>
      </x:c>
      <x:c r="N1008" s="10" t="n">
        <x:f>SUM(XLOOKUP('포켓몬_편집'!$AF1008:$AN1008,'분류_규칙'!$A$5:$A$76,'분류_규칙'!$N$5:$N$76,0))</x:f>
        <x:v>0</x:v>
      </x:c>
      <x:c r="O1008" s="10" t="n">
        <x:f>SUM(XLOOKUP('포켓몬_편집'!$AF1008:$AN1008,'분류_규칙'!$A$5:$A$76,'분류_규칙'!$O$5:$O$76,0))</x:f>
        <x:v>2</x:v>
      </x:c>
      <x:c r="P1008" s="10" t="n">
        <x:f>SUM(XLOOKUP('포켓몬_편집'!$AF1008:$AN1008,'분류_규칙'!$A$5:$A$76,'분류_규칙'!$P$5:$P$76,0))</x:f>
        <x:v>0</x:v>
      </x:c>
    </x:row>
    <x:row r="1009" ht="22" customHeight="1">
      <x:c r="A1009" s="5" t="n">
        <x:v>1005</x:v>
      </x:c>
      <x:c r="B1009" s="5" t="inlineStr">
        <x:is>
          <x:t xml:space="preserve">고동치는달</x:t>
        </x:is>
      </x:c>
      <x:c r="C1009" s="5" t="inlineStr">
        <x:is>
          <x:t xml:space="preserve">roaringmoon</x:t>
        </x:is>
      </x:c>
      <x:c r="D1009" s="5" t="n">
        <x:v>9</x:v>
      </x:c>
      <x:c r="E1009" s="10" t="n">
        <x:f>SUM(XLOOKUP('포켓몬_편집'!$AF1009:$AN1009,'분류_규칙'!$A$5:$A$76,'분류_규칙'!$E$5:$E$76,0))</x:f>
        <x:v>8</x:v>
      </x:c>
      <x:c r="F1009" s="10" t="n">
        <x:f>SUM(XLOOKUP('포켓몬_편집'!$AF1009:$AN1009,'분류_규칙'!$A$5:$A$76,'분류_규칙'!$F$5:$F$76,0))</x:f>
        <x:v>8</x:v>
      </x:c>
      <x:c r="G1009" s="10" t="n">
        <x:f>SUM(XLOOKUP('포켓몬_편집'!$AF1009:$AN1009,'분류_규칙'!$A$5:$A$76,'분류_규칙'!$G$5:$G$76,0))</x:f>
        <x:v>0</x:v>
      </x:c>
      <x:c r="H1009" s="10" t="n">
        <x:f>SUM(XLOOKUP('포켓몬_편집'!$AF1009:$AN1009,'분류_규칙'!$A$5:$A$76,'분류_규칙'!$H$5:$H$76,0))</x:f>
        <x:v>12</x:v>
      </x:c>
      <x:c r="I1009" s="10" t="n">
        <x:f>SUM(XLOOKUP('포켓몬_편집'!$AF1009:$AN1009,'분류_규칙'!$A$5:$A$76,'분류_규칙'!$I$5:$I$76,0))</x:f>
        <x:v>0</x:v>
      </x:c>
      <x:c r="J1009" s="10" t="n">
        <x:f>SUM(XLOOKUP('포켓몬_편집'!$AF1009:$AN1009,'분류_규칙'!$A$5:$A$76,'분류_규칙'!$J$5:$J$76,0))</x:f>
        <x:v>0</x:v>
      </x:c>
      <x:c r="K1009" s="10" t="n">
        <x:f>SUM(XLOOKUP('포켓몬_편집'!$AF1009:$AN1009,'분류_규칙'!$A$5:$A$76,'분류_규칙'!$K$5:$K$76,0))</x:f>
        <x:v>0</x:v>
      </x:c>
      <x:c r="L1009" s="10" t="n">
        <x:f>SUM(XLOOKUP('포켓몬_편집'!$AF1009:$AN1009,'분류_규칙'!$A$5:$A$76,'분류_규칙'!$L$5:$L$76,0))</x:f>
        <x:v>3</x:v>
      </x:c>
      <x:c r="M1009" s="10" t="n">
        <x:f>SUM(XLOOKUP('포켓몬_편집'!$AF1009:$AN1009,'분류_규칙'!$A$5:$A$76,'분류_규칙'!$M$5:$M$76,0))</x:f>
        <x:v>0</x:v>
      </x:c>
      <x:c r="N1009" s="10" t="n">
        <x:f>SUM(XLOOKUP('포켓몬_편집'!$AF1009:$AN1009,'분류_규칙'!$A$5:$A$76,'분류_규칙'!$N$5:$N$76,0))</x:f>
        <x:v>0</x:v>
      </x:c>
      <x:c r="O1009" s="10" t="n">
        <x:f>SUM(XLOOKUP('포켓몬_편집'!$AF1009:$AN1009,'분류_규칙'!$A$5:$A$76,'분류_규칙'!$O$5:$O$76,0))</x:f>
        <x:v>2</x:v>
      </x:c>
      <x:c r="P1009" s="10" t="n">
        <x:f>SUM(XLOOKUP('포켓몬_편집'!$AF1009:$AN1009,'분류_규칙'!$A$5:$A$76,'분류_규칙'!$P$5:$P$76,0))</x:f>
        <x:v>0</x:v>
      </x:c>
    </x:row>
    <x:row r="1010" ht="22" customHeight="1">
      <x:c r="A1010" s="5" t="n">
        <x:v>1006</x:v>
      </x:c>
      <x:c r="B1010" s="5" t="inlineStr">
        <x:is>
          <x:t xml:space="preserve">무쇠무인</x:t>
        </x:is>
      </x:c>
      <x:c r="C1010" s="5" t="inlineStr">
        <x:is>
          <x:t xml:space="preserve">ironvaliant</x:t>
        </x:is>
      </x:c>
      <x:c r="D1010" s="5" t="n">
        <x:v>9</x:v>
      </x:c>
      <x:c r="E1010" s="10" t="n">
        <x:f>SUM(XLOOKUP('포켓몬_편집'!$AF1010:$AN1010,'분류_규칙'!$A$5:$A$76,'분류_규칙'!$E$5:$E$76,0))</x:f>
        <x:v>10</x:v>
      </x:c>
      <x:c r="F1010" s="10" t="n">
        <x:f>SUM(XLOOKUP('포켓몬_편집'!$AF1010:$AN1010,'분류_규칙'!$A$5:$A$76,'분류_규칙'!$F$5:$F$76,0))</x:f>
        <x:v>7</x:v>
      </x:c>
      <x:c r="G1010" s="10" t="n">
        <x:f>SUM(XLOOKUP('포켓몬_편집'!$AF1010:$AN1010,'분류_규칙'!$A$5:$A$76,'분류_규칙'!$G$5:$G$76,0))</x:f>
        <x:v>5</x:v>
      </x:c>
      <x:c r="H1010" s="10" t="n">
        <x:f>SUM(XLOOKUP('포켓몬_편집'!$AF1010:$AN1010,'분류_규칙'!$A$5:$A$76,'분류_규칙'!$H$5:$H$76,0))</x:f>
        <x:v>5</x:v>
      </x:c>
      <x:c r="I1010" s="10" t="n">
        <x:f>SUM(XLOOKUP('포켓몬_편집'!$AF1010:$AN1010,'분류_규칙'!$A$5:$A$76,'분류_규칙'!$I$5:$I$76,0))</x:f>
        <x:v>0</x:v>
      </x:c>
      <x:c r="J1010" s="10" t="n">
        <x:f>SUM(XLOOKUP('포켓몬_편집'!$AF1010:$AN1010,'분류_규칙'!$A$5:$A$76,'분류_규칙'!$J$5:$J$76,0))</x:f>
        <x:v>2</x:v>
      </x:c>
      <x:c r="K1010" s="10" t="n">
        <x:f>SUM(XLOOKUP('포켓몬_편집'!$AF1010:$AN1010,'분류_규칙'!$A$5:$A$76,'분류_규칙'!$K$5:$K$76,0))</x:f>
        <x:v>0</x:v>
      </x:c>
      <x:c r="L1010" s="10" t="n">
        <x:f>SUM(XLOOKUP('포켓몬_편집'!$AF1010:$AN1010,'분류_규칙'!$A$5:$A$76,'분류_규칙'!$L$5:$L$76,0))</x:f>
        <x:v>0</x:v>
      </x:c>
      <x:c r="M1010" s="10" t="n">
        <x:f>SUM(XLOOKUP('포켓몬_편집'!$AF1010:$AN1010,'분류_규칙'!$A$5:$A$76,'분류_규칙'!$M$5:$M$76,0))</x:f>
        <x:v>0</x:v>
      </x:c>
      <x:c r="N1010" s="10" t="n">
        <x:f>SUM(XLOOKUP('포켓몬_편집'!$AF1010:$AN1010,'분류_규칙'!$A$5:$A$76,'분류_규칙'!$N$5:$N$76,0))</x:f>
        <x:v>0</x:v>
      </x:c>
      <x:c r="O1010" s="10" t="n">
        <x:f>SUM(XLOOKUP('포켓몬_편집'!$AF1010:$AN1010,'분류_규칙'!$A$5:$A$76,'분류_규칙'!$O$5:$O$76,0))</x:f>
        <x:v>2</x:v>
      </x:c>
      <x:c r="P1010" s="10" t="n">
        <x:f>SUM(XLOOKUP('포켓몬_편집'!$AF1010:$AN1010,'분류_규칙'!$A$5:$A$76,'분류_규칙'!$P$5:$P$76,0))</x:f>
        <x:v>0</x:v>
      </x:c>
    </x:row>
    <x:row r="1011" ht="22" customHeight="1">
      <x:c r="A1011" s="5" t="n">
        <x:v>1007</x:v>
      </x:c>
      <x:c r="B1011" s="5" t="inlineStr">
        <x:is>
          <x:t xml:space="preserve">코라이돈</x:t>
        </x:is>
      </x:c>
      <x:c r="C1011" s="5" t="inlineStr">
        <x:is>
          <x:t xml:space="preserve">koraidon</x:t>
        </x:is>
      </x:c>
      <x:c r="D1011" s="5" t="n">
        <x:v>9</x:v>
      </x:c>
      <x:c r="E1011" s="10" t="n">
        <x:f>SUM(XLOOKUP('포켓몬_편집'!$AF1011:$AN1011,'분류_규칙'!$A$5:$A$76,'분류_규칙'!$E$5:$E$76,0))</x:f>
        <x:v>0</x:v>
      </x:c>
      <x:c r="F1011" s="10" t="n">
        <x:f>SUM(XLOOKUP('포켓몬_편집'!$AF1011:$AN1011,'분류_규칙'!$A$5:$A$76,'분류_규칙'!$F$5:$F$76,0))</x:f>
        <x:v>0</x:v>
      </x:c>
      <x:c r="G1011" s="10" t="n">
        <x:f>SUM(XLOOKUP('포켓몬_편집'!$AF1011:$AN1011,'분류_규칙'!$A$5:$A$76,'분류_규칙'!$G$5:$G$76,0))</x:f>
        <x:v>0</x:v>
      </x:c>
      <x:c r="H1011" s="10" t="n">
        <x:f>SUM(XLOOKUP('포켓몬_편집'!$AF1011:$AN1011,'분류_규칙'!$A$5:$A$76,'분류_규칙'!$H$5:$H$76,0))</x:f>
        <x:v>0</x:v>
      </x:c>
      <x:c r="I1011" s="10" t="n">
        <x:f>SUM(XLOOKUP('포켓몬_편집'!$AF1011:$AN1011,'분류_규칙'!$A$5:$A$76,'분류_규칙'!$I$5:$I$76,0))</x:f>
        <x:v>0</x:v>
      </x:c>
      <x:c r="J1011" s="10" t="n">
        <x:f>SUM(XLOOKUP('포켓몬_편집'!$AF1011:$AN1011,'분류_규칙'!$A$5:$A$76,'분류_규칙'!$J$5:$J$76,0))</x:f>
        <x:v>3</x:v>
      </x:c>
      <x:c r="K1011" s="10" t="n">
        <x:f>SUM(XLOOKUP('포켓몬_편집'!$AF1011:$AN1011,'분류_규칙'!$A$5:$A$76,'분류_규칙'!$K$5:$K$76,0))</x:f>
        <x:v>0</x:v>
      </x:c>
      <x:c r="L1011" s="10" t="n">
        <x:f>SUM(XLOOKUP('포켓몬_편집'!$AF1011:$AN1011,'분류_규칙'!$A$5:$A$76,'분류_규칙'!$L$5:$L$76,0))</x:f>
        <x:v>30</x:v>
      </x:c>
      <x:c r="M1011" s="10" t="n">
        <x:f>SUM(XLOOKUP('포켓몬_편집'!$AF1011:$AN1011,'분류_규칙'!$A$5:$A$76,'분류_규칙'!$M$5:$M$76,0))</x:f>
        <x:v>0</x:v>
      </x:c>
      <x:c r="N1011" s="10" t="n">
        <x:f>SUM(XLOOKUP('포켓몬_편집'!$AF1011:$AN1011,'분류_규칙'!$A$5:$A$76,'분류_규칙'!$N$5:$N$76,0))</x:f>
        <x:v>0</x:v>
      </x:c>
      <x:c r="O1011" s="10" t="n">
        <x:f>SUM(XLOOKUP('포켓몬_편집'!$AF1011:$AN1011,'분류_규칙'!$A$5:$A$76,'분류_규칙'!$O$5:$O$76,0))</x:f>
        <x:v>0</x:v>
      </x:c>
      <x:c r="P1011" s="10" t="n">
        <x:f>SUM(XLOOKUP('포켓몬_편집'!$AF1011:$AN1011,'분류_규칙'!$A$5:$A$76,'분류_규칙'!$P$5:$P$76,0))</x:f>
        <x:v>0</x:v>
      </x:c>
    </x:row>
    <x:row r="1012" ht="22" customHeight="1">
      <x:c r="A1012" s="5" t="n">
        <x:v>1008</x:v>
      </x:c>
      <x:c r="B1012" s="5" t="inlineStr">
        <x:is>
          <x:t xml:space="preserve">미라이돈</x:t>
        </x:is>
      </x:c>
      <x:c r="C1012" s="5" t="inlineStr">
        <x:is>
          <x:t xml:space="preserve">miraidon</x:t>
        </x:is>
      </x:c>
      <x:c r="D1012" s="5" t="n">
        <x:v>9</x:v>
      </x:c>
      <x:c r="E1012" s="10" t="n">
        <x:f>SUM(XLOOKUP('포켓몬_편집'!$AF1012:$AN1012,'분류_규칙'!$A$5:$A$76,'분류_규칙'!$E$5:$E$76,0))</x:f>
        <x:v>0</x:v>
      </x:c>
      <x:c r="F1012" s="10" t="n">
        <x:f>SUM(XLOOKUP('포켓몬_편집'!$AF1012:$AN1012,'분류_규칙'!$A$5:$A$76,'분류_규칙'!$F$5:$F$76,0))</x:f>
        <x:v>0</x:v>
      </x:c>
      <x:c r="G1012" s="10" t="n">
        <x:f>SUM(XLOOKUP('포켓몬_편집'!$AF1012:$AN1012,'분류_규칙'!$A$5:$A$76,'분류_규칙'!$G$5:$G$76,0))</x:f>
        <x:v>0</x:v>
      </x:c>
      <x:c r="H1012" s="10" t="n">
        <x:f>SUM(XLOOKUP('포켓몬_편집'!$AF1012:$AN1012,'분류_규칙'!$A$5:$A$76,'분류_규칙'!$H$5:$H$76,0))</x:f>
        <x:v>0</x:v>
      </x:c>
      <x:c r="I1012" s="10" t="n">
        <x:f>SUM(XLOOKUP('포켓몬_편집'!$AF1012:$AN1012,'분류_규칙'!$A$5:$A$76,'분류_규칙'!$I$5:$I$76,0))</x:f>
        <x:v>0</x:v>
      </x:c>
      <x:c r="J1012" s="10" t="n">
        <x:f>SUM(XLOOKUP('포켓몬_편집'!$AF1012:$AN1012,'분류_규칙'!$A$5:$A$76,'분류_규칙'!$J$5:$J$76,0))</x:f>
        <x:v>3</x:v>
      </x:c>
      <x:c r="K1012" s="10" t="n">
        <x:f>SUM(XLOOKUP('포켓몬_편집'!$AF1012:$AN1012,'분류_규칙'!$A$5:$A$76,'분류_규칙'!$K$5:$K$76,0))</x:f>
        <x:v>0</x:v>
      </x:c>
      <x:c r="L1012" s="10" t="n">
        <x:f>SUM(XLOOKUP('포켓몬_편집'!$AF1012:$AN1012,'분류_규칙'!$A$5:$A$76,'분류_규칙'!$L$5:$L$76,0))</x:f>
        <x:v>30</x:v>
      </x:c>
      <x:c r="M1012" s="10" t="n">
        <x:f>SUM(XLOOKUP('포켓몬_편집'!$AF1012:$AN1012,'분류_규칙'!$A$5:$A$76,'분류_규칙'!$M$5:$M$76,0))</x:f>
        <x:v>0</x:v>
      </x:c>
      <x:c r="N1012" s="10" t="n">
        <x:f>SUM(XLOOKUP('포켓몬_편집'!$AF1012:$AN1012,'분류_규칙'!$A$5:$A$76,'분류_규칙'!$N$5:$N$76,0))</x:f>
        <x:v>0</x:v>
      </x:c>
      <x:c r="O1012" s="10" t="n">
        <x:f>SUM(XLOOKUP('포켓몬_편집'!$AF1012:$AN1012,'분류_규칙'!$A$5:$A$76,'분류_규칙'!$O$5:$O$76,0))</x:f>
        <x:v>0</x:v>
      </x:c>
      <x:c r="P1012" s="10" t="n">
        <x:f>SUM(XLOOKUP('포켓몬_편집'!$AF1012:$AN1012,'분류_규칙'!$A$5:$A$76,'분류_규칙'!$P$5:$P$76,0))</x:f>
        <x:v>0</x:v>
      </x:c>
    </x:row>
    <x:row r="1013" ht="22" customHeight="1">
      <x:c r="A1013" s="5" t="n">
        <x:v>1009</x:v>
      </x:c>
      <x:c r="B1013" s="5" t="inlineStr">
        <x:is>
          <x:t xml:space="preserve">굽이치는물결</x:t>
        </x:is>
      </x:c>
      <x:c r="C1013" s="5" t="inlineStr">
        <x:is>
          <x:t xml:space="preserve">walkingwake</x:t>
        </x:is>
      </x:c>
      <x:c r="D1013" s="5" t="n">
        <x:v>9</x:v>
      </x:c>
      <x:c r="E1013" s="10" t="n">
        <x:f>SUM(XLOOKUP('포켓몬_편집'!$AF1013:$AN1013,'분류_규칙'!$A$5:$A$76,'분류_규칙'!$E$5:$E$76,0))</x:f>
        <x:v>0</x:v>
      </x:c>
      <x:c r="F1013" s="10" t="n">
        <x:f>SUM(XLOOKUP('포켓몬_편집'!$AF1013:$AN1013,'분류_규칙'!$A$5:$A$76,'분류_규칙'!$F$5:$F$76,0))</x:f>
        <x:v>0</x:v>
      </x:c>
      <x:c r="G1013" s="10" t="n">
        <x:f>SUM(XLOOKUP('포켓몬_편집'!$AF1013:$AN1013,'분류_규칙'!$A$5:$A$76,'분류_규칙'!$G$5:$G$76,0))</x:f>
        <x:v>0</x:v>
      </x:c>
      <x:c r="H1013" s="10" t="n">
        <x:f>SUM(XLOOKUP('포켓몬_편집'!$AF1013:$AN1013,'분류_규칙'!$A$5:$A$76,'분류_규칙'!$H$5:$H$76,0))</x:f>
        <x:v>0</x:v>
      </x:c>
      <x:c r="I1013" s="10" t="n">
        <x:f>SUM(XLOOKUP('포켓몬_편집'!$AF1013:$AN1013,'분류_규칙'!$A$5:$A$76,'분류_규칙'!$I$5:$I$76,0))</x:f>
        <x:v>0</x:v>
      </x:c>
      <x:c r="J1013" s="10" t="n">
        <x:f>SUM(XLOOKUP('포켓몬_편집'!$AF1013:$AN1013,'분류_규칙'!$A$5:$A$76,'분류_규칙'!$J$5:$J$76,0))</x:f>
        <x:v>22</x:v>
      </x:c>
      <x:c r="K1013" s="10" t="n">
        <x:f>SUM(XLOOKUP('포켓몬_편집'!$AF1013:$AN1013,'분류_규칙'!$A$5:$A$76,'분류_규칙'!$K$5:$K$76,0))</x:f>
        <x:v>16</x:v>
      </x:c>
      <x:c r="L1013" s="10" t="n">
        <x:f>SUM(XLOOKUP('포켓몬_편집'!$AF1013:$AN1013,'분류_규칙'!$A$5:$A$76,'분류_규칙'!$L$5:$L$76,0))</x:f>
        <x:v>8</x:v>
      </x:c>
      <x:c r="M1013" s="10" t="n">
        <x:f>SUM(XLOOKUP('포켓몬_편집'!$AF1013:$AN1013,'분류_규칙'!$A$5:$A$76,'분류_규칙'!$M$5:$M$76,0))</x:f>
        <x:v>0</x:v>
      </x:c>
      <x:c r="N1013" s="10" t="n">
        <x:f>SUM(XLOOKUP('포켓몬_편집'!$AF1013:$AN1013,'분류_규칙'!$A$5:$A$76,'분류_규칙'!$N$5:$N$76,0))</x:f>
        <x:v>0</x:v>
      </x:c>
      <x:c r="O1013" s="10" t="n">
        <x:f>SUM(XLOOKUP('포켓몬_편집'!$AF1013:$AN1013,'분류_규칙'!$A$5:$A$76,'분류_규칙'!$O$5:$O$76,0))</x:f>
        <x:v>0</x:v>
      </x:c>
      <x:c r="P1013" s="10" t="n">
        <x:f>SUM(XLOOKUP('포켓몬_편집'!$AF1013:$AN1013,'분류_규칙'!$A$5:$A$76,'분류_규칙'!$P$5:$P$76,0))</x:f>
        <x:v>0</x:v>
      </x:c>
    </x:row>
    <x:row r="1014" ht="22" customHeight="1">
      <x:c r="A1014" s="5" t="n">
        <x:v>1010</x:v>
      </x:c>
      <x:c r="B1014" s="5" t="inlineStr">
        <x:is>
          <x:t xml:space="preserve">무쇠잎새</x:t>
        </x:is>
      </x:c>
      <x:c r="C1014" s="5" t="inlineStr">
        <x:is>
          <x:t xml:space="preserve">ironleaves</x:t>
        </x:is>
      </x:c>
      <x:c r="D1014" s="5" t="n">
        <x:v>9</x:v>
      </x:c>
      <x:c r="E1014" s="10" t="n">
        <x:f>SUM(XLOOKUP('포켓몬_편집'!$AF1014:$AN1014,'분류_규칙'!$A$5:$A$76,'분류_규칙'!$E$5:$E$76,0))</x:f>
        <x:v>10</x:v>
      </x:c>
      <x:c r="F1014" s="10" t="n">
        <x:f>SUM(XLOOKUP('포켓몬_편집'!$AF1014:$AN1014,'분류_규칙'!$A$5:$A$76,'분류_규칙'!$F$5:$F$76,0))</x:f>
        <x:v>7</x:v>
      </x:c>
      <x:c r="G1014" s="10" t="n">
        <x:f>SUM(XLOOKUP('포켓몬_편집'!$AF1014:$AN1014,'분류_규칙'!$A$5:$A$76,'분류_규칙'!$G$5:$G$76,0))</x:f>
        <x:v>5</x:v>
      </x:c>
      <x:c r="H1014" s="10" t="n">
        <x:f>SUM(XLOOKUP('포켓몬_편집'!$AF1014:$AN1014,'분류_규칙'!$A$5:$A$76,'분류_규칙'!$H$5:$H$76,0))</x:f>
        <x:v>5</x:v>
      </x:c>
      <x:c r="I1014" s="10" t="n">
        <x:f>SUM(XLOOKUP('포켓몬_편집'!$AF1014:$AN1014,'분류_규칙'!$A$5:$A$76,'분류_규칙'!$I$5:$I$76,0))</x:f>
        <x:v>0</x:v>
      </x:c>
      <x:c r="J1014" s="10" t="n">
        <x:f>SUM(XLOOKUP('포켓몬_편집'!$AF1014:$AN1014,'분류_규칙'!$A$5:$A$76,'분류_규칙'!$J$5:$J$76,0))</x:f>
        <x:v>2</x:v>
      </x:c>
      <x:c r="K1014" s="10" t="n">
        <x:f>SUM(XLOOKUP('포켓몬_편집'!$AF1014:$AN1014,'분류_규칙'!$A$5:$A$76,'분류_규칙'!$K$5:$K$76,0))</x:f>
        <x:v>0</x:v>
      </x:c>
      <x:c r="L1014" s="10" t="n">
        <x:f>SUM(XLOOKUP('포켓몬_편집'!$AF1014:$AN1014,'분류_규칙'!$A$5:$A$76,'분류_규칙'!$L$5:$L$76,0))</x:f>
        <x:v>0</x:v>
      </x:c>
      <x:c r="M1014" s="10" t="n">
        <x:f>SUM(XLOOKUP('포켓몬_편집'!$AF1014:$AN1014,'분류_규칙'!$A$5:$A$76,'분류_규칙'!$M$5:$M$76,0))</x:f>
        <x:v>0</x:v>
      </x:c>
      <x:c r="N1014" s="10" t="n">
        <x:f>SUM(XLOOKUP('포켓몬_편집'!$AF1014:$AN1014,'분류_규칙'!$A$5:$A$76,'분류_규칙'!$N$5:$N$76,0))</x:f>
        <x:v>0</x:v>
      </x:c>
      <x:c r="O1014" s="10" t="n">
        <x:f>SUM(XLOOKUP('포켓몬_편집'!$AF1014:$AN1014,'분류_규칙'!$A$5:$A$76,'분류_규칙'!$O$5:$O$76,0))</x:f>
        <x:v>2</x:v>
      </x:c>
      <x:c r="P1014" s="10" t="n">
        <x:f>SUM(XLOOKUP('포켓몬_편집'!$AF1014:$AN1014,'분류_규칙'!$A$5:$A$76,'분류_규칙'!$P$5:$P$76,0))</x:f>
        <x:v>0</x:v>
      </x:c>
    </x:row>
    <x:row r="1015" ht="22" customHeight="1">
      <x:c r="A1015" s="5" t="n">
        <x:v>1011</x:v>
      </x:c>
      <x:c r="B1015" s="5" t="inlineStr">
        <x:is>
          <x:t xml:space="preserve">과미르</x:t>
        </x:is>
      </x:c>
      <x:c r="C1015" s="5" t="inlineStr">
        <x:is>
          <x:t xml:space="preserve">dipplin</x:t>
        </x:is>
      </x:c>
      <x:c r="D1015" s="5" t="n">
        <x:v>9</x:v>
      </x:c>
      <x:c r="E1015" s="10" t="n">
        <x:f>SUM(XLOOKUP('포켓몬_편집'!$AF1015:$AN1015,'분류_규칙'!$A$5:$A$76,'분류_규칙'!$E$5:$E$76,0))</x:f>
        <x:v>10</x:v>
      </x:c>
      <x:c r="F1015" s="10" t="n">
        <x:f>SUM(XLOOKUP('포켓몬_편집'!$AF1015:$AN1015,'분류_규칙'!$A$5:$A$76,'분류_규칙'!$F$5:$F$76,0))</x:f>
        <x:v>7</x:v>
      </x:c>
      <x:c r="G1015" s="10" t="n">
        <x:f>SUM(XLOOKUP('포켓몬_편집'!$AF1015:$AN1015,'분류_규칙'!$A$5:$A$76,'분류_규칙'!$G$5:$G$76,0))</x:f>
        <x:v>5</x:v>
      </x:c>
      <x:c r="H1015" s="10" t="n">
        <x:f>SUM(XLOOKUP('포켓몬_편집'!$AF1015:$AN1015,'분류_규칙'!$A$5:$A$76,'분류_규칙'!$H$5:$H$76,0))</x:f>
        <x:v>5</x:v>
      </x:c>
      <x:c r="I1015" s="10" t="n">
        <x:f>SUM(XLOOKUP('포켓몬_편집'!$AF1015:$AN1015,'분류_규칙'!$A$5:$A$76,'분류_규칙'!$I$5:$I$76,0))</x:f>
        <x:v>0</x:v>
      </x:c>
      <x:c r="J1015" s="10" t="n">
        <x:f>SUM(XLOOKUP('포켓몬_편집'!$AF1015:$AN1015,'분류_규칙'!$A$5:$A$76,'분류_규칙'!$J$5:$J$76,0))</x:f>
        <x:v>2</x:v>
      </x:c>
      <x:c r="K1015" s="10" t="n">
        <x:f>SUM(XLOOKUP('포켓몬_편집'!$AF1015:$AN1015,'분류_규칙'!$A$5:$A$76,'분류_규칙'!$K$5:$K$76,0))</x:f>
        <x:v>0</x:v>
      </x:c>
      <x:c r="L1015" s="10" t="n">
        <x:f>SUM(XLOOKUP('포켓몬_편집'!$AF1015:$AN1015,'분류_규칙'!$A$5:$A$76,'분류_규칙'!$L$5:$L$76,0))</x:f>
        <x:v>0</x:v>
      </x:c>
      <x:c r="M1015" s="10" t="n">
        <x:f>SUM(XLOOKUP('포켓몬_편집'!$AF1015:$AN1015,'분류_규칙'!$A$5:$A$76,'분류_규칙'!$M$5:$M$76,0))</x:f>
        <x:v>0</x:v>
      </x:c>
      <x:c r="N1015" s="10" t="n">
        <x:f>SUM(XLOOKUP('포켓몬_편집'!$AF1015:$AN1015,'분류_규칙'!$A$5:$A$76,'분류_규칙'!$N$5:$N$76,0))</x:f>
        <x:v>0</x:v>
      </x:c>
      <x:c r="O1015" s="10" t="n">
        <x:f>SUM(XLOOKUP('포켓몬_편집'!$AF1015:$AN1015,'분류_규칙'!$A$5:$A$76,'분류_규칙'!$O$5:$O$76,0))</x:f>
        <x:v>2</x:v>
      </x:c>
      <x:c r="P1015" s="10" t="n">
        <x:f>SUM(XLOOKUP('포켓몬_편집'!$AF1015:$AN1015,'분류_규칙'!$A$5:$A$76,'분류_규칙'!$P$5:$P$76,0))</x:f>
        <x:v>0</x:v>
      </x:c>
    </x:row>
    <x:row r="1016" ht="22" customHeight="1">
      <x:c r="A1016" s="5" t="n">
        <x:v>1012</x:v>
      </x:c>
      <x:c r="B1016" s="5" t="inlineStr">
        <x:is>
          <x:t xml:space="preserve">차데스</x:t>
        </x:is>
      </x:c>
      <x:c r="C1016" s="5" t="inlineStr">
        <x:is>
          <x:t xml:space="preserve">poltchageist</x:t>
        </x:is>
      </x:c>
      <x:c r="D1016" s="5" t="n">
        <x:v>9</x:v>
      </x:c>
      <x:c r="E1016" s="10" t="n">
        <x:f>SUM(XLOOKUP('포켓몬_편집'!$AF1016:$AN1016,'분류_규칙'!$A$5:$A$76,'분류_규칙'!$E$5:$E$76,0))</x:f>
        <x:v>8</x:v>
      </x:c>
      <x:c r="F1016" s="10" t="n">
        <x:f>SUM(XLOOKUP('포켓몬_편집'!$AF1016:$AN1016,'분류_규칙'!$A$5:$A$76,'분류_규칙'!$F$5:$F$76,0))</x:f>
        <x:v>8</x:v>
      </x:c>
      <x:c r="G1016" s="10" t="n">
        <x:f>SUM(XLOOKUP('포켓몬_편집'!$AF1016:$AN1016,'분류_규칙'!$A$5:$A$76,'분류_규칙'!$G$5:$G$76,0))</x:f>
        <x:v>0</x:v>
      </x:c>
      <x:c r="H1016" s="10" t="n">
        <x:f>SUM(XLOOKUP('포켓몬_편집'!$AF1016:$AN1016,'분류_규칙'!$A$5:$A$76,'분류_규칙'!$H$5:$H$76,0))</x:f>
        <x:v>12</x:v>
      </x:c>
      <x:c r="I1016" s="10" t="n">
        <x:f>SUM(XLOOKUP('포켓몬_편집'!$AF1016:$AN1016,'분류_규칙'!$A$5:$A$76,'분류_규칙'!$I$5:$I$76,0))</x:f>
        <x:v>0</x:v>
      </x:c>
      <x:c r="J1016" s="10" t="n">
        <x:f>SUM(XLOOKUP('포켓몬_편집'!$AF1016:$AN1016,'분류_규칙'!$A$5:$A$76,'분류_규칙'!$J$5:$J$76,0))</x:f>
        <x:v>0</x:v>
      </x:c>
      <x:c r="K1016" s="10" t="n">
        <x:f>SUM(XLOOKUP('포켓몬_편집'!$AF1016:$AN1016,'분류_규칙'!$A$5:$A$76,'분류_규칙'!$K$5:$K$76,0))</x:f>
        <x:v>0</x:v>
      </x:c>
      <x:c r="L1016" s="10" t="n">
        <x:f>SUM(XLOOKUP('포켓몬_편집'!$AF1016:$AN1016,'분류_규칙'!$A$5:$A$76,'분류_규칙'!$L$5:$L$76,0))</x:f>
        <x:v>3</x:v>
      </x:c>
      <x:c r="M1016" s="10" t="n">
        <x:f>SUM(XLOOKUP('포켓몬_편집'!$AF1016:$AN1016,'분류_규칙'!$A$5:$A$76,'분류_규칙'!$M$5:$M$76,0))</x:f>
        <x:v>0</x:v>
      </x:c>
      <x:c r="N1016" s="10" t="n">
        <x:f>SUM(XLOOKUP('포켓몬_편집'!$AF1016:$AN1016,'분류_규칙'!$A$5:$A$76,'분류_규칙'!$N$5:$N$76,0))</x:f>
        <x:v>0</x:v>
      </x:c>
      <x:c r="O1016" s="10" t="n">
        <x:f>SUM(XLOOKUP('포켓몬_편집'!$AF1016:$AN1016,'분류_규칙'!$A$5:$A$76,'분류_규칙'!$O$5:$O$76,0))</x:f>
        <x:v>2</x:v>
      </x:c>
      <x:c r="P1016" s="10" t="n">
        <x:f>SUM(XLOOKUP('포켓몬_편집'!$AF1016:$AN1016,'분류_규칙'!$A$5:$A$76,'분류_규칙'!$P$5:$P$76,0))</x:f>
        <x:v>0</x:v>
      </x:c>
    </x:row>
    <x:row r="1017" ht="22" customHeight="1">
      <x:c r="A1017" s="5" t="n">
        <x:v>1013</x:v>
      </x:c>
      <x:c r="B1017" s="5" t="inlineStr">
        <x:is>
          <x:t xml:space="preserve">그우린차</x:t>
        </x:is>
      </x:c>
      <x:c r="C1017" s="5" t="inlineStr">
        <x:is>
          <x:t xml:space="preserve">sinistcha</x:t>
        </x:is>
      </x:c>
      <x:c r="D1017" s="5" t="n">
        <x:v>9</x:v>
      </x:c>
      <x:c r="E1017" s="10" t="n">
        <x:f>SUM(XLOOKUP('포켓몬_편집'!$AF1017:$AN1017,'분류_규칙'!$A$5:$A$76,'분류_규칙'!$E$5:$E$76,0))</x:f>
        <x:v>8</x:v>
      </x:c>
      <x:c r="F1017" s="10" t="n">
        <x:f>SUM(XLOOKUP('포켓몬_편집'!$AF1017:$AN1017,'분류_규칙'!$A$5:$A$76,'분류_규칙'!$F$5:$F$76,0))</x:f>
        <x:v>8</x:v>
      </x:c>
      <x:c r="G1017" s="10" t="n">
        <x:f>SUM(XLOOKUP('포켓몬_편집'!$AF1017:$AN1017,'분류_규칙'!$A$5:$A$76,'분류_규칙'!$G$5:$G$76,0))</x:f>
        <x:v>0</x:v>
      </x:c>
      <x:c r="H1017" s="10" t="n">
        <x:f>SUM(XLOOKUP('포켓몬_편집'!$AF1017:$AN1017,'분류_규칙'!$A$5:$A$76,'분류_규칙'!$H$5:$H$76,0))</x:f>
        <x:v>12</x:v>
      </x:c>
      <x:c r="I1017" s="10" t="n">
        <x:f>SUM(XLOOKUP('포켓몬_편집'!$AF1017:$AN1017,'분류_규칙'!$A$5:$A$76,'분류_규칙'!$I$5:$I$76,0))</x:f>
        <x:v>0</x:v>
      </x:c>
      <x:c r="J1017" s="10" t="n">
        <x:f>SUM(XLOOKUP('포켓몬_편집'!$AF1017:$AN1017,'분류_규칙'!$A$5:$A$76,'분류_규칙'!$J$5:$J$76,0))</x:f>
        <x:v>0</x:v>
      </x:c>
      <x:c r="K1017" s="10" t="n">
        <x:f>SUM(XLOOKUP('포켓몬_편집'!$AF1017:$AN1017,'분류_규칙'!$A$5:$A$76,'분류_규칙'!$K$5:$K$76,0))</x:f>
        <x:v>0</x:v>
      </x:c>
      <x:c r="L1017" s="10" t="n">
        <x:f>SUM(XLOOKUP('포켓몬_편집'!$AF1017:$AN1017,'분류_규칙'!$A$5:$A$76,'분류_규칙'!$L$5:$L$76,0))</x:f>
        <x:v>3</x:v>
      </x:c>
      <x:c r="M1017" s="10" t="n">
        <x:f>SUM(XLOOKUP('포켓몬_편집'!$AF1017:$AN1017,'분류_규칙'!$A$5:$A$76,'분류_규칙'!$M$5:$M$76,0))</x:f>
        <x:v>0</x:v>
      </x:c>
      <x:c r="N1017" s="10" t="n">
        <x:f>SUM(XLOOKUP('포켓몬_편집'!$AF1017:$AN1017,'분류_규칙'!$A$5:$A$76,'분류_규칙'!$N$5:$N$76,0))</x:f>
        <x:v>0</x:v>
      </x:c>
      <x:c r="O1017" s="10" t="n">
        <x:f>SUM(XLOOKUP('포켓몬_편집'!$AF1017:$AN1017,'분류_규칙'!$A$5:$A$76,'분류_규칙'!$O$5:$O$76,0))</x:f>
        <x:v>2</x:v>
      </x:c>
      <x:c r="P1017" s="10" t="n">
        <x:f>SUM(XLOOKUP('포켓몬_편집'!$AF1017:$AN1017,'분류_규칙'!$A$5:$A$76,'분류_규칙'!$P$5:$P$76,0))</x:f>
        <x:v>0</x:v>
      </x:c>
    </x:row>
    <x:row r="1018" ht="22" customHeight="1">
      <x:c r="A1018" s="5" t="n">
        <x:v>1014</x:v>
      </x:c>
      <x:c r="B1018" s="5" t="inlineStr">
        <x:is>
          <x:t xml:space="preserve">조타구</x:t>
        </x:is>
      </x:c>
      <x:c r="C1018" s="5" t="inlineStr">
        <x:is>
          <x:t xml:space="preserve">okidogi</x:t>
        </x:is>
      </x:c>
      <x:c r="D1018" s="5" t="n">
        <x:v>9</x:v>
      </x:c>
      <x:c r="E1018" s="10" t="n">
        <x:f>SUM(XLOOKUP('포켓몬_편집'!$AF1018:$AN1018,'분류_규칙'!$A$5:$A$76,'분류_규칙'!$E$5:$E$76,0))</x:f>
        <x:v>10</x:v>
      </x:c>
      <x:c r="F1018" s="10" t="n">
        <x:f>SUM(XLOOKUP('포켓몬_편집'!$AF1018:$AN1018,'분류_규칙'!$A$5:$A$76,'분류_규칙'!$F$5:$F$76,0))</x:f>
        <x:v>7</x:v>
      </x:c>
      <x:c r="G1018" s="10" t="n">
        <x:f>SUM(XLOOKUP('포켓몬_편집'!$AF1018:$AN1018,'분류_규칙'!$A$5:$A$76,'분류_규칙'!$G$5:$G$76,0))</x:f>
        <x:v>5</x:v>
      </x:c>
      <x:c r="H1018" s="10" t="n">
        <x:f>SUM(XLOOKUP('포켓몬_편집'!$AF1018:$AN1018,'분류_규칙'!$A$5:$A$76,'분류_규칙'!$H$5:$H$76,0))</x:f>
        <x:v>5</x:v>
      </x:c>
      <x:c r="I1018" s="10" t="n">
        <x:f>SUM(XLOOKUP('포켓몬_편집'!$AF1018:$AN1018,'분류_규칙'!$A$5:$A$76,'분류_규칙'!$I$5:$I$76,0))</x:f>
        <x:v>0</x:v>
      </x:c>
      <x:c r="J1018" s="10" t="n">
        <x:f>SUM(XLOOKUP('포켓몬_편집'!$AF1018:$AN1018,'분류_규칙'!$A$5:$A$76,'분류_규칙'!$J$5:$J$76,0))</x:f>
        <x:v>2</x:v>
      </x:c>
      <x:c r="K1018" s="10" t="n">
        <x:f>SUM(XLOOKUP('포켓몬_편집'!$AF1018:$AN1018,'분류_규칙'!$A$5:$A$76,'분류_규칙'!$K$5:$K$76,0))</x:f>
        <x:v>0</x:v>
      </x:c>
      <x:c r="L1018" s="10" t="n">
        <x:f>SUM(XLOOKUP('포켓몬_편집'!$AF1018:$AN1018,'분류_규칙'!$A$5:$A$76,'분류_규칙'!$L$5:$L$76,0))</x:f>
        <x:v>0</x:v>
      </x:c>
      <x:c r="M1018" s="10" t="n">
        <x:f>SUM(XLOOKUP('포켓몬_편집'!$AF1018:$AN1018,'분류_규칙'!$A$5:$A$76,'분류_규칙'!$M$5:$M$76,0))</x:f>
        <x:v>0</x:v>
      </x:c>
      <x:c r="N1018" s="10" t="n">
        <x:f>SUM(XLOOKUP('포켓몬_편집'!$AF1018:$AN1018,'분류_규칙'!$A$5:$A$76,'분류_규칙'!$N$5:$N$76,0))</x:f>
        <x:v>0</x:v>
      </x:c>
      <x:c r="O1018" s="10" t="n">
        <x:f>SUM(XLOOKUP('포켓몬_편집'!$AF1018:$AN1018,'분류_규칙'!$A$5:$A$76,'분류_규칙'!$O$5:$O$76,0))</x:f>
        <x:v>2</x:v>
      </x:c>
      <x:c r="P1018" s="10" t="n">
        <x:f>SUM(XLOOKUP('포켓몬_편집'!$AF1018:$AN1018,'분류_규칙'!$A$5:$A$76,'분류_규칙'!$P$5:$P$76,0))</x:f>
        <x:v>0</x:v>
      </x:c>
    </x:row>
    <x:row r="1019" ht="22" customHeight="1">
      <x:c r="A1019" s="5" t="n">
        <x:v>1015</x:v>
      </x:c>
      <x:c r="B1019" s="5" t="inlineStr">
        <x:is>
          <x:t xml:space="preserve">이야후</x:t>
        </x:is>
      </x:c>
      <x:c r="C1019" s="5" t="inlineStr">
        <x:is>
          <x:t xml:space="preserve">munkidori</x:t>
        </x:is>
      </x:c>
      <x:c r="D1019" s="5" t="n">
        <x:v>9</x:v>
      </x:c>
      <x:c r="E1019" s="10" t="n">
        <x:f>SUM(XLOOKUP('포켓몬_편집'!$AF1019:$AN1019,'분류_규칙'!$A$5:$A$76,'분류_규칙'!$E$5:$E$76,0))</x:f>
        <x:v>10</x:v>
      </x:c>
      <x:c r="F1019" s="10" t="n">
        <x:f>SUM(XLOOKUP('포켓몬_편집'!$AF1019:$AN1019,'분류_규칙'!$A$5:$A$76,'분류_규칙'!$F$5:$F$76,0))</x:f>
        <x:v>7</x:v>
      </x:c>
      <x:c r="G1019" s="10" t="n">
        <x:f>SUM(XLOOKUP('포켓몬_편집'!$AF1019:$AN1019,'분류_규칙'!$A$5:$A$76,'분류_규칙'!$G$5:$G$76,0))</x:f>
        <x:v>5</x:v>
      </x:c>
      <x:c r="H1019" s="10" t="n">
        <x:f>SUM(XLOOKUP('포켓몬_편집'!$AF1019:$AN1019,'분류_규칙'!$A$5:$A$76,'분류_규칙'!$H$5:$H$76,0))</x:f>
        <x:v>5</x:v>
      </x:c>
      <x:c r="I1019" s="10" t="n">
        <x:f>SUM(XLOOKUP('포켓몬_편집'!$AF1019:$AN1019,'분류_규칙'!$A$5:$A$76,'분류_규칙'!$I$5:$I$76,0))</x:f>
        <x:v>0</x:v>
      </x:c>
      <x:c r="J1019" s="10" t="n">
        <x:f>SUM(XLOOKUP('포켓몬_편집'!$AF1019:$AN1019,'분류_규칙'!$A$5:$A$76,'분류_규칙'!$J$5:$J$76,0))</x:f>
        <x:v>2</x:v>
      </x:c>
      <x:c r="K1019" s="10" t="n">
        <x:f>SUM(XLOOKUP('포켓몬_편집'!$AF1019:$AN1019,'분류_규칙'!$A$5:$A$76,'분류_규칙'!$K$5:$K$76,0))</x:f>
        <x:v>0</x:v>
      </x:c>
      <x:c r="L1019" s="10" t="n">
        <x:f>SUM(XLOOKUP('포켓몬_편집'!$AF1019:$AN1019,'분류_규칙'!$A$5:$A$76,'분류_규칙'!$L$5:$L$76,0))</x:f>
        <x:v>0</x:v>
      </x:c>
      <x:c r="M1019" s="10" t="n">
        <x:f>SUM(XLOOKUP('포켓몬_편집'!$AF1019:$AN1019,'분류_규칙'!$A$5:$A$76,'분류_규칙'!$M$5:$M$76,0))</x:f>
        <x:v>0</x:v>
      </x:c>
      <x:c r="N1019" s="10" t="n">
        <x:f>SUM(XLOOKUP('포켓몬_편집'!$AF1019:$AN1019,'분류_규칙'!$A$5:$A$76,'분류_규칙'!$N$5:$N$76,0))</x:f>
        <x:v>0</x:v>
      </x:c>
      <x:c r="O1019" s="10" t="n">
        <x:f>SUM(XLOOKUP('포켓몬_편집'!$AF1019:$AN1019,'분류_규칙'!$A$5:$A$76,'분류_규칙'!$O$5:$O$76,0))</x:f>
        <x:v>2</x:v>
      </x:c>
      <x:c r="P1019" s="10" t="n">
        <x:f>SUM(XLOOKUP('포켓몬_편집'!$AF1019:$AN1019,'분류_규칙'!$A$5:$A$76,'분류_규칙'!$P$5:$P$76,0))</x:f>
        <x:v>0</x:v>
      </x:c>
    </x:row>
    <x:row r="1020" ht="22" customHeight="1">
      <x:c r="A1020" s="5" t="n">
        <x:v>1016</x:v>
      </x:c>
      <x:c r="B1020" s="5" t="inlineStr">
        <x:is>
          <x:t xml:space="preserve">기로치</x:t>
        </x:is>
      </x:c>
      <x:c r="C1020" s="5" t="inlineStr">
        <x:is>
          <x:t xml:space="preserve">fezandipiti</x:t>
        </x:is>
      </x:c>
      <x:c r="D1020" s="5" t="n">
        <x:v>9</x:v>
      </x:c>
      <x:c r="E1020" s="10" t="n">
        <x:f>SUM(XLOOKUP('포켓몬_편집'!$AF1020:$AN1020,'분류_규칙'!$A$5:$A$76,'분류_규칙'!$E$5:$E$76,0))</x:f>
        <x:v>8</x:v>
      </x:c>
      <x:c r="F1020" s="10" t="n">
        <x:f>SUM(XLOOKUP('포켓몬_편집'!$AF1020:$AN1020,'분류_규칙'!$A$5:$A$76,'분류_규칙'!$F$5:$F$76,0))</x:f>
        <x:v>8</x:v>
      </x:c>
      <x:c r="G1020" s="10" t="n">
        <x:f>SUM(XLOOKUP('포켓몬_편집'!$AF1020:$AN1020,'분류_규칙'!$A$5:$A$76,'분류_규칙'!$G$5:$G$76,0))</x:f>
        <x:v>0</x:v>
      </x:c>
      <x:c r="H1020" s="10" t="n">
        <x:f>SUM(XLOOKUP('포켓몬_편집'!$AF1020:$AN1020,'분류_규칙'!$A$5:$A$76,'분류_규칙'!$H$5:$H$76,0))</x:f>
        <x:v>12</x:v>
      </x:c>
      <x:c r="I1020" s="10" t="n">
        <x:f>SUM(XLOOKUP('포켓몬_편집'!$AF1020:$AN1020,'분류_규칙'!$A$5:$A$76,'분류_규칙'!$I$5:$I$76,0))</x:f>
        <x:v>0</x:v>
      </x:c>
      <x:c r="J1020" s="10" t="n">
        <x:f>SUM(XLOOKUP('포켓몬_편집'!$AF1020:$AN1020,'분류_규칙'!$A$5:$A$76,'분류_규칙'!$J$5:$J$76,0))</x:f>
        <x:v>0</x:v>
      </x:c>
      <x:c r="K1020" s="10" t="n">
        <x:f>SUM(XLOOKUP('포켓몬_편집'!$AF1020:$AN1020,'분류_규칙'!$A$5:$A$76,'분류_규칙'!$K$5:$K$76,0))</x:f>
        <x:v>0</x:v>
      </x:c>
      <x:c r="L1020" s="10" t="n">
        <x:f>SUM(XLOOKUP('포켓몬_편집'!$AF1020:$AN1020,'분류_규칙'!$A$5:$A$76,'분류_규칙'!$L$5:$L$76,0))</x:f>
        <x:v>3</x:v>
      </x:c>
      <x:c r="M1020" s="10" t="n">
        <x:f>SUM(XLOOKUP('포켓몬_편집'!$AF1020:$AN1020,'분류_규칙'!$A$5:$A$76,'분류_규칙'!$M$5:$M$76,0))</x:f>
        <x:v>0</x:v>
      </x:c>
      <x:c r="N1020" s="10" t="n">
        <x:f>SUM(XLOOKUP('포켓몬_편집'!$AF1020:$AN1020,'분류_규칙'!$A$5:$A$76,'분류_규칙'!$N$5:$N$76,0))</x:f>
        <x:v>0</x:v>
      </x:c>
      <x:c r="O1020" s="10" t="n">
        <x:f>SUM(XLOOKUP('포켓몬_편집'!$AF1020:$AN1020,'분류_규칙'!$A$5:$A$76,'분류_규칙'!$O$5:$O$76,0))</x:f>
        <x:v>2</x:v>
      </x:c>
      <x:c r="P1020" s="10" t="n">
        <x:f>SUM(XLOOKUP('포켓몬_편집'!$AF1020:$AN1020,'분류_규칙'!$A$5:$A$76,'분류_규칙'!$P$5:$P$76,0))</x:f>
        <x:v>0</x:v>
      </x:c>
    </x:row>
    <x:row r="1021" ht="22" customHeight="1">
      <x:c r="A1021" s="5" t="n">
        <x:v>1017</x:v>
      </x:c>
      <x:c r="B1021" s="5" t="inlineStr">
        <x:is>
          <x:t xml:space="preserve">오거폰</x:t>
        </x:is>
      </x:c>
      <x:c r="C1021" s="5" t="inlineStr">
        <x:is>
          <x:t xml:space="preserve">ogerpon</x:t>
        </x:is>
      </x:c>
      <x:c r="D1021" s="5" t="n">
        <x:v>9</x:v>
      </x:c>
      <x:c r="E1021" s="10" t="n">
        <x:f>SUM(XLOOKUP('포켓몬_편집'!$AF1021:$AN1021,'분류_규칙'!$A$5:$A$76,'분류_규칙'!$E$5:$E$76,0))</x:f>
        <x:v>10</x:v>
      </x:c>
      <x:c r="F1021" s="10" t="n">
        <x:f>SUM(XLOOKUP('포켓몬_편집'!$AF1021:$AN1021,'분류_규칙'!$A$5:$A$76,'분류_규칙'!$F$5:$F$76,0))</x:f>
        <x:v>7</x:v>
      </x:c>
      <x:c r="G1021" s="10" t="n">
        <x:f>SUM(XLOOKUP('포켓몬_편집'!$AF1021:$AN1021,'분류_규칙'!$A$5:$A$76,'분류_규칙'!$G$5:$G$76,0))</x:f>
        <x:v>5</x:v>
      </x:c>
      <x:c r="H1021" s="10" t="n">
        <x:f>SUM(XLOOKUP('포켓몬_편집'!$AF1021:$AN1021,'분류_규칙'!$A$5:$A$76,'분류_규칙'!$H$5:$H$76,0))</x:f>
        <x:v>5</x:v>
      </x:c>
      <x:c r="I1021" s="10" t="n">
        <x:f>SUM(XLOOKUP('포켓몬_편집'!$AF1021:$AN1021,'분류_규칙'!$A$5:$A$76,'분류_규칙'!$I$5:$I$76,0))</x:f>
        <x:v>0</x:v>
      </x:c>
      <x:c r="J1021" s="10" t="n">
        <x:f>SUM(XLOOKUP('포켓몬_편집'!$AF1021:$AN1021,'분류_규칙'!$A$5:$A$76,'분류_규칙'!$J$5:$J$76,0))</x:f>
        <x:v>2</x:v>
      </x:c>
      <x:c r="K1021" s="10" t="n">
        <x:f>SUM(XLOOKUP('포켓몬_편집'!$AF1021:$AN1021,'분류_규칙'!$A$5:$A$76,'분류_규칙'!$K$5:$K$76,0))</x:f>
        <x:v>0</x:v>
      </x:c>
      <x:c r="L1021" s="10" t="n">
        <x:f>SUM(XLOOKUP('포켓몬_편집'!$AF1021:$AN1021,'분류_규칙'!$A$5:$A$76,'분류_규칙'!$L$5:$L$76,0))</x:f>
        <x:v>0</x:v>
      </x:c>
      <x:c r="M1021" s="10" t="n">
        <x:f>SUM(XLOOKUP('포켓몬_편집'!$AF1021:$AN1021,'분류_규칙'!$A$5:$A$76,'분류_규칙'!$M$5:$M$76,0))</x:f>
        <x:v>0</x:v>
      </x:c>
      <x:c r="N1021" s="10" t="n">
        <x:f>SUM(XLOOKUP('포켓몬_편집'!$AF1021:$AN1021,'분류_규칙'!$A$5:$A$76,'분류_규칙'!$N$5:$N$76,0))</x:f>
        <x:v>0</x:v>
      </x:c>
      <x:c r="O1021" s="10" t="n">
        <x:f>SUM(XLOOKUP('포켓몬_편집'!$AF1021:$AN1021,'분류_규칙'!$A$5:$A$76,'분류_규칙'!$O$5:$O$76,0))</x:f>
        <x:v>2</x:v>
      </x:c>
      <x:c r="P1021" s="10" t="n">
        <x:f>SUM(XLOOKUP('포켓몬_편집'!$AF1021:$AN1021,'분류_규칙'!$A$5:$A$76,'분류_규칙'!$P$5:$P$76,0))</x:f>
        <x:v>0</x:v>
      </x:c>
    </x:row>
    <x:row r="1022" ht="22" customHeight="1">
      <x:c r="A1022" s="5" t="n">
        <x:v>1018</x:v>
      </x:c>
      <x:c r="B1022" s="5" t="inlineStr">
        <x:is>
          <x:t xml:space="preserve">브리두라스</x:t>
        </x:is>
      </x:c>
      <x:c r="C1022" s="5" t="inlineStr">
        <x:is>
          <x:t xml:space="preserve">archaludon</x:t>
        </x:is>
      </x:c>
      <x:c r="D1022" s="5" t="n">
        <x:v>9</x:v>
      </x:c>
      <x:c r="E1022" s="10" t="n">
        <x:f>SUM(XLOOKUP('포켓몬_편집'!$AF1022:$AN1022,'분류_규칙'!$A$5:$A$76,'분류_규칙'!$E$5:$E$76,0))</x:f>
        <x:v>10</x:v>
      </x:c>
      <x:c r="F1022" s="10" t="n">
        <x:f>SUM(XLOOKUP('포켓몬_편집'!$AF1022:$AN1022,'분류_규칙'!$A$5:$A$76,'분류_규칙'!$F$5:$F$76,0))</x:f>
        <x:v>7</x:v>
      </x:c>
      <x:c r="G1022" s="10" t="n">
        <x:f>SUM(XLOOKUP('포켓몬_편집'!$AF1022:$AN1022,'분류_규칙'!$A$5:$A$76,'분류_규칙'!$G$5:$G$76,0))</x:f>
        <x:v>5</x:v>
      </x:c>
      <x:c r="H1022" s="10" t="n">
        <x:f>SUM(XLOOKUP('포켓몬_편집'!$AF1022:$AN1022,'분류_규칙'!$A$5:$A$76,'분류_규칙'!$H$5:$H$76,0))</x:f>
        <x:v>5</x:v>
      </x:c>
      <x:c r="I1022" s="10" t="n">
        <x:f>SUM(XLOOKUP('포켓몬_편집'!$AF1022:$AN1022,'분류_규칙'!$A$5:$A$76,'분류_규칙'!$I$5:$I$76,0))</x:f>
        <x:v>0</x:v>
      </x:c>
      <x:c r="J1022" s="10" t="n">
        <x:f>SUM(XLOOKUP('포켓몬_편집'!$AF1022:$AN1022,'분류_규칙'!$A$5:$A$76,'분류_규칙'!$J$5:$J$76,0))</x:f>
        <x:v>2</x:v>
      </x:c>
      <x:c r="K1022" s="10" t="n">
        <x:f>SUM(XLOOKUP('포켓몬_편집'!$AF1022:$AN1022,'분류_규칙'!$A$5:$A$76,'분류_규칙'!$K$5:$K$76,0))</x:f>
        <x:v>0</x:v>
      </x:c>
      <x:c r="L1022" s="10" t="n">
        <x:f>SUM(XLOOKUP('포켓몬_편집'!$AF1022:$AN1022,'분류_규칙'!$A$5:$A$76,'분류_규칙'!$L$5:$L$76,0))</x:f>
        <x:v>0</x:v>
      </x:c>
      <x:c r="M1022" s="10" t="n">
        <x:f>SUM(XLOOKUP('포켓몬_편집'!$AF1022:$AN1022,'분류_규칙'!$A$5:$A$76,'분류_규칙'!$M$5:$M$76,0))</x:f>
        <x:v>0</x:v>
      </x:c>
      <x:c r="N1022" s="10" t="n">
        <x:f>SUM(XLOOKUP('포켓몬_편집'!$AF1022:$AN1022,'분류_규칙'!$A$5:$A$76,'분류_규칙'!$N$5:$N$76,0))</x:f>
        <x:v>0</x:v>
      </x:c>
      <x:c r="O1022" s="10" t="n">
        <x:f>SUM(XLOOKUP('포켓몬_편집'!$AF1022:$AN1022,'분류_규칙'!$A$5:$A$76,'분류_규칙'!$O$5:$O$76,0))</x:f>
        <x:v>2</x:v>
      </x:c>
      <x:c r="P1022" s="10" t="n">
        <x:f>SUM(XLOOKUP('포켓몬_편집'!$AF1022:$AN1022,'분류_규칙'!$A$5:$A$76,'분류_규칙'!$P$5:$P$76,0))</x:f>
        <x:v>0</x:v>
      </x:c>
    </x:row>
    <x:row r="1023" ht="22" customHeight="1">
      <x:c r="A1023" s="5" t="n">
        <x:v>1019</x:v>
      </x:c>
      <x:c r="B1023" s="5" t="inlineStr">
        <x:is>
          <x:t xml:space="preserve">과미드라</x:t>
        </x:is>
      </x:c>
      <x:c r="C1023" s="5" t="inlineStr">
        <x:is>
          <x:t xml:space="preserve">hydrapple</x:t>
        </x:is>
      </x:c>
      <x:c r="D1023" s="5" t="n">
        <x:v>9</x:v>
      </x:c>
      <x:c r="E1023" s="10" t="n">
        <x:f>SUM(XLOOKUP('포켓몬_편집'!$AF1023:$AN1023,'분류_규칙'!$A$5:$A$76,'분류_규칙'!$E$5:$E$76,0))</x:f>
        <x:v>10</x:v>
      </x:c>
      <x:c r="F1023" s="10" t="n">
        <x:f>SUM(XLOOKUP('포켓몬_편집'!$AF1023:$AN1023,'분류_규칙'!$A$5:$A$76,'분류_규칙'!$F$5:$F$76,0))</x:f>
        <x:v>7</x:v>
      </x:c>
      <x:c r="G1023" s="10" t="n">
        <x:f>SUM(XLOOKUP('포켓몬_편집'!$AF1023:$AN1023,'분류_규칙'!$A$5:$A$76,'분류_규칙'!$G$5:$G$76,0))</x:f>
        <x:v>5</x:v>
      </x:c>
      <x:c r="H1023" s="10" t="n">
        <x:f>SUM(XLOOKUP('포켓몬_편집'!$AF1023:$AN1023,'분류_규칙'!$A$5:$A$76,'분류_규칙'!$H$5:$H$76,0))</x:f>
        <x:v>5</x:v>
      </x:c>
      <x:c r="I1023" s="10" t="n">
        <x:f>SUM(XLOOKUP('포켓몬_편집'!$AF1023:$AN1023,'분류_규칙'!$A$5:$A$76,'분류_규칙'!$I$5:$I$76,0))</x:f>
        <x:v>0</x:v>
      </x:c>
      <x:c r="J1023" s="10" t="n">
        <x:f>SUM(XLOOKUP('포켓몬_편집'!$AF1023:$AN1023,'분류_규칙'!$A$5:$A$76,'분류_규칙'!$J$5:$J$76,0))</x:f>
        <x:v>2</x:v>
      </x:c>
      <x:c r="K1023" s="10" t="n">
        <x:f>SUM(XLOOKUP('포켓몬_편집'!$AF1023:$AN1023,'분류_규칙'!$A$5:$A$76,'분류_규칙'!$K$5:$K$76,0))</x:f>
        <x:v>0</x:v>
      </x:c>
      <x:c r="L1023" s="10" t="n">
        <x:f>SUM(XLOOKUP('포켓몬_편집'!$AF1023:$AN1023,'분류_규칙'!$A$5:$A$76,'분류_규칙'!$L$5:$L$76,0))</x:f>
        <x:v>0</x:v>
      </x:c>
      <x:c r="M1023" s="10" t="n">
        <x:f>SUM(XLOOKUP('포켓몬_편집'!$AF1023:$AN1023,'분류_규칙'!$A$5:$A$76,'분류_규칙'!$M$5:$M$76,0))</x:f>
        <x:v>0</x:v>
      </x:c>
      <x:c r="N1023" s="10" t="n">
        <x:f>SUM(XLOOKUP('포켓몬_편집'!$AF1023:$AN1023,'분류_규칙'!$A$5:$A$76,'분류_규칙'!$N$5:$N$76,0))</x:f>
        <x:v>0</x:v>
      </x:c>
      <x:c r="O1023" s="10" t="n">
        <x:f>SUM(XLOOKUP('포켓몬_편집'!$AF1023:$AN1023,'분류_규칙'!$A$5:$A$76,'분류_규칙'!$O$5:$O$76,0))</x:f>
        <x:v>2</x:v>
      </x:c>
      <x:c r="P1023" s="10" t="n">
        <x:f>SUM(XLOOKUP('포켓몬_편집'!$AF1023:$AN1023,'분류_규칙'!$A$5:$A$76,'분류_규칙'!$P$5:$P$76,0))</x:f>
        <x:v>0</x:v>
      </x:c>
    </x:row>
    <x:row r="1024" ht="22" customHeight="1">
      <x:c r="A1024" s="5" t="n">
        <x:v>1020</x:v>
      </x:c>
      <x:c r="B1024" s="5" t="inlineStr">
        <x:is>
          <x:t xml:space="preserve">꿰뚫는화염</x:t>
        </x:is>
      </x:c>
      <x:c r="C1024" s="5" t="inlineStr">
        <x:is>
          <x:t xml:space="preserve">gougingfire</x:t>
        </x:is>
      </x:c>
      <x:c r="D1024" s="5" t="n">
        <x:v>9</x:v>
      </x:c>
      <x:c r="E1024" s="10" t="n">
        <x:f>SUM(XLOOKUP('포켓몬_편집'!$AF1024:$AN1024,'분류_규칙'!$A$5:$A$76,'분류_규칙'!$E$5:$E$76,0))</x:f>
        <x:v>10</x:v>
      </x:c>
      <x:c r="F1024" s="10" t="n">
        <x:f>SUM(XLOOKUP('포켓몬_편집'!$AF1024:$AN1024,'분류_규칙'!$A$5:$A$76,'분류_규칙'!$F$5:$F$76,0))</x:f>
        <x:v>7</x:v>
      </x:c>
      <x:c r="G1024" s="10" t="n">
        <x:f>SUM(XLOOKUP('포켓몬_편집'!$AF1024:$AN1024,'분류_규칙'!$A$5:$A$76,'분류_규칙'!$G$5:$G$76,0))</x:f>
        <x:v>5</x:v>
      </x:c>
      <x:c r="H1024" s="10" t="n">
        <x:f>SUM(XLOOKUP('포켓몬_편집'!$AF1024:$AN1024,'분류_규칙'!$A$5:$A$76,'분류_규칙'!$H$5:$H$76,0))</x:f>
        <x:v>5</x:v>
      </x:c>
      <x:c r="I1024" s="10" t="n">
        <x:f>SUM(XLOOKUP('포켓몬_편집'!$AF1024:$AN1024,'분류_규칙'!$A$5:$A$76,'분류_규칙'!$I$5:$I$76,0))</x:f>
        <x:v>0</x:v>
      </x:c>
      <x:c r="J1024" s="10" t="n">
        <x:f>SUM(XLOOKUP('포켓몬_편집'!$AF1024:$AN1024,'분류_규칙'!$A$5:$A$76,'분류_규칙'!$J$5:$J$76,0))</x:f>
        <x:v>2</x:v>
      </x:c>
      <x:c r="K1024" s="10" t="n">
        <x:f>SUM(XLOOKUP('포켓몬_편집'!$AF1024:$AN1024,'분류_규칙'!$A$5:$A$76,'분류_규칙'!$K$5:$K$76,0))</x:f>
        <x:v>0</x:v>
      </x:c>
      <x:c r="L1024" s="10" t="n">
        <x:f>SUM(XLOOKUP('포켓몬_편집'!$AF1024:$AN1024,'분류_규칙'!$A$5:$A$76,'분류_규칙'!$L$5:$L$76,0))</x:f>
        <x:v>0</x:v>
      </x:c>
      <x:c r="M1024" s="10" t="n">
        <x:f>SUM(XLOOKUP('포켓몬_편집'!$AF1024:$AN1024,'분류_규칙'!$A$5:$A$76,'분류_규칙'!$M$5:$M$76,0))</x:f>
        <x:v>0</x:v>
      </x:c>
      <x:c r="N1024" s="10" t="n">
        <x:f>SUM(XLOOKUP('포켓몬_편집'!$AF1024:$AN1024,'분류_규칙'!$A$5:$A$76,'분류_규칙'!$N$5:$N$76,0))</x:f>
        <x:v>0</x:v>
      </x:c>
      <x:c r="O1024" s="10" t="n">
        <x:f>SUM(XLOOKUP('포켓몬_편집'!$AF1024:$AN1024,'분류_규칙'!$A$5:$A$76,'분류_규칙'!$O$5:$O$76,0))</x:f>
        <x:v>2</x:v>
      </x:c>
      <x:c r="P1024" s="10" t="n">
        <x:f>SUM(XLOOKUP('포켓몬_편집'!$AF1024:$AN1024,'분류_규칙'!$A$5:$A$76,'분류_규칙'!$P$5:$P$76,0))</x:f>
        <x:v>0</x:v>
      </x:c>
    </x:row>
    <x:row r="1025" ht="22" customHeight="1">
      <x:c r="A1025" s="5" t="n">
        <x:v>1021</x:v>
      </x:c>
      <x:c r="B1025" s="5" t="inlineStr">
        <x:is>
          <x:t xml:space="preserve">날뛰는우레</x:t>
        </x:is>
      </x:c>
      <x:c r="C1025" s="5" t="inlineStr">
        <x:is>
          <x:t xml:space="preserve">ragingbolt</x:t>
        </x:is>
      </x:c>
      <x:c r="D1025" s="5" t="n">
        <x:v>9</x:v>
      </x:c>
      <x:c r="E1025" s="10" t="n">
        <x:f>SUM(XLOOKUP('포켓몬_편집'!$AF1025:$AN1025,'분류_규칙'!$A$5:$A$76,'분류_규칙'!$E$5:$E$76,0))</x:f>
        <x:v>10</x:v>
      </x:c>
      <x:c r="F1025" s="10" t="n">
        <x:f>SUM(XLOOKUP('포켓몬_편집'!$AF1025:$AN1025,'분류_규칙'!$A$5:$A$76,'분류_규칙'!$F$5:$F$76,0))</x:f>
        <x:v>7</x:v>
      </x:c>
      <x:c r="G1025" s="10" t="n">
        <x:f>SUM(XLOOKUP('포켓몬_편집'!$AF1025:$AN1025,'분류_규칙'!$A$5:$A$76,'분류_규칙'!$G$5:$G$76,0))</x:f>
        <x:v>5</x:v>
      </x:c>
      <x:c r="H1025" s="10" t="n">
        <x:f>SUM(XLOOKUP('포켓몬_편집'!$AF1025:$AN1025,'분류_규칙'!$A$5:$A$76,'분류_규칙'!$H$5:$H$76,0))</x:f>
        <x:v>5</x:v>
      </x:c>
      <x:c r="I1025" s="10" t="n">
        <x:f>SUM(XLOOKUP('포켓몬_편집'!$AF1025:$AN1025,'분류_규칙'!$A$5:$A$76,'분류_규칙'!$I$5:$I$76,0))</x:f>
        <x:v>0</x:v>
      </x:c>
      <x:c r="J1025" s="10" t="n">
        <x:f>SUM(XLOOKUP('포켓몬_편집'!$AF1025:$AN1025,'분류_규칙'!$A$5:$A$76,'분류_규칙'!$J$5:$J$76,0))</x:f>
        <x:v>2</x:v>
      </x:c>
      <x:c r="K1025" s="10" t="n">
        <x:f>SUM(XLOOKUP('포켓몬_편집'!$AF1025:$AN1025,'분류_규칙'!$A$5:$A$76,'분류_규칙'!$K$5:$K$76,0))</x:f>
        <x:v>0</x:v>
      </x:c>
      <x:c r="L1025" s="10" t="n">
        <x:f>SUM(XLOOKUP('포켓몬_편집'!$AF1025:$AN1025,'분류_규칙'!$A$5:$A$76,'분류_규칙'!$L$5:$L$76,0))</x:f>
        <x:v>0</x:v>
      </x:c>
      <x:c r="M1025" s="10" t="n">
        <x:f>SUM(XLOOKUP('포켓몬_편집'!$AF1025:$AN1025,'분류_규칙'!$A$5:$A$76,'분류_규칙'!$M$5:$M$76,0))</x:f>
        <x:v>0</x:v>
      </x:c>
      <x:c r="N1025" s="10" t="n">
        <x:f>SUM(XLOOKUP('포켓몬_편집'!$AF1025:$AN1025,'분류_규칙'!$A$5:$A$76,'분류_규칙'!$N$5:$N$76,0))</x:f>
        <x:v>0</x:v>
      </x:c>
      <x:c r="O1025" s="10" t="n">
        <x:f>SUM(XLOOKUP('포켓몬_편집'!$AF1025:$AN1025,'분류_규칙'!$A$5:$A$76,'분류_규칙'!$O$5:$O$76,0))</x:f>
        <x:v>2</x:v>
      </x:c>
      <x:c r="P1025" s="10" t="n">
        <x:f>SUM(XLOOKUP('포켓몬_편집'!$AF1025:$AN1025,'분류_규칙'!$A$5:$A$76,'분류_규칙'!$P$5:$P$76,0))</x:f>
        <x:v>0</x:v>
      </x:c>
    </x:row>
    <x:row r="1026" ht="22" customHeight="1">
      <x:c r="A1026" s="5" t="n">
        <x:v>1022</x:v>
      </x:c>
      <x:c r="B1026" s="5" t="inlineStr">
        <x:is>
          <x:t xml:space="preserve">무쇠암석</x:t>
        </x:is>
      </x:c>
      <x:c r="C1026" s="5" t="inlineStr">
        <x:is>
          <x:t xml:space="preserve">ironboulder</x:t>
        </x:is>
      </x:c>
      <x:c r="D1026" s="5" t="n">
        <x:v>9</x:v>
      </x:c>
      <x:c r="E1026" s="10" t="n">
        <x:f>SUM(XLOOKUP('포켓몬_편집'!$AF1026:$AN1026,'분류_규칙'!$A$5:$A$76,'분류_규칙'!$E$5:$E$76,0))</x:f>
        <x:v>10</x:v>
      </x:c>
      <x:c r="F1026" s="10" t="n">
        <x:f>SUM(XLOOKUP('포켓몬_편집'!$AF1026:$AN1026,'분류_규칙'!$A$5:$A$76,'분류_규칙'!$F$5:$F$76,0))</x:f>
        <x:v>7</x:v>
      </x:c>
      <x:c r="G1026" s="10" t="n">
        <x:f>SUM(XLOOKUP('포켓몬_편집'!$AF1026:$AN1026,'분류_규칙'!$A$5:$A$76,'분류_규칙'!$G$5:$G$76,0))</x:f>
        <x:v>5</x:v>
      </x:c>
      <x:c r="H1026" s="10" t="n">
        <x:f>SUM(XLOOKUP('포켓몬_편집'!$AF1026:$AN1026,'분류_규칙'!$A$5:$A$76,'분류_규칙'!$H$5:$H$76,0))</x:f>
        <x:v>5</x:v>
      </x:c>
      <x:c r="I1026" s="10" t="n">
        <x:f>SUM(XLOOKUP('포켓몬_편집'!$AF1026:$AN1026,'분류_규칙'!$A$5:$A$76,'분류_규칙'!$I$5:$I$76,0))</x:f>
        <x:v>0</x:v>
      </x:c>
      <x:c r="J1026" s="10" t="n">
        <x:f>SUM(XLOOKUP('포켓몬_편집'!$AF1026:$AN1026,'분류_규칙'!$A$5:$A$76,'분류_규칙'!$J$5:$J$76,0))</x:f>
        <x:v>2</x:v>
      </x:c>
      <x:c r="K1026" s="10" t="n">
        <x:f>SUM(XLOOKUP('포켓몬_편집'!$AF1026:$AN1026,'분류_규칙'!$A$5:$A$76,'분류_규칙'!$K$5:$K$76,0))</x:f>
        <x:v>0</x:v>
      </x:c>
      <x:c r="L1026" s="10" t="n">
        <x:f>SUM(XLOOKUP('포켓몬_편집'!$AF1026:$AN1026,'분류_규칙'!$A$5:$A$76,'분류_규칙'!$L$5:$L$76,0))</x:f>
        <x:v>0</x:v>
      </x:c>
      <x:c r="M1026" s="10" t="n">
        <x:f>SUM(XLOOKUP('포켓몬_편집'!$AF1026:$AN1026,'분류_규칙'!$A$5:$A$76,'분류_규칙'!$M$5:$M$76,0))</x:f>
        <x:v>0</x:v>
      </x:c>
      <x:c r="N1026" s="10" t="n">
        <x:f>SUM(XLOOKUP('포켓몬_편집'!$AF1026:$AN1026,'분류_규칙'!$A$5:$A$76,'분류_규칙'!$N$5:$N$76,0))</x:f>
        <x:v>0</x:v>
      </x:c>
      <x:c r="O1026" s="10" t="n">
        <x:f>SUM(XLOOKUP('포켓몬_편집'!$AF1026:$AN1026,'분류_규칙'!$A$5:$A$76,'분류_규칙'!$O$5:$O$76,0))</x:f>
        <x:v>2</x:v>
      </x:c>
      <x:c r="P1026" s="10" t="n">
        <x:f>SUM(XLOOKUP('포켓몬_편집'!$AF1026:$AN1026,'분류_규칙'!$A$5:$A$76,'분류_규칙'!$P$5:$P$76,0))</x:f>
        <x:v>0</x:v>
      </x:c>
    </x:row>
    <x:row r="1027" ht="22" customHeight="1">
      <x:c r="A1027" s="5" t="n">
        <x:v>1023</x:v>
      </x:c>
      <x:c r="B1027" s="5" t="inlineStr">
        <x:is>
          <x:t xml:space="preserve">무쇠감투</x:t>
        </x:is>
      </x:c>
      <x:c r="C1027" s="5" t="inlineStr">
        <x:is>
          <x:t xml:space="preserve">ironcrown</x:t>
        </x:is>
      </x:c>
      <x:c r="D1027" s="5" t="n">
        <x:v>9</x:v>
      </x:c>
      <x:c r="E1027" s="10" t="n">
        <x:f>SUM(XLOOKUP('포켓몬_편집'!$AF1027:$AN1027,'분류_규칙'!$A$5:$A$76,'분류_규칙'!$E$5:$E$76,0))</x:f>
        <x:v>10</x:v>
      </x:c>
      <x:c r="F1027" s="10" t="n">
        <x:f>SUM(XLOOKUP('포켓몬_편집'!$AF1027:$AN1027,'분류_규칙'!$A$5:$A$76,'분류_규칙'!$F$5:$F$76,0))</x:f>
        <x:v>7</x:v>
      </x:c>
      <x:c r="G1027" s="10" t="n">
        <x:f>SUM(XLOOKUP('포켓몬_편집'!$AF1027:$AN1027,'분류_규칙'!$A$5:$A$76,'분류_규칙'!$G$5:$G$76,0))</x:f>
        <x:v>5</x:v>
      </x:c>
      <x:c r="H1027" s="10" t="n">
        <x:f>SUM(XLOOKUP('포켓몬_편집'!$AF1027:$AN1027,'분류_규칙'!$A$5:$A$76,'분류_규칙'!$H$5:$H$76,0))</x:f>
        <x:v>5</x:v>
      </x:c>
      <x:c r="I1027" s="10" t="n">
        <x:f>SUM(XLOOKUP('포켓몬_편집'!$AF1027:$AN1027,'분류_규칙'!$A$5:$A$76,'분류_규칙'!$I$5:$I$76,0))</x:f>
        <x:v>0</x:v>
      </x:c>
      <x:c r="J1027" s="10" t="n">
        <x:f>SUM(XLOOKUP('포켓몬_편집'!$AF1027:$AN1027,'분류_규칙'!$A$5:$A$76,'분류_규칙'!$J$5:$J$76,0))</x:f>
        <x:v>2</x:v>
      </x:c>
      <x:c r="K1027" s="10" t="n">
        <x:f>SUM(XLOOKUP('포켓몬_편집'!$AF1027:$AN1027,'분류_규칙'!$A$5:$A$76,'분류_규칙'!$K$5:$K$76,0))</x:f>
        <x:v>0</x:v>
      </x:c>
      <x:c r="L1027" s="10" t="n">
        <x:f>SUM(XLOOKUP('포켓몬_편집'!$AF1027:$AN1027,'분류_규칙'!$A$5:$A$76,'분류_규칙'!$L$5:$L$76,0))</x:f>
        <x:v>0</x:v>
      </x:c>
      <x:c r="M1027" s="10" t="n">
        <x:f>SUM(XLOOKUP('포켓몬_편집'!$AF1027:$AN1027,'분류_규칙'!$A$5:$A$76,'분류_규칙'!$M$5:$M$76,0))</x:f>
        <x:v>0</x:v>
      </x:c>
      <x:c r="N1027" s="10" t="n">
        <x:f>SUM(XLOOKUP('포켓몬_편집'!$AF1027:$AN1027,'분류_규칙'!$A$5:$A$76,'분류_규칙'!$N$5:$N$76,0))</x:f>
        <x:v>0</x:v>
      </x:c>
      <x:c r="O1027" s="10" t="n">
        <x:f>SUM(XLOOKUP('포켓몬_편집'!$AF1027:$AN1027,'분류_규칙'!$A$5:$A$76,'분류_규칙'!$O$5:$O$76,0))</x:f>
        <x:v>2</x:v>
      </x:c>
      <x:c r="P1027" s="10" t="n">
        <x:f>SUM(XLOOKUP('포켓몬_편집'!$AF1027:$AN1027,'분류_규칙'!$A$5:$A$76,'분류_규칙'!$P$5:$P$76,0))</x:f>
        <x:v>0</x:v>
      </x:c>
    </x:row>
    <x:row r="1028" ht="22" customHeight="1">
      <x:c r="A1028" s="5" t="n">
        <x:v>1024</x:v>
      </x:c>
      <x:c r="B1028" s="5" t="inlineStr">
        <x:is>
          <x:t xml:space="preserve">테라파고스</x:t>
        </x:is>
      </x:c>
      <x:c r="C1028" s="5" t="inlineStr">
        <x:is>
          <x:t xml:space="preserve">terapagos</x:t>
        </x:is>
      </x:c>
      <x:c r="D1028" s="5" t="n">
        <x:v>9</x:v>
      </x:c>
      <x:c r="E1028" s="10" t="n">
        <x:f>SUM(XLOOKUP('포켓몬_편집'!$AF1028:$AN1028,'분류_규칙'!$A$5:$A$76,'분류_규칙'!$E$5:$E$76,0))</x:f>
        <x:v>10</x:v>
      </x:c>
      <x:c r="F1028" s="10" t="n">
        <x:f>SUM(XLOOKUP('포켓몬_편집'!$AF1028:$AN1028,'분류_규칙'!$A$5:$A$76,'분류_규칙'!$F$5:$F$76,0))</x:f>
        <x:v>7</x:v>
      </x:c>
      <x:c r="G1028" s="10" t="n">
        <x:f>SUM(XLOOKUP('포켓몬_편집'!$AF1028:$AN1028,'분류_규칙'!$A$5:$A$76,'분류_규칙'!$G$5:$G$76,0))</x:f>
        <x:v>5</x:v>
      </x:c>
      <x:c r="H1028" s="10" t="n">
        <x:f>SUM(XLOOKUP('포켓몬_편집'!$AF1028:$AN1028,'분류_규칙'!$A$5:$A$76,'분류_규칙'!$H$5:$H$76,0))</x:f>
        <x:v>5</x:v>
      </x:c>
      <x:c r="I1028" s="10" t="n">
        <x:f>SUM(XLOOKUP('포켓몬_편집'!$AF1028:$AN1028,'분류_규칙'!$A$5:$A$76,'분류_규칙'!$I$5:$I$76,0))</x:f>
        <x:v>0</x:v>
      </x:c>
      <x:c r="J1028" s="10" t="n">
        <x:f>SUM(XLOOKUP('포켓몬_편집'!$AF1028:$AN1028,'분류_규칙'!$A$5:$A$76,'분류_규칙'!$J$5:$J$76,0))</x:f>
        <x:v>2</x:v>
      </x:c>
      <x:c r="K1028" s="10" t="n">
        <x:f>SUM(XLOOKUP('포켓몬_편집'!$AF1028:$AN1028,'분류_규칙'!$A$5:$A$76,'분류_규칙'!$K$5:$K$76,0))</x:f>
        <x:v>0</x:v>
      </x:c>
      <x:c r="L1028" s="10" t="n">
        <x:f>SUM(XLOOKUP('포켓몬_편집'!$AF1028:$AN1028,'분류_규칙'!$A$5:$A$76,'분류_규칙'!$L$5:$L$76,0))</x:f>
        <x:v>0</x:v>
      </x:c>
      <x:c r="M1028" s="10" t="n">
        <x:f>SUM(XLOOKUP('포켓몬_편집'!$AF1028:$AN1028,'분류_규칙'!$A$5:$A$76,'분류_규칙'!$M$5:$M$76,0))</x:f>
        <x:v>0</x:v>
      </x:c>
      <x:c r="N1028" s="10" t="n">
        <x:f>SUM(XLOOKUP('포켓몬_편집'!$AF1028:$AN1028,'분류_규칙'!$A$5:$A$76,'분류_규칙'!$N$5:$N$76,0))</x:f>
        <x:v>0</x:v>
      </x:c>
      <x:c r="O1028" s="10" t="n">
        <x:f>SUM(XLOOKUP('포켓몬_편집'!$AF1028:$AN1028,'분류_규칙'!$A$5:$A$76,'분류_규칙'!$O$5:$O$76,0))</x:f>
        <x:v>2</x:v>
      </x:c>
      <x:c r="P1028" s="10" t="n">
        <x:f>SUM(XLOOKUP('포켓몬_편집'!$AF1028:$AN1028,'분류_규칙'!$A$5:$A$76,'분류_규칙'!$P$5:$P$76,0))</x:f>
        <x:v>0</x:v>
      </x:c>
    </x:row>
    <x:row r="1029" ht="22" customHeight="1">
      <x:c r="A1029" s="5" t="n">
        <x:v>1025</x:v>
      </x:c>
      <x:c r="B1029" s="5" t="inlineStr">
        <x:is>
          <x:t xml:space="preserve">복숭악동</x:t>
        </x:is>
      </x:c>
      <x:c r="C1029" s="5" t="inlineStr">
        <x:is>
          <x:t xml:space="preserve">pecharunt</x:t>
        </x:is>
      </x:c>
      <x:c r="D1029" s="5" t="n">
        <x:v>9</x:v>
      </x:c>
      <x:c r="E1029" s="10" t="n">
        <x:f>SUM(XLOOKUP('포켓몬_편집'!$AF1029:$AN1029,'분류_규칙'!$A$5:$A$76,'분류_규칙'!$E$5:$E$76,0))</x:f>
        <x:v>0</x:v>
      </x:c>
      <x:c r="F1029" s="10" t="n">
        <x:f>SUM(XLOOKUP('포켓몬_편집'!$AF1029:$AN1029,'분류_규칙'!$A$5:$A$76,'분류_규칙'!$F$5:$F$76,0))</x:f>
        <x:v>0</x:v>
      </x:c>
      <x:c r="G1029" s="10" t="n">
        <x:f>SUM(XLOOKUP('포켓몬_편집'!$AF1029:$AN1029,'분류_규칙'!$A$5:$A$76,'분류_규칙'!$G$5:$G$76,0))</x:f>
        <x:v>0</x:v>
      </x:c>
      <x:c r="H1029" s="10" t="n">
        <x:f>SUM(XLOOKUP('포켓몬_편집'!$AF1029:$AN1029,'분류_규칙'!$A$5:$A$76,'분류_규칙'!$H$5:$H$76,0))</x:f>
        <x:v>0</x:v>
      </x:c>
      <x:c r="I1029" s="10" t="n">
        <x:f>SUM(XLOOKUP('포켓몬_편집'!$AF1029:$AN1029,'분류_규칙'!$A$5:$A$76,'분류_규칙'!$I$5:$I$76,0))</x:f>
        <x:v>10</x:v>
      </x:c>
      <x:c r="J1029" s="10" t="n">
        <x:f>SUM(XLOOKUP('포켓몬_편집'!$AF1029:$AN1029,'분류_규칙'!$A$5:$A$76,'분류_규칙'!$J$5:$J$76,0))</x:f>
        <x:v>0</x:v>
      </x:c>
      <x:c r="K1029" s="10" t="n">
        <x:f>SUM(XLOOKUP('포켓몬_편집'!$AF1029:$AN1029,'분류_규칙'!$A$5:$A$76,'분류_규칙'!$K$5:$K$76,0))</x:f>
        <x:v>0</x:v>
      </x:c>
      <x:c r="L1029" s="10" t="n">
        <x:f>SUM(XLOOKUP('포켓몬_편집'!$AF1029:$AN1029,'분류_규칙'!$A$5:$A$76,'분류_규칙'!$L$5:$L$76,0))</x:f>
        <x:v>0</x:v>
      </x:c>
      <x:c r="M1029" s="10" t="n">
        <x:f>SUM(XLOOKUP('포켓몬_편집'!$AF1029:$AN1029,'분류_규칙'!$A$5:$A$76,'분류_규칙'!$M$5:$M$76,0))</x:f>
        <x:v>0</x:v>
      </x:c>
      <x:c r="N1029" s="10" t="n">
        <x:f>SUM(XLOOKUP('포켓몬_편집'!$AF1029:$AN1029,'분류_규칙'!$A$5:$A$76,'분류_규칙'!$N$5:$N$76,0))</x:f>
        <x:v>0</x:v>
      </x:c>
      <x:c r="O1029" s="10" t="n">
        <x:f>SUM(XLOOKUP('포켓몬_편집'!$AF1029:$AN1029,'분류_규칙'!$A$5:$A$76,'분류_규칙'!$O$5:$O$76,0))</x:f>
        <x:v>5</x:v>
      </x:c>
      <x:c r="P1029" s="10" t="n">
        <x:f>SUM(XLOOKUP('포켓몬_편집'!$AF1029:$AN1029,'분류_규칙'!$A$5:$A$76,'분류_규칙'!$P$5:$P$76,0))</x:f>
        <x:v>25</x:v>
      </x:c>
    </x:row>
  </x:sheetData>
  <x:mergeCells>
    <x:mergeCell ref="A1:P1"/>
    <x:mergeCell ref="A2:P2"/>
  </x:mergeCells>
  <x:conditionalFormatting sqref="E5:P1029">
    <x:cfRule type="cellIs" dxfId="1" priority="1" operator="greaterThanOrEqual">
      <x:formula>40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4" customWidth="1"/>
    <x:col min="3" max="3" width="14" customWidth="1"/>
    <x:col min="4" max="4" width="32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</x:cols>
  <x:sheetData>
    <x:row r="1" ht="30" customHeight="1">
      <x:c r="A1" s="1" t="inlineStr">
        <x:is>
          <x:t xml:space="preserve">서식지 자동 분류 점수표</x:t>
        </x:is>
      </x:c>
    </x:row>
    <x:row r="2" ht="32" customHeight="1">
      <x:c r="A2" s="2" t="inlineStr">
        <x:is>
          <x:t xml:space="preserve">점수는 편집 가능한 기준값입니다. 타입은 보조 근거, 생활권과 원본 서식지는 강한 근거로 사용합니다.</x:t>
        </x:is>
      </x:c>
    </x:row>
    <x:row r="4" ht="36" customHeight="1">
      <x:c r="A4" s="3" t="inlineStr">
        <x:is>
          <x:t xml:space="preserve">조회키</x:t>
        </x:is>
      </x:c>
      <x:c r="B4" s="3" t="inlineStr">
        <x:is>
          <x:t xml:space="preserve">분류항목</x:t>
        </x:is>
      </x:c>
      <x:c r="C4" s="3" t="inlineStr">
        <x:is>
          <x:t xml:space="preserve">입력값</x:t>
        </x:is>
      </x:c>
      <x:c r="D4" s="3" t="inlineStr">
        <x:is>
          <x:t xml:space="preserve">설명</x:t>
        </x:is>
      </x:c>
      <x:c r="E4" s="3" t="inlineStr">
        <x:is>
          <x:t xml:space="preserve">평원</x:t>
        </x:is>
      </x:c>
      <x:c r="F4" s="3" t="inlineStr">
        <x:is>
          <x:t xml:space="preserve">숲</x:t>
        </x:is>
      </x:c>
      <x:c r="G4" s="3" t="inlineStr">
        <x:is>
          <x:t xml:space="preserve">건조지</x:t>
        </x:is>
      </x:c>
      <x:c r="H4" s="3" t="inlineStr">
        <x:is>
          <x:t xml:space="preserve">산악</x:t>
        </x:is>
      </x:c>
      <x:c r="I4" s="3" t="inlineStr">
        <x:is>
          <x:t xml:space="preserve">동굴</x:t>
        </x:is>
      </x:c>
      <x:c r="J4" s="3" t="inlineStr">
        <x:is>
          <x:t xml:space="preserve">습지</x:t>
        </x:is>
      </x:c>
      <x:c r="K4" s="3" t="inlineStr">
        <x:is>
          <x:t xml:space="preserve">담수</x:t>
        </x:is>
      </x:c>
      <x:c r="L4" s="3" t="inlineStr">
        <x:is>
          <x:t xml:space="preserve">해양</x:t>
        </x:is>
      </x:c>
      <x:c r="M4" s="3" t="inlineStr">
        <x:is>
          <x:t xml:space="preserve">설원</x:t>
        </x:is>
      </x:c>
      <x:c r="N4" s="3" t="inlineStr">
        <x:is>
          <x:t xml:space="preserve">화산</x:t>
        </x:is>
      </x:c>
      <x:c r="O4" s="3" t="inlineStr">
        <x:is>
          <x:t xml:space="preserve">도시</x:t>
        </x:is>
      </x:c>
      <x:c r="P4" s="3" t="inlineStr">
        <x:is>
          <x:t xml:space="preserve">특수</x:t>
        </x:is>
      </x:c>
    </x:row>
    <x:row r="5" ht="22" customHeight="1">
      <x:c r="A5" s="5" t="inlineStr">
        <x:is>
          <x:t xml:space="preserve">원본서식지|평원</x:t>
        </x:is>
      </x:c>
      <x:c r="B5" s="5" t="inlineStr">
        <x:is>
          <x:t xml:space="preserve">원본서식지</x:t>
        </x:is>
      </x:c>
      <x:c r="C5" s="5" t="inlineStr">
        <x:is>
          <x:t xml:space="preserve">평원</x:t>
        </x:is>
      </x:c>
      <x:c r="D5" s="5" t="inlineStr">
        <x:is>
          <x:t xml:space="preserve">기존 Cobblemon·COBBLEVERSE 바이옴의 대분류</x:t>
        </x:is>
      </x:c>
      <x:c r="E5" s="11" t="n">
        <x:v>40</x:v>
      </x:c>
      <x:c r="F5" s="11" t="n">
        <x:v>0</x:v>
      </x:c>
      <x:c r="G5" s="11" t="n">
        <x:v>0</x:v>
      </x:c>
      <x:c r="H5" s="11" t="n">
        <x:v>0</x:v>
      </x:c>
      <x:c r="I5" s="11" t="n">
        <x:v>0</x:v>
      </x:c>
      <x:c r="J5" s="11" t="n">
        <x:v>0</x:v>
      </x:c>
      <x:c r="K5" s="11" t="n">
        <x:v>0</x:v>
      </x:c>
      <x:c r="L5" s="11" t="n">
        <x:v>0</x:v>
      </x:c>
      <x:c r="M5" s="11" t="n">
        <x:v>0</x:v>
      </x:c>
      <x:c r="N5" s="11" t="n">
        <x:v>0</x:v>
      </x:c>
      <x:c r="O5" s="11" t="n">
        <x:v>0</x:v>
      </x:c>
      <x:c r="P5" s="11" t="n">
        <x:v>0</x:v>
      </x:c>
    </x:row>
    <x:row r="6" ht="22" customHeight="1">
      <x:c r="A6" s="5" t="inlineStr">
        <x:is>
          <x:t xml:space="preserve">원본서식지|숲</x:t>
        </x:is>
      </x:c>
      <x:c r="B6" s="5" t="inlineStr">
        <x:is>
          <x:t xml:space="preserve">원본서식지</x:t>
        </x:is>
      </x:c>
      <x:c r="C6" s="5" t="inlineStr">
        <x:is>
          <x:t xml:space="preserve">숲</x:t>
        </x:is>
      </x:c>
      <x:c r="D6" s="5" t="inlineStr">
        <x:is>
          <x:t xml:space="preserve">기존 Cobblemon·COBBLEVERSE 바이옴의 대분류</x:t>
        </x:is>
      </x:c>
      <x:c r="E6" s="11" t="n">
        <x:v>0</x:v>
      </x:c>
      <x:c r="F6" s="11" t="n">
        <x:v>40</x:v>
      </x:c>
      <x:c r="G6" s="11" t="n">
        <x:v>0</x:v>
      </x:c>
      <x:c r="H6" s="11" t="n">
        <x:v>0</x:v>
      </x:c>
      <x:c r="I6" s="11" t="n">
        <x:v>0</x:v>
      </x:c>
      <x:c r="J6" s="11" t="n">
        <x:v>0</x:v>
      </x:c>
      <x:c r="K6" s="11" t="n">
        <x:v>0</x:v>
      </x:c>
      <x:c r="L6" s="11" t="n">
        <x:v>0</x:v>
      </x:c>
      <x:c r="M6" s="11" t="n">
        <x:v>0</x:v>
      </x:c>
      <x:c r="N6" s="11" t="n">
        <x:v>0</x:v>
      </x:c>
      <x:c r="O6" s="11" t="n">
        <x:v>0</x:v>
      </x:c>
      <x:c r="P6" s="11" t="n">
        <x:v>0</x:v>
      </x:c>
    </x:row>
    <x:row r="7" ht="22" customHeight="1">
      <x:c r="A7" s="5" t="inlineStr">
        <x:is>
          <x:t xml:space="preserve">원본서식지|건조지</x:t>
        </x:is>
      </x:c>
      <x:c r="B7" s="5" t="inlineStr">
        <x:is>
          <x:t xml:space="preserve">원본서식지</x:t>
        </x:is>
      </x:c>
      <x:c r="C7" s="5" t="inlineStr">
        <x:is>
          <x:t xml:space="preserve">건조지</x:t>
        </x:is>
      </x:c>
      <x:c r="D7" s="5" t="inlineStr">
        <x:is>
          <x:t xml:space="preserve">기존 Cobblemon·COBBLEVERSE 바이옴의 대분류</x:t>
        </x:is>
      </x:c>
      <x:c r="E7" s="11" t="n">
        <x:v>0</x:v>
      </x:c>
      <x:c r="F7" s="11" t="n">
        <x:v>0</x:v>
      </x:c>
      <x:c r="G7" s="11" t="n">
        <x:v>40</x:v>
      </x:c>
      <x:c r="H7" s="11" t="n">
        <x:v>0</x:v>
      </x:c>
      <x:c r="I7" s="11" t="n">
        <x:v>0</x:v>
      </x:c>
      <x:c r="J7" s="11" t="n">
        <x:v>0</x:v>
      </x:c>
      <x:c r="K7" s="11" t="n">
        <x:v>0</x:v>
      </x:c>
      <x:c r="L7" s="11" t="n">
        <x:v>0</x:v>
      </x:c>
      <x:c r="M7" s="11" t="n">
        <x:v>0</x:v>
      </x:c>
      <x:c r="N7" s="11" t="n">
        <x:v>0</x:v>
      </x:c>
      <x:c r="O7" s="11" t="n">
        <x:v>0</x:v>
      </x:c>
      <x:c r="P7" s="11" t="n">
        <x:v>0</x:v>
      </x:c>
    </x:row>
    <x:row r="8" ht="22" customHeight="1">
      <x:c r="A8" s="5" t="inlineStr">
        <x:is>
          <x:t xml:space="preserve">원본서식지|산악</x:t>
        </x:is>
      </x:c>
      <x:c r="B8" s="5" t="inlineStr">
        <x:is>
          <x:t xml:space="preserve">원본서식지</x:t>
        </x:is>
      </x:c>
      <x:c r="C8" s="5" t="inlineStr">
        <x:is>
          <x:t xml:space="preserve">산악</x:t>
        </x:is>
      </x:c>
      <x:c r="D8" s="5" t="inlineStr">
        <x:is>
          <x:t xml:space="preserve">기존 Cobblemon·COBBLEVERSE 바이옴의 대분류</x:t>
        </x:is>
      </x:c>
      <x:c r="E8" s="11" t="n">
        <x:v>0</x:v>
      </x:c>
      <x:c r="F8" s="11" t="n">
        <x:v>0</x:v>
      </x:c>
      <x:c r="G8" s="11" t="n">
        <x:v>0</x:v>
      </x:c>
      <x:c r="H8" s="11" t="n">
        <x:v>40</x:v>
      </x:c>
      <x:c r="I8" s="11" t="n">
        <x:v>0</x:v>
      </x:c>
      <x:c r="J8" s="11" t="n">
        <x:v>0</x:v>
      </x:c>
      <x:c r="K8" s="11" t="n">
        <x:v>0</x:v>
      </x:c>
      <x:c r="L8" s="11" t="n">
        <x:v>0</x:v>
      </x:c>
      <x:c r="M8" s="11" t="n">
        <x:v>0</x:v>
      </x:c>
      <x:c r="N8" s="11" t="n">
        <x:v>0</x:v>
      </x:c>
      <x:c r="O8" s="11" t="n">
        <x:v>0</x:v>
      </x:c>
      <x:c r="P8" s="11" t="n">
        <x:v>0</x:v>
      </x:c>
    </x:row>
    <x:row r="9" ht="22" customHeight="1">
      <x:c r="A9" s="5" t="inlineStr">
        <x:is>
          <x:t xml:space="preserve">원본서식지|동굴</x:t>
        </x:is>
      </x:c>
      <x:c r="B9" s="5" t="inlineStr">
        <x:is>
          <x:t xml:space="preserve">원본서식지</x:t>
        </x:is>
      </x:c>
      <x:c r="C9" s="5" t="inlineStr">
        <x:is>
          <x:t xml:space="preserve">동굴</x:t>
        </x:is>
      </x:c>
      <x:c r="D9" s="5" t="inlineStr">
        <x:is>
          <x:t xml:space="preserve">기존 Cobblemon·COBBLEVERSE 바이옴의 대분류</x:t>
        </x:is>
      </x:c>
      <x:c r="E9" s="11" t="n">
        <x:v>0</x:v>
      </x:c>
      <x:c r="F9" s="11" t="n">
        <x:v>0</x:v>
      </x:c>
      <x:c r="G9" s="11" t="n">
        <x:v>0</x:v>
      </x:c>
      <x:c r="H9" s="11" t="n">
        <x:v>0</x:v>
      </x:c>
      <x:c r="I9" s="11" t="n">
        <x:v>40</x:v>
      </x:c>
      <x:c r="J9" s="11" t="n">
        <x:v>0</x:v>
      </x:c>
      <x:c r="K9" s="11" t="n">
        <x:v>0</x:v>
      </x:c>
      <x:c r="L9" s="11" t="n">
        <x:v>0</x:v>
      </x:c>
      <x:c r="M9" s="11" t="n">
        <x:v>0</x:v>
      </x:c>
      <x:c r="N9" s="11" t="n">
        <x:v>0</x:v>
      </x:c>
      <x:c r="O9" s="11" t="n">
        <x:v>0</x:v>
      </x:c>
      <x:c r="P9" s="11" t="n">
        <x:v>0</x:v>
      </x:c>
    </x:row>
    <x:row r="10" ht="22" customHeight="1">
      <x:c r="A10" s="5" t="inlineStr">
        <x:is>
          <x:t xml:space="preserve">원본서식지|습지</x:t>
        </x:is>
      </x:c>
      <x:c r="B10" s="5" t="inlineStr">
        <x:is>
          <x:t xml:space="preserve">원본서식지</x:t>
        </x:is>
      </x:c>
      <x:c r="C10" s="5" t="inlineStr">
        <x:is>
          <x:t xml:space="preserve">습지</x:t>
        </x:is>
      </x:c>
      <x:c r="D10" s="5" t="inlineStr">
        <x:is>
          <x:t xml:space="preserve">기존 Cobblemon·COBBLEVERSE 바이옴의 대분류</x:t>
        </x:is>
      </x:c>
      <x:c r="E10" s="11" t="n">
        <x:v>0</x:v>
      </x:c>
      <x:c r="F10" s="11" t="n">
        <x:v>0</x:v>
      </x:c>
      <x:c r="G10" s="11" t="n">
        <x:v>0</x:v>
      </x:c>
      <x:c r="H10" s="11" t="n">
        <x:v>0</x:v>
      </x:c>
      <x:c r="I10" s="11" t="n">
        <x:v>0</x:v>
      </x:c>
      <x:c r="J10" s="11" t="n">
        <x:v>40</x:v>
      </x:c>
      <x:c r="K10" s="11" t="n">
        <x:v>0</x:v>
      </x:c>
      <x:c r="L10" s="11" t="n">
        <x:v>0</x:v>
      </x:c>
      <x:c r="M10" s="11" t="n">
        <x:v>0</x:v>
      </x:c>
      <x:c r="N10" s="11" t="n">
        <x:v>0</x:v>
      </x:c>
      <x:c r="O10" s="11" t="n">
        <x:v>0</x:v>
      </x:c>
      <x:c r="P10" s="11" t="n">
        <x:v>0</x:v>
      </x:c>
    </x:row>
    <x:row r="11" ht="22" customHeight="1">
      <x:c r="A11" s="5" t="inlineStr">
        <x:is>
          <x:t xml:space="preserve">원본서식지|담수</x:t>
        </x:is>
      </x:c>
      <x:c r="B11" s="5" t="inlineStr">
        <x:is>
          <x:t xml:space="preserve">원본서식지</x:t>
        </x:is>
      </x:c>
      <x:c r="C11" s="5" t="inlineStr">
        <x:is>
          <x:t xml:space="preserve">담수</x:t>
        </x:is>
      </x:c>
      <x:c r="D11" s="5" t="inlineStr">
        <x:is>
          <x:t xml:space="preserve">기존 Cobblemon·COBBLEVERSE 바이옴의 대분류</x:t>
        </x:is>
      </x:c>
      <x:c r="E11" s="11" t="n">
        <x:v>0</x:v>
      </x:c>
      <x:c r="F11" s="11" t="n">
        <x:v>0</x:v>
      </x:c>
      <x:c r="G11" s="11" t="n">
        <x:v>0</x:v>
      </x:c>
      <x:c r="H11" s="11" t="n">
        <x:v>0</x:v>
      </x:c>
      <x:c r="I11" s="11" t="n">
        <x:v>0</x:v>
      </x:c>
      <x:c r="J11" s="11" t="n">
        <x:v>0</x:v>
      </x:c>
      <x:c r="K11" s="11" t="n">
        <x:v>40</x:v>
      </x:c>
      <x:c r="L11" s="11" t="n">
        <x:v>0</x:v>
      </x:c>
      <x:c r="M11" s="11" t="n">
        <x:v>0</x:v>
      </x:c>
      <x:c r="N11" s="11" t="n">
        <x:v>0</x:v>
      </x:c>
      <x:c r="O11" s="11" t="n">
        <x:v>0</x:v>
      </x:c>
      <x:c r="P11" s="11" t="n">
        <x:v>0</x:v>
      </x:c>
    </x:row>
    <x:row r="12" ht="22" customHeight="1">
      <x:c r="A12" s="5" t="inlineStr">
        <x:is>
          <x:t xml:space="preserve">원본서식지|해양</x:t>
        </x:is>
      </x:c>
      <x:c r="B12" s="5" t="inlineStr">
        <x:is>
          <x:t xml:space="preserve">원본서식지</x:t>
        </x:is>
      </x:c>
      <x:c r="C12" s="5" t="inlineStr">
        <x:is>
          <x:t xml:space="preserve">해양</x:t>
        </x:is>
      </x:c>
      <x:c r="D12" s="5" t="inlineStr">
        <x:is>
          <x:t xml:space="preserve">기존 Cobblemon·COBBLEVERSE 바이옴의 대분류</x:t>
        </x:is>
      </x:c>
      <x:c r="E12" s="11" t="n">
        <x:v>0</x:v>
      </x:c>
      <x:c r="F12" s="11" t="n">
        <x:v>0</x:v>
      </x:c>
      <x:c r="G12" s="11" t="n">
        <x:v>0</x:v>
      </x:c>
      <x:c r="H12" s="11" t="n">
        <x:v>0</x:v>
      </x:c>
      <x:c r="I12" s="11" t="n">
        <x:v>0</x:v>
      </x:c>
      <x:c r="J12" s="11" t="n">
        <x:v>0</x:v>
      </x:c>
      <x:c r="K12" s="11" t="n">
        <x:v>0</x:v>
      </x:c>
      <x:c r="L12" s="11" t="n">
        <x:v>40</x:v>
      </x:c>
      <x:c r="M12" s="11" t="n">
        <x:v>0</x:v>
      </x:c>
      <x:c r="N12" s="11" t="n">
        <x:v>0</x:v>
      </x:c>
      <x:c r="O12" s="11" t="n">
        <x:v>0</x:v>
      </x:c>
      <x:c r="P12" s="11" t="n">
        <x:v>0</x:v>
      </x:c>
    </x:row>
    <x:row r="13" ht="22" customHeight="1">
      <x:c r="A13" s="5" t="inlineStr">
        <x:is>
          <x:t xml:space="preserve">원본서식지|설원</x:t>
        </x:is>
      </x:c>
      <x:c r="B13" s="5" t="inlineStr">
        <x:is>
          <x:t xml:space="preserve">원본서식지</x:t>
        </x:is>
      </x:c>
      <x:c r="C13" s="5" t="inlineStr">
        <x:is>
          <x:t xml:space="preserve">설원</x:t>
        </x:is>
      </x:c>
      <x:c r="D13" s="5" t="inlineStr">
        <x:is>
          <x:t xml:space="preserve">기존 Cobblemon·COBBLEVERSE 바이옴의 대분류</x:t>
        </x:is>
      </x:c>
      <x:c r="E13" s="11" t="n">
        <x:v>0</x:v>
      </x:c>
      <x:c r="F13" s="11" t="n">
        <x:v>0</x:v>
      </x:c>
      <x:c r="G13" s="11" t="n">
        <x:v>0</x:v>
      </x:c>
      <x:c r="H13" s="11" t="n">
        <x:v>0</x:v>
      </x:c>
      <x:c r="I13" s="11" t="n">
        <x:v>0</x:v>
      </x:c>
      <x:c r="J13" s="11" t="n">
        <x:v>0</x:v>
      </x:c>
      <x:c r="K13" s="11" t="n">
        <x:v>0</x:v>
      </x:c>
      <x:c r="L13" s="11" t="n">
        <x:v>0</x:v>
      </x:c>
      <x:c r="M13" s="11" t="n">
        <x:v>40</x:v>
      </x:c>
      <x:c r="N13" s="11" t="n">
        <x:v>0</x:v>
      </x:c>
      <x:c r="O13" s="11" t="n">
        <x:v>0</x:v>
      </x:c>
      <x:c r="P13" s="11" t="n">
        <x:v>0</x:v>
      </x:c>
    </x:row>
    <x:row r="14" ht="22" customHeight="1">
      <x:c r="A14" s="5" t="inlineStr">
        <x:is>
          <x:t xml:space="preserve">원본서식지|화산</x:t>
        </x:is>
      </x:c>
      <x:c r="B14" s="5" t="inlineStr">
        <x:is>
          <x:t xml:space="preserve">원본서식지</x:t>
        </x:is>
      </x:c>
      <x:c r="C14" s="5" t="inlineStr">
        <x:is>
          <x:t xml:space="preserve">화산</x:t>
        </x:is>
      </x:c>
      <x:c r="D14" s="5" t="inlineStr">
        <x:is>
          <x:t xml:space="preserve">기존 Cobblemon·COBBLEVERSE 바이옴의 대분류</x:t>
        </x:is>
      </x:c>
      <x:c r="E14" s="11" t="n">
        <x:v>0</x:v>
      </x:c>
      <x:c r="F14" s="11" t="n">
        <x:v>0</x:v>
      </x:c>
      <x:c r="G14" s="11" t="n">
        <x:v>0</x:v>
      </x:c>
      <x:c r="H14" s="11" t="n">
        <x:v>0</x:v>
      </x:c>
      <x:c r="I14" s="11" t="n">
        <x:v>0</x:v>
      </x:c>
      <x:c r="J14" s="11" t="n">
        <x:v>0</x:v>
      </x:c>
      <x:c r="K14" s="11" t="n">
        <x:v>0</x:v>
      </x:c>
      <x:c r="L14" s="11" t="n">
        <x:v>0</x:v>
      </x:c>
      <x:c r="M14" s="11" t="n">
        <x:v>0</x:v>
      </x:c>
      <x:c r="N14" s="11" t="n">
        <x:v>40</x:v>
      </x:c>
      <x:c r="O14" s="11" t="n">
        <x:v>0</x:v>
      </x:c>
      <x:c r="P14" s="11" t="n">
        <x:v>0</x:v>
      </x:c>
    </x:row>
    <x:row r="15" ht="22" customHeight="1">
      <x:c r="A15" s="5" t="inlineStr">
        <x:is>
          <x:t xml:space="preserve">원본서식지|도시</x:t>
        </x:is>
      </x:c>
      <x:c r="B15" s="5" t="inlineStr">
        <x:is>
          <x:t xml:space="preserve">원본서식지</x:t>
        </x:is>
      </x:c>
      <x:c r="C15" s="5" t="inlineStr">
        <x:is>
          <x:t xml:space="preserve">도시</x:t>
        </x:is>
      </x:c>
      <x:c r="D15" s="5" t="inlineStr">
        <x:is>
          <x:t xml:space="preserve">기존 Cobblemon·COBBLEVERSE 바이옴의 대분류</x:t>
        </x:is>
      </x:c>
      <x:c r="E15" s="11" t="n">
        <x:v>0</x:v>
      </x:c>
      <x:c r="F15" s="11" t="n">
        <x:v>0</x:v>
      </x:c>
      <x:c r="G15" s="11" t="n">
        <x:v>0</x:v>
      </x:c>
      <x:c r="H15" s="11" t="n">
        <x:v>0</x:v>
      </x:c>
      <x:c r="I15" s="11" t="n">
        <x:v>0</x:v>
      </x:c>
      <x:c r="J15" s="11" t="n">
        <x:v>0</x:v>
      </x:c>
      <x:c r="K15" s="11" t="n">
        <x:v>0</x:v>
      </x:c>
      <x:c r="L15" s="11" t="n">
        <x:v>0</x:v>
      </x:c>
      <x:c r="M15" s="11" t="n">
        <x:v>0</x:v>
      </x:c>
      <x:c r="N15" s="11" t="n">
        <x:v>0</x:v>
      </x:c>
      <x:c r="O15" s="11" t="n">
        <x:v>40</x:v>
      </x:c>
      <x:c r="P15" s="11" t="n">
        <x:v>0</x:v>
      </x:c>
    </x:row>
    <x:row r="16" ht="22" customHeight="1">
      <x:c r="A16" s="5" t="inlineStr">
        <x:is>
          <x:t xml:space="preserve">원본서식지|특수</x:t>
        </x:is>
      </x:c>
      <x:c r="B16" s="5" t="inlineStr">
        <x:is>
          <x:t xml:space="preserve">원본서식지</x:t>
        </x:is>
      </x:c>
      <x:c r="C16" s="5" t="inlineStr">
        <x:is>
          <x:t xml:space="preserve">특수</x:t>
        </x:is>
      </x:c>
      <x:c r="D16" s="5" t="inlineStr">
        <x:is>
          <x:t xml:space="preserve">기존 Cobblemon·COBBLEVERSE 바이옴의 대분류</x:t>
        </x:is>
      </x:c>
      <x:c r="E16" s="11" t="n">
        <x:v>0</x:v>
      </x:c>
      <x:c r="F16" s="11" t="n">
        <x:v>0</x:v>
      </x:c>
      <x:c r="G16" s="11" t="n">
        <x:v>0</x:v>
      </x:c>
      <x:c r="H16" s="11" t="n">
        <x:v>0</x:v>
      </x:c>
      <x:c r="I16" s="11" t="n">
        <x:v>0</x:v>
      </x:c>
      <x:c r="J16" s="11" t="n">
        <x:v>0</x:v>
      </x:c>
      <x:c r="K16" s="11" t="n">
        <x:v>0</x:v>
      </x:c>
      <x:c r="L16" s="11" t="n">
        <x:v>0</x:v>
      </x:c>
      <x:c r="M16" s="11" t="n">
        <x:v>0</x:v>
      </x:c>
      <x:c r="N16" s="11" t="n">
        <x:v>0</x:v>
      </x:c>
      <x:c r="O16" s="11" t="n">
        <x:v>0</x:v>
      </x:c>
      <x:c r="P16" s="11" t="n">
        <x:v>40</x:v>
      </x:c>
    </x:row>
    <x:row r="17" ht="22" customHeight="1">
      <x:c r="A17" s="5" t="inlineStr">
        <x:is>
          <x:t xml:space="preserve">생활권|육상</x:t>
        </x:is>
      </x:c>
      <x:c r="B17" s="5" t="inlineStr">
        <x:is>
          <x:t xml:space="preserve">생활권</x:t>
        </x:is>
      </x:c>
      <x:c r="C17" s="5" t="inlineStr">
        <x:is>
          <x:t xml:space="preserve">육상</x:t>
        </x:is>
      </x:c>
      <x:c r="D17" s="5" t="inlineStr">
        <x:is>
          <x:t xml:space="preserve">가장 강한 기본 생태 기준</x:t>
        </x:is>
      </x:c>
      <x:c r="E17" s="11" t="n">
        <x:v>10</x:v>
      </x:c>
      <x:c r="F17" s="11" t="n">
        <x:v>7</x:v>
      </x:c>
      <x:c r="G17" s="11" t="n">
        <x:v>5</x:v>
      </x:c>
      <x:c r="H17" s="11" t="n">
        <x:v>5</x:v>
      </x:c>
      <x:c r="I17" s="11" t="n">
        <x:v>0</x:v>
      </x:c>
      <x:c r="J17" s="11" t="n">
        <x:v>2</x:v>
      </x:c>
      <x:c r="K17" s="11" t="n">
        <x:v>0</x:v>
      </x:c>
      <x:c r="L17" s="11" t="n">
        <x:v>0</x:v>
      </x:c>
      <x:c r="M17" s="11" t="n">
        <x:v>0</x:v>
      </x:c>
      <x:c r="N17" s="11" t="n">
        <x:v>0</x:v>
      </x:c>
      <x:c r="O17" s="11" t="n">
        <x:v>2</x:v>
      </x:c>
      <x:c r="P17" s="11" t="n">
        <x:v>0</x:v>
      </x:c>
    </x:row>
    <x:row r="18" ht="22" customHeight="1">
      <x:c r="A18" s="5" t="inlineStr">
        <x:is>
          <x:t xml:space="preserve">생활권|비행</x:t>
        </x:is>
      </x:c>
      <x:c r="B18" s="5" t="inlineStr">
        <x:is>
          <x:t xml:space="preserve">생활권</x:t>
        </x:is>
      </x:c>
      <x:c r="C18" s="5" t="inlineStr">
        <x:is>
          <x:t xml:space="preserve">비행</x:t>
        </x:is>
      </x:c>
      <x:c r="D18" s="5" t="inlineStr">
        <x:is>
          <x:t xml:space="preserve">가장 강한 기본 생태 기준</x:t>
        </x:is>
      </x:c>
      <x:c r="E18" s="11" t="n">
        <x:v>8</x:v>
      </x:c>
      <x:c r="F18" s="11" t="n">
        <x:v>8</x:v>
      </x:c>
      <x:c r="G18" s="11" t="n">
        <x:v>0</x:v>
      </x:c>
      <x:c r="H18" s="11" t="n">
        <x:v>12</x:v>
      </x:c>
      <x:c r="I18" s="11" t="n">
        <x:v>0</x:v>
      </x:c>
      <x:c r="J18" s="11" t="n">
        <x:v>0</x:v>
      </x:c>
      <x:c r="K18" s="11" t="n">
        <x:v>0</x:v>
      </x:c>
      <x:c r="L18" s="11" t="n">
        <x:v>3</x:v>
      </x:c>
      <x:c r="M18" s="11" t="n">
        <x:v>0</x:v>
      </x:c>
      <x:c r="N18" s="11" t="n">
        <x:v>0</x:v>
      </x:c>
      <x:c r="O18" s="11" t="n">
        <x:v>2</x:v>
      </x:c>
      <x:c r="P18" s="11" t="n">
        <x:v>0</x:v>
      </x:c>
    </x:row>
    <x:row r="19" ht="22" customHeight="1">
      <x:c r="A19" s="5" t="inlineStr">
        <x:is>
          <x:t xml:space="preserve">생활권|담수</x:t>
        </x:is>
      </x:c>
      <x:c r="B19" s="5" t="inlineStr">
        <x:is>
          <x:t xml:space="preserve">생활권</x:t>
        </x:is>
      </x:c>
      <x:c r="C19" s="5" t="inlineStr">
        <x:is>
          <x:t xml:space="preserve">담수</x:t>
        </x:is>
      </x:c>
      <x:c r="D19" s="5" t="inlineStr">
        <x:is>
          <x:t xml:space="preserve">가장 강한 기본 생태 기준</x:t>
        </x:is>
      </x:c>
      <x:c r="E19" s="11" t="n">
        <x:v>0</x:v>
      </x:c>
      <x:c r="F19" s="11" t="n">
        <x:v>0</x:v>
      </x:c>
      <x:c r="G19" s="11" t="n">
        <x:v>0</x:v>
      </x:c>
      <x:c r="H19" s="11" t="n">
        <x:v>0</x:v>
      </x:c>
      <x:c r="I19" s="11" t="n">
        <x:v>0</x:v>
      </x:c>
      <x:c r="J19" s="11" t="n">
        <x:v>12</x:v>
      </x:c>
      <x:c r="K19" s="11" t="n">
        <x:v>30</x:v>
      </x:c>
      <x:c r="L19" s="11" t="n">
        <x:v>0</x:v>
      </x:c>
      <x:c r="M19" s="11" t="n">
        <x:v>0</x:v>
      </x:c>
      <x:c r="N19" s="11" t="n">
        <x:v>0</x:v>
      </x:c>
      <x:c r="O19" s="11" t="n">
        <x:v>0</x:v>
      </x:c>
      <x:c r="P19" s="11" t="n">
        <x:v>0</x:v>
      </x:c>
    </x:row>
    <x:row r="20" ht="22" customHeight="1">
      <x:c r="A20" s="5" t="inlineStr">
        <x:is>
          <x:t xml:space="preserve">생활권|해양</x:t>
        </x:is>
      </x:c>
      <x:c r="B20" s="5" t="inlineStr">
        <x:is>
          <x:t xml:space="preserve">생활권</x:t>
        </x:is>
      </x:c>
      <x:c r="C20" s="5" t="inlineStr">
        <x:is>
          <x:t xml:space="preserve">해양</x:t>
        </x:is>
      </x:c>
      <x:c r="D20" s="5" t="inlineStr">
        <x:is>
          <x:t xml:space="preserve">가장 강한 기본 생태 기준</x:t>
        </x:is>
      </x:c>
      <x:c r="E20" s="11" t="n">
        <x:v>0</x:v>
      </x:c>
      <x:c r="F20" s="11" t="n">
        <x:v>0</x:v>
      </x:c>
      <x:c r="G20" s="11" t="n">
        <x:v>0</x:v>
      </x:c>
      <x:c r="H20" s="11" t="n">
        <x:v>0</x:v>
      </x:c>
      <x:c r="I20" s="11" t="n">
        <x:v>0</x:v>
      </x:c>
      <x:c r="J20" s="11" t="n">
        <x:v>3</x:v>
      </x:c>
      <x:c r="K20" s="11" t="n">
        <x:v>0</x:v>
      </x:c>
      <x:c r="L20" s="11" t="n">
        <x:v>30</x:v>
      </x:c>
      <x:c r="M20" s="11" t="n">
        <x:v>0</x:v>
      </x:c>
      <x:c r="N20" s="11" t="n">
        <x:v>0</x:v>
      </x:c>
      <x:c r="O20" s="11" t="n">
        <x:v>0</x:v>
      </x:c>
      <x:c r="P20" s="11" t="n">
        <x:v>0</x:v>
      </x:c>
    </x:row>
    <x:row r="21" ht="22" customHeight="1">
      <x:c r="A21" s="5" t="inlineStr">
        <x:is>
          <x:t xml:space="preserve">생활권|수륙</x:t>
        </x:is>
      </x:c>
      <x:c r="B21" s="5" t="inlineStr">
        <x:is>
          <x:t xml:space="preserve">생활권</x:t>
        </x:is>
      </x:c>
      <x:c r="C21" s="5" t="inlineStr">
        <x:is>
          <x:t xml:space="preserve">수륙</x:t>
        </x:is>
      </x:c>
      <x:c r="D21" s="5" t="inlineStr">
        <x:is>
          <x:t xml:space="preserve">가장 강한 기본 생태 기준</x:t>
        </x:is>
      </x:c>
      <x:c r="E21" s="11" t="n">
        <x:v>0</x:v>
      </x:c>
      <x:c r="F21" s="11" t="n">
        <x:v>0</x:v>
      </x:c>
      <x:c r="G21" s="11" t="n">
        <x:v>0</x:v>
      </x:c>
      <x:c r="H21" s="11" t="n">
        <x:v>0</x:v>
      </x:c>
      <x:c r="I21" s="11" t="n">
        <x:v>0</x:v>
      </x:c>
      <x:c r="J21" s="11" t="n">
        <x:v>22</x:v>
      </x:c>
      <x:c r="K21" s="11" t="n">
        <x:v>16</x:v>
      </x:c>
      <x:c r="L21" s="11" t="n">
        <x:v>8</x:v>
      </x:c>
      <x:c r="M21" s="11" t="n">
        <x:v>0</x:v>
      </x:c>
      <x:c r="N21" s="11" t="n">
        <x:v>0</x:v>
      </x:c>
      <x:c r="O21" s="11" t="n">
        <x:v>0</x:v>
      </x:c>
      <x:c r="P21" s="11" t="n">
        <x:v>0</x:v>
      </x:c>
    </x:row>
    <x:row r="22" ht="22" customHeight="1">
      <x:c r="A22" s="5" t="inlineStr">
        <x:is>
          <x:t xml:space="preserve">생활권|지하</x:t>
        </x:is>
      </x:c>
      <x:c r="B22" s="5" t="inlineStr">
        <x:is>
          <x:t xml:space="preserve">생활권</x:t>
        </x:is>
      </x:c>
      <x:c r="C22" s="5" t="inlineStr">
        <x:is>
          <x:t xml:space="preserve">지하</x:t>
        </x:is>
      </x:c>
      <x:c r="D22" s="5" t="inlineStr">
        <x:is>
          <x:t xml:space="preserve">가장 강한 기본 생태 기준</x:t>
        </x:is>
      </x:c>
      <x:c r="E22" s="11" t="n">
        <x:v>0</x:v>
      </x:c>
      <x:c r="F22" s="11" t="n">
        <x:v>0</x:v>
      </x:c>
      <x:c r="G22" s="11" t="n">
        <x:v>0</x:v>
      </x:c>
      <x:c r="H22" s="11" t="n">
        <x:v>10</x:v>
      </x:c>
      <x:c r="I22" s="11" t="n">
        <x:v>30</x:v>
      </x:c>
      <x:c r="J22" s="11" t="n">
        <x:v>0</x:v>
      </x:c>
      <x:c r="K22" s="11" t="n">
        <x:v>0</x:v>
      </x:c>
      <x:c r="L22" s="11" t="n">
        <x:v>0</x:v>
      </x:c>
      <x:c r="M22" s="11" t="n">
        <x:v>0</x:v>
      </x:c>
      <x:c r="N22" s="11" t="n">
        <x:v>0</x:v>
      </x:c>
      <x:c r="O22" s="11" t="n">
        <x:v>0</x:v>
      </x:c>
      <x:c r="P22" s="11" t="n">
        <x:v>0</x:v>
      </x:c>
    </x:row>
    <x:row r="23" ht="22" customHeight="1">
      <x:c r="A23" s="5" t="inlineStr">
        <x:is>
          <x:t xml:space="preserve">생활권|인공</x:t>
        </x:is>
      </x:c>
      <x:c r="B23" s="5" t="inlineStr">
        <x:is>
          <x:t xml:space="preserve">생활권</x:t>
        </x:is>
      </x:c>
      <x:c r="C23" s="5" t="inlineStr">
        <x:is>
          <x:t xml:space="preserve">인공</x:t>
        </x:is>
      </x:c>
      <x:c r="D23" s="5" t="inlineStr">
        <x:is>
          <x:t xml:space="preserve">가장 강한 기본 생태 기준</x:t>
        </x:is>
      </x:c>
      <x:c r="E23" s="11" t="n">
        <x:v>0</x:v>
      </x:c>
      <x:c r="F23" s="11" t="n">
        <x:v>0</x:v>
      </x:c>
      <x:c r="G23" s="11" t="n">
        <x:v>0</x:v>
      </x:c>
      <x:c r="H23" s="11" t="n">
        <x:v>0</x:v>
      </x:c>
      <x:c r="I23" s="11" t="n">
        <x:v>0</x:v>
      </x:c>
      <x:c r="J23" s="11" t="n">
        <x:v>0</x:v>
      </x:c>
      <x:c r="K23" s="11" t="n">
        <x:v>0</x:v>
      </x:c>
      <x:c r="L23" s="11" t="n">
        <x:v>0</x:v>
      </x:c>
      <x:c r="M23" s="11" t="n">
        <x:v>0</x:v>
      </x:c>
      <x:c r="N23" s="11" t="n">
        <x:v>0</x:v>
      </x:c>
      <x:c r="O23" s="11" t="n">
        <x:v>30</x:v>
      </x:c>
      <x:c r="P23" s="11" t="n">
        <x:v>8</x:v>
      </x:c>
    </x:row>
    <x:row r="24" ht="22" customHeight="1">
      <x:c r="A24" s="5" t="inlineStr">
        <x:is>
          <x:t xml:space="preserve">생활권|영체</x:t>
        </x:is>
      </x:c>
      <x:c r="B24" s="5" t="inlineStr">
        <x:is>
          <x:t xml:space="preserve">생활권</x:t>
        </x:is>
      </x:c>
      <x:c r="C24" s="5" t="inlineStr">
        <x:is>
          <x:t xml:space="preserve">영체</x:t>
        </x:is>
      </x:c>
      <x:c r="D24" s="5" t="inlineStr">
        <x:is>
          <x:t xml:space="preserve">가장 강한 기본 생태 기준</x:t>
        </x:is>
      </x:c>
      <x:c r="E24" s="11" t="n">
        <x:v>0</x:v>
      </x:c>
      <x:c r="F24" s="11" t="n">
        <x:v>0</x:v>
      </x:c>
      <x:c r="G24" s="11" t="n">
        <x:v>0</x:v>
      </x:c>
      <x:c r="H24" s="11" t="n">
        <x:v>0</x:v>
      </x:c>
      <x:c r="I24" s="11" t="n">
        <x:v>10</x:v>
      </x:c>
      <x:c r="J24" s="11" t="n">
        <x:v>0</x:v>
      </x:c>
      <x:c r="K24" s="11" t="n">
        <x:v>0</x:v>
      </x:c>
      <x:c r="L24" s="11" t="n">
        <x:v>0</x:v>
      </x:c>
      <x:c r="M24" s="11" t="n">
        <x:v>0</x:v>
      </x:c>
      <x:c r="N24" s="11" t="n">
        <x:v>0</x:v>
      </x:c>
      <x:c r="O24" s="11" t="n">
        <x:v>5</x:v>
      </x:c>
      <x:c r="P24" s="11" t="n">
        <x:v>25</x:v>
      </x:c>
    </x:row>
    <x:row r="25" ht="22" customHeight="1">
      <x:c r="A25" s="5" t="inlineStr">
        <x:is>
          <x:t xml:space="preserve">지형|개활지</x:t>
        </x:is>
      </x:c>
      <x:c r="B25" s="5" t="inlineStr">
        <x:is>
          <x:t xml:space="preserve">지형</x:t>
        </x:is>
      </x:c>
      <x:c r="C25" s="5" t="inlineStr">
        <x:is>
          <x:t xml:space="preserve">개활지</x:t>
        </x:is>
      </x:c>
      <x:c r="D25" s="5" t="inlineStr">
        <x:is>
          <x:t xml:space="preserve">선호 지형</x:t>
        </x:is>
      </x:c>
      <x:c r="E25" s="11" t="n">
        <x:v>20</x:v>
      </x:c>
      <x:c r="F25" s="11" t="n">
        <x:v>0</x:v>
      </x:c>
      <x:c r="G25" s="11" t="n">
        <x:v>0</x:v>
      </x:c>
      <x:c r="H25" s="11" t="n">
        <x:v>0</x:v>
      </x:c>
      <x:c r="I25" s="11" t="n">
        <x:v>0</x:v>
      </x:c>
      <x:c r="J25" s="11" t="n">
        <x:v>0</x:v>
      </x:c>
      <x:c r="K25" s="11" t="n">
        <x:v>0</x:v>
      </x:c>
      <x:c r="L25" s="11" t="n">
        <x:v>0</x:v>
      </x:c>
      <x:c r="M25" s="11" t="n">
        <x:v>0</x:v>
      </x:c>
      <x:c r="N25" s="11" t="n">
        <x:v>0</x:v>
      </x:c>
      <x:c r="O25" s="11" t="n">
        <x:v>0</x:v>
      </x:c>
      <x:c r="P25" s="11" t="n">
        <x:v>0</x:v>
      </x:c>
    </x:row>
    <x:row r="26" ht="22" customHeight="1">
      <x:c r="A26" s="5" t="inlineStr">
        <x:is>
          <x:t xml:space="preserve">지형|수목</x:t>
        </x:is>
      </x:c>
      <x:c r="B26" s="5" t="inlineStr">
        <x:is>
          <x:t xml:space="preserve">지형</x:t>
        </x:is>
      </x:c>
      <x:c r="C26" s="5" t="inlineStr">
        <x:is>
          <x:t xml:space="preserve">수목</x:t>
        </x:is>
      </x:c>
      <x:c r="D26" s="5" t="inlineStr">
        <x:is>
          <x:t xml:space="preserve">선호 지형</x:t>
        </x:is>
      </x:c>
      <x:c r="E26" s="11" t="n">
        <x:v>0</x:v>
      </x:c>
      <x:c r="F26" s="11" t="n">
        <x:v>20</x:v>
      </x:c>
      <x:c r="G26" s="11" t="n">
        <x:v>0</x:v>
      </x:c>
      <x:c r="H26" s="11" t="n">
        <x:v>0</x:v>
      </x:c>
      <x:c r="I26" s="11" t="n">
        <x:v>0</x:v>
      </x:c>
      <x:c r="J26" s="11" t="n">
        <x:v>0</x:v>
      </x:c>
      <x:c r="K26" s="11" t="n">
        <x:v>0</x:v>
      </x:c>
      <x:c r="L26" s="11" t="n">
        <x:v>0</x:v>
      </x:c>
      <x:c r="M26" s="11" t="n">
        <x:v>0</x:v>
      </x:c>
      <x:c r="N26" s="11" t="n">
        <x:v>0</x:v>
      </x:c>
      <x:c r="O26" s="11" t="n">
        <x:v>0</x:v>
      </x:c>
      <x:c r="P26" s="11" t="n">
        <x:v>0</x:v>
      </x:c>
    </x:row>
    <x:row r="27" ht="22" customHeight="1">
      <x:c r="A27" s="5" t="inlineStr">
        <x:is>
          <x:t xml:space="preserve">지형|건조</x:t>
        </x:is>
      </x:c>
      <x:c r="B27" s="5" t="inlineStr">
        <x:is>
          <x:t xml:space="preserve">지형</x:t>
        </x:is>
      </x:c>
      <x:c r="C27" s="5" t="inlineStr">
        <x:is>
          <x:t xml:space="preserve">건조</x:t>
        </x:is>
      </x:c>
      <x:c r="D27" s="5" t="inlineStr">
        <x:is>
          <x:t xml:space="preserve">선호 지형</x:t>
        </x:is>
      </x:c>
      <x:c r="E27" s="11" t="n">
        <x:v>0</x:v>
      </x:c>
      <x:c r="F27" s="11" t="n">
        <x:v>0</x:v>
      </x:c>
      <x:c r="G27" s="11" t="n">
        <x:v>20</x:v>
      </x:c>
      <x:c r="H27" s="11" t="n">
        <x:v>0</x:v>
      </x:c>
      <x:c r="I27" s="11" t="n">
        <x:v>0</x:v>
      </x:c>
      <x:c r="J27" s="11" t="n">
        <x:v>0</x:v>
      </x:c>
      <x:c r="K27" s="11" t="n">
        <x:v>0</x:v>
      </x:c>
      <x:c r="L27" s="11" t="n">
        <x:v>0</x:v>
      </x:c>
      <x:c r="M27" s="11" t="n">
        <x:v>0</x:v>
      </x:c>
      <x:c r="N27" s="11" t="n">
        <x:v>0</x:v>
      </x:c>
      <x:c r="O27" s="11" t="n">
        <x:v>0</x:v>
      </x:c>
      <x:c r="P27" s="11" t="n">
        <x:v>0</x:v>
      </x:c>
    </x:row>
    <x:row r="28" ht="22" customHeight="1">
      <x:c r="A28" s="5" t="inlineStr">
        <x:is>
          <x:t xml:space="preserve">지형|암석</x:t>
        </x:is>
      </x:c>
      <x:c r="B28" s="5" t="inlineStr">
        <x:is>
          <x:t xml:space="preserve">지형</x:t>
        </x:is>
      </x:c>
      <x:c r="C28" s="5" t="inlineStr">
        <x:is>
          <x:t xml:space="preserve">암석</x:t>
        </x:is>
      </x:c>
      <x:c r="D28" s="5" t="inlineStr">
        <x:is>
          <x:t xml:space="preserve">선호 지형</x:t>
        </x:is>
      </x:c>
      <x:c r="E28" s="11" t="n">
        <x:v>0</x:v>
      </x:c>
      <x:c r="F28" s="11" t="n">
        <x:v>0</x:v>
      </x:c>
      <x:c r="G28" s="11" t="n">
        <x:v>0</x:v>
      </x:c>
      <x:c r="H28" s="11" t="n">
        <x:v>20</x:v>
      </x:c>
      <x:c r="I28" s="11" t="n">
        <x:v>0</x:v>
      </x:c>
      <x:c r="J28" s="11" t="n">
        <x:v>0</x:v>
      </x:c>
      <x:c r="K28" s="11" t="n">
        <x:v>0</x:v>
      </x:c>
      <x:c r="L28" s="11" t="n">
        <x:v>0</x:v>
      </x:c>
      <x:c r="M28" s="11" t="n">
        <x:v>0</x:v>
      </x:c>
      <x:c r="N28" s="11" t="n">
        <x:v>0</x:v>
      </x:c>
      <x:c r="O28" s="11" t="n">
        <x:v>0</x:v>
      </x:c>
      <x:c r="P28" s="11" t="n">
        <x:v>0</x:v>
      </x:c>
    </x:row>
    <x:row r="29" ht="22" customHeight="1">
      <x:c r="A29" s="5" t="inlineStr">
        <x:is>
          <x:t xml:space="preserve">지형|동굴</x:t>
        </x:is>
      </x:c>
      <x:c r="B29" s="5" t="inlineStr">
        <x:is>
          <x:t xml:space="preserve">지형</x:t>
        </x:is>
      </x:c>
      <x:c r="C29" s="5" t="inlineStr">
        <x:is>
          <x:t xml:space="preserve">동굴</x:t>
        </x:is>
      </x:c>
      <x:c r="D29" s="5" t="inlineStr">
        <x:is>
          <x:t xml:space="preserve">선호 지형</x:t>
        </x:is>
      </x:c>
      <x:c r="E29" s="11" t="n">
        <x:v>0</x:v>
      </x:c>
      <x:c r="F29" s="11" t="n">
        <x:v>0</x:v>
      </x:c>
      <x:c r="G29" s="11" t="n">
        <x:v>0</x:v>
      </x:c>
      <x:c r="H29" s="11" t="n">
        <x:v>0</x:v>
      </x:c>
      <x:c r="I29" s="11" t="n">
        <x:v>20</x:v>
      </x:c>
      <x:c r="J29" s="11" t="n">
        <x:v>0</x:v>
      </x:c>
      <x:c r="K29" s="11" t="n">
        <x:v>0</x:v>
      </x:c>
      <x:c r="L29" s="11" t="n">
        <x:v>0</x:v>
      </x:c>
      <x:c r="M29" s="11" t="n">
        <x:v>0</x:v>
      </x:c>
      <x:c r="N29" s="11" t="n">
        <x:v>0</x:v>
      </x:c>
      <x:c r="O29" s="11" t="n">
        <x:v>0</x:v>
      </x:c>
      <x:c r="P29" s="11" t="n">
        <x:v>0</x:v>
      </x:c>
    </x:row>
    <x:row r="30" ht="22" customHeight="1">
      <x:c r="A30" s="5" t="inlineStr">
        <x:is>
          <x:t xml:space="preserve">지형|습지</x:t>
        </x:is>
      </x:c>
      <x:c r="B30" s="5" t="inlineStr">
        <x:is>
          <x:t xml:space="preserve">지형</x:t>
        </x:is>
      </x:c>
      <x:c r="C30" s="5" t="inlineStr">
        <x:is>
          <x:t xml:space="preserve">습지</x:t>
        </x:is>
      </x:c>
      <x:c r="D30" s="5" t="inlineStr">
        <x:is>
          <x:t xml:space="preserve">선호 지형</x:t>
        </x:is>
      </x:c>
      <x:c r="E30" s="11" t="n">
        <x:v>0</x:v>
      </x:c>
      <x:c r="F30" s="11" t="n">
        <x:v>0</x:v>
      </x:c>
      <x:c r="G30" s="11" t="n">
        <x:v>0</x:v>
      </x:c>
      <x:c r="H30" s="11" t="n">
        <x:v>0</x:v>
      </x:c>
      <x:c r="I30" s="11" t="n">
        <x:v>0</x:v>
      </x:c>
      <x:c r="J30" s="11" t="n">
        <x:v>20</x:v>
      </x:c>
      <x:c r="K30" s="11" t="n">
        <x:v>0</x:v>
      </x:c>
      <x:c r="L30" s="11" t="n">
        <x:v>0</x:v>
      </x:c>
      <x:c r="M30" s="11" t="n">
        <x:v>0</x:v>
      </x:c>
      <x:c r="N30" s="11" t="n">
        <x:v>0</x:v>
      </x:c>
      <x:c r="O30" s="11" t="n">
        <x:v>0</x:v>
      </x:c>
      <x:c r="P30" s="11" t="n">
        <x:v>0</x:v>
      </x:c>
    </x:row>
    <x:row r="31" ht="22" customHeight="1">
      <x:c r="A31" s="5" t="inlineStr">
        <x:is>
          <x:t xml:space="preserve">지형|담수</x:t>
        </x:is>
      </x:c>
      <x:c r="B31" s="5" t="inlineStr">
        <x:is>
          <x:t xml:space="preserve">지형</x:t>
        </x:is>
      </x:c>
      <x:c r="C31" s="5" t="inlineStr">
        <x:is>
          <x:t xml:space="preserve">담수</x:t>
        </x:is>
      </x:c>
      <x:c r="D31" s="5" t="inlineStr">
        <x:is>
          <x:t xml:space="preserve">선호 지형</x:t>
        </x:is>
      </x:c>
      <x:c r="E31" s="11" t="n">
        <x:v>0</x:v>
      </x:c>
      <x:c r="F31" s="11" t="n">
        <x:v>0</x:v>
      </x:c>
      <x:c r="G31" s="11" t="n">
        <x:v>0</x:v>
      </x:c>
      <x:c r="H31" s="11" t="n">
        <x:v>0</x:v>
      </x:c>
      <x:c r="I31" s="11" t="n">
        <x:v>0</x:v>
      </x:c>
      <x:c r="J31" s="11" t="n">
        <x:v>0</x:v>
      </x:c>
      <x:c r="K31" s="11" t="n">
        <x:v>20</x:v>
      </x:c>
      <x:c r="L31" s="11" t="n">
        <x:v>0</x:v>
      </x:c>
      <x:c r="M31" s="11" t="n">
        <x:v>0</x:v>
      </x:c>
      <x:c r="N31" s="11" t="n">
        <x:v>0</x:v>
      </x:c>
      <x:c r="O31" s="11" t="n">
        <x:v>0</x:v>
      </x:c>
      <x:c r="P31" s="11" t="n">
        <x:v>0</x:v>
      </x:c>
    </x:row>
    <x:row r="32" ht="22" customHeight="1">
      <x:c r="A32" s="5" t="inlineStr">
        <x:is>
          <x:t xml:space="preserve">지형|해안·해양</x:t>
        </x:is>
      </x:c>
      <x:c r="B32" s="5" t="inlineStr">
        <x:is>
          <x:t xml:space="preserve">지형</x:t>
        </x:is>
      </x:c>
      <x:c r="C32" s="5" t="inlineStr">
        <x:is>
          <x:t xml:space="preserve">해안·해양</x:t>
        </x:is>
      </x:c>
      <x:c r="D32" s="5" t="inlineStr">
        <x:is>
          <x:t xml:space="preserve">선호 지형</x:t>
        </x:is>
      </x:c>
      <x:c r="E32" s="11" t="n">
        <x:v>0</x:v>
      </x:c>
      <x:c r="F32" s="11" t="n">
        <x:v>0</x:v>
      </x:c>
      <x:c r="G32" s="11" t="n">
        <x:v>0</x:v>
      </x:c>
      <x:c r="H32" s="11" t="n">
        <x:v>0</x:v>
      </x:c>
      <x:c r="I32" s="11" t="n">
        <x:v>0</x:v>
      </x:c>
      <x:c r="J32" s="11" t="n">
        <x:v>0</x:v>
      </x:c>
      <x:c r="K32" s="11" t="n">
        <x:v>0</x:v>
      </x:c>
      <x:c r="L32" s="11" t="n">
        <x:v>20</x:v>
      </x:c>
      <x:c r="M32" s="11" t="n">
        <x:v>0</x:v>
      </x:c>
      <x:c r="N32" s="11" t="n">
        <x:v>0</x:v>
      </x:c>
      <x:c r="O32" s="11" t="n">
        <x:v>0</x:v>
      </x:c>
      <x:c r="P32" s="11" t="n">
        <x:v>0</x:v>
      </x:c>
    </x:row>
    <x:row r="33" ht="22" customHeight="1">
      <x:c r="A33" s="5" t="inlineStr">
        <x:is>
          <x:t xml:space="preserve">지형|설원</x:t>
        </x:is>
      </x:c>
      <x:c r="B33" s="5" t="inlineStr">
        <x:is>
          <x:t xml:space="preserve">지형</x:t>
        </x:is>
      </x:c>
      <x:c r="C33" s="5" t="inlineStr">
        <x:is>
          <x:t xml:space="preserve">설원</x:t>
        </x:is>
      </x:c>
      <x:c r="D33" s="5" t="inlineStr">
        <x:is>
          <x:t xml:space="preserve">선호 지형</x:t>
        </x:is>
      </x:c>
      <x:c r="E33" s="11" t="n">
        <x:v>0</x:v>
      </x:c>
      <x:c r="F33" s="11" t="n">
        <x:v>0</x:v>
      </x:c>
      <x:c r="G33" s="11" t="n">
        <x:v>0</x:v>
      </x:c>
      <x:c r="H33" s="11" t="n">
        <x:v>0</x:v>
      </x:c>
      <x:c r="I33" s="11" t="n">
        <x:v>0</x:v>
      </x:c>
      <x:c r="J33" s="11" t="n">
        <x:v>0</x:v>
      </x:c>
      <x:c r="K33" s="11" t="n">
        <x:v>0</x:v>
      </x:c>
      <x:c r="L33" s="11" t="n">
        <x:v>0</x:v>
      </x:c>
      <x:c r="M33" s="11" t="n">
        <x:v>20</x:v>
      </x:c>
      <x:c r="N33" s="11" t="n">
        <x:v>0</x:v>
      </x:c>
      <x:c r="O33" s="11" t="n">
        <x:v>0</x:v>
      </x:c>
      <x:c r="P33" s="11" t="n">
        <x:v>0</x:v>
      </x:c>
    </x:row>
    <x:row r="34" ht="22" customHeight="1">
      <x:c r="A34" s="5" t="inlineStr">
        <x:is>
          <x:t xml:space="preserve">지형|화산</x:t>
        </x:is>
      </x:c>
      <x:c r="B34" s="5" t="inlineStr">
        <x:is>
          <x:t xml:space="preserve">지형</x:t>
        </x:is>
      </x:c>
      <x:c r="C34" s="5" t="inlineStr">
        <x:is>
          <x:t xml:space="preserve">화산</x:t>
        </x:is>
      </x:c>
      <x:c r="D34" s="5" t="inlineStr">
        <x:is>
          <x:t xml:space="preserve">선호 지형</x:t>
        </x:is>
      </x:c>
      <x:c r="E34" s="11" t="n">
        <x:v>0</x:v>
      </x:c>
      <x:c r="F34" s="11" t="n">
        <x:v>0</x:v>
      </x:c>
      <x:c r="G34" s="11" t="n">
        <x:v>0</x:v>
      </x:c>
      <x:c r="H34" s="11" t="n">
        <x:v>0</x:v>
      </x:c>
      <x:c r="I34" s="11" t="n">
        <x:v>0</x:v>
      </x:c>
      <x:c r="J34" s="11" t="n">
        <x:v>0</x:v>
      </x:c>
      <x:c r="K34" s="11" t="n">
        <x:v>0</x:v>
      </x:c>
      <x:c r="L34" s="11" t="n">
        <x:v>0</x:v>
      </x:c>
      <x:c r="M34" s="11" t="n">
        <x:v>0</x:v>
      </x:c>
      <x:c r="N34" s="11" t="n">
        <x:v>20</x:v>
      </x:c>
      <x:c r="O34" s="11" t="n">
        <x:v>0</x:v>
      </x:c>
      <x:c r="P34" s="11" t="n">
        <x:v>0</x:v>
      </x:c>
    </x:row>
    <x:row r="35" ht="22" customHeight="1">
      <x:c r="A35" s="5" t="inlineStr">
        <x:is>
          <x:t xml:space="preserve">지형|도시</x:t>
        </x:is>
      </x:c>
      <x:c r="B35" s="5" t="inlineStr">
        <x:is>
          <x:t xml:space="preserve">지형</x:t>
        </x:is>
      </x:c>
      <x:c r="C35" s="5" t="inlineStr">
        <x:is>
          <x:t xml:space="preserve">도시</x:t>
        </x:is>
      </x:c>
      <x:c r="D35" s="5" t="inlineStr">
        <x:is>
          <x:t xml:space="preserve">선호 지형</x:t>
        </x:is>
      </x:c>
      <x:c r="E35" s="11" t="n">
        <x:v>0</x:v>
      </x:c>
      <x:c r="F35" s="11" t="n">
        <x:v>0</x:v>
      </x:c>
      <x:c r="G35" s="11" t="n">
        <x:v>0</x:v>
      </x:c>
      <x:c r="H35" s="11" t="n">
        <x:v>0</x:v>
      </x:c>
      <x:c r="I35" s="11" t="n">
        <x:v>0</x:v>
      </x:c>
      <x:c r="J35" s="11" t="n">
        <x:v>0</x:v>
      </x:c>
      <x:c r="K35" s="11" t="n">
        <x:v>0</x:v>
      </x:c>
      <x:c r="L35" s="11" t="n">
        <x:v>0</x:v>
      </x:c>
      <x:c r="M35" s="11" t="n">
        <x:v>0</x:v>
      </x:c>
      <x:c r="N35" s="11" t="n">
        <x:v>0</x:v>
      </x:c>
      <x:c r="O35" s="11" t="n">
        <x:v>20</x:v>
      </x:c>
      <x:c r="P35" s="11" t="n">
        <x:v>0</x:v>
      </x:c>
    </x:row>
    <x:row r="36" ht="22" customHeight="1">
      <x:c r="A36" s="5" t="inlineStr">
        <x:is>
          <x:t xml:space="preserve">지형|특수</x:t>
        </x:is>
      </x:c>
      <x:c r="B36" s="5" t="inlineStr">
        <x:is>
          <x:t xml:space="preserve">지형</x:t>
        </x:is>
      </x:c>
      <x:c r="C36" s="5" t="inlineStr">
        <x:is>
          <x:t xml:space="preserve">특수</x:t>
        </x:is>
      </x:c>
      <x:c r="D36" s="5" t="inlineStr">
        <x:is>
          <x:t xml:space="preserve">선호 지형</x:t>
        </x:is>
      </x:c>
      <x:c r="E36" s="11" t="n">
        <x:v>0</x:v>
      </x:c>
      <x:c r="F36" s="11" t="n">
        <x:v>0</x:v>
      </x:c>
      <x:c r="G36" s="11" t="n">
        <x:v>0</x:v>
      </x:c>
      <x:c r="H36" s="11" t="n">
        <x:v>0</x:v>
      </x:c>
      <x:c r="I36" s="11" t="n">
        <x:v>0</x:v>
      </x:c>
      <x:c r="J36" s="11" t="n">
        <x:v>0</x:v>
      </x:c>
      <x:c r="K36" s="11" t="n">
        <x:v>0</x:v>
      </x:c>
      <x:c r="L36" s="11" t="n">
        <x:v>0</x:v>
      </x:c>
      <x:c r="M36" s="11" t="n">
        <x:v>0</x:v>
      </x:c>
      <x:c r="N36" s="11" t="n">
        <x:v>0</x:v>
      </x:c>
      <x:c r="O36" s="11" t="n">
        <x:v>0</x:v>
      </x:c>
      <x:c r="P36" s="11" t="n">
        <x:v>20</x:v>
      </x:c>
    </x:row>
    <x:row r="37" ht="22" customHeight="1">
      <x:c r="A37" s="5" t="inlineStr">
        <x:is>
          <x:t xml:space="preserve">온도|한랭</x:t>
        </x:is>
      </x:c>
      <x:c r="B37" s="5" t="inlineStr">
        <x:is>
          <x:t xml:space="preserve">온도</x:t>
        </x:is>
      </x:c>
      <x:c r="C37" s="5" t="inlineStr">
        <x:is>
          <x:t xml:space="preserve">한랭</x:t>
        </x:is>
      </x:c>
      <x:c r="D37" s="5" t="inlineStr">
        <x:is>
          <x:t xml:space="preserve">기후 보정</x:t>
        </x:is>
      </x:c>
      <x:c r="E37" s="11" t="n">
        <x:v>0</x:v>
      </x:c>
      <x:c r="F37" s="11" t="n">
        <x:v>0</x:v>
      </x:c>
      <x:c r="G37" s="11" t="n">
        <x:v>0</x:v>
      </x:c>
      <x:c r="H37" s="11" t="n">
        <x:v>3</x:v>
      </x:c>
      <x:c r="I37" s="11" t="n">
        <x:v>0</x:v>
      </x:c>
      <x:c r="J37" s="11" t="n">
        <x:v>0</x:v>
      </x:c>
      <x:c r="K37" s="11" t="n">
        <x:v>0</x:v>
      </x:c>
      <x:c r="L37" s="11" t="n">
        <x:v>2</x:v>
      </x:c>
      <x:c r="M37" s="11" t="n">
        <x:v>10</x:v>
      </x:c>
      <x:c r="N37" s="11" t="n">
        <x:v>0</x:v>
      </x:c>
      <x:c r="O37" s="11" t="n">
        <x:v>0</x:v>
      </x:c>
      <x:c r="P37" s="11" t="n">
        <x:v>0</x:v>
      </x:c>
    </x:row>
    <x:row r="38" ht="22" customHeight="1">
      <x:c r="A38" s="5" t="inlineStr">
        <x:is>
          <x:t xml:space="preserve">온도|서늘</x:t>
        </x:is>
      </x:c>
      <x:c r="B38" s="5" t="inlineStr">
        <x:is>
          <x:t xml:space="preserve">온도</x:t>
        </x:is>
      </x:c>
      <x:c r="C38" s="5" t="inlineStr">
        <x:is>
          <x:t xml:space="preserve">서늘</x:t>
        </x:is>
      </x:c>
      <x:c r="D38" s="5" t="inlineStr">
        <x:is>
          <x:t xml:space="preserve">기후 보정</x:t>
        </x:is>
      </x:c>
      <x:c r="E38" s="11" t="n">
        <x:v>0</x:v>
      </x:c>
      <x:c r="F38" s="11" t="n">
        <x:v>2</x:v>
      </x:c>
      <x:c r="G38" s="11" t="n">
        <x:v>0</x:v>
      </x:c>
      <x:c r="H38" s="11" t="n">
        <x:v>4</x:v>
      </x:c>
      <x:c r="I38" s="11" t="n">
        <x:v>0</x:v>
      </x:c>
      <x:c r="J38" s="11" t="n">
        <x:v>0</x:v>
      </x:c>
      <x:c r="K38" s="11" t="n">
        <x:v>0</x:v>
      </x:c>
      <x:c r="L38" s="11" t="n">
        <x:v>0</x:v>
      </x:c>
      <x:c r="M38" s="11" t="n">
        <x:v>5</x:v>
      </x:c>
      <x:c r="N38" s="11" t="n">
        <x:v>0</x:v>
      </x:c>
      <x:c r="O38" s="11" t="n">
        <x:v>0</x:v>
      </x:c>
      <x:c r="P38" s="11" t="n">
        <x:v>0</x:v>
      </x:c>
    </x:row>
    <x:row r="39" ht="22" customHeight="1">
      <x:c r="A39" s="5" t="inlineStr">
        <x:is>
          <x:t xml:space="preserve">온도|온대</x:t>
        </x:is>
      </x:c>
      <x:c r="B39" s="5" t="inlineStr">
        <x:is>
          <x:t xml:space="preserve">온도</x:t>
        </x:is>
      </x:c>
      <x:c r="C39" s="5" t="inlineStr">
        <x:is>
          <x:t xml:space="preserve">온대</x:t>
        </x:is>
      </x:c>
      <x:c r="D39" s="5" t="inlineStr">
        <x:is>
          <x:t xml:space="preserve">기후 보정</x:t>
        </x:is>
      </x:c>
      <x:c r="E39" s="11" t="n">
        <x:v>3</x:v>
      </x:c>
      <x:c r="F39" s="11" t="n">
        <x:v>3</x:v>
      </x:c>
      <x:c r="G39" s="11" t="n">
        <x:v>0</x:v>
      </x:c>
      <x:c r="H39" s="11" t="n">
        <x:v>0</x:v>
      </x:c>
      <x:c r="I39" s="11" t="n">
        <x:v>0</x:v>
      </x:c>
      <x:c r="J39" s="11" t="n">
        <x:v>2</x:v>
      </x:c>
      <x:c r="K39" s="11" t="n">
        <x:v>2</x:v>
      </x:c>
      <x:c r="L39" s="11" t="n">
        <x:v>0</x:v>
      </x:c>
      <x:c r="M39" s="11" t="n">
        <x:v>0</x:v>
      </x:c>
      <x:c r="N39" s="11" t="n">
        <x:v>0</x:v>
      </x:c>
      <x:c r="O39" s="11" t="n">
        <x:v>2</x:v>
      </x:c>
      <x:c r="P39" s="11" t="n">
        <x:v>0</x:v>
      </x:c>
    </x:row>
    <x:row r="40" ht="22" customHeight="1">
      <x:c r="A40" s="5" t="inlineStr">
        <x:is>
          <x:t xml:space="preserve">온도|고온</x:t>
        </x:is>
      </x:c>
      <x:c r="B40" s="5" t="inlineStr">
        <x:is>
          <x:t xml:space="preserve">온도</x:t>
        </x:is>
      </x:c>
      <x:c r="C40" s="5" t="inlineStr">
        <x:is>
          <x:t xml:space="preserve">고온</x:t>
        </x:is>
      </x:c>
      <x:c r="D40" s="5" t="inlineStr">
        <x:is>
          <x:t xml:space="preserve">기후 보정</x:t>
        </x:is>
      </x:c>
      <x:c r="E40" s="11" t="n">
        <x:v>2</x:v>
      </x:c>
      <x:c r="F40" s="11" t="n">
        <x:v>0</x:v>
      </x:c>
      <x:c r="G40" s="11" t="n">
        <x:v>8</x:v>
      </x:c>
      <x:c r="H40" s="11" t="n">
        <x:v>0</x:v>
      </x:c>
      <x:c r="I40" s="11" t="n">
        <x:v>0</x:v>
      </x:c>
      <x:c r="J40" s="11" t="n">
        <x:v>0</x:v>
      </x:c>
      <x:c r="K40" s="11" t="n">
        <x:v>0</x:v>
      </x:c>
      <x:c r="L40" s="11" t="n">
        <x:v>0</x:v>
      </x:c>
      <x:c r="M40" s="11" t="n">
        <x:v>0</x:v>
      </x:c>
      <x:c r="N40" s="11" t="n">
        <x:v>10</x:v>
      </x:c>
      <x:c r="O40" s="11" t="n">
        <x:v>0</x:v>
      </x:c>
      <x:c r="P40" s="11" t="n">
        <x:v>0</x:v>
      </x:c>
    </x:row>
    <x:row r="41" ht="22" customHeight="1">
      <x:c r="A41" s="5" t="inlineStr">
        <x:is>
          <x:t xml:space="preserve">습도|건조</x:t>
        </x:is>
      </x:c>
      <x:c r="B41" s="5" t="inlineStr">
        <x:is>
          <x:t xml:space="preserve">습도</x:t>
        </x:is>
      </x:c>
      <x:c r="C41" s="5" t="inlineStr">
        <x:is>
          <x:t xml:space="preserve">건조</x:t>
        </x:is>
      </x:c>
      <x:c r="D41" s="5" t="inlineStr">
        <x:is>
          <x:t xml:space="preserve">수분 환경 보정</x:t>
        </x:is>
      </x:c>
      <x:c r="E41" s="11" t="n">
        <x:v>0</x:v>
      </x:c>
      <x:c r="F41" s="11" t="n">
        <x:v>0</x:v>
      </x:c>
      <x:c r="G41" s="11" t="n">
        <x:v>10</x:v>
      </x:c>
      <x:c r="H41" s="11" t="n">
        <x:v>2</x:v>
      </x:c>
      <x:c r="I41" s="11" t="n">
        <x:v>0</x:v>
      </x:c>
      <x:c r="J41" s="11" t="n">
        <x:v>0</x:v>
      </x:c>
      <x:c r="K41" s="11" t="n">
        <x:v>0</x:v>
      </x:c>
      <x:c r="L41" s="11" t="n">
        <x:v>0</x:v>
      </x:c>
      <x:c r="M41" s="11" t="n">
        <x:v>0</x:v>
      </x:c>
      <x:c r="N41" s="11" t="n">
        <x:v>6</x:v>
      </x:c>
      <x:c r="O41" s="11" t="n">
        <x:v>0</x:v>
      </x:c>
      <x:c r="P41" s="11" t="n">
        <x:v>0</x:v>
      </x:c>
    </x:row>
    <x:row r="42" ht="22" customHeight="1">
      <x:c r="A42" s="5" t="inlineStr">
        <x:is>
          <x:t xml:space="preserve">습도|보통</x:t>
        </x:is>
      </x:c>
      <x:c r="B42" s="5" t="inlineStr">
        <x:is>
          <x:t xml:space="preserve">습도</x:t>
        </x:is>
      </x:c>
      <x:c r="C42" s="5" t="inlineStr">
        <x:is>
          <x:t xml:space="preserve">보통</x:t>
        </x:is>
      </x:c>
      <x:c r="D42" s="5" t="inlineStr">
        <x:is>
          <x:t xml:space="preserve">수분 환경 보정</x:t>
        </x:is>
      </x:c>
      <x:c r="E42" s="11" t="n">
        <x:v>3</x:v>
      </x:c>
      <x:c r="F42" s="11" t="n">
        <x:v>3</x:v>
      </x:c>
      <x:c r="G42" s="11" t="n">
        <x:v>0</x:v>
      </x:c>
      <x:c r="H42" s="11" t="n">
        <x:v>2</x:v>
      </x:c>
      <x:c r="I42" s="11" t="n">
        <x:v>0</x:v>
      </x:c>
      <x:c r="J42" s="11" t="n">
        <x:v>0</x:v>
      </x:c>
      <x:c r="K42" s="11" t="n">
        <x:v>0</x:v>
      </x:c>
      <x:c r="L42" s="11" t="n">
        <x:v>0</x:v>
      </x:c>
      <x:c r="M42" s="11" t="n">
        <x:v>0</x:v>
      </x:c>
      <x:c r="N42" s="11" t="n">
        <x:v>0</x:v>
      </x:c>
      <x:c r="O42" s="11" t="n">
        <x:v>2</x:v>
      </x:c>
      <x:c r="P42" s="11" t="n">
        <x:v>0</x:v>
      </x:c>
    </x:row>
    <x:row r="43" ht="22" customHeight="1">
      <x:c r="A43" s="5" t="inlineStr">
        <x:is>
          <x:t xml:space="preserve">습도|다습</x:t>
        </x:is>
      </x:c>
      <x:c r="B43" s="5" t="inlineStr">
        <x:is>
          <x:t xml:space="preserve">습도</x:t>
        </x:is>
      </x:c>
      <x:c r="C43" s="5" t="inlineStr">
        <x:is>
          <x:t xml:space="preserve">다습</x:t>
        </x:is>
      </x:c>
      <x:c r="D43" s="5" t="inlineStr">
        <x:is>
          <x:t xml:space="preserve">수분 환경 보정</x:t>
        </x:is>
      </x:c>
      <x:c r="E43" s="11" t="n">
        <x:v>0</x:v>
      </x:c>
      <x:c r="F43" s="11" t="n">
        <x:v>5</x:v>
      </x:c>
      <x:c r="G43" s="11" t="n">
        <x:v>0</x:v>
      </x:c>
      <x:c r="H43" s="11" t="n">
        <x:v>0</x:v>
      </x:c>
      <x:c r="I43" s="11" t="n">
        <x:v>0</x:v>
      </x:c>
      <x:c r="J43" s="11" t="n">
        <x:v>10</x:v>
      </x:c>
      <x:c r="K43" s="11" t="n">
        <x:v>4</x:v>
      </x:c>
      <x:c r="L43" s="11" t="n">
        <x:v>0</x:v>
      </x:c>
      <x:c r="M43" s="11" t="n">
        <x:v>0</x:v>
      </x:c>
      <x:c r="N43" s="11" t="n">
        <x:v>0</x:v>
      </x:c>
      <x:c r="O43" s="11" t="n">
        <x:v>0</x:v>
      </x:c>
      <x:c r="P43" s="11" t="n">
        <x:v>0</x:v>
      </x:c>
    </x:row>
    <x:row r="44" ht="22" customHeight="1">
      <x:c r="A44" s="5" t="inlineStr">
        <x:is>
          <x:t xml:space="preserve">습도|수중</x:t>
        </x:is>
      </x:c>
      <x:c r="B44" s="5" t="inlineStr">
        <x:is>
          <x:t xml:space="preserve">습도</x:t>
        </x:is>
      </x:c>
      <x:c r="C44" s="5" t="inlineStr">
        <x:is>
          <x:t xml:space="preserve">수중</x:t>
        </x:is>
      </x:c>
      <x:c r="D44" s="5" t="inlineStr">
        <x:is>
          <x:t xml:space="preserve">수분 환경 보정</x:t>
        </x:is>
      </x:c>
      <x:c r="E44" s="11" t="n">
        <x:v>0</x:v>
      </x:c>
      <x:c r="F44" s="11" t="n">
        <x:v>0</x:v>
      </x:c>
      <x:c r="G44" s="11" t="n">
        <x:v>0</x:v>
      </x:c>
      <x:c r="H44" s="11" t="n">
        <x:v>0</x:v>
      </x:c>
      <x:c r="I44" s="11" t="n">
        <x:v>0</x:v>
      </x:c>
      <x:c r="J44" s="11" t="n">
        <x:v>4</x:v>
      </x:c>
      <x:c r="K44" s="11" t="n">
        <x:v>10</x:v>
      </x:c>
      <x:c r="L44" s="11" t="n">
        <x:v>10</x:v>
      </x:c>
      <x:c r="M44" s="11" t="n">
        <x:v>0</x:v>
      </x:c>
      <x:c r="N44" s="11" t="n">
        <x:v>0</x:v>
      </x:c>
      <x:c r="O44" s="11" t="n">
        <x:v>0</x:v>
      </x:c>
      <x:c r="P44" s="11" t="n">
        <x:v>0</x:v>
      </x:c>
    </x:row>
    <x:row r="45" ht="22" customHeight="1">
      <x:c r="A45" s="5" t="inlineStr">
        <x:is>
          <x:t xml:space="preserve">날씨|무관</x:t>
        </x:is>
      </x:c>
      <x:c r="B45" s="5" t="inlineStr">
        <x:is>
          <x:t xml:space="preserve">날씨</x:t>
        </x:is>
      </x:c>
      <x:c r="C45" s="5" t="inlineStr">
        <x:is>
          <x:t xml:space="preserve">무관</x:t>
        </x:is>
      </x:c>
      <x:c r="D45" s="5" t="inlineStr">
        <x:is>
          <x:t xml:space="preserve">출현 날씨의 약한 보정</x:t>
        </x:is>
      </x:c>
      <x:c r="E45" s="11" t="n">
        <x:v>0</x:v>
      </x:c>
      <x:c r="F45" s="11" t="n">
        <x:v>0</x:v>
      </x:c>
      <x:c r="G45" s="11" t="n">
        <x:v>0</x:v>
      </x:c>
      <x:c r="H45" s="11" t="n">
        <x:v>0</x:v>
      </x:c>
      <x:c r="I45" s="11" t="n">
        <x:v>0</x:v>
      </x:c>
      <x:c r="J45" s="11" t="n">
        <x:v>0</x:v>
      </x:c>
      <x:c r="K45" s="11" t="n">
        <x:v>0</x:v>
      </x:c>
      <x:c r="L45" s="11" t="n">
        <x:v>0</x:v>
      </x:c>
      <x:c r="M45" s="11" t="n">
        <x:v>0</x:v>
      </x:c>
      <x:c r="N45" s="11" t="n">
        <x:v>0</x:v>
      </x:c>
      <x:c r="O45" s="11" t="n">
        <x:v>0</x:v>
      </x:c>
      <x:c r="P45" s="11" t="n">
        <x:v>0</x:v>
      </x:c>
    </x:row>
    <x:row r="46" ht="22" customHeight="1">
      <x:c r="A46" s="5" t="inlineStr">
        <x:is>
          <x:t xml:space="preserve">날씨|맑음</x:t>
        </x:is>
      </x:c>
      <x:c r="B46" s="5" t="inlineStr">
        <x:is>
          <x:t xml:space="preserve">날씨</x:t>
        </x:is>
      </x:c>
      <x:c r="C46" s="5" t="inlineStr">
        <x:is>
          <x:t xml:space="preserve">맑음</x:t>
        </x:is>
      </x:c>
      <x:c r="D46" s="5" t="inlineStr">
        <x:is>
          <x:t xml:space="preserve">출현 날씨의 약한 보정</x:t>
        </x:is>
      </x:c>
      <x:c r="E46" s="11" t="n">
        <x:v>2</x:v>
      </x:c>
      <x:c r="F46" s="11" t="n">
        <x:v>0</x:v>
      </x:c>
      <x:c r="G46" s="11" t="n">
        <x:v>4</x:v>
      </x:c>
      <x:c r="H46" s="11" t="n">
        <x:v>2</x:v>
      </x:c>
      <x:c r="I46" s="11" t="n">
        <x:v>0</x:v>
      </x:c>
      <x:c r="J46" s="11" t="n">
        <x:v>0</x:v>
      </x:c>
      <x:c r="K46" s="11" t="n">
        <x:v>0</x:v>
      </x:c>
      <x:c r="L46" s="11" t="n">
        <x:v>0</x:v>
      </x:c>
      <x:c r="M46" s="11" t="n">
        <x:v>0</x:v>
      </x:c>
      <x:c r="N46" s="11" t="n">
        <x:v>2</x:v>
      </x:c>
      <x:c r="O46" s="11" t="n">
        <x:v>0</x:v>
      </x:c>
      <x:c r="P46" s="11" t="n">
        <x:v>0</x:v>
      </x:c>
    </x:row>
    <x:row r="47" ht="22" customHeight="1">
      <x:c r="A47" s="5" t="inlineStr">
        <x:is>
          <x:t xml:space="preserve">날씨|비</x:t>
        </x:is>
      </x:c>
      <x:c r="B47" s="5" t="inlineStr">
        <x:is>
          <x:t xml:space="preserve">날씨</x:t>
        </x:is>
      </x:c>
      <x:c r="C47" s="5" t="inlineStr">
        <x:is>
          <x:t xml:space="preserve">비</x:t>
        </x:is>
      </x:c>
      <x:c r="D47" s="5" t="inlineStr">
        <x:is>
          <x:t xml:space="preserve">출현 날씨의 약한 보정</x:t>
        </x:is>
      </x:c>
      <x:c r="E47" s="11" t="n">
        <x:v>0</x:v>
      </x:c>
      <x:c r="F47" s="11" t="n">
        <x:v>2</x:v>
      </x:c>
      <x:c r="G47" s="11" t="n">
        <x:v>0</x:v>
      </x:c>
      <x:c r="H47" s="11" t="n">
        <x:v>0</x:v>
      </x:c>
      <x:c r="I47" s="11" t="n">
        <x:v>0</x:v>
      </x:c>
      <x:c r="J47" s="11" t="n">
        <x:v>5</x:v>
      </x:c>
      <x:c r="K47" s="11" t="n">
        <x:v>4</x:v>
      </x:c>
      <x:c r="L47" s="11" t="n">
        <x:v>4</x:v>
      </x:c>
      <x:c r="M47" s="11" t="n">
        <x:v>0</x:v>
      </x:c>
      <x:c r="N47" s="11" t="n">
        <x:v>0</x:v>
      </x:c>
      <x:c r="O47" s="11" t="n">
        <x:v>0</x:v>
      </x:c>
      <x:c r="P47" s="11" t="n">
        <x:v>0</x:v>
      </x:c>
    </x:row>
    <x:row r="48" ht="22" customHeight="1">
      <x:c r="A48" s="5" t="inlineStr">
        <x:is>
          <x:t xml:space="preserve">날씨|뇌우</x:t>
        </x:is>
      </x:c>
      <x:c r="B48" s="5" t="inlineStr">
        <x:is>
          <x:t xml:space="preserve">날씨</x:t>
        </x:is>
      </x:c>
      <x:c r="C48" s="5" t="inlineStr">
        <x:is>
          <x:t xml:space="preserve">뇌우</x:t>
        </x:is>
      </x:c>
      <x:c r="D48" s="5" t="inlineStr">
        <x:is>
          <x:t xml:space="preserve">출현 날씨의 약한 보정</x:t>
        </x:is>
      </x:c>
      <x:c r="E48" s="11" t="n">
        <x:v>0</x:v>
      </x:c>
      <x:c r="F48" s="11" t="n">
        <x:v>0</x:v>
      </x:c>
      <x:c r="G48" s="11" t="n">
        <x:v>0</x:v>
      </x:c>
      <x:c r="H48" s="11" t="n">
        <x:v>4</x:v>
      </x:c>
      <x:c r="I48" s="11" t="n">
        <x:v>0</x:v>
      </x:c>
      <x:c r="J48" s="11" t="n">
        <x:v>0</x:v>
      </x:c>
      <x:c r="K48" s="11" t="n">
        <x:v>0</x:v>
      </x:c>
      <x:c r="L48" s="11" t="n">
        <x:v>3</x:v>
      </x:c>
      <x:c r="M48" s="11" t="n">
        <x:v>0</x:v>
      </x:c>
      <x:c r="N48" s="11" t="n">
        <x:v>0</x:v>
      </x:c>
      <x:c r="O48" s="11" t="n">
        <x:v>3</x:v>
      </x:c>
      <x:c r="P48" s="11" t="n">
        <x:v>0</x:v>
      </x:c>
    </x:row>
    <x:row r="49" ht="22" customHeight="1">
      <x:c r="A49" s="5" t="inlineStr">
        <x:is>
          <x:t xml:space="preserve">날씨|눈</x:t>
        </x:is>
      </x:c>
      <x:c r="B49" s="5" t="inlineStr">
        <x:is>
          <x:t xml:space="preserve">날씨</x:t>
        </x:is>
      </x:c>
      <x:c r="C49" s="5" t="inlineStr">
        <x:is>
          <x:t xml:space="preserve">눈</x:t>
        </x:is>
      </x:c>
      <x:c r="D49" s="5" t="inlineStr">
        <x:is>
          <x:t xml:space="preserve">출현 날씨의 약한 보정</x:t>
        </x:is>
      </x:c>
      <x:c r="E49" s="11" t="n">
        <x:v>0</x:v>
      </x:c>
      <x:c r="F49" s="11" t="n">
        <x:v>0</x:v>
      </x:c>
      <x:c r="G49" s="11" t="n">
        <x:v>0</x:v>
      </x:c>
      <x:c r="H49" s="11" t="n">
        <x:v>0</x:v>
      </x:c>
      <x:c r="I49" s="11" t="n">
        <x:v>0</x:v>
      </x:c>
      <x:c r="J49" s="11" t="n">
        <x:v>0</x:v>
      </x:c>
      <x:c r="K49" s="11" t="n">
        <x:v>0</x:v>
      </x:c>
      <x:c r="L49" s="11" t="n">
        <x:v>0</x:v>
      </x:c>
      <x:c r="M49" s="11" t="n">
        <x:v>6</x:v>
      </x:c>
      <x:c r="N49" s="11" t="n">
        <x:v>0</x:v>
      </x:c>
      <x:c r="O49" s="11" t="n">
        <x:v>0</x:v>
      </x:c>
      <x:c r="P49" s="11" t="n">
        <x:v>0</x:v>
      </x:c>
    </x:row>
    <x:row r="50" ht="22" customHeight="1">
      <x:c r="A50" s="5" t="inlineStr">
        <x:is>
          <x:t xml:space="preserve">날씨|안개</x:t>
        </x:is>
      </x:c>
      <x:c r="B50" s="5" t="inlineStr">
        <x:is>
          <x:t xml:space="preserve">날씨</x:t>
        </x:is>
      </x:c>
      <x:c r="C50" s="5" t="inlineStr">
        <x:is>
          <x:t xml:space="preserve">안개</x:t>
        </x:is>
      </x:c>
      <x:c r="D50" s="5" t="inlineStr">
        <x:is>
          <x:t xml:space="preserve">출현 날씨의 약한 보정</x:t>
        </x:is>
      </x:c>
      <x:c r="E50" s="11" t="n">
        <x:v>0</x:v>
      </x:c>
      <x:c r="F50" s="11" t="n">
        <x:v>0</x:v>
      </x:c>
      <x:c r="G50" s="11" t="n">
        <x:v>0</x:v>
      </x:c>
      <x:c r="H50" s="11" t="n">
        <x:v>0</x:v>
      </x:c>
      <x:c r="I50" s="11" t="n">
        <x:v>3</x:v>
      </x:c>
      <x:c r="J50" s="11" t="n">
        <x:v>3</x:v>
      </x:c>
      <x:c r="K50" s="11" t="n">
        <x:v>0</x:v>
      </x:c>
      <x:c r="L50" s="11" t="n">
        <x:v>0</x:v>
      </x:c>
      <x:c r="M50" s="11" t="n">
        <x:v>0</x:v>
      </x:c>
      <x:c r="N50" s="11" t="n">
        <x:v>0</x:v>
      </x:c>
      <x:c r="O50" s="11" t="n">
        <x:v>0</x:v>
      </x:c>
      <x:c r="P50" s="11" t="n">
        <x:v>5</x:v>
      </x:c>
    </x:row>
    <x:row r="51" ht="22" customHeight="1">
      <x:c r="A51" s="5" t="inlineStr">
        <x:is>
          <x:t xml:space="preserve">타입|노말</x:t>
        </x:is>
      </x:c>
      <x:c r="B51" s="5" t="inlineStr">
        <x:is>
          <x:t xml:space="preserve">타입</x:t>
        </x:is>
      </x:c>
      <x:c r="C51" s="5" t="inlineStr">
        <x:is>
          <x:t xml:space="preserve">노말</x:t>
        </x:is>
      </x:c>
      <x:c r="D51" s="5" t="inlineStr">
        <x:is>
          <x:t xml:space="preserve">타입은 보조 근거로만 사용</x:t>
        </x:is>
      </x:c>
      <x:c r="E51" s="11" t="n">
        <x:v>6</x:v>
      </x:c>
      <x:c r="F51" s="11" t="n">
        <x:v>0</x:v>
      </x:c>
      <x:c r="G51" s="11" t="n">
        <x:v>0</x:v>
      </x:c>
      <x:c r="H51" s="11" t="n">
        <x:v>0</x:v>
      </x:c>
      <x:c r="I51" s="11" t="n">
        <x:v>0</x:v>
      </x:c>
      <x:c r="J51" s="11" t="n">
        <x:v>0</x:v>
      </x:c>
      <x:c r="K51" s="11" t="n">
        <x:v>0</x:v>
      </x:c>
      <x:c r="L51" s="11" t="n">
        <x:v>0</x:v>
      </x:c>
      <x:c r="M51" s="11" t="n">
        <x:v>0</x:v>
      </x:c>
      <x:c r="N51" s="11" t="n">
        <x:v>0</x:v>
      </x:c>
      <x:c r="O51" s="11" t="n">
        <x:v>2</x:v>
      </x:c>
      <x:c r="P51" s="11" t="n">
        <x:v>0</x:v>
      </x:c>
    </x:row>
    <x:row r="52" ht="22" customHeight="1">
      <x:c r="A52" s="5" t="inlineStr">
        <x:is>
          <x:t xml:space="preserve">타입|불꽃</x:t>
        </x:is>
      </x:c>
      <x:c r="B52" s="5" t="inlineStr">
        <x:is>
          <x:t xml:space="preserve">타입</x:t>
        </x:is>
      </x:c>
      <x:c r="C52" s="5" t="inlineStr">
        <x:is>
          <x:t xml:space="preserve">불꽃</x:t>
        </x:is>
      </x:c>
      <x:c r="D52" s="5" t="inlineStr">
        <x:is>
          <x:t xml:space="preserve">타입은 보조 근거로만 사용</x:t>
        </x:is>
      </x:c>
      <x:c r="E52" s="11" t="n">
        <x:v>0</x:v>
      </x:c>
      <x:c r="F52" s="11" t="n">
        <x:v>0</x:v>
      </x:c>
      <x:c r="G52" s="11" t="n">
        <x:v>4</x:v>
      </x:c>
      <x:c r="H52" s="11" t="n">
        <x:v>0</x:v>
      </x:c>
      <x:c r="I52" s="11" t="n">
        <x:v>0</x:v>
      </x:c>
      <x:c r="J52" s="11" t="n">
        <x:v>0</x:v>
      </x:c>
      <x:c r="K52" s="11" t="n">
        <x:v>0</x:v>
      </x:c>
      <x:c r="L52" s="11" t="n">
        <x:v>0</x:v>
      </x:c>
      <x:c r="M52" s="11" t="n">
        <x:v>0</x:v>
      </x:c>
      <x:c r="N52" s="11" t="n">
        <x:v>8</x:v>
      </x:c>
      <x:c r="O52" s="11" t="n">
        <x:v>0</x:v>
      </x:c>
      <x:c r="P52" s="11" t="n">
        <x:v>0</x:v>
      </x:c>
    </x:row>
    <x:row r="53" ht="22" customHeight="1">
      <x:c r="A53" s="5" t="inlineStr">
        <x:is>
          <x:t xml:space="preserve">타입|물</x:t>
        </x:is>
      </x:c>
      <x:c r="B53" s="5" t="inlineStr">
        <x:is>
          <x:t xml:space="preserve">타입</x:t>
        </x:is>
      </x:c>
      <x:c r="C53" s="5" t="inlineStr">
        <x:is>
          <x:t xml:space="preserve">물</x:t>
        </x:is>
      </x:c>
      <x:c r="D53" s="5" t="inlineStr">
        <x:is>
          <x:t xml:space="preserve">타입은 보조 근거로만 사용</x:t>
        </x:is>
      </x:c>
      <x:c r="E53" s="11" t="n">
        <x:v>0</x:v>
      </x:c>
      <x:c r="F53" s="11" t="n">
        <x:v>0</x:v>
      </x:c>
      <x:c r="G53" s="11" t="n">
        <x:v>0</x:v>
      </x:c>
      <x:c r="H53" s="11" t="n">
        <x:v>0</x:v>
      </x:c>
      <x:c r="I53" s="11" t="n">
        <x:v>0</x:v>
      </x:c>
      <x:c r="J53" s="11" t="n">
        <x:v>3</x:v>
      </x:c>
      <x:c r="K53" s="11" t="n">
        <x:v>7</x:v>
      </x:c>
      <x:c r="L53" s="11" t="n">
        <x:v>7</x:v>
      </x:c>
      <x:c r="M53" s="11" t="n">
        <x:v>0</x:v>
      </x:c>
      <x:c r="N53" s="11" t="n">
        <x:v>0</x:v>
      </x:c>
      <x:c r="O53" s="11" t="n">
        <x:v>0</x:v>
      </x:c>
      <x:c r="P53" s="11" t="n">
        <x:v>0</x:v>
      </x:c>
    </x:row>
    <x:row r="54" ht="22" customHeight="1">
      <x:c r="A54" s="5" t="inlineStr">
        <x:is>
          <x:t xml:space="preserve">타입|전기</x:t>
        </x:is>
      </x:c>
      <x:c r="B54" s="5" t="inlineStr">
        <x:is>
          <x:t xml:space="preserve">타입</x:t>
        </x:is>
      </x:c>
      <x:c r="C54" s="5" t="inlineStr">
        <x:is>
          <x:t xml:space="preserve">전기</x:t>
        </x:is>
      </x:c>
      <x:c r="D54" s="5" t="inlineStr">
        <x:is>
          <x:t xml:space="preserve">타입은 보조 근거로만 사용</x:t>
        </x:is>
      </x:c>
      <x:c r="E54" s="11" t="n">
        <x:v>3</x:v>
      </x:c>
      <x:c r="F54" s="11" t="n">
        <x:v>0</x:v>
      </x:c>
      <x:c r="G54" s="11" t="n">
        <x:v>0</x:v>
      </x:c>
      <x:c r="H54" s="11" t="n">
        <x:v>2</x:v>
      </x:c>
      <x:c r="I54" s="11" t="n">
        <x:v>0</x:v>
      </x:c>
      <x:c r="J54" s="11" t="n">
        <x:v>0</x:v>
      </x:c>
      <x:c r="K54" s="11" t="n">
        <x:v>0</x:v>
      </x:c>
      <x:c r="L54" s="11" t="n">
        <x:v>0</x:v>
      </x:c>
      <x:c r="M54" s="11" t="n">
        <x:v>0</x:v>
      </x:c>
      <x:c r="N54" s="11" t="n">
        <x:v>0</x:v>
      </x:c>
      <x:c r="O54" s="11" t="n">
        <x:v>5</x:v>
      </x:c>
      <x:c r="P54" s="11" t="n">
        <x:v>0</x:v>
      </x:c>
    </x:row>
    <x:row r="55" ht="22" customHeight="1">
      <x:c r="A55" s="5" t="inlineStr">
        <x:is>
          <x:t xml:space="preserve">타입|풀</x:t>
        </x:is>
      </x:c>
      <x:c r="B55" s="5" t="inlineStr">
        <x:is>
          <x:t xml:space="preserve">타입</x:t>
        </x:is>
      </x:c>
      <x:c r="C55" s="5" t="inlineStr">
        <x:is>
          <x:t xml:space="preserve">풀</x:t>
        </x:is>
      </x:c>
      <x:c r="D55" s="5" t="inlineStr">
        <x:is>
          <x:t xml:space="preserve">타입은 보조 근거로만 사용</x:t>
        </x:is>
      </x:c>
      <x:c r="E55" s="11" t="n">
        <x:v>4</x:v>
      </x:c>
      <x:c r="F55" s="11" t="n">
        <x:v>8</x:v>
      </x:c>
      <x:c r="G55" s="11" t="n">
        <x:v>0</x:v>
      </x:c>
      <x:c r="H55" s="11" t="n">
        <x:v>0</x:v>
      </x:c>
      <x:c r="I55" s="11" t="n">
        <x:v>0</x:v>
      </x:c>
      <x:c r="J55" s="11" t="n">
        <x:v>2</x:v>
      </x:c>
      <x:c r="K55" s="11" t="n">
        <x:v>0</x:v>
      </x:c>
      <x:c r="L55" s="11" t="n">
        <x:v>0</x:v>
      </x:c>
      <x:c r="M55" s="11" t="n">
        <x:v>0</x:v>
      </x:c>
      <x:c r="N55" s="11" t="n">
        <x:v>0</x:v>
      </x:c>
      <x:c r="O55" s="11" t="n">
        <x:v>0</x:v>
      </x:c>
      <x:c r="P55" s="11" t="n">
        <x:v>0</x:v>
      </x:c>
    </x:row>
    <x:row r="56" ht="22" customHeight="1">
      <x:c r="A56" s="5" t="inlineStr">
        <x:is>
          <x:t xml:space="preserve">타입|얼음</x:t>
        </x:is>
      </x:c>
      <x:c r="B56" s="5" t="inlineStr">
        <x:is>
          <x:t xml:space="preserve">타입</x:t>
        </x:is>
      </x:c>
      <x:c r="C56" s="5" t="inlineStr">
        <x:is>
          <x:t xml:space="preserve">얼음</x:t>
        </x:is>
      </x:c>
      <x:c r="D56" s="5" t="inlineStr">
        <x:is>
          <x:t xml:space="preserve">타입은 보조 근거로만 사용</x:t>
        </x:is>
      </x:c>
      <x:c r="E56" s="11" t="n">
        <x:v>0</x:v>
      </x:c>
      <x:c r="F56" s="11" t="n">
        <x:v>0</x:v>
      </x:c>
      <x:c r="G56" s="11" t="n">
        <x:v>0</x:v>
      </x:c>
      <x:c r="H56" s="11" t="n">
        <x:v>0</x:v>
      </x:c>
      <x:c r="I56" s="11" t="n">
        <x:v>0</x:v>
      </x:c>
      <x:c r="J56" s="11" t="n">
        <x:v>0</x:v>
      </x:c>
      <x:c r="K56" s="11" t="n">
        <x:v>0</x:v>
      </x:c>
      <x:c r="L56" s="11" t="n">
        <x:v>2</x:v>
      </x:c>
      <x:c r="M56" s="11" t="n">
        <x:v>9</x:v>
      </x:c>
      <x:c r="N56" s="11" t="n">
        <x:v>0</x:v>
      </x:c>
      <x:c r="O56" s="11" t="n">
        <x:v>0</x:v>
      </x:c>
      <x:c r="P56" s="11" t="n">
        <x:v>0</x:v>
      </x:c>
    </x:row>
    <x:row r="57" ht="22" customHeight="1">
      <x:c r="A57" s="5" t="inlineStr">
        <x:is>
          <x:t xml:space="preserve">타입|격투</x:t>
        </x:is>
      </x:c>
      <x:c r="B57" s="5" t="inlineStr">
        <x:is>
          <x:t xml:space="preserve">타입</x:t>
        </x:is>
      </x:c>
      <x:c r="C57" s="5" t="inlineStr">
        <x:is>
          <x:t xml:space="preserve">격투</x:t>
        </x:is>
      </x:c>
      <x:c r="D57" s="5" t="inlineStr">
        <x:is>
          <x:t xml:space="preserve">타입은 보조 근거로만 사용</x:t>
        </x:is>
      </x:c>
      <x:c r="E57" s="11" t="n">
        <x:v>0</x:v>
      </x:c>
      <x:c r="F57" s="11" t="n">
        <x:v>0</x:v>
      </x:c>
      <x:c r="G57" s="11" t="n">
        <x:v>0</x:v>
      </x:c>
      <x:c r="H57" s="11" t="n">
        <x:v>5</x:v>
      </x:c>
      <x:c r="I57" s="11" t="n">
        <x:v>0</x:v>
      </x:c>
      <x:c r="J57" s="11" t="n">
        <x:v>0</x:v>
      </x:c>
      <x:c r="K57" s="11" t="n">
        <x:v>0</x:v>
      </x:c>
      <x:c r="L57" s="11" t="n">
        <x:v>0</x:v>
      </x:c>
      <x:c r="M57" s="11" t="n">
        <x:v>0</x:v>
      </x:c>
      <x:c r="N57" s="11" t="n">
        <x:v>0</x:v>
      </x:c>
      <x:c r="O57" s="11" t="n">
        <x:v>2</x:v>
      </x:c>
      <x:c r="P57" s="11" t="n">
        <x:v>0</x:v>
      </x:c>
    </x:row>
    <x:row r="58" ht="22" customHeight="1">
      <x:c r="A58" s="5" t="inlineStr">
        <x:is>
          <x:t xml:space="preserve">타입|독</x:t>
        </x:is>
      </x:c>
      <x:c r="B58" s="5" t="inlineStr">
        <x:is>
          <x:t xml:space="preserve">타입</x:t>
        </x:is>
      </x:c>
      <x:c r="C58" s="5" t="inlineStr">
        <x:is>
          <x:t xml:space="preserve">독</x:t>
        </x:is>
      </x:c>
      <x:c r="D58" s="5" t="inlineStr">
        <x:is>
          <x:t xml:space="preserve">타입은 보조 근거로만 사용</x:t>
        </x:is>
      </x:c>
      <x:c r="E58" s="11" t="n">
        <x:v>0</x:v>
      </x:c>
      <x:c r="F58" s="11" t="n">
        <x:v>3</x:v>
      </x:c>
      <x:c r="G58" s="11" t="n">
        <x:v>0</x:v>
      </x:c>
      <x:c r="H58" s="11" t="n">
        <x:v>0</x:v>
      </x:c>
      <x:c r="I58" s="11" t="n">
        <x:v>0</x:v>
      </x:c>
      <x:c r="J58" s="11" t="n">
        <x:v>5</x:v>
      </x:c>
      <x:c r="K58" s="11" t="n">
        <x:v>0</x:v>
      </x:c>
      <x:c r="L58" s="11" t="n">
        <x:v>0</x:v>
      </x:c>
      <x:c r="M58" s="11" t="n">
        <x:v>0</x:v>
      </x:c>
      <x:c r="N58" s="11" t="n">
        <x:v>0</x:v>
      </x:c>
      <x:c r="O58" s="11" t="n">
        <x:v>0</x:v>
      </x:c>
      <x:c r="P58" s="11" t="n">
        <x:v>2</x:v>
      </x:c>
    </x:row>
    <x:row r="59" ht="22" customHeight="1">
      <x:c r="A59" s="5" t="inlineStr">
        <x:is>
          <x:t xml:space="preserve">타입|땅</x:t>
        </x:is>
      </x:c>
      <x:c r="B59" s="5" t="inlineStr">
        <x:is>
          <x:t xml:space="preserve">타입</x:t>
        </x:is>
      </x:c>
      <x:c r="C59" s="5" t="inlineStr">
        <x:is>
          <x:t xml:space="preserve">땅</x:t>
        </x:is>
      </x:c>
      <x:c r="D59" s="5" t="inlineStr">
        <x:is>
          <x:t xml:space="preserve">타입은 보조 근거로만 사용</x:t>
        </x:is>
      </x:c>
      <x:c r="E59" s="11" t="n">
        <x:v>0</x:v>
      </x:c>
      <x:c r="F59" s="11" t="n">
        <x:v>0</x:v>
      </x:c>
      <x:c r="G59" s="11" t="n">
        <x:v>6</x:v>
      </x:c>
      <x:c r="H59" s="11" t="n">
        <x:v>4</x:v>
      </x:c>
      <x:c r="I59" s="11" t="n">
        <x:v>3</x:v>
      </x:c>
      <x:c r="J59" s="11" t="n">
        <x:v>0</x:v>
      </x:c>
      <x:c r="K59" s="11" t="n">
        <x:v>0</x:v>
      </x:c>
      <x:c r="L59" s="11" t="n">
        <x:v>0</x:v>
      </x:c>
      <x:c r="M59" s="11" t="n">
        <x:v>0</x:v>
      </x:c>
      <x:c r="N59" s="11" t="n">
        <x:v>0</x:v>
      </x:c>
      <x:c r="O59" s="11" t="n">
        <x:v>0</x:v>
      </x:c>
      <x:c r="P59" s="11" t="n">
        <x:v>0</x:v>
      </x:c>
    </x:row>
    <x:row r="60" ht="22" customHeight="1">
      <x:c r="A60" s="5" t="inlineStr">
        <x:is>
          <x:t xml:space="preserve">타입|비행</x:t>
        </x:is>
      </x:c>
      <x:c r="B60" s="5" t="inlineStr">
        <x:is>
          <x:t xml:space="preserve">타입</x:t>
        </x:is>
      </x:c>
      <x:c r="C60" s="5" t="inlineStr">
        <x:is>
          <x:t xml:space="preserve">비행</x:t>
        </x:is>
      </x:c>
      <x:c r="D60" s="5" t="inlineStr">
        <x:is>
          <x:t xml:space="preserve">타입은 보조 근거로만 사용</x:t>
        </x:is>
      </x:c>
      <x:c r="E60" s="11" t="n">
        <x:v>4</x:v>
      </x:c>
      <x:c r="F60" s="11" t="n">
        <x:v>3</x:v>
      </x:c>
      <x:c r="G60" s="11" t="n">
        <x:v>0</x:v>
      </x:c>
      <x:c r="H60" s="11" t="n">
        <x:v>5</x:v>
      </x:c>
      <x:c r="I60" s="11" t="n">
        <x:v>0</x:v>
      </x:c>
      <x:c r="J60" s="11" t="n">
        <x:v>0</x:v>
      </x:c>
      <x:c r="K60" s="11" t="n">
        <x:v>0</x:v>
      </x:c>
      <x:c r="L60" s="11" t="n">
        <x:v>0</x:v>
      </x:c>
      <x:c r="M60" s="11" t="n">
        <x:v>0</x:v>
      </x:c>
      <x:c r="N60" s="11" t="n">
        <x:v>0</x:v>
      </x:c>
      <x:c r="O60" s="11" t="n">
        <x:v>0</x:v>
      </x:c>
      <x:c r="P60" s="11" t="n">
        <x:v>0</x:v>
      </x:c>
    </x:row>
    <x:row r="61" ht="22" customHeight="1">
      <x:c r="A61" s="5" t="inlineStr">
        <x:is>
          <x:t xml:space="preserve">타입|에스퍼</x:t>
        </x:is>
      </x:c>
      <x:c r="B61" s="5" t="inlineStr">
        <x:is>
          <x:t xml:space="preserve">타입</x:t>
        </x:is>
      </x:c>
      <x:c r="C61" s="5" t="inlineStr">
        <x:is>
          <x:t xml:space="preserve">에스퍼</x:t>
        </x:is>
      </x:c>
      <x:c r="D61" s="5" t="inlineStr">
        <x:is>
          <x:t xml:space="preserve">타입은 보조 근거로만 사용</x:t>
        </x:is>
      </x:c>
      <x:c r="E61" s="11" t="n">
        <x:v>0</x:v>
      </x:c>
      <x:c r="F61" s="11" t="n">
        <x:v>0</x:v>
      </x:c>
      <x:c r="G61" s="11" t="n">
        <x:v>0</x:v>
      </x:c>
      <x:c r="H61" s="11" t="n">
        <x:v>0</x:v>
      </x:c>
      <x:c r="I61" s="11" t="n">
        <x:v>0</x:v>
      </x:c>
      <x:c r="J61" s="11" t="n">
        <x:v>0</x:v>
      </x:c>
      <x:c r="K61" s="11" t="n">
        <x:v>0</x:v>
      </x:c>
      <x:c r="L61" s="11" t="n">
        <x:v>0</x:v>
      </x:c>
      <x:c r="M61" s="11" t="n">
        <x:v>0</x:v>
      </x:c>
      <x:c r="N61" s="11" t="n">
        <x:v>0</x:v>
      </x:c>
      <x:c r="O61" s="11" t="n">
        <x:v>2</x:v>
      </x:c>
      <x:c r="P61" s="11" t="n">
        <x:v>4</x:v>
      </x:c>
    </x:row>
    <x:row r="62" ht="22" customHeight="1">
      <x:c r="A62" s="5" t="inlineStr">
        <x:is>
          <x:t xml:space="preserve">타입|벌레</x:t>
        </x:is>
      </x:c>
      <x:c r="B62" s="5" t="inlineStr">
        <x:is>
          <x:t xml:space="preserve">타입</x:t>
        </x:is>
      </x:c>
      <x:c r="C62" s="5" t="inlineStr">
        <x:is>
          <x:t xml:space="preserve">벌레</x:t>
        </x:is>
      </x:c>
      <x:c r="D62" s="5" t="inlineStr">
        <x:is>
          <x:t xml:space="preserve">타입은 보조 근거로만 사용</x:t>
        </x:is>
      </x:c>
      <x:c r="E62" s="11" t="n">
        <x:v>2</x:v>
      </x:c>
      <x:c r="F62" s="11" t="n">
        <x:v>7</x:v>
      </x:c>
      <x:c r="G62" s="11" t="n">
        <x:v>0</x:v>
      </x:c>
      <x:c r="H62" s="11" t="n">
        <x:v>0</x:v>
      </x:c>
      <x:c r="I62" s="11" t="n">
        <x:v>0</x:v>
      </x:c>
      <x:c r="J62" s="11" t="n">
        <x:v>2</x:v>
      </x:c>
      <x:c r="K62" s="11" t="n">
        <x:v>0</x:v>
      </x:c>
      <x:c r="L62" s="11" t="n">
        <x:v>0</x:v>
      </x:c>
      <x:c r="M62" s="11" t="n">
        <x:v>0</x:v>
      </x:c>
      <x:c r="N62" s="11" t="n">
        <x:v>0</x:v>
      </x:c>
      <x:c r="O62" s="11" t="n">
        <x:v>0</x:v>
      </x:c>
      <x:c r="P62" s="11" t="n">
        <x:v>0</x:v>
      </x:c>
    </x:row>
    <x:row r="63" ht="22" customHeight="1">
      <x:c r="A63" s="5" t="inlineStr">
        <x:is>
          <x:t xml:space="preserve">타입|바위</x:t>
        </x:is>
      </x:c>
      <x:c r="B63" s="5" t="inlineStr">
        <x:is>
          <x:t xml:space="preserve">타입</x:t>
        </x:is>
      </x:c>
      <x:c r="C63" s="5" t="inlineStr">
        <x:is>
          <x:t xml:space="preserve">바위</x:t>
        </x:is>
      </x:c>
      <x:c r="D63" s="5" t="inlineStr">
        <x:is>
          <x:t xml:space="preserve">타입은 보조 근거로만 사용</x:t>
        </x:is>
      </x:c>
      <x:c r="E63" s="11" t="n">
        <x:v>0</x:v>
      </x:c>
      <x:c r="F63" s="11" t="n">
        <x:v>0</x:v>
      </x:c>
      <x:c r="G63" s="11" t="n">
        <x:v>3</x:v>
      </x:c>
      <x:c r="H63" s="11" t="n">
        <x:v>7</x:v>
      </x:c>
      <x:c r="I63" s="11" t="n">
        <x:v>5</x:v>
      </x:c>
      <x:c r="J63" s="11" t="n">
        <x:v>0</x:v>
      </x:c>
      <x:c r="K63" s="11" t="n">
        <x:v>0</x:v>
      </x:c>
      <x:c r="L63" s="11" t="n">
        <x:v>0</x:v>
      </x:c>
      <x:c r="M63" s="11" t="n">
        <x:v>0</x:v>
      </x:c>
      <x:c r="N63" s="11" t="n">
        <x:v>0</x:v>
      </x:c>
      <x:c r="O63" s="11" t="n">
        <x:v>0</x:v>
      </x:c>
      <x:c r="P63" s="11" t="n">
        <x:v>0</x:v>
      </x:c>
    </x:row>
    <x:row r="64" ht="22" customHeight="1">
      <x:c r="A64" s="5" t="inlineStr">
        <x:is>
          <x:t xml:space="preserve">타입|고스트</x:t>
        </x:is>
      </x:c>
      <x:c r="B64" s="5" t="inlineStr">
        <x:is>
          <x:t xml:space="preserve">타입</x:t>
        </x:is>
      </x:c>
      <x:c r="C64" s="5" t="inlineStr">
        <x:is>
          <x:t xml:space="preserve">고스트</x:t>
        </x:is>
      </x:c>
      <x:c r="D64" s="5" t="inlineStr">
        <x:is>
          <x:t xml:space="preserve">타입은 보조 근거로만 사용</x:t>
        </x:is>
      </x:c>
      <x:c r="E64" s="11" t="n">
        <x:v>0</x:v>
      </x:c>
      <x:c r="F64" s="11" t="n">
        <x:v>0</x:v>
      </x:c>
      <x:c r="G64" s="11" t="n">
        <x:v>0</x:v>
      </x:c>
      <x:c r="H64" s="11" t="n">
        <x:v>0</x:v>
      </x:c>
      <x:c r="I64" s="11" t="n">
        <x:v>4</x:v>
      </x:c>
      <x:c r="J64" s="11" t="n">
        <x:v>0</x:v>
      </x:c>
      <x:c r="K64" s="11" t="n">
        <x:v>0</x:v>
      </x:c>
      <x:c r="L64" s="11" t="n">
        <x:v>0</x:v>
      </x:c>
      <x:c r="M64" s="11" t="n">
        <x:v>0</x:v>
      </x:c>
      <x:c r="N64" s="11" t="n">
        <x:v>0</x:v>
      </x:c>
      <x:c r="O64" s="11" t="n">
        <x:v>3</x:v>
      </x:c>
      <x:c r="P64" s="11" t="n">
        <x:v>8</x:v>
      </x:c>
    </x:row>
    <x:row r="65" ht="22" customHeight="1">
      <x:c r="A65" s="5" t="inlineStr">
        <x:is>
          <x:t xml:space="preserve">타입|드래곤</x:t>
        </x:is>
      </x:c>
      <x:c r="B65" s="5" t="inlineStr">
        <x:is>
          <x:t xml:space="preserve">타입</x:t>
        </x:is>
      </x:c>
      <x:c r="C65" s="5" t="inlineStr">
        <x:is>
          <x:t xml:space="preserve">드래곤</x:t>
        </x:is>
      </x:c>
      <x:c r="D65" s="5" t="inlineStr">
        <x:is>
          <x:t xml:space="preserve">타입은 보조 근거로만 사용</x:t>
        </x:is>
      </x:c>
      <x:c r="E65" s="11" t="n">
        <x:v>0</x:v>
      </x:c>
      <x:c r="F65" s="11" t="n">
        <x:v>0</x:v>
      </x:c>
      <x:c r="G65" s="11" t="n">
        <x:v>0</x:v>
      </x:c>
      <x:c r="H65" s="11" t="n">
        <x:v>6</x:v>
      </x:c>
      <x:c r="I65" s="11" t="n">
        <x:v>0</x:v>
      </x:c>
      <x:c r="J65" s="11" t="n">
        <x:v>0</x:v>
      </x:c>
      <x:c r="K65" s="11" t="n">
        <x:v>0</x:v>
      </x:c>
      <x:c r="L65" s="11" t="n">
        <x:v>0</x:v>
      </x:c>
      <x:c r="M65" s="11" t="n">
        <x:v>0</x:v>
      </x:c>
      <x:c r="N65" s="11" t="n">
        <x:v>0</x:v>
      </x:c>
      <x:c r="O65" s="11" t="n">
        <x:v>0</x:v>
      </x:c>
      <x:c r="P65" s="11" t="n">
        <x:v>4</x:v>
      </x:c>
    </x:row>
    <x:row r="66" ht="22" customHeight="1">
      <x:c r="A66" s="5" t="inlineStr">
        <x:is>
          <x:t xml:space="preserve">타입|악</x:t>
        </x:is>
      </x:c>
      <x:c r="B66" s="5" t="inlineStr">
        <x:is>
          <x:t xml:space="preserve">타입</x:t>
        </x:is>
      </x:c>
      <x:c r="C66" s="5" t="inlineStr">
        <x:is>
          <x:t xml:space="preserve">악</x:t>
        </x:is>
      </x:c>
      <x:c r="D66" s="5" t="inlineStr">
        <x:is>
          <x:t xml:space="preserve">타입은 보조 근거로만 사용</x:t>
        </x:is>
      </x:c>
      <x:c r="E66" s="11" t="n">
        <x:v>0</x:v>
      </x:c>
      <x:c r="F66" s="11" t="n">
        <x:v>3</x:v>
      </x:c>
      <x:c r="G66" s="11" t="n">
        <x:v>0</x:v>
      </x:c>
      <x:c r="H66" s="11" t="n">
        <x:v>0</x:v>
      </x:c>
      <x:c r="I66" s="11" t="n">
        <x:v>5</x:v>
      </x:c>
      <x:c r="J66" s="11" t="n">
        <x:v>0</x:v>
      </x:c>
      <x:c r="K66" s="11" t="n">
        <x:v>0</x:v>
      </x:c>
      <x:c r="L66" s="11" t="n">
        <x:v>0</x:v>
      </x:c>
      <x:c r="M66" s="11" t="n">
        <x:v>0</x:v>
      </x:c>
      <x:c r="N66" s="11" t="n">
        <x:v>0</x:v>
      </x:c>
      <x:c r="O66" s="11" t="n">
        <x:v>0</x:v>
      </x:c>
      <x:c r="P66" s="11" t="n">
        <x:v>3</x:v>
      </x:c>
    </x:row>
    <x:row r="67" ht="22" customHeight="1">
      <x:c r="A67" s="5" t="inlineStr">
        <x:is>
          <x:t xml:space="preserve">타입|강철</x:t>
        </x:is>
      </x:c>
      <x:c r="B67" s="5" t="inlineStr">
        <x:is>
          <x:t xml:space="preserve">타입</x:t>
        </x:is>
      </x:c>
      <x:c r="C67" s="5" t="inlineStr">
        <x:is>
          <x:t xml:space="preserve">강철</x:t>
        </x:is>
      </x:c>
      <x:c r="D67" s="5" t="inlineStr">
        <x:is>
          <x:t xml:space="preserve">타입은 보조 근거로만 사용</x:t>
        </x:is>
      </x:c>
      <x:c r="E67" s="11" t="n">
        <x:v>0</x:v>
      </x:c>
      <x:c r="F67" s="11" t="n">
        <x:v>0</x:v>
      </x:c>
      <x:c r="G67" s="11" t="n">
        <x:v>0</x:v>
      </x:c>
      <x:c r="H67" s="11" t="n">
        <x:v>4</x:v>
      </x:c>
      <x:c r="I67" s="11" t="n">
        <x:v>3</x:v>
      </x:c>
      <x:c r="J67" s="11" t="n">
        <x:v>0</x:v>
      </x:c>
      <x:c r="K67" s="11" t="n">
        <x:v>0</x:v>
      </x:c>
      <x:c r="L67" s="11" t="n">
        <x:v>0</x:v>
      </x:c>
      <x:c r="M67" s="11" t="n">
        <x:v>0</x:v>
      </x:c>
      <x:c r="N67" s="11" t="n">
        <x:v>0</x:v>
      </x:c>
      <x:c r="O67" s="11" t="n">
        <x:v>6</x:v>
      </x:c>
      <x:c r="P67" s="11" t="n">
        <x:v>0</x:v>
      </x:c>
    </x:row>
    <x:row r="68" ht="22" customHeight="1">
      <x:c r="A68" s="5" t="inlineStr">
        <x:is>
          <x:t xml:space="preserve">타입|페어리</x:t>
        </x:is>
      </x:c>
      <x:c r="B68" s="5" t="inlineStr">
        <x:is>
          <x:t xml:space="preserve">타입</x:t>
        </x:is>
      </x:c>
      <x:c r="C68" s="5" t="inlineStr">
        <x:is>
          <x:t xml:space="preserve">페어리</x:t>
        </x:is>
      </x:c>
      <x:c r="D68" s="5" t="inlineStr">
        <x:is>
          <x:t xml:space="preserve">타입은 보조 근거로만 사용</x:t>
        </x:is>
      </x:c>
      <x:c r="E68" s="11" t="n">
        <x:v>3</x:v>
      </x:c>
      <x:c r="F68" s="11" t="n">
        <x:v>6</x:v>
      </x:c>
      <x:c r="G68" s="11" t="n">
        <x:v>0</x:v>
      </x:c>
      <x:c r="H68" s="11" t="n">
        <x:v>0</x:v>
      </x:c>
      <x:c r="I68" s="11" t="n">
        <x:v>0</x:v>
      </x:c>
      <x:c r="J68" s="11" t="n">
        <x:v>0</x:v>
      </x:c>
      <x:c r="K68" s="11" t="n">
        <x:v>0</x:v>
      </x:c>
      <x:c r="L68" s="11" t="n">
        <x:v>0</x:v>
      </x:c>
      <x:c r="M68" s="11" t="n">
        <x:v>0</x:v>
      </x:c>
      <x:c r="N68" s="11" t="n">
        <x:v>0</x:v>
      </x:c>
      <x:c r="O68" s="11" t="n">
        <x:v>0</x:v>
      </x:c>
      <x:c r="P68" s="11" t="n">
        <x:v>6</x:v>
      </x:c>
    </x:row>
    <x:row r="69" ht="22" customHeight="1">
      <x:c r="A69" s="5" t="inlineStr">
        <x:is>
          <x:t xml:space="preserve">특수태그|없음</x:t>
        </x:is>
      </x:c>
      <x:c r="B69" s="5" t="inlineStr">
        <x:is>
          <x:t xml:space="preserve">특수태그</x:t>
        </x:is>
      </x:c>
      <x:c r="C69" s="5" t="inlineStr">
        <x:is>
          <x:t xml:space="preserve">없음</x:t>
        </x:is>
      </x:c>
      <x:c r="D69" s="5" t="inlineStr">
        <x:is>
          <x:t xml:space="preserve">명시적 생태 예외</x:t>
        </x:is>
      </x:c>
      <x:c r="E69" s="11" t="n">
        <x:v>0</x:v>
      </x:c>
      <x:c r="F69" s="11" t="n">
        <x:v>0</x:v>
      </x:c>
      <x:c r="G69" s="11" t="n">
        <x:v>0</x:v>
      </x:c>
      <x:c r="H69" s="11" t="n">
        <x:v>0</x:v>
      </x:c>
      <x:c r="I69" s="11" t="n">
        <x:v>0</x:v>
      </x:c>
      <x:c r="J69" s="11" t="n">
        <x:v>0</x:v>
      </x:c>
      <x:c r="K69" s="11" t="n">
        <x:v>0</x:v>
      </x:c>
      <x:c r="L69" s="11" t="n">
        <x:v>0</x:v>
      </x:c>
      <x:c r="M69" s="11" t="n">
        <x:v>0</x:v>
      </x:c>
      <x:c r="N69" s="11" t="n">
        <x:v>0</x:v>
      </x:c>
      <x:c r="O69" s="11" t="n">
        <x:v>0</x:v>
      </x:c>
      <x:c r="P69" s="11" t="n">
        <x:v>0</x:v>
      </x:c>
    </x:row>
    <x:row r="70" ht="22" customHeight="1">
      <x:c r="A70" s="5" t="inlineStr">
        <x:is>
          <x:t xml:space="preserve">특수태그|동굴</x:t>
        </x:is>
      </x:c>
      <x:c r="B70" s="5" t="inlineStr">
        <x:is>
          <x:t xml:space="preserve">특수태그</x:t>
        </x:is>
      </x:c>
      <x:c r="C70" s="5" t="inlineStr">
        <x:is>
          <x:t xml:space="preserve">동굴</x:t>
        </x:is>
      </x:c>
      <x:c r="D70" s="5" t="inlineStr">
        <x:is>
          <x:t xml:space="preserve">명시적 생태 예외</x:t>
        </x:is>
      </x:c>
      <x:c r="E70" s="11" t="n">
        <x:v>0</x:v>
      </x:c>
      <x:c r="F70" s="11" t="n">
        <x:v>0</x:v>
      </x:c>
      <x:c r="G70" s="11" t="n">
        <x:v>0</x:v>
      </x:c>
      <x:c r="H70" s="11" t="n">
        <x:v>0</x:v>
      </x:c>
      <x:c r="I70" s="11" t="n">
        <x:v>30</x:v>
      </x:c>
      <x:c r="J70" s="11" t="n">
        <x:v>0</x:v>
      </x:c>
      <x:c r="K70" s="11" t="n">
        <x:v>0</x:v>
      </x:c>
      <x:c r="L70" s="11" t="n">
        <x:v>0</x:v>
      </x:c>
      <x:c r="M70" s="11" t="n">
        <x:v>0</x:v>
      </x:c>
      <x:c r="N70" s="11" t="n">
        <x:v>0</x:v>
      </x:c>
      <x:c r="O70" s="11" t="n">
        <x:v>0</x:v>
      </x:c>
      <x:c r="P70" s="11" t="n">
        <x:v>0</x:v>
      </x:c>
    </x:row>
    <x:row r="71" ht="22" customHeight="1">
      <x:c r="A71" s="5" t="inlineStr">
        <x:is>
          <x:t xml:space="preserve">특수태그|심해</x:t>
        </x:is>
      </x:c>
      <x:c r="B71" s="5" t="inlineStr">
        <x:is>
          <x:t xml:space="preserve">특수태그</x:t>
        </x:is>
      </x:c>
      <x:c r="C71" s="5" t="inlineStr">
        <x:is>
          <x:t xml:space="preserve">심해</x:t>
        </x:is>
      </x:c>
      <x:c r="D71" s="5" t="inlineStr">
        <x:is>
          <x:t xml:space="preserve">명시적 생태 예외</x:t>
        </x:is>
      </x:c>
      <x:c r="E71" s="11" t="n">
        <x:v>0</x:v>
      </x:c>
      <x:c r="F71" s="11" t="n">
        <x:v>0</x:v>
      </x:c>
      <x:c r="G71" s="11" t="n">
        <x:v>0</x:v>
      </x:c>
      <x:c r="H71" s="11" t="n">
        <x:v>0</x:v>
      </x:c>
      <x:c r="I71" s="11" t="n">
        <x:v>0</x:v>
      </x:c>
      <x:c r="J71" s="11" t="n">
        <x:v>0</x:v>
      </x:c>
      <x:c r="K71" s="11" t="n">
        <x:v>0</x:v>
      </x:c>
      <x:c r="L71" s="11" t="n">
        <x:v>30</x:v>
      </x:c>
      <x:c r="M71" s="11" t="n">
        <x:v>0</x:v>
      </x:c>
      <x:c r="N71" s="11" t="n">
        <x:v>0</x:v>
      </x:c>
      <x:c r="O71" s="11" t="n">
        <x:v>0</x:v>
      </x:c>
      <x:c r="P71" s="11" t="n">
        <x:v>0</x:v>
      </x:c>
    </x:row>
    <x:row r="72" ht="22" customHeight="1">
      <x:c r="A72" s="5" t="inlineStr">
        <x:is>
          <x:t xml:space="preserve">특수태그|화산</x:t>
        </x:is>
      </x:c>
      <x:c r="B72" s="5" t="inlineStr">
        <x:is>
          <x:t xml:space="preserve">특수태그</x:t>
        </x:is>
      </x:c>
      <x:c r="C72" s="5" t="inlineStr">
        <x:is>
          <x:t xml:space="preserve">화산</x:t>
        </x:is>
      </x:c>
      <x:c r="D72" s="5" t="inlineStr">
        <x:is>
          <x:t xml:space="preserve">명시적 생태 예외</x:t>
        </x:is>
      </x:c>
      <x:c r="E72" s="11" t="n">
        <x:v>0</x:v>
      </x:c>
      <x:c r="F72" s="11" t="n">
        <x:v>0</x:v>
      </x:c>
      <x:c r="G72" s="11" t="n">
        <x:v>0</x:v>
      </x:c>
      <x:c r="H72" s="11" t="n">
        <x:v>0</x:v>
      </x:c>
      <x:c r="I72" s="11" t="n">
        <x:v>0</x:v>
      </x:c>
      <x:c r="J72" s="11" t="n">
        <x:v>0</x:v>
      </x:c>
      <x:c r="K72" s="11" t="n">
        <x:v>0</x:v>
      </x:c>
      <x:c r="L72" s="11" t="n">
        <x:v>0</x:v>
      </x:c>
      <x:c r="M72" s="11" t="n">
        <x:v>0</x:v>
      </x:c>
      <x:c r="N72" s="11" t="n">
        <x:v>30</x:v>
      </x:c>
      <x:c r="O72" s="11" t="n">
        <x:v>0</x:v>
      </x:c>
      <x:c r="P72" s="11" t="n">
        <x:v>0</x:v>
      </x:c>
    </x:row>
    <x:row r="73" ht="22" customHeight="1">
      <x:c r="A73" s="5" t="inlineStr">
        <x:is>
          <x:t xml:space="preserve">특수태그|도시</x:t>
        </x:is>
      </x:c>
      <x:c r="B73" s="5" t="inlineStr">
        <x:is>
          <x:t xml:space="preserve">특수태그</x:t>
        </x:is>
      </x:c>
      <x:c r="C73" s="5" t="inlineStr">
        <x:is>
          <x:t xml:space="preserve">도시</x:t>
        </x:is>
      </x:c>
      <x:c r="D73" s="5" t="inlineStr">
        <x:is>
          <x:t xml:space="preserve">명시적 생태 예외</x:t>
        </x:is>
      </x:c>
      <x:c r="E73" s="11" t="n">
        <x:v>0</x:v>
      </x:c>
      <x:c r="F73" s="11" t="n">
        <x:v>0</x:v>
      </x:c>
      <x:c r="G73" s="11" t="n">
        <x:v>0</x:v>
      </x:c>
      <x:c r="H73" s="11" t="n">
        <x:v>0</x:v>
      </x:c>
      <x:c r="I73" s="11" t="n">
        <x:v>0</x:v>
      </x:c>
      <x:c r="J73" s="11" t="n">
        <x:v>0</x:v>
      </x:c>
      <x:c r="K73" s="11" t="n">
        <x:v>0</x:v>
      </x:c>
      <x:c r="L73" s="11" t="n">
        <x:v>0</x:v>
      </x:c>
      <x:c r="M73" s="11" t="n">
        <x:v>0</x:v>
      </x:c>
      <x:c r="N73" s="11" t="n">
        <x:v>0</x:v>
      </x:c>
      <x:c r="O73" s="11" t="n">
        <x:v>30</x:v>
      </x:c>
      <x:c r="P73" s="11" t="n">
        <x:v>0</x:v>
      </x:c>
    </x:row>
    <x:row r="74" ht="22" customHeight="1">
      <x:c r="A74" s="5" t="inlineStr">
        <x:is>
          <x:t xml:space="preserve">특수태그|유적</x:t>
        </x:is>
      </x:c>
      <x:c r="B74" s="5" t="inlineStr">
        <x:is>
          <x:t xml:space="preserve">특수태그</x:t>
        </x:is>
      </x:c>
      <x:c r="C74" s="5" t="inlineStr">
        <x:is>
          <x:t xml:space="preserve">유적</x:t>
        </x:is>
      </x:c>
      <x:c r="D74" s="5" t="inlineStr">
        <x:is>
          <x:t xml:space="preserve">명시적 생태 예외</x:t>
        </x:is>
      </x:c>
      <x:c r="E74" s="11" t="n">
        <x:v>0</x:v>
      </x:c>
      <x:c r="F74" s="11" t="n">
        <x:v>0</x:v>
      </x:c>
      <x:c r="G74" s="11" t="n">
        <x:v>0</x:v>
      </x:c>
      <x:c r="H74" s="11" t="n">
        <x:v>0</x:v>
      </x:c>
      <x:c r="I74" s="11" t="n">
        <x:v>0</x:v>
      </x:c>
      <x:c r="J74" s="11" t="n">
        <x:v>0</x:v>
      </x:c>
      <x:c r="K74" s="11" t="n">
        <x:v>0</x:v>
      </x:c>
      <x:c r="L74" s="11" t="n">
        <x:v>0</x:v>
      </x:c>
      <x:c r="M74" s="11" t="n">
        <x:v>0</x:v>
      </x:c>
      <x:c r="N74" s="11" t="n">
        <x:v>0</x:v>
      </x:c>
      <x:c r="O74" s="11" t="n">
        <x:v>0</x:v>
      </x:c>
      <x:c r="P74" s="11" t="n">
        <x:v>30</x:v>
      </x:c>
    </x:row>
    <x:row r="75" ht="22" customHeight="1">
      <x:c r="A75" s="5" t="inlineStr">
        <x:is>
          <x:t xml:space="preserve">특수태그|영체</x:t>
        </x:is>
      </x:c>
      <x:c r="B75" s="5" t="inlineStr">
        <x:is>
          <x:t xml:space="preserve">특수태그</x:t>
        </x:is>
      </x:c>
      <x:c r="C75" s="5" t="inlineStr">
        <x:is>
          <x:t xml:space="preserve">영체</x:t>
        </x:is>
      </x:c>
      <x:c r="D75" s="5" t="inlineStr">
        <x:is>
          <x:t xml:space="preserve">명시적 생태 예외</x:t>
        </x:is>
      </x:c>
      <x:c r="E75" s="11" t="n">
        <x:v>0</x:v>
      </x:c>
      <x:c r="F75" s="11" t="n">
        <x:v>0</x:v>
      </x:c>
      <x:c r="G75" s="11" t="n">
        <x:v>0</x:v>
      </x:c>
      <x:c r="H75" s="11" t="n">
        <x:v>0</x:v>
      </x:c>
      <x:c r="I75" s="11" t="n">
        <x:v>0</x:v>
      </x:c>
      <x:c r="J75" s="11" t="n">
        <x:v>0</x:v>
      </x:c>
      <x:c r="K75" s="11" t="n">
        <x:v>0</x:v>
      </x:c>
      <x:c r="L75" s="11" t="n">
        <x:v>0</x:v>
      </x:c>
      <x:c r="M75" s="11" t="n">
        <x:v>0</x:v>
      </x:c>
      <x:c r="N75" s="11" t="n">
        <x:v>0</x:v>
      </x:c>
      <x:c r="O75" s="11" t="n">
        <x:v>0</x:v>
      </x:c>
      <x:c r="P75" s="11" t="n">
        <x:v>30</x:v>
      </x:c>
    </x:row>
    <x:row r="76" ht="22" customHeight="1">
      <x:c r="A76" s="5" t="inlineStr">
        <x:is>
          <x:t xml:space="preserve">특수태그|전설</x:t>
        </x:is>
      </x:c>
      <x:c r="B76" s="5" t="inlineStr">
        <x:is>
          <x:t xml:space="preserve">특수태그</x:t>
        </x:is>
      </x:c>
      <x:c r="C76" s="5" t="inlineStr">
        <x:is>
          <x:t xml:space="preserve">전설</x:t>
        </x:is>
      </x:c>
      <x:c r="D76" s="5" t="inlineStr">
        <x:is>
          <x:t xml:space="preserve">명시적 생태 예외</x:t>
        </x:is>
      </x:c>
      <x:c r="E76" s="11" t="n">
        <x:v>0</x:v>
      </x:c>
      <x:c r="F76" s="11" t="n">
        <x:v>0</x:v>
      </x:c>
      <x:c r="G76" s="11" t="n">
        <x:v>0</x:v>
      </x:c>
      <x:c r="H76" s="11" t="n">
        <x:v>0</x:v>
      </x:c>
      <x:c r="I76" s="11" t="n">
        <x:v>0</x:v>
      </x:c>
      <x:c r="J76" s="11" t="n">
        <x:v>0</x:v>
      </x:c>
      <x:c r="K76" s="11" t="n">
        <x:v>0</x:v>
      </x:c>
      <x:c r="L76" s="11" t="n">
        <x:v>0</x:v>
      </x:c>
      <x:c r="M76" s="11" t="n">
        <x:v>0</x:v>
      </x:c>
      <x:c r="N76" s="11" t="n">
        <x:v>0</x:v>
      </x:c>
      <x:c r="O76" s="11" t="n">
        <x:v>0</x:v>
      </x:c>
      <x:c r="P76" s="11" t="n">
        <x:v>35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customWidth="1"/>
    <x:col min="2" max="2" width="14" customWidth="1"/>
    <x:col min="3" max="3" width="17" customWidth="1"/>
    <x:col min="4" max="4" width="17" customWidth="1"/>
    <x:col min="5" max="5" width="7" customWidth="1"/>
    <x:col min="6" max="6" width="9" customWidth="1"/>
    <x:col min="7" max="7" width="9" customWidth="1"/>
    <x:col min="8" max="8" width="9" customWidth="1"/>
    <x:col min="9" max="9" width="12" customWidth="1"/>
    <x:col min="10" max="10" width="10" customWidth="1"/>
    <x:col min="11" max="11" width="9" customWidth="1"/>
    <x:col min="12" max="12" width="10" customWidth="1"/>
    <x:col min="13" max="13" width="13" customWidth="1"/>
    <x:col min="14" max="14" width="12" customWidth="1"/>
    <x:col min="15" max="15" width="12" customWidth="1"/>
    <x:col min="16" max="16" width="42" customWidth="1"/>
    <x:col min="17" max="17" width="18" customWidth="1"/>
    <x:col min="18" max="18" width="18" customWidth="1"/>
    <x:col min="19" max="19" width="18" customWidth="1"/>
    <x:col min="20" max="20" width="12" customWidth="1"/>
    <x:col min="21" max="21" width="12" customWidth="1"/>
    <x:col min="22" max="22" width="10" customWidth="1"/>
    <x:col min="23" max="23" width="10" customWidth="1"/>
    <x:col min="24" max="24" width="10" customWidth="1"/>
    <x:col min="25" max="25" width="10" customWidth="1"/>
    <x:col min="26" max="26" width="10" customWidth="1"/>
    <x:col min="27" max="27" width="12" customWidth="1"/>
    <x:col min="28" max="28" width="12" customWidth="1"/>
    <x:col min="29" max="29" width="28" customWidth="1"/>
    <x:col min="30" max="30" width="48" customWidth="1"/>
  </x:cols>
  <x:sheetData>
    <x:row r="1" ht="30" customHeight="1">
      <x:c r="A1" s="1" t="inlineStr">
        <x:is>
          <x:t xml:space="preserve">원본 데이터와 자동 초기값</x:t>
        </x:is>
      </x:c>
    </x:row>
    <x:row r="2" ht="32" customHeight="1">
      <x:c r="A2" s="2" t="inlineStr">
        <x:is>
          <x:t xml:space="preserve">Cobblemon 1.7.3 종 JSON과 기존 바이옴 카탈로그에서 추출한 읽기 전용 참고값입니다.</x:t>
        </x:is>
      </x:c>
    </x:row>
    <x:row r="4" ht="36" customHeight="1">
      <x:c r="A4" s="3" t="inlineStr">
        <x:is>
          <x:t xml:space="preserve">덱스번호</x:t>
        </x:is>
      </x:c>
      <x:c r="B4" s="3" t="inlineStr">
        <x:is>
          <x:t xml:space="preserve">한글명</x:t>
        </x:is>
      </x:c>
      <x:c r="C4" s="3" t="inlineStr">
        <x:is>
          <x:t xml:space="preserve">영문ID</x:t>
        </x:is>
      </x:c>
      <x:c r="D4" s="3" t="inlineStr">
        <x:is>
          <x:t xml:space="preserve">영문명</x:t>
        </x:is>
      </x:c>
      <x:c r="E4" s="3" t="inlineStr">
        <x:is>
          <x:t xml:space="preserve">세대</x:t>
        </x:is>
      </x:c>
      <x:c r="F4" s="3" t="inlineStr">
        <x:is>
          <x:t xml:space="preserve">타입1</x:t>
        </x:is>
      </x:c>
      <x:c r="G4" s="3" t="inlineStr">
        <x:is>
          <x:t xml:space="preserve">타입2</x:t>
        </x:is>
      </x:c>
      <x:c r="H4" s="3" t="inlineStr">
        <x:is>
          <x:t xml:space="preserve">키(m)</x:t>
        </x:is>
      </x:c>
      <x:c r="I4" s="3" t="inlineStr">
        <x:is>
          <x:t xml:space="preserve">몸무게(kg)</x:t>
        </x:is>
      </x:c>
      <x:c r="J4" s="3" t="inlineStr">
        <x:is>
          <x:t xml:space="preserve">종족값합</x:t>
        </x:is>
      </x:c>
      <x:c r="K4" s="3" t="inlineStr">
        <x:is>
          <x:t xml:space="preserve">포획률</x:t>
        </x:is>
      </x:c>
      <x:c r="L4" s="3" t="inlineStr">
        <x:is>
          <x:t xml:space="preserve">진화단계</x:t>
        </x:is>
      </x:c>
      <x:c r="M4" s="3" t="inlineStr">
        <x:is>
          <x:t xml:space="preserve">최종진화레벨</x:t>
        </x:is>
      </x:c>
      <x:c r="N4" s="3" t="inlineStr">
        <x:is>
          <x:t xml:space="preserve">진화방식</x:t>
        </x:is>
      </x:c>
      <x:c r="O4" s="3" t="inlineStr">
        <x:is>
          <x:t xml:space="preserve">Cobblemon구현</x:t>
        </x:is>
      </x:c>
      <x:c r="P4" s="3" t="inlineStr">
        <x:is>
          <x:t xml:space="preserve">원본바이옴</x:t>
        </x:is>
      </x:c>
      <x:c r="Q4" s="3" t="inlineStr">
        <x:is>
          <x:t xml:space="preserve">원본희귀도</x:t>
        </x:is>
      </x:c>
      <x:c r="R4" s="3" t="inlineStr">
        <x:is>
          <x:t xml:space="preserve">원본시간</x:t>
        </x:is>
      </x:c>
      <x:c r="S4" s="3" t="inlineStr">
        <x:is>
          <x:t xml:space="preserve">원본날씨</x:t>
        </x:is>
      </x:c>
      <x:c r="T4" s="3" t="inlineStr">
        <x:is>
          <x:t xml:space="preserve">자동생활권</x:t>
        </x:is>
      </x:c>
      <x:c r="U4" s="3" t="inlineStr">
        <x:is>
          <x:t xml:space="preserve">자동지형</x:t>
        </x:is>
      </x:c>
      <x:c r="V4" s="3" t="inlineStr">
        <x:is>
          <x:t xml:space="preserve">자동온도</x:t>
        </x:is>
      </x:c>
      <x:c r="W4" s="3" t="inlineStr">
        <x:is>
          <x:t xml:space="preserve">자동습도</x:t>
        </x:is>
      </x:c>
      <x:c r="X4" s="3" t="inlineStr">
        <x:is>
          <x:t xml:space="preserve">자동날씨</x:t>
        </x:is>
      </x:c>
      <x:c r="Y4" s="3" t="inlineStr">
        <x:is>
          <x:t xml:space="preserve">자동시간</x:t>
        </x:is>
      </x:c>
      <x:c r="Z4" s="3" t="inlineStr">
        <x:is>
          <x:t xml:space="preserve">자동레어도</x:t>
        </x:is>
      </x:c>
      <x:c r="AA4" s="3" t="inlineStr">
        <x:is>
          <x:t xml:space="preserve">자동특수태그</x:t>
        </x:is>
      </x:c>
      <x:c r="AB4" s="3" t="inlineStr">
        <x:is>
          <x:t xml:space="preserve">원본대분류</x:t>
        </x:is>
      </x:c>
      <x:c r="AC4" s="3" t="inlineStr">
        <x:is>
          <x:t xml:space="preserve">라벨</x:t>
        </x:is>
      </x:c>
      <x:c r="AD4" s="3" t="inlineStr">
        <x:is>
          <x:t xml:space="preserve">종JSON경로</x:t>
        </x:is>
      </x:c>
    </x:row>
    <x:row r="5" ht="22" customHeight="1">
      <x:c r="A5" s="5" t="n">
        <x:v>1</x:v>
      </x:c>
      <x:c r="B5" s="5" t="inlineStr">
        <x:is>
          <x:t xml:space="preserve">이상해씨</x:t>
        </x:is>
      </x:c>
      <x:c r="C5" s="5" t="inlineStr">
        <x:is>
          <x:t xml:space="preserve">bulbasaur</x:t>
        </x:is>
      </x:c>
      <x:c r="D5" s="5" t="inlineStr">
        <x:is>
          <x:t xml:space="preserve">Bulbasaur</x:t>
        </x:is>
      </x:c>
      <x:c r="E5" s="5" t="n">
        <x:v>1</x:v>
      </x:c>
      <x:c r="F5" s="5" t="inlineStr">
        <x:is>
          <x:t xml:space="preserve">풀</x:t>
        </x:is>
      </x:c>
      <x:c r="G5" s="5" t="inlineStr">
        <x:is>
          <x:t xml:space="preserve">독</x:t>
        </x:is>
      </x:c>
      <x:c r="H5" s="6" t="n">
        <x:v>0.7</x:v>
      </x:c>
      <x:c r="I5" s="6" t="n">
        <x:v>6.9</x:v>
      </x:c>
      <x:c r="J5" s="5" t="n">
        <x:v>318</x:v>
      </x:c>
      <x:c r="K5" s="5" t="n">
        <x:v>45</x:v>
      </x:c>
      <x:c r="L5" s="5" t="inlineStr">
        <x:is>
          <x:t xml:space="preserve">기본</x:t>
        </x:is>
      </x:c>
      <x:c r="M5" s="5" t="n">
        <x:v>32</x:v>
      </x:c>
      <x:c r="N5" s="5" t="inlineStr">
        <x:is>
          <x:t xml:space="preserve">레벨</x:t>
        </x:is>
      </x:c>
      <x:c r="O5" s="5" t="inlineStr">
        <x:is>
          <x:t xml:space="preserve">예</x:t>
        </x:is>
      </x:c>
      <x:c r="P5" s="5" t="inlineStr">
        <x:is>
          <x:t xml:space="preserve">#cobblemon:is_jungle; #cobblemon:is_tropical_island</x:t>
        </x:is>
      </x:c>
      <x:c r="Q5" s="5" t="inlineStr">
        <x:is>
          <x:t xml:space="preserve">ultra-rare</x:t>
        </x:is>
      </x:c>
      <x:c r="R5" s="5" t="inlineStr">
        <x:is>
          <x:t xml:space="preserve"/>
        </x:is>
      </x:c>
      <x:c r="S5" s="5" t="inlineStr">
        <x:is>
          <x:t xml:space="preserve"/>
        </x:is>
      </x:c>
      <x:c r="T5" s="5" t="inlineStr">
        <x:is>
          <x:t xml:space="preserve">육상</x:t>
        </x:is>
      </x:c>
      <x:c r="U5" s="5" t="inlineStr">
        <x:is>
          <x:t xml:space="preserve">수목</x:t>
        </x:is>
      </x:c>
      <x:c r="V5" s="5" t="inlineStr">
        <x:is>
          <x:t xml:space="preserve">온대</x:t>
        </x:is>
      </x:c>
      <x:c r="W5" s="5" t="inlineStr">
        <x:is>
          <x:t xml:space="preserve">다습</x:t>
        </x:is>
      </x:c>
      <x:c r="X5" s="5" t="inlineStr">
        <x:is>
          <x:t xml:space="preserve">무관</x:t>
        </x:is>
      </x:c>
      <x:c r="Y5" s="5" t="inlineStr">
        <x:is>
          <x:t xml:space="preserve">무관</x:t>
        </x:is>
      </x:c>
      <x:c r="Z5" s="5" t="inlineStr">
        <x:is>
          <x:t xml:space="preserve">희귀</x:t>
        </x:is>
      </x:c>
      <x:c r="AA5" s="5" t="inlineStr">
        <x:is>
          <x:t xml:space="preserve">없음</x:t>
        </x:is>
      </x:c>
      <x:c r="AB5" s="5" t="inlineStr">
        <x:is>
          <x:t xml:space="preserve">숲</x:t>
        </x:is>
      </x:c>
      <x:c r="AC5" s="5" t="inlineStr">
        <x:is>
          <x:t xml:space="preserve">gen1; starter</x:t>
        </x:is>
      </x:c>
      <x:c r="AD5" s="5" t="inlineStr">
        <x:is>
          <x:t xml:space="preserve">.tmp/cobblemon-1.7.3-source/common/src/main/resources/data/cobblemon/species/generation1/bulbasaur.json</x:t>
        </x:is>
      </x:c>
    </x:row>
    <x:row r="6" ht="22" customHeight="1">
      <x:c r="A6" s="5" t="n">
        <x:v>2</x:v>
      </x:c>
      <x:c r="B6" s="5" t="inlineStr">
        <x:is>
          <x:t xml:space="preserve">이상해풀</x:t>
        </x:is>
      </x:c>
      <x:c r="C6" s="5" t="inlineStr">
        <x:is>
          <x:t xml:space="preserve">ivysaur</x:t>
        </x:is>
      </x:c>
      <x:c r="D6" s="5" t="inlineStr">
        <x:is>
          <x:t xml:space="preserve">Ivysaur</x:t>
        </x:is>
      </x:c>
      <x:c r="E6" s="5" t="n">
        <x:v>1</x:v>
      </x:c>
      <x:c r="F6" s="5" t="inlineStr">
        <x:is>
          <x:t xml:space="preserve">풀</x:t>
        </x:is>
      </x:c>
      <x:c r="G6" s="5" t="inlineStr">
        <x:is>
          <x:t xml:space="preserve">독</x:t>
        </x:is>
      </x:c>
      <x:c r="H6" s="5" t="n">
        <x:v>1</x:v>
      </x:c>
      <x:c r="I6" s="5" t="n">
        <x:v>13</x:v>
      </x:c>
      <x:c r="J6" s="5" t="n">
        <x:v>405</x:v>
      </x:c>
      <x:c r="K6" s="5" t="n">
        <x:v>45</x:v>
      </x:c>
      <x:c r="L6" s="5" t="inlineStr">
        <x:is>
          <x:t xml:space="preserve">중간</x:t>
        </x:is>
      </x:c>
      <x:c r="M6" s="5" t="n">
        <x:v>32</x:v>
      </x:c>
      <x:c r="N6" s="5" t="inlineStr">
        <x:is>
          <x:t xml:space="preserve">레벨</x:t>
        </x:is>
      </x:c>
      <x:c r="O6" s="5" t="inlineStr">
        <x:is>
          <x:t xml:space="preserve">예</x:t>
        </x:is>
      </x:c>
      <x:c r="P6" s="5" t="inlineStr">
        <x:is>
          <x:t xml:space="preserve">#cobblemon:is_jungle; #cobblemon:is_tropical_island</x:t>
        </x:is>
      </x:c>
      <x:c r="Q6" s="5" t="inlineStr">
        <x:is>
          <x:t xml:space="preserve">ultra-rare</x:t>
        </x:is>
      </x:c>
      <x:c r="R6" s="5" t="inlineStr">
        <x:is>
          <x:t xml:space="preserve"/>
        </x:is>
      </x:c>
      <x:c r="S6" s="5" t="inlineStr">
        <x:is>
          <x:t xml:space="preserve"/>
        </x:is>
      </x:c>
      <x:c r="T6" s="5" t="inlineStr">
        <x:is>
          <x:t xml:space="preserve">육상</x:t>
        </x:is>
      </x:c>
      <x:c r="U6" s="5" t="inlineStr">
        <x:is>
          <x:t xml:space="preserve">수목</x:t>
        </x:is>
      </x:c>
      <x:c r="V6" s="5" t="inlineStr">
        <x:is>
          <x:t xml:space="preserve">온대</x:t>
        </x:is>
      </x:c>
      <x:c r="W6" s="5" t="inlineStr">
        <x:is>
          <x:t xml:space="preserve">다습</x:t>
        </x:is>
      </x:c>
      <x:c r="X6" s="5" t="inlineStr">
        <x:is>
          <x:t xml:space="preserve">무관</x:t>
        </x:is>
      </x:c>
      <x:c r="Y6" s="5" t="inlineStr">
        <x:is>
          <x:t xml:space="preserve">무관</x:t>
        </x:is>
      </x:c>
      <x:c r="Z6" s="5" t="inlineStr">
        <x:is>
          <x:t xml:space="preserve">희귀</x:t>
        </x:is>
      </x:c>
      <x:c r="AA6" s="5" t="inlineStr">
        <x:is>
          <x:t xml:space="preserve">없음</x:t>
        </x:is>
      </x:c>
      <x:c r="AB6" s="5" t="inlineStr">
        <x:is>
          <x:t xml:space="preserve">숲</x:t>
        </x:is>
      </x:c>
      <x:c r="AC6" s="5" t="inlineStr">
        <x:is>
          <x:t xml:space="preserve">gen1</x:t>
        </x:is>
      </x:c>
      <x:c r="AD6" s="5" t="inlineStr">
        <x:is>
          <x:t xml:space="preserve">.tmp/cobblemon-1.7.3-source/common/src/main/resources/data/cobblemon/species/generation1/ivysaur.json</x:t>
        </x:is>
      </x:c>
    </x:row>
    <x:row r="7" ht="22" customHeight="1">
      <x:c r="A7" s="5" t="n">
        <x:v>3</x:v>
      </x:c>
      <x:c r="B7" s="5" t="inlineStr">
        <x:is>
          <x:t xml:space="preserve">이상해꽃</x:t>
        </x:is>
      </x:c>
      <x:c r="C7" s="5" t="inlineStr">
        <x:is>
          <x:t xml:space="preserve">venusaur</x:t>
        </x:is>
      </x:c>
      <x:c r="D7" s="5" t="inlineStr">
        <x:is>
          <x:t xml:space="preserve">Venusaur</x:t>
        </x:is>
      </x:c>
      <x:c r="E7" s="5" t="n">
        <x:v>1</x:v>
      </x:c>
      <x:c r="F7" s="5" t="inlineStr">
        <x:is>
          <x:t xml:space="preserve">풀</x:t>
        </x:is>
      </x:c>
      <x:c r="G7" s="5" t="inlineStr">
        <x:is>
          <x:t xml:space="preserve">독</x:t>
        </x:is>
      </x:c>
      <x:c r="H7" s="5" t="n">
        <x:v>2</x:v>
      </x:c>
      <x:c r="I7" s="5" t="n">
        <x:v>100</x:v>
      </x:c>
      <x:c r="J7" s="5" t="n">
        <x:v>525</x:v>
      </x:c>
      <x:c r="K7" s="5" t="n">
        <x:v>45</x:v>
      </x:c>
      <x:c r="L7" s="5" t="inlineStr">
        <x:is>
          <x:t xml:space="preserve">최종</x:t>
        </x:is>
      </x:c>
      <x:c r="M7" s="5" t="n">
        <x:v>32</x:v>
      </x:c>
      <x:c r="N7" s="5" t="inlineStr">
        <x:is>
          <x:t xml:space="preserve">레벨</x:t>
        </x:is>
      </x:c>
      <x:c r="O7" s="5" t="inlineStr">
        <x:is>
          <x:t xml:space="preserve">예</x:t>
        </x:is>
      </x:c>
      <x:c r="P7" s="5" t="inlineStr">
        <x:is>
          <x:t xml:space="preserve">#cobblemon:is_jungle; #cobblemon:is_tropical_island</x:t>
        </x:is>
      </x:c>
      <x:c r="Q7" s="5" t="inlineStr">
        <x:is>
          <x:t xml:space="preserve">ultra-rare</x:t>
        </x:is>
      </x:c>
      <x:c r="R7" s="5" t="inlineStr">
        <x:is>
          <x:t xml:space="preserve"/>
        </x:is>
      </x:c>
      <x:c r="S7" s="5" t="inlineStr">
        <x:is>
          <x:t xml:space="preserve"/>
        </x:is>
      </x:c>
      <x:c r="T7" s="5" t="inlineStr">
        <x:is>
          <x:t xml:space="preserve">육상</x:t>
        </x:is>
      </x:c>
      <x:c r="U7" s="5" t="inlineStr">
        <x:is>
          <x:t xml:space="preserve">수목</x:t>
        </x:is>
      </x:c>
      <x:c r="V7" s="5" t="inlineStr">
        <x:is>
          <x:t xml:space="preserve">온대</x:t>
        </x:is>
      </x:c>
      <x:c r="W7" s="5" t="inlineStr">
        <x:is>
          <x:t xml:space="preserve">다습</x:t>
        </x:is>
      </x:c>
      <x:c r="X7" s="5" t="inlineStr">
        <x:is>
          <x:t xml:space="preserve">무관</x:t>
        </x:is>
      </x:c>
      <x:c r="Y7" s="5" t="inlineStr">
        <x:is>
          <x:t xml:space="preserve">무관</x:t>
        </x:is>
      </x:c>
      <x:c r="Z7" s="5" t="inlineStr">
        <x:is>
          <x:t xml:space="preserve">희귀</x:t>
        </x:is>
      </x:c>
      <x:c r="AA7" s="5" t="inlineStr">
        <x:is>
          <x:t xml:space="preserve">없음</x:t>
        </x:is>
      </x:c>
      <x:c r="AB7" s="5" t="inlineStr">
        <x:is>
          <x:t xml:space="preserve">숲</x:t>
        </x:is>
      </x:c>
      <x:c r="AC7" s="5" t="inlineStr">
        <x:is>
          <x:t xml:space="preserve">gen1</x:t>
        </x:is>
      </x:c>
      <x:c r="AD7" s="5" t="inlineStr">
        <x:is>
          <x:t xml:space="preserve">.tmp/cobblemon-1.7.3-source/common/src/main/resources/data/cobblemon/species/generation1/venusaur.json</x:t>
        </x:is>
      </x:c>
    </x:row>
    <x:row r="8" ht="22" customHeight="1">
      <x:c r="A8" s="5" t="n">
        <x:v>4</x:v>
      </x:c>
      <x:c r="B8" s="5" t="inlineStr">
        <x:is>
          <x:t xml:space="preserve">파이리</x:t>
        </x:is>
      </x:c>
      <x:c r="C8" s="5" t="inlineStr">
        <x:is>
          <x:t xml:space="preserve">charmander</x:t>
        </x:is>
      </x:c>
      <x:c r="D8" s="5" t="inlineStr">
        <x:is>
          <x:t xml:space="preserve">Charmander</x:t>
        </x:is>
      </x:c>
      <x:c r="E8" s="5" t="n">
        <x:v>1</x:v>
      </x:c>
      <x:c r="F8" s="5" t="inlineStr">
        <x:is>
          <x:t xml:space="preserve">불꽃</x:t>
        </x:is>
      </x:c>
      <x:c r="G8" s="5" t="inlineStr">
        <x:is>
          <x:t xml:space="preserve"/>
        </x:is>
      </x:c>
      <x:c r="H8" s="5" t="n">
        <x:v>0.6</x:v>
      </x:c>
      <x:c r="I8" s="5" t="n">
        <x:v>8.5</x:v>
      </x:c>
      <x:c r="J8" s="5" t="n">
        <x:v>309</x:v>
      </x:c>
      <x:c r="K8" s="5" t="n">
        <x:v>45</x:v>
      </x:c>
      <x:c r="L8" s="5" t="inlineStr">
        <x:is>
          <x:t xml:space="preserve">기본</x:t>
        </x:is>
      </x:c>
      <x:c r="M8" s="5" t="n">
        <x:v>36</x:v>
      </x:c>
      <x:c r="N8" s="5" t="inlineStr">
        <x:is>
          <x:t xml:space="preserve">레벨</x:t>
        </x:is>
      </x:c>
      <x:c r="O8" s="5" t="inlineStr">
        <x:is>
          <x:t xml:space="preserve">예</x:t>
        </x:is>
      </x:c>
      <x:c r="P8" s="5" t="inlineStr">
        <x:is>
          <x:t xml:space="preserve">#cobblemon:is_hills; #cobblemon:is_volcanic; #cobblemon:nether/is_basalt</x:t>
        </x:is>
      </x:c>
      <x:c r="Q8" s="5" t="inlineStr">
        <x:is>
          <x:t xml:space="preserve">ultra-rare</x:t>
        </x:is>
      </x:c>
      <x:c r="R8" s="5" t="inlineStr">
        <x:is>
          <x:t xml:space="preserve"/>
        </x:is>
      </x:c>
      <x:c r="S8" s="5" t="inlineStr">
        <x:is>
          <x:t xml:space="preserve">비=False</x:t>
        </x:is>
      </x:c>
      <x:c r="T8" s="5" t="inlineStr">
        <x:is>
          <x:t xml:space="preserve">육상</x:t>
        </x:is>
      </x:c>
      <x:c r="U8" s="5" t="inlineStr">
        <x:is>
          <x:t xml:space="preserve">화산</x:t>
        </x:is>
      </x:c>
      <x:c r="V8" s="5" t="inlineStr">
        <x:is>
          <x:t xml:space="preserve">고온</x:t>
        </x:is>
      </x:c>
      <x:c r="W8" s="5" t="inlineStr">
        <x:is>
          <x:t xml:space="preserve">건조</x:t>
        </x:is>
      </x:c>
      <x:c r="X8" s="5" t="inlineStr">
        <x:is>
          <x:t xml:space="preserve">맑음</x:t>
        </x:is>
      </x:c>
      <x:c r="Y8" s="5" t="inlineStr">
        <x:is>
          <x:t xml:space="preserve">무관</x:t>
        </x:is>
      </x:c>
      <x:c r="Z8" s="5" t="inlineStr">
        <x:is>
          <x:t xml:space="preserve">희귀</x:t>
        </x:is>
      </x:c>
      <x:c r="AA8" s="5" t="inlineStr">
        <x:is>
          <x:t xml:space="preserve">화산</x:t>
        </x:is>
      </x:c>
      <x:c r="AB8" s="5" t="inlineStr">
        <x:is>
          <x:t xml:space="preserve">화산</x:t>
        </x:is>
      </x:c>
      <x:c r="AC8" s="5" t="inlineStr">
        <x:is>
          <x:t xml:space="preserve">gen1; starter</x:t>
        </x:is>
      </x:c>
      <x:c r="AD8" s="5" t="inlineStr">
        <x:is>
          <x:t xml:space="preserve">.tmp/cobblemon-1.7.3-source/common/src/main/resources/data/cobblemon/species/generation1/charmander.json</x:t>
        </x:is>
      </x:c>
    </x:row>
    <x:row r="9" ht="22" customHeight="1">
      <x:c r="A9" s="5" t="n">
        <x:v>5</x:v>
      </x:c>
      <x:c r="B9" s="5" t="inlineStr">
        <x:is>
          <x:t xml:space="preserve">리자드</x:t>
        </x:is>
      </x:c>
      <x:c r="C9" s="5" t="inlineStr">
        <x:is>
          <x:t xml:space="preserve">charmeleon</x:t>
        </x:is>
      </x:c>
      <x:c r="D9" s="5" t="inlineStr">
        <x:is>
          <x:t xml:space="preserve">Charmeleon</x:t>
        </x:is>
      </x:c>
      <x:c r="E9" s="5" t="n">
        <x:v>1</x:v>
      </x:c>
      <x:c r="F9" s="5" t="inlineStr">
        <x:is>
          <x:t xml:space="preserve">불꽃</x:t>
        </x:is>
      </x:c>
      <x:c r="G9" s="5" t="inlineStr">
        <x:is>
          <x:t xml:space="preserve"/>
        </x:is>
      </x:c>
      <x:c r="H9" s="5" t="n">
        <x:v>1.1</x:v>
      </x:c>
      <x:c r="I9" s="5" t="n">
        <x:v>19</x:v>
      </x:c>
      <x:c r="J9" s="5" t="n">
        <x:v>405</x:v>
      </x:c>
      <x:c r="K9" s="5" t="n">
        <x:v>45</x:v>
      </x:c>
      <x:c r="L9" s="5" t="inlineStr">
        <x:is>
          <x:t xml:space="preserve">중간</x:t>
        </x:is>
      </x:c>
      <x:c r="M9" s="5" t="n">
        <x:v>36</x:v>
      </x:c>
      <x:c r="N9" s="5" t="inlineStr">
        <x:is>
          <x:t xml:space="preserve">레벨</x:t>
        </x:is>
      </x:c>
      <x:c r="O9" s="5" t="inlineStr">
        <x:is>
          <x:t xml:space="preserve">예</x:t>
        </x:is>
      </x:c>
      <x:c r="P9" s="5" t="inlineStr">
        <x:is>
          <x:t xml:space="preserve">#cobblemon:is_hills; #cobblemon:is_volcanic; #cobblemon:nether/is_basalt</x:t>
        </x:is>
      </x:c>
      <x:c r="Q9" s="5" t="inlineStr">
        <x:is>
          <x:t xml:space="preserve">ultra-rare</x:t>
        </x:is>
      </x:c>
      <x:c r="R9" s="5" t="inlineStr">
        <x:is>
          <x:t xml:space="preserve"/>
        </x:is>
      </x:c>
      <x:c r="S9" s="5" t="inlineStr">
        <x:is>
          <x:t xml:space="preserve">비=False</x:t>
        </x:is>
      </x:c>
      <x:c r="T9" s="5" t="inlineStr">
        <x:is>
          <x:t xml:space="preserve">육상</x:t>
        </x:is>
      </x:c>
      <x:c r="U9" s="5" t="inlineStr">
        <x:is>
          <x:t xml:space="preserve">화산</x:t>
        </x:is>
      </x:c>
      <x:c r="V9" s="5" t="inlineStr">
        <x:is>
          <x:t xml:space="preserve">고온</x:t>
        </x:is>
      </x:c>
      <x:c r="W9" s="5" t="inlineStr">
        <x:is>
          <x:t xml:space="preserve">건조</x:t>
        </x:is>
      </x:c>
      <x:c r="X9" s="5" t="inlineStr">
        <x:is>
          <x:t xml:space="preserve">맑음</x:t>
        </x:is>
      </x:c>
      <x:c r="Y9" s="5" t="inlineStr">
        <x:is>
          <x:t xml:space="preserve">무관</x:t>
        </x:is>
      </x:c>
      <x:c r="Z9" s="5" t="inlineStr">
        <x:is>
          <x:t xml:space="preserve">희귀</x:t>
        </x:is>
      </x:c>
      <x:c r="AA9" s="5" t="inlineStr">
        <x:is>
          <x:t xml:space="preserve">화산</x:t>
        </x:is>
      </x:c>
      <x:c r="AB9" s="5" t="inlineStr">
        <x:is>
          <x:t xml:space="preserve">화산</x:t>
        </x:is>
      </x:c>
      <x:c r="AC9" s="5" t="inlineStr">
        <x:is>
          <x:t xml:space="preserve">gen1</x:t>
        </x:is>
      </x:c>
      <x:c r="AD9" s="5" t="inlineStr">
        <x:is>
          <x:t xml:space="preserve">.tmp/cobblemon-1.7.3-source/common/src/main/resources/data/cobblemon/species/generation1/charmeleon.json</x:t>
        </x:is>
      </x:c>
    </x:row>
    <x:row r="10" ht="22" customHeight="1">
      <x:c r="A10" s="5" t="n">
        <x:v>6</x:v>
      </x:c>
      <x:c r="B10" s="5" t="inlineStr">
        <x:is>
          <x:t xml:space="preserve">리자몽</x:t>
        </x:is>
      </x:c>
      <x:c r="C10" s="5" t="inlineStr">
        <x:is>
          <x:t xml:space="preserve">charizard</x:t>
        </x:is>
      </x:c>
      <x:c r="D10" s="5" t="inlineStr">
        <x:is>
          <x:t xml:space="preserve">Charizard</x:t>
        </x:is>
      </x:c>
      <x:c r="E10" s="5" t="n">
        <x:v>1</x:v>
      </x:c>
      <x:c r="F10" s="5" t="inlineStr">
        <x:is>
          <x:t xml:space="preserve">불꽃</x:t>
        </x:is>
      </x:c>
      <x:c r="G10" s="5" t="inlineStr">
        <x:is>
          <x:t xml:space="preserve">비행</x:t>
        </x:is>
      </x:c>
      <x:c r="H10" s="5" t="n">
        <x:v>1.7</x:v>
      </x:c>
      <x:c r="I10" s="5" t="n">
        <x:v>90.5</x:v>
      </x:c>
      <x:c r="J10" s="5" t="n">
        <x:v>534</x:v>
      </x:c>
      <x:c r="K10" s="5" t="n">
        <x:v>45</x:v>
      </x:c>
      <x:c r="L10" s="5" t="inlineStr">
        <x:is>
          <x:t xml:space="preserve">최종</x:t>
        </x:is>
      </x:c>
      <x:c r="M10" s="5" t="n">
        <x:v>36</x:v>
      </x:c>
      <x:c r="N10" s="5" t="inlineStr">
        <x:is>
          <x:t xml:space="preserve">레벨</x:t>
        </x:is>
      </x:c>
      <x:c r="O10" s="5" t="inlineStr">
        <x:is>
          <x:t xml:space="preserve">예</x:t>
        </x:is>
      </x:c>
      <x:c r="P10" s="5" t="inlineStr">
        <x:is>
          <x:t xml:space="preserve">#cobblemon:is_hills; #cobblemon:is_volcanic; #cobblemon:nether/is_basalt</x:t>
        </x:is>
      </x:c>
      <x:c r="Q10" s="5" t="inlineStr">
        <x:is>
          <x:t xml:space="preserve">ultra-rare</x:t>
        </x:is>
      </x:c>
      <x:c r="R10" s="5" t="inlineStr">
        <x:is>
          <x:t xml:space="preserve"/>
        </x:is>
      </x:c>
      <x:c r="S10" s="5" t="inlineStr">
        <x:is>
          <x:t xml:space="preserve">비=False</x:t>
        </x:is>
      </x:c>
      <x:c r="T10" s="5" t="inlineStr">
        <x:is>
          <x:t xml:space="preserve">비행</x:t>
        </x:is>
      </x:c>
      <x:c r="U10" s="5" t="inlineStr">
        <x:is>
          <x:t xml:space="preserve">화산</x:t>
        </x:is>
      </x:c>
      <x:c r="V10" s="5" t="inlineStr">
        <x:is>
          <x:t xml:space="preserve">고온</x:t>
        </x:is>
      </x:c>
      <x:c r="W10" s="5" t="inlineStr">
        <x:is>
          <x:t xml:space="preserve">건조</x:t>
        </x:is>
      </x:c>
      <x:c r="X10" s="5" t="inlineStr">
        <x:is>
          <x:t xml:space="preserve">맑음</x:t>
        </x:is>
      </x:c>
      <x:c r="Y10" s="5" t="inlineStr">
        <x:is>
          <x:t xml:space="preserve">무관</x:t>
        </x:is>
      </x:c>
      <x:c r="Z10" s="5" t="inlineStr">
        <x:is>
          <x:t xml:space="preserve">희귀</x:t>
        </x:is>
      </x:c>
      <x:c r="AA10" s="5" t="inlineStr">
        <x:is>
          <x:t xml:space="preserve">화산</x:t>
        </x:is>
      </x:c>
      <x:c r="AB10" s="5" t="inlineStr">
        <x:is>
          <x:t xml:space="preserve">화산</x:t>
        </x:is>
      </x:c>
      <x:c r="AC10" s="5" t="inlineStr">
        <x:is>
          <x:t xml:space="preserve">gen1</x:t>
        </x:is>
      </x:c>
      <x:c r="AD10" s="5" t="inlineStr">
        <x:is>
          <x:t xml:space="preserve">.tmp/cobblemon-1.7.3-source/common/src/main/resources/data/cobblemon/species/generation1/charizard.json</x:t>
        </x:is>
      </x:c>
    </x:row>
    <x:row r="11" ht="22" customHeight="1">
      <x:c r="A11" s="5" t="n">
        <x:v>7</x:v>
      </x:c>
      <x:c r="B11" s="5" t="inlineStr">
        <x:is>
          <x:t xml:space="preserve">꼬부기</x:t>
        </x:is>
      </x:c>
      <x:c r="C11" s="5" t="inlineStr">
        <x:is>
          <x:t xml:space="preserve">squirtle</x:t>
        </x:is>
      </x:c>
      <x:c r="D11" s="5" t="inlineStr">
        <x:is>
          <x:t xml:space="preserve">Squirtle</x:t>
        </x:is>
      </x:c>
      <x:c r="E11" s="5" t="n">
        <x:v>1</x:v>
      </x:c>
      <x:c r="F11" s="5" t="inlineStr">
        <x:is>
          <x:t xml:space="preserve">물</x:t>
        </x:is>
      </x:c>
      <x:c r="G11" s="5" t="inlineStr">
        <x:is>
          <x:t xml:space="preserve"/>
        </x:is>
      </x:c>
      <x:c r="H11" s="5" t="n">
        <x:v>0.5</x:v>
      </x:c>
      <x:c r="I11" s="5" t="n">
        <x:v>9</x:v>
      </x:c>
      <x:c r="J11" s="5" t="n">
        <x:v>314</x:v>
      </x:c>
      <x:c r="K11" s="5" t="n">
        <x:v>45</x:v>
      </x:c>
      <x:c r="L11" s="5" t="inlineStr">
        <x:is>
          <x:t xml:space="preserve">기본</x:t>
        </x:is>
      </x:c>
      <x:c r="M11" s="5" t="n">
        <x:v>36</x:v>
      </x:c>
      <x:c r="N11" s="5" t="inlineStr">
        <x:is>
          <x:t xml:space="preserve">레벨</x:t>
        </x:is>
      </x:c>
      <x:c r="O11" s="5" t="inlineStr">
        <x:is>
          <x:t xml:space="preserve">예</x:t>
        </x:is>
      </x:c>
      <x:c r="P11" s="5" t="inlineStr">
        <x:is>
          <x:t xml:space="preserve">#cobblemon:is_freshwater; #cobblemon:is_hills; #cobblemon:is_jungle; #cobblemon:is_temperate; #cobblemon:is_tropical_island</x:t>
        </x:is>
      </x:c>
      <x:c r="Q11" s="5" t="inlineStr">
        <x:is>
          <x:t xml:space="preserve">ultra-rare</x:t>
        </x:is>
      </x:c>
      <x:c r="R11" s="5" t="inlineStr">
        <x:is>
          <x:t xml:space="preserve"/>
        </x:is>
      </x:c>
      <x:c r="S11" s="5" t="inlineStr">
        <x:is>
          <x:t xml:space="preserve"/>
        </x:is>
      </x:c>
      <x:c r="T11" s="5" t="inlineStr">
        <x:is>
          <x:t xml:space="preserve">담수</x:t>
        </x:is>
      </x:c>
      <x:c r="U11" s="5" t="inlineStr">
        <x:is>
          <x:t xml:space="preserve">담수</x:t>
        </x:is>
      </x:c>
      <x:c r="V11" s="5" t="inlineStr">
        <x:is>
          <x:t xml:space="preserve">온대</x:t>
        </x:is>
      </x:c>
      <x:c r="W11" s="5" t="inlineStr">
        <x:is>
          <x:t xml:space="preserve">수중</x:t>
        </x:is>
      </x:c>
      <x:c r="X11" s="5" t="inlineStr">
        <x:is>
          <x:t xml:space="preserve">비</x:t>
        </x:is>
      </x:c>
      <x:c r="Y11" s="5" t="inlineStr">
        <x:is>
          <x:t xml:space="preserve">무관</x:t>
        </x:is>
      </x:c>
      <x:c r="Z11" s="5" t="inlineStr">
        <x:is>
          <x:t xml:space="preserve">희귀</x:t>
        </x:is>
      </x:c>
      <x:c r="AA11" s="5" t="inlineStr">
        <x:is>
          <x:t xml:space="preserve">없음</x:t>
        </x:is>
      </x:c>
      <x:c r="AB11" s="5" t="inlineStr">
        <x:is>
          <x:t xml:space="preserve">담수</x:t>
        </x:is>
      </x:c>
      <x:c r="AC11" s="5" t="inlineStr">
        <x:is>
          <x:t xml:space="preserve">gen1; starter</x:t>
        </x:is>
      </x:c>
      <x:c r="AD11" s="5" t="inlineStr">
        <x:is>
          <x:t xml:space="preserve">.tmp/cobblemon-1.7.3-source/common/src/main/resources/data/cobblemon/species/generation1/squirtle.json</x:t>
        </x:is>
      </x:c>
    </x:row>
    <x:row r="12" ht="22" customHeight="1">
      <x:c r="A12" s="5" t="n">
        <x:v>8</x:v>
      </x:c>
      <x:c r="B12" s="5" t="inlineStr">
        <x:is>
          <x:t xml:space="preserve">어니부기</x:t>
        </x:is>
      </x:c>
      <x:c r="C12" s="5" t="inlineStr">
        <x:is>
          <x:t xml:space="preserve">wartortle</x:t>
        </x:is>
      </x:c>
      <x:c r="D12" s="5" t="inlineStr">
        <x:is>
          <x:t xml:space="preserve">Wartortle</x:t>
        </x:is>
      </x:c>
      <x:c r="E12" s="5" t="n">
        <x:v>1</x:v>
      </x:c>
      <x:c r="F12" s="5" t="inlineStr">
        <x:is>
          <x:t xml:space="preserve">물</x:t>
        </x:is>
      </x:c>
      <x:c r="G12" s="5" t="inlineStr">
        <x:is>
          <x:t xml:space="preserve"/>
        </x:is>
      </x:c>
      <x:c r="H12" s="5" t="n">
        <x:v>1</x:v>
      </x:c>
      <x:c r="I12" s="5" t="n">
        <x:v>22.5</x:v>
      </x:c>
      <x:c r="J12" s="5" t="n">
        <x:v>405</x:v>
      </x:c>
      <x:c r="K12" s="5" t="n">
        <x:v>45</x:v>
      </x:c>
      <x:c r="L12" s="5" t="inlineStr">
        <x:is>
          <x:t xml:space="preserve">중간</x:t>
        </x:is>
      </x:c>
      <x:c r="M12" s="5" t="n">
        <x:v>36</x:v>
      </x:c>
      <x:c r="N12" s="5" t="inlineStr">
        <x:is>
          <x:t xml:space="preserve">레벨</x:t>
        </x:is>
      </x:c>
      <x:c r="O12" s="5" t="inlineStr">
        <x:is>
          <x:t xml:space="preserve">예</x:t>
        </x:is>
      </x:c>
      <x:c r="P12" s="5" t="inlineStr">
        <x:is>
          <x:t xml:space="preserve">#cobblemon:is_freshwater; #cobblemon:is_hills; #cobblemon:is_jungle; #cobblemon:is_temperate; #cobblemon:is_tropical_island</x:t>
        </x:is>
      </x:c>
      <x:c r="Q12" s="5" t="inlineStr">
        <x:is>
          <x:t xml:space="preserve">ultra-rare</x:t>
        </x:is>
      </x:c>
      <x:c r="R12" s="5" t="inlineStr">
        <x:is>
          <x:t xml:space="preserve"/>
        </x:is>
      </x:c>
      <x:c r="S12" s="5" t="inlineStr">
        <x:is>
          <x:t xml:space="preserve"/>
        </x:is>
      </x:c>
      <x:c r="T12" s="5" t="inlineStr">
        <x:is>
          <x:t xml:space="preserve">담수</x:t>
        </x:is>
      </x:c>
      <x:c r="U12" s="5" t="inlineStr">
        <x:is>
          <x:t xml:space="preserve">담수</x:t>
        </x:is>
      </x:c>
      <x:c r="V12" s="5" t="inlineStr">
        <x:is>
          <x:t xml:space="preserve">온대</x:t>
        </x:is>
      </x:c>
      <x:c r="W12" s="5" t="inlineStr">
        <x:is>
          <x:t xml:space="preserve">수중</x:t>
        </x:is>
      </x:c>
      <x:c r="X12" s="5" t="inlineStr">
        <x:is>
          <x:t xml:space="preserve">비</x:t>
        </x:is>
      </x:c>
      <x:c r="Y12" s="5" t="inlineStr">
        <x:is>
          <x:t xml:space="preserve">무관</x:t>
        </x:is>
      </x:c>
      <x:c r="Z12" s="5" t="inlineStr">
        <x:is>
          <x:t xml:space="preserve">희귀</x:t>
        </x:is>
      </x:c>
      <x:c r="AA12" s="5" t="inlineStr">
        <x:is>
          <x:t xml:space="preserve">없음</x:t>
        </x:is>
      </x:c>
      <x:c r="AB12" s="5" t="inlineStr">
        <x:is>
          <x:t xml:space="preserve">담수</x:t>
        </x:is>
      </x:c>
      <x:c r="AC12" s="5" t="inlineStr">
        <x:is>
          <x:t xml:space="preserve">gen1</x:t>
        </x:is>
      </x:c>
      <x:c r="AD12" s="5" t="inlineStr">
        <x:is>
          <x:t xml:space="preserve">.tmp/cobblemon-1.7.3-source/common/src/main/resources/data/cobblemon/species/generation1/wartortle.json</x:t>
        </x:is>
      </x:c>
    </x:row>
    <x:row r="13" ht="22" customHeight="1">
      <x:c r="A13" s="5" t="n">
        <x:v>9</x:v>
      </x:c>
      <x:c r="B13" s="5" t="inlineStr">
        <x:is>
          <x:t xml:space="preserve">거북왕</x:t>
        </x:is>
      </x:c>
      <x:c r="C13" s="5" t="inlineStr">
        <x:is>
          <x:t xml:space="preserve">blastoise</x:t>
        </x:is>
      </x:c>
      <x:c r="D13" s="5" t="inlineStr">
        <x:is>
          <x:t xml:space="preserve">Blastoise</x:t>
        </x:is>
      </x:c>
      <x:c r="E13" s="5" t="n">
        <x:v>1</x:v>
      </x:c>
      <x:c r="F13" s="5" t="inlineStr">
        <x:is>
          <x:t xml:space="preserve">물</x:t>
        </x:is>
      </x:c>
      <x:c r="G13" s="5" t="inlineStr">
        <x:is>
          <x:t xml:space="preserve"/>
        </x:is>
      </x:c>
      <x:c r="H13" s="5" t="n">
        <x:v>1.6</x:v>
      </x:c>
      <x:c r="I13" s="5" t="n">
        <x:v>85.5</x:v>
      </x:c>
      <x:c r="J13" s="5" t="n">
        <x:v>530</x:v>
      </x:c>
      <x:c r="K13" s="5" t="n">
        <x:v>45</x:v>
      </x:c>
      <x:c r="L13" s="5" t="inlineStr">
        <x:is>
          <x:t xml:space="preserve">최종</x:t>
        </x:is>
      </x:c>
      <x:c r="M13" s="5" t="n">
        <x:v>36</x:v>
      </x:c>
      <x:c r="N13" s="5" t="inlineStr">
        <x:is>
          <x:t xml:space="preserve">레벨</x:t>
        </x:is>
      </x:c>
      <x:c r="O13" s="5" t="inlineStr">
        <x:is>
          <x:t xml:space="preserve">예</x:t>
        </x:is>
      </x:c>
      <x:c r="P13" s="5" t="inlineStr">
        <x:is>
          <x:t xml:space="preserve">#cobblemon:is_freshwater; #cobblemon:is_hills; #cobblemon:is_jungle; #cobblemon:is_temperate; #cobblemon:is_tropical_island</x:t>
        </x:is>
      </x:c>
      <x:c r="Q13" s="5" t="inlineStr">
        <x:is>
          <x:t xml:space="preserve">ultra-rare</x:t>
        </x:is>
      </x:c>
      <x:c r="R13" s="5" t="inlineStr">
        <x:is>
          <x:t xml:space="preserve"/>
        </x:is>
      </x:c>
      <x:c r="S13" s="5" t="inlineStr">
        <x:is>
          <x:t xml:space="preserve"/>
        </x:is>
      </x:c>
      <x:c r="T13" s="5" t="inlineStr">
        <x:is>
          <x:t xml:space="preserve">담수</x:t>
        </x:is>
      </x:c>
      <x:c r="U13" s="5" t="inlineStr">
        <x:is>
          <x:t xml:space="preserve">담수</x:t>
        </x:is>
      </x:c>
      <x:c r="V13" s="5" t="inlineStr">
        <x:is>
          <x:t xml:space="preserve">온대</x:t>
        </x:is>
      </x:c>
      <x:c r="W13" s="5" t="inlineStr">
        <x:is>
          <x:t xml:space="preserve">수중</x:t>
        </x:is>
      </x:c>
      <x:c r="X13" s="5" t="inlineStr">
        <x:is>
          <x:t xml:space="preserve">비</x:t>
        </x:is>
      </x:c>
      <x:c r="Y13" s="5" t="inlineStr">
        <x:is>
          <x:t xml:space="preserve">무관</x:t>
        </x:is>
      </x:c>
      <x:c r="Z13" s="5" t="inlineStr">
        <x:is>
          <x:t xml:space="preserve">희귀</x:t>
        </x:is>
      </x:c>
      <x:c r="AA13" s="5" t="inlineStr">
        <x:is>
          <x:t xml:space="preserve">없음</x:t>
        </x:is>
      </x:c>
      <x:c r="AB13" s="5" t="inlineStr">
        <x:is>
          <x:t xml:space="preserve">담수</x:t>
        </x:is>
      </x:c>
      <x:c r="AC13" s="5" t="inlineStr">
        <x:is>
          <x:t xml:space="preserve">gen1</x:t>
        </x:is>
      </x:c>
      <x:c r="AD13" s="5" t="inlineStr">
        <x:is>
          <x:t xml:space="preserve">.tmp/cobblemon-1.7.3-source/common/src/main/resources/data/cobblemon/species/generation1/blastoise.json</x:t>
        </x:is>
      </x:c>
    </x:row>
    <x:row r="14" ht="22" customHeight="1">
      <x:c r="A14" s="5" t="n">
        <x:v>10</x:v>
      </x:c>
      <x:c r="B14" s="5" t="inlineStr">
        <x:is>
          <x:t xml:space="preserve">캐터피</x:t>
        </x:is>
      </x:c>
      <x:c r="C14" s="5" t="inlineStr">
        <x:is>
          <x:t xml:space="preserve">caterpie</x:t>
        </x:is>
      </x:c>
      <x:c r="D14" s="5" t="inlineStr">
        <x:is>
          <x:t xml:space="preserve">Caterpie</x:t>
        </x:is>
      </x:c>
      <x:c r="E14" s="5" t="n">
        <x:v>1</x:v>
      </x:c>
      <x:c r="F14" s="5" t="inlineStr">
        <x:is>
          <x:t xml:space="preserve">벌레</x:t>
        </x:is>
      </x:c>
      <x:c r="G14" s="5" t="inlineStr">
        <x:is>
          <x:t xml:space="preserve"/>
        </x:is>
      </x:c>
      <x:c r="H14" s="5" t="n">
        <x:v>0.3</x:v>
      </x:c>
      <x:c r="I14" s="5" t="n">
        <x:v>2.9</x:v>
      </x:c>
      <x:c r="J14" s="5" t="n">
        <x:v>195</x:v>
      </x:c>
      <x:c r="K14" s="5" t="n">
        <x:v>255</x:v>
      </x:c>
      <x:c r="L14" s="5" t="inlineStr">
        <x:is>
          <x:t xml:space="preserve">기본</x:t>
        </x:is>
      </x:c>
      <x:c r="M14" s="5" t="n">
        <x:v>10</x:v>
      </x:c>
      <x:c r="N14" s="5" t="inlineStr">
        <x:is>
          <x:t xml:space="preserve">레벨</x:t>
        </x:is>
      </x:c>
      <x:c r="O14" s="5" t="inlineStr">
        <x:is>
          <x:t xml:space="preserve">예</x:t>
        </x:is>
      </x:c>
      <x:c r="P14" s="5" t="inlineStr">
        <x:is>
          <x:t xml:space="preserve">#cobblemon:is_forest; #cobblemon:is_jungle; #cobblemon:is_plains; #cobblemon:is_tropical_island; aether:skyroot_forest; aether:skyroot_woodland; the_bumblezone:floral_meadow</x:t>
        </x:is>
      </x:c>
      <x:c r="Q14" s="5" t="inlineStr">
        <x:is>
          <x:t xml:space="preserve">common</x:t>
        </x:is>
      </x:c>
      <x:c r="R14" s="5" t="inlineStr">
        <x:is>
          <x:t xml:space="preserve"/>
        </x:is>
      </x:c>
      <x:c r="S14" s="5" t="inlineStr">
        <x:is>
          <x:t xml:space="preserve"/>
        </x:is>
      </x:c>
      <x:c r="T14" s="5" t="inlineStr">
        <x:is>
          <x:t xml:space="preserve">육상</x:t>
        </x:is>
      </x:c>
      <x:c r="U14" s="5" t="inlineStr">
        <x:is>
          <x:t xml:space="preserve">수목</x:t>
        </x:is>
      </x:c>
      <x:c r="V14" s="5" t="inlineStr">
        <x:is>
          <x:t xml:space="preserve">온대</x:t>
        </x:is>
      </x:c>
      <x:c r="W14" s="5" t="inlineStr">
        <x:is>
          <x:t xml:space="preserve">다습</x:t>
        </x:is>
      </x:c>
      <x:c r="X14" s="5" t="inlineStr">
        <x:is>
          <x:t xml:space="preserve">무관</x:t>
        </x:is>
      </x:c>
      <x:c r="Y14" s="5" t="inlineStr">
        <x:is>
          <x:t xml:space="preserve">무관</x:t>
        </x:is>
      </x:c>
      <x:c r="Z14" s="5" t="inlineStr">
        <x:is>
          <x:t xml:space="preserve">흔함</x:t>
        </x:is>
      </x:c>
      <x:c r="AA14" s="5" t="inlineStr">
        <x:is>
          <x:t xml:space="preserve">없음</x:t>
        </x:is>
      </x:c>
      <x:c r="AB14" s="5" t="inlineStr">
        <x:is>
          <x:t xml:space="preserve">숲</x:t>
        </x:is>
      </x:c>
      <x:c r="AC14" s="5" t="inlineStr">
        <x:is>
          <x:t xml:space="preserve">gen1</x:t>
        </x:is>
      </x:c>
      <x:c r="AD14" s="5" t="inlineStr">
        <x:is>
          <x:t xml:space="preserve">.tmp/cobblemon-1.7.3-source/common/src/main/resources/data/cobblemon/species/generation1/caterpie.json</x:t>
        </x:is>
      </x:c>
    </x:row>
    <x:row r="15" ht="22" customHeight="1">
      <x:c r="A15" s="5" t="n">
        <x:v>11</x:v>
      </x:c>
      <x:c r="B15" s="5" t="inlineStr">
        <x:is>
          <x:t xml:space="preserve">단데기</x:t>
        </x:is>
      </x:c>
      <x:c r="C15" s="5" t="inlineStr">
        <x:is>
          <x:t xml:space="preserve">metapod</x:t>
        </x:is>
      </x:c>
      <x:c r="D15" s="5" t="inlineStr">
        <x:is>
          <x:t xml:space="preserve">Metapod</x:t>
        </x:is>
      </x:c>
      <x:c r="E15" s="5" t="n">
        <x:v>1</x:v>
      </x:c>
      <x:c r="F15" s="5" t="inlineStr">
        <x:is>
          <x:t xml:space="preserve">벌레</x:t>
        </x:is>
      </x:c>
      <x:c r="G15" s="5" t="inlineStr">
        <x:is>
          <x:t xml:space="preserve"/>
        </x:is>
      </x:c>
      <x:c r="H15" s="5" t="n">
        <x:v>0.7</x:v>
      </x:c>
      <x:c r="I15" s="5" t="n">
        <x:v>9.9</x:v>
      </x:c>
      <x:c r="J15" s="5" t="n">
        <x:v>205</x:v>
      </x:c>
      <x:c r="K15" s="5" t="n">
        <x:v>120</x:v>
      </x:c>
      <x:c r="L15" s="5" t="inlineStr">
        <x:is>
          <x:t xml:space="preserve">중간</x:t>
        </x:is>
      </x:c>
      <x:c r="M15" s="5" t="n">
        <x:v>10</x:v>
      </x:c>
      <x:c r="N15" s="5" t="inlineStr">
        <x:is>
          <x:t xml:space="preserve">레벨</x:t>
        </x:is>
      </x:c>
      <x:c r="O15" s="5" t="inlineStr">
        <x:is>
          <x:t xml:space="preserve">예</x:t>
        </x:is>
      </x:c>
      <x:c r="P15" s="5" t="inlineStr">
        <x:is>
          <x:t xml:space="preserve">#cobblemon:is_forest; #cobblemon:is_jungle; #cobblemon:is_plains; #cobblemon:is_tropical_island; aether:skyroot_forest; aether:skyroot_woodland; the_bumblezone:floral_meadow</x:t>
        </x:is>
      </x:c>
      <x:c r="Q15" s="5" t="inlineStr">
        <x:is>
          <x:t xml:space="preserve">common</x:t>
        </x:is>
      </x:c>
      <x:c r="R15" s="5" t="inlineStr">
        <x:is>
          <x:t xml:space="preserve"/>
        </x:is>
      </x:c>
      <x:c r="S15" s="5" t="inlineStr">
        <x:is>
          <x:t xml:space="preserve"/>
        </x:is>
      </x:c>
      <x:c r="T15" s="5" t="inlineStr">
        <x:is>
          <x:t xml:space="preserve">육상</x:t>
        </x:is>
      </x:c>
      <x:c r="U15" s="5" t="inlineStr">
        <x:is>
          <x:t xml:space="preserve">수목</x:t>
        </x:is>
      </x:c>
      <x:c r="V15" s="5" t="inlineStr">
        <x:is>
          <x:t xml:space="preserve">온대</x:t>
        </x:is>
      </x:c>
      <x:c r="W15" s="5" t="inlineStr">
        <x:is>
          <x:t xml:space="preserve">다습</x:t>
        </x:is>
      </x:c>
      <x:c r="X15" s="5" t="inlineStr">
        <x:is>
          <x:t xml:space="preserve">무관</x:t>
        </x:is>
      </x:c>
      <x:c r="Y15" s="5" t="inlineStr">
        <x:is>
          <x:t xml:space="preserve">무관</x:t>
        </x:is>
      </x:c>
      <x:c r="Z15" s="5" t="inlineStr">
        <x:is>
          <x:t xml:space="preserve">흔함</x:t>
        </x:is>
      </x:c>
      <x:c r="AA15" s="5" t="inlineStr">
        <x:is>
          <x:t xml:space="preserve">없음</x:t>
        </x:is>
      </x:c>
      <x:c r="AB15" s="5" t="inlineStr">
        <x:is>
          <x:t xml:space="preserve">숲</x:t>
        </x:is>
      </x:c>
      <x:c r="AC15" s="5" t="inlineStr">
        <x:is>
          <x:t xml:space="preserve">gen1</x:t>
        </x:is>
      </x:c>
      <x:c r="AD15" s="5" t="inlineStr">
        <x:is>
          <x:t xml:space="preserve">.tmp/cobblemon-1.7.3-source/common/src/main/resources/data/cobblemon/species/generation1/metapod.json</x:t>
        </x:is>
      </x:c>
    </x:row>
    <x:row r="16" ht="22" customHeight="1">
      <x:c r="A16" s="5" t="n">
        <x:v>12</x:v>
      </x:c>
      <x:c r="B16" s="5" t="inlineStr">
        <x:is>
          <x:t xml:space="preserve">버터플</x:t>
        </x:is>
      </x:c>
      <x:c r="C16" s="5" t="inlineStr">
        <x:is>
          <x:t xml:space="preserve">butterfree</x:t>
        </x:is>
      </x:c>
      <x:c r="D16" s="5" t="inlineStr">
        <x:is>
          <x:t xml:space="preserve">Butterfree</x:t>
        </x:is>
      </x:c>
      <x:c r="E16" s="5" t="n">
        <x:v>1</x:v>
      </x:c>
      <x:c r="F16" s="5" t="inlineStr">
        <x:is>
          <x:t xml:space="preserve">벌레</x:t>
        </x:is>
      </x:c>
      <x:c r="G16" s="5" t="inlineStr">
        <x:is>
          <x:t xml:space="preserve">비행</x:t>
        </x:is>
      </x:c>
      <x:c r="H16" s="5" t="n">
        <x:v>1.1</x:v>
      </x:c>
      <x:c r="I16" s="5" t="n">
        <x:v>32</x:v>
      </x:c>
      <x:c r="J16" s="5" t="n">
        <x:v>395</x:v>
      </x:c>
      <x:c r="K16" s="5" t="n">
        <x:v>45</x:v>
      </x:c>
      <x:c r="L16" s="5" t="inlineStr">
        <x:is>
          <x:t xml:space="preserve">최종</x:t>
        </x:is>
      </x:c>
      <x:c r="M16" s="5" t="n">
        <x:v>10</x:v>
      </x:c>
      <x:c r="N16" s="5" t="inlineStr">
        <x:is>
          <x:t xml:space="preserve">레벨</x:t>
        </x:is>
      </x:c>
      <x:c r="O16" s="5" t="inlineStr">
        <x:is>
          <x:t xml:space="preserve">예</x:t>
        </x:is>
      </x:c>
      <x:c r="P16" s="5" t="inlineStr">
        <x:is>
          <x:t xml:space="preserve">#aether:is_aether; #cobblemon:is_floral; #cobblemon:is_jungle; #cobblemon:is_temperate; #cobblemon:is_tropical_island; the_bumblezone:floral_meadow</x:t>
        </x:is>
      </x:c>
      <x:c r="Q16" s="5" t="inlineStr">
        <x:is>
          <x:t xml:space="preserve">common</x:t>
        </x:is>
      </x:c>
      <x:c r="R16" s="5" t="inlineStr">
        <x:is>
          <x:t xml:space="preserve">day</x:t>
        </x:is>
      </x:c>
      <x:c r="S16" s="5" t="inlineStr">
        <x:is>
          <x:t xml:space="preserve"/>
        </x:is>
      </x:c>
      <x:c r="T16" s="5" t="inlineStr">
        <x:is>
          <x:t xml:space="preserve">비행</x:t>
        </x:is>
      </x:c>
      <x:c r="U16" s="5" t="inlineStr">
        <x:is>
          <x:t xml:space="preserve">수목</x:t>
        </x:is>
      </x:c>
      <x:c r="V16" s="5" t="inlineStr">
        <x:is>
          <x:t xml:space="preserve">온대</x:t>
        </x:is>
      </x:c>
      <x:c r="W16" s="5" t="inlineStr">
        <x:is>
          <x:t xml:space="preserve">다습</x:t>
        </x:is>
      </x:c>
      <x:c r="X16" s="5" t="inlineStr">
        <x:is>
          <x:t xml:space="preserve">무관</x:t>
        </x:is>
      </x:c>
      <x:c r="Y16" s="5" t="inlineStr">
        <x:is>
          <x:t xml:space="preserve">낮</x:t>
        </x:is>
      </x:c>
      <x:c r="Z16" s="5" t="inlineStr">
        <x:is>
          <x:t xml:space="preserve">흔함</x:t>
        </x:is>
      </x:c>
      <x:c r="AA16" s="5" t="inlineStr">
        <x:is>
          <x:t xml:space="preserve">없음</x:t>
        </x:is>
      </x:c>
      <x:c r="AB16" s="5" t="inlineStr">
        <x:is>
          <x:t xml:space="preserve">숲</x:t>
        </x:is>
      </x:c>
      <x:c r="AC16" s="5" t="inlineStr">
        <x:is>
          <x:t xml:space="preserve">gen1</x:t>
        </x:is>
      </x:c>
      <x:c r="AD16" s="5" t="inlineStr">
        <x:is>
          <x:t xml:space="preserve">.tmp/cobblemon-1.7.3-source/common/src/main/resources/data/cobblemon/species/generation1/butterfree.json</x:t>
        </x:is>
      </x:c>
    </x:row>
    <x:row r="17" ht="22" customHeight="1">
      <x:c r="A17" s="5" t="n">
        <x:v>13</x:v>
      </x:c>
      <x:c r="B17" s="5" t="inlineStr">
        <x:is>
          <x:t xml:space="preserve">뿔충이</x:t>
        </x:is>
      </x:c>
      <x:c r="C17" s="5" t="inlineStr">
        <x:is>
          <x:t xml:space="preserve">weedle</x:t>
        </x:is>
      </x:c>
      <x:c r="D17" s="5" t="inlineStr">
        <x:is>
          <x:t xml:space="preserve">Weedle</x:t>
        </x:is>
      </x:c>
      <x:c r="E17" s="5" t="n">
        <x:v>1</x:v>
      </x:c>
      <x:c r="F17" s="5" t="inlineStr">
        <x:is>
          <x:t xml:space="preserve">벌레</x:t>
        </x:is>
      </x:c>
      <x:c r="G17" s="5" t="inlineStr">
        <x:is>
          <x:t xml:space="preserve">독</x:t>
        </x:is>
      </x:c>
      <x:c r="H17" s="5" t="n">
        <x:v>0.3</x:v>
      </x:c>
      <x:c r="I17" s="5" t="n">
        <x:v>3.2</x:v>
      </x:c>
      <x:c r="J17" s="5" t="n">
        <x:v>195</x:v>
      </x:c>
      <x:c r="K17" s="5" t="n">
        <x:v>255</x:v>
      </x:c>
      <x:c r="L17" s="5" t="inlineStr">
        <x:is>
          <x:t xml:space="preserve">기본</x:t>
        </x:is>
      </x:c>
      <x:c r="M17" s="5" t="n">
        <x:v>10</x:v>
      </x:c>
      <x:c r="N17" s="5" t="inlineStr">
        <x:is>
          <x:t xml:space="preserve">레벨</x:t>
        </x:is>
      </x:c>
      <x:c r="O17" s="5" t="inlineStr">
        <x:is>
          <x:t xml:space="preserve">예</x:t>
        </x:is>
      </x:c>
      <x:c r="P17" s="5" t="inlineStr">
        <x:is>
          <x:t xml:space="preserve">#cobblemon:is_forest; #cobblemon:is_jungle; #the_bumblezone:the_bumblezone; aether:skyroot_forest; aether:skyroot_woodland</x:t>
        </x:is>
      </x:c>
      <x:c r="Q17" s="5" t="inlineStr">
        <x:is>
          <x:t xml:space="preserve">common</x:t>
        </x:is>
      </x:c>
      <x:c r="R17" s="5" t="inlineStr">
        <x:is>
          <x:t xml:space="preserve"/>
        </x:is>
      </x:c>
      <x:c r="S17" s="5" t="inlineStr">
        <x:is>
          <x:t xml:space="preserve"/>
        </x:is>
      </x:c>
      <x:c r="T17" s="5" t="inlineStr">
        <x:is>
          <x:t xml:space="preserve">육상</x:t>
        </x:is>
      </x:c>
      <x:c r="U17" s="5" t="inlineStr">
        <x:is>
          <x:t xml:space="preserve">수목</x:t>
        </x:is>
      </x:c>
      <x:c r="V17" s="5" t="inlineStr">
        <x:is>
          <x:t xml:space="preserve">온대</x:t>
        </x:is>
      </x:c>
      <x:c r="W17" s="5" t="inlineStr">
        <x:is>
          <x:t xml:space="preserve">다습</x:t>
        </x:is>
      </x:c>
      <x:c r="X17" s="5" t="inlineStr">
        <x:is>
          <x:t xml:space="preserve">무관</x:t>
        </x:is>
      </x:c>
      <x:c r="Y17" s="5" t="inlineStr">
        <x:is>
          <x:t xml:space="preserve">무관</x:t>
        </x:is>
      </x:c>
      <x:c r="Z17" s="5" t="inlineStr">
        <x:is>
          <x:t xml:space="preserve">흔함</x:t>
        </x:is>
      </x:c>
      <x:c r="AA17" s="5" t="inlineStr">
        <x:is>
          <x:t xml:space="preserve">없음</x:t>
        </x:is>
      </x:c>
      <x:c r="AB17" s="5" t="inlineStr">
        <x:is>
          <x:t xml:space="preserve">숲</x:t>
        </x:is>
      </x:c>
      <x:c r="AC17" s="5" t="inlineStr">
        <x:is>
          <x:t xml:space="preserve">gen1</x:t>
        </x:is>
      </x:c>
      <x:c r="AD17" s="5" t="inlineStr">
        <x:is>
          <x:t xml:space="preserve">.tmp/cobblemon-1.7.3-source/common/src/main/resources/data/cobblemon/species/generation1/weedle.json</x:t>
        </x:is>
      </x:c>
    </x:row>
    <x:row r="18" ht="22" customHeight="1">
      <x:c r="A18" s="5" t="n">
        <x:v>14</x:v>
      </x:c>
      <x:c r="B18" s="5" t="inlineStr">
        <x:is>
          <x:t xml:space="preserve">딱충이</x:t>
        </x:is>
      </x:c>
      <x:c r="C18" s="5" t="inlineStr">
        <x:is>
          <x:t xml:space="preserve">kakuna</x:t>
        </x:is>
      </x:c>
      <x:c r="D18" s="5" t="inlineStr">
        <x:is>
          <x:t xml:space="preserve">Kakuna</x:t>
        </x:is>
      </x:c>
      <x:c r="E18" s="5" t="n">
        <x:v>1</x:v>
      </x:c>
      <x:c r="F18" s="5" t="inlineStr">
        <x:is>
          <x:t xml:space="preserve">벌레</x:t>
        </x:is>
      </x:c>
      <x:c r="G18" s="5" t="inlineStr">
        <x:is>
          <x:t xml:space="preserve">독</x:t>
        </x:is>
      </x:c>
      <x:c r="H18" s="5" t="n">
        <x:v>0.6</x:v>
      </x:c>
      <x:c r="I18" s="5" t="n">
        <x:v>10</x:v>
      </x:c>
      <x:c r="J18" s="5" t="n">
        <x:v>205</x:v>
      </x:c>
      <x:c r="K18" s="5" t="n">
        <x:v>120</x:v>
      </x:c>
      <x:c r="L18" s="5" t="inlineStr">
        <x:is>
          <x:t xml:space="preserve">중간</x:t>
        </x:is>
      </x:c>
      <x:c r="M18" s="5" t="n">
        <x:v>10</x:v>
      </x:c>
      <x:c r="N18" s="5" t="inlineStr">
        <x:is>
          <x:t xml:space="preserve">레벨</x:t>
        </x:is>
      </x:c>
      <x:c r="O18" s="5" t="inlineStr">
        <x:is>
          <x:t xml:space="preserve">예</x:t>
        </x:is>
      </x:c>
      <x:c r="P18" s="5" t="inlineStr">
        <x:is>
          <x:t xml:space="preserve">#cobblemon:is_forest; #cobblemon:is_jungle; #the_bumblezone:the_bumblezone; aether:skyroot_forest; aether:skyroot_woodland</x:t>
        </x:is>
      </x:c>
      <x:c r="Q18" s="5" t="inlineStr">
        <x:is>
          <x:t xml:space="preserve">common</x:t>
        </x:is>
      </x:c>
      <x:c r="R18" s="5" t="inlineStr">
        <x:is>
          <x:t xml:space="preserve"/>
        </x:is>
      </x:c>
      <x:c r="S18" s="5" t="inlineStr">
        <x:is>
          <x:t xml:space="preserve"/>
        </x:is>
      </x:c>
      <x:c r="T18" s="5" t="inlineStr">
        <x:is>
          <x:t xml:space="preserve">육상</x:t>
        </x:is>
      </x:c>
      <x:c r="U18" s="5" t="inlineStr">
        <x:is>
          <x:t xml:space="preserve">수목</x:t>
        </x:is>
      </x:c>
      <x:c r="V18" s="5" t="inlineStr">
        <x:is>
          <x:t xml:space="preserve">온대</x:t>
        </x:is>
      </x:c>
      <x:c r="W18" s="5" t="inlineStr">
        <x:is>
          <x:t xml:space="preserve">다습</x:t>
        </x:is>
      </x:c>
      <x:c r="X18" s="5" t="inlineStr">
        <x:is>
          <x:t xml:space="preserve">무관</x:t>
        </x:is>
      </x:c>
      <x:c r="Y18" s="5" t="inlineStr">
        <x:is>
          <x:t xml:space="preserve">무관</x:t>
        </x:is>
      </x:c>
      <x:c r="Z18" s="5" t="inlineStr">
        <x:is>
          <x:t xml:space="preserve">흔함</x:t>
        </x:is>
      </x:c>
      <x:c r="AA18" s="5" t="inlineStr">
        <x:is>
          <x:t xml:space="preserve">없음</x:t>
        </x:is>
      </x:c>
      <x:c r="AB18" s="5" t="inlineStr">
        <x:is>
          <x:t xml:space="preserve">숲</x:t>
        </x:is>
      </x:c>
      <x:c r="AC18" s="5" t="inlineStr">
        <x:is>
          <x:t xml:space="preserve">gen1</x:t>
        </x:is>
      </x:c>
      <x:c r="AD18" s="5" t="inlineStr">
        <x:is>
          <x:t xml:space="preserve">.tmp/cobblemon-1.7.3-source/common/src/main/resources/data/cobblemon/species/generation1/kakuna.json</x:t>
        </x:is>
      </x:c>
    </x:row>
    <x:row r="19" ht="22" customHeight="1">
      <x:c r="A19" s="5" t="n">
        <x:v>15</x:v>
      </x:c>
      <x:c r="B19" s="5" t="inlineStr">
        <x:is>
          <x:t xml:space="preserve">독침붕</x:t>
        </x:is>
      </x:c>
      <x:c r="C19" s="5" t="inlineStr">
        <x:is>
          <x:t xml:space="preserve">beedrill</x:t>
        </x:is>
      </x:c>
      <x:c r="D19" s="5" t="inlineStr">
        <x:is>
          <x:t xml:space="preserve">Beedrill</x:t>
        </x:is>
      </x:c>
      <x:c r="E19" s="5" t="n">
        <x:v>1</x:v>
      </x:c>
      <x:c r="F19" s="5" t="inlineStr">
        <x:is>
          <x:t xml:space="preserve">벌레</x:t>
        </x:is>
      </x:c>
      <x:c r="G19" s="5" t="inlineStr">
        <x:is>
          <x:t xml:space="preserve">독</x:t>
        </x:is>
      </x:c>
      <x:c r="H19" s="5" t="n">
        <x:v>1</x:v>
      </x:c>
      <x:c r="I19" s="5" t="n">
        <x:v>29.5</x:v>
      </x:c>
      <x:c r="J19" s="5" t="n">
        <x:v>395</x:v>
      </x:c>
      <x:c r="K19" s="5" t="n">
        <x:v>45</x:v>
      </x:c>
      <x:c r="L19" s="5" t="inlineStr">
        <x:is>
          <x:t xml:space="preserve">최종</x:t>
        </x:is>
      </x:c>
      <x:c r="M19" s="5" t="n">
        <x:v>10</x:v>
      </x:c>
      <x:c r="N19" s="5" t="inlineStr">
        <x:is>
          <x:t xml:space="preserve">레벨</x:t>
        </x:is>
      </x:c>
      <x:c r="O19" s="5" t="inlineStr">
        <x:is>
          <x:t xml:space="preserve">예</x:t>
        </x:is>
      </x:c>
      <x:c r="P19" s="5" t="inlineStr">
        <x:is>
          <x:t xml:space="preserve">#cobblemon:is_forest; #cobblemon:is_jungle; #the_bumblezone:the_bumblezone; aether:skyroot_forest; aether:skyroot_woodland</x:t>
        </x:is>
      </x:c>
      <x:c r="Q19" s="5" t="inlineStr">
        <x:is>
          <x:t xml:space="preserve">common</x:t>
        </x:is>
      </x:c>
      <x:c r="R19" s="5" t="inlineStr">
        <x:is>
          <x:t xml:space="preserve">day</x:t>
        </x:is>
      </x:c>
      <x:c r="S19" s="5" t="inlineStr">
        <x:is>
          <x:t xml:space="preserve">비=False</x:t>
        </x:is>
      </x:c>
      <x:c r="T19" s="5" t="inlineStr">
        <x:is>
          <x:t xml:space="preserve">비행</x:t>
        </x:is>
      </x:c>
      <x:c r="U19" s="5" t="inlineStr">
        <x:is>
          <x:t xml:space="preserve">수목</x:t>
        </x:is>
      </x:c>
      <x:c r="V19" s="5" t="inlineStr">
        <x:is>
          <x:t xml:space="preserve">온대</x:t>
        </x:is>
      </x:c>
      <x:c r="W19" s="5" t="inlineStr">
        <x:is>
          <x:t xml:space="preserve">다습</x:t>
        </x:is>
      </x:c>
      <x:c r="X19" s="5" t="inlineStr">
        <x:is>
          <x:t xml:space="preserve">무관</x:t>
        </x:is>
      </x:c>
      <x:c r="Y19" s="5" t="inlineStr">
        <x:is>
          <x:t xml:space="preserve">낮</x:t>
        </x:is>
      </x:c>
      <x:c r="Z19" s="5" t="inlineStr">
        <x:is>
          <x:t xml:space="preserve">흔함</x:t>
        </x:is>
      </x:c>
      <x:c r="AA19" s="5" t="inlineStr">
        <x:is>
          <x:t xml:space="preserve">없음</x:t>
        </x:is>
      </x:c>
      <x:c r="AB19" s="5" t="inlineStr">
        <x:is>
          <x:t xml:space="preserve">숲</x:t>
        </x:is>
      </x:c>
      <x:c r="AC19" s="5" t="inlineStr">
        <x:is>
          <x:t xml:space="preserve">gen1</x:t>
        </x:is>
      </x:c>
      <x:c r="AD19" s="5" t="inlineStr">
        <x:is>
          <x:t xml:space="preserve">.tmp/cobblemon-1.7.3-source/common/src/main/resources/data/cobblemon/species/generation1/beedrill.json</x:t>
        </x:is>
      </x:c>
    </x:row>
    <x:row r="20" ht="22" customHeight="1">
      <x:c r="A20" s="5" t="n">
        <x:v>16</x:v>
      </x:c>
      <x:c r="B20" s="5" t="inlineStr">
        <x:is>
          <x:t xml:space="preserve">구구</x:t>
        </x:is>
      </x:c>
      <x:c r="C20" s="5" t="inlineStr">
        <x:is>
          <x:t xml:space="preserve">pidgey</x:t>
        </x:is>
      </x:c>
      <x:c r="D20" s="5" t="inlineStr">
        <x:is>
          <x:t xml:space="preserve">Pidgey</x:t>
        </x:is>
      </x:c>
      <x:c r="E20" s="5" t="n">
        <x:v>1</x:v>
      </x:c>
      <x:c r="F20" s="5" t="inlineStr">
        <x:is>
          <x:t xml:space="preserve">노말</x:t>
        </x:is>
      </x:c>
      <x:c r="G20" s="5" t="inlineStr">
        <x:is>
          <x:t xml:space="preserve">비행</x:t>
        </x:is>
      </x:c>
      <x:c r="H20" s="5" t="n">
        <x:v>0.3</x:v>
      </x:c>
      <x:c r="I20" s="5" t="n">
        <x:v>1.8</x:v>
      </x:c>
      <x:c r="J20" s="5" t="n">
        <x:v>251</x:v>
      </x:c>
      <x:c r="K20" s="5" t="n">
        <x:v>255</x:v>
      </x:c>
      <x:c r="L20" s="5" t="inlineStr">
        <x:is>
          <x:t xml:space="preserve">기본</x:t>
        </x:is>
      </x:c>
      <x:c r="M20" s="5" t="n">
        <x:v>36</x:v>
      </x:c>
      <x:c r="N20" s="5" t="inlineStr">
        <x:is>
          <x:t xml:space="preserve">레벨</x:t>
        </x:is>
      </x:c>
      <x:c r="O20" s="5" t="inlineStr">
        <x:is>
          <x:t xml:space="preserve">예</x:t>
        </x:is>
      </x:c>
      <x:c r="P20" s="5" t="inlineStr">
        <x:is>
          <x:t xml:space="preserve">#cobblemon:is_sky; #cobblemon:is_temperate; aether:skyroot_forest; aether:skyroot_woodland</x:t>
        </x:is>
      </x:c>
      <x:c r="Q20" s="5" t="inlineStr">
        <x:is>
          <x:t xml:space="preserve">common</x:t>
        </x:is>
      </x:c>
      <x:c r="R20" s="5" t="inlineStr">
        <x:is>
          <x:t xml:space="preserve">day</x:t>
        </x:is>
      </x:c>
      <x:c r="S20" s="5" t="inlineStr">
        <x:is>
          <x:t xml:space="preserve"/>
        </x:is>
      </x:c>
      <x:c r="T20" s="5" t="inlineStr">
        <x:is>
          <x:t xml:space="preserve">비행</x:t>
        </x:is>
      </x:c>
      <x:c r="U20" s="5" t="inlineStr">
        <x:is>
          <x:t xml:space="preserve">수목</x:t>
        </x:is>
      </x:c>
      <x:c r="V20" s="5" t="inlineStr">
        <x:is>
          <x:t xml:space="preserve">온대</x:t>
        </x:is>
      </x:c>
      <x:c r="W20" s="5" t="inlineStr">
        <x:is>
          <x:t xml:space="preserve">보통</x:t>
        </x:is>
      </x:c>
      <x:c r="X20" s="5" t="inlineStr">
        <x:is>
          <x:t xml:space="preserve">무관</x:t>
        </x:is>
      </x:c>
      <x:c r="Y20" s="5" t="inlineStr">
        <x:is>
          <x:t xml:space="preserve">낮</x:t>
        </x:is>
      </x:c>
      <x:c r="Z20" s="5" t="inlineStr">
        <x:is>
          <x:t xml:space="preserve">흔함</x:t>
        </x:is>
      </x:c>
      <x:c r="AA20" s="5" t="inlineStr">
        <x:is>
          <x:t xml:space="preserve">없음</x:t>
        </x:is>
      </x:c>
      <x:c r="AB20" s="5" t="inlineStr">
        <x:is>
          <x:t xml:space="preserve">숲</x:t>
        </x:is>
      </x:c>
      <x:c r="AC20" s="5" t="inlineStr">
        <x:is>
          <x:t xml:space="preserve">gen1</x:t>
        </x:is>
      </x:c>
      <x:c r="AD20" s="5" t="inlineStr">
        <x:is>
          <x:t xml:space="preserve">.tmp/cobblemon-1.7.3-source/common/src/main/resources/data/cobblemon/species/generation1/pidgey.json</x:t>
        </x:is>
      </x:c>
    </x:row>
    <x:row r="21" ht="22" customHeight="1">
      <x:c r="A21" s="5" t="n">
        <x:v>17</x:v>
      </x:c>
      <x:c r="B21" s="5" t="inlineStr">
        <x:is>
          <x:t xml:space="preserve">피죤</x:t>
        </x:is>
      </x:c>
      <x:c r="C21" s="5" t="inlineStr">
        <x:is>
          <x:t xml:space="preserve">pidgeotto</x:t>
        </x:is>
      </x:c>
      <x:c r="D21" s="5" t="inlineStr">
        <x:is>
          <x:t xml:space="preserve">Pidgeotto</x:t>
        </x:is>
      </x:c>
      <x:c r="E21" s="5" t="n">
        <x:v>1</x:v>
      </x:c>
      <x:c r="F21" s="5" t="inlineStr">
        <x:is>
          <x:t xml:space="preserve">노말</x:t>
        </x:is>
      </x:c>
      <x:c r="G21" s="5" t="inlineStr">
        <x:is>
          <x:t xml:space="preserve">비행</x:t>
        </x:is>
      </x:c>
      <x:c r="H21" s="5" t="n">
        <x:v>1.1</x:v>
      </x:c>
      <x:c r="I21" s="5" t="n">
        <x:v>30</x:v>
      </x:c>
      <x:c r="J21" s="5" t="n">
        <x:v>349</x:v>
      </x:c>
      <x:c r="K21" s="5" t="n">
        <x:v>120</x:v>
      </x:c>
      <x:c r="L21" s="5" t="inlineStr">
        <x:is>
          <x:t xml:space="preserve">중간</x:t>
        </x:is>
      </x:c>
      <x:c r="M21" s="5" t="n">
        <x:v>36</x:v>
      </x:c>
      <x:c r="N21" s="5" t="inlineStr">
        <x:is>
          <x:t xml:space="preserve">레벨</x:t>
        </x:is>
      </x:c>
      <x:c r="O21" s="5" t="inlineStr">
        <x:is>
          <x:t xml:space="preserve">예</x:t>
        </x:is>
      </x:c>
      <x:c r="P21" s="5" t="inlineStr">
        <x:is>
          <x:t xml:space="preserve">#cobblemon:is_sky; #cobblemon:is_temperate; aether:skyroot_forest; aether:skyroot_woodland</x:t>
        </x:is>
      </x:c>
      <x:c r="Q21" s="5" t="inlineStr">
        <x:is>
          <x:t xml:space="preserve">common</x:t>
        </x:is>
      </x:c>
      <x:c r="R21" s="5" t="inlineStr">
        <x:is>
          <x:t xml:space="preserve">day</x:t>
        </x:is>
      </x:c>
      <x:c r="S21" s="5" t="inlineStr">
        <x:is>
          <x:t xml:space="preserve"/>
        </x:is>
      </x:c>
      <x:c r="T21" s="5" t="inlineStr">
        <x:is>
          <x:t xml:space="preserve">비행</x:t>
        </x:is>
      </x:c>
      <x:c r="U21" s="5" t="inlineStr">
        <x:is>
          <x:t xml:space="preserve">수목</x:t>
        </x:is>
      </x:c>
      <x:c r="V21" s="5" t="inlineStr">
        <x:is>
          <x:t xml:space="preserve">온대</x:t>
        </x:is>
      </x:c>
      <x:c r="W21" s="5" t="inlineStr">
        <x:is>
          <x:t xml:space="preserve">보통</x:t>
        </x:is>
      </x:c>
      <x:c r="X21" s="5" t="inlineStr">
        <x:is>
          <x:t xml:space="preserve">무관</x:t>
        </x:is>
      </x:c>
      <x:c r="Y21" s="5" t="inlineStr">
        <x:is>
          <x:t xml:space="preserve">낮</x:t>
        </x:is>
      </x:c>
      <x:c r="Z21" s="5" t="inlineStr">
        <x:is>
          <x:t xml:space="preserve">흔함</x:t>
        </x:is>
      </x:c>
      <x:c r="AA21" s="5" t="inlineStr">
        <x:is>
          <x:t xml:space="preserve">없음</x:t>
        </x:is>
      </x:c>
      <x:c r="AB21" s="5" t="inlineStr">
        <x:is>
          <x:t xml:space="preserve">숲</x:t>
        </x:is>
      </x:c>
      <x:c r="AC21" s="5" t="inlineStr">
        <x:is>
          <x:t xml:space="preserve">gen1</x:t>
        </x:is>
      </x:c>
      <x:c r="AD21" s="5" t="inlineStr">
        <x:is>
          <x:t xml:space="preserve">.tmp/cobblemon-1.7.3-source/common/src/main/resources/data/cobblemon/species/generation1/pidgeotto.json</x:t>
        </x:is>
      </x:c>
    </x:row>
    <x:row r="22" ht="22" customHeight="1">
      <x:c r="A22" s="5" t="n">
        <x:v>18</x:v>
      </x:c>
      <x:c r="B22" s="5" t="inlineStr">
        <x:is>
          <x:t xml:space="preserve">피죤투</x:t>
        </x:is>
      </x:c>
      <x:c r="C22" s="5" t="inlineStr">
        <x:is>
          <x:t xml:space="preserve">pidgeot</x:t>
        </x:is>
      </x:c>
      <x:c r="D22" s="5" t="inlineStr">
        <x:is>
          <x:t xml:space="preserve">Pidgeot</x:t>
        </x:is>
      </x:c>
      <x:c r="E22" s="5" t="n">
        <x:v>1</x:v>
      </x:c>
      <x:c r="F22" s="5" t="inlineStr">
        <x:is>
          <x:t xml:space="preserve">노말</x:t>
        </x:is>
      </x:c>
      <x:c r="G22" s="5" t="inlineStr">
        <x:is>
          <x:t xml:space="preserve">비행</x:t>
        </x:is>
      </x:c>
      <x:c r="H22" s="5" t="n">
        <x:v>1.5</x:v>
      </x:c>
      <x:c r="I22" s="5" t="n">
        <x:v>39.5</x:v>
      </x:c>
      <x:c r="J22" s="5" t="n">
        <x:v>479</x:v>
      </x:c>
      <x:c r="K22" s="5" t="n">
        <x:v>45</x:v>
      </x:c>
      <x:c r="L22" s="5" t="inlineStr">
        <x:is>
          <x:t xml:space="preserve">최종</x:t>
        </x:is>
      </x:c>
      <x:c r="M22" s="5" t="n">
        <x:v>36</x:v>
      </x:c>
      <x:c r="N22" s="5" t="inlineStr">
        <x:is>
          <x:t xml:space="preserve">레벨</x:t>
        </x:is>
      </x:c>
      <x:c r="O22" s="5" t="inlineStr">
        <x:is>
          <x:t xml:space="preserve">예</x:t>
        </x:is>
      </x:c>
      <x:c r="P22" s="5" t="inlineStr">
        <x:is>
          <x:t xml:space="preserve">#cobblemon:is_sky; #cobblemon:is_temperate; aether:skyroot_forest; aether:skyroot_woodland</x:t>
        </x:is>
      </x:c>
      <x:c r="Q22" s="5" t="inlineStr">
        <x:is>
          <x:t xml:space="preserve">common</x:t>
        </x:is>
      </x:c>
      <x:c r="R22" s="5" t="inlineStr">
        <x:is>
          <x:t xml:space="preserve">day</x:t>
        </x:is>
      </x:c>
      <x:c r="S22" s="5" t="inlineStr">
        <x:is>
          <x:t xml:space="preserve"/>
        </x:is>
      </x:c>
      <x:c r="T22" s="5" t="inlineStr">
        <x:is>
          <x:t xml:space="preserve">비행</x:t>
        </x:is>
      </x:c>
      <x:c r="U22" s="5" t="inlineStr">
        <x:is>
          <x:t xml:space="preserve">수목</x:t>
        </x:is>
      </x:c>
      <x:c r="V22" s="5" t="inlineStr">
        <x:is>
          <x:t xml:space="preserve">온대</x:t>
        </x:is>
      </x:c>
      <x:c r="W22" s="5" t="inlineStr">
        <x:is>
          <x:t xml:space="preserve">보통</x:t>
        </x:is>
      </x:c>
      <x:c r="X22" s="5" t="inlineStr">
        <x:is>
          <x:t xml:space="preserve">무관</x:t>
        </x:is>
      </x:c>
      <x:c r="Y22" s="5" t="inlineStr">
        <x:is>
          <x:t xml:space="preserve">낮</x:t>
        </x:is>
      </x:c>
      <x:c r="Z22" s="5" t="inlineStr">
        <x:is>
          <x:t xml:space="preserve">흔함</x:t>
        </x:is>
      </x:c>
      <x:c r="AA22" s="5" t="inlineStr">
        <x:is>
          <x:t xml:space="preserve">없음</x:t>
        </x:is>
      </x:c>
      <x:c r="AB22" s="5" t="inlineStr">
        <x:is>
          <x:t xml:space="preserve">숲</x:t>
        </x:is>
      </x:c>
      <x:c r="AC22" s="5" t="inlineStr">
        <x:is>
          <x:t xml:space="preserve">gen1</x:t>
        </x:is>
      </x:c>
      <x:c r="AD22" s="5" t="inlineStr">
        <x:is>
          <x:t xml:space="preserve">.tmp/cobblemon-1.7.3-source/common/src/main/resources/data/cobblemon/species/generation1/pidgeot.json</x:t>
        </x:is>
      </x:c>
    </x:row>
    <x:row r="23" ht="22" customHeight="1">
      <x:c r="A23" s="5" t="n">
        <x:v>19</x:v>
      </x:c>
      <x:c r="B23" s="5" t="inlineStr">
        <x:is>
          <x:t xml:space="preserve">꼬렛</x:t>
        </x:is>
      </x:c>
      <x:c r="C23" s="5" t="inlineStr">
        <x:is>
          <x:t xml:space="preserve">rattata</x:t>
        </x:is>
      </x:c>
      <x:c r="D23" s="5" t="inlineStr">
        <x:is>
          <x:t xml:space="preserve">Rattata</x:t>
        </x:is>
      </x:c>
      <x:c r="E23" s="5" t="n">
        <x:v>1</x:v>
      </x:c>
      <x:c r="F23" s="5" t="inlineStr">
        <x:is>
          <x:t xml:space="preserve">노말</x:t>
        </x:is>
      </x:c>
      <x:c r="G23" s="5" t="inlineStr">
        <x:is>
          <x:t xml:space="preserve"/>
        </x:is>
      </x:c>
      <x:c r="H23" s="5" t="n">
        <x:v>0.3</x:v>
      </x:c>
      <x:c r="I23" s="5" t="n">
        <x:v>3.5</x:v>
      </x:c>
      <x:c r="J23" s="5" t="n">
        <x:v>253</x:v>
      </x:c>
      <x:c r="K23" s="5" t="n">
        <x:v>255</x:v>
      </x:c>
      <x:c r="L23" s="5" t="inlineStr">
        <x:is>
          <x:t xml:space="preserve">기본</x:t>
        </x:is>
      </x:c>
      <x:c r="M23" s="5" t="n">
        <x:v>20</x:v>
      </x:c>
      <x:c r="N23" s="5" t="inlineStr">
        <x:is>
          <x:t xml:space="preserve">레벨</x:t>
        </x:is>
      </x:c>
      <x:c r="O23" s="5" t="inlineStr">
        <x:is>
          <x:t xml:space="preserve">예</x:t>
        </x:is>
      </x:c>
      <x:c r="P23" s="5" t="inlineStr">
        <x:is>
          <x:t xml:space="preserve">#cobblemon:is_grassland; #cobblemon:is_overworld; #cobblemon:is_spooky</x:t>
        </x:is>
      </x:c>
      <x:c r="Q23" s="5" t="inlineStr">
        <x:is>
          <x:t xml:space="preserve">common; uncommon</x:t>
        </x:is>
      </x:c>
      <x:c r="R23" s="5" t="inlineStr">
        <x:is>
          <x:t xml:space="preserve">night</x:t>
        </x:is>
      </x:c>
      <x:c r="S23" s="5" t="inlineStr">
        <x:is>
          <x:t xml:space="preserve"/>
        </x:is>
      </x:c>
      <x:c r="T23" s="5" t="inlineStr">
        <x:is>
          <x:t xml:space="preserve">육상</x:t>
        </x:is>
      </x:c>
      <x:c r="U23" s="5" t="inlineStr">
        <x:is>
          <x:t xml:space="preserve">특수</x:t>
        </x:is>
      </x:c>
      <x:c r="V23" s="5" t="inlineStr">
        <x:is>
          <x:t xml:space="preserve">온대</x:t>
        </x:is>
      </x:c>
      <x:c r="W23" s="5" t="inlineStr">
        <x:is>
          <x:t xml:space="preserve">보통</x:t>
        </x:is>
      </x:c>
      <x:c r="X23" s="5" t="inlineStr">
        <x:is>
          <x:t xml:space="preserve">무관</x:t>
        </x:is>
      </x:c>
      <x:c r="Y23" s="5" t="inlineStr">
        <x:is>
          <x:t xml:space="preserve">밤</x:t>
        </x:is>
      </x:c>
      <x:c r="Z23" s="5" t="inlineStr">
        <x:is>
          <x:t xml:space="preserve">보통</x:t>
        </x:is>
      </x:c>
      <x:c r="AA23" s="5" t="inlineStr">
        <x:is>
          <x:t xml:space="preserve">영체</x:t>
        </x:is>
      </x:c>
      <x:c r="AB23" s="5" t="inlineStr">
        <x:is>
          <x:t xml:space="preserve">특수</x:t>
        </x:is>
      </x:c>
      <x:c r="AC23" s="5" t="inlineStr">
        <x:is>
          <x:t xml:space="preserve">gen1; kantonian_form</x:t>
        </x:is>
      </x:c>
      <x:c r="AD23" s="5" t="inlineStr">
        <x:is>
          <x:t xml:space="preserve">.tmp/cobblemon-1.7.3-source/common/src/main/resources/data/cobblemon/species/generation1/rattata.json</x:t>
        </x:is>
      </x:c>
    </x:row>
    <x:row r="24" ht="22" customHeight="1">
      <x:c r="A24" s="5" t="n">
        <x:v>20</x:v>
      </x:c>
      <x:c r="B24" s="5" t="inlineStr">
        <x:is>
          <x:t xml:space="preserve">레트라</x:t>
        </x:is>
      </x:c>
      <x:c r="C24" s="5" t="inlineStr">
        <x:is>
          <x:t xml:space="preserve">raticate</x:t>
        </x:is>
      </x:c>
      <x:c r="D24" s="5" t="inlineStr">
        <x:is>
          <x:t xml:space="preserve">Raticate</x:t>
        </x:is>
      </x:c>
      <x:c r="E24" s="5" t="n">
        <x:v>1</x:v>
      </x:c>
      <x:c r="F24" s="5" t="inlineStr">
        <x:is>
          <x:t xml:space="preserve">노말</x:t>
        </x:is>
      </x:c>
      <x:c r="G24" s="5" t="inlineStr">
        <x:is>
          <x:t xml:space="preserve"/>
        </x:is>
      </x:c>
      <x:c r="H24" s="5" t="n">
        <x:v>0.7</x:v>
      </x:c>
      <x:c r="I24" s="5" t="n">
        <x:v>18.5</x:v>
      </x:c>
      <x:c r="J24" s="5" t="n">
        <x:v>413</x:v>
      </x:c>
      <x:c r="K24" s="5" t="n">
        <x:v>127</x:v>
      </x:c>
      <x:c r="L24" s="5" t="inlineStr">
        <x:is>
          <x:t xml:space="preserve">최종</x:t>
        </x:is>
      </x:c>
      <x:c r="M24" s="5" t="n">
        <x:v>20</x:v>
      </x:c>
      <x:c r="N24" s="5" t="inlineStr">
        <x:is>
          <x:t xml:space="preserve">레벨</x:t>
        </x:is>
      </x:c>
      <x:c r="O24" s="5" t="inlineStr">
        <x:is>
          <x:t xml:space="preserve">예</x:t>
        </x:is>
      </x:c>
      <x:c r="P24" s="5" t="inlineStr">
        <x:is>
          <x:t xml:space="preserve">#cobblemon:is_grassland; #cobblemon:is_overworld; #cobblemon:is_spooky</x:t>
        </x:is>
      </x:c>
      <x:c r="Q24" s="5" t="inlineStr">
        <x:is>
          <x:t xml:space="preserve">common; uncommon</x:t>
        </x:is>
      </x:c>
      <x:c r="R24" s="5" t="inlineStr">
        <x:is>
          <x:t xml:space="preserve">night</x:t>
        </x:is>
      </x:c>
      <x:c r="S24" s="5" t="inlineStr">
        <x:is>
          <x:t xml:space="preserve"/>
        </x:is>
      </x:c>
      <x:c r="T24" s="5" t="inlineStr">
        <x:is>
          <x:t xml:space="preserve">육상</x:t>
        </x:is>
      </x:c>
      <x:c r="U24" s="5" t="inlineStr">
        <x:is>
          <x:t xml:space="preserve">특수</x:t>
        </x:is>
      </x:c>
      <x:c r="V24" s="5" t="inlineStr">
        <x:is>
          <x:t xml:space="preserve">온대</x:t>
        </x:is>
      </x:c>
      <x:c r="W24" s="5" t="inlineStr">
        <x:is>
          <x:t xml:space="preserve">보통</x:t>
        </x:is>
      </x:c>
      <x:c r="X24" s="5" t="inlineStr">
        <x:is>
          <x:t xml:space="preserve">무관</x:t>
        </x:is>
      </x:c>
      <x:c r="Y24" s="5" t="inlineStr">
        <x:is>
          <x:t xml:space="preserve">밤</x:t>
        </x:is>
      </x:c>
      <x:c r="Z24" s="5" t="inlineStr">
        <x:is>
          <x:t xml:space="preserve">보통</x:t>
        </x:is>
      </x:c>
      <x:c r="AA24" s="5" t="inlineStr">
        <x:is>
          <x:t xml:space="preserve">영체</x:t>
        </x:is>
      </x:c>
      <x:c r="AB24" s="5" t="inlineStr">
        <x:is>
          <x:t xml:space="preserve">특수</x:t>
        </x:is>
      </x:c>
      <x:c r="AC24" s="5" t="inlineStr">
        <x:is>
          <x:t xml:space="preserve">gen1; kantonian_form</x:t>
        </x:is>
      </x:c>
      <x:c r="AD24" s="5" t="inlineStr">
        <x:is>
          <x:t xml:space="preserve">.tmp/cobblemon-1.7.3-source/common/src/main/resources/data/cobblemon/species/generation1/raticate.json</x:t>
        </x:is>
      </x:c>
    </x:row>
    <x:row r="25" ht="22" customHeight="1">
      <x:c r="A25" s="5" t="n">
        <x:v>21</x:v>
      </x:c>
      <x:c r="B25" s="5" t="inlineStr">
        <x:is>
          <x:t xml:space="preserve">깨비참</x:t>
        </x:is>
      </x:c>
      <x:c r="C25" s="5" t="inlineStr">
        <x:is>
          <x:t xml:space="preserve">spearow</x:t>
        </x:is>
      </x:c>
      <x:c r="D25" s="5" t="inlineStr">
        <x:is>
          <x:t xml:space="preserve">Spearow</x:t>
        </x:is>
      </x:c>
      <x:c r="E25" s="5" t="n">
        <x:v>1</x:v>
      </x:c>
      <x:c r="F25" s="5" t="inlineStr">
        <x:is>
          <x:t xml:space="preserve">노말</x:t>
        </x:is>
      </x:c>
      <x:c r="G25" s="5" t="inlineStr">
        <x:is>
          <x:t xml:space="preserve">비행</x:t>
        </x:is>
      </x:c>
      <x:c r="H25" s="5" t="n">
        <x:v>0.3</x:v>
      </x:c>
      <x:c r="I25" s="5" t="n">
        <x:v>2</x:v>
      </x:c>
      <x:c r="J25" s="5" t="n">
        <x:v>262</x:v>
      </x:c>
      <x:c r="K25" s="5" t="n">
        <x:v>255</x:v>
      </x:c>
      <x:c r="L25" s="5" t="inlineStr">
        <x:is>
          <x:t xml:space="preserve">기본</x:t>
        </x:is>
      </x:c>
      <x:c r="M25" s="5" t="n">
        <x:v>20</x:v>
      </x:c>
      <x:c r="N25" s="5" t="inlineStr">
        <x:is>
          <x:t xml:space="preserve">레벨</x:t>
        </x:is>
      </x:c>
      <x:c r="O25" s="5" t="inlineStr">
        <x:is>
          <x:t xml:space="preserve">예</x:t>
        </x:is>
      </x:c>
      <x:c r="P25" s="5" t="inlineStr">
        <x:is>
          <x:t xml:space="preserve">#cobblemon:is_badlands; #cobblemon:is_savanna; #cobblemon:is_sky</x:t>
        </x:is>
      </x:c>
      <x:c r="Q25" s="5" t="inlineStr">
        <x:is>
          <x:t xml:space="preserve">common</x:t>
        </x:is>
      </x:c>
      <x:c r="R25" s="5" t="inlineStr">
        <x:is>
          <x:t xml:space="preserve">day</x:t>
        </x:is>
      </x:c>
      <x:c r="S25" s="5" t="inlineStr">
        <x:is>
          <x:t xml:space="preserve"/>
        </x:is>
      </x:c>
      <x:c r="T25" s="5" t="inlineStr">
        <x:is>
          <x:t xml:space="preserve">비행</x:t>
        </x:is>
      </x:c>
      <x:c r="U25" s="5" t="inlineStr">
        <x:is>
          <x:t xml:space="preserve">건조</x:t>
        </x:is>
      </x:c>
      <x:c r="V25" s="5" t="inlineStr">
        <x:is>
          <x:t xml:space="preserve">고온</x:t>
        </x:is>
      </x:c>
      <x:c r="W25" s="5" t="inlineStr">
        <x:is>
          <x:t xml:space="preserve">건조</x:t>
        </x:is>
      </x:c>
      <x:c r="X25" s="5" t="inlineStr">
        <x:is>
          <x:t xml:space="preserve">맑음</x:t>
        </x:is>
      </x:c>
      <x:c r="Y25" s="5" t="inlineStr">
        <x:is>
          <x:t xml:space="preserve">낮</x:t>
        </x:is>
      </x:c>
      <x:c r="Z25" s="5" t="inlineStr">
        <x:is>
          <x:t xml:space="preserve">흔함</x:t>
        </x:is>
      </x:c>
      <x:c r="AA25" s="5" t="inlineStr">
        <x:is>
          <x:t xml:space="preserve">없음</x:t>
        </x:is>
      </x:c>
      <x:c r="AB25" s="5" t="inlineStr">
        <x:is>
          <x:t xml:space="preserve">건조지</x:t>
        </x:is>
      </x:c>
      <x:c r="AC25" s="5" t="inlineStr">
        <x:is>
          <x:t xml:space="preserve">gen1</x:t>
        </x:is>
      </x:c>
      <x:c r="AD25" s="5" t="inlineStr">
        <x:is>
          <x:t xml:space="preserve">.tmp/cobblemon-1.7.3-source/common/src/main/resources/data/cobblemon/species/generation1/spearow.json</x:t>
        </x:is>
      </x:c>
    </x:row>
    <x:row r="26" ht="22" customHeight="1">
      <x:c r="A26" s="5" t="n">
        <x:v>22</x:v>
      </x:c>
      <x:c r="B26" s="5" t="inlineStr">
        <x:is>
          <x:t xml:space="preserve">깨비드릴조</x:t>
        </x:is>
      </x:c>
      <x:c r="C26" s="5" t="inlineStr">
        <x:is>
          <x:t xml:space="preserve">fearow</x:t>
        </x:is>
      </x:c>
      <x:c r="D26" s="5" t="inlineStr">
        <x:is>
          <x:t xml:space="preserve">Fearow</x:t>
        </x:is>
      </x:c>
      <x:c r="E26" s="5" t="n">
        <x:v>1</x:v>
      </x:c>
      <x:c r="F26" s="5" t="inlineStr">
        <x:is>
          <x:t xml:space="preserve">노말</x:t>
        </x:is>
      </x:c>
      <x:c r="G26" s="5" t="inlineStr">
        <x:is>
          <x:t xml:space="preserve">비행</x:t>
        </x:is>
      </x:c>
      <x:c r="H26" s="5" t="n">
        <x:v>1.2</x:v>
      </x:c>
      <x:c r="I26" s="5" t="n">
        <x:v>38</x:v>
      </x:c>
      <x:c r="J26" s="5" t="n">
        <x:v>442</x:v>
      </x:c>
      <x:c r="K26" s="5" t="n">
        <x:v>90</x:v>
      </x:c>
      <x:c r="L26" s="5" t="inlineStr">
        <x:is>
          <x:t xml:space="preserve">최종</x:t>
        </x:is>
      </x:c>
      <x:c r="M26" s="5" t="n">
        <x:v>20</x:v>
      </x:c>
      <x:c r="N26" s="5" t="inlineStr">
        <x:is>
          <x:t xml:space="preserve">레벨</x:t>
        </x:is>
      </x:c>
      <x:c r="O26" s="5" t="inlineStr">
        <x:is>
          <x:t xml:space="preserve">예</x:t>
        </x:is>
      </x:c>
      <x:c r="P26" s="5" t="inlineStr">
        <x:is>
          <x:t xml:space="preserve">#cobblemon:is_badlands; #cobblemon:is_savanna; #cobblemon:is_sky</x:t>
        </x:is>
      </x:c>
      <x:c r="Q26" s="5" t="inlineStr">
        <x:is>
          <x:t xml:space="preserve">common</x:t>
        </x:is>
      </x:c>
      <x:c r="R26" s="5" t="inlineStr">
        <x:is>
          <x:t xml:space="preserve">day</x:t>
        </x:is>
      </x:c>
      <x:c r="S26" s="5" t="inlineStr">
        <x:is>
          <x:t xml:space="preserve"/>
        </x:is>
      </x:c>
      <x:c r="T26" s="5" t="inlineStr">
        <x:is>
          <x:t xml:space="preserve">비행</x:t>
        </x:is>
      </x:c>
      <x:c r="U26" s="5" t="inlineStr">
        <x:is>
          <x:t xml:space="preserve">건조</x:t>
        </x:is>
      </x:c>
      <x:c r="V26" s="5" t="inlineStr">
        <x:is>
          <x:t xml:space="preserve">고온</x:t>
        </x:is>
      </x:c>
      <x:c r="W26" s="5" t="inlineStr">
        <x:is>
          <x:t xml:space="preserve">건조</x:t>
        </x:is>
      </x:c>
      <x:c r="X26" s="5" t="inlineStr">
        <x:is>
          <x:t xml:space="preserve">맑음</x:t>
        </x:is>
      </x:c>
      <x:c r="Y26" s="5" t="inlineStr">
        <x:is>
          <x:t xml:space="preserve">낮</x:t>
        </x:is>
      </x:c>
      <x:c r="Z26" s="5" t="inlineStr">
        <x:is>
          <x:t xml:space="preserve">흔함</x:t>
        </x:is>
      </x:c>
      <x:c r="AA26" s="5" t="inlineStr">
        <x:is>
          <x:t xml:space="preserve">없음</x:t>
        </x:is>
      </x:c>
      <x:c r="AB26" s="5" t="inlineStr">
        <x:is>
          <x:t xml:space="preserve">건조지</x:t>
        </x:is>
      </x:c>
      <x:c r="AC26" s="5" t="inlineStr">
        <x:is>
          <x:t xml:space="preserve">gen1</x:t>
        </x:is>
      </x:c>
      <x:c r="AD26" s="5" t="inlineStr">
        <x:is>
          <x:t xml:space="preserve">.tmp/cobblemon-1.7.3-source/common/src/main/resources/data/cobblemon/species/generation1/fearow.json</x:t>
        </x:is>
      </x:c>
    </x:row>
    <x:row r="27" ht="22" customHeight="1">
      <x:c r="A27" s="5" t="n">
        <x:v>23</x:v>
      </x:c>
      <x:c r="B27" s="5" t="inlineStr">
        <x:is>
          <x:t xml:space="preserve">아보</x:t>
        </x:is>
      </x:c>
      <x:c r="C27" s="5" t="inlineStr">
        <x:is>
          <x:t xml:space="preserve">ekans</x:t>
        </x:is>
      </x:c>
      <x:c r="D27" s="5" t="inlineStr">
        <x:is>
          <x:t xml:space="preserve">Ekans</x:t>
        </x:is>
      </x:c>
      <x:c r="E27" s="5" t="n">
        <x:v>1</x:v>
      </x:c>
      <x:c r="F27" s="5" t="inlineStr">
        <x:is>
          <x:t xml:space="preserve">독</x:t>
        </x:is>
      </x:c>
      <x:c r="G27" s="5" t="inlineStr">
        <x:is>
          <x:t xml:space="preserve"/>
        </x:is>
      </x:c>
      <x:c r="H27" s="5" t="n">
        <x:v>2</x:v>
      </x:c>
      <x:c r="I27" s="5" t="n">
        <x:v>6.9</x:v>
      </x:c>
      <x:c r="J27" s="5" t="n">
        <x:v>288</x:v>
      </x:c>
      <x:c r="K27" s="5" t="n">
        <x:v>255</x:v>
      </x:c>
      <x:c r="L27" s="5" t="inlineStr">
        <x:is>
          <x:t xml:space="preserve">기본</x:t>
        </x:is>
      </x:c>
      <x:c r="M27" s="5" t="n">
        <x:v>22</x:v>
      </x:c>
      <x:c r="N27" s="5" t="inlineStr">
        <x:is>
          <x:t xml:space="preserve">레벨</x:t>
        </x:is>
      </x:c>
      <x:c r="O27" s="5" t="inlineStr">
        <x:is>
          <x:t xml:space="preserve">예</x:t>
        </x:is>
      </x:c>
      <x:c r="P27" s="5" t="inlineStr">
        <x:is>
          <x:t xml:space="preserve">#cobblemon:is_arid; minecraft:deep_dark</x:t>
        </x:is>
      </x:c>
      <x:c r="Q27" s="5" t="inlineStr">
        <x:is>
          <x:t xml:space="preserve">common</x:t>
        </x:is>
      </x:c>
      <x:c r="R27" s="5" t="inlineStr">
        <x:is>
          <x:t xml:space="preserve"/>
        </x:is>
      </x:c>
      <x:c r="S27" s="5" t="inlineStr">
        <x:is>
          <x:t xml:space="preserve"/>
        </x:is>
      </x:c>
      <x:c r="T27" s="5" t="inlineStr">
        <x:is>
          <x:t xml:space="preserve">육상</x:t>
        </x:is>
      </x:c>
      <x:c r="U27" s="5" t="inlineStr">
        <x:is>
          <x:t xml:space="preserve">동굴</x:t>
        </x:is>
      </x:c>
      <x:c r="V27" s="5" t="inlineStr">
        <x:is>
          <x:t xml:space="preserve">온대</x:t>
        </x:is>
      </x:c>
      <x:c r="W27" s="5" t="inlineStr">
        <x:is>
          <x:t xml:space="preserve">보통</x:t>
        </x:is>
      </x:c>
      <x:c r="X27" s="5" t="inlineStr">
        <x:is>
          <x:t xml:space="preserve">무관</x:t>
        </x:is>
      </x:c>
      <x:c r="Y27" s="5" t="inlineStr">
        <x:is>
          <x:t xml:space="preserve">무관</x:t>
        </x:is>
      </x:c>
      <x:c r="Z27" s="5" t="inlineStr">
        <x:is>
          <x:t xml:space="preserve">흔함</x:t>
        </x:is>
      </x:c>
      <x:c r="AA27" s="5" t="inlineStr">
        <x:is>
          <x:t xml:space="preserve">동굴</x:t>
        </x:is>
      </x:c>
      <x:c r="AB27" s="5" t="inlineStr">
        <x:is>
          <x:t xml:space="preserve">동굴</x:t>
        </x:is>
      </x:c>
      <x:c r="AC27" s="5" t="inlineStr">
        <x:is>
          <x:t xml:space="preserve">gen1</x:t>
        </x:is>
      </x:c>
      <x:c r="AD27" s="5" t="inlineStr">
        <x:is>
          <x:t xml:space="preserve">.tmp/cobblemon-1.7.3-source/common/src/main/resources/data/cobblemon/species/generation1/ekans.json</x:t>
        </x:is>
      </x:c>
    </x:row>
    <x:row r="28" ht="22" customHeight="1">
      <x:c r="A28" s="5" t="n">
        <x:v>24</x:v>
      </x:c>
      <x:c r="B28" s="5" t="inlineStr">
        <x:is>
          <x:t xml:space="preserve">아보크</x:t>
        </x:is>
      </x:c>
      <x:c r="C28" s="5" t="inlineStr">
        <x:is>
          <x:t xml:space="preserve">arbok</x:t>
        </x:is>
      </x:c>
      <x:c r="D28" s="5" t="inlineStr">
        <x:is>
          <x:t xml:space="preserve">Arbok</x:t>
        </x:is>
      </x:c>
      <x:c r="E28" s="5" t="n">
        <x:v>1</x:v>
      </x:c>
      <x:c r="F28" s="5" t="inlineStr">
        <x:is>
          <x:t xml:space="preserve">독</x:t>
        </x:is>
      </x:c>
      <x:c r="G28" s="5" t="inlineStr">
        <x:is>
          <x:t xml:space="preserve"/>
        </x:is>
      </x:c>
      <x:c r="H28" s="5" t="n">
        <x:v>3.5</x:v>
      </x:c>
      <x:c r="I28" s="5" t="n">
        <x:v>65</x:v>
      </x:c>
      <x:c r="J28" s="5" t="n">
        <x:v>448</x:v>
      </x:c>
      <x:c r="K28" s="5" t="n">
        <x:v>90</x:v>
      </x:c>
      <x:c r="L28" s="5" t="inlineStr">
        <x:is>
          <x:t xml:space="preserve">최종</x:t>
        </x:is>
      </x:c>
      <x:c r="M28" s="5" t="n">
        <x:v>22</x:v>
      </x:c>
      <x:c r="N28" s="5" t="inlineStr">
        <x:is>
          <x:t xml:space="preserve">레벨</x:t>
        </x:is>
      </x:c>
      <x:c r="O28" s="5" t="inlineStr">
        <x:is>
          <x:t xml:space="preserve">예</x:t>
        </x:is>
      </x:c>
      <x:c r="P28" s="5" t="inlineStr">
        <x:is>
          <x:t xml:space="preserve">#cobblemon:is_arid; minecraft:deep_dark</x:t>
        </x:is>
      </x:c>
      <x:c r="Q28" s="5" t="inlineStr">
        <x:is>
          <x:t xml:space="preserve">common</x:t>
        </x:is>
      </x:c>
      <x:c r="R28" s="5" t="inlineStr">
        <x:is>
          <x:t xml:space="preserve"/>
        </x:is>
      </x:c>
      <x:c r="S28" s="5" t="inlineStr">
        <x:is>
          <x:t xml:space="preserve"/>
        </x:is>
      </x:c>
      <x:c r="T28" s="5" t="inlineStr">
        <x:is>
          <x:t xml:space="preserve">육상</x:t>
        </x:is>
      </x:c>
      <x:c r="U28" s="5" t="inlineStr">
        <x:is>
          <x:t xml:space="preserve">동굴</x:t>
        </x:is>
      </x:c>
      <x:c r="V28" s="5" t="inlineStr">
        <x:is>
          <x:t xml:space="preserve">온대</x:t>
        </x:is>
      </x:c>
      <x:c r="W28" s="5" t="inlineStr">
        <x:is>
          <x:t xml:space="preserve">보통</x:t>
        </x:is>
      </x:c>
      <x:c r="X28" s="5" t="inlineStr">
        <x:is>
          <x:t xml:space="preserve">무관</x:t>
        </x:is>
      </x:c>
      <x:c r="Y28" s="5" t="inlineStr">
        <x:is>
          <x:t xml:space="preserve">무관</x:t>
        </x:is>
      </x:c>
      <x:c r="Z28" s="5" t="inlineStr">
        <x:is>
          <x:t xml:space="preserve">흔함</x:t>
        </x:is>
      </x:c>
      <x:c r="AA28" s="5" t="inlineStr">
        <x:is>
          <x:t xml:space="preserve">동굴</x:t>
        </x:is>
      </x:c>
      <x:c r="AB28" s="5" t="inlineStr">
        <x:is>
          <x:t xml:space="preserve">동굴</x:t>
        </x:is>
      </x:c>
      <x:c r="AC28" s="5" t="inlineStr">
        <x:is>
          <x:t xml:space="preserve">gen1</x:t>
        </x:is>
      </x:c>
      <x:c r="AD28" s="5" t="inlineStr">
        <x:is>
          <x:t xml:space="preserve">.tmp/cobblemon-1.7.3-source/common/src/main/resources/data/cobblemon/species/generation1/arbok.json</x:t>
        </x:is>
      </x:c>
    </x:row>
    <x:row r="29" ht="22" customHeight="1">
      <x:c r="A29" s="5" t="n">
        <x:v>25</x:v>
      </x:c>
      <x:c r="B29" s="5" t="inlineStr">
        <x:is>
          <x:t xml:space="preserve">피카츄</x:t>
        </x:is>
      </x:c>
      <x:c r="C29" s="5" t="inlineStr">
        <x:is>
          <x:t xml:space="preserve">pikachu</x:t>
        </x:is>
      </x:c>
      <x:c r="D29" s="5" t="inlineStr">
        <x:is>
          <x:t xml:space="preserve">Pikachu</x:t>
        </x:is>
      </x:c>
      <x:c r="E29" s="5" t="n">
        <x:v>1</x:v>
      </x:c>
      <x:c r="F29" s="5" t="inlineStr">
        <x:is>
          <x:t xml:space="preserve">전기</x:t>
        </x:is>
      </x:c>
      <x:c r="G29" s="5" t="inlineStr">
        <x:is>
          <x:t xml:space="preserve"/>
        </x:is>
      </x:c>
      <x:c r="H29" s="5" t="n">
        <x:v>0.4</x:v>
      </x:c>
      <x:c r="I29" s="5" t="n">
        <x:v>6</x:v>
      </x:c>
      <x:c r="J29" s="5" t="n">
        <x:v>320</x:v>
      </x:c>
      <x:c r="K29" s="5" t="n">
        <x:v>190</x:v>
      </x:c>
      <x:c r="L29" s="5" t="inlineStr">
        <x:is>
          <x:t xml:space="preserve">중간</x:t>
        </x:is>
      </x:c>
      <x:c r="M29" s="5" t="n"/>
      <x:c r="N29" s="5" t="inlineStr">
        <x:is>
          <x:t xml:space="preserve">특수</x:t>
        </x:is>
      </x:c>
      <x:c r="O29" s="5" t="inlineStr">
        <x:is>
          <x:t xml:space="preserve">예</x:t>
        </x:is>
      </x:c>
      <x:c r="P29" s="5" t="inlineStr">
        <x:is>
          <x:t xml:space="preserve">#cobblemon:is_beach; #cobblemon:is_forest; #cobblemon:is_tropical_island; #minecraft:is_badlands; #minecraft:is_jungle; #minecraft:is_savanna; cobbleverse:not_spawn; minecraft:cherry_grove; minecraft:sunflower_plains</x:t>
        </x:is>
      </x:c>
      <x:c r="Q29" s="5" t="inlineStr">
        <x:is>
          <x:t xml:space="preserve">rare; uncommon</x:t>
        </x:is>
      </x:c>
      <x:c r="R29" s="5" t="inlineStr">
        <x:is>
          <x:t xml:space="preserve"/>
        </x:is>
      </x:c>
      <x:c r="S29" s="5" t="inlineStr">
        <x:is>
          <x:t xml:space="preserve"/>
        </x:is>
      </x:c>
      <x:c r="T29" s="5" t="inlineStr">
        <x:is>
          <x:t xml:space="preserve">육상</x:t>
        </x:is>
      </x:c>
      <x:c r="U29" s="5" t="inlineStr">
        <x:is>
          <x:t xml:space="preserve">수목</x:t>
        </x:is>
      </x:c>
      <x:c r="V29" s="5" t="inlineStr">
        <x:is>
          <x:t xml:space="preserve">온대</x:t>
        </x:is>
      </x:c>
      <x:c r="W29" s="5" t="inlineStr">
        <x:is>
          <x:t xml:space="preserve">다습</x:t>
        </x:is>
      </x:c>
      <x:c r="X29" s="5" t="inlineStr">
        <x:is>
          <x:t xml:space="preserve">무관</x:t>
        </x:is>
      </x:c>
      <x:c r="Y29" s="5" t="inlineStr">
        <x:is>
          <x:t xml:space="preserve">무관</x:t>
        </x:is>
      </x:c>
      <x:c r="Z29" s="5" t="inlineStr">
        <x:is>
          <x:t xml:space="preserve">보통</x:t>
        </x:is>
      </x:c>
      <x:c r="AA29" s="5" t="inlineStr">
        <x:is>
          <x:t xml:space="preserve">없음</x:t>
        </x:is>
      </x:c>
      <x:c r="AB29" s="5" t="inlineStr">
        <x:is>
          <x:t xml:space="preserve">숲</x:t>
        </x:is>
      </x:c>
      <x:c r="AC29" s="5" t="inlineStr">
        <x:is>
          <x:t xml:space="preserve">gen1; kantonian_form</x:t>
        </x:is>
      </x:c>
      <x:c r="AD29" s="5" t="inlineStr">
        <x:is>
          <x:t xml:space="preserve">.tmp/cobblemon-1.7.3-source/common/src/main/resources/data/cobblemon/species/generation1/pikachu.json</x:t>
        </x:is>
      </x:c>
    </x:row>
    <x:row r="30" ht="22" customHeight="1">
      <x:c r="A30" s="5" t="n">
        <x:v>26</x:v>
      </x:c>
      <x:c r="B30" s="5" t="inlineStr">
        <x:is>
          <x:t xml:space="preserve">라이츄</x:t>
        </x:is>
      </x:c>
      <x:c r="C30" s="5" t="inlineStr">
        <x:is>
          <x:t xml:space="preserve">raichu</x:t>
        </x:is>
      </x:c>
      <x:c r="D30" s="5" t="inlineStr">
        <x:is>
          <x:t xml:space="preserve">Raichu</x:t>
        </x:is>
      </x:c>
      <x:c r="E30" s="5" t="n">
        <x:v>1</x:v>
      </x:c>
      <x:c r="F30" s="5" t="inlineStr">
        <x:is>
          <x:t xml:space="preserve">전기</x:t>
        </x:is>
      </x:c>
      <x:c r="G30" s="5" t="inlineStr">
        <x:is>
          <x:t xml:space="preserve"/>
        </x:is>
      </x:c>
      <x:c r="H30" s="5" t="n">
        <x:v>0.8</x:v>
      </x:c>
      <x:c r="I30" s="5" t="n">
        <x:v>30</x:v>
      </x:c>
      <x:c r="J30" s="5" t="n">
        <x:v>485</x:v>
      </x:c>
      <x:c r="K30" s="5" t="n">
        <x:v>75</x:v>
      </x:c>
      <x:c r="L30" s="5" t="inlineStr">
        <x:is>
          <x:t xml:space="preserve">최종</x:t>
        </x:is>
      </x:c>
      <x:c r="M30" s="5" t="n"/>
      <x:c r="N30" s="5" t="inlineStr">
        <x:is>
          <x:t xml:space="preserve">특수</x:t>
        </x:is>
      </x:c>
      <x:c r="O30" s="5" t="inlineStr">
        <x:is>
          <x:t xml:space="preserve">예</x:t>
        </x:is>
      </x:c>
      <x:c r="P30" s="5" t="inlineStr">
        <x:is>
          <x:t xml:space="preserve">#cobblemon:is_beach; #cobblemon:is_forest; #cobblemon:is_tropical_island; aether:skyroot_forest; aether:skyroot_woodland</x:t>
        </x:is>
      </x:c>
      <x:c r="Q30" s="5" t="inlineStr">
        <x:is>
          <x:t xml:space="preserve">uncommon</x:t>
        </x:is>
      </x:c>
      <x:c r="R30" s="5" t="inlineStr">
        <x:is>
          <x:t xml:space="preserve"/>
        </x:is>
      </x:c>
      <x:c r="S30" s="5" t="inlineStr">
        <x:is>
          <x:t xml:space="preserve"/>
        </x:is>
      </x:c>
      <x:c r="T30" s="5" t="inlineStr">
        <x:is>
          <x:t xml:space="preserve">육상</x:t>
        </x:is>
      </x:c>
      <x:c r="U30" s="5" t="inlineStr">
        <x:is>
          <x:t xml:space="preserve">수목</x:t>
        </x:is>
      </x:c>
      <x:c r="V30" s="5" t="inlineStr">
        <x:is>
          <x:t xml:space="preserve">온대</x:t>
        </x:is>
      </x:c>
      <x:c r="W30" s="5" t="inlineStr">
        <x:is>
          <x:t xml:space="preserve">보통</x:t>
        </x:is>
      </x:c>
      <x:c r="X30" s="5" t="inlineStr">
        <x:is>
          <x:t xml:space="preserve">무관</x:t>
        </x:is>
      </x:c>
      <x:c r="Y30" s="5" t="inlineStr">
        <x:is>
          <x:t xml:space="preserve">무관</x:t>
        </x:is>
      </x:c>
      <x:c r="Z30" s="5" t="inlineStr">
        <x:is>
          <x:t xml:space="preserve">보통</x:t>
        </x:is>
      </x:c>
      <x:c r="AA30" s="5" t="inlineStr">
        <x:is>
          <x:t xml:space="preserve">없음</x:t>
        </x:is>
      </x:c>
      <x:c r="AB30" s="5" t="inlineStr">
        <x:is>
          <x:t xml:space="preserve">숲</x:t>
        </x:is>
      </x:c>
      <x:c r="AC30" s="5" t="inlineStr">
        <x:is>
          <x:t xml:space="preserve">gen1; kantonian_form</x:t>
        </x:is>
      </x:c>
      <x:c r="AD30" s="5" t="inlineStr">
        <x:is>
          <x:t xml:space="preserve">.tmp/cobblemon-1.7.3-source/common/src/main/resources/data/cobblemon/species/generation1/raichu.json</x:t>
        </x:is>
      </x:c>
    </x:row>
    <x:row r="31" ht="22" customHeight="1">
      <x:c r="A31" s="5" t="n">
        <x:v>27</x:v>
      </x:c>
      <x:c r="B31" s="5" t="inlineStr">
        <x:is>
          <x:t xml:space="preserve">모래두지</x:t>
        </x:is>
      </x:c>
      <x:c r="C31" s="5" t="inlineStr">
        <x:is>
          <x:t xml:space="preserve">sandshrew</x:t>
        </x:is>
      </x:c>
      <x:c r="D31" s="5" t="inlineStr">
        <x:is>
          <x:t xml:space="preserve">Sandshrew</x:t>
        </x:is>
      </x:c>
      <x:c r="E31" s="5" t="n">
        <x:v>1</x:v>
      </x:c>
      <x:c r="F31" s="5" t="inlineStr">
        <x:is>
          <x:t xml:space="preserve">땅</x:t>
        </x:is>
      </x:c>
      <x:c r="G31" s="5" t="inlineStr">
        <x:is>
          <x:t xml:space="preserve"/>
        </x:is>
      </x:c>
      <x:c r="H31" s="5" t="n">
        <x:v>0.6</x:v>
      </x:c>
      <x:c r="I31" s="5" t="n">
        <x:v>12</x:v>
      </x:c>
      <x:c r="J31" s="5" t="n">
        <x:v>300</x:v>
      </x:c>
      <x:c r="K31" s="5" t="n">
        <x:v>255</x:v>
      </x:c>
      <x:c r="L31" s="5" t="inlineStr">
        <x:is>
          <x:t xml:space="preserve">기본</x:t>
        </x:is>
      </x:c>
      <x:c r="M31" s="5" t="n">
        <x:v>22</x:v>
      </x:c>
      <x:c r="N31" s="5" t="inlineStr">
        <x:is>
          <x:t xml:space="preserve">레벨</x:t>
        </x:is>
      </x:c>
      <x:c r="O31" s="5" t="inlineStr">
        <x:is>
          <x:t xml:space="preserve">예</x:t>
        </x:is>
      </x:c>
      <x:c r="P31" s="5" t="inlineStr">
        <x:is>
          <x:t xml:space="preserve">#cobblemon:is_desert; #cobblemon:is_glacial</x:t>
        </x:is>
      </x:c>
      <x:c r="Q31" s="5" t="inlineStr">
        <x:is>
          <x:t xml:space="preserve">common; uncommon</x:t>
        </x:is>
      </x:c>
      <x:c r="R31" s="5" t="inlineStr">
        <x:is>
          <x:t xml:space="preserve"/>
        </x:is>
      </x:c>
      <x:c r="S31" s="5" t="inlineStr">
        <x:is>
          <x:t xml:space="preserve"/>
        </x:is>
      </x:c>
      <x:c r="T31" s="5" t="inlineStr">
        <x:is>
          <x:t xml:space="preserve">육상</x:t>
        </x:is>
      </x:c>
      <x:c r="U31" s="5" t="inlineStr">
        <x:is>
          <x:t xml:space="preserve">건조</x:t>
        </x:is>
      </x:c>
      <x:c r="V31" s="5" t="inlineStr">
        <x:is>
          <x:t xml:space="preserve">고온</x:t>
        </x:is>
      </x:c>
      <x:c r="W31" s="5" t="inlineStr">
        <x:is>
          <x:t xml:space="preserve">건조</x:t>
        </x:is>
      </x:c>
      <x:c r="X31" s="5" t="inlineStr">
        <x:is>
          <x:t xml:space="preserve">맑음</x:t>
        </x:is>
      </x:c>
      <x:c r="Y31" s="5" t="inlineStr">
        <x:is>
          <x:t xml:space="preserve">무관</x:t>
        </x:is>
      </x:c>
      <x:c r="Z31" s="5" t="inlineStr">
        <x:is>
          <x:t xml:space="preserve">보통</x:t>
        </x:is>
      </x:c>
      <x:c r="AA31" s="5" t="inlineStr">
        <x:is>
          <x:t xml:space="preserve">없음</x:t>
        </x:is>
      </x:c>
      <x:c r="AB31" s="5" t="inlineStr">
        <x:is>
          <x:t xml:space="preserve">건조지</x:t>
        </x:is>
      </x:c>
      <x:c r="AC31" s="5" t="inlineStr">
        <x:is>
          <x:t xml:space="preserve">gen1; kantonian_form</x:t>
        </x:is>
      </x:c>
      <x:c r="AD31" s="5" t="inlineStr">
        <x:is>
          <x:t xml:space="preserve">.tmp/cobblemon-1.7.3-source/common/src/main/resources/data/cobblemon/species/generation1/sandshrew.json</x:t>
        </x:is>
      </x:c>
    </x:row>
    <x:row r="32" ht="22" customHeight="1">
      <x:c r="A32" s="5" t="n">
        <x:v>28</x:v>
      </x:c>
      <x:c r="B32" s="5" t="inlineStr">
        <x:is>
          <x:t xml:space="preserve">고지</x:t>
        </x:is>
      </x:c>
      <x:c r="C32" s="5" t="inlineStr">
        <x:is>
          <x:t xml:space="preserve">sandslash</x:t>
        </x:is>
      </x:c>
      <x:c r="D32" s="5" t="inlineStr">
        <x:is>
          <x:t xml:space="preserve">Sandslash</x:t>
        </x:is>
      </x:c>
      <x:c r="E32" s="5" t="n">
        <x:v>1</x:v>
      </x:c>
      <x:c r="F32" s="5" t="inlineStr">
        <x:is>
          <x:t xml:space="preserve">땅</x:t>
        </x:is>
      </x:c>
      <x:c r="G32" s="5" t="inlineStr">
        <x:is>
          <x:t xml:space="preserve"/>
        </x:is>
      </x:c>
      <x:c r="H32" s="5" t="n">
        <x:v>1</x:v>
      </x:c>
      <x:c r="I32" s="5" t="n">
        <x:v>29.5</x:v>
      </x:c>
      <x:c r="J32" s="5" t="n">
        <x:v>450</x:v>
      </x:c>
      <x:c r="K32" s="5" t="n">
        <x:v>90</x:v>
      </x:c>
      <x:c r="L32" s="5" t="inlineStr">
        <x:is>
          <x:t xml:space="preserve">최종</x:t>
        </x:is>
      </x:c>
      <x:c r="M32" s="5" t="n">
        <x:v>22</x:v>
      </x:c>
      <x:c r="N32" s="5" t="inlineStr">
        <x:is>
          <x:t xml:space="preserve">레벨</x:t>
        </x:is>
      </x:c>
      <x:c r="O32" s="5" t="inlineStr">
        <x:is>
          <x:t xml:space="preserve">예</x:t>
        </x:is>
      </x:c>
      <x:c r="P32" s="5" t="inlineStr">
        <x:is>
          <x:t xml:space="preserve">#cobblemon:is_desert; #cobblemon:is_glacial</x:t>
        </x:is>
      </x:c>
      <x:c r="Q32" s="5" t="inlineStr">
        <x:is>
          <x:t xml:space="preserve">common; uncommon</x:t>
        </x:is>
      </x:c>
      <x:c r="R32" s="5" t="inlineStr">
        <x:is>
          <x:t xml:space="preserve"/>
        </x:is>
      </x:c>
      <x:c r="S32" s="5" t="inlineStr">
        <x:is>
          <x:t xml:space="preserve"/>
        </x:is>
      </x:c>
      <x:c r="T32" s="5" t="inlineStr">
        <x:is>
          <x:t xml:space="preserve">육상</x:t>
        </x:is>
      </x:c>
      <x:c r="U32" s="5" t="inlineStr">
        <x:is>
          <x:t xml:space="preserve">건조</x:t>
        </x:is>
      </x:c>
      <x:c r="V32" s="5" t="inlineStr">
        <x:is>
          <x:t xml:space="preserve">고온</x:t>
        </x:is>
      </x:c>
      <x:c r="W32" s="5" t="inlineStr">
        <x:is>
          <x:t xml:space="preserve">건조</x:t>
        </x:is>
      </x:c>
      <x:c r="X32" s="5" t="inlineStr">
        <x:is>
          <x:t xml:space="preserve">맑음</x:t>
        </x:is>
      </x:c>
      <x:c r="Y32" s="5" t="inlineStr">
        <x:is>
          <x:t xml:space="preserve">무관</x:t>
        </x:is>
      </x:c>
      <x:c r="Z32" s="5" t="inlineStr">
        <x:is>
          <x:t xml:space="preserve">보통</x:t>
        </x:is>
      </x:c>
      <x:c r="AA32" s="5" t="inlineStr">
        <x:is>
          <x:t xml:space="preserve">없음</x:t>
        </x:is>
      </x:c>
      <x:c r="AB32" s="5" t="inlineStr">
        <x:is>
          <x:t xml:space="preserve">건조지</x:t>
        </x:is>
      </x:c>
      <x:c r="AC32" s="5" t="inlineStr">
        <x:is>
          <x:t xml:space="preserve">gen1; kantonian_form</x:t>
        </x:is>
      </x:c>
      <x:c r="AD32" s="5" t="inlineStr">
        <x:is>
          <x:t xml:space="preserve">.tmp/cobblemon-1.7.3-source/common/src/main/resources/data/cobblemon/species/generation1/sandslash.json</x:t>
        </x:is>
      </x:c>
    </x:row>
    <x:row r="33" ht="22" customHeight="1">
      <x:c r="A33" s="5" t="n">
        <x:v>29</x:v>
      </x:c>
      <x:c r="B33" s="5" t="inlineStr">
        <x:is>
          <x:t xml:space="preserve">니드런</x:t>
        </x:is>
      </x:c>
      <x:c r="C33" s="5" t="inlineStr">
        <x:is>
          <x:t xml:space="preserve">nidoranf</x:t>
        </x:is>
      </x:c>
      <x:c r="D33" s="5" t="inlineStr">
        <x:is>
          <x:t xml:space="preserve">Nidoran♀</x:t>
        </x:is>
      </x:c>
      <x:c r="E33" s="5" t="n">
        <x:v>1</x:v>
      </x:c>
      <x:c r="F33" s="5" t="inlineStr">
        <x:is>
          <x:t xml:space="preserve">독</x:t>
        </x:is>
      </x:c>
      <x:c r="G33" s="5" t="inlineStr">
        <x:is>
          <x:t xml:space="preserve"/>
        </x:is>
      </x:c>
      <x:c r="H33" s="5" t="n">
        <x:v>0.4</x:v>
      </x:c>
      <x:c r="I33" s="5" t="n">
        <x:v>7</x:v>
      </x:c>
      <x:c r="J33" s="5" t="n">
        <x:v>275</x:v>
      </x:c>
      <x:c r="K33" s="5" t="n">
        <x:v>235</x:v>
      </x:c>
      <x:c r="L33" s="5" t="inlineStr">
        <x:is>
          <x:t xml:space="preserve">기본</x:t>
        </x:is>
      </x:c>
      <x:c r="M33" s="5" t="n">
        <x:v>16</x:v>
      </x:c>
      <x:c r="N33" s="5" t="inlineStr">
        <x:is>
          <x:t xml:space="preserve">레벨·특수</x:t>
        </x:is>
      </x:c>
      <x:c r="O33" s="5" t="inlineStr">
        <x:is>
          <x:t xml:space="preserve">예</x:t>
        </x:is>
      </x:c>
      <x:c r="P33" s="5" t="inlineStr">
        <x:is>
          <x:t xml:space="preserve">#cobblemon:is_savanna</x:t>
        </x:is>
      </x:c>
      <x:c r="Q33" s="5" t="inlineStr">
        <x:is>
          <x:t xml:space="preserve">uncommon</x:t>
        </x:is>
      </x:c>
      <x:c r="R33" s="5" t="inlineStr">
        <x:is>
          <x:t xml:space="preserve"/>
        </x:is>
      </x:c>
      <x:c r="S33" s="5" t="inlineStr">
        <x:is>
          <x:t xml:space="preserve"/>
        </x:is>
      </x:c>
      <x:c r="T33" s="5" t="inlineStr">
        <x:is>
          <x:t xml:space="preserve">육상</x:t>
        </x:is>
      </x:c>
      <x:c r="U33" s="5" t="inlineStr">
        <x:is>
          <x:t xml:space="preserve">개활지</x:t>
        </x:is>
      </x:c>
      <x:c r="V33" s="5" t="inlineStr">
        <x:is>
          <x:t xml:space="preserve">온대</x:t>
        </x:is>
      </x:c>
      <x:c r="W33" s="5" t="inlineStr">
        <x:is>
          <x:t xml:space="preserve">보통</x:t>
        </x:is>
      </x:c>
      <x:c r="X33" s="5" t="inlineStr">
        <x:is>
          <x:t xml:space="preserve">무관</x:t>
        </x:is>
      </x:c>
      <x:c r="Y33" s="5" t="inlineStr">
        <x:is>
          <x:t xml:space="preserve">무관</x:t>
        </x:is>
      </x:c>
      <x:c r="Z33" s="5" t="inlineStr">
        <x:is>
          <x:t xml:space="preserve">보통</x:t>
        </x:is>
      </x:c>
      <x:c r="AA33" s="5" t="inlineStr">
        <x:is>
          <x:t xml:space="preserve">없음</x:t>
        </x:is>
      </x:c>
      <x:c r="AB33" s="5" t="inlineStr">
        <x:is>
          <x:t xml:space="preserve">평원</x:t>
        </x:is>
      </x:c>
      <x:c r="AC33" s="5" t="inlineStr">
        <x:is>
          <x:t xml:space="preserve">gen1</x:t>
        </x:is>
      </x:c>
      <x:c r="AD33" s="5" t="inlineStr">
        <x:is>
          <x:t xml:space="preserve">.tmp/cobblemon-1.7.3-source/common/src/main/resources/data/cobblemon/species/generation1/nidoranf.json</x:t>
        </x:is>
      </x:c>
    </x:row>
    <x:row r="34" ht="22" customHeight="1">
      <x:c r="A34" s="5" t="n">
        <x:v>30</x:v>
      </x:c>
      <x:c r="B34" s="5" t="inlineStr">
        <x:is>
          <x:t xml:space="preserve">니드리나</x:t>
        </x:is>
      </x:c>
      <x:c r="C34" s="5" t="inlineStr">
        <x:is>
          <x:t xml:space="preserve">nidorina</x:t>
        </x:is>
      </x:c>
      <x:c r="D34" s="5" t="inlineStr">
        <x:is>
          <x:t xml:space="preserve">Nidorina</x:t>
        </x:is>
      </x:c>
      <x:c r="E34" s="5" t="n">
        <x:v>1</x:v>
      </x:c>
      <x:c r="F34" s="5" t="inlineStr">
        <x:is>
          <x:t xml:space="preserve">독</x:t>
        </x:is>
      </x:c>
      <x:c r="G34" s="5" t="inlineStr">
        <x:is>
          <x:t xml:space="preserve"/>
        </x:is>
      </x:c>
      <x:c r="H34" s="5" t="n">
        <x:v>0.8</x:v>
      </x:c>
      <x:c r="I34" s="5" t="n">
        <x:v>20</x:v>
      </x:c>
      <x:c r="J34" s="5" t="n">
        <x:v>365</x:v>
      </x:c>
      <x:c r="K34" s="5" t="n">
        <x:v>120</x:v>
      </x:c>
      <x:c r="L34" s="5" t="inlineStr">
        <x:is>
          <x:t xml:space="preserve">중간</x:t>
        </x:is>
      </x:c>
      <x:c r="M34" s="5" t="n">
        <x:v>16</x:v>
      </x:c>
      <x:c r="N34" s="5" t="inlineStr">
        <x:is>
          <x:t xml:space="preserve">레벨·특수</x:t>
        </x:is>
      </x:c>
      <x:c r="O34" s="5" t="inlineStr">
        <x:is>
          <x:t xml:space="preserve">예</x:t>
        </x:is>
      </x:c>
      <x:c r="P34" s="5" t="inlineStr">
        <x:is>
          <x:t xml:space="preserve">#cobblemon:is_savanna</x:t>
        </x:is>
      </x:c>
      <x:c r="Q34" s="5" t="inlineStr">
        <x:is>
          <x:t xml:space="preserve">uncommon</x:t>
        </x:is>
      </x:c>
      <x:c r="R34" s="5" t="inlineStr">
        <x:is>
          <x:t xml:space="preserve"/>
        </x:is>
      </x:c>
      <x:c r="S34" s="5" t="inlineStr">
        <x:is>
          <x:t xml:space="preserve"/>
        </x:is>
      </x:c>
      <x:c r="T34" s="5" t="inlineStr">
        <x:is>
          <x:t xml:space="preserve">육상</x:t>
        </x:is>
      </x:c>
      <x:c r="U34" s="5" t="inlineStr">
        <x:is>
          <x:t xml:space="preserve">개활지</x:t>
        </x:is>
      </x:c>
      <x:c r="V34" s="5" t="inlineStr">
        <x:is>
          <x:t xml:space="preserve">온대</x:t>
        </x:is>
      </x:c>
      <x:c r="W34" s="5" t="inlineStr">
        <x:is>
          <x:t xml:space="preserve">보통</x:t>
        </x:is>
      </x:c>
      <x:c r="X34" s="5" t="inlineStr">
        <x:is>
          <x:t xml:space="preserve">무관</x:t>
        </x:is>
      </x:c>
      <x:c r="Y34" s="5" t="inlineStr">
        <x:is>
          <x:t xml:space="preserve">무관</x:t>
        </x:is>
      </x:c>
      <x:c r="Z34" s="5" t="inlineStr">
        <x:is>
          <x:t xml:space="preserve">보통</x:t>
        </x:is>
      </x:c>
      <x:c r="AA34" s="5" t="inlineStr">
        <x:is>
          <x:t xml:space="preserve">없음</x:t>
        </x:is>
      </x:c>
      <x:c r="AB34" s="5" t="inlineStr">
        <x:is>
          <x:t xml:space="preserve">평원</x:t>
        </x:is>
      </x:c>
      <x:c r="AC34" s="5" t="inlineStr">
        <x:is>
          <x:t xml:space="preserve">gen1</x:t>
        </x:is>
      </x:c>
      <x:c r="AD34" s="5" t="inlineStr">
        <x:is>
          <x:t xml:space="preserve">.tmp/cobblemon-1.7.3-source/common/src/main/resources/data/cobblemon/species/generation1/nidorina.json</x:t>
        </x:is>
      </x:c>
    </x:row>
    <x:row r="35" ht="22" customHeight="1">
      <x:c r="A35" s="5" t="n">
        <x:v>31</x:v>
      </x:c>
      <x:c r="B35" s="5" t="inlineStr">
        <x:is>
          <x:t xml:space="preserve">니드퀸</x:t>
        </x:is>
      </x:c>
      <x:c r="C35" s="5" t="inlineStr">
        <x:is>
          <x:t xml:space="preserve">nidoqueen</x:t>
        </x:is>
      </x:c>
      <x:c r="D35" s="5" t="inlineStr">
        <x:is>
          <x:t xml:space="preserve">Nidoqueen</x:t>
        </x:is>
      </x:c>
      <x:c r="E35" s="5" t="n">
        <x:v>1</x:v>
      </x:c>
      <x:c r="F35" s="5" t="inlineStr">
        <x:is>
          <x:t xml:space="preserve">독</x:t>
        </x:is>
      </x:c>
      <x:c r="G35" s="5" t="inlineStr">
        <x:is>
          <x:t xml:space="preserve">땅</x:t>
        </x:is>
      </x:c>
      <x:c r="H35" s="5" t="n">
        <x:v>1.3</x:v>
      </x:c>
      <x:c r="I35" s="5" t="n">
        <x:v>60</x:v>
      </x:c>
      <x:c r="J35" s="5" t="n">
        <x:v>505</x:v>
      </x:c>
      <x:c r="K35" s="5" t="n">
        <x:v>45</x:v>
      </x:c>
      <x:c r="L35" s="5" t="inlineStr">
        <x:is>
          <x:t xml:space="preserve">최종</x:t>
        </x:is>
      </x:c>
      <x:c r="M35" s="5" t="n">
        <x:v>16</x:v>
      </x:c>
      <x:c r="N35" s="5" t="inlineStr">
        <x:is>
          <x:t xml:space="preserve">레벨·특수</x:t>
        </x:is>
      </x:c>
      <x:c r="O35" s="5" t="inlineStr">
        <x:is>
          <x:t xml:space="preserve">예</x:t>
        </x:is>
      </x:c>
      <x:c r="P35" s="5" t="inlineStr">
        <x:is>
          <x:t xml:space="preserve">#cobblemon:is_savanna</x:t>
        </x:is>
      </x:c>
      <x:c r="Q35" s="5" t="inlineStr">
        <x:is>
          <x:t xml:space="preserve">uncommon</x:t>
        </x:is>
      </x:c>
      <x:c r="R35" s="5" t="inlineStr">
        <x:is>
          <x:t xml:space="preserve"/>
        </x:is>
      </x:c>
      <x:c r="S35" s="5" t="inlineStr">
        <x:is>
          <x:t xml:space="preserve"/>
        </x:is>
      </x:c>
      <x:c r="T35" s="5" t="inlineStr">
        <x:is>
          <x:t xml:space="preserve">육상</x:t>
        </x:is>
      </x:c>
      <x:c r="U35" s="5" t="inlineStr">
        <x:is>
          <x:t xml:space="preserve">개활지</x:t>
        </x:is>
      </x:c>
      <x:c r="V35" s="5" t="inlineStr">
        <x:is>
          <x:t xml:space="preserve">온대</x:t>
        </x:is>
      </x:c>
      <x:c r="W35" s="5" t="inlineStr">
        <x:is>
          <x:t xml:space="preserve">보통</x:t>
        </x:is>
      </x:c>
      <x:c r="X35" s="5" t="inlineStr">
        <x:is>
          <x:t xml:space="preserve">무관</x:t>
        </x:is>
      </x:c>
      <x:c r="Y35" s="5" t="inlineStr">
        <x:is>
          <x:t xml:space="preserve">무관</x:t>
        </x:is>
      </x:c>
      <x:c r="Z35" s="5" t="inlineStr">
        <x:is>
          <x:t xml:space="preserve">보통</x:t>
        </x:is>
      </x:c>
      <x:c r="AA35" s="5" t="inlineStr">
        <x:is>
          <x:t xml:space="preserve">없음</x:t>
        </x:is>
      </x:c>
      <x:c r="AB35" s="5" t="inlineStr">
        <x:is>
          <x:t xml:space="preserve">평원</x:t>
        </x:is>
      </x:c>
      <x:c r="AC35" s="5" t="inlineStr">
        <x:is>
          <x:t xml:space="preserve">gen1</x:t>
        </x:is>
      </x:c>
      <x:c r="AD35" s="5" t="inlineStr">
        <x:is>
          <x:t xml:space="preserve">.tmp/cobblemon-1.7.3-source/common/src/main/resources/data/cobblemon/species/generation1/nidoqueen.json</x:t>
        </x:is>
      </x:c>
    </x:row>
    <x:row r="36" ht="22" customHeight="1">
      <x:c r="A36" s="5" t="n">
        <x:v>32</x:v>
      </x:c>
      <x:c r="B36" s="5" t="inlineStr">
        <x:is>
          <x:t xml:space="preserve">니드런</x:t>
        </x:is>
      </x:c>
      <x:c r="C36" s="5" t="inlineStr">
        <x:is>
          <x:t xml:space="preserve">nidoranm</x:t>
        </x:is>
      </x:c>
      <x:c r="D36" s="5" t="inlineStr">
        <x:is>
          <x:t xml:space="preserve">Nidoran♂</x:t>
        </x:is>
      </x:c>
      <x:c r="E36" s="5" t="n">
        <x:v>1</x:v>
      </x:c>
      <x:c r="F36" s="5" t="inlineStr">
        <x:is>
          <x:t xml:space="preserve">독</x:t>
        </x:is>
      </x:c>
      <x:c r="G36" s="5" t="inlineStr">
        <x:is>
          <x:t xml:space="preserve"/>
        </x:is>
      </x:c>
      <x:c r="H36" s="5" t="n">
        <x:v>0.5</x:v>
      </x:c>
      <x:c r="I36" s="5" t="n">
        <x:v>9</x:v>
      </x:c>
      <x:c r="J36" s="5" t="n">
        <x:v>273</x:v>
      </x:c>
      <x:c r="K36" s="5" t="n">
        <x:v>235</x:v>
      </x:c>
      <x:c r="L36" s="5" t="inlineStr">
        <x:is>
          <x:t xml:space="preserve">기본</x:t>
        </x:is>
      </x:c>
      <x:c r="M36" s="5" t="n">
        <x:v>16</x:v>
      </x:c>
      <x:c r="N36" s="5" t="inlineStr">
        <x:is>
          <x:t xml:space="preserve">레벨·특수</x:t>
        </x:is>
      </x:c>
      <x:c r="O36" s="5" t="inlineStr">
        <x:is>
          <x:t xml:space="preserve">예</x:t>
        </x:is>
      </x:c>
      <x:c r="P36" s="5" t="inlineStr">
        <x:is>
          <x:t xml:space="preserve">#cobblemon:is_savanna</x:t>
        </x:is>
      </x:c>
      <x:c r="Q36" s="5" t="inlineStr">
        <x:is>
          <x:t xml:space="preserve">uncommon</x:t>
        </x:is>
      </x:c>
      <x:c r="R36" s="5" t="inlineStr">
        <x:is>
          <x:t xml:space="preserve"/>
        </x:is>
      </x:c>
      <x:c r="S36" s="5" t="inlineStr">
        <x:is>
          <x:t xml:space="preserve"/>
        </x:is>
      </x:c>
      <x:c r="T36" s="5" t="inlineStr">
        <x:is>
          <x:t xml:space="preserve">육상</x:t>
        </x:is>
      </x:c>
      <x:c r="U36" s="5" t="inlineStr">
        <x:is>
          <x:t xml:space="preserve">개활지</x:t>
        </x:is>
      </x:c>
      <x:c r="V36" s="5" t="inlineStr">
        <x:is>
          <x:t xml:space="preserve">온대</x:t>
        </x:is>
      </x:c>
      <x:c r="W36" s="5" t="inlineStr">
        <x:is>
          <x:t xml:space="preserve">보통</x:t>
        </x:is>
      </x:c>
      <x:c r="X36" s="5" t="inlineStr">
        <x:is>
          <x:t xml:space="preserve">무관</x:t>
        </x:is>
      </x:c>
      <x:c r="Y36" s="5" t="inlineStr">
        <x:is>
          <x:t xml:space="preserve">무관</x:t>
        </x:is>
      </x:c>
      <x:c r="Z36" s="5" t="inlineStr">
        <x:is>
          <x:t xml:space="preserve">보통</x:t>
        </x:is>
      </x:c>
      <x:c r="AA36" s="5" t="inlineStr">
        <x:is>
          <x:t xml:space="preserve">없음</x:t>
        </x:is>
      </x:c>
      <x:c r="AB36" s="5" t="inlineStr">
        <x:is>
          <x:t xml:space="preserve">평원</x:t>
        </x:is>
      </x:c>
      <x:c r="AC36" s="5" t="inlineStr">
        <x:is>
          <x:t xml:space="preserve">gen1</x:t>
        </x:is>
      </x:c>
      <x:c r="AD36" s="5" t="inlineStr">
        <x:is>
          <x:t xml:space="preserve">.tmp/cobblemon-1.7.3-source/common/src/main/resources/data/cobblemon/species/generation1/nidoranm.json</x:t>
        </x:is>
      </x:c>
    </x:row>
    <x:row r="37" ht="22" customHeight="1">
      <x:c r="A37" s="5" t="n">
        <x:v>33</x:v>
      </x:c>
      <x:c r="B37" s="5" t="inlineStr">
        <x:is>
          <x:t xml:space="preserve">니드리노</x:t>
        </x:is>
      </x:c>
      <x:c r="C37" s="5" t="inlineStr">
        <x:is>
          <x:t xml:space="preserve">nidorino</x:t>
        </x:is>
      </x:c>
      <x:c r="D37" s="5" t="inlineStr">
        <x:is>
          <x:t xml:space="preserve">Nidorino</x:t>
        </x:is>
      </x:c>
      <x:c r="E37" s="5" t="n">
        <x:v>1</x:v>
      </x:c>
      <x:c r="F37" s="5" t="inlineStr">
        <x:is>
          <x:t xml:space="preserve">독</x:t>
        </x:is>
      </x:c>
      <x:c r="G37" s="5" t="inlineStr">
        <x:is>
          <x:t xml:space="preserve"/>
        </x:is>
      </x:c>
      <x:c r="H37" s="5" t="n">
        <x:v>0.9</x:v>
      </x:c>
      <x:c r="I37" s="5" t="n">
        <x:v>19.5</x:v>
      </x:c>
      <x:c r="J37" s="5" t="n">
        <x:v>365</x:v>
      </x:c>
      <x:c r="K37" s="5" t="n">
        <x:v>120</x:v>
      </x:c>
      <x:c r="L37" s="5" t="inlineStr">
        <x:is>
          <x:t xml:space="preserve">중간</x:t>
        </x:is>
      </x:c>
      <x:c r="M37" s="5" t="n">
        <x:v>16</x:v>
      </x:c>
      <x:c r="N37" s="5" t="inlineStr">
        <x:is>
          <x:t xml:space="preserve">레벨·특수</x:t>
        </x:is>
      </x:c>
      <x:c r="O37" s="5" t="inlineStr">
        <x:is>
          <x:t xml:space="preserve">예</x:t>
        </x:is>
      </x:c>
      <x:c r="P37" s="5" t="inlineStr">
        <x:is>
          <x:t xml:space="preserve">#cobblemon:is_savanna</x:t>
        </x:is>
      </x:c>
      <x:c r="Q37" s="5" t="inlineStr">
        <x:is>
          <x:t xml:space="preserve">uncommon</x:t>
        </x:is>
      </x:c>
      <x:c r="R37" s="5" t="inlineStr">
        <x:is>
          <x:t xml:space="preserve"/>
        </x:is>
      </x:c>
      <x:c r="S37" s="5" t="inlineStr">
        <x:is>
          <x:t xml:space="preserve"/>
        </x:is>
      </x:c>
      <x:c r="T37" s="5" t="inlineStr">
        <x:is>
          <x:t xml:space="preserve">육상</x:t>
        </x:is>
      </x:c>
      <x:c r="U37" s="5" t="inlineStr">
        <x:is>
          <x:t xml:space="preserve">개활지</x:t>
        </x:is>
      </x:c>
      <x:c r="V37" s="5" t="inlineStr">
        <x:is>
          <x:t xml:space="preserve">온대</x:t>
        </x:is>
      </x:c>
      <x:c r="W37" s="5" t="inlineStr">
        <x:is>
          <x:t xml:space="preserve">보통</x:t>
        </x:is>
      </x:c>
      <x:c r="X37" s="5" t="inlineStr">
        <x:is>
          <x:t xml:space="preserve">무관</x:t>
        </x:is>
      </x:c>
      <x:c r="Y37" s="5" t="inlineStr">
        <x:is>
          <x:t xml:space="preserve">무관</x:t>
        </x:is>
      </x:c>
      <x:c r="Z37" s="5" t="inlineStr">
        <x:is>
          <x:t xml:space="preserve">보통</x:t>
        </x:is>
      </x:c>
      <x:c r="AA37" s="5" t="inlineStr">
        <x:is>
          <x:t xml:space="preserve">없음</x:t>
        </x:is>
      </x:c>
      <x:c r="AB37" s="5" t="inlineStr">
        <x:is>
          <x:t xml:space="preserve">평원</x:t>
        </x:is>
      </x:c>
      <x:c r="AC37" s="5" t="inlineStr">
        <x:is>
          <x:t xml:space="preserve">gen1</x:t>
        </x:is>
      </x:c>
      <x:c r="AD37" s="5" t="inlineStr">
        <x:is>
          <x:t xml:space="preserve">.tmp/cobblemon-1.7.3-source/common/src/main/resources/data/cobblemon/species/generation1/nidorino.json</x:t>
        </x:is>
      </x:c>
    </x:row>
    <x:row r="38" ht="22" customHeight="1">
      <x:c r="A38" s="5" t="n">
        <x:v>34</x:v>
      </x:c>
      <x:c r="B38" s="5" t="inlineStr">
        <x:is>
          <x:t xml:space="preserve">니드킹</x:t>
        </x:is>
      </x:c>
      <x:c r="C38" s="5" t="inlineStr">
        <x:is>
          <x:t xml:space="preserve">nidoking</x:t>
        </x:is>
      </x:c>
      <x:c r="D38" s="5" t="inlineStr">
        <x:is>
          <x:t xml:space="preserve">Nidoking</x:t>
        </x:is>
      </x:c>
      <x:c r="E38" s="5" t="n">
        <x:v>1</x:v>
      </x:c>
      <x:c r="F38" s="5" t="inlineStr">
        <x:is>
          <x:t xml:space="preserve">독</x:t>
        </x:is>
      </x:c>
      <x:c r="G38" s="5" t="inlineStr">
        <x:is>
          <x:t xml:space="preserve">땅</x:t>
        </x:is>
      </x:c>
      <x:c r="H38" s="5" t="n">
        <x:v>1.4</x:v>
      </x:c>
      <x:c r="I38" s="5" t="n">
        <x:v>62</x:v>
      </x:c>
      <x:c r="J38" s="5" t="n">
        <x:v>505</x:v>
      </x:c>
      <x:c r="K38" s="5" t="n">
        <x:v>45</x:v>
      </x:c>
      <x:c r="L38" s="5" t="inlineStr">
        <x:is>
          <x:t xml:space="preserve">최종</x:t>
        </x:is>
      </x:c>
      <x:c r="M38" s="5" t="n">
        <x:v>16</x:v>
      </x:c>
      <x:c r="N38" s="5" t="inlineStr">
        <x:is>
          <x:t xml:space="preserve">레벨·특수</x:t>
        </x:is>
      </x:c>
      <x:c r="O38" s="5" t="inlineStr">
        <x:is>
          <x:t xml:space="preserve">예</x:t>
        </x:is>
      </x:c>
      <x:c r="P38" s="5" t="inlineStr">
        <x:is>
          <x:t xml:space="preserve">#cobblemon:is_savanna</x:t>
        </x:is>
      </x:c>
      <x:c r="Q38" s="5" t="inlineStr">
        <x:is>
          <x:t xml:space="preserve">uncommon</x:t>
        </x:is>
      </x:c>
      <x:c r="R38" s="5" t="inlineStr">
        <x:is>
          <x:t xml:space="preserve"/>
        </x:is>
      </x:c>
      <x:c r="S38" s="5" t="inlineStr">
        <x:is>
          <x:t xml:space="preserve"/>
        </x:is>
      </x:c>
      <x:c r="T38" s="5" t="inlineStr">
        <x:is>
          <x:t xml:space="preserve">육상</x:t>
        </x:is>
      </x:c>
      <x:c r="U38" s="5" t="inlineStr">
        <x:is>
          <x:t xml:space="preserve">개활지</x:t>
        </x:is>
      </x:c>
      <x:c r="V38" s="5" t="inlineStr">
        <x:is>
          <x:t xml:space="preserve">온대</x:t>
        </x:is>
      </x:c>
      <x:c r="W38" s="5" t="inlineStr">
        <x:is>
          <x:t xml:space="preserve">보통</x:t>
        </x:is>
      </x:c>
      <x:c r="X38" s="5" t="inlineStr">
        <x:is>
          <x:t xml:space="preserve">무관</x:t>
        </x:is>
      </x:c>
      <x:c r="Y38" s="5" t="inlineStr">
        <x:is>
          <x:t xml:space="preserve">무관</x:t>
        </x:is>
      </x:c>
      <x:c r="Z38" s="5" t="inlineStr">
        <x:is>
          <x:t xml:space="preserve">보통</x:t>
        </x:is>
      </x:c>
      <x:c r="AA38" s="5" t="inlineStr">
        <x:is>
          <x:t xml:space="preserve">없음</x:t>
        </x:is>
      </x:c>
      <x:c r="AB38" s="5" t="inlineStr">
        <x:is>
          <x:t xml:space="preserve">평원</x:t>
        </x:is>
      </x:c>
      <x:c r="AC38" s="5" t="inlineStr">
        <x:is>
          <x:t xml:space="preserve">gen1</x:t>
        </x:is>
      </x:c>
      <x:c r="AD38" s="5" t="inlineStr">
        <x:is>
          <x:t xml:space="preserve">.tmp/cobblemon-1.7.3-source/common/src/main/resources/data/cobblemon/species/generation1/nidoking.json</x:t>
        </x:is>
      </x:c>
    </x:row>
    <x:row r="39" ht="22" customHeight="1">
      <x:c r="A39" s="5" t="n">
        <x:v>35</x:v>
      </x:c>
      <x:c r="B39" s="5" t="inlineStr">
        <x:is>
          <x:t xml:space="preserve">삐삐</x:t>
        </x:is>
      </x:c>
      <x:c r="C39" s="5" t="inlineStr">
        <x:is>
          <x:t xml:space="preserve">clefairy</x:t>
        </x:is>
      </x:c>
      <x:c r="D39" s="5" t="inlineStr">
        <x:is>
          <x:t xml:space="preserve">Clefairy</x:t>
        </x:is>
      </x:c>
      <x:c r="E39" s="5" t="n">
        <x:v>1</x:v>
      </x:c>
      <x:c r="F39" s="5" t="inlineStr">
        <x:is>
          <x:t xml:space="preserve">페어리</x:t>
        </x:is>
      </x:c>
      <x:c r="G39" s="5" t="inlineStr">
        <x:is>
          <x:t xml:space="preserve"/>
        </x:is>
      </x:c>
      <x:c r="H39" s="5" t="n">
        <x:v>0.6</x:v>
      </x:c>
      <x:c r="I39" s="5" t="n">
        <x:v>7.5</x:v>
      </x:c>
      <x:c r="J39" s="5" t="n">
        <x:v>323</x:v>
      </x:c>
      <x:c r="K39" s="5" t="n">
        <x:v>150</x:v>
      </x:c>
      <x:c r="L39" s="5" t="inlineStr">
        <x:is>
          <x:t xml:space="preserve">중간</x:t>
        </x:is>
      </x:c>
      <x:c r="M39" s="5" t="n"/>
      <x:c r="N39" s="5" t="inlineStr">
        <x:is>
          <x:t xml:space="preserve">특수</x:t>
        </x:is>
      </x:c>
      <x:c r="O39" s="5" t="inlineStr">
        <x:is>
          <x:t xml:space="preserve">예</x:t>
        </x:is>
      </x:c>
      <x:c r="P39" s="5" t="inlineStr">
        <x:is>
          <x:t xml:space="preserve">#aether:is_aether; #cobblemon:is_dripstone; #cobblemon:is_hills; #cobblemon:is_magical</x:t>
        </x:is>
      </x:c>
      <x:c r="Q39" s="5" t="inlineStr">
        <x:is>
          <x:t xml:space="preserve">uncommon</x:t>
        </x:is>
      </x:c>
      <x:c r="R39" s="5" t="inlineStr">
        <x:is>
          <x:t xml:space="preserve">night</x:t>
        </x:is>
      </x:c>
      <x:c r="S39" s="5" t="inlineStr">
        <x:is>
          <x:t xml:space="preserve"/>
        </x:is>
      </x:c>
      <x:c r="T39" s="5" t="inlineStr">
        <x:is>
          <x:t xml:space="preserve">비행</x:t>
        </x:is>
      </x:c>
      <x:c r="U39" s="5" t="inlineStr">
        <x:is>
          <x:t xml:space="preserve">동굴</x:t>
        </x:is>
      </x:c>
      <x:c r="V39" s="5" t="inlineStr">
        <x:is>
          <x:t xml:space="preserve">온대</x:t>
        </x:is>
      </x:c>
      <x:c r="W39" s="5" t="inlineStr">
        <x:is>
          <x:t xml:space="preserve">보통</x:t>
        </x:is>
      </x:c>
      <x:c r="X39" s="5" t="inlineStr">
        <x:is>
          <x:t xml:space="preserve">무관</x:t>
        </x:is>
      </x:c>
      <x:c r="Y39" s="5" t="inlineStr">
        <x:is>
          <x:t xml:space="preserve">밤</x:t>
        </x:is>
      </x:c>
      <x:c r="Z39" s="5" t="inlineStr">
        <x:is>
          <x:t xml:space="preserve">보통</x:t>
        </x:is>
      </x:c>
      <x:c r="AA39" s="5" t="inlineStr">
        <x:is>
          <x:t xml:space="preserve">동굴</x:t>
        </x:is>
      </x:c>
      <x:c r="AB39" s="5" t="inlineStr">
        <x:is>
          <x:t xml:space="preserve">동굴</x:t>
        </x:is>
      </x:c>
      <x:c r="AC39" s="5" t="inlineStr">
        <x:is>
          <x:t xml:space="preserve">gen1</x:t>
        </x:is>
      </x:c>
      <x:c r="AD39" s="5" t="inlineStr">
        <x:is>
          <x:t xml:space="preserve">.tmp/cobblemon-1.7.3-source/common/src/main/resources/data/cobblemon/species/generation1/clefairy.json</x:t>
        </x:is>
      </x:c>
    </x:row>
    <x:row r="40" ht="22" customHeight="1">
      <x:c r="A40" s="5" t="n">
        <x:v>36</x:v>
      </x:c>
      <x:c r="B40" s="5" t="inlineStr">
        <x:is>
          <x:t xml:space="preserve">픽시</x:t>
        </x:is>
      </x:c>
      <x:c r="C40" s="5" t="inlineStr">
        <x:is>
          <x:t xml:space="preserve">clefable</x:t>
        </x:is>
      </x:c>
      <x:c r="D40" s="5" t="inlineStr">
        <x:is>
          <x:t xml:space="preserve">Clefable</x:t>
        </x:is>
      </x:c>
      <x:c r="E40" s="5" t="n">
        <x:v>1</x:v>
      </x:c>
      <x:c r="F40" s="5" t="inlineStr">
        <x:is>
          <x:t xml:space="preserve">페어리</x:t>
        </x:is>
      </x:c>
      <x:c r="G40" s="5" t="inlineStr">
        <x:is>
          <x:t xml:space="preserve"/>
        </x:is>
      </x:c>
      <x:c r="H40" s="5" t="n">
        <x:v>1.3</x:v>
      </x:c>
      <x:c r="I40" s="5" t="n">
        <x:v>40</x:v>
      </x:c>
      <x:c r="J40" s="5" t="n">
        <x:v>483</x:v>
      </x:c>
      <x:c r="K40" s="5" t="n">
        <x:v>25</x:v>
      </x:c>
      <x:c r="L40" s="5" t="inlineStr">
        <x:is>
          <x:t xml:space="preserve">최종</x:t>
        </x:is>
      </x:c>
      <x:c r="M40" s="5" t="n"/>
      <x:c r="N40" s="5" t="inlineStr">
        <x:is>
          <x:t xml:space="preserve">특수</x:t>
        </x:is>
      </x:c>
      <x:c r="O40" s="5" t="inlineStr">
        <x:is>
          <x:t xml:space="preserve">예</x:t>
        </x:is>
      </x:c>
      <x:c r="P40" s="5" t="inlineStr">
        <x:is>
          <x:t xml:space="preserve">#aether:is_aether; #cobblemon:is_dripstone; #cobblemon:is_hills; #cobblemon:is_magical</x:t>
        </x:is>
      </x:c>
      <x:c r="Q40" s="5" t="inlineStr">
        <x:is>
          <x:t xml:space="preserve">uncommon</x:t>
        </x:is>
      </x:c>
      <x:c r="R40" s="5" t="inlineStr">
        <x:is>
          <x:t xml:space="preserve">night</x:t>
        </x:is>
      </x:c>
      <x:c r="S40" s="5" t="inlineStr">
        <x:is>
          <x:t xml:space="preserve"/>
        </x:is>
      </x:c>
      <x:c r="T40" s="5" t="inlineStr">
        <x:is>
          <x:t xml:space="preserve">비행</x:t>
        </x:is>
      </x:c>
      <x:c r="U40" s="5" t="inlineStr">
        <x:is>
          <x:t xml:space="preserve">동굴</x:t>
        </x:is>
      </x:c>
      <x:c r="V40" s="5" t="inlineStr">
        <x:is>
          <x:t xml:space="preserve">온대</x:t>
        </x:is>
      </x:c>
      <x:c r="W40" s="5" t="inlineStr">
        <x:is>
          <x:t xml:space="preserve">보통</x:t>
        </x:is>
      </x:c>
      <x:c r="X40" s="5" t="inlineStr">
        <x:is>
          <x:t xml:space="preserve">무관</x:t>
        </x:is>
      </x:c>
      <x:c r="Y40" s="5" t="inlineStr">
        <x:is>
          <x:t xml:space="preserve">밤</x:t>
        </x:is>
      </x:c>
      <x:c r="Z40" s="5" t="inlineStr">
        <x:is>
          <x:t xml:space="preserve">보통</x:t>
        </x:is>
      </x:c>
      <x:c r="AA40" s="5" t="inlineStr">
        <x:is>
          <x:t xml:space="preserve">동굴</x:t>
        </x:is>
      </x:c>
      <x:c r="AB40" s="5" t="inlineStr">
        <x:is>
          <x:t xml:space="preserve">동굴</x:t>
        </x:is>
      </x:c>
      <x:c r="AC40" s="5" t="inlineStr">
        <x:is>
          <x:t xml:space="preserve">gen1</x:t>
        </x:is>
      </x:c>
      <x:c r="AD40" s="5" t="inlineStr">
        <x:is>
          <x:t xml:space="preserve">.tmp/cobblemon-1.7.3-source/common/src/main/resources/data/cobblemon/species/generation1/clefable.json</x:t>
        </x:is>
      </x:c>
    </x:row>
    <x:row r="41" ht="22" customHeight="1">
      <x:c r="A41" s="5" t="n">
        <x:v>37</x:v>
      </x:c>
      <x:c r="B41" s="5" t="inlineStr">
        <x:is>
          <x:t xml:space="preserve">식스테일</x:t>
        </x:is>
      </x:c>
      <x:c r="C41" s="5" t="inlineStr">
        <x:is>
          <x:t xml:space="preserve">vulpix</x:t>
        </x:is>
      </x:c>
      <x:c r="D41" s="5" t="inlineStr">
        <x:is>
          <x:t xml:space="preserve">Vulpix</x:t>
        </x:is>
      </x:c>
      <x:c r="E41" s="5" t="n">
        <x:v>1</x:v>
      </x:c>
      <x:c r="F41" s="5" t="inlineStr">
        <x:is>
          <x:t xml:space="preserve">불꽃</x:t>
        </x:is>
      </x:c>
      <x:c r="G41" s="5" t="inlineStr">
        <x:is>
          <x:t xml:space="preserve"/>
        </x:is>
      </x:c>
      <x:c r="H41" s="5" t="n">
        <x:v>0.6</x:v>
      </x:c>
      <x:c r="I41" s="5" t="n">
        <x:v>9.9</x:v>
      </x:c>
      <x:c r="J41" s="5" t="n">
        <x:v>299</x:v>
      </x:c>
      <x:c r="K41" s="5" t="n">
        <x:v>190</x:v>
      </x:c>
      <x:c r="L41" s="5" t="inlineStr">
        <x:is>
          <x:t xml:space="preserve">기본</x:t>
        </x:is>
      </x:c>
      <x:c r="M41" s="5" t="n"/>
      <x:c r="N41" s="5" t="inlineStr">
        <x:is>
          <x:t xml:space="preserve">특수</x:t>
        </x:is>
      </x:c>
      <x:c r="O41" s="5" t="inlineStr">
        <x:is>
          <x:t xml:space="preserve">예</x:t>
        </x:is>
      </x:c>
      <x:c r="P41" s="5" t="inlineStr">
        <x:is>
          <x:t xml:space="preserve">#cobblemon:is_forest; #cobblemon:is_snowy_forest; #cobblemon:is_snowy_taiga; #cobblemon:is_taiga; #cobblemon:nether/is_forest; minecraft:snowy_plains</x:t>
        </x:is>
      </x:c>
      <x:c r="Q41" s="5" t="inlineStr">
        <x:is>
          <x:t xml:space="preserve">common; rare; uncommon</x:t>
        </x:is>
      </x:c>
      <x:c r="R41" s="5" t="inlineStr">
        <x:is>
          <x:t xml:space="preserve"/>
        </x:is>
      </x:c>
      <x:c r="S41" s="5" t="inlineStr">
        <x:is>
          <x:t xml:space="preserve"/>
        </x:is>
      </x:c>
      <x:c r="T41" s="5" t="inlineStr">
        <x:is>
          <x:t xml:space="preserve">육상</x:t>
        </x:is>
      </x:c>
      <x:c r="U41" s="5" t="inlineStr">
        <x:is>
          <x:t xml:space="preserve">수목</x:t>
        </x:is>
      </x:c>
      <x:c r="V41" s="5" t="inlineStr">
        <x:is>
          <x:t xml:space="preserve">서늘</x:t>
        </x:is>
      </x:c>
      <x:c r="W41" s="5" t="inlineStr">
        <x:is>
          <x:t xml:space="preserve">보통</x:t>
        </x:is>
      </x:c>
      <x:c r="X41" s="5" t="inlineStr">
        <x:is>
          <x:t xml:space="preserve">무관</x:t>
        </x:is>
      </x:c>
      <x:c r="Y41" s="5" t="inlineStr">
        <x:is>
          <x:t xml:space="preserve">무관</x:t>
        </x:is>
      </x:c>
      <x:c r="Z41" s="5" t="inlineStr">
        <x:is>
          <x:t xml:space="preserve">보통</x:t>
        </x:is>
      </x:c>
      <x:c r="AA41" s="5" t="inlineStr">
        <x:is>
          <x:t xml:space="preserve">없음</x:t>
        </x:is>
      </x:c>
      <x:c r="AB41" s="5" t="inlineStr">
        <x:is>
          <x:t xml:space="preserve">숲</x:t>
        </x:is>
      </x:c>
      <x:c r="AC41" s="5" t="inlineStr">
        <x:is>
          <x:t xml:space="preserve">gen1; kantonian_form</x:t>
        </x:is>
      </x:c>
      <x:c r="AD41" s="5" t="inlineStr">
        <x:is>
          <x:t xml:space="preserve">.tmp/cobblemon-1.7.3-source/common/src/main/resources/data/cobblemon/species/generation1/vulpix.json</x:t>
        </x:is>
      </x:c>
    </x:row>
    <x:row r="42" ht="22" customHeight="1">
      <x:c r="A42" s="5" t="n">
        <x:v>38</x:v>
      </x:c>
      <x:c r="B42" s="5" t="inlineStr">
        <x:is>
          <x:t xml:space="preserve">나인테일</x:t>
        </x:is>
      </x:c>
      <x:c r="C42" s="5" t="inlineStr">
        <x:is>
          <x:t xml:space="preserve">ninetales</x:t>
        </x:is>
      </x:c>
      <x:c r="D42" s="5" t="inlineStr">
        <x:is>
          <x:t xml:space="preserve">Ninetales</x:t>
        </x:is>
      </x:c>
      <x:c r="E42" s="5" t="n">
        <x:v>1</x:v>
      </x:c>
      <x:c r="F42" s="5" t="inlineStr">
        <x:is>
          <x:t xml:space="preserve">불꽃</x:t>
        </x:is>
      </x:c>
      <x:c r="G42" s="5" t="inlineStr">
        <x:is>
          <x:t xml:space="preserve"/>
        </x:is>
      </x:c>
      <x:c r="H42" s="5" t="n">
        <x:v>1.1</x:v>
      </x:c>
      <x:c r="I42" s="5" t="n">
        <x:v>19.9</x:v>
      </x:c>
      <x:c r="J42" s="5" t="n">
        <x:v>505</x:v>
      </x:c>
      <x:c r="K42" s="5" t="n">
        <x:v>75</x:v>
      </x:c>
      <x:c r="L42" s="5" t="inlineStr">
        <x:is>
          <x:t xml:space="preserve">최종</x:t>
        </x:is>
      </x:c>
      <x:c r="M42" s="5" t="n"/>
      <x:c r="N42" s="5" t="inlineStr">
        <x:is>
          <x:t xml:space="preserve">특수</x:t>
        </x:is>
      </x:c>
      <x:c r="O42" s="5" t="inlineStr">
        <x:is>
          <x:t xml:space="preserve">예</x:t>
        </x:is>
      </x:c>
      <x:c r="P42" s="5" t="inlineStr">
        <x:is>
          <x:t xml:space="preserve">#cobblemon:is_forest; #cobblemon:is_snowy_forest; #cobblemon:is_snowy_taiga; #cobblemon:is_taiga; #cobblemon:nether/is_forest</x:t>
        </x:is>
      </x:c>
      <x:c r="Q42" s="5" t="inlineStr">
        <x:is>
          <x:t xml:space="preserve">common; uncommon</x:t>
        </x:is>
      </x:c>
      <x:c r="R42" s="5" t="inlineStr">
        <x:is>
          <x:t xml:space="preserve"/>
        </x:is>
      </x:c>
      <x:c r="S42" s="5" t="inlineStr">
        <x:is>
          <x:t xml:space="preserve"/>
        </x:is>
      </x:c>
      <x:c r="T42" s="5" t="inlineStr">
        <x:is>
          <x:t xml:space="preserve">육상</x:t>
        </x:is>
      </x:c>
      <x:c r="U42" s="5" t="inlineStr">
        <x:is>
          <x:t xml:space="preserve">수목</x:t>
        </x:is>
      </x:c>
      <x:c r="V42" s="5" t="inlineStr">
        <x:is>
          <x:t xml:space="preserve">서늘</x:t>
        </x:is>
      </x:c>
      <x:c r="W42" s="5" t="inlineStr">
        <x:is>
          <x:t xml:space="preserve">보통</x:t>
        </x:is>
      </x:c>
      <x:c r="X42" s="5" t="inlineStr">
        <x:is>
          <x:t xml:space="preserve">무관</x:t>
        </x:is>
      </x:c>
      <x:c r="Y42" s="5" t="inlineStr">
        <x:is>
          <x:t xml:space="preserve">무관</x:t>
        </x:is>
      </x:c>
      <x:c r="Z42" s="5" t="inlineStr">
        <x:is>
          <x:t xml:space="preserve">보통</x:t>
        </x:is>
      </x:c>
      <x:c r="AA42" s="5" t="inlineStr">
        <x:is>
          <x:t xml:space="preserve">없음</x:t>
        </x:is>
      </x:c>
      <x:c r="AB42" s="5" t="inlineStr">
        <x:is>
          <x:t xml:space="preserve">숲</x:t>
        </x:is>
      </x:c>
      <x:c r="AC42" s="5" t="inlineStr">
        <x:is>
          <x:t xml:space="preserve">gen1; kantonian_form</x:t>
        </x:is>
      </x:c>
      <x:c r="AD42" s="5" t="inlineStr">
        <x:is>
          <x:t xml:space="preserve">.tmp/cobblemon-1.7.3-source/common/src/main/resources/data/cobblemon/species/generation1/ninetales.json</x:t>
        </x:is>
      </x:c>
    </x:row>
    <x:row r="43" ht="22" customHeight="1">
      <x:c r="A43" s="5" t="n">
        <x:v>39</x:v>
      </x:c>
      <x:c r="B43" s="5" t="inlineStr">
        <x:is>
          <x:t xml:space="preserve">푸린</x:t>
        </x:is>
      </x:c>
      <x:c r="C43" s="5" t="inlineStr">
        <x:is>
          <x:t xml:space="preserve">jigglypuff</x:t>
        </x:is>
      </x:c>
      <x:c r="D43" s="5" t="inlineStr">
        <x:is>
          <x:t xml:space="preserve">Jigglypuff</x:t>
        </x:is>
      </x:c>
      <x:c r="E43" s="5" t="n">
        <x:v>1</x:v>
      </x:c>
      <x:c r="F43" s="5" t="inlineStr">
        <x:is>
          <x:t xml:space="preserve">노말</x:t>
        </x:is>
      </x:c>
      <x:c r="G43" s="5" t="inlineStr">
        <x:is>
          <x:t xml:space="preserve">페어리</x:t>
        </x:is>
      </x:c>
      <x:c r="H43" s="5" t="n">
        <x:v>0.5</x:v>
      </x:c>
      <x:c r="I43" s="5" t="n">
        <x:v>5.5</x:v>
      </x:c>
      <x:c r="J43" s="5" t="n">
        <x:v>270</x:v>
      </x:c>
      <x:c r="K43" s="5" t="n">
        <x:v>170</x:v>
      </x:c>
      <x:c r="L43" s="5" t="inlineStr">
        <x:is>
          <x:t xml:space="preserve">중간</x:t>
        </x:is>
      </x:c>
      <x:c r="M43" s="5" t="n"/>
      <x:c r="N43" s="5" t="inlineStr">
        <x:is>
          <x:t xml:space="preserve">특수</x:t>
        </x:is>
      </x:c>
      <x:c r="O43" s="5" t="inlineStr">
        <x:is>
          <x:t xml:space="preserve">예</x:t>
        </x:is>
      </x:c>
      <x:c r="P43" s="5" t="inlineStr">
        <x:is>
          <x:t xml:space="preserve">#cobblemon:is_floral; #cobblemon:is_plains; aether:skyroot_grove; aether:skyroot_meadow</x:t>
        </x:is>
      </x:c>
      <x:c r="Q43" s="5" t="inlineStr">
        <x:is>
          <x:t xml:space="preserve">common</x:t>
        </x:is>
      </x:c>
      <x:c r="R43" s="5" t="inlineStr">
        <x:is>
          <x:t xml:space="preserve"/>
        </x:is>
      </x:c>
      <x:c r="S43" s="5" t="inlineStr">
        <x:is>
          <x:t xml:space="preserve"/>
        </x:is>
      </x:c>
      <x:c r="T43" s="5" t="inlineStr">
        <x:is>
          <x:t xml:space="preserve">비행</x:t>
        </x:is>
      </x:c>
      <x:c r="U43" s="5" t="inlineStr">
        <x:is>
          <x:t xml:space="preserve">개활지</x:t>
        </x:is>
      </x:c>
      <x:c r="V43" s="5" t="inlineStr">
        <x:is>
          <x:t xml:space="preserve">온대</x:t>
        </x:is>
      </x:c>
      <x:c r="W43" s="5" t="inlineStr">
        <x:is>
          <x:t xml:space="preserve">보통</x:t>
        </x:is>
      </x:c>
      <x:c r="X43" s="5" t="inlineStr">
        <x:is>
          <x:t xml:space="preserve">무관</x:t>
        </x:is>
      </x:c>
      <x:c r="Y43" s="5" t="inlineStr">
        <x:is>
          <x:t xml:space="preserve">무관</x:t>
        </x:is>
      </x:c>
      <x:c r="Z43" s="5" t="inlineStr">
        <x:is>
          <x:t xml:space="preserve">흔함</x:t>
        </x:is>
      </x:c>
      <x:c r="AA43" s="5" t="inlineStr">
        <x:is>
          <x:t xml:space="preserve">없음</x:t>
        </x:is>
      </x:c>
      <x:c r="AB43" s="5" t="inlineStr">
        <x:is>
          <x:t xml:space="preserve">평원</x:t>
        </x:is>
      </x:c>
      <x:c r="AC43" s="5" t="inlineStr">
        <x:is>
          <x:t xml:space="preserve">gen1</x:t>
        </x:is>
      </x:c>
      <x:c r="AD43" s="5" t="inlineStr">
        <x:is>
          <x:t xml:space="preserve">.tmp/cobblemon-1.7.3-source/common/src/main/resources/data/cobblemon/species/generation1/jigglypuff.json</x:t>
        </x:is>
      </x:c>
    </x:row>
    <x:row r="44" ht="22" customHeight="1">
      <x:c r="A44" s="5" t="n">
        <x:v>40</x:v>
      </x:c>
      <x:c r="B44" s="5" t="inlineStr">
        <x:is>
          <x:t xml:space="preserve">푸크린</x:t>
        </x:is>
      </x:c>
      <x:c r="C44" s="5" t="inlineStr">
        <x:is>
          <x:t xml:space="preserve">wigglytuff</x:t>
        </x:is>
      </x:c>
      <x:c r="D44" s="5" t="inlineStr">
        <x:is>
          <x:t xml:space="preserve">Wigglytuff</x:t>
        </x:is>
      </x:c>
      <x:c r="E44" s="5" t="n">
        <x:v>1</x:v>
      </x:c>
      <x:c r="F44" s="5" t="inlineStr">
        <x:is>
          <x:t xml:space="preserve">노말</x:t>
        </x:is>
      </x:c>
      <x:c r="G44" s="5" t="inlineStr">
        <x:is>
          <x:t xml:space="preserve">페어리</x:t>
        </x:is>
      </x:c>
      <x:c r="H44" s="5" t="n">
        <x:v>1</x:v>
      </x:c>
      <x:c r="I44" s="5" t="n">
        <x:v>12</x:v>
      </x:c>
      <x:c r="J44" s="5" t="n">
        <x:v>435</x:v>
      </x:c>
      <x:c r="K44" s="5" t="n">
        <x:v>50</x:v>
      </x:c>
      <x:c r="L44" s="5" t="inlineStr">
        <x:is>
          <x:t xml:space="preserve">최종</x:t>
        </x:is>
      </x:c>
      <x:c r="M44" s="5" t="n"/>
      <x:c r="N44" s="5" t="inlineStr">
        <x:is>
          <x:t xml:space="preserve">특수</x:t>
        </x:is>
      </x:c>
      <x:c r="O44" s="5" t="inlineStr">
        <x:is>
          <x:t xml:space="preserve">예</x:t>
        </x:is>
      </x:c>
      <x:c r="P44" s="5" t="inlineStr">
        <x:is>
          <x:t xml:space="preserve">#cobblemon:is_floral; #cobblemon:is_plains; aether:skyroot_grove; aether:skyroot_meadow</x:t>
        </x:is>
      </x:c>
      <x:c r="Q44" s="5" t="inlineStr">
        <x:is>
          <x:t xml:space="preserve">common</x:t>
        </x:is>
      </x:c>
      <x:c r="R44" s="5" t="inlineStr">
        <x:is>
          <x:t xml:space="preserve"/>
        </x:is>
      </x:c>
      <x:c r="S44" s="5" t="inlineStr">
        <x:is>
          <x:t xml:space="preserve"/>
        </x:is>
      </x:c>
      <x:c r="T44" s="5" t="inlineStr">
        <x:is>
          <x:t xml:space="preserve">비행</x:t>
        </x:is>
      </x:c>
      <x:c r="U44" s="5" t="inlineStr">
        <x:is>
          <x:t xml:space="preserve">개활지</x:t>
        </x:is>
      </x:c>
      <x:c r="V44" s="5" t="inlineStr">
        <x:is>
          <x:t xml:space="preserve">온대</x:t>
        </x:is>
      </x:c>
      <x:c r="W44" s="5" t="inlineStr">
        <x:is>
          <x:t xml:space="preserve">보통</x:t>
        </x:is>
      </x:c>
      <x:c r="X44" s="5" t="inlineStr">
        <x:is>
          <x:t xml:space="preserve">무관</x:t>
        </x:is>
      </x:c>
      <x:c r="Y44" s="5" t="inlineStr">
        <x:is>
          <x:t xml:space="preserve">무관</x:t>
        </x:is>
      </x:c>
      <x:c r="Z44" s="5" t="inlineStr">
        <x:is>
          <x:t xml:space="preserve">흔함</x:t>
        </x:is>
      </x:c>
      <x:c r="AA44" s="5" t="inlineStr">
        <x:is>
          <x:t xml:space="preserve">없음</x:t>
        </x:is>
      </x:c>
      <x:c r="AB44" s="5" t="inlineStr">
        <x:is>
          <x:t xml:space="preserve">평원</x:t>
        </x:is>
      </x:c>
      <x:c r="AC44" s="5" t="inlineStr">
        <x:is>
          <x:t xml:space="preserve">gen1</x:t>
        </x:is>
      </x:c>
      <x:c r="AD44" s="5" t="inlineStr">
        <x:is>
          <x:t xml:space="preserve">.tmp/cobblemon-1.7.3-source/common/src/main/resources/data/cobblemon/species/generation1/wigglytuff.json</x:t>
        </x:is>
      </x:c>
    </x:row>
    <x:row r="45" ht="22" customHeight="1">
      <x:c r="A45" s="5" t="n">
        <x:v>41</x:v>
      </x:c>
      <x:c r="B45" s="5" t="inlineStr">
        <x:is>
          <x:t xml:space="preserve">주뱃</x:t>
        </x:is>
      </x:c>
      <x:c r="C45" s="5" t="inlineStr">
        <x:is>
          <x:t xml:space="preserve">zubat</x:t>
        </x:is>
      </x:c>
      <x:c r="D45" s="5" t="inlineStr">
        <x:is>
          <x:t xml:space="preserve">Zubat</x:t>
        </x:is>
      </x:c>
      <x:c r="E45" s="5" t="n">
        <x:v>1</x:v>
      </x:c>
      <x:c r="F45" s="5" t="inlineStr">
        <x:is>
          <x:t xml:space="preserve">독</x:t>
        </x:is>
      </x:c>
      <x:c r="G45" s="5" t="inlineStr">
        <x:is>
          <x:t xml:space="preserve">비행</x:t>
        </x:is>
      </x:c>
      <x:c r="H45" s="5" t="n">
        <x:v>0.8</x:v>
      </x:c>
      <x:c r="I45" s="5" t="n">
        <x:v>7.5</x:v>
      </x:c>
      <x:c r="J45" s="5" t="n">
        <x:v>245</x:v>
      </x:c>
      <x:c r="K45" s="5" t="n">
        <x:v>255</x:v>
      </x:c>
      <x:c r="L45" s="5" t="inlineStr">
        <x:is>
          <x:t xml:space="preserve">기본</x:t>
        </x:is>
      </x:c>
      <x:c r="M45" s="5" t="n">
        <x:v>22</x:v>
      </x:c>
      <x:c r="N45" s="5" t="inlineStr">
        <x:is>
          <x:t xml:space="preserve">레벨·특수</x:t>
        </x:is>
      </x:c>
      <x:c r="O45" s="5" t="inlineStr">
        <x:is>
          <x:t xml:space="preserve">예</x:t>
        </x:is>
      </x:c>
      <x:c r="P45" s="5" t="inlineStr">
        <x:is>
          <x:t xml:space="preserve">#aether:is_aether; #cobblemon:is_deep_dark; #cobblemon:is_forest; #cobblemon:is_overworld; #cobblemon:is_spooky; #cobblemon:is_swamp</x:t>
        </x:is>
      </x:c>
      <x:c r="Q45" s="5" t="inlineStr">
        <x:is>
          <x:t xml:space="preserve">common; uncommon</x:t>
        </x:is>
      </x:c>
      <x:c r="R45" s="5" t="inlineStr">
        <x:is>
          <x:t xml:space="preserve">night</x:t>
        </x:is>
      </x:c>
      <x:c r="S45" s="5" t="inlineStr">
        <x:is>
          <x:t xml:space="preserve">비=False</x:t>
        </x:is>
      </x:c>
      <x:c r="T45" s="5" t="inlineStr">
        <x:is>
          <x:t xml:space="preserve">비행</x:t>
        </x:is>
      </x:c>
      <x:c r="U45" s="5" t="inlineStr">
        <x:is>
          <x:t xml:space="preserve">특수</x:t>
        </x:is>
      </x:c>
      <x:c r="V45" s="5" t="inlineStr">
        <x:is>
          <x:t xml:space="preserve">온대</x:t>
        </x:is>
      </x:c>
      <x:c r="W45" s="5" t="inlineStr">
        <x:is>
          <x:t xml:space="preserve">보통</x:t>
        </x:is>
      </x:c>
      <x:c r="X45" s="5" t="inlineStr">
        <x:is>
          <x:t xml:space="preserve">무관</x:t>
        </x:is>
      </x:c>
      <x:c r="Y45" s="5" t="inlineStr">
        <x:is>
          <x:t xml:space="preserve">밤</x:t>
        </x:is>
      </x:c>
      <x:c r="Z45" s="5" t="inlineStr">
        <x:is>
          <x:t xml:space="preserve">보통</x:t>
        </x:is>
      </x:c>
      <x:c r="AA45" s="5" t="inlineStr">
        <x:is>
          <x:t xml:space="preserve">영체</x:t>
        </x:is>
      </x:c>
      <x:c r="AB45" s="5" t="inlineStr">
        <x:is>
          <x:t xml:space="preserve">특수</x:t>
        </x:is>
      </x:c>
      <x:c r="AC45" s="5" t="inlineStr">
        <x:is>
          <x:t xml:space="preserve">gen1</x:t>
        </x:is>
      </x:c>
      <x:c r="AD45" s="5" t="inlineStr">
        <x:is>
          <x:t xml:space="preserve">.tmp/cobblemon-1.7.3-source/common/src/main/resources/data/cobblemon/species/generation1/zubat.json</x:t>
        </x:is>
      </x:c>
    </x:row>
    <x:row r="46" ht="22" customHeight="1">
      <x:c r="A46" s="5" t="n">
        <x:v>42</x:v>
      </x:c>
      <x:c r="B46" s="5" t="inlineStr">
        <x:is>
          <x:t xml:space="preserve">골뱃</x:t>
        </x:is>
      </x:c>
      <x:c r="C46" s="5" t="inlineStr">
        <x:is>
          <x:t xml:space="preserve">golbat</x:t>
        </x:is>
      </x:c>
      <x:c r="D46" s="5" t="inlineStr">
        <x:is>
          <x:t xml:space="preserve">Golbat</x:t>
        </x:is>
      </x:c>
      <x:c r="E46" s="5" t="n">
        <x:v>1</x:v>
      </x:c>
      <x:c r="F46" s="5" t="inlineStr">
        <x:is>
          <x:t xml:space="preserve">독</x:t>
        </x:is>
      </x:c>
      <x:c r="G46" s="5" t="inlineStr">
        <x:is>
          <x:t xml:space="preserve">비행</x:t>
        </x:is>
      </x:c>
      <x:c r="H46" s="5" t="n">
        <x:v>1.6</x:v>
      </x:c>
      <x:c r="I46" s="5" t="n">
        <x:v>55</x:v>
      </x:c>
      <x:c r="J46" s="5" t="n">
        <x:v>455</x:v>
      </x:c>
      <x:c r="K46" s="5" t="n">
        <x:v>90</x:v>
      </x:c>
      <x:c r="L46" s="5" t="inlineStr">
        <x:is>
          <x:t xml:space="preserve">중간</x:t>
        </x:is>
      </x:c>
      <x:c r="M46" s="5" t="n">
        <x:v>22</x:v>
      </x:c>
      <x:c r="N46" s="5" t="inlineStr">
        <x:is>
          <x:t xml:space="preserve">레벨·특수</x:t>
        </x:is>
      </x:c>
      <x:c r="O46" s="5" t="inlineStr">
        <x:is>
          <x:t xml:space="preserve">예</x:t>
        </x:is>
      </x:c>
      <x:c r="P46" s="5" t="inlineStr">
        <x:is>
          <x:t xml:space="preserve">#aether:is_aether; #cobblemon:is_deep_dark; #cobblemon:is_forest; #cobblemon:is_overworld; #cobblemon:is_spooky; #cobblemon:is_swamp</x:t>
        </x:is>
      </x:c>
      <x:c r="Q46" s="5" t="inlineStr">
        <x:is>
          <x:t xml:space="preserve">common; uncommon</x:t>
        </x:is>
      </x:c>
      <x:c r="R46" s="5" t="inlineStr">
        <x:is>
          <x:t xml:space="preserve">night</x:t>
        </x:is>
      </x:c>
      <x:c r="S46" s="5" t="inlineStr">
        <x:is>
          <x:t xml:space="preserve">비=False</x:t>
        </x:is>
      </x:c>
      <x:c r="T46" s="5" t="inlineStr">
        <x:is>
          <x:t xml:space="preserve">비행</x:t>
        </x:is>
      </x:c>
      <x:c r="U46" s="5" t="inlineStr">
        <x:is>
          <x:t xml:space="preserve">특수</x:t>
        </x:is>
      </x:c>
      <x:c r="V46" s="5" t="inlineStr">
        <x:is>
          <x:t xml:space="preserve">온대</x:t>
        </x:is>
      </x:c>
      <x:c r="W46" s="5" t="inlineStr">
        <x:is>
          <x:t xml:space="preserve">보통</x:t>
        </x:is>
      </x:c>
      <x:c r="X46" s="5" t="inlineStr">
        <x:is>
          <x:t xml:space="preserve">무관</x:t>
        </x:is>
      </x:c>
      <x:c r="Y46" s="5" t="inlineStr">
        <x:is>
          <x:t xml:space="preserve">밤</x:t>
        </x:is>
      </x:c>
      <x:c r="Z46" s="5" t="inlineStr">
        <x:is>
          <x:t xml:space="preserve">보통</x:t>
        </x:is>
      </x:c>
      <x:c r="AA46" s="5" t="inlineStr">
        <x:is>
          <x:t xml:space="preserve">영체</x:t>
        </x:is>
      </x:c>
      <x:c r="AB46" s="5" t="inlineStr">
        <x:is>
          <x:t xml:space="preserve">특수</x:t>
        </x:is>
      </x:c>
      <x:c r="AC46" s="5" t="inlineStr">
        <x:is>
          <x:t xml:space="preserve">gen1</x:t>
        </x:is>
      </x:c>
      <x:c r="AD46" s="5" t="inlineStr">
        <x:is>
          <x:t xml:space="preserve">.tmp/cobblemon-1.7.3-source/common/src/main/resources/data/cobblemon/species/generation1/golbat.json</x:t>
        </x:is>
      </x:c>
    </x:row>
    <x:row r="47" ht="22" customHeight="1">
      <x:c r="A47" s="5" t="n">
        <x:v>43</x:v>
      </x:c>
      <x:c r="B47" s="5" t="inlineStr">
        <x:is>
          <x:t xml:space="preserve">뚜벅쵸</x:t>
        </x:is>
      </x:c>
      <x:c r="C47" s="5" t="inlineStr">
        <x:is>
          <x:t xml:space="preserve">oddish</x:t>
        </x:is>
      </x:c>
      <x:c r="D47" s="5" t="inlineStr">
        <x:is>
          <x:t xml:space="preserve">Oddish</x:t>
        </x:is>
      </x:c>
      <x:c r="E47" s="5" t="n">
        <x:v>1</x:v>
      </x:c>
      <x:c r="F47" s="5" t="inlineStr">
        <x:is>
          <x:t xml:space="preserve">풀</x:t>
        </x:is>
      </x:c>
      <x:c r="G47" s="5" t="inlineStr">
        <x:is>
          <x:t xml:space="preserve">독</x:t>
        </x:is>
      </x:c>
      <x:c r="H47" s="5" t="n">
        <x:v>0.5</x:v>
      </x:c>
      <x:c r="I47" s="5" t="n">
        <x:v>5.4</x:v>
      </x:c>
      <x:c r="J47" s="5" t="n">
        <x:v>320</x:v>
      </x:c>
      <x:c r="K47" s="5" t="n">
        <x:v>255</x:v>
      </x:c>
      <x:c r="L47" s="5" t="inlineStr">
        <x:is>
          <x:t xml:space="preserve">기본</x:t>
        </x:is>
      </x:c>
      <x:c r="M47" s="5" t="n">
        <x:v>21</x:v>
      </x:c>
      <x:c r="N47" s="5" t="inlineStr">
        <x:is>
          <x:t xml:space="preserve">레벨·특수</x:t>
        </x:is>
      </x:c>
      <x:c r="O47" s="5" t="inlineStr">
        <x:is>
          <x:t xml:space="preserve">예</x:t>
        </x:is>
      </x:c>
      <x:c r="P47" s="5" t="inlineStr">
        <x:is>
          <x:t xml:space="preserve">#cobblemon:is_jungle; #cobblemon:is_savanna; #cobblemon:is_temperate; #cobblemon:is_tropical_island</x:t>
        </x:is>
      </x:c>
      <x:c r="Q47" s="5" t="inlineStr">
        <x:is>
          <x:t xml:space="preserve">common</x:t>
        </x:is>
      </x:c>
      <x:c r="R47" s="5" t="inlineStr">
        <x:is>
          <x:t xml:space="preserve"/>
        </x:is>
      </x:c>
      <x:c r="S47" s="5" t="inlineStr">
        <x:is>
          <x:t xml:space="preserve"/>
        </x:is>
      </x:c>
      <x:c r="T47" s="5" t="inlineStr">
        <x:is>
          <x:t xml:space="preserve">육상</x:t>
        </x:is>
      </x:c>
      <x:c r="U47" s="5" t="inlineStr">
        <x:is>
          <x:t xml:space="preserve">수목</x:t>
        </x:is>
      </x:c>
      <x:c r="V47" s="5" t="inlineStr">
        <x:is>
          <x:t xml:space="preserve">온대</x:t>
        </x:is>
      </x:c>
      <x:c r="W47" s="5" t="inlineStr">
        <x:is>
          <x:t xml:space="preserve">다습</x:t>
        </x:is>
      </x:c>
      <x:c r="X47" s="5" t="inlineStr">
        <x:is>
          <x:t xml:space="preserve">무관</x:t>
        </x:is>
      </x:c>
      <x:c r="Y47" s="5" t="inlineStr">
        <x:is>
          <x:t xml:space="preserve">무관</x:t>
        </x:is>
      </x:c>
      <x:c r="Z47" s="5" t="inlineStr">
        <x:is>
          <x:t xml:space="preserve">흔함</x:t>
        </x:is>
      </x:c>
      <x:c r="AA47" s="5" t="inlineStr">
        <x:is>
          <x:t xml:space="preserve">없음</x:t>
        </x:is>
      </x:c>
      <x:c r="AB47" s="5" t="inlineStr">
        <x:is>
          <x:t xml:space="preserve">숲</x:t>
        </x:is>
      </x:c>
      <x:c r="AC47" s="5" t="inlineStr">
        <x:is>
          <x:t xml:space="preserve">gen1</x:t>
        </x:is>
      </x:c>
      <x:c r="AD47" s="5" t="inlineStr">
        <x:is>
          <x:t xml:space="preserve">.tmp/cobblemon-1.7.3-source/common/src/main/resources/data/cobblemon/species/generation1/oddish.json</x:t>
        </x:is>
      </x:c>
    </x:row>
    <x:row r="48" ht="22" customHeight="1">
      <x:c r="A48" s="5" t="n">
        <x:v>44</x:v>
      </x:c>
      <x:c r="B48" s="5" t="inlineStr">
        <x:is>
          <x:t xml:space="preserve">냄새꼬</x:t>
        </x:is>
      </x:c>
      <x:c r="C48" s="5" t="inlineStr">
        <x:is>
          <x:t xml:space="preserve">gloom</x:t>
        </x:is>
      </x:c>
      <x:c r="D48" s="5" t="inlineStr">
        <x:is>
          <x:t xml:space="preserve">Gloom</x:t>
        </x:is>
      </x:c>
      <x:c r="E48" s="5" t="n">
        <x:v>1</x:v>
      </x:c>
      <x:c r="F48" s="5" t="inlineStr">
        <x:is>
          <x:t xml:space="preserve">풀</x:t>
        </x:is>
      </x:c>
      <x:c r="G48" s="5" t="inlineStr">
        <x:is>
          <x:t xml:space="preserve">독</x:t>
        </x:is>
      </x:c>
      <x:c r="H48" s="5" t="n">
        <x:v>0.8</x:v>
      </x:c>
      <x:c r="I48" s="5" t="n">
        <x:v>8.6</x:v>
      </x:c>
      <x:c r="J48" s="5" t="n">
        <x:v>395</x:v>
      </x:c>
      <x:c r="K48" s="5" t="n">
        <x:v>120</x:v>
      </x:c>
      <x:c r="L48" s="5" t="inlineStr">
        <x:is>
          <x:t xml:space="preserve">중간</x:t>
        </x:is>
      </x:c>
      <x:c r="M48" s="5" t="n">
        <x:v>21</x:v>
      </x:c>
      <x:c r="N48" s="5" t="inlineStr">
        <x:is>
          <x:t xml:space="preserve">레벨·특수</x:t>
        </x:is>
      </x:c>
      <x:c r="O48" s="5" t="inlineStr">
        <x:is>
          <x:t xml:space="preserve">예</x:t>
        </x:is>
      </x:c>
      <x:c r="P48" s="5" t="inlineStr">
        <x:is>
          <x:t xml:space="preserve">#cobblemon:is_jungle; #cobblemon:is_savanna; #cobblemon:is_temperate; #cobblemon:is_tropical_island</x:t>
        </x:is>
      </x:c>
      <x:c r="Q48" s="5" t="inlineStr">
        <x:is>
          <x:t xml:space="preserve">common</x:t>
        </x:is>
      </x:c>
      <x:c r="R48" s="5" t="inlineStr">
        <x:is>
          <x:t xml:space="preserve"/>
        </x:is>
      </x:c>
      <x:c r="S48" s="5" t="inlineStr">
        <x:is>
          <x:t xml:space="preserve"/>
        </x:is>
      </x:c>
      <x:c r="T48" s="5" t="inlineStr">
        <x:is>
          <x:t xml:space="preserve">육상</x:t>
        </x:is>
      </x:c>
      <x:c r="U48" s="5" t="inlineStr">
        <x:is>
          <x:t xml:space="preserve">수목</x:t>
        </x:is>
      </x:c>
      <x:c r="V48" s="5" t="inlineStr">
        <x:is>
          <x:t xml:space="preserve">온대</x:t>
        </x:is>
      </x:c>
      <x:c r="W48" s="5" t="inlineStr">
        <x:is>
          <x:t xml:space="preserve">다습</x:t>
        </x:is>
      </x:c>
      <x:c r="X48" s="5" t="inlineStr">
        <x:is>
          <x:t xml:space="preserve">무관</x:t>
        </x:is>
      </x:c>
      <x:c r="Y48" s="5" t="inlineStr">
        <x:is>
          <x:t xml:space="preserve">무관</x:t>
        </x:is>
      </x:c>
      <x:c r="Z48" s="5" t="inlineStr">
        <x:is>
          <x:t xml:space="preserve">흔함</x:t>
        </x:is>
      </x:c>
      <x:c r="AA48" s="5" t="inlineStr">
        <x:is>
          <x:t xml:space="preserve">없음</x:t>
        </x:is>
      </x:c>
      <x:c r="AB48" s="5" t="inlineStr">
        <x:is>
          <x:t xml:space="preserve">숲</x:t>
        </x:is>
      </x:c>
      <x:c r="AC48" s="5" t="inlineStr">
        <x:is>
          <x:t xml:space="preserve">gen1</x:t>
        </x:is>
      </x:c>
      <x:c r="AD48" s="5" t="inlineStr">
        <x:is>
          <x:t xml:space="preserve">.tmp/cobblemon-1.7.3-source/common/src/main/resources/data/cobblemon/species/generation1/gloom.json</x:t>
        </x:is>
      </x:c>
    </x:row>
    <x:row r="49" ht="22" customHeight="1">
      <x:c r="A49" s="5" t="n">
        <x:v>45</x:v>
      </x:c>
      <x:c r="B49" s="5" t="inlineStr">
        <x:is>
          <x:t xml:space="preserve">라플레시아</x:t>
        </x:is>
      </x:c>
      <x:c r="C49" s="5" t="inlineStr">
        <x:is>
          <x:t xml:space="preserve">vileplume</x:t>
        </x:is>
      </x:c>
      <x:c r="D49" s="5" t="inlineStr">
        <x:is>
          <x:t xml:space="preserve">Vileplume</x:t>
        </x:is>
      </x:c>
      <x:c r="E49" s="5" t="n">
        <x:v>1</x:v>
      </x:c>
      <x:c r="F49" s="5" t="inlineStr">
        <x:is>
          <x:t xml:space="preserve">풀</x:t>
        </x:is>
      </x:c>
      <x:c r="G49" s="5" t="inlineStr">
        <x:is>
          <x:t xml:space="preserve">독</x:t>
        </x:is>
      </x:c>
      <x:c r="H49" s="5" t="n">
        <x:v>1.2</x:v>
      </x:c>
      <x:c r="I49" s="5" t="n">
        <x:v>18.6</x:v>
      </x:c>
      <x:c r="J49" s="5" t="n">
        <x:v>490</x:v>
      </x:c>
      <x:c r="K49" s="5" t="n">
        <x:v>45</x:v>
      </x:c>
      <x:c r="L49" s="5" t="inlineStr">
        <x:is>
          <x:t xml:space="preserve">최종</x:t>
        </x:is>
      </x:c>
      <x:c r="M49" s="5" t="n">
        <x:v>21</x:v>
      </x:c>
      <x:c r="N49" s="5" t="inlineStr">
        <x:is>
          <x:t xml:space="preserve">레벨·특수</x:t>
        </x:is>
      </x:c>
      <x:c r="O49" s="5" t="inlineStr">
        <x:is>
          <x:t xml:space="preserve">예</x:t>
        </x:is>
      </x:c>
      <x:c r="P49" s="5" t="inlineStr">
        <x:is>
          <x:t xml:space="preserve">#cobblemon:is_jungle; #cobblemon:is_savanna; #cobblemon:is_temperate; #cobblemon:is_tropical_island</x:t>
        </x:is>
      </x:c>
      <x:c r="Q49" s="5" t="inlineStr">
        <x:is>
          <x:t xml:space="preserve">common</x:t>
        </x:is>
      </x:c>
      <x:c r="R49" s="5" t="inlineStr">
        <x:is>
          <x:t xml:space="preserve">night</x:t>
        </x:is>
      </x:c>
      <x:c r="S49" s="5" t="inlineStr">
        <x:is>
          <x:t xml:space="preserve"/>
        </x:is>
      </x:c>
      <x:c r="T49" s="5" t="inlineStr">
        <x:is>
          <x:t xml:space="preserve">육상</x:t>
        </x:is>
      </x:c>
      <x:c r="U49" s="5" t="inlineStr">
        <x:is>
          <x:t xml:space="preserve">수목</x:t>
        </x:is>
      </x:c>
      <x:c r="V49" s="5" t="inlineStr">
        <x:is>
          <x:t xml:space="preserve">온대</x:t>
        </x:is>
      </x:c>
      <x:c r="W49" s="5" t="inlineStr">
        <x:is>
          <x:t xml:space="preserve">다습</x:t>
        </x:is>
      </x:c>
      <x:c r="X49" s="5" t="inlineStr">
        <x:is>
          <x:t xml:space="preserve">무관</x:t>
        </x:is>
      </x:c>
      <x:c r="Y49" s="5" t="inlineStr">
        <x:is>
          <x:t xml:space="preserve">밤</x:t>
        </x:is>
      </x:c>
      <x:c r="Z49" s="5" t="inlineStr">
        <x:is>
          <x:t xml:space="preserve">흔함</x:t>
        </x:is>
      </x:c>
      <x:c r="AA49" s="5" t="inlineStr">
        <x:is>
          <x:t xml:space="preserve">없음</x:t>
        </x:is>
      </x:c>
      <x:c r="AB49" s="5" t="inlineStr">
        <x:is>
          <x:t xml:space="preserve">숲</x:t>
        </x:is>
      </x:c>
      <x:c r="AC49" s="5" t="inlineStr">
        <x:is>
          <x:t xml:space="preserve">gen1</x:t>
        </x:is>
      </x:c>
      <x:c r="AD49" s="5" t="inlineStr">
        <x:is>
          <x:t xml:space="preserve">.tmp/cobblemon-1.7.3-source/common/src/main/resources/data/cobblemon/species/generation1/vileplume.json</x:t>
        </x:is>
      </x:c>
    </x:row>
    <x:row r="50" ht="22" customHeight="1">
      <x:c r="A50" s="5" t="n">
        <x:v>46</x:v>
      </x:c>
      <x:c r="B50" s="5" t="inlineStr">
        <x:is>
          <x:t xml:space="preserve">파라스</x:t>
        </x:is>
      </x:c>
      <x:c r="C50" s="5" t="inlineStr">
        <x:is>
          <x:t xml:space="preserve">paras</x:t>
        </x:is>
      </x:c>
      <x:c r="D50" s="5" t="inlineStr">
        <x:is>
          <x:t xml:space="preserve">Paras</x:t>
        </x:is>
      </x:c>
      <x:c r="E50" s="5" t="n">
        <x:v>1</x:v>
      </x:c>
      <x:c r="F50" s="5" t="inlineStr">
        <x:is>
          <x:t xml:space="preserve">벌레</x:t>
        </x:is>
      </x:c>
      <x:c r="G50" s="5" t="inlineStr">
        <x:is>
          <x:t xml:space="preserve">풀</x:t>
        </x:is>
      </x:c>
      <x:c r="H50" s="5" t="n">
        <x:v>0.3</x:v>
      </x:c>
      <x:c r="I50" s="5" t="n">
        <x:v>5.4</x:v>
      </x:c>
      <x:c r="J50" s="5" t="n">
        <x:v>285</x:v>
      </x:c>
      <x:c r="K50" s="5" t="n">
        <x:v>190</x:v>
      </x:c>
      <x:c r="L50" s="5" t="inlineStr">
        <x:is>
          <x:t xml:space="preserve">기본</x:t>
        </x:is>
      </x:c>
      <x:c r="M50" s="5" t="n">
        <x:v>24</x:v>
      </x:c>
      <x:c r="N50" s="5" t="inlineStr">
        <x:is>
          <x:t xml:space="preserve">레벨</x:t>
        </x:is>
      </x:c>
      <x:c r="O50" s="5" t="inlineStr">
        <x:is>
          <x:t xml:space="preserve">예</x:t>
        </x:is>
      </x:c>
      <x:c r="P50" s="5" t="inlineStr">
        <x:is>
          <x:t xml:space="preserve">#cobblemon:is_lush; #cobblemon:is_mushroom; #cobblemon:is_overworld; #cobblemon:nether/is_fungus</x:t>
        </x:is>
      </x:c>
      <x:c r="Q50" s="5" t="inlineStr">
        <x:is>
          <x:t xml:space="preserve">common; uncommon</x:t>
        </x:is>
      </x:c>
      <x:c r="R50" s="5" t="inlineStr">
        <x:is>
          <x:t xml:space="preserve"/>
        </x:is>
      </x:c>
      <x:c r="S50" s="5" t="inlineStr">
        <x:is>
          <x:t xml:space="preserve"/>
        </x:is>
      </x:c>
      <x:c r="T50" s="5" t="inlineStr">
        <x:is>
          <x:t xml:space="preserve">육상</x:t>
        </x:is>
      </x:c>
      <x:c r="U50" s="5" t="inlineStr">
        <x:is>
          <x:t xml:space="preserve">화산</x:t>
        </x:is>
      </x:c>
      <x:c r="V50" s="5" t="inlineStr">
        <x:is>
          <x:t xml:space="preserve">고온</x:t>
        </x:is>
      </x:c>
      <x:c r="W50" s="5" t="inlineStr">
        <x:is>
          <x:t xml:space="preserve">건조</x:t>
        </x:is>
      </x:c>
      <x:c r="X50" s="5" t="inlineStr">
        <x:is>
          <x:t xml:space="preserve">맑음</x:t>
        </x:is>
      </x:c>
      <x:c r="Y50" s="5" t="inlineStr">
        <x:is>
          <x:t xml:space="preserve">무관</x:t>
        </x:is>
      </x:c>
      <x:c r="Z50" s="5" t="inlineStr">
        <x:is>
          <x:t xml:space="preserve">보통</x:t>
        </x:is>
      </x:c>
      <x:c r="AA50" s="5" t="inlineStr">
        <x:is>
          <x:t xml:space="preserve">화산</x:t>
        </x:is>
      </x:c>
      <x:c r="AB50" s="5" t="inlineStr">
        <x:is>
          <x:t xml:space="preserve">화산</x:t>
        </x:is>
      </x:c>
      <x:c r="AC50" s="5" t="inlineStr">
        <x:is>
          <x:t xml:space="preserve">gen1</x:t>
        </x:is>
      </x:c>
      <x:c r="AD50" s="5" t="inlineStr">
        <x:is>
          <x:t xml:space="preserve">.tmp/cobblemon-1.7.3-source/common/src/main/resources/data/cobblemon/species/generation1/paras.json</x:t>
        </x:is>
      </x:c>
    </x:row>
    <x:row r="51" ht="22" customHeight="1">
      <x:c r="A51" s="5" t="n">
        <x:v>47</x:v>
      </x:c>
      <x:c r="B51" s="5" t="inlineStr">
        <x:is>
          <x:t xml:space="preserve">파라섹트</x:t>
        </x:is>
      </x:c>
      <x:c r="C51" s="5" t="inlineStr">
        <x:is>
          <x:t xml:space="preserve">parasect</x:t>
        </x:is>
      </x:c>
      <x:c r="D51" s="5" t="inlineStr">
        <x:is>
          <x:t xml:space="preserve">Parasect</x:t>
        </x:is>
      </x:c>
      <x:c r="E51" s="5" t="n">
        <x:v>1</x:v>
      </x:c>
      <x:c r="F51" s="5" t="inlineStr">
        <x:is>
          <x:t xml:space="preserve">벌레</x:t>
        </x:is>
      </x:c>
      <x:c r="G51" s="5" t="inlineStr">
        <x:is>
          <x:t xml:space="preserve">풀</x:t>
        </x:is>
      </x:c>
      <x:c r="H51" s="5" t="n">
        <x:v>1</x:v>
      </x:c>
      <x:c r="I51" s="5" t="n">
        <x:v>29.5</x:v>
      </x:c>
      <x:c r="J51" s="5" t="n">
        <x:v>405</x:v>
      </x:c>
      <x:c r="K51" s="5" t="n">
        <x:v>75</x:v>
      </x:c>
      <x:c r="L51" s="5" t="inlineStr">
        <x:is>
          <x:t xml:space="preserve">최종</x:t>
        </x:is>
      </x:c>
      <x:c r="M51" s="5" t="n">
        <x:v>24</x:v>
      </x:c>
      <x:c r="N51" s="5" t="inlineStr">
        <x:is>
          <x:t xml:space="preserve">레벨</x:t>
        </x:is>
      </x:c>
      <x:c r="O51" s="5" t="inlineStr">
        <x:is>
          <x:t xml:space="preserve">예</x:t>
        </x:is>
      </x:c>
      <x:c r="P51" s="5" t="inlineStr">
        <x:is>
          <x:t xml:space="preserve">#cobblemon:is_lush; #cobblemon:is_mushroom; #cobblemon:is_overworld; #cobblemon:nether/is_fungus</x:t>
        </x:is>
      </x:c>
      <x:c r="Q51" s="5" t="inlineStr">
        <x:is>
          <x:t xml:space="preserve">common; uncommon</x:t>
        </x:is>
      </x:c>
      <x:c r="R51" s="5" t="inlineStr">
        <x:is>
          <x:t xml:space="preserve"/>
        </x:is>
      </x:c>
      <x:c r="S51" s="5" t="inlineStr">
        <x:is>
          <x:t xml:space="preserve"/>
        </x:is>
      </x:c>
      <x:c r="T51" s="5" t="inlineStr">
        <x:is>
          <x:t xml:space="preserve">육상</x:t>
        </x:is>
      </x:c>
      <x:c r="U51" s="5" t="inlineStr">
        <x:is>
          <x:t xml:space="preserve">화산</x:t>
        </x:is>
      </x:c>
      <x:c r="V51" s="5" t="inlineStr">
        <x:is>
          <x:t xml:space="preserve">고온</x:t>
        </x:is>
      </x:c>
      <x:c r="W51" s="5" t="inlineStr">
        <x:is>
          <x:t xml:space="preserve">건조</x:t>
        </x:is>
      </x:c>
      <x:c r="X51" s="5" t="inlineStr">
        <x:is>
          <x:t xml:space="preserve">맑음</x:t>
        </x:is>
      </x:c>
      <x:c r="Y51" s="5" t="inlineStr">
        <x:is>
          <x:t xml:space="preserve">무관</x:t>
        </x:is>
      </x:c>
      <x:c r="Z51" s="5" t="inlineStr">
        <x:is>
          <x:t xml:space="preserve">보통</x:t>
        </x:is>
      </x:c>
      <x:c r="AA51" s="5" t="inlineStr">
        <x:is>
          <x:t xml:space="preserve">화산</x:t>
        </x:is>
      </x:c>
      <x:c r="AB51" s="5" t="inlineStr">
        <x:is>
          <x:t xml:space="preserve">화산</x:t>
        </x:is>
      </x:c>
      <x:c r="AC51" s="5" t="inlineStr">
        <x:is>
          <x:t xml:space="preserve">gen1</x:t>
        </x:is>
      </x:c>
      <x:c r="AD51" s="5" t="inlineStr">
        <x:is>
          <x:t xml:space="preserve">.tmp/cobblemon-1.7.3-source/common/src/main/resources/data/cobblemon/species/generation1/parasect.json</x:t>
        </x:is>
      </x:c>
    </x:row>
    <x:row r="52" ht="22" customHeight="1">
      <x:c r="A52" s="5" t="n">
        <x:v>48</x:v>
      </x:c>
      <x:c r="B52" s="5" t="inlineStr">
        <x:is>
          <x:t xml:space="preserve">콘팡</x:t>
        </x:is>
      </x:c>
      <x:c r="C52" s="5" t="inlineStr">
        <x:is>
          <x:t xml:space="preserve">venonat</x:t>
        </x:is>
      </x:c>
      <x:c r="D52" s="5" t="inlineStr">
        <x:is>
          <x:t xml:space="preserve">Venonat</x:t>
        </x:is>
      </x:c>
      <x:c r="E52" s="5" t="n">
        <x:v>1</x:v>
      </x:c>
      <x:c r="F52" s="5" t="inlineStr">
        <x:is>
          <x:t xml:space="preserve">벌레</x:t>
        </x:is>
      </x:c>
      <x:c r="G52" s="5" t="inlineStr">
        <x:is>
          <x:t xml:space="preserve">독</x:t>
        </x:is>
      </x:c>
      <x:c r="H52" s="5" t="n">
        <x:v>1</x:v>
      </x:c>
      <x:c r="I52" s="5" t="n">
        <x:v>30</x:v>
      </x:c>
      <x:c r="J52" s="5" t="n">
        <x:v>305</x:v>
      </x:c>
      <x:c r="K52" s="5" t="n">
        <x:v>190</x:v>
      </x:c>
      <x:c r="L52" s="5" t="inlineStr">
        <x:is>
          <x:t xml:space="preserve">기본</x:t>
        </x:is>
      </x:c>
      <x:c r="M52" s="5" t="n">
        <x:v>31</x:v>
      </x:c>
      <x:c r="N52" s="5" t="inlineStr">
        <x:is>
          <x:t xml:space="preserve">레벨</x:t>
        </x:is>
      </x:c>
      <x:c r="O52" s="5" t="inlineStr">
        <x:is>
          <x:t xml:space="preserve">예</x:t>
        </x:is>
      </x:c>
      <x:c r="P52" s="5" t="inlineStr">
        <x:is>
          <x:t xml:space="preserve">#cobblemon:is_spooky; #cobblemon:is_swamp</x:t>
        </x:is>
      </x:c>
      <x:c r="Q52" s="5" t="inlineStr">
        <x:is>
          <x:t xml:space="preserve">common</x:t>
        </x:is>
      </x:c>
      <x:c r="R52" s="5" t="inlineStr">
        <x:is>
          <x:t xml:space="preserve">night</x:t>
        </x:is>
      </x:c>
      <x:c r="S52" s="5" t="inlineStr">
        <x:is>
          <x:t xml:space="preserve"/>
        </x:is>
      </x:c>
      <x:c r="T52" s="5" t="inlineStr">
        <x:is>
          <x:t xml:space="preserve">육상</x:t>
        </x:is>
      </x:c>
      <x:c r="U52" s="5" t="inlineStr">
        <x:is>
          <x:t xml:space="preserve">특수</x:t>
        </x:is>
      </x:c>
      <x:c r="V52" s="5" t="inlineStr">
        <x:is>
          <x:t xml:space="preserve">온대</x:t>
        </x:is>
      </x:c>
      <x:c r="W52" s="5" t="inlineStr">
        <x:is>
          <x:t xml:space="preserve">보통</x:t>
        </x:is>
      </x:c>
      <x:c r="X52" s="5" t="inlineStr">
        <x:is>
          <x:t xml:space="preserve">무관</x:t>
        </x:is>
      </x:c>
      <x:c r="Y52" s="5" t="inlineStr">
        <x:is>
          <x:t xml:space="preserve">밤</x:t>
        </x:is>
      </x:c>
      <x:c r="Z52" s="5" t="inlineStr">
        <x:is>
          <x:t xml:space="preserve">흔함</x:t>
        </x:is>
      </x:c>
      <x:c r="AA52" s="5" t="inlineStr">
        <x:is>
          <x:t xml:space="preserve">영체</x:t>
        </x:is>
      </x:c>
      <x:c r="AB52" s="5" t="inlineStr">
        <x:is>
          <x:t xml:space="preserve">특수</x:t>
        </x:is>
      </x:c>
      <x:c r="AC52" s="5" t="inlineStr">
        <x:is>
          <x:t xml:space="preserve">gen1</x:t>
        </x:is>
      </x:c>
      <x:c r="AD52" s="5" t="inlineStr">
        <x:is>
          <x:t xml:space="preserve">.tmp/cobblemon-1.7.3-source/common/src/main/resources/data/cobblemon/species/generation1/venonat.json</x:t>
        </x:is>
      </x:c>
    </x:row>
    <x:row r="53" ht="22" customHeight="1">
      <x:c r="A53" s="5" t="n">
        <x:v>49</x:v>
      </x:c>
      <x:c r="B53" s="5" t="inlineStr">
        <x:is>
          <x:t xml:space="preserve">도나리</x:t>
        </x:is>
      </x:c>
      <x:c r="C53" s="5" t="inlineStr">
        <x:is>
          <x:t xml:space="preserve">venomoth</x:t>
        </x:is>
      </x:c>
      <x:c r="D53" s="5" t="inlineStr">
        <x:is>
          <x:t xml:space="preserve">Venomoth</x:t>
        </x:is>
      </x:c>
      <x:c r="E53" s="5" t="n">
        <x:v>1</x:v>
      </x:c>
      <x:c r="F53" s="5" t="inlineStr">
        <x:is>
          <x:t xml:space="preserve">벌레</x:t>
        </x:is>
      </x:c>
      <x:c r="G53" s="5" t="inlineStr">
        <x:is>
          <x:t xml:space="preserve">독</x:t>
        </x:is>
      </x:c>
      <x:c r="H53" s="5" t="n">
        <x:v>1.5</x:v>
      </x:c>
      <x:c r="I53" s="5" t="n">
        <x:v>12.5</x:v>
      </x:c>
      <x:c r="J53" s="5" t="n">
        <x:v>450</x:v>
      </x:c>
      <x:c r="K53" s="5" t="n">
        <x:v>75</x:v>
      </x:c>
      <x:c r="L53" s="5" t="inlineStr">
        <x:is>
          <x:t xml:space="preserve">최종</x:t>
        </x:is>
      </x:c>
      <x:c r="M53" s="5" t="n">
        <x:v>31</x:v>
      </x:c>
      <x:c r="N53" s="5" t="inlineStr">
        <x:is>
          <x:t xml:space="preserve">레벨</x:t>
        </x:is>
      </x:c>
      <x:c r="O53" s="5" t="inlineStr">
        <x:is>
          <x:t xml:space="preserve">예</x:t>
        </x:is>
      </x:c>
      <x:c r="P53" s="5" t="inlineStr">
        <x:is>
          <x:t xml:space="preserve">#cobblemon:is_spooky; #cobblemon:is_swamp</x:t>
        </x:is>
      </x:c>
      <x:c r="Q53" s="5" t="inlineStr">
        <x:is>
          <x:t xml:space="preserve">common</x:t>
        </x:is>
      </x:c>
      <x:c r="R53" s="5" t="inlineStr">
        <x:is>
          <x:t xml:space="preserve">night</x:t>
        </x:is>
      </x:c>
      <x:c r="S53" s="5" t="inlineStr">
        <x:is>
          <x:t xml:space="preserve">비=False</x:t>
        </x:is>
      </x:c>
      <x:c r="T53" s="5" t="inlineStr">
        <x:is>
          <x:t xml:space="preserve">비행</x:t>
        </x:is>
      </x:c>
      <x:c r="U53" s="5" t="inlineStr">
        <x:is>
          <x:t xml:space="preserve">특수</x:t>
        </x:is>
      </x:c>
      <x:c r="V53" s="5" t="inlineStr">
        <x:is>
          <x:t xml:space="preserve">온대</x:t>
        </x:is>
      </x:c>
      <x:c r="W53" s="5" t="inlineStr">
        <x:is>
          <x:t xml:space="preserve">보통</x:t>
        </x:is>
      </x:c>
      <x:c r="X53" s="5" t="inlineStr">
        <x:is>
          <x:t xml:space="preserve">무관</x:t>
        </x:is>
      </x:c>
      <x:c r="Y53" s="5" t="inlineStr">
        <x:is>
          <x:t xml:space="preserve">밤</x:t>
        </x:is>
      </x:c>
      <x:c r="Z53" s="5" t="inlineStr">
        <x:is>
          <x:t xml:space="preserve">흔함</x:t>
        </x:is>
      </x:c>
      <x:c r="AA53" s="5" t="inlineStr">
        <x:is>
          <x:t xml:space="preserve">영체</x:t>
        </x:is>
      </x:c>
      <x:c r="AB53" s="5" t="inlineStr">
        <x:is>
          <x:t xml:space="preserve">특수</x:t>
        </x:is>
      </x:c>
      <x:c r="AC53" s="5" t="inlineStr">
        <x:is>
          <x:t xml:space="preserve">gen1</x:t>
        </x:is>
      </x:c>
      <x:c r="AD53" s="5" t="inlineStr">
        <x:is>
          <x:t xml:space="preserve">.tmp/cobblemon-1.7.3-source/common/src/main/resources/data/cobblemon/species/generation1/venomoth.json</x:t>
        </x:is>
      </x:c>
    </x:row>
    <x:row r="54" ht="22" customHeight="1">
      <x:c r="A54" s="5" t="n">
        <x:v>50</x:v>
      </x:c>
      <x:c r="B54" s="5" t="inlineStr">
        <x:is>
          <x:t xml:space="preserve">디그다</x:t>
        </x:is>
      </x:c>
      <x:c r="C54" s="5" t="inlineStr">
        <x:is>
          <x:t xml:space="preserve">diglett</x:t>
        </x:is>
      </x:c>
      <x:c r="D54" s="5" t="inlineStr">
        <x:is>
          <x:t xml:space="preserve">Diglett</x:t>
        </x:is>
      </x:c>
      <x:c r="E54" s="5" t="n">
        <x:v>1</x:v>
      </x:c>
      <x:c r="F54" s="5" t="inlineStr">
        <x:is>
          <x:t xml:space="preserve">땅</x:t>
        </x:is>
      </x:c>
      <x:c r="G54" s="5" t="inlineStr">
        <x:is>
          <x:t xml:space="preserve"/>
        </x:is>
      </x:c>
      <x:c r="H54" s="5" t="n">
        <x:v>0.2</x:v>
      </x:c>
      <x:c r="I54" s="5" t="n">
        <x:v>0.8</x:v>
      </x:c>
      <x:c r="J54" s="5" t="n">
        <x:v>265</x:v>
      </x:c>
      <x:c r="K54" s="5" t="n">
        <x:v>255</x:v>
      </x:c>
      <x:c r="L54" s="5" t="inlineStr">
        <x:is>
          <x:t xml:space="preserve">기본</x:t>
        </x:is>
      </x:c>
      <x:c r="M54" s="5" t="n">
        <x:v>26</x:v>
      </x:c>
      <x:c r="N54" s="5" t="inlineStr">
        <x:is>
          <x:t xml:space="preserve">레벨</x:t>
        </x:is>
      </x:c>
      <x:c r="O54" s="5" t="inlineStr">
        <x:is>
          <x:t xml:space="preserve">예</x:t>
        </x:is>
      </x:c>
      <x:c r="P54" s="5" t="inlineStr">
        <x:is>
          <x:t xml:space="preserve">#cobblemon:is_overworld</x:t>
        </x:is>
      </x:c>
      <x:c r="Q54" s="5" t="inlineStr">
        <x:is>
          <x:t xml:space="preserve">common</x:t>
        </x:is>
      </x:c>
      <x:c r="R54" s="5" t="inlineStr">
        <x:is>
          <x:t xml:space="preserve"/>
        </x:is>
      </x:c>
      <x:c r="S54" s="5" t="inlineStr">
        <x:is>
          <x:t xml:space="preserve"/>
        </x:is>
      </x:c>
      <x:c r="T54" s="5" t="inlineStr">
        <x:is>
          <x:t xml:space="preserve">육상</x:t>
        </x:is>
      </x:c>
      <x:c r="U54" s="5" t="inlineStr">
        <x:is>
          <x:t xml:space="preserve">암석</x:t>
        </x:is>
      </x:c>
      <x:c r="V54" s="5" t="inlineStr">
        <x:is>
          <x:t xml:space="preserve">온대</x:t>
        </x:is>
      </x:c>
      <x:c r="W54" s="5" t="inlineStr">
        <x:is>
          <x:t xml:space="preserve">보통</x:t>
        </x:is>
      </x:c>
      <x:c r="X54" s="5" t="inlineStr">
        <x:is>
          <x:t xml:space="preserve">무관</x:t>
        </x:is>
      </x:c>
      <x:c r="Y54" s="5" t="inlineStr">
        <x:is>
          <x:t xml:space="preserve">무관</x:t>
        </x:is>
      </x:c>
      <x:c r="Z54" s="5" t="inlineStr">
        <x:is>
          <x:t xml:space="preserve">흔함</x:t>
        </x:is>
      </x:c>
      <x:c r="AA54" s="5" t="inlineStr">
        <x:is>
          <x:t xml:space="preserve">없음</x:t>
        </x:is>
      </x:c>
      <x:c r="AB54" s="5" t="inlineStr">
        <x:is>
          <x:t xml:space="preserve"/>
        </x:is>
      </x:c>
      <x:c r="AC54" s="5" t="inlineStr">
        <x:is>
          <x:t xml:space="preserve">gen1; kantonian_form</x:t>
        </x:is>
      </x:c>
      <x:c r="AD54" s="5" t="inlineStr">
        <x:is>
          <x:t xml:space="preserve">.tmp/cobblemon-1.7.3-source/common/src/main/resources/data/cobblemon/species/generation1/diglett.json</x:t>
        </x:is>
      </x:c>
    </x:row>
    <x:row r="55" ht="22" customHeight="1">
      <x:c r="A55" s="5" t="n">
        <x:v>51</x:v>
      </x:c>
      <x:c r="B55" s="5" t="inlineStr">
        <x:is>
          <x:t xml:space="preserve">닥트리오</x:t>
        </x:is>
      </x:c>
      <x:c r="C55" s="5" t="inlineStr">
        <x:is>
          <x:t xml:space="preserve">dugtrio</x:t>
        </x:is>
      </x:c>
      <x:c r="D55" s="5" t="inlineStr">
        <x:is>
          <x:t xml:space="preserve">Dugtrio</x:t>
        </x:is>
      </x:c>
      <x:c r="E55" s="5" t="n">
        <x:v>1</x:v>
      </x:c>
      <x:c r="F55" s="5" t="inlineStr">
        <x:is>
          <x:t xml:space="preserve">땅</x:t>
        </x:is>
      </x:c>
      <x:c r="G55" s="5" t="inlineStr">
        <x:is>
          <x:t xml:space="preserve"/>
        </x:is>
      </x:c>
      <x:c r="H55" s="5" t="n">
        <x:v>0.7</x:v>
      </x:c>
      <x:c r="I55" s="5" t="n">
        <x:v>33.3</x:v>
      </x:c>
      <x:c r="J55" s="5" t="n">
        <x:v>425</x:v>
      </x:c>
      <x:c r="K55" s="5" t="n">
        <x:v>50</x:v>
      </x:c>
      <x:c r="L55" s="5" t="inlineStr">
        <x:is>
          <x:t xml:space="preserve">최종</x:t>
        </x:is>
      </x:c>
      <x:c r="M55" s="5" t="n">
        <x:v>26</x:v>
      </x:c>
      <x:c r="N55" s="5" t="inlineStr">
        <x:is>
          <x:t xml:space="preserve">레벨</x:t>
        </x:is>
      </x:c>
      <x:c r="O55" s="5" t="inlineStr">
        <x:is>
          <x:t xml:space="preserve">예</x:t>
        </x:is>
      </x:c>
      <x:c r="P55" s="5" t="inlineStr">
        <x:is>
          <x:t xml:space="preserve">#cobblemon:is_overworld</x:t>
        </x:is>
      </x:c>
      <x:c r="Q55" s="5" t="inlineStr">
        <x:is>
          <x:t xml:space="preserve">common</x:t>
        </x:is>
      </x:c>
      <x:c r="R55" s="5" t="inlineStr">
        <x:is>
          <x:t xml:space="preserve"/>
        </x:is>
      </x:c>
      <x:c r="S55" s="5" t="inlineStr">
        <x:is>
          <x:t xml:space="preserve"/>
        </x:is>
      </x:c>
      <x:c r="T55" s="5" t="inlineStr">
        <x:is>
          <x:t xml:space="preserve">육상</x:t>
        </x:is>
      </x:c>
      <x:c r="U55" s="5" t="inlineStr">
        <x:is>
          <x:t xml:space="preserve">암석</x:t>
        </x:is>
      </x:c>
      <x:c r="V55" s="5" t="inlineStr">
        <x:is>
          <x:t xml:space="preserve">온대</x:t>
        </x:is>
      </x:c>
      <x:c r="W55" s="5" t="inlineStr">
        <x:is>
          <x:t xml:space="preserve">보통</x:t>
        </x:is>
      </x:c>
      <x:c r="X55" s="5" t="inlineStr">
        <x:is>
          <x:t xml:space="preserve">무관</x:t>
        </x:is>
      </x:c>
      <x:c r="Y55" s="5" t="inlineStr">
        <x:is>
          <x:t xml:space="preserve">무관</x:t>
        </x:is>
      </x:c>
      <x:c r="Z55" s="5" t="inlineStr">
        <x:is>
          <x:t xml:space="preserve">흔함</x:t>
        </x:is>
      </x:c>
      <x:c r="AA55" s="5" t="inlineStr">
        <x:is>
          <x:t xml:space="preserve">없음</x:t>
        </x:is>
      </x:c>
      <x:c r="AB55" s="5" t="inlineStr">
        <x:is>
          <x:t xml:space="preserve"/>
        </x:is>
      </x:c>
      <x:c r="AC55" s="5" t="inlineStr">
        <x:is>
          <x:t xml:space="preserve">gen1; kantonian_form</x:t>
        </x:is>
      </x:c>
      <x:c r="AD55" s="5" t="inlineStr">
        <x:is>
          <x:t xml:space="preserve">.tmp/cobblemon-1.7.3-source/common/src/main/resources/data/cobblemon/species/generation1/dugtrio.json</x:t>
        </x:is>
      </x:c>
    </x:row>
    <x:row r="56" ht="22" customHeight="1">
      <x:c r="A56" s="5" t="n">
        <x:v>52</x:v>
      </x:c>
      <x:c r="B56" s="5" t="inlineStr">
        <x:is>
          <x:t xml:space="preserve">나옹</x:t>
        </x:is>
      </x:c>
      <x:c r="C56" s="5" t="inlineStr">
        <x:is>
          <x:t xml:space="preserve">meowth</x:t>
        </x:is>
      </x:c>
      <x:c r="D56" s="5" t="inlineStr">
        <x:is>
          <x:t xml:space="preserve">Meowth</x:t>
        </x:is>
      </x:c>
      <x:c r="E56" s="5" t="n">
        <x:v>1</x:v>
      </x:c>
      <x:c r="F56" s="5" t="inlineStr">
        <x:is>
          <x:t xml:space="preserve">노말</x:t>
        </x:is>
      </x:c>
      <x:c r="G56" s="5" t="inlineStr">
        <x:is>
          <x:t xml:space="preserve"/>
        </x:is>
      </x:c>
      <x:c r="H56" s="5" t="n">
        <x:v>0.4</x:v>
      </x:c>
      <x:c r="I56" s="5" t="n">
        <x:v>4.2</x:v>
      </x:c>
      <x:c r="J56" s="5" t="n">
        <x:v>290</x:v>
      </x:c>
      <x:c r="K56" s="5" t="n">
        <x:v>255</x:v>
      </x:c>
      <x:c r="L56" s="5" t="inlineStr">
        <x:is>
          <x:t xml:space="preserve">기본</x:t>
        </x:is>
      </x:c>
      <x:c r="M56" s="5" t="n">
        <x:v>28</x:v>
      </x:c>
      <x:c r="N56" s="5" t="inlineStr">
        <x:is>
          <x:t xml:space="preserve">레벨</x:t>
        </x:is>
      </x:c>
      <x:c r="O56" s="5" t="inlineStr">
        <x:is>
          <x:t xml:space="preserve">예</x:t>
        </x:is>
      </x:c>
      <x:c r="P56" s="5" t="inlineStr">
        <x:is>
          <x:t xml:space="preserve">#cobblemon:is_arid; #cobblemon:is_freezing; #cobblemon:is_overworld; #cobblemon:is_taiga</x:t>
        </x:is>
      </x:c>
      <x:c r="Q56" s="5" t="inlineStr">
        <x:is>
          <x:t xml:space="preserve">common; uncommon</x:t>
        </x:is>
      </x:c>
      <x:c r="R56" s="5" t="inlineStr">
        <x:is>
          <x:t xml:space="preserve"/>
        </x:is>
      </x:c>
      <x:c r="S56" s="5" t="inlineStr">
        <x:is>
          <x:t xml:space="preserve">비=False</x:t>
        </x:is>
      </x:c>
      <x:c r="T56" s="5" t="inlineStr">
        <x:is>
          <x:t xml:space="preserve">육상</x:t>
        </x:is>
      </x:c>
      <x:c r="U56" s="5" t="inlineStr">
        <x:is>
          <x:t xml:space="preserve">건조</x:t>
        </x:is>
      </x:c>
      <x:c r="V56" s="5" t="inlineStr">
        <x:is>
          <x:t xml:space="preserve">서늘</x:t>
        </x:is>
      </x:c>
      <x:c r="W56" s="5" t="inlineStr">
        <x:is>
          <x:t xml:space="preserve">건조</x:t>
        </x:is>
      </x:c>
      <x:c r="X56" s="5" t="inlineStr">
        <x:is>
          <x:t xml:space="preserve">맑음</x:t>
        </x:is>
      </x:c>
      <x:c r="Y56" s="5" t="inlineStr">
        <x:is>
          <x:t xml:space="preserve">무관</x:t>
        </x:is>
      </x:c>
      <x:c r="Z56" s="5" t="inlineStr">
        <x:is>
          <x:t xml:space="preserve">보통</x:t>
        </x:is>
      </x:c>
      <x:c r="AA56" s="5" t="inlineStr">
        <x:is>
          <x:t xml:space="preserve">없음</x:t>
        </x:is>
      </x:c>
      <x:c r="AB56" s="5" t="inlineStr">
        <x:is>
          <x:t xml:space="preserve">건조지</x:t>
        </x:is>
      </x:c>
      <x:c r="AC56" s="5" t="inlineStr">
        <x:is>
          <x:t xml:space="preserve">gen1; kantonian_form</x:t>
        </x:is>
      </x:c>
      <x:c r="AD56" s="5" t="inlineStr">
        <x:is>
          <x:t xml:space="preserve">.tmp/cobblemon-1.7.3-source/common/src/main/resources/data/cobblemon/species/generation1/meowth.json</x:t>
        </x:is>
      </x:c>
    </x:row>
    <x:row r="57" ht="22" customHeight="1">
      <x:c r="A57" s="5" t="n">
        <x:v>53</x:v>
      </x:c>
      <x:c r="B57" s="5" t="inlineStr">
        <x:is>
          <x:t xml:space="preserve">페르시온</x:t>
        </x:is>
      </x:c>
      <x:c r="C57" s="5" t="inlineStr">
        <x:is>
          <x:t xml:space="preserve">persian</x:t>
        </x:is>
      </x:c>
      <x:c r="D57" s="5" t="inlineStr">
        <x:is>
          <x:t xml:space="preserve">Persian</x:t>
        </x:is>
      </x:c>
      <x:c r="E57" s="5" t="n">
        <x:v>1</x:v>
      </x:c>
      <x:c r="F57" s="5" t="inlineStr">
        <x:is>
          <x:t xml:space="preserve">노말</x:t>
        </x:is>
      </x:c>
      <x:c r="G57" s="5" t="inlineStr">
        <x:is>
          <x:t xml:space="preserve"/>
        </x:is>
      </x:c>
      <x:c r="H57" s="5" t="n">
        <x:v>1</x:v>
      </x:c>
      <x:c r="I57" s="5" t="n">
        <x:v>32</x:v>
      </x:c>
      <x:c r="J57" s="5" t="n">
        <x:v>440</x:v>
      </x:c>
      <x:c r="K57" s="5" t="n">
        <x:v>90</x:v>
      </x:c>
      <x:c r="L57" s="5" t="inlineStr">
        <x:is>
          <x:t xml:space="preserve">최종</x:t>
        </x:is>
      </x:c>
      <x:c r="M57" s="5" t="n">
        <x:v>28</x:v>
      </x:c>
      <x:c r="N57" s="5" t="inlineStr">
        <x:is>
          <x:t xml:space="preserve">레벨</x:t>
        </x:is>
      </x:c>
      <x:c r="O57" s="5" t="inlineStr">
        <x:is>
          <x:t xml:space="preserve">예</x:t>
        </x:is>
      </x:c>
      <x:c r="P57" s="5" t="inlineStr">
        <x:is>
          <x:t xml:space="preserve">#cobblemon:is_arid; #cobblemon:is_freezing; #cobblemon:is_overworld</x:t>
        </x:is>
      </x:c>
      <x:c r="Q57" s="5" t="inlineStr">
        <x:is>
          <x:t xml:space="preserve">common; uncommon</x:t>
        </x:is>
      </x:c>
      <x:c r="R57" s="5" t="inlineStr">
        <x:is>
          <x:t xml:space="preserve"/>
        </x:is>
      </x:c>
      <x:c r="S57" s="5" t="inlineStr">
        <x:is>
          <x:t xml:space="preserve">비=False</x:t>
        </x:is>
      </x:c>
      <x:c r="T57" s="5" t="inlineStr">
        <x:is>
          <x:t xml:space="preserve">육상</x:t>
        </x:is>
      </x:c>
      <x:c r="U57" s="5" t="inlineStr">
        <x:is>
          <x:t xml:space="preserve">건조</x:t>
        </x:is>
      </x:c>
      <x:c r="V57" s="5" t="inlineStr">
        <x:is>
          <x:t xml:space="preserve">고온</x:t>
        </x:is>
      </x:c>
      <x:c r="W57" s="5" t="inlineStr">
        <x:is>
          <x:t xml:space="preserve">건조</x:t>
        </x:is>
      </x:c>
      <x:c r="X57" s="5" t="inlineStr">
        <x:is>
          <x:t xml:space="preserve">맑음</x:t>
        </x:is>
      </x:c>
      <x:c r="Y57" s="5" t="inlineStr">
        <x:is>
          <x:t xml:space="preserve">무관</x:t>
        </x:is>
      </x:c>
      <x:c r="Z57" s="5" t="inlineStr">
        <x:is>
          <x:t xml:space="preserve">보통</x:t>
        </x:is>
      </x:c>
      <x:c r="AA57" s="5" t="inlineStr">
        <x:is>
          <x:t xml:space="preserve">없음</x:t>
        </x:is>
      </x:c>
      <x:c r="AB57" s="5" t="inlineStr">
        <x:is>
          <x:t xml:space="preserve">건조지</x:t>
        </x:is>
      </x:c>
      <x:c r="AC57" s="5" t="inlineStr">
        <x:is>
          <x:t xml:space="preserve">gen1; kantonian_form</x:t>
        </x:is>
      </x:c>
      <x:c r="AD57" s="5" t="inlineStr">
        <x:is>
          <x:t xml:space="preserve">.tmp/cobblemon-1.7.3-source/common/src/main/resources/data/cobblemon/species/generation1/persian.json</x:t>
        </x:is>
      </x:c>
    </x:row>
    <x:row r="58" ht="22" customHeight="1">
      <x:c r="A58" s="5" t="n">
        <x:v>54</x:v>
      </x:c>
      <x:c r="B58" s="5" t="inlineStr">
        <x:is>
          <x:t xml:space="preserve">고라파덕</x:t>
        </x:is>
      </x:c>
      <x:c r="C58" s="5" t="inlineStr">
        <x:is>
          <x:t xml:space="preserve">psyduck</x:t>
        </x:is>
      </x:c>
      <x:c r="D58" s="5" t="inlineStr">
        <x:is>
          <x:t xml:space="preserve">Psyduck</x:t>
        </x:is>
      </x:c>
      <x:c r="E58" s="5" t="n">
        <x:v>1</x:v>
      </x:c>
      <x:c r="F58" s="5" t="inlineStr">
        <x:is>
          <x:t xml:space="preserve">물</x:t>
        </x:is>
      </x:c>
      <x:c r="G58" s="5" t="inlineStr">
        <x:is>
          <x:t xml:space="preserve"/>
        </x:is>
      </x:c>
      <x:c r="H58" s="5" t="n">
        <x:v>0.8</x:v>
      </x:c>
      <x:c r="I58" s="5" t="n">
        <x:v>19.6</x:v>
      </x:c>
      <x:c r="J58" s="5" t="n">
        <x:v>320</x:v>
      </x:c>
      <x:c r="K58" s="5" t="n">
        <x:v>190</x:v>
      </x:c>
      <x:c r="L58" s="5" t="inlineStr">
        <x:is>
          <x:t xml:space="preserve">기본</x:t>
        </x:is>
      </x:c>
      <x:c r="M58" s="5" t="n">
        <x:v>33</x:v>
      </x:c>
      <x:c r="N58" s="5" t="inlineStr">
        <x:is>
          <x:t xml:space="preserve">레벨</x:t>
        </x:is>
      </x:c>
      <x:c r="O58" s="5" t="inlineStr">
        <x:is>
          <x:t xml:space="preserve">예</x:t>
        </x:is>
      </x:c>
      <x:c r="P58" s="5" t="inlineStr">
        <x:is>
          <x:t xml:space="preserve">#cobblemon:is_forest; #cobblemon:is_freshwater; #cobblemon:is_grassland; #cobblemon:is_magical; #cobblemon:is_swamp; #cobblemon:is_tropical_island</x:t>
        </x:is>
      </x:c>
      <x:c r="Q58" s="5" t="inlineStr">
        <x:is>
          <x:t xml:space="preserve">common</x:t>
        </x:is>
      </x:c>
      <x:c r="R58" s="5" t="inlineStr">
        <x:is>
          <x:t xml:space="preserve"/>
        </x:is>
      </x:c>
      <x:c r="S58" s="5" t="inlineStr">
        <x:is>
          <x:t xml:space="preserve"/>
        </x:is>
      </x:c>
      <x:c r="T58" s="5" t="inlineStr">
        <x:is>
          <x:t xml:space="preserve">담수</x:t>
        </x:is>
      </x:c>
      <x:c r="U58" s="5" t="inlineStr">
        <x:is>
          <x:t xml:space="preserve">담수</x:t>
        </x:is>
      </x:c>
      <x:c r="V58" s="5" t="inlineStr">
        <x:is>
          <x:t xml:space="preserve">온대</x:t>
        </x:is>
      </x:c>
      <x:c r="W58" s="5" t="inlineStr">
        <x:is>
          <x:t xml:space="preserve">수중</x:t>
        </x:is>
      </x:c>
      <x:c r="X58" s="5" t="inlineStr">
        <x:is>
          <x:t xml:space="preserve">비</x:t>
        </x:is>
      </x:c>
      <x:c r="Y58" s="5" t="inlineStr">
        <x:is>
          <x:t xml:space="preserve">무관</x:t>
        </x:is>
      </x:c>
      <x:c r="Z58" s="5" t="inlineStr">
        <x:is>
          <x:t xml:space="preserve">흔함</x:t>
        </x:is>
      </x:c>
      <x:c r="AA58" s="5" t="inlineStr">
        <x:is>
          <x:t xml:space="preserve">없음</x:t>
        </x:is>
      </x:c>
      <x:c r="AB58" s="5" t="inlineStr">
        <x:is>
          <x:t xml:space="preserve">담수</x:t>
        </x:is>
      </x:c>
      <x:c r="AC58" s="5" t="inlineStr">
        <x:is>
          <x:t xml:space="preserve">gen1</x:t>
        </x:is>
      </x:c>
      <x:c r="AD58" s="5" t="inlineStr">
        <x:is>
          <x:t xml:space="preserve">.tmp/cobblemon-1.7.3-source/common/src/main/resources/data/cobblemon/species/generation1/psyduck.json</x:t>
        </x:is>
      </x:c>
    </x:row>
    <x:row r="59" ht="22" customHeight="1">
      <x:c r="A59" s="5" t="n">
        <x:v>55</x:v>
      </x:c>
      <x:c r="B59" s="5" t="inlineStr">
        <x:is>
          <x:t xml:space="preserve">골덕</x:t>
        </x:is>
      </x:c>
      <x:c r="C59" s="5" t="inlineStr">
        <x:is>
          <x:t xml:space="preserve">golduck</x:t>
        </x:is>
      </x:c>
      <x:c r="D59" s="5" t="inlineStr">
        <x:is>
          <x:t xml:space="preserve">Golduck</x:t>
        </x:is>
      </x:c>
      <x:c r="E59" s="5" t="n">
        <x:v>1</x:v>
      </x:c>
      <x:c r="F59" s="5" t="inlineStr">
        <x:is>
          <x:t xml:space="preserve">물</x:t>
        </x:is>
      </x:c>
      <x:c r="G59" s="5" t="inlineStr">
        <x:is>
          <x:t xml:space="preserve"/>
        </x:is>
      </x:c>
      <x:c r="H59" s="5" t="n">
        <x:v>1.7</x:v>
      </x:c>
      <x:c r="I59" s="5" t="n">
        <x:v>76.59999999999999</x:v>
      </x:c>
      <x:c r="J59" s="5" t="n">
        <x:v>500</x:v>
      </x:c>
      <x:c r="K59" s="5" t="n">
        <x:v>75</x:v>
      </x:c>
      <x:c r="L59" s="5" t="inlineStr">
        <x:is>
          <x:t xml:space="preserve">최종</x:t>
        </x:is>
      </x:c>
      <x:c r="M59" s="5" t="n">
        <x:v>33</x:v>
      </x:c>
      <x:c r="N59" s="5" t="inlineStr">
        <x:is>
          <x:t xml:space="preserve">레벨</x:t>
        </x:is>
      </x:c>
      <x:c r="O59" s="5" t="inlineStr">
        <x:is>
          <x:t xml:space="preserve">예</x:t>
        </x:is>
      </x:c>
      <x:c r="P59" s="5" t="inlineStr">
        <x:is>
          <x:t xml:space="preserve">#cobblemon:is_forest; #cobblemon:is_freshwater; #cobblemon:is_grassland; #cobblemon:is_magical; #cobblemon:is_swamp; #cobblemon:is_tropical_island</x:t>
        </x:is>
      </x:c>
      <x:c r="Q59" s="5" t="inlineStr">
        <x:is>
          <x:t xml:space="preserve">common</x:t>
        </x:is>
      </x:c>
      <x:c r="R59" s="5" t="inlineStr">
        <x:is>
          <x:t xml:space="preserve"/>
        </x:is>
      </x:c>
      <x:c r="S59" s="5" t="inlineStr">
        <x:is>
          <x:t xml:space="preserve"/>
        </x:is>
      </x:c>
      <x:c r="T59" s="5" t="inlineStr">
        <x:is>
          <x:t xml:space="preserve">담수</x:t>
        </x:is>
      </x:c>
      <x:c r="U59" s="5" t="inlineStr">
        <x:is>
          <x:t xml:space="preserve">담수</x:t>
        </x:is>
      </x:c>
      <x:c r="V59" s="5" t="inlineStr">
        <x:is>
          <x:t xml:space="preserve">온대</x:t>
        </x:is>
      </x:c>
      <x:c r="W59" s="5" t="inlineStr">
        <x:is>
          <x:t xml:space="preserve">수중</x:t>
        </x:is>
      </x:c>
      <x:c r="X59" s="5" t="inlineStr">
        <x:is>
          <x:t xml:space="preserve">비</x:t>
        </x:is>
      </x:c>
      <x:c r="Y59" s="5" t="inlineStr">
        <x:is>
          <x:t xml:space="preserve">무관</x:t>
        </x:is>
      </x:c>
      <x:c r="Z59" s="5" t="inlineStr">
        <x:is>
          <x:t xml:space="preserve">흔함</x:t>
        </x:is>
      </x:c>
      <x:c r="AA59" s="5" t="inlineStr">
        <x:is>
          <x:t xml:space="preserve">없음</x:t>
        </x:is>
      </x:c>
      <x:c r="AB59" s="5" t="inlineStr">
        <x:is>
          <x:t xml:space="preserve">담수</x:t>
        </x:is>
      </x:c>
      <x:c r="AC59" s="5" t="inlineStr">
        <x:is>
          <x:t xml:space="preserve">gen1</x:t>
        </x:is>
      </x:c>
      <x:c r="AD59" s="5" t="inlineStr">
        <x:is>
          <x:t xml:space="preserve">.tmp/cobblemon-1.7.3-source/common/src/main/resources/data/cobblemon/species/generation1/golduck.json</x:t>
        </x:is>
      </x:c>
    </x:row>
    <x:row r="60" ht="22" customHeight="1">
      <x:c r="A60" s="5" t="n">
        <x:v>56</x:v>
      </x:c>
      <x:c r="B60" s="5" t="inlineStr">
        <x:is>
          <x:t xml:space="preserve">망키</x:t>
        </x:is>
      </x:c>
      <x:c r="C60" s="5" t="inlineStr">
        <x:is>
          <x:t xml:space="preserve">mankey</x:t>
        </x:is>
      </x:c>
      <x:c r="D60" s="5" t="inlineStr">
        <x:is>
          <x:t xml:space="preserve">Mankey</x:t>
        </x:is>
      </x:c>
      <x:c r="E60" s="5" t="n">
        <x:v>1</x:v>
      </x:c>
      <x:c r="F60" s="5" t="inlineStr">
        <x:is>
          <x:t xml:space="preserve">격투</x:t>
        </x:is>
      </x:c>
      <x:c r="G60" s="5" t="inlineStr">
        <x:is>
          <x:t xml:space="preserve"/>
        </x:is>
      </x:c>
      <x:c r="H60" s="5" t="n">
        <x:v>0.5</x:v>
      </x:c>
      <x:c r="I60" s="5" t="n">
        <x:v>28</x:v>
      </x:c>
      <x:c r="J60" s="5" t="n">
        <x:v>305</x:v>
      </x:c>
      <x:c r="K60" s="5" t="n">
        <x:v>190</x:v>
      </x:c>
      <x:c r="L60" s="5" t="inlineStr">
        <x:is>
          <x:t xml:space="preserve">기본</x:t>
        </x:is>
      </x:c>
      <x:c r="M60" s="5" t="n">
        <x:v>28</x:v>
      </x:c>
      <x:c r="N60" s="5" t="inlineStr">
        <x:is>
          <x:t xml:space="preserve">레벨·특수</x:t>
        </x:is>
      </x:c>
      <x:c r="O60" s="5" t="inlineStr">
        <x:is>
          <x:t xml:space="preserve">예</x:t>
        </x:is>
      </x:c>
      <x:c r="P60" s="5" t="inlineStr">
        <x:is>
          <x:t xml:space="preserve">#cobblemon:is_hills; #cobblemon:is_jungle</x:t>
        </x:is>
      </x:c>
      <x:c r="Q60" s="5" t="inlineStr">
        <x:is>
          <x:t xml:space="preserve">common</x:t>
        </x:is>
      </x:c>
      <x:c r="R60" s="5" t="inlineStr">
        <x:is>
          <x:t xml:space="preserve"/>
        </x:is>
      </x:c>
      <x:c r="S60" s="5" t="inlineStr">
        <x:is>
          <x:t xml:space="preserve"/>
        </x:is>
      </x:c>
      <x:c r="T60" s="5" t="inlineStr">
        <x:is>
          <x:t xml:space="preserve">육상</x:t>
        </x:is>
      </x:c>
      <x:c r="U60" s="5" t="inlineStr">
        <x:is>
          <x:t xml:space="preserve">암석</x:t>
        </x:is>
      </x:c>
      <x:c r="V60" s="5" t="inlineStr">
        <x:is>
          <x:t xml:space="preserve">온대</x:t>
        </x:is>
      </x:c>
      <x:c r="W60" s="5" t="inlineStr">
        <x:is>
          <x:t xml:space="preserve">다습</x:t>
        </x:is>
      </x:c>
      <x:c r="X60" s="5" t="inlineStr">
        <x:is>
          <x:t xml:space="preserve">무관</x:t>
        </x:is>
      </x:c>
      <x:c r="Y60" s="5" t="inlineStr">
        <x:is>
          <x:t xml:space="preserve">무관</x:t>
        </x:is>
      </x:c>
      <x:c r="Z60" s="5" t="inlineStr">
        <x:is>
          <x:t xml:space="preserve">흔함</x:t>
        </x:is>
      </x:c>
      <x:c r="AA60" s="5" t="inlineStr">
        <x:is>
          <x:t xml:space="preserve">없음</x:t>
        </x:is>
      </x:c>
      <x:c r="AB60" s="5" t="inlineStr">
        <x:is>
          <x:t xml:space="preserve">산악</x:t>
        </x:is>
      </x:c>
      <x:c r="AC60" s="5" t="inlineStr">
        <x:is>
          <x:t xml:space="preserve">gen1</x:t>
        </x:is>
      </x:c>
      <x:c r="AD60" s="5" t="inlineStr">
        <x:is>
          <x:t xml:space="preserve">.tmp/cobblemon-1.7.3-source/common/src/main/resources/data/cobblemon/species/generation1/mankey.json</x:t>
        </x:is>
      </x:c>
    </x:row>
    <x:row r="61" ht="22" customHeight="1">
      <x:c r="A61" s="5" t="n">
        <x:v>57</x:v>
      </x:c>
      <x:c r="B61" s="5" t="inlineStr">
        <x:is>
          <x:t xml:space="preserve">성원숭</x:t>
        </x:is>
      </x:c>
      <x:c r="C61" s="5" t="inlineStr">
        <x:is>
          <x:t xml:space="preserve">primeape</x:t>
        </x:is>
      </x:c>
      <x:c r="D61" s="5" t="inlineStr">
        <x:is>
          <x:t xml:space="preserve">Primeape</x:t>
        </x:is>
      </x:c>
      <x:c r="E61" s="5" t="n">
        <x:v>1</x:v>
      </x:c>
      <x:c r="F61" s="5" t="inlineStr">
        <x:is>
          <x:t xml:space="preserve">격투</x:t>
        </x:is>
      </x:c>
      <x:c r="G61" s="5" t="inlineStr">
        <x:is>
          <x:t xml:space="preserve"/>
        </x:is>
      </x:c>
      <x:c r="H61" s="5" t="n">
        <x:v>1</x:v>
      </x:c>
      <x:c r="I61" s="5" t="n">
        <x:v>32</x:v>
      </x:c>
      <x:c r="J61" s="5" t="n">
        <x:v>455</x:v>
      </x:c>
      <x:c r="K61" s="5" t="n">
        <x:v>75</x:v>
      </x:c>
      <x:c r="L61" s="5" t="inlineStr">
        <x:is>
          <x:t xml:space="preserve">중간</x:t>
        </x:is>
      </x:c>
      <x:c r="M61" s="5" t="n">
        <x:v>28</x:v>
      </x:c>
      <x:c r="N61" s="5" t="inlineStr">
        <x:is>
          <x:t xml:space="preserve">레벨·특수</x:t>
        </x:is>
      </x:c>
      <x:c r="O61" s="5" t="inlineStr">
        <x:is>
          <x:t xml:space="preserve">예</x:t>
        </x:is>
      </x:c>
      <x:c r="P61" s="5" t="inlineStr">
        <x:is>
          <x:t xml:space="preserve">#cobblemon:is_hills; #cobblemon:is_jungle</x:t>
        </x:is>
      </x:c>
      <x:c r="Q61" s="5" t="inlineStr">
        <x:is>
          <x:t xml:space="preserve">common</x:t>
        </x:is>
      </x:c>
      <x:c r="R61" s="5" t="inlineStr">
        <x:is>
          <x:t xml:space="preserve"/>
        </x:is>
      </x:c>
      <x:c r="S61" s="5" t="inlineStr">
        <x:is>
          <x:t xml:space="preserve"/>
        </x:is>
      </x:c>
      <x:c r="T61" s="5" t="inlineStr">
        <x:is>
          <x:t xml:space="preserve">육상</x:t>
        </x:is>
      </x:c>
      <x:c r="U61" s="5" t="inlineStr">
        <x:is>
          <x:t xml:space="preserve">암석</x:t>
        </x:is>
      </x:c>
      <x:c r="V61" s="5" t="inlineStr">
        <x:is>
          <x:t xml:space="preserve">온대</x:t>
        </x:is>
      </x:c>
      <x:c r="W61" s="5" t="inlineStr">
        <x:is>
          <x:t xml:space="preserve">다습</x:t>
        </x:is>
      </x:c>
      <x:c r="X61" s="5" t="inlineStr">
        <x:is>
          <x:t xml:space="preserve">무관</x:t>
        </x:is>
      </x:c>
      <x:c r="Y61" s="5" t="inlineStr">
        <x:is>
          <x:t xml:space="preserve">무관</x:t>
        </x:is>
      </x:c>
      <x:c r="Z61" s="5" t="inlineStr">
        <x:is>
          <x:t xml:space="preserve">흔함</x:t>
        </x:is>
      </x:c>
      <x:c r="AA61" s="5" t="inlineStr">
        <x:is>
          <x:t xml:space="preserve">없음</x:t>
        </x:is>
      </x:c>
      <x:c r="AB61" s="5" t="inlineStr">
        <x:is>
          <x:t xml:space="preserve">산악</x:t>
        </x:is>
      </x:c>
      <x:c r="AC61" s="5" t="inlineStr">
        <x:is>
          <x:t xml:space="preserve">gen1</x:t>
        </x:is>
      </x:c>
      <x:c r="AD61" s="5" t="inlineStr">
        <x:is>
          <x:t xml:space="preserve">.tmp/cobblemon-1.7.3-source/common/src/main/resources/data/cobblemon/species/generation1/primeape.json</x:t>
        </x:is>
      </x:c>
    </x:row>
    <x:row r="62" ht="22" customHeight="1">
      <x:c r="A62" s="5" t="n">
        <x:v>58</x:v>
      </x:c>
      <x:c r="B62" s="5" t="inlineStr">
        <x:is>
          <x:t xml:space="preserve">가디</x:t>
        </x:is>
      </x:c>
      <x:c r="C62" s="5" t="inlineStr">
        <x:is>
          <x:t xml:space="preserve">growlithe</x:t>
        </x:is>
      </x:c>
      <x:c r="D62" s="5" t="inlineStr">
        <x:is>
          <x:t xml:space="preserve">Growlithe</x:t>
        </x:is>
      </x:c>
      <x:c r="E62" s="5" t="n">
        <x:v>1</x:v>
      </x:c>
      <x:c r="F62" s="5" t="inlineStr">
        <x:is>
          <x:t xml:space="preserve">불꽃</x:t>
        </x:is>
      </x:c>
      <x:c r="G62" s="5" t="inlineStr">
        <x:is>
          <x:t xml:space="preserve"/>
        </x:is>
      </x:c>
      <x:c r="H62" s="5" t="n">
        <x:v>0.7</x:v>
      </x:c>
      <x:c r="I62" s="5" t="n">
        <x:v>19</x:v>
      </x:c>
      <x:c r="J62" s="5" t="n">
        <x:v>350</x:v>
      </x:c>
      <x:c r="K62" s="5" t="n">
        <x:v>190</x:v>
      </x:c>
      <x:c r="L62" s="5" t="inlineStr">
        <x:is>
          <x:t xml:space="preserve">기본</x:t>
        </x:is>
      </x:c>
      <x:c r="M62" s="5" t="n"/>
      <x:c r="N62" s="5" t="inlineStr">
        <x:is>
          <x:t xml:space="preserve">특수</x:t>
        </x:is>
      </x:c>
      <x:c r="O62" s="5" t="inlineStr">
        <x:is>
          <x:t xml:space="preserve">예</x:t>
        </x:is>
      </x:c>
      <x:c r="P62" s="5" t="inlineStr">
        <x:is>
          <x:t xml:space="preserve">#cobblemon:is_overworld; #cobblemon:is_peak</x:t>
        </x:is>
      </x:c>
      <x:c r="Q62" s="5" t="inlineStr">
        <x:is>
          <x:t xml:space="preserve">uncommon</x:t>
        </x:is>
      </x:c>
      <x:c r="R62" s="5" t="inlineStr">
        <x:is>
          <x:t xml:space="preserve"/>
        </x:is>
      </x:c>
      <x:c r="S62" s="5" t="inlineStr">
        <x:is>
          <x:t xml:space="preserve"/>
        </x:is>
      </x:c>
      <x:c r="T62" s="5" t="inlineStr">
        <x:is>
          <x:t xml:space="preserve">육상</x:t>
        </x:is>
      </x:c>
      <x:c r="U62" s="5" t="inlineStr">
        <x:is>
          <x:t xml:space="preserve">암석</x:t>
        </x:is>
      </x:c>
      <x:c r="V62" s="5" t="inlineStr">
        <x:is>
          <x:t xml:space="preserve">고온</x:t>
        </x:is>
      </x:c>
      <x:c r="W62" s="5" t="inlineStr">
        <x:is>
          <x:t xml:space="preserve">보통</x:t>
        </x:is>
      </x:c>
      <x:c r="X62" s="5" t="inlineStr">
        <x:is>
          <x:t xml:space="preserve">무관</x:t>
        </x:is>
      </x:c>
      <x:c r="Y62" s="5" t="inlineStr">
        <x:is>
          <x:t xml:space="preserve">무관</x:t>
        </x:is>
      </x:c>
      <x:c r="Z62" s="5" t="inlineStr">
        <x:is>
          <x:t xml:space="preserve">보통</x:t>
        </x:is>
      </x:c>
      <x:c r="AA62" s="5" t="inlineStr">
        <x:is>
          <x:t xml:space="preserve">없음</x:t>
        </x:is>
      </x:c>
      <x:c r="AB62" s="5" t="inlineStr">
        <x:is>
          <x:t xml:space="preserve">산악</x:t>
        </x:is>
      </x:c>
      <x:c r="AC62" s="5" t="inlineStr">
        <x:is>
          <x:t xml:space="preserve">gen1; kantonian_form</x:t>
        </x:is>
      </x:c>
      <x:c r="AD62" s="5" t="inlineStr">
        <x:is>
          <x:t xml:space="preserve">.tmp/cobblemon-1.7.3-source/common/src/main/resources/data/cobblemon/species/generation1/growlithe.json</x:t>
        </x:is>
      </x:c>
    </x:row>
    <x:row r="63" ht="22" customHeight="1">
      <x:c r="A63" s="5" t="n">
        <x:v>59</x:v>
      </x:c>
      <x:c r="B63" s="5" t="inlineStr">
        <x:is>
          <x:t xml:space="preserve">윈디</x:t>
        </x:is>
      </x:c>
      <x:c r="C63" s="5" t="inlineStr">
        <x:is>
          <x:t xml:space="preserve">arcanine</x:t>
        </x:is>
      </x:c>
      <x:c r="D63" s="5" t="inlineStr">
        <x:is>
          <x:t xml:space="preserve">Arcanine</x:t>
        </x:is>
      </x:c>
      <x:c r="E63" s="5" t="n">
        <x:v>1</x:v>
      </x:c>
      <x:c r="F63" s="5" t="inlineStr">
        <x:is>
          <x:t xml:space="preserve">불꽃</x:t>
        </x:is>
      </x:c>
      <x:c r="G63" s="5" t="inlineStr">
        <x:is>
          <x:t xml:space="preserve"/>
        </x:is>
      </x:c>
      <x:c r="H63" s="5" t="n">
        <x:v>1.9</x:v>
      </x:c>
      <x:c r="I63" s="5" t="n">
        <x:v>155</x:v>
      </x:c>
      <x:c r="J63" s="5" t="n">
        <x:v>555</x:v>
      </x:c>
      <x:c r="K63" s="5" t="n">
        <x:v>75</x:v>
      </x:c>
      <x:c r="L63" s="5" t="inlineStr">
        <x:is>
          <x:t xml:space="preserve">최종</x:t>
        </x:is>
      </x:c>
      <x:c r="M63" s="5" t="n"/>
      <x:c r="N63" s="5" t="inlineStr">
        <x:is>
          <x:t xml:space="preserve">특수</x:t>
        </x:is>
      </x:c>
      <x:c r="O63" s="5" t="inlineStr">
        <x:is>
          <x:t xml:space="preserve">예</x:t>
        </x:is>
      </x:c>
      <x:c r="P63" s="5" t="inlineStr">
        <x:is>
          <x:t xml:space="preserve">#cobblemon:is_overworld; #cobblemon:is_peak; #cobblemon:nether/is_basalt</x:t>
        </x:is>
      </x:c>
      <x:c r="Q63" s="5" t="inlineStr">
        <x:is>
          <x:t xml:space="preserve">rare; uncommon</x:t>
        </x:is>
      </x:c>
      <x:c r="R63" s="5" t="inlineStr">
        <x:is>
          <x:t xml:space="preserve"/>
        </x:is>
      </x:c>
      <x:c r="S63" s="5" t="inlineStr">
        <x:is>
          <x:t xml:space="preserve"/>
        </x:is>
      </x:c>
      <x:c r="T63" s="5" t="inlineStr">
        <x:is>
          <x:t xml:space="preserve">육상</x:t>
        </x:is>
      </x:c>
      <x:c r="U63" s="5" t="inlineStr">
        <x:is>
          <x:t xml:space="preserve">화산</x:t>
        </x:is>
      </x:c>
      <x:c r="V63" s="5" t="inlineStr">
        <x:is>
          <x:t xml:space="preserve">고온</x:t>
        </x:is>
      </x:c>
      <x:c r="W63" s="5" t="inlineStr">
        <x:is>
          <x:t xml:space="preserve">건조</x:t>
        </x:is>
      </x:c>
      <x:c r="X63" s="5" t="inlineStr">
        <x:is>
          <x:t xml:space="preserve">맑음</x:t>
        </x:is>
      </x:c>
      <x:c r="Y63" s="5" t="inlineStr">
        <x:is>
          <x:t xml:space="preserve">무관</x:t>
        </x:is>
      </x:c>
      <x:c r="Z63" s="5" t="inlineStr">
        <x:is>
          <x:t xml:space="preserve">보통</x:t>
        </x:is>
      </x:c>
      <x:c r="AA63" s="5" t="inlineStr">
        <x:is>
          <x:t xml:space="preserve">화산</x:t>
        </x:is>
      </x:c>
      <x:c r="AB63" s="5" t="inlineStr">
        <x:is>
          <x:t xml:space="preserve">화산</x:t>
        </x:is>
      </x:c>
      <x:c r="AC63" s="5" t="inlineStr">
        <x:is>
          <x:t xml:space="preserve">gen1; kantonian_form</x:t>
        </x:is>
      </x:c>
      <x:c r="AD63" s="5" t="inlineStr">
        <x:is>
          <x:t xml:space="preserve">.tmp/cobblemon-1.7.3-source/common/src/main/resources/data/cobblemon/species/generation1/arcanine.json</x:t>
        </x:is>
      </x:c>
    </x:row>
    <x:row r="64" ht="22" customHeight="1">
      <x:c r="A64" s="5" t="n">
        <x:v>60</x:v>
      </x:c>
      <x:c r="B64" s="5" t="inlineStr">
        <x:is>
          <x:t xml:space="preserve">발챙이</x:t>
        </x:is>
      </x:c>
      <x:c r="C64" s="5" t="inlineStr">
        <x:is>
          <x:t xml:space="preserve">poliwag</x:t>
        </x:is>
      </x:c>
      <x:c r="D64" s="5" t="inlineStr">
        <x:is>
          <x:t xml:space="preserve">Poliwag</x:t>
        </x:is>
      </x:c>
      <x:c r="E64" s="5" t="n">
        <x:v>1</x:v>
      </x:c>
      <x:c r="F64" s="5" t="inlineStr">
        <x:is>
          <x:t xml:space="preserve">물</x:t>
        </x:is>
      </x:c>
      <x:c r="G64" s="5" t="inlineStr">
        <x:is>
          <x:t xml:space="preserve"/>
        </x:is>
      </x:c>
      <x:c r="H64" s="5" t="n">
        <x:v>0.6</x:v>
      </x:c>
      <x:c r="I64" s="5" t="n">
        <x:v>12.4</x:v>
      </x:c>
      <x:c r="J64" s="5" t="n">
        <x:v>300</x:v>
      </x:c>
      <x:c r="K64" s="5" t="n">
        <x:v>255</x:v>
      </x:c>
      <x:c r="L64" s="5" t="inlineStr">
        <x:is>
          <x:t xml:space="preserve">기본</x:t>
        </x:is>
      </x:c>
      <x:c r="M64" s="5" t="n">
        <x:v>25</x:v>
      </x:c>
      <x:c r="N64" s="5" t="inlineStr">
        <x:is>
          <x:t xml:space="preserve">레벨·특수</x:t>
        </x:is>
      </x:c>
      <x:c r="O64" s="5" t="inlineStr">
        <x:is>
          <x:t xml:space="preserve">예</x:t>
        </x:is>
      </x:c>
      <x:c r="P64" s="5" t="inlineStr">
        <x:is>
          <x:t xml:space="preserve">#cobblemon:is_freshwater; #cobblemon:is_hills; #cobblemon:is_jungle; #cobblemon:is_lush; #cobblemon:is_magical; #cobblemon:is_mushroom; #cobblemon:is_overworld; #cobblemon:is_swamp; #cobblemon:is_temperate</x:t>
        </x:is>
      </x:c>
      <x:c r="Q64" s="5" t="inlineStr">
        <x:is>
          <x:t xml:space="preserve">common</x:t>
        </x:is>
      </x:c>
      <x:c r="R64" s="5" t="inlineStr">
        <x:is>
          <x:t xml:space="preserve"/>
        </x:is>
      </x:c>
      <x:c r="S64" s="5" t="inlineStr">
        <x:is>
          <x:t xml:space="preserve">비=True</x:t>
        </x:is>
      </x:c>
      <x:c r="T64" s="5" t="inlineStr">
        <x:is>
          <x:t xml:space="preserve">담수</x:t>
        </x:is>
      </x:c>
      <x:c r="U64" s="5" t="inlineStr">
        <x:is>
          <x:t xml:space="preserve">담수</x:t>
        </x:is>
      </x:c>
      <x:c r="V64" s="5" t="inlineStr">
        <x:is>
          <x:t xml:space="preserve">온대</x:t>
        </x:is>
      </x:c>
      <x:c r="W64" s="5" t="inlineStr">
        <x:is>
          <x:t xml:space="preserve">수중</x:t>
        </x:is>
      </x:c>
      <x:c r="X64" s="5" t="inlineStr">
        <x:is>
          <x:t xml:space="preserve">비</x:t>
        </x:is>
      </x:c>
      <x:c r="Y64" s="5" t="inlineStr">
        <x:is>
          <x:t xml:space="preserve">무관</x:t>
        </x:is>
      </x:c>
      <x:c r="Z64" s="5" t="inlineStr">
        <x:is>
          <x:t xml:space="preserve">흔함</x:t>
        </x:is>
      </x:c>
      <x:c r="AA64" s="5" t="inlineStr">
        <x:is>
          <x:t xml:space="preserve">없음</x:t>
        </x:is>
      </x:c>
      <x:c r="AB64" s="5" t="inlineStr">
        <x:is>
          <x:t xml:space="preserve">담수</x:t>
        </x:is>
      </x:c>
      <x:c r="AC64" s="5" t="inlineStr">
        <x:is>
          <x:t xml:space="preserve">gen1</x:t>
        </x:is>
      </x:c>
      <x:c r="AD64" s="5" t="inlineStr">
        <x:is>
          <x:t xml:space="preserve">.tmp/cobblemon-1.7.3-source/common/src/main/resources/data/cobblemon/species/generation1/poliwag.json</x:t>
        </x:is>
      </x:c>
    </x:row>
    <x:row r="65" ht="22" customHeight="1">
      <x:c r="A65" s="5" t="n">
        <x:v>61</x:v>
      </x:c>
      <x:c r="B65" s="5" t="inlineStr">
        <x:is>
          <x:t xml:space="preserve">슈륙챙이</x:t>
        </x:is>
      </x:c>
      <x:c r="C65" s="5" t="inlineStr">
        <x:is>
          <x:t xml:space="preserve">poliwhirl</x:t>
        </x:is>
      </x:c>
      <x:c r="D65" s="5" t="inlineStr">
        <x:is>
          <x:t xml:space="preserve">Poliwhirl</x:t>
        </x:is>
      </x:c>
      <x:c r="E65" s="5" t="n">
        <x:v>1</x:v>
      </x:c>
      <x:c r="F65" s="5" t="inlineStr">
        <x:is>
          <x:t xml:space="preserve">물</x:t>
        </x:is>
      </x:c>
      <x:c r="G65" s="5" t="inlineStr">
        <x:is>
          <x:t xml:space="preserve"/>
        </x:is>
      </x:c>
      <x:c r="H65" s="5" t="n">
        <x:v>1</x:v>
      </x:c>
      <x:c r="I65" s="5" t="n">
        <x:v>20</x:v>
      </x:c>
      <x:c r="J65" s="5" t="n">
        <x:v>385</x:v>
      </x:c>
      <x:c r="K65" s="5" t="n">
        <x:v>120</x:v>
      </x:c>
      <x:c r="L65" s="5" t="inlineStr">
        <x:is>
          <x:t xml:space="preserve">중간</x:t>
        </x:is>
      </x:c>
      <x:c r="M65" s="5" t="n">
        <x:v>25</x:v>
      </x:c>
      <x:c r="N65" s="5" t="inlineStr">
        <x:is>
          <x:t xml:space="preserve">레벨·특수</x:t>
        </x:is>
      </x:c>
      <x:c r="O65" s="5" t="inlineStr">
        <x:is>
          <x:t xml:space="preserve">예</x:t>
        </x:is>
      </x:c>
      <x:c r="P65" s="5" t="inlineStr">
        <x:is>
          <x:t xml:space="preserve">#cobblemon:is_freshwater; #cobblemon:is_hills; #cobblemon:is_jungle; #cobblemon:is_lush; #cobblemon:is_magical; #cobblemon:is_mushroom; #cobblemon:is_overworld; #cobblemon:is_swamp; #cobblemon:is_temperate</x:t>
        </x:is>
      </x:c>
      <x:c r="Q65" s="5" t="inlineStr">
        <x:is>
          <x:t xml:space="preserve">common</x:t>
        </x:is>
      </x:c>
      <x:c r="R65" s="5" t="inlineStr">
        <x:is>
          <x:t xml:space="preserve"/>
        </x:is>
      </x:c>
      <x:c r="S65" s="5" t="inlineStr">
        <x:is>
          <x:t xml:space="preserve">비=True</x:t>
        </x:is>
      </x:c>
      <x:c r="T65" s="5" t="inlineStr">
        <x:is>
          <x:t xml:space="preserve">담수</x:t>
        </x:is>
      </x:c>
      <x:c r="U65" s="5" t="inlineStr">
        <x:is>
          <x:t xml:space="preserve">담수</x:t>
        </x:is>
      </x:c>
      <x:c r="V65" s="5" t="inlineStr">
        <x:is>
          <x:t xml:space="preserve">온대</x:t>
        </x:is>
      </x:c>
      <x:c r="W65" s="5" t="inlineStr">
        <x:is>
          <x:t xml:space="preserve">수중</x:t>
        </x:is>
      </x:c>
      <x:c r="X65" s="5" t="inlineStr">
        <x:is>
          <x:t xml:space="preserve">비</x:t>
        </x:is>
      </x:c>
      <x:c r="Y65" s="5" t="inlineStr">
        <x:is>
          <x:t xml:space="preserve">무관</x:t>
        </x:is>
      </x:c>
      <x:c r="Z65" s="5" t="inlineStr">
        <x:is>
          <x:t xml:space="preserve">흔함</x:t>
        </x:is>
      </x:c>
      <x:c r="AA65" s="5" t="inlineStr">
        <x:is>
          <x:t xml:space="preserve">없음</x:t>
        </x:is>
      </x:c>
      <x:c r="AB65" s="5" t="inlineStr">
        <x:is>
          <x:t xml:space="preserve">담수</x:t>
        </x:is>
      </x:c>
      <x:c r="AC65" s="5" t="inlineStr">
        <x:is>
          <x:t xml:space="preserve">gen1</x:t>
        </x:is>
      </x:c>
      <x:c r="AD65" s="5" t="inlineStr">
        <x:is>
          <x:t xml:space="preserve">.tmp/cobblemon-1.7.3-source/common/src/main/resources/data/cobblemon/species/generation1/poliwhirl.json</x:t>
        </x:is>
      </x:c>
    </x:row>
    <x:row r="66" ht="22" customHeight="1">
      <x:c r="A66" s="5" t="n">
        <x:v>62</x:v>
      </x:c>
      <x:c r="B66" s="5" t="inlineStr">
        <x:is>
          <x:t xml:space="preserve">강챙이</x:t>
        </x:is>
      </x:c>
      <x:c r="C66" s="5" t="inlineStr">
        <x:is>
          <x:t xml:space="preserve">poliwrath</x:t>
        </x:is>
      </x:c>
      <x:c r="D66" s="5" t="inlineStr">
        <x:is>
          <x:t xml:space="preserve">Poliwrath</x:t>
        </x:is>
      </x:c>
      <x:c r="E66" s="5" t="n">
        <x:v>1</x:v>
      </x:c>
      <x:c r="F66" s="5" t="inlineStr">
        <x:is>
          <x:t xml:space="preserve">물</x:t>
        </x:is>
      </x:c>
      <x:c r="G66" s="5" t="inlineStr">
        <x:is>
          <x:t xml:space="preserve">격투</x:t>
        </x:is>
      </x:c>
      <x:c r="H66" s="5" t="n">
        <x:v>1.3</x:v>
      </x:c>
      <x:c r="I66" s="5" t="n">
        <x:v>54</x:v>
      </x:c>
      <x:c r="J66" s="5" t="n">
        <x:v>510</x:v>
      </x:c>
      <x:c r="K66" s="5" t="n">
        <x:v>45</x:v>
      </x:c>
      <x:c r="L66" s="5" t="inlineStr">
        <x:is>
          <x:t xml:space="preserve">최종</x:t>
        </x:is>
      </x:c>
      <x:c r="M66" s="5" t="n">
        <x:v>25</x:v>
      </x:c>
      <x:c r="N66" s="5" t="inlineStr">
        <x:is>
          <x:t xml:space="preserve">레벨·특수</x:t>
        </x:is>
      </x:c>
      <x:c r="O66" s="5" t="inlineStr">
        <x:is>
          <x:t xml:space="preserve">예</x:t>
        </x:is>
      </x:c>
      <x:c r="P66" s="5" t="inlineStr">
        <x:is>
          <x:t xml:space="preserve">#cobblemon:is_freshwater; #cobblemon:is_hills; #cobblemon:is_jungle; #cobblemon:is_lush; #cobblemon:is_magical; #cobblemon:is_mushroom; #cobblemon:is_overworld; #cobblemon:is_swamp; #cobblemon:is_temperate</x:t>
        </x:is>
      </x:c>
      <x:c r="Q66" s="5" t="inlineStr">
        <x:is>
          <x:t xml:space="preserve">common</x:t>
        </x:is>
      </x:c>
      <x:c r="R66" s="5" t="inlineStr">
        <x:is>
          <x:t xml:space="preserve"/>
        </x:is>
      </x:c>
      <x:c r="S66" s="5" t="inlineStr">
        <x:is>
          <x:t xml:space="preserve">비=True</x:t>
        </x:is>
      </x:c>
      <x:c r="T66" s="5" t="inlineStr">
        <x:is>
          <x:t xml:space="preserve">담수</x:t>
        </x:is>
      </x:c>
      <x:c r="U66" s="5" t="inlineStr">
        <x:is>
          <x:t xml:space="preserve">담수</x:t>
        </x:is>
      </x:c>
      <x:c r="V66" s="5" t="inlineStr">
        <x:is>
          <x:t xml:space="preserve">온대</x:t>
        </x:is>
      </x:c>
      <x:c r="W66" s="5" t="inlineStr">
        <x:is>
          <x:t xml:space="preserve">수중</x:t>
        </x:is>
      </x:c>
      <x:c r="X66" s="5" t="inlineStr">
        <x:is>
          <x:t xml:space="preserve">비</x:t>
        </x:is>
      </x:c>
      <x:c r="Y66" s="5" t="inlineStr">
        <x:is>
          <x:t xml:space="preserve">무관</x:t>
        </x:is>
      </x:c>
      <x:c r="Z66" s="5" t="inlineStr">
        <x:is>
          <x:t xml:space="preserve">흔함</x:t>
        </x:is>
      </x:c>
      <x:c r="AA66" s="5" t="inlineStr">
        <x:is>
          <x:t xml:space="preserve">없음</x:t>
        </x:is>
      </x:c>
      <x:c r="AB66" s="5" t="inlineStr">
        <x:is>
          <x:t xml:space="preserve">담수</x:t>
        </x:is>
      </x:c>
      <x:c r="AC66" s="5" t="inlineStr">
        <x:is>
          <x:t xml:space="preserve">gen1</x:t>
        </x:is>
      </x:c>
      <x:c r="AD66" s="5" t="inlineStr">
        <x:is>
          <x:t xml:space="preserve">.tmp/cobblemon-1.7.3-source/common/src/main/resources/data/cobblemon/species/generation1/poliwrath.json</x:t>
        </x:is>
      </x:c>
    </x:row>
    <x:row r="67" ht="22" customHeight="1">
      <x:c r="A67" s="5" t="n">
        <x:v>63</x:v>
      </x:c>
      <x:c r="B67" s="5" t="inlineStr">
        <x:is>
          <x:t xml:space="preserve">캐이시</x:t>
        </x:is>
      </x:c>
      <x:c r="C67" s="5" t="inlineStr">
        <x:is>
          <x:t xml:space="preserve">abra</x:t>
        </x:is>
      </x:c>
      <x:c r="D67" s="5" t="inlineStr">
        <x:is>
          <x:t xml:space="preserve">Abra</x:t>
        </x:is>
      </x:c>
      <x:c r="E67" s="5" t="n">
        <x:v>1</x:v>
      </x:c>
      <x:c r="F67" s="5" t="inlineStr">
        <x:is>
          <x:t xml:space="preserve">에스퍼</x:t>
        </x:is>
      </x:c>
      <x:c r="G67" s="5" t="inlineStr">
        <x:is>
          <x:t xml:space="preserve"/>
        </x:is>
      </x:c>
      <x:c r="H67" s="5" t="n">
        <x:v>0.9</x:v>
      </x:c>
      <x:c r="I67" s="5" t="n">
        <x:v>19.5</x:v>
      </x:c>
      <x:c r="J67" s="5" t="n">
        <x:v>310</x:v>
      </x:c>
      <x:c r="K67" s="5" t="n">
        <x:v>200</x:v>
      </x:c>
      <x:c r="L67" s="5" t="inlineStr">
        <x:is>
          <x:t xml:space="preserve">기본</x:t>
        </x:is>
      </x:c>
      <x:c r="M67" s="5" t="n">
        <x:v>16</x:v>
      </x:c>
      <x:c r="N67" s="5" t="inlineStr">
        <x:is>
          <x:t xml:space="preserve">레벨·특수</x:t>
        </x:is>
      </x:c>
      <x:c r="O67" s="5" t="inlineStr">
        <x:is>
          <x:t xml:space="preserve">예</x:t>
        </x:is>
      </x:c>
      <x:c r="P67" s="5" t="inlineStr">
        <x:is>
          <x:t xml:space="preserve">#cobblemon:is_hills; #cobblemon:is_magical; #cobblemon:is_overworld; #cobblemon:is_temperate</x:t>
        </x:is>
      </x:c>
      <x:c r="Q67" s="5" t="inlineStr">
        <x:is>
          <x:t xml:space="preserve">common; rare; uncommon</x:t>
        </x:is>
      </x:c>
      <x:c r="R67" s="5" t="inlineStr">
        <x:is>
          <x:t xml:space="preserve">night</x:t>
        </x:is>
      </x:c>
      <x:c r="S67" s="5" t="inlineStr">
        <x:is>
          <x:t xml:space="preserve"/>
        </x:is>
      </x:c>
      <x:c r="T67" s="5" t="inlineStr">
        <x:is>
          <x:t xml:space="preserve">비행</x:t>
        </x:is>
      </x:c>
      <x:c r="U67" s="5" t="inlineStr">
        <x:is>
          <x:t xml:space="preserve">암석</x:t>
        </x:is>
      </x:c>
      <x:c r="V67" s="5" t="inlineStr">
        <x:is>
          <x:t xml:space="preserve">온대</x:t>
        </x:is>
      </x:c>
      <x:c r="W67" s="5" t="inlineStr">
        <x:is>
          <x:t xml:space="preserve">보통</x:t>
        </x:is>
      </x:c>
      <x:c r="X67" s="5" t="inlineStr">
        <x:is>
          <x:t xml:space="preserve">무관</x:t>
        </x:is>
      </x:c>
      <x:c r="Y67" s="5" t="inlineStr">
        <x:is>
          <x:t xml:space="preserve">밤</x:t>
        </x:is>
      </x:c>
      <x:c r="Z67" s="5" t="inlineStr">
        <x:is>
          <x:t xml:space="preserve">보통</x:t>
        </x:is>
      </x:c>
      <x:c r="AA67" s="5" t="inlineStr">
        <x:is>
          <x:t xml:space="preserve">없음</x:t>
        </x:is>
      </x:c>
      <x:c r="AB67" s="5" t="inlineStr">
        <x:is>
          <x:t xml:space="preserve">산악</x:t>
        </x:is>
      </x:c>
      <x:c r="AC67" s="5" t="inlineStr">
        <x:is>
          <x:t xml:space="preserve">gen1</x:t>
        </x:is>
      </x:c>
      <x:c r="AD67" s="5" t="inlineStr">
        <x:is>
          <x:t xml:space="preserve">.tmp/cobblemon-1.7.3-source/common/src/main/resources/data/cobblemon/species/generation1/abra.json</x:t>
        </x:is>
      </x:c>
    </x:row>
    <x:row r="68" ht="22" customHeight="1">
      <x:c r="A68" s="5" t="n">
        <x:v>64</x:v>
      </x:c>
      <x:c r="B68" s="5" t="inlineStr">
        <x:is>
          <x:t xml:space="preserve">윤겔라</x:t>
        </x:is>
      </x:c>
      <x:c r="C68" s="5" t="inlineStr">
        <x:is>
          <x:t xml:space="preserve">kadabra</x:t>
        </x:is>
      </x:c>
      <x:c r="D68" s="5" t="inlineStr">
        <x:is>
          <x:t xml:space="preserve">Kadabra</x:t>
        </x:is>
      </x:c>
      <x:c r="E68" s="5" t="n">
        <x:v>1</x:v>
      </x:c>
      <x:c r="F68" s="5" t="inlineStr">
        <x:is>
          <x:t xml:space="preserve">에스퍼</x:t>
        </x:is>
      </x:c>
      <x:c r="G68" s="5" t="inlineStr">
        <x:is>
          <x:t xml:space="preserve"/>
        </x:is>
      </x:c>
      <x:c r="H68" s="5" t="n">
        <x:v>1.3</x:v>
      </x:c>
      <x:c r="I68" s="5" t="n">
        <x:v>56.5</x:v>
      </x:c>
      <x:c r="J68" s="5" t="n">
        <x:v>400</x:v>
      </x:c>
      <x:c r="K68" s="5" t="n">
        <x:v>100</x:v>
      </x:c>
      <x:c r="L68" s="5" t="inlineStr">
        <x:is>
          <x:t xml:space="preserve">중간</x:t>
        </x:is>
      </x:c>
      <x:c r="M68" s="5" t="n">
        <x:v>16</x:v>
      </x:c>
      <x:c r="N68" s="5" t="inlineStr">
        <x:is>
          <x:t xml:space="preserve">레벨·특수</x:t>
        </x:is>
      </x:c>
      <x:c r="O68" s="5" t="inlineStr">
        <x:is>
          <x:t xml:space="preserve">예</x:t>
        </x:is>
      </x:c>
      <x:c r="P68" s="5" t="inlineStr">
        <x:is>
          <x:t xml:space="preserve">#cobblemon:is_hills; #cobblemon:is_magical; #cobblemon:is_overworld; #cobblemon:is_temperate</x:t>
        </x:is>
      </x:c>
      <x:c r="Q68" s="5" t="inlineStr">
        <x:is>
          <x:t xml:space="preserve">common; rare; uncommon</x:t>
        </x:is>
      </x:c>
      <x:c r="R68" s="5" t="inlineStr">
        <x:is>
          <x:t xml:space="preserve">night</x:t>
        </x:is>
      </x:c>
      <x:c r="S68" s="5" t="inlineStr">
        <x:is>
          <x:t xml:space="preserve"/>
        </x:is>
      </x:c>
      <x:c r="T68" s="5" t="inlineStr">
        <x:is>
          <x:t xml:space="preserve">육상</x:t>
        </x:is>
      </x:c>
      <x:c r="U68" s="5" t="inlineStr">
        <x:is>
          <x:t xml:space="preserve">암석</x:t>
        </x:is>
      </x:c>
      <x:c r="V68" s="5" t="inlineStr">
        <x:is>
          <x:t xml:space="preserve">온대</x:t>
        </x:is>
      </x:c>
      <x:c r="W68" s="5" t="inlineStr">
        <x:is>
          <x:t xml:space="preserve">보통</x:t>
        </x:is>
      </x:c>
      <x:c r="X68" s="5" t="inlineStr">
        <x:is>
          <x:t xml:space="preserve">무관</x:t>
        </x:is>
      </x:c>
      <x:c r="Y68" s="5" t="inlineStr">
        <x:is>
          <x:t xml:space="preserve">밤</x:t>
        </x:is>
      </x:c>
      <x:c r="Z68" s="5" t="inlineStr">
        <x:is>
          <x:t xml:space="preserve">보통</x:t>
        </x:is>
      </x:c>
      <x:c r="AA68" s="5" t="inlineStr">
        <x:is>
          <x:t xml:space="preserve">없음</x:t>
        </x:is>
      </x:c>
      <x:c r="AB68" s="5" t="inlineStr">
        <x:is>
          <x:t xml:space="preserve">산악</x:t>
        </x:is>
      </x:c>
      <x:c r="AC68" s="5" t="inlineStr">
        <x:is>
          <x:t xml:space="preserve">gen1</x:t>
        </x:is>
      </x:c>
      <x:c r="AD68" s="5" t="inlineStr">
        <x:is>
          <x:t xml:space="preserve">.tmp/cobblemon-1.7.3-source/common/src/main/resources/data/cobblemon/species/generation1/kadabra.json</x:t>
        </x:is>
      </x:c>
    </x:row>
    <x:row r="69" ht="22" customHeight="1">
      <x:c r="A69" s="5" t="n">
        <x:v>65</x:v>
      </x:c>
      <x:c r="B69" s="5" t="inlineStr">
        <x:is>
          <x:t xml:space="preserve">후딘</x:t>
        </x:is>
      </x:c>
      <x:c r="C69" s="5" t="inlineStr">
        <x:is>
          <x:t xml:space="preserve">alakazam</x:t>
        </x:is>
      </x:c>
      <x:c r="D69" s="5" t="inlineStr">
        <x:is>
          <x:t xml:space="preserve">Alakazam</x:t>
        </x:is>
      </x:c>
      <x:c r="E69" s="5" t="n">
        <x:v>1</x:v>
      </x:c>
      <x:c r="F69" s="5" t="inlineStr">
        <x:is>
          <x:t xml:space="preserve">에스퍼</x:t>
        </x:is>
      </x:c>
      <x:c r="G69" s="5" t="inlineStr">
        <x:is>
          <x:t xml:space="preserve"/>
        </x:is>
      </x:c>
      <x:c r="H69" s="5" t="n">
        <x:v>1.5</x:v>
      </x:c>
      <x:c r="I69" s="5" t="n">
        <x:v>48</x:v>
      </x:c>
      <x:c r="J69" s="5" t="n">
        <x:v>500</x:v>
      </x:c>
      <x:c r="K69" s="5" t="n">
        <x:v>50</x:v>
      </x:c>
      <x:c r="L69" s="5" t="inlineStr">
        <x:is>
          <x:t xml:space="preserve">최종</x:t>
        </x:is>
      </x:c>
      <x:c r="M69" s="5" t="n">
        <x:v>16</x:v>
      </x:c>
      <x:c r="N69" s="5" t="inlineStr">
        <x:is>
          <x:t xml:space="preserve">레벨·특수</x:t>
        </x:is>
      </x:c>
      <x:c r="O69" s="5" t="inlineStr">
        <x:is>
          <x:t xml:space="preserve">예</x:t>
        </x:is>
      </x:c>
      <x:c r="P69" s="5" t="inlineStr">
        <x:is>
          <x:t xml:space="preserve">#cobblemon:is_hills; #cobblemon:is_magical; #cobblemon:is_overworld; #cobblemon:is_temperate</x:t>
        </x:is>
      </x:c>
      <x:c r="Q69" s="5" t="inlineStr">
        <x:is>
          <x:t xml:space="preserve">common; rare; uncommon</x:t>
        </x:is>
      </x:c>
      <x:c r="R69" s="5" t="inlineStr">
        <x:is>
          <x:t xml:space="preserve">night</x:t>
        </x:is>
      </x:c>
      <x:c r="S69" s="5" t="inlineStr">
        <x:is>
          <x:t xml:space="preserve"/>
        </x:is>
      </x:c>
      <x:c r="T69" s="5" t="inlineStr">
        <x:is>
          <x:t xml:space="preserve">육상</x:t>
        </x:is>
      </x:c>
      <x:c r="U69" s="5" t="inlineStr">
        <x:is>
          <x:t xml:space="preserve">암석</x:t>
        </x:is>
      </x:c>
      <x:c r="V69" s="5" t="inlineStr">
        <x:is>
          <x:t xml:space="preserve">온대</x:t>
        </x:is>
      </x:c>
      <x:c r="W69" s="5" t="inlineStr">
        <x:is>
          <x:t xml:space="preserve">보통</x:t>
        </x:is>
      </x:c>
      <x:c r="X69" s="5" t="inlineStr">
        <x:is>
          <x:t xml:space="preserve">무관</x:t>
        </x:is>
      </x:c>
      <x:c r="Y69" s="5" t="inlineStr">
        <x:is>
          <x:t xml:space="preserve">밤</x:t>
        </x:is>
      </x:c>
      <x:c r="Z69" s="5" t="inlineStr">
        <x:is>
          <x:t xml:space="preserve">보통</x:t>
        </x:is>
      </x:c>
      <x:c r="AA69" s="5" t="inlineStr">
        <x:is>
          <x:t xml:space="preserve">없음</x:t>
        </x:is>
      </x:c>
      <x:c r="AB69" s="5" t="inlineStr">
        <x:is>
          <x:t xml:space="preserve">산악</x:t>
        </x:is>
      </x:c>
      <x:c r="AC69" s="5" t="inlineStr">
        <x:is>
          <x:t xml:space="preserve">gen1</x:t>
        </x:is>
      </x:c>
      <x:c r="AD69" s="5" t="inlineStr">
        <x:is>
          <x:t xml:space="preserve">.tmp/cobblemon-1.7.3-source/common/src/main/resources/data/cobblemon/species/generation1/alakazam.json</x:t>
        </x:is>
      </x:c>
    </x:row>
    <x:row r="70" ht="22" customHeight="1">
      <x:c r="A70" s="5" t="n">
        <x:v>66</x:v>
      </x:c>
      <x:c r="B70" s="5" t="inlineStr">
        <x:is>
          <x:t xml:space="preserve">알통몬</x:t>
        </x:is>
      </x:c>
      <x:c r="C70" s="5" t="inlineStr">
        <x:is>
          <x:t xml:space="preserve">machop</x:t>
        </x:is>
      </x:c>
      <x:c r="D70" s="5" t="inlineStr">
        <x:is>
          <x:t xml:space="preserve">Machop</x:t>
        </x:is>
      </x:c>
      <x:c r="E70" s="5" t="n">
        <x:v>1</x:v>
      </x:c>
      <x:c r="F70" s="5" t="inlineStr">
        <x:is>
          <x:t xml:space="preserve">격투</x:t>
        </x:is>
      </x:c>
      <x:c r="G70" s="5" t="inlineStr">
        <x:is>
          <x:t xml:space="preserve"/>
        </x:is>
      </x:c>
      <x:c r="H70" s="5" t="n">
        <x:v>0.8</x:v>
      </x:c>
      <x:c r="I70" s="5" t="n">
        <x:v>19.5</x:v>
      </x:c>
      <x:c r="J70" s="5" t="n">
        <x:v>305</x:v>
      </x:c>
      <x:c r="K70" s="5" t="n">
        <x:v>180</x:v>
      </x:c>
      <x:c r="L70" s="5" t="inlineStr">
        <x:is>
          <x:t xml:space="preserve">기본</x:t>
        </x:is>
      </x:c>
      <x:c r="M70" s="5" t="n">
        <x:v>28</x:v>
      </x:c>
      <x:c r="N70" s="5" t="inlineStr">
        <x:is>
          <x:t xml:space="preserve">레벨·특수</x:t>
        </x:is>
      </x:c>
      <x:c r="O70" s="5" t="inlineStr">
        <x:is>
          <x:t xml:space="preserve">예</x:t>
        </x:is>
      </x:c>
      <x:c r="P70" s="5" t="inlineStr">
        <x:is>
          <x:t xml:space="preserve">#cobblemon:is_hills</x:t>
        </x:is>
      </x:c>
      <x:c r="Q70" s="5" t="inlineStr">
        <x:is>
          <x:t xml:space="preserve">common</x:t>
        </x:is>
      </x:c>
      <x:c r="R70" s="5" t="inlineStr">
        <x:is>
          <x:t xml:space="preserve"/>
        </x:is>
      </x:c>
      <x:c r="S70" s="5" t="inlineStr">
        <x:is>
          <x:t xml:space="preserve"/>
        </x:is>
      </x:c>
      <x:c r="T70" s="5" t="inlineStr">
        <x:is>
          <x:t xml:space="preserve">육상</x:t>
        </x:is>
      </x:c>
      <x:c r="U70" s="5" t="inlineStr">
        <x:is>
          <x:t xml:space="preserve">암석</x:t>
        </x:is>
      </x:c>
      <x:c r="V70" s="5" t="inlineStr">
        <x:is>
          <x:t xml:space="preserve">온대</x:t>
        </x:is>
      </x:c>
      <x:c r="W70" s="5" t="inlineStr">
        <x:is>
          <x:t xml:space="preserve">보통</x:t>
        </x:is>
      </x:c>
      <x:c r="X70" s="5" t="inlineStr">
        <x:is>
          <x:t xml:space="preserve">무관</x:t>
        </x:is>
      </x:c>
      <x:c r="Y70" s="5" t="inlineStr">
        <x:is>
          <x:t xml:space="preserve">무관</x:t>
        </x:is>
      </x:c>
      <x:c r="Z70" s="5" t="inlineStr">
        <x:is>
          <x:t xml:space="preserve">흔함</x:t>
        </x:is>
      </x:c>
      <x:c r="AA70" s="5" t="inlineStr">
        <x:is>
          <x:t xml:space="preserve">없음</x:t>
        </x:is>
      </x:c>
      <x:c r="AB70" s="5" t="inlineStr">
        <x:is>
          <x:t xml:space="preserve">산악</x:t>
        </x:is>
      </x:c>
      <x:c r="AC70" s="5" t="inlineStr">
        <x:is>
          <x:t xml:space="preserve">gen1</x:t>
        </x:is>
      </x:c>
      <x:c r="AD70" s="5" t="inlineStr">
        <x:is>
          <x:t xml:space="preserve">.tmp/cobblemon-1.7.3-source/common/src/main/resources/data/cobblemon/species/generation1/machop.json</x:t>
        </x:is>
      </x:c>
    </x:row>
    <x:row r="71" ht="22" customHeight="1">
      <x:c r="A71" s="5" t="n">
        <x:v>67</x:v>
      </x:c>
      <x:c r="B71" s="5" t="inlineStr">
        <x:is>
          <x:t xml:space="preserve">근육몬</x:t>
        </x:is>
      </x:c>
      <x:c r="C71" s="5" t="inlineStr">
        <x:is>
          <x:t xml:space="preserve">machoke</x:t>
        </x:is>
      </x:c>
      <x:c r="D71" s="5" t="inlineStr">
        <x:is>
          <x:t xml:space="preserve">Machoke</x:t>
        </x:is>
      </x:c>
      <x:c r="E71" s="5" t="n">
        <x:v>1</x:v>
      </x:c>
      <x:c r="F71" s="5" t="inlineStr">
        <x:is>
          <x:t xml:space="preserve">격투</x:t>
        </x:is>
      </x:c>
      <x:c r="G71" s="5" t="inlineStr">
        <x:is>
          <x:t xml:space="preserve"/>
        </x:is>
      </x:c>
      <x:c r="H71" s="5" t="n">
        <x:v>1.5</x:v>
      </x:c>
      <x:c r="I71" s="5" t="n">
        <x:v>70.5</x:v>
      </x:c>
      <x:c r="J71" s="5" t="n">
        <x:v>405</x:v>
      </x:c>
      <x:c r="K71" s="5" t="n">
        <x:v>90</x:v>
      </x:c>
      <x:c r="L71" s="5" t="inlineStr">
        <x:is>
          <x:t xml:space="preserve">중간</x:t>
        </x:is>
      </x:c>
      <x:c r="M71" s="5" t="n">
        <x:v>28</x:v>
      </x:c>
      <x:c r="N71" s="5" t="inlineStr">
        <x:is>
          <x:t xml:space="preserve">레벨·특수</x:t>
        </x:is>
      </x:c>
      <x:c r="O71" s="5" t="inlineStr">
        <x:is>
          <x:t xml:space="preserve">예</x:t>
        </x:is>
      </x:c>
      <x:c r="P71" s="5" t="inlineStr">
        <x:is>
          <x:t xml:space="preserve">#cobblemon:is_hills</x:t>
        </x:is>
      </x:c>
      <x:c r="Q71" s="5" t="inlineStr">
        <x:is>
          <x:t xml:space="preserve">common</x:t>
        </x:is>
      </x:c>
      <x:c r="R71" s="5" t="inlineStr">
        <x:is>
          <x:t xml:space="preserve"/>
        </x:is>
      </x:c>
      <x:c r="S71" s="5" t="inlineStr">
        <x:is>
          <x:t xml:space="preserve"/>
        </x:is>
      </x:c>
      <x:c r="T71" s="5" t="inlineStr">
        <x:is>
          <x:t xml:space="preserve">육상</x:t>
        </x:is>
      </x:c>
      <x:c r="U71" s="5" t="inlineStr">
        <x:is>
          <x:t xml:space="preserve">암석</x:t>
        </x:is>
      </x:c>
      <x:c r="V71" s="5" t="inlineStr">
        <x:is>
          <x:t xml:space="preserve">온대</x:t>
        </x:is>
      </x:c>
      <x:c r="W71" s="5" t="inlineStr">
        <x:is>
          <x:t xml:space="preserve">보통</x:t>
        </x:is>
      </x:c>
      <x:c r="X71" s="5" t="inlineStr">
        <x:is>
          <x:t xml:space="preserve">무관</x:t>
        </x:is>
      </x:c>
      <x:c r="Y71" s="5" t="inlineStr">
        <x:is>
          <x:t xml:space="preserve">무관</x:t>
        </x:is>
      </x:c>
      <x:c r="Z71" s="5" t="inlineStr">
        <x:is>
          <x:t xml:space="preserve">흔함</x:t>
        </x:is>
      </x:c>
      <x:c r="AA71" s="5" t="inlineStr">
        <x:is>
          <x:t xml:space="preserve">없음</x:t>
        </x:is>
      </x:c>
      <x:c r="AB71" s="5" t="inlineStr">
        <x:is>
          <x:t xml:space="preserve">산악</x:t>
        </x:is>
      </x:c>
      <x:c r="AC71" s="5" t="inlineStr">
        <x:is>
          <x:t xml:space="preserve">gen1</x:t>
        </x:is>
      </x:c>
      <x:c r="AD71" s="5" t="inlineStr">
        <x:is>
          <x:t xml:space="preserve">.tmp/cobblemon-1.7.3-source/common/src/main/resources/data/cobblemon/species/generation1/machoke.json</x:t>
        </x:is>
      </x:c>
    </x:row>
    <x:row r="72" ht="22" customHeight="1">
      <x:c r="A72" s="5" t="n">
        <x:v>68</x:v>
      </x:c>
      <x:c r="B72" s="5" t="inlineStr">
        <x:is>
          <x:t xml:space="preserve">괴력몬</x:t>
        </x:is>
      </x:c>
      <x:c r="C72" s="5" t="inlineStr">
        <x:is>
          <x:t xml:space="preserve">machamp</x:t>
        </x:is>
      </x:c>
      <x:c r="D72" s="5" t="inlineStr">
        <x:is>
          <x:t xml:space="preserve">Machamp</x:t>
        </x:is>
      </x:c>
      <x:c r="E72" s="5" t="n">
        <x:v>1</x:v>
      </x:c>
      <x:c r="F72" s="5" t="inlineStr">
        <x:is>
          <x:t xml:space="preserve">격투</x:t>
        </x:is>
      </x:c>
      <x:c r="G72" s="5" t="inlineStr">
        <x:is>
          <x:t xml:space="preserve"/>
        </x:is>
      </x:c>
      <x:c r="H72" s="5" t="n">
        <x:v>1.6</x:v>
      </x:c>
      <x:c r="I72" s="5" t="n">
        <x:v>130</x:v>
      </x:c>
      <x:c r="J72" s="5" t="n">
        <x:v>505</x:v>
      </x:c>
      <x:c r="K72" s="5" t="n">
        <x:v>45</x:v>
      </x:c>
      <x:c r="L72" s="5" t="inlineStr">
        <x:is>
          <x:t xml:space="preserve">최종</x:t>
        </x:is>
      </x:c>
      <x:c r="M72" s="5" t="n">
        <x:v>28</x:v>
      </x:c>
      <x:c r="N72" s="5" t="inlineStr">
        <x:is>
          <x:t xml:space="preserve">레벨·특수</x:t>
        </x:is>
      </x:c>
      <x:c r="O72" s="5" t="inlineStr">
        <x:is>
          <x:t xml:space="preserve">예</x:t>
        </x:is>
      </x:c>
      <x:c r="P72" s="5" t="inlineStr">
        <x:is>
          <x:t xml:space="preserve">#cobblemon:is_hills</x:t>
        </x:is>
      </x:c>
      <x:c r="Q72" s="5" t="inlineStr">
        <x:is>
          <x:t xml:space="preserve">common</x:t>
        </x:is>
      </x:c>
      <x:c r="R72" s="5" t="inlineStr">
        <x:is>
          <x:t xml:space="preserve"/>
        </x:is>
      </x:c>
      <x:c r="S72" s="5" t="inlineStr">
        <x:is>
          <x:t xml:space="preserve"/>
        </x:is>
      </x:c>
      <x:c r="T72" s="5" t="inlineStr">
        <x:is>
          <x:t xml:space="preserve">육상</x:t>
        </x:is>
      </x:c>
      <x:c r="U72" s="5" t="inlineStr">
        <x:is>
          <x:t xml:space="preserve">암석</x:t>
        </x:is>
      </x:c>
      <x:c r="V72" s="5" t="inlineStr">
        <x:is>
          <x:t xml:space="preserve">온대</x:t>
        </x:is>
      </x:c>
      <x:c r="W72" s="5" t="inlineStr">
        <x:is>
          <x:t xml:space="preserve">보통</x:t>
        </x:is>
      </x:c>
      <x:c r="X72" s="5" t="inlineStr">
        <x:is>
          <x:t xml:space="preserve">무관</x:t>
        </x:is>
      </x:c>
      <x:c r="Y72" s="5" t="inlineStr">
        <x:is>
          <x:t xml:space="preserve">무관</x:t>
        </x:is>
      </x:c>
      <x:c r="Z72" s="5" t="inlineStr">
        <x:is>
          <x:t xml:space="preserve">흔함</x:t>
        </x:is>
      </x:c>
      <x:c r="AA72" s="5" t="inlineStr">
        <x:is>
          <x:t xml:space="preserve">없음</x:t>
        </x:is>
      </x:c>
      <x:c r="AB72" s="5" t="inlineStr">
        <x:is>
          <x:t xml:space="preserve">산악</x:t>
        </x:is>
      </x:c>
      <x:c r="AC72" s="5" t="inlineStr">
        <x:is>
          <x:t xml:space="preserve">gen1</x:t>
        </x:is>
      </x:c>
      <x:c r="AD72" s="5" t="inlineStr">
        <x:is>
          <x:t xml:space="preserve">.tmp/cobblemon-1.7.3-source/common/src/main/resources/data/cobblemon/species/generation1/machamp.json</x:t>
        </x:is>
      </x:c>
    </x:row>
    <x:row r="73" ht="22" customHeight="1">
      <x:c r="A73" s="5" t="n">
        <x:v>69</x:v>
      </x:c>
      <x:c r="B73" s="5" t="inlineStr">
        <x:is>
          <x:t xml:space="preserve">모다피</x:t>
        </x:is>
      </x:c>
      <x:c r="C73" s="5" t="inlineStr">
        <x:is>
          <x:t xml:space="preserve">bellsprout</x:t>
        </x:is>
      </x:c>
      <x:c r="D73" s="5" t="inlineStr">
        <x:is>
          <x:t xml:space="preserve">Bellsprout</x:t>
        </x:is>
      </x:c>
      <x:c r="E73" s="5" t="n">
        <x:v>1</x:v>
      </x:c>
      <x:c r="F73" s="5" t="inlineStr">
        <x:is>
          <x:t xml:space="preserve">풀</x:t>
        </x:is>
      </x:c>
      <x:c r="G73" s="5" t="inlineStr">
        <x:is>
          <x:t xml:space="preserve">독</x:t>
        </x:is>
      </x:c>
      <x:c r="H73" s="5" t="n">
        <x:v>0.7</x:v>
      </x:c>
      <x:c r="I73" s="5" t="n">
        <x:v>4</x:v>
      </x:c>
      <x:c r="J73" s="5" t="n">
        <x:v>300</x:v>
      </x:c>
      <x:c r="K73" s="5" t="n">
        <x:v>255</x:v>
      </x:c>
      <x:c r="L73" s="5" t="inlineStr">
        <x:is>
          <x:t xml:space="preserve">기본</x:t>
        </x:is>
      </x:c>
      <x:c r="M73" s="5" t="n">
        <x:v>21</x:v>
      </x:c>
      <x:c r="N73" s="5" t="inlineStr">
        <x:is>
          <x:t xml:space="preserve">레벨·특수</x:t>
        </x:is>
      </x:c>
      <x:c r="O73" s="5" t="inlineStr">
        <x:is>
          <x:t xml:space="preserve">예</x:t>
        </x:is>
      </x:c>
      <x:c r="P73" s="5" t="inlineStr">
        <x:is>
          <x:t xml:space="preserve">#cobblemon:is_jungle</x:t>
        </x:is>
      </x:c>
      <x:c r="Q73" s="5" t="inlineStr">
        <x:is>
          <x:t xml:space="preserve">common</x:t>
        </x:is>
      </x:c>
      <x:c r="R73" s="5" t="inlineStr">
        <x:is>
          <x:t xml:space="preserve"/>
        </x:is>
      </x:c>
      <x:c r="S73" s="5" t="inlineStr">
        <x:is>
          <x:t xml:space="preserve"/>
        </x:is>
      </x:c>
      <x:c r="T73" s="5" t="inlineStr">
        <x:is>
          <x:t xml:space="preserve">육상</x:t>
        </x:is>
      </x:c>
      <x:c r="U73" s="5" t="inlineStr">
        <x:is>
          <x:t xml:space="preserve">수목</x:t>
        </x:is>
      </x:c>
      <x:c r="V73" s="5" t="inlineStr">
        <x:is>
          <x:t xml:space="preserve">온대</x:t>
        </x:is>
      </x:c>
      <x:c r="W73" s="5" t="inlineStr">
        <x:is>
          <x:t xml:space="preserve">다습</x:t>
        </x:is>
      </x:c>
      <x:c r="X73" s="5" t="inlineStr">
        <x:is>
          <x:t xml:space="preserve">무관</x:t>
        </x:is>
      </x:c>
      <x:c r="Y73" s="5" t="inlineStr">
        <x:is>
          <x:t xml:space="preserve">무관</x:t>
        </x:is>
      </x:c>
      <x:c r="Z73" s="5" t="inlineStr">
        <x:is>
          <x:t xml:space="preserve">흔함</x:t>
        </x:is>
      </x:c>
      <x:c r="AA73" s="5" t="inlineStr">
        <x:is>
          <x:t xml:space="preserve">없음</x:t>
        </x:is>
      </x:c>
      <x:c r="AB73" s="5" t="inlineStr">
        <x:is>
          <x:t xml:space="preserve">숲</x:t>
        </x:is>
      </x:c>
      <x:c r="AC73" s="5" t="inlineStr">
        <x:is>
          <x:t xml:space="preserve">gen1</x:t>
        </x:is>
      </x:c>
      <x:c r="AD73" s="5" t="inlineStr">
        <x:is>
          <x:t xml:space="preserve">.tmp/cobblemon-1.7.3-source/common/src/main/resources/data/cobblemon/species/generation1/bellsprout.json</x:t>
        </x:is>
      </x:c>
    </x:row>
    <x:row r="74" ht="22" customHeight="1">
      <x:c r="A74" s="5" t="n">
        <x:v>70</x:v>
      </x:c>
      <x:c r="B74" s="5" t="inlineStr">
        <x:is>
          <x:t xml:space="preserve">우츠동</x:t>
        </x:is>
      </x:c>
      <x:c r="C74" s="5" t="inlineStr">
        <x:is>
          <x:t xml:space="preserve">weepinbell</x:t>
        </x:is>
      </x:c>
      <x:c r="D74" s="5" t="inlineStr">
        <x:is>
          <x:t xml:space="preserve">Weepinbell</x:t>
        </x:is>
      </x:c>
      <x:c r="E74" s="5" t="n">
        <x:v>1</x:v>
      </x:c>
      <x:c r="F74" s="5" t="inlineStr">
        <x:is>
          <x:t xml:space="preserve">풀</x:t>
        </x:is>
      </x:c>
      <x:c r="G74" s="5" t="inlineStr">
        <x:is>
          <x:t xml:space="preserve">독</x:t>
        </x:is>
      </x:c>
      <x:c r="H74" s="5" t="n">
        <x:v>1</x:v>
      </x:c>
      <x:c r="I74" s="5" t="n">
        <x:v>6.4</x:v>
      </x:c>
      <x:c r="J74" s="5" t="n">
        <x:v>390</x:v>
      </x:c>
      <x:c r="K74" s="5" t="n">
        <x:v>120</x:v>
      </x:c>
      <x:c r="L74" s="5" t="inlineStr">
        <x:is>
          <x:t xml:space="preserve">중간</x:t>
        </x:is>
      </x:c>
      <x:c r="M74" s="5" t="n">
        <x:v>21</x:v>
      </x:c>
      <x:c r="N74" s="5" t="inlineStr">
        <x:is>
          <x:t xml:space="preserve">레벨·특수</x:t>
        </x:is>
      </x:c>
      <x:c r="O74" s="5" t="inlineStr">
        <x:is>
          <x:t xml:space="preserve">예</x:t>
        </x:is>
      </x:c>
      <x:c r="P74" s="5" t="inlineStr">
        <x:is>
          <x:t xml:space="preserve">#cobblemon:is_jungle</x:t>
        </x:is>
      </x:c>
      <x:c r="Q74" s="5" t="inlineStr">
        <x:is>
          <x:t xml:space="preserve">common</x:t>
        </x:is>
      </x:c>
      <x:c r="R74" s="5" t="inlineStr">
        <x:is>
          <x:t xml:space="preserve"/>
        </x:is>
      </x:c>
      <x:c r="S74" s="5" t="inlineStr">
        <x:is>
          <x:t xml:space="preserve"/>
        </x:is>
      </x:c>
      <x:c r="T74" s="5" t="inlineStr">
        <x:is>
          <x:t xml:space="preserve">육상</x:t>
        </x:is>
      </x:c>
      <x:c r="U74" s="5" t="inlineStr">
        <x:is>
          <x:t xml:space="preserve">수목</x:t>
        </x:is>
      </x:c>
      <x:c r="V74" s="5" t="inlineStr">
        <x:is>
          <x:t xml:space="preserve">온대</x:t>
        </x:is>
      </x:c>
      <x:c r="W74" s="5" t="inlineStr">
        <x:is>
          <x:t xml:space="preserve">다습</x:t>
        </x:is>
      </x:c>
      <x:c r="X74" s="5" t="inlineStr">
        <x:is>
          <x:t xml:space="preserve">무관</x:t>
        </x:is>
      </x:c>
      <x:c r="Y74" s="5" t="inlineStr">
        <x:is>
          <x:t xml:space="preserve">무관</x:t>
        </x:is>
      </x:c>
      <x:c r="Z74" s="5" t="inlineStr">
        <x:is>
          <x:t xml:space="preserve">흔함</x:t>
        </x:is>
      </x:c>
      <x:c r="AA74" s="5" t="inlineStr">
        <x:is>
          <x:t xml:space="preserve">없음</x:t>
        </x:is>
      </x:c>
      <x:c r="AB74" s="5" t="inlineStr">
        <x:is>
          <x:t xml:space="preserve">숲</x:t>
        </x:is>
      </x:c>
      <x:c r="AC74" s="5" t="inlineStr">
        <x:is>
          <x:t xml:space="preserve">gen1</x:t>
        </x:is>
      </x:c>
      <x:c r="AD74" s="5" t="inlineStr">
        <x:is>
          <x:t xml:space="preserve">.tmp/cobblemon-1.7.3-source/common/src/main/resources/data/cobblemon/species/generation1/weepinbell.json</x:t>
        </x:is>
      </x:c>
    </x:row>
    <x:row r="75" ht="22" customHeight="1">
      <x:c r="A75" s="5" t="n">
        <x:v>71</x:v>
      </x:c>
      <x:c r="B75" s="5" t="inlineStr">
        <x:is>
          <x:t xml:space="preserve">우츠보트</x:t>
        </x:is>
      </x:c>
      <x:c r="C75" s="5" t="inlineStr">
        <x:is>
          <x:t xml:space="preserve">victreebel</x:t>
        </x:is>
      </x:c>
      <x:c r="D75" s="5" t="inlineStr">
        <x:is>
          <x:t xml:space="preserve">Victreebel</x:t>
        </x:is>
      </x:c>
      <x:c r="E75" s="5" t="n">
        <x:v>1</x:v>
      </x:c>
      <x:c r="F75" s="5" t="inlineStr">
        <x:is>
          <x:t xml:space="preserve">풀</x:t>
        </x:is>
      </x:c>
      <x:c r="G75" s="5" t="inlineStr">
        <x:is>
          <x:t xml:space="preserve">독</x:t>
        </x:is>
      </x:c>
      <x:c r="H75" s="5" t="n">
        <x:v>1.7</x:v>
      </x:c>
      <x:c r="I75" s="5" t="n">
        <x:v>15.5</x:v>
      </x:c>
      <x:c r="J75" s="5" t="n">
        <x:v>490</x:v>
      </x:c>
      <x:c r="K75" s="5" t="n">
        <x:v>45</x:v>
      </x:c>
      <x:c r="L75" s="5" t="inlineStr">
        <x:is>
          <x:t xml:space="preserve">최종</x:t>
        </x:is>
      </x:c>
      <x:c r="M75" s="5" t="n">
        <x:v>21</x:v>
      </x:c>
      <x:c r="N75" s="5" t="inlineStr">
        <x:is>
          <x:t xml:space="preserve">레벨·특수</x:t>
        </x:is>
      </x:c>
      <x:c r="O75" s="5" t="inlineStr">
        <x:is>
          <x:t xml:space="preserve">예</x:t>
        </x:is>
      </x:c>
      <x:c r="P75" s="5" t="inlineStr">
        <x:is>
          <x:t xml:space="preserve">#cobblemon:is_jungle</x:t>
        </x:is>
      </x:c>
      <x:c r="Q75" s="5" t="inlineStr">
        <x:is>
          <x:t xml:space="preserve">common</x:t>
        </x:is>
      </x:c>
      <x:c r="R75" s="5" t="inlineStr">
        <x:is>
          <x:t xml:space="preserve"/>
        </x:is>
      </x:c>
      <x:c r="S75" s="5" t="inlineStr">
        <x:is>
          <x:t xml:space="preserve"/>
        </x:is>
      </x:c>
      <x:c r="T75" s="5" t="inlineStr">
        <x:is>
          <x:t xml:space="preserve">육상</x:t>
        </x:is>
      </x:c>
      <x:c r="U75" s="5" t="inlineStr">
        <x:is>
          <x:t xml:space="preserve">수목</x:t>
        </x:is>
      </x:c>
      <x:c r="V75" s="5" t="inlineStr">
        <x:is>
          <x:t xml:space="preserve">온대</x:t>
        </x:is>
      </x:c>
      <x:c r="W75" s="5" t="inlineStr">
        <x:is>
          <x:t xml:space="preserve">다습</x:t>
        </x:is>
      </x:c>
      <x:c r="X75" s="5" t="inlineStr">
        <x:is>
          <x:t xml:space="preserve">무관</x:t>
        </x:is>
      </x:c>
      <x:c r="Y75" s="5" t="inlineStr">
        <x:is>
          <x:t xml:space="preserve">무관</x:t>
        </x:is>
      </x:c>
      <x:c r="Z75" s="5" t="inlineStr">
        <x:is>
          <x:t xml:space="preserve">흔함</x:t>
        </x:is>
      </x:c>
      <x:c r="AA75" s="5" t="inlineStr">
        <x:is>
          <x:t xml:space="preserve">없음</x:t>
        </x:is>
      </x:c>
      <x:c r="AB75" s="5" t="inlineStr">
        <x:is>
          <x:t xml:space="preserve">숲</x:t>
        </x:is>
      </x:c>
      <x:c r="AC75" s="5" t="inlineStr">
        <x:is>
          <x:t xml:space="preserve">gen1</x:t>
        </x:is>
      </x:c>
      <x:c r="AD75" s="5" t="inlineStr">
        <x:is>
          <x:t xml:space="preserve">.tmp/cobblemon-1.7.3-source/common/src/main/resources/data/cobblemon/species/generation1/victreebel.json</x:t>
        </x:is>
      </x:c>
    </x:row>
    <x:row r="76" ht="22" customHeight="1">
      <x:c r="A76" s="5" t="n">
        <x:v>72</x:v>
      </x:c>
      <x:c r="B76" s="5" t="inlineStr">
        <x:is>
          <x:t xml:space="preserve">왕눈해</x:t>
        </x:is>
      </x:c>
      <x:c r="C76" s="5" t="inlineStr">
        <x:is>
          <x:t xml:space="preserve">tentacool</x:t>
        </x:is>
      </x:c>
      <x:c r="D76" s="5" t="inlineStr">
        <x:is>
          <x:t xml:space="preserve">Tentacool</x:t>
        </x:is>
      </x:c>
      <x:c r="E76" s="5" t="n">
        <x:v>1</x:v>
      </x:c>
      <x:c r="F76" s="5" t="inlineStr">
        <x:is>
          <x:t xml:space="preserve">물</x:t>
        </x:is>
      </x:c>
      <x:c r="G76" s="5" t="inlineStr">
        <x:is>
          <x:t xml:space="preserve">독</x:t>
        </x:is>
      </x:c>
      <x:c r="H76" s="5" t="n">
        <x:v>0.9</x:v>
      </x:c>
      <x:c r="I76" s="5" t="n">
        <x:v>45.5</x:v>
      </x:c>
      <x:c r="J76" s="5" t="n">
        <x:v>335</x:v>
      </x:c>
      <x:c r="K76" s="5" t="n">
        <x:v>190</x:v>
      </x:c>
      <x:c r="L76" s="5" t="inlineStr">
        <x:is>
          <x:t xml:space="preserve">기본</x:t>
        </x:is>
      </x:c>
      <x:c r="M76" s="5" t="n">
        <x:v>30</x:v>
      </x:c>
      <x:c r="N76" s="5" t="inlineStr">
        <x:is>
          <x:t xml:space="preserve">레벨</x:t>
        </x:is>
      </x:c>
      <x:c r="O76" s="5" t="inlineStr">
        <x:is>
          <x:t xml:space="preserve">예</x:t>
        </x:is>
      </x:c>
      <x:c r="P76" s="5" t="inlineStr">
        <x:is>
          <x:t xml:space="preserve">#cobblemon:is_ocean; #cobblemon:is_overworld; minecraft:cold_ocean</x:t>
        </x:is>
      </x:c>
      <x:c r="Q76" s="5" t="inlineStr">
        <x:is>
          <x:t xml:space="preserve">common</x:t>
        </x:is>
      </x:c>
      <x:c r="R76" s="5" t="inlineStr">
        <x:is>
          <x:t xml:space="preserve"/>
        </x:is>
      </x:c>
      <x:c r="S76" s="5" t="inlineStr">
        <x:is>
          <x:t xml:space="preserve"/>
        </x:is>
      </x:c>
      <x:c r="T76" s="5" t="inlineStr">
        <x:is>
          <x:t xml:space="preserve">해양</x:t>
        </x:is>
      </x:c>
      <x:c r="U76" s="5" t="inlineStr">
        <x:is>
          <x:t xml:space="preserve">해안·해양</x:t>
        </x:is>
      </x:c>
      <x:c r="V76" s="5" t="inlineStr">
        <x:is>
          <x:t xml:space="preserve">서늘</x:t>
        </x:is>
      </x:c>
      <x:c r="W76" s="5" t="inlineStr">
        <x:is>
          <x:t xml:space="preserve">수중</x:t>
        </x:is>
      </x:c>
      <x:c r="X76" s="5" t="inlineStr">
        <x:is>
          <x:t xml:space="preserve">비</x:t>
        </x:is>
      </x:c>
      <x:c r="Y76" s="5" t="inlineStr">
        <x:is>
          <x:t xml:space="preserve">무관</x:t>
        </x:is>
      </x:c>
      <x:c r="Z76" s="5" t="inlineStr">
        <x:is>
          <x:t xml:space="preserve">흔함</x:t>
        </x:is>
      </x:c>
      <x:c r="AA76" s="5" t="inlineStr">
        <x:is>
          <x:t xml:space="preserve">없음</x:t>
        </x:is>
      </x:c>
      <x:c r="AB76" s="5" t="inlineStr">
        <x:is>
          <x:t xml:space="preserve">해양</x:t>
        </x:is>
      </x:c>
      <x:c r="AC76" s="5" t="inlineStr">
        <x:is>
          <x:t xml:space="preserve">gen1</x:t>
        </x:is>
      </x:c>
      <x:c r="AD76" s="5" t="inlineStr">
        <x:is>
          <x:t xml:space="preserve">.tmp/cobblemon-1.7.3-source/common/src/main/resources/data/cobblemon/species/generation1/tentacool.json</x:t>
        </x:is>
      </x:c>
    </x:row>
    <x:row r="77" ht="22" customHeight="1">
      <x:c r="A77" s="5" t="n">
        <x:v>73</x:v>
      </x:c>
      <x:c r="B77" s="5" t="inlineStr">
        <x:is>
          <x:t xml:space="preserve">독파리</x:t>
        </x:is>
      </x:c>
      <x:c r="C77" s="5" t="inlineStr">
        <x:is>
          <x:t xml:space="preserve">tentacruel</x:t>
        </x:is>
      </x:c>
      <x:c r="D77" s="5" t="inlineStr">
        <x:is>
          <x:t xml:space="preserve">Tentacruel</x:t>
        </x:is>
      </x:c>
      <x:c r="E77" s="5" t="n">
        <x:v>1</x:v>
      </x:c>
      <x:c r="F77" s="5" t="inlineStr">
        <x:is>
          <x:t xml:space="preserve">물</x:t>
        </x:is>
      </x:c>
      <x:c r="G77" s="5" t="inlineStr">
        <x:is>
          <x:t xml:space="preserve">독</x:t>
        </x:is>
      </x:c>
      <x:c r="H77" s="5" t="n">
        <x:v>1.6</x:v>
      </x:c>
      <x:c r="I77" s="5" t="n">
        <x:v>55</x:v>
      </x:c>
      <x:c r="J77" s="5" t="n">
        <x:v>515</x:v>
      </x:c>
      <x:c r="K77" s="5" t="n">
        <x:v>60</x:v>
      </x:c>
      <x:c r="L77" s="5" t="inlineStr">
        <x:is>
          <x:t xml:space="preserve">최종</x:t>
        </x:is>
      </x:c>
      <x:c r="M77" s="5" t="n">
        <x:v>30</x:v>
      </x:c>
      <x:c r="N77" s="5" t="inlineStr">
        <x:is>
          <x:t xml:space="preserve">레벨</x:t>
        </x:is>
      </x:c>
      <x:c r="O77" s="5" t="inlineStr">
        <x:is>
          <x:t xml:space="preserve">예</x:t>
        </x:is>
      </x:c>
      <x:c r="P77" s="5" t="inlineStr">
        <x:is>
          <x:t xml:space="preserve">#cobblemon:is_ocean; #cobblemon:is_overworld</x:t>
        </x:is>
      </x:c>
      <x:c r="Q77" s="5" t="inlineStr">
        <x:is>
          <x:t xml:space="preserve">common</x:t>
        </x:is>
      </x:c>
      <x:c r="R77" s="5" t="inlineStr">
        <x:is>
          <x:t xml:space="preserve"/>
        </x:is>
      </x:c>
      <x:c r="S77" s="5" t="inlineStr">
        <x:is>
          <x:t xml:space="preserve"/>
        </x:is>
      </x:c>
      <x:c r="T77" s="5" t="inlineStr">
        <x:is>
          <x:t xml:space="preserve">해양</x:t>
        </x:is>
      </x:c>
      <x:c r="U77" s="5" t="inlineStr">
        <x:is>
          <x:t xml:space="preserve">해안·해양</x:t>
        </x:is>
      </x:c>
      <x:c r="V77" s="5" t="inlineStr">
        <x:is>
          <x:t xml:space="preserve">온대</x:t>
        </x:is>
      </x:c>
      <x:c r="W77" s="5" t="inlineStr">
        <x:is>
          <x:t xml:space="preserve">수중</x:t>
        </x:is>
      </x:c>
      <x:c r="X77" s="5" t="inlineStr">
        <x:is>
          <x:t xml:space="preserve">비</x:t>
        </x:is>
      </x:c>
      <x:c r="Y77" s="5" t="inlineStr">
        <x:is>
          <x:t xml:space="preserve">무관</x:t>
        </x:is>
      </x:c>
      <x:c r="Z77" s="5" t="inlineStr">
        <x:is>
          <x:t xml:space="preserve">흔함</x:t>
        </x:is>
      </x:c>
      <x:c r="AA77" s="5" t="inlineStr">
        <x:is>
          <x:t xml:space="preserve">없음</x:t>
        </x:is>
      </x:c>
      <x:c r="AB77" s="5" t="inlineStr">
        <x:is>
          <x:t xml:space="preserve">해양</x:t>
        </x:is>
      </x:c>
      <x:c r="AC77" s="5" t="inlineStr">
        <x:is>
          <x:t xml:space="preserve">gen1</x:t>
        </x:is>
      </x:c>
      <x:c r="AD77" s="5" t="inlineStr">
        <x:is>
          <x:t xml:space="preserve">.tmp/cobblemon-1.7.3-source/common/src/main/resources/data/cobblemon/species/generation1/tentacruel.json</x:t>
        </x:is>
      </x:c>
    </x:row>
    <x:row r="78" ht="22" customHeight="1">
      <x:c r="A78" s="5" t="n">
        <x:v>74</x:v>
      </x:c>
      <x:c r="B78" s="5" t="inlineStr">
        <x:is>
          <x:t xml:space="preserve">꼬마돌</x:t>
        </x:is>
      </x:c>
      <x:c r="C78" s="5" t="inlineStr">
        <x:is>
          <x:t xml:space="preserve">geodude</x:t>
        </x:is>
      </x:c>
      <x:c r="D78" s="5" t="inlineStr">
        <x:is>
          <x:t xml:space="preserve">Geodude</x:t>
        </x:is>
      </x:c>
      <x:c r="E78" s="5" t="n">
        <x:v>1</x:v>
      </x:c>
      <x:c r="F78" s="5" t="inlineStr">
        <x:is>
          <x:t xml:space="preserve">바위</x:t>
        </x:is>
      </x:c>
      <x:c r="G78" s="5" t="inlineStr">
        <x:is>
          <x:t xml:space="preserve">땅</x:t>
        </x:is>
      </x:c>
      <x:c r="H78" s="5" t="n">
        <x:v>0.4</x:v>
      </x:c>
      <x:c r="I78" s="5" t="n">
        <x:v>20</x:v>
      </x:c>
      <x:c r="J78" s="5" t="n">
        <x:v>300</x:v>
      </x:c>
      <x:c r="K78" s="5" t="n">
        <x:v>255</x:v>
      </x:c>
      <x:c r="L78" s="5" t="inlineStr">
        <x:is>
          <x:t xml:space="preserve">기본</x:t>
        </x:is>
      </x:c>
      <x:c r="M78" s="5" t="n">
        <x:v>25</x:v>
      </x:c>
      <x:c r="N78" s="5" t="inlineStr">
        <x:is>
          <x:t xml:space="preserve">레벨·특수</x:t>
        </x:is>
      </x:c>
      <x:c r="O78" s="5" t="inlineStr">
        <x:is>
          <x:t xml:space="preserve">예</x:t>
        </x:is>
      </x:c>
      <x:c r="P78" s="5" t="inlineStr">
        <x:is>
          <x:t xml:space="preserve">#cobblemon:is_mountain; #cobblemon:is_overworld</x:t>
        </x:is>
      </x:c>
      <x:c r="Q78" s="5" t="inlineStr">
        <x:is>
          <x:t xml:space="preserve">common</x:t>
        </x:is>
      </x:c>
      <x:c r="R78" s="5" t="inlineStr">
        <x:is>
          <x:t xml:space="preserve"/>
        </x:is>
      </x:c>
      <x:c r="S78" s="5" t="inlineStr">
        <x:is>
          <x:t xml:space="preserve"/>
        </x:is>
      </x:c>
      <x:c r="T78" s="5" t="inlineStr">
        <x:is>
          <x:t xml:space="preserve">육상</x:t>
        </x:is>
      </x:c>
      <x:c r="U78" s="5" t="inlineStr">
        <x:is>
          <x:t xml:space="preserve">암석</x:t>
        </x:is>
      </x:c>
      <x:c r="V78" s="5" t="inlineStr">
        <x:is>
          <x:t xml:space="preserve">온대</x:t>
        </x:is>
      </x:c>
      <x:c r="W78" s="5" t="inlineStr">
        <x:is>
          <x:t xml:space="preserve">보통</x:t>
        </x:is>
      </x:c>
      <x:c r="X78" s="5" t="inlineStr">
        <x:is>
          <x:t xml:space="preserve">무관</x:t>
        </x:is>
      </x:c>
      <x:c r="Y78" s="5" t="inlineStr">
        <x:is>
          <x:t xml:space="preserve">무관</x:t>
        </x:is>
      </x:c>
      <x:c r="Z78" s="5" t="inlineStr">
        <x:is>
          <x:t xml:space="preserve">흔함</x:t>
        </x:is>
      </x:c>
      <x:c r="AA78" s="5" t="inlineStr">
        <x:is>
          <x:t xml:space="preserve">없음</x:t>
        </x:is>
      </x:c>
      <x:c r="AB78" s="5" t="inlineStr">
        <x:is>
          <x:t xml:space="preserve">산악</x:t>
        </x:is>
      </x:c>
      <x:c r="AC78" s="5" t="inlineStr">
        <x:is>
          <x:t xml:space="preserve">gen1; kantonian_form</x:t>
        </x:is>
      </x:c>
      <x:c r="AD78" s="5" t="inlineStr">
        <x:is>
          <x:t xml:space="preserve">.tmp/cobblemon-1.7.3-source/common/src/main/resources/data/cobblemon/species/generation1/geodude.json</x:t>
        </x:is>
      </x:c>
    </x:row>
    <x:row r="79" ht="22" customHeight="1">
      <x:c r="A79" s="5" t="n">
        <x:v>75</x:v>
      </x:c>
      <x:c r="B79" s="5" t="inlineStr">
        <x:is>
          <x:t xml:space="preserve">데구리</x:t>
        </x:is>
      </x:c>
      <x:c r="C79" s="5" t="inlineStr">
        <x:is>
          <x:t xml:space="preserve">graveler</x:t>
        </x:is>
      </x:c>
      <x:c r="D79" s="5" t="inlineStr">
        <x:is>
          <x:t xml:space="preserve">Graveler</x:t>
        </x:is>
      </x:c>
      <x:c r="E79" s="5" t="n">
        <x:v>1</x:v>
      </x:c>
      <x:c r="F79" s="5" t="inlineStr">
        <x:is>
          <x:t xml:space="preserve">바위</x:t>
        </x:is>
      </x:c>
      <x:c r="G79" s="5" t="inlineStr">
        <x:is>
          <x:t xml:space="preserve">땅</x:t>
        </x:is>
      </x:c>
      <x:c r="H79" s="5" t="n">
        <x:v>1</x:v>
      </x:c>
      <x:c r="I79" s="5" t="n">
        <x:v>105</x:v>
      </x:c>
      <x:c r="J79" s="5" t="n">
        <x:v>390</x:v>
      </x:c>
      <x:c r="K79" s="5" t="n">
        <x:v>120</x:v>
      </x:c>
      <x:c r="L79" s="5" t="inlineStr">
        <x:is>
          <x:t xml:space="preserve">중간</x:t>
        </x:is>
      </x:c>
      <x:c r="M79" s="5" t="n">
        <x:v>25</x:v>
      </x:c>
      <x:c r="N79" s="5" t="inlineStr">
        <x:is>
          <x:t xml:space="preserve">레벨·특수</x:t>
        </x:is>
      </x:c>
      <x:c r="O79" s="5" t="inlineStr">
        <x:is>
          <x:t xml:space="preserve">예</x:t>
        </x:is>
      </x:c>
      <x:c r="P79" s="5" t="inlineStr">
        <x:is>
          <x:t xml:space="preserve">#cobblemon:is_mountain; #cobblemon:is_overworld</x:t>
        </x:is>
      </x:c>
      <x:c r="Q79" s="5" t="inlineStr">
        <x:is>
          <x:t xml:space="preserve">common</x:t>
        </x:is>
      </x:c>
      <x:c r="R79" s="5" t="inlineStr">
        <x:is>
          <x:t xml:space="preserve"/>
        </x:is>
      </x:c>
      <x:c r="S79" s="5" t="inlineStr">
        <x:is>
          <x:t xml:space="preserve"/>
        </x:is>
      </x:c>
      <x:c r="T79" s="5" t="inlineStr">
        <x:is>
          <x:t xml:space="preserve">육상</x:t>
        </x:is>
      </x:c>
      <x:c r="U79" s="5" t="inlineStr">
        <x:is>
          <x:t xml:space="preserve">암석</x:t>
        </x:is>
      </x:c>
      <x:c r="V79" s="5" t="inlineStr">
        <x:is>
          <x:t xml:space="preserve">온대</x:t>
        </x:is>
      </x:c>
      <x:c r="W79" s="5" t="inlineStr">
        <x:is>
          <x:t xml:space="preserve">보통</x:t>
        </x:is>
      </x:c>
      <x:c r="X79" s="5" t="inlineStr">
        <x:is>
          <x:t xml:space="preserve">무관</x:t>
        </x:is>
      </x:c>
      <x:c r="Y79" s="5" t="inlineStr">
        <x:is>
          <x:t xml:space="preserve">무관</x:t>
        </x:is>
      </x:c>
      <x:c r="Z79" s="5" t="inlineStr">
        <x:is>
          <x:t xml:space="preserve">흔함</x:t>
        </x:is>
      </x:c>
      <x:c r="AA79" s="5" t="inlineStr">
        <x:is>
          <x:t xml:space="preserve">없음</x:t>
        </x:is>
      </x:c>
      <x:c r="AB79" s="5" t="inlineStr">
        <x:is>
          <x:t xml:space="preserve">산악</x:t>
        </x:is>
      </x:c>
      <x:c r="AC79" s="5" t="inlineStr">
        <x:is>
          <x:t xml:space="preserve">gen1; kantonian_form</x:t>
        </x:is>
      </x:c>
      <x:c r="AD79" s="5" t="inlineStr">
        <x:is>
          <x:t xml:space="preserve">.tmp/cobblemon-1.7.3-source/common/src/main/resources/data/cobblemon/species/generation1/graveler.json</x:t>
        </x:is>
      </x:c>
    </x:row>
    <x:row r="80" ht="22" customHeight="1">
      <x:c r="A80" s="5" t="n">
        <x:v>76</x:v>
      </x:c>
      <x:c r="B80" s="5" t="inlineStr">
        <x:is>
          <x:t xml:space="preserve">딱구리</x:t>
        </x:is>
      </x:c>
      <x:c r="C80" s="5" t="inlineStr">
        <x:is>
          <x:t xml:space="preserve">golem</x:t>
        </x:is>
      </x:c>
      <x:c r="D80" s="5" t="inlineStr">
        <x:is>
          <x:t xml:space="preserve">Golem</x:t>
        </x:is>
      </x:c>
      <x:c r="E80" s="5" t="n">
        <x:v>1</x:v>
      </x:c>
      <x:c r="F80" s="5" t="inlineStr">
        <x:is>
          <x:t xml:space="preserve">바위</x:t>
        </x:is>
      </x:c>
      <x:c r="G80" s="5" t="inlineStr">
        <x:is>
          <x:t xml:space="preserve">땅</x:t>
        </x:is>
      </x:c>
      <x:c r="H80" s="5" t="n">
        <x:v>1.4</x:v>
      </x:c>
      <x:c r="I80" s="5" t="n">
        <x:v>300</x:v>
      </x:c>
      <x:c r="J80" s="5" t="n">
        <x:v>495</x:v>
      </x:c>
      <x:c r="K80" s="5" t="n">
        <x:v>45</x:v>
      </x:c>
      <x:c r="L80" s="5" t="inlineStr">
        <x:is>
          <x:t xml:space="preserve">최종</x:t>
        </x:is>
      </x:c>
      <x:c r="M80" s="5" t="n">
        <x:v>25</x:v>
      </x:c>
      <x:c r="N80" s="5" t="inlineStr">
        <x:is>
          <x:t xml:space="preserve">레벨·특수</x:t>
        </x:is>
      </x:c>
      <x:c r="O80" s="5" t="inlineStr">
        <x:is>
          <x:t xml:space="preserve">예</x:t>
        </x:is>
      </x:c>
      <x:c r="P80" s="5" t="inlineStr">
        <x:is>
          <x:t xml:space="preserve">#cobblemon:is_mountain; #cobblemon:is_overworld</x:t>
        </x:is>
      </x:c>
      <x:c r="Q80" s="5" t="inlineStr">
        <x:is>
          <x:t xml:space="preserve">common</x:t>
        </x:is>
      </x:c>
      <x:c r="R80" s="5" t="inlineStr">
        <x:is>
          <x:t xml:space="preserve"/>
        </x:is>
      </x:c>
      <x:c r="S80" s="5" t="inlineStr">
        <x:is>
          <x:t xml:space="preserve"/>
        </x:is>
      </x:c>
      <x:c r="T80" s="5" t="inlineStr">
        <x:is>
          <x:t xml:space="preserve">육상</x:t>
        </x:is>
      </x:c>
      <x:c r="U80" s="5" t="inlineStr">
        <x:is>
          <x:t xml:space="preserve">암석</x:t>
        </x:is>
      </x:c>
      <x:c r="V80" s="5" t="inlineStr">
        <x:is>
          <x:t xml:space="preserve">온대</x:t>
        </x:is>
      </x:c>
      <x:c r="W80" s="5" t="inlineStr">
        <x:is>
          <x:t xml:space="preserve">보통</x:t>
        </x:is>
      </x:c>
      <x:c r="X80" s="5" t="inlineStr">
        <x:is>
          <x:t xml:space="preserve">무관</x:t>
        </x:is>
      </x:c>
      <x:c r="Y80" s="5" t="inlineStr">
        <x:is>
          <x:t xml:space="preserve">무관</x:t>
        </x:is>
      </x:c>
      <x:c r="Z80" s="5" t="inlineStr">
        <x:is>
          <x:t xml:space="preserve">흔함</x:t>
        </x:is>
      </x:c>
      <x:c r="AA80" s="5" t="inlineStr">
        <x:is>
          <x:t xml:space="preserve">없음</x:t>
        </x:is>
      </x:c>
      <x:c r="AB80" s="5" t="inlineStr">
        <x:is>
          <x:t xml:space="preserve">산악</x:t>
        </x:is>
      </x:c>
      <x:c r="AC80" s="5" t="inlineStr">
        <x:is>
          <x:t xml:space="preserve">gen1; kantonian_form</x:t>
        </x:is>
      </x:c>
      <x:c r="AD80" s="5" t="inlineStr">
        <x:is>
          <x:t xml:space="preserve">.tmp/cobblemon-1.7.3-source/common/src/main/resources/data/cobblemon/species/generation1/golem.json</x:t>
        </x:is>
      </x:c>
    </x:row>
    <x:row r="81" ht="22" customHeight="1">
      <x:c r="A81" s="5" t="n">
        <x:v>77</x:v>
      </x:c>
      <x:c r="B81" s="5" t="inlineStr">
        <x:is>
          <x:t xml:space="preserve">포니타</x:t>
        </x:is>
      </x:c>
      <x:c r="C81" s="5" t="inlineStr">
        <x:is>
          <x:t xml:space="preserve">ponyta</x:t>
        </x:is>
      </x:c>
      <x:c r="D81" s="5" t="inlineStr">
        <x:is>
          <x:t xml:space="preserve">Ponyta</x:t>
        </x:is>
      </x:c>
      <x:c r="E81" s="5" t="n">
        <x:v>1</x:v>
      </x:c>
      <x:c r="F81" s="5" t="inlineStr">
        <x:is>
          <x:t xml:space="preserve">불꽃</x:t>
        </x:is>
      </x:c>
      <x:c r="G81" s="5" t="inlineStr">
        <x:is>
          <x:t xml:space="preserve"/>
        </x:is>
      </x:c>
      <x:c r="H81" s="5" t="n">
        <x:v>1</x:v>
      </x:c>
      <x:c r="I81" s="5" t="n">
        <x:v>30</x:v>
      </x:c>
      <x:c r="J81" s="5" t="n">
        <x:v>410</x:v>
      </x:c>
      <x:c r="K81" s="5" t="n">
        <x:v>190</x:v>
      </x:c>
      <x:c r="L81" s="5" t="inlineStr">
        <x:is>
          <x:t xml:space="preserve">기본</x:t>
        </x:is>
      </x:c>
      <x:c r="M81" s="5" t="n">
        <x:v>40</x:v>
      </x:c>
      <x:c r="N81" s="5" t="inlineStr">
        <x:is>
          <x:t xml:space="preserve">레벨</x:t>
        </x:is>
      </x:c>
      <x:c r="O81" s="5" t="inlineStr">
        <x:is>
          <x:t xml:space="preserve">예</x:t>
        </x:is>
      </x:c>
      <x:c r="P81" s="5" t="inlineStr">
        <x:is>
          <x:t xml:space="preserve">#aether:is_aether; #cobblemon:is_floral; #cobblemon:is_grassland; #cobblemon:is_magical; #cobblemon:nether/is_overgrowth; #cobblemon:nether/is_wasteland</x:t>
        </x:is>
      </x:c>
      <x:c r="Q81" s="5" t="inlineStr">
        <x:is>
          <x:t xml:space="preserve">common; uncommon</x:t>
        </x:is>
      </x:c>
      <x:c r="R81" s="5" t="inlineStr">
        <x:is>
          <x:t xml:space="preserve"/>
        </x:is>
      </x:c>
      <x:c r="S81" s="5" t="inlineStr">
        <x:is>
          <x:t xml:space="preserve">비=False</x:t>
        </x:is>
      </x:c>
      <x:c r="T81" s="5" t="inlineStr">
        <x:is>
          <x:t xml:space="preserve">육상</x:t>
        </x:is>
      </x:c>
      <x:c r="U81" s="5" t="inlineStr">
        <x:is>
          <x:t xml:space="preserve">화산</x:t>
        </x:is>
      </x:c>
      <x:c r="V81" s="5" t="inlineStr">
        <x:is>
          <x:t xml:space="preserve">고온</x:t>
        </x:is>
      </x:c>
      <x:c r="W81" s="5" t="inlineStr">
        <x:is>
          <x:t xml:space="preserve">건조</x:t>
        </x:is>
      </x:c>
      <x:c r="X81" s="5" t="inlineStr">
        <x:is>
          <x:t xml:space="preserve">맑음</x:t>
        </x:is>
      </x:c>
      <x:c r="Y81" s="5" t="inlineStr">
        <x:is>
          <x:t xml:space="preserve">무관</x:t>
        </x:is>
      </x:c>
      <x:c r="Z81" s="5" t="inlineStr">
        <x:is>
          <x:t xml:space="preserve">보통</x:t>
        </x:is>
      </x:c>
      <x:c r="AA81" s="5" t="inlineStr">
        <x:is>
          <x:t xml:space="preserve">화산</x:t>
        </x:is>
      </x:c>
      <x:c r="AB81" s="5" t="inlineStr">
        <x:is>
          <x:t xml:space="preserve">화산</x:t>
        </x:is>
      </x:c>
      <x:c r="AC81" s="5" t="inlineStr">
        <x:is>
          <x:t xml:space="preserve">gen1; kantonian_form</x:t>
        </x:is>
      </x:c>
      <x:c r="AD81" s="5" t="inlineStr">
        <x:is>
          <x:t xml:space="preserve">.tmp/cobblemon-1.7.3-source/common/src/main/resources/data/cobblemon/species/generation1/ponyta.json</x:t>
        </x:is>
      </x:c>
    </x:row>
    <x:row r="82" ht="22" customHeight="1">
      <x:c r="A82" s="5" t="n">
        <x:v>78</x:v>
      </x:c>
      <x:c r="B82" s="5" t="inlineStr">
        <x:is>
          <x:t xml:space="preserve">날쌩마</x:t>
        </x:is>
      </x:c>
      <x:c r="C82" s="5" t="inlineStr">
        <x:is>
          <x:t xml:space="preserve">rapidash</x:t>
        </x:is>
      </x:c>
      <x:c r="D82" s="5" t="inlineStr">
        <x:is>
          <x:t xml:space="preserve">Rapidash</x:t>
        </x:is>
      </x:c>
      <x:c r="E82" s="5" t="n">
        <x:v>1</x:v>
      </x:c>
      <x:c r="F82" s="5" t="inlineStr">
        <x:is>
          <x:t xml:space="preserve">불꽃</x:t>
        </x:is>
      </x:c>
      <x:c r="G82" s="5" t="inlineStr">
        <x:is>
          <x:t xml:space="preserve"/>
        </x:is>
      </x:c>
      <x:c r="H82" s="5" t="n">
        <x:v>1.7</x:v>
      </x:c>
      <x:c r="I82" s="5" t="n">
        <x:v>95</x:v>
      </x:c>
      <x:c r="J82" s="5" t="n">
        <x:v>500</x:v>
      </x:c>
      <x:c r="K82" s="5" t="n">
        <x:v>60</x:v>
      </x:c>
      <x:c r="L82" s="5" t="inlineStr">
        <x:is>
          <x:t xml:space="preserve">최종</x:t>
        </x:is>
      </x:c>
      <x:c r="M82" s="5" t="n">
        <x:v>40</x:v>
      </x:c>
      <x:c r="N82" s="5" t="inlineStr">
        <x:is>
          <x:t xml:space="preserve">레벨</x:t>
        </x:is>
      </x:c>
      <x:c r="O82" s="5" t="inlineStr">
        <x:is>
          <x:t xml:space="preserve">예</x:t>
        </x:is>
      </x:c>
      <x:c r="P82" s="5" t="inlineStr">
        <x:is>
          <x:t xml:space="preserve">#aether:is_aether; #cobblemon:is_floral; #cobblemon:is_grassland; #cobblemon:is_magical; #cobblemon:nether/is_overgrowth; #cobblemon:nether/is_wasteland</x:t>
        </x:is>
      </x:c>
      <x:c r="Q82" s="5" t="inlineStr">
        <x:is>
          <x:t xml:space="preserve">common; uncommon</x:t>
        </x:is>
      </x:c>
      <x:c r="R82" s="5" t="inlineStr">
        <x:is>
          <x:t xml:space="preserve"/>
        </x:is>
      </x:c>
      <x:c r="S82" s="5" t="inlineStr">
        <x:is>
          <x:t xml:space="preserve">비=False</x:t>
        </x:is>
      </x:c>
      <x:c r="T82" s="5" t="inlineStr">
        <x:is>
          <x:t xml:space="preserve">육상</x:t>
        </x:is>
      </x:c>
      <x:c r="U82" s="5" t="inlineStr">
        <x:is>
          <x:t xml:space="preserve">화산</x:t>
        </x:is>
      </x:c>
      <x:c r="V82" s="5" t="inlineStr">
        <x:is>
          <x:t xml:space="preserve">고온</x:t>
        </x:is>
      </x:c>
      <x:c r="W82" s="5" t="inlineStr">
        <x:is>
          <x:t xml:space="preserve">건조</x:t>
        </x:is>
      </x:c>
      <x:c r="X82" s="5" t="inlineStr">
        <x:is>
          <x:t xml:space="preserve">맑음</x:t>
        </x:is>
      </x:c>
      <x:c r="Y82" s="5" t="inlineStr">
        <x:is>
          <x:t xml:space="preserve">무관</x:t>
        </x:is>
      </x:c>
      <x:c r="Z82" s="5" t="inlineStr">
        <x:is>
          <x:t xml:space="preserve">보통</x:t>
        </x:is>
      </x:c>
      <x:c r="AA82" s="5" t="inlineStr">
        <x:is>
          <x:t xml:space="preserve">화산</x:t>
        </x:is>
      </x:c>
      <x:c r="AB82" s="5" t="inlineStr">
        <x:is>
          <x:t xml:space="preserve">화산</x:t>
        </x:is>
      </x:c>
      <x:c r="AC82" s="5" t="inlineStr">
        <x:is>
          <x:t xml:space="preserve">gen1; kantonian_form</x:t>
        </x:is>
      </x:c>
      <x:c r="AD82" s="5" t="inlineStr">
        <x:is>
          <x:t xml:space="preserve">.tmp/cobblemon-1.7.3-source/common/src/main/resources/data/cobblemon/species/generation1/rapidash.json</x:t>
        </x:is>
      </x:c>
    </x:row>
    <x:row r="83" ht="22" customHeight="1">
      <x:c r="A83" s="5" t="n">
        <x:v>79</x:v>
      </x:c>
      <x:c r="B83" s="5" t="inlineStr">
        <x:is>
          <x:t xml:space="preserve">야돈</x:t>
        </x:is>
      </x:c>
      <x:c r="C83" s="5" t="inlineStr">
        <x:is>
          <x:t xml:space="preserve">slowpoke</x:t>
        </x:is>
      </x:c>
      <x:c r="D83" s="5" t="inlineStr">
        <x:is>
          <x:t xml:space="preserve">Slowpoke</x:t>
        </x:is>
      </x:c>
      <x:c r="E83" s="5" t="n">
        <x:v>1</x:v>
      </x:c>
      <x:c r="F83" s="5" t="inlineStr">
        <x:is>
          <x:t xml:space="preserve">물</x:t>
        </x:is>
      </x:c>
      <x:c r="G83" s="5" t="inlineStr">
        <x:is>
          <x:t xml:space="preserve">에스퍼</x:t>
        </x:is>
      </x:c>
      <x:c r="H83" s="5" t="n">
        <x:v>1.2</x:v>
      </x:c>
      <x:c r="I83" s="5" t="n">
        <x:v>36</x:v>
      </x:c>
      <x:c r="J83" s="5" t="n">
        <x:v>315</x:v>
      </x:c>
      <x:c r="K83" s="5" t="n">
        <x:v>190</x:v>
      </x:c>
      <x:c r="L83" s="5" t="inlineStr">
        <x:is>
          <x:t xml:space="preserve">기본</x:t>
        </x:is>
      </x:c>
      <x:c r="M83" s="5" t="n">
        <x:v>37</x:v>
      </x:c>
      <x:c r="N83" s="5" t="inlineStr">
        <x:is>
          <x:t xml:space="preserve">레벨·특수</x:t>
        </x:is>
      </x:c>
      <x:c r="O83" s="5" t="inlineStr">
        <x:is>
          <x:t xml:space="preserve">예</x:t>
        </x:is>
      </x:c>
      <x:c r="P83" s="5" t="inlineStr">
        <x:is>
          <x:t xml:space="preserve">#cobblemon:is_beach; #cobblemon:is_freshwater; #cobblemon:is_river; #cobblemon:is_tropical_island; minecraft:mushroom_fields</x:t>
        </x:is>
      </x:c>
      <x:c r="Q83" s="5" t="inlineStr">
        <x:is>
          <x:t xml:space="preserve">common</x:t>
        </x:is>
      </x:c>
      <x:c r="R83" s="5" t="inlineStr">
        <x:is>
          <x:t xml:space="preserve"/>
        </x:is>
      </x:c>
      <x:c r="S83" s="5" t="inlineStr">
        <x:is>
          <x:t xml:space="preserve"/>
        </x:is>
      </x:c>
      <x:c r="T83" s="5" t="inlineStr">
        <x:is>
          <x:t xml:space="preserve">해양</x:t>
        </x:is>
      </x:c>
      <x:c r="U83" s="5" t="inlineStr">
        <x:is>
          <x:t xml:space="preserve">해안·해양</x:t>
        </x:is>
      </x:c>
      <x:c r="V83" s="5" t="inlineStr">
        <x:is>
          <x:t xml:space="preserve">온대</x:t>
        </x:is>
      </x:c>
      <x:c r="W83" s="5" t="inlineStr">
        <x:is>
          <x:t xml:space="preserve">수중</x:t>
        </x:is>
      </x:c>
      <x:c r="X83" s="5" t="inlineStr">
        <x:is>
          <x:t xml:space="preserve">비</x:t>
        </x:is>
      </x:c>
      <x:c r="Y83" s="5" t="inlineStr">
        <x:is>
          <x:t xml:space="preserve">무관</x:t>
        </x:is>
      </x:c>
      <x:c r="Z83" s="5" t="inlineStr">
        <x:is>
          <x:t xml:space="preserve">흔함</x:t>
        </x:is>
      </x:c>
      <x:c r="AA83" s="5" t="inlineStr">
        <x:is>
          <x:t xml:space="preserve">없음</x:t>
        </x:is>
      </x:c>
      <x:c r="AB83" s="5" t="inlineStr">
        <x:is>
          <x:t xml:space="preserve">해양</x:t>
        </x:is>
      </x:c>
      <x:c r="AC83" s="5" t="inlineStr">
        <x:is>
          <x:t xml:space="preserve">gen1; kantonian_form</x:t>
        </x:is>
      </x:c>
      <x:c r="AD83" s="5" t="inlineStr">
        <x:is>
          <x:t xml:space="preserve">.tmp/cobblemon-1.7.3-source/common/src/main/resources/data/cobblemon/species/generation1/slowpoke.json</x:t>
        </x:is>
      </x:c>
    </x:row>
    <x:row r="84" ht="22" customHeight="1">
      <x:c r="A84" s="5" t="n">
        <x:v>80</x:v>
      </x:c>
      <x:c r="B84" s="5" t="inlineStr">
        <x:is>
          <x:t xml:space="preserve">야도란</x:t>
        </x:is>
      </x:c>
      <x:c r="C84" s="5" t="inlineStr">
        <x:is>
          <x:t xml:space="preserve">slowbro</x:t>
        </x:is>
      </x:c>
      <x:c r="D84" s="5" t="inlineStr">
        <x:is>
          <x:t xml:space="preserve">Slowbro</x:t>
        </x:is>
      </x:c>
      <x:c r="E84" s="5" t="n">
        <x:v>1</x:v>
      </x:c>
      <x:c r="F84" s="5" t="inlineStr">
        <x:is>
          <x:t xml:space="preserve">물</x:t>
        </x:is>
      </x:c>
      <x:c r="G84" s="5" t="inlineStr">
        <x:is>
          <x:t xml:space="preserve">에스퍼</x:t>
        </x:is>
      </x:c>
      <x:c r="H84" s="5" t="n">
        <x:v>1.6</x:v>
      </x:c>
      <x:c r="I84" s="5" t="n">
        <x:v>78.5</x:v>
      </x:c>
      <x:c r="J84" s="5" t="n">
        <x:v>490</x:v>
      </x:c>
      <x:c r="K84" s="5" t="n">
        <x:v>75</x:v>
      </x:c>
      <x:c r="L84" s="5" t="inlineStr">
        <x:is>
          <x:t xml:space="preserve">최종</x:t>
        </x:is>
      </x:c>
      <x:c r="M84" s="5" t="n">
        <x:v>37</x:v>
      </x:c>
      <x:c r="N84" s="5" t="inlineStr">
        <x:is>
          <x:t xml:space="preserve">레벨·특수</x:t>
        </x:is>
      </x:c>
      <x:c r="O84" s="5" t="inlineStr">
        <x:is>
          <x:t xml:space="preserve">예</x:t>
        </x:is>
      </x:c>
      <x:c r="P84" s="5" t="inlineStr">
        <x:is>
          <x:t xml:space="preserve">#cobblemon:is_beach; #cobblemon:is_tropical_island; minecraft:mushroom_fields</x:t>
        </x:is>
      </x:c>
      <x:c r="Q84" s="5" t="inlineStr">
        <x:is>
          <x:t xml:space="preserve">common</x:t>
        </x:is>
      </x:c>
      <x:c r="R84" s="5" t="inlineStr">
        <x:is>
          <x:t xml:space="preserve"/>
        </x:is>
      </x:c>
      <x:c r="S84" s="5" t="inlineStr">
        <x:is>
          <x:t xml:space="preserve"/>
        </x:is>
      </x:c>
      <x:c r="T84" s="5" t="inlineStr">
        <x:is>
          <x:t xml:space="preserve">해양</x:t>
        </x:is>
      </x:c>
      <x:c r="U84" s="5" t="inlineStr">
        <x:is>
          <x:t xml:space="preserve">해안·해양</x:t>
        </x:is>
      </x:c>
      <x:c r="V84" s="5" t="inlineStr">
        <x:is>
          <x:t xml:space="preserve">온대</x:t>
        </x:is>
      </x:c>
      <x:c r="W84" s="5" t="inlineStr">
        <x:is>
          <x:t xml:space="preserve">수중</x:t>
        </x:is>
      </x:c>
      <x:c r="X84" s="5" t="inlineStr">
        <x:is>
          <x:t xml:space="preserve">비</x:t>
        </x:is>
      </x:c>
      <x:c r="Y84" s="5" t="inlineStr">
        <x:is>
          <x:t xml:space="preserve">무관</x:t>
        </x:is>
      </x:c>
      <x:c r="Z84" s="5" t="inlineStr">
        <x:is>
          <x:t xml:space="preserve">흔함</x:t>
        </x:is>
      </x:c>
      <x:c r="AA84" s="5" t="inlineStr">
        <x:is>
          <x:t xml:space="preserve">없음</x:t>
        </x:is>
      </x:c>
      <x:c r="AB84" s="5" t="inlineStr">
        <x:is>
          <x:t xml:space="preserve">해양</x:t>
        </x:is>
      </x:c>
      <x:c r="AC84" s="5" t="inlineStr">
        <x:is>
          <x:t xml:space="preserve">gen1; kantonian_form</x:t>
        </x:is>
      </x:c>
      <x:c r="AD84" s="5" t="inlineStr">
        <x:is>
          <x:t xml:space="preserve">.tmp/cobblemon-1.7.3-source/common/src/main/resources/data/cobblemon/species/generation1/slowbro.json</x:t>
        </x:is>
      </x:c>
    </x:row>
    <x:row r="85" ht="22" customHeight="1">
      <x:c r="A85" s="5" t="n">
        <x:v>81</x:v>
      </x:c>
      <x:c r="B85" s="5" t="inlineStr">
        <x:is>
          <x:t xml:space="preserve">코일</x:t>
        </x:is>
      </x:c>
      <x:c r="C85" s="5" t="inlineStr">
        <x:is>
          <x:t xml:space="preserve">magnemite</x:t>
        </x:is>
      </x:c>
      <x:c r="D85" s="5" t="inlineStr">
        <x:is>
          <x:t xml:space="preserve">Magnemite</x:t>
        </x:is>
      </x:c>
      <x:c r="E85" s="5" t="n">
        <x:v>1</x:v>
      </x:c>
      <x:c r="F85" s="5" t="inlineStr">
        <x:is>
          <x:t xml:space="preserve">전기</x:t>
        </x:is>
      </x:c>
      <x:c r="G85" s="5" t="inlineStr">
        <x:is>
          <x:t xml:space="preserve">강철</x:t>
        </x:is>
      </x:c>
      <x:c r="H85" s="5" t="n">
        <x:v>0.3</x:v>
      </x:c>
      <x:c r="I85" s="5" t="n">
        <x:v>6</x:v>
      </x:c>
      <x:c r="J85" s="5" t="n">
        <x:v>325</x:v>
      </x:c>
      <x:c r="K85" s="5" t="n">
        <x:v>190</x:v>
      </x:c>
      <x:c r="L85" s="5" t="inlineStr">
        <x:is>
          <x:t xml:space="preserve">기본</x:t>
        </x:is>
      </x:c>
      <x:c r="M85" s="5" t="n">
        <x:v>30</x:v>
      </x:c>
      <x:c r="N85" s="5" t="inlineStr">
        <x:is>
          <x:t xml:space="preserve">레벨·특수</x:t>
        </x:is>
      </x:c>
      <x:c r="O85" s="5" t="inlineStr">
        <x:is>
          <x:t xml:space="preserve">예</x:t>
        </x:is>
      </x:c>
      <x:c r="P85" s="5" t="inlineStr">
        <x:is>
          <x:t xml:space="preserve">#cobblemon:is_overworld</x:t>
        </x:is>
      </x:c>
      <x:c r="Q85" s="5" t="inlineStr">
        <x:is>
          <x:t xml:space="preserve">common; uncommon</x:t>
        </x:is>
      </x:c>
      <x:c r="R85" s="5" t="inlineStr">
        <x:is>
          <x:t xml:space="preserve"/>
        </x:is>
      </x:c>
      <x:c r="S85" s="5" t="inlineStr">
        <x:is>
          <x:t xml:space="preserve"/>
        </x:is>
      </x:c>
      <x:c r="T85" s="5" t="inlineStr">
        <x:is>
          <x:t xml:space="preserve">인공</x:t>
        </x:is>
      </x:c>
      <x:c r="U85" s="5" t="inlineStr">
        <x:is>
          <x:t xml:space="preserve">도시</x:t>
        </x:is>
      </x:c>
      <x:c r="V85" s="5" t="inlineStr">
        <x:is>
          <x:t xml:space="preserve">온대</x:t>
        </x:is>
      </x:c>
      <x:c r="W85" s="5" t="inlineStr">
        <x:is>
          <x:t xml:space="preserve">보통</x:t>
        </x:is>
      </x:c>
      <x:c r="X85" s="5" t="inlineStr">
        <x:is>
          <x:t xml:space="preserve">무관</x:t>
        </x:is>
      </x:c>
      <x:c r="Y85" s="5" t="inlineStr">
        <x:is>
          <x:t xml:space="preserve">무관</x:t>
        </x:is>
      </x:c>
      <x:c r="Z85" s="5" t="inlineStr">
        <x:is>
          <x:t xml:space="preserve">보통</x:t>
        </x:is>
      </x:c>
      <x:c r="AA85" s="5" t="inlineStr">
        <x:is>
          <x:t xml:space="preserve">도시</x:t>
        </x:is>
      </x:c>
      <x:c r="AB85" s="5" t="inlineStr">
        <x:is>
          <x:t xml:space="preserve"/>
        </x:is>
      </x:c>
      <x:c r="AC85" s="5" t="inlineStr">
        <x:is>
          <x:t xml:space="preserve">gen1</x:t>
        </x:is>
      </x:c>
      <x:c r="AD85" s="5" t="inlineStr">
        <x:is>
          <x:t xml:space="preserve">.tmp/cobblemon-1.7.3-source/common/src/main/resources/data/cobblemon/species/generation1/magnemite.json</x:t>
        </x:is>
      </x:c>
    </x:row>
    <x:row r="86" ht="22" customHeight="1">
      <x:c r="A86" s="5" t="n">
        <x:v>82</x:v>
      </x:c>
      <x:c r="B86" s="5" t="inlineStr">
        <x:is>
          <x:t xml:space="preserve">레어코일</x:t>
        </x:is>
      </x:c>
      <x:c r="C86" s="5" t="inlineStr">
        <x:is>
          <x:t xml:space="preserve">magneton</x:t>
        </x:is>
      </x:c>
      <x:c r="D86" s="5" t="inlineStr">
        <x:is>
          <x:t xml:space="preserve">Magneton</x:t>
        </x:is>
      </x:c>
      <x:c r="E86" s="5" t="n">
        <x:v>1</x:v>
      </x:c>
      <x:c r="F86" s="5" t="inlineStr">
        <x:is>
          <x:t xml:space="preserve">전기</x:t>
        </x:is>
      </x:c>
      <x:c r="G86" s="5" t="inlineStr">
        <x:is>
          <x:t xml:space="preserve">강철</x:t>
        </x:is>
      </x:c>
      <x:c r="H86" s="5" t="n">
        <x:v>1</x:v>
      </x:c>
      <x:c r="I86" s="5" t="n">
        <x:v>60</x:v>
      </x:c>
      <x:c r="J86" s="5" t="n">
        <x:v>465</x:v>
      </x:c>
      <x:c r="K86" s="5" t="n">
        <x:v>60</x:v>
      </x:c>
      <x:c r="L86" s="5" t="inlineStr">
        <x:is>
          <x:t xml:space="preserve">중간</x:t>
        </x:is>
      </x:c>
      <x:c r="M86" s="5" t="n">
        <x:v>30</x:v>
      </x:c>
      <x:c r="N86" s="5" t="inlineStr">
        <x:is>
          <x:t xml:space="preserve">레벨·특수</x:t>
        </x:is>
      </x:c>
      <x:c r="O86" s="5" t="inlineStr">
        <x:is>
          <x:t xml:space="preserve">예</x:t>
        </x:is>
      </x:c>
      <x:c r="P86" s="5" t="inlineStr">
        <x:is>
          <x:t xml:space="preserve">#cobblemon:is_overworld</x:t>
        </x:is>
      </x:c>
      <x:c r="Q86" s="5" t="inlineStr">
        <x:is>
          <x:t xml:space="preserve">common; uncommon</x:t>
        </x:is>
      </x:c>
      <x:c r="R86" s="5" t="inlineStr">
        <x:is>
          <x:t xml:space="preserve"/>
        </x:is>
      </x:c>
      <x:c r="S86" s="5" t="inlineStr">
        <x:is>
          <x:t xml:space="preserve"/>
        </x:is>
      </x:c>
      <x:c r="T86" s="5" t="inlineStr">
        <x:is>
          <x:t xml:space="preserve">인공</x:t>
        </x:is>
      </x:c>
      <x:c r="U86" s="5" t="inlineStr">
        <x:is>
          <x:t xml:space="preserve">도시</x:t>
        </x:is>
      </x:c>
      <x:c r="V86" s="5" t="inlineStr">
        <x:is>
          <x:t xml:space="preserve">온대</x:t>
        </x:is>
      </x:c>
      <x:c r="W86" s="5" t="inlineStr">
        <x:is>
          <x:t xml:space="preserve">보통</x:t>
        </x:is>
      </x:c>
      <x:c r="X86" s="5" t="inlineStr">
        <x:is>
          <x:t xml:space="preserve">무관</x:t>
        </x:is>
      </x:c>
      <x:c r="Y86" s="5" t="inlineStr">
        <x:is>
          <x:t xml:space="preserve">무관</x:t>
        </x:is>
      </x:c>
      <x:c r="Z86" s="5" t="inlineStr">
        <x:is>
          <x:t xml:space="preserve">보통</x:t>
        </x:is>
      </x:c>
      <x:c r="AA86" s="5" t="inlineStr">
        <x:is>
          <x:t xml:space="preserve">도시</x:t>
        </x:is>
      </x:c>
      <x:c r="AB86" s="5" t="inlineStr">
        <x:is>
          <x:t xml:space="preserve"/>
        </x:is>
      </x:c>
      <x:c r="AC86" s="5" t="inlineStr">
        <x:is>
          <x:t xml:space="preserve">gen1</x:t>
        </x:is>
      </x:c>
      <x:c r="AD86" s="5" t="inlineStr">
        <x:is>
          <x:t xml:space="preserve">.tmp/cobblemon-1.7.3-source/common/src/main/resources/data/cobblemon/species/generation1/magneton.json</x:t>
        </x:is>
      </x:c>
    </x:row>
    <x:row r="87" ht="22" customHeight="1">
      <x:c r="A87" s="5" t="n">
        <x:v>83</x:v>
      </x:c>
      <x:c r="B87" s="5" t="inlineStr">
        <x:is>
          <x:t xml:space="preserve">파오리</x:t>
        </x:is>
      </x:c>
      <x:c r="C87" s="5" t="inlineStr">
        <x:is>
          <x:t xml:space="preserve">farfetchd</x:t>
        </x:is>
      </x:c>
      <x:c r="D87" s="5" t="inlineStr">
        <x:is>
          <x:t xml:space="preserve">Farfetch'd</x:t>
        </x:is>
      </x:c>
      <x:c r="E87" s="5" t="n">
        <x:v>1</x:v>
      </x:c>
      <x:c r="F87" s="5" t="inlineStr">
        <x:is>
          <x:t xml:space="preserve">노말</x:t>
        </x:is>
      </x:c>
      <x:c r="G87" s="5" t="inlineStr">
        <x:is>
          <x:t xml:space="preserve">비행</x:t>
        </x:is>
      </x:c>
      <x:c r="H87" s="5" t="n">
        <x:v>0.8</x:v>
      </x:c>
      <x:c r="I87" s="5" t="n">
        <x:v>15</x:v>
      </x:c>
      <x:c r="J87" s="5" t="n">
        <x:v>377</x:v>
      </x:c>
      <x:c r="K87" s="5" t="n">
        <x:v>45</x:v>
      </x:c>
      <x:c r="L87" s="5" t="inlineStr">
        <x:is>
          <x:t xml:space="preserve">무진화</x:t>
        </x:is>
      </x:c>
      <x:c r="M87" s="5" t="n"/>
      <x:c r="N87" s="5" t="inlineStr">
        <x:is>
          <x:t xml:space="preserve">없음</x:t>
        </x:is>
      </x:c>
      <x:c r="O87" s="5" t="inlineStr">
        <x:is>
          <x:t xml:space="preserve">예</x:t>
        </x:is>
      </x:c>
      <x:c r="P87" s="5" t="inlineStr">
        <x:is>
          <x:t xml:space="preserve">#cobblemon:is_forest; #cobblemon:is_overworld</x:t>
        </x:is>
      </x:c>
      <x:c r="Q87" s="5" t="inlineStr">
        <x:is>
          <x:t xml:space="preserve">common; rare</x:t>
        </x:is>
      </x:c>
      <x:c r="R87" s="5" t="inlineStr">
        <x:is>
          <x:t xml:space="preserve"/>
        </x:is>
      </x:c>
      <x:c r="S87" s="5" t="inlineStr">
        <x:is>
          <x:t xml:space="preserve"/>
        </x:is>
      </x:c>
      <x:c r="T87" s="5" t="inlineStr">
        <x:is>
          <x:t xml:space="preserve">비행</x:t>
        </x:is>
      </x:c>
      <x:c r="U87" s="5" t="inlineStr">
        <x:is>
          <x:t xml:space="preserve">수목</x:t>
        </x:is>
      </x:c>
      <x:c r="V87" s="5" t="inlineStr">
        <x:is>
          <x:t xml:space="preserve">온대</x:t>
        </x:is>
      </x:c>
      <x:c r="W87" s="5" t="inlineStr">
        <x:is>
          <x:t xml:space="preserve">보통</x:t>
        </x:is>
      </x:c>
      <x:c r="X87" s="5" t="inlineStr">
        <x:is>
          <x:t xml:space="preserve">무관</x:t>
        </x:is>
      </x:c>
      <x:c r="Y87" s="5" t="inlineStr">
        <x:is>
          <x:t xml:space="preserve">무관</x:t>
        </x:is>
      </x:c>
      <x:c r="Z87" s="5" t="inlineStr">
        <x:is>
          <x:t xml:space="preserve">흔함</x:t>
        </x:is>
      </x:c>
      <x:c r="AA87" s="5" t="inlineStr">
        <x:is>
          <x:t xml:space="preserve">없음</x:t>
        </x:is>
      </x:c>
      <x:c r="AB87" s="5" t="inlineStr">
        <x:is>
          <x:t xml:space="preserve">숲</x:t>
        </x:is>
      </x:c>
      <x:c r="AC87" s="5" t="inlineStr">
        <x:is>
          <x:t xml:space="preserve">gen1; kantonian_form</x:t>
        </x:is>
      </x:c>
      <x:c r="AD87" s="5" t="inlineStr">
        <x:is>
          <x:t xml:space="preserve">.tmp/cobblemon-1.7.3-source/common/src/main/resources/data/cobblemon/species/generation1/farfetchd.json</x:t>
        </x:is>
      </x:c>
    </x:row>
    <x:row r="88" ht="22" customHeight="1">
      <x:c r="A88" s="5" t="n">
        <x:v>84</x:v>
      </x:c>
      <x:c r="B88" s="5" t="inlineStr">
        <x:is>
          <x:t xml:space="preserve">두두</x:t>
        </x:is>
      </x:c>
      <x:c r="C88" s="5" t="inlineStr">
        <x:is>
          <x:t xml:space="preserve">doduo</x:t>
        </x:is>
      </x:c>
      <x:c r="D88" s="5" t="inlineStr">
        <x:is>
          <x:t xml:space="preserve">Doduo</x:t>
        </x:is>
      </x:c>
      <x:c r="E88" s="5" t="n">
        <x:v>1</x:v>
      </x:c>
      <x:c r="F88" s="5" t="inlineStr">
        <x:is>
          <x:t xml:space="preserve">노말</x:t>
        </x:is>
      </x:c>
      <x:c r="G88" s="5" t="inlineStr">
        <x:is>
          <x:t xml:space="preserve">비행</x:t>
        </x:is>
      </x:c>
      <x:c r="H88" s="5" t="n">
        <x:v>1.4</x:v>
      </x:c>
      <x:c r="I88" s="5" t="n">
        <x:v>39.2</x:v>
      </x:c>
      <x:c r="J88" s="5" t="n">
        <x:v>310</x:v>
      </x:c>
      <x:c r="K88" s="5" t="n">
        <x:v>190</x:v>
      </x:c>
      <x:c r="L88" s="5" t="inlineStr">
        <x:is>
          <x:t xml:space="preserve">기본</x:t>
        </x:is>
      </x:c>
      <x:c r="M88" s="5" t="n">
        <x:v>31</x:v>
      </x:c>
      <x:c r="N88" s="5" t="inlineStr">
        <x:is>
          <x:t xml:space="preserve">레벨</x:t>
        </x:is>
      </x:c>
      <x:c r="O88" s="5" t="inlineStr">
        <x:is>
          <x:t xml:space="preserve">예</x:t>
        </x:is>
      </x:c>
      <x:c r="P88" s="5" t="inlineStr">
        <x:is>
          <x:t xml:space="preserve">#cobblemon:is_savanna; aether:skyroot_grove; aether:skyroot_meadow</x:t>
        </x:is>
      </x:c>
      <x:c r="Q88" s="5" t="inlineStr">
        <x:is>
          <x:t xml:space="preserve">common</x:t>
        </x:is>
      </x:c>
      <x:c r="R88" s="5" t="inlineStr">
        <x:is>
          <x:t xml:space="preserve"/>
        </x:is>
      </x:c>
      <x:c r="S88" s="5" t="inlineStr">
        <x:is>
          <x:t xml:space="preserve"/>
        </x:is>
      </x:c>
      <x:c r="T88" s="5" t="inlineStr">
        <x:is>
          <x:t xml:space="preserve">비행</x:t>
        </x:is>
      </x:c>
      <x:c r="U88" s="5" t="inlineStr">
        <x:is>
          <x:t xml:space="preserve">개활지</x:t>
        </x:is>
      </x:c>
      <x:c r="V88" s="5" t="inlineStr">
        <x:is>
          <x:t xml:space="preserve">온대</x:t>
        </x:is>
      </x:c>
      <x:c r="W88" s="5" t="inlineStr">
        <x:is>
          <x:t xml:space="preserve">보통</x:t>
        </x:is>
      </x:c>
      <x:c r="X88" s="5" t="inlineStr">
        <x:is>
          <x:t xml:space="preserve">무관</x:t>
        </x:is>
      </x:c>
      <x:c r="Y88" s="5" t="inlineStr">
        <x:is>
          <x:t xml:space="preserve">무관</x:t>
        </x:is>
      </x:c>
      <x:c r="Z88" s="5" t="inlineStr">
        <x:is>
          <x:t xml:space="preserve">흔함</x:t>
        </x:is>
      </x:c>
      <x:c r="AA88" s="5" t="inlineStr">
        <x:is>
          <x:t xml:space="preserve">없음</x:t>
        </x:is>
      </x:c>
      <x:c r="AB88" s="5" t="inlineStr">
        <x:is>
          <x:t xml:space="preserve">평원</x:t>
        </x:is>
      </x:c>
      <x:c r="AC88" s="5" t="inlineStr">
        <x:is>
          <x:t xml:space="preserve">gen1</x:t>
        </x:is>
      </x:c>
      <x:c r="AD88" s="5" t="inlineStr">
        <x:is>
          <x:t xml:space="preserve">.tmp/cobblemon-1.7.3-source/common/src/main/resources/data/cobblemon/species/generation1/doduo.json</x:t>
        </x:is>
      </x:c>
    </x:row>
    <x:row r="89" ht="22" customHeight="1">
      <x:c r="A89" s="5" t="n">
        <x:v>85</x:v>
      </x:c>
      <x:c r="B89" s="5" t="inlineStr">
        <x:is>
          <x:t xml:space="preserve">두트리오</x:t>
        </x:is>
      </x:c>
      <x:c r="C89" s="5" t="inlineStr">
        <x:is>
          <x:t xml:space="preserve">dodrio</x:t>
        </x:is>
      </x:c>
      <x:c r="D89" s="5" t="inlineStr">
        <x:is>
          <x:t xml:space="preserve">Dodrio</x:t>
        </x:is>
      </x:c>
      <x:c r="E89" s="5" t="n">
        <x:v>1</x:v>
      </x:c>
      <x:c r="F89" s="5" t="inlineStr">
        <x:is>
          <x:t xml:space="preserve">노말</x:t>
        </x:is>
      </x:c>
      <x:c r="G89" s="5" t="inlineStr">
        <x:is>
          <x:t xml:space="preserve">비행</x:t>
        </x:is>
      </x:c>
      <x:c r="H89" s="5" t="n">
        <x:v>1.8</x:v>
      </x:c>
      <x:c r="I89" s="5" t="n">
        <x:v>85.2</x:v>
      </x:c>
      <x:c r="J89" s="5" t="n">
        <x:v>470</x:v>
      </x:c>
      <x:c r="K89" s="5" t="n">
        <x:v>45</x:v>
      </x:c>
      <x:c r="L89" s="5" t="inlineStr">
        <x:is>
          <x:t xml:space="preserve">최종</x:t>
        </x:is>
      </x:c>
      <x:c r="M89" s="5" t="n">
        <x:v>31</x:v>
      </x:c>
      <x:c r="N89" s="5" t="inlineStr">
        <x:is>
          <x:t xml:space="preserve">레벨</x:t>
        </x:is>
      </x:c>
      <x:c r="O89" s="5" t="inlineStr">
        <x:is>
          <x:t xml:space="preserve">예</x:t>
        </x:is>
      </x:c>
      <x:c r="P89" s="5" t="inlineStr">
        <x:is>
          <x:t xml:space="preserve">#cobblemon:is_savanna; aether:skyroot_grove; aether:skyroot_meadow</x:t>
        </x:is>
      </x:c>
      <x:c r="Q89" s="5" t="inlineStr">
        <x:is>
          <x:t xml:space="preserve">common</x:t>
        </x:is>
      </x:c>
      <x:c r="R89" s="5" t="inlineStr">
        <x:is>
          <x:t xml:space="preserve"/>
        </x:is>
      </x:c>
      <x:c r="S89" s="5" t="inlineStr">
        <x:is>
          <x:t xml:space="preserve"/>
        </x:is>
      </x:c>
      <x:c r="T89" s="5" t="inlineStr">
        <x:is>
          <x:t xml:space="preserve">비행</x:t>
        </x:is>
      </x:c>
      <x:c r="U89" s="5" t="inlineStr">
        <x:is>
          <x:t xml:space="preserve">개활지</x:t>
        </x:is>
      </x:c>
      <x:c r="V89" s="5" t="inlineStr">
        <x:is>
          <x:t xml:space="preserve">온대</x:t>
        </x:is>
      </x:c>
      <x:c r="W89" s="5" t="inlineStr">
        <x:is>
          <x:t xml:space="preserve">보통</x:t>
        </x:is>
      </x:c>
      <x:c r="X89" s="5" t="inlineStr">
        <x:is>
          <x:t xml:space="preserve">무관</x:t>
        </x:is>
      </x:c>
      <x:c r="Y89" s="5" t="inlineStr">
        <x:is>
          <x:t xml:space="preserve">무관</x:t>
        </x:is>
      </x:c>
      <x:c r="Z89" s="5" t="inlineStr">
        <x:is>
          <x:t xml:space="preserve">흔함</x:t>
        </x:is>
      </x:c>
      <x:c r="AA89" s="5" t="inlineStr">
        <x:is>
          <x:t xml:space="preserve">없음</x:t>
        </x:is>
      </x:c>
      <x:c r="AB89" s="5" t="inlineStr">
        <x:is>
          <x:t xml:space="preserve">평원</x:t>
        </x:is>
      </x:c>
      <x:c r="AC89" s="5" t="inlineStr">
        <x:is>
          <x:t xml:space="preserve">gen1</x:t>
        </x:is>
      </x:c>
      <x:c r="AD89" s="5" t="inlineStr">
        <x:is>
          <x:t xml:space="preserve">.tmp/cobblemon-1.7.3-source/common/src/main/resources/data/cobblemon/species/generation1/dodrio.json</x:t>
        </x:is>
      </x:c>
    </x:row>
    <x:row r="90" ht="22" customHeight="1">
      <x:c r="A90" s="5" t="n">
        <x:v>86</x:v>
      </x:c>
      <x:c r="B90" s="5" t="inlineStr">
        <x:is>
          <x:t xml:space="preserve">쥬쥬</x:t>
        </x:is>
      </x:c>
      <x:c r="C90" s="5" t="inlineStr">
        <x:is>
          <x:t xml:space="preserve">seel</x:t>
        </x:is>
      </x:c>
      <x:c r="D90" s="5" t="inlineStr">
        <x:is>
          <x:t xml:space="preserve">Seel</x:t>
        </x:is>
      </x:c>
      <x:c r="E90" s="5" t="n">
        <x:v>1</x:v>
      </x:c>
      <x:c r="F90" s="5" t="inlineStr">
        <x:is>
          <x:t xml:space="preserve">물</x:t>
        </x:is>
      </x:c>
      <x:c r="G90" s="5" t="inlineStr">
        <x:is>
          <x:t xml:space="preserve"/>
        </x:is>
      </x:c>
      <x:c r="H90" s="5" t="n">
        <x:v>1.1</x:v>
      </x:c>
      <x:c r="I90" s="5" t="n">
        <x:v>90</x:v>
      </x:c>
      <x:c r="J90" s="5" t="n">
        <x:v>325</x:v>
      </x:c>
      <x:c r="K90" s="5" t="n">
        <x:v>190</x:v>
      </x:c>
      <x:c r="L90" s="5" t="inlineStr">
        <x:is>
          <x:t xml:space="preserve">기본</x:t>
        </x:is>
      </x:c>
      <x:c r="M90" s="5" t="n">
        <x:v>34</x:v>
      </x:c>
      <x:c r="N90" s="5" t="inlineStr">
        <x:is>
          <x:t xml:space="preserve">레벨</x:t>
        </x:is>
      </x:c>
      <x:c r="O90" s="5" t="inlineStr">
        <x:is>
          <x:t xml:space="preserve">예</x:t>
        </x:is>
      </x:c>
      <x:c r="P90" s="5" t="inlineStr">
        <x:is>
          <x:t xml:space="preserve">#cobblemon:is_cold_ocean; #cobblemon:is_frozen_ocean</x:t>
        </x:is>
      </x:c>
      <x:c r="Q90" s="5" t="inlineStr">
        <x:is>
          <x:t xml:space="preserve">common</x:t>
        </x:is>
      </x:c>
      <x:c r="R90" s="5" t="inlineStr">
        <x:is>
          <x:t xml:space="preserve"/>
        </x:is>
      </x:c>
      <x:c r="S90" s="5" t="inlineStr">
        <x:is>
          <x:t xml:space="preserve"/>
        </x:is>
      </x:c>
      <x:c r="T90" s="5" t="inlineStr">
        <x:is>
          <x:t xml:space="preserve">해양</x:t>
        </x:is>
      </x:c>
      <x:c r="U90" s="5" t="inlineStr">
        <x:is>
          <x:t xml:space="preserve">해안·해양</x:t>
        </x:is>
      </x:c>
      <x:c r="V90" s="5" t="inlineStr">
        <x:is>
          <x:t xml:space="preserve">서늘</x:t>
        </x:is>
      </x:c>
      <x:c r="W90" s="5" t="inlineStr">
        <x:is>
          <x:t xml:space="preserve">수중</x:t>
        </x:is>
      </x:c>
      <x:c r="X90" s="5" t="inlineStr">
        <x:is>
          <x:t xml:space="preserve">비</x:t>
        </x:is>
      </x:c>
      <x:c r="Y90" s="5" t="inlineStr">
        <x:is>
          <x:t xml:space="preserve">무관</x:t>
        </x:is>
      </x:c>
      <x:c r="Z90" s="5" t="inlineStr">
        <x:is>
          <x:t xml:space="preserve">흔함</x:t>
        </x:is>
      </x:c>
      <x:c r="AA90" s="5" t="inlineStr">
        <x:is>
          <x:t xml:space="preserve">없음</x:t>
        </x:is>
      </x:c>
      <x:c r="AB90" s="5" t="inlineStr">
        <x:is>
          <x:t xml:space="preserve">해양</x:t>
        </x:is>
      </x:c>
      <x:c r="AC90" s="5" t="inlineStr">
        <x:is>
          <x:t xml:space="preserve">gen1</x:t>
        </x:is>
      </x:c>
      <x:c r="AD90" s="5" t="inlineStr">
        <x:is>
          <x:t xml:space="preserve">.tmp/cobblemon-1.7.3-source/common/src/main/resources/data/cobblemon/species/generation1/seel.json</x:t>
        </x:is>
      </x:c>
    </x:row>
    <x:row r="91" ht="22" customHeight="1">
      <x:c r="A91" s="5" t="n">
        <x:v>87</x:v>
      </x:c>
      <x:c r="B91" s="5" t="inlineStr">
        <x:is>
          <x:t xml:space="preserve">쥬레곤</x:t>
        </x:is>
      </x:c>
      <x:c r="C91" s="5" t="inlineStr">
        <x:is>
          <x:t xml:space="preserve">dewgong</x:t>
        </x:is>
      </x:c>
      <x:c r="D91" s="5" t="inlineStr">
        <x:is>
          <x:t xml:space="preserve">Dewgong</x:t>
        </x:is>
      </x:c>
      <x:c r="E91" s="5" t="n">
        <x:v>1</x:v>
      </x:c>
      <x:c r="F91" s="5" t="inlineStr">
        <x:is>
          <x:t xml:space="preserve">물</x:t>
        </x:is>
      </x:c>
      <x:c r="G91" s="5" t="inlineStr">
        <x:is>
          <x:t xml:space="preserve">얼음</x:t>
        </x:is>
      </x:c>
      <x:c r="H91" s="5" t="n">
        <x:v>1.7</x:v>
      </x:c>
      <x:c r="I91" s="5" t="n">
        <x:v>120</x:v>
      </x:c>
      <x:c r="J91" s="5" t="n">
        <x:v>475</x:v>
      </x:c>
      <x:c r="K91" s="5" t="n">
        <x:v>75</x:v>
      </x:c>
      <x:c r="L91" s="5" t="inlineStr">
        <x:is>
          <x:t xml:space="preserve">최종</x:t>
        </x:is>
      </x:c>
      <x:c r="M91" s="5" t="n">
        <x:v>34</x:v>
      </x:c>
      <x:c r="N91" s="5" t="inlineStr">
        <x:is>
          <x:t xml:space="preserve">레벨</x:t>
        </x:is>
      </x:c>
      <x:c r="O91" s="5" t="inlineStr">
        <x:is>
          <x:t xml:space="preserve">예</x:t>
        </x:is>
      </x:c>
      <x:c r="P91" s="5" t="inlineStr">
        <x:is>
          <x:t xml:space="preserve">#cobblemon:is_cold_ocean; #cobblemon:is_frozen_ocean</x:t>
        </x:is>
      </x:c>
      <x:c r="Q91" s="5" t="inlineStr">
        <x:is>
          <x:t xml:space="preserve">common</x:t>
        </x:is>
      </x:c>
      <x:c r="R91" s="5" t="inlineStr">
        <x:is>
          <x:t xml:space="preserve"/>
        </x:is>
      </x:c>
      <x:c r="S91" s="5" t="inlineStr">
        <x:is>
          <x:t xml:space="preserve"/>
        </x:is>
      </x:c>
      <x:c r="T91" s="5" t="inlineStr">
        <x:is>
          <x:t xml:space="preserve">해양</x:t>
        </x:is>
      </x:c>
      <x:c r="U91" s="5" t="inlineStr">
        <x:is>
          <x:t xml:space="preserve">해안·해양</x:t>
        </x:is>
      </x:c>
      <x:c r="V91" s="5" t="inlineStr">
        <x:is>
          <x:t xml:space="preserve">한랭</x:t>
        </x:is>
      </x:c>
      <x:c r="W91" s="5" t="inlineStr">
        <x:is>
          <x:t xml:space="preserve">수중</x:t>
        </x:is>
      </x:c>
      <x:c r="X91" s="5" t="inlineStr">
        <x:is>
          <x:t xml:space="preserve">비</x:t>
        </x:is>
      </x:c>
      <x:c r="Y91" s="5" t="inlineStr">
        <x:is>
          <x:t xml:space="preserve">무관</x:t>
        </x:is>
      </x:c>
      <x:c r="Z91" s="5" t="inlineStr">
        <x:is>
          <x:t xml:space="preserve">흔함</x:t>
        </x:is>
      </x:c>
      <x:c r="AA91" s="5" t="inlineStr">
        <x:is>
          <x:t xml:space="preserve">없음</x:t>
        </x:is>
      </x:c>
      <x:c r="AB91" s="5" t="inlineStr">
        <x:is>
          <x:t xml:space="preserve">해양</x:t>
        </x:is>
      </x:c>
      <x:c r="AC91" s="5" t="inlineStr">
        <x:is>
          <x:t xml:space="preserve">gen1</x:t>
        </x:is>
      </x:c>
      <x:c r="AD91" s="5" t="inlineStr">
        <x:is>
          <x:t xml:space="preserve">.tmp/cobblemon-1.7.3-source/common/src/main/resources/data/cobblemon/species/generation1/dewgong.json</x:t>
        </x:is>
      </x:c>
    </x:row>
    <x:row r="92" ht="22" customHeight="1">
      <x:c r="A92" s="5" t="n">
        <x:v>88</x:v>
      </x:c>
      <x:c r="B92" s="5" t="inlineStr">
        <x:is>
          <x:t xml:space="preserve">질퍽이</x:t>
        </x:is>
      </x:c>
      <x:c r="C92" s="5" t="inlineStr">
        <x:is>
          <x:t xml:space="preserve">grimer</x:t>
        </x:is>
      </x:c>
      <x:c r="D92" s="5" t="inlineStr">
        <x:is>
          <x:t xml:space="preserve">Grimer</x:t>
        </x:is>
      </x:c>
      <x:c r="E92" s="5" t="n">
        <x:v>1</x:v>
      </x:c>
      <x:c r="F92" s="5" t="inlineStr">
        <x:is>
          <x:t xml:space="preserve">독</x:t>
        </x:is>
      </x:c>
      <x:c r="G92" s="5" t="inlineStr">
        <x:is>
          <x:t xml:space="preserve"/>
        </x:is>
      </x:c>
      <x:c r="H92" s="5" t="n">
        <x:v>0.9</x:v>
      </x:c>
      <x:c r="I92" s="5" t="n">
        <x:v>30</x:v>
      </x:c>
      <x:c r="J92" s="5" t="n">
        <x:v>325</x:v>
      </x:c>
      <x:c r="K92" s="5" t="n">
        <x:v>190</x:v>
      </x:c>
      <x:c r="L92" s="5" t="inlineStr">
        <x:is>
          <x:t xml:space="preserve">기본</x:t>
        </x:is>
      </x:c>
      <x:c r="M92" s="5" t="n">
        <x:v>38</x:v>
      </x:c>
      <x:c r="N92" s="5" t="inlineStr">
        <x:is>
          <x:t xml:space="preserve">레벨</x:t>
        </x:is>
      </x:c>
      <x:c r="O92" s="5" t="inlineStr">
        <x:is>
          <x:t xml:space="preserve">예</x:t>
        </x:is>
      </x:c>
      <x:c r="P92" s="5" t="inlineStr">
        <x:is>
          <x:t xml:space="preserve">#cobblemon:is_beach; #cobblemon:is_overworld; #cobblemon:is_swamp; #minecraft:is_beach</x:t>
        </x:is>
      </x:c>
      <x:c r="Q92" s="5" t="inlineStr">
        <x:is>
          <x:t xml:space="preserve">common; uncommon</x:t>
        </x:is>
      </x:c>
      <x:c r="R92" s="5" t="inlineStr">
        <x:is>
          <x:t xml:space="preserve"/>
        </x:is>
      </x:c>
      <x:c r="S92" s="5" t="inlineStr">
        <x:is>
          <x:t xml:space="preserve"/>
        </x:is>
      </x:c>
      <x:c r="T92" s="5" t="inlineStr">
        <x:is>
          <x:t xml:space="preserve">해양</x:t>
        </x:is>
      </x:c>
      <x:c r="U92" s="5" t="inlineStr">
        <x:is>
          <x:t xml:space="preserve">해안·해양</x:t>
        </x:is>
      </x:c>
      <x:c r="V92" s="5" t="inlineStr">
        <x:is>
          <x:t xml:space="preserve">온대</x:t>
        </x:is>
      </x:c>
      <x:c r="W92" s="5" t="inlineStr">
        <x:is>
          <x:t xml:space="preserve">수중</x:t>
        </x:is>
      </x:c>
      <x:c r="X92" s="5" t="inlineStr">
        <x:is>
          <x:t xml:space="preserve">비</x:t>
        </x:is>
      </x:c>
      <x:c r="Y92" s="5" t="inlineStr">
        <x:is>
          <x:t xml:space="preserve">무관</x:t>
        </x:is>
      </x:c>
      <x:c r="Z92" s="5" t="inlineStr">
        <x:is>
          <x:t xml:space="preserve">보통</x:t>
        </x:is>
      </x:c>
      <x:c r="AA92" s="5" t="inlineStr">
        <x:is>
          <x:t xml:space="preserve">없음</x:t>
        </x:is>
      </x:c>
      <x:c r="AB92" s="5" t="inlineStr">
        <x:is>
          <x:t xml:space="preserve">해양</x:t>
        </x:is>
      </x:c>
      <x:c r="AC92" s="5" t="inlineStr">
        <x:is>
          <x:t xml:space="preserve">gen1; kantonian_form</x:t>
        </x:is>
      </x:c>
      <x:c r="AD92" s="5" t="inlineStr">
        <x:is>
          <x:t xml:space="preserve">.tmp/cobblemon-1.7.3-source/common/src/main/resources/data/cobblemon/species/generation1/grimer.json</x:t>
        </x:is>
      </x:c>
    </x:row>
    <x:row r="93" ht="22" customHeight="1">
      <x:c r="A93" s="5" t="n">
        <x:v>89</x:v>
      </x:c>
      <x:c r="B93" s="5" t="inlineStr">
        <x:is>
          <x:t xml:space="preserve">질뻐기</x:t>
        </x:is>
      </x:c>
      <x:c r="C93" s="5" t="inlineStr">
        <x:is>
          <x:t xml:space="preserve">muk</x:t>
        </x:is>
      </x:c>
      <x:c r="D93" s="5" t="inlineStr">
        <x:is>
          <x:t xml:space="preserve">Muk</x:t>
        </x:is>
      </x:c>
      <x:c r="E93" s="5" t="n">
        <x:v>1</x:v>
      </x:c>
      <x:c r="F93" s="5" t="inlineStr">
        <x:is>
          <x:t xml:space="preserve">독</x:t>
        </x:is>
      </x:c>
      <x:c r="G93" s="5" t="inlineStr">
        <x:is>
          <x:t xml:space="preserve"/>
        </x:is>
      </x:c>
      <x:c r="H93" s="5" t="n">
        <x:v>1.2</x:v>
      </x:c>
      <x:c r="I93" s="5" t="n">
        <x:v>30</x:v>
      </x:c>
      <x:c r="J93" s="5" t="n">
        <x:v>500</x:v>
      </x:c>
      <x:c r="K93" s="5" t="n">
        <x:v>75</x:v>
      </x:c>
      <x:c r="L93" s="5" t="inlineStr">
        <x:is>
          <x:t xml:space="preserve">최종</x:t>
        </x:is>
      </x:c>
      <x:c r="M93" s="5" t="n">
        <x:v>38</x:v>
      </x:c>
      <x:c r="N93" s="5" t="inlineStr">
        <x:is>
          <x:t xml:space="preserve">레벨</x:t>
        </x:is>
      </x:c>
      <x:c r="O93" s="5" t="inlineStr">
        <x:is>
          <x:t xml:space="preserve">예</x:t>
        </x:is>
      </x:c>
      <x:c r="P93" s="5" t="inlineStr">
        <x:is>
          <x:t xml:space="preserve">#cobblemon:is_beach; #cobblemon:is_overworld; #cobblemon:is_swamp; #minecraft:is_beach</x:t>
        </x:is>
      </x:c>
      <x:c r="Q93" s="5" t="inlineStr">
        <x:is>
          <x:t xml:space="preserve">common; rare; uncommon</x:t>
        </x:is>
      </x:c>
      <x:c r="R93" s="5" t="inlineStr">
        <x:is>
          <x:t xml:space="preserve"/>
        </x:is>
      </x:c>
      <x:c r="S93" s="5" t="inlineStr">
        <x:is>
          <x:t xml:space="preserve"/>
        </x:is>
      </x:c>
      <x:c r="T93" s="5" t="inlineStr">
        <x:is>
          <x:t xml:space="preserve">해양</x:t>
        </x:is>
      </x:c>
      <x:c r="U93" s="5" t="inlineStr">
        <x:is>
          <x:t xml:space="preserve">해안·해양</x:t>
        </x:is>
      </x:c>
      <x:c r="V93" s="5" t="inlineStr">
        <x:is>
          <x:t xml:space="preserve">온대</x:t>
        </x:is>
      </x:c>
      <x:c r="W93" s="5" t="inlineStr">
        <x:is>
          <x:t xml:space="preserve">수중</x:t>
        </x:is>
      </x:c>
      <x:c r="X93" s="5" t="inlineStr">
        <x:is>
          <x:t xml:space="preserve">비</x:t>
        </x:is>
      </x:c>
      <x:c r="Y93" s="5" t="inlineStr">
        <x:is>
          <x:t xml:space="preserve">무관</x:t>
        </x:is>
      </x:c>
      <x:c r="Z93" s="5" t="inlineStr">
        <x:is>
          <x:t xml:space="preserve">보통</x:t>
        </x:is>
      </x:c>
      <x:c r="AA93" s="5" t="inlineStr">
        <x:is>
          <x:t xml:space="preserve">없음</x:t>
        </x:is>
      </x:c>
      <x:c r="AB93" s="5" t="inlineStr">
        <x:is>
          <x:t xml:space="preserve">해양</x:t>
        </x:is>
      </x:c>
      <x:c r="AC93" s="5" t="inlineStr">
        <x:is>
          <x:t xml:space="preserve">gen1; kantonian_form</x:t>
        </x:is>
      </x:c>
      <x:c r="AD93" s="5" t="inlineStr">
        <x:is>
          <x:t xml:space="preserve">.tmp/cobblemon-1.7.3-source/common/src/main/resources/data/cobblemon/species/generation1/muk.json</x:t>
        </x:is>
      </x:c>
    </x:row>
    <x:row r="94" ht="22" customHeight="1">
      <x:c r="A94" s="5" t="n">
        <x:v>90</x:v>
      </x:c>
      <x:c r="B94" s="5" t="inlineStr">
        <x:is>
          <x:t xml:space="preserve">셀러</x:t>
        </x:is>
      </x:c>
      <x:c r="C94" s="5" t="inlineStr">
        <x:is>
          <x:t xml:space="preserve">shellder</x:t>
        </x:is>
      </x:c>
      <x:c r="D94" s="5" t="inlineStr">
        <x:is>
          <x:t xml:space="preserve">Shellder</x:t>
        </x:is>
      </x:c>
      <x:c r="E94" s="5" t="n">
        <x:v>1</x:v>
      </x:c>
      <x:c r="F94" s="5" t="inlineStr">
        <x:is>
          <x:t xml:space="preserve">물</x:t>
        </x:is>
      </x:c>
      <x:c r="G94" s="5" t="inlineStr">
        <x:is>
          <x:t xml:space="preserve"/>
        </x:is>
      </x:c>
      <x:c r="H94" s="5" t="n">
        <x:v>0.3</x:v>
      </x:c>
      <x:c r="I94" s="5" t="n">
        <x:v>4</x:v>
      </x:c>
      <x:c r="J94" s="5" t="n">
        <x:v>305</x:v>
      </x:c>
      <x:c r="K94" s="5" t="n">
        <x:v>190</x:v>
      </x:c>
      <x:c r="L94" s="5" t="inlineStr">
        <x:is>
          <x:t xml:space="preserve">기본</x:t>
        </x:is>
      </x:c>
      <x:c r="M94" s="5" t="n"/>
      <x:c r="N94" s="5" t="inlineStr">
        <x:is>
          <x:t xml:space="preserve">특수</x:t>
        </x:is>
      </x:c>
      <x:c r="O94" s="5" t="inlineStr">
        <x:is>
          <x:t xml:space="preserve">예</x:t>
        </x:is>
      </x:c>
      <x:c r="P94" s="5" t="inlineStr">
        <x:is>
          <x:t xml:space="preserve">#cobblemon:is_coast; #cobblemon:is_cold_ocean; #cobblemon:is_frozen_ocean; #cobblemon:is_ocean; #cobblemon:is_overworld</x:t>
        </x:is>
      </x:c>
      <x:c r="Q94" s="5" t="inlineStr">
        <x:is>
          <x:t xml:space="preserve">common</x:t>
        </x:is>
      </x:c>
      <x:c r="R94" s="5" t="inlineStr">
        <x:is>
          <x:t xml:space="preserve"/>
        </x:is>
      </x:c>
      <x:c r="S94" s="5" t="inlineStr">
        <x:is>
          <x:t xml:space="preserve"/>
        </x:is>
      </x:c>
      <x:c r="T94" s="5" t="inlineStr">
        <x:is>
          <x:t xml:space="preserve">해양</x:t>
        </x:is>
      </x:c>
      <x:c r="U94" s="5" t="inlineStr">
        <x:is>
          <x:t xml:space="preserve">해안·해양</x:t>
        </x:is>
      </x:c>
      <x:c r="V94" s="5" t="inlineStr">
        <x:is>
          <x:t xml:space="preserve">서늘</x:t>
        </x:is>
      </x:c>
      <x:c r="W94" s="5" t="inlineStr">
        <x:is>
          <x:t xml:space="preserve">수중</x:t>
        </x:is>
      </x:c>
      <x:c r="X94" s="5" t="inlineStr">
        <x:is>
          <x:t xml:space="preserve">비</x:t>
        </x:is>
      </x:c>
      <x:c r="Y94" s="5" t="inlineStr">
        <x:is>
          <x:t xml:space="preserve">무관</x:t>
        </x:is>
      </x:c>
      <x:c r="Z94" s="5" t="inlineStr">
        <x:is>
          <x:t xml:space="preserve">흔함</x:t>
        </x:is>
      </x:c>
      <x:c r="AA94" s="5" t="inlineStr">
        <x:is>
          <x:t xml:space="preserve">없음</x:t>
        </x:is>
      </x:c>
      <x:c r="AB94" s="5" t="inlineStr">
        <x:is>
          <x:t xml:space="preserve">해양</x:t>
        </x:is>
      </x:c>
      <x:c r="AC94" s="5" t="inlineStr">
        <x:is>
          <x:t xml:space="preserve">gen1</x:t>
        </x:is>
      </x:c>
      <x:c r="AD94" s="5" t="inlineStr">
        <x:is>
          <x:t xml:space="preserve">.tmp/cobblemon-1.7.3-source/common/src/main/resources/data/cobblemon/species/generation1/shellder.json</x:t>
        </x:is>
      </x:c>
    </x:row>
    <x:row r="95" ht="22" customHeight="1">
      <x:c r="A95" s="5" t="n">
        <x:v>91</x:v>
      </x:c>
      <x:c r="B95" s="5" t="inlineStr">
        <x:is>
          <x:t xml:space="preserve">파르셀</x:t>
        </x:is>
      </x:c>
      <x:c r="C95" s="5" t="inlineStr">
        <x:is>
          <x:t xml:space="preserve">cloyster</x:t>
        </x:is>
      </x:c>
      <x:c r="D95" s="5" t="inlineStr">
        <x:is>
          <x:t xml:space="preserve">Cloyster</x:t>
        </x:is>
      </x:c>
      <x:c r="E95" s="5" t="n">
        <x:v>1</x:v>
      </x:c>
      <x:c r="F95" s="5" t="inlineStr">
        <x:is>
          <x:t xml:space="preserve">물</x:t>
        </x:is>
      </x:c>
      <x:c r="G95" s="5" t="inlineStr">
        <x:is>
          <x:t xml:space="preserve">얼음</x:t>
        </x:is>
      </x:c>
      <x:c r="H95" s="5" t="n">
        <x:v>1.5</x:v>
      </x:c>
      <x:c r="I95" s="5" t="n">
        <x:v>132.5</x:v>
      </x:c>
      <x:c r="J95" s="5" t="n">
        <x:v>525</x:v>
      </x:c>
      <x:c r="K95" s="5" t="n">
        <x:v>60</x:v>
      </x:c>
      <x:c r="L95" s="5" t="inlineStr">
        <x:is>
          <x:t xml:space="preserve">최종</x:t>
        </x:is>
      </x:c>
      <x:c r="M95" s="5" t="n"/>
      <x:c r="N95" s="5" t="inlineStr">
        <x:is>
          <x:t xml:space="preserve">특수</x:t>
        </x:is>
      </x:c>
      <x:c r="O95" s="5" t="inlineStr">
        <x:is>
          <x:t xml:space="preserve">예</x:t>
        </x:is>
      </x:c>
      <x:c r="P95" s="5" t="inlineStr">
        <x:is>
          <x:t xml:space="preserve">#cobblemon:is_coast; #cobblemon:is_cold_ocean; #cobblemon:is_frozen_ocean; #cobblemon:is_ocean; #cobblemon:is_overworld</x:t>
        </x:is>
      </x:c>
      <x:c r="Q95" s="5" t="inlineStr">
        <x:is>
          <x:t xml:space="preserve">common</x:t>
        </x:is>
      </x:c>
      <x:c r="R95" s="5" t="inlineStr">
        <x:is>
          <x:t xml:space="preserve"/>
        </x:is>
      </x:c>
      <x:c r="S95" s="5" t="inlineStr">
        <x:is>
          <x:t xml:space="preserve"/>
        </x:is>
      </x:c>
      <x:c r="T95" s="5" t="inlineStr">
        <x:is>
          <x:t xml:space="preserve">해양</x:t>
        </x:is>
      </x:c>
      <x:c r="U95" s="5" t="inlineStr">
        <x:is>
          <x:t xml:space="preserve">해안·해양</x:t>
        </x:is>
      </x:c>
      <x:c r="V95" s="5" t="inlineStr">
        <x:is>
          <x:t xml:space="preserve">한랭</x:t>
        </x:is>
      </x:c>
      <x:c r="W95" s="5" t="inlineStr">
        <x:is>
          <x:t xml:space="preserve">수중</x:t>
        </x:is>
      </x:c>
      <x:c r="X95" s="5" t="inlineStr">
        <x:is>
          <x:t xml:space="preserve">비</x:t>
        </x:is>
      </x:c>
      <x:c r="Y95" s="5" t="inlineStr">
        <x:is>
          <x:t xml:space="preserve">무관</x:t>
        </x:is>
      </x:c>
      <x:c r="Z95" s="5" t="inlineStr">
        <x:is>
          <x:t xml:space="preserve">흔함</x:t>
        </x:is>
      </x:c>
      <x:c r="AA95" s="5" t="inlineStr">
        <x:is>
          <x:t xml:space="preserve">없음</x:t>
        </x:is>
      </x:c>
      <x:c r="AB95" s="5" t="inlineStr">
        <x:is>
          <x:t xml:space="preserve">해양</x:t>
        </x:is>
      </x:c>
      <x:c r="AC95" s="5" t="inlineStr">
        <x:is>
          <x:t xml:space="preserve">gen1</x:t>
        </x:is>
      </x:c>
      <x:c r="AD95" s="5" t="inlineStr">
        <x:is>
          <x:t xml:space="preserve">.tmp/cobblemon-1.7.3-source/common/src/main/resources/data/cobblemon/species/generation1/cloyster.json</x:t>
        </x:is>
      </x:c>
    </x:row>
    <x:row r="96" ht="22" customHeight="1">
      <x:c r="A96" s="5" t="n">
        <x:v>92</x:v>
      </x:c>
      <x:c r="B96" s="5" t="inlineStr">
        <x:is>
          <x:t xml:space="preserve">고오스</x:t>
        </x:is>
      </x:c>
      <x:c r="C96" s="5" t="inlineStr">
        <x:is>
          <x:t xml:space="preserve">gastly</x:t>
        </x:is>
      </x:c>
      <x:c r="D96" s="5" t="inlineStr">
        <x:is>
          <x:t xml:space="preserve">Gastly</x:t>
        </x:is>
      </x:c>
      <x:c r="E96" s="5" t="n">
        <x:v>1</x:v>
      </x:c>
      <x:c r="F96" s="5" t="inlineStr">
        <x:is>
          <x:t xml:space="preserve">고스트</x:t>
        </x:is>
      </x:c>
      <x:c r="G96" s="5" t="inlineStr">
        <x:is>
          <x:t xml:space="preserve">독</x:t>
        </x:is>
      </x:c>
      <x:c r="H96" s="5" t="n">
        <x:v>1.3</x:v>
      </x:c>
      <x:c r="I96" s="5" t="n">
        <x:v>0.1</x:v>
      </x:c>
      <x:c r="J96" s="5" t="n">
        <x:v>310</x:v>
      </x:c>
      <x:c r="K96" s="5" t="n">
        <x:v>190</x:v>
      </x:c>
      <x:c r="L96" s="5" t="inlineStr">
        <x:is>
          <x:t xml:space="preserve">기본</x:t>
        </x:is>
      </x:c>
      <x:c r="M96" s="5" t="n">
        <x:v>25</x:v>
      </x:c>
      <x:c r="N96" s="5" t="inlineStr">
        <x:is>
          <x:t xml:space="preserve">레벨·특수</x:t>
        </x:is>
      </x:c>
      <x:c r="O96" s="5" t="inlineStr">
        <x:is>
          <x:t xml:space="preserve">예</x:t>
        </x:is>
      </x:c>
      <x:c r="P96" s="5" t="inlineStr">
        <x:is>
          <x:t xml:space="preserve">#aether:is_aether; #cobblemon:is_deep_dark; #cobblemon:is_overworld; #cobblemon:is_spooky; #minecraft:is_nether</x:t>
        </x:is>
      </x:c>
      <x:c r="Q96" s="5" t="inlineStr">
        <x:is>
          <x:t xml:space="preserve">common; uncommon</x:t>
        </x:is>
      </x:c>
      <x:c r="R96" s="5" t="inlineStr">
        <x:is>
          <x:t xml:space="preserve"/>
        </x:is>
      </x:c>
      <x:c r="S96" s="5" t="inlineStr">
        <x:is>
          <x:t xml:space="preserve"/>
        </x:is>
      </x:c>
      <x:c r="T96" s="5" t="inlineStr">
        <x:is>
          <x:t xml:space="preserve">비행</x:t>
        </x:is>
      </x:c>
      <x:c r="U96" s="5" t="inlineStr">
        <x:is>
          <x:t xml:space="preserve">특수</x:t>
        </x:is>
      </x:c>
      <x:c r="V96" s="5" t="inlineStr">
        <x:is>
          <x:t xml:space="preserve">온대</x:t>
        </x:is>
      </x:c>
      <x:c r="W96" s="5" t="inlineStr">
        <x:is>
          <x:t xml:space="preserve">보통</x:t>
        </x:is>
      </x:c>
      <x:c r="X96" s="5" t="inlineStr">
        <x:is>
          <x:t xml:space="preserve">안개</x:t>
        </x:is>
      </x:c>
      <x:c r="Y96" s="5" t="inlineStr">
        <x:is>
          <x:t xml:space="preserve">밤</x:t>
        </x:is>
      </x:c>
      <x:c r="Z96" s="5" t="inlineStr">
        <x:is>
          <x:t xml:space="preserve">보통</x:t>
        </x:is>
      </x:c>
      <x:c r="AA96" s="5" t="inlineStr">
        <x:is>
          <x:t xml:space="preserve">영체</x:t>
        </x:is>
      </x:c>
      <x:c r="AB96" s="5" t="inlineStr">
        <x:is>
          <x:t xml:space="preserve">특수</x:t>
        </x:is>
      </x:c>
      <x:c r="AC96" s="5" t="inlineStr">
        <x:is>
          <x:t xml:space="preserve">gen1</x:t>
        </x:is>
      </x:c>
      <x:c r="AD96" s="5" t="inlineStr">
        <x:is>
          <x:t xml:space="preserve">.tmp/cobblemon-1.7.3-source/common/src/main/resources/data/cobblemon/species/generation1/gastly.json</x:t>
        </x:is>
      </x:c>
    </x:row>
    <x:row r="97" ht="22" customHeight="1">
      <x:c r="A97" s="5" t="n">
        <x:v>93</x:v>
      </x:c>
      <x:c r="B97" s="5" t="inlineStr">
        <x:is>
          <x:t xml:space="preserve">고우스트</x:t>
        </x:is>
      </x:c>
      <x:c r="C97" s="5" t="inlineStr">
        <x:is>
          <x:t xml:space="preserve">haunter</x:t>
        </x:is>
      </x:c>
      <x:c r="D97" s="5" t="inlineStr">
        <x:is>
          <x:t xml:space="preserve">Haunter</x:t>
        </x:is>
      </x:c>
      <x:c r="E97" s="5" t="n">
        <x:v>1</x:v>
      </x:c>
      <x:c r="F97" s="5" t="inlineStr">
        <x:is>
          <x:t xml:space="preserve">고스트</x:t>
        </x:is>
      </x:c>
      <x:c r="G97" s="5" t="inlineStr">
        <x:is>
          <x:t xml:space="preserve">독</x:t>
        </x:is>
      </x:c>
      <x:c r="H97" s="5" t="n">
        <x:v>1.6</x:v>
      </x:c>
      <x:c r="I97" s="5" t="n">
        <x:v>0.1</x:v>
      </x:c>
      <x:c r="J97" s="5" t="n">
        <x:v>405</x:v>
      </x:c>
      <x:c r="K97" s="5" t="n">
        <x:v>90</x:v>
      </x:c>
      <x:c r="L97" s="5" t="inlineStr">
        <x:is>
          <x:t xml:space="preserve">중간</x:t>
        </x:is>
      </x:c>
      <x:c r="M97" s="5" t="n">
        <x:v>25</x:v>
      </x:c>
      <x:c r="N97" s="5" t="inlineStr">
        <x:is>
          <x:t xml:space="preserve">레벨·특수</x:t>
        </x:is>
      </x:c>
      <x:c r="O97" s="5" t="inlineStr">
        <x:is>
          <x:t xml:space="preserve">예</x:t>
        </x:is>
      </x:c>
      <x:c r="P97" s="5" t="inlineStr">
        <x:is>
          <x:t xml:space="preserve">#aether:is_aether; #cobblemon:is_deep_dark; #cobblemon:is_overworld; #cobblemon:is_spooky; #minecraft:is_nether</x:t>
        </x:is>
      </x:c>
      <x:c r="Q97" s="5" t="inlineStr">
        <x:is>
          <x:t xml:space="preserve">common</x:t>
        </x:is>
      </x:c>
      <x:c r="R97" s="5" t="inlineStr">
        <x:is>
          <x:t xml:space="preserve"/>
        </x:is>
      </x:c>
      <x:c r="S97" s="5" t="inlineStr">
        <x:is>
          <x:t xml:space="preserve"/>
        </x:is>
      </x:c>
      <x:c r="T97" s="5" t="inlineStr">
        <x:is>
          <x:t xml:space="preserve">비행</x:t>
        </x:is>
      </x:c>
      <x:c r="U97" s="5" t="inlineStr">
        <x:is>
          <x:t xml:space="preserve">특수</x:t>
        </x:is>
      </x:c>
      <x:c r="V97" s="5" t="inlineStr">
        <x:is>
          <x:t xml:space="preserve">온대</x:t>
        </x:is>
      </x:c>
      <x:c r="W97" s="5" t="inlineStr">
        <x:is>
          <x:t xml:space="preserve">보통</x:t>
        </x:is>
      </x:c>
      <x:c r="X97" s="5" t="inlineStr">
        <x:is>
          <x:t xml:space="preserve">안개</x:t>
        </x:is>
      </x:c>
      <x:c r="Y97" s="5" t="inlineStr">
        <x:is>
          <x:t xml:space="preserve">밤</x:t>
        </x:is>
      </x:c>
      <x:c r="Z97" s="5" t="inlineStr">
        <x:is>
          <x:t xml:space="preserve">흔함</x:t>
        </x:is>
      </x:c>
      <x:c r="AA97" s="5" t="inlineStr">
        <x:is>
          <x:t xml:space="preserve">영체</x:t>
        </x:is>
      </x:c>
      <x:c r="AB97" s="5" t="inlineStr">
        <x:is>
          <x:t xml:space="preserve">특수</x:t>
        </x:is>
      </x:c>
      <x:c r="AC97" s="5" t="inlineStr">
        <x:is>
          <x:t xml:space="preserve">gen1</x:t>
        </x:is>
      </x:c>
      <x:c r="AD97" s="5" t="inlineStr">
        <x:is>
          <x:t xml:space="preserve">.tmp/cobblemon-1.7.3-source/common/src/main/resources/data/cobblemon/species/generation1/haunter.json</x:t>
        </x:is>
      </x:c>
    </x:row>
    <x:row r="98" ht="22" customHeight="1">
      <x:c r="A98" s="5" t="n">
        <x:v>94</x:v>
      </x:c>
      <x:c r="B98" s="5" t="inlineStr">
        <x:is>
          <x:t xml:space="preserve">팬텀</x:t>
        </x:is>
      </x:c>
      <x:c r="C98" s="5" t="inlineStr">
        <x:is>
          <x:t xml:space="preserve">gengar</x:t>
        </x:is>
      </x:c>
      <x:c r="D98" s="5" t="inlineStr">
        <x:is>
          <x:t xml:space="preserve">Gengar</x:t>
        </x:is>
      </x:c>
      <x:c r="E98" s="5" t="n">
        <x:v>1</x:v>
      </x:c>
      <x:c r="F98" s="5" t="inlineStr">
        <x:is>
          <x:t xml:space="preserve">고스트</x:t>
        </x:is>
      </x:c>
      <x:c r="G98" s="5" t="inlineStr">
        <x:is>
          <x:t xml:space="preserve">독</x:t>
        </x:is>
      </x:c>
      <x:c r="H98" s="5" t="n">
        <x:v>1.5</x:v>
      </x:c>
      <x:c r="I98" s="5" t="n">
        <x:v>40.5</x:v>
      </x:c>
      <x:c r="J98" s="5" t="n">
        <x:v>500</x:v>
      </x:c>
      <x:c r="K98" s="5" t="n">
        <x:v>45</x:v>
      </x:c>
      <x:c r="L98" s="5" t="inlineStr">
        <x:is>
          <x:t xml:space="preserve">최종</x:t>
        </x:is>
      </x:c>
      <x:c r="M98" s="5" t="n">
        <x:v>25</x:v>
      </x:c>
      <x:c r="N98" s="5" t="inlineStr">
        <x:is>
          <x:t xml:space="preserve">레벨·특수</x:t>
        </x:is>
      </x:c>
      <x:c r="O98" s="5" t="inlineStr">
        <x:is>
          <x:t xml:space="preserve">예</x:t>
        </x:is>
      </x:c>
      <x:c r="P98" s="5" t="inlineStr">
        <x:is>
          <x:t xml:space="preserve">#aether:is_aether; #cobblemon:is_deep_dark; #cobblemon:is_overworld; #cobblemon:is_spooky; #minecraft:is_nether</x:t>
        </x:is>
      </x:c>
      <x:c r="Q98" s="5" t="inlineStr">
        <x:is>
          <x:t xml:space="preserve">uncommon</x:t>
        </x:is>
      </x:c>
      <x:c r="R98" s="5" t="inlineStr">
        <x:is>
          <x:t xml:space="preserve"/>
        </x:is>
      </x:c>
      <x:c r="S98" s="5" t="inlineStr">
        <x:is>
          <x:t xml:space="preserve"/>
        </x:is>
      </x:c>
      <x:c r="T98" s="5" t="inlineStr">
        <x:is>
          <x:t xml:space="preserve">비행</x:t>
        </x:is>
      </x:c>
      <x:c r="U98" s="5" t="inlineStr">
        <x:is>
          <x:t xml:space="preserve">특수</x:t>
        </x:is>
      </x:c>
      <x:c r="V98" s="5" t="inlineStr">
        <x:is>
          <x:t xml:space="preserve">온대</x:t>
        </x:is>
      </x:c>
      <x:c r="W98" s="5" t="inlineStr">
        <x:is>
          <x:t xml:space="preserve">보통</x:t>
        </x:is>
      </x:c>
      <x:c r="X98" s="5" t="inlineStr">
        <x:is>
          <x:t xml:space="preserve">안개</x:t>
        </x:is>
      </x:c>
      <x:c r="Y98" s="5" t="inlineStr">
        <x:is>
          <x:t xml:space="preserve">밤</x:t>
        </x:is>
      </x:c>
      <x:c r="Z98" s="5" t="inlineStr">
        <x:is>
          <x:t xml:space="preserve">보통</x:t>
        </x:is>
      </x:c>
      <x:c r="AA98" s="5" t="inlineStr">
        <x:is>
          <x:t xml:space="preserve">영체</x:t>
        </x:is>
      </x:c>
      <x:c r="AB98" s="5" t="inlineStr">
        <x:is>
          <x:t xml:space="preserve">특수</x:t>
        </x:is>
      </x:c>
      <x:c r="AC98" s="5" t="inlineStr">
        <x:is>
          <x:t xml:space="preserve">gen1</x:t>
        </x:is>
      </x:c>
      <x:c r="AD98" s="5" t="inlineStr">
        <x:is>
          <x:t xml:space="preserve">.tmp/cobblemon-1.7.3-source/common/src/main/resources/data/cobblemon/species/generation1/gengar.json</x:t>
        </x:is>
      </x:c>
    </x:row>
    <x:row r="99" ht="22" customHeight="1">
      <x:c r="A99" s="5" t="n">
        <x:v>95</x:v>
      </x:c>
      <x:c r="B99" s="5" t="inlineStr">
        <x:is>
          <x:t xml:space="preserve">롱스톤</x:t>
        </x:is>
      </x:c>
      <x:c r="C99" s="5" t="inlineStr">
        <x:is>
          <x:t xml:space="preserve">onix</x:t>
        </x:is>
      </x:c>
      <x:c r="D99" s="5" t="inlineStr">
        <x:is>
          <x:t xml:space="preserve">Onix</x:t>
        </x:is>
      </x:c>
      <x:c r="E99" s="5" t="n">
        <x:v>1</x:v>
      </x:c>
      <x:c r="F99" s="5" t="inlineStr">
        <x:is>
          <x:t xml:space="preserve">바위</x:t>
        </x:is>
      </x:c>
      <x:c r="G99" s="5" t="inlineStr">
        <x:is>
          <x:t xml:space="preserve">땅</x:t>
        </x:is>
      </x:c>
      <x:c r="H99" s="5" t="n">
        <x:v>8.800000000000001</x:v>
      </x:c>
      <x:c r="I99" s="5" t="n">
        <x:v>210</x:v>
      </x:c>
      <x:c r="J99" s="5" t="n">
        <x:v>385</x:v>
      </x:c>
      <x:c r="K99" s="5" t="n">
        <x:v>45</x:v>
      </x:c>
      <x:c r="L99" s="5" t="inlineStr">
        <x:is>
          <x:t xml:space="preserve">기본</x:t>
        </x:is>
      </x:c>
      <x:c r="M99" s="5" t="n"/>
      <x:c r="N99" s="5" t="inlineStr">
        <x:is>
          <x:t xml:space="preserve">특수</x:t>
        </x:is>
      </x:c>
      <x:c r="O99" s="5" t="inlineStr">
        <x:is>
          <x:t xml:space="preserve">예</x:t>
        </x:is>
      </x:c>
      <x:c r="P99" s="5" t="inlineStr">
        <x:is>
          <x:t xml:space="preserve">#cobblemon:is_overworld; #cobblemon:nether/is_basalt</x:t>
        </x:is>
      </x:c>
      <x:c r="Q99" s="5" t="inlineStr">
        <x:is>
          <x:t xml:space="preserve">uncommon</x:t>
        </x:is>
      </x:c>
      <x:c r="R99" s="5" t="inlineStr">
        <x:is>
          <x:t xml:space="preserve"/>
        </x:is>
      </x:c>
      <x:c r="S99" s="5" t="inlineStr">
        <x:is>
          <x:t xml:space="preserve"/>
        </x:is>
      </x:c>
      <x:c r="T99" s="5" t="inlineStr">
        <x:is>
          <x:t xml:space="preserve">육상</x:t>
        </x:is>
      </x:c>
      <x:c r="U99" s="5" t="inlineStr">
        <x:is>
          <x:t xml:space="preserve">화산</x:t>
        </x:is>
      </x:c>
      <x:c r="V99" s="5" t="inlineStr">
        <x:is>
          <x:t xml:space="preserve">고온</x:t>
        </x:is>
      </x:c>
      <x:c r="W99" s="5" t="inlineStr">
        <x:is>
          <x:t xml:space="preserve">건조</x:t>
        </x:is>
      </x:c>
      <x:c r="X99" s="5" t="inlineStr">
        <x:is>
          <x:t xml:space="preserve">맑음</x:t>
        </x:is>
      </x:c>
      <x:c r="Y99" s="5" t="inlineStr">
        <x:is>
          <x:t xml:space="preserve">무관</x:t>
        </x:is>
      </x:c>
      <x:c r="Z99" s="5" t="inlineStr">
        <x:is>
          <x:t xml:space="preserve">보통</x:t>
        </x:is>
      </x:c>
      <x:c r="AA99" s="5" t="inlineStr">
        <x:is>
          <x:t xml:space="preserve">화산</x:t>
        </x:is>
      </x:c>
      <x:c r="AB99" s="5" t="inlineStr">
        <x:is>
          <x:t xml:space="preserve">화산</x:t>
        </x:is>
      </x:c>
      <x:c r="AC99" s="5" t="inlineStr">
        <x:is>
          <x:t xml:space="preserve">gen1</x:t>
        </x:is>
      </x:c>
      <x:c r="AD99" s="5" t="inlineStr">
        <x:is>
          <x:t xml:space="preserve">.tmp/cobblemon-1.7.3-source/common/src/main/resources/data/cobblemon/species/generation1/onix.json</x:t>
        </x:is>
      </x:c>
    </x:row>
    <x:row r="100" ht="22" customHeight="1">
      <x:c r="A100" s="5" t="n">
        <x:v>96</x:v>
      </x:c>
      <x:c r="B100" s="5" t="inlineStr">
        <x:is>
          <x:t xml:space="preserve">슬리프</x:t>
        </x:is>
      </x:c>
      <x:c r="C100" s="5" t="inlineStr">
        <x:is>
          <x:t xml:space="preserve">drowzee</x:t>
        </x:is>
      </x:c>
      <x:c r="D100" s="5" t="inlineStr">
        <x:is>
          <x:t xml:space="preserve">Drowzee</x:t>
        </x:is>
      </x:c>
      <x:c r="E100" s="5" t="n">
        <x:v>1</x:v>
      </x:c>
      <x:c r="F100" s="5" t="inlineStr">
        <x:is>
          <x:t xml:space="preserve">에스퍼</x:t>
        </x:is>
      </x:c>
      <x:c r="G100" s="5" t="inlineStr">
        <x:is>
          <x:t xml:space="preserve"/>
        </x:is>
      </x:c>
      <x:c r="H100" s="5" t="n">
        <x:v>1</x:v>
      </x:c>
      <x:c r="I100" s="5" t="n">
        <x:v>32.4</x:v>
      </x:c>
      <x:c r="J100" s="5" t="n">
        <x:v>328</x:v>
      </x:c>
      <x:c r="K100" s="5" t="n">
        <x:v>190</x:v>
      </x:c>
      <x:c r="L100" s="5" t="inlineStr">
        <x:is>
          <x:t xml:space="preserve">기본</x:t>
        </x:is>
      </x:c>
      <x:c r="M100" s="5" t="n">
        <x:v>26</x:v>
      </x:c>
      <x:c r="N100" s="5" t="inlineStr">
        <x:is>
          <x:t xml:space="preserve">레벨</x:t>
        </x:is>
      </x:c>
      <x:c r="O100" s="5" t="inlineStr">
        <x:is>
          <x:t xml:space="preserve">예</x:t>
        </x:is>
      </x:c>
      <x:c r="P100" s="5" t="inlineStr">
        <x:is>
          <x:t xml:space="preserve">#cobblemon:is_overworld</x:t>
        </x:is>
      </x:c>
      <x:c r="Q100" s="5" t="inlineStr">
        <x:is>
          <x:t xml:space="preserve">common</x:t>
        </x:is>
      </x:c>
      <x:c r="R100" s="5" t="inlineStr">
        <x:is>
          <x:t xml:space="preserve">night</x:t>
        </x:is>
      </x:c>
      <x:c r="S100" s="5" t="inlineStr">
        <x:is>
          <x:t xml:space="preserve"/>
        </x:is>
      </x:c>
      <x:c r="T100" s="5" t="inlineStr">
        <x:is>
          <x:t xml:space="preserve">육상</x:t>
        </x:is>
      </x:c>
      <x:c r="U100" s="5" t="inlineStr">
        <x:is>
          <x:t xml:space="preserve">개활지</x:t>
        </x:is>
      </x:c>
      <x:c r="V100" s="5" t="inlineStr">
        <x:is>
          <x:t xml:space="preserve">온대</x:t>
        </x:is>
      </x:c>
      <x:c r="W100" s="5" t="inlineStr">
        <x:is>
          <x:t xml:space="preserve">보통</x:t>
        </x:is>
      </x:c>
      <x:c r="X100" s="5" t="inlineStr">
        <x:is>
          <x:t xml:space="preserve">무관</x:t>
        </x:is>
      </x:c>
      <x:c r="Y100" s="5" t="inlineStr">
        <x:is>
          <x:t xml:space="preserve">밤</x:t>
        </x:is>
      </x:c>
      <x:c r="Z100" s="5" t="inlineStr">
        <x:is>
          <x:t xml:space="preserve">흔함</x:t>
        </x:is>
      </x:c>
      <x:c r="AA100" s="5" t="inlineStr">
        <x:is>
          <x:t xml:space="preserve">없음</x:t>
        </x:is>
      </x:c>
      <x:c r="AB100" s="5" t="inlineStr">
        <x:is>
          <x:t xml:space="preserve"/>
        </x:is>
      </x:c>
      <x:c r="AC100" s="5" t="inlineStr">
        <x:is>
          <x:t xml:space="preserve">gen1</x:t>
        </x:is>
      </x:c>
      <x:c r="AD100" s="5" t="inlineStr">
        <x:is>
          <x:t xml:space="preserve">.tmp/cobblemon-1.7.3-source/common/src/main/resources/data/cobblemon/species/generation1/drowzee.json</x:t>
        </x:is>
      </x:c>
    </x:row>
    <x:row r="101" ht="22" customHeight="1">
      <x:c r="A101" s="5" t="n">
        <x:v>97</x:v>
      </x:c>
      <x:c r="B101" s="5" t="inlineStr">
        <x:is>
          <x:t xml:space="preserve">슬리퍼</x:t>
        </x:is>
      </x:c>
      <x:c r="C101" s="5" t="inlineStr">
        <x:is>
          <x:t xml:space="preserve">hypno</x:t>
        </x:is>
      </x:c>
      <x:c r="D101" s="5" t="inlineStr">
        <x:is>
          <x:t xml:space="preserve">Hypno</x:t>
        </x:is>
      </x:c>
      <x:c r="E101" s="5" t="n">
        <x:v>1</x:v>
      </x:c>
      <x:c r="F101" s="5" t="inlineStr">
        <x:is>
          <x:t xml:space="preserve">에스퍼</x:t>
        </x:is>
      </x:c>
      <x:c r="G101" s="5" t="inlineStr">
        <x:is>
          <x:t xml:space="preserve"/>
        </x:is>
      </x:c>
      <x:c r="H101" s="5" t="n">
        <x:v>1.6</x:v>
      </x:c>
      <x:c r="I101" s="5" t="n">
        <x:v>75.59999999999999</x:v>
      </x:c>
      <x:c r="J101" s="5" t="n">
        <x:v>483</x:v>
      </x:c>
      <x:c r="K101" s="5" t="n">
        <x:v>75</x:v>
      </x:c>
      <x:c r="L101" s="5" t="inlineStr">
        <x:is>
          <x:t xml:space="preserve">최종</x:t>
        </x:is>
      </x:c>
      <x:c r="M101" s="5" t="n">
        <x:v>26</x:v>
      </x:c>
      <x:c r="N101" s="5" t="inlineStr">
        <x:is>
          <x:t xml:space="preserve">레벨</x:t>
        </x:is>
      </x:c>
      <x:c r="O101" s="5" t="inlineStr">
        <x:is>
          <x:t xml:space="preserve">예</x:t>
        </x:is>
      </x:c>
      <x:c r="P101" s="5" t="inlineStr">
        <x:is>
          <x:t xml:space="preserve">#cobblemon:is_overworld</x:t>
        </x:is>
      </x:c>
      <x:c r="Q101" s="5" t="inlineStr">
        <x:is>
          <x:t xml:space="preserve">common</x:t>
        </x:is>
      </x:c>
      <x:c r="R101" s="5" t="inlineStr">
        <x:is>
          <x:t xml:space="preserve">night</x:t>
        </x:is>
      </x:c>
      <x:c r="S101" s="5" t="inlineStr">
        <x:is>
          <x:t xml:space="preserve"/>
        </x:is>
      </x:c>
      <x:c r="T101" s="5" t="inlineStr">
        <x:is>
          <x:t xml:space="preserve">육상</x:t>
        </x:is>
      </x:c>
      <x:c r="U101" s="5" t="inlineStr">
        <x:is>
          <x:t xml:space="preserve">개활지</x:t>
        </x:is>
      </x:c>
      <x:c r="V101" s="5" t="inlineStr">
        <x:is>
          <x:t xml:space="preserve">온대</x:t>
        </x:is>
      </x:c>
      <x:c r="W101" s="5" t="inlineStr">
        <x:is>
          <x:t xml:space="preserve">보통</x:t>
        </x:is>
      </x:c>
      <x:c r="X101" s="5" t="inlineStr">
        <x:is>
          <x:t xml:space="preserve">무관</x:t>
        </x:is>
      </x:c>
      <x:c r="Y101" s="5" t="inlineStr">
        <x:is>
          <x:t xml:space="preserve">밤</x:t>
        </x:is>
      </x:c>
      <x:c r="Z101" s="5" t="inlineStr">
        <x:is>
          <x:t xml:space="preserve">흔함</x:t>
        </x:is>
      </x:c>
      <x:c r="AA101" s="5" t="inlineStr">
        <x:is>
          <x:t xml:space="preserve">없음</x:t>
        </x:is>
      </x:c>
      <x:c r="AB101" s="5" t="inlineStr">
        <x:is>
          <x:t xml:space="preserve"/>
        </x:is>
      </x:c>
      <x:c r="AC101" s="5" t="inlineStr">
        <x:is>
          <x:t xml:space="preserve">gen1</x:t>
        </x:is>
      </x:c>
      <x:c r="AD101" s="5" t="inlineStr">
        <x:is>
          <x:t xml:space="preserve">.tmp/cobblemon-1.7.3-source/common/src/main/resources/data/cobblemon/species/generation1/hypno.json</x:t>
        </x:is>
      </x:c>
    </x:row>
    <x:row r="102" ht="22" customHeight="1">
      <x:c r="A102" s="5" t="n">
        <x:v>98</x:v>
      </x:c>
      <x:c r="B102" s="5" t="inlineStr">
        <x:is>
          <x:t xml:space="preserve">크랩</x:t>
        </x:is>
      </x:c>
      <x:c r="C102" s="5" t="inlineStr">
        <x:is>
          <x:t xml:space="preserve">krabby</x:t>
        </x:is>
      </x:c>
      <x:c r="D102" s="5" t="inlineStr">
        <x:is>
          <x:t xml:space="preserve">Krabby</x:t>
        </x:is>
      </x:c>
      <x:c r="E102" s="5" t="n">
        <x:v>1</x:v>
      </x:c>
      <x:c r="F102" s="5" t="inlineStr">
        <x:is>
          <x:t xml:space="preserve">물</x:t>
        </x:is>
      </x:c>
      <x:c r="G102" s="5" t="inlineStr">
        <x:is>
          <x:t xml:space="preserve"/>
        </x:is>
      </x:c>
      <x:c r="H102" s="5" t="n">
        <x:v>0.4</x:v>
      </x:c>
      <x:c r="I102" s="5" t="n">
        <x:v>6.5</x:v>
      </x:c>
      <x:c r="J102" s="5" t="n">
        <x:v>325</x:v>
      </x:c>
      <x:c r="K102" s="5" t="n">
        <x:v>225</x:v>
      </x:c>
      <x:c r="L102" s="5" t="inlineStr">
        <x:is>
          <x:t xml:space="preserve">기본</x:t>
        </x:is>
      </x:c>
      <x:c r="M102" s="5" t="n">
        <x:v>28</x:v>
      </x:c>
      <x:c r="N102" s="5" t="inlineStr">
        <x:is>
          <x:t xml:space="preserve">레벨</x:t>
        </x:is>
      </x:c>
      <x:c r="O102" s="5" t="inlineStr">
        <x:is>
          <x:t xml:space="preserve">예</x:t>
        </x:is>
      </x:c>
      <x:c r="P102" s="5" t="inlineStr">
        <x:is>
          <x:t xml:space="preserve">#cobblemon:is_coast; #cobblemon:is_ocean; #cobblemon:is_overworld</x:t>
        </x:is>
      </x:c>
      <x:c r="Q102" s="5" t="inlineStr">
        <x:is>
          <x:t xml:space="preserve">common</x:t>
        </x:is>
      </x:c>
      <x:c r="R102" s="5" t="inlineStr">
        <x:is>
          <x:t xml:space="preserve"/>
        </x:is>
      </x:c>
      <x:c r="S102" s="5" t="inlineStr">
        <x:is>
          <x:t xml:space="preserve"/>
        </x:is>
      </x:c>
      <x:c r="T102" s="5" t="inlineStr">
        <x:is>
          <x:t xml:space="preserve">해양</x:t>
        </x:is>
      </x:c>
      <x:c r="U102" s="5" t="inlineStr">
        <x:is>
          <x:t xml:space="preserve">해안·해양</x:t>
        </x:is>
      </x:c>
      <x:c r="V102" s="5" t="inlineStr">
        <x:is>
          <x:t xml:space="preserve">온대</x:t>
        </x:is>
      </x:c>
      <x:c r="W102" s="5" t="inlineStr">
        <x:is>
          <x:t xml:space="preserve">수중</x:t>
        </x:is>
      </x:c>
      <x:c r="X102" s="5" t="inlineStr">
        <x:is>
          <x:t xml:space="preserve">비</x:t>
        </x:is>
      </x:c>
      <x:c r="Y102" s="5" t="inlineStr">
        <x:is>
          <x:t xml:space="preserve">무관</x:t>
        </x:is>
      </x:c>
      <x:c r="Z102" s="5" t="inlineStr">
        <x:is>
          <x:t xml:space="preserve">흔함</x:t>
        </x:is>
      </x:c>
      <x:c r="AA102" s="5" t="inlineStr">
        <x:is>
          <x:t xml:space="preserve">없음</x:t>
        </x:is>
      </x:c>
      <x:c r="AB102" s="5" t="inlineStr">
        <x:is>
          <x:t xml:space="preserve">해양</x:t>
        </x:is>
      </x:c>
      <x:c r="AC102" s="5" t="inlineStr">
        <x:is>
          <x:t xml:space="preserve">gen1</x:t>
        </x:is>
      </x:c>
      <x:c r="AD102" s="5" t="inlineStr">
        <x:is>
          <x:t xml:space="preserve">.tmp/cobblemon-1.7.3-source/common/src/main/resources/data/cobblemon/species/generation1/krabby.json</x:t>
        </x:is>
      </x:c>
    </x:row>
    <x:row r="103" ht="22" customHeight="1">
      <x:c r="A103" s="5" t="n">
        <x:v>99</x:v>
      </x:c>
      <x:c r="B103" s="5" t="inlineStr">
        <x:is>
          <x:t xml:space="preserve">킹크랩</x:t>
        </x:is>
      </x:c>
      <x:c r="C103" s="5" t="inlineStr">
        <x:is>
          <x:t xml:space="preserve">kingler</x:t>
        </x:is>
      </x:c>
      <x:c r="D103" s="5" t="inlineStr">
        <x:is>
          <x:t xml:space="preserve">Kingler</x:t>
        </x:is>
      </x:c>
      <x:c r="E103" s="5" t="n">
        <x:v>1</x:v>
      </x:c>
      <x:c r="F103" s="5" t="inlineStr">
        <x:is>
          <x:t xml:space="preserve">물</x:t>
        </x:is>
      </x:c>
      <x:c r="G103" s="5" t="inlineStr">
        <x:is>
          <x:t xml:space="preserve"/>
        </x:is>
      </x:c>
      <x:c r="H103" s="5" t="n">
        <x:v>1.3</x:v>
      </x:c>
      <x:c r="I103" s="5" t="n">
        <x:v>60</x:v>
      </x:c>
      <x:c r="J103" s="5" t="n">
        <x:v>475</x:v>
      </x:c>
      <x:c r="K103" s="5" t="n">
        <x:v>60</x:v>
      </x:c>
      <x:c r="L103" s="5" t="inlineStr">
        <x:is>
          <x:t xml:space="preserve">최종</x:t>
        </x:is>
      </x:c>
      <x:c r="M103" s="5" t="n">
        <x:v>28</x:v>
      </x:c>
      <x:c r="N103" s="5" t="inlineStr">
        <x:is>
          <x:t xml:space="preserve">레벨</x:t>
        </x:is>
      </x:c>
      <x:c r="O103" s="5" t="inlineStr">
        <x:is>
          <x:t xml:space="preserve">예</x:t>
        </x:is>
      </x:c>
      <x:c r="P103" s="5" t="inlineStr">
        <x:is>
          <x:t xml:space="preserve">#cobblemon:is_coast; #cobblemon:is_ocean; #cobblemon:is_overworld</x:t>
        </x:is>
      </x:c>
      <x:c r="Q103" s="5" t="inlineStr">
        <x:is>
          <x:t xml:space="preserve">common</x:t>
        </x:is>
      </x:c>
      <x:c r="R103" s="5" t="inlineStr">
        <x:is>
          <x:t xml:space="preserve"/>
        </x:is>
      </x:c>
      <x:c r="S103" s="5" t="inlineStr">
        <x:is>
          <x:t xml:space="preserve"/>
        </x:is>
      </x:c>
      <x:c r="T103" s="5" t="inlineStr">
        <x:is>
          <x:t xml:space="preserve">해양</x:t>
        </x:is>
      </x:c>
      <x:c r="U103" s="5" t="inlineStr">
        <x:is>
          <x:t xml:space="preserve">해안·해양</x:t>
        </x:is>
      </x:c>
      <x:c r="V103" s="5" t="inlineStr">
        <x:is>
          <x:t xml:space="preserve">온대</x:t>
        </x:is>
      </x:c>
      <x:c r="W103" s="5" t="inlineStr">
        <x:is>
          <x:t xml:space="preserve">수중</x:t>
        </x:is>
      </x:c>
      <x:c r="X103" s="5" t="inlineStr">
        <x:is>
          <x:t xml:space="preserve">비</x:t>
        </x:is>
      </x:c>
      <x:c r="Y103" s="5" t="inlineStr">
        <x:is>
          <x:t xml:space="preserve">무관</x:t>
        </x:is>
      </x:c>
      <x:c r="Z103" s="5" t="inlineStr">
        <x:is>
          <x:t xml:space="preserve">흔함</x:t>
        </x:is>
      </x:c>
      <x:c r="AA103" s="5" t="inlineStr">
        <x:is>
          <x:t xml:space="preserve">없음</x:t>
        </x:is>
      </x:c>
      <x:c r="AB103" s="5" t="inlineStr">
        <x:is>
          <x:t xml:space="preserve">해양</x:t>
        </x:is>
      </x:c>
      <x:c r="AC103" s="5" t="inlineStr">
        <x:is>
          <x:t xml:space="preserve">gen1</x:t>
        </x:is>
      </x:c>
      <x:c r="AD103" s="5" t="inlineStr">
        <x:is>
          <x:t xml:space="preserve">.tmp/cobblemon-1.7.3-source/common/src/main/resources/data/cobblemon/species/generation1/kingler.json</x:t>
        </x:is>
      </x:c>
    </x:row>
    <x:row r="104" ht="22" customHeight="1">
      <x:c r="A104" s="5" t="n">
        <x:v>100</x:v>
      </x:c>
      <x:c r="B104" s="5" t="inlineStr">
        <x:is>
          <x:t xml:space="preserve">찌리리공</x:t>
        </x:is>
      </x:c>
      <x:c r="C104" s="5" t="inlineStr">
        <x:is>
          <x:t xml:space="preserve">voltorb</x:t>
        </x:is>
      </x:c>
      <x:c r="D104" s="5" t="inlineStr">
        <x:is>
          <x:t xml:space="preserve">Voltorb</x:t>
        </x:is>
      </x:c>
      <x:c r="E104" s="5" t="n">
        <x:v>1</x:v>
      </x:c>
      <x:c r="F104" s="5" t="inlineStr">
        <x:is>
          <x:t xml:space="preserve">전기</x:t>
        </x:is>
      </x:c>
      <x:c r="G104" s="5" t="inlineStr">
        <x:is>
          <x:t xml:space="preserve"/>
        </x:is>
      </x:c>
      <x:c r="H104" s="5" t="n">
        <x:v>0.5</x:v>
      </x:c>
      <x:c r="I104" s="5" t="n">
        <x:v>10.4</x:v>
      </x:c>
      <x:c r="J104" s="5" t="n">
        <x:v>330</x:v>
      </x:c>
      <x:c r="K104" s="5" t="n">
        <x:v>190</x:v>
      </x:c>
      <x:c r="L104" s="5" t="inlineStr">
        <x:is>
          <x:t xml:space="preserve">기본</x:t>
        </x:is>
      </x:c>
      <x:c r="M104" s="5" t="n">
        <x:v>30</x:v>
      </x:c>
      <x:c r="N104" s="5" t="inlineStr">
        <x:is>
          <x:t xml:space="preserve">레벨</x:t>
        </x:is>
      </x:c>
      <x:c r="O104" s="5" t="inlineStr">
        <x:is>
          <x:t xml:space="preserve">예</x:t>
        </x:is>
      </x:c>
      <x:c r="P104" s="5" t="inlineStr">
        <x:is>
          <x:t xml:space="preserve">#cobblemon:is_overworld</x:t>
        </x:is>
      </x:c>
      <x:c r="Q104" s="5" t="inlineStr">
        <x:is>
          <x:t xml:space="preserve">common; uncommon</x:t>
        </x:is>
      </x:c>
      <x:c r="R104" s="5" t="inlineStr">
        <x:is>
          <x:t xml:space="preserve"/>
        </x:is>
      </x:c>
      <x:c r="S104" s="5" t="inlineStr">
        <x:is>
          <x:t xml:space="preserve"/>
        </x:is>
      </x:c>
      <x:c r="T104" s="5" t="inlineStr">
        <x:is>
          <x:t xml:space="preserve">인공</x:t>
        </x:is>
      </x:c>
      <x:c r="U104" s="5" t="inlineStr">
        <x:is>
          <x:t xml:space="preserve">도시</x:t>
        </x:is>
      </x:c>
      <x:c r="V104" s="5" t="inlineStr">
        <x:is>
          <x:t xml:space="preserve">온대</x:t>
        </x:is>
      </x:c>
      <x:c r="W104" s="5" t="inlineStr">
        <x:is>
          <x:t xml:space="preserve">보통</x:t>
        </x:is>
      </x:c>
      <x:c r="X104" s="5" t="inlineStr">
        <x:is>
          <x:t xml:space="preserve">무관</x:t>
        </x:is>
      </x:c>
      <x:c r="Y104" s="5" t="inlineStr">
        <x:is>
          <x:t xml:space="preserve">무관</x:t>
        </x:is>
      </x:c>
      <x:c r="Z104" s="5" t="inlineStr">
        <x:is>
          <x:t xml:space="preserve">보통</x:t>
        </x:is>
      </x:c>
      <x:c r="AA104" s="5" t="inlineStr">
        <x:is>
          <x:t xml:space="preserve">도시</x:t>
        </x:is>
      </x:c>
      <x:c r="AB104" s="5" t="inlineStr">
        <x:is>
          <x:t xml:space="preserve"/>
        </x:is>
      </x:c>
      <x:c r="AC104" s="5" t="inlineStr">
        <x:is>
          <x:t xml:space="preserve">gen1; kantonian_form</x:t>
        </x:is>
      </x:c>
      <x:c r="AD104" s="5" t="inlineStr">
        <x:is>
          <x:t xml:space="preserve">.tmp/cobblemon-1.7.3-source/common/src/main/resources/data/cobblemon/species/generation1/voltorb.json</x:t>
        </x:is>
      </x:c>
    </x:row>
    <x:row r="105" ht="22" customHeight="1">
      <x:c r="A105" s="5" t="n">
        <x:v>101</x:v>
      </x:c>
      <x:c r="B105" s="5" t="inlineStr">
        <x:is>
          <x:t xml:space="preserve">붐볼</x:t>
        </x:is>
      </x:c>
      <x:c r="C105" s="5" t="inlineStr">
        <x:is>
          <x:t xml:space="preserve">electrode</x:t>
        </x:is>
      </x:c>
      <x:c r="D105" s="5" t="inlineStr">
        <x:is>
          <x:t xml:space="preserve">Electrode</x:t>
        </x:is>
      </x:c>
      <x:c r="E105" s="5" t="n">
        <x:v>1</x:v>
      </x:c>
      <x:c r="F105" s="5" t="inlineStr">
        <x:is>
          <x:t xml:space="preserve">전기</x:t>
        </x:is>
      </x:c>
      <x:c r="G105" s="5" t="inlineStr">
        <x:is>
          <x:t xml:space="preserve"/>
        </x:is>
      </x:c>
      <x:c r="H105" s="5" t="n">
        <x:v>1.2</x:v>
      </x:c>
      <x:c r="I105" s="5" t="n">
        <x:v>66.59999999999999</x:v>
      </x:c>
      <x:c r="J105" s="5" t="n">
        <x:v>490</x:v>
      </x:c>
      <x:c r="K105" s="5" t="n">
        <x:v>60</x:v>
      </x:c>
      <x:c r="L105" s="5" t="inlineStr">
        <x:is>
          <x:t xml:space="preserve">최종</x:t>
        </x:is>
      </x:c>
      <x:c r="M105" s="5" t="n">
        <x:v>30</x:v>
      </x:c>
      <x:c r="N105" s="5" t="inlineStr">
        <x:is>
          <x:t xml:space="preserve">레벨</x:t>
        </x:is>
      </x:c>
      <x:c r="O105" s="5" t="inlineStr">
        <x:is>
          <x:t xml:space="preserve">예</x:t>
        </x:is>
      </x:c>
      <x:c r="P105" s="5" t="inlineStr">
        <x:is>
          <x:t xml:space="preserve">#cobblemon:is_overworld</x:t>
        </x:is>
      </x:c>
      <x:c r="Q105" s="5" t="inlineStr">
        <x:is>
          <x:t xml:space="preserve">common; uncommon</x:t>
        </x:is>
      </x:c>
      <x:c r="R105" s="5" t="inlineStr">
        <x:is>
          <x:t xml:space="preserve"/>
        </x:is>
      </x:c>
      <x:c r="S105" s="5" t="inlineStr">
        <x:is>
          <x:t xml:space="preserve"/>
        </x:is>
      </x:c>
      <x:c r="T105" s="5" t="inlineStr">
        <x:is>
          <x:t xml:space="preserve">인공</x:t>
        </x:is>
      </x:c>
      <x:c r="U105" s="5" t="inlineStr">
        <x:is>
          <x:t xml:space="preserve">도시</x:t>
        </x:is>
      </x:c>
      <x:c r="V105" s="5" t="inlineStr">
        <x:is>
          <x:t xml:space="preserve">온대</x:t>
        </x:is>
      </x:c>
      <x:c r="W105" s="5" t="inlineStr">
        <x:is>
          <x:t xml:space="preserve">보통</x:t>
        </x:is>
      </x:c>
      <x:c r="X105" s="5" t="inlineStr">
        <x:is>
          <x:t xml:space="preserve">무관</x:t>
        </x:is>
      </x:c>
      <x:c r="Y105" s="5" t="inlineStr">
        <x:is>
          <x:t xml:space="preserve">무관</x:t>
        </x:is>
      </x:c>
      <x:c r="Z105" s="5" t="inlineStr">
        <x:is>
          <x:t xml:space="preserve">보통</x:t>
        </x:is>
      </x:c>
      <x:c r="AA105" s="5" t="inlineStr">
        <x:is>
          <x:t xml:space="preserve">도시</x:t>
        </x:is>
      </x:c>
      <x:c r="AB105" s="5" t="inlineStr">
        <x:is>
          <x:t xml:space="preserve"/>
        </x:is>
      </x:c>
      <x:c r="AC105" s="5" t="inlineStr">
        <x:is>
          <x:t xml:space="preserve">gen1; kantonian_form</x:t>
        </x:is>
      </x:c>
      <x:c r="AD105" s="5" t="inlineStr">
        <x:is>
          <x:t xml:space="preserve">.tmp/cobblemon-1.7.3-source/common/src/main/resources/data/cobblemon/species/generation1/electrode.json</x:t>
        </x:is>
      </x:c>
    </x:row>
    <x:row r="106" ht="22" customHeight="1">
      <x:c r="A106" s="5" t="n">
        <x:v>102</x:v>
      </x:c>
      <x:c r="B106" s="5" t="inlineStr">
        <x:is>
          <x:t xml:space="preserve">아라리</x:t>
        </x:is>
      </x:c>
      <x:c r="C106" s="5" t="inlineStr">
        <x:is>
          <x:t xml:space="preserve">exeggcute</x:t>
        </x:is>
      </x:c>
      <x:c r="D106" s="5" t="inlineStr">
        <x:is>
          <x:t xml:space="preserve">Exeggcute</x:t>
        </x:is>
      </x:c>
      <x:c r="E106" s="5" t="n">
        <x:v>1</x:v>
      </x:c>
      <x:c r="F106" s="5" t="inlineStr">
        <x:is>
          <x:t xml:space="preserve">풀</x:t>
        </x:is>
      </x:c>
      <x:c r="G106" s="5" t="inlineStr">
        <x:is>
          <x:t xml:space="preserve">에스퍼</x:t>
        </x:is>
      </x:c>
      <x:c r="H106" s="5" t="n">
        <x:v>0.4</x:v>
      </x:c>
      <x:c r="I106" s="5" t="n">
        <x:v>2.5</x:v>
      </x:c>
      <x:c r="J106" s="5" t="n">
        <x:v>325</x:v>
      </x:c>
      <x:c r="K106" s="5" t="n">
        <x:v>90</x:v>
      </x:c>
      <x:c r="L106" s="5" t="inlineStr">
        <x:is>
          <x:t xml:space="preserve">기본</x:t>
        </x:is>
      </x:c>
      <x:c r="M106" s="5" t="n"/>
      <x:c r="N106" s="5" t="inlineStr">
        <x:is>
          <x:t xml:space="preserve">특수</x:t>
        </x:is>
      </x:c>
      <x:c r="O106" s="5" t="inlineStr">
        <x:is>
          <x:t xml:space="preserve">예</x:t>
        </x:is>
      </x:c>
      <x:c r="P106" s="5" t="inlineStr">
        <x:is>
          <x:t xml:space="preserve">#cobblemon:is_beach; #cobblemon:is_jungle; #cobblemon:is_savanna; #cobblemon:is_tropical_island</x:t>
        </x:is>
      </x:c>
      <x:c r="Q106" s="5" t="inlineStr">
        <x:is>
          <x:t xml:space="preserve">common; uncommon</x:t>
        </x:is>
      </x:c>
      <x:c r="R106" s="5" t="inlineStr">
        <x:is>
          <x:t xml:space="preserve"/>
        </x:is>
      </x:c>
      <x:c r="S106" s="5" t="inlineStr">
        <x:is>
          <x:t xml:space="preserve"/>
        </x:is>
      </x:c>
      <x:c r="T106" s="5" t="inlineStr">
        <x:is>
          <x:t xml:space="preserve">해양</x:t>
        </x:is>
      </x:c>
      <x:c r="U106" s="5" t="inlineStr">
        <x:is>
          <x:t xml:space="preserve">해안·해양</x:t>
        </x:is>
      </x:c>
      <x:c r="V106" s="5" t="inlineStr">
        <x:is>
          <x:t xml:space="preserve">온대</x:t>
        </x:is>
      </x:c>
      <x:c r="W106" s="5" t="inlineStr">
        <x:is>
          <x:t xml:space="preserve">수중</x:t>
        </x:is>
      </x:c>
      <x:c r="X106" s="5" t="inlineStr">
        <x:is>
          <x:t xml:space="preserve">비</x:t>
        </x:is>
      </x:c>
      <x:c r="Y106" s="5" t="inlineStr">
        <x:is>
          <x:t xml:space="preserve">무관</x:t>
        </x:is>
      </x:c>
      <x:c r="Z106" s="5" t="inlineStr">
        <x:is>
          <x:t xml:space="preserve">보통</x:t>
        </x:is>
      </x:c>
      <x:c r="AA106" s="5" t="inlineStr">
        <x:is>
          <x:t xml:space="preserve">없음</x:t>
        </x:is>
      </x:c>
      <x:c r="AB106" s="5" t="inlineStr">
        <x:is>
          <x:t xml:space="preserve">해양</x:t>
        </x:is>
      </x:c>
      <x:c r="AC106" s="5" t="inlineStr">
        <x:is>
          <x:t xml:space="preserve">gen1; kantonian_form</x:t>
        </x:is>
      </x:c>
      <x:c r="AD106" s="5" t="inlineStr">
        <x:is>
          <x:t xml:space="preserve">.tmp/cobblemon-1.7.3-source/common/src/main/resources/data/cobblemon/species/generation1/exeggcute.json</x:t>
        </x:is>
      </x:c>
    </x:row>
    <x:row r="107" ht="22" customHeight="1">
      <x:c r="A107" s="5" t="n">
        <x:v>103</x:v>
      </x:c>
      <x:c r="B107" s="5" t="inlineStr">
        <x:is>
          <x:t xml:space="preserve">나시</x:t>
        </x:is>
      </x:c>
      <x:c r="C107" s="5" t="inlineStr">
        <x:is>
          <x:t xml:space="preserve">exeggutor</x:t>
        </x:is>
      </x:c>
      <x:c r="D107" s="5" t="inlineStr">
        <x:is>
          <x:t xml:space="preserve">Exeggutor</x:t>
        </x:is>
      </x:c>
      <x:c r="E107" s="5" t="n">
        <x:v>1</x:v>
      </x:c>
      <x:c r="F107" s="5" t="inlineStr">
        <x:is>
          <x:t xml:space="preserve">풀</x:t>
        </x:is>
      </x:c>
      <x:c r="G107" s="5" t="inlineStr">
        <x:is>
          <x:t xml:space="preserve">에스퍼</x:t>
        </x:is>
      </x:c>
      <x:c r="H107" s="5" t="n">
        <x:v>2</x:v>
      </x:c>
      <x:c r="I107" s="5" t="n">
        <x:v>120</x:v>
      </x:c>
      <x:c r="J107" s="5" t="n">
        <x:v>530</x:v>
      </x:c>
      <x:c r="K107" s="5" t="n">
        <x:v>45</x:v>
      </x:c>
      <x:c r="L107" s="5" t="inlineStr">
        <x:is>
          <x:t xml:space="preserve">최종</x:t>
        </x:is>
      </x:c>
      <x:c r="M107" s="5" t="n"/>
      <x:c r="N107" s="5" t="inlineStr">
        <x:is>
          <x:t xml:space="preserve">특수</x:t>
        </x:is>
      </x:c>
      <x:c r="O107" s="5" t="inlineStr">
        <x:is>
          <x:t xml:space="preserve">예</x:t>
        </x:is>
      </x:c>
      <x:c r="P107" s="5" t="inlineStr">
        <x:is>
          <x:t xml:space="preserve">#cobblemon:is_beach; #cobblemon:is_jungle; #cobblemon:is_savanna; #cobblemon:is_tropical_island</x:t>
        </x:is>
      </x:c>
      <x:c r="Q107" s="5" t="inlineStr">
        <x:is>
          <x:t xml:space="preserve">common; uncommon</x:t>
        </x:is>
      </x:c>
      <x:c r="R107" s="5" t="inlineStr">
        <x:is>
          <x:t xml:space="preserve"/>
        </x:is>
      </x:c>
      <x:c r="S107" s="5" t="inlineStr">
        <x:is>
          <x:t xml:space="preserve"/>
        </x:is>
      </x:c>
      <x:c r="T107" s="5" t="inlineStr">
        <x:is>
          <x:t xml:space="preserve">해양</x:t>
        </x:is>
      </x:c>
      <x:c r="U107" s="5" t="inlineStr">
        <x:is>
          <x:t xml:space="preserve">해안·해양</x:t>
        </x:is>
      </x:c>
      <x:c r="V107" s="5" t="inlineStr">
        <x:is>
          <x:t xml:space="preserve">온대</x:t>
        </x:is>
      </x:c>
      <x:c r="W107" s="5" t="inlineStr">
        <x:is>
          <x:t xml:space="preserve">수중</x:t>
        </x:is>
      </x:c>
      <x:c r="X107" s="5" t="inlineStr">
        <x:is>
          <x:t xml:space="preserve">비</x:t>
        </x:is>
      </x:c>
      <x:c r="Y107" s="5" t="inlineStr">
        <x:is>
          <x:t xml:space="preserve">무관</x:t>
        </x:is>
      </x:c>
      <x:c r="Z107" s="5" t="inlineStr">
        <x:is>
          <x:t xml:space="preserve">보통</x:t>
        </x:is>
      </x:c>
      <x:c r="AA107" s="5" t="inlineStr">
        <x:is>
          <x:t xml:space="preserve">없음</x:t>
        </x:is>
      </x:c>
      <x:c r="AB107" s="5" t="inlineStr">
        <x:is>
          <x:t xml:space="preserve">해양</x:t>
        </x:is>
      </x:c>
      <x:c r="AC107" s="5" t="inlineStr">
        <x:is>
          <x:t xml:space="preserve">gen1; kantonian_form</x:t>
        </x:is>
      </x:c>
      <x:c r="AD107" s="5" t="inlineStr">
        <x:is>
          <x:t xml:space="preserve">.tmp/cobblemon-1.7.3-source/common/src/main/resources/data/cobblemon/species/generation1/exeggutor.json</x:t>
        </x:is>
      </x:c>
    </x:row>
    <x:row r="108" ht="22" customHeight="1">
      <x:c r="A108" s="5" t="n">
        <x:v>104</x:v>
      </x:c>
      <x:c r="B108" s="5" t="inlineStr">
        <x:is>
          <x:t xml:space="preserve">탕구리</x:t>
        </x:is>
      </x:c>
      <x:c r="C108" s="5" t="inlineStr">
        <x:is>
          <x:t xml:space="preserve">cubone</x:t>
        </x:is>
      </x:c>
      <x:c r="D108" s="5" t="inlineStr">
        <x:is>
          <x:t xml:space="preserve">Cubone</x:t>
        </x:is>
      </x:c>
      <x:c r="E108" s="5" t="n">
        <x:v>1</x:v>
      </x:c>
      <x:c r="F108" s="5" t="inlineStr">
        <x:is>
          <x:t xml:space="preserve">땅</x:t>
        </x:is>
      </x:c>
      <x:c r="G108" s="5" t="inlineStr">
        <x:is>
          <x:t xml:space="preserve"/>
        </x:is>
      </x:c>
      <x:c r="H108" s="5" t="n">
        <x:v>0.4</x:v>
      </x:c>
      <x:c r="I108" s="5" t="n">
        <x:v>6.5</x:v>
      </x:c>
      <x:c r="J108" s="5" t="n">
        <x:v>320</x:v>
      </x:c>
      <x:c r="K108" s="5" t="n">
        <x:v>190</x:v>
      </x:c>
      <x:c r="L108" s="5" t="inlineStr">
        <x:is>
          <x:t xml:space="preserve">기본</x:t>
        </x:is>
      </x:c>
      <x:c r="M108" s="5" t="n">
        <x:v>28</x:v>
      </x:c>
      <x:c r="N108" s="5" t="inlineStr">
        <x:is>
          <x:t xml:space="preserve">레벨·특수</x:t>
        </x:is>
      </x:c>
      <x:c r="O108" s="5" t="inlineStr">
        <x:is>
          <x:t xml:space="preserve">예</x:t>
        </x:is>
      </x:c>
      <x:c r="P108" s="5" t="inlineStr">
        <x:is>
          <x:t xml:space="preserve">#cobblemon:is_badlands; #cobblemon:is_desert; #cobblemon:is_volcanic; #cobblemon:nether/is_desert</x:t>
        </x:is>
      </x:c>
      <x:c r="Q108" s="5" t="inlineStr">
        <x:is>
          <x:t xml:space="preserve">common</x:t>
        </x:is>
      </x:c>
      <x:c r="R108" s="5" t="inlineStr">
        <x:is>
          <x:t xml:space="preserve"/>
        </x:is>
      </x:c>
      <x:c r="S108" s="5" t="inlineStr">
        <x:is>
          <x:t xml:space="preserve"/>
        </x:is>
      </x:c>
      <x:c r="T108" s="5" t="inlineStr">
        <x:is>
          <x:t xml:space="preserve">육상</x:t>
        </x:is>
      </x:c>
      <x:c r="U108" s="5" t="inlineStr">
        <x:is>
          <x:t xml:space="preserve">건조</x:t>
        </x:is>
      </x:c>
      <x:c r="V108" s="5" t="inlineStr">
        <x:is>
          <x:t xml:space="preserve">고온</x:t>
        </x:is>
      </x:c>
      <x:c r="W108" s="5" t="inlineStr">
        <x:is>
          <x:t xml:space="preserve">건조</x:t>
        </x:is>
      </x:c>
      <x:c r="X108" s="5" t="inlineStr">
        <x:is>
          <x:t xml:space="preserve">맑음</x:t>
        </x:is>
      </x:c>
      <x:c r="Y108" s="5" t="inlineStr">
        <x:is>
          <x:t xml:space="preserve">무관</x:t>
        </x:is>
      </x:c>
      <x:c r="Z108" s="5" t="inlineStr">
        <x:is>
          <x:t xml:space="preserve">흔함</x:t>
        </x:is>
      </x:c>
      <x:c r="AA108" s="5" t="inlineStr">
        <x:is>
          <x:t xml:space="preserve">없음</x:t>
        </x:is>
      </x:c>
      <x:c r="AB108" s="5" t="inlineStr">
        <x:is>
          <x:t xml:space="preserve">건조지</x:t>
        </x:is>
      </x:c>
      <x:c r="AC108" s="5" t="inlineStr">
        <x:is>
          <x:t xml:space="preserve">gen1; kantonian_form</x:t>
        </x:is>
      </x:c>
      <x:c r="AD108" s="5" t="inlineStr">
        <x:is>
          <x:t xml:space="preserve">.tmp/cobblemon-1.7.3-source/common/src/main/resources/data/cobblemon/species/generation1/cubone.json</x:t>
        </x:is>
      </x:c>
    </x:row>
    <x:row r="109" ht="22" customHeight="1">
      <x:c r="A109" s="5" t="n">
        <x:v>105</x:v>
      </x:c>
      <x:c r="B109" s="5" t="inlineStr">
        <x:is>
          <x:t xml:space="preserve">텅구리</x:t>
        </x:is>
      </x:c>
      <x:c r="C109" s="5" t="inlineStr">
        <x:is>
          <x:t xml:space="preserve">marowak</x:t>
        </x:is>
      </x:c>
      <x:c r="D109" s="5" t="inlineStr">
        <x:is>
          <x:t xml:space="preserve">Marowak</x:t>
        </x:is>
      </x:c>
      <x:c r="E109" s="5" t="n">
        <x:v>1</x:v>
      </x:c>
      <x:c r="F109" s="5" t="inlineStr">
        <x:is>
          <x:t xml:space="preserve">땅</x:t>
        </x:is>
      </x:c>
      <x:c r="G109" s="5" t="inlineStr">
        <x:is>
          <x:t xml:space="preserve"/>
        </x:is>
      </x:c>
      <x:c r="H109" s="5" t="n">
        <x:v>1</x:v>
      </x:c>
      <x:c r="I109" s="5" t="n">
        <x:v>45</x:v>
      </x:c>
      <x:c r="J109" s="5" t="n">
        <x:v>425</x:v>
      </x:c>
      <x:c r="K109" s="5" t="n">
        <x:v>75</x:v>
      </x:c>
      <x:c r="L109" s="5" t="inlineStr">
        <x:is>
          <x:t xml:space="preserve">최종</x:t>
        </x:is>
      </x:c>
      <x:c r="M109" s="5" t="n">
        <x:v>28</x:v>
      </x:c>
      <x:c r="N109" s="5" t="inlineStr">
        <x:is>
          <x:t xml:space="preserve">레벨·특수</x:t>
        </x:is>
      </x:c>
      <x:c r="O109" s="5" t="inlineStr">
        <x:is>
          <x:t xml:space="preserve">예</x:t>
        </x:is>
      </x:c>
      <x:c r="P109" s="5" t="inlineStr">
        <x:is>
          <x:t xml:space="preserve">#cobblemon:is_badlands; #cobblemon:is_desert; #cobblemon:is_volcanic; #cobblemon:nether/is_desert</x:t>
        </x:is>
      </x:c>
      <x:c r="Q109" s="5" t="inlineStr">
        <x:is>
          <x:t xml:space="preserve">common</x:t>
        </x:is>
      </x:c>
      <x:c r="R109" s="5" t="inlineStr">
        <x:is>
          <x:t xml:space="preserve"/>
        </x:is>
      </x:c>
      <x:c r="S109" s="5" t="inlineStr">
        <x:is>
          <x:t xml:space="preserve"/>
        </x:is>
      </x:c>
      <x:c r="T109" s="5" t="inlineStr">
        <x:is>
          <x:t xml:space="preserve">육상</x:t>
        </x:is>
      </x:c>
      <x:c r="U109" s="5" t="inlineStr">
        <x:is>
          <x:t xml:space="preserve">건조</x:t>
        </x:is>
      </x:c>
      <x:c r="V109" s="5" t="inlineStr">
        <x:is>
          <x:t xml:space="preserve">고온</x:t>
        </x:is>
      </x:c>
      <x:c r="W109" s="5" t="inlineStr">
        <x:is>
          <x:t xml:space="preserve">건조</x:t>
        </x:is>
      </x:c>
      <x:c r="X109" s="5" t="inlineStr">
        <x:is>
          <x:t xml:space="preserve">맑음</x:t>
        </x:is>
      </x:c>
      <x:c r="Y109" s="5" t="inlineStr">
        <x:is>
          <x:t xml:space="preserve">무관</x:t>
        </x:is>
      </x:c>
      <x:c r="Z109" s="5" t="inlineStr">
        <x:is>
          <x:t xml:space="preserve">흔함</x:t>
        </x:is>
      </x:c>
      <x:c r="AA109" s="5" t="inlineStr">
        <x:is>
          <x:t xml:space="preserve">없음</x:t>
        </x:is>
      </x:c>
      <x:c r="AB109" s="5" t="inlineStr">
        <x:is>
          <x:t xml:space="preserve">건조지</x:t>
        </x:is>
      </x:c>
      <x:c r="AC109" s="5" t="inlineStr">
        <x:is>
          <x:t xml:space="preserve">gen1; kantonian_form</x:t>
        </x:is>
      </x:c>
      <x:c r="AD109" s="5" t="inlineStr">
        <x:is>
          <x:t xml:space="preserve">.tmp/cobblemon-1.7.3-source/common/src/main/resources/data/cobblemon/species/generation1/marowak.json</x:t>
        </x:is>
      </x:c>
    </x:row>
    <x:row r="110" ht="22" customHeight="1">
      <x:c r="A110" s="5" t="n">
        <x:v>106</x:v>
      </x:c>
      <x:c r="B110" s="5" t="inlineStr">
        <x:is>
          <x:t xml:space="preserve">시라소몬</x:t>
        </x:is>
      </x:c>
      <x:c r="C110" s="5" t="inlineStr">
        <x:is>
          <x:t xml:space="preserve">hitmonlee</x:t>
        </x:is>
      </x:c>
      <x:c r="D110" s="5" t="inlineStr">
        <x:is>
          <x:t xml:space="preserve">Hitmonlee</x:t>
        </x:is>
      </x:c>
      <x:c r="E110" s="5" t="n">
        <x:v>1</x:v>
      </x:c>
      <x:c r="F110" s="5" t="inlineStr">
        <x:is>
          <x:t xml:space="preserve">격투</x:t>
        </x:is>
      </x:c>
      <x:c r="G110" s="5" t="inlineStr">
        <x:is>
          <x:t xml:space="preserve"/>
        </x:is>
      </x:c>
      <x:c r="H110" s="5" t="n">
        <x:v>1.5</x:v>
      </x:c>
      <x:c r="I110" s="5" t="n">
        <x:v>49.8</x:v>
      </x:c>
      <x:c r="J110" s="5" t="n">
        <x:v>455</x:v>
      </x:c>
      <x:c r="K110" s="5" t="n">
        <x:v>45</x:v>
      </x:c>
      <x:c r="L110" s="5" t="inlineStr">
        <x:is>
          <x:t xml:space="preserve">최종</x:t>
        </x:is>
      </x:c>
      <x:c r="M110" s="5" t="n">
        <x:v>20</x:v>
      </x:c>
      <x:c r="N110" s="5" t="inlineStr">
        <x:is>
          <x:t xml:space="preserve">레벨·특수</x:t>
        </x:is>
      </x:c>
      <x:c r="O110" s="5" t="inlineStr">
        <x:is>
          <x:t xml:space="preserve">예</x:t>
        </x:is>
      </x:c>
      <x:c r="P110" s="5" t="inlineStr">
        <x:is>
          <x:t xml:space="preserve">#cobblemon:is_hills</x:t>
        </x:is>
      </x:c>
      <x:c r="Q110" s="5" t="inlineStr">
        <x:is>
          <x:t xml:space="preserve">uncommon</x:t>
        </x:is>
      </x:c>
      <x:c r="R110" s="5" t="inlineStr">
        <x:is>
          <x:t xml:space="preserve"/>
        </x:is>
      </x:c>
      <x:c r="S110" s="5" t="inlineStr">
        <x:is>
          <x:t xml:space="preserve"/>
        </x:is>
      </x:c>
      <x:c r="T110" s="5" t="inlineStr">
        <x:is>
          <x:t xml:space="preserve">육상</x:t>
        </x:is>
      </x:c>
      <x:c r="U110" s="5" t="inlineStr">
        <x:is>
          <x:t xml:space="preserve">암석</x:t>
        </x:is>
      </x:c>
      <x:c r="V110" s="5" t="inlineStr">
        <x:is>
          <x:t xml:space="preserve">온대</x:t>
        </x:is>
      </x:c>
      <x:c r="W110" s="5" t="inlineStr">
        <x:is>
          <x:t xml:space="preserve">보통</x:t>
        </x:is>
      </x:c>
      <x:c r="X110" s="5" t="inlineStr">
        <x:is>
          <x:t xml:space="preserve">무관</x:t>
        </x:is>
      </x:c>
      <x:c r="Y110" s="5" t="inlineStr">
        <x:is>
          <x:t xml:space="preserve">무관</x:t>
        </x:is>
      </x:c>
      <x:c r="Z110" s="5" t="inlineStr">
        <x:is>
          <x:t xml:space="preserve">보통</x:t>
        </x:is>
      </x:c>
      <x:c r="AA110" s="5" t="inlineStr">
        <x:is>
          <x:t xml:space="preserve">없음</x:t>
        </x:is>
      </x:c>
      <x:c r="AB110" s="5" t="inlineStr">
        <x:is>
          <x:t xml:space="preserve">산악</x:t>
        </x:is>
      </x:c>
      <x:c r="AC110" s="5" t="inlineStr">
        <x:is>
          <x:t xml:space="preserve">gen1</x:t>
        </x:is>
      </x:c>
      <x:c r="AD110" s="5" t="inlineStr">
        <x:is>
          <x:t xml:space="preserve">.tmp/cobblemon-1.7.3-source/common/src/main/resources/data/cobblemon/species/generation1/hitmonlee.json</x:t>
        </x:is>
      </x:c>
    </x:row>
    <x:row r="111" ht="22" customHeight="1">
      <x:c r="A111" s="5" t="n">
        <x:v>107</x:v>
      </x:c>
      <x:c r="B111" s="5" t="inlineStr">
        <x:is>
          <x:t xml:space="preserve">홍수몬</x:t>
        </x:is>
      </x:c>
      <x:c r="C111" s="5" t="inlineStr">
        <x:is>
          <x:t xml:space="preserve">hitmonchan</x:t>
        </x:is>
      </x:c>
      <x:c r="D111" s="5" t="inlineStr">
        <x:is>
          <x:t xml:space="preserve">Hitmonchan</x:t>
        </x:is>
      </x:c>
      <x:c r="E111" s="5" t="n">
        <x:v>1</x:v>
      </x:c>
      <x:c r="F111" s="5" t="inlineStr">
        <x:is>
          <x:t xml:space="preserve">격투</x:t>
        </x:is>
      </x:c>
      <x:c r="G111" s="5" t="inlineStr">
        <x:is>
          <x:t xml:space="preserve"/>
        </x:is>
      </x:c>
      <x:c r="H111" s="5" t="n">
        <x:v>1.4</x:v>
      </x:c>
      <x:c r="I111" s="5" t="n">
        <x:v>50.2</x:v>
      </x:c>
      <x:c r="J111" s="5" t="n">
        <x:v>455</x:v>
      </x:c>
      <x:c r="K111" s="5" t="n">
        <x:v>45</x:v>
      </x:c>
      <x:c r="L111" s="5" t="inlineStr">
        <x:is>
          <x:t xml:space="preserve">최종</x:t>
        </x:is>
      </x:c>
      <x:c r="M111" s="5" t="n">
        <x:v>20</x:v>
      </x:c>
      <x:c r="N111" s="5" t="inlineStr">
        <x:is>
          <x:t xml:space="preserve">레벨·특수</x:t>
        </x:is>
      </x:c>
      <x:c r="O111" s="5" t="inlineStr">
        <x:is>
          <x:t xml:space="preserve">예</x:t>
        </x:is>
      </x:c>
      <x:c r="P111" s="5" t="inlineStr">
        <x:is>
          <x:t xml:space="preserve">#cobblemon:is_hills</x:t>
        </x:is>
      </x:c>
      <x:c r="Q111" s="5" t="inlineStr">
        <x:is>
          <x:t xml:space="preserve">uncommon</x:t>
        </x:is>
      </x:c>
      <x:c r="R111" s="5" t="inlineStr">
        <x:is>
          <x:t xml:space="preserve"/>
        </x:is>
      </x:c>
      <x:c r="S111" s="5" t="inlineStr">
        <x:is>
          <x:t xml:space="preserve"/>
        </x:is>
      </x:c>
      <x:c r="T111" s="5" t="inlineStr">
        <x:is>
          <x:t xml:space="preserve">육상</x:t>
        </x:is>
      </x:c>
      <x:c r="U111" s="5" t="inlineStr">
        <x:is>
          <x:t xml:space="preserve">암석</x:t>
        </x:is>
      </x:c>
      <x:c r="V111" s="5" t="inlineStr">
        <x:is>
          <x:t xml:space="preserve">온대</x:t>
        </x:is>
      </x:c>
      <x:c r="W111" s="5" t="inlineStr">
        <x:is>
          <x:t xml:space="preserve">보통</x:t>
        </x:is>
      </x:c>
      <x:c r="X111" s="5" t="inlineStr">
        <x:is>
          <x:t xml:space="preserve">무관</x:t>
        </x:is>
      </x:c>
      <x:c r="Y111" s="5" t="inlineStr">
        <x:is>
          <x:t xml:space="preserve">무관</x:t>
        </x:is>
      </x:c>
      <x:c r="Z111" s="5" t="inlineStr">
        <x:is>
          <x:t xml:space="preserve">보통</x:t>
        </x:is>
      </x:c>
      <x:c r="AA111" s="5" t="inlineStr">
        <x:is>
          <x:t xml:space="preserve">없음</x:t>
        </x:is>
      </x:c>
      <x:c r="AB111" s="5" t="inlineStr">
        <x:is>
          <x:t xml:space="preserve">산악</x:t>
        </x:is>
      </x:c>
      <x:c r="AC111" s="5" t="inlineStr">
        <x:is>
          <x:t xml:space="preserve">gen1</x:t>
        </x:is>
      </x:c>
      <x:c r="AD111" s="5" t="inlineStr">
        <x:is>
          <x:t xml:space="preserve">.tmp/cobblemon-1.7.3-source/common/src/main/resources/data/cobblemon/species/generation1/hitmonchan.json</x:t>
        </x:is>
      </x:c>
    </x:row>
    <x:row r="112" ht="22" customHeight="1">
      <x:c r="A112" s="5" t="n">
        <x:v>108</x:v>
      </x:c>
      <x:c r="B112" s="5" t="inlineStr">
        <x:is>
          <x:t xml:space="preserve">내루미</x:t>
        </x:is>
      </x:c>
      <x:c r="C112" s="5" t="inlineStr">
        <x:is>
          <x:t xml:space="preserve">lickitung</x:t>
        </x:is>
      </x:c>
      <x:c r="D112" s="5" t="inlineStr">
        <x:is>
          <x:t xml:space="preserve">Lickitung</x:t>
        </x:is>
      </x:c>
      <x:c r="E112" s="5" t="n">
        <x:v>1</x:v>
      </x:c>
      <x:c r="F112" s="5" t="inlineStr">
        <x:is>
          <x:t xml:space="preserve">노말</x:t>
        </x:is>
      </x:c>
      <x:c r="G112" s="5" t="inlineStr">
        <x:is>
          <x:t xml:space="preserve"/>
        </x:is>
      </x:c>
      <x:c r="H112" s="5" t="n">
        <x:v>1.2</x:v>
      </x:c>
      <x:c r="I112" s="5" t="n">
        <x:v>65.5</x:v>
      </x:c>
      <x:c r="J112" s="5" t="n">
        <x:v>385</x:v>
      </x:c>
      <x:c r="K112" s="5" t="n">
        <x:v>45</x:v>
      </x:c>
      <x:c r="L112" s="5" t="inlineStr">
        <x:is>
          <x:t xml:space="preserve">기본</x:t>
        </x:is>
      </x:c>
      <x:c r="M112" s="5" t="n"/>
      <x:c r="N112" s="5" t="inlineStr">
        <x:is>
          <x:t xml:space="preserve">특수</x:t>
        </x:is>
      </x:c>
      <x:c r="O112" s="5" t="inlineStr">
        <x:is>
          <x:t xml:space="preserve">예</x:t>
        </x:is>
      </x:c>
      <x:c r="P112" s="5" t="inlineStr">
        <x:is>
          <x:t xml:space="preserve">#cobblemon:is_grassland</x:t>
        </x:is>
      </x:c>
      <x:c r="Q112" s="5" t="inlineStr">
        <x:is>
          <x:t xml:space="preserve">uncommon</x:t>
        </x:is>
      </x:c>
      <x:c r="R112" s="5" t="inlineStr">
        <x:is>
          <x:t xml:space="preserve"/>
        </x:is>
      </x:c>
      <x:c r="S112" s="5" t="inlineStr">
        <x:is>
          <x:t xml:space="preserve"/>
        </x:is>
      </x:c>
      <x:c r="T112" s="5" t="inlineStr">
        <x:is>
          <x:t xml:space="preserve">육상</x:t>
        </x:is>
      </x:c>
      <x:c r="U112" s="5" t="inlineStr">
        <x:is>
          <x:t xml:space="preserve">개활지</x:t>
        </x:is>
      </x:c>
      <x:c r="V112" s="5" t="inlineStr">
        <x:is>
          <x:t xml:space="preserve">온대</x:t>
        </x:is>
      </x:c>
      <x:c r="W112" s="5" t="inlineStr">
        <x:is>
          <x:t xml:space="preserve">보통</x:t>
        </x:is>
      </x:c>
      <x:c r="X112" s="5" t="inlineStr">
        <x:is>
          <x:t xml:space="preserve">무관</x:t>
        </x:is>
      </x:c>
      <x:c r="Y112" s="5" t="inlineStr">
        <x:is>
          <x:t xml:space="preserve">무관</x:t>
        </x:is>
      </x:c>
      <x:c r="Z112" s="5" t="inlineStr">
        <x:is>
          <x:t xml:space="preserve">보통</x:t>
        </x:is>
      </x:c>
      <x:c r="AA112" s="5" t="inlineStr">
        <x:is>
          <x:t xml:space="preserve">없음</x:t>
        </x:is>
      </x:c>
      <x:c r="AB112" s="5" t="inlineStr">
        <x:is>
          <x:t xml:space="preserve">평원</x:t>
        </x:is>
      </x:c>
      <x:c r="AC112" s="5" t="inlineStr">
        <x:is>
          <x:t xml:space="preserve">gen1</x:t>
        </x:is>
      </x:c>
      <x:c r="AD112" s="5" t="inlineStr">
        <x:is>
          <x:t xml:space="preserve">.tmp/cobblemon-1.7.3-source/common/src/main/resources/data/cobblemon/species/generation1/lickitung.json</x:t>
        </x:is>
      </x:c>
    </x:row>
    <x:row r="113" ht="22" customHeight="1">
      <x:c r="A113" s="5" t="n">
        <x:v>109</x:v>
      </x:c>
      <x:c r="B113" s="5" t="inlineStr">
        <x:is>
          <x:t xml:space="preserve">또가스</x:t>
        </x:is>
      </x:c>
      <x:c r="C113" s="5" t="inlineStr">
        <x:is>
          <x:t xml:space="preserve">koffing</x:t>
        </x:is>
      </x:c>
      <x:c r="D113" s="5" t="inlineStr">
        <x:is>
          <x:t xml:space="preserve">Koffing</x:t>
        </x:is>
      </x:c>
      <x:c r="E113" s="5" t="n">
        <x:v>1</x:v>
      </x:c>
      <x:c r="F113" s="5" t="inlineStr">
        <x:is>
          <x:t xml:space="preserve">독</x:t>
        </x:is>
      </x:c>
      <x:c r="G113" s="5" t="inlineStr">
        <x:is>
          <x:t xml:space="preserve"/>
        </x:is>
      </x:c>
      <x:c r="H113" s="5" t="n">
        <x:v>0.6</x:v>
      </x:c>
      <x:c r="I113" s="5" t="n">
        <x:v>1</x:v>
      </x:c>
      <x:c r="J113" s="5" t="n">
        <x:v>340</x:v>
      </x:c>
      <x:c r="K113" s="5" t="n">
        <x:v>190</x:v>
      </x:c>
      <x:c r="L113" s="5" t="inlineStr">
        <x:is>
          <x:t xml:space="preserve">기본</x:t>
        </x:is>
      </x:c>
      <x:c r="M113" s="5" t="n">
        <x:v>35</x:v>
      </x:c>
      <x:c r="N113" s="5" t="inlineStr">
        <x:is>
          <x:t xml:space="preserve">레벨·특수</x:t>
        </x:is>
      </x:c>
      <x:c r="O113" s="5" t="inlineStr">
        <x:is>
          <x:t xml:space="preserve">예</x:t>
        </x:is>
      </x:c>
      <x:c r="P113" s="5" t="inlineStr">
        <x:is>
          <x:t xml:space="preserve">#cobblemon:is_magical; #cobblemon:is_overworld; #cobblemon:is_spooky; minecraft:soul_sand_valley</x:t>
        </x:is>
      </x:c>
      <x:c r="Q113" s="5" t="inlineStr">
        <x:is>
          <x:t xml:space="preserve">common</x:t>
        </x:is>
      </x:c>
      <x:c r="R113" s="5" t="inlineStr">
        <x:is>
          <x:t xml:space="preserve"/>
        </x:is>
      </x:c>
      <x:c r="S113" s="5" t="inlineStr">
        <x:is>
          <x:t xml:space="preserve"/>
        </x:is>
      </x:c>
      <x:c r="T113" s="5" t="inlineStr">
        <x:is>
          <x:t xml:space="preserve">비행</x:t>
        </x:is>
      </x:c>
      <x:c r="U113" s="5" t="inlineStr">
        <x:is>
          <x:t xml:space="preserve">특수</x:t>
        </x:is>
      </x:c>
      <x:c r="V113" s="5" t="inlineStr">
        <x:is>
          <x:t xml:space="preserve">온대</x:t>
        </x:is>
      </x:c>
      <x:c r="W113" s="5" t="inlineStr">
        <x:is>
          <x:t xml:space="preserve">보통</x:t>
        </x:is>
      </x:c>
      <x:c r="X113" s="5" t="inlineStr">
        <x:is>
          <x:t xml:space="preserve">무관</x:t>
        </x:is>
      </x:c>
      <x:c r="Y113" s="5" t="inlineStr">
        <x:is>
          <x:t xml:space="preserve">무관</x:t>
        </x:is>
      </x:c>
      <x:c r="Z113" s="5" t="inlineStr">
        <x:is>
          <x:t xml:space="preserve">흔함</x:t>
        </x:is>
      </x:c>
      <x:c r="AA113" s="5" t="inlineStr">
        <x:is>
          <x:t xml:space="preserve">영체</x:t>
        </x:is>
      </x:c>
      <x:c r="AB113" s="5" t="inlineStr">
        <x:is>
          <x:t xml:space="preserve">특수</x:t>
        </x:is>
      </x:c>
      <x:c r="AC113" s="5" t="inlineStr">
        <x:is>
          <x:t xml:space="preserve">gen1; kantonian_form</x:t>
        </x:is>
      </x:c>
      <x:c r="AD113" s="5" t="inlineStr">
        <x:is>
          <x:t xml:space="preserve">.tmp/cobblemon-1.7.3-source/common/src/main/resources/data/cobblemon/species/generation1/koffing.json</x:t>
        </x:is>
      </x:c>
    </x:row>
    <x:row r="114" ht="22" customHeight="1">
      <x:c r="A114" s="5" t="n">
        <x:v>110</x:v>
      </x:c>
      <x:c r="B114" s="5" t="inlineStr">
        <x:is>
          <x:t xml:space="preserve">또도가스</x:t>
        </x:is>
      </x:c>
      <x:c r="C114" s="5" t="inlineStr">
        <x:is>
          <x:t xml:space="preserve">weezing</x:t>
        </x:is>
      </x:c>
      <x:c r="D114" s="5" t="inlineStr">
        <x:is>
          <x:t xml:space="preserve">Weezing</x:t>
        </x:is>
      </x:c>
      <x:c r="E114" s="5" t="n">
        <x:v>1</x:v>
      </x:c>
      <x:c r="F114" s="5" t="inlineStr">
        <x:is>
          <x:t xml:space="preserve">독</x:t>
        </x:is>
      </x:c>
      <x:c r="G114" s="5" t="inlineStr">
        <x:is>
          <x:t xml:space="preserve"/>
        </x:is>
      </x:c>
      <x:c r="H114" s="5" t="n">
        <x:v>1.2</x:v>
      </x:c>
      <x:c r="I114" s="5" t="n">
        <x:v>9.5</x:v>
      </x:c>
      <x:c r="J114" s="5" t="n">
        <x:v>490</x:v>
      </x:c>
      <x:c r="K114" s="5" t="n">
        <x:v>60</x:v>
      </x:c>
      <x:c r="L114" s="5" t="inlineStr">
        <x:is>
          <x:t xml:space="preserve">최종</x:t>
        </x:is>
      </x:c>
      <x:c r="M114" s="5" t="n">
        <x:v>35</x:v>
      </x:c>
      <x:c r="N114" s="5" t="inlineStr">
        <x:is>
          <x:t xml:space="preserve">레벨·특수</x:t>
        </x:is>
      </x:c>
      <x:c r="O114" s="5" t="inlineStr">
        <x:is>
          <x:t xml:space="preserve">예</x:t>
        </x:is>
      </x:c>
      <x:c r="P114" s="5" t="inlineStr">
        <x:is>
          <x:t xml:space="preserve">#cobblemon:is_magical; #cobblemon:is_overworld; #cobblemon:is_spooky; minecraft:soul_sand_valley</x:t>
        </x:is>
      </x:c>
      <x:c r="Q114" s="5" t="inlineStr">
        <x:is>
          <x:t xml:space="preserve">common</x:t>
        </x:is>
      </x:c>
      <x:c r="R114" s="5" t="inlineStr">
        <x:is>
          <x:t xml:space="preserve"/>
        </x:is>
      </x:c>
      <x:c r="S114" s="5" t="inlineStr">
        <x:is>
          <x:t xml:space="preserve"/>
        </x:is>
      </x:c>
      <x:c r="T114" s="5" t="inlineStr">
        <x:is>
          <x:t xml:space="preserve">비행</x:t>
        </x:is>
      </x:c>
      <x:c r="U114" s="5" t="inlineStr">
        <x:is>
          <x:t xml:space="preserve">특수</x:t>
        </x:is>
      </x:c>
      <x:c r="V114" s="5" t="inlineStr">
        <x:is>
          <x:t xml:space="preserve">온대</x:t>
        </x:is>
      </x:c>
      <x:c r="W114" s="5" t="inlineStr">
        <x:is>
          <x:t xml:space="preserve">보통</x:t>
        </x:is>
      </x:c>
      <x:c r="X114" s="5" t="inlineStr">
        <x:is>
          <x:t xml:space="preserve">무관</x:t>
        </x:is>
      </x:c>
      <x:c r="Y114" s="5" t="inlineStr">
        <x:is>
          <x:t xml:space="preserve">무관</x:t>
        </x:is>
      </x:c>
      <x:c r="Z114" s="5" t="inlineStr">
        <x:is>
          <x:t xml:space="preserve">흔함</x:t>
        </x:is>
      </x:c>
      <x:c r="AA114" s="5" t="inlineStr">
        <x:is>
          <x:t xml:space="preserve">영체</x:t>
        </x:is>
      </x:c>
      <x:c r="AB114" s="5" t="inlineStr">
        <x:is>
          <x:t xml:space="preserve">특수</x:t>
        </x:is>
      </x:c>
      <x:c r="AC114" s="5" t="inlineStr">
        <x:is>
          <x:t xml:space="preserve">gen1; kantonian_form</x:t>
        </x:is>
      </x:c>
      <x:c r="AD114" s="5" t="inlineStr">
        <x:is>
          <x:t xml:space="preserve">.tmp/cobblemon-1.7.3-source/common/src/main/resources/data/cobblemon/species/generation1/weezing.json</x:t>
        </x:is>
      </x:c>
    </x:row>
    <x:row r="115" ht="22" customHeight="1">
      <x:c r="A115" s="5" t="n">
        <x:v>111</x:v>
      </x:c>
      <x:c r="B115" s="5" t="inlineStr">
        <x:is>
          <x:t xml:space="preserve">뿔카노</x:t>
        </x:is>
      </x:c>
      <x:c r="C115" s="5" t="inlineStr">
        <x:is>
          <x:t xml:space="preserve">rhyhorn</x:t>
        </x:is>
      </x:c>
      <x:c r="D115" s="5" t="inlineStr">
        <x:is>
          <x:t xml:space="preserve">Rhyhorn</x:t>
        </x:is>
      </x:c>
      <x:c r="E115" s="5" t="n">
        <x:v>1</x:v>
      </x:c>
      <x:c r="F115" s="5" t="inlineStr">
        <x:is>
          <x:t xml:space="preserve">땅</x:t>
        </x:is>
      </x:c>
      <x:c r="G115" s="5" t="inlineStr">
        <x:is>
          <x:t xml:space="preserve">바위</x:t>
        </x:is>
      </x:c>
      <x:c r="H115" s="5" t="n">
        <x:v>1</x:v>
      </x:c>
      <x:c r="I115" s="5" t="n">
        <x:v>115</x:v>
      </x:c>
      <x:c r="J115" s="5" t="n">
        <x:v>345</x:v>
      </x:c>
      <x:c r="K115" s="5" t="n">
        <x:v>120</x:v>
      </x:c>
      <x:c r="L115" s="5" t="inlineStr">
        <x:is>
          <x:t xml:space="preserve">기본</x:t>
        </x:is>
      </x:c>
      <x:c r="M115" s="5" t="n">
        <x:v>42</x:v>
      </x:c>
      <x:c r="N115" s="5" t="inlineStr">
        <x:is>
          <x:t xml:space="preserve">레벨·특수</x:t>
        </x:is>
      </x:c>
      <x:c r="O115" s="5" t="inlineStr">
        <x:is>
          <x:t xml:space="preserve">예</x:t>
        </x:is>
      </x:c>
      <x:c r="P115" s="5" t="inlineStr">
        <x:is>
          <x:t xml:space="preserve">#cobblemon:is_mountain; #cobblemon:is_savanna</x:t>
        </x:is>
      </x:c>
      <x:c r="Q115" s="5" t="inlineStr">
        <x:is>
          <x:t xml:space="preserve">common</x:t>
        </x:is>
      </x:c>
      <x:c r="R115" s="5" t="inlineStr">
        <x:is>
          <x:t xml:space="preserve"/>
        </x:is>
      </x:c>
      <x:c r="S115" s="5" t="inlineStr">
        <x:is>
          <x:t xml:space="preserve"/>
        </x:is>
      </x:c>
      <x:c r="T115" s="5" t="inlineStr">
        <x:is>
          <x:t xml:space="preserve">육상</x:t>
        </x:is>
      </x:c>
      <x:c r="U115" s="5" t="inlineStr">
        <x:is>
          <x:t xml:space="preserve">암석</x:t>
        </x:is>
      </x:c>
      <x:c r="V115" s="5" t="inlineStr">
        <x:is>
          <x:t xml:space="preserve">온대</x:t>
        </x:is>
      </x:c>
      <x:c r="W115" s="5" t="inlineStr">
        <x:is>
          <x:t xml:space="preserve">보통</x:t>
        </x:is>
      </x:c>
      <x:c r="X115" s="5" t="inlineStr">
        <x:is>
          <x:t xml:space="preserve">무관</x:t>
        </x:is>
      </x:c>
      <x:c r="Y115" s="5" t="inlineStr">
        <x:is>
          <x:t xml:space="preserve">무관</x:t>
        </x:is>
      </x:c>
      <x:c r="Z115" s="5" t="inlineStr">
        <x:is>
          <x:t xml:space="preserve">흔함</x:t>
        </x:is>
      </x:c>
      <x:c r="AA115" s="5" t="inlineStr">
        <x:is>
          <x:t xml:space="preserve">없음</x:t>
        </x:is>
      </x:c>
      <x:c r="AB115" s="5" t="inlineStr">
        <x:is>
          <x:t xml:space="preserve">산악</x:t>
        </x:is>
      </x:c>
      <x:c r="AC115" s="5" t="inlineStr">
        <x:is>
          <x:t xml:space="preserve">gen1</x:t>
        </x:is>
      </x:c>
      <x:c r="AD115" s="5" t="inlineStr">
        <x:is>
          <x:t xml:space="preserve">.tmp/cobblemon-1.7.3-source/common/src/main/resources/data/cobblemon/species/generation1/rhyhorn.json</x:t>
        </x:is>
      </x:c>
    </x:row>
    <x:row r="116" ht="22" customHeight="1">
      <x:c r="A116" s="5" t="n">
        <x:v>112</x:v>
      </x:c>
      <x:c r="B116" s="5" t="inlineStr">
        <x:is>
          <x:t xml:space="preserve">코뿌리</x:t>
        </x:is>
      </x:c>
      <x:c r="C116" s="5" t="inlineStr">
        <x:is>
          <x:t xml:space="preserve">rhydon</x:t>
        </x:is>
      </x:c>
      <x:c r="D116" s="5" t="inlineStr">
        <x:is>
          <x:t xml:space="preserve">Rhydon</x:t>
        </x:is>
      </x:c>
      <x:c r="E116" s="5" t="n">
        <x:v>1</x:v>
      </x:c>
      <x:c r="F116" s="5" t="inlineStr">
        <x:is>
          <x:t xml:space="preserve">땅</x:t>
        </x:is>
      </x:c>
      <x:c r="G116" s="5" t="inlineStr">
        <x:is>
          <x:t xml:space="preserve">바위</x:t>
        </x:is>
      </x:c>
      <x:c r="H116" s="5" t="n">
        <x:v>1.9</x:v>
      </x:c>
      <x:c r="I116" s="5" t="n">
        <x:v>120</x:v>
      </x:c>
      <x:c r="J116" s="5" t="n">
        <x:v>485</x:v>
      </x:c>
      <x:c r="K116" s="5" t="n">
        <x:v>60</x:v>
      </x:c>
      <x:c r="L116" s="5" t="inlineStr">
        <x:is>
          <x:t xml:space="preserve">중간</x:t>
        </x:is>
      </x:c>
      <x:c r="M116" s="5" t="n">
        <x:v>42</x:v>
      </x:c>
      <x:c r="N116" s="5" t="inlineStr">
        <x:is>
          <x:t xml:space="preserve">레벨·특수</x:t>
        </x:is>
      </x:c>
      <x:c r="O116" s="5" t="inlineStr">
        <x:is>
          <x:t xml:space="preserve">예</x:t>
        </x:is>
      </x:c>
      <x:c r="P116" s="5" t="inlineStr">
        <x:is>
          <x:t xml:space="preserve">#cobblemon:is_mountain; #cobblemon:is_savanna</x:t>
        </x:is>
      </x:c>
      <x:c r="Q116" s="5" t="inlineStr">
        <x:is>
          <x:t xml:space="preserve">common</x:t>
        </x:is>
      </x:c>
      <x:c r="R116" s="5" t="inlineStr">
        <x:is>
          <x:t xml:space="preserve"/>
        </x:is>
      </x:c>
      <x:c r="S116" s="5" t="inlineStr">
        <x:is>
          <x:t xml:space="preserve"/>
        </x:is>
      </x:c>
      <x:c r="T116" s="5" t="inlineStr">
        <x:is>
          <x:t xml:space="preserve">육상</x:t>
        </x:is>
      </x:c>
      <x:c r="U116" s="5" t="inlineStr">
        <x:is>
          <x:t xml:space="preserve">암석</x:t>
        </x:is>
      </x:c>
      <x:c r="V116" s="5" t="inlineStr">
        <x:is>
          <x:t xml:space="preserve">온대</x:t>
        </x:is>
      </x:c>
      <x:c r="W116" s="5" t="inlineStr">
        <x:is>
          <x:t xml:space="preserve">보통</x:t>
        </x:is>
      </x:c>
      <x:c r="X116" s="5" t="inlineStr">
        <x:is>
          <x:t xml:space="preserve">무관</x:t>
        </x:is>
      </x:c>
      <x:c r="Y116" s="5" t="inlineStr">
        <x:is>
          <x:t xml:space="preserve">무관</x:t>
        </x:is>
      </x:c>
      <x:c r="Z116" s="5" t="inlineStr">
        <x:is>
          <x:t xml:space="preserve">흔함</x:t>
        </x:is>
      </x:c>
      <x:c r="AA116" s="5" t="inlineStr">
        <x:is>
          <x:t xml:space="preserve">없음</x:t>
        </x:is>
      </x:c>
      <x:c r="AB116" s="5" t="inlineStr">
        <x:is>
          <x:t xml:space="preserve">산악</x:t>
        </x:is>
      </x:c>
      <x:c r="AC116" s="5" t="inlineStr">
        <x:is>
          <x:t xml:space="preserve">gen1</x:t>
        </x:is>
      </x:c>
      <x:c r="AD116" s="5" t="inlineStr">
        <x:is>
          <x:t xml:space="preserve">.tmp/cobblemon-1.7.3-source/common/src/main/resources/data/cobblemon/species/generation1/rhydon.json</x:t>
        </x:is>
      </x:c>
    </x:row>
    <x:row r="117" ht="22" customHeight="1">
      <x:c r="A117" s="5" t="n">
        <x:v>113</x:v>
      </x:c>
      <x:c r="B117" s="5" t="inlineStr">
        <x:is>
          <x:t xml:space="preserve">럭키</x:t>
        </x:is>
      </x:c>
      <x:c r="C117" s="5" t="inlineStr">
        <x:is>
          <x:t xml:space="preserve">chansey</x:t>
        </x:is>
      </x:c>
      <x:c r="D117" s="5" t="inlineStr">
        <x:is>
          <x:t xml:space="preserve">Chansey</x:t>
        </x:is>
      </x:c>
      <x:c r="E117" s="5" t="n">
        <x:v>1</x:v>
      </x:c>
      <x:c r="F117" s="5" t="inlineStr">
        <x:is>
          <x:t xml:space="preserve">노말</x:t>
        </x:is>
      </x:c>
      <x:c r="G117" s="5" t="inlineStr">
        <x:is>
          <x:t xml:space="preserve"/>
        </x:is>
      </x:c>
      <x:c r="H117" s="5" t="n">
        <x:v>1.1</x:v>
      </x:c>
      <x:c r="I117" s="5" t="n">
        <x:v>34.6</x:v>
      </x:c>
      <x:c r="J117" s="5" t="n">
        <x:v>450</x:v>
      </x:c>
      <x:c r="K117" s="5" t="n">
        <x:v>30</x:v>
      </x:c>
      <x:c r="L117" s="5" t="inlineStr">
        <x:is>
          <x:t xml:space="preserve">중간</x:t>
        </x:is>
      </x:c>
      <x:c r="M117" s="5" t="n"/>
      <x:c r="N117" s="5" t="inlineStr">
        <x:is>
          <x:t xml:space="preserve">특수</x:t>
        </x:is>
      </x:c>
      <x:c r="O117" s="5" t="inlineStr">
        <x:is>
          <x:t xml:space="preserve">예</x:t>
        </x:is>
      </x:c>
      <x:c r="P117" s="5" t="inlineStr">
        <x:is>
          <x:t xml:space="preserve">#aether:is_aether; #cobblemon:is_overworld</x:t>
        </x:is>
      </x:c>
      <x:c r="Q117" s="5" t="inlineStr">
        <x:is>
          <x:t xml:space="preserve">rare</x:t>
        </x:is>
      </x:c>
      <x:c r="R117" s="5" t="inlineStr">
        <x:is>
          <x:t xml:space="preserve"/>
        </x:is>
      </x:c>
      <x:c r="S117" s="5" t="inlineStr">
        <x:is>
          <x:t xml:space="preserve"/>
        </x:is>
      </x:c>
      <x:c r="T117" s="5" t="inlineStr">
        <x:is>
          <x:t xml:space="preserve">육상</x:t>
        </x:is>
      </x:c>
      <x:c r="U117" s="5" t="inlineStr">
        <x:is>
          <x:t xml:space="preserve">개활지</x:t>
        </x:is>
      </x:c>
      <x:c r="V117" s="5" t="inlineStr">
        <x:is>
          <x:t xml:space="preserve">온대</x:t>
        </x:is>
      </x:c>
      <x:c r="W117" s="5" t="inlineStr">
        <x:is>
          <x:t xml:space="preserve">보통</x:t>
        </x:is>
      </x:c>
      <x:c r="X117" s="5" t="inlineStr">
        <x:is>
          <x:t xml:space="preserve">무관</x:t>
        </x:is>
      </x:c>
      <x:c r="Y117" s="5" t="inlineStr">
        <x:is>
          <x:t xml:space="preserve">무관</x:t>
        </x:is>
      </x:c>
      <x:c r="Z117" s="5" t="inlineStr">
        <x:is>
          <x:t xml:space="preserve">드묾</x:t>
        </x:is>
      </x:c>
      <x:c r="AA117" s="5" t="inlineStr">
        <x:is>
          <x:t xml:space="preserve">없음</x:t>
        </x:is>
      </x:c>
      <x:c r="AB117" s="5" t="inlineStr">
        <x:is>
          <x:t xml:space="preserve"/>
        </x:is>
      </x:c>
      <x:c r="AC117" s="5" t="inlineStr">
        <x:is>
          <x:t xml:space="preserve">gen1</x:t>
        </x:is>
      </x:c>
      <x:c r="AD117" s="5" t="inlineStr">
        <x:is>
          <x:t xml:space="preserve">.tmp/cobblemon-1.7.3-source/common/src/main/resources/data/cobblemon/species/generation1/chansey.json</x:t>
        </x:is>
      </x:c>
    </x:row>
    <x:row r="118" ht="22" customHeight="1">
      <x:c r="A118" s="5" t="n">
        <x:v>114</x:v>
      </x:c>
      <x:c r="B118" s="5" t="inlineStr">
        <x:is>
          <x:t xml:space="preserve">덩쿠리</x:t>
        </x:is>
      </x:c>
      <x:c r="C118" s="5" t="inlineStr">
        <x:is>
          <x:t xml:space="preserve">tangela</x:t>
        </x:is>
      </x:c>
      <x:c r="D118" s="5" t="inlineStr">
        <x:is>
          <x:t xml:space="preserve">Tangela</x:t>
        </x:is>
      </x:c>
      <x:c r="E118" s="5" t="n">
        <x:v>1</x:v>
      </x:c>
      <x:c r="F118" s="5" t="inlineStr">
        <x:is>
          <x:t xml:space="preserve">풀</x:t>
        </x:is>
      </x:c>
      <x:c r="G118" s="5" t="inlineStr">
        <x:is>
          <x:t xml:space="preserve"/>
        </x:is>
      </x:c>
      <x:c r="H118" s="5" t="n">
        <x:v>1</x:v>
      </x:c>
      <x:c r="I118" s="5" t="n">
        <x:v>35</x:v>
      </x:c>
      <x:c r="J118" s="5" t="n">
        <x:v>435</x:v>
      </x:c>
      <x:c r="K118" s="5" t="n">
        <x:v>45</x:v>
      </x:c>
      <x:c r="L118" s="5" t="inlineStr">
        <x:is>
          <x:t xml:space="preserve">기본</x:t>
        </x:is>
      </x:c>
      <x:c r="M118" s="5" t="n"/>
      <x:c r="N118" s="5" t="inlineStr">
        <x:is>
          <x:t xml:space="preserve">특수</x:t>
        </x:is>
      </x:c>
      <x:c r="O118" s="5" t="inlineStr">
        <x:is>
          <x:t xml:space="preserve">예</x:t>
        </x:is>
      </x:c>
      <x:c r="P118" s="5" t="inlineStr">
        <x:is>
          <x:t xml:space="preserve">#cobblemon:is_jungle</x:t>
        </x:is>
      </x:c>
      <x:c r="Q118" s="5" t="inlineStr">
        <x:is>
          <x:t xml:space="preserve">common</x:t>
        </x:is>
      </x:c>
      <x:c r="R118" s="5" t="inlineStr">
        <x:is>
          <x:t xml:space="preserve"/>
        </x:is>
      </x:c>
      <x:c r="S118" s="5" t="inlineStr">
        <x:is>
          <x:t xml:space="preserve"/>
        </x:is>
      </x:c>
      <x:c r="T118" s="5" t="inlineStr">
        <x:is>
          <x:t xml:space="preserve">육상</x:t>
        </x:is>
      </x:c>
      <x:c r="U118" s="5" t="inlineStr">
        <x:is>
          <x:t xml:space="preserve">수목</x:t>
        </x:is>
      </x:c>
      <x:c r="V118" s="5" t="inlineStr">
        <x:is>
          <x:t xml:space="preserve">온대</x:t>
        </x:is>
      </x:c>
      <x:c r="W118" s="5" t="inlineStr">
        <x:is>
          <x:t xml:space="preserve">다습</x:t>
        </x:is>
      </x:c>
      <x:c r="X118" s="5" t="inlineStr">
        <x:is>
          <x:t xml:space="preserve">무관</x:t>
        </x:is>
      </x:c>
      <x:c r="Y118" s="5" t="inlineStr">
        <x:is>
          <x:t xml:space="preserve">무관</x:t>
        </x:is>
      </x:c>
      <x:c r="Z118" s="5" t="inlineStr">
        <x:is>
          <x:t xml:space="preserve">흔함</x:t>
        </x:is>
      </x:c>
      <x:c r="AA118" s="5" t="inlineStr">
        <x:is>
          <x:t xml:space="preserve">없음</x:t>
        </x:is>
      </x:c>
      <x:c r="AB118" s="5" t="inlineStr">
        <x:is>
          <x:t xml:space="preserve">숲</x:t>
        </x:is>
      </x:c>
      <x:c r="AC118" s="5" t="inlineStr">
        <x:is>
          <x:t xml:space="preserve">gen1</x:t>
        </x:is>
      </x:c>
      <x:c r="AD118" s="5" t="inlineStr">
        <x:is>
          <x:t xml:space="preserve">.tmp/cobblemon-1.7.3-source/common/src/main/resources/data/cobblemon/species/generation1/tangela.json</x:t>
        </x:is>
      </x:c>
    </x:row>
    <x:row r="119" ht="22" customHeight="1">
      <x:c r="A119" s="5" t="n">
        <x:v>115</x:v>
      </x:c>
      <x:c r="B119" s="5" t="inlineStr">
        <x:is>
          <x:t xml:space="preserve">캥카</x:t>
        </x:is>
      </x:c>
      <x:c r="C119" s="5" t="inlineStr">
        <x:is>
          <x:t xml:space="preserve">kangaskhan</x:t>
        </x:is>
      </x:c>
      <x:c r="D119" s="5" t="inlineStr">
        <x:is>
          <x:t xml:space="preserve">Kangaskhan</x:t>
        </x:is>
      </x:c>
      <x:c r="E119" s="5" t="n">
        <x:v>1</x:v>
      </x:c>
      <x:c r="F119" s="5" t="inlineStr">
        <x:is>
          <x:t xml:space="preserve">노말</x:t>
        </x:is>
      </x:c>
      <x:c r="G119" s="5" t="inlineStr">
        <x:is>
          <x:t xml:space="preserve"/>
        </x:is>
      </x:c>
      <x:c r="H119" s="5" t="n">
        <x:v>2.2</x:v>
      </x:c>
      <x:c r="I119" s="5" t="n">
        <x:v>80</x:v>
      </x:c>
      <x:c r="J119" s="5" t="n">
        <x:v>490</x:v>
      </x:c>
      <x:c r="K119" s="5" t="n">
        <x:v>45</x:v>
      </x:c>
      <x:c r="L119" s="5" t="inlineStr">
        <x:is>
          <x:t xml:space="preserve">무진화</x:t>
        </x:is>
      </x:c>
      <x:c r="M119" s="5" t="n"/>
      <x:c r="N119" s="5" t="inlineStr">
        <x:is>
          <x:t xml:space="preserve">없음</x:t>
        </x:is>
      </x:c>
      <x:c r="O119" s="5" t="inlineStr">
        <x:is>
          <x:t xml:space="preserve">예</x:t>
        </x:is>
      </x:c>
      <x:c r="P119" s="5" t="inlineStr">
        <x:is>
          <x:t xml:space="preserve">#cobblemon:is_savanna</x:t>
        </x:is>
      </x:c>
      <x:c r="Q119" s="5" t="inlineStr">
        <x:is>
          <x:t xml:space="preserve">rare</x:t>
        </x:is>
      </x:c>
      <x:c r="R119" s="5" t="inlineStr">
        <x:is>
          <x:t xml:space="preserve"/>
        </x:is>
      </x:c>
      <x:c r="S119" s="5" t="inlineStr">
        <x:is>
          <x:t xml:space="preserve"/>
        </x:is>
      </x:c>
      <x:c r="T119" s="5" t="inlineStr">
        <x:is>
          <x:t xml:space="preserve">육상</x:t>
        </x:is>
      </x:c>
      <x:c r="U119" s="5" t="inlineStr">
        <x:is>
          <x:t xml:space="preserve">개활지</x:t>
        </x:is>
      </x:c>
      <x:c r="V119" s="5" t="inlineStr">
        <x:is>
          <x:t xml:space="preserve">온대</x:t>
        </x:is>
      </x:c>
      <x:c r="W119" s="5" t="inlineStr">
        <x:is>
          <x:t xml:space="preserve">보통</x:t>
        </x:is>
      </x:c>
      <x:c r="X119" s="5" t="inlineStr">
        <x:is>
          <x:t xml:space="preserve">무관</x:t>
        </x:is>
      </x:c>
      <x:c r="Y119" s="5" t="inlineStr">
        <x:is>
          <x:t xml:space="preserve">무관</x:t>
        </x:is>
      </x:c>
      <x:c r="Z119" s="5" t="inlineStr">
        <x:is>
          <x:t xml:space="preserve">드묾</x:t>
        </x:is>
      </x:c>
      <x:c r="AA119" s="5" t="inlineStr">
        <x:is>
          <x:t xml:space="preserve">없음</x:t>
        </x:is>
      </x:c>
      <x:c r="AB119" s="5" t="inlineStr">
        <x:is>
          <x:t xml:space="preserve">평원</x:t>
        </x:is>
      </x:c>
      <x:c r="AC119" s="5" t="inlineStr">
        <x:is>
          <x:t xml:space="preserve">gen1</x:t>
        </x:is>
      </x:c>
      <x:c r="AD119" s="5" t="inlineStr">
        <x:is>
          <x:t xml:space="preserve">.tmp/cobblemon-1.7.3-source/common/src/main/resources/data/cobblemon/species/generation1/kangaskhan.json</x:t>
        </x:is>
      </x:c>
    </x:row>
    <x:row r="120" ht="22" customHeight="1">
      <x:c r="A120" s="5" t="n">
        <x:v>116</x:v>
      </x:c>
      <x:c r="B120" s="5" t="inlineStr">
        <x:is>
          <x:t xml:space="preserve">쏘드라</x:t>
        </x:is>
      </x:c>
      <x:c r="C120" s="5" t="inlineStr">
        <x:is>
          <x:t xml:space="preserve">horsea</x:t>
        </x:is>
      </x:c>
      <x:c r="D120" s="5" t="inlineStr">
        <x:is>
          <x:t xml:space="preserve">Horsea</x:t>
        </x:is>
      </x:c>
      <x:c r="E120" s="5" t="n">
        <x:v>1</x:v>
      </x:c>
      <x:c r="F120" s="5" t="inlineStr">
        <x:is>
          <x:t xml:space="preserve">물</x:t>
        </x:is>
      </x:c>
      <x:c r="G120" s="5" t="inlineStr">
        <x:is>
          <x:t xml:space="preserve"/>
        </x:is>
      </x:c>
      <x:c r="H120" s="5" t="n">
        <x:v>0.4</x:v>
      </x:c>
      <x:c r="I120" s="5" t="n">
        <x:v>8</x:v>
      </x:c>
      <x:c r="J120" s="5" t="n">
        <x:v>295</x:v>
      </x:c>
      <x:c r="K120" s="5" t="n">
        <x:v>225</x:v>
      </x:c>
      <x:c r="L120" s="5" t="inlineStr">
        <x:is>
          <x:t xml:space="preserve">기본</x:t>
        </x:is>
      </x:c>
      <x:c r="M120" s="5" t="n">
        <x:v>32</x:v>
      </x:c>
      <x:c r="N120" s="5" t="inlineStr">
        <x:is>
          <x:t xml:space="preserve">레벨·특수</x:t>
        </x:is>
      </x:c>
      <x:c r="O120" s="5" t="inlineStr">
        <x:is>
          <x:t xml:space="preserve">예</x:t>
        </x:is>
      </x:c>
      <x:c r="P120" s="5" t="inlineStr">
        <x:is>
          <x:t xml:space="preserve">#cobblemon:is_lukewarm_ocean; #cobblemon:is_ocean; #cobblemon:is_overworld; #cobblemon:is_warm_ocean</x:t>
        </x:is>
      </x:c>
      <x:c r="Q120" s="5" t="inlineStr">
        <x:is>
          <x:t xml:space="preserve">common</x:t>
        </x:is>
      </x:c>
      <x:c r="R120" s="5" t="inlineStr">
        <x:is>
          <x:t xml:space="preserve"/>
        </x:is>
      </x:c>
      <x:c r="S120" s="5" t="inlineStr">
        <x:is>
          <x:t xml:space="preserve"/>
        </x:is>
      </x:c>
      <x:c r="T120" s="5" t="inlineStr">
        <x:is>
          <x:t xml:space="preserve">해양</x:t>
        </x:is>
      </x:c>
      <x:c r="U120" s="5" t="inlineStr">
        <x:is>
          <x:t xml:space="preserve">해안·해양</x:t>
        </x:is>
      </x:c>
      <x:c r="V120" s="5" t="inlineStr">
        <x:is>
          <x:t xml:space="preserve">온대</x:t>
        </x:is>
      </x:c>
      <x:c r="W120" s="5" t="inlineStr">
        <x:is>
          <x:t xml:space="preserve">수중</x:t>
        </x:is>
      </x:c>
      <x:c r="X120" s="5" t="inlineStr">
        <x:is>
          <x:t xml:space="preserve">비</x:t>
        </x:is>
      </x:c>
      <x:c r="Y120" s="5" t="inlineStr">
        <x:is>
          <x:t xml:space="preserve">무관</x:t>
        </x:is>
      </x:c>
      <x:c r="Z120" s="5" t="inlineStr">
        <x:is>
          <x:t xml:space="preserve">흔함</x:t>
        </x:is>
      </x:c>
      <x:c r="AA120" s="5" t="inlineStr">
        <x:is>
          <x:t xml:space="preserve">없음</x:t>
        </x:is>
      </x:c>
      <x:c r="AB120" s="5" t="inlineStr">
        <x:is>
          <x:t xml:space="preserve">해양</x:t>
        </x:is>
      </x:c>
      <x:c r="AC120" s="5" t="inlineStr">
        <x:is>
          <x:t xml:space="preserve">gen1</x:t>
        </x:is>
      </x:c>
      <x:c r="AD120" s="5" t="inlineStr">
        <x:is>
          <x:t xml:space="preserve">.tmp/cobblemon-1.7.3-source/common/src/main/resources/data/cobblemon/species/generation1/horsea.json</x:t>
        </x:is>
      </x:c>
    </x:row>
    <x:row r="121" ht="22" customHeight="1">
      <x:c r="A121" s="5" t="n">
        <x:v>117</x:v>
      </x:c>
      <x:c r="B121" s="5" t="inlineStr">
        <x:is>
          <x:t xml:space="preserve">시드라</x:t>
        </x:is>
      </x:c>
      <x:c r="C121" s="5" t="inlineStr">
        <x:is>
          <x:t xml:space="preserve">seadra</x:t>
        </x:is>
      </x:c>
      <x:c r="D121" s="5" t="inlineStr">
        <x:is>
          <x:t xml:space="preserve">Seadra</x:t>
        </x:is>
      </x:c>
      <x:c r="E121" s="5" t="n">
        <x:v>1</x:v>
      </x:c>
      <x:c r="F121" s="5" t="inlineStr">
        <x:is>
          <x:t xml:space="preserve">물</x:t>
        </x:is>
      </x:c>
      <x:c r="G121" s="5" t="inlineStr">
        <x:is>
          <x:t xml:space="preserve"/>
        </x:is>
      </x:c>
      <x:c r="H121" s="5" t="n">
        <x:v>1.2</x:v>
      </x:c>
      <x:c r="I121" s="5" t="n">
        <x:v>25</x:v>
      </x:c>
      <x:c r="J121" s="5" t="n">
        <x:v>440</x:v>
      </x:c>
      <x:c r="K121" s="5" t="n">
        <x:v>75</x:v>
      </x:c>
      <x:c r="L121" s="5" t="inlineStr">
        <x:is>
          <x:t xml:space="preserve">중간</x:t>
        </x:is>
      </x:c>
      <x:c r="M121" s="5" t="n">
        <x:v>32</x:v>
      </x:c>
      <x:c r="N121" s="5" t="inlineStr">
        <x:is>
          <x:t xml:space="preserve">레벨·특수</x:t>
        </x:is>
      </x:c>
      <x:c r="O121" s="5" t="inlineStr">
        <x:is>
          <x:t xml:space="preserve">예</x:t>
        </x:is>
      </x:c>
      <x:c r="P121" s="5" t="inlineStr">
        <x:is>
          <x:t xml:space="preserve">#cobblemon:is_lukewarm_ocean; #cobblemon:is_ocean; #cobblemon:is_overworld; #cobblemon:is_warm_ocean</x:t>
        </x:is>
      </x:c>
      <x:c r="Q121" s="5" t="inlineStr">
        <x:is>
          <x:t xml:space="preserve">common</x:t>
        </x:is>
      </x:c>
      <x:c r="R121" s="5" t="inlineStr">
        <x:is>
          <x:t xml:space="preserve"/>
        </x:is>
      </x:c>
      <x:c r="S121" s="5" t="inlineStr">
        <x:is>
          <x:t xml:space="preserve"/>
        </x:is>
      </x:c>
      <x:c r="T121" s="5" t="inlineStr">
        <x:is>
          <x:t xml:space="preserve">해양</x:t>
        </x:is>
      </x:c>
      <x:c r="U121" s="5" t="inlineStr">
        <x:is>
          <x:t xml:space="preserve">해안·해양</x:t>
        </x:is>
      </x:c>
      <x:c r="V121" s="5" t="inlineStr">
        <x:is>
          <x:t xml:space="preserve">온대</x:t>
        </x:is>
      </x:c>
      <x:c r="W121" s="5" t="inlineStr">
        <x:is>
          <x:t xml:space="preserve">수중</x:t>
        </x:is>
      </x:c>
      <x:c r="X121" s="5" t="inlineStr">
        <x:is>
          <x:t xml:space="preserve">비</x:t>
        </x:is>
      </x:c>
      <x:c r="Y121" s="5" t="inlineStr">
        <x:is>
          <x:t xml:space="preserve">무관</x:t>
        </x:is>
      </x:c>
      <x:c r="Z121" s="5" t="inlineStr">
        <x:is>
          <x:t xml:space="preserve">흔함</x:t>
        </x:is>
      </x:c>
      <x:c r="AA121" s="5" t="inlineStr">
        <x:is>
          <x:t xml:space="preserve">없음</x:t>
        </x:is>
      </x:c>
      <x:c r="AB121" s="5" t="inlineStr">
        <x:is>
          <x:t xml:space="preserve">해양</x:t>
        </x:is>
      </x:c>
      <x:c r="AC121" s="5" t="inlineStr">
        <x:is>
          <x:t xml:space="preserve">gen1</x:t>
        </x:is>
      </x:c>
      <x:c r="AD121" s="5" t="inlineStr">
        <x:is>
          <x:t xml:space="preserve">.tmp/cobblemon-1.7.3-source/common/src/main/resources/data/cobblemon/species/generation1/seadra.json</x:t>
        </x:is>
      </x:c>
    </x:row>
    <x:row r="122" ht="22" customHeight="1">
      <x:c r="A122" s="5" t="n">
        <x:v>118</x:v>
      </x:c>
      <x:c r="B122" s="5" t="inlineStr">
        <x:is>
          <x:t xml:space="preserve">콘치</x:t>
        </x:is>
      </x:c>
      <x:c r="C122" s="5" t="inlineStr">
        <x:is>
          <x:t xml:space="preserve">goldeen</x:t>
        </x:is>
      </x:c>
      <x:c r="D122" s="5" t="inlineStr">
        <x:is>
          <x:t xml:space="preserve">Goldeen</x:t>
        </x:is>
      </x:c>
      <x:c r="E122" s="5" t="n">
        <x:v>1</x:v>
      </x:c>
      <x:c r="F122" s="5" t="inlineStr">
        <x:is>
          <x:t xml:space="preserve">물</x:t>
        </x:is>
      </x:c>
      <x:c r="G122" s="5" t="inlineStr">
        <x:is>
          <x:t xml:space="preserve"/>
        </x:is>
      </x:c>
      <x:c r="H122" s="5" t="n">
        <x:v>0.6</x:v>
      </x:c>
      <x:c r="I122" s="5" t="n">
        <x:v>15</x:v>
      </x:c>
      <x:c r="J122" s="5" t="n">
        <x:v>320</x:v>
      </x:c>
      <x:c r="K122" s="5" t="n">
        <x:v>225</x:v>
      </x:c>
      <x:c r="L122" s="5" t="inlineStr">
        <x:is>
          <x:t xml:space="preserve">기본</x:t>
        </x:is>
      </x:c>
      <x:c r="M122" s="5" t="n">
        <x:v>33</x:v>
      </x:c>
      <x:c r="N122" s="5" t="inlineStr">
        <x:is>
          <x:t xml:space="preserve">레벨</x:t>
        </x:is>
      </x:c>
      <x:c r="O122" s="5" t="inlineStr">
        <x:is>
          <x:t xml:space="preserve">예</x:t>
        </x:is>
      </x:c>
      <x:c r="P122" s="5" t="inlineStr">
        <x:is>
          <x:t xml:space="preserve">#aether:is_aether; #cobblemon:is_bamboo; #cobblemon:is_floral; #cobblemon:is_freezing; #cobblemon:is_freshwater; #cobblemon:is_jungle; #cobblemon:is_magical; #cobblemon:is_mountain; #cobblemon:is_river; #cobblemon:is_taiga; #cobblemon:is_temperate</x:t>
        </x:is>
      </x:c>
      <x:c r="Q122" s="5" t="inlineStr">
        <x:is>
          <x:t xml:space="preserve">common</x:t>
        </x:is>
      </x:c>
      <x:c r="R122" s="5" t="inlineStr">
        <x:is>
          <x:t xml:space="preserve"/>
        </x:is>
      </x:c>
      <x:c r="S122" s="5" t="inlineStr">
        <x:is>
          <x:t xml:space="preserve"/>
        </x:is>
      </x:c>
      <x:c r="T122" s="5" t="inlineStr">
        <x:is>
          <x:t xml:space="preserve">담수</x:t>
        </x:is>
      </x:c>
      <x:c r="U122" s="5" t="inlineStr">
        <x:is>
          <x:t xml:space="preserve">담수</x:t>
        </x:is>
      </x:c>
      <x:c r="V122" s="5" t="inlineStr">
        <x:is>
          <x:t xml:space="preserve">서늘</x:t>
        </x:is>
      </x:c>
      <x:c r="W122" s="5" t="inlineStr">
        <x:is>
          <x:t xml:space="preserve">수중</x:t>
        </x:is>
      </x:c>
      <x:c r="X122" s="5" t="inlineStr">
        <x:is>
          <x:t xml:space="preserve">비</x:t>
        </x:is>
      </x:c>
      <x:c r="Y122" s="5" t="inlineStr">
        <x:is>
          <x:t xml:space="preserve">무관</x:t>
        </x:is>
      </x:c>
      <x:c r="Z122" s="5" t="inlineStr">
        <x:is>
          <x:t xml:space="preserve">흔함</x:t>
        </x:is>
      </x:c>
      <x:c r="AA122" s="5" t="inlineStr">
        <x:is>
          <x:t xml:space="preserve">없음</x:t>
        </x:is>
      </x:c>
      <x:c r="AB122" s="5" t="inlineStr">
        <x:is>
          <x:t xml:space="preserve">담수</x:t>
        </x:is>
      </x:c>
      <x:c r="AC122" s="5" t="inlineStr">
        <x:is>
          <x:t xml:space="preserve">gen1</x:t>
        </x:is>
      </x:c>
      <x:c r="AD122" s="5" t="inlineStr">
        <x:is>
          <x:t xml:space="preserve">.tmp/cobblemon-1.7.3-source/common/src/main/resources/data/cobblemon/species/generation1/goldeen.json</x:t>
        </x:is>
      </x:c>
    </x:row>
    <x:row r="123" ht="22" customHeight="1">
      <x:c r="A123" s="5" t="n">
        <x:v>119</x:v>
      </x:c>
      <x:c r="B123" s="5" t="inlineStr">
        <x:is>
          <x:t xml:space="preserve">왕콘치</x:t>
        </x:is>
      </x:c>
      <x:c r="C123" s="5" t="inlineStr">
        <x:is>
          <x:t xml:space="preserve">seaking</x:t>
        </x:is>
      </x:c>
      <x:c r="D123" s="5" t="inlineStr">
        <x:is>
          <x:t xml:space="preserve">Seaking</x:t>
        </x:is>
      </x:c>
      <x:c r="E123" s="5" t="n">
        <x:v>1</x:v>
      </x:c>
      <x:c r="F123" s="5" t="inlineStr">
        <x:is>
          <x:t xml:space="preserve">물</x:t>
        </x:is>
      </x:c>
      <x:c r="G123" s="5" t="inlineStr">
        <x:is>
          <x:t xml:space="preserve"/>
        </x:is>
      </x:c>
      <x:c r="H123" s="5" t="n">
        <x:v>1.3</x:v>
      </x:c>
      <x:c r="I123" s="5" t="n">
        <x:v>39</x:v>
      </x:c>
      <x:c r="J123" s="5" t="n">
        <x:v>450</x:v>
      </x:c>
      <x:c r="K123" s="5" t="n">
        <x:v>60</x:v>
      </x:c>
      <x:c r="L123" s="5" t="inlineStr">
        <x:is>
          <x:t xml:space="preserve">최종</x:t>
        </x:is>
      </x:c>
      <x:c r="M123" s="5" t="n">
        <x:v>33</x:v>
      </x:c>
      <x:c r="N123" s="5" t="inlineStr">
        <x:is>
          <x:t xml:space="preserve">레벨</x:t>
        </x:is>
      </x:c>
      <x:c r="O123" s="5" t="inlineStr">
        <x:is>
          <x:t xml:space="preserve">예</x:t>
        </x:is>
      </x:c>
      <x:c r="P123" s="5" t="inlineStr">
        <x:is>
          <x:t xml:space="preserve">#aether:is_aether; #cobblemon:is_bamboo; #cobblemon:is_floral; #cobblemon:is_freezing; #cobblemon:is_freshwater; #cobblemon:is_jungle; #cobblemon:is_magical; #cobblemon:is_mountain; #cobblemon:is_river; #cobblemon:is_taiga; #cobblemon:is_temperate</x:t>
        </x:is>
      </x:c>
      <x:c r="Q123" s="5" t="inlineStr">
        <x:is>
          <x:t xml:space="preserve">common</x:t>
        </x:is>
      </x:c>
      <x:c r="R123" s="5" t="inlineStr">
        <x:is>
          <x:t xml:space="preserve"/>
        </x:is>
      </x:c>
      <x:c r="S123" s="5" t="inlineStr">
        <x:is>
          <x:t xml:space="preserve"/>
        </x:is>
      </x:c>
      <x:c r="T123" s="5" t="inlineStr">
        <x:is>
          <x:t xml:space="preserve">담수</x:t>
        </x:is>
      </x:c>
      <x:c r="U123" s="5" t="inlineStr">
        <x:is>
          <x:t xml:space="preserve">담수</x:t>
        </x:is>
      </x:c>
      <x:c r="V123" s="5" t="inlineStr">
        <x:is>
          <x:t xml:space="preserve">서늘</x:t>
        </x:is>
      </x:c>
      <x:c r="W123" s="5" t="inlineStr">
        <x:is>
          <x:t xml:space="preserve">수중</x:t>
        </x:is>
      </x:c>
      <x:c r="X123" s="5" t="inlineStr">
        <x:is>
          <x:t xml:space="preserve">비</x:t>
        </x:is>
      </x:c>
      <x:c r="Y123" s="5" t="inlineStr">
        <x:is>
          <x:t xml:space="preserve">무관</x:t>
        </x:is>
      </x:c>
      <x:c r="Z123" s="5" t="inlineStr">
        <x:is>
          <x:t xml:space="preserve">흔함</x:t>
        </x:is>
      </x:c>
      <x:c r="AA123" s="5" t="inlineStr">
        <x:is>
          <x:t xml:space="preserve">없음</x:t>
        </x:is>
      </x:c>
      <x:c r="AB123" s="5" t="inlineStr">
        <x:is>
          <x:t xml:space="preserve">담수</x:t>
        </x:is>
      </x:c>
      <x:c r="AC123" s="5" t="inlineStr">
        <x:is>
          <x:t xml:space="preserve">gen1</x:t>
        </x:is>
      </x:c>
      <x:c r="AD123" s="5" t="inlineStr">
        <x:is>
          <x:t xml:space="preserve">.tmp/cobblemon-1.7.3-source/common/src/main/resources/data/cobblemon/species/generation1/seaking.json</x:t>
        </x:is>
      </x:c>
    </x:row>
    <x:row r="124" ht="22" customHeight="1">
      <x:c r="A124" s="5" t="n">
        <x:v>120</x:v>
      </x:c>
      <x:c r="B124" s="5" t="inlineStr">
        <x:is>
          <x:t xml:space="preserve">별가사리</x:t>
        </x:is>
      </x:c>
      <x:c r="C124" s="5" t="inlineStr">
        <x:is>
          <x:t xml:space="preserve">staryu</x:t>
        </x:is>
      </x:c>
      <x:c r="D124" s="5" t="inlineStr">
        <x:is>
          <x:t xml:space="preserve">Staryu</x:t>
        </x:is>
      </x:c>
      <x:c r="E124" s="5" t="n">
        <x:v>1</x:v>
      </x:c>
      <x:c r="F124" s="5" t="inlineStr">
        <x:is>
          <x:t xml:space="preserve">물</x:t>
        </x:is>
      </x:c>
      <x:c r="G124" s="5" t="inlineStr">
        <x:is>
          <x:t xml:space="preserve"/>
        </x:is>
      </x:c>
      <x:c r="H124" s="5" t="n">
        <x:v>0.8</x:v>
      </x:c>
      <x:c r="I124" s="5" t="n">
        <x:v>34.5</x:v>
      </x:c>
      <x:c r="J124" s="5" t="n">
        <x:v>340</x:v>
      </x:c>
      <x:c r="K124" s="5" t="n">
        <x:v>225</x:v>
      </x:c>
      <x:c r="L124" s="5" t="inlineStr">
        <x:is>
          <x:t xml:space="preserve">기본</x:t>
        </x:is>
      </x:c>
      <x:c r="M124" s="5" t="n"/>
      <x:c r="N124" s="5" t="inlineStr">
        <x:is>
          <x:t xml:space="preserve">특수</x:t>
        </x:is>
      </x:c>
      <x:c r="O124" s="5" t="inlineStr">
        <x:is>
          <x:t xml:space="preserve">예</x:t>
        </x:is>
      </x:c>
      <x:c r="P124" s="5" t="inlineStr">
        <x:is>
          <x:t xml:space="preserve">#cobblemon:is_coast; #cobblemon:is_ocean; #cobblemon:is_overworld; #cobblemon:is_tropical_island</x:t>
        </x:is>
      </x:c>
      <x:c r="Q124" s="5" t="inlineStr">
        <x:is>
          <x:t xml:space="preserve">common; uncommon</x:t>
        </x:is>
      </x:c>
      <x:c r="R124" s="5" t="inlineStr">
        <x:is>
          <x:t xml:space="preserve"/>
        </x:is>
      </x:c>
      <x:c r="S124" s="5" t="inlineStr">
        <x:is>
          <x:t xml:space="preserve"/>
        </x:is>
      </x:c>
      <x:c r="T124" s="5" t="inlineStr">
        <x:is>
          <x:t xml:space="preserve">해양</x:t>
        </x:is>
      </x:c>
      <x:c r="U124" s="5" t="inlineStr">
        <x:is>
          <x:t xml:space="preserve">해안·해양</x:t>
        </x:is>
      </x:c>
      <x:c r="V124" s="5" t="inlineStr">
        <x:is>
          <x:t xml:space="preserve">온대</x:t>
        </x:is>
      </x:c>
      <x:c r="W124" s="5" t="inlineStr">
        <x:is>
          <x:t xml:space="preserve">수중</x:t>
        </x:is>
      </x:c>
      <x:c r="X124" s="5" t="inlineStr">
        <x:is>
          <x:t xml:space="preserve">비</x:t>
        </x:is>
      </x:c>
      <x:c r="Y124" s="5" t="inlineStr">
        <x:is>
          <x:t xml:space="preserve">무관</x:t>
        </x:is>
      </x:c>
      <x:c r="Z124" s="5" t="inlineStr">
        <x:is>
          <x:t xml:space="preserve">보통</x:t>
        </x:is>
      </x:c>
      <x:c r="AA124" s="5" t="inlineStr">
        <x:is>
          <x:t xml:space="preserve">없음</x:t>
        </x:is>
      </x:c>
      <x:c r="AB124" s="5" t="inlineStr">
        <x:is>
          <x:t xml:space="preserve">해양</x:t>
        </x:is>
      </x:c>
      <x:c r="AC124" s="5" t="inlineStr">
        <x:is>
          <x:t xml:space="preserve">gen1</x:t>
        </x:is>
      </x:c>
      <x:c r="AD124" s="5" t="inlineStr">
        <x:is>
          <x:t xml:space="preserve">.tmp/cobblemon-1.7.3-source/common/src/main/resources/data/cobblemon/species/generation1/staryu.json</x:t>
        </x:is>
      </x:c>
    </x:row>
    <x:row r="125" ht="22" customHeight="1">
      <x:c r="A125" s="5" t="n">
        <x:v>121</x:v>
      </x:c>
      <x:c r="B125" s="5" t="inlineStr">
        <x:is>
          <x:t xml:space="preserve">아쿠스타</x:t>
        </x:is>
      </x:c>
      <x:c r="C125" s="5" t="inlineStr">
        <x:is>
          <x:t xml:space="preserve">starmie</x:t>
        </x:is>
      </x:c>
      <x:c r="D125" s="5" t="inlineStr">
        <x:is>
          <x:t xml:space="preserve">Starmie</x:t>
        </x:is>
      </x:c>
      <x:c r="E125" s="5" t="n">
        <x:v>1</x:v>
      </x:c>
      <x:c r="F125" s="5" t="inlineStr">
        <x:is>
          <x:t xml:space="preserve">물</x:t>
        </x:is>
      </x:c>
      <x:c r="G125" s="5" t="inlineStr">
        <x:is>
          <x:t xml:space="preserve">에스퍼</x:t>
        </x:is>
      </x:c>
      <x:c r="H125" s="5" t="n">
        <x:v>1.1</x:v>
      </x:c>
      <x:c r="I125" s="5" t="n">
        <x:v>80</x:v>
      </x:c>
      <x:c r="J125" s="5" t="n">
        <x:v>520</x:v>
      </x:c>
      <x:c r="K125" s="5" t="n">
        <x:v>60</x:v>
      </x:c>
      <x:c r="L125" s="5" t="inlineStr">
        <x:is>
          <x:t xml:space="preserve">최종</x:t>
        </x:is>
      </x:c>
      <x:c r="M125" s="5" t="n"/>
      <x:c r="N125" s="5" t="inlineStr">
        <x:is>
          <x:t xml:space="preserve">특수</x:t>
        </x:is>
      </x:c>
      <x:c r="O125" s="5" t="inlineStr">
        <x:is>
          <x:t xml:space="preserve">예</x:t>
        </x:is>
      </x:c>
      <x:c r="P125" s="5" t="inlineStr">
        <x:is>
          <x:t xml:space="preserve">#cobblemon:is_coast; #cobblemon:is_ocean; #cobblemon:is_overworld; #cobblemon:is_tropical_island</x:t>
        </x:is>
      </x:c>
      <x:c r="Q125" s="5" t="inlineStr">
        <x:is>
          <x:t xml:space="preserve">common; uncommon</x:t>
        </x:is>
      </x:c>
      <x:c r="R125" s="5" t="inlineStr">
        <x:is>
          <x:t xml:space="preserve">night</x:t>
        </x:is>
      </x:c>
      <x:c r="S125" s="5" t="inlineStr">
        <x:is>
          <x:t xml:space="preserve"/>
        </x:is>
      </x:c>
      <x:c r="T125" s="5" t="inlineStr">
        <x:is>
          <x:t xml:space="preserve">해양</x:t>
        </x:is>
      </x:c>
      <x:c r="U125" s="5" t="inlineStr">
        <x:is>
          <x:t xml:space="preserve">해안·해양</x:t>
        </x:is>
      </x:c>
      <x:c r="V125" s="5" t="inlineStr">
        <x:is>
          <x:t xml:space="preserve">온대</x:t>
        </x:is>
      </x:c>
      <x:c r="W125" s="5" t="inlineStr">
        <x:is>
          <x:t xml:space="preserve">수중</x:t>
        </x:is>
      </x:c>
      <x:c r="X125" s="5" t="inlineStr">
        <x:is>
          <x:t xml:space="preserve">비</x:t>
        </x:is>
      </x:c>
      <x:c r="Y125" s="5" t="inlineStr">
        <x:is>
          <x:t xml:space="preserve">밤</x:t>
        </x:is>
      </x:c>
      <x:c r="Z125" s="5" t="inlineStr">
        <x:is>
          <x:t xml:space="preserve">보통</x:t>
        </x:is>
      </x:c>
      <x:c r="AA125" s="5" t="inlineStr">
        <x:is>
          <x:t xml:space="preserve">없음</x:t>
        </x:is>
      </x:c>
      <x:c r="AB125" s="5" t="inlineStr">
        <x:is>
          <x:t xml:space="preserve">해양</x:t>
        </x:is>
      </x:c>
      <x:c r="AC125" s="5" t="inlineStr">
        <x:is>
          <x:t xml:space="preserve">gen1</x:t>
        </x:is>
      </x:c>
      <x:c r="AD125" s="5" t="inlineStr">
        <x:is>
          <x:t xml:space="preserve">.tmp/cobblemon-1.7.3-source/common/src/main/resources/data/cobblemon/species/generation1/starmie.json</x:t>
        </x:is>
      </x:c>
    </x:row>
    <x:row r="126" ht="22" customHeight="1">
      <x:c r="A126" s="5" t="n">
        <x:v>122</x:v>
      </x:c>
      <x:c r="B126" s="5" t="inlineStr">
        <x:is>
          <x:t xml:space="preserve">마임맨</x:t>
        </x:is>
      </x:c>
      <x:c r="C126" s="5" t="inlineStr">
        <x:is>
          <x:t xml:space="preserve">mrmime</x:t>
        </x:is>
      </x:c>
      <x:c r="D126" s="5" t="inlineStr">
        <x:is>
          <x:t xml:space="preserve">Mr. Mime</x:t>
        </x:is>
      </x:c>
      <x:c r="E126" s="5" t="n">
        <x:v>1</x:v>
      </x:c>
      <x:c r="F126" s="5" t="inlineStr">
        <x:is>
          <x:t xml:space="preserve">에스퍼</x:t>
        </x:is>
      </x:c>
      <x:c r="G126" s="5" t="inlineStr">
        <x:is>
          <x:t xml:space="preserve">페어리</x:t>
        </x:is>
      </x:c>
      <x:c r="H126" s="5" t="n">
        <x:v>1.3</x:v>
      </x:c>
      <x:c r="I126" s="5" t="n">
        <x:v>54.5</x:v>
      </x:c>
      <x:c r="J126" s="5" t="n">
        <x:v>460</x:v>
      </x:c>
      <x:c r="K126" s="5" t="n">
        <x:v>45</x:v>
      </x:c>
      <x:c r="L126" s="5" t="inlineStr">
        <x:is>
          <x:t xml:space="preserve">최종</x:t>
        </x:is>
      </x:c>
      <x:c r="M126" s="5" t="n"/>
      <x:c r="N126" s="5" t="inlineStr">
        <x:is>
          <x:t xml:space="preserve">특수</x:t>
        </x:is>
      </x:c>
      <x:c r="O126" s="5" t="inlineStr">
        <x:is>
          <x:t xml:space="preserve">예</x:t>
        </x:is>
      </x:c>
      <x:c r="P126" s="5" t="inlineStr">
        <x:is>
          <x:t xml:space="preserve">#cobblemon:is_freezing; #cobblemon:is_overworld</x:t>
        </x:is>
      </x:c>
      <x:c r="Q126" s="5" t="inlineStr">
        <x:is>
          <x:t xml:space="preserve">common; uncommon</x:t>
        </x:is>
      </x:c>
      <x:c r="R126" s="5" t="inlineStr">
        <x:is>
          <x:t xml:space="preserve"/>
        </x:is>
      </x:c>
      <x:c r="S126" s="5" t="inlineStr">
        <x:is>
          <x:t xml:space="preserve"/>
        </x:is>
      </x:c>
      <x:c r="T126" s="5" t="inlineStr">
        <x:is>
          <x:t xml:space="preserve">육상</x:t>
        </x:is>
      </x:c>
      <x:c r="U126" s="5" t="inlineStr">
        <x:is>
          <x:t xml:space="preserve">개활지</x:t>
        </x:is>
      </x:c>
      <x:c r="V126" s="5" t="inlineStr">
        <x:is>
          <x:t xml:space="preserve">온대</x:t>
        </x:is>
      </x:c>
      <x:c r="W126" s="5" t="inlineStr">
        <x:is>
          <x:t xml:space="preserve">보통</x:t>
        </x:is>
      </x:c>
      <x:c r="X126" s="5" t="inlineStr">
        <x:is>
          <x:t xml:space="preserve">무관</x:t>
        </x:is>
      </x:c>
      <x:c r="Y126" s="5" t="inlineStr">
        <x:is>
          <x:t xml:space="preserve">무관</x:t>
        </x:is>
      </x:c>
      <x:c r="Z126" s="5" t="inlineStr">
        <x:is>
          <x:t xml:space="preserve">보통</x:t>
        </x:is>
      </x:c>
      <x:c r="AA126" s="5" t="inlineStr">
        <x:is>
          <x:t xml:space="preserve">없음</x:t>
        </x:is>
      </x:c>
      <x:c r="AB126" s="5" t="inlineStr">
        <x:is>
          <x:t xml:space="preserve"/>
        </x:is>
      </x:c>
      <x:c r="AC126" s="5" t="inlineStr">
        <x:is>
          <x:t xml:space="preserve">gen1; kantonian_form</x:t>
        </x:is>
      </x:c>
      <x:c r="AD126" s="5" t="inlineStr">
        <x:is>
          <x:t xml:space="preserve">.tmp/cobblemon-1.7.3-source/common/src/main/resources/data/cobblemon/species/generation1/mrmime.json</x:t>
        </x:is>
      </x:c>
    </x:row>
    <x:row r="127" ht="22" customHeight="1">
      <x:c r="A127" s="5" t="n">
        <x:v>123</x:v>
      </x:c>
      <x:c r="B127" s="5" t="inlineStr">
        <x:is>
          <x:t xml:space="preserve">스라크</x:t>
        </x:is>
      </x:c>
      <x:c r="C127" s="5" t="inlineStr">
        <x:is>
          <x:t xml:space="preserve">scyther</x:t>
        </x:is>
      </x:c>
      <x:c r="D127" s="5" t="inlineStr">
        <x:is>
          <x:t xml:space="preserve">Scyther</x:t>
        </x:is>
      </x:c>
      <x:c r="E127" s="5" t="n">
        <x:v>1</x:v>
      </x:c>
      <x:c r="F127" s="5" t="inlineStr">
        <x:is>
          <x:t xml:space="preserve">벌레</x:t>
        </x:is>
      </x:c>
      <x:c r="G127" s="5" t="inlineStr">
        <x:is>
          <x:t xml:space="preserve">비행</x:t>
        </x:is>
      </x:c>
      <x:c r="H127" s="5" t="n">
        <x:v>1.5</x:v>
      </x:c>
      <x:c r="I127" s="5" t="n">
        <x:v>56</x:v>
      </x:c>
      <x:c r="J127" s="5" t="n">
        <x:v>500</x:v>
      </x:c>
      <x:c r="K127" s="5" t="n">
        <x:v>45</x:v>
      </x:c>
      <x:c r="L127" s="5" t="inlineStr">
        <x:is>
          <x:t xml:space="preserve">기본</x:t>
        </x:is>
      </x:c>
      <x:c r="M127" s="5" t="n"/>
      <x:c r="N127" s="5" t="inlineStr">
        <x:is>
          <x:t xml:space="preserve">특수</x:t>
        </x:is>
      </x:c>
      <x:c r="O127" s="5" t="inlineStr">
        <x:is>
          <x:t xml:space="preserve">예</x:t>
        </x:is>
      </x:c>
      <x:c r="P127" s="5" t="inlineStr">
        <x:is>
          <x:t xml:space="preserve">#cobblemon:is_forest; #cobblemon:is_hills; #cobblemon:is_jungle; aether:skyroot_forest; aether:skyroot_woodland</x:t>
        </x:is>
      </x:c>
      <x:c r="Q127" s="5" t="inlineStr">
        <x:is>
          <x:t xml:space="preserve">rare; uncommon</x:t>
        </x:is>
      </x:c>
      <x:c r="R127" s="5" t="inlineStr">
        <x:is>
          <x:t xml:space="preserve">day</x:t>
        </x:is>
      </x:c>
      <x:c r="S127" s="5" t="inlineStr">
        <x:is>
          <x:t xml:space="preserve"/>
        </x:is>
      </x:c>
      <x:c r="T127" s="5" t="inlineStr">
        <x:is>
          <x:t xml:space="preserve">비행</x:t>
        </x:is>
      </x:c>
      <x:c r="U127" s="5" t="inlineStr">
        <x:is>
          <x:t xml:space="preserve">수목</x:t>
        </x:is>
      </x:c>
      <x:c r="V127" s="5" t="inlineStr">
        <x:is>
          <x:t xml:space="preserve">온대</x:t>
        </x:is>
      </x:c>
      <x:c r="W127" s="5" t="inlineStr">
        <x:is>
          <x:t xml:space="preserve">다습</x:t>
        </x:is>
      </x:c>
      <x:c r="X127" s="5" t="inlineStr">
        <x:is>
          <x:t xml:space="preserve">무관</x:t>
        </x:is>
      </x:c>
      <x:c r="Y127" s="5" t="inlineStr">
        <x:is>
          <x:t xml:space="preserve">낮</x:t>
        </x:is>
      </x:c>
      <x:c r="Z127" s="5" t="inlineStr">
        <x:is>
          <x:t xml:space="preserve">보통</x:t>
        </x:is>
      </x:c>
      <x:c r="AA127" s="5" t="inlineStr">
        <x:is>
          <x:t xml:space="preserve">없음</x:t>
        </x:is>
      </x:c>
      <x:c r="AB127" s="5" t="inlineStr">
        <x:is>
          <x:t xml:space="preserve">숲</x:t>
        </x:is>
      </x:c>
      <x:c r="AC127" s="5" t="inlineStr">
        <x:is>
          <x:t xml:space="preserve">gen1</x:t>
        </x:is>
      </x:c>
      <x:c r="AD127" s="5" t="inlineStr">
        <x:is>
          <x:t xml:space="preserve">.tmp/cobblemon-1.7.3-source/common/src/main/resources/data/cobblemon/species/generation1/scyther.json</x:t>
        </x:is>
      </x:c>
    </x:row>
    <x:row r="128" ht="22" customHeight="1">
      <x:c r="A128" s="5" t="n">
        <x:v>124</x:v>
      </x:c>
      <x:c r="B128" s="5" t="inlineStr">
        <x:is>
          <x:t xml:space="preserve">루주라</x:t>
        </x:is>
      </x:c>
      <x:c r="C128" s="5" t="inlineStr">
        <x:is>
          <x:t xml:space="preserve">jynx</x:t>
        </x:is>
      </x:c>
      <x:c r="D128" s="5" t="inlineStr">
        <x:is>
          <x:t xml:space="preserve">Jynx</x:t>
        </x:is>
      </x:c>
      <x:c r="E128" s="5" t="n">
        <x:v>1</x:v>
      </x:c>
      <x:c r="F128" s="5" t="inlineStr">
        <x:is>
          <x:t xml:space="preserve">얼음</x:t>
        </x:is>
      </x:c>
      <x:c r="G128" s="5" t="inlineStr">
        <x:is>
          <x:t xml:space="preserve">에스퍼</x:t>
        </x:is>
      </x:c>
      <x:c r="H128" s="5" t="n">
        <x:v>1.4</x:v>
      </x:c>
      <x:c r="I128" s="5" t="n">
        <x:v>40.6</x:v>
      </x:c>
      <x:c r="J128" s="5" t="n">
        <x:v>455</x:v>
      </x:c>
      <x:c r="K128" s="5" t="n">
        <x:v>45</x:v>
      </x:c>
      <x:c r="L128" s="5" t="inlineStr">
        <x:is>
          <x:t xml:space="preserve">최종</x:t>
        </x:is>
      </x:c>
      <x:c r="M128" s="5" t="n">
        <x:v>30</x:v>
      </x:c>
      <x:c r="N128" s="5" t="inlineStr">
        <x:is>
          <x:t xml:space="preserve">레벨</x:t>
        </x:is>
      </x:c>
      <x:c r="O128" s="5" t="inlineStr">
        <x:is>
          <x:t xml:space="preserve">예</x:t>
        </x:is>
      </x:c>
      <x:c r="P128" s="5" t="inlineStr">
        <x:is>
          <x:t xml:space="preserve">#cobblemon:is_freezing</x:t>
        </x:is>
      </x:c>
      <x:c r="Q128" s="5" t="inlineStr">
        <x:is>
          <x:t xml:space="preserve">uncommon</x:t>
        </x:is>
      </x:c>
      <x:c r="R128" s="5" t="inlineStr">
        <x:is>
          <x:t xml:space="preserve"/>
        </x:is>
      </x:c>
      <x:c r="S128" s="5" t="inlineStr">
        <x:is>
          <x:t xml:space="preserve"/>
        </x:is>
      </x:c>
      <x:c r="T128" s="5" t="inlineStr">
        <x:is>
          <x:t xml:space="preserve">육상</x:t>
        </x:is>
      </x:c>
      <x:c r="U128" s="5" t="inlineStr">
        <x:is>
          <x:t xml:space="preserve">설원</x:t>
        </x:is>
      </x:c>
      <x:c r="V128" s="5" t="inlineStr">
        <x:is>
          <x:t xml:space="preserve">한랭</x:t>
        </x:is>
      </x:c>
      <x:c r="W128" s="5" t="inlineStr">
        <x:is>
          <x:t xml:space="preserve">보통</x:t>
        </x:is>
      </x:c>
      <x:c r="X128" s="5" t="inlineStr">
        <x:is>
          <x:t xml:space="preserve">무관</x:t>
        </x:is>
      </x:c>
      <x:c r="Y128" s="5" t="inlineStr">
        <x:is>
          <x:t xml:space="preserve">무관</x:t>
        </x:is>
      </x:c>
      <x:c r="Z128" s="5" t="inlineStr">
        <x:is>
          <x:t xml:space="preserve">보통</x:t>
        </x:is>
      </x:c>
      <x:c r="AA128" s="5" t="inlineStr">
        <x:is>
          <x:t xml:space="preserve">없음</x:t>
        </x:is>
      </x:c>
      <x:c r="AB128" s="5" t="inlineStr">
        <x:is>
          <x:t xml:space="preserve"/>
        </x:is>
      </x:c>
      <x:c r="AC128" s="5" t="inlineStr">
        <x:is>
          <x:t xml:space="preserve">gen1</x:t>
        </x:is>
      </x:c>
      <x:c r="AD128" s="5" t="inlineStr">
        <x:is>
          <x:t xml:space="preserve">.tmp/cobblemon-1.7.3-source/common/src/main/resources/data/cobblemon/species/generation1/jynx.json</x:t>
        </x:is>
      </x:c>
    </x:row>
    <x:row r="129" ht="22" customHeight="1">
      <x:c r="A129" s="5" t="n">
        <x:v>125</x:v>
      </x:c>
      <x:c r="B129" s="5" t="inlineStr">
        <x:is>
          <x:t xml:space="preserve">에레브</x:t>
        </x:is>
      </x:c>
      <x:c r="C129" s="5" t="inlineStr">
        <x:is>
          <x:t xml:space="preserve">electabuzz</x:t>
        </x:is>
      </x:c>
      <x:c r="D129" s="5" t="inlineStr">
        <x:is>
          <x:t xml:space="preserve">Electabuzz</x:t>
        </x:is>
      </x:c>
      <x:c r="E129" s="5" t="n">
        <x:v>1</x:v>
      </x:c>
      <x:c r="F129" s="5" t="inlineStr">
        <x:is>
          <x:t xml:space="preserve">전기</x:t>
        </x:is>
      </x:c>
      <x:c r="G129" s="5" t="inlineStr">
        <x:is>
          <x:t xml:space="preserve"/>
        </x:is>
      </x:c>
      <x:c r="H129" s="5" t="n">
        <x:v>1.1</x:v>
      </x:c>
      <x:c r="I129" s="5" t="n">
        <x:v>30</x:v>
      </x:c>
      <x:c r="J129" s="5" t="n">
        <x:v>490</x:v>
      </x:c>
      <x:c r="K129" s="5" t="n">
        <x:v>45</x:v>
      </x:c>
      <x:c r="L129" s="5" t="inlineStr">
        <x:is>
          <x:t xml:space="preserve">중간</x:t>
        </x:is>
      </x:c>
      <x:c r="M129" s="5" t="n">
        <x:v>30</x:v>
      </x:c>
      <x:c r="N129" s="5" t="inlineStr">
        <x:is>
          <x:t xml:space="preserve">레벨·특수</x:t>
        </x:is>
      </x:c>
      <x:c r="O129" s="5" t="inlineStr">
        <x:is>
          <x:t xml:space="preserve">예</x:t>
        </x:is>
      </x:c>
      <x:c r="P129" s="5" t="inlineStr">
        <x:is>
          <x:t xml:space="preserve">#cobblemon:is_hills; #cobblemon:is_plains</x:t>
        </x:is>
      </x:c>
      <x:c r="Q129" s="5" t="inlineStr">
        <x:is>
          <x:t xml:space="preserve">uncommon</x:t>
        </x:is>
      </x:c>
      <x:c r="R129" s="5" t="inlineStr">
        <x:is>
          <x:t xml:space="preserve"/>
        </x:is>
      </x:c>
      <x:c r="S129" s="5" t="inlineStr">
        <x:is>
          <x:t xml:space="preserve"/>
        </x:is>
      </x:c>
      <x:c r="T129" s="5" t="inlineStr">
        <x:is>
          <x:t xml:space="preserve">육상</x:t>
        </x:is>
      </x:c>
      <x:c r="U129" s="5" t="inlineStr">
        <x:is>
          <x:t xml:space="preserve">암석</x:t>
        </x:is>
      </x:c>
      <x:c r="V129" s="5" t="inlineStr">
        <x:is>
          <x:t xml:space="preserve">온대</x:t>
        </x:is>
      </x:c>
      <x:c r="W129" s="5" t="inlineStr">
        <x:is>
          <x:t xml:space="preserve">보통</x:t>
        </x:is>
      </x:c>
      <x:c r="X129" s="5" t="inlineStr">
        <x:is>
          <x:t xml:space="preserve">무관</x:t>
        </x:is>
      </x:c>
      <x:c r="Y129" s="5" t="inlineStr">
        <x:is>
          <x:t xml:space="preserve">무관</x:t>
        </x:is>
      </x:c>
      <x:c r="Z129" s="5" t="inlineStr">
        <x:is>
          <x:t xml:space="preserve">보통</x:t>
        </x:is>
      </x:c>
      <x:c r="AA129" s="5" t="inlineStr">
        <x:is>
          <x:t xml:space="preserve">없음</x:t>
        </x:is>
      </x:c>
      <x:c r="AB129" s="5" t="inlineStr">
        <x:is>
          <x:t xml:space="preserve">산악</x:t>
        </x:is>
      </x:c>
      <x:c r="AC129" s="5" t="inlineStr">
        <x:is>
          <x:t xml:space="preserve">gen1</x:t>
        </x:is>
      </x:c>
      <x:c r="AD129" s="5" t="inlineStr">
        <x:is>
          <x:t xml:space="preserve">.tmp/cobblemon-1.7.3-source/common/src/main/resources/data/cobblemon/species/generation1/electabuzz.json</x:t>
        </x:is>
      </x:c>
    </x:row>
    <x:row r="130" ht="22" customHeight="1">
      <x:c r="A130" s="5" t="n">
        <x:v>126</x:v>
      </x:c>
      <x:c r="B130" s="5" t="inlineStr">
        <x:is>
          <x:t xml:space="preserve">마그마</x:t>
        </x:is>
      </x:c>
      <x:c r="C130" s="5" t="inlineStr">
        <x:is>
          <x:t xml:space="preserve">magmar</x:t>
        </x:is>
      </x:c>
      <x:c r="D130" s="5" t="inlineStr">
        <x:is>
          <x:t xml:space="preserve">Magmar</x:t>
        </x:is>
      </x:c>
      <x:c r="E130" s="5" t="n">
        <x:v>1</x:v>
      </x:c>
      <x:c r="F130" s="5" t="inlineStr">
        <x:is>
          <x:t xml:space="preserve">불꽃</x:t>
        </x:is>
      </x:c>
      <x:c r="G130" s="5" t="inlineStr">
        <x:is>
          <x:t xml:space="preserve"/>
        </x:is>
      </x:c>
      <x:c r="H130" s="5" t="n">
        <x:v>1.3</x:v>
      </x:c>
      <x:c r="I130" s="5" t="n">
        <x:v>44.5</x:v>
      </x:c>
      <x:c r="J130" s="5" t="n">
        <x:v>495</x:v>
      </x:c>
      <x:c r="K130" s="5" t="n">
        <x:v>45</x:v>
      </x:c>
      <x:c r="L130" s="5" t="inlineStr">
        <x:is>
          <x:t xml:space="preserve">중간</x:t>
        </x:is>
      </x:c>
      <x:c r="M130" s="5" t="n">
        <x:v>30</x:v>
      </x:c>
      <x:c r="N130" s="5" t="inlineStr">
        <x:is>
          <x:t xml:space="preserve">레벨·특수</x:t>
        </x:is>
      </x:c>
      <x:c r="O130" s="5" t="inlineStr">
        <x:is>
          <x:t xml:space="preserve">예</x:t>
        </x:is>
      </x:c>
      <x:c r="P130" s="5" t="inlineStr">
        <x:is>
          <x:t xml:space="preserve">#cobblemon:is_hills; #cobblemon:is_volcanic; #cobblemon:nether/is_basalt; #cobblemon:nether/is_wasteland</x:t>
        </x:is>
      </x:c>
      <x:c r="Q130" s="5" t="inlineStr">
        <x:is>
          <x:t xml:space="preserve">common</x:t>
        </x:is>
      </x:c>
      <x:c r="R130" s="5" t="inlineStr">
        <x:is>
          <x:t xml:space="preserve"/>
        </x:is>
      </x:c>
      <x:c r="S130" s="5" t="inlineStr">
        <x:is>
          <x:t xml:space="preserve">비=False</x:t>
        </x:is>
      </x:c>
      <x:c r="T130" s="5" t="inlineStr">
        <x:is>
          <x:t xml:space="preserve">육상</x:t>
        </x:is>
      </x:c>
      <x:c r="U130" s="5" t="inlineStr">
        <x:is>
          <x:t xml:space="preserve">화산</x:t>
        </x:is>
      </x:c>
      <x:c r="V130" s="5" t="inlineStr">
        <x:is>
          <x:t xml:space="preserve">고온</x:t>
        </x:is>
      </x:c>
      <x:c r="W130" s="5" t="inlineStr">
        <x:is>
          <x:t xml:space="preserve">건조</x:t>
        </x:is>
      </x:c>
      <x:c r="X130" s="5" t="inlineStr">
        <x:is>
          <x:t xml:space="preserve">맑음</x:t>
        </x:is>
      </x:c>
      <x:c r="Y130" s="5" t="inlineStr">
        <x:is>
          <x:t xml:space="preserve">무관</x:t>
        </x:is>
      </x:c>
      <x:c r="Z130" s="5" t="inlineStr">
        <x:is>
          <x:t xml:space="preserve">흔함</x:t>
        </x:is>
      </x:c>
      <x:c r="AA130" s="5" t="inlineStr">
        <x:is>
          <x:t xml:space="preserve">화산</x:t>
        </x:is>
      </x:c>
      <x:c r="AB130" s="5" t="inlineStr">
        <x:is>
          <x:t xml:space="preserve">화산</x:t>
        </x:is>
      </x:c>
      <x:c r="AC130" s="5" t="inlineStr">
        <x:is>
          <x:t xml:space="preserve">gen1</x:t>
        </x:is>
      </x:c>
      <x:c r="AD130" s="5" t="inlineStr">
        <x:is>
          <x:t xml:space="preserve">.tmp/cobblemon-1.7.3-source/common/src/main/resources/data/cobblemon/species/generation1/magmar.json</x:t>
        </x:is>
      </x:c>
    </x:row>
    <x:row r="131" ht="22" customHeight="1">
      <x:c r="A131" s="5" t="n">
        <x:v>127</x:v>
      </x:c>
      <x:c r="B131" s="5" t="inlineStr">
        <x:is>
          <x:t xml:space="preserve">쁘사이저</x:t>
        </x:is>
      </x:c>
      <x:c r="C131" s="5" t="inlineStr">
        <x:is>
          <x:t xml:space="preserve">pinsir</x:t>
        </x:is>
      </x:c>
      <x:c r="D131" s="5" t="inlineStr">
        <x:is>
          <x:t xml:space="preserve">Pinsir</x:t>
        </x:is>
      </x:c>
      <x:c r="E131" s="5" t="n">
        <x:v>1</x:v>
      </x:c>
      <x:c r="F131" s="5" t="inlineStr">
        <x:is>
          <x:t xml:space="preserve">벌레</x:t>
        </x:is>
      </x:c>
      <x:c r="G131" s="5" t="inlineStr">
        <x:is>
          <x:t xml:space="preserve"/>
        </x:is>
      </x:c>
      <x:c r="H131" s="5" t="n">
        <x:v>1.5</x:v>
      </x:c>
      <x:c r="I131" s="5" t="n">
        <x:v>55</x:v>
      </x:c>
      <x:c r="J131" s="5" t="n">
        <x:v>500</x:v>
      </x:c>
      <x:c r="K131" s="5" t="n">
        <x:v>45</x:v>
      </x:c>
      <x:c r="L131" s="5" t="inlineStr">
        <x:is>
          <x:t xml:space="preserve">무진화</x:t>
        </x:is>
      </x:c>
      <x:c r="M131" s="5" t="n"/>
      <x:c r="N131" s="5" t="inlineStr">
        <x:is>
          <x:t xml:space="preserve">없음</x:t>
        </x:is>
      </x:c>
      <x:c r="O131" s="5" t="inlineStr">
        <x:is>
          <x:t xml:space="preserve">예</x:t>
        </x:is>
      </x:c>
      <x:c r="P131" s="5" t="inlineStr">
        <x:is>
          <x:t xml:space="preserve">#aether:is_aether; #cobblemon:is_jungle; #cobblemon:is_overworld; #cobblemon:is_tropical_island; aether:skyroot_forest; aether:skyroot_woodland</x:t>
        </x:is>
      </x:c>
      <x:c r="Q131" s="5" t="inlineStr">
        <x:is>
          <x:t xml:space="preserve">rare; uncommon</x:t>
        </x:is>
      </x:c>
      <x:c r="R131" s="5" t="inlineStr">
        <x:is>
          <x:t xml:space="preserve"/>
        </x:is>
      </x:c>
      <x:c r="S131" s="5" t="inlineStr">
        <x:is>
          <x:t xml:space="preserve"/>
        </x:is>
      </x:c>
      <x:c r="T131" s="5" t="inlineStr">
        <x:is>
          <x:t xml:space="preserve">육상</x:t>
        </x:is>
      </x:c>
      <x:c r="U131" s="5" t="inlineStr">
        <x:is>
          <x:t xml:space="preserve">수목</x:t>
        </x:is>
      </x:c>
      <x:c r="V131" s="5" t="inlineStr">
        <x:is>
          <x:t xml:space="preserve">온대</x:t>
        </x:is>
      </x:c>
      <x:c r="W131" s="5" t="inlineStr">
        <x:is>
          <x:t xml:space="preserve">다습</x:t>
        </x:is>
      </x:c>
      <x:c r="X131" s="5" t="inlineStr">
        <x:is>
          <x:t xml:space="preserve">무관</x:t>
        </x:is>
      </x:c>
      <x:c r="Y131" s="5" t="inlineStr">
        <x:is>
          <x:t xml:space="preserve">무관</x:t>
        </x:is>
      </x:c>
      <x:c r="Z131" s="5" t="inlineStr">
        <x:is>
          <x:t xml:space="preserve">보통</x:t>
        </x:is>
      </x:c>
      <x:c r="AA131" s="5" t="inlineStr">
        <x:is>
          <x:t xml:space="preserve">없음</x:t>
        </x:is>
      </x:c>
      <x:c r="AB131" s="5" t="inlineStr">
        <x:is>
          <x:t xml:space="preserve">숲</x:t>
        </x:is>
      </x:c>
      <x:c r="AC131" s="5" t="inlineStr">
        <x:is>
          <x:t xml:space="preserve">gen1</x:t>
        </x:is>
      </x:c>
      <x:c r="AD131" s="5" t="inlineStr">
        <x:is>
          <x:t xml:space="preserve">.tmp/cobblemon-1.7.3-source/common/src/main/resources/data/cobblemon/species/generation1/pinsir.json</x:t>
        </x:is>
      </x:c>
    </x:row>
    <x:row r="132" ht="22" customHeight="1">
      <x:c r="A132" s="5" t="n">
        <x:v>128</x:v>
      </x:c>
      <x:c r="B132" s="5" t="inlineStr">
        <x:is>
          <x:t xml:space="preserve">켄타로스</x:t>
        </x:is>
      </x:c>
      <x:c r="C132" s="5" t="inlineStr">
        <x:is>
          <x:t xml:space="preserve">tauros</x:t>
        </x:is>
      </x:c>
      <x:c r="D132" s="5" t="inlineStr">
        <x:is>
          <x:t xml:space="preserve">Tauros</x:t>
        </x:is>
      </x:c>
      <x:c r="E132" s="5" t="n">
        <x:v>1</x:v>
      </x:c>
      <x:c r="F132" s="5" t="inlineStr">
        <x:is>
          <x:t xml:space="preserve">노말</x:t>
        </x:is>
      </x:c>
      <x:c r="G132" s="5" t="inlineStr">
        <x:is>
          <x:t xml:space="preserve"/>
        </x:is>
      </x:c>
      <x:c r="H132" s="5" t="n">
        <x:v>1.4</x:v>
      </x:c>
      <x:c r="I132" s="5" t="n">
        <x:v>88.40000000000001</x:v>
      </x:c>
      <x:c r="J132" s="5" t="n">
        <x:v>490</x:v>
      </x:c>
      <x:c r="K132" s="5" t="n">
        <x:v>45</x:v>
      </x:c>
      <x:c r="L132" s="5" t="inlineStr">
        <x:is>
          <x:t xml:space="preserve">무진화</x:t>
        </x:is>
      </x:c>
      <x:c r="M132" s="5" t="n"/>
      <x:c r="N132" s="5" t="inlineStr">
        <x:is>
          <x:t xml:space="preserve">없음</x:t>
        </x:is>
      </x:c>
      <x:c r="O132" s="5" t="inlineStr">
        <x:is>
          <x:t xml:space="preserve">예</x:t>
        </x:is>
      </x:c>
      <x:c r="P132" s="5" t="inlineStr">
        <x:is>
          <x:t xml:space="preserve">#cobblemon:is_grassland; #cobblemon:is_highlands</x:t>
        </x:is>
      </x:c>
      <x:c r="Q132" s="5" t="inlineStr">
        <x:is>
          <x:t xml:space="preserve">common</x:t>
        </x:is>
      </x:c>
      <x:c r="R132" s="5" t="inlineStr">
        <x:is>
          <x:t xml:space="preserve"/>
        </x:is>
      </x:c>
      <x:c r="S132" s="5" t="inlineStr">
        <x:is>
          <x:t xml:space="preserve"/>
        </x:is>
      </x:c>
      <x:c r="T132" s="5" t="inlineStr">
        <x:is>
          <x:t xml:space="preserve">육상</x:t>
        </x:is>
      </x:c>
      <x:c r="U132" s="5" t="inlineStr">
        <x:is>
          <x:t xml:space="preserve">암석</x:t>
        </x:is>
      </x:c>
      <x:c r="V132" s="5" t="inlineStr">
        <x:is>
          <x:t xml:space="preserve">온대</x:t>
        </x:is>
      </x:c>
      <x:c r="W132" s="5" t="inlineStr">
        <x:is>
          <x:t xml:space="preserve">보통</x:t>
        </x:is>
      </x:c>
      <x:c r="X132" s="5" t="inlineStr">
        <x:is>
          <x:t xml:space="preserve">무관</x:t>
        </x:is>
      </x:c>
      <x:c r="Y132" s="5" t="inlineStr">
        <x:is>
          <x:t xml:space="preserve">무관</x:t>
        </x:is>
      </x:c>
      <x:c r="Z132" s="5" t="inlineStr">
        <x:is>
          <x:t xml:space="preserve">흔함</x:t>
        </x:is>
      </x:c>
      <x:c r="AA132" s="5" t="inlineStr">
        <x:is>
          <x:t xml:space="preserve">없음</x:t>
        </x:is>
      </x:c>
      <x:c r="AB132" s="5" t="inlineStr">
        <x:is>
          <x:t xml:space="preserve">산악</x:t>
        </x:is>
      </x:c>
      <x:c r="AC132" s="5" t="inlineStr">
        <x:is>
          <x:t xml:space="preserve">gen1; kantonian_form</x:t>
        </x:is>
      </x:c>
      <x:c r="AD132" s="5" t="inlineStr">
        <x:is>
          <x:t xml:space="preserve">.tmp/cobblemon-1.7.3-source/common/src/main/resources/data/cobblemon/species/generation1/tauros.json</x:t>
        </x:is>
      </x:c>
    </x:row>
    <x:row r="133" ht="22" customHeight="1">
      <x:c r="A133" s="5" t="n">
        <x:v>129</x:v>
      </x:c>
      <x:c r="B133" s="5" t="inlineStr">
        <x:is>
          <x:t xml:space="preserve">잉어킹</x:t>
        </x:is>
      </x:c>
      <x:c r="C133" s="5" t="inlineStr">
        <x:is>
          <x:t xml:space="preserve">magikarp</x:t>
        </x:is>
      </x:c>
      <x:c r="D133" s="5" t="inlineStr">
        <x:is>
          <x:t xml:space="preserve">Magikarp</x:t>
        </x:is>
      </x:c>
      <x:c r="E133" s="5" t="n">
        <x:v>1</x:v>
      </x:c>
      <x:c r="F133" s="5" t="inlineStr">
        <x:is>
          <x:t xml:space="preserve">물</x:t>
        </x:is>
      </x:c>
      <x:c r="G133" s="5" t="inlineStr">
        <x:is>
          <x:t xml:space="preserve"/>
        </x:is>
      </x:c>
      <x:c r="H133" s="5" t="n">
        <x:v>0.9</x:v>
      </x:c>
      <x:c r="I133" s="5" t="n">
        <x:v>10</x:v>
      </x:c>
      <x:c r="J133" s="5" t="n">
        <x:v>200</x:v>
      </x:c>
      <x:c r="K133" s="5" t="n">
        <x:v>255</x:v>
      </x:c>
      <x:c r="L133" s="5" t="inlineStr">
        <x:is>
          <x:t xml:space="preserve">기본</x:t>
        </x:is>
      </x:c>
      <x:c r="M133" s="5" t="n">
        <x:v>20</x:v>
      </x:c>
      <x:c r="N133" s="5" t="inlineStr">
        <x:is>
          <x:t xml:space="preserve">레벨</x:t>
        </x:is>
      </x:c>
      <x:c r="O133" s="5" t="inlineStr">
        <x:is>
          <x:t xml:space="preserve">예</x:t>
        </x:is>
      </x:c>
      <x:c r="P133" s="5" t="inlineStr">
        <x:is>
          <x:t xml:space="preserve">#aether:is_aether; #cobblemon:is_freshwater; #cobblemon:is_ocean; #cobblemon:is_overworld</x:t>
        </x:is>
      </x:c>
      <x:c r="Q133" s="5" t="inlineStr">
        <x:is>
          <x:t xml:space="preserve">common; uncommon</x:t>
        </x:is>
      </x:c>
      <x:c r="R133" s="5" t="inlineStr">
        <x:is>
          <x:t xml:space="preserve"/>
        </x:is>
      </x:c>
      <x:c r="S133" s="5" t="inlineStr">
        <x:is>
          <x:t xml:space="preserve"/>
        </x:is>
      </x:c>
      <x:c r="T133" s="5" t="inlineStr">
        <x:is>
          <x:t xml:space="preserve">해양</x:t>
        </x:is>
      </x:c>
      <x:c r="U133" s="5" t="inlineStr">
        <x:is>
          <x:t xml:space="preserve">해안·해양</x:t>
        </x:is>
      </x:c>
      <x:c r="V133" s="5" t="inlineStr">
        <x:is>
          <x:t xml:space="preserve">온대</x:t>
        </x:is>
      </x:c>
      <x:c r="W133" s="5" t="inlineStr">
        <x:is>
          <x:t xml:space="preserve">수중</x:t>
        </x:is>
      </x:c>
      <x:c r="X133" s="5" t="inlineStr">
        <x:is>
          <x:t xml:space="preserve">비</x:t>
        </x:is>
      </x:c>
      <x:c r="Y133" s="5" t="inlineStr">
        <x:is>
          <x:t xml:space="preserve">무관</x:t>
        </x:is>
      </x:c>
      <x:c r="Z133" s="5" t="inlineStr">
        <x:is>
          <x:t xml:space="preserve">보통</x:t>
        </x:is>
      </x:c>
      <x:c r="AA133" s="5" t="inlineStr">
        <x:is>
          <x:t xml:space="preserve">없음</x:t>
        </x:is>
      </x:c>
      <x:c r="AB133" s="5" t="inlineStr">
        <x:is>
          <x:t xml:space="preserve">해양</x:t>
        </x:is>
      </x:c>
      <x:c r="AC133" s="5" t="inlineStr">
        <x:is>
          <x:t xml:space="preserve">gen1</x:t>
        </x:is>
      </x:c>
      <x:c r="AD133" s="5" t="inlineStr">
        <x:is>
          <x:t xml:space="preserve">.tmp/cobblemon-1.7.3-source/common/src/main/resources/data/cobblemon/species/generation1/magikarp.json</x:t>
        </x:is>
      </x:c>
    </x:row>
    <x:row r="134" ht="22" customHeight="1">
      <x:c r="A134" s="5" t="n">
        <x:v>130</x:v>
      </x:c>
      <x:c r="B134" s="5" t="inlineStr">
        <x:is>
          <x:t xml:space="preserve">갸라도스</x:t>
        </x:is>
      </x:c>
      <x:c r="C134" s="5" t="inlineStr">
        <x:is>
          <x:t xml:space="preserve">gyarados</x:t>
        </x:is>
      </x:c>
      <x:c r="D134" s="5" t="inlineStr">
        <x:is>
          <x:t xml:space="preserve">Gyarados</x:t>
        </x:is>
      </x:c>
      <x:c r="E134" s="5" t="n">
        <x:v>1</x:v>
      </x:c>
      <x:c r="F134" s="5" t="inlineStr">
        <x:is>
          <x:t xml:space="preserve">물</x:t>
        </x:is>
      </x:c>
      <x:c r="G134" s="5" t="inlineStr">
        <x:is>
          <x:t xml:space="preserve">비행</x:t>
        </x:is>
      </x:c>
      <x:c r="H134" s="5" t="n">
        <x:v>6.5</x:v>
      </x:c>
      <x:c r="I134" s="5" t="n">
        <x:v>235</x:v>
      </x:c>
      <x:c r="J134" s="5" t="n">
        <x:v>540</x:v>
      </x:c>
      <x:c r="K134" s="5" t="n">
        <x:v>45</x:v>
      </x:c>
      <x:c r="L134" s="5" t="inlineStr">
        <x:is>
          <x:t xml:space="preserve">최종</x:t>
        </x:is>
      </x:c>
      <x:c r="M134" s="5" t="n">
        <x:v>20</x:v>
      </x:c>
      <x:c r="N134" s="5" t="inlineStr">
        <x:is>
          <x:t xml:space="preserve">레벨</x:t>
        </x:is>
      </x:c>
      <x:c r="O134" s="5" t="inlineStr">
        <x:is>
          <x:t xml:space="preserve">예</x:t>
        </x:is>
      </x:c>
      <x:c r="P134" s="5" t="inlineStr">
        <x:is>
          <x:t xml:space="preserve">#aether:is_aether; #cobblemon:is_freshwater; #cobblemon:is_ocean; #cobblemon:is_overworld</x:t>
        </x:is>
      </x:c>
      <x:c r="Q134" s="5" t="inlineStr">
        <x:is>
          <x:t xml:space="preserve">common; uncommon</x:t>
        </x:is>
      </x:c>
      <x:c r="R134" s="5" t="inlineStr">
        <x:is>
          <x:t xml:space="preserve"/>
        </x:is>
      </x:c>
      <x:c r="S134" s="5" t="inlineStr">
        <x:is>
          <x:t xml:space="preserve"/>
        </x:is>
      </x:c>
      <x:c r="T134" s="5" t="inlineStr">
        <x:is>
          <x:t xml:space="preserve">해양</x:t>
        </x:is>
      </x:c>
      <x:c r="U134" s="5" t="inlineStr">
        <x:is>
          <x:t xml:space="preserve">해안·해양</x:t>
        </x:is>
      </x:c>
      <x:c r="V134" s="5" t="inlineStr">
        <x:is>
          <x:t xml:space="preserve">온대</x:t>
        </x:is>
      </x:c>
      <x:c r="W134" s="5" t="inlineStr">
        <x:is>
          <x:t xml:space="preserve">수중</x:t>
        </x:is>
      </x:c>
      <x:c r="X134" s="5" t="inlineStr">
        <x:is>
          <x:t xml:space="preserve">비</x:t>
        </x:is>
      </x:c>
      <x:c r="Y134" s="5" t="inlineStr">
        <x:is>
          <x:t xml:space="preserve">무관</x:t>
        </x:is>
      </x:c>
      <x:c r="Z134" s="5" t="inlineStr">
        <x:is>
          <x:t xml:space="preserve">보통</x:t>
        </x:is>
      </x:c>
      <x:c r="AA134" s="5" t="inlineStr">
        <x:is>
          <x:t xml:space="preserve">없음</x:t>
        </x:is>
      </x:c>
      <x:c r="AB134" s="5" t="inlineStr">
        <x:is>
          <x:t xml:space="preserve">해양</x:t>
        </x:is>
      </x:c>
      <x:c r="AC134" s="5" t="inlineStr">
        <x:is>
          <x:t xml:space="preserve">gen1</x:t>
        </x:is>
      </x:c>
      <x:c r="AD134" s="5" t="inlineStr">
        <x:is>
          <x:t xml:space="preserve">.tmp/cobblemon-1.7.3-source/common/src/main/resources/data/cobblemon/species/generation1/gyarados.json</x:t>
        </x:is>
      </x:c>
    </x:row>
    <x:row r="135" ht="22" customHeight="1">
      <x:c r="A135" s="5" t="n">
        <x:v>131</x:v>
      </x:c>
      <x:c r="B135" s="5" t="inlineStr">
        <x:is>
          <x:t xml:space="preserve">라프라스</x:t>
        </x:is>
      </x:c>
      <x:c r="C135" s="5" t="inlineStr">
        <x:is>
          <x:t xml:space="preserve">lapras</x:t>
        </x:is>
      </x:c>
      <x:c r="D135" s="5" t="inlineStr">
        <x:is>
          <x:t xml:space="preserve">Lapras</x:t>
        </x:is>
      </x:c>
      <x:c r="E135" s="5" t="n">
        <x:v>1</x:v>
      </x:c>
      <x:c r="F135" s="5" t="inlineStr">
        <x:is>
          <x:t xml:space="preserve">물</x:t>
        </x:is>
      </x:c>
      <x:c r="G135" s="5" t="inlineStr">
        <x:is>
          <x:t xml:space="preserve">얼음</x:t>
        </x:is>
      </x:c>
      <x:c r="H135" s="5" t="n">
        <x:v>2.5</x:v>
      </x:c>
      <x:c r="I135" s="5" t="n">
        <x:v>220</x:v>
      </x:c>
      <x:c r="J135" s="5" t="n">
        <x:v>535</x:v>
      </x:c>
      <x:c r="K135" s="5" t="n">
        <x:v>45</x:v>
      </x:c>
      <x:c r="L135" s="5" t="inlineStr">
        <x:is>
          <x:t xml:space="preserve">무진화</x:t>
        </x:is>
      </x:c>
      <x:c r="M135" s="5" t="n"/>
      <x:c r="N135" s="5" t="inlineStr">
        <x:is>
          <x:t xml:space="preserve">없음</x:t>
        </x:is>
      </x:c>
      <x:c r="O135" s="5" t="inlineStr">
        <x:is>
          <x:t xml:space="preserve">예</x:t>
        </x:is>
      </x:c>
      <x:c r="P135" s="5" t="inlineStr">
        <x:is>
          <x:t xml:space="preserve">#cobblemon:is_frozen_ocean; #cobblemon:is_ocean</x:t>
        </x:is>
      </x:c>
      <x:c r="Q135" s="5" t="inlineStr">
        <x:is>
          <x:t xml:space="preserve">common; ultra-rare; uncommon</x:t>
        </x:is>
      </x:c>
      <x:c r="R135" s="5" t="inlineStr">
        <x:is>
          <x:t xml:space="preserve"/>
        </x:is>
      </x:c>
      <x:c r="S135" s="5" t="inlineStr">
        <x:is>
          <x:t xml:space="preserve"/>
        </x:is>
      </x:c>
      <x:c r="T135" s="5" t="inlineStr">
        <x:is>
          <x:t xml:space="preserve">해양</x:t>
        </x:is>
      </x:c>
      <x:c r="U135" s="5" t="inlineStr">
        <x:is>
          <x:t xml:space="preserve">해안·해양</x:t>
        </x:is>
      </x:c>
      <x:c r="V135" s="5" t="inlineStr">
        <x:is>
          <x:t xml:space="preserve">한랭</x:t>
        </x:is>
      </x:c>
      <x:c r="W135" s="5" t="inlineStr">
        <x:is>
          <x:t xml:space="preserve">수중</x:t>
        </x:is>
      </x:c>
      <x:c r="X135" s="5" t="inlineStr">
        <x:is>
          <x:t xml:space="preserve">비</x:t>
        </x:is>
      </x:c>
      <x:c r="Y135" s="5" t="inlineStr">
        <x:is>
          <x:t xml:space="preserve">무관</x:t>
        </x:is>
      </x:c>
      <x:c r="Z135" s="5" t="inlineStr">
        <x:is>
          <x:t xml:space="preserve">보통</x:t>
        </x:is>
      </x:c>
      <x:c r="AA135" s="5" t="inlineStr">
        <x:is>
          <x:t xml:space="preserve">없음</x:t>
        </x:is>
      </x:c>
      <x:c r="AB135" s="5" t="inlineStr">
        <x:is>
          <x:t xml:space="preserve">해양</x:t>
        </x:is>
      </x:c>
      <x:c r="AC135" s="5" t="inlineStr">
        <x:is>
          <x:t xml:space="preserve">gen1</x:t>
        </x:is>
      </x:c>
      <x:c r="AD135" s="5" t="inlineStr">
        <x:is>
          <x:t xml:space="preserve">.tmp/cobblemon-1.7.3-source/common/src/main/resources/data/cobblemon/species/generation1/lapras.json</x:t>
        </x:is>
      </x:c>
    </x:row>
    <x:row r="136" ht="22" customHeight="1">
      <x:c r="A136" s="5" t="n">
        <x:v>132</x:v>
      </x:c>
      <x:c r="B136" s="5" t="inlineStr">
        <x:is>
          <x:t xml:space="preserve">메타몽</x:t>
        </x:is>
      </x:c>
      <x:c r="C136" s="5" t="inlineStr">
        <x:is>
          <x:t xml:space="preserve">ditto</x:t>
        </x:is>
      </x:c>
      <x:c r="D136" s="5" t="inlineStr">
        <x:is>
          <x:t xml:space="preserve">Ditto</x:t>
        </x:is>
      </x:c>
      <x:c r="E136" s="5" t="n">
        <x:v>1</x:v>
      </x:c>
      <x:c r="F136" s="5" t="inlineStr">
        <x:is>
          <x:t xml:space="preserve">노말</x:t>
        </x:is>
      </x:c>
      <x:c r="G136" s="5" t="inlineStr">
        <x:is>
          <x:t xml:space="preserve"/>
        </x:is>
      </x:c>
      <x:c r="H136" s="5" t="n">
        <x:v>0.3</x:v>
      </x:c>
      <x:c r="I136" s="5" t="n">
        <x:v>4</x:v>
      </x:c>
      <x:c r="J136" s="5" t="n">
        <x:v>288</x:v>
      </x:c>
      <x:c r="K136" s="5" t="n">
        <x:v>35</x:v>
      </x:c>
      <x:c r="L136" s="5" t="inlineStr">
        <x:is>
          <x:t xml:space="preserve">무진화</x:t>
        </x:is>
      </x:c>
      <x:c r="M136" s="5" t="n"/>
      <x:c r="N136" s="5" t="inlineStr">
        <x:is>
          <x:t xml:space="preserve">없음</x:t>
        </x:is>
      </x:c>
      <x:c r="O136" s="5" t="inlineStr">
        <x:is>
          <x:t xml:space="preserve">예</x:t>
        </x:is>
      </x:c>
      <x:c r="P136" s="5" t="inlineStr">
        <x:is>
          <x:t xml:space="preserve">#cobblemon:is_overworld</x:t>
        </x:is>
      </x:c>
      <x:c r="Q136" s="5" t="inlineStr">
        <x:is>
          <x:t xml:space="preserve">rare; ultra-rare; uncommon</x:t>
        </x:is>
      </x:c>
      <x:c r="R136" s="5" t="inlineStr">
        <x:is>
          <x:t xml:space="preserve"/>
        </x:is>
      </x:c>
      <x:c r="S136" s="5" t="inlineStr">
        <x:is>
          <x:t xml:space="preserve"/>
        </x:is>
      </x:c>
      <x:c r="T136" s="5" t="inlineStr">
        <x:is>
          <x:t xml:space="preserve">육상</x:t>
        </x:is>
      </x:c>
      <x:c r="U136" s="5" t="inlineStr">
        <x:is>
          <x:t xml:space="preserve">개활지</x:t>
        </x:is>
      </x:c>
      <x:c r="V136" s="5" t="inlineStr">
        <x:is>
          <x:t xml:space="preserve">온대</x:t>
        </x:is>
      </x:c>
      <x:c r="W136" s="5" t="inlineStr">
        <x:is>
          <x:t xml:space="preserve">보통</x:t>
        </x:is>
      </x:c>
      <x:c r="X136" s="5" t="inlineStr">
        <x:is>
          <x:t xml:space="preserve">무관</x:t>
        </x:is>
      </x:c>
      <x:c r="Y136" s="5" t="inlineStr">
        <x:is>
          <x:t xml:space="preserve">무관</x:t>
        </x:is>
      </x:c>
      <x:c r="Z136" s="5" t="inlineStr">
        <x:is>
          <x:t xml:space="preserve">보통</x:t>
        </x:is>
      </x:c>
      <x:c r="AA136" s="5" t="inlineStr">
        <x:is>
          <x:t xml:space="preserve">없음</x:t>
        </x:is>
      </x:c>
      <x:c r="AB136" s="5" t="inlineStr">
        <x:is>
          <x:t xml:space="preserve"/>
        </x:is>
      </x:c>
      <x:c r="AC136" s="5" t="inlineStr">
        <x:is>
          <x:t xml:space="preserve">gen1</x:t>
        </x:is>
      </x:c>
      <x:c r="AD136" s="5" t="inlineStr">
        <x:is>
          <x:t xml:space="preserve">.tmp/cobblemon-1.7.3-source/common/src/main/resources/data/cobblemon/species/generation1/ditto.json</x:t>
        </x:is>
      </x:c>
    </x:row>
    <x:row r="137" ht="22" customHeight="1">
      <x:c r="A137" s="5" t="n">
        <x:v>133</x:v>
      </x:c>
      <x:c r="B137" s="5" t="inlineStr">
        <x:is>
          <x:t xml:space="preserve">이브이</x:t>
        </x:is>
      </x:c>
      <x:c r="C137" s="5" t="inlineStr">
        <x:is>
          <x:t xml:space="preserve">eevee</x:t>
        </x:is>
      </x:c>
      <x:c r="D137" s="5" t="inlineStr">
        <x:is>
          <x:t xml:space="preserve">Eevee</x:t>
        </x:is>
      </x:c>
      <x:c r="E137" s="5" t="n">
        <x:v>1</x:v>
      </x:c>
      <x:c r="F137" s="5" t="inlineStr">
        <x:is>
          <x:t xml:space="preserve">노말</x:t>
        </x:is>
      </x:c>
      <x:c r="G137" s="5" t="inlineStr">
        <x:is>
          <x:t xml:space="preserve"/>
        </x:is>
      </x:c>
      <x:c r="H137" s="5" t="n">
        <x:v>0.3</x:v>
      </x:c>
      <x:c r="I137" s="5" t="n">
        <x:v>6.5</x:v>
      </x:c>
      <x:c r="J137" s="5" t="n">
        <x:v>325</x:v>
      </x:c>
      <x:c r="K137" s="5" t="n">
        <x:v>45</x:v>
      </x:c>
      <x:c r="L137" s="5" t="inlineStr">
        <x:is>
          <x:t xml:space="preserve">기본</x:t>
        </x:is>
      </x:c>
      <x:c r="M137" s="5" t="n"/>
      <x:c r="N137" s="5" t="inlineStr">
        <x:is>
          <x:t xml:space="preserve">특수</x:t>
        </x:is>
      </x:c>
      <x:c r="O137" s="5" t="inlineStr">
        <x:is>
          <x:t xml:space="preserve">예</x:t>
        </x:is>
      </x:c>
      <x:c r="P137" s="5" t="inlineStr">
        <x:is>
          <x:t xml:space="preserve">#aether:is_aether; #cobblemon:is_overworld; #cobblemon:is_temperate</x:t>
        </x:is>
      </x:c>
      <x:c r="Q137" s="5" t="inlineStr">
        <x:is>
          <x:t xml:space="preserve">rare; ultra-rare; uncommon</x:t>
        </x:is>
      </x:c>
      <x:c r="R137" s="5" t="inlineStr">
        <x:is>
          <x:t xml:space="preserve"/>
        </x:is>
      </x:c>
      <x:c r="S137" s="5" t="inlineStr">
        <x:is>
          <x:t xml:space="preserve"/>
        </x:is>
      </x:c>
      <x:c r="T137" s="5" t="inlineStr">
        <x:is>
          <x:t xml:space="preserve">육상</x:t>
        </x:is>
      </x:c>
      <x:c r="U137" s="5" t="inlineStr">
        <x:is>
          <x:t xml:space="preserve">개활지</x:t>
        </x:is>
      </x:c>
      <x:c r="V137" s="5" t="inlineStr">
        <x:is>
          <x:t xml:space="preserve">온대</x:t>
        </x:is>
      </x:c>
      <x:c r="W137" s="5" t="inlineStr">
        <x:is>
          <x:t xml:space="preserve">보통</x:t>
        </x:is>
      </x:c>
      <x:c r="X137" s="5" t="inlineStr">
        <x:is>
          <x:t xml:space="preserve">무관</x:t>
        </x:is>
      </x:c>
      <x:c r="Y137" s="5" t="inlineStr">
        <x:is>
          <x:t xml:space="preserve">무관</x:t>
        </x:is>
      </x:c>
      <x:c r="Z137" s="5" t="inlineStr">
        <x:is>
          <x:t xml:space="preserve">보통</x:t>
        </x:is>
      </x:c>
      <x:c r="AA137" s="5" t="inlineStr">
        <x:is>
          <x:t xml:space="preserve">없음</x:t>
        </x:is>
      </x:c>
      <x:c r="AB137" s="5" t="inlineStr">
        <x:is>
          <x:t xml:space="preserve"/>
        </x:is>
      </x:c>
      <x:c r="AC137" s="5" t="inlineStr">
        <x:is>
          <x:t xml:space="preserve">gen1</x:t>
        </x:is>
      </x:c>
      <x:c r="AD137" s="5" t="inlineStr">
        <x:is>
          <x:t xml:space="preserve">.tmp/cobblemon-1.7.3-source/common/src/main/resources/data/cobblemon/species/generation1/eevee.json</x:t>
        </x:is>
      </x:c>
    </x:row>
    <x:row r="138" ht="22" customHeight="1">
      <x:c r="A138" s="5" t="n">
        <x:v>134</x:v>
      </x:c>
      <x:c r="B138" s="5" t="inlineStr">
        <x:is>
          <x:t xml:space="preserve">샤미드</x:t>
        </x:is>
      </x:c>
      <x:c r="C138" s="5" t="inlineStr">
        <x:is>
          <x:t xml:space="preserve">vaporeon</x:t>
        </x:is>
      </x:c>
      <x:c r="D138" s="5" t="inlineStr">
        <x:is>
          <x:t xml:space="preserve">Vaporeon</x:t>
        </x:is>
      </x:c>
      <x:c r="E138" s="5" t="n">
        <x:v>1</x:v>
      </x:c>
      <x:c r="F138" s="5" t="inlineStr">
        <x:is>
          <x:t xml:space="preserve">물</x:t>
        </x:is>
      </x:c>
      <x:c r="G138" s="5" t="inlineStr">
        <x:is>
          <x:t xml:space="preserve"/>
        </x:is>
      </x:c>
      <x:c r="H138" s="5" t="n">
        <x:v>1</x:v>
      </x:c>
      <x:c r="I138" s="5" t="n">
        <x:v>29</x:v>
      </x:c>
      <x:c r="J138" s="5" t="n">
        <x:v>525</x:v>
      </x:c>
      <x:c r="K138" s="5" t="n">
        <x:v>45</x:v>
      </x:c>
      <x:c r="L138" s="5" t="inlineStr">
        <x:is>
          <x:t xml:space="preserve">최종</x:t>
        </x:is>
      </x:c>
      <x:c r="M138" s="5" t="n"/>
      <x:c r="N138" s="5" t="inlineStr">
        <x:is>
          <x:t xml:space="preserve">특수</x:t>
        </x:is>
      </x:c>
      <x:c r="O138" s="5" t="inlineStr">
        <x:is>
          <x:t xml:space="preserve">예</x:t>
        </x:is>
      </x:c>
      <x:c r="P138" s="5" t="inlineStr">
        <x:is>
          <x:t xml:space="preserve">#cobblemon:is_freshwater; #cobblemon:is_jungle; #cobblemon:is_magical; #cobblemon:is_overworld; #cobblemon:is_temperate; #cobblemon:is_tropical_island</x:t>
        </x:is>
      </x:c>
      <x:c r="Q138" s="5" t="inlineStr">
        <x:is>
          <x:t xml:space="preserve">ultra-rare; uncommon</x:t>
        </x:is>
      </x:c>
      <x:c r="R138" s="5" t="inlineStr">
        <x:is>
          <x:t xml:space="preserve"/>
        </x:is>
      </x:c>
      <x:c r="S138" s="5" t="inlineStr">
        <x:is>
          <x:t xml:space="preserve"/>
        </x:is>
      </x:c>
      <x:c r="T138" s="5" t="inlineStr">
        <x:is>
          <x:t xml:space="preserve">담수</x:t>
        </x:is>
      </x:c>
      <x:c r="U138" s="5" t="inlineStr">
        <x:is>
          <x:t xml:space="preserve">담수</x:t>
        </x:is>
      </x:c>
      <x:c r="V138" s="5" t="inlineStr">
        <x:is>
          <x:t xml:space="preserve">온대</x:t>
        </x:is>
      </x:c>
      <x:c r="W138" s="5" t="inlineStr">
        <x:is>
          <x:t xml:space="preserve">수중</x:t>
        </x:is>
      </x:c>
      <x:c r="X138" s="5" t="inlineStr">
        <x:is>
          <x:t xml:space="preserve">비</x:t>
        </x:is>
      </x:c>
      <x:c r="Y138" s="5" t="inlineStr">
        <x:is>
          <x:t xml:space="preserve">무관</x:t>
        </x:is>
      </x:c>
      <x:c r="Z138" s="5" t="inlineStr">
        <x:is>
          <x:t xml:space="preserve">보통</x:t>
        </x:is>
      </x:c>
      <x:c r="AA138" s="5" t="inlineStr">
        <x:is>
          <x:t xml:space="preserve">없음</x:t>
        </x:is>
      </x:c>
      <x:c r="AB138" s="5" t="inlineStr">
        <x:is>
          <x:t xml:space="preserve">담수</x:t>
        </x:is>
      </x:c>
      <x:c r="AC138" s="5" t="inlineStr">
        <x:is>
          <x:t xml:space="preserve">gen1</x:t>
        </x:is>
      </x:c>
      <x:c r="AD138" s="5" t="inlineStr">
        <x:is>
          <x:t xml:space="preserve">.tmp/cobblemon-1.7.3-source/common/src/main/resources/data/cobblemon/species/generation1/vaporeon.json</x:t>
        </x:is>
      </x:c>
    </x:row>
    <x:row r="139" ht="22" customHeight="1">
      <x:c r="A139" s="5" t="n">
        <x:v>135</x:v>
      </x:c>
      <x:c r="B139" s="5" t="inlineStr">
        <x:is>
          <x:t xml:space="preserve">쥬피썬더</x:t>
        </x:is>
      </x:c>
      <x:c r="C139" s="5" t="inlineStr">
        <x:is>
          <x:t xml:space="preserve">jolteon</x:t>
        </x:is>
      </x:c>
      <x:c r="D139" s="5" t="inlineStr">
        <x:is>
          <x:t xml:space="preserve">Jolteon</x:t>
        </x:is>
      </x:c>
      <x:c r="E139" s="5" t="n">
        <x:v>1</x:v>
      </x:c>
      <x:c r="F139" s="5" t="inlineStr">
        <x:is>
          <x:t xml:space="preserve">전기</x:t>
        </x:is>
      </x:c>
      <x:c r="G139" s="5" t="inlineStr">
        <x:is>
          <x:t xml:space="preserve"/>
        </x:is>
      </x:c>
      <x:c r="H139" s="5" t="n">
        <x:v>0.8</x:v>
      </x:c>
      <x:c r="I139" s="5" t="n">
        <x:v>24.5</x:v>
      </x:c>
      <x:c r="J139" s="5" t="n">
        <x:v>525</x:v>
      </x:c>
      <x:c r="K139" s="5" t="n">
        <x:v>45</x:v>
      </x:c>
      <x:c r="L139" s="5" t="inlineStr">
        <x:is>
          <x:t xml:space="preserve">최종</x:t>
        </x:is>
      </x:c>
      <x:c r="M139" s="5" t="n"/>
      <x:c r="N139" s="5" t="inlineStr">
        <x:is>
          <x:t xml:space="preserve">특수</x:t>
        </x:is>
      </x:c>
      <x:c r="O139" s="5" t="inlineStr">
        <x:is>
          <x:t xml:space="preserve">예</x:t>
        </x:is>
      </x:c>
      <x:c r="P139" s="5" t="inlineStr">
        <x:is>
          <x:t xml:space="preserve">#cobblemon:is_grassland; #cobblemon:is_overworld</x:t>
        </x:is>
      </x:c>
      <x:c r="Q139" s="5" t="inlineStr">
        <x:is>
          <x:t xml:space="preserve">ultra-rare; uncommon</x:t>
        </x:is>
      </x:c>
      <x:c r="R139" s="5" t="inlineStr">
        <x:is>
          <x:t xml:space="preserve"/>
        </x:is>
      </x:c>
      <x:c r="S139" s="5" t="inlineStr">
        <x:is>
          <x:t xml:space="preserve"/>
        </x:is>
      </x:c>
      <x:c r="T139" s="5" t="inlineStr">
        <x:is>
          <x:t xml:space="preserve">육상</x:t>
        </x:is>
      </x:c>
      <x:c r="U139" s="5" t="inlineStr">
        <x:is>
          <x:t xml:space="preserve">개활지</x:t>
        </x:is>
      </x:c>
      <x:c r="V139" s="5" t="inlineStr">
        <x:is>
          <x:t xml:space="preserve">온대</x:t>
        </x:is>
      </x:c>
      <x:c r="W139" s="5" t="inlineStr">
        <x:is>
          <x:t xml:space="preserve">보통</x:t>
        </x:is>
      </x:c>
      <x:c r="X139" s="5" t="inlineStr">
        <x:is>
          <x:t xml:space="preserve">무관</x:t>
        </x:is>
      </x:c>
      <x:c r="Y139" s="5" t="inlineStr">
        <x:is>
          <x:t xml:space="preserve">무관</x:t>
        </x:is>
      </x:c>
      <x:c r="Z139" s="5" t="inlineStr">
        <x:is>
          <x:t xml:space="preserve">보통</x:t>
        </x:is>
      </x:c>
      <x:c r="AA139" s="5" t="inlineStr">
        <x:is>
          <x:t xml:space="preserve">없음</x:t>
        </x:is>
      </x:c>
      <x:c r="AB139" s="5" t="inlineStr">
        <x:is>
          <x:t xml:space="preserve">평원</x:t>
        </x:is>
      </x:c>
      <x:c r="AC139" s="5" t="inlineStr">
        <x:is>
          <x:t xml:space="preserve">gen1</x:t>
        </x:is>
      </x:c>
      <x:c r="AD139" s="5" t="inlineStr">
        <x:is>
          <x:t xml:space="preserve">.tmp/cobblemon-1.7.3-source/common/src/main/resources/data/cobblemon/species/generation1/jolteon.json</x:t>
        </x:is>
      </x:c>
    </x:row>
    <x:row r="140" ht="22" customHeight="1">
      <x:c r="A140" s="5" t="n">
        <x:v>136</x:v>
      </x:c>
      <x:c r="B140" s="5" t="inlineStr">
        <x:is>
          <x:t xml:space="preserve">부스터</x:t>
        </x:is>
      </x:c>
      <x:c r="C140" s="5" t="inlineStr">
        <x:is>
          <x:t xml:space="preserve">flareon</x:t>
        </x:is>
      </x:c>
      <x:c r="D140" s="5" t="inlineStr">
        <x:is>
          <x:t xml:space="preserve">Flareon</x:t>
        </x:is>
      </x:c>
      <x:c r="E140" s="5" t="n">
        <x:v>1</x:v>
      </x:c>
      <x:c r="F140" s="5" t="inlineStr">
        <x:is>
          <x:t xml:space="preserve">불꽃</x:t>
        </x:is>
      </x:c>
      <x:c r="G140" s="5" t="inlineStr">
        <x:is>
          <x:t xml:space="preserve"/>
        </x:is>
      </x:c>
      <x:c r="H140" s="5" t="n">
        <x:v>0.9</x:v>
      </x:c>
      <x:c r="I140" s="5" t="n">
        <x:v>25</x:v>
      </x:c>
      <x:c r="J140" s="5" t="n">
        <x:v>525</x:v>
      </x:c>
      <x:c r="K140" s="5" t="n">
        <x:v>45</x:v>
      </x:c>
      <x:c r="L140" s="5" t="inlineStr">
        <x:is>
          <x:t xml:space="preserve">최종</x:t>
        </x:is>
      </x:c>
      <x:c r="M140" s="5" t="n"/>
      <x:c r="N140" s="5" t="inlineStr">
        <x:is>
          <x:t xml:space="preserve">특수</x:t>
        </x:is>
      </x:c>
      <x:c r="O140" s="5" t="inlineStr">
        <x:is>
          <x:t xml:space="preserve">예</x:t>
        </x:is>
      </x:c>
      <x:c r="P140" s="5" t="inlineStr">
        <x:is>
          <x:t xml:space="preserve">#cobblemon:is_badlands; #cobblemon:is_desert; #cobblemon:is_overworld</x:t>
        </x:is>
      </x:c>
      <x:c r="Q140" s="5" t="inlineStr">
        <x:is>
          <x:t xml:space="preserve">ultra-rare; uncommon</x:t>
        </x:is>
      </x:c>
      <x:c r="R140" s="5" t="inlineStr">
        <x:is>
          <x:t xml:space="preserve"/>
        </x:is>
      </x:c>
      <x:c r="S140" s="5" t="inlineStr">
        <x:is>
          <x:t xml:space="preserve"/>
        </x:is>
      </x:c>
      <x:c r="T140" s="5" t="inlineStr">
        <x:is>
          <x:t xml:space="preserve">육상</x:t>
        </x:is>
      </x:c>
      <x:c r="U140" s="5" t="inlineStr">
        <x:is>
          <x:t xml:space="preserve">건조</x:t>
        </x:is>
      </x:c>
      <x:c r="V140" s="5" t="inlineStr">
        <x:is>
          <x:t xml:space="preserve">고온</x:t>
        </x:is>
      </x:c>
      <x:c r="W140" s="5" t="inlineStr">
        <x:is>
          <x:t xml:space="preserve">건조</x:t>
        </x:is>
      </x:c>
      <x:c r="X140" s="5" t="inlineStr">
        <x:is>
          <x:t xml:space="preserve">맑음</x:t>
        </x:is>
      </x:c>
      <x:c r="Y140" s="5" t="inlineStr">
        <x:is>
          <x:t xml:space="preserve">무관</x:t>
        </x:is>
      </x:c>
      <x:c r="Z140" s="5" t="inlineStr">
        <x:is>
          <x:t xml:space="preserve">보통</x:t>
        </x:is>
      </x:c>
      <x:c r="AA140" s="5" t="inlineStr">
        <x:is>
          <x:t xml:space="preserve">없음</x:t>
        </x:is>
      </x:c>
      <x:c r="AB140" s="5" t="inlineStr">
        <x:is>
          <x:t xml:space="preserve">건조지</x:t>
        </x:is>
      </x:c>
      <x:c r="AC140" s="5" t="inlineStr">
        <x:is>
          <x:t xml:space="preserve">gen1</x:t>
        </x:is>
      </x:c>
      <x:c r="AD140" s="5" t="inlineStr">
        <x:is>
          <x:t xml:space="preserve">.tmp/cobblemon-1.7.3-source/common/src/main/resources/data/cobblemon/species/generation1/flareon.json</x:t>
        </x:is>
      </x:c>
    </x:row>
    <x:row r="141" ht="22" customHeight="1">
      <x:c r="A141" s="5" t="n">
        <x:v>137</x:v>
      </x:c>
      <x:c r="B141" s="5" t="inlineStr">
        <x:is>
          <x:t xml:space="preserve">폴리곤</x:t>
        </x:is>
      </x:c>
      <x:c r="C141" s="5" t="inlineStr">
        <x:is>
          <x:t xml:space="preserve">porygon</x:t>
        </x:is>
      </x:c>
      <x:c r="D141" s="5" t="inlineStr">
        <x:is>
          <x:t xml:space="preserve">Porygon</x:t>
        </x:is>
      </x:c>
      <x:c r="E141" s="5" t="n">
        <x:v>1</x:v>
      </x:c>
      <x:c r="F141" s="5" t="inlineStr">
        <x:is>
          <x:t xml:space="preserve">노말</x:t>
        </x:is>
      </x:c>
      <x:c r="G141" s="5" t="inlineStr">
        <x:is>
          <x:t xml:space="preserve"/>
        </x:is>
      </x:c>
      <x:c r="H141" s="5" t="n">
        <x:v>0.8</x:v>
      </x:c>
      <x:c r="I141" s="5" t="n">
        <x:v>36.5</x:v>
      </x:c>
      <x:c r="J141" s="5" t="n">
        <x:v>395</x:v>
      </x:c>
      <x:c r="K141" s="5" t="n">
        <x:v>45</x:v>
      </x:c>
      <x:c r="L141" s="5" t="inlineStr">
        <x:is>
          <x:t xml:space="preserve">기본</x:t>
        </x:is>
      </x:c>
      <x:c r="M141" s="5" t="n"/>
      <x:c r="N141" s="5" t="inlineStr">
        <x:is>
          <x:t xml:space="preserve">특수</x:t>
        </x:is>
      </x:c>
      <x:c r="O141" s="5" t="inlineStr">
        <x:is>
          <x:t xml:space="preserve">예</x:t>
        </x:is>
      </x:c>
      <x:c r="P141" s="5" t="inlineStr">
        <x:is>
          <x:t xml:space="preserve">#cobblemon:is_end</x:t>
        </x:is>
      </x:c>
      <x:c r="Q141" s="5" t="inlineStr">
        <x:is>
          <x:t xml:space="preserve">uncommon</x:t>
        </x:is>
      </x:c>
      <x:c r="R141" s="5" t="inlineStr">
        <x:is>
          <x:t xml:space="preserve"/>
        </x:is>
      </x:c>
      <x:c r="S141" s="5" t="inlineStr">
        <x:is>
          <x:t xml:space="preserve"/>
        </x:is>
      </x:c>
      <x:c r="T141" s="5" t="inlineStr">
        <x:is>
          <x:t xml:space="preserve">인공</x:t>
        </x:is>
      </x:c>
      <x:c r="U141" s="5" t="inlineStr">
        <x:is>
          <x:t xml:space="preserve">도시</x:t>
        </x:is>
      </x:c>
      <x:c r="V141" s="5" t="inlineStr">
        <x:is>
          <x:t xml:space="preserve">온대</x:t>
        </x:is>
      </x:c>
      <x:c r="W141" s="5" t="inlineStr">
        <x:is>
          <x:t xml:space="preserve">보통</x:t>
        </x:is>
      </x:c>
      <x:c r="X141" s="5" t="inlineStr">
        <x:is>
          <x:t xml:space="preserve">무관</x:t>
        </x:is>
      </x:c>
      <x:c r="Y141" s="5" t="inlineStr">
        <x:is>
          <x:t xml:space="preserve">무관</x:t>
        </x:is>
      </x:c>
      <x:c r="Z141" s="5" t="inlineStr">
        <x:is>
          <x:t xml:space="preserve">보통</x:t>
        </x:is>
      </x:c>
      <x:c r="AA141" s="5" t="inlineStr">
        <x:is>
          <x:t xml:space="preserve">도시</x:t>
        </x:is>
      </x:c>
      <x:c r="AB141" s="5" t="inlineStr">
        <x:is>
          <x:t xml:space="preserve"/>
        </x:is>
      </x:c>
      <x:c r="AC141" s="5" t="inlineStr">
        <x:is>
          <x:t xml:space="preserve">gen1</x:t>
        </x:is>
      </x:c>
      <x:c r="AD141" s="5" t="inlineStr">
        <x:is>
          <x:t xml:space="preserve">.tmp/cobblemon-1.7.3-source/common/src/main/resources/data/cobblemon/species/generation1/porygon.json</x:t>
        </x:is>
      </x:c>
    </x:row>
    <x:row r="142" ht="22" customHeight="1">
      <x:c r="A142" s="5" t="n">
        <x:v>138</x:v>
      </x:c>
      <x:c r="B142" s="5" t="inlineStr">
        <x:is>
          <x:t xml:space="preserve">암나이트</x:t>
        </x:is>
      </x:c>
      <x:c r="C142" s="5" t="inlineStr">
        <x:is>
          <x:t xml:space="preserve">omanyte</x:t>
        </x:is>
      </x:c>
      <x:c r="D142" s="5" t="inlineStr">
        <x:is>
          <x:t xml:space="preserve">Omanyte</x:t>
        </x:is>
      </x:c>
      <x:c r="E142" s="5" t="n">
        <x:v>1</x:v>
      </x:c>
      <x:c r="F142" s="5" t="inlineStr">
        <x:is>
          <x:t xml:space="preserve">바위</x:t>
        </x:is>
      </x:c>
      <x:c r="G142" s="5" t="inlineStr">
        <x:is>
          <x:t xml:space="preserve">물</x:t>
        </x:is>
      </x:c>
      <x:c r="H142" s="5" t="n">
        <x:v>0.4</x:v>
      </x:c>
      <x:c r="I142" s="5" t="n">
        <x:v>7.5</x:v>
      </x:c>
      <x:c r="J142" s="5" t="n">
        <x:v>355</x:v>
      </x:c>
      <x:c r="K142" s="5" t="n">
        <x:v>45</x:v>
      </x:c>
      <x:c r="L142" s="5" t="inlineStr">
        <x:is>
          <x:t xml:space="preserve">기본</x:t>
        </x:is>
      </x:c>
      <x:c r="M142" s="5" t="n">
        <x:v>40</x:v>
      </x:c>
      <x:c r="N142" s="5" t="inlineStr">
        <x:is>
          <x:t xml:space="preserve">레벨</x:t>
        </x:is>
      </x:c>
      <x:c r="O142" s="5" t="inlineStr">
        <x:is>
          <x:t xml:space="preserve">예</x:t>
        </x:is>
      </x:c>
      <x:c r="P142" s="5" t="inlineStr">
        <x:is>
          <x:t xml:space="preserve">#cobblemon:is_lush</x:t>
        </x:is>
      </x:c>
      <x:c r="Q142" s="5" t="inlineStr">
        <x:is>
          <x:t xml:space="preserve">ultra-rare</x:t>
        </x:is>
      </x:c>
      <x:c r="R142" s="5" t="inlineStr">
        <x:is>
          <x:t xml:space="preserve"/>
        </x:is>
      </x:c>
      <x:c r="S142" s="5" t="inlineStr">
        <x:is>
          <x:t xml:space="preserve"/>
        </x:is>
      </x:c>
      <x:c r="T142" s="5" t="inlineStr">
        <x:is>
          <x:t xml:space="preserve">수륙</x:t>
        </x:is>
      </x:c>
      <x:c r="U142" s="5" t="inlineStr">
        <x:is>
          <x:t xml:space="preserve">암석</x:t>
        </x:is>
      </x:c>
      <x:c r="V142" s="5" t="inlineStr">
        <x:is>
          <x:t xml:space="preserve">온대</x:t>
        </x:is>
      </x:c>
      <x:c r="W142" s="5" t="inlineStr">
        <x:is>
          <x:t xml:space="preserve">보통</x:t>
        </x:is>
      </x:c>
      <x:c r="X142" s="5" t="inlineStr">
        <x:is>
          <x:t xml:space="preserve">무관</x:t>
        </x:is>
      </x:c>
      <x:c r="Y142" s="5" t="inlineStr">
        <x:is>
          <x:t xml:space="preserve">무관</x:t>
        </x:is>
      </x:c>
      <x:c r="Z142" s="5" t="inlineStr">
        <x:is>
          <x:t xml:space="preserve">희귀</x:t>
        </x:is>
      </x:c>
      <x:c r="AA142" s="5" t="inlineStr">
        <x:is>
          <x:t xml:space="preserve">없음</x:t>
        </x:is>
      </x:c>
      <x:c r="AB142" s="5" t="inlineStr">
        <x:is>
          <x:t xml:space="preserve"/>
        </x:is>
      </x:c>
      <x:c r="AC142" s="5" t="inlineStr">
        <x:is>
          <x:t xml:space="preserve">fossil; gen1</x:t>
        </x:is>
      </x:c>
      <x:c r="AD142" s="5" t="inlineStr">
        <x:is>
          <x:t xml:space="preserve">.tmp/cobblemon-1.7.3-source/common/src/main/resources/data/cobblemon/species/generation1/omanyte.json</x:t>
        </x:is>
      </x:c>
    </x:row>
    <x:row r="143" ht="22" customHeight="1">
      <x:c r="A143" s="5" t="n">
        <x:v>139</x:v>
      </x:c>
      <x:c r="B143" s="5" t="inlineStr">
        <x:is>
          <x:t xml:space="preserve">암스타</x:t>
        </x:is>
      </x:c>
      <x:c r="C143" s="5" t="inlineStr">
        <x:is>
          <x:t xml:space="preserve">omastar</x:t>
        </x:is>
      </x:c>
      <x:c r="D143" s="5" t="inlineStr">
        <x:is>
          <x:t xml:space="preserve">Omastar</x:t>
        </x:is>
      </x:c>
      <x:c r="E143" s="5" t="n">
        <x:v>1</x:v>
      </x:c>
      <x:c r="F143" s="5" t="inlineStr">
        <x:is>
          <x:t xml:space="preserve">바위</x:t>
        </x:is>
      </x:c>
      <x:c r="G143" s="5" t="inlineStr">
        <x:is>
          <x:t xml:space="preserve">물</x:t>
        </x:is>
      </x:c>
      <x:c r="H143" s="5" t="n">
        <x:v>1</x:v>
      </x:c>
      <x:c r="I143" s="5" t="n">
        <x:v>35</x:v>
      </x:c>
      <x:c r="J143" s="5" t="n">
        <x:v>495</x:v>
      </x:c>
      <x:c r="K143" s="5" t="n">
        <x:v>45</x:v>
      </x:c>
      <x:c r="L143" s="5" t="inlineStr">
        <x:is>
          <x:t xml:space="preserve">최종</x:t>
        </x:is>
      </x:c>
      <x:c r="M143" s="5" t="n">
        <x:v>40</x:v>
      </x:c>
      <x:c r="N143" s="5" t="inlineStr">
        <x:is>
          <x:t xml:space="preserve">레벨</x:t>
        </x:is>
      </x:c>
      <x:c r="O143" s="5" t="inlineStr">
        <x:is>
          <x:t xml:space="preserve">예</x:t>
        </x:is>
      </x:c>
      <x:c r="P143" s="5" t="inlineStr">
        <x:is>
          <x:t xml:space="preserve">#cobblemon:is_lush</x:t>
        </x:is>
      </x:c>
      <x:c r="Q143" s="5" t="inlineStr">
        <x:is>
          <x:t xml:space="preserve">ultra-rare</x:t>
        </x:is>
      </x:c>
      <x:c r="R143" s="5" t="inlineStr">
        <x:is>
          <x:t xml:space="preserve"/>
        </x:is>
      </x:c>
      <x:c r="S143" s="5" t="inlineStr">
        <x:is>
          <x:t xml:space="preserve"/>
        </x:is>
      </x:c>
      <x:c r="T143" s="5" t="inlineStr">
        <x:is>
          <x:t xml:space="preserve">수륙</x:t>
        </x:is>
      </x:c>
      <x:c r="U143" s="5" t="inlineStr">
        <x:is>
          <x:t xml:space="preserve">암석</x:t>
        </x:is>
      </x:c>
      <x:c r="V143" s="5" t="inlineStr">
        <x:is>
          <x:t xml:space="preserve">온대</x:t>
        </x:is>
      </x:c>
      <x:c r="W143" s="5" t="inlineStr">
        <x:is>
          <x:t xml:space="preserve">보통</x:t>
        </x:is>
      </x:c>
      <x:c r="X143" s="5" t="inlineStr">
        <x:is>
          <x:t xml:space="preserve">무관</x:t>
        </x:is>
      </x:c>
      <x:c r="Y143" s="5" t="inlineStr">
        <x:is>
          <x:t xml:space="preserve">무관</x:t>
        </x:is>
      </x:c>
      <x:c r="Z143" s="5" t="inlineStr">
        <x:is>
          <x:t xml:space="preserve">희귀</x:t>
        </x:is>
      </x:c>
      <x:c r="AA143" s="5" t="inlineStr">
        <x:is>
          <x:t xml:space="preserve">없음</x:t>
        </x:is>
      </x:c>
      <x:c r="AB143" s="5" t="inlineStr">
        <x:is>
          <x:t xml:space="preserve"/>
        </x:is>
      </x:c>
      <x:c r="AC143" s="5" t="inlineStr">
        <x:is>
          <x:t xml:space="preserve">fossil; gen1</x:t>
        </x:is>
      </x:c>
      <x:c r="AD143" s="5" t="inlineStr">
        <x:is>
          <x:t xml:space="preserve">.tmp/cobblemon-1.7.3-source/common/src/main/resources/data/cobblemon/species/generation1/omastar.json</x:t>
        </x:is>
      </x:c>
    </x:row>
    <x:row r="144" ht="22" customHeight="1">
      <x:c r="A144" s="5" t="n">
        <x:v>140</x:v>
      </x:c>
      <x:c r="B144" s="5" t="inlineStr">
        <x:is>
          <x:t xml:space="preserve">투구</x:t>
        </x:is>
      </x:c>
      <x:c r="C144" s="5" t="inlineStr">
        <x:is>
          <x:t xml:space="preserve">kabuto</x:t>
        </x:is>
      </x:c>
      <x:c r="D144" s="5" t="inlineStr">
        <x:is>
          <x:t xml:space="preserve">Kabuto</x:t>
        </x:is>
      </x:c>
      <x:c r="E144" s="5" t="n">
        <x:v>1</x:v>
      </x:c>
      <x:c r="F144" s="5" t="inlineStr">
        <x:is>
          <x:t xml:space="preserve">바위</x:t>
        </x:is>
      </x:c>
      <x:c r="G144" s="5" t="inlineStr">
        <x:is>
          <x:t xml:space="preserve">물</x:t>
        </x:is>
      </x:c>
      <x:c r="H144" s="5" t="n">
        <x:v>0.5</x:v>
      </x:c>
      <x:c r="I144" s="5" t="n">
        <x:v>11.5</x:v>
      </x:c>
      <x:c r="J144" s="5" t="n">
        <x:v>355</x:v>
      </x:c>
      <x:c r="K144" s="5" t="n">
        <x:v>45</x:v>
      </x:c>
      <x:c r="L144" s="5" t="inlineStr">
        <x:is>
          <x:t xml:space="preserve">기본</x:t>
        </x:is>
      </x:c>
      <x:c r="M144" s="5" t="n">
        <x:v>40</x:v>
      </x:c>
      <x:c r="N144" s="5" t="inlineStr">
        <x:is>
          <x:t xml:space="preserve">레벨</x:t>
        </x:is>
      </x:c>
      <x:c r="O144" s="5" t="inlineStr">
        <x:is>
          <x:t xml:space="preserve">예</x:t>
        </x:is>
      </x:c>
      <x:c r="P144" s="5" t="inlineStr">
        <x:is>
          <x:t xml:space="preserve">#cobblemon:is_lush</x:t>
        </x:is>
      </x:c>
      <x:c r="Q144" s="5" t="inlineStr">
        <x:is>
          <x:t xml:space="preserve">ultra-rare</x:t>
        </x:is>
      </x:c>
      <x:c r="R144" s="5" t="inlineStr">
        <x:is>
          <x:t xml:space="preserve"/>
        </x:is>
      </x:c>
      <x:c r="S144" s="5" t="inlineStr">
        <x:is>
          <x:t xml:space="preserve"/>
        </x:is>
      </x:c>
      <x:c r="T144" s="5" t="inlineStr">
        <x:is>
          <x:t xml:space="preserve">수륙</x:t>
        </x:is>
      </x:c>
      <x:c r="U144" s="5" t="inlineStr">
        <x:is>
          <x:t xml:space="preserve">암석</x:t>
        </x:is>
      </x:c>
      <x:c r="V144" s="5" t="inlineStr">
        <x:is>
          <x:t xml:space="preserve">온대</x:t>
        </x:is>
      </x:c>
      <x:c r="W144" s="5" t="inlineStr">
        <x:is>
          <x:t xml:space="preserve">보통</x:t>
        </x:is>
      </x:c>
      <x:c r="X144" s="5" t="inlineStr">
        <x:is>
          <x:t xml:space="preserve">무관</x:t>
        </x:is>
      </x:c>
      <x:c r="Y144" s="5" t="inlineStr">
        <x:is>
          <x:t xml:space="preserve">무관</x:t>
        </x:is>
      </x:c>
      <x:c r="Z144" s="5" t="inlineStr">
        <x:is>
          <x:t xml:space="preserve">희귀</x:t>
        </x:is>
      </x:c>
      <x:c r="AA144" s="5" t="inlineStr">
        <x:is>
          <x:t xml:space="preserve">없음</x:t>
        </x:is>
      </x:c>
      <x:c r="AB144" s="5" t="inlineStr">
        <x:is>
          <x:t xml:space="preserve"/>
        </x:is>
      </x:c>
      <x:c r="AC144" s="5" t="inlineStr">
        <x:is>
          <x:t xml:space="preserve">fossil; gen1</x:t>
        </x:is>
      </x:c>
      <x:c r="AD144" s="5" t="inlineStr">
        <x:is>
          <x:t xml:space="preserve">.tmp/cobblemon-1.7.3-source/common/src/main/resources/data/cobblemon/species/generation1/kabuto.json</x:t>
        </x:is>
      </x:c>
    </x:row>
    <x:row r="145" ht="22" customHeight="1">
      <x:c r="A145" s="5" t="n">
        <x:v>141</x:v>
      </x:c>
      <x:c r="B145" s="5" t="inlineStr">
        <x:is>
          <x:t xml:space="preserve">투구푸스</x:t>
        </x:is>
      </x:c>
      <x:c r="C145" s="5" t="inlineStr">
        <x:is>
          <x:t xml:space="preserve">kabutops</x:t>
        </x:is>
      </x:c>
      <x:c r="D145" s="5" t="inlineStr">
        <x:is>
          <x:t xml:space="preserve">Kabutops</x:t>
        </x:is>
      </x:c>
      <x:c r="E145" s="5" t="n">
        <x:v>1</x:v>
      </x:c>
      <x:c r="F145" s="5" t="inlineStr">
        <x:is>
          <x:t xml:space="preserve">바위</x:t>
        </x:is>
      </x:c>
      <x:c r="G145" s="5" t="inlineStr">
        <x:is>
          <x:t xml:space="preserve">물</x:t>
        </x:is>
      </x:c>
      <x:c r="H145" s="5" t="n">
        <x:v>1.3</x:v>
      </x:c>
      <x:c r="I145" s="5" t="n">
        <x:v>40.5</x:v>
      </x:c>
      <x:c r="J145" s="5" t="n">
        <x:v>495</x:v>
      </x:c>
      <x:c r="K145" s="5" t="n">
        <x:v>45</x:v>
      </x:c>
      <x:c r="L145" s="5" t="inlineStr">
        <x:is>
          <x:t xml:space="preserve">최종</x:t>
        </x:is>
      </x:c>
      <x:c r="M145" s="5" t="n">
        <x:v>40</x:v>
      </x:c>
      <x:c r="N145" s="5" t="inlineStr">
        <x:is>
          <x:t xml:space="preserve">레벨</x:t>
        </x:is>
      </x:c>
      <x:c r="O145" s="5" t="inlineStr">
        <x:is>
          <x:t xml:space="preserve">예</x:t>
        </x:is>
      </x:c>
      <x:c r="P145" s="5" t="inlineStr">
        <x:is>
          <x:t xml:space="preserve">#cobblemon:is_lush</x:t>
        </x:is>
      </x:c>
      <x:c r="Q145" s="5" t="inlineStr">
        <x:is>
          <x:t xml:space="preserve">ultra-rare</x:t>
        </x:is>
      </x:c>
      <x:c r="R145" s="5" t="inlineStr">
        <x:is>
          <x:t xml:space="preserve"/>
        </x:is>
      </x:c>
      <x:c r="S145" s="5" t="inlineStr">
        <x:is>
          <x:t xml:space="preserve"/>
        </x:is>
      </x:c>
      <x:c r="T145" s="5" t="inlineStr">
        <x:is>
          <x:t xml:space="preserve">수륙</x:t>
        </x:is>
      </x:c>
      <x:c r="U145" s="5" t="inlineStr">
        <x:is>
          <x:t xml:space="preserve">암석</x:t>
        </x:is>
      </x:c>
      <x:c r="V145" s="5" t="inlineStr">
        <x:is>
          <x:t xml:space="preserve">온대</x:t>
        </x:is>
      </x:c>
      <x:c r="W145" s="5" t="inlineStr">
        <x:is>
          <x:t xml:space="preserve">보통</x:t>
        </x:is>
      </x:c>
      <x:c r="X145" s="5" t="inlineStr">
        <x:is>
          <x:t xml:space="preserve">무관</x:t>
        </x:is>
      </x:c>
      <x:c r="Y145" s="5" t="inlineStr">
        <x:is>
          <x:t xml:space="preserve">무관</x:t>
        </x:is>
      </x:c>
      <x:c r="Z145" s="5" t="inlineStr">
        <x:is>
          <x:t xml:space="preserve">희귀</x:t>
        </x:is>
      </x:c>
      <x:c r="AA145" s="5" t="inlineStr">
        <x:is>
          <x:t xml:space="preserve">없음</x:t>
        </x:is>
      </x:c>
      <x:c r="AB145" s="5" t="inlineStr">
        <x:is>
          <x:t xml:space="preserve"/>
        </x:is>
      </x:c>
      <x:c r="AC145" s="5" t="inlineStr">
        <x:is>
          <x:t xml:space="preserve">fossil; gen1</x:t>
        </x:is>
      </x:c>
      <x:c r="AD145" s="5" t="inlineStr">
        <x:is>
          <x:t xml:space="preserve">.tmp/cobblemon-1.7.3-source/common/src/main/resources/data/cobblemon/species/generation1/kabutops.json</x:t>
        </x:is>
      </x:c>
    </x:row>
    <x:row r="146" ht="22" customHeight="1">
      <x:c r="A146" s="5" t="n">
        <x:v>142</x:v>
      </x:c>
      <x:c r="B146" s="5" t="inlineStr">
        <x:is>
          <x:t xml:space="preserve">프테라</x:t>
        </x:is>
      </x:c>
      <x:c r="C146" s="5" t="inlineStr">
        <x:is>
          <x:t xml:space="preserve">aerodactyl</x:t>
        </x:is>
      </x:c>
      <x:c r="D146" s="5" t="inlineStr">
        <x:is>
          <x:t xml:space="preserve">Aerodactyl</x:t>
        </x:is>
      </x:c>
      <x:c r="E146" s="5" t="n">
        <x:v>1</x:v>
      </x:c>
      <x:c r="F146" s="5" t="inlineStr">
        <x:is>
          <x:t xml:space="preserve">바위</x:t>
        </x:is>
      </x:c>
      <x:c r="G146" s="5" t="inlineStr">
        <x:is>
          <x:t xml:space="preserve">비행</x:t>
        </x:is>
      </x:c>
      <x:c r="H146" s="5" t="n">
        <x:v>1.8</x:v>
      </x:c>
      <x:c r="I146" s="5" t="n">
        <x:v>59</x:v>
      </x:c>
      <x:c r="J146" s="5" t="n">
        <x:v>515</x:v>
      </x:c>
      <x:c r="K146" s="5" t="n">
        <x:v>45</x:v>
      </x:c>
      <x:c r="L146" s="5" t="inlineStr">
        <x:is>
          <x:t xml:space="preserve">무진화</x:t>
        </x:is>
      </x:c>
      <x:c r="M146" s="5" t="n"/>
      <x:c r="N146" s="5" t="inlineStr">
        <x:is>
          <x:t xml:space="preserve">없음</x:t>
        </x:is>
      </x:c>
      <x:c r="O146" s="5" t="inlineStr">
        <x:is>
          <x:t xml:space="preserve">예</x:t>
        </x:is>
      </x:c>
      <x:c r="P146" s="5" t="inlineStr">
        <x:is>
          <x:t xml:space="preserve">#cobblemon:is_lush</x:t>
        </x:is>
      </x:c>
      <x:c r="Q146" s="5" t="inlineStr">
        <x:is>
          <x:t xml:space="preserve">ultra-rare</x:t>
        </x:is>
      </x:c>
      <x:c r="R146" s="5" t="inlineStr">
        <x:is>
          <x:t xml:space="preserve"/>
        </x:is>
      </x:c>
      <x:c r="S146" s="5" t="inlineStr">
        <x:is>
          <x:t xml:space="preserve"/>
        </x:is>
      </x:c>
      <x:c r="T146" s="5" t="inlineStr">
        <x:is>
          <x:t xml:space="preserve">비행</x:t>
        </x:is>
      </x:c>
      <x:c r="U146" s="5" t="inlineStr">
        <x:is>
          <x:t xml:space="preserve">암석</x:t>
        </x:is>
      </x:c>
      <x:c r="V146" s="5" t="inlineStr">
        <x:is>
          <x:t xml:space="preserve">온대</x:t>
        </x:is>
      </x:c>
      <x:c r="W146" s="5" t="inlineStr">
        <x:is>
          <x:t xml:space="preserve">보통</x:t>
        </x:is>
      </x:c>
      <x:c r="X146" s="5" t="inlineStr">
        <x:is>
          <x:t xml:space="preserve">무관</x:t>
        </x:is>
      </x:c>
      <x:c r="Y146" s="5" t="inlineStr">
        <x:is>
          <x:t xml:space="preserve">무관</x:t>
        </x:is>
      </x:c>
      <x:c r="Z146" s="5" t="inlineStr">
        <x:is>
          <x:t xml:space="preserve">희귀</x:t>
        </x:is>
      </x:c>
      <x:c r="AA146" s="5" t="inlineStr">
        <x:is>
          <x:t xml:space="preserve">없음</x:t>
        </x:is>
      </x:c>
      <x:c r="AB146" s="5" t="inlineStr">
        <x:is>
          <x:t xml:space="preserve"/>
        </x:is>
      </x:c>
      <x:c r="AC146" s="5" t="inlineStr">
        <x:is>
          <x:t xml:space="preserve">fossil; gen1</x:t>
        </x:is>
      </x:c>
      <x:c r="AD146" s="5" t="inlineStr">
        <x:is>
          <x:t xml:space="preserve">.tmp/cobblemon-1.7.3-source/common/src/main/resources/data/cobblemon/species/generation1/aerodactyl.json</x:t>
        </x:is>
      </x:c>
    </x:row>
    <x:row r="147" ht="22" customHeight="1">
      <x:c r="A147" s="5" t="n">
        <x:v>143</x:v>
      </x:c>
      <x:c r="B147" s="5" t="inlineStr">
        <x:is>
          <x:t xml:space="preserve">잠만보</x:t>
        </x:is>
      </x:c>
      <x:c r="C147" s="5" t="inlineStr">
        <x:is>
          <x:t xml:space="preserve">snorlax</x:t>
        </x:is>
      </x:c>
      <x:c r="D147" s="5" t="inlineStr">
        <x:is>
          <x:t xml:space="preserve">Snorlax</x:t>
        </x:is>
      </x:c>
      <x:c r="E147" s="5" t="n">
        <x:v>1</x:v>
      </x:c>
      <x:c r="F147" s="5" t="inlineStr">
        <x:is>
          <x:t xml:space="preserve">노말</x:t>
        </x:is>
      </x:c>
      <x:c r="G147" s="5" t="inlineStr">
        <x:is>
          <x:t xml:space="preserve"/>
        </x:is>
      </x:c>
      <x:c r="H147" s="5" t="n">
        <x:v>2.1</x:v>
      </x:c>
      <x:c r="I147" s="5" t="n">
        <x:v>460</x:v>
      </x:c>
      <x:c r="J147" s="5" t="n">
        <x:v>540</x:v>
      </x:c>
      <x:c r="K147" s="5" t="n">
        <x:v>25</x:v>
      </x:c>
      <x:c r="L147" s="5" t="inlineStr">
        <x:is>
          <x:t xml:space="preserve">최종</x:t>
        </x:is>
      </x:c>
      <x:c r="M147" s="5" t="n"/>
      <x:c r="N147" s="5" t="inlineStr">
        <x:is>
          <x:t xml:space="preserve">특수</x:t>
        </x:is>
      </x:c>
      <x:c r="O147" s="5" t="inlineStr">
        <x:is>
          <x:t xml:space="preserve">예</x:t>
        </x:is>
      </x:c>
      <x:c r="P147" s="5" t="inlineStr">
        <x:is>
          <x:t xml:space="preserve">#aether:is_aether; #cobblemon:is_forest; #cobblemon:is_hills; #cobblemon:is_overworld; #cobblemon:is_snowy_forest; aether:skyroot_forest; aether:skyroot_woodland</x:t>
        </x:is>
      </x:c>
      <x:c r="Q147" s="5" t="inlineStr">
        <x:is>
          <x:t xml:space="preserve">rare; uncommon</x:t>
        </x:is>
      </x:c>
      <x:c r="R147" s="5" t="inlineStr">
        <x:is>
          <x:t xml:space="preserve"/>
        </x:is>
      </x:c>
      <x:c r="S147" s="5" t="inlineStr">
        <x:is>
          <x:t xml:space="preserve"/>
        </x:is>
      </x:c>
      <x:c r="T147" s="5" t="inlineStr">
        <x:is>
          <x:t xml:space="preserve">육상</x:t>
        </x:is>
      </x:c>
      <x:c r="U147" s="5" t="inlineStr">
        <x:is>
          <x:t xml:space="preserve">수목</x:t>
        </x:is>
      </x:c>
      <x:c r="V147" s="5" t="inlineStr">
        <x:is>
          <x:t xml:space="preserve">온대</x:t>
        </x:is>
      </x:c>
      <x:c r="W147" s="5" t="inlineStr">
        <x:is>
          <x:t xml:space="preserve">보통</x:t>
        </x:is>
      </x:c>
      <x:c r="X147" s="5" t="inlineStr">
        <x:is>
          <x:t xml:space="preserve">무관</x:t>
        </x:is>
      </x:c>
      <x:c r="Y147" s="5" t="inlineStr">
        <x:is>
          <x:t xml:space="preserve">무관</x:t>
        </x:is>
      </x:c>
      <x:c r="Z147" s="5" t="inlineStr">
        <x:is>
          <x:t xml:space="preserve">보통</x:t>
        </x:is>
      </x:c>
      <x:c r="AA147" s="5" t="inlineStr">
        <x:is>
          <x:t xml:space="preserve">없음</x:t>
        </x:is>
      </x:c>
      <x:c r="AB147" s="5" t="inlineStr">
        <x:is>
          <x:t xml:space="preserve">숲</x:t>
        </x:is>
      </x:c>
      <x:c r="AC147" s="5" t="inlineStr">
        <x:is>
          <x:t xml:space="preserve">gen1</x:t>
        </x:is>
      </x:c>
      <x:c r="AD147" s="5" t="inlineStr">
        <x:is>
          <x:t xml:space="preserve">.tmp/cobblemon-1.7.3-source/common/src/main/resources/data/cobblemon/species/generation1/snorlax.json</x:t>
        </x:is>
      </x:c>
    </x:row>
    <x:row r="148" ht="22" customHeight="1">
      <x:c r="A148" s="5" t="n">
        <x:v>144</x:v>
      </x:c>
      <x:c r="B148" s="5" t="inlineStr">
        <x:is>
          <x:t xml:space="preserve">프리져</x:t>
        </x:is>
      </x:c>
      <x:c r="C148" s="5" t="inlineStr">
        <x:is>
          <x:t xml:space="preserve">articuno</x:t>
        </x:is>
      </x:c>
      <x:c r="D148" s="5" t="inlineStr">
        <x:is>
          <x:t xml:space="preserve">Articuno</x:t>
        </x:is>
      </x:c>
      <x:c r="E148" s="5" t="n">
        <x:v>1</x:v>
      </x:c>
      <x:c r="F148" s="5" t="inlineStr">
        <x:is>
          <x:t xml:space="preserve">얼음</x:t>
        </x:is>
      </x:c>
      <x:c r="G148" s="5" t="inlineStr">
        <x:is>
          <x:t xml:space="preserve">비행</x:t>
        </x:is>
      </x:c>
      <x:c r="H148" s="5" t="n">
        <x:v>1.7</x:v>
      </x:c>
      <x:c r="I148" s="5" t="n">
        <x:v>55.4</x:v>
      </x:c>
      <x:c r="J148" s="5" t="n">
        <x:v>580</x:v>
      </x:c>
      <x:c r="K148" s="5" t="n">
        <x:v>3</x:v>
      </x:c>
      <x:c r="L148" s="5" t="inlineStr">
        <x:is>
          <x:t xml:space="preserve">무진화</x:t>
        </x:is>
      </x:c>
      <x:c r="M148" s="5" t="n"/>
      <x:c r="N148" s="5" t="inlineStr">
        <x:is>
          <x:t xml:space="preserve">없음</x:t>
        </x:is>
      </x:c>
      <x:c r="O148" s="5" t="inlineStr">
        <x:is>
          <x:t xml:space="preserve">예</x:t>
        </x:is>
      </x:c>
      <x:c r="P148" s="5" t="inlineStr">
        <x:is>
          <x:t xml:space="preserve">cobbleverse:custom_spawn/articuno_tower</x:t>
        </x:is>
      </x:c>
      <x:c r="Q148" s="5" t="inlineStr">
        <x:is>
          <x:t xml:space="preserve">ultra-rare</x:t>
        </x:is>
      </x:c>
      <x:c r="R148" s="5" t="inlineStr">
        <x:is>
          <x:t xml:space="preserve">night</x:t>
        </x:is>
      </x:c>
      <x:c r="S148" s="5" t="inlineStr">
        <x:is>
          <x:t xml:space="preserve"/>
        </x:is>
      </x:c>
      <x:c r="T148" s="5" t="inlineStr">
        <x:is>
          <x:t xml:space="preserve">비행</x:t>
        </x:is>
      </x:c>
      <x:c r="U148" s="5" t="inlineStr">
        <x:is>
          <x:t xml:space="preserve">설원</x:t>
        </x:is>
      </x:c>
      <x:c r="V148" s="5" t="inlineStr">
        <x:is>
          <x:t xml:space="preserve">한랭</x:t>
        </x:is>
      </x:c>
      <x:c r="W148" s="5" t="inlineStr">
        <x:is>
          <x:t xml:space="preserve">보통</x:t>
        </x:is>
      </x:c>
      <x:c r="X148" s="5" t="inlineStr">
        <x:is>
          <x:t xml:space="preserve">무관</x:t>
        </x:is>
      </x:c>
      <x:c r="Y148" s="5" t="inlineStr">
        <x:is>
          <x:t xml:space="preserve">밤</x:t>
        </x:is>
      </x:c>
      <x:c r="Z148" s="5" t="inlineStr">
        <x:is>
          <x:t xml:space="preserve">전설</x:t>
        </x:is>
      </x:c>
      <x:c r="AA148" s="5" t="inlineStr">
        <x:is>
          <x:t xml:space="preserve">전설</x:t>
        </x:is>
      </x:c>
      <x:c r="AB148" s="5" t="inlineStr">
        <x:is>
          <x:t xml:space="preserve"/>
        </x:is>
      </x:c>
      <x:c r="AC148" s="5" t="inlineStr">
        <x:is>
          <x:t xml:space="preserve">gen1; kantonian_form; legendary</x:t>
        </x:is>
      </x:c>
      <x:c r="AD148" s="5" t="inlineStr">
        <x:is>
          <x:t xml:space="preserve">.tmp/cobblemon-1.7.3-source/common/src/main/resources/data/cobblemon/species/generation1/articuno.json</x:t>
        </x:is>
      </x:c>
    </x:row>
    <x:row r="149" ht="22" customHeight="1">
      <x:c r="A149" s="5" t="n">
        <x:v>145</x:v>
      </x:c>
      <x:c r="B149" s="5" t="inlineStr">
        <x:is>
          <x:t xml:space="preserve">썬더</x:t>
        </x:is>
      </x:c>
      <x:c r="C149" s="5" t="inlineStr">
        <x:is>
          <x:t xml:space="preserve">zapdos</x:t>
        </x:is>
      </x:c>
      <x:c r="D149" s="5" t="inlineStr">
        <x:is>
          <x:t xml:space="preserve">Zapdos</x:t>
        </x:is>
      </x:c>
      <x:c r="E149" s="5" t="n">
        <x:v>1</x:v>
      </x:c>
      <x:c r="F149" s="5" t="inlineStr">
        <x:is>
          <x:t xml:space="preserve">전기</x:t>
        </x:is>
      </x:c>
      <x:c r="G149" s="5" t="inlineStr">
        <x:is>
          <x:t xml:space="preserve">비행</x:t>
        </x:is>
      </x:c>
      <x:c r="H149" s="5" t="n">
        <x:v>1.6</x:v>
      </x:c>
      <x:c r="I149" s="5" t="n">
        <x:v>52.6</x:v>
      </x:c>
      <x:c r="J149" s="5" t="n">
        <x:v>580</x:v>
      </x:c>
      <x:c r="K149" s="5" t="n">
        <x:v>3</x:v>
      </x:c>
      <x:c r="L149" s="5" t="inlineStr">
        <x:is>
          <x:t xml:space="preserve">무진화</x:t>
        </x:is>
      </x:c>
      <x:c r="M149" s="5" t="n"/>
      <x:c r="N149" s="5" t="inlineStr">
        <x:is>
          <x:t xml:space="preserve">없음</x:t>
        </x:is>
      </x:c>
      <x:c r="O149" s="5" t="inlineStr">
        <x:is>
          <x:t xml:space="preserve">예</x:t>
        </x:is>
      </x:c>
      <x:c r="P149" s="5" t="inlineStr">
        <x:is>
          <x:t xml:space="preserve">cobbleverse:custom_spawn/zapdos_tower</x:t>
        </x:is>
      </x:c>
      <x:c r="Q149" s="5" t="inlineStr">
        <x:is>
          <x:t xml:space="preserve">ultra-rare</x:t>
        </x:is>
      </x:c>
      <x:c r="R149" s="5" t="inlineStr">
        <x:is>
          <x:t xml:space="preserve"/>
        </x:is>
      </x:c>
      <x:c r="S149" s="5" t="inlineStr">
        <x:is>
          <x:t xml:space="preserve">천둥=True</x:t>
        </x:is>
      </x:c>
      <x:c r="T149" s="5" t="inlineStr">
        <x:is>
          <x:t xml:space="preserve">비행</x:t>
        </x:is>
      </x:c>
      <x:c r="U149" s="5" t="inlineStr">
        <x:is>
          <x:t xml:space="preserve">개활지</x:t>
        </x:is>
      </x:c>
      <x:c r="V149" s="5" t="inlineStr">
        <x:is>
          <x:t xml:space="preserve">온대</x:t>
        </x:is>
      </x:c>
      <x:c r="W149" s="5" t="inlineStr">
        <x:is>
          <x:t xml:space="preserve">보통</x:t>
        </x:is>
      </x:c>
      <x:c r="X149" s="5" t="inlineStr">
        <x:is>
          <x:t xml:space="preserve">무관</x:t>
        </x:is>
      </x:c>
      <x:c r="Y149" s="5" t="inlineStr">
        <x:is>
          <x:t xml:space="preserve">무관</x:t>
        </x:is>
      </x:c>
      <x:c r="Z149" s="5" t="inlineStr">
        <x:is>
          <x:t xml:space="preserve">전설</x:t>
        </x:is>
      </x:c>
      <x:c r="AA149" s="5" t="inlineStr">
        <x:is>
          <x:t xml:space="preserve">전설</x:t>
        </x:is>
      </x:c>
      <x:c r="AB149" s="5" t="inlineStr">
        <x:is>
          <x:t xml:space="preserve"/>
        </x:is>
      </x:c>
      <x:c r="AC149" s="5" t="inlineStr">
        <x:is>
          <x:t xml:space="preserve">gen1; kantonian_form; legendary</x:t>
        </x:is>
      </x:c>
      <x:c r="AD149" s="5" t="inlineStr">
        <x:is>
          <x:t xml:space="preserve">.tmp/cobblemon-1.7.3-source/common/src/main/resources/data/cobblemon/species/generation1/zapdos.json</x:t>
        </x:is>
      </x:c>
    </x:row>
    <x:row r="150" ht="22" customHeight="1">
      <x:c r="A150" s="5" t="n">
        <x:v>146</x:v>
      </x:c>
      <x:c r="B150" s="5" t="inlineStr">
        <x:is>
          <x:t xml:space="preserve">파이어</x:t>
        </x:is>
      </x:c>
      <x:c r="C150" s="5" t="inlineStr">
        <x:is>
          <x:t xml:space="preserve">moltres</x:t>
        </x:is>
      </x:c>
      <x:c r="D150" s="5" t="inlineStr">
        <x:is>
          <x:t xml:space="preserve">Moltres</x:t>
        </x:is>
      </x:c>
      <x:c r="E150" s="5" t="n">
        <x:v>1</x:v>
      </x:c>
      <x:c r="F150" s="5" t="inlineStr">
        <x:is>
          <x:t xml:space="preserve">불꽃</x:t>
        </x:is>
      </x:c>
      <x:c r="G150" s="5" t="inlineStr">
        <x:is>
          <x:t xml:space="preserve">비행</x:t>
        </x:is>
      </x:c>
      <x:c r="H150" s="5" t="n">
        <x:v>2</x:v>
      </x:c>
      <x:c r="I150" s="5" t="n">
        <x:v>60</x:v>
      </x:c>
      <x:c r="J150" s="5" t="n">
        <x:v>580</x:v>
      </x:c>
      <x:c r="K150" s="5" t="n">
        <x:v>3</x:v>
      </x:c>
      <x:c r="L150" s="5" t="inlineStr">
        <x:is>
          <x:t xml:space="preserve">무진화</x:t>
        </x:is>
      </x:c>
      <x:c r="M150" s="5" t="n"/>
      <x:c r="N150" s="5" t="inlineStr">
        <x:is>
          <x:t xml:space="preserve">없음</x:t>
        </x:is>
      </x:c>
      <x:c r="O150" s="5" t="inlineStr">
        <x:is>
          <x:t xml:space="preserve">예</x:t>
        </x:is>
      </x:c>
      <x:c r="P150" s="5" t="inlineStr">
        <x:is>
          <x:t xml:space="preserve">cobbleverse:custom_spawn/moltres_tower</x:t>
        </x:is>
      </x:c>
      <x:c r="Q150" s="5" t="inlineStr">
        <x:is>
          <x:t xml:space="preserve">ultra-rare</x:t>
        </x:is>
      </x:c>
      <x:c r="R150" s="5" t="inlineStr">
        <x:is>
          <x:t xml:space="preserve">day</x:t>
        </x:is>
      </x:c>
      <x:c r="S150" s="5" t="inlineStr">
        <x:is>
          <x:t xml:space="preserve"/>
        </x:is>
      </x:c>
      <x:c r="T150" s="5" t="inlineStr">
        <x:is>
          <x:t xml:space="preserve">비행</x:t>
        </x:is>
      </x:c>
      <x:c r="U150" s="5" t="inlineStr">
        <x:is>
          <x:t xml:space="preserve">개활지</x:t>
        </x:is>
      </x:c>
      <x:c r="V150" s="5" t="inlineStr">
        <x:is>
          <x:t xml:space="preserve">고온</x:t>
        </x:is>
      </x:c>
      <x:c r="W150" s="5" t="inlineStr">
        <x:is>
          <x:t xml:space="preserve">보통</x:t>
        </x:is>
      </x:c>
      <x:c r="X150" s="5" t="inlineStr">
        <x:is>
          <x:t xml:space="preserve">무관</x:t>
        </x:is>
      </x:c>
      <x:c r="Y150" s="5" t="inlineStr">
        <x:is>
          <x:t xml:space="preserve">낮</x:t>
        </x:is>
      </x:c>
      <x:c r="Z150" s="5" t="inlineStr">
        <x:is>
          <x:t xml:space="preserve">전설</x:t>
        </x:is>
      </x:c>
      <x:c r="AA150" s="5" t="inlineStr">
        <x:is>
          <x:t xml:space="preserve">전설</x:t>
        </x:is>
      </x:c>
      <x:c r="AB150" s="5" t="inlineStr">
        <x:is>
          <x:t xml:space="preserve"/>
        </x:is>
      </x:c>
      <x:c r="AC150" s="5" t="inlineStr">
        <x:is>
          <x:t xml:space="preserve">gen1; kantonian_form; legendary</x:t>
        </x:is>
      </x:c>
      <x:c r="AD150" s="5" t="inlineStr">
        <x:is>
          <x:t xml:space="preserve">.tmp/cobblemon-1.7.3-source/common/src/main/resources/data/cobblemon/species/generation1/moltres.json</x:t>
        </x:is>
      </x:c>
    </x:row>
    <x:row r="151" ht="22" customHeight="1">
      <x:c r="A151" s="5" t="n">
        <x:v>147</x:v>
      </x:c>
      <x:c r="B151" s="5" t="inlineStr">
        <x:is>
          <x:t xml:space="preserve">미뇽</x:t>
        </x:is>
      </x:c>
      <x:c r="C151" s="5" t="inlineStr">
        <x:is>
          <x:t xml:space="preserve">dratini</x:t>
        </x:is>
      </x:c>
      <x:c r="D151" s="5" t="inlineStr">
        <x:is>
          <x:t xml:space="preserve">Dratini</x:t>
        </x:is>
      </x:c>
      <x:c r="E151" s="5" t="n">
        <x:v>1</x:v>
      </x:c>
      <x:c r="F151" s="5" t="inlineStr">
        <x:is>
          <x:t xml:space="preserve">드래곤</x:t>
        </x:is>
      </x:c>
      <x:c r="G151" s="5" t="inlineStr">
        <x:is>
          <x:t xml:space="preserve"/>
        </x:is>
      </x:c>
      <x:c r="H151" s="5" t="n">
        <x:v>1.8</x:v>
      </x:c>
      <x:c r="I151" s="5" t="n">
        <x:v>3.3</x:v>
      </x:c>
      <x:c r="J151" s="5" t="n">
        <x:v>300</x:v>
      </x:c>
      <x:c r="K151" s="5" t="n">
        <x:v>45</x:v>
      </x:c>
      <x:c r="L151" s="5" t="inlineStr">
        <x:is>
          <x:t xml:space="preserve">기본</x:t>
        </x:is>
      </x:c>
      <x:c r="M151" s="5" t="n">
        <x:v>55</x:v>
      </x:c>
      <x:c r="N151" s="5" t="inlineStr">
        <x:is>
          <x:t xml:space="preserve">레벨</x:t>
        </x:is>
      </x:c>
      <x:c r="O151" s="5" t="inlineStr">
        <x:is>
          <x:t xml:space="preserve">예</x:t>
        </x:is>
      </x:c>
      <x:c r="P151" s="5" t="inlineStr">
        <x:is>
          <x:t xml:space="preserve">#aether:is_aether; #cobblemon:is_magical; #cobblemon:is_ocean; #cobblemon:is_overworld</x:t>
        </x:is>
      </x:c>
      <x:c r="Q151" s="5" t="inlineStr">
        <x:is>
          <x:t xml:space="preserve">rare; ultra-rare; uncommon</x:t>
        </x:is>
      </x:c>
      <x:c r="R151" s="5" t="inlineStr">
        <x:is>
          <x:t xml:space="preserve"/>
        </x:is>
      </x:c>
      <x:c r="S151" s="5" t="inlineStr">
        <x:is>
          <x:t xml:space="preserve"/>
        </x:is>
      </x:c>
      <x:c r="T151" s="5" t="inlineStr">
        <x:is>
          <x:t xml:space="preserve">해양</x:t>
        </x:is>
      </x:c>
      <x:c r="U151" s="5" t="inlineStr">
        <x:is>
          <x:t xml:space="preserve">해안·해양</x:t>
        </x:is>
      </x:c>
      <x:c r="V151" s="5" t="inlineStr">
        <x:is>
          <x:t xml:space="preserve">온대</x:t>
        </x:is>
      </x:c>
      <x:c r="W151" s="5" t="inlineStr">
        <x:is>
          <x:t xml:space="preserve">수중</x:t>
        </x:is>
      </x:c>
      <x:c r="X151" s="5" t="inlineStr">
        <x:is>
          <x:t xml:space="preserve">비</x:t>
        </x:is>
      </x:c>
      <x:c r="Y151" s="5" t="inlineStr">
        <x:is>
          <x:t xml:space="preserve">무관</x:t>
        </x:is>
      </x:c>
      <x:c r="Z151" s="5" t="inlineStr">
        <x:is>
          <x:t xml:space="preserve">보통</x:t>
        </x:is>
      </x:c>
      <x:c r="AA151" s="5" t="inlineStr">
        <x:is>
          <x:t xml:space="preserve">없음</x:t>
        </x:is>
      </x:c>
      <x:c r="AB151" s="5" t="inlineStr">
        <x:is>
          <x:t xml:space="preserve">해양</x:t>
        </x:is>
      </x:c>
      <x:c r="AC151" s="5" t="inlineStr">
        <x:is>
          <x:t xml:space="preserve">gen1</x:t>
        </x:is>
      </x:c>
      <x:c r="AD151" s="5" t="inlineStr">
        <x:is>
          <x:t xml:space="preserve">.tmp/cobblemon-1.7.3-source/common/src/main/resources/data/cobblemon/species/generation1/dratini.json</x:t>
        </x:is>
      </x:c>
    </x:row>
    <x:row r="152" ht="22" customHeight="1">
      <x:c r="A152" s="5" t="n">
        <x:v>148</x:v>
      </x:c>
      <x:c r="B152" s="5" t="inlineStr">
        <x:is>
          <x:t xml:space="preserve">신뇽</x:t>
        </x:is>
      </x:c>
      <x:c r="C152" s="5" t="inlineStr">
        <x:is>
          <x:t xml:space="preserve">dragonair</x:t>
        </x:is>
      </x:c>
      <x:c r="D152" s="5" t="inlineStr">
        <x:is>
          <x:t xml:space="preserve">Dragonair</x:t>
        </x:is>
      </x:c>
      <x:c r="E152" s="5" t="n">
        <x:v>1</x:v>
      </x:c>
      <x:c r="F152" s="5" t="inlineStr">
        <x:is>
          <x:t xml:space="preserve">드래곤</x:t>
        </x:is>
      </x:c>
      <x:c r="G152" s="5" t="inlineStr">
        <x:is>
          <x:t xml:space="preserve"/>
        </x:is>
      </x:c>
      <x:c r="H152" s="5" t="n">
        <x:v>4</x:v>
      </x:c>
      <x:c r="I152" s="5" t="n">
        <x:v>16.5</x:v>
      </x:c>
      <x:c r="J152" s="5" t="n">
        <x:v>420</x:v>
      </x:c>
      <x:c r="K152" s="5" t="n">
        <x:v>45</x:v>
      </x:c>
      <x:c r="L152" s="5" t="inlineStr">
        <x:is>
          <x:t xml:space="preserve">중간</x:t>
        </x:is>
      </x:c>
      <x:c r="M152" s="5" t="n">
        <x:v>55</x:v>
      </x:c>
      <x:c r="N152" s="5" t="inlineStr">
        <x:is>
          <x:t xml:space="preserve">레벨</x:t>
        </x:is>
      </x:c>
      <x:c r="O152" s="5" t="inlineStr">
        <x:is>
          <x:t xml:space="preserve">예</x:t>
        </x:is>
      </x:c>
      <x:c r="P152" s="5" t="inlineStr">
        <x:is>
          <x:t xml:space="preserve">#aether:is_aether; #cobblemon:is_magical; #cobblemon:is_ocean; #cobblemon:is_overworld</x:t>
        </x:is>
      </x:c>
      <x:c r="Q152" s="5" t="inlineStr">
        <x:is>
          <x:t xml:space="preserve">rare; ultra-rare; uncommon</x:t>
        </x:is>
      </x:c>
      <x:c r="R152" s="5" t="inlineStr">
        <x:is>
          <x:t xml:space="preserve"/>
        </x:is>
      </x:c>
      <x:c r="S152" s="5" t="inlineStr">
        <x:is>
          <x:t xml:space="preserve"/>
        </x:is>
      </x:c>
      <x:c r="T152" s="5" t="inlineStr">
        <x:is>
          <x:t xml:space="preserve">해양</x:t>
        </x:is>
      </x:c>
      <x:c r="U152" s="5" t="inlineStr">
        <x:is>
          <x:t xml:space="preserve">해안·해양</x:t>
        </x:is>
      </x:c>
      <x:c r="V152" s="5" t="inlineStr">
        <x:is>
          <x:t xml:space="preserve">온대</x:t>
        </x:is>
      </x:c>
      <x:c r="W152" s="5" t="inlineStr">
        <x:is>
          <x:t xml:space="preserve">수중</x:t>
        </x:is>
      </x:c>
      <x:c r="X152" s="5" t="inlineStr">
        <x:is>
          <x:t xml:space="preserve">비</x:t>
        </x:is>
      </x:c>
      <x:c r="Y152" s="5" t="inlineStr">
        <x:is>
          <x:t xml:space="preserve">무관</x:t>
        </x:is>
      </x:c>
      <x:c r="Z152" s="5" t="inlineStr">
        <x:is>
          <x:t xml:space="preserve">보통</x:t>
        </x:is>
      </x:c>
      <x:c r="AA152" s="5" t="inlineStr">
        <x:is>
          <x:t xml:space="preserve">없음</x:t>
        </x:is>
      </x:c>
      <x:c r="AB152" s="5" t="inlineStr">
        <x:is>
          <x:t xml:space="preserve">해양</x:t>
        </x:is>
      </x:c>
      <x:c r="AC152" s="5" t="inlineStr">
        <x:is>
          <x:t xml:space="preserve">gen1</x:t>
        </x:is>
      </x:c>
      <x:c r="AD152" s="5" t="inlineStr">
        <x:is>
          <x:t xml:space="preserve">.tmp/cobblemon-1.7.3-source/common/src/main/resources/data/cobblemon/species/generation1/dragonair.json</x:t>
        </x:is>
      </x:c>
    </x:row>
    <x:row r="153" ht="22" customHeight="1">
      <x:c r="A153" s="5" t="n">
        <x:v>149</x:v>
      </x:c>
      <x:c r="B153" s="5" t="inlineStr">
        <x:is>
          <x:t xml:space="preserve">망나뇽</x:t>
        </x:is>
      </x:c>
      <x:c r="C153" s="5" t="inlineStr">
        <x:is>
          <x:t xml:space="preserve">dragonite</x:t>
        </x:is>
      </x:c>
      <x:c r="D153" s="5" t="inlineStr">
        <x:is>
          <x:t xml:space="preserve">Dragonite</x:t>
        </x:is>
      </x:c>
      <x:c r="E153" s="5" t="n">
        <x:v>1</x:v>
      </x:c>
      <x:c r="F153" s="5" t="inlineStr">
        <x:is>
          <x:t xml:space="preserve">드래곤</x:t>
        </x:is>
      </x:c>
      <x:c r="G153" s="5" t="inlineStr">
        <x:is>
          <x:t xml:space="preserve">비행</x:t>
        </x:is>
      </x:c>
      <x:c r="H153" s="5" t="n">
        <x:v>2.2</x:v>
      </x:c>
      <x:c r="I153" s="5" t="n">
        <x:v>210</x:v>
      </x:c>
      <x:c r="J153" s="5" t="n">
        <x:v>600</x:v>
      </x:c>
      <x:c r="K153" s="5" t="n">
        <x:v>45</x:v>
      </x:c>
      <x:c r="L153" s="5" t="inlineStr">
        <x:is>
          <x:t xml:space="preserve">최종</x:t>
        </x:is>
      </x:c>
      <x:c r="M153" s="5" t="n">
        <x:v>55</x:v>
      </x:c>
      <x:c r="N153" s="5" t="inlineStr">
        <x:is>
          <x:t xml:space="preserve">레벨</x:t>
        </x:is>
      </x:c>
      <x:c r="O153" s="5" t="inlineStr">
        <x:is>
          <x:t xml:space="preserve">예</x:t>
        </x:is>
      </x:c>
      <x:c r="P153" s="5" t="inlineStr">
        <x:is>
          <x:t xml:space="preserve">#aether:is_aether; #cobblemon:is_magical; #cobblemon:is_ocean; #cobblemon:is_overworld; #cobblemon:is_sky</x:t>
        </x:is>
      </x:c>
      <x:c r="Q153" s="5" t="inlineStr">
        <x:is>
          <x:t xml:space="preserve">rare; ultra-rare; uncommon</x:t>
        </x:is>
      </x:c>
      <x:c r="R153" s="5" t="inlineStr">
        <x:is>
          <x:t xml:space="preserve"/>
        </x:is>
      </x:c>
      <x:c r="S153" s="5" t="inlineStr">
        <x:is>
          <x:t xml:space="preserve">비=True</x:t>
        </x:is>
      </x:c>
      <x:c r="T153" s="5" t="inlineStr">
        <x:is>
          <x:t xml:space="preserve">해양</x:t>
        </x:is>
      </x:c>
      <x:c r="U153" s="5" t="inlineStr">
        <x:is>
          <x:t xml:space="preserve">해안·해양</x:t>
        </x:is>
      </x:c>
      <x:c r="V153" s="5" t="inlineStr">
        <x:is>
          <x:t xml:space="preserve">온대</x:t>
        </x:is>
      </x:c>
      <x:c r="W153" s="5" t="inlineStr">
        <x:is>
          <x:t xml:space="preserve">수중</x:t>
        </x:is>
      </x:c>
      <x:c r="X153" s="5" t="inlineStr">
        <x:is>
          <x:t xml:space="preserve">비</x:t>
        </x:is>
      </x:c>
      <x:c r="Y153" s="5" t="inlineStr">
        <x:is>
          <x:t xml:space="preserve">무관</x:t>
        </x:is>
      </x:c>
      <x:c r="Z153" s="5" t="inlineStr">
        <x:is>
          <x:t xml:space="preserve">보통</x:t>
        </x:is>
      </x:c>
      <x:c r="AA153" s="5" t="inlineStr">
        <x:is>
          <x:t xml:space="preserve">없음</x:t>
        </x:is>
      </x:c>
      <x:c r="AB153" s="5" t="inlineStr">
        <x:is>
          <x:t xml:space="preserve">해양</x:t>
        </x:is>
      </x:c>
      <x:c r="AC153" s="5" t="inlineStr">
        <x:is>
          <x:t xml:space="preserve">gen1; powerhouse</x:t>
        </x:is>
      </x:c>
      <x:c r="AD153" s="5" t="inlineStr">
        <x:is>
          <x:t xml:space="preserve">.tmp/cobblemon-1.7.3-source/common/src/main/resources/data/cobblemon/species/generation1/dragonite.json</x:t>
        </x:is>
      </x:c>
    </x:row>
    <x:row r="154" ht="22" customHeight="1">
      <x:c r="A154" s="5" t="n">
        <x:v>150</x:v>
      </x:c>
      <x:c r="B154" s="5" t="inlineStr">
        <x:is>
          <x:t xml:space="preserve">뮤츠</x:t>
        </x:is>
      </x:c>
      <x:c r="C154" s="5" t="inlineStr">
        <x:is>
          <x:t xml:space="preserve">mewtwo</x:t>
        </x:is>
      </x:c>
      <x:c r="D154" s="5" t="inlineStr">
        <x:is>
          <x:t xml:space="preserve">Mewtwo</x:t>
        </x:is>
      </x:c>
      <x:c r="E154" s="5" t="n">
        <x:v>1</x:v>
      </x:c>
      <x:c r="F154" s="5" t="inlineStr">
        <x:is>
          <x:t xml:space="preserve">에스퍼</x:t>
        </x:is>
      </x:c>
      <x:c r="G154" s="5" t="inlineStr">
        <x:is>
          <x:t xml:space="preserve"/>
        </x:is>
      </x:c>
      <x:c r="H154" s="5" t="n">
        <x:v>2</x:v>
      </x:c>
      <x:c r="I154" s="5" t="n">
        <x:v>122</x:v>
      </x:c>
      <x:c r="J154" s="5" t="n">
        <x:v>680</x:v>
      </x:c>
      <x:c r="K154" s="5" t="n">
        <x:v>3</x:v>
      </x:c>
      <x:c r="L154" s="5" t="inlineStr">
        <x:is>
          <x:t xml:space="preserve">무진화</x:t>
        </x:is>
      </x:c>
      <x:c r="M154" s="5" t="n"/>
      <x:c r="N154" s="5" t="inlineStr">
        <x:is>
          <x:t xml:space="preserve">없음</x:t>
        </x:is>
      </x:c>
      <x:c r="O154" s="5" t="inlineStr">
        <x:is>
          <x:t xml:space="preserve">예</x:t>
        </x:is>
      </x:c>
      <x:c r="P154" s="5" t="inlineStr">
        <x:is>
          <x:t xml:space="preserve">cobbleverse:custom_spawn/team_rocket_radio</x:t>
        </x:is>
      </x:c>
      <x:c r="Q154" s="5" t="inlineStr">
        <x:is>
          <x:t xml:space="preserve">ultra-rare</x:t>
        </x:is>
      </x:c>
      <x:c r="R154" s="5" t="inlineStr">
        <x:is>
          <x:t xml:space="preserve"/>
        </x:is>
      </x:c>
      <x:c r="S154" s="5" t="inlineStr">
        <x:is>
          <x:t xml:space="preserve"/>
        </x:is>
      </x:c>
      <x:c r="T154" s="5" t="inlineStr">
        <x:is>
          <x:t xml:space="preserve">인공</x:t>
        </x:is>
      </x:c>
      <x:c r="U154" s="5" t="inlineStr">
        <x:is>
          <x:t xml:space="preserve">도시</x:t>
        </x:is>
      </x:c>
      <x:c r="V154" s="5" t="inlineStr">
        <x:is>
          <x:t xml:space="preserve">온대</x:t>
        </x:is>
      </x:c>
      <x:c r="W154" s="5" t="inlineStr">
        <x:is>
          <x:t xml:space="preserve">보통</x:t>
        </x:is>
      </x:c>
      <x:c r="X154" s="5" t="inlineStr">
        <x:is>
          <x:t xml:space="preserve">무관</x:t>
        </x:is>
      </x:c>
      <x:c r="Y154" s="5" t="inlineStr">
        <x:is>
          <x:t xml:space="preserve">무관</x:t>
        </x:is>
      </x:c>
      <x:c r="Z154" s="5" t="inlineStr">
        <x:is>
          <x:t xml:space="preserve">전설</x:t>
        </x:is>
      </x:c>
      <x:c r="AA154" s="5" t="inlineStr">
        <x:is>
          <x:t xml:space="preserve">전설</x:t>
        </x:is>
      </x:c>
      <x:c r="AB154" s="5" t="inlineStr">
        <x:is>
          <x:t xml:space="preserve"/>
        </x:is>
      </x:c>
      <x:c r="AC154" s="5" t="inlineStr">
        <x:is>
          <x:t xml:space="preserve">gen1; legendary; restricted</x:t>
        </x:is>
      </x:c>
      <x:c r="AD154" s="5" t="inlineStr">
        <x:is>
          <x:t xml:space="preserve">.tmp/cobblemon-1.7.3-source/common/src/main/resources/data/cobblemon/species/generation1/mewtwo.json</x:t>
        </x:is>
      </x:c>
    </x:row>
    <x:row r="155" ht="22" customHeight="1">
      <x:c r="A155" s="5" t="n">
        <x:v>151</x:v>
      </x:c>
      <x:c r="B155" s="5" t="inlineStr">
        <x:is>
          <x:t xml:space="preserve">뮤</x:t>
        </x:is>
      </x:c>
      <x:c r="C155" s="5" t="inlineStr">
        <x:is>
          <x:t xml:space="preserve">mew</x:t>
        </x:is>
      </x:c>
      <x:c r="D155" s="5" t="inlineStr">
        <x:is>
          <x:t xml:space="preserve">Mew</x:t>
        </x:is>
      </x:c>
      <x:c r="E155" s="5" t="n">
        <x:v>1</x:v>
      </x:c>
      <x:c r="F155" s="5" t="inlineStr">
        <x:is>
          <x:t xml:space="preserve">에스퍼</x:t>
        </x:is>
      </x:c>
      <x:c r="G155" s="5" t="inlineStr">
        <x:is>
          <x:t xml:space="preserve"/>
        </x:is>
      </x:c>
      <x:c r="H155" s="5" t="n">
        <x:v>0.4</x:v>
      </x:c>
      <x:c r="I155" s="5" t="n">
        <x:v>4</x:v>
      </x:c>
      <x:c r="J155" s="5" t="n">
        <x:v>600</x:v>
      </x:c>
      <x:c r="K155" s="5" t="n">
        <x:v>45</x:v>
      </x:c>
      <x:c r="L155" s="5" t="inlineStr">
        <x:is>
          <x:t xml:space="preserve">무진화</x:t>
        </x:is>
      </x:c>
      <x:c r="M155" s="5" t="n"/>
      <x:c r="N155" s="5" t="inlineStr">
        <x:is>
          <x:t xml:space="preserve">없음</x:t>
        </x:is>
      </x:c>
      <x:c r="O155" s="5" t="inlineStr">
        <x:is>
          <x:t xml:space="preserve">예</x:t>
        </x:is>
      </x:c>
      <x:c r="P155" s="5" t="inlineStr">
        <x:is>
          <x:t xml:space="preserve">cobbleverse:custom_spawn/origin_temple</x:t>
        </x:is>
      </x:c>
      <x:c r="Q155" s="5" t="inlineStr">
        <x:is>
          <x:t xml:space="preserve">ultra-rare</x:t>
        </x:is>
      </x:c>
      <x:c r="R155" s="5" t="inlineStr">
        <x:is>
          <x:t xml:space="preserve"/>
        </x:is>
      </x:c>
      <x:c r="S155" s="5" t="inlineStr">
        <x:is>
          <x:t xml:space="preserve"/>
        </x:is>
      </x:c>
      <x:c r="T155" s="5" t="inlineStr">
        <x:is>
          <x:t xml:space="preserve">비행</x:t>
        </x:is>
      </x:c>
      <x:c r="U155" s="5" t="inlineStr">
        <x:is>
          <x:t xml:space="preserve">특수</x:t>
        </x:is>
      </x:c>
      <x:c r="V155" s="5" t="inlineStr">
        <x:is>
          <x:t xml:space="preserve">온대</x:t>
        </x:is>
      </x:c>
      <x:c r="W155" s="5" t="inlineStr">
        <x:is>
          <x:t xml:space="preserve">보통</x:t>
        </x:is>
      </x:c>
      <x:c r="X155" s="5" t="inlineStr">
        <x:is>
          <x:t xml:space="preserve">무관</x:t>
        </x:is>
      </x:c>
      <x:c r="Y155" s="5" t="inlineStr">
        <x:is>
          <x:t xml:space="preserve">무관</x:t>
        </x:is>
      </x:c>
      <x:c r="Z155" s="5" t="inlineStr">
        <x:is>
          <x:t xml:space="preserve">전설</x:t>
        </x:is>
      </x:c>
      <x:c r="AA155" s="5" t="inlineStr">
        <x:is>
          <x:t xml:space="preserve">전설</x:t>
        </x:is>
      </x:c>
      <x:c r="AB155" s="5" t="inlineStr">
        <x:is>
          <x:t xml:space="preserve">특수</x:t>
        </x:is>
      </x:c>
      <x:c r="AC155" s="5" t="inlineStr">
        <x:is>
          <x:t xml:space="preserve">gen1; mythical</x:t>
        </x:is>
      </x:c>
      <x:c r="AD155" s="5" t="inlineStr">
        <x:is>
          <x:t xml:space="preserve">.tmp/cobblemon-1.7.3-source/common/src/main/resources/data/cobblemon/species/generation1/mew.json</x:t>
        </x:is>
      </x:c>
    </x:row>
    <x:row r="156" ht="22" customHeight="1">
      <x:c r="A156" s="5" t="n">
        <x:v>152</x:v>
      </x:c>
      <x:c r="B156" s="5" t="inlineStr">
        <x:is>
          <x:t xml:space="preserve">치코리타</x:t>
        </x:is>
      </x:c>
      <x:c r="C156" s="5" t="inlineStr">
        <x:is>
          <x:t xml:space="preserve">chikorita</x:t>
        </x:is>
      </x:c>
      <x:c r="D156" s="5" t="inlineStr">
        <x:is>
          <x:t xml:space="preserve">Chikorita</x:t>
        </x:is>
      </x:c>
      <x:c r="E156" s="5" t="n">
        <x:v>2</x:v>
      </x:c>
      <x:c r="F156" s="5" t="inlineStr">
        <x:is>
          <x:t xml:space="preserve">풀</x:t>
        </x:is>
      </x:c>
      <x:c r="G156" s="5" t="inlineStr">
        <x:is>
          <x:t xml:space="preserve"/>
        </x:is>
      </x:c>
      <x:c r="H156" s="5" t="n">
        <x:v>0.9</x:v>
      </x:c>
      <x:c r="I156" s="5" t="n">
        <x:v>6.4</x:v>
      </x:c>
      <x:c r="J156" s="5" t="n">
        <x:v>318</x:v>
      </x:c>
      <x:c r="K156" s="5" t="n">
        <x:v>45</x:v>
      </x:c>
      <x:c r="L156" s="5" t="inlineStr">
        <x:is>
          <x:t xml:space="preserve">기본</x:t>
        </x:is>
      </x:c>
      <x:c r="M156" s="5" t="n">
        <x:v>32</x:v>
      </x:c>
      <x:c r="N156" s="5" t="inlineStr">
        <x:is>
          <x:t xml:space="preserve">레벨</x:t>
        </x:is>
      </x:c>
      <x:c r="O156" s="5" t="inlineStr">
        <x:is>
          <x:t xml:space="preserve">예</x:t>
        </x:is>
      </x:c>
      <x:c r="P156" s="5" t="inlineStr">
        <x:is>
          <x:t xml:space="preserve">#aether:is_aether; #cobblemon:is_floral; the_bumblezone:floral_meadow</x:t>
        </x:is>
      </x:c>
      <x:c r="Q156" s="5" t="inlineStr">
        <x:is>
          <x:t xml:space="preserve">ultra-rare</x:t>
        </x:is>
      </x:c>
      <x:c r="R156" s="5" t="inlineStr">
        <x:is>
          <x:t xml:space="preserve"/>
        </x:is>
      </x:c>
      <x:c r="S156" s="5" t="inlineStr">
        <x:is>
          <x:t xml:space="preserve"/>
        </x:is>
      </x:c>
      <x:c r="T156" s="5" t="inlineStr">
        <x:is>
          <x:t xml:space="preserve">육상</x:t>
        </x:is>
      </x:c>
      <x:c r="U156" s="5" t="inlineStr">
        <x:is>
          <x:t xml:space="preserve">개활지</x:t>
        </x:is>
      </x:c>
      <x:c r="V156" s="5" t="inlineStr">
        <x:is>
          <x:t xml:space="preserve">온대</x:t>
        </x:is>
      </x:c>
      <x:c r="W156" s="5" t="inlineStr">
        <x:is>
          <x:t xml:space="preserve">보통</x:t>
        </x:is>
      </x:c>
      <x:c r="X156" s="5" t="inlineStr">
        <x:is>
          <x:t xml:space="preserve">무관</x:t>
        </x:is>
      </x:c>
      <x:c r="Y156" s="5" t="inlineStr">
        <x:is>
          <x:t xml:space="preserve">무관</x:t>
        </x:is>
      </x:c>
      <x:c r="Z156" s="5" t="inlineStr">
        <x:is>
          <x:t xml:space="preserve">희귀</x:t>
        </x:is>
      </x:c>
      <x:c r="AA156" s="5" t="inlineStr">
        <x:is>
          <x:t xml:space="preserve">없음</x:t>
        </x:is>
      </x:c>
      <x:c r="AB156" s="5" t="inlineStr">
        <x:is>
          <x:t xml:space="preserve">평원</x:t>
        </x:is>
      </x:c>
      <x:c r="AC156" s="5" t="inlineStr">
        <x:is>
          <x:t xml:space="preserve">gen2; starter</x:t>
        </x:is>
      </x:c>
      <x:c r="AD156" s="5" t="inlineStr">
        <x:is>
          <x:t xml:space="preserve">.tmp/cobblemon-1.7.3-source/common/src/main/resources/data/cobblemon/species/generation2/chikorita.json</x:t>
        </x:is>
      </x:c>
    </x:row>
    <x:row r="157" ht="22" customHeight="1">
      <x:c r="A157" s="5" t="n">
        <x:v>153</x:v>
      </x:c>
      <x:c r="B157" s="5" t="inlineStr">
        <x:is>
          <x:t xml:space="preserve">베이리프</x:t>
        </x:is>
      </x:c>
      <x:c r="C157" s="5" t="inlineStr">
        <x:is>
          <x:t xml:space="preserve">bayleef</x:t>
        </x:is>
      </x:c>
      <x:c r="D157" s="5" t="inlineStr">
        <x:is>
          <x:t xml:space="preserve">Bayleef</x:t>
        </x:is>
      </x:c>
      <x:c r="E157" s="5" t="n">
        <x:v>2</x:v>
      </x:c>
      <x:c r="F157" s="5" t="inlineStr">
        <x:is>
          <x:t xml:space="preserve">풀</x:t>
        </x:is>
      </x:c>
      <x:c r="G157" s="5" t="inlineStr">
        <x:is>
          <x:t xml:space="preserve"/>
        </x:is>
      </x:c>
      <x:c r="H157" s="5" t="n">
        <x:v>1.2</x:v>
      </x:c>
      <x:c r="I157" s="5" t="n">
        <x:v>15.8</x:v>
      </x:c>
      <x:c r="J157" s="5" t="n">
        <x:v>405</x:v>
      </x:c>
      <x:c r="K157" s="5" t="n">
        <x:v>45</x:v>
      </x:c>
      <x:c r="L157" s="5" t="inlineStr">
        <x:is>
          <x:t xml:space="preserve">중간</x:t>
        </x:is>
      </x:c>
      <x:c r="M157" s="5" t="n">
        <x:v>32</x:v>
      </x:c>
      <x:c r="N157" s="5" t="inlineStr">
        <x:is>
          <x:t xml:space="preserve">레벨</x:t>
        </x:is>
      </x:c>
      <x:c r="O157" s="5" t="inlineStr">
        <x:is>
          <x:t xml:space="preserve">예</x:t>
        </x:is>
      </x:c>
      <x:c r="P157" s="5" t="inlineStr">
        <x:is>
          <x:t xml:space="preserve">#aether:is_aether; #cobblemon:is_floral; the_bumblezone:floral_meadow</x:t>
        </x:is>
      </x:c>
      <x:c r="Q157" s="5" t="inlineStr">
        <x:is>
          <x:t xml:space="preserve">ultra-rare</x:t>
        </x:is>
      </x:c>
      <x:c r="R157" s="5" t="inlineStr">
        <x:is>
          <x:t xml:space="preserve"/>
        </x:is>
      </x:c>
      <x:c r="S157" s="5" t="inlineStr">
        <x:is>
          <x:t xml:space="preserve"/>
        </x:is>
      </x:c>
      <x:c r="T157" s="5" t="inlineStr">
        <x:is>
          <x:t xml:space="preserve">육상</x:t>
        </x:is>
      </x:c>
      <x:c r="U157" s="5" t="inlineStr">
        <x:is>
          <x:t xml:space="preserve">개활지</x:t>
        </x:is>
      </x:c>
      <x:c r="V157" s="5" t="inlineStr">
        <x:is>
          <x:t xml:space="preserve">온대</x:t>
        </x:is>
      </x:c>
      <x:c r="W157" s="5" t="inlineStr">
        <x:is>
          <x:t xml:space="preserve">보통</x:t>
        </x:is>
      </x:c>
      <x:c r="X157" s="5" t="inlineStr">
        <x:is>
          <x:t xml:space="preserve">무관</x:t>
        </x:is>
      </x:c>
      <x:c r="Y157" s="5" t="inlineStr">
        <x:is>
          <x:t xml:space="preserve">무관</x:t>
        </x:is>
      </x:c>
      <x:c r="Z157" s="5" t="inlineStr">
        <x:is>
          <x:t xml:space="preserve">희귀</x:t>
        </x:is>
      </x:c>
      <x:c r="AA157" s="5" t="inlineStr">
        <x:is>
          <x:t xml:space="preserve">없음</x:t>
        </x:is>
      </x:c>
      <x:c r="AB157" s="5" t="inlineStr">
        <x:is>
          <x:t xml:space="preserve">평원</x:t>
        </x:is>
      </x:c>
      <x:c r="AC157" s="5" t="inlineStr">
        <x:is>
          <x:t xml:space="preserve">gen2</x:t>
        </x:is>
      </x:c>
      <x:c r="AD157" s="5" t="inlineStr">
        <x:is>
          <x:t xml:space="preserve">.tmp/cobblemon-1.7.3-source/common/src/main/resources/data/cobblemon/species/generation2/bayleef.json</x:t>
        </x:is>
      </x:c>
    </x:row>
    <x:row r="158" ht="22" customHeight="1">
      <x:c r="A158" s="5" t="n">
        <x:v>154</x:v>
      </x:c>
      <x:c r="B158" s="5" t="inlineStr">
        <x:is>
          <x:t xml:space="preserve">메가니움</x:t>
        </x:is>
      </x:c>
      <x:c r="C158" s="5" t="inlineStr">
        <x:is>
          <x:t xml:space="preserve">meganium</x:t>
        </x:is>
      </x:c>
      <x:c r="D158" s="5" t="inlineStr">
        <x:is>
          <x:t xml:space="preserve">Meganium</x:t>
        </x:is>
      </x:c>
      <x:c r="E158" s="5" t="n">
        <x:v>2</x:v>
      </x:c>
      <x:c r="F158" s="5" t="inlineStr">
        <x:is>
          <x:t xml:space="preserve">풀</x:t>
        </x:is>
      </x:c>
      <x:c r="G158" s="5" t="inlineStr">
        <x:is>
          <x:t xml:space="preserve"/>
        </x:is>
      </x:c>
      <x:c r="H158" s="5" t="n">
        <x:v>1.8</x:v>
      </x:c>
      <x:c r="I158" s="5" t="n">
        <x:v>100.5</x:v>
      </x:c>
      <x:c r="J158" s="5" t="n">
        <x:v>525</x:v>
      </x:c>
      <x:c r="K158" s="5" t="n">
        <x:v>45</x:v>
      </x:c>
      <x:c r="L158" s="5" t="inlineStr">
        <x:is>
          <x:t xml:space="preserve">최종</x:t>
        </x:is>
      </x:c>
      <x:c r="M158" s="5" t="n">
        <x:v>32</x:v>
      </x:c>
      <x:c r="N158" s="5" t="inlineStr">
        <x:is>
          <x:t xml:space="preserve">레벨</x:t>
        </x:is>
      </x:c>
      <x:c r="O158" s="5" t="inlineStr">
        <x:is>
          <x:t xml:space="preserve">예</x:t>
        </x:is>
      </x:c>
      <x:c r="P158" s="5" t="inlineStr">
        <x:is>
          <x:t xml:space="preserve">#aether:is_aether; #cobblemon:is_floral; the_bumblezone:floral_meadow</x:t>
        </x:is>
      </x:c>
      <x:c r="Q158" s="5" t="inlineStr">
        <x:is>
          <x:t xml:space="preserve">ultra-rare</x:t>
        </x:is>
      </x:c>
      <x:c r="R158" s="5" t="inlineStr">
        <x:is>
          <x:t xml:space="preserve"/>
        </x:is>
      </x:c>
      <x:c r="S158" s="5" t="inlineStr">
        <x:is>
          <x:t xml:space="preserve"/>
        </x:is>
      </x:c>
      <x:c r="T158" s="5" t="inlineStr">
        <x:is>
          <x:t xml:space="preserve">육상</x:t>
        </x:is>
      </x:c>
      <x:c r="U158" s="5" t="inlineStr">
        <x:is>
          <x:t xml:space="preserve">개활지</x:t>
        </x:is>
      </x:c>
      <x:c r="V158" s="5" t="inlineStr">
        <x:is>
          <x:t xml:space="preserve">온대</x:t>
        </x:is>
      </x:c>
      <x:c r="W158" s="5" t="inlineStr">
        <x:is>
          <x:t xml:space="preserve">보통</x:t>
        </x:is>
      </x:c>
      <x:c r="X158" s="5" t="inlineStr">
        <x:is>
          <x:t xml:space="preserve">무관</x:t>
        </x:is>
      </x:c>
      <x:c r="Y158" s="5" t="inlineStr">
        <x:is>
          <x:t xml:space="preserve">무관</x:t>
        </x:is>
      </x:c>
      <x:c r="Z158" s="5" t="inlineStr">
        <x:is>
          <x:t xml:space="preserve">희귀</x:t>
        </x:is>
      </x:c>
      <x:c r="AA158" s="5" t="inlineStr">
        <x:is>
          <x:t xml:space="preserve">없음</x:t>
        </x:is>
      </x:c>
      <x:c r="AB158" s="5" t="inlineStr">
        <x:is>
          <x:t xml:space="preserve">평원</x:t>
        </x:is>
      </x:c>
      <x:c r="AC158" s="5" t="inlineStr">
        <x:is>
          <x:t xml:space="preserve">gen2</x:t>
        </x:is>
      </x:c>
      <x:c r="AD158" s="5" t="inlineStr">
        <x:is>
          <x:t xml:space="preserve">.tmp/cobblemon-1.7.3-source/common/src/main/resources/data/cobblemon/species/generation2/meganium.json</x:t>
        </x:is>
      </x:c>
    </x:row>
    <x:row r="159" ht="22" customHeight="1">
      <x:c r="A159" s="5" t="n">
        <x:v>155</x:v>
      </x:c>
      <x:c r="B159" s="5" t="inlineStr">
        <x:is>
          <x:t xml:space="preserve">브케인</x:t>
        </x:is>
      </x:c>
      <x:c r="C159" s="5" t="inlineStr">
        <x:is>
          <x:t xml:space="preserve">cyndaquil</x:t>
        </x:is>
      </x:c>
      <x:c r="D159" s="5" t="inlineStr">
        <x:is>
          <x:t xml:space="preserve">Cyndaquil</x:t>
        </x:is>
      </x:c>
      <x:c r="E159" s="5" t="n">
        <x:v>2</x:v>
      </x:c>
      <x:c r="F159" s="5" t="inlineStr">
        <x:is>
          <x:t xml:space="preserve">불꽃</x:t>
        </x:is>
      </x:c>
      <x:c r="G159" s="5" t="inlineStr">
        <x:is>
          <x:t xml:space="preserve"/>
        </x:is>
      </x:c>
      <x:c r="H159" s="5" t="n">
        <x:v>0.5</x:v>
      </x:c>
      <x:c r="I159" s="5" t="n">
        <x:v>7.9</x:v>
      </x:c>
      <x:c r="J159" s="5" t="n">
        <x:v>309</x:v>
      </x:c>
      <x:c r="K159" s="5" t="n">
        <x:v>45</x:v>
      </x:c>
      <x:c r="L159" s="5" t="inlineStr">
        <x:is>
          <x:t xml:space="preserve">기본</x:t>
        </x:is>
      </x:c>
      <x:c r="M159" s="5" t="n">
        <x:v>36</x:v>
      </x:c>
      <x:c r="N159" s="5" t="inlineStr">
        <x:is>
          <x:t xml:space="preserve">레벨·특수</x:t>
        </x:is>
      </x:c>
      <x:c r="O159" s="5" t="inlineStr">
        <x:is>
          <x:t xml:space="preserve">예</x:t>
        </x:is>
      </x:c>
      <x:c r="P159" s="5" t="inlineStr">
        <x:is>
          <x:t xml:space="preserve">#cobblemon:is_taiga; #cobblemon:is_temperate; #cobblemon:nether/is_crimson; #cobblemon:nether/is_forest; #cobblemon:nether/is_overgrowth</x:t>
        </x:is>
      </x:c>
      <x:c r="Q159" s="5" t="inlineStr">
        <x:is>
          <x:t xml:space="preserve">ultra-rare</x:t>
        </x:is>
      </x:c>
      <x:c r="R159" s="5" t="inlineStr">
        <x:is>
          <x:t xml:space="preserve"/>
        </x:is>
      </x:c>
      <x:c r="S159" s="5" t="inlineStr">
        <x:is>
          <x:t xml:space="preserve">비=False</x:t>
        </x:is>
      </x:c>
      <x:c r="T159" s="5" t="inlineStr">
        <x:is>
          <x:t xml:space="preserve">육상</x:t>
        </x:is>
      </x:c>
      <x:c r="U159" s="5" t="inlineStr">
        <x:is>
          <x:t xml:space="preserve">화산</x:t>
        </x:is>
      </x:c>
      <x:c r="V159" s="5" t="inlineStr">
        <x:is>
          <x:t xml:space="preserve">서늘</x:t>
        </x:is>
      </x:c>
      <x:c r="W159" s="5" t="inlineStr">
        <x:is>
          <x:t xml:space="preserve">건조</x:t>
        </x:is>
      </x:c>
      <x:c r="X159" s="5" t="inlineStr">
        <x:is>
          <x:t xml:space="preserve">맑음</x:t>
        </x:is>
      </x:c>
      <x:c r="Y159" s="5" t="inlineStr">
        <x:is>
          <x:t xml:space="preserve">무관</x:t>
        </x:is>
      </x:c>
      <x:c r="Z159" s="5" t="inlineStr">
        <x:is>
          <x:t xml:space="preserve">희귀</x:t>
        </x:is>
      </x:c>
      <x:c r="AA159" s="5" t="inlineStr">
        <x:is>
          <x:t xml:space="preserve">화산</x:t>
        </x:is>
      </x:c>
      <x:c r="AB159" s="5" t="inlineStr">
        <x:is>
          <x:t xml:space="preserve">화산</x:t>
        </x:is>
      </x:c>
      <x:c r="AC159" s="5" t="inlineStr">
        <x:is>
          <x:t xml:space="preserve">gen2; johtonian_form; starter</x:t>
        </x:is>
      </x:c>
      <x:c r="AD159" s="5" t="inlineStr">
        <x:is>
          <x:t xml:space="preserve">.tmp/cobblemon-1.7.3-source/common/src/main/resources/data/cobblemon/species/generation2/cyndaquil.json</x:t>
        </x:is>
      </x:c>
    </x:row>
    <x:row r="160" ht="22" customHeight="1">
      <x:c r="A160" s="5" t="n">
        <x:v>156</x:v>
      </x:c>
      <x:c r="B160" s="5" t="inlineStr">
        <x:is>
          <x:t xml:space="preserve">마그케인</x:t>
        </x:is>
      </x:c>
      <x:c r="C160" s="5" t="inlineStr">
        <x:is>
          <x:t xml:space="preserve">quilava</x:t>
        </x:is>
      </x:c>
      <x:c r="D160" s="5" t="inlineStr">
        <x:is>
          <x:t xml:space="preserve">Quilava</x:t>
        </x:is>
      </x:c>
      <x:c r="E160" s="5" t="n">
        <x:v>2</x:v>
      </x:c>
      <x:c r="F160" s="5" t="inlineStr">
        <x:is>
          <x:t xml:space="preserve">불꽃</x:t>
        </x:is>
      </x:c>
      <x:c r="G160" s="5" t="inlineStr">
        <x:is>
          <x:t xml:space="preserve"/>
        </x:is>
      </x:c>
      <x:c r="H160" s="5" t="n">
        <x:v>0.9</x:v>
      </x:c>
      <x:c r="I160" s="5" t="n">
        <x:v>19</x:v>
      </x:c>
      <x:c r="J160" s="5" t="n">
        <x:v>405</x:v>
      </x:c>
      <x:c r="K160" s="5" t="n">
        <x:v>45</x:v>
      </x:c>
      <x:c r="L160" s="5" t="inlineStr">
        <x:is>
          <x:t xml:space="preserve">중간</x:t>
        </x:is>
      </x:c>
      <x:c r="M160" s="5" t="n">
        <x:v>36</x:v>
      </x:c>
      <x:c r="N160" s="5" t="inlineStr">
        <x:is>
          <x:t xml:space="preserve">레벨·특수</x:t>
        </x:is>
      </x:c>
      <x:c r="O160" s="5" t="inlineStr">
        <x:is>
          <x:t xml:space="preserve">예</x:t>
        </x:is>
      </x:c>
      <x:c r="P160" s="5" t="inlineStr">
        <x:is>
          <x:t xml:space="preserve">#cobblemon:is_taiga; #cobblemon:is_temperate; #cobblemon:nether/is_crimson; #cobblemon:nether/is_forest; #cobblemon:nether/is_overgrowth</x:t>
        </x:is>
      </x:c>
      <x:c r="Q160" s="5" t="inlineStr">
        <x:is>
          <x:t xml:space="preserve">ultra-rare</x:t>
        </x:is>
      </x:c>
      <x:c r="R160" s="5" t="inlineStr">
        <x:is>
          <x:t xml:space="preserve"/>
        </x:is>
      </x:c>
      <x:c r="S160" s="5" t="inlineStr">
        <x:is>
          <x:t xml:space="preserve">비=False</x:t>
        </x:is>
      </x:c>
      <x:c r="T160" s="5" t="inlineStr">
        <x:is>
          <x:t xml:space="preserve">육상</x:t>
        </x:is>
      </x:c>
      <x:c r="U160" s="5" t="inlineStr">
        <x:is>
          <x:t xml:space="preserve">화산</x:t>
        </x:is>
      </x:c>
      <x:c r="V160" s="5" t="inlineStr">
        <x:is>
          <x:t xml:space="preserve">서늘</x:t>
        </x:is>
      </x:c>
      <x:c r="W160" s="5" t="inlineStr">
        <x:is>
          <x:t xml:space="preserve">건조</x:t>
        </x:is>
      </x:c>
      <x:c r="X160" s="5" t="inlineStr">
        <x:is>
          <x:t xml:space="preserve">맑음</x:t>
        </x:is>
      </x:c>
      <x:c r="Y160" s="5" t="inlineStr">
        <x:is>
          <x:t xml:space="preserve">무관</x:t>
        </x:is>
      </x:c>
      <x:c r="Z160" s="5" t="inlineStr">
        <x:is>
          <x:t xml:space="preserve">희귀</x:t>
        </x:is>
      </x:c>
      <x:c r="AA160" s="5" t="inlineStr">
        <x:is>
          <x:t xml:space="preserve">화산</x:t>
        </x:is>
      </x:c>
      <x:c r="AB160" s="5" t="inlineStr">
        <x:is>
          <x:t xml:space="preserve">화산</x:t>
        </x:is>
      </x:c>
      <x:c r="AC160" s="5" t="inlineStr">
        <x:is>
          <x:t xml:space="preserve">gen2; johtonian_form</x:t>
        </x:is>
      </x:c>
      <x:c r="AD160" s="5" t="inlineStr">
        <x:is>
          <x:t xml:space="preserve">.tmp/cobblemon-1.7.3-source/common/src/main/resources/data/cobblemon/species/generation2/quilava.json</x:t>
        </x:is>
      </x:c>
    </x:row>
    <x:row r="161" ht="22" customHeight="1">
      <x:c r="A161" s="5" t="n">
        <x:v>157</x:v>
      </x:c>
      <x:c r="B161" s="5" t="inlineStr">
        <x:is>
          <x:t xml:space="preserve">블레이범</x:t>
        </x:is>
      </x:c>
      <x:c r="C161" s="5" t="inlineStr">
        <x:is>
          <x:t xml:space="preserve">typhlosion</x:t>
        </x:is>
      </x:c>
      <x:c r="D161" s="5" t="inlineStr">
        <x:is>
          <x:t xml:space="preserve">Typhlosion</x:t>
        </x:is>
      </x:c>
      <x:c r="E161" s="5" t="n">
        <x:v>2</x:v>
      </x:c>
      <x:c r="F161" s="5" t="inlineStr">
        <x:is>
          <x:t xml:space="preserve">불꽃</x:t>
        </x:is>
      </x:c>
      <x:c r="G161" s="5" t="inlineStr">
        <x:is>
          <x:t xml:space="preserve"/>
        </x:is>
      </x:c>
      <x:c r="H161" s="5" t="n">
        <x:v>1.7</x:v>
      </x:c>
      <x:c r="I161" s="5" t="n">
        <x:v>79.5</x:v>
      </x:c>
      <x:c r="J161" s="5" t="n">
        <x:v>534</x:v>
      </x:c>
      <x:c r="K161" s="5" t="n">
        <x:v>45</x:v>
      </x:c>
      <x:c r="L161" s="5" t="inlineStr">
        <x:is>
          <x:t xml:space="preserve">최종</x:t>
        </x:is>
      </x:c>
      <x:c r="M161" s="5" t="n">
        <x:v>36</x:v>
      </x:c>
      <x:c r="N161" s="5" t="inlineStr">
        <x:is>
          <x:t xml:space="preserve">레벨·특수</x:t>
        </x:is>
      </x:c>
      <x:c r="O161" s="5" t="inlineStr">
        <x:is>
          <x:t xml:space="preserve">예</x:t>
        </x:is>
      </x:c>
      <x:c r="P161" s="5" t="inlineStr">
        <x:is>
          <x:t xml:space="preserve">#cobblemon:is_taiga; #cobblemon:is_temperate; #cobblemon:nether/is_crimson; #cobblemon:nether/is_forest; #cobblemon:nether/is_overgrowth</x:t>
        </x:is>
      </x:c>
      <x:c r="Q161" s="5" t="inlineStr">
        <x:is>
          <x:t xml:space="preserve">ultra-rare</x:t>
        </x:is>
      </x:c>
      <x:c r="R161" s="5" t="inlineStr">
        <x:is>
          <x:t xml:space="preserve"/>
        </x:is>
      </x:c>
      <x:c r="S161" s="5" t="inlineStr">
        <x:is>
          <x:t xml:space="preserve">비=False</x:t>
        </x:is>
      </x:c>
      <x:c r="T161" s="5" t="inlineStr">
        <x:is>
          <x:t xml:space="preserve">육상</x:t>
        </x:is>
      </x:c>
      <x:c r="U161" s="5" t="inlineStr">
        <x:is>
          <x:t xml:space="preserve">화산</x:t>
        </x:is>
      </x:c>
      <x:c r="V161" s="5" t="inlineStr">
        <x:is>
          <x:t xml:space="preserve">서늘</x:t>
        </x:is>
      </x:c>
      <x:c r="W161" s="5" t="inlineStr">
        <x:is>
          <x:t xml:space="preserve">건조</x:t>
        </x:is>
      </x:c>
      <x:c r="X161" s="5" t="inlineStr">
        <x:is>
          <x:t xml:space="preserve">맑음</x:t>
        </x:is>
      </x:c>
      <x:c r="Y161" s="5" t="inlineStr">
        <x:is>
          <x:t xml:space="preserve">무관</x:t>
        </x:is>
      </x:c>
      <x:c r="Z161" s="5" t="inlineStr">
        <x:is>
          <x:t xml:space="preserve">희귀</x:t>
        </x:is>
      </x:c>
      <x:c r="AA161" s="5" t="inlineStr">
        <x:is>
          <x:t xml:space="preserve">화산</x:t>
        </x:is>
      </x:c>
      <x:c r="AB161" s="5" t="inlineStr">
        <x:is>
          <x:t xml:space="preserve">화산</x:t>
        </x:is>
      </x:c>
      <x:c r="AC161" s="5" t="inlineStr">
        <x:is>
          <x:t xml:space="preserve">gen2; johtonian_form</x:t>
        </x:is>
      </x:c>
      <x:c r="AD161" s="5" t="inlineStr">
        <x:is>
          <x:t xml:space="preserve">.tmp/cobblemon-1.7.3-source/common/src/main/resources/data/cobblemon/species/generation2/typhlosion.json</x:t>
        </x:is>
      </x:c>
    </x:row>
    <x:row r="162" ht="22" customHeight="1">
      <x:c r="A162" s="5" t="n">
        <x:v>158</x:v>
      </x:c>
      <x:c r="B162" s="5" t="inlineStr">
        <x:is>
          <x:t xml:space="preserve">리아코</x:t>
        </x:is>
      </x:c>
      <x:c r="C162" s="5" t="inlineStr">
        <x:is>
          <x:t xml:space="preserve">totodile</x:t>
        </x:is>
      </x:c>
      <x:c r="D162" s="5" t="inlineStr">
        <x:is>
          <x:t xml:space="preserve">Totodile</x:t>
        </x:is>
      </x:c>
      <x:c r="E162" s="5" t="n">
        <x:v>2</x:v>
      </x:c>
      <x:c r="F162" s="5" t="inlineStr">
        <x:is>
          <x:t xml:space="preserve">물</x:t>
        </x:is>
      </x:c>
      <x:c r="G162" s="5" t="inlineStr">
        <x:is>
          <x:t xml:space="preserve"/>
        </x:is>
      </x:c>
      <x:c r="H162" s="5" t="n">
        <x:v>0.6</x:v>
      </x:c>
      <x:c r="I162" s="5" t="n">
        <x:v>9.5</x:v>
      </x:c>
      <x:c r="J162" s="5" t="n">
        <x:v>314</x:v>
      </x:c>
      <x:c r="K162" s="5" t="n">
        <x:v>45</x:v>
      </x:c>
      <x:c r="L162" s="5" t="inlineStr">
        <x:is>
          <x:t xml:space="preserve">기본</x:t>
        </x:is>
      </x:c>
      <x:c r="M162" s="5" t="n">
        <x:v>30</x:v>
      </x:c>
      <x:c r="N162" s="5" t="inlineStr">
        <x:is>
          <x:t xml:space="preserve">레벨</x:t>
        </x:is>
      </x:c>
      <x:c r="O162" s="5" t="inlineStr">
        <x:is>
          <x:t xml:space="preserve">예</x:t>
        </x:is>
      </x:c>
      <x:c r="P162" s="5" t="inlineStr">
        <x:is>
          <x:t xml:space="preserve">#cobblemon:is_arid; #cobblemon:is_jungle; #cobblemon:is_swamp</x:t>
        </x:is>
      </x:c>
      <x:c r="Q162" s="5" t="inlineStr">
        <x:is>
          <x:t xml:space="preserve">ultra-rare</x:t>
        </x:is>
      </x:c>
      <x:c r="R162" s="5" t="inlineStr">
        <x:is>
          <x:t xml:space="preserve"/>
        </x:is>
      </x:c>
      <x:c r="S162" s="5" t="inlineStr">
        <x:is>
          <x:t xml:space="preserve"/>
        </x:is>
      </x:c>
      <x:c r="T162" s="5" t="inlineStr">
        <x:is>
          <x:t xml:space="preserve">수륙</x:t>
        </x:is>
      </x:c>
      <x:c r="U162" s="5" t="inlineStr">
        <x:is>
          <x:t xml:space="preserve">습지</x:t>
        </x:is>
      </x:c>
      <x:c r="V162" s="5" t="inlineStr">
        <x:is>
          <x:t xml:space="preserve">온대</x:t>
        </x:is>
      </x:c>
      <x:c r="W162" s="5" t="inlineStr">
        <x:is>
          <x:t xml:space="preserve">다습</x:t>
        </x:is>
      </x:c>
      <x:c r="X162" s="5" t="inlineStr">
        <x:is>
          <x:t xml:space="preserve">비</x:t>
        </x:is>
      </x:c>
      <x:c r="Y162" s="5" t="inlineStr">
        <x:is>
          <x:t xml:space="preserve">무관</x:t>
        </x:is>
      </x:c>
      <x:c r="Z162" s="5" t="inlineStr">
        <x:is>
          <x:t xml:space="preserve">희귀</x:t>
        </x:is>
      </x:c>
      <x:c r="AA162" s="5" t="inlineStr">
        <x:is>
          <x:t xml:space="preserve">없음</x:t>
        </x:is>
      </x:c>
      <x:c r="AB162" s="5" t="inlineStr">
        <x:is>
          <x:t xml:space="preserve">습지</x:t>
        </x:is>
      </x:c>
      <x:c r="AC162" s="5" t="inlineStr">
        <x:is>
          <x:t xml:space="preserve">gen2; starter</x:t>
        </x:is>
      </x:c>
      <x:c r="AD162" s="5" t="inlineStr">
        <x:is>
          <x:t xml:space="preserve">.tmp/cobblemon-1.7.3-source/common/src/main/resources/data/cobblemon/species/generation2/totodile.json</x:t>
        </x:is>
      </x:c>
    </x:row>
    <x:row r="163" ht="22" customHeight="1">
      <x:c r="A163" s="5" t="n">
        <x:v>159</x:v>
      </x:c>
      <x:c r="B163" s="5" t="inlineStr">
        <x:is>
          <x:t xml:space="preserve">엘리게이</x:t>
        </x:is>
      </x:c>
      <x:c r="C163" s="5" t="inlineStr">
        <x:is>
          <x:t xml:space="preserve">croconaw</x:t>
        </x:is>
      </x:c>
      <x:c r="D163" s="5" t="inlineStr">
        <x:is>
          <x:t xml:space="preserve">Croconaw</x:t>
        </x:is>
      </x:c>
      <x:c r="E163" s="5" t="n">
        <x:v>2</x:v>
      </x:c>
      <x:c r="F163" s="5" t="inlineStr">
        <x:is>
          <x:t xml:space="preserve">물</x:t>
        </x:is>
      </x:c>
      <x:c r="G163" s="5" t="inlineStr">
        <x:is>
          <x:t xml:space="preserve"/>
        </x:is>
      </x:c>
      <x:c r="H163" s="5" t="n">
        <x:v>1.1</x:v>
      </x:c>
      <x:c r="I163" s="5" t="n">
        <x:v>25</x:v>
      </x:c>
      <x:c r="J163" s="5" t="n">
        <x:v>405</x:v>
      </x:c>
      <x:c r="K163" s="5" t="n">
        <x:v>45</x:v>
      </x:c>
      <x:c r="L163" s="5" t="inlineStr">
        <x:is>
          <x:t xml:space="preserve">중간</x:t>
        </x:is>
      </x:c>
      <x:c r="M163" s="5" t="n">
        <x:v>30</x:v>
      </x:c>
      <x:c r="N163" s="5" t="inlineStr">
        <x:is>
          <x:t xml:space="preserve">레벨</x:t>
        </x:is>
      </x:c>
      <x:c r="O163" s="5" t="inlineStr">
        <x:is>
          <x:t xml:space="preserve">예</x:t>
        </x:is>
      </x:c>
      <x:c r="P163" s="5" t="inlineStr">
        <x:is>
          <x:t xml:space="preserve">#cobblemon:is_arid; #cobblemon:is_jungle; #cobblemon:is_swamp</x:t>
        </x:is>
      </x:c>
      <x:c r="Q163" s="5" t="inlineStr">
        <x:is>
          <x:t xml:space="preserve">ultra-rare</x:t>
        </x:is>
      </x:c>
      <x:c r="R163" s="5" t="inlineStr">
        <x:is>
          <x:t xml:space="preserve"/>
        </x:is>
      </x:c>
      <x:c r="S163" s="5" t="inlineStr">
        <x:is>
          <x:t xml:space="preserve"/>
        </x:is>
      </x:c>
      <x:c r="T163" s="5" t="inlineStr">
        <x:is>
          <x:t xml:space="preserve">수륙</x:t>
        </x:is>
      </x:c>
      <x:c r="U163" s="5" t="inlineStr">
        <x:is>
          <x:t xml:space="preserve">습지</x:t>
        </x:is>
      </x:c>
      <x:c r="V163" s="5" t="inlineStr">
        <x:is>
          <x:t xml:space="preserve">온대</x:t>
        </x:is>
      </x:c>
      <x:c r="W163" s="5" t="inlineStr">
        <x:is>
          <x:t xml:space="preserve">다습</x:t>
        </x:is>
      </x:c>
      <x:c r="X163" s="5" t="inlineStr">
        <x:is>
          <x:t xml:space="preserve">비</x:t>
        </x:is>
      </x:c>
      <x:c r="Y163" s="5" t="inlineStr">
        <x:is>
          <x:t xml:space="preserve">무관</x:t>
        </x:is>
      </x:c>
      <x:c r="Z163" s="5" t="inlineStr">
        <x:is>
          <x:t xml:space="preserve">희귀</x:t>
        </x:is>
      </x:c>
      <x:c r="AA163" s="5" t="inlineStr">
        <x:is>
          <x:t xml:space="preserve">없음</x:t>
        </x:is>
      </x:c>
      <x:c r="AB163" s="5" t="inlineStr">
        <x:is>
          <x:t xml:space="preserve">습지</x:t>
        </x:is>
      </x:c>
      <x:c r="AC163" s="5" t="inlineStr">
        <x:is>
          <x:t xml:space="preserve">gen2</x:t>
        </x:is>
      </x:c>
      <x:c r="AD163" s="5" t="inlineStr">
        <x:is>
          <x:t xml:space="preserve">.tmp/cobblemon-1.7.3-source/common/src/main/resources/data/cobblemon/species/generation2/croconaw.json</x:t>
        </x:is>
      </x:c>
    </x:row>
    <x:row r="164" ht="22" customHeight="1">
      <x:c r="A164" s="5" t="n">
        <x:v>160</x:v>
      </x:c>
      <x:c r="B164" s="5" t="inlineStr">
        <x:is>
          <x:t xml:space="preserve">장크로다일</x:t>
        </x:is>
      </x:c>
      <x:c r="C164" s="5" t="inlineStr">
        <x:is>
          <x:t xml:space="preserve">feraligatr</x:t>
        </x:is>
      </x:c>
      <x:c r="D164" s="5" t="inlineStr">
        <x:is>
          <x:t xml:space="preserve">Feraligatr</x:t>
        </x:is>
      </x:c>
      <x:c r="E164" s="5" t="n">
        <x:v>2</x:v>
      </x:c>
      <x:c r="F164" s="5" t="inlineStr">
        <x:is>
          <x:t xml:space="preserve">물</x:t>
        </x:is>
      </x:c>
      <x:c r="G164" s="5" t="inlineStr">
        <x:is>
          <x:t xml:space="preserve"/>
        </x:is>
      </x:c>
      <x:c r="H164" s="5" t="n">
        <x:v>2.3</x:v>
      </x:c>
      <x:c r="I164" s="5" t="n">
        <x:v>88.8</x:v>
      </x:c>
      <x:c r="J164" s="5" t="n">
        <x:v>530</x:v>
      </x:c>
      <x:c r="K164" s="5" t="n">
        <x:v>45</x:v>
      </x:c>
      <x:c r="L164" s="5" t="inlineStr">
        <x:is>
          <x:t xml:space="preserve">최종</x:t>
        </x:is>
      </x:c>
      <x:c r="M164" s="5" t="n">
        <x:v>30</x:v>
      </x:c>
      <x:c r="N164" s="5" t="inlineStr">
        <x:is>
          <x:t xml:space="preserve">레벨</x:t>
        </x:is>
      </x:c>
      <x:c r="O164" s="5" t="inlineStr">
        <x:is>
          <x:t xml:space="preserve">예</x:t>
        </x:is>
      </x:c>
      <x:c r="P164" s="5" t="inlineStr">
        <x:is>
          <x:t xml:space="preserve">#cobblemon:is_arid; #cobblemon:is_jungle; #cobblemon:is_swamp</x:t>
        </x:is>
      </x:c>
      <x:c r="Q164" s="5" t="inlineStr">
        <x:is>
          <x:t xml:space="preserve">ultra-rare</x:t>
        </x:is>
      </x:c>
      <x:c r="R164" s="5" t="inlineStr">
        <x:is>
          <x:t xml:space="preserve"/>
        </x:is>
      </x:c>
      <x:c r="S164" s="5" t="inlineStr">
        <x:is>
          <x:t xml:space="preserve"/>
        </x:is>
      </x:c>
      <x:c r="T164" s="5" t="inlineStr">
        <x:is>
          <x:t xml:space="preserve">수륙</x:t>
        </x:is>
      </x:c>
      <x:c r="U164" s="5" t="inlineStr">
        <x:is>
          <x:t xml:space="preserve">습지</x:t>
        </x:is>
      </x:c>
      <x:c r="V164" s="5" t="inlineStr">
        <x:is>
          <x:t xml:space="preserve">온대</x:t>
        </x:is>
      </x:c>
      <x:c r="W164" s="5" t="inlineStr">
        <x:is>
          <x:t xml:space="preserve">다습</x:t>
        </x:is>
      </x:c>
      <x:c r="X164" s="5" t="inlineStr">
        <x:is>
          <x:t xml:space="preserve">비</x:t>
        </x:is>
      </x:c>
      <x:c r="Y164" s="5" t="inlineStr">
        <x:is>
          <x:t xml:space="preserve">무관</x:t>
        </x:is>
      </x:c>
      <x:c r="Z164" s="5" t="inlineStr">
        <x:is>
          <x:t xml:space="preserve">희귀</x:t>
        </x:is>
      </x:c>
      <x:c r="AA164" s="5" t="inlineStr">
        <x:is>
          <x:t xml:space="preserve">없음</x:t>
        </x:is>
      </x:c>
      <x:c r="AB164" s="5" t="inlineStr">
        <x:is>
          <x:t xml:space="preserve">습지</x:t>
        </x:is>
      </x:c>
      <x:c r="AC164" s="5" t="inlineStr">
        <x:is>
          <x:t xml:space="preserve">gen2</x:t>
        </x:is>
      </x:c>
      <x:c r="AD164" s="5" t="inlineStr">
        <x:is>
          <x:t xml:space="preserve">.tmp/cobblemon-1.7.3-source/common/src/main/resources/data/cobblemon/species/generation2/feraligatr.json</x:t>
        </x:is>
      </x:c>
    </x:row>
    <x:row r="165" ht="22" customHeight="1">
      <x:c r="A165" s="5" t="n">
        <x:v>161</x:v>
      </x:c>
      <x:c r="B165" s="5" t="inlineStr">
        <x:is>
          <x:t xml:space="preserve">꼬리선</x:t>
        </x:is>
      </x:c>
      <x:c r="C165" s="5" t="inlineStr">
        <x:is>
          <x:t xml:space="preserve">sentret</x:t>
        </x:is>
      </x:c>
      <x:c r="D165" s="5" t="inlineStr">
        <x:is>
          <x:t xml:space="preserve">Sentret</x:t>
        </x:is>
      </x:c>
      <x:c r="E165" s="5" t="n">
        <x:v>2</x:v>
      </x:c>
      <x:c r="F165" s="5" t="inlineStr">
        <x:is>
          <x:t xml:space="preserve">노말</x:t>
        </x:is>
      </x:c>
      <x:c r="G165" s="5" t="inlineStr">
        <x:is>
          <x:t xml:space="preserve"/>
        </x:is>
      </x:c>
      <x:c r="H165" s="5" t="n">
        <x:v>0.8</x:v>
      </x:c>
      <x:c r="I165" s="5" t="n">
        <x:v>6</x:v>
      </x:c>
      <x:c r="J165" s="5" t="n">
        <x:v>215</x:v>
      </x:c>
      <x:c r="K165" s="5" t="n">
        <x:v>255</x:v>
      </x:c>
      <x:c r="L165" s="5" t="inlineStr">
        <x:is>
          <x:t xml:space="preserve">기본</x:t>
        </x:is>
      </x:c>
      <x:c r="M165" s="5" t="n">
        <x:v>15</x:v>
      </x:c>
      <x:c r="N165" s="5" t="inlineStr">
        <x:is>
          <x:t xml:space="preserve">레벨</x:t>
        </x:is>
      </x:c>
      <x:c r="O165" s="5" t="inlineStr">
        <x:is>
          <x:t xml:space="preserve">예</x:t>
        </x:is>
      </x:c>
      <x:c r="P165" s="5" t="inlineStr">
        <x:is>
          <x:t xml:space="preserve">#aether:is_aether; #cobblemon:is_taiga; #cobblemon:is_temperate; #cobblemon:is_tundra</x:t>
        </x:is>
      </x:c>
      <x:c r="Q165" s="5" t="inlineStr">
        <x:is>
          <x:t xml:space="preserve">common</x:t>
        </x:is>
      </x:c>
      <x:c r="R165" s="5" t="inlineStr">
        <x:is>
          <x:t xml:space="preserve"/>
        </x:is>
      </x:c>
      <x:c r="S165" s="5" t="inlineStr">
        <x:is>
          <x:t xml:space="preserve"/>
        </x:is>
      </x:c>
      <x:c r="T165" s="5" t="inlineStr">
        <x:is>
          <x:t xml:space="preserve">육상</x:t>
        </x:is>
      </x:c>
      <x:c r="U165" s="5" t="inlineStr">
        <x:is>
          <x:t xml:space="preserve">수목</x:t>
        </x:is>
      </x:c>
      <x:c r="V165" s="5" t="inlineStr">
        <x:is>
          <x:t xml:space="preserve">서늘</x:t>
        </x:is>
      </x:c>
      <x:c r="W165" s="5" t="inlineStr">
        <x:is>
          <x:t xml:space="preserve">보통</x:t>
        </x:is>
      </x:c>
      <x:c r="X165" s="5" t="inlineStr">
        <x:is>
          <x:t xml:space="preserve">무관</x:t>
        </x:is>
      </x:c>
      <x:c r="Y165" s="5" t="inlineStr">
        <x:is>
          <x:t xml:space="preserve">무관</x:t>
        </x:is>
      </x:c>
      <x:c r="Z165" s="5" t="inlineStr">
        <x:is>
          <x:t xml:space="preserve">흔함</x:t>
        </x:is>
      </x:c>
      <x:c r="AA165" s="5" t="inlineStr">
        <x:is>
          <x:t xml:space="preserve">없음</x:t>
        </x:is>
      </x:c>
      <x:c r="AB165" s="5" t="inlineStr">
        <x:is>
          <x:t xml:space="preserve">숲</x:t>
        </x:is>
      </x:c>
      <x:c r="AC165" s="5" t="inlineStr">
        <x:is>
          <x:t xml:space="preserve">gen2</x:t>
        </x:is>
      </x:c>
      <x:c r="AD165" s="5" t="inlineStr">
        <x:is>
          <x:t xml:space="preserve">.tmp/cobblemon-1.7.3-source/common/src/main/resources/data/cobblemon/species/generation2/sentret.json</x:t>
        </x:is>
      </x:c>
    </x:row>
    <x:row r="166" ht="22" customHeight="1">
      <x:c r="A166" s="5" t="n">
        <x:v>162</x:v>
      </x:c>
      <x:c r="B166" s="5" t="inlineStr">
        <x:is>
          <x:t xml:space="preserve">다꼬리</x:t>
        </x:is>
      </x:c>
      <x:c r="C166" s="5" t="inlineStr">
        <x:is>
          <x:t xml:space="preserve">furret</x:t>
        </x:is>
      </x:c>
      <x:c r="D166" s="5" t="inlineStr">
        <x:is>
          <x:t xml:space="preserve">Furret</x:t>
        </x:is>
      </x:c>
      <x:c r="E166" s="5" t="n">
        <x:v>2</x:v>
      </x:c>
      <x:c r="F166" s="5" t="inlineStr">
        <x:is>
          <x:t xml:space="preserve">노말</x:t>
        </x:is>
      </x:c>
      <x:c r="G166" s="5" t="inlineStr">
        <x:is>
          <x:t xml:space="preserve"/>
        </x:is>
      </x:c>
      <x:c r="H166" s="5" t="n">
        <x:v>1.8</x:v>
      </x:c>
      <x:c r="I166" s="5" t="n">
        <x:v>32.5</x:v>
      </x:c>
      <x:c r="J166" s="5" t="n">
        <x:v>415</x:v>
      </x:c>
      <x:c r="K166" s="5" t="n">
        <x:v>90</x:v>
      </x:c>
      <x:c r="L166" s="5" t="inlineStr">
        <x:is>
          <x:t xml:space="preserve">최종</x:t>
        </x:is>
      </x:c>
      <x:c r="M166" s="5" t="n">
        <x:v>15</x:v>
      </x:c>
      <x:c r="N166" s="5" t="inlineStr">
        <x:is>
          <x:t xml:space="preserve">레벨</x:t>
        </x:is>
      </x:c>
      <x:c r="O166" s="5" t="inlineStr">
        <x:is>
          <x:t xml:space="preserve">예</x:t>
        </x:is>
      </x:c>
      <x:c r="P166" s="5" t="inlineStr">
        <x:is>
          <x:t xml:space="preserve">#aether:is_aether; #cobblemon:is_taiga; #cobblemon:is_temperate; #cobblemon:is_tundra</x:t>
        </x:is>
      </x:c>
      <x:c r="Q166" s="5" t="inlineStr">
        <x:is>
          <x:t xml:space="preserve">common</x:t>
        </x:is>
      </x:c>
      <x:c r="R166" s="5" t="inlineStr">
        <x:is>
          <x:t xml:space="preserve"/>
        </x:is>
      </x:c>
      <x:c r="S166" s="5" t="inlineStr">
        <x:is>
          <x:t xml:space="preserve"/>
        </x:is>
      </x:c>
      <x:c r="T166" s="5" t="inlineStr">
        <x:is>
          <x:t xml:space="preserve">육상</x:t>
        </x:is>
      </x:c>
      <x:c r="U166" s="5" t="inlineStr">
        <x:is>
          <x:t xml:space="preserve">수목</x:t>
        </x:is>
      </x:c>
      <x:c r="V166" s="5" t="inlineStr">
        <x:is>
          <x:t xml:space="preserve">서늘</x:t>
        </x:is>
      </x:c>
      <x:c r="W166" s="5" t="inlineStr">
        <x:is>
          <x:t xml:space="preserve">보통</x:t>
        </x:is>
      </x:c>
      <x:c r="X166" s="5" t="inlineStr">
        <x:is>
          <x:t xml:space="preserve">무관</x:t>
        </x:is>
      </x:c>
      <x:c r="Y166" s="5" t="inlineStr">
        <x:is>
          <x:t xml:space="preserve">무관</x:t>
        </x:is>
      </x:c>
      <x:c r="Z166" s="5" t="inlineStr">
        <x:is>
          <x:t xml:space="preserve">흔함</x:t>
        </x:is>
      </x:c>
      <x:c r="AA166" s="5" t="inlineStr">
        <x:is>
          <x:t xml:space="preserve">없음</x:t>
        </x:is>
      </x:c>
      <x:c r="AB166" s="5" t="inlineStr">
        <x:is>
          <x:t xml:space="preserve">숲</x:t>
        </x:is>
      </x:c>
      <x:c r="AC166" s="5" t="inlineStr">
        <x:is>
          <x:t xml:space="preserve">gen2</x:t>
        </x:is>
      </x:c>
      <x:c r="AD166" s="5" t="inlineStr">
        <x:is>
          <x:t xml:space="preserve">.tmp/cobblemon-1.7.3-source/common/src/main/resources/data/cobblemon/species/generation2/furret.json</x:t>
        </x:is>
      </x:c>
    </x:row>
    <x:row r="167" ht="22" customHeight="1">
      <x:c r="A167" s="5" t="n">
        <x:v>163</x:v>
      </x:c>
      <x:c r="B167" s="5" t="inlineStr">
        <x:is>
          <x:t xml:space="preserve">부우부</x:t>
        </x:is>
      </x:c>
      <x:c r="C167" s="5" t="inlineStr">
        <x:is>
          <x:t xml:space="preserve">hoothoot</x:t>
        </x:is>
      </x:c>
      <x:c r="D167" s="5" t="inlineStr">
        <x:is>
          <x:t xml:space="preserve">Hoothoot</x:t>
        </x:is>
      </x:c>
      <x:c r="E167" s="5" t="n">
        <x:v>2</x:v>
      </x:c>
      <x:c r="F167" s="5" t="inlineStr">
        <x:is>
          <x:t xml:space="preserve">노말</x:t>
        </x:is>
      </x:c>
      <x:c r="G167" s="5" t="inlineStr">
        <x:is>
          <x:t xml:space="preserve">비행</x:t>
        </x:is>
      </x:c>
      <x:c r="H167" s="5" t="n">
        <x:v>0.7</x:v>
      </x:c>
      <x:c r="I167" s="5" t="n">
        <x:v>21.2</x:v>
      </x:c>
      <x:c r="J167" s="5" t="n">
        <x:v>262</x:v>
      </x:c>
      <x:c r="K167" s="5" t="n">
        <x:v>255</x:v>
      </x:c>
      <x:c r="L167" s="5" t="inlineStr">
        <x:is>
          <x:t xml:space="preserve">기본</x:t>
        </x:is>
      </x:c>
      <x:c r="M167" s="5" t="n">
        <x:v>20</x:v>
      </x:c>
      <x:c r="N167" s="5" t="inlineStr">
        <x:is>
          <x:t xml:space="preserve">레벨</x:t>
        </x:is>
      </x:c>
      <x:c r="O167" s="5" t="inlineStr">
        <x:is>
          <x:t xml:space="preserve">예</x:t>
        </x:is>
      </x:c>
      <x:c r="P167" s="5" t="inlineStr">
        <x:is>
          <x:t xml:space="preserve">#cobblemon:is_forest; #cobblemon:is_sky; #cobblemon:is_spooky</x:t>
        </x:is>
      </x:c>
      <x:c r="Q167" s="5" t="inlineStr">
        <x:is>
          <x:t xml:space="preserve">common</x:t>
        </x:is>
      </x:c>
      <x:c r="R167" s="5" t="inlineStr">
        <x:is>
          <x:t xml:space="preserve">night</x:t>
        </x:is>
      </x:c>
      <x:c r="S167" s="5" t="inlineStr">
        <x:is>
          <x:t xml:space="preserve"/>
        </x:is>
      </x:c>
      <x:c r="T167" s="5" t="inlineStr">
        <x:is>
          <x:t xml:space="preserve">비행</x:t>
        </x:is>
      </x:c>
      <x:c r="U167" s="5" t="inlineStr">
        <x:is>
          <x:t xml:space="preserve">특수</x:t>
        </x:is>
      </x:c>
      <x:c r="V167" s="5" t="inlineStr">
        <x:is>
          <x:t xml:space="preserve">온대</x:t>
        </x:is>
      </x:c>
      <x:c r="W167" s="5" t="inlineStr">
        <x:is>
          <x:t xml:space="preserve">보통</x:t>
        </x:is>
      </x:c>
      <x:c r="X167" s="5" t="inlineStr">
        <x:is>
          <x:t xml:space="preserve">무관</x:t>
        </x:is>
      </x:c>
      <x:c r="Y167" s="5" t="inlineStr">
        <x:is>
          <x:t xml:space="preserve">밤</x:t>
        </x:is>
      </x:c>
      <x:c r="Z167" s="5" t="inlineStr">
        <x:is>
          <x:t xml:space="preserve">흔함</x:t>
        </x:is>
      </x:c>
      <x:c r="AA167" s="5" t="inlineStr">
        <x:is>
          <x:t xml:space="preserve">영체</x:t>
        </x:is>
      </x:c>
      <x:c r="AB167" s="5" t="inlineStr">
        <x:is>
          <x:t xml:space="preserve">특수</x:t>
        </x:is>
      </x:c>
      <x:c r="AC167" s="5" t="inlineStr">
        <x:is>
          <x:t xml:space="preserve">gen2</x:t>
        </x:is>
      </x:c>
      <x:c r="AD167" s="5" t="inlineStr">
        <x:is>
          <x:t xml:space="preserve">.tmp/cobblemon-1.7.3-source/common/src/main/resources/data/cobblemon/species/generation2/hoothoot.json</x:t>
        </x:is>
      </x:c>
    </x:row>
    <x:row r="168" ht="22" customHeight="1">
      <x:c r="A168" s="5" t="n">
        <x:v>164</x:v>
      </x:c>
      <x:c r="B168" s="5" t="inlineStr">
        <x:is>
          <x:t xml:space="preserve">야부엉</x:t>
        </x:is>
      </x:c>
      <x:c r="C168" s="5" t="inlineStr">
        <x:is>
          <x:t xml:space="preserve">noctowl</x:t>
        </x:is>
      </x:c>
      <x:c r="D168" s="5" t="inlineStr">
        <x:is>
          <x:t xml:space="preserve">Noctowl</x:t>
        </x:is>
      </x:c>
      <x:c r="E168" s="5" t="n">
        <x:v>2</x:v>
      </x:c>
      <x:c r="F168" s="5" t="inlineStr">
        <x:is>
          <x:t xml:space="preserve">노말</x:t>
        </x:is>
      </x:c>
      <x:c r="G168" s="5" t="inlineStr">
        <x:is>
          <x:t xml:space="preserve">비행</x:t>
        </x:is>
      </x:c>
      <x:c r="H168" s="5" t="n">
        <x:v>1.6</x:v>
      </x:c>
      <x:c r="I168" s="5" t="n">
        <x:v>40.8</x:v>
      </x:c>
      <x:c r="J168" s="5" t="n">
        <x:v>452</x:v>
      </x:c>
      <x:c r="K168" s="5" t="n">
        <x:v>90</x:v>
      </x:c>
      <x:c r="L168" s="5" t="inlineStr">
        <x:is>
          <x:t xml:space="preserve">최종</x:t>
        </x:is>
      </x:c>
      <x:c r="M168" s="5" t="n">
        <x:v>20</x:v>
      </x:c>
      <x:c r="N168" s="5" t="inlineStr">
        <x:is>
          <x:t xml:space="preserve">레벨</x:t>
        </x:is>
      </x:c>
      <x:c r="O168" s="5" t="inlineStr">
        <x:is>
          <x:t xml:space="preserve">예</x:t>
        </x:is>
      </x:c>
      <x:c r="P168" s="5" t="inlineStr">
        <x:is>
          <x:t xml:space="preserve">#cobblemon:is_forest; #cobblemon:is_sky; #cobblemon:is_spooky</x:t>
        </x:is>
      </x:c>
      <x:c r="Q168" s="5" t="inlineStr">
        <x:is>
          <x:t xml:space="preserve">common</x:t>
        </x:is>
      </x:c>
      <x:c r="R168" s="5" t="inlineStr">
        <x:is>
          <x:t xml:space="preserve">night</x:t>
        </x:is>
      </x:c>
      <x:c r="S168" s="5" t="inlineStr">
        <x:is>
          <x:t xml:space="preserve"/>
        </x:is>
      </x:c>
      <x:c r="T168" s="5" t="inlineStr">
        <x:is>
          <x:t xml:space="preserve">비행</x:t>
        </x:is>
      </x:c>
      <x:c r="U168" s="5" t="inlineStr">
        <x:is>
          <x:t xml:space="preserve">특수</x:t>
        </x:is>
      </x:c>
      <x:c r="V168" s="5" t="inlineStr">
        <x:is>
          <x:t xml:space="preserve">온대</x:t>
        </x:is>
      </x:c>
      <x:c r="W168" s="5" t="inlineStr">
        <x:is>
          <x:t xml:space="preserve">보통</x:t>
        </x:is>
      </x:c>
      <x:c r="X168" s="5" t="inlineStr">
        <x:is>
          <x:t xml:space="preserve">무관</x:t>
        </x:is>
      </x:c>
      <x:c r="Y168" s="5" t="inlineStr">
        <x:is>
          <x:t xml:space="preserve">밤</x:t>
        </x:is>
      </x:c>
      <x:c r="Z168" s="5" t="inlineStr">
        <x:is>
          <x:t xml:space="preserve">흔함</x:t>
        </x:is>
      </x:c>
      <x:c r="AA168" s="5" t="inlineStr">
        <x:is>
          <x:t xml:space="preserve">영체</x:t>
        </x:is>
      </x:c>
      <x:c r="AB168" s="5" t="inlineStr">
        <x:is>
          <x:t xml:space="preserve">특수</x:t>
        </x:is>
      </x:c>
      <x:c r="AC168" s="5" t="inlineStr">
        <x:is>
          <x:t xml:space="preserve">gen2</x:t>
        </x:is>
      </x:c>
      <x:c r="AD168" s="5" t="inlineStr">
        <x:is>
          <x:t xml:space="preserve">.tmp/cobblemon-1.7.3-source/common/src/main/resources/data/cobblemon/species/generation2/noctowl.json</x:t>
        </x:is>
      </x:c>
    </x:row>
    <x:row r="169" ht="22" customHeight="1">
      <x:c r="A169" s="5" t="n">
        <x:v>165</x:v>
      </x:c>
      <x:c r="B169" s="5" t="inlineStr">
        <x:is>
          <x:t xml:space="preserve">레디바</x:t>
        </x:is>
      </x:c>
      <x:c r="C169" s="5" t="inlineStr">
        <x:is>
          <x:t xml:space="preserve">ledyba</x:t>
        </x:is>
      </x:c>
      <x:c r="D169" s="5" t="inlineStr">
        <x:is>
          <x:t xml:space="preserve">Ledyba</x:t>
        </x:is>
      </x:c>
      <x:c r="E169" s="5" t="n">
        <x:v>2</x:v>
      </x:c>
      <x:c r="F169" s="5" t="inlineStr">
        <x:is>
          <x:t xml:space="preserve">벌레</x:t>
        </x:is>
      </x:c>
      <x:c r="G169" s="5" t="inlineStr">
        <x:is>
          <x:t xml:space="preserve">비행</x:t>
        </x:is>
      </x:c>
      <x:c r="H169" s="5" t="n">
        <x:v>1</x:v>
      </x:c>
      <x:c r="I169" s="5" t="n">
        <x:v>10.8</x:v>
      </x:c>
      <x:c r="J169" s="5" t="n">
        <x:v>265</x:v>
      </x:c>
      <x:c r="K169" s="5" t="n">
        <x:v>255</x:v>
      </x:c>
      <x:c r="L169" s="5" t="inlineStr">
        <x:is>
          <x:t xml:space="preserve">기본</x:t>
        </x:is>
      </x:c>
      <x:c r="M169" s="5" t="n">
        <x:v>18</x:v>
      </x:c>
      <x:c r="N169" s="5" t="inlineStr">
        <x:is>
          <x:t xml:space="preserve">레벨</x:t>
        </x:is>
      </x:c>
      <x:c r="O169" s="5" t="inlineStr">
        <x:is>
          <x:t xml:space="preserve">예</x:t>
        </x:is>
      </x:c>
      <x:c r="P169" s="5" t="inlineStr">
        <x:is>
          <x:t xml:space="preserve">#aether:is_aether; #cobblemon:is_temperate; the_bumblezone:floral_meadow</x:t>
        </x:is>
      </x:c>
      <x:c r="Q169" s="5" t="inlineStr">
        <x:is>
          <x:t xml:space="preserve">common</x:t>
        </x:is>
      </x:c>
      <x:c r="R169" s="5" t="inlineStr">
        <x:is>
          <x:t xml:space="preserve">day</x:t>
        </x:is>
      </x:c>
      <x:c r="S169" s="5" t="inlineStr">
        <x:is>
          <x:t xml:space="preserve">비=False</x:t>
        </x:is>
      </x:c>
      <x:c r="T169" s="5" t="inlineStr">
        <x:is>
          <x:t xml:space="preserve">비행</x:t>
        </x:is>
      </x:c>
      <x:c r="U169" s="5" t="inlineStr">
        <x:is>
          <x:t xml:space="preserve">개활지</x:t>
        </x:is>
      </x:c>
      <x:c r="V169" s="5" t="inlineStr">
        <x:is>
          <x:t xml:space="preserve">온대</x:t>
        </x:is>
      </x:c>
      <x:c r="W169" s="5" t="inlineStr">
        <x:is>
          <x:t xml:space="preserve">보통</x:t>
        </x:is>
      </x:c>
      <x:c r="X169" s="5" t="inlineStr">
        <x:is>
          <x:t xml:space="preserve">무관</x:t>
        </x:is>
      </x:c>
      <x:c r="Y169" s="5" t="inlineStr">
        <x:is>
          <x:t xml:space="preserve">낮</x:t>
        </x:is>
      </x:c>
      <x:c r="Z169" s="5" t="inlineStr">
        <x:is>
          <x:t xml:space="preserve">흔함</x:t>
        </x:is>
      </x:c>
      <x:c r="AA169" s="5" t="inlineStr">
        <x:is>
          <x:t xml:space="preserve">없음</x:t>
        </x:is>
      </x:c>
      <x:c r="AB169" s="5" t="inlineStr">
        <x:is>
          <x:t xml:space="preserve">평원</x:t>
        </x:is>
      </x:c>
      <x:c r="AC169" s="5" t="inlineStr">
        <x:is>
          <x:t xml:space="preserve">gen2</x:t>
        </x:is>
      </x:c>
      <x:c r="AD169" s="5" t="inlineStr">
        <x:is>
          <x:t xml:space="preserve">.tmp/cobblemon-1.7.3-source/common/src/main/resources/data/cobblemon/species/generation2/ledyba.json</x:t>
        </x:is>
      </x:c>
    </x:row>
    <x:row r="170" ht="22" customHeight="1">
      <x:c r="A170" s="5" t="n">
        <x:v>166</x:v>
      </x:c>
      <x:c r="B170" s="5" t="inlineStr">
        <x:is>
          <x:t xml:space="preserve">레디안</x:t>
        </x:is>
      </x:c>
      <x:c r="C170" s="5" t="inlineStr">
        <x:is>
          <x:t xml:space="preserve">ledian</x:t>
        </x:is>
      </x:c>
      <x:c r="D170" s="5" t="inlineStr">
        <x:is>
          <x:t xml:space="preserve">Ledian</x:t>
        </x:is>
      </x:c>
      <x:c r="E170" s="5" t="n">
        <x:v>2</x:v>
      </x:c>
      <x:c r="F170" s="5" t="inlineStr">
        <x:is>
          <x:t xml:space="preserve">벌레</x:t>
        </x:is>
      </x:c>
      <x:c r="G170" s="5" t="inlineStr">
        <x:is>
          <x:t xml:space="preserve">비행</x:t>
        </x:is>
      </x:c>
      <x:c r="H170" s="5" t="n">
        <x:v>1.4</x:v>
      </x:c>
      <x:c r="I170" s="5" t="n">
        <x:v>35.6</x:v>
      </x:c>
      <x:c r="J170" s="5" t="n">
        <x:v>390</x:v>
      </x:c>
      <x:c r="K170" s="5" t="n">
        <x:v>90</x:v>
      </x:c>
      <x:c r="L170" s="5" t="inlineStr">
        <x:is>
          <x:t xml:space="preserve">최종</x:t>
        </x:is>
      </x:c>
      <x:c r="M170" s="5" t="n">
        <x:v>18</x:v>
      </x:c>
      <x:c r="N170" s="5" t="inlineStr">
        <x:is>
          <x:t xml:space="preserve">레벨</x:t>
        </x:is>
      </x:c>
      <x:c r="O170" s="5" t="inlineStr">
        <x:is>
          <x:t xml:space="preserve">예</x:t>
        </x:is>
      </x:c>
      <x:c r="P170" s="5" t="inlineStr">
        <x:is>
          <x:t xml:space="preserve">#aether:is_aether; #cobblemon:is_temperate; the_bumblezone:floral_meadow</x:t>
        </x:is>
      </x:c>
      <x:c r="Q170" s="5" t="inlineStr">
        <x:is>
          <x:t xml:space="preserve">common</x:t>
        </x:is>
      </x:c>
      <x:c r="R170" s="5" t="inlineStr">
        <x:is>
          <x:t xml:space="preserve">night</x:t>
        </x:is>
      </x:c>
      <x:c r="S170" s="5" t="inlineStr">
        <x:is>
          <x:t xml:space="preserve">비=False</x:t>
        </x:is>
      </x:c>
      <x:c r="T170" s="5" t="inlineStr">
        <x:is>
          <x:t xml:space="preserve">비행</x:t>
        </x:is>
      </x:c>
      <x:c r="U170" s="5" t="inlineStr">
        <x:is>
          <x:t xml:space="preserve">개활지</x:t>
        </x:is>
      </x:c>
      <x:c r="V170" s="5" t="inlineStr">
        <x:is>
          <x:t xml:space="preserve">온대</x:t>
        </x:is>
      </x:c>
      <x:c r="W170" s="5" t="inlineStr">
        <x:is>
          <x:t xml:space="preserve">보통</x:t>
        </x:is>
      </x:c>
      <x:c r="X170" s="5" t="inlineStr">
        <x:is>
          <x:t xml:space="preserve">무관</x:t>
        </x:is>
      </x:c>
      <x:c r="Y170" s="5" t="inlineStr">
        <x:is>
          <x:t xml:space="preserve">밤</x:t>
        </x:is>
      </x:c>
      <x:c r="Z170" s="5" t="inlineStr">
        <x:is>
          <x:t xml:space="preserve">흔함</x:t>
        </x:is>
      </x:c>
      <x:c r="AA170" s="5" t="inlineStr">
        <x:is>
          <x:t xml:space="preserve">없음</x:t>
        </x:is>
      </x:c>
      <x:c r="AB170" s="5" t="inlineStr">
        <x:is>
          <x:t xml:space="preserve">평원</x:t>
        </x:is>
      </x:c>
      <x:c r="AC170" s="5" t="inlineStr">
        <x:is>
          <x:t xml:space="preserve">gen2</x:t>
        </x:is>
      </x:c>
      <x:c r="AD170" s="5" t="inlineStr">
        <x:is>
          <x:t xml:space="preserve">.tmp/cobblemon-1.7.3-source/common/src/main/resources/data/cobblemon/species/generation2/ledian.json</x:t>
        </x:is>
      </x:c>
    </x:row>
    <x:row r="171" ht="22" customHeight="1">
      <x:c r="A171" s="5" t="n">
        <x:v>167</x:v>
      </x:c>
      <x:c r="B171" s="5" t="inlineStr">
        <x:is>
          <x:t xml:space="preserve">페이검</x:t>
        </x:is>
      </x:c>
      <x:c r="C171" s="5" t="inlineStr">
        <x:is>
          <x:t xml:space="preserve">spinarak</x:t>
        </x:is>
      </x:c>
      <x:c r="D171" s="5" t="inlineStr">
        <x:is>
          <x:t xml:space="preserve">Spinarak</x:t>
        </x:is>
      </x:c>
      <x:c r="E171" s="5" t="n">
        <x:v>2</x:v>
      </x:c>
      <x:c r="F171" s="5" t="inlineStr">
        <x:is>
          <x:t xml:space="preserve">벌레</x:t>
        </x:is>
      </x:c>
      <x:c r="G171" s="5" t="inlineStr">
        <x:is>
          <x:t xml:space="preserve">독</x:t>
        </x:is>
      </x:c>
      <x:c r="H171" s="5" t="n">
        <x:v>0.5</x:v>
      </x:c>
      <x:c r="I171" s="5" t="n">
        <x:v>8.5</x:v>
      </x:c>
      <x:c r="J171" s="5" t="n">
        <x:v>250</x:v>
      </x:c>
      <x:c r="K171" s="5" t="n">
        <x:v>255</x:v>
      </x:c>
      <x:c r="L171" s="5" t="inlineStr">
        <x:is>
          <x:t xml:space="preserve">기본</x:t>
        </x:is>
      </x:c>
      <x:c r="M171" s="5" t="n">
        <x:v>22</x:v>
      </x:c>
      <x:c r="N171" s="5" t="inlineStr">
        <x:is>
          <x:t xml:space="preserve">레벨</x:t>
        </x:is>
      </x:c>
      <x:c r="O171" s="5" t="inlineStr">
        <x:is>
          <x:t xml:space="preserve">예</x:t>
        </x:is>
      </x:c>
      <x:c r="P171" s="5" t="inlineStr">
        <x:is>
          <x:t xml:space="preserve">#cobblemon:is_forest; #cobblemon:is_jungle; #cobblemon:is_overworld; #cobblemon:is_spooky</x:t>
        </x:is>
      </x:c>
      <x:c r="Q171" s="5" t="inlineStr">
        <x:is>
          <x:t xml:space="preserve">common</x:t>
        </x:is>
      </x:c>
      <x:c r="R171" s="5" t="inlineStr">
        <x:is>
          <x:t xml:space="preserve">night</x:t>
        </x:is>
      </x:c>
      <x:c r="S171" s="5" t="inlineStr">
        <x:is>
          <x:t xml:space="preserve">비=False</x:t>
        </x:is>
      </x:c>
      <x:c r="T171" s="5" t="inlineStr">
        <x:is>
          <x:t xml:space="preserve">육상</x:t>
        </x:is>
      </x:c>
      <x:c r="U171" s="5" t="inlineStr">
        <x:is>
          <x:t xml:space="preserve">수목</x:t>
        </x:is>
      </x:c>
      <x:c r="V171" s="5" t="inlineStr">
        <x:is>
          <x:t xml:space="preserve">온대</x:t>
        </x:is>
      </x:c>
      <x:c r="W171" s="5" t="inlineStr">
        <x:is>
          <x:t xml:space="preserve">다습</x:t>
        </x:is>
      </x:c>
      <x:c r="X171" s="5" t="inlineStr">
        <x:is>
          <x:t xml:space="preserve">무관</x:t>
        </x:is>
      </x:c>
      <x:c r="Y171" s="5" t="inlineStr">
        <x:is>
          <x:t xml:space="preserve">밤</x:t>
        </x:is>
      </x:c>
      <x:c r="Z171" s="5" t="inlineStr">
        <x:is>
          <x:t xml:space="preserve">흔함</x:t>
        </x:is>
      </x:c>
      <x:c r="AA171" s="5" t="inlineStr">
        <x:is>
          <x:t xml:space="preserve">영체</x:t>
        </x:is>
      </x:c>
      <x:c r="AB171" s="5" t="inlineStr">
        <x:is>
          <x:t xml:space="preserve">숲</x:t>
        </x:is>
      </x:c>
      <x:c r="AC171" s="5" t="inlineStr">
        <x:is>
          <x:t xml:space="preserve">gen2</x:t>
        </x:is>
      </x:c>
      <x:c r="AD171" s="5" t="inlineStr">
        <x:is>
          <x:t xml:space="preserve">.tmp/cobblemon-1.7.3-source/common/src/main/resources/data/cobblemon/species/generation2/spinarak.json</x:t>
        </x:is>
      </x:c>
    </x:row>
    <x:row r="172" ht="22" customHeight="1">
      <x:c r="A172" s="5" t="n">
        <x:v>168</x:v>
      </x:c>
      <x:c r="B172" s="5" t="inlineStr">
        <x:is>
          <x:t xml:space="preserve">아리아도스</x:t>
        </x:is>
      </x:c>
      <x:c r="C172" s="5" t="inlineStr">
        <x:is>
          <x:t xml:space="preserve">ariados</x:t>
        </x:is>
      </x:c>
      <x:c r="D172" s="5" t="inlineStr">
        <x:is>
          <x:t xml:space="preserve">Ariados</x:t>
        </x:is>
      </x:c>
      <x:c r="E172" s="5" t="n">
        <x:v>2</x:v>
      </x:c>
      <x:c r="F172" s="5" t="inlineStr">
        <x:is>
          <x:t xml:space="preserve">벌레</x:t>
        </x:is>
      </x:c>
      <x:c r="G172" s="5" t="inlineStr">
        <x:is>
          <x:t xml:space="preserve">독</x:t>
        </x:is>
      </x:c>
      <x:c r="H172" s="5" t="n">
        <x:v>1.1</x:v>
      </x:c>
      <x:c r="I172" s="5" t="n">
        <x:v>33.5</x:v>
      </x:c>
      <x:c r="J172" s="5" t="n">
        <x:v>400</x:v>
      </x:c>
      <x:c r="K172" s="5" t="n">
        <x:v>90</x:v>
      </x:c>
      <x:c r="L172" s="5" t="inlineStr">
        <x:is>
          <x:t xml:space="preserve">최종</x:t>
        </x:is>
      </x:c>
      <x:c r="M172" s="5" t="n">
        <x:v>22</x:v>
      </x:c>
      <x:c r="N172" s="5" t="inlineStr">
        <x:is>
          <x:t xml:space="preserve">레벨</x:t>
        </x:is>
      </x:c>
      <x:c r="O172" s="5" t="inlineStr">
        <x:is>
          <x:t xml:space="preserve">예</x:t>
        </x:is>
      </x:c>
      <x:c r="P172" s="5" t="inlineStr">
        <x:is>
          <x:t xml:space="preserve">#cobblemon:is_forest; #cobblemon:is_jungle; #cobblemon:is_overworld; #cobblemon:is_spooky</x:t>
        </x:is>
      </x:c>
      <x:c r="Q172" s="5" t="inlineStr">
        <x:is>
          <x:t xml:space="preserve">common</x:t>
        </x:is>
      </x:c>
      <x:c r="R172" s="5" t="inlineStr">
        <x:is>
          <x:t xml:space="preserve">night</x:t>
        </x:is>
      </x:c>
      <x:c r="S172" s="5" t="inlineStr">
        <x:is>
          <x:t xml:space="preserve">비=False</x:t>
        </x:is>
      </x:c>
      <x:c r="T172" s="5" t="inlineStr">
        <x:is>
          <x:t xml:space="preserve">육상</x:t>
        </x:is>
      </x:c>
      <x:c r="U172" s="5" t="inlineStr">
        <x:is>
          <x:t xml:space="preserve">수목</x:t>
        </x:is>
      </x:c>
      <x:c r="V172" s="5" t="inlineStr">
        <x:is>
          <x:t xml:space="preserve">온대</x:t>
        </x:is>
      </x:c>
      <x:c r="W172" s="5" t="inlineStr">
        <x:is>
          <x:t xml:space="preserve">다습</x:t>
        </x:is>
      </x:c>
      <x:c r="X172" s="5" t="inlineStr">
        <x:is>
          <x:t xml:space="preserve">무관</x:t>
        </x:is>
      </x:c>
      <x:c r="Y172" s="5" t="inlineStr">
        <x:is>
          <x:t xml:space="preserve">밤</x:t>
        </x:is>
      </x:c>
      <x:c r="Z172" s="5" t="inlineStr">
        <x:is>
          <x:t xml:space="preserve">흔함</x:t>
        </x:is>
      </x:c>
      <x:c r="AA172" s="5" t="inlineStr">
        <x:is>
          <x:t xml:space="preserve">영체</x:t>
        </x:is>
      </x:c>
      <x:c r="AB172" s="5" t="inlineStr">
        <x:is>
          <x:t xml:space="preserve">숲</x:t>
        </x:is>
      </x:c>
      <x:c r="AC172" s="5" t="inlineStr">
        <x:is>
          <x:t xml:space="preserve">gen2</x:t>
        </x:is>
      </x:c>
      <x:c r="AD172" s="5" t="inlineStr">
        <x:is>
          <x:t xml:space="preserve">.tmp/cobblemon-1.7.3-source/common/src/main/resources/data/cobblemon/species/generation2/ariados.json</x:t>
        </x:is>
      </x:c>
    </x:row>
    <x:row r="173" ht="22" customHeight="1">
      <x:c r="A173" s="5" t="n">
        <x:v>169</x:v>
      </x:c>
      <x:c r="B173" s="5" t="inlineStr">
        <x:is>
          <x:t xml:space="preserve">크로뱃</x:t>
        </x:is>
      </x:c>
      <x:c r="C173" s="5" t="inlineStr">
        <x:is>
          <x:t xml:space="preserve">crobat</x:t>
        </x:is>
      </x:c>
      <x:c r="D173" s="5" t="inlineStr">
        <x:is>
          <x:t xml:space="preserve">Crobat</x:t>
        </x:is>
      </x:c>
      <x:c r="E173" s="5" t="n">
        <x:v>2</x:v>
      </x:c>
      <x:c r="F173" s="5" t="inlineStr">
        <x:is>
          <x:t xml:space="preserve">독</x:t>
        </x:is>
      </x:c>
      <x:c r="G173" s="5" t="inlineStr">
        <x:is>
          <x:t xml:space="preserve">비행</x:t>
        </x:is>
      </x:c>
      <x:c r="H173" s="5" t="n">
        <x:v>1.8</x:v>
      </x:c>
      <x:c r="I173" s="5" t="n">
        <x:v>75</x:v>
      </x:c>
      <x:c r="J173" s="5" t="n">
        <x:v>535</x:v>
      </x:c>
      <x:c r="K173" s="5" t="n">
        <x:v>90</x:v>
      </x:c>
      <x:c r="L173" s="5" t="inlineStr">
        <x:is>
          <x:t xml:space="preserve">최종</x:t>
        </x:is>
      </x:c>
      <x:c r="M173" s="5" t="n">
        <x:v>22</x:v>
      </x:c>
      <x:c r="N173" s="5" t="inlineStr">
        <x:is>
          <x:t xml:space="preserve">레벨·특수</x:t>
        </x:is>
      </x:c>
      <x:c r="O173" s="5" t="inlineStr">
        <x:is>
          <x:t xml:space="preserve">예</x:t>
        </x:is>
      </x:c>
      <x:c r="P173" s="5" t="inlineStr">
        <x:is>
          <x:t xml:space="preserve">#aether:is_aether; #cobblemon:is_deep_dark; #cobblemon:is_forest; #cobblemon:is_overworld; #cobblemon:is_spooky; #cobblemon:is_swamp</x:t>
        </x:is>
      </x:c>
      <x:c r="Q173" s="5" t="inlineStr">
        <x:is>
          <x:t xml:space="preserve">common; uncommon</x:t>
        </x:is>
      </x:c>
      <x:c r="R173" s="5" t="inlineStr">
        <x:is>
          <x:t xml:space="preserve">night</x:t>
        </x:is>
      </x:c>
      <x:c r="S173" s="5" t="inlineStr">
        <x:is>
          <x:t xml:space="preserve">비=False</x:t>
        </x:is>
      </x:c>
      <x:c r="T173" s="5" t="inlineStr">
        <x:is>
          <x:t xml:space="preserve">비행</x:t>
        </x:is>
      </x:c>
      <x:c r="U173" s="5" t="inlineStr">
        <x:is>
          <x:t xml:space="preserve">특수</x:t>
        </x:is>
      </x:c>
      <x:c r="V173" s="5" t="inlineStr">
        <x:is>
          <x:t xml:space="preserve">온대</x:t>
        </x:is>
      </x:c>
      <x:c r="W173" s="5" t="inlineStr">
        <x:is>
          <x:t xml:space="preserve">보통</x:t>
        </x:is>
      </x:c>
      <x:c r="X173" s="5" t="inlineStr">
        <x:is>
          <x:t xml:space="preserve">무관</x:t>
        </x:is>
      </x:c>
      <x:c r="Y173" s="5" t="inlineStr">
        <x:is>
          <x:t xml:space="preserve">밤</x:t>
        </x:is>
      </x:c>
      <x:c r="Z173" s="5" t="inlineStr">
        <x:is>
          <x:t xml:space="preserve">보통</x:t>
        </x:is>
      </x:c>
      <x:c r="AA173" s="5" t="inlineStr">
        <x:is>
          <x:t xml:space="preserve">영체</x:t>
        </x:is>
      </x:c>
      <x:c r="AB173" s="5" t="inlineStr">
        <x:is>
          <x:t xml:space="preserve">특수</x:t>
        </x:is>
      </x:c>
      <x:c r="AC173" s="5" t="inlineStr">
        <x:is>
          <x:t xml:space="preserve">gen2</x:t>
        </x:is>
      </x:c>
      <x:c r="AD173" s="5" t="inlineStr">
        <x:is>
          <x:t xml:space="preserve">.tmp/cobblemon-1.7.3-source/common/src/main/resources/data/cobblemon/species/generation2/crobat.json</x:t>
        </x:is>
      </x:c>
    </x:row>
    <x:row r="174" ht="22" customHeight="1">
      <x:c r="A174" s="5" t="n">
        <x:v>170</x:v>
      </x:c>
      <x:c r="B174" s="5" t="inlineStr">
        <x:is>
          <x:t xml:space="preserve">초라기</x:t>
        </x:is>
      </x:c>
      <x:c r="C174" s="5" t="inlineStr">
        <x:is>
          <x:t xml:space="preserve">chinchou</x:t>
        </x:is>
      </x:c>
      <x:c r="D174" s="5" t="inlineStr">
        <x:is>
          <x:t xml:space="preserve">Chinchou</x:t>
        </x:is>
      </x:c>
      <x:c r="E174" s="5" t="n">
        <x:v>2</x:v>
      </x:c>
      <x:c r="F174" s="5" t="inlineStr">
        <x:is>
          <x:t xml:space="preserve">물</x:t>
        </x:is>
      </x:c>
      <x:c r="G174" s="5" t="inlineStr">
        <x:is>
          <x:t xml:space="preserve">전기</x:t>
        </x:is>
      </x:c>
      <x:c r="H174" s="5" t="n">
        <x:v>0.5</x:v>
      </x:c>
      <x:c r="I174" s="5" t="n">
        <x:v>12</x:v>
      </x:c>
      <x:c r="J174" s="5" t="n">
        <x:v>330</x:v>
      </x:c>
      <x:c r="K174" s="5" t="n">
        <x:v>190</x:v>
      </x:c>
      <x:c r="L174" s="5" t="inlineStr">
        <x:is>
          <x:t xml:space="preserve">기본</x:t>
        </x:is>
      </x:c>
      <x:c r="M174" s="5" t="n">
        <x:v>27</x:v>
      </x:c>
      <x:c r="N174" s="5" t="inlineStr">
        <x:is>
          <x:t xml:space="preserve">레벨</x:t>
        </x:is>
      </x:c>
      <x:c r="O174" s="5" t="inlineStr">
        <x:is>
          <x:t xml:space="preserve">예</x:t>
        </x:is>
      </x:c>
      <x:c r="P174" s="5" t="inlineStr">
        <x:is>
          <x:t xml:space="preserve">#cobblemon:is_deep_ocean; #cobblemon:is_ocean; #cobblemon:is_overworld</x:t>
        </x:is>
      </x:c>
      <x:c r="Q174" s="5" t="inlineStr">
        <x:is>
          <x:t xml:space="preserve">common</x:t>
        </x:is>
      </x:c>
      <x:c r="R174" s="5" t="inlineStr">
        <x:is>
          <x:t xml:space="preserve"/>
        </x:is>
      </x:c>
      <x:c r="S174" s="5" t="inlineStr">
        <x:is>
          <x:t xml:space="preserve"/>
        </x:is>
      </x:c>
      <x:c r="T174" s="5" t="inlineStr">
        <x:is>
          <x:t xml:space="preserve">해양</x:t>
        </x:is>
      </x:c>
      <x:c r="U174" s="5" t="inlineStr">
        <x:is>
          <x:t xml:space="preserve">해안·해양</x:t>
        </x:is>
      </x:c>
      <x:c r="V174" s="5" t="inlineStr">
        <x:is>
          <x:t xml:space="preserve">온대</x:t>
        </x:is>
      </x:c>
      <x:c r="W174" s="5" t="inlineStr">
        <x:is>
          <x:t xml:space="preserve">수중</x:t>
        </x:is>
      </x:c>
      <x:c r="X174" s="5" t="inlineStr">
        <x:is>
          <x:t xml:space="preserve">비</x:t>
        </x:is>
      </x:c>
      <x:c r="Y174" s="5" t="inlineStr">
        <x:is>
          <x:t xml:space="preserve">무관</x:t>
        </x:is>
      </x:c>
      <x:c r="Z174" s="5" t="inlineStr">
        <x:is>
          <x:t xml:space="preserve">흔함</x:t>
        </x:is>
      </x:c>
      <x:c r="AA174" s="5" t="inlineStr">
        <x:is>
          <x:t xml:space="preserve">심해</x:t>
        </x:is>
      </x:c>
      <x:c r="AB174" s="5" t="inlineStr">
        <x:is>
          <x:t xml:space="preserve">해양</x:t>
        </x:is>
      </x:c>
      <x:c r="AC174" s="5" t="inlineStr">
        <x:is>
          <x:t xml:space="preserve">gen2</x:t>
        </x:is>
      </x:c>
      <x:c r="AD174" s="5" t="inlineStr">
        <x:is>
          <x:t xml:space="preserve">.tmp/cobblemon-1.7.3-source/common/src/main/resources/data/cobblemon/species/generation2/chinchou.json</x:t>
        </x:is>
      </x:c>
    </x:row>
    <x:row r="175" ht="22" customHeight="1">
      <x:c r="A175" s="5" t="n">
        <x:v>171</x:v>
      </x:c>
      <x:c r="B175" s="5" t="inlineStr">
        <x:is>
          <x:t xml:space="preserve">랜턴</x:t>
        </x:is>
      </x:c>
      <x:c r="C175" s="5" t="inlineStr">
        <x:is>
          <x:t xml:space="preserve">lanturn</x:t>
        </x:is>
      </x:c>
      <x:c r="D175" s="5" t="inlineStr">
        <x:is>
          <x:t xml:space="preserve">Lanturn</x:t>
        </x:is>
      </x:c>
      <x:c r="E175" s="5" t="n">
        <x:v>2</x:v>
      </x:c>
      <x:c r="F175" s="5" t="inlineStr">
        <x:is>
          <x:t xml:space="preserve">물</x:t>
        </x:is>
      </x:c>
      <x:c r="G175" s="5" t="inlineStr">
        <x:is>
          <x:t xml:space="preserve">전기</x:t>
        </x:is>
      </x:c>
      <x:c r="H175" s="5" t="n">
        <x:v>1.2</x:v>
      </x:c>
      <x:c r="I175" s="5" t="n">
        <x:v>22.5</x:v>
      </x:c>
      <x:c r="J175" s="5" t="n">
        <x:v>460</x:v>
      </x:c>
      <x:c r="K175" s="5" t="n">
        <x:v>75</x:v>
      </x:c>
      <x:c r="L175" s="5" t="inlineStr">
        <x:is>
          <x:t xml:space="preserve">최종</x:t>
        </x:is>
      </x:c>
      <x:c r="M175" s="5" t="n">
        <x:v>27</x:v>
      </x:c>
      <x:c r="N175" s="5" t="inlineStr">
        <x:is>
          <x:t xml:space="preserve">레벨</x:t>
        </x:is>
      </x:c>
      <x:c r="O175" s="5" t="inlineStr">
        <x:is>
          <x:t xml:space="preserve">예</x:t>
        </x:is>
      </x:c>
      <x:c r="P175" s="5" t="inlineStr">
        <x:is>
          <x:t xml:space="preserve">#cobblemon:is_deep_ocean; #cobblemon:is_ocean; #cobblemon:is_overworld</x:t>
        </x:is>
      </x:c>
      <x:c r="Q175" s="5" t="inlineStr">
        <x:is>
          <x:t xml:space="preserve">common</x:t>
        </x:is>
      </x:c>
      <x:c r="R175" s="5" t="inlineStr">
        <x:is>
          <x:t xml:space="preserve"/>
        </x:is>
      </x:c>
      <x:c r="S175" s="5" t="inlineStr">
        <x:is>
          <x:t xml:space="preserve"/>
        </x:is>
      </x:c>
      <x:c r="T175" s="5" t="inlineStr">
        <x:is>
          <x:t xml:space="preserve">해양</x:t>
        </x:is>
      </x:c>
      <x:c r="U175" s="5" t="inlineStr">
        <x:is>
          <x:t xml:space="preserve">해안·해양</x:t>
        </x:is>
      </x:c>
      <x:c r="V175" s="5" t="inlineStr">
        <x:is>
          <x:t xml:space="preserve">온대</x:t>
        </x:is>
      </x:c>
      <x:c r="W175" s="5" t="inlineStr">
        <x:is>
          <x:t xml:space="preserve">수중</x:t>
        </x:is>
      </x:c>
      <x:c r="X175" s="5" t="inlineStr">
        <x:is>
          <x:t xml:space="preserve">비</x:t>
        </x:is>
      </x:c>
      <x:c r="Y175" s="5" t="inlineStr">
        <x:is>
          <x:t xml:space="preserve">무관</x:t>
        </x:is>
      </x:c>
      <x:c r="Z175" s="5" t="inlineStr">
        <x:is>
          <x:t xml:space="preserve">흔함</x:t>
        </x:is>
      </x:c>
      <x:c r="AA175" s="5" t="inlineStr">
        <x:is>
          <x:t xml:space="preserve">심해</x:t>
        </x:is>
      </x:c>
      <x:c r="AB175" s="5" t="inlineStr">
        <x:is>
          <x:t xml:space="preserve">해양</x:t>
        </x:is>
      </x:c>
      <x:c r="AC175" s="5" t="inlineStr">
        <x:is>
          <x:t xml:space="preserve">gen2</x:t>
        </x:is>
      </x:c>
      <x:c r="AD175" s="5" t="inlineStr">
        <x:is>
          <x:t xml:space="preserve">.tmp/cobblemon-1.7.3-source/common/src/main/resources/data/cobblemon/species/generation2/lanturn.json</x:t>
        </x:is>
      </x:c>
    </x:row>
    <x:row r="176" ht="22" customHeight="1">
      <x:c r="A176" s="5" t="n">
        <x:v>172</x:v>
      </x:c>
      <x:c r="B176" s="5" t="inlineStr">
        <x:is>
          <x:t xml:space="preserve">피츄</x:t>
        </x:is>
      </x:c>
      <x:c r="C176" s="5" t="inlineStr">
        <x:is>
          <x:t xml:space="preserve">pichu</x:t>
        </x:is>
      </x:c>
      <x:c r="D176" s="5" t="inlineStr">
        <x:is>
          <x:t xml:space="preserve">Pichu</x:t>
        </x:is>
      </x:c>
      <x:c r="E176" s="5" t="n">
        <x:v>2</x:v>
      </x:c>
      <x:c r="F176" s="5" t="inlineStr">
        <x:is>
          <x:t xml:space="preserve">전기</x:t>
        </x:is>
      </x:c>
      <x:c r="G176" s="5" t="inlineStr">
        <x:is>
          <x:t xml:space="preserve"/>
        </x:is>
      </x:c>
      <x:c r="H176" s="5" t="n">
        <x:v>0.3</x:v>
      </x:c>
      <x:c r="I176" s="5" t="n">
        <x:v>2</x:v>
      </x:c>
      <x:c r="J176" s="5" t="n">
        <x:v>205</x:v>
      </x:c>
      <x:c r="K176" s="5" t="n">
        <x:v>190</x:v>
      </x:c>
      <x:c r="L176" s="5" t="inlineStr">
        <x:is>
          <x:t xml:space="preserve">기본</x:t>
        </x:is>
      </x:c>
      <x:c r="M176" s="5" t="n"/>
      <x:c r="N176" s="5" t="inlineStr">
        <x:is>
          <x:t xml:space="preserve">특수</x:t>
        </x:is>
      </x:c>
      <x:c r="O176" s="5" t="inlineStr">
        <x:is>
          <x:t xml:space="preserve">예</x:t>
        </x:is>
      </x:c>
      <x:c r="P176" s="5" t="inlineStr">
        <x:is>
          <x:t xml:space="preserve">#cobblemon:is_beach; #cobblemon:is_forest; #cobblemon:is_tropical_island; aether:skyroot_forest; aether:skyroot_woodland</x:t>
        </x:is>
      </x:c>
      <x:c r="Q176" s="5" t="inlineStr">
        <x:is>
          <x:t xml:space="preserve">uncommon</x:t>
        </x:is>
      </x:c>
      <x:c r="R176" s="5" t="inlineStr">
        <x:is>
          <x:t xml:space="preserve"/>
        </x:is>
      </x:c>
      <x:c r="S176" s="5" t="inlineStr">
        <x:is>
          <x:t xml:space="preserve"/>
        </x:is>
      </x:c>
      <x:c r="T176" s="5" t="inlineStr">
        <x:is>
          <x:t xml:space="preserve">육상</x:t>
        </x:is>
      </x:c>
      <x:c r="U176" s="5" t="inlineStr">
        <x:is>
          <x:t xml:space="preserve">수목</x:t>
        </x:is>
      </x:c>
      <x:c r="V176" s="5" t="inlineStr">
        <x:is>
          <x:t xml:space="preserve">온대</x:t>
        </x:is>
      </x:c>
      <x:c r="W176" s="5" t="inlineStr">
        <x:is>
          <x:t xml:space="preserve">보통</x:t>
        </x:is>
      </x:c>
      <x:c r="X176" s="5" t="inlineStr">
        <x:is>
          <x:t xml:space="preserve">무관</x:t>
        </x:is>
      </x:c>
      <x:c r="Y176" s="5" t="inlineStr">
        <x:is>
          <x:t xml:space="preserve">무관</x:t>
        </x:is>
      </x:c>
      <x:c r="Z176" s="5" t="inlineStr">
        <x:is>
          <x:t xml:space="preserve">보통</x:t>
        </x:is>
      </x:c>
      <x:c r="AA176" s="5" t="inlineStr">
        <x:is>
          <x:t xml:space="preserve">없음</x:t>
        </x:is>
      </x:c>
      <x:c r="AB176" s="5" t="inlineStr">
        <x:is>
          <x:t xml:space="preserve">숲</x:t>
        </x:is>
      </x:c>
      <x:c r="AC176" s="5" t="inlineStr">
        <x:is>
          <x:t xml:space="preserve">baby; gen2; johtonian_form</x:t>
        </x:is>
      </x:c>
      <x:c r="AD176" s="5" t="inlineStr">
        <x:is>
          <x:t xml:space="preserve">.tmp/cobblemon-1.7.3-source/common/src/main/resources/data/cobblemon/species/generation2/pichu.json</x:t>
        </x:is>
      </x:c>
    </x:row>
    <x:row r="177" ht="22" customHeight="1">
      <x:c r="A177" s="5" t="n">
        <x:v>173</x:v>
      </x:c>
      <x:c r="B177" s="5" t="inlineStr">
        <x:is>
          <x:t xml:space="preserve">삐</x:t>
        </x:is>
      </x:c>
      <x:c r="C177" s="5" t="inlineStr">
        <x:is>
          <x:t xml:space="preserve">cleffa</x:t>
        </x:is>
      </x:c>
      <x:c r="D177" s="5" t="inlineStr">
        <x:is>
          <x:t xml:space="preserve">Cleffa</x:t>
        </x:is>
      </x:c>
      <x:c r="E177" s="5" t="n">
        <x:v>2</x:v>
      </x:c>
      <x:c r="F177" s="5" t="inlineStr">
        <x:is>
          <x:t xml:space="preserve">페어리</x:t>
        </x:is>
      </x:c>
      <x:c r="G177" s="5" t="inlineStr">
        <x:is>
          <x:t xml:space="preserve"/>
        </x:is>
      </x:c>
      <x:c r="H177" s="5" t="n">
        <x:v>0.3</x:v>
      </x:c>
      <x:c r="I177" s="5" t="n">
        <x:v>3</x:v>
      </x:c>
      <x:c r="J177" s="5" t="n">
        <x:v>218</x:v>
      </x:c>
      <x:c r="K177" s="5" t="n">
        <x:v>150</x:v>
      </x:c>
      <x:c r="L177" s="5" t="inlineStr">
        <x:is>
          <x:t xml:space="preserve">기본</x:t>
        </x:is>
      </x:c>
      <x:c r="M177" s="5" t="n"/>
      <x:c r="N177" s="5" t="inlineStr">
        <x:is>
          <x:t xml:space="preserve">특수</x:t>
        </x:is>
      </x:c>
      <x:c r="O177" s="5" t="inlineStr">
        <x:is>
          <x:t xml:space="preserve">예</x:t>
        </x:is>
      </x:c>
      <x:c r="P177" s="5" t="inlineStr">
        <x:is>
          <x:t xml:space="preserve">#aether:is_aether; #cobblemon:is_dripstone; #cobblemon:is_hills; #cobblemon:is_magical</x:t>
        </x:is>
      </x:c>
      <x:c r="Q177" s="5" t="inlineStr">
        <x:is>
          <x:t xml:space="preserve">uncommon</x:t>
        </x:is>
      </x:c>
      <x:c r="R177" s="5" t="inlineStr">
        <x:is>
          <x:t xml:space="preserve">night</x:t>
        </x:is>
      </x:c>
      <x:c r="S177" s="5" t="inlineStr">
        <x:is>
          <x:t xml:space="preserve"/>
        </x:is>
      </x:c>
      <x:c r="T177" s="5" t="inlineStr">
        <x:is>
          <x:t xml:space="preserve">육상</x:t>
        </x:is>
      </x:c>
      <x:c r="U177" s="5" t="inlineStr">
        <x:is>
          <x:t xml:space="preserve">동굴</x:t>
        </x:is>
      </x:c>
      <x:c r="V177" s="5" t="inlineStr">
        <x:is>
          <x:t xml:space="preserve">온대</x:t>
        </x:is>
      </x:c>
      <x:c r="W177" s="5" t="inlineStr">
        <x:is>
          <x:t xml:space="preserve">보통</x:t>
        </x:is>
      </x:c>
      <x:c r="X177" s="5" t="inlineStr">
        <x:is>
          <x:t xml:space="preserve">무관</x:t>
        </x:is>
      </x:c>
      <x:c r="Y177" s="5" t="inlineStr">
        <x:is>
          <x:t xml:space="preserve">밤</x:t>
        </x:is>
      </x:c>
      <x:c r="Z177" s="5" t="inlineStr">
        <x:is>
          <x:t xml:space="preserve">보통</x:t>
        </x:is>
      </x:c>
      <x:c r="AA177" s="5" t="inlineStr">
        <x:is>
          <x:t xml:space="preserve">동굴</x:t>
        </x:is>
      </x:c>
      <x:c r="AB177" s="5" t="inlineStr">
        <x:is>
          <x:t xml:space="preserve">동굴</x:t>
        </x:is>
      </x:c>
      <x:c r="AC177" s="5" t="inlineStr">
        <x:is>
          <x:t xml:space="preserve">baby; gen2</x:t>
        </x:is>
      </x:c>
      <x:c r="AD177" s="5" t="inlineStr">
        <x:is>
          <x:t xml:space="preserve">.tmp/cobblemon-1.7.3-source/common/src/main/resources/data/cobblemon/species/generation2/cleffa.json</x:t>
        </x:is>
      </x:c>
    </x:row>
    <x:row r="178" ht="22" customHeight="1">
      <x:c r="A178" s="5" t="n">
        <x:v>174</x:v>
      </x:c>
      <x:c r="B178" s="5" t="inlineStr">
        <x:is>
          <x:t xml:space="preserve">푸푸린</x:t>
        </x:is>
      </x:c>
      <x:c r="C178" s="5" t="inlineStr">
        <x:is>
          <x:t xml:space="preserve">igglybuff</x:t>
        </x:is>
      </x:c>
      <x:c r="D178" s="5" t="inlineStr">
        <x:is>
          <x:t xml:space="preserve">Igglybuff</x:t>
        </x:is>
      </x:c>
      <x:c r="E178" s="5" t="n">
        <x:v>2</x:v>
      </x:c>
      <x:c r="F178" s="5" t="inlineStr">
        <x:is>
          <x:t xml:space="preserve">노말</x:t>
        </x:is>
      </x:c>
      <x:c r="G178" s="5" t="inlineStr">
        <x:is>
          <x:t xml:space="preserve">페어리</x:t>
        </x:is>
      </x:c>
      <x:c r="H178" s="5" t="n">
        <x:v>0.3</x:v>
      </x:c>
      <x:c r="I178" s="5" t="n">
        <x:v>1</x:v>
      </x:c>
      <x:c r="J178" s="5" t="n">
        <x:v>210</x:v>
      </x:c>
      <x:c r="K178" s="5" t="n">
        <x:v>170</x:v>
      </x:c>
      <x:c r="L178" s="5" t="inlineStr">
        <x:is>
          <x:t xml:space="preserve">기본</x:t>
        </x:is>
      </x:c>
      <x:c r="M178" s="5" t="n"/>
      <x:c r="N178" s="5" t="inlineStr">
        <x:is>
          <x:t xml:space="preserve">특수</x:t>
        </x:is>
      </x:c>
      <x:c r="O178" s="5" t="inlineStr">
        <x:is>
          <x:t xml:space="preserve">예</x:t>
        </x:is>
      </x:c>
      <x:c r="P178" s="5" t="inlineStr">
        <x:is>
          <x:t xml:space="preserve">#cobblemon:is_floral; #cobblemon:is_plains; aether:skyroot_grove; aether:skyroot_meadow</x:t>
        </x:is>
      </x:c>
      <x:c r="Q178" s="5" t="inlineStr">
        <x:is>
          <x:t xml:space="preserve">common</x:t>
        </x:is>
      </x:c>
      <x:c r="R178" s="5" t="inlineStr">
        <x:is>
          <x:t xml:space="preserve"/>
        </x:is>
      </x:c>
      <x:c r="S178" s="5" t="inlineStr">
        <x:is>
          <x:t xml:space="preserve"/>
        </x:is>
      </x:c>
      <x:c r="T178" s="5" t="inlineStr">
        <x:is>
          <x:t xml:space="preserve">비행</x:t>
        </x:is>
      </x:c>
      <x:c r="U178" s="5" t="inlineStr">
        <x:is>
          <x:t xml:space="preserve">개활지</x:t>
        </x:is>
      </x:c>
      <x:c r="V178" s="5" t="inlineStr">
        <x:is>
          <x:t xml:space="preserve">온대</x:t>
        </x:is>
      </x:c>
      <x:c r="W178" s="5" t="inlineStr">
        <x:is>
          <x:t xml:space="preserve">보통</x:t>
        </x:is>
      </x:c>
      <x:c r="X178" s="5" t="inlineStr">
        <x:is>
          <x:t xml:space="preserve">무관</x:t>
        </x:is>
      </x:c>
      <x:c r="Y178" s="5" t="inlineStr">
        <x:is>
          <x:t xml:space="preserve">무관</x:t>
        </x:is>
      </x:c>
      <x:c r="Z178" s="5" t="inlineStr">
        <x:is>
          <x:t xml:space="preserve">흔함</x:t>
        </x:is>
      </x:c>
      <x:c r="AA178" s="5" t="inlineStr">
        <x:is>
          <x:t xml:space="preserve">없음</x:t>
        </x:is>
      </x:c>
      <x:c r="AB178" s="5" t="inlineStr">
        <x:is>
          <x:t xml:space="preserve">평원</x:t>
        </x:is>
      </x:c>
      <x:c r="AC178" s="5" t="inlineStr">
        <x:is>
          <x:t xml:space="preserve">baby; gen2</x:t>
        </x:is>
      </x:c>
      <x:c r="AD178" s="5" t="inlineStr">
        <x:is>
          <x:t xml:space="preserve">.tmp/cobblemon-1.7.3-source/common/src/main/resources/data/cobblemon/species/generation2/igglybuff.json</x:t>
        </x:is>
      </x:c>
    </x:row>
    <x:row r="179" ht="22" customHeight="1">
      <x:c r="A179" s="5" t="n">
        <x:v>175</x:v>
      </x:c>
      <x:c r="B179" s="5" t="inlineStr">
        <x:is>
          <x:t xml:space="preserve">토게피</x:t>
        </x:is>
      </x:c>
      <x:c r="C179" s="5" t="inlineStr">
        <x:is>
          <x:t xml:space="preserve">togepi</x:t>
        </x:is>
      </x:c>
      <x:c r="D179" s="5" t="inlineStr">
        <x:is>
          <x:t xml:space="preserve">Togepi</x:t>
        </x:is>
      </x:c>
      <x:c r="E179" s="5" t="n">
        <x:v>2</x:v>
      </x:c>
      <x:c r="F179" s="5" t="inlineStr">
        <x:is>
          <x:t xml:space="preserve">페어리</x:t>
        </x:is>
      </x:c>
      <x:c r="G179" s="5" t="inlineStr">
        <x:is>
          <x:t xml:space="preserve"/>
        </x:is>
      </x:c>
      <x:c r="H179" s="5" t="n">
        <x:v>0.3</x:v>
      </x:c>
      <x:c r="I179" s="5" t="n">
        <x:v>1.5</x:v>
      </x:c>
      <x:c r="J179" s="5" t="n">
        <x:v>245</x:v>
      </x:c>
      <x:c r="K179" s="5" t="n">
        <x:v>190</x:v>
      </x:c>
      <x:c r="L179" s="5" t="inlineStr">
        <x:is>
          <x:t xml:space="preserve">기본</x:t>
        </x:is>
      </x:c>
      <x:c r="M179" s="5" t="n"/>
      <x:c r="N179" s="5" t="inlineStr">
        <x:is>
          <x:t xml:space="preserve">특수</x:t>
        </x:is>
      </x:c>
      <x:c r="O179" s="5" t="inlineStr">
        <x:is>
          <x:t xml:space="preserve">예</x:t>
        </x:is>
      </x:c>
      <x:c r="P179" s="5" t="inlineStr">
        <x:is>
          <x:t xml:space="preserve">#cobblemon:is_floral; #cobblemon:is_magical; #cobblemon:is_sky; aether:skyroot_grove; aether:skyroot_meadow; the_bumblezone:floral_meadow</x:t>
        </x:is>
      </x:c>
      <x:c r="Q179" s="5" t="inlineStr">
        <x:is>
          <x:t xml:space="preserve">rare</x:t>
        </x:is>
      </x:c>
      <x:c r="R179" s="5" t="inlineStr">
        <x:is>
          <x:t xml:space="preserve">day</x:t>
        </x:is>
      </x:c>
      <x:c r="S179" s="5" t="inlineStr">
        <x:is>
          <x:t xml:space="preserve">비=False</x:t>
        </x:is>
      </x:c>
      <x:c r="T179" s="5" t="inlineStr">
        <x:is>
          <x:t xml:space="preserve">육상</x:t>
        </x:is>
      </x:c>
      <x:c r="U179" s="5" t="inlineStr">
        <x:is>
          <x:t xml:space="preserve">개활지</x:t>
        </x:is>
      </x:c>
      <x:c r="V179" s="5" t="inlineStr">
        <x:is>
          <x:t xml:space="preserve">온대</x:t>
        </x:is>
      </x:c>
      <x:c r="W179" s="5" t="inlineStr">
        <x:is>
          <x:t xml:space="preserve">보통</x:t>
        </x:is>
      </x:c>
      <x:c r="X179" s="5" t="inlineStr">
        <x:is>
          <x:t xml:space="preserve">무관</x:t>
        </x:is>
      </x:c>
      <x:c r="Y179" s="5" t="inlineStr">
        <x:is>
          <x:t xml:space="preserve">낮</x:t>
        </x:is>
      </x:c>
      <x:c r="Z179" s="5" t="inlineStr">
        <x:is>
          <x:t xml:space="preserve">드묾</x:t>
        </x:is>
      </x:c>
      <x:c r="AA179" s="5" t="inlineStr">
        <x:is>
          <x:t xml:space="preserve">없음</x:t>
        </x:is>
      </x:c>
      <x:c r="AB179" s="5" t="inlineStr">
        <x:is>
          <x:t xml:space="preserve">평원</x:t>
        </x:is>
      </x:c>
      <x:c r="AC179" s="5" t="inlineStr">
        <x:is>
          <x:t xml:space="preserve">baby; gen2</x:t>
        </x:is>
      </x:c>
      <x:c r="AD179" s="5" t="inlineStr">
        <x:is>
          <x:t xml:space="preserve">.tmp/cobblemon-1.7.3-source/common/src/main/resources/data/cobblemon/species/generation2/togepi.json</x:t>
        </x:is>
      </x:c>
    </x:row>
    <x:row r="180" ht="22" customHeight="1">
      <x:c r="A180" s="5" t="n">
        <x:v>176</x:v>
      </x:c>
      <x:c r="B180" s="5" t="inlineStr">
        <x:is>
          <x:t xml:space="preserve">토게틱</x:t>
        </x:is>
      </x:c>
      <x:c r="C180" s="5" t="inlineStr">
        <x:is>
          <x:t xml:space="preserve">togetic</x:t>
        </x:is>
      </x:c>
      <x:c r="D180" s="5" t="inlineStr">
        <x:is>
          <x:t xml:space="preserve">Togetic</x:t>
        </x:is>
      </x:c>
      <x:c r="E180" s="5" t="n">
        <x:v>2</x:v>
      </x:c>
      <x:c r="F180" s="5" t="inlineStr">
        <x:is>
          <x:t xml:space="preserve">페어리</x:t>
        </x:is>
      </x:c>
      <x:c r="G180" s="5" t="inlineStr">
        <x:is>
          <x:t xml:space="preserve">비행</x:t>
        </x:is>
      </x:c>
      <x:c r="H180" s="5" t="n">
        <x:v>0.6</x:v>
      </x:c>
      <x:c r="I180" s="5" t="n">
        <x:v>3.2</x:v>
      </x:c>
      <x:c r="J180" s="5" t="n">
        <x:v>405</x:v>
      </x:c>
      <x:c r="K180" s="5" t="n">
        <x:v>75</x:v>
      </x:c>
      <x:c r="L180" s="5" t="inlineStr">
        <x:is>
          <x:t xml:space="preserve">중간</x:t>
        </x:is>
      </x:c>
      <x:c r="M180" s="5" t="n"/>
      <x:c r="N180" s="5" t="inlineStr">
        <x:is>
          <x:t xml:space="preserve">특수</x:t>
        </x:is>
      </x:c>
      <x:c r="O180" s="5" t="inlineStr">
        <x:is>
          <x:t xml:space="preserve">예</x:t>
        </x:is>
      </x:c>
      <x:c r="P180" s="5" t="inlineStr">
        <x:is>
          <x:t xml:space="preserve">#cobblemon:is_floral; #cobblemon:is_magical; #cobblemon:is_sky; aether:skyroot_grove; aether:skyroot_meadow; the_bumblezone:floral_meadow</x:t>
        </x:is>
      </x:c>
      <x:c r="Q180" s="5" t="inlineStr">
        <x:is>
          <x:t xml:space="preserve">rare</x:t>
        </x:is>
      </x:c>
      <x:c r="R180" s="5" t="inlineStr">
        <x:is>
          <x:t xml:space="preserve">day</x:t>
        </x:is>
      </x:c>
      <x:c r="S180" s="5" t="inlineStr">
        <x:is>
          <x:t xml:space="preserve">비=False</x:t>
        </x:is>
      </x:c>
      <x:c r="T180" s="5" t="inlineStr">
        <x:is>
          <x:t xml:space="preserve">비행</x:t>
        </x:is>
      </x:c>
      <x:c r="U180" s="5" t="inlineStr">
        <x:is>
          <x:t xml:space="preserve">개활지</x:t>
        </x:is>
      </x:c>
      <x:c r="V180" s="5" t="inlineStr">
        <x:is>
          <x:t xml:space="preserve">온대</x:t>
        </x:is>
      </x:c>
      <x:c r="W180" s="5" t="inlineStr">
        <x:is>
          <x:t xml:space="preserve">보통</x:t>
        </x:is>
      </x:c>
      <x:c r="X180" s="5" t="inlineStr">
        <x:is>
          <x:t xml:space="preserve">무관</x:t>
        </x:is>
      </x:c>
      <x:c r="Y180" s="5" t="inlineStr">
        <x:is>
          <x:t xml:space="preserve">낮</x:t>
        </x:is>
      </x:c>
      <x:c r="Z180" s="5" t="inlineStr">
        <x:is>
          <x:t xml:space="preserve">드묾</x:t>
        </x:is>
      </x:c>
      <x:c r="AA180" s="5" t="inlineStr">
        <x:is>
          <x:t xml:space="preserve">없음</x:t>
        </x:is>
      </x:c>
      <x:c r="AB180" s="5" t="inlineStr">
        <x:is>
          <x:t xml:space="preserve">평원</x:t>
        </x:is>
      </x:c>
      <x:c r="AC180" s="5" t="inlineStr">
        <x:is>
          <x:t xml:space="preserve">gen2</x:t>
        </x:is>
      </x:c>
      <x:c r="AD180" s="5" t="inlineStr">
        <x:is>
          <x:t xml:space="preserve">.tmp/cobblemon-1.7.3-source/common/src/main/resources/data/cobblemon/species/generation2/togetic.json</x:t>
        </x:is>
      </x:c>
    </x:row>
    <x:row r="181" ht="22" customHeight="1">
      <x:c r="A181" s="5" t="n">
        <x:v>177</x:v>
      </x:c>
      <x:c r="B181" s="5" t="inlineStr">
        <x:is>
          <x:t xml:space="preserve">네이티</x:t>
        </x:is>
      </x:c>
      <x:c r="C181" s="5" t="inlineStr">
        <x:is>
          <x:t xml:space="preserve">natu</x:t>
        </x:is>
      </x:c>
      <x:c r="D181" s="5" t="inlineStr">
        <x:is>
          <x:t xml:space="preserve">Natu</x:t>
        </x:is>
      </x:c>
      <x:c r="E181" s="5" t="n">
        <x:v>2</x:v>
      </x:c>
      <x:c r="F181" s="5" t="inlineStr">
        <x:is>
          <x:t xml:space="preserve">에스퍼</x:t>
        </x:is>
      </x:c>
      <x:c r="G181" s="5" t="inlineStr">
        <x:is>
          <x:t xml:space="preserve">비행</x:t>
        </x:is>
      </x:c>
      <x:c r="H181" s="5" t="n">
        <x:v>0.2</x:v>
      </x:c>
      <x:c r="I181" s="5" t="n">
        <x:v>2</x:v>
      </x:c>
      <x:c r="J181" s="5" t="n">
        <x:v>320</x:v>
      </x:c>
      <x:c r="K181" s="5" t="n">
        <x:v>190</x:v>
      </x:c>
      <x:c r="L181" s="5" t="inlineStr">
        <x:is>
          <x:t xml:space="preserve">기본</x:t>
        </x:is>
      </x:c>
      <x:c r="M181" s="5" t="n">
        <x:v>25</x:v>
      </x:c>
      <x:c r="N181" s="5" t="inlineStr">
        <x:is>
          <x:t xml:space="preserve">레벨</x:t>
        </x:is>
      </x:c>
      <x:c r="O181" s="5" t="inlineStr">
        <x:is>
          <x:t xml:space="preserve">예</x:t>
        </x:is>
      </x:c>
      <x:c r="P181" s="5" t="inlineStr">
        <x:is>
          <x:t xml:space="preserve">#cobblemon:is_badlands; #cobblemon:is_overworld; #cobblemon:is_plateau</x:t>
        </x:is>
      </x:c>
      <x:c r="Q181" s="5" t="inlineStr">
        <x:is>
          <x:t xml:space="preserve">common</x:t>
        </x:is>
      </x:c>
      <x:c r="R181" s="5" t="inlineStr">
        <x:is>
          <x:t xml:space="preserve">day</x:t>
        </x:is>
      </x:c>
      <x:c r="S181" s="5" t="inlineStr">
        <x:is>
          <x:t xml:space="preserve"/>
        </x:is>
      </x:c>
      <x:c r="T181" s="5" t="inlineStr">
        <x:is>
          <x:t xml:space="preserve">비행</x:t>
        </x:is>
      </x:c>
      <x:c r="U181" s="5" t="inlineStr">
        <x:is>
          <x:t xml:space="preserve">건조</x:t>
        </x:is>
      </x:c>
      <x:c r="V181" s="5" t="inlineStr">
        <x:is>
          <x:t xml:space="preserve">고온</x:t>
        </x:is>
      </x:c>
      <x:c r="W181" s="5" t="inlineStr">
        <x:is>
          <x:t xml:space="preserve">건조</x:t>
        </x:is>
      </x:c>
      <x:c r="X181" s="5" t="inlineStr">
        <x:is>
          <x:t xml:space="preserve">맑음</x:t>
        </x:is>
      </x:c>
      <x:c r="Y181" s="5" t="inlineStr">
        <x:is>
          <x:t xml:space="preserve">낮</x:t>
        </x:is>
      </x:c>
      <x:c r="Z181" s="5" t="inlineStr">
        <x:is>
          <x:t xml:space="preserve">흔함</x:t>
        </x:is>
      </x:c>
      <x:c r="AA181" s="5" t="inlineStr">
        <x:is>
          <x:t xml:space="preserve">없음</x:t>
        </x:is>
      </x:c>
      <x:c r="AB181" s="5" t="inlineStr">
        <x:is>
          <x:t xml:space="preserve">건조지</x:t>
        </x:is>
      </x:c>
      <x:c r="AC181" s="5" t="inlineStr">
        <x:is>
          <x:t xml:space="preserve">gen2</x:t>
        </x:is>
      </x:c>
      <x:c r="AD181" s="5" t="inlineStr">
        <x:is>
          <x:t xml:space="preserve">.tmp/cobblemon-1.7.3-source/common/src/main/resources/data/cobblemon/species/generation2/natu.json</x:t>
        </x:is>
      </x:c>
    </x:row>
    <x:row r="182" ht="22" customHeight="1">
      <x:c r="A182" s="5" t="n">
        <x:v>178</x:v>
      </x:c>
      <x:c r="B182" s="5" t="inlineStr">
        <x:is>
          <x:t xml:space="preserve">네이티오</x:t>
        </x:is>
      </x:c>
      <x:c r="C182" s="5" t="inlineStr">
        <x:is>
          <x:t xml:space="preserve">xatu</x:t>
        </x:is>
      </x:c>
      <x:c r="D182" s="5" t="inlineStr">
        <x:is>
          <x:t xml:space="preserve">Xatu</x:t>
        </x:is>
      </x:c>
      <x:c r="E182" s="5" t="n">
        <x:v>2</x:v>
      </x:c>
      <x:c r="F182" s="5" t="inlineStr">
        <x:is>
          <x:t xml:space="preserve">에스퍼</x:t>
        </x:is>
      </x:c>
      <x:c r="G182" s="5" t="inlineStr">
        <x:is>
          <x:t xml:space="preserve">비행</x:t>
        </x:is>
      </x:c>
      <x:c r="H182" s="5" t="n">
        <x:v>1.5</x:v>
      </x:c>
      <x:c r="I182" s="5" t="n">
        <x:v>15</x:v>
      </x:c>
      <x:c r="J182" s="5" t="n">
        <x:v>470</x:v>
      </x:c>
      <x:c r="K182" s="5" t="n">
        <x:v>75</x:v>
      </x:c>
      <x:c r="L182" s="5" t="inlineStr">
        <x:is>
          <x:t xml:space="preserve">최종</x:t>
        </x:is>
      </x:c>
      <x:c r="M182" s="5" t="n">
        <x:v>25</x:v>
      </x:c>
      <x:c r="N182" s="5" t="inlineStr">
        <x:is>
          <x:t xml:space="preserve">레벨</x:t>
        </x:is>
      </x:c>
      <x:c r="O182" s="5" t="inlineStr">
        <x:is>
          <x:t xml:space="preserve">예</x:t>
        </x:is>
      </x:c>
      <x:c r="P182" s="5" t="inlineStr">
        <x:is>
          <x:t xml:space="preserve">#cobblemon:is_badlands; #cobblemon:is_overworld; #cobblemon:is_plateau</x:t>
        </x:is>
      </x:c>
      <x:c r="Q182" s="5" t="inlineStr">
        <x:is>
          <x:t xml:space="preserve">common</x:t>
        </x:is>
      </x:c>
      <x:c r="R182" s="5" t="inlineStr">
        <x:is>
          <x:t xml:space="preserve">day</x:t>
        </x:is>
      </x:c>
      <x:c r="S182" s="5" t="inlineStr">
        <x:is>
          <x:t xml:space="preserve"/>
        </x:is>
      </x:c>
      <x:c r="T182" s="5" t="inlineStr">
        <x:is>
          <x:t xml:space="preserve">비행</x:t>
        </x:is>
      </x:c>
      <x:c r="U182" s="5" t="inlineStr">
        <x:is>
          <x:t xml:space="preserve">건조</x:t>
        </x:is>
      </x:c>
      <x:c r="V182" s="5" t="inlineStr">
        <x:is>
          <x:t xml:space="preserve">고온</x:t>
        </x:is>
      </x:c>
      <x:c r="W182" s="5" t="inlineStr">
        <x:is>
          <x:t xml:space="preserve">건조</x:t>
        </x:is>
      </x:c>
      <x:c r="X182" s="5" t="inlineStr">
        <x:is>
          <x:t xml:space="preserve">맑음</x:t>
        </x:is>
      </x:c>
      <x:c r="Y182" s="5" t="inlineStr">
        <x:is>
          <x:t xml:space="preserve">낮</x:t>
        </x:is>
      </x:c>
      <x:c r="Z182" s="5" t="inlineStr">
        <x:is>
          <x:t xml:space="preserve">흔함</x:t>
        </x:is>
      </x:c>
      <x:c r="AA182" s="5" t="inlineStr">
        <x:is>
          <x:t xml:space="preserve">없음</x:t>
        </x:is>
      </x:c>
      <x:c r="AB182" s="5" t="inlineStr">
        <x:is>
          <x:t xml:space="preserve">건조지</x:t>
        </x:is>
      </x:c>
      <x:c r="AC182" s="5" t="inlineStr">
        <x:is>
          <x:t xml:space="preserve">gen2</x:t>
        </x:is>
      </x:c>
      <x:c r="AD182" s="5" t="inlineStr">
        <x:is>
          <x:t xml:space="preserve">.tmp/cobblemon-1.7.3-source/common/src/main/resources/data/cobblemon/species/generation2/xatu.json</x:t>
        </x:is>
      </x:c>
    </x:row>
    <x:row r="183" ht="22" customHeight="1">
      <x:c r="A183" s="5" t="n">
        <x:v>179</x:v>
      </x:c>
      <x:c r="B183" s="5" t="inlineStr">
        <x:is>
          <x:t xml:space="preserve">메리프</x:t>
        </x:is>
      </x:c>
      <x:c r="C183" s="5" t="inlineStr">
        <x:is>
          <x:t xml:space="preserve">mareep</x:t>
        </x:is>
      </x:c>
      <x:c r="D183" s="5" t="inlineStr">
        <x:is>
          <x:t xml:space="preserve">Mareep</x:t>
        </x:is>
      </x:c>
      <x:c r="E183" s="5" t="n">
        <x:v>2</x:v>
      </x:c>
      <x:c r="F183" s="5" t="inlineStr">
        <x:is>
          <x:t xml:space="preserve">전기</x:t>
        </x:is>
      </x:c>
      <x:c r="G183" s="5" t="inlineStr">
        <x:is>
          <x:t xml:space="preserve"/>
        </x:is>
      </x:c>
      <x:c r="H183" s="5" t="n">
        <x:v>0.6</x:v>
      </x:c>
      <x:c r="I183" s="5" t="n">
        <x:v>7.8</x:v>
      </x:c>
      <x:c r="J183" s="5" t="n">
        <x:v>280</x:v>
      </x:c>
      <x:c r="K183" s="5" t="n">
        <x:v>235</x:v>
      </x:c>
      <x:c r="L183" s="5" t="inlineStr">
        <x:is>
          <x:t xml:space="preserve">기본</x:t>
        </x:is>
      </x:c>
      <x:c r="M183" s="5" t="n">
        <x:v>30</x:v>
      </x:c>
      <x:c r="N183" s="5" t="inlineStr">
        <x:is>
          <x:t xml:space="preserve">레벨</x:t>
        </x:is>
      </x:c>
      <x:c r="O183" s="5" t="inlineStr">
        <x:is>
          <x:t xml:space="preserve">예</x:t>
        </x:is>
      </x:c>
      <x:c r="P183" s="5" t="inlineStr">
        <x:is>
          <x:t xml:space="preserve">#cobblemon:is_highlands; #cobblemon:is_plains</x:t>
        </x:is>
      </x:c>
      <x:c r="Q183" s="5" t="inlineStr">
        <x:is>
          <x:t xml:space="preserve">common</x:t>
        </x:is>
      </x:c>
      <x:c r="R183" s="5" t="inlineStr">
        <x:is>
          <x:t xml:space="preserve"/>
        </x:is>
      </x:c>
      <x:c r="S183" s="5" t="inlineStr">
        <x:is>
          <x:t xml:space="preserve"/>
        </x:is>
      </x:c>
      <x:c r="T183" s="5" t="inlineStr">
        <x:is>
          <x:t xml:space="preserve">육상</x:t>
        </x:is>
      </x:c>
      <x:c r="U183" s="5" t="inlineStr">
        <x:is>
          <x:t xml:space="preserve">암석</x:t>
        </x:is>
      </x:c>
      <x:c r="V183" s="5" t="inlineStr">
        <x:is>
          <x:t xml:space="preserve">온대</x:t>
        </x:is>
      </x:c>
      <x:c r="W183" s="5" t="inlineStr">
        <x:is>
          <x:t xml:space="preserve">보통</x:t>
        </x:is>
      </x:c>
      <x:c r="X183" s="5" t="inlineStr">
        <x:is>
          <x:t xml:space="preserve">무관</x:t>
        </x:is>
      </x:c>
      <x:c r="Y183" s="5" t="inlineStr">
        <x:is>
          <x:t xml:space="preserve">무관</x:t>
        </x:is>
      </x:c>
      <x:c r="Z183" s="5" t="inlineStr">
        <x:is>
          <x:t xml:space="preserve">흔함</x:t>
        </x:is>
      </x:c>
      <x:c r="AA183" s="5" t="inlineStr">
        <x:is>
          <x:t xml:space="preserve">없음</x:t>
        </x:is>
      </x:c>
      <x:c r="AB183" s="5" t="inlineStr">
        <x:is>
          <x:t xml:space="preserve">산악</x:t>
        </x:is>
      </x:c>
      <x:c r="AC183" s="5" t="inlineStr">
        <x:is>
          <x:t xml:space="preserve">gen2</x:t>
        </x:is>
      </x:c>
      <x:c r="AD183" s="5" t="inlineStr">
        <x:is>
          <x:t xml:space="preserve">.tmp/cobblemon-1.7.3-source/common/src/main/resources/data/cobblemon/species/generation2/mareep.json</x:t>
        </x:is>
      </x:c>
    </x:row>
    <x:row r="184" ht="22" customHeight="1">
      <x:c r="A184" s="5" t="n">
        <x:v>180</x:v>
      </x:c>
      <x:c r="B184" s="5" t="inlineStr">
        <x:is>
          <x:t xml:space="preserve">보송송</x:t>
        </x:is>
      </x:c>
      <x:c r="C184" s="5" t="inlineStr">
        <x:is>
          <x:t xml:space="preserve">flaaffy</x:t>
        </x:is>
      </x:c>
      <x:c r="D184" s="5" t="inlineStr">
        <x:is>
          <x:t xml:space="preserve">Flaaffy</x:t>
        </x:is>
      </x:c>
      <x:c r="E184" s="5" t="n">
        <x:v>2</x:v>
      </x:c>
      <x:c r="F184" s="5" t="inlineStr">
        <x:is>
          <x:t xml:space="preserve">전기</x:t>
        </x:is>
      </x:c>
      <x:c r="G184" s="5" t="inlineStr">
        <x:is>
          <x:t xml:space="preserve"/>
        </x:is>
      </x:c>
      <x:c r="H184" s="5" t="n">
        <x:v>0.8</x:v>
      </x:c>
      <x:c r="I184" s="5" t="n">
        <x:v>13.3</x:v>
      </x:c>
      <x:c r="J184" s="5" t="n">
        <x:v>365</x:v>
      </x:c>
      <x:c r="K184" s="5" t="n">
        <x:v>120</x:v>
      </x:c>
      <x:c r="L184" s="5" t="inlineStr">
        <x:is>
          <x:t xml:space="preserve">중간</x:t>
        </x:is>
      </x:c>
      <x:c r="M184" s="5" t="n">
        <x:v>30</x:v>
      </x:c>
      <x:c r="N184" s="5" t="inlineStr">
        <x:is>
          <x:t xml:space="preserve">레벨</x:t>
        </x:is>
      </x:c>
      <x:c r="O184" s="5" t="inlineStr">
        <x:is>
          <x:t xml:space="preserve">예</x:t>
        </x:is>
      </x:c>
      <x:c r="P184" s="5" t="inlineStr">
        <x:is>
          <x:t xml:space="preserve">#cobblemon:is_highlands; #cobblemon:is_plains</x:t>
        </x:is>
      </x:c>
      <x:c r="Q184" s="5" t="inlineStr">
        <x:is>
          <x:t xml:space="preserve">common</x:t>
        </x:is>
      </x:c>
      <x:c r="R184" s="5" t="inlineStr">
        <x:is>
          <x:t xml:space="preserve"/>
        </x:is>
      </x:c>
      <x:c r="S184" s="5" t="inlineStr">
        <x:is>
          <x:t xml:space="preserve"/>
        </x:is>
      </x:c>
      <x:c r="T184" s="5" t="inlineStr">
        <x:is>
          <x:t xml:space="preserve">육상</x:t>
        </x:is>
      </x:c>
      <x:c r="U184" s="5" t="inlineStr">
        <x:is>
          <x:t xml:space="preserve">암석</x:t>
        </x:is>
      </x:c>
      <x:c r="V184" s="5" t="inlineStr">
        <x:is>
          <x:t xml:space="preserve">온대</x:t>
        </x:is>
      </x:c>
      <x:c r="W184" s="5" t="inlineStr">
        <x:is>
          <x:t xml:space="preserve">보통</x:t>
        </x:is>
      </x:c>
      <x:c r="X184" s="5" t="inlineStr">
        <x:is>
          <x:t xml:space="preserve">무관</x:t>
        </x:is>
      </x:c>
      <x:c r="Y184" s="5" t="inlineStr">
        <x:is>
          <x:t xml:space="preserve">무관</x:t>
        </x:is>
      </x:c>
      <x:c r="Z184" s="5" t="inlineStr">
        <x:is>
          <x:t xml:space="preserve">흔함</x:t>
        </x:is>
      </x:c>
      <x:c r="AA184" s="5" t="inlineStr">
        <x:is>
          <x:t xml:space="preserve">없음</x:t>
        </x:is>
      </x:c>
      <x:c r="AB184" s="5" t="inlineStr">
        <x:is>
          <x:t xml:space="preserve">산악</x:t>
        </x:is>
      </x:c>
      <x:c r="AC184" s="5" t="inlineStr">
        <x:is>
          <x:t xml:space="preserve">gen2</x:t>
        </x:is>
      </x:c>
      <x:c r="AD184" s="5" t="inlineStr">
        <x:is>
          <x:t xml:space="preserve">.tmp/cobblemon-1.7.3-source/common/src/main/resources/data/cobblemon/species/generation2/flaaffy.json</x:t>
        </x:is>
      </x:c>
    </x:row>
    <x:row r="185" ht="22" customHeight="1">
      <x:c r="A185" s="5" t="n">
        <x:v>181</x:v>
      </x:c>
      <x:c r="B185" s="5" t="inlineStr">
        <x:is>
          <x:t xml:space="preserve">전룡</x:t>
        </x:is>
      </x:c>
      <x:c r="C185" s="5" t="inlineStr">
        <x:is>
          <x:t xml:space="preserve">ampharos</x:t>
        </x:is>
      </x:c>
      <x:c r="D185" s="5" t="inlineStr">
        <x:is>
          <x:t xml:space="preserve">Ampharos</x:t>
        </x:is>
      </x:c>
      <x:c r="E185" s="5" t="n">
        <x:v>2</x:v>
      </x:c>
      <x:c r="F185" s="5" t="inlineStr">
        <x:is>
          <x:t xml:space="preserve">전기</x:t>
        </x:is>
      </x:c>
      <x:c r="G185" s="5" t="inlineStr">
        <x:is>
          <x:t xml:space="preserve"/>
        </x:is>
      </x:c>
      <x:c r="H185" s="5" t="n">
        <x:v>1.4</x:v>
      </x:c>
      <x:c r="I185" s="5" t="n">
        <x:v>61.5</x:v>
      </x:c>
      <x:c r="J185" s="5" t="n">
        <x:v>510</x:v>
      </x:c>
      <x:c r="K185" s="5" t="n">
        <x:v>45</x:v>
      </x:c>
      <x:c r="L185" s="5" t="inlineStr">
        <x:is>
          <x:t xml:space="preserve">최종</x:t>
        </x:is>
      </x:c>
      <x:c r="M185" s="5" t="n">
        <x:v>30</x:v>
      </x:c>
      <x:c r="N185" s="5" t="inlineStr">
        <x:is>
          <x:t xml:space="preserve">레벨</x:t>
        </x:is>
      </x:c>
      <x:c r="O185" s="5" t="inlineStr">
        <x:is>
          <x:t xml:space="preserve">예</x:t>
        </x:is>
      </x:c>
      <x:c r="P185" s="5" t="inlineStr">
        <x:is>
          <x:t xml:space="preserve">#cobblemon:is_highlands; #cobblemon:is_plains</x:t>
        </x:is>
      </x:c>
      <x:c r="Q185" s="5" t="inlineStr">
        <x:is>
          <x:t xml:space="preserve">common</x:t>
        </x:is>
      </x:c>
      <x:c r="R185" s="5" t="inlineStr">
        <x:is>
          <x:t xml:space="preserve"/>
        </x:is>
      </x:c>
      <x:c r="S185" s="5" t="inlineStr">
        <x:is>
          <x:t xml:space="preserve"/>
        </x:is>
      </x:c>
      <x:c r="T185" s="5" t="inlineStr">
        <x:is>
          <x:t xml:space="preserve">육상</x:t>
        </x:is>
      </x:c>
      <x:c r="U185" s="5" t="inlineStr">
        <x:is>
          <x:t xml:space="preserve">암석</x:t>
        </x:is>
      </x:c>
      <x:c r="V185" s="5" t="inlineStr">
        <x:is>
          <x:t xml:space="preserve">온대</x:t>
        </x:is>
      </x:c>
      <x:c r="W185" s="5" t="inlineStr">
        <x:is>
          <x:t xml:space="preserve">보통</x:t>
        </x:is>
      </x:c>
      <x:c r="X185" s="5" t="inlineStr">
        <x:is>
          <x:t xml:space="preserve">무관</x:t>
        </x:is>
      </x:c>
      <x:c r="Y185" s="5" t="inlineStr">
        <x:is>
          <x:t xml:space="preserve">무관</x:t>
        </x:is>
      </x:c>
      <x:c r="Z185" s="5" t="inlineStr">
        <x:is>
          <x:t xml:space="preserve">흔함</x:t>
        </x:is>
      </x:c>
      <x:c r="AA185" s="5" t="inlineStr">
        <x:is>
          <x:t xml:space="preserve">없음</x:t>
        </x:is>
      </x:c>
      <x:c r="AB185" s="5" t="inlineStr">
        <x:is>
          <x:t xml:space="preserve">산악</x:t>
        </x:is>
      </x:c>
      <x:c r="AC185" s="5" t="inlineStr">
        <x:is>
          <x:t xml:space="preserve">gen2</x:t>
        </x:is>
      </x:c>
      <x:c r="AD185" s="5" t="inlineStr">
        <x:is>
          <x:t xml:space="preserve">.tmp/cobblemon-1.7.3-source/common/src/main/resources/data/cobblemon/species/generation2/ampharos.json</x:t>
        </x:is>
      </x:c>
    </x:row>
    <x:row r="186" ht="22" customHeight="1">
      <x:c r="A186" s="5" t="n">
        <x:v>182</x:v>
      </x:c>
      <x:c r="B186" s="5" t="inlineStr">
        <x:is>
          <x:t xml:space="preserve">아르코</x:t>
        </x:is>
      </x:c>
      <x:c r="C186" s="5" t="inlineStr">
        <x:is>
          <x:t xml:space="preserve">bellossom</x:t>
        </x:is>
      </x:c>
      <x:c r="D186" s="5" t="inlineStr">
        <x:is>
          <x:t xml:space="preserve">Bellossom</x:t>
        </x:is>
      </x:c>
      <x:c r="E186" s="5" t="n">
        <x:v>2</x:v>
      </x:c>
      <x:c r="F186" s="5" t="inlineStr">
        <x:is>
          <x:t xml:space="preserve">풀</x:t>
        </x:is>
      </x:c>
      <x:c r="G186" s="5" t="inlineStr">
        <x:is>
          <x:t xml:space="preserve"/>
        </x:is>
      </x:c>
      <x:c r="H186" s="5" t="n">
        <x:v>0.4</x:v>
      </x:c>
      <x:c r="I186" s="5" t="n">
        <x:v>5.8</x:v>
      </x:c>
      <x:c r="J186" s="5" t="n">
        <x:v>490</x:v>
      </x:c>
      <x:c r="K186" s="5" t="n">
        <x:v>45</x:v>
      </x:c>
      <x:c r="L186" s="5" t="inlineStr">
        <x:is>
          <x:t xml:space="preserve">최종</x:t>
        </x:is>
      </x:c>
      <x:c r="M186" s="5" t="n">
        <x:v>21</x:v>
      </x:c>
      <x:c r="N186" s="5" t="inlineStr">
        <x:is>
          <x:t xml:space="preserve">레벨·특수</x:t>
        </x:is>
      </x:c>
      <x:c r="O186" s="5" t="inlineStr">
        <x:is>
          <x:t xml:space="preserve">예</x:t>
        </x:is>
      </x:c>
      <x:c r="P186" s="5" t="inlineStr">
        <x:is>
          <x:t xml:space="preserve">#cobblemon:is_floral; #cobblemon:is_jungle; #cobblemon:is_savanna; #cobblemon:is_tropical_island</x:t>
        </x:is>
      </x:c>
      <x:c r="Q186" s="5" t="inlineStr">
        <x:is>
          <x:t xml:space="preserve">common</x:t>
        </x:is>
      </x:c>
      <x:c r="R186" s="5" t="inlineStr">
        <x:is>
          <x:t xml:space="preserve">day</x:t>
        </x:is>
      </x:c>
      <x:c r="S186" s="5" t="inlineStr">
        <x:is>
          <x:t xml:space="preserve"/>
        </x:is>
      </x:c>
      <x:c r="T186" s="5" t="inlineStr">
        <x:is>
          <x:t xml:space="preserve">육상</x:t>
        </x:is>
      </x:c>
      <x:c r="U186" s="5" t="inlineStr">
        <x:is>
          <x:t xml:space="preserve">수목</x:t>
        </x:is>
      </x:c>
      <x:c r="V186" s="5" t="inlineStr">
        <x:is>
          <x:t xml:space="preserve">온대</x:t>
        </x:is>
      </x:c>
      <x:c r="W186" s="5" t="inlineStr">
        <x:is>
          <x:t xml:space="preserve">다습</x:t>
        </x:is>
      </x:c>
      <x:c r="X186" s="5" t="inlineStr">
        <x:is>
          <x:t xml:space="preserve">무관</x:t>
        </x:is>
      </x:c>
      <x:c r="Y186" s="5" t="inlineStr">
        <x:is>
          <x:t xml:space="preserve">낮</x:t>
        </x:is>
      </x:c>
      <x:c r="Z186" s="5" t="inlineStr">
        <x:is>
          <x:t xml:space="preserve">흔함</x:t>
        </x:is>
      </x:c>
      <x:c r="AA186" s="5" t="inlineStr">
        <x:is>
          <x:t xml:space="preserve">없음</x:t>
        </x:is>
      </x:c>
      <x:c r="AB186" s="5" t="inlineStr">
        <x:is>
          <x:t xml:space="preserve">숲</x:t>
        </x:is>
      </x:c>
      <x:c r="AC186" s="5" t="inlineStr">
        <x:is>
          <x:t xml:space="preserve">gen2</x:t>
        </x:is>
      </x:c>
      <x:c r="AD186" s="5" t="inlineStr">
        <x:is>
          <x:t xml:space="preserve">.tmp/cobblemon-1.7.3-source/common/src/main/resources/data/cobblemon/species/generation2/bellossom.json</x:t>
        </x:is>
      </x:c>
    </x:row>
    <x:row r="187" ht="22" customHeight="1">
      <x:c r="A187" s="5" t="n">
        <x:v>183</x:v>
      </x:c>
      <x:c r="B187" s="5" t="inlineStr">
        <x:is>
          <x:t xml:space="preserve">마릴</x:t>
        </x:is>
      </x:c>
      <x:c r="C187" s="5" t="inlineStr">
        <x:is>
          <x:t xml:space="preserve">marill</x:t>
        </x:is>
      </x:c>
      <x:c r="D187" s="5" t="inlineStr">
        <x:is>
          <x:t xml:space="preserve">Marill</x:t>
        </x:is>
      </x:c>
      <x:c r="E187" s="5" t="n">
        <x:v>2</x:v>
      </x:c>
      <x:c r="F187" s="5" t="inlineStr">
        <x:is>
          <x:t xml:space="preserve">물</x:t>
        </x:is>
      </x:c>
      <x:c r="G187" s="5" t="inlineStr">
        <x:is>
          <x:t xml:space="preserve">페어리</x:t>
        </x:is>
      </x:c>
      <x:c r="H187" s="5" t="n">
        <x:v>0.4</x:v>
      </x:c>
      <x:c r="I187" s="5" t="n">
        <x:v>8.5</x:v>
      </x:c>
      <x:c r="J187" s="5" t="n">
        <x:v>250</x:v>
      </x:c>
      <x:c r="K187" s="5" t="n">
        <x:v>190</x:v>
      </x:c>
      <x:c r="L187" s="5" t="inlineStr">
        <x:is>
          <x:t xml:space="preserve">중간</x:t>
        </x:is>
      </x:c>
      <x:c r="M187" s="5" t="n">
        <x:v>18</x:v>
      </x:c>
      <x:c r="N187" s="5" t="inlineStr">
        <x:is>
          <x:t xml:space="preserve">레벨·특수</x:t>
        </x:is>
      </x:c>
      <x:c r="O187" s="5" t="inlineStr">
        <x:is>
          <x:t xml:space="preserve">예</x:t>
        </x:is>
      </x:c>
      <x:c r="P187" s="5" t="inlineStr">
        <x:is>
          <x:t xml:space="preserve">#cobblemon:is_floral; #cobblemon:is_hills; #cobblemon:is_magical; #cobblemon:is_river; #cobblemon:is_snowy_forest; #cobblemon:is_taiga; #cobblemon:is_temperate</x:t>
        </x:is>
      </x:c>
      <x:c r="Q187" s="5" t="inlineStr">
        <x:is>
          <x:t xml:space="preserve">common</x:t>
        </x:is>
      </x:c>
      <x:c r="R187" s="5" t="inlineStr">
        <x:is>
          <x:t xml:space="preserve"/>
        </x:is>
      </x:c>
      <x:c r="S187" s="5" t="inlineStr">
        <x:is>
          <x:t xml:space="preserve"/>
        </x:is>
      </x:c>
      <x:c r="T187" s="5" t="inlineStr">
        <x:is>
          <x:t xml:space="preserve">담수</x:t>
        </x:is>
      </x:c>
      <x:c r="U187" s="5" t="inlineStr">
        <x:is>
          <x:t xml:space="preserve">담수</x:t>
        </x:is>
      </x:c>
      <x:c r="V187" s="5" t="inlineStr">
        <x:is>
          <x:t xml:space="preserve">서늘</x:t>
        </x:is>
      </x:c>
      <x:c r="W187" s="5" t="inlineStr">
        <x:is>
          <x:t xml:space="preserve">수중</x:t>
        </x:is>
      </x:c>
      <x:c r="X187" s="5" t="inlineStr">
        <x:is>
          <x:t xml:space="preserve">비</x:t>
        </x:is>
      </x:c>
      <x:c r="Y187" s="5" t="inlineStr">
        <x:is>
          <x:t xml:space="preserve">무관</x:t>
        </x:is>
      </x:c>
      <x:c r="Z187" s="5" t="inlineStr">
        <x:is>
          <x:t xml:space="preserve">흔함</x:t>
        </x:is>
      </x:c>
      <x:c r="AA187" s="5" t="inlineStr">
        <x:is>
          <x:t xml:space="preserve">없음</x:t>
        </x:is>
      </x:c>
      <x:c r="AB187" s="5" t="inlineStr">
        <x:is>
          <x:t xml:space="preserve">담수</x:t>
        </x:is>
      </x:c>
      <x:c r="AC187" s="5" t="inlineStr">
        <x:is>
          <x:t xml:space="preserve">gen2</x:t>
        </x:is>
      </x:c>
      <x:c r="AD187" s="5" t="inlineStr">
        <x:is>
          <x:t xml:space="preserve">.tmp/cobblemon-1.7.3-source/common/src/main/resources/data/cobblemon/species/generation2/marill.json</x:t>
        </x:is>
      </x:c>
    </x:row>
    <x:row r="188" ht="22" customHeight="1">
      <x:c r="A188" s="5" t="n">
        <x:v>184</x:v>
      </x:c>
      <x:c r="B188" s="5" t="inlineStr">
        <x:is>
          <x:t xml:space="preserve">마릴리</x:t>
        </x:is>
      </x:c>
      <x:c r="C188" s="5" t="inlineStr">
        <x:is>
          <x:t xml:space="preserve">azumarill</x:t>
        </x:is>
      </x:c>
      <x:c r="D188" s="5" t="inlineStr">
        <x:is>
          <x:t xml:space="preserve">Azumarill</x:t>
        </x:is>
      </x:c>
      <x:c r="E188" s="5" t="n">
        <x:v>2</x:v>
      </x:c>
      <x:c r="F188" s="5" t="inlineStr">
        <x:is>
          <x:t xml:space="preserve">물</x:t>
        </x:is>
      </x:c>
      <x:c r="G188" s="5" t="inlineStr">
        <x:is>
          <x:t xml:space="preserve">페어리</x:t>
        </x:is>
      </x:c>
      <x:c r="H188" s="5" t="n">
        <x:v>0.8</x:v>
      </x:c>
      <x:c r="I188" s="5" t="n">
        <x:v>28.5</x:v>
      </x:c>
      <x:c r="J188" s="5" t="n">
        <x:v>420</x:v>
      </x:c>
      <x:c r="K188" s="5" t="n">
        <x:v>75</x:v>
      </x:c>
      <x:c r="L188" s="5" t="inlineStr">
        <x:is>
          <x:t xml:space="preserve">최종</x:t>
        </x:is>
      </x:c>
      <x:c r="M188" s="5" t="n">
        <x:v>18</x:v>
      </x:c>
      <x:c r="N188" s="5" t="inlineStr">
        <x:is>
          <x:t xml:space="preserve">레벨·특수</x:t>
        </x:is>
      </x:c>
      <x:c r="O188" s="5" t="inlineStr">
        <x:is>
          <x:t xml:space="preserve">예</x:t>
        </x:is>
      </x:c>
      <x:c r="P188" s="5" t="inlineStr">
        <x:is>
          <x:t xml:space="preserve">#cobblemon:is_floral; #cobblemon:is_hills; #cobblemon:is_magical; #cobblemon:is_river; #cobblemon:is_snowy_forest; #cobblemon:is_taiga; #cobblemon:is_temperate</x:t>
        </x:is>
      </x:c>
      <x:c r="Q188" s="5" t="inlineStr">
        <x:is>
          <x:t xml:space="preserve">common; uncommon</x:t>
        </x:is>
      </x:c>
      <x:c r="R188" s="5" t="inlineStr">
        <x:is>
          <x:t xml:space="preserve"/>
        </x:is>
      </x:c>
      <x:c r="S188" s="5" t="inlineStr">
        <x:is>
          <x:t xml:space="preserve"/>
        </x:is>
      </x:c>
      <x:c r="T188" s="5" t="inlineStr">
        <x:is>
          <x:t xml:space="preserve">담수</x:t>
        </x:is>
      </x:c>
      <x:c r="U188" s="5" t="inlineStr">
        <x:is>
          <x:t xml:space="preserve">담수</x:t>
        </x:is>
      </x:c>
      <x:c r="V188" s="5" t="inlineStr">
        <x:is>
          <x:t xml:space="preserve">서늘</x:t>
        </x:is>
      </x:c>
      <x:c r="W188" s="5" t="inlineStr">
        <x:is>
          <x:t xml:space="preserve">수중</x:t>
        </x:is>
      </x:c>
      <x:c r="X188" s="5" t="inlineStr">
        <x:is>
          <x:t xml:space="preserve">비</x:t>
        </x:is>
      </x:c>
      <x:c r="Y188" s="5" t="inlineStr">
        <x:is>
          <x:t xml:space="preserve">무관</x:t>
        </x:is>
      </x:c>
      <x:c r="Z188" s="5" t="inlineStr">
        <x:is>
          <x:t xml:space="preserve">보통</x:t>
        </x:is>
      </x:c>
      <x:c r="AA188" s="5" t="inlineStr">
        <x:is>
          <x:t xml:space="preserve">없음</x:t>
        </x:is>
      </x:c>
      <x:c r="AB188" s="5" t="inlineStr">
        <x:is>
          <x:t xml:space="preserve">담수</x:t>
        </x:is>
      </x:c>
      <x:c r="AC188" s="5" t="inlineStr">
        <x:is>
          <x:t xml:space="preserve">gen2</x:t>
        </x:is>
      </x:c>
      <x:c r="AD188" s="5" t="inlineStr">
        <x:is>
          <x:t xml:space="preserve">.tmp/cobblemon-1.7.3-source/common/src/main/resources/data/cobblemon/species/generation2/azumarill.json</x:t>
        </x:is>
      </x:c>
    </x:row>
    <x:row r="189" ht="22" customHeight="1">
      <x:c r="A189" s="5" t="n">
        <x:v>185</x:v>
      </x:c>
      <x:c r="B189" s="5" t="inlineStr">
        <x:is>
          <x:t xml:space="preserve">꼬지모</x:t>
        </x:is>
      </x:c>
      <x:c r="C189" s="5" t="inlineStr">
        <x:is>
          <x:t xml:space="preserve">sudowoodo</x:t>
        </x:is>
      </x:c>
      <x:c r="D189" s="5" t="inlineStr">
        <x:is>
          <x:t xml:space="preserve">Sudowoodo</x:t>
        </x:is>
      </x:c>
      <x:c r="E189" s="5" t="n">
        <x:v>2</x:v>
      </x:c>
      <x:c r="F189" s="5" t="inlineStr">
        <x:is>
          <x:t xml:space="preserve">바위</x:t>
        </x:is>
      </x:c>
      <x:c r="G189" s="5" t="inlineStr">
        <x:is>
          <x:t xml:space="preserve"/>
        </x:is>
      </x:c>
      <x:c r="H189" s="5" t="n">
        <x:v>1.2</x:v>
      </x:c>
      <x:c r="I189" s="5" t="n">
        <x:v>38</x:v>
      </x:c>
      <x:c r="J189" s="5" t="n">
        <x:v>410</x:v>
      </x:c>
      <x:c r="K189" s="5" t="n">
        <x:v>65</x:v>
      </x:c>
      <x:c r="L189" s="5" t="inlineStr">
        <x:is>
          <x:t xml:space="preserve">최종</x:t>
        </x:is>
      </x:c>
      <x:c r="M189" s="5" t="n"/>
      <x:c r="N189" s="5" t="inlineStr">
        <x:is>
          <x:t xml:space="preserve">특수</x:t>
        </x:is>
      </x:c>
      <x:c r="O189" s="5" t="inlineStr">
        <x:is>
          <x:t xml:space="preserve">예</x:t>
        </x:is>
      </x:c>
      <x:c r="P189" s="5" t="inlineStr">
        <x:is>
          <x:t xml:space="preserve">#cobblemon:is_forest</x:t>
        </x:is>
      </x:c>
      <x:c r="Q189" s="5" t="inlineStr">
        <x:is>
          <x:t xml:space="preserve">uncommon</x:t>
        </x:is>
      </x:c>
      <x:c r="R189" s="5" t="inlineStr">
        <x:is>
          <x:t xml:space="preserve"/>
        </x:is>
      </x:c>
      <x:c r="S189" s="5" t="inlineStr">
        <x:is>
          <x:t xml:space="preserve">비=False</x:t>
        </x:is>
      </x:c>
      <x:c r="T189" s="5" t="inlineStr">
        <x:is>
          <x:t xml:space="preserve">육상</x:t>
        </x:is>
      </x:c>
      <x:c r="U189" s="5" t="inlineStr">
        <x:is>
          <x:t xml:space="preserve">수목</x:t>
        </x:is>
      </x:c>
      <x:c r="V189" s="5" t="inlineStr">
        <x:is>
          <x:t xml:space="preserve">온대</x:t>
        </x:is>
      </x:c>
      <x:c r="W189" s="5" t="inlineStr">
        <x:is>
          <x:t xml:space="preserve">보통</x:t>
        </x:is>
      </x:c>
      <x:c r="X189" s="5" t="inlineStr">
        <x:is>
          <x:t xml:space="preserve">무관</x:t>
        </x:is>
      </x:c>
      <x:c r="Y189" s="5" t="inlineStr">
        <x:is>
          <x:t xml:space="preserve">무관</x:t>
        </x:is>
      </x:c>
      <x:c r="Z189" s="5" t="inlineStr">
        <x:is>
          <x:t xml:space="preserve">보통</x:t>
        </x:is>
      </x:c>
      <x:c r="AA189" s="5" t="inlineStr">
        <x:is>
          <x:t xml:space="preserve">없음</x:t>
        </x:is>
      </x:c>
      <x:c r="AB189" s="5" t="inlineStr">
        <x:is>
          <x:t xml:space="preserve">숲</x:t>
        </x:is>
      </x:c>
      <x:c r="AC189" s="5" t="inlineStr">
        <x:is>
          <x:t xml:space="preserve">gen2</x:t>
        </x:is>
      </x:c>
      <x:c r="AD189" s="5" t="inlineStr">
        <x:is>
          <x:t xml:space="preserve">.tmp/cobblemon-1.7.3-source/common/src/main/resources/data/cobblemon/species/generation2/sudowoodo.json</x:t>
        </x:is>
      </x:c>
    </x:row>
    <x:row r="190" ht="22" customHeight="1">
      <x:c r="A190" s="5" t="n">
        <x:v>186</x:v>
      </x:c>
      <x:c r="B190" s="5" t="inlineStr">
        <x:is>
          <x:t xml:space="preserve">왕구리</x:t>
        </x:is>
      </x:c>
      <x:c r="C190" s="5" t="inlineStr">
        <x:is>
          <x:t xml:space="preserve">politoed</x:t>
        </x:is>
      </x:c>
      <x:c r="D190" s="5" t="inlineStr">
        <x:is>
          <x:t xml:space="preserve">Politoed</x:t>
        </x:is>
      </x:c>
      <x:c r="E190" s="5" t="n">
        <x:v>2</x:v>
      </x:c>
      <x:c r="F190" s="5" t="inlineStr">
        <x:is>
          <x:t xml:space="preserve">물</x:t>
        </x:is>
      </x:c>
      <x:c r="G190" s="5" t="inlineStr">
        <x:is>
          <x:t xml:space="preserve"/>
        </x:is>
      </x:c>
      <x:c r="H190" s="5" t="n">
        <x:v>1.1</x:v>
      </x:c>
      <x:c r="I190" s="5" t="n">
        <x:v>33.9</x:v>
      </x:c>
      <x:c r="J190" s="5" t="n">
        <x:v>500</x:v>
      </x:c>
      <x:c r="K190" s="5" t="n">
        <x:v>45</x:v>
      </x:c>
      <x:c r="L190" s="5" t="inlineStr">
        <x:is>
          <x:t xml:space="preserve">최종</x:t>
        </x:is>
      </x:c>
      <x:c r="M190" s="5" t="n">
        <x:v>25</x:v>
      </x:c>
      <x:c r="N190" s="5" t="inlineStr">
        <x:is>
          <x:t xml:space="preserve">레벨·특수</x:t>
        </x:is>
      </x:c>
      <x:c r="O190" s="5" t="inlineStr">
        <x:is>
          <x:t xml:space="preserve">예</x:t>
        </x:is>
      </x:c>
      <x:c r="P190" s="5" t="inlineStr">
        <x:is>
          <x:t xml:space="preserve">#cobblemon:is_freshwater; #cobblemon:is_hills; #cobblemon:is_jungle; #cobblemon:is_lush; #cobblemon:is_magical; #cobblemon:is_mushroom; #cobblemon:is_overworld; #cobblemon:is_swamp; #cobblemon:is_temperate</x:t>
        </x:is>
      </x:c>
      <x:c r="Q190" s="5" t="inlineStr">
        <x:is>
          <x:t xml:space="preserve">common</x:t>
        </x:is>
      </x:c>
      <x:c r="R190" s="5" t="inlineStr">
        <x:is>
          <x:t xml:space="preserve"/>
        </x:is>
      </x:c>
      <x:c r="S190" s="5" t="inlineStr">
        <x:is>
          <x:t xml:space="preserve">비=True</x:t>
        </x:is>
      </x:c>
      <x:c r="T190" s="5" t="inlineStr">
        <x:is>
          <x:t xml:space="preserve">담수</x:t>
        </x:is>
      </x:c>
      <x:c r="U190" s="5" t="inlineStr">
        <x:is>
          <x:t xml:space="preserve">담수</x:t>
        </x:is>
      </x:c>
      <x:c r="V190" s="5" t="inlineStr">
        <x:is>
          <x:t xml:space="preserve">온대</x:t>
        </x:is>
      </x:c>
      <x:c r="W190" s="5" t="inlineStr">
        <x:is>
          <x:t xml:space="preserve">수중</x:t>
        </x:is>
      </x:c>
      <x:c r="X190" s="5" t="inlineStr">
        <x:is>
          <x:t xml:space="preserve">비</x:t>
        </x:is>
      </x:c>
      <x:c r="Y190" s="5" t="inlineStr">
        <x:is>
          <x:t xml:space="preserve">무관</x:t>
        </x:is>
      </x:c>
      <x:c r="Z190" s="5" t="inlineStr">
        <x:is>
          <x:t xml:space="preserve">흔함</x:t>
        </x:is>
      </x:c>
      <x:c r="AA190" s="5" t="inlineStr">
        <x:is>
          <x:t xml:space="preserve">없음</x:t>
        </x:is>
      </x:c>
      <x:c r="AB190" s="5" t="inlineStr">
        <x:is>
          <x:t xml:space="preserve">담수</x:t>
        </x:is>
      </x:c>
      <x:c r="AC190" s="5" t="inlineStr">
        <x:is>
          <x:t xml:space="preserve">gen2</x:t>
        </x:is>
      </x:c>
      <x:c r="AD190" s="5" t="inlineStr">
        <x:is>
          <x:t xml:space="preserve">.tmp/cobblemon-1.7.3-source/common/src/main/resources/data/cobblemon/species/generation2/politoed.json</x:t>
        </x:is>
      </x:c>
    </x:row>
    <x:row r="191" ht="22" customHeight="1">
      <x:c r="A191" s="5" t="n">
        <x:v>187</x:v>
      </x:c>
      <x:c r="B191" s="5" t="inlineStr">
        <x:is>
          <x:t xml:space="preserve">통통코</x:t>
        </x:is>
      </x:c>
      <x:c r="C191" s="5" t="inlineStr">
        <x:is>
          <x:t xml:space="preserve">hoppip</x:t>
        </x:is>
      </x:c>
      <x:c r="D191" s="5" t="inlineStr">
        <x:is>
          <x:t xml:space="preserve">Hoppip</x:t>
        </x:is>
      </x:c>
      <x:c r="E191" s="5" t="n">
        <x:v>2</x:v>
      </x:c>
      <x:c r="F191" s="5" t="inlineStr">
        <x:is>
          <x:t xml:space="preserve">풀</x:t>
        </x:is>
      </x:c>
      <x:c r="G191" s="5" t="inlineStr">
        <x:is>
          <x:t xml:space="preserve">비행</x:t>
        </x:is>
      </x:c>
      <x:c r="H191" s="5" t="n">
        <x:v>0.4</x:v>
      </x:c>
      <x:c r="I191" s="5" t="n">
        <x:v>0.5</x:v>
      </x:c>
      <x:c r="J191" s="5" t="n">
        <x:v>250</x:v>
      </x:c>
      <x:c r="K191" s="5" t="n">
        <x:v>255</x:v>
      </x:c>
      <x:c r="L191" s="5" t="inlineStr">
        <x:is>
          <x:t xml:space="preserve">기본</x:t>
        </x:is>
      </x:c>
      <x:c r="M191" s="5" t="n">
        <x:v>27</x:v>
      </x:c>
      <x:c r="N191" s="5" t="inlineStr">
        <x:is>
          <x:t xml:space="preserve">레벨</x:t>
        </x:is>
      </x:c>
      <x:c r="O191" s="5" t="inlineStr">
        <x:is>
          <x:t xml:space="preserve">예</x:t>
        </x:is>
      </x:c>
      <x:c r="P191" s="5" t="inlineStr">
        <x:is>
          <x:t xml:space="preserve">#cobblemon:is_plains; aether:skyroot_grove; aether:skyroot_meadow; the_bumblezone:floral_meadow</x:t>
        </x:is>
      </x:c>
      <x:c r="Q191" s="5" t="inlineStr">
        <x:is>
          <x:t xml:space="preserve">common</x:t>
        </x:is>
      </x:c>
      <x:c r="R191" s="5" t="inlineStr">
        <x:is>
          <x:t xml:space="preserve"/>
        </x:is>
      </x:c>
      <x:c r="S191" s="5" t="inlineStr">
        <x:is>
          <x:t xml:space="preserve">비=False</x:t>
        </x:is>
      </x:c>
      <x:c r="T191" s="5" t="inlineStr">
        <x:is>
          <x:t xml:space="preserve">비행</x:t>
        </x:is>
      </x:c>
      <x:c r="U191" s="5" t="inlineStr">
        <x:is>
          <x:t xml:space="preserve">개활지</x:t>
        </x:is>
      </x:c>
      <x:c r="V191" s="5" t="inlineStr">
        <x:is>
          <x:t xml:space="preserve">온대</x:t>
        </x:is>
      </x:c>
      <x:c r="W191" s="5" t="inlineStr">
        <x:is>
          <x:t xml:space="preserve">보통</x:t>
        </x:is>
      </x:c>
      <x:c r="X191" s="5" t="inlineStr">
        <x:is>
          <x:t xml:space="preserve">무관</x:t>
        </x:is>
      </x:c>
      <x:c r="Y191" s="5" t="inlineStr">
        <x:is>
          <x:t xml:space="preserve">무관</x:t>
        </x:is>
      </x:c>
      <x:c r="Z191" s="5" t="inlineStr">
        <x:is>
          <x:t xml:space="preserve">흔함</x:t>
        </x:is>
      </x:c>
      <x:c r="AA191" s="5" t="inlineStr">
        <x:is>
          <x:t xml:space="preserve">없음</x:t>
        </x:is>
      </x:c>
      <x:c r="AB191" s="5" t="inlineStr">
        <x:is>
          <x:t xml:space="preserve">평원</x:t>
        </x:is>
      </x:c>
      <x:c r="AC191" s="5" t="inlineStr">
        <x:is>
          <x:t xml:space="preserve">gen2</x:t>
        </x:is>
      </x:c>
      <x:c r="AD191" s="5" t="inlineStr">
        <x:is>
          <x:t xml:space="preserve">.tmp/cobblemon-1.7.3-source/common/src/main/resources/data/cobblemon/species/generation2/hoppip.json</x:t>
        </x:is>
      </x:c>
    </x:row>
    <x:row r="192" ht="22" customHeight="1">
      <x:c r="A192" s="5" t="n">
        <x:v>188</x:v>
      </x:c>
      <x:c r="B192" s="5" t="inlineStr">
        <x:is>
          <x:t xml:space="preserve">두코</x:t>
        </x:is>
      </x:c>
      <x:c r="C192" s="5" t="inlineStr">
        <x:is>
          <x:t xml:space="preserve">skiploom</x:t>
        </x:is>
      </x:c>
      <x:c r="D192" s="5" t="inlineStr">
        <x:is>
          <x:t xml:space="preserve">Skiploom</x:t>
        </x:is>
      </x:c>
      <x:c r="E192" s="5" t="n">
        <x:v>2</x:v>
      </x:c>
      <x:c r="F192" s="5" t="inlineStr">
        <x:is>
          <x:t xml:space="preserve">풀</x:t>
        </x:is>
      </x:c>
      <x:c r="G192" s="5" t="inlineStr">
        <x:is>
          <x:t xml:space="preserve">비행</x:t>
        </x:is>
      </x:c>
      <x:c r="H192" s="5" t="n">
        <x:v>0.6</x:v>
      </x:c>
      <x:c r="I192" s="5" t="n">
        <x:v>1</x:v>
      </x:c>
      <x:c r="J192" s="5" t="n">
        <x:v>340</x:v>
      </x:c>
      <x:c r="K192" s="5" t="n">
        <x:v>120</x:v>
      </x:c>
      <x:c r="L192" s="5" t="inlineStr">
        <x:is>
          <x:t xml:space="preserve">중간</x:t>
        </x:is>
      </x:c>
      <x:c r="M192" s="5" t="n">
        <x:v>27</x:v>
      </x:c>
      <x:c r="N192" s="5" t="inlineStr">
        <x:is>
          <x:t xml:space="preserve">레벨</x:t>
        </x:is>
      </x:c>
      <x:c r="O192" s="5" t="inlineStr">
        <x:is>
          <x:t xml:space="preserve">예</x:t>
        </x:is>
      </x:c>
      <x:c r="P192" s="5" t="inlineStr">
        <x:is>
          <x:t xml:space="preserve">#cobblemon:is_plains; aether:skyroot_grove; aether:skyroot_meadow; the_bumblezone:floral_meadow</x:t>
        </x:is>
      </x:c>
      <x:c r="Q192" s="5" t="inlineStr">
        <x:is>
          <x:t xml:space="preserve">common</x:t>
        </x:is>
      </x:c>
      <x:c r="R192" s="5" t="inlineStr">
        <x:is>
          <x:t xml:space="preserve"/>
        </x:is>
      </x:c>
      <x:c r="S192" s="5" t="inlineStr">
        <x:is>
          <x:t xml:space="preserve">비=False</x:t>
        </x:is>
      </x:c>
      <x:c r="T192" s="5" t="inlineStr">
        <x:is>
          <x:t xml:space="preserve">비행</x:t>
        </x:is>
      </x:c>
      <x:c r="U192" s="5" t="inlineStr">
        <x:is>
          <x:t xml:space="preserve">개활지</x:t>
        </x:is>
      </x:c>
      <x:c r="V192" s="5" t="inlineStr">
        <x:is>
          <x:t xml:space="preserve">온대</x:t>
        </x:is>
      </x:c>
      <x:c r="W192" s="5" t="inlineStr">
        <x:is>
          <x:t xml:space="preserve">보통</x:t>
        </x:is>
      </x:c>
      <x:c r="X192" s="5" t="inlineStr">
        <x:is>
          <x:t xml:space="preserve">무관</x:t>
        </x:is>
      </x:c>
      <x:c r="Y192" s="5" t="inlineStr">
        <x:is>
          <x:t xml:space="preserve">무관</x:t>
        </x:is>
      </x:c>
      <x:c r="Z192" s="5" t="inlineStr">
        <x:is>
          <x:t xml:space="preserve">흔함</x:t>
        </x:is>
      </x:c>
      <x:c r="AA192" s="5" t="inlineStr">
        <x:is>
          <x:t xml:space="preserve">없음</x:t>
        </x:is>
      </x:c>
      <x:c r="AB192" s="5" t="inlineStr">
        <x:is>
          <x:t xml:space="preserve">평원</x:t>
        </x:is>
      </x:c>
      <x:c r="AC192" s="5" t="inlineStr">
        <x:is>
          <x:t xml:space="preserve">gen2</x:t>
        </x:is>
      </x:c>
      <x:c r="AD192" s="5" t="inlineStr">
        <x:is>
          <x:t xml:space="preserve">.tmp/cobblemon-1.7.3-source/common/src/main/resources/data/cobblemon/species/generation2/skiploom.json</x:t>
        </x:is>
      </x:c>
    </x:row>
    <x:row r="193" ht="22" customHeight="1">
      <x:c r="A193" s="5" t="n">
        <x:v>189</x:v>
      </x:c>
      <x:c r="B193" s="5" t="inlineStr">
        <x:is>
          <x:t xml:space="preserve">솜솜코</x:t>
        </x:is>
      </x:c>
      <x:c r="C193" s="5" t="inlineStr">
        <x:is>
          <x:t xml:space="preserve">jumpluff</x:t>
        </x:is>
      </x:c>
      <x:c r="D193" s="5" t="inlineStr">
        <x:is>
          <x:t xml:space="preserve">Jumpluff</x:t>
        </x:is>
      </x:c>
      <x:c r="E193" s="5" t="n">
        <x:v>2</x:v>
      </x:c>
      <x:c r="F193" s="5" t="inlineStr">
        <x:is>
          <x:t xml:space="preserve">풀</x:t>
        </x:is>
      </x:c>
      <x:c r="G193" s="5" t="inlineStr">
        <x:is>
          <x:t xml:space="preserve">비행</x:t>
        </x:is>
      </x:c>
      <x:c r="H193" s="5" t="n">
        <x:v>0.8</x:v>
      </x:c>
      <x:c r="I193" s="5" t="n">
        <x:v>3</x:v>
      </x:c>
      <x:c r="J193" s="5" t="n">
        <x:v>460</x:v>
      </x:c>
      <x:c r="K193" s="5" t="n">
        <x:v>45</x:v>
      </x:c>
      <x:c r="L193" s="5" t="inlineStr">
        <x:is>
          <x:t xml:space="preserve">최종</x:t>
        </x:is>
      </x:c>
      <x:c r="M193" s="5" t="n">
        <x:v>27</x:v>
      </x:c>
      <x:c r="N193" s="5" t="inlineStr">
        <x:is>
          <x:t xml:space="preserve">레벨</x:t>
        </x:is>
      </x:c>
      <x:c r="O193" s="5" t="inlineStr">
        <x:is>
          <x:t xml:space="preserve">예</x:t>
        </x:is>
      </x:c>
      <x:c r="P193" s="5" t="inlineStr">
        <x:is>
          <x:t xml:space="preserve">#cobblemon:is_plains; aether:skyroot_grove; aether:skyroot_meadow; the_bumblezone:floral_meadow</x:t>
        </x:is>
      </x:c>
      <x:c r="Q193" s="5" t="inlineStr">
        <x:is>
          <x:t xml:space="preserve">common</x:t>
        </x:is>
      </x:c>
      <x:c r="R193" s="5" t="inlineStr">
        <x:is>
          <x:t xml:space="preserve"/>
        </x:is>
      </x:c>
      <x:c r="S193" s="5" t="inlineStr">
        <x:is>
          <x:t xml:space="preserve"/>
        </x:is>
      </x:c>
      <x:c r="T193" s="5" t="inlineStr">
        <x:is>
          <x:t xml:space="preserve">비행</x:t>
        </x:is>
      </x:c>
      <x:c r="U193" s="5" t="inlineStr">
        <x:is>
          <x:t xml:space="preserve">개활지</x:t>
        </x:is>
      </x:c>
      <x:c r="V193" s="5" t="inlineStr">
        <x:is>
          <x:t xml:space="preserve">온대</x:t>
        </x:is>
      </x:c>
      <x:c r="W193" s="5" t="inlineStr">
        <x:is>
          <x:t xml:space="preserve">보통</x:t>
        </x:is>
      </x:c>
      <x:c r="X193" s="5" t="inlineStr">
        <x:is>
          <x:t xml:space="preserve">무관</x:t>
        </x:is>
      </x:c>
      <x:c r="Y193" s="5" t="inlineStr">
        <x:is>
          <x:t xml:space="preserve">무관</x:t>
        </x:is>
      </x:c>
      <x:c r="Z193" s="5" t="inlineStr">
        <x:is>
          <x:t xml:space="preserve">흔함</x:t>
        </x:is>
      </x:c>
      <x:c r="AA193" s="5" t="inlineStr">
        <x:is>
          <x:t xml:space="preserve">없음</x:t>
        </x:is>
      </x:c>
      <x:c r="AB193" s="5" t="inlineStr">
        <x:is>
          <x:t xml:space="preserve">평원</x:t>
        </x:is>
      </x:c>
      <x:c r="AC193" s="5" t="inlineStr">
        <x:is>
          <x:t xml:space="preserve">gen2</x:t>
        </x:is>
      </x:c>
      <x:c r="AD193" s="5" t="inlineStr">
        <x:is>
          <x:t xml:space="preserve">.tmp/cobblemon-1.7.3-source/common/src/main/resources/data/cobblemon/species/generation2/jumpluff.json</x:t>
        </x:is>
      </x:c>
    </x:row>
    <x:row r="194" ht="22" customHeight="1">
      <x:c r="A194" s="5" t="n">
        <x:v>190</x:v>
      </x:c>
      <x:c r="B194" s="5" t="inlineStr">
        <x:is>
          <x:t xml:space="preserve">에이팜</x:t>
        </x:is>
      </x:c>
      <x:c r="C194" s="5" t="inlineStr">
        <x:is>
          <x:t xml:space="preserve">aipom</x:t>
        </x:is>
      </x:c>
      <x:c r="D194" s="5" t="inlineStr">
        <x:is>
          <x:t xml:space="preserve">Aipom</x:t>
        </x:is>
      </x:c>
      <x:c r="E194" s="5" t="n">
        <x:v>2</x:v>
      </x:c>
      <x:c r="F194" s="5" t="inlineStr">
        <x:is>
          <x:t xml:space="preserve">노말</x:t>
        </x:is>
      </x:c>
      <x:c r="G194" s="5" t="inlineStr">
        <x:is>
          <x:t xml:space="preserve"/>
        </x:is>
      </x:c>
      <x:c r="H194" s="5" t="n">
        <x:v>0.8</x:v>
      </x:c>
      <x:c r="I194" s="5" t="n">
        <x:v>11.5</x:v>
      </x:c>
      <x:c r="J194" s="5" t="n">
        <x:v>360</x:v>
      </x:c>
      <x:c r="K194" s="5" t="n">
        <x:v>45</x:v>
      </x:c>
      <x:c r="L194" s="5" t="inlineStr">
        <x:is>
          <x:t xml:space="preserve">기본</x:t>
        </x:is>
      </x:c>
      <x:c r="M194" s="5" t="n"/>
      <x:c r="N194" s="5" t="inlineStr">
        <x:is>
          <x:t xml:space="preserve">특수</x:t>
        </x:is>
      </x:c>
      <x:c r="O194" s="5" t="inlineStr">
        <x:is>
          <x:t xml:space="preserve">예</x:t>
        </x:is>
      </x:c>
      <x:c r="P194" s="5" t="inlineStr">
        <x:is>
          <x:t xml:space="preserve">#cobblemon:is_jungle; #cobblemon:is_overworld; #cobblemon:is_tropical_island</x:t>
        </x:is>
      </x:c>
      <x:c r="Q194" s="5" t="inlineStr">
        <x:is>
          <x:t xml:space="preserve">common</x:t>
        </x:is>
      </x:c>
      <x:c r="R194" s="5" t="inlineStr">
        <x:is>
          <x:t xml:space="preserve"/>
        </x:is>
      </x:c>
      <x:c r="S194" s="5" t="inlineStr">
        <x:is>
          <x:t xml:space="preserve"/>
        </x:is>
      </x:c>
      <x:c r="T194" s="5" t="inlineStr">
        <x:is>
          <x:t xml:space="preserve">육상</x:t>
        </x:is>
      </x:c>
      <x:c r="U194" s="5" t="inlineStr">
        <x:is>
          <x:t xml:space="preserve">수목</x:t>
        </x:is>
      </x:c>
      <x:c r="V194" s="5" t="inlineStr">
        <x:is>
          <x:t xml:space="preserve">온대</x:t>
        </x:is>
      </x:c>
      <x:c r="W194" s="5" t="inlineStr">
        <x:is>
          <x:t xml:space="preserve">다습</x:t>
        </x:is>
      </x:c>
      <x:c r="X194" s="5" t="inlineStr">
        <x:is>
          <x:t xml:space="preserve">무관</x:t>
        </x:is>
      </x:c>
      <x:c r="Y194" s="5" t="inlineStr">
        <x:is>
          <x:t xml:space="preserve">무관</x:t>
        </x:is>
      </x:c>
      <x:c r="Z194" s="5" t="inlineStr">
        <x:is>
          <x:t xml:space="preserve">흔함</x:t>
        </x:is>
      </x:c>
      <x:c r="AA194" s="5" t="inlineStr">
        <x:is>
          <x:t xml:space="preserve">없음</x:t>
        </x:is>
      </x:c>
      <x:c r="AB194" s="5" t="inlineStr">
        <x:is>
          <x:t xml:space="preserve">숲</x:t>
        </x:is>
      </x:c>
      <x:c r="AC194" s="5" t="inlineStr">
        <x:is>
          <x:t xml:space="preserve">gen2</x:t>
        </x:is>
      </x:c>
      <x:c r="AD194" s="5" t="inlineStr">
        <x:is>
          <x:t xml:space="preserve">.tmp/cobblemon-1.7.3-source/common/src/main/resources/data/cobblemon/species/generation2/aipom.json</x:t>
        </x:is>
      </x:c>
    </x:row>
    <x:row r="195" ht="22" customHeight="1">
      <x:c r="A195" s="5" t="n">
        <x:v>191</x:v>
      </x:c>
      <x:c r="B195" s="5" t="inlineStr">
        <x:is>
          <x:t xml:space="preserve">해너츠</x:t>
        </x:is>
      </x:c>
      <x:c r="C195" s="5" t="inlineStr">
        <x:is>
          <x:t xml:space="preserve">sunkern</x:t>
        </x:is>
      </x:c>
      <x:c r="D195" s="5" t="inlineStr">
        <x:is>
          <x:t xml:space="preserve">Sunkern</x:t>
        </x:is>
      </x:c>
      <x:c r="E195" s="5" t="n">
        <x:v>2</x:v>
      </x:c>
      <x:c r="F195" s="5" t="inlineStr">
        <x:is>
          <x:t xml:space="preserve">풀</x:t>
        </x:is>
      </x:c>
      <x:c r="G195" s="5" t="inlineStr">
        <x:is>
          <x:t xml:space="preserve"/>
        </x:is>
      </x:c>
      <x:c r="H195" s="5" t="n">
        <x:v>0.3</x:v>
      </x:c>
      <x:c r="I195" s="5" t="n">
        <x:v>1.8</x:v>
      </x:c>
      <x:c r="J195" s="5" t="n">
        <x:v>180</x:v>
      </x:c>
      <x:c r="K195" s="5" t="n">
        <x:v>235</x:v>
      </x:c>
      <x:c r="L195" s="5" t="inlineStr">
        <x:is>
          <x:t xml:space="preserve">기본</x:t>
        </x:is>
      </x:c>
      <x:c r="M195" s="5" t="n"/>
      <x:c r="N195" s="5" t="inlineStr">
        <x:is>
          <x:t xml:space="preserve">특수</x:t>
        </x:is>
      </x:c>
      <x:c r="O195" s="5" t="inlineStr">
        <x:is>
          <x:t xml:space="preserve">예</x:t>
        </x:is>
      </x:c>
      <x:c r="P195" s="5" t="inlineStr">
        <x:is>
          <x:t xml:space="preserve">#cobblemon:is_overworld; aether:skyroot_grove; aether:skyroot_meadow; minecraft:sunflower_plains; the_bumblezone:floral_meadow</x:t>
        </x:is>
      </x:c>
      <x:c r="Q195" s="5" t="inlineStr">
        <x:is>
          <x:t xml:space="preserve">common</x:t>
        </x:is>
      </x:c>
      <x:c r="R195" s="5" t="inlineStr">
        <x:is>
          <x:t xml:space="preserve"/>
        </x:is>
      </x:c>
      <x:c r="S195" s="5" t="inlineStr">
        <x:is>
          <x:t xml:space="preserve"/>
        </x:is>
      </x:c>
      <x:c r="T195" s="5" t="inlineStr">
        <x:is>
          <x:t xml:space="preserve">육상</x:t>
        </x:is>
      </x:c>
      <x:c r="U195" s="5" t="inlineStr">
        <x:is>
          <x:t xml:space="preserve">개활지</x:t>
        </x:is>
      </x:c>
      <x:c r="V195" s="5" t="inlineStr">
        <x:is>
          <x:t xml:space="preserve">온대</x:t>
        </x:is>
      </x:c>
      <x:c r="W195" s="5" t="inlineStr">
        <x:is>
          <x:t xml:space="preserve">보통</x:t>
        </x:is>
      </x:c>
      <x:c r="X195" s="5" t="inlineStr">
        <x:is>
          <x:t xml:space="preserve">무관</x:t>
        </x:is>
      </x:c>
      <x:c r="Y195" s="5" t="inlineStr">
        <x:is>
          <x:t xml:space="preserve">무관</x:t>
        </x:is>
      </x:c>
      <x:c r="Z195" s="5" t="inlineStr">
        <x:is>
          <x:t xml:space="preserve">흔함</x:t>
        </x:is>
      </x:c>
      <x:c r="AA195" s="5" t="inlineStr">
        <x:is>
          <x:t xml:space="preserve">없음</x:t>
        </x:is>
      </x:c>
      <x:c r="AB195" s="5" t="inlineStr">
        <x:is>
          <x:t xml:space="preserve">평원</x:t>
        </x:is>
      </x:c>
      <x:c r="AC195" s="5" t="inlineStr">
        <x:is>
          <x:t xml:space="preserve">gen2</x:t>
        </x:is>
      </x:c>
      <x:c r="AD195" s="5" t="inlineStr">
        <x:is>
          <x:t xml:space="preserve">.tmp/cobblemon-1.7.3-source/common/src/main/resources/data/cobblemon/species/generation2/sunkern.json</x:t>
        </x:is>
      </x:c>
    </x:row>
    <x:row r="196" ht="22" customHeight="1">
      <x:c r="A196" s="5" t="n">
        <x:v>192</x:v>
      </x:c>
      <x:c r="B196" s="5" t="inlineStr">
        <x:is>
          <x:t xml:space="preserve">해루미</x:t>
        </x:is>
      </x:c>
      <x:c r="C196" s="5" t="inlineStr">
        <x:is>
          <x:t xml:space="preserve">sunflora</x:t>
        </x:is>
      </x:c>
      <x:c r="D196" s="5" t="inlineStr">
        <x:is>
          <x:t xml:space="preserve">Sunflora</x:t>
        </x:is>
      </x:c>
      <x:c r="E196" s="5" t="n">
        <x:v>2</x:v>
      </x:c>
      <x:c r="F196" s="5" t="inlineStr">
        <x:is>
          <x:t xml:space="preserve">풀</x:t>
        </x:is>
      </x:c>
      <x:c r="G196" s="5" t="inlineStr">
        <x:is>
          <x:t xml:space="preserve"/>
        </x:is>
      </x:c>
      <x:c r="H196" s="5" t="n">
        <x:v>0.8</x:v>
      </x:c>
      <x:c r="I196" s="5" t="n">
        <x:v>8.5</x:v>
      </x:c>
      <x:c r="J196" s="5" t="n">
        <x:v>425</x:v>
      </x:c>
      <x:c r="K196" s="5" t="n">
        <x:v>120</x:v>
      </x:c>
      <x:c r="L196" s="5" t="inlineStr">
        <x:is>
          <x:t xml:space="preserve">최종</x:t>
        </x:is>
      </x:c>
      <x:c r="M196" s="5" t="n"/>
      <x:c r="N196" s="5" t="inlineStr">
        <x:is>
          <x:t xml:space="preserve">특수</x:t>
        </x:is>
      </x:c>
      <x:c r="O196" s="5" t="inlineStr">
        <x:is>
          <x:t xml:space="preserve">예</x:t>
        </x:is>
      </x:c>
      <x:c r="P196" s="5" t="inlineStr">
        <x:is>
          <x:t xml:space="preserve">#cobblemon:is_overworld; aether:skyroot_grove; aether:skyroot_meadow; minecraft:sunflower_plains; the_bumblezone:floral_meadow</x:t>
        </x:is>
      </x:c>
      <x:c r="Q196" s="5" t="inlineStr">
        <x:is>
          <x:t xml:space="preserve">common</x:t>
        </x:is>
      </x:c>
      <x:c r="R196" s="5" t="inlineStr">
        <x:is>
          <x:t xml:space="preserve"/>
        </x:is>
      </x:c>
      <x:c r="S196" s="5" t="inlineStr">
        <x:is>
          <x:t xml:space="preserve"/>
        </x:is>
      </x:c>
      <x:c r="T196" s="5" t="inlineStr">
        <x:is>
          <x:t xml:space="preserve">육상</x:t>
        </x:is>
      </x:c>
      <x:c r="U196" s="5" t="inlineStr">
        <x:is>
          <x:t xml:space="preserve">개활지</x:t>
        </x:is>
      </x:c>
      <x:c r="V196" s="5" t="inlineStr">
        <x:is>
          <x:t xml:space="preserve">온대</x:t>
        </x:is>
      </x:c>
      <x:c r="W196" s="5" t="inlineStr">
        <x:is>
          <x:t xml:space="preserve">보통</x:t>
        </x:is>
      </x:c>
      <x:c r="X196" s="5" t="inlineStr">
        <x:is>
          <x:t xml:space="preserve">무관</x:t>
        </x:is>
      </x:c>
      <x:c r="Y196" s="5" t="inlineStr">
        <x:is>
          <x:t xml:space="preserve">무관</x:t>
        </x:is>
      </x:c>
      <x:c r="Z196" s="5" t="inlineStr">
        <x:is>
          <x:t xml:space="preserve">흔함</x:t>
        </x:is>
      </x:c>
      <x:c r="AA196" s="5" t="inlineStr">
        <x:is>
          <x:t xml:space="preserve">없음</x:t>
        </x:is>
      </x:c>
      <x:c r="AB196" s="5" t="inlineStr">
        <x:is>
          <x:t xml:space="preserve">평원</x:t>
        </x:is>
      </x:c>
      <x:c r="AC196" s="5" t="inlineStr">
        <x:is>
          <x:t xml:space="preserve">gen2</x:t>
        </x:is>
      </x:c>
      <x:c r="AD196" s="5" t="inlineStr">
        <x:is>
          <x:t xml:space="preserve">.tmp/cobblemon-1.7.3-source/common/src/main/resources/data/cobblemon/species/generation2/sunflora.json</x:t>
        </x:is>
      </x:c>
    </x:row>
    <x:row r="197" ht="22" customHeight="1">
      <x:c r="A197" s="5" t="n">
        <x:v>193</x:v>
      </x:c>
      <x:c r="B197" s="5" t="inlineStr">
        <x:is>
          <x:t xml:space="preserve">왕자리</x:t>
        </x:is>
      </x:c>
      <x:c r="C197" s="5" t="inlineStr">
        <x:is>
          <x:t xml:space="preserve">yanma</x:t>
        </x:is>
      </x:c>
      <x:c r="D197" s="5" t="inlineStr">
        <x:is>
          <x:t xml:space="preserve">Yanma</x:t>
        </x:is>
      </x:c>
      <x:c r="E197" s="5" t="n">
        <x:v>2</x:v>
      </x:c>
      <x:c r="F197" s="5" t="inlineStr">
        <x:is>
          <x:t xml:space="preserve">벌레</x:t>
        </x:is>
      </x:c>
      <x:c r="G197" s="5" t="inlineStr">
        <x:is>
          <x:t xml:space="preserve">비행</x:t>
        </x:is>
      </x:c>
      <x:c r="H197" s="5" t="n">
        <x:v>1.2</x:v>
      </x:c>
      <x:c r="I197" s="5" t="n">
        <x:v>38</x:v>
      </x:c>
      <x:c r="J197" s="5" t="n">
        <x:v>390</x:v>
      </x:c>
      <x:c r="K197" s="5" t="n">
        <x:v>75</x:v>
      </x:c>
      <x:c r="L197" s="5" t="inlineStr">
        <x:is>
          <x:t xml:space="preserve">기본</x:t>
        </x:is>
      </x:c>
      <x:c r="M197" s="5" t="n"/>
      <x:c r="N197" s="5" t="inlineStr">
        <x:is>
          <x:t xml:space="preserve">특수</x:t>
        </x:is>
      </x:c>
      <x:c r="O197" s="5" t="inlineStr">
        <x:is>
          <x:t xml:space="preserve">예</x:t>
        </x:is>
      </x:c>
      <x:c r="P197" s="5" t="inlineStr">
        <x:is>
          <x:t xml:space="preserve">#aether:is_aether; #cobblemon:is_freshwater; #cobblemon:is_lush; #cobblemon:is_overworld; #the_bumblezone:the_bumblezone</x:t>
        </x:is>
      </x:c>
      <x:c r="Q197" s="5" t="inlineStr">
        <x:is>
          <x:t xml:space="preserve">uncommon</x:t>
        </x:is>
      </x:c>
      <x:c r="R197" s="5" t="inlineStr">
        <x:is>
          <x:t xml:space="preserve">day</x:t>
        </x:is>
      </x:c>
      <x:c r="S197" s="5" t="inlineStr">
        <x:is>
          <x:t xml:space="preserve">비=False</x:t>
        </x:is>
      </x:c>
      <x:c r="T197" s="5" t="inlineStr">
        <x:is>
          <x:t xml:space="preserve">담수</x:t>
        </x:is>
      </x:c>
      <x:c r="U197" s="5" t="inlineStr">
        <x:is>
          <x:t xml:space="preserve">담수</x:t>
        </x:is>
      </x:c>
      <x:c r="V197" s="5" t="inlineStr">
        <x:is>
          <x:t xml:space="preserve">온대</x:t>
        </x:is>
      </x:c>
      <x:c r="W197" s="5" t="inlineStr">
        <x:is>
          <x:t xml:space="preserve">수중</x:t>
        </x:is>
      </x:c>
      <x:c r="X197" s="5" t="inlineStr">
        <x:is>
          <x:t xml:space="preserve">비</x:t>
        </x:is>
      </x:c>
      <x:c r="Y197" s="5" t="inlineStr">
        <x:is>
          <x:t xml:space="preserve">낮</x:t>
        </x:is>
      </x:c>
      <x:c r="Z197" s="5" t="inlineStr">
        <x:is>
          <x:t xml:space="preserve">보통</x:t>
        </x:is>
      </x:c>
      <x:c r="AA197" s="5" t="inlineStr">
        <x:is>
          <x:t xml:space="preserve">없음</x:t>
        </x:is>
      </x:c>
      <x:c r="AB197" s="5" t="inlineStr">
        <x:is>
          <x:t xml:space="preserve">담수</x:t>
        </x:is>
      </x:c>
      <x:c r="AC197" s="5" t="inlineStr">
        <x:is>
          <x:t xml:space="preserve">gen2</x:t>
        </x:is>
      </x:c>
      <x:c r="AD197" s="5" t="inlineStr">
        <x:is>
          <x:t xml:space="preserve">.tmp/cobblemon-1.7.3-source/common/src/main/resources/data/cobblemon/species/generation2/yanma.json</x:t>
        </x:is>
      </x:c>
    </x:row>
    <x:row r="198" ht="22" customHeight="1">
      <x:c r="A198" s="5" t="n">
        <x:v>194</x:v>
      </x:c>
      <x:c r="B198" s="5" t="inlineStr">
        <x:is>
          <x:t xml:space="preserve">우파</x:t>
        </x:is>
      </x:c>
      <x:c r="C198" s="5" t="inlineStr">
        <x:is>
          <x:t xml:space="preserve">wooper</x:t>
        </x:is>
      </x:c>
      <x:c r="D198" s="5" t="inlineStr">
        <x:is>
          <x:t xml:space="preserve">Wooper</x:t>
        </x:is>
      </x:c>
      <x:c r="E198" s="5" t="n">
        <x:v>2</x:v>
      </x:c>
      <x:c r="F198" s="5" t="inlineStr">
        <x:is>
          <x:t xml:space="preserve">물</x:t>
        </x:is>
      </x:c>
      <x:c r="G198" s="5" t="inlineStr">
        <x:is>
          <x:t xml:space="preserve">땅</x:t>
        </x:is>
      </x:c>
      <x:c r="H198" s="5" t="n">
        <x:v>0.4</x:v>
      </x:c>
      <x:c r="I198" s="5" t="n">
        <x:v>8.5</x:v>
      </x:c>
      <x:c r="J198" s="5" t="n">
        <x:v>210</x:v>
      </x:c>
      <x:c r="K198" s="5" t="n">
        <x:v>255</x:v>
      </x:c>
      <x:c r="L198" s="5" t="inlineStr">
        <x:is>
          <x:t xml:space="preserve">기본</x:t>
        </x:is>
      </x:c>
      <x:c r="M198" s="5" t="n">
        <x:v>20</x:v>
      </x:c>
      <x:c r="N198" s="5" t="inlineStr">
        <x:is>
          <x:t xml:space="preserve">레벨</x:t>
        </x:is>
      </x:c>
      <x:c r="O198" s="5" t="inlineStr">
        <x:is>
          <x:t xml:space="preserve">예</x:t>
        </x:is>
      </x:c>
      <x:c r="P198" s="5" t="inlineStr">
        <x:is>
          <x:t xml:space="preserve">#aether:is_aether; #cobblemon:has_block/mud; #cobblemon:is_arid; #cobblemon:is_lush; #cobblemon:is_mushroom; #cobblemon:is_overworld; #cobblemon:is_savanna; #cobblemon:is_swamp</x:t>
        </x:is>
      </x:c>
      <x:c r="Q198" s="5" t="inlineStr">
        <x:is>
          <x:t xml:space="preserve">common; uncommon</x:t>
        </x:is>
      </x:c>
      <x:c r="R198" s="5" t="inlineStr">
        <x:is>
          <x:t xml:space="preserve"/>
        </x:is>
      </x:c>
      <x:c r="S198" s="5" t="inlineStr">
        <x:is>
          <x:t xml:space="preserve">비=True</x:t>
        </x:is>
      </x:c>
      <x:c r="T198" s="5" t="inlineStr">
        <x:is>
          <x:t xml:space="preserve">수륙</x:t>
        </x:is>
      </x:c>
      <x:c r="U198" s="5" t="inlineStr">
        <x:is>
          <x:t xml:space="preserve">습지</x:t>
        </x:is>
      </x:c>
      <x:c r="V198" s="5" t="inlineStr">
        <x:is>
          <x:t xml:space="preserve">온대</x:t>
        </x:is>
      </x:c>
      <x:c r="W198" s="5" t="inlineStr">
        <x:is>
          <x:t xml:space="preserve">다습</x:t>
        </x:is>
      </x:c>
      <x:c r="X198" s="5" t="inlineStr">
        <x:is>
          <x:t xml:space="preserve">비</x:t>
        </x:is>
      </x:c>
      <x:c r="Y198" s="5" t="inlineStr">
        <x:is>
          <x:t xml:space="preserve">무관</x:t>
        </x:is>
      </x:c>
      <x:c r="Z198" s="5" t="inlineStr">
        <x:is>
          <x:t xml:space="preserve">보통</x:t>
        </x:is>
      </x:c>
      <x:c r="AA198" s="5" t="inlineStr">
        <x:is>
          <x:t xml:space="preserve">없음</x:t>
        </x:is>
      </x:c>
      <x:c r="AB198" s="5" t="inlineStr">
        <x:is>
          <x:t xml:space="preserve">습지</x:t>
        </x:is>
      </x:c>
      <x:c r="AC198" s="5" t="inlineStr">
        <x:is>
          <x:t xml:space="preserve">gen2; johtonian_form</x:t>
        </x:is>
      </x:c>
      <x:c r="AD198" s="5" t="inlineStr">
        <x:is>
          <x:t xml:space="preserve">.tmp/cobblemon-1.7.3-source/common/src/main/resources/data/cobblemon/species/generation2/wooper.json</x:t>
        </x:is>
      </x:c>
    </x:row>
    <x:row r="199" ht="22" customHeight="1">
      <x:c r="A199" s="5" t="n">
        <x:v>195</x:v>
      </x:c>
      <x:c r="B199" s="5" t="inlineStr">
        <x:is>
          <x:t xml:space="preserve">누오</x:t>
        </x:is>
      </x:c>
      <x:c r="C199" s="5" t="inlineStr">
        <x:is>
          <x:t xml:space="preserve">quagsire</x:t>
        </x:is>
      </x:c>
      <x:c r="D199" s="5" t="inlineStr">
        <x:is>
          <x:t xml:space="preserve">Quagsire</x:t>
        </x:is>
      </x:c>
      <x:c r="E199" s="5" t="n">
        <x:v>2</x:v>
      </x:c>
      <x:c r="F199" s="5" t="inlineStr">
        <x:is>
          <x:t xml:space="preserve">물</x:t>
        </x:is>
      </x:c>
      <x:c r="G199" s="5" t="inlineStr">
        <x:is>
          <x:t xml:space="preserve">땅</x:t>
        </x:is>
      </x:c>
      <x:c r="H199" s="5" t="n">
        <x:v>1.4</x:v>
      </x:c>
      <x:c r="I199" s="5" t="n">
        <x:v>75</x:v>
      </x:c>
      <x:c r="J199" s="5" t="n">
        <x:v>430</x:v>
      </x:c>
      <x:c r="K199" s="5" t="n">
        <x:v>90</x:v>
      </x:c>
      <x:c r="L199" s="5" t="inlineStr">
        <x:is>
          <x:t xml:space="preserve">최종</x:t>
        </x:is>
      </x:c>
      <x:c r="M199" s="5" t="n">
        <x:v>20</x:v>
      </x:c>
      <x:c r="N199" s="5" t="inlineStr">
        <x:is>
          <x:t xml:space="preserve">레벨</x:t>
        </x:is>
      </x:c>
      <x:c r="O199" s="5" t="inlineStr">
        <x:is>
          <x:t xml:space="preserve">예</x:t>
        </x:is>
      </x:c>
      <x:c r="P199" s="5" t="inlineStr">
        <x:is>
          <x:t xml:space="preserve">#aether:is_aether; #cobblemon:is_lush; #cobblemon:is_mushroom; #cobblemon:is_overworld; #cobblemon:is_swamp</x:t>
        </x:is>
      </x:c>
      <x:c r="Q199" s="5" t="inlineStr">
        <x:is>
          <x:t xml:space="preserve">common; uncommon</x:t>
        </x:is>
      </x:c>
      <x:c r="R199" s="5" t="inlineStr">
        <x:is>
          <x:t xml:space="preserve"/>
        </x:is>
      </x:c>
      <x:c r="S199" s="5" t="inlineStr">
        <x:is>
          <x:t xml:space="preserve">비=True</x:t>
        </x:is>
      </x:c>
      <x:c r="T199" s="5" t="inlineStr">
        <x:is>
          <x:t xml:space="preserve">수륙</x:t>
        </x:is>
      </x:c>
      <x:c r="U199" s="5" t="inlineStr">
        <x:is>
          <x:t xml:space="preserve">습지</x:t>
        </x:is>
      </x:c>
      <x:c r="V199" s="5" t="inlineStr">
        <x:is>
          <x:t xml:space="preserve">온대</x:t>
        </x:is>
      </x:c>
      <x:c r="W199" s="5" t="inlineStr">
        <x:is>
          <x:t xml:space="preserve">다습</x:t>
        </x:is>
      </x:c>
      <x:c r="X199" s="5" t="inlineStr">
        <x:is>
          <x:t xml:space="preserve">비</x:t>
        </x:is>
      </x:c>
      <x:c r="Y199" s="5" t="inlineStr">
        <x:is>
          <x:t xml:space="preserve">무관</x:t>
        </x:is>
      </x:c>
      <x:c r="Z199" s="5" t="inlineStr">
        <x:is>
          <x:t xml:space="preserve">보통</x:t>
        </x:is>
      </x:c>
      <x:c r="AA199" s="5" t="inlineStr">
        <x:is>
          <x:t xml:space="preserve">없음</x:t>
        </x:is>
      </x:c>
      <x:c r="AB199" s="5" t="inlineStr">
        <x:is>
          <x:t xml:space="preserve">습지</x:t>
        </x:is>
      </x:c>
      <x:c r="AC199" s="5" t="inlineStr">
        <x:is>
          <x:t xml:space="preserve">gen2</x:t>
        </x:is>
      </x:c>
      <x:c r="AD199" s="5" t="inlineStr">
        <x:is>
          <x:t xml:space="preserve">.tmp/cobblemon-1.7.3-source/common/src/main/resources/data/cobblemon/species/generation2/quagsire.json</x:t>
        </x:is>
      </x:c>
    </x:row>
    <x:row r="200" ht="22" customHeight="1">
      <x:c r="A200" s="5" t="n">
        <x:v>196</x:v>
      </x:c>
      <x:c r="B200" s="5" t="inlineStr">
        <x:is>
          <x:t xml:space="preserve">에브이</x:t>
        </x:is>
      </x:c>
      <x:c r="C200" s="5" t="inlineStr">
        <x:is>
          <x:t xml:space="preserve">espeon</x:t>
        </x:is>
      </x:c>
      <x:c r="D200" s="5" t="inlineStr">
        <x:is>
          <x:t xml:space="preserve">Espeon</x:t>
        </x:is>
      </x:c>
      <x:c r="E200" s="5" t="n">
        <x:v>2</x:v>
      </x:c>
      <x:c r="F200" s="5" t="inlineStr">
        <x:is>
          <x:t xml:space="preserve">에스퍼</x:t>
        </x:is>
      </x:c>
      <x:c r="G200" s="5" t="inlineStr">
        <x:is>
          <x:t xml:space="preserve"/>
        </x:is>
      </x:c>
      <x:c r="H200" s="5" t="n">
        <x:v>0.9</x:v>
      </x:c>
      <x:c r="I200" s="5" t="n">
        <x:v>26.5</x:v>
      </x:c>
      <x:c r="J200" s="5" t="n">
        <x:v>525</x:v>
      </x:c>
      <x:c r="K200" s="5" t="n">
        <x:v>45</x:v>
      </x:c>
      <x:c r="L200" s="5" t="inlineStr">
        <x:is>
          <x:t xml:space="preserve">최종</x:t>
        </x:is>
      </x:c>
      <x:c r="M200" s="5" t="n"/>
      <x:c r="N200" s="5" t="inlineStr">
        <x:is>
          <x:t xml:space="preserve">특수</x:t>
        </x:is>
      </x:c>
      <x:c r="O200" s="5" t="inlineStr">
        <x:is>
          <x:t xml:space="preserve">예</x:t>
        </x:is>
      </x:c>
      <x:c r="P200" s="5" t="inlineStr">
        <x:is>
          <x:t xml:space="preserve">#cobblemon:is_hills; #cobblemon:is_overworld</x:t>
        </x:is>
      </x:c>
      <x:c r="Q200" s="5" t="inlineStr">
        <x:is>
          <x:t xml:space="preserve">ultra-rare; uncommon</x:t>
        </x:is>
      </x:c>
      <x:c r="R200" s="5" t="inlineStr">
        <x:is>
          <x:t xml:space="preserve"/>
        </x:is>
      </x:c>
      <x:c r="S200" s="5" t="inlineStr">
        <x:is>
          <x:t xml:space="preserve"/>
        </x:is>
      </x:c>
      <x:c r="T200" s="5" t="inlineStr">
        <x:is>
          <x:t xml:space="preserve">육상</x:t>
        </x:is>
      </x:c>
      <x:c r="U200" s="5" t="inlineStr">
        <x:is>
          <x:t xml:space="preserve">암석</x:t>
        </x:is>
      </x:c>
      <x:c r="V200" s="5" t="inlineStr">
        <x:is>
          <x:t xml:space="preserve">온대</x:t>
        </x:is>
      </x:c>
      <x:c r="W200" s="5" t="inlineStr">
        <x:is>
          <x:t xml:space="preserve">보통</x:t>
        </x:is>
      </x:c>
      <x:c r="X200" s="5" t="inlineStr">
        <x:is>
          <x:t xml:space="preserve">무관</x:t>
        </x:is>
      </x:c>
      <x:c r="Y200" s="5" t="inlineStr">
        <x:is>
          <x:t xml:space="preserve">무관</x:t>
        </x:is>
      </x:c>
      <x:c r="Z200" s="5" t="inlineStr">
        <x:is>
          <x:t xml:space="preserve">보통</x:t>
        </x:is>
      </x:c>
      <x:c r="AA200" s="5" t="inlineStr">
        <x:is>
          <x:t xml:space="preserve">없음</x:t>
        </x:is>
      </x:c>
      <x:c r="AB200" s="5" t="inlineStr">
        <x:is>
          <x:t xml:space="preserve">산악</x:t>
        </x:is>
      </x:c>
      <x:c r="AC200" s="5" t="inlineStr">
        <x:is>
          <x:t xml:space="preserve">gen2</x:t>
        </x:is>
      </x:c>
      <x:c r="AD200" s="5" t="inlineStr">
        <x:is>
          <x:t xml:space="preserve">.tmp/cobblemon-1.7.3-source/common/src/main/resources/data/cobblemon/species/generation2/espeon.json</x:t>
        </x:is>
      </x:c>
    </x:row>
    <x:row r="201" ht="22" customHeight="1">
      <x:c r="A201" s="5" t="n">
        <x:v>197</x:v>
      </x:c>
      <x:c r="B201" s="5" t="inlineStr">
        <x:is>
          <x:t xml:space="preserve">블래키</x:t>
        </x:is>
      </x:c>
      <x:c r="C201" s="5" t="inlineStr">
        <x:is>
          <x:t xml:space="preserve">umbreon</x:t>
        </x:is>
      </x:c>
      <x:c r="D201" s="5" t="inlineStr">
        <x:is>
          <x:t xml:space="preserve">Umbreon</x:t>
        </x:is>
      </x:c>
      <x:c r="E201" s="5" t="n">
        <x:v>2</x:v>
      </x:c>
      <x:c r="F201" s="5" t="inlineStr">
        <x:is>
          <x:t xml:space="preserve">악</x:t>
        </x:is>
      </x:c>
      <x:c r="G201" s="5" t="inlineStr">
        <x:is>
          <x:t xml:space="preserve"/>
        </x:is>
      </x:c>
      <x:c r="H201" s="5" t="n">
        <x:v>1</x:v>
      </x:c>
      <x:c r="I201" s="5" t="n">
        <x:v>27</x:v>
      </x:c>
      <x:c r="J201" s="5" t="n">
        <x:v>525</x:v>
      </x:c>
      <x:c r="K201" s="5" t="n">
        <x:v>45</x:v>
      </x:c>
      <x:c r="L201" s="5" t="inlineStr">
        <x:is>
          <x:t xml:space="preserve">최종</x:t>
        </x:is>
      </x:c>
      <x:c r="M201" s="5" t="n"/>
      <x:c r="N201" s="5" t="inlineStr">
        <x:is>
          <x:t xml:space="preserve">특수</x:t>
        </x:is>
      </x:c>
      <x:c r="O201" s="5" t="inlineStr">
        <x:is>
          <x:t xml:space="preserve">예</x:t>
        </x:is>
      </x:c>
      <x:c r="P201" s="5" t="inlineStr">
        <x:is>
          <x:t xml:space="preserve">#cobblemon:is_overworld; #cobblemon:is_spooky</x:t>
        </x:is>
      </x:c>
      <x:c r="Q201" s="5" t="inlineStr">
        <x:is>
          <x:t xml:space="preserve">rare; ultra-rare; uncommon</x:t>
        </x:is>
      </x:c>
      <x:c r="R201" s="5" t="inlineStr">
        <x:is>
          <x:t xml:space="preserve">night</x:t>
        </x:is>
      </x:c>
      <x:c r="S201" s="5" t="inlineStr">
        <x:is>
          <x:t xml:space="preserve"/>
        </x:is>
      </x:c>
      <x:c r="T201" s="5" t="inlineStr">
        <x:is>
          <x:t xml:space="preserve">육상</x:t>
        </x:is>
      </x:c>
      <x:c r="U201" s="5" t="inlineStr">
        <x:is>
          <x:t xml:space="preserve">특수</x:t>
        </x:is>
      </x:c>
      <x:c r="V201" s="5" t="inlineStr">
        <x:is>
          <x:t xml:space="preserve">온대</x:t>
        </x:is>
      </x:c>
      <x:c r="W201" s="5" t="inlineStr">
        <x:is>
          <x:t xml:space="preserve">보통</x:t>
        </x:is>
      </x:c>
      <x:c r="X201" s="5" t="inlineStr">
        <x:is>
          <x:t xml:space="preserve">무관</x:t>
        </x:is>
      </x:c>
      <x:c r="Y201" s="5" t="inlineStr">
        <x:is>
          <x:t xml:space="preserve">밤</x:t>
        </x:is>
      </x:c>
      <x:c r="Z201" s="5" t="inlineStr">
        <x:is>
          <x:t xml:space="preserve">보통</x:t>
        </x:is>
      </x:c>
      <x:c r="AA201" s="5" t="inlineStr">
        <x:is>
          <x:t xml:space="preserve">영체</x:t>
        </x:is>
      </x:c>
      <x:c r="AB201" s="5" t="inlineStr">
        <x:is>
          <x:t xml:space="preserve">특수</x:t>
        </x:is>
      </x:c>
      <x:c r="AC201" s="5" t="inlineStr">
        <x:is>
          <x:t xml:space="preserve">gen2</x:t>
        </x:is>
      </x:c>
      <x:c r="AD201" s="5" t="inlineStr">
        <x:is>
          <x:t xml:space="preserve">.tmp/cobblemon-1.7.3-source/common/src/main/resources/data/cobblemon/species/generation2/umbreon.json</x:t>
        </x:is>
      </x:c>
    </x:row>
    <x:row r="202" ht="22" customHeight="1">
      <x:c r="A202" s="5" t="n">
        <x:v>198</x:v>
      </x:c>
      <x:c r="B202" s="5" t="inlineStr">
        <x:is>
          <x:t xml:space="preserve">니로우</x:t>
        </x:is>
      </x:c>
      <x:c r="C202" s="5" t="inlineStr">
        <x:is>
          <x:t xml:space="preserve">murkrow</x:t>
        </x:is>
      </x:c>
      <x:c r="D202" s="5" t="inlineStr">
        <x:is>
          <x:t xml:space="preserve">Murkrow</x:t>
        </x:is>
      </x:c>
      <x:c r="E202" s="5" t="n">
        <x:v>2</x:v>
      </x:c>
      <x:c r="F202" s="5" t="inlineStr">
        <x:is>
          <x:t xml:space="preserve">악</x:t>
        </x:is>
      </x:c>
      <x:c r="G202" s="5" t="inlineStr">
        <x:is>
          <x:t xml:space="preserve">비행</x:t>
        </x:is>
      </x:c>
      <x:c r="H202" s="5" t="n">
        <x:v>0.5</x:v>
      </x:c>
      <x:c r="I202" s="5" t="n">
        <x:v>2.1</x:v>
      </x:c>
      <x:c r="J202" s="5" t="n">
        <x:v>405</x:v>
      </x:c>
      <x:c r="K202" s="5" t="n">
        <x:v>30</x:v>
      </x:c>
      <x:c r="L202" s="5" t="inlineStr">
        <x:is>
          <x:t xml:space="preserve">기본</x:t>
        </x:is>
      </x:c>
      <x:c r="M202" s="5" t="n"/>
      <x:c r="N202" s="5" t="inlineStr">
        <x:is>
          <x:t xml:space="preserve">특수</x:t>
        </x:is>
      </x:c>
      <x:c r="O202" s="5" t="inlineStr">
        <x:is>
          <x:t xml:space="preserve">예</x:t>
        </x:is>
      </x:c>
      <x:c r="P202" s="5" t="inlineStr">
        <x:is>
          <x:t xml:space="preserve">#cobblemon:is_spooky; #cobblemon:is_swamp; #cobblemon:is_taiga</x:t>
        </x:is>
      </x:c>
      <x:c r="Q202" s="5" t="inlineStr">
        <x:is>
          <x:t xml:space="preserve">common</x:t>
        </x:is>
      </x:c>
      <x:c r="R202" s="5" t="inlineStr">
        <x:is>
          <x:t xml:space="preserve">night</x:t>
        </x:is>
      </x:c>
      <x:c r="S202" s="5" t="inlineStr">
        <x:is>
          <x:t xml:space="preserve"/>
        </x:is>
      </x:c>
      <x:c r="T202" s="5" t="inlineStr">
        <x:is>
          <x:t xml:space="preserve">비행</x:t>
        </x:is>
      </x:c>
      <x:c r="U202" s="5" t="inlineStr">
        <x:is>
          <x:t xml:space="preserve">특수</x:t>
        </x:is>
      </x:c>
      <x:c r="V202" s="5" t="inlineStr">
        <x:is>
          <x:t xml:space="preserve">서늘</x:t>
        </x:is>
      </x:c>
      <x:c r="W202" s="5" t="inlineStr">
        <x:is>
          <x:t xml:space="preserve">보통</x:t>
        </x:is>
      </x:c>
      <x:c r="X202" s="5" t="inlineStr">
        <x:is>
          <x:t xml:space="preserve">무관</x:t>
        </x:is>
      </x:c>
      <x:c r="Y202" s="5" t="inlineStr">
        <x:is>
          <x:t xml:space="preserve">밤</x:t>
        </x:is>
      </x:c>
      <x:c r="Z202" s="5" t="inlineStr">
        <x:is>
          <x:t xml:space="preserve">흔함</x:t>
        </x:is>
      </x:c>
      <x:c r="AA202" s="5" t="inlineStr">
        <x:is>
          <x:t xml:space="preserve">영체</x:t>
        </x:is>
      </x:c>
      <x:c r="AB202" s="5" t="inlineStr">
        <x:is>
          <x:t xml:space="preserve">특수</x:t>
        </x:is>
      </x:c>
      <x:c r="AC202" s="5" t="inlineStr">
        <x:is>
          <x:t xml:space="preserve">gen2</x:t>
        </x:is>
      </x:c>
      <x:c r="AD202" s="5" t="inlineStr">
        <x:is>
          <x:t xml:space="preserve">.tmp/cobblemon-1.7.3-source/common/src/main/resources/data/cobblemon/species/generation2/murkrow.json</x:t>
        </x:is>
      </x:c>
    </x:row>
    <x:row r="203" ht="22" customHeight="1">
      <x:c r="A203" s="5" t="n">
        <x:v>199</x:v>
      </x:c>
      <x:c r="B203" s="5" t="inlineStr">
        <x:is>
          <x:t xml:space="preserve">야도킹</x:t>
        </x:is>
      </x:c>
      <x:c r="C203" s="5" t="inlineStr">
        <x:is>
          <x:t xml:space="preserve">slowking</x:t>
        </x:is>
      </x:c>
      <x:c r="D203" s="5" t="inlineStr">
        <x:is>
          <x:t xml:space="preserve">Slowking</x:t>
        </x:is>
      </x:c>
      <x:c r="E203" s="5" t="n">
        <x:v>2</x:v>
      </x:c>
      <x:c r="F203" s="5" t="inlineStr">
        <x:is>
          <x:t xml:space="preserve">물</x:t>
        </x:is>
      </x:c>
      <x:c r="G203" s="5" t="inlineStr">
        <x:is>
          <x:t xml:space="preserve">에스퍼</x:t>
        </x:is>
      </x:c>
      <x:c r="H203" s="5" t="n">
        <x:v>2</x:v>
      </x:c>
      <x:c r="I203" s="5" t="n">
        <x:v>79.5</x:v>
      </x:c>
      <x:c r="J203" s="5" t="n">
        <x:v>490</x:v>
      </x:c>
      <x:c r="K203" s="5" t="n">
        <x:v>70</x:v>
      </x:c>
      <x:c r="L203" s="5" t="inlineStr">
        <x:is>
          <x:t xml:space="preserve">최종</x:t>
        </x:is>
      </x:c>
      <x:c r="M203" s="5" t="n">
        <x:v>37</x:v>
      </x:c>
      <x:c r="N203" s="5" t="inlineStr">
        <x:is>
          <x:t xml:space="preserve">레벨·특수</x:t>
        </x:is>
      </x:c>
      <x:c r="O203" s="5" t="inlineStr">
        <x:is>
          <x:t xml:space="preserve">예</x:t>
        </x:is>
      </x:c>
      <x:c r="P203" s="5" t="inlineStr">
        <x:is>
          <x:t xml:space="preserve">#cobblemon:is_beach; #cobblemon:is_tropical_island; minecraft:mushroom_fields</x:t>
        </x:is>
      </x:c>
      <x:c r="Q203" s="5" t="inlineStr">
        <x:is>
          <x:t xml:space="preserve">common</x:t>
        </x:is>
      </x:c>
      <x:c r="R203" s="5" t="inlineStr">
        <x:is>
          <x:t xml:space="preserve"/>
        </x:is>
      </x:c>
      <x:c r="S203" s="5" t="inlineStr">
        <x:is>
          <x:t xml:space="preserve"/>
        </x:is>
      </x:c>
      <x:c r="T203" s="5" t="inlineStr">
        <x:is>
          <x:t xml:space="preserve">해양</x:t>
        </x:is>
      </x:c>
      <x:c r="U203" s="5" t="inlineStr">
        <x:is>
          <x:t xml:space="preserve">해안·해양</x:t>
        </x:is>
      </x:c>
      <x:c r="V203" s="5" t="inlineStr">
        <x:is>
          <x:t xml:space="preserve">온대</x:t>
        </x:is>
      </x:c>
      <x:c r="W203" s="5" t="inlineStr">
        <x:is>
          <x:t xml:space="preserve">수중</x:t>
        </x:is>
      </x:c>
      <x:c r="X203" s="5" t="inlineStr">
        <x:is>
          <x:t xml:space="preserve">비</x:t>
        </x:is>
      </x:c>
      <x:c r="Y203" s="5" t="inlineStr">
        <x:is>
          <x:t xml:space="preserve">무관</x:t>
        </x:is>
      </x:c>
      <x:c r="Z203" s="5" t="inlineStr">
        <x:is>
          <x:t xml:space="preserve">흔함</x:t>
        </x:is>
      </x:c>
      <x:c r="AA203" s="5" t="inlineStr">
        <x:is>
          <x:t xml:space="preserve">없음</x:t>
        </x:is>
      </x:c>
      <x:c r="AB203" s="5" t="inlineStr">
        <x:is>
          <x:t xml:space="preserve">해양</x:t>
        </x:is>
      </x:c>
      <x:c r="AC203" s="5" t="inlineStr">
        <x:is>
          <x:t xml:space="preserve">gen2; johtonian_form</x:t>
        </x:is>
      </x:c>
      <x:c r="AD203" s="5" t="inlineStr">
        <x:is>
          <x:t xml:space="preserve">.tmp/cobblemon-1.7.3-source/common/src/main/resources/data/cobblemon/species/generation2/slowking.json</x:t>
        </x:is>
      </x:c>
    </x:row>
    <x:row r="204" ht="22" customHeight="1">
      <x:c r="A204" s="5" t="n">
        <x:v>200</x:v>
      </x:c>
      <x:c r="B204" s="5" t="inlineStr">
        <x:is>
          <x:t xml:space="preserve">무우마</x:t>
        </x:is>
      </x:c>
      <x:c r="C204" s="5" t="inlineStr">
        <x:is>
          <x:t xml:space="preserve">misdreavus</x:t>
        </x:is>
      </x:c>
      <x:c r="D204" s="5" t="inlineStr">
        <x:is>
          <x:t xml:space="preserve">Misdreavus</x:t>
        </x:is>
      </x:c>
      <x:c r="E204" s="5" t="n">
        <x:v>2</x:v>
      </x:c>
      <x:c r="F204" s="5" t="inlineStr">
        <x:is>
          <x:t xml:space="preserve">고스트</x:t>
        </x:is>
      </x:c>
      <x:c r="G204" s="5" t="inlineStr">
        <x:is>
          <x:t xml:space="preserve"/>
        </x:is>
      </x:c>
      <x:c r="H204" s="5" t="n">
        <x:v>0.7</x:v>
      </x:c>
      <x:c r="I204" s="5" t="n">
        <x:v>1</x:v>
      </x:c>
      <x:c r="J204" s="5" t="n">
        <x:v>435</x:v>
      </x:c>
      <x:c r="K204" s="5" t="n">
        <x:v>45</x:v>
      </x:c>
      <x:c r="L204" s="5" t="inlineStr">
        <x:is>
          <x:t xml:space="preserve">기본</x:t>
        </x:is>
      </x:c>
      <x:c r="M204" s="5" t="n"/>
      <x:c r="N204" s="5" t="inlineStr">
        <x:is>
          <x:t xml:space="preserve">특수</x:t>
        </x:is>
      </x:c>
      <x:c r="O204" s="5" t="inlineStr">
        <x:is>
          <x:t xml:space="preserve">예</x:t>
        </x:is>
      </x:c>
      <x:c r="P204" s="5" t="inlineStr">
        <x:is>
          <x:t xml:space="preserve">#cobblemon:is_overworld; #cobblemon:is_spooky; #cobblemon:is_swamp; #cobblemon:nether/is_warped</x:t>
        </x:is>
      </x:c>
      <x:c r="Q204" s="5" t="inlineStr">
        <x:is>
          <x:t xml:space="preserve">common</x:t>
        </x:is>
      </x:c>
      <x:c r="R204" s="5" t="inlineStr">
        <x:is>
          <x:t xml:space="preserve">night</x:t>
        </x:is>
      </x:c>
      <x:c r="S204" s="5" t="inlineStr">
        <x:is>
          <x:t xml:space="preserve"/>
        </x:is>
      </x:c>
      <x:c r="T204" s="5" t="inlineStr">
        <x:is>
          <x:t xml:space="preserve">비행</x:t>
        </x:is>
      </x:c>
      <x:c r="U204" s="5" t="inlineStr">
        <x:is>
          <x:t xml:space="preserve">특수</x:t>
        </x:is>
      </x:c>
      <x:c r="V204" s="5" t="inlineStr">
        <x:is>
          <x:t xml:space="preserve">온대</x:t>
        </x:is>
      </x:c>
      <x:c r="W204" s="5" t="inlineStr">
        <x:is>
          <x:t xml:space="preserve">보통</x:t>
        </x:is>
      </x:c>
      <x:c r="X204" s="5" t="inlineStr">
        <x:is>
          <x:t xml:space="preserve">안개</x:t>
        </x:is>
      </x:c>
      <x:c r="Y204" s="5" t="inlineStr">
        <x:is>
          <x:t xml:space="preserve">밤</x:t>
        </x:is>
      </x:c>
      <x:c r="Z204" s="5" t="inlineStr">
        <x:is>
          <x:t xml:space="preserve">흔함</x:t>
        </x:is>
      </x:c>
      <x:c r="AA204" s="5" t="inlineStr">
        <x:is>
          <x:t xml:space="preserve">영체</x:t>
        </x:is>
      </x:c>
      <x:c r="AB204" s="5" t="inlineStr">
        <x:is>
          <x:t xml:space="preserve">특수</x:t>
        </x:is>
      </x:c>
      <x:c r="AC204" s="5" t="inlineStr">
        <x:is>
          <x:t xml:space="preserve">gen2</x:t>
        </x:is>
      </x:c>
      <x:c r="AD204" s="5" t="inlineStr">
        <x:is>
          <x:t xml:space="preserve">.tmp/cobblemon-1.7.3-source/common/src/main/resources/data/cobblemon/species/generation2/misdreavus.json</x:t>
        </x:is>
      </x:c>
    </x:row>
    <x:row r="205" ht="22" customHeight="1">
      <x:c r="A205" s="5" t="n">
        <x:v>201</x:v>
      </x:c>
      <x:c r="B205" s="5" t="inlineStr">
        <x:is>
          <x:t xml:space="preserve">안농</x:t>
        </x:is>
      </x:c>
      <x:c r="C205" s="5" t="inlineStr">
        <x:is>
          <x:t xml:space="preserve">unown</x:t>
        </x:is>
      </x:c>
      <x:c r="D205" s="5" t="inlineStr">
        <x:is>
          <x:t xml:space="preserve">Unown</x:t>
        </x:is>
      </x:c>
      <x:c r="E205" s="5" t="n">
        <x:v>2</x:v>
      </x:c>
      <x:c r="F205" s="5" t="inlineStr">
        <x:is>
          <x:t xml:space="preserve">에스퍼</x:t>
        </x:is>
      </x:c>
      <x:c r="G205" s="5" t="inlineStr">
        <x:is>
          <x:t xml:space="preserve"/>
        </x:is>
      </x:c>
      <x:c r="H205" s="5" t="n">
        <x:v>0.5</x:v>
      </x:c>
      <x:c r="I205" s="5" t="n">
        <x:v>5</x:v>
      </x:c>
      <x:c r="J205" s="5" t="n">
        <x:v>336</x:v>
      </x:c>
      <x:c r="K205" s="5" t="n">
        <x:v>225</x:v>
      </x:c>
      <x:c r="L205" s="5" t="inlineStr">
        <x:is>
          <x:t xml:space="preserve">무진화</x:t>
        </x:is>
      </x:c>
      <x:c r="M205" s="5" t="n"/>
      <x:c r="N205" s="5" t="inlineStr">
        <x:is>
          <x:t xml:space="preserve">없음</x:t>
        </x:is>
      </x:c>
      <x:c r="O205" s="5" t="inlineStr">
        <x:is>
          <x:t xml:space="preserve">예</x:t>
        </x:is>
      </x:c>
      <x:c r="P205" s="5" t="inlineStr">
        <x:is>
          <x:t xml:space="preserve">#cobblemon:is_end; #cobblemon:is_overworld; the_bumblezone:howling_constructs</x:t>
        </x:is>
      </x:c>
      <x:c r="Q205" s="5" t="inlineStr">
        <x:is>
          <x:t xml:space="preserve">common</x:t>
        </x:is>
      </x:c>
      <x:c r="R205" s="5" t="inlineStr">
        <x:is>
          <x:t xml:space="preserve"/>
        </x:is>
      </x:c>
      <x:c r="S205" s="5" t="inlineStr">
        <x:is>
          <x:t xml:space="preserve"/>
        </x:is>
      </x:c>
      <x:c r="T205" s="5" t="inlineStr">
        <x:is>
          <x:t xml:space="preserve">비행</x:t>
        </x:is>
      </x:c>
      <x:c r="U205" s="5" t="inlineStr">
        <x:is>
          <x:t xml:space="preserve">개활지</x:t>
        </x:is>
      </x:c>
      <x:c r="V205" s="5" t="inlineStr">
        <x:is>
          <x:t xml:space="preserve">온대</x:t>
        </x:is>
      </x:c>
      <x:c r="W205" s="5" t="inlineStr">
        <x:is>
          <x:t xml:space="preserve">보통</x:t>
        </x:is>
      </x:c>
      <x:c r="X205" s="5" t="inlineStr">
        <x:is>
          <x:t xml:space="preserve">무관</x:t>
        </x:is>
      </x:c>
      <x:c r="Y205" s="5" t="inlineStr">
        <x:is>
          <x:t xml:space="preserve">무관</x:t>
        </x:is>
      </x:c>
      <x:c r="Z205" s="5" t="inlineStr">
        <x:is>
          <x:t xml:space="preserve">흔함</x:t>
        </x:is>
      </x:c>
      <x:c r="AA205" s="5" t="inlineStr">
        <x:is>
          <x:t xml:space="preserve">없음</x:t>
        </x:is>
      </x:c>
      <x:c r="AB205" s="5" t="inlineStr">
        <x:is>
          <x:t xml:space="preserve"/>
        </x:is>
      </x:c>
      <x:c r="AC205" s="5" t="inlineStr">
        <x:is>
          <x:t xml:space="preserve">gen2</x:t>
        </x:is>
      </x:c>
      <x:c r="AD205" s="5" t="inlineStr">
        <x:is>
          <x:t xml:space="preserve">.tmp/cobblemon-1.7.3-source/common/src/main/resources/data/cobblemon/species/generation2/unown.json</x:t>
        </x:is>
      </x:c>
    </x:row>
    <x:row r="206" ht="22" customHeight="1">
      <x:c r="A206" s="5" t="n">
        <x:v>202</x:v>
      </x:c>
      <x:c r="B206" s="5" t="inlineStr">
        <x:is>
          <x:t xml:space="preserve">마자용</x:t>
        </x:is>
      </x:c>
      <x:c r="C206" s="5" t="inlineStr">
        <x:is>
          <x:t xml:space="preserve">wobbuffet</x:t>
        </x:is>
      </x:c>
      <x:c r="D206" s="5" t="inlineStr">
        <x:is>
          <x:t xml:space="preserve">Wobbuffet</x:t>
        </x:is>
      </x:c>
      <x:c r="E206" s="5" t="n">
        <x:v>2</x:v>
      </x:c>
      <x:c r="F206" s="5" t="inlineStr">
        <x:is>
          <x:t xml:space="preserve">에스퍼</x:t>
        </x:is>
      </x:c>
      <x:c r="G206" s="5" t="inlineStr">
        <x:is>
          <x:t xml:space="preserve"/>
        </x:is>
      </x:c>
      <x:c r="H206" s="5" t="n">
        <x:v>1.3</x:v>
      </x:c>
      <x:c r="I206" s="5" t="n">
        <x:v>28.5</x:v>
      </x:c>
      <x:c r="J206" s="5" t="n">
        <x:v>405</x:v>
      </x:c>
      <x:c r="K206" s="5" t="n">
        <x:v>45</x:v>
      </x:c>
      <x:c r="L206" s="5" t="inlineStr">
        <x:is>
          <x:t xml:space="preserve">최종</x:t>
        </x:is>
      </x:c>
      <x:c r="M206" s="5" t="n">
        <x:v>15</x:v>
      </x:c>
      <x:c r="N206" s="5" t="inlineStr">
        <x:is>
          <x:t xml:space="preserve">레벨</x:t>
        </x:is>
      </x:c>
      <x:c r="O206" s="5" t="inlineStr">
        <x:is>
          <x:t xml:space="preserve">예</x:t>
        </x:is>
      </x:c>
      <x:c r="P206" s="5" t="inlineStr">
        <x:is>
          <x:t xml:space="preserve">#cobblemon:is_grassland</x:t>
        </x:is>
      </x:c>
      <x:c r="Q206" s="5" t="inlineStr">
        <x:is>
          <x:t xml:space="preserve">rare</x:t>
        </x:is>
      </x:c>
      <x:c r="R206" s="5" t="inlineStr">
        <x:is>
          <x:t xml:space="preserve"/>
        </x:is>
      </x:c>
      <x:c r="S206" s="5" t="inlineStr">
        <x:is>
          <x:t xml:space="preserve"/>
        </x:is>
      </x:c>
      <x:c r="T206" s="5" t="inlineStr">
        <x:is>
          <x:t xml:space="preserve">육상</x:t>
        </x:is>
      </x:c>
      <x:c r="U206" s="5" t="inlineStr">
        <x:is>
          <x:t xml:space="preserve">개활지</x:t>
        </x:is>
      </x:c>
      <x:c r="V206" s="5" t="inlineStr">
        <x:is>
          <x:t xml:space="preserve">온대</x:t>
        </x:is>
      </x:c>
      <x:c r="W206" s="5" t="inlineStr">
        <x:is>
          <x:t xml:space="preserve">보통</x:t>
        </x:is>
      </x:c>
      <x:c r="X206" s="5" t="inlineStr">
        <x:is>
          <x:t xml:space="preserve">무관</x:t>
        </x:is>
      </x:c>
      <x:c r="Y206" s="5" t="inlineStr">
        <x:is>
          <x:t xml:space="preserve">무관</x:t>
        </x:is>
      </x:c>
      <x:c r="Z206" s="5" t="inlineStr">
        <x:is>
          <x:t xml:space="preserve">드묾</x:t>
        </x:is>
      </x:c>
      <x:c r="AA206" s="5" t="inlineStr">
        <x:is>
          <x:t xml:space="preserve">없음</x:t>
        </x:is>
      </x:c>
      <x:c r="AB206" s="5" t="inlineStr">
        <x:is>
          <x:t xml:space="preserve">평원</x:t>
        </x:is>
      </x:c>
      <x:c r="AC206" s="5" t="inlineStr">
        <x:is>
          <x:t xml:space="preserve">gen2</x:t>
        </x:is>
      </x:c>
      <x:c r="AD206" s="5" t="inlineStr">
        <x:is>
          <x:t xml:space="preserve">.tmp/cobblemon-1.7.3-source/common/src/main/resources/data/cobblemon/species/generation2/wobbuffet.json</x:t>
        </x:is>
      </x:c>
    </x:row>
    <x:row r="207" ht="22" customHeight="1">
      <x:c r="A207" s="5" t="n">
        <x:v>203</x:v>
      </x:c>
      <x:c r="B207" s="5" t="inlineStr">
        <x:is>
          <x:t xml:space="preserve">키링키</x:t>
        </x:is>
      </x:c>
      <x:c r="C207" s="5" t="inlineStr">
        <x:is>
          <x:t xml:space="preserve">girafarig</x:t>
        </x:is>
      </x:c>
      <x:c r="D207" s="5" t="inlineStr">
        <x:is>
          <x:t xml:space="preserve">Girafarig</x:t>
        </x:is>
      </x:c>
      <x:c r="E207" s="5" t="n">
        <x:v>2</x:v>
      </x:c>
      <x:c r="F207" s="5" t="inlineStr">
        <x:is>
          <x:t xml:space="preserve">노말</x:t>
        </x:is>
      </x:c>
      <x:c r="G207" s="5" t="inlineStr">
        <x:is>
          <x:t xml:space="preserve">에스퍼</x:t>
        </x:is>
      </x:c>
      <x:c r="H207" s="5" t="n">
        <x:v>1.5</x:v>
      </x:c>
      <x:c r="I207" s="5" t="n">
        <x:v>41.5</x:v>
      </x:c>
      <x:c r="J207" s="5" t="n">
        <x:v>455</x:v>
      </x:c>
      <x:c r="K207" s="5" t="n">
        <x:v>60</x:v>
      </x:c>
      <x:c r="L207" s="5" t="inlineStr">
        <x:is>
          <x:t xml:space="preserve">기본</x:t>
        </x:is>
      </x:c>
      <x:c r="M207" s="5" t="n"/>
      <x:c r="N207" s="5" t="inlineStr">
        <x:is>
          <x:t xml:space="preserve">특수</x:t>
        </x:is>
      </x:c>
      <x:c r="O207" s="5" t="inlineStr">
        <x:is>
          <x:t xml:space="preserve">예</x:t>
        </x:is>
      </x:c>
      <x:c r="P207" s="5" t="inlineStr">
        <x:is>
          <x:t xml:space="preserve">#cobblemon:is_savanna</x:t>
        </x:is>
      </x:c>
      <x:c r="Q207" s="5" t="inlineStr">
        <x:is>
          <x:t xml:space="preserve">common</x:t>
        </x:is>
      </x:c>
      <x:c r="R207" s="5" t="inlineStr">
        <x:is>
          <x:t xml:space="preserve"/>
        </x:is>
      </x:c>
      <x:c r="S207" s="5" t="inlineStr">
        <x:is>
          <x:t xml:space="preserve"/>
        </x:is>
      </x:c>
      <x:c r="T207" s="5" t="inlineStr">
        <x:is>
          <x:t xml:space="preserve">육상</x:t>
        </x:is>
      </x:c>
      <x:c r="U207" s="5" t="inlineStr">
        <x:is>
          <x:t xml:space="preserve">개활지</x:t>
        </x:is>
      </x:c>
      <x:c r="V207" s="5" t="inlineStr">
        <x:is>
          <x:t xml:space="preserve">온대</x:t>
        </x:is>
      </x:c>
      <x:c r="W207" s="5" t="inlineStr">
        <x:is>
          <x:t xml:space="preserve">보통</x:t>
        </x:is>
      </x:c>
      <x:c r="X207" s="5" t="inlineStr">
        <x:is>
          <x:t xml:space="preserve">무관</x:t>
        </x:is>
      </x:c>
      <x:c r="Y207" s="5" t="inlineStr">
        <x:is>
          <x:t xml:space="preserve">무관</x:t>
        </x:is>
      </x:c>
      <x:c r="Z207" s="5" t="inlineStr">
        <x:is>
          <x:t xml:space="preserve">흔함</x:t>
        </x:is>
      </x:c>
      <x:c r="AA207" s="5" t="inlineStr">
        <x:is>
          <x:t xml:space="preserve">없음</x:t>
        </x:is>
      </x:c>
      <x:c r="AB207" s="5" t="inlineStr">
        <x:is>
          <x:t xml:space="preserve">평원</x:t>
        </x:is>
      </x:c>
      <x:c r="AC207" s="5" t="inlineStr">
        <x:is>
          <x:t xml:space="preserve">gen2</x:t>
        </x:is>
      </x:c>
      <x:c r="AD207" s="5" t="inlineStr">
        <x:is>
          <x:t xml:space="preserve">.tmp/cobblemon-1.7.3-source/common/src/main/resources/data/cobblemon/species/generation2/girafarig.json</x:t>
        </x:is>
      </x:c>
    </x:row>
    <x:row r="208" ht="22" customHeight="1">
      <x:c r="A208" s="5" t="n">
        <x:v>204</x:v>
      </x:c>
      <x:c r="B208" s="5" t="inlineStr">
        <x:is>
          <x:t xml:space="preserve">피콘</x:t>
        </x:is>
      </x:c>
      <x:c r="C208" s="5" t="inlineStr">
        <x:is>
          <x:t xml:space="preserve">pineco</x:t>
        </x:is>
      </x:c>
      <x:c r="D208" s="5" t="inlineStr">
        <x:is>
          <x:t xml:space="preserve">Pineco</x:t>
        </x:is>
      </x:c>
      <x:c r="E208" s="5" t="n">
        <x:v>2</x:v>
      </x:c>
      <x:c r="F208" s="5" t="inlineStr">
        <x:is>
          <x:t xml:space="preserve">벌레</x:t>
        </x:is>
      </x:c>
      <x:c r="G208" s="5" t="inlineStr">
        <x:is>
          <x:t xml:space="preserve"/>
        </x:is>
      </x:c>
      <x:c r="H208" s="5" t="n">
        <x:v>0.6</x:v>
      </x:c>
      <x:c r="I208" s="5" t="n">
        <x:v>7.2</x:v>
      </x:c>
      <x:c r="J208" s="5" t="n">
        <x:v>290</x:v>
      </x:c>
      <x:c r="K208" s="5" t="n">
        <x:v>190</x:v>
      </x:c>
      <x:c r="L208" s="5" t="inlineStr">
        <x:is>
          <x:t xml:space="preserve">기본</x:t>
        </x:is>
      </x:c>
      <x:c r="M208" s="5" t="n">
        <x:v>31</x:v>
      </x:c>
      <x:c r="N208" s="5" t="inlineStr">
        <x:is>
          <x:t xml:space="preserve">레벨</x:t>
        </x:is>
      </x:c>
      <x:c r="O208" s="5" t="inlineStr">
        <x:is>
          <x:t xml:space="preserve">예</x:t>
        </x:is>
      </x:c>
      <x:c r="P208" s="5" t="inlineStr">
        <x:is>
          <x:t xml:space="preserve">#cobblemon:is_taiga</x:t>
        </x:is>
      </x:c>
      <x:c r="Q208" s="5" t="inlineStr">
        <x:is>
          <x:t xml:space="preserve">common</x:t>
        </x:is>
      </x:c>
      <x:c r="R208" s="5" t="inlineStr">
        <x:is>
          <x:t xml:space="preserve"/>
        </x:is>
      </x:c>
      <x:c r="S208" s="5" t="inlineStr">
        <x:is>
          <x:t xml:space="preserve"/>
        </x:is>
      </x:c>
      <x:c r="T208" s="5" t="inlineStr">
        <x:is>
          <x:t xml:space="preserve">육상</x:t>
        </x:is>
      </x:c>
      <x:c r="U208" s="5" t="inlineStr">
        <x:is>
          <x:t xml:space="preserve">수목</x:t>
        </x:is>
      </x:c>
      <x:c r="V208" s="5" t="inlineStr">
        <x:is>
          <x:t xml:space="preserve">서늘</x:t>
        </x:is>
      </x:c>
      <x:c r="W208" s="5" t="inlineStr">
        <x:is>
          <x:t xml:space="preserve">보통</x:t>
        </x:is>
      </x:c>
      <x:c r="X208" s="5" t="inlineStr">
        <x:is>
          <x:t xml:space="preserve">무관</x:t>
        </x:is>
      </x:c>
      <x:c r="Y208" s="5" t="inlineStr">
        <x:is>
          <x:t xml:space="preserve">무관</x:t>
        </x:is>
      </x:c>
      <x:c r="Z208" s="5" t="inlineStr">
        <x:is>
          <x:t xml:space="preserve">흔함</x:t>
        </x:is>
      </x:c>
      <x:c r="AA208" s="5" t="inlineStr">
        <x:is>
          <x:t xml:space="preserve">없음</x:t>
        </x:is>
      </x:c>
      <x:c r="AB208" s="5" t="inlineStr">
        <x:is>
          <x:t xml:space="preserve">숲</x:t>
        </x:is>
      </x:c>
      <x:c r="AC208" s="5" t="inlineStr">
        <x:is>
          <x:t xml:space="preserve">gen2</x:t>
        </x:is>
      </x:c>
      <x:c r="AD208" s="5" t="inlineStr">
        <x:is>
          <x:t xml:space="preserve">.tmp/cobblemon-1.7.3-source/common/src/main/resources/data/cobblemon/species/generation2/pineco.json</x:t>
        </x:is>
      </x:c>
    </x:row>
    <x:row r="209" ht="22" customHeight="1">
      <x:c r="A209" s="5" t="n">
        <x:v>205</x:v>
      </x:c>
      <x:c r="B209" s="5" t="inlineStr">
        <x:is>
          <x:t xml:space="preserve">쏘콘</x:t>
        </x:is>
      </x:c>
      <x:c r="C209" s="5" t="inlineStr">
        <x:is>
          <x:t xml:space="preserve">forretress</x:t>
        </x:is>
      </x:c>
      <x:c r="D209" s="5" t="inlineStr">
        <x:is>
          <x:t xml:space="preserve">Forretress</x:t>
        </x:is>
      </x:c>
      <x:c r="E209" s="5" t="n">
        <x:v>2</x:v>
      </x:c>
      <x:c r="F209" s="5" t="inlineStr">
        <x:is>
          <x:t xml:space="preserve">벌레</x:t>
        </x:is>
      </x:c>
      <x:c r="G209" s="5" t="inlineStr">
        <x:is>
          <x:t xml:space="preserve">강철</x:t>
        </x:is>
      </x:c>
      <x:c r="H209" s="5" t="n">
        <x:v>1.2</x:v>
      </x:c>
      <x:c r="I209" s="5" t="n">
        <x:v>125.8</x:v>
      </x:c>
      <x:c r="J209" s="5" t="n">
        <x:v>465</x:v>
      </x:c>
      <x:c r="K209" s="5" t="n">
        <x:v>75</x:v>
      </x:c>
      <x:c r="L209" s="5" t="inlineStr">
        <x:is>
          <x:t xml:space="preserve">최종</x:t>
        </x:is>
      </x:c>
      <x:c r="M209" s="5" t="n">
        <x:v>31</x:v>
      </x:c>
      <x:c r="N209" s="5" t="inlineStr">
        <x:is>
          <x:t xml:space="preserve">레벨</x:t>
        </x:is>
      </x:c>
      <x:c r="O209" s="5" t="inlineStr">
        <x:is>
          <x:t xml:space="preserve">예</x:t>
        </x:is>
      </x:c>
      <x:c r="P209" s="5" t="inlineStr">
        <x:is>
          <x:t xml:space="preserve">#cobblemon:is_taiga</x:t>
        </x:is>
      </x:c>
      <x:c r="Q209" s="5" t="inlineStr">
        <x:is>
          <x:t xml:space="preserve">common</x:t>
        </x:is>
      </x:c>
      <x:c r="R209" s="5" t="inlineStr">
        <x:is>
          <x:t xml:space="preserve"/>
        </x:is>
      </x:c>
      <x:c r="S209" s="5" t="inlineStr">
        <x:is>
          <x:t xml:space="preserve"/>
        </x:is>
      </x:c>
      <x:c r="T209" s="5" t="inlineStr">
        <x:is>
          <x:t xml:space="preserve">비행</x:t>
        </x:is>
      </x:c>
      <x:c r="U209" s="5" t="inlineStr">
        <x:is>
          <x:t xml:space="preserve">수목</x:t>
        </x:is>
      </x:c>
      <x:c r="V209" s="5" t="inlineStr">
        <x:is>
          <x:t xml:space="preserve">서늘</x:t>
        </x:is>
      </x:c>
      <x:c r="W209" s="5" t="inlineStr">
        <x:is>
          <x:t xml:space="preserve">보통</x:t>
        </x:is>
      </x:c>
      <x:c r="X209" s="5" t="inlineStr">
        <x:is>
          <x:t xml:space="preserve">무관</x:t>
        </x:is>
      </x:c>
      <x:c r="Y209" s="5" t="inlineStr">
        <x:is>
          <x:t xml:space="preserve">무관</x:t>
        </x:is>
      </x:c>
      <x:c r="Z209" s="5" t="inlineStr">
        <x:is>
          <x:t xml:space="preserve">흔함</x:t>
        </x:is>
      </x:c>
      <x:c r="AA209" s="5" t="inlineStr">
        <x:is>
          <x:t xml:space="preserve">없음</x:t>
        </x:is>
      </x:c>
      <x:c r="AB209" s="5" t="inlineStr">
        <x:is>
          <x:t xml:space="preserve">숲</x:t>
        </x:is>
      </x:c>
      <x:c r="AC209" s="5" t="inlineStr">
        <x:is>
          <x:t xml:space="preserve">gen2</x:t>
        </x:is>
      </x:c>
      <x:c r="AD209" s="5" t="inlineStr">
        <x:is>
          <x:t xml:space="preserve">.tmp/cobblemon-1.7.3-source/common/src/main/resources/data/cobblemon/species/generation2/forretress.json</x:t>
        </x:is>
      </x:c>
    </x:row>
    <x:row r="210" ht="22" customHeight="1">
      <x:c r="A210" s="5" t="n">
        <x:v>206</x:v>
      </x:c>
      <x:c r="B210" s="5" t="inlineStr">
        <x:is>
          <x:t xml:space="preserve">노고치</x:t>
        </x:is>
      </x:c>
      <x:c r="C210" s="5" t="inlineStr">
        <x:is>
          <x:t xml:space="preserve">dunsparce</x:t>
        </x:is>
      </x:c>
      <x:c r="D210" s="5" t="inlineStr">
        <x:is>
          <x:t xml:space="preserve">Dunsparce</x:t>
        </x:is>
      </x:c>
      <x:c r="E210" s="5" t="n">
        <x:v>2</x:v>
      </x:c>
      <x:c r="F210" s="5" t="inlineStr">
        <x:is>
          <x:t xml:space="preserve">노말</x:t>
        </x:is>
      </x:c>
      <x:c r="G210" s="5" t="inlineStr">
        <x:is>
          <x:t xml:space="preserve"/>
        </x:is>
      </x:c>
      <x:c r="H210" s="5" t="n">
        <x:v>1.5</x:v>
      </x:c>
      <x:c r="I210" s="5" t="n">
        <x:v>14</x:v>
      </x:c>
      <x:c r="J210" s="5" t="n">
        <x:v>415</x:v>
      </x:c>
      <x:c r="K210" s="5" t="n">
        <x:v>190</x:v>
      </x:c>
      <x:c r="L210" s="5" t="inlineStr">
        <x:is>
          <x:t xml:space="preserve">기본</x:t>
        </x:is>
      </x:c>
      <x:c r="M210" s="5" t="n"/>
      <x:c r="N210" s="5" t="inlineStr">
        <x:is>
          <x:t xml:space="preserve">특수</x:t>
        </x:is>
      </x:c>
      <x:c r="O210" s="5" t="inlineStr">
        <x:is>
          <x:t xml:space="preserve">예</x:t>
        </x:is>
      </x:c>
      <x:c r="P210" s="5" t="inlineStr">
        <x:is>
          <x:t xml:space="preserve">#cobblemon:is_lush; #cobblemon:is_overworld</x:t>
        </x:is>
      </x:c>
      <x:c r="Q210" s="5" t="inlineStr">
        <x:is>
          <x:t xml:space="preserve">rare</x:t>
        </x:is>
      </x:c>
      <x:c r="R210" s="5" t="inlineStr">
        <x:is>
          <x:t xml:space="preserve"/>
        </x:is>
      </x:c>
      <x:c r="S210" s="5" t="inlineStr">
        <x:is>
          <x:t xml:space="preserve"/>
        </x:is>
      </x:c>
      <x:c r="T210" s="5" t="inlineStr">
        <x:is>
          <x:t xml:space="preserve">육상</x:t>
        </x:is>
      </x:c>
      <x:c r="U210" s="5" t="inlineStr">
        <x:is>
          <x:t xml:space="preserve">개활지</x:t>
        </x:is>
      </x:c>
      <x:c r="V210" s="5" t="inlineStr">
        <x:is>
          <x:t xml:space="preserve">온대</x:t>
        </x:is>
      </x:c>
      <x:c r="W210" s="5" t="inlineStr">
        <x:is>
          <x:t xml:space="preserve">보통</x:t>
        </x:is>
      </x:c>
      <x:c r="X210" s="5" t="inlineStr">
        <x:is>
          <x:t xml:space="preserve">무관</x:t>
        </x:is>
      </x:c>
      <x:c r="Y210" s="5" t="inlineStr">
        <x:is>
          <x:t xml:space="preserve">무관</x:t>
        </x:is>
      </x:c>
      <x:c r="Z210" s="5" t="inlineStr">
        <x:is>
          <x:t xml:space="preserve">드묾</x:t>
        </x:is>
      </x:c>
      <x:c r="AA210" s="5" t="inlineStr">
        <x:is>
          <x:t xml:space="preserve">없음</x:t>
        </x:is>
      </x:c>
      <x:c r="AB210" s="5" t="inlineStr">
        <x:is>
          <x:t xml:space="preserve"/>
        </x:is>
      </x:c>
      <x:c r="AC210" s="5" t="inlineStr">
        <x:is>
          <x:t xml:space="preserve">gen2</x:t>
        </x:is>
      </x:c>
      <x:c r="AD210" s="5" t="inlineStr">
        <x:is>
          <x:t xml:space="preserve">.tmp/cobblemon-1.7.3-source/common/src/main/resources/data/cobblemon/species/generation2/dunsparce.json</x:t>
        </x:is>
      </x:c>
    </x:row>
    <x:row r="211" ht="22" customHeight="1">
      <x:c r="A211" s="5" t="n">
        <x:v>207</x:v>
      </x:c>
      <x:c r="B211" s="5" t="inlineStr">
        <x:is>
          <x:t xml:space="preserve">글라이거</x:t>
        </x:is>
      </x:c>
      <x:c r="C211" s="5" t="inlineStr">
        <x:is>
          <x:t xml:space="preserve">gligar</x:t>
        </x:is>
      </x:c>
      <x:c r="D211" s="5" t="inlineStr">
        <x:is>
          <x:t xml:space="preserve">Gligar</x:t>
        </x:is>
      </x:c>
      <x:c r="E211" s="5" t="n">
        <x:v>2</x:v>
      </x:c>
      <x:c r="F211" s="5" t="inlineStr">
        <x:is>
          <x:t xml:space="preserve">땅</x:t>
        </x:is>
      </x:c>
      <x:c r="G211" s="5" t="inlineStr">
        <x:is>
          <x:t xml:space="preserve">비행</x:t>
        </x:is>
      </x:c>
      <x:c r="H211" s="5" t="n">
        <x:v>1.1</x:v>
      </x:c>
      <x:c r="I211" s="5" t="n">
        <x:v>64.8</x:v>
      </x:c>
      <x:c r="J211" s="5" t="n">
        <x:v>430</x:v>
      </x:c>
      <x:c r="K211" s="5" t="n">
        <x:v>60</x:v>
      </x:c>
      <x:c r="L211" s="5" t="inlineStr">
        <x:is>
          <x:t xml:space="preserve">기본</x:t>
        </x:is>
      </x:c>
      <x:c r="M211" s="5" t="n"/>
      <x:c r="N211" s="5" t="inlineStr">
        <x:is>
          <x:t xml:space="preserve">특수</x:t>
        </x:is>
      </x:c>
      <x:c r="O211" s="5" t="inlineStr">
        <x:is>
          <x:t xml:space="preserve">예</x:t>
        </x:is>
      </x:c>
      <x:c r="P211" s="5" t="inlineStr">
        <x:is>
          <x:t xml:space="preserve">#cobblemon:is_badlands; #cobblemon:nether/is_mountain</x:t>
        </x:is>
      </x:c>
      <x:c r="Q211" s="5" t="inlineStr">
        <x:is>
          <x:t xml:space="preserve">common; uncommon</x:t>
        </x:is>
      </x:c>
      <x:c r="R211" s="5" t="inlineStr">
        <x:is>
          <x:t xml:space="preserve">night</x:t>
        </x:is>
      </x:c>
      <x:c r="S211" s="5" t="inlineStr">
        <x:is>
          <x:t xml:space="preserve"/>
        </x:is>
      </x:c>
      <x:c r="T211" s="5" t="inlineStr">
        <x:is>
          <x:t xml:space="preserve">비행</x:t>
        </x:is>
      </x:c>
      <x:c r="U211" s="5" t="inlineStr">
        <x:is>
          <x:t xml:space="preserve">화산</x:t>
        </x:is>
      </x:c>
      <x:c r="V211" s="5" t="inlineStr">
        <x:is>
          <x:t xml:space="preserve">고온</x:t>
        </x:is>
      </x:c>
      <x:c r="W211" s="5" t="inlineStr">
        <x:is>
          <x:t xml:space="preserve">건조</x:t>
        </x:is>
      </x:c>
      <x:c r="X211" s="5" t="inlineStr">
        <x:is>
          <x:t xml:space="preserve">맑음</x:t>
        </x:is>
      </x:c>
      <x:c r="Y211" s="5" t="inlineStr">
        <x:is>
          <x:t xml:space="preserve">밤</x:t>
        </x:is>
      </x:c>
      <x:c r="Z211" s="5" t="inlineStr">
        <x:is>
          <x:t xml:space="preserve">보통</x:t>
        </x:is>
      </x:c>
      <x:c r="AA211" s="5" t="inlineStr">
        <x:is>
          <x:t xml:space="preserve">화산</x:t>
        </x:is>
      </x:c>
      <x:c r="AB211" s="5" t="inlineStr">
        <x:is>
          <x:t xml:space="preserve">화산</x:t>
        </x:is>
      </x:c>
      <x:c r="AC211" s="5" t="inlineStr">
        <x:is>
          <x:t xml:space="preserve">gen2</x:t>
        </x:is>
      </x:c>
      <x:c r="AD211" s="5" t="inlineStr">
        <x:is>
          <x:t xml:space="preserve">.tmp/cobblemon-1.7.3-source/common/src/main/resources/data/cobblemon/species/generation2/gligar.json</x:t>
        </x:is>
      </x:c>
    </x:row>
    <x:row r="212" ht="22" customHeight="1">
      <x:c r="A212" s="5" t="n">
        <x:v>208</x:v>
      </x:c>
      <x:c r="B212" s="5" t="inlineStr">
        <x:is>
          <x:t xml:space="preserve">강철톤</x:t>
        </x:is>
      </x:c>
      <x:c r="C212" s="5" t="inlineStr">
        <x:is>
          <x:t xml:space="preserve">steelix</x:t>
        </x:is>
      </x:c>
      <x:c r="D212" s="5" t="inlineStr">
        <x:is>
          <x:t xml:space="preserve">Steelix</x:t>
        </x:is>
      </x:c>
      <x:c r="E212" s="5" t="n">
        <x:v>2</x:v>
      </x:c>
      <x:c r="F212" s="5" t="inlineStr">
        <x:is>
          <x:t xml:space="preserve">강철</x:t>
        </x:is>
      </x:c>
      <x:c r="G212" s="5" t="inlineStr">
        <x:is>
          <x:t xml:space="preserve">땅</x:t>
        </x:is>
      </x:c>
      <x:c r="H212" s="5" t="n">
        <x:v>9.199999999999999</x:v>
      </x:c>
      <x:c r="I212" s="5" t="n">
        <x:v>400</x:v>
      </x:c>
      <x:c r="J212" s="5" t="n">
        <x:v>510</x:v>
      </x:c>
      <x:c r="K212" s="5" t="n">
        <x:v>25</x:v>
      </x:c>
      <x:c r="L212" s="5" t="inlineStr">
        <x:is>
          <x:t xml:space="preserve">최종</x:t>
        </x:is>
      </x:c>
      <x:c r="M212" s="5" t="n"/>
      <x:c r="N212" s="5" t="inlineStr">
        <x:is>
          <x:t xml:space="preserve">특수</x:t>
        </x:is>
      </x:c>
      <x:c r="O212" s="5" t="inlineStr">
        <x:is>
          <x:t xml:space="preserve">예</x:t>
        </x:is>
      </x:c>
      <x:c r="P212" s="5" t="inlineStr">
        <x:is>
          <x:t xml:space="preserve">#cobblemon:is_overworld; #cobblemon:nether/is_basalt</x:t>
        </x:is>
      </x:c>
      <x:c r="Q212" s="5" t="inlineStr">
        <x:is>
          <x:t xml:space="preserve">uncommon</x:t>
        </x:is>
      </x:c>
      <x:c r="R212" s="5" t="inlineStr">
        <x:is>
          <x:t xml:space="preserve"/>
        </x:is>
      </x:c>
      <x:c r="S212" s="5" t="inlineStr">
        <x:is>
          <x:t xml:space="preserve"/>
        </x:is>
      </x:c>
      <x:c r="T212" s="5" t="inlineStr">
        <x:is>
          <x:t xml:space="preserve">육상</x:t>
        </x:is>
      </x:c>
      <x:c r="U212" s="5" t="inlineStr">
        <x:is>
          <x:t xml:space="preserve">화산</x:t>
        </x:is>
      </x:c>
      <x:c r="V212" s="5" t="inlineStr">
        <x:is>
          <x:t xml:space="preserve">고온</x:t>
        </x:is>
      </x:c>
      <x:c r="W212" s="5" t="inlineStr">
        <x:is>
          <x:t xml:space="preserve">건조</x:t>
        </x:is>
      </x:c>
      <x:c r="X212" s="5" t="inlineStr">
        <x:is>
          <x:t xml:space="preserve">맑음</x:t>
        </x:is>
      </x:c>
      <x:c r="Y212" s="5" t="inlineStr">
        <x:is>
          <x:t xml:space="preserve">무관</x:t>
        </x:is>
      </x:c>
      <x:c r="Z212" s="5" t="inlineStr">
        <x:is>
          <x:t xml:space="preserve">보통</x:t>
        </x:is>
      </x:c>
      <x:c r="AA212" s="5" t="inlineStr">
        <x:is>
          <x:t xml:space="preserve">화산</x:t>
        </x:is>
      </x:c>
      <x:c r="AB212" s="5" t="inlineStr">
        <x:is>
          <x:t xml:space="preserve">화산</x:t>
        </x:is>
      </x:c>
      <x:c r="AC212" s="5" t="inlineStr">
        <x:is>
          <x:t xml:space="preserve">gen2</x:t>
        </x:is>
      </x:c>
      <x:c r="AD212" s="5" t="inlineStr">
        <x:is>
          <x:t xml:space="preserve">.tmp/cobblemon-1.7.3-source/common/src/main/resources/data/cobblemon/species/generation2/steelix.json</x:t>
        </x:is>
      </x:c>
    </x:row>
    <x:row r="213" ht="22" customHeight="1">
      <x:c r="A213" s="5" t="n">
        <x:v>209</x:v>
      </x:c>
      <x:c r="B213" s="5" t="inlineStr">
        <x:is>
          <x:t xml:space="preserve">블루</x:t>
        </x:is>
      </x:c>
      <x:c r="C213" s="5" t="inlineStr">
        <x:is>
          <x:t xml:space="preserve">snubbull</x:t>
        </x:is>
      </x:c>
      <x:c r="D213" s="5" t="inlineStr">
        <x:is>
          <x:t xml:space="preserve">Snubbull</x:t>
        </x:is>
      </x:c>
      <x:c r="E213" s="5" t="n">
        <x:v>2</x:v>
      </x:c>
      <x:c r="F213" s="5" t="inlineStr">
        <x:is>
          <x:t xml:space="preserve">페어리</x:t>
        </x:is>
      </x:c>
      <x:c r="G213" s="5" t="inlineStr">
        <x:is>
          <x:t xml:space="preserve"/>
        </x:is>
      </x:c>
      <x:c r="H213" s="5" t="n">
        <x:v>0.6</x:v>
      </x:c>
      <x:c r="I213" s="5" t="n">
        <x:v>7.8</x:v>
      </x:c>
      <x:c r="J213" s="5" t="n">
        <x:v>300</x:v>
      </x:c>
      <x:c r="K213" s="5" t="n">
        <x:v>190</x:v>
      </x:c>
      <x:c r="L213" s="5" t="inlineStr">
        <x:is>
          <x:t xml:space="preserve">기본</x:t>
        </x:is>
      </x:c>
      <x:c r="M213" s="5" t="n">
        <x:v>23</x:v>
      </x:c>
      <x:c r="N213" s="5" t="inlineStr">
        <x:is>
          <x:t xml:space="preserve">레벨</x:t>
        </x:is>
      </x:c>
      <x:c r="O213" s="5" t="inlineStr">
        <x:is>
          <x:t xml:space="preserve">예</x:t>
        </x:is>
      </x:c>
      <x:c r="P213" s="5" t="inlineStr">
        <x:is>
          <x:t xml:space="preserve">#cobblemon:is_plains; #cobblemon:is_savanna</x:t>
        </x:is>
      </x:c>
      <x:c r="Q213" s="5" t="inlineStr">
        <x:is>
          <x:t xml:space="preserve">common</x:t>
        </x:is>
      </x:c>
      <x:c r="R213" s="5" t="inlineStr">
        <x:is>
          <x:t xml:space="preserve"/>
        </x:is>
      </x:c>
      <x:c r="S213" s="5" t="inlineStr">
        <x:is>
          <x:t xml:space="preserve"/>
        </x:is>
      </x:c>
      <x:c r="T213" s="5" t="inlineStr">
        <x:is>
          <x:t xml:space="preserve">육상</x:t>
        </x:is>
      </x:c>
      <x:c r="U213" s="5" t="inlineStr">
        <x:is>
          <x:t xml:space="preserve">개활지</x:t>
        </x:is>
      </x:c>
      <x:c r="V213" s="5" t="inlineStr">
        <x:is>
          <x:t xml:space="preserve">온대</x:t>
        </x:is>
      </x:c>
      <x:c r="W213" s="5" t="inlineStr">
        <x:is>
          <x:t xml:space="preserve">보통</x:t>
        </x:is>
      </x:c>
      <x:c r="X213" s="5" t="inlineStr">
        <x:is>
          <x:t xml:space="preserve">무관</x:t>
        </x:is>
      </x:c>
      <x:c r="Y213" s="5" t="inlineStr">
        <x:is>
          <x:t xml:space="preserve">무관</x:t>
        </x:is>
      </x:c>
      <x:c r="Z213" s="5" t="inlineStr">
        <x:is>
          <x:t xml:space="preserve">흔함</x:t>
        </x:is>
      </x:c>
      <x:c r="AA213" s="5" t="inlineStr">
        <x:is>
          <x:t xml:space="preserve">없음</x:t>
        </x:is>
      </x:c>
      <x:c r="AB213" s="5" t="inlineStr">
        <x:is>
          <x:t xml:space="preserve">평원</x:t>
        </x:is>
      </x:c>
      <x:c r="AC213" s="5" t="inlineStr">
        <x:is>
          <x:t xml:space="preserve">gen2</x:t>
        </x:is>
      </x:c>
      <x:c r="AD213" s="5" t="inlineStr">
        <x:is>
          <x:t xml:space="preserve">.tmp/cobblemon-1.7.3-source/common/src/main/resources/data/cobblemon/species/generation2/snubbull.json</x:t>
        </x:is>
      </x:c>
    </x:row>
    <x:row r="214" ht="22" customHeight="1">
      <x:c r="A214" s="5" t="n">
        <x:v>210</x:v>
      </x:c>
      <x:c r="B214" s="5" t="inlineStr">
        <x:is>
          <x:t xml:space="preserve">그랑블루</x:t>
        </x:is>
      </x:c>
      <x:c r="C214" s="5" t="inlineStr">
        <x:is>
          <x:t xml:space="preserve">granbull</x:t>
        </x:is>
      </x:c>
      <x:c r="D214" s="5" t="inlineStr">
        <x:is>
          <x:t xml:space="preserve">Granbull</x:t>
        </x:is>
      </x:c>
      <x:c r="E214" s="5" t="n">
        <x:v>2</x:v>
      </x:c>
      <x:c r="F214" s="5" t="inlineStr">
        <x:is>
          <x:t xml:space="preserve">페어리</x:t>
        </x:is>
      </x:c>
      <x:c r="G214" s="5" t="inlineStr">
        <x:is>
          <x:t xml:space="preserve"/>
        </x:is>
      </x:c>
      <x:c r="H214" s="5" t="n">
        <x:v>1.4</x:v>
      </x:c>
      <x:c r="I214" s="5" t="n">
        <x:v>48.7</x:v>
      </x:c>
      <x:c r="J214" s="5" t="n">
        <x:v>450</x:v>
      </x:c>
      <x:c r="K214" s="5" t="n">
        <x:v>75</x:v>
      </x:c>
      <x:c r="L214" s="5" t="inlineStr">
        <x:is>
          <x:t xml:space="preserve">최종</x:t>
        </x:is>
      </x:c>
      <x:c r="M214" s="5" t="n">
        <x:v>23</x:v>
      </x:c>
      <x:c r="N214" s="5" t="inlineStr">
        <x:is>
          <x:t xml:space="preserve">레벨</x:t>
        </x:is>
      </x:c>
      <x:c r="O214" s="5" t="inlineStr">
        <x:is>
          <x:t xml:space="preserve">예</x:t>
        </x:is>
      </x:c>
      <x:c r="P214" s="5" t="inlineStr">
        <x:is>
          <x:t xml:space="preserve">#cobblemon:is_plains; #cobblemon:is_savanna</x:t>
        </x:is>
      </x:c>
      <x:c r="Q214" s="5" t="inlineStr">
        <x:is>
          <x:t xml:space="preserve">common</x:t>
        </x:is>
      </x:c>
      <x:c r="R214" s="5" t="inlineStr">
        <x:is>
          <x:t xml:space="preserve"/>
        </x:is>
      </x:c>
      <x:c r="S214" s="5" t="inlineStr">
        <x:is>
          <x:t xml:space="preserve"/>
        </x:is>
      </x:c>
      <x:c r="T214" s="5" t="inlineStr">
        <x:is>
          <x:t xml:space="preserve">육상</x:t>
        </x:is>
      </x:c>
      <x:c r="U214" s="5" t="inlineStr">
        <x:is>
          <x:t xml:space="preserve">개활지</x:t>
        </x:is>
      </x:c>
      <x:c r="V214" s="5" t="inlineStr">
        <x:is>
          <x:t xml:space="preserve">온대</x:t>
        </x:is>
      </x:c>
      <x:c r="W214" s="5" t="inlineStr">
        <x:is>
          <x:t xml:space="preserve">보통</x:t>
        </x:is>
      </x:c>
      <x:c r="X214" s="5" t="inlineStr">
        <x:is>
          <x:t xml:space="preserve">무관</x:t>
        </x:is>
      </x:c>
      <x:c r="Y214" s="5" t="inlineStr">
        <x:is>
          <x:t xml:space="preserve">무관</x:t>
        </x:is>
      </x:c>
      <x:c r="Z214" s="5" t="inlineStr">
        <x:is>
          <x:t xml:space="preserve">흔함</x:t>
        </x:is>
      </x:c>
      <x:c r="AA214" s="5" t="inlineStr">
        <x:is>
          <x:t xml:space="preserve">없음</x:t>
        </x:is>
      </x:c>
      <x:c r="AB214" s="5" t="inlineStr">
        <x:is>
          <x:t xml:space="preserve">평원</x:t>
        </x:is>
      </x:c>
      <x:c r="AC214" s="5" t="inlineStr">
        <x:is>
          <x:t xml:space="preserve">gen2</x:t>
        </x:is>
      </x:c>
      <x:c r="AD214" s="5" t="inlineStr">
        <x:is>
          <x:t xml:space="preserve">.tmp/cobblemon-1.7.3-source/common/src/main/resources/data/cobblemon/species/generation2/granbull.json</x:t>
        </x:is>
      </x:c>
    </x:row>
    <x:row r="215" ht="22" customHeight="1">
      <x:c r="A215" s="5" t="n">
        <x:v>211</x:v>
      </x:c>
      <x:c r="B215" s="5" t="inlineStr">
        <x:is>
          <x:t xml:space="preserve">침바루</x:t>
        </x:is>
      </x:c>
      <x:c r="C215" s="5" t="inlineStr">
        <x:is>
          <x:t xml:space="preserve">qwilfish</x:t>
        </x:is>
      </x:c>
      <x:c r="D215" s="5" t="inlineStr">
        <x:is>
          <x:t xml:space="preserve">Qwilfish</x:t>
        </x:is>
      </x:c>
      <x:c r="E215" s="5" t="n">
        <x:v>2</x:v>
      </x:c>
      <x:c r="F215" s="5" t="inlineStr">
        <x:is>
          <x:t xml:space="preserve">물</x:t>
        </x:is>
      </x:c>
      <x:c r="G215" s="5" t="inlineStr">
        <x:is>
          <x:t xml:space="preserve">독</x:t>
        </x:is>
      </x:c>
      <x:c r="H215" s="5" t="n">
        <x:v>0.5</x:v>
      </x:c>
      <x:c r="I215" s="5" t="n">
        <x:v>3.9</x:v>
      </x:c>
      <x:c r="J215" s="5" t="n">
        <x:v>440</x:v>
      </x:c>
      <x:c r="K215" s="5" t="n">
        <x:v>45</x:v>
      </x:c>
      <x:c r="L215" s="5" t="inlineStr">
        <x:is>
          <x:t xml:space="preserve">무진화</x:t>
        </x:is>
      </x:c>
      <x:c r="M215" s="5" t="n"/>
      <x:c r="N215" s="5" t="inlineStr">
        <x:is>
          <x:t xml:space="preserve">없음</x:t>
        </x:is>
      </x:c>
      <x:c r="O215" s="5" t="inlineStr">
        <x:is>
          <x:t xml:space="preserve">예</x:t>
        </x:is>
      </x:c>
      <x:c r="P215" s="5" t="inlineStr">
        <x:is>
          <x:t xml:space="preserve">#cobblemon:is_cold; #cobblemon:is_cold_ocean; #cobblemon:is_frozen_ocean; #cobblemon:is_lukewarm_ocean; #cobblemon:is_ocean; #cobblemon:is_overworld; #cobblemon:is_warm_ocean</x:t>
        </x:is>
      </x:c>
      <x:c r="Q215" s="5" t="inlineStr">
        <x:is>
          <x:t xml:space="preserve">common; uncommon</x:t>
        </x:is>
      </x:c>
      <x:c r="R215" s="5" t="inlineStr">
        <x:is>
          <x:t xml:space="preserve"/>
        </x:is>
      </x:c>
      <x:c r="S215" s="5" t="inlineStr">
        <x:is>
          <x:t xml:space="preserve"/>
        </x:is>
      </x:c>
      <x:c r="T215" s="5" t="inlineStr">
        <x:is>
          <x:t xml:space="preserve">해양</x:t>
        </x:is>
      </x:c>
      <x:c r="U215" s="5" t="inlineStr">
        <x:is>
          <x:t xml:space="preserve">해안·해양</x:t>
        </x:is>
      </x:c>
      <x:c r="V215" s="5" t="inlineStr">
        <x:is>
          <x:t xml:space="preserve">서늘</x:t>
        </x:is>
      </x:c>
      <x:c r="W215" s="5" t="inlineStr">
        <x:is>
          <x:t xml:space="preserve">수중</x:t>
        </x:is>
      </x:c>
      <x:c r="X215" s="5" t="inlineStr">
        <x:is>
          <x:t xml:space="preserve">비</x:t>
        </x:is>
      </x:c>
      <x:c r="Y215" s="5" t="inlineStr">
        <x:is>
          <x:t xml:space="preserve">무관</x:t>
        </x:is>
      </x:c>
      <x:c r="Z215" s="5" t="inlineStr">
        <x:is>
          <x:t xml:space="preserve">보통</x:t>
        </x:is>
      </x:c>
      <x:c r="AA215" s="5" t="inlineStr">
        <x:is>
          <x:t xml:space="preserve">없음</x:t>
        </x:is>
      </x:c>
      <x:c r="AB215" s="5" t="inlineStr">
        <x:is>
          <x:t xml:space="preserve">해양</x:t>
        </x:is>
      </x:c>
      <x:c r="AC215" s="5" t="inlineStr">
        <x:is>
          <x:t xml:space="preserve">gen2; johtonian_form</x:t>
        </x:is>
      </x:c>
      <x:c r="AD215" s="5" t="inlineStr">
        <x:is>
          <x:t xml:space="preserve">.tmp/cobblemon-1.7.3-source/common/src/main/resources/data/cobblemon/species/generation2/qwilfish.json</x:t>
        </x:is>
      </x:c>
    </x:row>
    <x:row r="216" ht="22" customHeight="1">
      <x:c r="A216" s="5" t="n">
        <x:v>212</x:v>
      </x:c>
      <x:c r="B216" s="5" t="inlineStr">
        <x:is>
          <x:t xml:space="preserve">핫삼</x:t>
        </x:is>
      </x:c>
      <x:c r="C216" s="5" t="inlineStr">
        <x:is>
          <x:t xml:space="preserve">scizor</x:t>
        </x:is>
      </x:c>
      <x:c r="D216" s="5" t="inlineStr">
        <x:is>
          <x:t xml:space="preserve">Scizor</x:t>
        </x:is>
      </x:c>
      <x:c r="E216" s="5" t="n">
        <x:v>2</x:v>
      </x:c>
      <x:c r="F216" s="5" t="inlineStr">
        <x:is>
          <x:t xml:space="preserve">벌레</x:t>
        </x:is>
      </x:c>
      <x:c r="G216" s="5" t="inlineStr">
        <x:is>
          <x:t xml:space="preserve">강철</x:t>
        </x:is>
      </x:c>
      <x:c r="H216" s="5" t="n">
        <x:v>1.8</x:v>
      </x:c>
      <x:c r="I216" s="5" t="n">
        <x:v>118</x:v>
      </x:c>
      <x:c r="J216" s="5" t="n">
        <x:v>500</x:v>
      </x:c>
      <x:c r="K216" s="5" t="n">
        <x:v>25</x:v>
      </x:c>
      <x:c r="L216" s="5" t="inlineStr">
        <x:is>
          <x:t xml:space="preserve">최종</x:t>
        </x:is>
      </x:c>
      <x:c r="M216" s="5" t="n"/>
      <x:c r="N216" s="5" t="inlineStr">
        <x:is>
          <x:t xml:space="preserve">특수</x:t>
        </x:is>
      </x:c>
      <x:c r="O216" s="5" t="inlineStr">
        <x:is>
          <x:t xml:space="preserve">예</x:t>
        </x:is>
      </x:c>
      <x:c r="P216" s="5" t="inlineStr">
        <x:is>
          <x:t xml:space="preserve">#cobblemon:is_jungle</x:t>
        </x:is>
      </x:c>
      <x:c r="Q216" s="5" t="inlineStr">
        <x:is>
          <x:t xml:space="preserve">uncommon</x:t>
        </x:is>
      </x:c>
      <x:c r="R216" s="5" t="inlineStr">
        <x:is>
          <x:t xml:space="preserve">day</x:t>
        </x:is>
      </x:c>
      <x:c r="S216" s="5" t="inlineStr">
        <x:is>
          <x:t xml:space="preserve"/>
        </x:is>
      </x:c>
      <x:c r="T216" s="5" t="inlineStr">
        <x:is>
          <x:t xml:space="preserve">비행</x:t>
        </x:is>
      </x:c>
      <x:c r="U216" s="5" t="inlineStr">
        <x:is>
          <x:t xml:space="preserve">수목</x:t>
        </x:is>
      </x:c>
      <x:c r="V216" s="5" t="inlineStr">
        <x:is>
          <x:t xml:space="preserve">온대</x:t>
        </x:is>
      </x:c>
      <x:c r="W216" s="5" t="inlineStr">
        <x:is>
          <x:t xml:space="preserve">다습</x:t>
        </x:is>
      </x:c>
      <x:c r="X216" s="5" t="inlineStr">
        <x:is>
          <x:t xml:space="preserve">무관</x:t>
        </x:is>
      </x:c>
      <x:c r="Y216" s="5" t="inlineStr">
        <x:is>
          <x:t xml:space="preserve">낮</x:t>
        </x:is>
      </x:c>
      <x:c r="Z216" s="5" t="inlineStr">
        <x:is>
          <x:t xml:space="preserve">보통</x:t>
        </x:is>
      </x:c>
      <x:c r="AA216" s="5" t="inlineStr">
        <x:is>
          <x:t xml:space="preserve">없음</x:t>
        </x:is>
      </x:c>
      <x:c r="AB216" s="5" t="inlineStr">
        <x:is>
          <x:t xml:space="preserve">숲</x:t>
        </x:is>
      </x:c>
      <x:c r="AC216" s="5" t="inlineStr">
        <x:is>
          <x:t xml:space="preserve">gen2</x:t>
        </x:is>
      </x:c>
      <x:c r="AD216" s="5" t="inlineStr">
        <x:is>
          <x:t xml:space="preserve">.tmp/cobblemon-1.7.3-source/common/src/main/resources/data/cobblemon/species/generation2/scizor.json</x:t>
        </x:is>
      </x:c>
    </x:row>
    <x:row r="217" ht="22" customHeight="1">
      <x:c r="A217" s="5" t="n">
        <x:v>213</x:v>
      </x:c>
      <x:c r="B217" s="5" t="inlineStr">
        <x:is>
          <x:t xml:space="preserve">단단지</x:t>
        </x:is>
      </x:c>
      <x:c r="C217" s="5" t="inlineStr">
        <x:is>
          <x:t xml:space="preserve">shuckle</x:t>
        </x:is>
      </x:c>
      <x:c r="D217" s="5" t="inlineStr">
        <x:is>
          <x:t xml:space="preserve">Shuckle</x:t>
        </x:is>
      </x:c>
      <x:c r="E217" s="5" t="n">
        <x:v>2</x:v>
      </x:c>
      <x:c r="F217" s="5" t="inlineStr">
        <x:is>
          <x:t xml:space="preserve">벌레</x:t>
        </x:is>
      </x:c>
      <x:c r="G217" s="5" t="inlineStr">
        <x:is>
          <x:t xml:space="preserve">바위</x:t>
        </x:is>
      </x:c>
      <x:c r="H217" s="5" t="n">
        <x:v>0.6</x:v>
      </x:c>
      <x:c r="I217" s="5" t="n">
        <x:v>20.5</x:v>
      </x:c>
      <x:c r="J217" s="5" t="n">
        <x:v>505</x:v>
      </x:c>
      <x:c r="K217" s="5" t="n">
        <x:v>190</x:v>
      </x:c>
      <x:c r="L217" s="5" t="inlineStr">
        <x:is>
          <x:t xml:space="preserve">무진화</x:t>
        </x:is>
      </x:c>
      <x:c r="M217" s="5" t="n"/>
      <x:c r="N217" s="5" t="inlineStr">
        <x:is>
          <x:t xml:space="preserve">없음</x:t>
        </x:is>
      </x:c>
      <x:c r="O217" s="5" t="inlineStr">
        <x:is>
          <x:t xml:space="preserve">예</x:t>
        </x:is>
      </x:c>
      <x:c r="P217" s="5" t="inlineStr">
        <x:is>
          <x:t xml:space="preserve">#cobblemon:is_lush; #cobblemon:is_overworld</x:t>
        </x:is>
      </x:c>
      <x:c r="Q217" s="5" t="inlineStr">
        <x:is>
          <x:t xml:space="preserve">common; uncommon</x:t>
        </x:is>
      </x:c>
      <x:c r="R217" s="5" t="inlineStr">
        <x:is>
          <x:t xml:space="preserve"/>
        </x:is>
      </x:c>
      <x:c r="S217" s="5" t="inlineStr">
        <x:is>
          <x:t xml:space="preserve"/>
        </x:is>
      </x:c>
      <x:c r="T217" s="5" t="inlineStr">
        <x:is>
          <x:t xml:space="preserve">육상</x:t>
        </x:is>
      </x:c>
      <x:c r="U217" s="5" t="inlineStr">
        <x:is>
          <x:t xml:space="preserve">암석</x:t>
        </x:is>
      </x:c>
      <x:c r="V217" s="5" t="inlineStr">
        <x:is>
          <x:t xml:space="preserve">온대</x:t>
        </x:is>
      </x:c>
      <x:c r="W217" s="5" t="inlineStr">
        <x:is>
          <x:t xml:space="preserve">보통</x:t>
        </x:is>
      </x:c>
      <x:c r="X217" s="5" t="inlineStr">
        <x:is>
          <x:t xml:space="preserve">무관</x:t>
        </x:is>
      </x:c>
      <x:c r="Y217" s="5" t="inlineStr">
        <x:is>
          <x:t xml:space="preserve">무관</x:t>
        </x:is>
      </x:c>
      <x:c r="Z217" s="5" t="inlineStr">
        <x:is>
          <x:t xml:space="preserve">보통</x:t>
        </x:is>
      </x:c>
      <x:c r="AA217" s="5" t="inlineStr">
        <x:is>
          <x:t xml:space="preserve">없음</x:t>
        </x:is>
      </x:c>
      <x:c r="AB217" s="5" t="inlineStr">
        <x:is>
          <x:t xml:space="preserve"/>
        </x:is>
      </x:c>
      <x:c r="AC217" s="5" t="inlineStr">
        <x:is>
          <x:t xml:space="preserve">gen2</x:t>
        </x:is>
      </x:c>
      <x:c r="AD217" s="5" t="inlineStr">
        <x:is>
          <x:t xml:space="preserve">.tmp/cobblemon-1.7.3-source/common/src/main/resources/data/cobblemon/species/generation2/shuckle.json</x:t>
        </x:is>
      </x:c>
    </x:row>
    <x:row r="218" ht="22" customHeight="1">
      <x:c r="A218" s="5" t="n">
        <x:v>214</x:v>
      </x:c>
      <x:c r="B218" s="5" t="inlineStr">
        <x:is>
          <x:t xml:space="preserve">헤라크로스</x:t>
        </x:is>
      </x:c>
      <x:c r="C218" s="5" t="inlineStr">
        <x:is>
          <x:t xml:space="preserve">heracross</x:t>
        </x:is>
      </x:c>
      <x:c r="D218" s="5" t="inlineStr">
        <x:is>
          <x:t xml:space="preserve">Heracross</x:t>
        </x:is>
      </x:c>
      <x:c r="E218" s="5" t="n">
        <x:v>2</x:v>
      </x:c>
      <x:c r="F218" s="5" t="inlineStr">
        <x:is>
          <x:t xml:space="preserve">벌레</x:t>
        </x:is>
      </x:c>
      <x:c r="G218" s="5" t="inlineStr">
        <x:is>
          <x:t xml:space="preserve">격투</x:t>
        </x:is>
      </x:c>
      <x:c r="H218" s="5" t="n">
        <x:v>1.5</x:v>
      </x:c>
      <x:c r="I218" s="5" t="n">
        <x:v>54</x:v>
      </x:c>
      <x:c r="J218" s="5" t="n">
        <x:v>500</x:v>
      </x:c>
      <x:c r="K218" s="5" t="n">
        <x:v>45</x:v>
      </x:c>
      <x:c r="L218" s="5" t="inlineStr">
        <x:is>
          <x:t xml:space="preserve">무진화</x:t>
        </x:is>
      </x:c>
      <x:c r="M218" s="5" t="n"/>
      <x:c r="N218" s="5" t="inlineStr">
        <x:is>
          <x:t xml:space="preserve">없음</x:t>
        </x:is>
      </x:c>
      <x:c r="O218" s="5" t="inlineStr">
        <x:is>
          <x:t xml:space="preserve">예</x:t>
        </x:is>
      </x:c>
      <x:c r="P218" s="5" t="inlineStr">
        <x:is>
          <x:t xml:space="preserve">#aether:is_aether; #cobblemon:is_forest; #cobblemon:is_jungle; #cobblemon:is_overworld; #cobblemon:is_tropical_island; aether:skyroot_forest; aether:skyroot_woodland; the_bumblezone:crystal_canyon</x:t>
        </x:is>
      </x:c>
      <x:c r="Q218" s="5" t="inlineStr">
        <x:is>
          <x:t xml:space="preserve">rare; uncommon</x:t>
        </x:is>
      </x:c>
      <x:c r="R218" s="5" t="inlineStr">
        <x:is>
          <x:t xml:space="preserve"/>
        </x:is>
      </x:c>
      <x:c r="S218" s="5" t="inlineStr">
        <x:is>
          <x:t xml:space="preserve"/>
        </x:is>
      </x:c>
      <x:c r="T218" s="5" t="inlineStr">
        <x:is>
          <x:t xml:space="preserve">비행</x:t>
        </x:is>
      </x:c>
      <x:c r="U218" s="5" t="inlineStr">
        <x:is>
          <x:t xml:space="preserve">수목</x:t>
        </x:is>
      </x:c>
      <x:c r="V218" s="5" t="inlineStr">
        <x:is>
          <x:t xml:space="preserve">온대</x:t>
        </x:is>
      </x:c>
      <x:c r="W218" s="5" t="inlineStr">
        <x:is>
          <x:t xml:space="preserve">다습</x:t>
        </x:is>
      </x:c>
      <x:c r="X218" s="5" t="inlineStr">
        <x:is>
          <x:t xml:space="preserve">무관</x:t>
        </x:is>
      </x:c>
      <x:c r="Y218" s="5" t="inlineStr">
        <x:is>
          <x:t xml:space="preserve">무관</x:t>
        </x:is>
      </x:c>
      <x:c r="Z218" s="5" t="inlineStr">
        <x:is>
          <x:t xml:space="preserve">보통</x:t>
        </x:is>
      </x:c>
      <x:c r="AA218" s="5" t="inlineStr">
        <x:is>
          <x:t xml:space="preserve">없음</x:t>
        </x:is>
      </x:c>
      <x:c r="AB218" s="5" t="inlineStr">
        <x:is>
          <x:t xml:space="preserve">숲</x:t>
        </x:is>
      </x:c>
      <x:c r="AC218" s="5" t="inlineStr">
        <x:is>
          <x:t xml:space="preserve">gen2</x:t>
        </x:is>
      </x:c>
      <x:c r="AD218" s="5" t="inlineStr">
        <x:is>
          <x:t xml:space="preserve">.tmp/cobblemon-1.7.3-source/common/src/main/resources/data/cobblemon/species/generation2/heracross.json</x:t>
        </x:is>
      </x:c>
    </x:row>
    <x:row r="219" ht="22" customHeight="1">
      <x:c r="A219" s="5" t="n">
        <x:v>215</x:v>
      </x:c>
      <x:c r="B219" s="5" t="inlineStr">
        <x:is>
          <x:t xml:space="preserve">포푸니</x:t>
        </x:is>
      </x:c>
      <x:c r="C219" s="5" t="inlineStr">
        <x:is>
          <x:t xml:space="preserve">sneasel</x:t>
        </x:is>
      </x:c>
      <x:c r="D219" s="5" t="inlineStr">
        <x:is>
          <x:t xml:space="preserve">Sneasel</x:t>
        </x:is>
      </x:c>
      <x:c r="E219" s="5" t="n">
        <x:v>2</x:v>
      </x:c>
      <x:c r="F219" s="5" t="inlineStr">
        <x:is>
          <x:t xml:space="preserve">악</x:t>
        </x:is>
      </x:c>
      <x:c r="G219" s="5" t="inlineStr">
        <x:is>
          <x:t xml:space="preserve">얼음</x:t>
        </x:is>
      </x:c>
      <x:c r="H219" s="5" t="n">
        <x:v>0.9</x:v>
      </x:c>
      <x:c r="I219" s="5" t="n">
        <x:v>28</x:v>
      </x:c>
      <x:c r="J219" s="5" t="n">
        <x:v>430</x:v>
      </x:c>
      <x:c r="K219" s="5" t="n">
        <x:v>60</x:v>
      </x:c>
      <x:c r="L219" s="5" t="inlineStr">
        <x:is>
          <x:t xml:space="preserve">기본</x:t>
        </x:is>
      </x:c>
      <x:c r="M219" s="5" t="n"/>
      <x:c r="N219" s="5" t="inlineStr">
        <x:is>
          <x:t xml:space="preserve">특수</x:t>
        </x:is>
      </x:c>
      <x:c r="O219" s="5" t="inlineStr">
        <x:is>
          <x:t xml:space="preserve">예</x:t>
        </x:is>
      </x:c>
      <x:c r="P219" s="5" t="inlineStr">
        <x:is>
          <x:t xml:space="preserve">#cobblemon:is_mountain; #cobblemon:is_taiga</x:t>
        </x:is>
      </x:c>
      <x:c r="Q219" s="5" t="inlineStr">
        <x:is>
          <x:t xml:space="preserve">uncommon</x:t>
        </x:is>
      </x:c>
      <x:c r="R219" s="5" t="inlineStr">
        <x:is>
          <x:t xml:space="preserve"/>
        </x:is>
      </x:c>
      <x:c r="S219" s="5" t="inlineStr">
        <x:is>
          <x:t xml:space="preserve"/>
        </x:is>
      </x:c>
      <x:c r="T219" s="5" t="inlineStr">
        <x:is>
          <x:t xml:space="preserve">육상</x:t>
        </x:is>
      </x:c>
      <x:c r="U219" s="5" t="inlineStr">
        <x:is>
          <x:t xml:space="preserve">암석</x:t>
        </x:is>
      </x:c>
      <x:c r="V219" s="5" t="inlineStr">
        <x:is>
          <x:t xml:space="preserve">한랭</x:t>
        </x:is>
      </x:c>
      <x:c r="W219" s="5" t="inlineStr">
        <x:is>
          <x:t xml:space="preserve">보통</x:t>
        </x:is>
      </x:c>
      <x:c r="X219" s="5" t="inlineStr">
        <x:is>
          <x:t xml:space="preserve">무관</x:t>
        </x:is>
      </x:c>
      <x:c r="Y219" s="5" t="inlineStr">
        <x:is>
          <x:t xml:space="preserve">밤</x:t>
        </x:is>
      </x:c>
      <x:c r="Z219" s="5" t="inlineStr">
        <x:is>
          <x:t xml:space="preserve">보통</x:t>
        </x:is>
      </x:c>
      <x:c r="AA219" s="5" t="inlineStr">
        <x:is>
          <x:t xml:space="preserve">없음</x:t>
        </x:is>
      </x:c>
      <x:c r="AB219" s="5" t="inlineStr">
        <x:is>
          <x:t xml:space="preserve">산악</x:t>
        </x:is>
      </x:c>
      <x:c r="AC219" s="5" t="inlineStr">
        <x:is>
          <x:t xml:space="preserve">gen2; johtonian_form</x:t>
        </x:is>
      </x:c>
      <x:c r="AD219" s="5" t="inlineStr">
        <x:is>
          <x:t xml:space="preserve">.tmp/cobblemon-1.7.3-source/common/src/main/resources/data/cobblemon/species/generation2/sneasel.json</x:t>
        </x:is>
      </x:c>
    </x:row>
    <x:row r="220" ht="22" customHeight="1">
      <x:c r="A220" s="5" t="n">
        <x:v>216</x:v>
      </x:c>
      <x:c r="B220" s="5" t="inlineStr">
        <x:is>
          <x:t xml:space="preserve">깜지곰</x:t>
        </x:is>
      </x:c>
      <x:c r="C220" s="5" t="inlineStr">
        <x:is>
          <x:t xml:space="preserve">teddiursa</x:t>
        </x:is>
      </x:c>
      <x:c r="D220" s="5" t="inlineStr">
        <x:is>
          <x:t xml:space="preserve">Teddiursa</x:t>
        </x:is>
      </x:c>
      <x:c r="E220" s="5" t="n">
        <x:v>2</x:v>
      </x:c>
      <x:c r="F220" s="5" t="inlineStr">
        <x:is>
          <x:t xml:space="preserve">노말</x:t>
        </x:is>
      </x:c>
      <x:c r="G220" s="5" t="inlineStr">
        <x:is>
          <x:t xml:space="preserve"/>
        </x:is>
      </x:c>
      <x:c r="H220" s="5" t="n">
        <x:v>0.6</x:v>
      </x:c>
      <x:c r="I220" s="5" t="n">
        <x:v>8.800000000000001</x:v>
      </x:c>
      <x:c r="J220" s="5" t="n">
        <x:v>330</x:v>
      </x:c>
      <x:c r="K220" s="5" t="n">
        <x:v>120</x:v>
      </x:c>
      <x:c r="L220" s="5" t="inlineStr">
        <x:is>
          <x:t xml:space="preserve">기본</x:t>
        </x:is>
      </x:c>
      <x:c r="M220" s="5" t="n">
        <x:v>30</x:v>
      </x:c>
      <x:c r="N220" s="5" t="inlineStr">
        <x:is>
          <x:t xml:space="preserve">레벨·특수</x:t>
        </x:is>
      </x:c>
      <x:c r="O220" s="5" t="inlineStr">
        <x:is>
          <x:t xml:space="preserve">예</x:t>
        </x:is>
      </x:c>
      <x:c r="P220" s="5" t="inlineStr">
        <x:is>
          <x:t xml:space="preserve">#aether:is_aether; #cobblemon:is_forest; #cobblemon:is_mountain; #cobblemon:is_overworld; #cobblemon:is_taiga; aether:skyroot_forest; aether:skyroot_woodland; the_bumblezone:crystal_canyon; the_bumblezone:floral_meadow</x:t>
        </x:is>
      </x:c>
      <x:c r="Q220" s="5" t="inlineStr">
        <x:is>
          <x:t xml:space="preserve">common</x:t>
        </x:is>
      </x:c>
      <x:c r="R220" s="5" t="inlineStr">
        <x:is>
          <x:t xml:space="preserve"/>
        </x:is>
      </x:c>
      <x:c r="S220" s="5" t="inlineStr">
        <x:is>
          <x:t xml:space="preserve"/>
        </x:is>
      </x:c>
      <x:c r="T220" s="5" t="inlineStr">
        <x:is>
          <x:t xml:space="preserve">육상</x:t>
        </x:is>
      </x:c>
      <x:c r="U220" s="5" t="inlineStr">
        <x:is>
          <x:t xml:space="preserve">수목</x:t>
        </x:is>
      </x:c>
      <x:c r="V220" s="5" t="inlineStr">
        <x:is>
          <x:t xml:space="preserve">서늘</x:t>
        </x:is>
      </x:c>
      <x:c r="W220" s="5" t="inlineStr">
        <x:is>
          <x:t xml:space="preserve">보통</x:t>
        </x:is>
      </x:c>
      <x:c r="X220" s="5" t="inlineStr">
        <x:is>
          <x:t xml:space="preserve">무관</x:t>
        </x:is>
      </x:c>
      <x:c r="Y220" s="5" t="inlineStr">
        <x:is>
          <x:t xml:space="preserve">무관</x:t>
        </x:is>
      </x:c>
      <x:c r="Z220" s="5" t="inlineStr">
        <x:is>
          <x:t xml:space="preserve">흔함</x:t>
        </x:is>
      </x:c>
      <x:c r="AA220" s="5" t="inlineStr">
        <x:is>
          <x:t xml:space="preserve">없음</x:t>
        </x:is>
      </x:c>
      <x:c r="AB220" s="5" t="inlineStr">
        <x:is>
          <x:t xml:space="preserve">숲</x:t>
        </x:is>
      </x:c>
      <x:c r="AC220" s="5" t="inlineStr">
        <x:is>
          <x:t xml:space="preserve">gen2</x:t>
        </x:is>
      </x:c>
      <x:c r="AD220" s="5" t="inlineStr">
        <x:is>
          <x:t xml:space="preserve">.tmp/cobblemon-1.7.3-source/common/src/main/resources/data/cobblemon/species/generation2/teddiursa.json</x:t>
        </x:is>
      </x:c>
    </x:row>
    <x:row r="221" ht="22" customHeight="1">
      <x:c r="A221" s="5" t="n">
        <x:v>217</x:v>
      </x:c>
      <x:c r="B221" s="5" t="inlineStr">
        <x:is>
          <x:t xml:space="preserve">링곰</x:t>
        </x:is>
      </x:c>
      <x:c r="C221" s="5" t="inlineStr">
        <x:is>
          <x:t xml:space="preserve">ursaring</x:t>
        </x:is>
      </x:c>
      <x:c r="D221" s="5" t="inlineStr">
        <x:is>
          <x:t xml:space="preserve">Ursaring</x:t>
        </x:is>
      </x:c>
      <x:c r="E221" s="5" t="n">
        <x:v>2</x:v>
      </x:c>
      <x:c r="F221" s="5" t="inlineStr">
        <x:is>
          <x:t xml:space="preserve">노말</x:t>
        </x:is>
      </x:c>
      <x:c r="G221" s="5" t="inlineStr">
        <x:is>
          <x:t xml:space="preserve"/>
        </x:is>
      </x:c>
      <x:c r="H221" s="5" t="n">
        <x:v>1.8</x:v>
      </x:c>
      <x:c r="I221" s="5" t="n">
        <x:v>125.8</x:v>
      </x:c>
      <x:c r="J221" s="5" t="n">
        <x:v>500</x:v>
      </x:c>
      <x:c r="K221" s="5" t="n">
        <x:v>60</x:v>
      </x:c>
      <x:c r="L221" s="5" t="inlineStr">
        <x:is>
          <x:t xml:space="preserve">중간</x:t>
        </x:is>
      </x:c>
      <x:c r="M221" s="5" t="n">
        <x:v>30</x:v>
      </x:c>
      <x:c r="N221" s="5" t="inlineStr">
        <x:is>
          <x:t xml:space="preserve">레벨·특수</x:t>
        </x:is>
      </x:c>
      <x:c r="O221" s="5" t="inlineStr">
        <x:is>
          <x:t xml:space="preserve">예</x:t>
        </x:is>
      </x:c>
      <x:c r="P221" s="5" t="inlineStr">
        <x:is>
          <x:t xml:space="preserve">#aether:is_aether; #cobblemon:is_forest; #cobblemon:is_mountain; #cobblemon:is_overworld; #cobblemon:is_taiga; aether:skyroot_forest; aether:skyroot_woodland; the_bumblezone:crystal_canyon; the_bumblezone:floral_meadow</x:t>
        </x:is>
      </x:c>
      <x:c r="Q221" s="5" t="inlineStr">
        <x:is>
          <x:t xml:space="preserve">common</x:t>
        </x:is>
      </x:c>
      <x:c r="R221" s="5" t="inlineStr">
        <x:is>
          <x:t xml:space="preserve"/>
        </x:is>
      </x:c>
      <x:c r="S221" s="5" t="inlineStr">
        <x:is>
          <x:t xml:space="preserve"/>
        </x:is>
      </x:c>
      <x:c r="T221" s="5" t="inlineStr">
        <x:is>
          <x:t xml:space="preserve">육상</x:t>
        </x:is>
      </x:c>
      <x:c r="U221" s="5" t="inlineStr">
        <x:is>
          <x:t xml:space="preserve">수목</x:t>
        </x:is>
      </x:c>
      <x:c r="V221" s="5" t="inlineStr">
        <x:is>
          <x:t xml:space="preserve">서늘</x:t>
        </x:is>
      </x:c>
      <x:c r="W221" s="5" t="inlineStr">
        <x:is>
          <x:t xml:space="preserve">보통</x:t>
        </x:is>
      </x:c>
      <x:c r="X221" s="5" t="inlineStr">
        <x:is>
          <x:t xml:space="preserve">무관</x:t>
        </x:is>
      </x:c>
      <x:c r="Y221" s="5" t="inlineStr">
        <x:is>
          <x:t xml:space="preserve">무관</x:t>
        </x:is>
      </x:c>
      <x:c r="Z221" s="5" t="inlineStr">
        <x:is>
          <x:t xml:space="preserve">흔함</x:t>
        </x:is>
      </x:c>
      <x:c r="AA221" s="5" t="inlineStr">
        <x:is>
          <x:t xml:space="preserve">없음</x:t>
        </x:is>
      </x:c>
      <x:c r="AB221" s="5" t="inlineStr">
        <x:is>
          <x:t xml:space="preserve">숲</x:t>
        </x:is>
      </x:c>
      <x:c r="AC221" s="5" t="inlineStr">
        <x:is>
          <x:t xml:space="preserve">gen2</x:t>
        </x:is>
      </x:c>
      <x:c r="AD221" s="5" t="inlineStr">
        <x:is>
          <x:t xml:space="preserve">.tmp/cobblemon-1.7.3-source/common/src/main/resources/data/cobblemon/species/generation2/ursaring.json</x:t>
        </x:is>
      </x:c>
    </x:row>
    <x:row r="222" ht="22" customHeight="1">
      <x:c r="A222" s="5" t="n">
        <x:v>218</x:v>
      </x:c>
      <x:c r="B222" s="5" t="inlineStr">
        <x:is>
          <x:t xml:space="preserve">마그마그</x:t>
        </x:is>
      </x:c>
      <x:c r="C222" s="5" t="inlineStr">
        <x:is>
          <x:t xml:space="preserve">slugma</x:t>
        </x:is>
      </x:c>
      <x:c r="D222" s="5" t="inlineStr">
        <x:is>
          <x:t xml:space="preserve">Slugma</x:t>
        </x:is>
      </x:c>
      <x:c r="E222" s="5" t="n">
        <x:v>2</x:v>
      </x:c>
      <x:c r="F222" s="5" t="inlineStr">
        <x:is>
          <x:t xml:space="preserve">불꽃</x:t>
        </x:is>
      </x:c>
      <x:c r="G222" s="5" t="inlineStr">
        <x:is>
          <x:t xml:space="preserve"/>
        </x:is>
      </x:c>
      <x:c r="H222" s="5" t="n">
        <x:v>0.7</x:v>
      </x:c>
      <x:c r="I222" s="5" t="n">
        <x:v>35</x:v>
      </x:c>
      <x:c r="J222" s="5" t="n">
        <x:v>250</x:v>
      </x:c>
      <x:c r="K222" s="5" t="n">
        <x:v>190</x:v>
      </x:c>
      <x:c r="L222" s="5" t="inlineStr">
        <x:is>
          <x:t xml:space="preserve">기본</x:t>
        </x:is>
      </x:c>
      <x:c r="M222" s="5" t="n">
        <x:v>38</x:v>
      </x:c>
      <x:c r="N222" s="5" t="inlineStr">
        <x:is>
          <x:t xml:space="preserve">레벨</x:t>
        </x:is>
      </x:c>
      <x:c r="O222" s="5" t="inlineStr">
        <x:is>
          <x:t xml:space="preserve">예</x:t>
        </x:is>
      </x:c>
      <x:c r="P222" s="5" t="inlineStr">
        <x:is>
          <x:t xml:space="preserve">#cobblemon:is_overworld; #cobblemon:is_volcanic; #cobblemon:nether/is_basalt; #cobblemon:nether/is_wasteland; #minecraft:is_nether</x:t>
        </x:is>
      </x:c>
      <x:c r="Q222" s="5" t="inlineStr">
        <x:is>
          <x:t xml:space="preserve">common</x:t>
        </x:is>
      </x:c>
      <x:c r="R222" s="5" t="inlineStr">
        <x:is>
          <x:t xml:space="preserve"/>
        </x:is>
      </x:c>
      <x:c r="S222" s="5" t="inlineStr">
        <x:is>
          <x:t xml:space="preserve"/>
        </x:is>
      </x:c>
      <x:c r="T222" s="5" t="inlineStr">
        <x:is>
          <x:t xml:space="preserve">육상</x:t>
        </x:is>
      </x:c>
      <x:c r="U222" s="5" t="inlineStr">
        <x:is>
          <x:t xml:space="preserve">화산</x:t>
        </x:is>
      </x:c>
      <x:c r="V222" s="5" t="inlineStr">
        <x:is>
          <x:t xml:space="preserve">고온</x:t>
        </x:is>
      </x:c>
      <x:c r="W222" s="5" t="inlineStr">
        <x:is>
          <x:t xml:space="preserve">건조</x:t>
        </x:is>
      </x:c>
      <x:c r="X222" s="5" t="inlineStr">
        <x:is>
          <x:t xml:space="preserve">맑음</x:t>
        </x:is>
      </x:c>
      <x:c r="Y222" s="5" t="inlineStr">
        <x:is>
          <x:t xml:space="preserve">무관</x:t>
        </x:is>
      </x:c>
      <x:c r="Z222" s="5" t="inlineStr">
        <x:is>
          <x:t xml:space="preserve">흔함</x:t>
        </x:is>
      </x:c>
      <x:c r="AA222" s="5" t="inlineStr">
        <x:is>
          <x:t xml:space="preserve">화산</x:t>
        </x:is>
      </x:c>
      <x:c r="AB222" s="5" t="inlineStr">
        <x:is>
          <x:t xml:space="preserve">화산</x:t>
        </x:is>
      </x:c>
      <x:c r="AC222" s="5" t="inlineStr">
        <x:is>
          <x:t xml:space="preserve">gen2</x:t>
        </x:is>
      </x:c>
      <x:c r="AD222" s="5" t="inlineStr">
        <x:is>
          <x:t xml:space="preserve">.tmp/cobblemon-1.7.3-source/common/src/main/resources/data/cobblemon/species/generation2/slugma.json</x:t>
        </x:is>
      </x:c>
    </x:row>
    <x:row r="223" ht="22" customHeight="1">
      <x:c r="A223" s="5" t="n">
        <x:v>219</x:v>
      </x:c>
      <x:c r="B223" s="5" t="inlineStr">
        <x:is>
          <x:t xml:space="preserve">마그카르고</x:t>
        </x:is>
      </x:c>
      <x:c r="C223" s="5" t="inlineStr">
        <x:is>
          <x:t xml:space="preserve">magcargo</x:t>
        </x:is>
      </x:c>
      <x:c r="D223" s="5" t="inlineStr">
        <x:is>
          <x:t xml:space="preserve">Magcargo</x:t>
        </x:is>
      </x:c>
      <x:c r="E223" s="5" t="n">
        <x:v>2</x:v>
      </x:c>
      <x:c r="F223" s="5" t="inlineStr">
        <x:is>
          <x:t xml:space="preserve">불꽃</x:t>
        </x:is>
      </x:c>
      <x:c r="G223" s="5" t="inlineStr">
        <x:is>
          <x:t xml:space="preserve">바위</x:t>
        </x:is>
      </x:c>
      <x:c r="H223" s="5" t="n">
        <x:v>0.8</x:v>
      </x:c>
      <x:c r="I223" s="5" t="n">
        <x:v>55</x:v>
      </x:c>
      <x:c r="J223" s="5" t="n">
        <x:v>430</x:v>
      </x:c>
      <x:c r="K223" s="5" t="n">
        <x:v>75</x:v>
      </x:c>
      <x:c r="L223" s="5" t="inlineStr">
        <x:is>
          <x:t xml:space="preserve">최종</x:t>
        </x:is>
      </x:c>
      <x:c r="M223" s="5" t="n">
        <x:v>38</x:v>
      </x:c>
      <x:c r="N223" s="5" t="inlineStr">
        <x:is>
          <x:t xml:space="preserve">레벨</x:t>
        </x:is>
      </x:c>
      <x:c r="O223" s="5" t="inlineStr">
        <x:is>
          <x:t xml:space="preserve">예</x:t>
        </x:is>
      </x:c>
      <x:c r="P223" s="5" t="inlineStr">
        <x:is>
          <x:t xml:space="preserve">#cobblemon:is_overworld; #cobblemon:is_volcanic; #cobblemon:nether/is_basalt; #cobblemon:nether/is_wasteland; #minecraft:is_nether</x:t>
        </x:is>
      </x:c>
      <x:c r="Q223" s="5" t="inlineStr">
        <x:is>
          <x:t xml:space="preserve">common</x:t>
        </x:is>
      </x:c>
      <x:c r="R223" s="5" t="inlineStr">
        <x:is>
          <x:t xml:space="preserve"/>
        </x:is>
      </x:c>
      <x:c r="S223" s="5" t="inlineStr">
        <x:is>
          <x:t xml:space="preserve"/>
        </x:is>
      </x:c>
      <x:c r="T223" s="5" t="inlineStr">
        <x:is>
          <x:t xml:space="preserve">육상</x:t>
        </x:is>
      </x:c>
      <x:c r="U223" s="5" t="inlineStr">
        <x:is>
          <x:t xml:space="preserve">화산</x:t>
        </x:is>
      </x:c>
      <x:c r="V223" s="5" t="inlineStr">
        <x:is>
          <x:t xml:space="preserve">고온</x:t>
        </x:is>
      </x:c>
      <x:c r="W223" s="5" t="inlineStr">
        <x:is>
          <x:t xml:space="preserve">건조</x:t>
        </x:is>
      </x:c>
      <x:c r="X223" s="5" t="inlineStr">
        <x:is>
          <x:t xml:space="preserve">맑음</x:t>
        </x:is>
      </x:c>
      <x:c r="Y223" s="5" t="inlineStr">
        <x:is>
          <x:t xml:space="preserve">무관</x:t>
        </x:is>
      </x:c>
      <x:c r="Z223" s="5" t="inlineStr">
        <x:is>
          <x:t xml:space="preserve">흔함</x:t>
        </x:is>
      </x:c>
      <x:c r="AA223" s="5" t="inlineStr">
        <x:is>
          <x:t xml:space="preserve">화산</x:t>
        </x:is>
      </x:c>
      <x:c r="AB223" s="5" t="inlineStr">
        <x:is>
          <x:t xml:space="preserve">화산</x:t>
        </x:is>
      </x:c>
      <x:c r="AC223" s="5" t="inlineStr">
        <x:is>
          <x:t xml:space="preserve">gen2</x:t>
        </x:is>
      </x:c>
      <x:c r="AD223" s="5" t="inlineStr">
        <x:is>
          <x:t xml:space="preserve">.tmp/cobblemon-1.7.3-source/common/src/main/resources/data/cobblemon/species/generation2/magcargo.json</x:t>
        </x:is>
      </x:c>
    </x:row>
    <x:row r="224" ht="22" customHeight="1">
      <x:c r="A224" s="5" t="n">
        <x:v>220</x:v>
      </x:c>
      <x:c r="B224" s="5" t="inlineStr">
        <x:is>
          <x:t xml:space="preserve">꾸꾸리</x:t>
        </x:is>
      </x:c>
      <x:c r="C224" s="5" t="inlineStr">
        <x:is>
          <x:t xml:space="preserve">swinub</x:t>
        </x:is>
      </x:c>
      <x:c r="D224" s="5" t="inlineStr">
        <x:is>
          <x:t xml:space="preserve">Swinub</x:t>
        </x:is>
      </x:c>
      <x:c r="E224" s="5" t="n">
        <x:v>2</x:v>
      </x:c>
      <x:c r="F224" s="5" t="inlineStr">
        <x:is>
          <x:t xml:space="preserve">얼음</x:t>
        </x:is>
      </x:c>
      <x:c r="G224" s="5" t="inlineStr">
        <x:is>
          <x:t xml:space="preserve">땅</x:t>
        </x:is>
      </x:c>
      <x:c r="H224" s="5" t="n">
        <x:v>0.4</x:v>
      </x:c>
      <x:c r="I224" s="5" t="n">
        <x:v>6.5</x:v>
      </x:c>
      <x:c r="J224" s="5" t="n">
        <x:v>250</x:v>
      </x:c>
      <x:c r="K224" s="5" t="n">
        <x:v>225</x:v>
      </x:c>
      <x:c r="L224" s="5" t="inlineStr">
        <x:is>
          <x:t xml:space="preserve">기본</x:t>
        </x:is>
      </x:c>
      <x:c r="M224" s="5" t="n">
        <x:v>33</x:v>
      </x:c>
      <x:c r="N224" s="5" t="inlineStr">
        <x:is>
          <x:t xml:space="preserve">레벨·특수</x:t>
        </x:is>
      </x:c>
      <x:c r="O224" s="5" t="inlineStr">
        <x:is>
          <x:t xml:space="preserve">예</x:t>
        </x:is>
      </x:c>
      <x:c r="P224" s="5" t="inlineStr">
        <x:is>
          <x:t xml:space="preserve">#cobblemon:is_tundra</x:t>
        </x:is>
      </x:c>
      <x:c r="Q224" s="5" t="inlineStr">
        <x:is>
          <x:t xml:space="preserve">common</x:t>
        </x:is>
      </x:c>
      <x:c r="R224" s="5" t="inlineStr">
        <x:is>
          <x:t xml:space="preserve"/>
        </x:is>
      </x:c>
      <x:c r="S224" s="5" t="inlineStr">
        <x:is>
          <x:t xml:space="preserve"/>
        </x:is>
      </x:c>
      <x:c r="T224" s="5" t="inlineStr">
        <x:is>
          <x:t xml:space="preserve">육상</x:t>
        </x:is>
      </x:c>
      <x:c r="U224" s="5" t="inlineStr">
        <x:is>
          <x:t xml:space="preserve">암석</x:t>
        </x:is>
      </x:c>
      <x:c r="V224" s="5" t="inlineStr">
        <x:is>
          <x:t xml:space="preserve">한랭</x:t>
        </x:is>
      </x:c>
      <x:c r="W224" s="5" t="inlineStr">
        <x:is>
          <x:t xml:space="preserve">보통</x:t>
        </x:is>
      </x:c>
      <x:c r="X224" s="5" t="inlineStr">
        <x:is>
          <x:t xml:space="preserve">무관</x:t>
        </x:is>
      </x:c>
      <x:c r="Y224" s="5" t="inlineStr">
        <x:is>
          <x:t xml:space="preserve">무관</x:t>
        </x:is>
      </x:c>
      <x:c r="Z224" s="5" t="inlineStr">
        <x:is>
          <x:t xml:space="preserve">흔함</x:t>
        </x:is>
      </x:c>
      <x:c r="AA224" s="5" t="inlineStr">
        <x:is>
          <x:t xml:space="preserve">없음</x:t>
        </x:is>
      </x:c>
      <x:c r="AB224" s="5" t="inlineStr">
        <x:is>
          <x:t xml:space="preserve"/>
        </x:is>
      </x:c>
      <x:c r="AC224" s="5" t="inlineStr">
        <x:is>
          <x:t xml:space="preserve">gen2</x:t>
        </x:is>
      </x:c>
      <x:c r="AD224" s="5" t="inlineStr">
        <x:is>
          <x:t xml:space="preserve">.tmp/cobblemon-1.7.3-source/common/src/main/resources/data/cobblemon/species/generation2/swinub.json</x:t>
        </x:is>
      </x:c>
    </x:row>
    <x:row r="225" ht="22" customHeight="1">
      <x:c r="A225" s="5" t="n">
        <x:v>221</x:v>
      </x:c>
      <x:c r="B225" s="5" t="inlineStr">
        <x:is>
          <x:t xml:space="preserve">메꾸리</x:t>
        </x:is>
      </x:c>
      <x:c r="C225" s="5" t="inlineStr">
        <x:is>
          <x:t xml:space="preserve">piloswine</x:t>
        </x:is>
      </x:c>
      <x:c r="D225" s="5" t="inlineStr">
        <x:is>
          <x:t xml:space="preserve">Piloswine</x:t>
        </x:is>
      </x:c>
      <x:c r="E225" s="5" t="n">
        <x:v>2</x:v>
      </x:c>
      <x:c r="F225" s="5" t="inlineStr">
        <x:is>
          <x:t xml:space="preserve">얼음</x:t>
        </x:is>
      </x:c>
      <x:c r="G225" s="5" t="inlineStr">
        <x:is>
          <x:t xml:space="preserve">땅</x:t>
        </x:is>
      </x:c>
      <x:c r="H225" s="5" t="n">
        <x:v>1.1</x:v>
      </x:c>
      <x:c r="I225" s="5" t="n">
        <x:v>55.8</x:v>
      </x:c>
      <x:c r="J225" s="5" t="n">
        <x:v>450</x:v>
      </x:c>
      <x:c r="K225" s="5" t="n">
        <x:v>75</x:v>
      </x:c>
      <x:c r="L225" s="5" t="inlineStr">
        <x:is>
          <x:t xml:space="preserve">중간</x:t>
        </x:is>
      </x:c>
      <x:c r="M225" s="5" t="n">
        <x:v>33</x:v>
      </x:c>
      <x:c r="N225" s="5" t="inlineStr">
        <x:is>
          <x:t xml:space="preserve">레벨·특수</x:t>
        </x:is>
      </x:c>
      <x:c r="O225" s="5" t="inlineStr">
        <x:is>
          <x:t xml:space="preserve">예</x:t>
        </x:is>
      </x:c>
      <x:c r="P225" s="5" t="inlineStr">
        <x:is>
          <x:t xml:space="preserve">#cobblemon:is_tundra</x:t>
        </x:is>
      </x:c>
      <x:c r="Q225" s="5" t="inlineStr">
        <x:is>
          <x:t xml:space="preserve">common</x:t>
        </x:is>
      </x:c>
      <x:c r="R225" s="5" t="inlineStr">
        <x:is>
          <x:t xml:space="preserve"/>
        </x:is>
      </x:c>
      <x:c r="S225" s="5" t="inlineStr">
        <x:is>
          <x:t xml:space="preserve"/>
        </x:is>
      </x:c>
      <x:c r="T225" s="5" t="inlineStr">
        <x:is>
          <x:t xml:space="preserve">육상</x:t>
        </x:is>
      </x:c>
      <x:c r="U225" s="5" t="inlineStr">
        <x:is>
          <x:t xml:space="preserve">암석</x:t>
        </x:is>
      </x:c>
      <x:c r="V225" s="5" t="inlineStr">
        <x:is>
          <x:t xml:space="preserve">한랭</x:t>
        </x:is>
      </x:c>
      <x:c r="W225" s="5" t="inlineStr">
        <x:is>
          <x:t xml:space="preserve">보통</x:t>
        </x:is>
      </x:c>
      <x:c r="X225" s="5" t="inlineStr">
        <x:is>
          <x:t xml:space="preserve">무관</x:t>
        </x:is>
      </x:c>
      <x:c r="Y225" s="5" t="inlineStr">
        <x:is>
          <x:t xml:space="preserve">무관</x:t>
        </x:is>
      </x:c>
      <x:c r="Z225" s="5" t="inlineStr">
        <x:is>
          <x:t xml:space="preserve">흔함</x:t>
        </x:is>
      </x:c>
      <x:c r="AA225" s="5" t="inlineStr">
        <x:is>
          <x:t xml:space="preserve">없음</x:t>
        </x:is>
      </x:c>
      <x:c r="AB225" s="5" t="inlineStr">
        <x:is>
          <x:t xml:space="preserve"/>
        </x:is>
      </x:c>
      <x:c r="AC225" s="5" t="inlineStr">
        <x:is>
          <x:t xml:space="preserve">gen2</x:t>
        </x:is>
      </x:c>
      <x:c r="AD225" s="5" t="inlineStr">
        <x:is>
          <x:t xml:space="preserve">.tmp/cobblemon-1.7.3-source/common/src/main/resources/data/cobblemon/species/generation2/piloswine.json</x:t>
        </x:is>
      </x:c>
    </x:row>
    <x:row r="226" ht="22" customHeight="1">
      <x:c r="A226" s="5" t="n">
        <x:v>222</x:v>
      </x:c>
      <x:c r="B226" s="5" t="inlineStr">
        <x:is>
          <x:t xml:space="preserve">코산호</x:t>
        </x:is>
      </x:c>
      <x:c r="C226" s="5" t="inlineStr">
        <x:is>
          <x:t xml:space="preserve">corsola</x:t>
        </x:is>
      </x:c>
      <x:c r="D226" s="5" t="inlineStr">
        <x:is>
          <x:t xml:space="preserve">Corsola</x:t>
        </x:is>
      </x:c>
      <x:c r="E226" s="5" t="n">
        <x:v>2</x:v>
      </x:c>
      <x:c r="F226" s="5" t="inlineStr">
        <x:is>
          <x:t xml:space="preserve">물</x:t>
        </x:is>
      </x:c>
      <x:c r="G226" s="5" t="inlineStr">
        <x:is>
          <x:t xml:space="preserve">바위</x:t>
        </x:is>
      </x:c>
      <x:c r="H226" s="5" t="n">
        <x:v>0.6</x:v>
      </x:c>
      <x:c r="I226" s="5" t="n">
        <x:v>5</x:v>
      </x:c>
      <x:c r="J226" s="5" t="n">
        <x:v>410</x:v>
      </x:c>
      <x:c r="K226" s="5" t="n">
        <x:v>60</x:v>
      </x:c>
      <x:c r="L226" s="5" t="inlineStr">
        <x:is>
          <x:t xml:space="preserve">무진화</x:t>
        </x:is>
      </x:c>
      <x:c r="M226" s="5" t="n"/>
      <x:c r="N226" s="5" t="inlineStr">
        <x:is>
          <x:t xml:space="preserve">없음</x:t>
        </x:is>
      </x:c>
      <x:c r="O226" s="5" t="inlineStr">
        <x:is>
          <x:t xml:space="preserve">예</x:t>
        </x:is>
      </x:c>
      <x:c r="P226" s="5" t="inlineStr">
        <x:is>
          <x:t xml:space="preserve">#cobblemon:is_beach; #cobblemon:is_overworld; #cobblemon:is_warm_ocean; #cobblemon:nether/is_quartz; byg:warped_desert; is_warm_ocean</x:t>
        </x:is>
      </x:c>
      <x:c r="Q226" s="5" t="inlineStr">
        <x:is>
          <x:t xml:space="preserve">common; uncommon</x:t>
        </x:is>
      </x:c>
      <x:c r="R226" s="5" t="inlineStr">
        <x:is>
          <x:t xml:space="preserve"/>
        </x:is>
      </x:c>
      <x:c r="S226" s="5" t="inlineStr">
        <x:is>
          <x:t xml:space="preserve"/>
        </x:is>
      </x:c>
      <x:c r="T226" s="5" t="inlineStr">
        <x:is>
          <x:t xml:space="preserve">해양</x:t>
        </x:is>
      </x:c>
      <x:c r="U226" s="5" t="inlineStr">
        <x:is>
          <x:t xml:space="preserve">해안·해양</x:t>
        </x:is>
      </x:c>
      <x:c r="V226" s="5" t="inlineStr">
        <x:is>
          <x:t xml:space="preserve">온대</x:t>
        </x:is>
      </x:c>
      <x:c r="W226" s="5" t="inlineStr">
        <x:is>
          <x:t xml:space="preserve">수중</x:t>
        </x:is>
      </x:c>
      <x:c r="X226" s="5" t="inlineStr">
        <x:is>
          <x:t xml:space="preserve">비</x:t>
        </x:is>
      </x:c>
      <x:c r="Y226" s="5" t="inlineStr">
        <x:is>
          <x:t xml:space="preserve">무관</x:t>
        </x:is>
      </x:c>
      <x:c r="Z226" s="5" t="inlineStr">
        <x:is>
          <x:t xml:space="preserve">보통</x:t>
        </x:is>
      </x:c>
      <x:c r="AA226" s="5" t="inlineStr">
        <x:is>
          <x:t xml:space="preserve">없음</x:t>
        </x:is>
      </x:c>
      <x:c r="AB226" s="5" t="inlineStr">
        <x:is>
          <x:t xml:space="preserve">해양</x:t>
        </x:is>
      </x:c>
      <x:c r="AC226" s="5" t="inlineStr">
        <x:is>
          <x:t xml:space="preserve">gen2; johtonian_form</x:t>
        </x:is>
      </x:c>
      <x:c r="AD226" s="5" t="inlineStr">
        <x:is>
          <x:t xml:space="preserve">.tmp/cobblemon-1.7.3-source/common/src/main/resources/data/cobblemon/species/generation2/corsola.json</x:t>
        </x:is>
      </x:c>
    </x:row>
    <x:row r="227" ht="22" customHeight="1">
      <x:c r="A227" s="5" t="n">
        <x:v>223</x:v>
      </x:c>
      <x:c r="B227" s="5" t="inlineStr">
        <x:is>
          <x:t xml:space="preserve">총어</x:t>
        </x:is>
      </x:c>
      <x:c r="C227" s="5" t="inlineStr">
        <x:is>
          <x:t xml:space="preserve">remoraid</x:t>
        </x:is>
      </x:c>
      <x:c r="D227" s="5" t="inlineStr">
        <x:is>
          <x:t xml:space="preserve">Remoraid</x:t>
        </x:is>
      </x:c>
      <x:c r="E227" s="5" t="n">
        <x:v>2</x:v>
      </x:c>
      <x:c r="F227" s="5" t="inlineStr">
        <x:is>
          <x:t xml:space="preserve">물</x:t>
        </x:is>
      </x:c>
      <x:c r="G227" s="5" t="inlineStr">
        <x:is>
          <x:t xml:space="preserve"/>
        </x:is>
      </x:c>
      <x:c r="H227" s="5" t="n">
        <x:v>0.6</x:v>
      </x:c>
      <x:c r="I227" s="5" t="n">
        <x:v>12</x:v>
      </x:c>
      <x:c r="J227" s="5" t="n">
        <x:v>300</x:v>
      </x:c>
      <x:c r="K227" s="5" t="n">
        <x:v>190</x:v>
      </x:c>
      <x:c r="L227" s="5" t="inlineStr">
        <x:is>
          <x:t xml:space="preserve">기본</x:t>
        </x:is>
      </x:c>
      <x:c r="M227" s="5" t="n">
        <x:v>25</x:v>
      </x:c>
      <x:c r="N227" s="5" t="inlineStr">
        <x:is>
          <x:t xml:space="preserve">레벨</x:t>
        </x:is>
      </x:c>
      <x:c r="O227" s="5" t="inlineStr">
        <x:is>
          <x:t xml:space="preserve">예</x:t>
        </x:is>
      </x:c>
      <x:c r="P227" s="5" t="inlineStr">
        <x:is>
          <x:t xml:space="preserve">#cobblemon:is_ocean; #cobblemon:is_overworld</x:t>
        </x:is>
      </x:c>
      <x:c r="Q227" s="5" t="inlineStr">
        <x:is>
          <x:t xml:space="preserve">common</x:t>
        </x:is>
      </x:c>
      <x:c r="R227" s="5" t="inlineStr">
        <x:is>
          <x:t xml:space="preserve"/>
        </x:is>
      </x:c>
      <x:c r="S227" s="5" t="inlineStr">
        <x:is>
          <x:t xml:space="preserve"/>
        </x:is>
      </x:c>
      <x:c r="T227" s="5" t="inlineStr">
        <x:is>
          <x:t xml:space="preserve">해양</x:t>
        </x:is>
      </x:c>
      <x:c r="U227" s="5" t="inlineStr">
        <x:is>
          <x:t xml:space="preserve">해안·해양</x:t>
        </x:is>
      </x:c>
      <x:c r="V227" s="5" t="inlineStr">
        <x:is>
          <x:t xml:space="preserve">온대</x:t>
        </x:is>
      </x:c>
      <x:c r="W227" s="5" t="inlineStr">
        <x:is>
          <x:t xml:space="preserve">수중</x:t>
        </x:is>
      </x:c>
      <x:c r="X227" s="5" t="inlineStr">
        <x:is>
          <x:t xml:space="preserve">비</x:t>
        </x:is>
      </x:c>
      <x:c r="Y227" s="5" t="inlineStr">
        <x:is>
          <x:t xml:space="preserve">무관</x:t>
        </x:is>
      </x:c>
      <x:c r="Z227" s="5" t="inlineStr">
        <x:is>
          <x:t xml:space="preserve">흔함</x:t>
        </x:is>
      </x:c>
      <x:c r="AA227" s="5" t="inlineStr">
        <x:is>
          <x:t xml:space="preserve">없음</x:t>
        </x:is>
      </x:c>
      <x:c r="AB227" s="5" t="inlineStr">
        <x:is>
          <x:t xml:space="preserve">해양</x:t>
        </x:is>
      </x:c>
      <x:c r="AC227" s="5" t="inlineStr">
        <x:is>
          <x:t xml:space="preserve">gen2</x:t>
        </x:is>
      </x:c>
      <x:c r="AD227" s="5" t="inlineStr">
        <x:is>
          <x:t xml:space="preserve">.tmp/cobblemon-1.7.3-source/common/src/main/resources/data/cobblemon/species/generation2/remoraid.json</x:t>
        </x:is>
      </x:c>
    </x:row>
    <x:row r="228" ht="22" customHeight="1">
      <x:c r="A228" s="5" t="n">
        <x:v>224</x:v>
      </x:c>
      <x:c r="B228" s="5" t="inlineStr">
        <x:is>
          <x:t xml:space="preserve">대포무노</x:t>
        </x:is>
      </x:c>
      <x:c r="C228" s="5" t="inlineStr">
        <x:is>
          <x:t xml:space="preserve">octillery</x:t>
        </x:is>
      </x:c>
      <x:c r="D228" s="5" t="inlineStr">
        <x:is>
          <x:t xml:space="preserve">Octillery</x:t>
        </x:is>
      </x:c>
      <x:c r="E228" s="5" t="n">
        <x:v>2</x:v>
      </x:c>
      <x:c r="F228" s="5" t="inlineStr">
        <x:is>
          <x:t xml:space="preserve">물</x:t>
        </x:is>
      </x:c>
      <x:c r="G228" s="5" t="inlineStr">
        <x:is>
          <x:t xml:space="preserve"/>
        </x:is>
      </x:c>
      <x:c r="H228" s="5" t="n">
        <x:v>0.9</x:v>
      </x:c>
      <x:c r="I228" s="5" t="n">
        <x:v>28.5</x:v>
      </x:c>
      <x:c r="J228" s="5" t="n">
        <x:v>480</x:v>
      </x:c>
      <x:c r="K228" s="5" t="n">
        <x:v>75</x:v>
      </x:c>
      <x:c r="L228" s="5" t="inlineStr">
        <x:is>
          <x:t xml:space="preserve">최종</x:t>
        </x:is>
      </x:c>
      <x:c r="M228" s="5" t="n">
        <x:v>25</x:v>
      </x:c>
      <x:c r="N228" s="5" t="inlineStr">
        <x:is>
          <x:t xml:space="preserve">레벨</x:t>
        </x:is>
      </x:c>
      <x:c r="O228" s="5" t="inlineStr">
        <x:is>
          <x:t xml:space="preserve">예</x:t>
        </x:is>
      </x:c>
      <x:c r="P228" s="5" t="inlineStr">
        <x:is>
          <x:t xml:space="preserve">#cobblemon:is_ocean; #cobblemon:is_overworld</x:t>
        </x:is>
      </x:c>
      <x:c r="Q228" s="5" t="inlineStr">
        <x:is>
          <x:t xml:space="preserve">common</x:t>
        </x:is>
      </x:c>
      <x:c r="R228" s="5" t="inlineStr">
        <x:is>
          <x:t xml:space="preserve"/>
        </x:is>
      </x:c>
      <x:c r="S228" s="5" t="inlineStr">
        <x:is>
          <x:t xml:space="preserve"/>
        </x:is>
      </x:c>
      <x:c r="T228" s="5" t="inlineStr">
        <x:is>
          <x:t xml:space="preserve">해양</x:t>
        </x:is>
      </x:c>
      <x:c r="U228" s="5" t="inlineStr">
        <x:is>
          <x:t xml:space="preserve">해안·해양</x:t>
        </x:is>
      </x:c>
      <x:c r="V228" s="5" t="inlineStr">
        <x:is>
          <x:t xml:space="preserve">온대</x:t>
        </x:is>
      </x:c>
      <x:c r="W228" s="5" t="inlineStr">
        <x:is>
          <x:t xml:space="preserve">수중</x:t>
        </x:is>
      </x:c>
      <x:c r="X228" s="5" t="inlineStr">
        <x:is>
          <x:t xml:space="preserve">비</x:t>
        </x:is>
      </x:c>
      <x:c r="Y228" s="5" t="inlineStr">
        <x:is>
          <x:t xml:space="preserve">무관</x:t>
        </x:is>
      </x:c>
      <x:c r="Z228" s="5" t="inlineStr">
        <x:is>
          <x:t xml:space="preserve">흔함</x:t>
        </x:is>
      </x:c>
      <x:c r="AA228" s="5" t="inlineStr">
        <x:is>
          <x:t xml:space="preserve">없음</x:t>
        </x:is>
      </x:c>
      <x:c r="AB228" s="5" t="inlineStr">
        <x:is>
          <x:t xml:space="preserve">해양</x:t>
        </x:is>
      </x:c>
      <x:c r="AC228" s="5" t="inlineStr">
        <x:is>
          <x:t xml:space="preserve">gen2</x:t>
        </x:is>
      </x:c>
      <x:c r="AD228" s="5" t="inlineStr">
        <x:is>
          <x:t xml:space="preserve">.tmp/cobblemon-1.7.3-source/common/src/main/resources/data/cobblemon/species/generation2/octillery.json</x:t>
        </x:is>
      </x:c>
    </x:row>
    <x:row r="229" ht="22" customHeight="1">
      <x:c r="A229" s="5" t="n">
        <x:v>225</x:v>
      </x:c>
      <x:c r="B229" s="5" t="inlineStr">
        <x:is>
          <x:t xml:space="preserve">딜리버드</x:t>
        </x:is>
      </x:c>
      <x:c r="C229" s="5" t="inlineStr">
        <x:is>
          <x:t xml:space="preserve">delibird</x:t>
        </x:is>
      </x:c>
      <x:c r="D229" s="5" t="inlineStr">
        <x:is>
          <x:t xml:space="preserve">Delibird</x:t>
        </x:is>
      </x:c>
      <x:c r="E229" s="5" t="n">
        <x:v>2</x:v>
      </x:c>
      <x:c r="F229" s="5" t="inlineStr">
        <x:is>
          <x:t xml:space="preserve">얼음</x:t>
        </x:is>
      </x:c>
      <x:c r="G229" s="5" t="inlineStr">
        <x:is>
          <x:t xml:space="preserve">비행</x:t>
        </x:is>
      </x:c>
      <x:c r="H229" s="5" t="n">
        <x:v>0.9</x:v>
      </x:c>
      <x:c r="I229" s="5" t="n">
        <x:v>16</x:v>
      </x:c>
      <x:c r="J229" s="5" t="n">
        <x:v>330</x:v>
      </x:c>
      <x:c r="K229" s="5" t="n">
        <x:v>45</x:v>
      </x:c>
      <x:c r="L229" s="5" t="inlineStr">
        <x:is>
          <x:t xml:space="preserve">무진화</x:t>
        </x:is>
      </x:c>
      <x:c r="M229" s="5" t="n"/>
      <x:c r="N229" s="5" t="inlineStr">
        <x:is>
          <x:t xml:space="preserve">없음</x:t>
        </x:is>
      </x:c>
      <x:c r="O229" s="5" t="inlineStr">
        <x:is>
          <x:t xml:space="preserve">예</x:t>
        </x:is>
      </x:c>
      <x:c r="P229" s="5" t="inlineStr">
        <x:is>
          <x:t xml:space="preserve">#aether:is_aether; #cobblemon:is_peak</x:t>
        </x:is>
      </x:c>
      <x:c r="Q229" s="5" t="inlineStr">
        <x:is>
          <x:t xml:space="preserve">common; uncommon</x:t>
        </x:is>
      </x:c>
      <x:c r="R229" s="5" t="inlineStr">
        <x:is>
          <x:t xml:space="preserve"/>
        </x:is>
      </x:c>
      <x:c r="S229" s="5" t="inlineStr">
        <x:is>
          <x:t xml:space="preserve"/>
        </x:is>
      </x:c>
      <x:c r="T229" s="5" t="inlineStr">
        <x:is>
          <x:t xml:space="preserve">비행</x:t>
        </x:is>
      </x:c>
      <x:c r="U229" s="5" t="inlineStr">
        <x:is>
          <x:t xml:space="preserve">암석</x:t>
        </x:is>
      </x:c>
      <x:c r="V229" s="5" t="inlineStr">
        <x:is>
          <x:t xml:space="preserve">한랭</x:t>
        </x:is>
      </x:c>
      <x:c r="W229" s="5" t="inlineStr">
        <x:is>
          <x:t xml:space="preserve">보통</x:t>
        </x:is>
      </x:c>
      <x:c r="X229" s="5" t="inlineStr">
        <x:is>
          <x:t xml:space="preserve">무관</x:t>
        </x:is>
      </x:c>
      <x:c r="Y229" s="5" t="inlineStr">
        <x:is>
          <x:t xml:space="preserve">무관</x:t>
        </x:is>
      </x:c>
      <x:c r="Z229" s="5" t="inlineStr">
        <x:is>
          <x:t xml:space="preserve">보통</x:t>
        </x:is>
      </x:c>
      <x:c r="AA229" s="5" t="inlineStr">
        <x:is>
          <x:t xml:space="preserve">없음</x:t>
        </x:is>
      </x:c>
      <x:c r="AB229" s="5" t="inlineStr">
        <x:is>
          <x:t xml:space="preserve">산악</x:t>
        </x:is>
      </x:c>
      <x:c r="AC229" s="5" t="inlineStr">
        <x:is>
          <x:t xml:space="preserve">gen2</x:t>
        </x:is>
      </x:c>
      <x:c r="AD229" s="5" t="inlineStr">
        <x:is>
          <x:t xml:space="preserve">.tmp/cobblemon-1.7.3-source/common/src/main/resources/data/cobblemon/species/generation2/delibird.json</x:t>
        </x:is>
      </x:c>
    </x:row>
    <x:row r="230" ht="22" customHeight="1">
      <x:c r="A230" s="5" t="n">
        <x:v>226</x:v>
      </x:c>
      <x:c r="B230" s="5" t="inlineStr">
        <x:is>
          <x:t xml:space="preserve">만타인</x:t>
        </x:is>
      </x:c>
      <x:c r="C230" s="5" t="inlineStr">
        <x:is>
          <x:t xml:space="preserve">mantine</x:t>
        </x:is>
      </x:c>
      <x:c r="D230" s="5" t="inlineStr">
        <x:is>
          <x:t xml:space="preserve">Mantine</x:t>
        </x:is>
      </x:c>
      <x:c r="E230" s="5" t="n">
        <x:v>2</x:v>
      </x:c>
      <x:c r="F230" s="5" t="inlineStr">
        <x:is>
          <x:t xml:space="preserve">물</x:t>
        </x:is>
      </x:c>
      <x:c r="G230" s="5" t="inlineStr">
        <x:is>
          <x:t xml:space="preserve">비행</x:t>
        </x:is>
      </x:c>
      <x:c r="H230" s="5" t="n">
        <x:v>2.1</x:v>
      </x:c>
      <x:c r="I230" s="5" t="n">
        <x:v>220</x:v>
      </x:c>
      <x:c r="J230" s="5" t="n">
        <x:v>485</x:v>
      </x:c>
      <x:c r="K230" s="5" t="n">
        <x:v>25</x:v>
      </x:c>
      <x:c r="L230" s="5" t="inlineStr">
        <x:is>
          <x:t xml:space="preserve">최종</x:t>
        </x:is>
      </x:c>
      <x:c r="M230" s="5" t="n"/>
      <x:c r="N230" s="5" t="inlineStr">
        <x:is>
          <x:t xml:space="preserve">특수</x:t>
        </x:is>
      </x:c>
      <x:c r="O230" s="5" t="inlineStr">
        <x:is>
          <x:t xml:space="preserve">예</x:t>
        </x:is>
      </x:c>
      <x:c r="P230" s="5" t="inlineStr">
        <x:is>
          <x:t xml:space="preserve">#cobblemon:is_lukewarm_ocean; #cobblemon:is_ocean; #cobblemon:is_warm_ocean</x:t>
        </x:is>
      </x:c>
      <x:c r="Q230" s="5" t="inlineStr">
        <x:is>
          <x:t xml:space="preserve">common; uncommon</x:t>
        </x:is>
      </x:c>
      <x:c r="R230" s="5" t="inlineStr">
        <x:is>
          <x:t xml:space="preserve"/>
        </x:is>
      </x:c>
      <x:c r="S230" s="5" t="inlineStr">
        <x:is>
          <x:t xml:space="preserve"/>
        </x:is>
      </x:c>
      <x:c r="T230" s="5" t="inlineStr">
        <x:is>
          <x:t xml:space="preserve">해양</x:t>
        </x:is>
      </x:c>
      <x:c r="U230" s="5" t="inlineStr">
        <x:is>
          <x:t xml:space="preserve">해안·해양</x:t>
        </x:is>
      </x:c>
      <x:c r="V230" s="5" t="inlineStr">
        <x:is>
          <x:t xml:space="preserve">온대</x:t>
        </x:is>
      </x:c>
      <x:c r="W230" s="5" t="inlineStr">
        <x:is>
          <x:t xml:space="preserve">수중</x:t>
        </x:is>
      </x:c>
      <x:c r="X230" s="5" t="inlineStr">
        <x:is>
          <x:t xml:space="preserve">비</x:t>
        </x:is>
      </x:c>
      <x:c r="Y230" s="5" t="inlineStr">
        <x:is>
          <x:t xml:space="preserve">무관</x:t>
        </x:is>
      </x:c>
      <x:c r="Z230" s="5" t="inlineStr">
        <x:is>
          <x:t xml:space="preserve">보통</x:t>
        </x:is>
      </x:c>
      <x:c r="AA230" s="5" t="inlineStr">
        <x:is>
          <x:t xml:space="preserve">없음</x:t>
        </x:is>
      </x:c>
      <x:c r="AB230" s="5" t="inlineStr">
        <x:is>
          <x:t xml:space="preserve">해양</x:t>
        </x:is>
      </x:c>
      <x:c r="AC230" s="5" t="inlineStr">
        <x:is>
          <x:t xml:space="preserve">gen2</x:t>
        </x:is>
      </x:c>
      <x:c r="AD230" s="5" t="inlineStr">
        <x:is>
          <x:t xml:space="preserve">.tmp/cobblemon-1.7.3-source/common/src/main/resources/data/cobblemon/species/generation2/mantine.json</x:t>
        </x:is>
      </x:c>
    </x:row>
    <x:row r="231" ht="22" customHeight="1">
      <x:c r="A231" s="5" t="n">
        <x:v>227</x:v>
      </x:c>
      <x:c r="B231" s="5" t="inlineStr">
        <x:is>
          <x:t xml:space="preserve">무장조</x:t>
        </x:is>
      </x:c>
      <x:c r="C231" s="5" t="inlineStr">
        <x:is>
          <x:t xml:space="preserve">skarmory</x:t>
        </x:is>
      </x:c>
      <x:c r="D231" s="5" t="inlineStr">
        <x:is>
          <x:t xml:space="preserve">Skarmory</x:t>
        </x:is>
      </x:c>
      <x:c r="E231" s="5" t="n">
        <x:v>2</x:v>
      </x:c>
      <x:c r="F231" s="5" t="inlineStr">
        <x:is>
          <x:t xml:space="preserve">강철</x:t>
        </x:is>
      </x:c>
      <x:c r="G231" s="5" t="inlineStr">
        <x:is>
          <x:t xml:space="preserve">비행</x:t>
        </x:is>
      </x:c>
      <x:c r="H231" s="5" t="n">
        <x:v>1.7</x:v>
      </x:c>
      <x:c r="I231" s="5" t="n">
        <x:v>50.5</x:v>
      </x:c>
      <x:c r="J231" s="5" t="n">
        <x:v>465</x:v>
      </x:c>
      <x:c r="K231" s="5" t="n">
        <x:v>25</x:v>
      </x:c>
      <x:c r="L231" s="5" t="inlineStr">
        <x:is>
          <x:t xml:space="preserve">무진화</x:t>
        </x:is>
      </x:c>
      <x:c r="M231" s="5" t="n"/>
      <x:c r="N231" s="5" t="inlineStr">
        <x:is>
          <x:t xml:space="preserve">없음</x:t>
        </x:is>
      </x:c>
      <x:c r="O231" s="5" t="inlineStr">
        <x:is>
          <x:t xml:space="preserve">예</x:t>
        </x:is>
      </x:c>
      <x:c r="P231" s="5" t="inlineStr">
        <x:is>
          <x:t xml:space="preserve">#cobblemon:is_badlands; #cobblemon:is_desert; #cobblemon:is_sky</x:t>
        </x:is>
      </x:c>
      <x:c r="Q231" s="5" t="inlineStr">
        <x:is>
          <x:t xml:space="preserve">rare</x:t>
        </x:is>
      </x:c>
      <x:c r="R231" s="5" t="inlineStr">
        <x:is>
          <x:t xml:space="preserve">day</x:t>
        </x:is>
      </x:c>
      <x:c r="S231" s="5" t="inlineStr">
        <x:is>
          <x:t xml:space="preserve"/>
        </x:is>
      </x:c>
      <x:c r="T231" s="5" t="inlineStr">
        <x:is>
          <x:t xml:space="preserve">비행</x:t>
        </x:is>
      </x:c>
      <x:c r="U231" s="5" t="inlineStr">
        <x:is>
          <x:t xml:space="preserve">건조</x:t>
        </x:is>
      </x:c>
      <x:c r="V231" s="5" t="inlineStr">
        <x:is>
          <x:t xml:space="preserve">고온</x:t>
        </x:is>
      </x:c>
      <x:c r="W231" s="5" t="inlineStr">
        <x:is>
          <x:t xml:space="preserve">건조</x:t>
        </x:is>
      </x:c>
      <x:c r="X231" s="5" t="inlineStr">
        <x:is>
          <x:t xml:space="preserve">맑음</x:t>
        </x:is>
      </x:c>
      <x:c r="Y231" s="5" t="inlineStr">
        <x:is>
          <x:t xml:space="preserve">낮</x:t>
        </x:is>
      </x:c>
      <x:c r="Z231" s="5" t="inlineStr">
        <x:is>
          <x:t xml:space="preserve">드묾</x:t>
        </x:is>
      </x:c>
      <x:c r="AA231" s="5" t="inlineStr">
        <x:is>
          <x:t xml:space="preserve">없음</x:t>
        </x:is>
      </x:c>
      <x:c r="AB231" s="5" t="inlineStr">
        <x:is>
          <x:t xml:space="preserve">건조지</x:t>
        </x:is>
      </x:c>
      <x:c r="AC231" s="5" t="inlineStr">
        <x:is>
          <x:t xml:space="preserve">gen2</x:t>
        </x:is>
      </x:c>
      <x:c r="AD231" s="5" t="inlineStr">
        <x:is>
          <x:t xml:space="preserve">.tmp/cobblemon-1.7.3-source/common/src/main/resources/data/cobblemon/species/generation2/skarmory.json</x:t>
        </x:is>
      </x:c>
    </x:row>
    <x:row r="232" ht="22" customHeight="1">
      <x:c r="A232" s="5" t="n">
        <x:v>228</x:v>
      </x:c>
      <x:c r="B232" s="5" t="inlineStr">
        <x:is>
          <x:t xml:space="preserve">델빌</x:t>
        </x:is>
      </x:c>
      <x:c r="C232" s="5" t="inlineStr">
        <x:is>
          <x:t xml:space="preserve">houndour</x:t>
        </x:is>
      </x:c>
      <x:c r="D232" s="5" t="inlineStr">
        <x:is>
          <x:t xml:space="preserve">Houndour</x:t>
        </x:is>
      </x:c>
      <x:c r="E232" s="5" t="n">
        <x:v>2</x:v>
      </x:c>
      <x:c r="F232" s="5" t="inlineStr">
        <x:is>
          <x:t xml:space="preserve">악</x:t>
        </x:is>
      </x:c>
      <x:c r="G232" s="5" t="inlineStr">
        <x:is>
          <x:t xml:space="preserve">불꽃</x:t>
        </x:is>
      </x:c>
      <x:c r="H232" s="5" t="n">
        <x:v>0.6</x:v>
      </x:c>
      <x:c r="I232" s="5" t="n">
        <x:v>10.8</x:v>
      </x:c>
      <x:c r="J232" s="5" t="n">
        <x:v>330</x:v>
      </x:c>
      <x:c r="K232" s="5" t="n">
        <x:v>120</x:v>
      </x:c>
      <x:c r="L232" s="5" t="inlineStr">
        <x:is>
          <x:t xml:space="preserve">기본</x:t>
        </x:is>
      </x:c>
      <x:c r="M232" s="5" t="n">
        <x:v>24</x:v>
      </x:c>
      <x:c r="N232" s="5" t="inlineStr">
        <x:is>
          <x:t xml:space="preserve">레벨</x:t>
        </x:is>
      </x:c>
      <x:c r="O232" s="5" t="inlineStr">
        <x:is>
          <x:t xml:space="preserve">예</x:t>
        </x:is>
      </x:c>
      <x:c r="P232" s="5" t="inlineStr">
        <x:is>
          <x:t xml:space="preserve">#cobblemon:is_badlands; #cobblemon:is_overworld; #minecraft:is_nether</x:t>
        </x:is>
      </x:c>
      <x:c r="Q232" s="5" t="inlineStr">
        <x:is>
          <x:t xml:space="preserve">common; uncommon</x:t>
        </x:is>
      </x:c>
      <x:c r="R232" s="5" t="inlineStr">
        <x:is>
          <x:t xml:space="preserve"/>
        </x:is>
      </x:c>
      <x:c r="S232" s="5" t="inlineStr">
        <x:is>
          <x:t xml:space="preserve"/>
        </x:is>
      </x:c>
      <x:c r="T232" s="5" t="inlineStr">
        <x:is>
          <x:t xml:space="preserve">육상</x:t>
        </x:is>
      </x:c>
      <x:c r="U232" s="5" t="inlineStr">
        <x:is>
          <x:t xml:space="preserve">화산</x:t>
        </x:is>
      </x:c>
      <x:c r="V232" s="5" t="inlineStr">
        <x:is>
          <x:t xml:space="preserve">고온</x:t>
        </x:is>
      </x:c>
      <x:c r="W232" s="5" t="inlineStr">
        <x:is>
          <x:t xml:space="preserve">건조</x:t>
        </x:is>
      </x:c>
      <x:c r="X232" s="5" t="inlineStr">
        <x:is>
          <x:t xml:space="preserve">맑음</x:t>
        </x:is>
      </x:c>
      <x:c r="Y232" s="5" t="inlineStr">
        <x:is>
          <x:t xml:space="preserve">밤</x:t>
        </x:is>
      </x:c>
      <x:c r="Z232" s="5" t="inlineStr">
        <x:is>
          <x:t xml:space="preserve">보통</x:t>
        </x:is>
      </x:c>
      <x:c r="AA232" s="5" t="inlineStr">
        <x:is>
          <x:t xml:space="preserve">화산</x:t>
        </x:is>
      </x:c>
      <x:c r="AB232" s="5" t="inlineStr">
        <x:is>
          <x:t xml:space="preserve">화산</x:t>
        </x:is>
      </x:c>
      <x:c r="AC232" s="5" t="inlineStr">
        <x:is>
          <x:t xml:space="preserve">gen2</x:t>
        </x:is>
      </x:c>
      <x:c r="AD232" s="5" t="inlineStr">
        <x:is>
          <x:t xml:space="preserve">.tmp/cobblemon-1.7.3-source/common/src/main/resources/data/cobblemon/species/generation2/houndour.json</x:t>
        </x:is>
      </x:c>
    </x:row>
    <x:row r="233" ht="22" customHeight="1">
      <x:c r="A233" s="5" t="n">
        <x:v>229</x:v>
      </x:c>
      <x:c r="B233" s="5" t="inlineStr">
        <x:is>
          <x:t xml:space="preserve">헬가</x:t>
        </x:is>
      </x:c>
      <x:c r="C233" s="5" t="inlineStr">
        <x:is>
          <x:t xml:space="preserve">houndoom</x:t>
        </x:is>
      </x:c>
      <x:c r="D233" s="5" t="inlineStr">
        <x:is>
          <x:t xml:space="preserve">Houndoom</x:t>
        </x:is>
      </x:c>
      <x:c r="E233" s="5" t="n">
        <x:v>2</x:v>
      </x:c>
      <x:c r="F233" s="5" t="inlineStr">
        <x:is>
          <x:t xml:space="preserve">악</x:t>
        </x:is>
      </x:c>
      <x:c r="G233" s="5" t="inlineStr">
        <x:is>
          <x:t xml:space="preserve">불꽃</x:t>
        </x:is>
      </x:c>
      <x:c r="H233" s="5" t="n">
        <x:v>1.4</x:v>
      </x:c>
      <x:c r="I233" s="5" t="n">
        <x:v>35</x:v>
      </x:c>
      <x:c r="J233" s="5" t="n">
        <x:v>500</x:v>
      </x:c>
      <x:c r="K233" s="5" t="n">
        <x:v>45</x:v>
      </x:c>
      <x:c r="L233" s="5" t="inlineStr">
        <x:is>
          <x:t xml:space="preserve">최종</x:t>
        </x:is>
      </x:c>
      <x:c r="M233" s="5" t="n">
        <x:v>24</x:v>
      </x:c>
      <x:c r="N233" s="5" t="inlineStr">
        <x:is>
          <x:t xml:space="preserve">레벨</x:t>
        </x:is>
      </x:c>
      <x:c r="O233" s="5" t="inlineStr">
        <x:is>
          <x:t xml:space="preserve">예</x:t>
        </x:is>
      </x:c>
      <x:c r="P233" s="5" t="inlineStr">
        <x:is>
          <x:t xml:space="preserve">#cobblemon:is_badlands; #cobblemon:is_overworld; #minecraft:is_nether</x:t>
        </x:is>
      </x:c>
      <x:c r="Q233" s="5" t="inlineStr">
        <x:is>
          <x:t xml:space="preserve">common; uncommon</x:t>
        </x:is>
      </x:c>
      <x:c r="R233" s="5" t="inlineStr">
        <x:is>
          <x:t xml:space="preserve"/>
        </x:is>
      </x:c>
      <x:c r="S233" s="5" t="inlineStr">
        <x:is>
          <x:t xml:space="preserve"/>
        </x:is>
      </x:c>
      <x:c r="T233" s="5" t="inlineStr">
        <x:is>
          <x:t xml:space="preserve">육상</x:t>
        </x:is>
      </x:c>
      <x:c r="U233" s="5" t="inlineStr">
        <x:is>
          <x:t xml:space="preserve">화산</x:t>
        </x:is>
      </x:c>
      <x:c r="V233" s="5" t="inlineStr">
        <x:is>
          <x:t xml:space="preserve">고온</x:t>
        </x:is>
      </x:c>
      <x:c r="W233" s="5" t="inlineStr">
        <x:is>
          <x:t xml:space="preserve">건조</x:t>
        </x:is>
      </x:c>
      <x:c r="X233" s="5" t="inlineStr">
        <x:is>
          <x:t xml:space="preserve">맑음</x:t>
        </x:is>
      </x:c>
      <x:c r="Y233" s="5" t="inlineStr">
        <x:is>
          <x:t xml:space="preserve">밤</x:t>
        </x:is>
      </x:c>
      <x:c r="Z233" s="5" t="inlineStr">
        <x:is>
          <x:t xml:space="preserve">보통</x:t>
        </x:is>
      </x:c>
      <x:c r="AA233" s="5" t="inlineStr">
        <x:is>
          <x:t xml:space="preserve">화산</x:t>
        </x:is>
      </x:c>
      <x:c r="AB233" s="5" t="inlineStr">
        <x:is>
          <x:t xml:space="preserve">화산</x:t>
        </x:is>
      </x:c>
      <x:c r="AC233" s="5" t="inlineStr">
        <x:is>
          <x:t xml:space="preserve">gen2</x:t>
        </x:is>
      </x:c>
      <x:c r="AD233" s="5" t="inlineStr">
        <x:is>
          <x:t xml:space="preserve">.tmp/cobblemon-1.7.3-source/common/src/main/resources/data/cobblemon/species/generation2/houndoom.json</x:t>
        </x:is>
      </x:c>
    </x:row>
    <x:row r="234" ht="22" customHeight="1">
      <x:c r="A234" s="5" t="n">
        <x:v>230</x:v>
      </x:c>
      <x:c r="B234" s="5" t="inlineStr">
        <x:is>
          <x:t xml:space="preserve">킹드라</x:t>
        </x:is>
      </x:c>
      <x:c r="C234" s="5" t="inlineStr">
        <x:is>
          <x:t xml:space="preserve">kingdra</x:t>
        </x:is>
      </x:c>
      <x:c r="D234" s="5" t="inlineStr">
        <x:is>
          <x:t xml:space="preserve">Kingdra</x:t>
        </x:is>
      </x:c>
      <x:c r="E234" s="5" t="n">
        <x:v>2</x:v>
      </x:c>
      <x:c r="F234" s="5" t="inlineStr">
        <x:is>
          <x:t xml:space="preserve">물</x:t>
        </x:is>
      </x:c>
      <x:c r="G234" s="5" t="inlineStr">
        <x:is>
          <x:t xml:space="preserve">드래곤</x:t>
        </x:is>
      </x:c>
      <x:c r="H234" s="5" t="n">
        <x:v>1.8</x:v>
      </x:c>
      <x:c r="I234" s="5" t="n">
        <x:v>152</x:v>
      </x:c>
      <x:c r="J234" s="5" t="n">
        <x:v>540</x:v>
      </x:c>
      <x:c r="K234" s="5" t="n">
        <x:v>45</x:v>
      </x:c>
      <x:c r="L234" s="5" t="inlineStr">
        <x:is>
          <x:t xml:space="preserve">최종</x:t>
        </x:is>
      </x:c>
      <x:c r="M234" s="5" t="n">
        <x:v>32</x:v>
      </x:c>
      <x:c r="N234" s="5" t="inlineStr">
        <x:is>
          <x:t xml:space="preserve">레벨·특수</x:t>
        </x:is>
      </x:c>
      <x:c r="O234" s="5" t="inlineStr">
        <x:is>
          <x:t xml:space="preserve">예</x:t>
        </x:is>
      </x:c>
      <x:c r="P234" s="5" t="inlineStr">
        <x:is>
          <x:t xml:space="preserve">#cobblemon:is_lukewarm_ocean; #cobblemon:is_ocean; #cobblemon:is_overworld; #cobblemon:is_warm_ocean</x:t>
        </x:is>
      </x:c>
      <x:c r="Q234" s="5" t="inlineStr">
        <x:is>
          <x:t xml:space="preserve">common</x:t>
        </x:is>
      </x:c>
      <x:c r="R234" s="5" t="inlineStr">
        <x:is>
          <x:t xml:space="preserve"/>
        </x:is>
      </x:c>
      <x:c r="S234" s="5" t="inlineStr">
        <x:is>
          <x:t xml:space="preserve"/>
        </x:is>
      </x:c>
      <x:c r="T234" s="5" t="inlineStr">
        <x:is>
          <x:t xml:space="preserve">해양</x:t>
        </x:is>
      </x:c>
      <x:c r="U234" s="5" t="inlineStr">
        <x:is>
          <x:t xml:space="preserve">해안·해양</x:t>
        </x:is>
      </x:c>
      <x:c r="V234" s="5" t="inlineStr">
        <x:is>
          <x:t xml:space="preserve">온대</x:t>
        </x:is>
      </x:c>
      <x:c r="W234" s="5" t="inlineStr">
        <x:is>
          <x:t xml:space="preserve">수중</x:t>
        </x:is>
      </x:c>
      <x:c r="X234" s="5" t="inlineStr">
        <x:is>
          <x:t xml:space="preserve">비</x:t>
        </x:is>
      </x:c>
      <x:c r="Y234" s="5" t="inlineStr">
        <x:is>
          <x:t xml:space="preserve">무관</x:t>
        </x:is>
      </x:c>
      <x:c r="Z234" s="5" t="inlineStr">
        <x:is>
          <x:t xml:space="preserve">흔함</x:t>
        </x:is>
      </x:c>
      <x:c r="AA234" s="5" t="inlineStr">
        <x:is>
          <x:t xml:space="preserve">없음</x:t>
        </x:is>
      </x:c>
      <x:c r="AB234" s="5" t="inlineStr">
        <x:is>
          <x:t xml:space="preserve">해양</x:t>
        </x:is>
      </x:c>
      <x:c r="AC234" s="5" t="inlineStr">
        <x:is>
          <x:t xml:space="preserve">gen2</x:t>
        </x:is>
      </x:c>
      <x:c r="AD234" s="5" t="inlineStr">
        <x:is>
          <x:t xml:space="preserve">.tmp/cobblemon-1.7.3-source/common/src/main/resources/data/cobblemon/species/generation2/kingdra.json</x:t>
        </x:is>
      </x:c>
    </x:row>
    <x:row r="235" ht="22" customHeight="1">
      <x:c r="A235" s="5" t="n">
        <x:v>231</x:v>
      </x:c>
      <x:c r="B235" s="5" t="inlineStr">
        <x:is>
          <x:t xml:space="preserve">코코리</x:t>
        </x:is>
      </x:c>
      <x:c r="C235" s="5" t="inlineStr">
        <x:is>
          <x:t xml:space="preserve">phanpy</x:t>
        </x:is>
      </x:c>
      <x:c r="D235" s="5" t="inlineStr">
        <x:is>
          <x:t xml:space="preserve">Phanpy</x:t>
        </x:is>
      </x:c>
      <x:c r="E235" s="5" t="n">
        <x:v>2</x:v>
      </x:c>
      <x:c r="F235" s="5" t="inlineStr">
        <x:is>
          <x:t xml:space="preserve">땅</x:t>
        </x:is>
      </x:c>
      <x:c r="G235" s="5" t="inlineStr">
        <x:is>
          <x:t xml:space="preserve"/>
        </x:is>
      </x:c>
      <x:c r="H235" s="5" t="n">
        <x:v>0.5</x:v>
      </x:c>
      <x:c r="I235" s="5" t="n">
        <x:v>33.5</x:v>
      </x:c>
      <x:c r="J235" s="5" t="n">
        <x:v>330</x:v>
      </x:c>
      <x:c r="K235" s="5" t="n">
        <x:v>120</x:v>
      </x:c>
      <x:c r="L235" s="5" t="inlineStr">
        <x:is>
          <x:t xml:space="preserve">기본</x:t>
        </x:is>
      </x:c>
      <x:c r="M235" s="5" t="n">
        <x:v>25</x:v>
      </x:c>
      <x:c r="N235" s="5" t="inlineStr">
        <x:is>
          <x:t xml:space="preserve">레벨</x:t>
        </x:is>
      </x:c>
      <x:c r="O235" s="5" t="inlineStr">
        <x:is>
          <x:t xml:space="preserve">예</x:t>
        </x:is>
      </x:c>
      <x:c r="P235" s="5" t="inlineStr">
        <x:is>
          <x:t xml:space="preserve">#cobblemon:is_badlands; #cobblemon:is_savanna</x:t>
        </x:is>
      </x:c>
      <x:c r="Q235" s="5" t="inlineStr">
        <x:is>
          <x:t xml:space="preserve">common</x:t>
        </x:is>
      </x:c>
      <x:c r="R235" s="5" t="inlineStr">
        <x:is>
          <x:t xml:space="preserve"/>
        </x:is>
      </x:c>
      <x:c r="S235" s="5" t="inlineStr">
        <x:is>
          <x:t xml:space="preserve"/>
        </x:is>
      </x:c>
      <x:c r="T235" s="5" t="inlineStr">
        <x:is>
          <x:t xml:space="preserve">육상</x:t>
        </x:is>
      </x:c>
      <x:c r="U235" s="5" t="inlineStr">
        <x:is>
          <x:t xml:space="preserve">건조</x:t>
        </x:is>
      </x:c>
      <x:c r="V235" s="5" t="inlineStr">
        <x:is>
          <x:t xml:space="preserve">고온</x:t>
        </x:is>
      </x:c>
      <x:c r="W235" s="5" t="inlineStr">
        <x:is>
          <x:t xml:space="preserve">건조</x:t>
        </x:is>
      </x:c>
      <x:c r="X235" s="5" t="inlineStr">
        <x:is>
          <x:t xml:space="preserve">맑음</x:t>
        </x:is>
      </x:c>
      <x:c r="Y235" s="5" t="inlineStr">
        <x:is>
          <x:t xml:space="preserve">무관</x:t>
        </x:is>
      </x:c>
      <x:c r="Z235" s="5" t="inlineStr">
        <x:is>
          <x:t xml:space="preserve">흔함</x:t>
        </x:is>
      </x:c>
      <x:c r="AA235" s="5" t="inlineStr">
        <x:is>
          <x:t xml:space="preserve">없음</x:t>
        </x:is>
      </x:c>
      <x:c r="AB235" s="5" t="inlineStr">
        <x:is>
          <x:t xml:space="preserve">건조지</x:t>
        </x:is>
      </x:c>
      <x:c r="AC235" s="5" t="inlineStr">
        <x:is>
          <x:t xml:space="preserve">gen2</x:t>
        </x:is>
      </x:c>
      <x:c r="AD235" s="5" t="inlineStr">
        <x:is>
          <x:t xml:space="preserve">.tmp/cobblemon-1.7.3-source/common/src/main/resources/data/cobblemon/species/generation2/phanpy.json</x:t>
        </x:is>
      </x:c>
    </x:row>
    <x:row r="236" ht="22" customHeight="1">
      <x:c r="A236" s="5" t="n">
        <x:v>232</x:v>
      </x:c>
      <x:c r="B236" s="5" t="inlineStr">
        <x:is>
          <x:t xml:space="preserve">코리갑</x:t>
        </x:is>
      </x:c>
      <x:c r="C236" s="5" t="inlineStr">
        <x:is>
          <x:t xml:space="preserve">donphan</x:t>
        </x:is>
      </x:c>
      <x:c r="D236" s="5" t="inlineStr">
        <x:is>
          <x:t xml:space="preserve">Donphan</x:t>
        </x:is>
      </x:c>
      <x:c r="E236" s="5" t="n">
        <x:v>2</x:v>
      </x:c>
      <x:c r="F236" s="5" t="inlineStr">
        <x:is>
          <x:t xml:space="preserve">땅</x:t>
        </x:is>
      </x:c>
      <x:c r="G236" s="5" t="inlineStr">
        <x:is>
          <x:t xml:space="preserve"/>
        </x:is>
      </x:c>
      <x:c r="H236" s="5" t="n">
        <x:v>1.1</x:v>
      </x:c>
      <x:c r="I236" s="5" t="n">
        <x:v>120</x:v>
      </x:c>
      <x:c r="J236" s="5" t="n">
        <x:v>500</x:v>
      </x:c>
      <x:c r="K236" s="5" t="n">
        <x:v>60</x:v>
      </x:c>
      <x:c r="L236" s="5" t="inlineStr">
        <x:is>
          <x:t xml:space="preserve">최종</x:t>
        </x:is>
      </x:c>
      <x:c r="M236" s="5" t="n">
        <x:v>25</x:v>
      </x:c>
      <x:c r="N236" s="5" t="inlineStr">
        <x:is>
          <x:t xml:space="preserve">레벨</x:t>
        </x:is>
      </x:c>
      <x:c r="O236" s="5" t="inlineStr">
        <x:is>
          <x:t xml:space="preserve">예</x:t>
        </x:is>
      </x:c>
      <x:c r="P236" s="5" t="inlineStr">
        <x:is>
          <x:t xml:space="preserve">#cobblemon:is_badlands; #cobblemon:is_savanna</x:t>
        </x:is>
      </x:c>
      <x:c r="Q236" s="5" t="inlineStr">
        <x:is>
          <x:t xml:space="preserve">common</x:t>
        </x:is>
      </x:c>
      <x:c r="R236" s="5" t="inlineStr">
        <x:is>
          <x:t xml:space="preserve"/>
        </x:is>
      </x:c>
      <x:c r="S236" s="5" t="inlineStr">
        <x:is>
          <x:t xml:space="preserve"/>
        </x:is>
      </x:c>
      <x:c r="T236" s="5" t="inlineStr">
        <x:is>
          <x:t xml:space="preserve">육상</x:t>
        </x:is>
      </x:c>
      <x:c r="U236" s="5" t="inlineStr">
        <x:is>
          <x:t xml:space="preserve">건조</x:t>
        </x:is>
      </x:c>
      <x:c r="V236" s="5" t="inlineStr">
        <x:is>
          <x:t xml:space="preserve">고온</x:t>
        </x:is>
      </x:c>
      <x:c r="W236" s="5" t="inlineStr">
        <x:is>
          <x:t xml:space="preserve">건조</x:t>
        </x:is>
      </x:c>
      <x:c r="X236" s="5" t="inlineStr">
        <x:is>
          <x:t xml:space="preserve">맑음</x:t>
        </x:is>
      </x:c>
      <x:c r="Y236" s="5" t="inlineStr">
        <x:is>
          <x:t xml:space="preserve">무관</x:t>
        </x:is>
      </x:c>
      <x:c r="Z236" s="5" t="inlineStr">
        <x:is>
          <x:t xml:space="preserve">흔함</x:t>
        </x:is>
      </x:c>
      <x:c r="AA236" s="5" t="inlineStr">
        <x:is>
          <x:t xml:space="preserve">없음</x:t>
        </x:is>
      </x:c>
      <x:c r="AB236" s="5" t="inlineStr">
        <x:is>
          <x:t xml:space="preserve">건조지</x:t>
        </x:is>
      </x:c>
      <x:c r="AC236" s="5" t="inlineStr">
        <x:is>
          <x:t xml:space="preserve">gen2</x:t>
        </x:is>
      </x:c>
      <x:c r="AD236" s="5" t="inlineStr">
        <x:is>
          <x:t xml:space="preserve">.tmp/cobblemon-1.7.3-source/common/src/main/resources/data/cobblemon/species/generation2/donphan.json</x:t>
        </x:is>
      </x:c>
    </x:row>
    <x:row r="237" ht="22" customHeight="1">
      <x:c r="A237" s="5" t="n">
        <x:v>233</x:v>
      </x:c>
      <x:c r="B237" s="5" t="inlineStr">
        <x:is>
          <x:t xml:space="preserve">폴리곤2</x:t>
        </x:is>
      </x:c>
      <x:c r="C237" s="5" t="inlineStr">
        <x:is>
          <x:t xml:space="preserve">porygon2</x:t>
        </x:is>
      </x:c>
      <x:c r="D237" s="5" t="inlineStr">
        <x:is>
          <x:t xml:space="preserve">Porygon2</x:t>
        </x:is>
      </x:c>
      <x:c r="E237" s="5" t="n">
        <x:v>2</x:v>
      </x:c>
      <x:c r="F237" s="5" t="inlineStr">
        <x:is>
          <x:t xml:space="preserve">노말</x:t>
        </x:is>
      </x:c>
      <x:c r="G237" s="5" t="inlineStr">
        <x:is>
          <x:t xml:space="preserve"/>
        </x:is>
      </x:c>
      <x:c r="H237" s="5" t="n">
        <x:v>0.6</x:v>
      </x:c>
      <x:c r="I237" s="5" t="n">
        <x:v>32.5</x:v>
      </x:c>
      <x:c r="J237" s="5" t="n">
        <x:v>515</x:v>
      </x:c>
      <x:c r="K237" s="5" t="n">
        <x:v>45</x:v>
      </x:c>
      <x:c r="L237" s="5" t="inlineStr">
        <x:is>
          <x:t xml:space="preserve">중간</x:t>
        </x:is>
      </x:c>
      <x:c r="M237" s="5" t="n"/>
      <x:c r="N237" s="5" t="inlineStr">
        <x:is>
          <x:t xml:space="preserve">특수</x:t>
        </x:is>
      </x:c>
      <x:c r="O237" s="5" t="inlineStr">
        <x:is>
          <x:t xml:space="preserve">예</x:t>
        </x:is>
      </x:c>
      <x:c r="P237" s="5" t="inlineStr">
        <x:is>
          <x:t xml:space="preserve">#cobblemon:end</x:t>
        </x:is>
      </x:c>
      <x:c r="Q237" s="5" t="inlineStr">
        <x:is>
          <x:t xml:space="preserve">uncommon</x:t>
        </x:is>
      </x:c>
      <x:c r="R237" s="5" t="inlineStr">
        <x:is>
          <x:t xml:space="preserve"/>
        </x:is>
      </x:c>
      <x:c r="S237" s="5" t="inlineStr">
        <x:is>
          <x:t xml:space="preserve"/>
        </x:is>
      </x:c>
      <x:c r="T237" s="5" t="inlineStr">
        <x:is>
          <x:t xml:space="preserve">인공</x:t>
        </x:is>
      </x:c>
      <x:c r="U237" s="5" t="inlineStr">
        <x:is>
          <x:t xml:space="preserve">도시</x:t>
        </x:is>
      </x:c>
      <x:c r="V237" s="5" t="inlineStr">
        <x:is>
          <x:t xml:space="preserve">온대</x:t>
        </x:is>
      </x:c>
      <x:c r="W237" s="5" t="inlineStr">
        <x:is>
          <x:t xml:space="preserve">보통</x:t>
        </x:is>
      </x:c>
      <x:c r="X237" s="5" t="inlineStr">
        <x:is>
          <x:t xml:space="preserve">무관</x:t>
        </x:is>
      </x:c>
      <x:c r="Y237" s="5" t="inlineStr">
        <x:is>
          <x:t xml:space="preserve">무관</x:t>
        </x:is>
      </x:c>
      <x:c r="Z237" s="5" t="inlineStr">
        <x:is>
          <x:t xml:space="preserve">보통</x:t>
        </x:is>
      </x:c>
      <x:c r="AA237" s="5" t="inlineStr">
        <x:is>
          <x:t xml:space="preserve">도시</x:t>
        </x:is>
      </x:c>
      <x:c r="AB237" s="5" t="inlineStr">
        <x:is>
          <x:t xml:space="preserve"/>
        </x:is>
      </x:c>
      <x:c r="AC237" s="5" t="inlineStr">
        <x:is>
          <x:t xml:space="preserve">gen2</x:t>
        </x:is>
      </x:c>
      <x:c r="AD237" s="5" t="inlineStr">
        <x:is>
          <x:t xml:space="preserve">.tmp/cobblemon-1.7.3-source/common/src/main/resources/data/cobblemon/species/generation2/porygon2.json</x:t>
        </x:is>
      </x:c>
    </x:row>
    <x:row r="238" ht="22" customHeight="1">
      <x:c r="A238" s="5" t="n">
        <x:v>234</x:v>
      </x:c>
      <x:c r="B238" s="5" t="inlineStr">
        <x:is>
          <x:t xml:space="preserve">노라키</x:t>
        </x:is>
      </x:c>
      <x:c r="C238" s="5" t="inlineStr">
        <x:is>
          <x:t xml:space="preserve">stantler</x:t>
        </x:is>
      </x:c>
      <x:c r="D238" s="5" t="inlineStr">
        <x:is>
          <x:t xml:space="preserve">Stantler</x:t>
        </x:is>
      </x:c>
      <x:c r="E238" s="5" t="n">
        <x:v>2</x:v>
      </x:c>
      <x:c r="F238" s="5" t="inlineStr">
        <x:is>
          <x:t xml:space="preserve">노말</x:t>
        </x:is>
      </x:c>
      <x:c r="G238" s="5" t="inlineStr">
        <x:is>
          <x:t xml:space="preserve"/>
        </x:is>
      </x:c>
      <x:c r="H238" s="5" t="n">
        <x:v>1.4</x:v>
      </x:c>
      <x:c r="I238" s="5" t="n">
        <x:v>71.2</x:v>
      </x:c>
      <x:c r="J238" s="5" t="n">
        <x:v>465</x:v>
      </x:c>
      <x:c r="K238" s="5" t="n">
        <x:v>45</x:v>
      </x:c>
      <x:c r="L238" s="5" t="inlineStr">
        <x:is>
          <x:t xml:space="preserve">기본</x:t>
        </x:is>
      </x:c>
      <x:c r="M238" s="5" t="n"/>
      <x:c r="N238" s="5" t="inlineStr">
        <x:is>
          <x:t xml:space="preserve">특수</x:t>
        </x:is>
      </x:c>
      <x:c r="O238" s="5" t="inlineStr">
        <x:is>
          <x:t xml:space="preserve">예</x:t>
        </x:is>
      </x:c>
      <x:c r="P238" s="5" t="inlineStr">
        <x:is>
          <x:t xml:space="preserve">#aether:is_aether; #cobblemon:is_snowy_forest; #cobblemon:is_snowy_taiga; #cobblemon:is_tundra</x:t>
        </x:is>
      </x:c>
      <x:c r="Q238" s="5" t="inlineStr">
        <x:is>
          <x:t xml:space="preserve">common</x:t>
        </x:is>
      </x:c>
      <x:c r="R238" s="5" t="inlineStr">
        <x:is>
          <x:t xml:space="preserve"/>
        </x:is>
      </x:c>
      <x:c r="S238" s="5" t="inlineStr">
        <x:is>
          <x:t xml:space="preserve"/>
        </x:is>
      </x:c>
      <x:c r="T238" s="5" t="inlineStr">
        <x:is>
          <x:t xml:space="preserve">육상</x:t>
        </x:is>
      </x:c>
      <x:c r="U238" s="5" t="inlineStr">
        <x:is>
          <x:t xml:space="preserve">설원</x:t>
        </x:is>
      </x:c>
      <x:c r="V238" s="5" t="inlineStr">
        <x:is>
          <x:t xml:space="preserve">한랭</x:t>
        </x:is>
      </x:c>
      <x:c r="W238" s="5" t="inlineStr">
        <x:is>
          <x:t xml:space="preserve">보통</x:t>
        </x:is>
      </x:c>
      <x:c r="X238" s="5" t="inlineStr">
        <x:is>
          <x:t xml:space="preserve">눈</x:t>
        </x:is>
      </x:c>
      <x:c r="Y238" s="5" t="inlineStr">
        <x:is>
          <x:t xml:space="preserve">무관</x:t>
        </x:is>
      </x:c>
      <x:c r="Z238" s="5" t="inlineStr">
        <x:is>
          <x:t xml:space="preserve">흔함</x:t>
        </x:is>
      </x:c>
      <x:c r="AA238" s="5" t="inlineStr">
        <x:is>
          <x:t xml:space="preserve">없음</x:t>
        </x:is>
      </x:c>
      <x:c r="AB238" s="5" t="inlineStr">
        <x:is>
          <x:t xml:space="preserve">설원</x:t>
        </x:is>
      </x:c>
      <x:c r="AC238" s="5" t="inlineStr">
        <x:is>
          <x:t xml:space="preserve">gen2</x:t>
        </x:is>
      </x:c>
      <x:c r="AD238" s="5" t="inlineStr">
        <x:is>
          <x:t xml:space="preserve">.tmp/cobblemon-1.7.3-source/common/src/main/resources/data/cobblemon/species/generation2/stantler.json</x:t>
        </x:is>
      </x:c>
    </x:row>
    <x:row r="239" ht="22" customHeight="1">
      <x:c r="A239" s="5" t="n">
        <x:v>235</x:v>
      </x:c>
      <x:c r="B239" s="5" t="inlineStr">
        <x:is>
          <x:t xml:space="preserve">루브도</x:t>
        </x:is>
      </x:c>
      <x:c r="C239" s="5" t="inlineStr">
        <x:is>
          <x:t xml:space="preserve">smeargle</x:t>
        </x:is>
      </x:c>
      <x:c r="D239" s="5" t="inlineStr">
        <x:is>
          <x:t xml:space="preserve">Smeargle</x:t>
        </x:is>
      </x:c>
      <x:c r="E239" s="5" t="n">
        <x:v>2</x:v>
      </x:c>
      <x:c r="F239" s="5" t="inlineStr">
        <x:is>
          <x:t xml:space="preserve">노말</x:t>
        </x:is>
      </x:c>
      <x:c r="G239" s="5" t="inlineStr">
        <x:is>
          <x:t xml:space="preserve"/>
        </x:is>
      </x:c>
      <x:c r="H239" s="5" t="n">
        <x:v>1.2</x:v>
      </x:c>
      <x:c r="I239" s="5" t="n">
        <x:v>58</x:v>
      </x:c>
      <x:c r="J239" s="5" t="n">
        <x:v>250</x:v>
      </x:c>
      <x:c r="K239" s="5" t="n">
        <x:v>45</x:v>
      </x:c>
      <x:c r="L239" s="5" t="inlineStr">
        <x:is>
          <x:t xml:space="preserve">무진화</x:t>
        </x:is>
      </x:c>
      <x:c r="M239" s="5" t="n"/>
      <x:c r="N239" s="5" t="inlineStr">
        <x:is>
          <x:t xml:space="preserve">없음</x:t>
        </x:is>
      </x:c>
      <x:c r="O239" s="5" t="inlineStr">
        <x:is>
          <x:t xml:space="preserve">예</x:t>
        </x:is>
      </x:c>
      <x:c r="P239" s="5" t="inlineStr">
        <x:is>
          <x:t xml:space="preserve">#cobblemon:is_overworld</x:t>
        </x:is>
      </x:c>
      <x:c r="Q239" s="5" t="inlineStr">
        <x:is>
          <x:t xml:space="preserve">common; rare</x:t>
        </x:is>
      </x:c>
      <x:c r="R239" s="5" t="inlineStr">
        <x:is>
          <x:t xml:space="preserve"/>
        </x:is>
      </x:c>
      <x:c r="S239" s="5" t="inlineStr">
        <x:is>
          <x:t xml:space="preserve"/>
        </x:is>
      </x:c>
      <x:c r="T239" s="5" t="inlineStr">
        <x:is>
          <x:t xml:space="preserve">육상</x:t>
        </x:is>
      </x:c>
      <x:c r="U239" s="5" t="inlineStr">
        <x:is>
          <x:t xml:space="preserve">개활지</x:t>
        </x:is>
      </x:c>
      <x:c r="V239" s="5" t="inlineStr">
        <x:is>
          <x:t xml:space="preserve">온대</x:t>
        </x:is>
      </x:c>
      <x:c r="W239" s="5" t="inlineStr">
        <x:is>
          <x:t xml:space="preserve">보통</x:t>
        </x:is>
      </x:c>
      <x:c r="X239" s="5" t="inlineStr">
        <x:is>
          <x:t xml:space="preserve">무관</x:t>
        </x:is>
      </x:c>
      <x:c r="Y239" s="5" t="inlineStr">
        <x:is>
          <x:t xml:space="preserve">무관</x:t>
        </x:is>
      </x:c>
      <x:c r="Z239" s="5" t="inlineStr">
        <x:is>
          <x:t xml:space="preserve">흔함</x:t>
        </x:is>
      </x:c>
      <x:c r="AA239" s="5" t="inlineStr">
        <x:is>
          <x:t xml:space="preserve">없음</x:t>
        </x:is>
      </x:c>
      <x:c r="AB239" s="5" t="inlineStr">
        <x:is>
          <x:t xml:space="preserve"/>
        </x:is>
      </x:c>
      <x:c r="AC239" s="5" t="inlineStr">
        <x:is>
          <x:t xml:space="preserve">gen2</x:t>
        </x:is>
      </x:c>
      <x:c r="AD239" s="5" t="inlineStr">
        <x:is>
          <x:t xml:space="preserve">.tmp/cobblemon-1.7.3-source/common/src/main/resources/data/cobblemon/species/generation2/smeargle.json</x:t>
        </x:is>
      </x:c>
    </x:row>
    <x:row r="240" ht="22" customHeight="1">
      <x:c r="A240" s="5" t="n">
        <x:v>236</x:v>
      </x:c>
      <x:c r="B240" s="5" t="inlineStr">
        <x:is>
          <x:t xml:space="preserve">배루키</x:t>
        </x:is>
      </x:c>
      <x:c r="C240" s="5" t="inlineStr">
        <x:is>
          <x:t xml:space="preserve">tyrogue</x:t>
        </x:is>
      </x:c>
      <x:c r="D240" s="5" t="inlineStr">
        <x:is>
          <x:t xml:space="preserve">Tyrogue</x:t>
        </x:is>
      </x:c>
      <x:c r="E240" s="5" t="n">
        <x:v>2</x:v>
      </x:c>
      <x:c r="F240" s="5" t="inlineStr">
        <x:is>
          <x:t xml:space="preserve">격투</x:t>
        </x:is>
      </x:c>
      <x:c r="G240" s="5" t="inlineStr">
        <x:is>
          <x:t xml:space="preserve"/>
        </x:is>
      </x:c>
      <x:c r="H240" s="5" t="n">
        <x:v>0.7</x:v>
      </x:c>
      <x:c r="I240" s="5" t="n">
        <x:v>21</x:v>
      </x:c>
      <x:c r="J240" s="5" t="n">
        <x:v>210</x:v>
      </x:c>
      <x:c r="K240" s="5" t="n">
        <x:v>75</x:v>
      </x:c>
      <x:c r="L240" s="5" t="inlineStr">
        <x:is>
          <x:t xml:space="preserve">기본</x:t>
        </x:is>
      </x:c>
      <x:c r="M240" s="5" t="n">
        <x:v>20</x:v>
      </x:c>
      <x:c r="N240" s="5" t="inlineStr">
        <x:is>
          <x:t xml:space="preserve">레벨·특수</x:t>
        </x:is>
      </x:c>
      <x:c r="O240" s="5" t="inlineStr">
        <x:is>
          <x:t xml:space="preserve">예</x:t>
        </x:is>
      </x:c>
      <x:c r="P240" s="5" t="inlineStr">
        <x:is>
          <x:t xml:space="preserve">#cobblemon:is_hills</x:t>
        </x:is>
      </x:c>
      <x:c r="Q240" s="5" t="inlineStr">
        <x:is>
          <x:t xml:space="preserve">uncommon</x:t>
        </x:is>
      </x:c>
      <x:c r="R240" s="5" t="inlineStr">
        <x:is>
          <x:t xml:space="preserve"/>
        </x:is>
      </x:c>
      <x:c r="S240" s="5" t="inlineStr">
        <x:is>
          <x:t xml:space="preserve"/>
        </x:is>
      </x:c>
      <x:c r="T240" s="5" t="inlineStr">
        <x:is>
          <x:t xml:space="preserve">육상</x:t>
        </x:is>
      </x:c>
      <x:c r="U240" s="5" t="inlineStr">
        <x:is>
          <x:t xml:space="preserve">암석</x:t>
        </x:is>
      </x:c>
      <x:c r="V240" s="5" t="inlineStr">
        <x:is>
          <x:t xml:space="preserve">온대</x:t>
        </x:is>
      </x:c>
      <x:c r="W240" s="5" t="inlineStr">
        <x:is>
          <x:t xml:space="preserve">보통</x:t>
        </x:is>
      </x:c>
      <x:c r="X240" s="5" t="inlineStr">
        <x:is>
          <x:t xml:space="preserve">무관</x:t>
        </x:is>
      </x:c>
      <x:c r="Y240" s="5" t="inlineStr">
        <x:is>
          <x:t xml:space="preserve">무관</x:t>
        </x:is>
      </x:c>
      <x:c r="Z240" s="5" t="inlineStr">
        <x:is>
          <x:t xml:space="preserve">보통</x:t>
        </x:is>
      </x:c>
      <x:c r="AA240" s="5" t="inlineStr">
        <x:is>
          <x:t xml:space="preserve">없음</x:t>
        </x:is>
      </x:c>
      <x:c r="AB240" s="5" t="inlineStr">
        <x:is>
          <x:t xml:space="preserve">산악</x:t>
        </x:is>
      </x:c>
      <x:c r="AC240" s="5" t="inlineStr">
        <x:is>
          <x:t xml:space="preserve">baby; gen2</x:t>
        </x:is>
      </x:c>
      <x:c r="AD240" s="5" t="inlineStr">
        <x:is>
          <x:t xml:space="preserve">.tmp/cobblemon-1.7.3-source/common/src/main/resources/data/cobblemon/species/generation2/tyrogue.json</x:t>
        </x:is>
      </x:c>
    </x:row>
    <x:row r="241" ht="22" customHeight="1">
      <x:c r="A241" s="5" t="n">
        <x:v>237</x:v>
      </x:c>
      <x:c r="B241" s="5" t="inlineStr">
        <x:is>
          <x:t xml:space="preserve">카포에라</x:t>
        </x:is>
      </x:c>
      <x:c r="C241" s="5" t="inlineStr">
        <x:is>
          <x:t xml:space="preserve">hitmontop</x:t>
        </x:is>
      </x:c>
      <x:c r="D241" s="5" t="inlineStr">
        <x:is>
          <x:t xml:space="preserve">Hitmontop</x:t>
        </x:is>
      </x:c>
      <x:c r="E241" s="5" t="n">
        <x:v>2</x:v>
      </x:c>
      <x:c r="F241" s="5" t="inlineStr">
        <x:is>
          <x:t xml:space="preserve">격투</x:t>
        </x:is>
      </x:c>
      <x:c r="G241" s="5" t="inlineStr">
        <x:is>
          <x:t xml:space="preserve"/>
        </x:is>
      </x:c>
      <x:c r="H241" s="5" t="n">
        <x:v>1.4</x:v>
      </x:c>
      <x:c r="I241" s="5" t="n">
        <x:v>48</x:v>
      </x:c>
      <x:c r="J241" s="5" t="n">
        <x:v>455</x:v>
      </x:c>
      <x:c r="K241" s="5" t="n">
        <x:v>45</x:v>
      </x:c>
      <x:c r="L241" s="5" t="inlineStr">
        <x:is>
          <x:t xml:space="preserve">최종</x:t>
        </x:is>
      </x:c>
      <x:c r="M241" s="5" t="n">
        <x:v>20</x:v>
      </x:c>
      <x:c r="N241" s="5" t="inlineStr">
        <x:is>
          <x:t xml:space="preserve">레벨·특수</x:t>
        </x:is>
      </x:c>
      <x:c r="O241" s="5" t="inlineStr">
        <x:is>
          <x:t xml:space="preserve">예</x:t>
        </x:is>
      </x:c>
      <x:c r="P241" s="5" t="inlineStr">
        <x:is>
          <x:t xml:space="preserve">#cobblemon:is_hills</x:t>
        </x:is>
      </x:c>
      <x:c r="Q241" s="5" t="inlineStr">
        <x:is>
          <x:t xml:space="preserve">uncommon</x:t>
        </x:is>
      </x:c>
      <x:c r="R241" s="5" t="inlineStr">
        <x:is>
          <x:t xml:space="preserve"/>
        </x:is>
      </x:c>
      <x:c r="S241" s="5" t="inlineStr">
        <x:is>
          <x:t xml:space="preserve"/>
        </x:is>
      </x:c>
      <x:c r="T241" s="5" t="inlineStr">
        <x:is>
          <x:t xml:space="preserve">육상</x:t>
        </x:is>
      </x:c>
      <x:c r="U241" s="5" t="inlineStr">
        <x:is>
          <x:t xml:space="preserve">암석</x:t>
        </x:is>
      </x:c>
      <x:c r="V241" s="5" t="inlineStr">
        <x:is>
          <x:t xml:space="preserve">온대</x:t>
        </x:is>
      </x:c>
      <x:c r="W241" s="5" t="inlineStr">
        <x:is>
          <x:t xml:space="preserve">보통</x:t>
        </x:is>
      </x:c>
      <x:c r="X241" s="5" t="inlineStr">
        <x:is>
          <x:t xml:space="preserve">무관</x:t>
        </x:is>
      </x:c>
      <x:c r="Y241" s="5" t="inlineStr">
        <x:is>
          <x:t xml:space="preserve">무관</x:t>
        </x:is>
      </x:c>
      <x:c r="Z241" s="5" t="inlineStr">
        <x:is>
          <x:t xml:space="preserve">보통</x:t>
        </x:is>
      </x:c>
      <x:c r="AA241" s="5" t="inlineStr">
        <x:is>
          <x:t xml:space="preserve">없음</x:t>
        </x:is>
      </x:c>
      <x:c r="AB241" s="5" t="inlineStr">
        <x:is>
          <x:t xml:space="preserve">산악</x:t>
        </x:is>
      </x:c>
      <x:c r="AC241" s="5" t="inlineStr">
        <x:is>
          <x:t xml:space="preserve">gen2</x:t>
        </x:is>
      </x:c>
      <x:c r="AD241" s="5" t="inlineStr">
        <x:is>
          <x:t xml:space="preserve">.tmp/cobblemon-1.7.3-source/common/src/main/resources/data/cobblemon/species/generation2/hitmontop.json</x:t>
        </x:is>
      </x:c>
    </x:row>
    <x:row r="242" ht="22" customHeight="1">
      <x:c r="A242" s="5" t="n">
        <x:v>238</x:v>
      </x:c>
      <x:c r="B242" s="5" t="inlineStr">
        <x:is>
          <x:t xml:space="preserve">뽀뽀라</x:t>
        </x:is>
      </x:c>
      <x:c r="C242" s="5" t="inlineStr">
        <x:is>
          <x:t xml:space="preserve">smoochum</x:t>
        </x:is>
      </x:c>
      <x:c r="D242" s="5" t="inlineStr">
        <x:is>
          <x:t xml:space="preserve">Smoochum</x:t>
        </x:is>
      </x:c>
      <x:c r="E242" s="5" t="n">
        <x:v>2</x:v>
      </x:c>
      <x:c r="F242" s="5" t="inlineStr">
        <x:is>
          <x:t xml:space="preserve">얼음</x:t>
        </x:is>
      </x:c>
      <x:c r="G242" s="5" t="inlineStr">
        <x:is>
          <x:t xml:space="preserve">에스퍼</x:t>
        </x:is>
      </x:c>
      <x:c r="H242" s="5" t="n">
        <x:v>0.4</x:v>
      </x:c>
      <x:c r="I242" s="5" t="n">
        <x:v>6</x:v>
      </x:c>
      <x:c r="J242" s="5" t="n">
        <x:v>305</x:v>
      </x:c>
      <x:c r="K242" s="5" t="n">
        <x:v>45</x:v>
      </x:c>
      <x:c r="L242" s="5" t="inlineStr">
        <x:is>
          <x:t xml:space="preserve">기본</x:t>
        </x:is>
      </x:c>
      <x:c r="M242" s="5" t="n">
        <x:v>30</x:v>
      </x:c>
      <x:c r="N242" s="5" t="inlineStr">
        <x:is>
          <x:t xml:space="preserve">레벨</x:t>
        </x:is>
      </x:c>
      <x:c r="O242" s="5" t="inlineStr">
        <x:is>
          <x:t xml:space="preserve">예</x:t>
        </x:is>
      </x:c>
      <x:c r="P242" s="5" t="inlineStr">
        <x:is>
          <x:t xml:space="preserve">#cobblemon:is_freezing</x:t>
        </x:is>
      </x:c>
      <x:c r="Q242" s="5" t="inlineStr">
        <x:is>
          <x:t xml:space="preserve">uncommon</x:t>
        </x:is>
      </x:c>
      <x:c r="R242" s="5" t="inlineStr">
        <x:is>
          <x:t xml:space="preserve"/>
        </x:is>
      </x:c>
      <x:c r="S242" s="5" t="inlineStr">
        <x:is>
          <x:t xml:space="preserve"/>
        </x:is>
      </x:c>
      <x:c r="T242" s="5" t="inlineStr">
        <x:is>
          <x:t xml:space="preserve">육상</x:t>
        </x:is>
      </x:c>
      <x:c r="U242" s="5" t="inlineStr">
        <x:is>
          <x:t xml:space="preserve">설원</x:t>
        </x:is>
      </x:c>
      <x:c r="V242" s="5" t="inlineStr">
        <x:is>
          <x:t xml:space="preserve">한랭</x:t>
        </x:is>
      </x:c>
      <x:c r="W242" s="5" t="inlineStr">
        <x:is>
          <x:t xml:space="preserve">보통</x:t>
        </x:is>
      </x:c>
      <x:c r="X242" s="5" t="inlineStr">
        <x:is>
          <x:t xml:space="preserve">무관</x:t>
        </x:is>
      </x:c>
      <x:c r="Y242" s="5" t="inlineStr">
        <x:is>
          <x:t xml:space="preserve">무관</x:t>
        </x:is>
      </x:c>
      <x:c r="Z242" s="5" t="inlineStr">
        <x:is>
          <x:t xml:space="preserve">보통</x:t>
        </x:is>
      </x:c>
      <x:c r="AA242" s="5" t="inlineStr">
        <x:is>
          <x:t xml:space="preserve">없음</x:t>
        </x:is>
      </x:c>
      <x:c r="AB242" s="5" t="inlineStr">
        <x:is>
          <x:t xml:space="preserve"/>
        </x:is>
      </x:c>
      <x:c r="AC242" s="5" t="inlineStr">
        <x:is>
          <x:t xml:space="preserve">baby; gen2</x:t>
        </x:is>
      </x:c>
      <x:c r="AD242" s="5" t="inlineStr">
        <x:is>
          <x:t xml:space="preserve">.tmp/cobblemon-1.7.3-source/common/src/main/resources/data/cobblemon/species/generation2/smoochum.json</x:t>
        </x:is>
      </x:c>
    </x:row>
    <x:row r="243" ht="22" customHeight="1">
      <x:c r="A243" s="5" t="n">
        <x:v>239</x:v>
      </x:c>
      <x:c r="B243" s="5" t="inlineStr">
        <x:is>
          <x:t xml:space="preserve">에레키드</x:t>
        </x:is>
      </x:c>
      <x:c r="C243" s="5" t="inlineStr">
        <x:is>
          <x:t xml:space="preserve">elekid</x:t>
        </x:is>
      </x:c>
      <x:c r="D243" s="5" t="inlineStr">
        <x:is>
          <x:t xml:space="preserve">Elekid</x:t>
        </x:is>
      </x:c>
      <x:c r="E243" s="5" t="n">
        <x:v>2</x:v>
      </x:c>
      <x:c r="F243" s="5" t="inlineStr">
        <x:is>
          <x:t xml:space="preserve">전기</x:t>
        </x:is>
      </x:c>
      <x:c r="G243" s="5" t="inlineStr">
        <x:is>
          <x:t xml:space="preserve"/>
        </x:is>
      </x:c>
      <x:c r="H243" s="5" t="n">
        <x:v>0.6</x:v>
      </x:c>
      <x:c r="I243" s="5" t="n">
        <x:v>23.5</x:v>
      </x:c>
      <x:c r="J243" s="5" t="n">
        <x:v>360</x:v>
      </x:c>
      <x:c r="K243" s="5" t="n">
        <x:v>45</x:v>
      </x:c>
      <x:c r="L243" s="5" t="inlineStr">
        <x:is>
          <x:t xml:space="preserve">기본</x:t>
        </x:is>
      </x:c>
      <x:c r="M243" s="5" t="n">
        <x:v>30</x:v>
      </x:c>
      <x:c r="N243" s="5" t="inlineStr">
        <x:is>
          <x:t xml:space="preserve">레벨·특수</x:t>
        </x:is>
      </x:c>
      <x:c r="O243" s="5" t="inlineStr">
        <x:is>
          <x:t xml:space="preserve">예</x:t>
        </x:is>
      </x:c>
      <x:c r="P243" s="5" t="inlineStr">
        <x:is>
          <x:t xml:space="preserve">#cobblemon:is_hills; #cobblemon:is_plains</x:t>
        </x:is>
      </x:c>
      <x:c r="Q243" s="5" t="inlineStr">
        <x:is>
          <x:t xml:space="preserve">uncommon</x:t>
        </x:is>
      </x:c>
      <x:c r="R243" s="5" t="inlineStr">
        <x:is>
          <x:t xml:space="preserve"/>
        </x:is>
      </x:c>
      <x:c r="S243" s="5" t="inlineStr">
        <x:is>
          <x:t xml:space="preserve"/>
        </x:is>
      </x:c>
      <x:c r="T243" s="5" t="inlineStr">
        <x:is>
          <x:t xml:space="preserve">육상</x:t>
        </x:is>
      </x:c>
      <x:c r="U243" s="5" t="inlineStr">
        <x:is>
          <x:t xml:space="preserve">암석</x:t>
        </x:is>
      </x:c>
      <x:c r="V243" s="5" t="inlineStr">
        <x:is>
          <x:t xml:space="preserve">온대</x:t>
        </x:is>
      </x:c>
      <x:c r="W243" s="5" t="inlineStr">
        <x:is>
          <x:t xml:space="preserve">보통</x:t>
        </x:is>
      </x:c>
      <x:c r="X243" s="5" t="inlineStr">
        <x:is>
          <x:t xml:space="preserve">무관</x:t>
        </x:is>
      </x:c>
      <x:c r="Y243" s="5" t="inlineStr">
        <x:is>
          <x:t xml:space="preserve">무관</x:t>
        </x:is>
      </x:c>
      <x:c r="Z243" s="5" t="inlineStr">
        <x:is>
          <x:t xml:space="preserve">보통</x:t>
        </x:is>
      </x:c>
      <x:c r="AA243" s="5" t="inlineStr">
        <x:is>
          <x:t xml:space="preserve">없음</x:t>
        </x:is>
      </x:c>
      <x:c r="AB243" s="5" t="inlineStr">
        <x:is>
          <x:t xml:space="preserve">산악</x:t>
        </x:is>
      </x:c>
      <x:c r="AC243" s="5" t="inlineStr">
        <x:is>
          <x:t xml:space="preserve">baby; gen2</x:t>
        </x:is>
      </x:c>
      <x:c r="AD243" s="5" t="inlineStr">
        <x:is>
          <x:t xml:space="preserve">.tmp/cobblemon-1.7.3-source/common/src/main/resources/data/cobblemon/species/generation2/elekid.json</x:t>
        </x:is>
      </x:c>
    </x:row>
    <x:row r="244" ht="22" customHeight="1">
      <x:c r="A244" s="5" t="n">
        <x:v>240</x:v>
      </x:c>
      <x:c r="B244" s="5" t="inlineStr">
        <x:is>
          <x:t xml:space="preserve">마그비</x:t>
        </x:is>
      </x:c>
      <x:c r="C244" s="5" t="inlineStr">
        <x:is>
          <x:t xml:space="preserve">magby</x:t>
        </x:is>
      </x:c>
      <x:c r="D244" s="5" t="inlineStr">
        <x:is>
          <x:t xml:space="preserve">Magby</x:t>
        </x:is>
      </x:c>
      <x:c r="E244" s="5" t="n">
        <x:v>2</x:v>
      </x:c>
      <x:c r="F244" s="5" t="inlineStr">
        <x:is>
          <x:t xml:space="preserve">불꽃</x:t>
        </x:is>
      </x:c>
      <x:c r="G244" s="5" t="inlineStr">
        <x:is>
          <x:t xml:space="preserve"/>
        </x:is>
      </x:c>
      <x:c r="H244" s="5" t="n">
        <x:v>0.7</x:v>
      </x:c>
      <x:c r="I244" s="5" t="n">
        <x:v>21.4</x:v>
      </x:c>
      <x:c r="J244" s="5" t="n">
        <x:v>365</x:v>
      </x:c>
      <x:c r="K244" s="5" t="n">
        <x:v>45</x:v>
      </x:c>
      <x:c r="L244" s="5" t="inlineStr">
        <x:is>
          <x:t xml:space="preserve">기본</x:t>
        </x:is>
      </x:c>
      <x:c r="M244" s="5" t="n">
        <x:v>30</x:v>
      </x:c>
      <x:c r="N244" s="5" t="inlineStr">
        <x:is>
          <x:t xml:space="preserve">레벨·특수</x:t>
        </x:is>
      </x:c>
      <x:c r="O244" s="5" t="inlineStr">
        <x:is>
          <x:t xml:space="preserve">예</x:t>
        </x:is>
      </x:c>
      <x:c r="P244" s="5" t="inlineStr">
        <x:is>
          <x:t xml:space="preserve">#cobblemon:is_hills; #cobblemon:is_volcanic; #cobblemon:nether/is_basalt; #cobblemon:nether/is_wasteland</x:t>
        </x:is>
      </x:c>
      <x:c r="Q244" s="5" t="inlineStr">
        <x:is>
          <x:t xml:space="preserve">common</x:t>
        </x:is>
      </x:c>
      <x:c r="R244" s="5" t="inlineStr">
        <x:is>
          <x:t xml:space="preserve"/>
        </x:is>
      </x:c>
      <x:c r="S244" s="5" t="inlineStr">
        <x:is>
          <x:t xml:space="preserve">비=False</x:t>
        </x:is>
      </x:c>
      <x:c r="T244" s="5" t="inlineStr">
        <x:is>
          <x:t xml:space="preserve">육상</x:t>
        </x:is>
      </x:c>
      <x:c r="U244" s="5" t="inlineStr">
        <x:is>
          <x:t xml:space="preserve">화산</x:t>
        </x:is>
      </x:c>
      <x:c r="V244" s="5" t="inlineStr">
        <x:is>
          <x:t xml:space="preserve">고온</x:t>
        </x:is>
      </x:c>
      <x:c r="W244" s="5" t="inlineStr">
        <x:is>
          <x:t xml:space="preserve">건조</x:t>
        </x:is>
      </x:c>
      <x:c r="X244" s="5" t="inlineStr">
        <x:is>
          <x:t xml:space="preserve">맑음</x:t>
        </x:is>
      </x:c>
      <x:c r="Y244" s="5" t="inlineStr">
        <x:is>
          <x:t xml:space="preserve">무관</x:t>
        </x:is>
      </x:c>
      <x:c r="Z244" s="5" t="inlineStr">
        <x:is>
          <x:t xml:space="preserve">흔함</x:t>
        </x:is>
      </x:c>
      <x:c r="AA244" s="5" t="inlineStr">
        <x:is>
          <x:t xml:space="preserve">화산</x:t>
        </x:is>
      </x:c>
      <x:c r="AB244" s="5" t="inlineStr">
        <x:is>
          <x:t xml:space="preserve">화산</x:t>
        </x:is>
      </x:c>
      <x:c r="AC244" s="5" t="inlineStr">
        <x:is>
          <x:t xml:space="preserve">baby; gen2</x:t>
        </x:is>
      </x:c>
      <x:c r="AD244" s="5" t="inlineStr">
        <x:is>
          <x:t xml:space="preserve">.tmp/cobblemon-1.7.3-source/common/src/main/resources/data/cobblemon/species/generation2/magby.json</x:t>
        </x:is>
      </x:c>
    </x:row>
    <x:row r="245" ht="22" customHeight="1">
      <x:c r="A245" s="5" t="n">
        <x:v>241</x:v>
      </x:c>
      <x:c r="B245" s="5" t="inlineStr">
        <x:is>
          <x:t xml:space="preserve">밀탱크</x:t>
        </x:is>
      </x:c>
      <x:c r="C245" s="5" t="inlineStr">
        <x:is>
          <x:t xml:space="preserve">miltank</x:t>
        </x:is>
      </x:c>
      <x:c r="D245" s="5" t="inlineStr">
        <x:is>
          <x:t xml:space="preserve">Miltank</x:t>
        </x:is>
      </x:c>
      <x:c r="E245" s="5" t="n">
        <x:v>2</x:v>
      </x:c>
      <x:c r="F245" s="5" t="inlineStr">
        <x:is>
          <x:t xml:space="preserve">노말</x:t>
        </x:is>
      </x:c>
      <x:c r="G245" s="5" t="inlineStr">
        <x:is>
          <x:t xml:space="preserve"/>
        </x:is>
      </x:c>
      <x:c r="H245" s="5" t="n">
        <x:v>1.2</x:v>
      </x:c>
      <x:c r="I245" s="5" t="n">
        <x:v>75.5</x:v>
      </x:c>
      <x:c r="J245" s="5" t="n">
        <x:v>490</x:v>
      </x:c>
      <x:c r="K245" s="5" t="n">
        <x:v>45</x:v>
      </x:c>
      <x:c r="L245" s="5" t="inlineStr">
        <x:is>
          <x:t xml:space="preserve">무진화</x:t>
        </x:is>
      </x:c>
      <x:c r="M245" s="5" t="n"/>
      <x:c r="N245" s="5" t="inlineStr">
        <x:is>
          <x:t xml:space="preserve">없음</x:t>
        </x:is>
      </x:c>
      <x:c r="O245" s="5" t="inlineStr">
        <x:is>
          <x:t xml:space="preserve">예</x:t>
        </x:is>
      </x:c>
      <x:c r="P245" s="5" t="inlineStr">
        <x:is>
          <x:t xml:space="preserve">#cobblemon:is_grassland; minecraft:mushroom_fields</x:t>
        </x:is>
      </x:c>
      <x:c r="Q245" s="5" t="inlineStr">
        <x:is>
          <x:t xml:space="preserve">common</x:t>
        </x:is>
      </x:c>
      <x:c r="R245" s="5" t="inlineStr">
        <x:is>
          <x:t xml:space="preserve"/>
        </x:is>
      </x:c>
      <x:c r="S245" s="5" t="inlineStr">
        <x:is>
          <x:t xml:space="preserve"/>
        </x:is>
      </x:c>
      <x:c r="T245" s="5" t="inlineStr">
        <x:is>
          <x:t xml:space="preserve">육상</x:t>
        </x:is>
      </x:c>
      <x:c r="U245" s="5" t="inlineStr">
        <x:is>
          <x:t xml:space="preserve">개활지</x:t>
        </x:is>
      </x:c>
      <x:c r="V245" s="5" t="inlineStr">
        <x:is>
          <x:t xml:space="preserve">온대</x:t>
        </x:is>
      </x:c>
      <x:c r="W245" s="5" t="inlineStr">
        <x:is>
          <x:t xml:space="preserve">보통</x:t>
        </x:is>
      </x:c>
      <x:c r="X245" s="5" t="inlineStr">
        <x:is>
          <x:t xml:space="preserve">무관</x:t>
        </x:is>
      </x:c>
      <x:c r="Y245" s="5" t="inlineStr">
        <x:is>
          <x:t xml:space="preserve">무관</x:t>
        </x:is>
      </x:c>
      <x:c r="Z245" s="5" t="inlineStr">
        <x:is>
          <x:t xml:space="preserve">흔함</x:t>
        </x:is>
      </x:c>
      <x:c r="AA245" s="5" t="inlineStr">
        <x:is>
          <x:t xml:space="preserve">없음</x:t>
        </x:is>
      </x:c>
      <x:c r="AB245" s="5" t="inlineStr">
        <x:is>
          <x:t xml:space="preserve">평원</x:t>
        </x:is>
      </x:c>
      <x:c r="AC245" s="5" t="inlineStr">
        <x:is>
          <x:t xml:space="preserve">gen2</x:t>
        </x:is>
      </x:c>
      <x:c r="AD245" s="5" t="inlineStr">
        <x:is>
          <x:t xml:space="preserve">.tmp/cobblemon-1.7.3-source/common/src/main/resources/data/cobblemon/species/generation2/miltank.json</x:t>
        </x:is>
      </x:c>
    </x:row>
    <x:row r="246" ht="22" customHeight="1">
      <x:c r="A246" s="5" t="n">
        <x:v>242</x:v>
      </x:c>
      <x:c r="B246" s="5" t="inlineStr">
        <x:is>
          <x:t xml:space="preserve">해피너스</x:t>
        </x:is>
      </x:c>
      <x:c r="C246" s="5" t="inlineStr">
        <x:is>
          <x:t xml:space="preserve">blissey</x:t>
        </x:is>
      </x:c>
      <x:c r="D246" s="5" t="inlineStr">
        <x:is>
          <x:t xml:space="preserve">Blissey</x:t>
        </x:is>
      </x:c>
      <x:c r="E246" s="5" t="n">
        <x:v>2</x:v>
      </x:c>
      <x:c r="F246" s="5" t="inlineStr">
        <x:is>
          <x:t xml:space="preserve">노말</x:t>
        </x:is>
      </x:c>
      <x:c r="G246" s="5" t="inlineStr">
        <x:is>
          <x:t xml:space="preserve"/>
        </x:is>
      </x:c>
      <x:c r="H246" s="5" t="n">
        <x:v>1.5</x:v>
      </x:c>
      <x:c r="I246" s="5" t="n">
        <x:v>46.8</x:v>
      </x:c>
      <x:c r="J246" s="5" t="n">
        <x:v>540</x:v>
      </x:c>
      <x:c r="K246" s="5" t="n">
        <x:v>30</x:v>
      </x:c>
      <x:c r="L246" s="5" t="inlineStr">
        <x:is>
          <x:t xml:space="preserve">최종</x:t>
        </x:is>
      </x:c>
      <x:c r="M246" s="5" t="n"/>
      <x:c r="N246" s="5" t="inlineStr">
        <x:is>
          <x:t xml:space="preserve">특수</x:t>
        </x:is>
      </x:c>
      <x:c r="O246" s="5" t="inlineStr">
        <x:is>
          <x:t xml:space="preserve">예</x:t>
        </x:is>
      </x:c>
      <x:c r="P246" s="5" t="inlineStr">
        <x:is>
          <x:t xml:space="preserve">#aether:is_aether; #cobblemon:is_overworld</x:t>
        </x:is>
      </x:c>
      <x:c r="Q246" s="5" t="inlineStr">
        <x:is>
          <x:t xml:space="preserve">rare</x:t>
        </x:is>
      </x:c>
      <x:c r="R246" s="5" t="inlineStr">
        <x:is>
          <x:t xml:space="preserve"/>
        </x:is>
      </x:c>
      <x:c r="S246" s="5" t="inlineStr">
        <x:is>
          <x:t xml:space="preserve"/>
        </x:is>
      </x:c>
      <x:c r="T246" s="5" t="inlineStr">
        <x:is>
          <x:t xml:space="preserve">육상</x:t>
        </x:is>
      </x:c>
      <x:c r="U246" s="5" t="inlineStr">
        <x:is>
          <x:t xml:space="preserve">개활지</x:t>
        </x:is>
      </x:c>
      <x:c r="V246" s="5" t="inlineStr">
        <x:is>
          <x:t xml:space="preserve">온대</x:t>
        </x:is>
      </x:c>
      <x:c r="W246" s="5" t="inlineStr">
        <x:is>
          <x:t xml:space="preserve">보통</x:t>
        </x:is>
      </x:c>
      <x:c r="X246" s="5" t="inlineStr">
        <x:is>
          <x:t xml:space="preserve">무관</x:t>
        </x:is>
      </x:c>
      <x:c r="Y246" s="5" t="inlineStr">
        <x:is>
          <x:t xml:space="preserve">무관</x:t>
        </x:is>
      </x:c>
      <x:c r="Z246" s="5" t="inlineStr">
        <x:is>
          <x:t xml:space="preserve">드묾</x:t>
        </x:is>
      </x:c>
      <x:c r="AA246" s="5" t="inlineStr">
        <x:is>
          <x:t xml:space="preserve">없음</x:t>
        </x:is>
      </x:c>
      <x:c r="AB246" s="5" t="inlineStr">
        <x:is>
          <x:t xml:space="preserve"/>
        </x:is>
      </x:c>
      <x:c r="AC246" s="5" t="inlineStr">
        <x:is>
          <x:t xml:space="preserve">gen2</x:t>
        </x:is>
      </x:c>
      <x:c r="AD246" s="5" t="inlineStr">
        <x:is>
          <x:t xml:space="preserve">.tmp/cobblemon-1.7.3-source/common/src/main/resources/data/cobblemon/species/generation2/blissey.json</x:t>
        </x:is>
      </x:c>
    </x:row>
    <x:row r="247" ht="22" customHeight="1">
      <x:c r="A247" s="5" t="n">
        <x:v>243</x:v>
      </x:c>
      <x:c r="B247" s="5" t="inlineStr">
        <x:is>
          <x:t xml:space="preserve">라이코</x:t>
        </x:is>
      </x:c>
      <x:c r="C247" s="5" t="inlineStr">
        <x:is>
          <x:t xml:space="preserve">raikou</x:t>
        </x:is>
      </x:c>
      <x:c r="D247" s="5" t="inlineStr">
        <x:is>
          <x:t xml:space="preserve">Raikou</x:t>
        </x:is>
      </x:c>
      <x:c r="E247" s="5" t="n">
        <x:v>2</x:v>
      </x:c>
      <x:c r="F247" s="5" t="inlineStr">
        <x:is>
          <x:t xml:space="preserve">전기</x:t>
        </x:is>
      </x:c>
      <x:c r="G247" s="5" t="inlineStr">
        <x:is>
          <x:t xml:space="preserve"/>
        </x:is>
      </x:c>
      <x:c r="H247" s="5" t="n">
        <x:v>1.9</x:v>
      </x:c>
      <x:c r="I247" s="5" t="n">
        <x:v>178</x:v>
      </x:c>
      <x:c r="J247" s="5" t="n">
        <x:v>580</x:v>
      </x:c>
      <x:c r="K247" s="5" t="n">
        <x:v>3</x:v>
      </x:c>
      <x:c r="L247" s="5" t="inlineStr">
        <x:is>
          <x:t xml:space="preserve">무진화</x:t>
        </x:is>
      </x:c>
      <x:c r="M247" s="5" t="n"/>
      <x:c r="N247" s="5" t="inlineStr">
        <x:is>
          <x:t xml:space="preserve">없음</x:t>
        </x:is>
      </x:c>
      <x:c r="O247" s="5" t="inlineStr">
        <x:is>
          <x:t xml:space="preserve">아니오</x:t>
        </x:is>
      </x:c>
      <x:c r="P247" s="5" t="inlineStr">
        <x:is>
          <x:t xml:space="preserve"/>
        </x:is>
      </x:c>
      <x:c r="Q247" s="5" t="inlineStr">
        <x:is>
          <x:t xml:space="preserve">ultra-rare</x:t>
        </x:is>
      </x:c>
      <x:c r="R247" s="5" t="inlineStr">
        <x:is>
          <x:t xml:space="preserve"/>
        </x:is>
      </x:c>
      <x:c r="S247" s="5" t="inlineStr">
        <x:is>
          <x:t xml:space="preserve"/>
        </x:is>
      </x:c>
      <x:c r="T247" s="5" t="inlineStr">
        <x:is>
          <x:t xml:space="preserve">육상</x:t>
        </x:is>
      </x:c>
      <x:c r="U247" s="5" t="inlineStr">
        <x:is>
          <x:t xml:space="preserve">개활지</x:t>
        </x:is>
      </x:c>
      <x:c r="V247" s="5" t="inlineStr">
        <x:is>
          <x:t xml:space="preserve">온대</x:t>
        </x:is>
      </x:c>
      <x:c r="W247" s="5" t="inlineStr">
        <x:is>
          <x:t xml:space="preserve">보통</x:t>
        </x:is>
      </x:c>
      <x:c r="X247" s="5" t="inlineStr">
        <x:is>
          <x:t xml:space="preserve">무관</x:t>
        </x:is>
      </x:c>
      <x:c r="Y247" s="5" t="inlineStr">
        <x:is>
          <x:t xml:space="preserve">무관</x:t>
        </x:is>
      </x:c>
      <x:c r="Z247" s="5" t="inlineStr">
        <x:is>
          <x:t xml:space="preserve">전설</x:t>
        </x:is>
      </x:c>
      <x:c r="AA247" s="5" t="inlineStr">
        <x:is>
          <x:t xml:space="preserve">전설</x:t>
        </x:is>
      </x:c>
      <x:c r="AB247" s="5" t="inlineStr">
        <x:is>
          <x:t xml:space="preserve"/>
        </x:is>
      </x:c>
      <x:c r="AC247" s="5" t="inlineStr">
        <x:is>
          <x:t xml:space="preserve">gen2; legendary</x:t>
        </x:is>
      </x:c>
      <x:c r="AD247" s="5" t="inlineStr">
        <x:is>
          <x:t xml:space="preserve">.tmp/cobblemon-1.7.3-source/common/src/main/resources/data/cobblemon/species/generation2/raikou.json</x:t>
        </x:is>
      </x:c>
    </x:row>
    <x:row r="248" ht="22" customHeight="1">
      <x:c r="A248" s="5" t="n">
        <x:v>244</x:v>
      </x:c>
      <x:c r="B248" s="5" t="inlineStr">
        <x:is>
          <x:t xml:space="preserve">앤테이</x:t>
        </x:is>
      </x:c>
      <x:c r="C248" s="5" t="inlineStr">
        <x:is>
          <x:t xml:space="preserve">entei</x:t>
        </x:is>
      </x:c>
      <x:c r="D248" s="5" t="inlineStr">
        <x:is>
          <x:t xml:space="preserve">Entei</x:t>
        </x:is>
      </x:c>
      <x:c r="E248" s="5" t="n">
        <x:v>2</x:v>
      </x:c>
      <x:c r="F248" s="5" t="inlineStr">
        <x:is>
          <x:t xml:space="preserve">불꽃</x:t>
        </x:is>
      </x:c>
      <x:c r="G248" s="5" t="inlineStr">
        <x:is>
          <x:t xml:space="preserve"/>
        </x:is>
      </x:c>
      <x:c r="H248" s="5" t="n">
        <x:v>2.1</x:v>
      </x:c>
      <x:c r="I248" s="5" t="n">
        <x:v>198</x:v>
      </x:c>
      <x:c r="J248" s="5" t="n">
        <x:v>580</x:v>
      </x:c>
      <x:c r="K248" s="5" t="n">
        <x:v>3</x:v>
      </x:c>
      <x:c r="L248" s="5" t="inlineStr">
        <x:is>
          <x:t xml:space="preserve">무진화</x:t>
        </x:is>
      </x:c>
      <x:c r="M248" s="5" t="n"/>
      <x:c r="N248" s="5" t="inlineStr">
        <x:is>
          <x:t xml:space="preserve">없음</x:t>
        </x:is>
      </x:c>
      <x:c r="O248" s="5" t="inlineStr">
        <x:is>
          <x:t xml:space="preserve">아니오</x:t>
        </x:is>
      </x:c>
      <x:c r="P248" s="5" t="inlineStr">
        <x:is>
          <x:t xml:space="preserve"/>
        </x:is>
      </x:c>
      <x:c r="Q248" s="5" t="inlineStr">
        <x:is>
          <x:t xml:space="preserve">ultra-rare</x:t>
        </x:is>
      </x:c>
      <x:c r="R248" s="5" t="inlineStr">
        <x:is>
          <x:t xml:space="preserve"/>
        </x:is>
      </x:c>
      <x:c r="S248" s="5" t="inlineStr">
        <x:is>
          <x:t xml:space="preserve"/>
        </x:is>
      </x:c>
      <x:c r="T248" s="5" t="inlineStr">
        <x:is>
          <x:t xml:space="preserve">육상</x:t>
        </x:is>
      </x:c>
      <x:c r="U248" s="5" t="inlineStr">
        <x:is>
          <x:t xml:space="preserve">개활지</x:t>
        </x:is>
      </x:c>
      <x:c r="V248" s="5" t="inlineStr">
        <x:is>
          <x:t xml:space="preserve">고온</x:t>
        </x:is>
      </x:c>
      <x:c r="W248" s="5" t="inlineStr">
        <x:is>
          <x:t xml:space="preserve">보통</x:t>
        </x:is>
      </x:c>
      <x:c r="X248" s="5" t="inlineStr">
        <x:is>
          <x:t xml:space="preserve">무관</x:t>
        </x:is>
      </x:c>
      <x:c r="Y248" s="5" t="inlineStr">
        <x:is>
          <x:t xml:space="preserve">무관</x:t>
        </x:is>
      </x:c>
      <x:c r="Z248" s="5" t="inlineStr">
        <x:is>
          <x:t xml:space="preserve">전설</x:t>
        </x:is>
      </x:c>
      <x:c r="AA248" s="5" t="inlineStr">
        <x:is>
          <x:t xml:space="preserve">전설</x:t>
        </x:is>
      </x:c>
      <x:c r="AB248" s="5" t="inlineStr">
        <x:is>
          <x:t xml:space="preserve"/>
        </x:is>
      </x:c>
      <x:c r="AC248" s="5" t="inlineStr">
        <x:is>
          <x:t xml:space="preserve">gen2; legendary</x:t>
        </x:is>
      </x:c>
      <x:c r="AD248" s="5" t="inlineStr">
        <x:is>
          <x:t xml:space="preserve">.tmp/cobblemon-1.7.3-source/common/src/main/resources/data/cobblemon/species/generation2/entei.json</x:t>
        </x:is>
      </x:c>
    </x:row>
    <x:row r="249" ht="22" customHeight="1">
      <x:c r="A249" s="5" t="n">
        <x:v>245</x:v>
      </x:c>
      <x:c r="B249" s="5" t="inlineStr">
        <x:is>
          <x:t xml:space="preserve">스이쿤</x:t>
        </x:is>
      </x:c>
      <x:c r="C249" s="5" t="inlineStr">
        <x:is>
          <x:t xml:space="preserve">suicune</x:t>
        </x:is>
      </x:c>
      <x:c r="D249" s="5" t="inlineStr">
        <x:is>
          <x:t xml:space="preserve">Suicune</x:t>
        </x:is>
      </x:c>
      <x:c r="E249" s="5" t="n">
        <x:v>2</x:v>
      </x:c>
      <x:c r="F249" s="5" t="inlineStr">
        <x:is>
          <x:t xml:space="preserve">물</x:t>
        </x:is>
      </x:c>
      <x:c r="G249" s="5" t="inlineStr">
        <x:is>
          <x:t xml:space="preserve"/>
        </x:is>
      </x:c>
      <x:c r="H249" s="5" t="n">
        <x:v>2</x:v>
      </x:c>
      <x:c r="I249" s="5" t="n">
        <x:v>187</x:v>
      </x:c>
      <x:c r="J249" s="5" t="n">
        <x:v>580</x:v>
      </x:c>
      <x:c r="K249" s="5" t="n">
        <x:v>3</x:v>
      </x:c>
      <x:c r="L249" s="5" t="inlineStr">
        <x:is>
          <x:t xml:space="preserve">무진화</x:t>
        </x:is>
      </x:c>
      <x:c r="M249" s="5" t="n"/>
      <x:c r="N249" s="5" t="inlineStr">
        <x:is>
          <x:t xml:space="preserve">없음</x:t>
        </x:is>
      </x:c>
      <x:c r="O249" s="5" t="inlineStr">
        <x:is>
          <x:t xml:space="preserve">아니오</x:t>
        </x:is>
      </x:c>
      <x:c r="P249" s="5" t="inlineStr">
        <x:is>
          <x:t xml:space="preserve"/>
        </x:is>
      </x:c>
      <x:c r="Q249" s="5" t="inlineStr">
        <x:is>
          <x:t xml:space="preserve">ultra-rare</x:t>
        </x:is>
      </x:c>
      <x:c r="R249" s="5" t="inlineStr">
        <x:is>
          <x:t xml:space="preserve"/>
        </x:is>
      </x:c>
      <x:c r="S249" s="5" t="inlineStr">
        <x:is>
          <x:t xml:space="preserve"/>
        </x:is>
      </x:c>
      <x:c r="T249" s="5" t="inlineStr">
        <x:is>
          <x:t xml:space="preserve">수륙</x:t>
        </x:is>
      </x:c>
      <x:c r="U249" s="5" t="inlineStr">
        <x:is>
          <x:t xml:space="preserve">담수</x:t>
        </x:is>
      </x:c>
      <x:c r="V249" s="5" t="inlineStr">
        <x:is>
          <x:t xml:space="preserve">온대</x:t>
        </x:is>
      </x:c>
      <x:c r="W249" s="5" t="inlineStr">
        <x:is>
          <x:t xml:space="preserve">보통</x:t>
        </x:is>
      </x:c>
      <x:c r="X249" s="5" t="inlineStr">
        <x:is>
          <x:t xml:space="preserve">무관</x:t>
        </x:is>
      </x:c>
      <x:c r="Y249" s="5" t="inlineStr">
        <x:is>
          <x:t xml:space="preserve">무관</x:t>
        </x:is>
      </x:c>
      <x:c r="Z249" s="5" t="inlineStr">
        <x:is>
          <x:t xml:space="preserve">전설</x:t>
        </x:is>
      </x:c>
      <x:c r="AA249" s="5" t="inlineStr">
        <x:is>
          <x:t xml:space="preserve">전설</x:t>
        </x:is>
      </x:c>
      <x:c r="AB249" s="5" t="inlineStr">
        <x:is>
          <x:t xml:space="preserve"/>
        </x:is>
      </x:c>
      <x:c r="AC249" s="5" t="inlineStr">
        <x:is>
          <x:t xml:space="preserve">gen2; legendary</x:t>
        </x:is>
      </x:c>
      <x:c r="AD249" s="5" t="inlineStr">
        <x:is>
          <x:t xml:space="preserve">.tmp/cobblemon-1.7.3-source/common/src/main/resources/data/cobblemon/species/generation2/suicune.json</x:t>
        </x:is>
      </x:c>
    </x:row>
    <x:row r="250" ht="22" customHeight="1">
      <x:c r="A250" s="5" t="n">
        <x:v>246</x:v>
      </x:c>
      <x:c r="B250" s="5" t="inlineStr">
        <x:is>
          <x:t xml:space="preserve">애버라스</x:t>
        </x:is>
      </x:c>
      <x:c r="C250" s="5" t="inlineStr">
        <x:is>
          <x:t xml:space="preserve">larvitar</x:t>
        </x:is>
      </x:c>
      <x:c r="D250" s="5" t="inlineStr">
        <x:is>
          <x:t xml:space="preserve">Larvitar</x:t>
        </x:is>
      </x:c>
      <x:c r="E250" s="5" t="n">
        <x:v>2</x:v>
      </x:c>
      <x:c r="F250" s="5" t="inlineStr">
        <x:is>
          <x:t xml:space="preserve">바위</x:t>
        </x:is>
      </x:c>
      <x:c r="G250" s="5" t="inlineStr">
        <x:is>
          <x:t xml:space="preserve">땅</x:t>
        </x:is>
      </x:c>
      <x:c r="H250" s="5" t="n">
        <x:v>0.6</x:v>
      </x:c>
      <x:c r="I250" s="5" t="n">
        <x:v>72</x:v>
      </x:c>
      <x:c r="J250" s="5" t="n">
        <x:v>300</x:v>
      </x:c>
      <x:c r="K250" s="5" t="n">
        <x:v>45</x:v>
      </x:c>
      <x:c r="L250" s="5" t="inlineStr">
        <x:is>
          <x:t xml:space="preserve">기본</x:t>
        </x:is>
      </x:c>
      <x:c r="M250" s="5" t="n">
        <x:v>55</x:v>
      </x:c>
      <x:c r="N250" s="5" t="inlineStr">
        <x:is>
          <x:t xml:space="preserve">레벨</x:t>
        </x:is>
      </x:c>
      <x:c r="O250" s="5" t="inlineStr">
        <x:is>
          <x:t xml:space="preserve">예</x:t>
        </x:is>
      </x:c>
      <x:c r="P250" s="5" t="inlineStr">
        <x:is>
          <x:t xml:space="preserve">#cobblemon:is_mountain</x:t>
        </x:is>
      </x:c>
      <x:c r="Q250" s="5" t="inlineStr">
        <x:is>
          <x:t xml:space="preserve">rare; ultra-rare</x:t>
        </x:is>
      </x:c>
      <x:c r="R250" s="5" t="inlineStr">
        <x:is>
          <x:t xml:space="preserve"/>
        </x:is>
      </x:c>
      <x:c r="S250" s="5" t="inlineStr">
        <x:is>
          <x:t xml:space="preserve"/>
        </x:is>
      </x:c>
      <x:c r="T250" s="5" t="inlineStr">
        <x:is>
          <x:t xml:space="preserve">육상</x:t>
        </x:is>
      </x:c>
      <x:c r="U250" s="5" t="inlineStr">
        <x:is>
          <x:t xml:space="preserve">암석</x:t>
        </x:is>
      </x:c>
      <x:c r="V250" s="5" t="inlineStr">
        <x:is>
          <x:t xml:space="preserve">온대</x:t>
        </x:is>
      </x:c>
      <x:c r="W250" s="5" t="inlineStr">
        <x:is>
          <x:t xml:space="preserve">보통</x:t>
        </x:is>
      </x:c>
      <x:c r="X250" s="5" t="inlineStr">
        <x:is>
          <x:t xml:space="preserve">무관</x:t>
        </x:is>
      </x:c>
      <x:c r="Y250" s="5" t="inlineStr">
        <x:is>
          <x:t xml:space="preserve">무관</x:t>
        </x:is>
      </x:c>
      <x:c r="Z250" s="5" t="inlineStr">
        <x:is>
          <x:t xml:space="preserve">희귀</x:t>
        </x:is>
      </x:c>
      <x:c r="AA250" s="5" t="inlineStr">
        <x:is>
          <x:t xml:space="preserve">없음</x:t>
        </x:is>
      </x:c>
      <x:c r="AB250" s="5" t="inlineStr">
        <x:is>
          <x:t xml:space="preserve">산악</x:t>
        </x:is>
      </x:c>
      <x:c r="AC250" s="5" t="inlineStr">
        <x:is>
          <x:t xml:space="preserve">gen2</x:t>
        </x:is>
      </x:c>
      <x:c r="AD250" s="5" t="inlineStr">
        <x:is>
          <x:t xml:space="preserve">.tmp/cobblemon-1.7.3-source/common/src/main/resources/data/cobblemon/species/generation2/larvitar.json</x:t>
        </x:is>
      </x:c>
    </x:row>
    <x:row r="251" ht="22" customHeight="1">
      <x:c r="A251" s="5" t="n">
        <x:v>247</x:v>
      </x:c>
      <x:c r="B251" s="5" t="inlineStr">
        <x:is>
          <x:t xml:space="preserve">데기라스</x:t>
        </x:is>
      </x:c>
      <x:c r="C251" s="5" t="inlineStr">
        <x:is>
          <x:t xml:space="preserve">pupitar</x:t>
        </x:is>
      </x:c>
      <x:c r="D251" s="5" t="inlineStr">
        <x:is>
          <x:t xml:space="preserve">Pupitar</x:t>
        </x:is>
      </x:c>
      <x:c r="E251" s="5" t="n">
        <x:v>2</x:v>
      </x:c>
      <x:c r="F251" s="5" t="inlineStr">
        <x:is>
          <x:t xml:space="preserve">바위</x:t>
        </x:is>
      </x:c>
      <x:c r="G251" s="5" t="inlineStr">
        <x:is>
          <x:t xml:space="preserve">땅</x:t>
        </x:is>
      </x:c>
      <x:c r="H251" s="5" t="n">
        <x:v>1.2</x:v>
      </x:c>
      <x:c r="I251" s="5" t="n">
        <x:v>152</x:v>
      </x:c>
      <x:c r="J251" s="5" t="n">
        <x:v>410</x:v>
      </x:c>
      <x:c r="K251" s="5" t="n">
        <x:v>45</x:v>
      </x:c>
      <x:c r="L251" s="5" t="inlineStr">
        <x:is>
          <x:t xml:space="preserve">중간</x:t>
        </x:is>
      </x:c>
      <x:c r="M251" s="5" t="n">
        <x:v>55</x:v>
      </x:c>
      <x:c r="N251" s="5" t="inlineStr">
        <x:is>
          <x:t xml:space="preserve">레벨</x:t>
        </x:is>
      </x:c>
      <x:c r="O251" s="5" t="inlineStr">
        <x:is>
          <x:t xml:space="preserve">예</x:t>
        </x:is>
      </x:c>
      <x:c r="P251" s="5" t="inlineStr">
        <x:is>
          <x:t xml:space="preserve">#cobblemon:is_mountain</x:t>
        </x:is>
      </x:c>
      <x:c r="Q251" s="5" t="inlineStr">
        <x:is>
          <x:t xml:space="preserve">rare; ultra-rare</x:t>
        </x:is>
      </x:c>
      <x:c r="R251" s="5" t="inlineStr">
        <x:is>
          <x:t xml:space="preserve"/>
        </x:is>
      </x:c>
      <x:c r="S251" s="5" t="inlineStr">
        <x:is>
          <x:t xml:space="preserve"/>
        </x:is>
      </x:c>
      <x:c r="T251" s="5" t="inlineStr">
        <x:is>
          <x:t xml:space="preserve">육상</x:t>
        </x:is>
      </x:c>
      <x:c r="U251" s="5" t="inlineStr">
        <x:is>
          <x:t xml:space="preserve">암석</x:t>
        </x:is>
      </x:c>
      <x:c r="V251" s="5" t="inlineStr">
        <x:is>
          <x:t xml:space="preserve">온대</x:t>
        </x:is>
      </x:c>
      <x:c r="W251" s="5" t="inlineStr">
        <x:is>
          <x:t xml:space="preserve">보통</x:t>
        </x:is>
      </x:c>
      <x:c r="X251" s="5" t="inlineStr">
        <x:is>
          <x:t xml:space="preserve">무관</x:t>
        </x:is>
      </x:c>
      <x:c r="Y251" s="5" t="inlineStr">
        <x:is>
          <x:t xml:space="preserve">무관</x:t>
        </x:is>
      </x:c>
      <x:c r="Z251" s="5" t="inlineStr">
        <x:is>
          <x:t xml:space="preserve">희귀</x:t>
        </x:is>
      </x:c>
      <x:c r="AA251" s="5" t="inlineStr">
        <x:is>
          <x:t xml:space="preserve">없음</x:t>
        </x:is>
      </x:c>
      <x:c r="AB251" s="5" t="inlineStr">
        <x:is>
          <x:t xml:space="preserve">산악</x:t>
        </x:is>
      </x:c>
      <x:c r="AC251" s="5" t="inlineStr">
        <x:is>
          <x:t xml:space="preserve">gen2</x:t>
        </x:is>
      </x:c>
      <x:c r="AD251" s="5" t="inlineStr">
        <x:is>
          <x:t xml:space="preserve">.tmp/cobblemon-1.7.3-source/common/src/main/resources/data/cobblemon/species/generation2/pupitar.json</x:t>
        </x:is>
      </x:c>
    </x:row>
    <x:row r="252" ht="22" customHeight="1">
      <x:c r="A252" s="5" t="n">
        <x:v>248</x:v>
      </x:c>
      <x:c r="B252" s="5" t="inlineStr">
        <x:is>
          <x:t xml:space="preserve">마기라스</x:t>
        </x:is>
      </x:c>
      <x:c r="C252" s="5" t="inlineStr">
        <x:is>
          <x:t xml:space="preserve">tyranitar</x:t>
        </x:is>
      </x:c>
      <x:c r="D252" s="5" t="inlineStr">
        <x:is>
          <x:t xml:space="preserve">Tyranitar</x:t>
        </x:is>
      </x:c>
      <x:c r="E252" s="5" t="n">
        <x:v>2</x:v>
      </x:c>
      <x:c r="F252" s="5" t="inlineStr">
        <x:is>
          <x:t xml:space="preserve">바위</x:t>
        </x:is>
      </x:c>
      <x:c r="G252" s="5" t="inlineStr">
        <x:is>
          <x:t xml:space="preserve">악</x:t>
        </x:is>
      </x:c>
      <x:c r="H252" s="5" t="n">
        <x:v>2</x:v>
      </x:c>
      <x:c r="I252" s="5" t="n">
        <x:v>202</x:v>
      </x:c>
      <x:c r="J252" s="5" t="n">
        <x:v>600</x:v>
      </x:c>
      <x:c r="K252" s="5" t="n">
        <x:v>45</x:v>
      </x:c>
      <x:c r="L252" s="5" t="inlineStr">
        <x:is>
          <x:t xml:space="preserve">최종</x:t>
        </x:is>
      </x:c>
      <x:c r="M252" s="5" t="n">
        <x:v>55</x:v>
      </x:c>
      <x:c r="N252" s="5" t="inlineStr">
        <x:is>
          <x:t xml:space="preserve">레벨</x:t>
        </x:is>
      </x:c>
      <x:c r="O252" s="5" t="inlineStr">
        <x:is>
          <x:t xml:space="preserve">예</x:t>
        </x:is>
      </x:c>
      <x:c r="P252" s="5" t="inlineStr">
        <x:is>
          <x:t xml:space="preserve">#cobblemon:is_mountain</x:t>
        </x:is>
      </x:c>
      <x:c r="Q252" s="5" t="inlineStr">
        <x:is>
          <x:t xml:space="preserve">rare; ultra-rare</x:t>
        </x:is>
      </x:c>
      <x:c r="R252" s="5" t="inlineStr">
        <x:is>
          <x:t xml:space="preserve"/>
        </x:is>
      </x:c>
      <x:c r="S252" s="5" t="inlineStr">
        <x:is>
          <x:t xml:space="preserve"/>
        </x:is>
      </x:c>
      <x:c r="T252" s="5" t="inlineStr">
        <x:is>
          <x:t xml:space="preserve">육상</x:t>
        </x:is>
      </x:c>
      <x:c r="U252" s="5" t="inlineStr">
        <x:is>
          <x:t xml:space="preserve">암석</x:t>
        </x:is>
      </x:c>
      <x:c r="V252" s="5" t="inlineStr">
        <x:is>
          <x:t xml:space="preserve">온대</x:t>
        </x:is>
      </x:c>
      <x:c r="W252" s="5" t="inlineStr">
        <x:is>
          <x:t xml:space="preserve">보통</x:t>
        </x:is>
      </x:c>
      <x:c r="X252" s="5" t="inlineStr">
        <x:is>
          <x:t xml:space="preserve">무관</x:t>
        </x:is>
      </x:c>
      <x:c r="Y252" s="5" t="inlineStr">
        <x:is>
          <x:t xml:space="preserve">밤</x:t>
        </x:is>
      </x:c>
      <x:c r="Z252" s="5" t="inlineStr">
        <x:is>
          <x:t xml:space="preserve">희귀</x:t>
        </x:is>
      </x:c>
      <x:c r="AA252" s="5" t="inlineStr">
        <x:is>
          <x:t xml:space="preserve">없음</x:t>
        </x:is>
      </x:c>
      <x:c r="AB252" s="5" t="inlineStr">
        <x:is>
          <x:t xml:space="preserve">산악</x:t>
        </x:is>
      </x:c>
      <x:c r="AC252" s="5" t="inlineStr">
        <x:is>
          <x:t xml:space="preserve">gen2; powerhouse</x:t>
        </x:is>
      </x:c>
      <x:c r="AD252" s="5" t="inlineStr">
        <x:is>
          <x:t xml:space="preserve">.tmp/cobblemon-1.7.3-source/common/src/main/resources/data/cobblemon/species/generation2/tyranitar.json</x:t>
        </x:is>
      </x:c>
    </x:row>
    <x:row r="253" ht="22" customHeight="1">
      <x:c r="A253" s="5" t="n">
        <x:v>249</x:v>
      </x:c>
      <x:c r="B253" s="5" t="inlineStr">
        <x:is>
          <x:t xml:space="preserve">루기아</x:t>
        </x:is>
      </x:c>
      <x:c r="C253" s="5" t="inlineStr">
        <x:is>
          <x:t xml:space="preserve">lugia</x:t>
        </x:is>
      </x:c>
      <x:c r="D253" s="5" t="inlineStr">
        <x:is>
          <x:t xml:space="preserve">Lugia</x:t>
        </x:is>
      </x:c>
      <x:c r="E253" s="5" t="n">
        <x:v>2</x:v>
      </x:c>
      <x:c r="F253" s="5" t="inlineStr">
        <x:is>
          <x:t xml:space="preserve">에스퍼</x:t>
        </x:is>
      </x:c>
      <x:c r="G253" s="5" t="inlineStr">
        <x:is>
          <x:t xml:space="preserve">비행</x:t>
        </x:is>
      </x:c>
      <x:c r="H253" s="5" t="n">
        <x:v>5.2</x:v>
      </x:c>
      <x:c r="I253" s="5" t="n">
        <x:v>216</x:v>
      </x:c>
      <x:c r="J253" s="5" t="n">
        <x:v>680</x:v>
      </x:c>
      <x:c r="K253" s="5" t="n">
        <x:v>3</x:v>
      </x:c>
      <x:c r="L253" s="5" t="inlineStr">
        <x:is>
          <x:t xml:space="preserve">무진화</x:t>
        </x:is>
      </x:c>
      <x:c r="M253" s="5" t="n"/>
      <x:c r="N253" s="5" t="inlineStr">
        <x:is>
          <x:t xml:space="preserve">없음</x:t>
        </x:is>
      </x:c>
      <x:c r="O253" s="5" t="inlineStr">
        <x:is>
          <x:t xml:space="preserve">예</x:t>
        </x:is>
      </x:c>
      <x:c r="P253" s="5" t="inlineStr">
        <x:is>
          <x:t xml:space="preserve">cobbleverse:custom_spawn/whirl_island</x:t>
        </x:is>
      </x:c>
      <x:c r="Q253" s="5" t="inlineStr">
        <x:is>
          <x:t xml:space="preserve">ultra-rare</x:t>
        </x:is>
      </x:c>
      <x:c r="R253" s="5" t="inlineStr">
        <x:is>
          <x:t xml:space="preserve"/>
        </x:is>
      </x:c>
      <x:c r="S253" s="5" t="inlineStr">
        <x:is>
          <x:t xml:space="preserve"/>
        </x:is>
      </x:c>
      <x:c r="T253" s="5" t="inlineStr">
        <x:is>
          <x:t xml:space="preserve">비행</x:t>
        </x:is>
      </x:c>
      <x:c r="U253" s="5" t="inlineStr">
        <x:is>
          <x:t xml:space="preserve">개활지</x:t>
        </x:is>
      </x:c>
      <x:c r="V253" s="5" t="inlineStr">
        <x:is>
          <x:t xml:space="preserve">온대</x:t>
        </x:is>
      </x:c>
      <x:c r="W253" s="5" t="inlineStr">
        <x:is>
          <x:t xml:space="preserve">보통</x:t>
        </x:is>
      </x:c>
      <x:c r="X253" s="5" t="inlineStr">
        <x:is>
          <x:t xml:space="preserve">무관</x:t>
        </x:is>
      </x:c>
      <x:c r="Y253" s="5" t="inlineStr">
        <x:is>
          <x:t xml:space="preserve">무관</x:t>
        </x:is>
      </x:c>
      <x:c r="Z253" s="5" t="inlineStr">
        <x:is>
          <x:t xml:space="preserve">전설</x:t>
        </x:is>
      </x:c>
      <x:c r="AA253" s="5" t="inlineStr">
        <x:is>
          <x:t xml:space="preserve">전설</x:t>
        </x:is>
      </x:c>
      <x:c r="AB253" s="5" t="inlineStr">
        <x:is>
          <x:t xml:space="preserve"/>
        </x:is>
      </x:c>
      <x:c r="AC253" s="5" t="inlineStr">
        <x:is>
          <x:t xml:space="preserve">gen2; legendary; restricted</x:t>
        </x:is>
      </x:c>
      <x:c r="AD253" s="5" t="inlineStr">
        <x:is>
          <x:t xml:space="preserve">.tmp/cobblemon-1.7.3-source/common/src/main/resources/data/cobblemon/species/generation2/lugia.json</x:t>
        </x:is>
      </x:c>
    </x:row>
    <x:row r="254" ht="22" customHeight="1">
      <x:c r="A254" s="5" t="n">
        <x:v>250</x:v>
      </x:c>
      <x:c r="B254" s="5" t="inlineStr">
        <x:is>
          <x:t xml:space="preserve">칠색조</x:t>
        </x:is>
      </x:c>
      <x:c r="C254" s="5" t="inlineStr">
        <x:is>
          <x:t xml:space="preserve">hooh</x:t>
        </x:is>
      </x:c>
      <x:c r="D254" s="5" t="inlineStr">
        <x:is>
          <x:t xml:space="preserve">Ho-Oh</x:t>
        </x:is>
      </x:c>
      <x:c r="E254" s="5" t="n">
        <x:v>2</x:v>
      </x:c>
      <x:c r="F254" s="5" t="inlineStr">
        <x:is>
          <x:t xml:space="preserve">불꽃</x:t>
        </x:is>
      </x:c>
      <x:c r="G254" s="5" t="inlineStr">
        <x:is>
          <x:t xml:space="preserve">비행</x:t>
        </x:is>
      </x:c>
      <x:c r="H254" s="5" t="n">
        <x:v>3.8</x:v>
      </x:c>
      <x:c r="I254" s="5" t="n">
        <x:v>199</x:v>
      </x:c>
      <x:c r="J254" s="5" t="n">
        <x:v>680</x:v>
      </x:c>
      <x:c r="K254" s="5" t="n">
        <x:v>3</x:v>
      </x:c>
      <x:c r="L254" s="5" t="inlineStr">
        <x:is>
          <x:t xml:space="preserve">무진화</x:t>
        </x:is>
      </x:c>
      <x:c r="M254" s="5" t="n"/>
      <x:c r="N254" s="5" t="inlineStr">
        <x:is>
          <x:t xml:space="preserve">없음</x:t>
        </x:is>
      </x:c>
      <x:c r="O254" s="5" t="inlineStr">
        <x:is>
          <x:t xml:space="preserve">예</x:t>
        </x:is>
      </x:c>
      <x:c r="P254" s="5" t="inlineStr">
        <x:is>
          <x:t xml:space="preserve">cobbleverse:custom_spawn/bell_tower</x:t>
        </x:is>
      </x:c>
      <x:c r="Q254" s="5" t="inlineStr">
        <x:is>
          <x:t xml:space="preserve">ultra-rare</x:t>
        </x:is>
      </x:c>
      <x:c r="R254" s="5" t="inlineStr">
        <x:is>
          <x:t xml:space="preserve"/>
        </x:is>
      </x:c>
      <x:c r="S254" s="5" t="inlineStr">
        <x:is>
          <x:t xml:space="preserve"/>
        </x:is>
      </x:c>
      <x:c r="T254" s="5" t="inlineStr">
        <x:is>
          <x:t xml:space="preserve">비행</x:t>
        </x:is>
      </x:c>
      <x:c r="U254" s="5" t="inlineStr">
        <x:is>
          <x:t xml:space="preserve">개활지</x:t>
        </x:is>
      </x:c>
      <x:c r="V254" s="5" t="inlineStr">
        <x:is>
          <x:t xml:space="preserve">고온</x:t>
        </x:is>
      </x:c>
      <x:c r="W254" s="5" t="inlineStr">
        <x:is>
          <x:t xml:space="preserve">보통</x:t>
        </x:is>
      </x:c>
      <x:c r="X254" s="5" t="inlineStr">
        <x:is>
          <x:t xml:space="preserve">무관</x:t>
        </x:is>
      </x:c>
      <x:c r="Y254" s="5" t="inlineStr">
        <x:is>
          <x:t xml:space="preserve">무관</x:t>
        </x:is>
      </x:c>
      <x:c r="Z254" s="5" t="inlineStr">
        <x:is>
          <x:t xml:space="preserve">전설</x:t>
        </x:is>
      </x:c>
      <x:c r="AA254" s="5" t="inlineStr">
        <x:is>
          <x:t xml:space="preserve">전설</x:t>
        </x:is>
      </x:c>
      <x:c r="AB254" s="5" t="inlineStr">
        <x:is>
          <x:t xml:space="preserve"/>
        </x:is>
      </x:c>
      <x:c r="AC254" s="5" t="inlineStr">
        <x:is>
          <x:t xml:space="preserve">gen2; legendary; restricted</x:t>
        </x:is>
      </x:c>
      <x:c r="AD254" s="5" t="inlineStr">
        <x:is>
          <x:t xml:space="preserve">.tmp/cobblemon-1.7.3-source/common/src/main/resources/data/cobblemon/species/generation2/hooh.json</x:t>
        </x:is>
      </x:c>
    </x:row>
    <x:row r="255" ht="22" customHeight="1">
      <x:c r="A255" s="5" t="n">
        <x:v>251</x:v>
      </x:c>
      <x:c r="B255" s="5" t="inlineStr">
        <x:is>
          <x:t xml:space="preserve">세레비</x:t>
        </x:is>
      </x:c>
      <x:c r="C255" s="5" t="inlineStr">
        <x:is>
          <x:t xml:space="preserve">celebi</x:t>
        </x:is>
      </x:c>
      <x:c r="D255" s="5" t="inlineStr">
        <x:is>
          <x:t xml:space="preserve">Celebi</x:t>
        </x:is>
      </x:c>
      <x:c r="E255" s="5" t="n">
        <x:v>2</x:v>
      </x:c>
      <x:c r="F255" s="5" t="inlineStr">
        <x:is>
          <x:t xml:space="preserve">에스퍼</x:t>
        </x:is>
      </x:c>
      <x:c r="G255" s="5" t="inlineStr">
        <x:is>
          <x:t xml:space="preserve">풀</x:t>
        </x:is>
      </x:c>
      <x:c r="H255" s="5" t="n">
        <x:v>0.6</x:v>
      </x:c>
      <x:c r="I255" s="5" t="n">
        <x:v>5</x:v>
      </x:c>
      <x:c r="J255" s="5" t="n">
        <x:v>600</x:v>
      </x:c>
      <x:c r="K255" s="5" t="n">
        <x:v>45</x:v>
      </x:c>
      <x:c r="L255" s="5" t="inlineStr">
        <x:is>
          <x:t xml:space="preserve">무진화</x:t>
        </x:is>
      </x:c>
      <x:c r="M255" s="5" t="n"/>
      <x:c r="N255" s="5" t="inlineStr">
        <x:is>
          <x:t xml:space="preserve">없음</x:t>
        </x:is>
      </x:c>
      <x:c r="O255" s="5" t="inlineStr">
        <x:is>
          <x:t xml:space="preserve">아니오</x:t>
        </x:is>
      </x:c>
      <x:c r="P255" s="5" t="inlineStr">
        <x:is>
          <x:t xml:space="preserve">cobbleverse:custom_spawn/ilex_shrine</x:t>
        </x:is>
      </x:c>
      <x:c r="Q255" s="5" t="inlineStr">
        <x:is>
          <x:t xml:space="preserve">ultra-rare</x:t>
        </x:is>
      </x:c>
      <x:c r="R255" s="5" t="inlineStr">
        <x:is>
          <x:t xml:space="preserve"/>
        </x:is>
      </x:c>
      <x:c r="S255" s="5" t="inlineStr">
        <x:is>
          <x:t xml:space="preserve"/>
        </x:is>
      </x:c>
      <x:c r="T255" s="5" t="inlineStr">
        <x:is>
          <x:t xml:space="preserve">비행</x:t>
        </x:is>
      </x:c>
      <x:c r="U255" s="5" t="inlineStr">
        <x:is>
          <x:t xml:space="preserve">수목</x:t>
        </x:is>
      </x:c>
      <x:c r="V255" s="5" t="inlineStr">
        <x:is>
          <x:t xml:space="preserve">온대</x:t>
        </x:is>
      </x:c>
      <x:c r="W255" s="5" t="inlineStr">
        <x:is>
          <x:t xml:space="preserve">보통</x:t>
        </x:is>
      </x:c>
      <x:c r="X255" s="5" t="inlineStr">
        <x:is>
          <x:t xml:space="preserve">무관</x:t>
        </x:is>
      </x:c>
      <x:c r="Y255" s="5" t="inlineStr">
        <x:is>
          <x:t xml:space="preserve">무관</x:t>
        </x:is>
      </x:c>
      <x:c r="Z255" s="5" t="inlineStr">
        <x:is>
          <x:t xml:space="preserve">전설</x:t>
        </x:is>
      </x:c>
      <x:c r="AA255" s="5" t="inlineStr">
        <x:is>
          <x:t xml:space="preserve">전설</x:t>
        </x:is>
      </x:c>
      <x:c r="AB255" s="5" t="inlineStr">
        <x:is>
          <x:t xml:space="preserve"/>
        </x:is>
      </x:c>
      <x:c r="AC255" s="5" t="inlineStr">
        <x:is>
          <x:t xml:space="preserve">gen2; mythical</x:t>
        </x:is>
      </x:c>
      <x:c r="AD255" s="5" t="inlineStr">
        <x:is>
          <x:t xml:space="preserve">.tmp/cobblemon-1.7.3-source/common/src/main/resources/data/cobblemon/species/generation2/celebi.json</x:t>
        </x:is>
      </x:c>
    </x:row>
    <x:row r="256" ht="22" customHeight="1">
      <x:c r="A256" s="5" t="n">
        <x:v>252</x:v>
      </x:c>
      <x:c r="B256" s="5" t="inlineStr">
        <x:is>
          <x:t xml:space="preserve">나무지기</x:t>
        </x:is>
      </x:c>
      <x:c r="C256" s="5" t="inlineStr">
        <x:is>
          <x:t xml:space="preserve">treecko</x:t>
        </x:is>
      </x:c>
      <x:c r="D256" s="5" t="inlineStr">
        <x:is>
          <x:t xml:space="preserve">Treecko</x:t>
        </x:is>
      </x:c>
      <x:c r="E256" s="5" t="n">
        <x:v>3</x:v>
      </x:c>
      <x:c r="F256" s="5" t="inlineStr">
        <x:is>
          <x:t xml:space="preserve">풀</x:t>
        </x:is>
      </x:c>
      <x:c r="G256" s="5" t="inlineStr">
        <x:is>
          <x:t xml:space="preserve"/>
        </x:is>
      </x:c>
      <x:c r="H256" s="5" t="n">
        <x:v>0.5</x:v>
      </x:c>
      <x:c r="I256" s="5" t="n">
        <x:v>5</x:v>
      </x:c>
      <x:c r="J256" s="5" t="n">
        <x:v>310</x:v>
      </x:c>
      <x:c r="K256" s="5" t="n">
        <x:v>45</x:v>
      </x:c>
      <x:c r="L256" s="5" t="inlineStr">
        <x:is>
          <x:t xml:space="preserve">기본</x:t>
        </x:is>
      </x:c>
      <x:c r="M256" s="5" t="n">
        <x:v>36</x:v>
      </x:c>
      <x:c r="N256" s="5" t="inlineStr">
        <x:is>
          <x:t xml:space="preserve">레벨</x:t>
        </x:is>
      </x:c>
      <x:c r="O256" s="5" t="inlineStr">
        <x:is>
          <x:t xml:space="preserve">예</x:t>
        </x:is>
      </x:c>
      <x:c r="P256" s="5" t="inlineStr">
        <x:is>
          <x:t xml:space="preserve">#cobblemon:is_jungle; aether:skyroot_forest; aether:skyroot_woodland</x:t>
        </x:is>
      </x:c>
      <x:c r="Q256" s="5" t="inlineStr">
        <x:is>
          <x:t xml:space="preserve">ultra-rare</x:t>
        </x:is>
      </x:c>
      <x:c r="R256" s="5" t="inlineStr">
        <x:is>
          <x:t xml:space="preserve"/>
        </x:is>
      </x:c>
      <x:c r="S256" s="5" t="inlineStr">
        <x:is>
          <x:t xml:space="preserve"/>
        </x:is>
      </x:c>
      <x:c r="T256" s="5" t="inlineStr">
        <x:is>
          <x:t xml:space="preserve">육상</x:t>
        </x:is>
      </x:c>
      <x:c r="U256" s="5" t="inlineStr">
        <x:is>
          <x:t xml:space="preserve">수목</x:t>
        </x:is>
      </x:c>
      <x:c r="V256" s="5" t="inlineStr">
        <x:is>
          <x:t xml:space="preserve">온대</x:t>
        </x:is>
      </x:c>
      <x:c r="W256" s="5" t="inlineStr">
        <x:is>
          <x:t xml:space="preserve">다습</x:t>
        </x:is>
      </x:c>
      <x:c r="X256" s="5" t="inlineStr">
        <x:is>
          <x:t xml:space="preserve">무관</x:t>
        </x:is>
      </x:c>
      <x:c r="Y256" s="5" t="inlineStr">
        <x:is>
          <x:t xml:space="preserve">무관</x:t>
        </x:is>
      </x:c>
      <x:c r="Z256" s="5" t="inlineStr">
        <x:is>
          <x:t xml:space="preserve">희귀</x:t>
        </x:is>
      </x:c>
      <x:c r="AA256" s="5" t="inlineStr">
        <x:is>
          <x:t xml:space="preserve">없음</x:t>
        </x:is>
      </x:c>
      <x:c r="AB256" s="5" t="inlineStr">
        <x:is>
          <x:t xml:space="preserve">숲</x:t>
        </x:is>
      </x:c>
      <x:c r="AC256" s="5" t="inlineStr">
        <x:is>
          <x:t xml:space="preserve">gen3; starter</x:t>
        </x:is>
      </x:c>
      <x:c r="AD256" s="5" t="inlineStr">
        <x:is>
          <x:t xml:space="preserve">.tmp/cobblemon-1.7.3-source/common/src/main/resources/data/cobblemon/species/generation3/treecko.json</x:t>
        </x:is>
      </x:c>
    </x:row>
    <x:row r="257" ht="22" customHeight="1">
      <x:c r="A257" s="5" t="n">
        <x:v>253</x:v>
      </x:c>
      <x:c r="B257" s="5" t="inlineStr">
        <x:is>
          <x:t xml:space="preserve">나무돌이</x:t>
        </x:is>
      </x:c>
      <x:c r="C257" s="5" t="inlineStr">
        <x:is>
          <x:t xml:space="preserve">grovyle</x:t>
        </x:is>
      </x:c>
      <x:c r="D257" s="5" t="inlineStr">
        <x:is>
          <x:t xml:space="preserve">Grovyle</x:t>
        </x:is>
      </x:c>
      <x:c r="E257" s="5" t="n">
        <x:v>3</x:v>
      </x:c>
      <x:c r="F257" s="5" t="inlineStr">
        <x:is>
          <x:t xml:space="preserve">풀</x:t>
        </x:is>
      </x:c>
      <x:c r="G257" s="5" t="inlineStr">
        <x:is>
          <x:t xml:space="preserve"/>
        </x:is>
      </x:c>
      <x:c r="H257" s="5" t="n">
        <x:v>0.9</x:v>
      </x:c>
      <x:c r="I257" s="5" t="n">
        <x:v>21.6</x:v>
      </x:c>
      <x:c r="J257" s="5" t="n">
        <x:v>405</x:v>
      </x:c>
      <x:c r="K257" s="5" t="n">
        <x:v>45</x:v>
      </x:c>
      <x:c r="L257" s="5" t="inlineStr">
        <x:is>
          <x:t xml:space="preserve">중간</x:t>
        </x:is>
      </x:c>
      <x:c r="M257" s="5" t="n">
        <x:v>36</x:v>
      </x:c>
      <x:c r="N257" s="5" t="inlineStr">
        <x:is>
          <x:t xml:space="preserve">레벨</x:t>
        </x:is>
      </x:c>
      <x:c r="O257" s="5" t="inlineStr">
        <x:is>
          <x:t xml:space="preserve">예</x:t>
        </x:is>
      </x:c>
      <x:c r="P257" s="5" t="inlineStr">
        <x:is>
          <x:t xml:space="preserve">#cobblemon:is_jungle; aether:skyroot_forest; aether:skyroot_woodland</x:t>
        </x:is>
      </x:c>
      <x:c r="Q257" s="5" t="inlineStr">
        <x:is>
          <x:t xml:space="preserve">ultra-rare</x:t>
        </x:is>
      </x:c>
      <x:c r="R257" s="5" t="inlineStr">
        <x:is>
          <x:t xml:space="preserve"/>
        </x:is>
      </x:c>
      <x:c r="S257" s="5" t="inlineStr">
        <x:is>
          <x:t xml:space="preserve"/>
        </x:is>
      </x:c>
      <x:c r="T257" s="5" t="inlineStr">
        <x:is>
          <x:t xml:space="preserve">육상</x:t>
        </x:is>
      </x:c>
      <x:c r="U257" s="5" t="inlineStr">
        <x:is>
          <x:t xml:space="preserve">수목</x:t>
        </x:is>
      </x:c>
      <x:c r="V257" s="5" t="inlineStr">
        <x:is>
          <x:t xml:space="preserve">온대</x:t>
        </x:is>
      </x:c>
      <x:c r="W257" s="5" t="inlineStr">
        <x:is>
          <x:t xml:space="preserve">다습</x:t>
        </x:is>
      </x:c>
      <x:c r="X257" s="5" t="inlineStr">
        <x:is>
          <x:t xml:space="preserve">무관</x:t>
        </x:is>
      </x:c>
      <x:c r="Y257" s="5" t="inlineStr">
        <x:is>
          <x:t xml:space="preserve">무관</x:t>
        </x:is>
      </x:c>
      <x:c r="Z257" s="5" t="inlineStr">
        <x:is>
          <x:t xml:space="preserve">희귀</x:t>
        </x:is>
      </x:c>
      <x:c r="AA257" s="5" t="inlineStr">
        <x:is>
          <x:t xml:space="preserve">없음</x:t>
        </x:is>
      </x:c>
      <x:c r="AB257" s="5" t="inlineStr">
        <x:is>
          <x:t xml:space="preserve">숲</x:t>
        </x:is>
      </x:c>
      <x:c r="AC257" s="5" t="inlineStr">
        <x:is>
          <x:t xml:space="preserve">gen3</x:t>
        </x:is>
      </x:c>
      <x:c r="AD257" s="5" t="inlineStr">
        <x:is>
          <x:t xml:space="preserve">.tmp/cobblemon-1.7.3-source/common/src/main/resources/data/cobblemon/species/generation3/grovyle.json</x:t>
        </x:is>
      </x:c>
    </x:row>
    <x:row r="258" ht="22" customHeight="1">
      <x:c r="A258" s="5" t="n">
        <x:v>254</x:v>
      </x:c>
      <x:c r="B258" s="5" t="inlineStr">
        <x:is>
          <x:t xml:space="preserve">나무킹</x:t>
        </x:is>
      </x:c>
      <x:c r="C258" s="5" t="inlineStr">
        <x:is>
          <x:t xml:space="preserve">sceptile</x:t>
        </x:is>
      </x:c>
      <x:c r="D258" s="5" t="inlineStr">
        <x:is>
          <x:t xml:space="preserve">Sceptile</x:t>
        </x:is>
      </x:c>
      <x:c r="E258" s="5" t="n">
        <x:v>3</x:v>
      </x:c>
      <x:c r="F258" s="5" t="inlineStr">
        <x:is>
          <x:t xml:space="preserve">풀</x:t>
        </x:is>
      </x:c>
      <x:c r="G258" s="5" t="inlineStr">
        <x:is>
          <x:t xml:space="preserve"/>
        </x:is>
      </x:c>
      <x:c r="H258" s="5" t="n">
        <x:v>1.7</x:v>
      </x:c>
      <x:c r="I258" s="5" t="n">
        <x:v>52.2</x:v>
      </x:c>
      <x:c r="J258" s="5" t="n">
        <x:v>530</x:v>
      </x:c>
      <x:c r="K258" s="5" t="n">
        <x:v>45</x:v>
      </x:c>
      <x:c r="L258" s="5" t="inlineStr">
        <x:is>
          <x:t xml:space="preserve">최종</x:t>
        </x:is>
      </x:c>
      <x:c r="M258" s="5" t="n">
        <x:v>36</x:v>
      </x:c>
      <x:c r="N258" s="5" t="inlineStr">
        <x:is>
          <x:t xml:space="preserve">레벨</x:t>
        </x:is>
      </x:c>
      <x:c r="O258" s="5" t="inlineStr">
        <x:is>
          <x:t xml:space="preserve">예</x:t>
        </x:is>
      </x:c>
      <x:c r="P258" s="5" t="inlineStr">
        <x:is>
          <x:t xml:space="preserve">#cobblemon:is_jungle; aether:skyroot_forest; aether:skyroot_woodland</x:t>
        </x:is>
      </x:c>
      <x:c r="Q258" s="5" t="inlineStr">
        <x:is>
          <x:t xml:space="preserve">ultra-rare</x:t>
        </x:is>
      </x:c>
      <x:c r="R258" s="5" t="inlineStr">
        <x:is>
          <x:t xml:space="preserve"/>
        </x:is>
      </x:c>
      <x:c r="S258" s="5" t="inlineStr">
        <x:is>
          <x:t xml:space="preserve"/>
        </x:is>
      </x:c>
      <x:c r="T258" s="5" t="inlineStr">
        <x:is>
          <x:t xml:space="preserve">육상</x:t>
        </x:is>
      </x:c>
      <x:c r="U258" s="5" t="inlineStr">
        <x:is>
          <x:t xml:space="preserve">수목</x:t>
        </x:is>
      </x:c>
      <x:c r="V258" s="5" t="inlineStr">
        <x:is>
          <x:t xml:space="preserve">온대</x:t>
        </x:is>
      </x:c>
      <x:c r="W258" s="5" t="inlineStr">
        <x:is>
          <x:t xml:space="preserve">다습</x:t>
        </x:is>
      </x:c>
      <x:c r="X258" s="5" t="inlineStr">
        <x:is>
          <x:t xml:space="preserve">무관</x:t>
        </x:is>
      </x:c>
      <x:c r="Y258" s="5" t="inlineStr">
        <x:is>
          <x:t xml:space="preserve">무관</x:t>
        </x:is>
      </x:c>
      <x:c r="Z258" s="5" t="inlineStr">
        <x:is>
          <x:t xml:space="preserve">희귀</x:t>
        </x:is>
      </x:c>
      <x:c r="AA258" s="5" t="inlineStr">
        <x:is>
          <x:t xml:space="preserve">없음</x:t>
        </x:is>
      </x:c>
      <x:c r="AB258" s="5" t="inlineStr">
        <x:is>
          <x:t xml:space="preserve">숲</x:t>
        </x:is>
      </x:c>
      <x:c r="AC258" s="5" t="inlineStr">
        <x:is>
          <x:t xml:space="preserve">gen3</x:t>
        </x:is>
      </x:c>
      <x:c r="AD258" s="5" t="inlineStr">
        <x:is>
          <x:t xml:space="preserve">.tmp/cobblemon-1.7.3-source/common/src/main/resources/data/cobblemon/species/generation3/sceptile.json</x:t>
        </x:is>
      </x:c>
    </x:row>
    <x:row r="259" ht="22" customHeight="1">
      <x:c r="A259" s="5" t="n">
        <x:v>255</x:v>
      </x:c>
      <x:c r="B259" s="5" t="inlineStr">
        <x:is>
          <x:t xml:space="preserve">아차모</x:t>
        </x:is>
      </x:c>
      <x:c r="C259" s="5" t="inlineStr">
        <x:is>
          <x:t xml:space="preserve">torchic</x:t>
        </x:is>
      </x:c>
      <x:c r="D259" s="5" t="inlineStr">
        <x:is>
          <x:t xml:space="preserve">Torchic</x:t>
        </x:is>
      </x:c>
      <x:c r="E259" s="5" t="n">
        <x:v>3</x:v>
      </x:c>
      <x:c r="F259" s="5" t="inlineStr">
        <x:is>
          <x:t xml:space="preserve">불꽃</x:t>
        </x:is>
      </x:c>
      <x:c r="G259" s="5" t="inlineStr">
        <x:is>
          <x:t xml:space="preserve"/>
        </x:is>
      </x:c>
      <x:c r="H259" s="5" t="n">
        <x:v>0.4</x:v>
      </x:c>
      <x:c r="I259" s="5" t="n">
        <x:v>2.5</x:v>
      </x:c>
      <x:c r="J259" s="5" t="n">
        <x:v>310</x:v>
      </x:c>
      <x:c r="K259" s="5" t="n">
        <x:v>45</x:v>
      </x:c>
      <x:c r="L259" s="5" t="inlineStr">
        <x:is>
          <x:t xml:space="preserve">기본</x:t>
        </x:is>
      </x:c>
      <x:c r="M259" s="5" t="n">
        <x:v>36</x:v>
      </x:c>
      <x:c r="N259" s="5" t="inlineStr">
        <x:is>
          <x:t xml:space="preserve">레벨</x:t>
        </x:is>
      </x:c>
      <x:c r="O259" s="5" t="inlineStr">
        <x:is>
          <x:t xml:space="preserve">예</x:t>
        </x:is>
      </x:c>
      <x:c r="P259" s="5" t="inlineStr">
        <x:is>
          <x:t xml:space="preserve">#cobblemon:is_plains; aether:skyroot_grove; aether:skyroot_meadow</x:t>
        </x:is>
      </x:c>
      <x:c r="Q259" s="5" t="inlineStr">
        <x:is>
          <x:t xml:space="preserve">ultra-rare</x:t>
        </x:is>
      </x:c>
      <x:c r="R259" s="5" t="inlineStr">
        <x:is>
          <x:t xml:space="preserve"/>
        </x:is>
      </x:c>
      <x:c r="S259" s="5" t="inlineStr">
        <x:is>
          <x:t xml:space="preserve"/>
        </x:is>
      </x:c>
      <x:c r="T259" s="5" t="inlineStr">
        <x:is>
          <x:t xml:space="preserve">육상</x:t>
        </x:is>
      </x:c>
      <x:c r="U259" s="5" t="inlineStr">
        <x:is>
          <x:t xml:space="preserve">개활지</x:t>
        </x:is>
      </x:c>
      <x:c r="V259" s="5" t="inlineStr">
        <x:is>
          <x:t xml:space="preserve">고온</x:t>
        </x:is>
      </x:c>
      <x:c r="W259" s="5" t="inlineStr">
        <x:is>
          <x:t xml:space="preserve">보통</x:t>
        </x:is>
      </x:c>
      <x:c r="X259" s="5" t="inlineStr">
        <x:is>
          <x:t xml:space="preserve">무관</x:t>
        </x:is>
      </x:c>
      <x:c r="Y259" s="5" t="inlineStr">
        <x:is>
          <x:t xml:space="preserve">무관</x:t>
        </x:is>
      </x:c>
      <x:c r="Z259" s="5" t="inlineStr">
        <x:is>
          <x:t xml:space="preserve">희귀</x:t>
        </x:is>
      </x:c>
      <x:c r="AA259" s="5" t="inlineStr">
        <x:is>
          <x:t xml:space="preserve">없음</x:t>
        </x:is>
      </x:c>
      <x:c r="AB259" s="5" t="inlineStr">
        <x:is>
          <x:t xml:space="preserve">평원</x:t>
        </x:is>
      </x:c>
      <x:c r="AC259" s="5" t="inlineStr">
        <x:is>
          <x:t xml:space="preserve">gen3; starter</x:t>
        </x:is>
      </x:c>
      <x:c r="AD259" s="5" t="inlineStr">
        <x:is>
          <x:t xml:space="preserve">.tmp/cobblemon-1.7.3-source/common/src/main/resources/data/cobblemon/species/generation3/torchic.json</x:t>
        </x:is>
      </x:c>
    </x:row>
    <x:row r="260" ht="22" customHeight="1">
      <x:c r="A260" s="5" t="n">
        <x:v>256</x:v>
      </x:c>
      <x:c r="B260" s="5" t="inlineStr">
        <x:is>
          <x:t xml:space="preserve">영치코</x:t>
        </x:is>
      </x:c>
      <x:c r="C260" s="5" t="inlineStr">
        <x:is>
          <x:t xml:space="preserve">combusken</x:t>
        </x:is>
      </x:c>
      <x:c r="D260" s="5" t="inlineStr">
        <x:is>
          <x:t xml:space="preserve">Combusken</x:t>
        </x:is>
      </x:c>
      <x:c r="E260" s="5" t="n">
        <x:v>3</x:v>
      </x:c>
      <x:c r="F260" s="5" t="inlineStr">
        <x:is>
          <x:t xml:space="preserve">불꽃</x:t>
        </x:is>
      </x:c>
      <x:c r="G260" s="5" t="inlineStr">
        <x:is>
          <x:t xml:space="preserve">격투</x:t>
        </x:is>
      </x:c>
      <x:c r="H260" s="5" t="n">
        <x:v>0.9</x:v>
      </x:c>
      <x:c r="I260" s="5" t="n">
        <x:v>19.5</x:v>
      </x:c>
      <x:c r="J260" s="5" t="n">
        <x:v>405</x:v>
      </x:c>
      <x:c r="K260" s="5" t="n">
        <x:v>45</x:v>
      </x:c>
      <x:c r="L260" s="5" t="inlineStr">
        <x:is>
          <x:t xml:space="preserve">중간</x:t>
        </x:is>
      </x:c>
      <x:c r="M260" s="5" t="n">
        <x:v>36</x:v>
      </x:c>
      <x:c r="N260" s="5" t="inlineStr">
        <x:is>
          <x:t xml:space="preserve">레벨</x:t>
        </x:is>
      </x:c>
      <x:c r="O260" s="5" t="inlineStr">
        <x:is>
          <x:t xml:space="preserve">예</x:t>
        </x:is>
      </x:c>
      <x:c r="P260" s="5" t="inlineStr">
        <x:is>
          <x:t xml:space="preserve">#cobblemon:is_plains; aether:skyroot_grove; aether:skyroot_meadow</x:t>
        </x:is>
      </x:c>
      <x:c r="Q260" s="5" t="inlineStr">
        <x:is>
          <x:t xml:space="preserve">ultra-rare</x:t>
        </x:is>
      </x:c>
      <x:c r="R260" s="5" t="inlineStr">
        <x:is>
          <x:t xml:space="preserve"/>
        </x:is>
      </x:c>
      <x:c r="S260" s="5" t="inlineStr">
        <x:is>
          <x:t xml:space="preserve"/>
        </x:is>
      </x:c>
      <x:c r="T260" s="5" t="inlineStr">
        <x:is>
          <x:t xml:space="preserve">육상</x:t>
        </x:is>
      </x:c>
      <x:c r="U260" s="5" t="inlineStr">
        <x:is>
          <x:t xml:space="preserve">개활지</x:t>
        </x:is>
      </x:c>
      <x:c r="V260" s="5" t="inlineStr">
        <x:is>
          <x:t xml:space="preserve">고온</x:t>
        </x:is>
      </x:c>
      <x:c r="W260" s="5" t="inlineStr">
        <x:is>
          <x:t xml:space="preserve">보통</x:t>
        </x:is>
      </x:c>
      <x:c r="X260" s="5" t="inlineStr">
        <x:is>
          <x:t xml:space="preserve">무관</x:t>
        </x:is>
      </x:c>
      <x:c r="Y260" s="5" t="inlineStr">
        <x:is>
          <x:t xml:space="preserve">무관</x:t>
        </x:is>
      </x:c>
      <x:c r="Z260" s="5" t="inlineStr">
        <x:is>
          <x:t xml:space="preserve">희귀</x:t>
        </x:is>
      </x:c>
      <x:c r="AA260" s="5" t="inlineStr">
        <x:is>
          <x:t xml:space="preserve">없음</x:t>
        </x:is>
      </x:c>
      <x:c r="AB260" s="5" t="inlineStr">
        <x:is>
          <x:t xml:space="preserve">평원</x:t>
        </x:is>
      </x:c>
      <x:c r="AC260" s="5" t="inlineStr">
        <x:is>
          <x:t xml:space="preserve">gen3</x:t>
        </x:is>
      </x:c>
      <x:c r="AD260" s="5" t="inlineStr">
        <x:is>
          <x:t xml:space="preserve">.tmp/cobblemon-1.7.3-source/common/src/main/resources/data/cobblemon/species/generation3/combusken.json</x:t>
        </x:is>
      </x:c>
    </x:row>
    <x:row r="261" ht="22" customHeight="1">
      <x:c r="A261" s="5" t="n">
        <x:v>257</x:v>
      </x:c>
      <x:c r="B261" s="5" t="inlineStr">
        <x:is>
          <x:t xml:space="preserve">번치코</x:t>
        </x:is>
      </x:c>
      <x:c r="C261" s="5" t="inlineStr">
        <x:is>
          <x:t xml:space="preserve">blaziken</x:t>
        </x:is>
      </x:c>
      <x:c r="D261" s="5" t="inlineStr">
        <x:is>
          <x:t xml:space="preserve">Blaziken</x:t>
        </x:is>
      </x:c>
      <x:c r="E261" s="5" t="n">
        <x:v>3</x:v>
      </x:c>
      <x:c r="F261" s="5" t="inlineStr">
        <x:is>
          <x:t xml:space="preserve">불꽃</x:t>
        </x:is>
      </x:c>
      <x:c r="G261" s="5" t="inlineStr">
        <x:is>
          <x:t xml:space="preserve">격투</x:t>
        </x:is>
      </x:c>
      <x:c r="H261" s="5" t="n">
        <x:v>1.9</x:v>
      </x:c>
      <x:c r="I261" s="5" t="n">
        <x:v>52</x:v>
      </x:c>
      <x:c r="J261" s="5" t="n">
        <x:v>530</x:v>
      </x:c>
      <x:c r="K261" s="5" t="n">
        <x:v>45</x:v>
      </x:c>
      <x:c r="L261" s="5" t="inlineStr">
        <x:is>
          <x:t xml:space="preserve">최종</x:t>
        </x:is>
      </x:c>
      <x:c r="M261" s="5" t="n">
        <x:v>36</x:v>
      </x:c>
      <x:c r="N261" s="5" t="inlineStr">
        <x:is>
          <x:t xml:space="preserve">레벨</x:t>
        </x:is>
      </x:c>
      <x:c r="O261" s="5" t="inlineStr">
        <x:is>
          <x:t xml:space="preserve">예</x:t>
        </x:is>
      </x:c>
      <x:c r="P261" s="5" t="inlineStr">
        <x:is>
          <x:t xml:space="preserve">#cobblemon:is_plains; aether:skyroot_grove; aether:skyroot_meadow</x:t>
        </x:is>
      </x:c>
      <x:c r="Q261" s="5" t="inlineStr">
        <x:is>
          <x:t xml:space="preserve">ultra-rare</x:t>
        </x:is>
      </x:c>
      <x:c r="R261" s="5" t="inlineStr">
        <x:is>
          <x:t xml:space="preserve"/>
        </x:is>
      </x:c>
      <x:c r="S261" s="5" t="inlineStr">
        <x:is>
          <x:t xml:space="preserve"/>
        </x:is>
      </x:c>
      <x:c r="T261" s="5" t="inlineStr">
        <x:is>
          <x:t xml:space="preserve">육상</x:t>
        </x:is>
      </x:c>
      <x:c r="U261" s="5" t="inlineStr">
        <x:is>
          <x:t xml:space="preserve">개활지</x:t>
        </x:is>
      </x:c>
      <x:c r="V261" s="5" t="inlineStr">
        <x:is>
          <x:t xml:space="preserve">고온</x:t>
        </x:is>
      </x:c>
      <x:c r="W261" s="5" t="inlineStr">
        <x:is>
          <x:t xml:space="preserve">보통</x:t>
        </x:is>
      </x:c>
      <x:c r="X261" s="5" t="inlineStr">
        <x:is>
          <x:t xml:space="preserve">무관</x:t>
        </x:is>
      </x:c>
      <x:c r="Y261" s="5" t="inlineStr">
        <x:is>
          <x:t xml:space="preserve">무관</x:t>
        </x:is>
      </x:c>
      <x:c r="Z261" s="5" t="inlineStr">
        <x:is>
          <x:t xml:space="preserve">희귀</x:t>
        </x:is>
      </x:c>
      <x:c r="AA261" s="5" t="inlineStr">
        <x:is>
          <x:t xml:space="preserve">없음</x:t>
        </x:is>
      </x:c>
      <x:c r="AB261" s="5" t="inlineStr">
        <x:is>
          <x:t xml:space="preserve">평원</x:t>
        </x:is>
      </x:c>
      <x:c r="AC261" s="5" t="inlineStr">
        <x:is>
          <x:t xml:space="preserve">gen3</x:t>
        </x:is>
      </x:c>
      <x:c r="AD261" s="5" t="inlineStr">
        <x:is>
          <x:t xml:space="preserve">.tmp/cobblemon-1.7.3-source/common/src/main/resources/data/cobblemon/species/generation3/blaziken.json</x:t>
        </x:is>
      </x:c>
    </x:row>
    <x:row r="262" ht="22" customHeight="1">
      <x:c r="A262" s="5" t="n">
        <x:v>258</x:v>
      </x:c>
      <x:c r="B262" s="5" t="inlineStr">
        <x:is>
          <x:t xml:space="preserve">물짱이</x:t>
        </x:is>
      </x:c>
      <x:c r="C262" s="5" t="inlineStr">
        <x:is>
          <x:t xml:space="preserve">mudkip</x:t>
        </x:is>
      </x:c>
      <x:c r="D262" s="5" t="inlineStr">
        <x:is>
          <x:t xml:space="preserve">Mudkip</x:t>
        </x:is>
      </x:c>
      <x:c r="E262" s="5" t="n">
        <x:v>3</x:v>
      </x:c>
      <x:c r="F262" s="5" t="inlineStr">
        <x:is>
          <x:t xml:space="preserve">물</x:t>
        </x:is>
      </x:c>
      <x:c r="G262" s="5" t="inlineStr">
        <x:is>
          <x:t xml:space="preserve"/>
        </x:is>
      </x:c>
      <x:c r="H262" s="5" t="n">
        <x:v>0.4</x:v>
      </x:c>
      <x:c r="I262" s="5" t="n">
        <x:v>7.6</x:v>
      </x:c>
      <x:c r="J262" s="5" t="n">
        <x:v>310</x:v>
      </x:c>
      <x:c r="K262" s="5" t="n">
        <x:v>45</x:v>
      </x:c>
      <x:c r="L262" s="5" t="inlineStr">
        <x:is>
          <x:t xml:space="preserve">기본</x:t>
        </x:is>
      </x:c>
      <x:c r="M262" s="5" t="n">
        <x:v>36</x:v>
      </x:c>
      <x:c r="N262" s="5" t="inlineStr">
        <x:is>
          <x:t xml:space="preserve">레벨</x:t>
        </x:is>
      </x:c>
      <x:c r="O262" s="5" t="inlineStr">
        <x:is>
          <x:t xml:space="preserve">예</x:t>
        </x:is>
      </x:c>
      <x:c r="P262" s="5" t="inlineStr">
        <x:is>
          <x:t xml:space="preserve">#cobblemon:is_badlands; #cobblemon:is_forest; #cobblemon:is_jungle; #cobblemon:is_lush; #cobblemon:is_mushroom; #cobblemon:is_overworld; #cobblemon:is_savanna; #cobblemon:is_swamp</x:t>
        </x:is>
      </x:c>
      <x:c r="Q262" s="5" t="inlineStr">
        <x:is>
          <x:t xml:space="preserve">ultra-rare</x:t>
        </x:is>
      </x:c>
      <x:c r="R262" s="5" t="inlineStr">
        <x:is>
          <x:t xml:space="preserve"/>
        </x:is>
      </x:c>
      <x:c r="S262" s="5" t="inlineStr">
        <x:is>
          <x:t xml:space="preserve"/>
        </x:is>
      </x:c>
      <x:c r="T262" s="5" t="inlineStr">
        <x:is>
          <x:t xml:space="preserve">수륙</x:t>
        </x:is>
      </x:c>
      <x:c r="U262" s="5" t="inlineStr">
        <x:is>
          <x:t xml:space="preserve">습지</x:t>
        </x:is>
      </x:c>
      <x:c r="V262" s="5" t="inlineStr">
        <x:is>
          <x:t xml:space="preserve">온대</x:t>
        </x:is>
      </x:c>
      <x:c r="W262" s="5" t="inlineStr">
        <x:is>
          <x:t xml:space="preserve">다습</x:t>
        </x:is>
      </x:c>
      <x:c r="X262" s="5" t="inlineStr">
        <x:is>
          <x:t xml:space="preserve">비</x:t>
        </x:is>
      </x:c>
      <x:c r="Y262" s="5" t="inlineStr">
        <x:is>
          <x:t xml:space="preserve">무관</x:t>
        </x:is>
      </x:c>
      <x:c r="Z262" s="5" t="inlineStr">
        <x:is>
          <x:t xml:space="preserve">희귀</x:t>
        </x:is>
      </x:c>
      <x:c r="AA262" s="5" t="inlineStr">
        <x:is>
          <x:t xml:space="preserve">없음</x:t>
        </x:is>
      </x:c>
      <x:c r="AB262" s="5" t="inlineStr">
        <x:is>
          <x:t xml:space="preserve">습지</x:t>
        </x:is>
      </x:c>
      <x:c r="AC262" s="5" t="inlineStr">
        <x:is>
          <x:t xml:space="preserve">gen3; starter</x:t>
        </x:is>
      </x:c>
      <x:c r="AD262" s="5" t="inlineStr">
        <x:is>
          <x:t xml:space="preserve">.tmp/cobblemon-1.7.3-source/common/src/main/resources/data/cobblemon/species/generation3/mudkip.json</x:t>
        </x:is>
      </x:c>
    </x:row>
    <x:row r="263" ht="22" customHeight="1">
      <x:c r="A263" s="5" t="n">
        <x:v>259</x:v>
      </x:c>
      <x:c r="B263" s="5" t="inlineStr">
        <x:is>
          <x:t xml:space="preserve">늪짱이</x:t>
        </x:is>
      </x:c>
      <x:c r="C263" s="5" t="inlineStr">
        <x:is>
          <x:t xml:space="preserve">marshtomp</x:t>
        </x:is>
      </x:c>
      <x:c r="D263" s="5" t="inlineStr">
        <x:is>
          <x:t xml:space="preserve">Marshtomp</x:t>
        </x:is>
      </x:c>
      <x:c r="E263" s="5" t="n">
        <x:v>3</x:v>
      </x:c>
      <x:c r="F263" s="5" t="inlineStr">
        <x:is>
          <x:t xml:space="preserve">물</x:t>
        </x:is>
      </x:c>
      <x:c r="G263" s="5" t="inlineStr">
        <x:is>
          <x:t xml:space="preserve">땅</x:t>
        </x:is>
      </x:c>
      <x:c r="H263" s="5" t="n">
        <x:v>0.7</x:v>
      </x:c>
      <x:c r="I263" s="5" t="n">
        <x:v>28</x:v>
      </x:c>
      <x:c r="J263" s="5" t="n">
        <x:v>405</x:v>
      </x:c>
      <x:c r="K263" s="5" t="n">
        <x:v>45</x:v>
      </x:c>
      <x:c r="L263" s="5" t="inlineStr">
        <x:is>
          <x:t xml:space="preserve">중간</x:t>
        </x:is>
      </x:c>
      <x:c r="M263" s="5" t="n">
        <x:v>36</x:v>
      </x:c>
      <x:c r="N263" s="5" t="inlineStr">
        <x:is>
          <x:t xml:space="preserve">레벨</x:t>
        </x:is>
      </x:c>
      <x:c r="O263" s="5" t="inlineStr">
        <x:is>
          <x:t xml:space="preserve">예</x:t>
        </x:is>
      </x:c>
      <x:c r="P263" s="5" t="inlineStr">
        <x:is>
          <x:t xml:space="preserve">#cobblemon:is_badlands; #cobblemon:is_forest; #cobblemon:is_jungle; #cobblemon:is_lush; #cobblemon:is_mushroom; #cobblemon:is_overworld; #cobblemon:is_savanna; #cobblemon:is_swamp</x:t>
        </x:is>
      </x:c>
      <x:c r="Q263" s="5" t="inlineStr">
        <x:is>
          <x:t xml:space="preserve">ultra-rare</x:t>
        </x:is>
      </x:c>
      <x:c r="R263" s="5" t="inlineStr">
        <x:is>
          <x:t xml:space="preserve"/>
        </x:is>
      </x:c>
      <x:c r="S263" s="5" t="inlineStr">
        <x:is>
          <x:t xml:space="preserve"/>
        </x:is>
      </x:c>
      <x:c r="T263" s="5" t="inlineStr">
        <x:is>
          <x:t xml:space="preserve">수륙</x:t>
        </x:is>
      </x:c>
      <x:c r="U263" s="5" t="inlineStr">
        <x:is>
          <x:t xml:space="preserve">습지</x:t>
        </x:is>
      </x:c>
      <x:c r="V263" s="5" t="inlineStr">
        <x:is>
          <x:t xml:space="preserve">온대</x:t>
        </x:is>
      </x:c>
      <x:c r="W263" s="5" t="inlineStr">
        <x:is>
          <x:t xml:space="preserve">다습</x:t>
        </x:is>
      </x:c>
      <x:c r="X263" s="5" t="inlineStr">
        <x:is>
          <x:t xml:space="preserve">비</x:t>
        </x:is>
      </x:c>
      <x:c r="Y263" s="5" t="inlineStr">
        <x:is>
          <x:t xml:space="preserve">무관</x:t>
        </x:is>
      </x:c>
      <x:c r="Z263" s="5" t="inlineStr">
        <x:is>
          <x:t xml:space="preserve">희귀</x:t>
        </x:is>
      </x:c>
      <x:c r="AA263" s="5" t="inlineStr">
        <x:is>
          <x:t xml:space="preserve">없음</x:t>
        </x:is>
      </x:c>
      <x:c r="AB263" s="5" t="inlineStr">
        <x:is>
          <x:t xml:space="preserve">습지</x:t>
        </x:is>
      </x:c>
      <x:c r="AC263" s="5" t="inlineStr">
        <x:is>
          <x:t xml:space="preserve">gen3</x:t>
        </x:is>
      </x:c>
      <x:c r="AD263" s="5" t="inlineStr">
        <x:is>
          <x:t xml:space="preserve">.tmp/cobblemon-1.7.3-source/common/src/main/resources/data/cobblemon/species/generation3/marshtomp.json</x:t>
        </x:is>
      </x:c>
    </x:row>
    <x:row r="264" ht="22" customHeight="1">
      <x:c r="A264" s="5" t="n">
        <x:v>260</x:v>
      </x:c>
      <x:c r="B264" s="5" t="inlineStr">
        <x:is>
          <x:t xml:space="preserve">대짱이</x:t>
        </x:is>
      </x:c>
      <x:c r="C264" s="5" t="inlineStr">
        <x:is>
          <x:t xml:space="preserve">swampert</x:t>
        </x:is>
      </x:c>
      <x:c r="D264" s="5" t="inlineStr">
        <x:is>
          <x:t xml:space="preserve">Swampert</x:t>
        </x:is>
      </x:c>
      <x:c r="E264" s="5" t="n">
        <x:v>3</x:v>
      </x:c>
      <x:c r="F264" s="5" t="inlineStr">
        <x:is>
          <x:t xml:space="preserve">물</x:t>
        </x:is>
      </x:c>
      <x:c r="G264" s="5" t="inlineStr">
        <x:is>
          <x:t xml:space="preserve">땅</x:t>
        </x:is>
      </x:c>
      <x:c r="H264" s="5" t="n">
        <x:v>1.5</x:v>
      </x:c>
      <x:c r="I264" s="5" t="n">
        <x:v>81.90000000000001</x:v>
      </x:c>
      <x:c r="J264" s="5" t="n">
        <x:v>535</x:v>
      </x:c>
      <x:c r="K264" s="5" t="n">
        <x:v>45</x:v>
      </x:c>
      <x:c r="L264" s="5" t="inlineStr">
        <x:is>
          <x:t xml:space="preserve">최종</x:t>
        </x:is>
      </x:c>
      <x:c r="M264" s="5" t="n">
        <x:v>36</x:v>
      </x:c>
      <x:c r="N264" s="5" t="inlineStr">
        <x:is>
          <x:t xml:space="preserve">레벨</x:t>
        </x:is>
      </x:c>
      <x:c r="O264" s="5" t="inlineStr">
        <x:is>
          <x:t xml:space="preserve">예</x:t>
        </x:is>
      </x:c>
      <x:c r="P264" s="5" t="inlineStr">
        <x:is>
          <x:t xml:space="preserve">#cobblemon:is_badlands; #cobblemon:is_forest; #cobblemon:is_jungle; #cobblemon:is_lush; #cobblemon:is_mushroom; #cobblemon:is_overworld; #cobblemon:is_savanna; #cobblemon:is_swamp</x:t>
        </x:is>
      </x:c>
      <x:c r="Q264" s="5" t="inlineStr">
        <x:is>
          <x:t xml:space="preserve">ultra-rare</x:t>
        </x:is>
      </x:c>
      <x:c r="R264" s="5" t="inlineStr">
        <x:is>
          <x:t xml:space="preserve"/>
        </x:is>
      </x:c>
      <x:c r="S264" s="5" t="inlineStr">
        <x:is>
          <x:t xml:space="preserve"/>
        </x:is>
      </x:c>
      <x:c r="T264" s="5" t="inlineStr">
        <x:is>
          <x:t xml:space="preserve">수륙</x:t>
        </x:is>
      </x:c>
      <x:c r="U264" s="5" t="inlineStr">
        <x:is>
          <x:t xml:space="preserve">습지</x:t>
        </x:is>
      </x:c>
      <x:c r="V264" s="5" t="inlineStr">
        <x:is>
          <x:t xml:space="preserve">온대</x:t>
        </x:is>
      </x:c>
      <x:c r="W264" s="5" t="inlineStr">
        <x:is>
          <x:t xml:space="preserve">다습</x:t>
        </x:is>
      </x:c>
      <x:c r="X264" s="5" t="inlineStr">
        <x:is>
          <x:t xml:space="preserve">비</x:t>
        </x:is>
      </x:c>
      <x:c r="Y264" s="5" t="inlineStr">
        <x:is>
          <x:t xml:space="preserve">무관</x:t>
        </x:is>
      </x:c>
      <x:c r="Z264" s="5" t="inlineStr">
        <x:is>
          <x:t xml:space="preserve">희귀</x:t>
        </x:is>
      </x:c>
      <x:c r="AA264" s="5" t="inlineStr">
        <x:is>
          <x:t xml:space="preserve">없음</x:t>
        </x:is>
      </x:c>
      <x:c r="AB264" s="5" t="inlineStr">
        <x:is>
          <x:t xml:space="preserve">습지</x:t>
        </x:is>
      </x:c>
      <x:c r="AC264" s="5" t="inlineStr">
        <x:is>
          <x:t xml:space="preserve">gen3</x:t>
        </x:is>
      </x:c>
      <x:c r="AD264" s="5" t="inlineStr">
        <x:is>
          <x:t xml:space="preserve">.tmp/cobblemon-1.7.3-source/common/src/main/resources/data/cobblemon/species/generation3/swampert.json</x:t>
        </x:is>
      </x:c>
    </x:row>
    <x:row r="265" ht="22" customHeight="1">
      <x:c r="A265" s="5" t="n">
        <x:v>261</x:v>
      </x:c>
      <x:c r="B265" s="5" t="inlineStr">
        <x:is>
          <x:t xml:space="preserve">포챠나</x:t>
        </x:is>
      </x:c>
      <x:c r="C265" s="5" t="inlineStr">
        <x:is>
          <x:t xml:space="preserve">poochyena</x:t>
        </x:is>
      </x:c>
      <x:c r="D265" s="5" t="inlineStr">
        <x:is>
          <x:t xml:space="preserve">Poochyena</x:t>
        </x:is>
      </x:c>
      <x:c r="E265" s="5" t="n">
        <x:v>3</x:v>
      </x:c>
      <x:c r="F265" s="5" t="inlineStr">
        <x:is>
          <x:t xml:space="preserve">악</x:t>
        </x:is>
      </x:c>
      <x:c r="G265" s="5" t="inlineStr">
        <x:is>
          <x:t xml:space="preserve"/>
        </x:is>
      </x:c>
      <x:c r="H265" s="5" t="n">
        <x:v>0.5</x:v>
      </x:c>
      <x:c r="I265" s="5" t="n">
        <x:v>13.6</x:v>
      </x:c>
      <x:c r="J265" s="5" t="n">
        <x:v>220</x:v>
      </x:c>
      <x:c r="K265" s="5" t="n">
        <x:v>255</x:v>
      </x:c>
      <x:c r="L265" s="5" t="inlineStr">
        <x:is>
          <x:t xml:space="preserve">기본</x:t>
        </x:is>
      </x:c>
      <x:c r="M265" s="5" t="n">
        <x:v>18</x:v>
      </x:c>
      <x:c r="N265" s="5" t="inlineStr">
        <x:is>
          <x:t xml:space="preserve">레벨</x:t>
        </x:is>
      </x:c>
      <x:c r="O265" s="5" t="inlineStr">
        <x:is>
          <x:t xml:space="preserve">예</x:t>
        </x:is>
      </x:c>
      <x:c r="P265" s="5" t="inlineStr">
        <x:is>
          <x:t xml:space="preserve">#cobblemon:is_badlands; #cobblemon:is_overworld; #cobblemon:is_savanna</x:t>
        </x:is>
      </x:c>
      <x:c r="Q265" s="5" t="inlineStr">
        <x:is>
          <x:t xml:space="preserve">common</x:t>
        </x:is>
      </x:c>
      <x:c r="R265" s="5" t="inlineStr">
        <x:is>
          <x:t xml:space="preserve">night</x:t>
        </x:is>
      </x:c>
      <x:c r="S265" s="5" t="inlineStr">
        <x:is>
          <x:t xml:space="preserve"/>
        </x:is>
      </x:c>
      <x:c r="T265" s="5" t="inlineStr">
        <x:is>
          <x:t xml:space="preserve">육상</x:t>
        </x:is>
      </x:c>
      <x:c r="U265" s="5" t="inlineStr">
        <x:is>
          <x:t xml:space="preserve">건조</x:t>
        </x:is>
      </x:c>
      <x:c r="V265" s="5" t="inlineStr">
        <x:is>
          <x:t xml:space="preserve">고온</x:t>
        </x:is>
      </x:c>
      <x:c r="W265" s="5" t="inlineStr">
        <x:is>
          <x:t xml:space="preserve">건조</x:t>
        </x:is>
      </x:c>
      <x:c r="X265" s="5" t="inlineStr">
        <x:is>
          <x:t xml:space="preserve">맑음</x:t>
        </x:is>
      </x:c>
      <x:c r="Y265" s="5" t="inlineStr">
        <x:is>
          <x:t xml:space="preserve">밤</x:t>
        </x:is>
      </x:c>
      <x:c r="Z265" s="5" t="inlineStr">
        <x:is>
          <x:t xml:space="preserve">흔함</x:t>
        </x:is>
      </x:c>
      <x:c r="AA265" s="5" t="inlineStr">
        <x:is>
          <x:t xml:space="preserve">없음</x:t>
        </x:is>
      </x:c>
      <x:c r="AB265" s="5" t="inlineStr">
        <x:is>
          <x:t xml:space="preserve">건조지</x:t>
        </x:is>
      </x:c>
      <x:c r="AC265" s="5" t="inlineStr">
        <x:is>
          <x:t xml:space="preserve">gen3</x:t>
        </x:is>
      </x:c>
      <x:c r="AD265" s="5" t="inlineStr">
        <x:is>
          <x:t xml:space="preserve">.tmp/cobblemon-1.7.3-source/common/src/main/resources/data/cobblemon/species/generation3/poochyena.json</x:t>
        </x:is>
      </x:c>
    </x:row>
    <x:row r="266" ht="22" customHeight="1">
      <x:c r="A266" s="5" t="n">
        <x:v>262</x:v>
      </x:c>
      <x:c r="B266" s="5" t="inlineStr">
        <x:is>
          <x:t xml:space="preserve">그라에나</x:t>
        </x:is>
      </x:c>
      <x:c r="C266" s="5" t="inlineStr">
        <x:is>
          <x:t xml:space="preserve">mightyena</x:t>
        </x:is>
      </x:c>
      <x:c r="D266" s="5" t="inlineStr">
        <x:is>
          <x:t xml:space="preserve">Mightyena</x:t>
        </x:is>
      </x:c>
      <x:c r="E266" s="5" t="n">
        <x:v>3</x:v>
      </x:c>
      <x:c r="F266" s="5" t="inlineStr">
        <x:is>
          <x:t xml:space="preserve">악</x:t>
        </x:is>
      </x:c>
      <x:c r="G266" s="5" t="inlineStr">
        <x:is>
          <x:t xml:space="preserve"/>
        </x:is>
      </x:c>
      <x:c r="H266" s="5" t="n">
        <x:v>1</x:v>
      </x:c>
      <x:c r="I266" s="5" t="n">
        <x:v>37</x:v>
      </x:c>
      <x:c r="J266" s="5" t="n">
        <x:v>420</x:v>
      </x:c>
      <x:c r="K266" s="5" t="n">
        <x:v>127</x:v>
      </x:c>
      <x:c r="L266" s="5" t="inlineStr">
        <x:is>
          <x:t xml:space="preserve">최종</x:t>
        </x:is>
      </x:c>
      <x:c r="M266" s="5" t="n">
        <x:v>18</x:v>
      </x:c>
      <x:c r="N266" s="5" t="inlineStr">
        <x:is>
          <x:t xml:space="preserve">레벨</x:t>
        </x:is>
      </x:c>
      <x:c r="O266" s="5" t="inlineStr">
        <x:is>
          <x:t xml:space="preserve">예</x:t>
        </x:is>
      </x:c>
      <x:c r="P266" s="5" t="inlineStr">
        <x:is>
          <x:t xml:space="preserve">#cobblemon:is_badlands; #cobblemon:is_overworld; #cobblemon:is_savanna</x:t>
        </x:is>
      </x:c>
      <x:c r="Q266" s="5" t="inlineStr">
        <x:is>
          <x:t xml:space="preserve">common</x:t>
        </x:is>
      </x:c>
      <x:c r="R266" s="5" t="inlineStr">
        <x:is>
          <x:t xml:space="preserve">night</x:t>
        </x:is>
      </x:c>
      <x:c r="S266" s="5" t="inlineStr">
        <x:is>
          <x:t xml:space="preserve"/>
        </x:is>
      </x:c>
      <x:c r="T266" s="5" t="inlineStr">
        <x:is>
          <x:t xml:space="preserve">육상</x:t>
        </x:is>
      </x:c>
      <x:c r="U266" s="5" t="inlineStr">
        <x:is>
          <x:t xml:space="preserve">건조</x:t>
        </x:is>
      </x:c>
      <x:c r="V266" s="5" t="inlineStr">
        <x:is>
          <x:t xml:space="preserve">고온</x:t>
        </x:is>
      </x:c>
      <x:c r="W266" s="5" t="inlineStr">
        <x:is>
          <x:t xml:space="preserve">건조</x:t>
        </x:is>
      </x:c>
      <x:c r="X266" s="5" t="inlineStr">
        <x:is>
          <x:t xml:space="preserve">맑음</x:t>
        </x:is>
      </x:c>
      <x:c r="Y266" s="5" t="inlineStr">
        <x:is>
          <x:t xml:space="preserve">밤</x:t>
        </x:is>
      </x:c>
      <x:c r="Z266" s="5" t="inlineStr">
        <x:is>
          <x:t xml:space="preserve">흔함</x:t>
        </x:is>
      </x:c>
      <x:c r="AA266" s="5" t="inlineStr">
        <x:is>
          <x:t xml:space="preserve">없음</x:t>
        </x:is>
      </x:c>
      <x:c r="AB266" s="5" t="inlineStr">
        <x:is>
          <x:t xml:space="preserve">건조지</x:t>
        </x:is>
      </x:c>
      <x:c r="AC266" s="5" t="inlineStr">
        <x:is>
          <x:t xml:space="preserve">gen3</x:t>
        </x:is>
      </x:c>
      <x:c r="AD266" s="5" t="inlineStr">
        <x:is>
          <x:t xml:space="preserve">.tmp/cobblemon-1.7.3-source/common/src/main/resources/data/cobblemon/species/generation3/mightyena.json</x:t>
        </x:is>
      </x:c>
    </x:row>
    <x:row r="267" ht="22" customHeight="1">
      <x:c r="A267" s="5" t="n">
        <x:v>263</x:v>
      </x:c>
      <x:c r="B267" s="5" t="inlineStr">
        <x:is>
          <x:t xml:space="preserve">지그제구리</x:t>
        </x:is>
      </x:c>
      <x:c r="C267" s="5" t="inlineStr">
        <x:is>
          <x:t xml:space="preserve">zigzagoon</x:t>
        </x:is>
      </x:c>
      <x:c r="D267" s="5" t="inlineStr">
        <x:is>
          <x:t xml:space="preserve">Zigzagoon</x:t>
        </x:is>
      </x:c>
      <x:c r="E267" s="5" t="n">
        <x:v>3</x:v>
      </x:c>
      <x:c r="F267" s="5" t="inlineStr">
        <x:is>
          <x:t xml:space="preserve">노말</x:t>
        </x:is>
      </x:c>
      <x:c r="G267" s="5" t="inlineStr">
        <x:is>
          <x:t xml:space="preserve"/>
        </x:is>
      </x:c>
      <x:c r="H267" s="5" t="n">
        <x:v>0.4</x:v>
      </x:c>
      <x:c r="I267" s="5" t="n">
        <x:v>17.5</x:v>
      </x:c>
      <x:c r="J267" s="5" t="n">
        <x:v>240</x:v>
      </x:c>
      <x:c r="K267" s="5" t="n">
        <x:v>255</x:v>
      </x:c>
      <x:c r="L267" s="5" t="inlineStr">
        <x:is>
          <x:t xml:space="preserve">기본</x:t>
        </x:is>
      </x:c>
      <x:c r="M267" s="5" t="n">
        <x:v>20</x:v>
      </x:c>
      <x:c r="N267" s="5" t="inlineStr">
        <x:is>
          <x:t xml:space="preserve">레벨</x:t>
        </x:is>
      </x:c>
      <x:c r="O267" s="5" t="inlineStr">
        <x:is>
          <x:t xml:space="preserve">예</x:t>
        </x:is>
      </x:c>
      <x:c r="P267" s="5" t="inlineStr">
        <x:is>
          <x:t xml:space="preserve">#cobblemon:is_taiga; #cobblemon:is_temperate; aether:skyroot_forest; aether:skyroot_woodland</x:t>
        </x:is>
      </x:c>
      <x:c r="Q267" s="5" t="inlineStr">
        <x:is>
          <x:t xml:space="preserve">common</x:t>
        </x:is>
      </x:c>
      <x:c r="R267" s="5" t="inlineStr">
        <x:is>
          <x:t xml:space="preserve"/>
        </x:is>
      </x:c>
      <x:c r="S267" s="5" t="inlineStr">
        <x:is>
          <x:t xml:space="preserve"/>
        </x:is>
      </x:c>
      <x:c r="T267" s="5" t="inlineStr">
        <x:is>
          <x:t xml:space="preserve">육상</x:t>
        </x:is>
      </x:c>
      <x:c r="U267" s="5" t="inlineStr">
        <x:is>
          <x:t xml:space="preserve">수목</x:t>
        </x:is>
      </x:c>
      <x:c r="V267" s="5" t="inlineStr">
        <x:is>
          <x:t xml:space="preserve">서늘</x:t>
        </x:is>
      </x:c>
      <x:c r="W267" s="5" t="inlineStr">
        <x:is>
          <x:t xml:space="preserve">보통</x:t>
        </x:is>
      </x:c>
      <x:c r="X267" s="5" t="inlineStr">
        <x:is>
          <x:t xml:space="preserve">무관</x:t>
        </x:is>
      </x:c>
      <x:c r="Y267" s="5" t="inlineStr">
        <x:is>
          <x:t xml:space="preserve">무관</x:t>
        </x:is>
      </x:c>
      <x:c r="Z267" s="5" t="inlineStr">
        <x:is>
          <x:t xml:space="preserve">흔함</x:t>
        </x:is>
      </x:c>
      <x:c r="AA267" s="5" t="inlineStr">
        <x:is>
          <x:t xml:space="preserve">없음</x:t>
        </x:is>
      </x:c>
      <x:c r="AB267" s="5" t="inlineStr">
        <x:is>
          <x:t xml:space="preserve">숲</x:t>
        </x:is>
      </x:c>
      <x:c r="AC267" s="5" t="inlineStr">
        <x:is>
          <x:t xml:space="preserve">gen3; hoennian_form</x:t>
        </x:is>
      </x:c>
      <x:c r="AD267" s="5" t="inlineStr">
        <x:is>
          <x:t xml:space="preserve">.tmp/cobblemon-1.7.3-source/common/src/main/resources/data/cobblemon/species/generation3/zigzagoon.json</x:t>
        </x:is>
      </x:c>
    </x:row>
    <x:row r="268" ht="22" customHeight="1">
      <x:c r="A268" s="5" t="n">
        <x:v>264</x:v>
      </x:c>
      <x:c r="B268" s="5" t="inlineStr">
        <x:is>
          <x:t xml:space="preserve">직구리</x:t>
        </x:is>
      </x:c>
      <x:c r="C268" s="5" t="inlineStr">
        <x:is>
          <x:t xml:space="preserve">linoone</x:t>
        </x:is>
      </x:c>
      <x:c r="D268" s="5" t="inlineStr">
        <x:is>
          <x:t xml:space="preserve">Linoone</x:t>
        </x:is>
      </x:c>
      <x:c r="E268" s="5" t="n">
        <x:v>3</x:v>
      </x:c>
      <x:c r="F268" s="5" t="inlineStr">
        <x:is>
          <x:t xml:space="preserve">노말</x:t>
        </x:is>
      </x:c>
      <x:c r="G268" s="5" t="inlineStr">
        <x:is>
          <x:t xml:space="preserve"/>
        </x:is>
      </x:c>
      <x:c r="H268" s="5" t="n">
        <x:v>0.5</x:v>
      </x:c>
      <x:c r="I268" s="5" t="n">
        <x:v>32.5</x:v>
      </x:c>
      <x:c r="J268" s="5" t="n">
        <x:v>420</x:v>
      </x:c>
      <x:c r="K268" s="5" t="n">
        <x:v>90</x:v>
      </x:c>
      <x:c r="L268" s="5" t="inlineStr">
        <x:is>
          <x:t xml:space="preserve">최종</x:t>
        </x:is>
      </x:c>
      <x:c r="M268" s="5" t="n">
        <x:v>20</x:v>
      </x:c>
      <x:c r="N268" s="5" t="inlineStr">
        <x:is>
          <x:t xml:space="preserve">레벨</x:t>
        </x:is>
      </x:c>
      <x:c r="O268" s="5" t="inlineStr">
        <x:is>
          <x:t xml:space="preserve">예</x:t>
        </x:is>
      </x:c>
      <x:c r="P268" s="5" t="inlineStr">
        <x:is>
          <x:t xml:space="preserve">#cobblemon:is_taiga; #cobblemon:is_temperate; aether:skyroot_forest; aether:skyroot_woodland</x:t>
        </x:is>
      </x:c>
      <x:c r="Q268" s="5" t="inlineStr">
        <x:is>
          <x:t xml:space="preserve">common</x:t>
        </x:is>
      </x:c>
      <x:c r="R268" s="5" t="inlineStr">
        <x:is>
          <x:t xml:space="preserve"/>
        </x:is>
      </x:c>
      <x:c r="S268" s="5" t="inlineStr">
        <x:is>
          <x:t xml:space="preserve"/>
        </x:is>
      </x:c>
      <x:c r="T268" s="5" t="inlineStr">
        <x:is>
          <x:t xml:space="preserve">육상</x:t>
        </x:is>
      </x:c>
      <x:c r="U268" s="5" t="inlineStr">
        <x:is>
          <x:t xml:space="preserve">수목</x:t>
        </x:is>
      </x:c>
      <x:c r="V268" s="5" t="inlineStr">
        <x:is>
          <x:t xml:space="preserve">서늘</x:t>
        </x:is>
      </x:c>
      <x:c r="W268" s="5" t="inlineStr">
        <x:is>
          <x:t xml:space="preserve">보통</x:t>
        </x:is>
      </x:c>
      <x:c r="X268" s="5" t="inlineStr">
        <x:is>
          <x:t xml:space="preserve">무관</x:t>
        </x:is>
      </x:c>
      <x:c r="Y268" s="5" t="inlineStr">
        <x:is>
          <x:t xml:space="preserve">무관</x:t>
        </x:is>
      </x:c>
      <x:c r="Z268" s="5" t="inlineStr">
        <x:is>
          <x:t xml:space="preserve">흔함</x:t>
        </x:is>
      </x:c>
      <x:c r="AA268" s="5" t="inlineStr">
        <x:is>
          <x:t xml:space="preserve">없음</x:t>
        </x:is>
      </x:c>
      <x:c r="AB268" s="5" t="inlineStr">
        <x:is>
          <x:t xml:space="preserve">숲</x:t>
        </x:is>
      </x:c>
      <x:c r="AC268" s="5" t="inlineStr">
        <x:is>
          <x:t xml:space="preserve">gen3; hoennian_form</x:t>
        </x:is>
      </x:c>
      <x:c r="AD268" s="5" t="inlineStr">
        <x:is>
          <x:t xml:space="preserve">.tmp/cobblemon-1.7.3-source/common/src/main/resources/data/cobblemon/species/generation3/linoone.json</x:t>
        </x:is>
      </x:c>
    </x:row>
    <x:row r="269" ht="22" customHeight="1">
      <x:c r="A269" s="5" t="n">
        <x:v>265</x:v>
      </x:c>
      <x:c r="B269" s="5" t="inlineStr">
        <x:is>
          <x:t xml:space="preserve">개무소</x:t>
        </x:is>
      </x:c>
      <x:c r="C269" s="5" t="inlineStr">
        <x:is>
          <x:t xml:space="preserve">wurmple</x:t>
        </x:is>
      </x:c>
      <x:c r="D269" s="5" t="inlineStr">
        <x:is>
          <x:t xml:space="preserve">Wurmple</x:t>
        </x:is>
      </x:c>
      <x:c r="E269" s="5" t="n">
        <x:v>3</x:v>
      </x:c>
      <x:c r="F269" s="5" t="inlineStr">
        <x:is>
          <x:t xml:space="preserve">벌레</x:t>
        </x:is>
      </x:c>
      <x:c r="G269" s="5" t="inlineStr">
        <x:is>
          <x:t xml:space="preserve"/>
        </x:is>
      </x:c>
      <x:c r="H269" s="5" t="n">
        <x:v>0.3</x:v>
      </x:c>
      <x:c r="I269" s="5" t="n">
        <x:v>3.6</x:v>
      </x:c>
      <x:c r="J269" s="5" t="n">
        <x:v>195</x:v>
      </x:c>
      <x:c r="K269" s="5" t="n">
        <x:v>255</x:v>
      </x:c>
      <x:c r="L269" s="5" t="inlineStr">
        <x:is>
          <x:t xml:space="preserve">기본</x:t>
        </x:is>
      </x:c>
      <x:c r="M269" s="5" t="n">
        <x:v>10</x:v>
      </x:c>
      <x:c r="N269" s="5" t="inlineStr">
        <x:is>
          <x:t xml:space="preserve">레벨·특수</x:t>
        </x:is>
      </x:c>
      <x:c r="O269" s="5" t="inlineStr">
        <x:is>
          <x:t xml:space="preserve">아니오</x:t>
        </x:is>
      </x:c>
      <x:c r="P269" s="5" t="inlineStr">
        <x:is>
          <x:t xml:space="preserve">#cobblemon:is_forest; #cobblemon:is_jungle</x:t>
        </x:is>
      </x:c>
      <x:c r="Q269" s="5" t="inlineStr">
        <x:is>
          <x:t xml:space="preserve">common</x:t>
        </x:is>
      </x:c>
      <x:c r="R269" s="5" t="inlineStr">
        <x:is>
          <x:t xml:space="preserve"/>
        </x:is>
      </x:c>
      <x:c r="S269" s="5" t="inlineStr">
        <x:is>
          <x:t xml:space="preserve"/>
        </x:is>
      </x:c>
      <x:c r="T269" s="5" t="inlineStr">
        <x:is>
          <x:t xml:space="preserve">육상</x:t>
        </x:is>
      </x:c>
      <x:c r="U269" s="5" t="inlineStr">
        <x:is>
          <x:t xml:space="preserve">수목</x:t>
        </x:is>
      </x:c>
      <x:c r="V269" s="5" t="inlineStr">
        <x:is>
          <x:t xml:space="preserve">온대</x:t>
        </x:is>
      </x:c>
      <x:c r="W269" s="5" t="inlineStr">
        <x:is>
          <x:t xml:space="preserve">다습</x:t>
        </x:is>
      </x:c>
      <x:c r="X269" s="5" t="inlineStr">
        <x:is>
          <x:t xml:space="preserve">무관</x:t>
        </x:is>
      </x:c>
      <x:c r="Y269" s="5" t="inlineStr">
        <x:is>
          <x:t xml:space="preserve">무관</x:t>
        </x:is>
      </x:c>
      <x:c r="Z269" s="5" t="inlineStr">
        <x:is>
          <x:t xml:space="preserve">흔함</x:t>
        </x:is>
      </x:c>
      <x:c r="AA269" s="5" t="inlineStr">
        <x:is>
          <x:t xml:space="preserve">없음</x:t>
        </x:is>
      </x:c>
      <x:c r="AB269" s="5" t="inlineStr">
        <x:is>
          <x:t xml:space="preserve">숲</x:t>
        </x:is>
      </x:c>
      <x:c r="AC269" s="5" t="inlineStr">
        <x:is>
          <x:t xml:space="preserve">gen3</x:t>
        </x:is>
      </x:c>
      <x:c r="AD269" s="5" t="inlineStr">
        <x:is>
          <x:t xml:space="preserve">.tmp/cobblemon-1.7.3-source/common/src/main/resources/data/cobblemon/species/generation3/wurmple.json</x:t>
        </x:is>
      </x:c>
    </x:row>
    <x:row r="270" ht="22" customHeight="1">
      <x:c r="A270" s="5" t="n">
        <x:v>266</x:v>
      </x:c>
      <x:c r="B270" s="5" t="inlineStr">
        <x:is>
          <x:t xml:space="preserve">실쿤</x:t>
        </x:is>
      </x:c>
      <x:c r="C270" s="5" t="inlineStr">
        <x:is>
          <x:t xml:space="preserve">silcoon</x:t>
        </x:is>
      </x:c>
      <x:c r="D270" s="5" t="inlineStr">
        <x:is>
          <x:t xml:space="preserve">Silcoon</x:t>
        </x:is>
      </x:c>
      <x:c r="E270" s="5" t="n">
        <x:v>3</x:v>
      </x:c>
      <x:c r="F270" s="5" t="inlineStr">
        <x:is>
          <x:t xml:space="preserve">벌레</x:t>
        </x:is>
      </x:c>
      <x:c r="G270" s="5" t="inlineStr">
        <x:is>
          <x:t xml:space="preserve"/>
        </x:is>
      </x:c>
      <x:c r="H270" s="5" t="n">
        <x:v>0.6</x:v>
      </x:c>
      <x:c r="I270" s="5" t="n">
        <x:v>10</x:v>
      </x:c>
      <x:c r="J270" s="5" t="n">
        <x:v>205</x:v>
      </x:c>
      <x:c r="K270" s="5" t="n">
        <x:v>120</x:v>
      </x:c>
      <x:c r="L270" s="5" t="inlineStr">
        <x:is>
          <x:t xml:space="preserve">중간</x:t>
        </x:is>
      </x:c>
      <x:c r="M270" s="5" t="n">
        <x:v>10</x:v>
      </x:c>
      <x:c r="N270" s="5" t="inlineStr">
        <x:is>
          <x:t xml:space="preserve">레벨·특수</x:t>
        </x:is>
      </x:c>
      <x:c r="O270" s="5" t="inlineStr">
        <x:is>
          <x:t xml:space="preserve">아니오</x:t>
        </x:is>
      </x:c>
      <x:c r="P270" s="5" t="inlineStr">
        <x:is>
          <x:t xml:space="preserve">#cobblemon:is_forest; #cobblemon:is_jungle</x:t>
        </x:is>
      </x:c>
      <x:c r="Q270" s="5" t="inlineStr">
        <x:is>
          <x:t xml:space="preserve">uncommon</x:t>
        </x:is>
      </x:c>
      <x:c r="R270" s="5" t="inlineStr">
        <x:is>
          <x:t xml:space="preserve"/>
        </x:is>
      </x:c>
      <x:c r="S270" s="5" t="inlineStr">
        <x:is>
          <x:t xml:space="preserve"/>
        </x:is>
      </x:c>
      <x:c r="T270" s="5" t="inlineStr">
        <x:is>
          <x:t xml:space="preserve">육상</x:t>
        </x:is>
      </x:c>
      <x:c r="U270" s="5" t="inlineStr">
        <x:is>
          <x:t xml:space="preserve">수목</x:t>
        </x:is>
      </x:c>
      <x:c r="V270" s="5" t="inlineStr">
        <x:is>
          <x:t xml:space="preserve">온대</x:t>
        </x:is>
      </x:c>
      <x:c r="W270" s="5" t="inlineStr">
        <x:is>
          <x:t xml:space="preserve">다습</x:t>
        </x:is>
      </x:c>
      <x:c r="X270" s="5" t="inlineStr">
        <x:is>
          <x:t xml:space="preserve">무관</x:t>
        </x:is>
      </x:c>
      <x:c r="Y270" s="5" t="inlineStr">
        <x:is>
          <x:t xml:space="preserve">무관</x:t>
        </x:is>
      </x:c>
      <x:c r="Z270" s="5" t="inlineStr">
        <x:is>
          <x:t xml:space="preserve">보통</x:t>
        </x:is>
      </x:c>
      <x:c r="AA270" s="5" t="inlineStr">
        <x:is>
          <x:t xml:space="preserve">없음</x:t>
        </x:is>
      </x:c>
      <x:c r="AB270" s="5" t="inlineStr">
        <x:is>
          <x:t xml:space="preserve">숲</x:t>
        </x:is>
      </x:c>
      <x:c r="AC270" s="5" t="inlineStr">
        <x:is>
          <x:t xml:space="preserve">gen3</x:t>
        </x:is>
      </x:c>
      <x:c r="AD270" s="5" t="inlineStr">
        <x:is>
          <x:t xml:space="preserve">.tmp/cobblemon-1.7.3-source/common/src/main/resources/data/cobblemon/species/generation3/silcoon.json</x:t>
        </x:is>
      </x:c>
    </x:row>
    <x:row r="271" ht="22" customHeight="1">
      <x:c r="A271" s="5" t="n">
        <x:v>267</x:v>
      </x:c>
      <x:c r="B271" s="5" t="inlineStr">
        <x:is>
          <x:t xml:space="preserve">뷰티플라이</x:t>
        </x:is>
      </x:c>
      <x:c r="C271" s="5" t="inlineStr">
        <x:is>
          <x:t xml:space="preserve">beautifly</x:t>
        </x:is>
      </x:c>
      <x:c r="D271" s="5" t="inlineStr">
        <x:is>
          <x:t xml:space="preserve">Beautifly</x:t>
        </x:is>
      </x:c>
      <x:c r="E271" s="5" t="n">
        <x:v>3</x:v>
      </x:c>
      <x:c r="F271" s="5" t="inlineStr">
        <x:is>
          <x:t xml:space="preserve">벌레</x:t>
        </x:is>
      </x:c>
      <x:c r="G271" s="5" t="inlineStr">
        <x:is>
          <x:t xml:space="preserve">비행</x:t>
        </x:is>
      </x:c>
      <x:c r="H271" s="5" t="n">
        <x:v>1</x:v>
      </x:c>
      <x:c r="I271" s="5" t="n">
        <x:v>28.4</x:v>
      </x:c>
      <x:c r="J271" s="5" t="n">
        <x:v>395</x:v>
      </x:c>
      <x:c r="K271" s="5" t="n">
        <x:v>45</x:v>
      </x:c>
      <x:c r="L271" s="5" t="inlineStr">
        <x:is>
          <x:t xml:space="preserve">최종</x:t>
        </x:is>
      </x:c>
      <x:c r="M271" s="5" t="n">
        <x:v>10</x:v>
      </x:c>
      <x:c r="N271" s="5" t="inlineStr">
        <x:is>
          <x:t xml:space="preserve">레벨·특수</x:t>
        </x:is>
      </x:c>
      <x:c r="O271" s="5" t="inlineStr">
        <x:is>
          <x:t xml:space="preserve">아니오</x:t>
        </x:is>
      </x:c>
      <x:c r="P271" s="5" t="inlineStr">
        <x:is>
          <x:t xml:space="preserve">#cobblemon:is_floral; #cobblemon:is_forest; #cobblemon:is_jungle</x:t>
        </x:is>
      </x:c>
      <x:c r="Q271" s="5" t="inlineStr">
        <x:is>
          <x:t xml:space="preserve">uncommon</x:t>
        </x:is>
      </x:c>
      <x:c r="R271" s="5" t="inlineStr">
        <x:is>
          <x:t xml:space="preserve">day</x:t>
        </x:is>
      </x:c>
      <x:c r="S271" s="5" t="inlineStr">
        <x:is>
          <x:t xml:space="preserve">비=False</x:t>
        </x:is>
      </x:c>
      <x:c r="T271" s="5" t="inlineStr">
        <x:is>
          <x:t xml:space="preserve">비행</x:t>
        </x:is>
      </x:c>
      <x:c r="U271" s="5" t="inlineStr">
        <x:is>
          <x:t xml:space="preserve">수목</x:t>
        </x:is>
      </x:c>
      <x:c r="V271" s="5" t="inlineStr">
        <x:is>
          <x:t xml:space="preserve">온대</x:t>
        </x:is>
      </x:c>
      <x:c r="W271" s="5" t="inlineStr">
        <x:is>
          <x:t xml:space="preserve">다습</x:t>
        </x:is>
      </x:c>
      <x:c r="X271" s="5" t="inlineStr">
        <x:is>
          <x:t xml:space="preserve">무관</x:t>
        </x:is>
      </x:c>
      <x:c r="Y271" s="5" t="inlineStr">
        <x:is>
          <x:t xml:space="preserve">낮</x:t>
        </x:is>
      </x:c>
      <x:c r="Z271" s="5" t="inlineStr">
        <x:is>
          <x:t xml:space="preserve">보통</x:t>
        </x:is>
      </x:c>
      <x:c r="AA271" s="5" t="inlineStr">
        <x:is>
          <x:t xml:space="preserve">없음</x:t>
        </x:is>
      </x:c>
      <x:c r="AB271" s="5" t="inlineStr">
        <x:is>
          <x:t xml:space="preserve">숲</x:t>
        </x:is>
      </x:c>
      <x:c r="AC271" s="5" t="inlineStr">
        <x:is>
          <x:t xml:space="preserve">gen3</x:t>
        </x:is>
      </x:c>
      <x:c r="AD271" s="5" t="inlineStr">
        <x:is>
          <x:t xml:space="preserve">.tmp/cobblemon-1.7.3-source/common/src/main/resources/data/cobblemon/species/generation3/beautifly.json</x:t>
        </x:is>
      </x:c>
    </x:row>
    <x:row r="272" ht="22" customHeight="1">
      <x:c r="A272" s="5" t="n">
        <x:v>268</x:v>
      </x:c>
      <x:c r="B272" s="5" t="inlineStr">
        <x:is>
          <x:t xml:space="preserve">카스쿤</x:t>
        </x:is>
      </x:c>
      <x:c r="C272" s="5" t="inlineStr">
        <x:is>
          <x:t xml:space="preserve">cascoon</x:t>
        </x:is>
      </x:c>
      <x:c r="D272" s="5" t="inlineStr">
        <x:is>
          <x:t xml:space="preserve">Cascoon</x:t>
        </x:is>
      </x:c>
      <x:c r="E272" s="5" t="n">
        <x:v>3</x:v>
      </x:c>
      <x:c r="F272" s="5" t="inlineStr">
        <x:is>
          <x:t xml:space="preserve">벌레</x:t>
        </x:is>
      </x:c>
      <x:c r="G272" s="5" t="inlineStr">
        <x:is>
          <x:t xml:space="preserve"/>
        </x:is>
      </x:c>
      <x:c r="H272" s="5" t="n">
        <x:v>0.7</x:v>
      </x:c>
      <x:c r="I272" s="5" t="n">
        <x:v>11.5</x:v>
      </x:c>
      <x:c r="J272" s="5" t="n">
        <x:v>205</x:v>
      </x:c>
      <x:c r="K272" s="5" t="n">
        <x:v>120</x:v>
      </x:c>
      <x:c r="L272" s="5" t="inlineStr">
        <x:is>
          <x:t xml:space="preserve">중간</x:t>
        </x:is>
      </x:c>
      <x:c r="M272" s="5" t="n">
        <x:v>10</x:v>
      </x:c>
      <x:c r="N272" s="5" t="inlineStr">
        <x:is>
          <x:t xml:space="preserve">레벨·특수</x:t>
        </x:is>
      </x:c>
      <x:c r="O272" s="5" t="inlineStr">
        <x:is>
          <x:t xml:space="preserve">아니오</x:t>
        </x:is>
      </x:c>
      <x:c r="P272" s="5" t="inlineStr">
        <x:is>
          <x:t xml:space="preserve">#cobblemon:is_forest; #cobblemon:is_jungle</x:t>
        </x:is>
      </x:c>
      <x:c r="Q272" s="5" t="inlineStr">
        <x:is>
          <x:t xml:space="preserve">uncommon</x:t>
        </x:is>
      </x:c>
      <x:c r="R272" s="5" t="inlineStr">
        <x:is>
          <x:t xml:space="preserve"/>
        </x:is>
      </x:c>
      <x:c r="S272" s="5" t="inlineStr">
        <x:is>
          <x:t xml:space="preserve"/>
        </x:is>
      </x:c>
      <x:c r="T272" s="5" t="inlineStr">
        <x:is>
          <x:t xml:space="preserve">육상</x:t>
        </x:is>
      </x:c>
      <x:c r="U272" s="5" t="inlineStr">
        <x:is>
          <x:t xml:space="preserve">수목</x:t>
        </x:is>
      </x:c>
      <x:c r="V272" s="5" t="inlineStr">
        <x:is>
          <x:t xml:space="preserve">온대</x:t>
        </x:is>
      </x:c>
      <x:c r="W272" s="5" t="inlineStr">
        <x:is>
          <x:t xml:space="preserve">다습</x:t>
        </x:is>
      </x:c>
      <x:c r="X272" s="5" t="inlineStr">
        <x:is>
          <x:t xml:space="preserve">무관</x:t>
        </x:is>
      </x:c>
      <x:c r="Y272" s="5" t="inlineStr">
        <x:is>
          <x:t xml:space="preserve">무관</x:t>
        </x:is>
      </x:c>
      <x:c r="Z272" s="5" t="inlineStr">
        <x:is>
          <x:t xml:space="preserve">보통</x:t>
        </x:is>
      </x:c>
      <x:c r="AA272" s="5" t="inlineStr">
        <x:is>
          <x:t xml:space="preserve">없음</x:t>
        </x:is>
      </x:c>
      <x:c r="AB272" s="5" t="inlineStr">
        <x:is>
          <x:t xml:space="preserve">숲</x:t>
        </x:is>
      </x:c>
      <x:c r="AC272" s="5" t="inlineStr">
        <x:is>
          <x:t xml:space="preserve">gen3</x:t>
        </x:is>
      </x:c>
      <x:c r="AD272" s="5" t="inlineStr">
        <x:is>
          <x:t xml:space="preserve">.tmp/cobblemon-1.7.3-source/common/src/main/resources/data/cobblemon/species/generation3/cascoon.json</x:t>
        </x:is>
      </x:c>
    </x:row>
    <x:row r="273" ht="22" customHeight="1">
      <x:c r="A273" s="5" t="n">
        <x:v>269</x:v>
      </x:c>
      <x:c r="B273" s="5" t="inlineStr">
        <x:is>
          <x:t xml:space="preserve">독케일</x:t>
        </x:is>
      </x:c>
      <x:c r="C273" s="5" t="inlineStr">
        <x:is>
          <x:t xml:space="preserve">dustox</x:t>
        </x:is>
      </x:c>
      <x:c r="D273" s="5" t="inlineStr">
        <x:is>
          <x:t xml:space="preserve">Dustox</x:t>
        </x:is>
      </x:c>
      <x:c r="E273" s="5" t="n">
        <x:v>3</x:v>
      </x:c>
      <x:c r="F273" s="5" t="inlineStr">
        <x:is>
          <x:t xml:space="preserve">벌레</x:t>
        </x:is>
      </x:c>
      <x:c r="G273" s="5" t="inlineStr">
        <x:is>
          <x:t xml:space="preserve">독</x:t>
        </x:is>
      </x:c>
      <x:c r="H273" s="5" t="n">
        <x:v>1.2</x:v>
      </x:c>
      <x:c r="I273" s="5" t="n">
        <x:v>31.6</x:v>
      </x:c>
      <x:c r="J273" s="5" t="n">
        <x:v>385</x:v>
      </x:c>
      <x:c r="K273" s="5" t="n">
        <x:v>45</x:v>
      </x:c>
      <x:c r="L273" s="5" t="inlineStr">
        <x:is>
          <x:t xml:space="preserve">최종</x:t>
        </x:is>
      </x:c>
      <x:c r="M273" s="5" t="n">
        <x:v>10</x:v>
      </x:c>
      <x:c r="N273" s="5" t="inlineStr">
        <x:is>
          <x:t xml:space="preserve">레벨·특수</x:t>
        </x:is>
      </x:c>
      <x:c r="O273" s="5" t="inlineStr">
        <x:is>
          <x:t xml:space="preserve">아니오</x:t>
        </x:is>
      </x:c>
      <x:c r="P273" s="5" t="inlineStr">
        <x:is>
          <x:t xml:space="preserve">#cobblemon:is_forest; #cobblemon:is_jungle</x:t>
        </x:is>
      </x:c>
      <x:c r="Q273" s="5" t="inlineStr">
        <x:is>
          <x:t xml:space="preserve">uncommon</x:t>
        </x:is>
      </x:c>
      <x:c r="R273" s="5" t="inlineStr">
        <x:is>
          <x:t xml:space="preserve"/>
        </x:is>
      </x:c>
      <x:c r="S273" s="5" t="inlineStr">
        <x:is>
          <x:t xml:space="preserve"/>
        </x:is>
      </x:c>
      <x:c r="T273" s="5" t="inlineStr">
        <x:is>
          <x:t xml:space="preserve">비행</x:t>
        </x:is>
      </x:c>
      <x:c r="U273" s="5" t="inlineStr">
        <x:is>
          <x:t xml:space="preserve">수목</x:t>
        </x:is>
      </x:c>
      <x:c r="V273" s="5" t="inlineStr">
        <x:is>
          <x:t xml:space="preserve">온대</x:t>
        </x:is>
      </x:c>
      <x:c r="W273" s="5" t="inlineStr">
        <x:is>
          <x:t xml:space="preserve">다습</x:t>
        </x:is>
      </x:c>
      <x:c r="X273" s="5" t="inlineStr">
        <x:is>
          <x:t xml:space="preserve">무관</x:t>
        </x:is>
      </x:c>
      <x:c r="Y273" s="5" t="inlineStr">
        <x:is>
          <x:t xml:space="preserve">무관</x:t>
        </x:is>
      </x:c>
      <x:c r="Z273" s="5" t="inlineStr">
        <x:is>
          <x:t xml:space="preserve">보통</x:t>
        </x:is>
      </x:c>
      <x:c r="AA273" s="5" t="inlineStr">
        <x:is>
          <x:t xml:space="preserve">없음</x:t>
        </x:is>
      </x:c>
      <x:c r="AB273" s="5" t="inlineStr">
        <x:is>
          <x:t xml:space="preserve">숲</x:t>
        </x:is>
      </x:c>
      <x:c r="AC273" s="5" t="inlineStr">
        <x:is>
          <x:t xml:space="preserve">gen3</x:t>
        </x:is>
      </x:c>
      <x:c r="AD273" s="5" t="inlineStr">
        <x:is>
          <x:t xml:space="preserve">.tmp/cobblemon-1.7.3-source/common/src/main/resources/data/cobblemon/species/generation3/dustox.json</x:t>
        </x:is>
      </x:c>
    </x:row>
    <x:row r="274" ht="22" customHeight="1">
      <x:c r="A274" s="5" t="n">
        <x:v>270</x:v>
      </x:c>
      <x:c r="B274" s="5" t="inlineStr">
        <x:is>
          <x:t xml:space="preserve">연꽃몬</x:t>
        </x:is>
      </x:c>
      <x:c r="C274" s="5" t="inlineStr">
        <x:is>
          <x:t xml:space="preserve">lotad</x:t>
        </x:is>
      </x:c>
      <x:c r="D274" s="5" t="inlineStr">
        <x:is>
          <x:t xml:space="preserve">Lotad</x:t>
        </x:is>
      </x:c>
      <x:c r="E274" s="5" t="n">
        <x:v>3</x:v>
      </x:c>
      <x:c r="F274" s="5" t="inlineStr">
        <x:is>
          <x:t xml:space="preserve">물</x:t>
        </x:is>
      </x:c>
      <x:c r="G274" s="5" t="inlineStr">
        <x:is>
          <x:t xml:space="preserve">풀</x:t>
        </x:is>
      </x:c>
      <x:c r="H274" s="5" t="n">
        <x:v>0.5</x:v>
      </x:c>
      <x:c r="I274" s="5" t="n">
        <x:v>2.6</x:v>
      </x:c>
      <x:c r="J274" s="5" t="n">
        <x:v>220</x:v>
      </x:c>
      <x:c r="K274" s="5" t="n">
        <x:v>255</x:v>
      </x:c>
      <x:c r="L274" s="5" t="inlineStr">
        <x:is>
          <x:t xml:space="preserve">기본</x:t>
        </x:is>
      </x:c>
      <x:c r="M274" s="5" t="n">
        <x:v>14</x:v>
      </x:c>
      <x:c r="N274" s="5" t="inlineStr">
        <x:is>
          <x:t xml:space="preserve">레벨·특수</x:t>
        </x:is>
      </x:c>
      <x:c r="O274" s="5" t="inlineStr">
        <x:is>
          <x:t xml:space="preserve">예</x:t>
        </x:is>
      </x:c>
      <x:c r="P274" s="5" t="inlineStr">
        <x:is>
          <x:t xml:space="preserve">#cobblemon:is_forest; #cobblemon:is_jungle; #cobblemon:is_swamp</x:t>
        </x:is>
      </x:c>
      <x:c r="Q274" s="5" t="inlineStr">
        <x:is>
          <x:t xml:space="preserve">common</x:t>
        </x:is>
      </x:c>
      <x:c r="R274" s="5" t="inlineStr">
        <x:is>
          <x:t xml:space="preserve"/>
        </x:is>
      </x:c>
      <x:c r="S274" s="5" t="inlineStr">
        <x:is>
          <x:t xml:space="preserve">비=True</x:t>
        </x:is>
      </x:c>
      <x:c r="T274" s="5" t="inlineStr">
        <x:is>
          <x:t xml:space="preserve">수륙</x:t>
        </x:is>
      </x:c>
      <x:c r="U274" s="5" t="inlineStr">
        <x:is>
          <x:t xml:space="preserve">습지</x:t>
        </x:is>
      </x:c>
      <x:c r="V274" s="5" t="inlineStr">
        <x:is>
          <x:t xml:space="preserve">온대</x:t>
        </x:is>
      </x:c>
      <x:c r="W274" s="5" t="inlineStr">
        <x:is>
          <x:t xml:space="preserve">다습</x:t>
        </x:is>
      </x:c>
      <x:c r="X274" s="5" t="inlineStr">
        <x:is>
          <x:t xml:space="preserve">비</x:t>
        </x:is>
      </x:c>
      <x:c r="Y274" s="5" t="inlineStr">
        <x:is>
          <x:t xml:space="preserve">무관</x:t>
        </x:is>
      </x:c>
      <x:c r="Z274" s="5" t="inlineStr">
        <x:is>
          <x:t xml:space="preserve">흔함</x:t>
        </x:is>
      </x:c>
      <x:c r="AA274" s="5" t="inlineStr">
        <x:is>
          <x:t xml:space="preserve">없음</x:t>
        </x:is>
      </x:c>
      <x:c r="AB274" s="5" t="inlineStr">
        <x:is>
          <x:t xml:space="preserve">습지</x:t>
        </x:is>
      </x:c>
      <x:c r="AC274" s="5" t="inlineStr">
        <x:is>
          <x:t xml:space="preserve">gen3</x:t>
        </x:is>
      </x:c>
      <x:c r="AD274" s="5" t="inlineStr">
        <x:is>
          <x:t xml:space="preserve">.tmp/cobblemon-1.7.3-source/common/src/main/resources/data/cobblemon/species/generation3/lotad.json</x:t>
        </x:is>
      </x:c>
    </x:row>
    <x:row r="275" ht="22" customHeight="1">
      <x:c r="A275" s="5" t="n">
        <x:v>271</x:v>
      </x:c>
      <x:c r="B275" s="5" t="inlineStr">
        <x:is>
          <x:t xml:space="preserve">로토스</x:t>
        </x:is>
      </x:c>
      <x:c r="C275" s="5" t="inlineStr">
        <x:is>
          <x:t xml:space="preserve">lombre</x:t>
        </x:is>
      </x:c>
      <x:c r="D275" s="5" t="inlineStr">
        <x:is>
          <x:t xml:space="preserve">Lombre</x:t>
        </x:is>
      </x:c>
      <x:c r="E275" s="5" t="n">
        <x:v>3</x:v>
      </x:c>
      <x:c r="F275" s="5" t="inlineStr">
        <x:is>
          <x:t xml:space="preserve">물</x:t>
        </x:is>
      </x:c>
      <x:c r="G275" s="5" t="inlineStr">
        <x:is>
          <x:t xml:space="preserve">풀</x:t>
        </x:is>
      </x:c>
      <x:c r="H275" s="5" t="n">
        <x:v>1.2</x:v>
      </x:c>
      <x:c r="I275" s="5" t="n">
        <x:v>32.5</x:v>
      </x:c>
      <x:c r="J275" s="5" t="n">
        <x:v>340</x:v>
      </x:c>
      <x:c r="K275" s="5" t="n">
        <x:v>120</x:v>
      </x:c>
      <x:c r="L275" s="5" t="inlineStr">
        <x:is>
          <x:t xml:space="preserve">중간</x:t>
        </x:is>
      </x:c>
      <x:c r="M275" s="5" t="n">
        <x:v>14</x:v>
      </x:c>
      <x:c r="N275" s="5" t="inlineStr">
        <x:is>
          <x:t xml:space="preserve">레벨·특수</x:t>
        </x:is>
      </x:c>
      <x:c r="O275" s="5" t="inlineStr">
        <x:is>
          <x:t xml:space="preserve">예</x:t>
        </x:is>
      </x:c>
      <x:c r="P275" s="5" t="inlineStr">
        <x:is>
          <x:t xml:space="preserve">#cobblemon:is_forest; #cobblemon:is_jungle; #cobblemon:is_swamp</x:t>
        </x:is>
      </x:c>
      <x:c r="Q275" s="5" t="inlineStr">
        <x:is>
          <x:t xml:space="preserve">common</x:t>
        </x:is>
      </x:c>
      <x:c r="R275" s="5" t="inlineStr">
        <x:is>
          <x:t xml:space="preserve"/>
        </x:is>
      </x:c>
      <x:c r="S275" s="5" t="inlineStr">
        <x:is>
          <x:t xml:space="preserve">비=True</x:t>
        </x:is>
      </x:c>
      <x:c r="T275" s="5" t="inlineStr">
        <x:is>
          <x:t xml:space="preserve">수륙</x:t>
        </x:is>
      </x:c>
      <x:c r="U275" s="5" t="inlineStr">
        <x:is>
          <x:t xml:space="preserve">습지</x:t>
        </x:is>
      </x:c>
      <x:c r="V275" s="5" t="inlineStr">
        <x:is>
          <x:t xml:space="preserve">온대</x:t>
        </x:is>
      </x:c>
      <x:c r="W275" s="5" t="inlineStr">
        <x:is>
          <x:t xml:space="preserve">다습</x:t>
        </x:is>
      </x:c>
      <x:c r="X275" s="5" t="inlineStr">
        <x:is>
          <x:t xml:space="preserve">비</x:t>
        </x:is>
      </x:c>
      <x:c r="Y275" s="5" t="inlineStr">
        <x:is>
          <x:t xml:space="preserve">무관</x:t>
        </x:is>
      </x:c>
      <x:c r="Z275" s="5" t="inlineStr">
        <x:is>
          <x:t xml:space="preserve">흔함</x:t>
        </x:is>
      </x:c>
      <x:c r="AA275" s="5" t="inlineStr">
        <x:is>
          <x:t xml:space="preserve">없음</x:t>
        </x:is>
      </x:c>
      <x:c r="AB275" s="5" t="inlineStr">
        <x:is>
          <x:t xml:space="preserve">습지</x:t>
        </x:is>
      </x:c>
      <x:c r="AC275" s="5" t="inlineStr">
        <x:is>
          <x:t xml:space="preserve">gen3</x:t>
        </x:is>
      </x:c>
      <x:c r="AD275" s="5" t="inlineStr">
        <x:is>
          <x:t xml:space="preserve">.tmp/cobblemon-1.7.3-source/common/src/main/resources/data/cobblemon/species/generation3/lombre.json</x:t>
        </x:is>
      </x:c>
    </x:row>
    <x:row r="276" ht="22" customHeight="1">
      <x:c r="A276" s="5" t="n">
        <x:v>272</x:v>
      </x:c>
      <x:c r="B276" s="5" t="inlineStr">
        <x:is>
          <x:t xml:space="preserve">로파파</x:t>
        </x:is>
      </x:c>
      <x:c r="C276" s="5" t="inlineStr">
        <x:is>
          <x:t xml:space="preserve">ludicolo</x:t>
        </x:is>
      </x:c>
      <x:c r="D276" s="5" t="inlineStr">
        <x:is>
          <x:t xml:space="preserve">Ludicolo</x:t>
        </x:is>
      </x:c>
      <x:c r="E276" s="5" t="n">
        <x:v>3</x:v>
      </x:c>
      <x:c r="F276" s="5" t="inlineStr">
        <x:is>
          <x:t xml:space="preserve">물</x:t>
        </x:is>
      </x:c>
      <x:c r="G276" s="5" t="inlineStr">
        <x:is>
          <x:t xml:space="preserve">풀</x:t>
        </x:is>
      </x:c>
      <x:c r="H276" s="5" t="n">
        <x:v>1.5</x:v>
      </x:c>
      <x:c r="I276" s="5" t="n">
        <x:v>55</x:v>
      </x:c>
      <x:c r="J276" s="5" t="n">
        <x:v>480</x:v>
      </x:c>
      <x:c r="K276" s="5" t="n">
        <x:v>45</x:v>
      </x:c>
      <x:c r="L276" s="5" t="inlineStr">
        <x:is>
          <x:t xml:space="preserve">최종</x:t>
        </x:is>
      </x:c>
      <x:c r="M276" s="5" t="n">
        <x:v>14</x:v>
      </x:c>
      <x:c r="N276" s="5" t="inlineStr">
        <x:is>
          <x:t xml:space="preserve">레벨·특수</x:t>
        </x:is>
      </x:c>
      <x:c r="O276" s="5" t="inlineStr">
        <x:is>
          <x:t xml:space="preserve">예</x:t>
        </x:is>
      </x:c>
      <x:c r="P276" s="5" t="inlineStr">
        <x:is>
          <x:t xml:space="preserve">#cobblemon:is_forest; #cobblemon:is_jungle; #cobblemon:is_swamp</x:t>
        </x:is>
      </x:c>
      <x:c r="Q276" s="5" t="inlineStr">
        <x:is>
          <x:t xml:space="preserve">common</x:t>
        </x:is>
      </x:c>
      <x:c r="R276" s="5" t="inlineStr">
        <x:is>
          <x:t xml:space="preserve"/>
        </x:is>
      </x:c>
      <x:c r="S276" s="5" t="inlineStr">
        <x:is>
          <x:t xml:space="preserve">비=True</x:t>
        </x:is>
      </x:c>
      <x:c r="T276" s="5" t="inlineStr">
        <x:is>
          <x:t xml:space="preserve">수륙</x:t>
        </x:is>
      </x:c>
      <x:c r="U276" s="5" t="inlineStr">
        <x:is>
          <x:t xml:space="preserve">습지</x:t>
        </x:is>
      </x:c>
      <x:c r="V276" s="5" t="inlineStr">
        <x:is>
          <x:t xml:space="preserve">온대</x:t>
        </x:is>
      </x:c>
      <x:c r="W276" s="5" t="inlineStr">
        <x:is>
          <x:t xml:space="preserve">다습</x:t>
        </x:is>
      </x:c>
      <x:c r="X276" s="5" t="inlineStr">
        <x:is>
          <x:t xml:space="preserve">비</x:t>
        </x:is>
      </x:c>
      <x:c r="Y276" s="5" t="inlineStr">
        <x:is>
          <x:t xml:space="preserve">무관</x:t>
        </x:is>
      </x:c>
      <x:c r="Z276" s="5" t="inlineStr">
        <x:is>
          <x:t xml:space="preserve">흔함</x:t>
        </x:is>
      </x:c>
      <x:c r="AA276" s="5" t="inlineStr">
        <x:is>
          <x:t xml:space="preserve">없음</x:t>
        </x:is>
      </x:c>
      <x:c r="AB276" s="5" t="inlineStr">
        <x:is>
          <x:t xml:space="preserve">습지</x:t>
        </x:is>
      </x:c>
      <x:c r="AC276" s="5" t="inlineStr">
        <x:is>
          <x:t xml:space="preserve">gen3</x:t>
        </x:is>
      </x:c>
      <x:c r="AD276" s="5" t="inlineStr">
        <x:is>
          <x:t xml:space="preserve">.tmp/cobblemon-1.7.3-source/common/src/main/resources/data/cobblemon/species/generation3/ludicolo.json</x:t>
        </x:is>
      </x:c>
    </x:row>
    <x:row r="277" ht="22" customHeight="1">
      <x:c r="A277" s="5" t="n">
        <x:v>273</x:v>
      </x:c>
      <x:c r="B277" s="5" t="inlineStr">
        <x:is>
          <x:t xml:space="preserve">도토링</x:t>
        </x:is>
      </x:c>
      <x:c r="C277" s="5" t="inlineStr">
        <x:is>
          <x:t xml:space="preserve">seedot</x:t>
        </x:is>
      </x:c>
      <x:c r="D277" s="5" t="inlineStr">
        <x:is>
          <x:t xml:space="preserve">Seedot</x:t>
        </x:is>
      </x:c>
      <x:c r="E277" s="5" t="n">
        <x:v>3</x:v>
      </x:c>
      <x:c r="F277" s="5" t="inlineStr">
        <x:is>
          <x:t xml:space="preserve">풀</x:t>
        </x:is>
      </x:c>
      <x:c r="G277" s="5" t="inlineStr">
        <x:is>
          <x:t xml:space="preserve"/>
        </x:is>
      </x:c>
      <x:c r="H277" s="5" t="n">
        <x:v>0.5</x:v>
      </x:c>
      <x:c r="I277" s="5" t="n">
        <x:v>4</x:v>
      </x:c>
      <x:c r="J277" s="5" t="n">
        <x:v>220</x:v>
      </x:c>
      <x:c r="K277" s="5" t="n">
        <x:v>255</x:v>
      </x:c>
      <x:c r="L277" s="5" t="inlineStr">
        <x:is>
          <x:t xml:space="preserve">기본</x:t>
        </x:is>
      </x:c>
      <x:c r="M277" s="5" t="n">
        <x:v>14</x:v>
      </x:c>
      <x:c r="N277" s="5" t="inlineStr">
        <x:is>
          <x:t xml:space="preserve">레벨·특수</x:t>
        </x:is>
      </x:c>
      <x:c r="O277" s="5" t="inlineStr">
        <x:is>
          <x:t xml:space="preserve">예</x:t>
        </x:is>
      </x:c>
      <x:c r="P277" s="5" t="inlineStr">
        <x:is>
          <x:t xml:space="preserve">#cobblemon:is_forest; aether:skyroot_forest; aether:skyroot_woodland</x:t>
        </x:is>
      </x:c>
      <x:c r="Q277" s="5" t="inlineStr">
        <x:is>
          <x:t xml:space="preserve">common</x:t>
        </x:is>
      </x:c>
      <x:c r="R277" s="5" t="inlineStr">
        <x:is>
          <x:t xml:space="preserve"/>
        </x:is>
      </x:c>
      <x:c r="S277" s="5" t="inlineStr">
        <x:is>
          <x:t xml:space="preserve"/>
        </x:is>
      </x:c>
      <x:c r="T277" s="5" t="inlineStr">
        <x:is>
          <x:t xml:space="preserve">육상</x:t>
        </x:is>
      </x:c>
      <x:c r="U277" s="5" t="inlineStr">
        <x:is>
          <x:t xml:space="preserve">수목</x:t>
        </x:is>
      </x:c>
      <x:c r="V277" s="5" t="inlineStr">
        <x:is>
          <x:t xml:space="preserve">온대</x:t>
        </x:is>
      </x:c>
      <x:c r="W277" s="5" t="inlineStr">
        <x:is>
          <x:t xml:space="preserve">보통</x:t>
        </x:is>
      </x:c>
      <x:c r="X277" s="5" t="inlineStr">
        <x:is>
          <x:t xml:space="preserve">무관</x:t>
        </x:is>
      </x:c>
      <x:c r="Y277" s="5" t="inlineStr">
        <x:is>
          <x:t xml:space="preserve">무관</x:t>
        </x:is>
      </x:c>
      <x:c r="Z277" s="5" t="inlineStr">
        <x:is>
          <x:t xml:space="preserve">흔함</x:t>
        </x:is>
      </x:c>
      <x:c r="AA277" s="5" t="inlineStr">
        <x:is>
          <x:t xml:space="preserve">없음</x:t>
        </x:is>
      </x:c>
      <x:c r="AB277" s="5" t="inlineStr">
        <x:is>
          <x:t xml:space="preserve">숲</x:t>
        </x:is>
      </x:c>
      <x:c r="AC277" s="5" t="inlineStr">
        <x:is>
          <x:t xml:space="preserve">gen3</x:t>
        </x:is>
      </x:c>
      <x:c r="AD277" s="5" t="inlineStr">
        <x:is>
          <x:t xml:space="preserve">.tmp/cobblemon-1.7.3-source/common/src/main/resources/data/cobblemon/species/generation3/seedot.json</x:t>
        </x:is>
      </x:c>
    </x:row>
    <x:row r="278" ht="22" customHeight="1">
      <x:c r="A278" s="5" t="n">
        <x:v>274</x:v>
      </x:c>
      <x:c r="B278" s="5" t="inlineStr">
        <x:is>
          <x:t xml:space="preserve">잎새코</x:t>
        </x:is>
      </x:c>
      <x:c r="C278" s="5" t="inlineStr">
        <x:is>
          <x:t xml:space="preserve">nuzleaf</x:t>
        </x:is>
      </x:c>
      <x:c r="D278" s="5" t="inlineStr">
        <x:is>
          <x:t xml:space="preserve">Nuzleaf</x:t>
        </x:is>
      </x:c>
      <x:c r="E278" s="5" t="n">
        <x:v>3</x:v>
      </x:c>
      <x:c r="F278" s="5" t="inlineStr">
        <x:is>
          <x:t xml:space="preserve">풀</x:t>
        </x:is>
      </x:c>
      <x:c r="G278" s="5" t="inlineStr">
        <x:is>
          <x:t xml:space="preserve">악</x:t>
        </x:is>
      </x:c>
      <x:c r="H278" s="5" t="n">
        <x:v>1</x:v>
      </x:c>
      <x:c r="I278" s="5" t="n">
        <x:v>28</x:v>
      </x:c>
      <x:c r="J278" s="5" t="n">
        <x:v>340</x:v>
      </x:c>
      <x:c r="K278" s="5" t="n">
        <x:v>120</x:v>
      </x:c>
      <x:c r="L278" s="5" t="inlineStr">
        <x:is>
          <x:t xml:space="preserve">중간</x:t>
        </x:is>
      </x:c>
      <x:c r="M278" s="5" t="n">
        <x:v>14</x:v>
      </x:c>
      <x:c r="N278" s="5" t="inlineStr">
        <x:is>
          <x:t xml:space="preserve">레벨·특수</x:t>
        </x:is>
      </x:c>
      <x:c r="O278" s="5" t="inlineStr">
        <x:is>
          <x:t xml:space="preserve">예</x:t>
        </x:is>
      </x:c>
      <x:c r="P278" s="5" t="inlineStr">
        <x:is>
          <x:t xml:space="preserve">#cobblemon:is_forest; aether:skyroot_forest; aether:skyroot_woodland</x:t>
        </x:is>
      </x:c>
      <x:c r="Q278" s="5" t="inlineStr">
        <x:is>
          <x:t xml:space="preserve">common</x:t>
        </x:is>
      </x:c>
      <x:c r="R278" s="5" t="inlineStr">
        <x:is>
          <x:t xml:space="preserve"/>
        </x:is>
      </x:c>
      <x:c r="S278" s="5" t="inlineStr">
        <x:is>
          <x:t xml:space="preserve"/>
        </x:is>
      </x:c>
      <x:c r="T278" s="5" t="inlineStr">
        <x:is>
          <x:t xml:space="preserve">육상</x:t>
        </x:is>
      </x:c>
      <x:c r="U278" s="5" t="inlineStr">
        <x:is>
          <x:t xml:space="preserve">수목</x:t>
        </x:is>
      </x:c>
      <x:c r="V278" s="5" t="inlineStr">
        <x:is>
          <x:t xml:space="preserve">온대</x:t>
        </x:is>
      </x:c>
      <x:c r="W278" s="5" t="inlineStr">
        <x:is>
          <x:t xml:space="preserve">보통</x:t>
        </x:is>
      </x:c>
      <x:c r="X278" s="5" t="inlineStr">
        <x:is>
          <x:t xml:space="preserve">무관</x:t>
        </x:is>
      </x:c>
      <x:c r="Y278" s="5" t="inlineStr">
        <x:is>
          <x:t xml:space="preserve">밤</x:t>
        </x:is>
      </x:c>
      <x:c r="Z278" s="5" t="inlineStr">
        <x:is>
          <x:t xml:space="preserve">흔함</x:t>
        </x:is>
      </x:c>
      <x:c r="AA278" s="5" t="inlineStr">
        <x:is>
          <x:t xml:space="preserve">없음</x:t>
        </x:is>
      </x:c>
      <x:c r="AB278" s="5" t="inlineStr">
        <x:is>
          <x:t xml:space="preserve">숲</x:t>
        </x:is>
      </x:c>
      <x:c r="AC278" s="5" t="inlineStr">
        <x:is>
          <x:t xml:space="preserve">gen3</x:t>
        </x:is>
      </x:c>
      <x:c r="AD278" s="5" t="inlineStr">
        <x:is>
          <x:t xml:space="preserve">.tmp/cobblemon-1.7.3-source/common/src/main/resources/data/cobblemon/species/generation3/nuzleaf.json</x:t>
        </x:is>
      </x:c>
    </x:row>
    <x:row r="279" ht="22" customHeight="1">
      <x:c r="A279" s="5" t="n">
        <x:v>275</x:v>
      </x:c>
      <x:c r="B279" s="5" t="inlineStr">
        <x:is>
          <x:t xml:space="preserve">다탱구</x:t>
        </x:is>
      </x:c>
      <x:c r="C279" s="5" t="inlineStr">
        <x:is>
          <x:t xml:space="preserve">shiftry</x:t>
        </x:is>
      </x:c>
      <x:c r="D279" s="5" t="inlineStr">
        <x:is>
          <x:t xml:space="preserve">Shiftry</x:t>
        </x:is>
      </x:c>
      <x:c r="E279" s="5" t="n">
        <x:v>3</x:v>
      </x:c>
      <x:c r="F279" s="5" t="inlineStr">
        <x:is>
          <x:t xml:space="preserve">풀</x:t>
        </x:is>
      </x:c>
      <x:c r="G279" s="5" t="inlineStr">
        <x:is>
          <x:t xml:space="preserve">악</x:t>
        </x:is>
      </x:c>
      <x:c r="H279" s="5" t="n">
        <x:v>1.3</x:v>
      </x:c>
      <x:c r="I279" s="5" t="n">
        <x:v>59.6</x:v>
      </x:c>
      <x:c r="J279" s="5" t="n">
        <x:v>480</x:v>
      </x:c>
      <x:c r="K279" s="5" t="n">
        <x:v>45</x:v>
      </x:c>
      <x:c r="L279" s="5" t="inlineStr">
        <x:is>
          <x:t xml:space="preserve">최종</x:t>
        </x:is>
      </x:c>
      <x:c r="M279" s="5" t="n">
        <x:v>14</x:v>
      </x:c>
      <x:c r="N279" s="5" t="inlineStr">
        <x:is>
          <x:t xml:space="preserve">레벨·특수</x:t>
        </x:is>
      </x:c>
      <x:c r="O279" s="5" t="inlineStr">
        <x:is>
          <x:t xml:space="preserve">예</x:t>
        </x:is>
      </x:c>
      <x:c r="P279" s="5" t="inlineStr">
        <x:is>
          <x:t xml:space="preserve">#cobblemon:is_forest; aether:skyroot_forest; aether:skyroot_woodland</x:t>
        </x:is>
      </x:c>
      <x:c r="Q279" s="5" t="inlineStr">
        <x:is>
          <x:t xml:space="preserve">common</x:t>
        </x:is>
      </x:c>
      <x:c r="R279" s="5" t="inlineStr">
        <x:is>
          <x:t xml:space="preserve"/>
        </x:is>
      </x:c>
      <x:c r="S279" s="5" t="inlineStr">
        <x:is>
          <x:t xml:space="preserve"/>
        </x:is>
      </x:c>
      <x:c r="T279" s="5" t="inlineStr">
        <x:is>
          <x:t xml:space="preserve">육상</x:t>
        </x:is>
      </x:c>
      <x:c r="U279" s="5" t="inlineStr">
        <x:is>
          <x:t xml:space="preserve">수목</x:t>
        </x:is>
      </x:c>
      <x:c r="V279" s="5" t="inlineStr">
        <x:is>
          <x:t xml:space="preserve">온대</x:t>
        </x:is>
      </x:c>
      <x:c r="W279" s="5" t="inlineStr">
        <x:is>
          <x:t xml:space="preserve">보통</x:t>
        </x:is>
      </x:c>
      <x:c r="X279" s="5" t="inlineStr">
        <x:is>
          <x:t xml:space="preserve">무관</x:t>
        </x:is>
      </x:c>
      <x:c r="Y279" s="5" t="inlineStr">
        <x:is>
          <x:t xml:space="preserve">밤</x:t>
        </x:is>
      </x:c>
      <x:c r="Z279" s="5" t="inlineStr">
        <x:is>
          <x:t xml:space="preserve">흔함</x:t>
        </x:is>
      </x:c>
      <x:c r="AA279" s="5" t="inlineStr">
        <x:is>
          <x:t xml:space="preserve">없음</x:t>
        </x:is>
      </x:c>
      <x:c r="AB279" s="5" t="inlineStr">
        <x:is>
          <x:t xml:space="preserve">숲</x:t>
        </x:is>
      </x:c>
      <x:c r="AC279" s="5" t="inlineStr">
        <x:is>
          <x:t xml:space="preserve">gen3</x:t>
        </x:is>
      </x:c>
      <x:c r="AD279" s="5" t="inlineStr">
        <x:is>
          <x:t xml:space="preserve">.tmp/cobblemon-1.7.3-source/common/src/main/resources/data/cobblemon/species/generation3/shiftry.json</x:t>
        </x:is>
      </x:c>
    </x:row>
    <x:row r="280" ht="22" customHeight="1">
      <x:c r="A280" s="5" t="n">
        <x:v>276</x:v>
      </x:c>
      <x:c r="B280" s="5" t="inlineStr">
        <x:is>
          <x:t xml:space="preserve">테일로</x:t>
        </x:is>
      </x:c>
      <x:c r="C280" s="5" t="inlineStr">
        <x:is>
          <x:t xml:space="preserve">taillow</x:t>
        </x:is>
      </x:c>
      <x:c r="D280" s="5" t="inlineStr">
        <x:is>
          <x:t xml:space="preserve">Taillow</x:t>
        </x:is>
      </x:c>
      <x:c r="E280" s="5" t="n">
        <x:v>3</x:v>
      </x:c>
      <x:c r="F280" s="5" t="inlineStr">
        <x:is>
          <x:t xml:space="preserve">노말</x:t>
        </x:is>
      </x:c>
      <x:c r="G280" s="5" t="inlineStr">
        <x:is>
          <x:t xml:space="preserve">비행</x:t>
        </x:is>
      </x:c>
      <x:c r="H280" s="5" t="n">
        <x:v>0.3</x:v>
      </x:c>
      <x:c r="I280" s="5" t="n">
        <x:v>2.3</x:v>
      </x:c>
      <x:c r="J280" s="5" t="n">
        <x:v>270</x:v>
      </x:c>
      <x:c r="K280" s="5" t="n">
        <x:v>200</x:v>
      </x:c>
      <x:c r="L280" s="5" t="inlineStr">
        <x:is>
          <x:t xml:space="preserve">기본</x:t>
        </x:is>
      </x:c>
      <x:c r="M280" s="5" t="n">
        <x:v>22</x:v>
      </x:c>
      <x:c r="N280" s="5" t="inlineStr">
        <x:is>
          <x:t xml:space="preserve">레벨</x:t>
        </x:is>
      </x:c>
      <x:c r="O280" s="5" t="inlineStr">
        <x:is>
          <x:t xml:space="preserve">예</x:t>
        </x:is>
      </x:c>
      <x:c r="P280" s="5" t="inlineStr">
        <x:is>
          <x:t xml:space="preserve">#aether:is_aether; #cobblemon:is_sky; #cobblemon:is_temperate</x:t>
        </x:is>
      </x:c>
      <x:c r="Q280" s="5" t="inlineStr">
        <x:is>
          <x:t xml:space="preserve">common</x:t>
        </x:is>
      </x:c>
      <x:c r="R280" s="5" t="inlineStr">
        <x:is>
          <x:t xml:space="preserve">day</x:t>
        </x:is>
      </x:c>
      <x:c r="S280" s="5" t="inlineStr">
        <x:is>
          <x:t xml:space="preserve"/>
        </x:is>
      </x:c>
      <x:c r="T280" s="5" t="inlineStr">
        <x:is>
          <x:t xml:space="preserve">비행</x:t>
        </x:is>
      </x:c>
      <x:c r="U280" s="5" t="inlineStr">
        <x:is>
          <x:t xml:space="preserve">개활지</x:t>
        </x:is>
      </x:c>
      <x:c r="V280" s="5" t="inlineStr">
        <x:is>
          <x:t xml:space="preserve">온대</x:t>
        </x:is>
      </x:c>
      <x:c r="W280" s="5" t="inlineStr">
        <x:is>
          <x:t xml:space="preserve">보통</x:t>
        </x:is>
      </x:c>
      <x:c r="X280" s="5" t="inlineStr">
        <x:is>
          <x:t xml:space="preserve">무관</x:t>
        </x:is>
      </x:c>
      <x:c r="Y280" s="5" t="inlineStr">
        <x:is>
          <x:t xml:space="preserve">낮</x:t>
        </x:is>
      </x:c>
      <x:c r="Z280" s="5" t="inlineStr">
        <x:is>
          <x:t xml:space="preserve">흔함</x:t>
        </x:is>
      </x:c>
      <x:c r="AA280" s="5" t="inlineStr">
        <x:is>
          <x:t xml:space="preserve">없음</x:t>
        </x:is>
      </x:c>
      <x:c r="AB280" s="5" t="inlineStr">
        <x:is>
          <x:t xml:space="preserve"/>
        </x:is>
      </x:c>
      <x:c r="AC280" s="5" t="inlineStr">
        <x:is>
          <x:t xml:space="preserve">gen3</x:t>
        </x:is>
      </x:c>
      <x:c r="AD280" s="5" t="inlineStr">
        <x:is>
          <x:t xml:space="preserve">.tmp/cobblemon-1.7.3-source/common/src/main/resources/data/cobblemon/species/generation3/taillow.json</x:t>
        </x:is>
      </x:c>
    </x:row>
    <x:row r="281" ht="22" customHeight="1">
      <x:c r="A281" s="5" t="n">
        <x:v>277</x:v>
      </x:c>
      <x:c r="B281" s="5" t="inlineStr">
        <x:is>
          <x:t xml:space="preserve">스왈로</x:t>
        </x:is>
      </x:c>
      <x:c r="C281" s="5" t="inlineStr">
        <x:is>
          <x:t xml:space="preserve">swellow</x:t>
        </x:is>
      </x:c>
      <x:c r="D281" s="5" t="inlineStr">
        <x:is>
          <x:t xml:space="preserve">Swellow</x:t>
        </x:is>
      </x:c>
      <x:c r="E281" s="5" t="n">
        <x:v>3</x:v>
      </x:c>
      <x:c r="F281" s="5" t="inlineStr">
        <x:is>
          <x:t xml:space="preserve">노말</x:t>
        </x:is>
      </x:c>
      <x:c r="G281" s="5" t="inlineStr">
        <x:is>
          <x:t xml:space="preserve">비행</x:t>
        </x:is>
      </x:c>
      <x:c r="H281" s="5" t="n">
        <x:v>0.7</x:v>
      </x:c>
      <x:c r="I281" s="5" t="n">
        <x:v>19.8</x:v>
      </x:c>
      <x:c r="J281" s="5" t="n">
        <x:v>455</x:v>
      </x:c>
      <x:c r="K281" s="5" t="n">
        <x:v>45</x:v>
      </x:c>
      <x:c r="L281" s="5" t="inlineStr">
        <x:is>
          <x:t xml:space="preserve">최종</x:t>
        </x:is>
      </x:c>
      <x:c r="M281" s="5" t="n">
        <x:v>22</x:v>
      </x:c>
      <x:c r="N281" s="5" t="inlineStr">
        <x:is>
          <x:t xml:space="preserve">레벨</x:t>
        </x:is>
      </x:c>
      <x:c r="O281" s="5" t="inlineStr">
        <x:is>
          <x:t xml:space="preserve">예</x:t>
        </x:is>
      </x:c>
      <x:c r="P281" s="5" t="inlineStr">
        <x:is>
          <x:t xml:space="preserve">#aether:is_aether; #cobblemon:is_sky; #cobblemon:is_temperate</x:t>
        </x:is>
      </x:c>
      <x:c r="Q281" s="5" t="inlineStr">
        <x:is>
          <x:t xml:space="preserve">common</x:t>
        </x:is>
      </x:c>
      <x:c r="R281" s="5" t="inlineStr">
        <x:is>
          <x:t xml:space="preserve">day</x:t>
        </x:is>
      </x:c>
      <x:c r="S281" s="5" t="inlineStr">
        <x:is>
          <x:t xml:space="preserve"/>
        </x:is>
      </x:c>
      <x:c r="T281" s="5" t="inlineStr">
        <x:is>
          <x:t xml:space="preserve">비행</x:t>
        </x:is>
      </x:c>
      <x:c r="U281" s="5" t="inlineStr">
        <x:is>
          <x:t xml:space="preserve">개활지</x:t>
        </x:is>
      </x:c>
      <x:c r="V281" s="5" t="inlineStr">
        <x:is>
          <x:t xml:space="preserve">온대</x:t>
        </x:is>
      </x:c>
      <x:c r="W281" s="5" t="inlineStr">
        <x:is>
          <x:t xml:space="preserve">보통</x:t>
        </x:is>
      </x:c>
      <x:c r="X281" s="5" t="inlineStr">
        <x:is>
          <x:t xml:space="preserve">무관</x:t>
        </x:is>
      </x:c>
      <x:c r="Y281" s="5" t="inlineStr">
        <x:is>
          <x:t xml:space="preserve">낮</x:t>
        </x:is>
      </x:c>
      <x:c r="Z281" s="5" t="inlineStr">
        <x:is>
          <x:t xml:space="preserve">흔함</x:t>
        </x:is>
      </x:c>
      <x:c r="AA281" s="5" t="inlineStr">
        <x:is>
          <x:t xml:space="preserve">없음</x:t>
        </x:is>
      </x:c>
      <x:c r="AB281" s="5" t="inlineStr">
        <x:is>
          <x:t xml:space="preserve"/>
        </x:is>
      </x:c>
      <x:c r="AC281" s="5" t="inlineStr">
        <x:is>
          <x:t xml:space="preserve">gen3</x:t>
        </x:is>
      </x:c>
      <x:c r="AD281" s="5" t="inlineStr">
        <x:is>
          <x:t xml:space="preserve">.tmp/cobblemon-1.7.3-source/common/src/main/resources/data/cobblemon/species/generation3/swellow.json</x:t>
        </x:is>
      </x:c>
    </x:row>
    <x:row r="282" ht="22" customHeight="1">
      <x:c r="A282" s="5" t="n">
        <x:v>278</x:v>
      </x:c>
      <x:c r="B282" s="5" t="inlineStr">
        <x:is>
          <x:t xml:space="preserve">갈모매</x:t>
        </x:is>
      </x:c>
      <x:c r="C282" s="5" t="inlineStr">
        <x:is>
          <x:t xml:space="preserve">wingull</x:t>
        </x:is>
      </x:c>
      <x:c r="D282" s="5" t="inlineStr">
        <x:is>
          <x:t xml:space="preserve">Wingull</x:t>
        </x:is>
      </x:c>
      <x:c r="E282" s="5" t="n">
        <x:v>3</x:v>
      </x:c>
      <x:c r="F282" s="5" t="inlineStr">
        <x:is>
          <x:t xml:space="preserve">물</x:t>
        </x:is>
      </x:c>
      <x:c r="G282" s="5" t="inlineStr">
        <x:is>
          <x:t xml:space="preserve">비행</x:t>
        </x:is>
      </x:c>
      <x:c r="H282" s="5" t="n">
        <x:v>0.6</x:v>
      </x:c>
      <x:c r="I282" s="5" t="n">
        <x:v>9.5</x:v>
      </x:c>
      <x:c r="J282" s="5" t="n">
        <x:v>270</x:v>
      </x:c>
      <x:c r="K282" s="5" t="n">
        <x:v>190</x:v>
      </x:c>
      <x:c r="L282" s="5" t="inlineStr">
        <x:is>
          <x:t xml:space="preserve">기본</x:t>
        </x:is>
      </x:c>
      <x:c r="M282" s="5" t="n">
        <x:v>25</x:v>
      </x:c>
      <x:c r="N282" s="5" t="inlineStr">
        <x:is>
          <x:t xml:space="preserve">레벨</x:t>
        </x:is>
      </x:c>
      <x:c r="O282" s="5" t="inlineStr">
        <x:is>
          <x:t xml:space="preserve">예</x:t>
        </x:is>
      </x:c>
      <x:c r="P282" s="5" t="inlineStr">
        <x:is>
          <x:t xml:space="preserve">#cobblemon:is_coast; #cobblemon:is_ocean; #cobblemon:is_sky; #cobblemon:is_tropical_island</x:t>
        </x:is>
      </x:c>
      <x:c r="Q282" s="5" t="inlineStr">
        <x:is>
          <x:t xml:space="preserve">common</x:t>
        </x:is>
      </x:c>
      <x:c r="R282" s="5" t="inlineStr">
        <x:is>
          <x:t xml:space="preserve">day</x:t>
        </x:is>
      </x:c>
      <x:c r="S282" s="5" t="inlineStr">
        <x:is>
          <x:t xml:space="preserve"/>
        </x:is>
      </x:c>
      <x:c r="T282" s="5" t="inlineStr">
        <x:is>
          <x:t xml:space="preserve">해양</x:t>
        </x:is>
      </x:c>
      <x:c r="U282" s="5" t="inlineStr">
        <x:is>
          <x:t xml:space="preserve">해안·해양</x:t>
        </x:is>
      </x:c>
      <x:c r="V282" s="5" t="inlineStr">
        <x:is>
          <x:t xml:space="preserve">온대</x:t>
        </x:is>
      </x:c>
      <x:c r="W282" s="5" t="inlineStr">
        <x:is>
          <x:t xml:space="preserve">수중</x:t>
        </x:is>
      </x:c>
      <x:c r="X282" s="5" t="inlineStr">
        <x:is>
          <x:t xml:space="preserve">비</x:t>
        </x:is>
      </x:c>
      <x:c r="Y282" s="5" t="inlineStr">
        <x:is>
          <x:t xml:space="preserve">낮</x:t>
        </x:is>
      </x:c>
      <x:c r="Z282" s="5" t="inlineStr">
        <x:is>
          <x:t xml:space="preserve">흔함</x:t>
        </x:is>
      </x:c>
      <x:c r="AA282" s="5" t="inlineStr">
        <x:is>
          <x:t xml:space="preserve">없음</x:t>
        </x:is>
      </x:c>
      <x:c r="AB282" s="5" t="inlineStr">
        <x:is>
          <x:t xml:space="preserve">해양</x:t>
        </x:is>
      </x:c>
      <x:c r="AC282" s="5" t="inlineStr">
        <x:is>
          <x:t xml:space="preserve">gen3</x:t>
        </x:is>
      </x:c>
      <x:c r="AD282" s="5" t="inlineStr">
        <x:is>
          <x:t xml:space="preserve">.tmp/cobblemon-1.7.3-source/common/src/main/resources/data/cobblemon/species/generation3/wingull.json</x:t>
        </x:is>
      </x:c>
    </x:row>
    <x:row r="283" ht="22" customHeight="1">
      <x:c r="A283" s="5" t="n">
        <x:v>279</x:v>
      </x:c>
      <x:c r="B283" s="5" t="inlineStr">
        <x:is>
          <x:t xml:space="preserve">패리퍼</x:t>
        </x:is>
      </x:c>
      <x:c r="C283" s="5" t="inlineStr">
        <x:is>
          <x:t xml:space="preserve">pelipper</x:t>
        </x:is>
      </x:c>
      <x:c r="D283" s="5" t="inlineStr">
        <x:is>
          <x:t xml:space="preserve">Pelipper</x:t>
        </x:is>
      </x:c>
      <x:c r="E283" s="5" t="n">
        <x:v>3</x:v>
      </x:c>
      <x:c r="F283" s="5" t="inlineStr">
        <x:is>
          <x:t xml:space="preserve">물</x:t>
        </x:is>
      </x:c>
      <x:c r="G283" s="5" t="inlineStr">
        <x:is>
          <x:t xml:space="preserve">비행</x:t>
        </x:is>
      </x:c>
      <x:c r="H283" s="5" t="n">
        <x:v>1.2</x:v>
      </x:c>
      <x:c r="I283" s="5" t="n">
        <x:v>28</x:v>
      </x:c>
      <x:c r="J283" s="5" t="n">
        <x:v>440</x:v>
      </x:c>
      <x:c r="K283" s="5" t="n">
        <x:v>45</x:v>
      </x:c>
      <x:c r="L283" s="5" t="inlineStr">
        <x:is>
          <x:t xml:space="preserve">최종</x:t>
        </x:is>
      </x:c>
      <x:c r="M283" s="5" t="n">
        <x:v>25</x:v>
      </x:c>
      <x:c r="N283" s="5" t="inlineStr">
        <x:is>
          <x:t xml:space="preserve">레벨</x:t>
        </x:is>
      </x:c>
      <x:c r="O283" s="5" t="inlineStr">
        <x:is>
          <x:t xml:space="preserve">예</x:t>
        </x:is>
      </x:c>
      <x:c r="P283" s="5" t="inlineStr">
        <x:is>
          <x:t xml:space="preserve">#cobblemon:is_coast; #cobblemon:is_ocean; #cobblemon:is_sky; #cobblemon:is_tropical_island</x:t>
        </x:is>
      </x:c>
      <x:c r="Q283" s="5" t="inlineStr">
        <x:is>
          <x:t xml:space="preserve">common</x:t>
        </x:is>
      </x:c>
      <x:c r="R283" s="5" t="inlineStr">
        <x:is>
          <x:t xml:space="preserve">day</x:t>
        </x:is>
      </x:c>
      <x:c r="S283" s="5" t="inlineStr">
        <x:is>
          <x:t xml:space="preserve"/>
        </x:is>
      </x:c>
      <x:c r="T283" s="5" t="inlineStr">
        <x:is>
          <x:t xml:space="preserve">해양</x:t>
        </x:is>
      </x:c>
      <x:c r="U283" s="5" t="inlineStr">
        <x:is>
          <x:t xml:space="preserve">해안·해양</x:t>
        </x:is>
      </x:c>
      <x:c r="V283" s="5" t="inlineStr">
        <x:is>
          <x:t xml:space="preserve">온대</x:t>
        </x:is>
      </x:c>
      <x:c r="W283" s="5" t="inlineStr">
        <x:is>
          <x:t xml:space="preserve">수중</x:t>
        </x:is>
      </x:c>
      <x:c r="X283" s="5" t="inlineStr">
        <x:is>
          <x:t xml:space="preserve">비</x:t>
        </x:is>
      </x:c>
      <x:c r="Y283" s="5" t="inlineStr">
        <x:is>
          <x:t xml:space="preserve">낮</x:t>
        </x:is>
      </x:c>
      <x:c r="Z283" s="5" t="inlineStr">
        <x:is>
          <x:t xml:space="preserve">흔함</x:t>
        </x:is>
      </x:c>
      <x:c r="AA283" s="5" t="inlineStr">
        <x:is>
          <x:t xml:space="preserve">없음</x:t>
        </x:is>
      </x:c>
      <x:c r="AB283" s="5" t="inlineStr">
        <x:is>
          <x:t xml:space="preserve">해양</x:t>
        </x:is>
      </x:c>
      <x:c r="AC283" s="5" t="inlineStr">
        <x:is>
          <x:t xml:space="preserve">gen3</x:t>
        </x:is>
      </x:c>
      <x:c r="AD283" s="5" t="inlineStr">
        <x:is>
          <x:t xml:space="preserve">.tmp/cobblemon-1.7.3-source/common/src/main/resources/data/cobblemon/species/generation3/pelipper.json</x:t>
        </x:is>
      </x:c>
    </x:row>
    <x:row r="284" ht="22" customHeight="1">
      <x:c r="A284" s="5" t="n">
        <x:v>280</x:v>
      </x:c>
      <x:c r="B284" s="5" t="inlineStr">
        <x:is>
          <x:t xml:space="preserve">랄토스</x:t>
        </x:is>
      </x:c>
      <x:c r="C284" s="5" t="inlineStr">
        <x:is>
          <x:t xml:space="preserve">ralts</x:t>
        </x:is>
      </x:c>
      <x:c r="D284" s="5" t="inlineStr">
        <x:is>
          <x:t xml:space="preserve">Ralts</x:t>
        </x:is>
      </x:c>
      <x:c r="E284" s="5" t="n">
        <x:v>3</x:v>
      </x:c>
      <x:c r="F284" s="5" t="inlineStr">
        <x:is>
          <x:t xml:space="preserve">에스퍼</x:t>
        </x:is>
      </x:c>
      <x:c r="G284" s="5" t="inlineStr">
        <x:is>
          <x:t xml:space="preserve">페어리</x:t>
        </x:is>
      </x:c>
      <x:c r="H284" s="5" t="n">
        <x:v>0.4</x:v>
      </x:c>
      <x:c r="I284" s="5" t="n">
        <x:v>6.6</x:v>
      </x:c>
      <x:c r="J284" s="5" t="n">
        <x:v>198</x:v>
      </x:c>
      <x:c r="K284" s="5" t="n">
        <x:v>235</x:v>
      </x:c>
      <x:c r="L284" s="5" t="inlineStr">
        <x:is>
          <x:t xml:space="preserve">기본</x:t>
        </x:is>
      </x:c>
      <x:c r="M284" s="5" t="n">
        <x:v>30</x:v>
      </x:c>
      <x:c r="N284" s="5" t="inlineStr">
        <x:is>
          <x:t xml:space="preserve">레벨·특수</x:t>
        </x:is>
      </x:c>
      <x:c r="O284" s="5" t="inlineStr">
        <x:is>
          <x:t xml:space="preserve">예</x:t>
        </x:is>
      </x:c>
      <x:c r="P284" s="5" t="inlineStr">
        <x:is>
          <x:t xml:space="preserve">#cobblemon:is_floral; #cobblemon:is_magical; #cobblemon:is_overworld; #cobblemon:is_snowy_forest; aether:skyroot_grove; aether:skyroot_meadow</x:t>
        </x:is>
      </x:c>
      <x:c r="Q284" s="5" t="inlineStr">
        <x:is>
          <x:t xml:space="preserve">common; rare</x:t>
        </x:is>
      </x:c>
      <x:c r="R284" s="5" t="inlineStr">
        <x:is>
          <x:t xml:space="preserve"/>
        </x:is>
      </x:c>
      <x:c r="S284" s="5" t="inlineStr">
        <x:is>
          <x:t xml:space="preserve"/>
        </x:is>
      </x:c>
      <x:c r="T284" s="5" t="inlineStr">
        <x:is>
          <x:t xml:space="preserve">육상</x:t>
        </x:is>
      </x:c>
      <x:c r="U284" s="5" t="inlineStr">
        <x:is>
          <x:t xml:space="preserve">수목</x:t>
        </x:is>
      </x:c>
      <x:c r="V284" s="5" t="inlineStr">
        <x:is>
          <x:t xml:space="preserve">온대</x:t>
        </x:is>
      </x:c>
      <x:c r="W284" s="5" t="inlineStr">
        <x:is>
          <x:t xml:space="preserve">보통</x:t>
        </x:is>
      </x:c>
      <x:c r="X284" s="5" t="inlineStr">
        <x:is>
          <x:t xml:space="preserve">무관</x:t>
        </x:is>
      </x:c>
      <x:c r="Y284" s="5" t="inlineStr">
        <x:is>
          <x:t xml:space="preserve">무관</x:t>
        </x:is>
      </x:c>
      <x:c r="Z284" s="5" t="inlineStr">
        <x:is>
          <x:t xml:space="preserve">흔함</x:t>
        </x:is>
      </x:c>
      <x:c r="AA284" s="5" t="inlineStr">
        <x:is>
          <x:t xml:space="preserve">없음</x:t>
        </x:is>
      </x:c>
      <x:c r="AB284" s="5" t="inlineStr">
        <x:is>
          <x:t xml:space="preserve">숲</x:t>
        </x:is>
      </x:c>
      <x:c r="AC284" s="5" t="inlineStr">
        <x:is>
          <x:t xml:space="preserve">gen3</x:t>
        </x:is>
      </x:c>
      <x:c r="AD284" s="5" t="inlineStr">
        <x:is>
          <x:t xml:space="preserve">.tmp/cobblemon-1.7.3-source/common/src/main/resources/data/cobblemon/species/generation3/ralts.json</x:t>
        </x:is>
      </x:c>
    </x:row>
    <x:row r="285" ht="22" customHeight="1">
      <x:c r="A285" s="5" t="n">
        <x:v>281</x:v>
      </x:c>
      <x:c r="B285" s="5" t="inlineStr">
        <x:is>
          <x:t xml:space="preserve">킬리아</x:t>
        </x:is>
      </x:c>
      <x:c r="C285" s="5" t="inlineStr">
        <x:is>
          <x:t xml:space="preserve">kirlia</x:t>
        </x:is>
      </x:c>
      <x:c r="D285" s="5" t="inlineStr">
        <x:is>
          <x:t xml:space="preserve">Kirlia</x:t>
        </x:is>
      </x:c>
      <x:c r="E285" s="5" t="n">
        <x:v>3</x:v>
      </x:c>
      <x:c r="F285" s="5" t="inlineStr">
        <x:is>
          <x:t xml:space="preserve">에스퍼</x:t>
        </x:is>
      </x:c>
      <x:c r="G285" s="5" t="inlineStr">
        <x:is>
          <x:t xml:space="preserve">페어리</x:t>
        </x:is>
      </x:c>
      <x:c r="H285" s="5" t="n">
        <x:v>0.8</x:v>
      </x:c>
      <x:c r="I285" s="5" t="n">
        <x:v>20.2</x:v>
      </x:c>
      <x:c r="J285" s="5" t="n">
        <x:v>278</x:v>
      </x:c>
      <x:c r="K285" s="5" t="n">
        <x:v>120</x:v>
      </x:c>
      <x:c r="L285" s="5" t="inlineStr">
        <x:is>
          <x:t xml:space="preserve">중간</x:t>
        </x:is>
      </x:c>
      <x:c r="M285" s="5" t="n">
        <x:v>30</x:v>
      </x:c>
      <x:c r="N285" s="5" t="inlineStr">
        <x:is>
          <x:t xml:space="preserve">레벨·특수</x:t>
        </x:is>
      </x:c>
      <x:c r="O285" s="5" t="inlineStr">
        <x:is>
          <x:t xml:space="preserve">예</x:t>
        </x:is>
      </x:c>
      <x:c r="P285" s="5" t="inlineStr">
        <x:is>
          <x:t xml:space="preserve">#cobblemon:is_floral; #cobblemon:is_magical; #cobblemon:is_overworld; #cobblemon:is_snowy_forest; aether:skyroot_grove; aether:skyroot_meadow</x:t>
        </x:is>
      </x:c>
      <x:c r="Q285" s="5" t="inlineStr">
        <x:is>
          <x:t xml:space="preserve">common; rare</x:t>
        </x:is>
      </x:c>
      <x:c r="R285" s="5" t="inlineStr">
        <x:is>
          <x:t xml:space="preserve"/>
        </x:is>
      </x:c>
      <x:c r="S285" s="5" t="inlineStr">
        <x:is>
          <x:t xml:space="preserve"/>
        </x:is>
      </x:c>
      <x:c r="T285" s="5" t="inlineStr">
        <x:is>
          <x:t xml:space="preserve">육상</x:t>
        </x:is>
      </x:c>
      <x:c r="U285" s="5" t="inlineStr">
        <x:is>
          <x:t xml:space="preserve">수목</x:t>
        </x:is>
      </x:c>
      <x:c r="V285" s="5" t="inlineStr">
        <x:is>
          <x:t xml:space="preserve">온대</x:t>
        </x:is>
      </x:c>
      <x:c r="W285" s="5" t="inlineStr">
        <x:is>
          <x:t xml:space="preserve">보통</x:t>
        </x:is>
      </x:c>
      <x:c r="X285" s="5" t="inlineStr">
        <x:is>
          <x:t xml:space="preserve">무관</x:t>
        </x:is>
      </x:c>
      <x:c r="Y285" s="5" t="inlineStr">
        <x:is>
          <x:t xml:space="preserve">무관</x:t>
        </x:is>
      </x:c>
      <x:c r="Z285" s="5" t="inlineStr">
        <x:is>
          <x:t xml:space="preserve">흔함</x:t>
        </x:is>
      </x:c>
      <x:c r="AA285" s="5" t="inlineStr">
        <x:is>
          <x:t xml:space="preserve">없음</x:t>
        </x:is>
      </x:c>
      <x:c r="AB285" s="5" t="inlineStr">
        <x:is>
          <x:t xml:space="preserve">숲</x:t>
        </x:is>
      </x:c>
      <x:c r="AC285" s="5" t="inlineStr">
        <x:is>
          <x:t xml:space="preserve">gen3</x:t>
        </x:is>
      </x:c>
      <x:c r="AD285" s="5" t="inlineStr">
        <x:is>
          <x:t xml:space="preserve">.tmp/cobblemon-1.7.3-source/common/src/main/resources/data/cobblemon/species/generation3/kirlia.json</x:t>
        </x:is>
      </x:c>
    </x:row>
    <x:row r="286" ht="22" customHeight="1">
      <x:c r="A286" s="5" t="n">
        <x:v>282</x:v>
      </x:c>
      <x:c r="B286" s="5" t="inlineStr">
        <x:is>
          <x:t xml:space="preserve">가디안</x:t>
        </x:is>
      </x:c>
      <x:c r="C286" s="5" t="inlineStr">
        <x:is>
          <x:t xml:space="preserve">gardevoir</x:t>
        </x:is>
      </x:c>
      <x:c r="D286" s="5" t="inlineStr">
        <x:is>
          <x:t xml:space="preserve">Gardevoir</x:t>
        </x:is>
      </x:c>
      <x:c r="E286" s="5" t="n">
        <x:v>3</x:v>
      </x:c>
      <x:c r="F286" s="5" t="inlineStr">
        <x:is>
          <x:t xml:space="preserve">에스퍼</x:t>
        </x:is>
      </x:c>
      <x:c r="G286" s="5" t="inlineStr">
        <x:is>
          <x:t xml:space="preserve">페어리</x:t>
        </x:is>
      </x:c>
      <x:c r="H286" s="5" t="n">
        <x:v>1.6</x:v>
      </x:c>
      <x:c r="I286" s="5" t="n">
        <x:v>48.4</x:v>
      </x:c>
      <x:c r="J286" s="5" t="n">
        <x:v>518</x:v>
      </x:c>
      <x:c r="K286" s="5" t="n">
        <x:v>45</x:v>
      </x:c>
      <x:c r="L286" s="5" t="inlineStr">
        <x:is>
          <x:t xml:space="preserve">최종</x:t>
        </x:is>
      </x:c>
      <x:c r="M286" s="5" t="n">
        <x:v>30</x:v>
      </x:c>
      <x:c r="N286" s="5" t="inlineStr">
        <x:is>
          <x:t xml:space="preserve">레벨·특수</x:t>
        </x:is>
      </x:c>
      <x:c r="O286" s="5" t="inlineStr">
        <x:is>
          <x:t xml:space="preserve">예</x:t>
        </x:is>
      </x:c>
      <x:c r="P286" s="5" t="inlineStr">
        <x:is>
          <x:t xml:space="preserve">#cobblemon:is_floral; #cobblemon:is_magical; #cobblemon:is_overworld; #cobblemon:is_snowy_forest; aether:skyroot_grove; aether:skyroot_meadow</x:t>
        </x:is>
      </x:c>
      <x:c r="Q286" s="5" t="inlineStr">
        <x:is>
          <x:t xml:space="preserve">common; rare</x:t>
        </x:is>
      </x:c>
      <x:c r="R286" s="5" t="inlineStr">
        <x:is>
          <x:t xml:space="preserve"/>
        </x:is>
      </x:c>
      <x:c r="S286" s="5" t="inlineStr">
        <x:is>
          <x:t xml:space="preserve"/>
        </x:is>
      </x:c>
      <x:c r="T286" s="5" t="inlineStr">
        <x:is>
          <x:t xml:space="preserve">육상</x:t>
        </x:is>
      </x:c>
      <x:c r="U286" s="5" t="inlineStr">
        <x:is>
          <x:t xml:space="preserve">수목</x:t>
        </x:is>
      </x:c>
      <x:c r="V286" s="5" t="inlineStr">
        <x:is>
          <x:t xml:space="preserve">온대</x:t>
        </x:is>
      </x:c>
      <x:c r="W286" s="5" t="inlineStr">
        <x:is>
          <x:t xml:space="preserve">보통</x:t>
        </x:is>
      </x:c>
      <x:c r="X286" s="5" t="inlineStr">
        <x:is>
          <x:t xml:space="preserve">무관</x:t>
        </x:is>
      </x:c>
      <x:c r="Y286" s="5" t="inlineStr">
        <x:is>
          <x:t xml:space="preserve">무관</x:t>
        </x:is>
      </x:c>
      <x:c r="Z286" s="5" t="inlineStr">
        <x:is>
          <x:t xml:space="preserve">흔함</x:t>
        </x:is>
      </x:c>
      <x:c r="AA286" s="5" t="inlineStr">
        <x:is>
          <x:t xml:space="preserve">없음</x:t>
        </x:is>
      </x:c>
      <x:c r="AB286" s="5" t="inlineStr">
        <x:is>
          <x:t xml:space="preserve">숲</x:t>
        </x:is>
      </x:c>
      <x:c r="AC286" s="5" t="inlineStr">
        <x:is>
          <x:t xml:space="preserve">gen3</x:t>
        </x:is>
      </x:c>
      <x:c r="AD286" s="5" t="inlineStr">
        <x:is>
          <x:t xml:space="preserve">.tmp/cobblemon-1.7.3-source/common/src/main/resources/data/cobblemon/species/generation3/gardevoir.json</x:t>
        </x:is>
      </x:c>
    </x:row>
    <x:row r="287" ht="22" customHeight="1">
      <x:c r="A287" s="5" t="n">
        <x:v>283</x:v>
      </x:c>
      <x:c r="B287" s="5" t="inlineStr">
        <x:is>
          <x:t xml:space="preserve">비구술</x:t>
        </x:is>
      </x:c>
      <x:c r="C287" s="5" t="inlineStr">
        <x:is>
          <x:t xml:space="preserve">surskit</x:t>
        </x:is>
      </x:c>
      <x:c r="D287" s="5" t="inlineStr">
        <x:is>
          <x:t xml:space="preserve">Surskit</x:t>
        </x:is>
      </x:c>
      <x:c r="E287" s="5" t="n">
        <x:v>3</x:v>
      </x:c>
      <x:c r="F287" s="5" t="inlineStr">
        <x:is>
          <x:t xml:space="preserve">벌레</x:t>
        </x:is>
      </x:c>
      <x:c r="G287" s="5" t="inlineStr">
        <x:is>
          <x:t xml:space="preserve">물</x:t>
        </x:is>
      </x:c>
      <x:c r="H287" s="5" t="n">
        <x:v>0.5</x:v>
      </x:c>
      <x:c r="I287" s="5" t="n">
        <x:v>1.7</x:v>
      </x:c>
      <x:c r="J287" s="5" t="n">
        <x:v>269</x:v>
      </x:c>
      <x:c r="K287" s="5" t="n">
        <x:v>200</x:v>
      </x:c>
      <x:c r="L287" s="5" t="inlineStr">
        <x:is>
          <x:t xml:space="preserve">기본</x:t>
        </x:is>
      </x:c>
      <x:c r="M287" s="5" t="n">
        <x:v>22</x:v>
      </x:c>
      <x:c r="N287" s="5" t="inlineStr">
        <x:is>
          <x:t xml:space="preserve">레벨</x:t>
        </x:is>
      </x:c>
      <x:c r="O287" s="5" t="inlineStr">
        <x:is>
          <x:t xml:space="preserve">예</x:t>
        </x:is>
      </x:c>
      <x:c r="P287" s="5" t="inlineStr">
        <x:is>
          <x:t xml:space="preserve">#cobblemon:is_freshwater; #the_bumblezone:the_bumblezone</x:t>
        </x:is>
      </x:c>
      <x:c r="Q287" s="5" t="inlineStr">
        <x:is>
          <x:t xml:space="preserve">uncommon</x:t>
        </x:is>
      </x:c>
      <x:c r="R287" s="5" t="inlineStr">
        <x:is>
          <x:t xml:space="preserve"/>
        </x:is>
      </x:c>
      <x:c r="S287" s="5" t="inlineStr">
        <x:is>
          <x:t xml:space="preserve">비=False</x:t>
        </x:is>
      </x:c>
      <x:c r="T287" s="5" t="inlineStr">
        <x:is>
          <x:t xml:space="preserve">담수</x:t>
        </x:is>
      </x:c>
      <x:c r="U287" s="5" t="inlineStr">
        <x:is>
          <x:t xml:space="preserve">담수</x:t>
        </x:is>
      </x:c>
      <x:c r="V287" s="5" t="inlineStr">
        <x:is>
          <x:t xml:space="preserve">온대</x:t>
        </x:is>
      </x:c>
      <x:c r="W287" s="5" t="inlineStr">
        <x:is>
          <x:t xml:space="preserve">수중</x:t>
        </x:is>
      </x:c>
      <x:c r="X287" s="5" t="inlineStr">
        <x:is>
          <x:t xml:space="preserve">비</x:t>
        </x:is>
      </x:c>
      <x:c r="Y287" s="5" t="inlineStr">
        <x:is>
          <x:t xml:space="preserve">무관</x:t>
        </x:is>
      </x:c>
      <x:c r="Z287" s="5" t="inlineStr">
        <x:is>
          <x:t xml:space="preserve">보통</x:t>
        </x:is>
      </x:c>
      <x:c r="AA287" s="5" t="inlineStr">
        <x:is>
          <x:t xml:space="preserve">없음</x:t>
        </x:is>
      </x:c>
      <x:c r="AB287" s="5" t="inlineStr">
        <x:is>
          <x:t xml:space="preserve">담수</x:t>
        </x:is>
      </x:c>
      <x:c r="AC287" s="5" t="inlineStr">
        <x:is>
          <x:t xml:space="preserve">gen3</x:t>
        </x:is>
      </x:c>
      <x:c r="AD287" s="5" t="inlineStr">
        <x:is>
          <x:t xml:space="preserve">.tmp/cobblemon-1.7.3-source/common/src/main/resources/data/cobblemon/species/generation3/surskit.json</x:t>
        </x:is>
      </x:c>
    </x:row>
    <x:row r="288" ht="22" customHeight="1">
      <x:c r="A288" s="5" t="n">
        <x:v>284</x:v>
      </x:c>
      <x:c r="B288" s="5" t="inlineStr">
        <x:is>
          <x:t xml:space="preserve">비나방</x:t>
        </x:is>
      </x:c>
      <x:c r="C288" s="5" t="inlineStr">
        <x:is>
          <x:t xml:space="preserve">masquerain</x:t>
        </x:is>
      </x:c>
      <x:c r="D288" s="5" t="inlineStr">
        <x:is>
          <x:t xml:space="preserve">Masquerain</x:t>
        </x:is>
      </x:c>
      <x:c r="E288" s="5" t="n">
        <x:v>3</x:v>
      </x:c>
      <x:c r="F288" s="5" t="inlineStr">
        <x:is>
          <x:t xml:space="preserve">벌레</x:t>
        </x:is>
      </x:c>
      <x:c r="G288" s="5" t="inlineStr">
        <x:is>
          <x:t xml:space="preserve">비행</x:t>
        </x:is>
      </x:c>
      <x:c r="H288" s="5" t="n">
        <x:v>0.8</x:v>
      </x:c>
      <x:c r="I288" s="5" t="n">
        <x:v>3.6</x:v>
      </x:c>
      <x:c r="J288" s="5" t="n">
        <x:v>454</x:v>
      </x:c>
      <x:c r="K288" s="5" t="n">
        <x:v>75</x:v>
      </x:c>
      <x:c r="L288" s="5" t="inlineStr">
        <x:is>
          <x:t xml:space="preserve">최종</x:t>
        </x:is>
      </x:c>
      <x:c r="M288" s="5" t="n">
        <x:v>22</x:v>
      </x:c>
      <x:c r="N288" s="5" t="inlineStr">
        <x:is>
          <x:t xml:space="preserve">레벨</x:t>
        </x:is>
      </x:c>
      <x:c r="O288" s="5" t="inlineStr">
        <x:is>
          <x:t xml:space="preserve">예</x:t>
        </x:is>
      </x:c>
      <x:c r="P288" s="5" t="inlineStr">
        <x:is>
          <x:t xml:space="preserve">#cobblemon:is_freshwater; #the_bumblezone:the_bumblezone</x:t>
        </x:is>
      </x:c>
      <x:c r="Q288" s="5" t="inlineStr">
        <x:is>
          <x:t xml:space="preserve">uncommon</x:t>
        </x:is>
      </x:c>
      <x:c r="R288" s="5" t="inlineStr">
        <x:is>
          <x:t xml:space="preserve"/>
        </x:is>
      </x:c>
      <x:c r="S288" s="5" t="inlineStr">
        <x:is>
          <x:t xml:space="preserve">비=False</x:t>
        </x:is>
      </x:c>
      <x:c r="T288" s="5" t="inlineStr">
        <x:is>
          <x:t xml:space="preserve">담수</x:t>
        </x:is>
      </x:c>
      <x:c r="U288" s="5" t="inlineStr">
        <x:is>
          <x:t xml:space="preserve">담수</x:t>
        </x:is>
      </x:c>
      <x:c r="V288" s="5" t="inlineStr">
        <x:is>
          <x:t xml:space="preserve">온대</x:t>
        </x:is>
      </x:c>
      <x:c r="W288" s="5" t="inlineStr">
        <x:is>
          <x:t xml:space="preserve">수중</x:t>
        </x:is>
      </x:c>
      <x:c r="X288" s="5" t="inlineStr">
        <x:is>
          <x:t xml:space="preserve">비</x:t>
        </x:is>
      </x:c>
      <x:c r="Y288" s="5" t="inlineStr">
        <x:is>
          <x:t xml:space="preserve">무관</x:t>
        </x:is>
      </x:c>
      <x:c r="Z288" s="5" t="inlineStr">
        <x:is>
          <x:t xml:space="preserve">보통</x:t>
        </x:is>
      </x:c>
      <x:c r="AA288" s="5" t="inlineStr">
        <x:is>
          <x:t xml:space="preserve">없음</x:t>
        </x:is>
      </x:c>
      <x:c r="AB288" s="5" t="inlineStr">
        <x:is>
          <x:t xml:space="preserve">담수</x:t>
        </x:is>
      </x:c>
      <x:c r="AC288" s="5" t="inlineStr">
        <x:is>
          <x:t xml:space="preserve">gen3</x:t>
        </x:is>
      </x:c>
      <x:c r="AD288" s="5" t="inlineStr">
        <x:is>
          <x:t xml:space="preserve">.tmp/cobblemon-1.7.3-source/common/src/main/resources/data/cobblemon/species/generation3/masquerain.json</x:t>
        </x:is>
      </x:c>
    </x:row>
    <x:row r="289" ht="22" customHeight="1">
      <x:c r="A289" s="5" t="n">
        <x:v>285</x:v>
      </x:c>
      <x:c r="B289" s="5" t="inlineStr">
        <x:is>
          <x:t xml:space="preserve">버섯꼬</x:t>
        </x:is>
      </x:c>
      <x:c r="C289" s="5" t="inlineStr">
        <x:is>
          <x:t xml:space="preserve">shroomish</x:t>
        </x:is>
      </x:c>
      <x:c r="D289" s="5" t="inlineStr">
        <x:is>
          <x:t xml:space="preserve">Shroomish</x:t>
        </x:is>
      </x:c>
      <x:c r="E289" s="5" t="n">
        <x:v>3</x:v>
      </x:c>
      <x:c r="F289" s="5" t="inlineStr">
        <x:is>
          <x:t xml:space="preserve">풀</x:t>
        </x:is>
      </x:c>
      <x:c r="G289" s="5" t="inlineStr">
        <x:is>
          <x:t xml:space="preserve"/>
        </x:is>
      </x:c>
      <x:c r="H289" s="5" t="n">
        <x:v>0.4</x:v>
      </x:c>
      <x:c r="I289" s="5" t="n">
        <x:v>4.5</x:v>
      </x:c>
      <x:c r="J289" s="5" t="n">
        <x:v>295</x:v>
      </x:c>
      <x:c r="K289" s="5" t="n">
        <x:v>255</x:v>
      </x:c>
      <x:c r="L289" s="5" t="inlineStr">
        <x:is>
          <x:t xml:space="preserve">기본</x:t>
        </x:is>
      </x:c>
      <x:c r="M289" s="5" t="n">
        <x:v>23</x:v>
      </x:c>
      <x:c r="N289" s="5" t="inlineStr">
        <x:is>
          <x:t xml:space="preserve">레벨</x:t>
        </x:is>
      </x:c>
      <x:c r="O289" s="5" t="inlineStr">
        <x:is>
          <x:t xml:space="preserve">예</x:t>
        </x:is>
      </x:c>
      <x:c r="P289" s="5" t="inlineStr">
        <x:is>
          <x:t xml:space="preserve">#cobblemon:is_forest; #cobblemon:is_mushroom; aether:skyroot_forest; aether:skyroot_woodland</x:t>
        </x:is>
      </x:c>
      <x:c r="Q289" s="5" t="inlineStr">
        <x:is>
          <x:t xml:space="preserve">common</x:t>
        </x:is>
      </x:c>
      <x:c r="R289" s="5" t="inlineStr">
        <x:is>
          <x:t xml:space="preserve"/>
        </x:is>
      </x:c>
      <x:c r="S289" s="5" t="inlineStr">
        <x:is>
          <x:t xml:space="preserve"/>
        </x:is>
      </x:c>
      <x:c r="T289" s="5" t="inlineStr">
        <x:is>
          <x:t xml:space="preserve">육상</x:t>
        </x:is>
      </x:c>
      <x:c r="U289" s="5" t="inlineStr">
        <x:is>
          <x:t xml:space="preserve">수목</x:t>
        </x:is>
      </x:c>
      <x:c r="V289" s="5" t="inlineStr">
        <x:is>
          <x:t xml:space="preserve">온대</x:t>
        </x:is>
      </x:c>
      <x:c r="W289" s="5" t="inlineStr">
        <x:is>
          <x:t xml:space="preserve">보통</x:t>
        </x:is>
      </x:c>
      <x:c r="X289" s="5" t="inlineStr">
        <x:is>
          <x:t xml:space="preserve">무관</x:t>
        </x:is>
      </x:c>
      <x:c r="Y289" s="5" t="inlineStr">
        <x:is>
          <x:t xml:space="preserve">무관</x:t>
        </x:is>
      </x:c>
      <x:c r="Z289" s="5" t="inlineStr">
        <x:is>
          <x:t xml:space="preserve">흔함</x:t>
        </x:is>
      </x:c>
      <x:c r="AA289" s="5" t="inlineStr">
        <x:is>
          <x:t xml:space="preserve">없음</x:t>
        </x:is>
      </x:c>
      <x:c r="AB289" s="5" t="inlineStr">
        <x:is>
          <x:t xml:space="preserve">숲</x:t>
        </x:is>
      </x:c>
      <x:c r="AC289" s="5" t="inlineStr">
        <x:is>
          <x:t xml:space="preserve">gen3</x:t>
        </x:is>
      </x:c>
      <x:c r="AD289" s="5" t="inlineStr">
        <x:is>
          <x:t xml:space="preserve">.tmp/cobblemon-1.7.3-source/common/src/main/resources/data/cobblemon/species/generation3/shroomish.json</x:t>
        </x:is>
      </x:c>
    </x:row>
    <x:row r="290" ht="22" customHeight="1">
      <x:c r="A290" s="5" t="n">
        <x:v>286</x:v>
      </x:c>
      <x:c r="B290" s="5" t="inlineStr">
        <x:is>
          <x:t xml:space="preserve">버섯모</x:t>
        </x:is>
      </x:c>
      <x:c r="C290" s="5" t="inlineStr">
        <x:is>
          <x:t xml:space="preserve">breloom</x:t>
        </x:is>
      </x:c>
      <x:c r="D290" s="5" t="inlineStr">
        <x:is>
          <x:t xml:space="preserve">Breloom</x:t>
        </x:is>
      </x:c>
      <x:c r="E290" s="5" t="n">
        <x:v>3</x:v>
      </x:c>
      <x:c r="F290" s="5" t="inlineStr">
        <x:is>
          <x:t xml:space="preserve">풀</x:t>
        </x:is>
      </x:c>
      <x:c r="G290" s="5" t="inlineStr">
        <x:is>
          <x:t xml:space="preserve">격투</x:t>
        </x:is>
      </x:c>
      <x:c r="H290" s="5" t="n">
        <x:v>1.2</x:v>
      </x:c>
      <x:c r="I290" s="5" t="n">
        <x:v>39.2</x:v>
      </x:c>
      <x:c r="J290" s="5" t="n">
        <x:v>460</x:v>
      </x:c>
      <x:c r="K290" s="5" t="n">
        <x:v>90</x:v>
      </x:c>
      <x:c r="L290" s="5" t="inlineStr">
        <x:is>
          <x:t xml:space="preserve">최종</x:t>
        </x:is>
      </x:c>
      <x:c r="M290" s="5" t="n">
        <x:v>23</x:v>
      </x:c>
      <x:c r="N290" s="5" t="inlineStr">
        <x:is>
          <x:t xml:space="preserve">레벨</x:t>
        </x:is>
      </x:c>
      <x:c r="O290" s="5" t="inlineStr">
        <x:is>
          <x:t xml:space="preserve">예</x:t>
        </x:is>
      </x:c>
      <x:c r="P290" s="5" t="inlineStr">
        <x:is>
          <x:t xml:space="preserve">#cobblemon:is_forest; #cobblemon:is_mushroom; aether:skyroot_forest; aether:skyroot_woodland</x:t>
        </x:is>
      </x:c>
      <x:c r="Q290" s="5" t="inlineStr">
        <x:is>
          <x:t xml:space="preserve">common</x:t>
        </x:is>
      </x:c>
      <x:c r="R290" s="5" t="inlineStr">
        <x:is>
          <x:t xml:space="preserve"/>
        </x:is>
      </x:c>
      <x:c r="S290" s="5" t="inlineStr">
        <x:is>
          <x:t xml:space="preserve"/>
        </x:is>
      </x:c>
      <x:c r="T290" s="5" t="inlineStr">
        <x:is>
          <x:t xml:space="preserve">육상</x:t>
        </x:is>
      </x:c>
      <x:c r="U290" s="5" t="inlineStr">
        <x:is>
          <x:t xml:space="preserve">수목</x:t>
        </x:is>
      </x:c>
      <x:c r="V290" s="5" t="inlineStr">
        <x:is>
          <x:t xml:space="preserve">온대</x:t>
        </x:is>
      </x:c>
      <x:c r="W290" s="5" t="inlineStr">
        <x:is>
          <x:t xml:space="preserve">보통</x:t>
        </x:is>
      </x:c>
      <x:c r="X290" s="5" t="inlineStr">
        <x:is>
          <x:t xml:space="preserve">무관</x:t>
        </x:is>
      </x:c>
      <x:c r="Y290" s="5" t="inlineStr">
        <x:is>
          <x:t xml:space="preserve">무관</x:t>
        </x:is>
      </x:c>
      <x:c r="Z290" s="5" t="inlineStr">
        <x:is>
          <x:t xml:space="preserve">흔함</x:t>
        </x:is>
      </x:c>
      <x:c r="AA290" s="5" t="inlineStr">
        <x:is>
          <x:t xml:space="preserve">없음</x:t>
        </x:is>
      </x:c>
      <x:c r="AB290" s="5" t="inlineStr">
        <x:is>
          <x:t xml:space="preserve">숲</x:t>
        </x:is>
      </x:c>
      <x:c r="AC290" s="5" t="inlineStr">
        <x:is>
          <x:t xml:space="preserve">gen3</x:t>
        </x:is>
      </x:c>
      <x:c r="AD290" s="5" t="inlineStr">
        <x:is>
          <x:t xml:space="preserve">.tmp/cobblemon-1.7.3-source/common/src/main/resources/data/cobblemon/species/generation3/breloom.json</x:t>
        </x:is>
      </x:c>
    </x:row>
    <x:row r="291" ht="22" customHeight="1">
      <x:c r="A291" s="5" t="n">
        <x:v>287</x:v>
      </x:c>
      <x:c r="B291" s="5" t="inlineStr">
        <x:is>
          <x:t xml:space="preserve">게을로</x:t>
        </x:is>
      </x:c>
      <x:c r="C291" s="5" t="inlineStr">
        <x:is>
          <x:t xml:space="preserve">slakoth</x:t>
        </x:is>
      </x:c>
      <x:c r="D291" s="5" t="inlineStr">
        <x:is>
          <x:t xml:space="preserve">Slakoth</x:t>
        </x:is>
      </x:c>
      <x:c r="E291" s="5" t="n">
        <x:v>3</x:v>
      </x:c>
      <x:c r="F291" s="5" t="inlineStr">
        <x:is>
          <x:t xml:space="preserve">노말</x:t>
        </x:is>
      </x:c>
      <x:c r="G291" s="5" t="inlineStr">
        <x:is>
          <x:t xml:space="preserve"/>
        </x:is>
      </x:c>
      <x:c r="H291" s="5" t="n">
        <x:v>0.8</x:v>
      </x:c>
      <x:c r="I291" s="5" t="n">
        <x:v>24</x:v>
      </x:c>
      <x:c r="J291" s="5" t="n">
        <x:v>280</x:v>
      </x:c>
      <x:c r="K291" s="5" t="n">
        <x:v>255</x:v>
      </x:c>
      <x:c r="L291" s="5" t="inlineStr">
        <x:is>
          <x:t xml:space="preserve">기본</x:t>
        </x:is>
      </x:c>
      <x:c r="M291" s="5" t="n">
        <x:v>36</x:v>
      </x:c>
      <x:c r="N291" s="5" t="inlineStr">
        <x:is>
          <x:t xml:space="preserve">레벨</x:t>
        </x:is>
      </x:c>
      <x:c r="O291" s="5" t="inlineStr">
        <x:is>
          <x:t xml:space="preserve">예</x:t>
        </x:is>
      </x:c>
      <x:c r="P291" s="5" t="inlineStr">
        <x:is>
          <x:t xml:space="preserve">#cobblemon:is_jungle</x:t>
        </x:is>
      </x:c>
      <x:c r="Q291" s="5" t="inlineStr">
        <x:is>
          <x:t xml:space="preserve">common</x:t>
        </x:is>
      </x:c>
      <x:c r="R291" s="5" t="inlineStr">
        <x:is>
          <x:t xml:space="preserve"/>
        </x:is>
      </x:c>
      <x:c r="S291" s="5" t="inlineStr">
        <x:is>
          <x:t xml:space="preserve"/>
        </x:is>
      </x:c>
      <x:c r="T291" s="5" t="inlineStr">
        <x:is>
          <x:t xml:space="preserve">육상</x:t>
        </x:is>
      </x:c>
      <x:c r="U291" s="5" t="inlineStr">
        <x:is>
          <x:t xml:space="preserve">수목</x:t>
        </x:is>
      </x:c>
      <x:c r="V291" s="5" t="inlineStr">
        <x:is>
          <x:t xml:space="preserve">온대</x:t>
        </x:is>
      </x:c>
      <x:c r="W291" s="5" t="inlineStr">
        <x:is>
          <x:t xml:space="preserve">다습</x:t>
        </x:is>
      </x:c>
      <x:c r="X291" s="5" t="inlineStr">
        <x:is>
          <x:t xml:space="preserve">무관</x:t>
        </x:is>
      </x:c>
      <x:c r="Y291" s="5" t="inlineStr">
        <x:is>
          <x:t xml:space="preserve">무관</x:t>
        </x:is>
      </x:c>
      <x:c r="Z291" s="5" t="inlineStr">
        <x:is>
          <x:t xml:space="preserve">흔함</x:t>
        </x:is>
      </x:c>
      <x:c r="AA291" s="5" t="inlineStr">
        <x:is>
          <x:t xml:space="preserve">없음</x:t>
        </x:is>
      </x:c>
      <x:c r="AB291" s="5" t="inlineStr">
        <x:is>
          <x:t xml:space="preserve">숲</x:t>
        </x:is>
      </x:c>
      <x:c r="AC291" s="5" t="inlineStr">
        <x:is>
          <x:t xml:space="preserve">gen3</x:t>
        </x:is>
      </x:c>
      <x:c r="AD291" s="5" t="inlineStr">
        <x:is>
          <x:t xml:space="preserve">.tmp/cobblemon-1.7.3-source/common/src/main/resources/data/cobblemon/species/generation3/slakoth.json</x:t>
        </x:is>
      </x:c>
    </x:row>
    <x:row r="292" ht="22" customHeight="1">
      <x:c r="A292" s="5" t="n">
        <x:v>288</x:v>
      </x:c>
      <x:c r="B292" s="5" t="inlineStr">
        <x:is>
          <x:t xml:space="preserve">발바로</x:t>
        </x:is>
      </x:c>
      <x:c r="C292" s="5" t="inlineStr">
        <x:is>
          <x:t xml:space="preserve">vigoroth</x:t>
        </x:is>
      </x:c>
      <x:c r="D292" s="5" t="inlineStr">
        <x:is>
          <x:t xml:space="preserve">Vigoroth</x:t>
        </x:is>
      </x:c>
      <x:c r="E292" s="5" t="n">
        <x:v>3</x:v>
      </x:c>
      <x:c r="F292" s="5" t="inlineStr">
        <x:is>
          <x:t xml:space="preserve">노말</x:t>
        </x:is>
      </x:c>
      <x:c r="G292" s="5" t="inlineStr">
        <x:is>
          <x:t xml:space="preserve"/>
        </x:is>
      </x:c>
      <x:c r="H292" s="5" t="n">
        <x:v>1.4</x:v>
      </x:c>
      <x:c r="I292" s="5" t="n">
        <x:v>46.5</x:v>
      </x:c>
      <x:c r="J292" s="5" t="n">
        <x:v>440</x:v>
      </x:c>
      <x:c r="K292" s="5" t="n">
        <x:v>120</x:v>
      </x:c>
      <x:c r="L292" s="5" t="inlineStr">
        <x:is>
          <x:t xml:space="preserve">중간</x:t>
        </x:is>
      </x:c>
      <x:c r="M292" s="5" t="n">
        <x:v>36</x:v>
      </x:c>
      <x:c r="N292" s="5" t="inlineStr">
        <x:is>
          <x:t xml:space="preserve">레벨</x:t>
        </x:is>
      </x:c>
      <x:c r="O292" s="5" t="inlineStr">
        <x:is>
          <x:t xml:space="preserve">예</x:t>
        </x:is>
      </x:c>
      <x:c r="P292" s="5" t="inlineStr">
        <x:is>
          <x:t xml:space="preserve">#cobblemon:is_jungle</x:t>
        </x:is>
      </x:c>
      <x:c r="Q292" s="5" t="inlineStr">
        <x:is>
          <x:t xml:space="preserve">common</x:t>
        </x:is>
      </x:c>
      <x:c r="R292" s="5" t="inlineStr">
        <x:is>
          <x:t xml:space="preserve"/>
        </x:is>
      </x:c>
      <x:c r="S292" s="5" t="inlineStr">
        <x:is>
          <x:t xml:space="preserve"/>
        </x:is>
      </x:c>
      <x:c r="T292" s="5" t="inlineStr">
        <x:is>
          <x:t xml:space="preserve">육상</x:t>
        </x:is>
      </x:c>
      <x:c r="U292" s="5" t="inlineStr">
        <x:is>
          <x:t xml:space="preserve">수목</x:t>
        </x:is>
      </x:c>
      <x:c r="V292" s="5" t="inlineStr">
        <x:is>
          <x:t xml:space="preserve">온대</x:t>
        </x:is>
      </x:c>
      <x:c r="W292" s="5" t="inlineStr">
        <x:is>
          <x:t xml:space="preserve">다습</x:t>
        </x:is>
      </x:c>
      <x:c r="X292" s="5" t="inlineStr">
        <x:is>
          <x:t xml:space="preserve">무관</x:t>
        </x:is>
      </x:c>
      <x:c r="Y292" s="5" t="inlineStr">
        <x:is>
          <x:t xml:space="preserve">무관</x:t>
        </x:is>
      </x:c>
      <x:c r="Z292" s="5" t="inlineStr">
        <x:is>
          <x:t xml:space="preserve">흔함</x:t>
        </x:is>
      </x:c>
      <x:c r="AA292" s="5" t="inlineStr">
        <x:is>
          <x:t xml:space="preserve">없음</x:t>
        </x:is>
      </x:c>
      <x:c r="AB292" s="5" t="inlineStr">
        <x:is>
          <x:t xml:space="preserve">숲</x:t>
        </x:is>
      </x:c>
      <x:c r="AC292" s="5" t="inlineStr">
        <x:is>
          <x:t xml:space="preserve">gen3</x:t>
        </x:is>
      </x:c>
      <x:c r="AD292" s="5" t="inlineStr">
        <x:is>
          <x:t xml:space="preserve">.tmp/cobblemon-1.7.3-source/common/src/main/resources/data/cobblemon/species/generation3/vigoroth.json</x:t>
        </x:is>
      </x:c>
    </x:row>
    <x:row r="293" ht="22" customHeight="1">
      <x:c r="A293" s="5" t="n">
        <x:v>289</x:v>
      </x:c>
      <x:c r="B293" s="5" t="inlineStr">
        <x:is>
          <x:t xml:space="preserve">게을킹</x:t>
        </x:is>
      </x:c>
      <x:c r="C293" s="5" t="inlineStr">
        <x:is>
          <x:t xml:space="preserve">slaking</x:t>
        </x:is>
      </x:c>
      <x:c r="D293" s="5" t="inlineStr">
        <x:is>
          <x:t xml:space="preserve">Slaking</x:t>
        </x:is>
      </x:c>
      <x:c r="E293" s="5" t="n">
        <x:v>3</x:v>
      </x:c>
      <x:c r="F293" s="5" t="inlineStr">
        <x:is>
          <x:t xml:space="preserve">노말</x:t>
        </x:is>
      </x:c>
      <x:c r="G293" s="5" t="inlineStr">
        <x:is>
          <x:t xml:space="preserve"/>
        </x:is>
      </x:c>
      <x:c r="H293" s="5" t="n">
        <x:v>2</x:v>
      </x:c>
      <x:c r="I293" s="5" t="n">
        <x:v>130.5</x:v>
      </x:c>
      <x:c r="J293" s="5" t="n">
        <x:v>670</x:v>
      </x:c>
      <x:c r="K293" s="5" t="n">
        <x:v>45</x:v>
      </x:c>
      <x:c r="L293" s="5" t="inlineStr">
        <x:is>
          <x:t xml:space="preserve">최종</x:t>
        </x:is>
      </x:c>
      <x:c r="M293" s="5" t="n">
        <x:v>36</x:v>
      </x:c>
      <x:c r="N293" s="5" t="inlineStr">
        <x:is>
          <x:t xml:space="preserve">레벨</x:t>
        </x:is>
      </x:c>
      <x:c r="O293" s="5" t="inlineStr">
        <x:is>
          <x:t xml:space="preserve">예</x:t>
        </x:is>
      </x:c>
      <x:c r="P293" s="5" t="inlineStr">
        <x:is>
          <x:t xml:space="preserve">#cobblemon:is_jungle</x:t>
        </x:is>
      </x:c>
      <x:c r="Q293" s="5" t="inlineStr">
        <x:is>
          <x:t xml:space="preserve">common</x:t>
        </x:is>
      </x:c>
      <x:c r="R293" s="5" t="inlineStr">
        <x:is>
          <x:t xml:space="preserve"/>
        </x:is>
      </x:c>
      <x:c r="S293" s="5" t="inlineStr">
        <x:is>
          <x:t xml:space="preserve"/>
        </x:is>
      </x:c>
      <x:c r="T293" s="5" t="inlineStr">
        <x:is>
          <x:t xml:space="preserve">육상</x:t>
        </x:is>
      </x:c>
      <x:c r="U293" s="5" t="inlineStr">
        <x:is>
          <x:t xml:space="preserve">수목</x:t>
        </x:is>
      </x:c>
      <x:c r="V293" s="5" t="inlineStr">
        <x:is>
          <x:t xml:space="preserve">온대</x:t>
        </x:is>
      </x:c>
      <x:c r="W293" s="5" t="inlineStr">
        <x:is>
          <x:t xml:space="preserve">다습</x:t>
        </x:is>
      </x:c>
      <x:c r="X293" s="5" t="inlineStr">
        <x:is>
          <x:t xml:space="preserve">무관</x:t>
        </x:is>
      </x:c>
      <x:c r="Y293" s="5" t="inlineStr">
        <x:is>
          <x:t xml:space="preserve">무관</x:t>
        </x:is>
      </x:c>
      <x:c r="Z293" s="5" t="inlineStr">
        <x:is>
          <x:t xml:space="preserve">흔함</x:t>
        </x:is>
      </x:c>
      <x:c r="AA293" s="5" t="inlineStr">
        <x:is>
          <x:t xml:space="preserve">없음</x:t>
        </x:is>
      </x:c>
      <x:c r="AB293" s="5" t="inlineStr">
        <x:is>
          <x:t xml:space="preserve">숲</x:t>
        </x:is>
      </x:c>
      <x:c r="AC293" s="5" t="inlineStr">
        <x:is>
          <x:t xml:space="preserve">gen3</x:t>
        </x:is>
      </x:c>
      <x:c r="AD293" s="5" t="inlineStr">
        <x:is>
          <x:t xml:space="preserve">.tmp/cobblemon-1.7.3-source/common/src/main/resources/data/cobblemon/species/generation3/slaking.json</x:t>
        </x:is>
      </x:c>
    </x:row>
    <x:row r="294" ht="22" customHeight="1">
      <x:c r="A294" s="5" t="n">
        <x:v>290</x:v>
      </x:c>
      <x:c r="B294" s="5" t="inlineStr">
        <x:is>
          <x:t xml:space="preserve">토중몬</x:t>
        </x:is>
      </x:c>
      <x:c r="C294" s="5" t="inlineStr">
        <x:is>
          <x:t xml:space="preserve">nincada</x:t>
        </x:is>
      </x:c>
      <x:c r="D294" s="5" t="inlineStr">
        <x:is>
          <x:t xml:space="preserve">Nincada</x:t>
        </x:is>
      </x:c>
      <x:c r="E294" s="5" t="n">
        <x:v>3</x:v>
      </x:c>
      <x:c r="F294" s="5" t="inlineStr">
        <x:is>
          <x:t xml:space="preserve">벌레</x:t>
        </x:is>
      </x:c>
      <x:c r="G294" s="5" t="inlineStr">
        <x:is>
          <x:t xml:space="preserve">땅</x:t>
        </x:is>
      </x:c>
      <x:c r="H294" s="5" t="n">
        <x:v>0.5</x:v>
      </x:c>
      <x:c r="I294" s="5" t="n">
        <x:v>5.5</x:v>
      </x:c>
      <x:c r="J294" s="5" t="n">
        <x:v>266</x:v>
      </x:c>
      <x:c r="K294" s="5" t="n">
        <x:v>255</x:v>
      </x:c>
      <x:c r="L294" s="5" t="inlineStr">
        <x:is>
          <x:t xml:space="preserve">기본</x:t>
        </x:is>
      </x:c>
      <x:c r="M294" s="5" t="n">
        <x:v>20</x:v>
      </x:c>
      <x:c r="N294" s="5" t="inlineStr">
        <x:is>
          <x:t xml:space="preserve">레벨</x:t>
        </x:is>
      </x:c>
      <x:c r="O294" s="5" t="inlineStr">
        <x:is>
          <x:t xml:space="preserve">예</x:t>
        </x:is>
      </x:c>
      <x:c r="P294" s="5" t="inlineStr">
        <x:is>
          <x:t xml:space="preserve">#cobblemon:is_forest; #cobblemon:is_jungle; aether:skyroot_forest; aether:skyroot_woodland</x:t>
        </x:is>
      </x:c>
      <x:c r="Q294" s="5" t="inlineStr">
        <x:is>
          <x:t xml:space="preserve">common</x:t>
        </x:is>
      </x:c>
      <x:c r="R294" s="5" t="inlineStr">
        <x:is>
          <x:t xml:space="preserve"/>
        </x:is>
      </x:c>
      <x:c r="S294" s="5" t="inlineStr">
        <x:is>
          <x:t xml:space="preserve"/>
        </x:is>
      </x:c>
      <x:c r="T294" s="5" t="inlineStr">
        <x:is>
          <x:t xml:space="preserve">육상</x:t>
        </x:is>
      </x:c>
      <x:c r="U294" s="5" t="inlineStr">
        <x:is>
          <x:t xml:space="preserve">수목</x:t>
        </x:is>
      </x:c>
      <x:c r="V294" s="5" t="inlineStr">
        <x:is>
          <x:t xml:space="preserve">온대</x:t>
        </x:is>
      </x:c>
      <x:c r="W294" s="5" t="inlineStr">
        <x:is>
          <x:t xml:space="preserve">다습</x:t>
        </x:is>
      </x:c>
      <x:c r="X294" s="5" t="inlineStr">
        <x:is>
          <x:t xml:space="preserve">무관</x:t>
        </x:is>
      </x:c>
      <x:c r="Y294" s="5" t="inlineStr">
        <x:is>
          <x:t xml:space="preserve">무관</x:t>
        </x:is>
      </x:c>
      <x:c r="Z294" s="5" t="inlineStr">
        <x:is>
          <x:t xml:space="preserve">흔함</x:t>
        </x:is>
      </x:c>
      <x:c r="AA294" s="5" t="inlineStr">
        <x:is>
          <x:t xml:space="preserve">없음</x:t>
        </x:is>
      </x:c>
      <x:c r="AB294" s="5" t="inlineStr">
        <x:is>
          <x:t xml:space="preserve">숲</x:t>
        </x:is>
      </x:c>
      <x:c r="AC294" s="5" t="inlineStr">
        <x:is>
          <x:t xml:space="preserve">gen3</x:t>
        </x:is>
      </x:c>
      <x:c r="AD294" s="5" t="inlineStr">
        <x:is>
          <x:t xml:space="preserve">.tmp/cobblemon-1.7.3-source/common/src/main/resources/data/cobblemon/species/generation3/nincada.json</x:t>
        </x:is>
      </x:c>
    </x:row>
    <x:row r="295" ht="22" customHeight="1">
      <x:c r="A295" s="5" t="n">
        <x:v>291</x:v>
      </x:c>
      <x:c r="B295" s="5" t="inlineStr">
        <x:is>
          <x:t xml:space="preserve">아이스크</x:t>
        </x:is>
      </x:c>
      <x:c r="C295" s="5" t="inlineStr">
        <x:is>
          <x:t xml:space="preserve">ninjask</x:t>
        </x:is>
      </x:c>
      <x:c r="D295" s="5" t="inlineStr">
        <x:is>
          <x:t xml:space="preserve">Ninjask</x:t>
        </x:is>
      </x:c>
      <x:c r="E295" s="5" t="n">
        <x:v>3</x:v>
      </x:c>
      <x:c r="F295" s="5" t="inlineStr">
        <x:is>
          <x:t xml:space="preserve">벌레</x:t>
        </x:is>
      </x:c>
      <x:c r="G295" s="5" t="inlineStr">
        <x:is>
          <x:t xml:space="preserve">비행</x:t>
        </x:is>
      </x:c>
      <x:c r="H295" s="5" t="n">
        <x:v>0.8</x:v>
      </x:c>
      <x:c r="I295" s="5" t="n">
        <x:v>12</x:v>
      </x:c>
      <x:c r="J295" s="5" t="n">
        <x:v>456</x:v>
      </x:c>
      <x:c r="K295" s="5" t="n">
        <x:v>120</x:v>
      </x:c>
      <x:c r="L295" s="5" t="inlineStr">
        <x:is>
          <x:t xml:space="preserve">최종</x:t>
        </x:is>
      </x:c>
      <x:c r="M295" s="5" t="n">
        <x:v>20</x:v>
      </x:c>
      <x:c r="N295" s="5" t="inlineStr">
        <x:is>
          <x:t xml:space="preserve">레벨</x:t>
        </x:is>
      </x:c>
      <x:c r="O295" s="5" t="inlineStr">
        <x:is>
          <x:t xml:space="preserve">예</x:t>
        </x:is>
      </x:c>
      <x:c r="P295" s="5" t="inlineStr">
        <x:is>
          <x:t xml:space="preserve">#cobblemon:is_forest; #cobblemon:is_jungle; aether:skyroot_forest; aether:skyroot_woodland</x:t>
        </x:is>
      </x:c>
      <x:c r="Q295" s="5" t="inlineStr">
        <x:is>
          <x:t xml:space="preserve">common</x:t>
        </x:is>
      </x:c>
      <x:c r="R295" s="5" t="inlineStr">
        <x:is>
          <x:t xml:space="preserve">day</x:t>
        </x:is>
      </x:c>
      <x:c r="S295" s="5" t="inlineStr">
        <x:is>
          <x:t xml:space="preserve">비=False</x:t>
        </x:is>
      </x:c>
      <x:c r="T295" s="5" t="inlineStr">
        <x:is>
          <x:t xml:space="preserve">비행</x:t>
        </x:is>
      </x:c>
      <x:c r="U295" s="5" t="inlineStr">
        <x:is>
          <x:t xml:space="preserve">수목</x:t>
        </x:is>
      </x:c>
      <x:c r="V295" s="5" t="inlineStr">
        <x:is>
          <x:t xml:space="preserve">온대</x:t>
        </x:is>
      </x:c>
      <x:c r="W295" s="5" t="inlineStr">
        <x:is>
          <x:t xml:space="preserve">다습</x:t>
        </x:is>
      </x:c>
      <x:c r="X295" s="5" t="inlineStr">
        <x:is>
          <x:t xml:space="preserve">무관</x:t>
        </x:is>
      </x:c>
      <x:c r="Y295" s="5" t="inlineStr">
        <x:is>
          <x:t xml:space="preserve">낮</x:t>
        </x:is>
      </x:c>
      <x:c r="Z295" s="5" t="inlineStr">
        <x:is>
          <x:t xml:space="preserve">흔함</x:t>
        </x:is>
      </x:c>
      <x:c r="AA295" s="5" t="inlineStr">
        <x:is>
          <x:t xml:space="preserve">없음</x:t>
        </x:is>
      </x:c>
      <x:c r="AB295" s="5" t="inlineStr">
        <x:is>
          <x:t xml:space="preserve">숲</x:t>
        </x:is>
      </x:c>
      <x:c r="AC295" s="5" t="inlineStr">
        <x:is>
          <x:t xml:space="preserve">gen3</x:t>
        </x:is>
      </x:c>
      <x:c r="AD295" s="5" t="inlineStr">
        <x:is>
          <x:t xml:space="preserve">.tmp/cobblemon-1.7.3-source/common/src/main/resources/data/cobblemon/species/generation3/ninjask.json</x:t>
        </x:is>
      </x:c>
    </x:row>
    <x:row r="296" ht="22" customHeight="1">
      <x:c r="A296" s="5" t="n">
        <x:v>292</x:v>
      </x:c>
      <x:c r="B296" s="5" t="inlineStr">
        <x:is>
          <x:t xml:space="preserve">껍질몬</x:t>
        </x:is>
      </x:c>
      <x:c r="C296" s="5" t="inlineStr">
        <x:is>
          <x:t xml:space="preserve">shedinja</x:t>
        </x:is>
      </x:c>
      <x:c r="D296" s="5" t="inlineStr">
        <x:is>
          <x:t xml:space="preserve">Shedinja</x:t>
        </x:is>
      </x:c>
      <x:c r="E296" s="5" t="n">
        <x:v>3</x:v>
      </x:c>
      <x:c r="F296" s="5" t="inlineStr">
        <x:is>
          <x:t xml:space="preserve">벌레</x:t>
        </x:is>
      </x:c>
      <x:c r="G296" s="5" t="inlineStr">
        <x:is>
          <x:t xml:space="preserve">고스트</x:t>
        </x:is>
      </x:c>
      <x:c r="H296" s="5" t="n">
        <x:v>0.8</x:v>
      </x:c>
      <x:c r="I296" s="5" t="n">
        <x:v>1.2</x:v>
      </x:c>
      <x:c r="J296" s="5" t="n">
        <x:v>236</x:v>
      </x:c>
      <x:c r="K296" s="5" t="n">
        <x:v>45</x:v>
      </x:c>
      <x:c r="L296" s="5" t="inlineStr">
        <x:is>
          <x:t xml:space="preserve">최종</x:t>
        </x:is>
      </x:c>
      <x:c r="M296" s="5" t="n">
        <x:v>20</x:v>
      </x:c>
      <x:c r="N296" s="5" t="inlineStr">
        <x:is>
          <x:t xml:space="preserve">레벨</x:t>
        </x:is>
      </x:c>
      <x:c r="O296" s="5" t="inlineStr">
        <x:is>
          <x:t xml:space="preserve">예</x:t>
        </x:is>
      </x:c>
      <x:c r="P296" s="5" t="inlineStr">
        <x:is>
          <x:t xml:space="preserve">#cobblemon:is_forest; #cobblemon:is_jungle; aether:skyroot_forest; aether:skyroot_woodland</x:t>
        </x:is>
      </x:c>
      <x:c r="Q296" s="5" t="inlineStr">
        <x:is>
          <x:t xml:space="preserve">common; uncommon</x:t>
        </x:is>
      </x:c>
      <x:c r="R296" s="5" t="inlineStr">
        <x:is>
          <x:t xml:space="preserve">night</x:t>
        </x:is>
      </x:c>
      <x:c r="S296" s="5" t="inlineStr">
        <x:is>
          <x:t xml:space="preserve">비=False</x:t>
        </x:is>
      </x:c>
      <x:c r="T296" s="5" t="inlineStr">
        <x:is>
          <x:t xml:space="preserve">비행</x:t>
        </x:is>
      </x:c>
      <x:c r="U296" s="5" t="inlineStr">
        <x:is>
          <x:t xml:space="preserve">수목</x:t>
        </x:is>
      </x:c>
      <x:c r="V296" s="5" t="inlineStr">
        <x:is>
          <x:t xml:space="preserve">온대</x:t>
        </x:is>
      </x:c>
      <x:c r="W296" s="5" t="inlineStr">
        <x:is>
          <x:t xml:space="preserve">다습</x:t>
        </x:is>
      </x:c>
      <x:c r="X296" s="5" t="inlineStr">
        <x:is>
          <x:t xml:space="preserve">안개</x:t>
        </x:is>
      </x:c>
      <x:c r="Y296" s="5" t="inlineStr">
        <x:is>
          <x:t xml:space="preserve">밤</x:t>
        </x:is>
      </x:c>
      <x:c r="Z296" s="5" t="inlineStr">
        <x:is>
          <x:t xml:space="preserve">보통</x:t>
        </x:is>
      </x:c>
      <x:c r="AA296" s="5" t="inlineStr">
        <x:is>
          <x:t xml:space="preserve">영체</x:t>
        </x:is>
      </x:c>
      <x:c r="AB296" s="5" t="inlineStr">
        <x:is>
          <x:t xml:space="preserve">숲</x:t>
        </x:is>
      </x:c>
      <x:c r="AC296" s="5" t="inlineStr">
        <x:is>
          <x:t xml:space="preserve">gen3</x:t>
        </x:is>
      </x:c>
      <x:c r="AD296" s="5" t="inlineStr">
        <x:is>
          <x:t xml:space="preserve">.tmp/cobblemon-1.7.3-source/common/src/main/resources/data/cobblemon/species/generation3/shedinja.json</x:t>
        </x:is>
      </x:c>
    </x:row>
    <x:row r="297" ht="22" customHeight="1">
      <x:c r="A297" s="5" t="n">
        <x:v>293</x:v>
      </x:c>
      <x:c r="B297" s="5" t="inlineStr">
        <x:is>
          <x:t xml:space="preserve">소곤룡</x:t>
        </x:is>
      </x:c>
      <x:c r="C297" s="5" t="inlineStr">
        <x:is>
          <x:t xml:space="preserve">whismur</x:t>
        </x:is>
      </x:c>
      <x:c r="D297" s="5" t="inlineStr">
        <x:is>
          <x:t xml:space="preserve">Whismur</x:t>
        </x:is>
      </x:c>
      <x:c r="E297" s="5" t="n">
        <x:v>3</x:v>
      </x:c>
      <x:c r="F297" s="5" t="inlineStr">
        <x:is>
          <x:t xml:space="preserve">노말</x:t>
        </x:is>
      </x:c>
      <x:c r="G297" s="5" t="inlineStr">
        <x:is>
          <x:t xml:space="preserve"/>
        </x:is>
      </x:c>
      <x:c r="H297" s="5" t="n">
        <x:v>0.6</x:v>
      </x:c>
      <x:c r="I297" s="5" t="n">
        <x:v>16.3</x:v>
      </x:c>
      <x:c r="J297" s="5" t="n">
        <x:v>240</x:v>
      </x:c>
      <x:c r="K297" s="5" t="n">
        <x:v>190</x:v>
      </x:c>
      <x:c r="L297" s="5" t="inlineStr">
        <x:is>
          <x:t xml:space="preserve">기본</x:t>
        </x:is>
      </x:c>
      <x:c r="M297" s="5" t="n">
        <x:v>40</x:v>
      </x:c>
      <x:c r="N297" s="5" t="inlineStr">
        <x:is>
          <x:t xml:space="preserve">레벨</x:t>
        </x:is>
      </x:c>
      <x:c r="O297" s="5" t="inlineStr">
        <x:is>
          <x:t xml:space="preserve">예</x:t>
        </x:is>
      </x:c>
      <x:c r="P297" s="5" t="inlineStr">
        <x:is>
          <x:t xml:space="preserve">#cobblemon:is_deep_dark; #cobblemon:is_overworld</x:t>
        </x:is>
      </x:c>
      <x:c r="Q297" s="5" t="inlineStr">
        <x:is>
          <x:t xml:space="preserve">common; uncommon</x:t>
        </x:is>
      </x:c>
      <x:c r="R297" s="5" t="inlineStr">
        <x:is>
          <x:t xml:space="preserve"/>
        </x:is>
      </x:c>
      <x:c r="S297" s="5" t="inlineStr">
        <x:is>
          <x:t xml:space="preserve"/>
        </x:is>
      </x:c>
      <x:c r="T297" s="5" t="inlineStr">
        <x:is>
          <x:t xml:space="preserve">육상</x:t>
        </x:is>
      </x:c>
      <x:c r="U297" s="5" t="inlineStr">
        <x:is>
          <x:t xml:space="preserve">동굴</x:t>
        </x:is>
      </x:c>
      <x:c r="V297" s="5" t="inlineStr">
        <x:is>
          <x:t xml:space="preserve">온대</x:t>
        </x:is>
      </x:c>
      <x:c r="W297" s="5" t="inlineStr">
        <x:is>
          <x:t xml:space="preserve">보통</x:t>
        </x:is>
      </x:c>
      <x:c r="X297" s="5" t="inlineStr">
        <x:is>
          <x:t xml:space="preserve">무관</x:t>
        </x:is>
      </x:c>
      <x:c r="Y297" s="5" t="inlineStr">
        <x:is>
          <x:t xml:space="preserve">무관</x:t>
        </x:is>
      </x:c>
      <x:c r="Z297" s="5" t="inlineStr">
        <x:is>
          <x:t xml:space="preserve">보통</x:t>
        </x:is>
      </x:c>
      <x:c r="AA297" s="5" t="inlineStr">
        <x:is>
          <x:t xml:space="preserve">동굴</x:t>
        </x:is>
      </x:c>
      <x:c r="AB297" s="5" t="inlineStr">
        <x:is>
          <x:t xml:space="preserve">동굴</x:t>
        </x:is>
      </x:c>
      <x:c r="AC297" s="5" t="inlineStr">
        <x:is>
          <x:t xml:space="preserve">gen3</x:t>
        </x:is>
      </x:c>
      <x:c r="AD297" s="5" t="inlineStr">
        <x:is>
          <x:t xml:space="preserve">.tmp/cobblemon-1.7.3-source/common/src/main/resources/data/cobblemon/species/generation3/whismur.json</x:t>
        </x:is>
      </x:c>
    </x:row>
    <x:row r="298" ht="22" customHeight="1">
      <x:c r="A298" s="5" t="n">
        <x:v>294</x:v>
      </x:c>
      <x:c r="B298" s="5" t="inlineStr">
        <x:is>
          <x:t xml:space="preserve">노공룡</x:t>
        </x:is>
      </x:c>
      <x:c r="C298" s="5" t="inlineStr">
        <x:is>
          <x:t xml:space="preserve">loudred</x:t>
        </x:is>
      </x:c>
      <x:c r="D298" s="5" t="inlineStr">
        <x:is>
          <x:t xml:space="preserve">Loudred</x:t>
        </x:is>
      </x:c>
      <x:c r="E298" s="5" t="n">
        <x:v>3</x:v>
      </x:c>
      <x:c r="F298" s="5" t="inlineStr">
        <x:is>
          <x:t xml:space="preserve">노말</x:t>
        </x:is>
      </x:c>
      <x:c r="G298" s="5" t="inlineStr">
        <x:is>
          <x:t xml:space="preserve"/>
        </x:is>
      </x:c>
      <x:c r="H298" s="5" t="n">
        <x:v>1</x:v>
      </x:c>
      <x:c r="I298" s="5" t="n">
        <x:v>40.5</x:v>
      </x:c>
      <x:c r="J298" s="5" t="n">
        <x:v>360</x:v>
      </x:c>
      <x:c r="K298" s="5" t="n">
        <x:v>120</x:v>
      </x:c>
      <x:c r="L298" s="5" t="inlineStr">
        <x:is>
          <x:t xml:space="preserve">중간</x:t>
        </x:is>
      </x:c>
      <x:c r="M298" s="5" t="n">
        <x:v>40</x:v>
      </x:c>
      <x:c r="N298" s="5" t="inlineStr">
        <x:is>
          <x:t xml:space="preserve">레벨</x:t>
        </x:is>
      </x:c>
      <x:c r="O298" s="5" t="inlineStr">
        <x:is>
          <x:t xml:space="preserve">예</x:t>
        </x:is>
      </x:c>
      <x:c r="P298" s="5" t="inlineStr">
        <x:is>
          <x:t xml:space="preserve">#cobblemon:is_deep_dark; #cobblemon:is_overworld</x:t>
        </x:is>
      </x:c>
      <x:c r="Q298" s="5" t="inlineStr">
        <x:is>
          <x:t xml:space="preserve">common; uncommon</x:t>
        </x:is>
      </x:c>
      <x:c r="R298" s="5" t="inlineStr">
        <x:is>
          <x:t xml:space="preserve"/>
        </x:is>
      </x:c>
      <x:c r="S298" s="5" t="inlineStr">
        <x:is>
          <x:t xml:space="preserve"/>
        </x:is>
      </x:c>
      <x:c r="T298" s="5" t="inlineStr">
        <x:is>
          <x:t xml:space="preserve">육상</x:t>
        </x:is>
      </x:c>
      <x:c r="U298" s="5" t="inlineStr">
        <x:is>
          <x:t xml:space="preserve">동굴</x:t>
        </x:is>
      </x:c>
      <x:c r="V298" s="5" t="inlineStr">
        <x:is>
          <x:t xml:space="preserve">온대</x:t>
        </x:is>
      </x:c>
      <x:c r="W298" s="5" t="inlineStr">
        <x:is>
          <x:t xml:space="preserve">보통</x:t>
        </x:is>
      </x:c>
      <x:c r="X298" s="5" t="inlineStr">
        <x:is>
          <x:t xml:space="preserve">무관</x:t>
        </x:is>
      </x:c>
      <x:c r="Y298" s="5" t="inlineStr">
        <x:is>
          <x:t xml:space="preserve">무관</x:t>
        </x:is>
      </x:c>
      <x:c r="Z298" s="5" t="inlineStr">
        <x:is>
          <x:t xml:space="preserve">보통</x:t>
        </x:is>
      </x:c>
      <x:c r="AA298" s="5" t="inlineStr">
        <x:is>
          <x:t xml:space="preserve">동굴</x:t>
        </x:is>
      </x:c>
      <x:c r="AB298" s="5" t="inlineStr">
        <x:is>
          <x:t xml:space="preserve">동굴</x:t>
        </x:is>
      </x:c>
      <x:c r="AC298" s="5" t="inlineStr">
        <x:is>
          <x:t xml:space="preserve">gen3</x:t>
        </x:is>
      </x:c>
      <x:c r="AD298" s="5" t="inlineStr">
        <x:is>
          <x:t xml:space="preserve">.tmp/cobblemon-1.7.3-source/common/src/main/resources/data/cobblemon/species/generation3/loudred.json</x:t>
        </x:is>
      </x:c>
    </x:row>
    <x:row r="299" ht="22" customHeight="1">
      <x:c r="A299" s="5" t="n">
        <x:v>295</x:v>
      </x:c>
      <x:c r="B299" s="5" t="inlineStr">
        <x:is>
          <x:t xml:space="preserve">폭음룡</x:t>
        </x:is>
      </x:c>
      <x:c r="C299" s="5" t="inlineStr">
        <x:is>
          <x:t xml:space="preserve">exploud</x:t>
        </x:is>
      </x:c>
      <x:c r="D299" s="5" t="inlineStr">
        <x:is>
          <x:t xml:space="preserve">Exploud</x:t>
        </x:is>
      </x:c>
      <x:c r="E299" s="5" t="n">
        <x:v>3</x:v>
      </x:c>
      <x:c r="F299" s="5" t="inlineStr">
        <x:is>
          <x:t xml:space="preserve">노말</x:t>
        </x:is>
      </x:c>
      <x:c r="G299" s="5" t="inlineStr">
        <x:is>
          <x:t xml:space="preserve"/>
        </x:is>
      </x:c>
      <x:c r="H299" s="5" t="n">
        <x:v>1.5</x:v>
      </x:c>
      <x:c r="I299" s="5" t="n">
        <x:v>84</x:v>
      </x:c>
      <x:c r="J299" s="5" t="n">
        <x:v>490</x:v>
      </x:c>
      <x:c r="K299" s="5" t="n">
        <x:v>45</x:v>
      </x:c>
      <x:c r="L299" s="5" t="inlineStr">
        <x:is>
          <x:t xml:space="preserve">최종</x:t>
        </x:is>
      </x:c>
      <x:c r="M299" s="5" t="n">
        <x:v>40</x:v>
      </x:c>
      <x:c r="N299" s="5" t="inlineStr">
        <x:is>
          <x:t xml:space="preserve">레벨</x:t>
        </x:is>
      </x:c>
      <x:c r="O299" s="5" t="inlineStr">
        <x:is>
          <x:t xml:space="preserve">예</x:t>
        </x:is>
      </x:c>
      <x:c r="P299" s="5" t="inlineStr">
        <x:is>
          <x:t xml:space="preserve">#cobblemon:is_deep_dark; #cobblemon:is_overworld</x:t>
        </x:is>
      </x:c>
      <x:c r="Q299" s="5" t="inlineStr">
        <x:is>
          <x:t xml:space="preserve">common; uncommon</x:t>
        </x:is>
      </x:c>
      <x:c r="R299" s="5" t="inlineStr">
        <x:is>
          <x:t xml:space="preserve"/>
        </x:is>
      </x:c>
      <x:c r="S299" s="5" t="inlineStr">
        <x:is>
          <x:t xml:space="preserve"/>
        </x:is>
      </x:c>
      <x:c r="T299" s="5" t="inlineStr">
        <x:is>
          <x:t xml:space="preserve">육상</x:t>
        </x:is>
      </x:c>
      <x:c r="U299" s="5" t="inlineStr">
        <x:is>
          <x:t xml:space="preserve">동굴</x:t>
        </x:is>
      </x:c>
      <x:c r="V299" s="5" t="inlineStr">
        <x:is>
          <x:t xml:space="preserve">온대</x:t>
        </x:is>
      </x:c>
      <x:c r="W299" s="5" t="inlineStr">
        <x:is>
          <x:t xml:space="preserve">보통</x:t>
        </x:is>
      </x:c>
      <x:c r="X299" s="5" t="inlineStr">
        <x:is>
          <x:t xml:space="preserve">무관</x:t>
        </x:is>
      </x:c>
      <x:c r="Y299" s="5" t="inlineStr">
        <x:is>
          <x:t xml:space="preserve">무관</x:t>
        </x:is>
      </x:c>
      <x:c r="Z299" s="5" t="inlineStr">
        <x:is>
          <x:t xml:space="preserve">보통</x:t>
        </x:is>
      </x:c>
      <x:c r="AA299" s="5" t="inlineStr">
        <x:is>
          <x:t xml:space="preserve">동굴</x:t>
        </x:is>
      </x:c>
      <x:c r="AB299" s="5" t="inlineStr">
        <x:is>
          <x:t xml:space="preserve">동굴</x:t>
        </x:is>
      </x:c>
      <x:c r="AC299" s="5" t="inlineStr">
        <x:is>
          <x:t xml:space="preserve">gen3</x:t>
        </x:is>
      </x:c>
      <x:c r="AD299" s="5" t="inlineStr">
        <x:is>
          <x:t xml:space="preserve">.tmp/cobblemon-1.7.3-source/common/src/main/resources/data/cobblemon/species/generation3/exploud.json</x:t>
        </x:is>
      </x:c>
    </x:row>
    <x:row r="300" ht="22" customHeight="1">
      <x:c r="A300" s="5" t="n">
        <x:v>296</x:v>
      </x:c>
      <x:c r="B300" s="5" t="inlineStr">
        <x:is>
          <x:t xml:space="preserve">마크탕</x:t>
        </x:is>
      </x:c>
      <x:c r="C300" s="5" t="inlineStr">
        <x:is>
          <x:t xml:space="preserve">makuhita</x:t>
        </x:is>
      </x:c>
      <x:c r="D300" s="5" t="inlineStr">
        <x:is>
          <x:t xml:space="preserve">Makuhita</x:t>
        </x:is>
      </x:c>
      <x:c r="E300" s="5" t="n">
        <x:v>3</x:v>
      </x:c>
      <x:c r="F300" s="5" t="inlineStr">
        <x:is>
          <x:t xml:space="preserve">격투</x:t>
        </x:is>
      </x:c>
      <x:c r="G300" s="5" t="inlineStr">
        <x:is>
          <x:t xml:space="preserve"/>
        </x:is>
      </x:c>
      <x:c r="H300" s="5" t="n">
        <x:v>1</x:v>
      </x:c>
      <x:c r="I300" s="5" t="n">
        <x:v>86.40000000000001</x:v>
      </x:c>
      <x:c r="J300" s="5" t="n">
        <x:v>237</x:v>
      </x:c>
      <x:c r="K300" s="5" t="n">
        <x:v>180</x:v>
      </x:c>
      <x:c r="L300" s="5" t="inlineStr">
        <x:is>
          <x:t xml:space="preserve">기본</x:t>
        </x:is>
      </x:c>
      <x:c r="M300" s="5" t="n">
        <x:v>24</x:v>
      </x:c>
      <x:c r="N300" s="5" t="inlineStr">
        <x:is>
          <x:t xml:space="preserve">레벨</x:t>
        </x:is>
      </x:c>
      <x:c r="O300" s="5" t="inlineStr">
        <x:is>
          <x:t xml:space="preserve">예</x:t>
        </x:is>
      </x:c>
      <x:c r="P300" s="5" t="inlineStr">
        <x:is>
          <x:t xml:space="preserve">#cobblemon:is_mountain</x:t>
        </x:is>
      </x:c>
      <x:c r="Q300" s="5" t="inlineStr">
        <x:is>
          <x:t xml:space="preserve">common</x:t>
        </x:is>
      </x:c>
      <x:c r="R300" s="5" t="inlineStr">
        <x:is>
          <x:t xml:space="preserve"/>
        </x:is>
      </x:c>
      <x:c r="S300" s="5" t="inlineStr">
        <x:is>
          <x:t xml:space="preserve"/>
        </x:is>
      </x:c>
      <x:c r="T300" s="5" t="inlineStr">
        <x:is>
          <x:t xml:space="preserve">육상</x:t>
        </x:is>
      </x:c>
      <x:c r="U300" s="5" t="inlineStr">
        <x:is>
          <x:t xml:space="preserve">암석</x:t>
        </x:is>
      </x:c>
      <x:c r="V300" s="5" t="inlineStr">
        <x:is>
          <x:t xml:space="preserve">온대</x:t>
        </x:is>
      </x:c>
      <x:c r="W300" s="5" t="inlineStr">
        <x:is>
          <x:t xml:space="preserve">보통</x:t>
        </x:is>
      </x:c>
      <x:c r="X300" s="5" t="inlineStr">
        <x:is>
          <x:t xml:space="preserve">무관</x:t>
        </x:is>
      </x:c>
      <x:c r="Y300" s="5" t="inlineStr">
        <x:is>
          <x:t xml:space="preserve">무관</x:t>
        </x:is>
      </x:c>
      <x:c r="Z300" s="5" t="inlineStr">
        <x:is>
          <x:t xml:space="preserve">흔함</x:t>
        </x:is>
      </x:c>
      <x:c r="AA300" s="5" t="inlineStr">
        <x:is>
          <x:t xml:space="preserve">없음</x:t>
        </x:is>
      </x:c>
      <x:c r="AB300" s="5" t="inlineStr">
        <x:is>
          <x:t xml:space="preserve">산악</x:t>
        </x:is>
      </x:c>
      <x:c r="AC300" s="5" t="inlineStr">
        <x:is>
          <x:t xml:space="preserve">gen3</x:t>
        </x:is>
      </x:c>
      <x:c r="AD300" s="5" t="inlineStr">
        <x:is>
          <x:t xml:space="preserve">.tmp/cobblemon-1.7.3-source/common/src/main/resources/data/cobblemon/species/generation3/makuhita.json</x:t>
        </x:is>
      </x:c>
    </x:row>
    <x:row r="301" ht="22" customHeight="1">
      <x:c r="A301" s="5" t="n">
        <x:v>297</x:v>
      </x:c>
      <x:c r="B301" s="5" t="inlineStr">
        <x:is>
          <x:t xml:space="preserve">하리뭉</x:t>
        </x:is>
      </x:c>
      <x:c r="C301" s="5" t="inlineStr">
        <x:is>
          <x:t xml:space="preserve">hariyama</x:t>
        </x:is>
      </x:c>
      <x:c r="D301" s="5" t="inlineStr">
        <x:is>
          <x:t xml:space="preserve">Hariyama</x:t>
        </x:is>
      </x:c>
      <x:c r="E301" s="5" t="n">
        <x:v>3</x:v>
      </x:c>
      <x:c r="F301" s="5" t="inlineStr">
        <x:is>
          <x:t xml:space="preserve">격투</x:t>
        </x:is>
      </x:c>
      <x:c r="G301" s="5" t="inlineStr">
        <x:is>
          <x:t xml:space="preserve"/>
        </x:is>
      </x:c>
      <x:c r="H301" s="5" t="n">
        <x:v>2.3</x:v>
      </x:c>
      <x:c r="I301" s="5" t="n">
        <x:v>253.8</x:v>
      </x:c>
      <x:c r="J301" s="5" t="n">
        <x:v>474</x:v>
      </x:c>
      <x:c r="K301" s="5" t="n">
        <x:v>200</x:v>
      </x:c>
      <x:c r="L301" s="5" t="inlineStr">
        <x:is>
          <x:t xml:space="preserve">최종</x:t>
        </x:is>
      </x:c>
      <x:c r="M301" s="5" t="n">
        <x:v>24</x:v>
      </x:c>
      <x:c r="N301" s="5" t="inlineStr">
        <x:is>
          <x:t xml:space="preserve">레벨</x:t>
        </x:is>
      </x:c>
      <x:c r="O301" s="5" t="inlineStr">
        <x:is>
          <x:t xml:space="preserve">예</x:t>
        </x:is>
      </x:c>
      <x:c r="P301" s="5" t="inlineStr">
        <x:is>
          <x:t xml:space="preserve">#cobblemon:is_mountain</x:t>
        </x:is>
      </x:c>
      <x:c r="Q301" s="5" t="inlineStr">
        <x:is>
          <x:t xml:space="preserve">common</x:t>
        </x:is>
      </x:c>
      <x:c r="R301" s="5" t="inlineStr">
        <x:is>
          <x:t xml:space="preserve"/>
        </x:is>
      </x:c>
      <x:c r="S301" s="5" t="inlineStr">
        <x:is>
          <x:t xml:space="preserve"/>
        </x:is>
      </x:c>
      <x:c r="T301" s="5" t="inlineStr">
        <x:is>
          <x:t xml:space="preserve">육상</x:t>
        </x:is>
      </x:c>
      <x:c r="U301" s="5" t="inlineStr">
        <x:is>
          <x:t xml:space="preserve">암석</x:t>
        </x:is>
      </x:c>
      <x:c r="V301" s="5" t="inlineStr">
        <x:is>
          <x:t xml:space="preserve">온대</x:t>
        </x:is>
      </x:c>
      <x:c r="W301" s="5" t="inlineStr">
        <x:is>
          <x:t xml:space="preserve">보통</x:t>
        </x:is>
      </x:c>
      <x:c r="X301" s="5" t="inlineStr">
        <x:is>
          <x:t xml:space="preserve">무관</x:t>
        </x:is>
      </x:c>
      <x:c r="Y301" s="5" t="inlineStr">
        <x:is>
          <x:t xml:space="preserve">무관</x:t>
        </x:is>
      </x:c>
      <x:c r="Z301" s="5" t="inlineStr">
        <x:is>
          <x:t xml:space="preserve">흔함</x:t>
        </x:is>
      </x:c>
      <x:c r="AA301" s="5" t="inlineStr">
        <x:is>
          <x:t xml:space="preserve">없음</x:t>
        </x:is>
      </x:c>
      <x:c r="AB301" s="5" t="inlineStr">
        <x:is>
          <x:t xml:space="preserve">산악</x:t>
        </x:is>
      </x:c>
      <x:c r="AC301" s="5" t="inlineStr">
        <x:is>
          <x:t xml:space="preserve">gen3</x:t>
        </x:is>
      </x:c>
      <x:c r="AD301" s="5" t="inlineStr">
        <x:is>
          <x:t xml:space="preserve">.tmp/cobblemon-1.7.3-source/common/src/main/resources/data/cobblemon/species/generation3/hariyama.json</x:t>
        </x:is>
      </x:c>
    </x:row>
    <x:row r="302" ht="22" customHeight="1">
      <x:c r="A302" s="5" t="n">
        <x:v>298</x:v>
      </x:c>
      <x:c r="B302" s="5" t="inlineStr">
        <x:is>
          <x:t xml:space="preserve">루리리</x:t>
        </x:is>
      </x:c>
      <x:c r="C302" s="5" t="inlineStr">
        <x:is>
          <x:t xml:space="preserve">azurill</x:t>
        </x:is>
      </x:c>
      <x:c r="D302" s="5" t="inlineStr">
        <x:is>
          <x:t xml:space="preserve">Azurill</x:t>
        </x:is>
      </x:c>
      <x:c r="E302" s="5" t="n">
        <x:v>3</x:v>
      </x:c>
      <x:c r="F302" s="5" t="inlineStr">
        <x:is>
          <x:t xml:space="preserve">노말</x:t>
        </x:is>
      </x:c>
      <x:c r="G302" s="5" t="inlineStr">
        <x:is>
          <x:t xml:space="preserve">페어리</x:t>
        </x:is>
      </x:c>
      <x:c r="H302" s="5" t="n">
        <x:v>0.2</x:v>
      </x:c>
      <x:c r="I302" s="5" t="n">
        <x:v>2</x:v>
      </x:c>
      <x:c r="J302" s="5" t="n">
        <x:v>190</x:v>
      </x:c>
      <x:c r="K302" s="5" t="n">
        <x:v>150</x:v>
      </x:c>
      <x:c r="L302" s="5" t="inlineStr">
        <x:is>
          <x:t xml:space="preserve">기본</x:t>
        </x:is>
      </x:c>
      <x:c r="M302" s="5" t="n">
        <x:v>18</x:v>
      </x:c>
      <x:c r="N302" s="5" t="inlineStr">
        <x:is>
          <x:t xml:space="preserve">레벨·특수</x:t>
        </x:is>
      </x:c>
      <x:c r="O302" s="5" t="inlineStr">
        <x:is>
          <x:t xml:space="preserve">예</x:t>
        </x:is>
      </x:c>
      <x:c r="P302" s="5" t="inlineStr">
        <x:is>
          <x:t xml:space="preserve">#cobblemon:is_floral; #cobblemon:is_hills; #cobblemon:is_magical; #cobblemon:is_river; #cobblemon:is_snowy_forest; #cobblemon:is_taiga; #cobblemon:is_temperate</x:t>
        </x:is>
      </x:c>
      <x:c r="Q302" s="5" t="inlineStr">
        <x:is>
          <x:t xml:space="preserve">common; uncommon</x:t>
        </x:is>
      </x:c>
      <x:c r="R302" s="5" t="inlineStr">
        <x:is>
          <x:t xml:space="preserve"/>
        </x:is>
      </x:c>
      <x:c r="S302" s="5" t="inlineStr">
        <x:is>
          <x:t xml:space="preserve"/>
        </x:is>
      </x:c>
      <x:c r="T302" s="5" t="inlineStr">
        <x:is>
          <x:t xml:space="preserve">육상</x:t>
        </x:is>
      </x:c>
      <x:c r="U302" s="5" t="inlineStr">
        <x:is>
          <x:t xml:space="preserve">수목</x:t>
        </x:is>
      </x:c>
      <x:c r="V302" s="5" t="inlineStr">
        <x:is>
          <x:t xml:space="preserve">서늘</x:t>
        </x:is>
      </x:c>
      <x:c r="W302" s="5" t="inlineStr">
        <x:is>
          <x:t xml:space="preserve">보통</x:t>
        </x:is>
      </x:c>
      <x:c r="X302" s="5" t="inlineStr">
        <x:is>
          <x:t xml:space="preserve">무관</x:t>
        </x:is>
      </x:c>
      <x:c r="Y302" s="5" t="inlineStr">
        <x:is>
          <x:t xml:space="preserve">무관</x:t>
        </x:is>
      </x:c>
      <x:c r="Z302" s="5" t="inlineStr">
        <x:is>
          <x:t xml:space="preserve">보통</x:t>
        </x:is>
      </x:c>
      <x:c r="AA302" s="5" t="inlineStr">
        <x:is>
          <x:t xml:space="preserve">없음</x:t>
        </x:is>
      </x:c>
      <x:c r="AB302" s="5" t="inlineStr">
        <x:is>
          <x:t xml:space="preserve">숲</x:t>
        </x:is>
      </x:c>
      <x:c r="AC302" s="5" t="inlineStr">
        <x:is>
          <x:t xml:space="preserve">baby; gen3</x:t>
        </x:is>
      </x:c>
      <x:c r="AD302" s="5" t="inlineStr">
        <x:is>
          <x:t xml:space="preserve">.tmp/cobblemon-1.7.3-source/common/src/main/resources/data/cobblemon/species/generation3/azurill.json</x:t>
        </x:is>
      </x:c>
    </x:row>
    <x:row r="303" ht="22" customHeight="1">
      <x:c r="A303" s="5" t="n">
        <x:v>299</x:v>
      </x:c>
      <x:c r="B303" s="5" t="inlineStr">
        <x:is>
          <x:t xml:space="preserve">코코파스</x:t>
        </x:is>
      </x:c>
      <x:c r="C303" s="5" t="inlineStr">
        <x:is>
          <x:t xml:space="preserve">nosepass</x:t>
        </x:is>
      </x:c>
      <x:c r="D303" s="5" t="inlineStr">
        <x:is>
          <x:t xml:space="preserve">Nosepass</x:t>
        </x:is>
      </x:c>
      <x:c r="E303" s="5" t="n">
        <x:v>3</x:v>
      </x:c>
      <x:c r="F303" s="5" t="inlineStr">
        <x:is>
          <x:t xml:space="preserve">바위</x:t>
        </x:is>
      </x:c>
      <x:c r="G303" s="5" t="inlineStr">
        <x:is>
          <x:t xml:space="preserve"/>
        </x:is>
      </x:c>
      <x:c r="H303" s="5" t="n">
        <x:v>1</x:v>
      </x:c>
      <x:c r="I303" s="5" t="n">
        <x:v>97</x:v>
      </x:c>
      <x:c r="J303" s="5" t="n">
        <x:v>375</x:v>
      </x:c>
      <x:c r="K303" s="5" t="n">
        <x:v>255</x:v>
      </x:c>
      <x:c r="L303" s="5" t="inlineStr">
        <x:is>
          <x:t xml:space="preserve">기본</x:t>
        </x:is>
      </x:c>
      <x:c r="M303" s="5" t="n"/>
      <x:c r="N303" s="5" t="inlineStr">
        <x:is>
          <x:t xml:space="preserve">특수</x:t>
        </x:is>
      </x:c>
      <x:c r="O303" s="5" t="inlineStr">
        <x:is>
          <x:t xml:space="preserve">예</x:t>
        </x:is>
      </x:c>
      <x:c r="P303" s="5" t="inlineStr">
        <x:is>
          <x:t xml:space="preserve">#cobblemon:is_overworld</x:t>
        </x:is>
      </x:c>
      <x:c r="Q303" s="5" t="inlineStr">
        <x:is>
          <x:t xml:space="preserve">uncommon</x:t>
        </x:is>
      </x:c>
      <x:c r="R303" s="5" t="inlineStr">
        <x:is>
          <x:t xml:space="preserve"/>
        </x:is>
      </x:c>
      <x:c r="S303" s="5" t="inlineStr">
        <x:is>
          <x:t xml:space="preserve"/>
        </x:is>
      </x:c>
      <x:c r="T303" s="5" t="inlineStr">
        <x:is>
          <x:t xml:space="preserve">육상</x:t>
        </x:is>
      </x:c>
      <x:c r="U303" s="5" t="inlineStr">
        <x:is>
          <x:t xml:space="preserve">암석</x:t>
        </x:is>
      </x:c>
      <x:c r="V303" s="5" t="inlineStr">
        <x:is>
          <x:t xml:space="preserve">온대</x:t>
        </x:is>
      </x:c>
      <x:c r="W303" s="5" t="inlineStr">
        <x:is>
          <x:t xml:space="preserve">보통</x:t>
        </x:is>
      </x:c>
      <x:c r="X303" s="5" t="inlineStr">
        <x:is>
          <x:t xml:space="preserve">무관</x:t>
        </x:is>
      </x:c>
      <x:c r="Y303" s="5" t="inlineStr">
        <x:is>
          <x:t xml:space="preserve">무관</x:t>
        </x:is>
      </x:c>
      <x:c r="Z303" s="5" t="inlineStr">
        <x:is>
          <x:t xml:space="preserve">보통</x:t>
        </x:is>
      </x:c>
      <x:c r="AA303" s="5" t="inlineStr">
        <x:is>
          <x:t xml:space="preserve">없음</x:t>
        </x:is>
      </x:c>
      <x:c r="AB303" s="5" t="inlineStr">
        <x:is>
          <x:t xml:space="preserve"/>
        </x:is>
      </x:c>
      <x:c r="AC303" s="5" t="inlineStr">
        <x:is>
          <x:t xml:space="preserve">gen3</x:t>
        </x:is>
      </x:c>
      <x:c r="AD303" s="5" t="inlineStr">
        <x:is>
          <x:t xml:space="preserve">.tmp/cobblemon-1.7.3-source/common/src/main/resources/data/cobblemon/species/generation3/nosepass.json</x:t>
        </x:is>
      </x:c>
    </x:row>
    <x:row r="304" ht="22" customHeight="1">
      <x:c r="A304" s="5" t="n">
        <x:v>300</x:v>
      </x:c>
      <x:c r="B304" s="5" t="inlineStr">
        <x:is>
          <x:t xml:space="preserve">에나비</x:t>
        </x:is>
      </x:c>
      <x:c r="C304" s="5" t="inlineStr">
        <x:is>
          <x:t xml:space="preserve">skitty</x:t>
        </x:is>
      </x:c>
      <x:c r="D304" s="5" t="inlineStr">
        <x:is>
          <x:t xml:space="preserve">Skitty</x:t>
        </x:is>
      </x:c>
      <x:c r="E304" s="5" t="n">
        <x:v>3</x:v>
      </x:c>
      <x:c r="F304" s="5" t="inlineStr">
        <x:is>
          <x:t xml:space="preserve">노말</x:t>
        </x:is>
      </x:c>
      <x:c r="G304" s="5" t="inlineStr">
        <x:is>
          <x:t xml:space="preserve"/>
        </x:is>
      </x:c>
      <x:c r="H304" s="5" t="n">
        <x:v>0.6</x:v>
      </x:c>
      <x:c r="I304" s="5" t="n">
        <x:v>11</x:v>
      </x:c>
      <x:c r="J304" s="5" t="n">
        <x:v>260</x:v>
      </x:c>
      <x:c r="K304" s="5" t="n">
        <x:v>255</x:v>
      </x:c>
      <x:c r="L304" s="5" t="inlineStr">
        <x:is>
          <x:t xml:space="preserve">기본</x:t>
        </x:is>
      </x:c>
      <x:c r="M304" s="5" t="n"/>
      <x:c r="N304" s="5" t="inlineStr">
        <x:is>
          <x:t xml:space="preserve">특수</x:t>
        </x:is>
      </x:c>
      <x:c r="O304" s="5" t="inlineStr">
        <x:is>
          <x:t xml:space="preserve">아니오</x:t>
        </x:is>
      </x:c>
      <x:c r="P304" s="5" t="inlineStr">
        <x:is>
          <x:t xml:space="preserve">#cobblemon:is_arid; #cobblemon:is_overworld; minecraft:cherry_grove</x:t>
        </x:is>
      </x:c>
      <x:c r="Q304" s="5" t="inlineStr">
        <x:is>
          <x:t xml:space="preserve">common</x:t>
        </x:is>
      </x:c>
      <x:c r="R304" s="5" t="inlineStr">
        <x:is>
          <x:t xml:space="preserve"/>
        </x:is>
      </x:c>
      <x:c r="S304" s="5" t="inlineStr">
        <x:is>
          <x:t xml:space="preserve">비=False</x:t>
        </x:is>
      </x:c>
      <x:c r="T304" s="5" t="inlineStr">
        <x:is>
          <x:t xml:space="preserve">육상</x:t>
        </x:is>
      </x:c>
      <x:c r="U304" s="5" t="inlineStr">
        <x:is>
          <x:t xml:space="preserve">건조</x:t>
        </x:is>
      </x:c>
      <x:c r="V304" s="5" t="inlineStr">
        <x:is>
          <x:t xml:space="preserve">고온</x:t>
        </x:is>
      </x:c>
      <x:c r="W304" s="5" t="inlineStr">
        <x:is>
          <x:t xml:space="preserve">건조</x:t>
        </x:is>
      </x:c>
      <x:c r="X304" s="5" t="inlineStr">
        <x:is>
          <x:t xml:space="preserve">맑음</x:t>
        </x:is>
      </x:c>
      <x:c r="Y304" s="5" t="inlineStr">
        <x:is>
          <x:t xml:space="preserve">무관</x:t>
        </x:is>
      </x:c>
      <x:c r="Z304" s="5" t="inlineStr">
        <x:is>
          <x:t xml:space="preserve">흔함</x:t>
        </x:is>
      </x:c>
      <x:c r="AA304" s="5" t="inlineStr">
        <x:is>
          <x:t xml:space="preserve">없음</x:t>
        </x:is>
      </x:c>
      <x:c r="AB304" s="5" t="inlineStr">
        <x:is>
          <x:t xml:space="preserve">건조지</x:t>
        </x:is>
      </x:c>
      <x:c r="AC304" s="5" t="inlineStr">
        <x:is>
          <x:t xml:space="preserve">gen3</x:t>
        </x:is>
      </x:c>
      <x:c r="AD304" s="5" t="inlineStr">
        <x:is>
          <x:t xml:space="preserve">.tmp/cobblemon-1.7.3-source/common/src/main/resources/data/cobblemon/species/generation3/skitty.json</x:t>
        </x:is>
      </x:c>
    </x:row>
    <x:row r="305" ht="22" customHeight="1">
      <x:c r="A305" s="5" t="n">
        <x:v>301</x:v>
      </x:c>
      <x:c r="B305" s="5" t="inlineStr">
        <x:is>
          <x:t xml:space="preserve">델케티</x:t>
        </x:is>
      </x:c>
      <x:c r="C305" s="5" t="inlineStr">
        <x:is>
          <x:t xml:space="preserve">delcatty</x:t>
        </x:is>
      </x:c>
      <x:c r="D305" s="5" t="inlineStr">
        <x:is>
          <x:t xml:space="preserve">Delcatty</x:t>
        </x:is>
      </x:c>
      <x:c r="E305" s="5" t="n">
        <x:v>3</x:v>
      </x:c>
      <x:c r="F305" s="5" t="inlineStr">
        <x:is>
          <x:t xml:space="preserve">노말</x:t>
        </x:is>
      </x:c>
      <x:c r="G305" s="5" t="inlineStr">
        <x:is>
          <x:t xml:space="preserve"/>
        </x:is>
      </x:c>
      <x:c r="H305" s="5" t="n">
        <x:v>1.1</x:v>
      </x:c>
      <x:c r="I305" s="5" t="n">
        <x:v>32.6</x:v>
      </x:c>
      <x:c r="J305" s="5" t="n">
        <x:v>400</x:v>
      </x:c>
      <x:c r="K305" s="5" t="n">
        <x:v>60</x:v>
      </x:c>
      <x:c r="L305" s="5" t="inlineStr">
        <x:is>
          <x:t xml:space="preserve">최종</x:t>
        </x:is>
      </x:c>
      <x:c r="M305" s="5" t="n"/>
      <x:c r="N305" s="5" t="inlineStr">
        <x:is>
          <x:t xml:space="preserve">특수</x:t>
        </x:is>
      </x:c>
      <x:c r="O305" s="5" t="inlineStr">
        <x:is>
          <x:t xml:space="preserve">아니오</x:t>
        </x:is>
      </x:c>
      <x:c r="P305" s="5" t="inlineStr">
        <x:is>
          <x:t xml:space="preserve">#cobblemon:is_arid; #cobblemon:is_overworld; minecraft:cherry_grove</x:t>
        </x:is>
      </x:c>
      <x:c r="Q305" s="5" t="inlineStr">
        <x:is>
          <x:t xml:space="preserve">uncommon</x:t>
        </x:is>
      </x:c>
      <x:c r="R305" s="5" t="inlineStr">
        <x:is>
          <x:t xml:space="preserve"/>
        </x:is>
      </x:c>
      <x:c r="S305" s="5" t="inlineStr">
        <x:is>
          <x:t xml:space="preserve">비=False</x:t>
        </x:is>
      </x:c>
      <x:c r="T305" s="5" t="inlineStr">
        <x:is>
          <x:t xml:space="preserve">육상</x:t>
        </x:is>
      </x:c>
      <x:c r="U305" s="5" t="inlineStr">
        <x:is>
          <x:t xml:space="preserve">건조</x:t>
        </x:is>
      </x:c>
      <x:c r="V305" s="5" t="inlineStr">
        <x:is>
          <x:t xml:space="preserve">고온</x:t>
        </x:is>
      </x:c>
      <x:c r="W305" s="5" t="inlineStr">
        <x:is>
          <x:t xml:space="preserve">건조</x:t>
        </x:is>
      </x:c>
      <x:c r="X305" s="5" t="inlineStr">
        <x:is>
          <x:t xml:space="preserve">맑음</x:t>
        </x:is>
      </x:c>
      <x:c r="Y305" s="5" t="inlineStr">
        <x:is>
          <x:t xml:space="preserve">무관</x:t>
        </x:is>
      </x:c>
      <x:c r="Z305" s="5" t="inlineStr">
        <x:is>
          <x:t xml:space="preserve">보통</x:t>
        </x:is>
      </x:c>
      <x:c r="AA305" s="5" t="inlineStr">
        <x:is>
          <x:t xml:space="preserve">없음</x:t>
        </x:is>
      </x:c>
      <x:c r="AB305" s="5" t="inlineStr">
        <x:is>
          <x:t xml:space="preserve">건조지</x:t>
        </x:is>
      </x:c>
      <x:c r="AC305" s="5" t="inlineStr">
        <x:is>
          <x:t xml:space="preserve">gen3</x:t>
        </x:is>
      </x:c>
      <x:c r="AD305" s="5" t="inlineStr">
        <x:is>
          <x:t xml:space="preserve">.tmp/cobblemon-1.7.3-source/common/src/main/resources/data/cobblemon/species/generation3/delcatty.json</x:t>
        </x:is>
      </x:c>
    </x:row>
    <x:row r="306" ht="22" customHeight="1">
      <x:c r="A306" s="5" t="n">
        <x:v>302</x:v>
      </x:c>
      <x:c r="B306" s="5" t="inlineStr">
        <x:is>
          <x:t xml:space="preserve">깜까미</x:t>
        </x:is>
      </x:c>
      <x:c r="C306" s="5" t="inlineStr">
        <x:is>
          <x:t xml:space="preserve">sableye</x:t>
        </x:is>
      </x:c>
      <x:c r="D306" s="5" t="inlineStr">
        <x:is>
          <x:t xml:space="preserve">Sableye</x:t>
        </x:is>
      </x:c>
      <x:c r="E306" s="5" t="n">
        <x:v>3</x:v>
      </x:c>
      <x:c r="F306" s="5" t="inlineStr">
        <x:is>
          <x:t xml:space="preserve">악</x:t>
        </x:is>
      </x:c>
      <x:c r="G306" s="5" t="inlineStr">
        <x:is>
          <x:t xml:space="preserve">고스트</x:t>
        </x:is>
      </x:c>
      <x:c r="H306" s="5" t="n">
        <x:v>0.5</x:v>
      </x:c>
      <x:c r="I306" s="5" t="n">
        <x:v>11</x:v>
      </x:c>
      <x:c r="J306" s="5" t="n">
        <x:v>380</x:v>
      </x:c>
      <x:c r="K306" s="5" t="n">
        <x:v>45</x:v>
      </x:c>
      <x:c r="L306" s="5" t="inlineStr">
        <x:is>
          <x:t xml:space="preserve">무진화</x:t>
        </x:is>
      </x:c>
      <x:c r="M306" s="5" t="n"/>
      <x:c r="N306" s="5" t="inlineStr">
        <x:is>
          <x:t xml:space="preserve">없음</x:t>
        </x:is>
      </x:c>
      <x:c r="O306" s="5" t="inlineStr">
        <x:is>
          <x:t xml:space="preserve">예</x:t>
        </x:is>
      </x:c>
      <x:c r="P306" s="5" t="inlineStr">
        <x:is>
          <x:t xml:space="preserve">#cobblemon:is_deep_dark; #cobblemon:is_overworld</x:t>
        </x:is>
      </x:c>
      <x:c r="Q306" s="5" t="inlineStr">
        <x:is>
          <x:t xml:space="preserve">common; rare</x:t>
        </x:is>
      </x:c>
      <x:c r="R306" s="5" t="inlineStr">
        <x:is>
          <x:t xml:space="preserve"/>
        </x:is>
      </x:c>
      <x:c r="S306" s="5" t="inlineStr">
        <x:is>
          <x:t xml:space="preserve"/>
        </x:is>
      </x:c>
      <x:c r="T306" s="5" t="inlineStr">
        <x:is>
          <x:t xml:space="preserve">지하</x:t>
        </x:is>
      </x:c>
      <x:c r="U306" s="5" t="inlineStr">
        <x:is>
          <x:t xml:space="preserve">동굴</x:t>
        </x:is>
      </x:c>
      <x:c r="V306" s="5" t="inlineStr">
        <x:is>
          <x:t xml:space="preserve">온대</x:t>
        </x:is>
      </x:c>
      <x:c r="W306" s="5" t="inlineStr">
        <x:is>
          <x:t xml:space="preserve">보통</x:t>
        </x:is>
      </x:c>
      <x:c r="X306" s="5" t="inlineStr">
        <x:is>
          <x:t xml:space="preserve">안개</x:t>
        </x:is>
      </x:c>
      <x:c r="Y306" s="5" t="inlineStr">
        <x:is>
          <x:t xml:space="preserve">밤</x:t>
        </x:is>
      </x:c>
      <x:c r="Z306" s="5" t="inlineStr">
        <x:is>
          <x:t xml:space="preserve">흔함</x:t>
        </x:is>
      </x:c>
      <x:c r="AA306" s="5" t="inlineStr">
        <x:is>
          <x:t xml:space="preserve">영체</x:t>
        </x:is>
      </x:c>
      <x:c r="AB306" s="5" t="inlineStr">
        <x:is>
          <x:t xml:space="preserve">동굴</x:t>
        </x:is>
      </x:c>
      <x:c r="AC306" s="5" t="inlineStr">
        <x:is>
          <x:t xml:space="preserve">gen3</x:t>
        </x:is>
      </x:c>
      <x:c r="AD306" s="5" t="inlineStr">
        <x:is>
          <x:t xml:space="preserve">.tmp/cobblemon-1.7.3-source/common/src/main/resources/data/cobblemon/species/generation3/sableye.json</x:t>
        </x:is>
      </x:c>
    </x:row>
    <x:row r="307" ht="22" customHeight="1">
      <x:c r="A307" s="5" t="n">
        <x:v>303</x:v>
      </x:c>
      <x:c r="B307" s="5" t="inlineStr">
        <x:is>
          <x:t xml:space="preserve">입치트</x:t>
        </x:is>
      </x:c>
      <x:c r="C307" s="5" t="inlineStr">
        <x:is>
          <x:t xml:space="preserve">mawile</x:t>
        </x:is>
      </x:c>
      <x:c r="D307" s="5" t="inlineStr">
        <x:is>
          <x:t xml:space="preserve">Mawile</x:t>
        </x:is>
      </x:c>
      <x:c r="E307" s="5" t="n">
        <x:v>3</x:v>
      </x:c>
      <x:c r="F307" s="5" t="inlineStr">
        <x:is>
          <x:t xml:space="preserve">강철</x:t>
        </x:is>
      </x:c>
      <x:c r="G307" s="5" t="inlineStr">
        <x:is>
          <x:t xml:space="preserve">페어리</x:t>
        </x:is>
      </x:c>
      <x:c r="H307" s="5" t="n">
        <x:v>0.6</x:v>
      </x:c>
      <x:c r="I307" s="5" t="n">
        <x:v>11.5</x:v>
      </x:c>
      <x:c r="J307" s="5" t="n">
        <x:v>380</x:v>
      </x:c>
      <x:c r="K307" s="5" t="n">
        <x:v>45</x:v>
      </x:c>
      <x:c r="L307" s="5" t="inlineStr">
        <x:is>
          <x:t xml:space="preserve">무진화</x:t>
        </x:is>
      </x:c>
      <x:c r="M307" s="5" t="n"/>
      <x:c r="N307" s="5" t="inlineStr">
        <x:is>
          <x:t xml:space="preserve">없음</x:t>
        </x:is>
      </x:c>
      <x:c r="O307" s="5" t="inlineStr">
        <x:is>
          <x:t xml:space="preserve">예</x:t>
        </x:is>
      </x:c>
      <x:c r="P307" s="5" t="inlineStr">
        <x:is>
          <x:t xml:space="preserve">#cobblemon:is_deep_dark; #cobblemon:is_overworld</x:t>
        </x:is>
      </x:c>
      <x:c r="Q307" s="5" t="inlineStr">
        <x:is>
          <x:t xml:space="preserve">rare; uncommon</x:t>
        </x:is>
      </x:c>
      <x:c r="R307" s="5" t="inlineStr">
        <x:is>
          <x:t xml:space="preserve"/>
        </x:is>
      </x:c>
      <x:c r="S307" s="5" t="inlineStr">
        <x:is>
          <x:t xml:space="preserve"/>
        </x:is>
      </x:c>
      <x:c r="T307" s="5" t="inlineStr">
        <x:is>
          <x:t xml:space="preserve">육상</x:t>
        </x:is>
      </x:c>
      <x:c r="U307" s="5" t="inlineStr">
        <x:is>
          <x:t xml:space="preserve">동굴</x:t>
        </x:is>
      </x:c>
      <x:c r="V307" s="5" t="inlineStr">
        <x:is>
          <x:t xml:space="preserve">온대</x:t>
        </x:is>
      </x:c>
      <x:c r="W307" s="5" t="inlineStr">
        <x:is>
          <x:t xml:space="preserve">보통</x:t>
        </x:is>
      </x:c>
      <x:c r="X307" s="5" t="inlineStr">
        <x:is>
          <x:t xml:space="preserve">무관</x:t>
        </x:is>
      </x:c>
      <x:c r="Y307" s="5" t="inlineStr">
        <x:is>
          <x:t xml:space="preserve">무관</x:t>
        </x:is>
      </x:c>
      <x:c r="Z307" s="5" t="inlineStr">
        <x:is>
          <x:t xml:space="preserve">보통</x:t>
        </x:is>
      </x:c>
      <x:c r="AA307" s="5" t="inlineStr">
        <x:is>
          <x:t xml:space="preserve">동굴</x:t>
        </x:is>
      </x:c>
      <x:c r="AB307" s="5" t="inlineStr">
        <x:is>
          <x:t xml:space="preserve">동굴</x:t>
        </x:is>
      </x:c>
      <x:c r="AC307" s="5" t="inlineStr">
        <x:is>
          <x:t xml:space="preserve">gen3</x:t>
        </x:is>
      </x:c>
      <x:c r="AD307" s="5" t="inlineStr">
        <x:is>
          <x:t xml:space="preserve">.tmp/cobblemon-1.7.3-source/common/src/main/resources/data/cobblemon/species/generation3/mawile.json</x:t>
        </x:is>
      </x:c>
    </x:row>
    <x:row r="308" ht="22" customHeight="1">
      <x:c r="A308" s="5" t="n">
        <x:v>304</x:v>
      </x:c>
      <x:c r="B308" s="5" t="inlineStr">
        <x:is>
          <x:t xml:space="preserve">가보리</x:t>
        </x:is>
      </x:c>
      <x:c r="C308" s="5" t="inlineStr">
        <x:is>
          <x:t xml:space="preserve">aron</x:t>
        </x:is>
      </x:c>
      <x:c r="D308" s="5" t="inlineStr">
        <x:is>
          <x:t xml:space="preserve">Aron</x:t>
        </x:is>
      </x:c>
      <x:c r="E308" s="5" t="n">
        <x:v>3</x:v>
      </x:c>
      <x:c r="F308" s="5" t="inlineStr">
        <x:is>
          <x:t xml:space="preserve">강철</x:t>
        </x:is>
      </x:c>
      <x:c r="G308" s="5" t="inlineStr">
        <x:is>
          <x:t xml:space="preserve">바위</x:t>
        </x:is>
      </x:c>
      <x:c r="H308" s="5" t="n">
        <x:v>0.4</x:v>
      </x:c>
      <x:c r="I308" s="5" t="n">
        <x:v>60</x:v>
      </x:c>
      <x:c r="J308" s="5" t="n">
        <x:v>330</x:v>
      </x:c>
      <x:c r="K308" s="5" t="n">
        <x:v>180</x:v>
      </x:c>
      <x:c r="L308" s="5" t="inlineStr">
        <x:is>
          <x:t xml:space="preserve">기본</x:t>
        </x:is>
      </x:c>
      <x:c r="M308" s="5" t="n">
        <x:v>42</x:v>
      </x:c>
      <x:c r="N308" s="5" t="inlineStr">
        <x:is>
          <x:t xml:space="preserve">레벨</x:t>
        </x:is>
      </x:c>
      <x:c r="O308" s="5" t="inlineStr">
        <x:is>
          <x:t xml:space="preserve">예</x:t>
        </x:is>
      </x:c>
      <x:c r="P308" s="5" t="inlineStr">
        <x:is>
          <x:t xml:space="preserve">#cobblemon:is_mountain; #cobblemon:is_overworld</x:t>
        </x:is>
      </x:c>
      <x:c r="Q308" s="5" t="inlineStr">
        <x:is>
          <x:t xml:space="preserve">common</x:t>
        </x:is>
      </x:c>
      <x:c r="R308" s="5" t="inlineStr">
        <x:is>
          <x:t xml:space="preserve"/>
        </x:is>
      </x:c>
      <x:c r="S308" s="5" t="inlineStr">
        <x:is>
          <x:t xml:space="preserve"/>
        </x:is>
      </x:c>
      <x:c r="T308" s="5" t="inlineStr">
        <x:is>
          <x:t xml:space="preserve">육상</x:t>
        </x:is>
      </x:c>
      <x:c r="U308" s="5" t="inlineStr">
        <x:is>
          <x:t xml:space="preserve">암석</x:t>
        </x:is>
      </x:c>
      <x:c r="V308" s="5" t="inlineStr">
        <x:is>
          <x:t xml:space="preserve">온대</x:t>
        </x:is>
      </x:c>
      <x:c r="W308" s="5" t="inlineStr">
        <x:is>
          <x:t xml:space="preserve">보통</x:t>
        </x:is>
      </x:c>
      <x:c r="X308" s="5" t="inlineStr">
        <x:is>
          <x:t xml:space="preserve">무관</x:t>
        </x:is>
      </x:c>
      <x:c r="Y308" s="5" t="inlineStr">
        <x:is>
          <x:t xml:space="preserve">무관</x:t>
        </x:is>
      </x:c>
      <x:c r="Z308" s="5" t="inlineStr">
        <x:is>
          <x:t xml:space="preserve">흔함</x:t>
        </x:is>
      </x:c>
      <x:c r="AA308" s="5" t="inlineStr">
        <x:is>
          <x:t xml:space="preserve">없음</x:t>
        </x:is>
      </x:c>
      <x:c r="AB308" s="5" t="inlineStr">
        <x:is>
          <x:t xml:space="preserve">산악</x:t>
        </x:is>
      </x:c>
      <x:c r="AC308" s="5" t="inlineStr">
        <x:is>
          <x:t xml:space="preserve">gen3</x:t>
        </x:is>
      </x:c>
      <x:c r="AD308" s="5" t="inlineStr">
        <x:is>
          <x:t xml:space="preserve">.tmp/cobblemon-1.7.3-source/common/src/main/resources/data/cobblemon/species/generation3/aron.json</x:t>
        </x:is>
      </x:c>
    </x:row>
    <x:row r="309" ht="22" customHeight="1">
      <x:c r="A309" s="5" t="n">
        <x:v>305</x:v>
      </x:c>
      <x:c r="B309" s="5" t="inlineStr">
        <x:is>
          <x:t xml:space="preserve">갱도라</x:t>
        </x:is>
      </x:c>
      <x:c r="C309" s="5" t="inlineStr">
        <x:is>
          <x:t xml:space="preserve">lairon</x:t>
        </x:is>
      </x:c>
      <x:c r="D309" s="5" t="inlineStr">
        <x:is>
          <x:t xml:space="preserve">Lairon</x:t>
        </x:is>
      </x:c>
      <x:c r="E309" s="5" t="n">
        <x:v>3</x:v>
      </x:c>
      <x:c r="F309" s="5" t="inlineStr">
        <x:is>
          <x:t xml:space="preserve">강철</x:t>
        </x:is>
      </x:c>
      <x:c r="G309" s="5" t="inlineStr">
        <x:is>
          <x:t xml:space="preserve">바위</x:t>
        </x:is>
      </x:c>
      <x:c r="H309" s="5" t="n">
        <x:v>0.9</x:v>
      </x:c>
      <x:c r="I309" s="5" t="n">
        <x:v>120</x:v>
      </x:c>
      <x:c r="J309" s="5" t="n">
        <x:v>430</x:v>
      </x:c>
      <x:c r="K309" s="5" t="n">
        <x:v>90</x:v>
      </x:c>
      <x:c r="L309" s="5" t="inlineStr">
        <x:is>
          <x:t xml:space="preserve">중간</x:t>
        </x:is>
      </x:c>
      <x:c r="M309" s="5" t="n">
        <x:v>42</x:v>
      </x:c>
      <x:c r="N309" s="5" t="inlineStr">
        <x:is>
          <x:t xml:space="preserve">레벨</x:t>
        </x:is>
      </x:c>
      <x:c r="O309" s="5" t="inlineStr">
        <x:is>
          <x:t xml:space="preserve">예</x:t>
        </x:is>
      </x:c>
      <x:c r="P309" s="5" t="inlineStr">
        <x:is>
          <x:t xml:space="preserve">#cobblemon:is_mountain; #cobblemon:is_overworld</x:t>
        </x:is>
      </x:c>
      <x:c r="Q309" s="5" t="inlineStr">
        <x:is>
          <x:t xml:space="preserve">common</x:t>
        </x:is>
      </x:c>
      <x:c r="R309" s="5" t="inlineStr">
        <x:is>
          <x:t xml:space="preserve"/>
        </x:is>
      </x:c>
      <x:c r="S309" s="5" t="inlineStr">
        <x:is>
          <x:t xml:space="preserve"/>
        </x:is>
      </x:c>
      <x:c r="T309" s="5" t="inlineStr">
        <x:is>
          <x:t xml:space="preserve">육상</x:t>
        </x:is>
      </x:c>
      <x:c r="U309" s="5" t="inlineStr">
        <x:is>
          <x:t xml:space="preserve">암석</x:t>
        </x:is>
      </x:c>
      <x:c r="V309" s="5" t="inlineStr">
        <x:is>
          <x:t xml:space="preserve">온대</x:t>
        </x:is>
      </x:c>
      <x:c r="W309" s="5" t="inlineStr">
        <x:is>
          <x:t xml:space="preserve">보통</x:t>
        </x:is>
      </x:c>
      <x:c r="X309" s="5" t="inlineStr">
        <x:is>
          <x:t xml:space="preserve">무관</x:t>
        </x:is>
      </x:c>
      <x:c r="Y309" s="5" t="inlineStr">
        <x:is>
          <x:t xml:space="preserve">무관</x:t>
        </x:is>
      </x:c>
      <x:c r="Z309" s="5" t="inlineStr">
        <x:is>
          <x:t xml:space="preserve">흔함</x:t>
        </x:is>
      </x:c>
      <x:c r="AA309" s="5" t="inlineStr">
        <x:is>
          <x:t xml:space="preserve">없음</x:t>
        </x:is>
      </x:c>
      <x:c r="AB309" s="5" t="inlineStr">
        <x:is>
          <x:t xml:space="preserve">산악</x:t>
        </x:is>
      </x:c>
      <x:c r="AC309" s="5" t="inlineStr">
        <x:is>
          <x:t xml:space="preserve">gen3</x:t>
        </x:is>
      </x:c>
      <x:c r="AD309" s="5" t="inlineStr">
        <x:is>
          <x:t xml:space="preserve">.tmp/cobblemon-1.7.3-source/common/src/main/resources/data/cobblemon/species/generation3/lairon.json</x:t>
        </x:is>
      </x:c>
    </x:row>
    <x:row r="310" ht="22" customHeight="1">
      <x:c r="A310" s="5" t="n">
        <x:v>306</x:v>
      </x:c>
      <x:c r="B310" s="5" t="inlineStr">
        <x:is>
          <x:t xml:space="preserve">보스로라</x:t>
        </x:is>
      </x:c>
      <x:c r="C310" s="5" t="inlineStr">
        <x:is>
          <x:t xml:space="preserve">aggron</x:t>
        </x:is>
      </x:c>
      <x:c r="D310" s="5" t="inlineStr">
        <x:is>
          <x:t xml:space="preserve">Aggron</x:t>
        </x:is>
      </x:c>
      <x:c r="E310" s="5" t="n">
        <x:v>3</x:v>
      </x:c>
      <x:c r="F310" s="5" t="inlineStr">
        <x:is>
          <x:t xml:space="preserve">강철</x:t>
        </x:is>
      </x:c>
      <x:c r="G310" s="5" t="inlineStr">
        <x:is>
          <x:t xml:space="preserve">바위</x:t>
        </x:is>
      </x:c>
      <x:c r="H310" s="5" t="n">
        <x:v>2.1</x:v>
      </x:c>
      <x:c r="I310" s="5" t="n">
        <x:v>360</x:v>
      </x:c>
      <x:c r="J310" s="5" t="n">
        <x:v>530</x:v>
      </x:c>
      <x:c r="K310" s="5" t="n">
        <x:v>45</x:v>
      </x:c>
      <x:c r="L310" s="5" t="inlineStr">
        <x:is>
          <x:t xml:space="preserve">최종</x:t>
        </x:is>
      </x:c>
      <x:c r="M310" s="5" t="n">
        <x:v>42</x:v>
      </x:c>
      <x:c r="N310" s="5" t="inlineStr">
        <x:is>
          <x:t xml:space="preserve">레벨</x:t>
        </x:is>
      </x:c>
      <x:c r="O310" s="5" t="inlineStr">
        <x:is>
          <x:t xml:space="preserve">예</x:t>
        </x:is>
      </x:c>
      <x:c r="P310" s="5" t="inlineStr">
        <x:is>
          <x:t xml:space="preserve">#cobblemon:is_mountain; #cobblemon:is_overworld</x:t>
        </x:is>
      </x:c>
      <x:c r="Q310" s="5" t="inlineStr">
        <x:is>
          <x:t xml:space="preserve">common</x:t>
        </x:is>
      </x:c>
      <x:c r="R310" s="5" t="inlineStr">
        <x:is>
          <x:t xml:space="preserve"/>
        </x:is>
      </x:c>
      <x:c r="S310" s="5" t="inlineStr">
        <x:is>
          <x:t xml:space="preserve"/>
        </x:is>
      </x:c>
      <x:c r="T310" s="5" t="inlineStr">
        <x:is>
          <x:t xml:space="preserve">육상</x:t>
        </x:is>
      </x:c>
      <x:c r="U310" s="5" t="inlineStr">
        <x:is>
          <x:t xml:space="preserve">암석</x:t>
        </x:is>
      </x:c>
      <x:c r="V310" s="5" t="inlineStr">
        <x:is>
          <x:t xml:space="preserve">온대</x:t>
        </x:is>
      </x:c>
      <x:c r="W310" s="5" t="inlineStr">
        <x:is>
          <x:t xml:space="preserve">보통</x:t>
        </x:is>
      </x:c>
      <x:c r="X310" s="5" t="inlineStr">
        <x:is>
          <x:t xml:space="preserve">무관</x:t>
        </x:is>
      </x:c>
      <x:c r="Y310" s="5" t="inlineStr">
        <x:is>
          <x:t xml:space="preserve">무관</x:t>
        </x:is>
      </x:c>
      <x:c r="Z310" s="5" t="inlineStr">
        <x:is>
          <x:t xml:space="preserve">흔함</x:t>
        </x:is>
      </x:c>
      <x:c r="AA310" s="5" t="inlineStr">
        <x:is>
          <x:t xml:space="preserve">없음</x:t>
        </x:is>
      </x:c>
      <x:c r="AB310" s="5" t="inlineStr">
        <x:is>
          <x:t xml:space="preserve">산악</x:t>
        </x:is>
      </x:c>
      <x:c r="AC310" s="5" t="inlineStr">
        <x:is>
          <x:t xml:space="preserve">gen3</x:t>
        </x:is>
      </x:c>
      <x:c r="AD310" s="5" t="inlineStr">
        <x:is>
          <x:t xml:space="preserve">.tmp/cobblemon-1.7.3-source/common/src/main/resources/data/cobblemon/species/generation3/aggron.json</x:t>
        </x:is>
      </x:c>
    </x:row>
    <x:row r="311" ht="22" customHeight="1">
      <x:c r="A311" s="5" t="n">
        <x:v>307</x:v>
      </x:c>
      <x:c r="B311" s="5" t="inlineStr">
        <x:is>
          <x:t xml:space="preserve">요가랑</x:t>
        </x:is>
      </x:c>
      <x:c r="C311" s="5" t="inlineStr">
        <x:is>
          <x:t xml:space="preserve">meditite</x:t>
        </x:is>
      </x:c>
      <x:c r="D311" s="5" t="inlineStr">
        <x:is>
          <x:t xml:space="preserve">Meditite</x:t>
        </x:is>
      </x:c>
      <x:c r="E311" s="5" t="n">
        <x:v>3</x:v>
      </x:c>
      <x:c r="F311" s="5" t="inlineStr">
        <x:is>
          <x:t xml:space="preserve">격투</x:t>
        </x:is>
      </x:c>
      <x:c r="G311" s="5" t="inlineStr">
        <x:is>
          <x:t xml:space="preserve">에스퍼</x:t>
        </x:is>
      </x:c>
      <x:c r="H311" s="5" t="n">
        <x:v>0.6</x:v>
      </x:c>
      <x:c r="I311" s="5" t="n">
        <x:v>11.2</x:v>
      </x:c>
      <x:c r="J311" s="5" t="n">
        <x:v>280</x:v>
      </x:c>
      <x:c r="K311" s="5" t="n">
        <x:v>180</x:v>
      </x:c>
      <x:c r="L311" s="5" t="inlineStr">
        <x:is>
          <x:t xml:space="preserve">기본</x:t>
        </x:is>
      </x:c>
      <x:c r="M311" s="5" t="n">
        <x:v>37</x:v>
      </x:c>
      <x:c r="N311" s="5" t="inlineStr">
        <x:is>
          <x:t xml:space="preserve">레벨</x:t>
        </x:is>
      </x:c>
      <x:c r="O311" s="5" t="inlineStr">
        <x:is>
          <x:t xml:space="preserve">예</x:t>
        </x:is>
      </x:c>
      <x:c r="P311" s="5" t="inlineStr">
        <x:is>
          <x:t xml:space="preserve">#cobblemon:is_peak</x:t>
        </x:is>
      </x:c>
      <x:c r="Q311" s="5" t="inlineStr">
        <x:is>
          <x:t xml:space="preserve">common</x:t>
        </x:is>
      </x:c>
      <x:c r="R311" s="5" t="inlineStr">
        <x:is>
          <x:t xml:space="preserve"/>
        </x:is>
      </x:c>
      <x:c r="S311" s="5" t="inlineStr">
        <x:is>
          <x:t xml:space="preserve"/>
        </x:is>
      </x:c>
      <x:c r="T311" s="5" t="inlineStr">
        <x:is>
          <x:t xml:space="preserve">육상</x:t>
        </x:is>
      </x:c>
      <x:c r="U311" s="5" t="inlineStr">
        <x:is>
          <x:t xml:space="preserve">암석</x:t>
        </x:is>
      </x:c>
      <x:c r="V311" s="5" t="inlineStr">
        <x:is>
          <x:t xml:space="preserve">온대</x:t>
        </x:is>
      </x:c>
      <x:c r="W311" s="5" t="inlineStr">
        <x:is>
          <x:t xml:space="preserve">보통</x:t>
        </x:is>
      </x:c>
      <x:c r="X311" s="5" t="inlineStr">
        <x:is>
          <x:t xml:space="preserve">무관</x:t>
        </x:is>
      </x:c>
      <x:c r="Y311" s="5" t="inlineStr">
        <x:is>
          <x:t xml:space="preserve">무관</x:t>
        </x:is>
      </x:c>
      <x:c r="Z311" s="5" t="inlineStr">
        <x:is>
          <x:t xml:space="preserve">흔함</x:t>
        </x:is>
      </x:c>
      <x:c r="AA311" s="5" t="inlineStr">
        <x:is>
          <x:t xml:space="preserve">없음</x:t>
        </x:is>
      </x:c>
      <x:c r="AB311" s="5" t="inlineStr">
        <x:is>
          <x:t xml:space="preserve">산악</x:t>
        </x:is>
      </x:c>
      <x:c r="AC311" s="5" t="inlineStr">
        <x:is>
          <x:t xml:space="preserve">gen3</x:t>
        </x:is>
      </x:c>
      <x:c r="AD311" s="5" t="inlineStr">
        <x:is>
          <x:t xml:space="preserve">.tmp/cobblemon-1.7.3-source/common/src/main/resources/data/cobblemon/species/generation3/meditite.json</x:t>
        </x:is>
      </x:c>
    </x:row>
    <x:row r="312" ht="22" customHeight="1">
      <x:c r="A312" s="5" t="n">
        <x:v>308</x:v>
      </x:c>
      <x:c r="B312" s="5" t="inlineStr">
        <x:is>
          <x:t xml:space="preserve">요가램</x:t>
        </x:is>
      </x:c>
      <x:c r="C312" s="5" t="inlineStr">
        <x:is>
          <x:t xml:space="preserve">medicham</x:t>
        </x:is>
      </x:c>
      <x:c r="D312" s="5" t="inlineStr">
        <x:is>
          <x:t xml:space="preserve">Medicham</x:t>
        </x:is>
      </x:c>
      <x:c r="E312" s="5" t="n">
        <x:v>3</x:v>
      </x:c>
      <x:c r="F312" s="5" t="inlineStr">
        <x:is>
          <x:t xml:space="preserve">격투</x:t>
        </x:is>
      </x:c>
      <x:c r="G312" s="5" t="inlineStr">
        <x:is>
          <x:t xml:space="preserve">에스퍼</x:t>
        </x:is>
      </x:c>
      <x:c r="H312" s="5" t="n">
        <x:v>1.3</x:v>
      </x:c>
      <x:c r="I312" s="5" t="n">
        <x:v>31.5</x:v>
      </x:c>
      <x:c r="J312" s="5" t="n">
        <x:v>410</x:v>
      </x:c>
      <x:c r="K312" s="5" t="n">
        <x:v>90</x:v>
      </x:c>
      <x:c r="L312" s="5" t="inlineStr">
        <x:is>
          <x:t xml:space="preserve">최종</x:t>
        </x:is>
      </x:c>
      <x:c r="M312" s="5" t="n">
        <x:v>37</x:v>
      </x:c>
      <x:c r="N312" s="5" t="inlineStr">
        <x:is>
          <x:t xml:space="preserve">레벨</x:t>
        </x:is>
      </x:c>
      <x:c r="O312" s="5" t="inlineStr">
        <x:is>
          <x:t xml:space="preserve">예</x:t>
        </x:is>
      </x:c>
      <x:c r="P312" s="5" t="inlineStr">
        <x:is>
          <x:t xml:space="preserve">#cobblemon:is_overworld; #cobblemon:is_peak</x:t>
        </x:is>
      </x:c>
      <x:c r="Q312" s="5" t="inlineStr">
        <x:is>
          <x:t xml:space="preserve">common</x:t>
        </x:is>
      </x:c>
      <x:c r="R312" s="5" t="inlineStr">
        <x:is>
          <x:t xml:space="preserve"/>
        </x:is>
      </x:c>
      <x:c r="S312" s="5" t="inlineStr">
        <x:is>
          <x:t xml:space="preserve"/>
        </x:is>
      </x:c>
      <x:c r="T312" s="5" t="inlineStr">
        <x:is>
          <x:t xml:space="preserve">육상</x:t>
        </x:is>
      </x:c>
      <x:c r="U312" s="5" t="inlineStr">
        <x:is>
          <x:t xml:space="preserve">암석</x:t>
        </x:is>
      </x:c>
      <x:c r="V312" s="5" t="inlineStr">
        <x:is>
          <x:t xml:space="preserve">온대</x:t>
        </x:is>
      </x:c>
      <x:c r="W312" s="5" t="inlineStr">
        <x:is>
          <x:t xml:space="preserve">보통</x:t>
        </x:is>
      </x:c>
      <x:c r="X312" s="5" t="inlineStr">
        <x:is>
          <x:t xml:space="preserve">무관</x:t>
        </x:is>
      </x:c>
      <x:c r="Y312" s="5" t="inlineStr">
        <x:is>
          <x:t xml:space="preserve">무관</x:t>
        </x:is>
      </x:c>
      <x:c r="Z312" s="5" t="inlineStr">
        <x:is>
          <x:t xml:space="preserve">흔함</x:t>
        </x:is>
      </x:c>
      <x:c r="AA312" s="5" t="inlineStr">
        <x:is>
          <x:t xml:space="preserve">없음</x:t>
        </x:is>
      </x:c>
      <x:c r="AB312" s="5" t="inlineStr">
        <x:is>
          <x:t xml:space="preserve">산악</x:t>
        </x:is>
      </x:c>
      <x:c r="AC312" s="5" t="inlineStr">
        <x:is>
          <x:t xml:space="preserve">gen3</x:t>
        </x:is>
      </x:c>
      <x:c r="AD312" s="5" t="inlineStr">
        <x:is>
          <x:t xml:space="preserve">.tmp/cobblemon-1.7.3-source/common/src/main/resources/data/cobblemon/species/generation3/medicham.json</x:t>
        </x:is>
      </x:c>
    </x:row>
    <x:row r="313" ht="22" customHeight="1">
      <x:c r="A313" s="5" t="n">
        <x:v>309</x:v>
      </x:c>
      <x:c r="B313" s="5" t="inlineStr">
        <x:is>
          <x:t xml:space="preserve">썬더라이</x:t>
        </x:is>
      </x:c>
      <x:c r="C313" s="5" t="inlineStr">
        <x:is>
          <x:t xml:space="preserve">electrike</x:t>
        </x:is>
      </x:c>
      <x:c r="D313" s="5" t="inlineStr">
        <x:is>
          <x:t xml:space="preserve">Electrike</x:t>
        </x:is>
      </x:c>
      <x:c r="E313" s="5" t="n">
        <x:v>3</x:v>
      </x:c>
      <x:c r="F313" s="5" t="inlineStr">
        <x:is>
          <x:t xml:space="preserve">전기</x:t>
        </x:is>
      </x:c>
      <x:c r="G313" s="5" t="inlineStr">
        <x:is>
          <x:t xml:space="preserve"/>
        </x:is>
      </x:c>
      <x:c r="H313" s="5" t="n">
        <x:v>0.6</x:v>
      </x:c>
      <x:c r="I313" s="5" t="n">
        <x:v>15.2</x:v>
      </x:c>
      <x:c r="J313" s="5" t="n">
        <x:v>295</x:v>
      </x:c>
      <x:c r="K313" s="5" t="n">
        <x:v>120</x:v>
      </x:c>
      <x:c r="L313" s="5" t="inlineStr">
        <x:is>
          <x:t xml:space="preserve">기본</x:t>
        </x:is>
      </x:c>
      <x:c r="M313" s="5" t="n">
        <x:v>26</x:v>
      </x:c>
      <x:c r="N313" s="5" t="inlineStr">
        <x:is>
          <x:t xml:space="preserve">레벨</x:t>
        </x:is>
      </x:c>
      <x:c r="O313" s="5" t="inlineStr">
        <x:is>
          <x:t xml:space="preserve">예</x:t>
        </x:is>
      </x:c>
      <x:c r="P313" s="5" t="inlineStr">
        <x:is>
          <x:t xml:space="preserve">#cobblemon:is_grassland; #cobblemon:is_hills</x:t>
        </x:is>
      </x:c>
      <x:c r="Q313" s="5" t="inlineStr">
        <x:is>
          <x:t xml:space="preserve">common</x:t>
        </x:is>
      </x:c>
      <x:c r="R313" s="5" t="inlineStr">
        <x:is>
          <x:t xml:space="preserve"/>
        </x:is>
      </x:c>
      <x:c r="S313" s="5" t="inlineStr">
        <x:is>
          <x:t xml:space="preserve"/>
        </x:is>
      </x:c>
      <x:c r="T313" s="5" t="inlineStr">
        <x:is>
          <x:t xml:space="preserve">육상</x:t>
        </x:is>
      </x:c>
      <x:c r="U313" s="5" t="inlineStr">
        <x:is>
          <x:t xml:space="preserve">암석</x:t>
        </x:is>
      </x:c>
      <x:c r="V313" s="5" t="inlineStr">
        <x:is>
          <x:t xml:space="preserve">온대</x:t>
        </x:is>
      </x:c>
      <x:c r="W313" s="5" t="inlineStr">
        <x:is>
          <x:t xml:space="preserve">보통</x:t>
        </x:is>
      </x:c>
      <x:c r="X313" s="5" t="inlineStr">
        <x:is>
          <x:t xml:space="preserve">무관</x:t>
        </x:is>
      </x:c>
      <x:c r="Y313" s="5" t="inlineStr">
        <x:is>
          <x:t xml:space="preserve">무관</x:t>
        </x:is>
      </x:c>
      <x:c r="Z313" s="5" t="inlineStr">
        <x:is>
          <x:t xml:space="preserve">흔함</x:t>
        </x:is>
      </x:c>
      <x:c r="AA313" s="5" t="inlineStr">
        <x:is>
          <x:t xml:space="preserve">없음</x:t>
        </x:is>
      </x:c>
      <x:c r="AB313" s="5" t="inlineStr">
        <x:is>
          <x:t xml:space="preserve">산악</x:t>
        </x:is>
      </x:c>
      <x:c r="AC313" s="5" t="inlineStr">
        <x:is>
          <x:t xml:space="preserve">gen3</x:t>
        </x:is>
      </x:c>
      <x:c r="AD313" s="5" t="inlineStr">
        <x:is>
          <x:t xml:space="preserve">.tmp/cobblemon-1.7.3-source/common/src/main/resources/data/cobblemon/species/generation3/electrike.json</x:t>
        </x:is>
      </x:c>
    </x:row>
    <x:row r="314" ht="22" customHeight="1">
      <x:c r="A314" s="5" t="n">
        <x:v>310</x:v>
      </x:c>
      <x:c r="B314" s="5" t="inlineStr">
        <x:is>
          <x:t xml:space="preserve">썬더볼트</x:t>
        </x:is>
      </x:c>
      <x:c r="C314" s="5" t="inlineStr">
        <x:is>
          <x:t xml:space="preserve">manectric</x:t>
        </x:is>
      </x:c>
      <x:c r="D314" s="5" t="inlineStr">
        <x:is>
          <x:t xml:space="preserve">Manectric</x:t>
        </x:is>
      </x:c>
      <x:c r="E314" s="5" t="n">
        <x:v>3</x:v>
      </x:c>
      <x:c r="F314" s="5" t="inlineStr">
        <x:is>
          <x:t xml:space="preserve">전기</x:t>
        </x:is>
      </x:c>
      <x:c r="G314" s="5" t="inlineStr">
        <x:is>
          <x:t xml:space="preserve"/>
        </x:is>
      </x:c>
      <x:c r="H314" s="5" t="n">
        <x:v>1.5</x:v>
      </x:c>
      <x:c r="I314" s="5" t="n">
        <x:v>40.2</x:v>
      </x:c>
      <x:c r="J314" s="5" t="n">
        <x:v>475</x:v>
      </x:c>
      <x:c r="K314" s="5" t="n">
        <x:v>45</x:v>
      </x:c>
      <x:c r="L314" s="5" t="inlineStr">
        <x:is>
          <x:t xml:space="preserve">최종</x:t>
        </x:is>
      </x:c>
      <x:c r="M314" s="5" t="n">
        <x:v>26</x:v>
      </x:c>
      <x:c r="N314" s="5" t="inlineStr">
        <x:is>
          <x:t xml:space="preserve">레벨</x:t>
        </x:is>
      </x:c>
      <x:c r="O314" s="5" t="inlineStr">
        <x:is>
          <x:t xml:space="preserve">예</x:t>
        </x:is>
      </x:c>
      <x:c r="P314" s="5" t="inlineStr">
        <x:is>
          <x:t xml:space="preserve">#cobblemon:is_grassland; #cobblemon:is_hills</x:t>
        </x:is>
      </x:c>
      <x:c r="Q314" s="5" t="inlineStr">
        <x:is>
          <x:t xml:space="preserve">common</x:t>
        </x:is>
      </x:c>
      <x:c r="R314" s="5" t="inlineStr">
        <x:is>
          <x:t xml:space="preserve"/>
        </x:is>
      </x:c>
      <x:c r="S314" s="5" t="inlineStr">
        <x:is>
          <x:t xml:space="preserve"/>
        </x:is>
      </x:c>
      <x:c r="T314" s="5" t="inlineStr">
        <x:is>
          <x:t xml:space="preserve">육상</x:t>
        </x:is>
      </x:c>
      <x:c r="U314" s="5" t="inlineStr">
        <x:is>
          <x:t xml:space="preserve">암석</x:t>
        </x:is>
      </x:c>
      <x:c r="V314" s="5" t="inlineStr">
        <x:is>
          <x:t xml:space="preserve">온대</x:t>
        </x:is>
      </x:c>
      <x:c r="W314" s="5" t="inlineStr">
        <x:is>
          <x:t xml:space="preserve">보통</x:t>
        </x:is>
      </x:c>
      <x:c r="X314" s="5" t="inlineStr">
        <x:is>
          <x:t xml:space="preserve">무관</x:t>
        </x:is>
      </x:c>
      <x:c r="Y314" s="5" t="inlineStr">
        <x:is>
          <x:t xml:space="preserve">무관</x:t>
        </x:is>
      </x:c>
      <x:c r="Z314" s="5" t="inlineStr">
        <x:is>
          <x:t xml:space="preserve">흔함</x:t>
        </x:is>
      </x:c>
      <x:c r="AA314" s="5" t="inlineStr">
        <x:is>
          <x:t xml:space="preserve">없음</x:t>
        </x:is>
      </x:c>
      <x:c r="AB314" s="5" t="inlineStr">
        <x:is>
          <x:t xml:space="preserve">산악</x:t>
        </x:is>
      </x:c>
      <x:c r="AC314" s="5" t="inlineStr">
        <x:is>
          <x:t xml:space="preserve">gen3</x:t>
        </x:is>
      </x:c>
      <x:c r="AD314" s="5" t="inlineStr">
        <x:is>
          <x:t xml:space="preserve">.tmp/cobblemon-1.7.3-source/common/src/main/resources/data/cobblemon/species/generation3/manectric.json</x:t>
        </x:is>
      </x:c>
    </x:row>
    <x:row r="315" ht="22" customHeight="1">
      <x:c r="A315" s="5" t="n">
        <x:v>311</x:v>
      </x:c>
      <x:c r="B315" s="5" t="inlineStr">
        <x:is>
          <x:t xml:space="preserve">플러시</x:t>
        </x:is>
      </x:c>
      <x:c r="C315" s="5" t="inlineStr">
        <x:is>
          <x:t xml:space="preserve">plusle</x:t>
        </x:is>
      </x:c>
      <x:c r="D315" s="5" t="inlineStr">
        <x:is>
          <x:t xml:space="preserve">Plusle</x:t>
        </x:is>
      </x:c>
      <x:c r="E315" s="5" t="n">
        <x:v>3</x:v>
      </x:c>
      <x:c r="F315" s="5" t="inlineStr">
        <x:is>
          <x:t xml:space="preserve">전기</x:t>
        </x:is>
      </x:c>
      <x:c r="G315" s="5" t="inlineStr">
        <x:is>
          <x:t xml:space="preserve"/>
        </x:is>
      </x:c>
      <x:c r="H315" s="5" t="n">
        <x:v>0.4</x:v>
      </x:c>
      <x:c r="I315" s="5" t="n">
        <x:v>4.2</x:v>
      </x:c>
      <x:c r="J315" s="5" t="n">
        <x:v>405</x:v>
      </x:c>
      <x:c r="K315" s="5" t="n">
        <x:v>200</x:v>
      </x:c>
      <x:c r="L315" s="5" t="inlineStr">
        <x:is>
          <x:t xml:space="preserve">무진화</x:t>
        </x:is>
      </x:c>
      <x:c r="M315" s="5" t="n"/>
      <x:c r="N315" s="5" t="inlineStr">
        <x:is>
          <x:t xml:space="preserve">없음</x:t>
        </x:is>
      </x:c>
      <x:c r="O315" s="5" t="inlineStr">
        <x:is>
          <x:t xml:space="preserve">예</x:t>
        </x:is>
      </x:c>
      <x:c r="P315" s="5" t="inlineStr">
        <x:is>
          <x:t xml:space="preserve">#cobblemon:is_plains</x:t>
        </x:is>
      </x:c>
      <x:c r="Q315" s="5" t="inlineStr">
        <x:is>
          <x:t xml:space="preserve">uncommon</x:t>
        </x:is>
      </x:c>
      <x:c r="R315" s="5" t="inlineStr">
        <x:is>
          <x:t xml:space="preserve"/>
        </x:is>
      </x:c>
      <x:c r="S315" s="5" t="inlineStr">
        <x:is>
          <x:t xml:space="preserve"/>
        </x:is>
      </x:c>
      <x:c r="T315" s="5" t="inlineStr">
        <x:is>
          <x:t xml:space="preserve">육상</x:t>
        </x:is>
      </x:c>
      <x:c r="U315" s="5" t="inlineStr">
        <x:is>
          <x:t xml:space="preserve">개활지</x:t>
        </x:is>
      </x:c>
      <x:c r="V315" s="5" t="inlineStr">
        <x:is>
          <x:t xml:space="preserve">온대</x:t>
        </x:is>
      </x:c>
      <x:c r="W315" s="5" t="inlineStr">
        <x:is>
          <x:t xml:space="preserve">보통</x:t>
        </x:is>
      </x:c>
      <x:c r="X315" s="5" t="inlineStr">
        <x:is>
          <x:t xml:space="preserve">무관</x:t>
        </x:is>
      </x:c>
      <x:c r="Y315" s="5" t="inlineStr">
        <x:is>
          <x:t xml:space="preserve">무관</x:t>
        </x:is>
      </x:c>
      <x:c r="Z315" s="5" t="inlineStr">
        <x:is>
          <x:t xml:space="preserve">보통</x:t>
        </x:is>
      </x:c>
      <x:c r="AA315" s="5" t="inlineStr">
        <x:is>
          <x:t xml:space="preserve">없음</x:t>
        </x:is>
      </x:c>
      <x:c r="AB315" s="5" t="inlineStr">
        <x:is>
          <x:t xml:space="preserve">평원</x:t>
        </x:is>
      </x:c>
      <x:c r="AC315" s="5" t="inlineStr">
        <x:is>
          <x:t xml:space="preserve">gen3</x:t>
        </x:is>
      </x:c>
      <x:c r="AD315" s="5" t="inlineStr">
        <x:is>
          <x:t xml:space="preserve">.tmp/cobblemon-1.7.3-source/common/src/main/resources/data/cobblemon/species/generation3/plusle.json</x:t>
        </x:is>
      </x:c>
    </x:row>
    <x:row r="316" ht="22" customHeight="1">
      <x:c r="A316" s="5" t="n">
        <x:v>312</x:v>
      </x:c>
      <x:c r="B316" s="5" t="inlineStr">
        <x:is>
          <x:t xml:space="preserve">마이농</x:t>
        </x:is>
      </x:c>
      <x:c r="C316" s="5" t="inlineStr">
        <x:is>
          <x:t xml:space="preserve">minun</x:t>
        </x:is>
      </x:c>
      <x:c r="D316" s="5" t="inlineStr">
        <x:is>
          <x:t xml:space="preserve">Minun</x:t>
        </x:is>
      </x:c>
      <x:c r="E316" s="5" t="n">
        <x:v>3</x:v>
      </x:c>
      <x:c r="F316" s="5" t="inlineStr">
        <x:is>
          <x:t xml:space="preserve">전기</x:t>
        </x:is>
      </x:c>
      <x:c r="G316" s="5" t="inlineStr">
        <x:is>
          <x:t xml:space="preserve"/>
        </x:is>
      </x:c>
      <x:c r="H316" s="5" t="n">
        <x:v>0.4</x:v>
      </x:c>
      <x:c r="I316" s="5" t="n">
        <x:v>4.2</x:v>
      </x:c>
      <x:c r="J316" s="5" t="n">
        <x:v>405</x:v>
      </x:c>
      <x:c r="K316" s="5" t="n">
        <x:v>200</x:v>
      </x:c>
      <x:c r="L316" s="5" t="inlineStr">
        <x:is>
          <x:t xml:space="preserve">무진화</x:t>
        </x:is>
      </x:c>
      <x:c r="M316" s="5" t="n"/>
      <x:c r="N316" s="5" t="inlineStr">
        <x:is>
          <x:t xml:space="preserve">없음</x:t>
        </x:is>
      </x:c>
      <x:c r="O316" s="5" t="inlineStr">
        <x:is>
          <x:t xml:space="preserve">예</x:t>
        </x:is>
      </x:c>
      <x:c r="P316" s="5" t="inlineStr">
        <x:is>
          <x:t xml:space="preserve">#cobblemon:is_plains</x:t>
        </x:is>
      </x:c>
      <x:c r="Q316" s="5" t="inlineStr">
        <x:is>
          <x:t xml:space="preserve">uncommon</x:t>
        </x:is>
      </x:c>
      <x:c r="R316" s="5" t="inlineStr">
        <x:is>
          <x:t xml:space="preserve"/>
        </x:is>
      </x:c>
      <x:c r="S316" s="5" t="inlineStr">
        <x:is>
          <x:t xml:space="preserve"/>
        </x:is>
      </x:c>
      <x:c r="T316" s="5" t="inlineStr">
        <x:is>
          <x:t xml:space="preserve">육상</x:t>
        </x:is>
      </x:c>
      <x:c r="U316" s="5" t="inlineStr">
        <x:is>
          <x:t xml:space="preserve">개활지</x:t>
        </x:is>
      </x:c>
      <x:c r="V316" s="5" t="inlineStr">
        <x:is>
          <x:t xml:space="preserve">온대</x:t>
        </x:is>
      </x:c>
      <x:c r="W316" s="5" t="inlineStr">
        <x:is>
          <x:t xml:space="preserve">보통</x:t>
        </x:is>
      </x:c>
      <x:c r="X316" s="5" t="inlineStr">
        <x:is>
          <x:t xml:space="preserve">무관</x:t>
        </x:is>
      </x:c>
      <x:c r="Y316" s="5" t="inlineStr">
        <x:is>
          <x:t xml:space="preserve">무관</x:t>
        </x:is>
      </x:c>
      <x:c r="Z316" s="5" t="inlineStr">
        <x:is>
          <x:t xml:space="preserve">보통</x:t>
        </x:is>
      </x:c>
      <x:c r="AA316" s="5" t="inlineStr">
        <x:is>
          <x:t xml:space="preserve">없음</x:t>
        </x:is>
      </x:c>
      <x:c r="AB316" s="5" t="inlineStr">
        <x:is>
          <x:t xml:space="preserve">평원</x:t>
        </x:is>
      </x:c>
      <x:c r="AC316" s="5" t="inlineStr">
        <x:is>
          <x:t xml:space="preserve">gen3</x:t>
        </x:is>
      </x:c>
      <x:c r="AD316" s="5" t="inlineStr">
        <x:is>
          <x:t xml:space="preserve">.tmp/cobblemon-1.7.3-source/common/src/main/resources/data/cobblemon/species/generation3/minun.json</x:t>
        </x:is>
      </x:c>
    </x:row>
    <x:row r="317" ht="22" customHeight="1">
      <x:c r="A317" s="5" t="n">
        <x:v>313</x:v>
      </x:c>
      <x:c r="B317" s="5" t="inlineStr">
        <x:is>
          <x:t xml:space="preserve">볼비트</x:t>
        </x:is>
      </x:c>
      <x:c r="C317" s="5" t="inlineStr">
        <x:is>
          <x:t xml:space="preserve">volbeat</x:t>
        </x:is>
      </x:c>
      <x:c r="D317" s="5" t="inlineStr">
        <x:is>
          <x:t xml:space="preserve">Volbeat</x:t>
        </x:is>
      </x:c>
      <x:c r="E317" s="5" t="n">
        <x:v>3</x:v>
      </x:c>
      <x:c r="F317" s="5" t="inlineStr">
        <x:is>
          <x:t xml:space="preserve">벌레</x:t>
        </x:is>
      </x:c>
      <x:c r="G317" s="5" t="inlineStr">
        <x:is>
          <x:t xml:space="preserve"/>
        </x:is>
      </x:c>
      <x:c r="H317" s="5" t="n">
        <x:v>0.7</x:v>
      </x:c>
      <x:c r="I317" s="5" t="n">
        <x:v>17.7</x:v>
      </x:c>
      <x:c r="J317" s="5" t="n">
        <x:v>430</x:v>
      </x:c>
      <x:c r="K317" s="5" t="n">
        <x:v>150</x:v>
      </x:c>
      <x:c r="L317" s="5" t="inlineStr">
        <x:is>
          <x:t xml:space="preserve">무진화</x:t>
        </x:is>
      </x:c>
      <x:c r="M317" s="5" t="n"/>
      <x:c r="N317" s="5" t="inlineStr">
        <x:is>
          <x:t xml:space="preserve">없음</x:t>
        </x:is>
      </x:c>
      <x:c r="O317" s="5" t="inlineStr">
        <x:is>
          <x:t xml:space="preserve">예</x:t>
        </x:is>
      </x:c>
      <x:c r="P317" s="5" t="inlineStr">
        <x:is>
          <x:t xml:space="preserve">#cobblemon:is_freshwater; #the_bumblezone:the_bumblezone; the_bumblezone:floral_meadow</x:t>
        </x:is>
      </x:c>
      <x:c r="Q317" s="5" t="inlineStr">
        <x:is>
          <x:t xml:space="preserve">common; uncommon</x:t>
        </x:is>
      </x:c>
      <x:c r="R317" s="5" t="inlineStr">
        <x:is>
          <x:t xml:space="preserve">night</x:t>
        </x:is>
      </x:c>
      <x:c r="S317" s="5" t="inlineStr">
        <x:is>
          <x:t xml:space="preserve">비=False</x:t>
        </x:is>
      </x:c>
      <x:c r="T317" s="5" t="inlineStr">
        <x:is>
          <x:t xml:space="preserve">담수</x:t>
        </x:is>
      </x:c>
      <x:c r="U317" s="5" t="inlineStr">
        <x:is>
          <x:t xml:space="preserve">담수</x:t>
        </x:is>
      </x:c>
      <x:c r="V317" s="5" t="inlineStr">
        <x:is>
          <x:t xml:space="preserve">온대</x:t>
        </x:is>
      </x:c>
      <x:c r="W317" s="5" t="inlineStr">
        <x:is>
          <x:t xml:space="preserve">수중</x:t>
        </x:is>
      </x:c>
      <x:c r="X317" s="5" t="inlineStr">
        <x:is>
          <x:t xml:space="preserve">비</x:t>
        </x:is>
      </x:c>
      <x:c r="Y317" s="5" t="inlineStr">
        <x:is>
          <x:t xml:space="preserve">밤</x:t>
        </x:is>
      </x:c>
      <x:c r="Z317" s="5" t="inlineStr">
        <x:is>
          <x:t xml:space="preserve">보통</x:t>
        </x:is>
      </x:c>
      <x:c r="AA317" s="5" t="inlineStr">
        <x:is>
          <x:t xml:space="preserve">없음</x:t>
        </x:is>
      </x:c>
      <x:c r="AB317" s="5" t="inlineStr">
        <x:is>
          <x:t xml:space="preserve">담수</x:t>
        </x:is>
      </x:c>
      <x:c r="AC317" s="5" t="inlineStr">
        <x:is>
          <x:t xml:space="preserve">gen3</x:t>
        </x:is>
      </x:c>
      <x:c r="AD317" s="5" t="inlineStr">
        <x:is>
          <x:t xml:space="preserve">.tmp/cobblemon-1.7.3-source/common/src/main/resources/data/cobblemon/species/generation3/volbeat.json</x:t>
        </x:is>
      </x:c>
    </x:row>
    <x:row r="318" ht="22" customHeight="1">
      <x:c r="A318" s="5" t="n">
        <x:v>314</x:v>
      </x:c>
      <x:c r="B318" s="5" t="inlineStr">
        <x:is>
          <x:t xml:space="preserve">네오비트</x:t>
        </x:is>
      </x:c>
      <x:c r="C318" s="5" t="inlineStr">
        <x:is>
          <x:t xml:space="preserve">illumise</x:t>
        </x:is>
      </x:c>
      <x:c r="D318" s="5" t="inlineStr">
        <x:is>
          <x:t xml:space="preserve">Illumise</x:t>
        </x:is>
      </x:c>
      <x:c r="E318" s="5" t="n">
        <x:v>3</x:v>
      </x:c>
      <x:c r="F318" s="5" t="inlineStr">
        <x:is>
          <x:t xml:space="preserve">벌레</x:t>
        </x:is>
      </x:c>
      <x:c r="G318" s="5" t="inlineStr">
        <x:is>
          <x:t xml:space="preserve"/>
        </x:is>
      </x:c>
      <x:c r="H318" s="5" t="n">
        <x:v>0.6</x:v>
      </x:c>
      <x:c r="I318" s="5" t="n">
        <x:v>17.7</x:v>
      </x:c>
      <x:c r="J318" s="5" t="n">
        <x:v>430</x:v>
      </x:c>
      <x:c r="K318" s="5" t="n">
        <x:v>150</x:v>
      </x:c>
      <x:c r="L318" s="5" t="inlineStr">
        <x:is>
          <x:t xml:space="preserve">무진화</x:t>
        </x:is>
      </x:c>
      <x:c r="M318" s="5" t="n"/>
      <x:c r="N318" s="5" t="inlineStr">
        <x:is>
          <x:t xml:space="preserve">없음</x:t>
        </x:is>
      </x:c>
      <x:c r="O318" s="5" t="inlineStr">
        <x:is>
          <x:t xml:space="preserve">예</x:t>
        </x:is>
      </x:c>
      <x:c r="P318" s="5" t="inlineStr">
        <x:is>
          <x:t xml:space="preserve">#cobblemon:is_freshwater; #the_bumblezone:the_bumblezone; the_bumblezone:floral_meadow</x:t>
        </x:is>
      </x:c>
      <x:c r="Q318" s="5" t="inlineStr">
        <x:is>
          <x:t xml:space="preserve">common; uncommon</x:t>
        </x:is>
      </x:c>
      <x:c r="R318" s="5" t="inlineStr">
        <x:is>
          <x:t xml:space="preserve">night</x:t>
        </x:is>
      </x:c>
      <x:c r="S318" s="5" t="inlineStr">
        <x:is>
          <x:t xml:space="preserve">비=False</x:t>
        </x:is>
      </x:c>
      <x:c r="T318" s="5" t="inlineStr">
        <x:is>
          <x:t xml:space="preserve">담수</x:t>
        </x:is>
      </x:c>
      <x:c r="U318" s="5" t="inlineStr">
        <x:is>
          <x:t xml:space="preserve">담수</x:t>
        </x:is>
      </x:c>
      <x:c r="V318" s="5" t="inlineStr">
        <x:is>
          <x:t xml:space="preserve">온대</x:t>
        </x:is>
      </x:c>
      <x:c r="W318" s="5" t="inlineStr">
        <x:is>
          <x:t xml:space="preserve">수중</x:t>
        </x:is>
      </x:c>
      <x:c r="X318" s="5" t="inlineStr">
        <x:is>
          <x:t xml:space="preserve">비</x:t>
        </x:is>
      </x:c>
      <x:c r="Y318" s="5" t="inlineStr">
        <x:is>
          <x:t xml:space="preserve">밤</x:t>
        </x:is>
      </x:c>
      <x:c r="Z318" s="5" t="inlineStr">
        <x:is>
          <x:t xml:space="preserve">보통</x:t>
        </x:is>
      </x:c>
      <x:c r="AA318" s="5" t="inlineStr">
        <x:is>
          <x:t xml:space="preserve">없음</x:t>
        </x:is>
      </x:c>
      <x:c r="AB318" s="5" t="inlineStr">
        <x:is>
          <x:t xml:space="preserve">담수</x:t>
        </x:is>
      </x:c>
      <x:c r="AC318" s="5" t="inlineStr">
        <x:is>
          <x:t xml:space="preserve">gen3</x:t>
        </x:is>
      </x:c>
      <x:c r="AD318" s="5" t="inlineStr">
        <x:is>
          <x:t xml:space="preserve">.tmp/cobblemon-1.7.3-source/common/src/main/resources/data/cobblemon/species/generation3/illumise.json</x:t>
        </x:is>
      </x:c>
    </x:row>
    <x:row r="319" ht="22" customHeight="1">
      <x:c r="A319" s="5" t="n">
        <x:v>315</x:v>
      </x:c>
      <x:c r="B319" s="5" t="inlineStr">
        <x:is>
          <x:t xml:space="preserve">로젤리아</x:t>
        </x:is>
      </x:c>
      <x:c r="C319" s="5" t="inlineStr">
        <x:is>
          <x:t xml:space="preserve">roselia</x:t>
        </x:is>
      </x:c>
      <x:c r="D319" s="5" t="inlineStr">
        <x:is>
          <x:t xml:space="preserve">Roselia</x:t>
        </x:is>
      </x:c>
      <x:c r="E319" s="5" t="n">
        <x:v>3</x:v>
      </x:c>
      <x:c r="F319" s="5" t="inlineStr">
        <x:is>
          <x:t xml:space="preserve">풀</x:t>
        </x:is>
      </x:c>
      <x:c r="G319" s="5" t="inlineStr">
        <x:is>
          <x:t xml:space="preserve">독</x:t>
        </x:is>
      </x:c>
      <x:c r="H319" s="5" t="n">
        <x:v>0.3</x:v>
      </x:c>
      <x:c r="I319" s="5" t="n">
        <x:v>2</x:v>
      </x:c>
      <x:c r="J319" s="5" t="n">
        <x:v>400</x:v>
      </x:c>
      <x:c r="K319" s="5" t="n">
        <x:v>150</x:v>
      </x:c>
      <x:c r="L319" s="5" t="inlineStr">
        <x:is>
          <x:t xml:space="preserve">중간</x:t>
        </x:is>
      </x:c>
      <x:c r="M319" s="5" t="n"/>
      <x:c r="N319" s="5" t="inlineStr">
        <x:is>
          <x:t xml:space="preserve">특수</x:t>
        </x:is>
      </x:c>
      <x:c r="O319" s="5" t="inlineStr">
        <x:is>
          <x:t xml:space="preserve">예</x:t>
        </x:is>
      </x:c>
      <x:c r="P319" s="5" t="inlineStr">
        <x:is>
          <x:t xml:space="preserve">#aether:is_aether; #cobblemon:is_floral</x:t>
        </x:is>
      </x:c>
      <x:c r="Q319" s="5" t="inlineStr">
        <x:is>
          <x:t xml:space="preserve">common</x:t>
        </x:is>
      </x:c>
      <x:c r="R319" s="5" t="inlineStr">
        <x:is>
          <x:t xml:space="preserve"/>
        </x:is>
      </x:c>
      <x:c r="S319" s="5" t="inlineStr">
        <x:is>
          <x:t xml:space="preserve"/>
        </x:is>
      </x:c>
      <x:c r="T319" s="5" t="inlineStr">
        <x:is>
          <x:t xml:space="preserve">육상</x:t>
        </x:is>
      </x:c>
      <x:c r="U319" s="5" t="inlineStr">
        <x:is>
          <x:t xml:space="preserve">수목</x:t>
        </x:is>
      </x:c>
      <x:c r="V319" s="5" t="inlineStr">
        <x:is>
          <x:t xml:space="preserve">온대</x:t>
        </x:is>
      </x:c>
      <x:c r="W319" s="5" t="inlineStr">
        <x:is>
          <x:t xml:space="preserve">보통</x:t>
        </x:is>
      </x:c>
      <x:c r="X319" s="5" t="inlineStr">
        <x:is>
          <x:t xml:space="preserve">무관</x:t>
        </x:is>
      </x:c>
      <x:c r="Y319" s="5" t="inlineStr">
        <x:is>
          <x:t xml:space="preserve">무관</x:t>
        </x:is>
      </x:c>
      <x:c r="Z319" s="5" t="inlineStr">
        <x:is>
          <x:t xml:space="preserve">흔함</x:t>
        </x:is>
      </x:c>
      <x:c r="AA319" s="5" t="inlineStr">
        <x:is>
          <x:t xml:space="preserve">없음</x:t>
        </x:is>
      </x:c>
      <x:c r="AB319" s="5" t="inlineStr">
        <x:is>
          <x:t xml:space="preserve"/>
        </x:is>
      </x:c>
      <x:c r="AC319" s="5" t="inlineStr">
        <x:is>
          <x:t xml:space="preserve">gen3</x:t>
        </x:is>
      </x:c>
      <x:c r="AD319" s="5" t="inlineStr">
        <x:is>
          <x:t xml:space="preserve">.tmp/cobblemon-1.7.3-source/common/src/main/resources/data/cobblemon/species/generation3/roselia.json</x:t>
        </x:is>
      </x:c>
    </x:row>
    <x:row r="320" ht="22" customHeight="1">
      <x:c r="A320" s="5" t="n">
        <x:v>316</x:v>
      </x:c>
      <x:c r="B320" s="5" t="inlineStr">
        <x:is>
          <x:t xml:space="preserve">꼴깍몬</x:t>
        </x:is>
      </x:c>
      <x:c r="C320" s="5" t="inlineStr">
        <x:is>
          <x:t xml:space="preserve">gulpin</x:t>
        </x:is>
      </x:c>
      <x:c r="D320" s="5" t="inlineStr">
        <x:is>
          <x:t xml:space="preserve">Gulpin</x:t>
        </x:is>
      </x:c>
      <x:c r="E320" s="5" t="n">
        <x:v>3</x:v>
      </x:c>
      <x:c r="F320" s="5" t="inlineStr">
        <x:is>
          <x:t xml:space="preserve">독</x:t>
        </x:is>
      </x:c>
      <x:c r="G320" s="5" t="inlineStr">
        <x:is>
          <x:t xml:space="preserve"/>
        </x:is>
      </x:c>
      <x:c r="H320" s="5" t="n">
        <x:v>0.4</x:v>
      </x:c>
      <x:c r="I320" s="5" t="n">
        <x:v>10.3</x:v>
      </x:c>
      <x:c r="J320" s="5" t="n">
        <x:v>302</x:v>
      </x:c>
      <x:c r="K320" s="5" t="n">
        <x:v>225</x:v>
      </x:c>
      <x:c r="L320" s="5" t="inlineStr">
        <x:is>
          <x:t xml:space="preserve">기본</x:t>
        </x:is>
      </x:c>
      <x:c r="M320" s="5" t="n">
        <x:v>26</x:v>
      </x:c>
      <x:c r="N320" s="5" t="inlineStr">
        <x:is>
          <x:t xml:space="preserve">레벨</x:t>
        </x:is>
      </x:c>
      <x:c r="O320" s="5" t="inlineStr">
        <x:is>
          <x:t xml:space="preserve">아니오</x:t>
        </x:is>
      </x:c>
      <x:c r="P320" s="5" t="inlineStr">
        <x:is>
          <x:t xml:space="preserve">#cobblemon:is_swamp</x:t>
        </x:is>
      </x:c>
      <x:c r="Q320" s="5" t="inlineStr">
        <x:is>
          <x:t xml:space="preserve">common</x:t>
        </x:is>
      </x:c>
      <x:c r="R320" s="5" t="inlineStr">
        <x:is>
          <x:t xml:space="preserve"/>
        </x:is>
      </x:c>
      <x:c r="S320" s="5" t="inlineStr">
        <x:is>
          <x:t xml:space="preserve"/>
        </x:is>
      </x:c>
      <x:c r="T320" s="5" t="inlineStr">
        <x:is>
          <x:t xml:space="preserve">육상</x:t>
        </x:is>
      </x:c>
      <x:c r="U320" s="5" t="inlineStr">
        <x:is>
          <x:t xml:space="preserve">습지</x:t>
        </x:is>
      </x:c>
      <x:c r="V320" s="5" t="inlineStr">
        <x:is>
          <x:t xml:space="preserve">온대</x:t>
        </x:is>
      </x:c>
      <x:c r="W320" s="5" t="inlineStr">
        <x:is>
          <x:t xml:space="preserve">다습</x:t>
        </x:is>
      </x:c>
      <x:c r="X320" s="5" t="inlineStr">
        <x:is>
          <x:t xml:space="preserve">비</x:t>
        </x:is>
      </x:c>
      <x:c r="Y320" s="5" t="inlineStr">
        <x:is>
          <x:t xml:space="preserve">무관</x:t>
        </x:is>
      </x:c>
      <x:c r="Z320" s="5" t="inlineStr">
        <x:is>
          <x:t xml:space="preserve">흔함</x:t>
        </x:is>
      </x:c>
      <x:c r="AA320" s="5" t="inlineStr">
        <x:is>
          <x:t xml:space="preserve">없음</x:t>
        </x:is>
      </x:c>
      <x:c r="AB320" s="5" t="inlineStr">
        <x:is>
          <x:t xml:space="preserve">습지</x:t>
        </x:is>
      </x:c>
      <x:c r="AC320" s="5" t="inlineStr">
        <x:is>
          <x:t xml:space="preserve">gen3</x:t>
        </x:is>
      </x:c>
      <x:c r="AD320" s="5" t="inlineStr">
        <x:is>
          <x:t xml:space="preserve">.tmp/cobblemon-1.7.3-source/common/src/main/resources/data/cobblemon/species/generation3/gulpin.json</x:t>
        </x:is>
      </x:c>
    </x:row>
    <x:row r="321" ht="22" customHeight="1">
      <x:c r="A321" s="5" t="n">
        <x:v>317</x:v>
      </x:c>
      <x:c r="B321" s="5" t="inlineStr">
        <x:is>
          <x:t xml:space="preserve">꿀꺽몬</x:t>
        </x:is>
      </x:c>
      <x:c r="C321" s="5" t="inlineStr">
        <x:is>
          <x:t xml:space="preserve">swalot</x:t>
        </x:is>
      </x:c>
      <x:c r="D321" s="5" t="inlineStr">
        <x:is>
          <x:t xml:space="preserve">Swalot</x:t>
        </x:is>
      </x:c>
      <x:c r="E321" s="5" t="n">
        <x:v>3</x:v>
      </x:c>
      <x:c r="F321" s="5" t="inlineStr">
        <x:is>
          <x:t xml:space="preserve">독</x:t>
        </x:is>
      </x:c>
      <x:c r="G321" s="5" t="inlineStr">
        <x:is>
          <x:t xml:space="preserve"/>
        </x:is>
      </x:c>
      <x:c r="H321" s="5" t="n">
        <x:v>1.7</x:v>
      </x:c>
      <x:c r="I321" s="5" t="n">
        <x:v>80</x:v>
      </x:c>
      <x:c r="J321" s="5" t="n">
        <x:v>467</x:v>
      </x:c>
      <x:c r="K321" s="5" t="n">
        <x:v>75</x:v>
      </x:c>
      <x:c r="L321" s="5" t="inlineStr">
        <x:is>
          <x:t xml:space="preserve">최종</x:t>
        </x:is>
      </x:c>
      <x:c r="M321" s="5" t="n">
        <x:v>26</x:v>
      </x:c>
      <x:c r="N321" s="5" t="inlineStr">
        <x:is>
          <x:t xml:space="preserve">레벨</x:t>
        </x:is>
      </x:c>
      <x:c r="O321" s="5" t="inlineStr">
        <x:is>
          <x:t xml:space="preserve">아니오</x:t>
        </x:is>
      </x:c>
      <x:c r="P321" s="5" t="inlineStr">
        <x:is>
          <x:t xml:space="preserve">#cobblemon:is_swamp</x:t>
        </x:is>
      </x:c>
      <x:c r="Q321" s="5" t="inlineStr">
        <x:is>
          <x:t xml:space="preserve">uncommon</x:t>
        </x:is>
      </x:c>
      <x:c r="R321" s="5" t="inlineStr">
        <x:is>
          <x:t xml:space="preserve"/>
        </x:is>
      </x:c>
      <x:c r="S321" s="5" t="inlineStr">
        <x:is>
          <x:t xml:space="preserve"/>
        </x:is>
      </x:c>
      <x:c r="T321" s="5" t="inlineStr">
        <x:is>
          <x:t xml:space="preserve">육상</x:t>
        </x:is>
      </x:c>
      <x:c r="U321" s="5" t="inlineStr">
        <x:is>
          <x:t xml:space="preserve">습지</x:t>
        </x:is>
      </x:c>
      <x:c r="V321" s="5" t="inlineStr">
        <x:is>
          <x:t xml:space="preserve">온대</x:t>
        </x:is>
      </x:c>
      <x:c r="W321" s="5" t="inlineStr">
        <x:is>
          <x:t xml:space="preserve">다습</x:t>
        </x:is>
      </x:c>
      <x:c r="X321" s="5" t="inlineStr">
        <x:is>
          <x:t xml:space="preserve">비</x:t>
        </x:is>
      </x:c>
      <x:c r="Y321" s="5" t="inlineStr">
        <x:is>
          <x:t xml:space="preserve">무관</x:t>
        </x:is>
      </x:c>
      <x:c r="Z321" s="5" t="inlineStr">
        <x:is>
          <x:t xml:space="preserve">보통</x:t>
        </x:is>
      </x:c>
      <x:c r="AA321" s="5" t="inlineStr">
        <x:is>
          <x:t xml:space="preserve">없음</x:t>
        </x:is>
      </x:c>
      <x:c r="AB321" s="5" t="inlineStr">
        <x:is>
          <x:t xml:space="preserve">습지</x:t>
        </x:is>
      </x:c>
      <x:c r="AC321" s="5" t="inlineStr">
        <x:is>
          <x:t xml:space="preserve">gen3</x:t>
        </x:is>
      </x:c>
      <x:c r="AD321" s="5" t="inlineStr">
        <x:is>
          <x:t xml:space="preserve">.tmp/cobblemon-1.7.3-source/common/src/main/resources/data/cobblemon/species/generation3/swalot.json</x:t>
        </x:is>
      </x:c>
    </x:row>
    <x:row r="322" ht="22" customHeight="1">
      <x:c r="A322" s="5" t="n">
        <x:v>318</x:v>
      </x:c>
      <x:c r="B322" s="5" t="inlineStr">
        <x:is>
          <x:t xml:space="preserve">샤프니아</x:t>
        </x:is>
      </x:c>
      <x:c r="C322" s="5" t="inlineStr">
        <x:is>
          <x:t xml:space="preserve">carvanha</x:t>
        </x:is>
      </x:c>
      <x:c r="D322" s="5" t="inlineStr">
        <x:is>
          <x:t xml:space="preserve">Carvanha</x:t>
        </x:is>
      </x:c>
      <x:c r="E322" s="5" t="n">
        <x:v>3</x:v>
      </x:c>
      <x:c r="F322" s="5" t="inlineStr">
        <x:is>
          <x:t xml:space="preserve">물</x:t>
        </x:is>
      </x:c>
      <x:c r="G322" s="5" t="inlineStr">
        <x:is>
          <x:t xml:space="preserve">악</x:t>
        </x:is>
      </x:c>
      <x:c r="H322" s="5" t="n">
        <x:v>0.8</x:v>
      </x:c>
      <x:c r="I322" s="5" t="n">
        <x:v>20.8</x:v>
      </x:c>
      <x:c r="J322" s="5" t="n">
        <x:v>305</x:v>
      </x:c>
      <x:c r="K322" s="5" t="n">
        <x:v>225</x:v>
      </x:c>
      <x:c r="L322" s="5" t="inlineStr">
        <x:is>
          <x:t xml:space="preserve">기본</x:t>
        </x:is>
      </x:c>
      <x:c r="M322" s="5" t="n">
        <x:v>30</x:v>
      </x:c>
      <x:c r="N322" s="5" t="inlineStr">
        <x:is>
          <x:t xml:space="preserve">레벨</x:t>
        </x:is>
      </x:c>
      <x:c r="O322" s="5" t="inlineStr">
        <x:is>
          <x:t xml:space="preserve">예</x:t>
        </x:is>
      </x:c>
      <x:c r="P322" s="5" t="inlineStr">
        <x:is>
          <x:t xml:space="preserve">#cobblemon:is_jungle; #cobblemon:is_ocean; #cobblemon:is_overworld; #cobblemon:is_swamp</x:t>
        </x:is>
      </x:c>
      <x:c r="Q322" s="5" t="inlineStr">
        <x:is>
          <x:t xml:space="preserve">common</x:t>
        </x:is>
      </x:c>
      <x:c r="R322" s="5" t="inlineStr">
        <x:is>
          <x:t xml:space="preserve"/>
        </x:is>
      </x:c>
      <x:c r="S322" s="5" t="inlineStr">
        <x:is>
          <x:t xml:space="preserve"/>
        </x:is>
      </x:c>
      <x:c r="T322" s="5" t="inlineStr">
        <x:is>
          <x:t xml:space="preserve">해양</x:t>
        </x:is>
      </x:c>
      <x:c r="U322" s="5" t="inlineStr">
        <x:is>
          <x:t xml:space="preserve">해안·해양</x:t>
        </x:is>
      </x:c>
      <x:c r="V322" s="5" t="inlineStr">
        <x:is>
          <x:t xml:space="preserve">온대</x:t>
        </x:is>
      </x:c>
      <x:c r="W322" s="5" t="inlineStr">
        <x:is>
          <x:t xml:space="preserve">수중</x:t>
        </x:is>
      </x:c>
      <x:c r="X322" s="5" t="inlineStr">
        <x:is>
          <x:t xml:space="preserve">비</x:t>
        </x:is>
      </x:c>
      <x:c r="Y322" s="5" t="inlineStr">
        <x:is>
          <x:t xml:space="preserve">밤</x:t>
        </x:is>
      </x:c>
      <x:c r="Z322" s="5" t="inlineStr">
        <x:is>
          <x:t xml:space="preserve">흔함</x:t>
        </x:is>
      </x:c>
      <x:c r="AA322" s="5" t="inlineStr">
        <x:is>
          <x:t xml:space="preserve">없음</x:t>
        </x:is>
      </x:c>
      <x:c r="AB322" s="5" t="inlineStr">
        <x:is>
          <x:t xml:space="preserve">해양</x:t>
        </x:is>
      </x:c>
      <x:c r="AC322" s="5" t="inlineStr">
        <x:is>
          <x:t xml:space="preserve">gen3</x:t>
        </x:is>
      </x:c>
      <x:c r="AD322" s="5" t="inlineStr">
        <x:is>
          <x:t xml:space="preserve">.tmp/cobblemon-1.7.3-source/common/src/main/resources/data/cobblemon/species/generation3/carvanha.json</x:t>
        </x:is>
      </x:c>
    </x:row>
    <x:row r="323" ht="22" customHeight="1">
      <x:c r="A323" s="5" t="n">
        <x:v>319</x:v>
      </x:c>
      <x:c r="B323" s="5" t="inlineStr">
        <x:is>
          <x:t xml:space="preserve">샤크니아</x:t>
        </x:is>
      </x:c>
      <x:c r="C323" s="5" t="inlineStr">
        <x:is>
          <x:t xml:space="preserve">sharpedo</x:t>
        </x:is>
      </x:c>
      <x:c r="D323" s="5" t="inlineStr">
        <x:is>
          <x:t xml:space="preserve">Sharpedo</x:t>
        </x:is>
      </x:c>
      <x:c r="E323" s="5" t="n">
        <x:v>3</x:v>
      </x:c>
      <x:c r="F323" s="5" t="inlineStr">
        <x:is>
          <x:t xml:space="preserve">물</x:t>
        </x:is>
      </x:c>
      <x:c r="G323" s="5" t="inlineStr">
        <x:is>
          <x:t xml:space="preserve">악</x:t>
        </x:is>
      </x:c>
      <x:c r="H323" s="5" t="n">
        <x:v>1.8</x:v>
      </x:c>
      <x:c r="I323" s="5" t="n">
        <x:v>88.8</x:v>
      </x:c>
      <x:c r="J323" s="5" t="n">
        <x:v>460</x:v>
      </x:c>
      <x:c r="K323" s="5" t="n">
        <x:v>60</x:v>
      </x:c>
      <x:c r="L323" s="5" t="inlineStr">
        <x:is>
          <x:t xml:space="preserve">최종</x:t>
        </x:is>
      </x:c>
      <x:c r="M323" s="5" t="n">
        <x:v>30</x:v>
      </x:c>
      <x:c r="N323" s="5" t="inlineStr">
        <x:is>
          <x:t xml:space="preserve">레벨</x:t>
        </x:is>
      </x:c>
      <x:c r="O323" s="5" t="inlineStr">
        <x:is>
          <x:t xml:space="preserve">예</x:t>
        </x:is>
      </x:c>
      <x:c r="P323" s="5" t="inlineStr">
        <x:is>
          <x:t xml:space="preserve">#cobblemon:is_ocean; #cobblemon:is_overworld</x:t>
        </x:is>
      </x:c>
      <x:c r="Q323" s="5" t="inlineStr">
        <x:is>
          <x:t xml:space="preserve">common</x:t>
        </x:is>
      </x:c>
      <x:c r="R323" s="5" t="inlineStr">
        <x:is>
          <x:t xml:space="preserve"/>
        </x:is>
      </x:c>
      <x:c r="S323" s="5" t="inlineStr">
        <x:is>
          <x:t xml:space="preserve"/>
        </x:is>
      </x:c>
      <x:c r="T323" s="5" t="inlineStr">
        <x:is>
          <x:t xml:space="preserve">해양</x:t>
        </x:is>
      </x:c>
      <x:c r="U323" s="5" t="inlineStr">
        <x:is>
          <x:t xml:space="preserve">해안·해양</x:t>
        </x:is>
      </x:c>
      <x:c r="V323" s="5" t="inlineStr">
        <x:is>
          <x:t xml:space="preserve">온대</x:t>
        </x:is>
      </x:c>
      <x:c r="W323" s="5" t="inlineStr">
        <x:is>
          <x:t xml:space="preserve">수중</x:t>
        </x:is>
      </x:c>
      <x:c r="X323" s="5" t="inlineStr">
        <x:is>
          <x:t xml:space="preserve">비</x:t>
        </x:is>
      </x:c>
      <x:c r="Y323" s="5" t="inlineStr">
        <x:is>
          <x:t xml:space="preserve">밤</x:t>
        </x:is>
      </x:c>
      <x:c r="Z323" s="5" t="inlineStr">
        <x:is>
          <x:t xml:space="preserve">흔함</x:t>
        </x:is>
      </x:c>
      <x:c r="AA323" s="5" t="inlineStr">
        <x:is>
          <x:t xml:space="preserve">없음</x:t>
        </x:is>
      </x:c>
      <x:c r="AB323" s="5" t="inlineStr">
        <x:is>
          <x:t xml:space="preserve">해양</x:t>
        </x:is>
      </x:c>
      <x:c r="AC323" s="5" t="inlineStr">
        <x:is>
          <x:t xml:space="preserve">gen3</x:t>
        </x:is>
      </x:c>
      <x:c r="AD323" s="5" t="inlineStr">
        <x:is>
          <x:t xml:space="preserve">.tmp/cobblemon-1.7.3-source/common/src/main/resources/data/cobblemon/species/generation3/sharpedo.json</x:t>
        </x:is>
      </x:c>
    </x:row>
    <x:row r="324" ht="22" customHeight="1">
      <x:c r="A324" s="5" t="n">
        <x:v>320</x:v>
      </x:c>
      <x:c r="B324" s="5" t="inlineStr">
        <x:is>
          <x:t xml:space="preserve">고래왕자</x:t>
        </x:is>
      </x:c>
      <x:c r="C324" s="5" t="inlineStr">
        <x:is>
          <x:t xml:space="preserve">wailmer</x:t>
        </x:is>
      </x:c>
      <x:c r="D324" s="5" t="inlineStr">
        <x:is>
          <x:t xml:space="preserve">Wailmer</x:t>
        </x:is>
      </x:c>
      <x:c r="E324" s="5" t="n">
        <x:v>3</x:v>
      </x:c>
      <x:c r="F324" s="5" t="inlineStr">
        <x:is>
          <x:t xml:space="preserve">물</x:t>
        </x:is>
      </x:c>
      <x:c r="G324" s="5" t="inlineStr">
        <x:is>
          <x:t xml:space="preserve"/>
        </x:is>
      </x:c>
      <x:c r="H324" s="5" t="n">
        <x:v>2</x:v>
      </x:c>
      <x:c r="I324" s="5" t="n">
        <x:v>130</x:v>
      </x:c>
      <x:c r="J324" s="5" t="n">
        <x:v>400</x:v>
      </x:c>
      <x:c r="K324" s="5" t="n">
        <x:v>125</x:v>
      </x:c>
      <x:c r="L324" s="5" t="inlineStr">
        <x:is>
          <x:t xml:space="preserve">기본</x:t>
        </x:is>
      </x:c>
      <x:c r="M324" s="5" t="n">
        <x:v>40</x:v>
      </x:c>
      <x:c r="N324" s="5" t="inlineStr">
        <x:is>
          <x:t xml:space="preserve">레벨</x:t>
        </x:is>
      </x:c>
      <x:c r="O324" s="5" t="inlineStr">
        <x:is>
          <x:t xml:space="preserve">예</x:t>
        </x:is>
      </x:c>
      <x:c r="P324" s="5" t="inlineStr">
        <x:is>
          <x:t xml:space="preserve">#cobblemon:is_deep_ocean; #cobblemon:is_ocean</x:t>
        </x:is>
      </x:c>
      <x:c r="Q324" s="5" t="inlineStr">
        <x:is>
          <x:t xml:space="preserve">common; uncommon</x:t>
        </x:is>
      </x:c>
      <x:c r="R324" s="5" t="inlineStr">
        <x:is>
          <x:t xml:space="preserve"/>
        </x:is>
      </x:c>
      <x:c r="S324" s="5" t="inlineStr">
        <x:is>
          <x:t xml:space="preserve"/>
        </x:is>
      </x:c>
      <x:c r="T324" s="5" t="inlineStr">
        <x:is>
          <x:t xml:space="preserve">해양</x:t>
        </x:is>
      </x:c>
      <x:c r="U324" s="5" t="inlineStr">
        <x:is>
          <x:t xml:space="preserve">해안·해양</x:t>
        </x:is>
      </x:c>
      <x:c r="V324" s="5" t="inlineStr">
        <x:is>
          <x:t xml:space="preserve">온대</x:t>
        </x:is>
      </x:c>
      <x:c r="W324" s="5" t="inlineStr">
        <x:is>
          <x:t xml:space="preserve">수중</x:t>
        </x:is>
      </x:c>
      <x:c r="X324" s="5" t="inlineStr">
        <x:is>
          <x:t xml:space="preserve">비</x:t>
        </x:is>
      </x:c>
      <x:c r="Y324" s="5" t="inlineStr">
        <x:is>
          <x:t xml:space="preserve">무관</x:t>
        </x:is>
      </x:c>
      <x:c r="Z324" s="5" t="inlineStr">
        <x:is>
          <x:t xml:space="preserve">보통</x:t>
        </x:is>
      </x:c>
      <x:c r="AA324" s="5" t="inlineStr">
        <x:is>
          <x:t xml:space="preserve">심해</x:t>
        </x:is>
      </x:c>
      <x:c r="AB324" s="5" t="inlineStr">
        <x:is>
          <x:t xml:space="preserve">해양</x:t>
        </x:is>
      </x:c>
      <x:c r="AC324" s="5" t="inlineStr">
        <x:is>
          <x:t xml:space="preserve">gen3</x:t>
        </x:is>
      </x:c>
      <x:c r="AD324" s="5" t="inlineStr">
        <x:is>
          <x:t xml:space="preserve">.tmp/cobblemon-1.7.3-source/common/src/main/resources/data/cobblemon/species/generation3/wailmer.json</x:t>
        </x:is>
      </x:c>
    </x:row>
    <x:row r="325" ht="22" customHeight="1">
      <x:c r="A325" s="5" t="n">
        <x:v>321</x:v>
      </x:c>
      <x:c r="B325" s="5" t="inlineStr">
        <x:is>
          <x:t xml:space="preserve">고래왕</x:t>
        </x:is>
      </x:c>
      <x:c r="C325" s="5" t="inlineStr">
        <x:is>
          <x:t xml:space="preserve">wailord</x:t>
        </x:is>
      </x:c>
      <x:c r="D325" s="5" t="inlineStr">
        <x:is>
          <x:t xml:space="preserve">Wailord</x:t>
        </x:is>
      </x:c>
      <x:c r="E325" s="5" t="n">
        <x:v>3</x:v>
      </x:c>
      <x:c r="F325" s="5" t="inlineStr">
        <x:is>
          <x:t xml:space="preserve">물</x:t>
        </x:is>
      </x:c>
      <x:c r="G325" s="5" t="inlineStr">
        <x:is>
          <x:t xml:space="preserve"/>
        </x:is>
      </x:c>
      <x:c r="H325" s="5" t="n">
        <x:v>14.5</x:v>
      </x:c>
      <x:c r="I325" s="5" t="n">
        <x:v>398</x:v>
      </x:c>
      <x:c r="J325" s="5" t="n">
        <x:v>500</x:v>
      </x:c>
      <x:c r="K325" s="5" t="n">
        <x:v>60</x:v>
      </x:c>
      <x:c r="L325" s="5" t="inlineStr">
        <x:is>
          <x:t xml:space="preserve">최종</x:t>
        </x:is>
      </x:c>
      <x:c r="M325" s="5" t="n">
        <x:v>40</x:v>
      </x:c>
      <x:c r="N325" s="5" t="inlineStr">
        <x:is>
          <x:t xml:space="preserve">레벨</x:t>
        </x:is>
      </x:c>
      <x:c r="O325" s="5" t="inlineStr">
        <x:is>
          <x:t xml:space="preserve">예</x:t>
        </x:is>
      </x:c>
      <x:c r="P325" s="5" t="inlineStr">
        <x:is>
          <x:t xml:space="preserve">#cobblemon:is_deep_ocean; #cobblemon:is_ocean</x:t>
        </x:is>
      </x:c>
      <x:c r="Q325" s="5" t="inlineStr">
        <x:is>
          <x:t xml:space="preserve">common; uncommon</x:t>
        </x:is>
      </x:c>
      <x:c r="R325" s="5" t="inlineStr">
        <x:is>
          <x:t xml:space="preserve"/>
        </x:is>
      </x:c>
      <x:c r="S325" s="5" t="inlineStr">
        <x:is>
          <x:t xml:space="preserve"/>
        </x:is>
      </x:c>
      <x:c r="T325" s="5" t="inlineStr">
        <x:is>
          <x:t xml:space="preserve">해양</x:t>
        </x:is>
      </x:c>
      <x:c r="U325" s="5" t="inlineStr">
        <x:is>
          <x:t xml:space="preserve">해안·해양</x:t>
        </x:is>
      </x:c>
      <x:c r="V325" s="5" t="inlineStr">
        <x:is>
          <x:t xml:space="preserve">온대</x:t>
        </x:is>
      </x:c>
      <x:c r="W325" s="5" t="inlineStr">
        <x:is>
          <x:t xml:space="preserve">수중</x:t>
        </x:is>
      </x:c>
      <x:c r="X325" s="5" t="inlineStr">
        <x:is>
          <x:t xml:space="preserve">비</x:t>
        </x:is>
      </x:c>
      <x:c r="Y325" s="5" t="inlineStr">
        <x:is>
          <x:t xml:space="preserve">무관</x:t>
        </x:is>
      </x:c>
      <x:c r="Z325" s="5" t="inlineStr">
        <x:is>
          <x:t xml:space="preserve">보통</x:t>
        </x:is>
      </x:c>
      <x:c r="AA325" s="5" t="inlineStr">
        <x:is>
          <x:t xml:space="preserve">심해</x:t>
        </x:is>
      </x:c>
      <x:c r="AB325" s="5" t="inlineStr">
        <x:is>
          <x:t xml:space="preserve">해양</x:t>
        </x:is>
      </x:c>
      <x:c r="AC325" s="5" t="inlineStr">
        <x:is>
          <x:t xml:space="preserve">gen3</x:t>
        </x:is>
      </x:c>
      <x:c r="AD325" s="5" t="inlineStr">
        <x:is>
          <x:t xml:space="preserve">.tmp/cobblemon-1.7.3-source/common/src/main/resources/data/cobblemon/species/generation3/wailord.json</x:t>
        </x:is>
      </x:c>
    </x:row>
    <x:row r="326" ht="22" customHeight="1">
      <x:c r="A326" s="5" t="n">
        <x:v>322</x:v>
      </x:c>
      <x:c r="B326" s="5" t="inlineStr">
        <x:is>
          <x:t xml:space="preserve">둔타</x:t>
        </x:is>
      </x:c>
      <x:c r="C326" s="5" t="inlineStr">
        <x:is>
          <x:t xml:space="preserve">numel</x:t>
        </x:is>
      </x:c>
      <x:c r="D326" s="5" t="inlineStr">
        <x:is>
          <x:t xml:space="preserve">Numel</x:t>
        </x:is>
      </x:c>
      <x:c r="E326" s="5" t="n">
        <x:v>3</x:v>
      </x:c>
      <x:c r="F326" s="5" t="inlineStr">
        <x:is>
          <x:t xml:space="preserve">불꽃</x:t>
        </x:is>
      </x:c>
      <x:c r="G326" s="5" t="inlineStr">
        <x:is>
          <x:t xml:space="preserve">땅</x:t>
        </x:is>
      </x:c>
      <x:c r="H326" s="5" t="n">
        <x:v>0.7</x:v>
      </x:c>
      <x:c r="I326" s="5" t="n">
        <x:v>24</x:v>
      </x:c>
      <x:c r="J326" s="5" t="n">
        <x:v>305</x:v>
      </x:c>
      <x:c r="K326" s="5" t="n">
        <x:v>255</x:v>
      </x:c>
      <x:c r="L326" s="5" t="inlineStr">
        <x:is>
          <x:t xml:space="preserve">기본</x:t>
        </x:is>
      </x:c>
      <x:c r="M326" s="5" t="n">
        <x:v>33</x:v>
      </x:c>
      <x:c r="N326" s="5" t="inlineStr">
        <x:is>
          <x:t xml:space="preserve">레벨</x:t>
        </x:is>
      </x:c>
      <x:c r="O326" s="5" t="inlineStr">
        <x:is>
          <x:t xml:space="preserve">예</x:t>
        </x:is>
      </x:c>
      <x:c r="P326" s="5" t="inlineStr">
        <x:is>
          <x:t xml:space="preserve">#cobblemon:is_badlands; #cobblemon:is_volcanic; #cobblemon:nether/is_overgrowth; #cobblemon:nether/is_wasteland</x:t>
        </x:is>
      </x:c>
      <x:c r="Q326" s="5" t="inlineStr">
        <x:is>
          <x:t xml:space="preserve">common</x:t>
        </x:is>
      </x:c>
      <x:c r="R326" s="5" t="inlineStr">
        <x:is>
          <x:t xml:space="preserve"/>
        </x:is>
      </x:c>
      <x:c r="S326" s="5" t="inlineStr">
        <x:is>
          <x:t xml:space="preserve"/>
        </x:is>
      </x:c>
      <x:c r="T326" s="5" t="inlineStr">
        <x:is>
          <x:t xml:space="preserve">육상</x:t>
        </x:is>
      </x:c>
      <x:c r="U326" s="5" t="inlineStr">
        <x:is>
          <x:t xml:space="preserve">화산</x:t>
        </x:is>
      </x:c>
      <x:c r="V326" s="5" t="inlineStr">
        <x:is>
          <x:t xml:space="preserve">고온</x:t>
        </x:is>
      </x:c>
      <x:c r="W326" s="5" t="inlineStr">
        <x:is>
          <x:t xml:space="preserve">건조</x:t>
        </x:is>
      </x:c>
      <x:c r="X326" s="5" t="inlineStr">
        <x:is>
          <x:t xml:space="preserve">맑음</x:t>
        </x:is>
      </x:c>
      <x:c r="Y326" s="5" t="inlineStr">
        <x:is>
          <x:t xml:space="preserve">무관</x:t>
        </x:is>
      </x:c>
      <x:c r="Z326" s="5" t="inlineStr">
        <x:is>
          <x:t xml:space="preserve">흔함</x:t>
        </x:is>
      </x:c>
      <x:c r="AA326" s="5" t="inlineStr">
        <x:is>
          <x:t xml:space="preserve">화산</x:t>
        </x:is>
      </x:c>
      <x:c r="AB326" s="5" t="inlineStr">
        <x:is>
          <x:t xml:space="preserve">화산</x:t>
        </x:is>
      </x:c>
      <x:c r="AC326" s="5" t="inlineStr">
        <x:is>
          <x:t xml:space="preserve">gen3</x:t>
        </x:is>
      </x:c>
      <x:c r="AD326" s="5" t="inlineStr">
        <x:is>
          <x:t xml:space="preserve">.tmp/cobblemon-1.7.3-source/common/src/main/resources/data/cobblemon/species/generation3/numel.json</x:t>
        </x:is>
      </x:c>
    </x:row>
    <x:row r="327" ht="22" customHeight="1">
      <x:c r="A327" s="5" t="n">
        <x:v>323</x:v>
      </x:c>
      <x:c r="B327" s="5" t="inlineStr">
        <x:is>
          <x:t xml:space="preserve">폭타</x:t>
        </x:is>
      </x:c>
      <x:c r="C327" s="5" t="inlineStr">
        <x:is>
          <x:t xml:space="preserve">camerupt</x:t>
        </x:is>
      </x:c>
      <x:c r="D327" s="5" t="inlineStr">
        <x:is>
          <x:t xml:space="preserve">Camerupt</x:t>
        </x:is>
      </x:c>
      <x:c r="E327" s="5" t="n">
        <x:v>3</x:v>
      </x:c>
      <x:c r="F327" s="5" t="inlineStr">
        <x:is>
          <x:t xml:space="preserve">불꽃</x:t>
        </x:is>
      </x:c>
      <x:c r="G327" s="5" t="inlineStr">
        <x:is>
          <x:t xml:space="preserve">땅</x:t>
        </x:is>
      </x:c>
      <x:c r="H327" s="5" t="n">
        <x:v>1.9</x:v>
      </x:c>
      <x:c r="I327" s="5" t="n">
        <x:v>220</x:v>
      </x:c>
      <x:c r="J327" s="5" t="n">
        <x:v>460</x:v>
      </x:c>
      <x:c r="K327" s="5" t="n">
        <x:v>150</x:v>
      </x:c>
      <x:c r="L327" s="5" t="inlineStr">
        <x:is>
          <x:t xml:space="preserve">최종</x:t>
        </x:is>
      </x:c>
      <x:c r="M327" s="5" t="n">
        <x:v>33</x:v>
      </x:c>
      <x:c r="N327" s="5" t="inlineStr">
        <x:is>
          <x:t xml:space="preserve">레벨</x:t>
        </x:is>
      </x:c>
      <x:c r="O327" s="5" t="inlineStr">
        <x:is>
          <x:t xml:space="preserve">예</x:t>
        </x:is>
      </x:c>
      <x:c r="P327" s="5" t="inlineStr">
        <x:is>
          <x:t xml:space="preserve">#cobblemon:is_badlands; #cobblemon:is_volcanic; #cobblemon:nether/is_overgrowth; #cobblemon:nether/is_wasteland</x:t>
        </x:is>
      </x:c>
      <x:c r="Q327" s="5" t="inlineStr">
        <x:is>
          <x:t xml:space="preserve">common</x:t>
        </x:is>
      </x:c>
      <x:c r="R327" s="5" t="inlineStr">
        <x:is>
          <x:t xml:space="preserve"/>
        </x:is>
      </x:c>
      <x:c r="S327" s="5" t="inlineStr">
        <x:is>
          <x:t xml:space="preserve"/>
        </x:is>
      </x:c>
      <x:c r="T327" s="5" t="inlineStr">
        <x:is>
          <x:t xml:space="preserve">육상</x:t>
        </x:is>
      </x:c>
      <x:c r="U327" s="5" t="inlineStr">
        <x:is>
          <x:t xml:space="preserve">화산</x:t>
        </x:is>
      </x:c>
      <x:c r="V327" s="5" t="inlineStr">
        <x:is>
          <x:t xml:space="preserve">고온</x:t>
        </x:is>
      </x:c>
      <x:c r="W327" s="5" t="inlineStr">
        <x:is>
          <x:t xml:space="preserve">건조</x:t>
        </x:is>
      </x:c>
      <x:c r="X327" s="5" t="inlineStr">
        <x:is>
          <x:t xml:space="preserve">맑음</x:t>
        </x:is>
      </x:c>
      <x:c r="Y327" s="5" t="inlineStr">
        <x:is>
          <x:t xml:space="preserve">무관</x:t>
        </x:is>
      </x:c>
      <x:c r="Z327" s="5" t="inlineStr">
        <x:is>
          <x:t xml:space="preserve">흔함</x:t>
        </x:is>
      </x:c>
      <x:c r="AA327" s="5" t="inlineStr">
        <x:is>
          <x:t xml:space="preserve">화산</x:t>
        </x:is>
      </x:c>
      <x:c r="AB327" s="5" t="inlineStr">
        <x:is>
          <x:t xml:space="preserve">화산</x:t>
        </x:is>
      </x:c>
      <x:c r="AC327" s="5" t="inlineStr">
        <x:is>
          <x:t xml:space="preserve">gen3</x:t>
        </x:is>
      </x:c>
      <x:c r="AD327" s="5" t="inlineStr">
        <x:is>
          <x:t xml:space="preserve">.tmp/cobblemon-1.7.3-source/common/src/main/resources/data/cobblemon/species/generation3/camerupt.json</x:t>
        </x:is>
      </x:c>
    </x:row>
    <x:row r="328" ht="22" customHeight="1">
      <x:c r="A328" s="5" t="n">
        <x:v>324</x:v>
      </x:c>
      <x:c r="B328" s="5" t="inlineStr">
        <x:is>
          <x:t xml:space="preserve">코터스</x:t>
        </x:is>
      </x:c>
      <x:c r="C328" s="5" t="inlineStr">
        <x:is>
          <x:t xml:space="preserve">torkoal</x:t>
        </x:is>
      </x:c>
      <x:c r="D328" s="5" t="inlineStr">
        <x:is>
          <x:t xml:space="preserve">Torkoal</x:t>
        </x:is>
      </x:c>
      <x:c r="E328" s="5" t="n">
        <x:v>3</x:v>
      </x:c>
      <x:c r="F328" s="5" t="inlineStr">
        <x:is>
          <x:t xml:space="preserve">불꽃</x:t>
        </x:is>
      </x:c>
      <x:c r="G328" s="5" t="inlineStr">
        <x:is>
          <x:t xml:space="preserve"/>
        </x:is>
      </x:c>
      <x:c r="H328" s="5" t="n">
        <x:v>0.5</x:v>
      </x:c>
      <x:c r="I328" s="5" t="n">
        <x:v>80.40000000000001</x:v>
      </x:c>
      <x:c r="J328" s="5" t="n">
        <x:v>470</x:v>
      </x:c>
      <x:c r="K328" s="5" t="n">
        <x:v>90</x:v>
      </x:c>
      <x:c r="L328" s="5" t="inlineStr">
        <x:is>
          <x:t xml:space="preserve">무진화</x:t>
        </x:is>
      </x:c>
      <x:c r="M328" s="5" t="n"/>
      <x:c r="N328" s="5" t="inlineStr">
        <x:is>
          <x:t xml:space="preserve">없음</x:t>
        </x:is>
      </x:c>
      <x:c r="O328" s="5" t="inlineStr">
        <x:is>
          <x:t xml:space="preserve">예</x:t>
        </x:is>
      </x:c>
      <x:c r="P328" s="5" t="inlineStr">
        <x:is>
          <x:t xml:space="preserve">#cobblemon:is_mountain; #cobblemon:is_overworld; #cobblemon:is_thermal; #cobblemon:nether/is_basalt</x:t>
        </x:is>
      </x:c>
      <x:c r="Q328" s="5" t="inlineStr">
        <x:is>
          <x:t xml:space="preserve">common; uncommon</x:t>
        </x:is>
      </x:c>
      <x:c r="R328" s="5" t="inlineStr">
        <x:is>
          <x:t xml:space="preserve"/>
        </x:is>
      </x:c>
      <x:c r="S328" s="5" t="inlineStr">
        <x:is>
          <x:t xml:space="preserve"/>
        </x:is>
      </x:c>
      <x:c r="T328" s="5" t="inlineStr">
        <x:is>
          <x:t xml:space="preserve">육상</x:t>
        </x:is>
      </x:c>
      <x:c r="U328" s="5" t="inlineStr">
        <x:is>
          <x:t xml:space="preserve">화산</x:t>
        </x:is>
      </x:c>
      <x:c r="V328" s="5" t="inlineStr">
        <x:is>
          <x:t xml:space="preserve">고온</x:t>
        </x:is>
      </x:c>
      <x:c r="W328" s="5" t="inlineStr">
        <x:is>
          <x:t xml:space="preserve">건조</x:t>
        </x:is>
      </x:c>
      <x:c r="X328" s="5" t="inlineStr">
        <x:is>
          <x:t xml:space="preserve">맑음</x:t>
        </x:is>
      </x:c>
      <x:c r="Y328" s="5" t="inlineStr">
        <x:is>
          <x:t xml:space="preserve">무관</x:t>
        </x:is>
      </x:c>
      <x:c r="Z328" s="5" t="inlineStr">
        <x:is>
          <x:t xml:space="preserve">보통</x:t>
        </x:is>
      </x:c>
      <x:c r="AA328" s="5" t="inlineStr">
        <x:is>
          <x:t xml:space="preserve">화산</x:t>
        </x:is>
      </x:c>
      <x:c r="AB328" s="5" t="inlineStr">
        <x:is>
          <x:t xml:space="preserve">화산</x:t>
        </x:is>
      </x:c>
      <x:c r="AC328" s="5" t="inlineStr">
        <x:is>
          <x:t xml:space="preserve">gen3</x:t>
        </x:is>
      </x:c>
      <x:c r="AD328" s="5" t="inlineStr">
        <x:is>
          <x:t xml:space="preserve">.tmp/cobblemon-1.7.3-source/common/src/main/resources/data/cobblemon/species/generation3/torkoal.json</x:t>
        </x:is>
      </x:c>
    </x:row>
    <x:row r="329" ht="22" customHeight="1">
      <x:c r="A329" s="5" t="n">
        <x:v>325</x:v>
      </x:c>
      <x:c r="B329" s="5" t="inlineStr">
        <x:is>
          <x:t xml:space="preserve">피그점프</x:t>
        </x:is>
      </x:c>
      <x:c r="C329" s="5" t="inlineStr">
        <x:is>
          <x:t xml:space="preserve">spoink</x:t>
        </x:is>
      </x:c>
      <x:c r="D329" s="5" t="inlineStr">
        <x:is>
          <x:t xml:space="preserve">Spoink</x:t>
        </x:is>
      </x:c>
      <x:c r="E329" s="5" t="n">
        <x:v>3</x:v>
      </x:c>
      <x:c r="F329" s="5" t="inlineStr">
        <x:is>
          <x:t xml:space="preserve">에스퍼</x:t>
        </x:is>
      </x:c>
      <x:c r="G329" s="5" t="inlineStr">
        <x:is>
          <x:t xml:space="preserve"/>
        </x:is>
      </x:c>
      <x:c r="H329" s="5" t="n">
        <x:v>0.7</x:v>
      </x:c>
      <x:c r="I329" s="5" t="n">
        <x:v>30.6</x:v>
      </x:c>
      <x:c r="J329" s="5" t="n">
        <x:v>330</x:v>
      </x:c>
      <x:c r="K329" s="5" t="n">
        <x:v>255</x:v>
      </x:c>
      <x:c r="L329" s="5" t="inlineStr">
        <x:is>
          <x:t xml:space="preserve">기본</x:t>
        </x:is>
      </x:c>
      <x:c r="M329" s="5" t="n">
        <x:v>32</x:v>
      </x:c>
      <x:c r="N329" s="5" t="inlineStr">
        <x:is>
          <x:t xml:space="preserve">레벨</x:t>
        </x:is>
      </x:c>
      <x:c r="O329" s="5" t="inlineStr">
        <x:is>
          <x:t xml:space="preserve">예</x:t>
        </x:is>
      </x:c>
      <x:c r="P329" s="5" t="inlineStr">
        <x:is>
          <x:t xml:space="preserve">#cobblemon:is_hills; #cobblemon:nether/is_fungus</x:t>
        </x:is>
      </x:c>
      <x:c r="Q329" s="5" t="inlineStr">
        <x:is>
          <x:t xml:space="preserve">common</x:t>
        </x:is>
      </x:c>
      <x:c r="R329" s="5" t="inlineStr">
        <x:is>
          <x:t xml:space="preserve"/>
        </x:is>
      </x:c>
      <x:c r="S329" s="5" t="inlineStr">
        <x:is>
          <x:t xml:space="preserve"/>
        </x:is>
      </x:c>
      <x:c r="T329" s="5" t="inlineStr">
        <x:is>
          <x:t xml:space="preserve">육상</x:t>
        </x:is>
      </x:c>
      <x:c r="U329" s="5" t="inlineStr">
        <x:is>
          <x:t xml:space="preserve">화산</x:t>
        </x:is>
      </x:c>
      <x:c r="V329" s="5" t="inlineStr">
        <x:is>
          <x:t xml:space="preserve">고온</x:t>
        </x:is>
      </x:c>
      <x:c r="W329" s="5" t="inlineStr">
        <x:is>
          <x:t xml:space="preserve">건조</x:t>
        </x:is>
      </x:c>
      <x:c r="X329" s="5" t="inlineStr">
        <x:is>
          <x:t xml:space="preserve">맑음</x:t>
        </x:is>
      </x:c>
      <x:c r="Y329" s="5" t="inlineStr">
        <x:is>
          <x:t xml:space="preserve">무관</x:t>
        </x:is>
      </x:c>
      <x:c r="Z329" s="5" t="inlineStr">
        <x:is>
          <x:t xml:space="preserve">흔함</x:t>
        </x:is>
      </x:c>
      <x:c r="AA329" s="5" t="inlineStr">
        <x:is>
          <x:t xml:space="preserve">화산</x:t>
        </x:is>
      </x:c>
      <x:c r="AB329" s="5" t="inlineStr">
        <x:is>
          <x:t xml:space="preserve">화산</x:t>
        </x:is>
      </x:c>
      <x:c r="AC329" s="5" t="inlineStr">
        <x:is>
          <x:t xml:space="preserve">gen3</x:t>
        </x:is>
      </x:c>
      <x:c r="AD329" s="5" t="inlineStr">
        <x:is>
          <x:t xml:space="preserve">.tmp/cobblemon-1.7.3-source/common/src/main/resources/data/cobblemon/species/generation3/spoink.json</x:t>
        </x:is>
      </x:c>
    </x:row>
    <x:row r="330" ht="22" customHeight="1">
      <x:c r="A330" s="5" t="n">
        <x:v>326</x:v>
      </x:c>
      <x:c r="B330" s="5" t="inlineStr">
        <x:is>
          <x:t xml:space="preserve">피그킹</x:t>
        </x:is>
      </x:c>
      <x:c r="C330" s="5" t="inlineStr">
        <x:is>
          <x:t xml:space="preserve">grumpig</x:t>
        </x:is>
      </x:c>
      <x:c r="D330" s="5" t="inlineStr">
        <x:is>
          <x:t xml:space="preserve">Grumpig</x:t>
        </x:is>
      </x:c>
      <x:c r="E330" s="5" t="n">
        <x:v>3</x:v>
      </x:c>
      <x:c r="F330" s="5" t="inlineStr">
        <x:is>
          <x:t xml:space="preserve">에스퍼</x:t>
        </x:is>
      </x:c>
      <x:c r="G330" s="5" t="inlineStr">
        <x:is>
          <x:t xml:space="preserve"/>
        </x:is>
      </x:c>
      <x:c r="H330" s="5" t="n">
        <x:v>0.9</x:v>
      </x:c>
      <x:c r="I330" s="5" t="n">
        <x:v>71.5</x:v>
      </x:c>
      <x:c r="J330" s="5" t="n">
        <x:v>470</x:v>
      </x:c>
      <x:c r="K330" s="5" t="n">
        <x:v>60</x:v>
      </x:c>
      <x:c r="L330" s="5" t="inlineStr">
        <x:is>
          <x:t xml:space="preserve">최종</x:t>
        </x:is>
      </x:c>
      <x:c r="M330" s="5" t="n">
        <x:v>32</x:v>
      </x:c>
      <x:c r="N330" s="5" t="inlineStr">
        <x:is>
          <x:t xml:space="preserve">레벨</x:t>
        </x:is>
      </x:c>
      <x:c r="O330" s="5" t="inlineStr">
        <x:is>
          <x:t xml:space="preserve">예</x:t>
        </x:is>
      </x:c>
      <x:c r="P330" s="5" t="inlineStr">
        <x:is>
          <x:t xml:space="preserve">#cobblemon:is_hills; #cobblemon:nether/is_fungus</x:t>
        </x:is>
      </x:c>
      <x:c r="Q330" s="5" t="inlineStr">
        <x:is>
          <x:t xml:space="preserve">common</x:t>
        </x:is>
      </x:c>
      <x:c r="R330" s="5" t="inlineStr">
        <x:is>
          <x:t xml:space="preserve"/>
        </x:is>
      </x:c>
      <x:c r="S330" s="5" t="inlineStr">
        <x:is>
          <x:t xml:space="preserve"/>
        </x:is>
      </x:c>
      <x:c r="T330" s="5" t="inlineStr">
        <x:is>
          <x:t xml:space="preserve">육상</x:t>
        </x:is>
      </x:c>
      <x:c r="U330" s="5" t="inlineStr">
        <x:is>
          <x:t xml:space="preserve">화산</x:t>
        </x:is>
      </x:c>
      <x:c r="V330" s="5" t="inlineStr">
        <x:is>
          <x:t xml:space="preserve">고온</x:t>
        </x:is>
      </x:c>
      <x:c r="W330" s="5" t="inlineStr">
        <x:is>
          <x:t xml:space="preserve">건조</x:t>
        </x:is>
      </x:c>
      <x:c r="X330" s="5" t="inlineStr">
        <x:is>
          <x:t xml:space="preserve">맑음</x:t>
        </x:is>
      </x:c>
      <x:c r="Y330" s="5" t="inlineStr">
        <x:is>
          <x:t xml:space="preserve">무관</x:t>
        </x:is>
      </x:c>
      <x:c r="Z330" s="5" t="inlineStr">
        <x:is>
          <x:t xml:space="preserve">흔함</x:t>
        </x:is>
      </x:c>
      <x:c r="AA330" s="5" t="inlineStr">
        <x:is>
          <x:t xml:space="preserve">화산</x:t>
        </x:is>
      </x:c>
      <x:c r="AB330" s="5" t="inlineStr">
        <x:is>
          <x:t xml:space="preserve">화산</x:t>
        </x:is>
      </x:c>
      <x:c r="AC330" s="5" t="inlineStr">
        <x:is>
          <x:t xml:space="preserve">gen3</x:t>
        </x:is>
      </x:c>
      <x:c r="AD330" s="5" t="inlineStr">
        <x:is>
          <x:t xml:space="preserve">.tmp/cobblemon-1.7.3-source/common/src/main/resources/data/cobblemon/species/generation3/grumpig.json</x:t>
        </x:is>
      </x:c>
    </x:row>
    <x:row r="331" ht="22" customHeight="1">
      <x:c r="A331" s="5" t="n">
        <x:v>327</x:v>
      </x:c>
      <x:c r="B331" s="5" t="inlineStr">
        <x:is>
          <x:t xml:space="preserve">얼루기</x:t>
        </x:is>
      </x:c>
      <x:c r="C331" s="5" t="inlineStr">
        <x:is>
          <x:t xml:space="preserve">spinda</x:t>
        </x:is>
      </x:c>
      <x:c r="D331" s="5" t="inlineStr">
        <x:is>
          <x:t xml:space="preserve">Spinda</x:t>
        </x:is>
      </x:c>
      <x:c r="E331" s="5" t="n">
        <x:v>3</x:v>
      </x:c>
      <x:c r="F331" s="5" t="inlineStr">
        <x:is>
          <x:t xml:space="preserve">노말</x:t>
        </x:is>
      </x:c>
      <x:c r="G331" s="5" t="inlineStr">
        <x:is>
          <x:t xml:space="preserve"/>
        </x:is>
      </x:c>
      <x:c r="H331" s="5" t="n">
        <x:v>1.1</x:v>
      </x:c>
      <x:c r="I331" s="5" t="n">
        <x:v>5</x:v>
      </x:c>
      <x:c r="J331" s="5" t="n">
        <x:v>360</x:v>
      </x:c>
      <x:c r="K331" s="5" t="n">
        <x:v>255</x:v>
      </x:c>
      <x:c r="L331" s="5" t="inlineStr">
        <x:is>
          <x:t xml:space="preserve">무진화</x:t>
        </x:is>
      </x:c>
      <x:c r="M331" s="5" t="n"/>
      <x:c r="N331" s="5" t="inlineStr">
        <x:is>
          <x:t xml:space="preserve">없음</x:t>
        </x:is>
      </x:c>
      <x:c r="O331" s="5" t="inlineStr">
        <x:is>
          <x:t xml:space="preserve">예</x:t>
        </x:is>
      </x:c>
      <x:c r="P331" s="5" t="inlineStr">
        <x:is>
          <x:t xml:space="preserve">#cobblemon:is_bamboo; #cobblemon:is_hills</x:t>
        </x:is>
      </x:c>
      <x:c r="Q331" s="5" t="inlineStr">
        <x:is>
          <x:t xml:space="preserve">uncommon</x:t>
        </x:is>
      </x:c>
      <x:c r="R331" s="5" t="inlineStr">
        <x:is>
          <x:t xml:space="preserve"/>
        </x:is>
      </x:c>
      <x:c r="S331" s="5" t="inlineStr">
        <x:is>
          <x:t xml:space="preserve"/>
        </x:is>
      </x:c>
      <x:c r="T331" s="5" t="inlineStr">
        <x:is>
          <x:t xml:space="preserve">육상</x:t>
        </x:is>
      </x:c>
      <x:c r="U331" s="5" t="inlineStr">
        <x:is>
          <x:t xml:space="preserve">암석</x:t>
        </x:is>
      </x:c>
      <x:c r="V331" s="5" t="inlineStr">
        <x:is>
          <x:t xml:space="preserve">온대</x:t>
        </x:is>
      </x:c>
      <x:c r="W331" s="5" t="inlineStr">
        <x:is>
          <x:t xml:space="preserve">보통</x:t>
        </x:is>
      </x:c>
      <x:c r="X331" s="5" t="inlineStr">
        <x:is>
          <x:t xml:space="preserve">무관</x:t>
        </x:is>
      </x:c>
      <x:c r="Y331" s="5" t="inlineStr">
        <x:is>
          <x:t xml:space="preserve">무관</x:t>
        </x:is>
      </x:c>
      <x:c r="Z331" s="5" t="inlineStr">
        <x:is>
          <x:t xml:space="preserve">보통</x:t>
        </x:is>
      </x:c>
      <x:c r="AA331" s="5" t="inlineStr">
        <x:is>
          <x:t xml:space="preserve">없음</x:t>
        </x:is>
      </x:c>
      <x:c r="AB331" s="5" t="inlineStr">
        <x:is>
          <x:t xml:space="preserve">산악</x:t>
        </x:is>
      </x:c>
      <x:c r="AC331" s="5" t="inlineStr">
        <x:is>
          <x:t xml:space="preserve">gen3</x:t>
        </x:is>
      </x:c>
      <x:c r="AD331" s="5" t="inlineStr">
        <x:is>
          <x:t xml:space="preserve">.tmp/cobblemon-1.7.3-source/common/src/main/resources/data/cobblemon/species/generation3/spinda.json</x:t>
        </x:is>
      </x:c>
    </x:row>
    <x:row r="332" ht="22" customHeight="1">
      <x:c r="A332" s="5" t="n">
        <x:v>328</x:v>
      </x:c>
      <x:c r="B332" s="5" t="inlineStr">
        <x:is>
          <x:t xml:space="preserve">톱치</x:t>
        </x:is>
      </x:c>
      <x:c r="C332" s="5" t="inlineStr">
        <x:is>
          <x:t xml:space="preserve">trapinch</x:t>
        </x:is>
      </x:c>
      <x:c r="D332" s="5" t="inlineStr">
        <x:is>
          <x:t xml:space="preserve">Trapinch</x:t>
        </x:is>
      </x:c>
      <x:c r="E332" s="5" t="n">
        <x:v>3</x:v>
      </x:c>
      <x:c r="F332" s="5" t="inlineStr">
        <x:is>
          <x:t xml:space="preserve">땅</x:t>
        </x:is>
      </x:c>
      <x:c r="G332" s="5" t="inlineStr">
        <x:is>
          <x:t xml:space="preserve"/>
        </x:is>
      </x:c>
      <x:c r="H332" s="5" t="n">
        <x:v>0.7</x:v>
      </x:c>
      <x:c r="I332" s="5" t="n">
        <x:v>15</x:v>
      </x:c>
      <x:c r="J332" s="5" t="n">
        <x:v>290</x:v>
      </x:c>
      <x:c r="K332" s="5" t="n">
        <x:v>255</x:v>
      </x:c>
      <x:c r="L332" s="5" t="inlineStr">
        <x:is>
          <x:t xml:space="preserve">기본</x:t>
        </x:is>
      </x:c>
      <x:c r="M332" s="5" t="n">
        <x:v>45</x:v>
      </x:c>
      <x:c r="N332" s="5" t="inlineStr">
        <x:is>
          <x:t xml:space="preserve">레벨</x:t>
        </x:is>
      </x:c>
      <x:c r="O332" s="5" t="inlineStr">
        <x:is>
          <x:t xml:space="preserve">예</x:t>
        </x:is>
      </x:c>
      <x:c r="P332" s="5" t="inlineStr">
        <x:is>
          <x:t xml:space="preserve">#cobblemon:is_desert</x:t>
        </x:is>
      </x:c>
      <x:c r="Q332" s="5" t="inlineStr">
        <x:is>
          <x:t xml:space="preserve">rare; uncommon</x:t>
        </x:is>
      </x:c>
      <x:c r="R332" s="5" t="inlineStr">
        <x:is>
          <x:t xml:space="preserve"/>
        </x:is>
      </x:c>
      <x:c r="S332" s="5" t="inlineStr">
        <x:is>
          <x:t xml:space="preserve"/>
        </x:is>
      </x:c>
      <x:c r="T332" s="5" t="inlineStr">
        <x:is>
          <x:t xml:space="preserve">육상</x:t>
        </x:is>
      </x:c>
      <x:c r="U332" s="5" t="inlineStr">
        <x:is>
          <x:t xml:space="preserve">건조</x:t>
        </x:is>
      </x:c>
      <x:c r="V332" s="5" t="inlineStr">
        <x:is>
          <x:t xml:space="preserve">고온</x:t>
        </x:is>
      </x:c>
      <x:c r="W332" s="5" t="inlineStr">
        <x:is>
          <x:t xml:space="preserve">건조</x:t>
        </x:is>
      </x:c>
      <x:c r="X332" s="5" t="inlineStr">
        <x:is>
          <x:t xml:space="preserve">맑음</x:t>
        </x:is>
      </x:c>
      <x:c r="Y332" s="5" t="inlineStr">
        <x:is>
          <x:t xml:space="preserve">무관</x:t>
        </x:is>
      </x:c>
      <x:c r="Z332" s="5" t="inlineStr">
        <x:is>
          <x:t xml:space="preserve">보통</x:t>
        </x:is>
      </x:c>
      <x:c r="AA332" s="5" t="inlineStr">
        <x:is>
          <x:t xml:space="preserve">없음</x:t>
        </x:is>
      </x:c>
      <x:c r="AB332" s="5" t="inlineStr">
        <x:is>
          <x:t xml:space="preserve">건조지</x:t>
        </x:is>
      </x:c>
      <x:c r="AC332" s="5" t="inlineStr">
        <x:is>
          <x:t xml:space="preserve">gen3</x:t>
        </x:is>
      </x:c>
      <x:c r="AD332" s="5" t="inlineStr">
        <x:is>
          <x:t xml:space="preserve">.tmp/cobblemon-1.7.3-source/common/src/main/resources/data/cobblemon/species/generation3/trapinch.json</x:t>
        </x:is>
      </x:c>
    </x:row>
    <x:row r="333" ht="22" customHeight="1">
      <x:c r="A333" s="5" t="n">
        <x:v>329</x:v>
      </x:c>
      <x:c r="B333" s="5" t="inlineStr">
        <x:is>
          <x:t xml:space="preserve">비브라바</x:t>
        </x:is>
      </x:c>
      <x:c r="C333" s="5" t="inlineStr">
        <x:is>
          <x:t xml:space="preserve">vibrava</x:t>
        </x:is>
      </x:c>
      <x:c r="D333" s="5" t="inlineStr">
        <x:is>
          <x:t xml:space="preserve">Vibrava</x:t>
        </x:is>
      </x:c>
      <x:c r="E333" s="5" t="n">
        <x:v>3</x:v>
      </x:c>
      <x:c r="F333" s="5" t="inlineStr">
        <x:is>
          <x:t xml:space="preserve">땅</x:t>
        </x:is>
      </x:c>
      <x:c r="G333" s="5" t="inlineStr">
        <x:is>
          <x:t xml:space="preserve">드래곤</x:t>
        </x:is>
      </x:c>
      <x:c r="H333" s="5" t="n">
        <x:v>1.1</x:v>
      </x:c>
      <x:c r="I333" s="5" t="n">
        <x:v>15.3</x:v>
      </x:c>
      <x:c r="J333" s="5" t="n">
        <x:v>340</x:v>
      </x:c>
      <x:c r="K333" s="5" t="n">
        <x:v>120</x:v>
      </x:c>
      <x:c r="L333" s="5" t="inlineStr">
        <x:is>
          <x:t xml:space="preserve">중간</x:t>
        </x:is>
      </x:c>
      <x:c r="M333" s="5" t="n">
        <x:v>45</x:v>
      </x:c>
      <x:c r="N333" s="5" t="inlineStr">
        <x:is>
          <x:t xml:space="preserve">레벨</x:t>
        </x:is>
      </x:c>
      <x:c r="O333" s="5" t="inlineStr">
        <x:is>
          <x:t xml:space="preserve">예</x:t>
        </x:is>
      </x:c>
      <x:c r="P333" s="5" t="inlineStr">
        <x:is>
          <x:t xml:space="preserve">#cobblemon:is_desert</x:t>
        </x:is>
      </x:c>
      <x:c r="Q333" s="5" t="inlineStr">
        <x:is>
          <x:t xml:space="preserve">rare</x:t>
        </x:is>
      </x:c>
      <x:c r="R333" s="5" t="inlineStr">
        <x:is>
          <x:t xml:space="preserve"/>
        </x:is>
      </x:c>
      <x:c r="S333" s="5" t="inlineStr">
        <x:is>
          <x:t xml:space="preserve">비=True</x:t>
        </x:is>
      </x:c>
      <x:c r="T333" s="5" t="inlineStr">
        <x:is>
          <x:t xml:space="preserve">비행</x:t>
        </x:is>
      </x:c>
      <x:c r="U333" s="5" t="inlineStr">
        <x:is>
          <x:t xml:space="preserve">건조</x:t>
        </x:is>
      </x:c>
      <x:c r="V333" s="5" t="inlineStr">
        <x:is>
          <x:t xml:space="preserve">고온</x:t>
        </x:is>
      </x:c>
      <x:c r="W333" s="5" t="inlineStr">
        <x:is>
          <x:t xml:space="preserve">건조</x:t>
        </x:is>
      </x:c>
      <x:c r="X333" s="5" t="inlineStr">
        <x:is>
          <x:t xml:space="preserve">맑음</x:t>
        </x:is>
      </x:c>
      <x:c r="Y333" s="5" t="inlineStr">
        <x:is>
          <x:t xml:space="preserve">무관</x:t>
        </x:is>
      </x:c>
      <x:c r="Z333" s="5" t="inlineStr">
        <x:is>
          <x:t xml:space="preserve">드묾</x:t>
        </x:is>
      </x:c>
      <x:c r="AA333" s="5" t="inlineStr">
        <x:is>
          <x:t xml:space="preserve">없음</x:t>
        </x:is>
      </x:c>
      <x:c r="AB333" s="5" t="inlineStr">
        <x:is>
          <x:t xml:space="preserve">건조지</x:t>
        </x:is>
      </x:c>
      <x:c r="AC333" s="5" t="inlineStr">
        <x:is>
          <x:t xml:space="preserve">gen3</x:t>
        </x:is>
      </x:c>
      <x:c r="AD333" s="5" t="inlineStr">
        <x:is>
          <x:t xml:space="preserve">.tmp/cobblemon-1.7.3-source/common/src/main/resources/data/cobblemon/species/generation3/vibrava.json</x:t>
        </x:is>
      </x:c>
    </x:row>
    <x:row r="334" ht="22" customHeight="1">
      <x:c r="A334" s="5" t="n">
        <x:v>330</x:v>
      </x:c>
      <x:c r="B334" s="5" t="inlineStr">
        <x:is>
          <x:t xml:space="preserve">플라이곤</x:t>
        </x:is>
      </x:c>
      <x:c r="C334" s="5" t="inlineStr">
        <x:is>
          <x:t xml:space="preserve">flygon</x:t>
        </x:is>
      </x:c>
      <x:c r="D334" s="5" t="inlineStr">
        <x:is>
          <x:t xml:space="preserve">Flygon</x:t>
        </x:is>
      </x:c>
      <x:c r="E334" s="5" t="n">
        <x:v>3</x:v>
      </x:c>
      <x:c r="F334" s="5" t="inlineStr">
        <x:is>
          <x:t xml:space="preserve">땅</x:t>
        </x:is>
      </x:c>
      <x:c r="G334" s="5" t="inlineStr">
        <x:is>
          <x:t xml:space="preserve">드래곤</x:t>
        </x:is>
      </x:c>
      <x:c r="H334" s="5" t="n">
        <x:v>2</x:v>
      </x:c>
      <x:c r="I334" s="5" t="n">
        <x:v>82</x:v>
      </x:c>
      <x:c r="J334" s="5" t="n">
        <x:v>520</x:v>
      </x:c>
      <x:c r="K334" s="5" t="n">
        <x:v>45</x:v>
      </x:c>
      <x:c r="L334" s="5" t="inlineStr">
        <x:is>
          <x:t xml:space="preserve">최종</x:t>
        </x:is>
      </x:c>
      <x:c r="M334" s="5" t="n">
        <x:v>45</x:v>
      </x:c>
      <x:c r="N334" s="5" t="inlineStr">
        <x:is>
          <x:t xml:space="preserve">레벨</x:t>
        </x:is>
      </x:c>
      <x:c r="O334" s="5" t="inlineStr">
        <x:is>
          <x:t xml:space="preserve">예</x:t>
        </x:is>
      </x:c>
      <x:c r="P334" s="5" t="inlineStr">
        <x:is>
          <x:t xml:space="preserve">#cobblemon:is_desert</x:t>
        </x:is>
      </x:c>
      <x:c r="Q334" s="5" t="inlineStr">
        <x:is>
          <x:t xml:space="preserve">rare</x:t>
        </x:is>
      </x:c>
      <x:c r="R334" s="5" t="inlineStr">
        <x:is>
          <x:t xml:space="preserve"/>
        </x:is>
      </x:c>
      <x:c r="S334" s="5" t="inlineStr">
        <x:is>
          <x:t xml:space="preserve">비=True</x:t>
        </x:is>
      </x:c>
      <x:c r="T334" s="5" t="inlineStr">
        <x:is>
          <x:t xml:space="preserve">비행</x:t>
        </x:is>
      </x:c>
      <x:c r="U334" s="5" t="inlineStr">
        <x:is>
          <x:t xml:space="preserve">건조</x:t>
        </x:is>
      </x:c>
      <x:c r="V334" s="5" t="inlineStr">
        <x:is>
          <x:t xml:space="preserve">고온</x:t>
        </x:is>
      </x:c>
      <x:c r="W334" s="5" t="inlineStr">
        <x:is>
          <x:t xml:space="preserve">건조</x:t>
        </x:is>
      </x:c>
      <x:c r="X334" s="5" t="inlineStr">
        <x:is>
          <x:t xml:space="preserve">맑음</x:t>
        </x:is>
      </x:c>
      <x:c r="Y334" s="5" t="inlineStr">
        <x:is>
          <x:t xml:space="preserve">무관</x:t>
        </x:is>
      </x:c>
      <x:c r="Z334" s="5" t="inlineStr">
        <x:is>
          <x:t xml:space="preserve">드묾</x:t>
        </x:is>
      </x:c>
      <x:c r="AA334" s="5" t="inlineStr">
        <x:is>
          <x:t xml:space="preserve">없음</x:t>
        </x:is>
      </x:c>
      <x:c r="AB334" s="5" t="inlineStr">
        <x:is>
          <x:t xml:space="preserve">건조지</x:t>
        </x:is>
      </x:c>
      <x:c r="AC334" s="5" t="inlineStr">
        <x:is>
          <x:t xml:space="preserve">gen3</x:t>
        </x:is>
      </x:c>
      <x:c r="AD334" s="5" t="inlineStr">
        <x:is>
          <x:t xml:space="preserve">.tmp/cobblemon-1.7.3-source/common/src/main/resources/data/cobblemon/species/generation3/flygon.json</x:t>
        </x:is>
      </x:c>
    </x:row>
    <x:row r="335" ht="22" customHeight="1">
      <x:c r="A335" s="5" t="n">
        <x:v>331</x:v>
      </x:c>
      <x:c r="B335" s="5" t="inlineStr">
        <x:is>
          <x:t xml:space="preserve">선인왕</x:t>
        </x:is>
      </x:c>
      <x:c r="C335" s="5" t="inlineStr">
        <x:is>
          <x:t xml:space="preserve">cacnea</x:t>
        </x:is>
      </x:c>
      <x:c r="D335" s="5" t="inlineStr">
        <x:is>
          <x:t xml:space="preserve">Cacnea</x:t>
        </x:is>
      </x:c>
      <x:c r="E335" s="5" t="n">
        <x:v>3</x:v>
      </x:c>
      <x:c r="F335" s="5" t="inlineStr">
        <x:is>
          <x:t xml:space="preserve">풀</x:t>
        </x:is>
      </x:c>
      <x:c r="G335" s="5" t="inlineStr">
        <x:is>
          <x:t xml:space="preserve"/>
        </x:is>
      </x:c>
      <x:c r="H335" s="5" t="n">
        <x:v>0.4</x:v>
      </x:c>
      <x:c r="I335" s="5" t="n">
        <x:v>51.3</x:v>
      </x:c>
      <x:c r="J335" s="5" t="n">
        <x:v>335</x:v>
      </x:c>
      <x:c r="K335" s="5" t="n">
        <x:v>190</x:v>
      </x:c>
      <x:c r="L335" s="5" t="inlineStr">
        <x:is>
          <x:t xml:space="preserve">기본</x:t>
        </x:is>
      </x:c>
      <x:c r="M335" s="5" t="n">
        <x:v>32</x:v>
      </x:c>
      <x:c r="N335" s="5" t="inlineStr">
        <x:is>
          <x:t xml:space="preserve">레벨</x:t>
        </x:is>
      </x:c>
      <x:c r="O335" s="5" t="inlineStr">
        <x:is>
          <x:t xml:space="preserve">예</x:t>
        </x:is>
      </x:c>
      <x:c r="P335" s="5" t="inlineStr">
        <x:is>
          <x:t xml:space="preserve">#cobblemon:is_badlands; #cobblemon:is_desert</x:t>
        </x:is>
      </x:c>
      <x:c r="Q335" s="5" t="inlineStr">
        <x:is>
          <x:t xml:space="preserve">common</x:t>
        </x:is>
      </x:c>
      <x:c r="R335" s="5" t="inlineStr">
        <x:is>
          <x:t xml:space="preserve"/>
        </x:is>
      </x:c>
      <x:c r="S335" s="5" t="inlineStr">
        <x:is>
          <x:t xml:space="preserve"/>
        </x:is>
      </x:c>
      <x:c r="T335" s="5" t="inlineStr">
        <x:is>
          <x:t xml:space="preserve">육상</x:t>
        </x:is>
      </x:c>
      <x:c r="U335" s="5" t="inlineStr">
        <x:is>
          <x:t xml:space="preserve">건조</x:t>
        </x:is>
      </x:c>
      <x:c r="V335" s="5" t="inlineStr">
        <x:is>
          <x:t xml:space="preserve">고온</x:t>
        </x:is>
      </x:c>
      <x:c r="W335" s="5" t="inlineStr">
        <x:is>
          <x:t xml:space="preserve">건조</x:t>
        </x:is>
      </x:c>
      <x:c r="X335" s="5" t="inlineStr">
        <x:is>
          <x:t xml:space="preserve">맑음</x:t>
        </x:is>
      </x:c>
      <x:c r="Y335" s="5" t="inlineStr">
        <x:is>
          <x:t xml:space="preserve">무관</x:t>
        </x:is>
      </x:c>
      <x:c r="Z335" s="5" t="inlineStr">
        <x:is>
          <x:t xml:space="preserve">흔함</x:t>
        </x:is>
      </x:c>
      <x:c r="AA335" s="5" t="inlineStr">
        <x:is>
          <x:t xml:space="preserve">없음</x:t>
        </x:is>
      </x:c>
      <x:c r="AB335" s="5" t="inlineStr">
        <x:is>
          <x:t xml:space="preserve">건조지</x:t>
        </x:is>
      </x:c>
      <x:c r="AC335" s="5" t="inlineStr">
        <x:is>
          <x:t xml:space="preserve">gen3</x:t>
        </x:is>
      </x:c>
      <x:c r="AD335" s="5" t="inlineStr">
        <x:is>
          <x:t xml:space="preserve">.tmp/cobblemon-1.7.3-source/common/src/main/resources/data/cobblemon/species/generation3/cacnea.json</x:t>
        </x:is>
      </x:c>
    </x:row>
    <x:row r="336" ht="22" customHeight="1">
      <x:c r="A336" s="5" t="n">
        <x:v>332</x:v>
      </x:c>
      <x:c r="B336" s="5" t="inlineStr">
        <x:is>
          <x:t xml:space="preserve">밤선인</x:t>
        </x:is>
      </x:c>
      <x:c r="C336" s="5" t="inlineStr">
        <x:is>
          <x:t xml:space="preserve">cacturne</x:t>
        </x:is>
      </x:c>
      <x:c r="D336" s="5" t="inlineStr">
        <x:is>
          <x:t xml:space="preserve">Cacturne</x:t>
        </x:is>
      </x:c>
      <x:c r="E336" s="5" t="n">
        <x:v>3</x:v>
      </x:c>
      <x:c r="F336" s="5" t="inlineStr">
        <x:is>
          <x:t xml:space="preserve">풀</x:t>
        </x:is>
      </x:c>
      <x:c r="G336" s="5" t="inlineStr">
        <x:is>
          <x:t xml:space="preserve">악</x:t>
        </x:is>
      </x:c>
      <x:c r="H336" s="5" t="n">
        <x:v>1.3</x:v>
      </x:c>
      <x:c r="I336" s="5" t="n">
        <x:v>77.40000000000001</x:v>
      </x:c>
      <x:c r="J336" s="5" t="n">
        <x:v>475</x:v>
      </x:c>
      <x:c r="K336" s="5" t="n">
        <x:v>60</x:v>
      </x:c>
      <x:c r="L336" s="5" t="inlineStr">
        <x:is>
          <x:t xml:space="preserve">최종</x:t>
        </x:is>
      </x:c>
      <x:c r="M336" s="5" t="n">
        <x:v>32</x:v>
      </x:c>
      <x:c r="N336" s="5" t="inlineStr">
        <x:is>
          <x:t xml:space="preserve">레벨</x:t>
        </x:is>
      </x:c>
      <x:c r="O336" s="5" t="inlineStr">
        <x:is>
          <x:t xml:space="preserve">예</x:t>
        </x:is>
      </x:c>
      <x:c r="P336" s="5" t="inlineStr">
        <x:is>
          <x:t xml:space="preserve">#cobblemon:is_badlands; #cobblemon:is_desert</x:t>
        </x:is>
      </x:c>
      <x:c r="Q336" s="5" t="inlineStr">
        <x:is>
          <x:t xml:space="preserve">common</x:t>
        </x:is>
      </x:c>
      <x:c r="R336" s="5" t="inlineStr">
        <x:is>
          <x:t xml:space="preserve"/>
        </x:is>
      </x:c>
      <x:c r="S336" s="5" t="inlineStr">
        <x:is>
          <x:t xml:space="preserve"/>
        </x:is>
      </x:c>
      <x:c r="T336" s="5" t="inlineStr">
        <x:is>
          <x:t xml:space="preserve">육상</x:t>
        </x:is>
      </x:c>
      <x:c r="U336" s="5" t="inlineStr">
        <x:is>
          <x:t xml:space="preserve">건조</x:t>
        </x:is>
      </x:c>
      <x:c r="V336" s="5" t="inlineStr">
        <x:is>
          <x:t xml:space="preserve">고온</x:t>
        </x:is>
      </x:c>
      <x:c r="W336" s="5" t="inlineStr">
        <x:is>
          <x:t xml:space="preserve">건조</x:t>
        </x:is>
      </x:c>
      <x:c r="X336" s="5" t="inlineStr">
        <x:is>
          <x:t xml:space="preserve">맑음</x:t>
        </x:is>
      </x:c>
      <x:c r="Y336" s="5" t="inlineStr">
        <x:is>
          <x:t xml:space="preserve">밤</x:t>
        </x:is>
      </x:c>
      <x:c r="Z336" s="5" t="inlineStr">
        <x:is>
          <x:t xml:space="preserve">흔함</x:t>
        </x:is>
      </x:c>
      <x:c r="AA336" s="5" t="inlineStr">
        <x:is>
          <x:t xml:space="preserve">없음</x:t>
        </x:is>
      </x:c>
      <x:c r="AB336" s="5" t="inlineStr">
        <x:is>
          <x:t xml:space="preserve">건조지</x:t>
        </x:is>
      </x:c>
      <x:c r="AC336" s="5" t="inlineStr">
        <x:is>
          <x:t xml:space="preserve">gen3</x:t>
        </x:is>
      </x:c>
      <x:c r="AD336" s="5" t="inlineStr">
        <x:is>
          <x:t xml:space="preserve">.tmp/cobblemon-1.7.3-source/common/src/main/resources/data/cobblemon/species/generation3/cacturne.json</x:t>
        </x:is>
      </x:c>
    </x:row>
    <x:row r="337" ht="22" customHeight="1">
      <x:c r="A337" s="5" t="n">
        <x:v>333</x:v>
      </x:c>
      <x:c r="B337" s="5" t="inlineStr">
        <x:is>
          <x:t xml:space="preserve">파비코</x:t>
        </x:is>
      </x:c>
      <x:c r="C337" s="5" t="inlineStr">
        <x:is>
          <x:t xml:space="preserve">swablu</x:t>
        </x:is>
      </x:c>
      <x:c r="D337" s="5" t="inlineStr">
        <x:is>
          <x:t xml:space="preserve">Swablu</x:t>
        </x:is>
      </x:c>
      <x:c r="E337" s="5" t="n">
        <x:v>3</x:v>
      </x:c>
      <x:c r="F337" s="5" t="inlineStr">
        <x:is>
          <x:t xml:space="preserve">노말</x:t>
        </x:is>
      </x:c>
      <x:c r="G337" s="5" t="inlineStr">
        <x:is>
          <x:t xml:space="preserve">비행</x:t>
        </x:is>
      </x:c>
      <x:c r="H337" s="5" t="n">
        <x:v>0.4</x:v>
      </x:c>
      <x:c r="I337" s="5" t="n">
        <x:v>1.2</x:v>
      </x:c>
      <x:c r="J337" s="5" t="n">
        <x:v>310</x:v>
      </x:c>
      <x:c r="K337" s="5" t="n">
        <x:v>255</x:v>
      </x:c>
      <x:c r="L337" s="5" t="inlineStr">
        <x:is>
          <x:t xml:space="preserve">기본</x:t>
        </x:is>
      </x:c>
      <x:c r="M337" s="5" t="n">
        <x:v>35</x:v>
      </x:c>
      <x:c r="N337" s="5" t="inlineStr">
        <x:is>
          <x:t xml:space="preserve">레벨</x:t>
        </x:is>
      </x:c>
      <x:c r="O337" s="5" t="inlineStr">
        <x:is>
          <x:t xml:space="preserve">예</x:t>
        </x:is>
      </x:c>
      <x:c r="P337" s="5" t="inlineStr">
        <x:is>
          <x:t xml:space="preserve">#cobblemon:is_overworld; #cobblemon:is_peak; #cobblemon:is_sky; aether:skyroot_grove; aether:skyroot_meadow</x:t>
        </x:is>
      </x:c>
      <x:c r="Q337" s="5" t="inlineStr">
        <x:is>
          <x:t xml:space="preserve">common; uncommon</x:t>
        </x:is>
      </x:c>
      <x:c r="R337" s="5" t="inlineStr">
        <x:is>
          <x:t xml:space="preserve"/>
        </x:is>
      </x:c>
      <x:c r="S337" s="5" t="inlineStr">
        <x:is>
          <x:t xml:space="preserve">비=False</x:t>
        </x:is>
      </x:c>
      <x:c r="T337" s="5" t="inlineStr">
        <x:is>
          <x:t xml:space="preserve">비행</x:t>
        </x:is>
      </x:c>
      <x:c r="U337" s="5" t="inlineStr">
        <x:is>
          <x:t xml:space="preserve">암석</x:t>
        </x:is>
      </x:c>
      <x:c r="V337" s="5" t="inlineStr">
        <x:is>
          <x:t xml:space="preserve">온대</x:t>
        </x:is>
      </x:c>
      <x:c r="W337" s="5" t="inlineStr">
        <x:is>
          <x:t xml:space="preserve">보통</x:t>
        </x:is>
      </x:c>
      <x:c r="X337" s="5" t="inlineStr">
        <x:is>
          <x:t xml:space="preserve">무관</x:t>
        </x:is>
      </x:c>
      <x:c r="Y337" s="5" t="inlineStr">
        <x:is>
          <x:t xml:space="preserve">무관</x:t>
        </x:is>
      </x:c>
      <x:c r="Z337" s="5" t="inlineStr">
        <x:is>
          <x:t xml:space="preserve">보통</x:t>
        </x:is>
      </x:c>
      <x:c r="AA337" s="5" t="inlineStr">
        <x:is>
          <x:t xml:space="preserve">없음</x:t>
        </x:is>
      </x:c>
      <x:c r="AB337" s="5" t="inlineStr">
        <x:is>
          <x:t xml:space="preserve">산악</x:t>
        </x:is>
      </x:c>
      <x:c r="AC337" s="5" t="inlineStr">
        <x:is>
          <x:t xml:space="preserve">gen3</x:t>
        </x:is>
      </x:c>
      <x:c r="AD337" s="5" t="inlineStr">
        <x:is>
          <x:t xml:space="preserve">.tmp/cobblemon-1.7.3-source/common/src/main/resources/data/cobblemon/species/generation3/swablu.json</x:t>
        </x:is>
      </x:c>
    </x:row>
    <x:row r="338" ht="22" customHeight="1">
      <x:c r="A338" s="5" t="n">
        <x:v>334</x:v>
      </x:c>
      <x:c r="B338" s="5" t="inlineStr">
        <x:is>
          <x:t xml:space="preserve">파비코리</x:t>
        </x:is>
      </x:c>
      <x:c r="C338" s="5" t="inlineStr">
        <x:is>
          <x:t xml:space="preserve">altaria</x:t>
        </x:is>
      </x:c>
      <x:c r="D338" s="5" t="inlineStr">
        <x:is>
          <x:t xml:space="preserve">Altaria</x:t>
        </x:is>
      </x:c>
      <x:c r="E338" s="5" t="n">
        <x:v>3</x:v>
      </x:c>
      <x:c r="F338" s="5" t="inlineStr">
        <x:is>
          <x:t xml:space="preserve">드래곤</x:t>
        </x:is>
      </x:c>
      <x:c r="G338" s="5" t="inlineStr">
        <x:is>
          <x:t xml:space="preserve">비행</x:t>
        </x:is>
      </x:c>
      <x:c r="H338" s="5" t="n">
        <x:v>1.1</x:v>
      </x:c>
      <x:c r="I338" s="5" t="n">
        <x:v>20.6</x:v>
      </x:c>
      <x:c r="J338" s="5" t="n">
        <x:v>490</x:v>
      </x:c>
      <x:c r="K338" s="5" t="n">
        <x:v>45</x:v>
      </x:c>
      <x:c r="L338" s="5" t="inlineStr">
        <x:is>
          <x:t xml:space="preserve">최종</x:t>
        </x:is>
      </x:c>
      <x:c r="M338" s="5" t="n">
        <x:v>35</x:v>
      </x:c>
      <x:c r="N338" s="5" t="inlineStr">
        <x:is>
          <x:t xml:space="preserve">레벨</x:t>
        </x:is>
      </x:c>
      <x:c r="O338" s="5" t="inlineStr">
        <x:is>
          <x:t xml:space="preserve">예</x:t>
        </x:is>
      </x:c>
      <x:c r="P338" s="5" t="inlineStr">
        <x:is>
          <x:t xml:space="preserve">#cobblemon:is_overworld; #cobblemon:is_peak; #cobblemon:is_sky; aether:skyroot_grove; aether:skyroot_meadow</x:t>
        </x:is>
      </x:c>
      <x:c r="Q338" s="5" t="inlineStr">
        <x:is>
          <x:t xml:space="preserve">common; uncommon</x:t>
        </x:is>
      </x:c>
      <x:c r="R338" s="5" t="inlineStr">
        <x:is>
          <x:t xml:space="preserve"/>
        </x:is>
      </x:c>
      <x:c r="S338" s="5" t="inlineStr">
        <x:is>
          <x:t xml:space="preserve">비=False</x:t>
        </x:is>
      </x:c>
      <x:c r="T338" s="5" t="inlineStr">
        <x:is>
          <x:t xml:space="preserve">비행</x:t>
        </x:is>
      </x:c>
      <x:c r="U338" s="5" t="inlineStr">
        <x:is>
          <x:t xml:space="preserve">암석</x:t>
        </x:is>
      </x:c>
      <x:c r="V338" s="5" t="inlineStr">
        <x:is>
          <x:t xml:space="preserve">온대</x:t>
        </x:is>
      </x:c>
      <x:c r="W338" s="5" t="inlineStr">
        <x:is>
          <x:t xml:space="preserve">보통</x:t>
        </x:is>
      </x:c>
      <x:c r="X338" s="5" t="inlineStr">
        <x:is>
          <x:t xml:space="preserve">무관</x:t>
        </x:is>
      </x:c>
      <x:c r="Y338" s="5" t="inlineStr">
        <x:is>
          <x:t xml:space="preserve">무관</x:t>
        </x:is>
      </x:c>
      <x:c r="Z338" s="5" t="inlineStr">
        <x:is>
          <x:t xml:space="preserve">보통</x:t>
        </x:is>
      </x:c>
      <x:c r="AA338" s="5" t="inlineStr">
        <x:is>
          <x:t xml:space="preserve">없음</x:t>
        </x:is>
      </x:c>
      <x:c r="AB338" s="5" t="inlineStr">
        <x:is>
          <x:t xml:space="preserve">산악</x:t>
        </x:is>
      </x:c>
      <x:c r="AC338" s="5" t="inlineStr">
        <x:is>
          <x:t xml:space="preserve">gen3</x:t>
        </x:is>
      </x:c>
      <x:c r="AD338" s="5" t="inlineStr">
        <x:is>
          <x:t xml:space="preserve">.tmp/cobblemon-1.7.3-source/common/src/main/resources/data/cobblemon/species/generation3/altaria.json</x:t>
        </x:is>
      </x:c>
    </x:row>
    <x:row r="339" ht="22" customHeight="1">
      <x:c r="A339" s="5" t="n">
        <x:v>335</x:v>
      </x:c>
      <x:c r="B339" s="5" t="inlineStr">
        <x:is>
          <x:t xml:space="preserve">쟝고</x:t>
        </x:is>
      </x:c>
      <x:c r="C339" s="5" t="inlineStr">
        <x:is>
          <x:t xml:space="preserve">zangoose</x:t>
        </x:is>
      </x:c>
      <x:c r="D339" s="5" t="inlineStr">
        <x:is>
          <x:t xml:space="preserve">Zangoose</x:t>
        </x:is>
      </x:c>
      <x:c r="E339" s="5" t="n">
        <x:v>3</x:v>
      </x:c>
      <x:c r="F339" s="5" t="inlineStr">
        <x:is>
          <x:t xml:space="preserve">노말</x:t>
        </x:is>
      </x:c>
      <x:c r="G339" s="5" t="inlineStr">
        <x:is>
          <x:t xml:space="preserve"/>
        </x:is>
      </x:c>
      <x:c r="H339" s="5" t="n">
        <x:v>1.3</x:v>
      </x:c>
      <x:c r="I339" s="5" t="n">
        <x:v>40.3</x:v>
      </x:c>
      <x:c r="J339" s="5" t="n">
        <x:v>458</x:v>
      </x:c>
      <x:c r="K339" s="5" t="n">
        <x:v>90</x:v>
      </x:c>
      <x:c r="L339" s="5" t="inlineStr">
        <x:is>
          <x:t xml:space="preserve">무진화</x:t>
        </x:is>
      </x:c>
      <x:c r="M339" s="5" t="n"/>
      <x:c r="N339" s="5" t="inlineStr">
        <x:is>
          <x:t xml:space="preserve">없음</x:t>
        </x:is>
      </x:c>
      <x:c r="O339" s="5" t="inlineStr">
        <x:is>
          <x:t xml:space="preserve">아니오</x:t>
        </x:is>
      </x:c>
      <x:c r="P339" s="5" t="inlineStr">
        <x:is>
          <x:t xml:space="preserve">#cobblemon:is_plains</x:t>
        </x:is>
      </x:c>
      <x:c r="Q339" s="5" t="inlineStr">
        <x:is>
          <x:t xml:space="preserve">uncommon</x:t>
        </x:is>
      </x:c>
      <x:c r="R339" s="5" t="inlineStr">
        <x:is>
          <x:t xml:space="preserve"/>
        </x:is>
      </x:c>
      <x:c r="S339" s="5" t="inlineStr">
        <x:is>
          <x:t xml:space="preserve"/>
        </x:is>
      </x:c>
      <x:c r="T339" s="5" t="inlineStr">
        <x:is>
          <x:t xml:space="preserve">육상</x:t>
        </x:is>
      </x:c>
      <x:c r="U339" s="5" t="inlineStr">
        <x:is>
          <x:t xml:space="preserve">개활지</x:t>
        </x:is>
      </x:c>
      <x:c r="V339" s="5" t="inlineStr">
        <x:is>
          <x:t xml:space="preserve">온대</x:t>
        </x:is>
      </x:c>
      <x:c r="W339" s="5" t="inlineStr">
        <x:is>
          <x:t xml:space="preserve">보통</x:t>
        </x:is>
      </x:c>
      <x:c r="X339" s="5" t="inlineStr">
        <x:is>
          <x:t xml:space="preserve">무관</x:t>
        </x:is>
      </x:c>
      <x:c r="Y339" s="5" t="inlineStr">
        <x:is>
          <x:t xml:space="preserve">무관</x:t>
        </x:is>
      </x:c>
      <x:c r="Z339" s="5" t="inlineStr">
        <x:is>
          <x:t xml:space="preserve">보통</x:t>
        </x:is>
      </x:c>
      <x:c r="AA339" s="5" t="inlineStr">
        <x:is>
          <x:t xml:space="preserve">없음</x:t>
        </x:is>
      </x:c>
      <x:c r="AB339" s="5" t="inlineStr">
        <x:is>
          <x:t xml:space="preserve">평원</x:t>
        </x:is>
      </x:c>
      <x:c r="AC339" s="5" t="inlineStr">
        <x:is>
          <x:t xml:space="preserve">gen3</x:t>
        </x:is>
      </x:c>
      <x:c r="AD339" s="5" t="inlineStr">
        <x:is>
          <x:t xml:space="preserve">.tmp/cobblemon-1.7.3-source/common/src/main/resources/data/cobblemon/species/generation3/zangoose.json</x:t>
        </x:is>
      </x:c>
    </x:row>
    <x:row r="340" ht="22" customHeight="1">
      <x:c r="A340" s="5" t="n">
        <x:v>336</x:v>
      </x:c>
      <x:c r="B340" s="5" t="inlineStr">
        <x:is>
          <x:t xml:space="preserve">세비퍼</x:t>
        </x:is>
      </x:c>
      <x:c r="C340" s="5" t="inlineStr">
        <x:is>
          <x:t xml:space="preserve">seviper</x:t>
        </x:is>
      </x:c>
      <x:c r="D340" s="5" t="inlineStr">
        <x:is>
          <x:t xml:space="preserve">Seviper</x:t>
        </x:is>
      </x:c>
      <x:c r="E340" s="5" t="n">
        <x:v>3</x:v>
      </x:c>
      <x:c r="F340" s="5" t="inlineStr">
        <x:is>
          <x:t xml:space="preserve">독</x:t>
        </x:is>
      </x:c>
      <x:c r="G340" s="5" t="inlineStr">
        <x:is>
          <x:t xml:space="preserve"/>
        </x:is>
      </x:c>
      <x:c r="H340" s="5" t="n">
        <x:v>2.7</x:v>
      </x:c>
      <x:c r="I340" s="5" t="n">
        <x:v>52.5</x:v>
      </x:c>
      <x:c r="J340" s="5" t="n">
        <x:v>458</x:v>
      </x:c>
      <x:c r="K340" s="5" t="n">
        <x:v>90</x:v>
      </x:c>
      <x:c r="L340" s="5" t="inlineStr">
        <x:is>
          <x:t xml:space="preserve">무진화</x:t>
        </x:is>
      </x:c>
      <x:c r="M340" s="5" t="n"/>
      <x:c r="N340" s="5" t="inlineStr">
        <x:is>
          <x:t xml:space="preserve">없음</x:t>
        </x:is>
      </x:c>
      <x:c r="O340" s="5" t="inlineStr">
        <x:is>
          <x:t xml:space="preserve">아니오</x:t>
        </x:is>
      </x:c>
      <x:c r="P340" s="5" t="inlineStr">
        <x:is>
          <x:t xml:space="preserve">#cobblemon:is_desert</x:t>
        </x:is>
      </x:c>
      <x:c r="Q340" s="5" t="inlineStr">
        <x:is>
          <x:t xml:space="preserve">uncommon</x:t>
        </x:is>
      </x:c>
      <x:c r="R340" s="5" t="inlineStr">
        <x:is>
          <x:t xml:space="preserve"/>
        </x:is>
      </x:c>
      <x:c r="S340" s="5" t="inlineStr">
        <x:is>
          <x:t xml:space="preserve"/>
        </x:is>
      </x:c>
      <x:c r="T340" s="5" t="inlineStr">
        <x:is>
          <x:t xml:space="preserve">육상</x:t>
        </x:is>
      </x:c>
      <x:c r="U340" s="5" t="inlineStr">
        <x:is>
          <x:t xml:space="preserve">건조</x:t>
        </x:is>
      </x:c>
      <x:c r="V340" s="5" t="inlineStr">
        <x:is>
          <x:t xml:space="preserve">고온</x:t>
        </x:is>
      </x:c>
      <x:c r="W340" s="5" t="inlineStr">
        <x:is>
          <x:t xml:space="preserve">건조</x:t>
        </x:is>
      </x:c>
      <x:c r="X340" s="5" t="inlineStr">
        <x:is>
          <x:t xml:space="preserve">맑음</x:t>
        </x:is>
      </x:c>
      <x:c r="Y340" s="5" t="inlineStr">
        <x:is>
          <x:t xml:space="preserve">무관</x:t>
        </x:is>
      </x:c>
      <x:c r="Z340" s="5" t="inlineStr">
        <x:is>
          <x:t xml:space="preserve">보통</x:t>
        </x:is>
      </x:c>
      <x:c r="AA340" s="5" t="inlineStr">
        <x:is>
          <x:t xml:space="preserve">없음</x:t>
        </x:is>
      </x:c>
      <x:c r="AB340" s="5" t="inlineStr">
        <x:is>
          <x:t xml:space="preserve">건조지</x:t>
        </x:is>
      </x:c>
      <x:c r="AC340" s="5" t="inlineStr">
        <x:is>
          <x:t xml:space="preserve">gen3</x:t>
        </x:is>
      </x:c>
      <x:c r="AD340" s="5" t="inlineStr">
        <x:is>
          <x:t xml:space="preserve">.tmp/cobblemon-1.7.3-source/common/src/main/resources/data/cobblemon/species/generation3/seviper.json</x:t>
        </x:is>
      </x:c>
    </x:row>
    <x:row r="341" ht="22" customHeight="1">
      <x:c r="A341" s="5" t="n">
        <x:v>337</x:v>
      </x:c>
      <x:c r="B341" s="5" t="inlineStr">
        <x:is>
          <x:t xml:space="preserve">루나톤</x:t>
        </x:is>
      </x:c>
      <x:c r="C341" s="5" t="inlineStr">
        <x:is>
          <x:t xml:space="preserve">lunatone</x:t>
        </x:is>
      </x:c>
      <x:c r="D341" s="5" t="inlineStr">
        <x:is>
          <x:t xml:space="preserve">Lunatone</x:t>
        </x:is>
      </x:c>
      <x:c r="E341" s="5" t="n">
        <x:v>3</x:v>
      </x:c>
      <x:c r="F341" s="5" t="inlineStr">
        <x:is>
          <x:t xml:space="preserve">바위</x:t>
        </x:is>
      </x:c>
      <x:c r="G341" s="5" t="inlineStr">
        <x:is>
          <x:t xml:space="preserve">에스퍼</x:t>
        </x:is>
      </x:c>
      <x:c r="H341" s="5" t="n">
        <x:v>1</x:v>
      </x:c>
      <x:c r="I341" s="5" t="n">
        <x:v>168</x:v>
      </x:c>
      <x:c r="J341" s="5" t="n">
        <x:v>460</x:v>
      </x:c>
      <x:c r="K341" s="5" t="n">
        <x:v>45</x:v>
      </x:c>
      <x:c r="L341" s="5" t="inlineStr">
        <x:is>
          <x:t xml:space="preserve">무진화</x:t>
        </x:is>
      </x:c>
      <x:c r="M341" s="5" t="n"/>
      <x:c r="N341" s="5" t="inlineStr">
        <x:is>
          <x:t xml:space="preserve">없음</x:t>
        </x:is>
      </x:c>
      <x:c r="O341" s="5" t="inlineStr">
        <x:is>
          <x:t xml:space="preserve">예</x:t>
        </x:is>
      </x:c>
      <x:c r="P341" s="5" t="inlineStr">
        <x:is>
          <x:t xml:space="preserve">#cobblemon:is_dripstone; #cobblemon:is_mountain; #cobblemon:is_overworld</x:t>
        </x:is>
      </x:c>
      <x:c r="Q341" s="5" t="inlineStr">
        <x:is>
          <x:t xml:space="preserve">common; uncommon</x:t>
        </x:is>
      </x:c>
      <x:c r="R341" s="5" t="inlineStr">
        <x:is>
          <x:t xml:space="preserve">night</x:t>
        </x:is>
      </x:c>
      <x:c r="S341" s="5" t="inlineStr">
        <x:is>
          <x:t xml:space="preserve"/>
        </x:is>
      </x:c>
      <x:c r="T341" s="5" t="inlineStr">
        <x:is>
          <x:t xml:space="preserve">지하</x:t>
        </x:is>
      </x:c>
      <x:c r="U341" s="5" t="inlineStr">
        <x:is>
          <x:t xml:space="preserve">동굴</x:t>
        </x:is>
      </x:c>
      <x:c r="V341" s="5" t="inlineStr">
        <x:is>
          <x:t xml:space="preserve">온대</x:t>
        </x:is>
      </x:c>
      <x:c r="W341" s="5" t="inlineStr">
        <x:is>
          <x:t xml:space="preserve">보통</x:t>
        </x:is>
      </x:c>
      <x:c r="X341" s="5" t="inlineStr">
        <x:is>
          <x:t xml:space="preserve">무관</x:t>
        </x:is>
      </x:c>
      <x:c r="Y341" s="5" t="inlineStr">
        <x:is>
          <x:t xml:space="preserve">밤</x:t>
        </x:is>
      </x:c>
      <x:c r="Z341" s="5" t="inlineStr">
        <x:is>
          <x:t xml:space="preserve">보통</x:t>
        </x:is>
      </x:c>
      <x:c r="AA341" s="5" t="inlineStr">
        <x:is>
          <x:t xml:space="preserve">동굴</x:t>
        </x:is>
      </x:c>
      <x:c r="AB341" s="5" t="inlineStr">
        <x:is>
          <x:t xml:space="preserve">동굴</x:t>
        </x:is>
      </x:c>
      <x:c r="AC341" s="5" t="inlineStr">
        <x:is>
          <x:t xml:space="preserve">gen3</x:t>
        </x:is>
      </x:c>
      <x:c r="AD341" s="5" t="inlineStr">
        <x:is>
          <x:t xml:space="preserve">.tmp/cobblemon-1.7.3-source/common/src/main/resources/data/cobblemon/species/generation3/lunatone.json</x:t>
        </x:is>
      </x:c>
    </x:row>
    <x:row r="342" ht="22" customHeight="1">
      <x:c r="A342" s="5" t="n">
        <x:v>338</x:v>
      </x:c>
      <x:c r="B342" s="5" t="inlineStr">
        <x:is>
          <x:t xml:space="preserve">솔록</x:t>
        </x:is>
      </x:c>
      <x:c r="C342" s="5" t="inlineStr">
        <x:is>
          <x:t xml:space="preserve">solrock</x:t>
        </x:is>
      </x:c>
      <x:c r="D342" s="5" t="inlineStr">
        <x:is>
          <x:t xml:space="preserve">Solrock</x:t>
        </x:is>
      </x:c>
      <x:c r="E342" s="5" t="n">
        <x:v>3</x:v>
      </x:c>
      <x:c r="F342" s="5" t="inlineStr">
        <x:is>
          <x:t xml:space="preserve">바위</x:t>
        </x:is>
      </x:c>
      <x:c r="G342" s="5" t="inlineStr">
        <x:is>
          <x:t xml:space="preserve">에스퍼</x:t>
        </x:is>
      </x:c>
      <x:c r="H342" s="5" t="n">
        <x:v>1.2</x:v>
      </x:c>
      <x:c r="I342" s="5" t="n">
        <x:v>154</x:v>
      </x:c>
      <x:c r="J342" s="5" t="n">
        <x:v>460</x:v>
      </x:c>
      <x:c r="K342" s="5" t="n">
        <x:v>45</x:v>
      </x:c>
      <x:c r="L342" s="5" t="inlineStr">
        <x:is>
          <x:t xml:space="preserve">무진화</x:t>
        </x:is>
      </x:c>
      <x:c r="M342" s="5" t="n"/>
      <x:c r="N342" s="5" t="inlineStr">
        <x:is>
          <x:t xml:space="preserve">없음</x:t>
        </x:is>
      </x:c>
      <x:c r="O342" s="5" t="inlineStr">
        <x:is>
          <x:t xml:space="preserve">예</x:t>
        </x:is>
      </x:c>
      <x:c r="P342" s="5" t="inlineStr">
        <x:is>
          <x:t xml:space="preserve">#cobblemon:is_dripstone; #cobblemon:is_mountain; #cobblemon:is_overworld; aether:skyroot_grove; aether:skyroot_meadow</x:t>
        </x:is>
      </x:c>
      <x:c r="Q342" s="5" t="inlineStr">
        <x:is>
          <x:t xml:space="preserve">common; uncommon</x:t>
        </x:is>
      </x:c>
      <x:c r="R342" s="5" t="inlineStr">
        <x:is>
          <x:t xml:space="preserve">day</x:t>
        </x:is>
      </x:c>
      <x:c r="S342" s="5" t="inlineStr">
        <x:is>
          <x:t xml:space="preserve"/>
        </x:is>
      </x:c>
      <x:c r="T342" s="5" t="inlineStr">
        <x:is>
          <x:t xml:space="preserve">지하</x:t>
        </x:is>
      </x:c>
      <x:c r="U342" s="5" t="inlineStr">
        <x:is>
          <x:t xml:space="preserve">동굴</x:t>
        </x:is>
      </x:c>
      <x:c r="V342" s="5" t="inlineStr">
        <x:is>
          <x:t xml:space="preserve">온대</x:t>
        </x:is>
      </x:c>
      <x:c r="W342" s="5" t="inlineStr">
        <x:is>
          <x:t xml:space="preserve">보통</x:t>
        </x:is>
      </x:c>
      <x:c r="X342" s="5" t="inlineStr">
        <x:is>
          <x:t xml:space="preserve">무관</x:t>
        </x:is>
      </x:c>
      <x:c r="Y342" s="5" t="inlineStr">
        <x:is>
          <x:t xml:space="preserve">낮</x:t>
        </x:is>
      </x:c>
      <x:c r="Z342" s="5" t="inlineStr">
        <x:is>
          <x:t xml:space="preserve">보통</x:t>
        </x:is>
      </x:c>
      <x:c r="AA342" s="5" t="inlineStr">
        <x:is>
          <x:t xml:space="preserve">동굴</x:t>
        </x:is>
      </x:c>
      <x:c r="AB342" s="5" t="inlineStr">
        <x:is>
          <x:t xml:space="preserve">동굴</x:t>
        </x:is>
      </x:c>
      <x:c r="AC342" s="5" t="inlineStr">
        <x:is>
          <x:t xml:space="preserve">gen3</x:t>
        </x:is>
      </x:c>
      <x:c r="AD342" s="5" t="inlineStr">
        <x:is>
          <x:t xml:space="preserve">.tmp/cobblemon-1.7.3-source/common/src/main/resources/data/cobblemon/species/generation3/solrock.json</x:t>
        </x:is>
      </x:c>
    </x:row>
    <x:row r="343" ht="22" customHeight="1">
      <x:c r="A343" s="5" t="n">
        <x:v>339</x:v>
      </x:c>
      <x:c r="B343" s="5" t="inlineStr">
        <x:is>
          <x:t xml:space="preserve">미꾸리</x:t>
        </x:is>
      </x:c>
      <x:c r="C343" s="5" t="inlineStr">
        <x:is>
          <x:t xml:space="preserve">barboach</x:t>
        </x:is>
      </x:c>
      <x:c r="D343" s="5" t="inlineStr">
        <x:is>
          <x:t xml:space="preserve">Barboach</x:t>
        </x:is>
      </x:c>
      <x:c r="E343" s="5" t="n">
        <x:v>3</x:v>
      </x:c>
      <x:c r="F343" s="5" t="inlineStr">
        <x:is>
          <x:t xml:space="preserve">물</x:t>
        </x:is>
      </x:c>
      <x:c r="G343" s="5" t="inlineStr">
        <x:is>
          <x:t xml:space="preserve">땅</x:t>
        </x:is>
      </x:c>
      <x:c r="H343" s="5" t="n">
        <x:v>0.4</x:v>
      </x:c>
      <x:c r="I343" s="5" t="n">
        <x:v>1.9</x:v>
      </x:c>
      <x:c r="J343" s="5" t="n">
        <x:v>288</x:v>
      </x:c>
      <x:c r="K343" s="5" t="n">
        <x:v>190</x:v>
      </x:c>
      <x:c r="L343" s="5" t="inlineStr">
        <x:is>
          <x:t xml:space="preserve">기본</x:t>
        </x:is>
      </x:c>
      <x:c r="M343" s="5" t="n">
        <x:v>30</x:v>
      </x:c>
      <x:c r="N343" s="5" t="inlineStr">
        <x:is>
          <x:t xml:space="preserve">레벨</x:t>
        </x:is>
      </x:c>
      <x:c r="O343" s="5" t="inlineStr">
        <x:is>
          <x:t xml:space="preserve">예</x:t>
        </x:is>
      </x:c>
      <x:c r="P343" s="5" t="inlineStr">
        <x:is>
          <x:t xml:space="preserve">#cobblemon:is_arid; #cobblemon:is_freshwater; #cobblemon:is_hills; #cobblemon:is_jungle; #cobblemon:is_mushroom; #cobblemon:is_overworld; #cobblemon:is_swamp; #cobblemon:is_temperate</x:t>
        </x:is>
      </x:c>
      <x:c r="Q343" s="5" t="inlineStr">
        <x:is>
          <x:t xml:space="preserve">common; uncommon</x:t>
        </x:is>
      </x:c>
      <x:c r="R343" s="5" t="inlineStr">
        <x:is>
          <x:t xml:space="preserve"/>
        </x:is>
      </x:c>
      <x:c r="S343" s="5" t="inlineStr">
        <x:is>
          <x:t xml:space="preserve"/>
        </x:is>
      </x:c>
      <x:c r="T343" s="5" t="inlineStr">
        <x:is>
          <x:t xml:space="preserve">담수</x:t>
        </x:is>
      </x:c>
      <x:c r="U343" s="5" t="inlineStr">
        <x:is>
          <x:t xml:space="preserve">담수</x:t>
        </x:is>
      </x:c>
      <x:c r="V343" s="5" t="inlineStr">
        <x:is>
          <x:t xml:space="preserve">온대</x:t>
        </x:is>
      </x:c>
      <x:c r="W343" s="5" t="inlineStr">
        <x:is>
          <x:t xml:space="preserve">수중</x:t>
        </x:is>
      </x:c>
      <x:c r="X343" s="5" t="inlineStr">
        <x:is>
          <x:t xml:space="preserve">비</x:t>
        </x:is>
      </x:c>
      <x:c r="Y343" s="5" t="inlineStr">
        <x:is>
          <x:t xml:space="preserve">무관</x:t>
        </x:is>
      </x:c>
      <x:c r="Z343" s="5" t="inlineStr">
        <x:is>
          <x:t xml:space="preserve">보통</x:t>
        </x:is>
      </x:c>
      <x:c r="AA343" s="5" t="inlineStr">
        <x:is>
          <x:t xml:space="preserve">없음</x:t>
        </x:is>
      </x:c>
      <x:c r="AB343" s="5" t="inlineStr">
        <x:is>
          <x:t xml:space="preserve">담수</x:t>
        </x:is>
      </x:c>
      <x:c r="AC343" s="5" t="inlineStr">
        <x:is>
          <x:t xml:space="preserve">gen3</x:t>
        </x:is>
      </x:c>
      <x:c r="AD343" s="5" t="inlineStr">
        <x:is>
          <x:t xml:space="preserve">.tmp/cobblemon-1.7.3-source/common/src/main/resources/data/cobblemon/species/generation3/barboach.json</x:t>
        </x:is>
      </x:c>
    </x:row>
    <x:row r="344" ht="22" customHeight="1">
      <x:c r="A344" s="5" t="n">
        <x:v>340</x:v>
      </x:c>
      <x:c r="B344" s="5" t="inlineStr">
        <x:is>
          <x:t xml:space="preserve">메깅</x:t>
        </x:is>
      </x:c>
      <x:c r="C344" s="5" t="inlineStr">
        <x:is>
          <x:t xml:space="preserve">whiscash</x:t>
        </x:is>
      </x:c>
      <x:c r="D344" s="5" t="inlineStr">
        <x:is>
          <x:t xml:space="preserve">Whiscash</x:t>
        </x:is>
      </x:c>
      <x:c r="E344" s="5" t="n">
        <x:v>3</x:v>
      </x:c>
      <x:c r="F344" s="5" t="inlineStr">
        <x:is>
          <x:t xml:space="preserve">물</x:t>
        </x:is>
      </x:c>
      <x:c r="G344" s="5" t="inlineStr">
        <x:is>
          <x:t xml:space="preserve">땅</x:t>
        </x:is>
      </x:c>
      <x:c r="H344" s="5" t="n">
        <x:v>0.9</x:v>
      </x:c>
      <x:c r="I344" s="5" t="n">
        <x:v>23.6</x:v>
      </x:c>
      <x:c r="J344" s="5" t="n">
        <x:v>468</x:v>
      </x:c>
      <x:c r="K344" s="5" t="n">
        <x:v>75</x:v>
      </x:c>
      <x:c r="L344" s="5" t="inlineStr">
        <x:is>
          <x:t xml:space="preserve">최종</x:t>
        </x:is>
      </x:c>
      <x:c r="M344" s="5" t="n">
        <x:v>30</x:v>
      </x:c>
      <x:c r="N344" s="5" t="inlineStr">
        <x:is>
          <x:t xml:space="preserve">레벨</x:t>
        </x:is>
      </x:c>
      <x:c r="O344" s="5" t="inlineStr">
        <x:is>
          <x:t xml:space="preserve">예</x:t>
        </x:is>
      </x:c>
      <x:c r="P344" s="5" t="inlineStr">
        <x:is>
          <x:t xml:space="preserve">#cobblemon:is_arid; #cobblemon:is_freshwater; #cobblemon:is_hills; #cobblemon:is_jungle; #cobblemon:is_mushroom; #cobblemon:is_overworld; #cobblemon:is_swamp; #cobblemon:is_temperate</x:t>
        </x:is>
      </x:c>
      <x:c r="Q344" s="5" t="inlineStr">
        <x:is>
          <x:t xml:space="preserve">common; rare; uncommon</x:t>
        </x:is>
      </x:c>
      <x:c r="R344" s="5" t="inlineStr">
        <x:is>
          <x:t xml:space="preserve"/>
        </x:is>
      </x:c>
      <x:c r="S344" s="5" t="inlineStr">
        <x:is>
          <x:t xml:space="preserve"/>
        </x:is>
      </x:c>
      <x:c r="T344" s="5" t="inlineStr">
        <x:is>
          <x:t xml:space="preserve">담수</x:t>
        </x:is>
      </x:c>
      <x:c r="U344" s="5" t="inlineStr">
        <x:is>
          <x:t xml:space="preserve">담수</x:t>
        </x:is>
      </x:c>
      <x:c r="V344" s="5" t="inlineStr">
        <x:is>
          <x:t xml:space="preserve">온대</x:t>
        </x:is>
      </x:c>
      <x:c r="W344" s="5" t="inlineStr">
        <x:is>
          <x:t xml:space="preserve">수중</x:t>
        </x:is>
      </x:c>
      <x:c r="X344" s="5" t="inlineStr">
        <x:is>
          <x:t xml:space="preserve">비</x:t>
        </x:is>
      </x:c>
      <x:c r="Y344" s="5" t="inlineStr">
        <x:is>
          <x:t xml:space="preserve">무관</x:t>
        </x:is>
      </x:c>
      <x:c r="Z344" s="5" t="inlineStr">
        <x:is>
          <x:t xml:space="preserve">보통</x:t>
        </x:is>
      </x:c>
      <x:c r="AA344" s="5" t="inlineStr">
        <x:is>
          <x:t xml:space="preserve">없음</x:t>
        </x:is>
      </x:c>
      <x:c r="AB344" s="5" t="inlineStr">
        <x:is>
          <x:t xml:space="preserve">담수</x:t>
        </x:is>
      </x:c>
      <x:c r="AC344" s="5" t="inlineStr">
        <x:is>
          <x:t xml:space="preserve">gen3</x:t>
        </x:is>
      </x:c>
      <x:c r="AD344" s="5" t="inlineStr">
        <x:is>
          <x:t xml:space="preserve">.tmp/cobblemon-1.7.3-source/common/src/main/resources/data/cobblemon/species/generation3/whiscash.json</x:t>
        </x:is>
      </x:c>
    </x:row>
    <x:row r="345" ht="22" customHeight="1">
      <x:c r="A345" s="5" t="n">
        <x:v>341</x:v>
      </x:c>
      <x:c r="B345" s="5" t="inlineStr">
        <x:is>
          <x:t xml:space="preserve">가재군</x:t>
        </x:is>
      </x:c>
      <x:c r="C345" s="5" t="inlineStr">
        <x:is>
          <x:t xml:space="preserve">corphish</x:t>
        </x:is>
      </x:c>
      <x:c r="D345" s="5" t="inlineStr">
        <x:is>
          <x:t xml:space="preserve">Corphish</x:t>
        </x:is>
      </x:c>
      <x:c r="E345" s="5" t="n">
        <x:v>3</x:v>
      </x:c>
      <x:c r="F345" s="5" t="inlineStr">
        <x:is>
          <x:t xml:space="preserve">물</x:t>
        </x:is>
      </x:c>
      <x:c r="G345" s="5" t="inlineStr">
        <x:is>
          <x:t xml:space="preserve"/>
        </x:is>
      </x:c>
      <x:c r="H345" s="5" t="n">
        <x:v>0.6</x:v>
      </x:c>
      <x:c r="I345" s="5" t="n">
        <x:v>11.5</x:v>
      </x:c>
      <x:c r="J345" s="5" t="n">
        <x:v>308</x:v>
      </x:c>
      <x:c r="K345" s="5" t="n">
        <x:v>205</x:v>
      </x:c>
      <x:c r="L345" s="5" t="inlineStr">
        <x:is>
          <x:t xml:space="preserve">기본</x:t>
        </x:is>
      </x:c>
      <x:c r="M345" s="5" t="n">
        <x:v>30</x:v>
      </x:c>
      <x:c r="N345" s="5" t="inlineStr">
        <x:is>
          <x:t xml:space="preserve">레벨</x:t>
        </x:is>
      </x:c>
      <x:c r="O345" s="5" t="inlineStr">
        <x:is>
          <x:t xml:space="preserve">예</x:t>
        </x:is>
      </x:c>
      <x:c r="P345" s="5" t="inlineStr">
        <x:is>
          <x:t xml:space="preserve">#cobblemon:is_arid; #cobblemon:is_freshwater; #cobblemon:is_hills; #cobblemon:is_jungle; #cobblemon:is_temperate</x:t>
        </x:is>
      </x:c>
      <x:c r="Q345" s="5" t="inlineStr">
        <x:is>
          <x:t xml:space="preserve">common</x:t>
        </x:is>
      </x:c>
      <x:c r="R345" s="5" t="inlineStr">
        <x:is>
          <x:t xml:space="preserve"/>
        </x:is>
      </x:c>
      <x:c r="S345" s="5" t="inlineStr">
        <x:is>
          <x:t xml:space="preserve"/>
        </x:is>
      </x:c>
      <x:c r="T345" s="5" t="inlineStr">
        <x:is>
          <x:t xml:space="preserve">담수</x:t>
        </x:is>
      </x:c>
      <x:c r="U345" s="5" t="inlineStr">
        <x:is>
          <x:t xml:space="preserve">담수</x:t>
        </x:is>
      </x:c>
      <x:c r="V345" s="5" t="inlineStr">
        <x:is>
          <x:t xml:space="preserve">온대</x:t>
        </x:is>
      </x:c>
      <x:c r="W345" s="5" t="inlineStr">
        <x:is>
          <x:t xml:space="preserve">수중</x:t>
        </x:is>
      </x:c>
      <x:c r="X345" s="5" t="inlineStr">
        <x:is>
          <x:t xml:space="preserve">비</x:t>
        </x:is>
      </x:c>
      <x:c r="Y345" s="5" t="inlineStr">
        <x:is>
          <x:t xml:space="preserve">무관</x:t>
        </x:is>
      </x:c>
      <x:c r="Z345" s="5" t="inlineStr">
        <x:is>
          <x:t xml:space="preserve">흔함</x:t>
        </x:is>
      </x:c>
      <x:c r="AA345" s="5" t="inlineStr">
        <x:is>
          <x:t xml:space="preserve">없음</x:t>
        </x:is>
      </x:c>
      <x:c r="AB345" s="5" t="inlineStr">
        <x:is>
          <x:t xml:space="preserve">담수</x:t>
        </x:is>
      </x:c>
      <x:c r="AC345" s="5" t="inlineStr">
        <x:is>
          <x:t xml:space="preserve">gen3</x:t>
        </x:is>
      </x:c>
      <x:c r="AD345" s="5" t="inlineStr">
        <x:is>
          <x:t xml:space="preserve">.tmp/cobblemon-1.7.3-source/common/src/main/resources/data/cobblemon/species/generation3/corphish.json</x:t>
        </x:is>
      </x:c>
    </x:row>
    <x:row r="346" ht="22" customHeight="1">
      <x:c r="A346" s="5" t="n">
        <x:v>342</x:v>
      </x:c>
      <x:c r="B346" s="5" t="inlineStr">
        <x:is>
          <x:t xml:space="preserve">가재장군</x:t>
        </x:is>
      </x:c>
      <x:c r="C346" s="5" t="inlineStr">
        <x:is>
          <x:t xml:space="preserve">crawdaunt</x:t>
        </x:is>
      </x:c>
      <x:c r="D346" s="5" t="inlineStr">
        <x:is>
          <x:t xml:space="preserve">Crawdaunt</x:t>
        </x:is>
      </x:c>
      <x:c r="E346" s="5" t="n">
        <x:v>3</x:v>
      </x:c>
      <x:c r="F346" s="5" t="inlineStr">
        <x:is>
          <x:t xml:space="preserve">물</x:t>
        </x:is>
      </x:c>
      <x:c r="G346" s="5" t="inlineStr">
        <x:is>
          <x:t xml:space="preserve">악</x:t>
        </x:is>
      </x:c>
      <x:c r="H346" s="5" t="n">
        <x:v>1.1</x:v>
      </x:c>
      <x:c r="I346" s="5" t="n">
        <x:v>32.8</x:v>
      </x:c>
      <x:c r="J346" s="5" t="n">
        <x:v>468</x:v>
      </x:c>
      <x:c r="K346" s="5" t="n">
        <x:v>155</x:v>
      </x:c>
      <x:c r="L346" s="5" t="inlineStr">
        <x:is>
          <x:t xml:space="preserve">최종</x:t>
        </x:is>
      </x:c>
      <x:c r="M346" s="5" t="n">
        <x:v>30</x:v>
      </x:c>
      <x:c r="N346" s="5" t="inlineStr">
        <x:is>
          <x:t xml:space="preserve">레벨</x:t>
        </x:is>
      </x:c>
      <x:c r="O346" s="5" t="inlineStr">
        <x:is>
          <x:t xml:space="preserve">예</x:t>
        </x:is>
      </x:c>
      <x:c r="P346" s="5" t="inlineStr">
        <x:is>
          <x:t xml:space="preserve">#cobblemon:is_arid; #cobblemon:is_freshwater; #cobblemon:is_hills; #cobblemon:is_jungle; #cobblemon:is_temperate</x:t>
        </x:is>
      </x:c>
      <x:c r="Q346" s="5" t="inlineStr">
        <x:is>
          <x:t xml:space="preserve">common</x:t>
        </x:is>
      </x:c>
      <x:c r="R346" s="5" t="inlineStr">
        <x:is>
          <x:t xml:space="preserve"/>
        </x:is>
      </x:c>
      <x:c r="S346" s="5" t="inlineStr">
        <x:is>
          <x:t xml:space="preserve"/>
        </x:is>
      </x:c>
      <x:c r="T346" s="5" t="inlineStr">
        <x:is>
          <x:t xml:space="preserve">담수</x:t>
        </x:is>
      </x:c>
      <x:c r="U346" s="5" t="inlineStr">
        <x:is>
          <x:t xml:space="preserve">담수</x:t>
        </x:is>
      </x:c>
      <x:c r="V346" s="5" t="inlineStr">
        <x:is>
          <x:t xml:space="preserve">온대</x:t>
        </x:is>
      </x:c>
      <x:c r="W346" s="5" t="inlineStr">
        <x:is>
          <x:t xml:space="preserve">수중</x:t>
        </x:is>
      </x:c>
      <x:c r="X346" s="5" t="inlineStr">
        <x:is>
          <x:t xml:space="preserve">비</x:t>
        </x:is>
      </x:c>
      <x:c r="Y346" s="5" t="inlineStr">
        <x:is>
          <x:t xml:space="preserve">밤</x:t>
        </x:is>
      </x:c>
      <x:c r="Z346" s="5" t="inlineStr">
        <x:is>
          <x:t xml:space="preserve">흔함</x:t>
        </x:is>
      </x:c>
      <x:c r="AA346" s="5" t="inlineStr">
        <x:is>
          <x:t xml:space="preserve">없음</x:t>
        </x:is>
      </x:c>
      <x:c r="AB346" s="5" t="inlineStr">
        <x:is>
          <x:t xml:space="preserve">담수</x:t>
        </x:is>
      </x:c>
      <x:c r="AC346" s="5" t="inlineStr">
        <x:is>
          <x:t xml:space="preserve">gen3</x:t>
        </x:is>
      </x:c>
      <x:c r="AD346" s="5" t="inlineStr">
        <x:is>
          <x:t xml:space="preserve">.tmp/cobblemon-1.7.3-source/common/src/main/resources/data/cobblemon/species/generation3/crawdaunt.json</x:t>
        </x:is>
      </x:c>
    </x:row>
    <x:row r="347" ht="22" customHeight="1">
      <x:c r="A347" s="5" t="n">
        <x:v>343</x:v>
      </x:c>
      <x:c r="B347" s="5" t="inlineStr">
        <x:is>
          <x:t xml:space="preserve">오뚝군</x:t>
        </x:is>
      </x:c>
      <x:c r="C347" s="5" t="inlineStr">
        <x:is>
          <x:t xml:space="preserve">baltoy</x:t>
        </x:is>
      </x:c>
      <x:c r="D347" s="5" t="inlineStr">
        <x:is>
          <x:t xml:space="preserve">Baltoy</x:t>
        </x:is>
      </x:c>
      <x:c r="E347" s="5" t="n">
        <x:v>3</x:v>
      </x:c>
      <x:c r="F347" s="5" t="inlineStr">
        <x:is>
          <x:t xml:space="preserve">땅</x:t>
        </x:is>
      </x:c>
      <x:c r="G347" s="5" t="inlineStr">
        <x:is>
          <x:t xml:space="preserve">에스퍼</x:t>
        </x:is>
      </x:c>
      <x:c r="H347" s="5" t="n">
        <x:v>0.5</x:v>
      </x:c>
      <x:c r="I347" s="5" t="n">
        <x:v>21.5</x:v>
      </x:c>
      <x:c r="J347" s="5" t="n">
        <x:v>300</x:v>
      </x:c>
      <x:c r="K347" s="5" t="n">
        <x:v>255</x:v>
      </x:c>
      <x:c r="L347" s="5" t="inlineStr">
        <x:is>
          <x:t xml:space="preserve">기본</x:t>
        </x:is>
      </x:c>
      <x:c r="M347" s="5" t="n">
        <x:v>36</x:v>
      </x:c>
      <x:c r="N347" s="5" t="inlineStr">
        <x:is>
          <x:t xml:space="preserve">레벨</x:t>
        </x:is>
      </x:c>
      <x:c r="O347" s="5" t="inlineStr">
        <x:is>
          <x:t xml:space="preserve">예</x:t>
        </x:is>
      </x:c>
      <x:c r="P347" s="5" t="inlineStr">
        <x:is>
          <x:t xml:space="preserve">#cobblemon:is_badlands; #cobblemon:is_desert</x:t>
        </x:is>
      </x:c>
      <x:c r="Q347" s="5" t="inlineStr">
        <x:is>
          <x:t xml:space="preserve">uncommon</x:t>
        </x:is>
      </x:c>
      <x:c r="R347" s="5" t="inlineStr">
        <x:is>
          <x:t xml:space="preserve"/>
        </x:is>
      </x:c>
      <x:c r="S347" s="5" t="inlineStr">
        <x:is>
          <x:t xml:space="preserve"/>
        </x:is>
      </x:c>
      <x:c r="T347" s="5" t="inlineStr">
        <x:is>
          <x:t xml:space="preserve">인공</x:t>
        </x:is>
      </x:c>
      <x:c r="U347" s="5" t="inlineStr">
        <x:is>
          <x:t xml:space="preserve">건조</x:t>
        </x:is>
      </x:c>
      <x:c r="V347" s="5" t="inlineStr">
        <x:is>
          <x:t xml:space="preserve">고온</x:t>
        </x:is>
      </x:c>
      <x:c r="W347" s="5" t="inlineStr">
        <x:is>
          <x:t xml:space="preserve">건조</x:t>
        </x:is>
      </x:c>
      <x:c r="X347" s="5" t="inlineStr">
        <x:is>
          <x:t xml:space="preserve">맑음</x:t>
        </x:is>
      </x:c>
      <x:c r="Y347" s="5" t="inlineStr">
        <x:is>
          <x:t xml:space="preserve">무관</x:t>
        </x:is>
      </x:c>
      <x:c r="Z347" s="5" t="inlineStr">
        <x:is>
          <x:t xml:space="preserve">보통</x:t>
        </x:is>
      </x:c>
      <x:c r="AA347" s="5" t="inlineStr">
        <x:is>
          <x:t xml:space="preserve">도시</x:t>
        </x:is>
      </x:c>
      <x:c r="AB347" s="5" t="inlineStr">
        <x:is>
          <x:t xml:space="preserve">건조지</x:t>
        </x:is>
      </x:c>
      <x:c r="AC347" s="5" t="inlineStr">
        <x:is>
          <x:t xml:space="preserve">gen3</x:t>
        </x:is>
      </x:c>
      <x:c r="AD347" s="5" t="inlineStr">
        <x:is>
          <x:t xml:space="preserve">.tmp/cobblemon-1.7.3-source/common/src/main/resources/data/cobblemon/species/generation3/baltoy.json</x:t>
        </x:is>
      </x:c>
    </x:row>
    <x:row r="348" ht="22" customHeight="1">
      <x:c r="A348" s="5" t="n">
        <x:v>344</x:v>
      </x:c>
      <x:c r="B348" s="5" t="inlineStr">
        <x:is>
          <x:t xml:space="preserve">점토도리</x:t>
        </x:is>
      </x:c>
      <x:c r="C348" s="5" t="inlineStr">
        <x:is>
          <x:t xml:space="preserve">claydol</x:t>
        </x:is>
      </x:c>
      <x:c r="D348" s="5" t="inlineStr">
        <x:is>
          <x:t xml:space="preserve">Claydol</x:t>
        </x:is>
      </x:c>
      <x:c r="E348" s="5" t="n">
        <x:v>3</x:v>
      </x:c>
      <x:c r="F348" s="5" t="inlineStr">
        <x:is>
          <x:t xml:space="preserve">땅</x:t>
        </x:is>
      </x:c>
      <x:c r="G348" s="5" t="inlineStr">
        <x:is>
          <x:t xml:space="preserve">에스퍼</x:t>
        </x:is>
      </x:c>
      <x:c r="H348" s="5" t="n">
        <x:v>1.5</x:v>
      </x:c>
      <x:c r="I348" s="5" t="n">
        <x:v>108</x:v>
      </x:c>
      <x:c r="J348" s="5" t="n">
        <x:v>500</x:v>
      </x:c>
      <x:c r="K348" s="5" t="n">
        <x:v>90</x:v>
      </x:c>
      <x:c r="L348" s="5" t="inlineStr">
        <x:is>
          <x:t xml:space="preserve">최종</x:t>
        </x:is>
      </x:c>
      <x:c r="M348" s="5" t="n">
        <x:v>36</x:v>
      </x:c>
      <x:c r="N348" s="5" t="inlineStr">
        <x:is>
          <x:t xml:space="preserve">레벨</x:t>
        </x:is>
      </x:c>
      <x:c r="O348" s="5" t="inlineStr">
        <x:is>
          <x:t xml:space="preserve">예</x:t>
        </x:is>
      </x:c>
      <x:c r="P348" s="5" t="inlineStr">
        <x:is>
          <x:t xml:space="preserve">#cobblemon:is_badlands; #cobblemon:is_desert; #cobblemon:is_overworld</x:t>
        </x:is>
      </x:c>
      <x:c r="Q348" s="5" t="inlineStr">
        <x:is>
          <x:t xml:space="preserve">common; uncommon</x:t>
        </x:is>
      </x:c>
      <x:c r="R348" s="5" t="inlineStr">
        <x:is>
          <x:t xml:space="preserve"/>
        </x:is>
      </x:c>
      <x:c r="S348" s="5" t="inlineStr">
        <x:is>
          <x:t xml:space="preserve"/>
        </x:is>
      </x:c>
      <x:c r="T348" s="5" t="inlineStr">
        <x:is>
          <x:t xml:space="preserve">인공</x:t>
        </x:is>
      </x:c>
      <x:c r="U348" s="5" t="inlineStr">
        <x:is>
          <x:t xml:space="preserve">건조</x:t>
        </x:is>
      </x:c>
      <x:c r="V348" s="5" t="inlineStr">
        <x:is>
          <x:t xml:space="preserve">고온</x:t>
        </x:is>
      </x:c>
      <x:c r="W348" s="5" t="inlineStr">
        <x:is>
          <x:t xml:space="preserve">건조</x:t>
        </x:is>
      </x:c>
      <x:c r="X348" s="5" t="inlineStr">
        <x:is>
          <x:t xml:space="preserve">맑음</x:t>
        </x:is>
      </x:c>
      <x:c r="Y348" s="5" t="inlineStr">
        <x:is>
          <x:t xml:space="preserve">무관</x:t>
        </x:is>
      </x:c>
      <x:c r="Z348" s="5" t="inlineStr">
        <x:is>
          <x:t xml:space="preserve">보통</x:t>
        </x:is>
      </x:c>
      <x:c r="AA348" s="5" t="inlineStr">
        <x:is>
          <x:t xml:space="preserve">도시</x:t>
        </x:is>
      </x:c>
      <x:c r="AB348" s="5" t="inlineStr">
        <x:is>
          <x:t xml:space="preserve">건조지</x:t>
        </x:is>
      </x:c>
      <x:c r="AC348" s="5" t="inlineStr">
        <x:is>
          <x:t xml:space="preserve">gen3</x:t>
        </x:is>
      </x:c>
      <x:c r="AD348" s="5" t="inlineStr">
        <x:is>
          <x:t xml:space="preserve">.tmp/cobblemon-1.7.3-source/common/src/main/resources/data/cobblemon/species/generation3/claydol.json</x:t>
        </x:is>
      </x:c>
    </x:row>
    <x:row r="349" ht="22" customHeight="1">
      <x:c r="A349" s="5" t="n">
        <x:v>345</x:v>
      </x:c>
      <x:c r="B349" s="5" t="inlineStr">
        <x:is>
          <x:t xml:space="preserve">릴링</x:t>
        </x:is>
      </x:c>
      <x:c r="C349" s="5" t="inlineStr">
        <x:is>
          <x:t xml:space="preserve">lileep</x:t>
        </x:is>
      </x:c>
      <x:c r="D349" s="5" t="inlineStr">
        <x:is>
          <x:t xml:space="preserve">Lileep</x:t>
        </x:is>
      </x:c>
      <x:c r="E349" s="5" t="n">
        <x:v>3</x:v>
      </x:c>
      <x:c r="F349" s="5" t="inlineStr">
        <x:is>
          <x:t xml:space="preserve">바위</x:t>
        </x:is>
      </x:c>
      <x:c r="G349" s="5" t="inlineStr">
        <x:is>
          <x:t xml:space="preserve">풀</x:t>
        </x:is>
      </x:c>
      <x:c r="H349" s="5" t="n">
        <x:v>1</x:v>
      </x:c>
      <x:c r="I349" s="5" t="n">
        <x:v>23.8</x:v>
      </x:c>
      <x:c r="J349" s="5" t="n">
        <x:v>355</x:v>
      </x:c>
      <x:c r="K349" s="5" t="n">
        <x:v>45</x:v>
      </x:c>
      <x:c r="L349" s="5" t="inlineStr">
        <x:is>
          <x:t xml:space="preserve">기본</x:t>
        </x:is>
      </x:c>
      <x:c r="M349" s="5" t="n">
        <x:v>40</x:v>
      </x:c>
      <x:c r="N349" s="5" t="inlineStr">
        <x:is>
          <x:t xml:space="preserve">레벨</x:t>
        </x:is>
      </x:c>
      <x:c r="O349" s="5" t="inlineStr">
        <x:is>
          <x:t xml:space="preserve">예</x:t>
        </x:is>
      </x:c>
      <x:c r="P349" s="5" t="inlineStr">
        <x:is>
          <x:t xml:space="preserve">#cobblemon:is_lush</x:t>
        </x:is>
      </x:c>
      <x:c r="Q349" s="5" t="inlineStr">
        <x:is>
          <x:t xml:space="preserve">ultra-rare</x:t>
        </x:is>
      </x:c>
      <x:c r="R349" s="5" t="inlineStr">
        <x:is>
          <x:t xml:space="preserve"/>
        </x:is>
      </x:c>
      <x:c r="S349" s="5" t="inlineStr">
        <x:is>
          <x:t xml:space="preserve"/>
        </x:is>
      </x:c>
      <x:c r="T349" s="5" t="inlineStr">
        <x:is>
          <x:t xml:space="preserve">육상</x:t>
        </x:is>
      </x:c>
      <x:c r="U349" s="5" t="inlineStr">
        <x:is>
          <x:t xml:space="preserve">암석</x:t>
        </x:is>
      </x:c>
      <x:c r="V349" s="5" t="inlineStr">
        <x:is>
          <x:t xml:space="preserve">온대</x:t>
        </x:is>
      </x:c>
      <x:c r="W349" s="5" t="inlineStr">
        <x:is>
          <x:t xml:space="preserve">보통</x:t>
        </x:is>
      </x:c>
      <x:c r="X349" s="5" t="inlineStr">
        <x:is>
          <x:t xml:space="preserve">무관</x:t>
        </x:is>
      </x:c>
      <x:c r="Y349" s="5" t="inlineStr">
        <x:is>
          <x:t xml:space="preserve">무관</x:t>
        </x:is>
      </x:c>
      <x:c r="Z349" s="5" t="inlineStr">
        <x:is>
          <x:t xml:space="preserve">희귀</x:t>
        </x:is>
      </x:c>
      <x:c r="AA349" s="5" t="inlineStr">
        <x:is>
          <x:t xml:space="preserve">없음</x:t>
        </x:is>
      </x:c>
      <x:c r="AB349" s="5" t="inlineStr">
        <x:is>
          <x:t xml:space="preserve"/>
        </x:is>
      </x:c>
      <x:c r="AC349" s="5" t="inlineStr">
        <x:is>
          <x:t xml:space="preserve">fossil; gen3</x:t>
        </x:is>
      </x:c>
      <x:c r="AD349" s="5" t="inlineStr">
        <x:is>
          <x:t xml:space="preserve">.tmp/cobblemon-1.7.3-source/common/src/main/resources/data/cobblemon/species/generation3/lileep.json</x:t>
        </x:is>
      </x:c>
    </x:row>
    <x:row r="350" ht="22" customHeight="1">
      <x:c r="A350" s="5" t="n">
        <x:v>346</x:v>
      </x:c>
      <x:c r="B350" s="5" t="inlineStr">
        <x:is>
          <x:t xml:space="preserve">릴리요</x:t>
        </x:is>
      </x:c>
      <x:c r="C350" s="5" t="inlineStr">
        <x:is>
          <x:t xml:space="preserve">cradily</x:t>
        </x:is>
      </x:c>
      <x:c r="D350" s="5" t="inlineStr">
        <x:is>
          <x:t xml:space="preserve">Cradily</x:t>
        </x:is>
      </x:c>
      <x:c r="E350" s="5" t="n">
        <x:v>3</x:v>
      </x:c>
      <x:c r="F350" s="5" t="inlineStr">
        <x:is>
          <x:t xml:space="preserve">바위</x:t>
        </x:is>
      </x:c>
      <x:c r="G350" s="5" t="inlineStr">
        <x:is>
          <x:t xml:space="preserve">풀</x:t>
        </x:is>
      </x:c>
      <x:c r="H350" s="5" t="n">
        <x:v>1.5</x:v>
      </x:c>
      <x:c r="I350" s="5" t="n">
        <x:v>60.4</x:v>
      </x:c>
      <x:c r="J350" s="5" t="n">
        <x:v>495</x:v>
      </x:c>
      <x:c r="K350" s="5" t="n">
        <x:v>45</x:v>
      </x:c>
      <x:c r="L350" s="5" t="inlineStr">
        <x:is>
          <x:t xml:space="preserve">최종</x:t>
        </x:is>
      </x:c>
      <x:c r="M350" s="5" t="n">
        <x:v>40</x:v>
      </x:c>
      <x:c r="N350" s="5" t="inlineStr">
        <x:is>
          <x:t xml:space="preserve">레벨</x:t>
        </x:is>
      </x:c>
      <x:c r="O350" s="5" t="inlineStr">
        <x:is>
          <x:t xml:space="preserve">예</x:t>
        </x:is>
      </x:c>
      <x:c r="P350" s="5" t="inlineStr">
        <x:is>
          <x:t xml:space="preserve">#cobblemon:is_lush</x:t>
        </x:is>
      </x:c>
      <x:c r="Q350" s="5" t="inlineStr">
        <x:is>
          <x:t xml:space="preserve">ultra-rare</x:t>
        </x:is>
      </x:c>
      <x:c r="R350" s="5" t="inlineStr">
        <x:is>
          <x:t xml:space="preserve"/>
        </x:is>
      </x:c>
      <x:c r="S350" s="5" t="inlineStr">
        <x:is>
          <x:t xml:space="preserve"/>
        </x:is>
      </x:c>
      <x:c r="T350" s="5" t="inlineStr">
        <x:is>
          <x:t xml:space="preserve">육상</x:t>
        </x:is>
      </x:c>
      <x:c r="U350" s="5" t="inlineStr">
        <x:is>
          <x:t xml:space="preserve">암석</x:t>
        </x:is>
      </x:c>
      <x:c r="V350" s="5" t="inlineStr">
        <x:is>
          <x:t xml:space="preserve">온대</x:t>
        </x:is>
      </x:c>
      <x:c r="W350" s="5" t="inlineStr">
        <x:is>
          <x:t xml:space="preserve">보통</x:t>
        </x:is>
      </x:c>
      <x:c r="X350" s="5" t="inlineStr">
        <x:is>
          <x:t xml:space="preserve">무관</x:t>
        </x:is>
      </x:c>
      <x:c r="Y350" s="5" t="inlineStr">
        <x:is>
          <x:t xml:space="preserve">무관</x:t>
        </x:is>
      </x:c>
      <x:c r="Z350" s="5" t="inlineStr">
        <x:is>
          <x:t xml:space="preserve">희귀</x:t>
        </x:is>
      </x:c>
      <x:c r="AA350" s="5" t="inlineStr">
        <x:is>
          <x:t xml:space="preserve">없음</x:t>
        </x:is>
      </x:c>
      <x:c r="AB350" s="5" t="inlineStr">
        <x:is>
          <x:t xml:space="preserve"/>
        </x:is>
      </x:c>
      <x:c r="AC350" s="5" t="inlineStr">
        <x:is>
          <x:t xml:space="preserve">fossil; gen3</x:t>
        </x:is>
      </x:c>
      <x:c r="AD350" s="5" t="inlineStr">
        <x:is>
          <x:t xml:space="preserve">.tmp/cobblemon-1.7.3-source/common/src/main/resources/data/cobblemon/species/generation3/cradily.json</x:t>
        </x:is>
      </x:c>
    </x:row>
    <x:row r="351" ht="22" customHeight="1">
      <x:c r="A351" s="5" t="n">
        <x:v>347</x:v>
      </x:c>
      <x:c r="B351" s="5" t="inlineStr">
        <x:is>
          <x:t xml:space="preserve">아노딥스</x:t>
        </x:is>
      </x:c>
      <x:c r="C351" s="5" t="inlineStr">
        <x:is>
          <x:t xml:space="preserve">anorith</x:t>
        </x:is>
      </x:c>
      <x:c r="D351" s="5" t="inlineStr">
        <x:is>
          <x:t xml:space="preserve">Anorith</x:t>
        </x:is>
      </x:c>
      <x:c r="E351" s="5" t="n">
        <x:v>3</x:v>
      </x:c>
      <x:c r="F351" s="5" t="inlineStr">
        <x:is>
          <x:t xml:space="preserve">바위</x:t>
        </x:is>
      </x:c>
      <x:c r="G351" s="5" t="inlineStr">
        <x:is>
          <x:t xml:space="preserve">벌레</x:t>
        </x:is>
      </x:c>
      <x:c r="H351" s="5" t="n">
        <x:v>0.7</x:v>
      </x:c>
      <x:c r="I351" s="5" t="n">
        <x:v>12.5</x:v>
      </x:c>
      <x:c r="J351" s="5" t="n">
        <x:v>355</x:v>
      </x:c>
      <x:c r="K351" s="5" t="n">
        <x:v>45</x:v>
      </x:c>
      <x:c r="L351" s="5" t="inlineStr">
        <x:is>
          <x:t xml:space="preserve">기본</x:t>
        </x:is>
      </x:c>
      <x:c r="M351" s="5" t="n">
        <x:v>40</x:v>
      </x:c>
      <x:c r="N351" s="5" t="inlineStr">
        <x:is>
          <x:t xml:space="preserve">레벨</x:t>
        </x:is>
      </x:c>
      <x:c r="O351" s="5" t="inlineStr">
        <x:is>
          <x:t xml:space="preserve">예</x:t>
        </x:is>
      </x:c>
      <x:c r="P351" s="5" t="inlineStr">
        <x:is>
          <x:t xml:space="preserve">#cobblemon:is_lush</x:t>
        </x:is>
      </x:c>
      <x:c r="Q351" s="5" t="inlineStr">
        <x:is>
          <x:t xml:space="preserve">ultra-rare</x:t>
        </x:is>
      </x:c>
      <x:c r="R351" s="5" t="inlineStr">
        <x:is>
          <x:t xml:space="preserve"/>
        </x:is>
      </x:c>
      <x:c r="S351" s="5" t="inlineStr">
        <x:is>
          <x:t xml:space="preserve"/>
        </x:is>
      </x:c>
      <x:c r="T351" s="5" t="inlineStr">
        <x:is>
          <x:t xml:space="preserve">육상</x:t>
        </x:is>
      </x:c>
      <x:c r="U351" s="5" t="inlineStr">
        <x:is>
          <x:t xml:space="preserve">암석</x:t>
        </x:is>
      </x:c>
      <x:c r="V351" s="5" t="inlineStr">
        <x:is>
          <x:t xml:space="preserve">온대</x:t>
        </x:is>
      </x:c>
      <x:c r="W351" s="5" t="inlineStr">
        <x:is>
          <x:t xml:space="preserve">보통</x:t>
        </x:is>
      </x:c>
      <x:c r="X351" s="5" t="inlineStr">
        <x:is>
          <x:t xml:space="preserve">무관</x:t>
        </x:is>
      </x:c>
      <x:c r="Y351" s="5" t="inlineStr">
        <x:is>
          <x:t xml:space="preserve">무관</x:t>
        </x:is>
      </x:c>
      <x:c r="Z351" s="5" t="inlineStr">
        <x:is>
          <x:t xml:space="preserve">희귀</x:t>
        </x:is>
      </x:c>
      <x:c r="AA351" s="5" t="inlineStr">
        <x:is>
          <x:t xml:space="preserve">없음</x:t>
        </x:is>
      </x:c>
      <x:c r="AB351" s="5" t="inlineStr">
        <x:is>
          <x:t xml:space="preserve"/>
        </x:is>
      </x:c>
      <x:c r="AC351" s="5" t="inlineStr">
        <x:is>
          <x:t xml:space="preserve">fossil; gen3</x:t>
        </x:is>
      </x:c>
      <x:c r="AD351" s="5" t="inlineStr">
        <x:is>
          <x:t xml:space="preserve">.tmp/cobblemon-1.7.3-source/common/src/main/resources/data/cobblemon/species/generation3/anorith.json</x:t>
        </x:is>
      </x:c>
    </x:row>
    <x:row r="352" ht="22" customHeight="1">
      <x:c r="A352" s="5" t="n">
        <x:v>348</x:v>
      </x:c>
      <x:c r="B352" s="5" t="inlineStr">
        <x:is>
          <x:t xml:space="preserve">아말도</x:t>
        </x:is>
      </x:c>
      <x:c r="C352" s="5" t="inlineStr">
        <x:is>
          <x:t xml:space="preserve">armaldo</x:t>
        </x:is>
      </x:c>
      <x:c r="D352" s="5" t="inlineStr">
        <x:is>
          <x:t xml:space="preserve">Armaldo</x:t>
        </x:is>
      </x:c>
      <x:c r="E352" s="5" t="n">
        <x:v>3</x:v>
      </x:c>
      <x:c r="F352" s="5" t="inlineStr">
        <x:is>
          <x:t xml:space="preserve">바위</x:t>
        </x:is>
      </x:c>
      <x:c r="G352" s="5" t="inlineStr">
        <x:is>
          <x:t xml:space="preserve">벌레</x:t>
        </x:is>
      </x:c>
      <x:c r="H352" s="5" t="n">
        <x:v>1.5</x:v>
      </x:c>
      <x:c r="I352" s="5" t="n">
        <x:v>68.2</x:v>
      </x:c>
      <x:c r="J352" s="5" t="n">
        <x:v>495</x:v>
      </x:c>
      <x:c r="K352" s="5" t="n">
        <x:v>45</x:v>
      </x:c>
      <x:c r="L352" s="5" t="inlineStr">
        <x:is>
          <x:t xml:space="preserve">최종</x:t>
        </x:is>
      </x:c>
      <x:c r="M352" s="5" t="n">
        <x:v>40</x:v>
      </x:c>
      <x:c r="N352" s="5" t="inlineStr">
        <x:is>
          <x:t xml:space="preserve">레벨</x:t>
        </x:is>
      </x:c>
      <x:c r="O352" s="5" t="inlineStr">
        <x:is>
          <x:t xml:space="preserve">예</x:t>
        </x:is>
      </x:c>
      <x:c r="P352" s="5" t="inlineStr">
        <x:is>
          <x:t xml:space="preserve">#cobblemon:is_lush</x:t>
        </x:is>
      </x:c>
      <x:c r="Q352" s="5" t="inlineStr">
        <x:is>
          <x:t xml:space="preserve">ultra-rare</x:t>
        </x:is>
      </x:c>
      <x:c r="R352" s="5" t="inlineStr">
        <x:is>
          <x:t xml:space="preserve"/>
        </x:is>
      </x:c>
      <x:c r="S352" s="5" t="inlineStr">
        <x:is>
          <x:t xml:space="preserve"/>
        </x:is>
      </x:c>
      <x:c r="T352" s="5" t="inlineStr">
        <x:is>
          <x:t xml:space="preserve">육상</x:t>
        </x:is>
      </x:c>
      <x:c r="U352" s="5" t="inlineStr">
        <x:is>
          <x:t xml:space="preserve">암석</x:t>
        </x:is>
      </x:c>
      <x:c r="V352" s="5" t="inlineStr">
        <x:is>
          <x:t xml:space="preserve">온대</x:t>
        </x:is>
      </x:c>
      <x:c r="W352" s="5" t="inlineStr">
        <x:is>
          <x:t xml:space="preserve">보통</x:t>
        </x:is>
      </x:c>
      <x:c r="X352" s="5" t="inlineStr">
        <x:is>
          <x:t xml:space="preserve">무관</x:t>
        </x:is>
      </x:c>
      <x:c r="Y352" s="5" t="inlineStr">
        <x:is>
          <x:t xml:space="preserve">무관</x:t>
        </x:is>
      </x:c>
      <x:c r="Z352" s="5" t="inlineStr">
        <x:is>
          <x:t xml:space="preserve">희귀</x:t>
        </x:is>
      </x:c>
      <x:c r="AA352" s="5" t="inlineStr">
        <x:is>
          <x:t xml:space="preserve">없음</x:t>
        </x:is>
      </x:c>
      <x:c r="AB352" s="5" t="inlineStr">
        <x:is>
          <x:t xml:space="preserve"/>
        </x:is>
      </x:c>
      <x:c r="AC352" s="5" t="inlineStr">
        <x:is>
          <x:t xml:space="preserve">fossil; gen3</x:t>
        </x:is>
      </x:c>
      <x:c r="AD352" s="5" t="inlineStr">
        <x:is>
          <x:t xml:space="preserve">.tmp/cobblemon-1.7.3-source/common/src/main/resources/data/cobblemon/species/generation3/armaldo.json</x:t>
        </x:is>
      </x:c>
    </x:row>
    <x:row r="353" ht="22" customHeight="1">
      <x:c r="A353" s="5" t="n">
        <x:v>349</x:v>
      </x:c>
      <x:c r="B353" s="5" t="inlineStr">
        <x:is>
          <x:t xml:space="preserve">빈티나</x:t>
        </x:is>
      </x:c>
      <x:c r="C353" s="5" t="inlineStr">
        <x:is>
          <x:t xml:space="preserve">feebas</x:t>
        </x:is>
      </x:c>
      <x:c r="D353" s="5" t="inlineStr">
        <x:is>
          <x:t xml:space="preserve">Feebas</x:t>
        </x:is>
      </x:c>
      <x:c r="E353" s="5" t="n">
        <x:v>3</x:v>
      </x:c>
      <x:c r="F353" s="5" t="inlineStr">
        <x:is>
          <x:t xml:space="preserve">물</x:t>
        </x:is>
      </x:c>
      <x:c r="G353" s="5" t="inlineStr">
        <x:is>
          <x:t xml:space="preserve"/>
        </x:is>
      </x:c>
      <x:c r="H353" s="5" t="n">
        <x:v>0.6</x:v>
      </x:c>
      <x:c r="I353" s="5" t="n">
        <x:v>7.4</x:v>
      </x:c>
      <x:c r="J353" s="5" t="n">
        <x:v>200</x:v>
      </x:c>
      <x:c r="K353" s="5" t="n">
        <x:v>255</x:v>
      </x:c>
      <x:c r="L353" s="5" t="inlineStr">
        <x:is>
          <x:t xml:space="preserve">기본</x:t>
        </x:is>
      </x:c>
      <x:c r="M353" s="5" t="n"/>
      <x:c r="N353" s="5" t="inlineStr">
        <x:is>
          <x:t xml:space="preserve">특수</x:t>
        </x:is>
      </x:c>
      <x:c r="O353" s="5" t="inlineStr">
        <x:is>
          <x:t xml:space="preserve">예</x:t>
        </x:is>
      </x:c>
      <x:c r="P353" s="5" t="inlineStr">
        <x:is>
          <x:t xml:space="preserve">#cobblemon:is_overworld</x:t>
        </x:is>
      </x:c>
      <x:c r="Q353" s="5" t="inlineStr">
        <x:is>
          <x:t xml:space="preserve">common</x:t>
        </x:is>
      </x:c>
      <x:c r="R353" s="5" t="inlineStr">
        <x:is>
          <x:t xml:space="preserve"/>
        </x:is>
      </x:c>
      <x:c r="S353" s="5" t="inlineStr">
        <x:is>
          <x:t xml:space="preserve"/>
        </x:is>
      </x:c>
      <x:c r="T353" s="5" t="inlineStr">
        <x:is>
          <x:t xml:space="preserve">수륙</x:t>
        </x:is>
      </x:c>
      <x:c r="U353" s="5" t="inlineStr">
        <x:is>
          <x:t xml:space="preserve">담수</x:t>
        </x:is>
      </x:c>
      <x:c r="V353" s="5" t="inlineStr">
        <x:is>
          <x:t xml:space="preserve">온대</x:t>
        </x:is>
      </x:c>
      <x:c r="W353" s="5" t="inlineStr">
        <x:is>
          <x:t xml:space="preserve">보통</x:t>
        </x:is>
      </x:c>
      <x:c r="X353" s="5" t="inlineStr">
        <x:is>
          <x:t xml:space="preserve">무관</x:t>
        </x:is>
      </x:c>
      <x:c r="Y353" s="5" t="inlineStr">
        <x:is>
          <x:t xml:space="preserve">무관</x:t>
        </x:is>
      </x:c>
      <x:c r="Z353" s="5" t="inlineStr">
        <x:is>
          <x:t xml:space="preserve">흔함</x:t>
        </x:is>
      </x:c>
      <x:c r="AA353" s="5" t="inlineStr">
        <x:is>
          <x:t xml:space="preserve">없음</x:t>
        </x:is>
      </x:c>
      <x:c r="AB353" s="5" t="inlineStr">
        <x:is>
          <x:t xml:space="preserve"/>
        </x:is>
      </x:c>
      <x:c r="AC353" s="5" t="inlineStr">
        <x:is>
          <x:t xml:space="preserve">gen3</x:t>
        </x:is>
      </x:c>
      <x:c r="AD353" s="5" t="inlineStr">
        <x:is>
          <x:t xml:space="preserve">.tmp/cobblemon-1.7.3-source/common/src/main/resources/data/cobblemon/species/generation3/feebas.json</x:t>
        </x:is>
      </x:c>
    </x:row>
    <x:row r="354" ht="22" customHeight="1">
      <x:c r="A354" s="5" t="n">
        <x:v>350</x:v>
      </x:c>
      <x:c r="B354" s="5" t="inlineStr">
        <x:is>
          <x:t xml:space="preserve">밀로틱</x:t>
        </x:is>
      </x:c>
      <x:c r="C354" s="5" t="inlineStr">
        <x:is>
          <x:t xml:space="preserve">milotic</x:t>
        </x:is>
      </x:c>
      <x:c r="D354" s="5" t="inlineStr">
        <x:is>
          <x:t xml:space="preserve">Milotic</x:t>
        </x:is>
      </x:c>
      <x:c r="E354" s="5" t="n">
        <x:v>3</x:v>
      </x:c>
      <x:c r="F354" s="5" t="inlineStr">
        <x:is>
          <x:t xml:space="preserve">물</x:t>
        </x:is>
      </x:c>
      <x:c r="G354" s="5" t="inlineStr">
        <x:is>
          <x:t xml:space="preserve"/>
        </x:is>
      </x:c>
      <x:c r="H354" s="5" t="n">
        <x:v>6.2</x:v>
      </x:c>
      <x:c r="I354" s="5" t="n">
        <x:v>162</x:v>
      </x:c>
      <x:c r="J354" s="5" t="n">
        <x:v>540</x:v>
      </x:c>
      <x:c r="K354" s="5" t="n">
        <x:v>60</x:v>
      </x:c>
      <x:c r="L354" s="5" t="inlineStr">
        <x:is>
          <x:t xml:space="preserve">최종</x:t>
        </x:is>
      </x:c>
      <x:c r="M354" s="5" t="n"/>
      <x:c r="N354" s="5" t="inlineStr">
        <x:is>
          <x:t xml:space="preserve">특수</x:t>
        </x:is>
      </x:c>
      <x:c r="O354" s="5" t="inlineStr">
        <x:is>
          <x:t xml:space="preserve">예</x:t>
        </x:is>
      </x:c>
      <x:c r="P354" s="5" t="inlineStr">
        <x:is>
          <x:t xml:space="preserve">#cobblemon:is_overworld</x:t>
        </x:is>
      </x:c>
      <x:c r="Q354" s="5" t="inlineStr">
        <x:is>
          <x:t xml:space="preserve">common</x:t>
        </x:is>
      </x:c>
      <x:c r="R354" s="5" t="inlineStr">
        <x:is>
          <x:t xml:space="preserve"/>
        </x:is>
      </x:c>
      <x:c r="S354" s="5" t="inlineStr">
        <x:is>
          <x:t xml:space="preserve"/>
        </x:is>
      </x:c>
      <x:c r="T354" s="5" t="inlineStr">
        <x:is>
          <x:t xml:space="preserve">수륙</x:t>
        </x:is>
      </x:c>
      <x:c r="U354" s="5" t="inlineStr">
        <x:is>
          <x:t xml:space="preserve">담수</x:t>
        </x:is>
      </x:c>
      <x:c r="V354" s="5" t="inlineStr">
        <x:is>
          <x:t xml:space="preserve">온대</x:t>
        </x:is>
      </x:c>
      <x:c r="W354" s="5" t="inlineStr">
        <x:is>
          <x:t xml:space="preserve">보통</x:t>
        </x:is>
      </x:c>
      <x:c r="X354" s="5" t="inlineStr">
        <x:is>
          <x:t xml:space="preserve">무관</x:t>
        </x:is>
      </x:c>
      <x:c r="Y354" s="5" t="inlineStr">
        <x:is>
          <x:t xml:space="preserve">무관</x:t>
        </x:is>
      </x:c>
      <x:c r="Z354" s="5" t="inlineStr">
        <x:is>
          <x:t xml:space="preserve">흔함</x:t>
        </x:is>
      </x:c>
      <x:c r="AA354" s="5" t="inlineStr">
        <x:is>
          <x:t xml:space="preserve">없음</x:t>
        </x:is>
      </x:c>
      <x:c r="AB354" s="5" t="inlineStr">
        <x:is>
          <x:t xml:space="preserve"/>
        </x:is>
      </x:c>
      <x:c r="AC354" s="5" t="inlineStr">
        <x:is>
          <x:t xml:space="preserve">gen3</x:t>
        </x:is>
      </x:c>
      <x:c r="AD354" s="5" t="inlineStr">
        <x:is>
          <x:t xml:space="preserve">.tmp/cobblemon-1.7.3-source/common/src/main/resources/data/cobblemon/species/generation3/milotic.json</x:t>
        </x:is>
      </x:c>
    </x:row>
    <x:row r="355" ht="22" customHeight="1">
      <x:c r="A355" s="5" t="n">
        <x:v>351</x:v>
      </x:c>
      <x:c r="B355" s="5" t="inlineStr">
        <x:is>
          <x:t xml:space="preserve">캐스퐁</x:t>
        </x:is>
      </x:c>
      <x:c r="C355" s="5" t="inlineStr">
        <x:is>
          <x:t xml:space="preserve">castform</x:t>
        </x:is>
      </x:c>
      <x:c r="D355" s="5" t="inlineStr">
        <x:is>
          <x:t xml:space="preserve">Castform</x:t>
        </x:is>
      </x:c>
      <x:c r="E355" s="5" t="n">
        <x:v>3</x:v>
      </x:c>
      <x:c r="F355" s="5" t="inlineStr">
        <x:is>
          <x:t xml:space="preserve">노말</x:t>
        </x:is>
      </x:c>
      <x:c r="G355" s="5" t="inlineStr">
        <x:is>
          <x:t xml:space="preserve"/>
        </x:is>
      </x:c>
      <x:c r="H355" s="5" t="n">
        <x:v>0.3</x:v>
      </x:c>
      <x:c r="I355" s="5" t="n">
        <x:v>0.8</x:v>
      </x:c>
      <x:c r="J355" s="5" t="n">
        <x:v>420</x:v>
      </x:c>
      <x:c r="K355" s="5" t="n">
        <x:v>45</x:v>
      </x:c>
      <x:c r="L355" s="5" t="inlineStr">
        <x:is>
          <x:t xml:space="preserve">무진화</x:t>
        </x:is>
      </x:c>
      <x:c r="M355" s="5" t="n"/>
      <x:c r="N355" s="5" t="inlineStr">
        <x:is>
          <x:t xml:space="preserve">없음</x:t>
        </x:is>
      </x:c>
      <x:c r="O355" s="5" t="inlineStr">
        <x:is>
          <x:t xml:space="preserve">아니오</x:t>
        </x:is>
      </x:c>
      <x:c r="P355" s="5" t="inlineStr">
        <x:is>
          <x:t xml:space="preserve">#cobblemon:is_arid; #cobblemon:is_beach; #cobblemon:is_freezing; #cobblemon:is_plains; #minecraft:is_overworld</x:t>
        </x:is>
      </x:c>
      <x:c r="Q355" s="5" t="inlineStr">
        <x:is>
          <x:t xml:space="preserve">uncommon</x:t>
        </x:is>
      </x:c>
      <x:c r="R355" s="5" t="inlineStr">
        <x:is>
          <x:t xml:space="preserve">day</x:t>
        </x:is>
      </x:c>
      <x:c r="S355" s="5" t="inlineStr">
        <x:is>
          <x:t xml:space="preserve">비=False; 비=True</x:t>
        </x:is>
      </x:c>
      <x:c r="T355" s="5" t="inlineStr">
        <x:is>
          <x:t xml:space="preserve">인공</x:t>
        </x:is>
      </x:c>
      <x:c r="U355" s="5" t="inlineStr">
        <x:is>
          <x:t xml:space="preserve">해안·해양</x:t>
        </x:is>
      </x:c>
      <x:c r="V355" s="5" t="inlineStr">
        <x:is>
          <x:t xml:space="preserve">온대</x:t>
        </x:is>
      </x:c>
      <x:c r="W355" s="5" t="inlineStr">
        <x:is>
          <x:t xml:space="preserve">보통</x:t>
        </x:is>
      </x:c>
      <x:c r="X355" s="5" t="inlineStr">
        <x:is>
          <x:t xml:space="preserve">비</x:t>
        </x:is>
      </x:c>
      <x:c r="Y355" s="5" t="inlineStr">
        <x:is>
          <x:t xml:space="preserve">낮</x:t>
        </x:is>
      </x:c>
      <x:c r="Z355" s="5" t="inlineStr">
        <x:is>
          <x:t xml:space="preserve">보통</x:t>
        </x:is>
      </x:c>
      <x:c r="AA355" s="5" t="inlineStr">
        <x:is>
          <x:t xml:space="preserve">도시</x:t>
        </x:is>
      </x:c>
      <x:c r="AB355" s="5" t="inlineStr">
        <x:is>
          <x:t xml:space="preserve">해양</x:t>
        </x:is>
      </x:c>
      <x:c r="AC355" s="5" t="inlineStr">
        <x:is>
          <x:t xml:space="preserve">gen3</x:t>
        </x:is>
      </x:c>
      <x:c r="AD355" s="5" t="inlineStr">
        <x:is>
          <x:t xml:space="preserve">.tmp/cobblemon-1.7.3-source/common/src/main/resources/data/cobblemon/species/generation3/castform.json</x:t>
        </x:is>
      </x:c>
    </x:row>
    <x:row r="356" ht="22" customHeight="1">
      <x:c r="A356" s="5" t="n">
        <x:v>352</x:v>
      </x:c>
      <x:c r="B356" s="5" t="inlineStr">
        <x:is>
          <x:t xml:space="preserve">켈리몬</x:t>
        </x:is>
      </x:c>
      <x:c r="C356" s="5" t="inlineStr">
        <x:is>
          <x:t xml:space="preserve">kecleon</x:t>
        </x:is>
      </x:c>
      <x:c r="D356" s="5" t="inlineStr">
        <x:is>
          <x:t xml:space="preserve">Kecleon</x:t>
        </x:is>
      </x:c>
      <x:c r="E356" s="5" t="n">
        <x:v>3</x:v>
      </x:c>
      <x:c r="F356" s="5" t="inlineStr">
        <x:is>
          <x:t xml:space="preserve">노말</x:t>
        </x:is>
      </x:c>
      <x:c r="G356" s="5" t="inlineStr">
        <x:is>
          <x:t xml:space="preserve"/>
        </x:is>
      </x:c>
      <x:c r="H356" s="5" t="n">
        <x:v>1</x:v>
      </x:c>
      <x:c r="I356" s="5" t="n">
        <x:v>22</x:v>
      </x:c>
      <x:c r="J356" s="5" t="n">
        <x:v>440</x:v>
      </x:c>
      <x:c r="K356" s="5" t="n">
        <x:v>200</x:v>
      </x:c>
      <x:c r="L356" s="5" t="inlineStr">
        <x:is>
          <x:t xml:space="preserve">무진화</x:t>
        </x:is>
      </x:c>
      <x:c r="M356" s="5" t="n"/>
      <x:c r="N356" s="5" t="inlineStr">
        <x:is>
          <x:t xml:space="preserve">없음</x:t>
        </x:is>
      </x:c>
      <x:c r="O356" s="5" t="inlineStr">
        <x:is>
          <x:t xml:space="preserve">예</x:t>
        </x:is>
      </x:c>
      <x:c r="P356" s="5" t="inlineStr">
        <x:is>
          <x:t xml:space="preserve">#cobblemon:is_jungle; #cobblemon:is_tropical_island</x:t>
        </x:is>
      </x:c>
      <x:c r="Q356" s="5" t="inlineStr">
        <x:is>
          <x:t xml:space="preserve">uncommon</x:t>
        </x:is>
      </x:c>
      <x:c r="R356" s="5" t="inlineStr">
        <x:is>
          <x:t xml:space="preserve"/>
        </x:is>
      </x:c>
      <x:c r="S356" s="5" t="inlineStr">
        <x:is>
          <x:t xml:space="preserve"/>
        </x:is>
      </x:c>
      <x:c r="T356" s="5" t="inlineStr">
        <x:is>
          <x:t xml:space="preserve">육상</x:t>
        </x:is>
      </x:c>
      <x:c r="U356" s="5" t="inlineStr">
        <x:is>
          <x:t xml:space="preserve">수목</x:t>
        </x:is>
      </x:c>
      <x:c r="V356" s="5" t="inlineStr">
        <x:is>
          <x:t xml:space="preserve">온대</x:t>
        </x:is>
      </x:c>
      <x:c r="W356" s="5" t="inlineStr">
        <x:is>
          <x:t xml:space="preserve">다습</x:t>
        </x:is>
      </x:c>
      <x:c r="X356" s="5" t="inlineStr">
        <x:is>
          <x:t xml:space="preserve">무관</x:t>
        </x:is>
      </x:c>
      <x:c r="Y356" s="5" t="inlineStr">
        <x:is>
          <x:t xml:space="preserve">무관</x:t>
        </x:is>
      </x:c>
      <x:c r="Z356" s="5" t="inlineStr">
        <x:is>
          <x:t xml:space="preserve">보통</x:t>
        </x:is>
      </x:c>
      <x:c r="AA356" s="5" t="inlineStr">
        <x:is>
          <x:t xml:space="preserve">없음</x:t>
        </x:is>
      </x:c>
      <x:c r="AB356" s="5" t="inlineStr">
        <x:is>
          <x:t xml:space="preserve">숲</x:t>
        </x:is>
      </x:c>
      <x:c r="AC356" s="5" t="inlineStr">
        <x:is>
          <x:t xml:space="preserve">gen3</x:t>
        </x:is>
      </x:c>
      <x:c r="AD356" s="5" t="inlineStr">
        <x:is>
          <x:t xml:space="preserve">.tmp/cobblemon-1.7.3-source/common/src/main/resources/data/cobblemon/species/generation3/kecleon.json</x:t>
        </x:is>
      </x:c>
    </x:row>
    <x:row r="357" ht="22" customHeight="1">
      <x:c r="A357" s="5" t="n">
        <x:v>353</x:v>
      </x:c>
      <x:c r="B357" s="5" t="inlineStr">
        <x:is>
          <x:t xml:space="preserve">어둠대신</x:t>
        </x:is>
      </x:c>
      <x:c r="C357" s="5" t="inlineStr">
        <x:is>
          <x:t xml:space="preserve">shuppet</x:t>
        </x:is>
      </x:c>
      <x:c r="D357" s="5" t="inlineStr">
        <x:is>
          <x:t xml:space="preserve">Shuppet</x:t>
        </x:is>
      </x:c>
      <x:c r="E357" s="5" t="n">
        <x:v>3</x:v>
      </x:c>
      <x:c r="F357" s="5" t="inlineStr">
        <x:is>
          <x:t xml:space="preserve">고스트</x:t>
        </x:is>
      </x:c>
      <x:c r="G357" s="5" t="inlineStr">
        <x:is>
          <x:t xml:space="preserve"/>
        </x:is>
      </x:c>
      <x:c r="H357" s="5" t="n">
        <x:v>0.6</x:v>
      </x:c>
      <x:c r="I357" s="5" t="n">
        <x:v>2.3</x:v>
      </x:c>
      <x:c r="J357" s="5" t="n">
        <x:v>295</x:v>
      </x:c>
      <x:c r="K357" s="5" t="n">
        <x:v>225</x:v>
      </x:c>
      <x:c r="L357" s="5" t="inlineStr">
        <x:is>
          <x:t xml:space="preserve">기본</x:t>
        </x:is>
      </x:c>
      <x:c r="M357" s="5" t="n">
        <x:v>37</x:v>
      </x:c>
      <x:c r="N357" s="5" t="inlineStr">
        <x:is>
          <x:t xml:space="preserve">레벨</x:t>
        </x:is>
      </x:c>
      <x:c r="O357" s="5" t="inlineStr">
        <x:is>
          <x:t xml:space="preserve">예</x:t>
        </x:is>
      </x:c>
      <x:c r="P357" s="5" t="inlineStr">
        <x:is>
          <x:t xml:space="preserve">#cobblemon:is_overworld; #cobblemon:is_spooky</x:t>
        </x:is>
      </x:c>
      <x:c r="Q357" s="5" t="inlineStr">
        <x:is>
          <x:t xml:space="preserve">common; uncommon</x:t>
        </x:is>
      </x:c>
      <x:c r="R357" s="5" t="inlineStr">
        <x:is>
          <x:t xml:space="preserve">night</x:t>
        </x:is>
      </x:c>
      <x:c r="S357" s="5" t="inlineStr">
        <x:is>
          <x:t xml:space="preserve"/>
        </x:is>
      </x:c>
      <x:c r="T357" s="5" t="inlineStr">
        <x:is>
          <x:t xml:space="preserve">비행</x:t>
        </x:is>
      </x:c>
      <x:c r="U357" s="5" t="inlineStr">
        <x:is>
          <x:t xml:space="preserve">특수</x:t>
        </x:is>
      </x:c>
      <x:c r="V357" s="5" t="inlineStr">
        <x:is>
          <x:t xml:space="preserve">온대</x:t>
        </x:is>
      </x:c>
      <x:c r="W357" s="5" t="inlineStr">
        <x:is>
          <x:t xml:space="preserve">보통</x:t>
        </x:is>
      </x:c>
      <x:c r="X357" s="5" t="inlineStr">
        <x:is>
          <x:t xml:space="preserve">안개</x:t>
        </x:is>
      </x:c>
      <x:c r="Y357" s="5" t="inlineStr">
        <x:is>
          <x:t xml:space="preserve">밤</x:t>
        </x:is>
      </x:c>
      <x:c r="Z357" s="5" t="inlineStr">
        <x:is>
          <x:t xml:space="preserve">보통</x:t>
        </x:is>
      </x:c>
      <x:c r="AA357" s="5" t="inlineStr">
        <x:is>
          <x:t xml:space="preserve">영체</x:t>
        </x:is>
      </x:c>
      <x:c r="AB357" s="5" t="inlineStr">
        <x:is>
          <x:t xml:space="preserve">특수</x:t>
        </x:is>
      </x:c>
      <x:c r="AC357" s="5" t="inlineStr">
        <x:is>
          <x:t xml:space="preserve">gen3</x:t>
        </x:is>
      </x:c>
      <x:c r="AD357" s="5" t="inlineStr">
        <x:is>
          <x:t xml:space="preserve">.tmp/cobblemon-1.7.3-source/common/src/main/resources/data/cobblemon/species/generation3/shuppet.json</x:t>
        </x:is>
      </x:c>
    </x:row>
    <x:row r="358" ht="22" customHeight="1">
      <x:c r="A358" s="5" t="n">
        <x:v>354</x:v>
      </x:c>
      <x:c r="B358" s="5" t="inlineStr">
        <x:is>
          <x:t xml:space="preserve">다크펫</x:t>
        </x:is>
      </x:c>
      <x:c r="C358" s="5" t="inlineStr">
        <x:is>
          <x:t xml:space="preserve">banette</x:t>
        </x:is>
      </x:c>
      <x:c r="D358" s="5" t="inlineStr">
        <x:is>
          <x:t xml:space="preserve">Banette</x:t>
        </x:is>
      </x:c>
      <x:c r="E358" s="5" t="n">
        <x:v>3</x:v>
      </x:c>
      <x:c r="F358" s="5" t="inlineStr">
        <x:is>
          <x:t xml:space="preserve">고스트</x:t>
        </x:is>
      </x:c>
      <x:c r="G358" s="5" t="inlineStr">
        <x:is>
          <x:t xml:space="preserve"/>
        </x:is>
      </x:c>
      <x:c r="H358" s="5" t="n">
        <x:v>1.1</x:v>
      </x:c>
      <x:c r="I358" s="5" t="n">
        <x:v>12.5</x:v>
      </x:c>
      <x:c r="J358" s="5" t="n">
        <x:v>455</x:v>
      </x:c>
      <x:c r="K358" s="5" t="n">
        <x:v>45</x:v>
      </x:c>
      <x:c r="L358" s="5" t="inlineStr">
        <x:is>
          <x:t xml:space="preserve">최종</x:t>
        </x:is>
      </x:c>
      <x:c r="M358" s="5" t="n">
        <x:v>37</x:v>
      </x:c>
      <x:c r="N358" s="5" t="inlineStr">
        <x:is>
          <x:t xml:space="preserve">레벨</x:t>
        </x:is>
      </x:c>
      <x:c r="O358" s="5" t="inlineStr">
        <x:is>
          <x:t xml:space="preserve">예</x:t>
        </x:is>
      </x:c>
      <x:c r="P358" s="5" t="inlineStr">
        <x:is>
          <x:t xml:space="preserve">#cobblemon:is_overworld; #cobblemon:is_spooky</x:t>
        </x:is>
      </x:c>
      <x:c r="Q358" s="5" t="inlineStr">
        <x:is>
          <x:t xml:space="preserve">common; uncommon</x:t>
        </x:is>
      </x:c>
      <x:c r="R358" s="5" t="inlineStr">
        <x:is>
          <x:t xml:space="preserve">night</x:t>
        </x:is>
      </x:c>
      <x:c r="S358" s="5" t="inlineStr">
        <x:is>
          <x:t xml:space="preserve"/>
        </x:is>
      </x:c>
      <x:c r="T358" s="5" t="inlineStr">
        <x:is>
          <x:t xml:space="preserve">비행</x:t>
        </x:is>
      </x:c>
      <x:c r="U358" s="5" t="inlineStr">
        <x:is>
          <x:t xml:space="preserve">특수</x:t>
        </x:is>
      </x:c>
      <x:c r="V358" s="5" t="inlineStr">
        <x:is>
          <x:t xml:space="preserve">온대</x:t>
        </x:is>
      </x:c>
      <x:c r="W358" s="5" t="inlineStr">
        <x:is>
          <x:t xml:space="preserve">보통</x:t>
        </x:is>
      </x:c>
      <x:c r="X358" s="5" t="inlineStr">
        <x:is>
          <x:t xml:space="preserve">안개</x:t>
        </x:is>
      </x:c>
      <x:c r="Y358" s="5" t="inlineStr">
        <x:is>
          <x:t xml:space="preserve">밤</x:t>
        </x:is>
      </x:c>
      <x:c r="Z358" s="5" t="inlineStr">
        <x:is>
          <x:t xml:space="preserve">보통</x:t>
        </x:is>
      </x:c>
      <x:c r="AA358" s="5" t="inlineStr">
        <x:is>
          <x:t xml:space="preserve">영체</x:t>
        </x:is>
      </x:c>
      <x:c r="AB358" s="5" t="inlineStr">
        <x:is>
          <x:t xml:space="preserve">특수</x:t>
        </x:is>
      </x:c>
      <x:c r="AC358" s="5" t="inlineStr">
        <x:is>
          <x:t xml:space="preserve">gen3</x:t>
        </x:is>
      </x:c>
      <x:c r="AD358" s="5" t="inlineStr">
        <x:is>
          <x:t xml:space="preserve">.tmp/cobblemon-1.7.3-source/common/src/main/resources/data/cobblemon/species/generation3/banette.json</x:t>
        </x:is>
      </x:c>
    </x:row>
    <x:row r="359" ht="22" customHeight="1">
      <x:c r="A359" s="5" t="n">
        <x:v>355</x:v>
      </x:c>
      <x:c r="B359" s="5" t="inlineStr">
        <x:is>
          <x:t xml:space="preserve">해골몽</x:t>
        </x:is>
      </x:c>
      <x:c r="C359" s="5" t="inlineStr">
        <x:is>
          <x:t xml:space="preserve">duskull</x:t>
        </x:is>
      </x:c>
      <x:c r="D359" s="5" t="inlineStr">
        <x:is>
          <x:t xml:space="preserve">Duskull</x:t>
        </x:is>
      </x:c>
      <x:c r="E359" s="5" t="n">
        <x:v>3</x:v>
      </x:c>
      <x:c r="F359" s="5" t="inlineStr">
        <x:is>
          <x:t xml:space="preserve">고스트</x:t>
        </x:is>
      </x:c>
      <x:c r="G359" s="5" t="inlineStr">
        <x:is>
          <x:t xml:space="preserve"/>
        </x:is>
      </x:c>
      <x:c r="H359" s="5" t="n">
        <x:v>0.8</x:v>
      </x:c>
      <x:c r="I359" s="5" t="n">
        <x:v>15</x:v>
      </x:c>
      <x:c r="J359" s="5" t="n">
        <x:v>295</x:v>
      </x:c>
      <x:c r="K359" s="5" t="n">
        <x:v>190</x:v>
      </x:c>
      <x:c r="L359" s="5" t="inlineStr">
        <x:is>
          <x:t xml:space="preserve">기본</x:t>
        </x:is>
      </x:c>
      <x:c r="M359" s="5" t="n">
        <x:v>37</x:v>
      </x:c>
      <x:c r="N359" s="5" t="inlineStr">
        <x:is>
          <x:t xml:space="preserve">레벨·특수</x:t>
        </x:is>
      </x:c>
      <x:c r="O359" s="5" t="inlineStr">
        <x:is>
          <x:t xml:space="preserve">예</x:t>
        </x:is>
      </x:c>
      <x:c r="P359" s="5" t="inlineStr">
        <x:is>
          <x:t xml:space="preserve">#cobblemon:is_spooky; #cobblemon:nether/is_soul_sand</x:t>
        </x:is>
      </x:c>
      <x:c r="Q359" s="5" t="inlineStr">
        <x:is>
          <x:t xml:space="preserve">common</x:t>
        </x:is>
      </x:c>
      <x:c r="R359" s="5" t="inlineStr">
        <x:is>
          <x:t xml:space="preserve">night</x:t>
        </x:is>
      </x:c>
      <x:c r="S359" s="5" t="inlineStr">
        <x:is>
          <x:t xml:space="preserve"/>
        </x:is>
      </x:c>
      <x:c r="T359" s="5" t="inlineStr">
        <x:is>
          <x:t xml:space="preserve">비행</x:t>
        </x:is>
      </x:c>
      <x:c r="U359" s="5" t="inlineStr">
        <x:is>
          <x:t xml:space="preserve">특수</x:t>
        </x:is>
      </x:c>
      <x:c r="V359" s="5" t="inlineStr">
        <x:is>
          <x:t xml:space="preserve">온대</x:t>
        </x:is>
      </x:c>
      <x:c r="W359" s="5" t="inlineStr">
        <x:is>
          <x:t xml:space="preserve">보통</x:t>
        </x:is>
      </x:c>
      <x:c r="X359" s="5" t="inlineStr">
        <x:is>
          <x:t xml:space="preserve">안개</x:t>
        </x:is>
      </x:c>
      <x:c r="Y359" s="5" t="inlineStr">
        <x:is>
          <x:t xml:space="preserve">밤</x:t>
        </x:is>
      </x:c>
      <x:c r="Z359" s="5" t="inlineStr">
        <x:is>
          <x:t xml:space="preserve">흔함</x:t>
        </x:is>
      </x:c>
      <x:c r="AA359" s="5" t="inlineStr">
        <x:is>
          <x:t xml:space="preserve">영체</x:t>
        </x:is>
      </x:c>
      <x:c r="AB359" s="5" t="inlineStr">
        <x:is>
          <x:t xml:space="preserve">특수</x:t>
        </x:is>
      </x:c>
      <x:c r="AC359" s="5" t="inlineStr">
        <x:is>
          <x:t xml:space="preserve">gen3</x:t>
        </x:is>
      </x:c>
      <x:c r="AD359" s="5" t="inlineStr">
        <x:is>
          <x:t xml:space="preserve">.tmp/cobblemon-1.7.3-source/common/src/main/resources/data/cobblemon/species/generation3/duskull.json</x:t>
        </x:is>
      </x:c>
    </x:row>
    <x:row r="360" ht="22" customHeight="1">
      <x:c r="A360" s="5" t="n">
        <x:v>356</x:v>
      </x:c>
      <x:c r="B360" s="5" t="inlineStr">
        <x:is>
          <x:t xml:space="preserve">미라몽</x:t>
        </x:is>
      </x:c>
      <x:c r="C360" s="5" t="inlineStr">
        <x:is>
          <x:t xml:space="preserve">dusclops</x:t>
        </x:is>
      </x:c>
      <x:c r="D360" s="5" t="inlineStr">
        <x:is>
          <x:t xml:space="preserve">Dusclops</x:t>
        </x:is>
      </x:c>
      <x:c r="E360" s="5" t="n">
        <x:v>3</x:v>
      </x:c>
      <x:c r="F360" s="5" t="inlineStr">
        <x:is>
          <x:t xml:space="preserve">고스트</x:t>
        </x:is>
      </x:c>
      <x:c r="G360" s="5" t="inlineStr">
        <x:is>
          <x:t xml:space="preserve"/>
        </x:is>
      </x:c>
      <x:c r="H360" s="5" t="n">
        <x:v>1.6</x:v>
      </x:c>
      <x:c r="I360" s="5" t="n">
        <x:v>30.6</x:v>
      </x:c>
      <x:c r="J360" s="5" t="n">
        <x:v>455</x:v>
      </x:c>
      <x:c r="K360" s="5" t="n">
        <x:v>90</x:v>
      </x:c>
      <x:c r="L360" s="5" t="inlineStr">
        <x:is>
          <x:t xml:space="preserve">중간</x:t>
        </x:is>
      </x:c>
      <x:c r="M360" s="5" t="n">
        <x:v>37</x:v>
      </x:c>
      <x:c r="N360" s="5" t="inlineStr">
        <x:is>
          <x:t xml:space="preserve">레벨·특수</x:t>
        </x:is>
      </x:c>
      <x:c r="O360" s="5" t="inlineStr">
        <x:is>
          <x:t xml:space="preserve">예</x:t>
        </x:is>
      </x:c>
      <x:c r="P360" s="5" t="inlineStr">
        <x:is>
          <x:t xml:space="preserve">#cobblemon:is_spooky; #cobblemon:nether/is_soul_sand</x:t>
        </x:is>
      </x:c>
      <x:c r="Q360" s="5" t="inlineStr">
        <x:is>
          <x:t xml:space="preserve">common</x:t>
        </x:is>
      </x:c>
      <x:c r="R360" s="5" t="inlineStr">
        <x:is>
          <x:t xml:space="preserve">night</x:t>
        </x:is>
      </x:c>
      <x:c r="S360" s="5" t="inlineStr">
        <x:is>
          <x:t xml:space="preserve"/>
        </x:is>
      </x:c>
      <x:c r="T360" s="5" t="inlineStr">
        <x:is>
          <x:t xml:space="preserve">비행</x:t>
        </x:is>
      </x:c>
      <x:c r="U360" s="5" t="inlineStr">
        <x:is>
          <x:t xml:space="preserve">특수</x:t>
        </x:is>
      </x:c>
      <x:c r="V360" s="5" t="inlineStr">
        <x:is>
          <x:t xml:space="preserve">온대</x:t>
        </x:is>
      </x:c>
      <x:c r="W360" s="5" t="inlineStr">
        <x:is>
          <x:t xml:space="preserve">보통</x:t>
        </x:is>
      </x:c>
      <x:c r="X360" s="5" t="inlineStr">
        <x:is>
          <x:t xml:space="preserve">안개</x:t>
        </x:is>
      </x:c>
      <x:c r="Y360" s="5" t="inlineStr">
        <x:is>
          <x:t xml:space="preserve">밤</x:t>
        </x:is>
      </x:c>
      <x:c r="Z360" s="5" t="inlineStr">
        <x:is>
          <x:t xml:space="preserve">흔함</x:t>
        </x:is>
      </x:c>
      <x:c r="AA360" s="5" t="inlineStr">
        <x:is>
          <x:t xml:space="preserve">영체</x:t>
        </x:is>
      </x:c>
      <x:c r="AB360" s="5" t="inlineStr">
        <x:is>
          <x:t xml:space="preserve">특수</x:t>
        </x:is>
      </x:c>
      <x:c r="AC360" s="5" t="inlineStr">
        <x:is>
          <x:t xml:space="preserve">gen3</x:t>
        </x:is>
      </x:c>
      <x:c r="AD360" s="5" t="inlineStr">
        <x:is>
          <x:t xml:space="preserve">.tmp/cobblemon-1.7.3-source/common/src/main/resources/data/cobblemon/species/generation3/dusclops.json</x:t>
        </x:is>
      </x:c>
    </x:row>
    <x:row r="361" ht="22" customHeight="1">
      <x:c r="A361" s="5" t="n">
        <x:v>357</x:v>
      </x:c>
      <x:c r="B361" s="5" t="inlineStr">
        <x:is>
          <x:t xml:space="preserve">트로피우스</x:t>
        </x:is>
      </x:c>
      <x:c r="C361" s="5" t="inlineStr">
        <x:is>
          <x:t xml:space="preserve">tropius</x:t>
        </x:is>
      </x:c>
      <x:c r="D361" s="5" t="inlineStr">
        <x:is>
          <x:t xml:space="preserve">Tropius</x:t>
        </x:is>
      </x:c>
      <x:c r="E361" s="5" t="n">
        <x:v>3</x:v>
      </x:c>
      <x:c r="F361" s="5" t="inlineStr">
        <x:is>
          <x:t xml:space="preserve">풀</x:t>
        </x:is>
      </x:c>
      <x:c r="G361" s="5" t="inlineStr">
        <x:is>
          <x:t xml:space="preserve">비행</x:t>
        </x:is>
      </x:c>
      <x:c r="H361" s="5" t="n">
        <x:v>2</x:v>
      </x:c>
      <x:c r="I361" s="5" t="n">
        <x:v>100</x:v>
      </x:c>
      <x:c r="J361" s="5" t="n">
        <x:v>460</x:v>
      </x:c>
      <x:c r="K361" s="5" t="n">
        <x:v>200</x:v>
      </x:c>
      <x:c r="L361" s="5" t="inlineStr">
        <x:is>
          <x:t xml:space="preserve">무진화</x:t>
        </x:is>
      </x:c>
      <x:c r="M361" s="5" t="n"/>
      <x:c r="N361" s="5" t="inlineStr">
        <x:is>
          <x:t xml:space="preserve">없음</x:t>
        </x:is>
      </x:c>
      <x:c r="O361" s="5" t="inlineStr">
        <x:is>
          <x:t xml:space="preserve">예</x:t>
        </x:is>
      </x:c>
      <x:c r="P361" s="5" t="inlineStr">
        <x:is>
          <x:t xml:space="preserve">#aether:is_aether; #cobblemon:is_jungle</x:t>
        </x:is>
      </x:c>
      <x:c r="Q361" s="5" t="inlineStr">
        <x:is>
          <x:t xml:space="preserve">uncommon</x:t>
        </x:is>
      </x:c>
      <x:c r="R361" s="5" t="inlineStr">
        <x:is>
          <x:t xml:space="preserve"/>
        </x:is>
      </x:c>
      <x:c r="S361" s="5" t="inlineStr">
        <x:is>
          <x:t xml:space="preserve"/>
        </x:is>
      </x:c>
      <x:c r="T361" s="5" t="inlineStr">
        <x:is>
          <x:t xml:space="preserve">비행</x:t>
        </x:is>
      </x:c>
      <x:c r="U361" s="5" t="inlineStr">
        <x:is>
          <x:t xml:space="preserve">수목</x:t>
        </x:is>
      </x:c>
      <x:c r="V361" s="5" t="inlineStr">
        <x:is>
          <x:t xml:space="preserve">온대</x:t>
        </x:is>
      </x:c>
      <x:c r="W361" s="5" t="inlineStr">
        <x:is>
          <x:t xml:space="preserve">다습</x:t>
        </x:is>
      </x:c>
      <x:c r="X361" s="5" t="inlineStr">
        <x:is>
          <x:t xml:space="preserve">무관</x:t>
        </x:is>
      </x:c>
      <x:c r="Y361" s="5" t="inlineStr">
        <x:is>
          <x:t xml:space="preserve">무관</x:t>
        </x:is>
      </x:c>
      <x:c r="Z361" s="5" t="inlineStr">
        <x:is>
          <x:t xml:space="preserve">보통</x:t>
        </x:is>
      </x:c>
      <x:c r="AA361" s="5" t="inlineStr">
        <x:is>
          <x:t xml:space="preserve">없음</x:t>
        </x:is>
      </x:c>
      <x:c r="AB361" s="5" t="inlineStr">
        <x:is>
          <x:t xml:space="preserve">숲</x:t>
        </x:is>
      </x:c>
      <x:c r="AC361" s="5" t="inlineStr">
        <x:is>
          <x:t xml:space="preserve">gen3</x:t>
        </x:is>
      </x:c>
      <x:c r="AD361" s="5" t="inlineStr">
        <x:is>
          <x:t xml:space="preserve">.tmp/cobblemon-1.7.3-source/common/src/main/resources/data/cobblemon/species/generation3/tropius.json</x:t>
        </x:is>
      </x:c>
    </x:row>
    <x:row r="362" ht="22" customHeight="1">
      <x:c r="A362" s="5" t="n">
        <x:v>358</x:v>
      </x:c>
      <x:c r="B362" s="5" t="inlineStr">
        <x:is>
          <x:t xml:space="preserve">치렁</x:t>
        </x:is>
      </x:c>
      <x:c r="C362" s="5" t="inlineStr">
        <x:is>
          <x:t xml:space="preserve">chimecho</x:t>
        </x:is>
      </x:c>
      <x:c r="D362" s="5" t="inlineStr">
        <x:is>
          <x:t xml:space="preserve">Chimecho</x:t>
        </x:is>
      </x:c>
      <x:c r="E362" s="5" t="n">
        <x:v>3</x:v>
      </x:c>
      <x:c r="F362" s="5" t="inlineStr">
        <x:is>
          <x:t xml:space="preserve">에스퍼</x:t>
        </x:is>
      </x:c>
      <x:c r="G362" s="5" t="inlineStr">
        <x:is>
          <x:t xml:space="preserve"/>
        </x:is>
      </x:c>
      <x:c r="H362" s="5" t="n">
        <x:v>0.6</x:v>
      </x:c>
      <x:c r="I362" s="5" t="n">
        <x:v>1</x:v>
      </x:c>
      <x:c r="J362" s="5" t="n">
        <x:v>455</x:v>
      </x:c>
      <x:c r="K362" s="5" t="n">
        <x:v>45</x:v>
      </x:c>
      <x:c r="L362" s="5" t="inlineStr">
        <x:is>
          <x:t xml:space="preserve">최종</x:t>
        </x:is>
      </x:c>
      <x:c r="M362" s="5" t="n"/>
      <x:c r="N362" s="5" t="inlineStr">
        <x:is>
          <x:t xml:space="preserve">특수</x:t>
        </x:is>
      </x:c>
      <x:c r="O362" s="5" t="inlineStr">
        <x:is>
          <x:t xml:space="preserve">예</x:t>
        </x:is>
      </x:c>
      <x:c r="P362" s="5" t="inlineStr">
        <x:is>
          <x:t xml:space="preserve">#cobblemon:is_forest; #cobblemon:is_magical; #cobblemon:is_mountain; #cobblemon:is_overworld; #cobblemon:is_spooky; #cobblemon:is_taiga</x:t>
        </x:is>
      </x:c>
      <x:c r="Q362" s="5" t="inlineStr">
        <x:is>
          <x:t xml:space="preserve">uncommon</x:t>
        </x:is>
      </x:c>
      <x:c r="R362" s="5" t="inlineStr">
        <x:is>
          <x:t xml:space="preserve">night</x:t>
        </x:is>
      </x:c>
      <x:c r="S362" s="5" t="inlineStr">
        <x:is>
          <x:t xml:space="preserve"/>
        </x:is>
      </x:c>
      <x:c r="T362" s="5" t="inlineStr">
        <x:is>
          <x:t xml:space="preserve">비행</x:t>
        </x:is>
      </x:c>
      <x:c r="U362" s="5" t="inlineStr">
        <x:is>
          <x:t xml:space="preserve">수목</x:t>
        </x:is>
      </x:c>
      <x:c r="V362" s="5" t="inlineStr">
        <x:is>
          <x:t xml:space="preserve">서늘</x:t>
        </x:is>
      </x:c>
      <x:c r="W362" s="5" t="inlineStr">
        <x:is>
          <x:t xml:space="preserve">보통</x:t>
        </x:is>
      </x:c>
      <x:c r="X362" s="5" t="inlineStr">
        <x:is>
          <x:t xml:space="preserve">무관</x:t>
        </x:is>
      </x:c>
      <x:c r="Y362" s="5" t="inlineStr">
        <x:is>
          <x:t xml:space="preserve">밤</x:t>
        </x:is>
      </x:c>
      <x:c r="Z362" s="5" t="inlineStr">
        <x:is>
          <x:t xml:space="preserve">보통</x:t>
        </x:is>
      </x:c>
      <x:c r="AA362" s="5" t="inlineStr">
        <x:is>
          <x:t xml:space="preserve">영체</x:t>
        </x:is>
      </x:c>
      <x:c r="AB362" s="5" t="inlineStr">
        <x:is>
          <x:t xml:space="preserve">숲</x:t>
        </x:is>
      </x:c>
      <x:c r="AC362" s="5" t="inlineStr">
        <x:is>
          <x:t xml:space="preserve">gen3</x:t>
        </x:is>
      </x:c>
      <x:c r="AD362" s="5" t="inlineStr">
        <x:is>
          <x:t xml:space="preserve">.tmp/cobblemon-1.7.3-source/common/src/main/resources/data/cobblemon/species/generation3/chimecho.json</x:t>
        </x:is>
      </x:c>
    </x:row>
    <x:row r="363" ht="22" customHeight="1">
      <x:c r="A363" s="5" t="n">
        <x:v>359</x:v>
      </x:c>
      <x:c r="B363" s="5" t="inlineStr">
        <x:is>
          <x:t xml:space="preserve">앱솔</x:t>
        </x:is>
      </x:c>
      <x:c r="C363" s="5" t="inlineStr">
        <x:is>
          <x:t xml:space="preserve">absol</x:t>
        </x:is>
      </x:c>
      <x:c r="D363" s="5" t="inlineStr">
        <x:is>
          <x:t xml:space="preserve">Absol</x:t>
        </x:is>
      </x:c>
      <x:c r="E363" s="5" t="n">
        <x:v>3</x:v>
      </x:c>
      <x:c r="F363" s="5" t="inlineStr">
        <x:is>
          <x:t xml:space="preserve">악</x:t>
        </x:is>
      </x:c>
      <x:c r="G363" s="5" t="inlineStr">
        <x:is>
          <x:t xml:space="preserve"/>
        </x:is>
      </x:c>
      <x:c r="H363" s="5" t="n">
        <x:v>1.2</x:v>
      </x:c>
      <x:c r="I363" s="5" t="n">
        <x:v>47</x:v>
      </x:c>
      <x:c r="J363" s="5" t="n">
        <x:v>465</x:v>
      </x:c>
      <x:c r="K363" s="5" t="n">
        <x:v>30</x:v>
      </x:c>
      <x:c r="L363" s="5" t="inlineStr">
        <x:is>
          <x:t xml:space="preserve">무진화</x:t>
        </x:is>
      </x:c>
      <x:c r="M363" s="5" t="n"/>
      <x:c r="N363" s="5" t="inlineStr">
        <x:is>
          <x:t xml:space="preserve">없음</x:t>
        </x:is>
      </x:c>
      <x:c r="O363" s="5" t="inlineStr">
        <x:is>
          <x:t xml:space="preserve">예</x:t>
        </x:is>
      </x:c>
      <x:c r="P363" s="5" t="inlineStr">
        <x:is>
          <x:t xml:space="preserve">#cobblemon:is_mountain; #cobblemon:is_snowy_forest; #cobblemon:is_taiga</x:t>
        </x:is>
      </x:c>
      <x:c r="Q363" s="5" t="inlineStr">
        <x:is>
          <x:t xml:space="preserve">rare</x:t>
        </x:is>
      </x:c>
      <x:c r="R363" s="5" t="inlineStr">
        <x:is>
          <x:t xml:space="preserve"/>
        </x:is>
      </x:c>
      <x:c r="S363" s="5" t="inlineStr">
        <x:is>
          <x:t xml:space="preserve"/>
        </x:is>
      </x:c>
      <x:c r="T363" s="5" t="inlineStr">
        <x:is>
          <x:t xml:space="preserve">육상</x:t>
        </x:is>
      </x:c>
      <x:c r="U363" s="5" t="inlineStr">
        <x:is>
          <x:t xml:space="preserve">수목</x:t>
        </x:is>
      </x:c>
      <x:c r="V363" s="5" t="inlineStr">
        <x:is>
          <x:t xml:space="preserve">서늘</x:t>
        </x:is>
      </x:c>
      <x:c r="W363" s="5" t="inlineStr">
        <x:is>
          <x:t xml:space="preserve">보통</x:t>
        </x:is>
      </x:c>
      <x:c r="X363" s="5" t="inlineStr">
        <x:is>
          <x:t xml:space="preserve">무관</x:t>
        </x:is>
      </x:c>
      <x:c r="Y363" s="5" t="inlineStr">
        <x:is>
          <x:t xml:space="preserve">밤</x:t>
        </x:is>
      </x:c>
      <x:c r="Z363" s="5" t="inlineStr">
        <x:is>
          <x:t xml:space="preserve">드묾</x:t>
        </x:is>
      </x:c>
      <x:c r="AA363" s="5" t="inlineStr">
        <x:is>
          <x:t xml:space="preserve">없음</x:t>
        </x:is>
      </x:c>
      <x:c r="AB363" s="5" t="inlineStr">
        <x:is>
          <x:t xml:space="preserve">숲</x:t>
        </x:is>
      </x:c>
      <x:c r="AC363" s="5" t="inlineStr">
        <x:is>
          <x:t xml:space="preserve">gen3</x:t>
        </x:is>
      </x:c>
      <x:c r="AD363" s="5" t="inlineStr">
        <x:is>
          <x:t xml:space="preserve">.tmp/cobblemon-1.7.3-source/common/src/main/resources/data/cobblemon/species/generation3/absol.json</x:t>
        </x:is>
      </x:c>
    </x:row>
    <x:row r="364" ht="22" customHeight="1">
      <x:c r="A364" s="5" t="n">
        <x:v>360</x:v>
      </x:c>
      <x:c r="B364" s="5" t="inlineStr">
        <x:is>
          <x:t xml:space="preserve">마자</x:t>
        </x:is>
      </x:c>
      <x:c r="C364" s="5" t="inlineStr">
        <x:is>
          <x:t xml:space="preserve">wynaut</x:t>
        </x:is>
      </x:c>
      <x:c r="D364" s="5" t="inlineStr">
        <x:is>
          <x:t xml:space="preserve">Wynaut</x:t>
        </x:is>
      </x:c>
      <x:c r="E364" s="5" t="n">
        <x:v>3</x:v>
      </x:c>
      <x:c r="F364" s="5" t="inlineStr">
        <x:is>
          <x:t xml:space="preserve">에스퍼</x:t>
        </x:is>
      </x:c>
      <x:c r="G364" s="5" t="inlineStr">
        <x:is>
          <x:t xml:space="preserve"/>
        </x:is>
      </x:c>
      <x:c r="H364" s="5" t="n">
        <x:v>0.6</x:v>
      </x:c>
      <x:c r="I364" s="5" t="n">
        <x:v>14</x:v>
      </x:c>
      <x:c r="J364" s="5" t="n">
        <x:v>260</x:v>
      </x:c>
      <x:c r="K364" s="5" t="n">
        <x:v>125</x:v>
      </x:c>
      <x:c r="L364" s="5" t="inlineStr">
        <x:is>
          <x:t xml:space="preserve">기본</x:t>
        </x:is>
      </x:c>
      <x:c r="M364" s="5" t="n">
        <x:v>15</x:v>
      </x:c>
      <x:c r="N364" s="5" t="inlineStr">
        <x:is>
          <x:t xml:space="preserve">레벨</x:t>
        </x:is>
      </x:c>
      <x:c r="O364" s="5" t="inlineStr">
        <x:is>
          <x:t xml:space="preserve">예</x:t>
        </x:is>
      </x:c>
      <x:c r="P364" s="5" t="inlineStr">
        <x:is>
          <x:t xml:space="preserve">#cobblemon:is_plains</x:t>
        </x:is>
      </x:c>
      <x:c r="Q364" s="5" t="inlineStr">
        <x:is>
          <x:t xml:space="preserve">rare</x:t>
        </x:is>
      </x:c>
      <x:c r="R364" s="5" t="inlineStr">
        <x:is>
          <x:t xml:space="preserve"/>
        </x:is>
      </x:c>
      <x:c r="S364" s="5" t="inlineStr">
        <x:is>
          <x:t xml:space="preserve"/>
        </x:is>
      </x:c>
      <x:c r="T364" s="5" t="inlineStr">
        <x:is>
          <x:t xml:space="preserve">육상</x:t>
        </x:is>
      </x:c>
      <x:c r="U364" s="5" t="inlineStr">
        <x:is>
          <x:t xml:space="preserve">개활지</x:t>
        </x:is>
      </x:c>
      <x:c r="V364" s="5" t="inlineStr">
        <x:is>
          <x:t xml:space="preserve">온대</x:t>
        </x:is>
      </x:c>
      <x:c r="W364" s="5" t="inlineStr">
        <x:is>
          <x:t xml:space="preserve">보통</x:t>
        </x:is>
      </x:c>
      <x:c r="X364" s="5" t="inlineStr">
        <x:is>
          <x:t xml:space="preserve">무관</x:t>
        </x:is>
      </x:c>
      <x:c r="Y364" s="5" t="inlineStr">
        <x:is>
          <x:t xml:space="preserve">무관</x:t>
        </x:is>
      </x:c>
      <x:c r="Z364" s="5" t="inlineStr">
        <x:is>
          <x:t xml:space="preserve">드묾</x:t>
        </x:is>
      </x:c>
      <x:c r="AA364" s="5" t="inlineStr">
        <x:is>
          <x:t xml:space="preserve">없음</x:t>
        </x:is>
      </x:c>
      <x:c r="AB364" s="5" t="inlineStr">
        <x:is>
          <x:t xml:space="preserve">평원</x:t>
        </x:is>
      </x:c>
      <x:c r="AC364" s="5" t="inlineStr">
        <x:is>
          <x:t xml:space="preserve">baby; gen3</x:t>
        </x:is>
      </x:c>
      <x:c r="AD364" s="5" t="inlineStr">
        <x:is>
          <x:t xml:space="preserve">.tmp/cobblemon-1.7.3-source/common/src/main/resources/data/cobblemon/species/generation3/wynaut.json</x:t>
        </x:is>
      </x:c>
    </x:row>
    <x:row r="365" ht="22" customHeight="1">
      <x:c r="A365" s="5" t="n">
        <x:v>361</x:v>
      </x:c>
      <x:c r="B365" s="5" t="inlineStr">
        <x:is>
          <x:t xml:space="preserve">눈꼬마</x:t>
        </x:is>
      </x:c>
      <x:c r="C365" s="5" t="inlineStr">
        <x:is>
          <x:t xml:space="preserve">snorunt</x:t>
        </x:is>
      </x:c>
      <x:c r="D365" s="5" t="inlineStr">
        <x:is>
          <x:t xml:space="preserve">Snorunt</x:t>
        </x:is>
      </x:c>
      <x:c r="E365" s="5" t="n">
        <x:v>3</x:v>
      </x:c>
      <x:c r="F365" s="5" t="inlineStr">
        <x:is>
          <x:t xml:space="preserve">얼음</x:t>
        </x:is>
      </x:c>
      <x:c r="G365" s="5" t="inlineStr">
        <x:is>
          <x:t xml:space="preserve"/>
        </x:is>
      </x:c>
      <x:c r="H365" s="5" t="n">
        <x:v>0.7</x:v>
      </x:c>
      <x:c r="I365" s="5" t="n">
        <x:v>16.8</x:v>
      </x:c>
      <x:c r="J365" s="5" t="n">
        <x:v>300</x:v>
      </x:c>
      <x:c r="K365" s="5" t="n">
        <x:v>190</x:v>
      </x:c>
      <x:c r="L365" s="5" t="inlineStr">
        <x:is>
          <x:t xml:space="preserve">기본</x:t>
        </x:is>
      </x:c>
      <x:c r="M365" s="5" t="n">
        <x:v>42</x:v>
      </x:c>
      <x:c r="N365" s="5" t="inlineStr">
        <x:is>
          <x:t xml:space="preserve">레벨·특수</x:t>
        </x:is>
      </x:c>
      <x:c r="O365" s="5" t="inlineStr">
        <x:is>
          <x:t xml:space="preserve">예</x:t>
        </x:is>
      </x:c>
      <x:c r="P365" s="5" t="inlineStr">
        <x:is>
          <x:t xml:space="preserve">#cobblemon:is_glacial; #cobblemon:is_overworld; #cobblemon:is_snowy; #cobblemon:is_tundra; #cobblemon:nether/is_frozen</x:t>
        </x:is>
      </x:c>
      <x:c r="Q365" s="5" t="inlineStr">
        <x:is>
          <x:t xml:space="preserve">common; uncommon</x:t>
        </x:is>
      </x:c>
      <x:c r="R365" s="5" t="inlineStr">
        <x:is>
          <x:t xml:space="preserve"/>
        </x:is>
      </x:c>
      <x:c r="S365" s="5" t="inlineStr">
        <x:is>
          <x:t xml:space="preserve"/>
        </x:is>
      </x:c>
      <x:c r="T365" s="5" t="inlineStr">
        <x:is>
          <x:t xml:space="preserve">육상</x:t>
        </x:is>
      </x:c>
      <x:c r="U365" s="5" t="inlineStr">
        <x:is>
          <x:t xml:space="preserve">설원</x:t>
        </x:is>
      </x:c>
      <x:c r="V365" s="5" t="inlineStr">
        <x:is>
          <x:t xml:space="preserve">한랭</x:t>
        </x:is>
      </x:c>
      <x:c r="W365" s="5" t="inlineStr">
        <x:is>
          <x:t xml:space="preserve">보통</x:t>
        </x:is>
      </x:c>
      <x:c r="X365" s="5" t="inlineStr">
        <x:is>
          <x:t xml:space="preserve">눈</x:t>
        </x:is>
      </x:c>
      <x:c r="Y365" s="5" t="inlineStr">
        <x:is>
          <x:t xml:space="preserve">무관</x:t>
        </x:is>
      </x:c>
      <x:c r="Z365" s="5" t="inlineStr">
        <x:is>
          <x:t xml:space="preserve">보통</x:t>
        </x:is>
      </x:c>
      <x:c r="AA365" s="5" t="inlineStr">
        <x:is>
          <x:t xml:space="preserve">없음</x:t>
        </x:is>
      </x:c>
      <x:c r="AB365" s="5" t="inlineStr">
        <x:is>
          <x:t xml:space="preserve">설원</x:t>
        </x:is>
      </x:c>
      <x:c r="AC365" s="5" t="inlineStr">
        <x:is>
          <x:t xml:space="preserve">gen3</x:t>
        </x:is>
      </x:c>
      <x:c r="AD365" s="5" t="inlineStr">
        <x:is>
          <x:t xml:space="preserve">.tmp/cobblemon-1.7.3-source/common/src/main/resources/data/cobblemon/species/generation3/snorunt.json</x:t>
        </x:is>
      </x:c>
    </x:row>
    <x:row r="366" ht="22" customHeight="1">
      <x:c r="A366" s="5" t="n">
        <x:v>362</x:v>
      </x:c>
      <x:c r="B366" s="5" t="inlineStr">
        <x:is>
          <x:t xml:space="preserve">얼음귀신</x:t>
        </x:is>
      </x:c>
      <x:c r="C366" s="5" t="inlineStr">
        <x:is>
          <x:t xml:space="preserve">glalie</x:t>
        </x:is>
      </x:c>
      <x:c r="D366" s="5" t="inlineStr">
        <x:is>
          <x:t xml:space="preserve">Glalie</x:t>
        </x:is>
      </x:c>
      <x:c r="E366" s="5" t="n">
        <x:v>3</x:v>
      </x:c>
      <x:c r="F366" s="5" t="inlineStr">
        <x:is>
          <x:t xml:space="preserve">얼음</x:t>
        </x:is>
      </x:c>
      <x:c r="G366" s="5" t="inlineStr">
        <x:is>
          <x:t xml:space="preserve"/>
        </x:is>
      </x:c>
      <x:c r="H366" s="5" t="n">
        <x:v>1.5</x:v>
      </x:c>
      <x:c r="I366" s="5" t="n">
        <x:v>256.5</x:v>
      </x:c>
      <x:c r="J366" s="5" t="n">
        <x:v>480</x:v>
      </x:c>
      <x:c r="K366" s="5" t="n">
        <x:v>75</x:v>
      </x:c>
      <x:c r="L366" s="5" t="inlineStr">
        <x:is>
          <x:t xml:space="preserve">최종</x:t>
        </x:is>
      </x:c>
      <x:c r="M366" s="5" t="n">
        <x:v>42</x:v>
      </x:c>
      <x:c r="N366" s="5" t="inlineStr">
        <x:is>
          <x:t xml:space="preserve">레벨·특수</x:t>
        </x:is>
      </x:c>
      <x:c r="O366" s="5" t="inlineStr">
        <x:is>
          <x:t xml:space="preserve">예</x:t>
        </x:is>
      </x:c>
      <x:c r="P366" s="5" t="inlineStr">
        <x:is>
          <x:t xml:space="preserve">#cobblemon:is_glacial; #cobblemon:is_snowy_forest; #cobblemon:is_tundra; #cobblemon:nether/is_frozen</x:t>
        </x:is>
      </x:c>
      <x:c r="Q366" s="5" t="inlineStr">
        <x:is>
          <x:t xml:space="preserve">uncommon</x:t>
        </x:is>
      </x:c>
      <x:c r="R366" s="5" t="inlineStr">
        <x:is>
          <x:t xml:space="preserve"/>
        </x:is>
      </x:c>
      <x:c r="S366" s="5" t="inlineStr">
        <x:is>
          <x:t xml:space="preserve">비=False</x:t>
        </x:is>
      </x:c>
      <x:c r="T366" s="5" t="inlineStr">
        <x:is>
          <x:t xml:space="preserve">비행</x:t>
        </x:is>
      </x:c>
      <x:c r="U366" s="5" t="inlineStr">
        <x:is>
          <x:t xml:space="preserve">설원</x:t>
        </x:is>
      </x:c>
      <x:c r="V366" s="5" t="inlineStr">
        <x:is>
          <x:t xml:space="preserve">한랭</x:t>
        </x:is>
      </x:c>
      <x:c r="W366" s="5" t="inlineStr">
        <x:is>
          <x:t xml:space="preserve">보통</x:t>
        </x:is>
      </x:c>
      <x:c r="X366" s="5" t="inlineStr">
        <x:is>
          <x:t xml:space="preserve">눈</x:t>
        </x:is>
      </x:c>
      <x:c r="Y366" s="5" t="inlineStr">
        <x:is>
          <x:t xml:space="preserve">무관</x:t>
        </x:is>
      </x:c>
      <x:c r="Z366" s="5" t="inlineStr">
        <x:is>
          <x:t xml:space="preserve">보통</x:t>
        </x:is>
      </x:c>
      <x:c r="AA366" s="5" t="inlineStr">
        <x:is>
          <x:t xml:space="preserve">없음</x:t>
        </x:is>
      </x:c>
      <x:c r="AB366" s="5" t="inlineStr">
        <x:is>
          <x:t xml:space="preserve">설원</x:t>
        </x:is>
      </x:c>
      <x:c r="AC366" s="5" t="inlineStr">
        <x:is>
          <x:t xml:space="preserve">gen3</x:t>
        </x:is>
      </x:c>
      <x:c r="AD366" s="5" t="inlineStr">
        <x:is>
          <x:t xml:space="preserve">.tmp/cobblemon-1.7.3-source/common/src/main/resources/data/cobblemon/species/generation3/glalie.json</x:t>
        </x:is>
      </x:c>
    </x:row>
    <x:row r="367" ht="22" customHeight="1">
      <x:c r="A367" s="5" t="n">
        <x:v>363</x:v>
      </x:c>
      <x:c r="B367" s="5" t="inlineStr">
        <x:is>
          <x:t xml:space="preserve">대굴레오</x:t>
        </x:is>
      </x:c>
      <x:c r="C367" s="5" t="inlineStr">
        <x:is>
          <x:t xml:space="preserve">spheal</x:t>
        </x:is>
      </x:c>
      <x:c r="D367" s="5" t="inlineStr">
        <x:is>
          <x:t xml:space="preserve">Spheal</x:t>
        </x:is>
      </x:c>
      <x:c r="E367" s="5" t="n">
        <x:v>3</x:v>
      </x:c>
      <x:c r="F367" s="5" t="inlineStr">
        <x:is>
          <x:t xml:space="preserve">얼음</x:t>
        </x:is>
      </x:c>
      <x:c r="G367" s="5" t="inlineStr">
        <x:is>
          <x:t xml:space="preserve">물</x:t>
        </x:is>
      </x:c>
      <x:c r="H367" s="5" t="n">
        <x:v>0.8</x:v>
      </x:c>
      <x:c r="I367" s="5" t="n">
        <x:v>39.5</x:v>
      </x:c>
      <x:c r="J367" s="5" t="n">
        <x:v>290</x:v>
      </x:c>
      <x:c r="K367" s="5" t="n">
        <x:v>255</x:v>
      </x:c>
      <x:c r="L367" s="5" t="inlineStr">
        <x:is>
          <x:t xml:space="preserve">기본</x:t>
        </x:is>
      </x:c>
      <x:c r="M367" s="5" t="n">
        <x:v>44</x:v>
      </x:c>
      <x:c r="N367" s="5" t="inlineStr">
        <x:is>
          <x:t xml:space="preserve">레벨</x:t>
        </x:is>
      </x:c>
      <x:c r="O367" s="5" t="inlineStr">
        <x:is>
          <x:t xml:space="preserve">예</x:t>
        </x:is>
      </x:c>
      <x:c r="P367" s="5" t="inlineStr">
        <x:is>
          <x:t xml:space="preserve">#cobblemon:is_cold_ocean; #cobblemon:is_frozen_ocean</x:t>
        </x:is>
      </x:c>
      <x:c r="Q367" s="5" t="inlineStr">
        <x:is>
          <x:t xml:space="preserve">common</x:t>
        </x:is>
      </x:c>
      <x:c r="R367" s="5" t="inlineStr">
        <x:is>
          <x:t xml:space="preserve"/>
        </x:is>
      </x:c>
      <x:c r="S367" s="5" t="inlineStr">
        <x:is>
          <x:t xml:space="preserve"/>
        </x:is>
      </x:c>
      <x:c r="T367" s="5" t="inlineStr">
        <x:is>
          <x:t xml:space="preserve">해양</x:t>
        </x:is>
      </x:c>
      <x:c r="U367" s="5" t="inlineStr">
        <x:is>
          <x:t xml:space="preserve">해안·해양</x:t>
        </x:is>
      </x:c>
      <x:c r="V367" s="5" t="inlineStr">
        <x:is>
          <x:t xml:space="preserve">한랭</x:t>
        </x:is>
      </x:c>
      <x:c r="W367" s="5" t="inlineStr">
        <x:is>
          <x:t xml:space="preserve">수중</x:t>
        </x:is>
      </x:c>
      <x:c r="X367" s="5" t="inlineStr">
        <x:is>
          <x:t xml:space="preserve">비</x:t>
        </x:is>
      </x:c>
      <x:c r="Y367" s="5" t="inlineStr">
        <x:is>
          <x:t xml:space="preserve">무관</x:t>
        </x:is>
      </x:c>
      <x:c r="Z367" s="5" t="inlineStr">
        <x:is>
          <x:t xml:space="preserve">흔함</x:t>
        </x:is>
      </x:c>
      <x:c r="AA367" s="5" t="inlineStr">
        <x:is>
          <x:t xml:space="preserve">없음</x:t>
        </x:is>
      </x:c>
      <x:c r="AB367" s="5" t="inlineStr">
        <x:is>
          <x:t xml:space="preserve">해양</x:t>
        </x:is>
      </x:c>
      <x:c r="AC367" s="5" t="inlineStr">
        <x:is>
          <x:t xml:space="preserve">gen3</x:t>
        </x:is>
      </x:c>
      <x:c r="AD367" s="5" t="inlineStr">
        <x:is>
          <x:t xml:space="preserve">.tmp/cobblemon-1.7.3-source/common/src/main/resources/data/cobblemon/species/generation3/spheal.json</x:t>
        </x:is>
      </x:c>
    </x:row>
    <x:row r="368" ht="22" customHeight="1">
      <x:c r="A368" s="5" t="n">
        <x:v>364</x:v>
      </x:c>
      <x:c r="B368" s="5" t="inlineStr">
        <x:is>
          <x:t xml:space="preserve">씨레오</x:t>
        </x:is>
      </x:c>
      <x:c r="C368" s="5" t="inlineStr">
        <x:is>
          <x:t xml:space="preserve">sealeo</x:t>
        </x:is>
      </x:c>
      <x:c r="D368" s="5" t="inlineStr">
        <x:is>
          <x:t xml:space="preserve">Sealeo</x:t>
        </x:is>
      </x:c>
      <x:c r="E368" s="5" t="n">
        <x:v>3</x:v>
      </x:c>
      <x:c r="F368" s="5" t="inlineStr">
        <x:is>
          <x:t xml:space="preserve">얼음</x:t>
        </x:is>
      </x:c>
      <x:c r="G368" s="5" t="inlineStr">
        <x:is>
          <x:t xml:space="preserve">물</x:t>
        </x:is>
      </x:c>
      <x:c r="H368" s="5" t="n">
        <x:v>1.1</x:v>
      </x:c>
      <x:c r="I368" s="5" t="n">
        <x:v>87.59999999999999</x:v>
      </x:c>
      <x:c r="J368" s="5" t="n">
        <x:v>410</x:v>
      </x:c>
      <x:c r="K368" s="5" t="n">
        <x:v>120</x:v>
      </x:c>
      <x:c r="L368" s="5" t="inlineStr">
        <x:is>
          <x:t xml:space="preserve">중간</x:t>
        </x:is>
      </x:c>
      <x:c r="M368" s="5" t="n">
        <x:v>44</x:v>
      </x:c>
      <x:c r="N368" s="5" t="inlineStr">
        <x:is>
          <x:t xml:space="preserve">레벨</x:t>
        </x:is>
      </x:c>
      <x:c r="O368" s="5" t="inlineStr">
        <x:is>
          <x:t xml:space="preserve">예</x:t>
        </x:is>
      </x:c>
      <x:c r="P368" s="5" t="inlineStr">
        <x:is>
          <x:t xml:space="preserve">#cobblemon:is_cold_ocean; #cobblemon:is_frozen_ocean</x:t>
        </x:is>
      </x:c>
      <x:c r="Q368" s="5" t="inlineStr">
        <x:is>
          <x:t xml:space="preserve">common</x:t>
        </x:is>
      </x:c>
      <x:c r="R368" s="5" t="inlineStr">
        <x:is>
          <x:t xml:space="preserve"/>
        </x:is>
      </x:c>
      <x:c r="S368" s="5" t="inlineStr">
        <x:is>
          <x:t xml:space="preserve"/>
        </x:is>
      </x:c>
      <x:c r="T368" s="5" t="inlineStr">
        <x:is>
          <x:t xml:space="preserve">해양</x:t>
        </x:is>
      </x:c>
      <x:c r="U368" s="5" t="inlineStr">
        <x:is>
          <x:t xml:space="preserve">해안·해양</x:t>
        </x:is>
      </x:c>
      <x:c r="V368" s="5" t="inlineStr">
        <x:is>
          <x:t xml:space="preserve">한랭</x:t>
        </x:is>
      </x:c>
      <x:c r="W368" s="5" t="inlineStr">
        <x:is>
          <x:t xml:space="preserve">수중</x:t>
        </x:is>
      </x:c>
      <x:c r="X368" s="5" t="inlineStr">
        <x:is>
          <x:t xml:space="preserve">비</x:t>
        </x:is>
      </x:c>
      <x:c r="Y368" s="5" t="inlineStr">
        <x:is>
          <x:t xml:space="preserve">무관</x:t>
        </x:is>
      </x:c>
      <x:c r="Z368" s="5" t="inlineStr">
        <x:is>
          <x:t xml:space="preserve">흔함</x:t>
        </x:is>
      </x:c>
      <x:c r="AA368" s="5" t="inlineStr">
        <x:is>
          <x:t xml:space="preserve">없음</x:t>
        </x:is>
      </x:c>
      <x:c r="AB368" s="5" t="inlineStr">
        <x:is>
          <x:t xml:space="preserve">해양</x:t>
        </x:is>
      </x:c>
      <x:c r="AC368" s="5" t="inlineStr">
        <x:is>
          <x:t xml:space="preserve">gen3</x:t>
        </x:is>
      </x:c>
      <x:c r="AD368" s="5" t="inlineStr">
        <x:is>
          <x:t xml:space="preserve">.tmp/cobblemon-1.7.3-source/common/src/main/resources/data/cobblemon/species/generation3/sealeo.json</x:t>
        </x:is>
      </x:c>
    </x:row>
    <x:row r="369" ht="22" customHeight="1">
      <x:c r="A369" s="5" t="n">
        <x:v>365</x:v>
      </x:c>
      <x:c r="B369" s="5" t="inlineStr">
        <x:is>
          <x:t xml:space="preserve">씨카이저</x:t>
        </x:is>
      </x:c>
      <x:c r="C369" s="5" t="inlineStr">
        <x:is>
          <x:t xml:space="preserve">walrein</x:t>
        </x:is>
      </x:c>
      <x:c r="D369" s="5" t="inlineStr">
        <x:is>
          <x:t xml:space="preserve">Walrein</x:t>
        </x:is>
      </x:c>
      <x:c r="E369" s="5" t="n">
        <x:v>3</x:v>
      </x:c>
      <x:c r="F369" s="5" t="inlineStr">
        <x:is>
          <x:t xml:space="preserve">얼음</x:t>
        </x:is>
      </x:c>
      <x:c r="G369" s="5" t="inlineStr">
        <x:is>
          <x:t xml:space="preserve">물</x:t>
        </x:is>
      </x:c>
      <x:c r="H369" s="5" t="n">
        <x:v>1.4</x:v>
      </x:c>
      <x:c r="I369" s="5" t="n">
        <x:v>150.6</x:v>
      </x:c>
      <x:c r="J369" s="5" t="n">
        <x:v>530</x:v>
      </x:c>
      <x:c r="K369" s="5" t="n">
        <x:v>45</x:v>
      </x:c>
      <x:c r="L369" s="5" t="inlineStr">
        <x:is>
          <x:t xml:space="preserve">최종</x:t>
        </x:is>
      </x:c>
      <x:c r="M369" s="5" t="n">
        <x:v>44</x:v>
      </x:c>
      <x:c r="N369" s="5" t="inlineStr">
        <x:is>
          <x:t xml:space="preserve">레벨</x:t>
        </x:is>
      </x:c>
      <x:c r="O369" s="5" t="inlineStr">
        <x:is>
          <x:t xml:space="preserve">예</x:t>
        </x:is>
      </x:c>
      <x:c r="P369" s="5" t="inlineStr">
        <x:is>
          <x:t xml:space="preserve">#cobblemon:is_cold_ocean; #cobblemon:is_frozen_ocean</x:t>
        </x:is>
      </x:c>
      <x:c r="Q369" s="5" t="inlineStr">
        <x:is>
          <x:t xml:space="preserve">common</x:t>
        </x:is>
      </x:c>
      <x:c r="R369" s="5" t="inlineStr">
        <x:is>
          <x:t xml:space="preserve"/>
        </x:is>
      </x:c>
      <x:c r="S369" s="5" t="inlineStr">
        <x:is>
          <x:t xml:space="preserve"/>
        </x:is>
      </x:c>
      <x:c r="T369" s="5" t="inlineStr">
        <x:is>
          <x:t xml:space="preserve">해양</x:t>
        </x:is>
      </x:c>
      <x:c r="U369" s="5" t="inlineStr">
        <x:is>
          <x:t xml:space="preserve">해안·해양</x:t>
        </x:is>
      </x:c>
      <x:c r="V369" s="5" t="inlineStr">
        <x:is>
          <x:t xml:space="preserve">한랭</x:t>
        </x:is>
      </x:c>
      <x:c r="W369" s="5" t="inlineStr">
        <x:is>
          <x:t xml:space="preserve">수중</x:t>
        </x:is>
      </x:c>
      <x:c r="X369" s="5" t="inlineStr">
        <x:is>
          <x:t xml:space="preserve">비</x:t>
        </x:is>
      </x:c>
      <x:c r="Y369" s="5" t="inlineStr">
        <x:is>
          <x:t xml:space="preserve">무관</x:t>
        </x:is>
      </x:c>
      <x:c r="Z369" s="5" t="inlineStr">
        <x:is>
          <x:t xml:space="preserve">흔함</x:t>
        </x:is>
      </x:c>
      <x:c r="AA369" s="5" t="inlineStr">
        <x:is>
          <x:t xml:space="preserve">없음</x:t>
        </x:is>
      </x:c>
      <x:c r="AB369" s="5" t="inlineStr">
        <x:is>
          <x:t xml:space="preserve">해양</x:t>
        </x:is>
      </x:c>
      <x:c r="AC369" s="5" t="inlineStr">
        <x:is>
          <x:t xml:space="preserve">gen3</x:t>
        </x:is>
      </x:c>
      <x:c r="AD369" s="5" t="inlineStr">
        <x:is>
          <x:t xml:space="preserve">.tmp/cobblemon-1.7.3-source/common/src/main/resources/data/cobblemon/species/generation3/walrein.json</x:t>
        </x:is>
      </x:c>
    </x:row>
    <x:row r="370" ht="22" customHeight="1">
      <x:c r="A370" s="5" t="n">
        <x:v>366</x:v>
      </x:c>
      <x:c r="B370" s="5" t="inlineStr">
        <x:is>
          <x:t xml:space="preserve">진주몽</x:t>
        </x:is>
      </x:c>
      <x:c r="C370" s="5" t="inlineStr">
        <x:is>
          <x:t xml:space="preserve">clamperl</x:t>
        </x:is>
      </x:c>
      <x:c r="D370" s="5" t="inlineStr">
        <x:is>
          <x:t xml:space="preserve">Clamperl</x:t>
        </x:is>
      </x:c>
      <x:c r="E370" s="5" t="n">
        <x:v>3</x:v>
      </x:c>
      <x:c r="F370" s="5" t="inlineStr">
        <x:is>
          <x:t xml:space="preserve">물</x:t>
        </x:is>
      </x:c>
      <x:c r="G370" s="5" t="inlineStr">
        <x:is>
          <x:t xml:space="preserve"/>
        </x:is>
      </x:c>
      <x:c r="H370" s="5" t="n">
        <x:v>0.4</x:v>
      </x:c>
      <x:c r="I370" s="5" t="n">
        <x:v>52.5</x:v>
      </x:c>
      <x:c r="J370" s="5" t="n">
        <x:v>345</x:v>
      </x:c>
      <x:c r="K370" s="5" t="n">
        <x:v>255</x:v>
      </x:c>
      <x:c r="L370" s="5" t="inlineStr">
        <x:is>
          <x:t xml:space="preserve">기본</x:t>
        </x:is>
      </x:c>
      <x:c r="M370" s="5" t="n"/>
      <x:c r="N370" s="5" t="inlineStr">
        <x:is>
          <x:t xml:space="preserve">특수</x:t>
        </x:is>
      </x:c>
      <x:c r="O370" s="5" t="inlineStr">
        <x:is>
          <x:t xml:space="preserve">예</x:t>
        </x:is>
      </x:c>
      <x:c r="P370" s="5" t="inlineStr">
        <x:is>
          <x:t xml:space="preserve">#cobblemon:is_deep_ocean; #cobblemon:is_ocean; #cobblemon:is_overworld; #cobblemon:is_warm_ocean</x:t>
        </x:is>
      </x:c>
      <x:c r="Q370" s="5" t="inlineStr">
        <x:is>
          <x:t xml:space="preserve">rare; uncommon</x:t>
        </x:is>
      </x:c>
      <x:c r="R370" s="5" t="inlineStr">
        <x:is>
          <x:t xml:space="preserve"/>
        </x:is>
      </x:c>
      <x:c r="S370" s="5" t="inlineStr">
        <x:is>
          <x:t xml:space="preserve"/>
        </x:is>
      </x:c>
      <x:c r="T370" s="5" t="inlineStr">
        <x:is>
          <x:t xml:space="preserve">해양</x:t>
        </x:is>
      </x:c>
      <x:c r="U370" s="5" t="inlineStr">
        <x:is>
          <x:t xml:space="preserve">해안·해양</x:t>
        </x:is>
      </x:c>
      <x:c r="V370" s="5" t="inlineStr">
        <x:is>
          <x:t xml:space="preserve">온대</x:t>
        </x:is>
      </x:c>
      <x:c r="W370" s="5" t="inlineStr">
        <x:is>
          <x:t xml:space="preserve">수중</x:t>
        </x:is>
      </x:c>
      <x:c r="X370" s="5" t="inlineStr">
        <x:is>
          <x:t xml:space="preserve">비</x:t>
        </x:is>
      </x:c>
      <x:c r="Y370" s="5" t="inlineStr">
        <x:is>
          <x:t xml:space="preserve">무관</x:t>
        </x:is>
      </x:c>
      <x:c r="Z370" s="5" t="inlineStr">
        <x:is>
          <x:t xml:space="preserve">보통</x:t>
        </x:is>
      </x:c>
      <x:c r="AA370" s="5" t="inlineStr">
        <x:is>
          <x:t xml:space="preserve">심해</x:t>
        </x:is>
      </x:c>
      <x:c r="AB370" s="5" t="inlineStr">
        <x:is>
          <x:t xml:space="preserve">해양</x:t>
        </x:is>
      </x:c>
      <x:c r="AC370" s="5" t="inlineStr">
        <x:is>
          <x:t xml:space="preserve">gen3</x:t>
        </x:is>
      </x:c>
      <x:c r="AD370" s="5" t="inlineStr">
        <x:is>
          <x:t xml:space="preserve">.tmp/cobblemon-1.7.3-source/common/src/main/resources/data/cobblemon/species/generation3/clamperl.json</x:t>
        </x:is>
      </x:c>
    </x:row>
    <x:row r="371" ht="22" customHeight="1">
      <x:c r="A371" s="5" t="n">
        <x:v>367</x:v>
      </x:c>
      <x:c r="B371" s="5" t="inlineStr">
        <x:is>
          <x:t xml:space="preserve">헌테일</x:t>
        </x:is>
      </x:c>
      <x:c r="C371" s="5" t="inlineStr">
        <x:is>
          <x:t xml:space="preserve">huntail</x:t>
        </x:is>
      </x:c>
      <x:c r="D371" s="5" t="inlineStr">
        <x:is>
          <x:t xml:space="preserve">Huntail</x:t>
        </x:is>
      </x:c>
      <x:c r="E371" s="5" t="n">
        <x:v>3</x:v>
      </x:c>
      <x:c r="F371" s="5" t="inlineStr">
        <x:is>
          <x:t xml:space="preserve">물</x:t>
        </x:is>
      </x:c>
      <x:c r="G371" s="5" t="inlineStr">
        <x:is>
          <x:t xml:space="preserve"/>
        </x:is>
      </x:c>
      <x:c r="H371" s="5" t="n">
        <x:v>1.7</x:v>
      </x:c>
      <x:c r="I371" s="5" t="n">
        <x:v>27</x:v>
      </x:c>
      <x:c r="J371" s="5" t="n">
        <x:v>485</x:v>
      </x:c>
      <x:c r="K371" s="5" t="n">
        <x:v>60</x:v>
      </x:c>
      <x:c r="L371" s="5" t="inlineStr">
        <x:is>
          <x:t xml:space="preserve">최종</x:t>
        </x:is>
      </x:c>
      <x:c r="M371" s="5" t="n"/>
      <x:c r="N371" s="5" t="inlineStr">
        <x:is>
          <x:t xml:space="preserve">특수</x:t>
        </x:is>
      </x:c>
      <x:c r="O371" s="5" t="inlineStr">
        <x:is>
          <x:t xml:space="preserve">예</x:t>
        </x:is>
      </x:c>
      <x:c r="P371" s="5" t="inlineStr">
        <x:is>
          <x:t xml:space="preserve">#cobblemon:is_deep_ocean; #cobblemon:is_ocean; #cobblemon:is_overworld; #cobblemon:is_warm_ocean</x:t>
        </x:is>
      </x:c>
      <x:c r="Q371" s="5" t="inlineStr">
        <x:is>
          <x:t xml:space="preserve">rare; uncommon</x:t>
        </x:is>
      </x:c>
      <x:c r="R371" s="5" t="inlineStr">
        <x:is>
          <x:t xml:space="preserve"/>
        </x:is>
      </x:c>
      <x:c r="S371" s="5" t="inlineStr">
        <x:is>
          <x:t xml:space="preserve"/>
        </x:is>
      </x:c>
      <x:c r="T371" s="5" t="inlineStr">
        <x:is>
          <x:t xml:space="preserve">해양</x:t>
        </x:is>
      </x:c>
      <x:c r="U371" s="5" t="inlineStr">
        <x:is>
          <x:t xml:space="preserve">해안·해양</x:t>
        </x:is>
      </x:c>
      <x:c r="V371" s="5" t="inlineStr">
        <x:is>
          <x:t xml:space="preserve">온대</x:t>
        </x:is>
      </x:c>
      <x:c r="W371" s="5" t="inlineStr">
        <x:is>
          <x:t xml:space="preserve">수중</x:t>
        </x:is>
      </x:c>
      <x:c r="X371" s="5" t="inlineStr">
        <x:is>
          <x:t xml:space="preserve">비</x:t>
        </x:is>
      </x:c>
      <x:c r="Y371" s="5" t="inlineStr">
        <x:is>
          <x:t xml:space="preserve">무관</x:t>
        </x:is>
      </x:c>
      <x:c r="Z371" s="5" t="inlineStr">
        <x:is>
          <x:t xml:space="preserve">보통</x:t>
        </x:is>
      </x:c>
      <x:c r="AA371" s="5" t="inlineStr">
        <x:is>
          <x:t xml:space="preserve">심해</x:t>
        </x:is>
      </x:c>
      <x:c r="AB371" s="5" t="inlineStr">
        <x:is>
          <x:t xml:space="preserve">해양</x:t>
        </x:is>
      </x:c>
      <x:c r="AC371" s="5" t="inlineStr">
        <x:is>
          <x:t xml:space="preserve">gen3</x:t>
        </x:is>
      </x:c>
      <x:c r="AD371" s="5" t="inlineStr">
        <x:is>
          <x:t xml:space="preserve">.tmp/cobblemon-1.7.3-source/common/src/main/resources/data/cobblemon/species/generation3/huntail.json</x:t>
        </x:is>
      </x:c>
    </x:row>
    <x:row r="372" ht="22" customHeight="1">
      <x:c r="A372" s="5" t="n">
        <x:v>368</x:v>
      </x:c>
      <x:c r="B372" s="5" t="inlineStr">
        <x:is>
          <x:t xml:space="preserve">분홍장이</x:t>
        </x:is>
      </x:c>
      <x:c r="C372" s="5" t="inlineStr">
        <x:is>
          <x:t xml:space="preserve">gorebyss</x:t>
        </x:is>
      </x:c>
      <x:c r="D372" s="5" t="inlineStr">
        <x:is>
          <x:t xml:space="preserve">Gorebyss</x:t>
        </x:is>
      </x:c>
      <x:c r="E372" s="5" t="n">
        <x:v>3</x:v>
      </x:c>
      <x:c r="F372" s="5" t="inlineStr">
        <x:is>
          <x:t xml:space="preserve">물</x:t>
        </x:is>
      </x:c>
      <x:c r="G372" s="5" t="inlineStr">
        <x:is>
          <x:t xml:space="preserve"/>
        </x:is>
      </x:c>
      <x:c r="H372" s="5" t="n">
        <x:v>1.8</x:v>
      </x:c>
      <x:c r="I372" s="5" t="n">
        <x:v>22.6</x:v>
      </x:c>
      <x:c r="J372" s="5" t="n">
        <x:v>485</x:v>
      </x:c>
      <x:c r="K372" s="5" t="n">
        <x:v>60</x:v>
      </x:c>
      <x:c r="L372" s="5" t="inlineStr">
        <x:is>
          <x:t xml:space="preserve">최종</x:t>
        </x:is>
      </x:c>
      <x:c r="M372" s="5" t="n"/>
      <x:c r="N372" s="5" t="inlineStr">
        <x:is>
          <x:t xml:space="preserve">특수</x:t>
        </x:is>
      </x:c>
      <x:c r="O372" s="5" t="inlineStr">
        <x:is>
          <x:t xml:space="preserve">예</x:t>
        </x:is>
      </x:c>
      <x:c r="P372" s="5" t="inlineStr">
        <x:is>
          <x:t xml:space="preserve">#cobblemon:is_deep_ocean; #cobblemon:is_ocean; #cobblemon:is_overworld; #cobblemon:is_warm_ocean</x:t>
        </x:is>
      </x:c>
      <x:c r="Q372" s="5" t="inlineStr">
        <x:is>
          <x:t xml:space="preserve">rare; uncommon</x:t>
        </x:is>
      </x:c>
      <x:c r="R372" s="5" t="inlineStr">
        <x:is>
          <x:t xml:space="preserve"/>
        </x:is>
      </x:c>
      <x:c r="S372" s="5" t="inlineStr">
        <x:is>
          <x:t xml:space="preserve"/>
        </x:is>
      </x:c>
      <x:c r="T372" s="5" t="inlineStr">
        <x:is>
          <x:t xml:space="preserve">해양</x:t>
        </x:is>
      </x:c>
      <x:c r="U372" s="5" t="inlineStr">
        <x:is>
          <x:t xml:space="preserve">해안·해양</x:t>
        </x:is>
      </x:c>
      <x:c r="V372" s="5" t="inlineStr">
        <x:is>
          <x:t xml:space="preserve">온대</x:t>
        </x:is>
      </x:c>
      <x:c r="W372" s="5" t="inlineStr">
        <x:is>
          <x:t xml:space="preserve">수중</x:t>
        </x:is>
      </x:c>
      <x:c r="X372" s="5" t="inlineStr">
        <x:is>
          <x:t xml:space="preserve">비</x:t>
        </x:is>
      </x:c>
      <x:c r="Y372" s="5" t="inlineStr">
        <x:is>
          <x:t xml:space="preserve">무관</x:t>
        </x:is>
      </x:c>
      <x:c r="Z372" s="5" t="inlineStr">
        <x:is>
          <x:t xml:space="preserve">보통</x:t>
        </x:is>
      </x:c>
      <x:c r="AA372" s="5" t="inlineStr">
        <x:is>
          <x:t xml:space="preserve">심해</x:t>
        </x:is>
      </x:c>
      <x:c r="AB372" s="5" t="inlineStr">
        <x:is>
          <x:t xml:space="preserve">해양</x:t>
        </x:is>
      </x:c>
      <x:c r="AC372" s="5" t="inlineStr">
        <x:is>
          <x:t xml:space="preserve">gen3</x:t>
        </x:is>
      </x:c>
      <x:c r="AD372" s="5" t="inlineStr">
        <x:is>
          <x:t xml:space="preserve">.tmp/cobblemon-1.7.3-source/common/src/main/resources/data/cobblemon/species/generation3/gorebyss.json</x:t>
        </x:is>
      </x:c>
    </x:row>
    <x:row r="373" ht="22" customHeight="1">
      <x:c r="A373" s="5" t="n">
        <x:v>369</x:v>
      </x:c>
      <x:c r="B373" s="5" t="inlineStr">
        <x:is>
          <x:t xml:space="preserve">시라칸</x:t>
        </x:is>
      </x:c>
      <x:c r="C373" s="5" t="inlineStr">
        <x:is>
          <x:t xml:space="preserve">relicanth</x:t>
        </x:is>
      </x:c>
      <x:c r="D373" s="5" t="inlineStr">
        <x:is>
          <x:t xml:space="preserve">Relicanth</x:t>
        </x:is>
      </x:c>
      <x:c r="E373" s="5" t="n">
        <x:v>3</x:v>
      </x:c>
      <x:c r="F373" s="5" t="inlineStr">
        <x:is>
          <x:t xml:space="preserve">물</x:t>
        </x:is>
      </x:c>
      <x:c r="G373" s="5" t="inlineStr">
        <x:is>
          <x:t xml:space="preserve">바위</x:t>
        </x:is>
      </x:c>
      <x:c r="H373" s="5" t="n">
        <x:v>1</x:v>
      </x:c>
      <x:c r="I373" s="5" t="n">
        <x:v>23.4</x:v>
      </x:c>
      <x:c r="J373" s="5" t="n">
        <x:v>485</x:v>
      </x:c>
      <x:c r="K373" s="5" t="n">
        <x:v>25</x:v>
      </x:c>
      <x:c r="L373" s="5" t="inlineStr">
        <x:is>
          <x:t xml:space="preserve">무진화</x:t>
        </x:is>
      </x:c>
      <x:c r="M373" s="5" t="n"/>
      <x:c r="N373" s="5" t="inlineStr">
        <x:is>
          <x:t xml:space="preserve">없음</x:t>
        </x:is>
      </x:c>
      <x:c r="O373" s="5" t="inlineStr">
        <x:is>
          <x:t xml:space="preserve">예</x:t>
        </x:is>
      </x:c>
      <x:c r="P373" s="5" t="inlineStr">
        <x:is>
          <x:t xml:space="preserve">#cobblemon:is_deep_ocean; #cobblemon:is_ocean; #cobblemon:is_overworld</x:t>
        </x:is>
      </x:c>
      <x:c r="Q373" s="5" t="inlineStr">
        <x:is>
          <x:t xml:space="preserve">common; rare; uncommon</x:t>
        </x:is>
      </x:c>
      <x:c r="R373" s="5" t="inlineStr">
        <x:is>
          <x:t xml:space="preserve"/>
        </x:is>
      </x:c>
      <x:c r="S373" s="5" t="inlineStr">
        <x:is>
          <x:t xml:space="preserve"/>
        </x:is>
      </x:c>
      <x:c r="T373" s="5" t="inlineStr">
        <x:is>
          <x:t xml:space="preserve">해양</x:t>
        </x:is>
      </x:c>
      <x:c r="U373" s="5" t="inlineStr">
        <x:is>
          <x:t xml:space="preserve">해안·해양</x:t>
        </x:is>
      </x:c>
      <x:c r="V373" s="5" t="inlineStr">
        <x:is>
          <x:t xml:space="preserve">온대</x:t>
        </x:is>
      </x:c>
      <x:c r="W373" s="5" t="inlineStr">
        <x:is>
          <x:t xml:space="preserve">수중</x:t>
        </x:is>
      </x:c>
      <x:c r="X373" s="5" t="inlineStr">
        <x:is>
          <x:t xml:space="preserve">비</x:t>
        </x:is>
      </x:c>
      <x:c r="Y373" s="5" t="inlineStr">
        <x:is>
          <x:t xml:space="preserve">무관</x:t>
        </x:is>
      </x:c>
      <x:c r="Z373" s="5" t="inlineStr">
        <x:is>
          <x:t xml:space="preserve">보통</x:t>
        </x:is>
      </x:c>
      <x:c r="AA373" s="5" t="inlineStr">
        <x:is>
          <x:t xml:space="preserve">심해</x:t>
        </x:is>
      </x:c>
      <x:c r="AB373" s="5" t="inlineStr">
        <x:is>
          <x:t xml:space="preserve">해양</x:t>
        </x:is>
      </x:c>
      <x:c r="AC373" s="5" t="inlineStr">
        <x:is>
          <x:t xml:space="preserve">gen3</x:t>
        </x:is>
      </x:c>
      <x:c r="AD373" s="5" t="inlineStr">
        <x:is>
          <x:t xml:space="preserve">.tmp/cobblemon-1.7.3-source/common/src/main/resources/data/cobblemon/species/generation3/relicanth.json</x:t>
        </x:is>
      </x:c>
    </x:row>
    <x:row r="374" ht="22" customHeight="1">
      <x:c r="A374" s="5" t="n">
        <x:v>370</x:v>
      </x:c>
      <x:c r="B374" s="5" t="inlineStr">
        <x:is>
          <x:t xml:space="preserve">사랑동이</x:t>
        </x:is>
      </x:c>
      <x:c r="C374" s="5" t="inlineStr">
        <x:is>
          <x:t xml:space="preserve">luvdisc</x:t>
        </x:is>
      </x:c>
      <x:c r="D374" s="5" t="inlineStr">
        <x:is>
          <x:t xml:space="preserve">Luvdisc</x:t>
        </x:is>
      </x:c>
      <x:c r="E374" s="5" t="n">
        <x:v>3</x:v>
      </x:c>
      <x:c r="F374" s="5" t="inlineStr">
        <x:is>
          <x:t xml:space="preserve">물</x:t>
        </x:is>
      </x:c>
      <x:c r="G374" s="5" t="inlineStr">
        <x:is>
          <x:t xml:space="preserve"/>
        </x:is>
      </x:c>
      <x:c r="H374" s="5" t="n">
        <x:v>0.6</x:v>
      </x:c>
      <x:c r="I374" s="5" t="n">
        <x:v>8.699999999999999</x:v>
      </x:c>
      <x:c r="J374" s="5" t="n">
        <x:v>330</x:v>
      </x:c>
      <x:c r="K374" s="5" t="n">
        <x:v>225</x:v>
      </x:c>
      <x:c r="L374" s="5" t="inlineStr">
        <x:is>
          <x:t xml:space="preserve">무진화</x:t>
        </x:is>
      </x:c>
      <x:c r="M374" s="5" t="n"/>
      <x:c r="N374" s="5" t="inlineStr">
        <x:is>
          <x:t xml:space="preserve">없음</x:t>
        </x:is>
      </x:c>
      <x:c r="O374" s="5" t="inlineStr">
        <x:is>
          <x:t xml:space="preserve">예</x:t>
        </x:is>
      </x:c>
      <x:c r="P374" s="5" t="inlineStr">
        <x:is>
          <x:t xml:space="preserve">#cobblemon:is_warm_ocean</x:t>
        </x:is>
      </x:c>
      <x:c r="Q374" s="5" t="inlineStr">
        <x:is>
          <x:t xml:space="preserve">common</x:t>
        </x:is>
      </x:c>
      <x:c r="R374" s="5" t="inlineStr">
        <x:is>
          <x:t xml:space="preserve">day</x:t>
        </x:is>
      </x:c>
      <x:c r="S374" s="5" t="inlineStr">
        <x:is>
          <x:t xml:space="preserve"/>
        </x:is>
      </x:c>
      <x:c r="T374" s="5" t="inlineStr">
        <x:is>
          <x:t xml:space="preserve">해양</x:t>
        </x:is>
      </x:c>
      <x:c r="U374" s="5" t="inlineStr">
        <x:is>
          <x:t xml:space="preserve">해안·해양</x:t>
        </x:is>
      </x:c>
      <x:c r="V374" s="5" t="inlineStr">
        <x:is>
          <x:t xml:space="preserve">온대</x:t>
        </x:is>
      </x:c>
      <x:c r="W374" s="5" t="inlineStr">
        <x:is>
          <x:t xml:space="preserve">수중</x:t>
        </x:is>
      </x:c>
      <x:c r="X374" s="5" t="inlineStr">
        <x:is>
          <x:t xml:space="preserve">비</x:t>
        </x:is>
      </x:c>
      <x:c r="Y374" s="5" t="inlineStr">
        <x:is>
          <x:t xml:space="preserve">낮</x:t>
        </x:is>
      </x:c>
      <x:c r="Z374" s="5" t="inlineStr">
        <x:is>
          <x:t xml:space="preserve">흔함</x:t>
        </x:is>
      </x:c>
      <x:c r="AA374" s="5" t="inlineStr">
        <x:is>
          <x:t xml:space="preserve">없음</x:t>
        </x:is>
      </x:c>
      <x:c r="AB374" s="5" t="inlineStr">
        <x:is>
          <x:t xml:space="preserve">해양</x:t>
        </x:is>
      </x:c>
      <x:c r="AC374" s="5" t="inlineStr">
        <x:is>
          <x:t xml:space="preserve">gen3</x:t>
        </x:is>
      </x:c>
      <x:c r="AD374" s="5" t="inlineStr">
        <x:is>
          <x:t xml:space="preserve">.tmp/cobblemon-1.7.3-source/common/src/main/resources/data/cobblemon/species/generation3/luvdisc.json</x:t>
        </x:is>
      </x:c>
    </x:row>
    <x:row r="375" ht="22" customHeight="1">
      <x:c r="A375" s="5" t="n">
        <x:v>371</x:v>
      </x:c>
      <x:c r="B375" s="5" t="inlineStr">
        <x:is>
          <x:t xml:space="preserve">아공이</x:t>
        </x:is>
      </x:c>
      <x:c r="C375" s="5" t="inlineStr">
        <x:is>
          <x:t xml:space="preserve">bagon</x:t>
        </x:is>
      </x:c>
      <x:c r="D375" s="5" t="inlineStr">
        <x:is>
          <x:t xml:space="preserve">Bagon</x:t>
        </x:is>
      </x:c>
      <x:c r="E375" s="5" t="n">
        <x:v>3</x:v>
      </x:c>
      <x:c r="F375" s="5" t="inlineStr">
        <x:is>
          <x:t xml:space="preserve">드래곤</x:t>
        </x:is>
      </x:c>
      <x:c r="G375" s="5" t="inlineStr">
        <x:is>
          <x:t xml:space="preserve"/>
        </x:is>
      </x:c>
      <x:c r="H375" s="5" t="n">
        <x:v>0.6</x:v>
      </x:c>
      <x:c r="I375" s="5" t="n">
        <x:v>42.1</x:v>
      </x:c>
      <x:c r="J375" s="5" t="n">
        <x:v>300</x:v>
      </x:c>
      <x:c r="K375" s="5" t="n">
        <x:v>45</x:v>
      </x:c>
      <x:c r="L375" s="5" t="inlineStr">
        <x:is>
          <x:t xml:space="preserve">기본</x:t>
        </x:is>
      </x:c>
      <x:c r="M375" s="5" t="n">
        <x:v>50</x:v>
      </x:c>
      <x:c r="N375" s="5" t="inlineStr">
        <x:is>
          <x:t xml:space="preserve">레벨</x:t>
        </x:is>
      </x:c>
      <x:c r="O375" s="5" t="inlineStr">
        <x:is>
          <x:t xml:space="preserve">예</x:t>
        </x:is>
      </x:c>
      <x:c r="P375" s="5" t="inlineStr">
        <x:is>
          <x:t xml:space="preserve">#aether:is_aether; #cobblemon:is_dripstone; #cobblemon:is_peak</x:t>
        </x:is>
      </x:c>
      <x:c r="Q375" s="5" t="inlineStr">
        <x:is>
          <x:t xml:space="preserve">rare; ultra-rare</x:t>
        </x:is>
      </x:c>
      <x:c r="R375" s="5" t="inlineStr">
        <x:is>
          <x:t xml:space="preserve"/>
        </x:is>
      </x:c>
      <x:c r="S375" s="5" t="inlineStr">
        <x:is>
          <x:t xml:space="preserve"/>
        </x:is>
      </x:c>
      <x:c r="T375" s="5" t="inlineStr">
        <x:is>
          <x:t xml:space="preserve">육상</x:t>
        </x:is>
      </x:c>
      <x:c r="U375" s="5" t="inlineStr">
        <x:is>
          <x:t xml:space="preserve">동굴</x:t>
        </x:is>
      </x:c>
      <x:c r="V375" s="5" t="inlineStr">
        <x:is>
          <x:t xml:space="preserve">온대</x:t>
        </x:is>
      </x:c>
      <x:c r="W375" s="5" t="inlineStr">
        <x:is>
          <x:t xml:space="preserve">보통</x:t>
        </x:is>
      </x:c>
      <x:c r="X375" s="5" t="inlineStr">
        <x:is>
          <x:t xml:space="preserve">무관</x:t>
        </x:is>
      </x:c>
      <x:c r="Y375" s="5" t="inlineStr">
        <x:is>
          <x:t xml:space="preserve">무관</x:t>
        </x:is>
      </x:c>
      <x:c r="Z375" s="5" t="inlineStr">
        <x:is>
          <x:t xml:space="preserve">희귀</x:t>
        </x:is>
      </x:c>
      <x:c r="AA375" s="5" t="inlineStr">
        <x:is>
          <x:t xml:space="preserve">동굴</x:t>
        </x:is>
      </x:c>
      <x:c r="AB375" s="5" t="inlineStr">
        <x:is>
          <x:t xml:space="preserve">동굴</x:t>
        </x:is>
      </x:c>
      <x:c r="AC375" s="5" t="inlineStr">
        <x:is>
          <x:t xml:space="preserve">gen3</x:t>
        </x:is>
      </x:c>
      <x:c r="AD375" s="5" t="inlineStr">
        <x:is>
          <x:t xml:space="preserve">.tmp/cobblemon-1.7.3-source/common/src/main/resources/data/cobblemon/species/generation3/bagon.json</x:t>
        </x:is>
      </x:c>
    </x:row>
    <x:row r="376" ht="22" customHeight="1">
      <x:c r="A376" s="5" t="n">
        <x:v>372</x:v>
      </x:c>
      <x:c r="B376" s="5" t="inlineStr">
        <x:is>
          <x:t xml:space="preserve">쉘곤</x:t>
        </x:is>
      </x:c>
      <x:c r="C376" s="5" t="inlineStr">
        <x:is>
          <x:t xml:space="preserve">shelgon</x:t>
        </x:is>
      </x:c>
      <x:c r="D376" s="5" t="inlineStr">
        <x:is>
          <x:t xml:space="preserve">Shelgon</x:t>
        </x:is>
      </x:c>
      <x:c r="E376" s="5" t="n">
        <x:v>3</x:v>
      </x:c>
      <x:c r="F376" s="5" t="inlineStr">
        <x:is>
          <x:t xml:space="preserve">드래곤</x:t>
        </x:is>
      </x:c>
      <x:c r="G376" s="5" t="inlineStr">
        <x:is>
          <x:t xml:space="preserve"/>
        </x:is>
      </x:c>
      <x:c r="H376" s="5" t="n">
        <x:v>1.1</x:v>
      </x:c>
      <x:c r="I376" s="5" t="n">
        <x:v>110.5</x:v>
      </x:c>
      <x:c r="J376" s="5" t="n">
        <x:v>420</x:v>
      </x:c>
      <x:c r="K376" s="5" t="n">
        <x:v>45</x:v>
      </x:c>
      <x:c r="L376" s="5" t="inlineStr">
        <x:is>
          <x:t xml:space="preserve">중간</x:t>
        </x:is>
      </x:c>
      <x:c r="M376" s="5" t="n">
        <x:v>50</x:v>
      </x:c>
      <x:c r="N376" s="5" t="inlineStr">
        <x:is>
          <x:t xml:space="preserve">레벨</x:t>
        </x:is>
      </x:c>
      <x:c r="O376" s="5" t="inlineStr">
        <x:is>
          <x:t xml:space="preserve">예</x:t>
        </x:is>
      </x:c>
      <x:c r="P376" s="5" t="inlineStr">
        <x:is>
          <x:t xml:space="preserve">#aether:is_aether; #cobblemon:is_dripstone</x:t>
        </x:is>
      </x:c>
      <x:c r="Q376" s="5" t="inlineStr">
        <x:is>
          <x:t xml:space="preserve">rare; ultra-rare</x:t>
        </x:is>
      </x:c>
      <x:c r="R376" s="5" t="inlineStr">
        <x:is>
          <x:t xml:space="preserve"/>
        </x:is>
      </x:c>
      <x:c r="S376" s="5" t="inlineStr">
        <x:is>
          <x:t xml:space="preserve"/>
        </x:is>
      </x:c>
      <x:c r="T376" s="5" t="inlineStr">
        <x:is>
          <x:t xml:space="preserve">육상</x:t>
        </x:is>
      </x:c>
      <x:c r="U376" s="5" t="inlineStr">
        <x:is>
          <x:t xml:space="preserve">동굴</x:t>
        </x:is>
      </x:c>
      <x:c r="V376" s="5" t="inlineStr">
        <x:is>
          <x:t xml:space="preserve">온대</x:t>
        </x:is>
      </x:c>
      <x:c r="W376" s="5" t="inlineStr">
        <x:is>
          <x:t xml:space="preserve">보통</x:t>
        </x:is>
      </x:c>
      <x:c r="X376" s="5" t="inlineStr">
        <x:is>
          <x:t xml:space="preserve">무관</x:t>
        </x:is>
      </x:c>
      <x:c r="Y376" s="5" t="inlineStr">
        <x:is>
          <x:t xml:space="preserve">무관</x:t>
        </x:is>
      </x:c>
      <x:c r="Z376" s="5" t="inlineStr">
        <x:is>
          <x:t xml:space="preserve">희귀</x:t>
        </x:is>
      </x:c>
      <x:c r="AA376" s="5" t="inlineStr">
        <x:is>
          <x:t xml:space="preserve">동굴</x:t>
        </x:is>
      </x:c>
      <x:c r="AB376" s="5" t="inlineStr">
        <x:is>
          <x:t xml:space="preserve">동굴</x:t>
        </x:is>
      </x:c>
      <x:c r="AC376" s="5" t="inlineStr">
        <x:is>
          <x:t xml:space="preserve">gen3</x:t>
        </x:is>
      </x:c>
      <x:c r="AD376" s="5" t="inlineStr">
        <x:is>
          <x:t xml:space="preserve">.tmp/cobblemon-1.7.3-source/common/src/main/resources/data/cobblemon/species/generation3/shelgon.json</x:t>
        </x:is>
      </x:c>
    </x:row>
    <x:row r="377" ht="22" customHeight="1">
      <x:c r="A377" s="5" t="n">
        <x:v>373</x:v>
      </x:c>
      <x:c r="B377" s="5" t="inlineStr">
        <x:is>
          <x:t xml:space="preserve">보만다</x:t>
        </x:is>
      </x:c>
      <x:c r="C377" s="5" t="inlineStr">
        <x:is>
          <x:t xml:space="preserve">salamence</x:t>
        </x:is>
      </x:c>
      <x:c r="D377" s="5" t="inlineStr">
        <x:is>
          <x:t xml:space="preserve">Salamence</x:t>
        </x:is>
      </x:c>
      <x:c r="E377" s="5" t="n">
        <x:v>3</x:v>
      </x:c>
      <x:c r="F377" s="5" t="inlineStr">
        <x:is>
          <x:t xml:space="preserve">드래곤</x:t>
        </x:is>
      </x:c>
      <x:c r="G377" s="5" t="inlineStr">
        <x:is>
          <x:t xml:space="preserve">비행</x:t>
        </x:is>
      </x:c>
      <x:c r="H377" s="5" t="n">
        <x:v>1.5</x:v>
      </x:c>
      <x:c r="I377" s="5" t="n">
        <x:v>102.6</x:v>
      </x:c>
      <x:c r="J377" s="5" t="n">
        <x:v>600</x:v>
      </x:c>
      <x:c r="K377" s="5" t="n">
        <x:v>45</x:v>
      </x:c>
      <x:c r="L377" s="5" t="inlineStr">
        <x:is>
          <x:t xml:space="preserve">최종</x:t>
        </x:is>
      </x:c>
      <x:c r="M377" s="5" t="n">
        <x:v>50</x:v>
      </x:c>
      <x:c r="N377" s="5" t="inlineStr">
        <x:is>
          <x:t xml:space="preserve">레벨</x:t>
        </x:is>
      </x:c>
      <x:c r="O377" s="5" t="inlineStr">
        <x:is>
          <x:t xml:space="preserve">예</x:t>
        </x:is>
      </x:c>
      <x:c r="P377" s="5" t="inlineStr">
        <x:is>
          <x:t xml:space="preserve">#aether:is_aether; #cobblemon:is_dripstone; #cobblemon:is_peak; #cobblemon:is_sky</x:t>
        </x:is>
      </x:c>
      <x:c r="Q377" s="5" t="inlineStr">
        <x:is>
          <x:t xml:space="preserve">rare; ultra-rare</x:t>
        </x:is>
      </x:c>
      <x:c r="R377" s="5" t="inlineStr">
        <x:is>
          <x:t xml:space="preserve"/>
        </x:is>
      </x:c>
      <x:c r="S377" s="5" t="inlineStr">
        <x:is>
          <x:t xml:space="preserve"/>
        </x:is>
      </x:c>
      <x:c r="T377" s="5" t="inlineStr">
        <x:is>
          <x:t xml:space="preserve">비행</x:t>
        </x:is>
      </x:c>
      <x:c r="U377" s="5" t="inlineStr">
        <x:is>
          <x:t xml:space="preserve">동굴</x:t>
        </x:is>
      </x:c>
      <x:c r="V377" s="5" t="inlineStr">
        <x:is>
          <x:t xml:space="preserve">온대</x:t>
        </x:is>
      </x:c>
      <x:c r="W377" s="5" t="inlineStr">
        <x:is>
          <x:t xml:space="preserve">보통</x:t>
        </x:is>
      </x:c>
      <x:c r="X377" s="5" t="inlineStr">
        <x:is>
          <x:t xml:space="preserve">무관</x:t>
        </x:is>
      </x:c>
      <x:c r="Y377" s="5" t="inlineStr">
        <x:is>
          <x:t xml:space="preserve">무관</x:t>
        </x:is>
      </x:c>
      <x:c r="Z377" s="5" t="inlineStr">
        <x:is>
          <x:t xml:space="preserve">희귀</x:t>
        </x:is>
      </x:c>
      <x:c r="AA377" s="5" t="inlineStr">
        <x:is>
          <x:t xml:space="preserve">동굴</x:t>
        </x:is>
      </x:c>
      <x:c r="AB377" s="5" t="inlineStr">
        <x:is>
          <x:t xml:space="preserve">동굴</x:t>
        </x:is>
      </x:c>
      <x:c r="AC377" s="5" t="inlineStr">
        <x:is>
          <x:t xml:space="preserve">gen3; powerhouse</x:t>
        </x:is>
      </x:c>
      <x:c r="AD377" s="5" t="inlineStr">
        <x:is>
          <x:t xml:space="preserve">.tmp/cobblemon-1.7.3-source/common/src/main/resources/data/cobblemon/species/generation3/salamence.json</x:t>
        </x:is>
      </x:c>
    </x:row>
    <x:row r="378" ht="22" customHeight="1">
      <x:c r="A378" s="5" t="n">
        <x:v>374</x:v>
      </x:c>
      <x:c r="B378" s="5" t="inlineStr">
        <x:is>
          <x:t xml:space="preserve">메탕</x:t>
        </x:is>
      </x:c>
      <x:c r="C378" s="5" t="inlineStr">
        <x:is>
          <x:t xml:space="preserve">beldum</x:t>
        </x:is>
      </x:c>
      <x:c r="D378" s="5" t="inlineStr">
        <x:is>
          <x:t xml:space="preserve">Beldum</x:t>
        </x:is>
      </x:c>
      <x:c r="E378" s="5" t="n">
        <x:v>3</x:v>
      </x:c>
      <x:c r="F378" s="5" t="inlineStr">
        <x:is>
          <x:t xml:space="preserve">강철</x:t>
        </x:is>
      </x:c>
      <x:c r="G378" s="5" t="inlineStr">
        <x:is>
          <x:t xml:space="preserve">에스퍼</x:t>
        </x:is>
      </x:c>
      <x:c r="H378" s="5" t="n">
        <x:v>0.6</x:v>
      </x:c>
      <x:c r="I378" s="5" t="n">
        <x:v>95.2</x:v>
      </x:c>
      <x:c r="J378" s="5" t="n">
        <x:v>300</x:v>
      </x:c>
      <x:c r="K378" s="5" t="n">
        <x:v>3</x:v>
      </x:c>
      <x:c r="L378" s="5" t="inlineStr">
        <x:is>
          <x:t xml:space="preserve">기본</x:t>
        </x:is>
      </x:c>
      <x:c r="M378" s="5" t="n">
        <x:v>45</x:v>
      </x:c>
      <x:c r="N378" s="5" t="inlineStr">
        <x:is>
          <x:t xml:space="preserve">레벨</x:t>
        </x:is>
      </x:c>
      <x:c r="O378" s="5" t="inlineStr">
        <x:is>
          <x:t xml:space="preserve">예</x:t>
        </x:is>
      </x:c>
      <x:c r="P378" s="5" t="inlineStr">
        <x:is>
          <x:t xml:space="preserve">#aether:is_aether; #cobblemon:is_dripstone; #cobblemon:is_end; #cobblemon:is_peak; the_bumblezone:howling_constructs</x:t>
        </x:is>
      </x:c>
      <x:c r="Q378" s="5" t="inlineStr">
        <x:is>
          <x:t xml:space="preserve">rare; ultra-rare; uncommon</x:t>
        </x:is>
      </x:c>
      <x:c r="R378" s="5" t="inlineStr">
        <x:is>
          <x:t xml:space="preserve"/>
        </x:is>
      </x:c>
      <x:c r="S378" s="5" t="inlineStr">
        <x:is>
          <x:t xml:space="preserve"/>
        </x:is>
      </x:c>
      <x:c r="T378" s="5" t="inlineStr">
        <x:is>
          <x:t xml:space="preserve">인공</x:t>
        </x:is>
      </x:c>
      <x:c r="U378" s="5" t="inlineStr">
        <x:is>
          <x:t xml:space="preserve">동굴</x:t>
        </x:is>
      </x:c>
      <x:c r="V378" s="5" t="inlineStr">
        <x:is>
          <x:t xml:space="preserve">온대</x:t>
        </x:is>
      </x:c>
      <x:c r="W378" s="5" t="inlineStr">
        <x:is>
          <x:t xml:space="preserve">보통</x:t>
        </x:is>
      </x:c>
      <x:c r="X378" s="5" t="inlineStr">
        <x:is>
          <x:t xml:space="preserve">무관</x:t>
        </x:is>
      </x:c>
      <x:c r="Y378" s="5" t="inlineStr">
        <x:is>
          <x:t xml:space="preserve">무관</x:t>
        </x:is>
      </x:c>
      <x:c r="Z378" s="5" t="inlineStr">
        <x:is>
          <x:t xml:space="preserve">보통</x:t>
        </x:is>
      </x:c>
      <x:c r="AA378" s="5" t="inlineStr">
        <x:is>
          <x:t xml:space="preserve">동굴</x:t>
        </x:is>
      </x:c>
      <x:c r="AB378" s="5" t="inlineStr">
        <x:is>
          <x:t xml:space="preserve">동굴</x:t>
        </x:is>
      </x:c>
      <x:c r="AC378" s="5" t="inlineStr">
        <x:is>
          <x:t xml:space="preserve">gen3</x:t>
        </x:is>
      </x:c>
      <x:c r="AD378" s="5" t="inlineStr">
        <x:is>
          <x:t xml:space="preserve">.tmp/cobblemon-1.7.3-source/common/src/main/resources/data/cobblemon/species/generation3/beldum.json</x:t>
        </x:is>
      </x:c>
    </x:row>
    <x:row r="379" ht="22" customHeight="1">
      <x:c r="A379" s="5" t="n">
        <x:v>375</x:v>
      </x:c>
      <x:c r="B379" s="5" t="inlineStr">
        <x:is>
          <x:t xml:space="preserve">메탕구</x:t>
        </x:is>
      </x:c>
      <x:c r="C379" s="5" t="inlineStr">
        <x:is>
          <x:t xml:space="preserve">metang</x:t>
        </x:is>
      </x:c>
      <x:c r="D379" s="5" t="inlineStr">
        <x:is>
          <x:t xml:space="preserve">Metang</x:t>
        </x:is>
      </x:c>
      <x:c r="E379" s="5" t="n">
        <x:v>3</x:v>
      </x:c>
      <x:c r="F379" s="5" t="inlineStr">
        <x:is>
          <x:t xml:space="preserve">강철</x:t>
        </x:is>
      </x:c>
      <x:c r="G379" s="5" t="inlineStr">
        <x:is>
          <x:t xml:space="preserve">에스퍼</x:t>
        </x:is>
      </x:c>
      <x:c r="H379" s="5" t="n">
        <x:v>1.2</x:v>
      </x:c>
      <x:c r="I379" s="5" t="n">
        <x:v>202.5</x:v>
      </x:c>
      <x:c r="J379" s="5" t="n">
        <x:v>420</x:v>
      </x:c>
      <x:c r="K379" s="5" t="n">
        <x:v>3</x:v>
      </x:c>
      <x:c r="L379" s="5" t="inlineStr">
        <x:is>
          <x:t xml:space="preserve">중간</x:t>
        </x:is>
      </x:c>
      <x:c r="M379" s="5" t="n">
        <x:v>45</x:v>
      </x:c>
      <x:c r="N379" s="5" t="inlineStr">
        <x:is>
          <x:t xml:space="preserve">레벨</x:t>
        </x:is>
      </x:c>
      <x:c r="O379" s="5" t="inlineStr">
        <x:is>
          <x:t xml:space="preserve">예</x:t>
        </x:is>
      </x:c>
      <x:c r="P379" s="5" t="inlineStr">
        <x:is>
          <x:t xml:space="preserve">#aether:is_aether; #cobblemon:is_dripstone; #cobblemon:is_end; #cobblemon:is_peak; the_bumblezone:howling_constructs</x:t>
        </x:is>
      </x:c>
      <x:c r="Q379" s="5" t="inlineStr">
        <x:is>
          <x:t xml:space="preserve">rare; ultra-rare; uncommon</x:t>
        </x:is>
      </x:c>
      <x:c r="R379" s="5" t="inlineStr">
        <x:is>
          <x:t xml:space="preserve"/>
        </x:is>
      </x:c>
      <x:c r="S379" s="5" t="inlineStr">
        <x:is>
          <x:t xml:space="preserve"/>
        </x:is>
      </x:c>
      <x:c r="T379" s="5" t="inlineStr">
        <x:is>
          <x:t xml:space="preserve">인공</x:t>
        </x:is>
      </x:c>
      <x:c r="U379" s="5" t="inlineStr">
        <x:is>
          <x:t xml:space="preserve">동굴</x:t>
        </x:is>
      </x:c>
      <x:c r="V379" s="5" t="inlineStr">
        <x:is>
          <x:t xml:space="preserve">온대</x:t>
        </x:is>
      </x:c>
      <x:c r="W379" s="5" t="inlineStr">
        <x:is>
          <x:t xml:space="preserve">보통</x:t>
        </x:is>
      </x:c>
      <x:c r="X379" s="5" t="inlineStr">
        <x:is>
          <x:t xml:space="preserve">무관</x:t>
        </x:is>
      </x:c>
      <x:c r="Y379" s="5" t="inlineStr">
        <x:is>
          <x:t xml:space="preserve">무관</x:t>
        </x:is>
      </x:c>
      <x:c r="Z379" s="5" t="inlineStr">
        <x:is>
          <x:t xml:space="preserve">보통</x:t>
        </x:is>
      </x:c>
      <x:c r="AA379" s="5" t="inlineStr">
        <x:is>
          <x:t xml:space="preserve">동굴</x:t>
        </x:is>
      </x:c>
      <x:c r="AB379" s="5" t="inlineStr">
        <x:is>
          <x:t xml:space="preserve">동굴</x:t>
        </x:is>
      </x:c>
      <x:c r="AC379" s="5" t="inlineStr">
        <x:is>
          <x:t xml:space="preserve">gen3</x:t>
        </x:is>
      </x:c>
      <x:c r="AD379" s="5" t="inlineStr">
        <x:is>
          <x:t xml:space="preserve">.tmp/cobblemon-1.7.3-source/common/src/main/resources/data/cobblemon/species/generation3/metang.json</x:t>
        </x:is>
      </x:c>
    </x:row>
    <x:row r="380" ht="22" customHeight="1">
      <x:c r="A380" s="5" t="n">
        <x:v>376</x:v>
      </x:c>
      <x:c r="B380" s="5" t="inlineStr">
        <x:is>
          <x:t xml:space="preserve">메타그로스</x:t>
        </x:is>
      </x:c>
      <x:c r="C380" s="5" t="inlineStr">
        <x:is>
          <x:t xml:space="preserve">metagross</x:t>
        </x:is>
      </x:c>
      <x:c r="D380" s="5" t="inlineStr">
        <x:is>
          <x:t xml:space="preserve">Metagross</x:t>
        </x:is>
      </x:c>
      <x:c r="E380" s="5" t="n">
        <x:v>3</x:v>
      </x:c>
      <x:c r="F380" s="5" t="inlineStr">
        <x:is>
          <x:t xml:space="preserve">강철</x:t>
        </x:is>
      </x:c>
      <x:c r="G380" s="5" t="inlineStr">
        <x:is>
          <x:t xml:space="preserve">에스퍼</x:t>
        </x:is>
      </x:c>
      <x:c r="H380" s="5" t="n">
        <x:v>1.6</x:v>
      </x:c>
      <x:c r="I380" s="5" t="n">
        <x:v>550</x:v>
      </x:c>
      <x:c r="J380" s="5" t="n">
        <x:v>600</x:v>
      </x:c>
      <x:c r="K380" s="5" t="n">
        <x:v>3</x:v>
      </x:c>
      <x:c r="L380" s="5" t="inlineStr">
        <x:is>
          <x:t xml:space="preserve">최종</x:t>
        </x:is>
      </x:c>
      <x:c r="M380" s="5" t="n">
        <x:v>45</x:v>
      </x:c>
      <x:c r="N380" s="5" t="inlineStr">
        <x:is>
          <x:t xml:space="preserve">레벨</x:t>
        </x:is>
      </x:c>
      <x:c r="O380" s="5" t="inlineStr">
        <x:is>
          <x:t xml:space="preserve">예</x:t>
        </x:is>
      </x:c>
      <x:c r="P380" s="5" t="inlineStr">
        <x:is>
          <x:t xml:space="preserve">#aether:is_aether; #cobblemon:is_dripstone; #cobblemon:is_end; #cobblemon:is_peak; the_bumblezone:howling_constructs</x:t>
        </x:is>
      </x:c>
      <x:c r="Q380" s="5" t="inlineStr">
        <x:is>
          <x:t xml:space="preserve">rare; ultra-rare; uncommon</x:t>
        </x:is>
      </x:c>
      <x:c r="R380" s="5" t="inlineStr">
        <x:is>
          <x:t xml:space="preserve"/>
        </x:is>
      </x:c>
      <x:c r="S380" s="5" t="inlineStr">
        <x:is>
          <x:t xml:space="preserve"/>
        </x:is>
      </x:c>
      <x:c r="T380" s="5" t="inlineStr">
        <x:is>
          <x:t xml:space="preserve">인공</x:t>
        </x:is>
      </x:c>
      <x:c r="U380" s="5" t="inlineStr">
        <x:is>
          <x:t xml:space="preserve">동굴</x:t>
        </x:is>
      </x:c>
      <x:c r="V380" s="5" t="inlineStr">
        <x:is>
          <x:t xml:space="preserve">온대</x:t>
        </x:is>
      </x:c>
      <x:c r="W380" s="5" t="inlineStr">
        <x:is>
          <x:t xml:space="preserve">보통</x:t>
        </x:is>
      </x:c>
      <x:c r="X380" s="5" t="inlineStr">
        <x:is>
          <x:t xml:space="preserve">무관</x:t>
        </x:is>
      </x:c>
      <x:c r="Y380" s="5" t="inlineStr">
        <x:is>
          <x:t xml:space="preserve">무관</x:t>
        </x:is>
      </x:c>
      <x:c r="Z380" s="5" t="inlineStr">
        <x:is>
          <x:t xml:space="preserve">보통</x:t>
        </x:is>
      </x:c>
      <x:c r="AA380" s="5" t="inlineStr">
        <x:is>
          <x:t xml:space="preserve">동굴</x:t>
        </x:is>
      </x:c>
      <x:c r="AB380" s="5" t="inlineStr">
        <x:is>
          <x:t xml:space="preserve">동굴</x:t>
        </x:is>
      </x:c>
      <x:c r="AC380" s="5" t="inlineStr">
        <x:is>
          <x:t xml:space="preserve">gen3; powerhouse</x:t>
        </x:is>
      </x:c>
      <x:c r="AD380" s="5" t="inlineStr">
        <x:is>
          <x:t xml:space="preserve">.tmp/cobblemon-1.7.3-source/common/src/main/resources/data/cobblemon/species/generation3/metagross.json</x:t>
        </x:is>
      </x:c>
    </x:row>
    <x:row r="381" ht="22" customHeight="1">
      <x:c r="A381" s="5" t="n">
        <x:v>377</x:v>
      </x:c>
      <x:c r="B381" s="5" t="inlineStr">
        <x:is>
          <x:t xml:space="preserve">레지락</x:t>
        </x:is>
      </x:c>
      <x:c r="C381" s="5" t="inlineStr">
        <x:is>
          <x:t xml:space="preserve">regirock</x:t>
        </x:is>
      </x:c>
      <x:c r="D381" s="5" t="inlineStr">
        <x:is>
          <x:t xml:space="preserve">Regirock</x:t>
        </x:is>
      </x:c>
      <x:c r="E381" s="5" t="n">
        <x:v>3</x:v>
      </x:c>
      <x:c r="F381" s="5" t="inlineStr">
        <x:is>
          <x:t xml:space="preserve">바위</x:t>
        </x:is>
      </x:c>
      <x:c r="G381" s="5" t="inlineStr">
        <x:is>
          <x:t xml:space="preserve"/>
        </x:is>
      </x:c>
      <x:c r="H381" s="5" t="n">
        <x:v>1.7</x:v>
      </x:c>
      <x:c r="I381" s="5" t="n">
        <x:v>230</x:v>
      </x:c>
      <x:c r="J381" s="5" t="n">
        <x:v>580</x:v>
      </x:c>
      <x:c r="K381" s="5" t="n">
        <x:v>3</x:v>
      </x:c>
      <x:c r="L381" s="5" t="inlineStr">
        <x:is>
          <x:t xml:space="preserve">무진화</x:t>
        </x:is>
      </x:c>
      <x:c r="M381" s="5" t="n"/>
      <x:c r="N381" s="5" t="inlineStr">
        <x:is>
          <x:t xml:space="preserve">없음</x:t>
        </x:is>
      </x:c>
      <x:c r="O381" s="5" t="inlineStr">
        <x:is>
          <x:t xml:space="preserve">예</x:t>
        </x:is>
      </x:c>
      <x:c r="P381" s="5" t="inlineStr">
        <x:is>
          <x:t xml:space="preserve">cobbleverse:custom_spawn/regirock_temple</x:t>
        </x:is>
      </x:c>
      <x:c r="Q381" s="5" t="inlineStr">
        <x:is>
          <x:t xml:space="preserve">ultra-rare</x:t>
        </x:is>
      </x:c>
      <x:c r="R381" s="5" t="inlineStr">
        <x:is>
          <x:t xml:space="preserve"/>
        </x:is>
      </x:c>
      <x:c r="S381" s="5" t="inlineStr">
        <x:is>
          <x:t xml:space="preserve"/>
        </x:is>
      </x:c>
      <x:c r="T381" s="5" t="inlineStr">
        <x:is>
          <x:t xml:space="preserve">육상</x:t>
        </x:is>
      </x:c>
      <x:c r="U381" s="5" t="inlineStr">
        <x:is>
          <x:t xml:space="preserve">특수</x:t>
        </x:is>
      </x:c>
      <x:c r="V381" s="5" t="inlineStr">
        <x:is>
          <x:t xml:space="preserve">온대</x:t>
        </x:is>
      </x:c>
      <x:c r="W381" s="5" t="inlineStr">
        <x:is>
          <x:t xml:space="preserve">보통</x:t>
        </x:is>
      </x:c>
      <x:c r="X381" s="5" t="inlineStr">
        <x:is>
          <x:t xml:space="preserve">무관</x:t>
        </x:is>
      </x:c>
      <x:c r="Y381" s="5" t="inlineStr">
        <x:is>
          <x:t xml:space="preserve">무관</x:t>
        </x:is>
      </x:c>
      <x:c r="Z381" s="5" t="inlineStr">
        <x:is>
          <x:t xml:space="preserve">전설</x:t>
        </x:is>
      </x:c>
      <x:c r="AA381" s="5" t="inlineStr">
        <x:is>
          <x:t xml:space="preserve">전설</x:t>
        </x:is>
      </x:c>
      <x:c r="AB381" s="5" t="inlineStr">
        <x:is>
          <x:t xml:space="preserve">특수</x:t>
        </x:is>
      </x:c>
      <x:c r="AC381" s="5" t="inlineStr">
        <x:is>
          <x:t xml:space="preserve">gen3; legendary</x:t>
        </x:is>
      </x:c>
      <x:c r="AD381" s="5" t="inlineStr">
        <x:is>
          <x:t xml:space="preserve">.tmp/cobblemon-1.7.3-source/common/src/main/resources/data/cobblemon/species/generation3/regirock.json</x:t>
        </x:is>
      </x:c>
    </x:row>
    <x:row r="382" ht="22" customHeight="1">
      <x:c r="A382" s="5" t="n">
        <x:v>378</x:v>
      </x:c>
      <x:c r="B382" s="5" t="inlineStr">
        <x:is>
          <x:t xml:space="preserve">레지아이스</x:t>
        </x:is>
      </x:c>
      <x:c r="C382" s="5" t="inlineStr">
        <x:is>
          <x:t xml:space="preserve">regice</x:t>
        </x:is>
      </x:c>
      <x:c r="D382" s="5" t="inlineStr">
        <x:is>
          <x:t xml:space="preserve">Regice</x:t>
        </x:is>
      </x:c>
      <x:c r="E382" s="5" t="n">
        <x:v>3</x:v>
      </x:c>
      <x:c r="F382" s="5" t="inlineStr">
        <x:is>
          <x:t xml:space="preserve">얼음</x:t>
        </x:is>
      </x:c>
      <x:c r="G382" s="5" t="inlineStr">
        <x:is>
          <x:t xml:space="preserve"/>
        </x:is>
      </x:c>
      <x:c r="H382" s="5" t="n">
        <x:v>1.8</x:v>
      </x:c>
      <x:c r="I382" s="5" t="n">
        <x:v>175</x:v>
      </x:c>
      <x:c r="J382" s="5" t="n">
        <x:v>580</x:v>
      </x:c>
      <x:c r="K382" s="5" t="n">
        <x:v>3</x:v>
      </x:c>
      <x:c r="L382" s="5" t="inlineStr">
        <x:is>
          <x:t xml:space="preserve">무진화</x:t>
        </x:is>
      </x:c>
      <x:c r="M382" s="5" t="n"/>
      <x:c r="N382" s="5" t="inlineStr">
        <x:is>
          <x:t xml:space="preserve">없음</x:t>
        </x:is>
      </x:c>
      <x:c r="O382" s="5" t="inlineStr">
        <x:is>
          <x:t xml:space="preserve">예</x:t>
        </x:is>
      </x:c>
      <x:c r="P382" s="5" t="inlineStr">
        <x:is>
          <x:t xml:space="preserve">cobbleverse:custom_spawn/regice_temple</x:t>
        </x:is>
      </x:c>
      <x:c r="Q382" s="5" t="inlineStr">
        <x:is>
          <x:t xml:space="preserve">ultra-rare</x:t>
        </x:is>
      </x:c>
      <x:c r="R382" s="5" t="inlineStr">
        <x:is>
          <x:t xml:space="preserve"/>
        </x:is>
      </x:c>
      <x:c r="S382" s="5" t="inlineStr">
        <x:is>
          <x:t xml:space="preserve"/>
        </x:is>
      </x:c>
      <x:c r="T382" s="5" t="inlineStr">
        <x:is>
          <x:t xml:space="preserve">육상</x:t>
        </x:is>
      </x:c>
      <x:c r="U382" s="5" t="inlineStr">
        <x:is>
          <x:t xml:space="preserve">특수</x:t>
        </x:is>
      </x:c>
      <x:c r="V382" s="5" t="inlineStr">
        <x:is>
          <x:t xml:space="preserve">한랭</x:t>
        </x:is>
      </x:c>
      <x:c r="W382" s="5" t="inlineStr">
        <x:is>
          <x:t xml:space="preserve">보통</x:t>
        </x:is>
      </x:c>
      <x:c r="X382" s="5" t="inlineStr">
        <x:is>
          <x:t xml:space="preserve">무관</x:t>
        </x:is>
      </x:c>
      <x:c r="Y382" s="5" t="inlineStr">
        <x:is>
          <x:t xml:space="preserve">무관</x:t>
        </x:is>
      </x:c>
      <x:c r="Z382" s="5" t="inlineStr">
        <x:is>
          <x:t xml:space="preserve">전설</x:t>
        </x:is>
      </x:c>
      <x:c r="AA382" s="5" t="inlineStr">
        <x:is>
          <x:t xml:space="preserve">전설</x:t>
        </x:is>
      </x:c>
      <x:c r="AB382" s="5" t="inlineStr">
        <x:is>
          <x:t xml:space="preserve">특수</x:t>
        </x:is>
      </x:c>
      <x:c r="AC382" s="5" t="inlineStr">
        <x:is>
          <x:t xml:space="preserve">gen3; legendary</x:t>
        </x:is>
      </x:c>
      <x:c r="AD382" s="5" t="inlineStr">
        <x:is>
          <x:t xml:space="preserve">.tmp/cobblemon-1.7.3-source/common/src/main/resources/data/cobblemon/species/generation3/regice.json</x:t>
        </x:is>
      </x:c>
    </x:row>
    <x:row r="383" ht="22" customHeight="1">
      <x:c r="A383" s="5" t="n">
        <x:v>379</x:v>
      </x:c>
      <x:c r="B383" s="5" t="inlineStr">
        <x:is>
          <x:t xml:space="preserve">레지스틸</x:t>
        </x:is>
      </x:c>
      <x:c r="C383" s="5" t="inlineStr">
        <x:is>
          <x:t xml:space="preserve">registeel</x:t>
        </x:is>
      </x:c>
      <x:c r="D383" s="5" t="inlineStr">
        <x:is>
          <x:t xml:space="preserve">Registeel</x:t>
        </x:is>
      </x:c>
      <x:c r="E383" s="5" t="n">
        <x:v>3</x:v>
      </x:c>
      <x:c r="F383" s="5" t="inlineStr">
        <x:is>
          <x:t xml:space="preserve">강철</x:t>
        </x:is>
      </x:c>
      <x:c r="G383" s="5" t="inlineStr">
        <x:is>
          <x:t xml:space="preserve"/>
        </x:is>
      </x:c>
      <x:c r="H383" s="5" t="n">
        <x:v>1.9</x:v>
      </x:c>
      <x:c r="I383" s="5" t="n">
        <x:v>205</x:v>
      </x:c>
      <x:c r="J383" s="5" t="n">
        <x:v>580</x:v>
      </x:c>
      <x:c r="K383" s="5" t="n">
        <x:v>3</x:v>
      </x:c>
      <x:c r="L383" s="5" t="inlineStr">
        <x:is>
          <x:t xml:space="preserve">무진화</x:t>
        </x:is>
      </x:c>
      <x:c r="M383" s="5" t="n"/>
      <x:c r="N383" s="5" t="inlineStr">
        <x:is>
          <x:t xml:space="preserve">없음</x:t>
        </x:is>
      </x:c>
      <x:c r="O383" s="5" t="inlineStr">
        <x:is>
          <x:t xml:space="preserve">예</x:t>
        </x:is>
      </x:c>
      <x:c r="P383" s="5" t="inlineStr">
        <x:is>
          <x:t xml:space="preserve">cobbleverse:custom_spawn/registeel_temple</x:t>
        </x:is>
      </x:c>
      <x:c r="Q383" s="5" t="inlineStr">
        <x:is>
          <x:t xml:space="preserve">ultra-rare</x:t>
        </x:is>
      </x:c>
      <x:c r="R383" s="5" t="inlineStr">
        <x:is>
          <x:t xml:space="preserve"/>
        </x:is>
      </x:c>
      <x:c r="S383" s="5" t="inlineStr">
        <x:is>
          <x:t xml:space="preserve"/>
        </x:is>
      </x:c>
      <x:c r="T383" s="5" t="inlineStr">
        <x:is>
          <x:t xml:space="preserve">육상</x:t>
        </x:is>
      </x:c>
      <x:c r="U383" s="5" t="inlineStr">
        <x:is>
          <x:t xml:space="preserve">특수</x:t>
        </x:is>
      </x:c>
      <x:c r="V383" s="5" t="inlineStr">
        <x:is>
          <x:t xml:space="preserve">온대</x:t>
        </x:is>
      </x:c>
      <x:c r="W383" s="5" t="inlineStr">
        <x:is>
          <x:t xml:space="preserve">보통</x:t>
        </x:is>
      </x:c>
      <x:c r="X383" s="5" t="inlineStr">
        <x:is>
          <x:t xml:space="preserve">무관</x:t>
        </x:is>
      </x:c>
      <x:c r="Y383" s="5" t="inlineStr">
        <x:is>
          <x:t xml:space="preserve">무관</x:t>
        </x:is>
      </x:c>
      <x:c r="Z383" s="5" t="inlineStr">
        <x:is>
          <x:t xml:space="preserve">전설</x:t>
        </x:is>
      </x:c>
      <x:c r="AA383" s="5" t="inlineStr">
        <x:is>
          <x:t xml:space="preserve">전설</x:t>
        </x:is>
      </x:c>
      <x:c r="AB383" s="5" t="inlineStr">
        <x:is>
          <x:t xml:space="preserve">특수</x:t>
        </x:is>
      </x:c>
      <x:c r="AC383" s="5" t="inlineStr">
        <x:is>
          <x:t xml:space="preserve">gen3; legendary</x:t>
        </x:is>
      </x:c>
      <x:c r="AD383" s="5" t="inlineStr">
        <x:is>
          <x:t xml:space="preserve">.tmp/cobblemon-1.7.3-source/common/src/main/resources/data/cobblemon/species/generation3/registeel.json</x:t>
        </x:is>
      </x:c>
    </x:row>
    <x:row r="384" ht="22" customHeight="1">
      <x:c r="A384" s="5" t="n">
        <x:v>380</x:v>
      </x:c>
      <x:c r="B384" s="5" t="inlineStr">
        <x:is>
          <x:t xml:space="preserve">라티아스</x:t>
        </x:is>
      </x:c>
      <x:c r="C384" s="5" t="inlineStr">
        <x:is>
          <x:t xml:space="preserve">latias</x:t>
        </x:is>
      </x:c>
      <x:c r="D384" s="5" t="inlineStr">
        <x:is>
          <x:t xml:space="preserve">Latias</x:t>
        </x:is>
      </x:c>
      <x:c r="E384" s="5" t="n">
        <x:v>3</x:v>
      </x:c>
      <x:c r="F384" s="5" t="inlineStr">
        <x:is>
          <x:t xml:space="preserve">드래곤</x:t>
        </x:is>
      </x:c>
      <x:c r="G384" s="5" t="inlineStr">
        <x:is>
          <x:t xml:space="preserve">에스퍼</x:t>
        </x:is>
      </x:c>
      <x:c r="H384" s="5" t="n">
        <x:v>1.4</x:v>
      </x:c>
      <x:c r="I384" s="5" t="n">
        <x:v>40</x:v>
      </x:c>
      <x:c r="J384" s="5" t="n">
        <x:v>600</x:v>
      </x:c>
      <x:c r="K384" s="5" t="n">
        <x:v>3</x:v>
      </x:c>
      <x:c r="L384" s="5" t="inlineStr">
        <x:is>
          <x:t xml:space="preserve">무진화</x:t>
        </x:is>
      </x:c>
      <x:c r="M384" s="5" t="n"/>
      <x:c r="N384" s="5" t="inlineStr">
        <x:is>
          <x:t xml:space="preserve">없음</x:t>
        </x:is>
      </x:c>
      <x:c r="O384" s="5" t="inlineStr">
        <x:is>
          <x:t xml:space="preserve">예</x:t>
        </x:is>
      </x:c>
      <x:c r="P384" s="5" t="inlineStr">
        <x:is>
          <x:t xml:space="preserve">cobbleverse:custom_spawn/secret_garden</x:t>
        </x:is>
      </x:c>
      <x:c r="Q384" s="5" t="inlineStr">
        <x:is>
          <x:t xml:space="preserve">ultra-rare</x:t>
        </x:is>
      </x:c>
      <x:c r="R384" s="5" t="inlineStr">
        <x:is>
          <x:t xml:space="preserve"/>
        </x:is>
      </x:c>
      <x:c r="S384" s="5" t="inlineStr">
        <x:is>
          <x:t xml:space="preserve"/>
        </x:is>
      </x:c>
      <x:c r="T384" s="5" t="inlineStr">
        <x:is>
          <x:t xml:space="preserve">비행</x:t>
        </x:is>
      </x:c>
      <x:c r="U384" s="5" t="inlineStr">
        <x:is>
          <x:t xml:space="preserve">개활지</x:t>
        </x:is>
      </x:c>
      <x:c r="V384" s="5" t="inlineStr">
        <x:is>
          <x:t xml:space="preserve">온대</x:t>
        </x:is>
      </x:c>
      <x:c r="W384" s="5" t="inlineStr">
        <x:is>
          <x:t xml:space="preserve">보통</x:t>
        </x:is>
      </x:c>
      <x:c r="X384" s="5" t="inlineStr">
        <x:is>
          <x:t xml:space="preserve">무관</x:t>
        </x:is>
      </x:c>
      <x:c r="Y384" s="5" t="inlineStr">
        <x:is>
          <x:t xml:space="preserve">무관</x:t>
        </x:is>
      </x:c>
      <x:c r="Z384" s="5" t="inlineStr">
        <x:is>
          <x:t xml:space="preserve">전설</x:t>
        </x:is>
      </x:c>
      <x:c r="AA384" s="5" t="inlineStr">
        <x:is>
          <x:t xml:space="preserve">전설</x:t>
        </x:is>
      </x:c>
      <x:c r="AB384" s="5" t="inlineStr">
        <x:is>
          <x:t xml:space="preserve"/>
        </x:is>
      </x:c>
      <x:c r="AC384" s="5" t="inlineStr">
        <x:is>
          <x:t xml:space="preserve">gen3; legendary</x:t>
        </x:is>
      </x:c>
      <x:c r="AD384" s="5" t="inlineStr">
        <x:is>
          <x:t xml:space="preserve">.tmp/cobblemon-1.7.3-source/common/src/main/resources/data/cobblemon/species/generation3/latias.json</x:t>
        </x:is>
      </x:c>
    </x:row>
    <x:row r="385" ht="22" customHeight="1">
      <x:c r="A385" s="5" t="n">
        <x:v>381</x:v>
      </x:c>
      <x:c r="B385" s="5" t="inlineStr">
        <x:is>
          <x:t xml:space="preserve">라티오스</x:t>
        </x:is>
      </x:c>
      <x:c r="C385" s="5" t="inlineStr">
        <x:is>
          <x:t xml:space="preserve">latios</x:t>
        </x:is>
      </x:c>
      <x:c r="D385" s="5" t="inlineStr">
        <x:is>
          <x:t xml:space="preserve">Latios</x:t>
        </x:is>
      </x:c>
      <x:c r="E385" s="5" t="n">
        <x:v>3</x:v>
      </x:c>
      <x:c r="F385" s="5" t="inlineStr">
        <x:is>
          <x:t xml:space="preserve">드래곤</x:t>
        </x:is>
      </x:c>
      <x:c r="G385" s="5" t="inlineStr">
        <x:is>
          <x:t xml:space="preserve">에스퍼</x:t>
        </x:is>
      </x:c>
      <x:c r="H385" s="5" t="n">
        <x:v>2</x:v>
      </x:c>
      <x:c r="I385" s="5" t="n">
        <x:v>60</x:v>
      </x:c>
      <x:c r="J385" s="5" t="n">
        <x:v>600</x:v>
      </x:c>
      <x:c r="K385" s="5" t="n">
        <x:v>3</x:v>
      </x:c>
      <x:c r="L385" s="5" t="inlineStr">
        <x:is>
          <x:t xml:space="preserve">무진화</x:t>
        </x:is>
      </x:c>
      <x:c r="M385" s="5" t="n"/>
      <x:c r="N385" s="5" t="inlineStr">
        <x:is>
          <x:t xml:space="preserve">없음</x:t>
        </x:is>
      </x:c>
      <x:c r="O385" s="5" t="inlineStr">
        <x:is>
          <x:t xml:space="preserve">예</x:t>
        </x:is>
      </x:c>
      <x:c r="P385" s="5" t="inlineStr">
        <x:is>
          <x:t xml:space="preserve">cobbleverse:custom_spawn/secret_garden</x:t>
        </x:is>
      </x:c>
      <x:c r="Q385" s="5" t="inlineStr">
        <x:is>
          <x:t xml:space="preserve">ultra-rare</x:t>
        </x:is>
      </x:c>
      <x:c r="R385" s="5" t="inlineStr">
        <x:is>
          <x:t xml:space="preserve"/>
        </x:is>
      </x:c>
      <x:c r="S385" s="5" t="inlineStr">
        <x:is>
          <x:t xml:space="preserve"/>
        </x:is>
      </x:c>
      <x:c r="T385" s="5" t="inlineStr">
        <x:is>
          <x:t xml:space="preserve">비행</x:t>
        </x:is>
      </x:c>
      <x:c r="U385" s="5" t="inlineStr">
        <x:is>
          <x:t xml:space="preserve">개활지</x:t>
        </x:is>
      </x:c>
      <x:c r="V385" s="5" t="inlineStr">
        <x:is>
          <x:t xml:space="preserve">온대</x:t>
        </x:is>
      </x:c>
      <x:c r="W385" s="5" t="inlineStr">
        <x:is>
          <x:t xml:space="preserve">보통</x:t>
        </x:is>
      </x:c>
      <x:c r="X385" s="5" t="inlineStr">
        <x:is>
          <x:t xml:space="preserve">무관</x:t>
        </x:is>
      </x:c>
      <x:c r="Y385" s="5" t="inlineStr">
        <x:is>
          <x:t xml:space="preserve">무관</x:t>
        </x:is>
      </x:c>
      <x:c r="Z385" s="5" t="inlineStr">
        <x:is>
          <x:t xml:space="preserve">전설</x:t>
        </x:is>
      </x:c>
      <x:c r="AA385" s="5" t="inlineStr">
        <x:is>
          <x:t xml:space="preserve">전설</x:t>
        </x:is>
      </x:c>
      <x:c r="AB385" s="5" t="inlineStr">
        <x:is>
          <x:t xml:space="preserve"/>
        </x:is>
      </x:c>
      <x:c r="AC385" s="5" t="inlineStr">
        <x:is>
          <x:t xml:space="preserve">gen3; legendary</x:t>
        </x:is>
      </x:c>
      <x:c r="AD385" s="5" t="inlineStr">
        <x:is>
          <x:t xml:space="preserve">.tmp/cobblemon-1.7.3-source/common/src/main/resources/data/cobblemon/species/generation3/latios.json</x:t>
        </x:is>
      </x:c>
    </x:row>
    <x:row r="386" ht="22" customHeight="1">
      <x:c r="A386" s="5" t="n">
        <x:v>382</x:v>
      </x:c>
      <x:c r="B386" s="5" t="inlineStr">
        <x:is>
          <x:t xml:space="preserve">가이오가</x:t>
        </x:is>
      </x:c>
      <x:c r="C386" s="5" t="inlineStr">
        <x:is>
          <x:t xml:space="preserve">kyogre</x:t>
        </x:is>
      </x:c>
      <x:c r="D386" s="5" t="inlineStr">
        <x:is>
          <x:t xml:space="preserve">Kyogre</x:t>
        </x:is>
      </x:c>
      <x:c r="E386" s="5" t="n">
        <x:v>3</x:v>
      </x:c>
      <x:c r="F386" s="5" t="inlineStr">
        <x:is>
          <x:t xml:space="preserve">물</x:t>
        </x:is>
      </x:c>
      <x:c r="G386" s="5" t="inlineStr">
        <x:is>
          <x:t xml:space="preserve"/>
        </x:is>
      </x:c>
      <x:c r="H386" s="5" t="n">
        <x:v>4.5</x:v>
      </x:c>
      <x:c r="I386" s="5" t="n">
        <x:v>352</x:v>
      </x:c>
      <x:c r="J386" s="5" t="n">
        <x:v>670</x:v>
      </x:c>
      <x:c r="K386" s="5" t="n">
        <x:v>3</x:v>
      </x:c>
      <x:c r="L386" s="5" t="inlineStr">
        <x:is>
          <x:t xml:space="preserve">무진화</x:t>
        </x:is>
      </x:c>
      <x:c r="M386" s="5" t="n"/>
      <x:c r="N386" s="5" t="inlineStr">
        <x:is>
          <x:t xml:space="preserve">없음</x:t>
        </x:is>
      </x:c>
      <x:c r="O386" s="5" t="inlineStr">
        <x:is>
          <x:t xml:space="preserve">아니오</x:t>
        </x:is>
      </x:c>
      <x:c r="P386" s="5" t="inlineStr">
        <x:is>
          <x:t xml:space="preserve">cobbleverse:custom_spawn/kyogre_temple</x:t>
        </x:is>
      </x:c>
      <x:c r="Q386" s="5" t="inlineStr">
        <x:is>
          <x:t xml:space="preserve">ultra-rare</x:t>
        </x:is>
      </x:c>
      <x:c r="R386" s="5" t="inlineStr">
        <x:is>
          <x:t xml:space="preserve"/>
        </x:is>
      </x:c>
      <x:c r="S386" s="5" t="inlineStr">
        <x:is>
          <x:t xml:space="preserve"/>
        </x:is>
      </x:c>
      <x:c r="T386" s="5" t="inlineStr">
        <x:is>
          <x:t xml:space="preserve">수륙</x:t>
        </x:is>
      </x:c>
      <x:c r="U386" s="5" t="inlineStr">
        <x:is>
          <x:t xml:space="preserve">특수</x:t>
        </x:is>
      </x:c>
      <x:c r="V386" s="5" t="inlineStr">
        <x:is>
          <x:t xml:space="preserve">온대</x:t>
        </x:is>
      </x:c>
      <x:c r="W386" s="5" t="inlineStr">
        <x:is>
          <x:t xml:space="preserve">보통</x:t>
        </x:is>
      </x:c>
      <x:c r="X386" s="5" t="inlineStr">
        <x:is>
          <x:t xml:space="preserve">무관</x:t>
        </x:is>
      </x:c>
      <x:c r="Y386" s="5" t="inlineStr">
        <x:is>
          <x:t xml:space="preserve">무관</x:t>
        </x:is>
      </x:c>
      <x:c r="Z386" s="5" t="inlineStr">
        <x:is>
          <x:t xml:space="preserve">전설</x:t>
        </x:is>
      </x:c>
      <x:c r="AA386" s="5" t="inlineStr">
        <x:is>
          <x:t xml:space="preserve">전설</x:t>
        </x:is>
      </x:c>
      <x:c r="AB386" s="5" t="inlineStr">
        <x:is>
          <x:t xml:space="preserve">특수</x:t>
        </x:is>
      </x:c>
      <x:c r="AC386" s="5" t="inlineStr">
        <x:is>
          <x:t xml:space="preserve">gen3; legendary; restricted</x:t>
        </x:is>
      </x:c>
      <x:c r="AD386" s="5" t="inlineStr">
        <x:is>
          <x:t xml:space="preserve">.tmp/cobblemon-1.7.3-source/common/src/main/resources/data/cobblemon/species/generation3/kyogre.json</x:t>
        </x:is>
      </x:c>
    </x:row>
    <x:row r="387" ht="22" customHeight="1">
      <x:c r="A387" s="5" t="n">
        <x:v>383</x:v>
      </x:c>
      <x:c r="B387" s="5" t="inlineStr">
        <x:is>
          <x:t xml:space="preserve">그란돈</x:t>
        </x:is>
      </x:c>
      <x:c r="C387" s="5" t="inlineStr">
        <x:is>
          <x:t xml:space="preserve">groudon</x:t>
        </x:is>
      </x:c>
      <x:c r="D387" s="5" t="inlineStr">
        <x:is>
          <x:t xml:space="preserve">Groudon</x:t>
        </x:is>
      </x:c>
      <x:c r="E387" s="5" t="n">
        <x:v>3</x:v>
      </x:c>
      <x:c r="F387" s="5" t="inlineStr">
        <x:is>
          <x:t xml:space="preserve">땅</x:t>
        </x:is>
      </x:c>
      <x:c r="G387" s="5" t="inlineStr">
        <x:is>
          <x:t xml:space="preserve"/>
        </x:is>
      </x:c>
      <x:c r="H387" s="5" t="n">
        <x:v>3.5</x:v>
      </x:c>
      <x:c r="I387" s="5" t="n">
        <x:v>950</x:v>
      </x:c>
      <x:c r="J387" s="5" t="n">
        <x:v>670</x:v>
      </x:c>
      <x:c r="K387" s="5" t="n">
        <x:v>3</x:v>
      </x:c>
      <x:c r="L387" s="5" t="inlineStr">
        <x:is>
          <x:t xml:space="preserve">무진화</x:t>
        </x:is>
      </x:c>
      <x:c r="M387" s="5" t="n"/>
      <x:c r="N387" s="5" t="inlineStr">
        <x:is>
          <x:t xml:space="preserve">없음</x:t>
        </x:is>
      </x:c>
      <x:c r="O387" s="5" t="inlineStr">
        <x:is>
          <x:t xml:space="preserve">아니오</x:t>
        </x:is>
      </x:c>
      <x:c r="P387" s="5" t="inlineStr">
        <x:is>
          <x:t xml:space="preserve">cobbleverse:custom_spawn/groudon_vulcano</x:t>
        </x:is>
      </x:c>
      <x:c r="Q387" s="5" t="inlineStr">
        <x:is>
          <x:t xml:space="preserve">ultra-rare</x:t>
        </x:is>
      </x:c>
      <x:c r="R387" s="5" t="inlineStr">
        <x:is>
          <x:t xml:space="preserve"/>
        </x:is>
      </x:c>
      <x:c r="S387" s="5" t="inlineStr">
        <x:is>
          <x:t xml:space="preserve"/>
        </x:is>
      </x:c>
      <x:c r="T387" s="5" t="inlineStr">
        <x:is>
          <x:t xml:space="preserve">육상</x:t>
        </x:is>
      </x:c>
      <x:c r="U387" s="5" t="inlineStr">
        <x:is>
          <x:t xml:space="preserve">암석</x:t>
        </x:is>
      </x:c>
      <x:c r="V387" s="5" t="inlineStr">
        <x:is>
          <x:t xml:space="preserve">온대</x:t>
        </x:is>
      </x:c>
      <x:c r="W387" s="5" t="inlineStr">
        <x:is>
          <x:t xml:space="preserve">보통</x:t>
        </x:is>
      </x:c>
      <x:c r="X387" s="5" t="inlineStr">
        <x:is>
          <x:t xml:space="preserve">무관</x:t>
        </x:is>
      </x:c>
      <x:c r="Y387" s="5" t="inlineStr">
        <x:is>
          <x:t xml:space="preserve">무관</x:t>
        </x:is>
      </x:c>
      <x:c r="Z387" s="5" t="inlineStr">
        <x:is>
          <x:t xml:space="preserve">전설</x:t>
        </x:is>
      </x:c>
      <x:c r="AA387" s="5" t="inlineStr">
        <x:is>
          <x:t xml:space="preserve">전설</x:t>
        </x:is>
      </x:c>
      <x:c r="AB387" s="5" t="inlineStr">
        <x:is>
          <x:t xml:space="preserve"/>
        </x:is>
      </x:c>
      <x:c r="AC387" s="5" t="inlineStr">
        <x:is>
          <x:t xml:space="preserve">gen3; legendary; restricted</x:t>
        </x:is>
      </x:c>
      <x:c r="AD387" s="5" t="inlineStr">
        <x:is>
          <x:t xml:space="preserve">.tmp/cobblemon-1.7.3-source/common/src/main/resources/data/cobblemon/species/generation3/groudon.json</x:t>
        </x:is>
      </x:c>
    </x:row>
    <x:row r="388" ht="22" customHeight="1">
      <x:c r="A388" s="5" t="n">
        <x:v>384</x:v>
      </x:c>
      <x:c r="B388" s="5" t="inlineStr">
        <x:is>
          <x:t xml:space="preserve">레쿠쟈</x:t>
        </x:is>
      </x:c>
      <x:c r="C388" s="5" t="inlineStr">
        <x:is>
          <x:t xml:space="preserve">rayquaza</x:t>
        </x:is>
      </x:c>
      <x:c r="D388" s="5" t="inlineStr">
        <x:is>
          <x:t xml:space="preserve">Rayquaza</x:t>
        </x:is>
      </x:c>
      <x:c r="E388" s="5" t="n">
        <x:v>3</x:v>
      </x:c>
      <x:c r="F388" s="5" t="inlineStr">
        <x:is>
          <x:t xml:space="preserve">드래곤</x:t>
        </x:is>
      </x:c>
      <x:c r="G388" s="5" t="inlineStr">
        <x:is>
          <x:t xml:space="preserve">비행</x:t>
        </x:is>
      </x:c>
      <x:c r="H388" s="5" t="n">
        <x:v>7</x:v>
      </x:c>
      <x:c r="I388" s="5" t="n">
        <x:v>206.5</x:v>
      </x:c>
      <x:c r="J388" s="5" t="n">
        <x:v>680</x:v>
      </x:c>
      <x:c r="K388" s="5" t="n">
        <x:v>3</x:v>
      </x:c>
      <x:c r="L388" s="5" t="inlineStr">
        <x:is>
          <x:t xml:space="preserve">무진화</x:t>
        </x:is>
      </x:c>
      <x:c r="M388" s="5" t="n"/>
      <x:c r="N388" s="5" t="inlineStr">
        <x:is>
          <x:t xml:space="preserve">없음</x:t>
        </x:is>
      </x:c>
      <x:c r="O388" s="5" t="inlineStr">
        <x:is>
          <x:t xml:space="preserve">예</x:t>
        </x:is>
      </x:c>
      <x:c r="P388" s="5" t="inlineStr">
        <x:is>
          <x:t xml:space="preserve">cobbleverse:custom_spawn/sky_pillar</x:t>
        </x:is>
      </x:c>
      <x:c r="Q388" s="5" t="inlineStr">
        <x:is>
          <x:t xml:space="preserve">ultra-rare</x:t>
        </x:is>
      </x:c>
      <x:c r="R388" s="5" t="inlineStr">
        <x:is>
          <x:t xml:space="preserve"/>
        </x:is>
      </x:c>
      <x:c r="S388" s="5" t="inlineStr">
        <x:is>
          <x:t xml:space="preserve"/>
        </x:is>
      </x:c>
      <x:c r="T388" s="5" t="inlineStr">
        <x:is>
          <x:t xml:space="preserve">비행</x:t>
        </x:is>
      </x:c>
      <x:c r="U388" s="5" t="inlineStr">
        <x:is>
          <x:t xml:space="preserve">개활지</x:t>
        </x:is>
      </x:c>
      <x:c r="V388" s="5" t="inlineStr">
        <x:is>
          <x:t xml:space="preserve">온대</x:t>
        </x:is>
      </x:c>
      <x:c r="W388" s="5" t="inlineStr">
        <x:is>
          <x:t xml:space="preserve">보통</x:t>
        </x:is>
      </x:c>
      <x:c r="X388" s="5" t="inlineStr">
        <x:is>
          <x:t xml:space="preserve">무관</x:t>
        </x:is>
      </x:c>
      <x:c r="Y388" s="5" t="inlineStr">
        <x:is>
          <x:t xml:space="preserve">무관</x:t>
        </x:is>
      </x:c>
      <x:c r="Z388" s="5" t="inlineStr">
        <x:is>
          <x:t xml:space="preserve">전설</x:t>
        </x:is>
      </x:c>
      <x:c r="AA388" s="5" t="inlineStr">
        <x:is>
          <x:t xml:space="preserve">전설</x:t>
        </x:is>
      </x:c>
      <x:c r="AB388" s="5" t="inlineStr">
        <x:is>
          <x:t xml:space="preserve"/>
        </x:is>
      </x:c>
      <x:c r="AC388" s="5" t="inlineStr">
        <x:is>
          <x:t xml:space="preserve">gen3; legendary; restricted</x:t>
        </x:is>
      </x:c>
      <x:c r="AD388" s="5" t="inlineStr">
        <x:is>
          <x:t xml:space="preserve">.tmp/cobblemon-1.7.3-source/common/src/main/resources/data/cobblemon/species/generation3/rayquaza.json</x:t>
        </x:is>
      </x:c>
    </x:row>
    <x:row r="389" ht="22" customHeight="1">
      <x:c r="A389" s="5" t="n">
        <x:v>385</x:v>
      </x:c>
      <x:c r="B389" s="5" t="inlineStr">
        <x:is>
          <x:t xml:space="preserve">지라치</x:t>
        </x:is>
      </x:c>
      <x:c r="C389" s="5" t="inlineStr">
        <x:is>
          <x:t xml:space="preserve">jirachi</x:t>
        </x:is>
      </x:c>
      <x:c r="D389" s="5" t="inlineStr">
        <x:is>
          <x:t xml:space="preserve">Jirachi</x:t>
        </x:is>
      </x:c>
      <x:c r="E389" s="5" t="n">
        <x:v>3</x:v>
      </x:c>
      <x:c r="F389" s="5" t="inlineStr">
        <x:is>
          <x:t xml:space="preserve">강철</x:t>
        </x:is>
      </x:c>
      <x:c r="G389" s="5" t="inlineStr">
        <x:is>
          <x:t xml:space="preserve">에스퍼</x:t>
        </x:is>
      </x:c>
      <x:c r="H389" s="5" t="n">
        <x:v>0.3</x:v>
      </x:c>
      <x:c r="I389" s="5" t="n">
        <x:v>1.1</x:v>
      </x:c>
      <x:c r="J389" s="5" t="n">
        <x:v>600</x:v>
      </x:c>
      <x:c r="K389" s="5" t="n">
        <x:v>3</x:v>
      </x:c>
      <x:c r="L389" s="5" t="inlineStr">
        <x:is>
          <x:t xml:space="preserve">무진화</x:t>
        </x:is>
      </x:c>
      <x:c r="M389" s="5" t="n"/>
      <x:c r="N389" s="5" t="inlineStr">
        <x:is>
          <x:t xml:space="preserve">없음</x:t>
        </x:is>
      </x:c>
      <x:c r="O389" s="5" t="inlineStr">
        <x:is>
          <x:t xml:space="preserve">아니오</x:t>
        </x:is>
      </x:c>
      <x:c r="P389" s="5" t="inlineStr">
        <x:is>
          <x:t xml:space="preserve">cobbleverse:custom_spawn/jirachi_structure</x:t>
        </x:is>
      </x:c>
      <x:c r="Q389" s="5" t="inlineStr">
        <x:is>
          <x:t xml:space="preserve">ultra-rare</x:t>
        </x:is>
      </x:c>
      <x:c r="R389" s="5" t="inlineStr">
        <x:is>
          <x:t xml:space="preserve"/>
        </x:is>
      </x:c>
      <x:c r="S389" s="5" t="inlineStr">
        <x:is>
          <x:t xml:space="preserve"/>
        </x:is>
      </x:c>
      <x:c r="T389" s="5" t="inlineStr">
        <x:is>
          <x:t xml:space="preserve">비행</x:t>
        </x:is>
      </x:c>
      <x:c r="U389" s="5" t="inlineStr">
        <x:is>
          <x:t xml:space="preserve">개활지</x:t>
        </x:is>
      </x:c>
      <x:c r="V389" s="5" t="inlineStr">
        <x:is>
          <x:t xml:space="preserve">온대</x:t>
        </x:is>
      </x:c>
      <x:c r="W389" s="5" t="inlineStr">
        <x:is>
          <x:t xml:space="preserve">보통</x:t>
        </x:is>
      </x:c>
      <x:c r="X389" s="5" t="inlineStr">
        <x:is>
          <x:t xml:space="preserve">무관</x:t>
        </x:is>
      </x:c>
      <x:c r="Y389" s="5" t="inlineStr">
        <x:is>
          <x:t xml:space="preserve">무관</x:t>
        </x:is>
      </x:c>
      <x:c r="Z389" s="5" t="inlineStr">
        <x:is>
          <x:t xml:space="preserve">전설</x:t>
        </x:is>
      </x:c>
      <x:c r="AA389" s="5" t="inlineStr">
        <x:is>
          <x:t xml:space="preserve">전설</x:t>
        </x:is>
      </x:c>
      <x:c r="AB389" s="5" t="inlineStr">
        <x:is>
          <x:t xml:space="preserve"/>
        </x:is>
      </x:c>
      <x:c r="AC389" s="5" t="inlineStr">
        <x:is>
          <x:t xml:space="preserve">gen3; mythical</x:t>
        </x:is>
      </x:c>
      <x:c r="AD389" s="5" t="inlineStr">
        <x:is>
          <x:t xml:space="preserve">.tmp/cobblemon-1.7.3-source/common/src/main/resources/data/cobblemon/species/generation3/jirachi.json</x:t>
        </x:is>
      </x:c>
    </x:row>
    <x:row r="390" ht="22" customHeight="1">
      <x:c r="A390" s="5" t="n">
        <x:v>386</x:v>
      </x:c>
      <x:c r="B390" s="5" t="inlineStr">
        <x:is>
          <x:t xml:space="preserve">테오키스</x:t>
        </x:is>
      </x:c>
      <x:c r="C390" s="5" t="inlineStr">
        <x:is>
          <x:t xml:space="preserve">deoxys</x:t>
        </x:is>
      </x:c>
      <x:c r="D390" s="5" t="inlineStr">
        <x:is>
          <x:t xml:space="preserve">Deoxys</x:t>
        </x:is>
      </x:c>
      <x:c r="E390" s="5" t="n">
        <x:v>3</x:v>
      </x:c>
      <x:c r="F390" s="5" t="inlineStr">
        <x:is>
          <x:t xml:space="preserve">에스퍼</x:t>
        </x:is>
      </x:c>
      <x:c r="G390" s="5" t="inlineStr">
        <x:is>
          <x:t xml:space="preserve"/>
        </x:is>
      </x:c>
      <x:c r="H390" s="5" t="n">
        <x:v>1.7</x:v>
      </x:c>
      <x:c r="I390" s="5" t="n">
        <x:v>60.8</x:v>
      </x:c>
      <x:c r="J390" s="5" t="n">
        <x:v>600</x:v>
      </x:c>
      <x:c r="K390" s="5" t="n">
        <x:v>3</x:v>
      </x:c>
      <x:c r="L390" s="5" t="inlineStr">
        <x:is>
          <x:t xml:space="preserve">무진화</x:t>
        </x:is>
      </x:c>
      <x:c r="M390" s="5" t="n"/>
      <x:c r="N390" s="5" t="inlineStr">
        <x:is>
          <x:t xml:space="preserve">없음</x:t>
        </x:is>
      </x:c>
      <x:c r="O390" s="5" t="inlineStr">
        <x:is>
          <x:t xml:space="preserve">아니오</x:t>
        </x:is>
      </x:c>
      <x:c r="P390" s="5" t="inlineStr">
        <x:is>
          <x:t xml:space="preserve">cobbleverse:custom_spawn/deoxys_meteorite</x:t>
        </x:is>
      </x:c>
      <x:c r="Q390" s="5" t="inlineStr">
        <x:is>
          <x:t xml:space="preserve">ultra-rare</x:t>
        </x:is>
      </x:c>
      <x:c r="R390" s="5" t="inlineStr">
        <x:is>
          <x:t xml:space="preserve"/>
        </x:is>
      </x:c>
      <x:c r="S390" s="5" t="inlineStr">
        <x:is>
          <x:t xml:space="preserve"/>
        </x:is>
      </x:c>
      <x:c r="T390" s="5" t="inlineStr">
        <x:is>
          <x:t xml:space="preserve">비행</x:t>
        </x:is>
      </x:c>
      <x:c r="U390" s="5" t="inlineStr">
        <x:is>
          <x:t xml:space="preserve">개활지</x:t>
        </x:is>
      </x:c>
      <x:c r="V390" s="5" t="inlineStr">
        <x:is>
          <x:t xml:space="preserve">온대</x:t>
        </x:is>
      </x:c>
      <x:c r="W390" s="5" t="inlineStr">
        <x:is>
          <x:t xml:space="preserve">보통</x:t>
        </x:is>
      </x:c>
      <x:c r="X390" s="5" t="inlineStr">
        <x:is>
          <x:t xml:space="preserve">무관</x:t>
        </x:is>
      </x:c>
      <x:c r="Y390" s="5" t="inlineStr">
        <x:is>
          <x:t xml:space="preserve">무관</x:t>
        </x:is>
      </x:c>
      <x:c r="Z390" s="5" t="inlineStr">
        <x:is>
          <x:t xml:space="preserve">전설</x:t>
        </x:is>
      </x:c>
      <x:c r="AA390" s="5" t="inlineStr">
        <x:is>
          <x:t xml:space="preserve">전설</x:t>
        </x:is>
      </x:c>
      <x:c r="AB390" s="5" t="inlineStr">
        <x:is>
          <x:t xml:space="preserve"/>
        </x:is>
      </x:c>
      <x:c r="AC390" s="5" t="inlineStr">
        <x:is>
          <x:t xml:space="preserve">gen3; mythical</x:t>
        </x:is>
      </x:c>
      <x:c r="AD390" s="5" t="inlineStr">
        <x:is>
          <x:t xml:space="preserve">.tmp/cobblemon-1.7.3-source/common/src/main/resources/data/cobblemon/species/generation3/deoxys.json</x:t>
        </x:is>
      </x:c>
    </x:row>
    <x:row r="391" ht="22" customHeight="1">
      <x:c r="A391" s="5" t="n">
        <x:v>387</x:v>
      </x:c>
      <x:c r="B391" s="5" t="inlineStr">
        <x:is>
          <x:t xml:space="preserve">모부기</x:t>
        </x:is>
      </x:c>
      <x:c r="C391" s="5" t="inlineStr">
        <x:is>
          <x:t xml:space="preserve">turtwig</x:t>
        </x:is>
      </x:c>
      <x:c r="D391" s="5" t="inlineStr">
        <x:is>
          <x:t xml:space="preserve">Turtwig</x:t>
        </x:is>
      </x:c>
      <x:c r="E391" s="5" t="n">
        <x:v>4</x:v>
      </x:c>
      <x:c r="F391" s="5" t="inlineStr">
        <x:is>
          <x:t xml:space="preserve">풀</x:t>
        </x:is>
      </x:c>
      <x:c r="G391" s="5" t="inlineStr">
        <x:is>
          <x:t xml:space="preserve"/>
        </x:is>
      </x:c>
      <x:c r="H391" s="5" t="n">
        <x:v>0.4</x:v>
      </x:c>
      <x:c r="I391" s="5" t="n">
        <x:v>10.2</x:v>
      </x:c>
      <x:c r="J391" s="5" t="n">
        <x:v>318</x:v>
      </x:c>
      <x:c r="K391" s="5" t="n">
        <x:v>45</x:v>
      </x:c>
      <x:c r="L391" s="5" t="inlineStr">
        <x:is>
          <x:t xml:space="preserve">기본</x:t>
        </x:is>
      </x:c>
      <x:c r="M391" s="5" t="n">
        <x:v>32</x:v>
      </x:c>
      <x:c r="N391" s="5" t="inlineStr">
        <x:is>
          <x:t xml:space="preserve">레벨·특수</x:t>
        </x:is>
      </x:c>
      <x:c r="O391" s="5" t="inlineStr">
        <x:is>
          <x:t xml:space="preserve">예</x:t>
        </x:is>
      </x:c>
      <x:c r="P391" s="5" t="inlineStr">
        <x:is>
          <x:t xml:space="preserve">#cobblemon:is_forest</x:t>
        </x:is>
      </x:c>
      <x:c r="Q391" s="5" t="inlineStr">
        <x:is>
          <x:t xml:space="preserve">ultra-rare</x:t>
        </x:is>
      </x:c>
      <x:c r="R391" s="5" t="inlineStr">
        <x:is>
          <x:t xml:space="preserve"/>
        </x:is>
      </x:c>
      <x:c r="S391" s="5" t="inlineStr">
        <x:is>
          <x:t xml:space="preserve"/>
        </x:is>
      </x:c>
      <x:c r="T391" s="5" t="inlineStr">
        <x:is>
          <x:t xml:space="preserve">육상</x:t>
        </x:is>
      </x:c>
      <x:c r="U391" s="5" t="inlineStr">
        <x:is>
          <x:t xml:space="preserve">수목</x:t>
        </x:is>
      </x:c>
      <x:c r="V391" s="5" t="inlineStr">
        <x:is>
          <x:t xml:space="preserve">온대</x:t>
        </x:is>
      </x:c>
      <x:c r="W391" s="5" t="inlineStr">
        <x:is>
          <x:t xml:space="preserve">보통</x:t>
        </x:is>
      </x:c>
      <x:c r="X391" s="5" t="inlineStr">
        <x:is>
          <x:t xml:space="preserve">무관</x:t>
        </x:is>
      </x:c>
      <x:c r="Y391" s="5" t="inlineStr">
        <x:is>
          <x:t xml:space="preserve">무관</x:t>
        </x:is>
      </x:c>
      <x:c r="Z391" s="5" t="inlineStr">
        <x:is>
          <x:t xml:space="preserve">희귀</x:t>
        </x:is>
      </x:c>
      <x:c r="AA391" s="5" t="inlineStr">
        <x:is>
          <x:t xml:space="preserve">없음</x:t>
        </x:is>
      </x:c>
      <x:c r="AB391" s="5" t="inlineStr">
        <x:is>
          <x:t xml:space="preserve">숲</x:t>
        </x:is>
      </x:c>
      <x:c r="AC391" s="5" t="inlineStr">
        <x:is>
          <x:t xml:space="preserve">gen4; starter</x:t>
        </x:is>
      </x:c>
      <x:c r="AD391" s="5" t="inlineStr">
        <x:is>
          <x:t xml:space="preserve">.tmp/cobblemon-1.7.3-source/common/src/main/resources/data/cobblemon/species/generation4/turtwig.json</x:t>
        </x:is>
      </x:c>
    </x:row>
    <x:row r="392" ht="22" customHeight="1">
      <x:c r="A392" s="5" t="n">
        <x:v>388</x:v>
      </x:c>
      <x:c r="B392" s="5" t="inlineStr">
        <x:is>
          <x:t xml:space="preserve">수풀부기</x:t>
        </x:is>
      </x:c>
      <x:c r="C392" s="5" t="inlineStr">
        <x:is>
          <x:t xml:space="preserve">grotle</x:t>
        </x:is>
      </x:c>
      <x:c r="D392" s="5" t="inlineStr">
        <x:is>
          <x:t xml:space="preserve">Grotle</x:t>
        </x:is>
      </x:c>
      <x:c r="E392" s="5" t="n">
        <x:v>4</x:v>
      </x:c>
      <x:c r="F392" s="5" t="inlineStr">
        <x:is>
          <x:t xml:space="preserve">풀</x:t>
        </x:is>
      </x:c>
      <x:c r="G392" s="5" t="inlineStr">
        <x:is>
          <x:t xml:space="preserve"/>
        </x:is>
      </x:c>
      <x:c r="H392" s="5" t="n">
        <x:v>1.1</x:v>
      </x:c>
      <x:c r="I392" s="5" t="n">
        <x:v>97</x:v>
      </x:c>
      <x:c r="J392" s="5" t="n">
        <x:v>405</x:v>
      </x:c>
      <x:c r="K392" s="5" t="n">
        <x:v>45</x:v>
      </x:c>
      <x:c r="L392" s="5" t="inlineStr">
        <x:is>
          <x:t xml:space="preserve">중간</x:t>
        </x:is>
      </x:c>
      <x:c r="M392" s="5" t="n">
        <x:v>32</x:v>
      </x:c>
      <x:c r="N392" s="5" t="inlineStr">
        <x:is>
          <x:t xml:space="preserve">레벨·특수</x:t>
        </x:is>
      </x:c>
      <x:c r="O392" s="5" t="inlineStr">
        <x:is>
          <x:t xml:space="preserve">예</x:t>
        </x:is>
      </x:c>
      <x:c r="P392" s="5" t="inlineStr">
        <x:is>
          <x:t xml:space="preserve">#cobblemon:is_forest</x:t>
        </x:is>
      </x:c>
      <x:c r="Q392" s="5" t="inlineStr">
        <x:is>
          <x:t xml:space="preserve">ultra-rare</x:t>
        </x:is>
      </x:c>
      <x:c r="R392" s="5" t="inlineStr">
        <x:is>
          <x:t xml:space="preserve"/>
        </x:is>
      </x:c>
      <x:c r="S392" s="5" t="inlineStr">
        <x:is>
          <x:t xml:space="preserve"/>
        </x:is>
      </x:c>
      <x:c r="T392" s="5" t="inlineStr">
        <x:is>
          <x:t xml:space="preserve">육상</x:t>
        </x:is>
      </x:c>
      <x:c r="U392" s="5" t="inlineStr">
        <x:is>
          <x:t xml:space="preserve">수목</x:t>
        </x:is>
      </x:c>
      <x:c r="V392" s="5" t="inlineStr">
        <x:is>
          <x:t xml:space="preserve">온대</x:t>
        </x:is>
      </x:c>
      <x:c r="W392" s="5" t="inlineStr">
        <x:is>
          <x:t xml:space="preserve">보통</x:t>
        </x:is>
      </x:c>
      <x:c r="X392" s="5" t="inlineStr">
        <x:is>
          <x:t xml:space="preserve">무관</x:t>
        </x:is>
      </x:c>
      <x:c r="Y392" s="5" t="inlineStr">
        <x:is>
          <x:t xml:space="preserve">무관</x:t>
        </x:is>
      </x:c>
      <x:c r="Z392" s="5" t="inlineStr">
        <x:is>
          <x:t xml:space="preserve">희귀</x:t>
        </x:is>
      </x:c>
      <x:c r="AA392" s="5" t="inlineStr">
        <x:is>
          <x:t xml:space="preserve">없음</x:t>
        </x:is>
      </x:c>
      <x:c r="AB392" s="5" t="inlineStr">
        <x:is>
          <x:t xml:space="preserve">숲</x:t>
        </x:is>
      </x:c>
      <x:c r="AC392" s="5" t="inlineStr">
        <x:is>
          <x:t xml:space="preserve">gen4</x:t>
        </x:is>
      </x:c>
      <x:c r="AD392" s="5" t="inlineStr">
        <x:is>
          <x:t xml:space="preserve">.tmp/cobblemon-1.7.3-source/common/src/main/resources/data/cobblemon/species/generation4/grotle.json</x:t>
        </x:is>
      </x:c>
    </x:row>
    <x:row r="393" ht="22" customHeight="1">
      <x:c r="A393" s="5" t="n">
        <x:v>389</x:v>
      </x:c>
      <x:c r="B393" s="5" t="inlineStr">
        <x:is>
          <x:t xml:space="preserve">토대부기</x:t>
        </x:is>
      </x:c>
      <x:c r="C393" s="5" t="inlineStr">
        <x:is>
          <x:t xml:space="preserve">torterra</x:t>
        </x:is>
      </x:c>
      <x:c r="D393" s="5" t="inlineStr">
        <x:is>
          <x:t xml:space="preserve">Torterra</x:t>
        </x:is>
      </x:c>
      <x:c r="E393" s="5" t="n">
        <x:v>4</x:v>
      </x:c>
      <x:c r="F393" s="5" t="inlineStr">
        <x:is>
          <x:t xml:space="preserve">풀</x:t>
        </x:is>
      </x:c>
      <x:c r="G393" s="5" t="inlineStr">
        <x:is>
          <x:t xml:space="preserve">땅</x:t>
        </x:is>
      </x:c>
      <x:c r="H393" s="5" t="n">
        <x:v>2.2</x:v>
      </x:c>
      <x:c r="I393" s="5" t="n">
        <x:v>310</x:v>
      </x:c>
      <x:c r="J393" s="5" t="n">
        <x:v>525</x:v>
      </x:c>
      <x:c r="K393" s="5" t="n">
        <x:v>45</x:v>
      </x:c>
      <x:c r="L393" s="5" t="inlineStr">
        <x:is>
          <x:t xml:space="preserve">최종</x:t>
        </x:is>
      </x:c>
      <x:c r="M393" s="5" t="n">
        <x:v>32</x:v>
      </x:c>
      <x:c r="N393" s="5" t="inlineStr">
        <x:is>
          <x:t xml:space="preserve">레벨·특수</x:t>
        </x:is>
      </x:c>
      <x:c r="O393" s="5" t="inlineStr">
        <x:is>
          <x:t xml:space="preserve">예</x:t>
        </x:is>
      </x:c>
      <x:c r="P393" s="5" t="inlineStr">
        <x:is>
          <x:t xml:space="preserve">#cobblemon:is_forest</x:t>
        </x:is>
      </x:c>
      <x:c r="Q393" s="5" t="inlineStr">
        <x:is>
          <x:t xml:space="preserve">ultra-rare</x:t>
        </x:is>
      </x:c>
      <x:c r="R393" s="5" t="inlineStr">
        <x:is>
          <x:t xml:space="preserve"/>
        </x:is>
      </x:c>
      <x:c r="S393" s="5" t="inlineStr">
        <x:is>
          <x:t xml:space="preserve"/>
        </x:is>
      </x:c>
      <x:c r="T393" s="5" t="inlineStr">
        <x:is>
          <x:t xml:space="preserve">육상</x:t>
        </x:is>
      </x:c>
      <x:c r="U393" s="5" t="inlineStr">
        <x:is>
          <x:t xml:space="preserve">수목</x:t>
        </x:is>
      </x:c>
      <x:c r="V393" s="5" t="inlineStr">
        <x:is>
          <x:t xml:space="preserve">온대</x:t>
        </x:is>
      </x:c>
      <x:c r="W393" s="5" t="inlineStr">
        <x:is>
          <x:t xml:space="preserve">보통</x:t>
        </x:is>
      </x:c>
      <x:c r="X393" s="5" t="inlineStr">
        <x:is>
          <x:t xml:space="preserve">무관</x:t>
        </x:is>
      </x:c>
      <x:c r="Y393" s="5" t="inlineStr">
        <x:is>
          <x:t xml:space="preserve">무관</x:t>
        </x:is>
      </x:c>
      <x:c r="Z393" s="5" t="inlineStr">
        <x:is>
          <x:t xml:space="preserve">희귀</x:t>
        </x:is>
      </x:c>
      <x:c r="AA393" s="5" t="inlineStr">
        <x:is>
          <x:t xml:space="preserve">없음</x:t>
        </x:is>
      </x:c>
      <x:c r="AB393" s="5" t="inlineStr">
        <x:is>
          <x:t xml:space="preserve">숲</x:t>
        </x:is>
      </x:c>
      <x:c r="AC393" s="5" t="inlineStr">
        <x:is>
          <x:t xml:space="preserve">gen4</x:t>
        </x:is>
      </x:c>
      <x:c r="AD393" s="5" t="inlineStr">
        <x:is>
          <x:t xml:space="preserve">.tmp/cobblemon-1.7.3-source/common/src/main/resources/data/cobblemon/species/generation4/torterra.json</x:t>
        </x:is>
      </x:c>
    </x:row>
    <x:row r="394" ht="22" customHeight="1">
      <x:c r="A394" s="5" t="n">
        <x:v>390</x:v>
      </x:c>
      <x:c r="B394" s="5" t="inlineStr">
        <x:is>
          <x:t xml:space="preserve">불꽃숭이</x:t>
        </x:is>
      </x:c>
      <x:c r="C394" s="5" t="inlineStr">
        <x:is>
          <x:t xml:space="preserve">chimchar</x:t>
        </x:is>
      </x:c>
      <x:c r="D394" s="5" t="inlineStr">
        <x:is>
          <x:t xml:space="preserve">Chimchar</x:t>
        </x:is>
      </x:c>
      <x:c r="E394" s="5" t="n">
        <x:v>4</x:v>
      </x:c>
      <x:c r="F394" s="5" t="inlineStr">
        <x:is>
          <x:t xml:space="preserve">불꽃</x:t>
        </x:is>
      </x:c>
      <x:c r="G394" s="5" t="inlineStr">
        <x:is>
          <x:t xml:space="preserve"/>
        </x:is>
      </x:c>
      <x:c r="H394" s="5" t="n">
        <x:v>0.5</x:v>
      </x:c>
      <x:c r="I394" s="5" t="n">
        <x:v>6.2</x:v>
      </x:c>
      <x:c r="J394" s="5" t="n">
        <x:v>309</x:v>
      </x:c>
      <x:c r="K394" s="5" t="n">
        <x:v>45</x:v>
      </x:c>
      <x:c r="L394" s="5" t="inlineStr">
        <x:is>
          <x:t xml:space="preserve">기본</x:t>
        </x:is>
      </x:c>
      <x:c r="M394" s="5" t="n">
        <x:v>36</x:v>
      </x:c>
      <x:c r="N394" s="5" t="inlineStr">
        <x:is>
          <x:t xml:space="preserve">레벨</x:t>
        </x:is>
      </x:c>
      <x:c r="O394" s="5" t="inlineStr">
        <x:is>
          <x:t xml:space="preserve">예</x:t>
        </x:is>
      </x:c>
      <x:c r="P394" s="5" t="inlineStr">
        <x:is>
          <x:t xml:space="preserve">#cobblemon:is_mountain; #cobblemon:nether/is_forest</x:t>
        </x:is>
      </x:c>
      <x:c r="Q394" s="5" t="inlineStr">
        <x:is>
          <x:t xml:space="preserve">ultra-rare</x:t>
        </x:is>
      </x:c>
      <x:c r="R394" s="5" t="inlineStr">
        <x:is>
          <x:t xml:space="preserve"/>
        </x:is>
      </x:c>
      <x:c r="S394" s="5" t="inlineStr">
        <x:is>
          <x:t xml:space="preserve">비=False</x:t>
        </x:is>
      </x:c>
      <x:c r="T394" s="5" t="inlineStr">
        <x:is>
          <x:t xml:space="preserve">육상</x:t>
        </x:is>
      </x:c>
      <x:c r="U394" s="5" t="inlineStr">
        <x:is>
          <x:t xml:space="preserve">화산</x:t>
        </x:is>
      </x:c>
      <x:c r="V394" s="5" t="inlineStr">
        <x:is>
          <x:t xml:space="preserve">고온</x:t>
        </x:is>
      </x:c>
      <x:c r="W394" s="5" t="inlineStr">
        <x:is>
          <x:t xml:space="preserve">건조</x:t>
        </x:is>
      </x:c>
      <x:c r="X394" s="5" t="inlineStr">
        <x:is>
          <x:t xml:space="preserve">맑음</x:t>
        </x:is>
      </x:c>
      <x:c r="Y394" s="5" t="inlineStr">
        <x:is>
          <x:t xml:space="preserve">무관</x:t>
        </x:is>
      </x:c>
      <x:c r="Z394" s="5" t="inlineStr">
        <x:is>
          <x:t xml:space="preserve">희귀</x:t>
        </x:is>
      </x:c>
      <x:c r="AA394" s="5" t="inlineStr">
        <x:is>
          <x:t xml:space="preserve">화산</x:t>
        </x:is>
      </x:c>
      <x:c r="AB394" s="5" t="inlineStr">
        <x:is>
          <x:t xml:space="preserve">화산</x:t>
        </x:is>
      </x:c>
      <x:c r="AC394" s="5" t="inlineStr">
        <x:is>
          <x:t xml:space="preserve">gen4; starter</x:t>
        </x:is>
      </x:c>
      <x:c r="AD394" s="5" t="inlineStr">
        <x:is>
          <x:t xml:space="preserve">.tmp/cobblemon-1.7.3-source/common/src/main/resources/data/cobblemon/species/generation4/chimchar.json</x:t>
        </x:is>
      </x:c>
    </x:row>
    <x:row r="395" ht="22" customHeight="1">
      <x:c r="A395" s="5" t="n">
        <x:v>391</x:v>
      </x:c>
      <x:c r="B395" s="5" t="inlineStr">
        <x:is>
          <x:t xml:space="preserve">파이숭이</x:t>
        </x:is>
      </x:c>
      <x:c r="C395" s="5" t="inlineStr">
        <x:is>
          <x:t xml:space="preserve">monferno</x:t>
        </x:is>
      </x:c>
      <x:c r="D395" s="5" t="inlineStr">
        <x:is>
          <x:t xml:space="preserve">Monferno</x:t>
        </x:is>
      </x:c>
      <x:c r="E395" s="5" t="n">
        <x:v>4</x:v>
      </x:c>
      <x:c r="F395" s="5" t="inlineStr">
        <x:is>
          <x:t xml:space="preserve">불꽃</x:t>
        </x:is>
      </x:c>
      <x:c r="G395" s="5" t="inlineStr">
        <x:is>
          <x:t xml:space="preserve">격투</x:t>
        </x:is>
      </x:c>
      <x:c r="H395" s="5" t="n">
        <x:v>0.9</x:v>
      </x:c>
      <x:c r="I395" s="5" t="n">
        <x:v>22</x:v>
      </x:c>
      <x:c r="J395" s="5" t="n">
        <x:v>405</x:v>
      </x:c>
      <x:c r="K395" s="5" t="n">
        <x:v>45</x:v>
      </x:c>
      <x:c r="L395" s="5" t="inlineStr">
        <x:is>
          <x:t xml:space="preserve">중간</x:t>
        </x:is>
      </x:c>
      <x:c r="M395" s="5" t="n">
        <x:v>36</x:v>
      </x:c>
      <x:c r="N395" s="5" t="inlineStr">
        <x:is>
          <x:t xml:space="preserve">레벨</x:t>
        </x:is>
      </x:c>
      <x:c r="O395" s="5" t="inlineStr">
        <x:is>
          <x:t xml:space="preserve">예</x:t>
        </x:is>
      </x:c>
      <x:c r="P395" s="5" t="inlineStr">
        <x:is>
          <x:t xml:space="preserve">#cobblemon:is_mountain; #cobblemon:nether/is_forest</x:t>
        </x:is>
      </x:c>
      <x:c r="Q395" s="5" t="inlineStr">
        <x:is>
          <x:t xml:space="preserve">ultra-rare</x:t>
        </x:is>
      </x:c>
      <x:c r="R395" s="5" t="inlineStr">
        <x:is>
          <x:t xml:space="preserve"/>
        </x:is>
      </x:c>
      <x:c r="S395" s="5" t="inlineStr">
        <x:is>
          <x:t xml:space="preserve">비=False</x:t>
        </x:is>
      </x:c>
      <x:c r="T395" s="5" t="inlineStr">
        <x:is>
          <x:t xml:space="preserve">육상</x:t>
        </x:is>
      </x:c>
      <x:c r="U395" s="5" t="inlineStr">
        <x:is>
          <x:t xml:space="preserve">화산</x:t>
        </x:is>
      </x:c>
      <x:c r="V395" s="5" t="inlineStr">
        <x:is>
          <x:t xml:space="preserve">고온</x:t>
        </x:is>
      </x:c>
      <x:c r="W395" s="5" t="inlineStr">
        <x:is>
          <x:t xml:space="preserve">건조</x:t>
        </x:is>
      </x:c>
      <x:c r="X395" s="5" t="inlineStr">
        <x:is>
          <x:t xml:space="preserve">맑음</x:t>
        </x:is>
      </x:c>
      <x:c r="Y395" s="5" t="inlineStr">
        <x:is>
          <x:t xml:space="preserve">무관</x:t>
        </x:is>
      </x:c>
      <x:c r="Z395" s="5" t="inlineStr">
        <x:is>
          <x:t xml:space="preserve">희귀</x:t>
        </x:is>
      </x:c>
      <x:c r="AA395" s="5" t="inlineStr">
        <x:is>
          <x:t xml:space="preserve">화산</x:t>
        </x:is>
      </x:c>
      <x:c r="AB395" s="5" t="inlineStr">
        <x:is>
          <x:t xml:space="preserve">화산</x:t>
        </x:is>
      </x:c>
      <x:c r="AC395" s="5" t="inlineStr">
        <x:is>
          <x:t xml:space="preserve">gen4</x:t>
        </x:is>
      </x:c>
      <x:c r="AD395" s="5" t="inlineStr">
        <x:is>
          <x:t xml:space="preserve">.tmp/cobblemon-1.7.3-source/common/src/main/resources/data/cobblemon/species/generation4/monferno.json</x:t>
        </x:is>
      </x:c>
    </x:row>
    <x:row r="396" ht="22" customHeight="1">
      <x:c r="A396" s="5" t="n">
        <x:v>392</x:v>
      </x:c>
      <x:c r="B396" s="5" t="inlineStr">
        <x:is>
          <x:t xml:space="preserve">초염몽</x:t>
        </x:is>
      </x:c>
      <x:c r="C396" s="5" t="inlineStr">
        <x:is>
          <x:t xml:space="preserve">infernape</x:t>
        </x:is>
      </x:c>
      <x:c r="D396" s="5" t="inlineStr">
        <x:is>
          <x:t xml:space="preserve">Infernape</x:t>
        </x:is>
      </x:c>
      <x:c r="E396" s="5" t="n">
        <x:v>4</x:v>
      </x:c>
      <x:c r="F396" s="5" t="inlineStr">
        <x:is>
          <x:t xml:space="preserve">불꽃</x:t>
        </x:is>
      </x:c>
      <x:c r="G396" s="5" t="inlineStr">
        <x:is>
          <x:t xml:space="preserve">격투</x:t>
        </x:is>
      </x:c>
      <x:c r="H396" s="5" t="n">
        <x:v>1.2</x:v>
      </x:c>
      <x:c r="I396" s="5" t="n">
        <x:v>55</x:v>
      </x:c>
      <x:c r="J396" s="5" t="n">
        <x:v>534</x:v>
      </x:c>
      <x:c r="K396" s="5" t="n">
        <x:v>45</x:v>
      </x:c>
      <x:c r="L396" s="5" t="inlineStr">
        <x:is>
          <x:t xml:space="preserve">최종</x:t>
        </x:is>
      </x:c>
      <x:c r="M396" s="5" t="n">
        <x:v>36</x:v>
      </x:c>
      <x:c r="N396" s="5" t="inlineStr">
        <x:is>
          <x:t xml:space="preserve">레벨</x:t>
        </x:is>
      </x:c>
      <x:c r="O396" s="5" t="inlineStr">
        <x:is>
          <x:t xml:space="preserve">예</x:t>
        </x:is>
      </x:c>
      <x:c r="P396" s="5" t="inlineStr">
        <x:is>
          <x:t xml:space="preserve">#cobblemon:is_mountain; #cobblemon:nether/is_forest</x:t>
        </x:is>
      </x:c>
      <x:c r="Q396" s="5" t="inlineStr">
        <x:is>
          <x:t xml:space="preserve">ultra-rare</x:t>
        </x:is>
      </x:c>
      <x:c r="R396" s="5" t="inlineStr">
        <x:is>
          <x:t xml:space="preserve"/>
        </x:is>
      </x:c>
      <x:c r="S396" s="5" t="inlineStr">
        <x:is>
          <x:t xml:space="preserve">비=False</x:t>
        </x:is>
      </x:c>
      <x:c r="T396" s="5" t="inlineStr">
        <x:is>
          <x:t xml:space="preserve">육상</x:t>
        </x:is>
      </x:c>
      <x:c r="U396" s="5" t="inlineStr">
        <x:is>
          <x:t xml:space="preserve">화산</x:t>
        </x:is>
      </x:c>
      <x:c r="V396" s="5" t="inlineStr">
        <x:is>
          <x:t xml:space="preserve">고온</x:t>
        </x:is>
      </x:c>
      <x:c r="W396" s="5" t="inlineStr">
        <x:is>
          <x:t xml:space="preserve">건조</x:t>
        </x:is>
      </x:c>
      <x:c r="X396" s="5" t="inlineStr">
        <x:is>
          <x:t xml:space="preserve">맑음</x:t>
        </x:is>
      </x:c>
      <x:c r="Y396" s="5" t="inlineStr">
        <x:is>
          <x:t xml:space="preserve">무관</x:t>
        </x:is>
      </x:c>
      <x:c r="Z396" s="5" t="inlineStr">
        <x:is>
          <x:t xml:space="preserve">희귀</x:t>
        </x:is>
      </x:c>
      <x:c r="AA396" s="5" t="inlineStr">
        <x:is>
          <x:t xml:space="preserve">화산</x:t>
        </x:is>
      </x:c>
      <x:c r="AB396" s="5" t="inlineStr">
        <x:is>
          <x:t xml:space="preserve">화산</x:t>
        </x:is>
      </x:c>
      <x:c r="AC396" s="5" t="inlineStr">
        <x:is>
          <x:t xml:space="preserve">gen4</x:t>
        </x:is>
      </x:c>
      <x:c r="AD396" s="5" t="inlineStr">
        <x:is>
          <x:t xml:space="preserve">.tmp/cobblemon-1.7.3-source/common/src/main/resources/data/cobblemon/species/generation4/infernape.json</x:t>
        </x:is>
      </x:c>
    </x:row>
    <x:row r="397" ht="22" customHeight="1">
      <x:c r="A397" s="5" t="n">
        <x:v>393</x:v>
      </x:c>
      <x:c r="B397" s="5" t="inlineStr">
        <x:is>
          <x:t xml:space="preserve">팽도리</x:t>
        </x:is>
      </x:c>
      <x:c r="C397" s="5" t="inlineStr">
        <x:is>
          <x:t xml:space="preserve">piplup</x:t>
        </x:is>
      </x:c>
      <x:c r="D397" s="5" t="inlineStr">
        <x:is>
          <x:t xml:space="preserve">Piplup</x:t>
        </x:is>
      </x:c>
      <x:c r="E397" s="5" t="n">
        <x:v>4</x:v>
      </x:c>
      <x:c r="F397" s="5" t="inlineStr">
        <x:is>
          <x:t xml:space="preserve">물</x:t>
        </x:is>
      </x:c>
      <x:c r="G397" s="5" t="inlineStr">
        <x:is>
          <x:t xml:space="preserve"/>
        </x:is>
      </x:c>
      <x:c r="H397" s="5" t="n">
        <x:v>0.4</x:v>
      </x:c>
      <x:c r="I397" s="5" t="n">
        <x:v>5.2</x:v>
      </x:c>
      <x:c r="J397" s="5" t="n">
        <x:v>314</x:v>
      </x:c>
      <x:c r="K397" s="5" t="n">
        <x:v>45</x:v>
      </x:c>
      <x:c r="L397" s="5" t="inlineStr">
        <x:is>
          <x:t xml:space="preserve">기본</x:t>
        </x:is>
      </x:c>
      <x:c r="M397" s="5" t="n">
        <x:v>36</x:v>
      </x:c>
      <x:c r="N397" s="5" t="inlineStr">
        <x:is>
          <x:t xml:space="preserve">레벨</x:t>
        </x:is>
      </x:c>
      <x:c r="O397" s="5" t="inlineStr">
        <x:is>
          <x:t xml:space="preserve">예</x:t>
        </x:is>
      </x:c>
      <x:c r="P397" s="5" t="inlineStr">
        <x:is>
          <x:t xml:space="preserve">#cobblemon:is_cold_ocean; #cobblemon:is_frozen_ocean; #cobblemon:is_glacial; #cobblemon:is_tundra; minecraft:frozen_river</x:t>
        </x:is>
      </x:c>
      <x:c r="Q397" s="5" t="inlineStr">
        <x:is>
          <x:t xml:space="preserve">ultra-rare</x:t>
        </x:is>
      </x:c>
      <x:c r="R397" s="5" t="inlineStr">
        <x:is>
          <x:t xml:space="preserve"/>
        </x:is>
      </x:c>
      <x:c r="S397" s="5" t="inlineStr">
        <x:is>
          <x:t xml:space="preserve"/>
        </x:is>
      </x:c>
      <x:c r="T397" s="5" t="inlineStr">
        <x:is>
          <x:t xml:space="preserve">해양</x:t>
        </x:is>
      </x:c>
      <x:c r="U397" s="5" t="inlineStr">
        <x:is>
          <x:t xml:space="preserve">해안·해양</x:t>
        </x:is>
      </x:c>
      <x:c r="V397" s="5" t="inlineStr">
        <x:is>
          <x:t xml:space="preserve">서늘</x:t>
        </x:is>
      </x:c>
      <x:c r="W397" s="5" t="inlineStr">
        <x:is>
          <x:t xml:space="preserve">수중</x:t>
        </x:is>
      </x:c>
      <x:c r="X397" s="5" t="inlineStr">
        <x:is>
          <x:t xml:space="preserve">비</x:t>
        </x:is>
      </x:c>
      <x:c r="Y397" s="5" t="inlineStr">
        <x:is>
          <x:t xml:space="preserve">무관</x:t>
        </x:is>
      </x:c>
      <x:c r="Z397" s="5" t="inlineStr">
        <x:is>
          <x:t xml:space="preserve">희귀</x:t>
        </x:is>
      </x:c>
      <x:c r="AA397" s="5" t="inlineStr">
        <x:is>
          <x:t xml:space="preserve">없음</x:t>
        </x:is>
      </x:c>
      <x:c r="AB397" s="5" t="inlineStr">
        <x:is>
          <x:t xml:space="preserve">해양</x:t>
        </x:is>
      </x:c>
      <x:c r="AC397" s="5" t="inlineStr">
        <x:is>
          <x:t xml:space="preserve">gen4; starter</x:t>
        </x:is>
      </x:c>
      <x:c r="AD397" s="5" t="inlineStr">
        <x:is>
          <x:t xml:space="preserve">.tmp/cobblemon-1.7.3-source/common/src/main/resources/data/cobblemon/species/generation4/piplup.json</x:t>
        </x:is>
      </x:c>
    </x:row>
    <x:row r="398" ht="22" customHeight="1">
      <x:c r="A398" s="5" t="n">
        <x:v>394</x:v>
      </x:c>
      <x:c r="B398" s="5" t="inlineStr">
        <x:is>
          <x:t xml:space="preserve">팽태자</x:t>
        </x:is>
      </x:c>
      <x:c r="C398" s="5" t="inlineStr">
        <x:is>
          <x:t xml:space="preserve">prinplup</x:t>
        </x:is>
      </x:c>
      <x:c r="D398" s="5" t="inlineStr">
        <x:is>
          <x:t xml:space="preserve">Prinplup</x:t>
        </x:is>
      </x:c>
      <x:c r="E398" s="5" t="n">
        <x:v>4</x:v>
      </x:c>
      <x:c r="F398" s="5" t="inlineStr">
        <x:is>
          <x:t xml:space="preserve">물</x:t>
        </x:is>
      </x:c>
      <x:c r="G398" s="5" t="inlineStr">
        <x:is>
          <x:t xml:space="preserve"/>
        </x:is>
      </x:c>
      <x:c r="H398" s="5" t="n">
        <x:v>0.8</x:v>
      </x:c>
      <x:c r="I398" s="5" t="n">
        <x:v>23</x:v>
      </x:c>
      <x:c r="J398" s="5" t="n">
        <x:v>405</x:v>
      </x:c>
      <x:c r="K398" s="5" t="n">
        <x:v>45</x:v>
      </x:c>
      <x:c r="L398" s="5" t="inlineStr">
        <x:is>
          <x:t xml:space="preserve">중간</x:t>
        </x:is>
      </x:c>
      <x:c r="M398" s="5" t="n">
        <x:v>36</x:v>
      </x:c>
      <x:c r="N398" s="5" t="inlineStr">
        <x:is>
          <x:t xml:space="preserve">레벨</x:t>
        </x:is>
      </x:c>
      <x:c r="O398" s="5" t="inlineStr">
        <x:is>
          <x:t xml:space="preserve">예</x:t>
        </x:is>
      </x:c>
      <x:c r="P398" s="5" t="inlineStr">
        <x:is>
          <x:t xml:space="preserve">#cobblemon:is_cold_ocean; #cobblemon:is_frozen_ocean; #cobblemon:is_glacial; #cobblemon:is_tundra; minecraft:frozen_river</x:t>
        </x:is>
      </x:c>
      <x:c r="Q398" s="5" t="inlineStr">
        <x:is>
          <x:t xml:space="preserve">ultra-rare</x:t>
        </x:is>
      </x:c>
      <x:c r="R398" s="5" t="inlineStr">
        <x:is>
          <x:t xml:space="preserve"/>
        </x:is>
      </x:c>
      <x:c r="S398" s="5" t="inlineStr">
        <x:is>
          <x:t xml:space="preserve"/>
        </x:is>
      </x:c>
      <x:c r="T398" s="5" t="inlineStr">
        <x:is>
          <x:t xml:space="preserve">해양</x:t>
        </x:is>
      </x:c>
      <x:c r="U398" s="5" t="inlineStr">
        <x:is>
          <x:t xml:space="preserve">해안·해양</x:t>
        </x:is>
      </x:c>
      <x:c r="V398" s="5" t="inlineStr">
        <x:is>
          <x:t xml:space="preserve">서늘</x:t>
        </x:is>
      </x:c>
      <x:c r="W398" s="5" t="inlineStr">
        <x:is>
          <x:t xml:space="preserve">수중</x:t>
        </x:is>
      </x:c>
      <x:c r="X398" s="5" t="inlineStr">
        <x:is>
          <x:t xml:space="preserve">비</x:t>
        </x:is>
      </x:c>
      <x:c r="Y398" s="5" t="inlineStr">
        <x:is>
          <x:t xml:space="preserve">무관</x:t>
        </x:is>
      </x:c>
      <x:c r="Z398" s="5" t="inlineStr">
        <x:is>
          <x:t xml:space="preserve">희귀</x:t>
        </x:is>
      </x:c>
      <x:c r="AA398" s="5" t="inlineStr">
        <x:is>
          <x:t xml:space="preserve">없음</x:t>
        </x:is>
      </x:c>
      <x:c r="AB398" s="5" t="inlineStr">
        <x:is>
          <x:t xml:space="preserve">해양</x:t>
        </x:is>
      </x:c>
      <x:c r="AC398" s="5" t="inlineStr">
        <x:is>
          <x:t xml:space="preserve">gen4</x:t>
        </x:is>
      </x:c>
      <x:c r="AD398" s="5" t="inlineStr">
        <x:is>
          <x:t xml:space="preserve">.tmp/cobblemon-1.7.3-source/common/src/main/resources/data/cobblemon/species/generation4/prinplup.json</x:t>
        </x:is>
      </x:c>
    </x:row>
    <x:row r="399" ht="22" customHeight="1">
      <x:c r="A399" s="5" t="n">
        <x:v>395</x:v>
      </x:c>
      <x:c r="B399" s="5" t="inlineStr">
        <x:is>
          <x:t xml:space="preserve">엠페르트</x:t>
        </x:is>
      </x:c>
      <x:c r="C399" s="5" t="inlineStr">
        <x:is>
          <x:t xml:space="preserve">empoleon</x:t>
        </x:is>
      </x:c>
      <x:c r="D399" s="5" t="inlineStr">
        <x:is>
          <x:t xml:space="preserve">Empoleon</x:t>
        </x:is>
      </x:c>
      <x:c r="E399" s="5" t="n">
        <x:v>4</x:v>
      </x:c>
      <x:c r="F399" s="5" t="inlineStr">
        <x:is>
          <x:t xml:space="preserve">물</x:t>
        </x:is>
      </x:c>
      <x:c r="G399" s="5" t="inlineStr">
        <x:is>
          <x:t xml:space="preserve">강철</x:t>
        </x:is>
      </x:c>
      <x:c r="H399" s="5" t="n">
        <x:v>1.7</x:v>
      </x:c>
      <x:c r="I399" s="5" t="n">
        <x:v>84.5</x:v>
      </x:c>
      <x:c r="J399" s="5" t="n">
        <x:v>530</x:v>
      </x:c>
      <x:c r="K399" s="5" t="n">
        <x:v>45</x:v>
      </x:c>
      <x:c r="L399" s="5" t="inlineStr">
        <x:is>
          <x:t xml:space="preserve">최종</x:t>
        </x:is>
      </x:c>
      <x:c r="M399" s="5" t="n">
        <x:v>36</x:v>
      </x:c>
      <x:c r="N399" s="5" t="inlineStr">
        <x:is>
          <x:t xml:space="preserve">레벨</x:t>
        </x:is>
      </x:c>
      <x:c r="O399" s="5" t="inlineStr">
        <x:is>
          <x:t xml:space="preserve">예</x:t>
        </x:is>
      </x:c>
      <x:c r="P399" s="5" t="inlineStr">
        <x:is>
          <x:t xml:space="preserve">#cobblemon:is_cold_ocean; #cobblemon:is_frozen_ocean; #cobblemon:is_glacial; #cobblemon:is_tundra; minecraft:frozen_river</x:t>
        </x:is>
      </x:c>
      <x:c r="Q399" s="5" t="inlineStr">
        <x:is>
          <x:t xml:space="preserve">ultra-rare</x:t>
        </x:is>
      </x:c>
      <x:c r="R399" s="5" t="inlineStr">
        <x:is>
          <x:t xml:space="preserve"/>
        </x:is>
      </x:c>
      <x:c r="S399" s="5" t="inlineStr">
        <x:is>
          <x:t xml:space="preserve"/>
        </x:is>
      </x:c>
      <x:c r="T399" s="5" t="inlineStr">
        <x:is>
          <x:t xml:space="preserve">해양</x:t>
        </x:is>
      </x:c>
      <x:c r="U399" s="5" t="inlineStr">
        <x:is>
          <x:t xml:space="preserve">해안·해양</x:t>
        </x:is>
      </x:c>
      <x:c r="V399" s="5" t="inlineStr">
        <x:is>
          <x:t xml:space="preserve">서늘</x:t>
        </x:is>
      </x:c>
      <x:c r="W399" s="5" t="inlineStr">
        <x:is>
          <x:t xml:space="preserve">수중</x:t>
        </x:is>
      </x:c>
      <x:c r="X399" s="5" t="inlineStr">
        <x:is>
          <x:t xml:space="preserve">비</x:t>
        </x:is>
      </x:c>
      <x:c r="Y399" s="5" t="inlineStr">
        <x:is>
          <x:t xml:space="preserve">무관</x:t>
        </x:is>
      </x:c>
      <x:c r="Z399" s="5" t="inlineStr">
        <x:is>
          <x:t xml:space="preserve">희귀</x:t>
        </x:is>
      </x:c>
      <x:c r="AA399" s="5" t="inlineStr">
        <x:is>
          <x:t xml:space="preserve">없음</x:t>
        </x:is>
      </x:c>
      <x:c r="AB399" s="5" t="inlineStr">
        <x:is>
          <x:t xml:space="preserve">해양</x:t>
        </x:is>
      </x:c>
      <x:c r="AC399" s="5" t="inlineStr">
        <x:is>
          <x:t xml:space="preserve">gen4</x:t>
        </x:is>
      </x:c>
      <x:c r="AD399" s="5" t="inlineStr">
        <x:is>
          <x:t xml:space="preserve">.tmp/cobblemon-1.7.3-source/common/src/main/resources/data/cobblemon/species/generation4/empoleon.json</x:t>
        </x:is>
      </x:c>
    </x:row>
    <x:row r="400" ht="22" customHeight="1">
      <x:c r="A400" s="5" t="n">
        <x:v>396</x:v>
      </x:c>
      <x:c r="B400" s="5" t="inlineStr">
        <x:is>
          <x:t xml:space="preserve">찌르꼬</x:t>
        </x:is>
      </x:c>
      <x:c r="C400" s="5" t="inlineStr">
        <x:is>
          <x:t xml:space="preserve">starly</x:t>
        </x:is>
      </x:c>
      <x:c r="D400" s="5" t="inlineStr">
        <x:is>
          <x:t xml:space="preserve">Starly</x:t>
        </x:is>
      </x:c>
      <x:c r="E400" s="5" t="n">
        <x:v>4</x:v>
      </x:c>
      <x:c r="F400" s="5" t="inlineStr">
        <x:is>
          <x:t xml:space="preserve">노말</x:t>
        </x:is>
      </x:c>
      <x:c r="G400" s="5" t="inlineStr">
        <x:is>
          <x:t xml:space="preserve">비행</x:t>
        </x:is>
      </x:c>
      <x:c r="H400" s="5" t="n">
        <x:v>0.3</x:v>
      </x:c>
      <x:c r="I400" s="5" t="n">
        <x:v>2</x:v>
      </x:c>
      <x:c r="J400" s="5" t="n">
        <x:v>245</x:v>
      </x:c>
      <x:c r="K400" s="5" t="n">
        <x:v>255</x:v>
      </x:c>
      <x:c r="L400" s="5" t="inlineStr">
        <x:is>
          <x:t xml:space="preserve">기본</x:t>
        </x:is>
      </x:c>
      <x:c r="M400" s="5" t="n">
        <x:v>34</x:v>
      </x:c>
      <x:c r="N400" s="5" t="inlineStr">
        <x:is>
          <x:t xml:space="preserve">레벨</x:t>
        </x:is>
      </x:c>
      <x:c r="O400" s="5" t="inlineStr">
        <x:is>
          <x:t xml:space="preserve">예</x:t>
        </x:is>
      </x:c>
      <x:c r="P400" s="5" t="inlineStr">
        <x:is>
          <x:t xml:space="preserve">#cobblemon:is_hills; #cobblemon:is_sky; #cobblemon:is_snowy_forest; #cobblemon:is_taiga</x:t>
        </x:is>
      </x:c>
      <x:c r="Q400" s="5" t="inlineStr">
        <x:is>
          <x:t xml:space="preserve">common</x:t>
        </x:is>
      </x:c>
      <x:c r="R400" s="5" t="inlineStr">
        <x:is>
          <x:t xml:space="preserve">day</x:t>
        </x:is>
      </x:c>
      <x:c r="S400" s="5" t="inlineStr">
        <x:is>
          <x:t xml:space="preserve"/>
        </x:is>
      </x:c>
      <x:c r="T400" s="5" t="inlineStr">
        <x:is>
          <x:t xml:space="preserve">비행</x:t>
        </x:is>
      </x:c>
      <x:c r="U400" s="5" t="inlineStr">
        <x:is>
          <x:t xml:space="preserve">수목</x:t>
        </x:is>
      </x:c>
      <x:c r="V400" s="5" t="inlineStr">
        <x:is>
          <x:t xml:space="preserve">서늘</x:t>
        </x:is>
      </x:c>
      <x:c r="W400" s="5" t="inlineStr">
        <x:is>
          <x:t xml:space="preserve">보통</x:t>
        </x:is>
      </x:c>
      <x:c r="X400" s="5" t="inlineStr">
        <x:is>
          <x:t xml:space="preserve">무관</x:t>
        </x:is>
      </x:c>
      <x:c r="Y400" s="5" t="inlineStr">
        <x:is>
          <x:t xml:space="preserve">낮</x:t>
        </x:is>
      </x:c>
      <x:c r="Z400" s="5" t="inlineStr">
        <x:is>
          <x:t xml:space="preserve">흔함</x:t>
        </x:is>
      </x:c>
      <x:c r="AA400" s="5" t="inlineStr">
        <x:is>
          <x:t xml:space="preserve">없음</x:t>
        </x:is>
      </x:c>
      <x:c r="AB400" s="5" t="inlineStr">
        <x:is>
          <x:t xml:space="preserve">숲</x:t>
        </x:is>
      </x:c>
      <x:c r="AC400" s="5" t="inlineStr">
        <x:is>
          <x:t xml:space="preserve">gen4</x:t>
        </x:is>
      </x:c>
      <x:c r="AD400" s="5" t="inlineStr">
        <x:is>
          <x:t xml:space="preserve">.tmp/cobblemon-1.7.3-source/common/src/main/resources/data/cobblemon/species/generation4/starly.json</x:t>
        </x:is>
      </x:c>
    </x:row>
    <x:row r="401" ht="22" customHeight="1">
      <x:c r="A401" s="5" t="n">
        <x:v>397</x:v>
      </x:c>
      <x:c r="B401" s="5" t="inlineStr">
        <x:is>
          <x:t xml:space="preserve">찌르버드</x:t>
        </x:is>
      </x:c>
      <x:c r="C401" s="5" t="inlineStr">
        <x:is>
          <x:t xml:space="preserve">staravia</x:t>
        </x:is>
      </x:c>
      <x:c r="D401" s="5" t="inlineStr">
        <x:is>
          <x:t xml:space="preserve">Staravia</x:t>
        </x:is>
      </x:c>
      <x:c r="E401" s="5" t="n">
        <x:v>4</x:v>
      </x:c>
      <x:c r="F401" s="5" t="inlineStr">
        <x:is>
          <x:t xml:space="preserve">노말</x:t>
        </x:is>
      </x:c>
      <x:c r="G401" s="5" t="inlineStr">
        <x:is>
          <x:t xml:space="preserve">비행</x:t>
        </x:is>
      </x:c>
      <x:c r="H401" s="5" t="n">
        <x:v>0.6</x:v>
      </x:c>
      <x:c r="I401" s="5" t="n">
        <x:v>15.5</x:v>
      </x:c>
      <x:c r="J401" s="5" t="n">
        <x:v>340</x:v>
      </x:c>
      <x:c r="K401" s="5" t="n">
        <x:v>120</x:v>
      </x:c>
      <x:c r="L401" s="5" t="inlineStr">
        <x:is>
          <x:t xml:space="preserve">중간</x:t>
        </x:is>
      </x:c>
      <x:c r="M401" s="5" t="n">
        <x:v>34</x:v>
      </x:c>
      <x:c r="N401" s="5" t="inlineStr">
        <x:is>
          <x:t xml:space="preserve">레벨</x:t>
        </x:is>
      </x:c>
      <x:c r="O401" s="5" t="inlineStr">
        <x:is>
          <x:t xml:space="preserve">예</x:t>
        </x:is>
      </x:c>
      <x:c r="P401" s="5" t="inlineStr">
        <x:is>
          <x:t xml:space="preserve">#cobblemon:is_hills; #cobblemon:is_sky; #cobblemon:is_snowy_forest; #cobblemon:is_taiga</x:t>
        </x:is>
      </x:c>
      <x:c r="Q401" s="5" t="inlineStr">
        <x:is>
          <x:t xml:space="preserve">common</x:t>
        </x:is>
      </x:c>
      <x:c r="R401" s="5" t="inlineStr">
        <x:is>
          <x:t xml:space="preserve">day</x:t>
        </x:is>
      </x:c>
      <x:c r="S401" s="5" t="inlineStr">
        <x:is>
          <x:t xml:space="preserve"/>
        </x:is>
      </x:c>
      <x:c r="T401" s="5" t="inlineStr">
        <x:is>
          <x:t xml:space="preserve">비행</x:t>
        </x:is>
      </x:c>
      <x:c r="U401" s="5" t="inlineStr">
        <x:is>
          <x:t xml:space="preserve">수목</x:t>
        </x:is>
      </x:c>
      <x:c r="V401" s="5" t="inlineStr">
        <x:is>
          <x:t xml:space="preserve">서늘</x:t>
        </x:is>
      </x:c>
      <x:c r="W401" s="5" t="inlineStr">
        <x:is>
          <x:t xml:space="preserve">보통</x:t>
        </x:is>
      </x:c>
      <x:c r="X401" s="5" t="inlineStr">
        <x:is>
          <x:t xml:space="preserve">무관</x:t>
        </x:is>
      </x:c>
      <x:c r="Y401" s="5" t="inlineStr">
        <x:is>
          <x:t xml:space="preserve">낮</x:t>
        </x:is>
      </x:c>
      <x:c r="Z401" s="5" t="inlineStr">
        <x:is>
          <x:t xml:space="preserve">흔함</x:t>
        </x:is>
      </x:c>
      <x:c r="AA401" s="5" t="inlineStr">
        <x:is>
          <x:t xml:space="preserve">없음</x:t>
        </x:is>
      </x:c>
      <x:c r="AB401" s="5" t="inlineStr">
        <x:is>
          <x:t xml:space="preserve">숲</x:t>
        </x:is>
      </x:c>
      <x:c r="AC401" s="5" t="inlineStr">
        <x:is>
          <x:t xml:space="preserve">gen4</x:t>
        </x:is>
      </x:c>
      <x:c r="AD401" s="5" t="inlineStr">
        <x:is>
          <x:t xml:space="preserve">.tmp/cobblemon-1.7.3-source/common/src/main/resources/data/cobblemon/species/generation4/staravia.json</x:t>
        </x:is>
      </x:c>
    </x:row>
    <x:row r="402" ht="22" customHeight="1">
      <x:c r="A402" s="5" t="n">
        <x:v>398</x:v>
      </x:c>
      <x:c r="B402" s="5" t="inlineStr">
        <x:is>
          <x:t xml:space="preserve">찌르호크</x:t>
        </x:is>
      </x:c>
      <x:c r="C402" s="5" t="inlineStr">
        <x:is>
          <x:t xml:space="preserve">staraptor</x:t>
        </x:is>
      </x:c>
      <x:c r="D402" s="5" t="inlineStr">
        <x:is>
          <x:t xml:space="preserve">Staraptor</x:t>
        </x:is>
      </x:c>
      <x:c r="E402" s="5" t="n">
        <x:v>4</x:v>
      </x:c>
      <x:c r="F402" s="5" t="inlineStr">
        <x:is>
          <x:t xml:space="preserve">노말</x:t>
        </x:is>
      </x:c>
      <x:c r="G402" s="5" t="inlineStr">
        <x:is>
          <x:t xml:space="preserve">비행</x:t>
        </x:is>
      </x:c>
      <x:c r="H402" s="5" t="n">
        <x:v>1.2</x:v>
      </x:c>
      <x:c r="I402" s="5" t="n">
        <x:v>24.9</x:v>
      </x:c>
      <x:c r="J402" s="5" t="n">
        <x:v>485</x:v>
      </x:c>
      <x:c r="K402" s="5" t="n">
        <x:v>45</x:v>
      </x:c>
      <x:c r="L402" s="5" t="inlineStr">
        <x:is>
          <x:t xml:space="preserve">최종</x:t>
        </x:is>
      </x:c>
      <x:c r="M402" s="5" t="n">
        <x:v>34</x:v>
      </x:c>
      <x:c r="N402" s="5" t="inlineStr">
        <x:is>
          <x:t xml:space="preserve">레벨</x:t>
        </x:is>
      </x:c>
      <x:c r="O402" s="5" t="inlineStr">
        <x:is>
          <x:t xml:space="preserve">예</x:t>
        </x:is>
      </x:c>
      <x:c r="P402" s="5" t="inlineStr">
        <x:is>
          <x:t xml:space="preserve">#cobblemon:is_hills; #cobblemon:is_sky; #cobblemon:is_snowy_forest; #cobblemon:is_taiga</x:t>
        </x:is>
      </x:c>
      <x:c r="Q402" s="5" t="inlineStr">
        <x:is>
          <x:t xml:space="preserve">common</x:t>
        </x:is>
      </x:c>
      <x:c r="R402" s="5" t="inlineStr">
        <x:is>
          <x:t xml:space="preserve">day</x:t>
        </x:is>
      </x:c>
      <x:c r="S402" s="5" t="inlineStr">
        <x:is>
          <x:t xml:space="preserve"/>
        </x:is>
      </x:c>
      <x:c r="T402" s="5" t="inlineStr">
        <x:is>
          <x:t xml:space="preserve">비행</x:t>
        </x:is>
      </x:c>
      <x:c r="U402" s="5" t="inlineStr">
        <x:is>
          <x:t xml:space="preserve">수목</x:t>
        </x:is>
      </x:c>
      <x:c r="V402" s="5" t="inlineStr">
        <x:is>
          <x:t xml:space="preserve">서늘</x:t>
        </x:is>
      </x:c>
      <x:c r="W402" s="5" t="inlineStr">
        <x:is>
          <x:t xml:space="preserve">보통</x:t>
        </x:is>
      </x:c>
      <x:c r="X402" s="5" t="inlineStr">
        <x:is>
          <x:t xml:space="preserve">무관</x:t>
        </x:is>
      </x:c>
      <x:c r="Y402" s="5" t="inlineStr">
        <x:is>
          <x:t xml:space="preserve">낮</x:t>
        </x:is>
      </x:c>
      <x:c r="Z402" s="5" t="inlineStr">
        <x:is>
          <x:t xml:space="preserve">흔함</x:t>
        </x:is>
      </x:c>
      <x:c r="AA402" s="5" t="inlineStr">
        <x:is>
          <x:t xml:space="preserve">없음</x:t>
        </x:is>
      </x:c>
      <x:c r="AB402" s="5" t="inlineStr">
        <x:is>
          <x:t xml:space="preserve">숲</x:t>
        </x:is>
      </x:c>
      <x:c r="AC402" s="5" t="inlineStr">
        <x:is>
          <x:t xml:space="preserve">gen4</x:t>
        </x:is>
      </x:c>
      <x:c r="AD402" s="5" t="inlineStr">
        <x:is>
          <x:t xml:space="preserve">.tmp/cobblemon-1.7.3-source/common/src/main/resources/data/cobblemon/species/generation4/staraptor.json</x:t>
        </x:is>
      </x:c>
    </x:row>
    <x:row r="403" ht="22" customHeight="1">
      <x:c r="A403" s="5" t="n">
        <x:v>399</x:v>
      </x:c>
      <x:c r="B403" s="5" t="inlineStr">
        <x:is>
          <x:t xml:space="preserve">비버니</x:t>
        </x:is>
      </x:c>
      <x:c r="C403" s="5" t="inlineStr">
        <x:is>
          <x:t xml:space="preserve">bidoof</x:t>
        </x:is>
      </x:c>
      <x:c r="D403" s="5" t="inlineStr">
        <x:is>
          <x:t xml:space="preserve">Bidoof</x:t>
        </x:is>
      </x:c>
      <x:c r="E403" s="5" t="n">
        <x:v>4</x:v>
      </x:c>
      <x:c r="F403" s="5" t="inlineStr">
        <x:is>
          <x:t xml:space="preserve">노말</x:t>
        </x:is>
      </x:c>
      <x:c r="G403" s="5" t="inlineStr">
        <x:is>
          <x:t xml:space="preserve"/>
        </x:is>
      </x:c>
      <x:c r="H403" s="5" t="n">
        <x:v>0.5</x:v>
      </x:c>
      <x:c r="I403" s="5" t="n">
        <x:v>20</x:v>
      </x:c>
      <x:c r="J403" s="5" t="n">
        <x:v>250</x:v>
      </x:c>
      <x:c r="K403" s="5" t="n">
        <x:v>255</x:v>
      </x:c>
      <x:c r="L403" s="5" t="inlineStr">
        <x:is>
          <x:t xml:space="preserve">기본</x:t>
        </x:is>
      </x:c>
      <x:c r="M403" s="5" t="n">
        <x:v>15</x:v>
      </x:c>
      <x:c r="N403" s="5" t="inlineStr">
        <x:is>
          <x:t xml:space="preserve">레벨</x:t>
        </x:is>
      </x:c>
      <x:c r="O403" s="5" t="inlineStr">
        <x:is>
          <x:t xml:space="preserve">예</x:t>
        </x:is>
      </x:c>
      <x:c r="P403" s="5" t="inlineStr">
        <x:is>
          <x:t xml:space="preserve">#cobblemon:is_forest; #cobblemon:is_freshwater; #cobblemon:is_snowy_forest; #cobblemon:is_taiga</x:t>
        </x:is>
      </x:c>
      <x:c r="Q403" s="5" t="inlineStr">
        <x:is>
          <x:t xml:space="preserve">common; uncommon</x:t>
        </x:is>
      </x:c>
      <x:c r="R403" s="5" t="inlineStr">
        <x:is>
          <x:t xml:space="preserve"/>
        </x:is>
      </x:c>
      <x:c r="S403" s="5" t="inlineStr">
        <x:is>
          <x:t xml:space="preserve"/>
        </x:is>
      </x:c>
      <x:c r="T403" s="5" t="inlineStr">
        <x:is>
          <x:t xml:space="preserve">육상</x:t>
        </x:is>
      </x:c>
      <x:c r="U403" s="5" t="inlineStr">
        <x:is>
          <x:t xml:space="preserve">수목</x:t>
        </x:is>
      </x:c>
      <x:c r="V403" s="5" t="inlineStr">
        <x:is>
          <x:t xml:space="preserve">서늘</x:t>
        </x:is>
      </x:c>
      <x:c r="W403" s="5" t="inlineStr">
        <x:is>
          <x:t xml:space="preserve">보통</x:t>
        </x:is>
      </x:c>
      <x:c r="X403" s="5" t="inlineStr">
        <x:is>
          <x:t xml:space="preserve">무관</x:t>
        </x:is>
      </x:c>
      <x:c r="Y403" s="5" t="inlineStr">
        <x:is>
          <x:t xml:space="preserve">무관</x:t>
        </x:is>
      </x:c>
      <x:c r="Z403" s="5" t="inlineStr">
        <x:is>
          <x:t xml:space="preserve">보통</x:t>
        </x:is>
      </x:c>
      <x:c r="AA403" s="5" t="inlineStr">
        <x:is>
          <x:t xml:space="preserve">없음</x:t>
        </x:is>
      </x:c>
      <x:c r="AB403" s="5" t="inlineStr">
        <x:is>
          <x:t xml:space="preserve">숲</x:t>
        </x:is>
      </x:c>
      <x:c r="AC403" s="5" t="inlineStr">
        <x:is>
          <x:t xml:space="preserve">gen4</x:t>
        </x:is>
      </x:c>
      <x:c r="AD403" s="5" t="inlineStr">
        <x:is>
          <x:t xml:space="preserve">.tmp/cobblemon-1.7.3-source/common/src/main/resources/data/cobblemon/species/generation4/bidoof.json</x:t>
        </x:is>
      </x:c>
    </x:row>
    <x:row r="404" ht="22" customHeight="1">
      <x:c r="A404" s="5" t="n">
        <x:v>400</x:v>
      </x:c>
      <x:c r="B404" s="5" t="inlineStr">
        <x:is>
          <x:t xml:space="preserve">비버통</x:t>
        </x:is>
      </x:c>
      <x:c r="C404" s="5" t="inlineStr">
        <x:is>
          <x:t xml:space="preserve">bibarel</x:t>
        </x:is>
      </x:c>
      <x:c r="D404" s="5" t="inlineStr">
        <x:is>
          <x:t xml:space="preserve">Bibarel</x:t>
        </x:is>
      </x:c>
      <x:c r="E404" s="5" t="n">
        <x:v>4</x:v>
      </x:c>
      <x:c r="F404" s="5" t="inlineStr">
        <x:is>
          <x:t xml:space="preserve">노말</x:t>
        </x:is>
      </x:c>
      <x:c r="G404" s="5" t="inlineStr">
        <x:is>
          <x:t xml:space="preserve">물</x:t>
        </x:is>
      </x:c>
      <x:c r="H404" s="5" t="n">
        <x:v>1</x:v>
      </x:c>
      <x:c r="I404" s="5" t="n">
        <x:v>31.5</x:v>
      </x:c>
      <x:c r="J404" s="5" t="n">
        <x:v>410</x:v>
      </x:c>
      <x:c r="K404" s="5" t="n">
        <x:v>127</x:v>
      </x:c>
      <x:c r="L404" s="5" t="inlineStr">
        <x:is>
          <x:t xml:space="preserve">최종</x:t>
        </x:is>
      </x:c>
      <x:c r="M404" s="5" t="n">
        <x:v>15</x:v>
      </x:c>
      <x:c r="N404" s="5" t="inlineStr">
        <x:is>
          <x:t xml:space="preserve">레벨</x:t>
        </x:is>
      </x:c>
      <x:c r="O404" s="5" t="inlineStr">
        <x:is>
          <x:t xml:space="preserve">예</x:t>
        </x:is>
      </x:c>
      <x:c r="P404" s="5" t="inlineStr">
        <x:is>
          <x:t xml:space="preserve">#cobblemon:is_forest; #cobblemon:is_freshwater; #cobblemon:is_snowy_forest; #cobblemon:is_taiga</x:t>
        </x:is>
      </x:c>
      <x:c r="Q404" s="5" t="inlineStr">
        <x:is>
          <x:t xml:space="preserve">common; uncommon</x:t>
        </x:is>
      </x:c>
      <x:c r="R404" s="5" t="inlineStr">
        <x:is>
          <x:t xml:space="preserve"/>
        </x:is>
      </x:c>
      <x:c r="S404" s="5" t="inlineStr">
        <x:is>
          <x:t xml:space="preserve"/>
        </x:is>
      </x:c>
      <x:c r="T404" s="5" t="inlineStr">
        <x:is>
          <x:t xml:space="preserve">담수</x:t>
        </x:is>
      </x:c>
      <x:c r="U404" s="5" t="inlineStr">
        <x:is>
          <x:t xml:space="preserve">담수</x:t>
        </x:is>
      </x:c>
      <x:c r="V404" s="5" t="inlineStr">
        <x:is>
          <x:t xml:space="preserve">서늘</x:t>
        </x:is>
      </x:c>
      <x:c r="W404" s="5" t="inlineStr">
        <x:is>
          <x:t xml:space="preserve">수중</x:t>
        </x:is>
      </x:c>
      <x:c r="X404" s="5" t="inlineStr">
        <x:is>
          <x:t xml:space="preserve">비</x:t>
        </x:is>
      </x:c>
      <x:c r="Y404" s="5" t="inlineStr">
        <x:is>
          <x:t xml:space="preserve">무관</x:t>
        </x:is>
      </x:c>
      <x:c r="Z404" s="5" t="inlineStr">
        <x:is>
          <x:t xml:space="preserve">보통</x:t>
        </x:is>
      </x:c>
      <x:c r="AA404" s="5" t="inlineStr">
        <x:is>
          <x:t xml:space="preserve">없음</x:t>
        </x:is>
      </x:c>
      <x:c r="AB404" s="5" t="inlineStr">
        <x:is>
          <x:t xml:space="preserve">담수</x:t>
        </x:is>
      </x:c>
      <x:c r="AC404" s="5" t="inlineStr">
        <x:is>
          <x:t xml:space="preserve">gen4</x:t>
        </x:is>
      </x:c>
      <x:c r="AD404" s="5" t="inlineStr">
        <x:is>
          <x:t xml:space="preserve">.tmp/cobblemon-1.7.3-source/common/src/main/resources/data/cobblemon/species/generation4/bibarel.json</x:t>
        </x:is>
      </x:c>
    </x:row>
    <x:row r="405" ht="22" customHeight="1">
      <x:c r="A405" s="5" t="n">
        <x:v>401</x:v>
      </x:c>
      <x:c r="B405" s="5" t="inlineStr">
        <x:is>
          <x:t xml:space="preserve">귀뚤뚜기</x:t>
        </x:is>
      </x:c>
      <x:c r="C405" s="5" t="inlineStr">
        <x:is>
          <x:t xml:space="preserve">kricketot</x:t>
        </x:is>
      </x:c>
      <x:c r="D405" s="5" t="inlineStr">
        <x:is>
          <x:t xml:space="preserve">Kricketot</x:t>
        </x:is>
      </x:c>
      <x:c r="E405" s="5" t="n">
        <x:v>4</x:v>
      </x:c>
      <x:c r="F405" s="5" t="inlineStr">
        <x:is>
          <x:t xml:space="preserve">벌레</x:t>
        </x:is>
      </x:c>
      <x:c r="G405" s="5" t="inlineStr">
        <x:is>
          <x:t xml:space="preserve"/>
        </x:is>
      </x:c>
      <x:c r="H405" s="5" t="n">
        <x:v>0.3</x:v>
      </x:c>
      <x:c r="I405" s="5" t="n">
        <x:v>2.2</x:v>
      </x:c>
      <x:c r="J405" s="5" t="n">
        <x:v>194</x:v>
      </x:c>
      <x:c r="K405" s="5" t="n">
        <x:v>255</x:v>
      </x:c>
      <x:c r="L405" s="5" t="inlineStr">
        <x:is>
          <x:t xml:space="preserve">기본</x:t>
        </x:is>
      </x:c>
      <x:c r="M405" s="5" t="n">
        <x:v>10</x:v>
      </x:c>
      <x:c r="N405" s="5" t="inlineStr">
        <x:is>
          <x:t xml:space="preserve">레벨</x:t>
        </x:is>
      </x:c>
      <x:c r="O405" s="5" t="inlineStr">
        <x:is>
          <x:t xml:space="preserve">예</x:t>
        </x:is>
      </x:c>
      <x:c r="P405" s="5" t="inlineStr">
        <x:is>
          <x:t xml:space="preserve">#cobblemon:is_forest; #cobblemon:is_swamp</x:t>
        </x:is>
      </x:c>
      <x:c r="Q405" s="5" t="inlineStr">
        <x:is>
          <x:t xml:space="preserve">common</x:t>
        </x:is>
      </x:c>
      <x:c r="R405" s="5" t="inlineStr">
        <x:is>
          <x:t xml:space="preserve">night</x:t>
        </x:is>
      </x:c>
      <x:c r="S405" s="5" t="inlineStr">
        <x:is>
          <x:t xml:space="preserve"/>
        </x:is>
      </x:c>
      <x:c r="T405" s="5" t="inlineStr">
        <x:is>
          <x:t xml:space="preserve">육상</x:t>
        </x:is>
      </x:c>
      <x:c r="U405" s="5" t="inlineStr">
        <x:is>
          <x:t xml:space="preserve">습지</x:t>
        </x:is>
      </x:c>
      <x:c r="V405" s="5" t="inlineStr">
        <x:is>
          <x:t xml:space="preserve">온대</x:t>
        </x:is>
      </x:c>
      <x:c r="W405" s="5" t="inlineStr">
        <x:is>
          <x:t xml:space="preserve">다습</x:t>
        </x:is>
      </x:c>
      <x:c r="X405" s="5" t="inlineStr">
        <x:is>
          <x:t xml:space="preserve">비</x:t>
        </x:is>
      </x:c>
      <x:c r="Y405" s="5" t="inlineStr">
        <x:is>
          <x:t xml:space="preserve">밤</x:t>
        </x:is>
      </x:c>
      <x:c r="Z405" s="5" t="inlineStr">
        <x:is>
          <x:t xml:space="preserve">흔함</x:t>
        </x:is>
      </x:c>
      <x:c r="AA405" s="5" t="inlineStr">
        <x:is>
          <x:t xml:space="preserve">없음</x:t>
        </x:is>
      </x:c>
      <x:c r="AB405" s="5" t="inlineStr">
        <x:is>
          <x:t xml:space="preserve">습지</x:t>
        </x:is>
      </x:c>
      <x:c r="AC405" s="5" t="inlineStr">
        <x:is>
          <x:t xml:space="preserve">gen4</x:t>
        </x:is>
      </x:c>
      <x:c r="AD405" s="5" t="inlineStr">
        <x:is>
          <x:t xml:space="preserve">.tmp/cobblemon-1.7.3-source/common/src/main/resources/data/cobblemon/species/generation4/kricketot.json</x:t>
        </x:is>
      </x:c>
    </x:row>
    <x:row r="406" ht="22" customHeight="1">
      <x:c r="A406" s="5" t="n">
        <x:v>402</x:v>
      </x:c>
      <x:c r="B406" s="5" t="inlineStr">
        <x:is>
          <x:t xml:space="preserve">귀뚤톡크</x:t>
        </x:is>
      </x:c>
      <x:c r="C406" s="5" t="inlineStr">
        <x:is>
          <x:t xml:space="preserve">kricketune</x:t>
        </x:is>
      </x:c>
      <x:c r="D406" s="5" t="inlineStr">
        <x:is>
          <x:t xml:space="preserve">Kricketune</x:t>
        </x:is>
      </x:c>
      <x:c r="E406" s="5" t="n">
        <x:v>4</x:v>
      </x:c>
      <x:c r="F406" s="5" t="inlineStr">
        <x:is>
          <x:t xml:space="preserve">벌레</x:t>
        </x:is>
      </x:c>
      <x:c r="G406" s="5" t="inlineStr">
        <x:is>
          <x:t xml:space="preserve"/>
        </x:is>
      </x:c>
      <x:c r="H406" s="5" t="n">
        <x:v>1</x:v>
      </x:c>
      <x:c r="I406" s="5" t="n">
        <x:v>25.5</x:v>
      </x:c>
      <x:c r="J406" s="5" t="n">
        <x:v>384</x:v>
      </x:c>
      <x:c r="K406" s="5" t="n">
        <x:v>45</x:v>
      </x:c>
      <x:c r="L406" s="5" t="inlineStr">
        <x:is>
          <x:t xml:space="preserve">최종</x:t>
        </x:is>
      </x:c>
      <x:c r="M406" s="5" t="n">
        <x:v>10</x:v>
      </x:c>
      <x:c r="N406" s="5" t="inlineStr">
        <x:is>
          <x:t xml:space="preserve">레벨</x:t>
        </x:is>
      </x:c>
      <x:c r="O406" s="5" t="inlineStr">
        <x:is>
          <x:t xml:space="preserve">예</x:t>
        </x:is>
      </x:c>
      <x:c r="P406" s="5" t="inlineStr">
        <x:is>
          <x:t xml:space="preserve">#cobblemon:is_forest; #cobblemon:is_swamp</x:t>
        </x:is>
      </x:c>
      <x:c r="Q406" s="5" t="inlineStr">
        <x:is>
          <x:t xml:space="preserve">common</x:t>
        </x:is>
      </x:c>
      <x:c r="R406" s="5" t="inlineStr">
        <x:is>
          <x:t xml:space="preserve">night</x:t>
        </x:is>
      </x:c>
      <x:c r="S406" s="5" t="inlineStr">
        <x:is>
          <x:t xml:space="preserve"/>
        </x:is>
      </x:c>
      <x:c r="T406" s="5" t="inlineStr">
        <x:is>
          <x:t xml:space="preserve">비행</x:t>
        </x:is>
      </x:c>
      <x:c r="U406" s="5" t="inlineStr">
        <x:is>
          <x:t xml:space="preserve">습지</x:t>
        </x:is>
      </x:c>
      <x:c r="V406" s="5" t="inlineStr">
        <x:is>
          <x:t xml:space="preserve">온대</x:t>
        </x:is>
      </x:c>
      <x:c r="W406" s="5" t="inlineStr">
        <x:is>
          <x:t xml:space="preserve">다습</x:t>
        </x:is>
      </x:c>
      <x:c r="X406" s="5" t="inlineStr">
        <x:is>
          <x:t xml:space="preserve">비</x:t>
        </x:is>
      </x:c>
      <x:c r="Y406" s="5" t="inlineStr">
        <x:is>
          <x:t xml:space="preserve">밤</x:t>
        </x:is>
      </x:c>
      <x:c r="Z406" s="5" t="inlineStr">
        <x:is>
          <x:t xml:space="preserve">흔함</x:t>
        </x:is>
      </x:c>
      <x:c r="AA406" s="5" t="inlineStr">
        <x:is>
          <x:t xml:space="preserve">없음</x:t>
        </x:is>
      </x:c>
      <x:c r="AB406" s="5" t="inlineStr">
        <x:is>
          <x:t xml:space="preserve">습지</x:t>
        </x:is>
      </x:c>
      <x:c r="AC406" s="5" t="inlineStr">
        <x:is>
          <x:t xml:space="preserve">gen4</x:t>
        </x:is>
      </x:c>
      <x:c r="AD406" s="5" t="inlineStr">
        <x:is>
          <x:t xml:space="preserve">.tmp/cobblemon-1.7.3-source/common/src/main/resources/data/cobblemon/species/generation4/kricketune.json</x:t>
        </x:is>
      </x:c>
    </x:row>
    <x:row r="407" ht="22" customHeight="1">
      <x:c r="A407" s="5" t="n">
        <x:v>403</x:v>
      </x:c>
      <x:c r="B407" s="5" t="inlineStr">
        <x:is>
          <x:t xml:space="preserve">꼬링크</x:t>
        </x:is>
      </x:c>
      <x:c r="C407" s="5" t="inlineStr">
        <x:is>
          <x:t xml:space="preserve">shinx</x:t>
        </x:is>
      </x:c>
      <x:c r="D407" s="5" t="inlineStr">
        <x:is>
          <x:t xml:space="preserve">Shinx</x:t>
        </x:is>
      </x:c>
      <x:c r="E407" s="5" t="n">
        <x:v>4</x:v>
      </x:c>
      <x:c r="F407" s="5" t="inlineStr">
        <x:is>
          <x:t xml:space="preserve">전기</x:t>
        </x:is>
      </x:c>
      <x:c r="G407" s="5" t="inlineStr">
        <x:is>
          <x:t xml:space="preserve"/>
        </x:is>
      </x:c>
      <x:c r="H407" s="5" t="n">
        <x:v>0.5</x:v>
      </x:c>
      <x:c r="I407" s="5" t="n">
        <x:v>9.5</x:v>
      </x:c>
      <x:c r="J407" s="5" t="n">
        <x:v>263</x:v>
      </x:c>
      <x:c r="K407" s="5" t="n">
        <x:v>235</x:v>
      </x:c>
      <x:c r="L407" s="5" t="inlineStr">
        <x:is>
          <x:t xml:space="preserve">기본</x:t>
        </x:is>
      </x:c>
      <x:c r="M407" s="5" t="n">
        <x:v>30</x:v>
      </x:c>
      <x:c r="N407" s="5" t="inlineStr">
        <x:is>
          <x:t xml:space="preserve">레벨</x:t>
        </x:is>
      </x:c>
      <x:c r="O407" s="5" t="inlineStr">
        <x:is>
          <x:t xml:space="preserve">예</x:t>
        </x:is>
      </x:c>
      <x:c r="P407" s="5" t="inlineStr">
        <x:is>
          <x:t xml:space="preserve">#cobblemon:is_desert; #cobblemon:is_savanna</x:t>
        </x:is>
      </x:c>
      <x:c r="Q407" s="5" t="inlineStr">
        <x:is>
          <x:t xml:space="preserve">uncommon</x:t>
        </x:is>
      </x:c>
      <x:c r="R407" s="5" t="inlineStr">
        <x:is>
          <x:t xml:space="preserve"/>
        </x:is>
      </x:c>
      <x:c r="S407" s="5" t="inlineStr">
        <x:is>
          <x:t xml:space="preserve"/>
        </x:is>
      </x:c>
      <x:c r="T407" s="5" t="inlineStr">
        <x:is>
          <x:t xml:space="preserve">육상</x:t>
        </x:is>
      </x:c>
      <x:c r="U407" s="5" t="inlineStr">
        <x:is>
          <x:t xml:space="preserve">건조</x:t>
        </x:is>
      </x:c>
      <x:c r="V407" s="5" t="inlineStr">
        <x:is>
          <x:t xml:space="preserve">고온</x:t>
        </x:is>
      </x:c>
      <x:c r="W407" s="5" t="inlineStr">
        <x:is>
          <x:t xml:space="preserve">건조</x:t>
        </x:is>
      </x:c>
      <x:c r="X407" s="5" t="inlineStr">
        <x:is>
          <x:t xml:space="preserve">맑음</x:t>
        </x:is>
      </x:c>
      <x:c r="Y407" s="5" t="inlineStr">
        <x:is>
          <x:t xml:space="preserve">무관</x:t>
        </x:is>
      </x:c>
      <x:c r="Z407" s="5" t="inlineStr">
        <x:is>
          <x:t xml:space="preserve">보통</x:t>
        </x:is>
      </x:c>
      <x:c r="AA407" s="5" t="inlineStr">
        <x:is>
          <x:t xml:space="preserve">없음</x:t>
        </x:is>
      </x:c>
      <x:c r="AB407" s="5" t="inlineStr">
        <x:is>
          <x:t xml:space="preserve">건조지</x:t>
        </x:is>
      </x:c>
      <x:c r="AC407" s="5" t="inlineStr">
        <x:is>
          <x:t xml:space="preserve">gen4</x:t>
        </x:is>
      </x:c>
      <x:c r="AD407" s="5" t="inlineStr">
        <x:is>
          <x:t xml:space="preserve">.tmp/cobblemon-1.7.3-source/common/src/main/resources/data/cobblemon/species/generation4/shinx.json</x:t>
        </x:is>
      </x:c>
    </x:row>
    <x:row r="408" ht="22" customHeight="1">
      <x:c r="A408" s="5" t="n">
        <x:v>404</x:v>
      </x:c>
      <x:c r="B408" s="5" t="inlineStr">
        <x:is>
          <x:t xml:space="preserve">럭시오</x:t>
        </x:is>
      </x:c>
      <x:c r="C408" s="5" t="inlineStr">
        <x:is>
          <x:t xml:space="preserve">luxio</x:t>
        </x:is>
      </x:c>
      <x:c r="D408" s="5" t="inlineStr">
        <x:is>
          <x:t xml:space="preserve">Luxio</x:t>
        </x:is>
      </x:c>
      <x:c r="E408" s="5" t="n">
        <x:v>4</x:v>
      </x:c>
      <x:c r="F408" s="5" t="inlineStr">
        <x:is>
          <x:t xml:space="preserve">전기</x:t>
        </x:is>
      </x:c>
      <x:c r="G408" s="5" t="inlineStr">
        <x:is>
          <x:t xml:space="preserve"/>
        </x:is>
      </x:c>
      <x:c r="H408" s="5" t="n">
        <x:v>0.9</x:v>
      </x:c>
      <x:c r="I408" s="5" t="n">
        <x:v>30.5</x:v>
      </x:c>
      <x:c r="J408" s="5" t="n">
        <x:v>363</x:v>
      </x:c>
      <x:c r="K408" s="5" t="n">
        <x:v>120</x:v>
      </x:c>
      <x:c r="L408" s="5" t="inlineStr">
        <x:is>
          <x:t xml:space="preserve">중간</x:t>
        </x:is>
      </x:c>
      <x:c r="M408" s="5" t="n">
        <x:v>30</x:v>
      </x:c>
      <x:c r="N408" s="5" t="inlineStr">
        <x:is>
          <x:t xml:space="preserve">레벨</x:t>
        </x:is>
      </x:c>
      <x:c r="O408" s="5" t="inlineStr">
        <x:is>
          <x:t xml:space="preserve">예</x:t>
        </x:is>
      </x:c>
      <x:c r="P408" s="5" t="inlineStr">
        <x:is>
          <x:t xml:space="preserve">#cobblemon:is_desert; #cobblemon:is_savanna</x:t>
        </x:is>
      </x:c>
      <x:c r="Q408" s="5" t="inlineStr">
        <x:is>
          <x:t xml:space="preserve">uncommon</x:t>
        </x:is>
      </x:c>
      <x:c r="R408" s="5" t="inlineStr">
        <x:is>
          <x:t xml:space="preserve"/>
        </x:is>
      </x:c>
      <x:c r="S408" s="5" t="inlineStr">
        <x:is>
          <x:t xml:space="preserve"/>
        </x:is>
      </x:c>
      <x:c r="T408" s="5" t="inlineStr">
        <x:is>
          <x:t xml:space="preserve">육상</x:t>
        </x:is>
      </x:c>
      <x:c r="U408" s="5" t="inlineStr">
        <x:is>
          <x:t xml:space="preserve">건조</x:t>
        </x:is>
      </x:c>
      <x:c r="V408" s="5" t="inlineStr">
        <x:is>
          <x:t xml:space="preserve">고온</x:t>
        </x:is>
      </x:c>
      <x:c r="W408" s="5" t="inlineStr">
        <x:is>
          <x:t xml:space="preserve">건조</x:t>
        </x:is>
      </x:c>
      <x:c r="X408" s="5" t="inlineStr">
        <x:is>
          <x:t xml:space="preserve">맑음</x:t>
        </x:is>
      </x:c>
      <x:c r="Y408" s="5" t="inlineStr">
        <x:is>
          <x:t xml:space="preserve">무관</x:t>
        </x:is>
      </x:c>
      <x:c r="Z408" s="5" t="inlineStr">
        <x:is>
          <x:t xml:space="preserve">보통</x:t>
        </x:is>
      </x:c>
      <x:c r="AA408" s="5" t="inlineStr">
        <x:is>
          <x:t xml:space="preserve">없음</x:t>
        </x:is>
      </x:c>
      <x:c r="AB408" s="5" t="inlineStr">
        <x:is>
          <x:t xml:space="preserve">건조지</x:t>
        </x:is>
      </x:c>
      <x:c r="AC408" s="5" t="inlineStr">
        <x:is>
          <x:t xml:space="preserve">gen4</x:t>
        </x:is>
      </x:c>
      <x:c r="AD408" s="5" t="inlineStr">
        <x:is>
          <x:t xml:space="preserve">.tmp/cobblemon-1.7.3-source/common/src/main/resources/data/cobblemon/species/generation4/luxio.json</x:t>
        </x:is>
      </x:c>
    </x:row>
    <x:row r="409" ht="22" customHeight="1">
      <x:c r="A409" s="5" t="n">
        <x:v>405</x:v>
      </x:c>
      <x:c r="B409" s="5" t="inlineStr">
        <x:is>
          <x:t xml:space="preserve">렌트라</x:t>
        </x:is>
      </x:c>
      <x:c r="C409" s="5" t="inlineStr">
        <x:is>
          <x:t xml:space="preserve">luxray</x:t>
        </x:is>
      </x:c>
      <x:c r="D409" s="5" t="inlineStr">
        <x:is>
          <x:t xml:space="preserve">Luxray</x:t>
        </x:is>
      </x:c>
      <x:c r="E409" s="5" t="n">
        <x:v>4</x:v>
      </x:c>
      <x:c r="F409" s="5" t="inlineStr">
        <x:is>
          <x:t xml:space="preserve">전기</x:t>
        </x:is>
      </x:c>
      <x:c r="G409" s="5" t="inlineStr">
        <x:is>
          <x:t xml:space="preserve"/>
        </x:is>
      </x:c>
      <x:c r="H409" s="5" t="n">
        <x:v>1.4</x:v>
      </x:c>
      <x:c r="I409" s="5" t="n">
        <x:v>42</x:v>
      </x:c>
      <x:c r="J409" s="5" t="n">
        <x:v>523</x:v>
      </x:c>
      <x:c r="K409" s="5" t="n">
        <x:v>45</x:v>
      </x:c>
      <x:c r="L409" s="5" t="inlineStr">
        <x:is>
          <x:t xml:space="preserve">최종</x:t>
        </x:is>
      </x:c>
      <x:c r="M409" s="5" t="n">
        <x:v>30</x:v>
      </x:c>
      <x:c r="N409" s="5" t="inlineStr">
        <x:is>
          <x:t xml:space="preserve">레벨</x:t>
        </x:is>
      </x:c>
      <x:c r="O409" s="5" t="inlineStr">
        <x:is>
          <x:t xml:space="preserve">예</x:t>
        </x:is>
      </x:c>
      <x:c r="P409" s="5" t="inlineStr">
        <x:is>
          <x:t xml:space="preserve">#cobblemon:is_desert; #cobblemon:is_savanna</x:t>
        </x:is>
      </x:c>
      <x:c r="Q409" s="5" t="inlineStr">
        <x:is>
          <x:t xml:space="preserve">uncommon</x:t>
        </x:is>
      </x:c>
      <x:c r="R409" s="5" t="inlineStr">
        <x:is>
          <x:t xml:space="preserve"/>
        </x:is>
      </x:c>
      <x:c r="S409" s="5" t="inlineStr">
        <x:is>
          <x:t xml:space="preserve"/>
        </x:is>
      </x:c>
      <x:c r="T409" s="5" t="inlineStr">
        <x:is>
          <x:t xml:space="preserve">육상</x:t>
        </x:is>
      </x:c>
      <x:c r="U409" s="5" t="inlineStr">
        <x:is>
          <x:t xml:space="preserve">건조</x:t>
        </x:is>
      </x:c>
      <x:c r="V409" s="5" t="inlineStr">
        <x:is>
          <x:t xml:space="preserve">고온</x:t>
        </x:is>
      </x:c>
      <x:c r="W409" s="5" t="inlineStr">
        <x:is>
          <x:t xml:space="preserve">건조</x:t>
        </x:is>
      </x:c>
      <x:c r="X409" s="5" t="inlineStr">
        <x:is>
          <x:t xml:space="preserve">맑음</x:t>
        </x:is>
      </x:c>
      <x:c r="Y409" s="5" t="inlineStr">
        <x:is>
          <x:t xml:space="preserve">무관</x:t>
        </x:is>
      </x:c>
      <x:c r="Z409" s="5" t="inlineStr">
        <x:is>
          <x:t xml:space="preserve">보통</x:t>
        </x:is>
      </x:c>
      <x:c r="AA409" s="5" t="inlineStr">
        <x:is>
          <x:t xml:space="preserve">없음</x:t>
        </x:is>
      </x:c>
      <x:c r="AB409" s="5" t="inlineStr">
        <x:is>
          <x:t xml:space="preserve">건조지</x:t>
        </x:is>
      </x:c>
      <x:c r="AC409" s="5" t="inlineStr">
        <x:is>
          <x:t xml:space="preserve">gen4</x:t>
        </x:is>
      </x:c>
      <x:c r="AD409" s="5" t="inlineStr">
        <x:is>
          <x:t xml:space="preserve">.tmp/cobblemon-1.7.3-source/common/src/main/resources/data/cobblemon/species/generation4/luxray.json</x:t>
        </x:is>
      </x:c>
    </x:row>
    <x:row r="410" ht="22" customHeight="1">
      <x:c r="A410" s="5" t="n">
        <x:v>406</x:v>
      </x:c>
      <x:c r="B410" s="5" t="inlineStr">
        <x:is>
          <x:t xml:space="preserve">꼬몽울</x:t>
        </x:is>
      </x:c>
      <x:c r="C410" s="5" t="inlineStr">
        <x:is>
          <x:t xml:space="preserve">budew</x:t>
        </x:is>
      </x:c>
      <x:c r="D410" s="5" t="inlineStr">
        <x:is>
          <x:t xml:space="preserve">Budew</x:t>
        </x:is>
      </x:c>
      <x:c r="E410" s="5" t="n">
        <x:v>4</x:v>
      </x:c>
      <x:c r="F410" s="5" t="inlineStr">
        <x:is>
          <x:t xml:space="preserve">풀</x:t>
        </x:is>
      </x:c>
      <x:c r="G410" s="5" t="inlineStr">
        <x:is>
          <x:t xml:space="preserve">독</x:t>
        </x:is>
      </x:c>
      <x:c r="H410" s="5" t="n">
        <x:v>0.2</x:v>
      </x:c>
      <x:c r="I410" s="5" t="n">
        <x:v>1.2</x:v>
      </x:c>
      <x:c r="J410" s="5" t="n">
        <x:v>280</x:v>
      </x:c>
      <x:c r="K410" s="5" t="n">
        <x:v>255</x:v>
      </x:c>
      <x:c r="L410" s="5" t="inlineStr">
        <x:is>
          <x:t xml:space="preserve">기본</x:t>
        </x:is>
      </x:c>
      <x:c r="M410" s="5" t="n"/>
      <x:c r="N410" s="5" t="inlineStr">
        <x:is>
          <x:t xml:space="preserve">특수</x:t>
        </x:is>
      </x:c>
      <x:c r="O410" s="5" t="inlineStr">
        <x:is>
          <x:t xml:space="preserve">예</x:t>
        </x:is>
      </x:c>
      <x:c r="P410" s="5" t="inlineStr">
        <x:is>
          <x:t xml:space="preserve">#aether:is_aether; #cobblemon:is_floral; the_bumblezone:floral_meadow</x:t>
        </x:is>
      </x:c>
      <x:c r="Q410" s="5" t="inlineStr">
        <x:is>
          <x:t xml:space="preserve">common</x:t>
        </x:is>
      </x:c>
      <x:c r="R410" s="5" t="inlineStr">
        <x:is>
          <x:t xml:space="preserve"/>
        </x:is>
      </x:c>
      <x:c r="S410" s="5" t="inlineStr">
        <x:is>
          <x:t xml:space="preserve"/>
        </x:is>
      </x:c>
      <x:c r="T410" s="5" t="inlineStr">
        <x:is>
          <x:t xml:space="preserve">육상</x:t>
        </x:is>
      </x:c>
      <x:c r="U410" s="5" t="inlineStr">
        <x:is>
          <x:t xml:space="preserve">개활지</x:t>
        </x:is>
      </x:c>
      <x:c r="V410" s="5" t="inlineStr">
        <x:is>
          <x:t xml:space="preserve">온대</x:t>
        </x:is>
      </x:c>
      <x:c r="W410" s="5" t="inlineStr">
        <x:is>
          <x:t xml:space="preserve">보통</x:t>
        </x:is>
      </x:c>
      <x:c r="X410" s="5" t="inlineStr">
        <x:is>
          <x:t xml:space="preserve">무관</x:t>
        </x:is>
      </x:c>
      <x:c r="Y410" s="5" t="inlineStr">
        <x:is>
          <x:t xml:space="preserve">무관</x:t>
        </x:is>
      </x:c>
      <x:c r="Z410" s="5" t="inlineStr">
        <x:is>
          <x:t xml:space="preserve">흔함</x:t>
        </x:is>
      </x:c>
      <x:c r="AA410" s="5" t="inlineStr">
        <x:is>
          <x:t xml:space="preserve">없음</x:t>
        </x:is>
      </x:c>
      <x:c r="AB410" s="5" t="inlineStr">
        <x:is>
          <x:t xml:space="preserve">평원</x:t>
        </x:is>
      </x:c>
      <x:c r="AC410" s="5" t="inlineStr">
        <x:is>
          <x:t xml:space="preserve">baby; gen4</x:t>
        </x:is>
      </x:c>
      <x:c r="AD410" s="5" t="inlineStr">
        <x:is>
          <x:t xml:space="preserve">.tmp/cobblemon-1.7.3-source/common/src/main/resources/data/cobblemon/species/generation4/budew.json</x:t>
        </x:is>
      </x:c>
    </x:row>
    <x:row r="411" ht="22" customHeight="1">
      <x:c r="A411" s="5" t="n">
        <x:v>407</x:v>
      </x:c>
      <x:c r="B411" s="5" t="inlineStr">
        <x:is>
          <x:t xml:space="preserve">로즈레이드</x:t>
        </x:is>
      </x:c>
      <x:c r="C411" s="5" t="inlineStr">
        <x:is>
          <x:t xml:space="preserve">roserade</x:t>
        </x:is>
      </x:c>
      <x:c r="D411" s="5" t="inlineStr">
        <x:is>
          <x:t xml:space="preserve">Roserade</x:t>
        </x:is>
      </x:c>
      <x:c r="E411" s="5" t="n">
        <x:v>4</x:v>
      </x:c>
      <x:c r="F411" s="5" t="inlineStr">
        <x:is>
          <x:t xml:space="preserve">풀</x:t>
        </x:is>
      </x:c>
      <x:c r="G411" s="5" t="inlineStr">
        <x:is>
          <x:t xml:space="preserve">독</x:t>
        </x:is>
      </x:c>
      <x:c r="H411" s="5" t="n">
        <x:v>0.9</x:v>
      </x:c>
      <x:c r="I411" s="5" t="n">
        <x:v>14.5</x:v>
      </x:c>
      <x:c r="J411" s="5" t="n">
        <x:v>515</x:v>
      </x:c>
      <x:c r="K411" s="5" t="n">
        <x:v>75</x:v>
      </x:c>
      <x:c r="L411" s="5" t="inlineStr">
        <x:is>
          <x:t xml:space="preserve">최종</x:t>
        </x:is>
      </x:c>
      <x:c r="M411" s="5" t="n"/>
      <x:c r="N411" s="5" t="inlineStr">
        <x:is>
          <x:t xml:space="preserve">특수</x:t>
        </x:is>
      </x:c>
      <x:c r="O411" s="5" t="inlineStr">
        <x:is>
          <x:t xml:space="preserve">예</x:t>
        </x:is>
      </x:c>
      <x:c r="P411" s="5" t="inlineStr">
        <x:is>
          <x:t xml:space="preserve">#aether:is_aether; #cobblemon:is_floral; the_bumblezone:floral_meadow</x:t>
        </x:is>
      </x:c>
      <x:c r="Q411" s="5" t="inlineStr">
        <x:is>
          <x:t xml:space="preserve">common</x:t>
        </x:is>
      </x:c>
      <x:c r="R411" s="5" t="inlineStr">
        <x:is>
          <x:t xml:space="preserve"/>
        </x:is>
      </x:c>
      <x:c r="S411" s="5" t="inlineStr">
        <x:is>
          <x:t xml:space="preserve"/>
        </x:is>
      </x:c>
      <x:c r="T411" s="5" t="inlineStr">
        <x:is>
          <x:t xml:space="preserve">육상</x:t>
        </x:is>
      </x:c>
      <x:c r="U411" s="5" t="inlineStr">
        <x:is>
          <x:t xml:space="preserve">개활지</x:t>
        </x:is>
      </x:c>
      <x:c r="V411" s="5" t="inlineStr">
        <x:is>
          <x:t xml:space="preserve">온대</x:t>
        </x:is>
      </x:c>
      <x:c r="W411" s="5" t="inlineStr">
        <x:is>
          <x:t xml:space="preserve">보통</x:t>
        </x:is>
      </x:c>
      <x:c r="X411" s="5" t="inlineStr">
        <x:is>
          <x:t xml:space="preserve">무관</x:t>
        </x:is>
      </x:c>
      <x:c r="Y411" s="5" t="inlineStr">
        <x:is>
          <x:t xml:space="preserve">무관</x:t>
        </x:is>
      </x:c>
      <x:c r="Z411" s="5" t="inlineStr">
        <x:is>
          <x:t xml:space="preserve">흔함</x:t>
        </x:is>
      </x:c>
      <x:c r="AA411" s="5" t="inlineStr">
        <x:is>
          <x:t xml:space="preserve">없음</x:t>
        </x:is>
      </x:c>
      <x:c r="AB411" s="5" t="inlineStr">
        <x:is>
          <x:t xml:space="preserve">평원</x:t>
        </x:is>
      </x:c>
      <x:c r="AC411" s="5" t="inlineStr">
        <x:is>
          <x:t xml:space="preserve">gen4</x:t>
        </x:is>
      </x:c>
      <x:c r="AD411" s="5" t="inlineStr">
        <x:is>
          <x:t xml:space="preserve">.tmp/cobblemon-1.7.3-source/common/src/main/resources/data/cobblemon/species/generation4/roserade.json</x:t>
        </x:is>
      </x:c>
    </x:row>
    <x:row r="412" ht="22" customHeight="1">
      <x:c r="A412" s="5" t="n">
        <x:v>408</x:v>
      </x:c>
      <x:c r="B412" s="5" t="inlineStr">
        <x:is>
          <x:t xml:space="preserve">두개도스</x:t>
        </x:is>
      </x:c>
      <x:c r="C412" s="5" t="inlineStr">
        <x:is>
          <x:t xml:space="preserve">cranidos</x:t>
        </x:is>
      </x:c>
      <x:c r="D412" s="5" t="inlineStr">
        <x:is>
          <x:t xml:space="preserve">Cranidos</x:t>
        </x:is>
      </x:c>
      <x:c r="E412" s="5" t="n">
        <x:v>4</x:v>
      </x:c>
      <x:c r="F412" s="5" t="inlineStr">
        <x:is>
          <x:t xml:space="preserve">바위</x:t>
        </x:is>
      </x:c>
      <x:c r="G412" s="5" t="inlineStr">
        <x:is>
          <x:t xml:space="preserve"/>
        </x:is>
      </x:c>
      <x:c r="H412" s="5" t="n">
        <x:v>0.9</x:v>
      </x:c>
      <x:c r="I412" s="5" t="n">
        <x:v>31.5</x:v>
      </x:c>
      <x:c r="J412" s="5" t="n">
        <x:v>350</x:v>
      </x:c>
      <x:c r="K412" s="5" t="n">
        <x:v>45</x:v>
      </x:c>
      <x:c r="L412" s="5" t="inlineStr">
        <x:is>
          <x:t xml:space="preserve">기본</x:t>
        </x:is>
      </x:c>
      <x:c r="M412" s="5" t="n">
        <x:v>30</x:v>
      </x:c>
      <x:c r="N412" s="5" t="inlineStr">
        <x:is>
          <x:t xml:space="preserve">레벨</x:t>
        </x:is>
      </x:c>
      <x:c r="O412" s="5" t="inlineStr">
        <x:is>
          <x:t xml:space="preserve">예</x:t>
        </x:is>
      </x:c>
      <x:c r="P412" s="5" t="inlineStr">
        <x:is>
          <x:t xml:space="preserve">#cobblemon:is_lush</x:t>
        </x:is>
      </x:c>
      <x:c r="Q412" s="5" t="inlineStr">
        <x:is>
          <x:t xml:space="preserve">ultra-rare</x:t>
        </x:is>
      </x:c>
      <x:c r="R412" s="5" t="inlineStr">
        <x:is>
          <x:t xml:space="preserve"/>
        </x:is>
      </x:c>
      <x:c r="S412" s="5" t="inlineStr">
        <x:is>
          <x:t xml:space="preserve"/>
        </x:is>
      </x:c>
      <x:c r="T412" s="5" t="inlineStr">
        <x:is>
          <x:t xml:space="preserve">육상</x:t>
        </x:is>
      </x:c>
      <x:c r="U412" s="5" t="inlineStr">
        <x:is>
          <x:t xml:space="preserve">암석</x:t>
        </x:is>
      </x:c>
      <x:c r="V412" s="5" t="inlineStr">
        <x:is>
          <x:t xml:space="preserve">온대</x:t>
        </x:is>
      </x:c>
      <x:c r="W412" s="5" t="inlineStr">
        <x:is>
          <x:t xml:space="preserve">보통</x:t>
        </x:is>
      </x:c>
      <x:c r="X412" s="5" t="inlineStr">
        <x:is>
          <x:t xml:space="preserve">무관</x:t>
        </x:is>
      </x:c>
      <x:c r="Y412" s="5" t="inlineStr">
        <x:is>
          <x:t xml:space="preserve">무관</x:t>
        </x:is>
      </x:c>
      <x:c r="Z412" s="5" t="inlineStr">
        <x:is>
          <x:t xml:space="preserve">희귀</x:t>
        </x:is>
      </x:c>
      <x:c r="AA412" s="5" t="inlineStr">
        <x:is>
          <x:t xml:space="preserve">없음</x:t>
        </x:is>
      </x:c>
      <x:c r="AB412" s="5" t="inlineStr">
        <x:is>
          <x:t xml:space="preserve"/>
        </x:is>
      </x:c>
      <x:c r="AC412" s="5" t="inlineStr">
        <x:is>
          <x:t xml:space="preserve">fossil; gen4</x:t>
        </x:is>
      </x:c>
      <x:c r="AD412" s="5" t="inlineStr">
        <x:is>
          <x:t xml:space="preserve">.tmp/cobblemon-1.7.3-source/common/src/main/resources/data/cobblemon/species/generation4/cranidos.json</x:t>
        </x:is>
      </x:c>
    </x:row>
    <x:row r="413" ht="22" customHeight="1">
      <x:c r="A413" s="5" t="n">
        <x:v>409</x:v>
      </x:c>
      <x:c r="B413" s="5" t="inlineStr">
        <x:is>
          <x:t xml:space="preserve">램펄드</x:t>
        </x:is>
      </x:c>
      <x:c r="C413" s="5" t="inlineStr">
        <x:is>
          <x:t xml:space="preserve">rampardos</x:t>
        </x:is>
      </x:c>
      <x:c r="D413" s="5" t="inlineStr">
        <x:is>
          <x:t xml:space="preserve">Rampardos</x:t>
        </x:is>
      </x:c>
      <x:c r="E413" s="5" t="n">
        <x:v>4</x:v>
      </x:c>
      <x:c r="F413" s="5" t="inlineStr">
        <x:is>
          <x:t xml:space="preserve">바위</x:t>
        </x:is>
      </x:c>
      <x:c r="G413" s="5" t="inlineStr">
        <x:is>
          <x:t xml:space="preserve"/>
        </x:is>
      </x:c>
      <x:c r="H413" s="5" t="n">
        <x:v>1.6</x:v>
      </x:c>
      <x:c r="I413" s="5" t="n">
        <x:v>102.5</x:v>
      </x:c>
      <x:c r="J413" s="5" t="n">
        <x:v>495</x:v>
      </x:c>
      <x:c r="K413" s="5" t="n">
        <x:v>45</x:v>
      </x:c>
      <x:c r="L413" s="5" t="inlineStr">
        <x:is>
          <x:t xml:space="preserve">최종</x:t>
        </x:is>
      </x:c>
      <x:c r="M413" s="5" t="n">
        <x:v>30</x:v>
      </x:c>
      <x:c r="N413" s="5" t="inlineStr">
        <x:is>
          <x:t xml:space="preserve">레벨</x:t>
        </x:is>
      </x:c>
      <x:c r="O413" s="5" t="inlineStr">
        <x:is>
          <x:t xml:space="preserve">예</x:t>
        </x:is>
      </x:c>
      <x:c r="P413" s="5" t="inlineStr">
        <x:is>
          <x:t xml:space="preserve">#cobblemon:is_lush</x:t>
        </x:is>
      </x:c>
      <x:c r="Q413" s="5" t="inlineStr">
        <x:is>
          <x:t xml:space="preserve">ultra-rare</x:t>
        </x:is>
      </x:c>
      <x:c r="R413" s="5" t="inlineStr">
        <x:is>
          <x:t xml:space="preserve"/>
        </x:is>
      </x:c>
      <x:c r="S413" s="5" t="inlineStr">
        <x:is>
          <x:t xml:space="preserve"/>
        </x:is>
      </x:c>
      <x:c r="T413" s="5" t="inlineStr">
        <x:is>
          <x:t xml:space="preserve">육상</x:t>
        </x:is>
      </x:c>
      <x:c r="U413" s="5" t="inlineStr">
        <x:is>
          <x:t xml:space="preserve">암석</x:t>
        </x:is>
      </x:c>
      <x:c r="V413" s="5" t="inlineStr">
        <x:is>
          <x:t xml:space="preserve">온대</x:t>
        </x:is>
      </x:c>
      <x:c r="W413" s="5" t="inlineStr">
        <x:is>
          <x:t xml:space="preserve">보통</x:t>
        </x:is>
      </x:c>
      <x:c r="X413" s="5" t="inlineStr">
        <x:is>
          <x:t xml:space="preserve">무관</x:t>
        </x:is>
      </x:c>
      <x:c r="Y413" s="5" t="inlineStr">
        <x:is>
          <x:t xml:space="preserve">무관</x:t>
        </x:is>
      </x:c>
      <x:c r="Z413" s="5" t="inlineStr">
        <x:is>
          <x:t xml:space="preserve">희귀</x:t>
        </x:is>
      </x:c>
      <x:c r="AA413" s="5" t="inlineStr">
        <x:is>
          <x:t xml:space="preserve">없음</x:t>
        </x:is>
      </x:c>
      <x:c r="AB413" s="5" t="inlineStr">
        <x:is>
          <x:t xml:space="preserve"/>
        </x:is>
      </x:c>
      <x:c r="AC413" s="5" t="inlineStr">
        <x:is>
          <x:t xml:space="preserve">fossil; gen4</x:t>
        </x:is>
      </x:c>
      <x:c r="AD413" s="5" t="inlineStr">
        <x:is>
          <x:t xml:space="preserve">.tmp/cobblemon-1.7.3-source/common/src/main/resources/data/cobblemon/species/generation4/rampardos.json</x:t>
        </x:is>
      </x:c>
    </x:row>
    <x:row r="414" ht="22" customHeight="1">
      <x:c r="A414" s="5" t="n">
        <x:v>410</x:v>
      </x:c>
      <x:c r="B414" s="5" t="inlineStr">
        <x:is>
          <x:t xml:space="preserve">방패톱스</x:t>
        </x:is>
      </x:c>
      <x:c r="C414" s="5" t="inlineStr">
        <x:is>
          <x:t xml:space="preserve">shieldon</x:t>
        </x:is>
      </x:c>
      <x:c r="D414" s="5" t="inlineStr">
        <x:is>
          <x:t xml:space="preserve">Shieldon</x:t>
        </x:is>
      </x:c>
      <x:c r="E414" s="5" t="n">
        <x:v>4</x:v>
      </x:c>
      <x:c r="F414" s="5" t="inlineStr">
        <x:is>
          <x:t xml:space="preserve">바위</x:t>
        </x:is>
      </x:c>
      <x:c r="G414" s="5" t="inlineStr">
        <x:is>
          <x:t xml:space="preserve">강철</x:t>
        </x:is>
      </x:c>
      <x:c r="H414" s="5" t="n">
        <x:v>0.5</x:v>
      </x:c>
      <x:c r="I414" s="5" t="n">
        <x:v>57</x:v>
      </x:c>
      <x:c r="J414" s="5" t="n">
        <x:v>350</x:v>
      </x:c>
      <x:c r="K414" s="5" t="n">
        <x:v>45</x:v>
      </x:c>
      <x:c r="L414" s="5" t="inlineStr">
        <x:is>
          <x:t xml:space="preserve">기본</x:t>
        </x:is>
      </x:c>
      <x:c r="M414" s="5" t="n">
        <x:v>30</x:v>
      </x:c>
      <x:c r="N414" s="5" t="inlineStr">
        <x:is>
          <x:t xml:space="preserve">레벨</x:t>
        </x:is>
      </x:c>
      <x:c r="O414" s="5" t="inlineStr">
        <x:is>
          <x:t xml:space="preserve">예</x:t>
        </x:is>
      </x:c>
      <x:c r="P414" s="5" t="inlineStr">
        <x:is>
          <x:t xml:space="preserve">#cobblemon:is_lush</x:t>
        </x:is>
      </x:c>
      <x:c r="Q414" s="5" t="inlineStr">
        <x:is>
          <x:t xml:space="preserve">ultra-rare</x:t>
        </x:is>
      </x:c>
      <x:c r="R414" s="5" t="inlineStr">
        <x:is>
          <x:t xml:space="preserve"/>
        </x:is>
      </x:c>
      <x:c r="S414" s="5" t="inlineStr">
        <x:is>
          <x:t xml:space="preserve"/>
        </x:is>
      </x:c>
      <x:c r="T414" s="5" t="inlineStr">
        <x:is>
          <x:t xml:space="preserve">육상</x:t>
        </x:is>
      </x:c>
      <x:c r="U414" s="5" t="inlineStr">
        <x:is>
          <x:t xml:space="preserve">암석</x:t>
        </x:is>
      </x:c>
      <x:c r="V414" s="5" t="inlineStr">
        <x:is>
          <x:t xml:space="preserve">온대</x:t>
        </x:is>
      </x:c>
      <x:c r="W414" s="5" t="inlineStr">
        <x:is>
          <x:t xml:space="preserve">보통</x:t>
        </x:is>
      </x:c>
      <x:c r="X414" s="5" t="inlineStr">
        <x:is>
          <x:t xml:space="preserve">무관</x:t>
        </x:is>
      </x:c>
      <x:c r="Y414" s="5" t="inlineStr">
        <x:is>
          <x:t xml:space="preserve">무관</x:t>
        </x:is>
      </x:c>
      <x:c r="Z414" s="5" t="inlineStr">
        <x:is>
          <x:t xml:space="preserve">희귀</x:t>
        </x:is>
      </x:c>
      <x:c r="AA414" s="5" t="inlineStr">
        <x:is>
          <x:t xml:space="preserve">없음</x:t>
        </x:is>
      </x:c>
      <x:c r="AB414" s="5" t="inlineStr">
        <x:is>
          <x:t xml:space="preserve"/>
        </x:is>
      </x:c>
      <x:c r="AC414" s="5" t="inlineStr">
        <x:is>
          <x:t xml:space="preserve">fossil; gen4</x:t>
        </x:is>
      </x:c>
      <x:c r="AD414" s="5" t="inlineStr">
        <x:is>
          <x:t xml:space="preserve">.tmp/cobblemon-1.7.3-source/common/src/main/resources/data/cobblemon/species/generation4/shieldon.json</x:t>
        </x:is>
      </x:c>
    </x:row>
    <x:row r="415" ht="22" customHeight="1">
      <x:c r="A415" s="5" t="n">
        <x:v>411</x:v>
      </x:c>
      <x:c r="B415" s="5" t="inlineStr">
        <x:is>
          <x:t xml:space="preserve">바리톱스</x:t>
        </x:is>
      </x:c>
      <x:c r="C415" s="5" t="inlineStr">
        <x:is>
          <x:t xml:space="preserve">bastiodon</x:t>
        </x:is>
      </x:c>
      <x:c r="D415" s="5" t="inlineStr">
        <x:is>
          <x:t xml:space="preserve">Bastiodon</x:t>
        </x:is>
      </x:c>
      <x:c r="E415" s="5" t="n">
        <x:v>4</x:v>
      </x:c>
      <x:c r="F415" s="5" t="inlineStr">
        <x:is>
          <x:t xml:space="preserve">바위</x:t>
        </x:is>
      </x:c>
      <x:c r="G415" s="5" t="inlineStr">
        <x:is>
          <x:t xml:space="preserve">강철</x:t>
        </x:is>
      </x:c>
      <x:c r="H415" s="5" t="n">
        <x:v>1.3</x:v>
      </x:c>
      <x:c r="I415" s="5" t="n">
        <x:v>149.5</x:v>
      </x:c>
      <x:c r="J415" s="5" t="n">
        <x:v>495</x:v>
      </x:c>
      <x:c r="K415" s="5" t="n">
        <x:v>45</x:v>
      </x:c>
      <x:c r="L415" s="5" t="inlineStr">
        <x:is>
          <x:t xml:space="preserve">최종</x:t>
        </x:is>
      </x:c>
      <x:c r="M415" s="5" t="n">
        <x:v>30</x:v>
      </x:c>
      <x:c r="N415" s="5" t="inlineStr">
        <x:is>
          <x:t xml:space="preserve">레벨</x:t>
        </x:is>
      </x:c>
      <x:c r="O415" s="5" t="inlineStr">
        <x:is>
          <x:t xml:space="preserve">예</x:t>
        </x:is>
      </x:c>
      <x:c r="P415" s="5" t="inlineStr">
        <x:is>
          <x:t xml:space="preserve">#cobblemon:is_lush</x:t>
        </x:is>
      </x:c>
      <x:c r="Q415" s="5" t="inlineStr">
        <x:is>
          <x:t xml:space="preserve">ultra-rare</x:t>
        </x:is>
      </x:c>
      <x:c r="R415" s="5" t="inlineStr">
        <x:is>
          <x:t xml:space="preserve"/>
        </x:is>
      </x:c>
      <x:c r="S415" s="5" t="inlineStr">
        <x:is>
          <x:t xml:space="preserve"/>
        </x:is>
      </x:c>
      <x:c r="T415" s="5" t="inlineStr">
        <x:is>
          <x:t xml:space="preserve">육상</x:t>
        </x:is>
      </x:c>
      <x:c r="U415" s="5" t="inlineStr">
        <x:is>
          <x:t xml:space="preserve">암석</x:t>
        </x:is>
      </x:c>
      <x:c r="V415" s="5" t="inlineStr">
        <x:is>
          <x:t xml:space="preserve">온대</x:t>
        </x:is>
      </x:c>
      <x:c r="W415" s="5" t="inlineStr">
        <x:is>
          <x:t xml:space="preserve">보통</x:t>
        </x:is>
      </x:c>
      <x:c r="X415" s="5" t="inlineStr">
        <x:is>
          <x:t xml:space="preserve">무관</x:t>
        </x:is>
      </x:c>
      <x:c r="Y415" s="5" t="inlineStr">
        <x:is>
          <x:t xml:space="preserve">무관</x:t>
        </x:is>
      </x:c>
      <x:c r="Z415" s="5" t="inlineStr">
        <x:is>
          <x:t xml:space="preserve">희귀</x:t>
        </x:is>
      </x:c>
      <x:c r="AA415" s="5" t="inlineStr">
        <x:is>
          <x:t xml:space="preserve">없음</x:t>
        </x:is>
      </x:c>
      <x:c r="AB415" s="5" t="inlineStr">
        <x:is>
          <x:t xml:space="preserve"/>
        </x:is>
      </x:c>
      <x:c r="AC415" s="5" t="inlineStr">
        <x:is>
          <x:t xml:space="preserve">fossil; gen4</x:t>
        </x:is>
      </x:c>
      <x:c r="AD415" s="5" t="inlineStr">
        <x:is>
          <x:t xml:space="preserve">.tmp/cobblemon-1.7.3-source/common/src/main/resources/data/cobblemon/species/generation4/bastiodon.json</x:t>
        </x:is>
      </x:c>
    </x:row>
    <x:row r="416" ht="22" customHeight="1">
      <x:c r="A416" s="5" t="n">
        <x:v>412</x:v>
      </x:c>
      <x:c r="B416" s="5" t="inlineStr">
        <x:is>
          <x:t xml:space="preserve">도롱충이</x:t>
        </x:is>
      </x:c>
      <x:c r="C416" s="5" t="inlineStr">
        <x:is>
          <x:t xml:space="preserve">burmy</x:t>
        </x:is>
      </x:c>
      <x:c r="D416" s="5" t="inlineStr">
        <x:is>
          <x:t xml:space="preserve">Burmy</x:t>
        </x:is>
      </x:c>
      <x:c r="E416" s="5" t="n">
        <x:v>4</x:v>
      </x:c>
      <x:c r="F416" s="5" t="inlineStr">
        <x:is>
          <x:t xml:space="preserve">벌레</x:t>
        </x:is>
      </x:c>
      <x:c r="G416" s="5" t="inlineStr">
        <x:is>
          <x:t xml:space="preserve"/>
        </x:is>
      </x:c>
      <x:c r="H416" s="5" t="n">
        <x:v>0.2</x:v>
      </x:c>
      <x:c r="I416" s="5" t="n">
        <x:v>3.4</x:v>
      </x:c>
      <x:c r="J416" s="5" t="n">
        <x:v>224</x:v>
      </x:c>
      <x:c r="K416" s="5" t="n">
        <x:v>120</x:v>
      </x:c>
      <x:c r="L416" s="5" t="inlineStr">
        <x:is>
          <x:t xml:space="preserve">기본</x:t>
        </x:is>
      </x:c>
      <x:c r="M416" s="5" t="n">
        <x:v>20</x:v>
      </x:c>
      <x:c r="N416" s="5" t="inlineStr">
        <x:is>
          <x:t xml:space="preserve">레벨·특수</x:t>
        </x:is>
      </x:c>
      <x:c r="O416" s="5" t="inlineStr">
        <x:is>
          <x:t xml:space="preserve">아니오</x:t>
        </x:is>
      </x:c>
      <x:c r="P416" s="5" t="inlineStr">
        <x:is>
          <x:t xml:space="preserve">#cobblemon:is_desert; #cobblemon:is_floral; #cobblemon:is_forest; #cobblemon:is_plains; #cobblemon:is_sandy</x:t>
        </x:is>
      </x:c>
      <x:c r="Q416" s="5" t="inlineStr">
        <x:is>
          <x:t xml:space="preserve">common; uncommon</x:t>
        </x:is>
      </x:c>
      <x:c r="R416" s="5" t="inlineStr">
        <x:is>
          <x:t xml:space="preserve"/>
        </x:is>
      </x:c>
      <x:c r="S416" s="5" t="inlineStr">
        <x:is>
          <x:t xml:space="preserve"/>
        </x:is>
      </x:c>
      <x:c r="T416" s="5" t="inlineStr">
        <x:is>
          <x:t xml:space="preserve">육상</x:t>
        </x:is>
      </x:c>
      <x:c r="U416" s="5" t="inlineStr">
        <x:is>
          <x:t xml:space="preserve">건조</x:t>
        </x:is>
      </x:c>
      <x:c r="V416" s="5" t="inlineStr">
        <x:is>
          <x:t xml:space="preserve">고온</x:t>
        </x:is>
      </x:c>
      <x:c r="W416" s="5" t="inlineStr">
        <x:is>
          <x:t xml:space="preserve">건조</x:t>
        </x:is>
      </x:c>
      <x:c r="X416" s="5" t="inlineStr">
        <x:is>
          <x:t xml:space="preserve">맑음</x:t>
        </x:is>
      </x:c>
      <x:c r="Y416" s="5" t="inlineStr">
        <x:is>
          <x:t xml:space="preserve">무관</x:t>
        </x:is>
      </x:c>
      <x:c r="Z416" s="5" t="inlineStr">
        <x:is>
          <x:t xml:space="preserve">보통</x:t>
        </x:is>
      </x:c>
      <x:c r="AA416" s="5" t="inlineStr">
        <x:is>
          <x:t xml:space="preserve">없음</x:t>
        </x:is>
      </x:c>
      <x:c r="AB416" s="5" t="inlineStr">
        <x:is>
          <x:t xml:space="preserve">건조지</x:t>
        </x:is>
      </x:c>
      <x:c r="AC416" s="5" t="inlineStr">
        <x:is>
          <x:t xml:space="preserve">gen4</x:t>
        </x:is>
      </x:c>
      <x:c r="AD416" s="5" t="inlineStr">
        <x:is>
          <x:t xml:space="preserve">.tmp/cobblemon-1.7.3-source/common/src/main/resources/data/cobblemon/species/generation4/burmy.json</x:t>
        </x:is>
      </x:c>
    </x:row>
    <x:row r="417" ht="22" customHeight="1">
      <x:c r="A417" s="5" t="n">
        <x:v>413</x:v>
      </x:c>
      <x:c r="B417" s="5" t="inlineStr">
        <x:is>
          <x:t xml:space="preserve">도롱마담</x:t>
        </x:is>
      </x:c>
      <x:c r="C417" s="5" t="inlineStr">
        <x:is>
          <x:t xml:space="preserve">wormadam</x:t>
        </x:is>
      </x:c>
      <x:c r="D417" s="5" t="inlineStr">
        <x:is>
          <x:t xml:space="preserve">Wormadam</x:t>
        </x:is>
      </x:c>
      <x:c r="E417" s="5" t="n">
        <x:v>4</x:v>
      </x:c>
      <x:c r="F417" s="5" t="inlineStr">
        <x:is>
          <x:t xml:space="preserve">벌레</x:t>
        </x:is>
      </x:c>
      <x:c r="G417" s="5" t="inlineStr">
        <x:is>
          <x:t xml:space="preserve">풀</x:t>
        </x:is>
      </x:c>
      <x:c r="H417" s="5" t="n">
        <x:v>0.5</x:v>
      </x:c>
      <x:c r="I417" s="5" t="n">
        <x:v>6.5</x:v>
      </x:c>
      <x:c r="J417" s="5" t="n">
        <x:v>424</x:v>
      </x:c>
      <x:c r="K417" s="5" t="n">
        <x:v>45</x:v>
      </x:c>
      <x:c r="L417" s="5" t="inlineStr">
        <x:is>
          <x:t xml:space="preserve">최종</x:t>
        </x:is>
      </x:c>
      <x:c r="M417" s="5" t="n">
        <x:v>20</x:v>
      </x:c>
      <x:c r="N417" s="5" t="inlineStr">
        <x:is>
          <x:t xml:space="preserve">레벨·특수</x:t>
        </x:is>
      </x:c>
      <x:c r="O417" s="5" t="inlineStr">
        <x:is>
          <x:t xml:space="preserve">아니오</x:t>
        </x:is>
      </x:c>
      <x:c r="P417" s="5" t="inlineStr">
        <x:is>
          <x:t xml:space="preserve">#cobblemon:is_desert; #cobblemon:is_floral; #cobblemon:is_forest; #cobblemon:is_sandy</x:t>
        </x:is>
      </x:c>
      <x:c r="Q417" s="5" t="inlineStr">
        <x:is>
          <x:t xml:space="preserve">uncommon</x:t>
        </x:is>
      </x:c>
      <x:c r="R417" s="5" t="inlineStr">
        <x:is>
          <x:t xml:space="preserve"/>
        </x:is>
      </x:c>
      <x:c r="S417" s="5" t="inlineStr">
        <x:is>
          <x:t xml:space="preserve"/>
        </x:is>
      </x:c>
      <x:c r="T417" s="5" t="inlineStr">
        <x:is>
          <x:t xml:space="preserve">육상</x:t>
        </x:is>
      </x:c>
      <x:c r="U417" s="5" t="inlineStr">
        <x:is>
          <x:t xml:space="preserve">건조</x:t>
        </x:is>
      </x:c>
      <x:c r="V417" s="5" t="inlineStr">
        <x:is>
          <x:t xml:space="preserve">고온</x:t>
        </x:is>
      </x:c>
      <x:c r="W417" s="5" t="inlineStr">
        <x:is>
          <x:t xml:space="preserve">건조</x:t>
        </x:is>
      </x:c>
      <x:c r="X417" s="5" t="inlineStr">
        <x:is>
          <x:t xml:space="preserve">맑음</x:t>
        </x:is>
      </x:c>
      <x:c r="Y417" s="5" t="inlineStr">
        <x:is>
          <x:t xml:space="preserve">무관</x:t>
        </x:is>
      </x:c>
      <x:c r="Z417" s="5" t="inlineStr">
        <x:is>
          <x:t xml:space="preserve">보통</x:t>
        </x:is>
      </x:c>
      <x:c r="AA417" s="5" t="inlineStr">
        <x:is>
          <x:t xml:space="preserve">없음</x:t>
        </x:is>
      </x:c>
      <x:c r="AB417" s="5" t="inlineStr">
        <x:is>
          <x:t xml:space="preserve">건조지</x:t>
        </x:is>
      </x:c>
      <x:c r="AC417" s="5" t="inlineStr">
        <x:is>
          <x:t xml:space="preserve">gen4</x:t>
        </x:is>
      </x:c>
      <x:c r="AD417" s="5" t="inlineStr">
        <x:is>
          <x:t xml:space="preserve">.tmp/cobblemon-1.7.3-source/common/src/main/resources/data/cobblemon/species/generation4/wormadam.json</x:t>
        </x:is>
      </x:c>
    </x:row>
    <x:row r="418" ht="22" customHeight="1">
      <x:c r="A418" s="5" t="n">
        <x:v>414</x:v>
      </x:c>
      <x:c r="B418" s="5" t="inlineStr">
        <x:is>
          <x:t xml:space="preserve">나메일</x:t>
        </x:is>
      </x:c>
      <x:c r="C418" s="5" t="inlineStr">
        <x:is>
          <x:t xml:space="preserve">mothim</x:t>
        </x:is>
      </x:c>
      <x:c r="D418" s="5" t="inlineStr">
        <x:is>
          <x:t xml:space="preserve">Mothim</x:t>
        </x:is>
      </x:c>
      <x:c r="E418" s="5" t="n">
        <x:v>4</x:v>
      </x:c>
      <x:c r="F418" s="5" t="inlineStr">
        <x:is>
          <x:t xml:space="preserve">벌레</x:t>
        </x:is>
      </x:c>
      <x:c r="G418" s="5" t="inlineStr">
        <x:is>
          <x:t xml:space="preserve">비행</x:t>
        </x:is>
      </x:c>
      <x:c r="H418" s="5" t="n">
        <x:v>0.9</x:v>
      </x:c>
      <x:c r="I418" s="5" t="n">
        <x:v>23.3</x:v>
      </x:c>
      <x:c r="J418" s="5" t="n">
        <x:v>424</x:v>
      </x:c>
      <x:c r="K418" s="5" t="n">
        <x:v>45</x:v>
      </x:c>
      <x:c r="L418" s="5" t="inlineStr">
        <x:is>
          <x:t xml:space="preserve">최종</x:t>
        </x:is>
      </x:c>
      <x:c r="M418" s="5" t="n">
        <x:v>20</x:v>
      </x:c>
      <x:c r="N418" s="5" t="inlineStr">
        <x:is>
          <x:t xml:space="preserve">레벨·특수</x:t>
        </x:is>
      </x:c>
      <x:c r="O418" s="5" t="inlineStr">
        <x:is>
          <x:t xml:space="preserve">아니오</x:t>
        </x:is>
      </x:c>
      <x:c r="P418" s="5" t="inlineStr">
        <x:is>
          <x:t xml:space="preserve">#cobblemon:is_forest</x:t>
        </x:is>
      </x:c>
      <x:c r="Q418" s="5" t="inlineStr">
        <x:is>
          <x:t xml:space="preserve">rare</x:t>
        </x:is>
      </x:c>
      <x:c r="R418" s="5" t="inlineStr">
        <x:is>
          <x:t xml:space="preserve"/>
        </x:is>
      </x:c>
      <x:c r="S418" s="5" t="inlineStr">
        <x:is>
          <x:t xml:space="preserve"/>
        </x:is>
      </x:c>
      <x:c r="T418" s="5" t="inlineStr">
        <x:is>
          <x:t xml:space="preserve">비행</x:t>
        </x:is>
      </x:c>
      <x:c r="U418" s="5" t="inlineStr">
        <x:is>
          <x:t xml:space="preserve">수목</x:t>
        </x:is>
      </x:c>
      <x:c r="V418" s="5" t="inlineStr">
        <x:is>
          <x:t xml:space="preserve">온대</x:t>
        </x:is>
      </x:c>
      <x:c r="W418" s="5" t="inlineStr">
        <x:is>
          <x:t xml:space="preserve">보통</x:t>
        </x:is>
      </x:c>
      <x:c r="X418" s="5" t="inlineStr">
        <x:is>
          <x:t xml:space="preserve">무관</x:t>
        </x:is>
      </x:c>
      <x:c r="Y418" s="5" t="inlineStr">
        <x:is>
          <x:t xml:space="preserve">무관</x:t>
        </x:is>
      </x:c>
      <x:c r="Z418" s="5" t="inlineStr">
        <x:is>
          <x:t xml:space="preserve">드묾</x:t>
        </x:is>
      </x:c>
      <x:c r="AA418" s="5" t="inlineStr">
        <x:is>
          <x:t xml:space="preserve">없음</x:t>
        </x:is>
      </x:c>
      <x:c r="AB418" s="5" t="inlineStr">
        <x:is>
          <x:t xml:space="preserve">숲</x:t>
        </x:is>
      </x:c>
      <x:c r="AC418" s="5" t="inlineStr">
        <x:is>
          <x:t xml:space="preserve">gen4</x:t>
        </x:is>
      </x:c>
      <x:c r="AD418" s="5" t="inlineStr">
        <x:is>
          <x:t xml:space="preserve">.tmp/cobblemon-1.7.3-source/common/src/main/resources/data/cobblemon/species/generation4/mothim.json</x:t>
        </x:is>
      </x:c>
    </x:row>
    <x:row r="419" ht="22" customHeight="1">
      <x:c r="A419" s="5" t="n">
        <x:v>415</x:v>
      </x:c>
      <x:c r="B419" s="5" t="inlineStr">
        <x:is>
          <x:t xml:space="preserve">세꿀버리</x:t>
        </x:is>
      </x:c>
      <x:c r="C419" s="5" t="inlineStr">
        <x:is>
          <x:t xml:space="preserve">combee</x:t>
        </x:is>
      </x:c>
      <x:c r="D419" s="5" t="inlineStr">
        <x:is>
          <x:t xml:space="preserve">Combee</x:t>
        </x:is>
      </x:c>
      <x:c r="E419" s="5" t="n">
        <x:v>4</x:v>
      </x:c>
      <x:c r="F419" s="5" t="inlineStr">
        <x:is>
          <x:t xml:space="preserve">벌레</x:t>
        </x:is>
      </x:c>
      <x:c r="G419" s="5" t="inlineStr">
        <x:is>
          <x:t xml:space="preserve">비행</x:t>
        </x:is>
      </x:c>
      <x:c r="H419" s="5" t="n">
        <x:v>0.3</x:v>
      </x:c>
      <x:c r="I419" s="5" t="n">
        <x:v>5.5</x:v>
      </x:c>
      <x:c r="J419" s="5" t="n">
        <x:v>244</x:v>
      </x:c>
      <x:c r="K419" s="5" t="n">
        <x:v>120</x:v>
      </x:c>
      <x:c r="L419" s="5" t="inlineStr">
        <x:is>
          <x:t xml:space="preserve">기본</x:t>
        </x:is>
      </x:c>
      <x:c r="M419" s="5" t="n">
        <x:v>21</x:v>
      </x:c>
      <x:c r="N419" s="5" t="inlineStr">
        <x:is>
          <x:t xml:space="preserve">레벨·특수</x:t>
        </x:is>
      </x:c>
      <x:c r="O419" s="5" t="inlineStr">
        <x:is>
          <x:t xml:space="preserve">예</x:t>
        </x:is>
      </x:c>
      <x:c r="P419" s="5" t="inlineStr">
        <x:is>
          <x:t xml:space="preserve">#aether:is_aether; #cobblemon:is_overworld; #cobblemon:is_temperate; #the_bumblezone:the_bumblezone</x:t>
        </x:is>
      </x:c>
      <x:c r="Q419" s="5" t="inlineStr">
        <x:is>
          <x:t xml:space="preserve">common</x:t>
        </x:is>
      </x:c>
      <x:c r="R419" s="5" t="inlineStr">
        <x:is>
          <x:t xml:space="preserve">day</x:t>
        </x:is>
      </x:c>
      <x:c r="S419" s="5" t="inlineStr">
        <x:is>
          <x:t xml:space="preserve">비=False</x:t>
        </x:is>
      </x:c>
      <x:c r="T419" s="5" t="inlineStr">
        <x:is>
          <x:t xml:space="preserve">비행</x:t>
        </x:is>
      </x:c>
      <x:c r="U419" s="5" t="inlineStr">
        <x:is>
          <x:t xml:space="preserve">수목</x:t>
        </x:is>
      </x:c>
      <x:c r="V419" s="5" t="inlineStr">
        <x:is>
          <x:t xml:space="preserve">온대</x:t>
        </x:is>
      </x:c>
      <x:c r="W419" s="5" t="inlineStr">
        <x:is>
          <x:t xml:space="preserve">보통</x:t>
        </x:is>
      </x:c>
      <x:c r="X419" s="5" t="inlineStr">
        <x:is>
          <x:t xml:space="preserve">무관</x:t>
        </x:is>
      </x:c>
      <x:c r="Y419" s="5" t="inlineStr">
        <x:is>
          <x:t xml:space="preserve">낮</x:t>
        </x:is>
      </x:c>
      <x:c r="Z419" s="5" t="inlineStr">
        <x:is>
          <x:t xml:space="preserve">흔함</x:t>
        </x:is>
      </x:c>
      <x:c r="AA419" s="5" t="inlineStr">
        <x:is>
          <x:t xml:space="preserve">없음</x:t>
        </x:is>
      </x:c>
      <x:c r="AB419" s="5" t="inlineStr">
        <x:is>
          <x:t xml:space="preserve"/>
        </x:is>
      </x:c>
      <x:c r="AC419" s="5" t="inlineStr">
        <x:is>
          <x:t xml:space="preserve">gen4</x:t>
        </x:is>
      </x:c>
      <x:c r="AD419" s="5" t="inlineStr">
        <x:is>
          <x:t xml:space="preserve">.tmp/cobblemon-1.7.3-source/common/src/main/resources/data/cobblemon/species/generation4/combee.json</x:t>
        </x:is>
      </x:c>
    </x:row>
    <x:row r="420" ht="22" customHeight="1">
      <x:c r="A420" s="5" t="n">
        <x:v>416</x:v>
      </x:c>
      <x:c r="B420" s="5" t="inlineStr">
        <x:is>
          <x:t xml:space="preserve">비퀸</x:t>
        </x:is>
      </x:c>
      <x:c r="C420" s="5" t="inlineStr">
        <x:is>
          <x:t xml:space="preserve">vespiquen</x:t>
        </x:is>
      </x:c>
      <x:c r="D420" s="5" t="inlineStr">
        <x:is>
          <x:t xml:space="preserve">Vespiquen</x:t>
        </x:is>
      </x:c>
      <x:c r="E420" s="5" t="n">
        <x:v>4</x:v>
      </x:c>
      <x:c r="F420" s="5" t="inlineStr">
        <x:is>
          <x:t xml:space="preserve">벌레</x:t>
        </x:is>
      </x:c>
      <x:c r="G420" s="5" t="inlineStr">
        <x:is>
          <x:t xml:space="preserve">비행</x:t>
        </x:is>
      </x:c>
      <x:c r="H420" s="5" t="n">
        <x:v>1.2</x:v>
      </x:c>
      <x:c r="I420" s="5" t="n">
        <x:v>38.5</x:v>
      </x:c>
      <x:c r="J420" s="5" t="n">
        <x:v>474</x:v>
      </x:c>
      <x:c r="K420" s="5" t="n">
        <x:v>45</x:v>
      </x:c>
      <x:c r="L420" s="5" t="inlineStr">
        <x:is>
          <x:t xml:space="preserve">최종</x:t>
        </x:is>
      </x:c>
      <x:c r="M420" s="5" t="n">
        <x:v>21</x:v>
      </x:c>
      <x:c r="N420" s="5" t="inlineStr">
        <x:is>
          <x:t xml:space="preserve">레벨·특수</x:t>
        </x:is>
      </x:c>
      <x:c r="O420" s="5" t="inlineStr">
        <x:is>
          <x:t xml:space="preserve">예</x:t>
        </x:is>
      </x:c>
      <x:c r="P420" s="5" t="inlineStr">
        <x:is>
          <x:t xml:space="preserve">#aether:is_aether; #cobblemon:is_overworld; #cobblemon:is_temperate; #the_bumblezone:the_bumblezone</x:t>
        </x:is>
      </x:c>
      <x:c r="Q420" s="5" t="inlineStr">
        <x:is>
          <x:t xml:space="preserve">common</x:t>
        </x:is>
      </x:c>
      <x:c r="R420" s="5" t="inlineStr">
        <x:is>
          <x:t xml:space="preserve">day</x:t>
        </x:is>
      </x:c>
      <x:c r="S420" s="5" t="inlineStr">
        <x:is>
          <x:t xml:space="preserve">비=False</x:t>
        </x:is>
      </x:c>
      <x:c r="T420" s="5" t="inlineStr">
        <x:is>
          <x:t xml:space="preserve">비행</x:t>
        </x:is>
      </x:c>
      <x:c r="U420" s="5" t="inlineStr">
        <x:is>
          <x:t xml:space="preserve">수목</x:t>
        </x:is>
      </x:c>
      <x:c r="V420" s="5" t="inlineStr">
        <x:is>
          <x:t xml:space="preserve">온대</x:t>
        </x:is>
      </x:c>
      <x:c r="W420" s="5" t="inlineStr">
        <x:is>
          <x:t xml:space="preserve">보통</x:t>
        </x:is>
      </x:c>
      <x:c r="X420" s="5" t="inlineStr">
        <x:is>
          <x:t xml:space="preserve">무관</x:t>
        </x:is>
      </x:c>
      <x:c r="Y420" s="5" t="inlineStr">
        <x:is>
          <x:t xml:space="preserve">낮</x:t>
        </x:is>
      </x:c>
      <x:c r="Z420" s="5" t="inlineStr">
        <x:is>
          <x:t xml:space="preserve">흔함</x:t>
        </x:is>
      </x:c>
      <x:c r="AA420" s="5" t="inlineStr">
        <x:is>
          <x:t xml:space="preserve">없음</x:t>
        </x:is>
      </x:c>
      <x:c r="AB420" s="5" t="inlineStr">
        <x:is>
          <x:t xml:space="preserve"/>
        </x:is>
      </x:c>
      <x:c r="AC420" s="5" t="inlineStr">
        <x:is>
          <x:t xml:space="preserve">gen4</x:t>
        </x:is>
      </x:c>
      <x:c r="AD420" s="5" t="inlineStr">
        <x:is>
          <x:t xml:space="preserve">.tmp/cobblemon-1.7.3-source/common/src/main/resources/data/cobblemon/species/generation4/vespiquen.json</x:t>
        </x:is>
      </x:c>
    </x:row>
    <x:row r="421" ht="22" customHeight="1">
      <x:c r="A421" s="5" t="n">
        <x:v>417</x:v>
      </x:c>
      <x:c r="B421" s="5" t="inlineStr">
        <x:is>
          <x:t xml:space="preserve">파치리스</x:t>
        </x:is>
      </x:c>
      <x:c r="C421" s="5" t="inlineStr">
        <x:is>
          <x:t xml:space="preserve">pachirisu</x:t>
        </x:is>
      </x:c>
      <x:c r="D421" s="5" t="inlineStr">
        <x:is>
          <x:t xml:space="preserve">Pachirisu</x:t>
        </x:is>
      </x:c>
      <x:c r="E421" s="5" t="n">
        <x:v>4</x:v>
      </x:c>
      <x:c r="F421" s="5" t="inlineStr">
        <x:is>
          <x:t xml:space="preserve">전기</x:t>
        </x:is>
      </x:c>
      <x:c r="G421" s="5" t="inlineStr">
        <x:is>
          <x:t xml:space="preserve"/>
        </x:is>
      </x:c>
      <x:c r="H421" s="5" t="n">
        <x:v>0.4</x:v>
      </x:c>
      <x:c r="I421" s="5" t="n">
        <x:v>3.9</x:v>
      </x:c>
      <x:c r="J421" s="5" t="n">
        <x:v>405</x:v>
      </x:c>
      <x:c r="K421" s="5" t="n">
        <x:v>200</x:v>
      </x:c>
      <x:c r="L421" s="5" t="inlineStr">
        <x:is>
          <x:t xml:space="preserve">무진화</x:t>
        </x:is>
      </x:c>
      <x:c r="M421" s="5" t="n"/>
      <x:c r="N421" s="5" t="inlineStr">
        <x:is>
          <x:t xml:space="preserve">없음</x:t>
        </x:is>
      </x:c>
      <x:c r="O421" s="5" t="inlineStr">
        <x:is>
          <x:t xml:space="preserve">예</x:t>
        </x:is>
      </x:c>
      <x:c r="P421" s="5" t="inlineStr">
        <x:is>
          <x:t xml:space="preserve">#cobblemon:is_forest; aether:skyroot_forest; aether:skyroot_woodland</x:t>
        </x:is>
      </x:c>
      <x:c r="Q421" s="5" t="inlineStr">
        <x:is>
          <x:t xml:space="preserve">uncommon</x:t>
        </x:is>
      </x:c>
      <x:c r="R421" s="5" t="inlineStr">
        <x:is>
          <x:t xml:space="preserve"/>
        </x:is>
      </x:c>
      <x:c r="S421" s="5" t="inlineStr">
        <x:is>
          <x:t xml:space="preserve"/>
        </x:is>
      </x:c>
      <x:c r="T421" s="5" t="inlineStr">
        <x:is>
          <x:t xml:space="preserve">육상</x:t>
        </x:is>
      </x:c>
      <x:c r="U421" s="5" t="inlineStr">
        <x:is>
          <x:t xml:space="preserve">수목</x:t>
        </x:is>
      </x:c>
      <x:c r="V421" s="5" t="inlineStr">
        <x:is>
          <x:t xml:space="preserve">온대</x:t>
        </x:is>
      </x:c>
      <x:c r="W421" s="5" t="inlineStr">
        <x:is>
          <x:t xml:space="preserve">보통</x:t>
        </x:is>
      </x:c>
      <x:c r="X421" s="5" t="inlineStr">
        <x:is>
          <x:t xml:space="preserve">무관</x:t>
        </x:is>
      </x:c>
      <x:c r="Y421" s="5" t="inlineStr">
        <x:is>
          <x:t xml:space="preserve">무관</x:t>
        </x:is>
      </x:c>
      <x:c r="Z421" s="5" t="inlineStr">
        <x:is>
          <x:t xml:space="preserve">보통</x:t>
        </x:is>
      </x:c>
      <x:c r="AA421" s="5" t="inlineStr">
        <x:is>
          <x:t xml:space="preserve">없음</x:t>
        </x:is>
      </x:c>
      <x:c r="AB421" s="5" t="inlineStr">
        <x:is>
          <x:t xml:space="preserve">숲</x:t>
        </x:is>
      </x:c>
      <x:c r="AC421" s="5" t="inlineStr">
        <x:is>
          <x:t xml:space="preserve">gen4</x:t>
        </x:is>
      </x:c>
      <x:c r="AD421" s="5" t="inlineStr">
        <x:is>
          <x:t xml:space="preserve">.tmp/cobblemon-1.7.3-source/common/src/main/resources/data/cobblemon/species/generation4/pachirisu.json</x:t>
        </x:is>
      </x:c>
    </x:row>
    <x:row r="422" ht="22" customHeight="1">
      <x:c r="A422" s="5" t="n">
        <x:v>418</x:v>
      </x:c>
      <x:c r="B422" s="5" t="inlineStr">
        <x:is>
          <x:t xml:space="preserve">브이젤</x:t>
        </x:is>
      </x:c>
      <x:c r="C422" s="5" t="inlineStr">
        <x:is>
          <x:t xml:space="preserve">buizel</x:t>
        </x:is>
      </x:c>
      <x:c r="D422" s="5" t="inlineStr">
        <x:is>
          <x:t xml:space="preserve">Buizel</x:t>
        </x:is>
      </x:c>
      <x:c r="E422" s="5" t="n">
        <x:v>4</x:v>
      </x:c>
      <x:c r="F422" s="5" t="inlineStr">
        <x:is>
          <x:t xml:space="preserve">물</x:t>
        </x:is>
      </x:c>
      <x:c r="G422" s="5" t="inlineStr">
        <x:is>
          <x:t xml:space="preserve"/>
        </x:is>
      </x:c>
      <x:c r="H422" s="5" t="n">
        <x:v>0.7</x:v>
      </x:c>
      <x:c r="I422" s="5" t="n">
        <x:v>29.5</x:v>
      </x:c>
      <x:c r="J422" s="5" t="n">
        <x:v>330</x:v>
      </x:c>
      <x:c r="K422" s="5" t="n">
        <x:v>190</x:v>
      </x:c>
      <x:c r="L422" s="5" t="inlineStr">
        <x:is>
          <x:t xml:space="preserve">기본</x:t>
        </x:is>
      </x:c>
      <x:c r="M422" s="5" t="n">
        <x:v>26</x:v>
      </x:c>
      <x:c r="N422" s="5" t="inlineStr">
        <x:is>
          <x:t xml:space="preserve">레벨</x:t>
        </x:is>
      </x:c>
      <x:c r="O422" s="5" t="inlineStr">
        <x:is>
          <x:t xml:space="preserve">예</x:t>
        </x:is>
      </x:c>
      <x:c r="P422" s="5" t="inlineStr">
        <x:is>
          <x:t xml:space="preserve">#cobblemon:is_forest; #cobblemon:is_freshwater; #cobblemon:is_grassland; #cobblemon:is_hills; #cobblemon:is_jungle; #cobblemon:is_taiga</x:t>
        </x:is>
      </x:c>
      <x:c r="Q422" s="5" t="inlineStr">
        <x:is>
          <x:t xml:space="preserve">common; uncommon</x:t>
        </x:is>
      </x:c>
      <x:c r="R422" s="5" t="inlineStr">
        <x:is>
          <x:t xml:space="preserve"/>
        </x:is>
      </x:c>
      <x:c r="S422" s="5" t="inlineStr">
        <x:is>
          <x:t xml:space="preserve"/>
        </x:is>
      </x:c>
      <x:c r="T422" s="5" t="inlineStr">
        <x:is>
          <x:t xml:space="preserve">담수</x:t>
        </x:is>
      </x:c>
      <x:c r="U422" s="5" t="inlineStr">
        <x:is>
          <x:t xml:space="preserve">담수</x:t>
        </x:is>
      </x:c>
      <x:c r="V422" s="5" t="inlineStr">
        <x:is>
          <x:t xml:space="preserve">서늘</x:t>
        </x:is>
      </x:c>
      <x:c r="W422" s="5" t="inlineStr">
        <x:is>
          <x:t xml:space="preserve">수중</x:t>
        </x:is>
      </x:c>
      <x:c r="X422" s="5" t="inlineStr">
        <x:is>
          <x:t xml:space="preserve">비</x:t>
        </x:is>
      </x:c>
      <x:c r="Y422" s="5" t="inlineStr">
        <x:is>
          <x:t xml:space="preserve">무관</x:t>
        </x:is>
      </x:c>
      <x:c r="Z422" s="5" t="inlineStr">
        <x:is>
          <x:t xml:space="preserve">보통</x:t>
        </x:is>
      </x:c>
      <x:c r="AA422" s="5" t="inlineStr">
        <x:is>
          <x:t xml:space="preserve">없음</x:t>
        </x:is>
      </x:c>
      <x:c r="AB422" s="5" t="inlineStr">
        <x:is>
          <x:t xml:space="preserve">담수</x:t>
        </x:is>
      </x:c>
      <x:c r="AC422" s="5" t="inlineStr">
        <x:is>
          <x:t xml:space="preserve">gen4</x:t>
        </x:is>
      </x:c>
      <x:c r="AD422" s="5" t="inlineStr">
        <x:is>
          <x:t xml:space="preserve">.tmp/cobblemon-1.7.3-source/common/src/main/resources/data/cobblemon/species/generation4/buizel.json</x:t>
        </x:is>
      </x:c>
    </x:row>
    <x:row r="423" ht="22" customHeight="1">
      <x:c r="A423" s="5" t="n">
        <x:v>419</x:v>
      </x:c>
      <x:c r="B423" s="5" t="inlineStr">
        <x:is>
          <x:t xml:space="preserve">플로젤</x:t>
        </x:is>
      </x:c>
      <x:c r="C423" s="5" t="inlineStr">
        <x:is>
          <x:t xml:space="preserve">floatzel</x:t>
        </x:is>
      </x:c>
      <x:c r="D423" s="5" t="inlineStr">
        <x:is>
          <x:t xml:space="preserve">Floatzel</x:t>
        </x:is>
      </x:c>
      <x:c r="E423" s="5" t="n">
        <x:v>4</x:v>
      </x:c>
      <x:c r="F423" s="5" t="inlineStr">
        <x:is>
          <x:t xml:space="preserve">물</x:t>
        </x:is>
      </x:c>
      <x:c r="G423" s="5" t="inlineStr">
        <x:is>
          <x:t xml:space="preserve"/>
        </x:is>
      </x:c>
      <x:c r="H423" s="5" t="n">
        <x:v>1.1</x:v>
      </x:c>
      <x:c r="I423" s="5" t="n">
        <x:v>33.5</x:v>
      </x:c>
      <x:c r="J423" s="5" t="n">
        <x:v>495</x:v>
      </x:c>
      <x:c r="K423" s="5" t="n">
        <x:v>75</x:v>
      </x:c>
      <x:c r="L423" s="5" t="inlineStr">
        <x:is>
          <x:t xml:space="preserve">최종</x:t>
        </x:is>
      </x:c>
      <x:c r="M423" s="5" t="n">
        <x:v>26</x:v>
      </x:c>
      <x:c r="N423" s="5" t="inlineStr">
        <x:is>
          <x:t xml:space="preserve">레벨</x:t>
        </x:is>
      </x:c>
      <x:c r="O423" s="5" t="inlineStr">
        <x:is>
          <x:t xml:space="preserve">예</x:t>
        </x:is>
      </x:c>
      <x:c r="P423" s="5" t="inlineStr">
        <x:is>
          <x:t xml:space="preserve">#cobblemon:is_forest; #cobblemon:is_freshwater; #cobblemon:is_grassland; #cobblemon:is_hills; #cobblemon:is_jungle; #cobblemon:is_taiga</x:t>
        </x:is>
      </x:c>
      <x:c r="Q423" s="5" t="inlineStr">
        <x:is>
          <x:t xml:space="preserve">common; uncommon</x:t>
        </x:is>
      </x:c>
      <x:c r="R423" s="5" t="inlineStr">
        <x:is>
          <x:t xml:space="preserve"/>
        </x:is>
      </x:c>
      <x:c r="S423" s="5" t="inlineStr">
        <x:is>
          <x:t xml:space="preserve"/>
        </x:is>
      </x:c>
      <x:c r="T423" s="5" t="inlineStr">
        <x:is>
          <x:t xml:space="preserve">담수</x:t>
        </x:is>
      </x:c>
      <x:c r="U423" s="5" t="inlineStr">
        <x:is>
          <x:t xml:space="preserve">담수</x:t>
        </x:is>
      </x:c>
      <x:c r="V423" s="5" t="inlineStr">
        <x:is>
          <x:t xml:space="preserve">서늘</x:t>
        </x:is>
      </x:c>
      <x:c r="W423" s="5" t="inlineStr">
        <x:is>
          <x:t xml:space="preserve">수중</x:t>
        </x:is>
      </x:c>
      <x:c r="X423" s="5" t="inlineStr">
        <x:is>
          <x:t xml:space="preserve">비</x:t>
        </x:is>
      </x:c>
      <x:c r="Y423" s="5" t="inlineStr">
        <x:is>
          <x:t xml:space="preserve">무관</x:t>
        </x:is>
      </x:c>
      <x:c r="Z423" s="5" t="inlineStr">
        <x:is>
          <x:t xml:space="preserve">보통</x:t>
        </x:is>
      </x:c>
      <x:c r="AA423" s="5" t="inlineStr">
        <x:is>
          <x:t xml:space="preserve">없음</x:t>
        </x:is>
      </x:c>
      <x:c r="AB423" s="5" t="inlineStr">
        <x:is>
          <x:t xml:space="preserve">담수</x:t>
        </x:is>
      </x:c>
      <x:c r="AC423" s="5" t="inlineStr">
        <x:is>
          <x:t xml:space="preserve">gen4</x:t>
        </x:is>
      </x:c>
      <x:c r="AD423" s="5" t="inlineStr">
        <x:is>
          <x:t xml:space="preserve">.tmp/cobblemon-1.7.3-source/common/src/main/resources/data/cobblemon/species/generation4/floatzel.json</x:t>
        </x:is>
      </x:c>
    </x:row>
    <x:row r="424" ht="22" customHeight="1">
      <x:c r="A424" s="5" t="n">
        <x:v>420</x:v>
      </x:c>
      <x:c r="B424" s="5" t="inlineStr">
        <x:is>
          <x:t xml:space="preserve">체리버</x:t>
        </x:is>
      </x:c>
      <x:c r="C424" s="5" t="inlineStr">
        <x:is>
          <x:t xml:space="preserve">cherubi</x:t>
        </x:is>
      </x:c>
      <x:c r="D424" s="5" t="inlineStr">
        <x:is>
          <x:t xml:space="preserve">Cherubi</x:t>
        </x:is>
      </x:c>
      <x:c r="E424" s="5" t="n">
        <x:v>4</x:v>
      </x:c>
      <x:c r="F424" s="5" t="inlineStr">
        <x:is>
          <x:t xml:space="preserve">풀</x:t>
        </x:is>
      </x:c>
      <x:c r="G424" s="5" t="inlineStr">
        <x:is>
          <x:t xml:space="preserve"/>
        </x:is>
      </x:c>
      <x:c r="H424" s="5" t="n">
        <x:v>0.4</x:v>
      </x:c>
      <x:c r="I424" s="5" t="n">
        <x:v>3.3</x:v>
      </x:c>
      <x:c r="J424" s="5" t="n">
        <x:v>275</x:v>
      </x:c>
      <x:c r="K424" s="5" t="n">
        <x:v>190</x:v>
      </x:c>
      <x:c r="L424" s="5" t="inlineStr">
        <x:is>
          <x:t xml:space="preserve">기본</x:t>
        </x:is>
      </x:c>
      <x:c r="M424" s="5" t="n">
        <x:v>25</x:v>
      </x:c>
      <x:c r="N424" s="5" t="inlineStr">
        <x:is>
          <x:t xml:space="preserve">레벨</x:t>
        </x:is>
      </x:c>
      <x:c r="O424" s="5" t="inlineStr">
        <x:is>
          <x:t xml:space="preserve">아니오</x:t>
        </x:is>
      </x:c>
      <x:c r="P424" s="5" t="inlineStr">
        <x:is>
          <x:t xml:space="preserve">#cobblemon:is_forest; #cobblemon:is_jungle; #cobblemon:is_taiga</x:t>
        </x:is>
      </x:c>
      <x:c r="Q424" s="5" t="inlineStr">
        <x:is>
          <x:t xml:space="preserve">common</x:t>
        </x:is>
      </x:c>
      <x:c r="R424" s="5" t="inlineStr">
        <x:is>
          <x:t xml:space="preserve"/>
        </x:is>
      </x:c>
      <x:c r="S424" s="5" t="inlineStr">
        <x:is>
          <x:t xml:space="preserve"/>
        </x:is>
      </x:c>
      <x:c r="T424" s="5" t="inlineStr">
        <x:is>
          <x:t xml:space="preserve">육상</x:t>
        </x:is>
      </x:c>
      <x:c r="U424" s="5" t="inlineStr">
        <x:is>
          <x:t xml:space="preserve">수목</x:t>
        </x:is>
      </x:c>
      <x:c r="V424" s="5" t="inlineStr">
        <x:is>
          <x:t xml:space="preserve">서늘</x:t>
        </x:is>
      </x:c>
      <x:c r="W424" s="5" t="inlineStr">
        <x:is>
          <x:t xml:space="preserve">다습</x:t>
        </x:is>
      </x:c>
      <x:c r="X424" s="5" t="inlineStr">
        <x:is>
          <x:t xml:space="preserve">무관</x:t>
        </x:is>
      </x:c>
      <x:c r="Y424" s="5" t="inlineStr">
        <x:is>
          <x:t xml:space="preserve">무관</x:t>
        </x:is>
      </x:c>
      <x:c r="Z424" s="5" t="inlineStr">
        <x:is>
          <x:t xml:space="preserve">흔함</x:t>
        </x:is>
      </x:c>
      <x:c r="AA424" s="5" t="inlineStr">
        <x:is>
          <x:t xml:space="preserve">없음</x:t>
        </x:is>
      </x:c>
      <x:c r="AB424" s="5" t="inlineStr">
        <x:is>
          <x:t xml:space="preserve">숲</x:t>
        </x:is>
      </x:c>
      <x:c r="AC424" s="5" t="inlineStr">
        <x:is>
          <x:t xml:space="preserve">gen4</x:t>
        </x:is>
      </x:c>
      <x:c r="AD424" s="5" t="inlineStr">
        <x:is>
          <x:t xml:space="preserve">.tmp/cobblemon-1.7.3-source/common/src/main/resources/data/cobblemon/species/generation4/cherubi.json</x:t>
        </x:is>
      </x:c>
    </x:row>
    <x:row r="425" ht="22" customHeight="1">
      <x:c r="A425" s="5" t="n">
        <x:v>421</x:v>
      </x:c>
      <x:c r="B425" s="5" t="inlineStr">
        <x:is>
          <x:t xml:space="preserve">체리꼬</x:t>
        </x:is>
      </x:c>
      <x:c r="C425" s="5" t="inlineStr">
        <x:is>
          <x:t xml:space="preserve">cherrim</x:t>
        </x:is>
      </x:c>
      <x:c r="D425" s="5" t="inlineStr">
        <x:is>
          <x:t xml:space="preserve">Cherrim</x:t>
        </x:is>
      </x:c>
      <x:c r="E425" s="5" t="n">
        <x:v>4</x:v>
      </x:c>
      <x:c r="F425" s="5" t="inlineStr">
        <x:is>
          <x:t xml:space="preserve">풀</x:t>
        </x:is>
      </x:c>
      <x:c r="G425" s="5" t="inlineStr">
        <x:is>
          <x:t xml:space="preserve"/>
        </x:is>
      </x:c>
      <x:c r="H425" s="5" t="n">
        <x:v>0.5</x:v>
      </x:c>
      <x:c r="I425" s="5" t="n">
        <x:v>9.300000000000001</x:v>
      </x:c>
      <x:c r="J425" s="5" t="n">
        <x:v>450</x:v>
      </x:c>
      <x:c r="K425" s="5" t="n">
        <x:v>75</x:v>
      </x:c>
      <x:c r="L425" s="5" t="inlineStr">
        <x:is>
          <x:t xml:space="preserve">최종</x:t>
        </x:is>
      </x:c>
      <x:c r="M425" s="5" t="n">
        <x:v>25</x:v>
      </x:c>
      <x:c r="N425" s="5" t="inlineStr">
        <x:is>
          <x:t xml:space="preserve">레벨</x:t>
        </x:is>
      </x:c>
      <x:c r="O425" s="5" t="inlineStr">
        <x:is>
          <x:t xml:space="preserve">아니오</x:t>
        </x:is>
      </x:c>
      <x:c r="P425" s="5" t="inlineStr">
        <x:is>
          <x:t xml:space="preserve">#cobblemon:is_forest; #cobblemon:is_jungle; #cobblemon:is_taiga</x:t>
        </x:is>
      </x:c>
      <x:c r="Q425" s="5" t="inlineStr">
        <x:is>
          <x:t xml:space="preserve">uncommon</x:t>
        </x:is>
      </x:c>
      <x:c r="R425" s="5" t="inlineStr">
        <x:is>
          <x:t xml:space="preserve"/>
        </x:is>
      </x:c>
      <x:c r="S425" s="5" t="inlineStr">
        <x:is>
          <x:t xml:space="preserve"/>
        </x:is>
      </x:c>
      <x:c r="T425" s="5" t="inlineStr">
        <x:is>
          <x:t xml:space="preserve">육상</x:t>
        </x:is>
      </x:c>
      <x:c r="U425" s="5" t="inlineStr">
        <x:is>
          <x:t xml:space="preserve">수목</x:t>
        </x:is>
      </x:c>
      <x:c r="V425" s="5" t="inlineStr">
        <x:is>
          <x:t xml:space="preserve">서늘</x:t>
        </x:is>
      </x:c>
      <x:c r="W425" s="5" t="inlineStr">
        <x:is>
          <x:t xml:space="preserve">다습</x:t>
        </x:is>
      </x:c>
      <x:c r="X425" s="5" t="inlineStr">
        <x:is>
          <x:t xml:space="preserve">무관</x:t>
        </x:is>
      </x:c>
      <x:c r="Y425" s="5" t="inlineStr">
        <x:is>
          <x:t xml:space="preserve">무관</x:t>
        </x:is>
      </x:c>
      <x:c r="Z425" s="5" t="inlineStr">
        <x:is>
          <x:t xml:space="preserve">보통</x:t>
        </x:is>
      </x:c>
      <x:c r="AA425" s="5" t="inlineStr">
        <x:is>
          <x:t xml:space="preserve">없음</x:t>
        </x:is>
      </x:c>
      <x:c r="AB425" s="5" t="inlineStr">
        <x:is>
          <x:t xml:space="preserve">숲</x:t>
        </x:is>
      </x:c>
      <x:c r="AC425" s="5" t="inlineStr">
        <x:is>
          <x:t xml:space="preserve">gen4</x:t>
        </x:is>
      </x:c>
      <x:c r="AD425" s="5" t="inlineStr">
        <x:is>
          <x:t xml:space="preserve">.tmp/cobblemon-1.7.3-source/common/src/main/resources/data/cobblemon/species/generation4/cherrim.json</x:t>
        </x:is>
      </x:c>
    </x:row>
    <x:row r="426" ht="22" customHeight="1">
      <x:c r="A426" s="5" t="n">
        <x:v>422</x:v>
      </x:c>
      <x:c r="B426" s="5" t="inlineStr">
        <x:is>
          <x:t xml:space="preserve">깝질무</x:t>
        </x:is>
      </x:c>
      <x:c r="C426" s="5" t="inlineStr">
        <x:is>
          <x:t xml:space="preserve">shellos</x:t>
        </x:is>
      </x:c>
      <x:c r="D426" s="5" t="inlineStr">
        <x:is>
          <x:t xml:space="preserve">Shellos</x:t>
        </x:is>
      </x:c>
      <x:c r="E426" s="5" t="n">
        <x:v>4</x:v>
      </x:c>
      <x:c r="F426" s="5" t="inlineStr">
        <x:is>
          <x:t xml:space="preserve">물</x:t>
        </x:is>
      </x:c>
      <x:c r="G426" s="5" t="inlineStr">
        <x:is>
          <x:t xml:space="preserve"/>
        </x:is>
      </x:c>
      <x:c r="H426" s="5" t="n">
        <x:v>0.3</x:v>
      </x:c>
      <x:c r="I426" s="5" t="n">
        <x:v>6.3</x:v>
      </x:c>
      <x:c r="J426" s="5" t="n">
        <x:v>325</x:v>
      </x:c>
      <x:c r="K426" s="5" t="n">
        <x:v>190</x:v>
      </x:c>
      <x:c r="L426" s="5" t="inlineStr">
        <x:is>
          <x:t xml:space="preserve">기본</x:t>
        </x:is>
      </x:c>
      <x:c r="M426" s="5" t="n">
        <x:v>30</x:v>
      </x:c>
      <x:c r="N426" s="5" t="inlineStr">
        <x:is>
          <x:t xml:space="preserve">레벨</x:t>
        </x:is>
      </x:c>
      <x:c r="O426" s="5" t="inlineStr">
        <x:is>
          <x:t xml:space="preserve">예</x:t>
        </x:is>
      </x:c>
      <x:c r="P426" s="5" t="inlineStr">
        <x:is>
          <x:t xml:space="preserve">#cobblemon:is_beach; #cobblemon:is_cold_ocean; #cobblemon:is_frozen_ocean; #cobblemon:is_lukewarm_ocean; #cobblemon:is_warm_ocean</x:t>
        </x:is>
      </x:c>
      <x:c r="Q426" s="5" t="inlineStr">
        <x:is>
          <x:t xml:space="preserve">common; uncommon</x:t>
        </x:is>
      </x:c>
      <x:c r="R426" s="5" t="inlineStr">
        <x:is>
          <x:t xml:space="preserve"/>
        </x:is>
      </x:c>
      <x:c r="S426" s="5" t="inlineStr">
        <x:is>
          <x:t xml:space="preserve">비=True</x:t>
        </x:is>
      </x:c>
      <x:c r="T426" s="5" t="inlineStr">
        <x:is>
          <x:t xml:space="preserve">해양</x:t>
        </x:is>
      </x:c>
      <x:c r="U426" s="5" t="inlineStr">
        <x:is>
          <x:t xml:space="preserve">해안·해양</x:t>
        </x:is>
      </x:c>
      <x:c r="V426" s="5" t="inlineStr">
        <x:is>
          <x:t xml:space="preserve">서늘</x:t>
        </x:is>
      </x:c>
      <x:c r="W426" s="5" t="inlineStr">
        <x:is>
          <x:t xml:space="preserve">수중</x:t>
        </x:is>
      </x:c>
      <x:c r="X426" s="5" t="inlineStr">
        <x:is>
          <x:t xml:space="preserve">비</x:t>
        </x:is>
      </x:c>
      <x:c r="Y426" s="5" t="inlineStr">
        <x:is>
          <x:t xml:space="preserve">무관</x:t>
        </x:is>
      </x:c>
      <x:c r="Z426" s="5" t="inlineStr">
        <x:is>
          <x:t xml:space="preserve">보통</x:t>
        </x:is>
      </x:c>
      <x:c r="AA426" s="5" t="inlineStr">
        <x:is>
          <x:t xml:space="preserve">없음</x:t>
        </x:is>
      </x:c>
      <x:c r="AB426" s="5" t="inlineStr">
        <x:is>
          <x:t xml:space="preserve">해양</x:t>
        </x:is>
      </x:c>
      <x:c r="AC426" s="5" t="inlineStr">
        <x:is>
          <x:t xml:space="preserve">gen4</x:t>
        </x:is>
      </x:c>
      <x:c r="AD426" s="5" t="inlineStr">
        <x:is>
          <x:t xml:space="preserve">.tmp/cobblemon-1.7.3-source/common/src/main/resources/data/cobblemon/species/generation4/shellos.json</x:t>
        </x:is>
      </x:c>
    </x:row>
    <x:row r="427" ht="22" customHeight="1">
      <x:c r="A427" s="5" t="n">
        <x:v>423</x:v>
      </x:c>
      <x:c r="B427" s="5" t="inlineStr">
        <x:is>
          <x:t xml:space="preserve">트리토돈</x:t>
        </x:is>
      </x:c>
      <x:c r="C427" s="5" t="inlineStr">
        <x:is>
          <x:t xml:space="preserve">gastrodon</x:t>
        </x:is>
      </x:c>
      <x:c r="D427" s="5" t="inlineStr">
        <x:is>
          <x:t xml:space="preserve">Gastrodon</x:t>
        </x:is>
      </x:c>
      <x:c r="E427" s="5" t="n">
        <x:v>4</x:v>
      </x:c>
      <x:c r="F427" s="5" t="inlineStr">
        <x:is>
          <x:t xml:space="preserve">물</x:t>
        </x:is>
      </x:c>
      <x:c r="G427" s="5" t="inlineStr">
        <x:is>
          <x:t xml:space="preserve">땅</x:t>
        </x:is>
      </x:c>
      <x:c r="H427" s="5" t="n">
        <x:v>0.9</x:v>
      </x:c>
      <x:c r="I427" s="5" t="n">
        <x:v>29.9</x:v>
      </x:c>
      <x:c r="J427" s="5" t="n">
        <x:v>475</x:v>
      </x:c>
      <x:c r="K427" s="5" t="n">
        <x:v>75</x:v>
      </x:c>
      <x:c r="L427" s="5" t="inlineStr">
        <x:is>
          <x:t xml:space="preserve">최종</x:t>
        </x:is>
      </x:c>
      <x:c r="M427" s="5" t="n">
        <x:v>30</x:v>
      </x:c>
      <x:c r="N427" s="5" t="inlineStr">
        <x:is>
          <x:t xml:space="preserve">레벨</x:t>
        </x:is>
      </x:c>
      <x:c r="O427" s="5" t="inlineStr">
        <x:is>
          <x:t xml:space="preserve">예</x:t>
        </x:is>
      </x:c>
      <x:c r="P427" s="5" t="inlineStr">
        <x:is>
          <x:t xml:space="preserve">#cobblemon:is_beach; #cobblemon:is_cold_ocean; #cobblemon:is_frozen_ocean; #cobblemon:is_lukewarm_ocean; #cobblemon:is_warm_ocean</x:t>
        </x:is>
      </x:c>
      <x:c r="Q427" s="5" t="inlineStr">
        <x:is>
          <x:t xml:space="preserve">common; uncommon</x:t>
        </x:is>
      </x:c>
      <x:c r="R427" s="5" t="inlineStr">
        <x:is>
          <x:t xml:space="preserve"/>
        </x:is>
      </x:c>
      <x:c r="S427" s="5" t="inlineStr">
        <x:is>
          <x:t xml:space="preserve">비=True</x:t>
        </x:is>
      </x:c>
      <x:c r="T427" s="5" t="inlineStr">
        <x:is>
          <x:t xml:space="preserve">해양</x:t>
        </x:is>
      </x:c>
      <x:c r="U427" s="5" t="inlineStr">
        <x:is>
          <x:t xml:space="preserve">해안·해양</x:t>
        </x:is>
      </x:c>
      <x:c r="V427" s="5" t="inlineStr">
        <x:is>
          <x:t xml:space="preserve">서늘</x:t>
        </x:is>
      </x:c>
      <x:c r="W427" s="5" t="inlineStr">
        <x:is>
          <x:t xml:space="preserve">수중</x:t>
        </x:is>
      </x:c>
      <x:c r="X427" s="5" t="inlineStr">
        <x:is>
          <x:t xml:space="preserve">비</x:t>
        </x:is>
      </x:c>
      <x:c r="Y427" s="5" t="inlineStr">
        <x:is>
          <x:t xml:space="preserve">무관</x:t>
        </x:is>
      </x:c>
      <x:c r="Z427" s="5" t="inlineStr">
        <x:is>
          <x:t xml:space="preserve">보통</x:t>
        </x:is>
      </x:c>
      <x:c r="AA427" s="5" t="inlineStr">
        <x:is>
          <x:t xml:space="preserve">없음</x:t>
        </x:is>
      </x:c>
      <x:c r="AB427" s="5" t="inlineStr">
        <x:is>
          <x:t xml:space="preserve">해양</x:t>
        </x:is>
      </x:c>
      <x:c r="AC427" s="5" t="inlineStr">
        <x:is>
          <x:t xml:space="preserve">gen4</x:t>
        </x:is>
      </x:c>
      <x:c r="AD427" s="5" t="inlineStr">
        <x:is>
          <x:t xml:space="preserve">.tmp/cobblemon-1.7.3-source/common/src/main/resources/data/cobblemon/species/generation4/gastrodon.json</x:t>
        </x:is>
      </x:c>
    </x:row>
    <x:row r="428" ht="22" customHeight="1">
      <x:c r="A428" s="5" t="n">
        <x:v>424</x:v>
      </x:c>
      <x:c r="B428" s="5" t="inlineStr">
        <x:is>
          <x:t xml:space="preserve">겟핸보숭</x:t>
        </x:is>
      </x:c>
      <x:c r="C428" s="5" t="inlineStr">
        <x:is>
          <x:t xml:space="preserve">ambipom</x:t>
        </x:is>
      </x:c>
      <x:c r="D428" s="5" t="inlineStr">
        <x:is>
          <x:t xml:space="preserve">Ambipom</x:t>
        </x:is>
      </x:c>
      <x:c r="E428" s="5" t="n">
        <x:v>4</x:v>
      </x:c>
      <x:c r="F428" s="5" t="inlineStr">
        <x:is>
          <x:t xml:space="preserve">노말</x:t>
        </x:is>
      </x:c>
      <x:c r="G428" s="5" t="inlineStr">
        <x:is>
          <x:t xml:space="preserve"/>
        </x:is>
      </x:c>
      <x:c r="H428" s="5" t="n">
        <x:v>1.2</x:v>
      </x:c>
      <x:c r="I428" s="5" t="n">
        <x:v>20.3</x:v>
      </x:c>
      <x:c r="J428" s="5" t="n">
        <x:v>482</x:v>
      </x:c>
      <x:c r="K428" s="5" t="n">
        <x:v>45</x:v>
      </x:c>
      <x:c r="L428" s="5" t="inlineStr">
        <x:is>
          <x:t xml:space="preserve">최종</x:t>
        </x:is>
      </x:c>
      <x:c r="M428" s="5" t="n"/>
      <x:c r="N428" s="5" t="inlineStr">
        <x:is>
          <x:t xml:space="preserve">특수</x:t>
        </x:is>
      </x:c>
      <x:c r="O428" s="5" t="inlineStr">
        <x:is>
          <x:t xml:space="preserve">예</x:t>
        </x:is>
      </x:c>
      <x:c r="P428" s="5" t="inlineStr">
        <x:is>
          <x:t xml:space="preserve">#cobblemon:is_jungle; #cobblemon:is_overworld; #cobblemon:is_tropical_island</x:t>
        </x:is>
      </x:c>
      <x:c r="Q428" s="5" t="inlineStr">
        <x:is>
          <x:t xml:space="preserve">common</x:t>
        </x:is>
      </x:c>
      <x:c r="R428" s="5" t="inlineStr">
        <x:is>
          <x:t xml:space="preserve"/>
        </x:is>
      </x:c>
      <x:c r="S428" s="5" t="inlineStr">
        <x:is>
          <x:t xml:space="preserve"/>
        </x:is>
      </x:c>
      <x:c r="T428" s="5" t="inlineStr">
        <x:is>
          <x:t xml:space="preserve">육상</x:t>
        </x:is>
      </x:c>
      <x:c r="U428" s="5" t="inlineStr">
        <x:is>
          <x:t xml:space="preserve">수목</x:t>
        </x:is>
      </x:c>
      <x:c r="V428" s="5" t="inlineStr">
        <x:is>
          <x:t xml:space="preserve">온대</x:t>
        </x:is>
      </x:c>
      <x:c r="W428" s="5" t="inlineStr">
        <x:is>
          <x:t xml:space="preserve">다습</x:t>
        </x:is>
      </x:c>
      <x:c r="X428" s="5" t="inlineStr">
        <x:is>
          <x:t xml:space="preserve">무관</x:t>
        </x:is>
      </x:c>
      <x:c r="Y428" s="5" t="inlineStr">
        <x:is>
          <x:t xml:space="preserve">무관</x:t>
        </x:is>
      </x:c>
      <x:c r="Z428" s="5" t="inlineStr">
        <x:is>
          <x:t xml:space="preserve">흔함</x:t>
        </x:is>
      </x:c>
      <x:c r="AA428" s="5" t="inlineStr">
        <x:is>
          <x:t xml:space="preserve">없음</x:t>
        </x:is>
      </x:c>
      <x:c r="AB428" s="5" t="inlineStr">
        <x:is>
          <x:t xml:space="preserve">숲</x:t>
        </x:is>
      </x:c>
      <x:c r="AC428" s="5" t="inlineStr">
        <x:is>
          <x:t xml:space="preserve">gen4</x:t>
        </x:is>
      </x:c>
      <x:c r="AD428" s="5" t="inlineStr">
        <x:is>
          <x:t xml:space="preserve">.tmp/cobblemon-1.7.3-source/common/src/main/resources/data/cobblemon/species/generation4/ambipom.json</x:t>
        </x:is>
      </x:c>
    </x:row>
    <x:row r="429" ht="22" customHeight="1">
      <x:c r="A429" s="5" t="n">
        <x:v>425</x:v>
      </x:c>
      <x:c r="B429" s="5" t="inlineStr">
        <x:is>
          <x:t xml:space="preserve">흔들풍손</x:t>
        </x:is>
      </x:c>
      <x:c r="C429" s="5" t="inlineStr">
        <x:is>
          <x:t xml:space="preserve">drifloon</x:t>
        </x:is>
      </x:c>
      <x:c r="D429" s="5" t="inlineStr">
        <x:is>
          <x:t xml:space="preserve">Drifloon</x:t>
        </x:is>
      </x:c>
      <x:c r="E429" s="5" t="n">
        <x:v>4</x:v>
      </x:c>
      <x:c r="F429" s="5" t="inlineStr">
        <x:is>
          <x:t xml:space="preserve">고스트</x:t>
        </x:is>
      </x:c>
      <x:c r="G429" s="5" t="inlineStr">
        <x:is>
          <x:t xml:space="preserve">비행</x:t>
        </x:is>
      </x:c>
      <x:c r="H429" s="5" t="n">
        <x:v>0.4</x:v>
      </x:c>
      <x:c r="I429" s="5" t="n">
        <x:v>1.2</x:v>
      </x:c>
      <x:c r="J429" s="5" t="n">
        <x:v>348</x:v>
      </x:c>
      <x:c r="K429" s="5" t="n">
        <x:v>125</x:v>
      </x:c>
      <x:c r="L429" s="5" t="inlineStr">
        <x:is>
          <x:t xml:space="preserve">기본</x:t>
        </x:is>
      </x:c>
      <x:c r="M429" s="5" t="n">
        <x:v>28</x:v>
      </x:c>
      <x:c r="N429" s="5" t="inlineStr">
        <x:is>
          <x:t xml:space="preserve">레벨</x:t>
        </x:is>
      </x:c>
      <x:c r="O429" s="5" t="inlineStr">
        <x:is>
          <x:t xml:space="preserve">예</x:t>
        </x:is>
      </x:c>
      <x:c r="P429" s="5" t="inlineStr">
        <x:is>
          <x:t xml:space="preserve">#cobblemon:is_overworld; #cobblemon:is_sky</x:t>
        </x:is>
      </x:c>
      <x:c r="Q429" s="5" t="inlineStr">
        <x:is>
          <x:t xml:space="preserve">common; uncommon</x:t>
        </x:is>
      </x:c>
      <x:c r="R429" s="5" t="inlineStr">
        <x:is>
          <x:t xml:space="preserve">night</x:t>
        </x:is>
      </x:c>
      <x:c r="S429" s="5" t="inlineStr">
        <x:is>
          <x:t xml:space="preserve">비=False</x:t>
        </x:is>
      </x:c>
      <x:c r="T429" s="5" t="inlineStr">
        <x:is>
          <x:t xml:space="preserve">비행</x:t>
        </x:is>
      </x:c>
      <x:c r="U429" s="5" t="inlineStr">
        <x:is>
          <x:t xml:space="preserve">특수</x:t>
        </x:is>
      </x:c>
      <x:c r="V429" s="5" t="inlineStr">
        <x:is>
          <x:t xml:space="preserve">온대</x:t>
        </x:is>
      </x:c>
      <x:c r="W429" s="5" t="inlineStr">
        <x:is>
          <x:t xml:space="preserve">보통</x:t>
        </x:is>
      </x:c>
      <x:c r="X429" s="5" t="inlineStr">
        <x:is>
          <x:t xml:space="preserve">안개</x:t>
        </x:is>
      </x:c>
      <x:c r="Y429" s="5" t="inlineStr">
        <x:is>
          <x:t xml:space="preserve">밤</x:t>
        </x:is>
      </x:c>
      <x:c r="Z429" s="5" t="inlineStr">
        <x:is>
          <x:t xml:space="preserve">보통</x:t>
        </x:is>
      </x:c>
      <x:c r="AA429" s="5" t="inlineStr">
        <x:is>
          <x:t xml:space="preserve">영체</x:t>
        </x:is>
      </x:c>
      <x:c r="AB429" s="5" t="inlineStr">
        <x:is>
          <x:t xml:space="preserve"/>
        </x:is>
      </x:c>
      <x:c r="AC429" s="5" t="inlineStr">
        <x:is>
          <x:t xml:space="preserve">gen4</x:t>
        </x:is>
      </x:c>
      <x:c r="AD429" s="5" t="inlineStr">
        <x:is>
          <x:t xml:space="preserve">.tmp/cobblemon-1.7.3-source/common/src/main/resources/data/cobblemon/species/generation4/drifloon.json</x:t>
        </x:is>
      </x:c>
    </x:row>
    <x:row r="430" ht="22" customHeight="1">
      <x:c r="A430" s="5" t="n">
        <x:v>426</x:v>
      </x:c>
      <x:c r="B430" s="5" t="inlineStr">
        <x:is>
          <x:t xml:space="preserve">둥실라이드</x:t>
        </x:is>
      </x:c>
      <x:c r="C430" s="5" t="inlineStr">
        <x:is>
          <x:t xml:space="preserve">drifblim</x:t>
        </x:is>
      </x:c>
      <x:c r="D430" s="5" t="inlineStr">
        <x:is>
          <x:t xml:space="preserve">Drifblim</x:t>
        </x:is>
      </x:c>
      <x:c r="E430" s="5" t="n">
        <x:v>4</x:v>
      </x:c>
      <x:c r="F430" s="5" t="inlineStr">
        <x:is>
          <x:t xml:space="preserve">고스트</x:t>
        </x:is>
      </x:c>
      <x:c r="G430" s="5" t="inlineStr">
        <x:is>
          <x:t xml:space="preserve">비행</x:t>
        </x:is>
      </x:c>
      <x:c r="H430" s="5" t="n">
        <x:v>1.2</x:v>
      </x:c>
      <x:c r="I430" s="5" t="n">
        <x:v>15</x:v>
      </x:c>
      <x:c r="J430" s="5" t="n">
        <x:v>498</x:v>
      </x:c>
      <x:c r="K430" s="5" t="n">
        <x:v>60</x:v>
      </x:c>
      <x:c r="L430" s="5" t="inlineStr">
        <x:is>
          <x:t xml:space="preserve">최종</x:t>
        </x:is>
      </x:c>
      <x:c r="M430" s="5" t="n">
        <x:v>28</x:v>
      </x:c>
      <x:c r="N430" s="5" t="inlineStr">
        <x:is>
          <x:t xml:space="preserve">레벨</x:t>
        </x:is>
      </x:c>
      <x:c r="O430" s="5" t="inlineStr">
        <x:is>
          <x:t xml:space="preserve">예</x:t>
        </x:is>
      </x:c>
      <x:c r="P430" s="5" t="inlineStr">
        <x:is>
          <x:t xml:space="preserve">#cobblemon:is_overworld; #cobblemon:is_sky</x:t>
        </x:is>
      </x:c>
      <x:c r="Q430" s="5" t="inlineStr">
        <x:is>
          <x:t xml:space="preserve">common; uncommon</x:t>
        </x:is>
      </x:c>
      <x:c r="R430" s="5" t="inlineStr">
        <x:is>
          <x:t xml:space="preserve">night</x:t>
        </x:is>
      </x:c>
      <x:c r="S430" s="5" t="inlineStr">
        <x:is>
          <x:t xml:space="preserve">비=False</x:t>
        </x:is>
      </x:c>
      <x:c r="T430" s="5" t="inlineStr">
        <x:is>
          <x:t xml:space="preserve">비행</x:t>
        </x:is>
      </x:c>
      <x:c r="U430" s="5" t="inlineStr">
        <x:is>
          <x:t xml:space="preserve">특수</x:t>
        </x:is>
      </x:c>
      <x:c r="V430" s="5" t="inlineStr">
        <x:is>
          <x:t xml:space="preserve">온대</x:t>
        </x:is>
      </x:c>
      <x:c r="W430" s="5" t="inlineStr">
        <x:is>
          <x:t xml:space="preserve">보통</x:t>
        </x:is>
      </x:c>
      <x:c r="X430" s="5" t="inlineStr">
        <x:is>
          <x:t xml:space="preserve">안개</x:t>
        </x:is>
      </x:c>
      <x:c r="Y430" s="5" t="inlineStr">
        <x:is>
          <x:t xml:space="preserve">밤</x:t>
        </x:is>
      </x:c>
      <x:c r="Z430" s="5" t="inlineStr">
        <x:is>
          <x:t xml:space="preserve">보통</x:t>
        </x:is>
      </x:c>
      <x:c r="AA430" s="5" t="inlineStr">
        <x:is>
          <x:t xml:space="preserve">영체</x:t>
        </x:is>
      </x:c>
      <x:c r="AB430" s="5" t="inlineStr">
        <x:is>
          <x:t xml:space="preserve"/>
        </x:is>
      </x:c>
      <x:c r="AC430" s="5" t="inlineStr">
        <x:is>
          <x:t xml:space="preserve">gen4</x:t>
        </x:is>
      </x:c>
      <x:c r="AD430" s="5" t="inlineStr">
        <x:is>
          <x:t xml:space="preserve">.tmp/cobblemon-1.7.3-source/common/src/main/resources/data/cobblemon/species/generation4/drifblim.json</x:t>
        </x:is>
      </x:c>
    </x:row>
    <x:row r="431" ht="22" customHeight="1">
      <x:c r="A431" s="5" t="n">
        <x:v>427</x:v>
      </x:c>
      <x:c r="B431" s="5" t="inlineStr">
        <x:is>
          <x:t xml:space="preserve">이어롤</x:t>
        </x:is>
      </x:c>
      <x:c r="C431" s="5" t="inlineStr">
        <x:is>
          <x:t xml:space="preserve">buneary</x:t>
        </x:is>
      </x:c>
      <x:c r="D431" s="5" t="inlineStr">
        <x:is>
          <x:t xml:space="preserve">Buneary</x:t>
        </x:is>
      </x:c>
      <x:c r="E431" s="5" t="n">
        <x:v>4</x:v>
      </x:c>
      <x:c r="F431" s="5" t="inlineStr">
        <x:is>
          <x:t xml:space="preserve">노말</x:t>
        </x:is>
      </x:c>
      <x:c r="G431" s="5" t="inlineStr">
        <x:is>
          <x:t xml:space="preserve"/>
        </x:is>
      </x:c>
      <x:c r="H431" s="5" t="n">
        <x:v>0.4</x:v>
      </x:c>
      <x:c r="I431" s="5" t="n">
        <x:v>5.5</x:v>
      </x:c>
      <x:c r="J431" s="5" t="n">
        <x:v>350</x:v>
      </x:c>
      <x:c r="K431" s="5" t="n">
        <x:v>190</x:v>
      </x:c>
      <x:c r="L431" s="5" t="inlineStr">
        <x:is>
          <x:t xml:space="preserve">기본</x:t>
        </x:is>
      </x:c>
      <x:c r="M431" s="5" t="n"/>
      <x:c r="N431" s="5" t="inlineStr">
        <x:is>
          <x:t xml:space="preserve">특수</x:t>
        </x:is>
      </x:c>
      <x:c r="O431" s="5" t="inlineStr">
        <x:is>
          <x:t xml:space="preserve">예</x:t>
        </x:is>
      </x:c>
      <x:c r="P431" s="5" t="inlineStr">
        <x:is>
          <x:t xml:space="preserve">#cobblemon:is_forest; #cobblemon:is_hills; #cobblemon:is_snowy_forest; #cobblemon:is_snowy_taiga; #cobblemon:is_taiga</x:t>
        </x:is>
      </x:c>
      <x:c r="Q431" s="5" t="inlineStr">
        <x:is>
          <x:t xml:space="preserve">common</x:t>
        </x:is>
      </x:c>
      <x:c r="R431" s="5" t="inlineStr">
        <x:is>
          <x:t xml:space="preserve"/>
        </x:is>
      </x:c>
      <x:c r="S431" s="5" t="inlineStr">
        <x:is>
          <x:t xml:space="preserve"/>
        </x:is>
      </x:c>
      <x:c r="T431" s="5" t="inlineStr">
        <x:is>
          <x:t xml:space="preserve">육상</x:t>
        </x:is>
      </x:c>
      <x:c r="U431" s="5" t="inlineStr">
        <x:is>
          <x:t xml:space="preserve">수목</x:t>
        </x:is>
      </x:c>
      <x:c r="V431" s="5" t="inlineStr">
        <x:is>
          <x:t xml:space="preserve">서늘</x:t>
        </x:is>
      </x:c>
      <x:c r="W431" s="5" t="inlineStr">
        <x:is>
          <x:t xml:space="preserve">보통</x:t>
        </x:is>
      </x:c>
      <x:c r="X431" s="5" t="inlineStr">
        <x:is>
          <x:t xml:space="preserve">무관</x:t>
        </x:is>
      </x:c>
      <x:c r="Y431" s="5" t="inlineStr">
        <x:is>
          <x:t xml:space="preserve">무관</x:t>
        </x:is>
      </x:c>
      <x:c r="Z431" s="5" t="inlineStr">
        <x:is>
          <x:t xml:space="preserve">흔함</x:t>
        </x:is>
      </x:c>
      <x:c r="AA431" s="5" t="inlineStr">
        <x:is>
          <x:t xml:space="preserve">없음</x:t>
        </x:is>
      </x:c>
      <x:c r="AB431" s="5" t="inlineStr">
        <x:is>
          <x:t xml:space="preserve">숲</x:t>
        </x:is>
      </x:c>
      <x:c r="AC431" s="5" t="inlineStr">
        <x:is>
          <x:t xml:space="preserve">gen4</x:t>
        </x:is>
      </x:c>
      <x:c r="AD431" s="5" t="inlineStr">
        <x:is>
          <x:t xml:space="preserve">.tmp/cobblemon-1.7.3-source/common/src/main/resources/data/cobblemon/species/generation4/buneary.json</x:t>
        </x:is>
      </x:c>
    </x:row>
    <x:row r="432" ht="22" customHeight="1">
      <x:c r="A432" s="5" t="n">
        <x:v>428</x:v>
      </x:c>
      <x:c r="B432" s="5" t="inlineStr">
        <x:is>
          <x:t xml:space="preserve">이어롭</x:t>
        </x:is>
      </x:c>
      <x:c r="C432" s="5" t="inlineStr">
        <x:is>
          <x:t xml:space="preserve">lopunny</x:t>
        </x:is>
      </x:c>
      <x:c r="D432" s="5" t="inlineStr">
        <x:is>
          <x:t xml:space="preserve">Lopunny</x:t>
        </x:is>
      </x:c>
      <x:c r="E432" s="5" t="n">
        <x:v>4</x:v>
      </x:c>
      <x:c r="F432" s="5" t="inlineStr">
        <x:is>
          <x:t xml:space="preserve">노말</x:t>
        </x:is>
      </x:c>
      <x:c r="G432" s="5" t="inlineStr">
        <x:is>
          <x:t xml:space="preserve"/>
        </x:is>
      </x:c>
      <x:c r="H432" s="5" t="n">
        <x:v>1.2</x:v>
      </x:c>
      <x:c r="I432" s="5" t="n">
        <x:v>33.3</x:v>
      </x:c>
      <x:c r="J432" s="5" t="n">
        <x:v>480</x:v>
      </x:c>
      <x:c r="K432" s="5" t="n">
        <x:v>60</x:v>
      </x:c>
      <x:c r="L432" s="5" t="inlineStr">
        <x:is>
          <x:t xml:space="preserve">최종</x:t>
        </x:is>
      </x:c>
      <x:c r="M432" s="5" t="n"/>
      <x:c r="N432" s="5" t="inlineStr">
        <x:is>
          <x:t xml:space="preserve">특수</x:t>
        </x:is>
      </x:c>
      <x:c r="O432" s="5" t="inlineStr">
        <x:is>
          <x:t xml:space="preserve">예</x:t>
        </x:is>
      </x:c>
      <x:c r="P432" s="5" t="inlineStr">
        <x:is>
          <x:t xml:space="preserve">#cobblemon:is_forest; #cobblemon:is_hills; #cobblemon:is_snowy_forest; #cobblemon:is_snowy_taiga; #cobblemon:is_taiga</x:t>
        </x:is>
      </x:c>
      <x:c r="Q432" s="5" t="inlineStr">
        <x:is>
          <x:t xml:space="preserve">common</x:t>
        </x:is>
      </x:c>
      <x:c r="R432" s="5" t="inlineStr">
        <x:is>
          <x:t xml:space="preserve"/>
        </x:is>
      </x:c>
      <x:c r="S432" s="5" t="inlineStr">
        <x:is>
          <x:t xml:space="preserve"/>
        </x:is>
      </x:c>
      <x:c r="T432" s="5" t="inlineStr">
        <x:is>
          <x:t xml:space="preserve">육상</x:t>
        </x:is>
      </x:c>
      <x:c r="U432" s="5" t="inlineStr">
        <x:is>
          <x:t xml:space="preserve">수목</x:t>
        </x:is>
      </x:c>
      <x:c r="V432" s="5" t="inlineStr">
        <x:is>
          <x:t xml:space="preserve">서늘</x:t>
        </x:is>
      </x:c>
      <x:c r="W432" s="5" t="inlineStr">
        <x:is>
          <x:t xml:space="preserve">보통</x:t>
        </x:is>
      </x:c>
      <x:c r="X432" s="5" t="inlineStr">
        <x:is>
          <x:t xml:space="preserve">무관</x:t>
        </x:is>
      </x:c>
      <x:c r="Y432" s="5" t="inlineStr">
        <x:is>
          <x:t xml:space="preserve">무관</x:t>
        </x:is>
      </x:c>
      <x:c r="Z432" s="5" t="inlineStr">
        <x:is>
          <x:t xml:space="preserve">흔함</x:t>
        </x:is>
      </x:c>
      <x:c r="AA432" s="5" t="inlineStr">
        <x:is>
          <x:t xml:space="preserve">없음</x:t>
        </x:is>
      </x:c>
      <x:c r="AB432" s="5" t="inlineStr">
        <x:is>
          <x:t xml:space="preserve">숲</x:t>
        </x:is>
      </x:c>
      <x:c r="AC432" s="5" t="inlineStr">
        <x:is>
          <x:t xml:space="preserve">gen4</x:t>
        </x:is>
      </x:c>
      <x:c r="AD432" s="5" t="inlineStr">
        <x:is>
          <x:t xml:space="preserve">.tmp/cobblemon-1.7.3-source/common/src/main/resources/data/cobblemon/species/generation4/lopunny.json</x:t>
        </x:is>
      </x:c>
    </x:row>
    <x:row r="433" ht="22" customHeight="1">
      <x:c r="A433" s="5" t="n">
        <x:v>429</x:v>
      </x:c>
      <x:c r="B433" s="5" t="inlineStr">
        <x:is>
          <x:t xml:space="preserve">무우마직</x:t>
        </x:is>
      </x:c>
      <x:c r="C433" s="5" t="inlineStr">
        <x:is>
          <x:t xml:space="preserve">mismagius</x:t>
        </x:is>
      </x:c>
      <x:c r="D433" s="5" t="inlineStr">
        <x:is>
          <x:t xml:space="preserve">Mismagius</x:t>
        </x:is>
      </x:c>
      <x:c r="E433" s="5" t="n">
        <x:v>4</x:v>
      </x:c>
      <x:c r="F433" s="5" t="inlineStr">
        <x:is>
          <x:t xml:space="preserve">고스트</x:t>
        </x:is>
      </x:c>
      <x:c r="G433" s="5" t="inlineStr">
        <x:is>
          <x:t xml:space="preserve"/>
        </x:is>
      </x:c>
      <x:c r="H433" s="5" t="n">
        <x:v>0.9</x:v>
      </x:c>
      <x:c r="I433" s="5" t="n">
        <x:v>4.4</x:v>
      </x:c>
      <x:c r="J433" s="5" t="n">
        <x:v>495</x:v>
      </x:c>
      <x:c r="K433" s="5" t="n">
        <x:v>45</x:v>
      </x:c>
      <x:c r="L433" s="5" t="inlineStr">
        <x:is>
          <x:t xml:space="preserve">최종</x:t>
        </x:is>
      </x:c>
      <x:c r="M433" s="5" t="n"/>
      <x:c r="N433" s="5" t="inlineStr">
        <x:is>
          <x:t xml:space="preserve">특수</x:t>
        </x:is>
      </x:c>
      <x:c r="O433" s="5" t="inlineStr">
        <x:is>
          <x:t xml:space="preserve">예</x:t>
        </x:is>
      </x:c>
      <x:c r="P433" s="5" t="inlineStr">
        <x:is>
          <x:t xml:space="preserve">#cobblemon:is_overworld; #cobblemon:is_spooky; #cobblemon:is_swamp; #cobblemon:nether/is_warped</x:t>
        </x:is>
      </x:c>
      <x:c r="Q433" s="5" t="inlineStr">
        <x:is>
          <x:t xml:space="preserve">common</x:t>
        </x:is>
      </x:c>
      <x:c r="R433" s="5" t="inlineStr">
        <x:is>
          <x:t xml:space="preserve">night</x:t>
        </x:is>
      </x:c>
      <x:c r="S433" s="5" t="inlineStr">
        <x:is>
          <x:t xml:space="preserve"/>
        </x:is>
      </x:c>
      <x:c r="T433" s="5" t="inlineStr">
        <x:is>
          <x:t xml:space="preserve">비행</x:t>
        </x:is>
      </x:c>
      <x:c r="U433" s="5" t="inlineStr">
        <x:is>
          <x:t xml:space="preserve">특수</x:t>
        </x:is>
      </x:c>
      <x:c r="V433" s="5" t="inlineStr">
        <x:is>
          <x:t xml:space="preserve">온대</x:t>
        </x:is>
      </x:c>
      <x:c r="W433" s="5" t="inlineStr">
        <x:is>
          <x:t xml:space="preserve">보통</x:t>
        </x:is>
      </x:c>
      <x:c r="X433" s="5" t="inlineStr">
        <x:is>
          <x:t xml:space="preserve">안개</x:t>
        </x:is>
      </x:c>
      <x:c r="Y433" s="5" t="inlineStr">
        <x:is>
          <x:t xml:space="preserve">밤</x:t>
        </x:is>
      </x:c>
      <x:c r="Z433" s="5" t="inlineStr">
        <x:is>
          <x:t xml:space="preserve">흔함</x:t>
        </x:is>
      </x:c>
      <x:c r="AA433" s="5" t="inlineStr">
        <x:is>
          <x:t xml:space="preserve">영체</x:t>
        </x:is>
      </x:c>
      <x:c r="AB433" s="5" t="inlineStr">
        <x:is>
          <x:t xml:space="preserve">특수</x:t>
        </x:is>
      </x:c>
      <x:c r="AC433" s="5" t="inlineStr">
        <x:is>
          <x:t xml:space="preserve">gen4</x:t>
        </x:is>
      </x:c>
      <x:c r="AD433" s="5" t="inlineStr">
        <x:is>
          <x:t xml:space="preserve">.tmp/cobblemon-1.7.3-source/common/src/main/resources/data/cobblemon/species/generation4/mismagius.json</x:t>
        </x:is>
      </x:c>
    </x:row>
    <x:row r="434" ht="22" customHeight="1">
      <x:c r="A434" s="5" t="n">
        <x:v>430</x:v>
      </x:c>
      <x:c r="B434" s="5" t="inlineStr">
        <x:is>
          <x:t xml:space="preserve">돈크로우</x:t>
        </x:is>
      </x:c>
      <x:c r="C434" s="5" t="inlineStr">
        <x:is>
          <x:t xml:space="preserve">honchkrow</x:t>
        </x:is>
      </x:c>
      <x:c r="D434" s="5" t="inlineStr">
        <x:is>
          <x:t xml:space="preserve">Honchkrow</x:t>
        </x:is>
      </x:c>
      <x:c r="E434" s="5" t="n">
        <x:v>4</x:v>
      </x:c>
      <x:c r="F434" s="5" t="inlineStr">
        <x:is>
          <x:t xml:space="preserve">악</x:t>
        </x:is>
      </x:c>
      <x:c r="G434" s="5" t="inlineStr">
        <x:is>
          <x:t xml:space="preserve">비행</x:t>
        </x:is>
      </x:c>
      <x:c r="H434" s="5" t="n">
        <x:v>0.9</x:v>
      </x:c>
      <x:c r="I434" s="5" t="n">
        <x:v>27.3</x:v>
      </x:c>
      <x:c r="J434" s="5" t="n">
        <x:v>505</x:v>
      </x:c>
      <x:c r="K434" s="5" t="n">
        <x:v>30</x:v>
      </x:c>
      <x:c r="L434" s="5" t="inlineStr">
        <x:is>
          <x:t xml:space="preserve">최종</x:t>
        </x:is>
      </x:c>
      <x:c r="M434" s="5" t="n"/>
      <x:c r="N434" s="5" t="inlineStr">
        <x:is>
          <x:t xml:space="preserve">특수</x:t>
        </x:is>
      </x:c>
      <x:c r="O434" s="5" t="inlineStr">
        <x:is>
          <x:t xml:space="preserve">예</x:t>
        </x:is>
      </x:c>
      <x:c r="P434" s="5" t="inlineStr">
        <x:is>
          <x:t xml:space="preserve">#cobblemon:is_sky; #cobblemon:is_spooky; #cobblemon:is_swamp; #cobblemon:is_taiga</x:t>
        </x:is>
      </x:c>
      <x:c r="Q434" s="5" t="inlineStr">
        <x:is>
          <x:t xml:space="preserve">common</x:t>
        </x:is>
      </x:c>
      <x:c r="R434" s="5" t="inlineStr">
        <x:is>
          <x:t xml:space="preserve">night</x:t>
        </x:is>
      </x:c>
      <x:c r="S434" s="5" t="inlineStr">
        <x:is>
          <x:t xml:space="preserve"/>
        </x:is>
      </x:c>
      <x:c r="T434" s="5" t="inlineStr">
        <x:is>
          <x:t xml:space="preserve">비행</x:t>
        </x:is>
      </x:c>
      <x:c r="U434" s="5" t="inlineStr">
        <x:is>
          <x:t xml:space="preserve">특수</x:t>
        </x:is>
      </x:c>
      <x:c r="V434" s="5" t="inlineStr">
        <x:is>
          <x:t xml:space="preserve">서늘</x:t>
        </x:is>
      </x:c>
      <x:c r="W434" s="5" t="inlineStr">
        <x:is>
          <x:t xml:space="preserve">보통</x:t>
        </x:is>
      </x:c>
      <x:c r="X434" s="5" t="inlineStr">
        <x:is>
          <x:t xml:space="preserve">무관</x:t>
        </x:is>
      </x:c>
      <x:c r="Y434" s="5" t="inlineStr">
        <x:is>
          <x:t xml:space="preserve">밤</x:t>
        </x:is>
      </x:c>
      <x:c r="Z434" s="5" t="inlineStr">
        <x:is>
          <x:t xml:space="preserve">흔함</x:t>
        </x:is>
      </x:c>
      <x:c r="AA434" s="5" t="inlineStr">
        <x:is>
          <x:t xml:space="preserve">영체</x:t>
        </x:is>
      </x:c>
      <x:c r="AB434" s="5" t="inlineStr">
        <x:is>
          <x:t xml:space="preserve">특수</x:t>
        </x:is>
      </x:c>
      <x:c r="AC434" s="5" t="inlineStr">
        <x:is>
          <x:t xml:space="preserve">gen4</x:t>
        </x:is>
      </x:c>
      <x:c r="AD434" s="5" t="inlineStr">
        <x:is>
          <x:t xml:space="preserve">.tmp/cobblemon-1.7.3-source/common/src/main/resources/data/cobblemon/species/generation4/honchkrow.json</x:t>
        </x:is>
      </x:c>
    </x:row>
    <x:row r="435" ht="22" customHeight="1">
      <x:c r="A435" s="5" t="n">
        <x:v>431</x:v>
      </x:c>
      <x:c r="B435" s="5" t="inlineStr">
        <x:is>
          <x:t xml:space="preserve">나옹마</x:t>
        </x:is>
      </x:c>
      <x:c r="C435" s="5" t="inlineStr">
        <x:is>
          <x:t xml:space="preserve">glameow</x:t>
        </x:is>
      </x:c>
      <x:c r="D435" s="5" t="inlineStr">
        <x:is>
          <x:t xml:space="preserve">Glameow</x:t>
        </x:is>
      </x:c>
      <x:c r="E435" s="5" t="n">
        <x:v>4</x:v>
      </x:c>
      <x:c r="F435" s="5" t="inlineStr">
        <x:is>
          <x:t xml:space="preserve">노말</x:t>
        </x:is>
      </x:c>
      <x:c r="G435" s="5" t="inlineStr">
        <x:is>
          <x:t xml:space="preserve"/>
        </x:is>
      </x:c>
      <x:c r="H435" s="5" t="n">
        <x:v>0.5</x:v>
      </x:c>
      <x:c r="I435" s="5" t="n">
        <x:v>3.9</x:v>
      </x:c>
      <x:c r="J435" s="5" t="n">
        <x:v>310</x:v>
      </x:c>
      <x:c r="K435" s="5" t="n">
        <x:v>190</x:v>
      </x:c>
      <x:c r="L435" s="5" t="inlineStr">
        <x:is>
          <x:t xml:space="preserve">기본</x:t>
        </x:is>
      </x:c>
      <x:c r="M435" s="5" t="n">
        <x:v>38</x:v>
      </x:c>
      <x:c r="N435" s="5" t="inlineStr">
        <x:is>
          <x:t xml:space="preserve">레벨</x:t>
        </x:is>
      </x:c>
      <x:c r="O435" s="5" t="inlineStr">
        <x:is>
          <x:t xml:space="preserve">예</x:t>
        </x:is>
      </x:c>
      <x:c r="P435" s="5" t="inlineStr">
        <x:is>
          <x:t xml:space="preserve">#cobblemon:is_arid; #cobblemon:is_freezing; #cobblemon:is_overworld; #cobblemon:is_plains</x:t>
        </x:is>
      </x:c>
      <x:c r="Q435" s="5" t="inlineStr">
        <x:is>
          <x:t xml:space="preserve">common</x:t>
        </x:is>
      </x:c>
      <x:c r="R435" s="5" t="inlineStr">
        <x:is>
          <x:t xml:space="preserve"/>
        </x:is>
      </x:c>
      <x:c r="S435" s="5" t="inlineStr">
        <x:is>
          <x:t xml:space="preserve">비=False</x:t>
        </x:is>
      </x:c>
      <x:c r="T435" s="5" t="inlineStr">
        <x:is>
          <x:t xml:space="preserve">육상</x:t>
        </x:is>
      </x:c>
      <x:c r="U435" s="5" t="inlineStr">
        <x:is>
          <x:t xml:space="preserve">건조</x:t>
        </x:is>
      </x:c>
      <x:c r="V435" s="5" t="inlineStr">
        <x:is>
          <x:t xml:space="preserve">고온</x:t>
        </x:is>
      </x:c>
      <x:c r="W435" s="5" t="inlineStr">
        <x:is>
          <x:t xml:space="preserve">건조</x:t>
        </x:is>
      </x:c>
      <x:c r="X435" s="5" t="inlineStr">
        <x:is>
          <x:t xml:space="preserve">맑음</x:t>
        </x:is>
      </x:c>
      <x:c r="Y435" s="5" t="inlineStr">
        <x:is>
          <x:t xml:space="preserve">무관</x:t>
        </x:is>
      </x:c>
      <x:c r="Z435" s="5" t="inlineStr">
        <x:is>
          <x:t xml:space="preserve">흔함</x:t>
        </x:is>
      </x:c>
      <x:c r="AA435" s="5" t="inlineStr">
        <x:is>
          <x:t xml:space="preserve">없음</x:t>
        </x:is>
      </x:c>
      <x:c r="AB435" s="5" t="inlineStr">
        <x:is>
          <x:t xml:space="preserve">건조지</x:t>
        </x:is>
      </x:c>
      <x:c r="AC435" s="5" t="inlineStr">
        <x:is>
          <x:t xml:space="preserve">gen4</x:t>
        </x:is>
      </x:c>
      <x:c r="AD435" s="5" t="inlineStr">
        <x:is>
          <x:t xml:space="preserve">.tmp/cobblemon-1.7.3-source/common/src/main/resources/data/cobblemon/species/generation4/glameow.json</x:t>
        </x:is>
      </x:c>
    </x:row>
    <x:row r="436" ht="22" customHeight="1">
      <x:c r="A436" s="5" t="n">
        <x:v>432</x:v>
      </x:c>
      <x:c r="B436" s="5" t="inlineStr">
        <x:is>
          <x:t xml:space="preserve">몬냥이</x:t>
        </x:is>
      </x:c>
      <x:c r="C436" s="5" t="inlineStr">
        <x:is>
          <x:t xml:space="preserve">purugly</x:t>
        </x:is>
      </x:c>
      <x:c r="D436" s="5" t="inlineStr">
        <x:is>
          <x:t xml:space="preserve">Purugly</x:t>
        </x:is>
      </x:c>
      <x:c r="E436" s="5" t="n">
        <x:v>4</x:v>
      </x:c>
      <x:c r="F436" s="5" t="inlineStr">
        <x:is>
          <x:t xml:space="preserve">노말</x:t>
        </x:is>
      </x:c>
      <x:c r="G436" s="5" t="inlineStr">
        <x:is>
          <x:t xml:space="preserve"/>
        </x:is>
      </x:c>
      <x:c r="H436" s="5" t="n">
        <x:v>1</x:v>
      </x:c>
      <x:c r="I436" s="5" t="n">
        <x:v>43.8</x:v>
      </x:c>
      <x:c r="J436" s="5" t="n">
        <x:v>452</x:v>
      </x:c>
      <x:c r="K436" s="5" t="n">
        <x:v>75</x:v>
      </x:c>
      <x:c r="L436" s="5" t="inlineStr">
        <x:is>
          <x:t xml:space="preserve">최종</x:t>
        </x:is>
      </x:c>
      <x:c r="M436" s="5" t="n">
        <x:v>38</x:v>
      </x:c>
      <x:c r="N436" s="5" t="inlineStr">
        <x:is>
          <x:t xml:space="preserve">레벨</x:t>
        </x:is>
      </x:c>
      <x:c r="O436" s="5" t="inlineStr">
        <x:is>
          <x:t xml:space="preserve">예</x:t>
        </x:is>
      </x:c>
      <x:c r="P436" s="5" t="inlineStr">
        <x:is>
          <x:t xml:space="preserve">#cobblemon:is_arid; #cobblemon:is_freezing; #cobblemon:is_overworld</x:t>
        </x:is>
      </x:c>
      <x:c r="Q436" s="5" t="inlineStr">
        <x:is>
          <x:t xml:space="preserve">common</x:t>
        </x:is>
      </x:c>
      <x:c r="R436" s="5" t="inlineStr">
        <x:is>
          <x:t xml:space="preserve"/>
        </x:is>
      </x:c>
      <x:c r="S436" s="5" t="inlineStr">
        <x:is>
          <x:t xml:space="preserve">비=False</x:t>
        </x:is>
      </x:c>
      <x:c r="T436" s="5" t="inlineStr">
        <x:is>
          <x:t xml:space="preserve">육상</x:t>
        </x:is>
      </x:c>
      <x:c r="U436" s="5" t="inlineStr">
        <x:is>
          <x:t xml:space="preserve">건조</x:t>
        </x:is>
      </x:c>
      <x:c r="V436" s="5" t="inlineStr">
        <x:is>
          <x:t xml:space="preserve">고온</x:t>
        </x:is>
      </x:c>
      <x:c r="W436" s="5" t="inlineStr">
        <x:is>
          <x:t xml:space="preserve">건조</x:t>
        </x:is>
      </x:c>
      <x:c r="X436" s="5" t="inlineStr">
        <x:is>
          <x:t xml:space="preserve">맑음</x:t>
        </x:is>
      </x:c>
      <x:c r="Y436" s="5" t="inlineStr">
        <x:is>
          <x:t xml:space="preserve">무관</x:t>
        </x:is>
      </x:c>
      <x:c r="Z436" s="5" t="inlineStr">
        <x:is>
          <x:t xml:space="preserve">흔함</x:t>
        </x:is>
      </x:c>
      <x:c r="AA436" s="5" t="inlineStr">
        <x:is>
          <x:t xml:space="preserve">없음</x:t>
        </x:is>
      </x:c>
      <x:c r="AB436" s="5" t="inlineStr">
        <x:is>
          <x:t xml:space="preserve">건조지</x:t>
        </x:is>
      </x:c>
      <x:c r="AC436" s="5" t="inlineStr">
        <x:is>
          <x:t xml:space="preserve">gen4</x:t>
        </x:is>
      </x:c>
      <x:c r="AD436" s="5" t="inlineStr">
        <x:is>
          <x:t xml:space="preserve">.tmp/cobblemon-1.7.3-source/common/src/main/resources/data/cobblemon/species/generation4/purugly.json</x:t>
        </x:is>
      </x:c>
    </x:row>
    <x:row r="437" ht="22" customHeight="1">
      <x:c r="A437" s="5" t="n">
        <x:v>433</x:v>
      </x:c>
      <x:c r="B437" s="5" t="inlineStr">
        <x:is>
          <x:t xml:space="preserve">랑딸랑</x:t>
        </x:is>
      </x:c>
      <x:c r="C437" s="5" t="inlineStr">
        <x:is>
          <x:t xml:space="preserve">chingling</x:t>
        </x:is>
      </x:c>
      <x:c r="D437" s="5" t="inlineStr">
        <x:is>
          <x:t xml:space="preserve">Chingling</x:t>
        </x:is>
      </x:c>
      <x:c r="E437" s="5" t="n">
        <x:v>4</x:v>
      </x:c>
      <x:c r="F437" s="5" t="inlineStr">
        <x:is>
          <x:t xml:space="preserve">에스퍼</x:t>
        </x:is>
      </x:c>
      <x:c r="G437" s="5" t="inlineStr">
        <x:is>
          <x:t xml:space="preserve"/>
        </x:is>
      </x:c>
      <x:c r="H437" s="5" t="n">
        <x:v>0.2</x:v>
      </x:c>
      <x:c r="I437" s="5" t="n">
        <x:v>0.6</x:v>
      </x:c>
      <x:c r="J437" s="5" t="n">
        <x:v>285</x:v>
      </x:c>
      <x:c r="K437" s="5" t="n">
        <x:v>120</x:v>
      </x:c>
      <x:c r="L437" s="5" t="inlineStr">
        <x:is>
          <x:t xml:space="preserve">기본</x:t>
        </x:is>
      </x:c>
      <x:c r="M437" s="5" t="n"/>
      <x:c r="N437" s="5" t="inlineStr">
        <x:is>
          <x:t xml:space="preserve">특수</x:t>
        </x:is>
      </x:c>
      <x:c r="O437" s="5" t="inlineStr">
        <x:is>
          <x:t xml:space="preserve">예</x:t>
        </x:is>
      </x:c>
      <x:c r="P437" s="5" t="inlineStr">
        <x:is>
          <x:t xml:space="preserve">#cobblemon:is_forest; #cobblemon:is_magical; #cobblemon:is_mountain; #cobblemon:is_overworld; #cobblemon:is_spooky; #cobblemon:is_taiga</x:t>
        </x:is>
      </x:c>
      <x:c r="Q437" s="5" t="inlineStr">
        <x:is>
          <x:t xml:space="preserve">uncommon</x:t>
        </x:is>
      </x:c>
      <x:c r="R437" s="5" t="inlineStr">
        <x:is>
          <x:t xml:space="preserve">night</x:t>
        </x:is>
      </x:c>
      <x:c r="S437" s="5" t="inlineStr">
        <x:is>
          <x:t xml:space="preserve"/>
        </x:is>
      </x:c>
      <x:c r="T437" s="5" t="inlineStr">
        <x:is>
          <x:t xml:space="preserve">비행</x:t>
        </x:is>
      </x:c>
      <x:c r="U437" s="5" t="inlineStr">
        <x:is>
          <x:t xml:space="preserve">수목</x:t>
        </x:is>
      </x:c>
      <x:c r="V437" s="5" t="inlineStr">
        <x:is>
          <x:t xml:space="preserve">서늘</x:t>
        </x:is>
      </x:c>
      <x:c r="W437" s="5" t="inlineStr">
        <x:is>
          <x:t xml:space="preserve">보통</x:t>
        </x:is>
      </x:c>
      <x:c r="X437" s="5" t="inlineStr">
        <x:is>
          <x:t xml:space="preserve">무관</x:t>
        </x:is>
      </x:c>
      <x:c r="Y437" s="5" t="inlineStr">
        <x:is>
          <x:t xml:space="preserve">밤</x:t>
        </x:is>
      </x:c>
      <x:c r="Z437" s="5" t="inlineStr">
        <x:is>
          <x:t xml:space="preserve">보통</x:t>
        </x:is>
      </x:c>
      <x:c r="AA437" s="5" t="inlineStr">
        <x:is>
          <x:t xml:space="preserve">영체</x:t>
        </x:is>
      </x:c>
      <x:c r="AB437" s="5" t="inlineStr">
        <x:is>
          <x:t xml:space="preserve">숲</x:t>
        </x:is>
      </x:c>
      <x:c r="AC437" s="5" t="inlineStr">
        <x:is>
          <x:t xml:space="preserve">baby; gen4</x:t>
        </x:is>
      </x:c>
      <x:c r="AD437" s="5" t="inlineStr">
        <x:is>
          <x:t xml:space="preserve">.tmp/cobblemon-1.7.3-source/common/src/main/resources/data/cobblemon/species/generation4/chingling.json</x:t>
        </x:is>
      </x:c>
    </x:row>
    <x:row r="438" ht="22" customHeight="1">
      <x:c r="A438" s="5" t="n">
        <x:v>434</x:v>
      </x:c>
      <x:c r="B438" s="5" t="inlineStr">
        <x:is>
          <x:t xml:space="preserve">스컹뿡</x:t>
        </x:is>
      </x:c>
      <x:c r="C438" s="5" t="inlineStr">
        <x:is>
          <x:t xml:space="preserve">stunky</x:t>
        </x:is>
      </x:c>
      <x:c r="D438" s="5" t="inlineStr">
        <x:is>
          <x:t xml:space="preserve">Stunky</x:t>
        </x:is>
      </x:c>
      <x:c r="E438" s="5" t="n">
        <x:v>4</x:v>
      </x:c>
      <x:c r="F438" s="5" t="inlineStr">
        <x:is>
          <x:t xml:space="preserve">독</x:t>
        </x:is>
      </x:c>
      <x:c r="G438" s="5" t="inlineStr">
        <x:is>
          <x:t xml:space="preserve">악</x:t>
        </x:is>
      </x:c>
      <x:c r="H438" s="5" t="n">
        <x:v>0.4</x:v>
      </x:c>
      <x:c r="I438" s="5" t="n">
        <x:v>19.2</x:v>
      </x:c>
      <x:c r="J438" s="5" t="n">
        <x:v>329</x:v>
      </x:c>
      <x:c r="K438" s="5" t="n">
        <x:v>225</x:v>
      </x:c>
      <x:c r="L438" s="5" t="inlineStr">
        <x:is>
          <x:t xml:space="preserve">기본</x:t>
        </x:is>
      </x:c>
      <x:c r="M438" s="5" t="n">
        <x:v>34</x:v>
      </x:c>
      <x:c r="N438" s="5" t="inlineStr">
        <x:is>
          <x:t xml:space="preserve">레벨</x:t>
        </x:is>
      </x:c>
      <x:c r="O438" s="5" t="inlineStr">
        <x:is>
          <x:t xml:space="preserve">아니오</x:t>
        </x:is>
      </x:c>
      <x:c r="P438" s="5" t="inlineStr">
        <x:is>
          <x:t xml:space="preserve">#cobblemon:is_swamp</x:t>
        </x:is>
      </x:c>
      <x:c r="Q438" s="5" t="inlineStr">
        <x:is>
          <x:t xml:space="preserve">common</x:t>
        </x:is>
      </x:c>
      <x:c r="R438" s="5" t="inlineStr">
        <x:is>
          <x:t xml:space="preserve"/>
        </x:is>
      </x:c>
      <x:c r="S438" s="5" t="inlineStr">
        <x:is>
          <x:t xml:space="preserve"/>
        </x:is>
      </x:c>
      <x:c r="T438" s="5" t="inlineStr">
        <x:is>
          <x:t xml:space="preserve">육상</x:t>
        </x:is>
      </x:c>
      <x:c r="U438" s="5" t="inlineStr">
        <x:is>
          <x:t xml:space="preserve">습지</x:t>
        </x:is>
      </x:c>
      <x:c r="V438" s="5" t="inlineStr">
        <x:is>
          <x:t xml:space="preserve">온대</x:t>
        </x:is>
      </x:c>
      <x:c r="W438" s="5" t="inlineStr">
        <x:is>
          <x:t xml:space="preserve">다습</x:t>
        </x:is>
      </x:c>
      <x:c r="X438" s="5" t="inlineStr">
        <x:is>
          <x:t xml:space="preserve">비</x:t>
        </x:is>
      </x:c>
      <x:c r="Y438" s="5" t="inlineStr">
        <x:is>
          <x:t xml:space="preserve">밤</x:t>
        </x:is>
      </x:c>
      <x:c r="Z438" s="5" t="inlineStr">
        <x:is>
          <x:t xml:space="preserve">흔함</x:t>
        </x:is>
      </x:c>
      <x:c r="AA438" s="5" t="inlineStr">
        <x:is>
          <x:t xml:space="preserve">없음</x:t>
        </x:is>
      </x:c>
      <x:c r="AB438" s="5" t="inlineStr">
        <x:is>
          <x:t xml:space="preserve">습지</x:t>
        </x:is>
      </x:c>
      <x:c r="AC438" s="5" t="inlineStr">
        <x:is>
          <x:t xml:space="preserve">gen4</x:t>
        </x:is>
      </x:c>
      <x:c r="AD438" s="5" t="inlineStr">
        <x:is>
          <x:t xml:space="preserve">.tmp/cobblemon-1.7.3-source/common/src/main/resources/data/cobblemon/species/generation4/stunky.json</x:t>
        </x:is>
      </x:c>
    </x:row>
    <x:row r="439" ht="22" customHeight="1">
      <x:c r="A439" s="5" t="n">
        <x:v>435</x:v>
      </x:c>
      <x:c r="B439" s="5" t="inlineStr">
        <x:is>
          <x:t xml:space="preserve">스컹탱크</x:t>
        </x:is>
      </x:c>
      <x:c r="C439" s="5" t="inlineStr">
        <x:is>
          <x:t xml:space="preserve">skuntank</x:t>
        </x:is>
      </x:c>
      <x:c r="D439" s="5" t="inlineStr">
        <x:is>
          <x:t xml:space="preserve">Skuntank</x:t>
        </x:is>
      </x:c>
      <x:c r="E439" s="5" t="n">
        <x:v>4</x:v>
      </x:c>
      <x:c r="F439" s="5" t="inlineStr">
        <x:is>
          <x:t xml:space="preserve">독</x:t>
        </x:is>
      </x:c>
      <x:c r="G439" s="5" t="inlineStr">
        <x:is>
          <x:t xml:space="preserve">악</x:t>
        </x:is>
      </x:c>
      <x:c r="H439" s="5" t="n">
        <x:v>1</x:v>
      </x:c>
      <x:c r="I439" s="5" t="n">
        <x:v>38</x:v>
      </x:c>
      <x:c r="J439" s="5" t="n">
        <x:v>479</x:v>
      </x:c>
      <x:c r="K439" s="5" t="n">
        <x:v>60</x:v>
      </x:c>
      <x:c r="L439" s="5" t="inlineStr">
        <x:is>
          <x:t xml:space="preserve">최종</x:t>
        </x:is>
      </x:c>
      <x:c r="M439" s="5" t="n">
        <x:v>34</x:v>
      </x:c>
      <x:c r="N439" s="5" t="inlineStr">
        <x:is>
          <x:t xml:space="preserve">레벨</x:t>
        </x:is>
      </x:c>
      <x:c r="O439" s="5" t="inlineStr">
        <x:is>
          <x:t xml:space="preserve">아니오</x:t>
        </x:is>
      </x:c>
      <x:c r="P439" s="5" t="inlineStr">
        <x:is>
          <x:t xml:space="preserve">#cobblemon:is_swamp</x:t>
        </x:is>
      </x:c>
      <x:c r="Q439" s="5" t="inlineStr">
        <x:is>
          <x:t xml:space="preserve">uncommon</x:t>
        </x:is>
      </x:c>
      <x:c r="R439" s="5" t="inlineStr">
        <x:is>
          <x:t xml:space="preserve"/>
        </x:is>
      </x:c>
      <x:c r="S439" s="5" t="inlineStr">
        <x:is>
          <x:t xml:space="preserve"/>
        </x:is>
      </x:c>
      <x:c r="T439" s="5" t="inlineStr">
        <x:is>
          <x:t xml:space="preserve">육상</x:t>
        </x:is>
      </x:c>
      <x:c r="U439" s="5" t="inlineStr">
        <x:is>
          <x:t xml:space="preserve">습지</x:t>
        </x:is>
      </x:c>
      <x:c r="V439" s="5" t="inlineStr">
        <x:is>
          <x:t xml:space="preserve">온대</x:t>
        </x:is>
      </x:c>
      <x:c r="W439" s="5" t="inlineStr">
        <x:is>
          <x:t xml:space="preserve">다습</x:t>
        </x:is>
      </x:c>
      <x:c r="X439" s="5" t="inlineStr">
        <x:is>
          <x:t xml:space="preserve">비</x:t>
        </x:is>
      </x:c>
      <x:c r="Y439" s="5" t="inlineStr">
        <x:is>
          <x:t xml:space="preserve">밤</x:t>
        </x:is>
      </x:c>
      <x:c r="Z439" s="5" t="inlineStr">
        <x:is>
          <x:t xml:space="preserve">보통</x:t>
        </x:is>
      </x:c>
      <x:c r="AA439" s="5" t="inlineStr">
        <x:is>
          <x:t xml:space="preserve">없음</x:t>
        </x:is>
      </x:c>
      <x:c r="AB439" s="5" t="inlineStr">
        <x:is>
          <x:t xml:space="preserve">습지</x:t>
        </x:is>
      </x:c>
      <x:c r="AC439" s="5" t="inlineStr">
        <x:is>
          <x:t xml:space="preserve">gen4</x:t>
        </x:is>
      </x:c>
      <x:c r="AD439" s="5" t="inlineStr">
        <x:is>
          <x:t xml:space="preserve">.tmp/cobblemon-1.7.3-source/common/src/main/resources/data/cobblemon/species/generation4/skuntank.json</x:t>
        </x:is>
      </x:c>
    </x:row>
    <x:row r="440" ht="22" customHeight="1">
      <x:c r="A440" s="5" t="n">
        <x:v>436</x:v>
      </x:c>
      <x:c r="B440" s="5" t="inlineStr">
        <x:is>
          <x:t xml:space="preserve">동미러</x:t>
        </x:is>
      </x:c>
      <x:c r="C440" s="5" t="inlineStr">
        <x:is>
          <x:t xml:space="preserve">bronzor</x:t>
        </x:is>
      </x:c>
      <x:c r="D440" s="5" t="inlineStr">
        <x:is>
          <x:t xml:space="preserve">Bronzor</x:t>
        </x:is>
      </x:c>
      <x:c r="E440" s="5" t="n">
        <x:v>4</x:v>
      </x:c>
      <x:c r="F440" s="5" t="inlineStr">
        <x:is>
          <x:t xml:space="preserve">강철</x:t>
        </x:is>
      </x:c>
      <x:c r="G440" s="5" t="inlineStr">
        <x:is>
          <x:t xml:space="preserve">에스퍼</x:t>
        </x:is>
      </x:c>
      <x:c r="H440" s="5" t="n">
        <x:v>0.5</x:v>
      </x:c>
      <x:c r="I440" s="5" t="n">
        <x:v>60.5</x:v>
      </x:c>
      <x:c r="J440" s="5" t="n">
        <x:v>300</x:v>
      </x:c>
      <x:c r="K440" s="5" t="n">
        <x:v>255</x:v>
      </x:c>
      <x:c r="L440" s="5" t="inlineStr">
        <x:is>
          <x:t xml:space="preserve">기본</x:t>
        </x:is>
      </x:c>
      <x:c r="M440" s="5" t="n">
        <x:v>33</x:v>
      </x:c>
      <x:c r="N440" s="5" t="inlineStr">
        <x:is>
          <x:t xml:space="preserve">레벨</x:t>
        </x:is>
      </x:c>
      <x:c r="O440" s="5" t="inlineStr">
        <x:is>
          <x:t xml:space="preserve">예</x:t>
        </x:is>
      </x:c>
      <x:c r="P440" s="5" t="inlineStr">
        <x:is>
          <x:t xml:space="preserve">#cobblemon:is_jungle; #cobblemon:is_overworld; #cobblemon:is_peak; the_bumblezone:howling_constructs</x:t>
        </x:is>
      </x:c>
      <x:c r="Q440" s="5" t="inlineStr">
        <x:is>
          <x:t xml:space="preserve">common; uncommon</x:t>
        </x:is>
      </x:c>
      <x:c r="R440" s="5" t="inlineStr">
        <x:is>
          <x:t xml:space="preserve"/>
        </x:is>
      </x:c>
      <x:c r="S440" s="5" t="inlineStr">
        <x:is>
          <x:t xml:space="preserve"/>
        </x:is>
      </x:c>
      <x:c r="T440" s="5" t="inlineStr">
        <x:is>
          <x:t xml:space="preserve">인공</x:t>
        </x:is>
      </x:c>
      <x:c r="U440" s="5" t="inlineStr">
        <x:is>
          <x:t xml:space="preserve">암석</x:t>
        </x:is>
      </x:c>
      <x:c r="V440" s="5" t="inlineStr">
        <x:is>
          <x:t xml:space="preserve">온대</x:t>
        </x:is>
      </x:c>
      <x:c r="W440" s="5" t="inlineStr">
        <x:is>
          <x:t xml:space="preserve">다습</x:t>
        </x:is>
      </x:c>
      <x:c r="X440" s="5" t="inlineStr">
        <x:is>
          <x:t xml:space="preserve">무관</x:t>
        </x:is>
      </x:c>
      <x:c r="Y440" s="5" t="inlineStr">
        <x:is>
          <x:t xml:space="preserve">무관</x:t>
        </x:is>
      </x:c>
      <x:c r="Z440" s="5" t="inlineStr">
        <x:is>
          <x:t xml:space="preserve">보통</x:t>
        </x:is>
      </x:c>
      <x:c r="AA440" s="5" t="inlineStr">
        <x:is>
          <x:t xml:space="preserve">도시</x:t>
        </x:is>
      </x:c>
      <x:c r="AB440" s="5" t="inlineStr">
        <x:is>
          <x:t xml:space="preserve">산악</x:t>
        </x:is>
      </x:c>
      <x:c r="AC440" s="5" t="inlineStr">
        <x:is>
          <x:t xml:space="preserve">gen4</x:t>
        </x:is>
      </x:c>
      <x:c r="AD440" s="5" t="inlineStr">
        <x:is>
          <x:t xml:space="preserve">.tmp/cobblemon-1.7.3-source/common/src/main/resources/data/cobblemon/species/generation4/bronzor.json</x:t>
        </x:is>
      </x:c>
    </x:row>
    <x:row r="441" ht="22" customHeight="1">
      <x:c r="A441" s="5" t="n">
        <x:v>437</x:v>
      </x:c>
      <x:c r="B441" s="5" t="inlineStr">
        <x:is>
          <x:t xml:space="preserve">동탁군</x:t>
        </x:is>
      </x:c>
      <x:c r="C441" s="5" t="inlineStr">
        <x:is>
          <x:t xml:space="preserve">bronzong</x:t>
        </x:is>
      </x:c>
      <x:c r="D441" s="5" t="inlineStr">
        <x:is>
          <x:t xml:space="preserve">Bronzong</x:t>
        </x:is>
      </x:c>
      <x:c r="E441" s="5" t="n">
        <x:v>4</x:v>
      </x:c>
      <x:c r="F441" s="5" t="inlineStr">
        <x:is>
          <x:t xml:space="preserve">강철</x:t>
        </x:is>
      </x:c>
      <x:c r="G441" s="5" t="inlineStr">
        <x:is>
          <x:t xml:space="preserve">에스퍼</x:t>
        </x:is>
      </x:c>
      <x:c r="H441" s="5" t="n">
        <x:v>1.3</x:v>
      </x:c>
      <x:c r="I441" s="5" t="n">
        <x:v>187</x:v>
      </x:c>
      <x:c r="J441" s="5" t="n">
        <x:v>500</x:v>
      </x:c>
      <x:c r="K441" s="5" t="n">
        <x:v>90</x:v>
      </x:c>
      <x:c r="L441" s="5" t="inlineStr">
        <x:is>
          <x:t xml:space="preserve">최종</x:t>
        </x:is>
      </x:c>
      <x:c r="M441" s="5" t="n">
        <x:v>33</x:v>
      </x:c>
      <x:c r="N441" s="5" t="inlineStr">
        <x:is>
          <x:t xml:space="preserve">레벨</x:t>
        </x:is>
      </x:c>
      <x:c r="O441" s="5" t="inlineStr">
        <x:is>
          <x:t xml:space="preserve">예</x:t>
        </x:is>
      </x:c>
      <x:c r="P441" s="5" t="inlineStr">
        <x:is>
          <x:t xml:space="preserve">#cobblemon:is_jungle; #cobblemon:is_overworld; #cobblemon:is_peak; the_bumblezone:howling_constructs</x:t>
        </x:is>
      </x:c>
      <x:c r="Q441" s="5" t="inlineStr">
        <x:is>
          <x:t xml:space="preserve">common; uncommon</x:t>
        </x:is>
      </x:c>
      <x:c r="R441" s="5" t="inlineStr">
        <x:is>
          <x:t xml:space="preserve"/>
        </x:is>
      </x:c>
      <x:c r="S441" s="5" t="inlineStr">
        <x:is>
          <x:t xml:space="preserve"/>
        </x:is>
      </x:c>
      <x:c r="T441" s="5" t="inlineStr">
        <x:is>
          <x:t xml:space="preserve">인공</x:t>
        </x:is>
      </x:c>
      <x:c r="U441" s="5" t="inlineStr">
        <x:is>
          <x:t xml:space="preserve">암석</x:t>
        </x:is>
      </x:c>
      <x:c r="V441" s="5" t="inlineStr">
        <x:is>
          <x:t xml:space="preserve">온대</x:t>
        </x:is>
      </x:c>
      <x:c r="W441" s="5" t="inlineStr">
        <x:is>
          <x:t xml:space="preserve">다습</x:t>
        </x:is>
      </x:c>
      <x:c r="X441" s="5" t="inlineStr">
        <x:is>
          <x:t xml:space="preserve">무관</x:t>
        </x:is>
      </x:c>
      <x:c r="Y441" s="5" t="inlineStr">
        <x:is>
          <x:t xml:space="preserve">무관</x:t>
        </x:is>
      </x:c>
      <x:c r="Z441" s="5" t="inlineStr">
        <x:is>
          <x:t xml:space="preserve">보통</x:t>
        </x:is>
      </x:c>
      <x:c r="AA441" s="5" t="inlineStr">
        <x:is>
          <x:t xml:space="preserve">도시</x:t>
        </x:is>
      </x:c>
      <x:c r="AB441" s="5" t="inlineStr">
        <x:is>
          <x:t xml:space="preserve">산악</x:t>
        </x:is>
      </x:c>
      <x:c r="AC441" s="5" t="inlineStr">
        <x:is>
          <x:t xml:space="preserve">gen4</x:t>
        </x:is>
      </x:c>
      <x:c r="AD441" s="5" t="inlineStr">
        <x:is>
          <x:t xml:space="preserve">.tmp/cobblemon-1.7.3-source/common/src/main/resources/data/cobblemon/species/generation4/bronzong.json</x:t>
        </x:is>
      </x:c>
    </x:row>
    <x:row r="442" ht="22" customHeight="1">
      <x:c r="A442" s="5" t="n">
        <x:v>438</x:v>
      </x:c>
      <x:c r="B442" s="5" t="inlineStr">
        <x:is>
          <x:t xml:space="preserve">꼬지지</x:t>
        </x:is>
      </x:c>
      <x:c r="C442" s="5" t="inlineStr">
        <x:is>
          <x:t xml:space="preserve">bonsly</x:t>
        </x:is>
      </x:c>
      <x:c r="D442" s="5" t="inlineStr">
        <x:is>
          <x:t xml:space="preserve">Bonsly</x:t>
        </x:is>
      </x:c>
      <x:c r="E442" s="5" t="n">
        <x:v>4</x:v>
      </x:c>
      <x:c r="F442" s="5" t="inlineStr">
        <x:is>
          <x:t xml:space="preserve">바위</x:t>
        </x:is>
      </x:c>
      <x:c r="G442" s="5" t="inlineStr">
        <x:is>
          <x:t xml:space="preserve"/>
        </x:is>
      </x:c>
      <x:c r="H442" s="5" t="n">
        <x:v>0.5</x:v>
      </x:c>
      <x:c r="I442" s="5" t="n">
        <x:v>15</x:v>
      </x:c>
      <x:c r="J442" s="5" t="n">
        <x:v>290</x:v>
      </x:c>
      <x:c r="K442" s="5" t="n">
        <x:v>255</x:v>
      </x:c>
      <x:c r="L442" s="5" t="inlineStr">
        <x:is>
          <x:t xml:space="preserve">기본</x:t>
        </x:is>
      </x:c>
      <x:c r="M442" s="5" t="n"/>
      <x:c r="N442" s="5" t="inlineStr">
        <x:is>
          <x:t xml:space="preserve">특수</x:t>
        </x:is>
      </x:c>
      <x:c r="O442" s="5" t="inlineStr">
        <x:is>
          <x:t xml:space="preserve">예</x:t>
        </x:is>
      </x:c>
      <x:c r="P442" s="5" t="inlineStr">
        <x:is>
          <x:t xml:space="preserve">#cobblemon:is_forest</x:t>
        </x:is>
      </x:c>
      <x:c r="Q442" s="5" t="inlineStr">
        <x:is>
          <x:t xml:space="preserve">uncommon</x:t>
        </x:is>
      </x:c>
      <x:c r="R442" s="5" t="inlineStr">
        <x:is>
          <x:t xml:space="preserve"/>
        </x:is>
      </x:c>
      <x:c r="S442" s="5" t="inlineStr">
        <x:is>
          <x:t xml:space="preserve">비=False</x:t>
        </x:is>
      </x:c>
      <x:c r="T442" s="5" t="inlineStr">
        <x:is>
          <x:t xml:space="preserve">육상</x:t>
        </x:is>
      </x:c>
      <x:c r="U442" s="5" t="inlineStr">
        <x:is>
          <x:t xml:space="preserve">수목</x:t>
        </x:is>
      </x:c>
      <x:c r="V442" s="5" t="inlineStr">
        <x:is>
          <x:t xml:space="preserve">온대</x:t>
        </x:is>
      </x:c>
      <x:c r="W442" s="5" t="inlineStr">
        <x:is>
          <x:t xml:space="preserve">보통</x:t>
        </x:is>
      </x:c>
      <x:c r="X442" s="5" t="inlineStr">
        <x:is>
          <x:t xml:space="preserve">무관</x:t>
        </x:is>
      </x:c>
      <x:c r="Y442" s="5" t="inlineStr">
        <x:is>
          <x:t xml:space="preserve">무관</x:t>
        </x:is>
      </x:c>
      <x:c r="Z442" s="5" t="inlineStr">
        <x:is>
          <x:t xml:space="preserve">보통</x:t>
        </x:is>
      </x:c>
      <x:c r="AA442" s="5" t="inlineStr">
        <x:is>
          <x:t xml:space="preserve">없음</x:t>
        </x:is>
      </x:c>
      <x:c r="AB442" s="5" t="inlineStr">
        <x:is>
          <x:t xml:space="preserve">숲</x:t>
        </x:is>
      </x:c>
      <x:c r="AC442" s="5" t="inlineStr">
        <x:is>
          <x:t xml:space="preserve">baby; gen4</x:t>
        </x:is>
      </x:c>
      <x:c r="AD442" s="5" t="inlineStr">
        <x:is>
          <x:t xml:space="preserve">.tmp/cobblemon-1.7.3-source/common/src/main/resources/data/cobblemon/species/generation4/bonsly.json</x:t>
        </x:is>
      </x:c>
    </x:row>
    <x:row r="443" ht="22" customHeight="1">
      <x:c r="A443" s="5" t="n">
        <x:v>439</x:v>
      </x:c>
      <x:c r="B443" s="5" t="inlineStr">
        <x:is>
          <x:t xml:space="preserve">흉내내</x:t>
        </x:is>
      </x:c>
      <x:c r="C443" s="5" t="inlineStr">
        <x:is>
          <x:t xml:space="preserve">mimejr</x:t>
        </x:is>
      </x:c>
      <x:c r="D443" s="5" t="inlineStr">
        <x:is>
          <x:t xml:space="preserve">Mime Jr.</x:t>
        </x:is>
      </x:c>
      <x:c r="E443" s="5" t="n">
        <x:v>4</x:v>
      </x:c>
      <x:c r="F443" s="5" t="inlineStr">
        <x:is>
          <x:t xml:space="preserve">에스퍼</x:t>
        </x:is>
      </x:c>
      <x:c r="G443" s="5" t="inlineStr">
        <x:is>
          <x:t xml:space="preserve">페어리</x:t>
        </x:is>
      </x:c>
      <x:c r="H443" s="5" t="n">
        <x:v>0.6</x:v>
      </x:c>
      <x:c r="I443" s="5" t="n">
        <x:v>13</x:v>
      </x:c>
      <x:c r="J443" s="5" t="n">
        <x:v>310</x:v>
      </x:c>
      <x:c r="K443" s="5" t="n">
        <x:v>145</x:v>
      </x:c>
      <x:c r="L443" s="5" t="inlineStr">
        <x:is>
          <x:t xml:space="preserve">기본</x:t>
        </x:is>
      </x:c>
      <x:c r="M443" s="5" t="n"/>
      <x:c r="N443" s="5" t="inlineStr">
        <x:is>
          <x:t xml:space="preserve">특수</x:t>
        </x:is>
      </x:c>
      <x:c r="O443" s="5" t="inlineStr">
        <x:is>
          <x:t xml:space="preserve">예</x:t>
        </x:is>
      </x:c>
      <x:c r="P443" s="5" t="inlineStr">
        <x:is>
          <x:t xml:space="preserve">#cobblemon:is_freezing; #cobblemon:is_overworld</x:t>
        </x:is>
      </x:c>
      <x:c r="Q443" s="5" t="inlineStr">
        <x:is>
          <x:t xml:space="preserve">common; uncommon</x:t>
        </x:is>
      </x:c>
      <x:c r="R443" s="5" t="inlineStr">
        <x:is>
          <x:t xml:space="preserve"/>
        </x:is>
      </x:c>
      <x:c r="S443" s="5" t="inlineStr">
        <x:is>
          <x:t xml:space="preserve"/>
        </x:is>
      </x:c>
      <x:c r="T443" s="5" t="inlineStr">
        <x:is>
          <x:t xml:space="preserve">육상</x:t>
        </x:is>
      </x:c>
      <x:c r="U443" s="5" t="inlineStr">
        <x:is>
          <x:t xml:space="preserve">개활지</x:t>
        </x:is>
      </x:c>
      <x:c r="V443" s="5" t="inlineStr">
        <x:is>
          <x:t xml:space="preserve">온대</x:t>
        </x:is>
      </x:c>
      <x:c r="W443" s="5" t="inlineStr">
        <x:is>
          <x:t xml:space="preserve">보통</x:t>
        </x:is>
      </x:c>
      <x:c r="X443" s="5" t="inlineStr">
        <x:is>
          <x:t xml:space="preserve">무관</x:t>
        </x:is>
      </x:c>
      <x:c r="Y443" s="5" t="inlineStr">
        <x:is>
          <x:t xml:space="preserve">무관</x:t>
        </x:is>
      </x:c>
      <x:c r="Z443" s="5" t="inlineStr">
        <x:is>
          <x:t xml:space="preserve">보통</x:t>
        </x:is>
      </x:c>
      <x:c r="AA443" s="5" t="inlineStr">
        <x:is>
          <x:t xml:space="preserve">없음</x:t>
        </x:is>
      </x:c>
      <x:c r="AB443" s="5" t="inlineStr">
        <x:is>
          <x:t xml:space="preserve"/>
        </x:is>
      </x:c>
      <x:c r="AC443" s="5" t="inlineStr">
        <x:is>
          <x:t xml:space="preserve">baby; gen4; sinnohan_form</x:t>
        </x:is>
      </x:c>
      <x:c r="AD443" s="5" t="inlineStr">
        <x:is>
          <x:t xml:space="preserve">.tmp/cobblemon-1.7.3-source/common/src/main/resources/data/cobblemon/species/generation4/mimejr.json</x:t>
        </x:is>
      </x:c>
    </x:row>
    <x:row r="444" ht="22" customHeight="1">
      <x:c r="A444" s="5" t="n">
        <x:v>440</x:v>
      </x:c>
      <x:c r="B444" s="5" t="inlineStr">
        <x:is>
          <x:t xml:space="preserve">핑복</x:t>
        </x:is>
      </x:c>
      <x:c r="C444" s="5" t="inlineStr">
        <x:is>
          <x:t xml:space="preserve">happiny</x:t>
        </x:is>
      </x:c>
      <x:c r="D444" s="5" t="inlineStr">
        <x:is>
          <x:t xml:space="preserve">Happiny</x:t>
        </x:is>
      </x:c>
      <x:c r="E444" s="5" t="n">
        <x:v>4</x:v>
      </x:c>
      <x:c r="F444" s="5" t="inlineStr">
        <x:is>
          <x:t xml:space="preserve">노말</x:t>
        </x:is>
      </x:c>
      <x:c r="G444" s="5" t="inlineStr">
        <x:is>
          <x:t xml:space="preserve"/>
        </x:is>
      </x:c>
      <x:c r="H444" s="5" t="n">
        <x:v>0.6</x:v>
      </x:c>
      <x:c r="I444" s="5" t="n">
        <x:v>24.4</x:v>
      </x:c>
      <x:c r="J444" s="5" t="n">
        <x:v>220</x:v>
      </x:c>
      <x:c r="K444" s="5" t="n">
        <x:v>130</x:v>
      </x:c>
      <x:c r="L444" s="5" t="inlineStr">
        <x:is>
          <x:t xml:space="preserve">기본</x:t>
        </x:is>
      </x:c>
      <x:c r="M444" s="5" t="n"/>
      <x:c r="N444" s="5" t="inlineStr">
        <x:is>
          <x:t xml:space="preserve">특수</x:t>
        </x:is>
      </x:c>
      <x:c r="O444" s="5" t="inlineStr">
        <x:is>
          <x:t xml:space="preserve">예</x:t>
        </x:is>
      </x:c>
      <x:c r="P444" s="5" t="inlineStr">
        <x:is>
          <x:t xml:space="preserve">#aether:is_aether; #cobblemon:is_overworld</x:t>
        </x:is>
      </x:c>
      <x:c r="Q444" s="5" t="inlineStr">
        <x:is>
          <x:t xml:space="preserve">rare</x:t>
        </x:is>
      </x:c>
      <x:c r="R444" s="5" t="inlineStr">
        <x:is>
          <x:t xml:space="preserve"/>
        </x:is>
      </x:c>
      <x:c r="S444" s="5" t="inlineStr">
        <x:is>
          <x:t xml:space="preserve"/>
        </x:is>
      </x:c>
      <x:c r="T444" s="5" t="inlineStr">
        <x:is>
          <x:t xml:space="preserve">육상</x:t>
        </x:is>
      </x:c>
      <x:c r="U444" s="5" t="inlineStr">
        <x:is>
          <x:t xml:space="preserve">개활지</x:t>
        </x:is>
      </x:c>
      <x:c r="V444" s="5" t="inlineStr">
        <x:is>
          <x:t xml:space="preserve">온대</x:t>
        </x:is>
      </x:c>
      <x:c r="W444" s="5" t="inlineStr">
        <x:is>
          <x:t xml:space="preserve">보통</x:t>
        </x:is>
      </x:c>
      <x:c r="X444" s="5" t="inlineStr">
        <x:is>
          <x:t xml:space="preserve">무관</x:t>
        </x:is>
      </x:c>
      <x:c r="Y444" s="5" t="inlineStr">
        <x:is>
          <x:t xml:space="preserve">무관</x:t>
        </x:is>
      </x:c>
      <x:c r="Z444" s="5" t="inlineStr">
        <x:is>
          <x:t xml:space="preserve">드묾</x:t>
        </x:is>
      </x:c>
      <x:c r="AA444" s="5" t="inlineStr">
        <x:is>
          <x:t xml:space="preserve">없음</x:t>
        </x:is>
      </x:c>
      <x:c r="AB444" s="5" t="inlineStr">
        <x:is>
          <x:t xml:space="preserve"/>
        </x:is>
      </x:c>
      <x:c r="AC444" s="5" t="inlineStr">
        <x:is>
          <x:t xml:space="preserve">baby; gen4</x:t>
        </x:is>
      </x:c>
      <x:c r="AD444" s="5" t="inlineStr">
        <x:is>
          <x:t xml:space="preserve">.tmp/cobblemon-1.7.3-source/common/src/main/resources/data/cobblemon/species/generation4/happiny.json</x:t>
        </x:is>
      </x:c>
    </x:row>
    <x:row r="445" ht="22" customHeight="1">
      <x:c r="A445" s="5" t="n">
        <x:v>441</x:v>
      </x:c>
      <x:c r="B445" s="5" t="inlineStr">
        <x:is>
          <x:t xml:space="preserve">페라페</x:t>
        </x:is>
      </x:c>
      <x:c r="C445" s="5" t="inlineStr">
        <x:is>
          <x:t xml:space="preserve">chatot</x:t>
        </x:is>
      </x:c>
      <x:c r="D445" s="5" t="inlineStr">
        <x:is>
          <x:t xml:space="preserve">Chatot</x:t>
        </x:is>
      </x:c>
      <x:c r="E445" s="5" t="n">
        <x:v>4</x:v>
      </x:c>
      <x:c r="F445" s="5" t="inlineStr">
        <x:is>
          <x:t xml:space="preserve">노말</x:t>
        </x:is>
      </x:c>
      <x:c r="G445" s="5" t="inlineStr">
        <x:is>
          <x:t xml:space="preserve">비행</x:t>
        </x:is>
      </x:c>
      <x:c r="H445" s="5" t="n">
        <x:v>0.5</x:v>
      </x:c>
      <x:c r="I445" s="5" t="n">
        <x:v>1.9</x:v>
      </x:c>
      <x:c r="J445" s="5" t="n">
        <x:v>411</x:v>
      </x:c>
      <x:c r="K445" s="5" t="n">
        <x:v>30</x:v>
      </x:c>
      <x:c r="L445" s="5" t="inlineStr">
        <x:is>
          <x:t xml:space="preserve">무진화</x:t>
        </x:is>
      </x:c>
      <x:c r="M445" s="5" t="n"/>
      <x:c r="N445" s="5" t="inlineStr">
        <x:is>
          <x:t xml:space="preserve">없음</x:t>
        </x:is>
      </x:c>
      <x:c r="O445" s="5" t="inlineStr">
        <x:is>
          <x:t xml:space="preserve">예</x:t>
        </x:is>
      </x:c>
      <x:c r="P445" s="5" t="inlineStr">
        <x:is>
          <x:t xml:space="preserve">#cobblemon:is_jungle; #cobblemon:is_overworld; #cobblemon:is_sky; #cobblemon:is_tropical_island; aether:skyroot_forest; aether:skyroot_woodland</x:t>
        </x:is>
      </x:c>
      <x:c r="Q445" s="5" t="inlineStr">
        <x:is>
          <x:t xml:space="preserve">common; uncommon</x:t>
        </x:is>
      </x:c>
      <x:c r="R445" s="5" t="inlineStr">
        <x:is>
          <x:t xml:space="preserve">day</x:t>
        </x:is>
      </x:c>
      <x:c r="S445" s="5" t="inlineStr">
        <x:is>
          <x:t xml:space="preserve"/>
        </x:is>
      </x:c>
      <x:c r="T445" s="5" t="inlineStr">
        <x:is>
          <x:t xml:space="preserve">비행</x:t>
        </x:is>
      </x:c>
      <x:c r="U445" s="5" t="inlineStr">
        <x:is>
          <x:t xml:space="preserve">수목</x:t>
        </x:is>
      </x:c>
      <x:c r="V445" s="5" t="inlineStr">
        <x:is>
          <x:t xml:space="preserve">온대</x:t>
        </x:is>
      </x:c>
      <x:c r="W445" s="5" t="inlineStr">
        <x:is>
          <x:t xml:space="preserve">다습</x:t>
        </x:is>
      </x:c>
      <x:c r="X445" s="5" t="inlineStr">
        <x:is>
          <x:t xml:space="preserve">무관</x:t>
        </x:is>
      </x:c>
      <x:c r="Y445" s="5" t="inlineStr">
        <x:is>
          <x:t xml:space="preserve">낮</x:t>
        </x:is>
      </x:c>
      <x:c r="Z445" s="5" t="inlineStr">
        <x:is>
          <x:t xml:space="preserve">보통</x:t>
        </x:is>
      </x:c>
      <x:c r="AA445" s="5" t="inlineStr">
        <x:is>
          <x:t xml:space="preserve">없음</x:t>
        </x:is>
      </x:c>
      <x:c r="AB445" s="5" t="inlineStr">
        <x:is>
          <x:t xml:space="preserve">숲</x:t>
        </x:is>
      </x:c>
      <x:c r="AC445" s="5" t="inlineStr">
        <x:is>
          <x:t xml:space="preserve">gen4</x:t>
        </x:is>
      </x:c>
      <x:c r="AD445" s="5" t="inlineStr">
        <x:is>
          <x:t xml:space="preserve">.tmp/cobblemon-1.7.3-source/common/src/main/resources/data/cobblemon/species/generation4/chatot.json</x:t>
        </x:is>
      </x:c>
    </x:row>
    <x:row r="446" ht="22" customHeight="1">
      <x:c r="A446" s="5" t="n">
        <x:v>442</x:v>
      </x:c>
      <x:c r="B446" s="5" t="inlineStr">
        <x:is>
          <x:t xml:space="preserve">화강돌</x:t>
        </x:is>
      </x:c>
      <x:c r="C446" s="5" t="inlineStr">
        <x:is>
          <x:t xml:space="preserve">spiritomb</x:t>
        </x:is>
      </x:c>
      <x:c r="D446" s="5" t="inlineStr">
        <x:is>
          <x:t xml:space="preserve">Spiritomb</x:t>
        </x:is>
      </x:c>
      <x:c r="E446" s="5" t="n">
        <x:v>4</x:v>
      </x:c>
      <x:c r="F446" s="5" t="inlineStr">
        <x:is>
          <x:t xml:space="preserve">고스트</x:t>
        </x:is>
      </x:c>
      <x:c r="G446" s="5" t="inlineStr">
        <x:is>
          <x:t xml:space="preserve">악</x:t>
        </x:is>
      </x:c>
      <x:c r="H446" s="5" t="n">
        <x:v>1</x:v>
      </x:c>
      <x:c r="I446" s="5" t="n">
        <x:v>108</x:v>
      </x:c>
      <x:c r="J446" s="5" t="n">
        <x:v>485</x:v>
      </x:c>
      <x:c r="K446" s="5" t="n">
        <x:v>100</x:v>
      </x:c>
      <x:c r="L446" s="5" t="inlineStr">
        <x:is>
          <x:t xml:space="preserve">무진화</x:t>
        </x:is>
      </x:c>
      <x:c r="M446" s="5" t="n"/>
      <x:c r="N446" s="5" t="inlineStr">
        <x:is>
          <x:t xml:space="preserve">없음</x:t>
        </x:is>
      </x:c>
      <x:c r="O446" s="5" t="inlineStr">
        <x:is>
          <x:t xml:space="preserve">예</x:t>
        </x:is>
      </x:c>
      <x:c r="P446" s="5" t="inlineStr">
        <x:is>
          <x:t xml:space="preserve">#cobblemon:is_deep_dark; #cobblemon:is_desert; #cobblemon:is_jungle; #cobblemon:is_overworld; the_bumblezone:howling_constructs</x:t>
        </x:is>
      </x:c>
      <x:c r="Q446" s="5" t="inlineStr">
        <x:is>
          <x:t xml:space="preserve">rare; uncommon</x:t>
        </x:is>
      </x:c>
      <x:c r="R446" s="5" t="inlineStr">
        <x:is>
          <x:t xml:space="preserve"/>
        </x:is>
      </x:c>
      <x:c r="S446" s="5" t="inlineStr">
        <x:is>
          <x:t xml:space="preserve"/>
        </x:is>
      </x:c>
      <x:c r="T446" s="5" t="inlineStr">
        <x:is>
          <x:t xml:space="preserve">지하</x:t>
        </x:is>
      </x:c>
      <x:c r="U446" s="5" t="inlineStr">
        <x:is>
          <x:t xml:space="preserve">동굴</x:t>
        </x:is>
      </x:c>
      <x:c r="V446" s="5" t="inlineStr">
        <x:is>
          <x:t xml:space="preserve">온대</x:t>
        </x:is>
      </x:c>
      <x:c r="W446" s="5" t="inlineStr">
        <x:is>
          <x:t xml:space="preserve">다습</x:t>
        </x:is>
      </x:c>
      <x:c r="X446" s="5" t="inlineStr">
        <x:is>
          <x:t xml:space="preserve">안개</x:t>
        </x:is>
      </x:c>
      <x:c r="Y446" s="5" t="inlineStr">
        <x:is>
          <x:t xml:space="preserve">밤</x:t>
        </x:is>
      </x:c>
      <x:c r="Z446" s="5" t="inlineStr">
        <x:is>
          <x:t xml:space="preserve">보통</x:t>
        </x:is>
      </x:c>
      <x:c r="AA446" s="5" t="inlineStr">
        <x:is>
          <x:t xml:space="preserve">영체</x:t>
        </x:is>
      </x:c>
      <x:c r="AB446" s="5" t="inlineStr">
        <x:is>
          <x:t xml:space="preserve">동굴</x:t>
        </x:is>
      </x:c>
      <x:c r="AC446" s="5" t="inlineStr">
        <x:is>
          <x:t xml:space="preserve">gen4</x:t>
        </x:is>
      </x:c>
      <x:c r="AD446" s="5" t="inlineStr">
        <x:is>
          <x:t xml:space="preserve">.tmp/cobblemon-1.7.3-source/common/src/main/resources/data/cobblemon/species/generation4/spiritomb.json</x:t>
        </x:is>
      </x:c>
    </x:row>
    <x:row r="447" ht="22" customHeight="1">
      <x:c r="A447" s="5" t="n">
        <x:v>443</x:v>
      </x:c>
      <x:c r="B447" s="5" t="inlineStr">
        <x:is>
          <x:t xml:space="preserve">딥상어동</x:t>
        </x:is>
      </x:c>
      <x:c r="C447" s="5" t="inlineStr">
        <x:is>
          <x:t xml:space="preserve">gible</x:t>
        </x:is>
      </x:c>
      <x:c r="D447" s="5" t="inlineStr">
        <x:is>
          <x:t xml:space="preserve">Gible</x:t>
        </x:is>
      </x:c>
      <x:c r="E447" s="5" t="n">
        <x:v>4</x:v>
      </x:c>
      <x:c r="F447" s="5" t="inlineStr">
        <x:is>
          <x:t xml:space="preserve">드래곤</x:t>
        </x:is>
      </x:c>
      <x:c r="G447" s="5" t="inlineStr">
        <x:is>
          <x:t xml:space="preserve">땅</x:t>
        </x:is>
      </x:c>
      <x:c r="H447" s="5" t="n">
        <x:v>0.7</x:v>
      </x:c>
      <x:c r="I447" s="5" t="n">
        <x:v>20.5</x:v>
      </x:c>
      <x:c r="J447" s="5" t="n">
        <x:v>300</x:v>
      </x:c>
      <x:c r="K447" s="5" t="n">
        <x:v>45</x:v>
      </x:c>
      <x:c r="L447" s="5" t="inlineStr">
        <x:is>
          <x:t xml:space="preserve">기본</x:t>
        </x:is>
      </x:c>
      <x:c r="M447" s="5" t="n">
        <x:v>48</x:v>
      </x:c>
      <x:c r="N447" s="5" t="inlineStr">
        <x:is>
          <x:t xml:space="preserve">레벨</x:t>
        </x:is>
      </x:c>
      <x:c r="O447" s="5" t="inlineStr">
        <x:is>
          <x:t xml:space="preserve">예</x:t>
        </x:is>
      </x:c>
      <x:c r="P447" s="5" t="inlineStr">
        <x:is>
          <x:t xml:space="preserve">#aether:is_aether; #cobblemon:is_badlands; #cobblemon:is_mountain; #cobblemon:is_overworld; #cobblemon:is_thermal</x:t>
        </x:is>
      </x:c>
      <x:c r="Q447" s="5" t="inlineStr">
        <x:is>
          <x:t xml:space="preserve">rare; ultra-rare</x:t>
        </x:is>
      </x:c>
      <x:c r="R447" s="5" t="inlineStr">
        <x:is>
          <x:t xml:space="preserve"/>
        </x:is>
      </x:c>
      <x:c r="S447" s="5" t="inlineStr">
        <x:is>
          <x:t xml:space="preserve"/>
        </x:is>
      </x:c>
      <x:c r="T447" s="5" t="inlineStr">
        <x:is>
          <x:t xml:space="preserve">육상</x:t>
        </x:is>
      </x:c>
      <x:c r="U447" s="5" t="inlineStr">
        <x:is>
          <x:t xml:space="preserve">암석</x:t>
        </x:is>
      </x:c>
      <x:c r="V447" s="5" t="inlineStr">
        <x:is>
          <x:t xml:space="preserve">온대</x:t>
        </x:is>
      </x:c>
      <x:c r="W447" s="5" t="inlineStr">
        <x:is>
          <x:t xml:space="preserve">보통</x:t>
        </x:is>
      </x:c>
      <x:c r="X447" s="5" t="inlineStr">
        <x:is>
          <x:t xml:space="preserve">무관</x:t>
        </x:is>
      </x:c>
      <x:c r="Y447" s="5" t="inlineStr">
        <x:is>
          <x:t xml:space="preserve">무관</x:t>
        </x:is>
      </x:c>
      <x:c r="Z447" s="5" t="inlineStr">
        <x:is>
          <x:t xml:space="preserve">희귀</x:t>
        </x:is>
      </x:c>
      <x:c r="AA447" s="5" t="inlineStr">
        <x:is>
          <x:t xml:space="preserve">없음</x:t>
        </x:is>
      </x:c>
      <x:c r="AB447" s="5" t="inlineStr">
        <x:is>
          <x:t xml:space="preserve">산악</x:t>
        </x:is>
      </x:c>
      <x:c r="AC447" s="5" t="inlineStr">
        <x:is>
          <x:t xml:space="preserve">gen4</x:t>
        </x:is>
      </x:c>
      <x:c r="AD447" s="5" t="inlineStr">
        <x:is>
          <x:t xml:space="preserve">.tmp/cobblemon-1.7.3-source/common/src/main/resources/data/cobblemon/species/generation4/gible.json</x:t>
        </x:is>
      </x:c>
    </x:row>
    <x:row r="448" ht="22" customHeight="1">
      <x:c r="A448" s="5" t="n">
        <x:v>444</x:v>
      </x:c>
      <x:c r="B448" s="5" t="inlineStr">
        <x:is>
          <x:t xml:space="preserve">한바이트</x:t>
        </x:is>
      </x:c>
      <x:c r="C448" s="5" t="inlineStr">
        <x:is>
          <x:t xml:space="preserve">gabite</x:t>
        </x:is>
      </x:c>
      <x:c r="D448" s="5" t="inlineStr">
        <x:is>
          <x:t xml:space="preserve">Gabite</x:t>
        </x:is>
      </x:c>
      <x:c r="E448" s="5" t="n">
        <x:v>4</x:v>
      </x:c>
      <x:c r="F448" s="5" t="inlineStr">
        <x:is>
          <x:t xml:space="preserve">드래곤</x:t>
        </x:is>
      </x:c>
      <x:c r="G448" s="5" t="inlineStr">
        <x:is>
          <x:t xml:space="preserve">땅</x:t>
        </x:is>
      </x:c>
      <x:c r="H448" s="5" t="n">
        <x:v>1.4</x:v>
      </x:c>
      <x:c r="I448" s="5" t="n">
        <x:v>56</x:v>
      </x:c>
      <x:c r="J448" s="5" t="n">
        <x:v>410</x:v>
      </x:c>
      <x:c r="K448" s="5" t="n">
        <x:v>45</x:v>
      </x:c>
      <x:c r="L448" s="5" t="inlineStr">
        <x:is>
          <x:t xml:space="preserve">중간</x:t>
        </x:is>
      </x:c>
      <x:c r="M448" s="5" t="n">
        <x:v>48</x:v>
      </x:c>
      <x:c r="N448" s="5" t="inlineStr">
        <x:is>
          <x:t xml:space="preserve">레벨</x:t>
        </x:is>
      </x:c>
      <x:c r="O448" s="5" t="inlineStr">
        <x:is>
          <x:t xml:space="preserve">예</x:t>
        </x:is>
      </x:c>
      <x:c r="P448" s="5" t="inlineStr">
        <x:is>
          <x:t xml:space="preserve">#aether:is_aether; #cobblemon:is_badlands; #cobblemon:is_mountain; #cobblemon:is_overworld; #cobblemon:is_thermal</x:t>
        </x:is>
      </x:c>
      <x:c r="Q448" s="5" t="inlineStr">
        <x:is>
          <x:t xml:space="preserve">rare; ultra-rare</x:t>
        </x:is>
      </x:c>
      <x:c r="R448" s="5" t="inlineStr">
        <x:is>
          <x:t xml:space="preserve"/>
        </x:is>
      </x:c>
      <x:c r="S448" s="5" t="inlineStr">
        <x:is>
          <x:t xml:space="preserve"/>
        </x:is>
      </x:c>
      <x:c r="T448" s="5" t="inlineStr">
        <x:is>
          <x:t xml:space="preserve">육상</x:t>
        </x:is>
      </x:c>
      <x:c r="U448" s="5" t="inlineStr">
        <x:is>
          <x:t xml:space="preserve">암석</x:t>
        </x:is>
      </x:c>
      <x:c r="V448" s="5" t="inlineStr">
        <x:is>
          <x:t xml:space="preserve">온대</x:t>
        </x:is>
      </x:c>
      <x:c r="W448" s="5" t="inlineStr">
        <x:is>
          <x:t xml:space="preserve">보통</x:t>
        </x:is>
      </x:c>
      <x:c r="X448" s="5" t="inlineStr">
        <x:is>
          <x:t xml:space="preserve">무관</x:t>
        </x:is>
      </x:c>
      <x:c r="Y448" s="5" t="inlineStr">
        <x:is>
          <x:t xml:space="preserve">무관</x:t>
        </x:is>
      </x:c>
      <x:c r="Z448" s="5" t="inlineStr">
        <x:is>
          <x:t xml:space="preserve">희귀</x:t>
        </x:is>
      </x:c>
      <x:c r="AA448" s="5" t="inlineStr">
        <x:is>
          <x:t xml:space="preserve">없음</x:t>
        </x:is>
      </x:c>
      <x:c r="AB448" s="5" t="inlineStr">
        <x:is>
          <x:t xml:space="preserve">산악</x:t>
        </x:is>
      </x:c>
      <x:c r="AC448" s="5" t="inlineStr">
        <x:is>
          <x:t xml:space="preserve">gen4</x:t>
        </x:is>
      </x:c>
      <x:c r="AD448" s="5" t="inlineStr">
        <x:is>
          <x:t xml:space="preserve">.tmp/cobblemon-1.7.3-source/common/src/main/resources/data/cobblemon/species/generation4/gabite.json</x:t>
        </x:is>
      </x:c>
    </x:row>
    <x:row r="449" ht="22" customHeight="1">
      <x:c r="A449" s="5" t="n">
        <x:v>445</x:v>
      </x:c>
      <x:c r="B449" s="5" t="inlineStr">
        <x:is>
          <x:t xml:space="preserve">한카리아스</x:t>
        </x:is>
      </x:c>
      <x:c r="C449" s="5" t="inlineStr">
        <x:is>
          <x:t xml:space="preserve">garchomp</x:t>
        </x:is>
      </x:c>
      <x:c r="D449" s="5" t="inlineStr">
        <x:is>
          <x:t xml:space="preserve">Garchomp</x:t>
        </x:is>
      </x:c>
      <x:c r="E449" s="5" t="n">
        <x:v>4</x:v>
      </x:c>
      <x:c r="F449" s="5" t="inlineStr">
        <x:is>
          <x:t xml:space="preserve">드래곤</x:t>
        </x:is>
      </x:c>
      <x:c r="G449" s="5" t="inlineStr">
        <x:is>
          <x:t xml:space="preserve">땅</x:t>
        </x:is>
      </x:c>
      <x:c r="H449" s="5" t="n">
        <x:v>1.9</x:v>
      </x:c>
      <x:c r="I449" s="5" t="n">
        <x:v>95</x:v>
      </x:c>
      <x:c r="J449" s="5" t="n">
        <x:v>600</x:v>
      </x:c>
      <x:c r="K449" s="5" t="n">
        <x:v>45</x:v>
      </x:c>
      <x:c r="L449" s="5" t="inlineStr">
        <x:is>
          <x:t xml:space="preserve">최종</x:t>
        </x:is>
      </x:c>
      <x:c r="M449" s="5" t="n">
        <x:v>48</x:v>
      </x:c>
      <x:c r="N449" s="5" t="inlineStr">
        <x:is>
          <x:t xml:space="preserve">레벨</x:t>
        </x:is>
      </x:c>
      <x:c r="O449" s="5" t="inlineStr">
        <x:is>
          <x:t xml:space="preserve">예</x:t>
        </x:is>
      </x:c>
      <x:c r="P449" s="5" t="inlineStr">
        <x:is>
          <x:t xml:space="preserve">#aether:is_aether; #cobblemon:is_badlands; #cobblemon:is_mountain; #cobblemon:is_overworld; #cobblemon:is_thermal</x:t>
        </x:is>
      </x:c>
      <x:c r="Q449" s="5" t="inlineStr">
        <x:is>
          <x:t xml:space="preserve">rare; ultra-rare</x:t>
        </x:is>
      </x:c>
      <x:c r="R449" s="5" t="inlineStr">
        <x:is>
          <x:t xml:space="preserve"/>
        </x:is>
      </x:c>
      <x:c r="S449" s="5" t="inlineStr">
        <x:is>
          <x:t xml:space="preserve"/>
        </x:is>
      </x:c>
      <x:c r="T449" s="5" t="inlineStr">
        <x:is>
          <x:t xml:space="preserve">비행</x:t>
        </x:is>
      </x:c>
      <x:c r="U449" s="5" t="inlineStr">
        <x:is>
          <x:t xml:space="preserve">암석</x:t>
        </x:is>
      </x:c>
      <x:c r="V449" s="5" t="inlineStr">
        <x:is>
          <x:t xml:space="preserve">온대</x:t>
        </x:is>
      </x:c>
      <x:c r="W449" s="5" t="inlineStr">
        <x:is>
          <x:t xml:space="preserve">보통</x:t>
        </x:is>
      </x:c>
      <x:c r="X449" s="5" t="inlineStr">
        <x:is>
          <x:t xml:space="preserve">무관</x:t>
        </x:is>
      </x:c>
      <x:c r="Y449" s="5" t="inlineStr">
        <x:is>
          <x:t xml:space="preserve">무관</x:t>
        </x:is>
      </x:c>
      <x:c r="Z449" s="5" t="inlineStr">
        <x:is>
          <x:t xml:space="preserve">희귀</x:t>
        </x:is>
      </x:c>
      <x:c r="AA449" s="5" t="inlineStr">
        <x:is>
          <x:t xml:space="preserve">없음</x:t>
        </x:is>
      </x:c>
      <x:c r="AB449" s="5" t="inlineStr">
        <x:is>
          <x:t xml:space="preserve">산악</x:t>
        </x:is>
      </x:c>
      <x:c r="AC449" s="5" t="inlineStr">
        <x:is>
          <x:t xml:space="preserve">gen4; powerhouse</x:t>
        </x:is>
      </x:c>
      <x:c r="AD449" s="5" t="inlineStr">
        <x:is>
          <x:t xml:space="preserve">.tmp/cobblemon-1.7.3-source/common/src/main/resources/data/cobblemon/species/generation4/garchomp.json</x:t>
        </x:is>
      </x:c>
    </x:row>
    <x:row r="450" ht="22" customHeight="1">
      <x:c r="A450" s="5" t="n">
        <x:v>446</x:v>
      </x:c>
      <x:c r="B450" s="5" t="inlineStr">
        <x:is>
          <x:t xml:space="preserve">먹고자</x:t>
        </x:is>
      </x:c>
      <x:c r="C450" s="5" t="inlineStr">
        <x:is>
          <x:t xml:space="preserve">munchlax</x:t>
        </x:is>
      </x:c>
      <x:c r="D450" s="5" t="inlineStr">
        <x:is>
          <x:t xml:space="preserve">Munchlax</x:t>
        </x:is>
      </x:c>
      <x:c r="E450" s="5" t="n">
        <x:v>4</x:v>
      </x:c>
      <x:c r="F450" s="5" t="inlineStr">
        <x:is>
          <x:t xml:space="preserve">노말</x:t>
        </x:is>
      </x:c>
      <x:c r="G450" s="5" t="inlineStr">
        <x:is>
          <x:t xml:space="preserve"/>
        </x:is>
      </x:c>
      <x:c r="H450" s="5" t="n">
        <x:v>0.6</x:v>
      </x:c>
      <x:c r="I450" s="5" t="n">
        <x:v>105</x:v>
      </x:c>
      <x:c r="J450" s="5" t="n">
        <x:v>390</x:v>
      </x:c>
      <x:c r="K450" s="5" t="n">
        <x:v>50</x:v>
      </x:c>
      <x:c r="L450" s="5" t="inlineStr">
        <x:is>
          <x:t xml:space="preserve">기본</x:t>
        </x:is>
      </x:c>
      <x:c r="M450" s="5" t="n"/>
      <x:c r="N450" s="5" t="inlineStr">
        <x:is>
          <x:t xml:space="preserve">특수</x:t>
        </x:is>
      </x:c>
      <x:c r="O450" s="5" t="inlineStr">
        <x:is>
          <x:t xml:space="preserve">예</x:t>
        </x:is>
      </x:c>
      <x:c r="P450" s="5" t="inlineStr">
        <x:is>
          <x:t xml:space="preserve">#aether:is_aether; #cobblemon:is_forest; #cobblemon:is_hills; #cobblemon:is_overworld; #cobblemon:is_snowy_forest; aether:skyroot_forest; aether:skyroot_woodland</x:t>
        </x:is>
      </x:c>
      <x:c r="Q450" s="5" t="inlineStr">
        <x:is>
          <x:t xml:space="preserve">rare; uncommon</x:t>
        </x:is>
      </x:c>
      <x:c r="R450" s="5" t="inlineStr">
        <x:is>
          <x:t xml:space="preserve"/>
        </x:is>
      </x:c>
      <x:c r="S450" s="5" t="inlineStr">
        <x:is>
          <x:t xml:space="preserve"/>
        </x:is>
      </x:c>
      <x:c r="T450" s="5" t="inlineStr">
        <x:is>
          <x:t xml:space="preserve">육상</x:t>
        </x:is>
      </x:c>
      <x:c r="U450" s="5" t="inlineStr">
        <x:is>
          <x:t xml:space="preserve">수목</x:t>
        </x:is>
      </x:c>
      <x:c r="V450" s="5" t="inlineStr">
        <x:is>
          <x:t xml:space="preserve">온대</x:t>
        </x:is>
      </x:c>
      <x:c r="W450" s="5" t="inlineStr">
        <x:is>
          <x:t xml:space="preserve">보통</x:t>
        </x:is>
      </x:c>
      <x:c r="X450" s="5" t="inlineStr">
        <x:is>
          <x:t xml:space="preserve">무관</x:t>
        </x:is>
      </x:c>
      <x:c r="Y450" s="5" t="inlineStr">
        <x:is>
          <x:t xml:space="preserve">무관</x:t>
        </x:is>
      </x:c>
      <x:c r="Z450" s="5" t="inlineStr">
        <x:is>
          <x:t xml:space="preserve">보통</x:t>
        </x:is>
      </x:c>
      <x:c r="AA450" s="5" t="inlineStr">
        <x:is>
          <x:t xml:space="preserve">없음</x:t>
        </x:is>
      </x:c>
      <x:c r="AB450" s="5" t="inlineStr">
        <x:is>
          <x:t xml:space="preserve">숲</x:t>
        </x:is>
      </x:c>
      <x:c r="AC450" s="5" t="inlineStr">
        <x:is>
          <x:t xml:space="preserve">baby; gen4</x:t>
        </x:is>
      </x:c>
      <x:c r="AD450" s="5" t="inlineStr">
        <x:is>
          <x:t xml:space="preserve">.tmp/cobblemon-1.7.3-source/common/src/main/resources/data/cobblemon/species/generation4/munchlax.json</x:t>
        </x:is>
      </x:c>
    </x:row>
    <x:row r="451" ht="22" customHeight="1">
      <x:c r="A451" s="5" t="n">
        <x:v>447</x:v>
      </x:c>
      <x:c r="B451" s="5" t="inlineStr">
        <x:is>
          <x:t xml:space="preserve">리오르</x:t>
        </x:is>
      </x:c>
      <x:c r="C451" s="5" t="inlineStr">
        <x:is>
          <x:t xml:space="preserve">riolu</x:t>
        </x:is>
      </x:c>
      <x:c r="D451" s="5" t="inlineStr">
        <x:is>
          <x:t xml:space="preserve">Riolu</x:t>
        </x:is>
      </x:c>
      <x:c r="E451" s="5" t="n">
        <x:v>4</x:v>
      </x:c>
      <x:c r="F451" s="5" t="inlineStr">
        <x:is>
          <x:t xml:space="preserve">격투</x:t>
        </x:is>
      </x:c>
      <x:c r="G451" s="5" t="inlineStr">
        <x:is>
          <x:t xml:space="preserve"/>
        </x:is>
      </x:c>
      <x:c r="H451" s="5" t="n">
        <x:v>0.7</x:v>
      </x:c>
      <x:c r="I451" s="5" t="n">
        <x:v>20.2</x:v>
      </x:c>
      <x:c r="J451" s="5" t="n">
        <x:v>285</x:v>
      </x:c>
      <x:c r="K451" s="5" t="n">
        <x:v>75</x:v>
      </x:c>
      <x:c r="L451" s="5" t="inlineStr">
        <x:is>
          <x:t xml:space="preserve">기본</x:t>
        </x:is>
      </x:c>
      <x:c r="M451" s="5" t="n"/>
      <x:c r="N451" s="5" t="inlineStr">
        <x:is>
          <x:t xml:space="preserve">특수</x:t>
        </x:is>
      </x:c>
      <x:c r="O451" s="5" t="inlineStr">
        <x:is>
          <x:t xml:space="preserve">예</x:t>
        </x:is>
      </x:c>
      <x:c r="P451" s="5" t="inlineStr">
        <x:is>
          <x:t xml:space="preserve">#aether:is_aether; #cobblemon:is_mountain</x:t>
        </x:is>
      </x:c>
      <x:c r="Q451" s="5" t="inlineStr">
        <x:is>
          <x:t xml:space="preserve">rare</x:t>
        </x:is>
      </x:c>
      <x:c r="R451" s="5" t="inlineStr">
        <x:is>
          <x:t xml:space="preserve"/>
        </x:is>
      </x:c>
      <x:c r="S451" s="5" t="inlineStr">
        <x:is>
          <x:t xml:space="preserve"/>
        </x:is>
      </x:c>
      <x:c r="T451" s="5" t="inlineStr">
        <x:is>
          <x:t xml:space="preserve">육상</x:t>
        </x:is>
      </x:c>
      <x:c r="U451" s="5" t="inlineStr">
        <x:is>
          <x:t xml:space="preserve">암석</x:t>
        </x:is>
      </x:c>
      <x:c r="V451" s="5" t="inlineStr">
        <x:is>
          <x:t xml:space="preserve">온대</x:t>
        </x:is>
      </x:c>
      <x:c r="W451" s="5" t="inlineStr">
        <x:is>
          <x:t xml:space="preserve">보통</x:t>
        </x:is>
      </x:c>
      <x:c r="X451" s="5" t="inlineStr">
        <x:is>
          <x:t xml:space="preserve">무관</x:t>
        </x:is>
      </x:c>
      <x:c r="Y451" s="5" t="inlineStr">
        <x:is>
          <x:t xml:space="preserve">무관</x:t>
        </x:is>
      </x:c>
      <x:c r="Z451" s="5" t="inlineStr">
        <x:is>
          <x:t xml:space="preserve">드묾</x:t>
        </x:is>
      </x:c>
      <x:c r="AA451" s="5" t="inlineStr">
        <x:is>
          <x:t xml:space="preserve">없음</x:t>
        </x:is>
      </x:c>
      <x:c r="AB451" s="5" t="inlineStr">
        <x:is>
          <x:t xml:space="preserve">산악</x:t>
        </x:is>
      </x:c>
      <x:c r="AC451" s="5" t="inlineStr">
        <x:is>
          <x:t xml:space="preserve">baby; gen4</x:t>
        </x:is>
      </x:c>
      <x:c r="AD451" s="5" t="inlineStr">
        <x:is>
          <x:t xml:space="preserve">.tmp/cobblemon-1.7.3-source/common/src/main/resources/data/cobblemon/species/generation4/riolu.json</x:t>
        </x:is>
      </x:c>
    </x:row>
    <x:row r="452" ht="22" customHeight="1">
      <x:c r="A452" s="5" t="n">
        <x:v>448</x:v>
      </x:c>
      <x:c r="B452" s="5" t="inlineStr">
        <x:is>
          <x:t xml:space="preserve">루카리오</x:t>
        </x:is>
      </x:c>
      <x:c r="C452" s="5" t="inlineStr">
        <x:is>
          <x:t xml:space="preserve">lucario</x:t>
        </x:is>
      </x:c>
      <x:c r="D452" s="5" t="inlineStr">
        <x:is>
          <x:t xml:space="preserve">Lucario</x:t>
        </x:is>
      </x:c>
      <x:c r="E452" s="5" t="n">
        <x:v>4</x:v>
      </x:c>
      <x:c r="F452" s="5" t="inlineStr">
        <x:is>
          <x:t xml:space="preserve">격투</x:t>
        </x:is>
      </x:c>
      <x:c r="G452" s="5" t="inlineStr">
        <x:is>
          <x:t xml:space="preserve">강철</x:t>
        </x:is>
      </x:c>
      <x:c r="H452" s="5" t="n">
        <x:v>1.2</x:v>
      </x:c>
      <x:c r="I452" s="5" t="n">
        <x:v>54</x:v>
      </x:c>
      <x:c r="J452" s="5" t="n">
        <x:v>525</x:v>
      </x:c>
      <x:c r="K452" s="5" t="n">
        <x:v>45</x:v>
      </x:c>
      <x:c r="L452" s="5" t="inlineStr">
        <x:is>
          <x:t xml:space="preserve">최종</x:t>
        </x:is>
      </x:c>
      <x:c r="M452" s="5" t="n"/>
      <x:c r="N452" s="5" t="inlineStr">
        <x:is>
          <x:t xml:space="preserve">특수</x:t>
        </x:is>
      </x:c>
      <x:c r="O452" s="5" t="inlineStr">
        <x:is>
          <x:t xml:space="preserve">예</x:t>
        </x:is>
      </x:c>
      <x:c r="P452" s="5" t="inlineStr">
        <x:is>
          <x:t xml:space="preserve">#aether:is_aether; #cobblemon:is_mountain</x:t>
        </x:is>
      </x:c>
      <x:c r="Q452" s="5" t="inlineStr">
        <x:is>
          <x:t xml:space="preserve">rare</x:t>
        </x:is>
      </x:c>
      <x:c r="R452" s="5" t="inlineStr">
        <x:is>
          <x:t xml:space="preserve"/>
        </x:is>
      </x:c>
      <x:c r="S452" s="5" t="inlineStr">
        <x:is>
          <x:t xml:space="preserve"/>
        </x:is>
      </x:c>
      <x:c r="T452" s="5" t="inlineStr">
        <x:is>
          <x:t xml:space="preserve">육상</x:t>
        </x:is>
      </x:c>
      <x:c r="U452" s="5" t="inlineStr">
        <x:is>
          <x:t xml:space="preserve">암석</x:t>
        </x:is>
      </x:c>
      <x:c r="V452" s="5" t="inlineStr">
        <x:is>
          <x:t xml:space="preserve">온대</x:t>
        </x:is>
      </x:c>
      <x:c r="W452" s="5" t="inlineStr">
        <x:is>
          <x:t xml:space="preserve">보통</x:t>
        </x:is>
      </x:c>
      <x:c r="X452" s="5" t="inlineStr">
        <x:is>
          <x:t xml:space="preserve">무관</x:t>
        </x:is>
      </x:c>
      <x:c r="Y452" s="5" t="inlineStr">
        <x:is>
          <x:t xml:space="preserve">무관</x:t>
        </x:is>
      </x:c>
      <x:c r="Z452" s="5" t="inlineStr">
        <x:is>
          <x:t xml:space="preserve">드묾</x:t>
        </x:is>
      </x:c>
      <x:c r="AA452" s="5" t="inlineStr">
        <x:is>
          <x:t xml:space="preserve">없음</x:t>
        </x:is>
      </x:c>
      <x:c r="AB452" s="5" t="inlineStr">
        <x:is>
          <x:t xml:space="preserve">산악</x:t>
        </x:is>
      </x:c>
      <x:c r="AC452" s="5" t="inlineStr">
        <x:is>
          <x:t xml:space="preserve">gen4</x:t>
        </x:is>
      </x:c>
      <x:c r="AD452" s="5" t="inlineStr">
        <x:is>
          <x:t xml:space="preserve">.tmp/cobblemon-1.7.3-source/common/src/main/resources/data/cobblemon/species/generation4/lucario.json</x:t>
        </x:is>
      </x:c>
    </x:row>
    <x:row r="453" ht="22" customHeight="1">
      <x:c r="A453" s="5" t="n">
        <x:v>449</x:v>
      </x:c>
      <x:c r="B453" s="5" t="inlineStr">
        <x:is>
          <x:t xml:space="preserve">히포포타스</x:t>
        </x:is>
      </x:c>
      <x:c r="C453" s="5" t="inlineStr">
        <x:is>
          <x:t xml:space="preserve">hippopotas</x:t>
        </x:is>
      </x:c>
      <x:c r="D453" s="5" t="inlineStr">
        <x:is>
          <x:t xml:space="preserve">Hippopotas</x:t>
        </x:is>
      </x:c>
      <x:c r="E453" s="5" t="n">
        <x:v>4</x:v>
      </x:c>
      <x:c r="F453" s="5" t="inlineStr">
        <x:is>
          <x:t xml:space="preserve">땅</x:t>
        </x:is>
      </x:c>
      <x:c r="G453" s="5" t="inlineStr">
        <x:is>
          <x:t xml:space="preserve"/>
        </x:is>
      </x:c>
      <x:c r="H453" s="5" t="n">
        <x:v>0.8</x:v>
      </x:c>
      <x:c r="I453" s="5" t="n">
        <x:v>49.5</x:v>
      </x:c>
      <x:c r="J453" s="5" t="n">
        <x:v>330</x:v>
      </x:c>
      <x:c r="K453" s="5" t="n">
        <x:v>140</x:v>
      </x:c>
      <x:c r="L453" s="5" t="inlineStr">
        <x:is>
          <x:t xml:space="preserve">기본</x:t>
        </x:is>
      </x:c>
      <x:c r="M453" s="5" t="n">
        <x:v>34</x:v>
      </x:c>
      <x:c r="N453" s="5" t="inlineStr">
        <x:is>
          <x:t xml:space="preserve">레벨</x:t>
        </x:is>
      </x:c>
      <x:c r="O453" s="5" t="inlineStr">
        <x:is>
          <x:t xml:space="preserve">예</x:t>
        </x:is>
      </x:c>
      <x:c r="P453" s="5" t="inlineStr">
        <x:is>
          <x:t xml:space="preserve">#cobblemon:is_desert</x:t>
        </x:is>
      </x:c>
      <x:c r="Q453" s="5" t="inlineStr">
        <x:is>
          <x:t xml:space="preserve">common</x:t>
        </x:is>
      </x:c>
      <x:c r="R453" s="5" t="inlineStr">
        <x:is>
          <x:t xml:space="preserve"/>
        </x:is>
      </x:c>
      <x:c r="S453" s="5" t="inlineStr">
        <x:is>
          <x:t xml:space="preserve"/>
        </x:is>
      </x:c>
      <x:c r="T453" s="5" t="inlineStr">
        <x:is>
          <x:t xml:space="preserve">육상</x:t>
        </x:is>
      </x:c>
      <x:c r="U453" s="5" t="inlineStr">
        <x:is>
          <x:t xml:space="preserve">건조</x:t>
        </x:is>
      </x:c>
      <x:c r="V453" s="5" t="inlineStr">
        <x:is>
          <x:t xml:space="preserve">고온</x:t>
        </x:is>
      </x:c>
      <x:c r="W453" s="5" t="inlineStr">
        <x:is>
          <x:t xml:space="preserve">건조</x:t>
        </x:is>
      </x:c>
      <x:c r="X453" s="5" t="inlineStr">
        <x:is>
          <x:t xml:space="preserve">맑음</x:t>
        </x:is>
      </x:c>
      <x:c r="Y453" s="5" t="inlineStr">
        <x:is>
          <x:t xml:space="preserve">무관</x:t>
        </x:is>
      </x:c>
      <x:c r="Z453" s="5" t="inlineStr">
        <x:is>
          <x:t xml:space="preserve">흔함</x:t>
        </x:is>
      </x:c>
      <x:c r="AA453" s="5" t="inlineStr">
        <x:is>
          <x:t xml:space="preserve">없음</x:t>
        </x:is>
      </x:c>
      <x:c r="AB453" s="5" t="inlineStr">
        <x:is>
          <x:t xml:space="preserve">건조지</x:t>
        </x:is>
      </x:c>
      <x:c r="AC453" s="5" t="inlineStr">
        <x:is>
          <x:t xml:space="preserve">gen4</x:t>
        </x:is>
      </x:c>
      <x:c r="AD453" s="5" t="inlineStr">
        <x:is>
          <x:t xml:space="preserve">.tmp/cobblemon-1.7.3-source/common/src/main/resources/data/cobblemon/species/generation4/hippopotas.json</x:t>
        </x:is>
      </x:c>
    </x:row>
    <x:row r="454" ht="22" customHeight="1">
      <x:c r="A454" s="5" t="n">
        <x:v>450</x:v>
      </x:c>
      <x:c r="B454" s="5" t="inlineStr">
        <x:is>
          <x:t xml:space="preserve">하마돈</x:t>
        </x:is>
      </x:c>
      <x:c r="C454" s="5" t="inlineStr">
        <x:is>
          <x:t xml:space="preserve">hippowdon</x:t>
        </x:is>
      </x:c>
      <x:c r="D454" s="5" t="inlineStr">
        <x:is>
          <x:t xml:space="preserve">Hippowdon</x:t>
        </x:is>
      </x:c>
      <x:c r="E454" s="5" t="n">
        <x:v>4</x:v>
      </x:c>
      <x:c r="F454" s="5" t="inlineStr">
        <x:is>
          <x:t xml:space="preserve">땅</x:t>
        </x:is>
      </x:c>
      <x:c r="G454" s="5" t="inlineStr">
        <x:is>
          <x:t xml:space="preserve"/>
        </x:is>
      </x:c>
      <x:c r="H454" s="5" t="n">
        <x:v>2</x:v>
      </x:c>
      <x:c r="I454" s="5" t="n">
        <x:v>300</x:v>
      </x:c>
      <x:c r="J454" s="5" t="n">
        <x:v>525</x:v>
      </x:c>
      <x:c r="K454" s="5" t="n">
        <x:v>60</x:v>
      </x:c>
      <x:c r="L454" s="5" t="inlineStr">
        <x:is>
          <x:t xml:space="preserve">최종</x:t>
        </x:is>
      </x:c>
      <x:c r="M454" s="5" t="n">
        <x:v>34</x:v>
      </x:c>
      <x:c r="N454" s="5" t="inlineStr">
        <x:is>
          <x:t xml:space="preserve">레벨</x:t>
        </x:is>
      </x:c>
      <x:c r="O454" s="5" t="inlineStr">
        <x:is>
          <x:t xml:space="preserve">예</x:t>
        </x:is>
      </x:c>
      <x:c r="P454" s="5" t="inlineStr">
        <x:is>
          <x:t xml:space="preserve">#cobblemon:is_desert</x:t>
        </x:is>
      </x:c>
      <x:c r="Q454" s="5" t="inlineStr">
        <x:is>
          <x:t xml:space="preserve">common</x:t>
        </x:is>
      </x:c>
      <x:c r="R454" s="5" t="inlineStr">
        <x:is>
          <x:t xml:space="preserve"/>
        </x:is>
      </x:c>
      <x:c r="S454" s="5" t="inlineStr">
        <x:is>
          <x:t xml:space="preserve"/>
        </x:is>
      </x:c>
      <x:c r="T454" s="5" t="inlineStr">
        <x:is>
          <x:t xml:space="preserve">육상</x:t>
        </x:is>
      </x:c>
      <x:c r="U454" s="5" t="inlineStr">
        <x:is>
          <x:t xml:space="preserve">건조</x:t>
        </x:is>
      </x:c>
      <x:c r="V454" s="5" t="inlineStr">
        <x:is>
          <x:t xml:space="preserve">고온</x:t>
        </x:is>
      </x:c>
      <x:c r="W454" s="5" t="inlineStr">
        <x:is>
          <x:t xml:space="preserve">건조</x:t>
        </x:is>
      </x:c>
      <x:c r="X454" s="5" t="inlineStr">
        <x:is>
          <x:t xml:space="preserve">맑음</x:t>
        </x:is>
      </x:c>
      <x:c r="Y454" s="5" t="inlineStr">
        <x:is>
          <x:t xml:space="preserve">무관</x:t>
        </x:is>
      </x:c>
      <x:c r="Z454" s="5" t="inlineStr">
        <x:is>
          <x:t xml:space="preserve">흔함</x:t>
        </x:is>
      </x:c>
      <x:c r="AA454" s="5" t="inlineStr">
        <x:is>
          <x:t xml:space="preserve">없음</x:t>
        </x:is>
      </x:c>
      <x:c r="AB454" s="5" t="inlineStr">
        <x:is>
          <x:t xml:space="preserve">건조지</x:t>
        </x:is>
      </x:c>
      <x:c r="AC454" s="5" t="inlineStr">
        <x:is>
          <x:t xml:space="preserve">gen4</x:t>
        </x:is>
      </x:c>
      <x:c r="AD454" s="5" t="inlineStr">
        <x:is>
          <x:t xml:space="preserve">.tmp/cobblemon-1.7.3-source/common/src/main/resources/data/cobblemon/species/generation4/hippowdon.json</x:t>
        </x:is>
      </x:c>
    </x:row>
    <x:row r="455" ht="22" customHeight="1">
      <x:c r="A455" s="5" t="n">
        <x:v>451</x:v>
      </x:c>
      <x:c r="B455" s="5" t="inlineStr">
        <x:is>
          <x:t xml:space="preserve">스콜피</x:t>
        </x:is>
      </x:c>
      <x:c r="C455" s="5" t="inlineStr">
        <x:is>
          <x:t xml:space="preserve">skorupi</x:t>
        </x:is>
      </x:c>
      <x:c r="D455" s="5" t="inlineStr">
        <x:is>
          <x:t xml:space="preserve">Skorupi</x:t>
        </x:is>
      </x:c>
      <x:c r="E455" s="5" t="n">
        <x:v>4</x:v>
      </x:c>
      <x:c r="F455" s="5" t="inlineStr">
        <x:is>
          <x:t xml:space="preserve">독</x:t>
        </x:is>
      </x:c>
      <x:c r="G455" s="5" t="inlineStr">
        <x:is>
          <x:t xml:space="preserve">벌레</x:t>
        </x:is>
      </x:c>
      <x:c r="H455" s="5" t="n">
        <x:v>0.8</x:v>
      </x:c>
      <x:c r="I455" s="5" t="n">
        <x:v>12</x:v>
      </x:c>
      <x:c r="J455" s="5" t="n">
        <x:v>330</x:v>
      </x:c>
      <x:c r="K455" s="5" t="n">
        <x:v>120</x:v>
      </x:c>
      <x:c r="L455" s="5" t="inlineStr">
        <x:is>
          <x:t xml:space="preserve">기본</x:t>
        </x:is>
      </x:c>
      <x:c r="M455" s="5" t="n">
        <x:v>40</x:v>
      </x:c>
      <x:c r="N455" s="5" t="inlineStr">
        <x:is>
          <x:t xml:space="preserve">레벨</x:t>
        </x:is>
      </x:c>
      <x:c r="O455" s="5" t="inlineStr">
        <x:is>
          <x:t xml:space="preserve">예</x:t>
        </x:is>
      </x:c>
      <x:c r="P455" s="5" t="inlineStr">
        <x:is>
          <x:t xml:space="preserve">#cobblemon:is_badlands; #cobblemon:is_desert; #cobblemon:is_swamp</x:t>
        </x:is>
      </x:c>
      <x:c r="Q455" s="5" t="inlineStr">
        <x:is>
          <x:t xml:space="preserve">common</x:t>
        </x:is>
      </x:c>
      <x:c r="R455" s="5" t="inlineStr">
        <x:is>
          <x:t xml:space="preserve"/>
        </x:is>
      </x:c>
      <x:c r="S455" s="5" t="inlineStr">
        <x:is>
          <x:t xml:space="preserve"/>
        </x:is>
      </x:c>
      <x:c r="T455" s="5" t="inlineStr">
        <x:is>
          <x:t xml:space="preserve">육상</x:t>
        </x:is>
      </x:c>
      <x:c r="U455" s="5" t="inlineStr">
        <x:is>
          <x:t xml:space="preserve">건조</x:t>
        </x:is>
      </x:c>
      <x:c r="V455" s="5" t="inlineStr">
        <x:is>
          <x:t xml:space="preserve">고온</x:t>
        </x:is>
      </x:c>
      <x:c r="W455" s="5" t="inlineStr">
        <x:is>
          <x:t xml:space="preserve">건조</x:t>
        </x:is>
      </x:c>
      <x:c r="X455" s="5" t="inlineStr">
        <x:is>
          <x:t xml:space="preserve">맑음</x:t>
        </x:is>
      </x:c>
      <x:c r="Y455" s="5" t="inlineStr">
        <x:is>
          <x:t xml:space="preserve">무관</x:t>
        </x:is>
      </x:c>
      <x:c r="Z455" s="5" t="inlineStr">
        <x:is>
          <x:t xml:space="preserve">흔함</x:t>
        </x:is>
      </x:c>
      <x:c r="AA455" s="5" t="inlineStr">
        <x:is>
          <x:t xml:space="preserve">없음</x:t>
        </x:is>
      </x:c>
      <x:c r="AB455" s="5" t="inlineStr">
        <x:is>
          <x:t xml:space="preserve">건조지</x:t>
        </x:is>
      </x:c>
      <x:c r="AC455" s="5" t="inlineStr">
        <x:is>
          <x:t xml:space="preserve">gen4</x:t>
        </x:is>
      </x:c>
      <x:c r="AD455" s="5" t="inlineStr">
        <x:is>
          <x:t xml:space="preserve">.tmp/cobblemon-1.7.3-source/common/src/main/resources/data/cobblemon/species/generation4/skorupi.json</x:t>
        </x:is>
      </x:c>
    </x:row>
    <x:row r="456" ht="22" customHeight="1">
      <x:c r="A456" s="5" t="n">
        <x:v>452</x:v>
      </x:c>
      <x:c r="B456" s="5" t="inlineStr">
        <x:is>
          <x:t xml:space="preserve">드래피온</x:t>
        </x:is>
      </x:c>
      <x:c r="C456" s="5" t="inlineStr">
        <x:is>
          <x:t xml:space="preserve">drapion</x:t>
        </x:is>
      </x:c>
      <x:c r="D456" s="5" t="inlineStr">
        <x:is>
          <x:t xml:space="preserve">Drapion</x:t>
        </x:is>
      </x:c>
      <x:c r="E456" s="5" t="n">
        <x:v>4</x:v>
      </x:c>
      <x:c r="F456" s="5" t="inlineStr">
        <x:is>
          <x:t xml:space="preserve">독</x:t>
        </x:is>
      </x:c>
      <x:c r="G456" s="5" t="inlineStr">
        <x:is>
          <x:t xml:space="preserve">악</x:t>
        </x:is>
      </x:c>
      <x:c r="H456" s="5" t="n">
        <x:v>1.3</x:v>
      </x:c>
      <x:c r="I456" s="5" t="n">
        <x:v>61.5</x:v>
      </x:c>
      <x:c r="J456" s="5" t="n">
        <x:v>500</x:v>
      </x:c>
      <x:c r="K456" s="5" t="n">
        <x:v>45</x:v>
      </x:c>
      <x:c r="L456" s="5" t="inlineStr">
        <x:is>
          <x:t xml:space="preserve">최종</x:t>
        </x:is>
      </x:c>
      <x:c r="M456" s="5" t="n">
        <x:v>40</x:v>
      </x:c>
      <x:c r="N456" s="5" t="inlineStr">
        <x:is>
          <x:t xml:space="preserve">레벨</x:t>
        </x:is>
      </x:c>
      <x:c r="O456" s="5" t="inlineStr">
        <x:is>
          <x:t xml:space="preserve">예</x:t>
        </x:is>
      </x:c>
      <x:c r="P456" s="5" t="inlineStr">
        <x:is>
          <x:t xml:space="preserve">#cobblemon:is_badlands; #cobblemon:is_desert; #cobblemon:is_swamp</x:t>
        </x:is>
      </x:c>
      <x:c r="Q456" s="5" t="inlineStr">
        <x:is>
          <x:t xml:space="preserve">common</x:t>
        </x:is>
      </x:c>
      <x:c r="R456" s="5" t="inlineStr">
        <x:is>
          <x:t xml:space="preserve"/>
        </x:is>
      </x:c>
      <x:c r="S456" s="5" t="inlineStr">
        <x:is>
          <x:t xml:space="preserve"/>
        </x:is>
      </x:c>
      <x:c r="T456" s="5" t="inlineStr">
        <x:is>
          <x:t xml:space="preserve">육상</x:t>
        </x:is>
      </x:c>
      <x:c r="U456" s="5" t="inlineStr">
        <x:is>
          <x:t xml:space="preserve">건조</x:t>
        </x:is>
      </x:c>
      <x:c r="V456" s="5" t="inlineStr">
        <x:is>
          <x:t xml:space="preserve">고온</x:t>
        </x:is>
      </x:c>
      <x:c r="W456" s="5" t="inlineStr">
        <x:is>
          <x:t xml:space="preserve">건조</x:t>
        </x:is>
      </x:c>
      <x:c r="X456" s="5" t="inlineStr">
        <x:is>
          <x:t xml:space="preserve">맑음</x:t>
        </x:is>
      </x:c>
      <x:c r="Y456" s="5" t="inlineStr">
        <x:is>
          <x:t xml:space="preserve">밤</x:t>
        </x:is>
      </x:c>
      <x:c r="Z456" s="5" t="inlineStr">
        <x:is>
          <x:t xml:space="preserve">흔함</x:t>
        </x:is>
      </x:c>
      <x:c r="AA456" s="5" t="inlineStr">
        <x:is>
          <x:t xml:space="preserve">없음</x:t>
        </x:is>
      </x:c>
      <x:c r="AB456" s="5" t="inlineStr">
        <x:is>
          <x:t xml:space="preserve">건조지</x:t>
        </x:is>
      </x:c>
      <x:c r="AC456" s="5" t="inlineStr">
        <x:is>
          <x:t xml:space="preserve">gen4</x:t>
        </x:is>
      </x:c>
      <x:c r="AD456" s="5" t="inlineStr">
        <x:is>
          <x:t xml:space="preserve">.tmp/cobblemon-1.7.3-source/common/src/main/resources/data/cobblemon/species/generation4/drapion.json</x:t>
        </x:is>
      </x:c>
    </x:row>
    <x:row r="457" ht="22" customHeight="1">
      <x:c r="A457" s="5" t="n">
        <x:v>453</x:v>
      </x:c>
      <x:c r="B457" s="5" t="inlineStr">
        <x:is>
          <x:t xml:space="preserve">삐딱구리</x:t>
        </x:is>
      </x:c>
      <x:c r="C457" s="5" t="inlineStr">
        <x:is>
          <x:t xml:space="preserve">croagunk</x:t>
        </x:is>
      </x:c>
      <x:c r="D457" s="5" t="inlineStr">
        <x:is>
          <x:t xml:space="preserve">Croagunk</x:t>
        </x:is>
      </x:c>
      <x:c r="E457" s="5" t="n">
        <x:v>4</x:v>
      </x:c>
      <x:c r="F457" s="5" t="inlineStr">
        <x:is>
          <x:t xml:space="preserve">독</x:t>
        </x:is>
      </x:c>
      <x:c r="G457" s="5" t="inlineStr">
        <x:is>
          <x:t xml:space="preserve">격투</x:t>
        </x:is>
      </x:c>
      <x:c r="H457" s="5" t="n">
        <x:v>0.7</x:v>
      </x:c>
      <x:c r="I457" s="5" t="n">
        <x:v>23</x:v>
      </x:c>
      <x:c r="J457" s="5" t="n">
        <x:v>300</x:v>
      </x:c>
      <x:c r="K457" s="5" t="n">
        <x:v>140</x:v>
      </x:c>
      <x:c r="L457" s="5" t="inlineStr">
        <x:is>
          <x:t xml:space="preserve">기본</x:t>
        </x:is>
      </x:c>
      <x:c r="M457" s="5" t="n">
        <x:v>37</x:v>
      </x:c>
      <x:c r="N457" s="5" t="inlineStr">
        <x:is>
          <x:t xml:space="preserve">레벨</x:t>
        </x:is>
      </x:c>
      <x:c r="O457" s="5" t="inlineStr">
        <x:is>
          <x:t xml:space="preserve">예</x:t>
        </x:is>
      </x:c>
      <x:c r="P457" s="5" t="inlineStr">
        <x:is>
          <x:t xml:space="preserve">#cobblemon:is_jungle; #cobblemon:is_swamp</x:t>
        </x:is>
      </x:c>
      <x:c r="Q457" s="5" t="inlineStr">
        <x:is>
          <x:t xml:space="preserve">common</x:t>
        </x:is>
      </x:c>
      <x:c r="R457" s="5" t="inlineStr">
        <x:is>
          <x:t xml:space="preserve"/>
        </x:is>
      </x:c>
      <x:c r="S457" s="5" t="inlineStr">
        <x:is>
          <x:t xml:space="preserve"/>
        </x:is>
      </x:c>
      <x:c r="T457" s="5" t="inlineStr">
        <x:is>
          <x:t xml:space="preserve">육상</x:t>
        </x:is>
      </x:c>
      <x:c r="U457" s="5" t="inlineStr">
        <x:is>
          <x:t xml:space="preserve">습지</x:t>
        </x:is>
      </x:c>
      <x:c r="V457" s="5" t="inlineStr">
        <x:is>
          <x:t xml:space="preserve">온대</x:t>
        </x:is>
      </x:c>
      <x:c r="W457" s="5" t="inlineStr">
        <x:is>
          <x:t xml:space="preserve">다습</x:t>
        </x:is>
      </x:c>
      <x:c r="X457" s="5" t="inlineStr">
        <x:is>
          <x:t xml:space="preserve">비</x:t>
        </x:is>
      </x:c>
      <x:c r="Y457" s="5" t="inlineStr">
        <x:is>
          <x:t xml:space="preserve">무관</x:t>
        </x:is>
      </x:c>
      <x:c r="Z457" s="5" t="inlineStr">
        <x:is>
          <x:t xml:space="preserve">흔함</x:t>
        </x:is>
      </x:c>
      <x:c r="AA457" s="5" t="inlineStr">
        <x:is>
          <x:t xml:space="preserve">없음</x:t>
        </x:is>
      </x:c>
      <x:c r="AB457" s="5" t="inlineStr">
        <x:is>
          <x:t xml:space="preserve">습지</x:t>
        </x:is>
      </x:c>
      <x:c r="AC457" s="5" t="inlineStr">
        <x:is>
          <x:t xml:space="preserve">gen4</x:t>
        </x:is>
      </x:c>
      <x:c r="AD457" s="5" t="inlineStr">
        <x:is>
          <x:t xml:space="preserve">.tmp/cobblemon-1.7.3-source/common/src/main/resources/data/cobblemon/species/generation4/croagunk.json</x:t>
        </x:is>
      </x:c>
    </x:row>
    <x:row r="458" ht="22" customHeight="1">
      <x:c r="A458" s="5" t="n">
        <x:v>454</x:v>
      </x:c>
      <x:c r="B458" s="5" t="inlineStr">
        <x:is>
          <x:t xml:space="preserve">독개굴</x:t>
        </x:is>
      </x:c>
      <x:c r="C458" s="5" t="inlineStr">
        <x:is>
          <x:t xml:space="preserve">toxicroak</x:t>
        </x:is>
      </x:c>
      <x:c r="D458" s="5" t="inlineStr">
        <x:is>
          <x:t xml:space="preserve">Toxicroak</x:t>
        </x:is>
      </x:c>
      <x:c r="E458" s="5" t="n">
        <x:v>4</x:v>
      </x:c>
      <x:c r="F458" s="5" t="inlineStr">
        <x:is>
          <x:t xml:space="preserve">독</x:t>
        </x:is>
      </x:c>
      <x:c r="G458" s="5" t="inlineStr">
        <x:is>
          <x:t xml:space="preserve">격투</x:t>
        </x:is>
      </x:c>
      <x:c r="H458" s="5" t="n">
        <x:v>1.3</x:v>
      </x:c>
      <x:c r="I458" s="5" t="n">
        <x:v>44.4</x:v>
      </x:c>
      <x:c r="J458" s="5" t="n">
        <x:v>490</x:v>
      </x:c>
      <x:c r="K458" s="5" t="n">
        <x:v>75</x:v>
      </x:c>
      <x:c r="L458" s="5" t="inlineStr">
        <x:is>
          <x:t xml:space="preserve">최종</x:t>
        </x:is>
      </x:c>
      <x:c r="M458" s="5" t="n">
        <x:v>37</x:v>
      </x:c>
      <x:c r="N458" s="5" t="inlineStr">
        <x:is>
          <x:t xml:space="preserve">레벨</x:t>
        </x:is>
      </x:c>
      <x:c r="O458" s="5" t="inlineStr">
        <x:is>
          <x:t xml:space="preserve">예</x:t>
        </x:is>
      </x:c>
      <x:c r="P458" s="5" t="inlineStr">
        <x:is>
          <x:t xml:space="preserve">#cobblemon:is_jungle; #cobblemon:is_swamp</x:t>
        </x:is>
      </x:c>
      <x:c r="Q458" s="5" t="inlineStr">
        <x:is>
          <x:t xml:space="preserve">common</x:t>
        </x:is>
      </x:c>
      <x:c r="R458" s="5" t="inlineStr">
        <x:is>
          <x:t xml:space="preserve"/>
        </x:is>
      </x:c>
      <x:c r="S458" s="5" t="inlineStr">
        <x:is>
          <x:t xml:space="preserve"/>
        </x:is>
      </x:c>
      <x:c r="T458" s="5" t="inlineStr">
        <x:is>
          <x:t xml:space="preserve">육상</x:t>
        </x:is>
      </x:c>
      <x:c r="U458" s="5" t="inlineStr">
        <x:is>
          <x:t xml:space="preserve">습지</x:t>
        </x:is>
      </x:c>
      <x:c r="V458" s="5" t="inlineStr">
        <x:is>
          <x:t xml:space="preserve">온대</x:t>
        </x:is>
      </x:c>
      <x:c r="W458" s="5" t="inlineStr">
        <x:is>
          <x:t xml:space="preserve">다습</x:t>
        </x:is>
      </x:c>
      <x:c r="X458" s="5" t="inlineStr">
        <x:is>
          <x:t xml:space="preserve">비</x:t>
        </x:is>
      </x:c>
      <x:c r="Y458" s="5" t="inlineStr">
        <x:is>
          <x:t xml:space="preserve">무관</x:t>
        </x:is>
      </x:c>
      <x:c r="Z458" s="5" t="inlineStr">
        <x:is>
          <x:t xml:space="preserve">흔함</x:t>
        </x:is>
      </x:c>
      <x:c r="AA458" s="5" t="inlineStr">
        <x:is>
          <x:t xml:space="preserve">없음</x:t>
        </x:is>
      </x:c>
      <x:c r="AB458" s="5" t="inlineStr">
        <x:is>
          <x:t xml:space="preserve">습지</x:t>
        </x:is>
      </x:c>
      <x:c r="AC458" s="5" t="inlineStr">
        <x:is>
          <x:t xml:space="preserve">gen4</x:t>
        </x:is>
      </x:c>
      <x:c r="AD458" s="5" t="inlineStr">
        <x:is>
          <x:t xml:space="preserve">.tmp/cobblemon-1.7.3-source/common/src/main/resources/data/cobblemon/species/generation4/toxicroak.json</x:t>
        </x:is>
      </x:c>
    </x:row>
    <x:row r="459" ht="22" customHeight="1">
      <x:c r="A459" s="5" t="n">
        <x:v>455</x:v>
      </x:c>
      <x:c r="B459" s="5" t="inlineStr">
        <x:is>
          <x:t xml:space="preserve">무스틈니</x:t>
        </x:is>
      </x:c>
      <x:c r="C459" s="5" t="inlineStr">
        <x:is>
          <x:t xml:space="preserve">carnivine</x:t>
        </x:is>
      </x:c>
      <x:c r="D459" s="5" t="inlineStr">
        <x:is>
          <x:t xml:space="preserve">Carnivine</x:t>
        </x:is>
      </x:c>
      <x:c r="E459" s="5" t="n">
        <x:v>4</x:v>
      </x:c>
      <x:c r="F459" s="5" t="inlineStr">
        <x:is>
          <x:t xml:space="preserve">풀</x:t>
        </x:is>
      </x:c>
      <x:c r="G459" s="5" t="inlineStr">
        <x:is>
          <x:t xml:space="preserve"/>
        </x:is>
      </x:c>
      <x:c r="H459" s="5" t="n">
        <x:v>1.4</x:v>
      </x:c>
      <x:c r="I459" s="5" t="n">
        <x:v>27</x:v>
      </x:c>
      <x:c r="J459" s="5" t="n">
        <x:v>454</x:v>
      </x:c>
      <x:c r="K459" s="5" t="n">
        <x:v>200</x:v>
      </x:c>
      <x:c r="L459" s="5" t="inlineStr">
        <x:is>
          <x:t xml:space="preserve">무진화</x:t>
        </x:is>
      </x:c>
      <x:c r="M459" s="5" t="n"/>
      <x:c r="N459" s="5" t="inlineStr">
        <x:is>
          <x:t xml:space="preserve">없음</x:t>
        </x:is>
      </x:c>
      <x:c r="O459" s="5" t="inlineStr">
        <x:is>
          <x:t xml:space="preserve">예</x:t>
        </x:is>
      </x:c>
      <x:c r="P459" s="5" t="inlineStr">
        <x:is>
          <x:t xml:space="preserve">#cobblemon:is_lush; #cobblemon:is_overworld; #cobblemon:is_swamp; aether:skyroot_forest; aether:skyroot_woodland</x:t>
        </x:is>
      </x:c>
      <x:c r="Q459" s="5" t="inlineStr">
        <x:is>
          <x:t xml:space="preserve">uncommon</x:t>
        </x:is>
      </x:c>
      <x:c r="R459" s="5" t="inlineStr">
        <x:is>
          <x:t xml:space="preserve"/>
        </x:is>
      </x:c>
      <x:c r="S459" s="5" t="inlineStr">
        <x:is>
          <x:t xml:space="preserve"/>
        </x:is>
      </x:c>
      <x:c r="T459" s="5" t="inlineStr">
        <x:is>
          <x:t xml:space="preserve">비행</x:t>
        </x:is>
      </x:c>
      <x:c r="U459" s="5" t="inlineStr">
        <x:is>
          <x:t xml:space="preserve">수목</x:t>
        </x:is>
      </x:c>
      <x:c r="V459" s="5" t="inlineStr">
        <x:is>
          <x:t xml:space="preserve">온대</x:t>
        </x:is>
      </x:c>
      <x:c r="W459" s="5" t="inlineStr">
        <x:is>
          <x:t xml:space="preserve">보통</x:t>
        </x:is>
      </x:c>
      <x:c r="X459" s="5" t="inlineStr">
        <x:is>
          <x:t xml:space="preserve">무관</x:t>
        </x:is>
      </x:c>
      <x:c r="Y459" s="5" t="inlineStr">
        <x:is>
          <x:t xml:space="preserve">무관</x:t>
        </x:is>
      </x:c>
      <x:c r="Z459" s="5" t="inlineStr">
        <x:is>
          <x:t xml:space="preserve">보통</x:t>
        </x:is>
      </x:c>
      <x:c r="AA459" s="5" t="inlineStr">
        <x:is>
          <x:t xml:space="preserve">없음</x:t>
        </x:is>
      </x:c>
      <x:c r="AB459" s="5" t="inlineStr">
        <x:is>
          <x:t xml:space="preserve">숲</x:t>
        </x:is>
      </x:c>
      <x:c r="AC459" s="5" t="inlineStr">
        <x:is>
          <x:t xml:space="preserve">gen4</x:t>
        </x:is>
      </x:c>
      <x:c r="AD459" s="5" t="inlineStr">
        <x:is>
          <x:t xml:space="preserve">.tmp/cobblemon-1.7.3-source/common/src/main/resources/data/cobblemon/species/generation4/carnivine.json</x:t>
        </x:is>
      </x:c>
    </x:row>
    <x:row r="460" ht="22" customHeight="1">
      <x:c r="A460" s="5" t="n">
        <x:v>456</x:v>
      </x:c>
      <x:c r="B460" s="5" t="inlineStr">
        <x:is>
          <x:t xml:space="preserve">형광어</x:t>
        </x:is>
      </x:c>
      <x:c r="C460" s="5" t="inlineStr">
        <x:is>
          <x:t xml:space="preserve">finneon</x:t>
        </x:is>
      </x:c>
      <x:c r="D460" s="5" t="inlineStr">
        <x:is>
          <x:t xml:space="preserve">Finneon</x:t>
        </x:is>
      </x:c>
      <x:c r="E460" s="5" t="n">
        <x:v>4</x:v>
      </x:c>
      <x:c r="F460" s="5" t="inlineStr">
        <x:is>
          <x:t xml:space="preserve">물</x:t>
        </x:is>
      </x:c>
      <x:c r="G460" s="5" t="inlineStr">
        <x:is>
          <x:t xml:space="preserve"/>
        </x:is>
      </x:c>
      <x:c r="H460" s="5" t="n">
        <x:v>0.4</x:v>
      </x:c>
      <x:c r="I460" s="5" t="n">
        <x:v>7</x:v>
      </x:c>
      <x:c r="J460" s="5" t="n">
        <x:v>330</x:v>
      </x:c>
      <x:c r="K460" s="5" t="n">
        <x:v>190</x:v>
      </x:c>
      <x:c r="L460" s="5" t="inlineStr">
        <x:is>
          <x:t xml:space="preserve">기본</x:t>
        </x:is>
      </x:c>
      <x:c r="M460" s="5" t="n">
        <x:v>31</x:v>
      </x:c>
      <x:c r="N460" s="5" t="inlineStr">
        <x:is>
          <x:t xml:space="preserve">레벨</x:t>
        </x:is>
      </x:c>
      <x:c r="O460" s="5" t="inlineStr">
        <x:is>
          <x:t xml:space="preserve">예</x:t>
        </x:is>
      </x:c>
      <x:c r="P460" s="5" t="inlineStr">
        <x:is>
          <x:t xml:space="preserve">#cobblemon:is_deep_ocean; #cobblemon:is_ocean; #cobblemon:is_overworld</x:t>
        </x:is>
      </x:c>
      <x:c r="Q460" s="5" t="inlineStr">
        <x:is>
          <x:t xml:space="preserve">common</x:t>
        </x:is>
      </x:c>
      <x:c r="R460" s="5" t="inlineStr">
        <x:is>
          <x:t xml:space="preserve"/>
        </x:is>
      </x:c>
      <x:c r="S460" s="5" t="inlineStr">
        <x:is>
          <x:t xml:space="preserve"/>
        </x:is>
      </x:c>
      <x:c r="T460" s="5" t="inlineStr">
        <x:is>
          <x:t xml:space="preserve">해양</x:t>
        </x:is>
      </x:c>
      <x:c r="U460" s="5" t="inlineStr">
        <x:is>
          <x:t xml:space="preserve">해안·해양</x:t>
        </x:is>
      </x:c>
      <x:c r="V460" s="5" t="inlineStr">
        <x:is>
          <x:t xml:space="preserve">온대</x:t>
        </x:is>
      </x:c>
      <x:c r="W460" s="5" t="inlineStr">
        <x:is>
          <x:t xml:space="preserve">수중</x:t>
        </x:is>
      </x:c>
      <x:c r="X460" s="5" t="inlineStr">
        <x:is>
          <x:t xml:space="preserve">비</x:t>
        </x:is>
      </x:c>
      <x:c r="Y460" s="5" t="inlineStr">
        <x:is>
          <x:t xml:space="preserve">무관</x:t>
        </x:is>
      </x:c>
      <x:c r="Z460" s="5" t="inlineStr">
        <x:is>
          <x:t xml:space="preserve">흔함</x:t>
        </x:is>
      </x:c>
      <x:c r="AA460" s="5" t="inlineStr">
        <x:is>
          <x:t xml:space="preserve">심해</x:t>
        </x:is>
      </x:c>
      <x:c r="AB460" s="5" t="inlineStr">
        <x:is>
          <x:t xml:space="preserve">해양</x:t>
        </x:is>
      </x:c>
      <x:c r="AC460" s="5" t="inlineStr">
        <x:is>
          <x:t xml:space="preserve">gen4</x:t>
        </x:is>
      </x:c>
      <x:c r="AD460" s="5" t="inlineStr">
        <x:is>
          <x:t xml:space="preserve">.tmp/cobblemon-1.7.3-source/common/src/main/resources/data/cobblemon/species/generation4/finneon.json</x:t>
        </x:is>
      </x:c>
    </x:row>
    <x:row r="461" ht="22" customHeight="1">
      <x:c r="A461" s="5" t="n">
        <x:v>457</x:v>
      </x:c>
      <x:c r="B461" s="5" t="inlineStr">
        <x:is>
          <x:t xml:space="preserve">네오라이트</x:t>
        </x:is>
      </x:c>
      <x:c r="C461" s="5" t="inlineStr">
        <x:is>
          <x:t xml:space="preserve">lumineon</x:t>
        </x:is>
      </x:c>
      <x:c r="D461" s="5" t="inlineStr">
        <x:is>
          <x:t xml:space="preserve">Lumineon</x:t>
        </x:is>
      </x:c>
      <x:c r="E461" s="5" t="n">
        <x:v>4</x:v>
      </x:c>
      <x:c r="F461" s="5" t="inlineStr">
        <x:is>
          <x:t xml:space="preserve">물</x:t>
        </x:is>
      </x:c>
      <x:c r="G461" s="5" t="inlineStr">
        <x:is>
          <x:t xml:space="preserve"/>
        </x:is>
      </x:c>
      <x:c r="H461" s="5" t="n">
        <x:v>1.2</x:v>
      </x:c>
      <x:c r="I461" s="5" t="n">
        <x:v>24</x:v>
      </x:c>
      <x:c r="J461" s="5" t="n">
        <x:v>460</x:v>
      </x:c>
      <x:c r="K461" s="5" t="n">
        <x:v>75</x:v>
      </x:c>
      <x:c r="L461" s="5" t="inlineStr">
        <x:is>
          <x:t xml:space="preserve">최종</x:t>
        </x:is>
      </x:c>
      <x:c r="M461" s="5" t="n">
        <x:v>31</x:v>
      </x:c>
      <x:c r="N461" s="5" t="inlineStr">
        <x:is>
          <x:t xml:space="preserve">레벨</x:t>
        </x:is>
      </x:c>
      <x:c r="O461" s="5" t="inlineStr">
        <x:is>
          <x:t xml:space="preserve">예</x:t>
        </x:is>
      </x:c>
      <x:c r="P461" s="5" t="inlineStr">
        <x:is>
          <x:t xml:space="preserve">#cobblemon:is_deep_ocean; #cobblemon:is_ocean; #cobblemon:is_overworld</x:t>
        </x:is>
      </x:c>
      <x:c r="Q461" s="5" t="inlineStr">
        <x:is>
          <x:t xml:space="preserve">common</x:t>
        </x:is>
      </x:c>
      <x:c r="R461" s="5" t="inlineStr">
        <x:is>
          <x:t xml:space="preserve"/>
        </x:is>
      </x:c>
      <x:c r="S461" s="5" t="inlineStr">
        <x:is>
          <x:t xml:space="preserve"/>
        </x:is>
      </x:c>
      <x:c r="T461" s="5" t="inlineStr">
        <x:is>
          <x:t xml:space="preserve">해양</x:t>
        </x:is>
      </x:c>
      <x:c r="U461" s="5" t="inlineStr">
        <x:is>
          <x:t xml:space="preserve">해안·해양</x:t>
        </x:is>
      </x:c>
      <x:c r="V461" s="5" t="inlineStr">
        <x:is>
          <x:t xml:space="preserve">온대</x:t>
        </x:is>
      </x:c>
      <x:c r="W461" s="5" t="inlineStr">
        <x:is>
          <x:t xml:space="preserve">수중</x:t>
        </x:is>
      </x:c>
      <x:c r="X461" s="5" t="inlineStr">
        <x:is>
          <x:t xml:space="preserve">비</x:t>
        </x:is>
      </x:c>
      <x:c r="Y461" s="5" t="inlineStr">
        <x:is>
          <x:t xml:space="preserve">무관</x:t>
        </x:is>
      </x:c>
      <x:c r="Z461" s="5" t="inlineStr">
        <x:is>
          <x:t xml:space="preserve">흔함</x:t>
        </x:is>
      </x:c>
      <x:c r="AA461" s="5" t="inlineStr">
        <x:is>
          <x:t xml:space="preserve">심해</x:t>
        </x:is>
      </x:c>
      <x:c r="AB461" s="5" t="inlineStr">
        <x:is>
          <x:t xml:space="preserve">해양</x:t>
        </x:is>
      </x:c>
      <x:c r="AC461" s="5" t="inlineStr">
        <x:is>
          <x:t xml:space="preserve">gen4</x:t>
        </x:is>
      </x:c>
      <x:c r="AD461" s="5" t="inlineStr">
        <x:is>
          <x:t xml:space="preserve">.tmp/cobblemon-1.7.3-source/common/src/main/resources/data/cobblemon/species/generation4/lumineon.json</x:t>
        </x:is>
      </x:c>
    </x:row>
    <x:row r="462" ht="22" customHeight="1">
      <x:c r="A462" s="5" t="n">
        <x:v>458</x:v>
      </x:c>
      <x:c r="B462" s="5" t="inlineStr">
        <x:is>
          <x:t xml:space="preserve">타만타</x:t>
        </x:is>
      </x:c>
      <x:c r="C462" s="5" t="inlineStr">
        <x:is>
          <x:t xml:space="preserve">mantyke</x:t>
        </x:is>
      </x:c>
      <x:c r="D462" s="5" t="inlineStr">
        <x:is>
          <x:t xml:space="preserve">Mantyke</x:t>
        </x:is>
      </x:c>
      <x:c r="E462" s="5" t="n">
        <x:v>4</x:v>
      </x:c>
      <x:c r="F462" s="5" t="inlineStr">
        <x:is>
          <x:t xml:space="preserve">물</x:t>
        </x:is>
      </x:c>
      <x:c r="G462" s="5" t="inlineStr">
        <x:is>
          <x:t xml:space="preserve">비행</x:t>
        </x:is>
      </x:c>
      <x:c r="H462" s="5" t="n">
        <x:v>1</x:v>
      </x:c>
      <x:c r="I462" s="5" t="n">
        <x:v>65</x:v>
      </x:c>
      <x:c r="J462" s="5" t="n">
        <x:v>345</x:v>
      </x:c>
      <x:c r="K462" s="5" t="n">
        <x:v>25</x:v>
      </x:c>
      <x:c r="L462" s="5" t="inlineStr">
        <x:is>
          <x:t xml:space="preserve">기본</x:t>
        </x:is>
      </x:c>
      <x:c r="M462" s="5" t="n"/>
      <x:c r="N462" s="5" t="inlineStr">
        <x:is>
          <x:t xml:space="preserve">특수</x:t>
        </x:is>
      </x:c>
      <x:c r="O462" s="5" t="inlineStr">
        <x:is>
          <x:t xml:space="preserve">예</x:t>
        </x:is>
      </x:c>
      <x:c r="P462" s="5" t="inlineStr">
        <x:is>
          <x:t xml:space="preserve">#cobblemon:is_lukewarm_ocean; #cobblemon:is_ocean; #cobblemon:is_warm_ocean</x:t>
        </x:is>
      </x:c>
      <x:c r="Q462" s="5" t="inlineStr">
        <x:is>
          <x:t xml:space="preserve">common; uncommon</x:t>
        </x:is>
      </x:c>
      <x:c r="R462" s="5" t="inlineStr">
        <x:is>
          <x:t xml:space="preserve"/>
        </x:is>
      </x:c>
      <x:c r="S462" s="5" t="inlineStr">
        <x:is>
          <x:t xml:space="preserve"/>
        </x:is>
      </x:c>
      <x:c r="T462" s="5" t="inlineStr">
        <x:is>
          <x:t xml:space="preserve">해양</x:t>
        </x:is>
      </x:c>
      <x:c r="U462" s="5" t="inlineStr">
        <x:is>
          <x:t xml:space="preserve">해안·해양</x:t>
        </x:is>
      </x:c>
      <x:c r="V462" s="5" t="inlineStr">
        <x:is>
          <x:t xml:space="preserve">온대</x:t>
        </x:is>
      </x:c>
      <x:c r="W462" s="5" t="inlineStr">
        <x:is>
          <x:t xml:space="preserve">수중</x:t>
        </x:is>
      </x:c>
      <x:c r="X462" s="5" t="inlineStr">
        <x:is>
          <x:t xml:space="preserve">비</x:t>
        </x:is>
      </x:c>
      <x:c r="Y462" s="5" t="inlineStr">
        <x:is>
          <x:t xml:space="preserve">무관</x:t>
        </x:is>
      </x:c>
      <x:c r="Z462" s="5" t="inlineStr">
        <x:is>
          <x:t xml:space="preserve">보통</x:t>
        </x:is>
      </x:c>
      <x:c r="AA462" s="5" t="inlineStr">
        <x:is>
          <x:t xml:space="preserve">없음</x:t>
        </x:is>
      </x:c>
      <x:c r="AB462" s="5" t="inlineStr">
        <x:is>
          <x:t xml:space="preserve">해양</x:t>
        </x:is>
      </x:c>
      <x:c r="AC462" s="5" t="inlineStr">
        <x:is>
          <x:t xml:space="preserve">baby; gen4</x:t>
        </x:is>
      </x:c>
      <x:c r="AD462" s="5" t="inlineStr">
        <x:is>
          <x:t xml:space="preserve">.tmp/cobblemon-1.7.3-source/common/src/main/resources/data/cobblemon/species/generation4/mantyke.json</x:t>
        </x:is>
      </x:c>
    </x:row>
    <x:row r="463" ht="22" customHeight="1">
      <x:c r="A463" s="5" t="n">
        <x:v>459</x:v>
      </x:c>
      <x:c r="B463" s="5" t="inlineStr">
        <x:is>
          <x:t xml:space="preserve">눈쓰개</x:t>
        </x:is>
      </x:c>
      <x:c r="C463" s="5" t="inlineStr">
        <x:is>
          <x:t xml:space="preserve">snover</x:t>
        </x:is>
      </x:c>
      <x:c r="D463" s="5" t="inlineStr">
        <x:is>
          <x:t xml:space="preserve">Snover</x:t>
        </x:is>
      </x:c>
      <x:c r="E463" s="5" t="n">
        <x:v>4</x:v>
      </x:c>
      <x:c r="F463" s="5" t="inlineStr">
        <x:is>
          <x:t xml:space="preserve">풀</x:t>
        </x:is>
      </x:c>
      <x:c r="G463" s="5" t="inlineStr">
        <x:is>
          <x:t xml:space="preserve">얼음</x:t>
        </x:is>
      </x:c>
      <x:c r="H463" s="5" t="n">
        <x:v>1</x:v>
      </x:c>
      <x:c r="I463" s="5" t="n">
        <x:v>50.5</x:v>
      </x:c>
      <x:c r="J463" s="5" t="n">
        <x:v>334</x:v>
      </x:c>
      <x:c r="K463" s="5" t="n">
        <x:v>120</x:v>
      </x:c>
      <x:c r="L463" s="5" t="inlineStr">
        <x:is>
          <x:t xml:space="preserve">기본</x:t>
        </x:is>
      </x:c>
      <x:c r="M463" s="5" t="n">
        <x:v>40</x:v>
      </x:c>
      <x:c r="N463" s="5" t="inlineStr">
        <x:is>
          <x:t xml:space="preserve">레벨</x:t>
        </x:is>
      </x:c>
      <x:c r="O463" s="5" t="inlineStr">
        <x:is>
          <x:t xml:space="preserve">아니오</x:t>
        </x:is>
      </x:c>
      <x:c r="P463" s="5" t="inlineStr">
        <x:is>
          <x:t xml:space="preserve">#cobblemon:is_snowy_forest; #cobblemon:is_snowy_taiga</x:t>
        </x:is>
      </x:c>
      <x:c r="Q463" s="5" t="inlineStr">
        <x:is>
          <x:t xml:space="preserve">common</x:t>
        </x:is>
      </x:c>
      <x:c r="R463" s="5" t="inlineStr">
        <x:is>
          <x:t xml:space="preserve"/>
        </x:is>
      </x:c>
      <x:c r="S463" s="5" t="inlineStr">
        <x:is>
          <x:t xml:space="preserve"/>
        </x:is>
      </x:c>
      <x:c r="T463" s="5" t="inlineStr">
        <x:is>
          <x:t xml:space="preserve">육상</x:t>
        </x:is>
      </x:c>
      <x:c r="U463" s="5" t="inlineStr">
        <x:is>
          <x:t xml:space="preserve">설원</x:t>
        </x:is>
      </x:c>
      <x:c r="V463" s="5" t="inlineStr">
        <x:is>
          <x:t xml:space="preserve">한랭</x:t>
        </x:is>
      </x:c>
      <x:c r="W463" s="5" t="inlineStr">
        <x:is>
          <x:t xml:space="preserve">보통</x:t>
        </x:is>
      </x:c>
      <x:c r="X463" s="5" t="inlineStr">
        <x:is>
          <x:t xml:space="preserve">눈</x:t>
        </x:is>
      </x:c>
      <x:c r="Y463" s="5" t="inlineStr">
        <x:is>
          <x:t xml:space="preserve">무관</x:t>
        </x:is>
      </x:c>
      <x:c r="Z463" s="5" t="inlineStr">
        <x:is>
          <x:t xml:space="preserve">흔함</x:t>
        </x:is>
      </x:c>
      <x:c r="AA463" s="5" t="inlineStr">
        <x:is>
          <x:t xml:space="preserve">없음</x:t>
        </x:is>
      </x:c>
      <x:c r="AB463" s="5" t="inlineStr">
        <x:is>
          <x:t xml:space="preserve">설원</x:t>
        </x:is>
      </x:c>
      <x:c r="AC463" s="5" t="inlineStr">
        <x:is>
          <x:t xml:space="preserve">gen4</x:t>
        </x:is>
      </x:c>
      <x:c r="AD463" s="5" t="inlineStr">
        <x:is>
          <x:t xml:space="preserve">.tmp/cobblemon-1.7.3-source/common/src/main/resources/data/cobblemon/species/generation4/snover.json</x:t>
        </x:is>
      </x:c>
    </x:row>
    <x:row r="464" ht="22" customHeight="1">
      <x:c r="A464" s="5" t="n">
        <x:v>460</x:v>
      </x:c>
      <x:c r="B464" s="5" t="inlineStr">
        <x:is>
          <x:t xml:space="preserve">눈설왕</x:t>
        </x:is>
      </x:c>
      <x:c r="C464" s="5" t="inlineStr">
        <x:is>
          <x:t xml:space="preserve">abomasnow</x:t>
        </x:is>
      </x:c>
      <x:c r="D464" s="5" t="inlineStr">
        <x:is>
          <x:t xml:space="preserve">Abomasnow</x:t>
        </x:is>
      </x:c>
      <x:c r="E464" s="5" t="n">
        <x:v>4</x:v>
      </x:c>
      <x:c r="F464" s="5" t="inlineStr">
        <x:is>
          <x:t xml:space="preserve">풀</x:t>
        </x:is>
      </x:c>
      <x:c r="G464" s="5" t="inlineStr">
        <x:is>
          <x:t xml:space="preserve">얼음</x:t>
        </x:is>
      </x:c>
      <x:c r="H464" s="5" t="n">
        <x:v>2.2</x:v>
      </x:c>
      <x:c r="I464" s="5" t="n">
        <x:v>135.5</x:v>
      </x:c>
      <x:c r="J464" s="5" t="n">
        <x:v>494</x:v>
      </x:c>
      <x:c r="K464" s="5" t="n">
        <x:v>60</x:v>
      </x:c>
      <x:c r="L464" s="5" t="inlineStr">
        <x:is>
          <x:t xml:space="preserve">최종</x:t>
        </x:is>
      </x:c>
      <x:c r="M464" s="5" t="n">
        <x:v>40</x:v>
      </x:c>
      <x:c r="N464" s="5" t="inlineStr">
        <x:is>
          <x:t xml:space="preserve">레벨</x:t>
        </x:is>
      </x:c>
      <x:c r="O464" s="5" t="inlineStr">
        <x:is>
          <x:t xml:space="preserve">아니오</x:t>
        </x:is>
      </x:c>
      <x:c r="P464" s="5" t="inlineStr">
        <x:is>
          <x:t xml:space="preserve">#cobblemon:is_snowy_forest; #cobblemon:is_snowy_taiga</x:t>
        </x:is>
      </x:c>
      <x:c r="Q464" s="5" t="inlineStr">
        <x:is>
          <x:t xml:space="preserve">uncommon</x:t>
        </x:is>
      </x:c>
      <x:c r="R464" s="5" t="inlineStr">
        <x:is>
          <x:t xml:space="preserve"/>
        </x:is>
      </x:c>
      <x:c r="S464" s="5" t="inlineStr">
        <x:is>
          <x:t xml:space="preserve"/>
        </x:is>
      </x:c>
      <x:c r="T464" s="5" t="inlineStr">
        <x:is>
          <x:t xml:space="preserve">육상</x:t>
        </x:is>
      </x:c>
      <x:c r="U464" s="5" t="inlineStr">
        <x:is>
          <x:t xml:space="preserve">설원</x:t>
        </x:is>
      </x:c>
      <x:c r="V464" s="5" t="inlineStr">
        <x:is>
          <x:t xml:space="preserve">한랭</x:t>
        </x:is>
      </x:c>
      <x:c r="W464" s="5" t="inlineStr">
        <x:is>
          <x:t xml:space="preserve">보통</x:t>
        </x:is>
      </x:c>
      <x:c r="X464" s="5" t="inlineStr">
        <x:is>
          <x:t xml:space="preserve">눈</x:t>
        </x:is>
      </x:c>
      <x:c r="Y464" s="5" t="inlineStr">
        <x:is>
          <x:t xml:space="preserve">무관</x:t>
        </x:is>
      </x:c>
      <x:c r="Z464" s="5" t="inlineStr">
        <x:is>
          <x:t xml:space="preserve">보통</x:t>
        </x:is>
      </x:c>
      <x:c r="AA464" s="5" t="inlineStr">
        <x:is>
          <x:t xml:space="preserve">없음</x:t>
        </x:is>
      </x:c>
      <x:c r="AB464" s="5" t="inlineStr">
        <x:is>
          <x:t xml:space="preserve">설원</x:t>
        </x:is>
      </x:c>
      <x:c r="AC464" s="5" t="inlineStr">
        <x:is>
          <x:t xml:space="preserve">gen4</x:t>
        </x:is>
      </x:c>
      <x:c r="AD464" s="5" t="inlineStr">
        <x:is>
          <x:t xml:space="preserve">.tmp/cobblemon-1.7.3-source/common/src/main/resources/data/cobblemon/species/generation4/abomasnow.json</x:t>
        </x:is>
      </x:c>
    </x:row>
    <x:row r="465" ht="22" customHeight="1">
      <x:c r="A465" s="5" t="n">
        <x:v>461</x:v>
      </x:c>
      <x:c r="B465" s="5" t="inlineStr">
        <x:is>
          <x:t xml:space="preserve">포푸니라</x:t>
        </x:is>
      </x:c>
      <x:c r="C465" s="5" t="inlineStr">
        <x:is>
          <x:t xml:space="preserve">weavile</x:t>
        </x:is>
      </x:c>
      <x:c r="D465" s="5" t="inlineStr">
        <x:is>
          <x:t xml:space="preserve">Weavile</x:t>
        </x:is>
      </x:c>
      <x:c r="E465" s="5" t="n">
        <x:v>4</x:v>
      </x:c>
      <x:c r="F465" s="5" t="inlineStr">
        <x:is>
          <x:t xml:space="preserve">악</x:t>
        </x:is>
      </x:c>
      <x:c r="G465" s="5" t="inlineStr">
        <x:is>
          <x:t xml:space="preserve">얼음</x:t>
        </x:is>
      </x:c>
      <x:c r="H465" s="5" t="n">
        <x:v>1.1</x:v>
      </x:c>
      <x:c r="I465" s="5" t="n">
        <x:v>34</x:v>
      </x:c>
      <x:c r="J465" s="5" t="n">
        <x:v>510</x:v>
      </x:c>
      <x:c r="K465" s="5" t="n">
        <x:v>45</x:v>
      </x:c>
      <x:c r="L465" s="5" t="inlineStr">
        <x:is>
          <x:t xml:space="preserve">최종</x:t>
        </x:is>
      </x:c>
      <x:c r="M465" s="5" t="n"/>
      <x:c r="N465" s="5" t="inlineStr">
        <x:is>
          <x:t xml:space="preserve">특수</x:t>
        </x:is>
      </x:c>
      <x:c r="O465" s="5" t="inlineStr">
        <x:is>
          <x:t xml:space="preserve">예</x:t>
        </x:is>
      </x:c>
      <x:c r="P465" s="5" t="inlineStr">
        <x:is>
          <x:t xml:space="preserve">#cobblemon:is_taiga</x:t>
        </x:is>
      </x:c>
      <x:c r="Q465" s="5" t="inlineStr">
        <x:is>
          <x:t xml:space="preserve">uncommon</x:t>
        </x:is>
      </x:c>
      <x:c r="R465" s="5" t="inlineStr">
        <x:is>
          <x:t xml:space="preserve"/>
        </x:is>
      </x:c>
      <x:c r="S465" s="5" t="inlineStr">
        <x:is>
          <x:t xml:space="preserve"/>
        </x:is>
      </x:c>
      <x:c r="T465" s="5" t="inlineStr">
        <x:is>
          <x:t xml:space="preserve">육상</x:t>
        </x:is>
      </x:c>
      <x:c r="U465" s="5" t="inlineStr">
        <x:is>
          <x:t xml:space="preserve">수목</x:t>
        </x:is>
      </x:c>
      <x:c r="V465" s="5" t="inlineStr">
        <x:is>
          <x:t xml:space="preserve">한랭</x:t>
        </x:is>
      </x:c>
      <x:c r="W465" s="5" t="inlineStr">
        <x:is>
          <x:t xml:space="preserve">보통</x:t>
        </x:is>
      </x:c>
      <x:c r="X465" s="5" t="inlineStr">
        <x:is>
          <x:t xml:space="preserve">무관</x:t>
        </x:is>
      </x:c>
      <x:c r="Y465" s="5" t="inlineStr">
        <x:is>
          <x:t xml:space="preserve">밤</x:t>
        </x:is>
      </x:c>
      <x:c r="Z465" s="5" t="inlineStr">
        <x:is>
          <x:t xml:space="preserve">보통</x:t>
        </x:is>
      </x:c>
      <x:c r="AA465" s="5" t="inlineStr">
        <x:is>
          <x:t xml:space="preserve">없음</x:t>
        </x:is>
      </x:c>
      <x:c r="AB465" s="5" t="inlineStr">
        <x:is>
          <x:t xml:space="preserve">숲</x:t>
        </x:is>
      </x:c>
      <x:c r="AC465" s="5" t="inlineStr">
        <x:is>
          <x:t xml:space="preserve">gen4</x:t>
        </x:is>
      </x:c>
      <x:c r="AD465" s="5" t="inlineStr">
        <x:is>
          <x:t xml:space="preserve">.tmp/cobblemon-1.7.3-source/common/src/main/resources/data/cobblemon/species/generation4/weavile.json</x:t>
        </x:is>
      </x:c>
    </x:row>
    <x:row r="466" ht="22" customHeight="1">
      <x:c r="A466" s="5" t="n">
        <x:v>462</x:v>
      </x:c>
      <x:c r="B466" s="5" t="inlineStr">
        <x:is>
          <x:t xml:space="preserve">자포코일</x:t>
        </x:is>
      </x:c>
      <x:c r="C466" s="5" t="inlineStr">
        <x:is>
          <x:t xml:space="preserve">magnezone</x:t>
        </x:is>
      </x:c>
      <x:c r="D466" s="5" t="inlineStr">
        <x:is>
          <x:t xml:space="preserve">Magnezone</x:t>
        </x:is>
      </x:c>
      <x:c r="E466" s="5" t="n">
        <x:v>4</x:v>
      </x:c>
      <x:c r="F466" s="5" t="inlineStr">
        <x:is>
          <x:t xml:space="preserve">전기</x:t>
        </x:is>
      </x:c>
      <x:c r="G466" s="5" t="inlineStr">
        <x:is>
          <x:t xml:space="preserve">강철</x:t>
        </x:is>
      </x:c>
      <x:c r="H466" s="5" t="n">
        <x:v>1.2</x:v>
      </x:c>
      <x:c r="I466" s="5" t="n">
        <x:v>180</x:v>
      </x:c>
      <x:c r="J466" s="5" t="n">
        <x:v>535</x:v>
      </x:c>
      <x:c r="K466" s="5" t="n">
        <x:v>30</x:v>
      </x:c>
      <x:c r="L466" s="5" t="inlineStr">
        <x:is>
          <x:t xml:space="preserve">최종</x:t>
        </x:is>
      </x:c>
      <x:c r="M466" s="5" t="n">
        <x:v>30</x:v>
      </x:c>
      <x:c r="N466" s="5" t="inlineStr">
        <x:is>
          <x:t xml:space="preserve">레벨·특수</x:t>
        </x:is>
      </x:c>
      <x:c r="O466" s="5" t="inlineStr">
        <x:is>
          <x:t xml:space="preserve">예</x:t>
        </x:is>
      </x:c>
      <x:c r="P466" s="5" t="inlineStr">
        <x:is>
          <x:t xml:space="preserve">#cobblemon:is_overworld; #cobblemon:is_sandy</x:t>
        </x:is>
      </x:c>
      <x:c r="Q466" s="5" t="inlineStr">
        <x:is>
          <x:t xml:space="preserve">common; uncommon</x:t>
        </x:is>
      </x:c>
      <x:c r="R466" s="5" t="inlineStr">
        <x:is>
          <x:t xml:space="preserve"/>
        </x:is>
      </x:c>
      <x:c r="S466" s="5" t="inlineStr">
        <x:is>
          <x:t xml:space="preserve"/>
        </x:is>
      </x:c>
      <x:c r="T466" s="5" t="inlineStr">
        <x:is>
          <x:t xml:space="preserve">인공</x:t>
        </x:is>
      </x:c>
      <x:c r="U466" s="5" t="inlineStr">
        <x:is>
          <x:t xml:space="preserve">건조</x:t>
        </x:is>
      </x:c>
      <x:c r="V466" s="5" t="inlineStr">
        <x:is>
          <x:t xml:space="preserve">고온</x:t>
        </x:is>
      </x:c>
      <x:c r="W466" s="5" t="inlineStr">
        <x:is>
          <x:t xml:space="preserve">건조</x:t>
        </x:is>
      </x:c>
      <x:c r="X466" s="5" t="inlineStr">
        <x:is>
          <x:t xml:space="preserve">맑음</x:t>
        </x:is>
      </x:c>
      <x:c r="Y466" s="5" t="inlineStr">
        <x:is>
          <x:t xml:space="preserve">무관</x:t>
        </x:is>
      </x:c>
      <x:c r="Z466" s="5" t="inlineStr">
        <x:is>
          <x:t xml:space="preserve">보통</x:t>
        </x:is>
      </x:c>
      <x:c r="AA466" s="5" t="inlineStr">
        <x:is>
          <x:t xml:space="preserve">도시</x:t>
        </x:is>
      </x:c>
      <x:c r="AB466" s="5" t="inlineStr">
        <x:is>
          <x:t xml:space="preserve">건조지</x:t>
        </x:is>
      </x:c>
      <x:c r="AC466" s="5" t="inlineStr">
        <x:is>
          <x:t xml:space="preserve">gen4</x:t>
        </x:is>
      </x:c>
      <x:c r="AD466" s="5" t="inlineStr">
        <x:is>
          <x:t xml:space="preserve">.tmp/cobblemon-1.7.3-source/common/src/main/resources/data/cobblemon/species/generation4/magnezone.json</x:t>
        </x:is>
      </x:c>
    </x:row>
    <x:row r="467" ht="22" customHeight="1">
      <x:c r="A467" s="5" t="n">
        <x:v>463</x:v>
      </x:c>
      <x:c r="B467" s="5" t="inlineStr">
        <x:is>
          <x:t xml:space="preserve">내룸벨트</x:t>
        </x:is>
      </x:c>
      <x:c r="C467" s="5" t="inlineStr">
        <x:is>
          <x:t xml:space="preserve">lickilicky</x:t>
        </x:is>
      </x:c>
      <x:c r="D467" s="5" t="inlineStr">
        <x:is>
          <x:t xml:space="preserve">Lickilicky</x:t>
        </x:is>
      </x:c>
      <x:c r="E467" s="5" t="n">
        <x:v>4</x:v>
      </x:c>
      <x:c r="F467" s="5" t="inlineStr">
        <x:is>
          <x:t xml:space="preserve">노말</x:t>
        </x:is>
      </x:c>
      <x:c r="G467" s="5" t="inlineStr">
        <x:is>
          <x:t xml:space="preserve"/>
        </x:is>
      </x:c>
      <x:c r="H467" s="5" t="n">
        <x:v>1.7</x:v>
      </x:c>
      <x:c r="I467" s="5" t="n">
        <x:v>140</x:v>
      </x:c>
      <x:c r="J467" s="5" t="n">
        <x:v>515</x:v>
      </x:c>
      <x:c r="K467" s="5" t="n">
        <x:v>30</x:v>
      </x:c>
      <x:c r="L467" s="5" t="inlineStr">
        <x:is>
          <x:t xml:space="preserve">최종</x:t>
        </x:is>
      </x:c>
      <x:c r="M467" s="5" t="n"/>
      <x:c r="N467" s="5" t="inlineStr">
        <x:is>
          <x:t xml:space="preserve">특수</x:t>
        </x:is>
      </x:c>
      <x:c r="O467" s="5" t="inlineStr">
        <x:is>
          <x:t xml:space="preserve">예</x:t>
        </x:is>
      </x:c>
      <x:c r="P467" s="5" t="inlineStr">
        <x:is>
          <x:t xml:space="preserve">#cobblemon:is_grassland</x:t>
        </x:is>
      </x:c>
      <x:c r="Q467" s="5" t="inlineStr">
        <x:is>
          <x:t xml:space="preserve">uncommon</x:t>
        </x:is>
      </x:c>
      <x:c r="R467" s="5" t="inlineStr">
        <x:is>
          <x:t xml:space="preserve"/>
        </x:is>
      </x:c>
      <x:c r="S467" s="5" t="inlineStr">
        <x:is>
          <x:t xml:space="preserve"/>
        </x:is>
      </x:c>
      <x:c r="T467" s="5" t="inlineStr">
        <x:is>
          <x:t xml:space="preserve">육상</x:t>
        </x:is>
      </x:c>
      <x:c r="U467" s="5" t="inlineStr">
        <x:is>
          <x:t xml:space="preserve">개활지</x:t>
        </x:is>
      </x:c>
      <x:c r="V467" s="5" t="inlineStr">
        <x:is>
          <x:t xml:space="preserve">온대</x:t>
        </x:is>
      </x:c>
      <x:c r="W467" s="5" t="inlineStr">
        <x:is>
          <x:t xml:space="preserve">보통</x:t>
        </x:is>
      </x:c>
      <x:c r="X467" s="5" t="inlineStr">
        <x:is>
          <x:t xml:space="preserve">무관</x:t>
        </x:is>
      </x:c>
      <x:c r="Y467" s="5" t="inlineStr">
        <x:is>
          <x:t xml:space="preserve">무관</x:t>
        </x:is>
      </x:c>
      <x:c r="Z467" s="5" t="inlineStr">
        <x:is>
          <x:t xml:space="preserve">보통</x:t>
        </x:is>
      </x:c>
      <x:c r="AA467" s="5" t="inlineStr">
        <x:is>
          <x:t xml:space="preserve">없음</x:t>
        </x:is>
      </x:c>
      <x:c r="AB467" s="5" t="inlineStr">
        <x:is>
          <x:t xml:space="preserve">평원</x:t>
        </x:is>
      </x:c>
      <x:c r="AC467" s="5" t="inlineStr">
        <x:is>
          <x:t xml:space="preserve">gen4</x:t>
        </x:is>
      </x:c>
      <x:c r="AD467" s="5" t="inlineStr">
        <x:is>
          <x:t xml:space="preserve">.tmp/cobblemon-1.7.3-source/common/src/main/resources/data/cobblemon/species/generation4/lickilicky.json</x:t>
        </x:is>
      </x:c>
    </x:row>
    <x:row r="468" ht="22" customHeight="1">
      <x:c r="A468" s="5" t="n">
        <x:v>464</x:v>
      </x:c>
      <x:c r="B468" s="5" t="inlineStr">
        <x:is>
          <x:t xml:space="preserve">거대코뿌리</x:t>
        </x:is>
      </x:c>
      <x:c r="C468" s="5" t="inlineStr">
        <x:is>
          <x:t xml:space="preserve">rhyperior</x:t>
        </x:is>
      </x:c>
      <x:c r="D468" s="5" t="inlineStr">
        <x:is>
          <x:t xml:space="preserve">Rhyperior</x:t>
        </x:is>
      </x:c>
      <x:c r="E468" s="5" t="n">
        <x:v>4</x:v>
      </x:c>
      <x:c r="F468" s="5" t="inlineStr">
        <x:is>
          <x:t xml:space="preserve">땅</x:t>
        </x:is>
      </x:c>
      <x:c r="G468" s="5" t="inlineStr">
        <x:is>
          <x:t xml:space="preserve">바위</x:t>
        </x:is>
      </x:c>
      <x:c r="H468" s="5" t="n">
        <x:v>2.4</x:v>
      </x:c>
      <x:c r="I468" s="5" t="n">
        <x:v>282.8</x:v>
      </x:c>
      <x:c r="J468" s="5" t="n">
        <x:v>535</x:v>
      </x:c>
      <x:c r="K468" s="5" t="n">
        <x:v>30</x:v>
      </x:c>
      <x:c r="L468" s="5" t="inlineStr">
        <x:is>
          <x:t xml:space="preserve">최종</x:t>
        </x:is>
      </x:c>
      <x:c r="M468" s="5" t="n">
        <x:v>42</x:v>
      </x:c>
      <x:c r="N468" s="5" t="inlineStr">
        <x:is>
          <x:t xml:space="preserve">레벨·특수</x:t>
        </x:is>
      </x:c>
      <x:c r="O468" s="5" t="inlineStr">
        <x:is>
          <x:t xml:space="preserve">예</x:t>
        </x:is>
      </x:c>
      <x:c r="P468" s="5" t="inlineStr">
        <x:is>
          <x:t xml:space="preserve">#cobblemon:is_mountain; #cobblemon:is_savanna</x:t>
        </x:is>
      </x:c>
      <x:c r="Q468" s="5" t="inlineStr">
        <x:is>
          <x:t xml:space="preserve">common</x:t>
        </x:is>
      </x:c>
      <x:c r="R468" s="5" t="inlineStr">
        <x:is>
          <x:t xml:space="preserve"/>
        </x:is>
      </x:c>
      <x:c r="S468" s="5" t="inlineStr">
        <x:is>
          <x:t xml:space="preserve"/>
        </x:is>
      </x:c>
      <x:c r="T468" s="5" t="inlineStr">
        <x:is>
          <x:t xml:space="preserve">육상</x:t>
        </x:is>
      </x:c>
      <x:c r="U468" s="5" t="inlineStr">
        <x:is>
          <x:t xml:space="preserve">암석</x:t>
        </x:is>
      </x:c>
      <x:c r="V468" s="5" t="inlineStr">
        <x:is>
          <x:t xml:space="preserve">온대</x:t>
        </x:is>
      </x:c>
      <x:c r="W468" s="5" t="inlineStr">
        <x:is>
          <x:t xml:space="preserve">보통</x:t>
        </x:is>
      </x:c>
      <x:c r="X468" s="5" t="inlineStr">
        <x:is>
          <x:t xml:space="preserve">무관</x:t>
        </x:is>
      </x:c>
      <x:c r="Y468" s="5" t="inlineStr">
        <x:is>
          <x:t xml:space="preserve">무관</x:t>
        </x:is>
      </x:c>
      <x:c r="Z468" s="5" t="inlineStr">
        <x:is>
          <x:t xml:space="preserve">흔함</x:t>
        </x:is>
      </x:c>
      <x:c r="AA468" s="5" t="inlineStr">
        <x:is>
          <x:t xml:space="preserve">없음</x:t>
        </x:is>
      </x:c>
      <x:c r="AB468" s="5" t="inlineStr">
        <x:is>
          <x:t xml:space="preserve">산악</x:t>
        </x:is>
      </x:c>
      <x:c r="AC468" s="5" t="inlineStr">
        <x:is>
          <x:t xml:space="preserve">gen4</x:t>
        </x:is>
      </x:c>
      <x:c r="AD468" s="5" t="inlineStr">
        <x:is>
          <x:t xml:space="preserve">.tmp/cobblemon-1.7.3-source/common/src/main/resources/data/cobblemon/species/generation4/rhyperior.json</x:t>
        </x:is>
      </x:c>
    </x:row>
    <x:row r="469" ht="22" customHeight="1">
      <x:c r="A469" s="5" t="n">
        <x:v>465</x:v>
      </x:c>
      <x:c r="B469" s="5" t="inlineStr">
        <x:is>
          <x:t xml:space="preserve">덩쿠림보</x:t>
        </x:is>
      </x:c>
      <x:c r="C469" s="5" t="inlineStr">
        <x:is>
          <x:t xml:space="preserve">tangrowth</x:t>
        </x:is>
      </x:c>
      <x:c r="D469" s="5" t="inlineStr">
        <x:is>
          <x:t xml:space="preserve">Tangrowth</x:t>
        </x:is>
      </x:c>
      <x:c r="E469" s="5" t="n">
        <x:v>4</x:v>
      </x:c>
      <x:c r="F469" s="5" t="inlineStr">
        <x:is>
          <x:t xml:space="preserve">풀</x:t>
        </x:is>
      </x:c>
      <x:c r="G469" s="5" t="inlineStr">
        <x:is>
          <x:t xml:space="preserve"/>
        </x:is>
      </x:c>
      <x:c r="H469" s="5" t="n">
        <x:v>2</x:v>
      </x:c>
      <x:c r="I469" s="5" t="n">
        <x:v>128.6</x:v>
      </x:c>
      <x:c r="J469" s="5" t="n">
        <x:v>535</x:v>
      </x:c>
      <x:c r="K469" s="5" t="n">
        <x:v>30</x:v>
      </x:c>
      <x:c r="L469" s="5" t="inlineStr">
        <x:is>
          <x:t xml:space="preserve">최종</x:t>
        </x:is>
      </x:c>
      <x:c r="M469" s="5" t="n"/>
      <x:c r="N469" s="5" t="inlineStr">
        <x:is>
          <x:t xml:space="preserve">특수</x:t>
        </x:is>
      </x:c>
      <x:c r="O469" s="5" t="inlineStr">
        <x:is>
          <x:t xml:space="preserve">예</x:t>
        </x:is>
      </x:c>
      <x:c r="P469" s="5" t="inlineStr">
        <x:is>
          <x:t xml:space="preserve">#cobblemon:is_jungle</x:t>
        </x:is>
      </x:c>
      <x:c r="Q469" s="5" t="inlineStr">
        <x:is>
          <x:t xml:space="preserve">common</x:t>
        </x:is>
      </x:c>
      <x:c r="R469" s="5" t="inlineStr">
        <x:is>
          <x:t xml:space="preserve"/>
        </x:is>
      </x:c>
      <x:c r="S469" s="5" t="inlineStr">
        <x:is>
          <x:t xml:space="preserve"/>
        </x:is>
      </x:c>
      <x:c r="T469" s="5" t="inlineStr">
        <x:is>
          <x:t xml:space="preserve">육상</x:t>
        </x:is>
      </x:c>
      <x:c r="U469" s="5" t="inlineStr">
        <x:is>
          <x:t xml:space="preserve">수목</x:t>
        </x:is>
      </x:c>
      <x:c r="V469" s="5" t="inlineStr">
        <x:is>
          <x:t xml:space="preserve">온대</x:t>
        </x:is>
      </x:c>
      <x:c r="W469" s="5" t="inlineStr">
        <x:is>
          <x:t xml:space="preserve">다습</x:t>
        </x:is>
      </x:c>
      <x:c r="X469" s="5" t="inlineStr">
        <x:is>
          <x:t xml:space="preserve">무관</x:t>
        </x:is>
      </x:c>
      <x:c r="Y469" s="5" t="inlineStr">
        <x:is>
          <x:t xml:space="preserve">무관</x:t>
        </x:is>
      </x:c>
      <x:c r="Z469" s="5" t="inlineStr">
        <x:is>
          <x:t xml:space="preserve">흔함</x:t>
        </x:is>
      </x:c>
      <x:c r="AA469" s="5" t="inlineStr">
        <x:is>
          <x:t xml:space="preserve">없음</x:t>
        </x:is>
      </x:c>
      <x:c r="AB469" s="5" t="inlineStr">
        <x:is>
          <x:t xml:space="preserve">숲</x:t>
        </x:is>
      </x:c>
      <x:c r="AC469" s="5" t="inlineStr">
        <x:is>
          <x:t xml:space="preserve">gen4</x:t>
        </x:is>
      </x:c>
      <x:c r="AD469" s="5" t="inlineStr">
        <x:is>
          <x:t xml:space="preserve">.tmp/cobblemon-1.7.3-source/common/src/main/resources/data/cobblemon/species/generation4/tangrowth.json</x:t>
        </x:is>
      </x:c>
    </x:row>
    <x:row r="470" ht="22" customHeight="1">
      <x:c r="A470" s="5" t="n">
        <x:v>466</x:v>
      </x:c>
      <x:c r="B470" s="5" t="inlineStr">
        <x:is>
          <x:t xml:space="preserve">에레키블</x:t>
        </x:is>
      </x:c>
      <x:c r="C470" s="5" t="inlineStr">
        <x:is>
          <x:t xml:space="preserve">electivire</x:t>
        </x:is>
      </x:c>
      <x:c r="D470" s="5" t="inlineStr">
        <x:is>
          <x:t xml:space="preserve">Electivire</x:t>
        </x:is>
      </x:c>
      <x:c r="E470" s="5" t="n">
        <x:v>4</x:v>
      </x:c>
      <x:c r="F470" s="5" t="inlineStr">
        <x:is>
          <x:t xml:space="preserve">전기</x:t>
        </x:is>
      </x:c>
      <x:c r="G470" s="5" t="inlineStr">
        <x:is>
          <x:t xml:space="preserve"/>
        </x:is>
      </x:c>
      <x:c r="H470" s="5" t="n">
        <x:v>1.8</x:v>
      </x:c>
      <x:c r="I470" s="5" t="n">
        <x:v>138.6</x:v>
      </x:c>
      <x:c r="J470" s="5" t="n">
        <x:v>540</x:v>
      </x:c>
      <x:c r="K470" s="5" t="n">
        <x:v>30</x:v>
      </x:c>
      <x:c r="L470" s="5" t="inlineStr">
        <x:is>
          <x:t xml:space="preserve">최종</x:t>
        </x:is>
      </x:c>
      <x:c r="M470" s="5" t="n">
        <x:v>30</x:v>
      </x:c>
      <x:c r="N470" s="5" t="inlineStr">
        <x:is>
          <x:t xml:space="preserve">레벨·특수</x:t>
        </x:is>
      </x:c>
      <x:c r="O470" s="5" t="inlineStr">
        <x:is>
          <x:t xml:space="preserve">예</x:t>
        </x:is>
      </x:c>
      <x:c r="P470" s="5" t="inlineStr">
        <x:is>
          <x:t xml:space="preserve">#cobblemon:is_hills; #cobblemon:is_plains</x:t>
        </x:is>
      </x:c>
      <x:c r="Q470" s="5" t="inlineStr">
        <x:is>
          <x:t xml:space="preserve">uncommon</x:t>
        </x:is>
      </x:c>
      <x:c r="R470" s="5" t="inlineStr">
        <x:is>
          <x:t xml:space="preserve"/>
        </x:is>
      </x:c>
      <x:c r="S470" s="5" t="inlineStr">
        <x:is>
          <x:t xml:space="preserve"/>
        </x:is>
      </x:c>
      <x:c r="T470" s="5" t="inlineStr">
        <x:is>
          <x:t xml:space="preserve">육상</x:t>
        </x:is>
      </x:c>
      <x:c r="U470" s="5" t="inlineStr">
        <x:is>
          <x:t xml:space="preserve">암석</x:t>
        </x:is>
      </x:c>
      <x:c r="V470" s="5" t="inlineStr">
        <x:is>
          <x:t xml:space="preserve">온대</x:t>
        </x:is>
      </x:c>
      <x:c r="W470" s="5" t="inlineStr">
        <x:is>
          <x:t xml:space="preserve">보통</x:t>
        </x:is>
      </x:c>
      <x:c r="X470" s="5" t="inlineStr">
        <x:is>
          <x:t xml:space="preserve">무관</x:t>
        </x:is>
      </x:c>
      <x:c r="Y470" s="5" t="inlineStr">
        <x:is>
          <x:t xml:space="preserve">무관</x:t>
        </x:is>
      </x:c>
      <x:c r="Z470" s="5" t="inlineStr">
        <x:is>
          <x:t xml:space="preserve">보통</x:t>
        </x:is>
      </x:c>
      <x:c r="AA470" s="5" t="inlineStr">
        <x:is>
          <x:t xml:space="preserve">없음</x:t>
        </x:is>
      </x:c>
      <x:c r="AB470" s="5" t="inlineStr">
        <x:is>
          <x:t xml:space="preserve">산악</x:t>
        </x:is>
      </x:c>
      <x:c r="AC470" s="5" t="inlineStr">
        <x:is>
          <x:t xml:space="preserve">gen4</x:t>
        </x:is>
      </x:c>
      <x:c r="AD470" s="5" t="inlineStr">
        <x:is>
          <x:t xml:space="preserve">.tmp/cobblemon-1.7.3-source/common/src/main/resources/data/cobblemon/species/generation4/electivire.json</x:t>
        </x:is>
      </x:c>
    </x:row>
    <x:row r="471" ht="22" customHeight="1">
      <x:c r="A471" s="5" t="n">
        <x:v>467</x:v>
      </x:c>
      <x:c r="B471" s="5" t="inlineStr">
        <x:is>
          <x:t xml:space="preserve">마그마번</x:t>
        </x:is>
      </x:c>
      <x:c r="C471" s="5" t="inlineStr">
        <x:is>
          <x:t xml:space="preserve">magmortar</x:t>
        </x:is>
      </x:c>
      <x:c r="D471" s="5" t="inlineStr">
        <x:is>
          <x:t xml:space="preserve">Magmortar</x:t>
        </x:is>
      </x:c>
      <x:c r="E471" s="5" t="n">
        <x:v>4</x:v>
      </x:c>
      <x:c r="F471" s="5" t="inlineStr">
        <x:is>
          <x:t xml:space="preserve">불꽃</x:t>
        </x:is>
      </x:c>
      <x:c r="G471" s="5" t="inlineStr">
        <x:is>
          <x:t xml:space="preserve"/>
        </x:is>
      </x:c>
      <x:c r="H471" s="5" t="n">
        <x:v>1.6</x:v>
      </x:c>
      <x:c r="I471" s="5" t="n">
        <x:v>68</x:v>
      </x:c>
      <x:c r="J471" s="5" t="n">
        <x:v>540</x:v>
      </x:c>
      <x:c r="K471" s="5" t="n">
        <x:v>30</x:v>
      </x:c>
      <x:c r="L471" s="5" t="inlineStr">
        <x:is>
          <x:t xml:space="preserve">최종</x:t>
        </x:is>
      </x:c>
      <x:c r="M471" s="5" t="n">
        <x:v>30</x:v>
      </x:c>
      <x:c r="N471" s="5" t="inlineStr">
        <x:is>
          <x:t xml:space="preserve">레벨·특수</x:t>
        </x:is>
      </x:c>
      <x:c r="O471" s="5" t="inlineStr">
        <x:is>
          <x:t xml:space="preserve">예</x:t>
        </x:is>
      </x:c>
      <x:c r="P471" s="5" t="inlineStr">
        <x:is>
          <x:t xml:space="preserve">#cobblemon:is_hills; #cobblemon:is_volcanic; #cobblemon:nether/is_basalt; #cobblemon:nether/is_wasteland</x:t>
        </x:is>
      </x:c>
      <x:c r="Q471" s="5" t="inlineStr">
        <x:is>
          <x:t xml:space="preserve">common</x:t>
        </x:is>
      </x:c>
      <x:c r="R471" s="5" t="inlineStr">
        <x:is>
          <x:t xml:space="preserve"/>
        </x:is>
      </x:c>
      <x:c r="S471" s="5" t="inlineStr">
        <x:is>
          <x:t xml:space="preserve">비=False</x:t>
        </x:is>
      </x:c>
      <x:c r="T471" s="5" t="inlineStr">
        <x:is>
          <x:t xml:space="preserve">육상</x:t>
        </x:is>
      </x:c>
      <x:c r="U471" s="5" t="inlineStr">
        <x:is>
          <x:t xml:space="preserve">화산</x:t>
        </x:is>
      </x:c>
      <x:c r="V471" s="5" t="inlineStr">
        <x:is>
          <x:t xml:space="preserve">고온</x:t>
        </x:is>
      </x:c>
      <x:c r="W471" s="5" t="inlineStr">
        <x:is>
          <x:t xml:space="preserve">건조</x:t>
        </x:is>
      </x:c>
      <x:c r="X471" s="5" t="inlineStr">
        <x:is>
          <x:t xml:space="preserve">맑음</x:t>
        </x:is>
      </x:c>
      <x:c r="Y471" s="5" t="inlineStr">
        <x:is>
          <x:t xml:space="preserve">무관</x:t>
        </x:is>
      </x:c>
      <x:c r="Z471" s="5" t="inlineStr">
        <x:is>
          <x:t xml:space="preserve">흔함</x:t>
        </x:is>
      </x:c>
      <x:c r="AA471" s="5" t="inlineStr">
        <x:is>
          <x:t xml:space="preserve">화산</x:t>
        </x:is>
      </x:c>
      <x:c r="AB471" s="5" t="inlineStr">
        <x:is>
          <x:t xml:space="preserve">화산</x:t>
        </x:is>
      </x:c>
      <x:c r="AC471" s="5" t="inlineStr">
        <x:is>
          <x:t xml:space="preserve">gen4</x:t>
        </x:is>
      </x:c>
      <x:c r="AD471" s="5" t="inlineStr">
        <x:is>
          <x:t xml:space="preserve">.tmp/cobblemon-1.7.3-source/common/src/main/resources/data/cobblemon/species/generation4/magmortar.json</x:t>
        </x:is>
      </x:c>
    </x:row>
    <x:row r="472" ht="22" customHeight="1">
      <x:c r="A472" s="5" t="n">
        <x:v>468</x:v>
      </x:c>
      <x:c r="B472" s="5" t="inlineStr">
        <x:is>
          <x:t xml:space="preserve">토게키스</x:t>
        </x:is>
      </x:c>
      <x:c r="C472" s="5" t="inlineStr">
        <x:is>
          <x:t xml:space="preserve">togekiss</x:t>
        </x:is>
      </x:c>
      <x:c r="D472" s="5" t="inlineStr">
        <x:is>
          <x:t xml:space="preserve">Togekiss</x:t>
        </x:is>
      </x:c>
      <x:c r="E472" s="5" t="n">
        <x:v>4</x:v>
      </x:c>
      <x:c r="F472" s="5" t="inlineStr">
        <x:is>
          <x:t xml:space="preserve">페어리</x:t>
        </x:is>
      </x:c>
      <x:c r="G472" s="5" t="inlineStr">
        <x:is>
          <x:t xml:space="preserve">비행</x:t>
        </x:is>
      </x:c>
      <x:c r="H472" s="5" t="n">
        <x:v>1.5</x:v>
      </x:c>
      <x:c r="I472" s="5" t="n">
        <x:v>38</x:v>
      </x:c>
      <x:c r="J472" s="5" t="n">
        <x:v>545</x:v>
      </x:c>
      <x:c r="K472" s="5" t="n">
        <x:v>30</x:v>
      </x:c>
      <x:c r="L472" s="5" t="inlineStr">
        <x:is>
          <x:t xml:space="preserve">최종</x:t>
        </x:is>
      </x:c>
      <x:c r="M472" s="5" t="n"/>
      <x:c r="N472" s="5" t="inlineStr">
        <x:is>
          <x:t xml:space="preserve">특수</x:t>
        </x:is>
      </x:c>
      <x:c r="O472" s="5" t="inlineStr">
        <x:is>
          <x:t xml:space="preserve">예</x:t>
        </x:is>
      </x:c>
      <x:c r="P472" s="5" t="inlineStr">
        <x:is>
          <x:t xml:space="preserve">#cobblemon:is_floral; #cobblemon:is_magical; #cobblemon:is_sky; aether:skyroot_grove; aether:skyroot_meadow; the_bumblezone:floral_meadow</x:t>
        </x:is>
      </x:c>
      <x:c r="Q472" s="5" t="inlineStr">
        <x:is>
          <x:t xml:space="preserve">rare</x:t>
        </x:is>
      </x:c>
      <x:c r="R472" s="5" t="inlineStr">
        <x:is>
          <x:t xml:space="preserve">day</x:t>
        </x:is>
      </x:c>
      <x:c r="S472" s="5" t="inlineStr">
        <x:is>
          <x:t xml:space="preserve">비=False</x:t>
        </x:is>
      </x:c>
      <x:c r="T472" s="5" t="inlineStr">
        <x:is>
          <x:t xml:space="preserve">비행</x:t>
        </x:is>
      </x:c>
      <x:c r="U472" s="5" t="inlineStr">
        <x:is>
          <x:t xml:space="preserve">개활지</x:t>
        </x:is>
      </x:c>
      <x:c r="V472" s="5" t="inlineStr">
        <x:is>
          <x:t xml:space="preserve">온대</x:t>
        </x:is>
      </x:c>
      <x:c r="W472" s="5" t="inlineStr">
        <x:is>
          <x:t xml:space="preserve">보통</x:t>
        </x:is>
      </x:c>
      <x:c r="X472" s="5" t="inlineStr">
        <x:is>
          <x:t xml:space="preserve">무관</x:t>
        </x:is>
      </x:c>
      <x:c r="Y472" s="5" t="inlineStr">
        <x:is>
          <x:t xml:space="preserve">낮</x:t>
        </x:is>
      </x:c>
      <x:c r="Z472" s="5" t="inlineStr">
        <x:is>
          <x:t xml:space="preserve">드묾</x:t>
        </x:is>
      </x:c>
      <x:c r="AA472" s="5" t="inlineStr">
        <x:is>
          <x:t xml:space="preserve">없음</x:t>
        </x:is>
      </x:c>
      <x:c r="AB472" s="5" t="inlineStr">
        <x:is>
          <x:t xml:space="preserve">평원</x:t>
        </x:is>
      </x:c>
      <x:c r="AC472" s="5" t="inlineStr">
        <x:is>
          <x:t xml:space="preserve">gen4</x:t>
        </x:is>
      </x:c>
      <x:c r="AD472" s="5" t="inlineStr">
        <x:is>
          <x:t xml:space="preserve">.tmp/cobblemon-1.7.3-source/common/src/main/resources/data/cobblemon/species/generation4/togekiss.json</x:t>
        </x:is>
      </x:c>
    </x:row>
    <x:row r="473" ht="22" customHeight="1">
      <x:c r="A473" s="5" t="n">
        <x:v>469</x:v>
      </x:c>
      <x:c r="B473" s="5" t="inlineStr">
        <x:is>
          <x:t xml:space="preserve">메가자리</x:t>
        </x:is>
      </x:c>
      <x:c r="C473" s="5" t="inlineStr">
        <x:is>
          <x:t xml:space="preserve">yanmega</x:t>
        </x:is>
      </x:c>
      <x:c r="D473" s="5" t="inlineStr">
        <x:is>
          <x:t xml:space="preserve">Yanmega</x:t>
        </x:is>
      </x:c>
      <x:c r="E473" s="5" t="n">
        <x:v>4</x:v>
      </x:c>
      <x:c r="F473" s="5" t="inlineStr">
        <x:is>
          <x:t xml:space="preserve">벌레</x:t>
        </x:is>
      </x:c>
      <x:c r="G473" s="5" t="inlineStr">
        <x:is>
          <x:t xml:space="preserve">비행</x:t>
        </x:is>
      </x:c>
      <x:c r="H473" s="5" t="n">
        <x:v>1.9</x:v>
      </x:c>
      <x:c r="I473" s="5" t="n">
        <x:v>51.5</x:v>
      </x:c>
      <x:c r="J473" s="5" t="n">
        <x:v>515</x:v>
      </x:c>
      <x:c r="K473" s="5" t="n">
        <x:v>30</x:v>
      </x:c>
      <x:c r="L473" s="5" t="inlineStr">
        <x:is>
          <x:t xml:space="preserve">최종</x:t>
        </x:is>
      </x:c>
      <x:c r="M473" s="5" t="n"/>
      <x:c r="N473" s="5" t="inlineStr">
        <x:is>
          <x:t xml:space="preserve">특수</x:t>
        </x:is>
      </x:c>
      <x:c r="O473" s="5" t="inlineStr">
        <x:is>
          <x:t xml:space="preserve">예</x:t>
        </x:is>
      </x:c>
      <x:c r="P473" s="5" t="inlineStr">
        <x:is>
          <x:t xml:space="preserve">#aether:is_aether; #cobblemon:is_freshwater; #cobblemon:is_lush; #cobblemon:is_overworld; #the_bumblezone:the_bumblezone</x:t>
        </x:is>
      </x:c>
      <x:c r="Q473" s="5" t="inlineStr">
        <x:is>
          <x:t xml:space="preserve">uncommon</x:t>
        </x:is>
      </x:c>
      <x:c r="R473" s="5" t="inlineStr">
        <x:is>
          <x:t xml:space="preserve">day</x:t>
        </x:is>
      </x:c>
      <x:c r="S473" s="5" t="inlineStr">
        <x:is>
          <x:t xml:space="preserve">비=False</x:t>
        </x:is>
      </x:c>
      <x:c r="T473" s="5" t="inlineStr">
        <x:is>
          <x:t xml:space="preserve">담수</x:t>
        </x:is>
      </x:c>
      <x:c r="U473" s="5" t="inlineStr">
        <x:is>
          <x:t xml:space="preserve">담수</x:t>
        </x:is>
      </x:c>
      <x:c r="V473" s="5" t="inlineStr">
        <x:is>
          <x:t xml:space="preserve">온대</x:t>
        </x:is>
      </x:c>
      <x:c r="W473" s="5" t="inlineStr">
        <x:is>
          <x:t xml:space="preserve">수중</x:t>
        </x:is>
      </x:c>
      <x:c r="X473" s="5" t="inlineStr">
        <x:is>
          <x:t xml:space="preserve">비</x:t>
        </x:is>
      </x:c>
      <x:c r="Y473" s="5" t="inlineStr">
        <x:is>
          <x:t xml:space="preserve">낮</x:t>
        </x:is>
      </x:c>
      <x:c r="Z473" s="5" t="inlineStr">
        <x:is>
          <x:t xml:space="preserve">보통</x:t>
        </x:is>
      </x:c>
      <x:c r="AA473" s="5" t="inlineStr">
        <x:is>
          <x:t xml:space="preserve">없음</x:t>
        </x:is>
      </x:c>
      <x:c r="AB473" s="5" t="inlineStr">
        <x:is>
          <x:t xml:space="preserve">담수</x:t>
        </x:is>
      </x:c>
      <x:c r="AC473" s="5" t="inlineStr">
        <x:is>
          <x:t xml:space="preserve">gen4</x:t>
        </x:is>
      </x:c>
      <x:c r="AD473" s="5" t="inlineStr">
        <x:is>
          <x:t xml:space="preserve">.tmp/cobblemon-1.7.3-source/common/src/main/resources/data/cobblemon/species/generation4/yanmega.json</x:t>
        </x:is>
      </x:c>
    </x:row>
    <x:row r="474" ht="22" customHeight="1">
      <x:c r="A474" s="5" t="n">
        <x:v>470</x:v>
      </x:c>
      <x:c r="B474" s="5" t="inlineStr">
        <x:is>
          <x:t xml:space="preserve">리피아</x:t>
        </x:is>
      </x:c>
      <x:c r="C474" s="5" t="inlineStr">
        <x:is>
          <x:t xml:space="preserve">leafeon</x:t>
        </x:is>
      </x:c>
      <x:c r="D474" s="5" t="inlineStr">
        <x:is>
          <x:t xml:space="preserve">Leafeon</x:t>
        </x:is>
      </x:c>
      <x:c r="E474" s="5" t="n">
        <x:v>4</x:v>
      </x:c>
      <x:c r="F474" s="5" t="inlineStr">
        <x:is>
          <x:t xml:space="preserve">풀</x:t>
        </x:is>
      </x:c>
      <x:c r="G474" s="5" t="inlineStr">
        <x:is>
          <x:t xml:space="preserve"/>
        </x:is>
      </x:c>
      <x:c r="H474" s="5" t="n">
        <x:v>1</x:v>
      </x:c>
      <x:c r="I474" s="5" t="n">
        <x:v>25.5</x:v>
      </x:c>
      <x:c r="J474" s="5" t="n">
        <x:v>525</x:v>
      </x:c>
      <x:c r="K474" s="5" t="n">
        <x:v>45</x:v>
      </x:c>
      <x:c r="L474" s="5" t="inlineStr">
        <x:is>
          <x:t xml:space="preserve">최종</x:t>
        </x:is>
      </x:c>
      <x:c r="M474" s="5" t="n"/>
      <x:c r="N474" s="5" t="inlineStr">
        <x:is>
          <x:t xml:space="preserve">특수</x:t>
        </x:is>
      </x:c>
      <x:c r="O474" s="5" t="inlineStr">
        <x:is>
          <x:t xml:space="preserve">예</x:t>
        </x:is>
      </x:c>
      <x:c r="P474" s="5" t="inlineStr">
        <x:is>
          <x:t xml:space="preserve">#cobblemon:is_forest; #cobblemon:is_jungle; #cobblemon:is_overworld; aether:skyroot_forest; aether:skyroot_woodland</x:t>
        </x:is>
      </x:c>
      <x:c r="Q474" s="5" t="inlineStr">
        <x:is>
          <x:t xml:space="preserve">ultra-rare; uncommon</x:t>
        </x:is>
      </x:c>
      <x:c r="R474" s="5" t="inlineStr">
        <x:is>
          <x:t xml:space="preserve"/>
        </x:is>
      </x:c>
      <x:c r="S474" s="5" t="inlineStr">
        <x:is>
          <x:t xml:space="preserve"/>
        </x:is>
      </x:c>
      <x:c r="T474" s="5" t="inlineStr">
        <x:is>
          <x:t xml:space="preserve">육상</x:t>
        </x:is>
      </x:c>
      <x:c r="U474" s="5" t="inlineStr">
        <x:is>
          <x:t xml:space="preserve">수목</x:t>
        </x:is>
      </x:c>
      <x:c r="V474" s="5" t="inlineStr">
        <x:is>
          <x:t xml:space="preserve">온대</x:t>
        </x:is>
      </x:c>
      <x:c r="W474" s="5" t="inlineStr">
        <x:is>
          <x:t xml:space="preserve">다습</x:t>
        </x:is>
      </x:c>
      <x:c r="X474" s="5" t="inlineStr">
        <x:is>
          <x:t xml:space="preserve">무관</x:t>
        </x:is>
      </x:c>
      <x:c r="Y474" s="5" t="inlineStr">
        <x:is>
          <x:t xml:space="preserve">무관</x:t>
        </x:is>
      </x:c>
      <x:c r="Z474" s="5" t="inlineStr">
        <x:is>
          <x:t xml:space="preserve">보통</x:t>
        </x:is>
      </x:c>
      <x:c r="AA474" s="5" t="inlineStr">
        <x:is>
          <x:t xml:space="preserve">없음</x:t>
        </x:is>
      </x:c>
      <x:c r="AB474" s="5" t="inlineStr">
        <x:is>
          <x:t xml:space="preserve">숲</x:t>
        </x:is>
      </x:c>
      <x:c r="AC474" s="5" t="inlineStr">
        <x:is>
          <x:t xml:space="preserve">gen4</x:t>
        </x:is>
      </x:c>
      <x:c r="AD474" s="5" t="inlineStr">
        <x:is>
          <x:t xml:space="preserve">.tmp/cobblemon-1.7.3-source/common/src/main/resources/data/cobblemon/species/generation4/leafeon.json</x:t>
        </x:is>
      </x:c>
    </x:row>
    <x:row r="475" ht="22" customHeight="1">
      <x:c r="A475" s="5" t="n">
        <x:v>471</x:v>
      </x:c>
      <x:c r="B475" s="5" t="inlineStr">
        <x:is>
          <x:t xml:space="preserve">글레이시아</x:t>
        </x:is>
      </x:c>
      <x:c r="C475" s="5" t="inlineStr">
        <x:is>
          <x:t xml:space="preserve">glaceon</x:t>
        </x:is>
      </x:c>
      <x:c r="D475" s="5" t="inlineStr">
        <x:is>
          <x:t xml:space="preserve">Glaceon</x:t>
        </x:is>
      </x:c>
      <x:c r="E475" s="5" t="n">
        <x:v>4</x:v>
      </x:c>
      <x:c r="F475" s="5" t="inlineStr">
        <x:is>
          <x:t xml:space="preserve">얼음</x:t>
        </x:is>
      </x:c>
      <x:c r="G475" s="5" t="inlineStr">
        <x:is>
          <x:t xml:space="preserve"/>
        </x:is>
      </x:c>
      <x:c r="H475" s="5" t="n">
        <x:v>0.8</x:v>
      </x:c>
      <x:c r="I475" s="5" t="n">
        <x:v>25.9</x:v>
      </x:c>
      <x:c r="J475" s="5" t="n">
        <x:v>525</x:v>
      </x:c>
      <x:c r="K475" s="5" t="n">
        <x:v>45</x:v>
      </x:c>
      <x:c r="L475" s="5" t="inlineStr">
        <x:is>
          <x:t xml:space="preserve">최종</x:t>
        </x:is>
      </x:c>
      <x:c r="M475" s="5" t="n"/>
      <x:c r="N475" s="5" t="inlineStr">
        <x:is>
          <x:t xml:space="preserve">특수</x:t>
        </x:is>
      </x:c>
      <x:c r="O475" s="5" t="inlineStr">
        <x:is>
          <x:t xml:space="preserve">예</x:t>
        </x:is>
      </x:c>
      <x:c r="P475" s="5" t="inlineStr">
        <x:is>
          <x:t xml:space="preserve">#cobblemon:is_freezing; #cobblemon:is_overworld</x:t>
        </x:is>
      </x:c>
      <x:c r="Q475" s="5" t="inlineStr">
        <x:is>
          <x:t xml:space="preserve">ultra-rare; uncommon</x:t>
        </x:is>
      </x:c>
      <x:c r="R475" s="5" t="inlineStr">
        <x:is>
          <x:t xml:space="preserve"/>
        </x:is>
      </x:c>
      <x:c r="S475" s="5" t="inlineStr">
        <x:is>
          <x:t xml:space="preserve"/>
        </x:is>
      </x:c>
      <x:c r="T475" s="5" t="inlineStr">
        <x:is>
          <x:t xml:space="preserve">육상</x:t>
        </x:is>
      </x:c>
      <x:c r="U475" s="5" t="inlineStr">
        <x:is>
          <x:t xml:space="preserve">설원</x:t>
        </x:is>
      </x:c>
      <x:c r="V475" s="5" t="inlineStr">
        <x:is>
          <x:t xml:space="preserve">한랭</x:t>
        </x:is>
      </x:c>
      <x:c r="W475" s="5" t="inlineStr">
        <x:is>
          <x:t xml:space="preserve">보통</x:t>
        </x:is>
      </x:c>
      <x:c r="X475" s="5" t="inlineStr">
        <x:is>
          <x:t xml:space="preserve">무관</x:t>
        </x:is>
      </x:c>
      <x:c r="Y475" s="5" t="inlineStr">
        <x:is>
          <x:t xml:space="preserve">무관</x:t>
        </x:is>
      </x:c>
      <x:c r="Z475" s="5" t="inlineStr">
        <x:is>
          <x:t xml:space="preserve">보통</x:t>
        </x:is>
      </x:c>
      <x:c r="AA475" s="5" t="inlineStr">
        <x:is>
          <x:t xml:space="preserve">없음</x:t>
        </x:is>
      </x:c>
      <x:c r="AB475" s="5" t="inlineStr">
        <x:is>
          <x:t xml:space="preserve"/>
        </x:is>
      </x:c>
      <x:c r="AC475" s="5" t="inlineStr">
        <x:is>
          <x:t xml:space="preserve">gen4</x:t>
        </x:is>
      </x:c>
      <x:c r="AD475" s="5" t="inlineStr">
        <x:is>
          <x:t xml:space="preserve">.tmp/cobblemon-1.7.3-source/common/src/main/resources/data/cobblemon/species/generation4/glaceon.json</x:t>
        </x:is>
      </x:c>
    </x:row>
    <x:row r="476" ht="22" customHeight="1">
      <x:c r="A476" s="5" t="n">
        <x:v>472</x:v>
      </x:c>
      <x:c r="B476" s="5" t="inlineStr">
        <x:is>
          <x:t xml:space="preserve">글라이온</x:t>
        </x:is>
      </x:c>
      <x:c r="C476" s="5" t="inlineStr">
        <x:is>
          <x:t xml:space="preserve">gliscor</x:t>
        </x:is>
      </x:c>
      <x:c r="D476" s="5" t="inlineStr">
        <x:is>
          <x:t xml:space="preserve">Gliscor</x:t>
        </x:is>
      </x:c>
      <x:c r="E476" s="5" t="n">
        <x:v>4</x:v>
      </x:c>
      <x:c r="F476" s="5" t="inlineStr">
        <x:is>
          <x:t xml:space="preserve">땅</x:t>
        </x:is>
      </x:c>
      <x:c r="G476" s="5" t="inlineStr">
        <x:is>
          <x:t xml:space="preserve">비행</x:t>
        </x:is>
      </x:c>
      <x:c r="H476" s="5" t="n">
        <x:v>2</x:v>
      </x:c>
      <x:c r="I476" s="5" t="n">
        <x:v>42.5</x:v>
      </x:c>
      <x:c r="J476" s="5" t="n">
        <x:v>510</x:v>
      </x:c>
      <x:c r="K476" s="5" t="n">
        <x:v>30</x:v>
      </x:c>
      <x:c r="L476" s="5" t="inlineStr">
        <x:is>
          <x:t xml:space="preserve">최종</x:t>
        </x:is>
      </x:c>
      <x:c r="M476" s="5" t="n"/>
      <x:c r="N476" s="5" t="inlineStr">
        <x:is>
          <x:t xml:space="preserve">특수</x:t>
        </x:is>
      </x:c>
      <x:c r="O476" s="5" t="inlineStr">
        <x:is>
          <x:t xml:space="preserve">예</x:t>
        </x:is>
      </x:c>
      <x:c r="P476" s="5" t="inlineStr">
        <x:is>
          <x:t xml:space="preserve">#cobblemon:is_badlands; #cobblemon:nether/is_mountain</x:t>
        </x:is>
      </x:c>
      <x:c r="Q476" s="5" t="inlineStr">
        <x:is>
          <x:t xml:space="preserve">common; uncommon</x:t>
        </x:is>
      </x:c>
      <x:c r="R476" s="5" t="inlineStr">
        <x:is>
          <x:t xml:space="preserve">night</x:t>
        </x:is>
      </x:c>
      <x:c r="S476" s="5" t="inlineStr">
        <x:is>
          <x:t xml:space="preserve"/>
        </x:is>
      </x:c>
      <x:c r="T476" s="5" t="inlineStr">
        <x:is>
          <x:t xml:space="preserve">비행</x:t>
        </x:is>
      </x:c>
      <x:c r="U476" s="5" t="inlineStr">
        <x:is>
          <x:t xml:space="preserve">화산</x:t>
        </x:is>
      </x:c>
      <x:c r="V476" s="5" t="inlineStr">
        <x:is>
          <x:t xml:space="preserve">고온</x:t>
        </x:is>
      </x:c>
      <x:c r="W476" s="5" t="inlineStr">
        <x:is>
          <x:t xml:space="preserve">건조</x:t>
        </x:is>
      </x:c>
      <x:c r="X476" s="5" t="inlineStr">
        <x:is>
          <x:t xml:space="preserve">맑음</x:t>
        </x:is>
      </x:c>
      <x:c r="Y476" s="5" t="inlineStr">
        <x:is>
          <x:t xml:space="preserve">밤</x:t>
        </x:is>
      </x:c>
      <x:c r="Z476" s="5" t="inlineStr">
        <x:is>
          <x:t xml:space="preserve">보통</x:t>
        </x:is>
      </x:c>
      <x:c r="AA476" s="5" t="inlineStr">
        <x:is>
          <x:t xml:space="preserve">화산</x:t>
        </x:is>
      </x:c>
      <x:c r="AB476" s="5" t="inlineStr">
        <x:is>
          <x:t xml:space="preserve">화산</x:t>
        </x:is>
      </x:c>
      <x:c r="AC476" s="5" t="inlineStr">
        <x:is>
          <x:t xml:space="preserve">gen4</x:t>
        </x:is>
      </x:c>
      <x:c r="AD476" s="5" t="inlineStr">
        <x:is>
          <x:t xml:space="preserve">.tmp/cobblemon-1.7.3-source/common/src/main/resources/data/cobblemon/species/generation4/gliscor.json</x:t>
        </x:is>
      </x:c>
    </x:row>
    <x:row r="477" ht="22" customHeight="1">
      <x:c r="A477" s="5" t="n">
        <x:v>473</x:v>
      </x:c>
      <x:c r="B477" s="5" t="inlineStr">
        <x:is>
          <x:t xml:space="preserve">맘모꾸리</x:t>
        </x:is>
      </x:c>
      <x:c r="C477" s="5" t="inlineStr">
        <x:is>
          <x:t xml:space="preserve">mamoswine</x:t>
        </x:is>
      </x:c>
      <x:c r="D477" s="5" t="inlineStr">
        <x:is>
          <x:t xml:space="preserve">Mamoswine</x:t>
        </x:is>
      </x:c>
      <x:c r="E477" s="5" t="n">
        <x:v>4</x:v>
      </x:c>
      <x:c r="F477" s="5" t="inlineStr">
        <x:is>
          <x:t xml:space="preserve">얼음</x:t>
        </x:is>
      </x:c>
      <x:c r="G477" s="5" t="inlineStr">
        <x:is>
          <x:t xml:space="preserve">땅</x:t>
        </x:is>
      </x:c>
      <x:c r="H477" s="5" t="n">
        <x:v>2.5</x:v>
      </x:c>
      <x:c r="I477" s="5" t="n">
        <x:v>291</x:v>
      </x:c>
      <x:c r="J477" s="5" t="n">
        <x:v>530</x:v>
      </x:c>
      <x:c r="K477" s="5" t="n">
        <x:v>50</x:v>
      </x:c>
      <x:c r="L477" s="5" t="inlineStr">
        <x:is>
          <x:t xml:space="preserve">최종</x:t>
        </x:is>
      </x:c>
      <x:c r="M477" s="5" t="n">
        <x:v>33</x:v>
      </x:c>
      <x:c r="N477" s="5" t="inlineStr">
        <x:is>
          <x:t xml:space="preserve">레벨·특수</x:t>
        </x:is>
      </x:c>
      <x:c r="O477" s="5" t="inlineStr">
        <x:is>
          <x:t xml:space="preserve">예</x:t>
        </x:is>
      </x:c>
      <x:c r="P477" s="5" t="inlineStr">
        <x:is>
          <x:t xml:space="preserve">#cobblemon:is_tundra</x:t>
        </x:is>
      </x:c>
      <x:c r="Q477" s="5" t="inlineStr">
        <x:is>
          <x:t xml:space="preserve">common</x:t>
        </x:is>
      </x:c>
      <x:c r="R477" s="5" t="inlineStr">
        <x:is>
          <x:t xml:space="preserve"/>
        </x:is>
      </x:c>
      <x:c r="S477" s="5" t="inlineStr">
        <x:is>
          <x:t xml:space="preserve"/>
        </x:is>
      </x:c>
      <x:c r="T477" s="5" t="inlineStr">
        <x:is>
          <x:t xml:space="preserve">육상</x:t>
        </x:is>
      </x:c>
      <x:c r="U477" s="5" t="inlineStr">
        <x:is>
          <x:t xml:space="preserve">암석</x:t>
        </x:is>
      </x:c>
      <x:c r="V477" s="5" t="inlineStr">
        <x:is>
          <x:t xml:space="preserve">한랭</x:t>
        </x:is>
      </x:c>
      <x:c r="W477" s="5" t="inlineStr">
        <x:is>
          <x:t xml:space="preserve">보통</x:t>
        </x:is>
      </x:c>
      <x:c r="X477" s="5" t="inlineStr">
        <x:is>
          <x:t xml:space="preserve">무관</x:t>
        </x:is>
      </x:c>
      <x:c r="Y477" s="5" t="inlineStr">
        <x:is>
          <x:t xml:space="preserve">무관</x:t>
        </x:is>
      </x:c>
      <x:c r="Z477" s="5" t="inlineStr">
        <x:is>
          <x:t xml:space="preserve">흔함</x:t>
        </x:is>
      </x:c>
      <x:c r="AA477" s="5" t="inlineStr">
        <x:is>
          <x:t xml:space="preserve">없음</x:t>
        </x:is>
      </x:c>
      <x:c r="AB477" s="5" t="inlineStr">
        <x:is>
          <x:t xml:space="preserve"/>
        </x:is>
      </x:c>
      <x:c r="AC477" s="5" t="inlineStr">
        <x:is>
          <x:t xml:space="preserve">gen4</x:t>
        </x:is>
      </x:c>
      <x:c r="AD477" s="5" t="inlineStr">
        <x:is>
          <x:t xml:space="preserve">.tmp/cobblemon-1.7.3-source/common/src/main/resources/data/cobblemon/species/generation4/mamoswine.json</x:t>
        </x:is>
      </x:c>
    </x:row>
    <x:row r="478" ht="22" customHeight="1">
      <x:c r="A478" s="5" t="n">
        <x:v>474</x:v>
      </x:c>
      <x:c r="B478" s="5" t="inlineStr">
        <x:is>
          <x:t xml:space="preserve">폴리곤Z</x:t>
        </x:is>
      </x:c>
      <x:c r="C478" s="5" t="inlineStr">
        <x:is>
          <x:t xml:space="preserve">porygonz</x:t>
        </x:is>
      </x:c>
      <x:c r="D478" s="5" t="inlineStr">
        <x:is>
          <x:t xml:space="preserve">Porygon-Z</x:t>
        </x:is>
      </x:c>
      <x:c r="E478" s="5" t="n">
        <x:v>4</x:v>
      </x:c>
      <x:c r="F478" s="5" t="inlineStr">
        <x:is>
          <x:t xml:space="preserve">노말</x:t>
        </x:is>
      </x:c>
      <x:c r="G478" s="5" t="inlineStr">
        <x:is>
          <x:t xml:space="preserve"/>
        </x:is>
      </x:c>
      <x:c r="H478" s="5" t="n">
        <x:v>0.9</x:v>
      </x:c>
      <x:c r="I478" s="5" t="n">
        <x:v>34</x:v>
      </x:c>
      <x:c r="J478" s="5" t="n">
        <x:v>535</x:v>
      </x:c>
      <x:c r="K478" s="5" t="n">
        <x:v>30</x:v>
      </x:c>
      <x:c r="L478" s="5" t="inlineStr">
        <x:is>
          <x:t xml:space="preserve">최종</x:t>
        </x:is>
      </x:c>
      <x:c r="M478" s="5" t="n"/>
      <x:c r="N478" s="5" t="inlineStr">
        <x:is>
          <x:t xml:space="preserve">특수</x:t>
        </x:is>
      </x:c>
      <x:c r="O478" s="5" t="inlineStr">
        <x:is>
          <x:t xml:space="preserve">예</x:t>
        </x:is>
      </x:c>
      <x:c r="P478" s="5" t="inlineStr">
        <x:is>
          <x:t xml:space="preserve">#cobblemon:is_end</x:t>
        </x:is>
      </x:c>
      <x:c r="Q478" s="5" t="inlineStr">
        <x:is>
          <x:t xml:space="preserve">rare</x:t>
        </x:is>
      </x:c>
      <x:c r="R478" s="5" t="inlineStr">
        <x:is>
          <x:t xml:space="preserve"/>
        </x:is>
      </x:c>
      <x:c r="S478" s="5" t="inlineStr">
        <x:is>
          <x:t xml:space="preserve"/>
        </x:is>
      </x:c>
      <x:c r="T478" s="5" t="inlineStr">
        <x:is>
          <x:t xml:space="preserve">인공</x:t>
        </x:is>
      </x:c>
      <x:c r="U478" s="5" t="inlineStr">
        <x:is>
          <x:t xml:space="preserve">도시</x:t>
        </x:is>
      </x:c>
      <x:c r="V478" s="5" t="inlineStr">
        <x:is>
          <x:t xml:space="preserve">온대</x:t>
        </x:is>
      </x:c>
      <x:c r="W478" s="5" t="inlineStr">
        <x:is>
          <x:t xml:space="preserve">보통</x:t>
        </x:is>
      </x:c>
      <x:c r="X478" s="5" t="inlineStr">
        <x:is>
          <x:t xml:space="preserve">무관</x:t>
        </x:is>
      </x:c>
      <x:c r="Y478" s="5" t="inlineStr">
        <x:is>
          <x:t xml:space="preserve">무관</x:t>
        </x:is>
      </x:c>
      <x:c r="Z478" s="5" t="inlineStr">
        <x:is>
          <x:t xml:space="preserve">드묾</x:t>
        </x:is>
      </x:c>
      <x:c r="AA478" s="5" t="inlineStr">
        <x:is>
          <x:t xml:space="preserve">도시</x:t>
        </x:is>
      </x:c>
      <x:c r="AB478" s="5" t="inlineStr">
        <x:is>
          <x:t xml:space="preserve"/>
        </x:is>
      </x:c>
      <x:c r="AC478" s="5" t="inlineStr">
        <x:is>
          <x:t xml:space="preserve">gen4</x:t>
        </x:is>
      </x:c>
      <x:c r="AD478" s="5" t="inlineStr">
        <x:is>
          <x:t xml:space="preserve">.tmp/cobblemon-1.7.3-source/common/src/main/resources/data/cobblemon/species/generation4/porygonz.json</x:t>
        </x:is>
      </x:c>
    </x:row>
    <x:row r="479" ht="22" customHeight="1">
      <x:c r="A479" s="5" t="n">
        <x:v>475</x:v>
      </x:c>
      <x:c r="B479" s="5" t="inlineStr">
        <x:is>
          <x:t xml:space="preserve">엘레이드</x:t>
        </x:is>
      </x:c>
      <x:c r="C479" s="5" t="inlineStr">
        <x:is>
          <x:t xml:space="preserve">gallade</x:t>
        </x:is>
      </x:c>
      <x:c r="D479" s="5" t="inlineStr">
        <x:is>
          <x:t xml:space="preserve">Gallade</x:t>
        </x:is>
      </x:c>
      <x:c r="E479" s="5" t="n">
        <x:v>4</x:v>
      </x:c>
      <x:c r="F479" s="5" t="inlineStr">
        <x:is>
          <x:t xml:space="preserve">에스퍼</x:t>
        </x:is>
      </x:c>
      <x:c r="G479" s="5" t="inlineStr">
        <x:is>
          <x:t xml:space="preserve">격투</x:t>
        </x:is>
      </x:c>
      <x:c r="H479" s="5" t="n">
        <x:v>1.6</x:v>
      </x:c>
      <x:c r="I479" s="5" t="n">
        <x:v>52</x:v>
      </x:c>
      <x:c r="J479" s="5" t="n">
        <x:v>518</x:v>
      </x:c>
      <x:c r="K479" s="5" t="n">
        <x:v>45</x:v>
      </x:c>
      <x:c r="L479" s="5" t="inlineStr">
        <x:is>
          <x:t xml:space="preserve">최종</x:t>
        </x:is>
      </x:c>
      <x:c r="M479" s="5" t="n">
        <x:v>30</x:v>
      </x:c>
      <x:c r="N479" s="5" t="inlineStr">
        <x:is>
          <x:t xml:space="preserve">레벨·특수</x:t>
        </x:is>
      </x:c>
      <x:c r="O479" s="5" t="inlineStr">
        <x:is>
          <x:t xml:space="preserve">예</x:t>
        </x:is>
      </x:c>
      <x:c r="P479" s="5" t="inlineStr">
        <x:is>
          <x:t xml:space="preserve">#cobblemon:is_floral; #cobblemon:is_magical; #cobblemon:is_overworld; #cobblemon:is_snowy_forest; aether:skyroot_grove; aether:skyroot_meadow</x:t>
        </x:is>
      </x:c>
      <x:c r="Q479" s="5" t="inlineStr">
        <x:is>
          <x:t xml:space="preserve">common; rare</x:t>
        </x:is>
      </x:c>
      <x:c r="R479" s="5" t="inlineStr">
        <x:is>
          <x:t xml:space="preserve"/>
        </x:is>
      </x:c>
      <x:c r="S479" s="5" t="inlineStr">
        <x:is>
          <x:t xml:space="preserve"/>
        </x:is>
      </x:c>
      <x:c r="T479" s="5" t="inlineStr">
        <x:is>
          <x:t xml:space="preserve">육상</x:t>
        </x:is>
      </x:c>
      <x:c r="U479" s="5" t="inlineStr">
        <x:is>
          <x:t xml:space="preserve">수목</x:t>
        </x:is>
      </x:c>
      <x:c r="V479" s="5" t="inlineStr">
        <x:is>
          <x:t xml:space="preserve">온대</x:t>
        </x:is>
      </x:c>
      <x:c r="W479" s="5" t="inlineStr">
        <x:is>
          <x:t xml:space="preserve">보통</x:t>
        </x:is>
      </x:c>
      <x:c r="X479" s="5" t="inlineStr">
        <x:is>
          <x:t xml:space="preserve">무관</x:t>
        </x:is>
      </x:c>
      <x:c r="Y479" s="5" t="inlineStr">
        <x:is>
          <x:t xml:space="preserve">무관</x:t>
        </x:is>
      </x:c>
      <x:c r="Z479" s="5" t="inlineStr">
        <x:is>
          <x:t xml:space="preserve">흔함</x:t>
        </x:is>
      </x:c>
      <x:c r="AA479" s="5" t="inlineStr">
        <x:is>
          <x:t xml:space="preserve">없음</x:t>
        </x:is>
      </x:c>
      <x:c r="AB479" s="5" t="inlineStr">
        <x:is>
          <x:t xml:space="preserve">숲</x:t>
        </x:is>
      </x:c>
      <x:c r="AC479" s="5" t="inlineStr">
        <x:is>
          <x:t xml:space="preserve">gen4</x:t>
        </x:is>
      </x:c>
      <x:c r="AD479" s="5" t="inlineStr">
        <x:is>
          <x:t xml:space="preserve">.tmp/cobblemon-1.7.3-source/common/src/main/resources/data/cobblemon/species/generation4/gallade.json</x:t>
        </x:is>
      </x:c>
    </x:row>
    <x:row r="480" ht="22" customHeight="1">
      <x:c r="A480" s="5" t="n">
        <x:v>476</x:v>
      </x:c>
      <x:c r="B480" s="5" t="inlineStr">
        <x:is>
          <x:t xml:space="preserve">대코파스</x:t>
        </x:is>
      </x:c>
      <x:c r="C480" s="5" t="inlineStr">
        <x:is>
          <x:t xml:space="preserve">probopass</x:t>
        </x:is>
      </x:c>
      <x:c r="D480" s="5" t="inlineStr">
        <x:is>
          <x:t xml:space="preserve">Probopass</x:t>
        </x:is>
      </x:c>
      <x:c r="E480" s="5" t="n">
        <x:v>4</x:v>
      </x:c>
      <x:c r="F480" s="5" t="inlineStr">
        <x:is>
          <x:t xml:space="preserve">바위</x:t>
        </x:is>
      </x:c>
      <x:c r="G480" s="5" t="inlineStr">
        <x:is>
          <x:t xml:space="preserve">강철</x:t>
        </x:is>
      </x:c>
      <x:c r="H480" s="5" t="n">
        <x:v>1.4</x:v>
      </x:c>
      <x:c r="I480" s="5" t="n">
        <x:v>340</x:v>
      </x:c>
      <x:c r="J480" s="5" t="n">
        <x:v>525</x:v>
      </x:c>
      <x:c r="K480" s="5" t="n">
        <x:v>60</x:v>
      </x:c>
      <x:c r="L480" s="5" t="inlineStr">
        <x:is>
          <x:t xml:space="preserve">최종</x:t>
        </x:is>
      </x:c>
      <x:c r="M480" s="5" t="n"/>
      <x:c r="N480" s="5" t="inlineStr">
        <x:is>
          <x:t xml:space="preserve">특수</x:t>
        </x:is>
      </x:c>
      <x:c r="O480" s="5" t="inlineStr">
        <x:is>
          <x:t xml:space="preserve">예</x:t>
        </x:is>
      </x:c>
      <x:c r="P480" s="5" t="inlineStr">
        <x:is>
          <x:t xml:space="preserve">#cobblemon:is_overworld</x:t>
        </x:is>
      </x:c>
      <x:c r="Q480" s="5" t="inlineStr">
        <x:is>
          <x:t xml:space="preserve">uncommon</x:t>
        </x:is>
      </x:c>
      <x:c r="R480" s="5" t="inlineStr">
        <x:is>
          <x:t xml:space="preserve"/>
        </x:is>
      </x:c>
      <x:c r="S480" s="5" t="inlineStr">
        <x:is>
          <x:t xml:space="preserve"/>
        </x:is>
      </x:c>
      <x:c r="T480" s="5" t="inlineStr">
        <x:is>
          <x:t xml:space="preserve">비행</x:t>
        </x:is>
      </x:c>
      <x:c r="U480" s="5" t="inlineStr">
        <x:is>
          <x:t xml:space="preserve">암석</x:t>
        </x:is>
      </x:c>
      <x:c r="V480" s="5" t="inlineStr">
        <x:is>
          <x:t xml:space="preserve">온대</x:t>
        </x:is>
      </x:c>
      <x:c r="W480" s="5" t="inlineStr">
        <x:is>
          <x:t xml:space="preserve">보통</x:t>
        </x:is>
      </x:c>
      <x:c r="X480" s="5" t="inlineStr">
        <x:is>
          <x:t xml:space="preserve">무관</x:t>
        </x:is>
      </x:c>
      <x:c r="Y480" s="5" t="inlineStr">
        <x:is>
          <x:t xml:space="preserve">무관</x:t>
        </x:is>
      </x:c>
      <x:c r="Z480" s="5" t="inlineStr">
        <x:is>
          <x:t xml:space="preserve">보통</x:t>
        </x:is>
      </x:c>
      <x:c r="AA480" s="5" t="inlineStr">
        <x:is>
          <x:t xml:space="preserve">없음</x:t>
        </x:is>
      </x:c>
      <x:c r="AB480" s="5" t="inlineStr">
        <x:is>
          <x:t xml:space="preserve"/>
        </x:is>
      </x:c>
      <x:c r="AC480" s="5" t="inlineStr">
        <x:is>
          <x:t xml:space="preserve">gen4</x:t>
        </x:is>
      </x:c>
      <x:c r="AD480" s="5" t="inlineStr">
        <x:is>
          <x:t xml:space="preserve">.tmp/cobblemon-1.7.3-source/common/src/main/resources/data/cobblemon/species/generation4/probopass.json</x:t>
        </x:is>
      </x:c>
    </x:row>
    <x:row r="481" ht="22" customHeight="1">
      <x:c r="A481" s="5" t="n">
        <x:v>477</x:v>
      </x:c>
      <x:c r="B481" s="5" t="inlineStr">
        <x:is>
          <x:t xml:space="preserve">야느와르몽</x:t>
        </x:is>
      </x:c>
      <x:c r="C481" s="5" t="inlineStr">
        <x:is>
          <x:t xml:space="preserve">dusknoir</x:t>
        </x:is>
      </x:c>
      <x:c r="D481" s="5" t="inlineStr">
        <x:is>
          <x:t xml:space="preserve">Dusknoir</x:t>
        </x:is>
      </x:c>
      <x:c r="E481" s="5" t="n">
        <x:v>4</x:v>
      </x:c>
      <x:c r="F481" s="5" t="inlineStr">
        <x:is>
          <x:t xml:space="preserve">고스트</x:t>
        </x:is>
      </x:c>
      <x:c r="G481" s="5" t="inlineStr">
        <x:is>
          <x:t xml:space="preserve"/>
        </x:is>
      </x:c>
      <x:c r="H481" s="5" t="n">
        <x:v>2.2</x:v>
      </x:c>
      <x:c r="I481" s="5" t="n">
        <x:v>106.6</x:v>
      </x:c>
      <x:c r="J481" s="5" t="n">
        <x:v>525</x:v>
      </x:c>
      <x:c r="K481" s="5" t="n">
        <x:v>45</x:v>
      </x:c>
      <x:c r="L481" s="5" t="inlineStr">
        <x:is>
          <x:t xml:space="preserve">최종</x:t>
        </x:is>
      </x:c>
      <x:c r="M481" s="5" t="n">
        <x:v>37</x:v>
      </x:c>
      <x:c r="N481" s="5" t="inlineStr">
        <x:is>
          <x:t xml:space="preserve">레벨·특수</x:t>
        </x:is>
      </x:c>
      <x:c r="O481" s="5" t="inlineStr">
        <x:is>
          <x:t xml:space="preserve">예</x:t>
        </x:is>
      </x:c>
      <x:c r="P481" s="5" t="inlineStr">
        <x:is>
          <x:t xml:space="preserve">#cobblemon:is_spooky; #cobblemon:nether/is_soul_sand</x:t>
        </x:is>
      </x:c>
      <x:c r="Q481" s="5" t="inlineStr">
        <x:is>
          <x:t xml:space="preserve">common</x:t>
        </x:is>
      </x:c>
      <x:c r="R481" s="5" t="inlineStr">
        <x:is>
          <x:t xml:space="preserve">night</x:t>
        </x:is>
      </x:c>
      <x:c r="S481" s="5" t="inlineStr">
        <x:is>
          <x:t xml:space="preserve"/>
        </x:is>
      </x:c>
      <x:c r="T481" s="5" t="inlineStr">
        <x:is>
          <x:t xml:space="preserve">비행</x:t>
        </x:is>
      </x:c>
      <x:c r="U481" s="5" t="inlineStr">
        <x:is>
          <x:t xml:space="preserve">특수</x:t>
        </x:is>
      </x:c>
      <x:c r="V481" s="5" t="inlineStr">
        <x:is>
          <x:t xml:space="preserve">온대</x:t>
        </x:is>
      </x:c>
      <x:c r="W481" s="5" t="inlineStr">
        <x:is>
          <x:t xml:space="preserve">보통</x:t>
        </x:is>
      </x:c>
      <x:c r="X481" s="5" t="inlineStr">
        <x:is>
          <x:t xml:space="preserve">안개</x:t>
        </x:is>
      </x:c>
      <x:c r="Y481" s="5" t="inlineStr">
        <x:is>
          <x:t xml:space="preserve">밤</x:t>
        </x:is>
      </x:c>
      <x:c r="Z481" s="5" t="inlineStr">
        <x:is>
          <x:t xml:space="preserve">흔함</x:t>
        </x:is>
      </x:c>
      <x:c r="AA481" s="5" t="inlineStr">
        <x:is>
          <x:t xml:space="preserve">영체</x:t>
        </x:is>
      </x:c>
      <x:c r="AB481" s="5" t="inlineStr">
        <x:is>
          <x:t xml:space="preserve">특수</x:t>
        </x:is>
      </x:c>
      <x:c r="AC481" s="5" t="inlineStr">
        <x:is>
          <x:t xml:space="preserve">gen4</x:t>
        </x:is>
      </x:c>
      <x:c r="AD481" s="5" t="inlineStr">
        <x:is>
          <x:t xml:space="preserve">.tmp/cobblemon-1.7.3-source/common/src/main/resources/data/cobblemon/species/generation4/dusknoir.json</x:t>
        </x:is>
      </x:c>
    </x:row>
    <x:row r="482" ht="22" customHeight="1">
      <x:c r="A482" s="5" t="n">
        <x:v>478</x:v>
      </x:c>
      <x:c r="B482" s="5" t="inlineStr">
        <x:is>
          <x:t xml:space="preserve">눈여아</x:t>
        </x:is>
      </x:c>
      <x:c r="C482" s="5" t="inlineStr">
        <x:is>
          <x:t xml:space="preserve">froslass</x:t>
        </x:is>
      </x:c>
      <x:c r="D482" s="5" t="inlineStr">
        <x:is>
          <x:t xml:space="preserve">Froslass</x:t>
        </x:is>
      </x:c>
      <x:c r="E482" s="5" t="n">
        <x:v>4</x:v>
      </x:c>
      <x:c r="F482" s="5" t="inlineStr">
        <x:is>
          <x:t xml:space="preserve">얼음</x:t>
        </x:is>
      </x:c>
      <x:c r="G482" s="5" t="inlineStr">
        <x:is>
          <x:t xml:space="preserve">고스트</x:t>
        </x:is>
      </x:c>
      <x:c r="H482" s="5" t="n">
        <x:v>1.3</x:v>
      </x:c>
      <x:c r="I482" s="5" t="n">
        <x:v>26.6</x:v>
      </x:c>
      <x:c r="J482" s="5" t="n">
        <x:v>480</x:v>
      </x:c>
      <x:c r="K482" s="5" t="n">
        <x:v>75</x:v>
      </x:c>
      <x:c r="L482" s="5" t="inlineStr">
        <x:is>
          <x:t xml:space="preserve">최종</x:t>
        </x:is>
      </x:c>
      <x:c r="M482" s="5" t="n">
        <x:v>42</x:v>
      </x:c>
      <x:c r="N482" s="5" t="inlineStr">
        <x:is>
          <x:t xml:space="preserve">레벨·특수</x:t>
        </x:is>
      </x:c>
      <x:c r="O482" s="5" t="inlineStr">
        <x:is>
          <x:t xml:space="preserve">예</x:t>
        </x:is>
      </x:c>
      <x:c r="P482" s="5" t="inlineStr">
        <x:is>
          <x:t xml:space="preserve">#cobblemon:is_glacial; #cobblemon:is_overworld; #cobblemon:is_snowy; #cobblemon:is_tundra; #cobblemon:nether/is_frozen</x:t>
        </x:is>
      </x:c>
      <x:c r="Q482" s="5" t="inlineStr">
        <x:is>
          <x:t xml:space="preserve">common; uncommon</x:t>
        </x:is>
      </x:c>
      <x:c r="R482" s="5" t="inlineStr">
        <x:is>
          <x:t xml:space="preserve"/>
        </x:is>
      </x:c>
      <x:c r="S482" s="5" t="inlineStr">
        <x:is>
          <x:t xml:space="preserve">비=True</x:t>
        </x:is>
      </x:c>
      <x:c r="T482" s="5" t="inlineStr">
        <x:is>
          <x:t xml:space="preserve">비행</x:t>
        </x:is>
      </x:c>
      <x:c r="U482" s="5" t="inlineStr">
        <x:is>
          <x:t xml:space="preserve">설원</x:t>
        </x:is>
      </x:c>
      <x:c r="V482" s="5" t="inlineStr">
        <x:is>
          <x:t xml:space="preserve">한랭</x:t>
        </x:is>
      </x:c>
      <x:c r="W482" s="5" t="inlineStr">
        <x:is>
          <x:t xml:space="preserve">보통</x:t>
        </x:is>
      </x:c>
      <x:c r="X482" s="5" t="inlineStr">
        <x:is>
          <x:t xml:space="preserve">눈</x:t>
        </x:is>
      </x:c>
      <x:c r="Y482" s="5" t="inlineStr">
        <x:is>
          <x:t xml:space="preserve">밤</x:t>
        </x:is>
      </x:c>
      <x:c r="Z482" s="5" t="inlineStr">
        <x:is>
          <x:t xml:space="preserve">보통</x:t>
        </x:is>
      </x:c>
      <x:c r="AA482" s="5" t="inlineStr">
        <x:is>
          <x:t xml:space="preserve">영체</x:t>
        </x:is>
      </x:c>
      <x:c r="AB482" s="5" t="inlineStr">
        <x:is>
          <x:t xml:space="preserve">설원</x:t>
        </x:is>
      </x:c>
      <x:c r="AC482" s="5" t="inlineStr">
        <x:is>
          <x:t xml:space="preserve">gen4</x:t>
        </x:is>
      </x:c>
      <x:c r="AD482" s="5" t="inlineStr">
        <x:is>
          <x:t xml:space="preserve">.tmp/cobblemon-1.7.3-source/common/src/main/resources/data/cobblemon/species/generation4/froslass.json</x:t>
        </x:is>
      </x:c>
    </x:row>
    <x:row r="483" ht="22" customHeight="1">
      <x:c r="A483" s="5" t="n">
        <x:v>479</x:v>
      </x:c>
      <x:c r="B483" s="5" t="inlineStr">
        <x:is>
          <x:t xml:space="preserve">로토무</x:t>
        </x:is>
      </x:c>
      <x:c r="C483" s="5" t="inlineStr">
        <x:is>
          <x:t xml:space="preserve">rotom</x:t>
        </x:is>
      </x:c>
      <x:c r="D483" s="5" t="inlineStr">
        <x:is>
          <x:t xml:space="preserve">Rotom</x:t>
        </x:is>
      </x:c>
      <x:c r="E483" s="5" t="n">
        <x:v>4</x:v>
      </x:c>
      <x:c r="F483" s="5" t="inlineStr">
        <x:is>
          <x:t xml:space="preserve">전기</x:t>
        </x:is>
      </x:c>
      <x:c r="G483" s="5" t="inlineStr">
        <x:is>
          <x:t xml:space="preserve">고스트</x:t>
        </x:is>
      </x:c>
      <x:c r="H483" s="5" t="n">
        <x:v>0.3</x:v>
      </x:c>
      <x:c r="I483" s="5" t="n">
        <x:v>0.3</x:v>
      </x:c>
      <x:c r="J483" s="5" t="n">
        <x:v>440</x:v>
      </x:c>
      <x:c r="K483" s="5" t="n">
        <x:v>45</x:v>
      </x:c>
      <x:c r="L483" s="5" t="inlineStr">
        <x:is>
          <x:t xml:space="preserve">무진화</x:t>
        </x:is>
      </x:c>
      <x:c r="M483" s="5" t="n"/>
      <x:c r="N483" s="5" t="inlineStr">
        <x:is>
          <x:t xml:space="preserve">없음</x:t>
        </x:is>
      </x:c>
      <x:c r="O483" s="5" t="inlineStr">
        <x:is>
          <x:t xml:space="preserve">예</x:t>
        </x:is>
      </x:c>
      <x:c r="P483" s="5" t="inlineStr">
        <x:is>
          <x:t xml:space="preserve">#cobblemon:is_overworld</x:t>
        </x:is>
      </x:c>
      <x:c r="Q483" s="5" t="inlineStr">
        <x:is>
          <x:t xml:space="preserve">rare</x:t>
        </x:is>
      </x:c>
      <x:c r="R483" s="5" t="inlineStr">
        <x:is>
          <x:t xml:space="preserve"/>
        </x:is>
      </x:c>
      <x:c r="S483" s="5" t="inlineStr">
        <x:is>
          <x:t xml:space="preserve"/>
        </x:is>
      </x:c>
      <x:c r="T483" s="5" t="inlineStr">
        <x:is>
          <x:t xml:space="preserve">인공</x:t>
        </x:is>
      </x:c>
      <x:c r="U483" s="5" t="inlineStr">
        <x:is>
          <x:t xml:space="preserve">도시</x:t>
        </x:is>
      </x:c>
      <x:c r="V483" s="5" t="inlineStr">
        <x:is>
          <x:t xml:space="preserve">온대</x:t>
        </x:is>
      </x:c>
      <x:c r="W483" s="5" t="inlineStr">
        <x:is>
          <x:t xml:space="preserve">보통</x:t>
        </x:is>
      </x:c>
      <x:c r="X483" s="5" t="inlineStr">
        <x:is>
          <x:t xml:space="preserve">안개</x:t>
        </x:is>
      </x:c>
      <x:c r="Y483" s="5" t="inlineStr">
        <x:is>
          <x:t xml:space="preserve">밤</x:t>
        </x:is>
      </x:c>
      <x:c r="Z483" s="5" t="inlineStr">
        <x:is>
          <x:t xml:space="preserve">드묾</x:t>
        </x:is>
      </x:c>
      <x:c r="AA483" s="5" t="inlineStr">
        <x:is>
          <x:t xml:space="preserve">영체</x:t>
        </x:is>
      </x:c>
      <x:c r="AB483" s="5" t="inlineStr">
        <x:is>
          <x:t xml:space="preserve"/>
        </x:is>
      </x:c>
      <x:c r="AC483" s="5" t="inlineStr">
        <x:is>
          <x:t xml:space="preserve">gen4</x:t>
        </x:is>
      </x:c>
      <x:c r="AD483" s="5" t="inlineStr">
        <x:is>
          <x:t xml:space="preserve">.tmp/cobblemon-1.7.3-source/common/src/main/resources/data/cobblemon/species/generation4/rotom.json</x:t>
        </x:is>
      </x:c>
    </x:row>
    <x:row r="484" ht="22" customHeight="1">
      <x:c r="A484" s="5" t="n">
        <x:v>480</x:v>
      </x:c>
      <x:c r="B484" s="5" t="inlineStr">
        <x:is>
          <x:t xml:space="preserve">유크시</x:t>
        </x:is>
      </x:c>
      <x:c r="C484" s="5" t="inlineStr">
        <x:is>
          <x:t xml:space="preserve">uxie</x:t>
        </x:is>
      </x:c>
      <x:c r="D484" s="5" t="inlineStr">
        <x:is>
          <x:t xml:space="preserve">Uxie</x:t>
        </x:is>
      </x:c>
      <x:c r="E484" s="5" t="n">
        <x:v>4</x:v>
      </x:c>
      <x:c r="F484" s="5" t="inlineStr">
        <x:is>
          <x:t xml:space="preserve">에스퍼</x:t>
        </x:is>
      </x:c>
      <x:c r="G484" s="5" t="inlineStr">
        <x:is>
          <x:t xml:space="preserve"/>
        </x:is>
      </x:c>
      <x:c r="H484" s="5" t="n">
        <x:v>0.3</x:v>
      </x:c>
      <x:c r="I484" s="5" t="n">
        <x:v>0.3</x:v>
      </x:c>
      <x:c r="J484" s="5" t="n">
        <x:v>580</x:v>
      </x:c>
      <x:c r="K484" s="5" t="n">
        <x:v>3</x:v>
      </x:c>
      <x:c r="L484" s="5" t="inlineStr">
        <x:is>
          <x:t xml:space="preserve">무진화</x:t>
        </x:is>
      </x:c>
      <x:c r="M484" s="5" t="n"/>
      <x:c r="N484" s="5" t="inlineStr">
        <x:is>
          <x:t xml:space="preserve">없음</x:t>
        </x:is>
      </x:c>
      <x:c r="O484" s="5" t="inlineStr">
        <x:is>
          <x:t xml:space="preserve">아니오</x:t>
        </x:is>
      </x:c>
      <x:c r="P484" s="5" t="inlineStr">
        <x:is>
          <x:t xml:space="preserve">cobbleverse:custom_spawn</x:t>
        </x:is>
      </x:c>
      <x:c r="Q484" s="5" t="inlineStr">
        <x:is>
          <x:t xml:space="preserve">ultra-rare</x:t>
        </x:is>
      </x:c>
      <x:c r="R484" s="5" t="inlineStr">
        <x:is>
          <x:t xml:space="preserve"/>
        </x:is>
      </x:c>
      <x:c r="S484" s="5" t="inlineStr">
        <x:is>
          <x:t xml:space="preserve"/>
        </x:is>
      </x:c>
      <x:c r="T484" s="5" t="inlineStr">
        <x:is>
          <x:t xml:space="preserve">비행</x:t>
        </x:is>
      </x:c>
      <x:c r="U484" s="5" t="inlineStr">
        <x:is>
          <x:t xml:space="preserve">개활지</x:t>
        </x:is>
      </x:c>
      <x:c r="V484" s="5" t="inlineStr">
        <x:is>
          <x:t xml:space="preserve">온대</x:t>
        </x:is>
      </x:c>
      <x:c r="W484" s="5" t="inlineStr">
        <x:is>
          <x:t xml:space="preserve">보통</x:t>
        </x:is>
      </x:c>
      <x:c r="X484" s="5" t="inlineStr">
        <x:is>
          <x:t xml:space="preserve">무관</x:t>
        </x:is>
      </x:c>
      <x:c r="Y484" s="5" t="inlineStr">
        <x:is>
          <x:t xml:space="preserve">무관</x:t>
        </x:is>
      </x:c>
      <x:c r="Z484" s="5" t="inlineStr">
        <x:is>
          <x:t xml:space="preserve">전설</x:t>
        </x:is>
      </x:c>
      <x:c r="AA484" s="5" t="inlineStr">
        <x:is>
          <x:t xml:space="preserve">전설</x:t>
        </x:is>
      </x:c>
      <x:c r="AB484" s="5" t="inlineStr">
        <x:is>
          <x:t xml:space="preserve"/>
        </x:is>
      </x:c>
      <x:c r="AC484" s="5" t="inlineStr">
        <x:is>
          <x:t xml:space="preserve">gen4; legendary</x:t>
        </x:is>
      </x:c>
      <x:c r="AD484" s="5" t="inlineStr">
        <x:is>
          <x:t xml:space="preserve">.tmp/cobblemon-1.7.3-source/common/src/main/resources/data/cobblemon/species/generation4/uxie.json</x:t>
        </x:is>
      </x:c>
    </x:row>
    <x:row r="485" ht="22" customHeight="1">
      <x:c r="A485" s="5" t="n">
        <x:v>481</x:v>
      </x:c>
      <x:c r="B485" s="5" t="inlineStr">
        <x:is>
          <x:t xml:space="preserve">엠라이트</x:t>
        </x:is>
      </x:c>
      <x:c r="C485" s="5" t="inlineStr">
        <x:is>
          <x:t xml:space="preserve">mesprit</x:t>
        </x:is>
      </x:c>
      <x:c r="D485" s="5" t="inlineStr">
        <x:is>
          <x:t xml:space="preserve">Mesprit</x:t>
        </x:is>
      </x:c>
      <x:c r="E485" s="5" t="n">
        <x:v>4</x:v>
      </x:c>
      <x:c r="F485" s="5" t="inlineStr">
        <x:is>
          <x:t xml:space="preserve">에스퍼</x:t>
        </x:is>
      </x:c>
      <x:c r="G485" s="5" t="inlineStr">
        <x:is>
          <x:t xml:space="preserve"/>
        </x:is>
      </x:c>
      <x:c r="H485" s="5" t="n">
        <x:v>0.3</x:v>
      </x:c>
      <x:c r="I485" s="5" t="n">
        <x:v>0.3</x:v>
      </x:c>
      <x:c r="J485" s="5" t="n">
        <x:v>580</x:v>
      </x:c>
      <x:c r="K485" s="5" t="n">
        <x:v>3</x:v>
      </x:c>
      <x:c r="L485" s="5" t="inlineStr">
        <x:is>
          <x:t xml:space="preserve">무진화</x:t>
        </x:is>
      </x:c>
      <x:c r="M485" s="5" t="n"/>
      <x:c r="N485" s="5" t="inlineStr">
        <x:is>
          <x:t xml:space="preserve">없음</x:t>
        </x:is>
      </x:c>
      <x:c r="O485" s="5" t="inlineStr">
        <x:is>
          <x:t xml:space="preserve">아니오</x:t>
        </x:is>
      </x:c>
      <x:c r="P485" s="5" t="inlineStr">
        <x:is>
          <x:t xml:space="preserve">cobbleverse:custom_spawn</x:t>
        </x:is>
      </x:c>
      <x:c r="Q485" s="5" t="inlineStr">
        <x:is>
          <x:t xml:space="preserve">ultra-rare</x:t>
        </x:is>
      </x:c>
      <x:c r="R485" s="5" t="inlineStr">
        <x:is>
          <x:t xml:space="preserve"/>
        </x:is>
      </x:c>
      <x:c r="S485" s="5" t="inlineStr">
        <x:is>
          <x:t xml:space="preserve"/>
        </x:is>
      </x:c>
      <x:c r="T485" s="5" t="inlineStr">
        <x:is>
          <x:t xml:space="preserve">비행</x:t>
        </x:is>
      </x:c>
      <x:c r="U485" s="5" t="inlineStr">
        <x:is>
          <x:t xml:space="preserve">개활지</x:t>
        </x:is>
      </x:c>
      <x:c r="V485" s="5" t="inlineStr">
        <x:is>
          <x:t xml:space="preserve">온대</x:t>
        </x:is>
      </x:c>
      <x:c r="W485" s="5" t="inlineStr">
        <x:is>
          <x:t xml:space="preserve">보통</x:t>
        </x:is>
      </x:c>
      <x:c r="X485" s="5" t="inlineStr">
        <x:is>
          <x:t xml:space="preserve">무관</x:t>
        </x:is>
      </x:c>
      <x:c r="Y485" s="5" t="inlineStr">
        <x:is>
          <x:t xml:space="preserve">무관</x:t>
        </x:is>
      </x:c>
      <x:c r="Z485" s="5" t="inlineStr">
        <x:is>
          <x:t xml:space="preserve">전설</x:t>
        </x:is>
      </x:c>
      <x:c r="AA485" s="5" t="inlineStr">
        <x:is>
          <x:t xml:space="preserve">전설</x:t>
        </x:is>
      </x:c>
      <x:c r="AB485" s="5" t="inlineStr">
        <x:is>
          <x:t xml:space="preserve"/>
        </x:is>
      </x:c>
      <x:c r="AC485" s="5" t="inlineStr">
        <x:is>
          <x:t xml:space="preserve">gen4; legendary</x:t>
        </x:is>
      </x:c>
      <x:c r="AD485" s="5" t="inlineStr">
        <x:is>
          <x:t xml:space="preserve">.tmp/cobblemon-1.7.3-source/common/src/main/resources/data/cobblemon/species/generation4/mesprit.json</x:t>
        </x:is>
      </x:c>
    </x:row>
    <x:row r="486" ht="22" customHeight="1">
      <x:c r="A486" s="5" t="n">
        <x:v>482</x:v>
      </x:c>
      <x:c r="B486" s="5" t="inlineStr">
        <x:is>
          <x:t xml:space="preserve">아그놈</x:t>
        </x:is>
      </x:c>
      <x:c r="C486" s="5" t="inlineStr">
        <x:is>
          <x:t xml:space="preserve">azelf</x:t>
        </x:is>
      </x:c>
      <x:c r="D486" s="5" t="inlineStr">
        <x:is>
          <x:t xml:space="preserve">Azelf</x:t>
        </x:is>
      </x:c>
      <x:c r="E486" s="5" t="n">
        <x:v>4</x:v>
      </x:c>
      <x:c r="F486" s="5" t="inlineStr">
        <x:is>
          <x:t xml:space="preserve">에스퍼</x:t>
        </x:is>
      </x:c>
      <x:c r="G486" s="5" t="inlineStr">
        <x:is>
          <x:t xml:space="preserve"/>
        </x:is>
      </x:c>
      <x:c r="H486" s="5" t="n">
        <x:v>0.3</x:v>
      </x:c>
      <x:c r="I486" s="5" t="n">
        <x:v>0.3</x:v>
      </x:c>
      <x:c r="J486" s="5" t="n">
        <x:v>580</x:v>
      </x:c>
      <x:c r="K486" s="5" t="n">
        <x:v>3</x:v>
      </x:c>
      <x:c r="L486" s="5" t="inlineStr">
        <x:is>
          <x:t xml:space="preserve">무진화</x:t>
        </x:is>
      </x:c>
      <x:c r="M486" s="5" t="n"/>
      <x:c r="N486" s="5" t="inlineStr">
        <x:is>
          <x:t xml:space="preserve">없음</x:t>
        </x:is>
      </x:c>
      <x:c r="O486" s="5" t="inlineStr">
        <x:is>
          <x:t xml:space="preserve">아니오</x:t>
        </x:is>
      </x:c>
      <x:c r="P486" s="5" t="inlineStr">
        <x:is>
          <x:t xml:space="preserve">cobbleverse:custom_spawn</x:t>
        </x:is>
      </x:c>
      <x:c r="Q486" s="5" t="inlineStr">
        <x:is>
          <x:t xml:space="preserve">ultra-rare</x:t>
        </x:is>
      </x:c>
      <x:c r="R486" s="5" t="inlineStr">
        <x:is>
          <x:t xml:space="preserve"/>
        </x:is>
      </x:c>
      <x:c r="S486" s="5" t="inlineStr">
        <x:is>
          <x:t xml:space="preserve"/>
        </x:is>
      </x:c>
      <x:c r="T486" s="5" t="inlineStr">
        <x:is>
          <x:t xml:space="preserve">비행</x:t>
        </x:is>
      </x:c>
      <x:c r="U486" s="5" t="inlineStr">
        <x:is>
          <x:t xml:space="preserve">개활지</x:t>
        </x:is>
      </x:c>
      <x:c r="V486" s="5" t="inlineStr">
        <x:is>
          <x:t xml:space="preserve">온대</x:t>
        </x:is>
      </x:c>
      <x:c r="W486" s="5" t="inlineStr">
        <x:is>
          <x:t xml:space="preserve">보통</x:t>
        </x:is>
      </x:c>
      <x:c r="X486" s="5" t="inlineStr">
        <x:is>
          <x:t xml:space="preserve">무관</x:t>
        </x:is>
      </x:c>
      <x:c r="Y486" s="5" t="inlineStr">
        <x:is>
          <x:t xml:space="preserve">무관</x:t>
        </x:is>
      </x:c>
      <x:c r="Z486" s="5" t="inlineStr">
        <x:is>
          <x:t xml:space="preserve">전설</x:t>
        </x:is>
      </x:c>
      <x:c r="AA486" s="5" t="inlineStr">
        <x:is>
          <x:t xml:space="preserve">전설</x:t>
        </x:is>
      </x:c>
      <x:c r="AB486" s="5" t="inlineStr">
        <x:is>
          <x:t xml:space="preserve"/>
        </x:is>
      </x:c>
      <x:c r="AC486" s="5" t="inlineStr">
        <x:is>
          <x:t xml:space="preserve">gen4; legendary</x:t>
        </x:is>
      </x:c>
      <x:c r="AD486" s="5" t="inlineStr">
        <x:is>
          <x:t xml:space="preserve">.tmp/cobblemon-1.7.3-source/common/src/main/resources/data/cobblemon/species/generation4/azelf.json</x:t>
        </x:is>
      </x:c>
    </x:row>
    <x:row r="487" ht="22" customHeight="1">
      <x:c r="A487" s="5" t="n">
        <x:v>483</x:v>
      </x:c>
      <x:c r="B487" s="5" t="inlineStr">
        <x:is>
          <x:t xml:space="preserve">디아루가</x:t>
        </x:is>
      </x:c>
      <x:c r="C487" s="5" t="inlineStr">
        <x:is>
          <x:t xml:space="preserve">dialga</x:t>
        </x:is>
      </x:c>
      <x:c r="D487" s="5" t="inlineStr">
        <x:is>
          <x:t xml:space="preserve">Dialga</x:t>
        </x:is>
      </x:c>
      <x:c r="E487" s="5" t="n">
        <x:v>4</x:v>
      </x:c>
      <x:c r="F487" s="5" t="inlineStr">
        <x:is>
          <x:t xml:space="preserve">강철</x:t>
        </x:is>
      </x:c>
      <x:c r="G487" s="5" t="inlineStr">
        <x:is>
          <x:t xml:space="preserve">드래곤</x:t>
        </x:is>
      </x:c>
      <x:c r="H487" s="5" t="n">
        <x:v>5.4</x:v>
      </x:c>
      <x:c r="I487" s="5" t="n">
        <x:v>683</x:v>
      </x:c>
      <x:c r="J487" s="5" t="n">
        <x:v>680</x:v>
      </x:c>
      <x:c r="K487" s="5" t="n">
        <x:v>3</x:v>
      </x:c>
      <x:c r="L487" s="5" t="inlineStr">
        <x:is>
          <x:t xml:space="preserve">무진화</x:t>
        </x:is>
      </x:c>
      <x:c r="M487" s="5" t="n"/>
      <x:c r="N487" s="5" t="inlineStr">
        <x:is>
          <x:t xml:space="preserve">없음</x:t>
        </x:is>
      </x:c>
      <x:c r="O487" s="5" t="inlineStr">
        <x:is>
          <x:t xml:space="preserve">아니오</x:t>
        </x:is>
      </x:c>
      <x:c r="P487" s="5" t="inlineStr">
        <x:is>
          <x:t xml:space="preserve">cobbleverse:custom_spawn</x:t>
        </x:is>
      </x:c>
      <x:c r="Q487" s="5" t="inlineStr">
        <x:is>
          <x:t xml:space="preserve">ultra-rare</x:t>
        </x:is>
      </x:c>
      <x:c r="R487" s="5" t="inlineStr">
        <x:is>
          <x:t xml:space="preserve"/>
        </x:is>
      </x:c>
      <x:c r="S487" s="5" t="inlineStr">
        <x:is>
          <x:t xml:space="preserve"/>
        </x:is>
      </x:c>
      <x:c r="T487" s="5" t="inlineStr">
        <x:is>
          <x:t xml:space="preserve">비행</x:t>
        </x:is>
      </x:c>
      <x:c r="U487" s="5" t="inlineStr">
        <x:is>
          <x:t xml:space="preserve">개활지</x:t>
        </x:is>
      </x:c>
      <x:c r="V487" s="5" t="inlineStr">
        <x:is>
          <x:t xml:space="preserve">온대</x:t>
        </x:is>
      </x:c>
      <x:c r="W487" s="5" t="inlineStr">
        <x:is>
          <x:t xml:space="preserve">보통</x:t>
        </x:is>
      </x:c>
      <x:c r="X487" s="5" t="inlineStr">
        <x:is>
          <x:t xml:space="preserve">무관</x:t>
        </x:is>
      </x:c>
      <x:c r="Y487" s="5" t="inlineStr">
        <x:is>
          <x:t xml:space="preserve">무관</x:t>
        </x:is>
      </x:c>
      <x:c r="Z487" s="5" t="inlineStr">
        <x:is>
          <x:t xml:space="preserve">전설</x:t>
        </x:is>
      </x:c>
      <x:c r="AA487" s="5" t="inlineStr">
        <x:is>
          <x:t xml:space="preserve">전설</x:t>
        </x:is>
      </x:c>
      <x:c r="AB487" s="5" t="inlineStr">
        <x:is>
          <x:t xml:space="preserve"/>
        </x:is>
      </x:c>
      <x:c r="AC487" s="5" t="inlineStr">
        <x:is>
          <x:t xml:space="preserve">gen4; legendary; restricted</x:t>
        </x:is>
      </x:c>
      <x:c r="AD487" s="5" t="inlineStr">
        <x:is>
          <x:t xml:space="preserve">.tmp/cobblemon-1.7.3-source/common/src/main/resources/data/cobblemon/species/generation4/dialga.json</x:t>
        </x:is>
      </x:c>
    </x:row>
    <x:row r="488" ht="22" customHeight="1">
      <x:c r="A488" s="5" t="n">
        <x:v>484</x:v>
      </x:c>
      <x:c r="B488" s="5" t="inlineStr">
        <x:is>
          <x:t xml:space="preserve">펄기아</x:t>
        </x:is>
      </x:c>
      <x:c r="C488" s="5" t="inlineStr">
        <x:is>
          <x:t xml:space="preserve">palkia</x:t>
        </x:is>
      </x:c>
      <x:c r="D488" s="5" t="inlineStr">
        <x:is>
          <x:t xml:space="preserve">Palkia</x:t>
        </x:is>
      </x:c>
      <x:c r="E488" s="5" t="n">
        <x:v>4</x:v>
      </x:c>
      <x:c r="F488" s="5" t="inlineStr">
        <x:is>
          <x:t xml:space="preserve">물</x:t>
        </x:is>
      </x:c>
      <x:c r="G488" s="5" t="inlineStr">
        <x:is>
          <x:t xml:space="preserve">드래곤</x:t>
        </x:is>
      </x:c>
      <x:c r="H488" s="5" t="n">
        <x:v>4.2</x:v>
      </x:c>
      <x:c r="I488" s="5" t="n">
        <x:v>336</x:v>
      </x:c>
      <x:c r="J488" s="5" t="n">
        <x:v>680</x:v>
      </x:c>
      <x:c r="K488" s="5" t="n">
        <x:v>3</x:v>
      </x:c>
      <x:c r="L488" s="5" t="inlineStr">
        <x:is>
          <x:t xml:space="preserve">무진화</x:t>
        </x:is>
      </x:c>
      <x:c r="M488" s="5" t="n"/>
      <x:c r="N488" s="5" t="inlineStr">
        <x:is>
          <x:t xml:space="preserve">없음</x:t>
        </x:is>
      </x:c>
      <x:c r="O488" s="5" t="inlineStr">
        <x:is>
          <x:t xml:space="preserve">아니오</x:t>
        </x:is>
      </x:c>
      <x:c r="P488" s="5" t="inlineStr">
        <x:is>
          <x:t xml:space="preserve">cobbleverse:custom_spawn</x:t>
        </x:is>
      </x:c>
      <x:c r="Q488" s="5" t="inlineStr">
        <x:is>
          <x:t xml:space="preserve">ultra-rare</x:t>
        </x:is>
      </x:c>
      <x:c r="R488" s="5" t="inlineStr">
        <x:is>
          <x:t xml:space="preserve"/>
        </x:is>
      </x:c>
      <x:c r="S488" s="5" t="inlineStr">
        <x:is>
          <x:t xml:space="preserve"/>
        </x:is>
      </x:c>
      <x:c r="T488" s="5" t="inlineStr">
        <x:is>
          <x:t xml:space="preserve">비행</x:t>
        </x:is>
      </x:c>
      <x:c r="U488" s="5" t="inlineStr">
        <x:is>
          <x:t xml:space="preserve">담수</x:t>
        </x:is>
      </x:c>
      <x:c r="V488" s="5" t="inlineStr">
        <x:is>
          <x:t xml:space="preserve">온대</x:t>
        </x:is>
      </x:c>
      <x:c r="W488" s="5" t="inlineStr">
        <x:is>
          <x:t xml:space="preserve">보통</x:t>
        </x:is>
      </x:c>
      <x:c r="X488" s="5" t="inlineStr">
        <x:is>
          <x:t xml:space="preserve">무관</x:t>
        </x:is>
      </x:c>
      <x:c r="Y488" s="5" t="inlineStr">
        <x:is>
          <x:t xml:space="preserve">무관</x:t>
        </x:is>
      </x:c>
      <x:c r="Z488" s="5" t="inlineStr">
        <x:is>
          <x:t xml:space="preserve">전설</x:t>
        </x:is>
      </x:c>
      <x:c r="AA488" s="5" t="inlineStr">
        <x:is>
          <x:t xml:space="preserve">전설</x:t>
        </x:is>
      </x:c>
      <x:c r="AB488" s="5" t="inlineStr">
        <x:is>
          <x:t xml:space="preserve"/>
        </x:is>
      </x:c>
      <x:c r="AC488" s="5" t="inlineStr">
        <x:is>
          <x:t xml:space="preserve">gen4; legendary; restricted</x:t>
        </x:is>
      </x:c>
      <x:c r="AD488" s="5" t="inlineStr">
        <x:is>
          <x:t xml:space="preserve">.tmp/cobblemon-1.7.3-source/common/src/main/resources/data/cobblemon/species/generation4/palkia.json</x:t>
        </x:is>
      </x:c>
    </x:row>
    <x:row r="489" ht="22" customHeight="1">
      <x:c r="A489" s="5" t="n">
        <x:v>485</x:v>
      </x:c>
      <x:c r="B489" s="5" t="inlineStr">
        <x:is>
          <x:t xml:space="preserve">히드런</x:t>
        </x:is>
      </x:c>
      <x:c r="C489" s="5" t="inlineStr">
        <x:is>
          <x:t xml:space="preserve">heatran</x:t>
        </x:is>
      </x:c>
      <x:c r="D489" s="5" t="inlineStr">
        <x:is>
          <x:t xml:space="preserve">Heatran</x:t>
        </x:is>
      </x:c>
      <x:c r="E489" s="5" t="n">
        <x:v>4</x:v>
      </x:c>
      <x:c r="F489" s="5" t="inlineStr">
        <x:is>
          <x:t xml:space="preserve">불꽃</x:t>
        </x:is>
      </x:c>
      <x:c r="G489" s="5" t="inlineStr">
        <x:is>
          <x:t xml:space="preserve">강철</x:t>
        </x:is>
      </x:c>
      <x:c r="H489" s="5" t="n">
        <x:v>1.7</x:v>
      </x:c>
      <x:c r="I489" s="5" t="n">
        <x:v>430</x:v>
      </x:c>
      <x:c r="J489" s="5" t="n">
        <x:v>600</x:v>
      </x:c>
      <x:c r="K489" s="5" t="n">
        <x:v>3</x:v>
      </x:c>
      <x:c r="L489" s="5" t="inlineStr">
        <x:is>
          <x:t xml:space="preserve">무진화</x:t>
        </x:is>
      </x:c>
      <x:c r="M489" s="5" t="n"/>
      <x:c r="N489" s="5" t="inlineStr">
        <x:is>
          <x:t xml:space="preserve">없음</x:t>
        </x:is>
      </x:c>
      <x:c r="O489" s="5" t="inlineStr">
        <x:is>
          <x:t xml:space="preserve">아니오</x:t>
        </x:is>
      </x:c>
      <x:c r="P489" s="5" t="inlineStr">
        <x:is>
          <x:t xml:space="preserve">cobbleverse:custom_spawn</x:t>
        </x:is>
      </x:c>
      <x:c r="Q489" s="5" t="inlineStr">
        <x:is>
          <x:t xml:space="preserve">ultra-rare</x:t>
        </x:is>
      </x:c>
      <x:c r="R489" s="5" t="inlineStr">
        <x:is>
          <x:t xml:space="preserve"/>
        </x:is>
      </x:c>
      <x:c r="S489" s="5" t="inlineStr">
        <x:is>
          <x:t xml:space="preserve"/>
        </x:is>
      </x:c>
      <x:c r="T489" s="5" t="inlineStr">
        <x:is>
          <x:t xml:space="preserve">육상</x:t>
        </x:is>
      </x:c>
      <x:c r="U489" s="5" t="inlineStr">
        <x:is>
          <x:t xml:space="preserve">개활지</x:t>
        </x:is>
      </x:c>
      <x:c r="V489" s="5" t="inlineStr">
        <x:is>
          <x:t xml:space="preserve">고온</x:t>
        </x:is>
      </x:c>
      <x:c r="W489" s="5" t="inlineStr">
        <x:is>
          <x:t xml:space="preserve">보통</x:t>
        </x:is>
      </x:c>
      <x:c r="X489" s="5" t="inlineStr">
        <x:is>
          <x:t xml:space="preserve">무관</x:t>
        </x:is>
      </x:c>
      <x:c r="Y489" s="5" t="inlineStr">
        <x:is>
          <x:t xml:space="preserve">무관</x:t>
        </x:is>
      </x:c>
      <x:c r="Z489" s="5" t="inlineStr">
        <x:is>
          <x:t xml:space="preserve">전설</x:t>
        </x:is>
      </x:c>
      <x:c r="AA489" s="5" t="inlineStr">
        <x:is>
          <x:t xml:space="preserve">전설</x:t>
        </x:is>
      </x:c>
      <x:c r="AB489" s="5" t="inlineStr">
        <x:is>
          <x:t xml:space="preserve"/>
        </x:is>
      </x:c>
      <x:c r="AC489" s="5" t="inlineStr">
        <x:is>
          <x:t xml:space="preserve">gen4; legendary</x:t>
        </x:is>
      </x:c>
      <x:c r="AD489" s="5" t="inlineStr">
        <x:is>
          <x:t xml:space="preserve">.tmp/cobblemon-1.7.3-source/common/src/main/resources/data/cobblemon/species/generation4/heatran.json</x:t>
        </x:is>
      </x:c>
    </x:row>
    <x:row r="490" ht="22" customHeight="1">
      <x:c r="A490" s="5" t="n">
        <x:v>486</x:v>
      </x:c>
      <x:c r="B490" s="5" t="inlineStr">
        <x:is>
          <x:t xml:space="preserve">레지기가스</x:t>
        </x:is>
      </x:c>
      <x:c r="C490" s="5" t="inlineStr">
        <x:is>
          <x:t xml:space="preserve">regigigas</x:t>
        </x:is>
      </x:c>
      <x:c r="D490" s="5" t="inlineStr">
        <x:is>
          <x:t xml:space="preserve">Regigigas</x:t>
        </x:is>
      </x:c>
      <x:c r="E490" s="5" t="n">
        <x:v>4</x:v>
      </x:c>
      <x:c r="F490" s="5" t="inlineStr">
        <x:is>
          <x:t xml:space="preserve">노말</x:t>
        </x:is>
      </x:c>
      <x:c r="G490" s="5" t="inlineStr">
        <x:is>
          <x:t xml:space="preserve"/>
        </x:is>
      </x:c>
      <x:c r="H490" s="5" t="n">
        <x:v>3.7</x:v>
      </x:c>
      <x:c r="I490" s="5" t="n">
        <x:v>420</x:v>
      </x:c>
      <x:c r="J490" s="5" t="n">
        <x:v>670</x:v>
      </x:c>
      <x:c r="K490" s="5" t="n">
        <x:v>3</x:v>
      </x:c>
      <x:c r="L490" s="5" t="inlineStr">
        <x:is>
          <x:t xml:space="preserve">무진화</x:t>
        </x:is>
      </x:c>
      <x:c r="M490" s="5" t="n"/>
      <x:c r="N490" s="5" t="inlineStr">
        <x:is>
          <x:t xml:space="preserve">없음</x:t>
        </x:is>
      </x:c>
      <x:c r="O490" s="5" t="inlineStr">
        <x:is>
          <x:t xml:space="preserve">예</x:t>
        </x:is>
      </x:c>
      <x:c r="P490" s="5" t="inlineStr">
        <x:is>
          <x:t xml:space="preserve">cobbleverse:custom_spawn</x:t>
        </x:is>
      </x:c>
      <x:c r="Q490" s="5" t="inlineStr">
        <x:is>
          <x:t xml:space="preserve">ultra-rare</x:t>
        </x:is>
      </x:c>
      <x:c r="R490" s="5" t="inlineStr">
        <x:is>
          <x:t xml:space="preserve"/>
        </x:is>
      </x:c>
      <x:c r="S490" s="5" t="inlineStr">
        <x:is>
          <x:t xml:space="preserve"/>
        </x:is>
      </x:c>
      <x:c r="T490" s="5" t="inlineStr">
        <x:is>
          <x:t xml:space="preserve">육상</x:t>
        </x:is>
      </x:c>
      <x:c r="U490" s="5" t="inlineStr">
        <x:is>
          <x:t xml:space="preserve">개활지</x:t>
        </x:is>
      </x:c>
      <x:c r="V490" s="5" t="inlineStr">
        <x:is>
          <x:t xml:space="preserve">온대</x:t>
        </x:is>
      </x:c>
      <x:c r="W490" s="5" t="inlineStr">
        <x:is>
          <x:t xml:space="preserve">보통</x:t>
        </x:is>
      </x:c>
      <x:c r="X490" s="5" t="inlineStr">
        <x:is>
          <x:t xml:space="preserve">무관</x:t>
        </x:is>
      </x:c>
      <x:c r="Y490" s="5" t="inlineStr">
        <x:is>
          <x:t xml:space="preserve">무관</x:t>
        </x:is>
      </x:c>
      <x:c r="Z490" s="5" t="inlineStr">
        <x:is>
          <x:t xml:space="preserve">전설</x:t>
        </x:is>
      </x:c>
      <x:c r="AA490" s="5" t="inlineStr">
        <x:is>
          <x:t xml:space="preserve">전설</x:t>
        </x:is>
      </x:c>
      <x:c r="AB490" s="5" t="inlineStr">
        <x:is>
          <x:t xml:space="preserve"/>
        </x:is>
      </x:c>
      <x:c r="AC490" s="5" t="inlineStr">
        <x:is>
          <x:t xml:space="preserve">gen4; legendary</x:t>
        </x:is>
      </x:c>
      <x:c r="AD490" s="5" t="inlineStr">
        <x:is>
          <x:t xml:space="preserve">.tmp/cobblemon-1.7.3-source/common/src/main/resources/data/cobblemon/species/generation4/regigigas.json</x:t>
        </x:is>
      </x:c>
    </x:row>
    <x:row r="491" ht="22" customHeight="1">
      <x:c r="A491" s="5" t="n">
        <x:v>487</x:v>
      </x:c>
      <x:c r="B491" s="5" t="inlineStr">
        <x:is>
          <x:t xml:space="preserve">기라티나</x:t>
        </x:is>
      </x:c>
      <x:c r="C491" s="5" t="inlineStr">
        <x:is>
          <x:t xml:space="preserve">giratina</x:t>
        </x:is>
      </x:c>
      <x:c r="D491" s="5" t="inlineStr">
        <x:is>
          <x:t xml:space="preserve">Giratina</x:t>
        </x:is>
      </x:c>
      <x:c r="E491" s="5" t="n">
        <x:v>4</x:v>
      </x:c>
      <x:c r="F491" s="5" t="inlineStr">
        <x:is>
          <x:t xml:space="preserve">고스트</x:t>
        </x:is>
      </x:c>
      <x:c r="G491" s="5" t="inlineStr">
        <x:is>
          <x:t xml:space="preserve">드래곤</x:t>
        </x:is>
      </x:c>
      <x:c r="H491" s="5" t="n">
        <x:v>4.5</x:v>
      </x:c>
      <x:c r="I491" s="5" t="n">
        <x:v>750</x:v>
      </x:c>
      <x:c r="J491" s="5" t="n">
        <x:v>680</x:v>
      </x:c>
      <x:c r="K491" s="5" t="n">
        <x:v>3</x:v>
      </x:c>
      <x:c r="L491" s="5" t="inlineStr">
        <x:is>
          <x:t xml:space="preserve">무진화</x:t>
        </x:is>
      </x:c>
      <x:c r="M491" s="5" t="n"/>
      <x:c r="N491" s="5" t="inlineStr">
        <x:is>
          <x:t xml:space="preserve">없음</x:t>
        </x:is>
      </x:c>
      <x:c r="O491" s="5" t="inlineStr">
        <x:is>
          <x:t xml:space="preserve">아니오</x:t>
        </x:is>
      </x:c>
      <x:c r="P491" s="5" t="inlineStr">
        <x:is>
          <x:t xml:space="preserve">cobbleverse:custom_spawn</x:t>
        </x:is>
      </x:c>
      <x:c r="Q491" s="5" t="inlineStr">
        <x:is>
          <x:t xml:space="preserve">ultra-rare</x:t>
        </x:is>
      </x:c>
      <x:c r="R491" s="5" t="inlineStr">
        <x:is>
          <x:t xml:space="preserve"/>
        </x:is>
      </x:c>
      <x:c r="S491" s="5" t="inlineStr">
        <x:is>
          <x:t xml:space="preserve"/>
        </x:is>
      </x:c>
      <x:c r="T491" s="5" t="inlineStr">
        <x:is>
          <x:t xml:space="preserve">영체</x:t>
        </x:is>
      </x:c>
      <x:c r="U491" s="5" t="inlineStr">
        <x:is>
          <x:t xml:space="preserve">특수</x:t>
        </x:is>
      </x:c>
      <x:c r="V491" s="5" t="inlineStr">
        <x:is>
          <x:t xml:space="preserve">온대</x:t>
        </x:is>
      </x:c>
      <x:c r="W491" s="5" t="inlineStr">
        <x:is>
          <x:t xml:space="preserve">보통</x:t>
        </x:is>
      </x:c>
      <x:c r="X491" s="5" t="inlineStr">
        <x:is>
          <x:t xml:space="preserve">안개</x:t>
        </x:is>
      </x:c>
      <x:c r="Y491" s="5" t="inlineStr">
        <x:is>
          <x:t xml:space="preserve">밤</x:t>
        </x:is>
      </x:c>
      <x:c r="Z491" s="5" t="inlineStr">
        <x:is>
          <x:t xml:space="preserve">전설</x:t>
        </x:is>
      </x:c>
      <x:c r="AA491" s="5" t="inlineStr">
        <x:is>
          <x:t xml:space="preserve">전설</x:t>
        </x:is>
      </x:c>
      <x:c r="AB491" s="5" t="inlineStr">
        <x:is>
          <x:t xml:space="preserve"/>
        </x:is>
      </x:c>
      <x:c r="AC491" s="5" t="inlineStr">
        <x:is>
          <x:t xml:space="preserve">gen4; legendary; restricted</x:t>
        </x:is>
      </x:c>
      <x:c r="AD491" s="5" t="inlineStr">
        <x:is>
          <x:t xml:space="preserve">.tmp/cobblemon-1.7.3-source/common/src/main/resources/data/cobblemon/species/generation4/giratina.json</x:t>
        </x:is>
      </x:c>
    </x:row>
    <x:row r="492" ht="22" customHeight="1">
      <x:c r="A492" s="5" t="n">
        <x:v>488</x:v>
      </x:c>
      <x:c r="B492" s="5" t="inlineStr">
        <x:is>
          <x:t xml:space="preserve">크레세리아</x:t>
        </x:is>
      </x:c>
      <x:c r="C492" s="5" t="inlineStr">
        <x:is>
          <x:t xml:space="preserve">cresselia</x:t>
        </x:is>
      </x:c>
      <x:c r="D492" s="5" t="inlineStr">
        <x:is>
          <x:t xml:space="preserve">Cresselia</x:t>
        </x:is>
      </x:c>
      <x:c r="E492" s="5" t="n">
        <x:v>4</x:v>
      </x:c>
      <x:c r="F492" s="5" t="inlineStr">
        <x:is>
          <x:t xml:space="preserve">에스퍼</x:t>
        </x:is>
      </x:c>
      <x:c r="G492" s="5" t="inlineStr">
        <x:is>
          <x:t xml:space="preserve"/>
        </x:is>
      </x:c>
      <x:c r="H492" s="5" t="n">
        <x:v>1.5</x:v>
      </x:c>
      <x:c r="I492" s="5" t="n">
        <x:v>85.59999999999999</x:v>
      </x:c>
      <x:c r="J492" s="5" t="n">
        <x:v>580</x:v>
      </x:c>
      <x:c r="K492" s="5" t="n">
        <x:v>3</x:v>
      </x:c>
      <x:c r="L492" s="5" t="inlineStr">
        <x:is>
          <x:t xml:space="preserve">무진화</x:t>
        </x:is>
      </x:c>
      <x:c r="M492" s="5" t="n"/>
      <x:c r="N492" s="5" t="inlineStr">
        <x:is>
          <x:t xml:space="preserve">없음</x:t>
        </x:is>
      </x:c>
      <x:c r="O492" s="5" t="inlineStr">
        <x:is>
          <x:t xml:space="preserve">아니오</x:t>
        </x:is>
      </x:c>
      <x:c r="P492" s="5" t="inlineStr">
        <x:is>
          <x:t xml:space="preserve">cobbleverse:custom_spawn</x:t>
        </x:is>
      </x:c>
      <x:c r="Q492" s="5" t="inlineStr">
        <x:is>
          <x:t xml:space="preserve">ultra-rare</x:t>
        </x:is>
      </x:c>
      <x:c r="R492" s="5" t="inlineStr">
        <x:is>
          <x:t xml:space="preserve"/>
        </x:is>
      </x:c>
      <x:c r="S492" s="5" t="inlineStr">
        <x:is>
          <x:t xml:space="preserve"/>
        </x:is>
      </x:c>
      <x:c r="T492" s="5" t="inlineStr">
        <x:is>
          <x:t xml:space="preserve">비행</x:t>
        </x:is>
      </x:c>
      <x:c r="U492" s="5" t="inlineStr">
        <x:is>
          <x:t xml:space="preserve">개활지</x:t>
        </x:is>
      </x:c>
      <x:c r="V492" s="5" t="inlineStr">
        <x:is>
          <x:t xml:space="preserve">온대</x:t>
        </x:is>
      </x:c>
      <x:c r="W492" s="5" t="inlineStr">
        <x:is>
          <x:t xml:space="preserve">보통</x:t>
        </x:is>
      </x:c>
      <x:c r="X492" s="5" t="inlineStr">
        <x:is>
          <x:t xml:space="preserve">무관</x:t>
        </x:is>
      </x:c>
      <x:c r="Y492" s="5" t="inlineStr">
        <x:is>
          <x:t xml:space="preserve">무관</x:t>
        </x:is>
      </x:c>
      <x:c r="Z492" s="5" t="inlineStr">
        <x:is>
          <x:t xml:space="preserve">전설</x:t>
        </x:is>
      </x:c>
      <x:c r="AA492" s="5" t="inlineStr">
        <x:is>
          <x:t xml:space="preserve">전설</x:t>
        </x:is>
      </x:c>
      <x:c r="AB492" s="5" t="inlineStr">
        <x:is>
          <x:t xml:space="preserve"/>
        </x:is>
      </x:c>
      <x:c r="AC492" s="5" t="inlineStr">
        <x:is>
          <x:t xml:space="preserve">gen4; legendary</x:t>
        </x:is>
      </x:c>
      <x:c r="AD492" s="5" t="inlineStr">
        <x:is>
          <x:t xml:space="preserve">.tmp/cobblemon-1.7.3-source/common/src/main/resources/data/cobblemon/species/generation4/cresselia.json</x:t>
        </x:is>
      </x:c>
    </x:row>
    <x:row r="493" ht="22" customHeight="1">
      <x:c r="A493" s="5" t="n">
        <x:v>489</x:v>
      </x:c>
      <x:c r="B493" s="5" t="inlineStr">
        <x:is>
          <x:t xml:space="preserve">피오네</x:t>
        </x:is>
      </x:c>
      <x:c r="C493" s="5" t="inlineStr">
        <x:is>
          <x:t xml:space="preserve">phione</x:t>
        </x:is>
      </x:c>
      <x:c r="D493" s="5" t="inlineStr">
        <x:is>
          <x:t xml:space="preserve">Phione</x:t>
        </x:is>
      </x:c>
      <x:c r="E493" s="5" t="n">
        <x:v>4</x:v>
      </x:c>
      <x:c r="F493" s="5" t="inlineStr">
        <x:is>
          <x:t xml:space="preserve">물</x:t>
        </x:is>
      </x:c>
      <x:c r="G493" s="5" t="inlineStr">
        <x:is>
          <x:t xml:space="preserve"/>
        </x:is>
      </x:c>
      <x:c r="H493" s="5" t="n">
        <x:v>0.4</x:v>
      </x:c>
      <x:c r="I493" s="5" t="n">
        <x:v>3.1</x:v>
      </x:c>
      <x:c r="J493" s="5" t="n">
        <x:v>480</x:v>
      </x:c>
      <x:c r="K493" s="5" t="n">
        <x:v>30</x:v>
      </x:c>
      <x:c r="L493" s="5" t="inlineStr">
        <x:is>
          <x:t xml:space="preserve">무진화</x:t>
        </x:is>
      </x:c>
      <x:c r="M493" s="5" t="n"/>
      <x:c r="N493" s="5" t="inlineStr">
        <x:is>
          <x:t xml:space="preserve">없음</x:t>
        </x:is>
      </x:c>
      <x:c r="O493" s="5" t="inlineStr">
        <x:is>
          <x:t xml:space="preserve">아니오</x:t>
        </x:is>
      </x:c>
      <x:c r="P493" s="5" t="inlineStr">
        <x:is>
          <x:t xml:space="preserve">cobbleverse:custom_spawn</x:t>
        </x:is>
      </x:c>
      <x:c r="Q493" s="5" t="inlineStr">
        <x:is>
          <x:t xml:space="preserve">ultra-rare</x:t>
        </x:is>
      </x:c>
      <x:c r="R493" s="5" t="inlineStr">
        <x:is>
          <x:t xml:space="preserve"/>
        </x:is>
      </x:c>
      <x:c r="S493" s="5" t="inlineStr">
        <x:is>
          <x:t xml:space="preserve"/>
        </x:is>
      </x:c>
      <x:c r="T493" s="5" t="inlineStr">
        <x:is>
          <x:t xml:space="preserve">수륙</x:t>
        </x:is>
      </x:c>
      <x:c r="U493" s="5" t="inlineStr">
        <x:is>
          <x:t xml:space="preserve">담수</x:t>
        </x:is>
      </x:c>
      <x:c r="V493" s="5" t="inlineStr">
        <x:is>
          <x:t xml:space="preserve">온대</x:t>
        </x:is>
      </x:c>
      <x:c r="W493" s="5" t="inlineStr">
        <x:is>
          <x:t xml:space="preserve">보통</x:t>
        </x:is>
      </x:c>
      <x:c r="X493" s="5" t="inlineStr">
        <x:is>
          <x:t xml:space="preserve">무관</x:t>
        </x:is>
      </x:c>
      <x:c r="Y493" s="5" t="inlineStr">
        <x:is>
          <x:t xml:space="preserve">무관</x:t>
        </x:is>
      </x:c>
      <x:c r="Z493" s="5" t="inlineStr">
        <x:is>
          <x:t xml:space="preserve">전설</x:t>
        </x:is>
      </x:c>
      <x:c r="AA493" s="5" t="inlineStr">
        <x:is>
          <x:t xml:space="preserve">전설</x:t>
        </x:is>
      </x:c>
      <x:c r="AB493" s="5" t="inlineStr">
        <x:is>
          <x:t xml:space="preserve"/>
        </x:is>
      </x:c>
      <x:c r="AC493" s="5" t="inlineStr">
        <x:is>
          <x:t xml:space="preserve">gen4; mythical</x:t>
        </x:is>
      </x:c>
      <x:c r="AD493" s="5" t="inlineStr">
        <x:is>
          <x:t xml:space="preserve">.tmp/cobblemon-1.7.3-source/common/src/main/resources/data/cobblemon/species/generation4/phione.json</x:t>
        </x:is>
      </x:c>
    </x:row>
    <x:row r="494" ht="22" customHeight="1">
      <x:c r="A494" s="5" t="n">
        <x:v>490</x:v>
      </x:c>
      <x:c r="B494" s="5" t="inlineStr">
        <x:is>
          <x:t xml:space="preserve">마나피</x:t>
        </x:is>
      </x:c>
      <x:c r="C494" s="5" t="inlineStr">
        <x:is>
          <x:t xml:space="preserve">manaphy</x:t>
        </x:is>
      </x:c>
      <x:c r="D494" s="5" t="inlineStr">
        <x:is>
          <x:t xml:space="preserve">Manaphy</x:t>
        </x:is>
      </x:c>
      <x:c r="E494" s="5" t="n">
        <x:v>4</x:v>
      </x:c>
      <x:c r="F494" s="5" t="inlineStr">
        <x:is>
          <x:t xml:space="preserve">물</x:t>
        </x:is>
      </x:c>
      <x:c r="G494" s="5" t="inlineStr">
        <x:is>
          <x:t xml:space="preserve"/>
        </x:is>
      </x:c>
      <x:c r="H494" s="5" t="n">
        <x:v>0.3</x:v>
      </x:c>
      <x:c r="I494" s="5" t="n">
        <x:v>1.4</x:v>
      </x:c>
      <x:c r="J494" s="5" t="n">
        <x:v>600</x:v>
      </x:c>
      <x:c r="K494" s="5" t="n">
        <x:v>3</x:v>
      </x:c>
      <x:c r="L494" s="5" t="inlineStr">
        <x:is>
          <x:t xml:space="preserve">무진화</x:t>
        </x:is>
      </x:c>
      <x:c r="M494" s="5" t="n"/>
      <x:c r="N494" s="5" t="inlineStr">
        <x:is>
          <x:t xml:space="preserve">없음</x:t>
        </x:is>
      </x:c>
      <x:c r="O494" s="5" t="inlineStr">
        <x:is>
          <x:t xml:space="preserve">아니오</x:t>
        </x:is>
      </x:c>
      <x:c r="P494" s="5" t="inlineStr">
        <x:is>
          <x:t xml:space="preserve">cobbleverse:custom_spawn</x:t>
        </x:is>
      </x:c>
      <x:c r="Q494" s="5" t="inlineStr">
        <x:is>
          <x:t xml:space="preserve">ultra-rare</x:t>
        </x:is>
      </x:c>
      <x:c r="R494" s="5" t="inlineStr">
        <x:is>
          <x:t xml:space="preserve"/>
        </x:is>
      </x:c>
      <x:c r="S494" s="5" t="inlineStr">
        <x:is>
          <x:t xml:space="preserve"/>
        </x:is>
      </x:c>
      <x:c r="T494" s="5" t="inlineStr">
        <x:is>
          <x:t xml:space="preserve">수륙</x:t>
        </x:is>
      </x:c>
      <x:c r="U494" s="5" t="inlineStr">
        <x:is>
          <x:t xml:space="preserve">담수</x:t>
        </x:is>
      </x:c>
      <x:c r="V494" s="5" t="inlineStr">
        <x:is>
          <x:t xml:space="preserve">온대</x:t>
        </x:is>
      </x:c>
      <x:c r="W494" s="5" t="inlineStr">
        <x:is>
          <x:t xml:space="preserve">보통</x:t>
        </x:is>
      </x:c>
      <x:c r="X494" s="5" t="inlineStr">
        <x:is>
          <x:t xml:space="preserve">무관</x:t>
        </x:is>
      </x:c>
      <x:c r="Y494" s="5" t="inlineStr">
        <x:is>
          <x:t xml:space="preserve">무관</x:t>
        </x:is>
      </x:c>
      <x:c r="Z494" s="5" t="inlineStr">
        <x:is>
          <x:t xml:space="preserve">전설</x:t>
        </x:is>
      </x:c>
      <x:c r="AA494" s="5" t="inlineStr">
        <x:is>
          <x:t xml:space="preserve">전설</x:t>
        </x:is>
      </x:c>
      <x:c r="AB494" s="5" t="inlineStr">
        <x:is>
          <x:t xml:space="preserve"/>
        </x:is>
      </x:c>
      <x:c r="AC494" s="5" t="inlineStr">
        <x:is>
          <x:t xml:space="preserve">gen4; mythical</x:t>
        </x:is>
      </x:c>
      <x:c r="AD494" s="5" t="inlineStr">
        <x:is>
          <x:t xml:space="preserve">.tmp/cobblemon-1.7.3-source/common/src/main/resources/data/cobblemon/species/generation4/manaphy.json</x:t>
        </x:is>
      </x:c>
    </x:row>
    <x:row r="495" ht="22" customHeight="1">
      <x:c r="A495" s="5" t="n">
        <x:v>491</x:v>
      </x:c>
      <x:c r="B495" s="5" t="inlineStr">
        <x:is>
          <x:t xml:space="preserve">다크라이</x:t>
        </x:is>
      </x:c>
      <x:c r="C495" s="5" t="inlineStr">
        <x:is>
          <x:t xml:space="preserve">darkrai</x:t>
        </x:is>
      </x:c>
      <x:c r="D495" s="5" t="inlineStr">
        <x:is>
          <x:t xml:space="preserve">Darkrai</x:t>
        </x:is>
      </x:c>
      <x:c r="E495" s="5" t="n">
        <x:v>4</x:v>
      </x:c>
      <x:c r="F495" s="5" t="inlineStr">
        <x:is>
          <x:t xml:space="preserve">악</x:t>
        </x:is>
      </x:c>
      <x:c r="G495" s="5" t="inlineStr">
        <x:is>
          <x:t xml:space="preserve"/>
        </x:is>
      </x:c>
      <x:c r="H495" s="5" t="n">
        <x:v>1.5</x:v>
      </x:c>
      <x:c r="I495" s="5" t="n">
        <x:v>50.5</x:v>
      </x:c>
      <x:c r="J495" s="5" t="n">
        <x:v>600</x:v>
      </x:c>
      <x:c r="K495" s="5" t="n">
        <x:v>3</x:v>
      </x:c>
      <x:c r="L495" s="5" t="inlineStr">
        <x:is>
          <x:t xml:space="preserve">무진화</x:t>
        </x:is>
      </x:c>
      <x:c r="M495" s="5" t="n"/>
      <x:c r="N495" s="5" t="inlineStr">
        <x:is>
          <x:t xml:space="preserve">없음</x:t>
        </x:is>
      </x:c>
      <x:c r="O495" s="5" t="inlineStr">
        <x:is>
          <x:t xml:space="preserve">아니오</x:t>
        </x:is>
      </x:c>
      <x:c r="P495" s="5" t="inlineStr">
        <x:is>
          <x:t xml:space="preserve">cobbleverse:custom_spawn/newmoon_island</x:t>
        </x:is>
      </x:c>
      <x:c r="Q495" s="5" t="inlineStr">
        <x:is>
          <x:t xml:space="preserve">ultra-rare</x:t>
        </x:is>
      </x:c>
      <x:c r="R495" s="5" t="inlineStr">
        <x:is>
          <x:t xml:space="preserve"/>
        </x:is>
      </x:c>
      <x:c r="S495" s="5" t="inlineStr">
        <x:is>
          <x:t xml:space="preserve"/>
        </x:is>
      </x:c>
      <x:c r="T495" s="5" t="inlineStr">
        <x:is>
          <x:t xml:space="preserve">비행</x:t>
        </x:is>
      </x:c>
      <x:c r="U495" s="5" t="inlineStr">
        <x:is>
          <x:t xml:space="preserve">특수</x:t>
        </x:is>
      </x:c>
      <x:c r="V495" s="5" t="inlineStr">
        <x:is>
          <x:t xml:space="preserve">온대</x:t>
        </x:is>
      </x:c>
      <x:c r="W495" s="5" t="inlineStr">
        <x:is>
          <x:t xml:space="preserve">보통</x:t>
        </x:is>
      </x:c>
      <x:c r="X495" s="5" t="inlineStr">
        <x:is>
          <x:t xml:space="preserve">무관</x:t>
        </x:is>
      </x:c>
      <x:c r="Y495" s="5" t="inlineStr">
        <x:is>
          <x:t xml:space="preserve">밤</x:t>
        </x:is>
      </x:c>
      <x:c r="Z495" s="5" t="inlineStr">
        <x:is>
          <x:t xml:space="preserve">전설</x:t>
        </x:is>
      </x:c>
      <x:c r="AA495" s="5" t="inlineStr">
        <x:is>
          <x:t xml:space="preserve">전설</x:t>
        </x:is>
      </x:c>
      <x:c r="AB495" s="5" t="inlineStr">
        <x:is>
          <x:t xml:space="preserve"/>
        </x:is>
      </x:c>
      <x:c r="AC495" s="5" t="inlineStr">
        <x:is>
          <x:t xml:space="preserve">gen4; mythical</x:t>
        </x:is>
      </x:c>
      <x:c r="AD495" s="5" t="inlineStr">
        <x:is>
          <x:t xml:space="preserve">.tmp/cobblemon-1.7.3-source/common/src/main/resources/data/cobblemon/species/generation4/darkrai.json</x:t>
        </x:is>
      </x:c>
    </x:row>
    <x:row r="496" ht="22" customHeight="1">
      <x:c r="A496" s="5" t="n">
        <x:v>492</x:v>
      </x:c>
      <x:c r="B496" s="5" t="inlineStr">
        <x:is>
          <x:t xml:space="preserve">쉐이미</x:t>
        </x:is>
      </x:c>
      <x:c r="C496" s="5" t="inlineStr">
        <x:is>
          <x:t xml:space="preserve">shaymin</x:t>
        </x:is>
      </x:c>
      <x:c r="D496" s="5" t="inlineStr">
        <x:is>
          <x:t xml:space="preserve">Shaymin</x:t>
        </x:is>
      </x:c>
      <x:c r="E496" s="5" t="n">
        <x:v>4</x:v>
      </x:c>
      <x:c r="F496" s="5" t="inlineStr">
        <x:is>
          <x:t xml:space="preserve">풀</x:t>
        </x:is>
      </x:c>
      <x:c r="G496" s="5" t="inlineStr">
        <x:is>
          <x:t xml:space="preserve"/>
        </x:is>
      </x:c>
      <x:c r="H496" s="5" t="n">
        <x:v>0.2</x:v>
      </x:c>
      <x:c r="I496" s="5" t="n">
        <x:v>2.1</x:v>
      </x:c>
      <x:c r="J496" s="5" t="n">
        <x:v>600</x:v>
      </x:c>
      <x:c r="K496" s="5" t="n">
        <x:v>45</x:v>
      </x:c>
      <x:c r="L496" s="5" t="inlineStr">
        <x:is>
          <x:t xml:space="preserve">무진화</x:t>
        </x:is>
      </x:c>
      <x:c r="M496" s="5" t="n"/>
      <x:c r="N496" s="5" t="inlineStr">
        <x:is>
          <x:t xml:space="preserve">없음</x:t>
        </x:is>
      </x:c>
      <x:c r="O496" s="5" t="inlineStr">
        <x:is>
          <x:t xml:space="preserve">아니오</x:t>
        </x:is>
      </x:c>
      <x:c r="P496" s="5" t="inlineStr">
        <x:is>
          <x:t xml:space="preserve">cobbleverse:custom_spawn/flower_paradise</x:t>
        </x:is>
      </x:c>
      <x:c r="Q496" s="5" t="inlineStr">
        <x:is>
          <x:t xml:space="preserve">ultra-rare</x:t>
        </x:is>
      </x:c>
      <x:c r="R496" s="5" t="inlineStr">
        <x:is>
          <x:t xml:space="preserve"/>
        </x:is>
      </x:c>
      <x:c r="S496" s="5" t="inlineStr">
        <x:is>
          <x:t xml:space="preserve"/>
        </x:is>
      </x:c>
      <x:c r="T496" s="5" t="inlineStr">
        <x:is>
          <x:t xml:space="preserve">육상</x:t>
        </x:is>
      </x:c>
      <x:c r="U496" s="5" t="inlineStr">
        <x:is>
          <x:t xml:space="preserve">수목</x:t>
        </x:is>
      </x:c>
      <x:c r="V496" s="5" t="inlineStr">
        <x:is>
          <x:t xml:space="preserve">온대</x:t>
        </x:is>
      </x:c>
      <x:c r="W496" s="5" t="inlineStr">
        <x:is>
          <x:t xml:space="preserve">보통</x:t>
        </x:is>
      </x:c>
      <x:c r="X496" s="5" t="inlineStr">
        <x:is>
          <x:t xml:space="preserve">무관</x:t>
        </x:is>
      </x:c>
      <x:c r="Y496" s="5" t="inlineStr">
        <x:is>
          <x:t xml:space="preserve">무관</x:t>
        </x:is>
      </x:c>
      <x:c r="Z496" s="5" t="inlineStr">
        <x:is>
          <x:t xml:space="preserve">전설</x:t>
        </x:is>
      </x:c>
      <x:c r="AA496" s="5" t="inlineStr">
        <x:is>
          <x:t xml:space="preserve">전설</x:t>
        </x:is>
      </x:c>
      <x:c r="AB496" s="5" t="inlineStr">
        <x:is>
          <x:t xml:space="preserve"/>
        </x:is>
      </x:c>
      <x:c r="AC496" s="5" t="inlineStr">
        <x:is>
          <x:t xml:space="preserve">gen4; mythical</x:t>
        </x:is>
      </x:c>
      <x:c r="AD496" s="5" t="inlineStr">
        <x:is>
          <x:t xml:space="preserve">.tmp/cobblemon-1.7.3-source/common/src/main/resources/data/cobblemon/species/generation4/shaymin.json</x:t>
        </x:is>
      </x:c>
    </x:row>
    <x:row r="497" ht="22" customHeight="1">
      <x:c r="A497" s="5" t="n">
        <x:v>493</x:v>
      </x:c>
      <x:c r="B497" s="5" t="inlineStr">
        <x:is>
          <x:t xml:space="preserve">아르세우스</x:t>
        </x:is>
      </x:c>
      <x:c r="C497" s="5" t="inlineStr">
        <x:is>
          <x:t xml:space="preserve">arceus</x:t>
        </x:is>
      </x:c>
      <x:c r="D497" s="5" t="inlineStr">
        <x:is>
          <x:t xml:space="preserve">Arceus</x:t>
        </x:is>
      </x:c>
      <x:c r="E497" s="5" t="n">
        <x:v>4</x:v>
      </x:c>
      <x:c r="F497" s="5" t="inlineStr">
        <x:is>
          <x:t xml:space="preserve">노말</x:t>
        </x:is>
      </x:c>
      <x:c r="G497" s="5" t="inlineStr">
        <x:is>
          <x:t xml:space="preserve"/>
        </x:is>
      </x:c>
      <x:c r="H497" s="5" t="n">
        <x:v>3.2</x:v>
      </x:c>
      <x:c r="I497" s="5" t="n">
        <x:v>320</x:v>
      </x:c>
      <x:c r="J497" s="5" t="n">
        <x:v>720</x:v>
      </x:c>
      <x:c r="K497" s="5" t="n">
        <x:v>3</x:v>
      </x:c>
      <x:c r="L497" s="5" t="inlineStr">
        <x:is>
          <x:t xml:space="preserve">무진화</x:t>
        </x:is>
      </x:c>
      <x:c r="M497" s="5" t="n"/>
      <x:c r="N497" s="5" t="inlineStr">
        <x:is>
          <x:t xml:space="preserve">없음</x:t>
        </x:is>
      </x:c>
      <x:c r="O497" s="5" t="inlineStr">
        <x:is>
          <x:t xml:space="preserve">아니오</x:t>
        </x:is>
      </x:c>
      <x:c r="P497" s="5" t="inlineStr">
        <x:is>
          <x:t xml:space="preserve">cobbleverse:custom_spawn/sinnoh_temple</x:t>
        </x:is>
      </x:c>
      <x:c r="Q497" s="5" t="inlineStr">
        <x:is>
          <x:t xml:space="preserve">ultra-rare</x:t>
        </x:is>
      </x:c>
      <x:c r="R497" s="5" t="inlineStr">
        <x:is>
          <x:t xml:space="preserve"/>
        </x:is>
      </x:c>
      <x:c r="S497" s="5" t="inlineStr">
        <x:is>
          <x:t xml:space="preserve"/>
        </x:is>
      </x:c>
      <x:c r="T497" s="5" t="inlineStr">
        <x:is>
          <x:t xml:space="preserve">비행</x:t>
        </x:is>
      </x:c>
      <x:c r="U497" s="5" t="inlineStr">
        <x:is>
          <x:t xml:space="preserve">특수</x:t>
        </x:is>
      </x:c>
      <x:c r="V497" s="5" t="inlineStr">
        <x:is>
          <x:t xml:space="preserve">온대</x:t>
        </x:is>
      </x:c>
      <x:c r="W497" s="5" t="inlineStr">
        <x:is>
          <x:t xml:space="preserve">보통</x:t>
        </x:is>
      </x:c>
      <x:c r="X497" s="5" t="inlineStr">
        <x:is>
          <x:t xml:space="preserve">무관</x:t>
        </x:is>
      </x:c>
      <x:c r="Y497" s="5" t="inlineStr">
        <x:is>
          <x:t xml:space="preserve">무관</x:t>
        </x:is>
      </x:c>
      <x:c r="Z497" s="5" t="inlineStr">
        <x:is>
          <x:t xml:space="preserve">전설</x:t>
        </x:is>
      </x:c>
      <x:c r="AA497" s="5" t="inlineStr">
        <x:is>
          <x:t xml:space="preserve">전설</x:t>
        </x:is>
      </x:c>
      <x:c r="AB497" s="5" t="inlineStr">
        <x:is>
          <x:t xml:space="preserve">특수</x:t>
        </x:is>
      </x:c>
      <x:c r="AC497" s="5" t="inlineStr">
        <x:is>
          <x:t xml:space="preserve">gen4; mythical</x:t>
        </x:is>
      </x:c>
      <x:c r="AD497" s="5" t="inlineStr">
        <x:is>
          <x:t xml:space="preserve">.tmp/cobblemon-1.7.3-source/common/src/main/resources/data/cobblemon/species/generation4/arceus.json</x:t>
        </x:is>
      </x:c>
    </x:row>
    <x:row r="498" ht="22" customHeight="1">
      <x:c r="A498" s="5" t="n">
        <x:v>494</x:v>
      </x:c>
      <x:c r="B498" s="5" t="inlineStr">
        <x:is>
          <x:t xml:space="preserve">비크티니</x:t>
        </x:is>
      </x:c>
      <x:c r="C498" s="5" t="inlineStr">
        <x:is>
          <x:t xml:space="preserve">victini</x:t>
        </x:is>
      </x:c>
      <x:c r="D498" s="5" t="inlineStr">
        <x:is>
          <x:t xml:space="preserve">Victini</x:t>
        </x:is>
      </x:c>
      <x:c r="E498" s="5" t="n">
        <x:v>5</x:v>
      </x:c>
      <x:c r="F498" s="5" t="inlineStr">
        <x:is>
          <x:t xml:space="preserve">에스퍼</x:t>
        </x:is>
      </x:c>
      <x:c r="G498" s="5" t="inlineStr">
        <x:is>
          <x:t xml:space="preserve">불꽃</x:t>
        </x:is>
      </x:c>
      <x:c r="H498" s="5" t="n">
        <x:v>0.4</x:v>
      </x:c>
      <x:c r="I498" s="5" t="n">
        <x:v>4</x:v>
      </x:c>
      <x:c r="J498" s="5" t="n">
        <x:v>600</x:v>
      </x:c>
      <x:c r="K498" s="5" t="n">
        <x:v>3</x:v>
      </x:c>
      <x:c r="L498" s="5" t="inlineStr">
        <x:is>
          <x:t xml:space="preserve">무진화</x:t>
        </x:is>
      </x:c>
      <x:c r="M498" s="5" t="n"/>
      <x:c r="N498" s="5" t="inlineStr">
        <x:is>
          <x:t xml:space="preserve">없음</x:t>
        </x:is>
      </x:c>
      <x:c r="O498" s="5" t="inlineStr">
        <x:is>
          <x:t xml:space="preserve">아니오</x:t>
        </x:is>
      </x:c>
      <x:c r="P498" s="5" t="inlineStr">
        <x:is>
          <x:t xml:space="preserve">minecraft:crimson_forest</x:t>
        </x:is>
      </x:c>
      <x:c r="Q498" s="5" t="inlineStr">
        <x:is>
          <x:t xml:space="preserve">ultra-rare</x:t>
        </x:is>
      </x:c>
      <x:c r="R498" s="5" t="inlineStr">
        <x:is>
          <x:t xml:space="preserve"/>
        </x:is>
      </x:c>
      <x:c r="S498" s="5" t="inlineStr">
        <x:is>
          <x:t xml:space="preserve"/>
        </x:is>
      </x:c>
      <x:c r="T498" s="5" t="inlineStr">
        <x:is>
          <x:t xml:space="preserve">비행</x:t>
        </x:is>
      </x:c>
      <x:c r="U498" s="5" t="inlineStr">
        <x:is>
          <x:t xml:space="preserve">수목</x:t>
        </x:is>
      </x:c>
      <x:c r="V498" s="5" t="inlineStr">
        <x:is>
          <x:t xml:space="preserve">고온</x:t>
        </x:is>
      </x:c>
      <x:c r="W498" s="5" t="inlineStr">
        <x:is>
          <x:t xml:space="preserve">보통</x:t>
        </x:is>
      </x:c>
      <x:c r="X498" s="5" t="inlineStr">
        <x:is>
          <x:t xml:space="preserve">무관</x:t>
        </x:is>
      </x:c>
      <x:c r="Y498" s="5" t="inlineStr">
        <x:is>
          <x:t xml:space="preserve">무관</x:t>
        </x:is>
      </x:c>
      <x:c r="Z498" s="5" t="inlineStr">
        <x:is>
          <x:t xml:space="preserve">전설</x:t>
        </x:is>
      </x:c>
      <x:c r="AA498" s="5" t="inlineStr">
        <x:is>
          <x:t xml:space="preserve">전설</x:t>
        </x:is>
      </x:c>
      <x:c r="AB498" s="5" t="inlineStr">
        <x:is>
          <x:t xml:space="preserve">숲</x:t>
        </x:is>
      </x:c>
      <x:c r="AC498" s="5" t="inlineStr">
        <x:is>
          <x:t xml:space="preserve">gen5; mythical</x:t>
        </x:is>
      </x:c>
      <x:c r="AD498" s="5" t="inlineStr">
        <x:is>
          <x:t xml:space="preserve">.tmp/cobblemon-1.7.3-source/common/src/main/resources/data/cobblemon/species/generation5/victini.json</x:t>
        </x:is>
      </x:c>
    </x:row>
    <x:row r="499" ht="22" customHeight="1">
      <x:c r="A499" s="5" t="n">
        <x:v>495</x:v>
      </x:c>
      <x:c r="B499" s="5" t="inlineStr">
        <x:is>
          <x:t xml:space="preserve">주리비얀</x:t>
        </x:is>
      </x:c>
      <x:c r="C499" s="5" t="inlineStr">
        <x:is>
          <x:t xml:space="preserve">snivy</x:t>
        </x:is>
      </x:c>
      <x:c r="D499" s="5" t="inlineStr">
        <x:is>
          <x:t xml:space="preserve">Snivy</x:t>
        </x:is>
      </x:c>
      <x:c r="E499" s="5" t="n">
        <x:v>5</x:v>
      </x:c>
      <x:c r="F499" s="5" t="inlineStr">
        <x:is>
          <x:t xml:space="preserve">풀</x:t>
        </x:is>
      </x:c>
      <x:c r="G499" s="5" t="inlineStr">
        <x:is>
          <x:t xml:space="preserve"/>
        </x:is>
      </x:c>
      <x:c r="H499" s="5" t="n">
        <x:v>0.6</x:v>
      </x:c>
      <x:c r="I499" s="5" t="n">
        <x:v>8.1</x:v>
      </x:c>
      <x:c r="J499" s="5" t="n">
        <x:v>308</x:v>
      </x:c>
      <x:c r="K499" s="5" t="n">
        <x:v>45</x:v>
      </x:c>
      <x:c r="L499" s="5" t="inlineStr">
        <x:is>
          <x:t xml:space="preserve">기본</x:t>
        </x:is>
      </x:c>
      <x:c r="M499" s="5" t="n">
        <x:v>36</x:v>
      </x:c>
      <x:c r="N499" s="5" t="inlineStr">
        <x:is>
          <x:t xml:space="preserve">레벨</x:t>
        </x:is>
      </x:c>
      <x:c r="O499" s="5" t="inlineStr">
        <x:is>
          <x:t xml:space="preserve">예</x:t>
        </x:is>
      </x:c>
      <x:c r="P499" s="5" t="inlineStr">
        <x:is>
          <x:t xml:space="preserve">#cobblemon:is_jungle</x:t>
        </x:is>
      </x:c>
      <x:c r="Q499" s="5" t="inlineStr">
        <x:is>
          <x:t xml:space="preserve">ultra-rare</x:t>
        </x:is>
      </x:c>
      <x:c r="R499" s="5" t="inlineStr">
        <x:is>
          <x:t xml:space="preserve"/>
        </x:is>
      </x:c>
      <x:c r="S499" s="5" t="inlineStr">
        <x:is>
          <x:t xml:space="preserve"/>
        </x:is>
      </x:c>
      <x:c r="T499" s="5" t="inlineStr">
        <x:is>
          <x:t xml:space="preserve">육상</x:t>
        </x:is>
      </x:c>
      <x:c r="U499" s="5" t="inlineStr">
        <x:is>
          <x:t xml:space="preserve">수목</x:t>
        </x:is>
      </x:c>
      <x:c r="V499" s="5" t="inlineStr">
        <x:is>
          <x:t xml:space="preserve">온대</x:t>
        </x:is>
      </x:c>
      <x:c r="W499" s="5" t="inlineStr">
        <x:is>
          <x:t xml:space="preserve">다습</x:t>
        </x:is>
      </x:c>
      <x:c r="X499" s="5" t="inlineStr">
        <x:is>
          <x:t xml:space="preserve">무관</x:t>
        </x:is>
      </x:c>
      <x:c r="Y499" s="5" t="inlineStr">
        <x:is>
          <x:t xml:space="preserve">무관</x:t>
        </x:is>
      </x:c>
      <x:c r="Z499" s="5" t="inlineStr">
        <x:is>
          <x:t xml:space="preserve">희귀</x:t>
        </x:is>
      </x:c>
      <x:c r="AA499" s="5" t="inlineStr">
        <x:is>
          <x:t xml:space="preserve">없음</x:t>
        </x:is>
      </x:c>
      <x:c r="AB499" s="5" t="inlineStr">
        <x:is>
          <x:t xml:space="preserve">숲</x:t>
        </x:is>
      </x:c>
      <x:c r="AC499" s="5" t="inlineStr">
        <x:is>
          <x:t xml:space="preserve">gen5; starter</x:t>
        </x:is>
      </x:c>
      <x:c r="AD499" s="5" t="inlineStr">
        <x:is>
          <x:t xml:space="preserve">.tmp/cobblemon-1.7.3-source/common/src/main/resources/data/cobblemon/species/generation5/snivy.json</x:t>
        </x:is>
      </x:c>
    </x:row>
    <x:row r="500" ht="22" customHeight="1">
      <x:c r="A500" s="5" t="n">
        <x:v>496</x:v>
      </x:c>
      <x:c r="B500" s="5" t="inlineStr">
        <x:is>
          <x:t xml:space="preserve">샤비</x:t>
        </x:is>
      </x:c>
      <x:c r="C500" s="5" t="inlineStr">
        <x:is>
          <x:t xml:space="preserve">servine</x:t>
        </x:is>
      </x:c>
      <x:c r="D500" s="5" t="inlineStr">
        <x:is>
          <x:t xml:space="preserve">Servine</x:t>
        </x:is>
      </x:c>
      <x:c r="E500" s="5" t="n">
        <x:v>5</x:v>
      </x:c>
      <x:c r="F500" s="5" t="inlineStr">
        <x:is>
          <x:t xml:space="preserve">풀</x:t>
        </x:is>
      </x:c>
      <x:c r="G500" s="5" t="inlineStr">
        <x:is>
          <x:t xml:space="preserve"/>
        </x:is>
      </x:c>
      <x:c r="H500" s="5" t="n">
        <x:v>0.8</x:v>
      </x:c>
      <x:c r="I500" s="5" t="n">
        <x:v>16</x:v>
      </x:c>
      <x:c r="J500" s="5" t="n">
        <x:v>413</x:v>
      </x:c>
      <x:c r="K500" s="5" t="n">
        <x:v>45</x:v>
      </x:c>
      <x:c r="L500" s="5" t="inlineStr">
        <x:is>
          <x:t xml:space="preserve">중간</x:t>
        </x:is>
      </x:c>
      <x:c r="M500" s="5" t="n">
        <x:v>36</x:v>
      </x:c>
      <x:c r="N500" s="5" t="inlineStr">
        <x:is>
          <x:t xml:space="preserve">레벨</x:t>
        </x:is>
      </x:c>
      <x:c r="O500" s="5" t="inlineStr">
        <x:is>
          <x:t xml:space="preserve">예</x:t>
        </x:is>
      </x:c>
      <x:c r="P500" s="5" t="inlineStr">
        <x:is>
          <x:t xml:space="preserve">#cobblemon:is_jungle</x:t>
        </x:is>
      </x:c>
      <x:c r="Q500" s="5" t="inlineStr">
        <x:is>
          <x:t xml:space="preserve">ultra-rare</x:t>
        </x:is>
      </x:c>
      <x:c r="R500" s="5" t="inlineStr">
        <x:is>
          <x:t xml:space="preserve"/>
        </x:is>
      </x:c>
      <x:c r="S500" s="5" t="inlineStr">
        <x:is>
          <x:t xml:space="preserve"/>
        </x:is>
      </x:c>
      <x:c r="T500" s="5" t="inlineStr">
        <x:is>
          <x:t xml:space="preserve">육상</x:t>
        </x:is>
      </x:c>
      <x:c r="U500" s="5" t="inlineStr">
        <x:is>
          <x:t xml:space="preserve">수목</x:t>
        </x:is>
      </x:c>
      <x:c r="V500" s="5" t="inlineStr">
        <x:is>
          <x:t xml:space="preserve">온대</x:t>
        </x:is>
      </x:c>
      <x:c r="W500" s="5" t="inlineStr">
        <x:is>
          <x:t xml:space="preserve">다습</x:t>
        </x:is>
      </x:c>
      <x:c r="X500" s="5" t="inlineStr">
        <x:is>
          <x:t xml:space="preserve">무관</x:t>
        </x:is>
      </x:c>
      <x:c r="Y500" s="5" t="inlineStr">
        <x:is>
          <x:t xml:space="preserve">무관</x:t>
        </x:is>
      </x:c>
      <x:c r="Z500" s="5" t="inlineStr">
        <x:is>
          <x:t xml:space="preserve">희귀</x:t>
        </x:is>
      </x:c>
      <x:c r="AA500" s="5" t="inlineStr">
        <x:is>
          <x:t xml:space="preserve">없음</x:t>
        </x:is>
      </x:c>
      <x:c r="AB500" s="5" t="inlineStr">
        <x:is>
          <x:t xml:space="preserve">숲</x:t>
        </x:is>
      </x:c>
      <x:c r="AC500" s="5" t="inlineStr">
        <x:is>
          <x:t xml:space="preserve">gen5</x:t>
        </x:is>
      </x:c>
      <x:c r="AD500" s="5" t="inlineStr">
        <x:is>
          <x:t xml:space="preserve">.tmp/cobblemon-1.7.3-source/common/src/main/resources/data/cobblemon/species/generation5/servine.json</x:t>
        </x:is>
      </x:c>
    </x:row>
    <x:row r="501" ht="22" customHeight="1">
      <x:c r="A501" s="5" t="n">
        <x:v>497</x:v>
      </x:c>
      <x:c r="B501" s="5" t="inlineStr">
        <x:is>
          <x:t xml:space="preserve">샤로다</x:t>
        </x:is>
      </x:c>
      <x:c r="C501" s="5" t="inlineStr">
        <x:is>
          <x:t xml:space="preserve">serperior</x:t>
        </x:is>
      </x:c>
      <x:c r="D501" s="5" t="inlineStr">
        <x:is>
          <x:t xml:space="preserve">Serperior</x:t>
        </x:is>
      </x:c>
      <x:c r="E501" s="5" t="n">
        <x:v>5</x:v>
      </x:c>
      <x:c r="F501" s="5" t="inlineStr">
        <x:is>
          <x:t xml:space="preserve">풀</x:t>
        </x:is>
      </x:c>
      <x:c r="G501" s="5" t="inlineStr">
        <x:is>
          <x:t xml:space="preserve"/>
        </x:is>
      </x:c>
      <x:c r="H501" s="5" t="n">
        <x:v>3.3</x:v>
      </x:c>
      <x:c r="I501" s="5" t="n">
        <x:v>63</x:v>
      </x:c>
      <x:c r="J501" s="5" t="n">
        <x:v>528</x:v>
      </x:c>
      <x:c r="K501" s="5" t="n">
        <x:v>45</x:v>
      </x:c>
      <x:c r="L501" s="5" t="inlineStr">
        <x:is>
          <x:t xml:space="preserve">최종</x:t>
        </x:is>
      </x:c>
      <x:c r="M501" s="5" t="n">
        <x:v>36</x:v>
      </x:c>
      <x:c r="N501" s="5" t="inlineStr">
        <x:is>
          <x:t xml:space="preserve">레벨</x:t>
        </x:is>
      </x:c>
      <x:c r="O501" s="5" t="inlineStr">
        <x:is>
          <x:t xml:space="preserve">예</x:t>
        </x:is>
      </x:c>
      <x:c r="P501" s="5" t="inlineStr">
        <x:is>
          <x:t xml:space="preserve">#cobblemon:is_jungle</x:t>
        </x:is>
      </x:c>
      <x:c r="Q501" s="5" t="inlineStr">
        <x:is>
          <x:t xml:space="preserve">ultra-rare</x:t>
        </x:is>
      </x:c>
      <x:c r="R501" s="5" t="inlineStr">
        <x:is>
          <x:t xml:space="preserve"/>
        </x:is>
      </x:c>
      <x:c r="S501" s="5" t="inlineStr">
        <x:is>
          <x:t xml:space="preserve"/>
        </x:is>
      </x:c>
      <x:c r="T501" s="5" t="inlineStr">
        <x:is>
          <x:t xml:space="preserve">육상</x:t>
        </x:is>
      </x:c>
      <x:c r="U501" s="5" t="inlineStr">
        <x:is>
          <x:t xml:space="preserve">수목</x:t>
        </x:is>
      </x:c>
      <x:c r="V501" s="5" t="inlineStr">
        <x:is>
          <x:t xml:space="preserve">온대</x:t>
        </x:is>
      </x:c>
      <x:c r="W501" s="5" t="inlineStr">
        <x:is>
          <x:t xml:space="preserve">다습</x:t>
        </x:is>
      </x:c>
      <x:c r="X501" s="5" t="inlineStr">
        <x:is>
          <x:t xml:space="preserve">무관</x:t>
        </x:is>
      </x:c>
      <x:c r="Y501" s="5" t="inlineStr">
        <x:is>
          <x:t xml:space="preserve">무관</x:t>
        </x:is>
      </x:c>
      <x:c r="Z501" s="5" t="inlineStr">
        <x:is>
          <x:t xml:space="preserve">희귀</x:t>
        </x:is>
      </x:c>
      <x:c r="AA501" s="5" t="inlineStr">
        <x:is>
          <x:t xml:space="preserve">없음</x:t>
        </x:is>
      </x:c>
      <x:c r="AB501" s="5" t="inlineStr">
        <x:is>
          <x:t xml:space="preserve">숲</x:t>
        </x:is>
      </x:c>
      <x:c r="AC501" s="5" t="inlineStr">
        <x:is>
          <x:t xml:space="preserve">gen5</x:t>
        </x:is>
      </x:c>
      <x:c r="AD501" s="5" t="inlineStr">
        <x:is>
          <x:t xml:space="preserve">.tmp/cobblemon-1.7.3-source/common/src/main/resources/data/cobblemon/species/generation5/serperior.json</x:t>
        </x:is>
      </x:c>
    </x:row>
    <x:row r="502" ht="22" customHeight="1">
      <x:c r="A502" s="5" t="n">
        <x:v>498</x:v>
      </x:c>
      <x:c r="B502" s="5" t="inlineStr">
        <x:is>
          <x:t xml:space="preserve">뚜꾸리</x:t>
        </x:is>
      </x:c>
      <x:c r="C502" s="5" t="inlineStr">
        <x:is>
          <x:t xml:space="preserve">tepig</x:t>
        </x:is>
      </x:c>
      <x:c r="D502" s="5" t="inlineStr">
        <x:is>
          <x:t xml:space="preserve">Tepig</x:t>
        </x:is>
      </x:c>
      <x:c r="E502" s="5" t="n">
        <x:v>5</x:v>
      </x:c>
      <x:c r="F502" s="5" t="inlineStr">
        <x:is>
          <x:t xml:space="preserve">불꽃</x:t>
        </x:is>
      </x:c>
      <x:c r="G502" s="5" t="inlineStr">
        <x:is>
          <x:t xml:space="preserve"/>
        </x:is>
      </x:c>
      <x:c r="H502" s="5" t="n">
        <x:v>0.5</x:v>
      </x:c>
      <x:c r="I502" s="5" t="n">
        <x:v>9.9</x:v>
      </x:c>
      <x:c r="J502" s="5" t="n">
        <x:v>308</x:v>
      </x:c>
      <x:c r="K502" s="5" t="n">
        <x:v>45</x:v>
      </x:c>
      <x:c r="L502" s="5" t="inlineStr">
        <x:is>
          <x:t xml:space="preserve">기본</x:t>
        </x:is>
      </x:c>
      <x:c r="M502" s="5" t="n">
        <x:v>36</x:v>
      </x:c>
      <x:c r="N502" s="5" t="inlineStr">
        <x:is>
          <x:t xml:space="preserve">레벨</x:t>
        </x:is>
      </x:c>
      <x:c r="O502" s="5" t="inlineStr">
        <x:is>
          <x:t xml:space="preserve">예</x:t>
        </x:is>
      </x:c>
      <x:c r="P502" s="5" t="inlineStr">
        <x:is>
          <x:t xml:space="preserve">#cobblemon:is_plains; #cobblemon:nether/is_crimson; #cobblemon:nether/is_overgrowth</x:t>
        </x:is>
      </x:c>
      <x:c r="Q502" s="5" t="inlineStr">
        <x:is>
          <x:t xml:space="preserve">ultra-rare</x:t>
        </x:is>
      </x:c>
      <x:c r="R502" s="5" t="inlineStr">
        <x:is>
          <x:t xml:space="preserve"/>
        </x:is>
      </x:c>
      <x:c r="S502" s="5" t="inlineStr">
        <x:is>
          <x:t xml:space="preserve"/>
        </x:is>
      </x:c>
      <x:c r="T502" s="5" t="inlineStr">
        <x:is>
          <x:t xml:space="preserve">육상</x:t>
        </x:is>
      </x:c>
      <x:c r="U502" s="5" t="inlineStr">
        <x:is>
          <x:t xml:space="preserve">화산</x:t>
        </x:is>
      </x:c>
      <x:c r="V502" s="5" t="inlineStr">
        <x:is>
          <x:t xml:space="preserve">고온</x:t>
        </x:is>
      </x:c>
      <x:c r="W502" s="5" t="inlineStr">
        <x:is>
          <x:t xml:space="preserve">건조</x:t>
        </x:is>
      </x:c>
      <x:c r="X502" s="5" t="inlineStr">
        <x:is>
          <x:t xml:space="preserve">맑음</x:t>
        </x:is>
      </x:c>
      <x:c r="Y502" s="5" t="inlineStr">
        <x:is>
          <x:t xml:space="preserve">무관</x:t>
        </x:is>
      </x:c>
      <x:c r="Z502" s="5" t="inlineStr">
        <x:is>
          <x:t xml:space="preserve">희귀</x:t>
        </x:is>
      </x:c>
      <x:c r="AA502" s="5" t="inlineStr">
        <x:is>
          <x:t xml:space="preserve">화산</x:t>
        </x:is>
      </x:c>
      <x:c r="AB502" s="5" t="inlineStr">
        <x:is>
          <x:t xml:space="preserve">화산</x:t>
        </x:is>
      </x:c>
      <x:c r="AC502" s="5" t="inlineStr">
        <x:is>
          <x:t xml:space="preserve">gen5; starter</x:t>
        </x:is>
      </x:c>
      <x:c r="AD502" s="5" t="inlineStr">
        <x:is>
          <x:t xml:space="preserve">.tmp/cobblemon-1.7.3-source/common/src/main/resources/data/cobblemon/species/generation5/tepig.json</x:t>
        </x:is>
      </x:c>
    </x:row>
    <x:row r="503" ht="22" customHeight="1">
      <x:c r="A503" s="5" t="n">
        <x:v>499</x:v>
      </x:c>
      <x:c r="B503" s="5" t="inlineStr">
        <x:is>
          <x:t xml:space="preserve">차오꿀</x:t>
        </x:is>
      </x:c>
      <x:c r="C503" s="5" t="inlineStr">
        <x:is>
          <x:t xml:space="preserve">pignite</x:t>
        </x:is>
      </x:c>
      <x:c r="D503" s="5" t="inlineStr">
        <x:is>
          <x:t xml:space="preserve">Pignite</x:t>
        </x:is>
      </x:c>
      <x:c r="E503" s="5" t="n">
        <x:v>5</x:v>
      </x:c>
      <x:c r="F503" s="5" t="inlineStr">
        <x:is>
          <x:t xml:space="preserve">불꽃</x:t>
        </x:is>
      </x:c>
      <x:c r="G503" s="5" t="inlineStr">
        <x:is>
          <x:t xml:space="preserve">격투</x:t>
        </x:is>
      </x:c>
      <x:c r="H503" s="5" t="n">
        <x:v>1</x:v>
      </x:c>
      <x:c r="I503" s="5" t="n">
        <x:v>55.5</x:v>
      </x:c>
      <x:c r="J503" s="5" t="n">
        <x:v>418</x:v>
      </x:c>
      <x:c r="K503" s="5" t="n">
        <x:v>45</x:v>
      </x:c>
      <x:c r="L503" s="5" t="inlineStr">
        <x:is>
          <x:t xml:space="preserve">중간</x:t>
        </x:is>
      </x:c>
      <x:c r="M503" s="5" t="n">
        <x:v>36</x:v>
      </x:c>
      <x:c r="N503" s="5" t="inlineStr">
        <x:is>
          <x:t xml:space="preserve">레벨</x:t>
        </x:is>
      </x:c>
      <x:c r="O503" s="5" t="inlineStr">
        <x:is>
          <x:t xml:space="preserve">예</x:t>
        </x:is>
      </x:c>
      <x:c r="P503" s="5" t="inlineStr">
        <x:is>
          <x:t xml:space="preserve">#cobblemon:is_plains; #cobblemon:nether/is_crimson; #cobblemon:nether/is_overgrowth</x:t>
        </x:is>
      </x:c>
      <x:c r="Q503" s="5" t="inlineStr">
        <x:is>
          <x:t xml:space="preserve">ultra-rare</x:t>
        </x:is>
      </x:c>
      <x:c r="R503" s="5" t="inlineStr">
        <x:is>
          <x:t xml:space="preserve"/>
        </x:is>
      </x:c>
      <x:c r="S503" s="5" t="inlineStr">
        <x:is>
          <x:t xml:space="preserve"/>
        </x:is>
      </x:c>
      <x:c r="T503" s="5" t="inlineStr">
        <x:is>
          <x:t xml:space="preserve">육상</x:t>
        </x:is>
      </x:c>
      <x:c r="U503" s="5" t="inlineStr">
        <x:is>
          <x:t xml:space="preserve">화산</x:t>
        </x:is>
      </x:c>
      <x:c r="V503" s="5" t="inlineStr">
        <x:is>
          <x:t xml:space="preserve">고온</x:t>
        </x:is>
      </x:c>
      <x:c r="W503" s="5" t="inlineStr">
        <x:is>
          <x:t xml:space="preserve">건조</x:t>
        </x:is>
      </x:c>
      <x:c r="X503" s="5" t="inlineStr">
        <x:is>
          <x:t xml:space="preserve">맑음</x:t>
        </x:is>
      </x:c>
      <x:c r="Y503" s="5" t="inlineStr">
        <x:is>
          <x:t xml:space="preserve">무관</x:t>
        </x:is>
      </x:c>
      <x:c r="Z503" s="5" t="inlineStr">
        <x:is>
          <x:t xml:space="preserve">희귀</x:t>
        </x:is>
      </x:c>
      <x:c r="AA503" s="5" t="inlineStr">
        <x:is>
          <x:t xml:space="preserve">화산</x:t>
        </x:is>
      </x:c>
      <x:c r="AB503" s="5" t="inlineStr">
        <x:is>
          <x:t xml:space="preserve">화산</x:t>
        </x:is>
      </x:c>
      <x:c r="AC503" s="5" t="inlineStr">
        <x:is>
          <x:t xml:space="preserve">gen5</x:t>
        </x:is>
      </x:c>
      <x:c r="AD503" s="5" t="inlineStr">
        <x:is>
          <x:t xml:space="preserve">.tmp/cobblemon-1.7.3-source/common/src/main/resources/data/cobblemon/species/generation5/pignite.json</x:t>
        </x:is>
      </x:c>
    </x:row>
    <x:row r="504" ht="22" customHeight="1">
      <x:c r="A504" s="5" t="n">
        <x:v>500</x:v>
      </x:c>
      <x:c r="B504" s="5" t="inlineStr">
        <x:is>
          <x:t xml:space="preserve">염무왕</x:t>
        </x:is>
      </x:c>
      <x:c r="C504" s="5" t="inlineStr">
        <x:is>
          <x:t xml:space="preserve">emboar</x:t>
        </x:is>
      </x:c>
      <x:c r="D504" s="5" t="inlineStr">
        <x:is>
          <x:t xml:space="preserve">Emboar</x:t>
        </x:is>
      </x:c>
      <x:c r="E504" s="5" t="n">
        <x:v>5</x:v>
      </x:c>
      <x:c r="F504" s="5" t="inlineStr">
        <x:is>
          <x:t xml:space="preserve">불꽃</x:t>
        </x:is>
      </x:c>
      <x:c r="G504" s="5" t="inlineStr">
        <x:is>
          <x:t xml:space="preserve">격투</x:t>
        </x:is>
      </x:c>
      <x:c r="H504" s="5" t="n">
        <x:v>1.6</x:v>
      </x:c>
      <x:c r="I504" s="5" t="n">
        <x:v>150</x:v>
      </x:c>
      <x:c r="J504" s="5" t="n">
        <x:v>528</x:v>
      </x:c>
      <x:c r="K504" s="5" t="n">
        <x:v>45</x:v>
      </x:c>
      <x:c r="L504" s="5" t="inlineStr">
        <x:is>
          <x:t xml:space="preserve">최종</x:t>
        </x:is>
      </x:c>
      <x:c r="M504" s="5" t="n">
        <x:v>36</x:v>
      </x:c>
      <x:c r="N504" s="5" t="inlineStr">
        <x:is>
          <x:t xml:space="preserve">레벨</x:t>
        </x:is>
      </x:c>
      <x:c r="O504" s="5" t="inlineStr">
        <x:is>
          <x:t xml:space="preserve">예</x:t>
        </x:is>
      </x:c>
      <x:c r="P504" s="5" t="inlineStr">
        <x:is>
          <x:t xml:space="preserve">#cobblemon:is_plains; #cobblemon:nether/is_crimson; #cobblemon:nether/is_overgrowth</x:t>
        </x:is>
      </x:c>
      <x:c r="Q504" s="5" t="inlineStr">
        <x:is>
          <x:t xml:space="preserve">ultra-rare</x:t>
        </x:is>
      </x:c>
      <x:c r="R504" s="5" t="inlineStr">
        <x:is>
          <x:t xml:space="preserve"/>
        </x:is>
      </x:c>
      <x:c r="S504" s="5" t="inlineStr">
        <x:is>
          <x:t xml:space="preserve">비=False</x:t>
        </x:is>
      </x:c>
      <x:c r="T504" s="5" t="inlineStr">
        <x:is>
          <x:t xml:space="preserve">육상</x:t>
        </x:is>
      </x:c>
      <x:c r="U504" s="5" t="inlineStr">
        <x:is>
          <x:t xml:space="preserve">화산</x:t>
        </x:is>
      </x:c>
      <x:c r="V504" s="5" t="inlineStr">
        <x:is>
          <x:t xml:space="preserve">고온</x:t>
        </x:is>
      </x:c>
      <x:c r="W504" s="5" t="inlineStr">
        <x:is>
          <x:t xml:space="preserve">건조</x:t>
        </x:is>
      </x:c>
      <x:c r="X504" s="5" t="inlineStr">
        <x:is>
          <x:t xml:space="preserve">맑음</x:t>
        </x:is>
      </x:c>
      <x:c r="Y504" s="5" t="inlineStr">
        <x:is>
          <x:t xml:space="preserve">무관</x:t>
        </x:is>
      </x:c>
      <x:c r="Z504" s="5" t="inlineStr">
        <x:is>
          <x:t xml:space="preserve">희귀</x:t>
        </x:is>
      </x:c>
      <x:c r="AA504" s="5" t="inlineStr">
        <x:is>
          <x:t xml:space="preserve">화산</x:t>
        </x:is>
      </x:c>
      <x:c r="AB504" s="5" t="inlineStr">
        <x:is>
          <x:t xml:space="preserve">화산</x:t>
        </x:is>
      </x:c>
      <x:c r="AC504" s="5" t="inlineStr">
        <x:is>
          <x:t xml:space="preserve">gen5</x:t>
        </x:is>
      </x:c>
      <x:c r="AD504" s="5" t="inlineStr">
        <x:is>
          <x:t xml:space="preserve">.tmp/cobblemon-1.7.3-source/common/src/main/resources/data/cobblemon/species/generation5/emboar.json</x:t>
        </x:is>
      </x:c>
    </x:row>
    <x:row r="505" ht="22" customHeight="1">
      <x:c r="A505" s="5" t="n">
        <x:v>501</x:v>
      </x:c>
      <x:c r="B505" s="5" t="inlineStr">
        <x:is>
          <x:t xml:space="preserve">수댕이</x:t>
        </x:is>
      </x:c>
      <x:c r="C505" s="5" t="inlineStr">
        <x:is>
          <x:t xml:space="preserve">oshawott</x:t>
        </x:is>
      </x:c>
      <x:c r="D505" s="5" t="inlineStr">
        <x:is>
          <x:t xml:space="preserve">Oshawott</x:t>
        </x:is>
      </x:c>
      <x:c r="E505" s="5" t="n">
        <x:v>5</x:v>
      </x:c>
      <x:c r="F505" s="5" t="inlineStr">
        <x:is>
          <x:t xml:space="preserve">물</x:t>
        </x:is>
      </x:c>
      <x:c r="G505" s="5" t="inlineStr">
        <x:is>
          <x:t xml:space="preserve"/>
        </x:is>
      </x:c>
      <x:c r="H505" s="5" t="n">
        <x:v>0.5</x:v>
      </x:c>
      <x:c r="I505" s="5" t="n">
        <x:v>5.9</x:v>
      </x:c>
      <x:c r="J505" s="5" t="n">
        <x:v>308</x:v>
      </x:c>
      <x:c r="K505" s="5" t="n">
        <x:v>45</x:v>
      </x:c>
      <x:c r="L505" s="5" t="inlineStr">
        <x:is>
          <x:t xml:space="preserve">기본</x:t>
        </x:is>
      </x:c>
      <x:c r="M505" s="5" t="n">
        <x:v>36</x:v>
      </x:c>
      <x:c r="N505" s="5" t="inlineStr">
        <x:is>
          <x:t xml:space="preserve">레벨·특수</x:t>
        </x:is>
      </x:c>
      <x:c r="O505" s="5" t="inlineStr">
        <x:is>
          <x:t xml:space="preserve">예</x:t>
        </x:is>
      </x:c>
      <x:c r="P505" s="5" t="inlineStr">
        <x:is>
          <x:t xml:space="preserve">#cobblemon:is_beach; #cobblemon:is_coast; #cobblemon:is_cold_ocean; #cobblemon:is_ocean; #cobblemon:is_tropical_island; minecraft:snowy_beach</x:t>
        </x:is>
      </x:c>
      <x:c r="Q505" s="5" t="inlineStr">
        <x:is>
          <x:t xml:space="preserve">ultra-rare</x:t>
        </x:is>
      </x:c>
      <x:c r="R505" s="5" t="inlineStr">
        <x:is>
          <x:t xml:space="preserve"/>
        </x:is>
      </x:c>
      <x:c r="S505" s="5" t="inlineStr">
        <x:is>
          <x:t xml:space="preserve"/>
        </x:is>
      </x:c>
      <x:c r="T505" s="5" t="inlineStr">
        <x:is>
          <x:t xml:space="preserve">해양</x:t>
        </x:is>
      </x:c>
      <x:c r="U505" s="5" t="inlineStr">
        <x:is>
          <x:t xml:space="preserve">해안·해양</x:t>
        </x:is>
      </x:c>
      <x:c r="V505" s="5" t="inlineStr">
        <x:is>
          <x:t xml:space="preserve">서늘</x:t>
        </x:is>
      </x:c>
      <x:c r="W505" s="5" t="inlineStr">
        <x:is>
          <x:t xml:space="preserve">수중</x:t>
        </x:is>
      </x:c>
      <x:c r="X505" s="5" t="inlineStr">
        <x:is>
          <x:t xml:space="preserve">비</x:t>
        </x:is>
      </x:c>
      <x:c r="Y505" s="5" t="inlineStr">
        <x:is>
          <x:t xml:space="preserve">무관</x:t>
        </x:is>
      </x:c>
      <x:c r="Z505" s="5" t="inlineStr">
        <x:is>
          <x:t xml:space="preserve">희귀</x:t>
        </x:is>
      </x:c>
      <x:c r="AA505" s="5" t="inlineStr">
        <x:is>
          <x:t xml:space="preserve">없음</x:t>
        </x:is>
      </x:c>
      <x:c r="AB505" s="5" t="inlineStr">
        <x:is>
          <x:t xml:space="preserve">해양</x:t>
        </x:is>
      </x:c>
      <x:c r="AC505" s="5" t="inlineStr">
        <x:is>
          <x:t xml:space="preserve">gen5; starter; unovan_form</x:t>
        </x:is>
      </x:c>
      <x:c r="AD505" s="5" t="inlineStr">
        <x:is>
          <x:t xml:space="preserve">.tmp/cobblemon-1.7.3-source/common/src/main/resources/data/cobblemon/species/generation5/oshawott.json</x:t>
        </x:is>
      </x:c>
    </x:row>
    <x:row r="506" ht="22" customHeight="1">
      <x:c r="A506" s="5" t="n">
        <x:v>502</x:v>
      </x:c>
      <x:c r="B506" s="5" t="inlineStr">
        <x:is>
          <x:t xml:space="preserve">쌍검자비</x:t>
        </x:is>
      </x:c>
      <x:c r="C506" s="5" t="inlineStr">
        <x:is>
          <x:t xml:space="preserve">dewott</x:t>
        </x:is>
      </x:c>
      <x:c r="D506" s="5" t="inlineStr">
        <x:is>
          <x:t xml:space="preserve">Dewott</x:t>
        </x:is>
      </x:c>
      <x:c r="E506" s="5" t="n">
        <x:v>5</x:v>
      </x:c>
      <x:c r="F506" s="5" t="inlineStr">
        <x:is>
          <x:t xml:space="preserve">물</x:t>
        </x:is>
      </x:c>
      <x:c r="G506" s="5" t="inlineStr">
        <x:is>
          <x:t xml:space="preserve"/>
        </x:is>
      </x:c>
      <x:c r="H506" s="5" t="n">
        <x:v>0.8</x:v>
      </x:c>
      <x:c r="I506" s="5" t="n">
        <x:v>24.5</x:v>
      </x:c>
      <x:c r="J506" s="5" t="n">
        <x:v>413</x:v>
      </x:c>
      <x:c r="K506" s="5" t="n">
        <x:v>45</x:v>
      </x:c>
      <x:c r="L506" s="5" t="inlineStr">
        <x:is>
          <x:t xml:space="preserve">중간</x:t>
        </x:is>
      </x:c>
      <x:c r="M506" s="5" t="n">
        <x:v>36</x:v>
      </x:c>
      <x:c r="N506" s="5" t="inlineStr">
        <x:is>
          <x:t xml:space="preserve">레벨·특수</x:t>
        </x:is>
      </x:c>
      <x:c r="O506" s="5" t="inlineStr">
        <x:is>
          <x:t xml:space="preserve">예</x:t>
        </x:is>
      </x:c>
      <x:c r="P506" s="5" t="inlineStr">
        <x:is>
          <x:t xml:space="preserve">#cobblemon:is_beach; #cobblemon:is_coast; #cobblemon:is_cold_ocean; #cobblemon:is_ocean; #cobblemon:is_tropical_island; minecraft:snowy_beach</x:t>
        </x:is>
      </x:c>
      <x:c r="Q506" s="5" t="inlineStr">
        <x:is>
          <x:t xml:space="preserve">ultra-rare</x:t>
        </x:is>
      </x:c>
      <x:c r="R506" s="5" t="inlineStr">
        <x:is>
          <x:t xml:space="preserve"/>
        </x:is>
      </x:c>
      <x:c r="S506" s="5" t="inlineStr">
        <x:is>
          <x:t xml:space="preserve"/>
        </x:is>
      </x:c>
      <x:c r="T506" s="5" t="inlineStr">
        <x:is>
          <x:t xml:space="preserve">해양</x:t>
        </x:is>
      </x:c>
      <x:c r="U506" s="5" t="inlineStr">
        <x:is>
          <x:t xml:space="preserve">해안·해양</x:t>
        </x:is>
      </x:c>
      <x:c r="V506" s="5" t="inlineStr">
        <x:is>
          <x:t xml:space="preserve">서늘</x:t>
        </x:is>
      </x:c>
      <x:c r="W506" s="5" t="inlineStr">
        <x:is>
          <x:t xml:space="preserve">수중</x:t>
        </x:is>
      </x:c>
      <x:c r="X506" s="5" t="inlineStr">
        <x:is>
          <x:t xml:space="preserve">비</x:t>
        </x:is>
      </x:c>
      <x:c r="Y506" s="5" t="inlineStr">
        <x:is>
          <x:t xml:space="preserve">무관</x:t>
        </x:is>
      </x:c>
      <x:c r="Z506" s="5" t="inlineStr">
        <x:is>
          <x:t xml:space="preserve">희귀</x:t>
        </x:is>
      </x:c>
      <x:c r="AA506" s="5" t="inlineStr">
        <x:is>
          <x:t xml:space="preserve">없음</x:t>
        </x:is>
      </x:c>
      <x:c r="AB506" s="5" t="inlineStr">
        <x:is>
          <x:t xml:space="preserve">해양</x:t>
        </x:is>
      </x:c>
      <x:c r="AC506" s="5" t="inlineStr">
        <x:is>
          <x:t xml:space="preserve">gen5; unovan_form</x:t>
        </x:is>
      </x:c>
      <x:c r="AD506" s="5" t="inlineStr">
        <x:is>
          <x:t xml:space="preserve">.tmp/cobblemon-1.7.3-source/common/src/main/resources/data/cobblemon/species/generation5/dewott.json</x:t>
        </x:is>
      </x:c>
    </x:row>
    <x:row r="507" ht="22" customHeight="1">
      <x:c r="A507" s="5" t="n">
        <x:v>503</x:v>
      </x:c>
      <x:c r="B507" s="5" t="inlineStr">
        <x:is>
          <x:t xml:space="preserve">대검귀</x:t>
        </x:is>
      </x:c>
      <x:c r="C507" s="5" t="inlineStr">
        <x:is>
          <x:t xml:space="preserve">samurott</x:t>
        </x:is>
      </x:c>
      <x:c r="D507" s="5" t="inlineStr">
        <x:is>
          <x:t xml:space="preserve">Samurott</x:t>
        </x:is>
      </x:c>
      <x:c r="E507" s="5" t="n">
        <x:v>5</x:v>
      </x:c>
      <x:c r="F507" s="5" t="inlineStr">
        <x:is>
          <x:t xml:space="preserve">물</x:t>
        </x:is>
      </x:c>
      <x:c r="G507" s="5" t="inlineStr">
        <x:is>
          <x:t xml:space="preserve"/>
        </x:is>
      </x:c>
      <x:c r="H507" s="5" t="n">
        <x:v>1.5</x:v>
      </x:c>
      <x:c r="I507" s="5" t="n">
        <x:v>94.59999999999999</x:v>
      </x:c>
      <x:c r="J507" s="5" t="n">
        <x:v>528</x:v>
      </x:c>
      <x:c r="K507" s="5" t="n">
        <x:v>45</x:v>
      </x:c>
      <x:c r="L507" s="5" t="inlineStr">
        <x:is>
          <x:t xml:space="preserve">최종</x:t>
        </x:is>
      </x:c>
      <x:c r="M507" s="5" t="n">
        <x:v>36</x:v>
      </x:c>
      <x:c r="N507" s="5" t="inlineStr">
        <x:is>
          <x:t xml:space="preserve">레벨·특수</x:t>
        </x:is>
      </x:c>
      <x:c r="O507" s="5" t="inlineStr">
        <x:is>
          <x:t xml:space="preserve">예</x:t>
        </x:is>
      </x:c>
      <x:c r="P507" s="5" t="inlineStr">
        <x:is>
          <x:t xml:space="preserve">#cobblemon:is_beach; #cobblemon:is_coast; #cobblemon:is_cold_ocean; #cobblemon:is_ocean; #cobblemon:is_tropical_island; minecraft:snowy_beach</x:t>
        </x:is>
      </x:c>
      <x:c r="Q507" s="5" t="inlineStr">
        <x:is>
          <x:t xml:space="preserve">ultra-rare</x:t>
        </x:is>
      </x:c>
      <x:c r="R507" s="5" t="inlineStr">
        <x:is>
          <x:t xml:space="preserve"/>
        </x:is>
      </x:c>
      <x:c r="S507" s="5" t="inlineStr">
        <x:is>
          <x:t xml:space="preserve"/>
        </x:is>
      </x:c>
      <x:c r="T507" s="5" t="inlineStr">
        <x:is>
          <x:t xml:space="preserve">해양</x:t>
        </x:is>
      </x:c>
      <x:c r="U507" s="5" t="inlineStr">
        <x:is>
          <x:t xml:space="preserve">해안·해양</x:t>
        </x:is>
      </x:c>
      <x:c r="V507" s="5" t="inlineStr">
        <x:is>
          <x:t xml:space="preserve">서늘</x:t>
        </x:is>
      </x:c>
      <x:c r="W507" s="5" t="inlineStr">
        <x:is>
          <x:t xml:space="preserve">수중</x:t>
        </x:is>
      </x:c>
      <x:c r="X507" s="5" t="inlineStr">
        <x:is>
          <x:t xml:space="preserve">비</x:t>
        </x:is>
      </x:c>
      <x:c r="Y507" s="5" t="inlineStr">
        <x:is>
          <x:t xml:space="preserve">무관</x:t>
        </x:is>
      </x:c>
      <x:c r="Z507" s="5" t="inlineStr">
        <x:is>
          <x:t xml:space="preserve">희귀</x:t>
        </x:is>
      </x:c>
      <x:c r="AA507" s="5" t="inlineStr">
        <x:is>
          <x:t xml:space="preserve">없음</x:t>
        </x:is>
      </x:c>
      <x:c r="AB507" s="5" t="inlineStr">
        <x:is>
          <x:t xml:space="preserve">해양</x:t>
        </x:is>
      </x:c>
      <x:c r="AC507" s="5" t="inlineStr">
        <x:is>
          <x:t xml:space="preserve">gen5; unovan_form</x:t>
        </x:is>
      </x:c>
      <x:c r="AD507" s="5" t="inlineStr">
        <x:is>
          <x:t xml:space="preserve">.tmp/cobblemon-1.7.3-source/common/src/main/resources/data/cobblemon/species/generation5/samurott.json</x:t>
        </x:is>
      </x:c>
    </x:row>
    <x:row r="508" ht="22" customHeight="1">
      <x:c r="A508" s="5" t="n">
        <x:v>504</x:v>
      </x:c>
      <x:c r="B508" s="5" t="inlineStr">
        <x:is>
          <x:t xml:space="preserve">보르쥐</x:t>
        </x:is>
      </x:c>
      <x:c r="C508" s="5" t="inlineStr">
        <x:is>
          <x:t xml:space="preserve">patrat</x:t>
        </x:is>
      </x:c>
      <x:c r="D508" s="5" t="inlineStr">
        <x:is>
          <x:t xml:space="preserve">Patrat</x:t>
        </x:is>
      </x:c>
      <x:c r="E508" s="5" t="n">
        <x:v>5</x:v>
      </x:c>
      <x:c r="F508" s="5" t="inlineStr">
        <x:is>
          <x:t xml:space="preserve">노말</x:t>
        </x:is>
      </x:c>
      <x:c r="G508" s="5" t="inlineStr">
        <x:is>
          <x:t xml:space="preserve"/>
        </x:is>
      </x:c>
      <x:c r="H508" s="5" t="n">
        <x:v>0.5</x:v>
      </x:c>
      <x:c r="I508" s="5" t="n">
        <x:v>11.6</x:v>
      </x:c>
      <x:c r="J508" s="5" t="n">
        <x:v>255</x:v>
      </x:c>
      <x:c r="K508" s="5" t="n">
        <x:v>255</x:v>
      </x:c>
      <x:c r="L508" s="5" t="inlineStr">
        <x:is>
          <x:t xml:space="preserve">기본</x:t>
        </x:is>
      </x:c>
      <x:c r="M508" s="5" t="n">
        <x:v>20</x:v>
      </x:c>
      <x:c r="N508" s="5" t="inlineStr">
        <x:is>
          <x:t xml:space="preserve">레벨</x:t>
        </x:is>
      </x:c>
      <x:c r="O508" s="5" t="inlineStr">
        <x:is>
          <x:t xml:space="preserve">예</x:t>
        </x:is>
      </x:c>
      <x:c r="P508" s="5" t="inlineStr">
        <x:is>
          <x:t xml:space="preserve">#cobblemon:is_grassland</x:t>
        </x:is>
      </x:c>
      <x:c r="Q508" s="5" t="inlineStr">
        <x:is>
          <x:t xml:space="preserve">common</x:t>
        </x:is>
      </x:c>
      <x:c r="R508" s="5" t="inlineStr">
        <x:is>
          <x:t xml:space="preserve"/>
        </x:is>
      </x:c>
      <x:c r="S508" s="5" t="inlineStr">
        <x:is>
          <x:t xml:space="preserve"/>
        </x:is>
      </x:c>
      <x:c r="T508" s="5" t="inlineStr">
        <x:is>
          <x:t xml:space="preserve">육상</x:t>
        </x:is>
      </x:c>
      <x:c r="U508" s="5" t="inlineStr">
        <x:is>
          <x:t xml:space="preserve">개활지</x:t>
        </x:is>
      </x:c>
      <x:c r="V508" s="5" t="inlineStr">
        <x:is>
          <x:t xml:space="preserve">온대</x:t>
        </x:is>
      </x:c>
      <x:c r="W508" s="5" t="inlineStr">
        <x:is>
          <x:t xml:space="preserve">보통</x:t>
        </x:is>
      </x:c>
      <x:c r="X508" s="5" t="inlineStr">
        <x:is>
          <x:t xml:space="preserve">무관</x:t>
        </x:is>
      </x:c>
      <x:c r="Y508" s="5" t="inlineStr">
        <x:is>
          <x:t xml:space="preserve">무관</x:t>
        </x:is>
      </x:c>
      <x:c r="Z508" s="5" t="inlineStr">
        <x:is>
          <x:t xml:space="preserve">흔함</x:t>
        </x:is>
      </x:c>
      <x:c r="AA508" s="5" t="inlineStr">
        <x:is>
          <x:t xml:space="preserve">없음</x:t>
        </x:is>
      </x:c>
      <x:c r="AB508" s="5" t="inlineStr">
        <x:is>
          <x:t xml:space="preserve">평원</x:t>
        </x:is>
      </x:c>
      <x:c r="AC508" s="5" t="inlineStr">
        <x:is>
          <x:t xml:space="preserve">gen5</x:t>
        </x:is>
      </x:c>
      <x:c r="AD508" s="5" t="inlineStr">
        <x:is>
          <x:t xml:space="preserve">.tmp/cobblemon-1.7.3-source/common/src/main/resources/data/cobblemon/species/generation5/patrat.json</x:t>
        </x:is>
      </x:c>
    </x:row>
    <x:row r="509" ht="22" customHeight="1">
      <x:c r="A509" s="5" t="n">
        <x:v>505</x:v>
      </x:c>
      <x:c r="B509" s="5" t="inlineStr">
        <x:is>
          <x:t xml:space="preserve">보르그</x:t>
        </x:is>
      </x:c>
      <x:c r="C509" s="5" t="inlineStr">
        <x:is>
          <x:t xml:space="preserve">watchog</x:t>
        </x:is>
      </x:c>
      <x:c r="D509" s="5" t="inlineStr">
        <x:is>
          <x:t xml:space="preserve">Watchog</x:t>
        </x:is>
      </x:c>
      <x:c r="E509" s="5" t="n">
        <x:v>5</x:v>
      </x:c>
      <x:c r="F509" s="5" t="inlineStr">
        <x:is>
          <x:t xml:space="preserve">노말</x:t>
        </x:is>
      </x:c>
      <x:c r="G509" s="5" t="inlineStr">
        <x:is>
          <x:t xml:space="preserve"/>
        </x:is>
      </x:c>
      <x:c r="H509" s="5" t="n">
        <x:v>1.1</x:v>
      </x:c>
      <x:c r="I509" s="5" t="n">
        <x:v>27</x:v>
      </x:c>
      <x:c r="J509" s="5" t="n">
        <x:v>420</x:v>
      </x:c>
      <x:c r="K509" s="5" t="n">
        <x:v>255</x:v>
      </x:c>
      <x:c r="L509" s="5" t="inlineStr">
        <x:is>
          <x:t xml:space="preserve">최종</x:t>
        </x:is>
      </x:c>
      <x:c r="M509" s="5" t="n">
        <x:v>20</x:v>
      </x:c>
      <x:c r="N509" s="5" t="inlineStr">
        <x:is>
          <x:t xml:space="preserve">레벨</x:t>
        </x:is>
      </x:c>
      <x:c r="O509" s="5" t="inlineStr">
        <x:is>
          <x:t xml:space="preserve">예</x:t>
        </x:is>
      </x:c>
      <x:c r="P509" s="5" t="inlineStr">
        <x:is>
          <x:t xml:space="preserve">#cobblemon:is_grassland</x:t>
        </x:is>
      </x:c>
      <x:c r="Q509" s="5" t="inlineStr">
        <x:is>
          <x:t xml:space="preserve">common</x:t>
        </x:is>
      </x:c>
      <x:c r="R509" s="5" t="inlineStr">
        <x:is>
          <x:t xml:space="preserve"/>
        </x:is>
      </x:c>
      <x:c r="S509" s="5" t="inlineStr">
        <x:is>
          <x:t xml:space="preserve"/>
        </x:is>
      </x:c>
      <x:c r="T509" s="5" t="inlineStr">
        <x:is>
          <x:t xml:space="preserve">육상</x:t>
        </x:is>
      </x:c>
      <x:c r="U509" s="5" t="inlineStr">
        <x:is>
          <x:t xml:space="preserve">개활지</x:t>
        </x:is>
      </x:c>
      <x:c r="V509" s="5" t="inlineStr">
        <x:is>
          <x:t xml:space="preserve">온대</x:t>
        </x:is>
      </x:c>
      <x:c r="W509" s="5" t="inlineStr">
        <x:is>
          <x:t xml:space="preserve">보통</x:t>
        </x:is>
      </x:c>
      <x:c r="X509" s="5" t="inlineStr">
        <x:is>
          <x:t xml:space="preserve">무관</x:t>
        </x:is>
      </x:c>
      <x:c r="Y509" s="5" t="inlineStr">
        <x:is>
          <x:t xml:space="preserve">무관</x:t>
        </x:is>
      </x:c>
      <x:c r="Z509" s="5" t="inlineStr">
        <x:is>
          <x:t xml:space="preserve">흔함</x:t>
        </x:is>
      </x:c>
      <x:c r="AA509" s="5" t="inlineStr">
        <x:is>
          <x:t xml:space="preserve">없음</x:t>
        </x:is>
      </x:c>
      <x:c r="AB509" s="5" t="inlineStr">
        <x:is>
          <x:t xml:space="preserve">평원</x:t>
        </x:is>
      </x:c>
      <x:c r="AC509" s="5" t="inlineStr">
        <x:is>
          <x:t xml:space="preserve">gen5</x:t>
        </x:is>
      </x:c>
      <x:c r="AD509" s="5" t="inlineStr">
        <x:is>
          <x:t xml:space="preserve">.tmp/cobblemon-1.7.3-source/common/src/main/resources/data/cobblemon/species/generation5/watchog.json</x:t>
        </x:is>
      </x:c>
    </x:row>
    <x:row r="510" ht="22" customHeight="1">
      <x:c r="A510" s="5" t="n">
        <x:v>506</x:v>
      </x:c>
      <x:c r="B510" s="5" t="inlineStr">
        <x:is>
          <x:t xml:space="preserve">요테리</x:t>
        </x:is>
      </x:c>
      <x:c r="C510" s="5" t="inlineStr">
        <x:is>
          <x:t xml:space="preserve">lillipup</x:t>
        </x:is>
      </x:c>
      <x:c r="D510" s="5" t="inlineStr">
        <x:is>
          <x:t xml:space="preserve">Lillipup</x:t>
        </x:is>
      </x:c>
      <x:c r="E510" s="5" t="n">
        <x:v>5</x:v>
      </x:c>
      <x:c r="F510" s="5" t="inlineStr">
        <x:is>
          <x:t xml:space="preserve">노말</x:t>
        </x:is>
      </x:c>
      <x:c r="G510" s="5" t="inlineStr">
        <x:is>
          <x:t xml:space="preserve"/>
        </x:is>
      </x:c>
      <x:c r="H510" s="5" t="n">
        <x:v>0.4</x:v>
      </x:c>
      <x:c r="I510" s="5" t="n">
        <x:v>4.1</x:v>
      </x:c>
      <x:c r="J510" s="5" t="n">
        <x:v>275</x:v>
      </x:c>
      <x:c r="K510" s="5" t="n">
        <x:v>255</x:v>
      </x:c>
      <x:c r="L510" s="5" t="inlineStr">
        <x:is>
          <x:t xml:space="preserve">기본</x:t>
        </x:is>
      </x:c>
      <x:c r="M510" s="5" t="n">
        <x:v>32</x:v>
      </x:c>
      <x:c r="N510" s="5" t="inlineStr">
        <x:is>
          <x:t xml:space="preserve">레벨</x:t>
        </x:is>
      </x:c>
      <x:c r="O510" s="5" t="inlineStr">
        <x:is>
          <x:t xml:space="preserve">예</x:t>
        </x:is>
      </x:c>
      <x:c r="P510" s="5" t="inlineStr">
        <x:is>
          <x:t xml:space="preserve">#cobblemon:is_overworld</x:t>
        </x:is>
      </x:c>
      <x:c r="Q510" s="5" t="inlineStr">
        <x:is>
          <x:t xml:space="preserve">common</x:t>
        </x:is>
      </x:c>
      <x:c r="R510" s="5" t="inlineStr">
        <x:is>
          <x:t xml:space="preserve"/>
        </x:is>
      </x:c>
      <x:c r="S510" s="5" t="inlineStr">
        <x:is>
          <x:t xml:space="preserve"/>
        </x:is>
      </x:c>
      <x:c r="T510" s="5" t="inlineStr">
        <x:is>
          <x:t xml:space="preserve">육상</x:t>
        </x:is>
      </x:c>
      <x:c r="U510" s="5" t="inlineStr">
        <x:is>
          <x:t xml:space="preserve">개활지</x:t>
        </x:is>
      </x:c>
      <x:c r="V510" s="5" t="inlineStr">
        <x:is>
          <x:t xml:space="preserve">온대</x:t>
        </x:is>
      </x:c>
      <x:c r="W510" s="5" t="inlineStr">
        <x:is>
          <x:t xml:space="preserve">보통</x:t>
        </x:is>
      </x:c>
      <x:c r="X510" s="5" t="inlineStr">
        <x:is>
          <x:t xml:space="preserve">무관</x:t>
        </x:is>
      </x:c>
      <x:c r="Y510" s="5" t="inlineStr">
        <x:is>
          <x:t xml:space="preserve">무관</x:t>
        </x:is>
      </x:c>
      <x:c r="Z510" s="5" t="inlineStr">
        <x:is>
          <x:t xml:space="preserve">흔함</x:t>
        </x:is>
      </x:c>
      <x:c r="AA510" s="5" t="inlineStr">
        <x:is>
          <x:t xml:space="preserve">없음</x:t>
        </x:is>
      </x:c>
      <x:c r="AB510" s="5" t="inlineStr">
        <x:is>
          <x:t xml:space="preserve"/>
        </x:is>
      </x:c>
      <x:c r="AC510" s="5" t="inlineStr">
        <x:is>
          <x:t xml:space="preserve">gen5</x:t>
        </x:is>
      </x:c>
      <x:c r="AD510" s="5" t="inlineStr">
        <x:is>
          <x:t xml:space="preserve">.tmp/cobblemon-1.7.3-source/common/src/main/resources/data/cobblemon/species/generation5/lillipup.json</x:t>
        </x:is>
      </x:c>
    </x:row>
    <x:row r="511" ht="22" customHeight="1">
      <x:c r="A511" s="5" t="n">
        <x:v>507</x:v>
      </x:c>
      <x:c r="B511" s="5" t="inlineStr">
        <x:is>
          <x:t xml:space="preserve">하데리어</x:t>
        </x:is>
      </x:c>
      <x:c r="C511" s="5" t="inlineStr">
        <x:is>
          <x:t xml:space="preserve">herdier</x:t>
        </x:is>
      </x:c>
      <x:c r="D511" s="5" t="inlineStr">
        <x:is>
          <x:t xml:space="preserve">Herdier</x:t>
        </x:is>
      </x:c>
      <x:c r="E511" s="5" t="n">
        <x:v>5</x:v>
      </x:c>
      <x:c r="F511" s="5" t="inlineStr">
        <x:is>
          <x:t xml:space="preserve">노말</x:t>
        </x:is>
      </x:c>
      <x:c r="G511" s="5" t="inlineStr">
        <x:is>
          <x:t xml:space="preserve"/>
        </x:is>
      </x:c>
      <x:c r="H511" s="5" t="n">
        <x:v>0.9</x:v>
      </x:c>
      <x:c r="I511" s="5" t="n">
        <x:v>14.7</x:v>
      </x:c>
      <x:c r="J511" s="5" t="n">
        <x:v>370</x:v>
      </x:c>
      <x:c r="K511" s="5" t="n">
        <x:v>120</x:v>
      </x:c>
      <x:c r="L511" s="5" t="inlineStr">
        <x:is>
          <x:t xml:space="preserve">중간</x:t>
        </x:is>
      </x:c>
      <x:c r="M511" s="5" t="n">
        <x:v>32</x:v>
      </x:c>
      <x:c r="N511" s="5" t="inlineStr">
        <x:is>
          <x:t xml:space="preserve">레벨</x:t>
        </x:is>
      </x:c>
      <x:c r="O511" s="5" t="inlineStr">
        <x:is>
          <x:t xml:space="preserve">예</x:t>
        </x:is>
      </x:c>
      <x:c r="P511" s="5" t="inlineStr">
        <x:is>
          <x:t xml:space="preserve">#cobblemon:is_overworld</x:t>
        </x:is>
      </x:c>
      <x:c r="Q511" s="5" t="inlineStr">
        <x:is>
          <x:t xml:space="preserve">common</x:t>
        </x:is>
      </x:c>
      <x:c r="R511" s="5" t="inlineStr">
        <x:is>
          <x:t xml:space="preserve"/>
        </x:is>
      </x:c>
      <x:c r="S511" s="5" t="inlineStr">
        <x:is>
          <x:t xml:space="preserve"/>
        </x:is>
      </x:c>
      <x:c r="T511" s="5" t="inlineStr">
        <x:is>
          <x:t xml:space="preserve">육상</x:t>
        </x:is>
      </x:c>
      <x:c r="U511" s="5" t="inlineStr">
        <x:is>
          <x:t xml:space="preserve">개활지</x:t>
        </x:is>
      </x:c>
      <x:c r="V511" s="5" t="inlineStr">
        <x:is>
          <x:t xml:space="preserve">온대</x:t>
        </x:is>
      </x:c>
      <x:c r="W511" s="5" t="inlineStr">
        <x:is>
          <x:t xml:space="preserve">보통</x:t>
        </x:is>
      </x:c>
      <x:c r="X511" s="5" t="inlineStr">
        <x:is>
          <x:t xml:space="preserve">무관</x:t>
        </x:is>
      </x:c>
      <x:c r="Y511" s="5" t="inlineStr">
        <x:is>
          <x:t xml:space="preserve">무관</x:t>
        </x:is>
      </x:c>
      <x:c r="Z511" s="5" t="inlineStr">
        <x:is>
          <x:t xml:space="preserve">흔함</x:t>
        </x:is>
      </x:c>
      <x:c r="AA511" s="5" t="inlineStr">
        <x:is>
          <x:t xml:space="preserve">없음</x:t>
        </x:is>
      </x:c>
      <x:c r="AB511" s="5" t="inlineStr">
        <x:is>
          <x:t xml:space="preserve"/>
        </x:is>
      </x:c>
      <x:c r="AC511" s="5" t="inlineStr">
        <x:is>
          <x:t xml:space="preserve">gen5</x:t>
        </x:is>
      </x:c>
      <x:c r="AD511" s="5" t="inlineStr">
        <x:is>
          <x:t xml:space="preserve">.tmp/cobblemon-1.7.3-source/common/src/main/resources/data/cobblemon/species/generation5/herdier.json</x:t>
        </x:is>
      </x:c>
    </x:row>
    <x:row r="512" ht="22" customHeight="1">
      <x:c r="A512" s="5" t="n">
        <x:v>508</x:v>
      </x:c>
      <x:c r="B512" s="5" t="inlineStr">
        <x:is>
          <x:t xml:space="preserve">바랜드</x:t>
        </x:is>
      </x:c>
      <x:c r="C512" s="5" t="inlineStr">
        <x:is>
          <x:t xml:space="preserve">stoutland</x:t>
        </x:is>
      </x:c>
      <x:c r="D512" s="5" t="inlineStr">
        <x:is>
          <x:t xml:space="preserve">Stoutland</x:t>
        </x:is>
      </x:c>
      <x:c r="E512" s="5" t="n">
        <x:v>5</x:v>
      </x:c>
      <x:c r="F512" s="5" t="inlineStr">
        <x:is>
          <x:t xml:space="preserve">노말</x:t>
        </x:is>
      </x:c>
      <x:c r="G512" s="5" t="inlineStr">
        <x:is>
          <x:t xml:space="preserve"/>
        </x:is>
      </x:c>
      <x:c r="H512" s="5" t="n">
        <x:v>1.2</x:v>
      </x:c>
      <x:c r="I512" s="5" t="n">
        <x:v>61</x:v>
      </x:c>
      <x:c r="J512" s="5" t="n">
        <x:v>500</x:v>
      </x:c>
      <x:c r="K512" s="5" t="n">
        <x:v>45</x:v>
      </x:c>
      <x:c r="L512" s="5" t="inlineStr">
        <x:is>
          <x:t xml:space="preserve">최종</x:t>
        </x:is>
      </x:c>
      <x:c r="M512" s="5" t="n">
        <x:v>32</x:v>
      </x:c>
      <x:c r="N512" s="5" t="inlineStr">
        <x:is>
          <x:t xml:space="preserve">레벨</x:t>
        </x:is>
      </x:c>
      <x:c r="O512" s="5" t="inlineStr">
        <x:is>
          <x:t xml:space="preserve">예</x:t>
        </x:is>
      </x:c>
      <x:c r="P512" s="5" t="inlineStr">
        <x:is>
          <x:t xml:space="preserve">#cobblemon:is_overworld</x:t>
        </x:is>
      </x:c>
      <x:c r="Q512" s="5" t="inlineStr">
        <x:is>
          <x:t xml:space="preserve">common</x:t>
        </x:is>
      </x:c>
      <x:c r="R512" s="5" t="inlineStr">
        <x:is>
          <x:t xml:space="preserve"/>
        </x:is>
      </x:c>
      <x:c r="S512" s="5" t="inlineStr">
        <x:is>
          <x:t xml:space="preserve"/>
        </x:is>
      </x:c>
      <x:c r="T512" s="5" t="inlineStr">
        <x:is>
          <x:t xml:space="preserve">육상</x:t>
        </x:is>
      </x:c>
      <x:c r="U512" s="5" t="inlineStr">
        <x:is>
          <x:t xml:space="preserve">개활지</x:t>
        </x:is>
      </x:c>
      <x:c r="V512" s="5" t="inlineStr">
        <x:is>
          <x:t xml:space="preserve">온대</x:t>
        </x:is>
      </x:c>
      <x:c r="W512" s="5" t="inlineStr">
        <x:is>
          <x:t xml:space="preserve">보통</x:t>
        </x:is>
      </x:c>
      <x:c r="X512" s="5" t="inlineStr">
        <x:is>
          <x:t xml:space="preserve">무관</x:t>
        </x:is>
      </x:c>
      <x:c r="Y512" s="5" t="inlineStr">
        <x:is>
          <x:t xml:space="preserve">무관</x:t>
        </x:is>
      </x:c>
      <x:c r="Z512" s="5" t="inlineStr">
        <x:is>
          <x:t xml:space="preserve">흔함</x:t>
        </x:is>
      </x:c>
      <x:c r="AA512" s="5" t="inlineStr">
        <x:is>
          <x:t xml:space="preserve">없음</x:t>
        </x:is>
      </x:c>
      <x:c r="AB512" s="5" t="inlineStr">
        <x:is>
          <x:t xml:space="preserve"/>
        </x:is>
      </x:c>
      <x:c r="AC512" s="5" t="inlineStr">
        <x:is>
          <x:t xml:space="preserve">gen5</x:t>
        </x:is>
      </x:c>
      <x:c r="AD512" s="5" t="inlineStr">
        <x:is>
          <x:t xml:space="preserve">.tmp/cobblemon-1.7.3-source/common/src/main/resources/data/cobblemon/species/generation5/stoutland.json</x:t>
        </x:is>
      </x:c>
    </x:row>
    <x:row r="513" ht="22" customHeight="1">
      <x:c r="A513" s="5" t="n">
        <x:v>509</x:v>
      </x:c>
      <x:c r="B513" s="5" t="inlineStr">
        <x:is>
          <x:t xml:space="preserve">쌔비냥</x:t>
        </x:is>
      </x:c>
      <x:c r="C513" s="5" t="inlineStr">
        <x:is>
          <x:t xml:space="preserve">purrloin</x:t>
        </x:is>
      </x:c>
      <x:c r="D513" s="5" t="inlineStr">
        <x:is>
          <x:t xml:space="preserve">Purrloin</x:t>
        </x:is>
      </x:c>
      <x:c r="E513" s="5" t="n">
        <x:v>5</x:v>
      </x:c>
      <x:c r="F513" s="5" t="inlineStr">
        <x:is>
          <x:t xml:space="preserve">악</x:t>
        </x:is>
      </x:c>
      <x:c r="G513" s="5" t="inlineStr">
        <x:is>
          <x:t xml:space="preserve"/>
        </x:is>
      </x:c>
      <x:c r="H513" s="5" t="n">
        <x:v>0.4</x:v>
      </x:c>
      <x:c r="I513" s="5" t="n">
        <x:v>10.1</x:v>
      </x:c>
      <x:c r="J513" s="5" t="n">
        <x:v>281</x:v>
      </x:c>
      <x:c r="K513" s="5" t="n">
        <x:v>255</x:v>
      </x:c>
      <x:c r="L513" s="5" t="inlineStr">
        <x:is>
          <x:t xml:space="preserve">기본</x:t>
        </x:is>
      </x:c>
      <x:c r="M513" s="5" t="n">
        <x:v>20</x:v>
      </x:c>
      <x:c r="N513" s="5" t="inlineStr">
        <x:is>
          <x:t xml:space="preserve">레벨</x:t>
        </x:is>
      </x:c>
      <x:c r="O513" s="5" t="inlineStr">
        <x:is>
          <x:t xml:space="preserve">예</x:t>
        </x:is>
      </x:c>
      <x:c r="P513" s="5" t="inlineStr">
        <x:is>
          <x:t xml:space="preserve">#cobblemon:is_jungle; #cobblemon:is_overworld; #cobblemon:is_savanna; #cobblemon:is_swamp; #cobblemon:is_temperate</x:t>
        </x:is>
      </x:c>
      <x:c r="Q513" s="5" t="inlineStr">
        <x:is>
          <x:t xml:space="preserve">common</x:t>
        </x:is>
      </x:c>
      <x:c r="R513" s="5" t="inlineStr">
        <x:is>
          <x:t xml:space="preserve">night</x:t>
        </x:is>
      </x:c>
      <x:c r="S513" s="5" t="inlineStr">
        <x:is>
          <x:t xml:space="preserve">비=False</x:t>
        </x:is>
      </x:c>
      <x:c r="T513" s="5" t="inlineStr">
        <x:is>
          <x:t xml:space="preserve">육상</x:t>
        </x:is>
      </x:c>
      <x:c r="U513" s="5" t="inlineStr">
        <x:is>
          <x:t xml:space="preserve">습지</x:t>
        </x:is>
      </x:c>
      <x:c r="V513" s="5" t="inlineStr">
        <x:is>
          <x:t xml:space="preserve">온대</x:t>
        </x:is>
      </x:c>
      <x:c r="W513" s="5" t="inlineStr">
        <x:is>
          <x:t xml:space="preserve">다습</x:t>
        </x:is>
      </x:c>
      <x:c r="X513" s="5" t="inlineStr">
        <x:is>
          <x:t xml:space="preserve">비</x:t>
        </x:is>
      </x:c>
      <x:c r="Y513" s="5" t="inlineStr">
        <x:is>
          <x:t xml:space="preserve">밤</x:t>
        </x:is>
      </x:c>
      <x:c r="Z513" s="5" t="inlineStr">
        <x:is>
          <x:t xml:space="preserve">흔함</x:t>
        </x:is>
      </x:c>
      <x:c r="AA513" s="5" t="inlineStr">
        <x:is>
          <x:t xml:space="preserve">없음</x:t>
        </x:is>
      </x:c>
      <x:c r="AB513" s="5" t="inlineStr">
        <x:is>
          <x:t xml:space="preserve">습지</x:t>
        </x:is>
      </x:c>
      <x:c r="AC513" s="5" t="inlineStr">
        <x:is>
          <x:t xml:space="preserve">gen5</x:t>
        </x:is>
      </x:c>
      <x:c r="AD513" s="5" t="inlineStr">
        <x:is>
          <x:t xml:space="preserve">.tmp/cobblemon-1.7.3-source/common/src/main/resources/data/cobblemon/species/generation5/purrloin.json</x:t>
        </x:is>
      </x:c>
    </x:row>
    <x:row r="514" ht="22" customHeight="1">
      <x:c r="A514" s="5" t="n">
        <x:v>510</x:v>
      </x:c>
      <x:c r="B514" s="5" t="inlineStr">
        <x:is>
          <x:t xml:space="preserve">레파르다스</x:t>
        </x:is>
      </x:c>
      <x:c r="C514" s="5" t="inlineStr">
        <x:is>
          <x:t xml:space="preserve">liepard</x:t>
        </x:is>
      </x:c>
      <x:c r="D514" s="5" t="inlineStr">
        <x:is>
          <x:t xml:space="preserve">Liepard</x:t>
        </x:is>
      </x:c>
      <x:c r="E514" s="5" t="n">
        <x:v>5</x:v>
      </x:c>
      <x:c r="F514" s="5" t="inlineStr">
        <x:is>
          <x:t xml:space="preserve">악</x:t>
        </x:is>
      </x:c>
      <x:c r="G514" s="5" t="inlineStr">
        <x:is>
          <x:t xml:space="preserve"/>
        </x:is>
      </x:c>
      <x:c r="H514" s="5" t="n">
        <x:v>1.1</x:v>
      </x:c>
      <x:c r="I514" s="5" t="n">
        <x:v>37.5</x:v>
      </x:c>
      <x:c r="J514" s="5" t="n">
        <x:v>446</x:v>
      </x:c>
      <x:c r="K514" s="5" t="n">
        <x:v>90</x:v>
      </x:c>
      <x:c r="L514" s="5" t="inlineStr">
        <x:is>
          <x:t xml:space="preserve">최종</x:t>
        </x:is>
      </x:c>
      <x:c r="M514" s="5" t="n">
        <x:v>20</x:v>
      </x:c>
      <x:c r="N514" s="5" t="inlineStr">
        <x:is>
          <x:t xml:space="preserve">레벨</x:t>
        </x:is>
      </x:c>
      <x:c r="O514" s="5" t="inlineStr">
        <x:is>
          <x:t xml:space="preserve">예</x:t>
        </x:is>
      </x:c>
      <x:c r="P514" s="5" t="inlineStr">
        <x:is>
          <x:t xml:space="preserve">#cobblemon:is_jungle; #cobblemon:is_overworld; #cobblemon:is_savanna; #cobblemon:is_swamp; #cobblemon:is_temperate</x:t>
        </x:is>
      </x:c>
      <x:c r="Q514" s="5" t="inlineStr">
        <x:is>
          <x:t xml:space="preserve">common</x:t>
        </x:is>
      </x:c>
      <x:c r="R514" s="5" t="inlineStr">
        <x:is>
          <x:t xml:space="preserve">night</x:t>
        </x:is>
      </x:c>
      <x:c r="S514" s="5" t="inlineStr">
        <x:is>
          <x:t xml:space="preserve">비=False</x:t>
        </x:is>
      </x:c>
      <x:c r="T514" s="5" t="inlineStr">
        <x:is>
          <x:t xml:space="preserve">육상</x:t>
        </x:is>
      </x:c>
      <x:c r="U514" s="5" t="inlineStr">
        <x:is>
          <x:t xml:space="preserve">습지</x:t>
        </x:is>
      </x:c>
      <x:c r="V514" s="5" t="inlineStr">
        <x:is>
          <x:t xml:space="preserve">온대</x:t>
        </x:is>
      </x:c>
      <x:c r="W514" s="5" t="inlineStr">
        <x:is>
          <x:t xml:space="preserve">다습</x:t>
        </x:is>
      </x:c>
      <x:c r="X514" s="5" t="inlineStr">
        <x:is>
          <x:t xml:space="preserve">비</x:t>
        </x:is>
      </x:c>
      <x:c r="Y514" s="5" t="inlineStr">
        <x:is>
          <x:t xml:space="preserve">밤</x:t>
        </x:is>
      </x:c>
      <x:c r="Z514" s="5" t="inlineStr">
        <x:is>
          <x:t xml:space="preserve">흔함</x:t>
        </x:is>
      </x:c>
      <x:c r="AA514" s="5" t="inlineStr">
        <x:is>
          <x:t xml:space="preserve">없음</x:t>
        </x:is>
      </x:c>
      <x:c r="AB514" s="5" t="inlineStr">
        <x:is>
          <x:t xml:space="preserve">습지</x:t>
        </x:is>
      </x:c>
      <x:c r="AC514" s="5" t="inlineStr">
        <x:is>
          <x:t xml:space="preserve">gen5</x:t>
        </x:is>
      </x:c>
      <x:c r="AD514" s="5" t="inlineStr">
        <x:is>
          <x:t xml:space="preserve">.tmp/cobblemon-1.7.3-source/common/src/main/resources/data/cobblemon/species/generation5/liepard.json</x:t>
        </x:is>
      </x:c>
    </x:row>
    <x:row r="515" ht="22" customHeight="1">
      <x:c r="A515" s="5" t="n">
        <x:v>511</x:v>
      </x:c>
      <x:c r="B515" s="5" t="inlineStr">
        <x:is>
          <x:t xml:space="preserve">야나프</x:t>
        </x:is>
      </x:c>
      <x:c r="C515" s="5" t="inlineStr">
        <x:is>
          <x:t xml:space="preserve">pansage</x:t>
        </x:is>
      </x:c>
      <x:c r="D515" s="5" t="inlineStr">
        <x:is>
          <x:t xml:space="preserve">Pansage</x:t>
        </x:is>
      </x:c>
      <x:c r="E515" s="5" t="n">
        <x:v>5</x:v>
      </x:c>
      <x:c r="F515" s="5" t="inlineStr">
        <x:is>
          <x:t xml:space="preserve">풀</x:t>
        </x:is>
      </x:c>
      <x:c r="G515" s="5" t="inlineStr">
        <x:is>
          <x:t xml:space="preserve"/>
        </x:is>
      </x:c>
      <x:c r="H515" s="5" t="n">
        <x:v>0.6</x:v>
      </x:c>
      <x:c r="I515" s="5" t="n">
        <x:v>10.5</x:v>
      </x:c>
      <x:c r="J515" s="5" t="n">
        <x:v>316</x:v>
      </x:c>
      <x:c r="K515" s="5" t="n">
        <x:v>190</x:v>
      </x:c>
      <x:c r="L515" s="5" t="inlineStr">
        <x:is>
          <x:t xml:space="preserve">기본</x:t>
        </x:is>
      </x:c>
      <x:c r="M515" s="5" t="n"/>
      <x:c r="N515" s="5" t="inlineStr">
        <x:is>
          <x:t xml:space="preserve">특수</x:t>
        </x:is>
      </x:c>
      <x:c r="O515" s="5" t="inlineStr">
        <x:is>
          <x:t xml:space="preserve">예</x:t>
        </x:is>
      </x:c>
      <x:c r="P515" s="5" t="inlineStr">
        <x:is>
          <x:t xml:space="preserve">#cobblemon:is_forest; #cobblemon:is_jungle; #cobblemon:is_tropical_island; aether:skyroot_forest; aether:skyroot_woodland</x:t>
        </x:is>
      </x:c>
      <x:c r="Q515" s="5" t="inlineStr">
        <x:is>
          <x:t xml:space="preserve">uncommon</x:t>
        </x:is>
      </x:c>
      <x:c r="R515" s="5" t="inlineStr">
        <x:is>
          <x:t xml:space="preserve"/>
        </x:is>
      </x:c>
      <x:c r="S515" s="5" t="inlineStr">
        <x:is>
          <x:t xml:space="preserve"/>
        </x:is>
      </x:c>
      <x:c r="T515" s="5" t="inlineStr">
        <x:is>
          <x:t xml:space="preserve">육상</x:t>
        </x:is>
      </x:c>
      <x:c r="U515" s="5" t="inlineStr">
        <x:is>
          <x:t xml:space="preserve">수목</x:t>
        </x:is>
      </x:c>
      <x:c r="V515" s="5" t="inlineStr">
        <x:is>
          <x:t xml:space="preserve">온대</x:t>
        </x:is>
      </x:c>
      <x:c r="W515" s="5" t="inlineStr">
        <x:is>
          <x:t xml:space="preserve">다습</x:t>
        </x:is>
      </x:c>
      <x:c r="X515" s="5" t="inlineStr">
        <x:is>
          <x:t xml:space="preserve">무관</x:t>
        </x:is>
      </x:c>
      <x:c r="Y515" s="5" t="inlineStr">
        <x:is>
          <x:t xml:space="preserve">무관</x:t>
        </x:is>
      </x:c>
      <x:c r="Z515" s="5" t="inlineStr">
        <x:is>
          <x:t xml:space="preserve">보통</x:t>
        </x:is>
      </x:c>
      <x:c r="AA515" s="5" t="inlineStr">
        <x:is>
          <x:t xml:space="preserve">없음</x:t>
        </x:is>
      </x:c>
      <x:c r="AB515" s="5" t="inlineStr">
        <x:is>
          <x:t xml:space="preserve">숲</x:t>
        </x:is>
      </x:c>
      <x:c r="AC515" s="5" t="inlineStr">
        <x:is>
          <x:t xml:space="preserve">gen5</x:t>
        </x:is>
      </x:c>
      <x:c r="AD515" s="5" t="inlineStr">
        <x:is>
          <x:t xml:space="preserve">.tmp/cobblemon-1.7.3-source/common/src/main/resources/data/cobblemon/species/generation5/pansage.json</x:t>
        </x:is>
      </x:c>
    </x:row>
    <x:row r="516" ht="22" customHeight="1">
      <x:c r="A516" s="5" t="n">
        <x:v>512</x:v>
      </x:c>
      <x:c r="B516" s="5" t="inlineStr">
        <x:is>
          <x:t xml:space="preserve">야나키</x:t>
        </x:is>
      </x:c>
      <x:c r="C516" s="5" t="inlineStr">
        <x:is>
          <x:t xml:space="preserve">simisage</x:t>
        </x:is>
      </x:c>
      <x:c r="D516" s="5" t="inlineStr">
        <x:is>
          <x:t xml:space="preserve">Simisage</x:t>
        </x:is>
      </x:c>
      <x:c r="E516" s="5" t="n">
        <x:v>5</x:v>
      </x:c>
      <x:c r="F516" s="5" t="inlineStr">
        <x:is>
          <x:t xml:space="preserve">풀</x:t>
        </x:is>
      </x:c>
      <x:c r="G516" s="5" t="inlineStr">
        <x:is>
          <x:t xml:space="preserve"/>
        </x:is>
      </x:c>
      <x:c r="H516" s="5" t="n">
        <x:v>1.1</x:v>
      </x:c>
      <x:c r="I516" s="5" t="n">
        <x:v>30.5</x:v>
      </x:c>
      <x:c r="J516" s="5" t="n">
        <x:v>498</x:v>
      </x:c>
      <x:c r="K516" s="5" t="n">
        <x:v>75</x:v>
      </x:c>
      <x:c r="L516" s="5" t="inlineStr">
        <x:is>
          <x:t xml:space="preserve">최종</x:t>
        </x:is>
      </x:c>
      <x:c r="M516" s="5" t="n"/>
      <x:c r="N516" s="5" t="inlineStr">
        <x:is>
          <x:t xml:space="preserve">특수</x:t>
        </x:is>
      </x:c>
      <x:c r="O516" s="5" t="inlineStr">
        <x:is>
          <x:t xml:space="preserve">예</x:t>
        </x:is>
      </x:c>
      <x:c r="P516" s="5" t="inlineStr">
        <x:is>
          <x:t xml:space="preserve">#cobblemon:is_forest; #cobblemon:is_jungle; #cobblemon:is_tropical_island; aether:skyroot_forest; aether:skyroot_woodland</x:t>
        </x:is>
      </x:c>
      <x:c r="Q516" s="5" t="inlineStr">
        <x:is>
          <x:t xml:space="preserve">uncommon</x:t>
        </x:is>
      </x:c>
      <x:c r="R516" s="5" t="inlineStr">
        <x:is>
          <x:t xml:space="preserve"/>
        </x:is>
      </x:c>
      <x:c r="S516" s="5" t="inlineStr">
        <x:is>
          <x:t xml:space="preserve"/>
        </x:is>
      </x:c>
      <x:c r="T516" s="5" t="inlineStr">
        <x:is>
          <x:t xml:space="preserve">육상</x:t>
        </x:is>
      </x:c>
      <x:c r="U516" s="5" t="inlineStr">
        <x:is>
          <x:t xml:space="preserve">수목</x:t>
        </x:is>
      </x:c>
      <x:c r="V516" s="5" t="inlineStr">
        <x:is>
          <x:t xml:space="preserve">온대</x:t>
        </x:is>
      </x:c>
      <x:c r="W516" s="5" t="inlineStr">
        <x:is>
          <x:t xml:space="preserve">다습</x:t>
        </x:is>
      </x:c>
      <x:c r="X516" s="5" t="inlineStr">
        <x:is>
          <x:t xml:space="preserve">무관</x:t>
        </x:is>
      </x:c>
      <x:c r="Y516" s="5" t="inlineStr">
        <x:is>
          <x:t xml:space="preserve">무관</x:t>
        </x:is>
      </x:c>
      <x:c r="Z516" s="5" t="inlineStr">
        <x:is>
          <x:t xml:space="preserve">보통</x:t>
        </x:is>
      </x:c>
      <x:c r="AA516" s="5" t="inlineStr">
        <x:is>
          <x:t xml:space="preserve">없음</x:t>
        </x:is>
      </x:c>
      <x:c r="AB516" s="5" t="inlineStr">
        <x:is>
          <x:t xml:space="preserve">숲</x:t>
        </x:is>
      </x:c>
      <x:c r="AC516" s="5" t="inlineStr">
        <x:is>
          <x:t xml:space="preserve">gen5</x:t>
        </x:is>
      </x:c>
      <x:c r="AD516" s="5" t="inlineStr">
        <x:is>
          <x:t xml:space="preserve">.tmp/cobblemon-1.7.3-source/common/src/main/resources/data/cobblemon/species/generation5/simisage.json</x:t>
        </x:is>
      </x:c>
    </x:row>
    <x:row r="517" ht="22" customHeight="1">
      <x:c r="A517" s="5" t="n">
        <x:v>513</x:v>
      </x:c>
      <x:c r="B517" s="5" t="inlineStr">
        <x:is>
          <x:t xml:space="preserve">바오프</x:t>
        </x:is>
      </x:c>
      <x:c r="C517" s="5" t="inlineStr">
        <x:is>
          <x:t xml:space="preserve">pansear</x:t>
        </x:is>
      </x:c>
      <x:c r="D517" s="5" t="inlineStr">
        <x:is>
          <x:t xml:space="preserve">Pansear</x:t>
        </x:is>
      </x:c>
      <x:c r="E517" s="5" t="n">
        <x:v>5</x:v>
      </x:c>
      <x:c r="F517" s="5" t="inlineStr">
        <x:is>
          <x:t xml:space="preserve">불꽃</x:t>
        </x:is>
      </x:c>
      <x:c r="G517" s="5" t="inlineStr">
        <x:is>
          <x:t xml:space="preserve"/>
        </x:is>
      </x:c>
      <x:c r="H517" s="5" t="n">
        <x:v>0.6</x:v>
      </x:c>
      <x:c r="I517" s="5" t="n">
        <x:v>11</x:v>
      </x:c>
      <x:c r="J517" s="5" t="n">
        <x:v>316</x:v>
      </x:c>
      <x:c r="K517" s="5" t="n">
        <x:v>190</x:v>
      </x:c>
      <x:c r="L517" s="5" t="inlineStr">
        <x:is>
          <x:t xml:space="preserve">기본</x:t>
        </x:is>
      </x:c>
      <x:c r="M517" s="5" t="n"/>
      <x:c r="N517" s="5" t="inlineStr">
        <x:is>
          <x:t xml:space="preserve">특수</x:t>
        </x:is>
      </x:c>
      <x:c r="O517" s="5" t="inlineStr">
        <x:is>
          <x:t xml:space="preserve">예</x:t>
        </x:is>
      </x:c>
      <x:c r="P517" s="5" t="inlineStr">
        <x:is>
          <x:t xml:space="preserve">#cobblemon:is_jungle; #cobblemon:is_tropical_island; #cobblemon:is_volcanic</x:t>
        </x:is>
      </x:c>
      <x:c r="Q517" s="5" t="inlineStr">
        <x:is>
          <x:t xml:space="preserve">uncommon</x:t>
        </x:is>
      </x:c>
      <x:c r="R517" s="5" t="inlineStr">
        <x:is>
          <x:t xml:space="preserve"/>
        </x:is>
      </x:c>
      <x:c r="S517" s="5" t="inlineStr">
        <x:is>
          <x:t xml:space="preserve"/>
        </x:is>
      </x:c>
      <x:c r="T517" s="5" t="inlineStr">
        <x:is>
          <x:t xml:space="preserve">육상</x:t>
        </x:is>
      </x:c>
      <x:c r="U517" s="5" t="inlineStr">
        <x:is>
          <x:t xml:space="preserve">화산</x:t>
        </x:is>
      </x:c>
      <x:c r="V517" s="5" t="inlineStr">
        <x:is>
          <x:t xml:space="preserve">고온</x:t>
        </x:is>
      </x:c>
      <x:c r="W517" s="5" t="inlineStr">
        <x:is>
          <x:t xml:space="preserve">다습</x:t>
        </x:is>
      </x:c>
      <x:c r="X517" s="5" t="inlineStr">
        <x:is>
          <x:t xml:space="preserve">맑음</x:t>
        </x:is>
      </x:c>
      <x:c r="Y517" s="5" t="inlineStr">
        <x:is>
          <x:t xml:space="preserve">무관</x:t>
        </x:is>
      </x:c>
      <x:c r="Z517" s="5" t="inlineStr">
        <x:is>
          <x:t xml:space="preserve">보통</x:t>
        </x:is>
      </x:c>
      <x:c r="AA517" s="5" t="inlineStr">
        <x:is>
          <x:t xml:space="preserve">화산</x:t>
        </x:is>
      </x:c>
      <x:c r="AB517" s="5" t="inlineStr">
        <x:is>
          <x:t xml:space="preserve">화산</x:t>
        </x:is>
      </x:c>
      <x:c r="AC517" s="5" t="inlineStr">
        <x:is>
          <x:t xml:space="preserve">gen5</x:t>
        </x:is>
      </x:c>
      <x:c r="AD517" s="5" t="inlineStr">
        <x:is>
          <x:t xml:space="preserve">.tmp/cobblemon-1.7.3-source/common/src/main/resources/data/cobblemon/species/generation5/pansear.json</x:t>
        </x:is>
      </x:c>
    </x:row>
    <x:row r="518" ht="22" customHeight="1">
      <x:c r="A518" s="5" t="n">
        <x:v>514</x:v>
      </x:c>
      <x:c r="B518" s="5" t="inlineStr">
        <x:is>
          <x:t xml:space="preserve">바오키</x:t>
        </x:is>
      </x:c>
      <x:c r="C518" s="5" t="inlineStr">
        <x:is>
          <x:t xml:space="preserve">simisear</x:t>
        </x:is>
      </x:c>
      <x:c r="D518" s="5" t="inlineStr">
        <x:is>
          <x:t xml:space="preserve">Simisear</x:t>
        </x:is>
      </x:c>
      <x:c r="E518" s="5" t="n">
        <x:v>5</x:v>
      </x:c>
      <x:c r="F518" s="5" t="inlineStr">
        <x:is>
          <x:t xml:space="preserve">불꽃</x:t>
        </x:is>
      </x:c>
      <x:c r="G518" s="5" t="inlineStr">
        <x:is>
          <x:t xml:space="preserve"/>
        </x:is>
      </x:c>
      <x:c r="H518" s="5" t="n">
        <x:v>1</x:v>
      </x:c>
      <x:c r="I518" s="5" t="n">
        <x:v>28</x:v>
      </x:c>
      <x:c r="J518" s="5" t="n">
        <x:v>498</x:v>
      </x:c>
      <x:c r="K518" s="5" t="n">
        <x:v>75</x:v>
      </x:c>
      <x:c r="L518" s="5" t="inlineStr">
        <x:is>
          <x:t xml:space="preserve">최종</x:t>
        </x:is>
      </x:c>
      <x:c r="M518" s="5" t="n"/>
      <x:c r="N518" s="5" t="inlineStr">
        <x:is>
          <x:t xml:space="preserve">특수</x:t>
        </x:is>
      </x:c>
      <x:c r="O518" s="5" t="inlineStr">
        <x:is>
          <x:t xml:space="preserve">예</x:t>
        </x:is>
      </x:c>
      <x:c r="P518" s="5" t="inlineStr">
        <x:is>
          <x:t xml:space="preserve">#cobblemon:is_jungle; #cobblemon:is_tropical_island; #cobblemon:is_volcanic</x:t>
        </x:is>
      </x:c>
      <x:c r="Q518" s="5" t="inlineStr">
        <x:is>
          <x:t xml:space="preserve">uncommon</x:t>
        </x:is>
      </x:c>
      <x:c r="R518" s="5" t="inlineStr">
        <x:is>
          <x:t xml:space="preserve"/>
        </x:is>
      </x:c>
      <x:c r="S518" s="5" t="inlineStr">
        <x:is>
          <x:t xml:space="preserve"/>
        </x:is>
      </x:c>
      <x:c r="T518" s="5" t="inlineStr">
        <x:is>
          <x:t xml:space="preserve">육상</x:t>
        </x:is>
      </x:c>
      <x:c r="U518" s="5" t="inlineStr">
        <x:is>
          <x:t xml:space="preserve">화산</x:t>
        </x:is>
      </x:c>
      <x:c r="V518" s="5" t="inlineStr">
        <x:is>
          <x:t xml:space="preserve">고온</x:t>
        </x:is>
      </x:c>
      <x:c r="W518" s="5" t="inlineStr">
        <x:is>
          <x:t xml:space="preserve">다습</x:t>
        </x:is>
      </x:c>
      <x:c r="X518" s="5" t="inlineStr">
        <x:is>
          <x:t xml:space="preserve">맑음</x:t>
        </x:is>
      </x:c>
      <x:c r="Y518" s="5" t="inlineStr">
        <x:is>
          <x:t xml:space="preserve">무관</x:t>
        </x:is>
      </x:c>
      <x:c r="Z518" s="5" t="inlineStr">
        <x:is>
          <x:t xml:space="preserve">보통</x:t>
        </x:is>
      </x:c>
      <x:c r="AA518" s="5" t="inlineStr">
        <x:is>
          <x:t xml:space="preserve">화산</x:t>
        </x:is>
      </x:c>
      <x:c r="AB518" s="5" t="inlineStr">
        <x:is>
          <x:t xml:space="preserve">화산</x:t>
        </x:is>
      </x:c>
      <x:c r="AC518" s="5" t="inlineStr">
        <x:is>
          <x:t xml:space="preserve">gen5</x:t>
        </x:is>
      </x:c>
      <x:c r="AD518" s="5" t="inlineStr">
        <x:is>
          <x:t xml:space="preserve">.tmp/cobblemon-1.7.3-source/common/src/main/resources/data/cobblemon/species/generation5/simisear.json</x:t>
        </x:is>
      </x:c>
    </x:row>
    <x:row r="519" ht="22" customHeight="1">
      <x:c r="A519" s="5" t="n">
        <x:v>515</x:v>
      </x:c>
      <x:c r="B519" s="5" t="inlineStr">
        <x:is>
          <x:t xml:space="preserve">앗차프</x:t>
        </x:is>
      </x:c>
      <x:c r="C519" s="5" t="inlineStr">
        <x:is>
          <x:t xml:space="preserve">panpour</x:t>
        </x:is>
      </x:c>
      <x:c r="D519" s="5" t="inlineStr">
        <x:is>
          <x:t xml:space="preserve">Panpour</x:t>
        </x:is>
      </x:c>
      <x:c r="E519" s="5" t="n">
        <x:v>5</x:v>
      </x:c>
      <x:c r="F519" s="5" t="inlineStr">
        <x:is>
          <x:t xml:space="preserve">물</x:t>
        </x:is>
      </x:c>
      <x:c r="G519" s="5" t="inlineStr">
        <x:is>
          <x:t xml:space="preserve"/>
        </x:is>
      </x:c>
      <x:c r="H519" s="5" t="n">
        <x:v>0.6</x:v>
      </x:c>
      <x:c r="I519" s="5" t="n">
        <x:v>13.5</x:v>
      </x:c>
      <x:c r="J519" s="5" t="n">
        <x:v>316</x:v>
      </x:c>
      <x:c r="K519" s="5" t="n">
        <x:v>190</x:v>
      </x:c>
      <x:c r="L519" s="5" t="inlineStr">
        <x:is>
          <x:t xml:space="preserve">기본</x:t>
        </x:is>
      </x:c>
      <x:c r="M519" s="5" t="n"/>
      <x:c r="N519" s="5" t="inlineStr">
        <x:is>
          <x:t xml:space="preserve">특수</x:t>
        </x:is>
      </x:c>
      <x:c r="O519" s="5" t="inlineStr">
        <x:is>
          <x:t xml:space="preserve">예</x:t>
        </x:is>
      </x:c>
      <x:c r="P519" s="5" t="inlineStr">
        <x:is>
          <x:t xml:space="preserve">#cobblemon:is_jungle; #cobblemon:is_river; #cobblemon:is_tropical_island</x:t>
        </x:is>
      </x:c>
      <x:c r="Q519" s="5" t="inlineStr">
        <x:is>
          <x:t xml:space="preserve">uncommon</x:t>
        </x:is>
      </x:c>
      <x:c r="R519" s="5" t="inlineStr">
        <x:is>
          <x:t xml:space="preserve"/>
        </x:is>
      </x:c>
      <x:c r="S519" s="5" t="inlineStr">
        <x:is>
          <x:t xml:space="preserve"/>
        </x:is>
      </x:c>
      <x:c r="T519" s="5" t="inlineStr">
        <x:is>
          <x:t xml:space="preserve">담수</x:t>
        </x:is>
      </x:c>
      <x:c r="U519" s="5" t="inlineStr">
        <x:is>
          <x:t xml:space="preserve">담수</x:t>
        </x:is>
      </x:c>
      <x:c r="V519" s="5" t="inlineStr">
        <x:is>
          <x:t xml:space="preserve">온대</x:t>
        </x:is>
      </x:c>
      <x:c r="W519" s="5" t="inlineStr">
        <x:is>
          <x:t xml:space="preserve">수중</x:t>
        </x:is>
      </x:c>
      <x:c r="X519" s="5" t="inlineStr">
        <x:is>
          <x:t xml:space="preserve">비</x:t>
        </x:is>
      </x:c>
      <x:c r="Y519" s="5" t="inlineStr">
        <x:is>
          <x:t xml:space="preserve">무관</x:t>
        </x:is>
      </x:c>
      <x:c r="Z519" s="5" t="inlineStr">
        <x:is>
          <x:t xml:space="preserve">보통</x:t>
        </x:is>
      </x:c>
      <x:c r="AA519" s="5" t="inlineStr">
        <x:is>
          <x:t xml:space="preserve">없음</x:t>
        </x:is>
      </x:c>
      <x:c r="AB519" s="5" t="inlineStr">
        <x:is>
          <x:t xml:space="preserve">담수</x:t>
        </x:is>
      </x:c>
      <x:c r="AC519" s="5" t="inlineStr">
        <x:is>
          <x:t xml:space="preserve">gen5</x:t>
        </x:is>
      </x:c>
      <x:c r="AD519" s="5" t="inlineStr">
        <x:is>
          <x:t xml:space="preserve">.tmp/cobblemon-1.7.3-source/common/src/main/resources/data/cobblemon/species/generation5/panpour.json</x:t>
        </x:is>
      </x:c>
    </x:row>
    <x:row r="520" ht="22" customHeight="1">
      <x:c r="A520" s="5" t="n">
        <x:v>516</x:v>
      </x:c>
      <x:c r="B520" s="5" t="inlineStr">
        <x:is>
          <x:t xml:space="preserve">앗차키</x:t>
        </x:is>
      </x:c>
      <x:c r="C520" s="5" t="inlineStr">
        <x:is>
          <x:t xml:space="preserve">simipour</x:t>
        </x:is>
      </x:c>
      <x:c r="D520" s="5" t="inlineStr">
        <x:is>
          <x:t xml:space="preserve">Simipour</x:t>
        </x:is>
      </x:c>
      <x:c r="E520" s="5" t="n">
        <x:v>5</x:v>
      </x:c>
      <x:c r="F520" s="5" t="inlineStr">
        <x:is>
          <x:t xml:space="preserve">물</x:t>
        </x:is>
      </x:c>
      <x:c r="G520" s="5" t="inlineStr">
        <x:is>
          <x:t xml:space="preserve"/>
        </x:is>
      </x:c>
      <x:c r="H520" s="5" t="n">
        <x:v>1</x:v>
      </x:c>
      <x:c r="I520" s="5" t="n">
        <x:v>29</x:v>
      </x:c>
      <x:c r="J520" s="5" t="n">
        <x:v>498</x:v>
      </x:c>
      <x:c r="K520" s="5" t="n">
        <x:v>75</x:v>
      </x:c>
      <x:c r="L520" s="5" t="inlineStr">
        <x:is>
          <x:t xml:space="preserve">최종</x:t>
        </x:is>
      </x:c>
      <x:c r="M520" s="5" t="n"/>
      <x:c r="N520" s="5" t="inlineStr">
        <x:is>
          <x:t xml:space="preserve">특수</x:t>
        </x:is>
      </x:c>
      <x:c r="O520" s="5" t="inlineStr">
        <x:is>
          <x:t xml:space="preserve">예</x:t>
        </x:is>
      </x:c>
      <x:c r="P520" s="5" t="inlineStr">
        <x:is>
          <x:t xml:space="preserve">#cobblemon:is_jungle; #cobblemon:is_river; #cobblemon:is_tropical_island</x:t>
        </x:is>
      </x:c>
      <x:c r="Q520" s="5" t="inlineStr">
        <x:is>
          <x:t xml:space="preserve">uncommon</x:t>
        </x:is>
      </x:c>
      <x:c r="R520" s="5" t="inlineStr">
        <x:is>
          <x:t xml:space="preserve"/>
        </x:is>
      </x:c>
      <x:c r="S520" s="5" t="inlineStr">
        <x:is>
          <x:t xml:space="preserve"/>
        </x:is>
      </x:c>
      <x:c r="T520" s="5" t="inlineStr">
        <x:is>
          <x:t xml:space="preserve">담수</x:t>
        </x:is>
      </x:c>
      <x:c r="U520" s="5" t="inlineStr">
        <x:is>
          <x:t xml:space="preserve">담수</x:t>
        </x:is>
      </x:c>
      <x:c r="V520" s="5" t="inlineStr">
        <x:is>
          <x:t xml:space="preserve">온대</x:t>
        </x:is>
      </x:c>
      <x:c r="W520" s="5" t="inlineStr">
        <x:is>
          <x:t xml:space="preserve">수중</x:t>
        </x:is>
      </x:c>
      <x:c r="X520" s="5" t="inlineStr">
        <x:is>
          <x:t xml:space="preserve">비</x:t>
        </x:is>
      </x:c>
      <x:c r="Y520" s="5" t="inlineStr">
        <x:is>
          <x:t xml:space="preserve">무관</x:t>
        </x:is>
      </x:c>
      <x:c r="Z520" s="5" t="inlineStr">
        <x:is>
          <x:t xml:space="preserve">보통</x:t>
        </x:is>
      </x:c>
      <x:c r="AA520" s="5" t="inlineStr">
        <x:is>
          <x:t xml:space="preserve">없음</x:t>
        </x:is>
      </x:c>
      <x:c r="AB520" s="5" t="inlineStr">
        <x:is>
          <x:t xml:space="preserve">담수</x:t>
        </x:is>
      </x:c>
      <x:c r="AC520" s="5" t="inlineStr">
        <x:is>
          <x:t xml:space="preserve">gen5</x:t>
        </x:is>
      </x:c>
      <x:c r="AD520" s="5" t="inlineStr">
        <x:is>
          <x:t xml:space="preserve">.tmp/cobblemon-1.7.3-source/common/src/main/resources/data/cobblemon/species/generation5/simipour.json</x:t>
        </x:is>
      </x:c>
    </x:row>
    <x:row r="521" ht="22" customHeight="1">
      <x:c r="A521" s="5" t="n">
        <x:v>517</x:v>
      </x:c>
      <x:c r="B521" s="5" t="inlineStr">
        <x:is>
          <x:t xml:space="preserve">몽나</x:t>
        </x:is>
      </x:c>
      <x:c r="C521" s="5" t="inlineStr">
        <x:is>
          <x:t xml:space="preserve">munna</x:t>
        </x:is>
      </x:c>
      <x:c r="D521" s="5" t="inlineStr">
        <x:is>
          <x:t xml:space="preserve">Munna</x:t>
        </x:is>
      </x:c>
      <x:c r="E521" s="5" t="n">
        <x:v>5</x:v>
      </x:c>
      <x:c r="F521" s="5" t="inlineStr">
        <x:is>
          <x:t xml:space="preserve">에스퍼</x:t>
        </x:is>
      </x:c>
      <x:c r="G521" s="5" t="inlineStr">
        <x:is>
          <x:t xml:space="preserve"/>
        </x:is>
      </x:c>
      <x:c r="H521" s="5" t="n">
        <x:v>0.6</x:v>
      </x:c>
      <x:c r="I521" s="5" t="n">
        <x:v>23.3</x:v>
      </x:c>
      <x:c r="J521" s="5" t="n">
        <x:v>292</x:v>
      </x:c>
      <x:c r="K521" s="5" t="n">
        <x:v>190</x:v>
      </x:c>
      <x:c r="L521" s="5" t="inlineStr">
        <x:is>
          <x:t xml:space="preserve">기본</x:t>
        </x:is>
      </x:c>
      <x:c r="M521" s="5" t="n"/>
      <x:c r="N521" s="5" t="inlineStr">
        <x:is>
          <x:t xml:space="preserve">특수</x:t>
        </x:is>
      </x:c>
      <x:c r="O521" s="5" t="inlineStr">
        <x:is>
          <x:t xml:space="preserve">예</x:t>
        </x:is>
      </x:c>
      <x:c r="P521" s="5" t="inlineStr">
        <x:is>
          <x:t xml:space="preserve">#cobblemon:is_overworld</x:t>
        </x:is>
      </x:c>
      <x:c r="Q521" s="5" t="inlineStr">
        <x:is>
          <x:t xml:space="preserve">common</x:t>
        </x:is>
      </x:c>
      <x:c r="R521" s="5" t="inlineStr">
        <x:is>
          <x:t xml:space="preserve">night</x:t>
        </x:is>
      </x:c>
      <x:c r="S521" s="5" t="inlineStr">
        <x:is>
          <x:t xml:space="preserve"/>
        </x:is>
      </x:c>
      <x:c r="T521" s="5" t="inlineStr">
        <x:is>
          <x:t xml:space="preserve">비행</x:t>
        </x:is>
      </x:c>
      <x:c r="U521" s="5" t="inlineStr">
        <x:is>
          <x:t xml:space="preserve">개활지</x:t>
        </x:is>
      </x:c>
      <x:c r="V521" s="5" t="inlineStr">
        <x:is>
          <x:t xml:space="preserve">온대</x:t>
        </x:is>
      </x:c>
      <x:c r="W521" s="5" t="inlineStr">
        <x:is>
          <x:t xml:space="preserve">보통</x:t>
        </x:is>
      </x:c>
      <x:c r="X521" s="5" t="inlineStr">
        <x:is>
          <x:t xml:space="preserve">무관</x:t>
        </x:is>
      </x:c>
      <x:c r="Y521" s="5" t="inlineStr">
        <x:is>
          <x:t xml:space="preserve">밤</x:t>
        </x:is>
      </x:c>
      <x:c r="Z521" s="5" t="inlineStr">
        <x:is>
          <x:t xml:space="preserve">흔함</x:t>
        </x:is>
      </x:c>
      <x:c r="AA521" s="5" t="inlineStr">
        <x:is>
          <x:t xml:space="preserve">없음</x:t>
        </x:is>
      </x:c>
      <x:c r="AB521" s="5" t="inlineStr">
        <x:is>
          <x:t xml:space="preserve"/>
        </x:is>
      </x:c>
      <x:c r="AC521" s="5" t="inlineStr">
        <x:is>
          <x:t xml:space="preserve">gen5</x:t>
        </x:is>
      </x:c>
      <x:c r="AD521" s="5" t="inlineStr">
        <x:is>
          <x:t xml:space="preserve">.tmp/cobblemon-1.7.3-source/common/src/main/resources/data/cobblemon/species/generation5/munna.json</x:t>
        </x:is>
      </x:c>
    </x:row>
    <x:row r="522" ht="22" customHeight="1">
      <x:c r="A522" s="5" t="n">
        <x:v>518</x:v>
      </x:c>
      <x:c r="B522" s="5" t="inlineStr">
        <x:is>
          <x:t xml:space="preserve">몽얌나</x:t>
        </x:is>
      </x:c>
      <x:c r="C522" s="5" t="inlineStr">
        <x:is>
          <x:t xml:space="preserve">musharna</x:t>
        </x:is>
      </x:c>
      <x:c r="D522" s="5" t="inlineStr">
        <x:is>
          <x:t xml:space="preserve">Musharna</x:t>
        </x:is>
      </x:c>
      <x:c r="E522" s="5" t="n">
        <x:v>5</x:v>
      </x:c>
      <x:c r="F522" s="5" t="inlineStr">
        <x:is>
          <x:t xml:space="preserve">에스퍼</x:t>
        </x:is>
      </x:c>
      <x:c r="G522" s="5" t="inlineStr">
        <x:is>
          <x:t xml:space="preserve"/>
        </x:is>
      </x:c>
      <x:c r="H522" s="5" t="n">
        <x:v>1.1</x:v>
      </x:c>
      <x:c r="I522" s="5" t="n">
        <x:v>60.5</x:v>
      </x:c>
      <x:c r="J522" s="5" t="n">
        <x:v>487</x:v>
      </x:c>
      <x:c r="K522" s="5" t="n">
        <x:v>75</x:v>
      </x:c>
      <x:c r="L522" s="5" t="inlineStr">
        <x:is>
          <x:t xml:space="preserve">최종</x:t>
        </x:is>
      </x:c>
      <x:c r="M522" s="5" t="n"/>
      <x:c r="N522" s="5" t="inlineStr">
        <x:is>
          <x:t xml:space="preserve">특수</x:t>
        </x:is>
      </x:c>
      <x:c r="O522" s="5" t="inlineStr">
        <x:is>
          <x:t xml:space="preserve">예</x:t>
        </x:is>
      </x:c>
      <x:c r="P522" s="5" t="inlineStr">
        <x:is>
          <x:t xml:space="preserve">#cobblemon:is_overworld</x:t>
        </x:is>
      </x:c>
      <x:c r="Q522" s="5" t="inlineStr">
        <x:is>
          <x:t xml:space="preserve">common</x:t>
        </x:is>
      </x:c>
      <x:c r="R522" s="5" t="inlineStr">
        <x:is>
          <x:t xml:space="preserve">night</x:t>
        </x:is>
      </x:c>
      <x:c r="S522" s="5" t="inlineStr">
        <x:is>
          <x:t xml:space="preserve"/>
        </x:is>
      </x:c>
      <x:c r="T522" s="5" t="inlineStr">
        <x:is>
          <x:t xml:space="preserve">비행</x:t>
        </x:is>
      </x:c>
      <x:c r="U522" s="5" t="inlineStr">
        <x:is>
          <x:t xml:space="preserve">개활지</x:t>
        </x:is>
      </x:c>
      <x:c r="V522" s="5" t="inlineStr">
        <x:is>
          <x:t xml:space="preserve">온대</x:t>
        </x:is>
      </x:c>
      <x:c r="W522" s="5" t="inlineStr">
        <x:is>
          <x:t xml:space="preserve">보통</x:t>
        </x:is>
      </x:c>
      <x:c r="X522" s="5" t="inlineStr">
        <x:is>
          <x:t xml:space="preserve">무관</x:t>
        </x:is>
      </x:c>
      <x:c r="Y522" s="5" t="inlineStr">
        <x:is>
          <x:t xml:space="preserve">밤</x:t>
        </x:is>
      </x:c>
      <x:c r="Z522" s="5" t="inlineStr">
        <x:is>
          <x:t xml:space="preserve">흔함</x:t>
        </x:is>
      </x:c>
      <x:c r="AA522" s="5" t="inlineStr">
        <x:is>
          <x:t xml:space="preserve">없음</x:t>
        </x:is>
      </x:c>
      <x:c r="AB522" s="5" t="inlineStr">
        <x:is>
          <x:t xml:space="preserve"/>
        </x:is>
      </x:c>
      <x:c r="AC522" s="5" t="inlineStr">
        <x:is>
          <x:t xml:space="preserve">gen5</x:t>
        </x:is>
      </x:c>
      <x:c r="AD522" s="5" t="inlineStr">
        <x:is>
          <x:t xml:space="preserve">.tmp/cobblemon-1.7.3-source/common/src/main/resources/data/cobblemon/species/generation5/musharna.json</x:t>
        </x:is>
      </x:c>
    </x:row>
    <x:row r="523" ht="22" customHeight="1">
      <x:c r="A523" s="5" t="n">
        <x:v>519</x:v>
      </x:c>
      <x:c r="B523" s="5" t="inlineStr">
        <x:is>
          <x:t xml:space="preserve">콩둘기</x:t>
        </x:is>
      </x:c>
      <x:c r="C523" s="5" t="inlineStr">
        <x:is>
          <x:t xml:space="preserve">pidove</x:t>
        </x:is>
      </x:c>
      <x:c r="D523" s="5" t="inlineStr">
        <x:is>
          <x:t xml:space="preserve">Pidove</x:t>
        </x:is>
      </x:c>
      <x:c r="E523" s="5" t="n">
        <x:v>5</x:v>
      </x:c>
      <x:c r="F523" s="5" t="inlineStr">
        <x:is>
          <x:t xml:space="preserve">노말</x:t>
        </x:is>
      </x:c>
      <x:c r="G523" s="5" t="inlineStr">
        <x:is>
          <x:t xml:space="preserve">비행</x:t>
        </x:is>
      </x:c>
      <x:c r="H523" s="5" t="n">
        <x:v>0.3</x:v>
      </x:c>
      <x:c r="I523" s="5" t="n">
        <x:v>2.1</x:v>
      </x:c>
      <x:c r="J523" s="5" t="n">
        <x:v>264</x:v>
      </x:c>
      <x:c r="K523" s="5" t="n">
        <x:v>255</x:v>
      </x:c>
      <x:c r="L523" s="5" t="inlineStr">
        <x:is>
          <x:t xml:space="preserve">기본</x:t>
        </x:is>
      </x:c>
      <x:c r="M523" s="5" t="n">
        <x:v>32</x:v>
      </x:c>
      <x:c r="N523" s="5" t="inlineStr">
        <x:is>
          <x:t xml:space="preserve">레벨</x:t>
        </x:is>
      </x:c>
      <x:c r="O523" s="5" t="inlineStr">
        <x:is>
          <x:t xml:space="preserve">예</x:t>
        </x:is>
      </x:c>
      <x:c r="P523" s="5" t="inlineStr">
        <x:is>
          <x:t xml:space="preserve">#cobblemon:is_mountain; #cobblemon:is_overworld; #cobblemon:is_sky</x:t>
        </x:is>
      </x:c>
      <x:c r="Q523" s="5" t="inlineStr">
        <x:is>
          <x:t xml:space="preserve">common</x:t>
        </x:is>
      </x:c>
      <x:c r="R523" s="5" t="inlineStr">
        <x:is>
          <x:t xml:space="preserve">day</x:t>
        </x:is>
      </x:c>
      <x:c r="S523" s="5" t="inlineStr">
        <x:is>
          <x:t xml:space="preserve"/>
        </x:is>
      </x:c>
      <x:c r="T523" s="5" t="inlineStr">
        <x:is>
          <x:t xml:space="preserve">비행</x:t>
        </x:is>
      </x:c>
      <x:c r="U523" s="5" t="inlineStr">
        <x:is>
          <x:t xml:space="preserve">암석</x:t>
        </x:is>
      </x:c>
      <x:c r="V523" s="5" t="inlineStr">
        <x:is>
          <x:t xml:space="preserve">온대</x:t>
        </x:is>
      </x:c>
      <x:c r="W523" s="5" t="inlineStr">
        <x:is>
          <x:t xml:space="preserve">보통</x:t>
        </x:is>
      </x:c>
      <x:c r="X523" s="5" t="inlineStr">
        <x:is>
          <x:t xml:space="preserve">무관</x:t>
        </x:is>
      </x:c>
      <x:c r="Y523" s="5" t="inlineStr">
        <x:is>
          <x:t xml:space="preserve">낮</x:t>
        </x:is>
      </x:c>
      <x:c r="Z523" s="5" t="inlineStr">
        <x:is>
          <x:t xml:space="preserve">흔함</x:t>
        </x:is>
      </x:c>
      <x:c r="AA523" s="5" t="inlineStr">
        <x:is>
          <x:t xml:space="preserve">없음</x:t>
        </x:is>
      </x:c>
      <x:c r="AB523" s="5" t="inlineStr">
        <x:is>
          <x:t xml:space="preserve">산악</x:t>
        </x:is>
      </x:c>
      <x:c r="AC523" s="5" t="inlineStr">
        <x:is>
          <x:t xml:space="preserve">gen5</x:t>
        </x:is>
      </x:c>
      <x:c r="AD523" s="5" t="inlineStr">
        <x:is>
          <x:t xml:space="preserve">.tmp/cobblemon-1.7.3-source/common/src/main/resources/data/cobblemon/species/generation5/pidove.json</x:t>
        </x:is>
      </x:c>
    </x:row>
    <x:row r="524" ht="22" customHeight="1">
      <x:c r="A524" s="5" t="n">
        <x:v>520</x:v>
      </x:c>
      <x:c r="B524" s="5" t="inlineStr">
        <x:is>
          <x:t xml:space="preserve">유토브</x:t>
        </x:is>
      </x:c>
      <x:c r="C524" s="5" t="inlineStr">
        <x:is>
          <x:t xml:space="preserve">tranquill</x:t>
        </x:is>
      </x:c>
      <x:c r="D524" s="5" t="inlineStr">
        <x:is>
          <x:t xml:space="preserve">Tranquill</x:t>
        </x:is>
      </x:c>
      <x:c r="E524" s="5" t="n">
        <x:v>5</x:v>
      </x:c>
      <x:c r="F524" s="5" t="inlineStr">
        <x:is>
          <x:t xml:space="preserve">노말</x:t>
        </x:is>
      </x:c>
      <x:c r="G524" s="5" t="inlineStr">
        <x:is>
          <x:t xml:space="preserve">비행</x:t>
        </x:is>
      </x:c>
      <x:c r="H524" s="5" t="n">
        <x:v>0.6</x:v>
      </x:c>
      <x:c r="I524" s="5" t="n">
        <x:v>15</x:v>
      </x:c>
      <x:c r="J524" s="5" t="n">
        <x:v>358</x:v>
      </x:c>
      <x:c r="K524" s="5" t="n">
        <x:v>120</x:v>
      </x:c>
      <x:c r="L524" s="5" t="inlineStr">
        <x:is>
          <x:t xml:space="preserve">중간</x:t>
        </x:is>
      </x:c>
      <x:c r="M524" s="5" t="n">
        <x:v>32</x:v>
      </x:c>
      <x:c r="N524" s="5" t="inlineStr">
        <x:is>
          <x:t xml:space="preserve">레벨</x:t>
        </x:is>
      </x:c>
      <x:c r="O524" s="5" t="inlineStr">
        <x:is>
          <x:t xml:space="preserve">예</x:t>
        </x:is>
      </x:c>
      <x:c r="P524" s="5" t="inlineStr">
        <x:is>
          <x:t xml:space="preserve">#cobblemon:is_mountain; #cobblemon:is_overworld; #cobblemon:is_sky</x:t>
        </x:is>
      </x:c>
      <x:c r="Q524" s="5" t="inlineStr">
        <x:is>
          <x:t xml:space="preserve">common</x:t>
        </x:is>
      </x:c>
      <x:c r="R524" s="5" t="inlineStr">
        <x:is>
          <x:t xml:space="preserve">day</x:t>
        </x:is>
      </x:c>
      <x:c r="S524" s="5" t="inlineStr">
        <x:is>
          <x:t xml:space="preserve"/>
        </x:is>
      </x:c>
      <x:c r="T524" s="5" t="inlineStr">
        <x:is>
          <x:t xml:space="preserve">비행</x:t>
        </x:is>
      </x:c>
      <x:c r="U524" s="5" t="inlineStr">
        <x:is>
          <x:t xml:space="preserve">암석</x:t>
        </x:is>
      </x:c>
      <x:c r="V524" s="5" t="inlineStr">
        <x:is>
          <x:t xml:space="preserve">온대</x:t>
        </x:is>
      </x:c>
      <x:c r="W524" s="5" t="inlineStr">
        <x:is>
          <x:t xml:space="preserve">보통</x:t>
        </x:is>
      </x:c>
      <x:c r="X524" s="5" t="inlineStr">
        <x:is>
          <x:t xml:space="preserve">무관</x:t>
        </x:is>
      </x:c>
      <x:c r="Y524" s="5" t="inlineStr">
        <x:is>
          <x:t xml:space="preserve">낮</x:t>
        </x:is>
      </x:c>
      <x:c r="Z524" s="5" t="inlineStr">
        <x:is>
          <x:t xml:space="preserve">흔함</x:t>
        </x:is>
      </x:c>
      <x:c r="AA524" s="5" t="inlineStr">
        <x:is>
          <x:t xml:space="preserve">없음</x:t>
        </x:is>
      </x:c>
      <x:c r="AB524" s="5" t="inlineStr">
        <x:is>
          <x:t xml:space="preserve">산악</x:t>
        </x:is>
      </x:c>
      <x:c r="AC524" s="5" t="inlineStr">
        <x:is>
          <x:t xml:space="preserve">gen5</x:t>
        </x:is>
      </x:c>
      <x:c r="AD524" s="5" t="inlineStr">
        <x:is>
          <x:t xml:space="preserve">.tmp/cobblemon-1.7.3-source/common/src/main/resources/data/cobblemon/species/generation5/tranquill.json</x:t>
        </x:is>
      </x:c>
    </x:row>
    <x:row r="525" ht="22" customHeight="1">
      <x:c r="A525" s="5" t="n">
        <x:v>521</x:v>
      </x:c>
      <x:c r="B525" s="5" t="inlineStr">
        <x:is>
          <x:t xml:space="preserve">켄호로우</x:t>
        </x:is>
      </x:c>
      <x:c r="C525" s="5" t="inlineStr">
        <x:is>
          <x:t xml:space="preserve">unfezant</x:t>
        </x:is>
      </x:c>
      <x:c r="D525" s="5" t="inlineStr">
        <x:is>
          <x:t xml:space="preserve">Unfezant</x:t>
        </x:is>
      </x:c>
      <x:c r="E525" s="5" t="n">
        <x:v>5</x:v>
      </x:c>
      <x:c r="F525" s="5" t="inlineStr">
        <x:is>
          <x:t xml:space="preserve">노말</x:t>
        </x:is>
      </x:c>
      <x:c r="G525" s="5" t="inlineStr">
        <x:is>
          <x:t xml:space="preserve">비행</x:t>
        </x:is>
      </x:c>
      <x:c r="H525" s="5" t="n">
        <x:v>1.2</x:v>
      </x:c>
      <x:c r="I525" s="5" t="n">
        <x:v>29</x:v>
      </x:c>
      <x:c r="J525" s="5" t="n">
        <x:v>488</x:v>
      </x:c>
      <x:c r="K525" s="5" t="n">
        <x:v>45</x:v>
      </x:c>
      <x:c r="L525" s="5" t="inlineStr">
        <x:is>
          <x:t xml:space="preserve">최종</x:t>
        </x:is>
      </x:c>
      <x:c r="M525" s="5" t="n">
        <x:v>32</x:v>
      </x:c>
      <x:c r="N525" s="5" t="inlineStr">
        <x:is>
          <x:t xml:space="preserve">레벨</x:t>
        </x:is>
      </x:c>
      <x:c r="O525" s="5" t="inlineStr">
        <x:is>
          <x:t xml:space="preserve">예</x:t>
        </x:is>
      </x:c>
      <x:c r="P525" s="5" t="inlineStr">
        <x:is>
          <x:t xml:space="preserve">#cobblemon:is_mountain; #cobblemon:is_overworld; #cobblemon:is_sky</x:t>
        </x:is>
      </x:c>
      <x:c r="Q525" s="5" t="inlineStr">
        <x:is>
          <x:t xml:space="preserve">common</x:t>
        </x:is>
      </x:c>
      <x:c r="R525" s="5" t="inlineStr">
        <x:is>
          <x:t xml:space="preserve">day</x:t>
        </x:is>
      </x:c>
      <x:c r="S525" s="5" t="inlineStr">
        <x:is>
          <x:t xml:space="preserve"/>
        </x:is>
      </x:c>
      <x:c r="T525" s="5" t="inlineStr">
        <x:is>
          <x:t xml:space="preserve">비행</x:t>
        </x:is>
      </x:c>
      <x:c r="U525" s="5" t="inlineStr">
        <x:is>
          <x:t xml:space="preserve">암석</x:t>
        </x:is>
      </x:c>
      <x:c r="V525" s="5" t="inlineStr">
        <x:is>
          <x:t xml:space="preserve">온대</x:t>
        </x:is>
      </x:c>
      <x:c r="W525" s="5" t="inlineStr">
        <x:is>
          <x:t xml:space="preserve">보통</x:t>
        </x:is>
      </x:c>
      <x:c r="X525" s="5" t="inlineStr">
        <x:is>
          <x:t xml:space="preserve">무관</x:t>
        </x:is>
      </x:c>
      <x:c r="Y525" s="5" t="inlineStr">
        <x:is>
          <x:t xml:space="preserve">낮</x:t>
        </x:is>
      </x:c>
      <x:c r="Z525" s="5" t="inlineStr">
        <x:is>
          <x:t xml:space="preserve">흔함</x:t>
        </x:is>
      </x:c>
      <x:c r="AA525" s="5" t="inlineStr">
        <x:is>
          <x:t xml:space="preserve">없음</x:t>
        </x:is>
      </x:c>
      <x:c r="AB525" s="5" t="inlineStr">
        <x:is>
          <x:t xml:space="preserve">산악</x:t>
        </x:is>
      </x:c>
      <x:c r="AC525" s="5" t="inlineStr">
        <x:is>
          <x:t xml:space="preserve">gen5</x:t>
        </x:is>
      </x:c>
      <x:c r="AD525" s="5" t="inlineStr">
        <x:is>
          <x:t xml:space="preserve">.tmp/cobblemon-1.7.3-source/common/src/main/resources/data/cobblemon/species/generation5/unfezant.json</x:t>
        </x:is>
      </x:c>
    </x:row>
    <x:row r="526" ht="22" customHeight="1">
      <x:c r="A526" s="5" t="n">
        <x:v>522</x:v>
      </x:c>
      <x:c r="B526" s="5" t="inlineStr">
        <x:is>
          <x:t xml:space="preserve">줄뮤마</x:t>
        </x:is>
      </x:c>
      <x:c r="C526" s="5" t="inlineStr">
        <x:is>
          <x:t xml:space="preserve">blitzle</x:t>
        </x:is>
      </x:c>
      <x:c r="D526" s="5" t="inlineStr">
        <x:is>
          <x:t xml:space="preserve">Blitzle</x:t>
        </x:is>
      </x:c>
      <x:c r="E526" s="5" t="n">
        <x:v>5</x:v>
      </x:c>
      <x:c r="F526" s="5" t="inlineStr">
        <x:is>
          <x:t xml:space="preserve">전기</x:t>
        </x:is>
      </x:c>
      <x:c r="G526" s="5" t="inlineStr">
        <x:is>
          <x:t xml:space="preserve"/>
        </x:is>
      </x:c>
      <x:c r="H526" s="5" t="n">
        <x:v>0.8</x:v>
      </x:c>
      <x:c r="I526" s="5" t="n">
        <x:v>29.8</x:v>
      </x:c>
      <x:c r="J526" s="5" t="n">
        <x:v>295</x:v>
      </x:c>
      <x:c r="K526" s="5" t="n">
        <x:v>190</x:v>
      </x:c>
      <x:c r="L526" s="5" t="inlineStr">
        <x:is>
          <x:t xml:space="preserve">기본</x:t>
        </x:is>
      </x:c>
      <x:c r="M526" s="5" t="n">
        <x:v>27</x:v>
      </x:c>
      <x:c r="N526" s="5" t="inlineStr">
        <x:is>
          <x:t xml:space="preserve">레벨</x:t>
        </x:is>
      </x:c>
      <x:c r="O526" s="5" t="inlineStr">
        <x:is>
          <x:t xml:space="preserve">예</x:t>
        </x:is>
      </x:c>
      <x:c r="P526" s="5" t="inlineStr">
        <x:is>
          <x:t xml:space="preserve">#cobblemon:is_savanna</x:t>
        </x:is>
      </x:c>
      <x:c r="Q526" s="5" t="inlineStr">
        <x:is>
          <x:t xml:space="preserve">common</x:t>
        </x:is>
      </x:c>
      <x:c r="R526" s="5" t="inlineStr">
        <x:is>
          <x:t xml:space="preserve"/>
        </x:is>
      </x:c>
      <x:c r="S526" s="5" t="inlineStr">
        <x:is>
          <x:t xml:space="preserve"/>
        </x:is>
      </x:c>
      <x:c r="T526" s="5" t="inlineStr">
        <x:is>
          <x:t xml:space="preserve">육상</x:t>
        </x:is>
      </x:c>
      <x:c r="U526" s="5" t="inlineStr">
        <x:is>
          <x:t xml:space="preserve">개활지</x:t>
        </x:is>
      </x:c>
      <x:c r="V526" s="5" t="inlineStr">
        <x:is>
          <x:t xml:space="preserve">온대</x:t>
        </x:is>
      </x:c>
      <x:c r="W526" s="5" t="inlineStr">
        <x:is>
          <x:t xml:space="preserve">보통</x:t>
        </x:is>
      </x:c>
      <x:c r="X526" s="5" t="inlineStr">
        <x:is>
          <x:t xml:space="preserve">무관</x:t>
        </x:is>
      </x:c>
      <x:c r="Y526" s="5" t="inlineStr">
        <x:is>
          <x:t xml:space="preserve">무관</x:t>
        </x:is>
      </x:c>
      <x:c r="Z526" s="5" t="inlineStr">
        <x:is>
          <x:t xml:space="preserve">흔함</x:t>
        </x:is>
      </x:c>
      <x:c r="AA526" s="5" t="inlineStr">
        <x:is>
          <x:t xml:space="preserve">없음</x:t>
        </x:is>
      </x:c>
      <x:c r="AB526" s="5" t="inlineStr">
        <x:is>
          <x:t xml:space="preserve">평원</x:t>
        </x:is>
      </x:c>
      <x:c r="AC526" s="5" t="inlineStr">
        <x:is>
          <x:t xml:space="preserve">gen5</x:t>
        </x:is>
      </x:c>
      <x:c r="AD526" s="5" t="inlineStr">
        <x:is>
          <x:t xml:space="preserve">.tmp/cobblemon-1.7.3-source/common/src/main/resources/data/cobblemon/species/generation5/blitzle.json</x:t>
        </x:is>
      </x:c>
    </x:row>
    <x:row r="527" ht="22" customHeight="1">
      <x:c r="A527" s="5" t="n">
        <x:v>523</x:v>
      </x:c>
      <x:c r="B527" s="5" t="inlineStr">
        <x:is>
          <x:t xml:space="preserve">제브라이카</x:t>
        </x:is>
      </x:c>
      <x:c r="C527" s="5" t="inlineStr">
        <x:is>
          <x:t xml:space="preserve">zebstrika</x:t>
        </x:is>
      </x:c>
      <x:c r="D527" s="5" t="inlineStr">
        <x:is>
          <x:t xml:space="preserve">Zebstrika</x:t>
        </x:is>
      </x:c>
      <x:c r="E527" s="5" t="n">
        <x:v>5</x:v>
      </x:c>
      <x:c r="F527" s="5" t="inlineStr">
        <x:is>
          <x:t xml:space="preserve">전기</x:t>
        </x:is>
      </x:c>
      <x:c r="G527" s="5" t="inlineStr">
        <x:is>
          <x:t xml:space="preserve"/>
        </x:is>
      </x:c>
      <x:c r="H527" s="5" t="n">
        <x:v>1.6</x:v>
      </x:c>
      <x:c r="I527" s="5" t="n">
        <x:v>79.5</x:v>
      </x:c>
      <x:c r="J527" s="5" t="n">
        <x:v>497</x:v>
      </x:c>
      <x:c r="K527" s="5" t="n">
        <x:v>75</x:v>
      </x:c>
      <x:c r="L527" s="5" t="inlineStr">
        <x:is>
          <x:t xml:space="preserve">최종</x:t>
        </x:is>
      </x:c>
      <x:c r="M527" s="5" t="n">
        <x:v>27</x:v>
      </x:c>
      <x:c r="N527" s="5" t="inlineStr">
        <x:is>
          <x:t xml:space="preserve">레벨</x:t>
        </x:is>
      </x:c>
      <x:c r="O527" s="5" t="inlineStr">
        <x:is>
          <x:t xml:space="preserve">예</x:t>
        </x:is>
      </x:c>
      <x:c r="P527" s="5" t="inlineStr">
        <x:is>
          <x:t xml:space="preserve">#cobblemon:is_savanna</x:t>
        </x:is>
      </x:c>
      <x:c r="Q527" s="5" t="inlineStr">
        <x:is>
          <x:t xml:space="preserve">common</x:t>
        </x:is>
      </x:c>
      <x:c r="R527" s="5" t="inlineStr">
        <x:is>
          <x:t xml:space="preserve"/>
        </x:is>
      </x:c>
      <x:c r="S527" s="5" t="inlineStr">
        <x:is>
          <x:t xml:space="preserve"/>
        </x:is>
      </x:c>
      <x:c r="T527" s="5" t="inlineStr">
        <x:is>
          <x:t xml:space="preserve">육상</x:t>
        </x:is>
      </x:c>
      <x:c r="U527" s="5" t="inlineStr">
        <x:is>
          <x:t xml:space="preserve">개활지</x:t>
        </x:is>
      </x:c>
      <x:c r="V527" s="5" t="inlineStr">
        <x:is>
          <x:t xml:space="preserve">온대</x:t>
        </x:is>
      </x:c>
      <x:c r="W527" s="5" t="inlineStr">
        <x:is>
          <x:t xml:space="preserve">보통</x:t>
        </x:is>
      </x:c>
      <x:c r="X527" s="5" t="inlineStr">
        <x:is>
          <x:t xml:space="preserve">무관</x:t>
        </x:is>
      </x:c>
      <x:c r="Y527" s="5" t="inlineStr">
        <x:is>
          <x:t xml:space="preserve">무관</x:t>
        </x:is>
      </x:c>
      <x:c r="Z527" s="5" t="inlineStr">
        <x:is>
          <x:t xml:space="preserve">흔함</x:t>
        </x:is>
      </x:c>
      <x:c r="AA527" s="5" t="inlineStr">
        <x:is>
          <x:t xml:space="preserve">없음</x:t>
        </x:is>
      </x:c>
      <x:c r="AB527" s="5" t="inlineStr">
        <x:is>
          <x:t xml:space="preserve">평원</x:t>
        </x:is>
      </x:c>
      <x:c r="AC527" s="5" t="inlineStr">
        <x:is>
          <x:t xml:space="preserve">gen5</x:t>
        </x:is>
      </x:c>
      <x:c r="AD527" s="5" t="inlineStr">
        <x:is>
          <x:t xml:space="preserve">.tmp/cobblemon-1.7.3-source/common/src/main/resources/data/cobblemon/species/generation5/zebstrika.json</x:t>
        </x:is>
      </x:c>
    </x:row>
    <x:row r="528" ht="22" customHeight="1">
      <x:c r="A528" s="5" t="n">
        <x:v>524</x:v>
      </x:c>
      <x:c r="B528" s="5" t="inlineStr">
        <x:is>
          <x:t xml:space="preserve">단굴</x:t>
        </x:is>
      </x:c>
      <x:c r="C528" s="5" t="inlineStr">
        <x:is>
          <x:t xml:space="preserve">roggenrola</x:t>
        </x:is>
      </x:c>
      <x:c r="D528" s="5" t="inlineStr">
        <x:is>
          <x:t xml:space="preserve">Roggenrola</x:t>
        </x:is>
      </x:c>
      <x:c r="E528" s="5" t="n">
        <x:v>5</x:v>
      </x:c>
      <x:c r="F528" s="5" t="inlineStr">
        <x:is>
          <x:t xml:space="preserve">바위</x:t>
        </x:is>
      </x:c>
      <x:c r="G528" s="5" t="inlineStr">
        <x:is>
          <x:t xml:space="preserve"/>
        </x:is>
      </x:c>
      <x:c r="H528" s="5" t="n">
        <x:v>0.4</x:v>
      </x:c>
      <x:c r="I528" s="5" t="n">
        <x:v>18</x:v>
      </x:c>
      <x:c r="J528" s="5" t="n">
        <x:v>280</x:v>
      </x:c>
      <x:c r="K528" s="5" t="n">
        <x:v>255</x:v>
      </x:c>
      <x:c r="L528" s="5" t="inlineStr">
        <x:is>
          <x:t xml:space="preserve">기본</x:t>
        </x:is>
      </x:c>
      <x:c r="M528" s="5" t="n">
        <x:v>25</x:v>
      </x:c>
      <x:c r="N528" s="5" t="inlineStr">
        <x:is>
          <x:t xml:space="preserve">레벨·특수</x:t>
        </x:is>
      </x:c>
      <x:c r="O528" s="5" t="inlineStr">
        <x:is>
          <x:t xml:space="preserve">예</x:t>
        </x:is>
      </x:c>
      <x:c r="P528" s="5" t="inlineStr">
        <x:is>
          <x:t xml:space="preserve">#cobblemon:is_deep_dark; #cobblemon:is_overworld</x:t>
        </x:is>
      </x:c>
      <x:c r="Q528" s="5" t="inlineStr">
        <x:is>
          <x:t xml:space="preserve">common; uncommon</x:t>
        </x:is>
      </x:c>
      <x:c r="R528" s="5" t="inlineStr">
        <x:is>
          <x:t xml:space="preserve"/>
        </x:is>
      </x:c>
      <x:c r="S528" s="5" t="inlineStr">
        <x:is>
          <x:t xml:space="preserve"/>
        </x:is>
      </x:c>
      <x:c r="T528" s="5" t="inlineStr">
        <x:is>
          <x:t xml:space="preserve">지하</x:t>
        </x:is>
      </x:c>
      <x:c r="U528" s="5" t="inlineStr">
        <x:is>
          <x:t xml:space="preserve">동굴</x:t>
        </x:is>
      </x:c>
      <x:c r="V528" s="5" t="inlineStr">
        <x:is>
          <x:t xml:space="preserve">온대</x:t>
        </x:is>
      </x:c>
      <x:c r="W528" s="5" t="inlineStr">
        <x:is>
          <x:t xml:space="preserve">보통</x:t>
        </x:is>
      </x:c>
      <x:c r="X528" s="5" t="inlineStr">
        <x:is>
          <x:t xml:space="preserve">무관</x:t>
        </x:is>
      </x:c>
      <x:c r="Y528" s="5" t="inlineStr">
        <x:is>
          <x:t xml:space="preserve">무관</x:t>
        </x:is>
      </x:c>
      <x:c r="Z528" s="5" t="inlineStr">
        <x:is>
          <x:t xml:space="preserve">보통</x:t>
        </x:is>
      </x:c>
      <x:c r="AA528" s="5" t="inlineStr">
        <x:is>
          <x:t xml:space="preserve">동굴</x:t>
        </x:is>
      </x:c>
      <x:c r="AB528" s="5" t="inlineStr">
        <x:is>
          <x:t xml:space="preserve">동굴</x:t>
        </x:is>
      </x:c>
      <x:c r="AC528" s="5" t="inlineStr">
        <x:is>
          <x:t xml:space="preserve">gen5</x:t>
        </x:is>
      </x:c>
      <x:c r="AD528" s="5" t="inlineStr">
        <x:is>
          <x:t xml:space="preserve">.tmp/cobblemon-1.7.3-source/common/src/main/resources/data/cobblemon/species/generation5/roggenrola.json</x:t>
        </x:is>
      </x:c>
    </x:row>
    <x:row r="529" ht="22" customHeight="1">
      <x:c r="A529" s="5" t="n">
        <x:v>525</x:v>
      </x:c>
      <x:c r="B529" s="5" t="inlineStr">
        <x:is>
          <x:t xml:space="preserve">암트르</x:t>
        </x:is>
      </x:c>
      <x:c r="C529" s="5" t="inlineStr">
        <x:is>
          <x:t xml:space="preserve">boldore</x:t>
        </x:is>
      </x:c>
      <x:c r="D529" s="5" t="inlineStr">
        <x:is>
          <x:t xml:space="preserve">Boldore</x:t>
        </x:is>
      </x:c>
      <x:c r="E529" s="5" t="n">
        <x:v>5</x:v>
      </x:c>
      <x:c r="F529" s="5" t="inlineStr">
        <x:is>
          <x:t xml:space="preserve">바위</x:t>
        </x:is>
      </x:c>
      <x:c r="G529" s="5" t="inlineStr">
        <x:is>
          <x:t xml:space="preserve"/>
        </x:is>
      </x:c>
      <x:c r="H529" s="5" t="n">
        <x:v>0.9</x:v>
      </x:c>
      <x:c r="I529" s="5" t="n">
        <x:v>102</x:v>
      </x:c>
      <x:c r="J529" s="5" t="n">
        <x:v>390</x:v>
      </x:c>
      <x:c r="K529" s="5" t="n">
        <x:v>120</x:v>
      </x:c>
      <x:c r="L529" s="5" t="inlineStr">
        <x:is>
          <x:t xml:space="preserve">중간</x:t>
        </x:is>
      </x:c>
      <x:c r="M529" s="5" t="n">
        <x:v>25</x:v>
      </x:c>
      <x:c r="N529" s="5" t="inlineStr">
        <x:is>
          <x:t xml:space="preserve">레벨·특수</x:t>
        </x:is>
      </x:c>
      <x:c r="O529" s="5" t="inlineStr">
        <x:is>
          <x:t xml:space="preserve">예</x:t>
        </x:is>
      </x:c>
      <x:c r="P529" s="5" t="inlineStr">
        <x:is>
          <x:t xml:space="preserve">#cobblemon:is_deep_dark; #cobblemon:is_overworld</x:t>
        </x:is>
      </x:c>
      <x:c r="Q529" s="5" t="inlineStr">
        <x:is>
          <x:t xml:space="preserve">common; uncommon</x:t>
        </x:is>
      </x:c>
      <x:c r="R529" s="5" t="inlineStr">
        <x:is>
          <x:t xml:space="preserve"/>
        </x:is>
      </x:c>
      <x:c r="S529" s="5" t="inlineStr">
        <x:is>
          <x:t xml:space="preserve"/>
        </x:is>
      </x:c>
      <x:c r="T529" s="5" t="inlineStr">
        <x:is>
          <x:t xml:space="preserve">지하</x:t>
        </x:is>
      </x:c>
      <x:c r="U529" s="5" t="inlineStr">
        <x:is>
          <x:t xml:space="preserve">동굴</x:t>
        </x:is>
      </x:c>
      <x:c r="V529" s="5" t="inlineStr">
        <x:is>
          <x:t xml:space="preserve">온대</x:t>
        </x:is>
      </x:c>
      <x:c r="W529" s="5" t="inlineStr">
        <x:is>
          <x:t xml:space="preserve">보통</x:t>
        </x:is>
      </x:c>
      <x:c r="X529" s="5" t="inlineStr">
        <x:is>
          <x:t xml:space="preserve">무관</x:t>
        </x:is>
      </x:c>
      <x:c r="Y529" s="5" t="inlineStr">
        <x:is>
          <x:t xml:space="preserve">무관</x:t>
        </x:is>
      </x:c>
      <x:c r="Z529" s="5" t="inlineStr">
        <x:is>
          <x:t xml:space="preserve">보통</x:t>
        </x:is>
      </x:c>
      <x:c r="AA529" s="5" t="inlineStr">
        <x:is>
          <x:t xml:space="preserve">동굴</x:t>
        </x:is>
      </x:c>
      <x:c r="AB529" s="5" t="inlineStr">
        <x:is>
          <x:t xml:space="preserve">동굴</x:t>
        </x:is>
      </x:c>
      <x:c r="AC529" s="5" t="inlineStr">
        <x:is>
          <x:t xml:space="preserve">gen5</x:t>
        </x:is>
      </x:c>
      <x:c r="AD529" s="5" t="inlineStr">
        <x:is>
          <x:t xml:space="preserve">.tmp/cobblemon-1.7.3-source/common/src/main/resources/data/cobblemon/species/generation5/boldore.json</x:t>
        </x:is>
      </x:c>
    </x:row>
    <x:row r="530" ht="22" customHeight="1">
      <x:c r="A530" s="5" t="n">
        <x:v>526</x:v>
      </x:c>
      <x:c r="B530" s="5" t="inlineStr">
        <x:is>
          <x:t xml:space="preserve">기가이어스</x:t>
        </x:is>
      </x:c>
      <x:c r="C530" s="5" t="inlineStr">
        <x:is>
          <x:t xml:space="preserve">gigalith</x:t>
        </x:is>
      </x:c>
      <x:c r="D530" s="5" t="inlineStr">
        <x:is>
          <x:t xml:space="preserve">Gigalith</x:t>
        </x:is>
      </x:c>
      <x:c r="E530" s="5" t="n">
        <x:v>5</x:v>
      </x:c>
      <x:c r="F530" s="5" t="inlineStr">
        <x:is>
          <x:t xml:space="preserve">바위</x:t>
        </x:is>
      </x:c>
      <x:c r="G530" s="5" t="inlineStr">
        <x:is>
          <x:t xml:space="preserve"/>
        </x:is>
      </x:c>
      <x:c r="H530" s="5" t="n">
        <x:v>1.7</x:v>
      </x:c>
      <x:c r="I530" s="5" t="n">
        <x:v>260</x:v>
      </x:c>
      <x:c r="J530" s="5" t="n">
        <x:v>515</x:v>
      </x:c>
      <x:c r="K530" s="5" t="n">
        <x:v>45</x:v>
      </x:c>
      <x:c r="L530" s="5" t="inlineStr">
        <x:is>
          <x:t xml:space="preserve">최종</x:t>
        </x:is>
      </x:c>
      <x:c r="M530" s="5" t="n">
        <x:v>25</x:v>
      </x:c>
      <x:c r="N530" s="5" t="inlineStr">
        <x:is>
          <x:t xml:space="preserve">레벨·특수</x:t>
        </x:is>
      </x:c>
      <x:c r="O530" s="5" t="inlineStr">
        <x:is>
          <x:t xml:space="preserve">예</x:t>
        </x:is>
      </x:c>
      <x:c r="P530" s="5" t="inlineStr">
        <x:is>
          <x:t xml:space="preserve">#cobblemon:is_deep_dark; #cobblemon:is_overworld</x:t>
        </x:is>
      </x:c>
      <x:c r="Q530" s="5" t="inlineStr">
        <x:is>
          <x:t xml:space="preserve">common; uncommon</x:t>
        </x:is>
      </x:c>
      <x:c r="R530" s="5" t="inlineStr">
        <x:is>
          <x:t xml:space="preserve"/>
        </x:is>
      </x:c>
      <x:c r="S530" s="5" t="inlineStr">
        <x:is>
          <x:t xml:space="preserve"/>
        </x:is>
      </x:c>
      <x:c r="T530" s="5" t="inlineStr">
        <x:is>
          <x:t xml:space="preserve">지하</x:t>
        </x:is>
      </x:c>
      <x:c r="U530" s="5" t="inlineStr">
        <x:is>
          <x:t xml:space="preserve">동굴</x:t>
        </x:is>
      </x:c>
      <x:c r="V530" s="5" t="inlineStr">
        <x:is>
          <x:t xml:space="preserve">온대</x:t>
        </x:is>
      </x:c>
      <x:c r="W530" s="5" t="inlineStr">
        <x:is>
          <x:t xml:space="preserve">보통</x:t>
        </x:is>
      </x:c>
      <x:c r="X530" s="5" t="inlineStr">
        <x:is>
          <x:t xml:space="preserve">무관</x:t>
        </x:is>
      </x:c>
      <x:c r="Y530" s="5" t="inlineStr">
        <x:is>
          <x:t xml:space="preserve">무관</x:t>
        </x:is>
      </x:c>
      <x:c r="Z530" s="5" t="inlineStr">
        <x:is>
          <x:t xml:space="preserve">보통</x:t>
        </x:is>
      </x:c>
      <x:c r="AA530" s="5" t="inlineStr">
        <x:is>
          <x:t xml:space="preserve">동굴</x:t>
        </x:is>
      </x:c>
      <x:c r="AB530" s="5" t="inlineStr">
        <x:is>
          <x:t xml:space="preserve">동굴</x:t>
        </x:is>
      </x:c>
      <x:c r="AC530" s="5" t="inlineStr">
        <x:is>
          <x:t xml:space="preserve">gen5</x:t>
        </x:is>
      </x:c>
      <x:c r="AD530" s="5" t="inlineStr">
        <x:is>
          <x:t xml:space="preserve">.tmp/cobblemon-1.7.3-source/common/src/main/resources/data/cobblemon/species/generation5/gigalith.json</x:t>
        </x:is>
      </x:c>
    </x:row>
    <x:row r="531" ht="22" customHeight="1">
      <x:c r="A531" s="5" t="n">
        <x:v>527</x:v>
      </x:c>
      <x:c r="B531" s="5" t="inlineStr">
        <x:is>
          <x:t xml:space="preserve">또르박쥐</x:t>
        </x:is>
      </x:c>
      <x:c r="C531" s="5" t="inlineStr">
        <x:is>
          <x:t xml:space="preserve">woobat</x:t>
        </x:is>
      </x:c>
      <x:c r="D531" s="5" t="inlineStr">
        <x:is>
          <x:t xml:space="preserve">Woobat</x:t>
        </x:is>
      </x:c>
      <x:c r="E531" s="5" t="n">
        <x:v>5</x:v>
      </x:c>
      <x:c r="F531" s="5" t="inlineStr">
        <x:is>
          <x:t xml:space="preserve">에스퍼</x:t>
        </x:is>
      </x:c>
      <x:c r="G531" s="5" t="inlineStr">
        <x:is>
          <x:t xml:space="preserve">비행</x:t>
        </x:is>
      </x:c>
      <x:c r="H531" s="5" t="n">
        <x:v>0.4</x:v>
      </x:c>
      <x:c r="I531" s="5" t="n">
        <x:v>2.1</x:v>
      </x:c>
      <x:c r="J531" s="5" t="n">
        <x:v>323</x:v>
      </x:c>
      <x:c r="K531" s="5" t="n">
        <x:v>190</x:v>
      </x:c>
      <x:c r="L531" s="5" t="inlineStr">
        <x:is>
          <x:t xml:space="preserve">기본</x:t>
        </x:is>
      </x:c>
      <x:c r="M531" s="5" t="n"/>
      <x:c r="N531" s="5" t="inlineStr">
        <x:is>
          <x:t xml:space="preserve">특수</x:t>
        </x:is>
      </x:c>
      <x:c r="O531" s="5" t="inlineStr">
        <x:is>
          <x:t xml:space="preserve">예</x:t>
        </x:is>
      </x:c>
      <x:c r="P531" s="5" t="inlineStr">
        <x:is>
          <x:t xml:space="preserve">#cobblemon:is_jungle; #cobblemon:is_savanna</x:t>
        </x:is>
      </x:c>
      <x:c r="Q531" s="5" t="inlineStr">
        <x:is>
          <x:t xml:space="preserve">common</x:t>
        </x:is>
      </x:c>
      <x:c r="R531" s="5" t="inlineStr">
        <x:is>
          <x:t xml:space="preserve">night</x:t>
        </x:is>
      </x:c>
      <x:c r="S531" s="5" t="inlineStr">
        <x:is>
          <x:t xml:space="preserve">비=False</x:t>
        </x:is>
      </x:c>
      <x:c r="T531" s="5" t="inlineStr">
        <x:is>
          <x:t xml:space="preserve">비행</x:t>
        </x:is>
      </x:c>
      <x:c r="U531" s="5" t="inlineStr">
        <x:is>
          <x:t xml:space="preserve">수목</x:t>
        </x:is>
      </x:c>
      <x:c r="V531" s="5" t="inlineStr">
        <x:is>
          <x:t xml:space="preserve">온대</x:t>
        </x:is>
      </x:c>
      <x:c r="W531" s="5" t="inlineStr">
        <x:is>
          <x:t xml:space="preserve">다습</x:t>
        </x:is>
      </x:c>
      <x:c r="X531" s="5" t="inlineStr">
        <x:is>
          <x:t xml:space="preserve">무관</x:t>
        </x:is>
      </x:c>
      <x:c r="Y531" s="5" t="inlineStr">
        <x:is>
          <x:t xml:space="preserve">밤</x:t>
        </x:is>
      </x:c>
      <x:c r="Z531" s="5" t="inlineStr">
        <x:is>
          <x:t xml:space="preserve">흔함</x:t>
        </x:is>
      </x:c>
      <x:c r="AA531" s="5" t="inlineStr">
        <x:is>
          <x:t xml:space="preserve">없음</x:t>
        </x:is>
      </x:c>
      <x:c r="AB531" s="5" t="inlineStr">
        <x:is>
          <x:t xml:space="preserve">숲</x:t>
        </x:is>
      </x:c>
      <x:c r="AC531" s="5" t="inlineStr">
        <x:is>
          <x:t xml:space="preserve">gen5</x:t>
        </x:is>
      </x:c>
      <x:c r="AD531" s="5" t="inlineStr">
        <x:is>
          <x:t xml:space="preserve">.tmp/cobblemon-1.7.3-source/common/src/main/resources/data/cobblemon/species/generation5/woobat.json</x:t>
        </x:is>
      </x:c>
    </x:row>
    <x:row r="532" ht="22" customHeight="1">
      <x:c r="A532" s="5" t="n">
        <x:v>528</x:v>
      </x:c>
      <x:c r="B532" s="5" t="inlineStr">
        <x:is>
          <x:t xml:space="preserve">맘박쥐</x:t>
        </x:is>
      </x:c>
      <x:c r="C532" s="5" t="inlineStr">
        <x:is>
          <x:t xml:space="preserve">swoobat</x:t>
        </x:is>
      </x:c>
      <x:c r="D532" s="5" t="inlineStr">
        <x:is>
          <x:t xml:space="preserve">Swoobat</x:t>
        </x:is>
      </x:c>
      <x:c r="E532" s="5" t="n">
        <x:v>5</x:v>
      </x:c>
      <x:c r="F532" s="5" t="inlineStr">
        <x:is>
          <x:t xml:space="preserve">에스퍼</x:t>
        </x:is>
      </x:c>
      <x:c r="G532" s="5" t="inlineStr">
        <x:is>
          <x:t xml:space="preserve">비행</x:t>
        </x:is>
      </x:c>
      <x:c r="H532" s="5" t="n">
        <x:v>0.9</x:v>
      </x:c>
      <x:c r="I532" s="5" t="n">
        <x:v>10.5</x:v>
      </x:c>
      <x:c r="J532" s="5" t="n">
        <x:v>425</x:v>
      </x:c>
      <x:c r="K532" s="5" t="n">
        <x:v>45</x:v>
      </x:c>
      <x:c r="L532" s="5" t="inlineStr">
        <x:is>
          <x:t xml:space="preserve">최종</x:t>
        </x:is>
      </x:c>
      <x:c r="M532" s="5" t="n"/>
      <x:c r="N532" s="5" t="inlineStr">
        <x:is>
          <x:t xml:space="preserve">특수</x:t>
        </x:is>
      </x:c>
      <x:c r="O532" s="5" t="inlineStr">
        <x:is>
          <x:t xml:space="preserve">예</x:t>
        </x:is>
      </x:c>
      <x:c r="P532" s="5" t="inlineStr">
        <x:is>
          <x:t xml:space="preserve">#cobblemon:is_jungle; #cobblemon:is_savanna</x:t>
        </x:is>
      </x:c>
      <x:c r="Q532" s="5" t="inlineStr">
        <x:is>
          <x:t xml:space="preserve">common</x:t>
        </x:is>
      </x:c>
      <x:c r="R532" s="5" t="inlineStr">
        <x:is>
          <x:t xml:space="preserve">night</x:t>
        </x:is>
      </x:c>
      <x:c r="S532" s="5" t="inlineStr">
        <x:is>
          <x:t xml:space="preserve">비=False</x:t>
        </x:is>
      </x:c>
      <x:c r="T532" s="5" t="inlineStr">
        <x:is>
          <x:t xml:space="preserve">비행</x:t>
        </x:is>
      </x:c>
      <x:c r="U532" s="5" t="inlineStr">
        <x:is>
          <x:t xml:space="preserve">수목</x:t>
        </x:is>
      </x:c>
      <x:c r="V532" s="5" t="inlineStr">
        <x:is>
          <x:t xml:space="preserve">온대</x:t>
        </x:is>
      </x:c>
      <x:c r="W532" s="5" t="inlineStr">
        <x:is>
          <x:t xml:space="preserve">다습</x:t>
        </x:is>
      </x:c>
      <x:c r="X532" s="5" t="inlineStr">
        <x:is>
          <x:t xml:space="preserve">무관</x:t>
        </x:is>
      </x:c>
      <x:c r="Y532" s="5" t="inlineStr">
        <x:is>
          <x:t xml:space="preserve">밤</x:t>
        </x:is>
      </x:c>
      <x:c r="Z532" s="5" t="inlineStr">
        <x:is>
          <x:t xml:space="preserve">흔함</x:t>
        </x:is>
      </x:c>
      <x:c r="AA532" s="5" t="inlineStr">
        <x:is>
          <x:t xml:space="preserve">없음</x:t>
        </x:is>
      </x:c>
      <x:c r="AB532" s="5" t="inlineStr">
        <x:is>
          <x:t xml:space="preserve">숲</x:t>
        </x:is>
      </x:c>
      <x:c r="AC532" s="5" t="inlineStr">
        <x:is>
          <x:t xml:space="preserve">gen5</x:t>
        </x:is>
      </x:c>
      <x:c r="AD532" s="5" t="inlineStr">
        <x:is>
          <x:t xml:space="preserve">.tmp/cobblemon-1.7.3-source/common/src/main/resources/data/cobblemon/species/generation5/swoobat.json</x:t>
        </x:is>
      </x:c>
    </x:row>
    <x:row r="533" ht="22" customHeight="1">
      <x:c r="A533" s="5" t="n">
        <x:v>529</x:v>
      </x:c>
      <x:c r="B533" s="5" t="inlineStr">
        <x:is>
          <x:t xml:space="preserve">두더류</x:t>
        </x:is>
      </x:c>
      <x:c r="C533" s="5" t="inlineStr">
        <x:is>
          <x:t xml:space="preserve">drilbur</x:t>
        </x:is>
      </x:c>
      <x:c r="D533" s="5" t="inlineStr">
        <x:is>
          <x:t xml:space="preserve">Drilbur</x:t>
        </x:is>
      </x:c>
      <x:c r="E533" s="5" t="n">
        <x:v>5</x:v>
      </x:c>
      <x:c r="F533" s="5" t="inlineStr">
        <x:is>
          <x:t xml:space="preserve">땅</x:t>
        </x:is>
      </x:c>
      <x:c r="G533" s="5" t="inlineStr">
        <x:is>
          <x:t xml:space="preserve"/>
        </x:is>
      </x:c>
      <x:c r="H533" s="5" t="n">
        <x:v>0.3</x:v>
      </x:c>
      <x:c r="I533" s="5" t="n">
        <x:v>8.5</x:v>
      </x:c>
      <x:c r="J533" s="5" t="n">
        <x:v>328</x:v>
      </x:c>
      <x:c r="K533" s="5" t="n">
        <x:v>120</x:v>
      </x:c>
      <x:c r="L533" s="5" t="inlineStr">
        <x:is>
          <x:t xml:space="preserve">기본</x:t>
        </x:is>
      </x:c>
      <x:c r="M533" s="5" t="n">
        <x:v>31</x:v>
      </x:c>
      <x:c r="N533" s="5" t="inlineStr">
        <x:is>
          <x:t xml:space="preserve">레벨</x:t>
        </x:is>
      </x:c>
      <x:c r="O533" s="5" t="inlineStr">
        <x:is>
          <x:t xml:space="preserve">예</x:t>
        </x:is>
      </x:c>
      <x:c r="P533" s="5" t="inlineStr">
        <x:is>
          <x:t xml:space="preserve">#cobblemon:is_overworld</x:t>
        </x:is>
      </x:c>
      <x:c r="Q533" s="5" t="inlineStr">
        <x:is>
          <x:t xml:space="preserve">common</x:t>
        </x:is>
      </x:c>
      <x:c r="R533" s="5" t="inlineStr">
        <x:is>
          <x:t xml:space="preserve"/>
        </x:is>
      </x:c>
      <x:c r="S533" s="5" t="inlineStr">
        <x:is>
          <x:t xml:space="preserve"/>
        </x:is>
      </x:c>
      <x:c r="T533" s="5" t="inlineStr">
        <x:is>
          <x:t xml:space="preserve">육상</x:t>
        </x:is>
      </x:c>
      <x:c r="U533" s="5" t="inlineStr">
        <x:is>
          <x:t xml:space="preserve">암석</x:t>
        </x:is>
      </x:c>
      <x:c r="V533" s="5" t="inlineStr">
        <x:is>
          <x:t xml:space="preserve">온대</x:t>
        </x:is>
      </x:c>
      <x:c r="W533" s="5" t="inlineStr">
        <x:is>
          <x:t xml:space="preserve">보통</x:t>
        </x:is>
      </x:c>
      <x:c r="X533" s="5" t="inlineStr">
        <x:is>
          <x:t xml:space="preserve">무관</x:t>
        </x:is>
      </x:c>
      <x:c r="Y533" s="5" t="inlineStr">
        <x:is>
          <x:t xml:space="preserve">무관</x:t>
        </x:is>
      </x:c>
      <x:c r="Z533" s="5" t="inlineStr">
        <x:is>
          <x:t xml:space="preserve">흔함</x:t>
        </x:is>
      </x:c>
      <x:c r="AA533" s="5" t="inlineStr">
        <x:is>
          <x:t xml:space="preserve">없음</x:t>
        </x:is>
      </x:c>
      <x:c r="AB533" s="5" t="inlineStr">
        <x:is>
          <x:t xml:space="preserve"/>
        </x:is>
      </x:c>
      <x:c r="AC533" s="5" t="inlineStr">
        <x:is>
          <x:t xml:space="preserve">gen5</x:t>
        </x:is>
      </x:c>
      <x:c r="AD533" s="5" t="inlineStr">
        <x:is>
          <x:t xml:space="preserve">.tmp/cobblemon-1.7.3-source/common/src/main/resources/data/cobblemon/species/generation5/drilbur.json</x:t>
        </x:is>
      </x:c>
    </x:row>
    <x:row r="534" ht="22" customHeight="1">
      <x:c r="A534" s="5" t="n">
        <x:v>530</x:v>
      </x:c>
      <x:c r="B534" s="5" t="inlineStr">
        <x:is>
          <x:t xml:space="preserve">몰드류</x:t>
        </x:is>
      </x:c>
      <x:c r="C534" s="5" t="inlineStr">
        <x:is>
          <x:t xml:space="preserve">excadrill</x:t>
        </x:is>
      </x:c>
      <x:c r="D534" s="5" t="inlineStr">
        <x:is>
          <x:t xml:space="preserve">Excadrill</x:t>
        </x:is>
      </x:c>
      <x:c r="E534" s="5" t="n">
        <x:v>5</x:v>
      </x:c>
      <x:c r="F534" s="5" t="inlineStr">
        <x:is>
          <x:t xml:space="preserve">땅</x:t>
        </x:is>
      </x:c>
      <x:c r="G534" s="5" t="inlineStr">
        <x:is>
          <x:t xml:space="preserve">강철</x:t>
        </x:is>
      </x:c>
      <x:c r="H534" s="5" t="n">
        <x:v>0.7</x:v>
      </x:c>
      <x:c r="I534" s="5" t="n">
        <x:v>40.4</x:v>
      </x:c>
      <x:c r="J534" s="5" t="n">
        <x:v>508</x:v>
      </x:c>
      <x:c r="K534" s="5" t="n">
        <x:v>60</x:v>
      </x:c>
      <x:c r="L534" s="5" t="inlineStr">
        <x:is>
          <x:t xml:space="preserve">최종</x:t>
        </x:is>
      </x:c>
      <x:c r="M534" s="5" t="n">
        <x:v>31</x:v>
      </x:c>
      <x:c r="N534" s="5" t="inlineStr">
        <x:is>
          <x:t xml:space="preserve">레벨</x:t>
        </x:is>
      </x:c>
      <x:c r="O534" s="5" t="inlineStr">
        <x:is>
          <x:t xml:space="preserve">예</x:t>
        </x:is>
      </x:c>
      <x:c r="P534" s="5" t="inlineStr">
        <x:is>
          <x:t xml:space="preserve">#cobblemon:is_overworld</x:t>
        </x:is>
      </x:c>
      <x:c r="Q534" s="5" t="inlineStr">
        <x:is>
          <x:t xml:space="preserve">common</x:t>
        </x:is>
      </x:c>
      <x:c r="R534" s="5" t="inlineStr">
        <x:is>
          <x:t xml:space="preserve"/>
        </x:is>
      </x:c>
      <x:c r="S534" s="5" t="inlineStr">
        <x:is>
          <x:t xml:space="preserve"/>
        </x:is>
      </x:c>
      <x:c r="T534" s="5" t="inlineStr">
        <x:is>
          <x:t xml:space="preserve">육상</x:t>
        </x:is>
      </x:c>
      <x:c r="U534" s="5" t="inlineStr">
        <x:is>
          <x:t xml:space="preserve">암석</x:t>
        </x:is>
      </x:c>
      <x:c r="V534" s="5" t="inlineStr">
        <x:is>
          <x:t xml:space="preserve">온대</x:t>
        </x:is>
      </x:c>
      <x:c r="W534" s="5" t="inlineStr">
        <x:is>
          <x:t xml:space="preserve">보통</x:t>
        </x:is>
      </x:c>
      <x:c r="X534" s="5" t="inlineStr">
        <x:is>
          <x:t xml:space="preserve">무관</x:t>
        </x:is>
      </x:c>
      <x:c r="Y534" s="5" t="inlineStr">
        <x:is>
          <x:t xml:space="preserve">무관</x:t>
        </x:is>
      </x:c>
      <x:c r="Z534" s="5" t="inlineStr">
        <x:is>
          <x:t xml:space="preserve">흔함</x:t>
        </x:is>
      </x:c>
      <x:c r="AA534" s="5" t="inlineStr">
        <x:is>
          <x:t xml:space="preserve">없음</x:t>
        </x:is>
      </x:c>
      <x:c r="AB534" s="5" t="inlineStr">
        <x:is>
          <x:t xml:space="preserve"/>
        </x:is>
      </x:c>
      <x:c r="AC534" s="5" t="inlineStr">
        <x:is>
          <x:t xml:space="preserve">gen5</x:t>
        </x:is>
      </x:c>
      <x:c r="AD534" s="5" t="inlineStr">
        <x:is>
          <x:t xml:space="preserve">.tmp/cobblemon-1.7.3-source/common/src/main/resources/data/cobblemon/species/generation5/excadrill.json</x:t>
        </x:is>
      </x:c>
    </x:row>
    <x:row r="535" ht="22" customHeight="1">
      <x:c r="A535" s="5" t="n">
        <x:v>531</x:v>
      </x:c>
      <x:c r="B535" s="5" t="inlineStr">
        <x:is>
          <x:t xml:space="preserve">다부니</x:t>
        </x:is>
      </x:c>
      <x:c r="C535" s="5" t="inlineStr">
        <x:is>
          <x:t xml:space="preserve">audino</x:t>
        </x:is>
      </x:c>
      <x:c r="D535" s="5" t="inlineStr">
        <x:is>
          <x:t xml:space="preserve">Audino</x:t>
        </x:is>
      </x:c>
      <x:c r="E535" s="5" t="n">
        <x:v>5</x:v>
      </x:c>
      <x:c r="F535" s="5" t="inlineStr">
        <x:is>
          <x:t xml:space="preserve">노말</x:t>
        </x:is>
      </x:c>
      <x:c r="G535" s="5" t="inlineStr">
        <x:is>
          <x:t xml:space="preserve"/>
        </x:is>
      </x:c>
      <x:c r="H535" s="5" t="n">
        <x:v>1.1</x:v>
      </x:c>
      <x:c r="I535" s="5" t="n">
        <x:v>31</x:v>
      </x:c>
      <x:c r="J535" s="5" t="n">
        <x:v>445</x:v>
      </x:c>
      <x:c r="K535" s="5" t="n">
        <x:v>255</x:v>
      </x:c>
      <x:c r="L535" s="5" t="inlineStr">
        <x:is>
          <x:t xml:space="preserve">무진화</x:t>
        </x:is>
      </x:c>
      <x:c r="M535" s="5" t="n"/>
      <x:c r="N535" s="5" t="inlineStr">
        <x:is>
          <x:t xml:space="preserve">없음</x:t>
        </x:is>
      </x:c>
      <x:c r="O535" s="5" t="inlineStr">
        <x:is>
          <x:t xml:space="preserve">아니오</x:t>
        </x:is>
      </x:c>
      <x:c r="P535" s="5" t="inlineStr">
        <x:is>
          <x:t xml:space="preserve">#cobblemon:is_forest; #cobblemon:is_highlands; #cobblemon:is_plains</x:t>
        </x:is>
      </x:c>
      <x:c r="Q535" s="5" t="inlineStr">
        <x:is>
          <x:t xml:space="preserve">rare</x:t>
        </x:is>
      </x:c>
      <x:c r="R535" s="5" t="inlineStr">
        <x:is>
          <x:t xml:space="preserve"/>
        </x:is>
      </x:c>
      <x:c r="S535" s="5" t="inlineStr">
        <x:is>
          <x:t xml:space="preserve"/>
        </x:is>
      </x:c>
      <x:c r="T535" s="5" t="inlineStr">
        <x:is>
          <x:t xml:space="preserve">육상</x:t>
        </x:is>
      </x:c>
      <x:c r="U535" s="5" t="inlineStr">
        <x:is>
          <x:t xml:space="preserve">암석</x:t>
        </x:is>
      </x:c>
      <x:c r="V535" s="5" t="inlineStr">
        <x:is>
          <x:t xml:space="preserve">온대</x:t>
        </x:is>
      </x:c>
      <x:c r="W535" s="5" t="inlineStr">
        <x:is>
          <x:t xml:space="preserve">보통</x:t>
        </x:is>
      </x:c>
      <x:c r="X535" s="5" t="inlineStr">
        <x:is>
          <x:t xml:space="preserve">무관</x:t>
        </x:is>
      </x:c>
      <x:c r="Y535" s="5" t="inlineStr">
        <x:is>
          <x:t xml:space="preserve">무관</x:t>
        </x:is>
      </x:c>
      <x:c r="Z535" s="5" t="inlineStr">
        <x:is>
          <x:t xml:space="preserve">드묾</x:t>
        </x:is>
      </x:c>
      <x:c r="AA535" s="5" t="inlineStr">
        <x:is>
          <x:t xml:space="preserve">없음</x:t>
        </x:is>
      </x:c>
      <x:c r="AB535" s="5" t="inlineStr">
        <x:is>
          <x:t xml:space="preserve">산악</x:t>
        </x:is>
      </x:c>
      <x:c r="AC535" s="5" t="inlineStr">
        <x:is>
          <x:t xml:space="preserve">gen5</x:t>
        </x:is>
      </x:c>
      <x:c r="AD535" s="5" t="inlineStr">
        <x:is>
          <x:t xml:space="preserve">.tmp/cobblemon-1.7.3-source/common/src/main/resources/data/cobblemon/species/generation5/audino.json</x:t>
        </x:is>
      </x:c>
    </x:row>
    <x:row r="536" ht="22" customHeight="1">
      <x:c r="A536" s="5" t="n">
        <x:v>532</x:v>
      </x:c>
      <x:c r="B536" s="5" t="inlineStr">
        <x:is>
          <x:t xml:space="preserve">으랏차</x:t>
        </x:is>
      </x:c>
      <x:c r="C536" s="5" t="inlineStr">
        <x:is>
          <x:t xml:space="preserve">timburr</x:t>
        </x:is>
      </x:c>
      <x:c r="D536" s="5" t="inlineStr">
        <x:is>
          <x:t xml:space="preserve">Timburr</x:t>
        </x:is>
      </x:c>
      <x:c r="E536" s="5" t="n">
        <x:v>5</x:v>
      </x:c>
      <x:c r="F536" s="5" t="inlineStr">
        <x:is>
          <x:t xml:space="preserve">격투</x:t>
        </x:is>
      </x:c>
      <x:c r="G536" s="5" t="inlineStr">
        <x:is>
          <x:t xml:space="preserve"/>
        </x:is>
      </x:c>
      <x:c r="H536" s="5" t="n">
        <x:v>0.6</x:v>
      </x:c>
      <x:c r="I536" s="5" t="n">
        <x:v>12.5</x:v>
      </x:c>
      <x:c r="J536" s="5" t="n">
        <x:v>305</x:v>
      </x:c>
      <x:c r="K536" s="5" t="n">
        <x:v>180</x:v>
      </x:c>
      <x:c r="L536" s="5" t="inlineStr">
        <x:is>
          <x:t xml:space="preserve">기본</x:t>
        </x:is>
      </x:c>
      <x:c r="M536" s="5" t="n">
        <x:v>25</x:v>
      </x:c>
      <x:c r="N536" s="5" t="inlineStr">
        <x:is>
          <x:t xml:space="preserve">레벨·특수</x:t>
        </x:is>
      </x:c>
      <x:c r="O536" s="5" t="inlineStr">
        <x:is>
          <x:t xml:space="preserve">예</x:t>
        </x:is>
      </x:c>
      <x:c r="P536" s="5" t="inlineStr">
        <x:is>
          <x:t xml:space="preserve">#cobblemon:is_overworld</x:t>
        </x:is>
      </x:c>
      <x:c r="Q536" s="5" t="inlineStr">
        <x:is>
          <x:t xml:space="preserve">common</x:t>
        </x:is>
      </x:c>
      <x:c r="R536" s="5" t="inlineStr">
        <x:is>
          <x:t xml:space="preserve"/>
        </x:is>
      </x:c>
      <x:c r="S536" s="5" t="inlineStr">
        <x:is>
          <x:t xml:space="preserve"/>
        </x:is>
      </x:c>
      <x:c r="T536" s="5" t="inlineStr">
        <x:is>
          <x:t xml:space="preserve">육상</x:t>
        </x:is>
      </x:c>
      <x:c r="U536" s="5" t="inlineStr">
        <x:is>
          <x:t xml:space="preserve">개활지</x:t>
        </x:is>
      </x:c>
      <x:c r="V536" s="5" t="inlineStr">
        <x:is>
          <x:t xml:space="preserve">온대</x:t>
        </x:is>
      </x:c>
      <x:c r="W536" s="5" t="inlineStr">
        <x:is>
          <x:t xml:space="preserve">보통</x:t>
        </x:is>
      </x:c>
      <x:c r="X536" s="5" t="inlineStr">
        <x:is>
          <x:t xml:space="preserve">무관</x:t>
        </x:is>
      </x:c>
      <x:c r="Y536" s="5" t="inlineStr">
        <x:is>
          <x:t xml:space="preserve">무관</x:t>
        </x:is>
      </x:c>
      <x:c r="Z536" s="5" t="inlineStr">
        <x:is>
          <x:t xml:space="preserve">흔함</x:t>
        </x:is>
      </x:c>
      <x:c r="AA536" s="5" t="inlineStr">
        <x:is>
          <x:t xml:space="preserve">없음</x:t>
        </x:is>
      </x:c>
      <x:c r="AB536" s="5" t="inlineStr">
        <x:is>
          <x:t xml:space="preserve"/>
        </x:is>
      </x:c>
      <x:c r="AC536" s="5" t="inlineStr">
        <x:is>
          <x:t xml:space="preserve">gen5</x:t>
        </x:is>
      </x:c>
      <x:c r="AD536" s="5" t="inlineStr">
        <x:is>
          <x:t xml:space="preserve">.tmp/cobblemon-1.7.3-source/common/src/main/resources/data/cobblemon/species/generation5/timburr.json</x:t>
        </x:is>
      </x:c>
    </x:row>
    <x:row r="537" ht="22" customHeight="1">
      <x:c r="A537" s="5" t="n">
        <x:v>533</x:v>
      </x:c>
      <x:c r="B537" s="5" t="inlineStr">
        <x:is>
          <x:t xml:space="preserve">토쇠골</x:t>
        </x:is>
      </x:c>
      <x:c r="C537" s="5" t="inlineStr">
        <x:is>
          <x:t xml:space="preserve">gurdurr</x:t>
        </x:is>
      </x:c>
      <x:c r="D537" s="5" t="inlineStr">
        <x:is>
          <x:t xml:space="preserve">Gurdurr</x:t>
        </x:is>
      </x:c>
      <x:c r="E537" s="5" t="n">
        <x:v>5</x:v>
      </x:c>
      <x:c r="F537" s="5" t="inlineStr">
        <x:is>
          <x:t xml:space="preserve">격투</x:t>
        </x:is>
      </x:c>
      <x:c r="G537" s="5" t="inlineStr">
        <x:is>
          <x:t xml:space="preserve"/>
        </x:is>
      </x:c>
      <x:c r="H537" s="5" t="n">
        <x:v>1.2</x:v>
      </x:c>
      <x:c r="I537" s="5" t="n">
        <x:v>40</x:v>
      </x:c>
      <x:c r="J537" s="5" t="n">
        <x:v>405</x:v>
      </x:c>
      <x:c r="K537" s="5" t="n">
        <x:v>90</x:v>
      </x:c>
      <x:c r="L537" s="5" t="inlineStr">
        <x:is>
          <x:t xml:space="preserve">중간</x:t>
        </x:is>
      </x:c>
      <x:c r="M537" s="5" t="n">
        <x:v>25</x:v>
      </x:c>
      <x:c r="N537" s="5" t="inlineStr">
        <x:is>
          <x:t xml:space="preserve">레벨·특수</x:t>
        </x:is>
      </x:c>
      <x:c r="O537" s="5" t="inlineStr">
        <x:is>
          <x:t xml:space="preserve">예</x:t>
        </x:is>
      </x:c>
      <x:c r="P537" s="5" t="inlineStr">
        <x:is>
          <x:t xml:space="preserve">#cobblemon:is_overworld</x:t>
        </x:is>
      </x:c>
      <x:c r="Q537" s="5" t="inlineStr">
        <x:is>
          <x:t xml:space="preserve">common</x:t>
        </x:is>
      </x:c>
      <x:c r="R537" s="5" t="inlineStr">
        <x:is>
          <x:t xml:space="preserve"/>
        </x:is>
      </x:c>
      <x:c r="S537" s="5" t="inlineStr">
        <x:is>
          <x:t xml:space="preserve"/>
        </x:is>
      </x:c>
      <x:c r="T537" s="5" t="inlineStr">
        <x:is>
          <x:t xml:space="preserve">육상</x:t>
        </x:is>
      </x:c>
      <x:c r="U537" s="5" t="inlineStr">
        <x:is>
          <x:t xml:space="preserve">개활지</x:t>
        </x:is>
      </x:c>
      <x:c r="V537" s="5" t="inlineStr">
        <x:is>
          <x:t xml:space="preserve">온대</x:t>
        </x:is>
      </x:c>
      <x:c r="W537" s="5" t="inlineStr">
        <x:is>
          <x:t xml:space="preserve">보통</x:t>
        </x:is>
      </x:c>
      <x:c r="X537" s="5" t="inlineStr">
        <x:is>
          <x:t xml:space="preserve">무관</x:t>
        </x:is>
      </x:c>
      <x:c r="Y537" s="5" t="inlineStr">
        <x:is>
          <x:t xml:space="preserve">무관</x:t>
        </x:is>
      </x:c>
      <x:c r="Z537" s="5" t="inlineStr">
        <x:is>
          <x:t xml:space="preserve">흔함</x:t>
        </x:is>
      </x:c>
      <x:c r="AA537" s="5" t="inlineStr">
        <x:is>
          <x:t xml:space="preserve">없음</x:t>
        </x:is>
      </x:c>
      <x:c r="AB537" s="5" t="inlineStr">
        <x:is>
          <x:t xml:space="preserve"/>
        </x:is>
      </x:c>
      <x:c r="AC537" s="5" t="inlineStr">
        <x:is>
          <x:t xml:space="preserve">gen5</x:t>
        </x:is>
      </x:c>
      <x:c r="AD537" s="5" t="inlineStr">
        <x:is>
          <x:t xml:space="preserve">.tmp/cobblemon-1.7.3-source/common/src/main/resources/data/cobblemon/species/generation5/gurdurr.json</x:t>
        </x:is>
      </x:c>
    </x:row>
    <x:row r="538" ht="22" customHeight="1">
      <x:c r="A538" s="5" t="n">
        <x:v>534</x:v>
      </x:c>
      <x:c r="B538" s="5" t="inlineStr">
        <x:is>
          <x:t xml:space="preserve">노보청</x:t>
        </x:is>
      </x:c>
      <x:c r="C538" s="5" t="inlineStr">
        <x:is>
          <x:t xml:space="preserve">conkeldurr</x:t>
        </x:is>
      </x:c>
      <x:c r="D538" s="5" t="inlineStr">
        <x:is>
          <x:t xml:space="preserve">Conkeldurr</x:t>
        </x:is>
      </x:c>
      <x:c r="E538" s="5" t="n">
        <x:v>5</x:v>
      </x:c>
      <x:c r="F538" s="5" t="inlineStr">
        <x:is>
          <x:t xml:space="preserve">격투</x:t>
        </x:is>
      </x:c>
      <x:c r="G538" s="5" t="inlineStr">
        <x:is>
          <x:t xml:space="preserve"/>
        </x:is>
      </x:c>
      <x:c r="H538" s="5" t="n">
        <x:v>1.4</x:v>
      </x:c>
      <x:c r="I538" s="5" t="n">
        <x:v>87</x:v>
      </x:c>
      <x:c r="J538" s="5" t="n">
        <x:v>505</x:v>
      </x:c>
      <x:c r="K538" s="5" t="n">
        <x:v>45</x:v>
      </x:c>
      <x:c r="L538" s="5" t="inlineStr">
        <x:is>
          <x:t xml:space="preserve">최종</x:t>
        </x:is>
      </x:c>
      <x:c r="M538" s="5" t="n">
        <x:v>25</x:v>
      </x:c>
      <x:c r="N538" s="5" t="inlineStr">
        <x:is>
          <x:t xml:space="preserve">레벨·특수</x:t>
        </x:is>
      </x:c>
      <x:c r="O538" s="5" t="inlineStr">
        <x:is>
          <x:t xml:space="preserve">예</x:t>
        </x:is>
      </x:c>
      <x:c r="P538" s="5" t="inlineStr">
        <x:is>
          <x:t xml:space="preserve">#cobblemon:is_overworld</x:t>
        </x:is>
      </x:c>
      <x:c r="Q538" s="5" t="inlineStr">
        <x:is>
          <x:t xml:space="preserve">common</x:t>
        </x:is>
      </x:c>
      <x:c r="R538" s="5" t="inlineStr">
        <x:is>
          <x:t xml:space="preserve"/>
        </x:is>
      </x:c>
      <x:c r="S538" s="5" t="inlineStr">
        <x:is>
          <x:t xml:space="preserve"/>
        </x:is>
      </x:c>
      <x:c r="T538" s="5" t="inlineStr">
        <x:is>
          <x:t xml:space="preserve">육상</x:t>
        </x:is>
      </x:c>
      <x:c r="U538" s="5" t="inlineStr">
        <x:is>
          <x:t xml:space="preserve">개활지</x:t>
        </x:is>
      </x:c>
      <x:c r="V538" s="5" t="inlineStr">
        <x:is>
          <x:t xml:space="preserve">온대</x:t>
        </x:is>
      </x:c>
      <x:c r="W538" s="5" t="inlineStr">
        <x:is>
          <x:t xml:space="preserve">보통</x:t>
        </x:is>
      </x:c>
      <x:c r="X538" s="5" t="inlineStr">
        <x:is>
          <x:t xml:space="preserve">무관</x:t>
        </x:is>
      </x:c>
      <x:c r="Y538" s="5" t="inlineStr">
        <x:is>
          <x:t xml:space="preserve">무관</x:t>
        </x:is>
      </x:c>
      <x:c r="Z538" s="5" t="inlineStr">
        <x:is>
          <x:t xml:space="preserve">흔함</x:t>
        </x:is>
      </x:c>
      <x:c r="AA538" s="5" t="inlineStr">
        <x:is>
          <x:t xml:space="preserve">없음</x:t>
        </x:is>
      </x:c>
      <x:c r="AB538" s="5" t="inlineStr">
        <x:is>
          <x:t xml:space="preserve"/>
        </x:is>
      </x:c>
      <x:c r="AC538" s="5" t="inlineStr">
        <x:is>
          <x:t xml:space="preserve">gen5</x:t>
        </x:is>
      </x:c>
      <x:c r="AD538" s="5" t="inlineStr">
        <x:is>
          <x:t xml:space="preserve">.tmp/cobblemon-1.7.3-source/common/src/main/resources/data/cobblemon/species/generation5/conkeldurr.json</x:t>
        </x:is>
      </x:c>
    </x:row>
    <x:row r="539" ht="22" customHeight="1">
      <x:c r="A539" s="5" t="n">
        <x:v>535</x:v>
      </x:c>
      <x:c r="B539" s="5" t="inlineStr">
        <x:is>
          <x:t xml:space="preserve">동챙이</x:t>
        </x:is>
      </x:c>
      <x:c r="C539" s="5" t="inlineStr">
        <x:is>
          <x:t xml:space="preserve">tympole</x:t>
        </x:is>
      </x:c>
      <x:c r="D539" s="5" t="inlineStr">
        <x:is>
          <x:t xml:space="preserve">Tympole</x:t>
        </x:is>
      </x:c>
      <x:c r="E539" s="5" t="n">
        <x:v>5</x:v>
      </x:c>
      <x:c r="F539" s="5" t="inlineStr">
        <x:is>
          <x:t xml:space="preserve">물</x:t>
        </x:is>
      </x:c>
      <x:c r="G539" s="5" t="inlineStr">
        <x:is>
          <x:t xml:space="preserve"/>
        </x:is>
      </x:c>
      <x:c r="H539" s="5" t="n">
        <x:v>0.5</x:v>
      </x:c>
      <x:c r="I539" s="5" t="n">
        <x:v>4.5</x:v>
      </x:c>
      <x:c r="J539" s="5" t="n">
        <x:v>294</x:v>
      </x:c>
      <x:c r="K539" s="5" t="n">
        <x:v>255</x:v>
      </x:c>
      <x:c r="L539" s="5" t="inlineStr">
        <x:is>
          <x:t xml:space="preserve">기본</x:t>
        </x:is>
      </x:c>
      <x:c r="M539" s="5" t="n">
        <x:v>36</x:v>
      </x:c>
      <x:c r="N539" s="5" t="inlineStr">
        <x:is>
          <x:t xml:space="preserve">레벨</x:t>
        </x:is>
      </x:c>
      <x:c r="O539" s="5" t="inlineStr">
        <x:is>
          <x:t xml:space="preserve">아니오</x:t>
        </x:is>
      </x:c>
      <x:c r="P539" s="5" t="inlineStr">
        <x:is>
          <x:t xml:space="preserve">#aether:is_aether; #cobblemon:has_block/mud; #cobblemon:is_arid; #cobblemon:is_lush; #cobblemon:is_mushroom; #cobblemon:is_overworld; #cobblemon:is_savanna; #cobblemon:is_swamp</x:t>
        </x:is>
      </x:c>
      <x:c r="Q539" s="5" t="inlineStr">
        <x:is>
          <x:t xml:space="preserve">common; uncommon</x:t>
        </x:is>
      </x:c>
      <x:c r="R539" s="5" t="inlineStr">
        <x:is>
          <x:t xml:space="preserve"/>
        </x:is>
      </x:c>
      <x:c r="S539" s="5" t="inlineStr">
        <x:is>
          <x:t xml:space="preserve">비=True</x:t>
        </x:is>
      </x:c>
      <x:c r="T539" s="5" t="inlineStr">
        <x:is>
          <x:t xml:space="preserve">수륙</x:t>
        </x:is>
      </x:c>
      <x:c r="U539" s="5" t="inlineStr">
        <x:is>
          <x:t xml:space="preserve">습지</x:t>
        </x:is>
      </x:c>
      <x:c r="V539" s="5" t="inlineStr">
        <x:is>
          <x:t xml:space="preserve">온대</x:t>
        </x:is>
      </x:c>
      <x:c r="W539" s="5" t="inlineStr">
        <x:is>
          <x:t xml:space="preserve">다습</x:t>
        </x:is>
      </x:c>
      <x:c r="X539" s="5" t="inlineStr">
        <x:is>
          <x:t xml:space="preserve">비</x:t>
        </x:is>
      </x:c>
      <x:c r="Y539" s="5" t="inlineStr">
        <x:is>
          <x:t xml:space="preserve">무관</x:t>
        </x:is>
      </x:c>
      <x:c r="Z539" s="5" t="inlineStr">
        <x:is>
          <x:t xml:space="preserve">보통</x:t>
        </x:is>
      </x:c>
      <x:c r="AA539" s="5" t="inlineStr">
        <x:is>
          <x:t xml:space="preserve">없음</x:t>
        </x:is>
      </x:c>
      <x:c r="AB539" s="5" t="inlineStr">
        <x:is>
          <x:t xml:space="preserve">습지</x:t>
        </x:is>
      </x:c>
      <x:c r="AC539" s="5" t="inlineStr">
        <x:is>
          <x:t xml:space="preserve">gen5</x:t>
        </x:is>
      </x:c>
      <x:c r="AD539" s="5" t="inlineStr">
        <x:is>
          <x:t xml:space="preserve">.tmp/cobblemon-1.7.3-source/common/src/main/resources/data/cobblemon/species/generation5/tympole.json</x:t>
        </x:is>
      </x:c>
    </x:row>
    <x:row r="540" ht="22" customHeight="1">
      <x:c r="A540" s="5" t="n">
        <x:v>536</x:v>
      </x:c>
      <x:c r="B540" s="5" t="inlineStr">
        <x:is>
          <x:t xml:space="preserve">두까비</x:t>
        </x:is>
      </x:c>
      <x:c r="C540" s="5" t="inlineStr">
        <x:is>
          <x:t xml:space="preserve">palpitoad</x:t>
        </x:is>
      </x:c>
      <x:c r="D540" s="5" t="inlineStr">
        <x:is>
          <x:t xml:space="preserve">Palpitoad</x:t>
        </x:is>
      </x:c>
      <x:c r="E540" s="5" t="n">
        <x:v>5</x:v>
      </x:c>
      <x:c r="F540" s="5" t="inlineStr">
        <x:is>
          <x:t xml:space="preserve">물</x:t>
        </x:is>
      </x:c>
      <x:c r="G540" s="5" t="inlineStr">
        <x:is>
          <x:t xml:space="preserve">땅</x:t>
        </x:is>
      </x:c>
      <x:c r="H540" s="5" t="n">
        <x:v>0.8</x:v>
      </x:c>
      <x:c r="I540" s="5" t="n">
        <x:v>17</x:v>
      </x:c>
      <x:c r="J540" s="5" t="n">
        <x:v>384</x:v>
      </x:c>
      <x:c r="K540" s="5" t="n">
        <x:v>120</x:v>
      </x:c>
      <x:c r="L540" s="5" t="inlineStr">
        <x:is>
          <x:t xml:space="preserve">중간</x:t>
        </x:is>
      </x:c>
      <x:c r="M540" s="5" t="n">
        <x:v>36</x:v>
      </x:c>
      <x:c r="N540" s="5" t="inlineStr">
        <x:is>
          <x:t xml:space="preserve">레벨</x:t>
        </x:is>
      </x:c>
      <x:c r="O540" s="5" t="inlineStr">
        <x:is>
          <x:t xml:space="preserve">아니오</x:t>
        </x:is>
      </x:c>
      <x:c r="P540" s="5" t="inlineStr">
        <x:is>
          <x:t xml:space="preserve">#aether:is_aether; #cobblemon:is_lush; #cobblemon:is_mushroom; #cobblemon:is_overworld; #cobblemon:is_swamp</x:t>
        </x:is>
      </x:c>
      <x:c r="Q540" s="5" t="inlineStr">
        <x:is>
          <x:t xml:space="preserve">common; uncommon</x:t>
        </x:is>
      </x:c>
      <x:c r="R540" s="5" t="inlineStr">
        <x:is>
          <x:t xml:space="preserve"/>
        </x:is>
      </x:c>
      <x:c r="S540" s="5" t="inlineStr">
        <x:is>
          <x:t xml:space="preserve">비=True</x:t>
        </x:is>
      </x:c>
      <x:c r="T540" s="5" t="inlineStr">
        <x:is>
          <x:t xml:space="preserve">수륙</x:t>
        </x:is>
      </x:c>
      <x:c r="U540" s="5" t="inlineStr">
        <x:is>
          <x:t xml:space="preserve">습지</x:t>
        </x:is>
      </x:c>
      <x:c r="V540" s="5" t="inlineStr">
        <x:is>
          <x:t xml:space="preserve">온대</x:t>
        </x:is>
      </x:c>
      <x:c r="W540" s="5" t="inlineStr">
        <x:is>
          <x:t xml:space="preserve">다습</x:t>
        </x:is>
      </x:c>
      <x:c r="X540" s="5" t="inlineStr">
        <x:is>
          <x:t xml:space="preserve">비</x:t>
        </x:is>
      </x:c>
      <x:c r="Y540" s="5" t="inlineStr">
        <x:is>
          <x:t xml:space="preserve">무관</x:t>
        </x:is>
      </x:c>
      <x:c r="Z540" s="5" t="inlineStr">
        <x:is>
          <x:t xml:space="preserve">보통</x:t>
        </x:is>
      </x:c>
      <x:c r="AA540" s="5" t="inlineStr">
        <x:is>
          <x:t xml:space="preserve">없음</x:t>
        </x:is>
      </x:c>
      <x:c r="AB540" s="5" t="inlineStr">
        <x:is>
          <x:t xml:space="preserve">습지</x:t>
        </x:is>
      </x:c>
      <x:c r="AC540" s="5" t="inlineStr">
        <x:is>
          <x:t xml:space="preserve">gen5</x:t>
        </x:is>
      </x:c>
      <x:c r="AD540" s="5" t="inlineStr">
        <x:is>
          <x:t xml:space="preserve">.tmp/cobblemon-1.7.3-source/common/src/main/resources/data/cobblemon/species/generation5/palpitoad.json</x:t>
        </x:is>
      </x:c>
    </x:row>
    <x:row r="541" ht="22" customHeight="1">
      <x:c r="A541" s="5" t="n">
        <x:v>537</x:v>
      </x:c>
      <x:c r="B541" s="5" t="inlineStr">
        <x:is>
          <x:t xml:space="preserve">두빅굴</x:t>
        </x:is>
      </x:c>
      <x:c r="C541" s="5" t="inlineStr">
        <x:is>
          <x:t xml:space="preserve">seismitoad</x:t>
        </x:is>
      </x:c>
      <x:c r="D541" s="5" t="inlineStr">
        <x:is>
          <x:t xml:space="preserve">Seismitoad</x:t>
        </x:is>
      </x:c>
      <x:c r="E541" s="5" t="n">
        <x:v>5</x:v>
      </x:c>
      <x:c r="F541" s="5" t="inlineStr">
        <x:is>
          <x:t xml:space="preserve">물</x:t>
        </x:is>
      </x:c>
      <x:c r="G541" s="5" t="inlineStr">
        <x:is>
          <x:t xml:space="preserve">땅</x:t>
        </x:is>
      </x:c>
      <x:c r="H541" s="5" t="n">
        <x:v>1.5</x:v>
      </x:c>
      <x:c r="I541" s="5" t="n">
        <x:v>62</x:v>
      </x:c>
      <x:c r="J541" s="5" t="n">
        <x:v>509</x:v>
      </x:c>
      <x:c r="K541" s="5" t="n">
        <x:v>45</x:v>
      </x:c>
      <x:c r="L541" s="5" t="inlineStr">
        <x:is>
          <x:t xml:space="preserve">최종</x:t>
        </x:is>
      </x:c>
      <x:c r="M541" s="5" t="n">
        <x:v>36</x:v>
      </x:c>
      <x:c r="N541" s="5" t="inlineStr">
        <x:is>
          <x:t xml:space="preserve">레벨</x:t>
        </x:is>
      </x:c>
      <x:c r="O541" s="5" t="inlineStr">
        <x:is>
          <x:t xml:space="preserve">아니오</x:t>
        </x:is>
      </x:c>
      <x:c r="P541" s="5" t="inlineStr">
        <x:is>
          <x:t xml:space="preserve">#aether:is_aether; #cobblemon:is_lush; #cobblemon:is_mushroom; #cobblemon:is_overworld; #cobblemon:is_swamp</x:t>
        </x:is>
      </x:c>
      <x:c r="Q541" s="5" t="inlineStr">
        <x:is>
          <x:t xml:space="preserve">common; uncommon</x:t>
        </x:is>
      </x:c>
      <x:c r="R541" s="5" t="inlineStr">
        <x:is>
          <x:t xml:space="preserve"/>
        </x:is>
      </x:c>
      <x:c r="S541" s="5" t="inlineStr">
        <x:is>
          <x:t xml:space="preserve">비=True</x:t>
        </x:is>
      </x:c>
      <x:c r="T541" s="5" t="inlineStr">
        <x:is>
          <x:t xml:space="preserve">수륙</x:t>
        </x:is>
      </x:c>
      <x:c r="U541" s="5" t="inlineStr">
        <x:is>
          <x:t xml:space="preserve">습지</x:t>
        </x:is>
      </x:c>
      <x:c r="V541" s="5" t="inlineStr">
        <x:is>
          <x:t xml:space="preserve">온대</x:t>
        </x:is>
      </x:c>
      <x:c r="W541" s="5" t="inlineStr">
        <x:is>
          <x:t xml:space="preserve">다습</x:t>
        </x:is>
      </x:c>
      <x:c r="X541" s="5" t="inlineStr">
        <x:is>
          <x:t xml:space="preserve">비</x:t>
        </x:is>
      </x:c>
      <x:c r="Y541" s="5" t="inlineStr">
        <x:is>
          <x:t xml:space="preserve">무관</x:t>
        </x:is>
      </x:c>
      <x:c r="Z541" s="5" t="inlineStr">
        <x:is>
          <x:t xml:space="preserve">보통</x:t>
        </x:is>
      </x:c>
      <x:c r="AA541" s="5" t="inlineStr">
        <x:is>
          <x:t xml:space="preserve">없음</x:t>
        </x:is>
      </x:c>
      <x:c r="AB541" s="5" t="inlineStr">
        <x:is>
          <x:t xml:space="preserve">습지</x:t>
        </x:is>
      </x:c>
      <x:c r="AC541" s="5" t="inlineStr">
        <x:is>
          <x:t xml:space="preserve">gen5</x:t>
        </x:is>
      </x:c>
      <x:c r="AD541" s="5" t="inlineStr">
        <x:is>
          <x:t xml:space="preserve">.tmp/cobblemon-1.7.3-source/common/src/main/resources/data/cobblemon/species/generation5/seismitoad.json</x:t>
        </x:is>
      </x:c>
    </x:row>
    <x:row r="542" ht="22" customHeight="1">
      <x:c r="A542" s="5" t="n">
        <x:v>538</x:v>
      </x:c>
      <x:c r="B542" s="5" t="inlineStr">
        <x:is>
          <x:t xml:space="preserve">던지미</x:t>
        </x:is>
      </x:c>
      <x:c r="C542" s="5" t="inlineStr">
        <x:is>
          <x:t xml:space="preserve">throh</x:t>
        </x:is>
      </x:c>
      <x:c r="D542" s="5" t="inlineStr">
        <x:is>
          <x:t xml:space="preserve">Throh</x:t>
        </x:is>
      </x:c>
      <x:c r="E542" s="5" t="n">
        <x:v>5</x:v>
      </x:c>
      <x:c r="F542" s="5" t="inlineStr">
        <x:is>
          <x:t xml:space="preserve">격투</x:t>
        </x:is>
      </x:c>
      <x:c r="G542" s="5" t="inlineStr">
        <x:is>
          <x:t xml:space="preserve"/>
        </x:is>
      </x:c>
      <x:c r="H542" s="5" t="n">
        <x:v>1.3</x:v>
      </x:c>
      <x:c r="I542" s="5" t="n">
        <x:v>55.5</x:v>
      </x:c>
      <x:c r="J542" s="5" t="n">
        <x:v>465</x:v>
      </x:c>
      <x:c r="K542" s="5" t="n">
        <x:v>45</x:v>
      </x:c>
      <x:c r="L542" s="5" t="inlineStr">
        <x:is>
          <x:t xml:space="preserve">무진화</x:t>
        </x:is>
      </x:c>
      <x:c r="M542" s="5" t="n"/>
      <x:c r="N542" s="5" t="inlineStr">
        <x:is>
          <x:t xml:space="preserve">없음</x:t>
        </x:is>
      </x:c>
      <x:c r="O542" s="5" t="inlineStr">
        <x:is>
          <x:t xml:space="preserve">예</x:t>
        </x:is>
      </x:c>
      <x:c r="P542" s="5" t="inlineStr">
        <x:is>
          <x:t xml:space="preserve">#cobblemon:is_arid</x:t>
        </x:is>
      </x:c>
      <x:c r="Q542" s="5" t="inlineStr">
        <x:is>
          <x:t xml:space="preserve">rare</x:t>
        </x:is>
      </x:c>
      <x:c r="R542" s="5" t="inlineStr">
        <x:is>
          <x:t xml:space="preserve"/>
        </x:is>
      </x:c>
      <x:c r="S542" s="5" t="inlineStr">
        <x:is>
          <x:t xml:space="preserve"/>
        </x:is>
      </x:c>
      <x:c r="T542" s="5" t="inlineStr">
        <x:is>
          <x:t xml:space="preserve">육상</x:t>
        </x:is>
      </x:c>
      <x:c r="U542" s="5" t="inlineStr">
        <x:is>
          <x:t xml:space="preserve">건조</x:t>
        </x:is>
      </x:c>
      <x:c r="V542" s="5" t="inlineStr">
        <x:is>
          <x:t xml:space="preserve">고온</x:t>
        </x:is>
      </x:c>
      <x:c r="W542" s="5" t="inlineStr">
        <x:is>
          <x:t xml:space="preserve">건조</x:t>
        </x:is>
      </x:c>
      <x:c r="X542" s="5" t="inlineStr">
        <x:is>
          <x:t xml:space="preserve">맑음</x:t>
        </x:is>
      </x:c>
      <x:c r="Y542" s="5" t="inlineStr">
        <x:is>
          <x:t xml:space="preserve">무관</x:t>
        </x:is>
      </x:c>
      <x:c r="Z542" s="5" t="inlineStr">
        <x:is>
          <x:t xml:space="preserve">드묾</x:t>
        </x:is>
      </x:c>
      <x:c r="AA542" s="5" t="inlineStr">
        <x:is>
          <x:t xml:space="preserve">없음</x:t>
        </x:is>
      </x:c>
      <x:c r="AB542" s="5" t="inlineStr">
        <x:is>
          <x:t xml:space="preserve">건조지</x:t>
        </x:is>
      </x:c>
      <x:c r="AC542" s="5" t="inlineStr">
        <x:is>
          <x:t xml:space="preserve">gen5</x:t>
        </x:is>
      </x:c>
      <x:c r="AD542" s="5" t="inlineStr">
        <x:is>
          <x:t xml:space="preserve">.tmp/cobblemon-1.7.3-source/common/src/main/resources/data/cobblemon/species/generation5/throh.json</x:t>
        </x:is>
      </x:c>
    </x:row>
    <x:row r="543" ht="22" customHeight="1">
      <x:c r="A543" s="5" t="n">
        <x:v>539</x:v>
      </x:c>
      <x:c r="B543" s="5" t="inlineStr">
        <x:is>
          <x:t xml:space="preserve">타격귀</x:t>
        </x:is>
      </x:c>
      <x:c r="C543" s="5" t="inlineStr">
        <x:is>
          <x:t xml:space="preserve">sawk</x:t>
        </x:is>
      </x:c>
      <x:c r="D543" s="5" t="inlineStr">
        <x:is>
          <x:t xml:space="preserve">Sawk</x:t>
        </x:is>
      </x:c>
      <x:c r="E543" s="5" t="n">
        <x:v>5</x:v>
      </x:c>
      <x:c r="F543" s="5" t="inlineStr">
        <x:is>
          <x:t xml:space="preserve">격투</x:t>
        </x:is>
      </x:c>
      <x:c r="G543" s="5" t="inlineStr">
        <x:is>
          <x:t xml:space="preserve"/>
        </x:is>
      </x:c>
      <x:c r="H543" s="5" t="n">
        <x:v>1.4</x:v>
      </x:c>
      <x:c r="I543" s="5" t="n">
        <x:v>51</x:v>
      </x:c>
      <x:c r="J543" s="5" t="n">
        <x:v>465</x:v>
      </x:c>
      <x:c r="K543" s="5" t="n">
        <x:v>45</x:v>
      </x:c>
      <x:c r="L543" s="5" t="inlineStr">
        <x:is>
          <x:t xml:space="preserve">무진화</x:t>
        </x:is>
      </x:c>
      <x:c r="M543" s="5" t="n"/>
      <x:c r="N543" s="5" t="inlineStr">
        <x:is>
          <x:t xml:space="preserve">없음</x:t>
        </x:is>
      </x:c>
      <x:c r="O543" s="5" t="inlineStr">
        <x:is>
          <x:t xml:space="preserve">예</x:t>
        </x:is>
      </x:c>
      <x:c r="P543" s="5" t="inlineStr">
        <x:is>
          <x:t xml:space="preserve">#cobblemon:is_arid</x:t>
        </x:is>
      </x:c>
      <x:c r="Q543" s="5" t="inlineStr">
        <x:is>
          <x:t xml:space="preserve">rare</x:t>
        </x:is>
      </x:c>
      <x:c r="R543" s="5" t="inlineStr">
        <x:is>
          <x:t xml:space="preserve"/>
        </x:is>
      </x:c>
      <x:c r="S543" s="5" t="inlineStr">
        <x:is>
          <x:t xml:space="preserve"/>
        </x:is>
      </x:c>
      <x:c r="T543" s="5" t="inlineStr">
        <x:is>
          <x:t xml:space="preserve">육상</x:t>
        </x:is>
      </x:c>
      <x:c r="U543" s="5" t="inlineStr">
        <x:is>
          <x:t xml:space="preserve">건조</x:t>
        </x:is>
      </x:c>
      <x:c r="V543" s="5" t="inlineStr">
        <x:is>
          <x:t xml:space="preserve">고온</x:t>
        </x:is>
      </x:c>
      <x:c r="W543" s="5" t="inlineStr">
        <x:is>
          <x:t xml:space="preserve">건조</x:t>
        </x:is>
      </x:c>
      <x:c r="X543" s="5" t="inlineStr">
        <x:is>
          <x:t xml:space="preserve">맑음</x:t>
        </x:is>
      </x:c>
      <x:c r="Y543" s="5" t="inlineStr">
        <x:is>
          <x:t xml:space="preserve">무관</x:t>
        </x:is>
      </x:c>
      <x:c r="Z543" s="5" t="inlineStr">
        <x:is>
          <x:t xml:space="preserve">드묾</x:t>
        </x:is>
      </x:c>
      <x:c r="AA543" s="5" t="inlineStr">
        <x:is>
          <x:t xml:space="preserve">없음</x:t>
        </x:is>
      </x:c>
      <x:c r="AB543" s="5" t="inlineStr">
        <x:is>
          <x:t xml:space="preserve">건조지</x:t>
        </x:is>
      </x:c>
      <x:c r="AC543" s="5" t="inlineStr">
        <x:is>
          <x:t xml:space="preserve">gen5</x:t>
        </x:is>
      </x:c>
      <x:c r="AD543" s="5" t="inlineStr">
        <x:is>
          <x:t xml:space="preserve">.tmp/cobblemon-1.7.3-source/common/src/main/resources/data/cobblemon/species/generation5/sawk.json</x:t>
        </x:is>
      </x:c>
    </x:row>
    <x:row r="544" ht="22" customHeight="1">
      <x:c r="A544" s="5" t="n">
        <x:v>540</x:v>
      </x:c>
      <x:c r="B544" s="5" t="inlineStr">
        <x:is>
          <x:t xml:space="preserve">두르보</x:t>
        </x:is>
      </x:c>
      <x:c r="C544" s="5" t="inlineStr">
        <x:is>
          <x:t xml:space="preserve">sewaddle</x:t>
        </x:is>
      </x:c>
      <x:c r="D544" s="5" t="inlineStr">
        <x:is>
          <x:t xml:space="preserve">Sewaddle</x:t>
        </x:is>
      </x:c>
      <x:c r="E544" s="5" t="n">
        <x:v>5</x:v>
      </x:c>
      <x:c r="F544" s="5" t="inlineStr">
        <x:is>
          <x:t xml:space="preserve">벌레</x:t>
        </x:is>
      </x:c>
      <x:c r="G544" s="5" t="inlineStr">
        <x:is>
          <x:t xml:space="preserve">풀</x:t>
        </x:is>
      </x:c>
      <x:c r="H544" s="5" t="n">
        <x:v>0.3</x:v>
      </x:c>
      <x:c r="I544" s="5" t="n">
        <x:v>2.5</x:v>
      </x:c>
      <x:c r="J544" s="5" t="n">
        <x:v>310</x:v>
      </x:c>
      <x:c r="K544" s="5" t="n">
        <x:v>255</x:v>
      </x:c>
      <x:c r="L544" s="5" t="inlineStr">
        <x:is>
          <x:t xml:space="preserve">기본</x:t>
        </x:is>
      </x:c>
      <x:c r="M544" s="5" t="n">
        <x:v>20</x:v>
      </x:c>
      <x:c r="N544" s="5" t="inlineStr">
        <x:is>
          <x:t xml:space="preserve">레벨·특수</x:t>
        </x:is>
      </x:c>
      <x:c r="O544" s="5" t="inlineStr">
        <x:is>
          <x:t xml:space="preserve">예</x:t>
        </x:is>
      </x:c>
      <x:c r="P544" s="5" t="inlineStr">
        <x:is>
          <x:t xml:space="preserve">#cobblemon:is_forest</x:t>
        </x:is>
      </x:c>
      <x:c r="Q544" s="5" t="inlineStr">
        <x:is>
          <x:t xml:space="preserve">common</x:t>
        </x:is>
      </x:c>
      <x:c r="R544" s="5" t="inlineStr">
        <x:is>
          <x:t xml:space="preserve"/>
        </x:is>
      </x:c>
      <x:c r="S544" s="5" t="inlineStr">
        <x:is>
          <x:t xml:space="preserve"/>
        </x:is>
      </x:c>
      <x:c r="T544" s="5" t="inlineStr">
        <x:is>
          <x:t xml:space="preserve">육상</x:t>
        </x:is>
      </x:c>
      <x:c r="U544" s="5" t="inlineStr">
        <x:is>
          <x:t xml:space="preserve">수목</x:t>
        </x:is>
      </x:c>
      <x:c r="V544" s="5" t="inlineStr">
        <x:is>
          <x:t xml:space="preserve">온대</x:t>
        </x:is>
      </x:c>
      <x:c r="W544" s="5" t="inlineStr">
        <x:is>
          <x:t xml:space="preserve">보통</x:t>
        </x:is>
      </x:c>
      <x:c r="X544" s="5" t="inlineStr">
        <x:is>
          <x:t xml:space="preserve">무관</x:t>
        </x:is>
      </x:c>
      <x:c r="Y544" s="5" t="inlineStr">
        <x:is>
          <x:t xml:space="preserve">무관</x:t>
        </x:is>
      </x:c>
      <x:c r="Z544" s="5" t="inlineStr">
        <x:is>
          <x:t xml:space="preserve">흔함</x:t>
        </x:is>
      </x:c>
      <x:c r="AA544" s="5" t="inlineStr">
        <x:is>
          <x:t xml:space="preserve">없음</x:t>
        </x:is>
      </x:c>
      <x:c r="AB544" s="5" t="inlineStr">
        <x:is>
          <x:t xml:space="preserve">숲</x:t>
        </x:is>
      </x:c>
      <x:c r="AC544" s="5" t="inlineStr">
        <x:is>
          <x:t xml:space="preserve">gen5</x:t>
        </x:is>
      </x:c>
      <x:c r="AD544" s="5" t="inlineStr">
        <x:is>
          <x:t xml:space="preserve">.tmp/cobblemon-1.7.3-source/common/src/main/resources/data/cobblemon/species/generation5/sewaddle.json</x:t>
        </x:is>
      </x:c>
    </x:row>
    <x:row r="545" ht="22" customHeight="1">
      <x:c r="A545" s="5" t="n">
        <x:v>541</x:v>
      </x:c>
      <x:c r="B545" s="5" t="inlineStr">
        <x:is>
          <x:t xml:space="preserve">두르쿤</x:t>
        </x:is>
      </x:c>
      <x:c r="C545" s="5" t="inlineStr">
        <x:is>
          <x:t xml:space="preserve">swadloon</x:t>
        </x:is>
      </x:c>
      <x:c r="D545" s="5" t="inlineStr">
        <x:is>
          <x:t xml:space="preserve">Swadloon</x:t>
        </x:is>
      </x:c>
      <x:c r="E545" s="5" t="n">
        <x:v>5</x:v>
      </x:c>
      <x:c r="F545" s="5" t="inlineStr">
        <x:is>
          <x:t xml:space="preserve">벌레</x:t>
        </x:is>
      </x:c>
      <x:c r="G545" s="5" t="inlineStr">
        <x:is>
          <x:t xml:space="preserve">풀</x:t>
        </x:is>
      </x:c>
      <x:c r="H545" s="5" t="n">
        <x:v>0.5</x:v>
      </x:c>
      <x:c r="I545" s="5" t="n">
        <x:v>7.3</x:v>
      </x:c>
      <x:c r="J545" s="5" t="n">
        <x:v>380</x:v>
      </x:c>
      <x:c r="K545" s="5" t="n">
        <x:v>120</x:v>
      </x:c>
      <x:c r="L545" s="5" t="inlineStr">
        <x:is>
          <x:t xml:space="preserve">중간</x:t>
        </x:is>
      </x:c>
      <x:c r="M545" s="5" t="n">
        <x:v>20</x:v>
      </x:c>
      <x:c r="N545" s="5" t="inlineStr">
        <x:is>
          <x:t xml:space="preserve">레벨·특수</x:t>
        </x:is>
      </x:c>
      <x:c r="O545" s="5" t="inlineStr">
        <x:is>
          <x:t xml:space="preserve">예</x:t>
        </x:is>
      </x:c>
      <x:c r="P545" s="5" t="inlineStr">
        <x:is>
          <x:t xml:space="preserve">#cobblemon:is_forest</x:t>
        </x:is>
      </x:c>
      <x:c r="Q545" s="5" t="inlineStr">
        <x:is>
          <x:t xml:space="preserve">common</x:t>
        </x:is>
      </x:c>
      <x:c r="R545" s="5" t="inlineStr">
        <x:is>
          <x:t xml:space="preserve"/>
        </x:is>
      </x:c>
      <x:c r="S545" s="5" t="inlineStr">
        <x:is>
          <x:t xml:space="preserve"/>
        </x:is>
      </x:c>
      <x:c r="T545" s="5" t="inlineStr">
        <x:is>
          <x:t xml:space="preserve">육상</x:t>
        </x:is>
      </x:c>
      <x:c r="U545" s="5" t="inlineStr">
        <x:is>
          <x:t xml:space="preserve">수목</x:t>
        </x:is>
      </x:c>
      <x:c r="V545" s="5" t="inlineStr">
        <x:is>
          <x:t xml:space="preserve">온대</x:t>
        </x:is>
      </x:c>
      <x:c r="W545" s="5" t="inlineStr">
        <x:is>
          <x:t xml:space="preserve">보통</x:t>
        </x:is>
      </x:c>
      <x:c r="X545" s="5" t="inlineStr">
        <x:is>
          <x:t xml:space="preserve">무관</x:t>
        </x:is>
      </x:c>
      <x:c r="Y545" s="5" t="inlineStr">
        <x:is>
          <x:t xml:space="preserve">무관</x:t>
        </x:is>
      </x:c>
      <x:c r="Z545" s="5" t="inlineStr">
        <x:is>
          <x:t xml:space="preserve">흔함</x:t>
        </x:is>
      </x:c>
      <x:c r="AA545" s="5" t="inlineStr">
        <x:is>
          <x:t xml:space="preserve">없음</x:t>
        </x:is>
      </x:c>
      <x:c r="AB545" s="5" t="inlineStr">
        <x:is>
          <x:t xml:space="preserve">숲</x:t>
        </x:is>
      </x:c>
      <x:c r="AC545" s="5" t="inlineStr">
        <x:is>
          <x:t xml:space="preserve">gen5</x:t>
        </x:is>
      </x:c>
      <x:c r="AD545" s="5" t="inlineStr">
        <x:is>
          <x:t xml:space="preserve">.tmp/cobblemon-1.7.3-source/common/src/main/resources/data/cobblemon/species/generation5/swadloon.json</x:t>
        </x:is>
      </x:c>
    </x:row>
    <x:row r="546" ht="22" customHeight="1">
      <x:c r="A546" s="5" t="n">
        <x:v>542</x:v>
      </x:c>
      <x:c r="B546" s="5" t="inlineStr">
        <x:is>
          <x:t xml:space="preserve">모아머</x:t>
        </x:is>
      </x:c>
      <x:c r="C546" s="5" t="inlineStr">
        <x:is>
          <x:t xml:space="preserve">leavanny</x:t>
        </x:is>
      </x:c>
      <x:c r="D546" s="5" t="inlineStr">
        <x:is>
          <x:t xml:space="preserve">Leavanny</x:t>
        </x:is>
      </x:c>
      <x:c r="E546" s="5" t="n">
        <x:v>5</x:v>
      </x:c>
      <x:c r="F546" s="5" t="inlineStr">
        <x:is>
          <x:t xml:space="preserve">벌레</x:t>
        </x:is>
      </x:c>
      <x:c r="G546" s="5" t="inlineStr">
        <x:is>
          <x:t xml:space="preserve">풀</x:t>
        </x:is>
      </x:c>
      <x:c r="H546" s="5" t="n">
        <x:v>1.2</x:v>
      </x:c>
      <x:c r="I546" s="5" t="n">
        <x:v>20.5</x:v>
      </x:c>
      <x:c r="J546" s="5" t="n">
        <x:v>500</x:v>
      </x:c>
      <x:c r="K546" s="5" t="n">
        <x:v>45</x:v>
      </x:c>
      <x:c r="L546" s="5" t="inlineStr">
        <x:is>
          <x:t xml:space="preserve">최종</x:t>
        </x:is>
      </x:c>
      <x:c r="M546" s="5" t="n">
        <x:v>20</x:v>
      </x:c>
      <x:c r="N546" s="5" t="inlineStr">
        <x:is>
          <x:t xml:space="preserve">레벨·특수</x:t>
        </x:is>
      </x:c>
      <x:c r="O546" s="5" t="inlineStr">
        <x:is>
          <x:t xml:space="preserve">예</x:t>
        </x:is>
      </x:c>
      <x:c r="P546" s="5" t="inlineStr">
        <x:is>
          <x:t xml:space="preserve">#cobblemon:is_forest</x:t>
        </x:is>
      </x:c>
      <x:c r="Q546" s="5" t="inlineStr">
        <x:is>
          <x:t xml:space="preserve">common</x:t>
        </x:is>
      </x:c>
      <x:c r="R546" s="5" t="inlineStr">
        <x:is>
          <x:t xml:space="preserve"/>
        </x:is>
      </x:c>
      <x:c r="S546" s="5" t="inlineStr">
        <x:is>
          <x:t xml:space="preserve"/>
        </x:is>
      </x:c>
      <x:c r="T546" s="5" t="inlineStr">
        <x:is>
          <x:t xml:space="preserve">육상</x:t>
        </x:is>
      </x:c>
      <x:c r="U546" s="5" t="inlineStr">
        <x:is>
          <x:t xml:space="preserve">수목</x:t>
        </x:is>
      </x:c>
      <x:c r="V546" s="5" t="inlineStr">
        <x:is>
          <x:t xml:space="preserve">온대</x:t>
        </x:is>
      </x:c>
      <x:c r="W546" s="5" t="inlineStr">
        <x:is>
          <x:t xml:space="preserve">보통</x:t>
        </x:is>
      </x:c>
      <x:c r="X546" s="5" t="inlineStr">
        <x:is>
          <x:t xml:space="preserve">무관</x:t>
        </x:is>
      </x:c>
      <x:c r="Y546" s="5" t="inlineStr">
        <x:is>
          <x:t xml:space="preserve">무관</x:t>
        </x:is>
      </x:c>
      <x:c r="Z546" s="5" t="inlineStr">
        <x:is>
          <x:t xml:space="preserve">흔함</x:t>
        </x:is>
      </x:c>
      <x:c r="AA546" s="5" t="inlineStr">
        <x:is>
          <x:t xml:space="preserve">없음</x:t>
        </x:is>
      </x:c>
      <x:c r="AB546" s="5" t="inlineStr">
        <x:is>
          <x:t xml:space="preserve">숲</x:t>
        </x:is>
      </x:c>
      <x:c r="AC546" s="5" t="inlineStr">
        <x:is>
          <x:t xml:space="preserve">gen5</x:t>
        </x:is>
      </x:c>
      <x:c r="AD546" s="5" t="inlineStr">
        <x:is>
          <x:t xml:space="preserve">.tmp/cobblemon-1.7.3-source/common/src/main/resources/data/cobblemon/species/generation5/leavanny.json</x:t>
        </x:is>
      </x:c>
    </x:row>
    <x:row r="547" ht="22" customHeight="1">
      <x:c r="A547" s="5" t="n">
        <x:v>543</x:v>
      </x:c>
      <x:c r="B547" s="5" t="inlineStr">
        <x:is>
          <x:t xml:space="preserve">마디네</x:t>
        </x:is>
      </x:c>
      <x:c r="C547" s="5" t="inlineStr">
        <x:is>
          <x:t xml:space="preserve">venipede</x:t>
        </x:is>
      </x:c>
      <x:c r="D547" s="5" t="inlineStr">
        <x:is>
          <x:t xml:space="preserve">Venipede</x:t>
        </x:is>
      </x:c>
      <x:c r="E547" s="5" t="n">
        <x:v>5</x:v>
      </x:c>
      <x:c r="F547" s="5" t="inlineStr">
        <x:is>
          <x:t xml:space="preserve">벌레</x:t>
        </x:is>
      </x:c>
      <x:c r="G547" s="5" t="inlineStr">
        <x:is>
          <x:t xml:space="preserve">독</x:t>
        </x:is>
      </x:c>
      <x:c r="H547" s="5" t="n">
        <x:v>0.4</x:v>
      </x:c>
      <x:c r="I547" s="5" t="n">
        <x:v>5.3</x:v>
      </x:c>
      <x:c r="J547" s="5" t="n">
        <x:v>260</x:v>
      </x:c>
      <x:c r="K547" s="5" t="n">
        <x:v>255</x:v>
      </x:c>
      <x:c r="L547" s="5" t="inlineStr">
        <x:is>
          <x:t xml:space="preserve">기본</x:t>
        </x:is>
      </x:c>
      <x:c r="M547" s="5" t="n">
        <x:v>30</x:v>
      </x:c>
      <x:c r="N547" s="5" t="inlineStr">
        <x:is>
          <x:t xml:space="preserve">레벨</x:t>
        </x:is>
      </x:c>
      <x:c r="O547" s="5" t="inlineStr">
        <x:is>
          <x:t xml:space="preserve">예</x:t>
        </x:is>
      </x:c>
      <x:c r="P547" s="5" t="inlineStr">
        <x:is>
          <x:t xml:space="preserve">#cobblemon:is_forest; #cobblemon:is_jungle; #cobblemon:is_lush; #cobblemon:is_overworld; #cobblemon:nether/is_forest; #cobblemon:nether/is_fungus</x:t>
        </x:is>
      </x:c>
      <x:c r="Q547" s="5" t="inlineStr">
        <x:is>
          <x:t xml:space="preserve">common</x:t>
        </x:is>
      </x:c>
      <x:c r="R547" s="5" t="inlineStr">
        <x:is>
          <x:t xml:space="preserve">night</x:t>
        </x:is>
      </x:c>
      <x:c r="S547" s="5" t="inlineStr">
        <x:is>
          <x:t xml:space="preserve"/>
        </x:is>
      </x:c>
      <x:c r="T547" s="5" t="inlineStr">
        <x:is>
          <x:t xml:space="preserve">육상</x:t>
        </x:is>
      </x:c>
      <x:c r="U547" s="5" t="inlineStr">
        <x:is>
          <x:t xml:space="preserve">수목</x:t>
        </x:is>
      </x:c>
      <x:c r="V547" s="5" t="inlineStr">
        <x:is>
          <x:t xml:space="preserve">온대</x:t>
        </x:is>
      </x:c>
      <x:c r="W547" s="5" t="inlineStr">
        <x:is>
          <x:t xml:space="preserve">다습</x:t>
        </x:is>
      </x:c>
      <x:c r="X547" s="5" t="inlineStr">
        <x:is>
          <x:t xml:space="preserve">무관</x:t>
        </x:is>
      </x:c>
      <x:c r="Y547" s="5" t="inlineStr">
        <x:is>
          <x:t xml:space="preserve">밤</x:t>
        </x:is>
      </x:c>
      <x:c r="Z547" s="5" t="inlineStr">
        <x:is>
          <x:t xml:space="preserve">흔함</x:t>
        </x:is>
      </x:c>
      <x:c r="AA547" s="5" t="inlineStr">
        <x:is>
          <x:t xml:space="preserve">없음</x:t>
        </x:is>
      </x:c>
      <x:c r="AB547" s="5" t="inlineStr">
        <x:is>
          <x:t xml:space="preserve">숲</x:t>
        </x:is>
      </x:c>
      <x:c r="AC547" s="5" t="inlineStr">
        <x:is>
          <x:t xml:space="preserve">gen5</x:t>
        </x:is>
      </x:c>
      <x:c r="AD547" s="5" t="inlineStr">
        <x:is>
          <x:t xml:space="preserve">.tmp/cobblemon-1.7.3-source/common/src/main/resources/data/cobblemon/species/generation5/venipede.json</x:t>
        </x:is>
      </x:c>
    </x:row>
    <x:row r="548" ht="22" customHeight="1">
      <x:c r="A548" s="5" t="n">
        <x:v>544</x:v>
      </x:c>
      <x:c r="B548" s="5" t="inlineStr">
        <x:is>
          <x:t xml:space="preserve">휠구</x:t>
        </x:is>
      </x:c>
      <x:c r="C548" s="5" t="inlineStr">
        <x:is>
          <x:t xml:space="preserve">whirlipede</x:t>
        </x:is>
      </x:c>
      <x:c r="D548" s="5" t="inlineStr">
        <x:is>
          <x:t xml:space="preserve">Whirlipede</x:t>
        </x:is>
      </x:c>
      <x:c r="E548" s="5" t="n">
        <x:v>5</x:v>
      </x:c>
      <x:c r="F548" s="5" t="inlineStr">
        <x:is>
          <x:t xml:space="preserve">벌레</x:t>
        </x:is>
      </x:c>
      <x:c r="G548" s="5" t="inlineStr">
        <x:is>
          <x:t xml:space="preserve">독</x:t>
        </x:is>
      </x:c>
      <x:c r="H548" s="5" t="n">
        <x:v>1.2</x:v>
      </x:c>
      <x:c r="I548" s="5" t="n">
        <x:v>58.5</x:v>
      </x:c>
      <x:c r="J548" s="5" t="n">
        <x:v>360</x:v>
      </x:c>
      <x:c r="K548" s="5" t="n">
        <x:v>120</x:v>
      </x:c>
      <x:c r="L548" s="5" t="inlineStr">
        <x:is>
          <x:t xml:space="preserve">중간</x:t>
        </x:is>
      </x:c>
      <x:c r="M548" s="5" t="n">
        <x:v>30</x:v>
      </x:c>
      <x:c r="N548" s="5" t="inlineStr">
        <x:is>
          <x:t xml:space="preserve">레벨</x:t>
        </x:is>
      </x:c>
      <x:c r="O548" s="5" t="inlineStr">
        <x:is>
          <x:t xml:space="preserve">예</x:t>
        </x:is>
      </x:c>
      <x:c r="P548" s="5" t="inlineStr">
        <x:is>
          <x:t xml:space="preserve">#cobblemon:is_forest; #cobblemon:is_jungle; #cobblemon:is_lush; #cobblemon:is_overworld; #cobblemon:nether/is_forest; #cobblemon:nether/is_fungus</x:t>
        </x:is>
      </x:c>
      <x:c r="Q548" s="5" t="inlineStr">
        <x:is>
          <x:t xml:space="preserve">common</x:t>
        </x:is>
      </x:c>
      <x:c r="R548" s="5" t="inlineStr">
        <x:is>
          <x:t xml:space="preserve">night</x:t>
        </x:is>
      </x:c>
      <x:c r="S548" s="5" t="inlineStr">
        <x:is>
          <x:t xml:space="preserve"/>
        </x:is>
      </x:c>
      <x:c r="T548" s="5" t="inlineStr">
        <x:is>
          <x:t xml:space="preserve">육상</x:t>
        </x:is>
      </x:c>
      <x:c r="U548" s="5" t="inlineStr">
        <x:is>
          <x:t xml:space="preserve">수목</x:t>
        </x:is>
      </x:c>
      <x:c r="V548" s="5" t="inlineStr">
        <x:is>
          <x:t xml:space="preserve">온대</x:t>
        </x:is>
      </x:c>
      <x:c r="W548" s="5" t="inlineStr">
        <x:is>
          <x:t xml:space="preserve">다습</x:t>
        </x:is>
      </x:c>
      <x:c r="X548" s="5" t="inlineStr">
        <x:is>
          <x:t xml:space="preserve">무관</x:t>
        </x:is>
      </x:c>
      <x:c r="Y548" s="5" t="inlineStr">
        <x:is>
          <x:t xml:space="preserve">밤</x:t>
        </x:is>
      </x:c>
      <x:c r="Z548" s="5" t="inlineStr">
        <x:is>
          <x:t xml:space="preserve">흔함</x:t>
        </x:is>
      </x:c>
      <x:c r="AA548" s="5" t="inlineStr">
        <x:is>
          <x:t xml:space="preserve">없음</x:t>
        </x:is>
      </x:c>
      <x:c r="AB548" s="5" t="inlineStr">
        <x:is>
          <x:t xml:space="preserve">숲</x:t>
        </x:is>
      </x:c>
      <x:c r="AC548" s="5" t="inlineStr">
        <x:is>
          <x:t xml:space="preserve">gen5</x:t>
        </x:is>
      </x:c>
      <x:c r="AD548" s="5" t="inlineStr">
        <x:is>
          <x:t xml:space="preserve">.tmp/cobblemon-1.7.3-source/common/src/main/resources/data/cobblemon/species/generation5/whirlipede.json</x:t>
        </x:is>
      </x:c>
    </x:row>
    <x:row r="549" ht="22" customHeight="1">
      <x:c r="A549" s="5" t="n">
        <x:v>545</x:v>
      </x:c>
      <x:c r="B549" s="5" t="inlineStr">
        <x:is>
          <x:t xml:space="preserve">펜드라</x:t>
        </x:is>
      </x:c>
      <x:c r="C549" s="5" t="inlineStr">
        <x:is>
          <x:t xml:space="preserve">scolipede</x:t>
        </x:is>
      </x:c>
      <x:c r="D549" s="5" t="inlineStr">
        <x:is>
          <x:t xml:space="preserve">Scolipede</x:t>
        </x:is>
      </x:c>
      <x:c r="E549" s="5" t="n">
        <x:v>5</x:v>
      </x:c>
      <x:c r="F549" s="5" t="inlineStr">
        <x:is>
          <x:t xml:space="preserve">벌레</x:t>
        </x:is>
      </x:c>
      <x:c r="G549" s="5" t="inlineStr">
        <x:is>
          <x:t xml:space="preserve">독</x:t>
        </x:is>
      </x:c>
      <x:c r="H549" s="5" t="n">
        <x:v>2.5</x:v>
      </x:c>
      <x:c r="I549" s="5" t="n">
        <x:v>200.5</x:v>
      </x:c>
      <x:c r="J549" s="5" t="n">
        <x:v>485</x:v>
      </x:c>
      <x:c r="K549" s="5" t="n">
        <x:v>45</x:v>
      </x:c>
      <x:c r="L549" s="5" t="inlineStr">
        <x:is>
          <x:t xml:space="preserve">최종</x:t>
        </x:is>
      </x:c>
      <x:c r="M549" s="5" t="n">
        <x:v>30</x:v>
      </x:c>
      <x:c r="N549" s="5" t="inlineStr">
        <x:is>
          <x:t xml:space="preserve">레벨</x:t>
        </x:is>
      </x:c>
      <x:c r="O549" s="5" t="inlineStr">
        <x:is>
          <x:t xml:space="preserve">예</x:t>
        </x:is>
      </x:c>
      <x:c r="P549" s="5" t="inlineStr">
        <x:is>
          <x:t xml:space="preserve">#cobblemon:is_forest; #cobblemon:is_jungle; #cobblemon:is_lush; #cobblemon:is_overworld; #cobblemon:nether/is_forest; #cobblemon:nether/is_fungus</x:t>
        </x:is>
      </x:c>
      <x:c r="Q549" s="5" t="inlineStr">
        <x:is>
          <x:t xml:space="preserve">common</x:t>
        </x:is>
      </x:c>
      <x:c r="R549" s="5" t="inlineStr">
        <x:is>
          <x:t xml:space="preserve">night</x:t>
        </x:is>
      </x:c>
      <x:c r="S549" s="5" t="inlineStr">
        <x:is>
          <x:t xml:space="preserve"/>
        </x:is>
      </x:c>
      <x:c r="T549" s="5" t="inlineStr">
        <x:is>
          <x:t xml:space="preserve">육상</x:t>
        </x:is>
      </x:c>
      <x:c r="U549" s="5" t="inlineStr">
        <x:is>
          <x:t xml:space="preserve">수목</x:t>
        </x:is>
      </x:c>
      <x:c r="V549" s="5" t="inlineStr">
        <x:is>
          <x:t xml:space="preserve">온대</x:t>
        </x:is>
      </x:c>
      <x:c r="W549" s="5" t="inlineStr">
        <x:is>
          <x:t xml:space="preserve">다습</x:t>
        </x:is>
      </x:c>
      <x:c r="X549" s="5" t="inlineStr">
        <x:is>
          <x:t xml:space="preserve">무관</x:t>
        </x:is>
      </x:c>
      <x:c r="Y549" s="5" t="inlineStr">
        <x:is>
          <x:t xml:space="preserve">밤</x:t>
        </x:is>
      </x:c>
      <x:c r="Z549" s="5" t="inlineStr">
        <x:is>
          <x:t xml:space="preserve">흔함</x:t>
        </x:is>
      </x:c>
      <x:c r="AA549" s="5" t="inlineStr">
        <x:is>
          <x:t xml:space="preserve">없음</x:t>
        </x:is>
      </x:c>
      <x:c r="AB549" s="5" t="inlineStr">
        <x:is>
          <x:t xml:space="preserve">숲</x:t>
        </x:is>
      </x:c>
      <x:c r="AC549" s="5" t="inlineStr">
        <x:is>
          <x:t xml:space="preserve">gen5</x:t>
        </x:is>
      </x:c>
      <x:c r="AD549" s="5" t="inlineStr">
        <x:is>
          <x:t xml:space="preserve">.tmp/cobblemon-1.7.3-source/common/src/main/resources/data/cobblemon/species/generation5/scolipede.json</x:t>
        </x:is>
      </x:c>
    </x:row>
    <x:row r="550" ht="22" customHeight="1">
      <x:c r="A550" s="5" t="n">
        <x:v>546</x:v>
      </x:c>
      <x:c r="B550" s="5" t="inlineStr">
        <x:is>
          <x:t xml:space="preserve">소미안</x:t>
        </x:is>
      </x:c>
      <x:c r="C550" s="5" t="inlineStr">
        <x:is>
          <x:t xml:space="preserve">cottonee</x:t>
        </x:is>
      </x:c>
      <x:c r="D550" s="5" t="inlineStr">
        <x:is>
          <x:t xml:space="preserve">Cottonee</x:t>
        </x:is>
      </x:c>
      <x:c r="E550" s="5" t="n">
        <x:v>5</x:v>
      </x:c>
      <x:c r="F550" s="5" t="inlineStr">
        <x:is>
          <x:t xml:space="preserve">풀</x:t>
        </x:is>
      </x:c>
      <x:c r="G550" s="5" t="inlineStr">
        <x:is>
          <x:t xml:space="preserve">페어리</x:t>
        </x:is>
      </x:c>
      <x:c r="H550" s="5" t="n">
        <x:v>0.3</x:v>
      </x:c>
      <x:c r="I550" s="5" t="n">
        <x:v>0.6</x:v>
      </x:c>
      <x:c r="J550" s="5" t="n">
        <x:v>280</x:v>
      </x:c>
      <x:c r="K550" s="5" t="n">
        <x:v>190</x:v>
      </x:c>
      <x:c r="L550" s="5" t="inlineStr">
        <x:is>
          <x:t xml:space="preserve">기본</x:t>
        </x:is>
      </x:c>
      <x:c r="M550" s="5" t="n"/>
      <x:c r="N550" s="5" t="inlineStr">
        <x:is>
          <x:t xml:space="preserve">특수</x:t>
        </x:is>
      </x:c>
      <x:c r="O550" s="5" t="inlineStr">
        <x:is>
          <x:t xml:space="preserve">예</x:t>
        </x:is>
      </x:c>
      <x:c r="P550" s="5" t="inlineStr">
        <x:is>
          <x:t xml:space="preserve">#cobblemon:is_plains; aether:skyroot_grove; aether:skyroot_meadow</x:t>
        </x:is>
      </x:c>
      <x:c r="Q550" s="5" t="inlineStr">
        <x:is>
          <x:t xml:space="preserve">common</x:t>
        </x:is>
      </x:c>
      <x:c r="R550" s="5" t="inlineStr">
        <x:is>
          <x:t xml:space="preserve"/>
        </x:is>
      </x:c>
      <x:c r="S550" s="5" t="inlineStr">
        <x:is>
          <x:t xml:space="preserve">비=False</x:t>
        </x:is>
      </x:c>
      <x:c r="T550" s="5" t="inlineStr">
        <x:is>
          <x:t xml:space="preserve">비행</x:t>
        </x:is>
      </x:c>
      <x:c r="U550" s="5" t="inlineStr">
        <x:is>
          <x:t xml:space="preserve">개활지</x:t>
        </x:is>
      </x:c>
      <x:c r="V550" s="5" t="inlineStr">
        <x:is>
          <x:t xml:space="preserve">온대</x:t>
        </x:is>
      </x:c>
      <x:c r="W550" s="5" t="inlineStr">
        <x:is>
          <x:t xml:space="preserve">보통</x:t>
        </x:is>
      </x:c>
      <x:c r="X550" s="5" t="inlineStr">
        <x:is>
          <x:t xml:space="preserve">무관</x:t>
        </x:is>
      </x:c>
      <x:c r="Y550" s="5" t="inlineStr">
        <x:is>
          <x:t xml:space="preserve">무관</x:t>
        </x:is>
      </x:c>
      <x:c r="Z550" s="5" t="inlineStr">
        <x:is>
          <x:t xml:space="preserve">흔함</x:t>
        </x:is>
      </x:c>
      <x:c r="AA550" s="5" t="inlineStr">
        <x:is>
          <x:t xml:space="preserve">없음</x:t>
        </x:is>
      </x:c>
      <x:c r="AB550" s="5" t="inlineStr">
        <x:is>
          <x:t xml:space="preserve">평원</x:t>
        </x:is>
      </x:c>
      <x:c r="AC550" s="5" t="inlineStr">
        <x:is>
          <x:t xml:space="preserve">gen5</x:t>
        </x:is>
      </x:c>
      <x:c r="AD550" s="5" t="inlineStr">
        <x:is>
          <x:t xml:space="preserve">.tmp/cobblemon-1.7.3-source/common/src/main/resources/data/cobblemon/species/generation5/cottonee.json</x:t>
        </x:is>
      </x:c>
    </x:row>
    <x:row r="551" ht="22" customHeight="1">
      <x:c r="A551" s="5" t="n">
        <x:v>547</x:v>
      </x:c>
      <x:c r="B551" s="5" t="inlineStr">
        <x:is>
          <x:t xml:space="preserve">엘풍</x:t>
        </x:is>
      </x:c>
      <x:c r="C551" s="5" t="inlineStr">
        <x:is>
          <x:t xml:space="preserve">whimsicott</x:t>
        </x:is>
      </x:c>
      <x:c r="D551" s="5" t="inlineStr">
        <x:is>
          <x:t xml:space="preserve">Whimsicott</x:t>
        </x:is>
      </x:c>
      <x:c r="E551" s="5" t="n">
        <x:v>5</x:v>
      </x:c>
      <x:c r="F551" s="5" t="inlineStr">
        <x:is>
          <x:t xml:space="preserve">풀</x:t>
        </x:is>
      </x:c>
      <x:c r="G551" s="5" t="inlineStr">
        <x:is>
          <x:t xml:space="preserve">페어리</x:t>
        </x:is>
      </x:c>
      <x:c r="H551" s="5" t="n">
        <x:v>0.7</x:v>
      </x:c>
      <x:c r="I551" s="5" t="n">
        <x:v>6.6</x:v>
      </x:c>
      <x:c r="J551" s="5" t="n">
        <x:v>480</x:v>
      </x:c>
      <x:c r="K551" s="5" t="n">
        <x:v>75</x:v>
      </x:c>
      <x:c r="L551" s="5" t="inlineStr">
        <x:is>
          <x:t xml:space="preserve">최종</x:t>
        </x:is>
      </x:c>
      <x:c r="M551" s="5" t="n"/>
      <x:c r="N551" s="5" t="inlineStr">
        <x:is>
          <x:t xml:space="preserve">특수</x:t>
        </x:is>
      </x:c>
      <x:c r="O551" s="5" t="inlineStr">
        <x:is>
          <x:t xml:space="preserve">예</x:t>
        </x:is>
      </x:c>
      <x:c r="P551" s="5" t="inlineStr">
        <x:is>
          <x:t xml:space="preserve">#cobblemon:is_plains; aether:skyroot_grove; aether:skyroot_meadow</x:t>
        </x:is>
      </x:c>
      <x:c r="Q551" s="5" t="inlineStr">
        <x:is>
          <x:t xml:space="preserve">common</x:t>
        </x:is>
      </x:c>
      <x:c r="R551" s="5" t="inlineStr">
        <x:is>
          <x:t xml:space="preserve"/>
        </x:is>
      </x:c>
      <x:c r="S551" s="5" t="inlineStr">
        <x:is>
          <x:t xml:space="preserve">비=False</x:t>
        </x:is>
      </x:c>
      <x:c r="T551" s="5" t="inlineStr">
        <x:is>
          <x:t xml:space="preserve">비행</x:t>
        </x:is>
      </x:c>
      <x:c r="U551" s="5" t="inlineStr">
        <x:is>
          <x:t xml:space="preserve">개활지</x:t>
        </x:is>
      </x:c>
      <x:c r="V551" s="5" t="inlineStr">
        <x:is>
          <x:t xml:space="preserve">온대</x:t>
        </x:is>
      </x:c>
      <x:c r="W551" s="5" t="inlineStr">
        <x:is>
          <x:t xml:space="preserve">보통</x:t>
        </x:is>
      </x:c>
      <x:c r="X551" s="5" t="inlineStr">
        <x:is>
          <x:t xml:space="preserve">무관</x:t>
        </x:is>
      </x:c>
      <x:c r="Y551" s="5" t="inlineStr">
        <x:is>
          <x:t xml:space="preserve">무관</x:t>
        </x:is>
      </x:c>
      <x:c r="Z551" s="5" t="inlineStr">
        <x:is>
          <x:t xml:space="preserve">흔함</x:t>
        </x:is>
      </x:c>
      <x:c r="AA551" s="5" t="inlineStr">
        <x:is>
          <x:t xml:space="preserve">없음</x:t>
        </x:is>
      </x:c>
      <x:c r="AB551" s="5" t="inlineStr">
        <x:is>
          <x:t xml:space="preserve">평원</x:t>
        </x:is>
      </x:c>
      <x:c r="AC551" s="5" t="inlineStr">
        <x:is>
          <x:t xml:space="preserve">gen5</x:t>
        </x:is>
      </x:c>
      <x:c r="AD551" s="5" t="inlineStr">
        <x:is>
          <x:t xml:space="preserve">.tmp/cobblemon-1.7.3-source/common/src/main/resources/data/cobblemon/species/generation5/whimsicott.json</x:t>
        </x:is>
      </x:c>
    </x:row>
    <x:row r="552" ht="22" customHeight="1">
      <x:c r="A552" s="5" t="n">
        <x:v>548</x:v>
      </x:c>
      <x:c r="B552" s="5" t="inlineStr">
        <x:is>
          <x:t xml:space="preserve">치릴리</x:t>
        </x:is>
      </x:c>
      <x:c r="C552" s="5" t="inlineStr">
        <x:is>
          <x:t xml:space="preserve">petilil</x:t>
        </x:is>
      </x:c>
      <x:c r="D552" s="5" t="inlineStr">
        <x:is>
          <x:t xml:space="preserve">Petilil</x:t>
        </x:is>
      </x:c>
      <x:c r="E552" s="5" t="n">
        <x:v>5</x:v>
      </x:c>
      <x:c r="F552" s="5" t="inlineStr">
        <x:is>
          <x:t xml:space="preserve">풀</x:t>
        </x:is>
      </x:c>
      <x:c r="G552" s="5" t="inlineStr">
        <x:is>
          <x:t xml:space="preserve"/>
        </x:is>
      </x:c>
      <x:c r="H552" s="5" t="n">
        <x:v>0.5</x:v>
      </x:c>
      <x:c r="I552" s="5" t="n">
        <x:v>6.6</x:v>
      </x:c>
      <x:c r="J552" s="5" t="n">
        <x:v>280</x:v>
      </x:c>
      <x:c r="K552" s="5" t="n">
        <x:v>190</x:v>
      </x:c>
      <x:c r="L552" s="5" t="inlineStr">
        <x:is>
          <x:t xml:space="preserve">기본</x:t>
        </x:is>
      </x:c>
      <x:c r="M552" s="5" t="n"/>
      <x:c r="N552" s="5" t="inlineStr">
        <x:is>
          <x:t xml:space="preserve">특수</x:t>
        </x:is>
      </x:c>
      <x:c r="O552" s="5" t="inlineStr">
        <x:is>
          <x:t xml:space="preserve">예</x:t>
        </x:is>
      </x:c>
      <x:c r="P552" s="5" t="inlineStr">
        <x:is>
          <x:t xml:space="preserve">#aether:is_aether; #cobblemon:is_floral; #cobblemon:is_forest; #cobblemon:is_hills; #cobblemon:is_tropical_island; the_bumblezone:floral_meadow</x:t>
        </x:is>
      </x:c>
      <x:c r="Q552" s="5" t="inlineStr">
        <x:is>
          <x:t xml:space="preserve">common</x:t>
        </x:is>
      </x:c>
      <x:c r="R552" s="5" t="inlineStr">
        <x:is>
          <x:t xml:space="preserve"/>
        </x:is>
      </x:c>
      <x:c r="S552" s="5" t="inlineStr">
        <x:is>
          <x:t xml:space="preserve"/>
        </x:is>
      </x:c>
      <x:c r="T552" s="5" t="inlineStr">
        <x:is>
          <x:t xml:space="preserve">육상</x:t>
        </x:is>
      </x:c>
      <x:c r="U552" s="5" t="inlineStr">
        <x:is>
          <x:t xml:space="preserve">암석</x:t>
        </x:is>
      </x:c>
      <x:c r="V552" s="5" t="inlineStr">
        <x:is>
          <x:t xml:space="preserve">온대</x:t>
        </x:is>
      </x:c>
      <x:c r="W552" s="5" t="inlineStr">
        <x:is>
          <x:t xml:space="preserve">보통</x:t>
        </x:is>
      </x:c>
      <x:c r="X552" s="5" t="inlineStr">
        <x:is>
          <x:t xml:space="preserve">무관</x:t>
        </x:is>
      </x:c>
      <x:c r="Y552" s="5" t="inlineStr">
        <x:is>
          <x:t xml:space="preserve">무관</x:t>
        </x:is>
      </x:c>
      <x:c r="Z552" s="5" t="inlineStr">
        <x:is>
          <x:t xml:space="preserve">흔함</x:t>
        </x:is>
      </x:c>
      <x:c r="AA552" s="5" t="inlineStr">
        <x:is>
          <x:t xml:space="preserve">없음</x:t>
        </x:is>
      </x:c>
      <x:c r="AB552" s="5" t="inlineStr">
        <x:is>
          <x:t xml:space="preserve">산악</x:t>
        </x:is>
      </x:c>
      <x:c r="AC552" s="5" t="inlineStr">
        <x:is>
          <x:t xml:space="preserve">gen5; unovan_form</x:t>
        </x:is>
      </x:c>
      <x:c r="AD552" s="5" t="inlineStr">
        <x:is>
          <x:t xml:space="preserve">.tmp/cobblemon-1.7.3-source/common/src/main/resources/data/cobblemon/species/generation5/petilil.json</x:t>
        </x:is>
      </x:c>
    </x:row>
    <x:row r="553" ht="22" customHeight="1">
      <x:c r="A553" s="5" t="n">
        <x:v>549</x:v>
      </x:c>
      <x:c r="B553" s="5" t="inlineStr">
        <x:is>
          <x:t xml:space="preserve">드레디어</x:t>
        </x:is>
      </x:c>
      <x:c r="C553" s="5" t="inlineStr">
        <x:is>
          <x:t xml:space="preserve">lilligant</x:t>
        </x:is>
      </x:c>
      <x:c r="D553" s="5" t="inlineStr">
        <x:is>
          <x:t xml:space="preserve">Lilligant</x:t>
        </x:is>
      </x:c>
      <x:c r="E553" s="5" t="n">
        <x:v>5</x:v>
      </x:c>
      <x:c r="F553" s="5" t="inlineStr">
        <x:is>
          <x:t xml:space="preserve">풀</x:t>
        </x:is>
      </x:c>
      <x:c r="G553" s="5" t="inlineStr">
        <x:is>
          <x:t xml:space="preserve"/>
        </x:is>
      </x:c>
      <x:c r="H553" s="5" t="n">
        <x:v>1.1</x:v>
      </x:c>
      <x:c r="I553" s="5" t="n">
        <x:v>16.3</x:v>
      </x:c>
      <x:c r="J553" s="5" t="n">
        <x:v>480</x:v>
      </x:c>
      <x:c r="K553" s="5" t="n">
        <x:v>75</x:v>
      </x:c>
      <x:c r="L553" s="5" t="inlineStr">
        <x:is>
          <x:t xml:space="preserve">최종</x:t>
        </x:is>
      </x:c>
      <x:c r="M553" s="5" t="n"/>
      <x:c r="N553" s="5" t="inlineStr">
        <x:is>
          <x:t xml:space="preserve">특수</x:t>
        </x:is>
      </x:c>
      <x:c r="O553" s="5" t="inlineStr">
        <x:is>
          <x:t xml:space="preserve">예</x:t>
        </x:is>
      </x:c>
      <x:c r="P553" s="5" t="inlineStr">
        <x:is>
          <x:t xml:space="preserve">#aether:is_aether; #cobblemon:is_floral; #cobblemon:is_forest; #cobblemon:is_hills; #cobblemon:is_tropical_island; the_bumblezone:floral_meadow</x:t>
        </x:is>
      </x:c>
      <x:c r="Q553" s="5" t="inlineStr">
        <x:is>
          <x:t xml:space="preserve">common</x:t>
        </x:is>
      </x:c>
      <x:c r="R553" s="5" t="inlineStr">
        <x:is>
          <x:t xml:space="preserve"/>
        </x:is>
      </x:c>
      <x:c r="S553" s="5" t="inlineStr">
        <x:is>
          <x:t xml:space="preserve"/>
        </x:is>
      </x:c>
      <x:c r="T553" s="5" t="inlineStr">
        <x:is>
          <x:t xml:space="preserve">육상</x:t>
        </x:is>
      </x:c>
      <x:c r="U553" s="5" t="inlineStr">
        <x:is>
          <x:t xml:space="preserve">암석</x:t>
        </x:is>
      </x:c>
      <x:c r="V553" s="5" t="inlineStr">
        <x:is>
          <x:t xml:space="preserve">온대</x:t>
        </x:is>
      </x:c>
      <x:c r="W553" s="5" t="inlineStr">
        <x:is>
          <x:t xml:space="preserve">보통</x:t>
        </x:is>
      </x:c>
      <x:c r="X553" s="5" t="inlineStr">
        <x:is>
          <x:t xml:space="preserve">무관</x:t>
        </x:is>
      </x:c>
      <x:c r="Y553" s="5" t="inlineStr">
        <x:is>
          <x:t xml:space="preserve">무관</x:t>
        </x:is>
      </x:c>
      <x:c r="Z553" s="5" t="inlineStr">
        <x:is>
          <x:t xml:space="preserve">흔함</x:t>
        </x:is>
      </x:c>
      <x:c r="AA553" s="5" t="inlineStr">
        <x:is>
          <x:t xml:space="preserve">없음</x:t>
        </x:is>
      </x:c>
      <x:c r="AB553" s="5" t="inlineStr">
        <x:is>
          <x:t xml:space="preserve">산악</x:t>
        </x:is>
      </x:c>
      <x:c r="AC553" s="5" t="inlineStr">
        <x:is>
          <x:t xml:space="preserve">gen5; unovan_form</x:t>
        </x:is>
      </x:c>
      <x:c r="AD553" s="5" t="inlineStr">
        <x:is>
          <x:t xml:space="preserve">.tmp/cobblemon-1.7.3-source/common/src/main/resources/data/cobblemon/species/generation5/lilligant.json</x:t>
        </x:is>
      </x:c>
    </x:row>
    <x:row r="554" ht="22" customHeight="1">
      <x:c r="A554" s="5" t="n">
        <x:v>550</x:v>
      </x:c>
      <x:c r="B554" s="5" t="inlineStr">
        <x:is>
          <x:t xml:space="preserve">배쓰나이</x:t>
        </x:is>
      </x:c>
      <x:c r="C554" s="5" t="inlineStr">
        <x:is>
          <x:t xml:space="preserve">basculin</x:t>
        </x:is>
      </x:c>
      <x:c r="D554" s="5" t="inlineStr">
        <x:is>
          <x:t xml:space="preserve">Basculin</x:t>
        </x:is>
      </x:c>
      <x:c r="E554" s="5" t="n">
        <x:v>5</x:v>
      </x:c>
      <x:c r="F554" s="5" t="inlineStr">
        <x:is>
          <x:t xml:space="preserve">물</x:t>
        </x:is>
      </x:c>
      <x:c r="G554" s="5" t="inlineStr">
        <x:is>
          <x:t xml:space="preserve"/>
        </x:is>
      </x:c>
      <x:c r="H554" s="5" t="n">
        <x:v>1</x:v>
      </x:c>
      <x:c r="I554" s="5" t="n">
        <x:v>18</x:v>
      </x:c>
      <x:c r="J554" s="5" t="n">
        <x:v>460</x:v>
      </x:c>
      <x:c r="K554" s="5" t="n">
        <x:v>190</x:v>
      </x:c>
      <x:c r="L554" s="5" t="inlineStr">
        <x:is>
          <x:t xml:space="preserve">무진화</x:t>
        </x:is>
      </x:c>
      <x:c r="M554" s="5" t="n"/>
      <x:c r="N554" s="5" t="inlineStr">
        <x:is>
          <x:t xml:space="preserve">없음</x:t>
        </x:is>
      </x:c>
      <x:c r="O554" s="5" t="inlineStr">
        <x:is>
          <x:t xml:space="preserve">예</x:t>
        </x:is>
      </x:c>
      <x:c r="P554" s="5" t="inlineStr">
        <x:is>
          <x:t xml:space="preserve">#cobblemon:is_arid; #cobblemon:is_forest; #cobblemon:is_freshwater; #cobblemon:is_grassland; #cobblemon:is_jungle; #cobblemon:is_mountain; #cobblemon:is_snowy_forest; #cobblemon:is_taiga; #cobblemon:is_tundra</x:t>
        </x:is>
      </x:c>
      <x:c r="Q554" s="5" t="inlineStr">
        <x:is>
          <x:t xml:space="preserve">common</x:t>
        </x:is>
      </x:c>
      <x:c r="R554" s="5" t="inlineStr">
        <x:is>
          <x:t xml:space="preserve"/>
        </x:is>
      </x:c>
      <x:c r="S554" s="5" t="inlineStr">
        <x:is>
          <x:t xml:space="preserve"/>
        </x:is>
      </x:c>
      <x:c r="T554" s="5" t="inlineStr">
        <x:is>
          <x:t xml:space="preserve">담수</x:t>
        </x:is>
      </x:c>
      <x:c r="U554" s="5" t="inlineStr">
        <x:is>
          <x:t xml:space="preserve">담수</x:t>
        </x:is>
      </x:c>
      <x:c r="V554" s="5" t="inlineStr">
        <x:is>
          <x:t xml:space="preserve">서늘</x:t>
        </x:is>
      </x:c>
      <x:c r="W554" s="5" t="inlineStr">
        <x:is>
          <x:t xml:space="preserve">수중</x:t>
        </x:is>
      </x:c>
      <x:c r="X554" s="5" t="inlineStr">
        <x:is>
          <x:t xml:space="preserve">비</x:t>
        </x:is>
      </x:c>
      <x:c r="Y554" s="5" t="inlineStr">
        <x:is>
          <x:t xml:space="preserve">무관</x:t>
        </x:is>
      </x:c>
      <x:c r="Z554" s="5" t="inlineStr">
        <x:is>
          <x:t xml:space="preserve">흔함</x:t>
        </x:is>
      </x:c>
      <x:c r="AA554" s="5" t="inlineStr">
        <x:is>
          <x:t xml:space="preserve">없음</x:t>
        </x:is>
      </x:c>
      <x:c r="AB554" s="5" t="inlineStr">
        <x:is>
          <x:t xml:space="preserve">담수</x:t>
        </x:is>
      </x:c>
      <x:c r="AC554" s="5" t="inlineStr">
        <x:is>
          <x:t xml:space="preserve">gen5; unovan_form</x:t>
        </x:is>
      </x:c>
      <x:c r="AD554" s="5" t="inlineStr">
        <x:is>
          <x:t xml:space="preserve">.tmp/cobblemon-1.7.3-source/common/src/main/resources/data/cobblemon/species/generation5/basculin.json</x:t>
        </x:is>
      </x:c>
    </x:row>
    <x:row r="555" ht="22" customHeight="1">
      <x:c r="A555" s="5" t="n">
        <x:v>551</x:v>
      </x:c>
      <x:c r="B555" s="5" t="inlineStr">
        <x:is>
          <x:t xml:space="preserve">깜눈크</x:t>
        </x:is>
      </x:c>
      <x:c r="C555" s="5" t="inlineStr">
        <x:is>
          <x:t xml:space="preserve">sandile</x:t>
        </x:is>
      </x:c>
      <x:c r="D555" s="5" t="inlineStr">
        <x:is>
          <x:t xml:space="preserve">Sandile</x:t>
        </x:is>
      </x:c>
      <x:c r="E555" s="5" t="n">
        <x:v>5</x:v>
      </x:c>
      <x:c r="F555" s="5" t="inlineStr">
        <x:is>
          <x:t xml:space="preserve">땅</x:t>
        </x:is>
      </x:c>
      <x:c r="G555" s="5" t="inlineStr">
        <x:is>
          <x:t xml:space="preserve">악</x:t>
        </x:is>
      </x:c>
      <x:c r="H555" s="5" t="n">
        <x:v>0.7</x:v>
      </x:c>
      <x:c r="I555" s="5" t="n">
        <x:v>15.2</x:v>
      </x:c>
      <x:c r="J555" s="5" t="n">
        <x:v>292</x:v>
      </x:c>
      <x:c r="K555" s="5" t="n">
        <x:v>180</x:v>
      </x:c>
      <x:c r="L555" s="5" t="inlineStr">
        <x:is>
          <x:t xml:space="preserve">기본</x:t>
        </x:is>
      </x:c>
      <x:c r="M555" s="5" t="n">
        <x:v>40</x:v>
      </x:c>
      <x:c r="N555" s="5" t="inlineStr">
        <x:is>
          <x:t xml:space="preserve">레벨</x:t>
        </x:is>
      </x:c>
      <x:c r="O555" s="5" t="inlineStr">
        <x:is>
          <x:t xml:space="preserve">예</x:t>
        </x:is>
      </x:c>
      <x:c r="P555" s="5" t="inlineStr">
        <x:is>
          <x:t xml:space="preserve">#cobblemon:is_desert</x:t>
        </x:is>
      </x:c>
      <x:c r="Q555" s="5" t="inlineStr">
        <x:is>
          <x:t xml:space="preserve">common</x:t>
        </x:is>
      </x:c>
      <x:c r="R555" s="5" t="inlineStr">
        <x:is>
          <x:t xml:space="preserve"/>
        </x:is>
      </x:c>
      <x:c r="S555" s="5" t="inlineStr">
        <x:is>
          <x:t xml:space="preserve"/>
        </x:is>
      </x:c>
      <x:c r="T555" s="5" t="inlineStr">
        <x:is>
          <x:t xml:space="preserve">육상</x:t>
        </x:is>
      </x:c>
      <x:c r="U555" s="5" t="inlineStr">
        <x:is>
          <x:t xml:space="preserve">건조</x:t>
        </x:is>
      </x:c>
      <x:c r="V555" s="5" t="inlineStr">
        <x:is>
          <x:t xml:space="preserve">고온</x:t>
        </x:is>
      </x:c>
      <x:c r="W555" s="5" t="inlineStr">
        <x:is>
          <x:t xml:space="preserve">건조</x:t>
        </x:is>
      </x:c>
      <x:c r="X555" s="5" t="inlineStr">
        <x:is>
          <x:t xml:space="preserve">맑음</x:t>
        </x:is>
      </x:c>
      <x:c r="Y555" s="5" t="inlineStr">
        <x:is>
          <x:t xml:space="preserve">밤</x:t>
        </x:is>
      </x:c>
      <x:c r="Z555" s="5" t="inlineStr">
        <x:is>
          <x:t xml:space="preserve">흔함</x:t>
        </x:is>
      </x:c>
      <x:c r="AA555" s="5" t="inlineStr">
        <x:is>
          <x:t xml:space="preserve">없음</x:t>
        </x:is>
      </x:c>
      <x:c r="AB555" s="5" t="inlineStr">
        <x:is>
          <x:t xml:space="preserve">건조지</x:t>
        </x:is>
      </x:c>
      <x:c r="AC555" s="5" t="inlineStr">
        <x:is>
          <x:t xml:space="preserve">gen5</x:t>
        </x:is>
      </x:c>
      <x:c r="AD555" s="5" t="inlineStr">
        <x:is>
          <x:t xml:space="preserve">.tmp/cobblemon-1.7.3-source/common/src/main/resources/data/cobblemon/species/generation5/sandile.json</x:t>
        </x:is>
      </x:c>
    </x:row>
    <x:row r="556" ht="22" customHeight="1">
      <x:c r="A556" s="5" t="n">
        <x:v>552</x:v>
      </x:c>
      <x:c r="B556" s="5" t="inlineStr">
        <x:is>
          <x:t xml:space="preserve">악비르</x:t>
        </x:is>
      </x:c>
      <x:c r="C556" s="5" t="inlineStr">
        <x:is>
          <x:t xml:space="preserve">krokorok</x:t>
        </x:is>
      </x:c>
      <x:c r="D556" s="5" t="inlineStr">
        <x:is>
          <x:t xml:space="preserve">Krokorok</x:t>
        </x:is>
      </x:c>
      <x:c r="E556" s="5" t="n">
        <x:v>5</x:v>
      </x:c>
      <x:c r="F556" s="5" t="inlineStr">
        <x:is>
          <x:t xml:space="preserve">땅</x:t>
        </x:is>
      </x:c>
      <x:c r="G556" s="5" t="inlineStr">
        <x:is>
          <x:t xml:space="preserve">악</x:t>
        </x:is>
      </x:c>
      <x:c r="H556" s="5" t="n">
        <x:v>1</x:v>
      </x:c>
      <x:c r="I556" s="5" t="n">
        <x:v>33.4</x:v>
      </x:c>
      <x:c r="J556" s="5" t="n">
        <x:v>351</x:v>
      </x:c>
      <x:c r="K556" s="5" t="n">
        <x:v>90</x:v>
      </x:c>
      <x:c r="L556" s="5" t="inlineStr">
        <x:is>
          <x:t xml:space="preserve">중간</x:t>
        </x:is>
      </x:c>
      <x:c r="M556" s="5" t="n">
        <x:v>40</x:v>
      </x:c>
      <x:c r="N556" s="5" t="inlineStr">
        <x:is>
          <x:t xml:space="preserve">레벨</x:t>
        </x:is>
      </x:c>
      <x:c r="O556" s="5" t="inlineStr">
        <x:is>
          <x:t xml:space="preserve">예</x:t>
        </x:is>
      </x:c>
      <x:c r="P556" s="5" t="inlineStr">
        <x:is>
          <x:t xml:space="preserve">#cobblemon:is_desert</x:t>
        </x:is>
      </x:c>
      <x:c r="Q556" s="5" t="inlineStr">
        <x:is>
          <x:t xml:space="preserve">common</x:t>
        </x:is>
      </x:c>
      <x:c r="R556" s="5" t="inlineStr">
        <x:is>
          <x:t xml:space="preserve"/>
        </x:is>
      </x:c>
      <x:c r="S556" s="5" t="inlineStr">
        <x:is>
          <x:t xml:space="preserve"/>
        </x:is>
      </x:c>
      <x:c r="T556" s="5" t="inlineStr">
        <x:is>
          <x:t xml:space="preserve">육상</x:t>
        </x:is>
      </x:c>
      <x:c r="U556" s="5" t="inlineStr">
        <x:is>
          <x:t xml:space="preserve">건조</x:t>
        </x:is>
      </x:c>
      <x:c r="V556" s="5" t="inlineStr">
        <x:is>
          <x:t xml:space="preserve">고온</x:t>
        </x:is>
      </x:c>
      <x:c r="W556" s="5" t="inlineStr">
        <x:is>
          <x:t xml:space="preserve">건조</x:t>
        </x:is>
      </x:c>
      <x:c r="X556" s="5" t="inlineStr">
        <x:is>
          <x:t xml:space="preserve">맑음</x:t>
        </x:is>
      </x:c>
      <x:c r="Y556" s="5" t="inlineStr">
        <x:is>
          <x:t xml:space="preserve">밤</x:t>
        </x:is>
      </x:c>
      <x:c r="Z556" s="5" t="inlineStr">
        <x:is>
          <x:t xml:space="preserve">흔함</x:t>
        </x:is>
      </x:c>
      <x:c r="AA556" s="5" t="inlineStr">
        <x:is>
          <x:t xml:space="preserve">없음</x:t>
        </x:is>
      </x:c>
      <x:c r="AB556" s="5" t="inlineStr">
        <x:is>
          <x:t xml:space="preserve">건조지</x:t>
        </x:is>
      </x:c>
      <x:c r="AC556" s="5" t="inlineStr">
        <x:is>
          <x:t xml:space="preserve">gen5</x:t>
        </x:is>
      </x:c>
      <x:c r="AD556" s="5" t="inlineStr">
        <x:is>
          <x:t xml:space="preserve">.tmp/cobblemon-1.7.3-source/common/src/main/resources/data/cobblemon/species/generation5/krokorok.json</x:t>
        </x:is>
      </x:c>
    </x:row>
    <x:row r="557" ht="22" customHeight="1">
      <x:c r="A557" s="5" t="n">
        <x:v>553</x:v>
      </x:c>
      <x:c r="B557" s="5" t="inlineStr">
        <x:is>
          <x:t xml:space="preserve">악비아르</x:t>
        </x:is>
      </x:c>
      <x:c r="C557" s="5" t="inlineStr">
        <x:is>
          <x:t xml:space="preserve">krookodile</x:t>
        </x:is>
      </x:c>
      <x:c r="D557" s="5" t="inlineStr">
        <x:is>
          <x:t xml:space="preserve">Krookodile</x:t>
        </x:is>
      </x:c>
      <x:c r="E557" s="5" t="n">
        <x:v>5</x:v>
      </x:c>
      <x:c r="F557" s="5" t="inlineStr">
        <x:is>
          <x:t xml:space="preserve">땅</x:t>
        </x:is>
      </x:c>
      <x:c r="G557" s="5" t="inlineStr">
        <x:is>
          <x:t xml:space="preserve">악</x:t>
        </x:is>
      </x:c>
      <x:c r="H557" s="5" t="n">
        <x:v>1.5</x:v>
      </x:c>
      <x:c r="I557" s="5" t="n">
        <x:v>96.3</x:v>
      </x:c>
      <x:c r="J557" s="5" t="n">
        <x:v>519</x:v>
      </x:c>
      <x:c r="K557" s="5" t="n">
        <x:v>45</x:v>
      </x:c>
      <x:c r="L557" s="5" t="inlineStr">
        <x:is>
          <x:t xml:space="preserve">최종</x:t>
        </x:is>
      </x:c>
      <x:c r="M557" s="5" t="n">
        <x:v>40</x:v>
      </x:c>
      <x:c r="N557" s="5" t="inlineStr">
        <x:is>
          <x:t xml:space="preserve">레벨</x:t>
        </x:is>
      </x:c>
      <x:c r="O557" s="5" t="inlineStr">
        <x:is>
          <x:t xml:space="preserve">예</x:t>
        </x:is>
      </x:c>
      <x:c r="P557" s="5" t="inlineStr">
        <x:is>
          <x:t xml:space="preserve">#cobblemon:is_desert</x:t>
        </x:is>
      </x:c>
      <x:c r="Q557" s="5" t="inlineStr">
        <x:is>
          <x:t xml:space="preserve">common</x:t>
        </x:is>
      </x:c>
      <x:c r="R557" s="5" t="inlineStr">
        <x:is>
          <x:t xml:space="preserve"/>
        </x:is>
      </x:c>
      <x:c r="S557" s="5" t="inlineStr">
        <x:is>
          <x:t xml:space="preserve"/>
        </x:is>
      </x:c>
      <x:c r="T557" s="5" t="inlineStr">
        <x:is>
          <x:t xml:space="preserve">육상</x:t>
        </x:is>
      </x:c>
      <x:c r="U557" s="5" t="inlineStr">
        <x:is>
          <x:t xml:space="preserve">건조</x:t>
        </x:is>
      </x:c>
      <x:c r="V557" s="5" t="inlineStr">
        <x:is>
          <x:t xml:space="preserve">고온</x:t>
        </x:is>
      </x:c>
      <x:c r="W557" s="5" t="inlineStr">
        <x:is>
          <x:t xml:space="preserve">건조</x:t>
        </x:is>
      </x:c>
      <x:c r="X557" s="5" t="inlineStr">
        <x:is>
          <x:t xml:space="preserve">맑음</x:t>
        </x:is>
      </x:c>
      <x:c r="Y557" s="5" t="inlineStr">
        <x:is>
          <x:t xml:space="preserve">밤</x:t>
        </x:is>
      </x:c>
      <x:c r="Z557" s="5" t="inlineStr">
        <x:is>
          <x:t xml:space="preserve">흔함</x:t>
        </x:is>
      </x:c>
      <x:c r="AA557" s="5" t="inlineStr">
        <x:is>
          <x:t xml:space="preserve">없음</x:t>
        </x:is>
      </x:c>
      <x:c r="AB557" s="5" t="inlineStr">
        <x:is>
          <x:t xml:space="preserve">건조지</x:t>
        </x:is>
      </x:c>
      <x:c r="AC557" s="5" t="inlineStr">
        <x:is>
          <x:t xml:space="preserve">gen5</x:t>
        </x:is>
      </x:c>
      <x:c r="AD557" s="5" t="inlineStr">
        <x:is>
          <x:t xml:space="preserve">.tmp/cobblemon-1.7.3-source/common/src/main/resources/data/cobblemon/species/generation5/krookodile.json</x:t>
        </x:is>
      </x:c>
    </x:row>
    <x:row r="558" ht="22" customHeight="1">
      <x:c r="A558" s="5" t="n">
        <x:v>554</x:v>
      </x:c>
      <x:c r="B558" s="5" t="inlineStr">
        <x:is>
          <x:t xml:space="preserve">달막화</x:t>
        </x:is>
      </x:c>
      <x:c r="C558" s="5" t="inlineStr">
        <x:is>
          <x:t xml:space="preserve">darumaka</x:t>
        </x:is>
      </x:c>
      <x:c r="D558" s="5" t="inlineStr">
        <x:is>
          <x:t xml:space="preserve">Darumaka</x:t>
        </x:is>
      </x:c>
      <x:c r="E558" s="5" t="n">
        <x:v>5</x:v>
      </x:c>
      <x:c r="F558" s="5" t="inlineStr">
        <x:is>
          <x:t xml:space="preserve">불꽃</x:t>
        </x:is>
      </x:c>
      <x:c r="G558" s="5" t="inlineStr">
        <x:is>
          <x:t xml:space="preserve"/>
        </x:is>
      </x:c>
      <x:c r="H558" s="5" t="n">
        <x:v>0.6</x:v>
      </x:c>
      <x:c r="I558" s="5" t="n">
        <x:v>37.5</x:v>
      </x:c>
      <x:c r="J558" s="5" t="n">
        <x:v>315</x:v>
      </x:c>
      <x:c r="K558" s="5" t="n">
        <x:v>120</x:v>
      </x:c>
      <x:c r="L558" s="5" t="inlineStr">
        <x:is>
          <x:t xml:space="preserve">기본</x:t>
        </x:is>
      </x:c>
      <x:c r="M558" s="5" t="n">
        <x:v>35</x:v>
      </x:c>
      <x:c r="N558" s="5" t="inlineStr">
        <x:is>
          <x:t xml:space="preserve">레벨</x:t>
        </x:is>
      </x:c>
      <x:c r="O558" s="5" t="inlineStr">
        <x:is>
          <x:t xml:space="preserve">예</x:t>
        </x:is>
      </x:c>
      <x:c r="P558" s="5" t="inlineStr">
        <x:is>
          <x:t xml:space="preserve">#cobblemon:is_cold; #cobblemon:is_desert; #cobblemon:is_freezing; #cobblemon:is_jungle; #minecraft:is_nether; minecraft:frozen_peaks; minecraft:ice_spikes</x:t>
        </x:is>
      </x:c>
      <x:c r="Q558" s="5" t="inlineStr">
        <x:is>
          <x:t xml:space="preserve">common; uncommon</x:t>
        </x:is>
      </x:c>
      <x:c r="R558" s="5" t="inlineStr">
        <x:is>
          <x:t xml:space="preserve"/>
        </x:is>
      </x:c>
      <x:c r="S558" s="5" t="inlineStr">
        <x:is>
          <x:t xml:space="preserve"/>
        </x:is>
      </x:c>
      <x:c r="T558" s="5" t="inlineStr">
        <x:is>
          <x:t xml:space="preserve">육상</x:t>
        </x:is>
      </x:c>
      <x:c r="U558" s="5" t="inlineStr">
        <x:is>
          <x:t xml:space="preserve">설원</x:t>
        </x:is>
      </x:c>
      <x:c r="V558" s="5" t="inlineStr">
        <x:is>
          <x:t xml:space="preserve">한랭</x:t>
        </x:is>
      </x:c>
      <x:c r="W558" s="5" t="inlineStr">
        <x:is>
          <x:t xml:space="preserve">다습</x:t>
        </x:is>
      </x:c>
      <x:c r="X558" s="5" t="inlineStr">
        <x:is>
          <x:t xml:space="preserve">눈</x:t>
        </x:is>
      </x:c>
      <x:c r="Y558" s="5" t="inlineStr">
        <x:is>
          <x:t xml:space="preserve">무관</x:t>
        </x:is>
      </x:c>
      <x:c r="Z558" s="5" t="inlineStr">
        <x:is>
          <x:t xml:space="preserve">보통</x:t>
        </x:is>
      </x:c>
      <x:c r="AA558" s="5" t="inlineStr">
        <x:is>
          <x:t xml:space="preserve">없음</x:t>
        </x:is>
      </x:c>
      <x:c r="AB558" s="5" t="inlineStr">
        <x:is>
          <x:t xml:space="preserve">설원</x:t>
        </x:is>
      </x:c>
      <x:c r="AC558" s="5" t="inlineStr">
        <x:is>
          <x:t xml:space="preserve">gen5; unovan_form</x:t>
        </x:is>
      </x:c>
      <x:c r="AD558" s="5" t="inlineStr">
        <x:is>
          <x:t xml:space="preserve">.tmp/cobblemon-1.7.3-source/common/src/main/resources/data/cobblemon/species/generation5/darumaka.json</x:t>
        </x:is>
      </x:c>
    </x:row>
    <x:row r="559" ht="22" customHeight="1">
      <x:c r="A559" s="5" t="n">
        <x:v>555</x:v>
      </x:c>
      <x:c r="B559" s="5" t="inlineStr">
        <x:is>
          <x:t xml:space="preserve">불비달마</x:t>
        </x:is>
      </x:c>
      <x:c r="C559" s="5" t="inlineStr">
        <x:is>
          <x:t xml:space="preserve">darmanitan</x:t>
        </x:is>
      </x:c>
      <x:c r="D559" s="5" t="inlineStr">
        <x:is>
          <x:t xml:space="preserve">Darmanitan</x:t>
        </x:is>
      </x:c>
      <x:c r="E559" s="5" t="n">
        <x:v>5</x:v>
      </x:c>
      <x:c r="F559" s="5" t="inlineStr">
        <x:is>
          <x:t xml:space="preserve">불꽃</x:t>
        </x:is>
      </x:c>
      <x:c r="G559" s="5" t="inlineStr">
        <x:is>
          <x:t xml:space="preserve"/>
        </x:is>
      </x:c>
      <x:c r="H559" s="5" t="n">
        <x:v>1.3</x:v>
      </x:c>
      <x:c r="I559" s="5" t="n">
        <x:v>92.90000000000001</x:v>
      </x:c>
      <x:c r="J559" s="5" t="n">
        <x:v>480</x:v>
      </x:c>
      <x:c r="K559" s="5" t="n">
        <x:v>60</x:v>
      </x:c>
      <x:c r="L559" s="5" t="inlineStr">
        <x:is>
          <x:t xml:space="preserve">최종</x:t>
        </x:is>
      </x:c>
      <x:c r="M559" s="5" t="n">
        <x:v>35</x:v>
      </x:c>
      <x:c r="N559" s="5" t="inlineStr">
        <x:is>
          <x:t xml:space="preserve">레벨</x:t>
        </x:is>
      </x:c>
      <x:c r="O559" s="5" t="inlineStr">
        <x:is>
          <x:t xml:space="preserve">예</x:t>
        </x:is>
      </x:c>
      <x:c r="P559" s="5" t="inlineStr">
        <x:is>
          <x:t xml:space="preserve">#cobblemon:is_cold; #cobblemon:is_desert; #cobblemon:is_freezing; #cobblemon:is_jungle; #minecraft:is_nether; minecraft:frozen_peaks; minecraft:ice_spikes</x:t>
        </x:is>
      </x:c>
      <x:c r="Q559" s="5" t="inlineStr">
        <x:is>
          <x:t xml:space="preserve">common; rare</x:t>
        </x:is>
      </x:c>
      <x:c r="R559" s="5" t="inlineStr">
        <x:is>
          <x:t xml:space="preserve"/>
        </x:is>
      </x:c>
      <x:c r="S559" s="5" t="inlineStr">
        <x:is>
          <x:t xml:space="preserve"/>
        </x:is>
      </x:c>
      <x:c r="T559" s="5" t="inlineStr">
        <x:is>
          <x:t xml:space="preserve">육상</x:t>
        </x:is>
      </x:c>
      <x:c r="U559" s="5" t="inlineStr">
        <x:is>
          <x:t xml:space="preserve">설원</x:t>
        </x:is>
      </x:c>
      <x:c r="V559" s="5" t="inlineStr">
        <x:is>
          <x:t xml:space="preserve">한랭</x:t>
        </x:is>
      </x:c>
      <x:c r="W559" s="5" t="inlineStr">
        <x:is>
          <x:t xml:space="preserve">다습</x:t>
        </x:is>
      </x:c>
      <x:c r="X559" s="5" t="inlineStr">
        <x:is>
          <x:t xml:space="preserve">눈</x:t>
        </x:is>
      </x:c>
      <x:c r="Y559" s="5" t="inlineStr">
        <x:is>
          <x:t xml:space="preserve">무관</x:t>
        </x:is>
      </x:c>
      <x:c r="Z559" s="5" t="inlineStr">
        <x:is>
          <x:t xml:space="preserve">흔함</x:t>
        </x:is>
      </x:c>
      <x:c r="AA559" s="5" t="inlineStr">
        <x:is>
          <x:t xml:space="preserve">없음</x:t>
        </x:is>
      </x:c>
      <x:c r="AB559" s="5" t="inlineStr">
        <x:is>
          <x:t xml:space="preserve">설원</x:t>
        </x:is>
      </x:c>
      <x:c r="AC559" s="5" t="inlineStr">
        <x:is>
          <x:t xml:space="preserve">gen5; unovan_form</x:t>
        </x:is>
      </x:c>
      <x:c r="AD559" s="5" t="inlineStr">
        <x:is>
          <x:t xml:space="preserve">.tmp/cobblemon-1.7.3-source/common/src/main/resources/data/cobblemon/species/generation5/darmanitan.json</x:t>
        </x:is>
      </x:c>
    </x:row>
    <x:row r="560" ht="22" customHeight="1">
      <x:c r="A560" s="5" t="n">
        <x:v>556</x:v>
      </x:c>
      <x:c r="B560" s="5" t="inlineStr">
        <x:is>
          <x:t xml:space="preserve">마라카치</x:t>
        </x:is>
      </x:c>
      <x:c r="C560" s="5" t="inlineStr">
        <x:is>
          <x:t xml:space="preserve">maractus</x:t>
        </x:is>
      </x:c>
      <x:c r="D560" s="5" t="inlineStr">
        <x:is>
          <x:t xml:space="preserve">Maractus</x:t>
        </x:is>
      </x:c>
      <x:c r="E560" s="5" t="n">
        <x:v>5</x:v>
      </x:c>
      <x:c r="F560" s="5" t="inlineStr">
        <x:is>
          <x:t xml:space="preserve">풀</x:t>
        </x:is>
      </x:c>
      <x:c r="G560" s="5" t="inlineStr">
        <x:is>
          <x:t xml:space="preserve"/>
        </x:is>
      </x:c>
      <x:c r="H560" s="5" t="n">
        <x:v>1</x:v>
      </x:c>
      <x:c r="I560" s="5" t="n">
        <x:v>28</x:v>
      </x:c>
      <x:c r="J560" s="5" t="n">
        <x:v>461</x:v>
      </x:c>
      <x:c r="K560" s="5" t="n">
        <x:v>255</x:v>
      </x:c>
      <x:c r="L560" s="5" t="inlineStr">
        <x:is>
          <x:t xml:space="preserve">무진화</x:t>
        </x:is>
      </x:c>
      <x:c r="M560" s="5" t="n"/>
      <x:c r="N560" s="5" t="inlineStr">
        <x:is>
          <x:t xml:space="preserve">없음</x:t>
        </x:is>
      </x:c>
      <x:c r="O560" s="5" t="inlineStr">
        <x:is>
          <x:t xml:space="preserve">예</x:t>
        </x:is>
      </x:c>
      <x:c r="P560" s="5" t="inlineStr">
        <x:is>
          <x:t xml:space="preserve">#cobblemon:is_badlands; #cobblemon:is_desert</x:t>
        </x:is>
      </x:c>
      <x:c r="Q560" s="5" t="inlineStr">
        <x:is>
          <x:t xml:space="preserve">common</x:t>
        </x:is>
      </x:c>
      <x:c r="R560" s="5" t="inlineStr">
        <x:is>
          <x:t xml:space="preserve"/>
        </x:is>
      </x:c>
      <x:c r="S560" s="5" t="inlineStr">
        <x:is>
          <x:t xml:space="preserve"/>
        </x:is>
      </x:c>
      <x:c r="T560" s="5" t="inlineStr">
        <x:is>
          <x:t xml:space="preserve">육상</x:t>
        </x:is>
      </x:c>
      <x:c r="U560" s="5" t="inlineStr">
        <x:is>
          <x:t xml:space="preserve">건조</x:t>
        </x:is>
      </x:c>
      <x:c r="V560" s="5" t="inlineStr">
        <x:is>
          <x:t xml:space="preserve">고온</x:t>
        </x:is>
      </x:c>
      <x:c r="W560" s="5" t="inlineStr">
        <x:is>
          <x:t xml:space="preserve">건조</x:t>
        </x:is>
      </x:c>
      <x:c r="X560" s="5" t="inlineStr">
        <x:is>
          <x:t xml:space="preserve">맑음</x:t>
        </x:is>
      </x:c>
      <x:c r="Y560" s="5" t="inlineStr">
        <x:is>
          <x:t xml:space="preserve">무관</x:t>
        </x:is>
      </x:c>
      <x:c r="Z560" s="5" t="inlineStr">
        <x:is>
          <x:t xml:space="preserve">흔함</x:t>
        </x:is>
      </x:c>
      <x:c r="AA560" s="5" t="inlineStr">
        <x:is>
          <x:t xml:space="preserve">없음</x:t>
        </x:is>
      </x:c>
      <x:c r="AB560" s="5" t="inlineStr">
        <x:is>
          <x:t xml:space="preserve">건조지</x:t>
        </x:is>
      </x:c>
      <x:c r="AC560" s="5" t="inlineStr">
        <x:is>
          <x:t xml:space="preserve">gen5</x:t>
        </x:is>
      </x:c>
      <x:c r="AD560" s="5" t="inlineStr">
        <x:is>
          <x:t xml:space="preserve">.tmp/cobblemon-1.7.3-source/common/src/main/resources/data/cobblemon/species/generation5/maractus.json</x:t>
        </x:is>
      </x:c>
    </x:row>
    <x:row r="561" ht="22" customHeight="1">
      <x:c r="A561" s="5" t="n">
        <x:v>557</x:v>
      </x:c>
      <x:c r="B561" s="5" t="inlineStr">
        <x:is>
          <x:t xml:space="preserve">돌살이</x:t>
        </x:is>
      </x:c>
      <x:c r="C561" s="5" t="inlineStr">
        <x:is>
          <x:t xml:space="preserve">dwebble</x:t>
        </x:is>
      </x:c>
      <x:c r="D561" s="5" t="inlineStr">
        <x:is>
          <x:t xml:space="preserve">Dwebble</x:t>
        </x:is>
      </x:c>
      <x:c r="E561" s="5" t="n">
        <x:v>5</x:v>
      </x:c>
      <x:c r="F561" s="5" t="inlineStr">
        <x:is>
          <x:t xml:space="preserve">벌레</x:t>
        </x:is>
      </x:c>
      <x:c r="G561" s="5" t="inlineStr">
        <x:is>
          <x:t xml:space="preserve">바위</x:t>
        </x:is>
      </x:c>
      <x:c r="H561" s="5" t="n">
        <x:v>0.3</x:v>
      </x:c>
      <x:c r="I561" s="5" t="n">
        <x:v>14.5</x:v>
      </x:c>
      <x:c r="J561" s="5" t="n">
        <x:v>325</x:v>
      </x:c>
      <x:c r="K561" s="5" t="n">
        <x:v>190</x:v>
      </x:c>
      <x:c r="L561" s="5" t="inlineStr">
        <x:is>
          <x:t xml:space="preserve">기본</x:t>
        </x:is>
      </x:c>
      <x:c r="M561" s="5" t="n">
        <x:v>34</x:v>
      </x:c>
      <x:c r="N561" s="5" t="inlineStr">
        <x:is>
          <x:t xml:space="preserve">레벨</x:t>
        </x:is>
      </x:c>
      <x:c r="O561" s="5" t="inlineStr">
        <x:is>
          <x:t xml:space="preserve">예</x:t>
        </x:is>
      </x:c>
      <x:c r="P561" s="5" t="inlineStr">
        <x:is>
          <x:t xml:space="preserve">#cobblemon:is_badlands</x:t>
        </x:is>
      </x:c>
      <x:c r="Q561" s="5" t="inlineStr">
        <x:is>
          <x:t xml:space="preserve">common</x:t>
        </x:is>
      </x:c>
      <x:c r="R561" s="5" t="inlineStr">
        <x:is>
          <x:t xml:space="preserve"/>
        </x:is>
      </x:c>
      <x:c r="S561" s="5" t="inlineStr">
        <x:is>
          <x:t xml:space="preserve"/>
        </x:is>
      </x:c>
      <x:c r="T561" s="5" t="inlineStr">
        <x:is>
          <x:t xml:space="preserve">육상</x:t>
        </x:is>
      </x:c>
      <x:c r="U561" s="5" t="inlineStr">
        <x:is>
          <x:t xml:space="preserve">건조</x:t>
        </x:is>
      </x:c>
      <x:c r="V561" s="5" t="inlineStr">
        <x:is>
          <x:t xml:space="preserve">고온</x:t>
        </x:is>
      </x:c>
      <x:c r="W561" s="5" t="inlineStr">
        <x:is>
          <x:t xml:space="preserve">건조</x:t>
        </x:is>
      </x:c>
      <x:c r="X561" s="5" t="inlineStr">
        <x:is>
          <x:t xml:space="preserve">맑음</x:t>
        </x:is>
      </x:c>
      <x:c r="Y561" s="5" t="inlineStr">
        <x:is>
          <x:t xml:space="preserve">무관</x:t>
        </x:is>
      </x:c>
      <x:c r="Z561" s="5" t="inlineStr">
        <x:is>
          <x:t xml:space="preserve">흔함</x:t>
        </x:is>
      </x:c>
      <x:c r="AA561" s="5" t="inlineStr">
        <x:is>
          <x:t xml:space="preserve">없음</x:t>
        </x:is>
      </x:c>
      <x:c r="AB561" s="5" t="inlineStr">
        <x:is>
          <x:t xml:space="preserve">건조지</x:t>
        </x:is>
      </x:c>
      <x:c r="AC561" s="5" t="inlineStr">
        <x:is>
          <x:t xml:space="preserve">gen5</x:t>
        </x:is>
      </x:c>
      <x:c r="AD561" s="5" t="inlineStr">
        <x:is>
          <x:t xml:space="preserve">.tmp/cobblemon-1.7.3-source/common/src/main/resources/data/cobblemon/species/generation5/dwebble.json</x:t>
        </x:is>
      </x:c>
    </x:row>
    <x:row r="562" ht="22" customHeight="1">
      <x:c r="A562" s="5" t="n">
        <x:v>558</x:v>
      </x:c>
      <x:c r="B562" s="5" t="inlineStr">
        <x:is>
          <x:t xml:space="preserve">암팰리스</x:t>
        </x:is>
      </x:c>
      <x:c r="C562" s="5" t="inlineStr">
        <x:is>
          <x:t xml:space="preserve">crustle</x:t>
        </x:is>
      </x:c>
      <x:c r="D562" s="5" t="inlineStr">
        <x:is>
          <x:t xml:space="preserve">Crustle</x:t>
        </x:is>
      </x:c>
      <x:c r="E562" s="5" t="n">
        <x:v>5</x:v>
      </x:c>
      <x:c r="F562" s="5" t="inlineStr">
        <x:is>
          <x:t xml:space="preserve">벌레</x:t>
        </x:is>
      </x:c>
      <x:c r="G562" s="5" t="inlineStr">
        <x:is>
          <x:t xml:space="preserve">바위</x:t>
        </x:is>
      </x:c>
      <x:c r="H562" s="5" t="n">
        <x:v>1.4</x:v>
      </x:c>
      <x:c r="I562" s="5" t="n">
        <x:v>200</x:v>
      </x:c>
      <x:c r="J562" s="5" t="n">
        <x:v>485</x:v>
      </x:c>
      <x:c r="K562" s="5" t="n">
        <x:v>75</x:v>
      </x:c>
      <x:c r="L562" s="5" t="inlineStr">
        <x:is>
          <x:t xml:space="preserve">최종</x:t>
        </x:is>
      </x:c>
      <x:c r="M562" s="5" t="n">
        <x:v>34</x:v>
      </x:c>
      <x:c r="N562" s="5" t="inlineStr">
        <x:is>
          <x:t xml:space="preserve">레벨</x:t>
        </x:is>
      </x:c>
      <x:c r="O562" s="5" t="inlineStr">
        <x:is>
          <x:t xml:space="preserve">예</x:t>
        </x:is>
      </x:c>
      <x:c r="P562" s="5" t="inlineStr">
        <x:is>
          <x:t xml:space="preserve">#cobblemon:is_badlands</x:t>
        </x:is>
      </x:c>
      <x:c r="Q562" s="5" t="inlineStr">
        <x:is>
          <x:t xml:space="preserve">common</x:t>
        </x:is>
      </x:c>
      <x:c r="R562" s="5" t="inlineStr">
        <x:is>
          <x:t xml:space="preserve"/>
        </x:is>
      </x:c>
      <x:c r="S562" s="5" t="inlineStr">
        <x:is>
          <x:t xml:space="preserve"/>
        </x:is>
      </x:c>
      <x:c r="T562" s="5" t="inlineStr">
        <x:is>
          <x:t xml:space="preserve">육상</x:t>
        </x:is>
      </x:c>
      <x:c r="U562" s="5" t="inlineStr">
        <x:is>
          <x:t xml:space="preserve">건조</x:t>
        </x:is>
      </x:c>
      <x:c r="V562" s="5" t="inlineStr">
        <x:is>
          <x:t xml:space="preserve">고온</x:t>
        </x:is>
      </x:c>
      <x:c r="W562" s="5" t="inlineStr">
        <x:is>
          <x:t xml:space="preserve">건조</x:t>
        </x:is>
      </x:c>
      <x:c r="X562" s="5" t="inlineStr">
        <x:is>
          <x:t xml:space="preserve">맑음</x:t>
        </x:is>
      </x:c>
      <x:c r="Y562" s="5" t="inlineStr">
        <x:is>
          <x:t xml:space="preserve">무관</x:t>
        </x:is>
      </x:c>
      <x:c r="Z562" s="5" t="inlineStr">
        <x:is>
          <x:t xml:space="preserve">흔함</x:t>
        </x:is>
      </x:c>
      <x:c r="AA562" s="5" t="inlineStr">
        <x:is>
          <x:t xml:space="preserve">없음</x:t>
        </x:is>
      </x:c>
      <x:c r="AB562" s="5" t="inlineStr">
        <x:is>
          <x:t xml:space="preserve">건조지</x:t>
        </x:is>
      </x:c>
      <x:c r="AC562" s="5" t="inlineStr">
        <x:is>
          <x:t xml:space="preserve">gen5</x:t>
        </x:is>
      </x:c>
      <x:c r="AD562" s="5" t="inlineStr">
        <x:is>
          <x:t xml:space="preserve">.tmp/cobblemon-1.7.3-source/common/src/main/resources/data/cobblemon/species/generation5/crustle.json</x:t>
        </x:is>
      </x:c>
    </x:row>
    <x:row r="563" ht="22" customHeight="1">
      <x:c r="A563" s="5" t="n">
        <x:v>559</x:v>
      </x:c>
      <x:c r="B563" s="5" t="inlineStr">
        <x:is>
          <x:t xml:space="preserve">곤율랭</x:t>
        </x:is>
      </x:c>
      <x:c r="C563" s="5" t="inlineStr">
        <x:is>
          <x:t xml:space="preserve">scraggy</x:t>
        </x:is>
      </x:c>
      <x:c r="D563" s="5" t="inlineStr">
        <x:is>
          <x:t xml:space="preserve">Scraggy</x:t>
        </x:is>
      </x:c>
      <x:c r="E563" s="5" t="n">
        <x:v>5</x:v>
      </x:c>
      <x:c r="F563" s="5" t="inlineStr">
        <x:is>
          <x:t xml:space="preserve">악</x:t>
        </x:is>
      </x:c>
      <x:c r="G563" s="5" t="inlineStr">
        <x:is>
          <x:t xml:space="preserve">격투</x:t>
        </x:is>
      </x:c>
      <x:c r="H563" s="5" t="n">
        <x:v>0.6</x:v>
      </x:c>
      <x:c r="I563" s="5" t="n">
        <x:v>11.8</x:v>
      </x:c>
      <x:c r="J563" s="5" t="n">
        <x:v>348</x:v>
      </x:c>
      <x:c r="K563" s="5" t="n">
        <x:v>180</x:v>
      </x:c>
      <x:c r="L563" s="5" t="inlineStr">
        <x:is>
          <x:t xml:space="preserve">기본</x:t>
        </x:is>
      </x:c>
      <x:c r="M563" s="5" t="n">
        <x:v>39</x:v>
      </x:c>
      <x:c r="N563" s="5" t="inlineStr">
        <x:is>
          <x:t xml:space="preserve">레벨</x:t>
        </x:is>
      </x:c>
      <x:c r="O563" s="5" t="inlineStr">
        <x:is>
          <x:t xml:space="preserve">예</x:t>
        </x:is>
      </x:c>
      <x:c r="P563" s="5" t="inlineStr">
        <x:is>
          <x:t xml:space="preserve">#cobblemon:is_arid; #cobblemon:is_badlands</x:t>
        </x:is>
      </x:c>
      <x:c r="Q563" s="5" t="inlineStr">
        <x:is>
          <x:t xml:space="preserve">common</x:t>
        </x:is>
      </x:c>
      <x:c r="R563" s="5" t="inlineStr">
        <x:is>
          <x:t xml:space="preserve"/>
        </x:is>
      </x:c>
      <x:c r="S563" s="5" t="inlineStr">
        <x:is>
          <x:t xml:space="preserve"/>
        </x:is>
      </x:c>
      <x:c r="T563" s="5" t="inlineStr">
        <x:is>
          <x:t xml:space="preserve">육상</x:t>
        </x:is>
      </x:c>
      <x:c r="U563" s="5" t="inlineStr">
        <x:is>
          <x:t xml:space="preserve">건조</x:t>
        </x:is>
      </x:c>
      <x:c r="V563" s="5" t="inlineStr">
        <x:is>
          <x:t xml:space="preserve">고온</x:t>
        </x:is>
      </x:c>
      <x:c r="W563" s="5" t="inlineStr">
        <x:is>
          <x:t xml:space="preserve">건조</x:t>
        </x:is>
      </x:c>
      <x:c r="X563" s="5" t="inlineStr">
        <x:is>
          <x:t xml:space="preserve">맑음</x:t>
        </x:is>
      </x:c>
      <x:c r="Y563" s="5" t="inlineStr">
        <x:is>
          <x:t xml:space="preserve">밤</x:t>
        </x:is>
      </x:c>
      <x:c r="Z563" s="5" t="inlineStr">
        <x:is>
          <x:t xml:space="preserve">흔함</x:t>
        </x:is>
      </x:c>
      <x:c r="AA563" s="5" t="inlineStr">
        <x:is>
          <x:t xml:space="preserve">없음</x:t>
        </x:is>
      </x:c>
      <x:c r="AB563" s="5" t="inlineStr">
        <x:is>
          <x:t xml:space="preserve">건조지</x:t>
        </x:is>
      </x:c>
      <x:c r="AC563" s="5" t="inlineStr">
        <x:is>
          <x:t xml:space="preserve">gen5</x:t>
        </x:is>
      </x:c>
      <x:c r="AD563" s="5" t="inlineStr">
        <x:is>
          <x:t xml:space="preserve">.tmp/cobblemon-1.7.3-source/common/src/main/resources/data/cobblemon/species/generation5/scraggy.json</x:t>
        </x:is>
      </x:c>
    </x:row>
    <x:row r="564" ht="22" customHeight="1">
      <x:c r="A564" s="5" t="n">
        <x:v>560</x:v>
      </x:c>
      <x:c r="B564" s="5" t="inlineStr">
        <x:is>
          <x:t xml:space="preserve">곤율거니</x:t>
        </x:is>
      </x:c>
      <x:c r="C564" s="5" t="inlineStr">
        <x:is>
          <x:t xml:space="preserve">scrafty</x:t>
        </x:is>
      </x:c>
      <x:c r="D564" s="5" t="inlineStr">
        <x:is>
          <x:t xml:space="preserve">Scrafty</x:t>
        </x:is>
      </x:c>
      <x:c r="E564" s="5" t="n">
        <x:v>5</x:v>
      </x:c>
      <x:c r="F564" s="5" t="inlineStr">
        <x:is>
          <x:t xml:space="preserve">악</x:t>
        </x:is>
      </x:c>
      <x:c r="G564" s="5" t="inlineStr">
        <x:is>
          <x:t xml:space="preserve">격투</x:t>
        </x:is>
      </x:c>
      <x:c r="H564" s="5" t="n">
        <x:v>1.1</x:v>
      </x:c>
      <x:c r="I564" s="5" t="n">
        <x:v>30</x:v>
      </x:c>
      <x:c r="J564" s="5" t="n">
        <x:v>488</x:v>
      </x:c>
      <x:c r="K564" s="5" t="n">
        <x:v>90</x:v>
      </x:c>
      <x:c r="L564" s="5" t="inlineStr">
        <x:is>
          <x:t xml:space="preserve">최종</x:t>
        </x:is>
      </x:c>
      <x:c r="M564" s="5" t="n">
        <x:v>39</x:v>
      </x:c>
      <x:c r="N564" s="5" t="inlineStr">
        <x:is>
          <x:t xml:space="preserve">레벨</x:t>
        </x:is>
      </x:c>
      <x:c r="O564" s="5" t="inlineStr">
        <x:is>
          <x:t xml:space="preserve">예</x:t>
        </x:is>
      </x:c>
      <x:c r="P564" s="5" t="inlineStr">
        <x:is>
          <x:t xml:space="preserve">#cobblemon:is_arid; #cobblemon:is_badlands</x:t>
        </x:is>
      </x:c>
      <x:c r="Q564" s="5" t="inlineStr">
        <x:is>
          <x:t xml:space="preserve">common</x:t>
        </x:is>
      </x:c>
      <x:c r="R564" s="5" t="inlineStr">
        <x:is>
          <x:t xml:space="preserve"/>
        </x:is>
      </x:c>
      <x:c r="S564" s="5" t="inlineStr">
        <x:is>
          <x:t xml:space="preserve"/>
        </x:is>
      </x:c>
      <x:c r="T564" s="5" t="inlineStr">
        <x:is>
          <x:t xml:space="preserve">육상</x:t>
        </x:is>
      </x:c>
      <x:c r="U564" s="5" t="inlineStr">
        <x:is>
          <x:t xml:space="preserve">건조</x:t>
        </x:is>
      </x:c>
      <x:c r="V564" s="5" t="inlineStr">
        <x:is>
          <x:t xml:space="preserve">고온</x:t>
        </x:is>
      </x:c>
      <x:c r="W564" s="5" t="inlineStr">
        <x:is>
          <x:t xml:space="preserve">건조</x:t>
        </x:is>
      </x:c>
      <x:c r="X564" s="5" t="inlineStr">
        <x:is>
          <x:t xml:space="preserve">맑음</x:t>
        </x:is>
      </x:c>
      <x:c r="Y564" s="5" t="inlineStr">
        <x:is>
          <x:t xml:space="preserve">밤</x:t>
        </x:is>
      </x:c>
      <x:c r="Z564" s="5" t="inlineStr">
        <x:is>
          <x:t xml:space="preserve">흔함</x:t>
        </x:is>
      </x:c>
      <x:c r="AA564" s="5" t="inlineStr">
        <x:is>
          <x:t xml:space="preserve">없음</x:t>
        </x:is>
      </x:c>
      <x:c r="AB564" s="5" t="inlineStr">
        <x:is>
          <x:t xml:space="preserve">건조지</x:t>
        </x:is>
      </x:c>
      <x:c r="AC564" s="5" t="inlineStr">
        <x:is>
          <x:t xml:space="preserve">gen5</x:t>
        </x:is>
      </x:c>
      <x:c r="AD564" s="5" t="inlineStr">
        <x:is>
          <x:t xml:space="preserve">.tmp/cobblemon-1.7.3-source/common/src/main/resources/data/cobblemon/species/generation5/scrafty.json</x:t>
        </x:is>
      </x:c>
    </x:row>
    <x:row r="565" ht="22" customHeight="1">
      <x:c r="A565" s="5" t="n">
        <x:v>561</x:v>
      </x:c>
      <x:c r="B565" s="5" t="inlineStr">
        <x:is>
          <x:t xml:space="preserve">심보러</x:t>
        </x:is>
      </x:c>
      <x:c r="C565" s="5" t="inlineStr">
        <x:is>
          <x:t xml:space="preserve">sigilyph</x:t>
        </x:is>
      </x:c>
      <x:c r="D565" s="5" t="inlineStr">
        <x:is>
          <x:t xml:space="preserve">Sigilyph</x:t>
        </x:is>
      </x:c>
      <x:c r="E565" s="5" t="n">
        <x:v>5</x:v>
      </x:c>
      <x:c r="F565" s="5" t="inlineStr">
        <x:is>
          <x:t xml:space="preserve">에스퍼</x:t>
        </x:is>
      </x:c>
      <x:c r="G565" s="5" t="inlineStr">
        <x:is>
          <x:t xml:space="preserve">비행</x:t>
        </x:is>
      </x:c>
      <x:c r="H565" s="5" t="n">
        <x:v>1.4</x:v>
      </x:c>
      <x:c r="I565" s="5" t="n">
        <x:v>14</x:v>
      </x:c>
      <x:c r="J565" s="5" t="n">
        <x:v>490</x:v>
      </x:c>
      <x:c r="K565" s="5" t="n">
        <x:v>45</x:v>
      </x:c>
      <x:c r="L565" s="5" t="inlineStr">
        <x:is>
          <x:t xml:space="preserve">무진화</x:t>
        </x:is>
      </x:c>
      <x:c r="M565" s="5" t="n"/>
      <x:c r="N565" s="5" t="inlineStr">
        <x:is>
          <x:t xml:space="preserve">없음</x:t>
        </x:is>
      </x:c>
      <x:c r="O565" s="5" t="inlineStr">
        <x:is>
          <x:t xml:space="preserve">예</x:t>
        </x:is>
      </x:c>
      <x:c r="P565" s="5" t="inlineStr">
        <x:is>
          <x:t xml:space="preserve">#aether:is_aether; #cobblemon:is_badlands; #cobblemon:is_desert; #cobblemon:is_end; #cobblemon:is_overworld; the_bumblezone:howling_constructs</x:t>
        </x:is>
      </x:c>
      <x:c r="Q565" s="5" t="inlineStr">
        <x:is>
          <x:t xml:space="preserve">common; uncommon</x:t>
        </x:is>
      </x:c>
      <x:c r="R565" s="5" t="inlineStr">
        <x:is>
          <x:t xml:space="preserve"/>
        </x:is>
      </x:c>
      <x:c r="S565" s="5" t="inlineStr">
        <x:is>
          <x:t xml:space="preserve"/>
        </x:is>
      </x:c>
      <x:c r="T565" s="5" t="inlineStr">
        <x:is>
          <x:t xml:space="preserve">비행</x:t>
        </x:is>
      </x:c>
      <x:c r="U565" s="5" t="inlineStr">
        <x:is>
          <x:t xml:space="preserve">건조</x:t>
        </x:is>
      </x:c>
      <x:c r="V565" s="5" t="inlineStr">
        <x:is>
          <x:t xml:space="preserve">고온</x:t>
        </x:is>
      </x:c>
      <x:c r="W565" s="5" t="inlineStr">
        <x:is>
          <x:t xml:space="preserve">건조</x:t>
        </x:is>
      </x:c>
      <x:c r="X565" s="5" t="inlineStr">
        <x:is>
          <x:t xml:space="preserve">맑음</x:t>
        </x:is>
      </x:c>
      <x:c r="Y565" s="5" t="inlineStr">
        <x:is>
          <x:t xml:space="preserve">무관</x:t>
        </x:is>
      </x:c>
      <x:c r="Z565" s="5" t="inlineStr">
        <x:is>
          <x:t xml:space="preserve">보통</x:t>
        </x:is>
      </x:c>
      <x:c r="AA565" s="5" t="inlineStr">
        <x:is>
          <x:t xml:space="preserve">없음</x:t>
        </x:is>
      </x:c>
      <x:c r="AB565" s="5" t="inlineStr">
        <x:is>
          <x:t xml:space="preserve">건조지</x:t>
        </x:is>
      </x:c>
      <x:c r="AC565" s="5" t="inlineStr">
        <x:is>
          <x:t xml:space="preserve">gen5</x:t>
        </x:is>
      </x:c>
      <x:c r="AD565" s="5" t="inlineStr">
        <x:is>
          <x:t xml:space="preserve">.tmp/cobblemon-1.7.3-source/common/src/main/resources/data/cobblemon/species/generation5/sigilyph.json</x:t>
        </x:is>
      </x:c>
    </x:row>
    <x:row r="566" ht="22" customHeight="1">
      <x:c r="A566" s="5" t="n">
        <x:v>562</x:v>
      </x:c>
      <x:c r="B566" s="5" t="inlineStr">
        <x:is>
          <x:t xml:space="preserve">데스마스</x:t>
        </x:is>
      </x:c>
      <x:c r="C566" s="5" t="inlineStr">
        <x:is>
          <x:t xml:space="preserve">yamask</x:t>
        </x:is>
      </x:c>
      <x:c r="D566" s="5" t="inlineStr">
        <x:is>
          <x:t xml:space="preserve">Yamask</x:t>
        </x:is>
      </x:c>
      <x:c r="E566" s="5" t="n">
        <x:v>5</x:v>
      </x:c>
      <x:c r="F566" s="5" t="inlineStr">
        <x:is>
          <x:t xml:space="preserve">고스트</x:t>
        </x:is>
      </x:c>
      <x:c r="G566" s="5" t="inlineStr">
        <x:is>
          <x:t xml:space="preserve"/>
        </x:is>
      </x:c>
      <x:c r="H566" s="5" t="n">
        <x:v>0.5</x:v>
      </x:c>
      <x:c r="I566" s="5" t="n">
        <x:v>1.5</x:v>
      </x:c>
      <x:c r="J566" s="5" t="n">
        <x:v>303</x:v>
      </x:c>
      <x:c r="K566" s="5" t="n">
        <x:v>190</x:v>
      </x:c>
      <x:c r="L566" s="5" t="inlineStr">
        <x:is>
          <x:t xml:space="preserve">기본</x:t>
        </x:is>
      </x:c>
      <x:c r="M566" s="5" t="n">
        <x:v>34</x:v>
      </x:c>
      <x:c r="N566" s="5" t="inlineStr">
        <x:is>
          <x:t xml:space="preserve">레벨</x:t>
        </x:is>
      </x:c>
      <x:c r="O566" s="5" t="inlineStr">
        <x:is>
          <x:t xml:space="preserve">예</x:t>
        </x:is>
      </x:c>
      <x:c r="P566" s="5" t="inlineStr">
        <x:is>
          <x:t xml:space="preserve">#cobblemon:is_desert; #cobblemon:is_overworld</x:t>
        </x:is>
      </x:c>
      <x:c r="Q566" s="5" t="inlineStr">
        <x:is>
          <x:t xml:space="preserve">common; uncommon</x:t>
        </x:is>
      </x:c>
      <x:c r="R566" s="5" t="inlineStr">
        <x:is>
          <x:t xml:space="preserve"/>
        </x:is>
      </x:c>
      <x:c r="S566" s="5" t="inlineStr">
        <x:is>
          <x:t xml:space="preserve"/>
        </x:is>
      </x:c>
      <x:c r="T566" s="5" t="inlineStr">
        <x:is>
          <x:t xml:space="preserve">비행</x:t>
        </x:is>
      </x:c>
      <x:c r="U566" s="5" t="inlineStr">
        <x:is>
          <x:t xml:space="preserve">건조</x:t>
        </x:is>
      </x:c>
      <x:c r="V566" s="5" t="inlineStr">
        <x:is>
          <x:t xml:space="preserve">고온</x:t>
        </x:is>
      </x:c>
      <x:c r="W566" s="5" t="inlineStr">
        <x:is>
          <x:t xml:space="preserve">건조</x:t>
        </x:is>
      </x:c>
      <x:c r="X566" s="5" t="inlineStr">
        <x:is>
          <x:t xml:space="preserve">맑음</x:t>
        </x:is>
      </x:c>
      <x:c r="Y566" s="5" t="inlineStr">
        <x:is>
          <x:t xml:space="preserve">밤</x:t>
        </x:is>
      </x:c>
      <x:c r="Z566" s="5" t="inlineStr">
        <x:is>
          <x:t xml:space="preserve">보통</x:t>
        </x:is>
      </x:c>
      <x:c r="AA566" s="5" t="inlineStr">
        <x:is>
          <x:t xml:space="preserve">영체</x:t>
        </x:is>
      </x:c>
      <x:c r="AB566" s="5" t="inlineStr">
        <x:is>
          <x:t xml:space="preserve">건조지</x:t>
        </x:is>
      </x:c>
      <x:c r="AC566" s="5" t="inlineStr">
        <x:is>
          <x:t xml:space="preserve">gen5; unovan_form</x:t>
        </x:is>
      </x:c>
      <x:c r="AD566" s="5" t="inlineStr">
        <x:is>
          <x:t xml:space="preserve">.tmp/cobblemon-1.7.3-source/common/src/main/resources/data/cobblemon/species/generation5/yamask.json</x:t>
        </x:is>
      </x:c>
    </x:row>
    <x:row r="567" ht="22" customHeight="1">
      <x:c r="A567" s="5" t="n">
        <x:v>563</x:v>
      </x:c>
      <x:c r="B567" s="5" t="inlineStr">
        <x:is>
          <x:t xml:space="preserve">데스니칸</x:t>
        </x:is>
      </x:c>
      <x:c r="C567" s="5" t="inlineStr">
        <x:is>
          <x:t xml:space="preserve">cofagrigus</x:t>
        </x:is>
      </x:c>
      <x:c r="D567" s="5" t="inlineStr">
        <x:is>
          <x:t xml:space="preserve">Cofagrigus</x:t>
        </x:is>
      </x:c>
      <x:c r="E567" s="5" t="n">
        <x:v>5</x:v>
      </x:c>
      <x:c r="F567" s="5" t="inlineStr">
        <x:is>
          <x:t xml:space="preserve">고스트</x:t>
        </x:is>
      </x:c>
      <x:c r="G567" s="5" t="inlineStr">
        <x:is>
          <x:t xml:space="preserve"/>
        </x:is>
      </x:c>
      <x:c r="H567" s="5" t="n">
        <x:v>1.7</x:v>
      </x:c>
      <x:c r="I567" s="5" t="n">
        <x:v>76.5</x:v>
      </x:c>
      <x:c r="J567" s="5" t="n">
        <x:v>483</x:v>
      </x:c>
      <x:c r="K567" s="5" t="n">
        <x:v>90</x:v>
      </x:c>
      <x:c r="L567" s="5" t="inlineStr">
        <x:is>
          <x:t xml:space="preserve">최종</x:t>
        </x:is>
      </x:c>
      <x:c r="M567" s="5" t="n">
        <x:v>34</x:v>
      </x:c>
      <x:c r="N567" s="5" t="inlineStr">
        <x:is>
          <x:t xml:space="preserve">레벨</x:t>
        </x:is>
      </x:c>
      <x:c r="O567" s="5" t="inlineStr">
        <x:is>
          <x:t xml:space="preserve">예</x:t>
        </x:is>
      </x:c>
      <x:c r="P567" s="5" t="inlineStr">
        <x:is>
          <x:t xml:space="preserve">#cobblemon:is_desert; #cobblemon:is_overworld</x:t>
        </x:is>
      </x:c>
      <x:c r="Q567" s="5" t="inlineStr">
        <x:is>
          <x:t xml:space="preserve">common; uncommon</x:t>
        </x:is>
      </x:c>
      <x:c r="R567" s="5" t="inlineStr">
        <x:is>
          <x:t xml:space="preserve"/>
        </x:is>
      </x:c>
      <x:c r="S567" s="5" t="inlineStr">
        <x:is>
          <x:t xml:space="preserve"/>
        </x:is>
      </x:c>
      <x:c r="T567" s="5" t="inlineStr">
        <x:is>
          <x:t xml:space="preserve">비행</x:t>
        </x:is>
      </x:c>
      <x:c r="U567" s="5" t="inlineStr">
        <x:is>
          <x:t xml:space="preserve">건조</x:t>
        </x:is>
      </x:c>
      <x:c r="V567" s="5" t="inlineStr">
        <x:is>
          <x:t xml:space="preserve">고온</x:t>
        </x:is>
      </x:c>
      <x:c r="W567" s="5" t="inlineStr">
        <x:is>
          <x:t xml:space="preserve">건조</x:t>
        </x:is>
      </x:c>
      <x:c r="X567" s="5" t="inlineStr">
        <x:is>
          <x:t xml:space="preserve">맑음</x:t>
        </x:is>
      </x:c>
      <x:c r="Y567" s="5" t="inlineStr">
        <x:is>
          <x:t xml:space="preserve">밤</x:t>
        </x:is>
      </x:c>
      <x:c r="Z567" s="5" t="inlineStr">
        <x:is>
          <x:t xml:space="preserve">보통</x:t>
        </x:is>
      </x:c>
      <x:c r="AA567" s="5" t="inlineStr">
        <x:is>
          <x:t xml:space="preserve">영체</x:t>
        </x:is>
      </x:c>
      <x:c r="AB567" s="5" t="inlineStr">
        <x:is>
          <x:t xml:space="preserve">건조지</x:t>
        </x:is>
      </x:c>
      <x:c r="AC567" s="5" t="inlineStr">
        <x:is>
          <x:t xml:space="preserve">gen5</x:t>
        </x:is>
      </x:c>
      <x:c r="AD567" s="5" t="inlineStr">
        <x:is>
          <x:t xml:space="preserve">.tmp/cobblemon-1.7.3-source/common/src/main/resources/data/cobblemon/species/generation5/cofagrigus.json</x:t>
        </x:is>
      </x:c>
    </x:row>
    <x:row r="568" ht="22" customHeight="1">
      <x:c r="A568" s="5" t="n">
        <x:v>564</x:v>
      </x:c>
      <x:c r="B568" s="5" t="inlineStr">
        <x:is>
          <x:t xml:space="preserve">프로토가</x:t>
        </x:is>
      </x:c>
      <x:c r="C568" s="5" t="inlineStr">
        <x:is>
          <x:t xml:space="preserve">tirtouga</x:t>
        </x:is>
      </x:c>
      <x:c r="D568" s="5" t="inlineStr">
        <x:is>
          <x:t xml:space="preserve">Tirtouga</x:t>
        </x:is>
      </x:c>
      <x:c r="E568" s="5" t="n">
        <x:v>5</x:v>
      </x:c>
      <x:c r="F568" s="5" t="inlineStr">
        <x:is>
          <x:t xml:space="preserve">물</x:t>
        </x:is>
      </x:c>
      <x:c r="G568" s="5" t="inlineStr">
        <x:is>
          <x:t xml:space="preserve">바위</x:t>
        </x:is>
      </x:c>
      <x:c r="H568" s="5" t="n">
        <x:v>0.7</x:v>
      </x:c>
      <x:c r="I568" s="5" t="n">
        <x:v>16.5</x:v>
      </x:c>
      <x:c r="J568" s="5" t="n">
        <x:v>355</x:v>
      </x:c>
      <x:c r="K568" s="5" t="n">
        <x:v>45</x:v>
      </x:c>
      <x:c r="L568" s="5" t="inlineStr">
        <x:is>
          <x:t xml:space="preserve">기본</x:t>
        </x:is>
      </x:c>
      <x:c r="M568" s="5" t="n">
        <x:v>37</x:v>
      </x:c>
      <x:c r="N568" s="5" t="inlineStr">
        <x:is>
          <x:t xml:space="preserve">레벨</x:t>
        </x:is>
      </x:c>
      <x:c r="O568" s="5" t="inlineStr">
        <x:is>
          <x:t xml:space="preserve">예</x:t>
        </x:is>
      </x:c>
      <x:c r="P568" s="5" t="inlineStr">
        <x:is>
          <x:t xml:space="preserve">#cobblemon:is_lush</x:t>
        </x:is>
      </x:c>
      <x:c r="Q568" s="5" t="inlineStr">
        <x:is>
          <x:t xml:space="preserve">ultra-rare</x:t>
        </x:is>
      </x:c>
      <x:c r="R568" s="5" t="inlineStr">
        <x:is>
          <x:t xml:space="preserve"/>
        </x:is>
      </x:c>
      <x:c r="S568" s="5" t="inlineStr">
        <x:is>
          <x:t xml:space="preserve"/>
        </x:is>
      </x:c>
      <x:c r="T568" s="5" t="inlineStr">
        <x:is>
          <x:t xml:space="preserve">수륙</x:t>
        </x:is>
      </x:c>
      <x:c r="U568" s="5" t="inlineStr">
        <x:is>
          <x:t xml:space="preserve">암석</x:t>
        </x:is>
      </x:c>
      <x:c r="V568" s="5" t="inlineStr">
        <x:is>
          <x:t xml:space="preserve">온대</x:t>
        </x:is>
      </x:c>
      <x:c r="W568" s="5" t="inlineStr">
        <x:is>
          <x:t xml:space="preserve">보통</x:t>
        </x:is>
      </x:c>
      <x:c r="X568" s="5" t="inlineStr">
        <x:is>
          <x:t xml:space="preserve">무관</x:t>
        </x:is>
      </x:c>
      <x:c r="Y568" s="5" t="inlineStr">
        <x:is>
          <x:t xml:space="preserve">무관</x:t>
        </x:is>
      </x:c>
      <x:c r="Z568" s="5" t="inlineStr">
        <x:is>
          <x:t xml:space="preserve">희귀</x:t>
        </x:is>
      </x:c>
      <x:c r="AA568" s="5" t="inlineStr">
        <x:is>
          <x:t xml:space="preserve">없음</x:t>
        </x:is>
      </x:c>
      <x:c r="AB568" s="5" t="inlineStr">
        <x:is>
          <x:t xml:space="preserve"/>
        </x:is>
      </x:c>
      <x:c r="AC568" s="5" t="inlineStr">
        <x:is>
          <x:t xml:space="preserve">fossil; gen5</x:t>
        </x:is>
      </x:c>
      <x:c r="AD568" s="5" t="inlineStr">
        <x:is>
          <x:t xml:space="preserve">.tmp/cobblemon-1.7.3-source/common/src/main/resources/data/cobblemon/species/generation5/tirtouga.json</x:t>
        </x:is>
      </x:c>
    </x:row>
    <x:row r="569" ht="22" customHeight="1">
      <x:c r="A569" s="5" t="n">
        <x:v>565</x:v>
      </x:c>
      <x:c r="B569" s="5" t="inlineStr">
        <x:is>
          <x:t xml:space="preserve">늑골라</x:t>
        </x:is>
      </x:c>
      <x:c r="C569" s="5" t="inlineStr">
        <x:is>
          <x:t xml:space="preserve">carracosta</x:t>
        </x:is>
      </x:c>
      <x:c r="D569" s="5" t="inlineStr">
        <x:is>
          <x:t xml:space="preserve">Carracosta</x:t>
        </x:is>
      </x:c>
      <x:c r="E569" s="5" t="n">
        <x:v>5</x:v>
      </x:c>
      <x:c r="F569" s="5" t="inlineStr">
        <x:is>
          <x:t xml:space="preserve">물</x:t>
        </x:is>
      </x:c>
      <x:c r="G569" s="5" t="inlineStr">
        <x:is>
          <x:t xml:space="preserve">바위</x:t>
        </x:is>
      </x:c>
      <x:c r="H569" s="5" t="n">
        <x:v>1.2</x:v>
      </x:c>
      <x:c r="I569" s="5" t="n">
        <x:v>81</x:v>
      </x:c>
      <x:c r="J569" s="5" t="n">
        <x:v>495</x:v>
      </x:c>
      <x:c r="K569" s="5" t="n">
        <x:v>45</x:v>
      </x:c>
      <x:c r="L569" s="5" t="inlineStr">
        <x:is>
          <x:t xml:space="preserve">최종</x:t>
        </x:is>
      </x:c>
      <x:c r="M569" s="5" t="n">
        <x:v>37</x:v>
      </x:c>
      <x:c r="N569" s="5" t="inlineStr">
        <x:is>
          <x:t xml:space="preserve">레벨</x:t>
        </x:is>
      </x:c>
      <x:c r="O569" s="5" t="inlineStr">
        <x:is>
          <x:t xml:space="preserve">예</x:t>
        </x:is>
      </x:c>
      <x:c r="P569" s="5" t="inlineStr">
        <x:is>
          <x:t xml:space="preserve">#cobblemon:is_lush</x:t>
        </x:is>
      </x:c>
      <x:c r="Q569" s="5" t="inlineStr">
        <x:is>
          <x:t xml:space="preserve">ultra-rare</x:t>
        </x:is>
      </x:c>
      <x:c r="R569" s="5" t="inlineStr">
        <x:is>
          <x:t xml:space="preserve"/>
        </x:is>
      </x:c>
      <x:c r="S569" s="5" t="inlineStr">
        <x:is>
          <x:t xml:space="preserve"/>
        </x:is>
      </x:c>
      <x:c r="T569" s="5" t="inlineStr">
        <x:is>
          <x:t xml:space="preserve">수륙</x:t>
        </x:is>
      </x:c>
      <x:c r="U569" s="5" t="inlineStr">
        <x:is>
          <x:t xml:space="preserve">암석</x:t>
        </x:is>
      </x:c>
      <x:c r="V569" s="5" t="inlineStr">
        <x:is>
          <x:t xml:space="preserve">온대</x:t>
        </x:is>
      </x:c>
      <x:c r="W569" s="5" t="inlineStr">
        <x:is>
          <x:t xml:space="preserve">보통</x:t>
        </x:is>
      </x:c>
      <x:c r="X569" s="5" t="inlineStr">
        <x:is>
          <x:t xml:space="preserve">무관</x:t>
        </x:is>
      </x:c>
      <x:c r="Y569" s="5" t="inlineStr">
        <x:is>
          <x:t xml:space="preserve">무관</x:t>
        </x:is>
      </x:c>
      <x:c r="Z569" s="5" t="inlineStr">
        <x:is>
          <x:t xml:space="preserve">희귀</x:t>
        </x:is>
      </x:c>
      <x:c r="AA569" s="5" t="inlineStr">
        <x:is>
          <x:t xml:space="preserve">없음</x:t>
        </x:is>
      </x:c>
      <x:c r="AB569" s="5" t="inlineStr">
        <x:is>
          <x:t xml:space="preserve"/>
        </x:is>
      </x:c>
      <x:c r="AC569" s="5" t="inlineStr">
        <x:is>
          <x:t xml:space="preserve">fossil; gen5</x:t>
        </x:is>
      </x:c>
      <x:c r="AD569" s="5" t="inlineStr">
        <x:is>
          <x:t xml:space="preserve">.tmp/cobblemon-1.7.3-source/common/src/main/resources/data/cobblemon/species/generation5/carracosta.json</x:t>
        </x:is>
      </x:c>
    </x:row>
    <x:row r="570" ht="22" customHeight="1">
      <x:c r="A570" s="5" t="n">
        <x:v>566</x:v>
      </x:c>
      <x:c r="B570" s="5" t="inlineStr">
        <x:is>
          <x:t xml:space="preserve">아켄</x:t>
        </x:is>
      </x:c>
      <x:c r="C570" s="5" t="inlineStr">
        <x:is>
          <x:t xml:space="preserve">archen</x:t>
        </x:is>
      </x:c>
      <x:c r="D570" s="5" t="inlineStr">
        <x:is>
          <x:t xml:space="preserve">Archen</x:t>
        </x:is>
      </x:c>
      <x:c r="E570" s="5" t="n">
        <x:v>5</x:v>
      </x:c>
      <x:c r="F570" s="5" t="inlineStr">
        <x:is>
          <x:t xml:space="preserve">바위</x:t>
        </x:is>
      </x:c>
      <x:c r="G570" s="5" t="inlineStr">
        <x:is>
          <x:t xml:space="preserve">비행</x:t>
        </x:is>
      </x:c>
      <x:c r="H570" s="5" t="n">
        <x:v>0.5</x:v>
      </x:c>
      <x:c r="I570" s="5" t="n">
        <x:v>9.5</x:v>
      </x:c>
      <x:c r="J570" s="5" t="n">
        <x:v>401</x:v>
      </x:c>
      <x:c r="K570" s="5" t="n">
        <x:v>45</x:v>
      </x:c>
      <x:c r="L570" s="5" t="inlineStr">
        <x:is>
          <x:t xml:space="preserve">기본</x:t>
        </x:is>
      </x:c>
      <x:c r="M570" s="5" t="n">
        <x:v>37</x:v>
      </x:c>
      <x:c r="N570" s="5" t="inlineStr">
        <x:is>
          <x:t xml:space="preserve">레벨</x:t>
        </x:is>
      </x:c>
      <x:c r="O570" s="5" t="inlineStr">
        <x:is>
          <x:t xml:space="preserve">예</x:t>
        </x:is>
      </x:c>
      <x:c r="P570" s="5" t="inlineStr">
        <x:is>
          <x:t xml:space="preserve">#cobblemon:is_lush</x:t>
        </x:is>
      </x:c>
      <x:c r="Q570" s="5" t="inlineStr">
        <x:is>
          <x:t xml:space="preserve">ultra-rare</x:t>
        </x:is>
      </x:c>
      <x:c r="R570" s="5" t="inlineStr">
        <x:is>
          <x:t xml:space="preserve"/>
        </x:is>
      </x:c>
      <x:c r="S570" s="5" t="inlineStr">
        <x:is>
          <x:t xml:space="preserve"/>
        </x:is>
      </x:c>
      <x:c r="T570" s="5" t="inlineStr">
        <x:is>
          <x:t xml:space="preserve">비행</x:t>
        </x:is>
      </x:c>
      <x:c r="U570" s="5" t="inlineStr">
        <x:is>
          <x:t xml:space="preserve">암석</x:t>
        </x:is>
      </x:c>
      <x:c r="V570" s="5" t="inlineStr">
        <x:is>
          <x:t xml:space="preserve">온대</x:t>
        </x:is>
      </x:c>
      <x:c r="W570" s="5" t="inlineStr">
        <x:is>
          <x:t xml:space="preserve">보통</x:t>
        </x:is>
      </x:c>
      <x:c r="X570" s="5" t="inlineStr">
        <x:is>
          <x:t xml:space="preserve">무관</x:t>
        </x:is>
      </x:c>
      <x:c r="Y570" s="5" t="inlineStr">
        <x:is>
          <x:t xml:space="preserve">무관</x:t>
        </x:is>
      </x:c>
      <x:c r="Z570" s="5" t="inlineStr">
        <x:is>
          <x:t xml:space="preserve">희귀</x:t>
        </x:is>
      </x:c>
      <x:c r="AA570" s="5" t="inlineStr">
        <x:is>
          <x:t xml:space="preserve">없음</x:t>
        </x:is>
      </x:c>
      <x:c r="AB570" s="5" t="inlineStr">
        <x:is>
          <x:t xml:space="preserve"/>
        </x:is>
      </x:c>
      <x:c r="AC570" s="5" t="inlineStr">
        <x:is>
          <x:t xml:space="preserve">fossil; gen5</x:t>
        </x:is>
      </x:c>
      <x:c r="AD570" s="5" t="inlineStr">
        <x:is>
          <x:t xml:space="preserve">.tmp/cobblemon-1.7.3-source/common/src/main/resources/data/cobblemon/species/generation5/archen.json</x:t>
        </x:is>
      </x:c>
    </x:row>
    <x:row r="571" ht="22" customHeight="1">
      <x:c r="A571" s="5" t="n">
        <x:v>567</x:v>
      </x:c>
      <x:c r="B571" s="5" t="inlineStr">
        <x:is>
          <x:t xml:space="preserve">아케오스</x:t>
        </x:is>
      </x:c>
      <x:c r="C571" s="5" t="inlineStr">
        <x:is>
          <x:t xml:space="preserve">archeops</x:t>
        </x:is>
      </x:c>
      <x:c r="D571" s="5" t="inlineStr">
        <x:is>
          <x:t xml:space="preserve">Archeops</x:t>
        </x:is>
      </x:c>
      <x:c r="E571" s="5" t="n">
        <x:v>5</x:v>
      </x:c>
      <x:c r="F571" s="5" t="inlineStr">
        <x:is>
          <x:t xml:space="preserve">바위</x:t>
        </x:is>
      </x:c>
      <x:c r="G571" s="5" t="inlineStr">
        <x:is>
          <x:t xml:space="preserve">비행</x:t>
        </x:is>
      </x:c>
      <x:c r="H571" s="5" t="n">
        <x:v>1.4</x:v>
      </x:c>
      <x:c r="I571" s="5" t="n">
        <x:v>32</x:v>
      </x:c>
      <x:c r="J571" s="5" t="n">
        <x:v>567</x:v>
      </x:c>
      <x:c r="K571" s="5" t="n">
        <x:v>45</x:v>
      </x:c>
      <x:c r="L571" s="5" t="inlineStr">
        <x:is>
          <x:t xml:space="preserve">최종</x:t>
        </x:is>
      </x:c>
      <x:c r="M571" s="5" t="n">
        <x:v>37</x:v>
      </x:c>
      <x:c r="N571" s="5" t="inlineStr">
        <x:is>
          <x:t xml:space="preserve">레벨</x:t>
        </x:is>
      </x:c>
      <x:c r="O571" s="5" t="inlineStr">
        <x:is>
          <x:t xml:space="preserve">예</x:t>
        </x:is>
      </x:c>
      <x:c r="P571" s="5" t="inlineStr">
        <x:is>
          <x:t xml:space="preserve">#cobblemon:is_lush</x:t>
        </x:is>
      </x:c>
      <x:c r="Q571" s="5" t="inlineStr">
        <x:is>
          <x:t xml:space="preserve">ultra-rare</x:t>
        </x:is>
      </x:c>
      <x:c r="R571" s="5" t="inlineStr">
        <x:is>
          <x:t xml:space="preserve"/>
        </x:is>
      </x:c>
      <x:c r="S571" s="5" t="inlineStr">
        <x:is>
          <x:t xml:space="preserve"/>
        </x:is>
      </x:c>
      <x:c r="T571" s="5" t="inlineStr">
        <x:is>
          <x:t xml:space="preserve">비행</x:t>
        </x:is>
      </x:c>
      <x:c r="U571" s="5" t="inlineStr">
        <x:is>
          <x:t xml:space="preserve">암석</x:t>
        </x:is>
      </x:c>
      <x:c r="V571" s="5" t="inlineStr">
        <x:is>
          <x:t xml:space="preserve">온대</x:t>
        </x:is>
      </x:c>
      <x:c r="W571" s="5" t="inlineStr">
        <x:is>
          <x:t xml:space="preserve">보통</x:t>
        </x:is>
      </x:c>
      <x:c r="X571" s="5" t="inlineStr">
        <x:is>
          <x:t xml:space="preserve">무관</x:t>
        </x:is>
      </x:c>
      <x:c r="Y571" s="5" t="inlineStr">
        <x:is>
          <x:t xml:space="preserve">무관</x:t>
        </x:is>
      </x:c>
      <x:c r="Z571" s="5" t="inlineStr">
        <x:is>
          <x:t xml:space="preserve">희귀</x:t>
        </x:is>
      </x:c>
      <x:c r="AA571" s="5" t="inlineStr">
        <x:is>
          <x:t xml:space="preserve">없음</x:t>
        </x:is>
      </x:c>
      <x:c r="AB571" s="5" t="inlineStr">
        <x:is>
          <x:t xml:space="preserve"/>
        </x:is>
      </x:c>
      <x:c r="AC571" s="5" t="inlineStr">
        <x:is>
          <x:t xml:space="preserve">fossil; gen5</x:t>
        </x:is>
      </x:c>
      <x:c r="AD571" s="5" t="inlineStr">
        <x:is>
          <x:t xml:space="preserve">.tmp/cobblemon-1.7.3-source/common/src/main/resources/data/cobblemon/species/generation5/archeops.json</x:t>
        </x:is>
      </x:c>
    </x:row>
    <x:row r="572" ht="22" customHeight="1">
      <x:c r="A572" s="5" t="n">
        <x:v>568</x:v>
      </x:c>
      <x:c r="B572" s="5" t="inlineStr">
        <x:is>
          <x:t xml:space="preserve">깨봉이</x:t>
        </x:is>
      </x:c>
      <x:c r="C572" s="5" t="inlineStr">
        <x:is>
          <x:t xml:space="preserve">trubbish</x:t>
        </x:is>
      </x:c>
      <x:c r="D572" s="5" t="inlineStr">
        <x:is>
          <x:t xml:space="preserve">Trubbish</x:t>
        </x:is>
      </x:c>
      <x:c r="E572" s="5" t="n">
        <x:v>5</x:v>
      </x:c>
      <x:c r="F572" s="5" t="inlineStr">
        <x:is>
          <x:t xml:space="preserve">독</x:t>
        </x:is>
      </x:c>
      <x:c r="G572" s="5" t="inlineStr">
        <x:is>
          <x:t xml:space="preserve"/>
        </x:is>
      </x:c>
      <x:c r="H572" s="5" t="n">
        <x:v>0.6</x:v>
      </x:c>
      <x:c r="I572" s="5" t="n">
        <x:v>31</x:v>
      </x:c>
      <x:c r="J572" s="5" t="n">
        <x:v>329</x:v>
      </x:c>
      <x:c r="K572" s="5" t="n">
        <x:v>190</x:v>
      </x:c>
      <x:c r="L572" s="5" t="inlineStr">
        <x:is>
          <x:t xml:space="preserve">기본</x:t>
        </x:is>
      </x:c>
      <x:c r="M572" s="5" t="n">
        <x:v>36</x:v>
      </x:c>
      <x:c r="N572" s="5" t="inlineStr">
        <x:is>
          <x:t xml:space="preserve">레벨</x:t>
        </x:is>
      </x:c>
      <x:c r="O572" s="5" t="inlineStr">
        <x:is>
          <x:t xml:space="preserve">예</x:t>
        </x:is>
      </x:c>
      <x:c r="P572" s="5" t="inlineStr">
        <x:is>
          <x:t xml:space="preserve">#cobblemon:is_overworld; #cobblemon:is_swamp</x:t>
        </x:is>
      </x:c>
      <x:c r="Q572" s="5" t="inlineStr">
        <x:is>
          <x:t xml:space="preserve">common</x:t>
        </x:is>
      </x:c>
      <x:c r="R572" s="5" t="inlineStr">
        <x:is>
          <x:t xml:space="preserve"/>
        </x:is>
      </x:c>
      <x:c r="S572" s="5" t="inlineStr">
        <x:is>
          <x:t xml:space="preserve"/>
        </x:is>
      </x:c>
      <x:c r="T572" s="5" t="inlineStr">
        <x:is>
          <x:t xml:space="preserve">육상</x:t>
        </x:is>
      </x:c>
      <x:c r="U572" s="5" t="inlineStr">
        <x:is>
          <x:t xml:space="preserve">습지</x:t>
        </x:is>
      </x:c>
      <x:c r="V572" s="5" t="inlineStr">
        <x:is>
          <x:t xml:space="preserve">온대</x:t>
        </x:is>
      </x:c>
      <x:c r="W572" s="5" t="inlineStr">
        <x:is>
          <x:t xml:space="preserve">다습</x:t>
        </x:is>
      </x:c>
      <x:c r="X572" s="5" t="inlineStr">
        <x:is>
          <x:t xml:space="preserve">비</x:t>
        </x:is>
      </x:c>
      <x:c r="Y572" s="5" t="inlineStr">
        <x:is>
          <x:t xml:space="preserve">무관</x:t>
        </x:is>
      </x:c>
      <x:c r="Z572" s="5" t="inlineStr">
        <x:is>
          <x:t xml:space="preserve">흔함</x:t>
        </x:is>
      </x:c>
      <x:c r="AA572" s="5" t="inlineStr">
        <x:is>
          <x:t xml:space="preserve">없음</x:t>
        </x:is>
      </x:c>
      <x:c r="AB572" s="5" t="inlineStr">
        <x:is>
          <x:t xml:space="preserve">습지</x:t>
        </x:is>
      </x:c>
      <x:c r="AC572" s="5" t="inlineStr">
        <x:is>
          <x:t xml:space="preserve">gen5</x:t>
        </x:is>
      </x:c>
      <x:c r="AD572" s="5" t="inlineStr">
        <x:is>
          <x:t xml:space="preserve">.tmp/cobblemon-1.7.3-source/common/src/main/resources/data/cobblemon/species/generation5/trubbish.json</x:t>
        </x:is>
      </x:c>
    </x:row>
    <x:row r="573" ht="22" customHeight="1">
      <x:c r="A573" s="5" t="n">
        <x:v>569</x:v>
      </x:c>
      <x:c r="B573" s="5" t="inlineStr">
        <x:is>
          <x:t xml:space="preserve">더스트나</x:t>
        </x:is>
      </x:c>
      <x:c r="C573" s="5" t="inlineStr">
        <x:is>
          <x:t xml:space="preserve">garbodor</x:t>
        </x:is>
      </x:c>
      <x:c r="D573" s="5" t="inlineStr">
        <x:is>
          <x:t xml:space="preserve">Garbodor</x:t>
        </x:is>
      </x:c>
      <x:c r="E573" s="5" t="n">
        <x:v>5</x:v>
      </x:c>
      <x:c r="F573" s="5" t="inlineStr">
        <x:is>
          <x:t xml:space="preserve">독</x:t>
        </x:is>
      </x:c>
      <x:c r="G573" s="5" t="inlineStr">
        <x:is>
          <x:t xml:space="preserve"/>
        </x:is>
      </x:c>
      <x:c r="H573" s="5" t="n">
        <x:v>1.9</x:v>
      </x:c>
      <x:c r="I573" s="5" t="n">
        <x:v>107.3</x:v>
      </x:c>
      <x:c r="J573" s="5" t="n">
        <x:v>474</x:v>
      </x:c>
      <x:c r="K573" s="5" t="n">
        <x:v>60</x:v>
      </x:c>
      <x:c r="L573" s="5" t="inlineStr">
        <x:is>
          <x:t xml:space="preserve">최종</x:t>
        </x:is>
      </x:c>
      <x:c r="M573" s="5" t="n">
        <x:v>36</x:v>
      </x:c>
      <x:c r="N573" s="5" t="inlineStr">
        <x:is>
          <x:t xml:space="preserve">레벨</x:t>
        </x:is>
      </x:c>
      <x:c r="O573" s="5" t="inlineStr">
        <x:is>
          <x:t xml:space="preserve">예</x:t>
        </x:is>
      </x:c>
      <x:c r="P573" s="5" t="inlineStr">
        <x:is>
          <x:t xml:space="preserve">#cobblemon:is_overworld; #cobblemon:is_swamp</x:t>
        </x:is>
      </x:c>
      <x:c r="Q573" s="5" t="inlineStr">
        <x:is>
          <x:t xml:space="preserve">common</x:t>
        </x:is>
      </x:c>
      <x:c r="R573" s="5" t="inlineStr">
        <x:is>
          <x:t xml:space="preserve"/>
        </x:is>
      </x:c>
      <x:c r="S573" s="5" t="inlineStr">
        <x:is>
          <x:t xml:space="preserve"/>
        </x:is>
      </x:c>
      <x:c r="T573" s="5" t="inlineStr">
        <x:is>
          <x:t xml:space="preserve">육상</x:t>
        </x:is>
      </x:c>
      <x:c r="U573" s="5" t="inlineStr">
        <x:is>
          <x:t xml:space="preserve">습지</x:t>
        </x:is>
      </x:c>
      <x:c r="V573" s="5" t="inlineStr">
        <x:is>
          <x:t xml:space="preserve">온대</x:t>
        </x:is>
      </x:c>
      <x:c r="W573" s="5" t="inlineStr">
        <x:is>
          <x:t xml:space="preserve">다습</x:t>
        </x:is>
      </x:c>
      <x:c r="X573" s="5" t="inlineStr">
        <x:is>
          <x:t xml:space="preserve">비</x:t>
        </x:is>
      </x:c>
      <x:c r="Y573" s="5" t="inlineStr">
        <x:is>
          <x:t xml:space="preserve">무관</x:t>
        </x:is>
      </x:c>
      <x:c r="Z573" s="5" t="inlineStr">
        <x:is>
          <x:t xml:space="preserve">흔함</x:t>
        </x:is>
      </x:c>
      <x:c r="AA573" s="5" t="inlineStr">
        <x:is>
          <x:t xml:space="preserve">없음</x:t>
        </x:is>
      </x:c>
      <x:c r="AB573" s="5" t="inlineStr">
        <x:is>
          <x:t xml:space="preserve">습지</x:t>
        </x:is>
      </x:c>
      <x:c r="AC573" s="5" t="inlineStr">
        <x:is>
          <x:t xml:space="preserve">gen5</x:t>
        </x:is>
      </x:c>
      <x:c r="AD573" s="5" t="inlineStr">
        <x:is>
          <x:t xml:space="preserve">.tmp/cobblemon-1.7.3-source/common/src/main/resources/data/cobblemon/species/generation5/garbodor.json</x:t>
        </x:is>
      </x:c>
    </x:row>
    <x:row r="574" ht="22" customHeight="1">
      <x:c r="A574" s="5" t="n">
        <x:v>570</x:v>
      </x:c>
      <x:c r="B574" s="5" t="inlineStr">
        <x:is>
          <x:t xml:space="preserve">조로아</x:t>
        </x:is>
      </x:c>
      <x:c r="C574" s="5" t="inlineStr">
        <x:is>
          <x:t xml:space="preserve">zorua</x:t>
        </x:is>
      </x:c>
      <x:c r="D574" s="5" t="inlineStr">
        <x:is>
          <x:t xml:space="preserve">Zorua</x:t>
        </x:is>
      </x:c>
      <x:c r="E574" s="5" t="n">
        <x:v>5</x:v>
      </x:c>
      <x:c r="F574" s="5" t="inlineStr">
        <x:is>
          <x:t xml:space="preserve">악</x:t>
        </x:is>
      </x:c>
      <x:c r="G574" s="5" t="inlineStr">
        <x:is>
          <x:t xml:space="preserve"/>
        </x:is>
      </x:c>
      <x:c r="H574" s="5" t="n">
        <x:v>0.7</x:v>
      </x:c>
      <x:c r="I574" s="5" t="n">
        <x:v>12.5</x:v>
      </x:c>
      <x:c r="J574" s="5" t="n">
        <x:v>330</x:v>
      </x:c>
      <x:c r="K574" s="5" t="n">
        <x:v>75</x:v>
      </x:c>
      <x:c r="L574" s="5" t="inlineStr">
        <x:is>
          <x:t xml:space="preserve">기본</x:t>
        </x:is>
      </x:c>
      <x:c r="M574" s="5" t="n">
        <x:v>30</x:v>
      </x:c>
      <x:c r="N574" s="5" t="inlineStr">
        <x:is>
          <x:t xml:space="preserve">레벨</x:t>
        </x:is>
      </x:c>
      <x:c r="O574" s="5" t="inlineStr">
        <x:is>
          <x:t xml:space="preserve">예</x:t>
        </x:is>
      </x:c>
      <x:c r="P574" s="5" t="inlineStr">
        <x:is>
          <x:t xml:space="preserve">#cobblemon:is_forest; #cobblemon:is_snowy_forest; #cobblemon:is_snowy_taiga; #minecraft:is_nether</x:t>
        </x:is>
      </x:c>
      <x:c r="Q574" s="5" t="inlineStr">
        <x:is>
          <x:t xml:space="preserve">uncommon</x:t>
        </x:is>
      </x:c>
      <x:c r="R574" s="5" t="inlineStr">
        <x:is>
          <x:t xml:space="preserve">night</x:t>
        </x:is>
      </x:c>
      <x:c r="S574" s="5" t="inlineStr">
        <x:is>
          <x:t xml:space="preserve"/>
        </x:is>
      </x:c>
      <x:c r="T574" s="5" t="inlineStr">
        <x:is>
          <x:t xml:space="preserve">육상</x:t>
        </x:is>
      </x:c>
      <x:c r="U574" s="5" t="inlineStr">
        <x:is>
          <x:t xml:space="preserve">수목</x:t>
        </x:is>
      </x:c>
      <x:c r="V574" s="5" t="inlineStr">
        <x:is>
          <x:t xml:space="preserve">서늘</x:t>
        </x:is>
      </x:c>
      <x:c r="W574" s="5" t="inlineStr">
        <x:is>
          <x:t xml:space="preserve">보통</x:t>
        </x:is>
      </x:c>
      <x:c r="X574" s="5" t="inlineStr">
        <x:is>
          <x:t xml:space="preserve">무관</x:t>
        </x:is>
      </x:c>
      <x:c r="Y574" s="5" t="inlineStr">
        <x:is>
          <x:t xml:space="preserve">밤</x:t>
        </x:is>
      </x:c>
      <x:c r="Z574" s="5" t="inlineStr">
        <x:is>
          <x:t xml:space="preserve">보통</x:t>
        </x:is>
      </x:c>
      <x:c r="AA574" s="5" t="inlineStr">
        <x:is>
          <x:t xml:space="preserve">없음</x:t>
        </x:is>
      </x:c>
      <x:c r="AB574" s="5" t="inlineStr">
        <x:is>
          <x:t xml:space="preserve">숲</x:t>
        </x:is>
      </x:c>
      <x:c r="AC574" s="5" t="inlineStr">
        <x:is>
          <x:t xml:space="preserve">gen5; unovan_form</x:t>
        </x:is>
      </x:c>
      <x:c r="AD574" s="5" t="inlineStr">
        <x:is>
          <x:t xml:space="preserve">.tmp/cobblemon-1.7.3-source/common/src/main/resources/data/cobblemon/species/generation5/zorua.json</x:t>
        </x:is>
      </x:c>
    </x:row>
    <x:row r="575" ht="22" customHeight="1">
      <x:c r="A575" s="5" t="n">
        <x:v>571</x:v>
      </x:c>
      <x:c r="B575" s="5" t="inlineStr">
        <x:is>
          <x:t xml:space="preserve">조로아크</x:t>
        </x:is>
      </x:c>
      <x:c r="C575" s="5" t="inlineStr">
        <x:is>
          <x:t xml:space="preserve">zoroark</x:t>
        </x:is>
      </x:c>
      <x:c r="D575" s="5" t="inlineStr">
        <x:is>
          <x:t xml:space="preserve">Zoroark</x:t>
        </x:is>
      </x:c>
      <x:c r="E575" s="5" t="n">
        <x:v>5</x:v>
      </x:c>
      <x:c r="F575" s="5" t="inlineStr">
        <x:is>
          <x:t xml:space="preserve">악</x:t>
        </x:is>
      </x:c>
      <x:c r="G575" s="5" t="inlineStr">
        <x:is>
          <x:t xml:space="preserve"/>
        </x:is>
      </x:c>
      <x:c r="H575" s="5" t="n">
        <x:v>1.6</x:v>
      </x:c>
      <x:c r="I575" s="5" t="n">
        <x:v>81.09999999999999</x:v>
      </x:c>
      <x:c r="J575" s="5" t="n">
        <x:v>510</x:v>
      </x:c>
      <x:c r="K575" s="5" t="n">
        <x:v>45</x:v>
      </x:c>
      <x:c r="L575" s="5" t="inlineStr">
        <x:is>
          <x:t xml:space="preserve">최종</x:t>
        </x:is>
      </x:c>
      <x:c r="M575" s="5" t="n">
        <x:v>30</x:v>
      </x:c>
      <x:c r="N575" s="5" t="inlineStr">
        <x:is>
          <x:t xml:space="preserve">레벨</x:t>
        </x:is>
      </x:c>
      <x:c r="O575" s="5" t="inlineStr">
        <x:is>
          <x:t xml:space="preserve">예</x:t>
        </x:is>
      </x:c>
      <x:c r="P575" s="5" t="inlineStr">
        <x:is>
          <x:t xml:space="preserve">#cobblemon:is_forest; #cobblemon:is_snowy_forest; #cobblemon:is_snowy_taiga; #minecraft:is_nether</x:t>
        </x:is>
      </x:c>
      <x:c r="Q575" s="5" t="inlineStr">
        <x:is>
          <x:t xml:space="preserve">uncommon</x:t>
        </x:is>
      </x:c>
      <x:c r="R575" s="5" t="inlineStr">
        <x:is>
          <x:t xml:space="preserve">night</x:t>
        </x:is>
      </x:c>
      <x:c r="S575" s="5" t="inlineStr">
        <x:is>
          <x:t xml:space="preserve"/>
        </x:is>
      </x:c>
      <x:c r="T575" s="5" t="inlineStr">
        <x:is>
          <x:t xml:space="preserve">육상</x:t>
        </x:is>
      </x:c>
      <x:c r="U575" s="5" t="inlineStr">
        <x:is>
          <x:t xml:space="preserve">수목</x:t>
        </x:is>
      </x:c>
      <x:c r="V575" s="5" t="inlineStr">
        <x:is>
          <x:t xml:space="preserve">서늘</x:t>
        </x:is>
      </x:c>
      <x:c r="W575" s="5" t="inlineStr">
        <x:is>
          <x:t xml:space="preserve">보통</x:t>
        </x:is>
      </x:c>
      <x:c r="X575" s="5" t="inlineStr">
        <x:is>
          <x:t xml:space="preserve">무관</x:t>
        </x:is>
      </x:c>
      <x:c r="Y575" s="5" t="inlineStr">
        <x:is>
          <x:t xml:space="preserve">밤</x:t>
        </x:is>
      </x:c>
      <x:c r="Z575" s="5" t="inlineStr">
        <x:is>
          <x:t xml:space="preserve">보통</x:t>
        </x:is>
      </x:c>
      <x:c r="AA575" s="5" t="inlineStr">
        <x:is>
          <x:t xml:space="preserve">없음</x:t>
        </x:is>
      </x:c>
      <x:c r="AB575" s="5" t="inlineStr">
        <x:is>
          <x:t xml:space="preserve">숲</x:t>
        </x:is>
      </x:c>
      <x:c r="AC575" s="5" t="inlineStr">
        <x:is>
          <x:t xml:space="preserve">gen5; unovan_form</x:t>
        </x:is>
      </x:c>
      <x:c r="AD575" s="5" t="inlineStr">
        <x:is>
          <x:t xml:space="preserve">.tmp/cobblemon-1.7.3-source/common/src/main/resources/data/cobblemon/species/generation5/zoroark.json</x:t>
        </x:is>
      </x:c>
    </x:row>
    <x:row r="576" ht="22" customHeight="1">
      <x:c r="A576" s="5" t="n">
        <x:v>572</x:v>
      </x:c>
      <x:c r="B576" s="5" t="inlineStr">
        <x:is>
          <x:t xml:space="preserve">치라미</x:t>
        </x:is>
      </x:c>
      <x:c r="C576" s="5" t="inlineStr">
        <x:is>
          <x:t xml:space="preserve">minccino</x:t>
        </x:is>
      </x:c>
      <x:c r="D576" s="5" t="inlineStr">
        <x:is>
          <x:t xml:space="preserve">Minccino</x:t>
        </x:is>
      </x:c>
      <x:c r="E576" s="5" t="n">
        <x:v>5</x:v>
      </x:c>
      <x:c r="F576" s="5" t="inlineStr">
        <x:is>
          <x:t xml:space="preserve">노말</x:t>
        </x:is>
      </x:c>
      <x:c r="G576" s="5" t="inlineStr">
        <x:is>
          <x:t xml:space="preserve"/>
        </x:is>
      </x:c>
      <x:c r="H576" s="5" t="n">
        <x:v>0.4</x:v>
      </x:c>
      <x:c r="I576" s="5" t="n">
        <x:v>5.8</x:v>
      </x:c>
      <x:c r="J576" s="5" t="n">
        <x:v>300</x:v>
      </x:c>
      <x:c r="K576" s="5" t="n">
        <x:v>255</x:v>
      </x:c>
      <x:c r="L576" s="5" t="inlineStr">
        <x:is>
          <x:t xml:space="preserve">기본</x:t>
        </x:is>
      </x:c>
      <x:c r="M576" s="5" t="n"/>
      <x:c r="N576" s="5" t="inlineStr">
        <x:is>
          <x:t xml:space="preserve">특수</x:t>
        </x:is>
      </x:c>
      <x:c r="O576" s="5" t="inlineStr">
        <x:is>
          <x:t xml:space="preserve">예</x:t>
        </x:is>
      </x:c>
      <x:c r="P576" s="5" t="inlineStr">
        <x:is>
          <x:t xml:space="preserve">#cobblemon:is_magical; #cobblemon:is_overworld</x:t>
        </x:is>
      </x:c>
      <x:c r="Q576" s="5" t="inlineStr">
        <x:is>
          <x:t xml:space="preserve">common</x:t>
        </x:is>
      </x:c>
      <x:c r="R576" s="5" t="inlineStr">
        <x:is>
          <x:t xml:space="preserve"/>
        </x:is>
      </x:c>
      <x:c r="S576" s="5" t="inlineStr">
        <x:is>
          <x:t xml:space="preserve"/>
        </x:is>
      </x:c>
      <x:c r="T576" s="5" t="inlineStr">
        <x:is>
          <x:t xml:space="preserve">육상</x:t>
        </x:is>
      </x:c>
      <x:c r="U576" s="5" t="inlineStr">
        <x:is>
          <x:t xml:space="preserve">개활지</x:t>
        </x:is>
      </x:c>
      <x:c r="V576" s="5" t="inlineStr">
        <x:is>
          <x:t xml:space="preserve">온대</x:t>
        </x:is>
      </x:c>
      <x:c r="W576" s="5" t="inlineStr">
        <x:is>
          <x:t xml:space="preserve">보통</x:t>
        </x:is>
      </x:c>
      <x:c r="X576" s="5" t="inlineStr">
        <x:is>
          <x:t xml:space="preserve">무관</x:t>
        </x:is>
      </x:c>
      <x:c r="Y576" s="5" t="inlineStr">
        <x:is>
          <x:t xml:space="preserve">무관</x:t>
        </x:is>
      </x:c>
      <x:c r="Z576" s="5" t="inlineStr">
        <x:is>
          <x:t xml:space="preserve">흔함</x:t>
        </x:is>
      </x:c>
      <x:c r="AA576" s="5" t="inlineStr">
        <x:is>
          <x:t xml:space="preserve">없음</x:t>
        </x:is>
      </x:c>
      <x:c r="AB576" s="5" t="inlineStr">
        <x:is>
          <x:t xml:space="preserve"/>
        </x:is>
      </x:c>
      <x:c r="AC576" s="5" t="inlineStr">
        <x:is>
          <x:t xml:space="preserve">gen5</x:t>
        </x:is>
      </x:c>
      <x:c r="AD576" s="5" t="inlineStr">
        <x:is>
          <x:t xml:space="preserve">.tmp/cobblemon-1.7.3-source/common/src/main/resources/data/cobblemon/species/generation5/minccino.json</x:t>
        </x:is>
      </x:c>
    </x:row>
    <x:row r="577" ht="22" customHeight="1">
      <x:c r="A577" s="5" t="n">
        <x:v>573</x:v>
      </x:c>
      <x:c r="B577" s="5" t="inlineStr">
        <x:is>
          <x:t xml:space="preserve">치라치노</x:t>
        </x:is>
      </x:c>
      <x:c r="C577" s="5" t="inlineStr">
        <x:is>
          <x:t xml:space="preserve">cinccino</x:t>
        </x:is>
      </x:c>
      <x:c r="D577" s="5" t="inlineStr">
        <x:is>
          <x:t xml:space="preserve">Cinccino</x:t>
        </x:is>
      </x:c>
      <x:c r="E577" s="5" t="n">
        <x:v>5</x:v>
      </x:c>
      <x:c r="F577" s="5" t="inlineStr">
        <x:is>
          <x:t xml:space="preserve">노말</x:t>
        </x:is>
      </x:c>
      <x:c r="G577" s="5" t="inlineStr">
        <x:is>
          <x:t xml:space="preserve"/>
        </x:is>
      </x:c>
      <x:c r="H577" s="5" t="n">
        <x:v>0.5</x:v>
      </x:c>
      <x:c r="I577" s="5" t="n">
        <x:v>7.5</x:v>
      </x:c>
      <x:c r="J577" s="5" t="n">
        <x:v>470</x:v>
      </x:c>
      <x:c r="K577" s="5" t="n">
        <x:v>60</x:v>
      </x:c>
      <x:c r="L577" s="5" t="inlineStr">
        <x:is>
          <x:t xml:space="preserve">최종</x:t>
        </x:is>
      </x:c>
      <x:c r="M577" s="5" t="n"/>
      <x:c r="N577" s="5" t="inlineStr">
        <x:is>
          <x:t xml:space="preserve">특수</x:t>
        </x:is>
      </x:c>
      <x:c r="O577" s="5" t="inlineStr">
        <x:is>
          <x:t xml:space="preserve">예</x:t>
        </x:is>
      </x:c>
      <x:c r="P577" s="5" t="inlineStr">
        <x:is>
          <x:t xml:space="preserve">#cobblemon:is_magical; #cobblemon:is_overworld</x:t>
        </x:is>
      </x:c>
      <x:c r="Q577" s="5" t="inlineStr">
        <x:is>
          <x:t xml:space="preserve">common</x:t>
        </x:is>
      </x:c>
      <x:c r="R577" s="5" t="inlineStr">
        <x:is>
          <x:t xml:space="preserve"/>
        </x:is>
      </x:c>
      <x:c r="S577" s="5" t="inlineStr">
        <x:is>
          <x:t xml:space="preserve"/>
        </x:is>
      </x:c>
      <x:c r="T577" s="5" t="inlineStr">
        <x:is>
          <x:t xml:space="preserve">육상</x:t>
        </x:is>
      </x:c>
      <x:c r="U577" s="5" t="inlineStr">
        <x:is>
          <x:t xml:space="preserve">개활지</x:t>
        </x:is>
      </x:c>
      <x:c r="V577" s="5" t="inlineStr">
        <x:is>
          <x:t xml:space="preserve">온대</x:t>
        </x:is>
      </x:c>
      <x:c r="W577" s="5" t="inlineStr">
        <x:is>
          <x:t xml:space="preserve">보통</x:t>
        </x:is>
      </x:c>
      <x:c r="X577" s="5" t="inlineStr">
        <x:is>
          <x:t xml:space="preserve">무관</x:t>
        </x:is>
      </x:c>
      <x:c r="Y577" s="5" t="inlineStr">
        <x:is>
          <x:t xml:space="preserve">무관</x:t>
        </x:is>
      </x:c>
      <x:c r="Z577" s="5" t="inlineStr">
        <x:is>
          <x:t xml:space="preserve">흔함</x:t>
        </x:is>
      </x:c>
      <x:c r="AA577" s="5" t="inlineStr">
        <x:is>
          <x:t xml:space="preserve">없음</x:t>
        </x:is>
      </x:c>
      <x:c r="AB577" s="5" t="inlineStr">
        <x:is>
          <x:t xml:space="preserve"/>
        </x:is>
      </x:c>
      <x:c r="AC577" s="5" t="inlineStr">
        <x:is>
          <x:t xml:space="preserve">gen5</x:t>
        </x:is>
      </x:c>
      <x:c r="AD577" s="5" t="inlineStr">
        <x:is>
          <x:t xml:space="preserve">.tmp/cobblemon-1.7.3-source/common/src/main/resources/data/cobblemon/species/generation5/cinccino.json</x:t>
        </x:is>
      </x:c>
    </x:row>
    <x:row r="578" ht="22" customHeight="1">
      <x:c r="A578" s="5" t="n">
        <x:v>574</x:v>
      </x:c>
      <x:c r="B578" s="5" t="inlineStr">
        <x:is>
          <x:t xml:space="preserve">고디탱</x:t>
        </x:is>
      </x:c>
      <x:c r="C578" s="5" t="inlineStr">
        <x:is>
          <x:t xml:space="preserve">gothita</x:t>
        </x:is>
      </x:c>
      <x:c r="D578" s="5" t="inlineStr">
        <x:is>
          <x:t xml:space="preserve">Gothita</x:t>
        </x:is>
      </x:c>
      <x:c r="E578" s="5" t="n">
        <x:v>5</x:v>
      </x:c>
      <x:c r="F578" s="5" t="inlineStr">
        <x:is>
          <x:t xml:space="preserve">에스퍼</x:t>
        </x:is>
      </x:c>
      <x:c r="G578" s="5" t="inlineStr">
        <x:is>
          <x:t xml:space="preserve"/>
        </x:is>
      </x:c>
      <x:c r="H578" s="5" t="n">
        <x:v>0.4</x:v>
      </x:c>
      <x:c r="I578" s="5" t="n">
        <x:v>5.8</x:v>
      </x:c>
      <x:c r="J578" s="5" t="n">
        <x:v>290</x:v>
      </x:c>
      <x:c r="K578" s="5" t="n">
        <x:v>200</x:v>
      </x:c>
      <x:c r="L578" s="5" t="inlineStr">
        <x:is>
          <x:t xml:space="preserve">기본</x:t>
        </x:is>
      </x:c>
      <x:c r="M578" s="5" t="n">
        <x:v>41</x:v>
      </x:c>
      <x:c r="N578" s="5" t="inlineStr">
        <x:is>
          <x:t xml:space="preserve">레벨</x:t>
        </x:is>
      </x:c>
      <x:c r="O578" s="5" t="inlineStr">
        <x:is>
          <x:t xml:space="preserve">예</x:t>
        </x:is>
      </x:c>
      <x:c r="P578" s="5" t="inlineStr">
        <x:is>
          <x:t xml:space="preserve">#cobblemon:is_end; #cobblemon:is_overworld</x:t>
        </x:is>
      </x:c>
      <x:c r="Q578" s="5" t="inlineStr">
        <x:is>
          <x:t xml:space="preserve">common; uncommon</x:t>
        </x:is>
      </x:c>
      <x:c r="R578" s="5" t="inlineStr">
        <x:is>
          <x:t xml:space="preserve"/>
        </x:is>
      </x:c>
      <x:c r="S578" s="5" t="inlineStr">
        <x:is>
          <x:t xml:space="preserve"/>
        </x:is>
      </x:c>
      <x:c r="T578" s="5" t="inlineStr">
        <x:is>
          <x:t xml:space="preserve">육상</x:t>
        </x:is>
      </x:c>
      <x:c r="U578" s="5" t="inlineStr">
        <x:is>
          <x:t xml:space="preserve">개활지</x:t>
        </x:is>
      </x:c>
      <x:c r="V578" s="5" t="inlineStr">
        <x:is>
          <x:t xml:space="preserve">온대</x:t>
        </x:is>
      </x:c>
      <x:c r="W578" s="5" t="inlineStr">
        <x:is>
          <x:t xml:space="preserve">보통</x:t>
        </x:is>
      </x:c>
      <x:c r="X578" s="5" t="inlineStr">
        <x:is>
          <x:t xml:space="preserve">무관</x:t>
        </x:is>
      </x:c>
      <x:c r="Y578" s="5" t="inlineStr">
        <x:is>
          <x:t xml:space="preserve">무관</x:t>
        </x:is>
      </x:c>
      <x:c r="Z578" s="5" t="inlineStr">
        <x:is>
          <x:t xml:space="preserve">보통</x:t>
        </x:is>
      </x:c>
      <x:c r="AA578" s="5" t="inlineStr">
        <x:is>
          <x:t xml:space="preserve">없음</x:t>
        </x:is>
      </x:c>
      <x:c r="AB578" s="5" t="inlineStr">
        <x:is>
          <x:t xml:space="preserve"/>
        </x:is>
      </x:c>
      <x:c r="AC578" s="5" t="inlineStr">
        <x:is>
          <x:t xml:space="preserve">gen5</x:t>
        </x:is>
      </x:c>
      <x:c r="AD578" s="5" t="inlineStr">
        <x:is>
          <x:t xml:space="preserve">.tmp/cobblemon-1.7.3-source/common/src/main/resources/data/cobblemon/species/generation5/gothita.json</x:t>
        </x:is>
      </x:c>
    </x:row>
    <x:row r="579" ht="22" customHeight="1">
      <x:c r="A579" s="5" t="n">
        <x:v>575</x:v>
      </x:c>
      <x:c r="B579" s="5" t="inlineStr">
        <x:is>
          <x:t xml:space="preserve">고디보미</x:t>
        </x:is>
      </x:c>
      <x:c r="C579" s="5" t="inlineStr">
        <x:is>
          <x:t xml:space="preserve">gothorita</x:t>
        </x:is>
      </x:c>
      <x:c r="D579" s="5" t="inlineStr">
        <x:is>
          <x:t xml:space="preserve">Gothorita</x:t>
        </x:is>
      </x:c>
      <x:c r="E579" s="5" t="n">
        <x:v>5</x:v>
      </x:c>
      <x:c r="F579" s="5" t="inlineStr">
        <x:is>
          <x:t xml:space="preserve">에스퍼</x:t>
        </x:is>
      </x:c>
      <x:c r="G579" s="5" t="inlineStr">
        <x:is>
          <x:t xml:space="preserve"/>
        </x:is>
      </x:c>
      <x:c r="H579" s="5" t="n">
        <x:v>0.7</x:v>
      </x:c>
      <x:c r="I579" s="5" t="n">
        <x:v>18</x:v>
      </x:c>
      <x:c r="J579" s="5" t="n">
        <x:v>390</x:v>
      </x:c>
      <x:c r="K579" s="5" t="n">
        <x:v>100</x:v>
      </x:c>
      <x:c r="L579" s="5" t="inlineStr">
        <x:is>
          <x:t xml:space="preserve">중간</x:t>
        </x:is>
      </x:c>
      <x:c r="M579" s="5" t="n">
        <x:v>41</x:v>
      </x:c>
      <x:c r="N579" s="5" t="inlineStr">
        <x:is>
          <x:t xml:space="preserve">레벨</x:t>
        </x:is>
      </x:c>
      <x:c r="O579" s="5" t="inlineStr">
        <x:is>
          <x:t xml:space="preserve">예</x:t>
        </x:is>
      </x:c>
      <x:c r="P579" s="5" t="inlineStr">
        <x:is>
          <x:t xml:space="preserve">#cobblemon:is_end; #cobblemon:is_overworld</x:t>
        </x:is>
      </x:c>
      <x:c r="Q579" s="5" t="inlineStr">
        <x:is>
          <x:t xml:space="preserve">common; uncommon</x:t>
        </x:is>
      </x:c>
      <x:c r="R579" s="5" t="inlineStr">
        <x:is>
          <x:t xml:space="preserve"/>
        </x:is>
      </x:c>
      <x:c r="S579" s="5" t="inlineStr">
        <x:is>
          <x:t xml:space="preserve"/>
        </x:is>
      </x:c>
      <x:c r="T579" s="5" t="inlineStr">
        <x:is>
          <x:t xml:space="preserve">육상</x:t>
        </x:is>
      </x:c>
      <x:c r="U579" s="5" t="inlineStr">
        <x:is>
          <x:t xml:space="preserve">개활지</x:t>
        </x:is>
      </x:c>
      <x:c r="V579" s="5" t="inlineStr">
        <x:is>
          <x:t xml:space="preserve">온대</x:t>
        </x:is>
      </x:c>
      <x:c r="W579" s="5" t="inlineStr">
        <x:is>
          <x:t xml:space="preserve">보통</x:t>
        </x:is>
      </x:c>
      <x:c r="X579" s="5" t="inlineStr">
        <x:is>
          <x:t xml:space="preserve">무관</x:t>
        </x:is>
      </x:c>
      <x:c r="Y579" s="5" t="inlineStr">
        <x:is>
          <x:t xml:space="preserve">무관</x:t>
        </x:is>
      </x:c>
      <x:c r="Z579" s="5" t="inlineStr">
        <x:is>
          <x:t xml:space="preserve">보통</x:t>
        </x:is>
      </x:c>
      <x:c r="AA579" s="5" t="inlineStr">
        <x:is>
          <x:t xml:space="preserve">없음</x:t>
        </x:is>
      </x:c>
      <x:c r="AB579" s="5" t="inlineStr">
        <x:is>
          <x:t xml:space="preserve"/>
        </x:is>
      </x:c>
      <x:c r="AC579" s="5" t="inlineStr">
        <x:is>
          <x:t xml:space="preserve">gen5</x:t>
        </x:is>
      </x:c>
      <x:c r="AD579" s="5" t="inlineStr">
        <x:is>
          <x:t xml:space="preserve">.tmp/cobblemon-1.7.3-source/common/src/main/resources/data/cobblemon/species/generation5/gothorita.json</x:t>
        </x:is>
      </x:c>
    </x:row>
    <x:row r="580" ht="22" customHeight="1">
      <x:c r="A580" s="5" t="n">
        <x:v>576</x:v>
      </x:c>
      <x:c r="B580" s="5" t="inlineStr">
        <x:is>
          <x:t xml:space="preserve">고디모아젤</x:t>
        </x:is>
      </x:c>
      <x:c r="C580" s="5" t="inlineStr">
        <x:is>
          <x:t xml:space="preserve">gothitelle</x:t>
        </x:is>
      </x:c>
      <x:c r="D580" s="5" t="inlineStr">
        <x:is>
          <x:t xml:space="preserve">Gothitelle</x:t>
        </x:is>
      </x:c>
      <x:c r="E580" s="5" t="n">
        <x:v>5</x:v>
      </x:c>
      <x:c r="F580" s="5" t="inlineStr">
        <x:is>
          <x:t xml:space="preserve">에스퍼</x:t>
        </x:is>
      </x:c>
      <x:c r="G580" s="5" t="inlineStr">
        <x:is>
          <x:t xml:space="preserve"/>
        </x:is>
      </x:c>
      <x:c r="H580" s="5" t="n">
        <x:v>1.5</x:v>
      </x:c>
      <x:c r="I580" s="5" t="n">
        <x:v>44</x:v>
      </x:c>
      <x:c r="J580" s="5" t="n">
        <x:v>490</x:v>
      </x:c>
      <x:c r="K580" s="5" t="n">
        <x:v>50</x:v>
      </x:c>
      <x:c r="L580" s="5" t="inlineStr">
        <x:is>
          <x:t xml:space="preserve">최종</x:t>
        </x:is>
      </x:c>
      <x:c r="M580" s="5" t="n">
        <x:v>41</x:v>
      </x:c>
      <x:c r="N580" s="5" t="inlineStr">
        <x:is>
          <x:t xml:space="preserve">레벨</x:t>
        </x:is>
      </x:c>
      <x:c r="O580" s="5" t="inlineStr">
        <x:is>
          <x:t xml:space="preserve">예</x:t>
        </x:is>
      </x:c>
      <x:c r="P580" s="5" t="inlineStr">
        <x:is>
          <x:t xml:space="preserve">#cobblemon:is_end; #cobblemon:is_overworld</x:t>
        </x:is>
      </x:c>
      <x:c r="Q580" s="5" t="inlineStr">
        <x:is>
          <x:t xml:space="preserve">common; uncommon</x:t>
        </x:is>
      </x:c>
      <x:c r="R580" s="5" t="inlineStr">
        <x:is>
          <x:t xml:space="preserve"/>
        </x:is>
      </x:c>
      <x:c r="S580" s="5" t="inlineStr">
        <x:is>
          <x:t xml:space="preserve"/>
        </x:is>
      </x:c>
      <x:c r="T580" s="5" t="inlineStr">
        <x:is>
          <x:t xml:space="preserve">육상</x:t>
        </x:is>
      </x:c>
      <x:c r="U580" s="5" t="inlineStr">
        <x:is>
          <x:t xml:space="preserve">개활지</x:t>
        </x:is>
      </x:c>
      <x:c r="V580" s="5" t="inlineStr">
        <x:is>
          <x:t xml:space="preserve">온대</x:t>
        </x:is>
      </x:c>
      <x:c r="W580" s="5" t="inlineStr">
        <x:is>
          <x:t xml:space="preserve">보통</x:t>
        </x:is>
      </x:c>
      <x:c r="X580" s="5" t="inlineStr">
        <x:is>
          <x:t xml:space="preserve">무관</x:t>
        </x:is>
      </x:c>
      <x:c r="Y580" s="5" t="inlineStr">
        <x:is>
          <x:t xml:space="preserve">무관</x:t>
        </x:is>
      </x:c>
      <x:c r="Z580" s="5" t="inlineStr">
        <x:is>
          <x:t xml:space="preserve">보통</x:t>
        </x:is>
      </x:c>
      <x:c r="AA580" s="5" t="inlineStr">
        <x:is>
          <x:t xml:space="preserve">없음</x:t>
        </x:is>
      </x:c>
      <x:c r="AB580" s="5" t="inlineStr">
        <x:is>
          <x:t xml:space="preserve"/>
        </x:is>
      </x:c>
      <x:c r="AC580" s="5" t="inlineStr">
        <x:is>
          <x:t xml:space="preserve">gen5</x:t>
        </x:is>
      </x:c>
      <x:c r="AD580" s="5" t="inlineStr">
        <x:is>
          <x:t xml:space="preserve">.tmp/cobblemon-1.7.3-source/common/src/main/resources/data/cobblemon/species/generation5/gothitelle.json</x:t>
        </x:is>
      </x:c>
    </x:row>
    <x:row r="581" ht="22" customHeight="1">
      <x:c r="A581" s="5" t="n">
        <x:v>577</x:v>
      </x:c>
      <x:c r="B581" s="5" t="inlineStr">
        <x:is>
          <x:t xml:space="preserve">유니란</x:t>
        </x:is>
      </x:c>
      <x:c r="C581" s="5" t="inlineStr">
        <x:is>
          <x:t xml:space="preserve">solosis</x:t>
        </x:is>
      </x:c>
      <x:c r="D581" s="5" t="inlineStr">
        <x:is>
          <x:t xml:space="preserve">Solosis</x:t>
        </x:is>
      </x:c>
      <x:c r="E581" s="5" t="n">
        <x:v>5</x:v>
      </x:c>
      <x:c r="F581" s="5" t="inlineStr">
        <x:is>
          <x:t xml:space="preserve">에스퍼</x:t>
        </x:is>
      </x:c>
      <x:c r="G581" s="5" t="inlineStr">
        <x:is>
          <x:t xml:space="preserve"/>
        </x:is>
      </x:c>
      <x:c r="H581" s="5" t="n">
        <x:v>0.3</x:v>
      </x:c>
      <x:c r="I581" s="5" t="n">
        <x:v>1</x:v>
      </x:c>
      <x:c r="J581" s="5" t="n">
        <x:v>290</x:v>
      </x:c>
      <x:c r="K581" s="5" t="n">
        <x:v>200</x:v>
      </x:c>
      <x:c r="L581" s="5" t="inlineStr">
        <x:is>
          <x:t xml:space="preserve">기본</x:t>
        </x:is>
      </x:c>
      <x:c r="M581" s="5" t="n">
        <x:v>41</x:v>
      </x:c>
      <x:c r="N581" s="5" t="inlineStr">
        <x:is>
          <x:t xml:space="preserve">레벨</x:t>
        </x:is>
      </x:c>
      <x:c r="O581" s="5" t="inlineStr">
        <x:is>
          <x:t xml:space="preserve">예</x:t>
        </x:is>
      </x:c>
      <x:c r="P581" s="5" t="inlineStr">
        <x:is>
          <x:t xml:space="preserve">#cobblemon:is_end; #cobblemon:is_lush</x:t>
        </x:is>
      </x:c>
      <x:c r="Q581" s="5" t="inlineStr">
        <x:is>
          <x:t xml:space="preserve">rare</x:t>
        </x:is>
      </x:c>
      <x:c r="R581" s="5" t="inlineStr">
        <x:is>
          <x:t xml:space="preserve"/>
        </x:is>
      </x:c>
      <x:c r="S581" s="5" t="inlineStr">
        <x:is>
          <x:t xml:space="preserve"/>
        </x:is>
      </x:c>
      <x:c r="T581" s="5" t="inlineStr">
        <x:is>
          <x:t xml:space="preserve">비행</x:t>
        </x:is>
      </x:c>
      <x:c r="U581" s="5" t="inlineStr">
        <x:is>
          <x:t xml:space="preserve">개활지</x:t>
        </x:is>
      </x:c>
      <x:c r="V581" s="5" t="inlineStr">
        <x:is>
          <x:t xml:space="preserve">온대</x:t>
        </x:is>
      </x:c>
      <x:c r="W581" s="5" t="inlineStr">
        <x:is>
          <x:t xml:space="preserve">보통</x:t>
        </x:is>
      </x:c>
      <x:c r="X581" s="5" t="inlineStr">
        <x:is>
          <x:t xml:space="preserve">무관</x:t>
        </x:is>
      </x:c>
      <x:c r="Y581" s="5" t="inlineStr">
        <x:is>
          <x:t xml:space="preserve">무관</x:t>
        </x:is>
      </x:c>
      <x:c r="Z581" s="5" t="inlineStr">
        <x:is>
          <x:t xml:space="preserve">드묾</x:t>
        </x:is>
      </x:c>
      <x:c r="AA581" s="5" t="inlineStr">
        <x:is>
          <x:t xml:space="preserve">없음</x:t>
        </x:is>
      </x:c>
      <x:c r="AB581" s="5" t="inlineStr">
        <x:is>
          <x:t xml:space="preserve"/>
        </x:is>
      </x:c>
      <x:c r="AC581" s="5" t="inlineStr">
        <x:is>
          <x:t xml:space="preserve">gen5</x:t>
        </x:is>
      </x:c>
      <x:c r="AD581" s="5" t="inlineStr">
        <x:is>
          <x:t xml:space="preserve">.tmp/cobblemon-1.7.3-source/common/src/main/resources/data/cobblemon/species/generation5/solosis.json</x:t>
        </x:is>
      </x:c>
    </x:row>
    <x:row r="582" ht="22" customHeight="1">
      <x:c r="A582" s="5" t="n">
        <x:v>578</x:v>
      </x:c>
      <x:c r="B582" s="5" t="inlineStr">
        <x:is>
          <x:t xml:space="preserve">듀란</x:t>
        </x:is>
      </x:c>
      <x:c r="C582" s="5" t="inlineStr">
        <x:is>
          <x:t xml:space="preserve">duosion</x:t>
        </x:is>
      </x:c>
      <x:c r="D582" s="5" t="inlineStr">
        <x:is>
          <x:t xml:space="preserve">Duosion</x:t>
        </x:is>
      </x:c>
      <x:c r="E582" s="5" t="n">
        <x:v>5</x:v>
      </x:c>
      <x:c r="F582" s="5" t="inlineStr">
        <x:is>
          <x:t xml:space="preserve">에스퍼</x:t>
        </x:is>
      </x:c>
      <x:c r="G582" s="5" t="inlineStr">
        <x:is>
          <x:t xml:space="preserve"/>
        </x:is>
      </x:c>
      <x:c r="H582" s="5" t="n">
        <x:v>0.6</x:v>
      </x:c>
      <x:c r="I582" s="5" t="n">
        <x:v>8</x:v>
      </x:c>
      <x:c r="J582" s="5" t="n">
        <x:v>370</x:v>
      </x:c>
      <x:c r="K582" s="5" t="n">
        <x:v>100</x:v>
      </x:c>
      <x:c r="L582" s="5" t="inlineStr">
        <x:is>
          <x:t xml:space="preserve">중간</x:t>
        </x:is>
      </x:c>
      <x:c r="M582" s="5" t="n">
        <x:v>41</x:v>
      </x:c>
      <x:c r="N582" s="5" t="inlineStr">
        <x:is>
          <x:t xml:space="preserve">레벨</x:t>
        </x:is>
      </x:c>
      <x:c r="O582" s="5" t="inlineStr">
        <x:is>
          <x:t xml:space="preserve">예</x:t>
        </x:is>
      </x:c>
      <x:c r="P582" s="5" t="inlineStr">
        <x:is>
          <x:t xml:space="preserve">#cobblemon:is_end; #cobblemon:lush</x:t>
        </x:is>
      </x:c>
      <x:c r="Q582" s="5" t="inlineStr">
        <x:is>
          <x:t xml:space="preserve">uncommon</x:t>
        </x:is>
      </x:c>
      <x:c r="R582" s="5" t="inlineStr">
        <x:is>
          <x:t xml:space="preserve"/>
        </x:is>
      </x:c>
      <x:c r="S582" s="5" t="inlineStr">
        <x:is>
          <x:t xml:space="preserve"/>
        </x:is>
      </x:c>
      <x:c r="T582" s="5" t="inlineStr">
        <x:is>
          <x:t xml:space="preserve">비행</x:t>
        </x:is>
      </x:c>
      <x:c r="U582" s="5" t="inlineStr">
        <x:is>
          <x:t xml:space="preserve">개활지</x:t>
        </x:is>
      </x:c>
      <x:c r="V582" s="5" t="inlineStr">
        <x:is>
          <x:t xml:space="preserve">온대</x:t>
        </x:is>
      </x:c>
      <x:c r="W582" s="5" t="inlineStr">
        <x:is>
          <x:t xml:space="preserve">보통</x:t>
        </x:is>
      </x:c>
      <x:c r="X582" s="5" t="inlineStr">
        <x:is>
          <x:t xml:space="preserve">무관</x:t>
        </x:is>
      </x:c>
      <x:c r="Y582" s="5" t="inlineStr">
        <x:is>
          <x:t xml:space="preserve">무관</x:t>
        </x:is>
      </x:c>
      <x:c r="Z582" s="5" t="inlineStr">
        <x:is>
          <x:t xml:space="preserve">보통</x:t>
        </x:is>
      </x:c>
      <x:c r="AA582" s="5" t="inlineStr">
        <x:is>
          <x:t xml:space="preserve">없음</x:t>
        </x:is>
      </x:c>
      <x:c r="AB582" s="5" t="inlineStr">
        <x:is>
          <x:t xml:space="preserve"/>
        </x:is>
      </x:c>
      <x:c r="AC582" s="5" t="inlineStr">
        <x:is>
          <x:t xml:space="preserve">gen5</x:t>
        </x:is>
      </x:c>
      <x:c r="AD582" s="5" t="inlineStr">
        <x:is>
          <x:t xml:space="preserve">.tmp/cobblemon-1.7.3-source/common/src/main/resources/data/cobblemon/species/generation5/duosion.json</x:t>
        </x:is>
      </x:c>
    </x:row>
    <x:row r="583" ht="22" customHeight="1">
      <x:c r="A583" s="5" t="n">
        <x:v>579</x:v>
      </x:c>
      <x:c r="B583" s="5" t="inlineStr">
        <x:is>
          <x:t xml:space="preserve">란쿨루스</x:t>
        </x:is>
      </x:c>
      <x:c r="C583" s="5" t="inlineStr">
        <x:is>
          <x:t xml:space="preserve">reuniclus</x:t>
        </x:is>
      </x:c>
      <x:c r="D583" s="5" t="inlineStr">
        <x:is>
          <x:t xml:space="preserve">Reuniclus</x:t>
        </x:is>
      </x:c>
      <x:c r="E583" s="5" t="n">
        <x:v>5</x:v>
      </x:c>
      <x:c r="F583" s="5" t="inlineStr">
        <x:is>
          <x:t xml:space="preserve">에스퍼</x:t>
        </x:is>
      </x:c>
      <x:c r="G583" s="5" t="inlineStr">
        <x:is>
          <x:t xml:space="preserve"/>
        </x:is>
      </x:c>
      <x:c r="H583" s="5" t="n">
        <x:v>1</x:v>
      </x:c>
      <x:c r="I583" s="5" t="n">
        <x:v>20.1</x:v>
      </x:c>
      <x:c r="J583" s="5" t="n">
        <x:v>490</x:v>
      </x:c>
      <x:c r="K583" s="5" t="n">
        <x:v>50</x:v>
      </x:c>
      <x:c r="L583" s="5" t="inlineStr">
        <x:is>
          <x:t xml:space="preserve">최종</x:t>
        </x:is>
      </x:c>
      <x:c r="M583" s="5" t="n">
        <x:v>41</x:v>
      </x:c>
      <x:c r="N583" s="5" t="inlineStr">
        <x:is>
          <x:t xml:space="preserve">레벨</x:t>
        </x:is>
      </x:c>
      <x:c r="O583" s="5" t="inlineStr">
        <x:is>
          <x:t xml:space="preserve">예</x:t>
        </x:is>
      </x:c>
      <x:c r="P583" s="5" t="inlineStr">
        <x:is>
          <x:t xml:space="preserve">#cobblemon:is_end; #cobblemon:is_lush</x:t>
        </x:is>
      </x:c>
      <x:c r="Q583" s="5" t="inlineStr">
        <x:is>
          <x:t xml:space="preserve">uncommon</x:t>
        </x:is>
      </x:c>
      <x:c r="R583" s="5" t="inlineStr">
        <x:is>
          <x:t xml:space="preserve"/>
        </x:is>
      </x:c>
      <x:c r="S583" s="5" t="inlineStr">
        <x:is>
          <x:t xml:space="preserve"/>
        </x:is>
      </x:c>
      <x:c r="T583" s="5" t="inlineStr">
        <x:is>
          <x:t xml:space="preserve">비행</x:t>
        </x:is>
      </x:c>
      <x:c r="U583" s="5" t="inlineStr">
        <x:is>
          <x:t xml:space="preserve">개활지</x:t>
        </x:is>
      </x:c>
      <x:c r="V583" s="5" t="inlineStr">
        <x:is>
          <x:t xml:space="preserve">온대</x:t>
        </x:is>
      </x:c>
      <x:c r="W583" s="5" t="inlineStr">
        <x:is>
          <x:t xml:space="preserve">보통</x:t>
        </x:is>
      </x:c>
      <x:c r="X583" s="5" t="inlineStr">
        <x:is>
          <x:t xml:space="preserve">무관</x:t>
        </x:is>
      </x:c>
      <x:c r="Y583" s="5" t="inlineStr">
        <x:is>
          <x:t xml:space="preserve">무관</x:t>
        </x:is>
      </x:c>
      <x:c r="Z583" s="5" t="inlineStr">
        <x:is>
          <x:t xml:space="preserve">보통</x:t>
        </x:is>
      </x:c>
      <x:c r="AA583" s="5" t="inlineStr">
        <x:is>
          <x:t xml:space="preserve">없음</x:t>
        </x:is>
      </x:c>
      <x:c r="AB583" s="5" t="inlineStr">
        <x:is>
          <x:t xml:space="preserve"/>
        </x:is>
      </x:c>
      <x:c r="AC583" s="5" t="inlineStr">
        <x:is>
          <x:t xml:space="preserve">gen5</x:t>
        </x:is>
      </x:c>
      <x:c r="AD583" s="5" t="inlineStr">
        <x:is>
          <x:t xml:space="preserve">.tmp/cobblemon-1.7.3-source/common/src/main/resources/data/cobblemon/species/generation5/reuniclus.json</x:t>
        </x:is>
      </x:c>
    </x:row>
    <x:row r="584" ht="22" customHeight="1">
      <x:c r="A584" s="5" t="n">
        <x:v>580</x:v>
      </x:c>
      <x:c r="B584" s="5" t="inlineStr">
        <x:is>
          <x:t xml:space="preserve">꼬지보리</x:t>
        </x:is>
      </x:c>
      <x:c r="C584" s="5" t="inlineStr">
        <x:is>
          <x:t xml:space="preserve">ducklett</x:t>
        </x:is>
      </x:c>
      <x:c r="D584" s="5" t="inlineStr">
        <x:is>
          <x:t xml:space="preserve">Ducklett</x:t>
        </x:is>
      </x:c>
      <x:c r="E584" s="5" t="n">
        <x:v>5</x:v>
      </x:c>
      <x:c r="F584" s="5" t="inlineStr">
        <x:is>
          <x:t xml:space="preserve">물</x:t>
        </x:is>
      </x:c>
      <x:c r="G584" s="5" t="inlineStr">
        <x:is>
          <x:t xml:space="preserve">비행</x:t>
        </x:is>
      </x:c>
      <x:c r="H584" s="5" t="n">
        <x:v>0.5</x:v>
      </x:c>
      <x:c r="I584" s="5" t="n">
        <x:v>5.5</x:v>
      </x:c>
      <x:c r="J584" s="5" t="n">
        <x:v>305</x:v>
      </x:c>
      <x:c r="K584" s="5" t="n">
        <x:v>190</x:v>
      </x:c>
      <x:c r="L584" s="5" t="inlineStr">
        <x:is>
          <x:t xml:space="preserve">기본</x:t>
        </x:is>
      </x:c>
      <x:c r="M584" s="5" t="n">
        <x:v>35</x:v>
      </x:c>
      <x:c r="N584" s="5" t="inlineStr">
        <x:is>
          <x:t xml:space="preserve">레벨</x:t>
        </x:is>
      </x:c>
      <x:c r="O584" s="5" t="inlineStr">
        <x:is>
          <x:t xml:space="preserve">예</x:t>
        </x:is>
      </x:c>
      <x:c r="P584" s="5" t="inlineStr">
        <x:is>
          <x:t xml:space="preserve">#aether:is_aether; #cobblemon:is_freshwater; #cobblemon:is_sky</x:t>
        </x:is>
      </x:c>
      <x:c r="Q584" s="5" t="inlineStr">
        <x:is>
          <x:t xml:space="preserve">common; uncommon</x:t>
        </x:is>
      </x:c>
      <x:c r="R584" s="5" t="inlineStr">
        <x:is>
          <x:t xml:space="preserve">day</x:t>
        </x:is>
      </x:c>
      <x:c r="S584" s="5" t="inlineStr">
        <x:is>
          <x:t xml:space="preserve"/>
        </x:is>
      </x:c>
      <x:c r="T584" s="5" t="inlineStr">
        <x:is>
          <x:t xml:space="preserve">담수</x:t>
        </x:is>
      </x:c>
      <x:c r="U584" s="5" t="inlineStr">
        <x:is>
          <x:t xml:space="preserve">담수</x:t>
        </x:is>
      </x:c>
      <x:c r="V584" s="5" t="inlineStr">
        <x:is>
          <x:t xml:space="preserve">온대</x:t>
        </x:is>
      </x:c>
      <x:c r="W584" s="5" t="inlineStr">
        <x:is>
          <x:t xml:space="preserve">수중</x:t>
        </x:is>
      </x:c>
      <x:c r="X584" s="5" t="inlineStr">
        <x:is>
          <x:t xml:space="preserve">비</x:t>
        </x:is>
      </x:c>
      <x:c r="Y584" s="5" t="inlineStr">
        <x:is>
          <x:t xml:space="preserve">낮</x:t>
        </x:is>
      </x:c>
      <x:c r="Z584" s="5" t="inlineStr">
        <x:is>
          <x:t xml:space="preserve">보통</x:t>
        </x:is>
      </x:c>
      <x:c r="AA584" s="5" t="inlineStr">
        <x:is>
          <x:t xml:space="preserve">없음</x:t>
        </x:is>
      </x:c>
      <x:c r="AB584" s="5" t="inlineStr">
        <x:is>
          <x:t xml:space="preserve">담수</x:t>
        </x:is>
      </x:c>
      <x:c r="AC584" s="5" t="inlineStr">
        <x:is>
          <x:t xml:space="preserve">gen5</x:t>
        </x:is>
      </x:c>
      <x:c r="AD584" s="5" t="inlineStr">
        <x:is>
          <x:t xml:space="preserve">.tmp/cobblemon-1.7.3-source/common/src/main/resources/data/cobblemon/species/generation5/ducklett.json</x:t>
        </x:is>
      </x:c>
    </x:row>
    <x:row r="585" ht="22" customHeight="1">
      <x:c r="A585" s="5" t="n">
        <x:v>581</x:v>
      </x:c>
      <x:c r="B585" s="5" t="inlineStr">
        <x:is>
          <x:t xml:space="preserve">스완나</x:t>
        </x:is>
      </x:c>
      <x:c r="C585" s="5" t="inlineStr">
        <x:is>
          <x:t xml:space="preserve">swanna</x:t>
        </x:is>
      </x:c>
      <x:c r="D585" s="5" t="inlineStr">
        <x:is>
          <x:t xml:space="preserve">Swanna</x:t>
        </x:is>
      </x:c>
      <x:c r="E585" s="5" t="n">
        <x:v>5</x:v>
      </x:c>
      <x:c r="F585" s="5" t="inlineStr">
        <x:is>
          <x:t xml:space="preserve">물</x:t>
        </x:is>
      </x:c>
      <x:c r="G585" s="5" t="inlineStr">
        <x:is>
          <x:t xml:space="preserve">비행</x:t>
        </x:is>
      </x:c>
      <x:c r="H585" s="5" t="n">
        <x:v>1.3</x:v>
      </x:c>
      <x:c r="I585" s="5" t="n">
        <x:v>24.2</x:v>
      </x:c>
      <x:c r="J585" s="5" t="n">
        <x:v>473</x:v>
      </x:c>
      <x:c r="K585" s="5" t="n">
        <x:v>45</x:v>
      </x:c>
      <x:c r="L585" s="5" t="inlineStr">
        <x:is>
          <x:t xml:space="preserve">최종</x:t>
        </x:is>
      </x:c>
      <x:c r="M585" s="5" t="n">
        <x:v>35</x:v>
      </x:c>
      <x:c r="N585" s="5" t="inlineStr">
        <x:is>
          <x:t xml:space="preserve">레벨</x:t>
        </x:is>
      </x:c>
      <x:c r="O585" s="5" t="inlineStr">
        <x:is>
          <x:t xml:space="preserve">예</x:t>
        </x:is>
      </x:c>
      <x:c r="P585" s="5" t="inlineStr">
        <x:is>
          <x:t xml:space="preserve">#aether:is_aether; #cobblemon:is_freshwater; #cobblemon:is_sky</x:t>
        </x:is>
      </x:c>
      <x:c r="Q585" s="5" t="inlineStr">
        <x:is>
          <x:t xml:space="preserve">common; uncommon</x:t>
        </x:is>
      </x:c>
      <x:c r="R585" s="5" t="inlineStr">
        <x:is>
          <x:t xml:space="preserve">day</x:t>
        </x:is>
      </x:c>
      <x:c r="S585" s="5" t="inlineStr">
        <x:is>
          <x:t xml:space="preserve"/>
        </x:is>
      </x:c>
      <x:c r="T585" s="5" t="inlineStr">
        <x:is>
          <x:t xml:space="preserve">담수</x:t>
        </x:is>
      </x:c>
      <x:c r="U585" s="5" t="inlineStr">
        <x:is>
          <x:t xml:space="preserve">담수</x:t>
        </x:is>
      </x:c>
      <x:c r="V585" s="5" t="inlineStr">
        <x:is>
          <x:t xml:space="preserve">온대</x:t>
        </x:is>
      </x:c>
      <x:c r="W585" s="5" t="inlineStr">
        <x:is>
          <x:t xml:space="preserve">수중</x:t>
        </x:is>
      </x:c>
      <x:c r="X585" s="5" t="inlineStr">
        <x:is>
          <x:t xml:space="preserve">비</x:t>
        </x:is>
      </x:c>
      <x:c r="Y585" s="5" t="inlineStr">
        <x:is>
          <x:t xml:space="preserve">낮</x:t>
        </x:is>
      </x:c>
      <x:c r="Z585" s="5" t="inlineStr">
        <x:is>
          <x:t xml:space="preserve">보통</x:t>
        </x:is>
      </x:c>
      <x:c r="AA585" s="5" t="inlineStr">
        <x:is>
          <x:t xml:space="preserve">없음</x:t>
        </x:is>
      </x:c>
      <x:c r="AB585" s="5" t="inlineStr">
        <x:is>
          <x:t xml:space="preserve">담수</x:t>
        </x:is>
      </x:c>
      <x:c r="AC585" s="5" t="inlineStr">
        <x:is>
          <x:t xml:space="preserve">gen5</x:t>
        </x:is>
      </x:c>
      <x:c r="AD585" s="5" t="inlineStr">
        <x:is>
          <x:t xml:space="preserve">.tmp/cobblemon-1.7.3-source/common/src/main/resources/data/cobblemon/species/generation5/swanna.json</x:t>
        </x:is>
      </x:c>
    </x:row>
    <x:row r="586" ht="22" customHeight="1">
      <x:c r="A586" s="5" t="n">
        <x:v>582</x:v>
      </x:c>
      <x:c r="B586" s="5" t="inlineStr">
        <x:is>
          <x:t xml:space="preserve">바닐프티</x:t>
        </x:is>
      </x:c>
      <x:c r="C586" s="5" t="inlineStr">
        <x:is>
          <x:t xml:space="preserve">vanillite</x:t>
        </x:is>
      </x:c>
      <x:c r="D586" s="5" t="inlineStr">
        <x:is>
          <x:t xml:space="preserve">Vanillite</x:t>
        </x:is>
      </x:c>
      <x:c r="E586" s="5" t="n">
        <x:v>5</x:v>
      </x:c>
      <x:c r="F586" s="5" t="inlineStr">
        <x:is>
          <x:t xml:space="preserve">얼음</x:t>
        </x:is>
      </x:c>
      <x:c r="G586" s="5" t="inlineStr">
        <x:is>
          <x:t xml:space="preserve"/>
        </x:is>
      </x:c>
      <x:c r="H586" s="5" t="n">
        <x:v>0.4</x:v>
      </x:c>
      <x:c r="I586" s="5" t="n">
        <x:v>5.7</x:v>
      </x:c>
      <x:c r="J586" s="5" t="n">
        <x:v>305</x:v>
      </x:c>
      <x:c r="K586" s="5" t="n">
        <x:v>255</x:v>
      </x:c>
      <x:c r="L586" s="5" t="inlineStr">
        <x:is>
          <x:t xml:space="preserve">기본</x:t>
        </x:is>
      </x:c>
      <x:c r="M586" s="5" t="n">
        <x:v>47</x:v>
      </x:c>
      <x:c r="N586" s="5" t="inlineStr">
        <x:is>
          <x:t xml:space="preserve">레벨</x:t>
        </x:is>
      </x:c>
      <x:c r="O586" s="5" t="inlineStr">
        <x:is>
          <x:t xml:space="preserve">예</x:t>
        </x:is>
      </x:c>
      <x:c r="P586" s="5" t="inlineStr">
        <x:is>
          <x:t xml:space="preserve">#cobblemon:is_freezing; #cobblemon:nether/is_frozen</x:t>
        </x:is>
      </x:c>
      <x:c r="Q586" s="5" t="inlineStr">
        <x:is>
          <x:t xml:space="preserve">common; uncommon</x:t>
        </x:is>
      </x:c>
      <x:c r="R586" s="5" t="inlineStr">
        <x:is>
          <x:t xml:space="preserve"/>
        </x:is>
      </x:c>
      <x:c r="S586" s="5" t="inlineStr">
        <x:is>
          <x:t xml:space="preserve"/>
        </x:is>
      </x:c>
      <x:c r="T586" s="5" t="inlineStr">
        <x:is>
          <x:t xml:space="preserve">비행</x:t>
        </x:is>
      </x:c>
      <x:c r="U586" s="5" t="inlineStr">
        <x:is>
          <x:t xml:space="preserve">화산</x:t>
        </x:is>
      </x:c>
      <x:c r="V586" s="5" t="inlineStr">
        <x:is>
          <x:t xml:space="preserve">한랭</x:t>
        </x:is>
      </x:c>
      <x:c r="W586" s="5" t="inlineStr">
        <x:is>
          <x:t xml:space="preserve">건조</x:t>
        </x:is>
      </x:c>
      <x:c r="X586" s="5" t="inlineStr">
        <x:is>
          <x:t xml:space="preserve">맑음</x:t>
        </x:is>
      </x:c>
      <x:c r="Y586" s="5" t="inlineStr">
        <x:is>
          <x:t xml:space="preserve">무관</x:t>
        </x:is>
      </x:c>
      <x:c r="Z586" s="5" t="inlineStr">
        <x:is>
          <x:t xml:space="preserve">보통</x:t>
        </x:is>
      </x:c>
      <x:c r="AA586" s="5" t="inlineStr">
        <x:is>
          <x:t xml:space="preserve">화산</x:t>
        </x:is>
      </x:c>
      <x:c r="AB586" s="5" t="inlineStr">
        <x:is>
          <x:t xml:space="preserve">화산</x:t>
        </x:is>
      </x:c>
      <x:c r="AC586" s="5" t="inlineStr">
        <x:is>
          <x:t xml:space="preserve">gen5</x:t>
        </x:is>
      </x:c>
      <x:c r="AD586" s="5" t="inlineStr">
        <x:is>
          <x:t xml:space="preserve">.tmp/cobblemon-1.7.3-source/common/src/main/resources/data/cobblemon/species/generation5/vanillite.json</x:t>
        </x:is>
      </x:c>
    </x:row>
    <x:row r="587" ht="22" customHeight="1">
      <x:c r="A587" s="5" t="n">
        <x:v>583</x:v>
      </x:c>
      <x:c r="B587" s="5" t="inlineStr">
        <x:is>
          <x:t xml:space="preserve">바닐리치</x:t>
        </x:is>
      </x:c>
      <x:c r="C587" s="5" t="inlineStr">
        <x:is>
          <x:t xml:space="preserve">vanillish</x:t>
        </x:is>
      </x:c>
      <x:c r="D587" s="5" t="inlineStr">
        <x:is>
          <x:t xml:space="preserve">Vanillish</x:t>
        </x:is>
      </x:c>
      <x:c r="E587" s="5" t="n">
        <x:v>5</x:v>
      </x:c>
      <x:c r="F587" s="5" t="inlineStr">
        <x:is>
          <x:t xml:space="preserve">얼음</x:t>
        </x:is>
      </x:c>
      <x:c r="G587" s="5" t="inlineStr">
        <x:is>
          <x:t xml:space="preserve"/>
        </x:is>
      </x:c>
      <x:c r="H587" s="5" t="n">
        <x:v>1.1</x:v>
      </x:c>
      <x:c r="I587" s="5" t="n">
        <x:v>41</x:v>
      </x:c>
      <x:c r="J587" s="5" t="n">
        <x:v>395</x:v>
      </x:c>
      <x:c r="K587" s="5" t="n">
        <x:v>120</x:v>
      </x:c>
      <x:c r="L587" s="5" t="inlineStr">
        <x:is>
          <x:t xml:space="preserve">중간</x:t>
        </x:is>
      </x:c>
      <x:c r="M587" s="5" t="n">
        <x:v>47</x:v>
      </x:c>
      <x:c r="N587" s="5" t="inlineStr">
        <x:is>
          <x:t xml:space="preserve">레벨</x:t>
        </x:is>
      </x:c>
      <x:c r="O587" s="5" t="inlineStr">
        <x:is>
          <x:t xml:space="preserve">예</x:t>
        </x:is>
      </x:c>
      <x:c r="P587" s="5" t="inlineStr">
        <x:is>
          <x:t xml:space="preserve">#cobblemon:is_freezing; #cobblemon:nether/is_frozen</x:t>
        </x:is>
      </x:c>
      <x:c r="Q587" s="5" t="inlineStr">
        <x:is>
          <x:t xml:space="preserve">common; uncommon</x:t>
        </x:is>
      </x:c>
      <x:c r="R587" s="5" t="inlineStr">
        <x:is>
          <x:t xml:space="preserve"/>
        </x:is>
      </x:c>
      <x:c r="S587" s="5" t="inlineStr">
        <x:is>
          <x:t xml:space="preserve"/>
        </x:is>
      </x:c>
      <x:c r="T587" s="5" t="inlineStr">
        <x:is>
          <x:t xml:space="preserve">비행</x:t>
        </x:is>
      </x:c>
      <x:c r="U587" s="5" t="inlineStr">
        <x:is>
          <x:t xml:space="preserve">화산</x:t>
        </x:is>
      </x:c>
      <x:c r="V587" s="5" t="inlineStr">
        <x:is>
          <x:t xml:space="preserve">한랭</x:t>
        </x:is>
      </x:c>
      <x:c r="W587" s="5" t="inlineStr">
        <x:is>
          <x:t xml:space="preserve">건조</x:t>
        </x:is>
      </x:c>
      <x:c r="X587" s="5" t="inlineStr">
        <x:is>
          <x:t xml:space="preserve">맑음</x:t>
        </x:is>
      </x:c>
      <x:c r="Y587" s="5" t="inlineStr">
        <x:is>
          <x:t xml:space="preserve">무관</x:t>
        </x:is>
      </x:c>
      <x:c r="Z587" s="5" t="inlineStr">
        <x:is>
          <x:t xml:space="preserve">보통</x:t>
        </x:is>
      </x:c>
      <x:c r="AA587" s="5" t="inlineStr">
        <x:is>
          <x:t xml:space="preserve">화산</x:t>
        </x:is>
      </x:c>
      <x:c r="AB587" s="5" t="inlineStr">
        <x:is>
          <x:t xml:space="preserve">화산</x:t>
        </x:is>
      </x:c>
      <x:c r="AC587" s="5" t="inlineStr">
        <x:is>
          <x:t xml:space="preserve">gen5</x:t>
        </x:is>
      </x:c>
      <x:c r="AD587" s="5" t="inlineStr">
        <x:is>
          <x:t xml:space="preserve">.tmp/cobblemon-1.7.3-source/common/src/main/resources/data/cobblemon/species/generation5/vanillish.json</x:t>
        </x:is>
      </x:c>
    </x:row>
    <x:row r="588" ht="22" customHeight="1">
      <x:c r="A588" s="5" t="n">
        <x:v>584</x:v>
      </x:c>
      <x:c r="B588" s="5" t="inlineStr">
        <x:is>
          <x:t xml:space="preserve">배바닐라</x:t>
        </x:is>
      </x:c>
      <x:c r="C588" s="5" t="inlineStr">
        <x:is>
          <x:t xml:space="preserve">vanilluxe</x:t>
        </x:is>
      </x:c>
      <x:c r="D588" s="5" t="inlineStr">
        <x:is>
          <x:t xml:space="preserve">Vanilluxe</x:t>
        </x:is>
      </x:c>
      <x:c r="E588" s="5" t="n">
        <x:v>5</x:v>
      </x:c>
      <x:c r="F588" s="5" t="inlineStr">
        <x:is>
          <x:t xml:space="preserve">얼음</x:t>
        </x:is>
      </x:c>
      <x:c r="G588" s="5" t="inlineStr">
        <x:is>
          <x:t xml:space="preserve"/>
        </x:is>
      </x:c>
      <x:c r="H588" s="5" t="n">
        <x:v>1.3</x:v>
      </x:c>
      <x:c r="I588" s="5" t="n">
        <x:v>57.5</x:v>
      </x:c>
      <x:c r="J588" s="5" t="n">
        <x:v>535</x:v>
      </x:c>
      <x:c r="K588" s="5" t="n">
        <x:v>45</x:v>
      </x:c>
      <x:c r="L588" s="5" t="inlineStr">
        <x:is>
          <x:t xml:space="preserve">최종</x:t>
        </x:is>
      </x:c>
      <x:c r="M588" s="5" t="n">
        <x:v>47</x:v>
      </x:c>
      <x:c r="N588" s="5" t="inlineStr">
        <x:is>
          <x:t xml:space="preserve">레벨</x:t>
        </x:is>
      </x:c>
      <x:c r="O588" s="5" t="inlineStr">
        <x:is>
          <x:t xml:space="preserve">예</x:t>
        </x:is>
      </x:c>
      <x:c r="P588" s="5" t="inlineStr">
        <x:is>
          <x:t xml:space="preserve">#cobblemon:is_freezing; #cobblemon:nether/is_frozen</x:t>
        </x:is>
      </x:c>
      <x:c r="Q588" s="5" t="inlineStr">
        <x:is>
          <x:t xml:space="preserve">common; uncommon</x:t>
        </x:is>
      </x:c>
      <x:c r="R588" s="5" t="inlineStr">
        <x:is>
          <x:t xml:space="preserve"/>
        </x:is>
      </x:c>
      <x:c r="S588" s="5" t="inlineStr">
        <x:is>
          <x:t xml:space="preserve"/>
        </x:is>
      </x:c>
      <x:c r="T588" s="5" t="inlineStr">
        <x:is>
          <x:t xml:space="preserve">비행</x:t>
        </x:is>
      </x:c>
      <x:c r="U588" s="5" t="inlineStr">
        <x:is>
          <x:t xml:space="preserve">화산</x:t>
        </x:is>
      </x:c>
      <x:c r="V588" s="5" t="inlineStr">
        <x:is>
          <x:t xml:space="preserve">한랭</x:t>
        </x:is>
      </x:c>
      <x:c r="W588" s="5" t="inlineStr">
        <x:is>
          <x:t xml:space="preserve">건조</x:t>
        </x:is>
      </x:c>
      <x:c r="X588" s="5" t="inlineStr">
        <x:is>
          <x:t xml:space="preserve">맑음</x:t>
        </x:is>
      </x:c>
      <x:c r="Y588" s="5" t="inlineStr">
        <x:is>
          <x:t xml:space="preserve">무관</x:t>
        </x:is>
      </x:c>
      <x:c r="Z588" s="5" t="inlineStr">
        <x:is>
          <x:t xml:space="preserve">보통</x:t>
        </x:is>
      </x:c>
      <x:c r="AA588" s="5" t="inlineStr">
        <x:is>
          <x:t xml:space="preserve">화산</x:t>
        </x:is>
      </x:c>
      <x:c r="AB588" s="5" t="inlineStr">
        <x:is>
          <x:t xml:space="preserve">화산</x:t>
        </x:is>
      </x:c>
      <x:c r="AC588" s="5" t="inlineStr">
        <x:is>
          <x:t xml:space="preserve">gen5</x:t>
        </x:is>
      </x:c>
      <x:c r="AD588" s="5" t="inlineStr">
        <x:is>
          <x:t xml:space="preserve">.tmp/cobblemon-1.7.3-source/common/src/main/resources/data/cobblemon/species/generation5/vanilluxe.json</x:t>
        </x:is>
      </x:c>
    </x:row>
    <x:row r="589" ht="22" customHeight="1">
      <x:c r="A589" s="5" t="n">
        <x:v>585</x:v>
      </x:c>
      <x:c r="B589" s="5" t="inlineStr">
        <x:is>
          <x:t xml:space="preserve">사철록</x:t>
        </x:is>
      </x:c>
      <x:c r="C589" s="5" t="inlineStr">
        <x:is>
          <x:t xml:space="preserve">deerling</x:t>
        </x:is>
      </x:c>
      <x:c r="D589" s="5" t="inlineStr">
        <x:is>
          <x:t xml:space="preserve">Deerling</x:t>
        </x:is>
      </x:c>
      <x:c r="E589" s="5" t="n">
        <x:v>5</x:v>
      </x:c>
      <x:c r="F589" s="5" t="inlineStr">
        <x:is>
          <x:t xml:space="preserve">노말</x:t>
        </x:is>
      </x:c>
      <x:c r="G589" s="5" t="inlineStr">
        <x:is>
          <x:t xml:space="preserve">풀</x:t>
        </x:is>
      </x:c>
      <x:c r="H589" s="5" t="n">
        <x:v>0.6</x:v>
      </x:c>
      <x:c r="I589" s="5" t="n">
        <x:v>19.5</x:v>
      </x:c>
      <x:c r="J589" s="5" t="n">
        <x:v>335</x:v>
      </x:c>
      <x:c r="K589" s="5" t="n">
        <x:v>190</x:v>
      </x:c>
      <x:c r="L589" s="5" t="inlineStr">
        <x:is>
          <x:t xml:space="preserve">기본</x:t>
        </x:is>
      </x:c>
      <x:c r="M589" s="5" t="n">
        <x:v>34</x:v>
      </x:c>
      <x:c r="N589" s="5" t="inlineStr">
        <x:is>
          <x:t xml:space="preserve">레벨</x:t>
        </x:is>
      </x:c>
      <x:c r="O589" s="5" t="inlineStr">
        <x:is>
          <x:t xml:space="preserve">예</x:t>
        </x:is>
      </x:c>
      <x:c r="P589" s="5" t="inlineStr">
        <x:is>
          <x:t xml:space="preserve">#aether:is_aether; #cobblemon:is_floral; #cobblemon:is_forest; #cobblemon:is_hills; #cobblemon:is_plains; #cobblemon:is_snowy_forest; #cobblemon:is_taiga; the_bumblezone:floral_meadow</x:t>
        </x:is>
      </x:c>
      <x:c r="Q589" s="5" t="inlineStr">
        <x:is>
          <x:t xml:space="preserve">common; uncommon</x:t>
        </x:is>
      </x:c>
      <x:c r="R589" s="5" t="inlineStr">
        <x:is>
          <x:t xml:space="preserve"/>
        </x:is>
      </x:c>
      <x:c r="S589" s="5" t="inlineStr">
        <x:is>
          <x:t xml:space="preserve"/>
        </x:is>
      </x:c>
      <x:c r="T589" s="5" t="inlineStr">
        <x:is>
          <x:t xml:space="preserve">육상</x:t>
        </x:is>
      </x:c>
      <x:c r="U589" s="5" t="inlineStr">
        <x:is>
          <x:t xml:space="preserve">수목</x:t>
        </x:is>
      </x:c>
      <x:c r="V589" s="5" t="inlineStr">
        <x:is>
          <x:t xml:space="preserve">서늘</x:t>
        </x:is>
      </x:c>
      <x:c r="W589" s="5" t="inlineStr">
        <x:is>
          <x:t xml:space="preserve">보통</x:t>
        </x:is>
      </x:c>
      <x:c r="X589" s="5" t="inlineStr">
        <x:is>
          <x:t xml:space="preserve">무관</x:t>
        </x:is>
      </x:c>
      <x:c r="Y589" s="5" t="inlineStr">
        <x:is>
          <x:t xml:space="preserve">무관</x:t>
        </x:is>
      </x:c>
      <x:c r="Z589" s="5" t="inlineStr">
        <x:is>
          <x:t xml:space="preserve">보통</x:t>
        </x:is>
      </x:c>
      <x:c r="AA589" s="5" t="inlineStr">
        <x:is>
          <x:t xml:space="preserve">없음</x:t>
        </x:is>
      </x:c>
      <x:c r="AB589" s="5" t="inlineStr">
        <x:is>
          <x:t xml:space="preserve">숲</x:t>
        </x:is>
      </x:c>
      <x:c r="AC589" s="5" t="inlineStr">
        <x:is>
          <x:t xml:space="preserve">gen5</x:t>
        </x:is>
      </x:c>
      <x:c r="AD589" s="5" t="inlineStr">
        <x:is>
          <x:t xml:space="preserve">.tmp/cobblemon-1.7.3-source/common/src/main/resources/data/cobblemon/species/generation5/deerling.json</x:t>
        </x:is>
      </x:c>
    </x:row>
    <x:row r="590" ht="22" customHeight="1">
      <x:c r="A590" s="5" t="n">
        <x:v>586</x:v>
      </x:c>
      <x:c r="B590" s="5" t="inlineStr">
        <x:is>
          <x:t xml:space="preserve">바라철록</x:t>
        </x:is>
      </x:c>
      <x:c r="C590" s="5" t="inlineStr">
        <x:is>
          <x:t xml:space="preserve">sawsbuck</x:t>
        </x:is>
      </x:c>
      <x:c r="D590" s="5" t="inlineStr">
        <x:is>
          <x:t xml:space="preserve">Sawsbuck</x:t>
        </x:is>
      </x:c>
      <x:c r="E590" s="5" t="n">
        <x:v>5</x:v>
      </x:c>
      <x:c r="F590" s="5" t="inlineStr">
        <x:is>
          <x:t xml:space="preserve">노말</x:t>
        </x:is>
      </x:c>
      <x:c r="G590" s="5" t="inlineStr">
        <x:is>
          <x:t xml:space="preserve">풀</x:t>
        </x:is>
      </x:c>
      <x:c r="H590" s="5" t="n">
        <x:v>1.9</x:v>
      </x:c>
      <x:c r="I590" s="5" t="n">
        <x:v>92.5</x:v>
      </x:c>
      <x:c r="J590" s="5" t="n">
        <x:v>475</x:v>
      </x:c>
      <x:c r="K590" s="5" t="n">
        <x:v>75</x:v>
      </x:c>
      <x:c r="L590" s="5" t="inlineStr">
        <x:is>
          <x:t xml:space="preserve">최종</x:t>
        </x:is>
      </x:c>
      <x:c r="M590" s="5" t="n">
        <x:v>34</x:v>
      </x:c>
      <x:c r="N590" s="5" t="inlineStr">
        <x:is>
          <x:t xml:space="preserve">레벨</x:t>
        </x:is>
      </x:c>
      <x:c r="O590" s="5" t="inlineStr">
        <x:is>
          <x:t xml:space="preserve">예</x:t>
        </x:is>
      </x:c>
      <x:c r="P590" s="5" t="inlineStr">
        <x:is>
          <x:t xml:space="preserve">#aether:is_aether; #cobblemon:is_floral; #cobblemon:is_forest; #cobblemon:is_hills; #cobblemon:is_plains; #cobblemon:is_snowy_forest; #cobblemon:is_taiga; the_bumblezone:floral_meadow</x:t>
        </x:is>
      </x:c>
      <x:c r="Q590" s="5" t="inlineStr">
        <x:is>
          <x:t xml:space="preserve">common; uncommon</x:t>
        </x:is>
      </x:c>
      <x:c r="R590" s="5" t="inlineStr">
        <x:is>
          <x:t xml:space="preserve"/>
        </x:is>
      </x:c>
      <x:c r="S590" s="5" t="inlineStr">
        <x:is>
          <x:t xml:space="preserve"/>
        </x:is>
      </x:c>
      <x:c r="T590" s="5" t="inlineStr">
        <x:is>
          <x:t xml:space="preserve">육상</x:t>
        </x:is>
      </x:c>
      <x:c r="U590" s="5" t="inlineStr">
        <x:is>
          <x:t xml:space="preserve">수목</x:t>
        </x:is>
      </x:c>
      <x:c r="V590" s="5" t="inlineStr">
        <x:is>
          <x:t xml:space="preserve">서늘</x:t>
        </x:is>
      </x:c>
      <x:c r="W590" s="5" t="inlineStr">
        <x:is>
          <x:t xml:space="preserve">보통</x:t>
        </x:is>
      </x:c>
      <x:c r="X590" s="5" t="inlineStr">
        <x:is>
          <x:t xml:space="preserve">무관</x:t>
        </x:is>
      </x:c>
      <x:c r="Y590" s="5" t="inlineStr">
        <x:is>
          <x:t xml:space="preserve">무관</x:t>
        </x:is>
      </x:c>
      <x:c r="Z590" s="5" t="inlineStr">
        <x:is>
          <x:t xml:space="preserve">보통</x:t>
        </x:is>
      </x:c>
      <x:c r="AA590" s="5" t="inlineStr">
        <x:is>
          <x:t xml:space="preserve">없음</x:t>
        </x:is>
      </x:c>
      <x:c r="AB590" s="5" t="inlineStr">
        <x:is>
          <x:t xml:space="preserve">숲</x:t>
        </x:is>
      </x:c>
      <x:c r="AC590" s="5" t="inlineStr">
        <x:is>
          <x:t xml:space="preserve">gen5</x:t>
        </x:is>
      </x:c>
      <x:c r="AD590" s="5" t="inlineStr">
        <x:is>
          <x:t xml:space="preserve">.tmp/cobblemon-1.7.3-source/common/src/main/resources/data/cobblemon/species/generation5/sawsbuck.json</x:t>
        </x:is>
      </x:c>
    </x:row>
    <x:row r="591" ht="22" customHeight="1">
      <x:c r="A591" s="5" t="n">
        <x:v>587</x:v>
      </x:c>
      <x:c r="B591" s="5" t="inlineStr">
        <x:is>
          <x:t xml:space="preserve">에몽가</x:t>
        </x:is>
      </x:c>
      <x:c r="C591" s="5" t="inlineStr">
        <x:is>
          <x:t xml:space="preserve">emolga</x:t>
        </x:is>
      </x:c>
      <x:c r="D591" s="5" t="inlineStr">
        <x:is>
          <x:t xml:space="preserve">Emolga</x:t>
        </x:is>
      </x:c>
      <x:c r="E591" s="5" t="n">
        <x:v>5</x:v>
      </x:c>
      <x:c r="F591" s="5" t="inlineStr">
        <x:is>
          <x:t xml:space="preserve">전기</x:t>
        </x:is>
      </x:c>
      <x:c r="G591" s="5" t="inlineStr">
        <x:is>
          <x:t xml:space="preserve">비행</x:t>
        </x:is>
      </x:c>
      <x:c r="H591" s="5" t="n">
        <x:v>0.4</x:v>
      </x:c>
      <x:c r="I591" s="5" t="n">
        <x:v>5</x:v>
      </x:c>
      <x:c r="J591" s="5" t="n">
        <x:v>428</x:v>
      </x:c>
      <x:c r="K591" s="5" t="n">
        <x:v>200</x:v>
      </x:c>
      <x:c r="L591" s="5" t="inlineStr">
        <x:is>
          <x:t xml:space="preserve">무진화</x:t>
        </x:is>
      </x:c>
      <x:c r="M591" s="5" t="n"/>
      <x:c r="N591" s="5" t="inlineStr">
        <x:is>
          <x:t xml:space="preserve">없음</x:t>
        </x:is>
      </x:c>
      <x:c r="O591" s="5" t="inlineStr">
        <x:is>
          <x:t xml:space="preserve">예</x:t>
        </x:is>
      </x:c>
      <x:c r="P591" s="5" t="inlineStr">
        <x:is>
          <x:t xml:space="preserve">#cobblemon:is_taiga</x:t>
        </x:is>
      </x:c>
      <x:c r="Q591" s="5" t="inlineStr">
        <x:is>
          <x:t xml:space="preserve">uncommon</x:t>
        </x:is>
      </x:c>
      <x:c r="R591" s="5" t="inlineStr">
        <x:is>
          <x:t xml:space="preserve"/>
        </x:is>
      </x:c>
      <x:c r="S591" s="5" t="inlineStr">
        <x:is>
          <x:t xml:space="preserve"/>
        </x:is>
      </x:c>
      <x:c r="T591" s="5" t="inlineStr">
        <x:is>
          <x:t xml:space="preserve">비행</x:t>
        </x:is>
      </x:c>
      <x:c r="U591" s="5" t="inlineStr">
        <x:is>
          <x:t xml:space="preserve">수목</x:t>
        </x:is>
      </x:c>
      <x:c r="V591" s="5" t="inlineStr">
        <x:is>
          <x:t xml:space="preserve">서늘</x:t>
        </x:is>
      </x:c>
      <x:c r="W591" s="5" t="inlineStr">
        <x:is>
          <x:t xml:space="preserve">보통</x:t>
        </x:is>
      </x:c>
      <x:c r="X591" s="5" t="inlineStr">
        <x:is>
          <x:t xml:space="preserve">무관</x:t>
        </x:is>
      </x:c>
      <x:c r="Y591" s="5" t="inlineStr">
        <x:is>
          <x:t xml:space="preserve">무관</x:t>
        </x:is>
      </x:c>
      <x:c r="Z591" s="5" t="inlineStr">
        <x:is>
          <x:t xml:space="preserve">보통</x:t>
        </x:is>
      </x:c>
      <x:c r="AA591" s="5" t="inlineStr">
        <x:is>
          <x:t xml:space="preserve">없음</x:t>
        </x:is>
      </x:c>
      <x:c r="AB591" s="5" t="inlineStr">
        <x:is>
          <x:t xml:space="preserve">숲</x:t>
        </x:is>
      </x:c>
      <x:c r="AC591" s="5" t="inlineStr">
        <x:is>
          <x:t xml:space="preserve">gen5</x:t>
        </x:is>
      </x:c>
      <x:c r="AD591" s="5" t="inlineStr">
        <x:is>
          <x:t xml:space="preserve">.tmp/cobblemon-1.7.3-source/common/src/main/resources/data/cobblemon/species/generation5/emolga.json</x:t>
        </x:is>
      </x:c>
    </x:row>
    <x:row r="592" ht="22" customHeight="1">
      <x:c r="A592" s="5" t="n">
        <x:v>588</x:v>
      </x:c>
      <x:c r="B592" s="5" t="inlineStr">
        <x:is>
          <x:t xml:space="preserve">딱정곤</x:t>
        </x:is>
      </x:c>
      <x:c r="C592" s="5" t="inlineStr">
        <x:is>
          <x:t xml:space="preserve">karrablast</x:t>
        </x:is>
      </x:c>
      <x:c r="D592" s="5" t="inlineStr">
        <x:is>
          <x:t xml:space="preserve">Karrablast</x:t>
        </x:is>
      </x:c>
      <x:c r="E592" s="5" t="n">
        <x:v>5</x:v>
      </x:c>
      <x:c r="F592" s="5" t="inlineStr">
        <x:is>
          <x:t xml:space="preserve">벌레</x:t>
        </x:is>
      </x:c>
      <x:c r="G592" s="5" t="inlineStr">
        <x:is>
          <x:t xml:space="preserve"/>
        </x:is>
      </x:c>
      <x:c r="H592" s="5" t="n">
        <x:v>0.5</x:v>
      </x:c>
      <x:c r="I592" s="5" t="n">
        <x:v>5.9</x:v>
      </x:c>
      <x:c r="J592" s="5" t="n">
        <x:v>315</x:v>
      </x:c>
      <x:c r="K592" s="5" t="n">
        <x:v>200</x:v>
      </x:c>
      <x:c r="L592" s="5" t="inlineStr">
        <x:is>
          <x:t xml:space="preserve">기본</x:t>
        </x:is>
      </x:c>
      <x:c r="M592" s="5" t="n"/>
      <x:c r="N592" s="5" t="inlineStr">
        <x:is>
          <x:t xml:space="preserve">특수</x:t>
        </x:is>
      </x:c>
      <x:c r="O592" s="5" t="inlineStr">
        <x:is>
          <x:t xml:space="preserve">예</x:t>
        </x:is>
      </x:c>
      <x:c r="P592" s="5" t="inlineStr">
        <x:is>
          <x:t xml:space="preserve">#cobblemon:is_swamp</x:t>
        </x:is>
      </x:c>
      <x:c r="Q592" s="5" t="inlineStr">
        <x:is>
          <x:t xml:space="preserve">common</x:t>
        </x:is>
      </x:c>
      <x:c r="R592" s="5" t="inlineStr">
        <x:is>
          <x:t xml:space="preserve"/>
        </x:is>
      </x:c>
      <x:c r="S592" s="5" t="inlineStr">
        <x:is>
          <x:t xml:space="preserve"/>
        </x:is>
      </x:c>
      <x:c r="T592" s="5" t="inlineStr">
        <x:is>
          <x:t xml:space="preserve">육상</x:t>
        </x:is>
      </x:c>
      <x:c r="U592" s="5" t="inlineStr">
        <x:is>
          <x:t xml:space="preserve">습지</x:t>
        </x:is>
      </x:c>
      <x:c r="V592" s="5" t="inlineStr">
        <x:is>
          <x:t xml:space="preserve">온대</x:t>
        </x:is>
      </x:c>
      <x:c r="W592" s="5" t="inlineStr">
        <x:is>
          <x:t xml:space="preserve">다습</x:t>
        </x:is>
      </x:c>
      <x:c r="X592" s="5" t="inlineStr">
        <x:is>
          <x:t xml:space="preserve">비</x:t>
        </x:is>
      </x:c>
      <x:c r="Y592" s="5" t="inlineStr">
        <x:is>
          <x:t xml:space="preserve">무관</x:t>
        </x:is>
      </x:c>
      <x:c r="Z592" s="5" t="inlineStr">
        <x:is>
          <x:t xml:space="preserve">흔함</x:t>
        </x:is>
      </x:c>
      <x:c r="AA592" s="5" t="inlineStr">
        <x:is>
          <x:t xml:space="preserve">없음</x:t>
        </x:is>
      </x:c>
      <x:c r="AB592" s="5" t="inlineStr">
        <x:is>
          <x:t xml:space="preserve">습지</x:t>
        </x:is>
      </x:c>
      <x:c r="AC592" s="5" t="inlineStr">
        <x:is>
          <x:t xml:space="preserve">gen5</x:t>
        </x:is>
      </x:c>
      <x:c r="AD592" s="5" t="inlineStr">
        <x:is>
          <x:t xml:space="preserve">.tmp/cobblemon-1.7.3-source/common/src/main/resources/data/cobblemon/species/generation5/karrablast.json</x:t>
        </x:is>
      </x:c>
    </x:row>
    <x:row r="593" ht="22" customHeight="1">
      <x:c r="A593" s="5" t="n">
        <x:v>589</x:v>
      </x:c>
      <x:c r="B593" s="5" t="inlineStr">
        <x:is>
          <x:t xml:space="preserve">슈바르고</x:t>
        </x:is>
      </x:c>
      <x:c r="C593" s="5" t="inlineStr">
        <x:is>
          <x:t xml:space="preserve">escavalier</x:t>
        </x:is>
      </x:c>
      <x:c r="D593" s="5" t="inlineStr">
        <x:is>
          <x:t xml:space="preserve">Escavalier</x:t>
        </x:is>
      </x:c>
      <x:c r="E593" s="5" t="n">
        <x:v>5</x:v>
      </x:c>
      <x:c r="F593" s="5" t="inlineStr">
        <x:is>
          <x:t xml:space="preserve">벌레</x:t>
        </x:is>
      </x:c>
      <x:c r="G593" s="5" t="inlineStr">
        <x:is>
          <x:t xml:space="preserve">강철</x:t>
        </x:is>
      </x:c>
      <x:c r="H593" s="5" t="n">
        <x:v>1</x:v>
      </x:c>
      <x:c r="I593" s="5" t="n">
        <x:v>33</x:v>
      </x:c>
      <x:c r="J593" s="5" t="n">
        <x:v>495</x:v>
      </x:c>
      <x:c r="K593" s="5" t="n">
        <x:v>75</x:v>
      </x:c>
      <x:c r="L593" s="5" t="inlineStr">
        <x:is>
          <x:t xml:space="preserve">최종</x:t>
        </x:is>
      </x:c>
      <x:c r="M593" s="5" t="n"/>
      <x:c r="N593" s="5" t="inlineStr">
        <x:is>
          <x:t xml:space="preserve">특수</x:t>
        </x:is>
      </x:c>
      <x:c r="O593" s="5" t="inlineStr">
        <x:is>
          <x:t xml:space="preserve">예</x:t>
        </x:is>
      </x:c>
      <x:c r="P593" s="5" t="inlineStr">
        <x:is>
          <x:t xml:space="preserve">#cobblemon:is_swamp</x:t>
        </x:is>
      </x:c>
      <x:c r="Q593" s="5" t="inlineStr">
        <x:is>
          <x:t xml:space="preserve">common</x:t>
        </x:is>
      </x:c>
      <x:c r="R593" s="5" t="inlineStr">
        <x:is>
          <x:t xml:space="preserve"/>
        </x:is>
      </x:c>
      <x:c r="S593" s="5" t="inlineStr">
        <x:is>
          <x:t xml:space="preserve"/>
        </x:is>
      </x:c>
      <x:c r="T593" s="5" t="inlineStr">
        <x:is>
          <x:t xml:space="preserve">비행</x:t>
        </x:is>
      </x:c>
      <x:c r="U593" s="5" t="inlineStr">
        <x:is>
          <x:t xml:space="preserve">습지</x:t>
        </x:is>
      </x:c>
      <x:c r="V593" s="5" t="inlineStr">
        <x:is>
          <x:t xml:space="preserve">온대</x:t>
        </x:is>
      </x:c>
      <x:c r="W593" s="5" t="inlineStr">
        <x:is>
          <x:t xml:space="preserve">다습</x:t>
        </x:is>
      </x:c>
      <x:c r="X593" s="5" t="inlineStr">
        <x:is>
          <x:t xml:space="preserve">비</x:t>
        </x:is>
      </x:c>
      <x:c r="Y593" s="5" t="inlineStr">
        <x:is>
          <x:t xml:space="preserve">무관</x:t>
        </x:is>
      </x:c>
      <x:c r="Z593" s="5" t="inlineStr">
        <x:is>
          <x:t xml:space="preserve">흔함</x:t>
        </x:is>
      </x:c>
      <x:c r="AA593" s="5" t="inlineStr">
        <x:is>
          <x:t xml:space="preserve">없음</x:t>
        </x:is>
      </x:c>
      <x:c r="AB593" s="5" t="inlineStr">
        <x:is>
          <x:t xml:space="preserve">습지</x:t>
        </x:is>
      </x:c>
      <x:c r="AC593" s="5" t="inlineStr">
        <x:is>
          <x:t xml:space="preserve">gen5</x:t>
        </x:is>
      </x:c>
      <x:c r="AD593" s="5" t="inlineStr">
        <x:is>
          <x:t xml:space="preserve">.tmp/cobblemon-1.7.3-source/common/src/main/resources/data/cobblemon/species/generation5/escavalier.json</x:t>
        </x:is>
      </x:c>
    </x:row>
    <x:row r="594" ht="22" customHeight="1">
      <x:c r="A594" s="5" t="n">
        <x:v>590</x:v>
      </x:c>
      <x:c r="B594" s="5" t="inlineStr">
        <x:is>
          <x:t xml:space="preserve">깜놀버슬</x:t>
        </x:is>
      </x:c>
      <x:c r="C594" s="5" t="inlineStr">
        <x:is>
          <x:t xml:space="preserve">foongus</x:t>
        </x:is>
      </x:c>
      <x:c r="D594" s="5" t="inlineStr">
        <x:is>
          <x:t xml:space="preserve">Foongus</x:t>
        </x:is>
      </x:c>
      <x:c r="E594" s="5" t="n">
        <x:v>5</x:v>
      </x:c>
      <x:c r="F594" s="5" t="inlineStr">
        <x:is>
          <x:t xml:space="preserve">풀</x:t>
        </x:is>
      </x:c>
      <x:c r="G594" s="5" t="inlineStr">
        <x:is>
          <x:t xml:space="preserve">독</x:t>
        </x:is>
      </x:c>
      <x:c r="H594" s="5" t="n">
        <x:v>0.2</x:v>
      </x:c>
      <x:c r="I594" s="5" t="n">
        <x:v>1</x:v>
      </x:c>
      <x:c r="J594" s="5" t="n">
        <x:v>294</x:v>
      </x:c>
      <x:c r="K594" s="5" t="n">
        <x:v>190</x:v>
      </x:c>
      <x:c r="L594" s="5" t="inlineStr">
        <x:is>
          <x:t xml:space="preserve">기본</x:t>
        </x:is>
      </x:c>
      <x:c r="M594" s="5" t="n">
        <x:v>39</x:v>
      </x:c>
      <x:c r="N594" s="5" t="inlineStr">
        <x:is>
          <x:t xml:space="preserve">레벨</x:t>
        </x:is>
      </x:c>
      <x:c r="O594" s="5" t="inlineStr">
        <x:is>
          <x:t xml:space="preserve">예</x:t>
        </x:is>
      </x:c>
      <x:c r="P594" s="5" t="inlineStr">
        <x:is>
          <x:t xml:space="preserve">#cobblemon:is_mushroom; #cobblemon:is_swamp</x:t>
        </x:is>
      </x:c>
      <x:c r="Q594" s="5" t="inlineStr">
        <x:is>
          <x:t xml:space="preserve">common</x:t>
        </x:is>
      </x:c>
      <x:c r="R594" s="5" t="inlineStr">
        <x:is>
          <x:t xml:space="preserve"/>
        </x:is>
      </x:c>
      <x:c r="S594" s="5" t="inlineStr">
        <x:is>
          <x:t xml:space="preserve"/>
        </x:is>
      </x:c>
      <x:c r="T594" s="5" t="inlineStr">
        <x:is>
          <x:t xml:space="preserve">육상</x:t>
        </x:is>
      </x:c>
      <x:c r="U594" s="5" t="inlineStr">
        <x:is>
          <x:t xml:space="preserve">습지</x:t>
        </x:is>
      </x:c>
      <x:c r="V594" s="5" t="inlineStr">
        <x:is>
          <x:t xml:space="preserve">온대</x:t>
        </x:is>
      </x:c>
      <x:c r="W594" s="5" t="inlineStr">
        <x:is>
          <x:t xml:space="preserve">다습</x:t>
        </x:is>
      </x:c>
      <x:c r="X594" s="5" t="inlineStr">
        <x:is>
          <x:t xml:space="preserve">비</x:t>
        </x:is>
      </x:c>
      <x:c r="Y594" s="5" t="inlineStr">
        <x:is>
          <x:t xml:space="preserve">무관</x:t>
        </x:is>
      </x:c>
      <x:c r="Z594" s="5" t="inlineStr">
        <x:is>
          <x:t xml:space="preserve">흔함</x:t>
        </x:is>
      </x:c>
      <x:c r="AA594" s="5" t="inlineStr">
        <x:is>
          <x:t xml:space="preserve">없음</x:t>
        </x:is>
      </x:c>
      <x:c r="AB594" s="5" t="inlineStr">
        <x:is>
          <x:t xml:space="preserve">습지</x:t>
        </x:is>
      </x:c>
      <x:c r="AC594" s="5" t="inlineStr">
        <x:is>
          <x:t xml:space="preserve">gen5</x:t>
        </x:is>
      </x:c>
      <x:c r="AD594" s="5" t="inlineStr">
        <x:is>
          <x:t xml:space="preserve">.tmp/cobblemon-1.7.3-source/common/src/main/resources/data/cobblemon/species/generation5/foongus.json</x:t>
        </x:is>
      </x:c>
    </x:row>
    <x:row r="595" ht="22" customHeight="1">
      <x:c r="A595" s="5" t="n">
        <x:v>591</x:v>
      </x:c>
      <x:c r="B595" s="5" t="inlineStr">
        <x:is>
          <x:t xml:space="preserve">뽀록나</x:t>
        </x:is>
      </x:c>
      <x:c r="C595" s="5" t="inlineStr">
        <x:is>
          <x:t xml:space="preserve">amoonguss</x:t>
        </x:is>
      </x:c>
      <x:c r="D595" s="5" t="inlineStr">
        <x:is>
          <x:t xml:space="preserve">Amoonguss</x:t>
        </x:is>
      </x:c>
      <x:c r="E595" s="5" t="n">
        <x:v>5</x:v>
      </x:c>
      <x:c r="F595" s="5" t="inlineStr">
        <x:is>
          <x:t xml:space="preserve">풀</x:t>
        </x:is>
      </x:c>
      <x:c r="G595" s="5" t="inlineStr">
        <x:is>
          <x:t xml:space="preserve">독</x:t>
        </x:is>
      </x:c>
      <x:c r="H595" s="5" t="n">
        <x:v>0.6</x:v>
      </x:c>
      <x:c r="I595" s="5" t="n">
        <x:v>10.5</x:v>
      </x:c>
      <x:c r="J595" s="5" t="n">
        <x:v>464</x:v>
      </x:c>
      <x:c r="K595" s="5" t="n">
        <x:v>75</x:v>
      </x:c>
      <x:c r="L595" s="5" t="inlineStr">
        <x:is>
          <x:t xml:space="preserve">최종</x:t>
        </x:is>
      </x:c>
      <x:c r="M595" s="5" t="n">
        <x:v>39</x:v>
      </x:c>
      <x:c r="N595" s="5" t="inlineStr">
        <x:is>
          <x:t xml:space="preserve">레벨</x:t>
        </x:is>
      </x:c>
      <x:c r="O595" s="5" t="inlineStr">
        <x:is>
          <x:t xml:space="preserve">예</x:t>
        </x:is>
      </x:c>
      <x:c r="P595" s="5" t="inlineStr">
        <x:is>
          <x:t xml:space="preserve">#cobblemon:is_mushroom; #cobblemon:is_swamp</x:t>
        </x:is>
      </x:c>
      <x:c r="Q595" s="5" t="inlineStr">
        <x:is>
          <x:t xml:space="preserve">common</x:t>
        </x:is>
      </x:c>
      <x:c r="R595" s="5" t="inlineStr">
        <x:is>
          <x:t xml:space="preserve"/>
        </x:is>
      </x:c>
      <x:c r="S595" s="5" t="inlineStr">
        <x:is>
          <x:t xml:space="preserve"/>
        </x:is>
      </x:c>
      <x:c r="T595" s="5" t="inlineStr">
        <x:is>
          <x:t xml:space="preserve">육상</x:t>
        </x:is>
      </x:c>
      <x:c r="U595" s="5" t="inlineStr">
        <x:is>
          <x:t xml:space="preserve">습지</x:t>
        </x:is>
      </x:c>
      <x:c r="V595" s="5" t="inlineStr">
        <x:is>
          <x:t xml:space="preserve">온대</x:t>
        </x:is>
      </x:c>
      <x:c r="W595" s="5" t="inlineStr">
        <x:is>
          <x:t xml:space="preserve">다습</x:t>
        </x:is>
      </x:c>
      <x:c r="X595" s="5" t="inlineStr">
        <x:is>
          <x:t xml:space="preserve">비</x:t>
        </x:is>
      </x:c>
      <x:c r="Y595" s="5" t="inlineStr">
        <x:is>
          <x:t xml:space="preserve">무관</x:t>
        </x:is>
      </x:c>
      <x:c r="Z595" s="5" t="inlineStr">
        <x:is>
          <x:t xml:space="preserve">흔함</x:t>
        </x:is>
      </x:c>
      <x:c r="AA595" s="5" t="inlineStr">
        <x:is>
          <x:t xml:space="preserve">없음</x:t>
        </x:is>
      </x:c>
      <x:c r="AB595" s="5" t="inlineStr">
        <x:is>
          <x:t xml:space="preserve">습지</x:t>
        </x:is>
      </x:c>
      <x:c r="AC595" s="5" t="inlineStr">
        <x:is>
          <x:t xml:space="preserve">gen5</x:t>
        </x:is>
      </x:c>
      <x:c r="AD595" s="5" t="inlineStr">
        <x:is>
          <x:t xml:space="preserve">.tmp/cobblemon-1.7.3-source/common/src/main/resources/data/cobblemon/species/generation5/amoonguss.json</x:t>
        </x:is>
      </x:c>
    </x:row>
    <x:row r="596" ht="22" customHeight="1">
      <x:c r="A596" s="5" t="n">
        <x:v>592</x:v>
      </x:c>
      <x:c r="B596" s="5" t="inlineStr">
        <x:is>
          <x:t xml:space="preserve">탱그릴</x:t>
        </x:is>
      </x:c>
      <x:c r="C596" s="5" t="inlineStr">
        <x:is>
          <x:t xml:space="preserve">frillish</x:t>
        </x:is>
      </x:c>
      <x:c r="D596" s="5" t="inlineStr">
        <x:is>
          <x:t xml:space="preserve">Frillish</x:t>
        </x:is>
      </x:c>
      <x:c r="E596" s="5" t="n">
        <x:v>5</x:v>
      </x:c>
      <x:c r="F596" s="5" t="inlineStr">
        <x:is>
          <x:t xml:space="preserve">물</x:t>
        </x:is>
      </x:c>
      <x:c r="G596" s="5" t="inlineStr">
        <x:is>
          <x:t xml:space="preserve">고스트</x:t>
        </x:is>
      </x:c>
      <x:c r="H596" s="5" t="n">
        <x:v>1.2</x:v>
      </x:c>
      <x:c r="I596" s="5" t="n">
        <x:v>33</x:v>
      </x:c>
      <x:c r="J596" s="5" t="n">
        <x:v>335</x:v>
      </x:c>
      <x:c r="K596" s="5" t="n">
        <x:v>190</x:v>
      </x:c>
      <x:c r="L596" s="5" t="inlineStr">
        <x:is>
          <x:t xml:space="preserve">기본</x:t>
        </x:is>
      </x:c>
      <x:c r="M596" s="5" t="n">
        <x:v>40</x:v>
      </x:c>
      <x:c r="N596" s="5" t="inlineStr">
        <x:is>
          <x:t xml:space="preserve">레벨</x:t>
        </x:is>
      </x:c>
      <x:c r="O596" s="5" t="inlineStr">
        <x:is>
          <x:t xml:space="preserve">예</x:t>
        </x:is>
      </x:c>
      <x:c r="P596" s="5" t="inlineStr">
        <x:is>
          <x:t xml:space="preserve">#cobblemon:is_ocean; #cobblemon:is_overworld</x:t>
        </x:is>
      </x:c>
      <x:c r="Q596" s="5" t="inlineStr">
        <x:is>
          <x:t xml:space="preserve">common</x:t>
        </x:is>
      </x:c>
      <x:c r="R596" s="5" t="inlineStr">
        <x:is>
          <x:t xml:space="preserve">night</x:t>
        </x:is>
      </x:c>
      <x:c r="S596" s="5" t="inlineStr">
        <x:is>
          <x:t xml:space="preserve"/>
        </x:is>
      </x:c>
      <x:c r="T596" s="5" t="inlineStr">
        <x:is>
          <x:t xml:space="preserve">해양</x:t>
        </x:is>
      </x:c>
      <x:c r="U596" s="5" t="inlineStr">
        <x:is>
          <x:t xml:space="preserve">해안·해양</x:t>
        </x:is>
      </x:c>
      <x:c r="V596" s="5" t="inlineStr">
        <x:is>
          <x:t xml:space="preserve">온대</x:t>
        </x:is>
      </x:c>
      <x:c r="W596" s="5" t="inlineStr">
        <x:is>
          <x:t xml:space="preserve">수중</x:t>
        </x:is>
      </x:c>
      <x:c r="X596" s="5" t="inlineStr">
        <x:is>
          <x:t xml:space="preserve">비</x:t>
        </x:is>
      </x:c>
      <x:c r="Y596" s="5" t="inlineStr">
        <x:is>
          <x:t xml:space="preserve">밤</x:t>
        </x:is>
      </x:c>
      <x:c r="Z596" s="5" t="inlineStr">
        <x:is>
          <x:t xml:space="preserve">흔함</x:t>
        </x:is>
      </x:c>
      <x:c r="AA596" s="5" t="inlineStr">
        <x:is>
          <x:t xml:space="preserve">영체</x:t>
        </x:is>
      </x:c>
      <x:c r="AB596" s="5" t="inlineStr">
        <x:is>
          <x:t xml:space="preserve">해양</x:t>
        </x:is>
      </x:c>
      <x:c r="AC596" s="5" t="inlineStr">
        <x:is>
          <x:t xml:space="preserve">gen5</x:t>
        </x:is>
      </x:c>
      <x:c r="AD596" s="5" t="inlineStr">
        <x:is>
          <x:t xml:space="preserve">.tmp/cobblemon-1.7.3-source/common/src/main/resources/data/cobblemon/species/generation5/frillish.json</x:t>
        </x:is>
      </x:c>
    </x:row>
    <x:row r="597" ht="22" customHeight="1">
      <x:c r="A597" s="5" t="n">
        <x:v>593</x:v>
      </x:c>
      <x:c r="B597" s="5" t="inlineStr">
        <x:is>
          <x:t xml:space="preserve">탱탱겔</x:t>
        </x:is>
      </x:c>
      <x:c r="C597" s="5" t="inlineStr">
        <x:is>
          <x:t xml:space="preserve">jellicent</x:t>
        </x:is>
      </x:c>
      <x:c r="D597" s="5" t="inlineStr">
        <x:is>
          <x:t xml:space="preserve">Jellicent</x:t>
        </x:is>
      </x:c>
      <x:c r="E597" s="5" t="n">
        <x:v>5</x:v>
      </x:c>
      <x:c r="F597" s="5" t="inlineStr">
        <x:is>
          <x:t xml:space="preserve">물</x:t>
        </x:is>
      </x:c>
      <x:c r="G597" s="5" t="inlineStr">
        <x:is>
          <x:t xml:space="preserve">고스트</x:t>
        </x:is>
      </x:c>
      <x:c r="H597" s="5" t="n">
        <x:v>2.2</x:v>
      </x:c>
      <x:c r="I597" s="5" t="n">
        <x:v>135</x:v>
      </x:c>
      <x:c r="J597" s="5" t="n">
        <x:v>480</x:v>
      </x:c>
      <x:c r="K597" s="5" t="n">
        <x:v>60</x:v>
      </x:c>
      <x:c r="L597" s="5" t="inlineStr">
        <x:is>
          <x:t xml:space="preserve">최종</x:t>
        </x:is>
      </x:c>
      <x:c r="M597" s="5" t="n">
        <x:v>40</x:v>
      </x:c>
      <x:c r="N597" s="5" t="inlineStr">
        <x:is>
          <x:t xml:space="preserve">레벨</x:t>
        </x:is>
      </x:c>
      <x:c r="O597" s="5" t="inlineStr">
        <x:is>
          <x:t xml:space="preserve">예</x:t>
        </x:is>
      </x:c>
      <x:c r="P597" s="5" t="inlineStr">
        <x:is>
          <x:t xml:space="preserve">#cobblemon:is_ocean; #cobblemon:is_overworld</x:t>
        </x:is>
      </x:c>
      <x:c r="Q597" s="5" t="inlineStr">
        <x:is>
          <x:t xml:space="preserve">common</x:t>
        </x:is>
      </x:c>
      <x:c r="R597" s="5" t="inlineStr">
        <x:is>
          <x:t xml:space="preserve">night</x:t>
        </x:is>
      </x:c>
      <x:c r="S597" s="5" t="inlineStr">
        <x:is>
          <x:t xml:space="preserve"/>
        </x:is>
      </x:c>
      <x:c r="T597" s="5" t="inlineStr">
        <x:is>
          <x:t xml:space="preserve">해양</x:t>
        </x:is>
      </x:c>
      <x:c r="U597" s="5" t="inlineStr">
        <x:is>
          <x:t xml:space="preserve">해안·해양</x:t>
        </x:is>
      </x:c>
      <x:c r="V597" s="5" t="inlineStr">
        <x:is>
          <x:t xml:space="preserve">온대</x:t>
        </x:is>
      </x:c>
      <x:c r="W597" s="5" t="inlineStr">
        <x:is>
          <x:t xml:space="preserve">수중</x:t>
        </x:is>
      </x:c>
      <x:c r="X597" s="5" t="inlineStr">
        <x:is>
          <x:t xml:space="preserve">비</x:t>
        </x:is>
      </x:c>
      <x:c r="Y597" s="5" t="inlineStr">
        <x:is>
          <x:t xml:space="preserve">밤</x:t>
        </x:is>
      </x:c>
      <x:c r="Z597" s="5" t="inlineStr">
        <x:is>
          <x:t xml:space="preserve">흔함</x:t>
        </x:is>
      </x:c>
      <x:c r="AA597" s="5" t="inlineStr">
        <x:is>
          <x:t xml:space="preserve">영체</x:t>
        </x:is>
      </x:c>
      <x:c r="AB597" s="5" t="inlineStr">
        <x:is>
          <x:t xml:space="preserve">해양</x:t>
        </x:is>
      </x:c>
      <x:c r="AC597" s="5" t="inlineStr">
        <x:is>
          <x:t xml:space="preserve">gen5</x:t>
        </x:is>
      </x:c>
      <x:c r="AD597" s="5" t="inlineStr">
        <x:is>
          <x:t xml:space="preserve">.tmp/cobblemon-1.7.3-source/common/src/main/resources/data/cobblemon/species/generation5/jellicent.json</x:t>
        </x:is>
      </x:c>
    </x:row>
    <x:row r="598" ht="22" customHeight="1">
      <x:c r="A598" s="5" t="n">
        <x:v>594</x:v>
      </x:c>
      <x:c r="B598" s="5" t="inlineStr">
        <x:is>
          <x:t xml:space="preserve">맘복치</x:t>
        </x:is>
      </x:c>
      <x:c r="C598" s="5" t="inlineStr">
        <x:is>
          <x:t xml:space="preserve">alomomola</x:t>
        </x:is>
      </x:c>
      <x:c r="D598" s="5" t="inlineStr">
        <x:is>
          <x:t xml:space="preserve">Alomomola</x:t>
        </x:is>
      </x:c>
      <x:c r="E598" s="5" t="n">
        <x:v>5</x:v>
      </x:c>
      <x:c r="F598" s="5" t="inlineStr">
        <x:is>
          <x:t xml:space="preserve">물</x:t>
        </x:is>
      </x:c>
      <x:c r="G598" s="5" t="inlineStr">
        <x:is>
          <x:t xml:space="preserve"/>
        </x:is>
      </x:c>
      <x:c r="H598" s="5" t="n">
        <x:v>1.2</x:v>
      </x:c>
      <x:c r="I598" s="5" t="n">
        <x:v>31.6</x:v>
      </x:c>
      <x:c r="J598" s="5" t="n">
        <x:v>470</x:v>
      </x:c>
      <x:c r="K598" s="5" t="n">
        <x:v>75</x:v>
      </x:c>
      <x:c r="L598" s="5" t="inlineStr">
        <x:is>
          <x:t xml:space="preserve">무진화</x:t>
        </x:is>
      </x:c>
      <x:c r="M598" s="5" t="n"/>
      <x:c r="N598" s="5" t="inlineStr">
        <x:is>
          <x:t xml:space="preserve">없음</x:t>
        </x:is>
      </x:c>
      <x:c r="O598" s="5" t="inlineStr">
        <x:is>
          <x:t xml:space="preserve">예</x:t>
        </x:is>
      </x:c>
      <x:c r="P598" s="5" t="inlineStr">
        <x:is>
          <x:t xml:space="preserve">#cobblemon:is_deep_ocean; #cobblemon:is_ocean</x:t>
        </x:is>
      </x:c>
      <x:c r="Q598" s="5" t="inlineStr">
        <x:is>
          <x:t xml:space="preserve">common; uncommon</x:t>
        </x:is>
      </x:c>
      <x:c r="R598" s="5" t="inlineStr">
        <x:is>
          <x:t xml:space="preserve"/>
        </x:is>
      </x:c>
      <x:c r="S598" s="5" t="inlineStr">
        <x:is>
          <x:t xml:space="preserve"/>
        </x:is>
      </x:c>
      <x:c r="T598" s="5" t="inlineStr">
        <x:is>
          <x:t xml:space="preserve">해양</x:t>
        </x:is>
      </x:c>
      <x:c r="U598" s="5" t="inlineStr">
        <x:is>
          <x:t xml:space="preserve">해안·해양</x:t>
        </x:is>
      </x:c>
      <x:c r="V598" s="5" t="inlineStr">
        <x:is>
          <x:t xml:space="preserve">온대</x:t>
        </x:is>
      </x:c>
      <x:c r="W598" s="5" t="inlineStr">
        <x:is>
          <x:t xml:space="preserve">수중</x:t>
        </x:is>
      </x:c>
      <x:c r="X598" s="5" t="inlineStr">
        <x:is>
          <x:t xml:space="preserve">비</x:t>
        </x:is>
      </x:c>
      <x:c r="Y598" s="5" t="inlineStr">
        <x:is>
          <x:t xml:space="preserve">무관</x:t>
        </x:is>
      </x:c>
      <x:c r="Z598" s="5" t="inlineStr">
        <x:is>
          <x:t xml:space="preserve">보통</x:t>
        </x:is>
      </x:c>
      <x:c r="AA598" s="5" t="inlineStr">
        <x:is>
          <x:t xml:space="preserve">심해</x:t>
        </x:is>
      </x:c>
      <x:c r="AB598" s="5" t="inlineStr">
        <x:is>
          <x:t xml:space="preserve">해양</x:t>
        </x:is>
      </x:c>
      <x:c r="AC598" s="5" t="inlineStr">
        <x:is>
          <x:t xml:space="preserve">gen5</x:t>
        </x:is>
      </x:c>
      <x:c r="AD598" s="5" t="inlineStr">
        <x:is>
          <x:t xml:space="preserve">.tmp/cobblemon-1.7.3-source/common/src/main/resources/data/cobblemon/species/generation5/alomomola.json</x:t>
        </x:is>
      </x:c>
    </x:row>
    <x:row r="599" ht="22" customHeight="1">
      <x:c r="A599" s="5" t="n">
        <x:v>595</x:v>
      </x:c>
      <x:c r="B599" s="5" t="inlineStr">
        <x:is>
          <x:t xml:space="preserve">파쪼옥</x:t>
        </x:is>
      </x:c>
      <x:c r="C599" s="5" t="inlineStr">
        <x:is>
          <x:t xml:space="preserve">joltik</x:t>
        </x:is>
      </x:c>
      <x:c r="D599" s="5" t="inlineStr">
        <x:is>
          <x:t xml:space="preserve">Joltik</x:t>
        </x:is>
      </x:c>
      <x:c r="E599" s="5" t="n">
        <x:v>5</x:v>
      </x:c>
      <x:c r="F599" s="5" t="inlineStr">
        <x:is>
          <x:t xml:space="preserve">벌레</x:t>
        </x:is>
      </x:c>
      <x:c r="G599" s="5" t="inlineStr">
        <x:is>
          <x:t xml:space="preserve">전기</x:t>
        </x:is>
      </x:c>
      <x:c r="H599" s="5" t="n">
        <x:v>0.1</x:v>
      </x:c>
      <x:c r="I599" s="5" t="n">
        <x:v>0.6</x:v>
      </x:c>
      <x:c r="J599" s="5" t="n">
        <x:v>319</x:v>
      </x:c>
      <x:c r="K599" s="5" t="n">
        <x:v>190</x:v>
      </x:c>
      <x:c r="L599" s="5" t="inlineStr">
        <x:is>
          <x:t xml:space="preserve">기본</x:t>
        </x:is>
      </x:c>
      <x:c r="M599" s="5" t="n">
        <x:v>36</x:v>
      </x:c>
      <x:c r="N599" s="5" t="inlineStr">
        <x:is>
          <x:t xml:space="preserve">레벨</x:t>
        </x:is>
      </x:c>
      <x:c r="O599" s="5" t="inlineStr">
        <x:is>
          <x:t xml:space="preserve">예</x:t>
        </x:is>
      </x:c>
      <x:c r="P599" s="5" t="inlineStr">
        <x:is>
          <x:t xml:space="preserve">#cobblemon:is_badlands; #cobblemon:is_jungle; #cobblemon:is_overworld; #cobblemon:is_savanna</x:t>
        </x:is>
      </x:c>
      <x:c r="Q599" s="5" t="inlineStr">
        <x:is>
          <x:t xml:space="preserve">common</x:t>
        </x:is>
      </x:c>
      <x:c r="R599" s="5" t="inlineStr">
        <x:is>
          <x:t xml:space="preserve">night</x:t>
        </x:is>
      </x:c>
      <x:c r="S599" s="5" t="inlineStr">
        <x:is>
          <x:t xml:space="preserve"/>
        </x:is>
      </x:c>
      <x:c r="T599" s="5" t="inlineStr">
        <x:is>
          <x:t xml:space="preserve">육상</x:t>
        </x:is>
      </x:c>
      <x:c r="U599" s="5" t="inlineStr">
        <x:is>
          <x:t xml:space="preserve">건조</x:t>
        </x:is>
      </x:c>
      <x:c r="V599" s="5" t="inlineStr">
        <x:is>
          <x:t xml:space="preserve">고온</x:t>
        </x:is>
      </x:c>
      <x:c r="W599" s="5" t="inlineStr">
        <x:is>
          <x:t xml:space="preserve">다습</x:t>
        </x:is>
      </x:c>
      <x:c r="X599" s="5" t="inlineStr">
        <x:is>
          <x:t xml:space="preserve">맑음</x:t>
        </x:is>
      </x:c>
      <x:c r="Y599" s="5" t="inlineStr">
        <x:is>
          <x:t xml:space="preserve">밤</x:t>
        </x:is>
      </x:c>
      <x:c r="Z599" s="5" t="inlineStr">
        <x:is>
          <x:t xml:space="preserve">흔함</x:t>
        </x:is>
      </x:c>
      <x:c r="AA599" s="5" t="inlineStr">
        <x:is>
          <x:t xml:space="preserve">없음</x:t>
        </x:is>
      </x:c>
      <x:c r="AB599" s="5" t="inlineStr">
        <x:is>
          <x:t xml:space="preserve">건조지</x:t>
        </x:is>
      </x:c>
      <x:c r="AC599" s="5" t="inlineStr">
        <x:is>
          <x:t xml:space="preserve">gen5</x:t>
        </x:is>
      </x:c>
      <x:c r="AD599" s="5" t="inlineStr">
        <x:is>
          <x:t xml:space="preserve">.tmp/cobblemon-1.7.3-source/common/src/main/resources/data/cobblemon/species/generation5/joltik.json</x:t>
        </x:is>
      </x:c>
    </x:row>
    <x:row r="600" ht="22" customHeight="1">
      <x:c r="A600" s="5" t="n">
        <x:v>596</x:v>
      </x:c>
      <x:c r="B600" s="5" t="inlineStr">
        <x:is>
          <x:t xml:space="preserve">전툴라</x:t>
        </x:is>
      </x:c>
      <x:c r="C600" s="5" t="inlineStr">
        <x:is>
          <x:t xml:space="preserve">galvantula</x:t>
        </x:is>
      </x:c>
      <x:c r="D600" s="5" t="inlineStr">
        <x:is>
          <x:t xml:space="preserve">Galvantula</x:t>
        </x:is>
      </x:c>
      <x:c r="E600" s="5" t="n">
        <x:v>5</x:v>
      </x:c>
      <x:c r="F600" s="5" t="inlineStr">
        <x:is>
          <x:t xml:space="preserve">벌레</x:t>
        </x:is>
      </x:c>
      <x:c r="G600" s="5" t="inlineStr">
        <x:is>
          <x:t xml:space="preserve">전기</x:t>
        </x:is>
      </x:c>
      <x:c r="H600" s="5" t="n">
        <x:v>0.8</x:v>
      </x:c>
      <x:c r="I600" s="5" t="n">
        <x:v>14.3</x:v>
      </x:c>
      <x:c r="J600" s="5" t="n">
        <x:v>472</x:v>
      </x:c>
      <x:c r="K600" s="5" t="n">
        <x:v>75</x:v>
      </x:c>
      <x:c r="L600" s="5" t="inlineStr">
        <x:is>
          <x:t xml:space="preserve">최종</x:t>
        </x:is>
      </x:c>
      <x:c r="M600" s="5" t="n">
        <x:v>36</x:v>
      </x:c>
      <x:c r="N600" s="5" t="inlineStr">
        <x:is>
          <x:t xml:space="preserve">레벨</x:t>
        </x:is>
      </x:c>
      <x:c r="O600" s="5" t="inlineStr">
        <x:is>
          <x:t xml:space="preserve">예</x:t>
        </x:is>
      </x:c>
      <x:c r="P600" s="5" t="inlineStr">
        <x:is>
          <x:t xml:space="preserve">#cobblemon:is_badlands; #cobblemon:is_jungle; #cobblemon:is_overworld; #cobblemon:is_savanna</x:t>
        </x:is>
      </x:c>
      <x:c r="Q600" s="5" t="inlineStr">
        <x:is>
          <x:t xml:space="preserve">common</x:t>
        </x:is>
      </x:c>
      <x:c r="R600" s="5" t="inlineStr">
        <x:is>
          <x:t xml:space="preserve">night</x:t>
        </x:is>
      </x:c>
      <x:c r="S600" s="5" t="inlineStr">
        <x:is>
          <x:t xml:space="preserve"/>
        </x:is>
      </x:c>
      <x:c r="T600" s="5" t="inlineStr">
        <x:is>
          <x:t xml:space="preserve">육상</x:t>
        </x:is>
      </x:c>
      <x:c r="U600" s="5" t="inlineStr">
        <x:is>
          <x:t xml:space="preserve">건조</x:t>
        </x:is>
      </x:c>
      <x:c r="V600" s="5" t="inlineStr">
        <x:is>
          <x:t xml:space="preserve">고온</x:t>
        </x:is>
      </x:c>
      <x:c r="W600" s="5" t="inlineStr">
        <x:is>
          <x:t xml:space="preserve">다습</x:t>
        </x:is>
      </x:c>
      <x:c r="X600" s="5" t="inlineStr">
        <x:is>
          <x:t xml:space="preserve">맑음</x:t>
        </x:is>
      </x:c>
      <x:c r="Y600" s="5" t="inlineStr">
        <x:is>
          <x:t xml:space="preserve">밤</x:t>
        </x:is>
      </x:c>
      <x:c r="Z600" s="5" t="inlineStr">
        <x:is>
          <x:t xml:space="preserve">흔함</x:t>
        </x:is>
      </x:c>
      <x:c r="AA600" s="5" t="inlineStr">
        <x:is>
          <x:t xml:space="preserve">없음</x:t>
        </x:is>
      </x:c>
      <x:c r="AB600" s="5" t="inlineStr">
        <x:is>
          <x:t xml:space="preserve">건조지</x:t>
        </x:is>
      </x:c>
      <x:c r="AC600" s="5" t="inlineStr">
        <x:is>
          <x:t xml:space="preserve">gen5</x:t>
        </x:is>
      </x:c>
      <x:c r="AD600" s="5" t="inlineStr">
        <x:is>
          <x:t xml:space="preserve">.tmp/cobblemon-1.7.3-source/common/src/main/resources/data/cobblemon/species/generation5/galvantula.json</x:t>
        </x:is>
      </x:c>
    </x:row>
    <x:row r="601" ht="22" customHeight="1">
      <x:c r="A601" s="5" t="n">
        <x:v>597</x:v>
      </x:c>
      <x:c r="B601" s="5" t="inlineStr">
        <x:is>
          <x:t xml:space="preserve">철시드</x:t>
        </x:is>
      </x:c>
      <x:c r="C601" s="5" t="inlineStr">
        <x:is>
          <x:t xml:space="preserve">ferroseed</x:t>
        </x:is>
      </x:c>
      <x:c r="D601" s="5" t="inlineStr">
        <x:is>
          <x:t xml:space="preserve">Ferroseed</x:t>
        </x:is>
      </x:c>
      <x:c r="E601" s="5" t="n">
        <x:v>5</x:v>
      </x:c>
      <x:c r="F601" s="5" t="inlineStr">
        <x:is>
          <x:t xml:space="preserve">풀</x:t>
        </x:is>
      </x:c>
      <x:c r="G601" s="5" t="inlineStr">
        <x:is>
          <x:t xml:space="preserve">강철</x:t>
        </x:is>
      </x:c>
      <x:c r="H601" s="5" t="n">
        <x:v>0.6</x:v>
      </x:c>
      <x:c r="I601" s="5" t="n">
        <x:v>18.8</x:v>
      </x:c>
      <x:c r="J601" s="5" t="n">
        <x:v>305</x:v>
      </x:c>
      <x:c r="K601" s="5" t="n">
        <x:v>255</x:v>
      </x:c>
      <x:c r="L601" s="5" t="inlineStr">
        <x:is>
          <x:t xml:space="preserve">기본</x:t>
        </x:is>
      </x:c>
      <x:c r="M601" s="5" t="n">
        <x:v>40</x:v>
      </x:c>
      <x:c r="N601" s="5" t="inlineStr">
        <x:is>
          <x:t xml:space="preserve">레벨</x:t>
        </x:is>
      </x:c>
      <x:c r="O601" s="5" t="inlineStr">
        <x:is>
          <x:t xml:space="preserve">예</x:t>
        </x:is>
      </x:c>
      <x:c r="P601" s="5" t="inlineStr">
        <x:is>
          <x:t xml:space="preserve">#cobblemon:is_lush; #cobblemon:is_overworld</x:t>
        </x:is>
      </x:c>
      <x:c r="Q601" s="5" t="inlineStr">
        <x:is>
          <x:t xml:space="preserve">common</x:t>
        </x:is>
      </x:c>
      <x:c r="R601" s="5" t="inlineStr">
        <x:is>
          <x:t xml:space="preserve"/>
        </x:is>
      </x:c>
      <x:c r="S601" s="5" t="inlineStr">
        <x:is>
          <x:t xml:space="preserve"/>
        </x:is>
      </x:c>
      <x:c r="T601" s="5" t="inlineStr">
        <x:is>
          <x:t xml:space="preserve">육상</x:t>
        </x:is>
      </x:c>
      <x:c r="U601" s="5" t="inlineStr">
        <x:is>
          <x:t xml:space="preserve">수목</x:t>
        </x:is>
      </x:c>
      <x:c r="V601" s="5" t="inlineStr">
        <x:is>
          <x:t xml:space="preserve">온대</x:t>
        </x:is>
      </x:c>
      <x:c r="W601" s="5" t="inlineStr">
        <x:is>
          <x:t xml:space="preserve">보통</x:t>
        </x:is>
      </x:c>
      <x:c r="X601" s="5" t="inlineStr">
        <x:is>
          <x:t xml:space="preserve">무관</x:t>
        </x:is>
      </x:c>
      <x:c r="Y601" s="5" t="inlineStr">
        <x:is>
          <x:t xml:space="preserve">무관</x:t>
        </x:is>
      </x:c>
      <x:c r="Z601" s="5" t="inlineStr">
        <x:is>
          <x:t xml:space="preserve">흔함</x:t>
        </x:is>
      </x:c>
      <x:c r="AA601" s="5" t="inlineStr">
        <x:is>
          <x:t xml:space="preserve">없음</x:t>
        </x:is>
      </x:c>
      <x:c r="AB601" s="5" t="inlineStr">
        <x:is>
          <x:t xml:space="preserve"/>
        </x:is>
      </x:c>
      <x:c r="AC601" s="5" t="inlineStr">
        <x:is>
          <x:t xml:space="preserve">gen5</x:t>
        </x:is>
      </x:c>
      <x:c r="AD601" s="5" t="inlineStr">
        <x:is>
          <x:t xml:space="preserve">.tmp/cobblemon-1.7.3-source/common/src/main/resources/data/cobblemon/species/generation5/ferroseed.json</x:t>
        </x:is>
      </x:c>
    </x:row>
    <x:row r="602" ht="22" customHeight="1">
      <x:c r="A602" s="5" t="n">
        <x:v>598</x:v>
      </x:c>
      <x:c r="B602" s="5" t="inlineStr">
        <x:is>
          <x:t xml:space="preserve">너트령</x:t>
        </x:is>
      </x:c>
      <x:c r="C602" s="5" t="inlineStr">
        <x:is>
          <x:t xml:space="preserve">ferrothorn</x:t>
        </x:is>
      </x:c>
      <x:c r="D602" s="5" t="inlineStr">
        <x:is>
          <x:t xml:space="preserve">Ferrothorn</x:t>
        </x:is>
      </x:c>
      <x:c r="E602" s="5" t="n">
        <x:v>5</x:v>
      </x:c>
      <x:c r="F602" s="5" t="inlineStr">
        <x:is>
          <x:t xml:space="preserve">풀</x:t>
        </x:is>
      </x:c>
      <x:c r="G602" s="5" t="inlineStr">
        <x:is>
          <x:t xml:space="preserve">강철</x:t>
        </x:is>
      </x:c>
      <x:c r="H602" s="5" t="n">
        <x:v>1</x:v>
      </x:c>
      <x:c r="I602" s="5" t="n">
        <x:v>110</x:v>
      </x:c>
      <x:c r="J602" s="5" t="n">
        <x:v>489</x:v>
      </x:c>
      <x:c r="K602" s="5" t="n">
        <x:v>90</x:v>
      </x:c>
      <x:c r="L602" s="5" t="inlineStr">
        <x:is>
          <x:t xml:space="preserve">최종</x:t>
        </x:is>
      </x:c>
      <x:c r="M602" s="5" t="n">
        <x:v>40</x:v>
      </x:c>
      <x:c r="N602" s="5" t="inlineStr">
        <x:is>
          <x:t xml:space="preserve">레벨</x:t>
        </x:is>
      </x:c>
      <x:c r="O602" s="5" t="inlineStr">
        <x:is>
          <x:t xml:space="preserve">예</x:t>
        </x:is>
      </x:c>
      <x:c r="P602" s="5" t="inlineStr">
        <x:is>
          <x:t xml:space="preserve">#cobblemon:is_lush; #cobblemon:is_overworld</x:t>
        </x:is>
      </x:c>
      <x:c r="Q602" s="5" t="inlineStr">
        <x:is>
          <x:t xml:space="preserve">common</x:t>
        </x:is>
      </x:c>
      <x:c r="R602" s="5" t="inlineStr">
        <x:is>
          <x:t xml:space="preserve"/>
        </x:is>
      </x:c>
      <x:c r="S602" s="5" t="inlineStr">
        <x:is>
          <x:t xml:space="preserve"/>
        </x:is>
      </x:c>
      <x:c r="T602" s="5" t="inlineStr">
        <x:is>
          <x:t xml:space="preserve">육상</x:t>
        </x:is>
      </x:c>
      <x:c r="U602" s="5" t="inlineStr">
        <x:is>
          <x:t xml:space="preserve">수목</x:t>
        </x:is>
      </x:c>
      <x:c r="V602" s="5" t="inlineStr">
        <x:is>
          <x:t xml:space="preserve">온대</x:t>
        </x:is>
      </x:c>
      <x:c r="W602" s="5" t="inlineStr">
        <x:is>
          <x:t xml:space="preserve">보통</x:t>
        </x:is>
      </x:c>
      <x:c r="X602" s="5" t="inlineStr">
        <x:is>
          <x:t xml:space="preserve">무관</x:t>
        </x:is>
      </x:c>
      <x:c r="Y602" s="5" t="inlineStr">
        <x:is>
          <x:t xml:space="preserve">무관</x:t>
        </x:is>
      </x:c>
      <x:c r="Z602" s="5" t="inlineStr">
        <x:is>
          <x:t xml:space="preserve">흔함</x:t>
        </x:is>
      </x:c>
      <x:c r="AA602" s="5" t="inlineStr">
        <x:is>
          <x:t xml:space="preserve">없음</x:t>
        </x:is>
      </x:c>
      <x:c r="AB602" s="5" t="inlineStr">
        <x:is>
          <x:t xml:space="preserve"/>
        </x:is>
      </x:c>
      <x:c r="AC602" s="5" t="inlineStr">
        <x:is>
          <x:t xml:space="preserve">gen5</x:t>
        </x:is>
      </x:c>
      <x:c r="AD602" s="5" t="inlineStr">
        <x:is>
          <x:t xml:space="preserve">.tmp/cobblemon-1.7.3-source/common/src/main/resources/data/cobblemon/species/generation5/ferrothorn.json</x:t>
        </x:is>
      </x:c>
    </x:row>
    <x:row r="603" ht="22" customHeight="1">
      <x:c r="A603" s="5" t="n">
        <x:v>599</x:v>
      </x:c>
      <x:c r="B603" s="5" t="inlineStr">
        <x:is>
          <x:t xml:space="preserve">기어르</x:t>
        </x:is>
      </x:c>
      <x:c r="C603" s="5" t="inlineStr">
        <x:is>
          <x:t xml:space="preserve">klink</x:t>
        </x:is>
      </x:c>
      <x:c r="D603" s="5" t="inlineStr">
        <x:is>
          <x:t xml:space="preserve">Klink</x:t>
        </x:is>
      </x:c>
      <x:c r="E603" s="5" t="n">
        <x:v>5</x:v>
      </x:c>
      <x:c r="F603" s="5" t="inlineStr">
        <x:is>
          <x:t xml:space="preserve">강철</x:t>
        </x:is>
      </x:c>
      <x:c r="G603" s="5" t="inlineStr">
        <x:is>
          <x:t xml:space="preserve"/>
        </x:is>
      </x:c>
      <x:c r="H603" s="5" t="n">
        <x:v>0.3</x:v>
      </x:c>
      <x:c r="I603" s="5" t="n">
        <x:v>21</x:v>
      </x:c>
      <x:c r="J603" s="5" t="n">
        <x:v>300</x:v>
      </x:c>
      <x:c r="K603" s="5" t="n">
        <x:v>130</x:v>
      </x:c>
      <x:c r="L603" s="5" t="inlineStr">
        <x:is>
          <x:t xml:space="preserve">기본</x:t>
        </x:is>
      </x:c>
      <x:c r="M603" s="5" t="n">
        <x:v>49</x:v>
      </x:c>
      <x:c r="N603" s="5" t="inlineStr">
        <x:is>
          <x:t xml:space="preserve">레벨</x:t>
        </x:is>
      </x:c>
      <x:c r="O603" s="5" t="inlineStr">
        <x:is>
          <x:t xml:space="preserve">예</x:t>
        </x:is>
      </x:c>
      <x:c r="P603" s="5" t="inlineStr">
        <x:is>
          <x:t xml:space="preserve">#cobblemon:is_badlands; #cobblemon:is_cave</x:t>
        </x:is>
      </x:c>
      <x:c r="Q603" s="5" t="inlineStr">
        <x:is>
          <x:t xml:space="preserve">common</x:t>
        </x:is>
      </x:c>
      <x:c r="R603" s="5" t="inlineStr">
        <x:is>
          <x:t xml:space="preserve"/>
        </x:is>
      </x:c>
      <x:c r="S603" s="5" t="inlineStr">
        <x:is>
          <x:t xml:space="preserve"/>
        </x:is>
      </x:c>
      <x:c r="T603" s="5" t="inlineStr">
        <x:is>
          <x:t xml:space="preserve">인공</x:t>
        </x:is>
      </x:c>
      <x:c r="U603" s="5" t="inlineStr">
        <x:is>
          <x:t xml:space="preserve">동굴</x:t>
        </x:is>
      </x:c>
      <x:c r="V603" s="5" t="inlineStr">
        <x:is>
          <x:t xml:space="preserve">온대</x:t>
        </x:is>
      </x:c>
      <x:c r="W603" s="5" t="inlineStr">
        <x:is>
          <x:t xml:space="preserve">보통</x:t>
        </x:is>
      </x:c>
      <x:c r="X603" s="5" t="inlineStr">
        <x:is>
          <x:t xml:space="preserve">무관</x:t>
        </x:is>
      </x:c>
      <x:c r="Y603" s="5" t="inlineStr">
        <x:is>
          <x:t xml:space="preserve">무관</x:t>
        </x:is>
      </x:c>
      <x:c r="Z603" s="5" t="inlineStr">
        <x:is>
          <x:t xml:space="preserve">흔함</x:t>
        </x:is>
      </x:c>
      <x:c r="AA603" s="5" t="inlineStr">
        <x:is>
          <x:t xml:space="preserve">동굴</x:t>
        </x:is>
      </x:c>
      <x:c r="AB603" s="5" t="inlineStr">
        <x:is>
          <x:t xml:space="preserve">동굴</x:t>
        </x:is>
      </x:c>
      <x:c r="AC603" s="5" t="inlineStr">
        <x:is>
          <x:t xml:space="preserve">gen5</x:t>
        </x:is>
      </x:c>
      <x:c r="AD603" s="5" t="inlineStr">
        <x:is>
          <x:t xml:space="preserve">.tmp/cobblemon-1.7.3-source/common/src/main/resources/data/cobblemon/species/generation5/klink.json</x:t>
        </x:is>
      </x:c>
    </x:row>
    <x:row r="604" ht="22" customHeight="1">
      <x:c r="A604" s="5" t="n">
        <x:v>600</x:v>
      </x:c>
      <x:c r="B604" s="5" t="inlineStr">
        <x:is>
          <x:t xml:space="preserve">기기어르</x:t>
        </x:is>
      </x:c>
      <x:c r="C604" s="5" t="inlineStr">
        <x:is>
          <x:t xml:space="preserve">klang</x:t>
        </x:is>
      </x:c>
      <x:c r="D604" s="5" t="inlineStr">
        <x:is>
          <x:t xml:space="preserve">Klang</x:t>
        </x:is>
      </x:c>
      <x:c r="E604" s="5" t="n">
        <x:v>5</x:v>
      </x:c>
      <x:c r="F604" s="5" t="inlineStr">
        <x:is>
          <x:t xml:space="preserve">강철</x:t>
        </x:is>
      </x:c>
      <x:c r="G604" s="5" t="inlineStr">
        <x:is>
          <x:t xml:space="preserve"/>
        </x:is>
      </x:c>
      <x:c r="H604" s="5" t="n">
        <x:v>0.6</x:v>
      </x:c>
      <x:c r="I604" s="5" t="n">
        <x:v>51</x:v>
      </x:c>
      <x:c r="J604" s="5" t="n">
        <x:v>440</x:v>
      </x:c>
      <x:c r="K604" s="5" t="n">
        <x:v>60</x:v>
      </x:c>
      <x:c r="L604" s="5" t="inlineStr">
        <x:is>
          <x:t xml:space="preserve">중간</x:t>
        </x:is>
      </x:c>
      <x:c r="M604" s="5" t="n">
        <x:v>49</x:v>
      </x:c>
      <x:c r="N604" s="5" t="inlineStr">
        <x:is>
          <x:t xml:space="preserve">레벨</x:t>
        </x:is>
      </x:c>
      <x:c r="O604" s="5" t="inlineStr">
        <x:is>
          <x:t xml:space="preserve">예</x:t>
        </x:is>
      </x:c>
      <x:c r="P604" s="5" t="inlineStr">
        <x:is>
          <x:t xml:space="preserve">#cobblemon:is_badlands; #cobblemon:is_cave</x:t>
        </x:is>
      </x:c>
      <x:c r="Q604" s="5" t="inlineStr">
        <x:is>
          <x:t xml:space="preserve">common</x:t>
        </x:is>
      </x:c>
      <x:c r="R604" s="5" t="inlineStr">
        <x:is>
          <x:t xml:space="preserve"/>
        </x:is>
      </x:c>
      <x:c r="S604" s="5" t="inlineStr">
        <x:is>
          <x:t xml:space="preserve"/>
        </x:is>
      </x:c>
      <x:c r="T604" s="5" t="inlineStr">
        <x:is>
          <x:t xml:space="preserve">인공</x:t>
        </x:is>
      </x:c>
      <x:c r="U604" s="5" t="inlineStr">
        <x:is>
          <x:t xml:space="preserve">동굴</x:t>
        </x:is>
      </x:c>
      <x:c r="V604" s="5" t="inlineStr">
        <x:is>
          <x:t xml:space="preserve">온대</x:t>
        </x:is>
      </x:c>
      <x:c r="W604" s="5" t="inlineStr">
        <x:is>
          <x:t xml:space="preserve">보통</x:t>
        </x:is>
      </x:c>
      <x:c r="X604" s="5" t="inlineStr">
        <x:is>
          <x:t xml:space="preserve">무관</x:t>
        </x:is>
      </x:c>
      <x:c r="Y604" s="5" t="inlineStr">
        <x:is>
          <x:t xml:space="preserve">무관</x:t>
        </x:is>
      </x:c>
      <x:c r="Z604" s="5" t="inlineStr">
        <x:is>
          <x:t xml:space="preserve">흔함</x:t>
        </x:is>
      </x:c>
      <x:c r="AA604" s="5" t="inlineStr">
        <x:is>
          <x:t xml:space="preserve">동굴</x:t>
        </x:is>
      </x:c>
      <x:c r="AB604" s="5" t="inlineStr">
        <x:is>
          <x:t xml:space="preserve">동굴</x:t>
        </x:is>
      </x:c>
      <x:c r="AC604" s="5" t="inlineStr">
        <x:is>
          <x:t xml:space="preserve">gen5</x:t>
        </x:is>
      </x:c>
      <x:c r="AD604" s="5" t="inlineStr">
        <x:is>
          <x:t xml:space="preserve">.tmp/cobblemon-1.7.3-source/common/src/main/resources/data/cobblemon/species/generation5/klang.json</x:t>
        </x:is>
      </x:c>
    </x:row>
    <x:row r="605" ht="22" customHeight="1">
      <x:c r="A605" s="5" t="n">
        <x:v>601</x:v>
      </x:c>
      <x:c r="B605" s="5" t="inlineStr">
        <x:is>
          <x:t xml:space="preserve">기기기어르</x:t>
        </x:is>
      </x:c>
      <x:c r="C605" s="5" t="inlineStr">
        <x:is>
          <x:t xml:space="preserve">klinklang</x:t>
        </x:is>
      </x:c>
      <x:c r="D605" s="5" t="inlineStr">
        <x:is>
          <x:t xml:space="preserve">Klinklang</x:t>
        </x:is>
      </x:c>
      <x:c r="E605" s="5" t="n">
        <x:v>5</x:v>
      </x:c>
      <x:c r="F605" s="5" t="inlineStr">
        <x:is>
          <x:t xml:space="preserve">강철</x:t>
        </x:is>
      </x:c>
      <x:c r="G605" s="5" t="inlineStr">
        <x:is>
          <x:t xml:space="preserve"/>
        </x:is>
      </x:c>
      <x:c r="H605" s="5" t="n">
        <x:v>0.6</x:v>
      </x:c>
      <x:c r="I605" s="5" t="n">
        <x:v>81</x:v>
      </x:c>
      <x:c r="J605" s="5" t="n">
        <x:v>520</x:v>
      </x:c>
      <x:c r="K605" s="5" t="n">
        <x:v>30</x:v>
      </x:c>
      <x:c r="L605" s="5" t="inlineStr">
        <x:is>
          <x:t xml:space="preserve">최종</x:t>
        </x:is>
      </x:c>
      <x:c r="M605" s="5" t="n">
        <x:v>49</x:v>
      </x:c>
      <x:c r="N605" s="5" t="inlineStr">
        <x:is>
          <x:t xml:space="preserve">레벨</x:t>
        </x:is>
      </x:c>
      <x:c r="O605" s="5" t="inlineStr">
        <x:is>
          <x:t xml:space="preserve">예</x:t>
        </x:is>
      </x:c>
      <x:c r="P605" s="5" t="inlineStr">
        <x:is>
          <x:t xml:space="preserve">#cobblemon:is_badlands; #cobblemon:is_cave</x:t>
        </x:is>
      </x:c>
      <x:c r="Q605" s="5" t="inlineStr">
        <x:is>
          <x:t xml:space="preserve">common</x:t>
        </x:is>
      </x:c>
      <x:c r="R605" s="5" t="inlineStr">
        <x:is>
          <x:t xml:space="preserve"/>
        </x:is>
      </x:c>
      <x:c r="S605" s="5" t="inlineStr">
        <x:is>
          <x:t xml:space="preserve"/>
        </x:is>
      </x:c>
      <x:c r="T605" s="5" t="inlineStr">
        <x:is>
          <x:t xml:space="preserve">인공</x:t>
        </x:is>
      </x:c>
      <x:c r="U605" s="5" t="inlineStr">
        <x:is>
          <x:t xml:space="preserve">동굴</x:t>
        </x:is>
      </x:c>
      <x:c r="V605" s="5" t="inlineStr">
        <x:is>
          <x:t xml:space="preserve">온대</x:t>
        </x:is>
      </x:c>
      <x:c r="W605" s="5" t="inlineStr">
        <x:is>
          <x:t xml:space="preserve">보통</x:t>
        </x:is>
      </x:c>
      <x:c r="X605" s="5" t="inlineStr">
        <x:is>
          <x:t xml:space="preserve">무관</x:t>
        </x:is>
      </x:c>
      <x:c r="Y605" s="5" t="inlineStr">
        <x:is>
          <x:t xml:space="preserve">무관</x:t>
        </x:is>
      </x:c>
      <x:c r="Z605" s="5" t="inlineStr">
        <x:is>
          <x:t xml:space="preserve">흔함</x:t>
        </x:is>
      </x:c>
      <x:c r="AA605" s="5" t="inlineStr">
        <x:is>
          <x:t xml:space="preserve">동굴</x:t>
        </x:is>
      </x:c>
      <x:c r="AB605" s="5" t="inlineStr">
        <x:is>
          <x:t xml:space="preserve">동굴</x:t>
        </x:is>
      </x:c>
      <x:c r="AC605" s="5" t="inlineStr">
        <x:is>
          <x:t xml:space="preserve">gen5</x:t>
        </x:is>
      </x:c>
      <x:c r="AD605" s="5" t="inlineStr">
        <x:is>
          <x:t xml:space="preserve">.tmp/cobblemon-1.7.3-source/common/src/main/resources/data/cobblemon/species/generation5/klinklang.json</x:t>
        </x:is>
      </x:c>
    </x:row>
    <x:row r="606" ht="22" customHeight="1">
      <x:c r="A606" s="5" t="n">
        <x:v>602</x:v>
      </x:c>
      <x:c r="B606" s="5" t="inlineStr">
        <x:is>
          <x:t xml:space="preserve">저리어</x:t>
        </x:is>
      </x:c>
      <x:c r="C606" s="5" t="inlineStr">
        <x:is>
          <x:t xml:space="preserve">tynamo</x:t>
        </x:is>
      </x:c>
      <x:c r="D606" s="5" t="inlineStr">
        <x:is>
          <x:t xml:space="preserve">Tynamo</x:t>
        </x:is>
      </x:c>
      <x:c r="E606" s="5" t="n">
        <x:v>5</x:v>
      </x:c>
      <x:c r="F606" s="5" t="inlineStr">
        <x:is>
          <x:t xml:space="preserve">전기</x:t>
        </x:is>
      </x:c>
      <x:c r="G606" s="5" t="inlineStr">
        <x:is>
          <x:t xml:space="preserve"/>
        </x:is>
      </x:c>
      <x:c r="H606" s="5" t="n">
        <x:v>0.2</x:v>
      </x:c>
      <x:c r="I606" s="5" t="n">
        <x:v>0.3</x:v>
      </x:c>
      <x:c r="J606" s="5" t="n">
        <x:v>275</x:v>
      </x:c>
      <x:c r="K606" s="5" t="n">
        <x:v>190</x:v>
      </x:c>
      <x:c r="L606" s="5" t="inlineStr">
        <x:is>
          <x:t xml:space="preserve">기본</x:t>
        </x:is>
      </x:c>
      <x:c r="M606" s="5" t="n">
        <x:v>39</x:v>
      </x:c>
      <x:c r="N606" s="5" t="inlineStr">
        <x:is>
          <x:t xml:space="preserve">레벨·특수</x:t>
        </x:is>
      </x:c>
      <x:c r="O606" s="5" t="inlineStr">
        <x:is>
          <x:t xml:space="preserve">예</x:t>
        </x:is>
      </x:c>
      <x:c r="P606" s="5" t="inlineStr">
        <x:is>
          <x:t xml:space="preserve">#cobblemon:is_ocean; #cobblemon:is_overworld</x:t>
        </x:is>
      </x:c>
      <x:c r="Q606" s="5" t="inlineStr">
        <x:is>
          <x:t xml:space="preserve">common; uncommon</x:t>
        </x:is>
      </x:c>
      <x:c r="R606" s="5" t="inlineStr">
        <x:is>
          <x:t xml:space="preserve"/>
        </x:is>
      </x:c>
      <x:c r="S606" s="5" t="inlineStr">
        <x:is>
          <x:t xml:space="preserve"/>
        </x:is>
      </x:c>
      <x:c r="T606" s="5" t="inlineStr">
        <x:is>
          <x:t xml:space="preserve">해양</x:t>
        </x:is>
      </x:c>
      <x:c r="U606" s="5" t="inlineStr">
        <x:is>
          <x:t xml:space="preserve">해안·해양</x:t>
        </x:is>
      </x:c>
      <x:c r="V606" s="5" t="inlineStr">
        <x:is>
          <x:t xml:space="preserve">온대</x:t>
        </x:is>
      </x:c>
      <x:c r="W606" s="5" t="inlineStr">
        <x:is>
          <x:t xml:space="preserve">수중</x:t>
        </x:is>
      </x:c>
      <x:c r="X606" s="5" t="inlineStr">
        <x:is>
          <x:t xml:space="preserve">비</x:t>
        </x:is>
      </x:c>
      <x:c r="Y606" s="5" t="inlineStr">
        <x:is>
          <x:t xml:space="preserve">무관</x:t>
        </x:is>
      </x:c>
      <x:c r="Z606" s="5" t="inlineStr">
        <x:is>
          <x:t xml:space="preserve">보통</x:t>
        </x:is>
      </x:c>
      <x:c r="AA606" s="5" t="inlineStr">
        <x:is>
          <x:t xml:space="preserve">없음</x:t>
        </x:is>
      </x:c>
      <x:c r="AB606" s="5" t="inlineStr">
        <x:is>
          <x:t xml:space="preserve">해양</x:t>
        </x:is>
      </x:c>
      <x:c r="AC606" s="5" t="inlineStr">
        <x:is>
          <x:t xml:space="preserve">gen5</x:t>
        </x:is>
      </x:c>
      <x:c r="AD606" s="5" t="inlineStr">
        <x:is>
          <x:t xml:space="preserve">.tmp/cobblemon-1.7.3-source/common/src/main/resources/data/cobblemon/species/generation5/tynamo.json</x:t>
        </x:is>
      </x:c>
    </x:row>
    <x:row r="607" ht="22" customHeight="1">
      <x:c r="A607" s="5" t="n">
        <x:v>603</x:v>
      </x:c>
      <x:c r="B607" s="5" t="inlineStr">
        <x:is>
          <x:t xml:space="preserve">저리릴</x:t>
        </x:is>
      </x:c>
      <x:c r="C607" s="5" t="inlineStr">
        <x:is>
          <x:t xml:space="preserve">eelektrik</x:t>
        </x:is>
      </x:c>
      <x:c r="D607" s="5" t="inlineStr">
        <x:is>
          <x:t xml:space="preserve">Eelektrik</x:t>
        </x:is>
      </x:c>
      <x:c r="E607" s="5" t="n">
        <x:v>5</x:v>
      </x:c>
      <x:c r="F607" s="5" t="inlineStr">
        <x:is>
          <x:t xml:space="preserve">전기</x:t>
        </x:is>
      </x:c>
      <x:c r="G607" s="5" t="inlineStr">
        <x:is>
          <x:t xml:space="preserve"/>
        </x:is>
      </x:c>
      <x:c r="H607" s="5" t="n">
        <x:v>1.2</x:v>
      </x:c>
      <x:c r="I607" s="5" t="n">
        <x:v>22</x:v>
      </x:c>
      <x:c r="J607" s="5" t="n">
        <x:v>405</x:v>
      </x:c>
      <x:c r="K607" s="5" t="n">
        <x:v>60</x:v>
      </x:c>
      <x:c r="L607" s="5" t="inlineStr">
        <x:is>
          <x:t xml:space="preserve">중간</x:t>
        </x:is>
      </x:c>
      <x:c r="M607" s="5" t="n">
        <x:v>39</x:v>
      </x:c>
      <x:c r="N607" s="5" t="inlineStr">
        <x:is>
          <x:t xml:space="preserve">레벨·특수</x:t>
        </x:is>
      </x:c>
      <x:c r="O607" s="5" t="inlineStr">
        <x:is>
          <x:t xml:space="preserve">예</x:t>
        </x:is>
      </x:c>
      <x:c r="P607" s="5" t="inlineStr">
        <x:is>
          <x:t xml:space="preserve">#cobblemon:is_ocean; #cobblemon:is_overworld</x:t>
        </x:is>
      </x:c>
      <x:c r="Q607" s="5" t="inlineStr">
        <x:is>
          <x:t xml:space="preserve">common; uncommon</x:t>
        </x:is>
      </x:c>
      <x:c r="R607" s="5" t="inlineStr">
        <x:is>
          <x:t xml:space="preserve"/>
        </x:is>
      </x:c>
      <x:c r="S607" s="5" t="inlineStr">
        <x:is>
          <x:t xml:space="preserve"/>
        </x:is>
      </x:c>
      <x:c r="T607" s="5" t="inlineStr">
        <x:is>
          <x:t xml:space="preserve">해양</x:t>
        </x:is>
      </x:c>
      <x:c r="U607" s="5" t="inlineStr">
        <x:is>
          <x:t xml:space="preserve">해안·해양</x:t>
        </x:is>
      </x:c>
      <x:c r="V607" s="5" t="inlineStr">
        <x:is>
          <x:t xml:space="preserve">온대</x:t>
        </x:is>
      </x:c>
      <x:c r="W607" s="5" t="inlineStr">
        <x:is>
          <x:t xml:space="preserve">수중</x:t>
        </x:is>
      </x:c>
      <x:c r="X607" s="5" t="inlineStr">
        <x:is>
          <x:t xml:space="preserve">비</x:t>
        </x:is>
      </x:c>
      <x:c r="Y607" s="5" t="inlineStr">
        <x:is>
          <x:t xml:space="preserve">무관</x:t>
        </x:is>
      </x:c>
      <x:c r="Z607" s="5" t="inlineStr">
        <x:is>
          <x:t xml:space="preserve">보통</x:t>
        </x:is>
      </x:c>
      <x:c r="AA607" s="5" t="inlineStr">
        <x:is>
          <x:t xml:space="preserve">없음</x:t>
        </x:is>
      </x:c>
      <x:c r="AB607" s="5" t="inlineStr">
        <x:is>
          <x:t xml:space="preserve">해양</x:t>
        </x:is>
      </x:c>
      <x:c r="AC607" s="5" t="inlineStr">
        <x:is>
          <x:t xml:space="preserve">gen5</x:t>
        </x:is>
      </x:c>
      <x:c r="AD607" s="5" t="inlineStr">
        <x:is>
          <x:t xml:space="preserve">.tmp/cobblemon-1.7.3-source/common/src/main/resources/data/cobblemon/species/generation5/eelektrik.json</x:t>
        </x:is>
      </x:c>
    </x:row>
    <x:row r="608" ht="22" customHeight="1">
      <x:c r="A608" s="5" t="n">
        <x:v>604</x:v>
      </x:c>
      <x:c r="B608" s="5" t="inlineStr">
        <x:is>
          <x:t xml:space="preserve">저리더프</x:t>
        </x:is>
      </x:c>
      <x:c r="C608" s="5" t="inlineStr">
        <x:is>
          <x:t xml:space="preserve">eelektross</x:t>
        </x:is>
      </x:c>
      <x:c r="D608" s="5" t="inlineStr">
        <x:is>
          <x:t xml:space="preserve">Eelektross</x:t>
        </x:is>
      </x:c>
      <x:c r="E608" s="5" t="n">
        <x:v>5</x:v>
      </x:c>
      <x:c r="F608" s="5" t="inlineStr">
        <x:is>
          <x:t xml:space="preserve">전기</x:t>
        </x:is>
      </x:c>
      <x:c r="G608" s="5" t="inlineStr">
        <x:is>
          <x:t xml:space="preserve"/>
        </x:is>
      </x:c>
      <x:c r="H608" s="5" t="n">
        <x:v>2.1</x:v>
      </x:c>
      <x:c r="I608" s="5" t="n">
        <x:v>80.5</x:v>
      </x:c>
      <x:c r="J608" s="5" t="n">
        <x:v>515</x:v>
      </x:c>
      <x:c r="K608" s="5" t="n">
        <x:v>30</x:v>
      </x:c>
      <x:c r="L608" s="5" t="inlineStr">
        <x:is>
          <x:t xml:space="preserve">최종</x:t>
        </x:is>
      </x:c>
      <x:c r="M608" s="5" t="n">
        <x:v>39</x:v>
      </x:c>
      <x:c r="N608" s="5" t="inlineStr">
        <x:is>
          <x:t xml:space="preserve">레벨·특수</x:t>
        </x:is>
      </x:c>
      <x:c r="O608" s="5" t="inlineStr">
        <x:is>
          <x:t xml:space="preserve">예</x:t>
        </x:is>
      </x:c>
      <x:c r="P608" s="5" t="inlineStr">
        <x:is>
          <x:t xml:space="preserve">#cobblemon:is_ocean; #cobblemon:is_overworld</x:t>
        </x:is>
      </x:c>
      <x:c r="Q608" s="5" t="inlineStr">
        <x:is>
          <x:t xml:space="preserve">common; uncommon</x:t>
        </x:is>
      </x:c>
      <x:c r="R608" s="5" t="inlineStr">
        <x:is>
          <x:t xml:space="preserve"/>
        </x:is>
      </x:c>
      <x:c r="S608" s="5" t="inlineStr">
        <x:is>
          <x:t xml:space="preserve"/>
        </x:is>
      </x:c>
      <x:c r="T608" s="5" t="inlineStr">
        <x:is>
          <x:t xml:space="preserve">해양</x:t>
        </x:is>
      </x:c>
      <x:c r="U608" s="5" t="inlineStr">
        <x:is>
          <x:t xml:space="preserve">해안·해양</x:t>
        </x:is>
      </x:c>
      <x:c r="V608" s="5" t="inlineStr">
        <x:is>
          <x:t xml:space="preserve">온대</x:t>
        </x:is>
      </x:c>
      <x:c r="W608" s="5" t="inlineStr">
        <x:is>
          <x:t xml:space="preserve">수중</x:t>
        </x:is>
      </x:c>
      <x:c r="X608" s="5" t="inlineStr">
        <x:is>
          <x:t xml:space="preserve">비</x:t>
        </x:is>
      </x:c>
      <x:c r="Y608" s="5" t="inlineStr">
        <x:is>
          <x:t xml:space="preserve">무관</x:t>
        </x:is>
      </x:c>
      <x:c r="Z608" s="5" t="inlineStr">
        <x:is>
          <x:t xml:space="preserve">보통</x:t>
        </x:is>
      </x:c>
      <x:c r="AA608" s="5" t="inlineStr">
        <x:is>
          <x:t xml:space="preserve">없음</x:t>
        </x:is>
      </x:c>
      <x:c r="AB608" s="5" t="inlineStr">
        <x:is>
          <x:t xml:space="preserve">해양</x:t>
        </x:is>
      </x:c>
      <x:c r="AC608" s="5" t="inlineStr">
        <x:is>
          <x:t xml:space="preserve">gen5</x:t>
        </x:is>
      </x:c>
      <x:c r="AD608" s="5" t="inlineStr">
        <x:is>
          <x:t xml:space="preserve">.tmp/cobblemon-1.7.3-source/common/src/main/resources/data/cobblemon/species/generation5/eelektross.json</x:t>
        </x:is>
      </x:c>
    </x:row>
    <x:row r="609" ht="22" customHeight="1">
      <x:c r="A609" s="5" t="n">
        <x:v>605</x:v>
      </x:c>
      <x:c r="B609" s="5" t="inlineStr">
        <x:is>
          <x:t xml:space="preserve">리그레</x:t>
        </x:is>
      </x:c>
      <x:c r="C609" s="5" t="inlineStr">
        <x:is>
          <x:t xml:space="preserve">elgyem</x:t>
        </x:is>
      </x:c>
      <x:c r="D609" s="5" t="inlineStr">
        <x:is>
          <x:t xml:space="preserve">Elgyem</x:t>
        </x:is>
      </x:c>
      <x:c r="E609" s="5" t="n">
        <x:v>5</x:v>
      </x:c>
      <x:c r="F609" s="5" t="inlineStr">
        <x:is>
          <x:t xml:space="preserve">에스퍼</x:t>
        </x:is>
      </x:c>
      <x:c r="G609" s="5" t="inlineStr">
        <x:is>
          <x:t xml:space="preserve"/>
        </x:is>
      </x:c>
      <x:c r="H609" s="5" t="n">
        <x:v>0.5</x:v>
      </x:c>
      <x:c r="I609" s="5" t="n">
        <x:v>9</x:v>
      </x:c>
      <x:c r="J609" s="5" t="n">
        <x:v>335</x:v>
      </x:c>
      <x:c r="K609" s="5" t="n">
        <x:v>255</x:v>
      </x:c>
      <x:c r="L609" s="5" t="inlineStr">
        <x:is>
          <x:t xml:space="preserve">기본</x:t>
        </x:is>
      </x:c>
      <x:c r="M609" s="5" t="n">
        <x:v>42</x:v>
      </x:c>
      <x:c r="N609" s="5" t="inlineStr">
        <x:is>
          <x:t xml:space="preserve">레벨</x:t>
        </x:is>
      </x:c>
      <x:c r="O609" s="5" t="inlineStr">
        <x:is>
          <x:t xml:space="preserve">예</x:t>
        </x:is>
      </x:c>
      <x:c r="P609" s="5" t="inlineStr">
        <x:is>
          <x:t xml:space="preserve">#cobblemon:is_end; the_bumblezone:howling_constructs</x:t>
        </x:is>
      </x:c>
      <x:c r="Q609" s="5" t="inlineStr">
        <x:is>
          <x:t xml:space="preserve">common; uncommon</x:t>
        </x:is>
      </x:c>
      <x:c r="R609" s="5" t="inlineStr">
        <x:is>
          <x:t xml:space="preserve"/>
        </x:is>
      </x:c>
      <x:c r="S609" s="5" t="inlineStr">
        <x:is>
          <x:t xml:space="preserve"/>
        </x:is>
      </x:c>
      <x:c r="T609" s="5" t="inlineStr">
        <x:is>
          <x:t xml:space="preserve">비행</x:t>
        </x:is>
      </x:c>
      <x:c r="U609" s="5" t="inlineStr">
        <x:is>
          <x:t xml:space="preserve">개활지</x:t>
        </x:is>
      </x:c>
      <x:c r="V609" s="5" t="inlineStr">
        <x:is>
          <x:t xml:space="preserve">온대</x:t>
        </x:is>
      </x:c>
      <x:c r="W609" s="5" t="inlineStr">
        <x:is>
          <x:t xml:space="preserve">보통</x:t>
        </x:is>
      </x:c>
      <x:c r="X609" s="5" t="inlineStr">
        <x:is>
          <x:t xml:space="preserve">무관</x:t>
        </x:is>
      </x:c>
      <x:c r="Y609" s="5" t="inlineStr">
        <x:is>
          <x:t xml:space="preserve">무관</x:t>
        </x:is>
      </x:c>
      <x:c r="Z609" s="5" t="inlineStr">
        <x:is>
          <x:t xml:space="preserve">보통</x:t>
        </x:is>
      </x:c>
      <x:c r="AA609" s="5" t="inlineStr">
        <x:is>
          <x:t xml:space="preserve">없음</x:t>
        </x:is>
      </x:c>
      <x:c r="AB609" s="5" t="inlineStr">
        <x:is>
          <x:t xml:space="preserve"/>
        </x:is>
      </x:c>
      <x:c r="AC609" s="5" t="inlineStr">
        <x:is>
          <x:t xml:space="preserve">gen5</x:t>
        </x:is>
      </x:c>
      <x:c r="AD609" s="5" t="inlineStr">
        <x:is>
          <x:t xml:space="preserve">.tmp/cobblemon-1.7.3-source/common/src/main/resources/data/cobblemon/species/generation5/elgyem.json</x:t>
        </x:is>
      </x:c>
    </x:row>
    <x:row r="610" ht="22" customHeight="1">
      <x:c r="A610" s="5" t="n">
        <x:v>606</x:v>
      </x:c>
      <x:c r="B610" s="5" t="inlineStr">
        <x:is>
          <x:t xml:space="preserve">벰크</x:t>
        </x:is>
      </x:c>
      <x:c r="C610" s="5" t="inlineStr">
        <x:is>
          <x:t xml:space="preserve">beheeyem</x:t>
        </x:is>
      </x:c>
      <x:c r="D610" s="5" t="inlineStr">
        <x:is>
          <x:t xml:space="preserve">Beheeyem</x:t>
        </x:is>
      </x:c>
      <x:c r="E610" s="5" t="n">
        <x:v>5</x:v>
      </x:c>
      <x:c r="F610" s="5" t="inlineStr">
        <x:is>
          <x:t xml:space="preserve">에스퍼</x:t>
        </x:is>
      </x:c>
      <x:c r="G610" s="5" t="inlineStr">
        <x:is>
          <x:t xml:space="preserve"/>
        </x:is>
      </x:c>
      <x:c r="H610" s="5" t="n">
        <x:v>1</x:v>
      </x:c>
      <x:c r="I610" s="5" t="n">
        <x:v>34.5</x:v>
      </x:c>
      <x:c r="J610" s="5" t="n">
        <x:v>485</x:v>
      </x:c>
      <x:c r="K610" s="5" t="n">
        <x:v>90</x:v>
      </x:c>
      <x:c r="L610" s="5" t="inlineStr">
        <x:is>
          <x:t xml:space="preserve">최종</x:t>
        </x:is>
      </x:c>
      <x:c r="M610" s="5" t="n">
        <x:v>42</x:v>
      </x:c>
      <x:c r="N610" s="5" t="inlineStr">
        <x:is>
          <x:t xml:space="preserve">레벨</x:t>
        </x:is>
      </x:c>
      <x:c r="O610" s="5" t="inlineStr">
        <x:is>
          <x:t xml:space="preserve">예</x:t>
        </x:is>
      </x:c>
      <x:c r="P610" s="5" t="inlineStr">
        <x:is>
          <x:t xml:space="preserve">#cobblemon:is_end; the_bumblezone:howling_constructs</x:t>
        </x:is>
      </x:c>
      <x:c r="Q610" s="5" t="inlineStr">
        <x:is>
          <x:t xml:space="preserve">common; uncommon</x:t>
        </x:is>
      </x:c>
      <x:c r="R610" s="5" t="inlineStr">
        <x:is>
          <x:t xml:space="preserve"/>
        </x:is>
      </x:c>
      <x:c r="S610" s="5" t="inlineStr">
        <x:is>
          <x:t xml:space="preserve"/>
        </x:is>
      </x:c>
      <x:c r="T610" s="5" t="inlineStr">
        <x:is>
          <x:t xml:space="preserve">비행</x:t>
        </x:is>
      </x:c>
      <x:c r="U610" s="5" t="inlineStr">
        <x:is>
          <x:t xml:space="preserve">개활지</x:t>
        </x:is>
      </x:c>
      <x:c r="V610" s="5" t="inlineStr">
        <x:is>
          <x:t xml:space="preserve">온대</x:t>
        </x:is>
      </x:c>
      <x:c r="W610" s="5" t="inlineStr">
        <x:is>
          <x:t xml:space="preserve">보통</x:t>
        </x:is>
      </x:c>
      <x:c r="X610" s="5" t="inlineStr">
        <x:is>
          <x:t xml:space="preserve">무관</x:t>
        </x:is>
      </x:c>
      <x:c r="Y610" s="5" t="inlineStr">
        <x:is>
          <x:t xml:space="preserve">무관</x:t>
        </x:is>
      </x:c>
      <x:c r="Z610" s="5" t="inlineStr">
        <x:is>
          <x:t xml:space="preserve">보통</x:t>
        </x:is>
      </x:c>
      <x:c r="AA610" s="5" t="inlineStr">
        <x:is>
          <x:t xml:space="preserve">없음</x:t>
        </x:is>
      </x:c>
      <x:c r="AB610" s="5" t="inlineStr">
        <x:is>
          <x:t xml:space="preserve"/>
        </x:is>
      </x:c>
      <x:c r="AC610" s="5" t="inlineStr">
        <x:is>
          <x:t xml:space="preserve">gen5</x:t>
        </x:is>
      </x:c>
      <x:c r="AD610" s="5" t="inlineStr">
        <x:is>
          <x:t xml:space="preserve">.tmp/cobblemon-1.7.3-source/common/src/main/resources/data/cobblemon/species/generation5/beheeyem.json</x:t>
        </x:is>
      </x:c>
    </x:row>
    <x:row r="611" ht="22" customHeight="1">
      <x:c r="A611" s="5" t="n">
        <x:v>607</x:v>
      </x:c>
      <x:c r="B611" s="5" t="inlineStr">
        <x:is>
          <x:t xml:space="preserve">불켜미</x:t>
        </x:is>
      </x:c>
      <x:c r="C611" s="5" t="inlineStr">
        <x:is>
          <x:t xml:space="preserve">litwick</x:t>
        </x:is>
      </x:c>
      <x:c r="D611" s="5" t="inlineStr">
        <x:is>
          <x:t xml:space="preserve">Litwick</x:t>
        </x:is>
      </x:c>
      <x:c r="E611" s="5" t="n">
        <x:v>5</x:v>
      </x:c>
      <x:c r="F611" s="5" t="inlineStr">
        <x:is>
          <x:t xml:space="preserve">고스트</x:t>
        </x:is>
      </x:c>
      <x:c r="G611" s="5" t="inlineStr">
        <x:is>
          <x:t xml:space="preserve">불꽃</x:t>
        </x:is>
      </x:c>
      <x:c r="H611" s="5" t="n">
        <x:v>0.3</x:v>
      </x:c>
      <x:c r="I611" s="5" t="n">
        <x:v>3.1</x:v>
      </x:c>
      <x:c r="J611" s="5" t="n">
        <x:v>275</x:v>
      </x:c>
      <x:c r="K611" s="5" t="n">
        <x:v>190</x:v>
      </x:c>
      <x:c r="L611" s="5" t="inlineStr">
        <x:is>
          <x:t xml:space="preserve">기본</x:t>
        </x:is>
      </x:c>
      <x:c r="M611" s="5" t="n">
        <x:v>41</x:v>
      </x:c>
      <x:c r="N611" s="5" t="inlineStr">
        <x:is>
          <x:t xml:space="preserve">레벨·특수</x:t>
        </x:is>
      </x:c>
      <x:c r="O611" s="5" t="inlineStr">
        <x:is>
          <x:t xml:space="preserve">예</x:t>
        </x:is>
      </x:c>
      <x:c r="P611" s="5" t="inlineStr">
        <x:is>
          <x:t xml:space="preserve">#cobblemon:is_overworld; #cobblemon:nether/is_soul_fire</x:t>
        </x:is>
      </x:c>
      <x:c r="Q611" s="5" t="inlineStr">
        <x:is>
          <x:t xml:space="preserve">common</x:t>
        </x:is>
      </x:c>
      <x:c r="R611" s="5" t="inlineStr">
        <x:is>
          <x:t xml:space="preserve">night</x:t>
        </x:is>
      </x:c>
      <x:c r="S611" s="5" t="inlineStr">
        <x:is>
          <x:t xml:space="preserve"/>
        </x:is>
      </x:c>
      <x:c r="T611" s="5" t="inlineStr">
        <x:is>
          <x:t xml:space="preserve">영체</x:t>
        </x:is>
      </x:c>
      <x:c r="U611" s="5" t="inlineStr">
        <x:is>
          <x:t xml:space="preserve">화산</x:t>
        </x:is>
      </x:c>
      <x:c r="V611" s="5" t="inlineStr">
        <x:is>
          <x:t xml:space="preserve">고온</x:t>
        </x:is>
      </x:c>
      <x:c r="W611" s="5" t="inlineStr">
        <x:is>
          <x:t xml:space="preserve">건조</x:t>
        </x:is>
      </x:c>
      <x:c r="X611" s="5" t="inlineStr">
        <x:is>
          <x:t xml:space="preserve">맑음</x:t>
        </x:is>
      </x:c>
      <x:c r="Y611" s="5" t="inlineStr">
        <x:is>
          <x:t xml:space="preserve">밤</x:t>
        </x:is>
      </x:c>
      <x:c r="Z611" s="5" t="inlineStr">
        <x:is>
          <x:t xml:space="preserve">흔함</x:t>
        </x:is>
      </x:c>
      <x:c r="AA611" s="5" t="inlineStr">
        <x:is>
          <x:t xml:space="preserve">영체</x:t>
        </x:is>
      </x:c>
      <x:c r="AB611" s="5" t="inlineStr">
        <x:is>
          <x:t xml:space="preserve">화산</x:t>
        </x:is>
      </x:c>
      <x:c r="AC611" s="5" t="inlineStr">
        <x:is>
          <x:t xml:space="preserve">gen5</x:t>
        </x:is>
      </x:c>
      <x:c r="AD611" s="5" t="inlineStr">
        <x:is>
          <x:t xml:space="preserve">.tmp/cobblemon-1.7.3-source/common/src/main/resources/data/cobblemon/species/generation5/litwick.json</x:t>
        </x:is>
      </x:c>
    </x:row>
    <x:row r="612" ht="22" customHeight="1">
      <x:c r="A612" s="5" t="n">
        <x:v>608</x:v>
      </x:c>
      <x:c r="B612" s="5" t="inlineStr">
        <x:is>
          <x:t xml:space="preserve">램프라</x:t>
        </x:is>
      </x:c>
      <x:c r="C612" s="5" t="inlineStr">
        <x:is>
          <x:t xml:space="preserve">lampent</x:t>
        </x:is>
      </x:c>
      <x:c r="D612" s="5" t="inlineStr">
        <x:is>
          <x:t xml:space="preserve">Lampent</x:t>
        </x:is>
      </x:c>
      <x:c r="E612" s="5" t="n">
        <x:v>5</x:v>
      </x:c>
      <x:c r="F612" s="5" t="inlineStr">
        <x:is>
          <x:t xml:space="preserve">고스트</x:t>
        </x:is>
      </x:c>
      <x:c r="G612" s="5" t="inlineStr">
        <x:is>
          <x:t xml:space="preserve">불꽃</x:t>
        </x:is>
      </x:c>
      <x:c r="H612" s="5" t="n">
        <x:v>0.6</x:v>
      </x:c>
      <x:c r="I612" s="5" t="n">
        <x:v>13</x:v>
      </x:c>
      <x:c r="J612" s="5" t="n">
        <x:v>370</x:v>
      </x:c>
      <x:c r="K612" s="5" t="n">
        <x:v>90</x:v>
      </x:c>
      <x:c r="L612" s="5" t="inlineStr">
        <x:is>
          <x:t xml:space="preserve">중간</x:t>
        </x:is>
      </x:c>
      <x:c r="M612" s="5" t="n">
        <x:v>41</x:v>
      </x:c>
      <x:c r="N612" s="5" t="inlineStr">
        <x:is>
          <x:t xml:space="preserve">레벨·특수</x:t>
        </x:is>
      </x:c>
      <x:c r="O612" s="5" t="inlineStr">
        <x:is>
          <x:t xml:space="preserve">예</x:t>
        </x:is>
      </x:c>
      <x:c r="P612" s="5" t="inlineStr">
        <x:is>
          <x:t xml:space="preserve">#cobblemon:is_overworld; #cobblemon:nether/is_soul_fire</x:t>
        </x:is>
      </x:c>
      <x:c r="Q612" s="5" t="inlineStr">
        <x:is>
          <x:t xml:space="preserve">common</x:t>
        </x:is>
      </x:c>
      <x:c r="R612" s="5" t="inlineStr">
        <x:is>
          <x:t xml:space="preserve">night</x:t>
        </x:is>
      </x:c>
      <x:c r="S612" s="5" t="inlineStr">
        <x:is>
          <x:t xml:space="preserve"/>
        </x:is>
      </x:c>
      <x:c r="T612" s="5" t="inlineStr">
        <x:is>
          <x:t xml:space="preserve">비행</x:t>
        </x:is>
      </x:c>
      <x:c r="U612" s="5" t="inlineStr">
        <x:is>
          <x:t xml:space="preserve">화산</x:t>
        </x:is>
      </x:c>
      <x:c r="V612" s="5" t="inlineStr">
        <x:is>
          <x:t xml:space="preserve">고온</x:t>
        </x:is>
      </x:c>
      <x:c r="W612" s="5" t="inlineStr">
        <x:is>
          <x:t xml:space="preserve">건조</x:t>
        </x:is>
      </x:c>
      <x:c r="X612" s="5" t="inlineStr">
        <x:is>
          <x:t xml:space="preserve">맑음</x:t>
        </x:is>
      </x:c>
      <x:c r="Y612" s="5" t="inlineStr">
        <x:is>
          <x:t xml:space="preserve">밤</x:t>
        </x:is>
      </x:c>
      <x:c r="Z612" s="5" t="inlineStr">
        <x:is>
          <x:t xml:space="preserve">흔함</x:t>
        </x:is>
      </x:c>
      <x:c r="AA612" s="5" t="inlineStr">
        <x:is>
          <x:t xml:space="preserve">영체</x:t>
        </x:is>
      </x:c>
      <x:c r="AB612" s="5" t="inlineStr">
        <x:is>
          <x:t xml:space="preserve">화산</x:t>
        </x:is>
      </x:c>
      <x:c r="AC612" s="5" t="inlineStr">
        <x:is>
          <x:t xml:space="preserve">gen5</x:t>
        </x:is>
      </x:c>
      <x:c r="AD612" s="5" t="inlineStr">
        <x:is>
          <x:t xml:space="preserve">.tmp/cobblemon-1.7.3-source/common/src/main/resources/data/cobblemon/species/generation5/lampent.json</x:t>
        </x:is>
      </x:c>
    </x:row>
    <x:row r="613" ht="22" customHeight="1">
      <x:c r="A613" s="5" t="n">
        <x:v>609</x:v>
      </x:c>
      <x:c r="B613" s="5" t="inlineStr">
        <x:is>
          <x:t xml:space="preserve">샹델라</x:t>
        </x:is>
      </x:c>
      <x:c r="C613" s="5" t="inlineStr">
        <x:is>
          <x:t xml:space="preserve">chandelure</x:t>
        </x:is>
      </x:c>
      <x:c r="D613" s="5" t="inlineStr">
        <x:is>
          <x:t xml:space="preserve">Chandelure</x:t>
        </x:is>
      </x:c>
      <x:c r="E613" s="5" t="n">
        <x:v>5</x:v>
      </x:c>
      <x:c r="F613" s="5" t="inlineStr">
        <x:is>
          <x:t xml:space="preserve">고스트</x:t>
        </x:is>
      </x:c>
      <x:c r="G613" s="5" t="inlineStr">
        <x:is>
          <x:t xml:space="preserve">불꽃</x:t>
        </x:is>
      </x:c>
      <x:c r="H613" s="5" t="n">
        <x:v>1</x:v>
      </x:c>
      <x:c r="I613" s="5" t="n">
        <x:v>34.3</x:v>
      </x:c>
      <x:c r="J613" s="5" t="n">
        <x:v>520</x:v>
      </x:c>
      <x:c r="K613" s="5" t="n">
        <x:v>45</x:v>
      </x:c>
      <x:c r="L613" s="5" t="inlineStr">
        <x:is>
          <x:t xml:space="preserve">최종</x:t>
        </x:is>
      </x:c>
      <x:c r="M613" s="5" t="n">
        <x:v>41</x:v>
      </x:c>
      <x:c r="N613" s="5" t="inlineStr">
        <x:is>
          <x:t xml:space="preserve">레벨·특수</x:t>
        </x:is>
      </x:c>
      <x:c r="O613" s="5" t="inlineStr">
        <x:is>
          <x:t xml:space="preserve">예</x:t>
        </x:is>
      </x:c>
      <x:c r="P613" s="5" t="inlineStr">
        <x:is>
          <x:t xml:space="preserve">#cobblemon:is_overworld; #cobblemon:nether/is_soul_fire</x:t>
        </x:is>
      </x:c>
      <x:c r="Q613" s="5" t="inlineStr">
        <x:is>
          <x:t xml:space="preserve">common</x:t>
        </x:is>
      </x:c>
      <x:c r="R613" s="5" t="inlineStr">
        <x:is>
          <x:t xml:space="preserve">night</x:t>
        </x:is>
      </x:c>
      <x:c r="S613" s="5" t="inlineStr">
        <x:is>
          <x:t xml:space="preserve"/>
        </x:is>
      </x:c>
      <x:c r="T613" s="5" t="inlineStr">
        <x:is>
          <x:t xml:space="preserve">비행</x:t>
        </x:is>
      </x:c>
      <x:c r="U613" s="5" t="inlineStr">
        <x:is>
          <x:t xml:space="preserve">화산</x:t>
        </x:is>
      </x:c>
      <x:c r="V613" s="5" t="inlineStr">
        <x:is>
          <x:t xml:space="preserve">고온</x:t>
        </x:is>
      </x:c>
      <x:c r="W613" s="5" t="inlineStr">
        <x:is>
          <x:t xml:space="preserve">건조</x:t>
        </x:is>
      </x:c>
      <x:c r="X613" s="5" t="inlineStr">
        <x:is>
          <x:t xml:space="preserve">맑음</x:t>
        </x:is>
      </x:c>
      <x:c r="Y613" s="5" t="inlineStr">
        <x:is>
          <x:t xml:space="preserve">밤</x:t>
        </x:is>
      </x:c>
      <x:c r="Z613" s="5" t="inlineStr">
        <x:is>
          <x:t xml:space="preserve">흔함</x:t>
        </x:is>
      </x:c>
      <x:c r="AA613" s="5" t="inlineStr">
        <x:is>
          <x:t xml:space="preserve">영체</x:t>
        </x:is>
      </x:c>
      <x:c r="AB613" s="5" t="inlineStr">
        <x:is>
          <x:t xml:space="preserve">화산</x:t>
        </x:is>
      </x:c>
      <x:c r="AC613" s="5" t="inlineStr">
        <x:is>
          <x:t xml:space="preserve">gen5</x:t>
        </x:is>
      </x:c>
      <x:c r="AD613" s="5" t="inlineStr">
        <x:is>
          <x:t xml:space="preserve">.tmp/cobblemon-1.7.3-source/common/src/main/resources/data/cobblemon/species/generation5/chandelure.json</x:t>
        </x:is>
      </x:c>
    </x:row>
    <x:row r="614" ht="22" customHeight="1">
      <x:c r="A614" s="5" t="n">
        <x:v>610</x:v>
      </x:c>
      <x:c r="B614" s="5" t="inlineStr">
        <x:is>
          <x:t xml:space="preserve">터검니</x:t>
        </x:is>
      </x:c>
      <x:c r="C614" s="5" t="inlineStr">
        <x:is>
          <x:t xml:space="preserve">axew</x:t>
        </x:is>
      </x:c>
      <x:c r="D614" s="5" t="inlineStr">
        <x:is>
          <x:t xml:space="preserve">Axew</x:t>
        </x:is>
      </x:c>
      <x:c r="E614" s="5" t="n">
        <x:v>5</x:v>
      </x:c>
      <x:c r="F614" s="5" t="inlineStr">
        <x:is>
          <x:t xml:space="preserve">드래곤</x:t>
        </x:is>
      </x:c>
      <x:c r="G614" s="5" t="inlineStr">
        <x:is>
          <x:t xml:space="preserve"/>
        </x:is>
      </x:c>
      <x:c r="H614" s="5" t="n">
        <x:v>0.6</x:v>
      </x:c>
      <x:c r="I614" s="5" t="n">
        <x:v>18</x:v>
      </x:c>
      <x:c r="J614" s="5" t="n">
        <x:v>320</x:v>
      </x:c>
      <x:c r="K614" s="5" t="n">
        <x:v>75</x:v>
      </x:c>
      <x:c r="L614" s="5" t="inlineStr">
        <x:is>
          <x:t xml:space="preserve">기본</x:t>
        </x:is>
      </x:c>
      <x:c r="M614" s="5" t="n">
        <x:v>48</x:v>
      </x:c>
      <x:c r="N614" s="5" t="inlineStr">
        <x:is>
          <x:t xml:space="preserve">레벨</x:t>
        </x:is>
      </x:c>
      <x:c r="O614" s="5" t="inlineStr">
        <x:is>
          <x:t xml:space="preserve">예</x:t>
        </x:is>
      </x:c>
      <x:c r="P614" s="5" t="inlineStr">
        <x:is>
          <x:t xml:space="preserve">#cobblemon:is_mountain</x:t>
        </x:is>
      </x:c>
      <x:c r="Q614" s="5" t="inlineStr">
        <x:is>
          <x:t xml:space="preserve">ultra-rare</x:t>
        </x:is>
      </x:c>
      <x:c r="R614" s="5" t="inlineStr">
        <x:is>
          <x:t xml:space="preserve"/>
        </x:is>
      </x:c>
      <x:c r="S614" s="5" t="inlineStr">
        <x:is>
          <x:t xml:space="preserve"/>
        </x:is>
      </x:c>
      <x:c r="T614" s="5" t="inlineStr">
        <x:is>
          <x:t xml:space="preserve">육상</x:t>
        </x:is>
      </x:c>
      <x:c r="U614" s="5" t="inlineStr">
        <x:is>
          <x:t xml:space="preserve">암석</x:t>
        </x:is>
      </x:c>
      <x:c r="V614" s="5" t="inlineStr">
        <x:is>
          <x:t xml:space="preserve">온대</x:t>
        </x:is>
      </x:c>
      <x:c r="W614" s="5" t="inlineStr">
        <x:is>
          <x:t xml:space="preserve">보통</x:t>
        </x:is>
      </x:c>
      <x:c r="X614" s="5" t="inlineStr">
        <x:is>
          <x:t xml:space="preserve">무관</x:t>
        </x:is>
      </x:c>
      <x:c r="Y614" s="5" t="inlineStr">
        <x:is>
          <x:t xml:space="preserve">무관</x:t>
        </x:is>
      </x:c>
      <x:c r="Z614" s="5" t="inlineStr">
        <x:is>
          <x:t xml:space="preserve">희귀</x:t>
        </x:is>
      </x:c>
      <x:c r="AA614" s="5" t="inlineStr">
        <x:is>
          <x:t xml:space="preserve">없음</x:t>
        </x:is>
      </x:c>
      <x:c r="AB614" s="5" t="inlineStr">
        <x:is>
          <x:t xml:space="preserve">산악</x:t>
        </x:is>
      </x:c>
      <x:c r="AC614" s="5" t="inlineStr">
        <x:is>
          <x:t xml:space="preserve">gen5</x:t>
        </x:is>
      </x:c>
      <x:c r="AD614" s="5" t="inlineStr">
        <x:is>
          <x:t xml:space="preserve">.tmp/cobblemon-1.7.3-source/common/src/main/resources/data/cobblemon/species/generation5/axew.json</x:t>
        </x:is>
      </x:c>
    </x:row>
    <x:row r="615" ht="22" customHeight="1">
      <x:c r="A615" s="5" t="n">
        <x:v>611</x:v>
      </x:c>
      <x:c r="B615" s="5" t="inlineStr">
        <x:is>
          <x:t xml:space="preserve">액슨도</x:t>
        </x:is>
      </x:c>
      <x:c r="C615" s="5" t="inlineStr">
        <x:is>
          <x:t xml:space="preserve">fraxure</x:t>
        </x:is>
      </x:c>
      <x:c r="D615" s="5" t="inlineStr">
        <x:is>
          <x:t xml:space="preserve">Fraxure</x:t>
        </x:is>
      </x:c>
      <x:c r="E615" s="5" t="n">
        <x:v>5</x:v>
      </x:c>
      <x:c r="F615" s="5" t="inlineStr">
        <x:is>
          <x:t xml:space="preserve">드래곤</x:t>
        </x:is>
      </x:c>
      <x:c r="G615" s="5" t="inlineStr">
        <x:is>
          <x:t xml:space="preserve"/>
        </x:is>
      </x:c>
      <x:c r="H615" s="5" t="n">
        <x:v>1</x:v>
      </x:c>
      <x:c r="I615" s="5" t="n">
        <x:v>36</x:v>
      </x:c>
      <x:c r="J615" s="5" t="n">
        <x:v>410</x:v>
      </x:c>
      <x:c r="K615" s="5" t="n">
        <x:v>60</x:v>
      </x:c>
      <x:c r="L615" s="5" t="inlineStr">
        <x:is>
          <x:t xml:space="preserve">중간</x:t>
        </x:is>
      </x:c>
      <x:c r="M615" s="5" t="n">
        <x:v>48</x:v>
      </x:c>
      <x:c r="N615" s="5" t="inlineStr">
        <x:is>
          <x:t xml:space="preserve">레벨</x:t>
        </x:is>
      </x:c>
      <x:c r="O615" s="5" t="inlineStr">
        <x:is>
          <x:t xml:space="preserve">예</x:t>
        </x:is>
      </x:c>
      <x:c r="P615" s="5" t="inlineStr">
        <x:is>
          <x:t xml:space="preserve">#cobblemon:is_mountain</x:t>
        </x:is>
      </x:c>
      <x:c r="Q615" s="5" t="inlineStr">
        <x:is>
          <x:t xml:space="preserve">ultra-rare</x:t>
        </x:is>
      </x:c>
      <x:c r="R615" s="5" t="inlineStr">
        <x:is>
          <x:t xml:space="preserve"/>
        </x:is>
      </x:c>
      <x:c r="S615" s="5" t="inlineStr">
        <x:is>
          <x:t xml:space="preserve"/>
        </x:is>
      </x:c>
      <x:c r="T615" s="5" t="inlineStr">
        <x:is>
          <x:t xml:space="preserve">육상</x:t>
        </x:is>
      </x:c>
      <x:c r="U615" s="5" t="inlineStr">
        <x:is>
          <x:t xml:space="preserve">암석</x:t>
        </x:is>
      </x:c>
      <x:c r="V615" s="5" t="inlineStr">
        <x:is>
          <x:t xml:space="preserve">온대</x:t>
        </x:is>
      </x:c>
      <x:c r="W615" s="5" t="inlineStr">
        <x:is>
          <x:t xml:space="preserve">보통</x:t>
        </x:is>
      </x:c>
      <x:c r="X615" s="5" t="inlineStr">
        <x:is>
          <x:t xml:space="preserve">무관</x:t>
        </x:is>
      </x:c>
      <x:c r="Y615" s="5" t="inlineStr">
        <x:is>
          <x:t xml:space="preserve">무관</x:t>
        </x:is>
      </x:c>
      <x:c r="Z615" s="5" t="inlineStr">
        <x:is>
          <x:t xml:space="preserve">희귀</x:t>
        </x:is>
      </x:c>
      <x:c r="AA615" s="5" t="inlineStr">
        <x:is>
          <x:t xml:space="preserve">없음</x:t>
        </x:is>
      </x:c>
      <x:c r="AB615" s="5" t="inlineStr">
        <x:is>
          <x:t xml:space="preserve">산악</x:t>
        </x:is>
      </x:c>
      <x:c r="AC615" s="5" t="inlineStr">
        <x:is>
          <x:t xml:space="preserve">gen5</x:t>
        </x:is>
      </x:c>
      <x:c r="AD615" s="5" t="inlineStr">
        <x:is>
          <x:t xml:space="preserve">.tmp/cobblemon-1.7.3-source/common/src/main/resources/data/cobblemon/species/generation5/fraxure.json</x:t>
        </x:is>
      </x:c>
    </x:row>
    <x:row r="616" ht="22" customHeight="1">
      <x:c r="A616" s="5" t="n">
        <x:v>612</x:v>
      </x:c>
      <x:c r="B616" s="5" t="inlineStr">
        <x:is>
          <x:t xml:space="preserve">액스라이즈</x:t>
        </x:is>
      </x:c>
      <x:c r="C616" s="5" t="inlineStr">
        <x:is>
          <x:t xml:space="preserve">haxorus</x:t>
        </x:is>
      </x:c>
      <x:c r="D616" s="5" t="inlineStr">
        <x:is>
          <x:t xml:space="preserve">Haxorus</x:t>
        </x:is>
      </x:c>
      <x:c r="E616" s="5" t="n">
        <x:v>5</x:v>
      </x:c>
      <x:c r="F616" s="5" t="inlineStr">
        <x:is>
          <x:t xml:space="preserve">드래곤</x:t>
        </x:is>
      </x:c>
      <x:c r="G616" s="5" t="inlineStr">
        <x:is>
          <x:t xml:space="preserve"/>
        </x:is>
      </x:c>
      <x:c r="H616" s="5" t="n">
        <x:v>1.8</x:v>
      </x:c>
      <x:c r="I616" s="5" t="n">
        <x:v>105.5</x:v>
      </x:c>
      <x:c r="J616" s="5" t="n">
        <x:v>540</x:v>
      </x:c>
      <x:c r="K616" s="5" t="n">
        <x:v>45</x:v>
      </x:c>
      <x:c r="L616" s="5" t="inlineStr">
        <x:is>
          <x:t xml:space="preserve">최종</x:t>
        </x:is>
      </x:c>
      <x:c r="M616" s="5" t="n">
        <x:v>48</x:v>
      </x:c>
      <x:c r="N616" s="5" t="inlineStr">
        <x:is>
          <x:t xml:space="preserve">레벨</x:t>
        </x:is>
      </x:c>
      <x:c r="O616" s="5" t="inlineStr">
        <x:is>
          <x:t xml:space="preserve">예</x:t>
        </x:is>
      </x:c>
      <x:c r="P616" s="5" t="inlineStr">
        <x:is>
          <x:t xml:space="preserve">#cobblemon:is_mountain</x:t>
        </x:is>
      </x:c>
      <x:c r="Q616" s="5" t="inlineStr">
        <x:is>
          <x:t xml:space="preserve">ultra-rare</x:t>
        </x:is>
      </x:c>
      <x:c r="R616" s="5" t="inlineStr">
        <x:is>
          <x:t xml:space="preserve"/>
        </x:is>
      </x:c>
      <x:c r="S616" s="5" t="inlineStr">
        <x:is>
          <x:t xml:space="preserve"/>
        </x:is>
      </x:c>
      <x:c r="T616" s="5" t="inlineStr">
        <x:is>
          <x:t xml:space="preserve">육상</x:t>
        </x:is>
      </x:c>
      <x:c r="U616" s="5" t="inlineStr">
        <x:is>
          <x:t xml:space="preserve">암석</x:t>
        </x:is>
      </x:c>
      <x:c r="V616" s="5" t="inlineStr">
        <x:is>
          <x:t xml:space="preserve">온대</x:t>
        </x:is>
      </x:c>
      <x:c r="W616" s="5" t="inlineStr">
        <x:is>
          <x:t xml:space="preserve">보통</x:t>
        </x:is>
      </x:c>
      <x:c r="X616" s="5" t="inlineStr">
        <x:is>
          <x:t xml:space="preserve">무관</x:t>
        </x:is>
      </x:c>
      <x:c r="Y616" s="5" t="inlineStr">
        <x:is>
          <x:t xml:space="preserve">무관</x:t>
        </x:is>
      </x:c>
      <x:c r="Z616" s="5" t="inlineStr">
        <x:is>
          <x:t xml:space="preserve">희귀</x:t>
        </x:is>
      </x:c>
      <x:c r="AA616" s="5" t="inlineStr">
        <x:is>
          <x:t xml:space="preserve">없음</x:t>
        </x:is>
      </x:c>
      <x:c r="AB616" s="5" t="inlineStr">
        <x:is>
          <x:t xml:space="preserve">산악</x:t>
        </x:is>
      </x:c>
      <x:c r="AC616" s="5" t="inlineStr">
        <x:is>
          <x:t xml:space="preserve">gen5</x:t>
        </x:is>
      </x:c>
      <x:c r="AD616" s="5" t="inlineStr">
        <x:is>
          <x:t xml:space="preserve">.tmp/cobblemon-1.7.3-source/common/src/main/resources/data/cobblemon/species/generation5/haxorus.json</x:t>
        </x:is>
      </x:c>
    </x:row>
    <x:row r="617" ht="22" customHeight="1">
      <x:c r="A617" s="5" t="n">
        <x:v>613</x:v>
      </x:c>
      <x:c r="B617" s="5" t="inlineStr">
        <x:is>
          <x:t xml:space="preserve">코고미</x:t>
        </x:is>
      </x:c>
      <x:c r="C617" s="5" t="inlineStr">
        <x:is>
          <x:t xml:space="preserve">cubchoo</x:t>
        </x:is>
      </x:c>
      <x:c r="D617" s="5" t="inlineStr">
        <x:is>
          <x:t xml:space="preserve">Cubchoo</x:t>
        </x:is>
      </x:c>
      <x:c r="E617" s="5" t="n">
        <x:v>5</x:v>
      </x:c>
      <x:c r="F617" s="5" t="inlineStr">
        <x:is>
          <x:t xml:space="preserve">얼음</x:t>
        </x:is>
      </x:c>
      <x:c r="G617" s="5" t="inlineStr">
        <x:is>
          <x:t xml:space="preserve"/>
        </x:is>
      </x:c>
      <x:c r="H617" s="5" t="n">
        <x:v>0.5</x:v>
      </x:c>
      <x:c r="I617" s="5" t="n">
        <x:v>8.5</x:v>
      </x:c>
      <x:c r="J617" s="5" t="n">
        <x:v>305</x:v>
      </x:c>
      <x:c r="K617" s="5" t="n">
        <x:v>120</x:v>
      </x:c>
      <x:c r="L617" s="5" t="inlineStr">
        <x:is>
          <x:t xml:space="preserve">기본</x:t>
        </x:is>
      </x:c>
      <x:c r="M617" s="5" t="n">
        <x:v>37</x:v>
      </x:c>
      <x:c r="N617" s="5" t="inlineStr">
        <x:is>
          <x:t xml:space="preserve">레벨</x:t>
        </x:is>
      </x:c>
      <x:c r="O617" s="5" t="inlineStr">
        <x:is>
          <x:t xml:space="preserve">예</x:t>
        </x:is>
      </x:c>
      <x:c r="P617" s="5" t="inlineStr">
        <x:is>
          <x:t xml:space="preserve">#cobblemon:is_frozen_ocean</x:t>
        </x:is>
      </x:c>
      <x:c r="Q617" s="5" t="inlineStr">
        <x:is>
          <x:t xml:space="preserve">common</x:t>
        </x:is>
      </x:c>
      <x:c r="R617" s="5" t="inlineStr">
        <x:is>
          <x:t xml:space="preserve"/>
        </x:is>
      </x:c>
      <x:c r="S617" s="5" t="inlineStr">
        <x:is>
          <x:t xml:space="preserve"/>
        </x:is>
      </x:c>
      <x:c r="T617" s="5" t="inlineStr">
        <x:is>
          <x:t xml:space="preserve">육상</x:t>
        </x:is>
      </x:c>
      <x:c r="U617" s="5" t="inlineStr">
        <x:is>
          <x:t xml:space="preserve">설원</x:t>
        </x:is>
      </x:c>
      <x:c r="V617" s="5" t="inlineStr">
        <x:is>
          <x:t xml:space="preserve">한랭</x:t>
        </x:is>
      </x:c>
      <x:c r="W617" s="5" t="inlineStr">
        <x:is>
          <x:t xml:space="preserve">보통</x:t>
        </x:is>
      </x:c>
      <x:c r="X617" s="5" t="inlineStr">
        <x:is>
          <x:t xml:space="preserve">눈</x:t>
        </x:is>
      </x:c>
      <x:c r="Y617" s="5" t="inlineStr">
        <x:is>
          <x:t xml:space="preserve">무관</x:t>
        </x:is>
      </x:c>
      <x:c r="Z617" s="5" t="inlineStr">
        <x:is>
          <x:t xml:space="preserve">흔함</x:t>
        </x:is>
      </x:c>
      <x:c r="AA617" s="5" t="inlineStr">
        <x:is>
          <x:t xml:space="preserve">없음</x:t>
        </x:is>
      </x:c>
      <x:c r="AB617" s="5" t="inlineStr">
        <x:is>
          <x:t xml:space="preserve">설원</x:t>
        </x:is>
      </x:c>
      <x:c r="AC617" s="5" t="inlineStr">
        <x:is>
          <x:t xml:space="preserve">gen5</x:t>
        </x:is>
      </x:c>
      <x:c r="AD617" s="5" t="inlineStr">
        <x:is>
          <x:t xml:space="preserve">.tmp/cobblemon-1.7.3-source/common/src/main/resources/data/cobblemon/species/generation5/cubchoo.json</x:t>
        </x:is>
      </x:c>
    </x:row>
    <x:row r="618" ht="22" customHeight="1">
      <x:c r="A618" s="5" t="n">
        <x:v>614</x:v>
      </x:c>
      <x:c r="B618" s="5" t="inlineStr">
        <x:is>
          <x:t xml:space="preserve">툰베어</x:t>
        </x:is>
      </x:c>
      <x:c r="C618" s="5" t="inlineStr">
        <x:is>
          <x:t xml:space="preserve">beartic</x:t>
        </x:is>
      </x:c>
      <x:c r="D618" s="5" t="inlineStr">
        <x:is>
          <x:t xml:space="preserve">Beartic</x:t>
        </x:is>
      </x:c>
      <x:c r="E618" s="5" t="n">
        <x:v>5</x:v>
      </x:c>
      <x:c r="F618" s="5" t="inlineStr">
        <x:is>
          <x:t xml:space="preserve">얼음</x:t>
        </x:is>
      </x:c>
      <x:c r="G618" s="5" t="inlineStr">
        <x:is>
          <x:t xml:space="preserve"/>
        </x:is>
      </x:c>
      <x:c r="H618" s="5" t="n">
        <x:v>2.6</x:v>
      </x:c>
      <x:c r="I618" s="5" t="n">
        <x:v>260</x:v>
      </x:c>
      <x:c r="J618" s="5" t="n">
        <x:v>505</x:v>
      </x:c>
      <x:c r="K618" s="5" t="n">
        <x:v>60</x:v>
      </x:c>
      <x:c r="L618" s="5" t="inlineStr">
        <x:is>
          <x:t xml:space="preserve">최종</x:t>
        </x:is>
      </x:c>
      <x:c r="M618" s="5" t="n">
        <x:v>37</x:v>
      </x:c>
      <x:c r="N618" s="5" t="inlineStr">
        <x:is>
          <x:t xml:space="preserve">레벨</x:t>
        </x:is>
      </x:c>
      <x:c r="O618" s="5" t="inlineStr">
        <x:is>
          <x:t xml:space="preserve">예</x:t>
        </x:is>
      </x:c>
      <x:c r="P618" s="5" t="inlineStr">
        <x:is>
          <x:t xml:space="preserve">#cobblemon:is_frozen_ocean</x:t>
        </x:is>
      </x:c>
      <x:c r="Q618" s="5" t="inlineStr">
        <x:is>
          <x:t xml:space="preserve">common</x:t>
        </x:is>
      </x:c>
      <x:c r="R618" s="5" t="inlineStr">
        <x:is>
          <x:t xml:space="preserve"/>
        </x:is>
      </x:c>
      <x:c r="S618" s="5" t="inlineStr">
        <x:is>
          <x:t xml:space="preserve"/>
        </x:is>
      </x:c>
      <x:c r="T618" s="5" t="inlineStr">
        <x:is>
          <x:t xml:space="preserve">육상</x:t>
        </x:is>
      </x:c>
      <x:c r="U618" s="5" t="inlineStr">
        <x:is>
          <x:t xml:space="preserve">설원</x:t>
        </x:is>
      </x:c>
      <x:c r="V618" s="5" t="inlineStr">
        <x:is>
          <x:t xml:space="preserve">한랭</x:t>
        </x:is>
      </x:c>
      <x:c r="W618" s="5" t="inlineStr">
        <x:is>
          <x:t xml:space="preserve">보통</x:t>
        </x:is>
      </x:c>
      <x:c r="X618" s="5" t="inlineStr">
        <x:is>
          <x:t xml:space="preserve">눈</x:t>
        </x:is>
      </x:c>
      <x:c r="Y618" s="5" t="inlineStr">
        <x:is>
          <x:t xml:space="preserve">무관</x:t>
        </x:is>
      </x:c>
      <x:c r="Z618" s="5" t="inlineStr">
        <x:is>
          <x:t xml:space="preserve">흔함</x:t>
        </x:is>
      </x:c>
      <x:c r="AA618" s="5" t="inlineStr">
        <x:is>
          <x:t xml:space="preserve">없음</x:t>
        </x:is>
      </x:c>
      <x:c r="AB618" s="5" t="inlineStr">
        <x:is>
          <x:t xml:space="preserve">설원</x:t>
        </x:is>
      </x:c>
      <x:c r="AC618" s="5" t="inlineStr">
        <x:is>
          <x:t xml:space="preserve">gen5</x:t>
        </x:is>
      </x:c>
      <x:c r="AD618" s="5" t="inlineStr">
        <x:is>
          <x:t xml:space="preserve">.tmp/cobblemon-1.7.3-source/common/src/main/resources/data/cobblemon/species/generation5/beartic.json</x:t>
        </x:is>
      </x:c>
    </x:row>
    <x:row r="619" ht="22" customHeight="1">
      <x:c r="A619" s="5" t="n">
        <x:v>615</x:v>
      </x:c>
      <x:c r="B619" s="5" t="inlineStr">
        <x:is>
          <x:t xml:space="preserve">프리지오</x:t>
        </x:is>
      </x:c>
      <x:c r="C619" s="5" t="inlineStr">
        <x:is>
          <x:t xml:space="preserve">cryogonal</x:t>
        </x:is>
      </x:c>
      <x:c r="D619" s="5" t="inlineStr">
        <x:is>
          <x:t xml:space="preserve">Cryogonal</x:t>
        </x:is>
      </x:c>
      <x:c r="E619" s="5" t="n">
        <x:v>5</x:v>
      </x:c>
      <x:c r="F619" s="5" t="inlineStr">
        <x:is>
          <x:t xml:space="preserve">얼음</x:t>
        </x:is>
      </x:c>
      <x:c r="G619" s="5" t="inlineStr">
        <x:is>
          <x:t xml:space="preserve"/>
        </x:is>
      </x:c>
      <x:c r="H619" s="5" t="n">
        <x:v>1.1</x:v>
      </x:c>
      <x:c r="I619" s="5" t="n">
        <x:v>148</x:v>
      </x:c>
      <x:c r="J619" s="5" t="n">
        <x:v>515</x:v>
      </x:c>
      <x:c r="K619" s="5" t="n">
        <x:v>25</x:v>
      </x:c>
      <x:c r="L619" s="5" t="inlineStr">
        <x:is>
          <x:t xml:space="preserve">무진화</x:t>
        </x:is>
      </x:c>
      <x:c r="M619" s="5" t="n"/>
      <x:c r="N619" s="5" t="inlineStr">
        <x:is>
          <x:t xml:space="preserve">없음</x:t>
        </x:is>
      </x:c>
      <x:c r="O619" s="5" t="inlineStr">
        <x:is>
          <x:t xml:space="preserve">예</x:t>
        </x:is>
      </x:c>
      <x:c r="P619" s="5" t="inlineStr">
        <x:is>
          <x:t xml:space="preserve">#cobblemon:is_freezing; #cobblemon:nether/is_frozen</x:t>
        </x:is>
      </x:c>
      <x:c r="Q619" s="5" t="inlineStr">
        <x:is>
          <x:t xml:space="preserve">common; uncommon</x:t>
        </x:is>
      </x:c>
      <x:c r="R619" s="5" t="inlineStr">
        <x:is>
          <x:t xml:space="preserve"/>
        </x:is>
      </x:c>
      <x:c r="S619" s="5" t="inlineStr">
        <x:is>
          <x:t xml:space="preserve"/>
        </x:is>
      </x:c>
      <x:c r="T619" s="5" t="inlineStr">
        <x:is>
          <x:t xml:space="preserve">비행</x:t>
        </x:is>
      </x:c>
      <x:c r="U619" s="5" t="inlineStr">
        <x:is>
          <x:t xml:space="preserve">화산</x:t>
        </x:is>
      </x:c>
      <x:c r="V619" s="5" t="inlineStr">
        <x:is>
          <x:t xml:space="preserve">한랭</x:t>
        </x:is>
      </x:c>
      <x:c r="W619" s="5" t="inlineStr">
        <x:is>
          <x:t xml:space="preserve">건조</x:t>
        </x:is>
      </x:c>
      <x:c r="X619" s="5" t="inlineStr">
        <x:is>
          <x:t xml:space="preserve">맑음</x:t>
        </x:is>
      </x:c>
      <x:c r="Y619" s="5" t="inlineStr">
        <x:is>
          <x:t xml:space="preserve">무관</x:t>
        </x:is>
      </x:c>
      <x:c r="Z619" s="5" t="inlineStr">
        <x:is>
          <x:t xml:space="preserve">보통</x:t>
        </x:is>
      </x:c>
      <x:c r="AA619" s="5" t="inlineStr">
        <x:is>
          <x:t xml:space="preserve">화산</x:t>
        </x:is>
      </x:c>
      <x:c r="AB619" s="5" t="inlineStr">
        <x:is>
          <x:t xml:space="preserve">화산</x:t>
        </x:is>
      </x:c>
      <x:c r="AC619" s="5" t="inlineStr">
        <x:is>
          <x:t xml:space="preserve">gen5</x:t>
        </x:is>
      </x:c>
      <x:c r="AD619" s="5" t="inlineStr">
        <x:is>
          <x:t xml:space="preserve">.tmp/cobblemon-1.7.3-source/common/src/main/resources/data/cobblemon/species/generation5/cryogonal.json</x:t>
        </x:is>
      </x:c>
    </x:row>
    <x:row r="620" ht="22" customHeight="1">
      <x:c r="A620" s="5" t="n">
        <x:v>616</x:v>
      </x:c>
      <x:c r="B620" s="5" t="inlineStr">
        <x:is>
          <x:t xml:space="preserve">쪼마리</x:t>
        </x:is>
      </x:c>
      <x:c r="C620" s="5" t="inlineStr">
        <x:is>
          <x:t xml:space="preserve">shelmet</x:t>
        </x:is>
      </x:c>
      <x:c r="D620" s="5" t="inlineStr">
        <x:is>
          <x:t xml:space="preserve">Shelmet</x:t>
        </x:is>
      </x:c>
      <x:c r="E620" s="5" t="n">
        <x:v>5</x:v>
      </x:c>
      <x:c r="F620" s="5" t="inlineStr">
        <x:is>
          <x:t xml:space="preserve">벌레</x:t>
        </x:is>
      </x:c>
      <x:c r="G620" s="5" t="inlineStr">
        <x:is>
          <x:t xml:space="preserve"/>
        </x:is>
      </x:c>
      <x:c r="H620" s="5" t="n">
        <x:v>0.4</x:v>
      </x:c>
      <x:c r="I620" s="5" t="n">
        <x:v>7.7</x:v>
      </x:c>
      <x:c r="J620" s="5" t="n">
        <x:v>305</x:v>
      </x:c>
      <x:c r="K620" s="5" t="n">
        <x:v>200</x:v>
      </x:c>
      <x:c r="L620" s="5" t="inlineStr">
        <x:is>
          <x:t xml:space="preserve">기본</x:t>
        </x:is>
      </x:c>
      <x:c r="M620" s="5" t="n"/>
      <x:c r="N620" s="5" t="inlineStr">
        <x:is>
          <x:t xml:space="preserve">특수</x:t>
        </x:is>
      </x:c>
      <x:c r="O620" s="5" t="inlineStr">
        <x:is>
          <x:t xml:space="preserve">예</x:t>
        </x:is>
      </x:c>
      <x:c r="P620" s="5" t="inlineStr">
        <x:is>
          <x:t xml:space="preserve">#cobblemon:is_swamp</x:t>
        </x:is>
      </x:c>
      <x:c r="Q620" s="5" t="inlineStr">
        <x:is>
          <x:t xml:space="preserve">common</x:t>
        </x:is>
      </x:c>
      <x:c r="R620" s="5" t="inlineStr">
        <x:is>
          <x:t xml:space="preserve"/>
        </x:is>
      </x:c>
      <x:c r="S620" s="5" t="inlineStr">
        <x:is>
          <x:t xml:space="preserve"/>
        </x:is>
      </x:c>
      <x:c r="T620" s="5" t="inlineStr">
        <x:is>
          <x:t xml:space="preserve">육상</x:t>
        </x:is>
      </x:c>
      <x:c r="U620" s="5" t="inlineStr">
        <x:is>
          <x:t xml:space="preserve">습지</x:t>
        </x:is>
      </x:c>
      <x:c r="V620" s="5" t="inlineStr">
        <x:is>
          <x:t xml:space="preserve">온대</x:t>
        </x:is>
      </x:c>
      <x:c r="W620" s="5" t="inlineStr">
        <x:is>
          <x:t xml:space="preserve">다습</x:t>
        </x:is>
      </x:c>
      <x:c r="X620" s="5" t="inlineStr">
        <x:is>
          <x:t xml:space="preserve">비</x:t>
        </x:is>
      </x:c>
      <x:c r="Y620" s="5" t="inlineStr">
        <x:is>
          <x:t xml:space="preserve">무관</x:t>
        </x:is>
      </x:c>
      <x:c r="Z620" s="5" t="inlineStr">
        <x:is>
          <x:t xml:space="preserve">흔함</x:t>
        </x:is>
      </x:c>
      <x:c r="AA620" s="5" t="inlineStr">
        <x:is>
          <x:t xml:space="preserve">없음</x:t>
        </x:is>
      </x:c>
      <x:c r="AB620" s="5" t="inlineStr">
        <x:is>
          <x:t xml:space="preserve">습지</x:t>
        </x:is>
      </x:c>
      <x:c r="AC620" s="5" t="inlineStr">
        <x:is>
          <x:t xml:space="preserve">gen5</x:t>
        </x:is>
      </x:c>
      <x:c r="AD620" s="5" t="inlineStr">
        <x:is>
          <x:t xml:space="preserve">.tmp/cobblemon-1.7.3-source/common/src/main/resources/data/cobblemon/species/generation5/shelmet.json</x:t>
        </x:is>
      </x:c>
    </x:row>
    <x:row r="621" ht="22" customHeight="1">
      <x:c r="A621" s="5" t="n">
        <x:v>617</x:v>
      </x:c>
      <x:c r="B621" s="5" t="inlineStr">
        <x:is>
          <x:t xml:space="preserve">어지리더</x:t>
        </x:is>
      </x:c>
      <x:c r="C621" s="5" t="inlineStr">
        <x:is>
          <x:t xml:space="preserve">accelgor</x:t>
        </x:is>
      </x:c>
      <x:c r="D621" s="5" t="inlineStr">
        <x:is>
          <x:t xml:space="preserve">Accelgor</x:t>
        </x:is>
      </x:c>
      <x:c r="E621" s="5" t="n">
        <x:v>5</x:v>
      </x:c>
      <x:c r="F621" s="5" t="inlineStr">
        <x:is>
          <x:t xml:space="preserve">벌레</x:t>
        </x:is>
      </x:c>
      <x:c r="G621" s="5" t="inlineStr">
        <x:is>
          <x:t xml:space="preserve"/>
        </x:is>
      </x:c>
      <x:c r="H621" s="5" t="n">
        <x:v>0.8</x:v>
      </x:c>
      <x:c r="I621" s="5" t="n">
        <x:v>25.3</x:v>
      </x:c>
      <x:c r="J621" s="5" t="n">
        <x:v>495</x:v>
      </x:c>
      <x:c r="K621" s="5" t="n">
        <x:v>75</x:v>
      </x:c>
      <x:c r="L621" s="5" t="inlineStr">
        <x:is>
          <x:t xml:space="preserve">최종</x:t>
        </x:is>
      </x:c>
      <x:c r="M621" s="5" t="n"/>
      <x:c r="N621" s="5" t="inlineStr">
        <x:is>
          <x:t xml:space="preserve">특수</x:t>
        </x:is>
      </x:c>
      <x:c r="O621" s="5" t="inlineStr">
        <x:is>
          <x:t xml:space="preserve">예</x:t>
        </x:is>
      </x:c>
      <x:c r="P621" s="5" t="inlineStr">
        <x:is>
          <x:t xml:space="preserve">#cobblemon:is_swamp</x:t>
        </x:is>
      </x:c>
      <x:c r="Q621" s="5" t="inlineStr">
        <x:is>
          <x:t xml:space="preserve">common</x:t>
        </x:is>
      </x:c>
      <x:c r="R621" s="5" t="inlineStr">
        <x:is>
          <x:t xml:space="preserve"/>
        </x:is>
      </x:c>
      <x:c r="S621" s="5" t="inlineStr">
        <x:is>
          <x:t xml:space="preserve"/>
        </x:is>
      </x:c>
      <x:c r="T621" s="5" t="inlineStr">
        <x:is>
          <x:t xml:space="preserve">육상</x:t>
        </x:is>
      </x:c>
      <x:c r="U621" s="5" t="inlineStr">
        <x:is>
          <x:t xml:space="preserve">습지</x:t>
        </x:is>
      </x:c>
      <x:c r="V621" s="5" t="inlineStr">
        <x:is>
          <x:t xml:space="preserve">온대</x:t>
        </x:is>
      </x:c>
      <x:c r="W621" s="5" t="inlineStr">
        <x:is>
          <x:t xml:space="preserve">다습</x:t>
        </x:is>
      </x:c>
      <x:c r="X621" s="5" t="inlineStr">
        <x:is>
          <x:t xml:space="preserve">비</x:t>
        </x:is>
      </x:c>
      <x:c r="Y621" s="5" t="inlineStr">
        <x:is>
          <x:t xml:space="preserve">무관</x:t>
        </x:is>
      </x:c>
      <x:c r="Z621" s="5" t="inlineStr">
        <x:is>
          <x:t xml:space="preserve">흔함</x:t>
        </x:is>
      </x:c>
      <x:c r="AA621" s="5" t="inlineStr">
        <x:is>
          <x:t xml:space="preserve">없음</x:t>
        </x:is>
      </x:c>
      <x:c r="AB621" s="5" t="inlineStr">
        <x:is>
          <x:t xml:space="preserve">습지</x:t>
        </x:is>
      </x:c>
      <x:c r="AC621" s="5" t="inlineStr">
        <x:is>
          <x:t xml:space="preserve">gen5</x:t>
        </x:is>
      </x:c>
      <x:c r="AD621" s="5" t="inlineStr">
        <x:is>
          <x:t xml:space="preserve">.tmp/cobblemon-1.7.3-source/common/src/main/resources/data/cobblemon/species/generation5/accelgor.json</x:t>
        </x:is>
      </x:c>
    </x:row>
    <x:row r="622" ht="22" customHeight="1">
      <x:c r="A622" s="5" t="n">
        <x:v>618</x:v>
      </x:c>
      <x:c r="B622" s="5" t="inlineStr">
        <x:is>
          <x:t xml:space="preserve">메더</x:t>
        </x:is>
      </x:c>
      <x:c r="C622" s="5" t="inlineStr">
        <x:is>
          <x:t xml:space="preserve">stunfisk</x:t>
        </x:is>
      </x:c>
      <x:c r="D622" s="5" t="inlineStr">
        <x:is>
          <x:t xml:space="preserve">Stunfisk</x:t>
        </x:is>
      </x:c>
      <x:c r="E622" s="5" t="n">
        <x:v>5</x:v>
      </x:c>
      <x:c r="F622" s="5" t="inlineStr">
        <x:is>
          <x:t xml:space="preserve">땅</x:t>
        </x:is>
      </x:c>
      <x:c r="G622" s="5" t="inlineStr">
        <x:is>
          <x:t xml:space="preserve">전기</x:t>
        </x:is>
      </x:c>
      <x:c r="H622" s="5" t="n">
        <x:v>0.7</x:v>
      </x:c>
      <x:c r="I622" s="5" t="n">
        <x:v>11</x:v>
      </x:c>
      <x:c r="J622" s="5" t="n">
        <x:v>471</x:v>
      </x:c>
      <x:c r="K622" s="5" t="n">
        <x:v>75</x:v>
      </x:c>
      <x:c r="L622" s="5" t="inlineStr">
        <x:is>
          <x:t xml:space="preserve">무진화</x:t>
        </x:is>
      </x:c>
      <x:c r="M622" s="5" t="n"/>
      <x:c r="N622" s="5" t="inlineStr">
        <x:is>
          <x:t xml:space="preserve">없음</x:t>
        </x:is>
      </x:c>
      <x:c r="O622" s="5" t="inlineStr">
        <x:is>
          <x:t xml:space="preserve">예</x:t>
        </x:is>
      </x:c>
      <x:c r="P622" s="5" t="inlineStr">
        <x:is>
          <x:t xml:space="preserve">#cobblemon:is_arid; #cobblemon:is_jungle; #cobblemon:is_swamp</x:t>
        </x:is>
      </x:c>
      <x:c r="Q622" s="5" t="inlineStr">
        <x:is>
          <x:t xml:space="preserve">common</x:t>
        </x:is>
      </x:c>
      <x:c r="R622" s="5" t="inlineStr">
        <x:is>
          <x:t xml:space="preserve"/>
        </x:is>
      </x:c>
      <x:c r="S622" s="5" t="inlineStr">
        <x:is>
          <x:t xml:space="preserve"/>
        </x:is>
      </x:c>
      <x:c r="T622" s="5" t="inlineStr">
        <x:is>
          <x:t xml:space="preserve">육상</x:t>
        </x:is>
      </x:c>
      <x:c r="U622" s="5" t="inlineStr">
        <x:is>
          <x:t xml:space="preserve">습지</x:t>
        </x:is>
      </x:c>
      <x:c r="V622" s="5" t="inlineStr">
        <x:is>
          <x:t xml:space="preserve">온대</x:t>
        </x:is>
      </x:c>
      <x:c r="W622" s="5" t="inlineStr">
        <x:is>
          <x:t xml:space="preserve">다습</x:t>
        </x:is>
      </x:c>
      <x:c r="X622" s="5" t="inlineStr">
        <x:is>
          <x:t xml:space="preserve">비</x:t>
        </x:is>
      </x:c>
      <x:c r="Y622" s="5" t="inlineStr">
        <x:is>
          <x:t xml:space="preserve">무관</x:t>
        </x:is>
      </x:c>
      <x:c r="Z622" s="5" t="inlineStr">
        <x:is>
          <x:t xml:space="preserve">흔함</x:t>
        </x:is>
      </x:c>
      <x:c r="AA622" s="5" t="inlineStr">
        <x:is>
          <x:t xml:space="preserve">없음</x:t>
        </x:is>
      </x:c>
      <x:c r="AB622" s="5" t="inlineStr">
        <x:is>
          <x:t xml:space="preserve">습지</x:t>
        </x:is>
      </x:c>
      <x:c r="AC622" s="5" t="inlineStr">
        <x:is>
          <x:t xml:space="preserve">gen5; unovan_form</x:t>
        </x:is>
      </x:c>
      <x:c r="AD622" s="5" t="inlineStr">
        <x:is>
          <x:t xml:space="preserve">.tmp/cobblemon-1.7.3-source/common/src/main/resources/data/cobblemon/species/generation5/stunfisk.json</x:t>
        </x:is>
      </x:c>
    </x:row>
    <x:row r="623" ht="22" customHeight="1">
      <x:c r="A623" s="5" t="n">
        <x:v>619</x:v>
      </x:c>
      <x:c r="B623" s="5" t="inlineStr">
        <x:is>
          <x:t xml:space="preserve">비조푸</x:t>
        </x:is>
      </x:c>
      <x:c r="C623" s="5" t="inlineStr">
        <x:is>
          <x:t xml:space="preserve">mienfoo</x:t>
        </x:is>
      </x:c>
      <x:c r="D623" s="5" t="inlineStr">
        <x:is>
          <x:t xml:space="preserve">Mienfoo</x:t>
        </x:is>
      </x:c>
      <x:c r="E623" s="5" t="n">
        <x:v>5</x:v>
      </x:c>
      <x:c r="F623" s="5" t="inlineStr">
        <x:is>
          <x:t xml:space="preserve">격투</x:t>
        </x:is>
      </x:c>
      <x:c r="G623" s="5" t="inlineStr">
        <x:is>
          <x:t xml:space="preserve"/>
        </x:is>
      </x:c>
      <x:c r="H623" s="5" t="n">
        <x:v>0.9</x:v>
      </x:c>
      <x:c r="I623" s="5" t="n">
        <x:v>20</x:v>
      </x:c>
      <x:c r="J623" s="5" t="n">
        <x:v>350</x:v>
      </x:c>
      <x:c r="K623" s="5" t="n">
        <x:v>180</x:v>
      </x:c>
      <x:c r="L623" s="5" t="inlineStr">
        <x:is>
          <x:t xml:space="preserve">기본</x:t>
        </x:is>
      </x:c>
      <x:c r="M623" s="5" t="n">
        <x:v>50</x:v>
      </x:c>
      <x:c r="N623" s="5" t="inlineStr">
        <x:is>
          <x:t xml:space="preserve">레벨</x:t>
        </x:is>
      </x:c>
      <x:c r="O623" s="5" t="inlineStr">
        <x:is>
          <x:t xml:space="preserve">예</x:t>
        </x:is>
      </x:c>
      <x:c r="P623" s="5" t="inlineStr">
        <x:is>
          <x:t xml:space="preserve">#cobblemon:is_mountain</x:t>
        </x:is>
      </x:c>
      <x:c r="Q623" s="5" t="inlineStr">
        <x:is>
          <x:t xml:space="preserve">uncommon</x:t>
        </x:is>
      </x:c>
      <x:c r="R623" s="5" t="inlineStr">
        <x:is>
          <x:t xml:space="preserve"/>
        </x:is>
      </x:c>
      <x:c r="S623" s="5" t="inlineStr">
        <x:is>
          <x:t xml:space="preserve"/>
        </x:is>
      </x:c>
      <x:c r="T623" s="5" t="inlineStr">
        <x:is>
          <x:t xml:space="preserve">육상</x:t>
        </x:is>
      </x:c>
      <x:c r="U623" s="5" t="inlineStr">
        <x:is>
          <x:t xml:space="preserve">암석</x:t>
        </x:is>
      </x:c>
      <x:c r="V623" s="5" t="inlineStr">
        <x:is>
          <x:t xml:space="preserve">온대</x:t>
        </x:is>
      </x:c>
      <x:c r="W623" s="5" t="inlineStr">
        <x:is>
          <x:t xml:space="preserve">보통</x:t>
        </x:is>
      </x:c>
      <x:c r="X623" s="5" t="inlineStr">
        <x:is>
          <x:t xml:space="preserve">무관</x:t>
        </x:is>
      </x:c>
      <x:c r="Y623" s="5" t="inlineStr">
        <x:is>
          <x:t xml:space="preserve">무관</x:t>
        </x:is>
      </x:c>
      <x:c r="Z623" s="5" t="inlineStr">
        <x:is>
          <x:t xml:space="preserve">보통</x:t>
        </x:is>
      </x:c>
      <x:c r="AA623" s="5" t="inlineStr">
        <x:is>
          <x:t xml:space="preserve">없음</x:t>
        </x:is>
      </x:c>
      <x:c r="AB623" s="5" t="inlineStr">
        <x:is>
          <x:t xml:space="preserve">산악</x:t>
        </x:is>
      </x:c>
      <x:c r="AC623" s="5" t="inlineStr">
        <x:is>
          <x:t xml:space="preserve">gen5</x:t>
        </x:is>
      </x:c>
      <x:c r="AD623" s="5" t="inlineStr">
        <x:is>
          <x:t xml:space="preserve">.tmp/cobblemon-1.7.3-source/common/src/main/resources/data/cobblemon/species/generation5/mienfoo.json</x:t>
        </x:is>
      </x:c>
    </x:row>
    <x:row r="624" ht="22" customHeight="1">
      <x:c r="A624" s="5" t="n">
        <x:v>620</x:v>
      </x:c>
      <x:c r="B624" s="5" t="inlineStr">
        <x:is>
          <x:t xml:space="preserve">비조도</x:t>
        </x:is>
      </x:c>
      <x:c r="C624" s="5" t="inlineStr">
        <x:is>
          <x:t xml:space="preserve">mienshao</x:t>
        </x:is>
      </x:c>
      <x:c r="D624" s="5" t="inlineStr">
        <x:is>
          <x:t xml:space="preserve">Mienshao</x:t>
        </x:is>
      </x:c>
      <x:c r="E624" s="5" t="n">
        <x:v>5</x:v>
      </x:c>
      <x:c r="F624" s="5" t="inlineStr">
        <x:is>
          <x:t xml:space="preserve">격투</x:t>
        </x:is>
      </x:c>
      <x:c r="G624" s="5" t="inlineStr">
        <x:is>
          <x:t xml:space="preserve"/>
        </x:is>
      </x:c>
      <x:c r="H624" s="5" t="n">
        <x:v>1.4</x:v>
      </x:c>
      <x:c r="I624" s="5" t="n">
        <x:v>35.5</x:v>
      </x:c>
      <x:c r="J624" s="5" t="n">
        <x:v>510</x:v>
      </x:c>
      <x:c r="K624" s="5" t="n">
        <x:v>45</x:v>
      </x:c>
      <x:c r="L624" s="5" t="inlineStr">
        <x:is>
          <x:t xml:space="preserve">최종</x:t>
        </x:is>
      </x:c>
      <x:c r="M624" s="5" t="n">
        <x:v>50</x:v>
      </x:c>
      <x:c r="N624" s="5" t="inlineStr">
        <x:is>
          <x:t xml:space="preserve">레벨</x:t>
        </x:is>
      </x:c>
      <x:c r="O624" s="5" t="inlineStr">
        <x:is>
          <x:t xml:space="preserve">예</x:t>
        </x:is>
      </x:c>
      <x:c r="P624" s="5" t="inlineStr">
        <x:is>
          <x:t xml:space="preserve">#cobblemon:is_mountain</x:t>
        </x:is>
      </x:c>
      <x:c r="Q624" s="5" t="inlineStr">
        <x:is>
          <x:t xml:space="preserve">uncommon</x:t>
        </x:is>
      </x:c>
      <x:c r="R624" s="5" t="inlineStr">
        <x:is>
          <x:t xml:space="preserve"/>
        </x:is>
      </x:c>
      <x:c r="S624" s="5" t="inlineStr">
        <x:is>
          <x:t xml:space="preserve"/>
        </x:is>
      </x:c>
      <x:c r="T624" s="5" t="inlineStr">
        <x:is>
          <x:t xml:space="preserve">육상</x:t>
        </x:is>
      </x:c>
      <x:c r="U624" s="5" t="inlineStr">
        <x:is>
          <x:t xml:space="preserve">암석</x:t>
        </x:is>
      </x:c>
      <x:c r="V624" s="5" t="inlineStr">
        <x:is>
          <x:t xml:space="preserve">온대</x:t>
        </x:is>
      </x:c>
      <x:c r="W624" s="5" t="inlineStr">
        <x:is>
          <x:t xml:space="preserve">보통</x:t>
        </x:is>
      </x:c>
      <x:c r="X624" s="5" t="inlineStr">
        <x:is>
          <x:t xml:space="preserve">무관</x:t>
        </x:is>
      </x:c>
      <x:c r="Y624" s="5" t="inlineStr">
        <x:is>
          <x:t xml:space="preserve">무관</x:t>
        </x:is>
      </x:c>
      <x:c r="Z624" s="5" t="inlineStr">
        <x:is>
          <x:t xml:space="preserve">보통</x:t>
        </x:is>
      </x:c>
      <x:c r="AA624" s="5" t="inlineStr">
        <x:is>
          <x:t xml:space="preserve">없음</x:t>
        </x:is>
      </x:c>
      <x:c r="AB624" s="5" t="inlineStr">
        <x:is>
          <x:t xml:space="preserve">산악</x:t>
        </x:is>
      </x:c>
      <x:c r="AC624" s="5" t="inlineStr">
        <x:is>
          <x:t xml:space="preserve">gen5</x:t>
        </x:is>
      </x:c>
      <x:c r="AD624" s="5" t="inlineStr">
        <x:is>
          <x:t xml:space="preserve">.tmp/cobblemon-1.7.3-source/common/src/main/resources/data/cobblemon/species/generation5/mienshao.json</x:t>
        </x:is>
      </x:c>
    </x:row>
    <x:row r="625" ht="22" customHeight="1">
      <x:c r="A625" s="5" t="n">
        <x:v>621</x:v>
      </x:c>
      <x:c r="B625" s="5" t="inlineStr">
        <x:is>
          <x:t xml:space="preserve">크리만</x:t>
        </x:is>
      </x:c>
      <x:c r="C625" s="5" t="inlineStr">
        <x:is>
          <x:t xml:space="preserve">druddigon</x:t>
        </x:is>
      </x:c>
      <x:c r="D625" s="5" t="inlineStr">
        <x:is>
          <x:t xml:space="preserve">Druddigon</x:t>
        </x:is>
      </x:c>
      <x:c r="E625" s="5" t="n">
        <x:v>5</x:v>
      </x:c>
      <x:c r="F625" s="5" t="inlineStr">
        <x:is>
          <x:t xml:space="preserve">드래곤</x:t>
        </x:is>
      </x:c>
      <x:c r="G625" s="5" t="inlineStr">
        <x:is>
          <x:t xml:space="preserve"/>
        </x:is>
      </x:c>
      <x:c r="H625" s="5" t="n">
        <x:v>1.6</x:v>
      </x:c>
      <x:c r="I625" s="5" t="n">
        <x:v>139</x:v>
      </x:c>
      <x:c r="J625" s="5" t="n">
        <x:v>485</x:v>
      </x:c>
      <x:c r="K625" s="5" t="n">
        <x:v>45</x:v>
      </x:c>
      <x:c r="L625" s="5" t="inlineStr">
        <x:is>
          <x:t xml:space="preserve">무진화</x:t>
        </x:is>
      </x:c>
      <x:c r="M625" s="5" t="n"/>
      <x:c r="N625" s="5" t="inlineStr">
        <x:is>
          <x:t xml:space="preserve">없음</x:t>
        </x:is>
      </x:c>
      <x:c r="O625" s="5" t="inlineStr">
        <x:is>
          <x:t xml:space="preserve">예</x:t>
        </x:is>
      </x:c>
      <x:c r="P625" s="5" t="inlineStr">
        <x:is>
          <x:t xml:space="preserve">#cobblemon:is_mountain; #cobblemon:is_overworld</x:t>
        </x:is>
      </x:c>
      <x:c r="Q625" s="5" t="inlineStr">
        <x:is>
          <x:t xml:space="preserve">rare; uncommon</x:t>
        </x:is>
      </x:c>
      <x:c r="R625" s="5" t="inlineStr">
        <x:is>
          <x:t xml:space="preserve">day</x:t>
        </x:is>
      </x:c>
      <x:c r="S625" s="5" t="inlineStr">
        <x:is>
          <x:t xml:space="preserve"/>
        </x:is>
      </x:c>
      <x:c r="T625" s="5" t="inlineStr">
        <x:is>
          <x:t xml:space="preserve">육상</x:t>
        </x:is>
      </x:c>
      <x:c r="U625" s="5" t="inlineStr">
        <x:is>
          <x:t xml:space="preserve">암석</x:t>
        </x:is>
      </x:c>
      <x:c r="V625" s="5" t="inlineStr">
        <x:is>
          <x:t xml:space="preserve">온대</x:t>
        </x:is>
      </x:c>
      <x:c r="W625" s="5" t="inlineStr">
        <x:is>
          <x:t xml:space="preserve">보통</x:t>
        </x:is>
      </x:c>
      <x:c r="X625" s="5" t="inlineStr">
        <x:is>
          <x:t xml:space="preserve">무관</x:t>
        </x:is>
      </x:c>
      <x:c r="Y625" s="5" t="inlineStr">
        <x:is>
          <x:t xml:space="preserve">낮</x:t>
        </x:is>
      </x:c>
      <x:c r="Z625" s="5" t="inlineStr">
        <x:is>
          <x:t xml:space="preserve">보통</x:t>
        </x:is>
      </x:c>
      <x:c r="AA625" s="5" t="inlineStr">
        <x:is>
          <x:t xml:space="preserve">없음</x:t>
        </x:is>
      </x:c>
      <x:c r="AB625" s="5" t="inlineStr">
        <x:is>
          <x:t xml:space="preserve">산악</x:t>
        </x:is>
      </x:c>
      <x:c r="AC625" s="5" t="inlineStr">
        <x:is>
          <x:t xml:space="preserve">gen5</x:t>
        </x:is>
      </x:c>
      <x:c r="AD625" s="5" t="inlineStr">
        <x:is>
          <x:t xml:space="preserve">.tmp/cobblemon-1.7.3-source/common/src/main/resources/data/cobblemon/species/generation5/druddigon.json</x:t>
        </x:is>
      </x:c>
    </x:row>
    <x:row r="626" ht="22" customHeight="1">
      <x:c r="A626" s="5" t="n">
        <x:v>622</x:v>
      </x:c>
      <x:c r="B626" s="5" t="inlineStr">
        <x:is>
          <x:t xml:space="preserve">골비람</x:t>
        </x:is>
      </x:c>
      <x:c r="C626" s="5" t="inlineStr">
        <x:is>
          <x:t xml:space="preserve">golett</x:t>
        </x:is>
      </x:c>
      <x:c r="D626" s="5" t="inlineStr">
        <x:is>
          <x:t xml:space="preserve">Golett</x:t>
        </x:is>
      </x:c>
      <x:c r="E626" s="5" t="n">
        <x:v>5</x:v>
      </x:c>
      <x:c r="F626" s="5" t="inlineStr">
        <x:is>
          <x:t xml:space="preserve">땅</x:t>
        </x:is>
      </x:c>
      <x:c r="G626" s="5" t="inlineStr">
        <x:is>
          <x:t xml:space="preserve">고스트</x:t>
        </x:is>
      </x:c>
      <x:c r="H626" s="5" t="n">
        <x:v>1</x:v>
      </x:c>
      <x:c r="I626" s="5" t="n">
        <x:v>92</x:v>
      </x:c>
      <x:c r="J626" s="5" t="n">
        <x:v>303</x:v>
      </x:c>
      <x:c r="K626" s="5" t="n">
        <x:v>190</x:v>
      </x:c>
      <x:c r="L626" s="5" t="inlineStr">
        <x:is>
          <x:t xml:space="preserve">기본</x:t>
        </x:is>
      </x:c>
      <x:c r="M626" s="5" t="n">
        <x:v>43</x:v>
      </x:c>
      <x:c r="N626" s="5" t="inlineStr">
        <x:is>
          <x:t xml:space="preserve">레벨</x:t>
        </x:is>
      </x:c>
      <x:c r="O626" s="5" t="inlineStr">
        <x:is>
          <x:t xml:space="preserve">예</x:t>
        </x:is>
      </x:c>
      <x:c r="P626" s="5" t="inlineStr">
        <x:is>
          <x:t xml:space="preserve">#cobblemon:is_deep_dark; #cobblemon:is_desert; #cobblemon:is_jungle; #cobblemon:is_overworld; the_bumblezone:howling_constructs</x:t>
        </x:is>
      </x:c>
      <x:c r="Q626" s="5" t="inlineStr">
        <x:is>
          <x:t xml:space="preserve">common; rare; uncommon</x:t>
        </x:is>
      </x:c>
      <x:c r="R626" s="5" t="inlineStr">
        <x:is>
          <x:t xml:space="preserve"/>
        </x:is>
      </x:c>
      <x:c r="S626" s="5" t="inlineStr">
        <x:is>
          <x:t xml:space="preserve"/>
        </x:is>
      </x:c>
      <x:c r="T626" s="5" t="inlineStr">
        <x:is>
          <x:t xml:space="preserve">인공</x:t>
        </x:is>
      </x:c>
      <x:c r="U626" s="5" t="inlineStr">
        <x:is>
          <x:t xml:space="preserve">동굴</x:t>
        </x:is>
      </x:c>
      <x:c r="V626" s="5" t="inlineStr">
        <x:is>
          <x:t xml:space="preserve">온대</x:t>
        </x:is>
      </x:c>
      <x:c r="W626" s="5" t="inlineStr">
        <x:is>
          <x:t xml:space="preserve">다습</x:t>
        </x:is>
      </x:c>
      <x:c r="X626" s="5" t="inlineStr">
        <x:is>
          <x:t xml:space="preserve">안개</x:t>
        </x:is>
      </x:c>
      <x:c r="Y626" s="5" t="inlineStr">
        <x:is>
          <x:t xml:space="preserve">밤</x:t>
        </x:is>
      </x:c>
      <x:c r="Z626" s="5" t="inlineStr">
        <x:is>
          <x:t xml:space="preserve">보통</x:t>
        </x:is>
      </x:c>
      <x:c r="AA626" s="5" t="inlineStr">
        <x:is>
          <x:t xml:space="preserve">영체</x:t>
        </x:is>
      </x:c>
      <x:c r="AB626" s="5" t="inlineStr">
        <x:is>
          <x:t xml:space="preserve">동굴</x:t>
        </x:is>
      </x:c>
      <x:c r="AC626" s="5" t="inlineStr">
        <x:is>
          <x:t xml:space="preserve">gen5</x:t>
        </x:is>
      </x:c>
      <x:c r="AD626" s="5" t="inlineStr">
        <x:is>
          <x:t xml:space="preserve">.tmp/cobblemon-1.7.3-source/common/src/main/resources/data/cobblemon/species/generation5/golett.json</x:t>
        </x:is>
      </x:c>
    </x:row>
    <x:row r="627" ht="22" customHeight="1">
      <x:c r="A627" s="5" t="n">
        <x:v>623</x:v>
      </x:c>
      <x:c r="B627" s="5" t="inlineStr">
        <x:is>
          <x:t xml:space="preserve">골루그</x:t>
        </x:is>
      </x:c>
      <x:c r="C627" s="5" t="inlineStr">
        <x:is>
          <x:t xml:space="preserve">golurk</x:t>
        </x:is>
      </x:c>
      <x:c r="D627" s="5" t="inlineStr">
        <x:is>
          <x:t xml:space="preserve">Golurk</x:t>
        </x:is>
      </x:c>
      <x:c r="E627" s="5" t="n">
        <x:v>5</x:v>
      </x:c>
      <x:c r="F627" s="5" t="inlineStr">
        <x:is>
          <x:t xml:space="preserve">땅</x:t>
        </x:is>
      </x:c>
      <x:c r="G627" s="5" t="inlineStr">
        <x:is>
          <x:t xml:space="preserve">고스트</x:t>
        </x:is>
      </x:c>
      <x:c r="H627" s="5" t="n">
        <x:v>2.8</x:v>
      </x:c>
      <x:c r="I627" s="5" t="n">
        <x:v>330</x:v>
      </x:c>
      <x:c r="J627" s="5" t="n">
        <x:v>483</x:v>
      </x:c>
      <x:c r="K627" s="5" t="n">
        <x:v>90</x:v>
      </x:c>
      <x:c r="L627" s="5" t="inlineStr">
        <x:is>
          <x:t xml:space="preserve">최종</x:t>
        </x:is>
      </x:c>
      <x:c r="M627" s="5" t="n">
        <x:v>43</x:v>
      </x:c>
      <x:c r="N627" s="5" t="inlineStr">
        <x:is>
          <x:t xml:space="preserve">레벨</x:t>
        </x:is>
      </x:c>
      <x:c r="O627" s="5" t="inlineStr">
        <x:is>
          <x:t xml:space="preserve">예</x:t>
        </x:is>
      </x:c>
      <x:c r="P627" s="5" t="inlineStr">
        <x:is>
          <x:t xml:space="preserve">#cobblemon:is_deep_dark; #cobblemon:is_desert; #cobblemon:is_jungle; #cobblemon:is_overworld; the_bumblezone:howling_constructs</x:t>
        </x:is>
      </x:c>
      <x:c r="Q627" s="5" t="inlineStr">
        <x:is>
          <x:t xml:space="preserve">common; rare; uncommon</x:t>
        </x:is>
      </x:c>
      <x:c r="R627" s="5" t="inlineStr">
        <x:is>
          <x:t xml:space="preserve"/>
        </x:is>
      </x:c>
      <x:c r="S627" s="5" t="inlineStr">
        <x:is>
          <x:t xml:space="preserve"/>
        </x:is>
      </x:c>
      <x:c r="T627" s="5" t="inlineStr">
        <x:is>
          <x:t xml:space="preserve">인공</x:t>
        </x:is>
      </x:c>
      <x:c r="U627" s="5" t="inlineStr">
        <x:is>
          <x:t xml:space="preserve">동굴</x:t>
        </x:is>
      </x:c>
      <x:c r="V627" s="5" t="inlineStr">
        <x:is>
          <x:t xml:space="preserve">온대</x:t>
        </x:is>
      </x:c>
      <x:c r="W627" s="5" t="inlineStr">
        <x:is>
          <x:t xml:space="preserve">다습</x:t>
        </x:is>
      </x:c>
      <x:c r="X627" s="5" t="inlineStr">
        <x:is>
          <x:t xml:space="preserve">안개</x:t>
        </x:is>
      </x:c>
      <x:c r="Y627" s="5" t="inlineStr">
        <x:is>
          <x:t xml:space="preserve">밤</x:t>
        </x:is>
      </x:c>
      <x:c r="Z627" s="5" t="inlineStr">
        <x:is>
          <x:t xml:space="preserve">보통</x:t>
        </x:is>
      </x:c>
      <x:c r="AA627" s="5" t="inlineStr">
        <x:is>
          <x:t xml:space="preserve">영체</x:t>
        </x:is>
      </x:c>
      <x:c r="AB627" s="5" t="inlineStr">
        <x:is>
          <x:t xml:space="preserve">동굴</x:t>
        </x:is>
      </x:c>
      <x:c r="AC627" s="5" t="inlineStr">
        <x:is>
          <x:t xml:space="preserve">gen5</x:t>
        </x:is>
      </x:c>
      <x:c r="AD627" s="5" t="inlineStr">
        <x:is>
          <x:t xml:space="preserve">.tmp/cobblemon-1.7.3-source/common/src/main/resources/data/cobblemon/species/generation5/golurk.json</x:t>
        </x:is>
      </x:c>
    </x:row>
    <x:row r="628" ht="22" customHeight="1">
      <x:c r="A628" s="5" t="n">
        <x:v>624</x:v>
      </x:c>
      <x:c r="B628" s="5" t="inlineStr">
        <x:is>
          <x:t xml:space="preserve">자망칼</x:t>
        </x:is>
      </x:c>
      <x:c r="C628" s="5" t="inlineStr">
        <x:is>
          <x:t xml:space="preserve">pawniard</x:t>
        </x:is>
      </x:c>
      <x:c r="D628" s="5" t="inlineStr">
        <x:is>
          <x:t xml:space="preserve">Pawniard</x:t>
        </x:is>
      </x:c>
      <x:c r="E628" s="5" t="n">
        <x:v>5</x:v>
      </x:c>
      <x:c r="F628" s="5" t="inlineStr">
        <x:is>
          <x:t xml:space="preserve">악</x:t>
        </x:is>
      </x:c>
      <x:c r="G628" s="5" t="inlineStr">
        <x:is>
          <x:t xml:space="preserve">강철</x:t>
        </x:is>
      </x:c>
      <x:c r="H628" s="5" t="n">
        <x:v>0.5</x:v>
      </x:c>
      <x:c r="I628" s="5" t="n">
        <x:v>10.2</x:v>
      </x:c>
      <x:c r="J628" s="5" t="n">
        <x:v>340</x:v>
      </x:c>
      <x:c r="K628" s="5" t="n">
        <x:v>120</x:v>
      </x:c>
      <x:c r="L628" s="5" t="inlineStr">
        <x:is>
          <x:t xml:space="preserve">기본</x:t>
        </x:is>
      </x:c>
      <x:c r="M628" s="5" t="n">
        <x:v>52</x:v>
      </x:c>
      <x:c r="N628" s="5" t="inlineStr">
        <x:is>
          <x:t xml:space="preserve">레벨·특수</x:t>
        </x:is>
      </x:c>
      <x:c r="O628" s="5" t="inlineStr">
        <x:is>
          <x:t xml:space="preserve">아니오</x:t>
        </x:is>
      </x:c>
      <x:c r="P628" s="5" t="inlineStr">
        <x:is>
          <x:t xml:space="preserve">minecraft:bamboo_jungle</x:t>
        </x:is>
      </x:c>
      <x:c r="Q628" s="5" t="inlineStr">
        <x:is>
          <x:t xml:space="preserve">uncommon</x:t>
        </x:is>
      </x:c>
      <x:c r="R628" s="5" t="inlineStr">
        <x:is>
          <x:t xml:space="preserve"/>
        </x:is>
      </x:c>
      <x:c r="S628" s="5" t="inlineStr">
        <x:is>
          <x:t xml:space="preserve"/>
        </x:is>
      </x:c>
      <x:c r="T628" s="5" t="inlineStr">
        <x:is>
          <x:t xml:space="preserve">육상</x:t>
        </x:is>
      </x:c>
      <x:c r="U628" s="5" t="inlineStr">
        <x:is>
          <x:t xml:space="preserve">수목</x:t>
        </x:is>
      </x:c>
      <x:c r="V628" s="5" t="inlineStr">
        <x:is>
          <x:t xml:space="preserve">온대</x:t>
        </x:is>
      </x:c>
      <x:c r="W628" s="5" t="inlineStr">
        <x:is>
          <x:t xml:space="preserve">다습</x:t>
        </x:is>
      </x:c>
      <x:c r="X628" s="5" t="inlineStr">
        <x:is>
          <x:t xml:space="preserve">무관</x:t>
        </x:is>
      </x:c>
      <x:c r="Y628" s="5" t="inlineStr">
        <x:is>
          <x:t xml:space="preserve">밤</x:t>
        </x:is>
      </x:c>
      <x:c r="Z628" s="5" t="inlineStr">
        <x:is>
          <x:t xml:space="preserve">보통</x:t>
        </x:is>
      </x:c>
      <x:c r="AA628" s="5" t="inlineStr">
        <x:is>
          <x:t xml:space="preserve">없음</x:t>
        </x:is>
      </x:c>
      <x:c r="AB628" s="5" t="inlineStr">
        <x:is>
          <x:t xml:space="preserve">숲</x:t>
        </x:is>
      </x:c>
      <x:c r="AC628" s="5" t="inlineStr">
        <x:is>
          <x:t xml:space="preserve">gen5</x:t>
        </x:is>
      </x:c>
      <x:c r="AD628" s="5" t="inlineStr">
        <x:is>
          <x:t xml:space="preserve">.tmp/cobblemon-1.7.3-source/common/src/main/resources/data/cobblemon/species/generation5/pawniard.json</x:t>
        </x:is>
      </x:c>
    </x:row>
    <x:row r="629" ht="22" customHeight="1">
      <x:c r="A629" s="5" t="n">
        <x:v>625</x:v>
      </x:c>
      <x:c r="B629" s="5" t="inlineStr">
        <x:is>
          <x:t xml:space="preserve">절각참</x:t>
        </x:is>
      </x:c>
      <x:c r="C629" s="5" t="inlineStr">
        <x:is>
          <x:t xml:space="preserve">bisharp</x:t>
        </x:is>
      </x:c>
      <x:c r="D629" s="5" t="inlineStr">
        <x:is>
          <x:t xml:space="preserve">Bisharp</x:t>
        </x:is>
      </x:c>
      <x:c r="E629" s="5" t="n">
        <x:v>5</x:v>
      </x:c>
      <x:c r="F629" s="5" t="inlineStr">
        <x:is>
          <x:t xml:space="preserve">악</x:t>
        </x:is>
      </x:c>
      <x:c r="G629" s="5" t="inlineStr">
        <x:is>
          <x:t xml:space="preserve">강철</x:t>
        </x:is>
      </x:c>
      <x:c r="H629" s="5" t="n">
        <x:v>1.6</x:v>
      </x:c>
      <x:c r="I629" s="5" t="n">
        <x:v>70</x:v>
      </x:c>
      <x:c r="J629" s="5" t="n">
        <x:v>490</x:v>
      </x:c>
      <x:c r="K629" s="5" t="n">
        <x:v>45</x:v>
      </x:c>
      <x:c r="L629" s="5" t="inlineStr">
        <x:is>
          <x:t xml:space="preserve">중간</x:t>
        </x:is>
      </x:c>
      <x:c r="M629" s="5" t="n">
        <x:v>52</x:v>
      </x:c>
      <x:c r="N629" s="5" t="inlineStr">
        <x:is>
          <x:t xml:space="preserve">레벨·특수</x:t>
        </x:is>
      </x:c>
      <x:c r="O629" s="5" t="inlineStr">
        <x:is>
          <x:t xml:space="preserve">아니오</x:t>
        </x:is>
      </x:c>
      <x:c r="P629" s="5" t="inlineStr">
        <x:is>
          <x:t xml:space="preserve">minecraft:bamboo_jungle</x:t>
        </x:is>
      </x:c>
      <x:c r="Q629" s="5" t="inlineStr">
        <x:is>
          <x:t xml:space="preserve">rare</x:t>
        </x:is>
      </x:c>
      <x:c r="R629" s="5" t="inlineStr">
        <x:is>
          <x:t xml:space="preserve"/>
        </x:is>
      </x:c>
      <x:c r="S629" s="5" t="inlineStr">
        <x:is>
          <x:t xml:space="preserve"/>
        </x:is>
      </x:c>
      <x:c r="T629" s="5" t="inlineStr">
        <x:is>
          <x:t xml:space="preserve">육상</x:t>
        </x:is>
      </x:c>
      <x:c r="U629" s="5" t="inlineStr">
        <x:is>
          <x:t xml:space="preserve">수목</x:t>
        </x:is>
      </x:c>
      <x:c r="V629" s="5" t="inlineStr">
        <x:is>
          <x:t xml:space="preserve">온대</x:t>
        </x:is>
      </x:c>
      <x:c r="W629" s="5" t="inlineStr">
        <x:is>
          <x:t xml:space="preserve">다습</x:t>
        </x:is>
      </x:c>
      <x:c r="X629" s="5" t="inlineStr">
        <x:is>
          <x:t xml:space="preserve">무관</x:t>
        </x:is>
      </x:c>
      <x:c r="Y629" s="5" t="inlineStr">
        <x:is>
          <x:t xml:space="preserve">밤</x:t>
        </x:is>
      </x:c>
      <x:c r="Z629" s="5" t="inlineStr">
        <x:is>
          <x:t xml:space="preserve">드묾</x:t>
        </x:is>
      </x:c>
      <x:c r="AA629" s="5" t="inlineStr">
        <x:is>
          <x:t xml:space="preserve">없음</x:t>
        </x:is>
      </x:c>
      <x:c r="AB629" s="5" t="inlineStr">
        <x:is>
          <x:t xml:space="preserve">숲</x:t>
        </x:is>
      </x:c>
      <x:c r="AC629" s="5" t="inlineStr">
        <x:is>
          <x:t xml:space="preserve">gen5</x:t>
        </x:is>
      </x:c>
      <x:c r="AD629" s="5" t="inlineStr">
        <x:is>
          <x:t xml:space="preserve">.tmp/cobblemon-1.7.3-source/common/src/main/resources/data/cobblemon/species/generation5/bisharp.json</x:t>
        </x:is>
      </x:c>
    </x:row>
    <x:row r="630" ht="22" customHeight="1">
      <x:c r="A630" s="5" t="n">
        <x:v>626</x:v>
      </x:c>
      <x:c r="B630" s="5" t="inlineStr">
        <x:is>
          <x:t xml:space="preserve">버프론</x:t>
        </x:is>
      </x:c>
      <x:c r="C630" s="5" t="inlineStr">
        <x:is>
          <x:t xml:space="preserve">bouffalant</x:t>
        </x:is>
      </x:c>
      <x:c r="D630" s="5" t="inlineStr">
        <x:is>
          <x:t xml:space="preserve">Bouffalant</x:t>
        </x:is>
      </x:c>
      <x:c r="E630" s="5" t="n">
        <x:v>5</x:v>
      </x:c>
      <x:c r="F630" s="5" t="inlineStr">
        <x:is>
          <x:t xml:space="preserve">노말</x:t>
        </x:is>
      </x:c>
      <x:c r="G630" s="5" t="inlineStr">
        <x:is>
          <x:t xml:space="preserve"/>
        </x:is>
      </x:c>
      <x:c r="H630" s="5" t="n">
        <x:v>1.6</x:v>
      </x:c>
      <x:c r="I630" s="5" t="n">
        <x:v>94.59999999999999</x:v>
      </x:c>
      <x:c r="J630" s="5" t="n">
        <x:v>490</x:v>
      </x:c>
      <x:c r="K630" s="5" t="n">
        <x:v>45</x:v>
      </x:c>
      <x:c r="L630" s="5" t="inlineStr">
        <x:is>
          <x:t xml:space="preserve">무진화</x:t>
        </x:is>
      </x:c>
      <x:c r="M630" s="5" t="n"/>
      <x:c r="N630" s="5" t="inlineStr">
        <x:is>
          <x:t xml:space="preserve">없음</x:t>
        </x:is>
      </x:c>
      <x:c r="O630" s="5" t="inlineStr">
        <x:is>
          <x:t xml:space="preserve">예</x:t>
        </x:is>
      </x:c>
      <x:c r="P630" s="5" t="inlineStr">
        <x:is>
          <x:t xml:space="preserve">#cobblemon:is_plains</x:t>
        </x:is>
      </x:c>
      <x:c r="Q630" s="5" t="inlineStr">
        <x:is>
          <x:t xml:space="preserve">common</x:t>
        </x:is>
      </x:c>
      <x:c r="R630" s="5" t="inlineStr">
        <x:is>
          <x:t xml:space="preserve"/>
        </x:is>
      </x:c>
      <x:c r="S630" s="5" t="inlineStr">
        <x:is>
          <x:t xml:space="preserve"/>
        </x:is>
      </x:c>
      <x:c r="T630" s="5" t="inlineStr">
        <x:is>
          <x:t xml:space="preserve">육상</x:t>
        </x:is>
      </x:c>
      <x:c r="U630" s="5" t="inlineStr">
        <x:is>
          <x:t xml:space="preserve">개활지</x:t>
        </x:is>
      </x:c>
      <x:c r="V630" s="5" t="inlineStr">
        <x:is>
          <x:t xml:space="preserve">온대</x:t>
        </x:is>
      </x:c>
      <x:c r="W630" s="5" t="inlineStr">
        <x:is>
          <x:t xml:space="preserve">보통</x:t>
        </x:is>
      </x:c>
      <x:c r="X630" s="5" t="inlineStr">
        <x:is>
          <x:t xml:space="preserve">무관</x:t>
        </x:is>
      </x:c>
      <x:c r="Y630" s="5" t="inlineStr">
        <x:is>
          <x:t xml:space="preserve">무관</x:t>
        </x:is>
      </x:c>
      <x:c r="Z630" s="5" t="inlineStr">
        <x:is>
          <x:t xml:space="preserve">흔함</x:t>
        </x:is>
      </x:c>
      <x:c r="AA630" s="5" t="inlineStr">
        <x:is>
          <x:t xml:space="preserve">없음</x:t>
        </x:is>
      </x:c>
      <x:c r="AB630" s="5" t="inlineStr">
        <x:is>
          <x:t xml:space="preserve">평원</x:t>
        </x:is>
      </x:c>
      <x:c r="AC630" s="5" t="inlineStr">
        <x:is>
          <x:t xml:space="preserve">gen5</x:t>
        </x:is>
      </x:c>
      <x:c r="AD630" s="5" t="inlineStr">
        <x:is>
          <x:t xml:space="preserve">.tmp/cobblemon-1.7.3-source/common/src/main/resources/data/cobblemon/species/generation5/bouffalant.json</x:t>
        </x:is>
      </x:c>
    </x:row>
    <x:row r="631" ht="22" customHeight="1">
      <x:c r="A631" s="5" t="n">
        <x:v>627</x:v>
      </x:c>
      <x:c r="B631" s="5" t="inlineStr">
        <x:is>
          <x:t xml:space="preserve">수리둥보</x:t>
        </x:is>
      </x:c>
      <x:c r="C631" s="5" t="inlineStr">
        <x:is>
          <x:t xml:space="preserve">rufflet</x:t>
        </x:is>
      </x:c>
      <x:c r="D631" s="5" t="inlineStr">
        <x:is>
          <x:t xml:space="preserve">Rufflet</x:t>
        </x:is>
      </x:c>
      <x:c r="E631" s="5" t="n">
        <x:v>5</x:v>
      </x:c>
      <x:c r="F631" s="5" t="inlineStr">
        <x:is>
          <x:t xml:space="preserve">노말</x:t>
        </x:is>
      </x:c>
      <x:c r="G631" s="5" t="inlineStr">
        <x:is>
          <x:t xml:space="preserve">비행</x:t>
        </x:is>
      </x:c>
      <x:c r="H631" s="5" t="n">
        <x:v>0.5</x:v>
      </x:c>
      <x:c r="I631" s="5" t="n">
        <x:v>10.5</x:v>
      </x:c>
      <x:c r="J631" s="5" t="n">
        <x:v>350</x:v>
      </x:c>
      <x:c r="K631" s="5" t="n">
        <x:v>190</x:v>
      </x:c>
      <x:c r="L631" s="5" t="inlineStr">
        <x:is>
          <x:t xml:space="preserve">기본</x:t>
        </x:is>
      </x:c>
      <x:c r="M631" s="5" t="n">
        <x:v>54</x:v>
      </x:c>
      <x:c r="N631" s="5" t="inlineStr">
        <x:is>
          <x:t xml:space="preserve">레벨·특수</x:t>
        </x:is>
      </x:c>
      <x:c r="O631" s="5" t="inlineStr">
        <x:is>
          <x:t xml:space="preserve">예</x:t>
        </x:is>
      </x:c>
      <x:c r="P631" s="5" t="inlineStr">
        <x:is>
          <x:t xml:space="preserve">#cobblemon:is_badlands; #cobblemon:is_hills; #cobblemon:is_mountain; #cobblemon:is_sky</x:t>
        </x:is>
      </x:c>
      <x:c r="Q631" s="5" t="inlineStr">
        <x:is>
          <x:t xml:space="preserve">common; uncommon</x:t>
        </x:is>
      </x:c>
      <x:c r="R631" s="5" t="inlineStr">
        <x:is>
          <x:t xml:space="preserve">day</x:t>
        </x:is>
      </x:c>
      <x:c r="S631" s="5" t="inlineStr">
        <x:is>
          <x:t xml:space="preserve"/>
        </x:is>
      </x:c>
      <x:c r="T631" s="5" t="inlineStr">
        <x:is>
          <x:t xml:space="preserve">비행</x:t>
        </x:is>
      </x:c>
      <x:c r="U631" s="5" t="inlineStr">
        <x:is>
          <x:t xml:space="preserve">암석</x:t>
        </x:is>
      </x:c>
      <x:c r="V631" s="5" t="inlineStr">
        <x:is>
          <x:t xml:space="preserve">온대</x:t>
        </x:is>
      </x:c>
      <x:c r="W631" s="5" t="inlineStr">
        <x:is>
          <x:t xml:space="preserve">보통</x:t>
        </x:is>
      </x:c>
      <x:c r="X631" s="5" t="inlineStr">
        <x:is>
          <x:t xml:space="preserve">무관</x:t>
        </x:is>
      </x:c>
      <x:c r="Y631" s="5" t="inlineStr">
        <x:is>
          <x:t xml:space="preserve">낮</x:t>
        </x:is>
      </x:c>
      <x:c r="Z631" s="5" t="inlineStr">
        <x:is>
          <x:t xml:space="preserve">보통</x:t>
        </x:is>
      </x:c>
      <x:c r="AA631" s="5" t="inlineStr">
        <x:is>
          <x:t xml:space="preserve">없음</x:t>
        </x:is>
      </x:c>
      <x:c r="AB631" s="5" t="inlineStr">
        <x:is>
          <x:t xml:space="preserve">산악</x:t>
        </x:is>
      </x:c>
      <x:c r="AC631" s="5" t="inlineStr">
        <x:is>
          <x:t xml:space="preserve">gen5; unovan_form</x:t>
        </x:is>
      </x:c>
      <x:c r="AD631" s="5" t="inlineStr">
        <x:is>
          <x:t xml:space="preserve">.tmp/cobblemon-1.7.3-source/common/src/main/resources/data/cobblemon/species/generation5/rufflet.json</x:t>
        </x:is>
      </x:c>
    </x:row>
    <x:row r="632" ht="22" customHeight="1">
      <x:c r="A632" s="5" t="n">
        <x:v>628</x:v>
      </x:c>
      <x:c r="B632" s="5" t="inlineStr">
        <x:is>
          <x:t xml:space="preserve">워글</x:t>
        </x:is>
      </x:c>
      <x:c r="C632" s="5" t="inlineStr">
        <x:is>
          <x:t xml:space="preserve">braviary</x:t>
        </x:is>
      </x:c>
      <x:c r="D632" s="5" t="inlineStr">
        <x:is>
          <x:t xml:space="preserve">Braviary</x:t>
        </x:is>
      </x:c>
      <x:c r="E632" s="5" t="n">
        <x:v>5</x:v>
      </x:c>
      <x:c r="F632" s="5" t="inlineStr">
        <x:is>
          <x:t xml:space="preserve">노말</x:t>
        </x:is>
      </x:c>
      <x:c r="G632" s="5" t="inlineStr">
        <x:is>
          <x:t xml:space="preserve">비행</x:t>
        </x:is>
      </x:c>
      <x:c r="H632" s="5" t="n">
        <x:v>1.5</x:v>
      </x:c>
      <x:c r="I632" s="5" t="n">
        <x:v>41</x:v>
      </x:c>
      <x:c r="J632" s="5" t="n">
        <x:v>510</x:v>
      </x:c>
      <x:c r="K632" s="5" t="n">
        <x:v>60</x:v>
      </x:c>
      <x:c r="L632" s="5" t="inlineStr">
        <x:is>
          <x:t xml:space="preserve">최종</x:t>
        </x:is>
      </x:c>
      <x:c r="M632" s="5" t="n">
        <x:v>54</x:v>
      </x:c>
      <x:c r="N632" s="5" t="inlineStr">
        <x:is>
          <x:t xml:space="preserve">레벨·특수</x:t>
        </x:is>
      </x:c>
      <x:c r="O632" s="5" t="inlineStr">
        <x:is>
          <x:t xml:space="preserve">예</x:t>
        </x:is>
      </x:c>
      <x:c r="P632" s="5" t="inlineStr">
        <x:is>
          <x:t xml:space="preserve">#cobblemon:is_badlands; #cobblemon:is_hills; #cobblemon:is_mountain; #cobblemon:is_sky</x:t>
        </x:is>
      </x:c>
      <x:c r="Q632" s="5" t="inlineStr">
        <x:is>
          <x:t xml:space="preserve">common; uncommon</x:t>
        </x:is>
      </x:c>
      <x:c r="R632" s="5" t="inlineStr">
        <x:is>
          <x:t xml:space="preserve">day</x:t>
        </x:is>
      </x:c>
      <x:c r="S632" s="5" t="inlineStr">
        <x:is>
          <x:t xml:space="preserve"/>
        </x:is>
      </x:c>
      <x:c r="T632" s="5" t="inlineStr">
        <x:is>
          <x:t xml:space="preserve">비행</x:t>
        </x:is>
      </x:c>
      <x:c r="U632" s="5" t="inlineStr">
        <x:is>
          <x:t xml:space="preserve">암석</x:t>
        </x:is>
      </x:c>
      <x:c r="V632" s="5" t="inlineStr">
        <x:is>
          <x:t xml:space="preserve">온대</x:t>
        </x:is>
      </x:c>
      <x:c r="W632" s="5" t="inlineStr">
        <x:is>
          <x:t xml:space="preserve">보통</x:t>
        </x:is>
      </x:c>
      <x:c r="X632" s="5" t="inlineStr">
        <x:is>
          <x:t xml:space="preserve">무관</x:t>
        </x:is>
      </x:c>
      <x:c r="Y632" s="5" t="inlineStr">
        <x:is>
          <x:t xml:space="preserve">낮</x:t>
        </x:is>
      </x:c>
      <x:c r="Z632" s="5" t="inlineStr">
        <x:is>
          <x:t xml:space="preserve">보통</x:t>
        </x:is>
      </x:c>
      <x:c r="AA632" s="5" t="inlineStr">
        <x:is>
          <x:t xml:space="preserve">없음</x:t>
        </x:is>
      </x:c>
      <x:c r="AB632" s="5" t="inlineStr">
        <x:is>
          <x:t xml:space="preserve">산악</x:t>
        </x:is>
      </x:c>
      <x:c r="AC632" s="5" t="inlineStr">
        <x:is>
          <x:t xml:space="preserve">gen5; unovan_form</x:t>
        </x:is>
      </x:c>
      <x:c r="AD632" s="5" t="inlineStr">
        <x:is>
          <x:t xml:space="preserve">.tmp/cobblemon-1.7.3-source/common/src/main/resources/data/cobblemon/species/generation5/braviary.json</x:t>
        </x:is>
      </x:c>
    </x:row>
    <x:row r="633" ht="22" customHeight="1">
      <x:c r="A633" s="5" t="n">
        <x:v>629</x:v>
      </x:c>
      <x:c r="B633" s="5" t="inlineStr">
        <x:is>
          <x:t xml:space="preserve">벌차이</x:t>
        </x:is>
      </x:c>
      <x:c r="C633" s="5" t="inlineStr">
        <x:is>
          <x:t xml:space="preserve">vullaby</x:t>
        </x:is>
      </x:c>
      <x:c r="D633" s="5" t="inlineStr">
        <x:is>
          <x:t xml:space="preserve">Vullaby</x:t>
        </x:is>
      </x:c>
      <x:c r="E633" s="5" t="n">
        <x:v>5</x:v>
      </x:c>
      <x:c r="F633" s="5" t="inlineStr">
        <x:is>
          <x:t xml:space="preserve">악</x:t>
        </x:is>
      </x:c>
      <x:c r="G633" s="5" t="inlineStr">
        <x:is>
          <x:t xml:space="preserve">비행</x:t>
        </x:is>
      </x:c>
      <x:c r="H633" s="5" t="n">
        <x:v>0.5</x:v>
      </x:c>
      <x:c r="I633" s="5" t="n">
        <x:v>9</x:v>
      </x:c>
      <x:c r="J633" s="5" t="n">
        <x:v>370</x:v>
      </x:c>
      <x:c r="K633" s="5" t="n">
        <x:v>190</x:v>
      </x:c>
      <x:c r="L633" s="5" t="inlineStr">
        <x:is>
          <x:t xml:space="preserve">기본</x:t>
        </x:is>
      </x:c>
      <x:c r="M633" s="5" t="n">
        <x:v>54</x:v>
      </x:c>
      <x:c r="N633" s="5" t="inlineStr">
        <x:is>
          <x:t xml:space="preserve">레벨</x:t>
        </x:is>
      </x:c>
      <x:c r="O633" s="5" t="inlineStr">
        <x:is>
          <x:t xml:space="preserve">아니오</x:t>
        </x:is>
      </x:c>
      <x:c r="P633" s="5" t="inlineStr">
        <x:is>
          <x:t xml:space="preserve">#cobblemon:is_badlands; #cobblemon:is_desert</x:t>
        </x:is>
      </x:c>
      <x:c r="Q633" s="5" t="inlineStr">
        <x:is>
          <x:t xml:space="preserve">common</x:t>
        </x:is>
      </x:c>
      <x:c r="R633" s="5" t="inlineStr">
        <x:is>
          <x:t xml:space="preserve"/>
        </x:is>
      </x:c>
      <x:c r="S633" s="5" t="inlineStr">
        <x:is>
          <x:t xml:space="preserve"/>
        </x:is>
      </x:c>
      <x:c r="T633" s="5" t="inlineStr">
        <x:is>
          <x:t xml:space="preserve">비행</x:t>
        </x:is>
      </x:c>
      <x:c r="U633" s="5" t="inlineStr">
        <x:is>
          <x:t xml:space="preserve">건조</x:t>
        </x:is>
      </x:c>
      <x:c r="V633" s="5" t="inlineStr">
        <x:is>
          <x:t xml:space="preserve">고온</x:t>
        </x:is>
      </x:c>
      <x:c r="W633" s="5" t="inlineStr">
        <x:is>
          <x:t xml:space="preserve">건조</x:t>
        </x:is>
      </x:c>
      <x:c r="X633" s="5" t="inlineStr">
        <x:is>
          <x:t xml:space="preserve">맑음</x:t>
        </x:is>
      </x:c>
      <x:c r="Y633" s="5" t="inlineStr">
        <x:is>
          <x:t xml:space="preserve">밤</x:t>
        </x:is>
      </x:c>
      <x:c r="Z633" s="5" t="inlineStr">
        <x:is>
          <x:t xml:space="preserve">흔함</x:t>
        </x:is>
      </x:c>
      <x:c r="AA633" s="5" t="inlineStr">
        <x:is>
          <x:t xml:space="preserve">없음</x:t>
        </x:is>
      </x:c>
      <x:c r="AB633" s="5" t="inlineStr">
        <x:is>
          <x:t xml:space="preserve">건조지</x:t>
        </x:is>
      </x:c>
      <x:c r="AC633" s="5" t="inlineStr">
        <x:is>
          <x:t xml:space="preserve">gen5</x:t>
        </x:is>
      </x:c>
      <x:c r="AD633" s="5" t="inlineStr">
        <x:is>
          <x:t xml:space="preserve">.tmp/cobblemon-1.7.3-source/common/src/main/resources/data/cobblemon/species/generation5/vullaby.json</x:t>
        </x:is>
      </x:c>
    </x:row>
    <x:row r="634" ht="22" customHeight="1">
      <x:c r="A634" s="5" t="n">
        <x:v>630</x:v>
      </x:c>
      <x:c r="B634" s="5" t="inlineStr">
        <x:is>
          <x:t xml:space="preserve">버랜지나</x:t>
        </x:is>
      </x:c>
      <x:c r="C634" s="5" t="inlineStr">
        <x:is>
          <x:t xml:space="preserve">mandibuzz</x:t>
        </x:is>
      </x:c>
      <x:c r="D634" s="5" t="inlineStr">
        <x:is>
          <x:t xml:space="preserve">Mandibuzz</x:t>
        </x:is>
      </x:c>
      <x:c r="E634" s="5" t="n">
        <x:v>5</x:v>
      </x:c>
      <x:c r="F634" s="5" t="inlineStr">
        <x:is>
          <x:t xml:space="preserve">악</x:t>
        </x:is>
      </x:c>
      <x:c r="G634" s="5" t="inlineStr">
        <x:is>
          <x:t xml:space="preserve">비행</x:t>
        </x:is>
      </x:c>
      <x:c r="H634" s="5" t="n">
        <x:v>1.2</x:v>
      </x:c>
      <x:c r="I634" s="5" t="n">
        <x:v>39.5</x:v>
      </x:c>
      <x:c r="J634" s="5" t="n">
        <x:v>510</x:v>
      </x:c>
      <x:c r="K634" s="5" t="n">
        <x:v>60</x:v>
      </x:c>
      <x:c r="L634" s="5" t="inlineStr">
        <x:is>
          <x:t xml:space="preserve">최종</x:t>
        </x:is>
      </x:c>
      <x:c r="M634" s="5" t="n">
        <x:v>54</x:v>
      </x:c>
      <x:c r="N634" s="5" t="inlineStr">
        <x:is>
          <x:t xml:space="preserve">레벨</x:t>
        </x:is>
      </x:c>
      <x:c r="O634" s="5" t="inlineStr">
        <x:is>
          <x:t xml:space="preserve">아니오</x:t>
        </x:is>
      </x:c>
      <x:c r="P634" s="5" t="inlineStr">
        <x:is>
          <x:t xml:space="preserve">#cobblemon:is_badlands; #cobblemon:is_desert</x:t>
        </x:is>
      </x:c>
      <x:c r="Q634" s="5" t="inlineStr">
        <x:is>
          <x:t xml:space="preserve">uncommon</x:t>
        </x:is>
      </x:c>
      <x:c r="R634" s="5" t="inlineStr">
        <x:is>
          <x:t xml:space="preserve"/>
        </x:is>
      </x:c>
      <x:c r="S634" s="5" t="inlineStr">
        <x:is>
          <x:t xml:space="preserve"/>
        </x:is>
      </x:c>
      <x:c r="T634" s="5" t="inlineStr">
        <x:is>
          <x:t xml:space="preserve">비행</x:t>
        </x:is>
      </x:c>
      <x:c r="U634" s="5" t="inlineStr">
        <x:is>
          <x:t xml:space="preserve">건조</x:t>
        </x:is>
      </x:c>
      <x:c r="V634" s="5" t="inlineStr">
        <x:is>
          <x:t xml:space="preserve">고온</x:t>
        </x:is>
      </x:c>
      <x:c r="W634" s="5" t="inlineStr">
        <x:is>
          <x:t xml:space="preserve">건조</x:t>
        </x:is>
      </x:c>
      <x:c r="X634" s="5" t="inlineStr">
        <x:is>
          <x:t xml:space="preserve">맑음</x:t>
        </x:is>
      </x:c>
      <x:c r="Y634" s="5" t="inlineStr">
        <x:is>
          <x:t xml:space="preserve">밤</x:t>
        </x:is>
      </x:c>
      <x:c r="Z634" s="5" t="inlineStr">
        <x:is>
          <x:t xml:space="preserve">보통</x:t>
        </x:is>
      </x:c>
      <x:c r="AA634" s="5" t="inlineStr">
        <x:is>
          <x:t xml:space="preserve">없음</x:t>
        </x:is>
      </x:c>
      <x:c r="AB634" s="5" t="inlineStr">
        <x:is>
          <x:t xml:space="preserve">건조지</x:t>
        </x:is>
      </x:c>
      <x:c r="AC634" s="5" t="inlineStr">
        <x:is>
          <x:t xml:space="preserve">gen5</x:t>
        </x:is>
      </x:c>
      <x:c r="AD634" s="5" t="inlineStr">
        <x:is>
          <x:t xml:space="preserve">.tmp/cobblemon-1.7.3-source/common/src/main/resources/data/cobblemon/species/generation5/mandibuzz.json</x:t>
        </x:is>
      </x:c>
    </x:row>
    <x:row r="635" ht="22" customHeight="1">
      <x:c r="A635" s="5" t="n">
        <x:v>631</x:v>
      </x:c>
      <x:c r="B635" s="5" t="inlineStr">
        <x:is>
          <x:t xml:space="preserve">앤티골</x:t>
        </x:is>
      </x:c>
      <x:c r="C635" s="5" t="inlineStr">
        <x:is>
          <x:t xml:space="preserve">heatmor</x:t>
        </x:is>
      </x:c>
      <x:c r="D635" s="5" t="inlineStr">
        <x:is>
          <x:t xml:space="preserve">Heatmor</x:t>
        </x:is>
      </x:c>
      <x:c r="E635" s="5" t="n">
        <x:v>5</x:v>
      </x:c>
      <x:c r="F635" s="5" t="inlineStr">
        <x:is>
          <x:t xml:space="preserve">불꽃</x:t>
        </x:is>
      </x:c>
      <x:c r="G635" s="5" t="inlineStr">
        <x:is>
          <x:t xml:space="preserve"/>
        </x:is>
      </x:c>
      <x:c r="H635" s="5" t="n">
        <x:v>1.4</x:v>
      </x:c>
      <x:c r="I635" s="5" t="n">
        <x:v>58</x:v>
      </x:c>
      <x:c r="J635" s="5" t="n">
        <x:v>484</x:v>
      </x:c>
      <x:c r="K635" s="5" t="n">
        <x:v>90</x:v>
      </x:c>
      <x:c r="L635" s="5" t="inlineStr">
        <x:is>
          <x:t xml:space="preserve">무진화</x:t>
        </x:is>
      </x:c>
      <x:c r="M635" s="5" t="n"/>
      <x:c r="N635" s="5" t="inlineStr">
        <x:is>
          <x:t xml:space="preserve">없음</x:t>
        </x:is>
      </x:c>
      <x:c r="O635" s="5" t="inlineStr">
        <x:is>
          <x:t xml:space="preserve">예</x:t>
        </x:is>
      </x:c>
      <x:c r="P635" s="5" t="inlineStr">
        <x:is>
          <x:t xml:space="preserve">#cobblemon:is_badlands; #cobblemon:is_hills; #cobblemon:nether/is_mountain</x:t>
        </x:is>
      </x:c>
      <x:c r="Q635" s="5" t="inlineStr">
        <x:is>
          <x:t xml:space="preserve">common; uncommon</x:t>
        </x:is>
      </x:c>
      <x:c r="R635" s="5" t="inlineStr">
        <x:is>
          <x:t xml:space="preserve"/>
        </x:is>
      </x:c>
      <x:c r="S635" s="5" t="inlineStr">
        <x:is>
          <x:t xml:space="preserve"/>
        </x:is>
      </x:c>
      <x:c r="T635" s="5" t="inlineStr">
        <x:is>
          <x:t xml:space="preserve">육상</x:t>
        </x:is>
      </x:c>
      <x:c r="U635" s="5" t="inlineStr">
        <x:is>
          <x:t xml:space="preserve">암석</x:t>
        </x:is>
      </x:c>
      <x:c r="V635" s="5" t="inlineStr">
        <x:is>
          <x:t xml:space="preserve">고온</x:t>
        </x:is>
      </x:c>
      <x:c r="W635" s="5" t="inlineStr">
        <x:is>
          <x:t xml:space="preserve">보통</x:t>
        </x:is>
      </x:c>
      <x:c r="X635" s="5" t="inlineStr">
        <x:is>
          <x:t xml:space="preserve">무관</x:t>
        </x:is>
      </x:c>
      <x:c r="Y635" s="5" t="inlineStr">
        <x:is>
          <x:t xml:space="preserve">무관</x:t>
        </x:is>
      </x:c>
      <x:c r="Z635" s="5" t="inlineStr">
        <x:is>
          <x:t xml:space="preserve">보통</x:t>
        </x:is>
      </x:c>
      <x:c r="AA635" s="5" t="inlineStr">
        <x:is>
          <x:t xml:space="preserve">없음</x:t>
        </x:is>
      </x:c>
      <x:c r="AB635" s="5" t="inlineStr">
        <x:is>
          <x:t xml:space="preserve">산악</x:t>
        </x:is>
      </x:c>
      <x:c r="AC635" s="5" t="inlineStr">
        <x:is>
          <x:t xml:space="preserve">gen5</x:t>
        </x:is>
      </x:c>
      <x:c r="AD635" s="5" t="inlineStr">
        <x:is>
          <x:t xml:space="preserve">.tmp/cobblemon-1.7.3-source/common/src/main/resources/data/cobblemon/species/generation5/heatmor.json</x:t>
        </x:is>
      </x:c>
    </x:row>
    <x:row r="636" ht="22" customHeight="1">
      <x:c r="A636" s="5" t="n">
        <x:v>632</x:v>
      </x:c>
      <x:c r="B636" s="5" t="inlineStr">
        <x:is>
          <x:t xml:space="preserve">아이앤트</x:t>
        </x:is>
      </x:c>
      <x:c r="C636" s="5" t="inlineStr">
        <x:is>
          <x:t xml:space="preserve">durant</x:t>
        </x:is>
      </x:c>
      <x:c r="D636" s="5" t="inlineStr">
        <x:is>
          <x:t xml:space="preserve">Durant</x:t>
        </x:is>
      </x:c>
      <x:c r="E636" s="5" t="n">
        <x:v>5</x:v>
      </x:c>
      <x:c r="F636" s="5" t="inlineStr">
        <x:is>
          <x:t xml:space="preserve">벌레</x:t>
        </x:is>
      </x:c>
      <x:c r="G636" s="5" t="inlineStr">
        <x:is>
          <x:t xml:space="preserve">강철</x:t>
        </x:is>
      </x:c>
      <x:c r="H636" s="5" t="n">
        <x:v>0.3</x:v>
      </x:c>
      <x:c r="I636" s="5" t="n">
        <x:v>33</x:v>
      </x:c>
      <x:c r="J636" s="5" t="n">
        <x:v>484</x:v>
      </x:c>
      <x:c r="K636" s="5" t="n">
        <x:v>90</x:v>
      </x:c>
      <x:c r="L636" s="5" t="inlineStr">
        <x:is>
          <x:t xml:space="preserve">무진화</x:t>
        </x:is>
      </x:c>
      <x:c r="M636" s="5" t="n"/>
      <x:c r="N636" s="5" t="inlineStr">
        <x:is>
          <x:t xml:space="preserve">없음</x:t>
        </x:is>
      </x:c>
      <x:c r="O636" s="5" t="inlineStr">
        <x:is>
          <x:t xml:space="preserve">예</x:t>
        </x:is>
      </x:c>
      <x:c r="P636" s="5" t="inlineStr">
        <x:is>
          <x:t xml:space="preserve">#cobblemon:is_badlands; #cobblemon:is_hills; #cobblemon:nether/is_mountain</x:t>
        </x:is>
      </x:c>
      <x:c r="Q636" s="5" t="inlineStr">
        <x:is>
          <x:t xml:space="preserve">common</x:t>
        </x:is>
      </x:c>
      <x:c r="R636" s="5" t="inlineStr">
        <x:is>
          <x:t xml:space="preserve"/>
        </x:is>
      </x:c>
      <x:c r="S636" s="5" t="inlineStr">
        <x:is>
          <x:t xml:space="preserve"/>
        </x:is>
      </x:c>
      <x:c r="T636" s="5" t="inlineStr">
        <x:is>
          <x:t xml:space="preserve">육상</x:t>
        </x:is>
      </x:c>
      <x:c r="U636" s="5" t="inlineStr">
        <x:is>
          <x:t xml:space="preserve">암석</x:t>
        </x:is>
      </x:c>
      <x:c r="V636" s="5" t="inlineStr">
        <x:is>
          <x:t xml:space="preserve">온대</x:t>
        </x:is>
      </x:c>
      <x:c r="W636" s="5" t="inlineStr">
        <x:is>
          <x:t xml:space="preserve">보통</x:t>
        </x:is>
      </x:c>
      <x:c r="X636" s="5" t="inlineStr">
        <x:is>
          <x:t xml:space="preserve">무관</x:t>
        </x:is>
      </x:c>
      <x:c r="Y636" s="5" t="inlineStr">
        <x:is>
          <x:t xml:space="preserve">무관</x:t>
        </x:is>
      </x:c>
      <x:c r="Z636" s="5" t="inlineStr">
        <x:is>
          <x:t xml:space="preserve">흔함</x:t>
        </x:is>
      </x:c>
      <x:c r="AA636" s="5" t="inlineStr">
        <x:is>
          <x:t xml:space="preserve">없음</x:t>
        </x:is>
      </x:c>
      <x:c r="AB636" s="5" t="inlineStr">
        <x:is>
          <x:t xml:space="preserve">산악</x:t>
        </x:is>
      </x:c>
      <x:c r="AC636" s="5" t="inlineStr">
        <x:is>
          <x:t xml:space="preserve">gen5</x:t>
        </x:is>
      </x:c>
      <x:c r="AD636" s="5" t="inlineStr">
        <x:is>
          <x:t xml:space="preserve">.tmp/cobblemon-1.7.3-source/common/src/main/resources/data/cobblemon/species/generation5/durant.json</x:t>
        </x:is>
      </x:c>
    </x:row>
    <x:row r="637" ht="22" customHeight="1">
      <x:c r="A637" s="5" t="n">
        <x:v>633</x:v>
      </x:c>
      <x:c r="B637" s="5" t="inlineStr">
        <x:is>
          <x:t xml:space="preserve">모노두</x:t>
        </x:is>
      </x:c>
      <x:c r="C637" s="5" t="inlineStr">
        <x:is>
          <x:t xml:space="preserve">deino</x:t>
        </x:is>
      </x:c>
      <x:c r="D637" s="5" t="inlineStr">
        <x:is>
          <x:t xml:space="preserve">Deino</x:t>
        </x:is>
      </x:c>
      <x:c r="E637" s="5" t="n">
        <x:v>5</x:v>
      </x:c>
      <x:c r="F637" s="5" t="inlineStr">
        <x:is>
          <x:t xml:space="preserve">악</x:t>
        </x:is>
      </x:c>
      <x:c r="G637" s="5" t="inlineStr">
        <x:is>
          <x:t xml:space="preserve">드래곤</x:t>
        </x:is>
      </x:c>
      <x:c r="H637" s="5" t="n">
        <x:v>0.8</x:v>
      </x:c>
      <x:c r="I637" s="5" t="n">
        <x:v>17.3</x:v>
      </x:c>
      <x:c r="J637" s="5" t="n">
        <x:v>300</x:v>
      </x:c>
      <x:c r="K637" s="5" t="n">
        <x:v>45</x:v>
      </x:c>
      <x:c r="L637" s="5" t="inlineStr">
        <x:is>
          <x:t xml:space="preserve">기본</x:t>
        </x:is>
      </x:c>
      <x:c r="M637" s="5" t="n">
        <x:v>64</x:v>
      </x:c>
      <x:c r="N637" s="5" t="inlineStr">
        <x:is>
          <x:t xml:space="preserve">레벨</x:t>
        </x:is>
      </x:c>
      <x:c r="O637" s="5" t="inlineStr">
        <x:is>
          <x:t xml:space="preserve">예</x:t>
        </x:is>
      </x:c>
      <x:c r="P637" s="5" t="inlineStr">
        <x:is>
          <x:t xml:space="preserve">#aether:is_aether; #cobblemon:is_deep_dark; #cobblemon:is_overworld</x:t>
        </x:is>
      </x:c>
      <x:c r="Q637" s="5" t="inlineStr">
        <x:is>
          <x:t xml:space="preserve">rare; ultra-rare</x:t>
        </x:is>
      </x:c>
      <x:c r="R637" s="5" t="inlineStr">
        <x:is>
          <x:t xml:space="preserve"/>
        </x:is>
      </x:c>
      <x:c r="S637" s="5" t="inlineStr">
        <x:is>
          <x:t xml:space="preserve"/>
        </x:is>
      </x:c>
      <x:c r="T637" s="5" t="inlineStr">
        <x:is>
          <x:t xml:space="preserve">지하</x:t>
        </x:is>
      </x:c>
      <x:c r="U637" s="5" t="inlineStr">
        <x:is>
          <x:t xml:space="preserve">동굴</x:t>
        </x:is>
      </x:c>
      <x:c r="V637" s="5" t="inlineStr">
        <x:is>
          <x:t xml:space="preserve">온대</x:t>
        </x:is>
      </x:c>
      <x:c r="W637" s="5" t="inlineStr">
        <x:is>
          <x:t xml:space="preserve">보통</x:t>
        </x:is>
      </x:c>
      <x:c r="X637" s="5" t="inlineStr">
        <x:is>
          <x:t xml:space="preserve">무관</x:t>
        </x:is>
      </x:c>
      <x:c r="Y637" s="5" t="inlineStr">
        <x:is>
          <x:t xml:space="preserve">밤</x:t>
        </x:is>
      </x:c>
      <x:c r="Z637" s="5" t="inlineStr">
        <x:is>
          <x:t xml:space="preserve">희귀</x:t>
        </x:is>
      </x:c>
      <x:c r="AA637" s="5" t="inlineStr">
        <x:is>
          <x:t xml:space="preserve">동굴</x:t>
        </x:is>
      </x:c>
      <x:c r="AB637" s="5" t="inlineStr">
        <x:is>
          <x:t xml:space="preserve">동굴</x:t>
        </x:is>
      </x:c>
      <x:c r="AC637" s="5" t="inlineStr">
        <x:is>
          <x:t xml:space="preserve">gen5</x:t>
        </x:is>
      </x:c>
      <x:c r="AD637" s="5" t="inlineStr">
        <x:is>
          <x:t xml:space="preserve">.tmp/cobblemon-1.7.3-source/common/src/main/resources/data/cobblemon/species/generation5/deino.json</x:t>
        </x:is>
      </x:c>
    </x:row>
    <x:row r="638" ht="22" customHeight="1">
      <x:c r="A638" s="5" t="n">
        <x:v>634</x:v>
      </x:c>
      <x:c r="B638" s="5" t="inlineStr">
        <x:is>
          <x:t xml:space="preserve">디헤드</x:t>
        </x:is>
      </x:c>
      <x:c r="C638" s="5" t="inlineStr">
        <x:is>
          <x:t xml:space="preserve">zweilous</x:t>
        </x:is>
      </x:c>
      <x:c r="D638" s="5" t="inlineStr">
        <x:is>
          <x:t xml:space="preserve">Zweilous</x:t>
        </x:is>
      </x:c>
      <x:c r="E638" s="5" t="n">
        <x:v>5</x:v>
      </x:c>
      <x:c r="F638" s="5" t="inlineStr">
        <x:is>
          <x:t xml:space="preserve">악</x:t>
        </x:is>
      </x:c>
      <x:c r="G638" s="5" t="inlineStr">
        <x:is>
          <x:t xml:space="preserve">드래곤</x:t>
        </x:is>
      </x:c>
      <x:c r="H638" s="5" t="n">
        <x:v>1.4</x:v>
      </x:c>
      <x:c r="I638" s="5" t="n">
        <x:v>50</x:v>
      </x:c>
      <x:c r="J638" s="5" t="n">
        <x:v>420</x:v>
      </x:c>
      <x:c r="K638" s="5" t="n">
        <x:v>45</x:v>
      </x:c>
      <x:c r="L638" s="5" t="inlineStr">
        <x:is>
          <x:t xml:space="preserve">중간</x:t>
        </x:is>
      </x:c>
      <x:c r="M638" s="5" t="n">
        <x:v>64</x:v>
      </x:c>
      <x:c r="N638" s="5" t="inlineStr">
        <x:is>
          <x:t xml:space="preserve">레벨</x:t>
        </x:is>
      </x:c>
      <x:c r="O638" s="5" t="inlineStr">
        <x:is>
          <x:t xml:space="preserve">예</x:t>
        </x:is>
      </x:c>
      <x:c r="P638" s="5" t="inlineStr">
        <x:is>
          <x:t xml:space="preserve">#aether:is_aether; #cobblemon:is_deep_dark; #cobblemon:is_overworld</x:t>
        </x:is>
      </x:c>
      <x:c r="Q638" s="5" t="inlineStr">
        <x:is>
          <x:t xml:space="preserve">rare; ultra-rare</x:t>
        </x:is>
      </x:c>
      <x:c r="R638" s="5" t="inlineStr">
        <x:is>
          <x:t xml:space="preserve"/>
        </x:is>
      </x:c>
      <x:c r="S638" s="5" t="inlineStr">
        <x:is>
          <x:t xml:space="preserve"/>
        </x:is>
      </x:c>
      <x:c r="T638" s="5" t="inlineStr">
        <x:is>
          <x:t xml:space="preserve">지하</x:t>
        </x:is>
      </x:c>
      <x:c r="U638" s="5" t="inlineStr">
        <x:is>
          <x:t xml:space="preserve">동굴</x:t>
        </x:is>
      </x:c>
      <x:c r="V638" s="5" t="inlineStr">
        <x:is>
          <x:t xml:space="preserve">온대</x:t>
        </x:is>
      </x:c>
      <x:c r="W638" s="5" t="inlineStr">
        <x:is>
          <x:t xml:space="preserve">보통</x:t>
        </x:is>
      </x:c>
      <x:c r="X638" s="5" t="inlineStr">
        <x:is>
          <x:t xml:space="preserve">무관</x:t>
        </x:is>
      </x:c>
      <x:c r="Y638" s="5" t="inlineStr">
        <x:is>
          <x:t xml:space="preserve">밤</x:t>
        </x:is>
      </x:c>
      <x:c r="Z638" s="5" t="inlineStr">
        <x:is>
          <x:t xml:space="preserve">희귀</x:t>
        </x:is>
      </x:c>
      <x:c r="AA638" s="5" t="inlineStr">
        <x:is>
          <x:t xml:space="preserve">동굴</x:t>
        </x:is>
      </x:c>
      <x:c r="AB638" s="5" t="inlineStr">
        <x:is>
          <x:t xml:space="preserve">동굴</x:t>
        </x:is>
      </x:c>
      <x:c r="AC638" s="5" t="inlineStr">
        <x:is>
          <x:t xml:space="preserve">gen5</x:t>
        </x:is>
      </x:c>
      <x:c r="AD638" s="5" t="inlineStr">
        <x:is>
          <x:t xml:space="preserve">.tmp/cobblemon-1.7.3-source/common/src/main/resources/data/cobblemon/species/generation5/zweilous.json</x:t>
        </x:is>
      </x:c>
    </x:row>
    <x:row r="639" ht="22" customHeight="1">
      <x:c r="A639" s="5" t="n">
        <x:v>635</x:v>
      </x:c>
      <x:c r="B639" s="5" t="inlineStr">
        <x:is>
          <x:t xml:space="preserve">삼삼드래</x:t>
        </x:is>
      </x:c>
      <x:c r="C639" s="5" t="inlineStr">
        <x:is>
          <x:t xml:space="preserve">hydreigon</x:t>
        </x:is>
      </x:c>
      <x:c r="D639" s="5" t="inlineStr">
        <x:is>
          <x:t xml:space="preserve">Hydreigon</x:t>
        </x:is>
      </x:c>
      <x:c r="E639" s="5" t="n">
        <x:v>5</x:v>
      </x:c>
      <x:c r="F639" s="5" t="inlineStr">
        <x:is>
          <x:t xml:space="preserve">악</x:t>
        </x:is>
      </x:c>
      <x:c r="G639" s="5" t="inlineStr">
        <x:is>
          <x:t xml:space="preserve">드래곤</x:t>
        </x:is>
      </x:c>
      <x:c r="H639" s="5" t="n">
        <x:v>1.8</x:v>
      </x:c>
      <x:c r="I639" s="5" t="n">
        <x:v>160</x:v>
      </x:c>
      <x:c r="J639" s="5" t="n">
        <x:v>600</x:v>
      </x:c>
      <x:c r="K639" s="5" t="n">
        <x:v>45</x:v>
      </x:c>
      <x:c r="L639" s="5" t="inlineStr">
        <x:is>
          <x:t xml:space="preserve">최종</x:t>
        </x:is>
      </x:c>
      <x:c r="M639" s="5" t="n">
        <x:v>64</x:v>
      </x:c>
      <x:c r="N639" s="5" t="inlineStr">
        <x:is>
          <x:t xml:space="preserve">레벨</x:t>
        </x:is>
      </x:c>
      <x:c r="O639" s="5" t="inlineStr">
        <x:is>
          <x:t xml:space="preserve">예</x:t>
        </x:is>
      </x:c>
      <x:c r="P639" s="5" t="inlineStr">
        <x:is>
          <x:t xml:space="preserve">#aether:is_aether; #cobblemon:is_deep_dark; #cobblemon:is_overworld</x:t>
        </x:is>
      </x:c>
      <x:c r="Q639" s="5" t="inlineStr">
        <x:is>
          <x:t xml:space="preserve">rare; ultra-rare</x:t>
        </x:is>
      </x:c>
      <x:c r="R639" s="5" t="inlineStr">
        <x:is>
          <x:t xml:space="preserve"/>
        </x:is>
      </x:c>
      <x:c r="S639" s="5" t="inlineStr">
        <x:is>
          <x:t xml:space="preserve"/>
        </x:is>
      </x:c>
      <x:c r="T639" s="5" t="inlineStr">
        <x:is>
          <x:t xml:space="preserve">지하</x:t>
        </x:is>
      </x:c>
      <x:c r="U639" s="5" t="inlineStr">
        <x:is>
          <x:t xml:space="preserve">동굴</x:t>
        </x:is>
      </x:c>
      <x:c r="V639" s="5" t="inlineStr">
        <x:is>
          <x:t xml:space="preserve">온대</x:t>
        </x:is>
      </x:c>
      <x:c r="W639" s="5" t="inlineStr">
        <x:is>
          <x:t xml:space="preserve">보통</x:t>
        </x:is>
      </x:c>
      <x:c r="X639" s="5" t="inlineStr">
        <x:is>
          <x:t xml:space="preserve">무관</x:t>
        </x:is>
      </x:c>
      <x:c r="Y639" s="5" t="inlineStr">
        <x:is>
          <x:t xml:space="preserve">밤</x:t>
        </x:is>
      </x:c>
      <x:c r="Z639" s="5" t="inlineStr">
        <x:is>
          <x:t xml:space="preserve">희귀</x:t>
        </x:is>
      </x:c>
      <x:c r="AA639" s="5" t="inlineStr">
        <x:is>
          <x:t xml:space="preserve">동굴</x:t>
        </x:is>
      </x:c>
      <x:c r="AB639" s="5" t="inlineStr">
        <x:is>
          <x:t xml:space="preserve">동굴</x:t>
        </x:is>
      </x:c>
      <x:c r="AC639" s="5" t="inlineStr">
        <x:is>
          <x:t xml:space="preserve">gen5; powerhouse</x:t>
        </x:is>
      </x:c>
      <x:c r="AD639" s="5" t="inlineStr">
        <x:is>
          <x:t xml:space="preserve">.tmp/cobblemon-1.7.3-source/common/src/main/resources/data/cobblemon/species/generation5/hydreigon.json</x:t>
        </x:is>
      </x:c>
    </x:row>
    <x:row r="640" ht="22" customHeight="1">
      <x:c r="A640" s="5" t="n">
        <x:v>636</x:v>
      </x:c>
      <x:c r="B640" s="5" t="inlineStr">
        <x:is>
          <x:t xml:space="preserve">활화르바</x:t>
        </x:is>
      </x:c>
      <x:c r="C640" s="5" t="inlineStr">
        <x:is>
          <x:t xml:space="preserve">larvesta</x:t>
        </x:is>
      </x:c>
      <x:c r="D640" s="5" t="inlineStr">
        <x:is>
          <x:t xml:space="preserve">Larvesta</x:t>
        </x:is>
      </x:c>
      <x:c r="E640" s="5" t="n">
        <x:v>5</x:v>
      </x:c>
      <x:c r="F640" s="5" t="inlineStr">
        <x:is>
          <x:t xml:space="preserve">벌레</x:t>
        </x:is>
      </x:c>
      <x:c r="G640" s="5" t="inlineStr">
        <x:is>
          <x:t xml:space="preserve">불꽃</x:t>
        </x:is>
      </x:c>
      <x:c r="H640" s="5" t="n">
        <x:v>1.1</x:v>
      </x:c>
      <x:c r="I640" s="5" t="n">
        <x:v>28.8</x:v>
      </x:c>
      <x:c r="J640" s="5" t="n">
        <x:v>360</x:v>
      </x:c>
      <x:c r="K640" s="5" t="n">
        <x:v>45</x:v>
      </x:c>
      <x:c r="L640" s="5" t="inlineStr">
        <x:is>
          <x:t xml:space="preserve">기본</x:t>
        </x:is>
      </x:c>
      <x:c r="M640" s="5" t="n">
        <x:v>59</x:v>
      </x:c>
      <x:c r="N640" s="5" t="inlineStr">
        <x:is>
          <x:t xml:space="preserve">레벨</x:t>
        </x:is>
      </x:c>
      <x:c r="O640" s="5" t="inlineStr">
        <x:is>
          <x:t xml:space="preserve">예</x:t>
        </x:is>
      </x:c>
      <x:c r="P640" s="5" t="inlineStr">
        <x:is>
          <x:t xml:space="preserve">#aether:is_aether; #cobblemon:is_desert; #cobblemon:is_jungle; #cobblemon:nether/is_crimson; #cobblemon:nether/is_forest</x:t>
        </x:is>
      </x:c>
      <x:c r="Q640" s="5" t="inlineStr">
        <x:is>
          <x:t xml:space="preserve">uncommon</x:t>
        </x:is>
      </x:c>
      <x:c r="R640" s="5" t="inlineStr">
        <x:is>
          <x:t xml:space="preserve"/>
        </x:is>
      </x:c>
      <x:c r="S640" s="5" t="inlineStr">
        <x:is>
          <x:t xml:space="preserve"/>
        </x:is>
      </x:c>
      <x:c r="T640" s="5" t="inlineStr">
        <x:is>
          <x:t xml:space="preserve">육상</x:t>
        </x:is>
      </x:c>
      <x:c r="U640" s="5" t="inlineStr">
        <x:is>
          <x:t xml:space="preserve">화산</x:t>
        </x:is>
      </x:c>
      <x:c r="V640" s="5" t="inlineStr">
        <x:is>
          <x:t xml:space="preserve">고온</x:t>
        </x:is>
      </x:c>
      <x:c r="W640" s="5" t="inlineStr">
        <x:is>
          <x:t xml:space="preserve">다습</x:t>
        </x:is>
      </x:c>
      <x:c r="X640" s="5" t="inlineStr">
        <x:is>
          <x:t xml:space="preserve">맑음</x:t>
        </x:is>
      </x:c>
      <x:c r="Y640" s="5" t="inlineStr">
        <x:is>
          <x:t xml:space="preserve">무관</x:t>
        </x:is>
      </x:c>
      <x:c r="Z640" s="5" t="inlineStr">
        <x:is>
          <x:t xml:space="preserve">보통</x:t>
        </x:is>
      </x:c>
      <x:c r="AA640" s="5" t="inlineStr">
        <x:is>
          <x:t xml:space="preserve">화산</x:t>
        </x:is>
      </x:c>
      <x:c r="AB640" s="5" t="inlineStr">
        <x:is>
          <x:t xml:space="preserve">화산</x:t>
        </x:is>
      </x:c>
      <x:c r="AC640" s="5" t="inlineStr">
        <x:is>
          <x:t xml:space="preserve">gen5</x:t>
        </x:is>
      </x:c>
      <x:c r="AD640" s="5" t="inlineStr">
        <x:is>
          <x:t xml:space="preserve">.tmp/cobblemon-1.7.3-source/common/src/main/resources/data/cobblemon/species/generation5/larvesta.json</x:t>
        </x:is>
      </x:c>
    </x:row>
    <x:row r="641" ht="22" customHeight="1">
      <x:c r="A641" s="5" t="n">
        <x:v>637</x:v>
      </x:c>
      <x:c r="B641" s="5" t="inlineStr">
        <x:is>
          <x:t xml:space="preserve">불카모스</x:t>
        </x:is>
      </x:c>
      <x:c r="C641" s="5" t="inlineStr">
        <x:is>
          <x:t xml:space="preserve">volcarona</x:t>
        </x:is>
      </x:c>
      <x:c r="D641" s="5" t="inlineStr">
        <x:is>
          <x:t xml:space="preserve">Volcarona</x:t>
        </x:is>
      </x:c>
      <x:c r="E641" s="5" t="n">
        <x:v>5</x:v>
      </x:c>
      <x:c r="F641" s="5" t="inlineStr">
        <x:is>
          <x:t xml:space="preserve">벌레</x:t>
        </x:is>
      </x:c>
      <x:c r="G641" s="5" t="inlineStr">
        <x:is>
          <x:t xml:space="preserve">불꽃</x:t>
        </x:is>
      </x:c>
      <x:c r="H641" s="5" t="n">
        <x:v>1.6</x:v>
      </x:c>
      <x:c r="I641" s="5" t="n">
        <x:v>46</x:v>
      </x:c>
      <x:c r="J641" s="5" t="n">
        <x:v>550</x:v>
      </x:c>
      <x:c r="K641" s="5" t="n">
        <x:v>15</x:v>
      </x:c>
      <x:c r="L641" s="5" t="inlineStr">
        <x:is>
          <x:t xml:space="preserve">최종</x:t>
        </x:is>
      </x:c>
      <x:c r="M641" s="5" t="n">
        <x:v>59</x:v>
      </x:c>
      <x:c r="N641" s="5" t="inlineStr">
        <x:is>
          <x:t xml:space="preserve">레벨</x:t>
        </x:is>
      </x:c>
      <x:c r="O641" s="5" t="inlineStr">
        <x:is>
          <x:t xml:space="preserve">예</x:t>
        </x:is>
      </x:c>
      <x:c r="P641" s="5" t="inlineStr">
        <x:is>
          <x:t xml:space="preserve">#aether:is_aether; #cobblemon:is_desert; #cobblemon:is_jungle; #cobblemon:nether/is_crimson; #cobblemon:nether/is_forest</x:t>
        </x:is>
      </x:c>
      <x:c r="Q641" s="5" t="inlineStr">
        <x:is>
          <x:t xml:space="preserve">uncommon</x:t>
        </x:is>
      </x:c>
      <x:c r="R641" s="5" t="inlineStr">
        <x:is>
          <x:t xml:space="preserve"/>
        </x:is>
      </x:c>
      <x:c r="S641" s="5" t="inlineStr">
        <x:is>
          <x:t xml:space="preserve"/>
        </x:is>
      </x:c>
      <x:c r="T641" s="5" t="inlineStr">
        <x:is>
          <x:t xml:space="preserve">비행</x:t>
        </x:is>
      </x:c>
      <x:c r="U641" s="5" t="inlineStr">
        <x:is>
          <x:t xml:space="preserve">화산</x:t>
        </x:is>
      </x:c>
      <x:c r="V641" s="5" t="inlineStr">
        <x:is>
          <x:t xml:space="preserve">고온</x:t>
        </x:is>
      </x:c>
      <x:c r="W641" s="5" t="inlineStr">
        <x:is>
          <x:t xml:space="preserve">다습</x:t>
        </x:is>
      </x:c>
      <x:c r="X641" s="5" t="inlineStr">
        <x:is>
          <x:t xml:space="preserve">맑음</x:t>
        </x:is>
      </x:c>
      <x:c r="Y641" s="5" t="inlineStr">
        <x:is>
          <x:t xml:space="preserve">무관</x:t>
        </x:is>
      </x:c>
      <x:c r="Z641" s="5" t="inlineStr">
        <x:is>
          <x:t xml:space="preserve">보통</x:t>
        </x:is>
      </x:c>
      <x:c r="AA641" s="5" t="inlineStr">
        <x:is>
          <x:t xml:space="preserve">화산</x:t>
        </x:is>
      </x:c>
      <x:c r="AB641" s="5" t="inlineStr">
        <x:is>
          <x:t xml:space="preserve">화산</x:t>
        </x:is>
      </x:c>
      <x:c r="AC641" s="5" t="inlineStr">
        <x:is>
          <x:t xml:space="preserve">gen5</x:t>
        </x:is>
      </x:c>
      <x:c r="AD641" s="5" t="inlineStr">
        <x:is>
          <x:t xml:space="preserve">.tmp/cobblemon-1.7.3-source/common/src/main/resources/data/cobblemon/species/generation5/volcarona.json</x:t>
        </x:is>
      </x:c>
    </x:row>
    <x:row r="642" ht="22" customHeight="1">
      <x:c r="A642" s="5" t="n">
        <x:v>638</x:v>
      </x:c>
      <x:c r="B642" s="5" t="inlineStr">
        <x:is>
          <x:t xml:space="preserve">코바르온</x:t>
        </x:is>
      </x:c>
      <x:c r="C642" s="5" t="inlineStr">
        <x:is>
          <x:t xml:space="preserve">cobalion</x:t>
        </x:is>
      </x:c>
      <x:c r="D642" s="5" t="inlineStr">
        <x:is>
          <x:t xml:space="preserve">Cobalion</x:t>
        </x:is>
      </x:c>
      <x:c r="E642" s="5" t="n">
        <x:v>5</x:v>
      </x:c>
      <x:c r="F642" s="5" t="inlineStr">
        <x:is>
          <x:t xml:space="preserve">강철</x:t>
        </x:is>
      </x:c>
      <x:c r="G642" s="5" t="inlineStr">
        <x:is>
          <x:t xml:space="preserve">격투</x:t>
        </x:is>
      </x:c>
      <x:c r="H642" s="5" t="n">
        <x:v>2.1</x:v>
      </x:c>
      <x:c r="I642" s="5" t="n">
        <x:v>250</x:v>
      </x:c>
      <x:c r="J642" s="5" t="n">
        <x:v>580</x:v>
      </x:c>
      <x:c r="K642" s="5" t="n">
        <x:v>3</x:v>
      </x:c>
      <x:c r="L642" s="5" t="inlineStr">
        <x:is>
          <x:t xml:space="preserve">무진화</x:t>
        </x:is>
      </x:c>
      <x:c r="M642" s="5" t="n"/>
      <x:c r="N642" s="5" t="inlineStr">
        <x:is>
          <x:t xml:space="preserve">없음</x:t>
        </x:is>
      </x:c>
      <x:c r="O642" s="5" t="inlineStr">
        <x:is>
          <x:t xml:space="preserve">아니오</x:t>
        </x:is>
      </x:c>
      <x:c r="P642" s="5" t="inlineStr">
        <x:is>
          <x:t xml:space="preserve">minecraft:windswept_forest</x:t>
        </x:is>
      </x:c>
      <x:c r="Q642" s="5" t="inlineStr">
        <x:is>
          <x:t xml:space="preserve">ultra-rare</x:t>
        </x:is>
      </x:c>
      <x:c r="R642" s="5" t="inlineStr">
        <x:is>
          <x:t xml:space="preserve"/>
        </x:is>
      </x:c>
      <x:c r="S642" s="5" t="inlineStr">
        <x:is>
          <x:t xml:space="preserve"/>
        </x:is>
      </x:c>
      <x:c r="T642" s="5" t="inlineStr">
        <x:is>
          <x:t xml:space="preserve">육상</x:t>
        </x:is>
      </x:c>
      <x:c r="U642" s="5" t="inlineStr">
        <x:is>
          <x:t xml:space="preserve">암석</x:t>
        </x:is>
      </x:c>
      <x:c r="V642" s="5" t="inlineStr">
        <x:is>
          <x:t xml:space="preserve">서늘</x:t>
        </x:is>
      </x:c>
      <x:c r="W642" s="5" t="inlineStr">
        <x:is>
          <x:t xml:space="preserve">보통</x:t>
        </x:is>
      </x:c>
      <x:c r="X642" s="5" t="inlineStr">
        <x:is>
          <x:t xml:space="preserve">무관</x:t>
        </x:is>
      </x:c>
      <x:c r="Y642" s="5" t="inlineStr">
        <x:is>
          <x:t xml:space="preserve">무관</x:t>
        </x:is>
      </x:c>
      <x:c r="Z642" s="5" t="inlineStr">
        <x:is>
          <x:t xml:space="preserve">전설</x:t>
        </x:is>
      </x:c>
      <x:c r="AA642" s="5" t="inlineStr">
        <x:is>
          <x:t xml:space="preserve">전설</x:t>
        </x:is>
      </x:c>
      <x:c r="AB642" s="5" t="inlineStr">
        <x:is>
          <x:t xml:space="preserve">산악</x:t>
        </x:is>
      </x:c>
      <x:c r="AC642" s="5" t="inlineStr">
        <x:is>
          <x:t xml:space="preserve">gen5; legendary</x:t>
        </x:is>
      </x:c>
      <x:c r="AD642" s="5" t="inlineStr">
        <x:is>
          <x:t xml:space="preserve">.tmp/cobblemon-1.7.3-source/common/src/main/resources/data/cobblemon/species/generation5/cobalion.json</x:t>
        </x:is>
      </x:c>
    </x:row>
    <x:row r="643" ht="22" customHeight="1">
      <x:c r="A643" s="5" t="n">
        <x:v>639</x:v>
      </x:c>
      <x:c r="B643" s="5" t="inlineStr">
        <x:is>
          <x:t xml:space="preserve">테라키온</x:t>
        </x:is>
      </x:c>
      <x:c r="C643" s="5" t="inlineStr">
        <x:is>
          <x:t xml:space="preserve">terrakion</x:t>
        </x:is>
      </x:c>
      <x:c r="D643" s="5" t="inlineStr">
        <x:is>
          <x:t xml:space="preserve">Terrakion</x:t>
        </x:is>
      </x:c>
      <x:c r="E643" s="5" t="n">
        <x:v>5</x:v>
      </x:c>
      <x:c r="F643" s="5" t="inlineStr">
        <x:is>
          <x:t xml:space="preserve">바위</x:t>
        </x:is>
      </x:c>
      <x:c r="G643" s="5" t="inlineStr">
        <x:is>
          <x:t xml:space="preserve">격투</x:t>
        </x:is>
      </x:c>
      <x:c r="H643" s="5" t="n">
        <x:v>1.9</x:v>
      </x:c>
      <x:c r="I643" s="5" t="n">
        <x:v>260</x:v>
      </x:c>
      <x:c r="J643" s="5" t="n">
        <x:v>580</x:v>
      </x:c>
      <x:c r="K643" s="5" t="n">
        <x:v>3</x:v>
      </x:c>
      <x:c r="L643" s="5" t="inlineStr">
        <x:is>
          <x:t xml:space="preserve">무진화</x:t>
        </x:is>
      </x:c>
      <x:c r="M643" s="5" t="n"/>
      <x:c r="N643" s="5" t="inlineStr">
        <x:is>
          <x:t xml:space="preserve">없음</x:t>
        </x:is>
      </x:c>
      <x:c r="O643" s="5" t="inlineStr">
        <x:is>
          <x:t xml:space="preserve">아니오</x:t>
        </x:is>
      </x:c>
      <x:c r="P643" s="5" t="inlineStr">
        <x:is>
          <x:t xml:space="preserve">#cobblemon:is_savanna</x:t>
        </x:is>
      </x:c>
      <x:c r="Q643" s="5" t="inlineStr">
        <x:is>
          <x:t xml:space="preserve">ultra-rare</x:t>
        </x:is>
      </x:c>
      <x:c r="R643" s="5" t="inlineStr">
        <x:is>
          <x:t xml:space="preserve"/>
        </x:is>
      </x:c>
      <x:c r="S643" s="5" t="inlineStr">
        <x:is>
          <x:t xml:space="preserve"/>
        </x:is>
      </x:c>
      <x:c r="T643" s="5" t="inlineStr">
        <x:is>
          <x:t xml:space="preserve">육상</x:t>
        </x:is>
      </x:c>
      <x:c r="U643" s="5" t="inlineStr">
        <x:is>
          <x:t xml:space="preserve">개활지</x:t>
        </x:is>
      </x:c>
      <x:c r="V643" s="5" t="inlineStr">
        <x:is>
          <x:t xml:space="preserve">온대</x:t>
        </x:is>
      </x:c>
      <x:c r="W643" s="5" t="inlineStr">
        <x:is>
          <x:t xml:space="preserve">보통</x:t>
        </x:is>
      </x:c>
      <x:c r="X643" s="5" t="inlineStr">
        <x:is>
          <x:t xml:space="preserve">무관</x:t>
        </x:is>
      </x:c>
      <x:c r="Y643" s="5" t="inlineStr">
        <x:is>
          <x:t xml:space="preserve">무관</x:t>
        </x:is>
      </x:c>
      <x:c r="Z643" s="5" t="inlineStr">
        <x:is>
          <x:t xml:space="preserve">전설</x:t>
        </x:is>
      </x:c>
      <x:c r="AA643" s="5" t="inlineStr">
        <x:is>
          <x:t xml:space="preserve">전설</x:t>
        </x:is>
      </x:c>
      <x:c r="AB643" s="5" t="inlineStr">
        <x:is>
          <x:t xml:space="preserve">평원</x:t>
        </x:is>
      </x:c>
      <x:c r="AC643" s="5" t="inlineStr">
        <x:is>
          <x:t xml:space="preserve">gen5; legendary</x:t>
        </x:is>
      </x:c>
      <x:c r="AD643" s="5" t="inlineStr">
        <x:is>
          <x:t xml:space="preserve">.tmp/cobblemon-1.7.3-source/common/src/main/resources/data/cobblemon/species/generation5/terrakion.json</x:t>
        </x:is>
      </x:c>
    </x:row>
    <x:row r="644" ht="22" customHeight="1">
      <x:c r="A644" s="5" t="n">
        <x:v>640</x:v>
      </x:c>
      <x:c r="B644" s="5" t="inlineStr">
        <x:is>
          <x:t xml:space="preserve">비리디온</x:t>
        </x:is>
      </x:c>
      <x:c r="C644" s="5" t="inlineStr">
        <x:is>
          <x:t xml:space="preserve">virizion</x:t>
        </x:is>
      </x:c>
      <x:c r="D644" s="5" t="inlineStr">
        <x:is>
          <x:t xml:space="preserve">Virizion</x:t>
        </x:is>
      </x:c>
      <x:c r="E644" s="5" t="n">
        <x:v>5</x:v>
      </x:c>
      <x:c r="F644" s="5" t="inlineStr">
        <x:is>
          <x:t xml:space="preserve">풀</x:t>
        </x:is>
      </x:c>
      <x:c r="G644" s="5" t="inlineStr">
        <x:is>
          <x:t xml:space="preserve">격투</x:t>
        </x:is>
      </x:c>
      <x:c r="H644" s="5" t="n">
        <x:v>2</x:v>
      </x:c>
      <x:c r="I644" s="5" t="n">
        <x:v>200</x:v>
      </x:c>
      <x:c r="J644" s="5" t="n">
        <x:v>580</x:v>
      </x:c>
      <x:c r="K644" s="5" t="n">
        <x:v>3</x:v>
      </x:c>
      <x:c r="L644" s="5" t="inlineStr">
        <x:is>
          <x:t xml:space="preserve">무진화</x:t>
        </x:is>
      </x:c>
      <x:c r="M644" s="5" t="n"/>
      <x:c r="N644" s="5" t="inlineStr">
        <x:is>
          <x:t xml:space="preserve">없음</x:t>
        </x:is>
      </x:c>
      <x:c r="O644" s="5" t="inlineStr">
        <x:is>
          <x:t xml:space="preserve">아니오</x:t>
        </x:is>
      </x:c>
      <x:c r="P644" s="5" t="inlineStr">
        <x:is>
          <x:t xml:space="preserve">#cobblemon:is_forest</x:t>
        </x:is>
      </x:c>
      <x:c r="Q644" s="5" t="inlineStr">
        <x:is>
          <x:t xml:space="preserve">ultra-rare</x:t>
        </x:is>
      </x:c>
      <x:c r="R644" s="5" t="inlineStr">
        <x:is>
          <x:t xml:space="preserve"/>
        </x:is>
      </x:c>
      <x:c r="S644" s="5" t="inlineStr">
        <x:is>
          <x:t xml:space="preserve"/>
        </x:is>
      </x:c>
      <x:c r="T644" s="5" t="inlineStr">
        <x:is>
          <x:t xml:space="preserve">육상</x:t>
        </x:is>
      </x:c>
      <x:c r="U644" s="5" t="inlineStr">
        <x:is>
          <x:t xml:space="preserve">수목</x:t>
        </x:is>
      </x:c>
      <x:c r="V644" s="5" t="inlineStr">
        <x:is>
          <x:t xml:space="preserve">온대</x:t>
        </x:is>
      </x:c>
      <x:c r="W644" s="5" t="inlineStr">
        <x:is>
          <x:t xml:space="preserve">보통</x:t>
        </x:is>
      </x:c>
      <x:c r="X644" s="5" t="inlineStr">
        <x:is>
          <x:t xml:space="preserve">무관</x:t>
        </x:is>
      </x:c>
      <x:c r="Y644" s="5" t="inlineStr">
        <x:is>
          <x:t xml:space="preserve">무관</x:t>
        </x:is>
      </x:c>
      <x:c r="Z644" s="5" t="inlineStr">
        <x:is>
          <x:t xml:space="preserve">전설</x:t>
        </x:is>
      </x:c>
      <x:c r="AA644" s="5" t="inlineStr">
        <x:is>
          <x:t xml:space="preserve">전설</x:t>
        </x:is>
      </x:c>
      <x:c r="AB644" s="5" t="inlineStr">
        <x:is>
          <x:t xml:space="preserve">숲</x:t>
        </x:is>
      </x:c>
      <x:c r="AC644" s="5" t="inlineStr">
        <x:is>
          <x:t xml:space="preserve">gen5; legendary</x:t>
        </x:is>
      </x:c>
      <x:c r="AD644" s="5" t="inlineStr">
        <x:is>
          <x:t xml:space="preserve">.tmp/cobblemon-1.7.3-source/common/src/main/resources/data/cobblemon/species/generation5/virizion.json</x:t>
        </x:is>
      </x:c>
    </x:row>
    <x:row r="645" ht="22" customHeight="1">
      <x:c r="A645" s="5" t="n">
        <x:v>641</x:v>
      </x:c>
      <x:c r="B645" s="5" t="inlineStr">
        <x:is>
          <x:t xml:space="preserve">토네로스</x:t>
        </x:is>
      </x:c>
      <x:c r="C645" s="5" t="inlineStr">
        <x:is>
          <x:t xml:space="preserve">tornadus</x:t>
        </x:is>
      </x:c>
      <x:c r="D645" s="5" t="inlineStr">
        <x:is>
          <x:t xml:space="preserve">Tornadus</x:t>
        </x:is>
      </x:c>
      <x:c r="E645" s="5" t="n">
        <x:v>5</x:v>
      </x:c>
      <x:c r="F645" s="5" t="inlineStr">
        <x:is>
          <x:t xml:space="preserve">비행</x:t>
        </x:is>
      </x:c>
      <x:c r="G645" s="5" t="inlineStr">
        <x:is>
          <x:t xml:space="preserve"/>
        </x:is>
      </x:c>
      <x:c r="H645" s="5" t="n">
        <x:v>1.5</x:v>
      </x:c>
      <x:c r="I645" s="5" t="n">
        <x:v>63</x:v>
      </x:c>
      <x:c r="J645" s="5" t="n">
        <x:v>580</x:v>
      </x:c>
      <x:c r="K645" s="5" t="n">
        <x:v>3</x:v>
      </x:c>
      <x:c r="L645" s="5" t="inlineStr">
        <x:is>
          <x:t xml:space="preserve">무진화</x:t>
        </x:is>
      </x:c>
      <x:c r="M645" s="5" t="n"/>
      <x:c r="N645" s="5" t="inlineStr">
        <x:is>
          <x:t xml:space="preserve">없음</x:t>
        </x:is>
      </x:c>
      <x:c r="O645" s="5" t="inlineStr">
        <x:is>
          <x:t xml:space="preserve">아니오</x:t>
        </x:is>
      </x:c>
      <x:c r="P645" s="5" t="inlineStr">
        <x:is>
          <x:t xml:space="preserve">#cobblemon:is_ocean</x:t>
        </x:is>
      </x:c>
      <x:c r="Q645" s="5" t="inlineStr">
        <x:is>
          <x:t xml:space="preserve">ultra-rare</x:t>
        </x:is>
      </x:c>
      <x:c r="R645" s="5" t="inlineStr">
        <x:is>
          <x:t xml:space="preserve"/>
        </x:is>
      </x:c>
      <x:c r="S645" s="5" t="inlineStr">
        <x:is>
          <x:t xml:space="preserve"/>
        </x:is>
      </x:c>
      <x:c r="T645" s="5" t="inlineStr">
        <x:is>
          <x:t xml:space="preserve">해양</x:t>
        </x:is>
      </x:c>
      <x:c r="U645" s="5" t="inlineStr">
        <x:is>
          <x:t xml:space="preserve">해안·해양</x:t>
        </x:is>
      </x:c>
      <x:c r="V645" s="5" t="inlineStr">
        <x:is>
          <x:t xml:space="preserve">온대</x:t>
        </x:is>
      </x:c>
      <x:c r="W645" s="5" t="inlineStr">
        <x:is>
          <x:t xml:space="preserve">수중</x:t>
        </x:is>
      </x:c>
      <x:c r="X645" s="5" t="inlineStr">
        <x:is>
          <x:t xml:space="preserve">비</x:t>
        </x:is>
      </x:c>
      <x:c r="Y645" s="5" t="inlineStr">
        <x:is>
          <x:t xml:space="preserve">무관</x:t>
        </x:is>
      </x:c>
      <x:c r="Z645" s="5" t="inlineStr">
        <x:is>
          <x:t xml:space="preserve">전설</x:t>
        </x:is>
      </x:c>
      <x:c r="AA645" s="5" t="inlineStr">
        <x:is>
          <x:t xml:space="preserve">전설</x:t>
        </x:is>
      </x:c>
      <x:c r="AB645" s="5" t="inlineStr">
        <x:is>
          <x:t xml:space="preserve">해양</x:t>
        </x:is>
      </x:c>
      <x:c r="AC645" s="5" t="inlineStr">
        <x:is>
          <x:t xml:space="preserve">gen5; legendary</x:t>
        </x:is>
      </x:c>
      <x:c r="AD645" s="5" t="inlineStr">
        <x:is>
          <x:t xml:space="preserve">.tmp/cobblemon-1.7.3-source/common/src/main/resources/data/cobblemon/species/generation5/tornadus.json</x:t>
        </x:is>
      </x:c>
    </x:row>
    <x:row r="646" ht="22" customHeight="1">
      <x:c r="A646" s="5" t="n">
        <x:v>642</x:v>
      </x:c>
      <x:c r="B646" s="5" t="inlineStr">
        <x:is>
          <x:t xml:space="preserve">볼트로스</x:t>
        </x:is>
      </x:c>
      <x:c r="C646" s="5" t="inlineStr">
        <x:is>
          <x:t xml:space="preserve">thundurus</x:t>
        </x:is>
      </x:c>
      <x:c r="D646" s="5" t="inlineStr">
        <x:is>
          <x:t xml:space="preserve">Thundurus</x:t>
        </x:is>
      </x:c>
      <x:c r="E646" s="5" t="n">
        <x:v>5</x:v>
      </x:c>
      <x:c r="F646" s="5" t="inlineStr">
        <x:is>
          <x:t xml:space="preserve">전기</x:t>
        </x:is>
      </x:c>
      <x:c r="G646" s="5" t="inlineStr">
        <x:is>
          <x:t xml:space="preserve">비행</x:t>
        </x:is>
      </x:c>
      <x:c r="H646" s="5" t="n">
        <x:v>1.5</x:v>
      </x:c>
      <x:c r="I646" s="5" t="n">
        <x:v>61</x:v>
      </x:c>
      <x:c r="J646" s="5" t="n">
        <x:v>580</x:v>
      </x:c>
      <x:c r="K646" s="5" t="n">
        <x:v>3</x:v>
      </x:c>
      <x:c r="L646" s="5" t="inlineStr">
        <x:is>
          <x:t xml:space="preserve">무진화</x:t>
        </x:is>
      </x:c>
      <x:c r="M646" s="5" t="n"/>
      <x:c r="N646" s="5" t="inlineStr">
        <x:is>
          <x:t xml:space="preserve">없음</x:t>
        </x:is>
      </x:c>
      <x:c r="O646" s="5" t="inlineStr">
        <x:is>
          <x:t xml:space="preserve">아니오</x:t>
        </x:is>
      </x:c>
      <x:c r="P646" s="5" t="inlineStr">
        <x:is>
          <x:t xml:space="preserve">#cobblemon:is_mountain</x:t>
        </x:is>
      </x:c>
      <x:c r="Q646" s="5" t="inlineStr">
        <x:is>
          <x:t xml:space="preserve">ultra-rare</x:t>
        </x:is>
      </x:c>
      <x:c r="R646" s="5" t="inlineStr">
        <x:is>
          <x:t xml:space="preserve"/>
        </x:is>
      </x:c>
      <x:c r="S646" s="5" t="inlineStr">
        <x:is>
          <x:t xml:space="preserve"/>
        </x:is>
      </x:c>
      <x:c r="T646" s="5" t="inlineStr">
        <x:is>
          <x:t xml:space="preserve">비행</x:t>
        </x:is>
      </x:c>
      <x:c r="U646" s="5" t="inlineStr">
        <x:is>
          <x:t xml:space="preserve">암석</x:t>
        </x:is>
      </x:c>
      <x:c r="V646" s="5" t="inlineStr">
        <x:is>
          <x:t xml:space="preserve">온대</x:t>
        </x:is>
      </x:c>
      <x:c r="W646" s="5" t="inlineStr">
        <x:is>
          <x:t xml:space="preserve">보통</x:t>
        </x:is>
      </x:c>
      <x:c r="X646" s="5" t="inlineStr">
        <x:is>
          <x:t xml:space="preserve">무관</x:t>
        </x:is>
      </x:c>
      <x:c r="Y646" s="5" t="inlineStr">
        <x:is>
          <x:t xml:space="preserve">무관</x:t>
        </x:is>
      </x:c>
      <x:c r="Z646" s="5" t="inlineStr">
        <x:is>
          <x:t xml:space="preserve">전설</x:t>
        </x:is>
      </x:c>
      <x:c r="AA646" s="5" t="inlineStr">
        <x:is>
          <x:t xml:space="preserve">전설</x:t>
        </x:is>
      </x:c>
      <x:c r="AB646" s="5" t="inlineStr">
        <x:is>
          <x:t xml:space="preserve">산악</x:t>
        </x:is>
      </x:c>
      <x:c r="AC646" s="5" t="inlineStr">
        <x:is>
          <x:t xml:space="preserve">gen5; legendary</x:t>
        </x:is>
      </x:c>
      <x:c r="AD646" s="5" t="inlineStr">
        <x:is>
          <x:t xml:space="preserve">.tmp/cobblemon-1.7.3-source/common/src/main/resources/data/cobblemon/species/generation5/thundurus.json</x:t>
        </x:is>
      </x:c>
    </x:row>
    <x:row r="647" ht="22" customHeight="1">
      <x:c r="A647" s="5" t="n">
        <x:v>643</x:v>
      </x:c>
      <x:c r="B647" s="5" t="inlineStr">
        <x:is>
          <x:t xml:space="preserve">레시라무</x:t>
        </x:is>
      </x:c>
      <x:c r="C647" s="5" t="inlineStr">
        <x:is>
          <x:t xml:space="preserve">reshiram</x:t>
        </x:is>
      </x:c>
      <x:c r="D647" s="5" t="inlineStr">
        <x:is>
          <x:t xml:space="preserve">Reshiram</x:t>
        </x:is>
      </x:c>
      <x:c r="E647" s="5" t="n">
        <x:v>5</x:v>
      </x:c>
      <x:c r="F647" s="5" t="inlineStr">
        <x:is>
          <x:t xml:space="preserve">드래곤</x:t>
        </x:is>
      </x:c>
      <x:c r="G647" s="5" t="inlineStr">
        <x:is>
          <x:t xml:space="preserve">불꽃</x:t>
        </x:is>
      </x:c>
      <x:c r="H647" s="5" t="n">
        <x:v>3.2</x:v>
      </x:c>
      <x:c r="I647" s="5" t="n">
        <x:v>330</x:v>
      </x:c>
      <x:c r="J647" s="5" t="n">
        <x:v>680</x:v>
      </x:c>
      <x:c r="K647" s="5" t="n">
        <x:v>3</x:v>
      </x:c>
      <x:c r="L647" s="5" t="inlineStr">
        <x:is>
          <x:t xml:space="preserve">무진화</x:t>
        </x:is>
      </x:c>
      <x:c r="M647" s="5" t="n"/>
      <x:c r="N647" s="5" t="inlineStr">
        <x:is>
          <x:t xml:space="preserve">없음</x:t>
        </x:is>
      </x:c>
      <x:c r="O647" s="5" t="inlineStr">
        <x:is>
          <x:t xml:space="preserve">아니오</x:t>
        </x:is>
      </x:c>
      <x:c r="P647" s="5" t="inlineStr">
        <x:is>
          <x:t xml:space="preserve">#cobblemon:is_mountain</x:t>
        </x:is>
      </x:c>
      <x:c r="Q647" s="5" t="inlineStr">
        <x:is>
          <x:t xml:space="preserve">ultra-rare</x:t>
        </x:is>
      </x:c>
      <x:c r="R647" s="5" t="inlineStr">
        <x:is>
          <x:t xml:space="preserve"/>
        </x:is>
      </x:c>
      <x:c r="S647" s="5" t="inlineStr">
        <x:is>
          <x:t xml:space="preserve">비=False</x:t>
        </x:is>
      </x:c>
      <x:c r="T647" s="5" t="inlineStr">
        <x:is>
          <x:t xml:space="preserve">비행</x:t>
        </x:is>
      </x:c>
      <x:c r="U647" s="5" t="inlineStr">
        <x:is>
          <x:t xml:space="preserve">암석</x:t>
        </x:is>
      </x:c>
      <x:c r="V647" s="5" t="inlineStr">
        <x:is>
          <x:t xml:space="preserve">고온</x:t>
        </x:is>
      </x:c>
      <x:c r="W647" s="5" t="inlineStr">
        <x:is>
          <x:t xml:space="preserve">보통</x:t>
        </x:is>
      </x:c>
      <x:c r="X647" s="5" t="inlineStr">
        <x:is>
          <x:t xml:space="preserve">무관</x:t>
        </x:is>
      </x:c>
      <x:c r="Y647" s="5" t="inlineStr">
        <x:is>
          <x:t xml:space="preserve">무관</x:t>
        </x:is>
      </x:c>
      <x:c r="Z647" s="5" t="inlineStr">
        <x:is>
          <x:t xml:space="preserve">전설</x:t>
        </x:is>
      </x:c>
      <x:c r="AA647" s="5" t="inlineStr">
        <x:is>
          <x:t xml:space="preserve">전설</x:t>
        </x:is>
      </x:c>
      <x:c r="AB647" s="5" t="inlineStr">
        <x:is>
          <x:t xml:space="preserve">산악</x:t>
        </x:is>
      </x:c>
      <x:c r="AC647" s="5" t="inlineStr">
        <x:is>
          <x:t xml:space="preserve">gen5; legendary; restricted</x:t>
        </x:is>
      </x:c>
      <x:c r="AD647" s="5" t="inlineStr">
        <x:is>
          <x:t xml:space="preserve">.tmp/cobblemon-1.7.3-source/common/src/main/resources/data/cobblemon/species/generation5/reshiram.json</x:t>
        </x:is>
      </x:c>
    </x:row>
    <x:row r="648" ht="22" customHeight="1">
      <x:c r="A648" s="5" t="n">
        <x:v>644</x:v>
      </x:c>
      <x:c r="B648" s="5" t="inlineStr">
        <x:is>
          <x:t xml:space="preserve">제크로무</x:t>
        </x:is>
      </x:c>
      <x:c r="C648" s="5" t="inlineStr">
        <x:is>
          <x:t xml:space="preserve">zekrom</x:t>
        </x:is>
      </x:c>
      <x:c r="D648" s="5" t="inlineStr">
        <x:is>
          <x:t xml:space="preserve">Zekrom</x:t>
        </x:is>
      </x:c>
      <x:c r="E648" s="5" t="n">
        <x:v>5</x:v>
      </x:c>
      <x:c r="F648" s="5" t="inlineStr">
        <x:is>
          <x:t xml:space="preserve">드래곤</x:t>
        </x:is>
      </x:c>
      <x:c r="G648" s="5" t="inlineStr">
        <x:is>
          <x:t xml:space="preserve">전기</x:t>
        </x:is>
      </x:c>
      <x:c r="H648" s="5" t="n">
        <x:v>2.9</x:v>
      </x:c>
      <x:c r="I648" s="5" t="n">
        <x:v>345</x:v>
      </x:c>
      <x:c r="J648" s="5" t="n">
        <x:v>680</x:v>
      </x:c>
      <x:c r="K648" s="5" t="n">
        <x:v>3</x:v>
      </x:c>
      <x:c r="L648" s="5" t="inlineStr">
        <x:is>
          <x:t xml:space="preserve">무진화</x:t>
        </x:is>
      </x:c>
      <x:c r="M648" s="5" t="n"/>
      <x:c r="N648" s="5" t="inlineStr">
        <x:is>
          <x:t xml:space="preserve">없음</x:t>
        </x:is>
      </x:c>
      <x:c r="O648" s="5" t="inlineStr">
        <x:is>
          <x:t xml:space="preserve">아니오</x:t>
        </x:is>
      </x:c>
      <x:c r="P648" s="5" t="inlineStr">
        <x:is>
          <x:t xml:space="preserve">#cobblemon:is_mountain</x:t>
        </x:is>
      </x:c>
      <x:c r="Q648" s="5" t="inlineStr">
        <x:is>
          <x:t xml:space="preserve">ultra-rare</x:t>
        </x:is>
      </x:c>
      <x:c r="R648" s="5" t="inlineStr">
        <x:is>
          <x:t xml:space="preserve"/>
        </x:is>
      </x:c>
      <x:c r="S648" s="5" t="inlineStr">
        <x:is>
          <x:t xml:space="preserve">천둥=True</x:t>
        </x:is>
      </x:c>
      <x:c r="T648" s="5" t="inlineStr">
        <x:is>
          <x:t xml:space="preserve">비행</x:t>
        </x:is>
      </x:c>
      <x:c r="U648" s="5" t="inlineStr">
        <x:is>
          <x:t xml:space="preserve">암석</x:t>
        </x:is>
      </x:c>
      <x:c r="V648" s="5" t="inlineStr">
        <x:is>
          <x:t xml:space="preserve">온대</x:t>
        </x:is>
      </x:c>
      <x:c r="W648" s="5" t="inlineStr">
        <x:is>
          <x:t xml:space="preserve">보통</x:t>
        </x:is>
      </x:c>
      <x:c r="X648" s="5" t="inlineStr">
        <x:is>
          <x:t xml:space="preserve">무관</x:t>
        </x:is>
      </x:c>
      <x:c r="Y648" s="5" t="inlineStr">
        <x:is>
          <x:t xml:space="preserve">무관</x:t>
        </x:is>
      </x:c>
      <x:c r="Z648" s="5" t="inlineStr">
        <x:is>
          <x:t xml:space="preserve">전설</x:t>
        </x:is>
      </x:c>
      <x:c r="AA648" s="5" t="inlineStr">
        <x:is>
          <x:t xml:space="preserve">전설</x:t>
        </x:is>
      </x:c>
      <x:c r="AB648" s="5" t="inlineStr">
        <x:is>
          <x:t xml:space="preserve">산악</x:t>
        </x:is>
      </x:c>
      <x:c r="AC648" s="5" t="inlineStr">
        <x:is>
          <x:t xml:space="preserve">gen5; legendary; restricted</x:t>
        </x:is>
      </x:c>
      <x:c r="AD648" s="5" t="inlineStr">
        <x:is>
          <x:t xml:space="preserve">.tmp/cobblemon-1.7.3-source/common/src/main/resources/data/cobblemon/species/generation5/zekrom.json</x:t>
        </x:is>
      </x:c>
    </x:row>
    <x:row r="649" ht="22" customHeight="1">
      <x:c r="A649" s="5" t="n">
        <x:v>645</x:v>
      </x:c>
      <x:c r="B649" s="5" t="inlineStr">
        <x:is>
          <x:t xml:space="preserve">랜드로스</x:t>
        </x:is>
      </x:c>
      <x:c r="C649" s="5" t="inlineStr">
        <x:is>
          <x:t xml:space="preserve">landorus</x:t>
        </x:is>
      </x:c>
      <x:c r="D649" s="5" t="inlineStr">
        <x:is>
          <x:t xml:space="preserve">Landorus</x:t>
        </x:is>
      </x:c>
      <x:c r="E649" s="5" t="n">
        <x:v>5</x:v>
      </x:c>
      <x:c r="F649" s="5" t="inlineStr">
        <x:is>
          <x:t xml:space="preserve">땅</x:t>
        </x:is>
      </x:c>
      <x:c r="G649" s="5" t="inlineStr">
        <x:is>
          <x:t xml:space="preserve">비행</x:t>
        </x:is>
      </x:c>
      <x:c r="H649" s="5" t="n">
        <x:v>1.5</x:v>
      </x:c>
      <x:c r="I649" s="5" t="n">
        <x:v>68</x:v>
      </x:c>
      <x:c r="J649" s="5" t="n">
        <x:v>600</x:v>
      </x:c>
      <x:c r="K649" s="5" t="n">
        <x:v>3</x:v>
      </x:c>
      <x:c r="L649" s="5" t="inlineStr">
        <x:is>
          <x:t xml:space="preserve">무진화</x:t>
        </x:is>
      </x:c>
      <x:c r="M649" s="5" t="n"/>
      <x:c r="N649" s="5" t="inlineStr">
        <x:is>
          <x:t xml:space="preserve">없음</x:t>
        </x:is>
      </x:c>
      <x:c r="O649" s="5" t="inlineStr">
        <x:is>
          <x:t xml:space="preserve">아니오</x:t>
        </x:is>
      </x:c>
      <x:c r="P649" s="5" t="inlineStr">
        <x:is>
          <x:t xml:space="preserve">#cobblemon:is_badlands</x:t>
        </x:is>
      </x:c>
      <x:c r="Q649" s="5" t="inlineStr">
        <x:is>
          <x:t xml:space="preserve">ultra-rare</x:t>
        </x:is>
      </x:c>
      <x:c r="R649" s="5" t="inlineStr">
        <x:is>
          <x:t xml:space="preserve"/>
        </x:is>
      </x:c>
      <x:c r="S649" s="5" t="inlineStr">
        <x:is>
          <x:t xml:space="preserve">비=False</x:t>
        </x:is>
      </x:c>
      <x:c r="T649" s="5" t="inlineStr">
        <x:is>
          <x:t xml:space="preserve">비행</x:t>
        </x:is>
      </x:c>
      <x:c r="U649" s="5" t="inlineStr">
        <x:is>
          <x:t xml:space="preserve">건조</x:t>
        </x:is>
      </x:c>
      <x:c r="V649" s="5" t="inlineStr">
        <x:is>
          <x:t xml:space="preserve">고온</x:t>
        </x:is>
      </x:c>
      <x:c r="W649" s="5" t="inlineStr">
        <x:is>
          <x:t xml:space="preserve">건조</x:t>
        </x:is>
      </x:c>
      <x:c r="X649" s="5" t="inlineStr">
        <x:is>
          <x:t xml:space="preserve">맑음</x:t>
        </x:is>
      </x:c>
      <x:c r="Y649" s="5" t="inlineStr">
        <x:is>
          <x:t xml:space="preserve">무관</x:t>
        </x:is>
      </x:c>
      <x:c r="Z649" s="5" t="inlineStr">
        <x:is>
          <x:t xml:space="preserve">전설</x:t>
        </x:is>
      </x:c>
      <x:c r="AA649" s="5" t="inlineStr">
        <x:is>
          <x:t xml:space="preserve">전설</x:t>
        </x:is>
      </x:c>
      <x:c r="AB649" s="5" t="inlineStr">
        <x:is>
          <x:t xml:space="preserve">건조지</x:t>
        </x:is>
      </x:c>
      <x:c r="AC649" s="5" t="inlineStr">
        <x:is>
          <x:t xml:space="preserve">gen5; legendary</x:t>
        </x:is>
      </x:c>
      <x:c r="AD649" s="5" t="inlineStr">
        <x:is>
          <x:t xml:space="preserve">.tmp/cobblemon-1.7.3-source/common/src/main/resources/data/cobblemon/species/generation5/landorus.json</x:t>
        </x:is>
      </x:c>
    </x:row>
    <x:row r="650" ht="22" customHeight="1">
      <x:c r="A650" s="5" t="n">
        <x:v>646</x:v>
      </x:c>
      <x:c r="B650" s="5" t="inlineStr">
        <x:is>
          <x:t xml:space="preserve">큐레무</x:t>
        </x:is>
      </x:c>
      <x:c r="C650" s="5" t="inlineStr">
        <x:is>
          <x:t xml:space="preserve">kyurem</x:t>
        </x:is>
      </x:c>
      <x:c r="D650" s="5" t="inlineStr">
        <x:is>
          <x:t xml:space="preserve">Kyurem</x:t>
        </x:is>
      </x:c>
      <x:c r="E650" s="5" t="n">
        <x:v>5</x:v>
      </x:c>
      <x:c r="F650" s="5" t="inlineStr">
        <x:is>
          <x:t xml:space="preserve">드래곤</x:t>
        </x:is>
      </x:c>
      <x:c r="G650" s="5" t="inlineStr">
        <x:is>
          <x:t xml:space="preserve">얼음</x:t>
        </x:is>
      </x:c>
      <x:c r="H650" s="5" t="n">
        <x:v>3</x:v>
      </x:c>
      <x:c r="I650" s="5" t="n">
        <x:v>325</x:v>
      </x:c>
      <x:c r="J650" s="5" t="n">
        <x:v>660</x:v>
      </x:c>
      <x:c r="K650" s="5" t="n">
        <x:v>3</x:v>
      </x:c>
      <x:c r="L650" s="5" t="inlineStr">
        <x:is>
          <x:t xml:space="preserve">무진화</x:t>
        </x:is>
      </x:c>
      <x:c r="M650" s="5" t="n"/>
      <x:c r="N650" s="5" t="inlineStr">
        <x:is>
          <x:t xml:space="preserve">없음</x:t>
        </x:is>
      </x:c>
      <x:c r="O650" s="5" t="inlineStr">
        <x:is>
          <x:t xml:space="preserve">아니오</x:t>
        </x:is>
      </x:c>
      <x:c r="P650" s="5" t="inlineStr">
        <x:is>
          <x:t xml:space="preserve">minecraft:ice_spikes</x:t>
        </x:is>
      </x:c>
      <x:c r="Q650" s="5" t="inlineStr">
        <x:is>
          <x:t xml:space="preserve">ultra-rare</x:t>
        </x:is>
      </x:c>
      <x:c r="R650" s="5" t="inlineStr">
        <x:is>
          <x:t xml:space="preserve"/>
        </x:is>
      </x:c>
      <x:c r="S650" s="5" t="inlineStr">
        <x:is>
          <x:t xml:space="preserve">비=True</x:t>
        </x:is>
      </x:c>
      <x:c r="T650" s="5" t="inlineStr">
        <x:is>
          <x:t xml:space="preserve">비행</x:t>
        </x:is>
      </x:c>
      <x:c r="U650" s="5" t="inlineStr">
        <x:is>
          <x:t xml:space="preserve">설원</x:t>
        </x:is>
      </x:c>
      <x:c r="V650" s="5" t="inlineStr">
        <x:is>
          <x:t xml:space="preserve">한랭</x:t>
        </x:is>
      </x:c>
      <x:c r="W650" s="5" t="inlineStr">
        <x:is>
          <x:t xml:space="preserve">보통</x:t>
        </x:is>
      </x:c>
      <x:c r="X650" s="5" t="inlineStr">
        <x:is>
          <x:t xml:space="preserve">눈</x:t>
        </x:is>
      </x:c>
      <x:c r="Y650" s="5" t="inlineStr">
        <x:is>
          <x:t xml:space="preserve">무관</x:t>
        </x:is>
      </x:c>
      <x:c r="Z650" s="5" t="inlineStr">
        <x:is>
          <x:t xml:space="preserve">전설</x:t>
        </x:is>
      </x:c>
      <x:c r="AA650" s="5" t="inlineStr">
        <x:is>
          <x:t xml:space="preserve">전설</x:t>
        </x:is>
      </x:c>
      <x:c r="AB650" s="5" t="inlineStr">
        <x:is>
          <x:t xml:space="preserve">설원</x:t>
        </x:is>
      </x:c>
      <x:c r="AC650" s="5" t="inlineStr">
        <x:is>
          <x:t xml:space="preserve">gen5; legendary; restricted</x:t>
        </x:is>
      </x:c>
      <x:c r="AD650" s="5" t="inlineStr">
        <x:is>
          <x:t xml:space="preserve">.tmp/cobblemon-1.7.3-source/common/src/main/resources/data/cobblemon/species/generation5/kyurem.json</x:t>
        </x:is>
      </x:c>
    </x:row>
    <x:row r="651" ht="22" customHeight="1">
      <x:c r="A651" s="5" t="n">
        <x:v>647</x:v>
      </x:c>
      <x:c r="B651" s="5" t="inlineStr">
        <x:is>
          <x:t xml:space="preserve">케르디오</x:t>
        </x:is>
      </x:c>
      <x:c r="C651" s="5" t="inlineStr">
        <x:is>
          <x:t xml:space="preserve">keldeo</x:t>
        </x:is>
      </x:c>
      <x:c r="D651" s="5" t="inlineStr">
        <x:is>
          <x:t xml:space="preserve">Keldeo</x:t>
        </x:is>
      </x:c>
      <x:c r="E651" s="5" t="n">
        <x:v>5</x:v>
      </x:c>
      <x:c r="F651" s="5" t="inlineStr">
        <x:is>
          <x:t xml:space="preserve">물</x:t>
        </x:is>
      </x:c>
      <x:c r="G651" s="5" t="inlineStr">
        <x:is>
          <x:t xml:space="preserve">격투</x:t>
        </x:is>
      </x:c>
      <x:c r="H651" s="5" t="n">
        <x:v>1.4</x:v>
      </x:c>
      <x:c r="I651" s="5" t="n">
        <x:v>48.5</x:v>
      </x:c>
      <x:c r="J651" s="5" t="n">
        <x:v>580</x:v>
      </x:c>
      <x:c r="K651" s="5" t="n">
        <x:v>3</x:v>
      </x:c>
      <x:c r="L651" s="5" t="inlineStr">
        <x:is>
          <x:t xml:space="preserve">무진화</x:t>
        </x:is>
      </x:c>
      <x:c r="M651" s="5" t="n"/>
      <x:c r="N651" s="5" t="inlineStr">
        <x:is>
          <x:t xml:space="preserve">없음</x:t>
        </x:is>
      </x:c>
      <x:c r="O651" s="5" t="inlineStr">
        <x:is>
          <x:t xml:space="preserve">아니오</x:t>
        </x:is>
      </x:c>
      <x:c r="P651" s="5" t="inlineStr">
        <x:is>
          <x:t xml:space="preserve">terralith:sakura_grove; terralith:sakura_valley</x:t>
        </x:is>
      </x:c>
      <x:c r="Q651" s="5" t="inlineStr">
        <x:is>
          <x:t xml:space="preserve">ultra-rare</x:t>
        </x:is>
      </x:c>
      <x:c r="R651" s="5" t="inlineStr">
        <x:is>
          <x:t xml:space="preserve"/>
        </x:is>
      </x:c>
      <x:c r="S651" s="5" t="inlineStr">
        <x:is>
          <x:t xml:space="preserve"/>
        </x:is>
      </x:c>
      <x:c r="T651" s="5" t="inlineStr">
        <x:is>
          <x:t xml:space="preserve">수륙</x:t>
        </x:is>
      </x:c>
      <x:c r="U651" s="5" t="inlineStr">
        <x:is>
          <x:t xml:space="preserve">수목</x:t>
        </x:is>
      </x:c>
      <x:c r="V651" s="5" t="inlineStr">
        <x:is>
          <x:t xml:space="preserve">온대</x:t>
        </x:is>
      </x:c>
      <x:c r="W651" s="5" t="inlineStr">
        <x:is>
          <x:t xml:space="preserve">보통</x:t>
        </x:is>
      </x:c>
      <x:c r="X651" s="5" t="inlineStr">
        <x:is>
          <x:t xml:space="preserve">무관</x:t>
        </x:is>
      </x:c>
      <x:c r="Y651" s="5" t="inlineStr">
        <x:is>
          <x:t xml:space="preserve">무관</x:t>
        </x:is>
      </x:c>
      <x:c r="Z651" s="5" t="inlineStr">
        <x:is>
          <x:t xml:space="preserve">전설</x:t>
        </x:is>
      </x:c>
      <x:c r="AA651" s="5" t="inlineStr">
        <x:is>
          <x:t xml:space="preserve">전설</x:t>
        </x:is>
      </x:c>
      <x:c r="AB651" s="5" t="inlineStr">
        <x:is>
          <x:t xml:space="preserve">숲</x:t>
        </x:is>
      </x:c>
      <x:c r="AC651" s="5" t="inlineStr">
        <x:is>
          <x:t xml:space="preserve">gen5; mythical</x:t>
        </x:is>
      </x:c>
      <x:c r="AD651" s="5" t="inlineStr">
        <x:is>
          <x:t xml:space="preserve">.tmp/cobblemon-1.7.3-source/common/src/main/resources/data/cobblemon/species/generation5/keldeo.json</x:t>
        </x:is>
      </x:c>
    </x:row>
    <x:row r="652" ht="22" customHeight="1">
      <x:c r="A652" s="5" t="n">
        <x:v>648</x:v>
      </x:c>
      <x:c r="B652" s="5" t="inlineStr">
        <x:is>
          <x:t xml:space="preserve">메로엣타</x:t>
        </x:is>
      </x:c>
      <x:c r="C652" s="5" t="inlineStr">
        <x:is>
          <x:t xml:space="preserve">meloetta</x:t>
        </x:is>
      </x:c>
      <x:c r="D652" s="5" t="inlineStr">
        <x:is>
          <x:t xml:space="preserve">Meloetta</x:t>
        </x:is>
      </x:c>
      <x:c r="E652" s="5" t="n">
        <x:v>5</x:v>
      </x:c>
      <x:c r="F652" s="5" t="inlineStr">
        <x:is>
          <x:t xml:space="preserve">노말</x:t>
        </x:is>
      </x:c>
      <x:c r="G652" s="5" t="inlineStr">
        <x:is>
          <x:t xml:space="preserve">에스퍼</x:t>
        </x:is>
      </x:c>
      <x:c r="H652" s="5" t="n">
        <x:v>0.6</x:v>
      </x:c>
      <x:c r="I652" s="5" t="n">
        <x:v>6.5</x:v>
      </x:c>
      <x:c r="J652" s="5" t="n">
        <x:v>600</x:v>
      </x:c>
      <x:c r="K652" s="5" t="n">
        <x:v>3</x:v>
      </x:c>
      <x:c r="L652" s="5" t="inlineStr">
        <x:is>
          <x:t xml:space="preserve">무진화</x:t>
        </x:is>
      </x:c>
      <x:c r="M652" s="5" t="n"/>
      <x:c r="N652" s="5" t="inlineStr">
        <x:is>
          <x:t xml:space="preserve">없음</x:t>
        </x:is>
      </x:c>
      <x:c r="O652" s="5" t="inlineStr">
        <x:is>
          <x:t xml:space="preserve">아니오</x:t>
        </x:is>
      </x:c>
      <x:c r="P652" s="5" t="inlineStr">
        <x:is>
          <x:t xml:space="preserve">minecraft:sunflower_plains</x:t>
        </x:is>
      </x:c>
      <x:c r="Q652" s="5" t="inlineStr">
        <x:is>
          <x:t xml:space="preserve">rare</x:t>
        </x:is>
      </x:c>
      <x:c r="R652" s="5" t="inlineStr">
        <x:is>
          <x:t xml:space="preserve"/>
        </x:is>
      </x:c>
      <x:c r="S652" s="5" t="inlineStr">
        <x:is>
          <x:t xml:space="preserve"/>
        </x:is>
      </x:c>
      <x:c r="T652" s="5" t="inlineStr">
        <x:is>
          <x:t xml:space="preserve">비행</x:t>
        </x:is>
      </x:c>
      <x:c r="U652" s="5" t="inlineStr">
        <x:is>
          <x:t xml:space="preserve">개활지</x:t>
        </x:is>
      </x:c>
      <x:c r="V652" s="5" t="inlineStr">
        <x:is>
          <x:t xml:space="preserve">온대</x:t>
        </x:is>
      </x:c>
      <x:c r="W652" s="5" t="inlineStr">
        <x:is>
          <x:t xml:space="preserve">보통</x:t>
        </x:is>
      </x:c>
      <x:c r="X652" s="5" t="inlineStr">
        <x:is>
          <x:t xml:space="preserve">무관</x:t>
        </x:is>
      </x:c>
      <x:c r="Y652" s="5" t="inlineStr">
        <x:is>
          <x:t xml:space="preserve">무관</x:t>
        </x:is>
      </x:c>
      <x:c r="Z652" s="5" t="inlineStr">
        <x:is>
          <x:t xml:space="preserve">전설</x:t>
        </x:is>
      </x:c>
      <x:c r="AA652" s="5" t="inlineStr">
        <x:is>
          <x:t xml:space="preserve">전설</x:t>
        </x:is>
      </x:c>
      <x:c r="AB652" s="5" t="inlineStr">
        <x:is>
          <x:t xml:space="preserve">평원</x:t>
        </x:is>
      </x:c>
      <x:c r="AC652" s="5" t="inlineStr">
        <x:is>
          <x:t xml:space="preserve">gen5; mythical</x:t>
        </x:is>
      </x:c>
      <x:c r="AD652" s="5" t="inlineStr">
        <x:is>
          <x:t xml:space="preserve">.tmp/cobblemon-1.7.3-source/common/src/main/resources/data/cobblemon/species/generation5/meloetta.json</x:t>
        </x:is>
      </x:c>
    </x:row>
    <x:row r="653" ht="22" customHeight="1">
      <x:c r="A653" s="5" t="n">
        <x:v>649</x:v>
      </x:c>
      <x:c r="B653" s="5" t="inlineStr">
        <x:is>
          <x:t xml:space="preserve">게노세크트</x:t>
        </x:is>
      </x:c>
      <x:c r="C653" s="5" t="inlineStr">
        <x:is>
          <x:t xml:space="preserve">genesect</x:t>
        </x:is>
      </x:c>
      <x:c r="D653" s="5" t="inlineStr">
        <x:is>
          <x:t xml:space="preserve">Genesect</x:t>
        </x:is>
      </x:c>
      <x:c r="E653" s="5" t="n">
        <x:v>5</x:v>
      </x:c>
      <x:c r="F653" s="5" t="inlineStr">
        <x:is>
          <x:t xml:space="preserve">벌레</x:t>
        </x:is>
      </x:c>
      <x:c r="G653" s="5" t="inlineStr">
        <x:is>
          <x:t xml:space="preserve">강철</x:t>
        </x:is>
      </x:c>
      <x:c r="H653" s="5" t="n">
        <x:v>1.5</x:v>
      </x:c>
      <x:c r="I653" s="5" t="n">
        <x:v>82.5</x:v>
      </x:c>
      <x:c r="J653" s="5" t="n">
        <x:v>600</x:v>
      </x:c>
      <x:c r="K653" s="5" t="n">
        <x:v>3</x:v>
      </x:c>
      <x:c r="L653" s="5" t="inlineStr">
        <x:is>
          <x:t xml:space="preserve">무진화</x:t>
        </x:is>
      </x:c>
      <x:c r="M653" s="5" t="n"/>
      <x:c r="N653" s="5" t="inlineStr">
        <x:is>
          <x:t xml:space="preserve">없음</x:t>
        </x:is>
      </x:c>
      <x:c r="O653" s="5" t="inlineStr">
        <x:is>
          <x:t xml:space="preserve">아니오</x:t>
        </x:is>
      </x:c>
      <x:c r="P653" s="5" t="inlineStr">
        <x:is>
          <x:t xml:space="preserve">#cobblemon:is_dripstone</x:t>
        </x:is>
      </x:c>
      <x:c r="Q653" s="5" t="inlineStr">
        <x:is>
          <x:t xml:space="preserve">ultra-rare</x:t>
        </x:is>
      </x:c>
      <x:c r="R653" s="5" t="inlineStr">
        <x:is>
          <x:t xml:space="preserve"/>
        </x:is>
      </x:c>
      <x:c r="S653" s="5" t="inlineStr">
        <x:is>
          <x:t xml:space="preserve"/>
        </x:is>
      </x:c>
      <x:c r="T653" s="5" t="inlineStr">
        <x:is>
          <x:t xml:space="preserve">인공</x:t>
        </x:is>
      </x:c>
      <x:c r="U653" s="5" t="inlineStr">
        <x:is>
          <x:t xml:space="preserve">동굴</x:t>
        </x:is>
      </x:c>
      <x:c r="V653" s="5" t="inlineStr">
        <x:is>
          <x:t xml:space="preserve">온대</x:t>
        </x:is>
      </x:c>
      <x:c r="W653" s="5" t="inlineStr">
        <x:is>
          <x:t xml:space="preserve">보통</x:t>
        </x:is>
      </x:c>
      <x:c r="X653" s="5" t="inlineStr">
        <x:is>
          <x:t xml:space="preserve">무관</x:t>
        </x:is>
      </x:c>
      <x:c r="Y653" s="5" t="inlineStr">
        <x:is>
          <x:t xml:space="preserve">무관</x:t>
        </x:is>
      </x:c>
      <x:c r="Z653" s="5" t="inlineStr">
        <x:is>
          <x:t xml:space="preserve">전설</x:t>
        </x:is>
      </x:c>
      <x:c r="AA653" s="5" t="inlineStr">
        <x:is>
          <x:t xml:space="preserve">전설</x:t>
        </x:is>
      </x:c>
      <x:c r="AB653" s="5" t="inlineStr">
        <x:is>
          <x:t xml:space="preserve">동굴</x:t>
        </x:is>
      </x:c>
      <x:c r="AC653" s="5" t="inlineStr">
        <x:is>
          <x:t xml:space="preserve">gen5; mythical</x:t>
        </x:is>
      </x:c>
      <x:c r="AD653" s="5" t="inlineStr">
        <x:is>
          <x:t xml:space="preserve">.tmp/cobblemon-1.7.3-source/common/src/main/resources/data/cobblemon/species/generation5/genesect.json</x:t>
        </x:is>
      </x:c>
    </x:row>
    <x:row r="654" ht="22" customHeight="1">
      <x:c r="A654" s="5" t="n">
        <x:v>650</x:v>
      </x:c>
      <x:c r="B654" s="5" t="inlineStr">
        <x:is>
          <x:t xml:space="preserve">도치마론</x:t>
        </x:is>
      </x:c>
      <x:c r="C654" s="5" t="inlineStr">
        <x:is>
          <x:t xml:space="preserve">chespin</x:t>
        </x:is>
      </x:c>
      <x:c r="D654" s="5" t="inlineStr">
        <x:is>
          <x:t xml:space="preserve">Chespin</x:t>
        </x:is>
      </x:c>
      <x:c r="E654" s="5" t="n">
        <x:v>6</x:v>
      </x:c>
      <x:c r="F654" s="5" t="inlineStr">
        <x:is>
          <x:t xml:space="preserve">풀</x:t>
        </x:is>
      </x:c>
      <x:c r="G654" s="5" t="inlineStr">
        <x:is>
          <x:t xml:space="preserve"/>
        </x:is>
      </x:c>
      <x:c r="H654" s="5" t="n">
        <x:v>0.4</x:v>
      </x:c>
      <x:c r="I654" s="5" t="n">
        <x:v>9</x:v>
      </x:c>
      <x:c r="J654" s="5" t="n">
        <x:v>313</x:v>
      </x:c>
      <x:c r="K654" s="5" t="n">
        <x:v>45</x:v>
      </x:c>
      <x:c r="L654" s="5" t="inlineStr">
        <x:is>
          <x:t xml:space="preserve">기본</x:t>
        </x:is>
      </x:c>
      <x:c r="M654" s="5" t="n">
        <x:v>36</x:v>
      </x:c>
      <x:c r="N654" s="5" t="inlineStr">
        <x:is>
          <x:t xml:space="preserve">레벨</x:t>
        </x:is>
      </x:c>
      <x:c r="O654" s="5" t="inlineStr">
        <x:is>
          <x:t xml:space="preserve">예</x:t>
        </x:is>
      </x:c>
      <x:c r="P654" s="5" t="inlineStr">
        <x:is>
          <x:t xml:space="preserve">#cobblemon:is_forest</x:t>
        </x:is>
      </x:c>
      <x:c r="Q654" s="5" t="inlineStr">
        <x:is>
          <x:t xml:space="preserve">ultra-rare</x:t>
        </x:is>
      </x:c>
      <x:c r="R654" s="5" t="inlineStr">
        <x:is>
          <x:t xml:space="preserve"/>
        </x:is>
      </x:c>
      <x:c r="S654" s="5" t="inlineStr">
        <x:is>
          <x:t xml:space="preserve"/>
        </x:is>
      </x:c>
      <x:c r="T654" s="5" t="inlineStr">
        <x:is>
          <x:t xml:space="preserve">육상</x:t>
        </x:is>
      </x:c>
      <x:c r="U654" s="5" t="inlineStr">
        <x:is>
          <x:t xml:space="preserve">수목</x:t>
        </x:is>
      </x:c>
      <x:c r="V654" s="5" t="inlineStr">
        <x:is>
          <x:t xml:space="preserve">온대</x:t>
        </x:is>
      </x:c>
      <x:c r="W654" s="5" t="inlineStr">
        <x:is>
          <x:t xml:space="preserve">보통</x:t>
        </x:is>
      </x:c>
      <x:c r="X654" s="5" t="inlineStr">
        <x:is>
          <x:t xml:space="preserve">무관</x:t>
        </x:is>
      </x:c>
      <x:c r="Y654" s="5" t="inlineStr">
        <x:is>
          <x:t xml:space="preserve">무관</x:t>
        </x:is>
      </x:c>
      <x:c r="Z654" s="5" t="inlineStr">
        <x:is>
          <x:t xml:space="preserve">희귀</x:t>
        </x:is>
      </x:c>
      <x:c r="AA654" s="5" t="inlineStr">
        <x:is>
          <x:t xml:space="preserve">없음</x:t>
        </x:is>
      </x:c>
      <x:c r="AB654" s="5" t="inlineStr">
        <x:is>
          <x:t xml:space="preserve">숲</x:t>
        </x:is>
      </x:c>
      <x:c r="AC654" s="5" t="inlineStr">
        <x:is>
          <x:t xml:space="preserve">gen6; starter</x:t>
        </x:is>
      </x:c>
      <x:c r="AD654" s="5" t="inlineStr">
        <x:is>
          <x:t xml:space="preserve">.tmp/cobblemon-1.7.3-source/common/src/main/resources/data/cobblemon/species/generation6/chespin.json</x:t>
        </x:is>
      </x:c>
    </x:row>
    <x:row r="655" ht="22" customHeight="1">
      <x:c r="A655" s="5" t="n">
        <x:v>651</x:v>
      </x:c>
      <x:c r="B655" s="5" t="inlineStr">
        <x:is>
          <x:t xml:space="preserve">도치보구</x:t>
        </x:is>
      </x:c>
      <x:c r="C655" s="5" t="inlineStr">
        <x:is>
          <x:t xml:space="preserve">quilladin</x:t>
        </x:is>
      </x:c>
      <x:c r="D655" s="5" t="inlineStr">
        <x:is>
          <x:t xml:space="preserve">Quilladin</x:t>
        </x:is>
      </x:c>
      <x:c r="E655" s="5" t="n">
        <x:v>6</x:v>
      </x:c>
      <x:c r="F655" s="5" t="inlineStr">
        <x:is>
          <x:t xml:space="preserve">풀</x:t>
        </x:is>
      </x:c>
      <x:c r="G655" s="5" t="inlineStr">
        <x:is>
          <x:t xml:space="preserve"/>
        </x:is>
      </x:c>
      <x:c r="H655" s="5" t="n">
        <x:v>0.7</x:v>
      </x:c>
      <x:c r="I655" s="5" t="n">
        <x:v>29</x:v>
      </x:c>
      <x:c r="J655" s="5" t="n">
        <x:v>405</x:v>
      </x:c>
      <x:c r="K655" s="5" t="n">
        <x:v>45</x:v>
      </x:c>
      <x:c r="L655" s="5" t="inlineStr">
        <x:is>
          <x:t xml:space="preserve">중간</x:t>
        </x:is>
      </x:c>
      <x:c r="M655" s="5" t="n">
        <x:v>36</x:v>
      </x:c>
      <x:c r="N655" s="5" t="inlineStr">
        <x:is>
          <x:t xml:space="preserve">레벨</x:t>
        </x:is>
      </x:c>
      <x:c r="O655" s="5" t="inlineStr">
        <x:is>
          <x:t xml:space="preserve">예</x:t>
        </x:is>
      </x:c>
      <x:c r="P655" s="5" t="inlineStr">
        <x:is>
          <x:t xml:space="preserve">#cobblemon:is_forest</x:t>
        </x:is>
      </x:c>
      <x:c r="Q655" s="5" t="inlineStr">
        <x:is>
          <x:t xml:space="preserve">ultra-rare</x:t>
        </x:is>
      </x:c>
      <x:c r="R655" s="5" t="inlineStr">
        <x:is>
          <x:t xml:space="preserve"/>
        </x:is>
      </x:c>
      <x:c r="S655" s="5" t="inlineStr">
        <x:is>
          <x:t xml:space="preserve"/>
        </x:is>
      </x:c>
      <x:c r="T655" s="5" t="inlineStr">
        <x:is>
          <x:t xml:space="preserve">육상</x:t>
        </x:is>
      </x:c>
      <x:c r="U655" s="5" t="inlineStr">
        <x:is>
          <x:t xml:space="preserve">수목</x:t>
        </x:is>
      </x:c>
      <x:c r="V655" s="5" t="inlineStr">
        <x:is>
          <x:t xml:space="preserve">온대</x:t>
        </x:is>
      </x:c>
      <x:c r="W655" s="5" t="inlineStr">
        <x:is>
          <x:t xml:space="preserve">보통</x:t>
        </x:is>
      </x:c>
      <x:c r="X655" s="5" t="inlineStr">
        <x:is>
          <x:t xml:space="preserve">무관</x:t>
        </x:is>
      </x:c>
      <x:c r="Y655" s="5" t="inlineStr">
        <x:is>
          <x:t xml:space="preserve">무관</x:t>
        </x:is>
      </x:c>
      <x:c r="Z655" s="5" t="inlineStr">
        <x:is>
          <x:t xml:space="preserve">희귀</x:t>
        </x:is>
      </x:c>
      <x:c r="AA655" s="5" t="inlineStr">
        <x:is>
          <x:t xml:space="preserve">없음</x:t>
        </x:is>
      </x:c>
      <x:c r="AB655" s="5" t="inlineStr">
        <x:is>
          <x:t xml:space="preserve">숲</x:t>
        </x:is>
      </x:c>
      <x:c r="AC655" s="5" t="inlineStr">
        <x:is>
          <x:t xml:space="preserve">gen6</x:t>
        </x:is>
      </x:c>
      <x:c r="AD655" s="5" t="inlineStr">
        <x:is>
          <x:t xml:space="preserve">.tmp/cobblemon-1.7.3-source/common/src/main/resources/data/cobblemon/species/generation6/quilladin.json</x:t>
        </x:is>
      </x:c>
    </x:row>
    <x:row r="656" ht="22" customHeight="1">
      <x:c r="A656" s="5" t="n">
        <x:v>652</x:v>
      </x:c>
      <x:c r="B656" s="5" t="inlineStr">
        <x:is>
          <x:t xml:space="preserve">브리가론</x:t>
        </x:is>
      </x:c>
      <x:c r="C656" s="5" t="inlineStr">
        <x:is>
          <x:t xml:space="preserve">chesnaught</x:t>
        </x:is>
      </x:c>
      <x:c r="D656" s="5" t="inlineStr">
        <x:is>
          <x:t xml:space="preserve">Chesnaught</x:t>
        </x:is>
      </x:c>
      <x:c r="E656" s="5" t="n">
        <x:v>6</x:v>
      </x:c>
      <x:c r="F656" s="5" t="inlineStr">
        <x:is>
          <x:t xml:space="preserve">풀</x:t>
        </x:is>
      </x:c>
      <x:c r="G656" s="5" t="inlineStr">
        <x:is>
          <x:t xml:space="preserve">격투</x:t>
        </x:is>
      </x:c>
      <x:c r="H656" s="5" t="n">
        <x:v>1.6</x:v>
      </x:c>
      <x:c r="I656" s="5" t="n">
        <x:v>90</x:v>
      </x:c>
      <x:c r="J656" s="5" t="n">
        <x:v>530</x:v>
      </x:c>
      <x:c r="K656" s="5" t="n">
        <x:v>45</x:v>
      </x:c>
      <x:c r="L656" s="5" t="inlineStr">
        <x:is>
          <x:t xml:space="preserve">최종</x:t>
        </x:is>
      </x:c>
      <x:c r="M656" s="5" t="n">
        <x:v>36</x:v>
      </x:c>
      <x:c r="N656" s="5" t="inlineStr">
        <x:is>
          <x:t xml:space="preserve">레벨</x:t>
        </x:is>
      </x:c>
      <x:c r="O656" s="5" t="inlineStr">
        <x:is>
          <x:t xml:space="preserve">예</x:t>
        </x:is>
      </x:c>
      <x:c r="P656" s="5" t="inlineStr">
        <x:is>
          <x:t xml:space="preserve">#cobblemon:is_forest</x:t>
        </x:is>
      </x:c>
      <x:c r="Q656" s="5" t="inlineStr">
        <x:is>
          <x:t xml:space="preserve">ultra-rare</x:t>
        </x:is>
      </x:c>
      <x:c r="R656" s="5" t="inlineStr">
        <x:is>
          <x:t xml:space="preserve"/>
        </x:is>
      </x:c>
      <x:c r="S656" s="5" t="inlineStr">
        <x:is>
          <x:t xml:space="preserve"/>
        </x:is>
      </x:c>
      <x:c r="T656" s="5" t="inlineStr">
        <x:is>
          <x:t xml:space="preserve">육상</x:t>
        </x:is>
      </x:c>
      <x:c r="U656" s="5" t="inlineStr">
        <x:is>
          <x:t xml:space="preserve">수목</x:t>
        </x:is>
      </x:c>
      <x:c r="V656" s="5" t="inlineStr">
        <x:is>
          <x:t xml:space="preserve">온대</x:t>
        </x:is>
      </x:c>
      <x:c r="W656" s="5" t="inlineStr">
        <x:is>
          <x:t xml:space="preserve">보통</x:t>
        </x:is>
      </x:c>
      <x:c r="X656" s="5" t="inlineStr">
        <x:is>
          <x:t xml:space="preserve">무관</x:t>
        </x:is>
      </x:c>
      <x:c r="Y656" s="5" t="inlineStr">
        <x:is>
          <x:t xml:space="preserve">무관</x:t>
        </x:is>
      </x:c>
      <x:c r="Z656" s="5" t="inlineStr">
        <x:is>
          <x:t xml:space="preserve">희귀</x:t>
        </x:is>
      </x:c>
      <x:c r="AA656" s="5" t="inlineStr">
        <x:is>
          <x:t xml:space="preserve">없음</x:t>
        </x:is>
      </x:c>
      <x:c r="AB656" s="5" t="inlineStr">
        <x:is>
          <x:t xml:space="preserve">숲</x:t>
        </x:is>
      </x:c>
      <x:c r="AC656" s="5" t="inlineStr">
        <x:is>
          <x:t xml:space="preserve">gen6</x:t>
        </x:is>
      </x:c>
      <x:c r="AD656" s="5" t="inlineStr">
        <x:is>
          <x:t xml:space="preserve">.tmp/cobblemon-1.7.3-source/common/src/main/resources/data/cobblemon/species/generation6/chesnaught.json</x:t>
        </x:is>
      </x:c>
    </x:row>
    <x:row r="657" ht="22" customHeight="1">
      <x:c r="A657" s="5" t="n">
        <x:v>653</x:v>
      </x:c>
      <x:c r="B657" s="5" t="inlineStr">
        <x:is>
          <x:t xml:space="preserve">푸호꼬</x:t>
        </x:is>
      </x:c>
      <x:c r="C657" s="5" t="inlineStr">
        <x:is>
          <x:t xml:space="preserve">fennekin</x:t>
        </x:is>
      </x:c>
      <x:c r="D657" s="5" t="inlineStr">
        <x:is>
          <x:t xml:space="preserve">Fennekin</x:t>
        </x:is>
      </x:c>
      <x:c r="E657" s="5" t="n">
        <x:v>6</x:v>
      </x:c>
      <x:c r="F657" s="5" t="inlineStr">
        <x:is>
          <x:t xml:space="preserve">불꽃</x:t>
        </x:is>
      </x:c>
      <x:c r="G657" s="5" t="inlineStr">
        <x:is>
          <x:t xml:space="preserve"/>
        </x:is>
      </x:c>
      <x:c r="H657" s="5" t="n">
        <x:v>0.4</x:v>
      </x:c>
      <x:c r="I657" s="5" t="n">
        <x:v>9.4</x:v>
      </x:c>
      <x:c r="J657" s="5" t="n">
        <x:v>307</x:v>
      </x:c>
      <x:c r="K657" s="5" t="n">
        <x:v>45</x:v>
      </x:c>
      <x:c r="L657" s="5" t="inlineStr">
        <x:is>
          <x:t xml:space="preserve">기본</x:t>
        </x:is>
      </x:c>
      <x:c r="M657" s="5" t="n">
        <x:v>36</x:v>
      </x:c>
      <x:c r="N657" s="5" t="inlineStr">
        <x:is>
          <x:t xml:space="preserve">레벨</x:t>
        </x:is>
      </x:c>
      <x:c r="O657" s="5" t="inlineStr">
        <x:is>
          <x:t xml:space="preserve">예</x:t>
        </x:is>
      </x:c>
      <x:c r="P657" s="5" t="inlineStr">
        <x:is>
          <x:t xml:space="preserve">#cobblemon:is_desert</x:t>
        </x:is>
      </x:c>
      <x:c r="Q657" s="5" t="inlineStr">
        <x:is>
          <x:t xml:space="preserve">ultra-rare</x:t>
        </x:is>
      </x:c>
      <x:c r="R657" s="5" t="inlineStr">
        <x:is>
          <x:t xml:space="preserve"/>
        </x:is>
      </x:c>
      <x:c r="S657" s="5" t="inlineStr">
        <x:is>
          <x:t xml:space="preserve"/>
        </x:is>
      </x:c>
      <x:c r="T657" s="5" t="inlineStr">
        <x:is>
          <x:t xml:space="preserve">육상</x:t>
        </x:is>
      </x:c>
      <x:c r="U657" s="5" t="inlineStr">
        <x:is>
          <x:t xml:space="preserve">건조</x:t>
        </x:is>
      </x:c>
      <x:c r="V657" s="5" t="inlineStr">
        <x:is>
          <x:t xml:space="preserve">고온</x:t>
        </x:is>
      </x:c>
      <x:c r="W657" s="5" t="inlineStr">
        <x:is>
          <x:t xml:space="preserve">건조</x:t>
        </x:is>
      </x:c>
      <x:c r="X657" s="5" t="inlineStr">
        <x:is>
          <x:t xml:space="preserve">맑음</x:t>
        </x:is>
      </x:c>
      <x:c r="Y657" s="5" t="inlineStr">
        <x:is>
          <x:t xml:space="preserve">무관</x:t>
        </x:is>
      </x:c>
      <x:c r="Z657" s="5" t="inlineStr">
        <x:is>
          <x:t xml:space="preserve">희귀</x:t>
        </x:is>
      </x:c>
      <x:c r="AA657" s="5" t="inlineStr">
        <x:is>
          <x:t xml:space="preserve">없음</x:t>
        </x:is>
      </x:c>
      <x:c r="AB657" s="5" t="inlineStr">
        <x:is>
          <x:t xml:space="preserve">건조지</x:t>
        </x:is>
      </x:c>
      <x:c r="AC657" s="5" t="inlineStr">
        <x:is>
          <x:t xml:space="preserve">gen6; starter</x:t>
        </x:is>
      </x:c>
      <x:c r="AD657" s="5" t="inlineStr">
        <x:is>
          <x:t xml:space="preserve">.tmp/cobblemon-1.7.3-source/common/src/main/resources/data/cobblemon/species/generation6/fennekin.json</x:t>
        </x:is>
      </x:c>
    </x:row>
    <x:row r="658" ht="22" customHeight="1">
      <x:c r="A658" s="5" t="n">
        <x:v>654</x:v>
      </x:c>
      <x:c r="B658" s="5" t="inlineStr">
        <x:is>
          <x:t xml:space="preserve">테르나</x:t>
        </x:is>
      </x:c>
      <x:c r="C658" s="5" t="inlineStr">
        <x:is>
          <x:t xml:space="preserve">braixen</x:t>
        </x:is>
      </x:c>
      <x:c r="D658" s="5" t="inlineStr">
        <x:is>
          <x:t xml:space="preserve">Braixen</x:t>
        </x:is>
      </x:c>
      <x:c r="E658" s="5" t="n">
        <x:v>6</x:v>
      </x:c>
      <x:c r="F658" s="5" t="inlineStr">
        <x:is>
          <x:t xml:space="preserve">불꽃</x:t>
        </x:is>
      </x:c>
      <x:c r="G658" s="5" t="inlineStr">
        <x:is>
          <x:t xml:space="preserve"/>
        </x:is>
      </x:c>
      <x:c r="H658" s="5" t="n">
        <x:v>1</x:v>
      </x:c>
      <x:c r="I658" s="5" t="n">
        <x:v>14.5</x:v>
      </x:c>
      <x:c r="J658" s="5" t="n">
        <x:v>409</x:v>
      </x:c>
      <x:c r="K658" s="5" t="n">
        <x:v>45</x:v>
      </x:c>
      <x:c r="L658" s="5" t="inlineStr">
        <x:is>
          <x:t xml:space="preserve">중간</x:t>
        </x:is>
      </x:c>
      <x:c r="M658" s="5" t="n">
        <x:v>36</x:v>
      </x:c>
      <x:c r="N658" s="5" t="inlineStr">
        <x:is>
          <x:t xml:space="preserve">레벨</x:t>
        </x:is>
      </x:c>
      <x:c r="O658" s="5" t="inlineStr">
        <x:is>
          <x:t xml:space="preserve">예</x:t>
        </x:is>
      </x:c>
      <x:c r="P658" s="5" t="inlineStr">
        <x:is>
          <x:t xml:space="preserve">#cobblemon:is_desert</x:t>
        </x:is>
      </x:c>
      <x:c r="Q658" s="5" t="inlineStr">
        <x:is>
          <x:t xml:space="preserve">ultra-rare</x:t>
        </x:is>
      </x:c>
      <x:c r="R658" s="5" t="inlineStr">
        <x:is>
          <x:t xml:space="preserve"/>
        </x:is>
      </x:c>
      <x:c r="S658" s="5" t="inlineStr">
        <x:is>
          <x:t xml:space="preserve"/>
        </x:is>
      </x:c>
      <x:c r="T658" s="5" t="inlineStr">
        <x:is>
          <x:t xml:space="preserve">육상</x:t>
        </x:is>
      </x:c>
      <x:c r="U658" s="5" t="inlineStr">
        <x:is>
          <x:t xml:space="preserve">건조</x:t>
        </x:is>
      </x:c>
      <x:c r="V658" s="5" t="inlineStr">
        <x:is>
          <x:t xml:space="preserve">고온</x:t>
        </x:is>
      </x:c>
      <x:c r="W658" s="5" t="inlineStr">
        <x:is>
          <x:t xml:space="preserve">건조</x:t>
        </x:is>
      </x:c>
      <x:c r="X658" s="5" t="inlineStr">
        <x:is>
          <x:t xml:space="preserve">맑음</x:t>
        </x:is>
      </x:c>
      <x:c r="Y658" s="5" t="inlineStr">
        <x:is>
          <x:t xml:space="preserve">무관</x:t>
        </x:is>
      </x:c>
      <x:c r="Z658" s="5" t="inlineStr">
        <x:is>
          <x:t xml:space="preserve">희귀</x:t>
        </x:is>
      </x:c>
      <x:c r="AA658" s="5" t="inlineStr">
        <x:is>
          <x:t xml:space="preserve">없음</x:t>
        </x:is>
      </x:c>
      <x:c r="AB658" s="5" t="inlineStr">
        <x:is>
          <x:t xml:space="preserve">건조지</x:t>
        </x:is>
      </x:c>
      <x:c r="AC658" s="5" t="inlineStr">
        <x:is>
          <x:t xml:space="preserve">gen6</x:t>
        </x:is>
      </x:c>
      <x:c r="AD658" s="5" t="inlineStr">
        <x:is>
          <x:t xml:space="preserve">.tmp/cobblemon-1.7.3-source/common/src/main/resources/data/cobblemon/species/generation6/braixen.json</x:t>
        </x:is>
      </x:c>
    </x:row>
    <x:row r="659" ht="22" customHeight="1">
      <x:c r="A659" s="5" t="n">
        <x:v>655</x:v>
      </x:c>
      <x:c r="B659" s="5" t="inlineStr">
        <x:is>
          <x:t xml:space="preserve">마폭시</x:t>
        </x:is>
      </x:c>
      <x:c r="C659" s="5" t="inlineStr">
        <x:is>
          <x:t xml:space="preserve">delphox</x:t>
        </x:is>
      </x:c>
      <x:c r="D659" s="5" t="inlineStr">
        <x:is>
          <x:t xml:space="preserve">Delphox</x:t>
        </x:is>
      </x:c>
      <x:c r="E659" s="5" t="n">
        <x:v>6</x:v>
      </x:c>
      <x:c r="F659" s="5" t="inlineStr">
        <x:is>
          <x:t xml:space="preserve">불꽃</x:t>
        </x:is>
      </x:c>
      <x:c r="G659" s="5" t="inlineStr">
        <x:is>
          <x:t xml:space="preserve">에스퍼</x:t>
        </x:is>
      </x:c>
      <x:c r="H659" s="5" t="n">
        <x:v>1.5</x:v>
      </x:c>
      <x:c r="I659" s="5" t="n">
        <x:v>39</x:v>
      </x:c>
      <x:c r="J659" s="5" t="n">
        <x:v>534</x:v>
      </x:c>
      <x:c r="K659" s="5" t="n">
        <x:v>45</x:v>
      </x:c>
      <x:c r="L659" s="5" t="inlineStr">
        <x:is>
          <x:t xml:space="preserve">최종</x:t>
        </x:is>
      </x:c>
      <x:c r="M659" s="5" t="n">
        <x:v>36</x:v>
      </x:c>
      <x:c r="N659" s="5" t="inlineStr">
        <x:is>
          <x:t xml:space="preserve">레벨</x:t>
        </x:is>
      </x:c>
      <x:c r="O659" s="5" t="inlineStr">
        <x:is>
          <x:t xml:space="preserve">예</x:t>
        </x:is>
      </x:c>
      <x:c r="P659" s="5" t="inlineStr">
        <x:is>
          <x:t xml:space="preserve">#cobblemon:is_desert</x:t>
        </x:is>
      </x:c>
      <x:c r="Q659" s="5" t="inlineStr">
        <x:is>
          <x:t xml:space="preserve">ultra-rare</x:t>
        </x:is>
      </x:c>
      <x:c r="R659" s="5" t="inlineStr">
        <x:is>
          <x:t xml:space="preserve"/>
        </x:is>
      </x:c>
      <x:c r="S659" s="5" t="inlineStr">
        <x:is>
          <x:t xml:space="preserve"/>
        </x:is>
      </x:c>
      <x:c r="T659" s="5" t="inlineStr">
        <x:is>
          <x:t xml:space="preserve">육상</x:t>
        </x:is>
      </x:c>
      <x:c r="U659" s="5" t="inlineStr">
        <x:is>
          <x:t xml:space="preserve">건조</x:t>
        </x:is>
      </x:c>
      <x:c r="V659" s="5" t="inlineStr">
        <x:is>
          <x:t xml:space="preserve">고온</x:t>
        </x:is>
      </x:c>
      <x:c r="W659" s="5" t="inlineStr">
        <x:is>
          <x:t xml:space="preserve">건조</x:t>
        </x:is>
      </x:c>
      <x:c r="X659" s="5" t="inlineStr">
        <x:is>
          <x:t xml:space="preserve">맑음</x:t>
        </x:is>
      </x:c>
      <x:c r="Y659" s="5" t="inlineStr">
        <x:is>
          <x:t xml:space="preserve">무관</x:t>
        </x:is>
      </x:c>
      <x:c r="Z659" s="5" t="inlineStr">
        <x:is>
          <x:t xml:space="preserve">희귀</x:t>
        </x:is>
      </x:c>
      <x:c r="AA659" s="5" t="inlineStr">
        <x:is>
          <x:t xml:space="preserve">없음</x:t>
        </x:is>
      </x:c>
      <x:c r="AB659" s="5" t="inlineStr">
        <x:is>
          <x:t xml:space="preserve">건조지</x:t>
        </x:is>
      </x:c>
      <x:c r="AC659" s="5" t="inlineStr">
        <x:is>
          <x:t xml:space="preserve">gen6</x:t>
        </x:is>
      </x:c>
      <x:c r="AD659" s="5" t="inlineStr">
        <x:is>
          <x:t xml:space="preserve">.tmp/cobblemon-1.7.3-source/common/src/main/resources/data/cobblemon/species/generation6/delphox.json</x:t>
        </x:is>
      </x:c>
    </x:row>
    <x:row r="660" ht="22" customHeight="1">
      <x:c r="A660" s="5" t="n">
        <x:v>656</x:v>
      </x:c>
      <x:c r="B660" s="5" t="inlineStr">
        <x:is>
          <x:t xml:space="preserve">개구마르</x:t>
        </x:is>
      </x:c>
      <x:c r="C660" s="5" t="inlineStr">
        <x:is>
          <x:t xml:space="preserve">froakie</x:t>
        </x:is>
      </x:c>
      <x:c r="D660" s="5" t="inlineStr">
        <x:is>
          <x:t xml:space="preserve">Froakie</x:t>
        </x:is>
      </x:c>
      <x:c r="E660" s="5" t="n">
        <x:v>6</x:v>
      </x:c>
      <x:c r="F660" s="5" t="inlineStr">
        <x:is>
          <x:t xml:space="preserve">물</x:t>
        </x:is>
      </x:c>
      <x:c r="G660" s="5" t="inlineStr">
        <x:is>
          <x:t xml:space="preserve"/>
        </x:is>
      </x:c>
      <x:c r="H660" s="5" t="n">
        <x:v>0.3</x:v>
      </x:c>
      <x:c r="I660" s="5" t="n">
        <x:v>7</x:v>
      </x:c>
      <x:c r="J660" s="5" t="n">
        <x:v>314</x:v>
      </x:c>
      <x:c r="K660" s="5" t="n">
        <x:v>45</x:v>
      </x:c>
      <x:c r="L660" s="5" t="inlineStr">
        <x:is>
          <x:t xml:space="preserve">기본</x:t>
        </x:is>
      </x:c>
      <x:c r="M660" s="5" t="n">
        <x:v>36</x:v>
      </x:c>
      <x:c r="N660" s="5" t="inlineStr">
        <x:is>
          <x:t xml:space="preserve">레벨</x:t>
        </x:is>
      </x:c>
      <x:c r="O660" s="5" t="inlineStr">
        <x:is>
          <x:t xml:space="preserve">예</x:t>
        </x:is>
      </x:c>
      <x:c r="P660" s="5" t="inlineStr">
        <x:is>
          <x:t xml:space="preserve">#cobblemon:is_bamboo; #cobblemon:is_freshwater; #cobblemon:is_jungle</x:t>
        </x:is>
      </x:c>
      <x:c r="Q660" s="5" t="inlineStr">
        <x:is>
          <x:t xml:space="preserve">ultra-rare</x:t>
        </x:is>
      </x:c>
      <x:c r="R660" s="5" t="inlineStr">
        <x:is>
          <x:t xml:space="preserve"/>
        </x:is>
      </x:c>
      <x:c r="S660" s="5" t="inlineStr">
        <x:is>
          <x:t xml:space="preserve"/>
        </x:is>
      </x:c>
      <x:c r="T660" s="5" t="inlineStr">
        <x:is>
          <x:t xml:space="preserve">담수</x:t>
        </x:is>
      </x:c>
      <x:c r="U660" s="5" t="inlineStr">
        <x:is>
          <x:t xml:space="preserve">담수</x:t>
        </x:is>
      </x:c>
      <x:c r="V660" s="5" t="inlineStr">
        <x:is>
          <x:t xml:space="preserve">온대</x:t>
        </x:is>
      </x:c>
      <x:c r="W660" s="5" t="inlineStr">
        <x:is>
          <x:t xml:space="preserve">수중</x:t>
        </x:is>
      </x:c>
      <x:c r="X660" s="5" t="inlineStr">
        <x:is>
          <x:t xml:space="preserve">비</x:t>
        </x:is>
      </x:c>
      <x:c r="Y660" s="5" t="inlineStr">
        <x:is>
          <x:t xml:space="preserve">무관</x:t>
        </x:is>
      </x:c>
      <x:c r="Z660" s="5" t="inlineStr">
        <x:is>
          <x:t xml:space="preserve">희귀</x:t>
        </x:is>
      </x:c>
      <x:c r="AA660" s="5" t="inlineStr">
        <x:is>
          <x:t xml:space="preserve">없음</x:t>
        </x:is>
      </x:c>
      <x:c r="AB660" s="5" t="inlineStr">
        <x:is>
          <x:t xml:space="preserve">담수</x:t>
        </x:is>
      </x:c>
      <x:c r="AC660" s="5" t="inlineStr">
        <x:is>
          <x:t xml:space="preserve">gen6; starter</x:t>
        </x:is>
      </x:c>
      <x:c r="AD660" s="5" t="inlineStr">
        <x:is>
          <x:t xml:space="preserve">.tmp/cobblemon-1.7.3-source/common/src/main/resources/data/cobblemon/species/generation6/froakie.json</x:t>
        </x:is>
      </x:c>
    </x:row>
    <x:row r="661" ht="22" customHeight="1">
      <x:c r="A661" s="5" t="n">
        <x:v>657</x:v>
      </x:c>
      <x:c r="B661" s="5" t="inlineStr">
        <x:is>
          <x:t xml:space="preserve">개굴반장</x:t>
        </x:is>
      </x:c>
      <x:c r="C661" s="5" t="inlineStr">
        <x:is>
          <x:t xml:space="preserve">frogadier</x:t>
        </x:is>
      </x:c>
      <x:c r="D661" s="5" t="inlineStr">
        <x:is>
          <x:t xml:space="preserve">Frogadier</x:t>
        </x:is>
      </x:c>
      <x:c r="E661" s="5" t="n">
        <x:v>6</x:v>
      </x:c>
      <x:c r="F661" s="5" t="inlineStr">
        <x:is>
          <x:t xml:space="preserve">물</x:t>
        </x:is>
      </x:c>
      <x:c r="G661" s="5" t="inlineStr">
        <x:is>
          <x:t xml:space="preserve"/>
        </x:is>
      </x:c>
      <x:c r="H661" s="5" t="n">
        <x:v>0.6</x:v>
      </x:c>
      <x:c r="I661" s="5" t="n">
        <x:v>10.9</x:v>
      </x:c>
      <x:c r="J661" s="5" t="n">
        <x:v>405</x:v>
      </x:c>
      <x:c r="K661" s="5" t="n">
        <x:v>45</x:v>
      </x:c>
      <x:c r="L661" s="5" t="inlineStr">
        <x:is>
          <x:t xml:space="preserve">중간</x:t>
        </x:is>
      </x:c>
      <x:c r="M661" s="5" t="n">
        <x:v>36</x:v>
      </x:c>
      <x:c r="N661" s="5" t="inlineStr">
        <x:is>
          <x:t xml:space="preserve">레벨</x:t>
        </x:is>
      </x:c>
      <x:c r="O661" s="5" t="inlineStr">
        <x:is>
          <x:t xml:space="preserve">예</x:t>
        </x:is>
      </x:c>
      <x:c r="P661" s="5" t="inlineStr">
        <x:is>
          <x:t xml:space="preserve">#cobblemon:is_bamboo; #cobblemon:is_freshwater; #cobblemon:is_jungle</x:t>
        </x:is>
      </x:c>
      <x:c r="Q661" s="5" t="inlineStr">
        <x:is>
          <x:t xml:space="preserve">ultra-rare</x:t>
        </x:is>
      </x:c>
      <x:c r="R661" s="5" t="inlineStr">
        <x:is>
          <x:t xml:space="preserve"/>
        </x:is>
      </x:c>
      <x:c r="S661" s="5" t="inlineStr">
        <x:is>
          <x:t xml:space="preserve"/>
        </x:is>
      </x:c>
      <x:c r="T661" s="5" t="inlineStr">
        <x:is>
          <x:t xml:space="preserve">담수</x:t>
        </x:is>
      </x:c>
      <x:c r="U661" s="5" t="inlineStr">
        <x:is>
          <x:t xml:space="preserve">담수</x:t>
        </x:is>
      </x:c>
      <x:c r="V661" s="5" t="inlineStr">
        <x:is>
          <x:t xml:space="preserve">온대</x:t>
        </x:is>
      </x:c>
      <x:c r="W661" s="5" t="inlineStr">
        <x:is>
          <x:t xml:space="preserve">수중</x:t>
        </x:is>
      </x:c>
      <x:c r="X661" s="5" t="inlineStr">
        <x:is>
          <x:t xml:space="preserve">비</x:t>
        </x:is>
      </x:c>
      <x:c r="Y661" s="5" t="inlineStr">
        <x:is>
          <x:t xml:space="preserve">무관</x:t>
        </x:is>
      </x:c>
      <x:c r="Z661" s="5" t="inlineStr">
        <x:is>
          <x:t xml:space="preserve">희귀</x:t>
        </x:is>
      </x:c>
      <x:c r="AA661" s="5" t="inlineStr">
        <x:is>
          <x:t xml:space="preserve">없음</x:t>
        </x:is>
      </x:c>
      <x:c r="AB661" s="5" t="inlineStr">
        <x:is>
          <x:t xml:space="preserve">담수</x:t>
        </x:is>
      </x:c>
      <x:c r="AC661" s="5" t="inlineStr">
        <x:is>
          <x:t xml:space="preserve">gen6</x:t>
        </x:is>
      </x:c>
      <x:c r="AD661" s="5" t="inlineStr">
        <x:is>
          <x:t xml:space="preserve">.tmp/cobblemon-1.7.3-source/common/src/main/resources/data/cobblemon/species/generation6/frogadier.json</x:t>
        </x:is>
      </x:c>
    </x:row>
    <x:row r="662" ht="22" customHeight="1">
      <x:c r="A662" s="5" t="n">
        <x:v>658</x:v>
      </x:c>
      <x:c r="B662" s="5" t="inlineStr">
        <x:is>
          <x:t xml:space="preserve">개굴닌자</x:t>
        </x:is>
      </x:c>
      <x:c r="C662" s="5" t="inlineStr">
        <x:is>
          <x:t xml:space="preserve">greninja</x:t>
        </x:is>
      </x:c>
      <x:c r="D662" s="5" t="inlineStr">
        <x:is>
          <x:t xml:space="preserve">Greninja</x:t>
        </x:is>
      </x:c>
      <x:c r="E662" s="5" t="n">
        <x:v>6</x:v>
      </x:c>
      <x:c r="F662" s="5" t="inlineStr">
        <x:is>
          <x:t xml:space="preserve">물</x:t>
        </x:is>
      </x:c>
      <x:c r="G662" s="5" t="inlineStr">
        <x:is>
          <x:t xml:space="preserve">악</x:t>
        </x:is>
      </x:c>
      <x:c r="H662" s="5" t="n">
        <x:v>1.5</x:v>
      </x:c>
      <x:c r="I662" s="5" t="n">
        <x:v>40</x:v>
      </x:c>
      <x:c r="J662" s="5" t="n">
        <x:v>530</x:v>
      </x:c>
      <x:c r="K662" s="5" t="n">
        <x:v>45</x:v>
      </x:c>
      <x:c r="L662" s="5" t="inlineStr">
        <x:is>
          <x:t xml:space="preserve">최종</x:t>
        </x:is>
      </x:c>
      <x:c r="M662" s="5" t="n">
        <x:v>36</x:v>
      </x:c>
      <x:c r="N662" s="5" t="inlineStr">
        <x:is>
          <x:t xml:space="preserve">레벨</x:t>
        </x:is>
      </x:c>
      <x:c r="O662" s="5" t="inlineStr">
        <x:is>
          <x:t xml:space="preserve">예</x:t>
        </x:is>
      </x:c>
      <x:c r="P662" s="5" t="inlineStr">
        <x:is>
          <x:t xml:space="preserve">#cobblemon:is_bamboo; #cobblemon:is_freshwater; #cobblemon:is_jungle</x:t>
        </x:is>
      </x:c>
      <x:c r="Q662" s="5" t="inlineStr">
        <x:is>
          <x:t xml:space="preserve">ultra-rare</x:t>
        </x:is>
      </x:c>
      <x:c r="R662" s="5" t="inlineStr">
        <x:is>
          <x:t xml:space="preserve"/>
        </x:is>
      </x:c>
      <x:c r="S662" s="5" t="inlineStr">
        <x:is>
          <x:t xml:space="preserve"/>
        </x:is>
      </x:c>
      <x:c r="T662" s="5" t="inlineStr">
        <x:is>
          <x:t xml:space="preserve">담수</x:t>
        </x:is>
      </x:c>
      <x:c r="U662" s="5" t="inlineStr">
        <x:is>
          <x:t xml:space="preserve">담수</x:t>
        </x:is>
      </x:c>
      <x:c r="V662" s="5" t="inlineStr">
        <x:is>
          <x:t xml:space="preserve">온대</x:t>
        </x:is>
      </x:c>
      <x:c r="W662" s="5" t="inlineStr">
        <x:is>
          <x:t xml:space="preserve">수중</x:t>
        </x:is>
      </x:c>
      <x:c r="X662" s="5" t="inlineStr">
        <x:is>
          <x:t xml:space="preserve">비</x:t>
        </x:is>
      </x:c>
      <x:c r="Y662" s="5" t="inlineStr">
        <x:is>
          <x:t xml:space="preserve">밤</x:t>
        </x:is>
      </x:c>
      <x:c r="Z662" s="5" t="inlineStr">
        <x:is>
          <x:t xml:space="preserve">희귀</x:t>
        </x:is>
      </x:c>
      <x:c r="AA662" s="5" t="inlineStr">
        <x:is>
          <x:t xml:space="preserve">없음</x:t>
        </x:is>
      </x:c>
      <x:c r="AB662" s="5" t="inlineStr">
        <x:is>
          <x:t xml:space="preserve">담수</x:t>
        </x:is>
      </x:c>
      <x:c r="AC662" s="5" t="inlineStr">
        <x:is>
          <x:t xml:space="preserve">gen6</x:t>
        </x:is>
      </x:c>
      <x:c r="AD662" s="5" t="inlineStr">
        <x:is>
          <x:t xml:space="preserve">.tmp/cobblemon-1.7.3-source/common/src/main/resources/data/cobblemon/species/generation6/greninja.json</x:t>
        </x:is>
      </x:c>
    </x:row>
    <x:row r="663" ht="22" customHeight="1">
      <x:c r="A663" s="5" t="n">
        <x:v>659</x:v>
      </x:c>
      <x:c r="B663" s="5" t="inlineStr">
        <x:is>
          <x:t xml:space="preserve">파르빗</x:t>
        </x:is>
      </x:c>
      <x:c r="C663" s="5" t="inlineStr">
        <x:is>
          <x:t xml:space="preserve">bunnelby</x:t>
        </x:is>
      </x:c>
      <x:c r="D663" s="5" t="inlineStr">
        <x:is>
          <x:t xml:space="preserve">Bunnelby</x:t>
        </x:is>
      </x:c>
      <x:c r="E663" s="5" t="n">
        <x:v>6</x:v>
      </x:c>
      <x:c r="F663" s="5" t="inlineStr">
        <x:is>
          <x:t xml:space="preserve">노말</x:t>
        </x:is>
      </x:c>
      <x:c r="G663" s="5" t="inlineStr">
        <x:is>
          <x:t xml:space="preserve"/>
        </x:is>
      </x:c>
      <x:c r="H663" s="5" t="n">
        <x:v>0.4</x:v>
      </x:c>
      <x:c r="I663" s="5" t="n">
        <x:v>5</x:v>
      </x:c>
      <x:c r="J663" s="5" t="n">
        <x:v>237</x:v>
      </x:c>
      <x:c r="K663" s="5" t="n">
        <x:v>255</x:v>
      </x:c>
      <x:c r="L663" s="5" t="inlineStr">
        <x:is>
          <x:t xml:space="preserve">기본</x:t>
        </x:is>
      </x:c>
      <x:c r="M663" s="5" t="n">
        <x:v>20</x:v>
      </x:c>
      <x:c r="N663" s="5" t="inlineStr">
        <x:is>
          <x:t xml:space="preserve">레벨</x:t>
        </x:is>
      </x:c>
      <x:c r="O663" s="5" t="inlineStr">
        <x:is>
          <x:t xml:space="preserve">예</x:t>
        </x:is>
      </x:c>
      <x:c r="P663" s="5" t="inlineStr">
        <x:is>
          <x:t xml:space="preserve">#cobblemon:is_hills; #cobblemon:is_temperate</x:t>
        </x:is>
      </x:c>
      <x:c r="Q663" s="5" t="inlineStr">
        <x:is>
          <x:t xml:space="preserve">common</x:t>
        </x:is>
      </x:c>
      <x:c r="R663" s="5" t="inlineStr">
        <x:is>
          <x:t xml:space="preserve"/>
        </x:is>
      </x:c>
      <x:c r="S663" s="5" t="inlineStr">
        <x:is>
          <x:t xml:space="preserve"/>
        </x:is>
      </x:c>
      <x:c r="T663" s="5" t="inlineStr">
        <x:is>
          <x:t xml:space="preserve">육상</x:t>
        </x:is>
      </x:c>
      <x:c r="U663" s="5" t="inlineStr">
        <x:is>
          <x:t xml:space="preserve">암석</x:t>
        </x:is>
      </x:c>
      <x:c r="V663" s="5" t="inlineStr">
        <x:is>
          <x:t xml:space="preserve">온대</x:t>
        </x:is>
      </x:c>
      <x:c r="W663" s="5" t="inlineStr">
        <x:is>
          <x:t xml:space="preserve">보통</x:t>
        </x:is>
      </x:c>
      <x:c r="X663" s="5" t="inlineStr">
        <x:is>
          <x:t xml:space="preserve">무관</x:t>
        </x:is>
      </x:c>
      <x:c r="Y663" s="5" t="inlineStr">
        <x:is>
          <x:t xml:space="preserve">무관</x:t>
        </x:is>
      </x:c>
      <x:c r="Z663" s="5" t="inlineStr">
        <x:is>
          <x:t xml:space="preserve">흔함</x:t>
        </x:is>
      </x:c>
      <x:c r="AA663" s="5" t="inlineStr">
        <x:is>
          <x:t xml:space="preserve">없음</x:t>
        </x:is>
      </x:c>
      <x:c r="AB663" s="5" t="inlineStr">
        <x:is>
          <x:t xml:space="preserve">산악</x:t>
        </x:is>
      </x:c>
      <x:c r="AC663" s="5" t="inlineStr">
        <x:is>
          <x:t xml:space="preserve">gen6</x:t>
        </x:is>
      </x:c>
      <x:c r="AD663" s="5" t="inlineStr">
        <x:is>
          <x:t xml:space="preserve">.tmp/cobblemon-1.7.3-source/common/src/main/resources/data/cobblemon/species/generation6/bunnelby.json</x:t>
        </x:is>
      </x:c>
    </x:row>
    <x:row r="664" ht="22" customHeight="1">
      <x:c r="A664" s="5" t="n">
        <x:v>660</x:v>
      </x:c>
      <x:c r="B664" s="5" t="inlineStr">
        <x:is>
          <x:t xml:space="preserve">파르토</x:t>
        </x:is>
      </x:c>
      <x:c r="C664" s="5" t="inlineStr">
        <x:is>
          <x:t xml:space="preserve">diggersby</x:t>
        </x:is>
      </x:c>
      <x:c r="D664" s="5" t="inlineStr">
        <x:is>
          <x:t xml:space="preserve">Diggersby</x:t>
        </x:is>
      </x:c>
      <x:c r="E664" s="5" t="n">
        <x:v>6</x:v>
      </x:c>
      <x:c r="F664" s="5" t="inlineStr">
        <x:is>
          <x:t xml:space="preserve">노말</x:t>
        </x:is>
      </x:c>
      <x:c r="G664" s="5" t="inlineStr">
        <x:is>
          <x:t xml:space="preserve">땅</x:t>
        </x:is>
      </x:c>
      <x:c r="H664" s="5" t="n">
        <x:v>1</x:v>
      </x:c>
      <x:c r="I664" s="5" t="n">
        <x:v>42.4</x:v>
      </x:c>
      <x:c r="J664" s="5" t="n">
        <x:v>423</x:v>
      </x:c>
      <x:c r="K664" s="5" t="n">
        <x:v>127</x:v>
      </x:c>
      <x:c r="L664" s="5" t="inlineStr">
        <x:is>
          <x:t xml:space="preserve">최종</x:t>
        </x:is>
      </x:c>
      <x:c r="M664" s="5" t="n">
        <x:v>20</x:v>
      </x:c>
      <x:c r="N664" s="5" t="inlineStr">
        <x:is>
          <x:t xml:space="preserve">레벨</x:t>
        </x:is>
      </x:c>
      <x:c r="O664" s="5" t="inlineStr">
        <x:is>
          <x:t xml:space="preserve">예</x:t>
        </x:is>
      </x:c>
      <x:c r="P664" s="5" t="inlineStr">
        <x:is>
          <x:t xml:space="preserve">#cobblemon:is_hills; #cobblemon:is_temperate</x:t>
        </x:is>
      </x:c>
      <x:c r="Q664" s="5" t="inlineStr">
        <x:is>
          <x:t xml:space="preserve">common</x:t>
        </x:is>
      </x:c>
      <x:c r="R664" s="5" t="inlineStr">
        <x:is>
          <x:t xml:space="preserve"/>
        </x:is>
      </x:c>
      <x:c r="S664" s="5" t="inlineStr">
        <x:is>
          <x:t xml:space="preserve"/>
        </x:is>
      </x:c>
      <x:c r="T664" s="5" t="inlineStr">
        <x:is>
          <x:t xml:space="preserve">육상</x:t>
        </x:is>
      </x:c>
      <x:c r="U664" s="5" t="inlineStr">
        <x:is>
          <x:t xml:space="preserve">암석</x:t>
        </x:is>
      </x:c>
      <x:c r="V664" s="5" t="inlineStr">
        <x:is>
          <x:t xml:space="preserve">온대</x:t>
        </x:is>
      </x:c>
      <x:c r="W664" s="5" t="inlineStr">
        <x:is>
          <x:t xml:space="preserve">보통</x:t>
        </x:is>
      </x:c>
      <x:c r="X664" s="5" t="inlineStr">
        <x:is>
          <x:t xml:space="preserve">무관</x:t>
        </x:is>
      </x:c>
      <x:c r="Y664" s="5" t="inlineStr">
        <x:is>
          <x:t xml:space="preserve">무관</x:t>
        </x:is>
      </x:c>
      <x:c r="Z664" s="5" t="inlineStr">
        <x:is>
          <x:t xml:space="preserve">흔함</x:t>
        </x:is>
      </x:c>
      <x:c r="AA664" s="5" t="inlineStr">
        <x:is>
          <x:t xml:space="preserve">없음</x:t>
        </x:is>
      </x:c>
      <x:c r="AB664" s="5" t="inlineStr">
        <x:is>
          <x:t xml:space="preserve">산악</x:t>
        </x:is>
      </x:c>
      <x:c r="AC664" s="5" t="inlineStr">
        <x:is>
          <x:t xml:space="preserve">gen6</x:t>
        </x:is>
      </x:c>
      <x:c r="AD664" s="5" t="inlineStr">
        <x:is>
          <x:t xml:space="preserve">.tmp/cobblemon-1.7.3-source/common/src/main/resources/data/cobblemon/species/generation6/diggersby.json</x:t>
        </x:is>
      </x:c>
    </x:row>
    <x:row r="665" ht="22" customHeight="1">
      <x:c r="A665" s="5" t="n">
        <x:v>661</x:v>
      </x:c>
      <x:c r="B665" s="5" t="inlineStr">
        <x:is>
          <x:t xml:space="preserve">화살꼬빈</x:t>
        </x:is>
      </x:c>
      <x:c r="C665" s="5" t="inlineStr">
        <x:is>
          <x:t xml:space="preserve">fletchling</x:t>
        </x:is>
      </x:c>
      <x:c r="D665" s="5" t="inlineStr">
        <x:is>
          <x:t xml:space="preserve">Fletchling</x:t>
        </x:is>
      </x:c>
      <x:c r="E665" s="5" t="n">
        <x:v>6</x:v>
      </x:c>
      <x:c r="F665" s="5" t="inlineStr">
        <x:is>
          <x:t xml:space="preserve">노말</x:t>
        </x:is>
      </x:c>
      <x:c r="G665" s="5" t="inlineStr">
        <x:is>
          <x:t xml:space="preserve">비행</x:t>
        </x:is>
      </x:c>
      <x:c r="H665" s="5" t="n">
        <x:v>0.3</x:v>
      </x:c>
      <x:c r="I665" s="5" t="n">
        <x:v>1.7</x:v>
      </x:c>
      <x:c r="J665" s="5" t="n">
        <x:v>278</x:v>
      </x:c>
      <x:c r="K665" s="5" t="n">
        <x:v>255</x:v>
      </x:c>
      <x:c r="L665" s="5" t="inlineStr">
        <x:is>
          <x:t xml:space="preserve">기본</x:t>
        </x:is>
      </x:c>
      <x:c r="M665" s="5" t="n">
        <x:v>35</x:v>
      </x:c>
      <x:c r="N665" s="5" t="inlineStr">
        <x:is>
          <x:t xml:space="preserve">레벨</x:t>
        </x:is>
      </x:c>
      <x:c r="O665" s="5" t="inlineStr">
        <x:is>
          <x:t xml:space="preserve">예</x:t>
        </x:is>
      </x:c>
      <x:c r="P665" s="5" t="inlineStr">
        <x:is>
          <x:t xml:space="preserve">#cobblemon:is_forest; #cobblemon:is_sky; #cobblemon:is_taiga; #cobblemon:nether/is_forest; #cobblemon:nether/is_fungus; aether:skyroot_forest; aether:skyroot_woodland</x:t>
        </x:is>
      </x:c>
      <x:c r="Q665" s="5" t="inlineStr">
        <x:is>
          <x:t xml:space="preserve">common</x:t>
        </x:is>
      </x:c>
      <x:c r="R665" s="5" t="inlineStr">
        <x:is>
          <x:t xml:space="preserve">day</x:t>
        </x:is>
      </x:c>
      <x:c r="S665" s="5" t="inlineStr">
        <x:is>
          <x:t xml:space="preserve"/>
        </x:is>
      </x:c>
      <x:c r="T665" s="5" t="inlineStr">
        <x:is>
          <x:t xml:space="preserve">비행</x:t>
        </x:is>
      </x:c>
      <x:c r="U665" s="5" t="inlineStr">
        <x:is>
          <x:t xml:space="preserve">수목</x:t>
        </x:is>
      </x:c>
      <x:c r="V665" s="5" t="inlineStr">
        <x:is>
          <x:t xml:space="preserve">서늘</x:t>
        </x:is>
      </x:c>
      <x:c r="W665" s="5" t="inlineStr">
        <x:is>
          <x:t xml:space="preserve">보통</x:t>
        </x:is>
      </x:c>
      <x:c r="X665" s="5" t="inlineStr">
        <x:is>
          <x:t xml:space="preserve">무관</x:t>
        </x:is>
      </x:c>
      <x:c r="Y665" s="5" t="inlineStr">
        <x:is>
          <x:t xml:space="preserve">낮</x:t>
        </x:is>
      </x:c>
      <x:c r="Z665" s="5" t="inlineStr">
        <x:is>
          <x:t xml:space="preserve">흔함</x:t>
        </x:is>
      </x:c>
      <x:c r="AA665" s="5" t="inlineStr">
        <x:is>
          <x:t xml:space="preserve">없음</x:t>
        </x:is>
      </x:c>
      <x:c r="AB665" s="5" t="inlineStr">
        <x:is>
          <x:t xml:space="preserve">숲</x:t>
        </x:is>
      </x:c>
      <x:c r="AC665" s="5" t="inlineStr">
        <x:is>
          <x:t xml:space="preserve">gen6</x:t>
        </x:is>
      </x:c>
      <x:c r="AD665" s="5" t="inlineStr">
        <x:is>
          <x:t xml:space="preserve">.tmp/cobblemon-1.7.3-source/common/src/main/resources/data/cobblemon/species/generation6/fletchling.json</x:t>
        </x:is>
      </x:c>
    </x:row>
    <x:row r="666" ht="22" customHeight="1">
      <x:c r="A666" s="5" t="n">
        <x:v>662</x:v>
      </x:c>
      <x:c r="B666" s="5" t="inlineStr">
        <x:is>
          <x:t xml:space="preserve">불화살빈</x:t>
        </x:is>
      </x:c>
      <x:c r="C666" s="5" t="inlineStr">
        <x:is>
          <x:t xml:space="preserve">fletchinder</x:t>
        </x:is>
      </x:c>
      <x:c r="D666" s="5" t="inlineStr">
        <x:is>
          <x:t xml:space="preserve">Fletchinder</x:t>
        </x:is>
      </x:c>
      <x:c r="E666" s="5" t="n">
        <x:v>6</x:v>
      </x:c>
      <x:c r="F666" s="5" t="inlineStr">
        <x:is>
          <x:t xml:space="preserve">불꽃</x:t>
        </x:is>
      </x:c>
      <x:c r="G666" s="5" t="inlineStr">
        <x:is>
          <x:t xml:space="preserve">비행</x:t>
        </x:is>
      </x:c>
      <x:c r="H666" s="5" t="n">
        <x:v>0.7</x:v>
      </x:c>
      <x:c r="I666" s="5" t="n">
        <x:v>16</x:v>
      </x:c>
      <x:c r="J666" s="5" t="n">
        <x:v>382</x:v>
      </x:c>
      <x:c r="K666" s="5" t="n">
        <x:v>120</x:v>
      </x:c>
      <x:c r="L666" s="5" t="inlineStr">
        <x:is>
          <x:t xml:space="preserve">중간</x:t>
        </x:is>
      </x:c>
      <x:c r="M666" s="5" t="n">
        <x:v>35</x:v>
      </x:c>
      <x:c r="N666" s="5" t="inlineStr">
        <x:is>
          <x:t xml:space="preserve">레벨</x:t>
        </x:is>
      </x:c>
      <x:c r="O666" s="5" t="inlineStr">
        <x:is>
          <x:t xml:space="preserve">예</x:t>
        </x:is>
      </x:c>
      <x:c r="P666" s="5" t="inlineStr">
        <x:is>
          <x:t xml:space="preserve">#cobblemon:is_forest; #cobblemon:is_sky; #cobblemon:is_taiga; #cobblemon:nether/is_forest; #cobblemon:nether/is_fungus; aether:skyroot_forest; aether:skyroot_woodland</x:t>
        </x:is>
      </x:c>
      <x:c r="Q666" s="5" t="inlineStr">
        <x:is>
          <x:t xml:space="preserve">common</x:t>
        </x:is>
      </x:c>
      <x:c r="R666" s="5" t="inlineStr">
        <x:is>
          <x:t xml:space="preserve">day</x:t>
        </x:is>
      </x:c>
      <x:c r="S666" s="5" t="inlineStr">
        <x:is>
          <x:t xml:space="preserve"/>
        </x:is>
      </x:c>
      <x:c r="T666" s="5" t="inlineStr">
        <x:is>
          <x:t xml:space="preserve">비행</x:t>
        </x:is>
      </x:c>
      <x:c r="U666" s="5" t="inlineStr">
        <x:is>
          <x:t xml:space="preserve">수목</x:t>
        </x:is>
      </x:c>
      <x:c r="V666" s="5" t="inlineStr">
        <x:is>
          <x:t xml:space="preserve">서늘</x:t>
        </x:is>
      </x:c>
      <x:c r="W666" s="5" t="inlineStr">
        <x:is>
          <x:t xml:space="preserve">보통</x:t>
        </x:is>
      </x:c>
      <x:c r="X666" s="5" t="inlineStr">
        <x:is>
          <x:t xml:space="preserve">무관</x:t>
        </x:is>
      </x:c>
      <x:c r="Y666" s="5" t="inlineStr">
        <x:is>
          <x:t xml:space="preserve">낮</x:t>
        </x:is>
      </x:c>
      <x:c r="Z666" s="5" t="inlineStr">
        <x:is>
          <x:t xml:space="preserve">흔함</x:t>
        </x:is>
      </x:c>
      <x:c r="AA666" s="5" t="inlineStr">
        <x:is>
          <x:t xml:space="preserve">없음</x:t>
        </x:is>
      </x:c>
      <x:c r="AB666" s="5" t="inlineStr">
        <x:is>
          <x:t xml:space="preserve">숲</x:t>
        </x:is>
      </x:c>
      <x:c r="AC666" s="5" t="inlineStr">
        <x:is>
          <x:t xml:space="preserve">gen6</x:t>
        </x:is>
      </x:c>
      <x:c r="AD666" s="5" t="inlineStr">
        <x:is>
          <x:t xml:space="preserve">.tmp/cobblemon-1.7.3-source/common/src/main/resources/data/cobblemon/species/generation6/fletchinder.json</x:t>
        </x:is>
      </x:c>
    </x:row>
    <x:row r="667" ht="22" customHeight="1">
      <x:c r="A667" s="5" t="n">
        <x:v>663</x:v>
      </x:c>
      <x:c r="B667" s="5" t="inlineStr">
        <x:is>
          <x:t xml:space="preserve">파이어로</x:t>
        </x:is>
      </x:c>
      <x:c r="C667" s="5" t="inlineStr">
        <x:is>
          <x:t xml:space="preserve">talonflame</x:t>
        </x:is>
      </x:c>
      <x:c r="D667" s="5" t="inlineStr">
        <x:is>
          <x:t xml:space="preserve">Talonflame</x:t>
        </x:is>
      </x:c>
      <x:c r="E667" s="5" t="n">
        <x:v>6</x:v>
      </x:c>
      <x:c r="F667" s="5" t="inlineStr">
        <x:is>
          <x:t xml:space="preserve">불꽃</x:t>
        </x:is>
      </x:c>
      <x:c r="G667" s="5" t="inlineStr">
        <x:is>
          <x:t xml:space="preserve">비행</x:t>
        </x:is>
      </x:c>
      <x:c r="H667" s="5" t="n">
        <x:v>1.2</x:v>
      </x:c>
      <x:c r="I667" s="5" t="n">
        <x:v>24.5</x:v>
      </x:c>
      <x:c r="J667" s="5" t="n">
        <x:v>499</x:v>
      </x:c>
      <x:c r="K667" s="5" t="n">
        <x:v>45</x:v>
      </x:c>
      <x:c r="L667" s="5" t="inlineStr">
        <x:is>
          <x:t xml:space="preserve">최종</x:t>
        </x:is>
      </x:c>
      <x:c r="M667" s="5" t="n">
        <x:v>35</x:v>
      </x:c>
      <x:c r="N667" s="5" t="inlineStr">
        <x:is>
          <x:t xml:space="preserve">레벨</x:t>
        </x:is>
      </x:c>
      <x:c r="O667" s="5" t="inlineStr">
        <x:is>
          <x:t xml:space="preserve">예</x:t>
        </x:is>
      </x:c>
      <x:c r="P667" s="5" t="inlineStr">
        <x:is>
          <x:t xml:space="preserve">#cobblemon:is_forest; #cobblemon:is_sky; #cobblemon:is_taiga; #cobblemon:nether/is_forest; #cobblemon:nether/is_fungus; aether:skyroot_forest; aether:skyroot_woodland</x:t>
        </x:is>
      </x:c>
      <x:c r="Q667" s="5" t="inlineStr">
        <x:is>
          <x:t xml:space="preserve">common</x:t>
        </x:is>
      </x:c>
      <x:c r="R667" s="5" t="inlineStr">
        <x:is>
          <x:t xml:space="preserve">day</x:t>
        </x:is>
      </x:c>
      <x:c r="S667" s="5" t="inlineStr">
        <x:is>
          <x:t xml:space="preserve"/>
        </x:is>
      </x:c>
      <x:c r="T667" s="5" t="inlineStr">
        <x:is>
          <x:t xml:space="preserve">비행</x:t>
        </x:is>
      </x:c>
      <x:c r="U667" s="5" t="inlineStr">
        <x:is>
          <x:t xml:space="preserve">수목</x:t>
        </x:is>
      </x:c>
      <x:c r="V667" s="5" t="inlineStr">
        <x:is>
          <x:t xml:space="preserve">서늘</x:t>
        </x:is>
      </x:c>
      <x:c r="W667" s="5" t="inlineStr">
        <x:is>
          <x:t xml:space="preserve">보통</x:t>
        </x:is>
      </x:c>
      <x:c r="X667" s="5" t="inlineStr">
        <x:is>
          <x:t xml:space="preserve">무관</x:t>
        </x:is>
      </x:c>
      <x:c r="Y667" s="5" t="inlineStr">
        <x:is>
          <x:t xml:space="preserve">낮</x:t>
        </x:is>
      </x:c>
      <x:c r="Z667" s="5" t="inlineStr">
        <x:is>
          <x:t xml:space="preserve">흔함</x:t>
        </x:is>
      </x:c>
      <x:c r="AA667" s="5" t="inlineStr">
        <x:is>
          <x:t xml:space="preserve">없음</x:t>
        </x:is>
      </x:c>
      <x:c r="AB667" s="5" t="inlineStr">
        <x:is>
          <x:t xml:space="preserve">숲</x:t>
        </x:is>
      </x:c>
      <x:c r="AC667" s="5" t="inlineStr">
        <x:is>
          <x:t xml:space="preserve">gen6</x:t>
        </x:is>
      </x:c>
      <x:c r="AD667" s="5" t="inlineStr">
        <x:is>
          <x:t xml:space="preserve">.tmp/cobblemon-1.7.3-source/common/src/main/resources/data/cobblemon/species/generation6/talonflame.json</x:t>
        </x:is>
      </x:c>
    </x:row>
    <x:row r="668" ht="22" customHeight="1">
      <x:c r="A668" s="5" t="n">
        <x:v>664</x:v>
      </x:c>
      <x:c r="B668" s="5" t="inlineStr">
        <x:is>
          <x:t xml:space="preserve">분이벌레</x:t>
        </x:is>
      </x:c>
      <x:c r="C668" s="5" t="inlineStr">
        <x:is>
          <x:t xml:space="preserve">scatterbug</x:t>
        </x:is>
      </x:c>
      <x:c r="D668" s="5" t="inlineStr">
        <x:is>
          <x:t xml:space="preserve">Scatterbug</x:t>
        </x:is>
      </x:c>
      <x:c r="E668" s="5" t="n">
        <x:v>6</x:v>
      </x:c>
      <x:c r="F668" s="5" t="inlineStr">
        <x:is>
          <x:t xml:space="preserve">벌레</x:t>
        </x:is>
      </x:c>
      <x:c r="G668" s="5" t="inlineStr">
        <x:is>
          <x:t xml:space="preserve"/>
        </x:is>
      </x:c>
      <x:c r="H668" s="5" t="n">
        <x:v>0.3</x:v>
      </x:c>
      <x:c r="I668" s="5" t="n">
        <x:v>2.5</x:v>
      </x:c>
      <x:c r="J668" s="5" t="n">
        <x:v>200</x:v>
      </x:c>
      <x:c r="K668" s="5" t="n">
        <x:v>255</x:v>
      </x:c>
      <x:c r="L668" s="5" t="inlineStr">
        <x:is>
          <x:t xml:space="preserve">기본</x:t>
        </x:is>
      </x:c>
      <x:c r="M668" s="5" t="n">
        <x:v>12</x:v>
      </x:c>
      <x:c r="N668" s="5" t="inlineStr">
        <x:is>
          <x:t xml:space="preserve">레벨·특수</x:t>
        </x:is>
      </x:c>
      <x:c r="O668" s="5" t="inlineStr">
        <x:is>
          <x:t xml:space="preserve">예</x:t>
        </x:is>
      </x:c>
      <x:c r="P668" s="5" t="inlineStr">
        <x:is>
          <x:t xml:space="preserve">#aether:is_aether; #cobblemon:is_floral; #cobblemon:is_plains; #cobblemon:is_savanna; the_bumblezone:floral_meadow</x:t>
        </x:is>
      </x:c>
      <x:c r="Q668" s="5" t="inlineStr">
        <x:is>
          <x:t xml:space="preserve">common</x:t>
        </x:is>
      </x:c>
      <x:c r="R668" s="5" t="inlineStr">
        <x:is>
          <x:t xml:space="preserve"/>
        </x:is>
      </x:c>
      <x:c r="S668" s="5" t="inlineStr">
        <x:is>
          <x:t xml:space="preserve"/>
        </x:is>
      </x:c>
      <x:c r="T668" s="5" t="inlineStr">
        <x:is>
          <x:t xml:space="preserve">육상</x:t>
        </x:is>
      </x:c>
      <x:c r="U668" s="5" t="inlineStr">
        <x:is>
          <x:t xml:space="preserve">개활지</x:t>
        </x:is>
      </x:c>
      <x:c r="V668" s="5" t="inlineStr">
        <x:is>
          <x:t xml:space="preserve">온대</x:t>
        </x:is>
      </x:c>
      <x:c r="W668" s="5" t="inlineStr">
        <x:is>
          <x:t xml:space="preserve">보통</x:t>
        </x:is>
      </x:c>
      <x:c r="X668" s="5" t="inlineStr">
        <x:is>
          <x:t xml:space="preserve">무관</x:t>
        </x:is>
      </x:c>
      <x:c r="Y668" s="5" t="inlineStr">
        <x:is>
          <x:t xml:space="preserve">무관</x:t>
        </x:is>
      </x:c>
      <x:c r="Z668" s="5" t="inlineStr">
        <x:is>
          <x:t xml:space="preserve">흔함</x:t>
        </x:is>
      </x:c>
      <x:c r="AA668" s="5" t="inlineStr">
        <x:is>
          <x:t xml:space="preserve">없음</x:t>
        </x:is>
      </x:c>
      <x:c r="AB668" s="5" t="inlineStr">
        <x:is>
          <x:t xml:space="preserve">평원</x:t>
        </x:is>
      </x:c>
      <x:c r="AC668" s="5" t="inlineStr">
        <x:is>
          <x:t xml:space="preserve">gen6</x:t>
        </x:is>
      </x:c>
      <x:c r="AD668" s="5" t="inlineStr">
        <x:is>
          <x:t xml:space="preserve">.tmp/cobblemon-1.7.3-source/common/src/main/resources/data/cobblemon/species/generation6/scatterbug.json</x:t>
        </x:is>
      </x:c>
    </x:row>
    <x:row r="669" ht="22" customHeight="1">
      <x:c r="A669" s="5" t="n">
        <x:v>665</x:v>
      </x:c>
      <x:c r="B669" s="5" t="inlineStr">
        <x:is>
          <x:t xml:space="preserve">분떠도리</x:t>
        </x:is>
      </x:c>
      <x:c r="C669" s="5" t="inlineStr">
        <x:is>
          <x:t xml:space="preserve">spewpa</x:t>
        </x:is>
      </x:c>
      <x:c r="D669" s="5" t="inlineStr">
        <x:is>
          <x:t xml:space="preserve">Spewpa</x:t>
        </x:is>
      </x:c>
      <x:c r="E669" s="5" t="n">
        <x:v>6</x:v>
      </x:c>
      <x:c r="F669" s="5" t="inlineStr">
        <x:is>
          <x:t xml:space="preserve">벌레</x:t>
        </x:is>
      </x:c>
      <x:c r="G669" s="5" t="inlineStr">
        <x:is>
          <x:t xml:space="preserve"/>
        </x:is>
      </x:c>
      <x:c r="H669" s="5" t="n">
        <x:v>0.3</x:v>
      </x:c>
      <x:c r="I669" s="5" t="n">
        <x:v>8.4</x:v>
      </x:c>
      <x:c r="J669" s="5" t="n">
        <x:v>213</x:v>
      </x:c>
      <x:c r="K669" s="5" t="n">
        <x:v>120</x:v>
      </x:c>
      <x:c r="L669" s="5" t="inlineStr">
        <x:is>
          <x:t xml:space="preserve">중간</x:t>
        </x:is>
      </x:c>
      <x:c r="M669" s="5" t="n">
        <x:v>12</x:v>
      </x:c>
      <x:c r="N669" s="5" t="inlineStr">
        <x:is>
          <x:t xml:space="preserve">레벨·특수</x:t>
        </x:is>
      </x:c>
      <x:c r="O669" s="5" t="inlineStr">
        <x:is>
          <x:t xml:space="preserve">예</x:t>
        </x:is>
      </x:c>
      <x:c r="P669" s="5" t="inlineStr">
        <x:is>
          <x:t xml:space="preserve">#aether:is_aether; #cobblemon:is_floral; #cobblemon:is_plains; #cobblemon:is_savanna; the_bumblezone:floral_meadow</x:t>
        </x:is>
      </x:c>
      <x:c r="Q669" s="5" t="inlineStr">
        <x:is>
          <x:t xml:space="preserve">common</x:t>
        </x:is>
      </x:c>
      <x:c r="R669" s="5" t="inlineStr">
        <x:is>
          <x:t xml:space="preserve"/>
        </x:is>
      </x:c>
      <x:c r="S669" s="5" t="inlineStr">
        <x:is>
          <x:t xml:space="preserve"/>
        </x:is>
      </x:c>
      <x:c r="T669" s="5" t="inlineStr">
        <x:is>
          <x:t xml:space="preserve">육상</x:t>
        </x:is>
      </x:c>
      <x:c r="U669" s="5" t="inlineStr">
        <x:is>
          <x:t xml:space="preserve">개활지</x:t>
        </x:is>
      </x:c>
      <x:c r="V669" s="5" t="inlineStr">
        <x:is>
          <x:t xml:space="preserve">온대</x:t>
        </x:is>
      </x:c>
      <x:c r="W669" s="5" t="inlineStr">
        <x:is>
          <x:t xml:space="preserve">보통</x:t>
        </x:is>
      </x:c>
      <x:c r="X669" s="5" t="inlineStr">
        <x:is>
          <x:t xml:space="preserve">무관</x:t>
        </x:is>
      </x:c>
      <x:c r="Y669" s="5" t="inlineStr">
        <x:is>
          <x:t xml:space="preserve">무관</x:t>
        </x:is>
      </x:c>
      <x:c r="Z669" s="5" t="inlineStr">
        <x:is>
          <x:t xml:space="preserve">흔함</x:t>
        </x:is>
      </x:c>
      <x:c r="AA669" s="5" t="inlineStr">
        <x:is>
          <x:t xml:space="preserve">없음</x:t>
        </x:is>
      </x:c>
      <x:c r="AB669" s="5" t="inlineStr">
        <x:is>
          <x:t xml:space="preserve">평원</x:t>
        </x:is>
      </x:c>
      <x:c r="AC669" s="5" t="inlineStr">
        <x:is>
          <x:t xml:space="preserve">gen6</x:t>
        </x:is>
      </x:c>
      <x:c r="AD669" s="5" t="inlineStr">
        <x:is>
          <x:t xml:space="preserve">.tmp/cobblemon-1.7.3-source/common/src/main/resources/data/cobblemon/species/generation6/spewpa.json</x:t>
        </x:is>
      </x:c>
    </x:row>
    <x:row r="670" ht="22" customHeight="1">
      <x:c r="A670" s="5" t="n">
        <x:v>666</x:v>
      </x:c>
      <x:c r="B670" s="5" t="inlineStr">
        <x:is>
          <x:t xml:space="preserve">비비용</x:t>
        </x:is>
      </x:c>
      <x:c r="C670" s="5" t="inlineStr">
        <x:is>
          <x:t xml:space="preserve">vivillon</x:t>
        </x:is>
      </x:c>
      <x:c r="D670" s="5" t="inlineStr">
        <x:is>
          <x:t xml:space="preserve">Vivillon</x:t>
        </x:is>
      </x:c>
      <x:c r="E670" s="5" t="n">
        <x:v>6</x:v>
      </x:c>
      <x:c r="F670" s="5" t="inlineStr">
        <x:is>
          <x:t xml:space="preserve">벌레</x:t>
        </x:is>
      </x:c>
      <x:c r="G670" s="5" t="inlineStr">
        <x:is>
          <x:t xml:space="preserve">비행</x:t>
        </x:is>
      </x:c>
      <x:c r="H670" s="5" t="n">
        <x:v>1.2</x:v>
      </x:c>
      <x:c r="I670" s="5" t="n">
        <x:v>17</x:v>
      </x:c>
      <x:c r="J670" s="5" t="n">
        <x:v>411</x:v>
      </x:c>
      <x:c r="K670" s="5" t="n">
        <x:v>45</x:v>
      </x:c>
      <x:c r="L670" s="5" t="inlineStr">
        <x:is>
          <x:t xml:space="preserve">최종</x:t>
        </x:is>
      </x:c>
      <x:c r="M670" s="5" t="n">
        <x:v>12</x:v>
      </x:c>
      <x:c r="N670" s="5" t="inlineStr">
        <x:is>
          <x:t xml:space="preserve">레벨·특수</x:t>
        </x:is>
      </x:c>
      <x:c r="O670" s="5" t="inlineStr">
        <x:is>
          <x:t xml:space="preserve">예</x:t>
        </x:is>
      </x:c>
      <x:c r="P670" s="5" t="inlineStr">
        <x:is>
          <x:t xml:space="preserve">#aether:is_aether; #cobblemon:is_badlands; #cobblemon:is_cherry_blossom; #cobblemon:is_coast; #cobblemon:is_desert; #cobblemon:is_floral; #cobblemon:is_forest; #cobblemon:is_freshwater; #cobblemon:is_frozen_ocean; #cobblemon:is_glacial; #cobblemon:is_jungle; #cobblemon:is_magical; #cobblemon:is_mountain; #cobblemon:is_mushroom; #cobblemon:is_ocean; #cobblemon:is_overworld; #cobblemon:is_plains; #cobblemon:is_savanna; #cobblemon:is_sky; #cobblemon:is_snowy_forest; #cobblemon:is_spooky; #cobblemon:is_taiga; #cobblemon:is_tropical_island; #cobblemon:is_tundra; #cobblemon:is_warm_ocean; minecraft:sunflower_plains; the_bumblezone:floral_meadow</x:t>
        </x:is>
      </x:c>
      <x:c r="Q670" s="5" t="inlineStr">
        <x:is>
          <x:t xml:space="preserve">common</x:t>
        </x:is>
      </x:c>
      <x:c r="R670" s="5" t="inlineStr">
        <x:is>
          <x:t xml:space="preserve">day</x:t>
        </x:is>
      </x:c>
      <x:c r="S670" s="5" t="inlineStr">
        <x:is>
          <x:t xml:space="preserve">비=False</x:t>
        </x:is>
      </x:c>
      <x:c r="T670" s="5" t="inlineStr">
        <x:is>
          <x:t xml:space="preserve">해양</x:t>
        </x:is>
      </x:c>
      <x:c r="U670" s="5" t="inlineStr">
        <x:is>
          <x:t xml:space="preserve">해안·해양</x:t>
        </x:is>
      </x:c>
      <x:c r="V670" s="5" t="inlineStr">
        <x:is>
          <x:t xml:space="preserve">서늘</x:t>
        </x:is>
      </x:c>
      <x:c r="W670" s="5" t="inlineStr">
        <x:is>
          <x:t xml:space="preserve">수중</x:t>
        </x:is>
      </x:c>
      <x:c r="X670" s="5" t="inlineStr">
        <x:is>
          <x:t xml:space="preserve">비</x:t>
        </x:is>
      </x:c>
      <x:c r="Y670" s="5" t="inlineStr">
        <x:is>
          <x:t xml:space="preserve">낮</x:t>
        </x:is>
      </x:c>
      <x:c r="Z670" s="5" t="inlineStr">
        <x:is>
          <x:t xml:space="preserve">흔함</x:t>
        </x:is>
      </x:c>
      <x:c r="AA670" s="5" t="inlineStr">
        <x:is>
          <x:t xml:space="preserve">영체</x:t>
        </x:is>
      </x:c>
      <x:c r="AB670" s="5" t="inlineStr">
        <x:is>
          <x:t xml:space="preserve">해양</x:t>
        </x:is>
      </x:c>
      <x:c r="AC670" s="5" t="inlineStr">
        <x:is>
          <x:t xml:space="preserve">gen6</x:t>
        </x:is>
      </x:c>
      <x:c r="AD670" s="5" t="inlineStr">
        <x:is>
          <x:t xml:space="preserve">.tmp/cobblemon-1.7.3-source/common/src/main/resources/data/cobblemon/species/generation6/vivillon.json</x:t>
        </x:is>
      </x:c>
    </x:row>
    <x:row r="671" ht="22" customHeight="1">
      <x:c r="A671" s="5" t="n">
        <x:v>667</x:v>
      </x:c>
      <x:c r="B671" s="5" t="inlineStr">
        <x:is>
          <x:t xml:space="preserve">레오꼬</x:t>
        </x:is>
      </x:c>
      <x:c r="C671" s="5" t="inlineStr">
        <x:is>
          <x:t xml:space="preserve">litleo</x:t>
        </x:is>
      </x:c>
      <x:c r="D671" s="5" t="inlineStr">
        <x:is>
          <x:t xml:space="preserve">Litleo</x:t>
        </x:is>
      </x:c>
      <x:c r="E671" s="5" t="n">
        <x:v>6</x:v>
      </x:c>
      <x:c r="F671" s="5" t="inlineStr">
        <x:is>
          <x:t xml:space="preserve">불꽃</x:t>
        </x:is>
      </x:c>
      <x:c r="G671" s="5" t="inlineStr">
        <x:is>
          <x:t xml:space="preserve">노말</x:t>
        </x:is>
      </x:c>
      <x:c r="H671" s="5" t="n">
        <x:v>0.6</x:v>
      </x:c>
      <x:c r="I671" s="5" t="n">
        <x:v>13.5</x:v>
      </x:c>
      <x:c r="J671" s="5" t="n">
        <x:v>369</x:v>
      </x:c>
      <x:c r="K671" s="5" t="n">
        <x:v>220</x:v>
      </x:c>
      <x:c r="L671" s="5" t="inlineStr">
        <x:is>
          <x:t xml:space="preserve">기본</x:t>
        </x:is>
      </x:c>
      <x:c r="M671" s="5" t="n">
        <x:v>35</x:v>
      </x:c>
      <x:c r="N671" s="5" t="inlineStr">
        <x:is>
          <x:t xml:space="preserve">레벨</x:t>
        </x:is>
      </x:c>
      <x:c r="O671" s="5" t="inlineStr">
        <x:is>
          <x:t xml:space="preserve">예</x:t>
        </x:is>
      </x:c>
      <x:c r="P671" s="5" t="inlineStr">
        <x:is>
          <x:t xml:space="preserve">#cobblemon:is_badlands; #cobblemon:is_jungle; #cobblemon:is_savanna</x:t>
        </x:is>
      </x:c>
      <x:c r="Q671" s="5" t="inlineStr">
        <x:is>
          <x:t xml:space="preserve">common</x:t>
        </x:is>
      </x:c>
      <x:c r="R671" s="5" t="inlineStr">
        <x:is>
          <x:t xml:space="preserve"/>
        </x:is>
      </x:c>
      <x:c r="S671" s="5" t="inlineStr">
        <x:is>
          <x:t xml:space="preserve"/>
        </x:is>
      </x:c>
      <x:c r="T671" s="5" t="inlineStr">
        <x:is>
          <x:t xml:space="preserve">육상</x:t>
        </x:is>
      </x:c>
      <x:c r="U671" s="5" t="inlineStr">
        <x:is>
          <x:t xml:space="preserve">건조</x:t>
        </x:is>
      </x:c>
      <x:c r="V671" s="5" t="inlineStr">
        <x:is>
          <x:t xml:space="preserve">고온</x:t>
        </x:is>
      </x:c>
      <x:c r="W671" s="5" t="inlineStr">
        <x:is>
          <x:t xml:space="preserve">다습</x:t>
        </x:is>
      </x:c>
      <x:c r="X671" s="5" t="inlineStr">
        <x:is>
          <x:t xml:space="preserve">맑음</x:t>
        </x:is>
      </x:c>
      <x:c r="Y671" s="5" t="inlineStr">
        <x:is>
          <x:t xml:space="preserve">무관</x:t>
        </x:is>
      </x:c>
      <x:c r="Z671" s="5" t="inlineStr">
        <x:is>
          <x:t xml:space="preserve">흔함</x:t>
        </x:is>
      </x:c>
      <x:c r="AA671" s="5" t="inlineStr">
        <x:is>
          <x:t xml:space="preserve">없음</x:t>
        </x:is>
      </x:c>
      <x:c r="AB671" s="5" t="inlineStr">
        <x:is>
          <x:t xml:space="preserve">건조지</x:t>
        </x:is>
      </x:c>
      <x:c r="AC671" s="5" t="inlineStr">
        <x:is>
          <x:t xml:space="preserve">gen6</x:t>
        </x:is>
      </x:c>
      <x:c r="AD671" s="5" t="inlineStr">
        <x:is>
          <x:t xml:space="preserve">.tmp/cobblemon-1.7.3-source/common/src/main/resources/data/cobblemon/species/generation6/litleo.json</x:t>
        </x:is>
      </x:c>
    </x:row>
    <x:row r="672" ht="22" customHeight="1">
      <x:c r="A672" s="5" t="n">
        <x:v>668</x:v>
      </x:c>
      <x:c r="B672" s="5" t="inlineStr">
        <x:is>
          <x:t xml:space="preserve">화염레오</x:t>
        </x:is>
      </x:c>
      <x:c r="C672" s="5" t="inlineStr">
        <x:is>
          <x:t xml:space="preserve">pyroar</x:t>
        </x:is>
      </x:c>
      <x:c r="D672" s="5" t="inlineStr">
        <x:is>
          <x:t xml:space="preserve">Pyroar</x:t>
        </x:is>
      </x:c>
      <x:c r="E672" s="5" t="n">
        <x:v>6</x:v>
      </x:c>
      <x:c r="F672" s="5" t="inlineStr">
        <x:is>
          <x:t xml:space="preserve">불꽃</x:t>
        </x:is>
      </x:c>
      <x:c r="G672" s="5" t="inlineStr">
        <x:is>
          <x:t xml:space="preserve">노말</x:t>
        </x:is>
      </x:c>
      <x:c r="H672" s="5" t="n">
        <x:v>1.5</x:v>
      </x:c>
      <x:c r="I672" s="5" t="n">
        <x:v>81.5</x:v>
      </x:c>
      <x:c r="J672" s="5" t="n">
        <x:v>507</x:v>
      </x:c>
      <x:c r="K672" s="5" t="n">
        <x:v>65</x:v>
      </x:c>
      <x:c r="L672" s="5" t="inlineStr">
        <x:is>
          <x:t xml:space="preserve">최종</x:t>
        </x:is>
      </x:c>
      <x:c r="M672" s="5" t="n">
        <x:v>35</x:v>
      </x:c>
      <x:c r="N672" s="5" t="inlineStr">
        <x:is>
          <x:t xml:space="preserve">레벨</x:t>
        </x:is>
      </x:c>
      <x:c r="O672" s="5" t="inlineStr">
        <x:is>
          <x:t xml:space="preserve">예</x:t>
        </x:is>
      </x:c>
      <x:c r="P672" s="5" t="inlineStr">
        <x:is>
          <x:t xml:space="preserve">#cobblemon:is_badlands; #cobblemon:is_jungle; #cobblemon:is_savanna</x:t>
        </x:is>
      </x:c>
      <x:c r="Q672" s="5" t="inlineStr">
        <x:is>
          <x:t xml:space="preserve">uncommon</x:t>
        </x:is>
      </x:c>
      <x:c r="R672" s="5" t="inlineStr">
        <x:is>
          <x:t xml:space="preserve"/>
        </x:is>
      </x:c>
      <x:c r="S672" s="5" t="inlineStr">
        <x:is>
          <x:t xml:space="preserve"/>
        </x:is>
      </x:c>
      <x:c r="T672" s="5" t="inlineStr">
        <x:is>
          <x:t xml:space="preserve">육상</x:t>
        </x:is>
      </x:c>
      <x:c r="U672" s="5" t="inlineStr">
        <x:is>
          <x:t xml:space="preserve">건조</x:t>
        </x:is>
      </x:c>
      <x:c r="V672" s="5" t="inlineStr">
        <x:is>
          <x:t xml:space="preserve">고온</x:t>
        </x:is>
      </x:c>
      <x:c r="W672" s="5" t="inlineStr">
        <x:is>
          <x:t xml:space="preserve">다습</x:t>
        </x:is>
      </x:c>
      <x:c r="X672" s="5" t="inlineStr">
        <x:is>
          <x:t xml:space="preserve">맑음</x:t>
        </x:is>
      </x:c>
      <x:c r="Y672" s="5" t="inlineStr">
        <x:is>
          <x:t xml:space="preserve">무관</x:t>
        </x:is>
      </x:c>
      <x:c r="Z672" s="5" t="inlineStr">
        <x:is>
          <x:t xml:space="preserve">보통</x:t>
        </x:is>
      </x:c>
      <x:c r="AA672" s="5" t="inlineStr">
        <x:is>
          <x:t xml:space="preserve">없음</x:t>
        </x:is>
      </x:c>
      <x:c r="AB672" s="5" t="inlineStr">
        <x:is>
          <x:t xml:space="preserve">건조지</x:t>
        </x:is>
      </x:c>
      <x:c r="AC672" s="5" t="inlineStr">
        <x:is>
          <x:t xml:space="preserve">gen6</x:t>
        </x:is>
      </x:c>
      <x:c r="AD672" s="5" t="inlineStr">
        <x:is>
          <x:t xml:space="preserve">.tmp/cobblemon-1.7.3-source/common/src/main/resources/data/cobblemon/species/generation6/pyroar.json</x:t>
        </x:is>
      </x:c>
    </x:row>
    <x:row r="673" ht="22" customHeight="1">
      <x:c r="A673" s="5" t="n">
        <x:v>669</x:v>
      </x:c>
      <x:c r="B673" s="5" t="inlineStr">
        <x:is>
          <x:t xml:space="preserve">플라베베</x:t>
        </x:is>
      </x:c>
      <x:c r="C673" s="5" t="inlineStr">
        <x:is>
          <x:t xml:space="preserve">flabebe</x:t>
        </x:is>
      </x:c>
      <x:c r="D673" s="5" t="inlineStr">
        <x:is>
          <x:t xml:space="preserve">Flabébé</x:t>
        </x:is>
      </x:c>
      <x:c r="E673" s="5" t="n">
        <x:v>6</x:v>
      </x:c>
      <x:c r="F673" s="5" t="inlineStr">
        <x:is>
          <x:t xml:space="preserve">페어리</x:t>
        </x:is>
      </x:c>
      <x:c r="G673" s="5" t="inlineStr">
        <x:is>
          <x:t xml:space="preserve"/>
        </x:is>
      </x:c>
      <x:c r="H673" s="5" t="n">
        <x:v>0.1</x:v>
      </x:c>
      <x:c r="I673" s="5" t="n">
        <x:v>0.1</x:v>
      </x:c>
      <x:c r="J673" s="5" t="n">
        <x:v>303</x:v>
      </x:c>
      <x:c r="K673" s="5" t="n">
        <x:v>225</x:v>
      </x:c>
      <x:c r="L673" s="5" t="inlineStr">
        <x:is>
          <x:t xml:space="preserve">기본</x:t>
        </x:is>
      </x:c>
      <x:c r="M673" s="5" t="n">
        <x:v>19</x:v>
      </x:c>
      <x:c r="N673" s="5" t="inlineStr">
        <x:is>
          <x:t xml:space="preserve">레벨·특수</x:t>
        </x:is>
      </x:c>
      <x:c r="O673" s="5" t="inlineStr">
        <x:is>
          <x:t xml:space="preserve">예</x:t>
        </x:is>
      </x:c>
      <x:c r="P673" s="5" t="inlineStr">
        <x:is>
          <x:t xml:space="preserve">#aether:is_aether; #cobblemon:is_overworld; the_bumblezone:floral_meadow</x:t>
        </x:is>
      </x:c>
      <x:c r="Q673" s="5" t="inlineStr">
        <x:is>
          <x:t xml:space="preserve">common</x:t>
        </x:is>
      </x:c>
      <x:c r="R673" s="5" t="inlineStr">
        <x:is>
          <x:t xml:space="preserve"/>
        </x:is>
      </x:c>
      <x:c r="S673" s="5" t="inlineStr">
        <x:is>
          <x:t xml:space="preserve"/>
        </x:is>
      </x:c>
      <x:c r="T673" s="5" t="inlineStr">
        <x:is>
          <x:t xml:space="preserve">비행</x:t>
        </x:is>
      </x:c>
      <x:c r="U673" s="5" t="inlineStr">
        <x:is>
          <x:t xml:space="preserve">개활지</x:t>
        </x:is>
      </x:c>
      <x:c r="V673" s="5" t="inlineStr">
        <x:is>
          <x:t xml:space="preserve">온대</x:t>
        </x:is>
      </x:c>
      <x:c r="W673" s="5" t="inlineStr">
        <x:is>
          <x:t xml:space="preserve">보통</x:t>
        </x:is>
      </x:c>
      <x:c r="X673" s="5" t="inlineStr">
        <x:is>
          <x:t xml:space="preserve">무관</x:t>
        </x:is>
      </x:c>
      <x:c r="Y673" s="5" t="inlineStr">
        <x:is>
          <x:t xml:space="preserve">무관</x:t>
        </x:is>
      </x:c>
      <x:c r="Z673" s="5" t="inlineStr">
        <x:is>
          <x:t xml:space="preserve">흔함</x:t>
        </x:is>
      </x:c>
      <x:c r="AA673" s="5" t="inlineStr">
        <x:is>
          <x:t xml:space="preserve">없음</x:t>
        </x:is>
      </x:c>
      <x:c r="AB673" s="5" t="inlineStr">
        <x:is>
          <x:t xml:space="preserve">평원</x:t>
        </x:is>
      </x:c>
      <x:c r="AC673" s="5" t="inlineStr">
        <x:is>
          <x:t xml:space="preserve">gen6</x:t>
        </x:is>
      </x:c>
      <x:c r="AD673" s="5" t="inlineStr">
        <x:is>
          <x:t xml:space="preserve">.tmp/cobblemon-1.7.3-source/common/src/main/resources/data/cobblemon/species/generation6/flabebe.json</x:t>
        </x:is>
      </x:c>
    </x:row>
    <x:row r="674" ht="22" customHeight="1">
      <x:c r="A674" s="5" t="n">
        <x:v>670</x:v>
      </x:c>
      <x:c r="B674" s="5" t="inlineStr">
        <x:is>
          <x:t xml:space="preserve">플라엣테</x:t>
        </x:is>
      </x:c>
      <x:c r="C674" s="5" t="inlineStr">
        <x:is>
          <x:t xml:space="preserve">floette</x:t>
        </x:is>
      </x:c>
      <x:c r="D674" s="5" t="inlineStr">
        <x:is>
          <x:t xml:space="preserve">Floette</x:t>
        </x:is>
      </x:c>
      <x:c r="E674" s="5" t="n">
        <x:v>6</x:v>
      </x:c>
      <x:c r="F674" s="5" t="inlineStr">
        <x:is>
          <x:t xml:space="preserve">페어리</x:t>
        </x:is>
      </x:c>
      <x:c r="G674" s="5" t="inlineStr">
        <x:is>
          <x:t xml:space="preserve"/>
        </x:is>
      </x:c>
      <x:c r="H674" s="5" t="n">
        <x:v>0.2</x:v>
      </x:c>
      <x:c r="I674" s="5" t="n">
        <x:v>0.9</x:v>
      </x:c>
      <x:c r="J674" s="5" t="n">
        <x:v>371</x:v>
      </x:c>
      <x:c r="K674" s="5" t="n">
        <x:v>120</x:v>
      </x:c>
      <x:c r="L674" s="5" t="inlineStr">
        <x:is>
          <x:t xml:space="preserve">중간</x:t>
        </x:is>
      </x:c>
      <x:c r="M674" s="5" t="n">
        <x:v>19</x:v>
      </x:c>
      <x:c r="N674" s="5" t="inlineStr">
        <x:is>
          <x:t xml:space="preserve">레벨·특수</x:t>
        </x:is>
      </x:c>
      <x:c r="O674" s="5" t="inlineStr">
        <x:is>
          <x:t xml:space="preserve">예</x:t>
        </x:is>
      </x:c>
      <x:c r="P674" s="5" t="inlineStr">
        <x:is>
          <x:t xml:space="preserve">#aether:is_aether; #cobblemon:is_overworld</x:t>
        </x:is>
      </x:c>
      <x:c r="Q674" s="5" t="inlineStr">
        <x:is>
          <x:t xml:space="preserve">common; ultra-rare</x:t>
        </x:is>
      </x:c>
      <x:c r="R674" s="5" t="inlineStr">
        <x:is>
          <x:t xml:space="preserve">night</x:t>
        </x:is>
      </x:c>
      <x:c r="S674" s="5" t="inlineStr">
        <x:is>
          <x:t xml:space="preserve"/>
        </x:is>
      </x:c>
      <x:c r="T674" s="5" t="inlineStr">
        <x:is>
          <x:t xml:space="preserve">비행</x:t>
        </x:is>
      </x:c>
      <x:c r="U674" s="5" t="inlineStr">
        <x:is>
          <x:t xml:space="preserve">개활지</x:t>
        </x:is>
      </x:c>
      <x:c r="V674" s="5" t="inlineStr">
        <x:is>
          <x:t xml:space="preserve">온대</x:t>
        </x:is>
      </x:c>
      <x:c r="W674" s="5" t="inlineStr">
        <x:is>
          <x:t xml:space="preserve">보통</x:t>
        </x:is>
      </x:c>
      <x:c r="X674" s="5" t="inlineStr">
        <x:is>
          <x:t xml:space="preserve">무관</x:t>
        </x:is>
      </x:c>
      <x:c r="Y674" s="5" t="inlineStr">
        <x:is>
          <x:t xml:space="preserve">밤</x:t>
        </x:is>
      </x:c>
      <x:c r="Z674" s="5" t="inlineStr">
        <x:is>
          <x:t xml:space="preserve">흔함</x:t>
        </x:is>
      </x:c>
      <x:c r="AA674" s="5" t="inlineStr">
        <x:is>
          <x:t xml:space="preserve">없음</x:t>
        </x:is>
      </x:c>
      <x:c r="AB674" s="5" t="inlineStr">
        <x:is>
          <x:t xml:space="preserve"/>
        </x:is>
      </x:c>
      <x:c r="AC674" s="5" t="inlineStr">
        <x:is>
          <x:t xml:space="preserve">gen6</x:t>
        </x:is>
      </x:c>
      <x:c r="AD674" s="5" t="inlineStr">
        <x:is>
          <x:t xml:space="preserve">.tmp/cobblemon-1.7.3-source/common/src/main/resources/data/cobblemon/species/generation6/floette.json</x:t>
        </x:is>
      </x:c>
    </x:row>
    <x:row r="675" ht="22" customHeight="1">
      <x:c r="A675" s="5" t="n">
        <x:v>671</x:v>
      </x:c>
      <x:c r="B675" s="5" t="inlineStr">
        <x:is>
          <x:t xml:space="preserve">플라제스</x:t>
        </x:is>
      </x:c>
      <x:c r="C675" s="5" t="inlineStr">
        <x:is>
          <x:t xml:space="preserve">florges</x:t>
        </x:is>
      </x:c>
      <x:c r="D675" s="5" t="inlineStr">
        <x:is>
          <x:t xml:space="preserve">Florges</x:t>
        </x:is>
      </x:c>
      <x:c r="E675" s="5" t="n">
        <x:v>6</x:v>
      </x:c>
      <x:c r="F675" s="5" t="inlineStr">
        <x:is>
          <x:t xml:space="preserve">페어리</x:t>
        </x:is>
      </x:c>
      <x:c r="G675" s="5" t="inlineStr">
        <x:is>
          <x:t xml:space="preserve"/>
        </x:is>
      </x:c>
      <x:c r="H675" s="5" t="n">
        <x:v>1.1</x:v>
      </x:c>
      <x:c r="I675" s="5" t="n">
        <x:v>10</x:v>
      </x:c>
      <x:c r="J675" s="5" t="n">
        <x:v>552</x:v>
      </x:c>
      <x:c r="K675" s="5" t="n">
        <x:v>45</x:v>
      </x:c>
      <x:c r="L675" s="5" t="inlineStr">
        <x:is>
          <x:t xml:space="preserve">최종</x:t>
        </x:is>
      </x:c>
      <x:c r="M675" s="5" t="n">
        <x:v>19</x:v>
      </x:c>
      <x:c r="N675" s="5" t="inlineStr">
        <x:is>
          <x:t xml:space="preserve">레벨·특수</x:t>
        </x:is>
      </x:c>
      <x:c r="O675" s="5" t="inlineStr">
        <x:is>
          <x:t xml:space="preserve">예</x:t>
        </x:is>
      </x:c>
      <x:c r="P675" s="5" t="inlineStr">
        <x:is>
          <x:t xml:space="preserve">#aether:is_aether; #cobblemon:is_overworld; the_bumblezone:floral_meadow</x:t>
        </x:is>
      </x:c>
      <x:c r="Q675" s="5" t="inlineStr">
        <x:is>
          <x:t xml:space="preserve">common</x:t>
        </x:is>
      </x:c>
      <x:c r="R675" s="5" t="inlineStr">
        <x:is>
          <x:t xml:space="preserve"/>
        </x:is>
      </x:c>
      <x:c r="S675" s="5" t="inlineStr">
        <x:is>
          <x:t xml:space="preserve"/>
        </x:is>
      </x:c>
      <x:c r="T675" s="5" t="inlineStr">
        <x:is>
          <x:t xml:space="preserve">비행</x:t>
        </x:is>
      </x:c>
      <x:c r="U675" s="5" t="inlineStr">
        <x:is>
          <x:t xml:space="preserve">개활지</x:t>
        </x:is>
      </x:c>
      <x:c r="V675" s="5" t="inlineStr">
        <x:is>
          <x:t xml:space="preserve">온대</x:t>
        </x:is>
      </x:c>
      <x:c r="W675" s="5" t="inlineStr">
        <x:is>
          <x:t xml:space="preserve">보통</x:t>
        </x:is>
      </x:c>
      <x:c r="X675" s="5" t="inlineStr">
        <x:is>
          <x:t xml:space="preserve">무관</x:t>
        </x:is>
      </x:c>
      <x:c r="Y675" s="5" t="inlineStr">
        <x:is>
          <x:t xml:space="preserve">무관</x:t>
        </x:is>
      </x:c>
      <x:c r="Z675" s="5" t="inlineStr">
        <x:is>
          <x:t xml:space="preserve">흔함</x:t>
        </x:is>
      </x:c>
      <x:c r="AA675" s="5" t="inlineStr">
        <x:is>
          <x:t xml:space="preserve">없음</x:t>
        </x:is>
      </x:c>
      <x:c r="AB675" s="5" t="inlineStr">
        <x:is>
          <x:t xml:space="preserve">평원</x:t>
        </x:is>
      </x:c>
      <x:c r="AC675" s="5" t="inlineStr">
        <x:is>
          <x:t xml:space="preserve">gen6</x:t>
        </x:is>
      </x:c>
      <x:c r="AD675" s="5" t="inlineStr">
        <x:is>
          <x:t xml:space="preserve">.tmp/cobblemon-1.7.3-source/common/src/main/resources/data/cobblemon/species/generation6/florges.json</x:t>
        </x:is>
      </x:c>
    </x:row>
    <x:row r="676" ht="22" customHeight="1">
      <x:c r="A676" s="5" t="n">
        <x:v>672</x:v>
      </x:c>
      <x:c r="B676" s="5" t="inlineStr">
        <x:is>
          <x:t xml:space="preserve">메이클</x:t>
        </x:is>
      </x:c>
      <x:c r="C676" s="5" t="inlineStr">
        <x:is>
          <x:t xml:space="preserve">skiddo</x:t>
        </x:is>
      </x:c>
      <x:c r="D676" s="5" t="inlineStr">
        <x:is>
          <x:t xml:space="preserve">Skiddo</x:t>
        </x:is>
      </x:c>
      <x:c r="E676" s="5" t="n">
        <x:v>6</x:v>
      </x:c>
      <x:c r="F676" s="5" t="inlineStr">
        <x:is>
          <x:t xml:space="preserve">풀</x:t>
        </x:is>
      </x:c>
      <x:c r="G676" s="5" t="inlineStr">
        <x:is>
          <x:t xml:space="preserve"/>
        </x:is>
      </x:c>
      <x:c r="H676" s="5" t="n">
        <x:v>0.9</x:v>
      </x:c>
      <x:c r="I676" s="5" t="n">
        <x:v>31</x:v>
      </x:c>
      <x:c r="J676" s="5" t="n">
        <x:v>350</x:v>
      </x:c>
      <x:c r="K676" s="5" t="n">
        <x:v>200</x:v>
      </x:c>
      <x:c r="L676" s="5" t="inlineStr">
        <x:is>
          <x:t xml:space="preserve">기본</x:t>
        </x:is>
      </x:c>
      <x:c r="M676" s="5" t="n">
        <x:v>32</x:v>
      </x:c>
      <x:c r="N676" s="5" t="inlineStr">
        <x:is>
          <x:t xml:space="preserve">레벨</x:t>
        </x:is>
      </x:c>
      <x:c r="O676" s="5" t="inlineStr">
        <x:is>
          <x:t xml:space="preserve">예</x:t>
        </x:is>
      </x:c>
      <x:c r="P676" s="5" t="inlineStr">
        <x:is>
          <x:t xml:space="preserve">#cobblemon:is_mountain</x:t>
        </x:is>
      </x:c>
      <x:c r="Q676" s="5" t="inlineStr">
        <x:is>
          <x:t xml:space="preserve">common</x:t>
        </x:is>
      </x:c>
      <x:c r="R676" s="5" t="inlineStr">
        <x:is>
          <x:t xml:space="preserve"/>
        </x:is>
      </x:c>
      <x:c r="S676" s="5" t="inlineStr">
        <x:is>
          <x:t xml:space="preserve"/>
        </x:is>
      </x:c>
      <x:c r="T676" s="5" t="inlineStr">
        <x:is>
          <x:t xml:space="preserve">육상</x:t>
        </x:is>
      </x:c>
      <x:c r="U676" s="5" t="inlineStr">
        <x:is>
          <x:t xml:space="preserve">암석</x:t>
        </x:is>
      </x:c>
      <x:c r="V676" s="5" t="inlineStr">
        <x:is>
          <x:t xml:space="preserve">온대</x:t>
        </x:is>
      </x:c>
      <x:c r="W676" s="5" t="inlineStr">
        <x:is>
          <x:t xml:space="preserve">보통</x:t>
        </x:is>
      </x:c>
      <x:c r="X676" s="5" t="inlineStr">
        <x:is>
          <x:t xml:space="preserve">무관</x:t>
        </x:is>
      </x:c>
      <x:c r="Y676" s="5" t="inlineStr">
        <x:is>
          <x:t xml:space="preserve">무관</x:t>
        </x:is>
      </x:c>
      <x:c r="Z676" s="5" t="inlineStr">
        <x:is>
          <x:t xml:space="preserve">흔함</x:t>
        </x:is>
      </x:c>
      <x:c r="AA676" s="5" t="inlineStr">
        <x:is>
          <x:t xml:space="preserve">없음</x:t>
        </x:is>
      </x:c>
      <x:c r="AB676" s="5" t="inlineStr">
        <x:is>
          <x:t xml:space="preserve">산악</x:t>
        </x:is>
      </x:c>
      <x:c r="AC676" s="5" t="inlineStr">
        <x:is>
          <x:t xml:space="preserve">gen6</x:t>
        </x:is>
      </x:c>
      <x:c r="AD676" s="5" t="inlineStr">
        <x:is>
          <x:t xml:space="preserve">.tmp/cobblemon-1.7.3-source/common/src/main/resources/data/cobblemon/species/generation6/skiddo.json</x:t>
        </x:is>
      </x:c>
    </x:row>
    <x:row r="677" ht="22" customHeight="1">
      <x:c r="A677" s="5" t="n">
        <x:v>673</x:v>
      </x:c>
      <x:c r="B677" s="5" t="inlineStr">
        <x:is>
          <x:t xml:space="preserve">고고트</x:t>
        </x:is>
      </x:c>
      <x:c r="C677" s="5" t="inlineStr">
        <x:is>
          <x:t xml:space="preserve">gogoat</x:t>
        </x:is>
      </x:c>
      <x:c r="D677" s="5" t="inlineStr">
        <x:is>
          <x:t xml:space="preserve">Gogoat</x:t>
        </x:is>
      </x:c>
      <x:c r="E677" s="5" t="n">
        <x:v>6</x:v>
      </x:c>
      <x:c r="F677" s="5" t="inlineStr">
        <x:is>
          <x:t xml:space="preserve">풀</x:t>
        </x:is>
      </x:c>
      <x:c r="G677" s="5" t="inlineStr">
        <x:is>
          <x:t xml:space="preserve"/>
        </x:is>
      </x:c>
      <x:c r="H677" s="5" t="n">
        <x:v>1.7</x:v>
      </x:c>
      <x:c r="I677" s="5" t="n">
        <x:v>91</x:v>
      </x:c>
      <x:c r="J677" s="5" t="n">
        <x:v>531</x:v>
      </x:c>
      <x:c r="K677" s="5" t="n">
        <x:v>45</x:v>
      </x:c>
      <x:c r="L677" s="5" t="inlineStr">
        <x:is>
          <x:t xml:space="preserve">최종</x:t>
        </x:is>
      </x:c>
      <x:c r="M677" s="5" t="n">
        <x:v>32</x:v>
      </x:c>
      <x:c r="N677" s="5" t="inlineStr">
        <x:is>
          <x:t xml:space="preserve">레벨</x:t>
        </x:is>
      </x:c>
      <x:c r="O677" s="5" t="inlineStr">
        <x:is>
          <x:t xml:space="preserve">예</x:t>
        </x:is>
      </x:c>
      <x:c r="P677" s="5" t="inlineStr">
        <x:is>
          <x:t xml:space="preserve">#cobblemon:is_mountain</x:t>
        </x:is>
      </x:c>
      <x:c r="Q677" s="5" t="inlineStr">
        <x:is>
          <x:t xml:space="preserve">common</x:t>
        </x:is>
      </x:c>
      <x:c r="R677" s="5" t="inlineStr">
        <x:is>
          <x:t xml:space="preserve"/>
        </x:is>
      </x:c>
      <x:c r="S677" s="5" t="inlineStr">
        <x:is>
          <x:t xml:space="preserve"/>
        </x:is>
      </x:c>
      <x:c r="T677" s="5" t="inlineStr">
        <x:is>
          <x:t xml:space="preserve">육상</x:t>
        </x:is>
      </x:c>
      <x:c r="U677" s="5" t="inlineStr">
        <x:is>
          <x:t xml:space="preserve">암석</x:t>
        </x:is>
      </x:c>
      <x:c r="V677" s="5" t="inlineStr">
        <x:is>
          <x:t xml:space="preserve">온대</x:t>
        </x:is>
      </x:c>
      <x:c r="W677" s="5" t="inlineStr">
        <x:is>
          <x:t xml:space="preserve">보통</x:t>
        </x:is>
      </x:c>
      <x:c r="X677" s="5" t="inlineStr">
        <x:is>
          <x:t xml:space="preserve">무관</x:t>
        </x:is>
      </x:c>
      <x:c r="Y677" s="5" t="inlineStr">
        <x:is>
          <x:t xml:space="preserve">무관</x:t>
        </x:is>
      </x:c>
      <x:c r="Z677" s="5" t="inlineStr">
        <x:is>
          <x:t xml:space="preserve">흔함</x:t>
        </x:is>
      </x:c>
      <x:c r="AA677" s="5" t="inlineStr">
        <x:is>
          <x:t xml:space="preserve">없음</x:t>
        </x:is>
      </x:c>
      <x:c r="AB677" s="5" t="inlineStr">
        <x:is>
          <x:t xml:space="preserve">산악</x:t>
        </x:is>
      </x:c>
      <x:c r="AC677" s="5" t="inlineStr">
        <x:is>
          <x:t xml:space="preserve">gen6</x:t>
        </x:is>
      </x:c>
      <x:c r="AD677" s="5" t="inlineStr">
        <x:is>
          <x:t xml:space="preserve">.tmp/cobblemon-1.7.3-source/common/src/main/resources/data/cobblemon/species/generation6/gogoat.json</x:t>
        </x:is>
      </x:c>
    </x:row>
    <x:row r="678" ht="22" customHeight="1">
      <x:c r="A678" s="5" t="n">
        <x:v>674</x:v>
      </x:c>
      <x:c r="B678" s="5" t="inlineStr">
        <x:is>
          <x:t xml:space="preserve">판짱</x:t>
        </x:is>
      </x:c>
      <x:c r="C678" s="5" t="inlineStr">
        <x:is>
          <x:t xml:space="preserve">pancham</x:t>
        </x:is>
      </x:c>
      <x:c r="D678" s="5" t="inlineStr">
        <x:is>
          <x:t xml:space="preserve">Pancham</x:t>
        </x:is>
      </x:c>
      <x:c r="E678" s="5" t="n">
        <x:v>6</x:v>
      </x:c>
      <x:c r="F678" s="5" t="inlineStr">
        <x:is>
          <x:t xml:space="preserve">격투</x:t>
        </x:is>
      </x:c>
      <x:c r="G678" s="5" t="inlineStr">
        <x:is>
          <x:t xml:space="preserve"/>
        </x:is>
      </x:c>
      <x:c r="H678" s="5" t="n">
        <x:v>0.6</x:v>
      </x:c>
      <x:c r="I678" s="5" t="n">
        <x:v>8</x:v>
      </x:c>
      <x:c r="J678" s="5" t="n">
        <x:v>348</x:v>
      </x:c>
      <x:c r="K678" s="5" t="n">
        <x:v>220</x:v>
      </x:c>
      <x:c r="L678" s="5" t="inlineStr">
        <x:is>
          <x:t xml:space="preserve">기본</x:t>
        </x:is>
      </x:c>
      <x:c r="M678" s="5" t="n">
        <x:v>32</x:v>
      </x:c>
      <x:c r="N678" s="5" t="inlineStr">
        <x:is>
          <x:t xml:space="preserve">레벨·특수</x:t>
        </x:is>
      </x:c>
      <x:c r="O678" s="5" t="inlineStr">
        <x:is>
          <x:t xml:space="preserve">아니오</x:t>
        </x:is>
      </x:c>
      <x:c r="P678" s="5" t="inlineStr">
        <x:is>
          <x:t xml:space="preserve">#cobblemon:is_forest; #cobblemon:is_jungle</x:t>
        </x:is>
      </x:c>
      <x:c r="Q678" s="5" t="inlineStr">
        <x:is>
          <x:t xml:space="preserve">common; rare</x:t>
        </x:is>
      </x:c>
      <x:c r="R678" s="5" t="inlineStr">
        <x:is>
          <x:t xml:space="preserve"/>
        </x:is>
      </x:c>
      <x:c r="S678" s="5" t="inlineStr">
        <x:is>
          <x:t xml:space="preserve"/>
        </x:is>
      </x:c>
      <x:c r="T678" s="5" t="inlineStr">
        <x:is>
          <x:t xml:space="preserve">육상</x:t>
        </x:is>
      </x:c>
      <x:c r="U678" s="5" t="inlineStr">
        <x:is>
          <x:t xml:space="preserve">수목</x:t>
        </x:is>
      </x:c>
      <x:c r="V678" s="5" t="inlineStr">
        <x:is>
          <x:t xml:space="preserve">온대</x:t>
        </x:is>
      </x:c>
      <x:c r="W678" s="5" t="inlineStr">
        <x:is>
          <x:t xml:space="preserve">다습</x:t>
        </x:is>
      </x:c>
      <x:c r="X678" s="5" t="inlineStr">
        <x:is>
          <x:t xml:space="preserve">무관</x:t>
        </x:is>
      </x:c>
      <x:c r="Y678" s="5" t="inlineStr">
        <x:is>
          <x:t xml:space="preserve">무관</x:t>
        </x:is>
      </x:c>
      <x:c r="Z678" s="5" t="inlineStr">
        <x:is>
          <x:t xml:space="preserve">흔함</x:t>
        </x:is>
      </x:c>
      <x:c r="AA678" s="5" t="inlineStr">
        <x:is>
          <x:t xml:space="preserve">없음</x:t>
        </x:is>
      </x:c>
      <x:c r="AB678" s="5" t="inlineStr">
        <x:is>
          <x:t xml:space="preserve">숲</x:t>
        </x:is>
      </x:c>
      <x:c r="AC678" s="5" t="inlineStr">
        <x:is>
          <x:t xml:space="preserve">gen6</x:t>
        </x:is>
      </x:c>
      <x:c r="AD678" s="5" t="inlineStr">
        <x:is>
          <x:t xml:space="preserve">.tmp/cobblemon-1.7.3-source/common/src/main/resources/data/cobblemon/species/generation6/pancham.json</x:t>
        </x:is>
      </x:c>
    </x:row>
    <x:row r="679" ht="22" customHeight="1">
      <x:c r="A679" s="5" t="n">
        <x:v>675</x:v>
      </x:c>
      <x:c r="B679" s="5" t="inlineStr">
        <x:is>
          <x:t xml:space="preserve">부란다</x:t>
        </x:is>
      </x:c>
      <x:c r="C679" s="5" t="inlineStr">
        <x:is>
          <x:t xml:space="preserve">pangoro</x:t>
        </x:is>
      </x:c>
      <x:c r="D679" s="5" t="inlineStr">
        <x:is>
          <x:t xml:space="preserve">Pangoro</x:t>
        </x:is>
      </x:c>
      <x:c r="E679" s="5" t="n">
        <x:v>6</x:v>
      </x:c>
      <x:c r="F679" s="5" t="inlineStr">
        <x:is>
          <x:t xml:space="preserve">격투</x:t>
        </x:is>
      </x:c>
      <x:c r="G679" s="5" t="inlineStr">
        <x:is>
          <x:t xml:space="preserve">악</x:t>
        </x:is>
      </x:c>
      <x:c r="H679" s="5" t="n">
        <x:v>2.1</x:v>
      </x:c>
      <x:c r="I679" s="5" t="n">
        <x:v>136</x:v>
      </x:c>
      <x:c r="J679" s="5" t="n">
        <x:v>495</x:v>
      </x:c>
      <x:c r="K679" s="5" t="n">
        <x:v>65</x:v>
      </x:c>
      <x:c r="L679" s="5" t="inlineStr">
        <x:is>
          <x:t xml:space="preserve">최종</x:t>
        </x:is>
      </x:c>
      <x:c r="M679" s="5" t="n">
        <x:v>32</x:v>
      </x:c>
      <x:c r="N679" s="5" t="inlineStr">
        <x:is>
          <x:t xml:space="preserve">레벨·특수</x:t>
        </x:is>
      </x:c>
      <x:c r="O679" s="5" t="inlineStr">
        <x:is>
          <x:t xml:space="preserve">아니오</x:t>
        </x:is>
      </x:c>
      <x:c r="P679" s="5" t="inlineStr">
        <x:is>
          <x:t xml:space="preserve">#cobblemon:is_forest; #cobblemon:is_jungle</x:t>
        </x:is>
      </x:c>
      <x:c r="Q679" s="5" t="inlineStr">
        <x:is>
          <x:t xml:space="preserve">rare; uncommon</x:t>
        </x:is>
      </x:c>
      <x:c r="R679" s="5" t="inlineStr">
        <x:is>
          <x:t xml:space="preserve"/>
        </x:is>
      </x:c>
      <x:c r="S679" s="5" t="inlineStr">
        <x:is>
          <x:t xml:space="preserve"/>
        </x:is>
      </x:c>
      <x:c r="T679" s="5" t="inlineStr">
        <x:is>
          <x:t xml:space="preserve">육상</x:t>
        </x:is>
      </x:c>
      <x:c r="U679" s="5" t="inlineStr">
        <x:is>
          <x:t xml:space="preserve">수목</x:t>
        </x:is>
      </x:c>
      <x:c r="V679" s="5" t="inlineStr">
        <x:is>
          <x:t xml:space="preserve">온대</x:t>
        </x:is>
      </x:c>
      <x:c r="W679" s="5" t="inlineStr">
        <x:is>
          <x:t xml:space="preserve">다습</x:t>
        </x:is>
      </x:c>
      <x:c r="X679" s="5" t="inlineStr">
        <x:is>
          <x:t xml:space="preserve">무관</x:t>
        </x:is>
      </x:c>
      <x:c r="Y679" s="5" t="inlineStr">
        <x:is>
          <x:t xml:space="preserve">밤</x:t>
        </x:is>
      </x:c>
      <x:c r="Z679" s="5" t="inlineStr">
        <x:is>
          <x:t xml:space="preserve">보통</x:t>
        </x:is>
      </x:c>
      <x:c r="AA679" s="5" t="inlineStr">
        <x:is>
          <x:t xml:space="preserve">없음</x:t>
        </x:is>
      </x:c>
      <x:c r="AB679" s="5" t="inlineStr">
        <x:is>
          <x:t xml:space="preserve">숲</x:t>
        </x:is>
      </x:c>
      <x:c r="AC679" s="5" t="inlineStr">
        <x:is>
          <x:t xml:space="preserve">gen6</x:t>
        </x:is>
      </x:c>
      <x:c r="AD679" s="5" t="inlineStr">
        <x:is>
          <x:t xml:space="preserve">.tmp/cobblemon-1.7.3-source/common/src/main/resources/data/cobblemon/species/generation6/pangoro.json</x:t>
        </x:is>
      </x:c>
    </x:row>
    <x:row r="680" ht="22" customHeight="1">
      <x:c r="A680" s="5" t="n">
        <x:v>676</x:v>
      </x:c>
      <x:c r="B680" s="5" t="inlineStr">
        <x:is>
          <x:t xml:space="preserve">트리미앙</x:t>
        </x:is>
      </x:c>
      <x:c r="C680" s="5" t="inlineStr">
        <x:is>
          <x:t xml:space="preserve">furfrou</x:t>
        </x:is>
      </x:c>
      <x:c r="D680" s="5" t="inlineStr">
        <x:is>
          <x:t xml:space="preserve">Furfrou</x:t>
        </x:is>
      </x:c>
      <x:c r="E680" s="5" t="n">
        <x:v>6</x:v>
      </x:c>
      <x:c r="F680" s="5" t="inlineStr">
        <x:is>
          <x:t xml:space="preserve">노말</x:t>
        </x:is>
      </x:c>
      <x:c r="G680" s="5" t="inlineStr">
        <x:is>
          <x:t xml:space="preserve"/>
        </x:is>
      </x:c>
      <x:c r="H680" s="5" t="n">
        <x:v>1.2</x:v>
      </x:c>
      <x:c r="I680" s="5" t="n">
        <x:v>28</x:v>
      </x:c>
      <x:c r="J680" s="5" t="n">
        <x:v>472</x:v>
      </x:c>
      <x:c r="K680" s="5" t="n">
        <x:v>160</x:v>
      </x:c>
      <x:c r="L680" s="5" t="inlineStr">
        <x:is>
          <x:t xml:space="preserve">무진화</x:t>
        </x:is>
      </x:c>
      <x:c r="M680" s="5" t="n"/>
      <x:c r="N680" s="5" t="inlineStr">
        <x:is>
          <x:t xml:space="preserve">없음</x:t>
        </x:is>
      </x:c>
      <x:c r="O680" s="5" t="inlineStr">
        <x:is>
          <x:t xml:space="preserve">예</x:t>
        </x:is>
      </x:c>
      <x:c r="P680" s="5" t="inlineStr">
        <x:is>
          <x:t xml:space="preserve">#cobblemon:is_floral; #cobblemon:is_overworld</x:t>
        </x:is>
      </x:c>
      <x:c r="Q680" s="5" t="inlineStr">
        <x:is>
          <x:t xml:space="preserve">common; uncommon</x:t>
        </x:is>
      </x:c>
      <x:c r="R680" s="5" t="inlineStr">
        <x:is>
          <x:t xml:space="preserve"/>
        </x:is>
      </x:c>
      <x:c r="S680" s="5" t="inlineStr">
        <x:is>
          <x:t xml:space="preserve"/>
        </x:is>
      </x:c>
      <x:c r="T680" s="5" t="inlineStr">
        <x:is>
          <x:t xml:space="preserve">육상</x:t>
        </x:is>
      </x:c>
      <x:c r="U680" s="5" t="inlineStr">
        <x:is>
          <x:t xml:space="preserve">개활지</x:t>
        </x:is>
      </x:c>
      <x:c r="V680" s="5" t="inlineStr">
        <x:is>
          <x:t xml:space="preserve">온대</x:t>
        </x:is>
      </x:c>
      <x:c r="W680" s="5" t="inlineStr">
        <x:is>
          <x:t xml:space="preserve">보통</x:t>
        </x:is>
      </x:c>
      <x:c r="X680" s="5" t="inlineStr">
        <x:is>
          <x:t xml:space="preserve">무관</x:t>
        </x:is>
      </x:c>
      <x:c r="Y680" s="5" t="inlineStr">
        <x:is>
          <x:t xml:space="preserve">무관</x:t>
        </x:is>
      </x:c>
      <x:c r="Z680" s="5" t="inlineStr">
        <x:is>
          <x:t xml:space="preserve">보통</x:t>
        </x:is>
      </x:c>
      <x:c r="AA680" s="5" t="inlineStr">
        <x:is>
          <x:t xml:space="preserve">없음</x:t>
        </x:is>
      </x:c>
      <x:c r="AB680" s="5" t="inlineStr">
        <x:is>
          <x:t xml:space="preserve"/>
        </x:is>
      </x:c>
      <x:c r="AC680" s="5" t="inlineStr">
        <x:is>
          <x:t xml:space="preserve">gen6</x:t>
        </x:is>
      </x:c>
      <x:c r="AD680" s="5" t="inlineStr">
        <x:is>
          <x:t xml:space="preserve">.tmp/cobblemon-1.7.3-source/common/src/main/resources/data/cobblemon/species/generation6/furfrou.json</x:t>
        </x:is>
      </x:c>
    </x:row>
    <x:row r="681" ht="22" customHeight="1">
      <x:c r="A681" s="5" t="n">
        <x:v>677</x:v>
      </x:c>
      <x:c r="B681" s="5" t="inlineStr">
        <x:is>
          <x:t xml:space="preserve">냐스퍼</x:t>
        </x:is>
      </x:c>
      <x:c r="C681" s="5" t="inlineStr">
        <x:is>
          <x:t xml:space="preserve">espurr</x:t>
        </x:is>
      </x:c>
      <x:c r="D681" s="5" t="inlineStr">
        <x:is>
          <x:t xml:space="preserve">Espurr</x:t>
        </x:is>
      </x:c>
      <x:c r="E681" s="5" t="n">
        <x:v>6</x:v>
      </x:c>
      <x:c r="F681" s="5" t="inlineStr">
        <x:is>
          <x:t xml:space="preserve">에스퍼</x:t>
        </x:is>
      </x:c>
      <x:c r="G681" s="5" t="inlineStr">
        <x:is>
          <x:t xml:space="preserve"/>
        </x:is>
      </x:c>
      <x:c r="H681" s="5" t="n">
        <x:v>0.3</x:v>
      </x:c>
      <x:c r="I681" s="5" t="n">
        <x:v>3.5</x:v>
      </x:c>
      <x:c r="J681" s="5" t="n">
        <x:v>355</x:v>
      </x:c>
      <x:c r="K681" s="5" t="n">
        <x:v>190</x:v>
      </x:c>
      <x:c r="L681" s="5" t="inlineStr">
        <x:is>
          <x:t xml:space="preserve">기본</x:t>
        </x:is>
      </x:c>
      <x:c r="M681" s="5" t="n">
        <x:v>25</x:v>
      </x:c>
      <x:c r="N681" s="5" t="inlineStr">
        <x:is>
          <x:t xml:space="preserve">레벨·특수</x:t>
        </x:is>
      </x:c>
      <x:c r="O681" s="5" t="inlineStr">
        <x:is>
          <x:t xml:space="preserve">예</x:t>
        </x:is>
      </x:c>
      <x:c r="P681" s="5" t="inlineStr">
        <x:is>
          <x:t xml:space="preserve">#cobblemon:is_arid; #cobblemon:is_end; #cobblemon:is_freezing; #cobblemon:is_overworld</x:t>
        </x:is>
      </x:c>
      <x:c r="Q681" s="5" t="inlineStr">
        <x:is>
          <x:t xml:space="preserve">common</x:t>
        </x:is>
      </x:c>
      <x:c r="R681" s="5" t="inlineStr">
        <x:is>
          <x:t xml:space="preserve"/>
        </x:is>
      </x:c>
      <x:c r="S681" s="5" t="inlineStr">
        <x:is>
          <x:t xml:space="preserve">비=False</x:t>
        </x:is>
      </x:c>
      <x:c r="T681" s="5" t="inlineStr">
        <x:is>
          <x:t xml:space="preserve">육상</x:t>
        </x:is>
      </x:c>
      <x:c r="U681" s="5" t="inlineStr">
        <x:is>
          <x:t xml:space="preserve">건조</x:t>
        </x:is>
      </x:c>
      <x:c r="V681" s="5" t="inlineStr">
        <x:is>
          <x:t xml:space="preserve">고온</x:t>
        </x:is>
      </x:c>
      <x:c r="W681" s="5" t="inlineStr">
        <x:is>
          <x:t xml:space="preserve">건조</x:t>
        </x:is>
      </x:c>
      <x:c r="X681" s="5" t="inlineStr">
        <x:is>
          <x:t xml:space="preserve">맑음</x:t>
        </x:is>
      </x:c>
      <x:c r="Y681" s="5" t="inlineStr">
        <x:is>
          <x:t xml:space="preserve">무관</x:t>
        </x:is>
      </x:c>
      <x:c r="Z681" s="5" t="inlineStr">
        <x:is>
          <x:t xml:space="preserve">흔함</x:t>
        </x:is>
      </x:c>
      <x:c r="AA681" s="5" t="inlineStr">
        <x:is>
          <x:t xml:space="preserve">없음</x:t>
        </x:is>
      </x:c>
      <x:c r="AB681" s="5" t="inlineStr">
        <x:is>
          <x:t xml:space="preserve">건조지</x:t>
        </x:is>
      </x:c>
      <x:c r="AC681" s="5" t="inlineStr">
        <x:is>
          <x:t xml:space="preserve">gen6</x:t>
        </x:is>
      </x:c>
      <x:c r="AD681" s="5" t="inlineStr">
        <x:is>
          <x:t xml:space="preserve">.tmp/cobblemon-1.7.3-source/common/src/main/resources/data/cobblemon/species/generation6/espurr.json</x:t>
        </x:is>
      </x:c>
    </x:row>
    <x:row r="682" ht="22" customHeight="1">
      <x:c r="A682" s="5" t="n">
        <x:v>678</x:v>
      </x:c>
      <x:c r="B682" s="5" t="inlineStr">
        <x:is>
          <x:t xml:space="preserve">냐오닉스</x:t>
        </x:is>
      </x:c>
      <x:c r="C682" s="5" t="inlineStr">
        <x:is>
          <x:t xml:space="preserve">meowstic</x:t>
        </x:is>
      </x:c>
      <x:c r="D682" s="5" t="inlineStr">
        <x:is>
          <x:t xml:space="preserve">Meowstic</x:t>
        </x:is>
      </x:c>
      <x:c r="E682" s="5" t="n">
        <x:v>6</x:v>
      </x:c>
      <x:c r="F682" s="5" t="inlineStr">
        <x:is>
          <x:t xml:space="preserve">에스퍼</x:t>
        </x:is>
      </x:c>
      <x:c r="G682" s="5" t="inlineStr">
        <x:is>
          <x:t xml:space="preserve"/>
        </x:is>
      </x:c>
      <x:c r="H682" s="5" t="n">
        <x:v>0.6</x:v>
      </x:c>
      <x:c r="I682" s="5" t="n">
        <x:v>8.5</x:v>
      </x:c>
      <x:c r="J682" s="5" t="n">
        <x:v>466</x:v>
      </x:c>
      <x:c r="K682" s="5" t="n">
        <x:v>75</x:v>
      </x:c>
      <x:c r="L682" s="5" t="inlineStr">
        <x:is>
          <x:t xml:space="preserve">최종</x:t>
        </x:is>
      </x:c>
      <x:c r="M682" s="5" t="n">
        <x:v>25</x:v>
      </x:c>
      <x:c r="N682" s="5" t="inlineStr">
        <x:is>
          <x:t xml:space="preserve">레벨·특수</x:t>
        </x:is>
      </x:c>
      <x:c r="O682" s="5" t="inlineStr">
        <x:is>
          <x:t xml:space="preserve">예</x:t>
        </x:is>
      </x:c>
      <x:c r="P682" s="5" t="inlineStr">
        <x:is>
          <x:t xml:space="preserve">#cobblemon:is_arid; #cobblemon:is_end; #cobblemon:is_freezing; #cobblemon:is_overworld</x:t>
        </x:is>
      </x:c>
      <x:c r="Q682" s="5" t="inlineStr">
        <x:is>
          <x:t xml:space="preserve">common</x:t>
        </x:is>
      </x:c>
      <x:c r="R682" s="5" t="inlineStr">
        <x:is>
          <x:t xml:space="preserve"/>
        </x:is>
      </x:c>
      <x:c r="S682" s="5" t="inlineStr">
        <x:is>
          <x:t xml:space="preserve">비=False</x:t>
        </x:is>
      </x:c>
      <x:c r="T682" s="5" t="inlineStr">
        <x:is>
          <x:t xml:space="preserve">육상</x:t>
        </x:is>
      </x:c>
      <x:c r="U682" s="5" t="inlineStr">
        <x:is>
          <x:t xml:space="preserve">건조</x:t>
        </x:is>
      </x:c>
      <x:c r="V682" s="5" t="inlineStr">
        <x:is>
          <x:t xml:space="preserve">고온</x:t>
        </x:is>
      </x:c>
      <x:c r="W682" s="5" t="inlineStr">
        <x:is>
          <x:t xml:space="preserve">건조</x:t>
        </x:is>
      </x:c>
      <x:c r="X682" s="5" t="inlineStr">
        <x:is>
          <x:t xml:space="preserve">맑음</x:t>
        </x:is>
      </x:c>
      <x:c r="Y682" s="5" t="inlineStr">
        <x:is>
          <x:t xml:space="preserve">무관</x:t>
        </x:is>
      </x:c>
      <x:c r="Z682" s="5" t="inlineStr">
        <x:is>
          <x:t xml:space="preserve">흔함</x:t>
        </x:is>
      </x:c>
      <x:c r="AA682" s="5" t="inlineStr">
        <x:is>
          <x:t xml:space="preserve">없음</x:t>
        </x:is>
      </x:c>
      <x:c r="AB682" s="5" t="inlineStr">
        <x:is>
          <x:t xml:space="preserve">건조지</x:t>
        </x:is>
      </x:c>
      <x:c r="AC682" s="5" t="inlineStr">
        <x:is>
          <x:t xml:space="preserve">gen6</x:t>
        </x:is>
      </x:c>
      <x:c r="AD682" s="5" t="inlineStr">
        <x:is>
          <x:t xml:space="preserve">.tmp/cobblemon-1.7.3-source/common/src/main/resources/data/cobblemon/species/generation6/meowstic.json</x:t>
        </x:is>
      </x:c>
    </x:row>
    <x:row r="683" ht="22" customHeight="1">
      <x:c r="A683" s="5" t="n">
        <x:v>679</x:v>
      </x:c>
      <x:c r="B683" s="5" t="inlineStr">
        <x:is>
          <x:t xml:space="preserve">단칼빙</x:t>
        </x:is>
      </x:c>
      <x:c r="C683" s="5" t="inlineStr">
        <x:is>
          <x:t xml:space="preserve">honedge</x:t>
        </x:is>
      </x:c>
      <x:c r="D683" s="5" t="inlineStr">
        <x:is>
          <x:t xml:space="preserve">Honedge</x:t>
        </x:is>
      </x:c>
      <x:c r="E683" s="5" t="n">
        <x:v>6</x:v>
      </x:c>
      <x:c r="F683" s="5" t="inlineStr">
        <x:is>
          <x:t xml:space="preserve">강철</x:t>
        </x:is>
      </x:c>
      <x:c r="G683" s="5" t="inlineStr">
        <x:is>
          <x:t xml:space="preserve">고스트</x:t>
        </x:is>
      </x:c>
      <x:c r="H683" s="5" t="n">
        <x:v>0.8</x:v>
      </x:c>
      <x:c r="I683" s="5" t="n">
        <x:v>2</x:v>
      </x:c>
      <x:c r="J683" s="5" t="n">
        <x:v>325</x:v>
      </x:c>
      <x:c r="K683" s="5" t="n">
        <x:v>180</x:v>
      </x:c>
      <x:c r="L683" s="5" t="inlineStr">
        <x:is>
          <x:t xml:space="preserve">기본</x:t>
        </x:is>
      </x:c>
      <x:c r="M683" s="5" t="n">
        <x:v>35</x:v>
      </x:c>
      <x:c r="N683" s="5" t="inlineStr">
        <x:is>
          <x:t xml:space="preserve">레벨·특수</x:t>
        </x:is>
      </x:c>
      <x:c r="O683" s="5" t="inlineStr">
        <x:is>
          <x:t xml:space="preserve">예</x:t>
        </x:is>
      </x:c>
      <x:c r="P683" s="5" t="inlineStr">
        <x:is>
          <x:t xml:space="preserve">#aether:is_aether; #cobblemon:is_overworld; #minecraft:is_nether</x:t>
        </x:is>
      </x:c>
      <x:c r="Q683" s="5" t="inlineStr">
        <x:is>
          <x:t xml:space="preserve">uncommon</x:t>
        </x:is>
      </x:c>
      <x:c r="R683" s="5" t="inlineStr">
        <x:is>
          <x:t xml:space="preserve"/>
        </x:is>
      </x:c>
      <x:c r="S683" s="5" t="inlineStr">
        <x:is>
          <x:t xml:space="preserve"/>
        </x:is>
      </x:c>
      <x:c r="T683" s="5" t="inlineStr">
        <x:is>
          <x:t xml:space="preserve">비행</x:t>
        </x:is>
      </x:c>
      <x:c r="U683" s="5" t="inlineStr">
        <x:is>
          <x:t xml:space="preserve">화산</x:t>
        </x:is>
      </x:c>
      <x:c r="V683" s="5" t="inlineStr">
        <x:is>
          <x:t xml:space="preserve">고온</x:t>
        </x:is>
      </x:c>
      <x:c r="W683" s="5" t="inlineStr">
        <x:is>
          <x:t xml:space="preserve">건조</x:t>
        </x:is>
      </x:c>
      <x:c r="X683" s="5" t="inlineStr">
        <x:is>
          <x:t xml:space="preserve">맑음</x:t>
        </x:is>
      </x:c>
      <x:c r="Y683" s="5" t="inlineStr">
        <x:is>
          <x:t xml:space="preserve">밤</x:t>
        </x:is>
      </x:c>
      <x:c r="Z683" s="5" t="inlineStr">
        <x:is>
          <x:t xml:space="preserve">보통</x:t>
        </x:is>
      </x:c>
      <x:c r="AA683" s="5" t="inlineStr">
        <x:is>
          <x:t xml:space="preserve">영체</x:t>
        </x:is>
      </x:c>
      <x:c r="AB683" s="5" t="inlineStr">
        <x:is>
          <x:t xml:space="preserve">화산</x:t>
        </x:is>
      </x:c>
      <x:c r="AC683" s="5" t="inlineStr">
        <x:is>
          <x:t xml:space="preserve">gen6</x:t>
        </x:is>
      </x:c>
      <x:c r="AD683" s="5" t="inlineStr">
        <x:is>
          <x:t xml:space="preserve">.tmp/cobblemon-1.7.3-source/common/src/main/resources/data/cobblemon/species/generation6/honedge.json</x:t>
        </x:is>
      </x:c>
    </x:row>
    <x:row r="684" ht="22" customHeight="1">
      <x:c r="A684" s="5" t="n">
        <x:v>680</x:v>
      </x:c>
      <x:c r="B684" s="5" t="inlineStr">
        <x:is>
          <x:t xml:space="preserve">쌍검킬</x:t>
        </x:is>
      </x:c>
      <x:c r="C684" s="5" t="inlineStr">
        <x:is>
          <x:t xml:space="preserve">doublade</x:t>
        </x:is>
      </x:c>
      <x:c r="D684" s="5" t="inlineStr">
        <x:is>
          <x:t xml:space="preserve">Doublade</x:t>
        </x:is>
      </x:c>
      <x:c r="E684" s="5" t="n">
        <x:v>6</x:v>
      </x:c>
      <x:c r="F684" s="5" t="inlineStr">
        <x:is>
          <x:t xml:space="preserve">강철</x:t>
        </x:is>
      </x:c>
      <x:c r="G684" s="5" t="inlineStr">
        <x:is>
          <x:t xml:space="preserve">고스트</x:t>
        </x:is>
      </x:c>
      <x:c r="H684" s="5" t="n">
        <x:v>0.8</x:v>
      </x:c>
      <x:c r="I684" s="5" t="n">
        <x:v>4.5</x:v>
      </x:c>
      <x:c r="J684" s="5" t="n">
        <x:v>448</x:v>
      </x:c>
      <x:c r="K684" s="5" t="n">
        <x:v>90</x:v>
      </x:c>
      <x:c r="L684" s="5" t="inlineStr">
        <x:is>
          <x:t xml:space="preserve">중간</x:t>
        </x:is>
      </x:c>
      <x:c r="M684" s="5" t="n">
        <x:v>35</x:v>
      </x:c>
      <x:c r="N684" s="5" t="inlineStr">
        <x:is>
          <x:t xml:space="preserve">레벨·특수</x:t>
        </x:is>
      </x:c>
      <x:c r="O684" s="5" t="inlineStr">
        <x:is>
          <x:t xml:space="preserve">예</x:t>
        </x:is>
      </x:c>
      <x:c r="P684" s="5" t="inlineStr">
        <x:is>
          <x:t xml:space="preserve">#aether:is_aether; #cobblemon:is_overworld; #minecraft:is_nether</x:t>
        </x:is>
      </x:c>
      <x:c r="Q684" s="5" t="inlineStr">
        <x:is>
          <x:t xml:space="preserve">uncommon</x:t>
        </x:is>
      </x:c>
      <x:c r="R684" s="5" t="inlineStr">
        <x:is>
          <x:t xml:space="preserve"/>
        </x:is>
      </x:c>
      <x:c r="S684" s="5" t="inlineStr">
        <x:is>
          <x:t xml:space="preserve"/>
        </x:is>
      </x:c>
      <x:c r="T684" s="5" t="inlineStr">
        <x:is>
          <x:t xml:space="preserve">비행</x:t>
        </x:is>
      </x:c>
      <x:c r="U684" s="5" t="inlineStr">
        <x:is>
          <x:t xml:space="preserve">화산</x:t>
        </x:is>
      </x:c>
      <x:c r="V684" s="5" t="inlineStr">
        <x:is>
          <x:t xml:space="preserve">고온</x:t>
        </x:is>
      </x:c>
      <x:c r="W684" s="5" t="inlineStr">
        <x:is>
          <x:t xml:space="preserve">건조</x:t>
        </x:is>
      </x:c>
      <x:c r="X684" s="5" t="inlineStr">
        <x:is>
          <x:t xml:space="preserve">맑음</x:t>
        </x:is>
      </x:c>
      <x:c r="Y684" s="5" t="inlineStr">
        <x:is>
          <x:t xml:space="preserve">밤</x:t>
        </x:is>
      </x:c>
      <x:c r="Z684" s="5" t="inlineStr">
        <x:is>
          <x:t xml:space="preserve">보통</x:t>
        </x:is>
      </x:c>
      <x:c r="AA684" s="5" t="inlineStr">
        <x:is>
          <x:t xml:space="preserve">영체</x:t>
        </x:is>
      </x:c>
      <x:c r="AB684" s="5" t="inlineStr">
        <x:is>
          <x:t xml:space="preserve">화산</x:t>
        </x:is>
      </x:c>
      <x:c r="AC684" s="5" t="inlineStr">
        <x:is>
          <x:t xml:space="preserve">gen6</x:t>
        </x:is>
      </x:c>
      <x:c r="AD684" s="5" t="inlineStr">
        <x:is>
          <x:t xml:space="preserve">.tmp/cobblemon-1.7.3-source/common/src/main/resources/data/cobblemon/species/generation6/doublade.json</x:t>
        </x:is>
      </x:c>
    </x:row>
    <x:row r="685" ht="22" customHeight="1">
      <x:c r="A685" s="5" t="n">
        <x:v>681</x:v>
      </x:c>
      <x:c r="B685" s="5" t="inlineStr">
        <x:is>
          <x:t xml:space="preserve">킬가르도</x:t>
        </x:is>
      </x:c>
      <x:c r="C685" s="5" t="inlineStr">
        <x:is>
          <x:t xml:space="preserve">aegislash</x:t>
        </x:is>
      </x:c>
      <x:c r="D685" s="5" t="inlineStr">
        <x:is>
          <x:t xml:space="preserve">Aegislash</x:t>
        </x:is>
      </x:c>
      <x:c r="E685" s="5" t="n">
        <x:v>6</x:v>
      </x:c>
      <x:c r="F685" s="5" t="inlineStr">
        <x:is>
          <x:t xml:space="preserve">강철</x:t>
        </x:is>
      </x:c>
      <x:c r="G685" s="5" t="inlineStr">
        <x:is>
          <x:t xml:space="preserve">고스트</x:t>
        </x:is>
      </x:c>
      <x:c r="H685" s="5" t="n">
        <x:v>1.7</x:v>
      </x:c>
      <x:c r="I685" s="5" t="n">
        <x:v>53</x:v>
      </x:c>
      <x:c r="J685" s="5" t="n">
        <x:v>500</x:v>
      </x:c>
      <x:c r="K685" s="5" t="n">
        <x:v>45</x:v>
      </x:c>
      <x:c r="L685" s="5" t="inlineStr">
        <x:is>
          <x:t xml:space="preserve">최종</x:t>
        </x:is>
      </x:c>
      <x:c r="M685" s="5" t="n">
        <x:v>35</x:v>
      </x:c>
      <x:c r="N685" s="5" t="inlineStr">
        <x:is>
          <x:t xml:space="preserve">레벨·특수</x:t>
        </x:is>
      </x:c>
      <x:c r="O685" s="5" t="inlineStr">
        <x:is>
          <x:t xml:space="preserve">예</x:t>
        </x:is>
      </x:c>
      <x:c r="P685" s="5" t="inlineStr">
        <x:is>
          <x:t xml:space="preserve">#aether:is_aether; #cobblemon:is_overworld; #minecraft:is_nether</x:t>
        </x:is>
      </x:c>
      <x:c r="Q685" s="5" t="inlineStr">
        <x:is>
          <x:t xml:space="preserve">uncommon</x:t>
        </x:is>
      </x:c>
      <x:c r="R685" s="5" t="inlineStr">
        <x:is>
          <x:t xml:space="preserve"/>
        </x:is>
      </x:c>
      <x:c r="S685" s="5" t="inlineStr">
        <x:is>
          <x:t xml:space="preserve"/>
        </x:is>
      </x:c>
      <x:c r="T685" s="5" t="inlineStr">
        <x:is>
          <x:t xml:space="preserve">비행</x:t>
        </x:is>
      </x:c>
      <x:c r="U685" s="5" t="inlineStr">
        <x:is>
          <x:t xml:space="preserve">화산</x:t>
        </x:is>
      </x:c>
      <x:c r="V685" s="5" t="inlineStr">
        <x:is>
          <x:t xml:space="preserve">고온</x:t>
        </x:is>
      </x:c>
      <x:c r="W685" s="5" t="inlineStr">
        <x:is>
          <x:t xml:space="preserve">건조</x:t>
        </x:is>
      </x:c>
      <x:c r="X685" s="5" t="inlineStr">
        <x:is>
          <x:t xml:space="preserve">맑음</x:t>
        </x:is>
      </x:c>
      <x:c r="Y685" s="5" t="inlineStr">
        <x:is>
          <x:t xml:space="preserve">밤</x:t>
        </x:is>
      </x:c>
      <x:c r="Z685" s="5" t="inlineStr">
        <x:is>
          <x:t xml:space="preserve">보통</x:t>
        </x:is>
      </x:c>
      <x:c r="AA685" s="5" t="inlineStr">
        <x:is>
          <x:t xml:space="preserve">영체</x:t>
        </x:is>
      </x:c>
      <x:c r="AB685" s="5" t="inlineStr">
        <x:is>
          <x:t xml:space="preserve">화산</x:t>
        </x:is>
      </x:c>
      <x:c r="AC685" s="5" t="inlineStr">
        <x:is>
          <x:t xml:space="preserve">gen6</x:t>
        </x:is>
      </x:c>
      <x:c r="AD685" s="5" t="inlineStr">
        <x:is>
          <x:t xml:space="preserve">.tmp/cobblemon-1.7.3-source/common/src/main/resources/data/cobblemon/species/generation6/aegislash.json</x:t>
        </x:is>
      </x:c>
    </x:row>
    <x:row r="686" ht="22" customHeight="1">
      <x:c r="A686" s="5" t="n">
        <x:v>682</x:v>
      </x:c>
      <x:c r="B686" s="5" t="inlineStr">
        <x:is>
          <x:t xml:space="preserve">슈쁘</x:t>
        </x:is>
      </x:c>
      <x:c r="C686" s="5" t="inlineStr">
        <x:is>
          <x:t xml:space="preserve">spritzee</x:t>
        </x:is>
      </x:c>
      <x:c r="D686" s="5" t="inlineStr">
        <x:is>
          <x:t xml:space="preserve">Spritzee</x:t>
        </x:is>
      </x:c>
      <x:c r="E686" s="5" t="n">
        <x:v>6</x:v>
      </x:c>
      <x:c r="F686" s="5" t="inlineStr">
        <x:is>
          <x:t xml:space="preserve">페어리</x:t>
        </x:is>
      </x:c>
      <x:c r="G686" s="5" t="inlineStr">
        <x:is>
          <x:t xml:space="preserve"/>
        </x:is>
      </x:c>
      <x:c r="H686" s="5" t="n">
        <x:v>0.2</x:v>
      </x:c>
      <x:c r="I686" s="5" t="n">
        <x:v>0.5</x:v>
      </x:c>
      <x:c r="J686" s="5" t="n">
        <x:v>341</x:v>
      </x:c>
      <x:c r="K686" s="5" t="n">
        <x:v>200</x:v>
      </x:c>
      <x:c r="L686" s="5" t="inlineStr">
        <x:is>
          <x:t xml:space="preserve">기본</x:t>
        </x:is>
      </x:c>
      <x:c r="M686" s="5" t="n"/>
      <x:c r="N686" s="5" t="inlineStr">
        <x:is>
          <x:t xml:space="preserve">특수</x:t>
        </x:is>
      </x:c>
      <x:c r="O686" s="5" t="inlineStr">
        <x:is>
          <x:t xml:space="preserve">예</x:t>
        </x:is>
      </x:c>
      <x:c r="P686" s="5" t="inlineStr">
        <x:is>
          <x:t xml:space="preserve">#cobblemon:is_floral; #cobblemon:is_forest</x:t>
        </x:is>
      </x:c>
      <x:c r="Q686" s="5" t="inlineStr">
        <x:is>
          <x:t xml:space="preserve">common</x:t>
        </x:is>
      </x:c>
      <x:c r="R686" s="5" t="inlineStr">
        <x:is>
          <x:t xml:space="preserve"/>
        </x:is>
      </x:c>
      <x:c r="S686" s="5" t="inlineStr">
        <x:is>
          <x:t xml:space="preserve"/>
        </x:is>
      </x:c>
      <x:c r="T686" s="5" t="inlineStr">
        <x:is>
          <x:t xml:space="preserve">비행</x:t>
        </x:is>
      </x:c>
      <x:c r="U686" s="5" t="inlineStr">
        <x:is>
          <x:t xml:space="preserve">수목</x:t>
        </x:is>
      </x:c>
      <x:c r="V686" s="5" t="inlineStr">
        <x:is>
          <x:t xml:space="preserve">온대</x:t>
        </x:is>
      </x:c>
      <x:c r="W686" s="5" t="inlineStr">
        <x:is>
          <x:t xml:space="preserve">보통</x:t>
        </x:is>
      </x:c>
      <x:c r="X686" s="5" t="inlineStr">
        <x:is>
          <x:t xml:space="preserve">무관</x:t>
        </x:is>
      </x:c>
      <x:c r="Y686" s="5" t="inlineStr">
        <x:is>
          <x:t xml:space="preserve">무관</x:t>
        </x:is>
      </x:c>
      <x:c r="Z686" s="5" t="inlineStr">
        <x:is>
          <x:t xml:space="preserve">흔함</x:t>
        </x:is>
      </x:c>
      <x:c r="AA686" s="5" t="inlineStr">
        <x:is>
          <x:t xml:space="preserve">없음</x:t>
        </x:is>
      </x:c>
      <x:c r="AB686" s="5" t="inlineStr">
        <x:is>
          <x:t xml:space="preserve">숲</x:t>
        </x:is>
      </x:c>
      <x:c r="AC686" s="5" t="inlineStr">
        <x:is>
          <x:t xml:space="preserve">gen6</x:t>
        </x:is>
      </x:c>
      <x:c r="AD686" s="5" t="inlineStr">
        <x:is>
          <x:t xml:space="preserve">.tmp/cobblemon-1.7.3-source/common/src/main/resources/data/cobblemon/species/generation6/spritzee.json</x:t>
        </x:is>
      </x:c>
    </x:row>
    <x:row r="687" ht="22" customHeight="1">
      <x:c r="A687" s="5" t="n">
        <x:v>683</x:v>
      </x:c>
      <x:c r="B687" s="5" t="inlineStr">
        <x:is>
          <x:t xml:space="preserve">프레프티르</x:t>
        </x:is>
      </x:c>
      <x:c r="C687" s="5" t="inlineStr">
        <x:is>
          <x:t xml:space="preserve">aromatisse</x:t>
        </x:is>
      </x:c>
      <x:c r="D687" s="5" t="inlineStr">
        <x:is>
          <x:t xml:space="preserve">Aromatisse</x:t>
        </x:is>
      </x:c>
      <x:c r="E687" s="5" t="n">
        <x:v>6</x:v>
      </x:c>
      <x:c r="F687" s="5" t="inlineStr">
        <x:is>
          <x:t xml:space="preserve">페어리</x:t>
        </x:is>
      </x:c>
      <x:c r="G687" s="5" t="inlineStr">
        <x:is>
          <x:t xml:space="preserve"/>
        </x:is>
      </x:c>
      <x:c r="H687" s="5" t="n">
        <x:v>0.8</x:v>
      </x:c>
      <x:c r="I687" s="5" t="n">
        <x:v>15.5</x:v>
      </x:c>
      <x:c r="J687" s="5" t="n">
        <x:v>462</x:v>
      </x:c>
      <x:c r="K687" s="5" t="n">
        <x:v>140</x:v>
      </x:c>
      <x:c r="L687" s="5" t="inlineStr">
        <x:is>
          <x:t xml:space="preserve">최종</x:t>
        </x:is>
      </x:c>
      <x:c r="M687" s="5" t="n"/>
      <x:c r="N687" s="5" t="inlineStr">
        <x:is>
          <x:t xml:space="preserve">특수</x:t>
        </x:is>
      </x:c>
      <x:c r="O687" s="5" t="inlineStr">
        <x:is>
          <x:t xml:space="preserve">예</x:t>
        </x:is>
      </x:c>
      <x:c r="P687" s="5" t="inlineStr">
        <x:is>
          <x:t xml:space="preserve">#cobblemon:is_floral; #cobblemon:is_forest</x:t>
        </x:is>
      </x:c>
      <x:c r="Q687" s="5" t="inlineStr">
        <x:is>
          <x:t xml:space="preserve">uncommon</x:t>
        </x:is>
      </x:c>
      <x:c r="R687" s="5" t="inlineStr">
        <x:is>
          <x:t xml:space="preserve"/>
        </x:is>
      </x:c>
      <x:c r="S687" s="5" t="inlineStr">
        <x:is>
          <x:t xml:space="preserve"/>
        </x:is>
      </x:c>
      <x:c r="T687" s="5" t="inlineStr">
        <x:is>
          <x:t xml:space="preserve">육상</x:t>
        </x:is>
      </x:c>
      <x:c r="U687" s="5" t="inlineStr">
        <x:is>
          <x:t xml:space="preserve">수목</x:t>
        </x:is>
      </x:c>
      <x:c r="V687" s="5" t="inlineStr">
        <x:is>
          <x:t xml:space="preserve">온대</x:t>
        </x:is>
      </x:c>
      <x:c r="W687" s="5" t="inlineStr">
        <x:is>
          <x:t xml:space="preserve">보통</x:t>
        </x:is>
      </x:c>
      <x:c r="X687" s="5" t="inlineStr">
        <x:is>
          <x:t xml:space="preserve">무관</x:t>
        </x:is>
      </x:c>
      <x:c r="Y687" s="5" t="inlineStr">
        <x:is>
          <x:t xml:space="preserve">무관</x:t>
        </x:is>
      </x:c>
      <x:c r="Z687" s="5" t="inlineStr">
        <x:is>
          <x:t xml:space="preserve">보통</x:t>
        </x:is>
      </x:c>
      <x:c r="AA687" s="5" t="inlineStr">
        <x:is>
          <x:t xml:space="preserve">없음</x:t>
        </x:is>
      </x:c>
      <x:c r="AB687" s="5" t="inlineStr">
        <x:is>
          <x:t xml:space="preserve">숲</x:t>
        </x:is>
      </x:c>
      <x:c r="AC687" s="5" t="inlineStr">
        <x:is>
          <x:t xml:space="preserve">gen6</x:t>
        </x:is>
      </x:c>
      <x:c r="AD687" s="5" t="inlineStr">
        <x:is>
          <x:t xml:space="preserve">.tmp/cobblemon-1.7.3-source/common/src/main/resources/data/cobblemon/species/generation6/aromatisse.json</x:t>
        </x:is>
      </x:c>
    </x:row>
    <x:row r="688" ht="22" customHeight="1">
      <x:c r="A688" s="5" t="n">
        <x:v>684</x:v>
      </x:c>
      <x:c r="B688" s="5" t="inlineStr">
        <x:is>
          <x:t xml:space="preserve">나룸퍼프</x:t>
        </x:is>
      </x:c>
      <x:c r="C688" s="5" t="inlineStr">
        <x:is>
          <x:t xml:space="preserve">swirlix</x:t>
        </x:is>
      </x:c>
      <x:c r="D688" s="5" t="inlineStr">
        <x:is>
          <x:t xml:space="preserve">Swirlix</x:t>
        </x:is>
      </x:c>
      <x:c r="E688" s="5" t="n">
        <x:v>6</x:v>
      </x:c>
      <x:c r="F688" s="5" t="inlineStr">
        <x:is>
          <x:t xml:space="preserve">페어리</x:t>
        </x:is>
      </x:c>
      <x:c r="G688" s="5" t="inlineStr">
        <x:is>
          <x:t xml:space="preserve"/>
        </x:is>
      </x:c>
      <x:c r="H688" s="5" t="n">
        <x:v>0.4</x:v>
      </x:c>
      <x:c r="I688" s="5" t="n">
        <x:v>3.5</x:v>
      </x:c>
      <x:c r="J688" s="5" t="n">
        <x:v>341</x:v>
      </x:c>
      <x:c r="K688" s="5" t="n">
        <x:v>200</x:v>
      </x:c>
      <x:c r="L688" s="5" t="inlineStr">
        <x:is>
          <x:t xml:space="preserve">기본</x:t>
        </x:is>
      </x:c>
      <x:c r="M688" s="5" t="n"/>
      <x:c r="N688" s="5" t="inlineStr">
        <x:is>
          <x:t xml:space="preserve">특수</x:t>
        </x:is>
      </x:c>
      <x:c r="O688" s="5" t="inlineStr">
        <x:is>
          <x:t xml:space="preserve">예</x:t>
        </x:is>
      </x:c>
      <x:c r="P688" s="5" t="inlineStr">
        <x:is>
          <x:t xml:space="preserve">minecraft:cherry_grove; minecraft:flower_forest</x:t>
        </x:is>
      </x:c>
      <x:c r="Q688" s="5" t="inlineStr">
        <x:is>
          <x:t xml:space="preserve">common</x:t>
        </x:is>
      </x:c>
      <x:c r="R688" s="5" t="inlineStr">
        <x:is>
          <x:t xml:space="preserve"/>
        </x:is>
      </x:c>
      <x:c r="S688" s="5" t="inlineStr">
        <x:is>
          <x:t xml:space="preserve"/>
        </x:is>
      </x:c>
      <x:c r="T688" s="5" t="inlineStr">
        <x:is>
          <x:t xml:space="preserve">비행</x:t>
        </x:is>
      </x:c>
      <x:c r="U688" s="5" t="inlineStr">
        <x:is>
          <x:t xml:space="preserve">수목</x:t>
        </x:is>
      </x:c>
      <x:c r="V688" s="5" t="inlineStr">
        <x:is>
          <x:t xml:space="preserve">온대</x:t>
        </x:is>
      </x:c>
      <x:c r="W688" s="5" t="inlineStr">
        <x:is>
          <x:t xml:space="preserve">보통</x:t>
        </x:is>
      </x:c>
      <x:c r="X688" s="5" t="inlineStr">
        <x:is>
          <x:t xml:space="preserve">무관</x:t>
        </x:is>
      </x:c>
      <x:c r="Y688" s="5" t="inlineStr">
        <x:is>
          <x:t xml:space="preserve">무관</x:t>
        </x:is>
      </x:c>
      <x:c r="Z688" s="5" t="inlineStr">
        <x:is>
          <x:t xml:space="preserve">흔함</x:t>
        </x:is>
      </x:c>
      <x:c r="AA688" s="5" t="inlineStr">
        <x:is>
          <x:t xml:space="preserve">없음</x:t>
        </x:is>
      </x:c>
      <x:c r="AB688" s="5" t="inlineStr">
        <x:is>
          <x:t xml:space="preserve">숲</x:t>
        </x:is>
      </x:c>
      <x:c r="AC688" s="5" t="inlineStr">
        <x:is>
          <x:t xml:space="preserve">gen6</x:t>
        </x:is>
      </x:c>
      <x:c r="AD688" s="5" t="inlineStr">
        <x:is>
          <x:t xml:space="preserve">.tmp/cobblemon-1.7.3-source/common/src/main/resources/data/cobblemon/species/generation6/swirlix.json</x:t>
        </x:is>
      </x:c>
    </x:row>
    <x:row r="689" ht="22" customHeight="1">
      <x:c r="A689" s="5" t="n">
        <x:v>685</x:v>
      </x:c>
      <x:c r="B689" s="5" t="inlineStr">
        <x:is>
          <x:t xml:space="preserve">나루림</x:t>
        </x:is>
      </x:c>
      <x:c r="C689" s="5" t="inlineStr">
        <x:is>
          <x:t xml:space="preserve">slurpuff</x:t>
        </x:is>
      </x:c>
      <x:c r="D689" s="5" t="inlineStr">
        <x:is>
          <x:t xml:space="preserve">Slurpuff</x:t>
        </x:is>
      </x:c>
      <x:c r="E689" s="5" t="n">
        <x:v>6</x:v>
      </x:c>
      <x:c r="F689" s="5" t="inlineStr">
        <x:is>
          <x:t xml:space="preserve">페어리</x:t>
        </x:is>
      </x:c>
      <x:c r="G689" s="5" t="inlineStr">
        <x:is>
          <x:t xml:space="preserve"/>
        </x:is>
      </x:c>
      <x:c r="H689" s="5" t="n">
        <x:v>0.8</x:v>
      </x:c>
      <x:c r="I689" s="5" t="n">
        <x:v>5</x:v>
      </x:c>
      <x:c r="J689" s="5" t="n">
        <x:v>480</x:v>
      </x:c>
      <x:c r="K689" s="5" t="n">
        <x:v>140</x:v>
      </x:c>
      <x:c r="L689" s="5" t="inlineStr">
        <x:is>
          <x:t xml:space="preserve">최종</x:t>
        </x:is>
      </x:c>
      <x:c r="M689" s="5" t="n"/>
      <x:c r="N689" s="5" t="inlineStr">
        <x:is>
          <x:t xml:space="preserve">특수</x:t>
        </x:is>
      </x:c>
      <x:c r="O689" s="5" t="inlineStr">
        <x:is>
          <x:t xml:space="preserve">예</x:t>
        </x:is>
      </x:c>
      <x:c r="P689" s="5" t="inlineStr">
        <x:is>
          <x:t xml:space="preserve">minecraft:cherry_grove; minecraft:flower_forest</x:t>
        </x:is>
      </x:c>
      <x:c r="Q689" s="5" t="inlineStr">
        <x:is>
          <x:t xml:space="preserve">rare</x:t>
        </x:is>
      </x:c>
      <x:c r="R689" s="5" t="inlineStr">
        <x:is>
          <x:t xml:space="preserve"/>
        </x:is>
      </x:c>
      <x:c r="S689" s="5" t="inlineStr">
        <x:is>
          <x:t xml:space="preserve"/>
        </x:is>
      </x:c>
      <x:c r="T689" s="5" t="inlineStr">
        <x:is>
          <x:t xml:space="preserve">육상</x:t>
        </x:is>
      </x:c>
      <x:c r="U689" s="5" t="inlineStr">
        <x:is>
          <x:t xml:space="preserve">수목</x:t>
        </x:is>
      </x:c>
      <x:c r="V689" s="5" t="inlineStr">
        <x:is>
          <x:t xml:space="preserve">온대</x:t>
        </x:is>
      </x:c>
      <x:c r="W689" s="5" t="inlineStr">
        <x:is>
          <x:t xml:space="preserve">보통</x:t>
        </x:is>
      </x:c>
      <x:c r="X689" s="5" t="inlineStr">
        <x:is>
          <x:t xml:space="preserve">무관</x:t>
        </x:is>
      </x:c>
      <x:c r="Y689" s="5" t="inlineStr">
        <x:is>
          <x:t xml:space="preserve">무관</x:t>
        </x:is>
      </x:c>
      <x:c r="Z689" s="5" t="inlineStr">
        <x:is>
          <x:t xml:space="preserve">드묾</x:t>
        </x:is>
      </x:c>
      <x:c r="AA689" s="5" t="inlineStr">
        <x:is>
          <x:t xml:space="preserve">없음</x:t>
        </x:is>
      </x:c>
      <x:c r="AB689" s="5" t="inlineStr">
        <x:is>
          <x:t xml:space="preserve">숲</x:t>
        </x:is>
      </x:c>
      <x:c r="AC689" s="5" t="inlineStr">
        <x:is>
          <x:t xml:space="preserve">gen6</x:t>
        </x:is>
      </x:c>
      <x:c r="AD689" s="5" t="inlineStr">
        <x:is>
          <x:t xml:space="preserve">.tmp/cobblemon-1.7.3-source/common/src/main/resources/data/cobblemon/species/generation6/slurpuff.json</x:t>
        </x:is>
      </x:c>
    </x:row>
    <x:row r="690" ht="22" customHeight="1">
      <x:c r="A690" s="5" t="n">
        <x:v>686</x:v>
      </x:c>
      <x:c r="B690" s="5" t="inlineStr">
        <x:is>
          <x:t xml:space="preserve">오케이징</x:t>
        </x:is>
      </x:c>
      <x:c r="C690" s="5" t="inlineStr">
        <x:is>
          <x:t xml:space="preserve">inkay</x:t>
        </x:is>
      </x:c>
      <x:c r="D690" s="5" t="inlineStr">
        <x:is>
          <x:t xml:space="preserve">Inkay</x:t>
        </x:is>
      </x:c>
      <x:c r="E690" s="5" t="n">
        <x:v>6</x:v>
      </x:c>
      <x:c r="F690" s="5" t="inlineStr">
        <x:is>
          <x:t xml:space="preserve">악</x:t>
        </x:is>
      </x:c>
      <x:c r="G690" s="5" t="inlineStr">
        <x:is>
          <x:t xml:space="preserve">에스퍼</x:t>
        </x:is>
      </x:c>
      <x:c r="H690" s="5" t="n">
        <x:v>0.4</x:v>
      </x:c>
      <x:c r="I690" s="5" t="n">
        <x:v>3.5</x:v>
      </x:c>
      <x:c r="J690" s="5" t="n">
        <x:v>288</x:v>
      </x:c>
      <x:c r="K690" s="5" t="n">
        <x:v>190</x:v>
      </x:c>
      <x:c r="L690" s="5" t="inlineStr">
        <x:is>
          <x:t xml:space="preserve">기본</x:t>
        </x:is>
      </x:c>
      <x:c r="M690" s="5" t="n">
        <x:v>30</x:v>
      </x:c>
      <x:c r="N690" s="5" t="inlineStr">
        <x:is>
          <x:t xml:space="preserve">레벨·특수</x:t>
        </x:is>
      </x:c>
      <x:c r="O690" s="5" t="inlineStr">
        <x:is>
          <x:t xml:space="preserve">예</x:t>
        </x:is>
      </x:c>
      <x:c r="P690" s="5" t="inlineStr">
        <x:is>
          <x:t xml:space="preserve">#cobblemon:is_coast; #cobblemon:is_end; #cobblemon:is_ocean; #cobblemon:is_overworld</x:t>
        </x:is>
      </x:c>
      <x:c r="Q690" s="5" t="inlineStr">
        <x:is>
          <x:t xml:space="preserve">common; uncommon</x:t>
        </x:is>
      </x:c>
      <x:c r="R690" s="5" t="inlineStr">
        <x:is>
          <x:t xml:space="preserve"/>
        </x:is>
      </x:c>
      <x:c r="S690" s="5" t="inlineStr">
        <x:is>
          <x:t xml:space="preserve"/>
        </x:is>
      </x:c>
      <x:c r="T690" s="5" t="inlineStr">
        <x:is>
          <x:t xml:space="preserve">해양</x:t>
        </x:is>
      </x:c>
      <x:c r="U690" s="5" t="inlineStr">
        <x:is>
          <x:t xml:space="preserve">해안·해양</x:t>
        </x:is>
      </x:c>
      <x:c r="V690" s="5" t="inlineStr">
        <x:is>
          <x:t xml:space="preserve">온대</x:t>
        </x:is>
      </x:c>
      <x:c r="W690" s="5" t="inlineStr">
        <x:is>
          <x:t xml:space="preserve">수중</x:t>
        </x:is>
      </x:c>
      <x:c r="X690" s="5" t="inlineStr">
        <x:is>
          <x:t xml:space="preserve">비</x:t>
        </x:is>
      </x:c>
      <x:c r="Y690" s="5" t="inlineStr">
        <x:is>
          <x:t xml:space="preserve">밤</x:t>
        </x:is>
      </x:c>
      <x:c r="Z690" s="5" t="inlineStr">
        <x:is>
          <x:t xml:space="preserve">보통</x:t>
        </x:is>
      </x:c>
      <x:c r="AA690" s="5" t="inlineStr">
        <x:is>
          <x:t xml:space="preserve">없음</x:t>
        </x:is>
      </x:c>
      <x:c r="AB690" s="5" t="inlineStr">
        <x:is>
          <x:t xml:space="preserve">해양</x:t>
        </x:is>
      </x:c>
      <x:c r="AC690" s="5" t="inlineStr">
        <x:is>
          <x:t xml:space="preserve">gen6</x:t>
        </x:is>
      </x:c>
      <x:c r="AD690" s="5" t="inlineStr">
        <x:is>
          <x:t xml:space="preserve">.tmp/cobblemon-1.7.3-source/common/src/main/resources/data/cobblemon/species/generation6/inkay.json</x:t>
        </x:is>
      </x:c>
    </x:row>
    <x:row r="691" ht="22" customHeight="1">
      <x:c r="A691" s="5" t="n">
        <x:v>687</x:v>
      </x:c>
      <x:c r="B691" s="5" t="inlineStr">
        <x:is>
          <x:t xml:space="preserve">칼라마네로</x:t>
        </x:is>
      </x:c>
      <x:c r="C691" s="5" t="inlineStr">
        <x:is>
          <x:t xml:space="preserve">malamar</x:t>
        </x:is>
      </x:c>
      <x:c r="D691" s="5" t="inlineStr">
        <x:is>
          <x:t xml:space="preserve">Malamar</x:t>
        </x:is>
      </x:c>
      <x:c r="E691" s="5" t="n">
        <x:v>6</x:v>
      </x:c>
      <x:c r="F691" s="5" t="inlineStr">
        <x:is>
          <x:t xml:space="preserve">악</x:t>
        </x:is>
      </x:c>
      <x:c r="G691" s="5" t="inlineStr">
        <x:is>
          <x:t xml:space="preserve">에스퍼</x:t>
        </x:is>
      </x:c>
      <x:c r="H691" s="5" t="n">
        <x:v>1.5</x:v>
      </x:c>
      <x:c r="I691" s="5" t="n">
        <x:v>47</x:v>
      </x:c>
      <x:c r="J691" s="5" t="n">
        <x:v>482</x:v>
      </x:c>
      <x:c r="K691" s="5" t="n">
        <x:v>80</x:v>
      </x:c>
      <x:c r="L691" s="5" t="inlineStr">
        <x:is>
          <x:t xml:space="preserve">최종</x:t>
        </x:is>
      </x:c>
      <x:c r="M691" s="5" t="n">
        <x:v>30</x:v>
      </x:c>
      <x:c r="N691" s="5" t="inlineStr">
        <x:is>
          <x:t xml:space="preserve">레벨·특수</x:t>
        </x:is>
      </x:c>
      <x:c r="O691" s="5" t="inlineStr">
        <x:is>
          <x:t xml:space="preserve">예</x:t>
        </x:is>
      </x:c>
      <x:c r="P691" s="5" t="inlineStr">
        <x:is>
          <x:t xml:space="preserve">#cobblemon:is_coast; #cobblemon:is_end; #cobblemon:is_ocean; #cobblemon:is_overworld</x:t>
        </x:is>
      </x:c>
      <x:c r="Q691" s="5" t="inlineStr">
        <x:is>
          <x:t xml:space="preserve">common; uncommon</x:t>
        </x:is>
      </x:c>
      <x:c r="R691" s="5" t="inlineStr">
        <x:is>
          <x:t xml:space="preserve"/>
        </x:is>
      </x:c>
      <x:c r="S691" s="5" t="inlineStr">
        <x:is>
          <x:t xml:space="preserve"/>
        </x:is>
      </x:c>
      <x:c r="T691" s="5" t="inlineStr">
        <x:is>
          <x:t xml:space="preserve">해양</x:t>
        </x:is>
      </x:c>
      <x:c r="U691" s="5" t="inlineStr">
        <x:is>
          <x:t xml:space="preserve">해안·해양</x:t>
        </x:is>
      </x:c>
      <x:c r="V691" s="5" t="inlineStr">
        <x:is>
          <x:t xml:space="preserve">온대</x:t>
        </x:is>
      </x:c>
      <x:c r="W691" s="5" t="inlineStr">
        <x:is>
          <x:t xml:space="preserve">수중</x:t>
        </x:is>
      </x:c>
      <x:c r="X691" s="5" t="inlineStr">
        <x:is>
          <x:t xml:space="preserve">비</x:t>
        </x:is>
      </x:c>
      <x:c r="Y691" s="5" t="inlineStr">
        <x:is>
          <x:t xml:space="preserve">밤</x:t>
        </x:is>
      </x:c>
      <x:c r="Z691" s="5" t="inlineStr">
        <x:is>
          <x:t xml:space="preserve">보통</x:t>
        </x:is>
      </x:c>
      <x:c r="AA691" s="5" t="inlineStr">
        <x:is>
          <x:t xml:space="preserve">없음</x:t>
        </x:is>
      </x:c>
      <x:c r="AB691" s="5" t="inlineStr">
        <x:is>
          <x:t xml:space="preserve">해양</x:t>
        </x:is>
      </x:c>
      <x:c r="AC691" s="5" t="inlineStr">
        <x:is>
          <x:t xml:space="preserve">gen6</x:t>
        </x:is>
      </x:c>
      <x:c r="AD691" s="5" t="inlineStr">
        <x:is>
          <x:t xml:space="preserve">.tmp/cobblemon-1.7.3-source/common/src/main/resources/data/cobblemon/species/generation6/malamar.json</x:t>
        </x:is>
      </x:c>
    </x:row>
    <x:row r="692" ht="22" customHeight="1">
      <x:c r="A692" s="5" t="n">
        <x:v>688</x:v>
      </x:c>
      <x:c r="B692" s="5" t="inlineStr">
        <x:is>
          <x:t xml:space="preserve">거북손손</x:t>
        </x:is>
      </x:c>
      <x:c r="C692" s="5" t="inlineStr">
        <x:is>
          <x:t xml:space="preserve">binacle</x:t>
        </x:is>
      </x:c>
      <x:c r="D692" s="5" t="inlineStr">
        <x:is>
          <x:t xml:space="preserve">Binacle</x:t>
        </x:is>
      </x:c>
      <x:c r="E692" s="5" t="n">
        <x:v>6</x:v>
      </x:c>
      <x:c r="F692" s="5" t="inlineStr">
        <x:is>
          <x:t xml:space="preserve">바위</x:t>
        </x:is>
      </x:c>
      <x:c r="G692" s="5" t="inlineStr">
        <x:is>
          <x:t xml:space="preserve">물</x:t>
        </x:is>
      </x:c>
      <x:c r="H692" s="5" t="n">
        <x:v>0.5</x:v>
      </x:c>
      <x:c r="I692" s="5" t="n">
        <x:v>31</x:v>
      </x:c>
      <x:c r="J692" s="5" t="n">
        <x:v>306</x:v>
      </x:c>
      <x:c r="K692" s="5" t="n">
        <x:v>120</x:v>
      </x:c>
      <x:c r="L692" s="5" t="inlineStr">
        <x:is>
          <x:t xml:space="preserve">기본</x:t>
        </x:is>
      </x:c>
      <x:c r="M692" s="5" t="n">
        <x:v>39</x:v>
      </x:c>
      <x:c r="N692" s="5" t="inlineStr">
        <x:is>
          <x:t xml:space="preserve">레벨</x:t>
        </x:is>
      </x:c>
      <x:c r="O692" s="5" t="inlineStr">
        <x:is>
          <x:t xml:space="preserve">예</x:t>
        </x:is>
      </x:c>
      <x:c r="P692" s="5" t="inlineStr">
        <x:is>
          <x:t xml:space="preserve">#cobblemon:is_coast; #cobblemon:is_ocean</x:t>
        </x:is>
      </x:c>
      <x:c r="Q692" s="5" t="inlineStr">
        <x:is>
          <x:t xml:space="preserve">common; uncommon</x:t>
        </x:is>
      </x:c>
      <x:c r="R692" s="5" t="inlineStr">
        <x:is>
          <x:t xml:space="preserve"/>
        </x:is>
      </x:c>
      <x:c r="S692" s="5" t="inlineStr">
        <x:is>
          <x:t xml:space="preserve"/>
        </x:is>
      </x:c>
      <x:c r="T692" s="5" t="inlineStr">
        <x:is>
          <x:t xml:space="preserve">해양</x:t>
        </x:is>
      </x:c>
      <x:c r="U692" s="5" t="inlineStr">
        <x:is>
          <x:t xml:space="preserve">해안·해양</x:t>
        </x:is>
      </x:c>
      <x:c r="V692" s="5" t="inlineStr">
        <x:is>
          <x:t xml:space="preserve">온대</x:t>
        </x:is>
      </x:c>
      <x:c r="W692" s="5" t="inlineStr">
        <x:is>
          <x:t xml:space="preserve">수중</x:t>
        </x:is>
      </x:c>
      <x:c r="X692" s="5" t="inlineStr">
        <x:is>
          <x:t xml:space="preserve">비</x:t>
        </x:is>
      </x:c>
      <x:c r="Y692" s="5" t="inlineStr">
        <x:is>
          <x:t xml:space="preserve">무관</x:t>
        </x:is>
      </x:c>
      <x:c r="Z692" s="5" t="inlineStr">
        <x:is>
          <x:t xml:space="preserve">보통</x:t>
        </x:is>
      </x:c>
      <x:c r="AA692" s="5" t="inlineStr">
        <x:is>
          <x:t xml:space="preserve">없음</x:t>
        </x:is>
      </x:c>
      <x:c r="AB692" s="5" t="inlineStr">
        <x:is>
          <x:t xml:space="preserve">해양</x:t>
        </x:is>
      </x:c>
      <x:c r="AC692" s="5" t="inlineStr">
        <x:is>
          <x:t xml:space="preserve">gen6</x:t>
        </x:is>
      </x:c>
      <x:c r="AD692" s="5" t="inlineStr">
        <x:is>
          <x:t xml:space="preserve">.tmp/cobblemon-1.7.3-source/common/src/main/resources/data/cobblemon/species/generation6/binacle.json</x:t>
        </x:is>
      </x:c>
    </x:row>
    <x:row r="693" ht="22" customHeight="1">
      <x:c r="A693" s="5" t="n">
        <x:v>689</x:v>
      </x:c>
      <x:c r="B693" s="5" t="inlineStr">
        <x:is>
          <x:t xml:space="preserve">거북손데스</x:t>
        </x:is>
      </x:c>
      <x:c r="C693" s="5" t="inlineStr">
        <x:is>
          <x:t xml:space="preserve">barbaracle</x:t>
        </x:is>
      </x:c>
      <x:c r="D693" s="5" t="inlineStr">
        <x:is>
          <x:t xml:space="preserve">Barbaracle</x:t>
        </x:is>
      </x:c>
      <x:c r="E693" s="5" t="n">
        <x:v>6</x:v>
      </x:c>
      <x:c r="F693" s="5" t="inlineStr">
        <x:is>
          <x:t xml:space="preserve">바위</x:t>
        </x:is>
      </x:c>
      <x:c r="G693" s="5" t="inlineStr">
        <x:is>
          <x:t xml:space="preserve">물</x:t>
        </x:is>
      </x:c>
      <x:c r="H693" s="5" t="n">
        <x:v>1.3</x:v>
      </x:c>
      <x:c r="I693" s="5" t="n">
        <x:v>96</x:v>
      </x:c>
      <x:c r="J693" s="5" t="n">
        <x:v>500</x:v>
      </x:c>
      <x:c r="K693" s="5" t="n">
        <x:v>45</x:v>
      </x:c>
      <x:c r="L693" s="5" t="inlineStr">
        <x:is>
          <x:t xml:space="preserve">최종</x:t>
        </x:is>
      </x:c>
      <x:c r="M693" s="5" t="n">
        <x:v>39</x:v>
      </x:c>
      <x:c r="N693" s="5" t="inlineStr">
        <x:is>
          <x:t xml:space="preserve">레벨</x:t>
        </x:is>
      </x:c>
      <x:c r="O693" s="5" t="inlineStr">
        <x:is>
          <x:t xml:space="preserve">예</x:t>
        </x:is>
      </x:c>
      <x:c r="P693" s="5" t="inlineStr">
        <x:is>
          <x:t xml:space="preserve">#cobblemon:is_coast; #cobblemon:is_ocean</x:t>
        </x:is>
      </x:c>
      <x:c r="Q693" s="5" t="inlineStr">
        <x:is>
          <x:t xml:space="preserve">common; uncommon</x:t>
        </x:is>
      </x:c>
      <x:c r="R693" s="5" t="inlineStr">
        <x:is>
          <x:t xml:space="preserve"/>
        </x:is>
      </x:c>
      <x:c r="S693" s="5" t="inlineStr">
        <x:is>
          <x:t xml:space="preserve"/>
        </x:is>
      </x:c>
      <x:c r="T693" s="5" t="inlineStr">
        <x:is>
          <x:t xml:space="preserve">해양</x:t>
        </x:is>
      </x:c>
      <x:c r="U693" s="5" t="inlineStr">
        <x:is>
          <x:t xml:space="preserve">해안·해양</x:t>
        </x:is>
      </x:c>
      <x:c r="V693" s="5" t="inlineStr">
        <x:is>
          <x:t xml:space="preserve">온대</x:t>
        </x:is>
      </x:c>
      <x:c r="W693" s="5" t="inlineStr">
        <x:is>
          <x:t xml:space="preserve">수중</x:t>
        </x:is>
      </x:c>
      <x:c r="X693" s="5" t="inlineStr">
        <x:is>
          <x:t xml:space="preserve">비</x:t>
        </x:is>
      </x:c>
      <x:c r="Y693" s="5" t="inlineStr">
        <x:is>
          <x:t xml:space="preserve">무관</x:t>
        </x:is>
      </x:c>
      <x:c r="Z693" s="5" t="inlineStr">
        <x:is>
          <x:t xml:space="preserve">보통</x:t>
        </x:is>
      </x:c>
      <x:c r="AA693" s="5" t="inlineStr">
        <x:is>
          <x:t xml:space="preserve">없음</x:t>
        </x:is>
      </x:c>
      <x:c r="AB693" s="5" t="inlineStr">
        <x:is>
          <x:t xml:space="preserve">해양</x:t>
        </x:is>
      </x:c>
      <x:c r="AC693" s="5" t="inlineStr">
        <x:is>
          <x:t xml:space="preserve">gen6</x:t>
        </x:is>
      </x:c>
      <x:c r="AD693" s="5" t="inlineStr">
        <x:is>
          <x:t xml:space="preserve">.tmp/cobblemon-1.7.3-source/common/src/main/resources/data/cobblemon/species/generation6/barbaracle.json</x:t>
        </x:is>
      </x:c>
    </x:row>
    <x:row r="694" ht="22" customHeight="1">
      <x:c r="A694" s="5" t="n">
        <x:v>690</x:v>
      </x:c>
      <x:c r="B694" s="5" t="inlineStr">
        <x:is>
          <x:t xml:space="preserve">수레기</x:t>
        </x:is>
      </x:c>
      <x:c r="C694" s="5" t="inlineStr">
        <x:is>
          <x:t xml:space="preserve">skrelp</x:t>
        </x:is>
      </x:c>
      <x:c r="D694" s="5" t="inlineStr">
        <x:is>
          <x:t xml:space="preserve">Skrelp</x:t>
        </x:is>
      </x:c>
      <x:c r="E694" s="5" t="n">
        <x:v>6</x:v>
      </x:c>
      <x:c r="F694" s="5" t="inlineStr">
        <x:is>
          <x:t xml:space="preserve">독</x:t>
        </x:is>
      </x:c>
      <x:c r="G694" s="5" t="inlineStr">
        <x:is>
          <x:t xml:space="preserve">물</x:t>
        </x:is>
      </x:c>
      <x:c r="H694" s="5" t="n">
        <x:v>0.5</x:v>
      </x:c>
      <x:c r="I694" s="5" t="n">
        <x:v>7.3</x:v>
      </x:c>
      <x:c r="J694" s="5" t="n">
        <x:v>320</x:v>
      </x:c>
      <x:c r="K694" s="5" t="n">
        <x:v>225</x:v>
      </x:c>
      <x:c r="L694" s="5" t="inlineStr">
        <x:is>
          <x:t xml:space="preserve">기본</x:t>
        </x:is>
      </x:c>
      <x:c r="M694" s="5" t="n">
        <x:v>48</x:v>
      </x:c>
      <x:c r="N694" s="5" t="inlineStr">
        <x:is>
          <x:t xml:space="preserve">레벨</x:t>
        </x:is>
      </x:c>
      <x:c r="O694" s="5" t="inlineStr">
        <x:is>
          <x:t xml:space="preserve">예</x:t>
        </x:is>
      </x:c>
      <x:c r="P694" s="5" t="inlineStr">
        <x:is>
          <x:t xml:space="preserve">#cobblemon:is_coast; #cobblemon:is_ocean; #cobblemon:is_overworld</x:t>
        </x:is>
      </x:c>
      <x:c r="Q694" s="5" t="inlineStr">
        <x:is>
          <x:t xml:space="preserve">common</x:t>
        </x:is>
      </x:c>
      <x:c r="R694" s="5" t="inlineStr">
        <x:is>
          <x:t xml:space="preserve"/>
        </x:is>
      </x:c>
      <x:c r="S694" s="5" t="inlineStr">
        <x:is>
          <x:t xml:space="preserve"/>
        </x:is>
      </x:c>
      <x:c r="T694" s="5" t="inlineStr">
        <x:is>
          <x:t xml:space="preserve">해양</x:t>
        </x:is>
      </x:c>
      <x:c r="U694" s="5" t="inlineStr">
        <x:is>
          <x:t xml:space="preserve">해안·해양</x:t>
        </x:is>
      </x:c>
      <x:c r="V694" s="5" t="inlineStr">
        <x:is>
          <x:t xml:space="preserve">온대</x:t>
        </x:is>
      </x:c>
      <x:c r="W694" s="5" t="inlineStr">
        <x:is>
          <x:t xml:space="preserve">수중</x:t>
        </x:is>
      </x:c>
      <x:c r="X694" s="5" t="inlineStr">
        <x:is>
          <x:t xml:space="preserve">비</x:t>
        </x:is>
      </x:c>
      <x:c r="Y694" s="5" t="inlineStr">
        <x:is>
          <x:t xml:space="preserve">무관</x:t>
        </x:is>
      </x:c>
      <x:c r="Z694" s="5" t="inlineStr">
        <x:is>
          <x:t xml:space="preserve">흔함</x:t>
        </x:is>
      </x:c>
      <x:c r="AA694" s="5" t="inlineStr">
        <x:is>
          <x:t xml:space="preserve">없음</x:t>
        </x:is>
      </x:c>
      <x:c r="AB694" s="5" t="inlineStr">
        <x:is>
          <x:t xml:space="preserve">해양</x:t>
        </x:is>
      </x:c>
      <x:c r="AC694" s="5" t="inlineStr">
        <x:is>
          <x:t xml:space="preserve">gen6</x:t>
        </x:is>
      </x:c>
      <x:c r="AD694" s="5" t="inlineStr">
        <x:is>
          <x:t xml:space="preserve">.tmp/cobblemon-1.7.3-source/common/src/main/resources/data/cobblemon/species/generation6/skrelp.json</x:t>
        </x:is>
      </x:c>
    </x:row>
    <x:row r="695" ht="22" customHeight="1">
      <x:c r="A695" s="5" t="n">
        <x:v>691</x:v>
      </x:c>
      <x:c r="B695" s="5" t="inlineStr">
        <x:is>
          <x:t xml:space="preserve">드래캄</x:t>
        </x:is>
      </x:c>
      <x:c r="C695" s="5" t="inlineStr">
        <x:is>
          <x:t xml:space="preserve">dragalge</x:t>
        </x:is>
      </x:c>
      <x:c r="D695" s="5" t="inlineStr">
        <x:is>
          <x:t xml:space="preserve">Dragalge</x:t>
        </x:is>
      </x:c>
      <x:c r="E695" s="5" t="n">
        <x:v>6</x:v>
      </x:c>
      <x:c r="F695" s="5" t="inlineStr">
        <x:is>
          <x:t xml:space="preserve">독</x:t>
        </x:is>
      </x:c>
      <x:c r="G695" s="5" t="inlineStr">
        <x:is>
          <x:t xml:space="preserve">드래곤</x:t>
        </x:is>
      </x:c>
      <x:c r="H695" s="5" t="n">
        <x:v>1.8</x:v>
      </x:c>
      <x:c r="I695" s="5" t="n">
        <x:v>81.5</x:v>
      </x:c>
      <x:c r="J695" s="5" t="n">
        <x:v>494</x:v>
      </x:c>
      <x:c r="K695" s="5" t="n">
        <x:v>55</x:v>
      </x:c>
      <x:c r="L695" s="5" t="inlineStr">
        <x:is>
          <x:t xml:space="preserve">최종</x:t>
        </x:is>
      </x:c>
      <x:c r="M695" s="5" t="n">
        <x:v>48</x:v>
      </x:c>
      <x:c r="N695" s="5" t="inlineStr">
        <x:is>
          <x:t xml:space="preserve">레벨</x:t>
        </x:is>
      </x:c>
      <x:c r="O695" s="5" t="inlineStr">
        <x:is>
          <x:t xml:space="preserve">예</x:t>
        </x:is>
      </x:c>
      <x:c r="P695" s="5" t="inlineStr">
        <x:is>
          <x:t xml:space="preserve">#cobblemon:is_coast; #cobblemon:is_ocean; #cobblemon:is_overworld</x:t>
        </x:is>
      </x:c>
      <x:c r="Q695" s="5" t="inlineStr">
        <x:is>
          <x:t xml:space="preserve">common</x:t>
        </x:is>
      </x:c>
      <x:c r="R695" s="5" t="inlineStr">
        <x:is>
          <x:t xml:space="preserve"/>
        </x:is>
      </x:c>
      <x:c r="S695" s="5" t="inlineStr">
        <x:is>
          <x:t xml:space="preserve"/>
        </x:is>
      </x:c>
      <x:c r="T695" s="5" t="inlineStr">
        <x:is>
          <x:t xml:space="preserve">해양</x:t>
        </x:is>
      </x:c>
      <x:c r="U695" s="5" t="inlineStr">
        <x:is>
          <x:t xml:space="preserve">해안·해양</x:t>
        </x:is>
      </x:c>
      <x:c r="V695" s="5" t="inlineStr">
        <x:is>
          <x:t xml:space="preserve">온대</x:t>
        </x:is>
      </x:c>
      <x:c r="W695" s="5" t="inlineStr">
        <x:is>
          <x:t xml:space="preserve">수중</x:t>
        </x:is>
      </x:c>
      <x:c r="X695" s="5" t="inlineStr">
        <x:is>
          <x:t xml:space="preserve">비</x:t>
        </x:is>
      </x:c>
      <x:c r="Y695" s="5" t="inlineStr">
        <x:is>
          <x:t xml:space="preserve">무관</x:t>
        </x:is>
      </x:c>
      <x:c r="Z695" s="5" t="inlineStr">
        <x:is>
          <x:t xml:space="preserve">흔함</x:t>
        </x:is>
      </x:c>
      <x:c r="AA695" s="5" t="inlineStr">
        <x:is>
          <x:t xml:space="preserve">없음</x:t>
        </x:is>
      </x:c>
      <x:c r="AB695" s="5" t="inlineStr">
        <x:is>
          <x:t xml:space="preserve">해양</x:t>
        </x:is>
      </x:c>
      <x:c r="AC695" s="5" t="inlineStr">
        <x:is>
          <x:t xml:space="preserve">gen6</x:t>
        </x:is>
      </x:c>
      <x:c r="AD695" s="5" t="inlineStr">
        <x:is>
          <x:t xml:space="preserve">.tmp/cobblemon-1.7.3-source/common/src/main/resources/data/cobblemon/species/generation6/dragalge.json</x:t>
        </x:is>
      </x:c>
    </x:row>
    <x:row r="696" ht="22" customHeight="1">
      <x:c r="A696" s="5" t="n">
        <x:v>692</x:v>
      </x:c>
      <x:c r="B696" s="5" t="inlineStr">
        <x:is>
          <x:t xml:space="preserve">완철포</x:t>
        </x:is>
      </x:c>
      <x:c r="C696" s="5" t="inlineStr">
        <x:is>
          <x:t xml:space="preserve">clauncher</x:t>
        </x:is>
      </x:c>
      <x:c r="D696" s="5" t="inlineStr">
        <x:is>
          <x:t xml:space="preserve">Clauncher</x:t>
        </x:is>
      </x:c>
      <x:c r="E696" s="5" t="n">
        <x:v>6</x:v>
      </x:c>
      <x:c r="F696" s="5" t="inlineStr">
        <x:is>
          <x:t xml:space="preserve">물</x:t>
        </x:is>
      </x:c>
      <x:c r="G696" s="5" t="inlineStr">
        <x:is>
          <x:t xml:space="preserve"/>
        </x:is>
      </x:c>
      <x:c r="H696" s="5" t="n">
        <x:v>0.5</x:v>
      </x:c>
      <x:c r="I696" s="5" t="n">
        <x:v>8.300000000000001</x:v>
      </x:c>
      <x:c r="J696" s="5" t="n">
        <x:v>330</x:v>
      </x:c>
      <x:c r="K696" s="5" t="n">
        <x:v>225</x:v>
      </x:c>
      <x:c r="L696" s="5" t="inlineStr">
        <x:is>
          <x:t xml:space="preserve">기본</x:t>
        </x:is>
      </x:c>
      <x:c r="M696" s="5" t="n">
        <x:v>37</x:v>
      </x:c>
      <x:c r="N696" s="5" t="inlineStr">
        <x:is>
          <x:t xml:space="preserve">레벨</x:t>
        </x:is>
      </x:c>
      <x:c r="O696" s="5" t="inlineStr">
        <x:is>
          <x:t xml:space="preserve">예</x:t>
        </x:is>
      </x:c>
      <x:c r="P696" s="5" t="inlineStr">
        <x:is>
          <x:t xml:space="preserve">#cobblemon:is_coast; #cobblemon:is_ocean</x:t>
        </x:is>
      </x:c>
      <x:c r="Q696" s="5" t="inlineStr">
        <x:is>
          <x:t xml:space="preserve">common</x:t>
        </x:is>
      </x:c>
      <x:c r="R696" s="5" t="inlineStr">
        <x:is>
          <x:t xml:space="preserve"/>
        </x:is>
      </x:c>
      <x:c r="S696" s="5" t="inlineStr">
        <x:is>
          <x:t xml:space="preserve"/>
        </x:is>
      </x:c>
      <x:c r="T696" s="5" t="inlineStr">
        <x:is>
          <x:t xml:space="preserve">해양</x:t>
        </x:is>
      </x:c>
      <x:c r="U696" s="5" t="inlineStr">
        <x:is>
          <x:t xml:space="preserve">해안·해양</x:t>
        </x:is>
      </x:c>
      <x:c r="V696" s="5" t="inlineStr">
        <x:is>
          <x:t xml:space="preserve">온대</x:t>
        </x:is>
      </x:c>
      <x:c r="W696" s="5" t="inlineStr">
        <x:is>
          <x:t xml:space="preserve">수중</x:t>
        </x:is>
      </x:c>
      <x:c r="X696" s="5" t="inlineStr">
        <x:is>
          <x:t xml:space="preserve">비</x:t>
        </x:is>
      </x:c>
      <x:c r="Y696" s="5" t="inlineStr">
        <x:is>
          <x:t xml:space="preserve">무관</x:t>
        </x:is>
      </x:c>
      <x:c r="Z696" s="5" t="inlineStr">
        <x:is>
          <x:t xml:space="preserve">흔함</x:t>
        </x:is>
      </x:c>
      <x:c r="AA696" s="5" t="inlineStr">
        <x:is>
          <x:t xml:space="preserve">없음</x:t>
        </x:is>
      </x:c>
      <x:c r="AB696" s="5" t="inlineStr">
        <x:is>
          <x:t xml:space="preserve">해양</x:t>
        </x:is>
      </x:c>
      <x:c r="AC696" s="5" t="inlineStr">
        <x:is>
          <x:t xml:space="preserve">gen6</x:t>
        </x:is>
      </x:c>
      <x:c r="AD696" s="5" t="inlineStr">
        <x:is>
          <x:t xml:space="preserve">.tmp/cobblemon-1.7.3-source/common/src/main/resources/data/cobblemon/species/generation6/clauncher.json</x:t>
        </x:is>
      </x:c>
    </x:row>
    <x:row r="697" ht="22" customHeight="1">
      <x:c r="A697" s="5" t="n">
        <x:v>693</x:v>
      </x:c>
      <x:c r="B697" s="5" t="inlineStr">
        <x:is>
          <x:t xml:space="preserve">블로스터</x:t>
        </x:is>
      </x:c>
      <x:c r="C697" s="5" t="inlineStr">
        <x:is>
          <x:t xml:space="preserve">clawitzer</x:t>
        </x:is>
      </x:c>
      <x:c r="D697" s="5" t="inlineStr">
        <x:is>
          <x:t xml:space="preserve">Clawitzer</x:t>
        </x:is>
      </x:c>
      <x:c r="E697" s="5" t="n">
        <x:v>6</x:v>
      </x:c>
      <x:c r="F697" s="5" t="inlineStr">
        <x:is>
          <x:t xml:space="preserve">물</x:t>
        </x:is>
      </x:c>
      <x:c r="G697" s="5" t="inlineStr">
        <x:is>
          <x:t xml:space="preserve"/>
        </x:is>
      </x:c>
      <x:c r="H697" s="5" t="n">
        <x:v>1.3</x:v>
      </x:c>
      <x:c r="I697" s="5" t="n">
        <x:v>35.3</x:v>
      </x:c>
      <x:c r="J697" s="5" t="n">
        <x:v>500</x:v>
      </x:c>
      <x:c r="K697" s="5" t="n">
        <x:v>55</x:v>
      </x:c>
      <x:c r="L697" s="5" t="inlineStr">
        <x:is>
          <x:t xml:space="preserve">최종</x:t>
        </x:is>
      </x:c>
      <x:c r="M697" s="5" t="n">
        <x:v>37</x:v>
      </x:c>
      <x:c r="N697" s="5" t="inlineStr">
        <x:is>
          <x:t xml:space="preserve">레벨</x:t>
        </x:is>
      </x:c>
      <x:c r="O697" s="5" t="inlineStr">
        <x:is>
          <x:t xml:space="preserve">예</x:t>
        </x:is>
      </x:c>
      <x:c r="P697" s="5" t="inlineStr">
        <x:is>
          <x:t xml:space="preserve">#cobblemon:is_coast; #cobblemon:is_ocean</x:t>
        </x:is>
      </x:c>
      <x:c r="Q697" s="5" t="inlineStr">
        <x:is>
          <x:t xml:space="preserve">common</x:t>
        </x:is>
      </x:c>
      <x:c r="R697" s="5" t="inlineStr">
        <x:is>
          <x:t xml:space="preserve"/>
        </x:is>
      </x:c>
      <x:c r="S697" s="5" t="inlineStr">
        <x:is>
          <x:t xml:space="preserve"/>
        </x:is>
      </x:c>
      <x:c r="T697" s="5" t="inlineStr">
        <x:is>
          <x:t xml:space="preserve">해양</x:t>
        </x:is>
      </x:c>
      <x:c r="U697" s="5" t="inlineStr">
        <x:is>
          <x:t xml:space="preserve">해안·해양</x:t>
        </x:is>
      </x:c>
      <x:c r="V697" s="5" t="inlineStr">
        <x:is>
          <x:t xml:space="preserve">온대</x:t>
        </x:is>
      </x:c>
      <x:c r="W697" s="5" t="inlineStr">
        <x:is>
          <x:t xml:space="preserve">수중</x:t>
        </x:is>
      </x:c>
      <x:c r="X697" s="5" t="inlineStr">
        <x:is>
          <x:t xml:space="preserve">비</x:t>
        </x:is>
      </x:c>
      <x:c r="Y697" s="5" t="inlineStr">
        <x:is>
          <x:t xml:space="preserve">무관</x:t>
        </x:is>
      </x:c>
      <x:c r="Z697" s="5" t="inlineStr">
        <x:is>
          <x:t xml:space="preserve">흔함</x:t>
        </x:is>
      </x:c>
      <x:c r="AA697" s="5" t="inlineStr">
        <x:is>
          <x:t xml:space="preserve">없음</x:t>
        </x:is>
      </x:c>
      <x:c r="AB697" s="5" t="inlineStr">
        <x:is>
          <x:t xml:space="preserve">해양</x:t>
        </x:is>
      </x:c>
      <x:c r="AC697" s="5" t="inlineStr">
        <x:is>
          <x:t xml:space="preserve">gen6</x:t>
        </x:is>
      </x:c>
      <x:c r="AD697" s="5" t="inlineStr">
        <x:is>
          <x:t xml:space="preserve">.tmp/cobblemon-1.7.3-source/common/src/main/resources/data/cobblemon/species/generation6/clawitzer.json</x:t>
        </x:is>
      </x:c>
    </x:row>
    <x:row r="698" ht="22" customHeight="1">
      <x:c r="A698" s="5" t="n">
        <x:v>694</x:v>
      </x:c>
      <x:c r="B698" s="5" t="inlineStr">
        <x:is>
          <x:t xml:space="preserve">목도리키텔</x:t>
        </x:is>
      </x:c>
      <x:c r="C698" s="5" t="inlineStr">
        <x:is>
          <x:t xml:space="preserve">helioptile</x:t>
        </x:is>
      </x:c>
      <x:c r="D698" s="5" t="inlineStr">
        <x:is>
          <x:t xml:space="preserve">Helioptile</x:t>
        </x:is>
      </x:c>
      <x:c r="E698" s="5" t="n">
        <x:v>6</x:v>
      </x:c>
      <x:c r="F698" s="5" t="inlineStr">
        <x:is>
          <x:t xml:space="preserve">전기</x:t>
        </x:is>
      </x:c>
      <x:c r="G698" s="5" t="inlineStr">
        <x:is>
          <x:t xml:space="preserve">노말</x:t>
        </x:is>
      </x:c>
      <x:c r="H698" s="5" t="n">
        <x:v>0.5</x:v>
      </x:c>
      <x:c r="I698" s="5" t="n">
        <x:v>6</x:v>
      </x:c>
      <x:c r="J698" s="5" t="n">
        <x:v>289</x:v>
      </x:c>
      <x:c r="K698" s="5" t="n">
        <x:v>190</x:v>
      </x:c>
      <x:c r="L698" s="5" t="inlineStr">
        <x:is>
          <x:t xml:space="preserve">기본</x:t>
        </x:is>
      </x:c>
      <x:c r="M698" s="5" t="n"/>
      <x:c r="N698" s="5" t="inlineStr">
        <x:is>
          <x:t xml:space="preserve">특수</x:t>
        </x:is>
      </x:c>
      <x:c r="O698" s="5" t="inlineStr">
        <x:is>
          <x:t xml:space="preserve">아니오</x:t>
        </x:is>
      </x:c>
      <x:c r="P698" s="5" t="inlineStr">
        <x:is>
          <x:t xml:space="preserve">#cobblemon:is_sandy</x:t>
        </x:is>
      </x:c>
      <x:c r="Q698" s="5" t="inlineStr">
        <x:is>
          <x:t xml:space="preserve">uncommon</x:t>
        </x:is>
      </x:c>
      <x:c r="R698" s="5" t="inlineStr">
        <x:is>
          <x:t xml:space="preserve">day</x:t>
        </x:is>
      </x:c>
      <x:c r="S698" s="5" t="inlineStr">
        <x:is>
          <x:t xml:space="preserve">비=False</x:t>
        </x:is>
      </x:c>
      <x:c r="T698" s="5" t="inlineStr">
        <x:is>
          <x:t xml:space="preserve">육상</x:t>
        </x:is>
      </x:c>
      <x:c r="U698" s="5" t="inlineStr">
        <x:is>
          <x:t xml:space="preserve">건조</x:t>
        </x:is>
      </x:c>
      <x:c r="V698" s="5" t="inlineStr">
        <x:is>
          <x:t xml:space="preserve">고온</x:t>
        </x:is>
      </x:c>
      <x:c r="W698" s="5" t="inlineStr">
        <x:is>
          <x:t xml:space="preserve">건조</x:t>
        </x:is>
      </x:c>
      <x:c r="X698" s="5" t="inlineStr">
        <x:is>
          <x:t xml:space="preserve">맑음</x:t>
        </x:is>
      </x:c>
      <x:c r="Y698" s="5" t="inlineStr">
        <x:is>
          <x:t xml:space="preserve">낮</x:t>
        </x:is>
      </x:c>
      <x:c r="Z698" s="5" t="inlineStr">
        <x:is>
          <x:t xml:space="preserve">보통</x:t>
        </x:is>
      </x:c>
      <x:c r="AA698" s="5" t="inlineStr">
        <x:is>
          <x:t xml:space="preserve">없음</x:t>
        </x:is>
      </x:c>
      <x:c r="AB698" s="5" t="inlineStr">
        <x:is>
          <x:t xml:space="preserve">건조지</x:t>
        </x:is>
      </x:c>
      <x:c r="AC698" s="5" t="inlineStr">
        <x:is>
          <x:t xml:space="preserve">gen6</x:t>
        </x:is>
      </x:c>
      <x:c r="AD698" s="5" t="inlineStr">
        <x:is>
          <x:t xml:space="preserve">.tmp/cobblemon-1.7.3-source/common/src/main/resources/data/cobblemon/species/generation6/helioptile.json</x:t>
        </x:is>
      </x:c>
    </x:row>
    <x:row r="699" ht="22" customHeight="1">
      <x:c r="A699" s="5" t="n">
        <x:v>695</x:v>
      </x:c>
      <x:c r="B699" s="5" t="inlineStr">
        <x:is>
          <x:t xml:space="preserve">일레도리자드</x:t>
        </x:is>
      </x:c>
      <x:c r="C699" s="5" t="inlineStr">
        <x:is>
          <x:t xml:space="preserve">heliolisk</x:t>
        </x:is>
      </x:c>
      <x:c r="D699" s="5" t="inlineStr">
        <x:is>
          <x:t xml:space="preserve">Heliolisk</x:t>
        </x:is>
      </x:c>
      <x:c r="E699" s="5" t="n">
        <x:v>6</x:v>
      </x:c>
      <x:c r="F699" s="5" t="inlineStr">
        <x:is>
          <x:t xml:space="preserve">전기</x:t>
        </x:is>
      </x:c>
      <x:c r="G699" s="5" t="inlineStr">
        <x:is>
          <x:t xml:space="preserve">노말</x:t>
        </x:is>
      </x:c>
      <x:c r="H699" s="5" t="n">
        <x:v>1</x:v>
      </x:c>
      <x:c r="I699" s="5" t="n">
        <x:v>21</x:v>
      </x:c>
      <x:c r="J699" s="5" t="n">
        <x:v>481</x:v>
      </x:c>
      <x:c r="K699" s="5" t="n">
        <x:v>75</x:v>
      </x:c>
      <x:c r="L699" s="5" t="inlineStr">
        <x:is>
          <x:t xml:space="preserve">최종</x:t>
        </x:is>
      </x:c>
      <x:c r="M699" s="5" t="n"/>
      <x:c r="N699" s="5" t="inlineStr">
        <x:is>
          <x:t xml:space="preserve">특수</x:t>
        </x:is>
      </x:c>
      <x:c r="O699" s="5" t="inlineStr">
        <x:is>
          <x:t xml:space="preserve">아니오</x:t>
        </x:is>
      </x:c>
      <x:c r="P699" s="5" t="inlineStr">
        <x:is>
          <x:t xml:space="preserve">#cobblemon:is_sandy</x:t>
        </x:is>
      </x:c>
      <x:c r="Q699" s="5" t="inlineStr">
        <x:is>
          <x:t xml:space="preserve">rare</x:t>
        </x:is>
      </x:c>
      <x:c r="R699" s="5" t="inlineStr">
        <x:is>
          <x:t xml:space="preserve">day</x:t>
        </x:is>
      </x:c>
      <x:c r="S699" s="5" t="inlineStr">
        <x:is>
          <x:t xml:space="preserve">비=False</x:t>
        </x:is>
      </x:c>
      <x:c r="T699" s="5" t="inlineStr">
        <x:is>
          <x:t xml:space="preserve">육상</x:t>
        </x:is>
      </x:c>
      <x:c r="U699" s="5" t="inlineStr">
        <x:is>
          <x:t xml:space="preserve">건조</x:t>
        </x:is>
      </x:c>
      <x:c r="V699" s="5" t="inlineStr">
        <x:is>
          <x:t xml:space="preserve">고온</x:t>
        </x:is>
      </x:c>
      <x:c r="W699" s="5" t="inlineStr">
        <x:is>
          <x:t xml:space="preserve">건조</x:t>
        </x:is>
      </x:c>
      <x:c r="X699" s="5" t="inlineStr">
        <x:is>
          <x:t xml:space="preserve">맑음</x:t>
        </x:is>
      </x:c>
      <x:c r="Y699" s="5" t="inlineStr">
        <x:is>
          <x:t xml:space="preserve">낮</x:t>
        </x:is>
      </x:c>
      <x:c r="Z699" s="5" t="inlineStr">
        <x:is>
          <x:t xml:space="preserve">드묾</x:t>
        </x:is>
      </x:c>
      <x:c r="AA699" s="5" t="inlineStr">
        <x:is>
          <x:t xml:space="preserve">없음</x:t>
        </x:is>
      </x:c>
      <x:c r="AB699" s="5" t="inlineStr">
        <x:is>
          <x:t xml:space="preserve">건조지</x:t>
        </x:is>
      </x:c>
      <x:c r="AC699" s="5" t="inlineStr">
        <x:is>
          <x:t xml:space="preserve">gen6</x:t>
        </x:is>
      </x:c>
      <x:c r="AD699" s="5" t="inlineStr">
        <x:is>
          <x:t xml:space="preserve">.tmp/cobblemon-1.7.3-source/common/src/main/resources/data/cobblemon/species/generation6/heliolisk.json</x:t>
        </x:is>
      </x:c>
    </x:row>
    <x:row r="700" ht="22" customHeight="1">
      <x:c r="A700" s="5" t="n">
        <x:v>696</x:v>
      </x:c>
      <x:c r="B700" s="5" t="inlineStr">
        <x:is>
          <x:t xml:space="preserve">티고라스</x:t>
        </x:is>
      </x:c>
      <x:c r="C700" s="5" t="inlineStr">
        <x:is>
          <x:t xml:space="preserve">tyrunt</x:t>
        </x:is>
      </x:c>
      <x:c r="D700" s="5" t="inlineStr">
        <x:is>
          <x:t xml:space="preserve">Tyrunt</x:t>
        </x:is>
      </x:c>
      <x:c r="E700" s="5" t="n">
        <x:v>6</x:v>
      </x:c>
      <x:c r="F700" s="5" t="inlineStr">
        <x:is>
          <x:t xml:space="preserve">바위</x:t>
        </x:is>
      </x:c>
      <x:c r="G700" s="5" t="inlineStr">
        <x:is>
          <x:t xml:space="preserve">드래곤</x:t>
        </x:is>
      </x:c>
      <x:c r="H700" s="5" t="n">
        <x:v>0.8</x:v>
      </x:c>
      <x:c r="I700" s="5" t="n">
        <x:v>26</x:v>
      </x:c>
      <x:c r="J700" s="5" t="n">
        <x:v>362</x:v>
      </x:c>
      <x:c r="K700" s="5" t="n">
        <x:v>45</x:v>
      </x:c>
      <x:c r="L700" s="5" t="inlineStr">
        <x:is>
          <x:t xml:space="preserve">기본</x:t>
        </x:is>
      </x:c>
      <x:c r="M700" s="5" t="n">
        <x:v>39</x:v>
      </x:c>
      <x:c r="N700" s="5" t="inlineStr">
        <x:is>
          <x:t xml:space="preserve">레벨·특수</x:t>
        </x:is>
      </x:c>
      <x:c r="O700" s="5" t="inlineStr">
        <x:is>
          <x:t xml:space="preserve">예</x:t>
        </x:is>
      </x:c>
      <x:c r="P700" s="5" t="inlineStr">
        <x:is>
          <x:t xml:space="preserve">#cobblemon:is_lush</x:t>
        </x:is>
      </x:c>
      <x:c r="Q700" s="5" t="inlineStr">
        <x:is>
          <x:t xml:space="preserve">ultra-rare</x:t>
        </x:is>
      </x:c>
      <x:c r="R700" s="5" t="inlineStr">
        <x:is>
          <x:t xml:space="preserve"/>
        </x:is>
      </x:c>
      <x:c r="S700" s="5" t="inlineStr">
        <x:is>
          <x:t xml:space="preserve"/>
        </x:is>
      </x:c>
      <x:c r="T700" s="5" t="inlineStr">
        <x:is>
          <x:t xml:space="preserve">육상</x:t>
        </x:is>
      </x:c>
      <x:c r="U700" s="5" t="inlineStr">
        <x:is>
          <x:t xml:space="preserve">암석</x:t>
        </x:is>
      </x:c>
      <x:c r="V700" s="5" t="inlineStr">
        <x:is>
          <x:t xml:space="preserve">온대</x:t>
        </x:is>
      </x:c>
      <x:c r="W700" s="5" t="inlineStr">
        <x:is>
          <x:t xml:space="preserve">보통</x:t>
        </x:is>
      </x:c>
      <x:c r="X700" s="5" t="inlineStr">
        <x:is>
          <x:t xml:space="preserve">무관</x:t>
        </x:is>
      </x:c>
      <x:c r="Y700" s="5" t="inlineStr">
        <x:is>
          <x:t xml:space="preserve">무관</x:t>
        </x:is>
      </x:c>
      <x:c r="Z700" s="5" t="inlineStr">
        <x:is>
          <x:t xml:space="preserve">희귀</x:t>
        </x:is>
      </x:c>
      <x:c r="AA700" s="5" t="inlineStr">
        <x:is>
          <x:t xml:space="preserve">없음</x:t>
        </x:is>
      </x:c>
      <x:c r="AB700" s="5" t="inlineStr">
        <x:is>
          <x:t xml:space="preserve"/>
        </x:is>
      </x:c>
      <x:c r="AC700" s="5" t="inlineStr">
        <x:is>
          <x:t xml:space="preserve">fossil; gen6</x:t>
        </x:is>
      </x:c>
      <x:c r="AD700" s="5" t="inlineStr">
        <x:is>
          <x:t xml:space="preserve">.tmp/cobblemon-1.7.3-source/common/src/main/resources/data/cobblemon/species/generation6/tyrunt.json</x:t>
        </x:is>
      </x:c>
    </x:row>
    <x:row r="701" ht="22" customHeight="1">
      <x:c r="A701" s="5" t="n">
        <x:v>697</x:v>
      </x:c>
      <x:c r="B701" s="5" t="inlineStr">
        <x:is>
          <x:t xml:space="preserve">견고라스</x:t>
        </x:is>
      </x:c>
      <x:c r="C701" s="5" t="inlineStr">
        <x:is>
          <x:t xml:space="preserve">tyrantrum</x:t>
        </x:is>
      </x:c>
      <x:c r="D701" s="5" t="inlineStr">
        <x:is>
          <x:t xml:space="preserve">Tyrantrum</x:t>
        </x:is>
      </x:c>
      <x:c r="E701" s="5" t="n">
        <x:v>6</x:v>
      </x:c>
      <x:c r="F701" s="5" t="inlineStr">
        <x:is>
          <x:t xml:space="preserve">바위</x:t>
        </x:is>
      </x:c>
      <x:c r="G701" s="5" t="inlineStr">
        <x:is>
          <x:t xml:space="preserve">드래곤</x:t>
        </x:is>
      </x:c>
      <x:c r="H701" s="5" t="n">
        <x:v>2.5</x:v>
      </x:c>
      <x:c r="I701" s="5" t="n">
        <x:v>270</x:v>
      </x:c>
      <x:c r="J701" s="5" t="n">
        <x:v>521</x:v>
      </x:c>
      <x:c r="K701" s="5" t="n">
        <x:v>45</x:v>
      </x:c>
      <x:c r="L701" s="5" t="inlineStr">
        <x:is>
          <x:t xml:space="preserve">최종</x:t>
        </x:is>
      </x:c>
      <x:c r="M701" s="5" t="n">
        <x:v>39</x:v>
      </x:c>
      <x:c r="N701" s="5" t="inlineStr">
        <x:is>
          <x:t xml:space="preserve">레벨·특수</x:t>
        </x:is>
      </x:c>
      <x:c r="O701" s="5" t="inlineStr">
        <x:is>
          <x:t xml:space="preserve">예</x:t>
        </x:is>
      </x:c>
      <x:c r="P701" s="5" t="inlineStr">
        <x:is>
          <x:t xml:space="preserve">#cobblemon:is_lush</x:t>
        </x:is>
      </x:c>
      <x:c r="Q701" s="5" t="inlineStr">
        <x:is>
          <x:t xml:space="preserve">ultra-rare</x:t>
        </x:is>
      </x:c>
      <x:c r="R701" s="5" t="inlineStr">
        <x:is>
          <x:t xml:space="preserve"/>
        </x:is>
      </x:c>
      <x:c r="S701" s="5" t="inlineStr">
        <x:is>
          <x:t xml:space="preserve"/>
        </x:is>
      </x:c>
      <x:c r="T701" s="5" t="inlineStr">
        <x:is>
          <x:t xml:space="preserve">육상</x:t>
        </x:is>
      </x:c>
      <x:c r="U701" s="5" t="inlineStr">
        <x:is>
          <x:t xml:space="preserve">암석</x:t>
        </x:is>
      </x:c>
      <x:c r="V701" s="5" t="inlineStr">
        <x:is>
          <x:t xml:space="preserve">온대</x:t>
        </x:is>
      </x:c>
      <x:c r="W701" s="5" t="inlineStr">
        <x:is>
          <x:t xml:space="preserve">보통</x:t>
        </x:is>
      </x:c>
      <x:c r="X701" s="5" t="inlineStr">
        <x:is>
          <x:t xml:space="preserve">무관</x:t>
        </x:is>
      </x:c>
      <x:c r="Y701" s="5" t="inlineStr">
        <x:is>
          <x:t xml:space="preserve">무관</x:t>
        </x:is>
      </x:c>
      <x:c r="Z701" s="5" t="inlineStr">
        <x:is>
          <x:t xml:space="preserve">희귀</x:t>
        </x:is>
      </x:c>
      <x:c r="AA701" s="5" t="inlineStr">
        <x:is>
          <x:t xml:space="preserve">없음</x:t>
        </x:is>
      </x:c>
      <x:c r="AB701" s="5" t="inlineStr">
        <x:is>
          <x:t xml:space="preserve"/>
        </x:is>
      </x:c>
      <x:c r="AC701" s="5" t="inlineStr">
        <x:is>
          <x:t xml:space="preserve">fossil; gen6</x:t>
        </x:is>
      </x:c>
      <x:c r="AD701" s="5" t="inlineStr">
        <x:is>
          <x:t xml:space="preserve">.tmp/cobblemon-1.7.3-source/common/src/main/resources/data/cobblemon/species/generation6/tyrantrum.json</x:t>
        </x:is>
      </x:c>
    </x:row>
    <x:row r="702" ht="22" customHeight="1">
      <x:c r="A702" s="5" t="n">
        <x:v>698</x:v>
      </x:c>
      <x:c r="B702" s="5" t="inlineStr">
        <x:is>
          <x:t xml:space="preserve">아마루스</x:t>
        </x:is>
      </x:c>
      <x:c r="C702" s="5" t="inlineStr">
        <x:is>
          <x:t xml:space="preserve">amaura</x:t>
        </x:is>
      </x:c>
      <x:c r="D702" s="5" t="inlineStr">
        <x:is>
          <x:t xml:space="preserve">Amaura</x:t>
        </x:is>
      </x:c>
      <x:c r="E702" s="5" t="n">
        <x:v>6</x:v>
      </x:c>
      <x:c r="F702" s="5" t="inlineStr">
        <x:is>
          <x:t xml:space="preserve">바위</x:t>
        </x:is>
      </x:c>
      <x:c r="G702" s="5" t="inlineStr">
        <x:is>
          <x:t xml:space="preserve">얼음</x:t>
        </x:is>
      </x:c>
      <x:c r="H702" s="5" t="n">
        <x:v>1.3</x:v>
      </x:c>
      <x:c r="I702" s="5" t="n">
        <x:v>25.2</x:v>
      </x:c>
      <x:c r="J702" s="5" t="n">
        <x:v>362</x:v>
      </x:c>
      <x:c r="K702" s="5" t="n">
        <x:v>45</x:v>
      </x:c>
      <x:c r="L702" s="5" t="inlineStr">
        <x:is>
          <x:t xml:space="preserve">기본</x:t>
        </x:is>
      </x:c>
      <x:c r="M702" s="5" t="n">
        <x:v>39</x:v>
      </x:c>
      <x:c r="N702" s="5" t="inlineStr">
        <x:is>
          <x:t xml:space="preserve">레벨·특수</x:t>
        </x:is>
      </x:c>
      <x:c r="O702" s="5" t="inlineStr">
        <x:is>
          <x:t xml:space="preserve">예</x:t>
        </x:is>
      </x:c>
      <x:c r="P702" s="5" t="inlineStr">
        <x:is>
          <x:t xml:space="preserve">#cobblemon:is_lush</x:t>
        </x:is>
      </x:c>
      <x:c r="Q702" s="5" t="inlineStr">
        <x:is>
          <x:t xml:space="preserve">ultra-rare</x:t>
        </x:is>
      </x:c>
      <x:c r="R702" s="5" t="inlineStr">
        <x:is>
          <x:t xml:space="preserve"/>
        </x:is>
      </x:c>
      <x:c r="S702" s="5" t="inlineStr">
        <x:is>
          <x:t xml:space="preserve"/>
        </x:is>
      </x:c>
      <x:c r="T702" s="5" t="inlineStr">
        <x:is>
          <x:t xml:space="preserve">육상</x:t>
        </x:is>
      </x:c>
      <x:c r="U702" s="5" t="inlineStr">
        <x:is>
          <x:t xml:space="preserve">암석</x:t>
        </x:is>
      </x:c>
      <x:c r="V702" s="5" t="inlineStr">
        <x:is>
          <x:t xml:space="preserve">한랭</x:t>
        </x:is>
      </x:c>
      <x:c r="W702" s="5" t="inlineStr">
        <x:is>
          <x:t xml:space="preserve">보통</x:t>
        </x:is>
      </x:c>
      <x:c r="X702" s="5" t="inlineStr">
        <x:is>
          <x:t xml:space="preserve">무관</x:t>
        </x:is>
      </x:c>
      <x:c r="Y702" s="5" t="inlineStr">
        <x:is>
          <x:t xml:space="preserve">무관</x:t>
        </x:is>
      </x:c>
      <x:c r="Z702" s="5" t="inlineStr">
        <x:is>
          <x:t xml:space="preserve">희귀</x:t>
        </x:is>
      </x:c>
      <x:c r="AA702" s="5" t="inlineStr">
        <x:is>
          <x:t xml:space="preserve">없음</x:t>
        </x:is>
      </x:c>
      <x:c r="AB702" s="5" t="inlineStr">
        <x:is>
          <x:t xml:space="preserve"/>
        </x:is>
      </x:c>
      <x:c r="AC702" s="5" t="inlineStr">
        <x:is>
          <x:t xml:space="preserve">fossil; gen6</x:t>
        </x:is>
      </x:c>
      <x:c r="AD702" s="5" t="inlineStr">
        <x:is>
          <x:t xml:space="preserve">.tmp/cobblemon-1.7.3-source/common/src/main/resources/data/cobblemon/species/generation6/amaura.json</x:t>
        </x:is>
      </x:c>
    </x:row>
    <x:row r="703" ht="22" customHeight="1">
      <x:c r="A703" s="5" t="n">
        <x:v>699</x:v>
      </x:c>
      <x:c r="B703" s="5" t="inlineStr">
        <x:is>
          <x:t xml:space="preserve">아마루르가</x:t>
        </x:is>
      </x:c>
      <x:c r="C703" s="5" t="inlineStr">
        <x:is>
          <x:t xml:space="preserve">aurorus</x:t>
        </x:is>
      </x:c>
      <x:c r="D703" s="5" t="inlineStr">
        <x:is>
          <x:t xml:space="preserve">Aurorus</x:t>
        </x:is>
      </x:c>
      <x:c r="E703" s="5" t="n">
        <x:v>6</x:v>
      </x:c>
      <x:c r="F703" s="5" t="inlineStr">
        <x:is>
          <x:t xml:space="preserve">바위</x:t>
        </x:is>
      </x:c>
      <x:c r="G703" s="5" t="inlineStr">
        <x:is>
          <x:t xml:space="preserve">얼음</x:t>
        </x:is>
      </x:c>
      <x:c r="H703" s="5" t="n">
        <x:v>2.7</x:v>
      </x:c>
      <x:c r="I703" s="5" t="n">
        <x:v>225</x:v>
      </x:c>
      <x:c r="J703" s="5" t="n">
        <x:v>521</x:v>
      </x:c>
      <x:c r="K703" s="5" t="n">
        <x:v>45</x:v>
      </x:c>
      <x:c r="L703" s="5" t="inlineStr">
        <x:is>
          <x:t xml:space="preserve">최종</x:t>
        </x:is>
      </x:c>
      <x:c r="M703" s="5" t="n">
        <x:v>39</x:v>
      </x:c>
      <x:c r="N703" s="5" t="inlineStr">
        <x:is>
          <x:t xml:space="preserve">레벨·특수</x:t>
        </x:is>
      </x:c>
      <x:c r="O703" s="5" t="inlineStr">
        <x:is>
          <x:t xml:space="preserve">예</x:t>
        </x:is>
      </x:c>
      <x:c r="P703" s="5" t="inlineStr">
        <x:is>
          <x:t xml:space="preserve">#cobblemon:is_lush</x:t>
        </x:is>
      </x:c>
      <x:c r="Q703" s="5" t="inlineStr">
        <x:is>
          <x:t xml:space="preserve">ultra-rare</x:t>
        </x:is>
      </x:c>
      <x:c r="R703" s="5" t="inlineStr">
        <x:is>
          <x:t xml:space="preserve"/>
        </x:is>
      </x:c>
      <x:c r="S703" s="5" t="inlineStr">
        <x:is>
          <x:t xml:space="preserve"/>
        </x:is>
      </x:c>
      <x:c r="T703" s="5" t="inlineStr">
        <x:is>
          <x:t xml:space="preserve">육상</x:t>
        </x:is>
      </x:c>
      <x:c r="U703" s="5" t="inlineStr">
        <x:is>
          <x:t xml:space="preserve">암석</x:t>
        </x:is>
      </x:c>
      <x:c r="V703" s="5" t="inlineStr">
        <x:is>
          <x:t xml:space="preserve">한랭</x:t>
        </x:is>
      </x:c>
      <x:c r="W703" s="5" t="inlineStr">
        <x:is>
          <x:t xml:space="preserve">보통</x:t>
        </x:is>
      </x:c>
      <x:c r="X703" s="5" t="inlineStr">
        <x:is>
          <x:t xml:space="preserve">무관</x:t>
        </x:is>
      </x:c>
      <x:c r="Y703" s="5" t="inlineStr">
        <x:is>
          <x:t xml:space="preserve">무관</x:t>
        </x:is>
      </x:c>
      <x:c r="Z703" s="5" t="inlineStr">
        <x:is>
          <x:t xml:space="preserve">희귀</x:t>
        </x:is>
      </x:c>
      <x:c r="AA703" s="5" t="inlineStr">
        <x:is>
          <x:t xml:space="preserve">없음</x:t>
        </x:is>
      </x:c>
      <x:c r="AB703" s="5" t="inlineStr">
        <x:is>
          <x:t xml:space="preserve"/>
        </x:is>
      </x:c>
      <x:c r="AC703" s="5" t="inlineStr">
        <x:is>
          <x:t xml:space="preserve">fossil; gen6</x:t>
        </x:is>
      </x:c>
      <x:c r="AD703" s="5" t="inlineStr">
        <x:is>
          <x:t xml:space="preserve">.tmp/cobblemon-1.7.3-source/common/src/main/resources/data/cobblemon/species/generation6/aurorus.json</x:t>
        </x:is>
      </x:c>
    </x:row>
    <x:row r="704" ht="22" customHeight="1">
      <x:c r="A704" s="5" t="n">
        <x:v>700</x:v>
      </x:c>
      <x:c r="B704" s="5" t="inlineStr">
        <x:is>
          <x:t xml:space="preserve">님피아</x:t>
        </x:is>
      </x:c>
      <x:c r="C704" s="5" t="inlineStr">
        <x:is>
          <x:t xml:space="preserve">sylveon</x:t>
        </x:is>
      </x:c>
      <x:c r="D704" s="5" t="inlineStr">
        <x:is>
          <x:t xml:space="preserve">Sylveon</x:t>
        </x:is>
      </x:c>
      <x:c r="E704" s="5" t="n">
        <x:v>6</x:v>
      </x:c>
      <x:c r="F704" s="5" t="inlineStr">
        <x:is>
          <x:t xml:space="preserve">페어리</x:t>
        </x:is>
      </x:c>
      <x:c r="G704" s="5" t="inlineStr">
        <x:is>
          <x:t xml:space="preserve"/>
        </x:is>
      </x:c>
      <x:c r="H704" s="5" t="n">
        <x:v>1</x:v>
      </x:c>
      <x:c r="I704" s="5" t="n">
        <x:v>23.5</x:v>
      </x:c>
      <x:c r="J704" s="5" t="n">
        <x:v>525</x:v>
      </x:c>
      <x:c r="K704" s="5" t="n">
        <x:v>45</x:v>
      </x:c>
      <x:c r="L704" s="5" t="inlineStr">
        <x:is>
          <x:t xml:space="preserve">최종</x:t>
        </x:is>
      </x:c>
      <x:c r="M704" s="5" t="n"/>
      <x:c r="N704" s="5" t="inlineStr">
        <x:is>
          <x:t xml:space="preserve">특수</x:t>
        </x:is>
      </x:c>
      <x:c r="O704" s="5" t="inlineStr">
        <x:is>
          <x:t xml:space="preserve">예</x:t>
        </x:is>
      </x:c>
      <x:c r="P704" s="5" t="inlineStr">
        <x:is>
          <x:t xml:space="preserve">#cobblemon:is_floral; #cobblemon:is_magical; #cobblemon:is_overworld; aether:skyroot_grove; aether:skyroot_meadow</x:t>
        </x:is>
      </x:c>
      <x:c r="Q704" s="5" t="inlineStr">
        <x:is>
          <x:t xml:space="preserve">ultra-rare; uncommon</x:t>
        </x:is>
      </x:c>
      <x:c r="R704" s="5" t="inlineStr">
        <x:is>
          <x:t xml:space="preserve"/>
        </x:is>
      </x:c>
      <x:c r="S704" s="5" t="inlineStr">
        <x:is>
          <x:t xml:space="preserve"/>
        </x:is>
      </x:c>
      <x:c r="T704" s="5" t="inlineStr">
        <x:is>
          <x:t xml:space="preserve">육상</x:t>
        </x:is>
      </x:c>
      <x:c r="U704" s="5" t="inlineStr">
        <x:is>
          <x:t xml:space="preserve">수목</x:t>
        </x:is>
      </x:c>
      <x:c r="V704" s="5" t="inlineStr">
        <x:is>
          <x:t xml:space="preserve">온대</x:t>
        </x:is>
      </x:c>
      <x:c r="W704" s="5" t="inlineStr">
        <x:is>
          <x:t xml:space="preserve">보통</x:t>
        </x:is>
      </x:c>
      <x:c r="X704" s="5" t="inlineStr">
        <x:is>
          <x:t xml:space="preserve">무관</x:t>
        </x:is>
      </x:c>
      <x:c r="Y704" s="5" t="inlineStr">
        <x:is>
          <x:t xml:space="preserve">무관</x:t>
        </x:is>
      </x:c>
      <x:c r="Z704" s="5" t="inlineStr">
        <x:is>
          <x:t xml:space="preserve">보통</x:t>
        </x:is>
      </x:c>
      <x:c r="AA704" s="5" t="inlineStr">
        <x:is>
          <x:t xml:space="preserve">없음</x:t>
        </x:is>
      </x:c>
      <x:c r="AB704" s="5" t="inlineStr">
        <x:is>
          <x:t xml:space="preserve">숲</x:t>
        </x:is>
      </x:c>
      <x:c r="AC704" s="5" t="inlineStr">
        <x:is>
          <x:t xml:space="preserve">gen6</x:t>
        </x:is>
      </x:c>
      <x:c r="AD704" s="5" t="inlineStr">
        <x:is>
          <x:t xml:space="preserve">.tmp/cobblemon-1.7.3-source/common/src/main/resources/data/cobblemon/species/generation6/sylveon.json</x:t>
        </x:is>
      </x:c>
    </x:row>
    <x:row r="705" ht="22" customHeight="1">
      <x:c r="A705" s="5" t="n">
        <x:v>701</x:v>
      </x:c>
      <x:c r="B705" s="5" t="inlineStr">
        <x:is>
          <x:t xml:space="preserve">루차불</x:t>
        </x:is>
      </x:c>
      <x:c r="C705" s="5" t="inlineStr">
        <x:is>
          <x:t xml:space="preserve">hawlucha</x:t>
        </x:is>
      </x:c>
      <x:c r="D705" s="5" t="inlineStr">
        <x:is>
          <x:t xml:space="preserve">Hawlucha</x:t>
        </x:is>
      </x:c>
      <x:c r="E705" s="5" t="n">
        <x:v>6</x:v>
      </x:c>
      <x:c r="F705" s="5" t="inlineStr">
        <x:is>
          <x:t xml:space="preserve">격투</x:t>
        </x:is>
      </x:c>
      <x:c r="G705" s="5" t="inlineStr">
        <x:is>
          <x:t xml:space="preserve">비행</x:t>
        </x:is>
      </x:c>
      <x:c r="H705" s="5" t="n">
        <x:v>0.8</x:v>
      </x:c>
      <x:c r="I705" s="5" t="n">
        <x:v>21.5</x:v>
      </x:c>
      <x:c r="J705" s="5" t="n">
        <x:v>500</x:v>
      </x:c>
      <x:c r="K705" s="5" t="n">
        <x:v>100</x:v>
      </x:c>
      <x:c r="L705" s="5" t="inlineStr">
        <x:is>
          <x:t xml:space="preserve">무진화</x:t>
        </x:is>
      </x:c>
      <x:c r="M705" s="5" t="n"/>
      <x:c r="N705" s="5" t="inlineStr">
        <x:is>
          <x:t xml:space="preserve">없음</x:t>
        </x:is>
      </x:c>
      <x:c r="O705" s="5" t="inlineStr">
        <x:is>
          <x:t xml:space="preserve">예</x:t>
        </x:is>
      </x:c>
      <x:c r="P705" s="5" t="inlineStr">
        <x:is>
          <x:t xml:space="preserve">#cobblemon:is_badlands; #cobblemon:is_jungle; #cobblemon:is_overworld; #cobblemon:is_tropical_island</x:t>
        </x:is>
      </x:c>
      <x:c r="Q705" s="5" t="inlineStr">
        <x:is>
          <x:t xml:space="preserve">common; uncommon</x:t>
        </x:is>
      </x:c>
      <x:c r="R705" s="5" t="inlineStr">
        <x:is>
          <x:t xml:space="preserve"/>
        </x:is>
      </x:c>
      <x:c r="S705" s="5" t="inlineStr">
        <x:is>
          <x:t xml:space="preserve"/>
        </x:is>
      </x:c>
      <x:c r="T705" s="5" t="inlineStr">
        <x:is>
          <x:t xml:space="preserve">비행</x:t>
        </x:is>
      </x:c>
      <x:c r="U705" s="5" t="inlineStr">
        <x:is>
          <x:t xml:space="preserve">건조</x:t>
        </x:is>
      </x:c>
      <x:c r="V705" s="5" t="inlineStr">
        <x:is>
          <x:t xml:space="preserve">고온</x:t>
        </x:is>
      </x:c>
      <x:c r="W705" s="5" t="inlineStr">
        <x:is>
          <x:t xml:space="preserve">다습</x:t>
        </x:is>
      </x:c>
      <x:c r="X705" s="5" t="inlineStr">
        <x:is>
          <x:t xml:space="preserve">맑음</x:t>
        </x:is>
      </x:c>
      <x:c r="Y705" s="5" t="inlineStr">
        <x:is>
          <x:t xml:space="preserve">무관</x:t>
        </x:is>
      </x:c>
      <x:c r="Z705" s="5" t="inlineStr">
        <x:is>
          <x:t xml:space="preserve">보통</x:t>
        </x:is>
      </x:c>
      <x:c r="AA705" s="5" t="inlineStr">
        <x:is>
          <x:t xml:space="preserve">없음</x:t>
        </x:is>
      </x:c>
      <x:c r="AB705" s="5" t="inlineStr">
        <x:is>
          <x:t xml:space="preserve">건조지</x:t>
        </x:is>
      </x:c>
      <x:c r="AC705" s="5" t="inlineStr">
        <x:is>
          <x:t xml:space="preserve">gen6</x:t>
        </x:is>
      </x:c>
      <x:c r="AD705" s="5" t="inlineStr">
        <x:is>
          <x:t xml:space="preserve">.tmp/cobblemon-1.7.3-source/common/src/main/resources/data/cobblemon/species/generation6/hawlucha.json</x:t>
        </x:is>
      </x:c>
    </x:row>
    <x:row r="706" ht="22" customHeight="1">
      <x:c r="A706" s="5" t="n">
        <x:v>702</x:v>
      </x:c>
      <x:c r="B706" s="5" t="inlineStr">
        <x:is>
          <x:t xml:space="preserve">데덴네</x:t>
        </x:is>
      </x:c>
      <x:c r="C706" s="5" t="inlineStr">
        <x:is>
          <x:t xml:space="preserve">dedenne</x:t>
        </x:is>
      </x:c>
      <x:c r="D706" s="5" t="inlineStr">
        <x:is>
          <x:t xml:space="preserve">Dedenne</x:t>
        </x:is>
      </x:c>
      <x:c r="E706" s="5" t="n">
        <x:v>6</x:v>
      </x:c>
      <x:c r="F706" s="5" t="inlineStr">
        <x:is>
          <x:t xml:space="preserve">전기</x:t>
        </x:is>
      </x:c>
      <x:c r="G706" s="5" t="inlineStr">
        <x:is>
          <x:t xml:space="preserve">페어리</x:t>
        </x:is>
      </x:c>
      <x:c r="H706" s="5" t="n">
        <x:v>0.2</x:v>
      </x:c>
      <x:c r="I706" s="5" t="n">
        <x:v>2.2</x:v>
      </x:c>
      <x:c r="J706" s="5" t="n">
        <x:v>431</x:v>
      </x:c>
      <x:c r="K706" s="5" t="n">
        <x:v>180</x:v>
      </x:c>
      <x:c r="L706" s="5" t="inlineStr">
        <x:is>
          <x:t xml:space="preserve">무진화</x:t>
        </x:is>
      </x:c>
      <x:c r="M706" s="5" t="n"/>
      <x:c r="N706" s="5" t="inlineStr">
        <x:is>
          <x:t xml:space="preserve">없음</x:t>
        </x:is>
      </x:c>
      <x:c r="O706" s="5" t="inlineStr">
        <x:is>
          <x:t xml:space="preserve">예</x:t>
        </x:is>
      </x:c>
      <x:c r="P706" s="5" t="inlineStr">
        <x:is>
          <x:t xml:space="preserve">#cobblemon:is_savanna; #cobblemon:is_shrubland</x:t>
        </x:is>
      </x:c>
      <x:c r="Q706" s="5" t="inlineStr">
        <x:is>
          <x:t xml:space="preserve">uncommon</x:t>
        </x:is>
      </x:c>
      <x:c r="R706" s="5" t="inlineStr">
        <x:is>
          <x:t xml:space="preserve"/>
        </x:is>
      </x:c>
      <x:c r="S706" s="5" t="inlineStr">
        <x:is>
          <x:t xml:space="preserve"/>
        </x:is>
      </x:c>
      <x:c r="T706" s="5" t="inlineStr">
        <x:is>
          <x:t xml:space="preserve">육상</x:t>
        </x:is>
      </x:c>
      <x:c r="U706" s="5" t="inlineStr">
        <x:is>
          <x:t xml:space="preserve">개활지</x:t>
        </x:is>
      </x:c>
      <x:c r="V706" s="5" t="inlineStr">
        <x:is>
          <x:t xml:space="preserve">온대</x:t>
        </x:is>
      </x:c>
      <x:c r="W706" s="5" t="inlineStr">
        <x:is>
          <x:t xml:space="preserve">보통</x:t>
        </x:is>
      </x:c>
      <x:c r="X706" s="5" t="inlineStr">
        <x:is>
          <x:t xml:space="preserve">무관</x:t>
        </x:is>
      </x:c>
      <x:c r="Y706" s="5" t="inlineStr">
        <x:is>
          <x:t xml:space="preserve">무관</x:t>
        </x:is>
      </x:c>
      <x:c r="Z706" s="5" t="inlineStr">
        <x:is>
          <x:t xml:space="preserve">보통</x:t>
        </x:is>
      </x:c>
      <x:c r="AA706" s="5" t="inlineStr">
        <x:is>
          <x:t xml:space="preserve">없음</x:t>
        </x:is>
      </x:c>
      <x:c r="AB706" s="5" t="inlineStr">
        <x:is>
          <x:t xml:space="preserve">평원</x:t>
        </x:is>
      </x:c>
      <x:c r="AC706" s="5" t="inlineStr">
        <x:is>
          <x:t xml:space="preserve">gen6</x:t>
        </x:is>
      </x:c>
      <x:c r="AD706" s="5" t="inlineStr">
        <x:is>
          <x:t xml:space="preserve">.tmp/cobblemon-1.7.3-source/common/src/main/resources/data/cobblemon/species/generation6/dedenne.json</x:t>
        </x:is>
      </x:c>
    </x:row>
    <x:row r="707" ht="22" customHeight="1">
      <x:c r="A707" s="5" t="n">
        <x:v>703</x:v>
      </x:c>
      <x:c r="B707" s="5" t="inlineStr">
        <x:is>
          <x:t xml:space="preserve">멜리시</x:t>
        </x:is>
      </x:c>
      <x:c r="C707" s="5" t="inlineStr">
        <x:is>
          <x:t xml:space="preserve">carbink</x:t>
        </x:is>
      </x:c>
      <x:c r="D707" s="5" t="inlineStr">
        <x:is>
          <x:t xml:space="preserve">Carbink</x:t>
        </x:is>
      </x:c>
      <x:c r="E707" s="5" t="n">
        <x:v>6</x:v>
      </x:c>
      <x:c r="F707" s="5" t="inlineStr">
        <x:is>
          <x:t xml:space="preserve">바위</x:t>
        </x:is>
      </x:c>
      <x:c r="G707" s="5" t="inlineStr">
        <x:is>
          <x:t xml:space="preserve">페어리</x:t>
        </x:is>
      </x:c>
      <x:c r="H707" s="5" t="n">
        <x:v>0.3</x:v>
      </x:c>
      <x:c r="I707" s="5" t="n">
        <x:v>5.7</x:v>
      </x:c>
      <x:c r="J707" s="5" t="n">
        <x:v>500</x:v>
      </x:c>
      <x:c r="K707" s="5" t="n">
        <x:v>60</x:v>
      </x:c>
      <x:c r="L707" s="5" t="inlineStr">
        <x:is>
          <x:t xml:space="preserve">무진화</x:t>
        </x:is>
      </x:c>
      <x:c r="M707" s="5" t="n"/>
      <x:c r="N707" s="5" t="inlineStr">
        <x:is>
          <x:t xml:space="preserve">없음</x:t>
        </x:is>
      </x:c>
      <x:c r="O707" s="5" t="inlineStr">
        <x:is>
          <x:t xml:space="preserve">예</x:t>
        </x:is>
      </x:c>
      <x:c r="P707" s="5" t="inlineStr">
        <x:is>
          <x:t xml:space="preserve">#cobblemon:is_overworld; #cobblemon:nether/is_wasteland; the_bumblezone:crystal_canyon</x:t>
        </x:is>
      </x:c>
      <x:c r="Q707" s="5" t="inlineStr">
        <x:is>
          <x:t xml:space="preserve">common; uncommon</x:t>
        </x:is>
      </x:c>
      <x:c r="R707" s="5" t="inlineStr">
        <x:is>
          <x:t xml:space="preserve"/>
        </x:is>
      </x:c>
      <x:c r="S707" s="5" t="inlineStr">
        <x:is>
          <x:t xml:space="preserve"/>
        </x:is>
      </x:c>
      <x:c r="T707" s="5" t="inlineStr">
        <x:is>
          <x:t xml:space="preserve">비행</x:t>
        </x:is>
      </x:c>
      <x:c r="U707" s="5" t="inlineStr">
        <x:is>
          <x:t xml:space="preserve">화산</x:t>
        </x:is>
      </x:c>
      <x:c r="V707" s="5" t="inlineStr">
        <x:is>
          <x:t xml:space="preserve">고온</x:t>
        </x:is>
      </x:c>
      <x:c r="W707" s="5" t="inlineStr">
        <x:is>
          <x:t xml:space="preserve">건조</x:t>
        </x:is>
      </x:c>
      <x:c r="X707" s="5" t="inlineStr">
        <x:is>
          <x:t xml:space="preserve">맑음</x:t>
        </x:is>
      </x:c>
      <x:c r="Y707" s="5" t="inlineStr">
        <x:is>
          <x:t xml:space="preserve">무관</x:t>
        </x:is>
      </x:c>
      <x:c r="Z707" s="5" t="inlineStr">
        <x:is>
          <x:t xml:space="preserve">보통</x:t>
        </x:is>
      </x:c>
      <x:c r="AA707" s="5" t="inlineStr">
        <x:is>
          <x:t xml:space="preserve">화산</x:t>
        </x:is>
      </x:c>
      <x:c r="AB707" s="5" t="inlineStr">
        <x:is>
          <x:t xml:space="preserve">화산</x:t>
        </x:is>
      </x:c>
      <x:c r="AC707" s="5" t="inlineStr">
        <x:is>
          <x:t xml:space="preserve">gen6</x:t>
        </x:is>
      </x:c>
      <x:c r="AD707" s="5" t="inlineStr">
        <x:is>
          <x:t xml:space="preserve">.tmp/cobblemon-1.7.3-source/common/src/main/resources/data/cobblemon/species/generation6/carbink.json</x:t>
        </x:is>
      </x:c>
    </x:row>
    <x:row r="708" ht="22" customHeight="1">
      <x:c r="A708" s="5" t="n">
        <x:v>704</x:v>
      </x:c>
      <x:c r="B708" s="5" t="inlineStr">
        <x:is>
          <x:t xml:space="preserve">미끄메라</x:t>
        </x:is>
      </x:c>
      <x:c r="C708" s="5" t="inlineStr">
        <x:is>
          <x:t xml:space="preserve">goomy</x:t>
        </x:is>
      </x:c>
      <x:c r="D708" s="5" t="inlineStr">
        <x:is>
          <x:t xml:space="preserve">Goomy</x:t>
        </x:is>
      </x:c>
      <x:c r="E708" s="5" t="n">
        <x:v>6</x:v>
      </x:c>
      <x:c r="F708" s="5" t="inlineStr">
        <x:is>
          <x:t xml:space="preserve">드래곤</x:t>
        </x:is>
      </x:c>
      <x:c r="G708" s="5" t="inlineStr">
        <x:is>
          <x:t xml:space="preserve"/>
        </x:is>
      </x:c>
      <x:c r="H708" s="5" t="n">
        <x:v>0.3</x:v>
      </x:c>
      <x:c r="I708" s="5" t="n">
        <x:v>2.8</x:v>
      </x:c>
      <x:c r="J708" s="5" t="n">
        <x:v>300</x:v>
      </x:c>
      <x:c r="K708" s="5" t="n">
        <x:v>45</x:v>
      </x:c>
      <x:c r="L708" s="5" t="inlineStr">
        <x:is>
          <x:t xml:space="preserve">기본</x:t>
        </x:is>
      </x:c>
      <x:c r="M708" s="5" t="n">
        <x:v>50</x:v>
      </x:c>
      <x:c r="N708" s="5" t="inlineStr">
        <x:is>
          <x:t xml:space="preserve">레벨·특수</x:t>
        </x:is>
      </x:c>
      <x:c r="O708" s="5" t="inlineStr">
        <x:is>
          <x:t xml:space="preserve">예</x:t>
        </x:is>
      </x:c>
      <x:c r="P708" s="5" t="inlineStr">
        <x:is>
          <x:t xml:space="preserve">#cobblemon:is_dripstone; #cobblemon:is_lush; #cobblemon:is_overworld; #cobblemon:is_swamp</x:t>
        </x:is>
      </x:c>
      <x:c r="Q708" s="5" t="inlineStr">
        <x:is>
          <x:t xml:space="preserve">common; rare; ultra-rare</x:t>
        </x:is>
      </x:c>
      <x:c r="R708" s="5" t="inlineStr">
        <x:is>
          <x:t xml:space="preserve"/>
        </x:is>
      </x:c>
      <x:c r="S708" s="5" t="inlineStr">
        <x:is>
          <x:t xml:space="preserve">비=False; 비=True</x:t>
        </x:is>
      </x:c>
      <x:c r="T708" s="5" t="inlineStr">
        <x:is>
          <x:t xml:space="preserve">육상</x:t>
        </x:is>
      </x:c>
      <x:c r="U708" s="5" t="inlineStr">
        <x:is>
          <x:t xml:space="preserve">습지</x:t>
        </x:is>
      </x:c>
      <x:c r="V708" s="5" t="inlineStr">
        <x:is>
          <x:t xml:space="preserve">온대</x:t>
        </x:is>
      </x:c>
      <x:c r="W708" s="5" t="inlineStr">
        <x:is>
          <x:t xml:space="preserve">다습</x:t>
        </x:is>
      </x:c>
      <x:c r="X708" s="5" t="inlineStr">
        <x:is>
          <x:t xml:space="preserve">비</x:t>
        </x:is>
      </x:c>
      <x:c r="Y708" s="5" t="inlineStr">
        <x:is>
          <x:t xml:space="preserve">무관</x:t>
        </x:is>
      </x:c>
      <x:c r="Z708" s="5" t="inlineStr">
        <x:is>
          <x:t xml:space="preserve">흔함</x:t>
        </x:is>
      </x:c>
      <x:c r="AA708" s="5" t="inlineStr">
        <x:is>
          <x:t xml:space="preserve">없음</x:t>
        </x:is>
      </x:c>
      <x:c r="AB708" s="5" t="inlineStr">
        <x:is>
          <x:t xml:space="preserve">습지</x:t>
        </x:is>
      </x:c>
      <x:c r="AC708" s="5" t="inlineStr">
        <x:is>
          <x:t xml:space="preserve">gen6; kalosian_form</x:t>
        </x:is>
      </x:c>
      <x:c r="AD708" s="5" t="inlineStr">
        <x:is>
          <x:t xml:space="preserve">.tmp/cobblemon-1.7.3-source/common/src/main/resources/data/cobblemon/species/generation6/goomy.json</x:t>
        </x:is>
      </x:c>
    </x:row>
    <x:row r="709" ht="22" customHeight="1">
      <x:c r="A709" s="5" t="n">
        <x:v>705</x:v>
      </x:c>
      <x:c r="B709" s="5" t="inlineStr">
        <x:is>
          <x:t xml:space="preserve">미끄네일</x:t>
        </x:is>
      </x:c>
      <x:c r="C709" s="5" t="inlineStr">
        <x:is>
          <x:t xml:space="preserve">sliggoo</x:t>
        </x:is>
      </x:c>
      <x:c r="D709" s="5" t="inlineStr">
        <x:is>
          <x:t xml:space="preserve">Sliggoo</x:t>
        </x:is>
      </x:c>
      <x:c r="E709" s="5" t="n">
        <x:v>6</x:v>
      </x:c>
      <x:c r="F709" s="5" t="inlineStr">
        <x:is>
          <x:t xml:space="preserve">드래곤</x:t>
        </x:is>
      </x:c>
      <x:c r="G709" s="5" t="inlineStr">
        <x:is>
          <x:t xml:space="preserve"/>
        </x:is>
      </x:c>
      <x:c r="H709" s="5" t="n">
        <x:v>0.8</x:v>
      </x:c>
      <x:c r="I709" s="5" t="n">
        <x:v>17.5</x:v>
      </x:c>
      <x:c r="J709" s="5" t="n">
        <x:v>452</x:v>
      </x:c>
      <x:c r="K709" s="5" t="n">
        <x:v>45</x:v>
      </x:c>
      <x:c r="L709" s="5" t="inlineStr">
        <x:is>
          <x:t xml:space="preserve">중간</x:t>
        </x:is>
      </x:c>
      <x:c r="M709" s="5" t="n">
        <x:v>50</x:v>
      </x:c>
      <x:c r="N709" s="5" t="inlineStr">
        <x:is>
          <x:t xml:space="preserve">레벨·특수</x:t>
        </x:is>
      </x:c>
      <x:c r="O709" s="5" t="inlineStr">
        <x:is>
          <x:t xml:space="preserve">예</x:t>
        </x:is>
      </x:c>
      <x:c r="P709" s="5" t="inlineStr">
        <x:is>
          <x:t xml:space="preserve">#cobblemon:is_dripstone; #cobblemon:is_lush; #cobblemon:is_overworld; #cobblemon:is_swamp</x:t>
        </x:is>
      </x:c>
      <x:c r="Q709" s="5" t="inlineStr">
        <x:is>
          <x:t xml:space="preserve">common; rare; ultra-rare</x:t>
        </x:is>
      </x:c>
      <x:c r="R709" s="5" t="inlineStr">
        <x:is>
          <x:t xml:space="preserve"/>
        </x:is>
      </x:c>
      <x:c r="S709" s="5" t="inlineStr">
        <x:is>
          <x:t xml:space="preserve">비=False; 비=True</x:t>
        </x:is>
      </x:c>
      <x:c r="T709" s="5" t="inlineStr">
        <x:is>
          <x:t xml:space="preserve">육상</x:t>
        </x:is>
      </x:c>
      <x:c r="U709" s="5" t="inlineStr">
        <x:is>
          <x:t xml:space="preserve">습지</x:t>
        </x:is>
      </x:c>
      <x:c r="V709" s="5" t="inlineStr">
        <x:is>
          <x:t xml:space="preserve">온대</x:t>
        </x:is>
      </x:c>
      <x:c r="W709" s="5" t="inlineStr">
        <x:is>
          <x:t xml:space="preserve">다습</x:t>
        </x:is>
      </x:c>
      <x:c r="X709" s="5" t="inlineStr">
        <x:is>
          <x:t xml:space="preserve">비</x:t>
        </x:is>
      </x:c>
      <x:c r="Y709" s="5" t="inlineStr">
        <x:is>
          <x:t xml:space="preserve">무관</x:t>
        </x:is>
      </x:c>
      <x:c r="Z709" s="5" t="inlineStr">
        <x:is>
          <x:t xml:space="preserve">흔함</x:t>
        </x:is>
      </x:c>
      <x:c r="AA709" s="5" t="inlineStr">
        <x:is>
          <x:t xml:space="preserve">없음</x:t>
        </x:is>
      </x:c>
      <x:c r="AB709" s="5" t="inlineStr">
        <x:is>
          <x:t xml:space="preserve">습지</x:t>
        </x:is>
      </x:c>
      <x:c r="AC709" s="5" t="inlineStr">
        <x:is>
          <x:t xml:space="preserve">gen6; kalosian_form</x:t>
        </x:is>
      </x:c>
      <x:c r="AD709" s="5" t="inlineStr">
        <x:is>
          <x:t xml:space="preserve">.tmp/cobblemon-1.7.3-source/common/src/main/resources/data/cobblemon/species/generation6/sliggoo.json</x:t>
        </x:is>
      </x:c>
    </x:row>
    <x:row r="710" ht="22" customHeight="1">
      <x:c r="A710" s="5" t="n">
        <x:v>706</x:v>
      </x:c>
      <x:c r="B710" s="5" t="inlineStr">
        <x:is>
          <x:t xml:space="preserve">미끄래곤</x:t>
        </x:is>
      </x:c>
      <x:c r="C710" s="5" t="inlineStr">
        <x:is>
          <x:t xml:space="preserve">goodra</x:t>
        </x:is>
      </x:c>
      <x:c r="D710" s="5" t="inlineStr">
        <x:is>
          <x:t xml:space="preserve">Goodra</x:t>
        </x:is>
      </x:c>
      <x:c r="E710" s="5" t="n">
        <x:v>6</x:v>
      </x:c>
      <x:c r="F710" s="5" t="inlineStr">
        <x:is>
          <x:t xml:space="preserve">드래곤</x:t>
        </x:is>
      </x:c>
      <x:c r="G710" s="5" t="inlineStr">
        <x:is>
          <x:t xml:space="preserve"/>
        </x:is>
      </x:c>
      <x:c r="H710" s="5" t="n">
        <x:v>2</x:v>
      </x:c>
      <x:c r="I710" s="5" t="n">
        <x:v>150.5</x:v>
      </x:c>
      <x:c r="J710" s="5" t="n">
        <x:v>600</x:v>
      </x:c>
      <x:c r="K710" s="5" t="n">
        <x:v>45</x:v>
      </x:c>
      <x:c r="L710" s="5" t="inlineStr">
        <x:is>
          <x:t xml:space="preserve">최종</x:t>
        </x:is>
      </x:c>
      <x:c r="M710" s="5" t="n">
        <x:v>50</x:v>
      </x:c>
      <x:c r="N710" s="5" t="inlineStr">
        <x:is>
          <x:t xml:space="preserve">레벨·특수</x:t>
        </x:is>
      </x:c>
      <x:c r="O710" s="5" t="inlineStr">
        <x:is>
          <x:t xml:space="preserve">예</x:t>
        </x:is>
      </x:c>
      <x:c r="P710" s="5" t="inlineStr">
        <x:is>
          <x:t xml:space="preserve">#cobblemon:is_dripstone; #cobblemon:is_lush; #cobblemon:is_overworld; #cobblemon:is_swamp</x:t>
        </x:is>
      </x:c>
      <x:c r="Q710" s="5" t="inlineStr">
        <x:is>
          <x:t xml:space="preserve">common; rare; ultra-rare</x:t>
        </x:is>
      </x:c>
      <x:c r="R710" s="5" t="inlineStr">
        <x:is>
          <x:t xml:space="preserve"/>
        </x:is>
      </x:c>
      <x:c r="S710" s="5" t="inlineStr">
        <x:is>
          <x:t xml:space="preserve">비=False; 비=True</x:t>
        </x:is>
      </x:c>
      <x:c r="T710" s="5" t="inlineStr">
        <x:is>
          <x:t xml:space="preserve">육상</x:t>
        </x:is>
      </x:c>
      <x:c r="U710" s="5" t="inlineStr">
        <x:is>
          <x:t xml:space="preserve">습지</x:t>
        </x:is>
      </x:c>
      <x:c r="V710" s="5" t="inlineStr">
        <x:is>
          <x:t xml:space="preserve">온대</x:t>
        </x:is>
      </x:c>
      <x:c r="W710" s="5" t="inlineStr">
        <x:is>
          <x:t xml:space="preserve">다습</x:t>
        </x:is>
      </x:c>
      <x:c r="X710" s="5" t="inlineStr">
        <x:is>
          <x:t xml:space="preserve">비</x:t>
        </x:is>
      </x:c>
      <x:c r="Y710" s="5" t="inlineStr">
        <x:is>
          <x:t xml:space="preserve">무관</x:t>
        </x:is>
      </x:c>
      <x:c r="Z710" s="5" t="inlineStr">
        <x:is>
          <x:t xml:space="preserve">흔함</x:t>
        </x:is>
      </x:c>
      <x:c r="AA710" s="5" t="inlineStr">
        <x:is>
          <x:t xml:space="preserve">없음</x:t>
        </x:is>
      </x:c>
      <x:c r="AB710" s="5" t="inlineStr">
        <x:is>
          <x:t xml:space="preserve">습지</x:t>
        </x:is>
      </x:c>
      <x:c r="AC710" s="5" t="inlineStr">
        <x:is>
          <x:t xml:space="preserve">gen6; kalosian_form; powerhouse</x:t>
        </x:is>
      </x:c>
      <x:c r="AD710" s="5" t="inlineStr">
        <x:is>
          <x:t xml:space="preserve">.tmp/cobblemon-1.7.3-source/common/src/main/resources/data/cobblemon/species/generation6/goodra.json</x:t>
        </x:is>
      </x:c>
    </x:row>
    <x:row r="711" ht="22" customHeight="1">
      <x:c r="A711" s="5" t="n">
        <x:v>707</x:v>
      </x:c>
      <x:c r="B711" s="5" t="inlineStr">
        <x:is>
          <x:t xml:space="preserve">클레피</x:t>
        </x:is>
      </x:c>
      <x:c r="C711" s="5" t="inlineStr">
        <x:is>
          <x:t xml:space="preserve">klefki</x:t>
        </x:is>
      </x:c>
      <x:c r="D711" s="5" t="inlineStr">
        <x:is>
          <x:t xml:space="preserve">Klefki</x:t>
        </x:is>
      </x:c>
      <x:c r="E711" s="5" t="n">
        <x:v>6</x:v>
      </x:c>
      <x:c r="F711" s="5" t="inlineStr">
        <x:is>
          <x:t xml:space="preserve">강철</x:t>
        </x:is>
      </x:c>
      <x:c r="G711" s="5" t="inlineStr">
        <x:is>
          <x:t xml:space="preserve">페어리</x:t>
        </x:is>
      </x:c>
      <x:c r="H711" s="5" t="n">
        <x:v>0.2</x:v>
      </x:c>
      <x:c r="I711" s="5" t="n">
        <x:v>3</x:v>
      </x:c>
      <x:c r="J711" s="5" t="n">
        <x:v>470</x:v>
      </x:c>
      <x:c r="K711" s="5" t="n">
        <x:v>75</x:v>
      </x:c>
      <x:c r="L711" s="5" t="inlineStr">
        <x:is>
          <x:t xml:space="preserve">무진화</x:t>
        </x:is>
      </x:c>
      <x:c r="M711" s="5" t="n"/>
      <x:c r="N711" s="5" t="inlineStr">
        <x:is>
          <x:t xml:space="preserve">없음</x:t>
        </x:is>
      </x:c>
      <x:c r="O711" s="5" t="inlineStr">
        <x:is>
          <x:t xml:space="preserve">예</x:t>
        </x:is>
      </x:c>
      <x:c r="P711" s="5" t="inlineStr">
        <x:is>
          <x:t xml:space="preserve">#cobblemon:is_overworld</x:t>
        </x:is>
      </x:c>
      <x:c r="Q711" s="5" t="inlineStr">
        <x:is>
          <x:t xml:space="preserve">common; uncommon</x:t>
        </x:is>
      </x:c>
      <x:c r="R711" s="5" t="inlineStr">
        <x:is>
          <x:t xml:space="preserve"/>
        </x:is>
      </x:c>
      <x:c r="S711" s="5" t="inlineStr">
        <x:is>
          <x:t xml:space="preserve"/>
        </x:is>
      </x:c>
      <x:c r="T711" s="5" t="inlineStr">
        <x:is>
          <x:t xml:space="preserve">비행</x:t>
        </x:is>
      </x:c>
      <x:c r="U711" s="5" t="inlineStr">
        <x:is>
          <x:t xml:space="preserve">개활지</x:t>
        </x:is>
      </x:c>
      <x:c r="V711" s="5" t="inlineStr">
        <x:is>
          <x:t xml:space="preserve">온대</x:t>
        </x:is>
      </x:c>
      <x:c r="W711" s="5" t="inlineStr">
        <x:is>
          <x:t xml:space="preserve">보통</x:t>
        </x:is>
      </x:c>
      <x:c r="X711" s="5" t="inlineStr">
        <x:is>
          <x:t xml:space="preserve">무관</x:t>
        </x:is>
      </x:c>
      <x:c r="Y711" s="5" t="inlineStr">
        <x:is>
          <x:t xml:space="preserve">무관</x:t>
        </x:is>
      </x:c>
      <x:c r="Z711" s="5" t="inlineStr">
        <x:is>
          <x:t xml:space="preserve">보통</x:t>
        </x:is>
      </x:c>
      <x:c r="AA711" s="5" t="inlineStr">
        <x:is>
          <x:t xml:space="preserve">없음</x:t>
        </x:is>
      </x:c>
      <x:c r="AB711" s="5" t="inlineStr">
        <x:is>
          <x:t xml:space="preserve"/>
        </x:is>
      </x:c>
      <x:c r="AC711" s="5" t="inlineStr">
        <x:is>
          <x:t xml:space="preserve">gen6</x:t>
        </x:is>
      </x:c>
      <x:c r="AD711" s="5" t="inlineStr">
        <x:is>
          <x:t xml:space="preserve">.tmp/cobblemon-1.7.3-source/common/src/main/resources/data/cobblemon/species/generation6/klefki.json</x:t>
        </x:is>
      </x:c>
    </x:row>
    <x:row r="712" ht="22" customHeight="1">
      <x:c r="A712" s="5" t="n">
        <x:v>708</x:v>
      </x:c>
      <x:c r="B712" s="5" t="inlineStr">
        <x:is>
          <x:t xml:space="preserve">나목령</x:t>
        </x:is>
      </x:c>
      <x:c r="C712" s="5" t="inlineStr">
        <x:is>
          <x:t xml:space="preserve">phantump</x:t>
        </x:is>
      </x:c>
      <x:c r="D712" s="5" t="inlineStr">
        <x:is>
          <x:t xml:space="preserve">Phantump</x:t>
        </x:is>
      </x:c>
      <x:c r="E712" s="5" t="n">
        <x:v>6</x:v>
      </x:c>
      <x:c r="F712" s="5" t="inlineStr">
        <x:is>
          <x:t xml:space="preserve">고스트</x:t>
        </x:is>
      </x:c>
      <x:c r="G712" s="5" t="inlineStr">
        <x:is>
          <x:t xml:space="preserve">풀</x:t>
        </x:is>
      </x:c>
      <x:c r="H712" s="5" t="n">
        <x:v>0.4</x:v>
      </x:c>
      <x:c r="I712" s="5" t="n">
        <x:v>7</x:v>
      </x:c>
      <x:c r="J712" s="5" t="n">
        <x:v>309</x:v>
      </x:c>
      <x:c r="K712" s="5" t="n">
        <x:v>120</x:v>
      </x:c>
      <x:c r="L712" s="5" t="inlineStr">
        <x:is>
          <x:t xml:space="preserve">기본</x:t>
        </x:is>
      </x:c>
      <x:c r="M712" s="5" t="n"/>
      <x:c r="N712" s="5" t="inlineStr">
        <x:is>
          <x:t xml:space="preserve">특수</x:t>
        </x:is>
      </x:c>
      <x:c r="O712" s="5" t="inlineStr">
        <x:is>
          <x:t xml:space="preserve">예</x:t>
        </x:is>
      </x:c>
      <x:c r="P712" s="5" t="inlineStr">
        <x:is>
          <x:t xml:space="preserve">#cobblemon:is_forest; #cobblemon:is_spooky; #cobblemon:is_taiga</x:t>
        </x:is>
      </x:c>
      <x:c r="Q712" s="5" t="inlineStr">
        <x:is>
          <x:t xml:space="preserve">common</x:t>
        </x:is>
      </x:c>
      <x:c r="R712" s="5" t="inlineStr">
        <x:is>
          <x:t xml:space="preserve">night</x:t>
        </x:is>
      </x:c>
      <x:c r="S712" s="5" t="inlineStr">
        <x:is>
          <x:t xml:space="preserve"/>
        </x:is>
      </x:c>
      <x:c r="T712" s="5" t="inlineStr">
        <x:is>
          <x:t xml:space="preserve">비행</x:t>
        </x:is>
      </x:c>
      <x:c r="U712" s="5" t="inlineStr">
        <x:is>
          <x:t xml:space="preserve">수목</x:t>
        </x:is>
      </x:c>
      <x:c r="V712" s="5" t="inlineStr">
        <x:is>
          <x:t xml:space="preserve">서늘</x:t>
        </x:is>
      </x:c>
      <x:c r="W712" s="5" t="inlineStr">
        <x:is>
          <x:t xml:space="preserve">보통</x:t>
        </x:is>
      </x:c>
      <x:c r="X712" s="5" t="inlineStr">
        <x:is>
          <x:t xml:space="preserve">안개</x:t>
        </x:is>
      </x:c>
      <x:c r="Y712" s="5" t="inlineStr">
        <x:is>
          <x:t xml:space="preserve">밤</x:t>
        </x:is>
      </x:c>
      <x:c r="Z712" s="5" t="inlineStr">
        <x:is>
          <x:t xml:space="preserve">흔함</x:t>
        </x:is>
      </x:c>
      <x:c r="AA712" s="5" t="inlineStr">
        <x:is>
          <x:t xml:space="preserve">영체</x:t>
        </x:is>
      </x:c>
      <x:c r="AB712" s="5" t="inlineStr">
        <x:is>
          <x:t xml:space="preserve">숲</x:t>
        </x:is>
      </x:c>
      <x:c r="AC712" s="5" t="inlineStr">
        <x:is>
          <x:t xml:space="preserve">gen6</x:t>
        </x:is>
      </x:c>
      <x:c r="AD712" s="5" t="inlineStr">
        <x:is>
          <x:t xml:space="preserve">.tmp/cobblemon-1.7.3-source/common/src/main/resources/data/cobblemon/species/generation6/phantump.json</x:t>
        </x:is>
      </x:c>
    </x:row>
    <x:row r="713" ht="22" customHeight="1">
      <x:c r="A713" s="5" t="n">
        <x:v>709</x:v>
      </x:c>
      <x:c r="B713" s="5" t="inlineStr">
        <x:is>
          <x:t xml:space="preserve">대로트</x:t>
        </x:is>
      </x:c>
      <x:c r="C713" s="5" t="inlineStr">
        <x:is>
          <x:t xml:space="preserve">trevenant</x:t>
        </x:is>
      </x:c>
      <x:c r="D713" s="5" t="inlineStr">
        <x:is>
          <x:t xml:space="preserve">Trevenant</x:t>
        </x:is>
      </x:c>
      <x:c r="E713" s="5" t="n">
        <x:v>6</x:v>
      </x:c>
      <x:c r="F713" s="5" t="inlineStr">
        <x:is>
          <x:t xml:space="preserve">고스트</x:t>
        </x:is>
      </x:c>
      <x:c r="G713" s="5" t="inlineStr">
        <x:is>
          <x:t xml:space="preserve">풀</x:t>
        </x:is>
      </x:c>
      <x:c r="H713" s="5" t="n">
        <x:v>1.5</x:v>
      </x:c>
      <x:c r="I713" s="5" t="n">
        <x:v>71</x:v>
      </x:c>
      <x:c r="J713" s="5" t="n">
        <x:v>474</x:v>
      </x:c>
      <x:c r="K713" s="5" t="n">
        <x:v>60</x:v>
      </x:c>
      <x:c r="L713" s="5" t="inlineStr">
        <x:is>
          <x:t xml:space="preserve">최종</x:t>
        </x:is>
      </x:c>
      <x:c r="M713" s="5" t="n"/>
      <x:c r="N713" s="5" t="inlineStr">
        <x:is>
          <x:t xml:space="preserve">특수</x:t>
        </x:is>
      </x:c>
      <x:c r="O713" s="5" t="inlineStr">
        <x:is>
          <x:t xml:space="preserve">예</x:t>
        </x:is>
      </x:c>
      <x:c r="P713" s="5" t="inlineStr">
        <x:is>
          <x:t xml:space="preserve">#cobblemon:is_forest; #cobblemon:is_spooky; #cobblemon:is_taiga; minecraft:pale_garden</x:t>
        </x:is>
      </x:c>
      <x:c r="Q713" s="5" t="inlineStr">
        <x:is>
          <x:t xml:space="preserve">common</x:t>
        </x:is>
      </x:c>
      <x:c r="R713" s="5" t="inlineStr">
        <x:is>
          <x:t xml:space="preserve">night</x:t>
        </x:is>
      </x:c>
      <x:c r="S713" s="5" t="inlineStr">
        <x:is>
          <x:t xml:space="preserve"/>
        </x:is>
      </x:c>
      <x:c r="T713" s="5" t="inlineStr">
        <x:is>
          <x:t xml:space="preserve">영체</x:t>
        </x:is>
      </x:c>
      <x:c r="U713" s="5" t="inlineStr">
        <x:is>
          <x:t xml:space="preserve">수목</x:t>
        </x:is>
      </x:c>
      <x:c r="V713" s="5" t="inlineStr">
        <x:is>
          <x:t xml:space="preserve">서늘</x:t>
        </x:is>
      </x:c>
      <x:c r="W713" s="5" t="inlineStr">
        <x:is>
          <x:t xml:space="preserve">보통</x:t>
        </x:is>
      </x:c>
      <x:c r="X713" s="5" t="inlineStr">
        <x:is>
          <x:t xml:space="preserve">안개</x:t>
        </x:is>
      </x:c>
      <x:c r="Y713" s="5" t="inlineStr">
        <x:is>
          <x:t xml:space="preserve">밤</x:t>
        </x:is>
      </x:c>
      <x:c r="Z713" s="5" t="inlineStr">
        <x:is>
          <x:t xml:space="preserve">흔함</x:t>
        </x:is>
      </x:c>
      <x:c r="AA713" s="5" t="inlineStr">
        <x:is>
          <x:t xml:space="preserve">영체</x:t>
        </x:is>
      </x:c>
      <x:c r="AB713" s="5" t="inlineStr">
        <x:is>
          <x:t xml:space="preserve">숲</x:t>
        </x:is>
      </x:c>
      <x:c r="AC713" s="5" t="inlineStr">
        <x:is>
          <x:t xml:space="preserve">gen6</x:t>
        </x:is>
      </x:c>
      <x:c r="AD713" s="5" t="inlineStr">
        <x:is>
          <x:t xml:space="preserve">.tmp/cobblemon-1.7.3-source/common/src/main/resources/data/cobblemon/species/generation6/trevenant.json</x:t>
        </x:is>
      </x:c>
    </x:row>
    <x:row r="714" ht="22" customHeight="1">
      <x:c r="A714" s="5" t="n">
        <x:v>710</x:v>
      </x:c>
      <x:c r="B714" s="5" t="inlineStr">
        <x:is>
          <x:t xml:space="preserve">호바귀</x:t>
        </x:is>
      </x:c>
      <x:c r="C714" s="5" t="inlineStr">
        <x:is>
          <x:t xml:space="preserve">pumpkaboo</x:t>
        </x:is>
      </x:c>
      <x:c r="D714" s="5" t="inlineStr">
        <x:is>
          <x:t xml:space="preserve">Pumpkaboo</x:t>
        </x:is>
      </x:c>
      <x:c r="E714" s="5" t="n">
        <x:v>6</x:v>
      </x:c>
      <x:c r="F714" s="5" t="inlineStr">
        <x:is>
          <x:t xml:space="preserve">고스트</x:t>
        </x:is>
      </x:c>
      <x:c r="G714" s="5" t="inlineStr">
        <x:is>
          <x:t xml:space="preserve">풀</x:t>
        </x:is>
      </x:c>
      <x:c r="H714" s="5" t="n">
        <x:v>0.4</x:v>
      </x:c>
      <x:c r="I714" s="5" t="n">
        <x:v>5</x:v>
      </x:c>
      <x:c r="J714" s="5" t="n">
        <x:v>335</x:v>
      </x:c>
      <x:c r="K714" s="5" t="n">
        <x:v>120</x:v>
      </x:c>
      <x:c r="L714" s="5" t="inlineStr">
        <x:is>
          <x:t xml:space="preserve">기본</x:t>
        </x:is>
      </x:c>
      <x:c r="M714" s="5" t="n"/>
      <x:c r="N714" s="5" t="inlineStr">
        <x:is>
          <x:t xml:space="preserve">특수</x:t>
        </x:is>
      </x:c>
      <x:c r="O714" s="5" t="inlineStr">
        <x:is>
          <x:t xml:space="preserve">예</x:t>
        </x:is>
      </x:c>
      <x:c r="P714" s="5" t="inlineStr">
        <x:is>
          <x:t xml:space="preserve">#cobblemon:is_overworld; #cobblemon:nether/is_overgrowth</x:t>
        </x:is>
      </x:c>
      <x:c r="Q714" s="5" t="inlineStr">
        <x:is>
          <x:t xml:space="preserve">common; uncommon</x:t>
        </x:is>
      </x:c>
      <x:c r="R714" s="5" t="inlineStr">
        <x:is>
          <x:t xml:space="preserve">night</x:t>
        </x:is>
      </x:c>
      <x:c r="S714" s="5" t="inlineStr">
        <x:is>
          <x:t xml:space="preserve"/>
        </x:is>
      </x:c>
      <x:c r="T714" s="5" t="inlineStr">
        <x:is>
          <x:t xml:space="preserve">비행</x:t>
        </x:is>
      </x:c>
      <x:c r="U714" s="5" t="inlineStr">
        <x:is>
          <x:t xml:space="preserve">화산</x:t>
        </x:is>
      </x:c>
      <x:c r="V714" s="5" t="inlineStr">
        <x:is>
          <x:t xml:space="preserve">고온</x:t>
        </x:is>
      </x:c>
      <x:c r="W714" s="5" t="inlineStr">
        <x:is>
          <x:t xml:space="preserve">건조</x:t>
        </x:is>
      </x:c>
      <x:c r="X714" s="5" t="inlineStr">
        <x:is>
          <x:t xml:space="preserve">맑음</x:t>
        </x:is>
      </x:c>
      <x:c r="Y714" s="5" t="inlineStr">
        <x:is>
          <x:t xml:space="preserve">밤</x:t>
        </x:is>
      </x:c>
      <x:c r="Z714" s="5" t="inlineStr">
        <x:is>
          <x:t xml:space="preserve">보통</x:t>
        </x:is>
      </x:c>
      <x:c r="AA714" s="5" t="inlineStr">
        <x:is>
          <x:t xml:space="preserve">영체</x:t>
        </x:is>
      </x:c>
      <x:c r="AB714" s="5" t="inlineStr">
        <x:is>
          <x:t xml:space="preserve">화산</x:t>
        </x:is>
      </x:c>
      <x:c r="AC714" s="5" t="inlineStr">
        <x:is>
          <x:t xml:space="preserve">gen6</x:t>
        </x:is>
      </x:c>
      <x:c r="AD714" s="5" t="inlineStr">
        <x:is>
          <x:t xml:space="preserve">.tmp/cobblemon-1.7.3-source/common/src/main/resources/data/cobblemon/species/generation6/pumpkaboo.json</x:t>
        </x:is>
      </x:c>
    </x:row>
    <x:row r="715" ht="22" customHeight="1">
      <x:c r="A715" s="5" t="n">
        <x:v>711</x:v>
      </x:c>
      <x:c r="B715" s="5" t="inlineStr">
        <x:is>
          <x:t xml:space="preserve">펌킨인</x:t>
        </x:is>
      </x:c>
      <x:c r="C715" s="5" t="inlineStr">
        <x:is>
          <x:t xml:space="preserve">gourgeist</x:t>
        </x:is>
      </x:c>
      <x:c r="D715" s="5" t="inlineStr">
        <x:is>
          <x:t xml:space="preserve">Gourgeist</x:t>
        </x:is>
      </x:c>
      <x:c r="E715" s="5" t="n">
        <x:v>6</x:v>
      </x:c>
      <x:c r="F715" s="5" t="inlineStr">
        <x:is>
          <x:t xml:space="preserve">고스트</x:t>
        </x:is>
      </x:c>
      <x:c r="G715" s="5" t="inlineStr">
        <x:is>
          <x:t xml:space="preserve">풀</x:t>
        </x:is>
      </x:c>
      <x:c r="H715" s="5" t="n">
        <x:v>0.9</x:v>
      </x:c>
      <x:c r="I715" s="5" t="n">
        <x:v>12.5</x:v>
      </x:c>
      <x:c r="J715" s="5" t="n">
        <x:v>494</x:v>
      </x:c>
      <x:c r="K715" s="5" t="n">
        <x:v>60</x:v>
      </x:c>
      <x:c r="L715" s="5" t="inlineStr">
        <x:is>
          <x:t xml:space="preserve">최종</x:t>
        </x:is>
      </x:c>
      <x:c r="M715" s="5" t="n"/>
      <x:c r="N715" s="5" t="inlineStr">
        <x:is>
          <x:t xml:space="preserve">특수</x:t>
        </x:is>
      </x:c>
      <x:c r="O715" s="5" t="inlineStr">
        <x:is>
          <x:t xml:space="preserve">예</x:t>
        </x:is>
      </x:c>
      <x:c r="P715" s="5" t="inlineStr">
        <x:is>
          <x:t xml:space="preserve">#cobblemon:is_overworld; #cobblemon:nether/is_overgrowth</x:t>
        </x:is>
      </x:c>
      <x:c r="Q715" s="5" t="inlineStr">
        <x:is>
          <x:t xml:space="preserve">common; uncommon</x:t>
        </x:is>
      </x:c>
      <x:c r="R715" s="5" t="inlineStr">
        <x:is>
          <x:t xml:space="preserve">night</x:t>
        </x:is>
      </x:c>
      <x:c r="S715" s="5" t="inlineStr">
        <x:is>
          <x:t xml:space="preserve"/>
        </x:is>
      </x:c>
      <x:c r="T715" s="5" t="inlineStr">
        <x:is>
          <x:t xml:space="preserve">비행</x:t>
        </x:is>
      </x:c>
      <x:c r="U715" s="5" t="inlineStr">
        <x:is>
          <x:t xml:space="preserve">화산</x:t>
        </x:is>
      </x:c>
      <x:c r="V715" s="5" t="inlineStr">
        <x:is>
          <x:t xml:space="preserve">고온</x:t>
        </x:is>
      </x:c>
      <x:c r="W715" s="5" t="inlineStr">
        <x:is>
          <x:t xml:space="preserve">건조</x:t>
        </x:is>
      </x:c>
      <x:c r="X715" s="5" t="inlineStr">
        <x:is>
          <x:t xml:space="preserve">맑음</x:t>
        </x:is>
      </x:c>
      <x:c r="Y715" s="5" t="inlineStr">
        <x:is>
          <x:t xml:space="preserve">밤</x:t>
        </x:is>
      </x:c>
      <x:c r="Z715" s="5" t="inlineStr">
        <x:is>
          <x:t xml:space="preserve">보통</x:t>
        </x:is>
      </x:c>
      <x:c r="AA715" s="5" t="inlineStr">
        <x:is>
          <x:t xml:space="preserve">영체</x:t>
        </x:is>
      </x:c>
      <x:c r="AB715" s="5" t="inlineStr">
        <x:is>
          <x:t xml:space="preserve">화산</x:t>
        </x:is>
      </x:c>
      <x:c r="AC715" s="5" t="inlineStr">
        <x:is>
          <x:t xml:space="preserve">gen6</x:t>
        </x:is>
      </x:c>
      <x:c r="AD715" s="5" t="inlineStr">
        <x:is>
          <x:t xml:space="preserve">.tmp/cobblemon-1.7.3-source/common/src/main/resources/data/cobblemon/species/generation6/gourgeist.json</x:t>
        </x:is>
      </x:c>
    </x:row>
    <x:row r="716" ht="22" customHeight="1">
      <x:c r="A716" s="5" t="n">
        <x:v>712</x:v>
      </x:c>
      <x:c r="B716" s="5" t="inlineStr">
        <x:is>
          <x:t xml:space="preserve">꽁어름</x:t>
        </x:is>
      </x:c>
      <x:c r="C716" s="5" t="inlineStr">
        <x:is>
          <x:t xml:space="preserve">bergmite</x:t>
        </x:is>
      </x:c>
      <x:c r="D716" s="5" t="inlineStr">
        <x:is>
          <x:t xml:space="preserve">Bergmite</x:t>
        </x:is>
      </x:c>
      <x:c r="E716" s="5" t="n">
        <x:v>6</x:v>
      </x:c>
      <x:c r="F716" s="5" t="inlineStr">
        <x:is>
          <x:t xml:space="preserve">얼음</x:t>
        </x:is>
      </x:c>
      <x:c r="G716" s="5" t="inlineStr">
        <x:is>
          <x:t xml:space="preserve"/>
        </x:is>
      </x:c>
      <x:c r="H716" s="5" t="n">
        <x:v>1</x:v>
      </x:c>
      <x:c r="I716" s="5" t="n">
        <x:v>99.5</x:v>
      </x:c>
      <x:c r="J716" s="5" t="n">
        <x:v>304</x:v>
      </x:c>
      <x:c r="K716" s="5" t="n">
        <x:v>190</x:v>
      </x:c>
      <x:c r="L716" s="5" t="inlineStr">
        <x:is>
          <x:t xml:space="preserve">기본</x:t>
        </x:is>
      </x:c>
      <x:c r="M716" s="5" t="n">
        <x:v>37</x:v>
      </x:c>
      <x:c r="N716" s="5" t="inlineStr">
        <x:is>
          <x:t xml:space="preserve">레벨</x:t>
        </x:is>
      </x:c>
      <x:c r="O716" s="5" t="inlineStr">
        <x:is>
          <x:t xml:space="preserve">예</x:t>
        </x:is>
      </x:c>
      <x:c r="P716" s="5" t="inlineStr">
        <x:is>
          <x:t xml:space="preserve">#cobblemon:is_freezing; #cobblemon:is_frozen_ocean; #cobblemon:nether/is_frozen</x:t>
        </x:is>
      </x:c>
      <x:c r="Q716" s="5" t="inlineStr">
        <x:is>
          <x:t xml:space="preserve">common; uncommon</x:t>
        </x:is>
      </x:c>
      <x:c r="R716" s="5" t="inlineStr">
        <x:is>
          <x:t xml:space="preserve"/>
        </x:is>
      </x:c>
      <x:c r="S716" s="5" t="inlineStr">
        <x:is>
          <x:t xml:space="preserve"/>
        </x:is>
      </x:c>
      <x:c r="T716" s="5" t="inlineStr">
        <x:is>
          <x:t xml:space="preserve">육상</x:t>
        </x:is>
      </x:c>
      <x:c r="U716" s="5" t="inlineStr">
        <x:is>
          <x:t xml:space="preserve">설원</x:t>
        </x:is>
      </x:c>
      <x:c r="V716" s="5" t="inlineStr">
        <x:is>
          <x:t xml:space="preserve">한랭</x:t>
        </x:is>
      </x:c>
      <x:c r="W716" s="5" t="inlineStr">
        <x:is>
          <x:t xml:space="preserve">보통</x:t>
        </x:is>
      </x:c>
      <x:c r="X716" s="5" t="inlineStr">
        <x:is>
          <x:t xml:space="preserve">눈</x:t>
        </x:is>
      </x:c>
      <x:c r="Y716" s="5" t="inlineStr">
        <x:is>
          <x:t xml:space="preserve">무관</x:t>
        </x:is>
      </x:c>
      <x:c r="Z716" s="5" t="inlineStr">
        <x:is>
          <x:t xml:space="preserve">보통</x:t>
        </x:is>
      </x:c>
      <x:c r="AA716" s="5" t="inlineStr">
        <x:is>
          <x:t xml:space="preserve">없음</x:t>
        </x:is>
      </x:c>
      <x:c r="AB716" s="5" t="inlineStr">
        <x:is>
          <x:t xml:space="preserve">설원</x:t>
        </x:is>
      </x:c>
      <x:c r="AC716" s="5" t="inlineStr">
        <x:is>
          <x:t xml:space="preserve">gen6; kalosian_form</x:t>
        </x:is>
      </x:c>
      <x:c r="AD716" s="5" t="inlineStr">
        <x:is>
          <x:t xml:space="preserve">.tmp/cobblemon-1.7.3-source/common/src/main/resources/data/cobblemon/species/generation6/bergmite.json</x:t>
        </x:is>
      </x:c>
    </x:row>
    <x:row r="717" ht="22" customHeight="1">
      <x:c r="A717" s="5" t="n">
        <x:v>713</x:v>
      </x:c>
      <x:c r="B717" s="5" t="inlineStr">
        <x:is>
          <x:t xml:space="preserve">크레베이스</x:t>
        </x:is>
      </x:c>
      <x:c r="C717" s="5" t="inlineStr">
        <x:is>
          <x:t xml:space="preserve">avalugg</x:t>
        </x:is>
      </x:c>
      <x:c r="D717" s="5" t="inlineStr">
        <x:is>
          <x:t xml:space="preserve">Avalugg</x:t>
        </x:is>
      </x:c>
      <x:c r="E717" s="5" t="n">
        <x:v>6</x:v>
      </x:c>
      <x:c r="F717" s="5" t="inlineStr">
        <x:is>
          <x:t xml:space="preserve">얼음</x:t>
        </x:is>
      </x:c>
      <x:c r="G717" s="5" t="inlineStr">
        <x:is>
          <x:t xml:space="preserve"/>
        </x:is>
      </x:c>
      <x:c r="H717" s="5" t="n">
        <x:v>2</x:v>
      </x:c>
      <x:c r="I717" s="5" t="n">
        <x:v>505</x:v>
      </x:c>
      <x:c r="J717" s="5" t="n">
        <x:v>514</x:v>
      </x:c>
      <x:c r="K717" s="5" t="n">
        <x:v>55</x:v>
      </x:c>
      <x:c r="L717" s="5" t="inlineStr">
        <x:is>
          <x:t xml:space="preserve">최종</x:t>
        </x:is>
      </x:c>
      <x:c r="M717" s="5" t="n">
        <x:v>37</x:v>
      </x:c>
      <x:c r="N717" s="5" t="inlineStr">
        <x:is>
          <x:t xml:space="preserve">레벨</x:t>
        </x:is>
      </x:c>
      <x:c r="O717" s="5" t="inlineStr">
        <x:is>
          <x:t xml:space="preserve">예</x:t>
        </x:is>
      </x:c>
      <x:c r="P717" s="5" t="inlineStr">
        <x:is>
          <x:t xml:space="preserve">#cobblemon:is_frozen_ocean; #cobblemon:is_snowy_forest; #cobblemon:nether/is_frozen; minecraft:frozen_peaks; minecraft:snowy_slopes</x:t>
        </x:is>
      </x:c>
      <x:c r="Q717" s="5" t="inlineStr">
        <x:is>
          <x:t xml:space="preserve">common; rare; uncommon</x:t>
        </x:is>
      </x:c>
      <x:c r="R717" s="5" t="inlineStr">
        <x:is>
          <x:t xml:space="preserve"/>
        </x:is>
      </x:c>
      <x:c r="S717" s="5" t="inlineStr">
        <x:is>
          <x:t xml:space="preserve"/>
        </x:is>
      </x:c>
      <x:c r="T717" s="5" t="inlineStr">
        <x:is>
          <x:t xml:space="preserve">육상</x:t>
        </x:is>
      </x:c>
      <x:c r="U717" s="5" t="inlineStr">
        <x:is>
          <x:t xml:space="preserve">설원</x:t>
        </x:is>
      </x:c>
      <x:c r="V717" s="5" t="inlineStr">
        <x:is>
          <x:t xml:space="preserve">한랭</x:t>
        </x:is>
      </x:c>
      <x:c r="W717" s="5" t="inlineStr">
        <x:is>
          <x:t xml:space="preserve">보통</x:t>
        </x:is>
      </x:c>
      <x:c r="X717" s="5" t="inlineStr">
        <x:is>
          <x:t xml:space="preserve">눈</x:t>
        </x:is>
      </x:c>
      <x:c r="Y717" s="5" t="inlineStr">
        <x:is>
          <x:t xml:space="preserve">무관</x:t>
        </x:is>
      </x:c>
      <x:c r="Z717" s="5" t="inlineStr">
        <x:is>
          <x:t xml:space="preserve">보통</x:t>
        </x:is>
      </x:c>
      <x:c r="AA717" s="5" t="inlineStr">
        <x:is>
          <x:t xml:space="preserve">없음</x:t>
        </x:is>
      </x:c>
      <x:c r="AB717" s="5" t="inlineStr">
        <x:is>
          <x:t xml:space="preserve">설원</x:t>
        </x:is>
      </x:c>
      <x:c r="AC717" s="5" t="inlineStr">
        <x:is>
          <x:t xml:space="preserve">gen6; kalosian_form</x:t>
        </x:is>
      </x:c>
      <x:c r="AD717" s="5" t="inlineStr">
        <x:is>
          <x:t xml:space="preserve">.tmp/cobblemon-1.7.3-source/common/src/main/resources/data/cobblemon/species/generation6/avalugg.json</x:t>
        </x:is>
      </x:c>
    </x:row>
    <x:row r="718" ht="22" customHeight="1">
      <x:c r="A718" s="5" t="n">
        <x:v>714</x:v>
      </x:c>
      <x:c r="B718" s="5" t="inlineStr">
        <x:is>
          <x:t xml:space="preserve">음뱃</x:t>
        </x:is>
      </x:c>
      <x:c r="C718" s="5" t="inlineStr">
        <x:is>
          <x:t xml:space="preserve">noibat</x:t>
        </x:is>
      </x:c>
      <x:c r="D718" s="5" t="inlineStr">
        <x:is>
          <x:t xml:space="preserve">Noibat</x:t>
        </x:is>
      </x:c>
      <x:c r="E718" s="5" t="n">
        <x:v>6</x:v>
      </x:c>
      <x:c r="F718" s="5" t="inlineStr">
        <x:is>
          <x:t xml:space="preserve">비행</x:t>
        </x:is>
      </x:c>
      <x:c r="G718" s="5" t="inlineStr">
        <x:is>
          <x:t xml:space="preserve">드래곤</x:t>
        </x:is>
      </x:c>
      <x:c r="H718" s="5" t="n">
        <x:v>0.5</x:v>
      </x:c>
      <x:c r="I718" s="5" t="n">
        <x:v>8</x:v>
      </x:c>
      <x:c r="J718" s="5" t="n">
        <x:v>245</x:v>
      </x:c>
      <x:c r="K718" s="5" t="n">
        <x:v>190</x:v>
      </x:c>
      <x:c r="L718" s="5" t="inlineStr">
        <x:is>
          <x:t xml:space="preserve">기본</x:t>
        </x:is>
      </x:c>
      <x:c r="M718" s="5" t="n">
        <x:v>48</x:v>
      </x:c>
      <x:c r="N718" s="5" t="inlineStr">
        <x:is>
          <x:t xml:space="preserve">레벨</x:t>
        </x:is>
      </x:c>
      <x:c r="O718" s="5" t="inlineStr">
        <x:is>
          <x:t xml:space="preserve">예</x:t>
        </x:is>
      </x:c>
      <x:c r="P718" s="5" t="inlineStr">
        <x:is>
          <x:t xml:space="preserve">#aether:is_aether; #cobblemon:is_deep_dark; #cobblemon:is_overworld</x:t>
        </x:is>
      </x:c>
      <x:c r="Q718" s="5" t="inlineStr">
        <x:is>
          <x:t xml:space="preserve">rare; uncommon</x:t>
        </x:is>
      </x:c>
      <x:c r="R718" s="5" t="inlineStr">
        <x:is>
          <x:t xml:space="preserve"/>
        </x:is>
      </x:c>
      <x:c r="S718" s="5" t="inlineStr">
        <x:is>
          <x:t xml:space="preserve"/>
        </x:is>
      </x:c>
      <x:c r="T718" s="5" t="inlineStr">
        <x:is>
          <x:t xml:space="preserve">비행</x:t>
        </x:is>
      </x:c>
      <x:c r="U718" s="5" t="inlineStr">
        <x:is>
          <x:t xml:space="preserve">동굴</x:t>
        </x:is>
      </x:c>
      <x:c r="V718" s="5" t="inlineStr">
        <x:is>
          <x:t xml:space="preserve">온대</x:t>
        </x:is>
      </x:c>
      <x:c r="W718" s="5" t="inlineStr">
        <x:is>
          <x:t xml:space="preserve">보통</x:t>
        </x:is>
      </x:c>
      <x:c r="X718" s="5" t="inlineStr">
        <x:is>
          <x:t xml:space="preserve">무관</x:t>
        </x:is>
      </x:c>
      <x:c r="Y718" s="5" t="inlineStr">
        <x:is>
          <x:t xml:space="preserve">무관</x:t>
        </x:is>
      </x:c>
      <x:c r="Z718" s="5" t="inlineStr">
        <x:is>
          <x:t xml:space="preserve">보통</x:t>
        </x:is>
      </x:c>
      <x:c r="AA718" s="5" t="inlineStr">
        <x:is>
          <x:t xml:space="preserve">동굴</x:t>
        </x:is>
      </x:c>
      <x:c r="AB718" s="5" t="inlineStr">
        <x:is>
          <x:t xml:space="preserve">동굴</x:t>
        </x:is>
      </x:c>
      <x:c r="AC718" s="5" t="inlineStr">
        <x:is>
          <x:t xml:space="preserve">gen6</x:t>
        </x:is>
      </x:c>
      <x:c r="AD718" s="5" t="inlineStr">
        <x:is>
          <x:t xml:space="preserve">.tmp/cobblemon-1.7.3-source/common/src/main/resources/data/cobblemon/species/generation6/noibat.json</x:t>
        </x:is>
      </x:c>
    </x:row>
    <x:row r="719" ht="22" customHeight="1">
      <x:c r="A719" s="5" t="n">
        <x:v>715</x:v>
      </x:c>
      <x:c r="B719" s="5" t="inlineStr">
        <x:is>
          <x:t xml:space="preserve">음번</x:t>
        </x:is>
      </x:c>
      <x:c r="C719" s="5" t="inlineStr">
        <x:is>
          <x:t xml:space="preserve">noivern</x:t>
        </x:is>
      </x:c>
      <x:c r="D719" s="5" t="inlineStr">
        <x:is>
          <x:t xml:space="preserve">Noivern</x:t>
        </x:is>
      </x:c>
      <x:c r="E719" s="5" t="n">
        <x:v>6</x:v>
      </x:c>
      <x:c r="F719" s="5" t="inlineStr">
        <x:is>
          <x:t xml:space="preserve">비행</x:t>
        </x:is>
      </x:c>
      <x:c r="G719" s="5" t="inlineStr">
        <x:is>
          <x:t xml:space="preserve">드래곤</x:t>
        </x:is>
      </x:c>
      <x:c r="H719" s="5" t="n">
        <x:v>1.5</x:v>
      </x:c>
      <x:c r="I719" s="5" t="n">
        <x:v>85</x:v>
      </x:c>
      <x:c r="J719" s="5" t="n">
        <x:v>535</x:v>
      </x:c>
      <x:c r="K719" s="5" t="n">
        <x:v>45</x:v>
      </x:c>
      <x:c r="L719" s="5" t="inlineStr">
        <x:is>
          <x:t xml:space="preserve">최종</x:t>
        </x:is>
      </x:c>
      <x:c r="M719" s="5" t="n">
        <x:v>48</x:v>
      </x:c>
      <x:c r="N719" s="5" t="inlineStr">
        <x:is>
          <x:t xml:space="preserve">레벨</x:t>
        </x:is>
      </x:c>
      <x:c r="O719" s="5" t="inlineStr">
        <x:is>
          <x:t xml:space="preserve">예</x:t>
        </x:is>
      </x:c>
      <x:c r="P719" s="5" t="inlineStr">
        <x:is>
          <x:t xml:space="preserve">#aether:is_aether; #cobblemon:is_deep_dark; #cobblemon:is_overworld</x:t>
        </x:is>
      </x:c>
      <x:c r="Q719" s="5" t="inlineStr">
        <x:is>
          <x:t xml:space="preserve">rare; uncommon</x:t>
        </x:is>
      </x:c>
      <x:c r="R719" s="5" t="inlineStr">
        <x:is>
          <x:t xml:space="preserve"/>
        </x:is>
      </x:c>
      <x:c r="S719" s="5" t="inlineStr">
        <x:is>
          <x:t xml:space="preserve"/>
        </x:is>
      </x:c>
      <x:c r="T719" s="5" t="inlineStr">
        <x:is>
          <x:t xml:space="preserve">비행</x:t>
        </x:is>
      </x:c>
      <x:c r="U719" s="5" t="inlineStr">
        <x:is>
          <x:t xml:space="preserve">동굴</x:t>
        </x:is>
      </x:c>
      <x:c r="V719" s="5" t="inlineStr">
        <x:is>
          <x:t xml:space="preserve">온대</x:t>
        </x:is>
      </x:c>
      <x:c r="W719" s="5" t="inlineStr">
        <x:is>
          <x:t xml:space="preserve">보통</x:t>
        </x:is>
      </x:c>
      <x:c r="X719" s="5" t="inlineStr">
        <x:is>
          <x:t xml:space="preserve">무관</x:t>
        </x:is>
      </x:c>
      <x:c r="Y719" s="5" t="inlineStr">
        <x:is>
          <x:t xml:space="preserve">무관</x:t>
        </x:is>
      </x:c>
      <x:c r="Z719" s="5" t="inlineStr">
        <x:is>
          <x:t xml:space="preserve">보통</x:t>
        </x:is>
      </x:c>
      <x:c r="AA719" s="5" t="inlineStr">
        <x:is>
          <x:t xml:space="preserve">동굴</x:t>
        </x:is>
      </x:c>
      <x:c r="AB719" s="5" t="inlineStr">
        <x:is>
          <x:t xml:space="preserve">동굴</x:t>
        </x:is>
      </x:c>
      <x:c r="AC719" s="5" t="inlineStr">
        <x:is>
          <x:t xml:space="preserve">gen6</x:t>
        </x:is>
      </x:c>
      <x:c r="AD719" s="5" t="inlineStr">
        <x:is>
          <x:t xml:space="preserve">.tmp/cobblemon-1.7.3-source/common/src/main/resources/data/cobblemon/species/generation6/noivern.json</x:t>
        </x:is>
      </x:c>
    </x:row>
    <x:row r="720" ht="22" customHeight="1">
      <x:c r="A720" s="5" t="n">
        <x:v>716</x:v>
      </x:c>
      <x:c r="B720" s="5" t="inlineStr">
        <x:is>
          <x:t xml:space="preserve">제르네아스</x:t>
        </x:is>
      </x:c>
      <x:c r="C720" s="5" t="inlineStr">
        <x:is>
          <x:t xml:space="preserve">xerneas</x:t>
        </x:is>
      </x:c>
      <x:c r="D720" s="5" t="inlineStr">
        <x:is>
          <x:t xml:space="preserve">Xerneas</x:t>
        </x:is>
      </x:c>
      <x:c r="E720" s="5" t="n">
        <x:v>6</x:v>
      </x:c>
      <x:c r="F720" s="5" t="inlineStr">
        <x:is>
          <x:t xml:space="preserve">페어리</x:t>
        </x:is>
      </x:c>
      <x:c r="G720" s="5" t="inlineStr">
        <x:is>
          <x:t xml:space="preserve"/>
        </x:is>
      </x:c>
      <x:c r="H720" s="5" t="n">
        <x:v>3</x:v>
      </x:c>
      <x:c r="I720" s="5" t="n">
        <x:v>215</x:v>
      </x:c>
      <x:c r="J720" s="5" t="n">
        <x:v>680</x:v>
      </x:c>
      <x:c r="K720" s="5" t="n">
        <x:v>45</x:v>
      </x:c>
      <x:c r="L720" s="5" t="inlineStr">
        <x:is>
          <x:t xml:space="preserve">무진화</x:t>
        </x:is>
      </x:c>
      <x:c r="M720" s="5" t="n"/>
      <x:c r="N720" s="5" t="inlineStr">
        <x:is>
          <x:t xml:space="preserve">없음</x:t>
        </x:is>
      </x:c>
      <x:c r="O720" s="5" t="inlineStr">
        <x:is>
          <x:t xml:space="preserve">예</x:t>
        </x:is>
      </x:c>
      <x:c r="P720" s="5" t="inlineStr">
        <x:is>
          <x:t xml:space="preserve">#cobblemon:is_floral</x:t>
        </x:is>
      </x:c>
      <x:c r="Q720" s="5" t="inlineStr">
        <x:is>
          <x:t xml:space="preserve">ultra-rare</x:t>
        </x:is>
      </x:c>
      <x:c r="R720" s="5" t="inlineStr">
        <x:is>
          <x:t xml:space="preserve">day</x:t>
        </x:is>
      </x:c>
      <x:c r="S720" s="5" t="inlineStr">
        <x:is>
          <x:t xml:space="preserve"/>
        </x:is>
      </x:c>
      <x:c r="T720" s="5" t="inlineStr">
        <x:is>
          <x:t xml:space="preserve">육상</x:t>
        </x:is>
      </x:c>
      <x:c r="U720" s="5" t="inlineStr">
        <x:is>
          <x:t xml:space="preserve">개활지</x:t>
        </x:is>
      </x:c>
      <x:c r="V720" s="5" t="inlineStr">
        <x:is>
          <x:t xml:space="preserve">온대</x:t>
        </x:is>
      </x:c>
      <x:c r="W720" s="5" t="inlineStr">
        <x:is>
          <x:t xml:space="preserve">보통</x:t>
        </x:is>
      </x:c>
      <x:c r="X720" s="5" t="inlineStr">
        <x:is>
          <x:t xml:space="preserve">무관</x:t>
        </x:is>
      </x:c>
      <x:c r="Y720" s="5" t="inlineStr">
        <x:is>
          <x:t xml:space="preserve">낮</x:t>
        </x:is>
      </x:c>
      <x:c r="Z720" s="5" t="inlineStr">
        <x:is>
          <x:t xml:space="preserve">전설</x:t>
        </x:is>
      </x:c>
      <x:c r="AA720" s="5" t="inlineStr">
        <x:is>
          <x:t xml:space="preserve">전설</x:t>
        </x:is>
      </x:c>
      <x:c r="AB720" s="5" t="inlineStr">
        <x:is>
          <x:t xml:space="preserve"/>
        </x:is>
      </x:c>
      <x:c r="AC720" s="5" t="inlineStr">
        <x:is>
          <x:t xml:space="preserve">gen6; legendary; restricted</x:t>
        </x:is>
      </x:c>
      <x:c r="AD720" s="5" t="inlineStr">
        <x:is>
          <x:t xml:space="preserve">.tmp/cobblemon-1.7.3-source/common/src/main/resources/data/cobblemon/species/generation6/xerneas.json</x:t>
        </x:is>
      </x:c>
    </x:row>
    <x:row r="721" ht="22" customHeight="1">
      <x:c r="A721" s="5" t="n">
        <x:v>717</x:v>
      </x:c>
      <x:c r="B721" s="5" t="inlineStr">
        <x:is>
          <x:t xml:space="preserve">이벨타르</x:t>
        </x:is>
      </x:c>
      <x:c r="C721" s="5" t="inlineStr">
        <x:is>
          <x:t xml:space="preserve">yveltal</x:t>
        </x:is>
      </x:c>
      <x:c r="D721" s="5" t="inlineStr">
        <x:is>
          <x:t xml:space="preserve">Yveltal</x:t>
        </x:is>
      </x:c>
      <x:c r="E721" s="5" t="n">
        <x:v>6</x:v>
      </x:c>
      <x:c r="F721" s="5" t="inlineStr">
        <x:is>
          <x:t xml:space="preserve">악</x:t>
        </x:is>
      </x:c>
      <x:c r="G721" s="5" t="inlineStr">
        <x:is>
          <x:t xml:space="preserve">비행</x:t>
        </x:is>
      </x:c>
      <x:c r="H721" s="5" t="n">
        <x:v>5.8</x:v>
      </x:c>
      <x:c r="I721" s="5" t="n">
        <x:v>203</x:v>
      </x:c>
      <x:c r="J721" s="5" t="n">
        <x:v>680</x:v>
      </x:c>
      <x:c r="K721" s="5" t="n">
        <x:v>45</x:v>
      </x:c>
      <x:c r="L721" s="5" t="inlineStr">
        <x:is>
          <x:t xml:space="preserve">무진화</x:t>
        </x:is>
      </x:c>
      <x:c r="M721" s="5" t="n"/>
      <x:c r="N721" s="5" t="inlineStr">
        <x:is>
          <x:t xml:space="preserve">없음</x:t>
        </x:is>
      </x:c>
      <x:c r="O721" s="5" t="inlineStr">
        <x:is>
          <x:t xml:space="preserve">아니오</x:t>
        </x:is>
      </x:c>
      <x:c r="P721" s="5" t="inlineStr">
        <x:is>
          <x:t xml:space="preserve">#cobblemon:is_spooky</x:t>
        </x:is>
      </x:c>
      <x:c r="Q721" s="5" t="inlineStr">
        <x:is>
          <x:t xml:space="preserve">ultra-rare</x:t>
        </x:is>
      </x:c>
      <x:c r="R721" s="5" t="inlineStr">
        <x:is>
          <x:t xml:space="preserve">night</x:t>
        </x:is>
      </x:c>
      <x:c r="S721" s="5" t="inlineStr">
        <x:is>
          <x:t xml:space="preserve"/>
        </x:is>
      </x:c>
      <x:c r="T721" s="5" t="inlineStr">
        <x:is>
          <x:t xml:space="preserve">비행</x:t>
        </x:is>
      </x:c>
      <x:c r="U721" s="5" t="inlineStr">
        <x:is>
          <x:t xml:space="preserve">특수</x:t>
        </x:is>
      </x:c>
      <x:c r="V721" s="5" t="inlineStr">
        <x:is>
          <x:t xml:space="preserve">온대</x:t>
        </x:is>
      </x:c>
      <x:c r="W721" s="5" t="inlineStr">
        <x:is>
          <x:t xml:space="preserve">보통</x:t>
        </x:is>
      </x:c>
      <x:c r="X721" s="5" t="inlineStr">
        <x:is>
          <x:t xml:space="preserve">무관</x:t>
        </x:is>
      </x:c>
      <x:c r="Y721" s="5" t="inlineStr">
        <x:is>
          <x:t xml:space="preserve">밤</x:t>
        </x:is>
      </x:c>
      <x:c r="Z721" s="5" t="inlineStr">
        <x:is>
          <x:t xml:space="preserve">전설</x:t>
        </x:is>
      </x:c>
      <x:c r="AA721" s="5" t="inlineStr">
        <x:is>
          <x:t xml:space="preserve">전설</x:t>
        </x:is>
      </x:c>
      <x:c r="AB721" s="5" t="inlineStr">
        <x:is>
          <x:t xml:space="preserve">특수</x:t>
        </x:is>
      </x:c>
      <x:c r="AC721" s="5" t="inlineStr">
        <x:is>
          <x:t xml:space="preserve">gen6; legendary; restricted</x:t>
        </x:is>
      </x:c>
      <x:c r="AD721" s="5" t="inlineStr">
        <x:is>
          <x:t xml:space="preserve">.tmp/cobblemon-1.7.3-source/common/src/main/resources/data/cobblemon/species/generation6/yveltal.json</x:t>
        </x:is>
      </x:c>
    </x:row>
    <x:row r="722" ht="22" customHeight="1">
      <x:c r="A722" s="5" t="n">
        <x:v>718</x:v>
      </x:c>
      <x:c r="B722" s="5" t="inlineStr">
        <x:is>
          <x:t xml:space="preserve">지가르데</x:t>
        </x:is>
      </x:c>
      <x:c r="C722" s="5" t="inlineStr">
        <x:is>
          <x:t xml:space="preserve">zygarde</x:t>
        </x:is>
      </x:c>
      <x:c r="D722" s="5" t="inlineStr">
        <x:is>
          <x:t xml:space="preserve">Zygarde</x:t>
        </x:is>
      </x:c>
      <x:c r="E722" s="5" t="n">
        <x:v>6</x:v>
      </x:c>
      <x:c r="F722" s="5" t="inlineStr">
        <x:is>
          <x:t xml:space="preserve">드래곤</x:t>
        </x:is>
      </x:c>
      <x:c r="G722" s="5" t="inlineStr">
        <x:is>
          <x:t xml:space="preserve">땅</x:t>
        </x:is>
      </x:c>
      <x:c r="H722" s="5" t="n">
        <x:v>5</x:v>
      </x:c>
      <x:c r="I722" s="5" t="n">
        <x:v>305</x:v>
      </x:c>
      <x:c r="J722" s="5" t="n">
        <x:v>600</x:v>
      </x:c>
      <x:c r="K722" s="5" t="n">
        <x:v>3</x:v>
      </x:c>
      <x:c r="L722" s="5" t="inlineStr">
        <x:is>
          <x:t xml:space="preserve">무진화</x:t>
        </x:is>
      </x:c>
      <x:c r="M722" s="5" t="n"/>
      <x:c r="N722" s="5" t="inlineStr">
        <x:is>
          <x:t xml:space="preserve">없음</x:t>
        </x:is>
      </x:c>
      <x:c r="O722" s="5" t="inlineStr">
        <x:is>
          <x:t xml:space="preserve">아니오</x:t>
        </x:is>
      </x:c>
      <x:c r="P722" s="5" t="inlineStr">
        <x:is>
          <x:t xml:space="preserve">minecraft:dripstone_caves; minecraft:lush_caves</x:t>
        </x:is>
      </x:c>
      <x:c r="Q722" s="5" t="inlineStr">
        <x:is>
          <x:t xml:space="preserve">ultra-rare</x:t>
        </x:is>
      </x:c>
      <x:c r="R722" s="5" t="inlineStr">
        <x:is>
          <x:t xml:space="preserve"/>
        </x:is>
      </x:c>
      <x:c r="S722" s="5" t="inlineStr">
        <x:is>
          <x:t xml:space="preserve"/>
        </x:is>
      </x:c>
      <x:c r="T722" s="5" t="inlineStr">
        <x:is>
          <x:t xml:space="preserve">지하</x:t>
        </x:is>
      </x:c>
      <x:c r="U722" s="5" t="inlineStr">
        <x:is>
          <x:t xml:space="preserve">동굴</x:t>
        </x:is>
      </x:c>
      <x:c r="V722" s="5" t="inlineStr">
        <x:is>
          <x:t xml:space="preserve">온대</x:t>
        </x:is>
      </x:c>
      <x:c r="W722" s="5" t="inlineStr">
        <x:is>
          <x:t xml:space="preserve">보통</x:t>
        </x:is>
      </x:c>
      <x:c r="X722" s="5" t="inlineStr">
        <x:is>
          <x:t xml:space="preserve">무관</x:t>
        </x:is>
      </x:c>
      <x:c r="Y722" s="5" t="inlineStr">
        <x:is>
          <x:t xml:space="preserve">무관</x:t>
        </x:is>
      </x:c>
      <x:c r="Z722" s="5" t="inlineStr">
        <x:is>
          <x:t xml:space="preserve">전설</x:t>
        </x:is>
      </x:c>
      <x:c r="AA722" s="5" t="inlineStr">
        <x:is>
          <x:t xml:space="preserve">전설</x:t>
        </x:is>
      </x:c>
      <x:c r="AB722" s="5" t="inlineStr">
        <x:is>
          <x:t xml:space="preserve">동굴</x:t>
        </x:is>
      </x:c>
      <x:c r="AC722" s="5" t="inlineStr">
        <x:is>
          <x:t xml:space="preserve">gen6; legendary; restricted</x:t>
        </x:is>
      </x:c>
      <x:c r="AD722" s="5" t="inlineStr">
        <x:is>
          <x:t xml:space="preserve">.tmp/cobblemon-1.7.3-source/common/src/main/resources/data/cobblemon/species/generation6/zygarde.json</x:t>
        </x:is>
      </x:c>
    </x:row>
    <x:row r="723" ht="22" customHeight="1">
      <x:c r="A723" s="5" t="n">
        <x:v>719</x:v>
      </x:c>
      <x:c r="B723" s="5" t="inlineStr">
        <x:is>
          <x:t xml:space="preserve">디안시</x:t>
        </x:is>
      </x:c>
      <x:c r="C723" s="5" t="inlineStr">
        <x:is>
          <x:t xml:space="preserve">diancie</x:t>
        </x:is>
      </x:c>
      <x:c r="D723" s="5" t="inlineStr">
        <x:is>
          <x:t xml:space="preserve">Diancie</x:t>
        </x:is>
      </x:c>
      <x:c r="E723" s="5" t="n">
        <x:v>6</x:v>
      </x:c>
      <x:c r="F723" s="5" t="inlineStr">
        <x:is>
          <x:t xml:space="preserve">바위</x:t>
        </x:is>
      </x:c>
      <x:c r="G723" s="5" t="inlineStr">
        <x:is>
          <x:t xml:space="preserve">페어리</x:t>
        </x:is>
      </x:c>
      <x:c r="H723" s="5" t="n">
        <x:v>0.7</x:v>
      </x:c>
      <x:c r="I723" s="5" t="n">
        <x:v>8.800000000000001</x:v>
      </x:c>
      <x:c r="J723" s="5" t="n">
        <x:v>600</x:v>
      </x:c>
      <x:c r="K723" s="5" t="n">
        <x:v>3</x:v>
      </x:c>
      <x:c r="L723" s="5" t="inlineStr">
        <x:is>
          <x:t xml:space="preserve">무진화</x:t>
        </x:is>
      </x:c>
      <x:c r="M723" s="5" t="n"/>
      <x:c r="N723" s="5" t="inlineStr">
        <x:is>
          <x:t xml:space="preserve">없음</x:t>
        </x:is>
      </x:c>
      <x:c r="O723" s="5" t="inlineStr">
        <x:is>
          <x:t xml:space="preserve">아니오</x:t>
        </x:is>
      </x:c>
      <x:c r="P723" s="5" t="inlineStr">
        <x:is>
          <x:t xml:space="preserve">minecraft:lush_caves</x:t>
        </x:is>
      </x:c>
      <x:c r="Q723" s="5" t="inlineStr">
        <x:is>
          <x:t xml:space="preserve">ultra-rare</x:t>
        </x:is>
      </x:c>
      <x:c r="R723" s="5" t="inlineStr">
        <x:is>
          <x:t xml:space="preserve"/>
        </x:is>
      </x:c>
      <x:c r="S723" s="5" t="inlineStr">
        <x:is>
          <x:t xml:space="preserve"/>
        </x:is>
      </x:c>
      <x:c r="T723" s="5" t="inlineStr">
        <x:is>
          <x:t xml:space="preserve">지하</x:t>
        </x:is>
      </x:c>
      <x:c r="U723" s="5" t="inlineStr">
        <x:is>
          <x:t xml:space="preserve">동굴</x:t>
        </x:is>
      </x:c>
      <x:c r="V723" s="5" t="inlineStr">
        <x:is>
          <x:t xml:space="preserve">온대</x:t>
        </x:is>
      </x:c>
      <x:c r="W723" s="5" t="inlineStr">
        <x:is>
          <x:t xml:space="preserve">보통</x:t>
        </x:is>
      </x:c>
      <x:c r="X723" s="5" t="inlineStr">
        <x:is>
          <x:t xml:space="preserve">무관</x:t>
        </x:is>
      </x:c>
      <x:c r="Y723" s="5" t="inlineStr">
        <x:is>
          <x:t xml:space="preserve">무관</x:t>
        </x:is>
      </x:c>
      <x:c r="Z723" s="5" t="inlineStr">
        <x:is>
          <x:t xml:space="preserve">전설</x:t>
        </x:is>
      </x:c>
      <x:c r="AA723" s="5" t="inlineStr">
        <x:is>
          <x:t xml:space="preserve">전설</x:t>
        </x:is>
      </x:c>
      <x:c r="AB723" s="5" t="inlineStr">
        <x:is>
          <x:t xml:space="preserve">동굴</x:t>
        </x:is>
      </x:c>
      <x:c r="AC723" s="5" t="inlineStr">
        <x:is>
          <x:t xml:space="preserve">gen6; mythical</x:t>
        </x:is>
      </x:c>
      <x:c r="AD723" s="5" t="inlineStr">
        <x:is>
          <x:t xml:space="preserve">.tmp/cobblemon-1.7.3-source/common/src/main/resources/data/cobblemon/species/generation6/diancie.json</x:t>
        </x:is>
      </x:c>
    </x:row>
    <x:row r="724" ht="22" customHeight="1">
      <x:c r="A724" s="5" t="n">
        <x:v>720</x:v>
      </x:c>
      <x:c r="B724" s="5" t="inlineStr">
        <x:is>
          <x:t xml:space="preserve">후파</x:t>
        </x:is>
      </x:c>
      <x:c r="C724" s="5" t="inlineStr">
        <x:is>
          <x:t xml:space="preserve">hoopa</x:t>
        </x:is>
      </x:c>
      <x:c r="D724" s="5" t="inlineStr">
        <x:is>
          <x:t xml:space="preserve">Hoopa</x:t>
        </x:is>
      </x:c>
      <x:c r="E724" s="5" t="n">
        <x:v>6</x:v>
      </x:c>
      <x:c r="F724" s="5" t="inlineStr">
        <x:is>
          <x:t xml:space="preserve">에스퍼</x:t>
        </x:is>
      </x:c>
      <x:c r="G724" s="5" t="inlineStr">
        <x:is>
          <x:t xml:space="preserve">고스트</x:t>
        </x:is>
      </x:c>
      <x:c r="H724" s="5" t="n">
        <x:v>0.5</x:v>
      </x:c>
      <x:c r="I724" s="5" t="n">
        <x:v>9</x:v>
      </x:c>
      <x:c r="J724" s="5" t="n">
        <x:v>600</x:v>
      </x:c>
      <x:c r="K724" s="5" t="n">
        <x:v>3</x:v>
      </x:c>
      <x:c r="L724" s="5" t="inlineStr">
        <x:is>
          <x:t xml:space="preserve">무진화</x:t>
        </x:is>
      </x:c>
      <x:c r="M724" s="5" t="n"/>
      <x:c r="N724" s="5" t="inlineStr">
        <x:is>
          <x:t xml:space="preserve">없음</x:t>
        </x:is>
      </x:c>
      <x:c r="O724" s="5" t="inlineStr">
        <x:is>
          <x:t xml:space="preserve">아니오</x:t>
        </x:is>
      </x:c>
      <x:c r="P724" s="5" t="inlineStr">
        <x:is>
          <x:t xml:space="preserve">#cobblemon:is_end</x:t>
        </x:is>
      </x:c>
      <x:c r="Q724" s="5" t="inlineStr">
        <x:is>
          <x:t xml:space="preserve">ultra-rare</x:t>
        </x:is>
      </x:c>
      <x:c r="R724" s="5" t="inlineStr">
        <x:is>
          <x:t xml:space="preserve"/>
        </x:is>
      </x:c>
      <x:c r="S724" s="5" t="inlineStr">
        <x:is>
          <x:t xml:space="preserve"/>
        </x:is>
      </x:c>
      <x:c r="T724" s="5" t="inlineStr">
        <x:is>
          <x:t xml:space="preserve">영체</x:t>
        </x:is>
      </x:c>
      <x:c r="U724" s="5" t="inlineStr">
        <x:is>
          <x:t xml:space="preserve">특수</x:t>
        </x:is>
      </x:c>
      <x:c r="V724" s="5" t="inlineStr">
        <x:is>
          <x:t xml:space="preserve">온대</x:t>
        </x:is>
      </x:c>
      <x:c r="W724" s="5" t="inlineStr">
        <x:is>
          <x:t xml:space="preserve">보통</x:t>
        </x:is>
      </x:c>
      <x:c r="X724" s="5" t="inlineStr">
        <x:is>
          <x:t xml:space="preserve">안개</x:t>
        </x:is>
      </x:c>
      <x:c r="Y724" s="5" t="inlineStr">
        <x:is>
          <x:t xml:space="preserve">밤</x:t>
        </x:is>
      </x:c>
      <x:c r="Z724" s="5" t="inlineStr">
        <x:is>
          <x:t xml:space="preserve">전설</x:t>
        </x:is>
      </x:c>
      <x:c r="AA724" s="5" t="inlineStr">
        <x:is>
          <x:t xml:space="preserve">전설</x:t>
        </x:is>
      </x:c>
      <x:c r="AB724" s="5" t="inlineStr">
        <x:is>
          <x:t xml:space="preserve"/>
        </x:is>
      </x:c>
      <x:c r="AC724" s="5" t="inlineStr">
        <x:is>
          <x:t xml:space="preserve">gen6; mythical</x:t>
        </x:is>
      </x:c>
      <x:c r="AD724" s="5" t="inlineStr">
        <x:is>
          <x:t xml:space="preserve">.tmp/cobblemon-1.7.3-source/common/src/main/resources/data/cobblemon/species/generation6/hoopa.json</x:t>
        </x:is>
      </x:c>
    </x:row>
    <x:row r="725" ht="22" customHeight="1">
      <x:c r="A725" s="5" t="n">
        <x:v>721</x:v>
      </x:c>
      <x:c r="B725" s="5" t="inlineStr">
        <x:is>
          <x:t xml:space="preserve">볼케니온</x:t>
        </x:is>
      </x:c>
      <x:c r="C725" s="5" t="inlineStr">
        <x:is>
          <x:t xml:space="preserve">volcanion</x:t>
        </x:is>
      </x:c>
      <x:c r="D725" s="5" t="inlineStr">
        <x:is>
          <x:t xml:space="preserve">Volcanion</x:t>
        </x:is>
      </x:c>
      <x:c r="E725" s="5" t="n">
        <x:v>6</x:v>
      </x:c>
      <x:c r="F725" s="5" t="inlineStr">
        <x:is>
          <x:t xml:space="preserve">불꽃</x:t>
        </x:is>
      </x:c>
      <x:c r="G725" s="5" t="inlineStr">
        <x:is>
          <x:t xml:space="preserve">물</x:t>
        </x:is>
      </x:c>
      <x:c r="H725" s="5" t="n">
        <x:v>1.7</x:v>
      </x:c>
      <x:c r="I725" s="5" t="n">
        <x:v>195</x:v>
      </x:c>
      <x:c r="J725" s="5" t="n">
        <x:v>600</x:v>
      </x:c>
      <x:c r="K725" s="5" t="n">
        <x:v>3</x:v>
      </x:c>
      <x:c r="L725" s="5" t="inlineStr">
        <x:is>
          <x:t xml:space="preserve">무진화</x:t>
        </x:is>
      </x:c>
      <x:c r="M725" s="5" t="n"/>
      <x:c r="N725" s="5" t="inlineStr">
        <x:is>
          <x:t xml:space="preserve">없음</x:t>
        </x:is>
      </x:c>
      <x:c r="O725" s="5" t="inlineStr">
        <x:is>
          <x:t xml:space="preserve">아니오</x:t>
        </x:is>
      </x:c>
      <x:c r="P725" s="5" t="inlineStr">
        <x:is>
          <x:t xml:space="preserve">#cobblemon:is_mountain</x:t>
        </x:is>
      </x:c>
      <x:c r="Q725" s="5" t="inlineStr">
        <x:is>
          <x:t xml:space="preserve">ultra-rare</x:t>
        </x:is>
      </x:c>
      <x:c r="R725" s="5" t="inlineStr">
        <x:is>
          <x:t xml:space="preserve"/>
        </x:is>
      </x:c>
      <x:c r="S725" s="5" t="inlineStr">
        <x:is>
          <x:t xml:space="preserve"/>
        </x:is>
      </x:c>
      <x:c r="T725" s="5" t="inlineStr">
        <x:is>
          <x:t xml:space="preserve">수륙</x:t>
        </x:is>
      </x:c>
      <x:c r="U725" s="5" t="inlineStr">
        <x:is>
          <x:t xml:space="preserve">암석</x:t>
        </x:is>
      </x:c>
      <x:c r="V725" s="5" t="inlineStr">
        <x:is>
          <x:t xml:space="preserve">고온</x:t>
        </x:is>
      </x:c>
      <x:c r="W725" s="5" t="inlineStr">
        <x:is>
          <x:t xml:space="preserve">보통</x:t>
        </x:is>
      </x:c>
      <x:c r="X725" s="5" t="inlineStr">
        <x:is>
          <x:t xml:space="preserve">무관</x:t>
        </x:is>
      </x:c>
      <x:c r="Y725" s="5" t="inlineStr">
        <x:is>
          <x:t xml:space="preserve">무관</x:t>
        </x:is>
      </x:c>
      <x:c r="Z725" s="5" t="inlineStr">
        <x:is>
          <x:t xml:space="preserve">전설</x:t>
        </x:is>
      </x:c>
      <x:c r="AA725" s="5" t="inlineStr">
        <x:is>
          <x:t xml:space="preserve">전설</x:t>
        </x:is>
      </x:c>
      <x:c r="AB725" s="5" t="inlineStr">
        <x:is>
          <x:t xml:space="preserve">산악</x:t>
        </x:is>
      </x:c>
      <x:c r="AC725" s="5" t="inlineStr">
        <x:is>
          <x:t xml:space="preserve">gen6; mythical</x:t>
        </x:is>
      </x:c>
      <x:c r="AD725" s="5" t="inlineStr">
        <x:is>
          <x:t xml:space="preserve">.tmp/cobblemon-1.7.3-source/common/src/main/resources/data/cobblemon/species/generation6/volcanion.json</x:t>
        </x:is>
      </x:c>
    </x:row>
    <x:row r="726" ht="22" customHeight="1">
      <x:c r="A726" s="5" t="n">
        <x:v>722</x:v>
      </x:c>
      <x:c r="B726" s="5" t="inlineStr">
        <x:is>
          <x:t xml:space="preserve">나몰빼미</x:t>
        </x:is>
      </x:c>
      <x:c r="C726" s="5" t="inlineStr">
        <x:is>
          <x:t xml:space="preserve">rowlet</x:t>
        </x:is>
      </x:c>
      <x:c r="D726" s="5" t="inlineStr">
        <x:is>
          <x:t xml:space="preserve">Rowlet</x:t>
        </x:is>
      </x:c>
      <x:c r="E726" s="5" t="n">
        <x:v>7</x:v>
      </x:c>
      <x:c r="F726" s="5" t="inlineStr">
        <x:is>
          <x:t xml:space="preserve">풀</x:t>
        </x:is>
      </x:c>
      <x:c r="G726" s="5" t="inlineStr">
        <x:is>
          <x:t xml:space="preserve">비행</x:t>
        </x:is>
      </x:c>
      <x:c r="H726" s="5" t="n">
        <x:v>0.3</x:v>
      </x:c>
      <x:c r="I726" s="5" t="n">
        <x:v>1.5</x:v>
      </x:c>
      <x:c r="J726" s="5" t="n">
        <x:v>320</x:v>
      </x:c>
      <x:c r="K726" s="5" t="n">
        <x:v>45</x:v>
      </x:c>
      <x:c r="L726" s="5" t="inlineStr">
        <x:is>
          <x:t xml:space="preserve">기본</x:t>
        </x:is>
      </x:c>
      <x:c r="M726" s="5" t="n">
        <x:v>36</x:v>
      </x:c>
      <x:c r="N726" s="5" t="inlineStr">
        <x:is>
          <x:t xml:space="preserve">레벨·특수</x:t>
        </x:is>
      </x:c>
      <x:c r="O726" s="5" t="inlineStr">
        <x:is>
          <x:t xml:space="preserve">예</x:t>
        </x:is>
      </x:c>
      <x:c r="P726" s="5" t="inlineStr">
        <x:is>
          <x:t xml:space="preserve">#cobblemon:is_forest; #cobblemon:is_snowy_forest; #cobblemon:is_snowy_taiga; #cobblemon:is_taiga; aether:skyroot_forest; aether:skyroot_woodland</x:t>
        </x:is>
      </x:c>
      <x:c r="Q726" s="5" t="inlineStr">
        <x:is>
          <x:t xml:space="preserve">ultra-rare</x:t>
        </x:is>
      </x:c>
      <x:c r="R726" s="5" t="inlineStr">
        <x:is>
          <x:t xml:space="preserve"/>
        </x:is>
      </x:c>
      <x:c r="S726" s="5" t="inlineStr">
        <x:is>
          <x:t xml:space="preserve"/>
        </x:is>
      </x:c>
      <x:c r="T726" s="5" t="inlineStr">
        <x:is>
          <x:t xml:space="preserve">비행</x:t>
        </x:is>
      </x:c>
      <x:c r="U726" s="5" t="inlineStr">
        <x:is>
          <x:t xml:space="preserve">수목</x:t>
        </x:is>
      </x:c>
      <x:c r="V726" s="5" t="inlineStr">
        <x:is>
          <x:t xml:space="preserve">서늘</x:t>
        </x:is>
      </x:c>
      <x:c r="W726" s="5" t="inlineStr">
        <x:is>
          <x:t xml:space="preserve">보통</x:t>
        </x:is>
      </x:c>
      <x:c r="X726" s="5" t="inlineStr">
        <x:is>
          <x:t xml:space="preserve">무관</x:t>
        </x:is>
      </x:c>
      <x:c r="Y726" s="5" t="inlineStr">
        <x:is>
          <x:t xml:space="preserve">무관</x:t>
        </x:is>
      </x:c>
      <x:c r="Z726" s="5" t="inlineStr">
        <x:is>
          <x:t xml:space="preserve">희귀</x:t>
        </x:is>
      </x:c>
      <x:c r="AA726" s="5" t="inlineStr">
        <x:is>
          <x:t xml:space="preserve">없음</x:t>
        </x:is>
      </x:c>
      <x:c r="AB726" s="5" t="inlineStr">
        <x:is>
          <x:t xml:space="preserve">숲</x:t>
        </x:is>
      </x:c>
      <x:c r="AC726" s="5" t="inlineStr">
        <x:is>
          <x:t xml:space="preserve">alolan_form; gen7; starter</x:t>
        </x:is>
      </x:c>
      <x:c r="AD726" s="5" t="inlineStr">
        <x:is>
          <x:t xml:space="preserve">.tmp/cobblemon-1.7.3-source/common/src/main/resources/data/cobblemon/species/generation7/rowlet.json</x:t>
        </x:is>
      </x:c>
    </x:row>
    <x:row r="727" ht="22" customHeight="1">
      <x:c r="A727" s="5" t="n">
        <x:v>723</x:v>
      </x:c>
      <x:c r="B727" s="5" t="inlineStr">
        <x:is>
          <x:t xml:space="preserve">빼미스로우</x:t>
        </x:is>
      </x:c>
      <x:c r="C727" s="5" t="inlineStr">
        <x:is>
          <x:t xml:space="preserve">dartrix</x:t>
        </x:is>
      </x:c>
      <x:c r="D727" s="5" t="inlineStr">
        <x:is>
          <x:t xml:space="preserve">Dartrix</x:t>
        </x:is>
      </x:c>
      <x:c r="E727" s="5" t="n">
        <x:v>7</x:v>
      </x:c>
      <x:c r="F727" s="5" t="inlineStr">
        <x:is>
          <x:t xml:space="preserve">풀</x:t>
        </x:is>
      </x:c>
      <x:c r="G727" s="5" t="inlineStr">
        <x:is>
          <x:t xml:space="preserve">비행</x:t>
        </x:is>
      </x:c>
      <x:c r="H727" s="5" t="n">
        <x:v>0.7</x:v>
      </x:c>
      <x:c r="I727" s="5" t="n">
        <x:v>16</x:v>
      </x:c>
      <x:c r="J727" s="5" t="n">
        <x:v>420</x:v>
      </x:c>
      <x:c r="K727" s="5" t="n">
        <x:v>45</x:v>
      </x:c>
      <x:c r="L727" s="5" t="inlineStr">
        <x:is>
          <x:t xml:space="preserve">중간</x:t>
        </x:is>
      </x:c>
      <x:c r="M727" s="5" t="n">
        <x:v>36</x:v>
      </x:c>
      <x:c r="N727" s="5" t="inlineStr">
        <x:is>
          <x:t xml:space="preserve">레벨·특수</x:t>
        </x:is>
      </x:c>
      <x:c r="O727" s="5" t="inlineStr">
        <x:is>
          <x:t xml:space="preserve">예</x:t>
        </x:is>
      </x:c>
      <x:c r="P727" s="5" t="inlineStr">
        <x:is>
          <x:t xml:space="preserve">#cobblemon:is_forest; #cobblemon:is_snowy_forest; #cobblemon:is_snowy_taiga; #cobblemon:is_taiga; aether:skyroot_forest; aether:skyroot_woodland</x:t>
        </x:is>
      </x:c>
      <x:c r="Q727" s="5" t="inlineStr">
        <x:is>
          <x:t xml:space="preserve">ultra-rare</x:t>
        </x:is>
      </x:c>
      <x:c r="R727" s="5" t="inlineStr">
        <x:is>
          <x:t xml:space="preserve"/>
        </x:is>
      </x:c>
      <x:c r="S727" s="5" t="inlineStr">
        <x:is>
          <x:t xml:space="preserve"/>
        </x:is>
      </x:c>
      <x:c r="T727" s="5" t="inlineStr">
        <x:is>
          <x:t xml:space="preserve">비행</x:t>
        </x:is>
      </x:c>
      <x:c r="U727" s="5" t="inlineStr">
        <x:is>
          <x:t xml:space="preserve">수목</x:t>
        </x:is>
      </x:c>
      <x:c r="V727" s="5" t="inlineStr">
        <x:is>
          <x:t xml:space="preserve">서늘</x:t>
        </x:is>
      </x:c>
      <x:c r="W727" s="5" t="inlineStr">
        <x:is>
          <x:t xml:space="preserve">보통</x:t>
        </x:is>
      </x:c>
      <x:c r="X727" s="5" t="inlineStr">
        <x:is>
          <x:t xml:space="preserve">무관</x:t>
        </x:is>
      </x:c>
      <x:c r="Y727" s="5" t="inlineStr">
        <x:is>
          <x:t xml:space="preserve">무관</x:t>
        </x:is>
      </x:c>
      <x:c r="Z727" s="5" t="inlineStr">
        <x:is>
          <x:t xml:space="preserve">희귀</x:t>
        </x:is>
      </x:c>
      <x:c r="AA727" s="5" t="inlineStr">
        <x:is>
          <x:t xml:space="preserve">없음</x:t>
        </x:is>
      </x:c>
      <x:c r="AB727" s="5" t="inlineStr">
        <x:is>
          <x:t xml:space="preserve">숲</x:t>
        </x:is>
      </x:c>
      <x:c r="AC727" s="5" t="inlineStr">
        <x:is>
          <x:t xml:space="preserve">alolan_form; gen7</x:t>
        </x:is>
      </x:c>
      <x:c r="AD727" s="5" t="inlineStr">
        <x:is>
          <x:t xml:space="preserve">.tmp/cobblemon-1.7.3-source/common/src/main/resources/data/cobblemon/species/generation7/dartrix.json</x:t>
        </x:is>
      </x:c>
    </x:row>
    <x:row r="728" ht="22" customHeight="1">
      <x:c r="A728" s="5" t="n">
        <x:v>724</x:v>
      </x:c>
      <x:c r="B728" s="5" t="inlineStr">
        <x:is>
          <x:t xml:space="preserve">모크나이퍼</x:t>
        </x:is>
      </x:c>
      <x:c r="C728" s="5" t="inlineStr">
        <x:is>
          <x:t xml:space="preserve">decidueye</x:t>
        </x:is>
      </x:c>
      <x:c r="D728" s="5" t="inlineStr">
        <x:is>
          <x:t xml:space="preserve">Decidueye</x:t>
        </x:is>
      </x:c>
      <x:c r="E728" s="5" t="n">
        <x:v>7</x:v>
      </x:c>
      <x:c r="F728" s="5" t="inlineStr">
        <x:is>
          <x:t xml:space="preserve">풀</x:t>
        </x:is>
      </x:c>
      <x:c r="G728" s="5" t="inlineStr">
        <x:is>
          <x:t xml:space="preserve">고스트</x:t>
        </x:is>
      </x:c>
      <x:c r="H728" s="5" t="n">
        <x:v>1.6</x:v>
      </x:c>
      <x:c r="I728" s="5" t="n">
        <x:v>36.6</x:v>
      </x:c>
      <x:c r="J728" s="5" t="n">
        <x:v>530</x:v>
      </x:c>
      <x:c r="K728" s="5" t="n">
        <x:v>45</x:v>
      </x:c>
      <x:c r="L728" s="5" t="inlineStr">
        <x:is>
          <x:t xml:space="preserve">최종</x:t>
        </x:is>
      </x:c>
      <x:c r="M728" s="5" t="n">
        <x:v>36</x:v>
      </x:c>
      <x:c r="N728" s="5" t="inlineStr">
        <x:is>
          <x:t xml:space="preserve">레벨·특수</x:t>
        </x:is>
      </x:c>
      <x:c r="O728" s="5" t="inlineStr">
        <x:is>
          <x:t xml:space="preserve">예</x:t>
        </x:is>
      </x:c>
      <x:c r="P728" s="5" t="inlineStr">
        <x:is>
          <x:t xml:space="preserve">#cobblemon:is_forest; #cobblemon:is_snowy_forest; #cobblemon:is_snowy_taiga; #cobblemon:is_taiga; aether:skyroot_forest; aether:skyroot_woodland</x:t>
        </x:is>
      </x:c>
      <x:c r="Q728" s="5" t="inlineStr">
        <x:is>
          <x:t xml:space="preserve">ultra-rare</x:t>
        </x:is>
      </x:c>
      <x:c r="R728" s="5" t="inlineStr">
        <x:is>
          <x:t xml:space="preserve"/>
        </x:is>
      </x:c>
      <x:c r="S728" s="5" t="inlineStr">
        <x:is>
          <x:t xml:space="preserve"/>
        </x:is>
      </x:c>
      <x:c r="T728" s="5" t="inlineStr">
        <x:is>
          <x:t xml:space="preserve">비행</x:t>
        </x:is>
      </x:c>
      <x:c r="U728" s="5" t="inlineStr">
        <x:is>
          <x:t xml:space="preserve">수목</x:t>
        </x:is>
      </x:c>
      <x:c r="V728" s="5" t="inlineStr">
        <x:is>
          <x:t xml:space="preserve">서늘</x:t>
        </x:is>
      </x:c>
      <x:c r="W728" s="5" t="inlineStr">
        <x:is>
          <x:t xml:space="preserve">보통</x:t>
        </x:is>
      </x:c>
      <x:c r="X728" s="5" t="inlineStr">
        <x:is>
          <x:t xml:space="preserve">안개</x:t>
        </x:is>
      </x:c>
      <x:c r="Y728" s="5" t="inlineStr">
        <x:is>
          <x:t xml:space="preserve">밤</x:t>
        </x:is>
      </x:c>
      <x:c r="Z728" s="5" t="inlineStr">
        <x:is>
          <x:t xml:space="preserve">희귀</x:t>
        </x:is>
      </x:c>
      <x:c r="AA728" s="5" t="inlineStr">
        <x:is>
          <x:t xml:space="preserve">영체</x:t>
        </x:is>
      </x:c>
      <x:c r="AB728" s="5" t="inlineStr">
        <x:is>
          <x:t xml:space="preserve">숲</x:t>
        </x:is>
      </x:c>
      <x:c r="AC728" s="5" t="inlineStr">
        <x:is>
          <x:t xml:space="preserve">alolan_form; gen7</x:t>
        </x:is>
      </x:c>
      <x:c r="AD728" s="5" t="inlineStr">
        <x:is>
          <x:t xml:space="preserve">.tmp/cobblemon-1.7.3-source/common/src/main/resources/data/cobblemon/species/generation7/decidueye.json</x:t>
        </x:is>
      </x:c>
    </x:row>
    <x:row r="729" ht="22" customHeight="1">
      <x:c r="A729" s="5" t="n">
        <x:v>725</x:v>
      </x:c>
      <x:c r="B729" s="5" t="inlineStr">
        <x:is>
          <x:t xml:space="preserve">냐오불</x:t>
        </x:is>
      </x:c>
      <x:c r="C729" s="5" t="inlineStr">
        <x:is>
          <x:t xml:space="preserve">litten</x:t>
        </x:is>
      </x:c>
      <x:c r="D729" s="5" t="inlineStr">
        <x:is>
          <x:t xml:space="preserve">Litten</x:t>
        </x:is>
      </x:c>
      <x:c r="E729" s="5" t="n">
        <x:v>7</x:v>
      </x:c>
      <x:c r="F729" s="5" t="inlineStr">
        <x:is>
          <x:t xml:space="preserve">불꽃</x:t>
        </x:is>
      </x:c>
      <x:c r="G729" s="5" t="inlineStr">
        <x:is>
          <x:t xml:space="preserve"/>
        </x:is>
      </x:c>
      <x:c r="H729" s="5" t="n">
        <x:v>0.4</x:v>
      </x:c>
      <x:c r="I729" s="5" t="n">
        <x:v>4.3</x:v>
      </x:c>
      <x:c r="J729" s="5" t="n">
        <x:v>320</x:v>
      </x:c>
      <x:c r="K729" s="5" t="n">
        <x:v>45</x:v>
      </x:c>
      <x:c r="L729" s="5" t="inlineStr">
        <x:is>
          <x:t xml:space="preserve">기본</x:t>
        </x:is>
      </x:c>
      <x:c r="M729" s="5" t="n">
        <x:v>34</x:v>
      </x:c>
      <x:c r="N729" s="5" t="inlineStr">
        <x:is>
          <x:t xml:space="preserve">레벨</x:t>
        </x:is>
      </x:c>
      <x:c r="O729" s="5" t="inlineStr">
        <x:is>
          <x:t xml:space="preserve">예</x:t>
        </x:is>
      </x:c>
      <x:c r="P729" s="5" t="inlineStr">
        <x:is>
          <x:t xml:space="preserve">#cobblemon:is_jungle; minecraft:crimson_forest</x:t>
        </x:is>
      </x:c>
      <x:c r="Q729" s="5" t="inlineStr">
        <x:is>
          <x:t xml:space="preserve">ultra-rare</x:t>
        </x:is>
      </x:c>
      <x:c r="R729" s="5" t="inlineStr">
        <x:is>
          <x:t xml:space="preserve"/>
        </x:is>
      </x:c>
      <x:c r="S729" s="5" t="inlineStr">
        <x:is>
          <x:t xml:space="preserve">비=False</x:t>
        </x:is>
      </x:c>
      <x:c r="T729" s="5" t="inlineStr">
        <x:is>
          <x:t xml:space="preserve">육상</x:t>
        </x:is>
      </x:c>
      <x:c r="U729" s="5" t="inlineStr">
        <x:is>
          <x:t xml:space="preserve">수목</x:t>
        </x:is>
      </x:c>
      <x:c r="V729" s="5" t="inlineStr">
        <x:is>
          <x:t xml:space="preserve">고온</x:t>
        </x:is>
      </x:c>
      <x:c r="W729" s="5" t="inlineStr">
        <x:is>
          <x:t xml:space="preserve">다습</x:t>
        </x:is>
      </x:c>
      <x:c r="X729" s="5" t="inlineStr">
        <x:is>
          <x:t xml:space="preserve">무관</x:t>
        </x:is>
      </x:c>
      <x:c r="Y729" s="5" t="inlineStr">
        <x:is>
          <x:t xml:space="preserve">무관</x:t>
        </x:is>
      </x:c>
      <x:c r="Z729" s="5" t="inlineStr">
        <x:is>
          <x:t xml:space="preserve">희귀</x:t>
        </x:is>
      </x:c>
      <x:c r="AA729" s="5" t="inlineStr">
        <x:is>
          <x:t xml:space="preserve">없음</x:t>
        </x:is>
      </x:c>
      <x:c r="AB729" s="5" t="inlineStr">
        <x:is>
          <x:t xml:space="preserve">숲</x:t>
        </x:is>
      </x:c>
      <x:c r="AC729" s="5" t="inlineStr">
        <x:is>
          <x:t xml:space="preserve">gen7; starter</x:t>
        </x:is>
      </x:c>
      <x:c r="AD729" s="5" t="inlineStr">
        <x:is>
          <x:t xml:space="preserve">.tmp/cobblemon-1.7.3-source/common/src/main/resources/data/cobblemon/species/generation7/litten.json</x:t>
        </x:is>
      </x:c>
    </x:row>
    <x:row r="730" ht="22" customHeight="1">
      <x:c r="A730" s="5" t="n">
        <x:v>726</x:v>
      </x:c>
      <x:c r="B730" s="5" t="inlineStr">
        <x:is>
          <x:t xml:space="preserve">냐오히트</x:t>
        </x:is>
      </x:c>
      <x:c r="C730" s="5" t="inlineStr">
        <x:is>
          <x:t xml:space="preserve">torracat</x:t>
        </x:is>
      </x:c>
      <x:c r="D730" s="5" t="inlineStr">
        <x:is>
          <x:t xml:space="preserve">Torracat</x:t>
        </x:is>
      </x:c>
      <x:c r="E730" s="5" t="n">
        <x:v>7</x:v>
      </x:c>
      <x:c r="F730" s="5" t="inlineStr">
        <x:is>
          <x:t xml:space="preserve">불꽃</x:t>
        </x:is>
      </x:c>
      <x:c r="G730" s="5" t="inlineStr">
        <x:is>
          <x:t xml:space="preserve"/>
        </x:is>
      </x:c>
      <x:c r="H730" s="5" t="n">
        <x:v>0.7</x:v>
      </x:c>
      <x:c r="I730" s="5" t="n">
        <x:v>25</x:v>
      </x:c>
      <x:c r="J730" s="5" t="n">
        <x:v>420</x:v>
      </x:c>
      <x:c r="K730" s="5" t="n">
        <x:v>45</x:v>
      </x:c>
      <x:c r="L730" s="5" t="inlineStr">
        <x:is>
          <x:t xml:space="preserve">중간</x:t>
        </x:is>
      </x:c>
      <x:c r="M730" s="5" t="n">
        <x:v>34</x:v>
      </x:c>
      <x:c r="N730" s="5" t="inlineStr">
        <x:is>
          <x:t xml:space="preserve">레벨</x:t>
        </x:is>
      </x:c>
      <x:c r="O730" s="5" t="inlineStr">
        <x:is>
          <x:t xml:space="preserve">예</x:t>
        </x:is>
      </x:c>
      <x:c r="P730" s="5" t="inlineStr">
        <x:is>
          <x:t xml:space="preserve">#cobblemon:is_jungle; minecraft:crimson_forest</x:t>
        </x:is>
      </x:c>
      <x:c r="Q730" s="5" t="inlineStr">
        <x:is>
          <x:t xml:space="preserve">ultra-rare</x:t>
        </x:is>
      </x:c>
      <x:c r="R730" s="5" t="inlineStr">
        <x:is>
          <x:t xml:space="preserve"/>
        </x:is>
      </x:c>
      <x:c r="S730" s="5" t="inlineStr">
        <x:is>
          <x:t xml:space="preserve">비=False</x:t>
        </x:is>
      </x:c>
      <x:c r="T730" s="5" t="inlineStr">
        <x:is>
          <x:t xml:space="preserve">육상</x:t>
        </x:is>
      </x:c>
      <x:c r="U730" s="5" t="inlineStr">
        <x:is>
          <x:t xml:space="preserve">수목</x:t>
        </x:is>
      </x:c>
      <x:c r="V730" s="5" t="inlineStr">
        <x:is>
          <x:t xml:space="preserve">고온</x:t>
        </x:is>
      </x:c>
      <x:c r="W730" s="5" t="inlineStr">
        <x:is>
          <x:t xml:space="preserve">다습</x:t>
        </x:is>
      </x:c>
      <x:c r="X730" s="5" t="inlineStr">
        <x:is>
          <x:t xml:space="preserve">무관</x:t>
        </x:is>
      </x:c>
      <x:c r="Y730" s="5" t="inlineStr">
        <x:is>
          <x:t xml:space="preserve">무관</x:t>
        </x:is>
      </x:c>
      <x:c r="Z730" s="5" t="inlineStr">
        <x:is>
          <x:t xml:space="preserve">희귀</x:t>
        </x:is>
      </x:c>
      <x:c r="AA730" s="5" t="inlineStr">
        <x:is>
          <x:t xml:space="preserve">없음</x:t>
        </x:is>
      </x:c>
      <x:c r="AB730" s="5" t="inlineStr">
        <x:is>
          <x:t xml:space="preserve">숲</x:t>
        </x:is>
      </x:c>
      <x:c r="AC730" s="5" t="inlineStr">
        <x:is>
          <x:t xml:space="preserve">gen7</x:t>
        </x:is>
      </x:c>
      <x:c r="AD730" s="5" t="inlineStr">
        <x:is>
          <x:t xml:space="preserve">.tmp/cobblemon-1.7.3-source/common/src/main/resources/data/cobblemon/species/generation7/torracat.json</x:t>
        </x:is>
      </x:c>
    </x:row>
    <x:row r="731" ht="22" customHeight="1">
      <x:c r="A731" s="5" t="n">
        <x:v>727</x:v>
      </x:c>
      <x:c r="B731" s="5" t="inlineStr">
        <x:is>
          <x:t xml:space="preserve">어흥염</x:t>
        </x:is>
      </x:c>
      <x:c r="C731" s="5" t="inlineStr">
        <x:is>
          <x:t xml:space="preserve">incineroar</x:t>
        </x:is>
      </x:c>
      <x:c r="D731" s="5" t="inlineStr">
        <x:is>
          <x:t xml:space="preserve">Incineroar</x:t>
        </x:is>
      </x:c>
      <x:c r="E731" s="5" t="n">
        <x:v>7</x:v>
      </x:c>
      <x:c r="F731" s="5" t="inlineStr">
        <x:is>
          <x:t xml:space="preserve">불꽃</x:t>
        </x:is>
      </x:c>
      <x:c r="G731" s="5" t="inlineStr">
        <x:is>
          <x:t xml:space="preserve">악</x:t>
        </x:is>
      </x:c>
      <x:c r="H731" s="5" t="n">
        <x:v>1.8</x:v>
      </x:c>
      <x:c r="I731" s="5" t="n">
        <x:v>83</x:v>
      </x:c>
      <x:c r="J731" s="5" t="n">
        <x:v>530</x:v>
      </x:c>
      <x:c r="K731" s="5" t="n">
        <x:v>45</x:v>
      </x:c>
      <x:c r="L731" s="5" t="inlineStr">
        <x:is>
          <x:t xml:space="preserve">최종</x:t>
        </x:is>
      </x:c>
      <x:c r="M731" s="5" t="n">
        <x:v>34</x:v>
      </x:c>
      <x:c r="N731" s="5" t="inlineStr">
        <x:is>
          <x:t xml:space="preserve">레벨</x:t>
        </x:is>
      </x:c>
      <x:c r="O731" s="5" t="inlineStr">
        <x:is>
          <x:t xml:space="preserve">예</x:t>
        </x:is>
      </x:c>
      <x:c r="P731" s="5" t="inlineStr">
        <x:is>
          <x:t xml:space="preserve">#cobblemon:is_jungle; minecraft:crimson_forest</x:t>
        </x:is>
      </x:c>
      <x:c r="Q731" s="5" t="inlineStr">
        <x:is>
          <x:t xml:space="preserve">ultra-rare</x:t>
        </x:is>
      </x:c>
      <x:c r="R731" s="5" t="inlineStr">
        <x:is>
          <x:t xml:space="preserve"/>
        </x:is>
      </x:c>
      <x:c r="S731" s="5" t="inlineStr">
        <x:is>
          <x:t xml:space="preserve">비=False</x:t>
        </x:is>
      </x:c>
      <x:c r="T731" s="5" t="inlineStr">
        <x:is>
          <x:t xml:space="preserve">육상</x:t>
        </x:is>
      </x:c>
      <x:c r="U731" s="5" t="inlineStr">
        <x:is>
          <x:t xml:space="preserve">수목</x:t>
        </x:is>
      </x:c>
      <x:c r="V731" s="5" t="inlineStr">
        <x:is>
          <x:t xml:space="preserve">고온</x:t>
        </x:is>
      </x:c>
      <x:c r="W731" s="5" t="inlineStr">
        <x:is>
          <x:t xml:space="preserve">다습</x:t>
        </x:is>
      </x:c>
      <x:c r="X731" s="5" t="inlineStr">
        <x:is>
          <x:t xml:space="preserve">무관</x:t>
        </x:is>
      </x:c>
      <x:c r="Y731" s="5" t="inlineStr">
        <x:is>
          <x:t xml:space="preserve">밤</x:t>
        </x:is>
      </x:c>
      <x:c r="Z731" s="5" t="inlineStr">
        <x:is>
          <x:t xml:space="preserve">희귀</x:t>
        </x:is>
      </x:c>
      <x:c r="AA731" s="5" t="inlineStr">
        <x:is>
          <x:t xml:space="preserve">없음</x:t>
        </x:is>
      </x:c>
      <x:c r="AB731" s="5" t="inlineStr">
        <x:is>
          <x:t xml:space="preserve">숲</x:t>
        </x:is>
      </x:c>
      <x:c r="AC731" s="5" t="inlineStr">
        <x:is>
          <x:t xml:space="preserve">gen7</x:t>
        </x:is>
      </x:c>
      <x:c r="AD731" s="5" t="inlineStr">
        <x:is>
          <x:t xml:space="preserve">.tmp/cobblemon-1.7.3-source/common/src/main/resources/data/cobblemon/species/generation7/incineroar.json</x:t>
        </x:is>
      </x:c>
    </x:row>
    <x:row r="732" ht="22" customHeight="1">
      <x:c r="A732" s="5" t="n">
        <x:v>728</x:v>
      </x:c>
      <x:c r="B732" s="5" t="inlineStr">
        <x:is>
          <x:t xml:space="preserve">누리공</x:t>
        </x:is>
      </x:c>
      <x:c r="C732" s="5" t="inlineStr">
        <x:is>
          <x:t xml:space="preserve">popplio</x:t>
        </x:is>
      </x:c>
      <x:c r="D732" s="5" t="inlineStr">
        <x:is>
          <x:t xml:space="preserve">Popplio</x:t>
        </x:is>
      </x:c>
      <x:c r="E732" s="5" t="n">
        <x:v>7</x:v>
      </x:c>
      <x:c r="F732" s="5" t="inlineStr">
        <x:is>
          <x:t xml:space="preserve">물</x:t>
        </x:is>
      </x:c>
      <x:c r="G732" s="5" t="inlineStr">
        <x:is>
          <x:t xml:space="preserve"/>
        </x:is>
      </x:c>
      <x:c r="H732" s="5" t="n">
        <x:v>0.4</x:v>
      </x:c>
      <x:c r="I732" s="5" t="n">
        <x:v>7.5</x:v>
      </x:c>
      <x:c r="J732" s="5" t="n">
        <x:v>320</x:v>
      </x:c>
      <x:c r="K732" s="5" t="n">
        <x:v>45</x:v>
      </x:c>
      <x:c r="L732" s="5" t="inlineStr">
        <x:is>
          <x:t xml:space="preserve">기본</x:t>
        </x:is>
      </x:c>
      <x:c r="M732" s="5" t="n">
        <x:v>34</x:v>
      </x:c>
      <x:c r="N732" s="5" t="inlineStr">
        <x:is>
          <x:t xml:space="preserve">레벨</x:t>
        </x:is>
      </x:c>
      <x:c r="O732" s="5" t="inlineStr">
        <x:is>
          <x:t xml:space="preserve">예</x:t>
        </x:is>
      </x:c>
      <x:c r="P732" s="5" t="inlineStr">
        <x:is>
          <x:t xml:space="preserve">#cobblemon:is_coast; #cobblemon:is_ocean; #cobblemon:is_tropical_island</x:t>
        </x:is>
      </x:c>
      <x:c r="Q732" s="5" t="inlineStr">
        <x:is>
          <x:t xml:space="preserve">ultra-rare</x:t>
        </x:is>
      </x:c>
      <x:c r="R732" s="5" t="inlineStr">
        <x:is>
          <x:t xml:space="preserve"/>
        </x:is>
      </x:c>
      <x:c r="S732" s="5" t="inlineStr">
        <x:is>
          <x:t xml:space="preserve"/>
        </x:is>
      </x:c>
      <x:c r="T732" s="5" t="inlineStr">
        <x:is>
          <x:t xml:space="preserve">해양</x:t>
        </x:is>
      </x:c>
      <x:c r="U732" s="5" t="inlineStr">
        <x:is>
          <x:t xml:space="preserve">해안·해양</x:t>
        </x:is>
      </x:c>
      <x:c r="V732" s="5" t="inlineStr">
        <x:is>
          <x:t xml:space="preserve">온대</x:t>
        </x:is>
      </x:c>
      <x:c r="W732" s="5" t="inlineStr">
        <x:is>
          <x:t xml:space="preserve">수중</x:t>
        </x:is>
      </x:c>
      <x:c r="X732" s="5" t="inlineStr">
        <x:is>
          <x:t xml:space="preserve">비</x:t>
        </x:is>
      </x:c>
      <x:c r="Y732" s="5" t="inlineStr">
        <x:is>
          <x:t xml:space="preserve">무관</x:t>
        </x:is>
      </x:c>
      <x:c r="Z732" s="5" t="inlineStr">
        <x:is>
          <x:t xml:space="preserve">희귀</x:t>
        </x:is>
      </x:c>
      <x:c r="AA732" s="5" t="inlineStr">
        <x:is>
          <x:t xml:space="preserve">없음</x:t>
        </x:is>
      </x:c>
      <x:c r="AB732" s="5" t="inlineStr">
        <x:is>
          <x:t xml:space="preserve">해양</x:t>
        </x:is>
      </x:c>
      <x:c r="AC732" s="5" t="inlineStr">
        <x:is>
          <x:t xml:space="preserve">gen7; starter</x:t>
        </x:is>
      </x:c>
      <x:c r="AD732" s="5" t="inlineStr">
        <x:is>
          <x:t xml:space="preserve">.tmp/cobblemon-1.7.3-source/common/src/main/resources/data/cobblemon/species/generation7/popplio.json</x:t>
        </x:is>
      </x:c>
    </x:row>
    <x:row r="733" ht="22" customHeight="1">
      <x:c r="A733" s="5" t="n">
        <x:v>729</x:v>
      </x:c>
      <x:c r="B733" s="5" t="inlineStr">
        <x:is>
          <x:t xml:space="preserve">키요공</x:t>
        </x:is>
      </x:c>
      <x:c r="C733" s="5" t="inlineStr">
        <x:is>
          <x:t xml:space="preserve">brionne</x:t>
        </x:is>
      </x:c>
      <x:c r="D733" s="5" t="inlineStr">
        <x:is>
          <x:t xml:space="preserve">Brionne</x:t>
        </x:is>
      </x:c>
      <x:c r="E733" s="5" t="n">
        <x:v>7</x:v>
      </x:c>
      <x:c r="F733" s="5" t="inlineStr">
        <x:is>
          <x:t xml:space="preserve">물</x:t>
        </x:is>
      </x:c>
      <x:c r="G733" s="5" t="inlineStr">
        <x:is>
          <x:t xml:space="preserve"/>
        </x:is>
      </x:c>
      <x:c r="H733" s="5" t="n">
        <x:v>0.6</x:v>
      </x:c>
      <x:c r="I733" s="5" t="n">
        <x:v>17.5</x:v>
      </x:c>
      <x:c r="J733" s="5" t="n">
        <x:v>420</x:v>
      </x:c>
      <x:c r="K733" s="5" t="n">
        <x:v>45</x:v>
      </x:c>
      <x:c r="L733" s="5" t="inlineStr">
        <x:is>
          <x:t xml:space="preserve">중간</x:t>
        </x:is>
      </x:c>
      <x:c r="M733" s="5" t="n">
        <x:v>34</x:v>
      </x:c>
      <x:c r="N733" s="5" t="inlineStr">
        <x:is>
          <x:t xml:space="preserve">레벨</x:t>
        </x:is>
      </x:c>
      <x:c r="O733" s="5" t="inlineStr">
        <x:is>
          <x:t xml:space="preserve">예</x:t>
        </x:is>
      </x:c>
      <x:c r="P733" s="5" t="inlineStr">
        <x:is>
          <x:t xml:space="preserve">#cobblemon:is_coast; #cobblemon:is_ocean; #cobblemon:is_tropical_island</x:t>
        </x:is>
      </x:c>
      <x:c r="Q733" s="5" t="inlineStr">
        <x:is>
          <x:t xml:space="preserve">ultra-rare</x:t>
        </x:is>
      </x:c>
      <x:c r="R733" s="5" t="inlineStr">
        <x:is>
          <x:t xml:space="preserve"/>
        </x:is>
      </x:c>
      <x:c r="S733" s="5" t="inlineStr">
        <x:is>
          <x:t xml:space="preserve"/>
        </x:is>
      </x:c>
      <x:c r="T733" s="5" t="inlineStr">
        <x:is>
          <x:t xml:space="preserve">해양</x:t>
        </x:is>
      </x:c>
      <x:c r="U733" s="5" t="inlineStr">
        <x:is>
          <x:t xml:space="preserve">해안·해양</x:t>
        </x:is>
      </x:c>
      <x:c r="V733" s="5" t="inlineStr">
        <x:is>
          <x:t xml:space="preserve">온대</x:t>
        </x:is>
      </x:c>
      <x:c r="W733" s="5" t="inlineStr">
        <x:is>
          <x:t xml:space="preserve">수중</x:t>
        </x:is>
      </x:c>
      <x:c r="X733" s="5" t="inlineStr">
        <x:is>
          <x:t xml:space="preserve">비</x:t>
        </x:is>
      </x:c>
      <x:c r="Y733" s="5" t="inlineStr">
        <x:is>
          <x:t xml:space="preserve">무관</x:t>
        </x:is>
      </x:c>
      <x:c r="Z733" s="5" t="inlineStr">
        <x:is>
          <x:t xml:space="preserve">희귀</x:t>
        </x:is>
      </x:c>
      <x:c r="AA733" s="5" t="inlineStr">
        <x:is>
          <x:t xml:space="preserve">없음</x:t>
        </x:is>
      </x:c>
      <x:c r="AB733" s="5" t="inlineStr">
        <x:is>
          <x:t xml:space="preserve">해양</x:t>
        </x:is>
      </x:c>
      <x:c r="AC733" s="5" t="inlineStr">
        <x:is>
          <x:t xml:space="preserve">gen7</x:t>
        </x:is>
      </x:c>
      <x:c r="AD733" s="5" t="inlineStr">
        <x:is>
          <x:t xml:space="preserve">.tmp/cobblemon-1.7.3-source/common/src/main/resources/data/cobblemon/species/generation7/brionne.json</x:t>
        </x:is>
      </x:c>
    </x:row>
    <x:row r="734" ht="22" customHeight="1">
      <x:c r="A734" s="5" t="n">
        <x:v>730</x:v>
      </x:c>
      <x:c r="B734" s="5" t="inlineStr">
        <x:is>
          <x:t xml:space="preserve">누리레느</x:t>
        </x:is>
      </x:c>
      <x:c r="C734" s="5" t="inlineStr">
        <x:is>
          <x:t xml:space="preserve">primarina</x:t>
        </x:is>
      </x:c>
      <x:c r="D734" s="5" t="inlineStr">
        <x:is>
          <x:t xml:space="preserve">Primarina</x:t>
        </x:is>
      </x:c>
      <x:c r="E734" s="5" t="n">
        <x:v>7</x:v>
      </x:c>
      <x:c r="F734" s="5" t="inlineStr">
        <x:is>
          <x:t xml:space="preserve">물</x:t>
        </x:is>
      </x:c>
      <x:c r="G734" s="5" t="inlineStr">
        <x:is>
          <x:t xml:space="preserve">페어리</x:t>
        </x:is>
      </x:c>
      <x:c r="H734" s="5" t="n">
        <x:v>1.8</x:v>
      </x:c>
      <x:c r="I734" s="5" t="n">
        <x:v>44</x:v>
      </x:c>
      <x:c r="J734" s="5" t="n">
        <x:v>530</x:v>
      </x:c>
      <x:c r="K734" s="5" t="n">
        <x:v>45</x:v>
      </x:c>
      <x:c r="L734" s="5" t="inlineStr">
        <x:is>
          <x:t xml:space="preserve">최종</x:t>
        </x:is>
      </x:c>
      <x:c r="M734" s="5" t="n">
        <x:v>34</x:v>
      </x:c>
      <x:c r="N734" s="5" t="inlineStr">
        <x:is>
          <x:t xml:space="preserve">레벨</x:t>
        </x:is>
      </x:c>
      <x:c r="O734" s="5" t="inlineStr">
        <x:is>
          <x:t xml:space="preserve">예</x:t>
        </x:is>
      </x:c>
      <x:c r="P734" s="5" t="inlineStr">
        <x:is>
          <x:t xml:space="preserve">#cobblemon:is_coast; #cobblemon:is_ocean; #cobblemon:is_tropical_island</x:t>
        </x:is>
      </x:c>
      <x:c r="Q734" s="5" t="inlineStr">
        <x:is>
          <x:t xml:space="preserve">ultra-rare</x:t>
        </x:is>
      </x:c>
      <x:c r="R734" s="5" t="inlineStr">
        <x:is>
          <x:t xml:space="preserve"/>
        </x:is>
      </x:c>
      <x:c r="S734" s="5" t="inlineStr">
        <x:is>
          <x:t xml:space="preserve"/>
        </x:is>
      </x:c>
      <x:c r="T734" s="5" t="inlineStr">
        <x:is>
          <x:t xml:space="preserve">해양</x:t>
        </x:is>
      </x:c>
      <x:c r="U734" s="5" t="inlineStr">
        <x:is>
          <x:t xml:space="preserve">해안·해양</x:t>
        </x:is>
      </x:c>
      <x:c r="V734" s="5" t="inlineStr">
        <x:is>
          <x:t xml:space="preserve">온대</x:t>
        </x:is>
      </x:c>
      <x:c r="W734" s="5" t="inlineStr">
        <x:is>
          <x:t xml:space="preserve">수중</x:t>
        </x:is>
      </x:c>
      <x:c r="X734" s="5" t="inlineStr">
        <x:is>
          <x:t xml:space="preserve">비</x:t>
        </x:is>
      </x:c>
      <x:c r="Y734" s="5" t="inlineStr">
        <x:is>
          <x:t xml:space="preserve">무관</x:t>
        </x:is>
      </x:c>
      <x:c r="Z734" s="5" t="inlineStr">
        <x:is>
          <x:t xml:space="preserve">희귀</x:t>
        </x:is>
      </x:c>
      <x:c r="AA734" s="5" t="inlineStr">
        <x:is>
          <x:t xml:space="preserve">없음</x:t>
        </x:is>
      </x:c>
      <x:c r="AB734" s="5" t="inlineStr">
        <x:is>
          <x:t xml:space="preserve">해양</x:t>
        </x:is>
      </x:c>
      <x:c r="AC734" s="5" t="inlineStr">
        <x:is>
          <x:t xml:space="preserve">gen7</x:t>
        </x:is>
      </x:c>
      <x:c r="AD734" s="5" t="inlineStr">
        <x:is>
          <x:t xml:space="preserve">.tmp/cobblemon-1.7.3-source/common/src/main/resources/data/cobblemon/species/generation7/primarina.json</x:t>
        </x:is>
      </x:c>
    </x:row>
    <x:row r="735" ht="22" customHeight="1">
      <x:c r="A735" s="5" t="n">
        <x:v>731</x:v>
      </x:c>
      <x:c r="B735" s="5" t="inlineStr">
        <x:is>
          <x:t xml:space="preserve">콕코구리</x:t>
        </x:is>
      </x:c>
      <x:c r="C735" s="5" t="inlineStr">
        <x:is>
          <x:t xml:space="preserve">pikipek</x:t>
        </x:is>
      </x:c>
      <x:c r="D735" s="5" t="inlineStr">
        <x:is>
          <x:t xml:space="preserve">Pikipek</x:t>
        </x:is>
      </x:c>
      <x:c r="E735" s="5" t="n">
        <x:v>7</x:v>
      </x:c>
      <x:c r="F735" s="5" t="inlineStr">
        <x:is>
          <x:t xml:space="preserve">노말</x:t>
        </x:is>
      </x:c>
      <x:c r="G735" s="5" t="inlineStr">
        <x:is>
          <x:t xml:space="preserve">비행</x:t>
        </x:is>
      </x:c>
      <x:c r="H735" s="5" t="n">
        <x:v>0.3</x:v>
      </x:c>
      <x:c r="I735" s="5" t="n">
        <x:v>1.2</x:v>
      </x:c>
      <x:c r="J735" s="5" t="n">
        <x:v>265</x:v>
      </x:c>
      <x:c r="K735" s="5" t="n">
        <x:v>255</x:v>
      </x:c>
      <x:c r="L735" s="5" t="inlineStr">
        <x:is>
          <x:t xml:space="preserve">기본</x:t>
        </x:is>
      </x:c>
      <x:c r="M735" s="5" t="n">
        <x:v>28</x:v>
      </x:c>
      <x:c r="N735" s="5" t="inlineStr">
        <x:is>
          <x:t xml:space="preserve">레벨</x:t>
        </x:is>
      </x:c>
      <x:c r="O735" s="5" t="inlineStr">
        <x:is>
          <x:t xml:space="preserve">예</x:t>
        </x:is>
      </x:c>
      <x:c r="P735" s="5" t="inlineStr">
        <x:is>
          <x:t xml:space="preserve">#cobblemon:is_jungle; #cobblemon:is_sky; #cobblemon:is_tropical_island</x:t>
        </x:is>
      </x:c>
      <x:c r="Q735" s="5" t="inlineStr">
        <x:is>
          <x:t xml:space="preserve">common</x:t>
        </x:is>
      </x:c>
      <x:c r="R735" s="5" t="inlineStr">
        <x:is>
          <x:t xml:space="preserve">day</x:t>
        </x:is>
      </x:c>
      <x:c r="S735" s="5" t="inlineStr">
        <x:is>
          <x:t xml:space="preserve"/>
        </x:is>
      </x:c>
      <x:c r="T735" s="5" t="inlineStr">
        <x:is>
          <x:t xml:space="preserve">비행</x:t>
        </x:is>
      </x:c>
      <x:c r="U735" s="5" t="inlineStr">
        <x:is>
          <x:t xml:space="preserve">수목</x:t>
        </x:is>
      </x:c>
      <x:c r="V735" s="5" t="inlineStr">
        <x:is>
          <x:t xml:space="preserve">온대</x:t>
        </x:is>
      </x:c>
      <x:c r="W735" s="5" t="inlineStr">
        <x:is>
          <x:t xml:space="preserve">다습</x:t>
        </x:is>
      </x:c>
      <x:c r="X735" s="5" t="inlineStr">
        <x:is>
          <x:t xml:space="preserve">무관</x:t>
        </x:is>
      </x:c>
      <x:c r="Y735" s="5" t="inlineStr">
        <x:is>
          <x:t xml:space="preserve">낮</x:t>
        </x:is>
      </x:c>
      <x:c r="Z735" s="5" t="inlineStr">
        <x:is>
          <x:t xml:space="preserve">흔함</x:t>
        </x:is>
      </x:c>
      <x:c r="AA735" s="5" t="inlineStr">
        <x:is>
          <x:t xml:space="preserve">없음</x:t>
        </x:is>
      </x:c>
      <x:c r="AB735" s="5" t="inlineStr">
        <x:is>
          <x:t xml:space="preserve">숲</x:t>
        </x:is>
      </x:c>
      <x:c r="AC735" s="5" t="inlineStr">
        <x:is>
          <x:t xml:space="preserve">gen7</x:t>
        </x:is>
      </x:c>
      <x:c r="AD735" s="5" t="inlineStr">
        <x:is>
          <x:t xml:space="preserve">.tmp/cobblemon-1.7.3-source/common/src/main/resources/data/cobblemon/species/generation7/pikipek.json</x:t>
        </x:is>
      </x:c>
    </x:row>
    <x:row r="736" ht="22" customHeight="1">
      <x:c r="A736" s="5" t="n">
        <x:v>732</x:v>
      </x:c>
      <x:c r="B736" s="5" t="inlineStr">
        <x:is>
          <x:t xml:space="preserve">크라파</x:t>
        </x:is>
      </x:c>
      <x:c r="C736" s="5" t="inlineStr">
        <x:is>
          <x:t xml:space="preserve">trumbeak</x:t>
        </x:is>
      </x:c>
      <x:c r="D736" s="5" t="inlineStr">
        <x:is>
          <x:t xml:space="preserve">Trumbeak</x:t>
        </x:is>
      </x:c>
      <x:c r="E736" s="5" t="n">
        <x:v>7</x:v>
      </x:c>
      <x:c r="F736" s="5" t="inlineStr">
        <x:is>
          <x:t xml:space="preserve">노말</x:t>
        </x:is>
      </x:c>
      <x:c r="G736" s="5" t="inlineStr">
        <x:is>
          <x:t xml:space="preserve">비행</x:t>
        </x:is>
      </x:c>
      <x:c r="H736" s="5" t="n">
        <x:v>0.6</x:v>
      </x:c>
      <x:c r="I736" s="5" t="n">
        <x:v>14.8</x:v>
      </x:c>
      <x:c r="J736" s="5" t="n">
        <x:v>355</x:v>
      </x:c>
      <x:c r="K736" s="5" t="n">
        <x:v>120</x:v>
      </x:c>
      <x:c r="L736" s="5" t="inlineStr">
        <x:is>
          <x:t xml:space="preserve">중간</x:t>
        </x:is>
      </x:c>
      <x:c r="M736" s="5" t="n">
        <x:v>28</x:v>
      </x:c>
      <x:c r="N736" s="5" t="inlineStr">
        <x:is>
          <x:t xml:space="preserve">레벨</x:t>
        </x:is>
      </x:c>
      <x:c r="O736" s="5" t="inlineStr">
        <x:is>
          <x:t xml:space="preserve">예</x:t>
        </x:is>
      </x:c>
      <x:c r="P736" s="5" t="inlineStr">
        <x:is>
          <x:t xml:space="preserve">#cobblemon:is_jungle; #cobblemon:is_sky; #cobblemon:is_tropical_island</x:t>
        </x:is>
      </x:c>
      <x:c r="Q736" s="5" t="inlineStr">
        <x:is>
          <x:t xml:space="preserve">common</x:t>
        </x:is>
      </x:c>
      <x:c r="R736" s="5" t="inlineStr">
        <x:is>
          <x:t xml:space="preserve">day</x:t>
        </x:is>
      </x:c>
      <x:c r="S736" s="5" t="inlineStr">
        <x:is>
          <x:t xml:space="preserve"/>
        </x:is>
      </x:c>
      <x:c r="T736" s="5" t="inlineStr">
        <x:is>
          <x:t xml:space="preserve">비행</x:t>
        </x:is>
      </x:c>
      <x:c r="U736" s="5" t="inlineStr">
        <x:is>
          <x:t xml:space="preserve">수목</x:t>
        </x:is>
      </x:c>
      <x:c r="V736" s="5" t="inlineStr">
        <x:is>
          <x:t xml:space="preserve">온대</x:t>
        </x:is>
      </x:c>
      <x:c r="W736" s="5" t="inlineStr">
        <x:is>
          <x:t xml:space="preserve">다습</x:t>
        </x:is>
      </x:c>
      <x:c r="X736" s="5" t="inlineStr">
        <x:is>
          <x:t xml:space="preserve">무관</x:t>
        </x:is>
      </x:c>
      <x:c r="Y736" s="5" t="inlineStr">
        <x:is>
          <x:t xml:space="preserve">낮</x:t>
        </x:is>
      </x:c>
      <x:c r="Z736" s="5" t="inlineStr">
        <x:is>
          <x:t xml:space="preserve">흔함</x:t>
        </x:is>
      </x:c>
      <x:c r="AA736" s="5" t="inlineStr">
        <x:is>
          <x:t xml:space="preserve">없음</x:t>
        </x:is>
      </x:c>
      <x:c r="AB736" s="5" t="inlineStr">
        <x:is>
          <x:t xml:space="preserve">숲</x:t>
        </x:is>
      </x:c>
      <x:c r="AC736" s="5" t="inlineStr">
        <x:is>
          <x:t xml:space="preserve">gen7</x:t>
        </x:is>
      </x:c>
      <x:c r="AD736" s="5" t="inlineStr">
        <x:is>
          <x:t xml:space="preserve">.tmp/cobblemon-1.7.3-source/common/src/main/resources/data/cobblemon/species/generation7/trumbeak.json</x:t>
        </x:is>
      </x:c>
    </x:row>
    <x:row r="737" ht="22" customHeight="1">
      <x:c r="A737" s="5" t="n">
        <x:v>733</x:v>
      </x:c>
      <x:c r="B737" s="5" t="inlineStr">
        <x:is>
          <x:t xml:space="preserve">왕큰부리</x:t>
        </x:is>
      </x:c>
      <x:c r="C737" s="5" t="inlineStr">
        <x:is>
          <x:t xml:space="preserve">toucannon</x:t>
        </x:is>
      </x:c>
      <x:c r="D737" s="5" t="inlineStr">
        <x:is>
          <x:t xml:space="preserve">Toucannon</x:t>
        </x:is>
      </x:c>
      <x:c r="E737" s="5" t="n">
        <x:v>7</x:v>
      </x:c>
      <x:c r="F737" s="5" t="inlineStr">
        <x:is>
          <x:t xml:space="preserve">노말</x:t>
        </x:is>
      </x:c>
      <x:c r="G737" s="5" t="inlineStr">
        <x:is>
          <x:t xml:space="preserve">비행</x:t>
        </x:is>
      </x:c>
      <x:c r="H737" s="5" t="n">
        <x:v>1.1</x:v>
      </x:c>
      <x:c r="I737" s="5" t="n">
        <x:v>26</x:v>
      </x:c>
      <x:c r="J737" s="5" t="n">
        <x:v>485</x:v>
      </x:c>
      <x:c r="K737" s="5" t="n">
        <x:v>45</x:v>
      </x:c>
      <x:c r="L737" s="5" t="inlineStr">
        <x:is>
          <x:t xml:space="preserve">최종</x:t>
        </x:is>
      </x:c>
      <x:c r="M737" s="5" t="n">
        <x:v>28</x:v>
      </x:c>
      <x:c r="N737" s="5" t="inlineStr">
        <x:is>
          <x:t xml:space="preserve">레벨</x:t>
        </x:is>
      </x:c>
      <x:c r="O737" s="5" t="inlineStr">
        <x:is>
          <x:t xml:space="preserve">예</x:t>
        </x:is>
      </x:c>
      <x:c r="P737" s="5" t="inlineStr">
        <x:is>
          <x:t xml:space="preserve">#cobblemon:is_jungle; #cobblemon:is_sky; #cobblemon:is_tropical_island</x:t>
        </x:is>
      </x:c>
      <x:c r="Q737" s="5" t="inlineStr">
        <x:is>
          <x:t xml:space="preserve">common</x:t>
        </x:is>
      </x:c>
      <x:c r="R737" s="5" t="inlineStr">
        <x:is>
          <x:t xml:space="preserve">day</x:t>
        </x:is>
      </x:c>
      <x:c r="S737" s="5" t="inlineStr">
        <x:is>
          <x:t xml:space="preserve"/>
        </x:is>
      </x:c>
      <x:c r="T737" s="5" t="inlineStr">
        <x:is>
          <x:t xml:space="preserve">비행</x:t>
        </x:is>
      </x:c>
      <x:c r="U737" s="5" t="inlineStr">
        <x:is>
          <x:t xml:space="preserve">수목</x:t>
        </x:is>
      </x:c>
      <x:c r="V737" s="5" t="inlineStr">
        <x:is>
          <x:t xml:space="preserve">온대</x:t>
        </x:is>
      </x:c>
      <x:c r="W737" s="5" t="inlineStr">
        <x:is>
          <x:t xml:space="preserve">다습</x:t>
        </x:is>
      </x:c>
      <x:c r="X737" s="5" t="inlineStr">
        <x:is>
          <x:t xml:space="preserve">무관</x:t>
        </x:is>
      </x:c>
      <x:c r="Y737" s="5" t="inlineStr">
        <x:is>
          <x:t xml:space="preserve">낮</x:t>
        </x:is>
      </x:c>
      <x:c r="Z737" s="5" t="inlineStr">
        <x:is>
          <x:t xml:space="preserve">흔함</x:t>
        </x:is>
      </x:c>
      <x:c r="AA737" s="5" t="inlineStr">
        <x:is>
          <x:t xml:space="preserve">없음</x:t>
        </x:is>
      </x:c>
      <x:c r="AB737" s="5" t="inlineStr">
        <x:is>
          <x:t xml:space="preserve">숲</x:t>
        </x:is>
      </x:c>
      <x:c r="AC737" s="5" t="inlineStr">
        <x:is>
          <x:t xml:space="preserve">gen7</x:t>
        </x:is>
      </x:c>
      <x:c r="AD737" s="5" t="inlineStr">
        <x:is>
          <x:t xml:space="preserve">.tmp/cobblemon-1.7.3-source/common/src/main/resources/data/cobblemon/species/generation7/toucannon.json</x:t>
        </x:is>
      </x:c>
    </x:row>
    <x:row r="738" ht="22" customHeight="1">
      <x:c r="A738" s="5" t="n">
        <x:v>734</x:v>
      </x:c>
      <x:c r="B738" s="5" t="inlineStr">
        <x:is>
          <x:t xml:space="preserve">영구스</x:t>
        </x:is>
      </x:c>
      <x:c r="C738" s="5" t="inlineStr">
        <x:is>
          <x:t xml:space="preserve">yungoos</x:t>
        </x:is>
      </x:c>
      <x:c r="D738" s="5" t="inlineStr">
        <x:is>
          <x:t xml:space="preserve">Yungoos</x:t>
        </x:is>
      </x:c>
      <x:c r="E738" s="5" t="n">
        <x:v>7</x:v>
      </x:c>
      <x:c r="F738" s="5" t="inlineStr">
        <x:is>
          <x:t xml:space="preserve">노말</x:t>
        </x:is>
      </x:c>
      <x:c r="G738" s="5" t="inlineStr">
        <x:is>
          <x:t xml:space="preserve"/>
        </x:is>
      </x:c>
      <x:c r="H738" s="5" t="n">
        <x:v>0.4</x:v>
      </x:c>
      <x:c r="I738" s="5" t="n">
        <x:v>6</x:v>
      </x:c>
      <x:c r="J738" s="5" t="n">
        <x:v>253</x:v>
      </x:c>
      <x:c r="K738" s="5" t="n">
        <x:v>255</x:v>
      </x:c>
      <x:c r="L738" s="5" t="inlineStr">
        <x:is>
          <x:t xml:space="preserve">기본</x:t>
        </x:is>
      </x:c>
      <x:c r="M738" s="5" t="n">
        <x:v>20</x:v>
      </x:c>
      <x:c r="N738" s="5" t="inlineStr">
        <x:is>
          <x:t xml:space="preserve">레벨·특수</x:t>
        </x:is>
      </x:c>
      <x:c r="O738" s="5" t="inlineStr">
        <x:is>
          <x:t xml:space="preserve">예</x:t>
        </x:is>
      </x:c>
      <x:c r="P738" s="5" t="inlineStr">
        <x:is>
          <x:t xml:space="preserve">#cobblemon:is_plains; #cobblemon:is_savanna</x:t>
        </x:is>
      </x:c>
      <x:c r="Q738" s="5" t="inlineStr">
        <x:is>
          <x:t xml:space="preserve">common</x:t>
        </x:is>
      </x:c>
      <x:c r="R738" s="5" t="inlineStr">
        <x:is>
          <x:t xml:space="preserve"/>
        </x:is>
      </x:c>
      <x:c r="S738" s="5" t="inlineStr">
        <x:is>
          <x:t xml:space="preserve"/>
        </x:is>
      </x:c>
      <x:c r="T738" s="5" t="inlineStr">
        <x:is>
          <x:t xml:space="preserve">육상</x:t>
        </x:is>
      </x:c>
      <x:c r="U738" s="5" t="inlineStr">
        <x:is>
          <x:t xml:space="preserve">개활지</x:t>
        </x:is>
      </x:c>
      <x:c r="V738" s="5" t="inlineStr">
        <x:is>
          <x:t xml:space="preserve">온대</x:t>
        </x:is>
      </x:c>
      <x:c r="W738" s="5" t="inlineStr">
        <x:is>
          <x:t xml:space="preserve">보통</x:t>
        </x:is>
      </x:c>
      <x:c r="X738" s="5" t="inlineStr">
        <x:is>
          <x:t xml:space="preserve">무관</x:t>
        </x:is>
      </x:c>
      <x:c r="Y738" s="5" t="inlineStr">
        <x:is>
          <x:t xml:space="preserve">무관</x:t>
        </x:is>
      </x:c>
      <x:c r="Z738" s="5" t="inlineStr">
        <x:is>
          <x:t xml:space="preserve">흔함</x:t>
        </x:is>
      </x:c>
      <x:c r="AA738" s="5" t="inlineStr">
        <x:is>
          <x:t xml:space="preserve">없음</x:t>
        </x:is>
      </x:c>
      <x:c r="AB738" s="5" t="inlineStr">
        <x:is>
          <x:t xml:space="preserve">평원</x:t>
        </x:is>
      </x:c>
      <x:c r="AC738" s="5" t="inlineStr">
        <x:is>
          <x:t xml:space="preserve">gen7</x:t>
        </x:is>
      </x:c>
      <x:c r="AD738" s="5" t="inlineStr">
        <x:is>
          <x:t xml:space="preserve">.tmp/cobblemon-1.7.3-source/common/src/main/resources/data/cobblemon/species/generation7/yungoos.json</x:t>
        </x:is>
      </x:c>
    </x:row>
    <x:row r="739" ht="22" customHeight="1">
      <x:c r="A739" s="5" t="n">
        <x:v>735</x:v>
      </x:c>
      <x:c r="B739" s="5" t="inlineStr">
        <x:is>
          <x:t xml:space="preserve">형사구스</x:t>
        </x:is>
      </x:c>
      <x:c r="C739" s="5" t="inlineStr">
        <x:is>
          <x:t xml:space="preserve">gumshoos</x:t>
        </x:is>
      </x:c>
      <x:c r="D739" s="5" t="inlineStr">
        <x:is>
          <x:t xml:space="preserve">Gumshoos</x:t>
        </x:is>
      </x:c>
      <x:c r="E739" s="5" t="n">
        <x:v>7</x:v>
      </x:c>
      <x:c r="F739" s="5" t="inlineStr">
        <x:is>
          <x:t xml:space="preserve">노말</x:t>
        </x:is>
      </x:c>
      <x:c r="G739" s="5" t="inlineStr">
        <x:is>
          <x:t xml:space="preserve"/>
        </x:is>
      </x:c>
      <x:c r="H739" s="5" t="n">
        <x:v>0.7</x:v>
      </x:c>
      <x:c r="I739" s="5" t="n">
        <x:v>14.2</x:v>
      </x:c>
      <x:c r="J739" s="5" t="n">
        <x:v>418</x:v>
      </x:c>
      <x:c r="K739" s="5" t="n">
        <x:v>127</x:v>
      </x:c>
      <x:c r="L739" s="5" t="inlineStr">
        <x:is>
          <x:t xml:space="preserve">최종</x:t>
        </x:is>
      </x:c>
      <x:c r="M739" s="5" t="n">
        <x:v>20</x:v>
      </x:c>
      <x:c r="N739" s="5" t="inlineStr">
        <x:is>
          <x:t xml:space="preserve">레벨·특수</x:t>
        </x:is>
      </x:c>
      <x:c r="O739" s="5" t="inlineStr">
        <x:is>
          <x:t xml:space="preserve">예</x:t>
        </x:is>
      </x:c>
      <x:c r="P739" s="5" t="inlineStr">
        <x:is>
          <x:t xml:space="preserve">#cobblemon:is_plains; #cobblemon:is_savanna</x:t>
        </x:is>
      </x:c>
      <x:c r="Q739" s="5" t="inlineStr">
        <x:is>
          <x:t xml:space="preserve">common</x:t>
        </x:is>
      </x:c>
      <x:c r="R739" s="5" t="inlineStr">
        <x:is>
          <x:t xml:space="preserve"/>
        </x:is>
      </x:c>
      <x:c r="S739" s="5" t="inlineStr">
        <x:is>
          <x:t xml:space="preserve"/>
        </x:is>
      </x:c>
      <x:c r="T739" s="5" t="inlineStr">
        <x:is>
          <x:t xml:space="preserve">육상</x:t>
        </x:is>
      </x:c>
      <x:c r="U739" s="5" t="inlineStr">
        <x:is>
          <x:t xml:space="preserve">개활지</x:t>
        </x:is>
      </x:c>
      <x:c r="V739" s="5" t="inlineStr">
        <x:is>
          <x:t xml:space="preserve">온대</x:t>
        </x:is>
      </x:c>
      <x:c r="W739" s="5" t="inlineStr">
        <x:is>
          <x:t xml:space="preserve">보통</x:t>
        </x:is>
      </x:c>
      <x:c r="X739" s="5" t="inlineStr">
        <x:is>
          <x:t xml:space="preserve">무관</x:t>
        </x:is>
      </x:c>
      <x:c r="Y739" s="5" t="inlineStr">
        <x:is>
          <x:t xml:space="preserve">무관</x:t>
        </x:is>
      </x:c>
      <x:c r="Z739" s="5" t="inlineStr">
        <x:is>
          <x:t xml:space="preserve">흔함</x:t>
        </x:is>
      </x:c>
      <x:c r="AA739" s="5" t="inlineStr">
        <x:is>
          <x:t xml:space="preserve">없음</x:t>
        </x:is>
      </x:c>
      <x:c r="AB739" s="5" t="inlineStr">
        <x:is>
          <x:t xml:space="preserve">평원</x:t>
        </x:is>
      </x:c>
      <x:c r="AC739" s="5" t="inlineStr">
        <x:is>
          <x:t xml:space="preserve">gen7</x:t>
        </x:is>
      </x:c>
      <x:c r="AD739" s="5" t="inlineStr">
        <x:is>
          <x:t xml:space="preserve">.tmp/cobblemon-1.7.3-source/common/src/main/resources/data/cobblemon/species/generation7/gumshoos.json</x:t>
        </x:is>
      </x:c>
    </x:row>
    <x:row r="740" ht="22" customHeight="1">
      <x:c r="A740" s="5" t="n">
        <x:v>736</x:v>
      </x:c>
      <x:c r="B740" s="5" t="inlineStr">
        <x:is>
          <x:t xml:space="preserve">턱지충이</x:t>
        </x:is>
      </x:c>
      <x:c r="C740" s="5" t="inlineStr">
        <x:is>
          <x:t xml:space="preserve">grubbin</x:t>
        </x:is>
      </x:c>
      <x:c r="D740" s="5" t="inlineStr">
        <x:is>
          <x:t xml:space="preserve">Grubbin</x:t>
        </x:is>
      </x:c>
      <x:c r="E740" s="5" t="n">
        <x:v>7</x:v>
      </x:c>
      <x:c r="F740" s="5" t="inlineStr">
        <x:is>
          <x:t xml:space="preserve">벌레</x:t>
        </x:is>
      </x:c>
      <x:c r="G740" s="5" t="inlineStr">
        <x:is>
          <x:t xml:space="preserve"/>
        </x:is>
      </x:c>
      <x:c r="H740" s="5" t="n">
        <x:v>0.4</x:v>
      </x:c>
      <x:c r="I740" s="5" t="n">
        <x:v>4.4</x:v>
      </x:c>
      <x:c r="J740" s="5" t="n">
        <x:v>300</x:v>
      </x:c>
      <x:c r="K740" s="5" t="n">
        <x:v>255</x:v>
      </x:c>
      <x:c r="L740" s="5" t="inlineStr">
        <x:is>
          <x:t xml:space="preserve">기본</x:t>
        </x:is>
      </x:c>
      <x:c r="M740" s="5" t="n">
        <x:v>20</x:v>
      </x:c>
      <x:c r="N740" s="5" t="inlineStr">
        <x:is>
          <x:t xml:space="preserve">레벨·특수</x:t>
        </x:is>
      </x:c>
      <x:c r="O740" s="5" t="inlineStr">
        <x:is>
          <x:t xml:space="preserve">아니오</x:t>
        </x:is>
      </x:c>
      <x:c r="P740" s="5" t="inlineStr">
        <x:is>
          <x:t xml:space="preserve">#cobblemon:is_badlands; #cobblemon:is_jungle</x:t>
        </x:is>
      </x:c>
      <x:c r="Q740" s="5" t="inlineStr">
        <x:is>
          <x:t xml:space="preserve">common</x:t>
        </x:is>
      </x:c>
      <x:c r="R740" s="5" t="inlineStr">
        <x:is>
          <x:t xml:space="preserve"/>
        </x:is>
      </x:c>
      <x:c r="S740" s="5" t="inlineStr">
        <x:is>
          <x:t xml:space="preserve"/>
        </x:is>
      </x:c>
      <x:c r="T740" s="5" t="inlineStr">
        <x:is>
          <x:t xml:space="preserve">육상</x:t>
        </x:is>
      </x:c>
      <x:c r="U740" s="5" t="inlineStr">
        <x:is>
          <x:t xml:space="preserve">건조</x:t>
        </x:is>
      </x:c>
      <x:c r="V740" s="5" t="inlineStr">
        <x:is>
          <x:t xml:space="preserve">고온</x:t>
        </x:is>
      </x:c>
      <x:c r="W740" s="5" t="inlineStr">
        <x:is>
          <x:t xml:space="preserve">다습</x:t>
        </x:is>
      </x:c>
      <x:c r="X740" s="5" t="inlineStr">
        <x:is>
          <x:t xml:space="preserve">맑음</x:t>
        </x:is>
      </x:c>
      <x:c r="Y740" s="5" t="inlineStr">
        <x:is>
          <x:t xml:space="preserve">무관</x:t>
        </x:is>
      </x:c>
      <x:c r="Z740" s="5" t="inlineStr">
        <x:is>
          <x:t xml:space="preserve">흔함</x:t>
        </x:is>
      </x:c>
      <x:c r="AA740" s="5" t="inlineStr">
        <x:is>
          <x:t xml:space="preserve">없음</x:t>
        </x:is>
      </x:c>
      <x:c r="AB740" s="5" t="inlineStr">
        <x:is>
          <x:t xml:space="preserve">건조지</x:t>
        </x:is>
      </x:c>
      <x:c r="AC740" s="5" t="inlineStr">
        <x:is>
          <x:t xml:space="preserve">gen7</x:t>
        </x:is>
      </x:c>
      <x:c r="AD740" s="5" t="inlineStr">
        <x:is>
          <x:t xml:space="preserve">.tmp/cobblemon-1.7.3-source/common/src/main/resources/data/cobblemon/species/generation7/grubbin.json</x:t>
        </x:is>
      </x:c>
    </x:row>
    <x:row r="741" ht="22" customHeight="1">
      <x:c r="A741" s="5" t="n">
        <x:v>737</x:v>
      </x:c>
      <x:c r="B741" s="5" t="inlineStr">
        <x:is>
          <x:t xml:space="preserve">전지충이</x:t>
        </x:is>
      </x:c>
      <x:c r="C741" s="5" t="inlineStr">
        <x:is>
          <x:t xml:space="preserve">charjabug</x:t>
        </x:is>
      </x:c>
      <x:c r="D741" s="5" t="inlineStr">
        <x:is>
          <x:t xml:space="preserve">Charjabug</x:t>
        </x:is>
      </x:c>
      <x:c r="E741" s="5" t="n">
        <x:v>7</x:v>
      </x:c>
      <x:c r="F741" s="5" t="inlineStr">
        <x:is>
          <x:t xml:space="preserve">벌레</x:t>
        </x:is>
      </x:c>
      <x:c r="G741" s="5" t="inlineStr">
        <x:is>
          <x:t xml:space="preserve">전기</x:t>
        </x:is>
      </x:c>
      <x:c r="H741" s="5" t="n">
        <x:v>0.5</x:v>
      </x:c>
      <x:c r="I741" s="5" t="n">
        <x:v>10.5</x:v>
      </x:c>
      <x:c r="J741" s="5" t="n">
        <x:v>400</x:v>
      </x:c>
      <x:c r="K741" s="5" t="n">
        <x:v>120</x:v>
      </x:c>
      <x:c r="L741" s="5" t="inlineStr">
        <x:is>
          <x:t xml:space="preserve">중간</x:t>
        </x:is>
      </x:c>
      <x:c r="M741" s="5" t="n">
        <x:v>20</x:v>
      </x:c>
      <x:c r="N741" s="5" t="inlineStr">
        <x:is>
          <x:t xml:space="preserve">레벨·특수</x:t>
        </x:is>
      </x:c>
      <x:c r="O741" s="5" t="inlineStr">
        <x:is>
          <x:t xml:space="preserve">아니오</x:t>
        </x:is>
      </x:c>
      <x:c r="P741" s="5" t="inlineStr">
        <x:is>
          <x:t xml:space="preserve">#cobblemon:is_badlands; #cobblemon:is_jungle</x:t>
        </x:is>
      </x:c>
      <x:c r="Q741" s="5" t="inlineStr">
        <x:is>
          <x:t xml:space="preserve">uncommon</x:t>
        </x:is>
      </x:c>
      <x:c r="R741" s="5" t="inlineStr">
        <x:is>
          <x:t xml:space="preserve"/>
        </x:is>
      </x:c>
      <x:c r="S741" s="5" t="inlineStr">
        <x:is>
          <x:t xml:space="preserve"/>
        </x:is>
      </x:c>
      <x:c r="T741" s="5" t="inlineStr">
        <x:is>
          <x:t xml:space="preserve">육상</x:t>
        </x:is>
      </x:c>
      <x:c r="U741" s="5" t="inlineStr">
        <x:is>
          <x:t xml:space="preserve">건조</x:t>
        </x:is>
      </x:c>
      <x:c r="V741" s="5" t="inlineStr">
        <x:is>
          <x:t xml:space="preserve">고온</x:t>
        </x:is>
      </x:c>
      <x:c r="W741" s="5" t="inlineStr">
        <x:is>
          <x:t xml:space="preserve">다습</x:t>
        </x:is>
      </x:c>
      <x:c r="X741" s="5" t="inlineStr">
        <x:is>
          <x:t xml:space="preserve">맑음</x:t>
        </x:is>
      </x:c>
      <x:c r="Y741" s="5" t="inlineStr">
        <x:is>
          <x:t xml:space="preserve">무관</x:t>
        </x:is>
      </x:c>
      <x:c r="Z741" s="5" t="inlineStr">
        <x:is>
          <x:t xml:space="preserve">보통</x:t>
        </x:is>
      </x:c>
      <x:c r="AA741" s="5" t="inlineStr">
        <x:is>
          <x:t xml:space="preserve">없음</x:t>
        </x:is>
      </x:c>
      <x:c r="AB741" s="5" t="inlineStr">
        <x:is>
          <x:t xml:space="preserve">건조지</x:t>
        </x:is>
      </x:c>
      <x:c r="AC741" s="5" t="inlineStr">
        <x:is>
          <x:t xml:space="preserve">gen7</x:t>
        </x:is>
      </x:c>
      <x:c r="AD741" s="5" t="inlineStr">
        <x:is>
          <x:t xml:space="preserve">.tmp/cobblemon-1.7.3-source/common/src/main/resources/data/cobblemon/species/generation7/charjabug.json</x:t>
        </x:is>
      </x:c>
    </x:row>
    <x:row r="742" ht="22" customHeight="1">
      <x:c r="A742" s="5" t="n">
        <x:v>738</x:v>
      </x:c>
      <x:c r="B742" s="5" t="inlineStr">
        <x:is>
          <x:t xml:space="preserve">투구뿌논</x:t>
        </x:is>
      </x:c>
      <x:c r="C742" s="5" t="inlineStr">
        <x:is>
          <x:t xml:space="preserve">vikavolt</x:t>
        </x:is>
      </x:c>
      <x:c r="D742" s="5" t="inlineStr">
        <x:is>
          <x:t xml:space="preserve">Vikavolt</x:t>
        </x:is>
      </x:c>
      <x:c r="E742" s="5" t="n">
        <x:v>7</x:v>
      </x:c>
      <x:c r="F742" s="5" t="inlineStr">
        <x:is>
          <x:t xml:space="preserve">벌레</x:t>
        </x:is>
      </x:c>
      <x:c r="G742" s="5" t="inlineStr">
        <x:is>
          <x:t xml:space="preserve">전기</x:t>
        </x:is>
      </x:c>
      <x:c r="H742" s="5" t="n">
        <x:v>1.5</x:v>
      </x:c>
      <x:c r="I742" s="5" t="n">
        <x:v>45</x:v>
      </x:c>
      <x:c r="J742" s="5" t="n">
        <x:v>500</x:v>
      </x:c>
      <x:c r="K742" s="5" t="n">
        <x:v>45</x:v>
      </x:c>
      <x:c r="L742" s="5" t="inlineStr">
        <x:is>
          <x:t xml:space="preserve">최종</x:t>
        </x:is>
      </x:c>
      <x:c r="M742" s="5" t="n">
        <x:v>20</x:v>
      </x:c>
      <x:c r="N742" s="5" t="inlineStr">
        <x:is>
          <x:t xml:space="preserve">레벨·특수</x:t>
        </x:is>
      </x:c>
      <x:c r="O742" s="5" t="inlineStr">
        <x:is>
          <x:t xml:space="preserve">아니오</x:t>
        </x:is>
      </x:c>
      <x:c r="P742" s="5" t="inlineStr">
        <x:is>
          <x:t xml:space="preserve">#cobblemon:is_badlands; #cobblemon:is_jungle</x:t>
        </x:is>
      </x:c>
      <x:c r="Q742" s="5" t="inlineStr">
        <x:is>
          <x:t xml:space="preserve">rare</x:t>
        </x:is>
      </x:c>
      <x:c r="R742" s="5" t="inlineStr">
        <x:is>
          <x:t xml:space="preserve"/>
        </x:is>
      </x:c>
      <x:c r="S742" s="5" t="inlineStr">
        <x:is>
          <x:t xml:space="preserve"/>
        </x:is>
      </x:c>
      <x:c r="T742" s="5" t="inlineStr">
        <x:is>
          <x:t xml:space="preserve">비행</x:t>
        </x:is>
      </x:c>
      <x:c r="U742" s="5" t="inlineStr">
        <x:is>
          <x:t xml:space="preserve">건조</x:t>
        </x:is>
      </x:c>
      <x:c r="V742" s="5" t="inlineStr">
        <x:is>
          <x:t xml:space="preserve">고온</x:t>
        </x:is>
      </x:c>
      <x:c r="W742" s="5" t="inlineStr">
        <x:is>
          <x:t xml:space="preserve">다습</x:t>
        </x:is>
      </x:c>
      <x:c r="X742" s="5" t="inlineStr">
        <x:is>
          <x:t xml:space="preserve">맑음</x:t>
        </x:is>
      </x:c>
      <x:c r="Y742" s="5" t="inlineStr">
        <x:is>
          <x:t xml:space="preserve">무관</x:t>
        </x:is>
      </x:c>
      <x:c r="Z742" s="5" t="inlineStr">
        <x:is>
          <x:t xml:space="preserve">드묾</x:t>
        </x:is>
      </x:c>
      <x:c r="AA742" s="5" t="inlineStr">
        <x:is>
          <x:t xml:space="preserve">없음</x:t>
        </x:is>
      </x:c>
      <x:c r="AB742" s="5" t="inlineStr">
        <x:is>
          <x:t xml:space="preserve">건조지</x:t>
        </x:is>
      </x:c>
      <x:c r="AC742" s="5" t="inlineStr">
        <x:is>
          <x:t xml:space="preserve">gen7</x:t>
        </x:is>
      </x:c>
      <x:c r="AD742" s="5" t="inlineStr">
        <x:is>
          <x:t xml:space="preserve">.tmp/cobblemon-1.7.3-source/common/src/main/resources/data/cobblemon/species/generation7/vikavolt.json</x:t>
        </x:is>
      </x:c>
    </x:row>
    <x:row r="743" ht="22" customHeight="1">
      <x:c r="A743" s="5" t="n">
        <x:v>739</x:v>
      </x:c>
      <x:c r="B743" s="5" t="inlineStr">
        <x:is>
          <x:t xml:space="preserve">오기지게</x:t>
        </x:is>
      </x:c>
      <x:c r="C743" s="5" t="inlineStr">
        <x:is>
          <x:t xml:space="preserve">crabrawler</x:t>
        </x:is>
      </x:c>
      <x:c r="D743" s="5" t="inlineStr">
        <x:is>
          <x:t xml:space="preserve">Crabrawler</x:t>
        </x:is>
      </x:c>
      <x:c r="E743" s="5" t="n">
        <x:v>7</x:v>
      </x:c>
      <x:c r="F743" s="5" t="inlineStr">
        <x:is>
          <x:t xml:space="preserve">격투</x:t>
        </x:is>
      </x:c>
      <x:c r="G743" s="5" t="inlineStr">
        <x:is>
          <x:t xml:space="preserve"/>
        </x:is>
      </x:c>
      <x:c r="H743" s="5" t="n">
        <x:v>0.6</x:v>
      </x:c>
      <x:c r="I743" s="5" t="n">
        <x:v>7</x:v>
      </x:c>
      <x:c r="J743" s="5" t="n">
        <x:v>338</x:v>
      </x:c>
      <x:c r="K743" s="5" t="n">
        <x:v>225</x:v>
      </x:c>
      <x:c r="L743" s="5" t="inlineStr">
        <x:is>
          <x:t xml:space="preserve">기본</x:t>
        </x:is>
      </x:c>
      <x:c r="M743" s="5" t="n"/>
      <x:c r="N743" s="5" t="inlineStr">
        <x:is>
          <x:t xml:space="preserve">특수</x:t>
        </x:is>
      </x:c>
      <x:c r="O743" s="5" t="inlineStr">
        <x:is>
          <x:t xml:space="preserve">예</x:t>
        </x:is>
      </x:c>
      <x:c r="P743" s="5" t="inlineStr">
        <x:is>
          <x:t xml:space="preserve">#cobblemon:is_coast</x:t>
        </x:is>
      </x:c>
      <x:c r="Q743" s="5" t="inlineStr">
        <x:is>
          <x:t xml:space="preserve">common</x:t>
        </x:is>
      </x:c>
      <x:c r="R743" s="5" t="inlineStr">
        <x:is>
          <x:t xml:space="preserve"/>
        </x:is>
      </x:c>
      <x:c r="S743" s="5" t="inlineStr">
        <x:is>
          <x:t xml:space="preserve"/>
        </x:is>
      </x:c>
      <x:c r="T743" s="5" t="inlineStr">
        <x:is>
          <x:t xml:space="preserve">해양</x:t>
        </x:is>
      </x:c>
      <x:c r="U743" s="5" t="inlineStr">
        <x:is>
          <x:t xml:space="preserve">해안·해양</x:t>
        </x:is>
      </x:c>
      <x:c r="V743" s="5" t="inlineStr">
        <x:is>
          <x:t xml:space="preserve">온대</x:t>
        </x:is>
      </x:c>
      <x:c r="W743" s="5" t="inlineStr">
        <x:is>
          <x:t xml:space="preserve">수중</x:t>
        </x:is>
      </x:c>
      <x:c r="X743" s="5" t="inlineStr">
        <x:is>
          <x:t xml:space="preserve">비</x:t>
        </x:is>
      </x:c>
      <x:c r="Y743" s="5" t="inlineStr">
        <x:is>
          <x:t xml:space="preserve">무관</x:t>
        </x:is>
      </x:c>
      <x:c r="Z743" s="5" t="inlineStr">
        <x:is>
          <x:t xml:space="preserve">흔함</x:t>
        </x:is>
      </x:c>
      <x:c r="AA743" s="5" t="inlineStr">
        <x:is>
          <x:t xml:space="preserve">없음</x:t>
        </x:is>
      </x:c>
      <x:c r="AB743" s="5" t="inlineStr">
        <x:is>
          <x:t xml:space="preserve">해양</x:t>
        </x:is>
      </x:c>
      <x:c r="AC743" s="5" t="inlineStr">
        <x:is>
          <x:t xml:space="preserve">gen7</x:t>
        </x:is>
      </x:c>
      <x:c r="AD743" s="5" t="inlineStr">
        <x:is>
          <x:t xml:space="preserve">.tmp/cobblemon-1.7.3-source/common/src/main/resources/data/cobblemon/species/generation7/crabrawler.json</x:t>
        </x:is>
      </x:c>
    </x:row>
    <x:row r="744" ht="22" customHeight="1">
      <x:c r="A744" s="5" t="n">
        <x:v>740</x:v>
      </x:c>
      <x:c r="B744" s="5" t="inlineStr">
        <x:is>
          <x:t xml:space="preserve">모단단게</x:t>
        </x:is>
      </x:c>
      <x:c r="C744" s="5" t="inlineStr">
        <x:is>
          <x:t xml:space="preserve">crabominable</x:t>
        </x:is>
      </x:c>
      <x:c r="D744" s="5" t="inlineStr">
        <x:is>
          <x:t xml:space="preserve">Crabominable</x:t>
        </x:is>
      </x:c>
      <x:c r="E744" s="5" t="n">
        <x:v>7</x:v>
      </x:c>
      <x:c r="F744" s="5" t="inlineStr">
        <x:is>
          <x:t xml:space="preserve">격투</x:t>
        </x:is>
      </x:c>
      <x:c r="G744" s="5" t="inlineStr">
        <x:is>
          <x:t xml:space="preserve">얼음</x:t>
        </x:is>
      </x:c>
      <x:c r="H744" s="5" t="n">
        <x:v>1.7</x:v>
      </x:c>
      <x:c r="I744" s="5" t="n">
        <x:v>180</x:v>
      </x:c>
      <x:c r="J744" s="5" t="n">
        <x:v>478</x:v>
      </x:c>
      <x:c r="K744" s="5" t="n">
        <x:v>60</x:v>
      </x:c>
      <x:c r="L744" s="5" t="inlineStr">
        <x:is>
          <x:t xml:space="preserve">최종</x:t>
        </x:is>
      </x:c>
      <x:c r="M744" s="5" t="n"/>
      <x:c r="N744" s="5" t="inlineStr">
        <x:is>
          <x:t xml:space="preserve">특수</x:t>
        </x:is>
      </x:c>
      <x:c r="O744" s="5" t="inlineStr">
        <x:is>
          <x:t xml:space="preserve">예</x:t>
        </x:is>
      </x:c>
      <x:c r="P744" s="5" t="inlineStr">
        <x:is>
          <x:t xml:space="preserve">#cobblemon:is_peak</x:t>
        </x:is>
      </x:c>
      <x:c r="Q744" s="5" t="inlineStr">
        <x:is>
          <x:t xml:space="preserve">uncommon</x:t>
        </x:is>
      </x:c>
      <x:c r="R744" s="5" t="inlineStr">
        <x:is>
          <x:t xml:space="preserve"/>
        </x:is>
      </x:c>
      <x:c r="S744" s="5" t="inlineStr">
        <x:is>
          <x:t xml:space="preserve"/>
        </x:is>
      </x:c>
      <x:c r="T744" s="5" t="inlineStr">
        <x:is>
          <x:t xml:space="preserve">육상</x:t>
        </x:is>
      </x:c>
      <x:c r="U744" s="5" t="inlineStr">
        <x:is>
          <x:t xml:space="preserve">암석</x:t>
        </x:is>
      </x:c>
      <x:c r="V744" s="5" t="inlineStr">
        <x:is>
          <x:t xml:space="preserve">한랭</x:t>
        </x:is>
      </x:c>
      <x:c r="W744" s="5" t="inlineStr">
        <x:is>
          <x:t xml:space="preserve">보통</x:t>
        </x:is>
      </x:c>
      <x:c r="X744" s="5" t="inlineStr">
        <x:is>
          <x:t xml:space="preserve">무관</x:t>
        </x:is>
      </x:c>
      <x:c r="Y744" s="5" t="inlineStr">
        <x:is>
          <x:t xml:space="preserve">무관</x:t>
        </x:is>
      </x:c>
      <x:c r="Z744" s="5" t="inlineStr">
        <x:is>
          <x:t xml:space="preserve">보통</x:t>
        </x:is>
      </x:c>
      <x:c r="AA744" s="5" t="inlineStr">
        <x:is>
          <x:t xml:space="preserve">없음</x:t>
        </x:is>
      </x:c>
      <x:c r="AB744" s="5" t="inlineStr">
        <x:is>
          <x:t xml:space="preserve">산악</x:t>
        </x:is>
      </x:c>
      <x:c r="AC744" s="5" t="inlineStr">
        <x:is>
          <x:t xml:space="preserve">gen7</x:t>
        </x:is>
      </x:c>
      <x:c r="AD744" s="5" t="inlineStr">
        <x:is>
          <x:t xml:space="preserve">.tmp/cobblemon-1.7.3-source/common/src/main/resources/data/cobblemon/species/generation7/crabominable.json</x:t>
        </x:is>
      </x:c>
    </x:row>
    <x:row r="745" ht="22" customHeight="1">
      <x:c r="A745" s="5" t="n">
        <x:v>741</x:v>
      </x:c>
      <x:c r="B745" s="5" t="inlineStr">
        <x:is>
          <x:t xml:space="preserve">춤추새</x:t>
        </x:is>
      </x:c>
      <x:c r="C745" s="5" t="inlineStr">
        <x:is>
          <x:t xml:space="preserve">oricorio</x:t>
        </x:is>
      </x:c>
      <x:c r="D745" s="5" t="inlineStr">
        <x:is>
          <x:t xml:space="preserve">Oricorio</x:t>
        </x:is>
      </x:c>
      <x:c r="E745" s="5" t="n">
        <x:v>7</x:v>
      </x:c>
      <x:c r="F745" s="5" t="inlineStr">
        <x:is>
          <x:t xml:space="preserve">불꽃</x:t>
        </x:is>
      </x:c>
      <x:c r="G745" s="5" t="inlineStr">
        <x:is>
          <x:t xml:space="preserve">비행</x:t>
        </x:is>
      </x:c>
      <x:c r="H745" s="5" t="n">
        <x:v>0.6</x:v>
      </x:c>
      <x:c r="I745" s="5" t="n">
        <x:v>3.4</x:v>
      </x:c>
      <x:c r="J745" s="5" t="n">
        <x:v>476</x:v>
      </x:c>
      <x:c r="K745" s="5" t="n">
        <x:v>45</x:v>
      </x:c>
      <x:c r="L745" s="5" t="inlineStr">
        <x:is>
          <x:t xml:space="preserve">무진화</x:t>
        </x:is>
      </x:c>
      <x:c r="M745" s="5" t="n"/>
      <x:c r="N745" s="5" t="inlineStr">
        <x:is>
          <x:t xml:space="preserve">없음</x:t>
        </x:is>
      </x:c>
      <x:c r="O745" s="5" t="inlineStr">
        <x:is>
          <x:t xml:space="preserve">아니오</x:t>
        </x:is>
      </x:c>
      <x:c r="P745" s="5" t="inlineStr">
        <x:is>
          <x:t xml:space="preserve">#cobblemon:is_floral; #cobblemon:is_forest; #cobblemon:is_hills; #cobblemon:is_jungle; #cobblemon:is_mountain; #cobblemon:is_plains</x:t>
        </x:is>
      </x:c>
      <x:c r="Q745" s="5" t="inlineStr">
        <x:is>
          <x:t xml:space="preserve">uncommon</x:t>
        </x:is>
      </x:c>
      <x:c r="R745" s="5" t="inlineStr">
        <x:is>
          <x:t xml:space="preserve"/>
        </x:is>
      </x:c>
      <x:c r="S745" s="5" t="inlineStr">
        <x:is>
          <x:t xml:space="preserve"/>
        </x:is>
      </x:c>
      <x:c r="T745" s="5" t="inlineStr">
        <x:is>
          <x:t xml:space="preserve">비행</x:t>
        </x:is>
      </x:c>
      <x:c r="U745" s="5" t="inlineStr">
        <x:is>
          <x:t xml:space="preserve">암석</x:t>
        </x:is>
      </x:c>
      <x:c r="V745" s="5" t="inlineStr">
        <x:is>
          <x:t xml:space="preserve">고온</x:t>
        </x:is>
      </x:c>
      <x:c r="W745" s="5" t="inlineStr">
        <x:is>
          <x:t xml:space="preserve">다습</x:t>
        </x:is>
      </x:c>
      <x:c r="X745" s="5" t="inlineStr">
        <x:is>
          <x:t xml:space="preserve">무관</x:t>
        </x:is>
      </x:c>
      <x:c r="Y745" s="5" t="inlineStr">
        <x:is>
          <x:t xml:space="preserve">무관</x:t>
        </x:is>
      </x:c>
      <x:c r="Z745" s="5" t="inlineStr">
        <x:is>
          <x:t xml:space="preserve">보통</x:t>
        </x:is>
      </x:c>
      <x:c r="AA745" s="5" t="inlineStr">
        <x:is>
          <x:t xml:space="preserve">없음</x:t>
        </x:is>
      </x:c>
      <x:c r="AB745" s="5" t="inlineStr">
        <x:is>
          <x:t xml:space="preserve">산악</x:t>
        </x:is>
      </x:c>
      <x:c r="AC745" s="5" t="inlineStr">
        <x:is>
          <x:t xml:space="preserve">gen7</x:t>
        </x:is>
      </x:c>
      <x:c r="AD745" s="5" t="inlineStr">
        <x:is>
          <x:t xml:space="preserve">.tmp/cobblemon-1.7.3-source/common/src/main/resources/data/cobblemon/species/generation7/oricorio.json</x:t>
        </x:is>
      </x:c>
    </x:row>
    <x:row r="746" ht="22" customHeight="1">
      <x:c r="A746" s="5" t="n">
        <x:v>742</x:v>
      </x:c>
      <x:c r="B746" s="5" t="inlineStr">
        <x:is>
          <x:t xml:space="preserve">에블리</x:t>
        </x:is>
      </x:c>
      <x:c r="C746" s="5" t="inlineStr">
        <x:is>
          <x:t xml:space="preserve">cutiefly</x:t>
        </x:is>
      </x:c>
      <x:c r="D746" s="5" t="inlineStr">
        <x:is>
          <x:t xml:space="preserve">Cutiefly</x:t>
        </x:is>
      </x:c>
      <x:c r="E746" s="5" t="n">
        <x:v>7</x:v>
      </x:c>
      <x:c r="F746" s="5" t="inlineStr">
        <x:is>
          <x:t xml:space="preserve">벌레</x:t>
        </x:is>
      </x:c>
      <x:c r="G746" s="5" t="inlineStr">
        <x:is>
          <x:t xml:space="preserve">페어리</x:t>
        </x:is>
      </x:c>
      <x:c r="H746" s="5" t="n">
        <x:v>0.1</x:v>
      </x:c>
      <x:c r="I746" s="5" t="n">
        <x:v>0.2</x:v>
      </x:c>
      <x:c r="J746" s="5" t="n">
        <x:v>304</x:v>
      </x:c>
      <x:c r="K746" s="5" t="n">
        <x:v>190</x:v>
      </x:c>
      <x:c r="L746" s="5" t="inlineStr">
        <x:is>
          <x:t xml:space="preserve">기본</x:t>
        </x:is>
      </x:c>
      <x:c r="M746" s="5" t="n">
        <x:v>25</x:v>
      </x:c>
      <x:c r="N746" s="5" t="inlineStr">
        <x:is>
          <x:t xml:space="preserve">레벨</x:t>
        </x:is>
      </x:c>
      <x:c r="O746" s="5" t="inlineStr">
        <x:is>
          <x:t xml:space="preserve">예</x:t>
        </x:is>
      </x:c>
      <x:c r="P746" s="5" t="inlineStr">
        <x:is>
          <x:t xml:space="preserve">#aether:is_aether; #cobblemon:is_floral; #cobblemon:is_overworld; the_bumblezone:floral_meadow; the_bumblezone:pollinated_fields</x:t>
        </x:is>
      </x:c>
      <x:c r="Q746" s="5" t="inlineStr">
        <x:is>
          <x:t xml:space="preserve">common</x:t>
        </x:is>
      </x:c>
      <x:c r="R746" s="5" t="inlineStr">
        <x:is>
          <x:t xml:space="preserve">day</x:t>
        </x:is>
      </x:c>
      <x:c r="S746" s="5" t="inlineStr">
        <x:is>
          <x:t xml:space="preserve">비=False</x:t>
        </x:is>
      </x:c>
      <x:c r="T746" s="5" t="inlineStr">
        <x:is>
          <x:t xml:space="preserve">비행</x:t>
        </x:is>
      </x:c>
      <x:c r="U746" s="5" t="inlineStr">
        <x:is>
          <x:t xml:space="preserve">개활지</x:t>
        </x:is>
      </x:c>
      <x:c r="V746" s="5" t="inlineStr">
        <x:is>
          <x:t xml:space="preserve">온대</x:t>
        </x:is>
      </x:c>
      <x:c r="W746" s="5" t="inlineStr">
        <x:is>
          <x:t xml:space="preserve">보통</x:t>
        </x:is>
      </x:c>
      <x:c r="X746" s="5" t="inlineStr">
        <x:is>
          <x:t xml:space="preserve">무관</x:t>
        </x:is>
      </x:c>
      <x:c r="Y746" s="5" t="inlineStr">
        <x:is>
          <x:t xml:space="preserve">낮</x:t>
        </x:is>
      </x:c>
      <x:c r="Z746" s="5" t="inlineStr">
        <x:is>
          <x:t xml:space="preserve">흔함</x:t>
        </x:is>
      </x:c>
      <x:c r="AA746" s="5" t="inlineStr">
        <x:is>
          <x:t xml:space="preserve">없음</x:t>
        </x:is>
      </x:c>
      <x:c r="AB746" s="5" t="inlineStr">
        <x:is>
          <x:t xml:space="preserve">평원</x:t>
        </x:is>
      </x:c>
      <x:c r="AC746" s="5" t="inlineStr">
        <x:is>
          <x:t xml:space="preserve">gen7</x:t>
        </x:is>
      </x:c>
      <x:c r="AD746" s="5" t="inlineStr">
        <x:is>
          <x:t xml:space="preserve">.tmp/cobblemon-1.7.3-source/common/src/main/resources/data/cobblemon/species/generation7/cutiefly.json</x:t>
        </x:is>
      </x:c>
    </x:row>
    <x:row r="747" ht="22" customHeight="1">
      <x:c r="A747" s="5" t="n">
        <x:v>743</x:v>
      </x:c>
      <x:c r="B747" s="5" t="inlineStr">
        <x:is>
          <x:t xml:space="preserve">에리본</x:t>
        </x:is>
      </x:c>
      <x:c r="C747" s="5" t="inlineStr">
        <x:is>
          <x:t xml:space="preserve">ribombee</x:t>
        </x:is>
      </x:c>
      <x:c r="D747" s="5" t="inlineStr">
        <x:is>
          <x:t xml:space="preserve">Ribombee</x:t>
        </x:is>
      </x:c>
      <x:c r="E747" s="5" t="n">
        <x:v>7</x:v>
      </x:c>
      <x:c r="F747" s="5" t="inlineStr">
        <x:is>
          <x:t xml:space="preserve">벌레</x:t>
        </x:is>
      </x:c>
      <x:c r="G747" s="5" t="inlineStr">
        <x:is>
          <x:t xml:space="preserve">페어리</x:t>
        </x:is>
      </x:c>
      <x:c r="H747" s="5" t="n">
        <x:v>0.2</x:v>
      </x:c>
      <x:c r="I747" s="5" t="n">
        <x:v>0.5</x:v>
      </x:c>
      <x:c r="J747" s="5" t="n">
        <x:v>464</x:v>
      </x:c>
      <x:c r="K747" s="5" t="n">
        <x:v>75</x:v>
      </x:c>
      <x:c r="L747" s="5" t="inlineStr">
        <x:is>
          <x:t xml:space="preserve">최종</x:t>
        </x:is>
      </x:c>
      <x:c r="M747" s="5" t="n">
        <x:v>25</x:v>
      </x:c>
      <x:c r="N747" s="5" t="inlineStr">
        <x:is>
          <x:t xml:space="preserve">레벨</x:t>
        </x:is>
      </x:c>
      <x:c r="O747" s="5" t="inlineStr">
        <x:is>
          <x:t xml:space="preserve">예</x:t>
        </x:is>
      </x:c>
      <x:c r="P747" s="5" t="inlineStr">
        <x:is>
          <x:t xml:space="preserve">#aether:is_aether; #cobblemon:is_floral; #cobblemon:is_overworld; the_bumblezone:floral_meadow; the_bumblezone:pollinated_fields</x:t>
        </x:is>
      </x:c>
      <x:c r="Q747" s="5" t="inlineStr">
        <x:is>
          <x:t xml:space="preserve">common</x:t>
        </x:is>
      </x:c>
      <x:c r="R747" s="5" t="inlineStr">
        <x:is>
          <x:t xml:space="preserve">day</x:t>
        </x:is>
      </x:c>
      <x:c r="S747" s="5" t="inlineStr">
        <x:is>
          <x:t xml:space="preserve">비=False</x:t>
        </x:is>
      </x:c>
      <x:c r="T747" s="5" t="inlineStr">
        <x:is>
          <x:t xml:space="preserve">비행</x:t>
        </x:is>
      </x:c>
      <x:c r="U747" s="5" t="inlineStr">
        <x:is>
          <x:t xml:space="preserve">개활지</x:t>
        </x:is>
      </x:c>
      <x:c r="V747" s="5" t="inlineStr">
        <x:is>
          <x:t xml:space="preserve">온대</x:t>
        </x:is>
      </x:c>
      <x:c r="W747" s="5" t="inlineStr">
        <x:is>
          <x:t xml:space="preserve">보통</x:t>
        </x:is>
      </x:c>
      <x:c r="X747" s="5" t="inlineStr">
        <x:is>
          <x:t xml:space="preserve">무관</x:t>
        </x:is>
      </x:c>
      <x:c r="Y747" s="5" t="inlineStr">
        <x:is>
          <x:t xml:space="preserve">낮</x:t>
        </x:is>
      </x:c>
      <x:c r="Z747" s="5" t="inlineStr">
        <x:is>
          <x:t xml:space="preserve">흔함</x:t>
        </x:is>
      </x:c>
      <x:c r="AA747" s="5" t="inlineStr">
        <x:is>
          <x:t xml:space="preserve">없음</x:t>
        </x:is>
      </x:c>
      <x:c r="AB747" s="5" t="inlineStr">
        <x:is>
          <x:t xml:space="preserve">평원</x:t>
        </x:is>
      </x:c>
      <x:c r="AC747" s="5" t="inlineStr">
        <x:is>
          <x:t xml:space="preserve">gen7</x:t>
        </x:is>
      </x:c>
      <x:c r="AD747" s="5" t="inlineStr">
        <x:is>
          <x:t xml:space="preserve">.tmp/cobblemon-1.7.3-source/common/src/main/resources/data/cobblemon/species/generation7/ribombee.json</x:t>
        </x:is>
      </x:c>
    </x:row>
    <x:row r="748" ht="22" customHeight="1">
      <x:c r="A748" s="5" t="n">
        <x:v>744</x:v>
      </x:c>
      <x:c r="B748" s="5" t="inlineStr">
        <x:is>
          <x:t xml:space="preserve">암멍이</x:t>
        </x:is>
      </x:c>
      <x:c r="C748" s="5" t="inlineStr">
        <x:is>
          <x:t xml:space="preserve">rockruff</x:t>
        </x:is>
      </x:c>
      <x:c r="D748" s="5" t="inlineStr">
        <x:is>
          <x:t xml:space="preserve">Rockruff</x:t>
        </x:is>
      </x:c>
      <x:c r="E748" s="5" t="n">
        <x:v>7</x:v>
      </x:c>
      <x:c r="F748" s="5" t="inlineStr">
        <x:is>
          <x:t xml:space="preserve">바위</x:t>
        </x:is>
      </x:c>
      <x:c r="G748" s="5" t="inlineStr">
        <x:is>
          <x:t xml:space="preserve"/>
        </x:is>
      </x:c>
      <x:c r="H748" s="5" t="n">
        <x:v>0.5</x:v>
      </x:c>
      <x:c r="I748" s="5" t="n">
        <x:v>9.199999999999999</x:v>
      </x:c>
      <x:c r="J748" s="5" t="n">
        <x:v>280</x:v>
      </x:c>
      <x:c r="K748" s="5" t="n">
        <x:v>190</x:v>
      </x:c>
      <x:c r="L748" s="5" t="inlineStr">
        <x:is>
          <x:t xml:space="preserve">기본</x:t>
        </x:is>
      </x:c>
      <x:c r="M748" s="5" t="n">
        <x:v>25</x:v>
      </x:c>
      <x:c r="N748" s="5" t="inlineStr">
        <x:is>
          <x:t xml:space="preserve">레벨·특수</x:t>
        </x:is>
      </x:c>
      <x:c r="O748" s="5" t="inlineStr">
        <x:is>
          <x:t xml:space="preserve">아니오</x:t>
        </x:is>
      </x:c>
      <x:c r="P748" s="5" t="inlineStr">
        <x:is>
          <x:t xml:space="preserve">#cobblemon:is_hills</x:t>
        </x:is>
      </x:c>
      <x:c r="Q748" s="5" t="inlineStr">
        <x:is>
          <x:t xml:space="preserve">uncommon</x:t>
        </x:is>
      </x:c>
      <x:c r="R748" s="5" t="inlineStr">
        <x:is>
          <x:t xml:space="preserve"/>
        </x:is>
      </x:c>
      <x:c r="S748" s="5" t="inlineStr">
        <x:is>
          <x:t xml:space="preserve"/>
        </x:is>
      </x:c>
      <x:c r="T748" s="5" t="inlineStr">
        <x:is>
          <x:t xml:space="preserve">육상</x:t>
        </x:is>
      </x:c>
      <x:c r="U748" s="5" t="inlineStr">
        <x:is>
          <x:t xml:space="preserve">암석</x:t>
        </x:is>
      </x:c>
      <x:c r="V748" s="5" t="inlineStr">
        <x:is>
          <x:t xml:space="preserve">온대</x:t>
        </x:is>
      </x:c>
      <x:c r="W748" s="5" t="inlineStr">
        <x:is>
          <x:t xml:space="preserve">보통</x:t>
        </x:is>
      </x:c>
      <x:c r="X748" s="5" t="inlineStr">
        <x:is>
          <x:t xml:space="preserve">무관</x:t>
        </x:is>
      </x:c>
      <x:c r="Y748" s="5" t="inlineStr">
        <x:is>
          <x:t xml:space="preserve">무관</x:t>
        </x:is>
      </x:c>
      <x:c r="Z748" s="5" t="inlineStr">
        <x:is>
          <x:t xml:space="preserve">보통</x:t>
        </x:is>
      </x:c>
      <x:c r="AA748" s="5" t="inlineStr">
        <x:is>
          <x:t xml:space="preserve">없음</x:t>
        </x:is>
      </x:c>
      <x:c r="AB748" s="5" t="inlineStr">
        <x:is>
          <x:t xml:space="preserve">산악</x:t>
        </x:is>
      </x:c>
      <x:c r="AC748" s="5" t="inlineStr">
        <x:is>
          <x:t xml:space="preserve">gen7</x:t>
        </x:is>
      </x:c>
      <x:c r="AD748" s="5" t="inlineStr">
        <x:is>
          <x:t xml:space="preserve">.tmp/cobblemon-1.7.3-source/common/src/main/resources/data/cobblemon/species/generation7/rockruff.json</x:t>
        </x:is>
      </x:c>
    </x:row>
    <x:row r="749" ht="22" customHeight="1">
      <x:c r="A749" s="5" t="n">
        <x:v>745</x:v>
      </x:c>
      <x:c r="B749" s="5" t="inlineStr">
        <x:is>
          <x:t xml:space="preserve">루가루암</x:t>
        </x:is>
      </x:c>
      <x:c r="C749" s="5" t="inlineStr">
        <x:is>
          <x:t xml:space="preserve">lycanroc</x:t>
        </x:is>
      </x:c>
      <x:c r="D749" s="5" t="inlineStr">
        <x:is>
          <x:t xml:space="preserve">Lycanroc</x:t>
        </x:is>
      </x:c>
      <x:c r="E749" s="5" t="n">
        <x:v>7</x:v>
      </x:c>
      <x:c r="F749" s="5" t="inlineStr">
        <x:is>
          <x:t xml:space="preserve">바위</x:t>
        </x:is>
      </x:c>
      <x:c r="G749" s="5" t="inlineStr">
        <x:is>
          <x:t xml:space="preserve"/>
        </x:is>
      </x:c>
      <x:c r="H749" s="5" t="n">
        <x:v>0.8</x:v>
      </x:c>
      <x:c r="I749" s="5" t="n">
        <x:v>25</x:v>
      </x:c>
      <x:c r="J749" s="5" t="n">
        <x:v>487</x:v>
      </x:c>
      <x:c r="K749" s="5" t="n">
        <x:v>90</x:v>
      </x:c>
      <x:c r="L749" s="5" t="inlineStr">
        <x:is>
          <x:t xml:space="preserve">최종</x:t>
        </x:is>
      </x:c>
      <x:c r="M749" s="5" t="n">
        <x:v>25</x:v>
      </x:c>
      <x:c r="N749" s="5" t="inlineStr">
        <x:is>
          <x:t xml:space="preserve">레벨·특수</x:t>
        </x:is>
      </x:c>
      <x:c r="O749" s="5" t="inlineStr">
        <x:is>
          <x:t xml:space="preserve">아니오</x:t>
        </x:is>
      </x:c>
      <x:c r="P749" s="5" t="inlineStr">
        <x:is>
          <x:t xml:space="preserve">#cobblemon:is_hills; #cobblemon:is_mountain</x:t>
        </x:is>
      </x:c>
      <x:c r="Q749" s="5" t="inlineStr">
        <x:is>
          <x:t xml:space="preserve">uncommon</x:t>
        </x:is>
      </x:c>
      <x:c r="R749" s="5" t="inlineStr">
        <x:is>
          <x:t xml:space="preserve">day; dusk; night</x:t>
        </x:is>
      </x:c>
      <x:c r="S749" s="5" t="inlineStr">
        <x:is>
          <x:t xml:space="preserve"/>
        </x:is>
      </x:c>
      <x:c r="T749" s="5" t="inlineStr">
        <x:is>
          <x:t xml:space="preserve">육상</x:t>
        </x:is>
      </x:c>
      <x:c r="U749" s="5" t="inlineStr">
        <x:is>
          <x:t xml:space="preserve">암석</x:t>
        </x:is>
      </x:c>
      <x:c r="V749" s="5" t="inlineStr">
        <x:is>
          <x:t xml:space="preserve">온대</x:t>
        </x:is>
      </x:c>
      <x:c r="W749" s="5" t="inlineStr">
        <x:is>
          <x:t xml:space="preserve">보통</x:t>
        </x:is>
      </x:c>
      <x:c r="X749" s="5" t="inlineStr">
        <x:is>
          <x:t xml:space="preserve">무관</x:t>
        </x:is>
      </x:c>
      <x:c r="Y749" s="5" t="inlineStr">
        <x:is>
          <x:t xml:space="preserve">밤</x:t>
        </x:is>
      </x:c>
      <x:c r="Z749" s="5" t="inlineStr">
        <x:is>
          <x:t xml:space="preserve">보통</x:t>
        </x:is>
      </x:c>
      <x:c r="AA749" s="5" t="inlineStr">
        <x:is>
          <x:t xml:space="preserve">없음</x:t>
        </x:is>
      </x:c>
      <x:c r="AB749" s="5" t="inlineStr">
        <x:is>
          <x:t xml:space="preserve">산악</x:t>
        </x:is>
      </x:c>
      <x:c r="AC749" s="5" t="inlineStr">
        <x:is>
          <x:t xml:space="preserve">gen7</x:t>
        </x:is>
      </x:c>
      <x:c r="AD749" s="5" t="inlineStr">
        <x:is>
          <x:t xml:space="preserve">.tmp/cobblemon-1.7.3-source/common/src/main/resources/data/cobblemon/species/generation7/lycanroc.json</x:t>
        </x:is>
      </x:c>
    </x:row>
    <x:row r="750" ht="22" customHeight="1">
      <x:c r="A750" s="5" t="n">
        <x:v>746</x:v>
      </x:c>
      <x:c r="B750" s="5" t="inlineStr">
        <x:is>
          <x:t xml:space="preserve">약어리</x:t>
        </x:is>
      </x:c>
      <x:c r="C750" s="5" t="inlineStr">
        <x:is>
          <x:t xml:space="preserve">wishiwashi</x:t>
        </x:is>
      </x:c>
      <x:c r="D750" s="5" t="inlineStr">
        <x:is>
          <x:t xml:space="preserve">Wishiwashi</x:t>
        </x:is>
      </x:c>
      <x:c r="E750" s="5" t="n">
        <x:v>7</x:v>
      </x:c>
      <x:c r="F750" s="5" t="inlineStr">
        <x:is>
          <x:t xml:space="preserve">물</x:t>
        </x:is>
      </x:c>
      <x:c r="G750" s="5" t="inlineStr">
        <x:is>
          <x:t xml:space="preserve"/>
        </x:is>
      </x:c>
      <x:c r="H750" s="5" t="n">
        <x:v>0.2</x:v>
      </x:c>
      <x:c r="I750" s="5" t="n">
        <x:v>0.3</x:v>
      </x:c>
      <x:c r="J750" s="5" t="n">
        <x:v>175</x:v>
      </x:c>
      <x:c r="K750" s="5" t="n">
        <x:v>60</x:v>
      </x:c>
      <x:c r="L750" s="5" t="inlineStr">
        <x:is>
          <x:t xml:space="preserve">무진화</x:t>
        </x:is>
      </x:c>
      <x:c r="M750" s="5" t="n"/>
      <x:c r="N750" s="5" t="inlineStr">
        <x:is>
          <x:t xml:space="preserve">없음</x:t>
        </x:is>
      </x:c>
      <x:c r="O750" s="5" t="inlineStr">
        <x:is>
          <x:t xml:space="preserve">예</x:t>
        </x:is>
      </x:c>
      <x:c r="P750" s="5" t="inlineStr">
        <x:is>
          <x:t xml:space="preserve">#cobblemon:is_coast; #cobblemon:is_ocean</x:t>
        </x:is>
      </x:c>
      <x:c r="Q750" s="5" t="inlineStr">
        <x:is>
          <x:t xml:space="preserve">common</x:t>
        </x:is>
      </x:c>
      <x:c r="R750" s="5" t="inlineStr">
        <x:is>
          <x:t xml:space="preserve"/>
        </x:is>
      </x:c>
      <x:c r="S750" s="5" t="inlineStr">
        <x:is>
          <x:t xml:space="preserve"/>
        </x:is>
      </x:c>
      <x:c r="T750" s="5" t="inlineStr">
        <x:is>
          <x:t xml:space="preserve">해양</x:t>
        </x:is>
      </x:c>
      <x:c r="U750" s="5" t="inlineStr">
        <x:is>
          <x:t xml:space="preserve">해안·해양</x:t>
        </x:is>
      </x:c>
      <x:c r="V750" s="5" t="inlineStr">
        <x:is>
          <x:t xml:space="preserve">온대</x:t>
        </x:is>
      </x:c>
      <x:c r="W750" s="5" t="inlineStr">
        <x:is>
          <x:t xml:space="preserve">수중</x:t>
        </x:is>
      </x:c>
      <x:c r="X750" s="5" t="inlineStr">
        <x:is>
          <x:t xml:space="preserve">비</x:t>
        </x:is>
      </x:c>
      <x:c r="Y750" s="5" t="inlineStr">
        <x:is>
          <x:t xml:space="preserve">무관</x:t>
        </x:is>
      </x:c>
      <x:c r="Z750" s="5" t="inlineStr">
        <x:is>
          <x:t xml:space="preserve">흔함</x:t>
        </x:is>
      </x:c>
      <x:c r="AA750" s="5" t="inlineStr">
        <x:is>
          <x:t xml:space="preserve">없음</x:t>
        </x:is>
      </x:c>
      <x:c r="AB750" s="5" t="inlineStr">
        <x:is>
          <x:t xml:space="preserve">해양</x:t>
        </x:is>
      </x:c>
      <x:c r="AC750" s="5" t="inlineStr">
        <x:is>
          <x:t xml:space="preserve">gen7</x:t>
        </x:is>
      </x:c>
      <x:c r="AD750" s="5" t="inlineStr">
        <x:is>
          <x:t xml:space="preserve">.tmp/cobblemon-1.7.3-source/common/src/main/resources/data/cobblemon/species/generation7/wishiwashi.json</x:t>
        </x:is>
      </x:c>
    </x:row>
    <x:row r="751" ht="22" customHeight="1">
      <x:c r="A751" s="5" t="n">
        <x:v>747</x:v>
      </x:c>
      <x:c r="B751" s="5" t="inlineStr">
        <x:is>
          <x:t xml:space="preserve">시마사리</x:t>
        </x:is>
      </x:c>
      <x:c r="C751" s="5" t="inlineStr">
        <x:is>
          <x:t xml:space="preserve">mareanie</x:t>
        </x:is>
      </x:c>
      <x:c r="D751" s="5" t="inlineStr">
        <x:is>
          <x:t xml:space="preserve">Mareanie</x:t>
        </x:is>
      </x:c>
      <x:c r="E751" s="5" t="n">
        <x:v>7</x:v>
      </x:c>
      <x:c r="F751" s="5" t="inlineStr">
        <x:is>
          <x:t xml:space="preserve">독</x:t>
        </x:is>
      </x:c>
      <x:c r="G751" s="5" t="inlineStr">
        <x:is>
          <x:t xml:space="preserve">물</x:t>
        </x:is>
      </x:c>
      <x:c r="H751" s="5" t="n">
        <x:v>0.4</x:v>
      </x:c>
      <x:c r="I751" s="5" t="n">
        <x:v>8</x:v>
      </x:c>
      <x:c r="J751" s="5" t="n">
        <x:v>305</x:v>
      </x:c>
      <x:c r="K751" s="5" t="n">
        <x:v>190</x:v>
      </x:c>
      <x:c r="L751" s="5" t="inlineStr">
        <x:is>
          <x:t xml:space="preserve">기본</x:t>
        </x:is>
      </x:c>
      <x:c r="M751" s="5" t="n">
        <x:v>38</x:v>
      </x:c>
      <x:c r="N751" s="5" t="inlineStr">
        <x:is>
          <x:t xml:space="preserve">레벨</x:t>
        </x:is>
      </x:c>
      <x:c r="O751" s="5" t="inlineStr">
        <x:is>
          <x:t xml:space="preserve">예</x:t>
        </x:is>
      </x:c>
      <x:c r="P751" s="5" t="inlineStr">
        <x:is>
          <x:t xml:space="preserve">#cobblemon:is_coast; #cobblemon:is_warm_ocean</x:t>
        </x:is>
      </x:c>
      <x:c r="Q751" s="5" t="inlineStr">
        <x:is>
          <x:t xml:space="preserve">common; uncommon</x:t>
        </x:is>
      </x:c>
      <x:c r="R751" s="5" t="inlineStr">
        <x:is>
          <x:t xml:space="preserve"/>
        </x:is>
      </x:c>
      <x:c r="S751" s="5" t="inlineStr">
        <x:is>
          <x:t xml:space="preserve"/>
        </x:is>
      </x:c>
      <x:c r="T751" s="5" t="inlineStr">
        <x:is>
          <x:t xml:space="preserve">해양</x:t>
        </x:is>
      </x:c>
      <x:c r="U751" s="5" t="inlineStr">
        <x:is>
          <x:t xml:space="preserve">해안·해양</x:t>
        </x:is>
      </x:c>
      <x:c r="V751" s="5" t="inlineStr">
        <x:is>
          <x:t xml:space="preserve">온대</x:t>
        </x:is>
      </x:c>
      <x:c r="W751" s="5" t="inlineStr">
        <x:is>
          <x:t xml:space="preserve">수중</x:t>
        </x:is>
      </x:c>
      <x:c r="X751" s="5" t="inlineStr">
        <x:is>
          <x:t xml:space="preserve">비</x:t>
        </x:is>
      </x:c>
      <x:c r="Y751" s="5" t="inlineStr">
        <x:is>
          <x:t xml:space="preserve">무관</x:t>
        </x:is>
      </x:c>
      <x:c r="Z751" s="5" t="inlineStr">
        <x:is>
          <x:t xml:space="preserve">보통</x:t>
        </x:is>
      </x:c>
      <x:c r="AA751" s="5" t="inlineStr">
        <x:is>
          <x:t xml:space="preserve">없음</x:t>
        </x:is>
      </x:c>
      <x:c r="AB751" s="5" t="inlineStr">
        <x:is>
          <x:t xml:space="preserve">해양</x:t>
        </x:is>
      </x:c>
      <x:c r="AC751" s="5" t="inlineStr">
        <x:is>
          <x:t xml:space="preserve">gen7</x:t>
        </x:is>
      </x:c>
      <x:c r="AD751" s="5" t="inlineStr">
        <x:is>
          <x:t xml:space="preserve">.tmp/cobblemon-1.7.3-source/common/src/main/resources/data/cobblemon/species/generation7/mareanie.json</x:t>
        </x:is>
      </x:c>
    </x:row>
    <x:row r="752" ht="22" customHeight="1">
      <x:c r="A752" s="5" t="n">
        <x:v>748</x:v>
      </x:c>
      <x:c r="B752" s="5" t="inlineStr">
        <x:is>
          <x:t xml:space="preserve">더시마사리</x:t>
        </x:is>
      </x:c>
      <x:c r="C752" s="5" t="inlineStr">
        <x:is>
          <x:t xml:space="preserve">toxapex</x:t>
        </x:is>
      </x:c>
      <x:c r="D752" s="5" t="inlineStr">
        <x:is>
          <x:t xml:space="preserve">Toxapex</x:t>
        </x:is>
      </x:c>
      <x:c r="E752" s="5" t="n">
        <x:v>7</x:v>
      </x:c>
      <x:c r="F752" s="5" t="inlineStr">
        <x:is>
          <x:t xml:space="preserve">독</x:t>
        </x:is>
      </x:c>
      <x:c r="G752" s="5" t="inlineStr">
        <x:is>
          <x:t xml:space="preserve">물</x:t>
        </x:is>
      </x:c>
      <x:c r="H752" s="5" t="n">
        <x:v>0.7</x:v>
      </x:c>
      <x:c r="I752" s="5" t="n">
        <x:v>14.5</x:v>
      </x:c>
      <x:c r="J752" s="5" t="n">
        <x:v>495</x:v>
      </x:c>
      <x:c r="K752" s="5" t="n">
        <x:v>75</x:v>
      </x:c>
      <x:c r="L752" s="5" t="inlineStr">
        <x:is>
          <x:t xml:space="preserve">최종</x:t>
        </x:is>
      </x:c>
      <x:c r="M752" s="5" t="n">
        <x:v>38</x:v>
      </x:c>
      <x:c r="N752" s="5" t="inlineStr">
        <x:is>
          <x:t xml:space="preserve">레벨</x:t>
        </x:is>
      </x:c>
      <x:c r="O752" s="5" t="inlineStr">
        <x:is>
          <x:t xml:space="preserve">예</x:t>
        </x:is>
      </x:c>
      <x:c r="P752" s="5" t="inlineStr">
        <x:is>
          <x:t xml:space="preserve">#cobblemon:is_coast; #cobblemon:is_warm_ocean</x:t>
        </x:is>
      </x:c>
      <x:c r="Q752" s="5" t="inlineStr">
        <x:is>
          <x:t xml:space="preserve">common; uncommon</x:t>
        </x:is>
      </x:c>
      <x:c r="R752" s="5" t="inlineStr">
        <x:is>
          <x:t xml:space="preserve"/>
        </x:is>
      </x:c>
      <x:c r="S752" s="5" t="inlineStr">
        <x:is>
          <x:t xml:space="preserve"/>
        </x:is>
      </x:c>
      <x:c r="T752" s="5" t="inlineStr">
        <x:is>
          <x:t xml:space="preserve">해양</x:t>
        </x:is>
      </x:c>
      <x:c r="U752" s="5" t="inlineStr">
        <x:is>
          <x:t xml:space="preserve">해안·해양</x:t>
        </x:is>
      </x:c>
      <x:c r="V752" s="5" t="inlineStr">
        <x:is>
          <x:t xml:space="preserve">온대</x:t>
        </x:is>
      </x:c>
      <x:c r="W752" s="5" t="inlineStr">
        <x:is>
          <x:t xml:space="preserve">수중</x:t>
        </x:is>
      </x:c>
      <x:c r="X752" s="5" t="inlineStr">
        <x:is>
          <x:t xml:space="preserve">비</x:t>
        </x:is>
      </x:c>
      <x:c r="Y752" s="5" t="inlineStr">
        <x:is>
          <x:t xml:space="preserve">무관</x:t>
        </x:is>
      </x:c>
      <x:c r="Z752" s="5" t="inlineStr">
        <x:is>
          <x:t xml:space="preserve">보통</x:t>
        </x:is>
      </x:c>
      <x:c r="AA752" s="5" t="inlineStr">
        <x:is>
          <x:t xml:space="preserve">없음</x:t>
        </x:is>
      </x:c>
      <x:c r="AB752" s="5" t="inlineStr">
        <x:is>
          <x:t xml:space="preserve">해양</x:t>
        </x:is>
      </x:c>
      <x:c r="AC752" s="5" t="inlineStr">
        <x:is>
          <x:t xml:space="preserve">gen7</x:t>
        </x:is>
      </x:c>
      <x:c r="AD752" s="5" t="inlineStr">
        <x:is>
          <x:t xml:space="preserve">.tmp/cobblemon-1.7.3-source/common/src/main/resources/data/cobblemon/species/generation7/toxapex.json</x:t>
        </x:is>
      </x:c>
    </x:row>
    <x:row r="753" ht="22" customHeight="1">
      <x:c r="A753" s="5" t="n">
        <x:v>749</x:v>
      </x:c>
      <x:c r="B753" s="5" t="inlineStr">
        <x:is>
          <x:t xml:space="preserve">머드나기</x:t>
        </x:is>
      </x:c>
      <x:c r="C753" s="5" t="inlineStr">
        <x:is>
          <x:t xml:space="preserve">mudbray</x:t>
        </x:is>
      </x:c>
      <x:c r="D753" s="5" t="inlineStr">
        <x:is>
          <x:t xml:space="preserve">Mudbray</x:t>
        </x:is>
      </x:c>
      <x:c r="E753" s="5" t="n">
        <x:v>7</x:v>
      </x:c>
      <x:c r="F753" s="5" t="inlineStr">
        <x:is>
          <x:t xml:space="preserve">땅</x:t>
        </x:is>
      </x:c>
      <x:c r="G753" s="5" t="inlineStr">
        <x:is>
          <x:t xml:space="preserve"/>
        </x:is>
      </x:c>
      <x:c r="H753" s="5" t="n">
        <x:v>1</x:v>
      </x:c>
      <x:c r="I753" s="5" t="n">
        <x:v>110</x:v>
      </x:c>
      <x:c r="J753" s="5" t="n">
        <x:v>385</x:v>
      </x:c>
      <x:c r="K753" s="5" t="n">
        <x:v>190</x:v>
      </x:c>
      <x:c r="L753" s="5" t="inlineStr">
        <x:is>
          <x:t xml:space="preserve">기본</x:t>
        </x:is>
      </x:c>
      <x:c r="M753" s="5" t="n">
        <x:v>30</x:v>
      </x:c>
      <x:c r="N753" s="5" t="inlineStr">
        <x:is>
          <x:t xml:space="preserve">레벨</x:t>
        </x:is>
      </x:c>
      <x:c r="O753" s="5" t="inlineStr">
        <x:is>
          <x:t xml:space="preserve">예</x:t>
        </x:is>
      </x:c>
      <x:c r="P753" s="5" t="inlineStr">
        <x:is>
          <x:t xml:space="preserve">#cobblemon:is_badlands; #cobblemon:is_grassland</x:t>
        </x:is>
      </x:c>
      <x:c r="Q753" s="5" t="inlineStr">
        <x:is>
          <x:t xml:space="preserve">common</x:t>
        </x:is>
      </x:c>
      <x:c r="R753" s="5" t="inlineStr">
        <x:is>
          <x:t xml:space="preserve"/>
        </x:is>
      </x:c>
      <x:c r="S753" s="5" t="inlineStr">
        <x:is>
          <x:t xml:space="preserve"/>
        </x:is>
      </x:c>
      <x:c r="T753" s="5" t="inlineStr">
        <x:is>
          <x:t xml:space="preserve">육상</x:t>
        </x:is>
      </x:c>
      <x:c r="U753" s="5" t="inlineStr">
        <x:is>
          <x:t xml:space="preserve">건조</x:t>
        </x:is>
      </x:c>
      <x:c r="V753" s="5" t="inlineStr">
        <x:is>
          <x:t xml:space="preserve">고온</x:t>
        </x:is>
      </x:c>
      <x:c r="W753" s="5" t="inlineStr">
        <x:is>
          <x:t xml:space="preserve">건조</x:t>
        </x:is>
      </x:c>
      <x:c r="X753" s="5" t="inlineStr">
        <x:is>
          <x:t xml:space="preserve">맑음</x:t>
        </x:is>
      </x:c>
      <x:c r="Y753" s="5" t="inlineStr">
        <x:is>
          <x:t xml:space="preserve">무관</x:t>
        </x:is>
      </x:c>
      <x:c r="Z753" s="5" t="inlineStr">
        <x:is>
          <x:t xml:space="preserve">흔함</x:t>
        </x:is>
      </x:c>
      <x:c r="AA753" s="5" t="inlineStr">
        <x:is>
          <x:t xml:space="preserve">없음</x:t>
        </x:is>
      </x:c>
      <x:c r="AB753" s="5" t="inlineStr">
        <x:is>
          <x:t xml:space="preserve">건조지</x:t>
        </x:is>
      </x:c>
      <x:c r="AC753" s="5" t="inlineStr">
        <x:is>
          <x:t xml:space="preserve">gen7</x:t>
        </x:is>
      </x:c>
      <x:c r="AD753" s="5" t="inlineStr">
        <x:is>
          <x:t xml:space="preserve">.tmp/cobblemon-1.7.3-source/common/src/main/resources/data/cobblemon/species/generation7/mudbray.json</x:t>
        </x:is>
      </x:c>
    </x:row>
    <x:row r="754" ht="22" customHeight="1">
      <x:c r="A754" s="5" t="n">
        <x:v>750</x:v>
      </x:c>
      <x:c r="B754" s="5" t="inlineStr">
        <x:is>
          <x:t xml:space="preserve">만마드</x:t>
        </x:is>
      </x:c>
      <x:c r="C754" s="5" t="inlineStr">
        <x:is>
          <x:t xml:space="preserve">mudsdale</x:t>
        </x:is>
      </x:c>
      <x:c r="D754" s="5" t="inlineStr">
        <x:is>
          <x:t xml:space="preserve">Mudsdale</x:t>
        </x:is>
      </x:c>
      <x:c r="E754" s="5" t="n">
        <x:v>7</x:v>
      </x:c>
      <x:c r="F754" s="5" t="inlineStr">
        <x:is>
          <x:t xml:space="preserve">땅</x:t>
        </x:is>
      </x:c>
      <x:c r="G754" s="5" t="inlineStr">
        <x:is>
          <x:t xml:space="preserve"/>
        </x:is>
      </x:c>
      <x:c r="H754" s="5" t="n">
        <x:v>2.5</x:v>
      </x:c>
      <x:c r="I754" s="5" t="n">
        <x:v>920</x:v>
      </x:c>
      <x:c r="J754" s="5" t="n">
        <x:v>500</x:v>
      </x:c>
      <x:c r="K754" s="5" t="n">
        <x:v>60</x:v>
      </x:c>
      <x:c r="L754" s="5" t="inlineStr">
        <x:is>
          <x:t xml:space="preserve">최종</x:t>
        </x:is>
      </x:c>
      <x:c r="M754" s="5" t="n">
        <x:v>30</x:v>
      </x:c>
      <x:c r="N754" s="5" t="inlineStr">
        <x:is>
          <x:t xml:space="preserve">레벨</x:t>
        </x:is>
      </x:c>
      <x:c r="O754" s="5" t="inlineStr">
        <x:is>
          <x:t xml:space="preserve">예</x:t>
        </x:is>
      </x:c>
      <x:c r="P754" s="5" t="inlineStr">
        <x:is>
          <x:t xml:space="preserve">#cobblemon:is_badlands; #cobblemon:is_grassland</x:t>
        </x:is>
      </x:c>
      <x:c r="Q754" s="5" t="inlineStr">
        <x:is>
          <x:t xml:space="preserve">common</x:t>
        </x:is>
      </x:c>
      <x:c r="R754" s="5" t="inlineStr">
        <x:is>
          <x:t xml:space="preserve"/>
        </x:is>
      </x:c>
      <x:c r="S754" s="5" t="inlineStr">
        <x:is>
          <x:t xml:space="preserve"/>
        </x:is>
      </x:c>
      <x:c r="T754" s="5" t="inlineStr">
        <x:is>
          <x:t xml:space="preserve">육상</x:t>
        </x:is>
      </x:c>
      <x:c r="U754" s="5" t="inlineStr">
        <x:is>
          <x:t xml:space="preserve">건조</x:t>
        </x:is>
      </x:c>
      <x:c r="V754" s="5" t="inlineStr">
        <x:is>
          <x:t xml:space="preserve">고온</x:t>
        </x:is>
      </x:c>
      <x:c r="W754" s="5" t="inlineStr">
        <x:is>
          <x:t xml:space="preserve">건조</x:t>
        </x:is>
      </x:c>
      <x:c r="X754" s="5" t="inlineStr">
        <x:is>
          <x:t xml:space="preserve">맑음</x:t>
        </x:is>
      </x:c>
      <x:c r="Y754" s="5" t="inlineStr">
        <x:is>
          <x:t xml:space="preserve">무관</x:t>
        </x:is>
      </x:c>
      <x:c r="Z754" s="5" t="inlineStr">
        <x:is>
          <x:t xml:space="preserve">흔함</x:t>
        </x:is>
      </x:c>
      <x:c r="AA754" s="5" t="inlineStr">
        <x:is>
          <x:t xml:space="preserve">없음</x:t>
        </x:is>
      </x:c>
      <x:c r="AB754" s="5" t="inlineStr">
        <x:is>
          <x:t xml:space="preserve">건조지</x:t>
        </x:is>
      </x:c>
      <x:c r="AC754" s="5" t="inlineStr">
        <x:is>
          <x:t xml:space="preserve">gen7</x:t>
        </x:is>
      </x:c>
      <x:c r="AD754" s="5" t="inlineStr">
        <x:is>
          <x:t xml:space="preserve">.tmp/cobblemon-1.7.3-source/common/src/main/resources/data/cobblemon/species/generation7/mudsdale.json</x:t>
        </x:is>
      </x:c>
    </x:row>
    <x:row r="755" ht="22" customHeight="1">
      <x:c r="A755" s="5" t="n">
        <x:v>751</x:v>
      </x:c>
      <x:c r="B755" s="5" t="inlineStr">
        <x:is>
          <x:t xml:space="preserve">물거미</x:t>
        </x:is>
      </x:c>
      <x:c r="C755" s="5" t="inlineStr">
        <x:is>
          <x:t xml:space="preserve">dewpider</x:t>
        </x:is>
      </x:c>
      <x:c r="D755" s="5" t="inlineStr">
        <x:is>
          <x:t xml:space="preserve">Dewpider</x:t>
        </x:is>
      </x:c>
      <x:c r="E755" s="5" t="n">
        <x:v>7</x:v>
      </x:c>
      <x:c r="F755" s="5" t="inlineStr">
        <x:is>
          <x:t xml:space="preserve">물</x:t>
        </x:is>
      </x:c>
      <x:c r="G755" s="5" t="inlineStr">
        <x:is>
          <x:t xml:space="preserve">벌레</x:t>
        </x:is>
      </x:c>
      <x:c r="H755" s="5" t="n">
        <x:v>0.3</x:v>
      </x:c>
      <x:c r="I755" s="5" t="n">
        <x:v>4</x:v>
      </x:c>
      <x:c r="J755" s="5" t="n">
        <x:v>269</x:v>
      </x:c>
      <x:c r="K755" s="5" t="n">
        <x:v>200</x:v>
      </x:c>
      <x:c r="L755" s="5" t="inlineStr">
        <x:is>
          <x:t xml:space="preserve">기본</x:t>
        </x:is>
      </x:c>
      <x:c r="M755" s="5" t="n">
        <x:v>22</x:v>
      </x:c>
      <x:c r="N755" s="5" t="inlineStr">
        <x:is>
          <x:t xml:space="preserve">레벨</x:t>
        </x:is>
      </x:c>
      <x:c r="O755" s="5" t="inlineStr">
        <x:is>
          <x:t xml:space="preserve">예</x:t>
        </x:is>
      </x:c>
      <x:c r="P755" s="5" t="inlineStr">
        <x:is>
          <x:t xml:space="preserve">#cobblemon:is_forest; #cobblemon:is_freshwater; #cobblemon:is_grassland; #cobblemon:is_jungle; #cobblemon:is_swamp</x:t>
        </x:is>
      </x:c>
      <x:c r="Q755" s="5" t="inlineStr">
        <x:is>
          <x:t xml:space="preserve">common; uncommon</x:t>
        </x:is>
      </x:c>
      <x:c r="R755" s="5" t="inlineStr">
        <x:is>
          <x:t xml:space="preserve"/>
        </x:is>
      </x:c>
      <x:c r="S755" s="5" t="inlineStr">
        <x:is>
          <x:t xml:space="preserve"/>
        </x:is>
      </x:c>
      <x:c r="T755" s="5" t="inlineStr">
        <x:is>
          <x:t xml:space="preserve">담수</x:t>
        </x:is>
      </x:c>
      <x:c r="U755" s="5" t="inlineStr">
        <x:is>
          <x:t xml:space="preserve">담수</x:t>
        </x:is>
      </x:c>
      <x:c r="V755" s="5" t="inlineStr">
        <x:is>
          <x:t xml:space="preserve">온대</x:t>
        </x:is>
      </x:c>
      <x:c r="W755" s="5" t="inlineStr">
        <x:is>
          <x:t xml:space="preserve">수중</x:t>
        </x:is>
      </x:c>
      <x:c r="X755" s="5" t="inlineStr">
        <x:is>
          <x:t xml:space="preserve">비</x:t>
        </x:is>
      </x:c>
      <x:c r="Y755" s="5" t="inlineStr">
        <x:is>
          <x:t xml:space="preserve">무관</x:t>
        </x:is>
      </x:c>
      <x:c r="Z755" s="5" t="inlineStr">
        <x:is>
          <x:t xml:space="preserve">보통</x:t>
        </x:is>
      </x:c>
      <x:c r="AA755" s="5" t="inlineStr">
        <x:is>
          <x:t xml:space="preserve">없음</x:t>
        </x:is>
      </x:c>
      <x:c r="AB755" s="5" t="inlineStr">
        <x:is>
          <x:t xml:space="preserve">담수</x:t>
        </x:is>
      </x:c>
      <x:c r="AC755" s="5" t="inlineStr">
        <x:is>
          <x:t xml:space="preserve">gen7</x:t>
        </x:is>
      </x:c>
      <x:c r="AD755" s="5" t="inlineStr">
        <x:is>
          <x:t xml:space="preserve">.tmp/cobblemon-1.7.3-source/common/src/main/resources/data/cobblemon/species/generation7/dewpider.json</x:t>
        </x:is>
      </x:c>
    </x:row>
    <x:row r="756" ht="22" customHeight="1">
      <x:c r="A756" s="5" t="n">
        <x:v>752</x:v>
      </x:c>
      <x:c r="B756" s="5" t="inlineStr">
        <x:is>
          <x:t xml:space="preserve">깨비물거미</x:t>
        </x:is>
      </x:c>
      <x:c r="C756" s="5" t="inlineStr">
        <x:is>
          <x:t xml:space="preserve">araquanid</x:t>
        </x:is>
      </x:c>
      <x:c r="D756" s="5" t="inlineStr">
        <x:is>
          <x:t xml:space="preserve">Araquanid</x:t>
        </x:is>
      </x:c>
      <x:c r="E756" s="5" t="n">
        <x:v>7</x:v>
      </x:c>
      <x:c r="F756" s="5" t="inlineStr">
        <x:is>
          <x:t xml:space="preserve">물</x:t>
        </x:is>
      </x:c>
      <x:c r="G756" s="5" t="inlineStr">
        <x:is>
          <x:t xml:space="preserve">벌레</x:t>
        </x:is>
      </x:c>
      <x:c r="H756" s="5" t="n">
        <x:v>1.8</x:v>
      </x:c>
      <x:c r="I756" s="5" t="n">
        <x:v>82</x:v>
      </x:c>
      <x:c r="J756" s="5" t="n">
        <x:v>454</x:v>
      </x:c>
      <x:c r="K756" s="5" t="n">
        <x:v>100</x:v>
      </x:c>
      <x:c r="L756" s="5" t="inlineStr">
        <x:is>
          <x:t xml:space="preserve">최종</x:t>
        </x:is>
      </x:c>
      <x:c r="M756" s="5" t="n">
        <x:v>22</x:v>
      </x:c>
      <x:c r="N756" s="5" t="inlineStr">
        <x:is>
          <x:t xml:space="preserve">레벨</x:t>
        </x:is>
      </x:c>
      <x:c r="O756" s="5" t="inlineStr">
        <x:is>
          <x:t xml:space="preserve">예</x:t>
        </x:is>
      </x:c>
      <x:c r="P756" s="5" t="inlineStr">
        <x:is>
          <x:t xml:space="preserve">#cobblemon:is_forest; #cobblemon:is_freshwater; #cobblemon:is_grassland; #cobblemon:is_jungle</x:t>
        </x:is>
      </x:c>
      <x:c r="Q756" s="5" t="inlineStr">
        <x:is>
          <x:t xml:space="preserve">common; uncommon</x:t>
        </x:is>
      </x:c>
      <x:c r="R756" s="5" t="inlineStr">
        <x:is>
          <x:t xml:space="preserve"/>
        </x:is>
      </x:c>
      <x:c r="S756" s="5" t="inlineStr">
        <x:is>
          <x:t xml:space="preserve"/>
        </x:is>
      </x:c>
      <x:c r="T756" s="5" t="inlineStr">
        <x:is>
          <x:t xml:space="preserve">담수</x:t>
        </x:is>
      </x:c>
      <x:c r="U756" s="5" t="inlineStr">
        <x:is>
          <x:t xml:space="preserve">담수</x:t>
        </x:is>
      </x:c>
      <x:c r="V756" s="5" t="inlineStr">
        <x:is>
          <x:t xml:space="preserve">온대</x:t>
        </x:is>
      </x:c>
      <x:c r="W756" s="5" t="inlineStr">
        <x:is>
          <x:t xml:space="preserve">수중</x:t>
        </x:is>
      </x:c>
      <x:c r="X756" s="5" t="inlineStr">
        <x:is>
          <x:t xml:space="preserve">비</x:t>
        </x:is>
      </x:c>
      <x:c r="Y756" s="5" t="inlineStr">
        <x:is>
          <x:t xml:space="preserve">무관</x:t>
        </x:is>
      </x:c>
      <x:c r="Z756" s="5" t="inlineStr">
        <x:is>
          <x:t xml:space="preserve">보통</x:t>
        </x:is>
      </x:c>
      <x:c r="AA756" s="5" t="inlineStr">
        <x:is>
          <x:t xml:space="preserve">없음</x:t>
        </x:is>
      </x:c>
      <x:c r="AB756" s="5" t="inlineStr">
        <x:is>
          <x:t xml:space="preserve">담수</x:t>
        </x:is>
      </x:c>
      <x:c r="AC756" s="5" t="inlineStr">
        <x:is>
          <x:t xml:space="preserve">gen7</x:t>
        </x:is>
      </x:c>
      <x:c r="AD756" s="5" t="inlineStr">
        <x:is>
          <x:t xml:space="preserve">.tmp/cobblemon-1.7.3-source/common/src/main/resources/data/cobblemon/species/generation7/araquanid.json</x:t>
        </x:is>
      </x:c>
    </x:row>
    <x:row r="757" ht="22" customHeight="1">
      <x:c r="A757" s="5" t="n">
        <x:v>753</x:v>
      </x:c>
      <x:c r="B757" s="5" t="inlineStr">
        <x:is>
          <x:t xml:space="preserve">짜랑랑</x:t>
        </x:is>
      </x:c>
      <x:c r="C757" s="5" t="inlineStr">
        <x:is>
          <x:t xml:space="preserve">fomantis</x:t>
        </x:is>
      </x:c>
      <x:c r="D757" s="5" t="inlineStr">
        <x:is>
          <x:t xml:space="preserve">Fomantis</x:t>
        </x:is>
      </x:c>
      <x:c r="E757" s="5" t="n">
        <x:v>7</x:v>
      </x:c>
      <x:c r="F757" s="5" t="inlineStr">
        <x:is>
          <x:t xml:space="preserve">풀</x:t>
        </x:is>
      </x:c>
      <x:c r="G757" s="5" t="inlineStr">
        <x:is>
          <x:t xml:space="preserve"/>
        </x:is>
      </x:c>
      <x:c r="H757" s="5" t="n">
        <x:v>0.3</x:v>
      </x:c>
      <x:c r="I757" s="5" t="n">
        <x:v>1.5</x:v>
      </x:c>
      <x:c r="J757" s="5" t="n">
        <x:v>250</x:v>
      </x:c>
      <x:c r="K757" s="5" t="n">
        <x:v>190</x:v>
      </x:c>
      <x:c r="L757" s="5" t="inlineStr">
        <x:is>
          <x:t xml:space="preserve">기본</x:t>
        </x:is>
      </x:c>
      <x:c r="M757" s="5" t="n">
        <x:v>34</x:v>
      </x:c>
      <x:c r="N757" s="5" t="inlineStr">
        <x:is>
          <x:t xml:space="preserve">레벨·특수</x:t>
        </x:is>
      </x:c>
      <x:c r="O757" s="5" t="inlineStr">
        <x:is>
          <x:t xml:space="preserve">예</x:t>
        </x:is>
      </x:c>
      <x:c r="P757" s="5" t="inlineStr">
        <x:is>
          <x:t xml:space="preserve">#cobblemon:is_floral; #cobblemon:is_jungle; #cobblemon:is_tropical_island; the_bumblezone:floral_meadow</x:t>
        </x:is>
      </x:c>
      <x:c r="Q757" s="5" t="inlineStr">
        <x:is>
          <x:t xml:space="preserve">common</x:t>
        </x:is>
      </x:c>
      <x:c r="R757" s="5" t="inlineStr">
        <x:is>
          <x:t xml:space="preserve"/>
        </x:is>
      </x:c>
      <x:c r="S757" s="5" t="inlineStr">
        <x:is>
          <x:t xml:space="preserve"/>
        </x:is>
      </x:c>
      <x:c r="T757" s="5" t="inlineStr">
        <x:is>
          <x:t xml:space="preserve">육상</x:t>
        </x:is>
      </x:c>
      <x:c r="U757" s="5" t="inlineStr">
        <x:is>
          <x:t xml:space="preserve">수목</x:t>
        </x:is>
      </x:c>
      <x:c r="V757" s="5" t="inlineStr">
        <x:is>
          <x:t xml:space="preserve">온대</x:t>
        </x:is>
      </x:c>
      <x:c r="W757" s="5" t="inlineStr">
        <x:is>
          <x:t xml:space="preserve">다습</x:t>
        </x:is>
      </x:c>
      <x:c r="X757" s="5" t="inlineStr">
        <x:is>
          <x:t xml:space="preserve">무관</x:t>
        </x:is>
      </x:c>
      <x:c r="Y757" s="5" t="inlineStr">
        <x:is>
          <x:t xml:space="preserve">무관</x:t>
        </x:is>
      </x:c>
      <x:c r="Z757" s="5" t="inlineStr">
        <x:is>
          <x:t xml:space="preserve">흔함</x:t>
        </x:is>
      </x:c>
      <x:c r="AA757" s="5" t="inlineStr">
        <x:is>
          <x:t xml:space="preserve">없음</x:t>
        </x:is>
      </x:c>
      <x:c r="AB757" s="5" t="inlineStr">
        <x:is>
          <x:t xml:space="preserve">숲</x:t>
        </x:is>
      </x:c>
      <x:c r="AC757" s="5" t="inlineStr">
        <x:is>
          <x:t xml:space="preserve">gen7</x:t>
        </x:is>
      </x:c>
      <x:c r="AD757" s="5" t="inlineStr">
        <x:is>
          <x:t xml:space="preserve">.tmp/cobblemon-1.7.3-source/common/src/main/resources/data/cobblemon/species/generation7/fomantis.json</x:t>
        </x:is>
      </x:c>
    </x:row>
    <x:row r="758" ht="22" customHeight="1">
      <x:c r="A758" s="5" t="n">
        <x:v>754</x:v>
      </x:c>
      <x:c r="B758" s="5" t="inlineStr">
        <x:is>
          <x:t xml:space="preserve">라란티스</x:t>
        </x:is>
      </x:c>
      <x:c r="C758" s="5" t="inlineStr">
        <x:is>
          <x:t xml:space="preserve">lurantis</x:t>
        </x:is>
      </x:c>
      <x:c r="D758" s="5" t="inlineStr">
        <x:is>
          <x:t xml:space="preserve">Lurantis</x:t>
        </x:is>
      </x:c>
      <x:c r="E758" s="5" t="n">
        <x:v>7</x:v>
      </x:c>
      <x:c r="F758" s="5" t="inlineStr">
        <x:is>
          <x:t xml:space="preserve">풀</x:t>
        </x:is>
      </x:c>
      <x:c r="G758" s="5" t="inlineStr">
        <x:is>
          <x:t xml:space="preserve"/>
        </x:is>
      </x:c>
      <x:c r="H758" s="5" t="n">
        <x:v>0.9</x:v>
      </x:c>
      <x:c r="I758" s="5" t="n">
        <x:v>18.5</x:v>
      </x:c>
      <x:c r="J758" s="5" t="n">
        <x:v>480</x:v>
      </x:c>
      <x:c r="K758" s="5" t="n">
        <x:v>75</x:v>
      </x:c>
      <x:c r="L758" s="5" t="inlineStr">
        <x:is>
          <x:t xml:space="preserve">최종</x:t>
        </x:is>
      </x:c>
      <x:c r="M758" s="5" t="n">
        <x:v>34</x:v>
      </x:c>
      <x:c r="N758" s="5" t="inlineStr">
        <x:is>
          <x:t xml:space="preserve">레벨·특수</x:t>
        </x:is>
      </x:c>
      <x:c r="O758" s="5" t="inlineStr">
        <x:is>
          <x:t xml:space="preserve">예</x:t>
        </x:is>
      </x:c>
      <x:c r="P758" s="5" t="inlineStr">
        <x:is>
          <x:t xml:space="preserve">#cobblemon:is_floral; #cobblemon:is_jungle; #cobblemon:is_tropical_island; the_bumblezone:floral_meadow</x:t>
        </x:is>
      </x:c>
      <x:c r="Q758" s="5" t="inlineStr">
        <x:is>
          <x:t xml:space="preserve">common</x:t>
        </x:is>
      </x:c>
      <x:c r="R758" s="5" t="inlineStr">
        <x:is>
          <x:t xml:space="preserve"/>
        </x:is>
      </x:c>
      <x:c r="S758" s="5" t="inlineStr">
        <x:is>
          <x:t xml:space="preserve"/>
        </x:is>
      </x:c>
      <x:c r="T758" s="5" t="inlineStr">
        <x:is>
          <x:t xml:space="preserve">육상</x:t>
        </x:is>
      </x:c>
      <x:c r="U758" s="5" t="inlineStr">
        <x:is>
          <x:t xml:space="preserve">수목</x:t>
        </x:is>
      </x:c>
      <x:c r="V758" s="5" t="inlineStr">
        <x:is>
          <x:t xml:space="preserve">온대</x:t>
        </x:is>
      </x:c>
      <x:c r="W758" s="5" t="inlineStr">
        <x:is>
          <x:t xml:space="preserve">다습</x:t>
        </x:is>
      </x:c>
      <x:c r="X758" s="5" t="inlineStr">
        <x:is>
          <x:t xml:space="preserve">무관</x:t>
        </x:is>
      </x:c>
      <x:c r="Y758" s="5" t="inlineStr">
        <x:is>
          <x:t xml:space="preserve">무관</x:t>
        </x:is>
      </x:c>
      <x:c r="Z758" s="5" t="inlineStr">
        <x:is>
          <x:t xml:space="preserve">흔함</x:t>
        </x:is>
      </x:c>
      <x:c r="AA758" s="5" t="inlineStr">
        <x:is>
          <x:t xml:space="preserve">없음</x:t>
        </x:is>
      </x:c>
      <x:c r="AB758" s="5" t="inlineStr">
        <x:is>
          <x:t xml:space="preserve">숲</x:t>
        </x:is>
      </x:c>
      <x:c r="AC758" s="5" t="inlineStr">
        <x:is>
          <x:t xml:space="preserve">gen7</x:t>
        </x:is>
      </x:c>
      <x:c r="AD758" s="5" t="inlineStr">
        <x:is>
          <x:t xml:space="preserve">.tmp/cobblemon-1.7.3-source/common/src/main/resources/data/cobblemon/species/generation7/lurantis.json</x:t>
        </x:is>
      </x:c>
    </x:row>
    <x:row r="759" ht="22" customHeight="1">
      <x:c r="A759" s="5" t="n">
        <x:v>755</x:v>
      </x:c>
      <x:c r="B759" s="5" t="inlineStr">
        <x:is>
          <x:t xml:space="preserve">자마슈</x:t>
        </x:is>
      </x:c>
      <x:c r="C759" s="5" t="inlineStr">
        <x:is>
          <x:t xml:space="preserve">morelull</x:t>
        </x:is>
      </x:c>
      <x:c r="D759" s="5" t="inlineStr">
        <x:is>
          <x:t xml:space="preserve">Morelull</x:t>
        </x:is>
      </x:c>
      <x:c r="E759" s="5" t="n">
        <x:v>7</x:v>
      </x:c>
      <x:c r="F759" s="5" t="inlineStr">
        <x:is>
          <x:t xml:space="preserve">풀</x:t>
        </x:is>
      </x:c>
      <x:c r="G759" s="5" t="inlineStr">
        <x:is>
          <x:t xml:space="preserve">페어리</x:t>
        </x:is>
      </x:c>
      <x:c r="H759" s="5" t="n">
        <x:v>0.2</x:v>
      </x:c>
      <x:c r="I759" s="5" t="n">
        <x:v>1.5</x:v>
      </x:c>
      <x:c r="J759" s="5" t="n">
        <x:v>285</x:v>
      </x:c>
      <x:c r="K759" s="5" t="n">
        <x:v>190</x:v>
      </x:c>
      <x:c r="L759" s="5" t="inlineStr">
        <x:is>
          <x:t xml:space="preserve">기본</x:t>
        </x:is>
      </x:c>
      <x:c r="M759" s="5" t="n">
        <x:v>24</x:v>
      </x:c>
      <x:c r="N759" s="5" t="inlineStr">
        <x:is>
          <x:t xml:space="preserve">레벨</x:t>
        </x:is>
      </x:c>
      <x:c r="O759" s="5" t="inlineStr">
        <x:is>
          <x:t xml:space="preserve">예</x:t>
        </x:is>
      </x:c>
      <x:c r="P759" s="5" t="inlineStr">
        <x:is>
          <x:t xml:space="preserve">#aether:is_aether; #cobblemon:is_jungle; #cobblemon:is_lush; #cobblemon:is_magical; #cobblemon:is_mushroom; #cobblemon:is_overworld; #cobblemon:nether/is_fungus</x:t>
        </x:is>
      </x:c>
      <x:c r="Q759" s="5" t="inlineStr">
        <x:is>
          <x:t xml:space="preserve">common</x:t>
        </x:is>
      </x:c>
      <x:c r="R759" s="5" t="inlineStr">
        <x:is>
          <x:t xml:space="preserve"/>
        </x:is>
      </x:c>
      <x:c r="S759" s="5" t="inlineStr">
        <x:is>
          <x:t xml:space="preserve"/>
        </x:is>
      </x:c>
      <x:c r="T759" s="5" t="inlineStr">
        <x:is>
          <x:t xml:space="preserve">육상</x:t>
        </x:is>
      </x:c>
      <x:c r="U759" s="5" t="inlineStr">
        <x:is>
          <x:t xml:space="preserve">화산</x:t>
        </x:is>
      </x:c>
      <x:c r="V759" s="5" t="inlineStr">
        <x:is>
          <x:t xml:space="preserve">고온</x:t>
        </x:is>
      </x:c>
      <x:c r="W759" s="5" t="inlineStr">
        <x:is>
          <x:t xml:space="preserve">다습</x:t>
        </x:is>
      </x:c>
      <x:c r="X759" s="5" t="inlineStr">
        <x:is>
          <x:t xml:space="preserve">맑음</x:t>
        </x:is>
      </x:c>
      <x:c r="Y759" s="5" t="inlineStr">
        <x:is>
          <x:t xml:space="preserve">무관</x:t>
        </x:is>
      </x:c>
      <x:c r="Z759" s="5" t="inlineStr">
        <x:is>
          <x:t xml:space="preserve">흔함</x:t>
        </x:is>
      </x:c>
      <x:c r="AA759" s="5" t="inlineStr">
        <x:is>
          <x:t xml:space="preserve">화산</x:t>
        </x:is>
      </x:c>
      <x:c r="AB759" s="5" t="inlineStr">
        <x:is>
          <x:t xml:space="preserve">화산</x:t>
        </x:is>
      </x:c>
      <x:c r="AC759" s="5" t="inlineStr">
        <x:is>
          <x:t xml:space="preserve">gen7</x:t>
        </x:is>
      </x:c>
      <x:c r="AD759" s="5" t="inlineStr">
        <x:is>
          <x:t xml:space="preserve">.tmp/cobblemon-1.7.3-source/common/src/main/resources/data/cobblemon/species/generation7/morelull.json</x:t>
        </x:is>
      </x:c>
    </x:row>
    <x:row r="760" ht="22" customHeight="1">
      <x:c r="A760" s="5" t="n">
        <x:v>756</x:v>
      </x:c>
      <x:c r="B760" s="5" t="inlineStr">
        <x:is>
          <x:t xml:space="preserve">마셰이드</x:t>
        </x:is>
      </x:c>
      <x:c r="C760" s="5" t="inlineStr">
        <x:is>
          <x:t xml:space="preserve">shiinotic</x:t>
        </x:is>
      </x:c>
      <x:c r="D760" s="5" t="inlineStr">
        <x:is>
          <x:t xml:space="preserve">Shiinotic</x:t>
        </x:is>
      </x:c>
      <x:c r="E760" s="5" t="n">
        <x:v>7</x:v>
      </x:c>
      <x:c r="F760" s="5" t="inlineStr">
        <x:is>
          <x:t xml:space="preserve">풀</x:t>
        </x:is>
      </x:c>
      <x:c r="G760" s="5" t="inlineStr">
        <x:is>
          <x:t xml:space="preserve">페어리</x:t>
        </x:is>
      </x:c>
      <x:c r="H760" s="5" t="n">
        <x:v>1</x:v>
      </x:c>
      <x:c r="I760" s="5" t="n">
        <x:v>11.5</x:v>
      </x:c>
      <x:c r="J760" s="5" t="n">
        <x:v>405</x:v>
      </x:c>
      <x:c r="K760" s="5" t="n">
        <x:v>75</x:v>
      </x:c>
      <x:c r="L760" s="5" t="inlineStr">
        <x:is>
          <x:t xml:space="preserve">최종</x:t>
        </x:is>
      </x:c>
      <x:c r="M760" s="5" t="n">
        <x:v>24</x:v>
      </x:c>
      <x:c r="N760" s="5" t="inlineStr">
        <x:is>
          <x:t xml:space="preserve">레벨</x:t>
        </x:is>
      </x:c>
      <x:c r="O760" s="5" t="inlineStr">
        <x:is>
          <x:t xml:space="preserve">예</x:t>
        </x:is>
      </x:c>
      <x:c r="P760" s="5" t="inlineStr">
        <x:is>
          <x:t xml:space="preserve">#aether:is_aether; #cobblemon:is_jungle; #cobblemon:is_lush; #cobblemon:is_magical; #cobblemon:is_mushroom; #cobblemon:is_overworld; #cobblemon:nether/is_fungus</x:t>
        </x:is>
      </x:c>
      <x:c r="Q760" s="5" t="inlineStr">
        <x:is>
          <x:t xml:space="preserve">common</x:t>
        </x:is>
      </x:c>
      <x:c r="R760" s="5" t="inlineStr">
        <x:is>
          <x:t xml:space="preserve"/>
        </x:is>
      </x:c>
      <x:c r="S760" s="5" t="inlineStr">
        <x:is>
          <x:t xml:space="preserve"/>
        </x:is>
      </x:c>
      <x:c r="T760" s="5" t="inlineStr">
        <x:is>
          <x:t xml:space="preserve">육상</x:t>
        </x:is>
      </x:c>
      <x:c r="U760" s="5" t="inlineStr">
        <x:is>
          <x:t xml:space="preserve">화산</x:t>
        </x:is>
      </x:c>
      <x:c r="V760" s="5" t="inlineStr">
        <x:is>
          <x:t xml:space="preserve">고온</x:t>
        </x:is>
      </x:c>
      <x:c r="W760" s="5" t="inlineStr">
        <x:is>
          <x:t xml:space="preserve">다습</x:t>
        </x:is>
      </x:c>
      <x:c r="X760" s="5" t="inlineStr">
        <x:is>
          <x:t xml:space="preserve">맑음</x:t>
        </x:is>
      </x:c>
      <x:c r="Y760" s="5" t="inlineStr">
        <x:is>
          <x:t xml:space="preserve">무관</x:t>
        </x:is>
      </x:c>
      <x:c r="Z760" s="5" t="inlineStr">
        <x:is>
          <x:t xml:space="preserve">흔함</x:t>
        </x:is>
      </x:c>
      <x:c r="AA760" s="5" t="inlineStr">
        <x:is>
          <x:t xml:space="preserve">화산</x:t>
        </x:is>
      </x:c>
      <x:c r="AB760" s="5" t="inlineStr">
        <x:is>
          <x:t xml:space="preserve">화산</x:t>
        </x:is>
      </x:c>
      <x:c r="AC760" s="5" t="inlineStr">
        <x:is>
          <x:t xml:space="preserve">gen7</x:t>
        </x:is>
      </x:c>
      <x:c r="AD760" s="5" t="inlineStr">
        <x:is>
          <x:t xml:space="preserve">.tmp/cobblemon-1.7.3-source/common/src/main/resources/data/cobblemon/species/generation7/shiinotic.json</x:t>
        </x:is>
      </x:c>
    </x:row>
    <x:row r="761" ht="22" customHeight="1">
      <x:c r="A761" s="5" t="n">
        <x:v>757</x:v>
      </x:c>
      <x:c r="B761" s="5" t="inlineStr">
        <x:is>
          <x:t xml:space="preserve">야도뇽</x:t>
        </x:is>
      </x:c>
      <x:c r="C761" s="5" t="inlineStr">
        <x:is>
          <x:t xml:space="preserve">salandit</x:t>
        </x:is>
      </x:c>
      <x:c r="D761" s="5" t="inlineStr">
        <x:is>
          <x:t xml:space="preserve">Salandit</x:t>
        </x:is>
      </x:c>
      <x:c r="E761" s="5" t="n">
        <x:v>7</x:v>
      </x:c>
      <x:c r="F761" s="5" t="inlineStr">
        <x:is>
          <x:t xml:space="preserve">독</x:t>
        </x:is>
      </x:c>
      <x:c r="G761" s="5" t="inlineStr">
        <x:is>
          <x:t xml:space="preserve">불꽃</x:t>
        </x:is>
      </x:c>
      <x:c r="H761" s="5" t="n">
        <x:v>0.6</x:v>
      </x:c>
      <x:c r="I761" s="5" t="n">
        <x:v>4.8</x:v>
      </x:c>
      <x:c r="J761" s="5" t="n">
        <x:v>320</x:v>
      </x:c>
      <x:c r="K761" s="5" t="n">
        <x:v>120</x:v>
      </x:c>
      <x:c r="L761" s="5" t="inlineStr">
        <x:is>
          <x:t xml:space="preserve">기본</x:t>
        </x:is>
      </x:c>
      <x:c r="M761" s="5" t="n">
        <x:v>33</x:v>
      </x:c>
      <x:c r="N761" s="5" t="inlineStr">
        <x:is>
          <x:t xml:space="preserve">레벨·특수</x:t>
        </x:is>
      </x:c>
      <x:c r="O761" s="5" t="inlineStr">
        <x:is>
          <x:t xml:space="preserve">예</x:t>
        </x:is>
      </x:c>
      <x:c r="P761" s="5" t="inlineStr">
        <x:is>
          <x:t xml:space="preserve">#cobblemon:is_badlands; #cobblemon:is_mountain; #cobblemon:is_volcanic; #cobblemon:nether/is_basalt; #cobblemon:nether/is_desert</x:t>
        </x:is>
      </x:c>
      <x:c r="Q761" s="5" t="inlineStr">
        <x:is>
          <x:t xml:space="preserve">common</x:t>
        </x:is>
      </x:c>
      <x:c r="R761" s="5" t="inlineStr">
        <x:is>
          <x:t xml:space="preserve"/>
        </x:is>
      </x:c>
      <x:c r="S761" s="5" t="inlineStr">
        <x:is>
          <x:t xml:space="preserve"/>
        </x:is>
      </x:c>
      <x:c r="T761" s="5" t="inlineStr">
        <x:is>
          <x:t xml:space="preserve">육상</x:t>
        </x:is>
      </x:c>
      <x:c r="U761" s="5" t="inlineStr">
        <x:is>
          <x:t xml:space="preserve">화산</x:t>
        </x:is>
      </x:c>
      <x:c r="V761" s="5" t="inlineStr">
        <x:is>
          <x:t xml:space="preserve">고온</x:t>
        </x:is>
      </x:c>
      <x:c r="W761" s="5" t="inlineStr">
        <x:is>
          <x:t xml:space="preserve">건조</x:t>
        </x:is>
      </x:c>
      <x:c r="X761" s="5" t="inlineStr">
        <x:is>
          <x:t xml:space="preserve">맑음</x:t>
        </x:is>
      </x:c>
      <x:c r="Y761" s="5" t="inlineStr">
        <x:is>
          <x:t xml:space="preserve">무관</x:t>
        </x:is>
      </x:c>
      <x:c r="Z761" s="5" t="inlineStr">
        <x:is>
          <x:t xml:space="preserve">흔함</x:t>
        </x:is>
      </x:c>
      <x:c r="AA761" s="5" t="inlineStr">
        <x:is>
          <x:t xml:space="preserve">화산</x:t>
        </x:is>
      </x:c>
      <x:c r="AB761" s="5" t="inlineStr">
        <x:is>
          <x:t xml:space="preserve">화산</x:t>
        </x:is>
      </x:c>
      <x:c r="AC761" s="5" t="inlineStr">
        <x:is>
          <x:t xml:space="preserve">gen7</x:t>
        </x:is>
      </x:c>
      <x:c r="AD761" s="5" t="inlineStr">
        <x:is>
          <x:t xml:space="preserve">.tmp/cobblemon-1.7.3-source/common/src/main/resources/data/cobblemon/species/generation7/salandit.json</x:t>
        </x:is>
      </x:c>
    </x:row>
    <x:row r="762" ht="22" customHeight="1">
      <x:c r="A762" s="5" t="n">
        <x:v>758</x:v>
      </x:c>
      <x:c r="B762" s="5" t="inlineStr">
        <x:is>
          <x:t xml:space="preserve">염뉴트</x:t>
        </x:is>
      </x:c>
      <x:c r="C762" s="5" t="inlineStr">
        <x:is>
          <x:t xml:space="preserve">salazzle</x:t>
        </x:is>
      </x:c>
      <x:c r="D762" s="5" t="inlineStr">
        <x:is>
          <x:t xml:space="preserve">Salazzle</x:t>
        </x:is>
      </x:c>
      <x:c r="E762" s="5" t="n">
        <x:v>7</x:v>
      </x:c>
      <x:c r="F762" s="5" t="inlineStr">
        <x:is>
          <x:t xml:space="preserve">독</x:t>
        </x:is>
      </x:c>
      <x:c r="G762" s="5" t="inlineStr">
        <x:is>
          <x:t xml:space="preserve">불꽃</x:t>
        </x:is>
      </x:c>
      <x:c r="H762" s="5" t="n">
        <x:v>1.2</x:v>
      </x:c>
      <x:c r="I762" s="5" t="n">
        <x:v>22.2</x:v>
      </x:c>
      <x:c r="J762" s="5" t="n">
        <x:v>480</x:v>
      </x:c>
      <x:c r="K762" s="5" t="n">
        <x:v>45</x:v>
      </x:c>
      <x:c r="L762" s="5" t="inlineStr">
        <x:is>
          <x:t xml:space="preserve">최종</x:t>
        </x:is>
      </x:c>
      <x:c r="M762" s="5" t="n">
        <x:v>33</x:v>
      </x:c>
      <x:c r="N762" s="5" t="inlineStr">
        <x:is>
          <x:t xml:space="preserve">레벨·특수</x:t>
        </x:is>
      </x:c>
      <x:c r="O762" s="5" t="inlineStr">
        <x:is>
          <x:t xml:space="preserve">예</x:t>
        </x:is>
      </x:c>
      <x:c r="P762" s="5" t="inlineStr">
        <x:is>
          <x:t xml:space="preserve">#cobblemon:is_badlands; #cobblemon:is_mountain; #cobblemon:is_volcanic; #cobblemon:nether/is_basalt; #cobblemon:nether/is_desert</x:t>
        </x:is>
      </x:c>
      <x:c r="Q762" s="5" t="inlineStr">
        <x:is>
          <x:t xml:space="preserve">common</x:t>
        </x:is>
      </x:c>
      <x:c r="R762" s="5" t="inlineStr">
        <x:is>
          <x:t xml:space="preserve"/>
        </x:is>
      </x:c>
      <x:c r="S762" s="5" t="inlineStr">
        <x:is>
          <x:t xml:space="preserve"/>
        </x:is>
      </x:c>
      <x:c r="T762" s="5" t="inlineStr">
        <x:is>
          <x:t xml:space="preserve">육상</x:t>
        </x:is>
      </x:c>
      <x:c r="U762" s="5" t="inlineStr">
        <x:is>
          <x:t xml:space="preserve">화산</x:t>
        </x:is>
      </x:c>
      <x:c r="V762" s="5" t="inlineStr">
        <x:is>
          <x:t xml:space="preserve">고온</x:t>
        </x:is>
      </x:c>
      <x:c r="W762" s="5" t="inlineStr">
        <x:is>
          <x:t xml:space="preserve">건조</x:t>
        </x:is>
      </x:c>
      <x:c r="X762" s="5" t="inlineStr">
        <x:is>
          <x:t xml:space="preserve">맑음</x:t>
        </x:is>
      </x:c>
      <x:c r="Y762" s="5" t="inlineStr">
        <x:is>
          <x:t xml:space="preserve">무관</x:t>
        </x:is>
      </x:c>
      <x:c r="Z762" s="5" t="inlineStr">
        <x:is>
          <x:t xml:space="preserve">흔함</x:t>
        </x:is>
      </x:c>
      <x:c r="AA762" s="5" t="inlineStr">
        <x:is>
          <x:t xml:space="preserve">화산</x:t>
        </x:is>
      </x:c>
      <x:c r="AB762" s="5" t="inlineStr">
        <x:is>
          <x:t xml:space="preserve">화산</x:t>
        </x:is>
      </x:c>
      <x:c r="AC762" s="5" t="inlineStr">
        <x:is>
          <x:t xml:space="preserve">gen7</x:t>
        </x:is>
      </x:c>
      <x:c r="AD762" s="5" t="inlineStr">
        <x:is>
          <x:t xml:space="preserve">.tmp/cobblemon-1.7.3-source/common/src/main/resources/data/cobblemon/species/generation7/salazzle.json</x:t>
        </x:is>
      </x:c>
    </x:row>
    <x:row r="763" ht="22" customHeight="1">
      <x:c r="A763" s="5" t="n">
        <x:v>759</x:v>
      </x:c>
      <x:c r="B763" s="5" t="inlineStr">
        <x:is>
          <x:t xml:space="preserve">포곰곰</x:t>
        </x:is>
      </x:c>
      <x:c r="C763" s="5" t="inlineStr">
        <x:is>
          <x:t xml:space="preserve">stufful</x:t>
        </x:is>
      </x:c>
      <x:c r="D763" s="5" t="inlineStr">
        <x:is>
          <x:t xml:space="preserve">Stufful</x:t>
        </x:is>
      </x:c>
      <x:c r="E763" s="5" t="n">
        <x:v>7</x:v>
      </x:c>
      <x:c r="F763" s="5" t="inlineStr">
        <x:is>
          <x:t xml:space="preserve">노말</x:t>
        </x:is>
      </x:c>
      <x:c r="G763" s="5" t="inlineStr">
        <x:is>
          <x:t xml:space="preserve">격투</x:t>
        </x:is>
      </x:c>
      <x:c r="H763" s="5" t="n">
        <x:v>0.5</x:v>
      </x:c>
      <x:c r="I763" s="5" t="n">
        <x:v>6.8</x:v>
      </x:c>
      <x:c r="J763" s="5" t="n">
        <x:v>340</x:v>
      </x:c>
      <x:c r="K763" s="5" t="n">
        <x:v>140</x:v>
      </x:c>
      <x:c r="L763" s="5" t="inlineStr">
        <x:is>
          <x:t xml:space="preserve">기본</x:t>
        </x:is>
      </x:c>
      <x:c r="M763" s="5" t="n">
        <x:v>27</x:v>
      </x:c>
      <x:c r="N763" s="5" t="inlineStr">
        <x:is>
          <x:t xml:space="preserve">레벨</x:t>
        </x:is>
      </x:c>
      <x:c r="O763" s="5" t="inlineStr">
        <x:is>
          <x:t xml:space="preserve">예</x:t>
        </x:is>
      </x:c>
      <x:c r="P763" s="5" t="inlineStr">
        <x:is>
          <x:t xml:space="preserve">#cobblemon:is_bamboo</x:t>
        </x:is>
      </x:c>
      <x:c r="Q763" s="5" t="inlineStr">
        <x:is>
          <x:t xml:space="preserve">common</x:t>
        </x:is>
      </x:c>
      <x:c r="R763" s="5" t="inlineStr">
        <x:is>
          <x:t xml:space="preserve"/>
        </x:is>
      </x:c>
      <x:c r="S763" s="5" t="inlineStr">
        <x:is>
          <x:t xml:space="preserve"/>
        </x:is>
      </x:c>
      <x:c r="T763" s="5" t="inlineStr">
        <x:is>
          <x:t xml:space="preserve">육상</x:t>
        </x:is>
      </x:c>
      <x:c r="U763" s="5" t="inlineStr">
        <x:is>
          <x:t xml:space="preserve">개활지</x:t>
        </x:is>
      </x:c>
      <x:c r="V763" s="5" t="inlineStr">
        <x:is>
          <x:t xml:space="preserve">온대</x:t>
        </x:is>
      </x:c>
      <x:c r="W763" s="5" t="inlineStr">
        <x:is>
          <x:t xml:space="preserve">보통</x:t>
        </x:is>
      </x:c>
      <x:c r="X763" s="5" t="inlineStr">
        <x:is>
          <x:t xml:space="preserve">무관</x:t>
        </x:is>
      </x:c>
      <x:c r="Y763" s="5" t="inlineStr">
        <x:is>
          <x:t xml:space="preserve">무관</x:t>
        </x:is>
      </x:c>
      <x:c r="Z763" s="5" t="inlineStr">
        <x:is>
          <x:t xml:space="preserve">흔함</x:t>
        </x:is>
      </x:c>
      <x:c r="AA763" s="5" t="inlineStr">
        <x:is>
          <x:t xml:space="preserve">없음</x:t>
        </x:is>
      </x:c>
      <x:c r="AB763" s="5" t="inlineStr">
        <x:is>
          <x:t xml:space="preserve"/>
        </x:is>
      </x:c>
      <x:c r="AC763" s="5" t="inlineStr">
        <x:is>
          <x:t xml:space="preserve">gen7</x:t>
        </x:is>
      </x:c>
      <x:c r="AD763" s="5" t="inlineStr">
        <x:is>
          <x:t xml:space="preserve">.tmp/cobblemon-1.7.3-source/common/src/main/resources/data/cobblemon/species/generation7/stufful.json</x:t>
        </x:is>
      </x:c>
    </x:row>
    <x:row r="764" ht="22" customHeight="1">
      <x:c r="A764" s="5" t="n">
        <x:v>760</x:v>
      </x:c>
      <x:c r="B764" s="5" t="inlineStr">
        <x:is>
          <x:t xml:space="preserve">이븐곰</x:t>
        </x:is>
      </x:c>
      <x:c r="C764" s="5" t="inlineStr">
        <x:is>
          <x:t xml:space="preserve">bewear</x:t>
        </x:is>
      </x:c>
      <x:c r="D764" s="5" t="inlineStr">
        <x:is>
          <x:t xml:space="preserve">Bewear</x:t>
        </x:is>
      </x:c>
      <x:c r="E764" s="5" t="n">
        <x:v>7</x:v>
      </x:c>
      <x:c r="F764" s="5" t="inlineStr">
        <x:is>
          <x:t xml:space="preserve">노말</x:t>
        </x:is>
      </x:c>
      <x:c r="G764" s="5" t="inlineStr">
        <x:is>
          <x:t xml:space="preserve">격투</x:t>
        </x:is>
      </x:c>
      <x:c r="H764" s="5" t="n">
        <x:v>2.1</x:v>
      </x:c>
      <x:c r="I764" s="5" t="n">
        <x:v>135</x:v>
      </x:c>
      <x:c r="J764" s="5" t="n">
        <x:v>500</x:v>
      </x:c>
      <x:c r="K764" s="5" t="n">
        <x:v>70</x:v>
      </x:c>
      <x:c r="L764" s="5" t="inlineStr">
        <x:is>
          <x:t xml:space="preserve">최종</x:t>
        </x:is>
      </x:c>
      <x:c r="M764" s="5" t="n">
        <x:v>27</x:v>
      </x:c>
      <x:c r="N764" s="5" t="inlineStr">
        <x:is>
          <x:t xml:space="preserve">레벨</x:t>
        </x:is>
      </x:c>
      <x:c r="O764" s="5" t="inlineStr">
        <x:is>
          <x:t xml:space="preserve">예</x:t>
        </x:is>
      </x:c>
      <x:c r="P764" s="5" t="inlineStr">
        <x:is>
          <x:t xml:space="preserve">#cobblemon:is_bamboo</x:t>
        </x:is>
      </x:c>
      <x:c r="Q764" s="5" t="inlineStr">
        <x:is>
          <x:t xml:space="preserve">common</x:t>
        </x:is>
      </x:c>
      <x:c r="R764" s="5" t="inlineStr">
        <x:is>
          <x:t xml:space="preserve"/>
        </x:is>
      </x:c>
      <x:c r="S764" s="5" t="inlineStr">
        <x:is>
          <x:t xml:space="preserve"/>
        </x:is>
      </x:c>
      <x:c r="T764" s="5" t="inlineStr">
        <x:is>
          <x:t xml:space="preserve">육상</x:t>
        </x:is>
      </x:c>
      <x:c r="U764" s="5" t="inlineStr">
        <x:is>
          <x:t xml:space="preserve">개활지</x:t>
        </x:is>
      </x:c>
      <x:c r="V764" s="5" t="inlineStr">
        <x:is>
          <x:t xml:space="preserve">온대</x:t>
        </x:is>
      </x:c>
      <x:c r="W764" s="5" t="inlineStr">
        <x:is>
          <x:t xml:space="preserve">보통</x:t>
        </x:is>
      </x:c>
      <x:c r="X764" s="5" t="inlineStr">
        <x:is>
          <x:t xml:space="preserve">무관</x:t>
        </x:is>
      </x:c>
      <x:c r="Y764" s="5" t="inlineStr">
        <x:is>
          <x:t xml:space="preserve">무관</x:t>
        </x:is>
      </x:c>
      <x:c r="Z764" s="5" t="inlineStr">
        <x:is>
          <x:t xml:space="preserve">흔함</x:t>
        </x:is>
      </x:c>
      <x:c r="AA764" s="5" t="inlineStr">
        <x:is>
          <x:t xml:space="preserve">없음</x:t>
        </x:is>
      </x:c>
      <x:c r="AB764" s="5" t="inlineStr">
        <x:is>
          <x:t xml:space="preserve"/>
        </x:is>
      </x:c>
      <x:c r="AC764" s="5" t="inlineStr">
        <x:is>
          <x:t xml:space="preserve">gen7</x:t>
        </x:is>
      </x:c>
      <x:c r="AD764" s="5" t="inlineStr">
        <x:is>
          <x:t xml:space="preserve">.tmp/cobblemon-1.7.3-source/common/src/main/resources/data/cobblemon/species/generation7/bewear.json</x:t>
        </x:is>
      </x:c>
    </x:row>
    <x:row r="765" ht="22" customHeight="1">
      <x:c r="A765" s="5" t="n">
        <x:v>761</x:v>
      </x:c>
      <x:c r="B765" s="5" t="inlineStr">
        <x:is>
          <x:t xml:space="preserve">달콤아</x:t>
        </x:is>
      </x:c>
      <x:c r="C765" s="5" t="inlineStr">
        <x:is>
          <x:t xml:space="preserve">bounsweet</x:t>
        </x:is>
      </x:c>
      <x:c r="D765" s="5" t="inlineStr">
        <x:is>
          <x:t xml:space="preserve">Bounsweet</x:t>
        </x:is>
      </x:c>
      <x:c r="E765" s="5" t="n">
        <x:v>7</x:v>
      </x:c>
      <x:c r="F765" s="5" t="inlineStr">
        <x:is>
          <x:t xml:space="preserve">풀</x:t>
        </x:is>
      </x:c>
      <x:c r="G765" s="5" t="inlineStr">
        <x:is>
          <x:t xml:space="preserve"/>
        </x:is>
      </x:c>
      <x:c r="H765" s="5" t="n">
        <x:v>0.3</x:v>
      </x:c>
      <x:c r="I765" s="5" t="n">
        <x:v>3.2</x:v>
      </x:c>
      <x:c r="J765" s="5" t="n">
        <x:v>210</x:v>
      </x:c>
      <x:c r="K765" s="5" t="n">
        <x:v>235</x:v>
      </x:c>
      <x:c r="L765" s="5" t="inlineStr">
        <x:is>
          <x:t xml:space="preserve">기본</x:t>
        </x:is>
      </x:c>
      <x:c r="M765" s="5" t="n">
        <x:v>18</x:v>
      </x:c>
      <x:c r="N765" s="5" t="inlineStr">
        <x:is>
          <x:t xml:space="preserve">레벨·특수</x:t>
        </x:is>
      </x:c>
      <x:c r="O765" s="5" t="inlineStr">
        <x:is>
          <x:t xml:space="preserve">예</x:t>
        </x:is>
      </x:c>
      <x:c r="P765" s="5" t="inlineStr">
        <x:is>
          <x:t xml:space="preserve">#cobblemon:is_jungle; #cobblemon:is_tropical_island</x:t>
        </x:is>
      </x:c>
      <x:c r="Q765" s="5" t="inlineStr">
        <x:is>
          <x:t xml:space="preserve">common</x:t>
        </x:is>
      </x:c>
      <x:c r="R765" s="5" t="inlineStr">
        <x:is>
          <x:t xml:space="preserve"/>
        </x:is>
      </x:c>
      <x:c r="S765" s="5" t="inlineStr">
        <x:is>
          <x:t xml:space="preserve"/>
        </x:is>
      </x:c>
      <x:c r="T765" s="5" t="inlineStr">
        <x:is>
          <x:t xml:space="preserve">육상</x:t>
        </x:is>
      </x:c>
      <x:c r="U765" s="5" t="inlineStr">
        <x:is>
          <x:t xml:space="preserve">수목</x:t>
        </x:is>
      </x:c>
      <x:c r="V765" s="5" t="inlineStr">
        <x:is>
          <x:t xml:space="preserve">온대</x:t>
        </x:is>
      </x:c>
      <x:c r="W765" s="5" t="inlineStr">
        <x:is>
          <x:t xml:space="preserve">다습</x:t>
        </x:is>
      </x:c>
      <x:c r="X765" s="5" t="inlineStr">
        <x:is>
          <x:t xml:space="preserve">무관</x:t>
        </x:is>
      </x:c>
      <x:c r="Y765" s="5" t="inlineStr">
        <x:is>
          <x:t xml:space="preserve">무관</x:t>
        </x:is>
      </x:c>
      <x:c r="Z765" s="5" t="inlineStr">
        <x:is>
          <x:t xml:space="preserve">흔함</x:t>
        </x:is>
      </x:c>
      <x:c r="AA765" s="5" t="inlineStr">
        <x:is>
          <x:t xml:space="preserve">없음</x:t>
        </x:is>
      </x:c>
      <x:c r="AB765" s="5" t="inlineStr">
        <x:is>
          <x:t xml:space="preserve">숲</x:t>
        </x:is>
      </x:c>
      <x:c r="AC765" s="5" t="inlineStr">
        <x:is>
          <x:t xml:space="preserve">gen7</x:t>
        </x:is>
      </x:c>
      <x:c r="AD765" s="5" t="inlineStr">
        <x:is>
          <x:t xml:space="preserve">.tmp/cobblemon-1.7.3-source/common/src/main/resources/data/cobblemon/species/generation7/bounsweet.json</x:t>
        </x:is>
      </x:c>
    </x:row>
    <x:row r="766" ht="22" customHeight="1">
      <x:c r="A766" s="5" t="n">
        <x:v>762</x:v>
      </x:c>
      <x:c r="B766" s="5" t="inlineStr">
        <x:is>
          <x:t xml:space="preserve">달무리나</x:t>
        </x:is>
      </x:c>
      <x:c r="C766" s="5" t="inlineStr">
        <x:is>
          <x:t xml:space="preserve">steenee</x:t>
        </x:is>
      </x:c>
      <x:c r="D766" s="5" t="inlineStr">
        <x:is>
          <x:t xml:space="preserve">Steenee</x:t>
        </x:is>
      </x:c>
      <x:c r="E766" s="5" t="n">
        <x:v>7</x:v>
      </x:c>
      <x:c r="F766" s="5" t="inlineStr">
        <x:is>
          <x:t xml:space="preserve">풀</x:t>
        </x:is>
      </x:c>
      <x:c r="G766" s="5" t="inlineStr">
        <x:is>
          <x:t xml:space="preserve"/>
        </x:is>
      </x:c>
      <x:c r="H766" s="5" t="n">
        <x:v>0.7</x:v>
      </x:c>
      <x:c r="I766" s="5" t="n">
        <x:v>8.199999999999999</x:v>
      </x:c>
      <x:c r="J766" s="5" t="n">
        <x:v>290</x:v>
      </x:c>
      <x:c r="K766" s="5" t="n">
        <x:v>120</x:v>
      </x:c>
      <x:c r="L766" s="5" t="inlineStr">
        <x:is>
          <x:t xml:space="preserve">중간</x:t>
        </x:is>
      </x:c>
      <x:c r="M766" s="5" t="n">
        <x:v>18</x:v>
      </x:c>
      <x:c r="N766" s="5" t="inlineStr">
        <x:is>
          <x:t xml:space="preserve">레벨·특수</x:t>
        </x:is>
      </x:c>
      <x:c r="O766" s="5" t="inlineStr">
        <x:is>
          <x:t xml:space="preserve">예</x:t>
        </x:is>
      </x:c>
      <x:c r="P766" s="5" t="inlineStr">
        <x:is>
          <x:t xml:space="preserve">#cobblemon:is_jungle; #cobblemon:is_tropical_island</x:t>
        </x:is>
      </x:c>
      <x:c r="Q766" s="5" t="inlineStr">
        <x:is>
          <x:t xml:space="preserve">common</x:t>
        </x:is>
      </x:c>
      <x:c r="R766" s="5" t="inlineStr">
        <x:is>
          <x:t xml:space="preserve"/>
        </x:is>
      </x:c>
      <x:c r="S766" s="5" t="inlineStr">
        <x:is>
          <x:t xml:space="preserve"/>
        </x:is>
      </x:c>
      <x:c r="T766" s="5" t="inlineStr">
        <x:is>
          <x:t xml:space="preserve">육상</x:t>
        </x:is>
      </x:c>
      <x:c r="U766" s="5" t="inlineStr">
        <x:is>
          <x:t xml:space="preserve">수목</x:t>
        </x:is>
      </x:c>
      <x:c r="V766" s="5" t="inlineStr">
        <x:is>
          <x:t xml:space="preserve">온대</x:t>
        </x:is>
      </x:c>
      <x:c r="W766" s="5" t="inlineStr">
        <x:is>
          <x:t xml:space="preserve">다습</x:t>
        </x:is>
      </x:c>
      <x:c r="X766" s="5" t="inlineStr">
        <x:is>
          <x:t xml:space="preserve">무관</x:t>
        </x:is>
      </x:c>
      <x:c r="Y766" s="5" t="inlineStr">
        <x:is>
          <x:t xml:space="preserve">무관</x:t>
        </x:is>
      </x:c>
      <x:c r="Z766" s="5" t="inlineStr">
        <x:is>
          <x:t xml:space="preserve">흔함</x:t>
        </x:is>
      </x:c>
      <x:c r="AA766" s="5" t="inlineStr">
        <x:is>
          <x:t xml:space="preserve">없음</x:t>
        </x:is>
      </x:c>
      <x:c r="AB766" s="5" t="inlineStr">
        <x:is>
          <x:t xml:space="preserve">숲</x:t>
        </x:is>
      </x:c>
      <x:c r="AC766" s="5" t="inlineStr">
        <x:is>
          <x:t xml:space="preserve">gen7</x:t>
        </x:is>
      </x:c>
      <x:c r="AD766" s="5" t="inlineStr">
        <x:is>
          <x:t xml:space="preserve">.tmp/cobblemon-1.7.3-source/common/src/main/resources/data/cobblemon/species/generation7/steenee.json</x:t>
        </x:is>
      </x:c>
    </x:row>
    <x:row r="767" ht="22" customHeight="1">
      <x:c r="A767" s="5" t="n">
        <x:v>763</x:v>
      </x:c>
      <x:c r="B767" s="5" t="inlineStr">
        <x:is>
          <x:t xml:space="preserve">달코퀸</x:t>
        </x:is>
      </x:c>
      <x:c r="C767" s="5" t="inlineStr">
        <x:is>
          <x:t xml:space="preserve">tsareena</x:t>
        </x:is>
      </x:c>
      <x:c r="D767" s="5" t="inlineStr">
        <x:is>
          <x:t xml:space="preserve">Tsareena</x:t>
        </x:is>
      </x:c>
      <x:c r="E767" s="5" t="n">
        <x:v>7</x:v>
      </x:c>
      <x:c r="F767" s="5" t="inlineStr">
        <x:is>
          <x:t xml:space="preserve">풀</x:t>
        </x:is>
      </x:c>
      <x:c r="G767" s="5" t="inlineStr">
        <x:is>
          <x:t xml:space="preserve"/>
        </x:is>
      </x:c>
      <x:c r="H767" s="5" t="n">
        <x:v>1.2</x:v>
      </x:c>
      <x:c r="I767" s="5" t="n">
        <x:v>21.4</x:v>
      </x:c>
      <x:c r="J767" s="5" t="n">
        <x:v>510</x:v>
      </x:c>
      <x:c r="K767" s="5" t="n">
        <x:v>45</x:v>
      </x:c>
      <x:c r="L767" s="5" t="inlineStr">
        <x:is>
          <x:t xml:space="preserve">최종</x:t>
        </x:is>
      </x:c>
      <x:c r="M767" s="5" t="n">
        <x:v>18</x:v>
      </x:c>
      <x:c r="N767" s="5" t="inlineStr">
        <x:is>
          <x:t xml:space="preserve">레벨·특수</x:t>
        </x:is>
      </x:c>
      <x:c r="O767" s="5" t="inlineStr">
        <x:is>
          <x:t xml:space="preserve">예</x:t>
        </x:is>
      </x:c>
      <x:c r="P767" s="5" t="inlineStr">
        <x:is>
          <x:t xml:space="preserve">#cobblemon:is_jungle; #cobblemon:is_tropical_island</x:t>
        </x:is>
      </x:c>
      <x:c r="Q767" s="5" t="inlineStr">
        <x:is>
          <x:t xml:space="preserve">common</x:t>
        </x:is>
      </x:c>
      <x:c r="R767" s="5" t="inlineStr">
        <x:is>
          <x:t xml:space="preserve"/>
        </x:is>
      </x:c>
      <x:c r="S767" s="5" t="inlineStr">
        <x:is>
          <x:t xml:space="preserve"/>
        </x:is>
      </x:c>
      <x:c r="T767" s="5" t="inlineStr">
        <x:is>
          <x:t xml:space="preserve">육상</x:t>
        </x:is>
      </x:c>
      <x:c r="U767" s="5" t="inlineStr">
        <x:is>
          <x:t xml:space="preserve">수목</x:t>
        </x:is>
      </x:c>
      <x:c r="V767" s="5" t="inlineStr">
        <x:is>
          <x:t xml:space="preserve">온대</x:t>
        </x:is>
      </x:c>
      <x:c r="W767" s="5" t="inlineStr">
        <x:is>
          <x:t xml:space="preserve">다습</x:t>
        </x:is>
      </x:c>
      <x:c r="X767" s="5" t="inlineStr">
        <x:is>
          <x:t xml:space="preserve">무관</x:t>
        </x:is>
      </x:c>
      <x:c r="Y767" s="5" t="inlineStr">
        <x:is>
          <x:t xml:space="preserve">무관</x:t>
        </x:is>
      </x:c>
      <x:c r="Z767" s="5" t="inlineStr">
        <x:is>
          <x:t xml:space="preserve">흔함</x:t>
        </x:is>
      </x:c>
      <x:c r="AA767" s="5" t="inlineStr">
        <x:is>
          <x:t xml:space="preserve">없음</x:t>
        </x:is>
      </x:c>
      <x:c r="AB767" s="5" t="inlineStr">
        <x:is>
          <x:t xml:space="preserve">숲</x:t>
        </x:is>
      </x:c>
      <x:c r="AC767" s="5" t="inlineStr">
        <x:is>
          <x:t xml:space="preserve">gen7</x:t>
        </x:is>
      </x:c>
      <x:c r="AD767" s="5" t="inlineStr">
        <x:is>
          <x:t xml:space="preserve">.tmp/cobblemon-1.7.3-source/common/src/main/resources/data/cobblemon/species/generation7/tsareena.json</x:t>
        </x:is>
      </x:c>
    </x:row>
    <x:row r="768" ht="22" customHeight="1">
      <x:c r="A768" s="5" t="n">
        <x:v>764</x:v>
      </x:c>
      <x:c r="B768" s="5" t="inlineStr">
        <x:is>
          <x:t xml:space="preserve">큐아링</x:t>
        </x:is>
      </x:c>
      <x:c r="C768" s="5" t="inlineStr">
        <x:is>
          <x:t xml:space="preserve">comfey</x:t>
        </x:is>
      </x:c>
      <x:c r="D768" s="5" t="inlineStr">
        <x:is>
          <x:t xml:space="preserve">Comfey</x:t>
        </x:is>
      </x:c>
      <x:c r="E768" s="5" t="n">
        <x:v>7</x:v>
      </x:c>
      <x:c r="F768" s="5" t="inlineStr">
        <x:is>
          <x:t xml:space="preserve">페어리</x:t>
        </x:is>
      </x:c>
      <x:c r="G768" s="5" t="inlineStr">
        <x:is>
          <x:t xml:space="preserve"/>
        </x:is>
      </x:c>
      <x:c r="H768" s="5" t="n">
        <x:v>0.1</x:v>
      </x:c>
      <x:c r="I768" s="5" t="n">
        <x:v>0.3</x:v>
      </x:c>
      <x:c r="J768" s="5" t="n">
        <x:v>485</x:v>
      </x:c>
      <x:c r="K768" s="5" t="n">
        <x:v>60</x:v>
      </x:c>
      <x:c r="L768" s="5" t="inlineStr">
        <x:is>
          <x:t xml:space="preserve">무진화</x:t>
        </x:is>
      </x:c>
      <x:c r="M768" s="5" t="n"/>
      <x:c r="N768" s="5" t="inlineStr">
        <x:is>
          <x:t xml:space="preserve">없음</x:t>
        </x:is>
      </x:c>
      <x:c r="O768" s="5" t="inlineStr">
        <x:is>
          <x:t xml:space="preserve">예</x:t>
        </x:is>
      </x:c>
      <x:c r="P768" s="5" t="inlineStr">
        <x:is>
          <x:t xml:space="preserve">#aether:is_aether; #cobblemon:is_floral; #cobblemon:is_overworld; #cobblemon:is_tropical_island; the_bumblezone:floral_meadow</x:t>
        </x:is>
      </x:c>
      <x:c r="Q768" s="5" t="inlineStr">
        <x:is>
          <x:t xml:space="preserve">rare; uncommon</x:t>
        </x:is>
      </x:c>
      <x:c r="R768" s="5" t="inlineStr">
        <x:is>
          <x:t xml:space="preserve"/>
        </x:is>
      </x:c>
      <x:c r="S768" s="5" t="inlineStr">
        <x:is>
          <x:t xml:space="preserve">비=False</x:t>
        </x:is>
      </x:c>
      <x:c r="T768" s="5" t="inlineStr">
        <x:is>
          <x:t xml:space="preserve">비행</x:t>
        </x:is>
      </x:c>
      <x:c r="U768" s="5" t="inlineStr">
        <x:is>
          <x:t xml:space="preserve">개활지</x:t>
        </x:is>
      </x:c>
      <x:c r="V768" s="5" t="inlineStr">
        <x:is>
          <x:t xml:space="preserve">온대</x:t>
        </x:is>
      </x:c>
      <x:c r="W768" s="5" t="inlineStr">
        <x:is>
          <x:t xml:space="preserve">보통</x:t>
        </x:is>
      </x:c>
      <x:c r="X768" s="5" t="inlineStr">
        <x:is>
          <x:t xml:space="preserve">무관</x:t>
        </x:is>
      </x:c>
      <x:c r="Y768" s="5" t="inlineStr">
        <x:is>
          <x:t xml:space="preserve">무관</x:t>
        </x:is>
      </x:c>
      <x:c r="Z768" s="5" t="inlineStr">
        <x:is>
          <x:t xml:space="preserve">보통</x:t>
        </x:is>
      </x:c>
      <x:c r="AA768" s="5" t="inlineStr">
        <x:is>
          <x:t xml:space="preserve">없음</x:t>
        </x:is>
      </x:c>
      <x:c r="AB768" s="5" t="inlineStr">
        <x:is>
          <x:t xml:space="preserve">평원</x:t>
        </x:is>
      </x:c>
      <x:c r="AC768" s="5" t="inlineStr">
        <x:is>
          <x:t xml:space="preserve">gen7</x:t>
        </x:is>
      </x:c>
      <x:c r="AD768" s="5" t="inlineStr">
        <x:is>
          <x:t xml:space="preserve">.tmp/cobblemon-1.7.3-source/common/src/main/resources/data/cobblemon/species/generation7/comfey.json</x:t>
        </x:is>
      </x:c>
    </x:row>
    <x:row r="769" ht="22" customHeight="1">
      <x:c r="A769" s="5" t="n">
        <x:v>765</x:v>
      </x:c>
      <x:c r="B769" s="5" t="inlineStr">
        <x:is>
          <x:t xml:space="preserve">하랑우탄</x:t>
        </x:is>
      </x:c>
      <x:c r="C769" s="5" t="inlineStr">
        <x:is>
          <x:t xml:space="preserve">oranguru</x:t>
        </x:is>
      </x:c>
      <x:c r="D769" s="5" t="inlineStr">
        <x:is>
          <x:t xml:space="preserve">Oranguru</x:t>
        </x:is>
      </x:c>
      <x:c r="E769" s="5" t="n">
        <x:v>7</x:v>
      </x:c>
      <x:c r="F769" s="5" t="inlineStr">
        <x:is>
          <x:t xml:space="preserve">노말</x:t>
        </x:is>
      </x:c>
      <x:c r="G769" s="5" t="inlineStr">
        <x:is>
          <x:t xml:space="preserve">에스퍼</x:t>
        </x:is>
      </x:c>
      <x:c r="H769" s="5" t="n">
        <x:v>1.5</x:v>
      </x:c>
      <x:c r="I769" s="5" t="n">
        <x:v>76</x:v>
      </x:c>
      <x:c r="J769" s="5" t="n">
        <x:v>490</x:v>
      </x:c>
      <x:c r="K769" s="5" t="n">
        <x:v>45</x:v>
      </x:c>
      <x:c r="L769" s="5" t="inlineStr">
        <x:is>
          <x:t xml:space="preserve">무진화</x:t>
        </x:is>
      </x:c>
      <x:c r="M769" s="5" t="n"/>
      <x:c r="N769" s="5" t="inlineStr">
        <x:is>
          <x:t xml:space="preserve">없음</x:t>
        </x:is>
      </x:c>
      <x:c r="O769" s="5" t="inlineStr">
        <x:is>
          <x:t xml:space="preserve">아니오</x:t>
        </x:is>
      </x:c>
      <x:c r="P769" s="5" t="inlineStr">
        <x:is>
          <x:t xml:space="preserve">#cobblemon:is_jungle</x:t>
        </x:is>
      </x:c>
      <x:c r="Q769" s="5" t="inlineStr">
        <x:is>
          <x:t xml:space="preserve">rare</x:t>
        </x:is>
      </x:c>
      <x:c r="R769" s="5" t="inlineStr">
        <x:is>
          <x:t xml:space="preserve"/>
        </x:is>
      </x:c>
      <x:c r="S769" s="5" t="inlineStr">
        <x:is>
          <x:t xml:space="preserve"/>
        </x:is>
      </x:c>
      <x:c r="T769" s="5" t="inlineStr">
        <x:is>
          <x:t xml:space="preserve">육상</x:t>
        </x:is>
      </x:c>
      <x:c r="U769" s="5" t="inlineStr">
        <x:is>
          <x:t xml:space="preserve">수목</x:t>
        </x:is>
      </x:c>
      <x:c r="V769" s="5" t="inlineStr">
        <x:is>
          <x:t xml:space="preserve">온대</x:t>
        </x:is>
      </x:c>
      <x:c r="W769" s="5" t="inlineStr">
        <x:is>
          <x:t xml:space="preserve">다습</x:t>
        </x:is>
      </x:c>
      <x:c r="X769" s="5" t="inlineStr">
        <x:is>
          <x:t xml:space="preserve">무관</x:t>
        </x:is>
      </x:c>
      <x:c r="Y769" s="5" t="inlineStr">
        <x:is>
          <x:t xml:space="preserve">무관</x:t>
        </x:is>
      </x:c>
      <x:c r="Z769" s="5" t="inlineStr">
        <x:is>
          <x:t xml:space="preserve">드묾</x:t>
        </x:is>
      </x:c>
      <x:c r="AA769" s="5" t="inlineStr">
        <x:is>
          <x:t xml:space="preserve">없음</x:t>
        </x:is>
      </x:c>
      <x:c r="AB769" s="5" t="inlineStr">
        <x:is>
          <x:t xml:space="preserve">숲</x:t>
        </x:is>
      </x:c>
      <x:c r="AC769" s="5" t="inlineStr">
        <x:is>
          <x:t xml:space="preserve">gen7</x:t>
        </x:is>
      </x:c>
      <x:c r="AD769" s="5" t="inlineStr">
        <x:is>
          <x:t xml:space="preserve">.tmp/cobblemon-1.7.3-source/common/src/main/resources/data/cobblemon/species/generation7/oranguru.json</x:t>
        </x:is>
      </x:c>
    </x:row>
    <x:row r="770" ht="22" customHeight="1">
      <x:c r="A770" s="5" t="n">
        <x:v>766</x:v>
      </x:c>
      <x:c r="B770" s="5" t="inlineStr">
        <x:is>
          <x:t xml:space="preserve">내던숭이</x:t>
        </x:is>
      </x:c>
      <x:c r="C770" s="5" t="inlineStr">
        <x:is>
          <x:t xml:space="preserve">passimian</x:t>
        </x:is>
      </x:c>
      <x:c r="D770" s="5" t="inlineStr">
        <x:is>
          <x:t xml:space="preserve">Passimian</x:t>
        </x:is>
      </x:c>
      <x:c r="E770" s="5" t="n">
        <x:v>7</x:v>
      </x:c>
      <x:c r="F770" s="5" t="inlineStr">
        <x:is>
          <x:t xml:space="preserve">격투</x:t>
        </x:is>
      </x:c>
      <x:c r="G770" s="5" t="inlineStr">
        <x:is>
          <x:t xml:space="preserve"/>
        </x:is>
      </x:c>
      <x:c r="H770" s="5" t="n">
        <x:v>2</x:v>
      </x:c>
      <x:c r="I770" s="5" t="n">
        <x:v>82.8</x:v>
      </x:c>
      <x:c r="J770" s="5" t="n">
        <x:v>490</x:v>
      </x:c>
      <x:c r="K770" s="5" t="n">
        <x:v>45</x:v>
      </x:c>
      <x:c r="L770" s="5" t="inlineStr">
        <x:is>
          <x:t xml:space="preserve">무진화</x:t>
        </x:is>
      </x:c>
      <x:c r="M770" s="5" t="n"/>
      <x:c r="N770" s="5" t="inlineStr">
        <x:is>
          <x:t xml:space="preserve">없음</x:t>
        </x:is>
      </x:c>
      <x:c r="O770" s="5" t="inlineStr">
        <x:is>
          <x:t xml:space="preserve">아니오</x:t>
        </x:is>
      </x:c>
      <x:c r="P770" s="5" t="inlineStr">
        <x:is>
          <x:t xml:space="preserve">#cobblemon:is_jungle</x:t>
        </x:is>
      </x:c>
      <x:c r="Q770" s="5" t="inlineStr">
        <x:is>
          <x:t xml:space="preserve">rare</x:t>
        </x:is>
      </x:c>
      <x:c r="R770" s="5" t="inlineStr">
        <x:is>
          <x:t xml:space="preserve"/>
        </x:is>
      </x:c>
      <x:c r="S770" s="5" t="inlineStr">
        <x:is>
          <x:t xml:space="preserve"/>
        </x:is>
      </x:c>
      <x:c r="T770" s="5" t="inlineStr">
        <x:is>
          <x:t xml:space="preserve">육상</x:t>
        </x:is>
      </x:c>
      <x:c r="U770" s="5" t="inlineStr">
        <x:is>
          <x:t xml:space="preserve">수목</x:t>
        </x:is>
      </x:c>
      <x:c r="V770" s="5" t="inlineStr">
        <x:is>
          <x:t xml:space="preserve">온대</x:t>
        </x:is>
      </x:c>
      <x:c r="W770" s="5" t="inlineStr">
        <x:is>
          <x:t xml:space="preserve">다습</x:t>
        </x:is>
      </x:c>
      <x:c r="X770" s="5" t="inlineStr">
        <x:is>
          <x:t xml:space="preserve">무관</x:t>
        </x:is>
      </x:c>
      <x:c r="Y770" s="5" t="inlineStr">
        <x:is>
          <x:t xml:space="preserve">무관</x:t>
        </x:is>
      </x:c>
      <x:c r="Z770" s="5" t="inlineStr">
        <x:is>
          <x:t xml:space="preserve">드묾</x:t>
        </x:is>
      </x:c>
      <x:c r="AA770" s="5" t="inlineStr">
        <x:is>
          <x:t xml:space="preserve">없음</x:t>
        </x:is>
      </x:c>
      <x:c r="AB770" s="5" t="inlineStr">
        <x:is>
          <x:t xml:space="preserve">숲</x:t>
        </x:is>
      </x:c>
      <x:c r="AC770" s="5" t="inlineStr">
        <x:is>
          <x:t xml:space="preserve">gen7</x:t>
        </x:is>
      </x:c>
      <x:c r="AD770" s="5" t="inlineStr">
        <x:is>
          <x:t xml:space="preserve">.tmp/cobblemon-1.7.3-source/common/src/main/resources/data/cobblemon/species/generation7/passimian.json</x:t>
        </x:is>
      </x:c>
    </x:row>
    <x:row r="771" ht="22" customHeight="1">
      <x:c r="A771" s="5" t="n">
        <x:v>767</x:v>
      </x:c>
      <x:c r="B771" s="5" t="inlineStr">
        <x:is>
          <x:t xml:space="preserve">꼬시레</x:t>
        </x:is>
      </x:c>
      <x:c r="C771" s="5" t="inlineStr">
        <x:is>
          <x:t xml:space="preserve">wimpod</x:t>
        </x:is>
      </x:c>
      <x:c r="D771" s="5" t="inlineStr">
        <x:is>
          <x:t xml:space="preserve">Wimpod</x:t>
        </x:is>
      </x:c>
      <x:c r="E771" s="5" t="n">
        <x:v>7</x:v>
      </x:c>
      <x:c r="F771" s="5" t="inlineStr">
        <x:is>
          <x:t xml:space="preserve">벌레</x:t>
        </x:is>
      </x:c>
      <x:c r="G771" s="5" t="inlineStr">
        <x:is>
          <x:t xml:space="preserve">물</x:t>
        </x:is>
      </x:c>
      <x:c r="H771" s="5" t="n">
        <x:v>0.5</x:v>
      </x:c>
      <x:c r="I771" s="5" t="n">
        <x:v>12</x:v>
      </x:c>
      <x:c r="J771" s="5" t="n">
        <x:v>230</x:v>
      </x:c>
      <x:c r="K771" s="5" t="n">
        <x:v>90</x:v>
      </x:c>
      <x:c r="L771" s="5" t="inlineStr">
        <x:is>
          <x:t xml:space="preserve">기본</x:t>
        </x:is>
      </x:c>
      <x:c r="M771" s="5" t="n">
        <x:v>30</x:v>
      </x:c>
      <x:c r="N771" s="5" t="inlineStr">
        <x:is>
          <x:t xml:space="preserve">레벨</x:t>
        </x:is>
      </x:c>
      <x:c r="O771" s="5" t="inlineStr">
        <x:is>
          <x:t xml:space="preserve">예</x:t>
        </x:is>
      </x:c>
      <x:c r="P771" s="5" t="inlineStr">
        <x:is>
          <x:t xml:space="preserve">#cobblemon:is_coast; #cobblemon:is_overworld; #cobblemon:is_tropical_island</x:t>
        </x:is>
      </x:c>
      <x:c r="Q771" s="5" t="inlineStr">
        <x:is>
          <x:t xml:space="preserve">common; uncommon</x:t>
        </x:is>
      </x:c>
      <x:c r="R771" s="5" t="inlineStr">
        <x:is>
          <x:t xml:space="preserve"/>
        </x:is>
      </x:c>
      <x:c r="S771" s="5" t="inlineStr">
        <x:is>
          <x:t xml:space="preserve"/>
        </x:is>
      </x:c>
      <x:c r="T771" s="5" t="inlineStr">
        <x:is>
          <x:t xml:space="preserve">해양</x:t>
        </x:is>
      </x:c>
      <x:c r="U771" s="5" t="inlineStr">
        <x:is>
          <x:t xml:space="preserve">해안·해양</x:t>
        </x:is>
      </x:c>
      <x:c r="V771" s="5" t="inlineStr">
        <x:is>
          <x:t xml:space="preserve">온대</x:t>
        </x:is>
      </x:c>
      <x:c r="W771" s="5" t="inlineStr">
        <x:is>
          <x:t xml:space="preserve">수중</x:t>
        </x:is>
      </x:c>
      <x:c r="X771" s="5" t="inlineStr">
        <x:is>
          <x:t xml:space="preserve">비</x:t>
        </x:is>
      </x:c>
      <x:c r="Y771" s="5" t="inlineStr">
        <x:is>
          <x:t xml:space="preserve">무관</x:t>
        </x:is>
      </x:c>
      <x:c r="Z771" s="5" t="inlineStr">
        <x:is>
          <x:t xml:space="preserve">보통</x:t>
        </x:is>
      </x:c>
      <x:c r="AA771" s="5" t="inlineStr">
        <x:is>
          <x:t xml:space="preserve">없음</x:t>
        </x:is>
      </x:c>
      <x:c r="AB771" s="5" t="inlineStr">
        <x:is>
          <x:t xml:space="preserve">해양</x:t>
        </x:is>
      </x:c>
      <x:c r="AC771" s="5" t="inlineStr">
        <x:is>
          <x:t xml:space="preserve">gen7</x:t>
        </x:is>
      </x:c>
      <x:c r="AD771" s="5" t="inlineStr">
        <x:is>
          <x:t xml:space="preserve">.tmp/cobblemon-1.7.3-source/common/src/main/resources/data/cobblemon/species/generation7/wimpod.json</x:t>
        </x:is>
      </x:c>
    </x:row>
    <x:row r="772" ht="22" customHeight="1">
      <x:c r="A772" s="5" t="n">
        <x:v>768</x:v>
      </x:c>
      <x:c r="B772" s="5" t="inlineStr">
        <x:is>
          <x:t xml:space="preserve">갑주무사</x:t>
        </x:is>
      </x:c>
      <x:c r="C772" s="5" t="inlineStr">
        <x:is>
          <x:t xml:space="preserve">golisopod</x:t>
        </x:is>
      </x:c>
      <x:c r="D772" s="5" t="inlineStr">
        <x:is>
          <x:t xml:space="preserve">Golisopod</x:t>
        </x:is>
      </x:c>
      <x:c r="E772" s="5" t="n">
        <x:v>7</x:v>
      </x:c>
      <x:c r="F772" s="5" t="inlineStr">
        <x:is>
          <x:t xml:space="preserve">벌레</x:t>
        </x:is>
      </x:c>
      <x:c r="G772" s="5" t="inlineStr">
        <x:is>
          <x:t xml:space="preserve">물</x:t>
        </x:is>
      </x:c>
      <x:c r="H772" s="5" t="n">
        <x:v>2</x:v>
      </x:c>
      <x:c r="I772" s="5" t="n">
        <x:v>108</x:v>
      </x:c>
      <x:c r="J772" s="5" t="n">
        <x:v>530</x:v>
      </x:c>
      <x:c r="K772" s="5" t="n">
        <x:v>45</x:v>
      </x:c>
      <x:c r="L772" s="5" t="inlineStr">
        <x:is>
          <x:t xml:space="preserve">최종</x:t>
        </x:is>
      </x:c>
      <x:c r="M772" s="5" t="n">
        <x:v>30</x:v>
      </x:c>
      <x:c r="N772" s="5" t="inlineStr">
        <x:is>
          <x:t xml:space="preserve">레벨</x:t>
        </x:is>
      </x:c>
      <x:c r="O772" s="5" t="inlineStr">
        <x:is>
          <x:t xml:space="preserve">예</x:t>
        </x:is>
      </x:c>
      <x:c r="P772" s="5" t="inlineStr">
        <x:is>
          <x:t xml:space="preserve">#cobblemon:is_coast; #cobblemon:is_overworld; #cobblemon:is_tropical_island</x:t>
        </x:is>
      </x:c>
      <x:c r="Q772" s="5" t="inlineStr">
        <x:is>
          <x:t xml:space="preserve">common; uncommon</x:t>
        </x:is>
      </x:c>
      <x:c r="R772" s="5" t="inlineStr">
        <x:is>
          <x:t xml:space="preserve"/>
        </x:is>
      </x:c>
      <x:c r="S772" s="5" t="inlineStr">
        <x:is>
          <x:t xml:space="preserve"/>
        </x:is>
      </x:c>
      <x:c r="T772" s="5" t="inlineStr">
        <x:is>
          <x:t xml:space="preserve">해양</x:t>
        </x:is>
      </x:c>
      <x:c r="U772" s="5" t="inlineStr">
        <x:is>
          <x:t xml:space="preserve">해안·해양</x:t>
        </x:is>
      </x:c>
      <x:c r="V772" s="5" t="inlineStr">
        <x:is>
          <x:t xml:space="preserve">온대</x:t>
        </x:is>
      </x:c>
      <x:c r="W772" s="5" t="inlineStr">
        <x:is>
          <x:t xml:space="preserve">수중</x:t>
        </x:is>
      </x:c>
      <x:c r="X772" s="5" t="inlineStr">
        <x:is>
          <x:t xml:space="preserve">비</x:t>
        </x:is>
      </x:c>
      <x:c r="Y772" s="5" t="inlineStr">
        <x:is>
          <x:t xml:space="preserve">무관</x:t>
        </x:is>
      </x:c>
      <x:c r="Z772" s="5" t="inlineStr">
        <x:is>
          <x:t xml:space="preserve">보통</x:t>
        </x:is>
      </x:c>
      <x:c r="AA772" s="5" t="inlineStr">
        <x:is>
          <x:t xml:space="preserve">없음</x:t>
        </x:is>
      </x:c>
      <x:c r="AB772" s="5" t="inlineStr">
        <x:is>
          <x:t xml:space="preserve">해양</x:t>
        </x:is>
      </x:c>
      <x:c r="AC772" s="5" t="inlineStr">
        <x:is>
          <x:t xml:space="preserve">gen7</x:t>
        </x:is>
      </x:c>
      <x:c r="AD772" s="5" t="inlineStr">
        <x:is>
          <x:t xml:space="preserve">.tmp/cobblemon-1.7.3-source/common/src/main/resources/data/cobblemon/species/generation7/golisopod.json</x:t>
        </x:is>
      </x:c>
    </x:row>
    <x:row r="773" ht="22" customHeight="1">
      <x:c r="A773" s="5" t="n">
        <x:v>769</x:v>
      </x:c>
      <x:c r="B773" s="5" t="inlineStr">
        <x:is>
          <x:t xml:space="preserve">모래꿍</x:t>
        </x:is>
      </x:c>
      <x:c r="C773" s="5" t="inlineStr">
        <x:is>
          <x:t xml:space="preserve">sandygast</x:t>
        </x:is>
      </x:c>
      <x:c r="D773" s="5" t="inlineStr">
        <x:is>
          <x:t xml:space="preserve">Sandygast</x:t>
        </x:is>
      </x:c>
      <x:c r="E773" s="5" t="n">
        <x:v>7</x:v>
      </x:c>
      <x:c r="F773" s="5" t="inlineStr">
        <x:is>
          <x:t xml:space="preserve">고스트</x:t>
        </x:is>
      </x:c>
      <x:c r="G773" s="5" t="inlineStr">
        <x:is>
          <x:t xml:space="preserve">땅</x:t>
        </x:is>
      </x:c>
      <x:c r="H773" s="5" t="n">
        <x:v>0.5</x:v>
      </x:c>
      <x:c r="I773" s="5" t="n">
        <x:v>70</x:v>
      </x:c>
      <x:c r="J773" s="5" t="n">
        <x:v>320</x:v>
      </x:c>
      <x:c r="K773" s="5" t="n">
        <x:v>140</x:v>
      </x:c>
      <x:c r="L773" s="5" t="inlineStr">
        <x:is>
          <x:t xml:space="preserve">기본</x:t>
        </x:is>
      </x:c>
      <x:c r="M773" s="5" t="n">
        <x:v>42</x:v>
      </x:c>
      <x:c r="N773" s="5" t="inlineStr">
        <x:is>
          <x:t xml:space="preserve">레벨</x:t>
        </x:is>
      </x:c>
      <x:c r="O773" s="5" t="inlineStr">
        <x:is>
          <x:t xml:space="preserve">예</x:t>
        </x:is>
      </x:c>
      <x:c r="P773" s="5" t="inlineStr">
        <x:is>
          <x:t xml:space="preserve">#cobblemon:is_beach</x:t>
        </x:is>
      </x:c>
      <x:c r="Q773" s="5" t="inlineStr">
        <x:is>
          <x:t xml:space="preserve">common</x:t>
        </x:is>
      </x:c>
      <x:c r="R773" s="5" t="inlineStr">
        <x:is>
          <x:t xml:space="preserve"/>
        </x:is>
      </x:c>
      <x:c r="S773" s="5" t="inlineStr">
        <x:is>
          <x:t xml:space="preserve"/>
        </x:is>
      </x:c>
      <x:c r="T773" s="5" t="inlineStr">
        <x:is>
          <x:t xml:space="preserve">해양</x:t>
        </x:is>
      </x:c>
      <x:c r="U773" s="5" t="inlineStr">
        <x:is>
          <x:t xml:space="preserve">해안·해양</x:t>
        </x:is>
      </x:c>
      <x:c r="V773" s="5" t="inlineStr">
        <x:is>
          <x:t xml:space="preserve">온대</x:t>
        </x:is>
      </x:c>
      <x:c r="W773" s="5" t="inlineStr">
        <x:is>
          <x:t xml:space="preserve">수중</x:t>
        </x:is>
      </x:c>
      <x:c r="X773" s="5" t="inlineStr">
        <x:is>
          <x:t xml:space="preserve">비</x:t>
        </x:is>
      </x:c>
      <x:c r="Y773" s="5" t="inlineStr">
        <x:is>
          <x:t xml:space="preserve">밤</x:t>
        </x:is>
      </x:c>
      <x:c r="Z773" s="5" t="inlineStr">
        <x:is>
          <x:t xml:space="preserve">흔함</x:t>
        </x:is>
      </x:c>
      <x:c r="AA773" s="5" t="inlineStr">
        <x:is>
          <x:t xml:space="preserve">영체</x:t>
        </x:is>
      </x:c>
      <x:c r="AB773" s="5" t="inlineStr">
        <x:is>
          <x:t xml:space="preserve">해양</x:t>
        </x:is>
      </x:c>
      <x:c r="AC773" s="5" t="inlineStr">
        <x:is>
          <x:t xml:space="preserve">gen7</x:t>
        </x:is>
      </x:c>
      <x:c r="AD773" s="5" t="inlineStr">
        <x:is>
          <x:t xml:space="preserve">.tmp/cobblemon-1.7.3-source/common/src/main/resources/data/cobblemon/species/generation7/sandygast.json</x:t>
        </x:is>
      </x:c>
    </x:row>
    <x:row r="774" ht="22" customHeight="1">
      <x:c r="A774" s="5" t="n">
        <x:v>770</x:v>
      </x:c>
      <x:c r="B774" s="5" t="inlineStr">
        <x:is>
          <x:t xml:space="preserve">모래성이당</x:t>
        </x:is>
      </x:c>
      <x:c r="C774" s="5" t="inlineStr">
        <x:is>
          <x:t xml:space="preserve">palossand</x:t>
        </x:is>
      </x:c>
      <x:c r="D774" s="5" t="inlineStr">
        <x:is>
          <x:t xml:space="preserve">Palossand</x:t>
        </x:is>
      </x:c>
      <x:c r="E774" s="5" t="n">
        <x:v>7</x:v>
      </x:c>
      <x:c r="F774" s="5" t="inlineStr">
        <x:is>
          <x:t xml:space="preserve">고스트</x:t>
        </x:is>
      </x:c>
      <x:c r="G774" s="5" t="inlineStr">
        <x:is>
          <x:t xml:space="preserve">땅</x:t>
        </x:is>
      </x:c>
      <x:c r="H774" s="5" t="n">
        <x:v>1.3</x:v>
      </x:c>
      <x:c r="I774" s="5" t="n">
        <x:v>250</x:v>
      </x:c>
      <x:c r="J774" s="5" t="n">
        <x:v>480</x:v>
      </x:c>
      <x:c r="K774" s="5" t="n">
        <x:v>60</x:v>
      </x:c>
      <x:c r="L774" s="5" t="inlineStr">
        <x:is>
          <x:t xml:space="preserve">최종</x:t>
        </x:is>
      </x:c>
      <x:c r="M774" s="5" t="n">
        <x:v>42</x:v>
      </x:c>
      <x:c r="N774" s="5" t="inlineStr">
        <x:is>
          <x:t xml:space="preserve">레벨</x:t>
        </x:is>
      </x:c>
      <x:c r="O774" s="5" t="inlineStr">
        <x:is>
          <x:t xml:space="preserve">예</x:t>
        </x:is>
      </x:c>
      <x:c r="P774" s="5" t="inlineStr">
        <x:is>
          <x:t xml:space="preserve">#cobblemon:is_beach</x:t>
        </x:is>
      </x:c>
      <x:c r="Q774" s="5" t="inlineStr">
        <x:is>
          <x:t xml:space="preserve">common</x:t>
        </x:is>
      </x:c>
      <x:c r="R774" s="5" t="inlineStr">
        <x:is>
          <x:t xml:space="preserve"/>
        </x:is>
      </x:c>
      <x:c r="S774" s="5" t="inlineStr">
        <x:is>
          <x:t xml:space="preserve"/>
        </x:is>
      </x:c>
      <x:c r="T774" s="5" t="inlineStr">
        <x:is>
          <x:t xml:space="preserve">해양</x:t>
        </x:is>
      </x:c>
      <x:c r="U774" s="5" t="inlineStr">
        <x:is>
          <x:t xml:space="preserve">해안·해양</x:t>
        </x:is>
      </x:c>
      <x:c r="V774" s="5" t="inlineStr">
        <x:is>
          <x:t xml:space="preserve">온대</x:t>
        </x:is>
      </x:c>
      <x:c r="W774" s="5" t="inlineStr">
        <x:is>
          <x:t xml:space="preserve">수중</x:t>
        </x:is>
      </x:c>
      <x:c r="X774" s="5" t="inlineStr">
        <x:is>
          <x:t xml:space="preserve">비</x:t>
        </x:is>
      </x:c>
      <x:c r="Y774" s="5" t="inlineStr">
        <x:is>
          <x:t xml:space="preserve">밤</x:t>
        </x:is>
      </x:c>
      <x:c r="Z774" s="5" t="inlineStr">
        <x:is>
          <x:t xml:space="preserve">흔함</x:t>
        </x:is>
      </x:c>
      <x:c r="AA774" s="5" t="inlineStr">
        <x:is>
          <x:t xml:space="preserve">영체</x:t>
        </x:is>
      </x:c>
      <x:c r="AB774" s="5" t="inlineStr">
        <x:is>
          <x:t xml:space="preserve">해양</x:t>
        </x:is>
      </x:c>
      <x:c r="AC774" s="5" t="inlineStr">
        <x:is>
          <x:t xml:space="preserve">gen7</x:t>
        </x:is>
      </x:c>
      <x:c r="AD774" s="5" t="inlineStr">
        <x:is>
          <x:t xml:space="preserve">.tmp/cobblemon-1.7.3-source/common/src/main/resources/data/cobblemon/species/generation7/palossand.json</x:t>
        </x:is>
      </x:c>
    </x:row>
    <x:row r="775" ht="22" customHeight="1">
      <x:c r="A775" s="5" t="n">
        <x:v>771</x:v>
      </x:c>
      <x:c r="B775" s="5" t="inlineStr">
        <x:is>
          <x:t xml:space="preserve">해무기</x:t>
        </x:is>
      </x:c>
      <x:c r="C775" s="5" t="inlineStr">
        <x:is>
          <x:t xml:space="preserve">pyukumuku</x:t>
        </x:is>
      </x:c>
      <x:c r="D775" s="5" t="inlineStr">
        <x:is>
          <x:t xml:space="preserve">Pyukumuku</x:t>
        </x:is>
      </x:c>
      <x:c r="E775" s="5" t="n">
        <x:v>7</x:v>
      </x:c>
      <x:c r="F775" s="5" t="inlineStr">
        <x:is>
          <x:t xml:space="preserve">물</x:t>
        </x:is>
      </x:c>
      <x:c r="G775" s="5" t="inlineStr">
        <x:is>
          <x:t xml:space="preserve"/>
        </x:is>
      </x:c>
      <x:c r="H775" s="5" t="n">
        <x:v>0.3</x:v>
      </x:c>
      <x:c r="I775" s="5" t="n">
        <x:v>1.2</x:v>
      </x:c>
      <x:c r="J775" s="5" t="n">
        <x:v>410</x:v>
      </x:c>
      <x:c r="K775" s="5" t="n">
        <x:v>60</x:v>
      </x:c>
      <x:c r="L775" s="5" t="inlineStr">
        <x:is>
          <x:t xml:space="preserve">무진화</x:t>
        </x:is>
      </x:c>
      <x:c r="M775" s="5" t="n"/>
      <x:c r="N775" s="5" t="inlineStr">
        <x:is>
          <x:t xml:space="preserve">없음</x:t>
        </x:is>
      </x:c>
      <x:c r="O775" s="5" t="inlineStr">
        <x:is>
          <x:t xml:space="preserve">예</x:t>
        </x:is>
      </x:c>
      <x:c r="P775" s="5" t="inlineStr">
        <x:is>
          <x:t xml:space="preserve">#cobblemon:is_beach; #cobblemon:is_ocean; #cobblemon:is_warm_ocean</x:t>
        </x:is>
      </x:c>
      <x:c r="Q775" s="5" t="inlineStr">
        <x:is>
          <x:t xml:space="preserve">common; uncommon</x:t>
        </x:is>
      </x:c>
      <x:c r="R775" s="5" t="inlineStr">
        <x:is>
          <x:t xml:space="preserve"/>
        </x:is>
      </x:c>
      <x:c r="S775" s="5" t="inlineStr">
        <x:is>
          <x:t xml:space="preserve"/>
        </x:is>
      </x:c>
      <x:c r="T775" s="5" t="inlineStr">
        <x:is>
          <x:t xml:space="preserve">해양</x:t>
        </x:is>
      </x:c>
      <x:c r="U775" s="5" t="inlineStr">
        <x:is>
          <x:t xml:space="preserve">해안·해양</x:t>
        </x:is>
      </x:c>
      <x:c r="V775" s="5" t="inlineStr">
        <x:is>
          <x:t xml:space="preserve">온대</x:t>
        </x:is>
      </x:c>
      <x:c r="W775" s="5" t="inlineStr">
        <x:is>
          <x:t xml:space="preserve">수중</x:t>
        </x:is>
      </x:c>
      <x:c r="X775" s="5" t="inlineStr">
        <x:is>
          <x:t xml:space="preserve">비</x:t>
        </x:is>
      </x:c>
      <x:c r="Y775" s="5" t="inlineStr">
        <x:is>
          <x:t xml:space="preserve">무관</x:t>
        </x:is>
      </x:c>
      <x:c r="Z775" s="5" t="inlineStr">
        <x:is>
          <x:t xml:space="preserve">보통</x:t>
        </x:is>
      </x:c>
      <x:c r="AA775" s="5" t="inlineStr">
        <x:is>
          <x:t xml:space="preserve">없음</x:t>
        </x:is>
      </x:c>
      <x:c r="AB775" s="5" t="inlineStr">
        <x:is>
          <x:t xml:space="preserve">해양</x:t>
        </x:is>
      </x:c>
      <x:c r="AC775" s="5" t="inlineStr">
        <x:is>
          <x:t xml:space="preserve">gen7</x:t>
        </x:is>
      </x:c>
      <x:c r="AD775" s="5" t="inlineStr">
        <x:is>
          <x:t xml:space="preserve">.tmp/cobblemon-1.7.3-source/common/src/main/resources/data/cobblemon/species/generation7/pyukumuku.json</x:t>
        </x:is>
      </x:c>
    </x:row>
    <x:row r="776" ht="22" customHeight="1">
      <x:c r="A776" s="5" t="n">
        <x:v>772</x:v>
      </x:c>
      <x:c r="B776" s="5" t="inlineStr">
        <x:is>
          <x:t xml:space="preserve">타입:널</x:t>
        </x:is>
      </x:c>
      <x:c r="C776" s="5" t="inlineStr">
        <x:is>
          <x:t xml:space="preserve">typenull</x:t>
        </x:is>
      </x:c>
      <x:c r="D776" s="5" t="inlineStr">
        <x:is>
          <x:t xml:space="preserve">Type: Null</x:t>
        </x:is>
      </x:c>
      <x:c r="E776" s="5" t="n">
        <x:v>7</x:v>
      </x:c>
      <x:c r="F776" s="5" t="inlineStr">
        <x:is>
          <x:t xml:space="preserve">노말</x:t>
        </x:is>
      </x:c>
      <x:c r="G776" s="5" t="inlineStr">
        <x:is>
          <x:t xml:space="preserve"/>
        </x:is>
      </x:c>
      <x:c r="H776" s="5" t="n">
        <x:v>1.9</x:v>
      </x:c>
      <x:c r="I776" s="5" t="n">
        <x:v>120.5</x:v>
      </x:c>
      <x:c r="J776" s="5" t="n">
        <x:v>534</x:v>
      </x:c>
      <x:c r="K776" s="5" t="n">
        <x:v>3</x:v>
      </x:c>
      <x:c r="L776" s="5" t="inlineStr">
        <x:is>
          <x:t xml:space="preserve">기본</x:t>
        </x:is>
      </x:c>
      <x:c r="M776" s="5" t="n"/>
      <x:c r="N776" s="5" t="inlineStr">
        <x:is>
          <x:t xml:space="preserve">없음</x:t>
        </x:is>
      </x:c>
      <x:c r="O776" s="5" t="inlineStr">
        <x:is>
          <x:t xml:space="preserve">아니오</x:t>
        </x:is>
      </x:c>
      <x:c r="P776" s="5" t="inlineStr">
        <x:is>
          <x:t xml:space="preserve"/>
        </x:is>
      </x:c>
      <x:c r="Q776" s="5" t="inlineStr">
        <x:is>
          <x:t xml:space="preserve"/>
        </x:is>
      </x:c>
      <x:c r="R776" s="5" t="inlineStr">
        <x:is>
          <x:t xml:space="preserve"/>
        </x:is>
      </x:c>
      <x:c r="S776" s="5" t="inlineStr">
        <x:is>
          <x:t xml:space="preserve"/>
        </x:is>
      </x:c>
      <x:c r="T776" s="5" t="inlineStr">
        <x:is>
          <x:t xml:space="preserve">육상</x:t>
        </x:is>
      </x:c>
      <x:c r="U776" s="5" t="inlineStr">
        <x:is>
          <x:t xml:space="preserve">개활지</x:t>
        </x:is>
      </x:c>
      <x:c r="V776" s="5" t="inlineStr">
        <x:is>
          <x:t xml:space="preserve">온대</x:t>
        </x:is>
      </x:c>
      <x:c r="W776" s="5" t="inlineStr">
        <x:is>
          <x:t xml:space="preserve">보통</x:t>
        </x:is>
      </x:c>
      <x:c r="X776" s="5" t="inlineStr">
        <x:is>
          <x:t xml:space="preserve">무관</x:t>
        </x:is>
      </x:c>
      <x:c r="Y776" s="5" t="inlineStr">
        <x:is>
          <x:t xml:space="preserve">무관</x:t>
        </x:is>
      </x:c>
      <x:c r="Z776" s="5" t="inlineStr">
        <x:is>
          <x:t xml:space="preserve">전설</x:t>
        </x:is>
      </x:c>
      <x:c r="AA776" s="5" t="inlineStr">
        <x:is>
          <x:t xml:space="preserve">전설</x:t>
        </x:is>
      </x:c>
      <x:c r="AB776" s="5" t="inlineStr">
        <x:is>
          <x:t xml:space="preserve"/>
        </x:is>
      </x:c>
      <x:c r="AC776" s="5" t="inlineStr">
        <x:is>
          <x:t xml:space="preserve">gen7; legendary</x:t>
        </x:is>
      </x:c>
      <x:c r="AD776" s="5" t="inlineStr">
        <x:is>
          <x:t xml:space="preserve">.tmp/cobblemon-1.7.3-source/common/src/main/resources/data/cobblemon/species/generation7/typenull.json</x:t>
        </x:is>
      </x:c>
    </x:row>
    <x:row r="777" ht="22" customHeight="1">
      <x:c r="A777" s="5" t="n">
        <x:v>773</x:v>
      </x:c>
      <x:c r="B777" s="5" t="inlineStr">
        <x:is>
          <x:t xml:space="preserve">실버디</x:t>
        </x:is>
      </x:c>
      <x:c r="C777" s="5" t="inlineStr">
        <x:is>
          <x:t xml:space="preserve">silvally</x:t>
        </x:is>
      </x:c>
      <x:c r="D777" s="5" t="inlineStr">
        <x:is>
          <x:t xml:space="preserve">Silvally</x:t>
        </x:is>
      </x:c>
      <x:c r="E777" s="5" t="n">
        <x:v>7</x:v>
      </x:c>
      <x:c r="F777" s="5" t="inlineStr">
        <x:is>
          <x:t xml:space="preserve">노말</x:t>
        </x:is>
      </x:c>
      <x:c r="G777" s="5" t="inlineStr">
        <x:is>
          <x:t xml:space="preserve"/>
        </x:is>
      </x:c>
      <x:c r="H777" s="5" t="n">
        <x:v>2.3</x:v>
      </x:c>
      <x:c r="I777" s="5" t="n">
        <x:v>100.5</x:v>
      </x:c>
      <x:c r="J777" s="5" t="n">
        <x:v>570</x:v>
      </x:c>
      <x:c r="K777" s="5" t="n">
        <x:v>3</x:v>
      </x:c>
      <x:c r="L777" s="5" t="inlineStr">
        <x:is>
          <x:t xml:space="preserve">최종</x:t>
        </x:is>
      </x:c>
      <x:c r="M777" s="5" t="n"/>
      <x:c r="N777" s="5" t="inlineStr">
        <x:is>
          <x:t xml:space="preserve">없음</x:t>
        </x:is>
      </x:c>
      <x:c r="O777" s="5" t="inlineStr">
        <x:is>
          <x:t xml:space="preserve">아니오</x:t>
        </x:is>
      </x:c>
      <x:c r="P777" s="5" t="inlineStr">
        <x:is>
          <x:t xml:space="preserve"/>
        </x:is>
      </x:c>
      <x:c r="Q777" s="5" t="inlineStr">
        <x:is>
          <x:t xml:space="preserve"/>
        </x:is>
      </x:c>
      <x:c r="R777" s="5" t="inlineStr">
        <x:is>
          <x:t xml:space="preserve"/>
        </x:is>
      </x:c>
      <x:c r="S777" s="5" t="inlineStr">
        <x:is>
          <x:t xml:space="preserve"/>
        </x:is>
      </x:c>
      <x:c r="T777" s="5" t="inlineStr">
        <x:is>
          <x:t xml:space="preserve">인공</x:t>
        </x:is>
      </x:c>
      <x:c r="U777" s="5" t="inlineStr">
        <x:is>
          <x:t xml:space="preserve">도시</x:t>
        </x:is>
      </x:c>
      <x:c r="V777" s="5" t="inlineStr">
        <x:is>
          <x:t xml:space="preserve">온대</x:t>
        </x:is>
      </x:c>
      <x:c r="W777" s="5" t="inlineStr">
        <x:is>
          <x:t xml:space="preserve">보통</x:t>
        </x:is>
      </x:c>
      <x:c r="X777" s="5" t="inlineStr">
        <x:is>
          <x:t xml:space="preserve">무관</x:t>
        </x:is>
      </x:c>
      <x:c r="Y777" s="5" t="inlineStr">
        <x:is>
          <x:t xml:space="preserve">무관</x:t>
        </x:is>
      </x:c>
      <x:c r="Z777" s="5" t="inlineStr">
        <x:is>
          <x:t xml:space="preserve">전설</x:t>
        </x:is>
      </x:c>
      <x:c r="AA777" s="5" t="inlineStr">
        <x:is>
          <x:t xml:space="preserve">전설</x:t>
        </x:is>
      </x:c>
      <x:c r="AB777" s="5" t="inlineStr">
        <x:is>
          <x:t xml:space="preserve"/>
        </x:is>
      </x:c>
      <x:c r="AC777" s="5" t="inlineStr">
        <x:is>
          <x:t xml:space="preserve">gen7; legendary</x:t>
        </x:is>
      </x:c>
      <x:c r="AD777" s="5" t="inlineStr">
        <x:is>
          <x:t xml:space="preserve">.tmp/cobblemon-1.7.3-source/common/src/main/resources/data/cobblemon/species/generation7/silvally.json</x:t>
        </x:is>
      </x:c>
    </x:row>
    <x:row r="778" ht="22" customHeight="1">
      <x:c r="A778" s="5" t="n">
        <x:v>774</x:v>
      </x:c>
      <x:c r="B778" s="5" t="inlineStr">
        <x:is>
          <x:t xml:space="preserve">메테노</x:t>
        </x:is>
      </x:c>
      <x:c r="C778" s="5" t="inlineStr">
        <x:is>
          <x:t xml:space="preserve">minior</x:t>
        </x:is>
      </x:c>
      <x:c r="D778" s="5" t="inlineStr">
        <x:is>
          <x:t xml:space="preserve">Minior</x:t>
        </x:is>
      </x:c>
      <x:c r="E778" s="5" t="n">
        <x:v>7</x:v>
      </x:c>
      <x:c r="F778" s="5" t="inlineStr">
        <x:is>
          <x:t xml:space="preserve">바위</x:t>
        </x:is>
      </x:c>
      <x:c r="G778" s="5" t="inlineStr">
        <x:is>
          <x:t xml:space="preserve">비행</x:t>
        </x:is>
      </x:c>
      <x:c r="H778" s="5" t="n">
        <x:v>0.3</x:v>
      </x:c>
      <x:c r="I778" s="5" t="n">
        <x:v>0.3</x:v>
      </x:c>
      <x:c r="J778" s="5" t="n">
        <x:v>500</x:v>
      </x:c>
      <x:c r="K778" s="5" t="n">
        <x:v>255</x:v>
      </x:c>
      <x:c r="L778" s="5" t="inlineStr">
        <x:is>
          <x:t xml:space="preserve">무진화</x:t>
        </x:is>
      </x:c>
      <x:c r="M778" s="5" t="n"/>
      <x:c r="N778" s="5" t="inlineStr">
        <x:is>
          <x:t xml:space="preserve">없음</x:t>
        </x:is>
      </x:c>
      <x:c r="O778" s="5" t="inlineStr">
        <x:is>
          <x:t xml:space="preserve">아니오</x:t>
        </x:is>
      </x:c>
      <x:c r="P778" s="5" t="inlineStr">
        <x:is>
          <x:t xml:space="preserve">#cobblemon:is_cold; #cobblemon:is_freshwater; #cobblemon:is_hills; #cobblemon:is_jungle; #cobblemon:is_mountain; #cobblemon:is_overworld; #cobblemon:is_plains; #cobblemon:is_savanna</x:t>
        </x:is>
      </x:c>
      <x:c r="Q778" s="5" t="inlineStr">
        <x:is>
          <x:t xml:space="preserve">rare; uncommon</x:t>
        </x:is>
      </x:c>
      <x:c r="R778" s="5" t="inlineStr">
        <x:is>
          <x:t xml:space="preserve">day; night</x:t>
        </x:is>
      </x:c>
      <x:c r="S778" s="5" t="inlineStr">
        <x:is>
          <x:t xml:space="preserve"/>
        </x:is>
      </x:c>
      <x:c r="T778" s="5" t="inlineStr">
        <x:is>
          <x:t xml:space="preserve">비행</x:t>
        </x:is>
      </x:c>
      <x:c r="U778" s="5" t="inlineStr">
        <x:is>
          <x:t xml:space="preserve">암석</x:t>
        </x:is>
      </x:c>
      <x:c r="V778" s="5" t="inlineStr">
        <x:is>
          <x:t xml:space="preserve">서늘</x:t>
        </x:is>
      </x:c>
      <x:c r="W778" s="5" t="inlineStr">
        <x:is>
          <x:t xml:space="preserve">다습</x:t>
        </x:is>
      </x:c>
      <x:c r="X778" s="5" t="inlineStr">
        <x:is>
          <x:t xml:space="preserve">무관</x:t>
        </x:is>
      </x:c>
      <x:c r="Y778" s="5" t="inlineStr">
        <x:is>
          <x:t xml:space="preserve">밤</x:t>
        </x:is>
      </x:c>
      <x:c r="Z778" s="5" t="inlineStr">
        <x:is>
          <x:t xml:space="preserve">보통</x:t>
        </x:is>
      </x:c>
      <x:c r="AA778" s="5" t="inlineStr">
        <x:is>
          <x:t xml:space="preserve">없음</x:t>
        </x:is>
      </x:c>
      <x:c r="AB778" s="5" t="inlineStr">
        <x:is>
          <x:t xml:space="preserve">산악</x:t>
        </x:is>
      </x:c>
      <x:c r="AC778" s="5" t="inlineStr">
        <x:is>
          <x:t xml:space="preserve">gen7</x:t>
        </x:is>
      </x:c>
      <x:c r="AD778" s="5" t="inlineStr">
        <x:is>
          <x:t xml:space="preserve">.tmp/cobblemon-1.7.3-source/common/src/main/resources/data/cobblemon/species/generation7/minior.json</x:t>
        </x:is>
      </x:c>
    </x:row>
    <x:row r="779" ht="22" customHeight="1">
      <x:c r="A779" s="5" t="n">
        <x:v>775</x:v>
      </x:c>
      <x:c r="B779" s="5" t="inlineStr">
        <x:is>
          <x:t xml:space="preserve">자말라</x:t>
        </x:is>
      </x:c>
      <x:c r="C779" s="5" t="inlineStr">
        <x:is>
          <x:t xml:space="preserve">komala</x:t>
        </x:is>
      </x:c>
      <x:c r="D779" s="5" t="inlineStr">
        <x:is>
          <x:t xml:space="preserve">Komala</x:t>
        </x:is>
      </x:c>
      <x:c r="E779" s="5" t="n">
        <x:v>7</x:v>
      </x:c>
      <x:c r="F779" s="5" t="inlineStr">
        <x:is>
          <x:t xml:space="preserve">노말</x:t>
        </x:is>
      </x:c>
      <x:c r="G779" s="5" t="inlineStr">
        <x:is>
          <x:t xml:space="preserve"/>
        </x:is>
      </x:c>
      <x:c r="H779" s="5" t="n">
        <x:v>0.4</x:v>
      </x:c>
      <x:c r="I779" s="5" t="n">
        <x:v>19.9</x:v>
      </x:c>
      <x:c r="J779" s="5" t="n">
        <x:v>480</x:v>
      </x:c>
      <x:c r="K779" s="5" t="n">
        <x:v>45</x:v>
      </x:c>
      <x:c r="L779" s="5" t="inlineStr">
        <x:is>
          <x:t xml:space="preserve">무진화</x:t>
        </x:is>
      </x:c>
      <x:c r="M779" s="5" t="n"/>
      <x:c r="N779" s="5" t="inlineStr">
        <x:is>
          <x:t xml:space="preserve">없음</x:t>
        </x:is>
      </x:c>
      <x:c r="O779" s="5" t="inlineStr">
        <x:is>
          <x:t xml:space="preserve">예</x:t>
        </x:is>
      </x:c>
      <x:c r="P779" s="5" t="inlineStr">
        <x:is>
          <x:t xml:space="preserve">#cobblemon:is_savanna; aether:skyroot_forest; aether:skyroot_woodland</x:t>
        </x:is>
      </x:c>
      <x:c r="Q779" s="5" t="inlineStr">
        <x:is>
          <x:t xml:space="preserve">common</x:t>
        </x:is>
      </x:c>
      <x:c r="R779" s="5" t="inlineStr">
        <x:is>
          <x:t xml:space="preserve"/>
        </x:is>
      </x:c>
      <x:c r="S779" s="5" t="inlineStr">
        <x:is>
          <x:t xml:space="preserve"/>
        </x:is>
      </x:c>
      <x:c r="T779" s="5" t="inlineStr">
        <x:is>
          <x:t xml:space="preserve">육상</x:t>
        </x:is>
      </x:c>
      <x:c r="U779" s="5" t="inlineStr">
        <x:is>
          <x:t xml:space="preserve">수목</x:t>
        </x:is>
      </x:c>
      <x:c r="V779" s="5" t="inlineStr">
        <x:is>
          <x:t xml:space="preserve">온대</x:t>
        </x:is>
      </x:c>
      <x:c r="W779" s="5" t="inlineStr">
        <x:is>
          <x:t xml:space="preserve">보통</x:t>
        </x:is>
      </x:c>
      <x:c r="X779" s="5" t="inlineStr">
        <x:is>
          <x:t xml:space="preserve">무관</x:t>
        </x:is>
      </x:c>
      <x:c r="Y779" s="5" t="inlineStr">
        <x:is>
          <x:t xml:space="preserve">무관</x:t>
        </x:is>
      </x:c>
      <x:c r="Z779" s="5" t="inlineStr">
        <x:is>
          <x:t xml:space="preserve">흔함</x:t>
        </x:is>
      </x:c>
      <x:c r="AA779" s="5" t="inlineStr">
        <x:is>
          <x:t xml:space="preserve">없음</x:t>
        </x:is>
      </x:c>
      <x:c r="AB779" s="5" t="inlineStr">
        <x:is>
          <x:t xml:space="preserve">숲</x:t>
        </x:is>
      </x:c>
      <x:c r="AC779" s="5" t="inlineStr">
        <x:is>
          <x:t xml:space="preserve">gen7</x:t>
        </x:is>
      </x:c>
      <x:c r="AD779" s="5" t="inlineStr">
        <x:is>
          <x:t xml:space="preserve">.tmp/cobblemon-1.7.3-source/common/src/main/resources/data/cobblemon/species/generation7/komala.json</x:t>
        </x:is>
      </x:c>
    </x:row>
    <x:row r="780" ht="22" customHeight="1">
      <x:c r="A780" s="5" t="n">
        <x:v>776</x:v>
      </x:c>
      <x:c r="B780" s="5" t="inlineStr">
        <x:is>
          <x:t xml:space="preserve">폭거북스</x:t>
        </x:is>
      </x:c>
      <x:c r="C780" s="5" t="inlineStr">
        <x:is>
          <x:t xml:space="preserve">turtonator</x:t>
        </x:is>
      </x:c>
      <x:c r="D780" s="5" t="inlineStr">
        <x:is>
          <x:t xml:space="preserve">Turtonator</x:t>
        </x:is>
      </x:c>
      <x:c r="E780" s="5" t="n">
        <x:v>7</x:v>
      </x:c>
      <x:c r="F780" s="5" t="inlineStr">
        <x:is>
          <x:t xml:space="preserve">불꽃</x:t>
        </x:is>
      </x:c>
      <x:c r="G780" s="5" t="inlineStr">
        <x:is>
          <x:t xml:space="preserve">드래곤</x:t>
        </x:is>
      </x:c>
      <x:c r="H780" s="5" t="n">
        <x:v>2</x:v>
      </x:c>
      <x:c r="I780" s="5" t="n">
        <x:v>212</x:v>
      </x:c>
      <x:c r="J780" s="5" t="n">
        <x:v>485</x:v>
      </x:c>
      <x:c r="K780" s="5" t="n">
        <x:v>70</x:v>
      </x:c>
      <x:c r="L780" s="5" t="inlineStr">
        <x:is>
          <x:t xml:space="preserve">무진화</x:t>
        </x:is>
      </x:c>
      <x:c r="M780" s="5" t="n"/>
      <x:c r="N780" s="5" t="inlineStr">
        <x:is>
          <x:t xml:space="preserve">없음</x:t>
        </x:is>
      </x:c>
      <x:c r="O780" s="5" t="inlineStr">
        <x:is>
          <x:t xml:space="preserve">예</x:t>
        </x:is>
      </x:c>
      <x:c r="P780" s="5" t="inlineStr">
        <x:is>
          <x:t xml:space="preserve">#cobblemon:nether/is_basalt</x:t>
        </x:is>
      </x:c>
      <x:c r="Q780" s="5" t="inlineStr">
        <x:is>
          <x:t xml:space="preserve">uncommon</x:t>
        </x:is>
      </x:c>
      <x:c r="R780" s="5" t="inlineStr">
        <x:is>
          <x:t xml:space="preserve"/>
        </x:is>
      </x:c>
      <x:c r="S780" s="5" t="inlineStr">
        <x:is>
          <x:t xml:space="preserve"/>
        </x:is>
      </x:c>
      <x:c r="T780" s="5" t="inlineStr">
        <x:is>
          <x:t xml:space="preserve">육상</x:t>
        </x:is>
      </x:c>
      <x:c r="U780" s="5" t="inlineStr">
        <x:is>
          <x:t xml:space="preserve">화산</x:t>
        </x:is>
      </x:c>
      <x:c r="V780" s="5" t="inlineStr">
        <x:is>
          <x:t xml:space="preserve">고온</x:t>
        </x:is>
      </x:c>
      <x:c r="W780" s="5" t="inlineStr">
        <x:is>
          <x:t xml:space="preserve">건조</x:t>
        </x:is>
      </x:c>
      <x:c r="X780" s="5" t="inlineStr">
        <x:is>
          <x:t xml:space="preserve">맑음</x:t>
        </x:is>
      </x:c>
      <x:c r="Y780" s="5" t="inlineStr">
        <x:is>
          <x:t xml:space="preserve">무관</x:t>
        </x:is>
      </x:c>
      <x:c r="Z780" s="5" t="inlineStr">
        <x:is>
          <x:t xml:space="preserve">보통</x:t>
        </x:is>
      </x:c>
      <x:c r="AA780" s="5" t="inlineStr">
        <x:is>
          <x:t xml:space="preserve">화산</x:t>
        </x:is>
      </x:c>
      <x:c r="AB780" s="5" t="inlineStr">
        <x:is>
          <x:t xml:space="preserve">화산</x:t>
        </x:is>
      </x:c>
      <x:c r="AC780" s="5" t="inlineStr">
        <x:is>
          <x:t xml:space="preserve">gen7</x:t>
        </x:is>
      </x:c>
      <x:c r="AD780" s="5" t="inlineStr">
        <x:is>
          <x:t xml:space="preserve">.tmp/cobblemon-1.7.3-source/common/src/main/resources/data/cobblemon/species/generation7/turtonator.json</x:t>
        </x:is>
      </x:c>
    </x:row>
    <x:row r="781" ht="22" customHeight="1">
      <x:c r="A781" s="5" t="n">
        <x:v>777</x:v>
      </x:c>
      <x:c r="B781" s="5" t="inlineStr">
        <x:is>
          <x:t xml:space="preserve">토게데마루</x:t>
        </x:is>
      </x:c>
      <x:c r="C781" s="5" t="inlineStr">
        <x:is>
          <x:t xml:space="preserve">togedemaru</x:t>
        </x:is>
      </x:c>
      <x:c r="D781" s="5" t="inlineStr">
        <x:is>
          <x:t xml:space="preserve">Togedemaru</x:t>
        </x:is>
      </x:c>
      <x:c r="E781" s="5" t="n">
        <x:v>7</x:v>
      </x:c>
      <x:c r="F781" s="5" t="inlineStr">
        <x:is>
          <x:t xml:space="preserve">전기</x:t>
        </x:is>
      </x:c>
      <x:c r="G781" s="5" t="inlineStr">
        <x:is>
          <x:t xml:space="preserve">강철</x:t>
        </x:is>
      </x:c>
      <x:c r="H781" s="5" t="n">
        <x:v>0.3</x:v>
      </x:c>
      <x:c r="I781" s="5" t="n">
        <x:v>3.3</x:v>
      </x:c>
      <x:c r="J781" s="5" t="n">
        <x:v>435</x:v>
      </x:c>
      <x:c r="K781" s="5" t="n">
        <x:v>180</x:v>
      </x:c>
      <x:c r="L781" s="5" t="inlineStr">
        <x:is>
          <x:t xml:space="preserve">무진화</x:t>
        </x:is>
      </x:c>
      <x:c r="M781" s="5" t="n"/>
      <x:c r="N781" s="5" t="inlineStr">
        <x:is>
          <x:t xml:space="preserve">없음</x:t>
        </x:is>
      </x:c>
      <x:c r="O781" s="5" t="inlineStr">
        <x:is>
          <x:t xml:space="preserve">예</x:t>
        </x:is>
      </x:c>
      <x:c r="P781" s="5" t="inlineStr">
        <x:is>
          <x:t xml:space="preserve">#cobblemon:is_hills</x:t>
        </x:is>
      </x:c>
      <x:c r="Q781" s="5" t="inlineStr">
        <x:is>
          <x:t xml:space="preserve">uncommon</x:t>
        </x:is>
      </x:c>
      <x:c r="R781" s="5" t="inlineStr">
        <x:is>
          <x:t xml:space="preserve"/>
        </x:is>
      </x:c>
      <x:c r="S781" s="5" t="inlineStr">
        <x:is>
          <x:t xml:space="preserve"/>
        </x:is>
      </x:c>
      <x:c r="T781" s="5" t="inlineStr">
        <x:is>
          <x:t xml:space="preserve">육상</x:t>
        </x:is>
      </x:c>
      <x:c r="U781" s="5" t="inlineStr">
        <x:is>
          <x:t xml:space="preserve">암석</x:t>
        </x:is>
      </x:c>
      <x:c r="V781" s="5" t="inlineStr">
        <x:is>
          <x:t xml:space="preserve">온대</x:t>
        </x:is>
      </x:c>
      <x:c r="W781" s="5" t="inlineStr">
        <x:is>
          <x:t xml:space="preserve">보통</x:t>
        </x:is>
      </x:c>
      <x:c r="X781" s="5" t="inlineStr">
        <x:is>
          <x:t xml:space="preserve">무관</x:t>
        </x:is>
      </x:c>
      <x:c r="Y781" s="5" t="inlineStr">
        <x:is>
          <x:t xml:space="preserve">무관</x:t>
        </x:is>
      </x:c>
      <x:c r="Z781" s="5" t="inlineStr">
        <x:is>
          <x:t xml:space="preserve">보통</x:t>
        </x:is>
      </x:c>
      <x:c r="AA781" s="5" t="inlineStr">
        <x:is>
          <x:t xml:space="preserve">없음</x:t>
        </x:is>
      </x:c>
      <x:c r="AB781" s="5" t="inlineStr">
        <x:is>
          <x:t xml:space="preserve">산악</x:t>
        </x:is>
      </x:c>
      <x:c r="AC781" s="5" t="inlineStr">
        <x:is>
          <x:t xml:space="preserve">gen7</x:t>
        </x:is>
      </x:c>
      <x:c r="AD781" s="5" t="inlineStr">
        <x:is>
          <x:t xml:space="preserve">.tmp/cobblemon-1.7.3-source/common/src/main/resources/data/cobblemon/species/generation7/togedemaru.json</x:t>
        </x:is>
      </x:c>
    </x:row>
    <x:row r="782" ht="22" customHeight="1">
      <x:c r="A782" s="5" t="n">
        <x:v>778</x:v>
      </x:c>
      <x:c r="B782" s="5" t="inlineStr">
        <x:is>
          <x:t xml:space="preserve">따라큐</x:t>
        </x:is>
      </x:c>
      <x:c r="C782" s="5" t="inlineStr">
        <x:is>
          <x:t xml:space="preserve">mimikyu</x:t>
        </x:is>
      </x:c>
      <x:c r="D782" s="5" t="inlineStr">
        <x:is>
          <x:t xml:space="preserve">Mimikyu</x:t>
        </x:is>
      </x:c>
      <x:c r="E782" s="5" t="n">
        <x:v>7</x:v>
      </x:c>
      <x:c r="F782" s="5" t="inlineStr">
        <x:is>
          <x:t xml:space="preserve">고스트</x:t>
        </x:is>
      </x:c>
      <x:c r="G782" s="5" t="inlineStr">
        <x:is>
          <x:t xml:space="preserve">페어리</x:t>
        </x:is>
      </x:c>
      <x:c r="H782" s="5" t="n">
        <x:v>0.2</x:v>
      </x:c>
      <x:c r="I782" s="5" t="n">
        <x:v>0.7</x:v>
      </x:c>
      <x:c r="J782" s="5" t="n">
        <x:v>476</x:v>
      </x:c>
      <x:c r="K782" s="5" t="n">
        <x:v>45</x:v>
      </x:c>
      <x:c r="L782" s="5" t="inlineStr">
        <x:is>
          <x:t xml:space="preserve">무진화</x:t>
        </x:is>
      </x:c>
      <x:c r="M782" s="5" t="n"/>
      <x:c r="N782" s="5" t="inlineStr">
        <x:is>
          <x:t xml:space="preserve">없음</x:t>
        </x:is>
      </x:c>
      <x:c r="O782" s="5" t="inlineStr">
        <x:is>
          <x:t xml:space="preserve">예</x:t>
        </x:is>
      </x:c>
      <x:c r="P782" s="5" t="inlineStr">
        <x:is>
          <x:t xml:space="preserve">#cobblemon:is_overworld; #cobblemon:is_spooky</x:t>
        </x:is>
      </x:c>
      <x:c r="Q782" s="5" t="inlineStr">
        <x:is>
          <x:t xml:space="preserve">rare; uncommon</x:t>
        </x:is>
      </x:c>
      <x:c r="R782" s="5" t="inlineStr">
        <x:is>
          <x:t xml:space="preserve">night</x:t>
        </x:is>
      </x:c>
      <x:c r="S782" s="5" t="inlineStr">
        <x:is>
          <x:t xml:space="preserve"/>
        </x:is>
      </x:c>
      <x:c r="T782" s="5" t="inlineStr">
        <x:is>
          <x:t xml:space="preserve">영체</x:t>
        </x:is>
      </x:c>
      <x:c r="U782" s="5" t="inlineStr">
        <x:is>
          <x:t xml:space="preserve">특수</x:t>
        </x:is>
      </x:c>
      <x:c r="V782" s="5" t="inlineStr">
        <x:is>
          <x:t xml:space="preserve">온대</x:t>
        </x:is>
      </x:c>
      <x:c r="W782" s="5" t="inlineStr">
        <x:is>
          <x:t xml:space="preserve">보통</x:t>
        </x:is>
      </x:c>
      <x:c r="X782" s="5" t="inlineStr">
        <x:is>
          <x:t xml:space="preserve">안개</x:t>
        </x:is>
      </x:c>
      <x:c r="Y782" s="5" t="inlineStr">
        <x:is>
          <x:t xml:space="preserve">밤</x:t>
        </x:is>
      </x:c>
      <x:c r="Z782" s="5" t="inlineStr">
        <x:is>
          <x:t xml:space="preserve">보통</x:t>
        </x:is>
      </x:c>
      <x:c r="AA782" s="5" t="inlineStr">
        <x:is>
          <x:t xml:space="preserve">영체</x:t>
        </x:is>
      </x:c>
      <x:c r="AB782" s="5" t="inlineStr">
        <x:is>
          <x:t xml:space="preserve">특수</x:t>
        </x:is>
      </x:c>
      <x:c r="AC782" s="5" t="inlineStr">
        <x:is>
          <x:t xml:space="preserve">gen7</x:t>
        </x:is>
      </x:c>
      <x:c r="AD782" s="5" t="inlineStr">
        <x:is>
          <x:t xml:space="preserve">.tmp/cobblemon-1.7.3-source/common/src/main/resources/data/cobblemon/species/generation7/mimikyu.json</x:t>
        </x:is>
      </x:c>
    </x:row>
    <x:row r="783" ht="22" customHeight="1">
      <x:c r="A783" s="5" t="n">
        <x:v>779</x:v>
      </x:c>
      <x:c r="B783" s="5" t="inlineStr">
        <x:is>
          <x:t xml:space="preserve">치갈기</x:t>
        </x:is>
      </x:c>
      <x:c r="C783" s="5" t="inlineStr">
        <x:is>
          <x:t xml:space="preserve">bruxish</x:t>
        </x:is>
      </x:c>
      <x:c r="D783" s="5" t="inlineStr">
        <x:is>
          <x:t xml:space="preserve">Bruxish</x:t>
        </x:is>
      </x:c>
      <x:c r="E783" s="5" t="n">
        <x:v>7</x:v>
      </x:c>
      <x:c r="F783" s="5" t="inlineStr">
        <x:is>
          <x:t xml:space="preserve">물</x:t>
        </x:is>
      </x:c>
      <x:c r="G783" s="5" t="inlineStr">
        <x:is>
          <x:t xml:space="preserve">에스퍼</x:t>
        </x:is>
      </x:c>
      <x:c r="H783" s="5" t="n">
        <x:v>0.9</x:v>
      </x:c>
      <x:c r="I783" s="5" t="n">
        <x:v>19</x:v>
      </x:c>
      <x:c r="J783" s="5" t="n">
        <x:v>475</x:v>
      </x:c>
      <x:c r="K783" s="5" t="n">
        <x:v>80</x:v>
      </x:c>
      <x:c r="L783" s="5" t="inlineStr">
        <x:is>
          <x:t xml:space="preserve">무진화</x:t>
        </x:is>
      </x:c>
      <x:c r="M783" s="5" t="n"/>
      <x:c r="N783" s="5" t="inlineStr">
        <x:is>
          <x:t xml:space="preserve">없음</x:t>
        </x:is>
      </x:c>
      <x:c r="O783" s="5" t="inlineStr">
        <x:is>
          <x:t xml:space="preserve">예</x:t>
        </x:is>
      </x:c>
      <x:c r="P783" s="5" t="inlineStr">
        <x:is>
          <x:t xml:space="preserve">#cobblemon:is_warm_ocean</x:t>
        </x:is>
      </x:c>
      <x:c r="Q783" s="5" t="inlineStr">
        <x:is>
          <x:t xml:space="preserve">common; uncommon</x:t>
        </x:is>
      </x:c>
      <x:c r="R783" s="5" t="inlineStr">
        <x:is>
          <x:t xml:space="preserve"/>
        </x:is>
      </x:c>
      <x:c r="S783" s="5" t="inlineStr">
        <x:is>
          <x:t xml:space="preserve"/>
        </x:is>
      </x:c>
      <x:c r="T783" s="5" t="inlineStr">
        <x:is>
          <x:t xml:space="preserve">해양</x:t>
        </x:is>
      </x:c>
      <x:c r="U783" s="5" t="inlineStr">
        <x:is>
          <x:t xml:space="preserve">해안·해양</x:t>
        </x:is>
      </x:c>
      <x:c r="V783" s="5" t="inlineStr">
        <x:is>
          <x:t xml:space="preserve">온대</x:t>
        </x:is>
      </x:c>
      <x:c r="W783" s="5" t="inlineStr">
        <x:is>
          <x:t xml:space="preserve">수중</x:t>
        </x:is>
      </x:c>
      <x:c r="X783" s="5" t="inlineStr">
        <x:is>
          <x:t xml:space="preserve">비</x:t>
        </x:is>
      </x:c>
      <x:c r="Y783" s="5" t="inlineStr">
        <x:is>
          <x:t xml:space="preserve">무관</x:t>
        </x:is>
      </x:c>
      <x:c r="Z783" s="5" t="inlineStr">
        <x:is>
          <x:t xml:space="preserve">보통</x:t>
        </x:is>
      </x:c>
      <x:c r="AA783" s="5" t="inlineStr">
        <x:is>
          <x:t xml:space="preserve">없음</x:t>
        </x:is>
      </x:c>
      <x:c r="AB783" s="5" t="inlineStr">
        <x:is>
          <x:t xml:space="preserve">해양</x:t>
        </x:is>
      </x:c>
      <x:c r="AC783" s="5" t="inlineStr">
        <x:is>
          <x:t xml:space="preserve">gen7</x:t>
        </x:is>
      </x:c>
      <x:c r="AD783" s="5" t="inlineStr">
        <x:is>
          <x:t xml:space="preserve">.tmp/cobblemon-1.7.3-source/common/src/main/resources/data/cobblemon/species/generation7/bruxish.json</x:t>
        </x:is>
      </x:c>
    </x:row>
    <x:row r="784" ht="22" customHeight="1">
      <x:c r="A784" s="5" t="n">
        <x:v>780</x:v>
      </x:c>
      <x:c r="B784" s="5" t="inlineStr">
        <x:is>
          <x:t xml:space="preserve">할비롱</x:t>
        </x:is>
      </x:c>
      <x:c r="C784" s="5" t="inlineStr">
        <x:is>
          <x:t xml:space="preserve">drampa</x:t>
        </x:is>
      </x:c>
      <x:c r="D784" s="5" t="inlineStr">
        <x:is>
          <x:t xml:space="preserve">Drampa</x:t>
        </x:is>
      </x:c>
      <x:c r="E784" s="5" t="n">
        <x:v>7</x:v>
      </x:c>
      <x:c r="F784" s="5" t="inlineStr">
        <x:is>
          <x:t xml:space="preserve">노말</x:t>
        </x:is>
      </x:c>
      <x:c r="G784" s="5" t="inlineStr">
        <x:is>
          <x:t xml:space="preserve">드래곤</x:t>
        </x:is>
      </x:c>
      <x:c r="H784" s="5" t="n">
        <x:v>3</x:v>
      </x:c>
      <x:c r="I784" s="5" t="n">
        <x:v>185</x:v>
      </x:c>
      <x:c r="J784" s="5" t="n">
        <x:v>485</x:v>
      </x:c>
      <x:c r="K784" s="5" t="n">
        <x:v>70</x:v>
      </x:c>
      <x:c r="L784" s="5" t="inlineStr">
        <x:is>
          <x:t xml:space="preserve">무진화</x:t>
        </x:is>
      </x:c>
      <x:c r="M784" s="5" t="n"/>
      <x:c r="N784" s="5" t="inlineStr">
        <x:is>
          <x:t xml:space="preserve">없음</x:t>
        </x:is>
      </x:c>
      <x:c r="O784" s="5" t="inlineStr">
        <x:is>
          <x:t xml:space="preserve">예</x:t>
        </x:is>
      </x:c>
      <x:c r="P784" s="5" t="inlineStr">
        <x:is>
          <x:t xml:space="preserve">#cobblemon:is_peak; #cobblemon:is_sky</x:t>
        </x:is>
      </x:c>
      <x:c r="Q784" s="5" t="inlineStr">
        <x:is>
          <x:t xml:space="preserve">uncommon</x:t>
        </x:is>
      </x:c>
      <x:c r="R784" s="5" t="inlineStr">
        <x:is>
          <x:t xml:space="preserve"/>
        </x:is>
      </x:c>
      <x:c r="S784" s="5" t="inlineStr">
        <x:is>
          <x:t xml:space="preserve"/>
        </x:is>
      </x:c>
      <x:c r="T784" s="5" t="inlineStr">
        <x:is>
          <x:t xml:space="preserve">비행</x:t>
        </x:is>
      </x:c>
      <x:c r="U784" s="5" t="inlineStr">
        <x:is>
          <x:t xml:space="preserve">암석</x:t>
        </x:is>
      </x:c>
      <x:c r="V784" s="5" t="inlineStr">
        <x:is>
          <x:t xml:space="preserve">온대</x:t>
        </x:is>
      </x:c>
      <x:c r="W784" s="5" t="inlineStr">
        <x:is>
          <x:t xml:space="preserve">보통</x:t>
        </x:is>
      </x:c>
      <x:c r="X784" s="5" t="inlineStr">
        <x:is>
          <x:t xml:space="preserve">무관</x:t>
        </x:is>
      </x:c>
      <x:c r="Y784" s="5" t="inlineStr">
        <x:is>
          <x:t xml:space="preserve">무관</x:t>
        </x:is>
      </x:c>
      <x:c r="Z784" s="5" t="inlineStr">
        <x:is>
          <x:t xml:space="preserve">보통</x:t>
        </x:is>
      </x:c>
      <x:c r="AA784" s="5" t="inlineStr">
        <x:is>
          <x:t xml:space="preserve">없음</x:t>
        </x:is>
      </x:c>
      <x:c r="AB784" s="5" t="inlineStr">
        <x:is>
          <x:t xml:space="preserve">산악</x:t>
        </x:is>
      </x:c>
      <x:c r="AC784" s="5" t="inlineStr">
        <x:is>
          <x:t xml:space="preserve">gen7</x:t>
        </x:is>
      </x:c>
      <x:c r="AD784" s="5" t="inlineStr">
        <x:is>
          <x:t xml:space="preserve">.tmp/cobblemon-1.7.3-source/common/src/main/resources/data/cobblemon/species/generation7/drampa.json</x:t>
        </x:is>
      </x:c>
    </x:row>
    <x:row r="785" ht="22" customHeight="1">
      <x:c r="A785" s="5" t="n">
        <x:v>781</x:v>
      </x:c>
      <x:c r="B785" s="5" t="inlineStr">
        <x:is>
          <x:t xml:space="preserve">타타륜</x:t>
        </x:is>
      </x:c>
      <x:c r="C785" s="5" t="inlineStr">
        <x:is>
          <x:t xml:space="preserve">dhelmise</x:t>
        </x:is>
      </x:c>
      <x:c r="D785" s="5" t="inlineStr">
        <x:is>
          <x:t xml:space="preserve">Dhelmise</x:t>
        </x:is>
      </x:c>
      <x:c r="E785" s="5" t="n">
        <x:v>7</x:v>
      </x:c>
      <x:c r="F785" s="5" t="inlineStr">
        <x:is>
          <x:t xml:space="preserve">고스트</x:t>
        </x:is>
      </x:c>
      <x:c r="G785" s="5" t="inlineStr">
        <x:is>
          <x:t xml:space="preserve">풀</x:t>
        </x:is>
      </x:c>
      <x:c r="H785" s="5" t="n">
        <x:v>3.9</x:v>
      </x:c>
      <x:c r="I785" s="5" t="n">
        <x:v>210</x:v>
      </x:c>
      <x:c r="J785" s="5" t="n">
        <x:v>517</x:v>
      </x:c>
      <x:c r="K785" s="5" t="n">
        <x:v>25</x:v>
      </x:c>
      <x:c r="L785" s="5" t="inlineStr">
        <x:is>
          <x:t xml:space="preserve">무진화</x:t>
        </x:is>
      </x:c>
      <x:c r="M785" s="5" t="n"/>
      <x:c r="N785" s="5" t="inlineStr">
        <x:is>
          <x:t xml:space="preserve">없음</x:t>
        </x:is>
      </x:c>
      <x:c r="O785" s="5" t="inlineStr">
        <x:is>
          <x:t xml:space="preserve">예</x:t>
        </x:is>
      </x:c>
      <x:c r="P785" s="5" t="inlineStr">
        <x:is>
          <x:t xml:space="preserve">#cobblemon:is_ocean</x:t>
        </x:is>
      </x:c>
      <x:c r="Q785" s="5" t="inlineStr">
        <x:is>
          <x:t xml:space="preserve">common; rare</x:t>
        </x:is>
      </x:c>
      <x:c r="R785" s="5" t="inlineStr">
        <x:is>
          <x:t xml:space="preserve"/>
        </x:is>
      </x:c>
      <x:c r="S785" s="5" t="inlineStr">
        <x:is>
          <x:t xml:space="preserve"/>
        </x:is>
      </x:c>
      <x:c r="T785" s="5" t="inlineStr">
        <x:is>
          <x:t xml:space="preserve">해양</x:t>
        </x:is>
      </x:c>
      <x:c r="U785" s="5" t="inlineStr">
        <x:is>
          <x:t xml:space="preserve">해안·해양</x:t>
        </x:is>
      </x:c>
      <x:c r="V785" s="5" t="inlineStr">
        <x:is>
          <x:t xml:space="preserve">온대</x:t>
        </x:is>
      </x:c>
      <x:c r="W785" s="5" t="inlineStr">
        <x:is>
          <x:t xml:space="preserve">수중</x:t>
        </x:is>
      </x:c>
      <x:c r="X785" s="5" t="inlineStr">
        <x:is>
          <x:t xml:space="preserve">비</x:t>
        </x:is>
      </x:c>
      <x:c r="Y785" s="5" t="inlineStr">
        <x:is>
          <x:t xml:space="preserve">밤</x:t>
        </x:is>
      </x:c>
      <x:c r="Z785" s="5" t="inlineStr">
        <x:is>
          <x:t xml:space="preserve">흔함</x:t>
        </x:is>
      </x:c>
      <x:c r="AA785" s="5" t="inlineStr">
        <x:is>
          <x:t xml:space="preserve">영체</x:t>
        </x:is>
      </x:c>
      <x:c r="AB785" s="5" t="inlineStr">
        <x:is>
          <x:t xml:space="preserve">해양</x:t>
        </x:is>
      </x:c>
      <x:c r="AC785" s="5" t="inlineStr">
        <x:is>
          <x:t xml:space="preserve">gen7</x:t>
        </x:is>
      </x:c>
      <x:c r="AD785" s="5" t="inlineStr">
        <x:is>
          <x:t xml:space="preserve">.tmp/cobblemon-1.7.3-source/common/src/main/resources/data/cobblemon/species/generation7/dhelmise.json</x:t>
        </x:is>
      </x:c>
    </x:row>
    <x:row r="786" ht="22" customHeight="1">
      <x:c r="A786" s="5" t="n">
        <x:v>782</x:v>
      </x:c>
      <x:c r="B786" s="5" t="inlineStr">
        <x:is>
          <x:t xml:space="preserve">짜랑꼬</x:t>
        </x:is>
      </x:c>
      <x:c r="C786" s="5" t="inlineStr">
        <x:is>
          <x:t xml:space="preserve">jangmoo</x:t>
        </x:is>
      </x:c>
      <x:c r="D786" s="5" t="inlineStr">
        <x:is>
          <x:t xml:space="preserve">Jangmo-o</x:t>
        </x:is>
      </x:c>
      <x:c r="E786" s="5" t="n">
        <x:v>7</x:v>
      </x:c>
      <x:c r="F786" s="5" t="inlineStr">
        <x:is>
          <x:t xml:space="preserve">드래곤</x:t>
        </x:is>
      </x:c>
      <x:c r="G786" s="5" t="inlineStr">
        <x:is>
          <x:t xml:space="preserve"/>
        </x:is>
      </x:c>
      <x:c r="H786" s="5" t="n">
        <x:v>0.6</x:v>
      </x:c>
      <x:c r="I786" s="5" t="n">
        <x:v>29.7</x:v>
      </x:c>
      <x:c r="J786" s="5" t="n">
        <x:v>300</x:v>
      </x:c>
      <x:c r="K786" s="5" t="n">
        <x:v>45</x:v>
      </x:c>
      <x:c r="L786" s="5" t="inlineStr">
        <x:is>
          <x:t xml:space="preserve">기본</x:t>
        </x:is>
      </x:c>
      <x:c r="M786" s="5" t="n">
        <x:v>45</x:v>
      </x:c>
      <x:c r="N786" s="5" t="inlineStr">
        <x:is>
          <x:t xml:space="preserve">레벨</x:t>
        </x:is>
      </x:c>
      <x:c r="O786" s="5" t="inlineStr">
        <x:is>
          <x:t xml:space="preserve">예</x:t>
        </x:is>
      </x:c>
      <x:c r="P786" s="5" t="inlineStr">
        <x:is>
          <x:t xml:space="preserve">#cobblemon:is_jungle; #cobblemon:is_tropical_island</x:t>
        </x:is>
      </x:c>
      <x:c r="Q786" s="5" t="inlineStr">
        <x:is>
          <x:t xml:space="preserve">rare; ultra-rare</x:t>
        </x:is>
      </x:c>
      <x:c r="R786" s="5" t="inlineStr">
        <x:is>
          <x:t xml:space="preserve"/>
        </x:is>
      </x:c>
      <x:c r="S786" s="5" t="inlineStr">
        <x:is>
          <x:t xml:space="preserve"/>
        </x:is>
      </x:c>
      <x:c r="T786" s="5" t="inlineStr">
        <x:is>
          <x:t xml:space="preserve">육상</x:t>
        </x:is>
      </x:c>
      <x:c r="U786" s="5" t="inlineStr">
        <x:is>
          <x:t xml:space="preserve">수목</x:t>
        </x:is>
      </x:c>
      <x:c r="V786" s="5" t="inlineStr">
        <x:is>
          <x:t xml:space="preserve">온대</x:t>
        </x:is>
      </x:c>
      <x:c r="W786" s="5" t="inlineStr">
        <x:is>
          <x:t xml:space="preserve">다습</x:t>
        </x:is>
      </x:c>
      <x:c r="X786" s="5" t="inlineStr">
        <x:is>
          <x:t xml:space="preserve">무관</x:t>
        </x:is>
      </x:c>
      <x:c r="Y786" s="5" t="inlineStr">
        <x:is>
          <x:t xml:space="preserve">무관</x:t>
        </x:is>
      </x:c>
      <x:c r="Z786" s="5" t="inlineStr">
        <x:is>
          <x:t xml:space="preserve">희귀</x:t>
        </x:is>
      </x:c>
      <x:c r="AA786" s="5" t="inlineStr">
        <x:is>
          <x:t xml:space="preserve">없음</x:t>
        </x:is>
      </x:c>
      <x:c r="AB786" s="5" t="inlineStr">
        <x:is>
          <x:t xml:space="preserve">숲</x:t>
        </x:is>
      </x:c>
      <x:c r="AC786" s="5" t="inlineStr">
        <x:is>
          <x:t xml:space="preserve">gen7</x:t>
        </x:is>
      </x:c>
      <x:c r="AD786" s="5" t="inlineStr">
        <x:is>
          <x:t xml:space="preserve">.tmp/cobblemon-1.7.3-source/common/src/main/resources/data/cobblemon/species/generation7/jangmoo.json</x:t>
        </x:is>
      </x:c>
    </x:row>
    <x:row r="787" ht="22" customHeight="1">
      <x:c r="A787" s="5" t="n">
        <x:v>783</x:v>
      </x:c>
      <x:c r="B787" s="5" t="inlineStr">
        <x:is>
          <x:t xml:space="preserve">짜랑고우</x:t>
        </x:is>
      </x:c>
      <x:c r="C787" s="5" t="inlineStr">
        <x:is>
          <x:t xml:space="preserve">hakamoo</x:t>
        </x:is>
      </x:c>
      <x:c r="D787" s="5" t="inlineStr">
        <x:is>
          <x:t xml:space="preserve">Hakamo-o</x:t>
        </x:is>
      </x:c>
      <x:c r="E787" s="5" t="n">
        <x:v>7</x:v>
      </x:c>
      <x:c r="F787" s="5" t="inlineStr">
        <x:is>
          <x:t xml:space="preserve">드래곤</x:t>
        </x:is>
      </x:c>
      <x:c r="G787" s="5" t="inlineStr">
        <x:is>
          <x:t xml:space="preserve">격투</x:t>
        </x:is>
      </x:c>
      <x:c r="H787" s="5" t="n">
        <x:v>1.2</x:v>
      </x:c>
      <x:c r="I787" s="5" t="n">
        <x:v>47</x:v>
      </x:c>
      <x:c r="J787" s="5" t="n">
        <x:v>420</x:v>
      </x:c>
      <x:c r="K787" s="5" t="n">
        <x:v>45</x:v>
      </x:c>
      <x:c r="L787" s="5" t="inlineStr">
        <x:is>
          <x:t xml:space="preserve">중간</x:t>
        </x:is>
      </x:c>
      <x:c r="M787" s="5" t="n">
        <x:v>45</x:v>
      </x:c>
      <x:c r="N787" s="5" t="inlineStr">
        <x:is>
          <x:t xml:space="preserve">레벨</x:t>
        </x:is>
      </x:c>
      <x:c r="O787" s="5" t="inlineStr">
        <x:is>
          <x:t xml:space="preserve">예</x:t>
        </x:is>
      </x:c>
      <x:c r="P787" s="5" t="inlineStr">
        <x:is>
          <x:t xml:space="preserve">#cobblemon:is_jungle; #cobblemon:is_tropical_island</x:t>
        </x:is>
      </x:c>
      <x:c r="Q787" s="5" t="inlineStr">
        <x:is>
          <x:t xml:space="preserve">rare; ultra-rare</x:t>
        </x:is>
      </x:c>
      <x:c r="R787" s="5" t="inlineStr">
        <x:is>
          <x:t xml:space="preserve"/>
        </x:is>
      </x:c>
      <x:c r="S787" s="5" t="inlineStr">
        <x:is>
          <x:t xml:space="preserve"/>
        </x:is>
      </x:c>
      <x:c r="T787" s="5" t="inlineStr">
        <x:is>
          <x:t xml:space="preserve">육상</x:t>
        </x:is>
      </x:c>
      <x:c r="U787" s="5" t="inlineStr">
        <x:is>
          <x:t xml:space="preserve">수목</x:t>
        </x:is>
      </x:c>
      <x:c r="V787" s="5" t="inlineStr">
        <x:is>
          <x:t xml:space="preserve">온대</x:t>
        </x:is>
      </x:c>
      <x:c r="W787" s="5" t="inlineStr">
        <x:is>
          <x:t xml:space="preserve">다습</x:t>
        </x:is>
      </x:c>
      <x:c r="X787" s="5" t="inlineStr">
        <x:is>
          <x:t xml:space="preserve">무관</x:t>
        </x:is>
      </x:c>
      <x:c r="Y787" s="5" t="inlineStr">
        <x:is>
          <x:t xml:space="preserve">무관</x:t>
        </x:is>
      </x:c>
      <x:c r="Z787" s="5" t="inlineStr">
        <x:is>
          <x:t xml:space="preserve">희귀</x:t>
        </x:is>
      </x:c>
      <x:c r="AA787" s="5" t="inlineStr">
        <x:is>
          <x:t xml:space="preserve">없음</x:t>
        </x:is>
      </x:c>
      <x:c r="AB787" s="5" t="inlineStr">
        <x:is>
          <x:t xml:space="preserve">숲</x:t>
        </x:is>
      </x:c>
      <x:c r="AC787" s="5" t="inlineStr">
        <x:is>
          <x:t xml:space="preserve">gen7</x:t>
        </x:is>
      </x:c>
      <x:c r="AD787" s="5" t="inlineStr">
        <x:is>
          <x:t xml:space="preserve">.tmp/cobblemon-1.7.3-source/common/src/main/resources/data/cobblemon/species/generation7/hakamoo.json</x:t>
        </x:is>
      </x:c>
    </x:row>
    <x:row r="788" ht="22" customHeight="1">
      <x:c r="A788" s="5" t="n">
        <x:v>784</x:v>
      </x:c>
      <x:c r="B788" s="5" t="inlineStr">
        <x:is>
          <x:t xml:space="preserve">짜랑고우거</x:t>
        </x:is>
      </x:c>
      <x:c r="C788" s="5" t="inlineStr">
        <x:is>
          <x:t xml:space="preserve">kommoo</x:t>
        </x:is>
      </x:c>
      <x:c r="D788" s="5" t="inlineStr">
        <x:is>
          <x:t xml:space="preserve">Kommo-o</x:t>
        </x:is>
      </x:c>
      <x:c r="E788" s="5" t="n">
        <x:v>7</x:v>
      </x:c>
      <x:c r="F788" s="5" t="inlineStr">
        <x:is>
          <x:t xml:space="preserve">드래곤</x:t>
        </x:is>
      </x:c>
      <x:c r="G788" s="5" t="inlineStr">
        <x:is>
          <x:t xml:space="preserve">격투</x:t>
        </x:is>
      </x:c>
      <x:c r="H788" s="5" t="n">
        <x:v>1.6</x:v>
      </x:c>
      <x:c r="I788" s="5" t="n">
        <x:v>78.2</x:v>
      </x:c>
      <x:c r="J788" s="5" t="n">
        <x:v>600</x:v>
      </x:c>
      <x:c r="K788" s="5" t="n">
        <x:v>45</x:v>
      </x:c>
      <x:c r="L788" s="5" t="inlineStr">
        <x:is>
          <x:t xml:space="preserve">최종</x:t>
        </x:is>
      </x:c>
      <x:c r="M788" s="5" t="n">
        <x:v>45</x:v>
      </x:c>
      <x:c r="N788" s="5" t="inlineStr">
        <x:is>
          <x:t xml:space="preserve">레벨</x:t>
        </x:is>
      </x:c>
      <x:c r="O788" s="5" t="inlineStr">
        <x:is>
          <x:t xml:space="preserve">예</x:t>
        </x:is>
      </x:c>
      <x:c r="P788" s="5" t="inlineStr">
        <x:is>
          <x:t xml:space="preserve">#cobblemon:is_jungle; #cobblemon:is_tropical_island</x:t>
        </x:is>
      </x:c>
      <x:c r="Q788" s="5" t="inlineStr">
        <x:is>
          <x:t xml:space="preserve">rare; ultra-rare</x:t>
        </x:is>
      </x:c>
      <x:c r="R788" s="5" t="inlineStr">
        <x:is>
          <x:t xml:space="preserve"/>
        </x:is>
      </x:c>
      <x:c r="S788" s="5" t="inlineStr">
        <x:is>
          <x:t xml:space="preserve"/>
        </x:is>
      </x:c>
      <x:c r="T788" s="5" t="inlineStr">
        <x:is>
          <x:t xml:space="preserve">육상</x:t>
        </x:is>
      </x:c>
      <x:c r="U788" s="5" t="inlineStr">
        <x:is>
          <x:t xml:space="preserve">수목</x:t>
        </x:is>
      </x:c>
      <x:c r="V788" s="5" t="inlineStr">
        <x:is>
          <x:t xml:space="preserve">온대</x:t>
        </x:is>
      </x:c>
      <x:c r="W788" s="5" t="inlineStr">
        <x:is>
          <x:t xml:space="preserve">다습</x:t>
        </x:is>
      </x:c>
      <x:c r="X788" s="5" t="inlineStr">
        <x:is>
          <x:t xml:space="preserve">무관</x:t>
        </x:is>
      </x:c>
      <x:c r="Y788" s="5" t="inlineStr">
        <x:is>
          <x:t xml:space="preserve">무관</x:t>
        </x:is>
      </x:c>
      <x:c r="Z788" s="5" t="inlineStr">
        <x:is>
          <x:t xml:space="preserve">희귀</x:t>
        </x:is>
      </x:c>
      <x:c r="AA788" s="5" t="inlineStr">
        <x:is>
          <x:t xml:space="preserve">없음</x:t>
        </x:is>
      </x:c>
      <x:c r="AB788" s="5" t="inlineStr">
        <x:is>
          <x:t xml:space="preserve">숲</x:t>
        </x:is>
      </x:c>
      <x:c r="AC788" s="5" t="inlineStr">
        <x:is>
          <x:t xml:space="preserve">gen7; powerhouse</x:t>
        </x:is>
      </x:c>
      <x:c r="AD788" s="5" t="inlineStr">
        <x:is>
          <x:t xml:space="preserve">.tmp/cobblemon-1.7.3-source/common/src/main/resources/data/cobblemon/species/generation7/kommoo.json</x:t>
        </x:is>
      </x:c>
    </x:row>
    <x:row r="789" ht="22" customHeight="1">
      <x:c r="A789" s="5" t="n">
        <x:v>785</x:v>
      </x:c>
      <x:c r="B789" s="5" t="inlineStr">
        <x:is>
          <x:t xml:space="preserve">카푸꼬꼬꼭</x:t>
        </x:is>
      </x:c>
      <x:c r="C789" s="5" t="inlineStr">
        <x:is>
          <x:t xml:space="preserve">tapukoko</x:t>
        </x:is>
      </x:c>
      <x:c r="D789" s="5" t="inlineStr">
        <x:is>
          <x:t xml:space="preserve">Tapu Koko</x:t>
        </x:is>
      </x:c>
      <x:c r="E789" s="5" t="n">
        <x:v>7</x:v>
      </x:c>
      <x:c r="F789" s="5" t="inlineStr">
        <x:is>
          <x:t xml:space="preserve">전기</x:t>
        </x:is>
      </x:c>
      <x:c r="G789" s="5" t="inlineStr">
        <x:is>
          <x:t xml:space="preserve">페어리</x:t>
        </x:is>
      </x:c>
      <x:c r="H789" s="5" t="n">
        <x:v>1.8</x:v>
      </x:c>
      <x:c r="I789" s="5" t="n">
        <x:v>20.5</x:v>
      </x:c>
      <x:c r="J789" s="5" t="n">
        <x:v>570</x:v>
      </x:c>
      <x:c r="K789" s="5" t="n">
        <x:v>3</x:v>
      </x:c>
      <x:c r="L789" s="5" t="inlineStr">
        <x:is>
          <x:t xml:space="preserve">무진화</x:t>
        </x:is>
      </x:c>
      <x:c r="M789" s="5" t="n"/>
      <x:c r="N789" s="5" t="inlineStr">
        <x:is>
          <x:t xml:space="preserve">없음</x:t>
        </x:is>
      </x:c>
      <x:c r="O789" s="5" t="inlineStr">
        <x:is>
          <x:t xml:space="preserve">아니오</x:t>
        </x:is>
      </x:c>
      <x:c r="P789" s="5" t="inlineStr">
        <x:is>
          <x:t xml:space="preserve">#cobblemon:is_jungle; #cobblemon:is_savanna</x:t>
        </x:is>
      </x:c>
      <x:c r="Q789" s="5" t="inlineStr">
        <x:is>
          <x:t xml:space="preserve">ultra-rare</x:t>
        </x:is>
      </x:c>
      <x:c r="R789" s="5" t="inlineStr">
        <x:is>
          <x:t xml:space="preserve"/>
        </x:is>
      </x:c>
      <x:c r="S789" s="5" t="inlineStr">
        <x:is>
          <x:t xml:space="preserve"/>
        </x:is>
      </x:c>
      <x:c r="T789" s="5" t="inlineStr">
        <x:is>
          <x:t xml:space="preserve">비행</x:t>
        </x:is>
      </x:c>
      <x:c r="U789" s="5" t="inlineStr">
        <x:is>
          <x:t xml:space="preserve">수목</x:t>
        </x:is>
      </x:c>
      <x:c r="V789" s="5" t="inlineStr">
        <x:is>
          <x:t xml:space="preserve">온대</x:t>
        </x:is>
      </x:c>
      <x:c r="W789" s="5" t="inlineStr">
        <x:is>
          <x:t xml:space="preserve">다습</x:t>
        </x:is>
      </x:c>
      <x:c r="X789" s="5" t="inlineStr">
        <x:is>
          <x:t xml:space="preserve">무관</x:t>
        </x:is>
      </x:c>
      <x:c r="Y789" s="5" t="inlineStr">
        <x:is>
          <x:t xml:space="preserve">무관</x:t>
        </x:is>
      </x:c>
      <x:c r="Z789" s="5" t="inlineStr">
        <x:is>
          <x:t xml:space="preserve">전설</x:t>
        </x:is>
      </x:c>
      <x:c r="AA789" s="5" t="inlineStr">
        <x:is>
          <x:t xml:space="preserve">전설</x:t>
        </x:is>
      </x:c>
      <x:c r="AB789" s="5" t="inlineStr">
        <x:is>
          <x:t xml:space="preserve">숲</x:t>
        </x:is>
      </x:c>
      <x:c r="AC789" s="5" t="inlineStr">
        <x:is>
          <x:t xml:space="preserve">gen7; legendary</x:t>
        </x:is>
      </x:c>
      <x:c r="AD789" s="5" t="inlineStr">
        <x:is>
          <x:t xml:space="preserve">.tmp/cobblemon-1.7.3-source/common/src/main/resources/data/cobblemon/species/generation7/tapukoko.json</x:t>
        </x:is>
      </x:c>
    </x:row>
    <x:row r="790" ht="22" customHeight="1">
      <x:c r="A790" s="5" t="n">
        <x:v>786</x:v>
      </x:c>
      <x:c r="B790" s="5" t="inlineStr">
        <x:is>
          <x:t xml:space="preserve">카푸나비나</x:t>
        </x:is>
      </x:c>
      <x:c r="C790" s="5" t="inlineStr">
        <x:is>
          <x:t xml:space="preserve">tapulele</x:t>
        </x:is>
      </x:c>
      <x:c r="D790" s="5" t="inlineStr">
        <x:is>
          <x:t xml:space="preserve">Tapu Lele</x:t>
        </x:is>
      </x:c>
      <x:c r="E790" s="5" t="n">
        <x:v>7</x:v>
      </x:c>
      <x:c r="F790" s="5" t="inlineStr">
        <x:is>
          <x:t xml:space="preserve">에스퍼</x:t>
        </x:is>
      </x:c>
      <x:c r="G790" s="5" t="inlineStr">
        <x:is>
          <x:t xml:space="preserve">페어리</x:t>
        </x:is>
      </x:c>
      <x:c r="H790" s="5" t="n">
        <x:v>1.2</x:v>
      </x:c>
      <x:c r="I790" s="5" t="n">
        <x:v>18.6</x:v>
      </x:c>
      <x:c r="J790" s="5" t="n">
        <x:v>570</x:v>
      </x:c>
      <x:c r="K790" s="5" t="n">
        <x:v>3</x:v>
      </x:c>
      <x:c r="L790" s="5" t="inlineStr">
        <x:is>
          <x:t xml:space="preserve">무진화</x:t>
        </x:is>
      </x:c>
      <x:c r="M790" s="5" t="n"/>
      <x:c r="N790" s="5" t="inlineStr">
        <x:is>
          <x:t xml:space="preserve">없음</x:t>
        </x:is>
      </x:c>
      <x:c r="O790" s="5" t="inlineStr">
        <x:is>
          <x:t xml:space="preserve">아니오</x:t>
        </x:is>
      </x:c>
      <x:c r="P790" s="5" t="inlineStr">
        <x:is>
          <x:t xml:space="preserve">#cobblemon:is_floral; #minecraft:is_beach</x:t>
        </x:is>
      </x:c>
      <x:c r="Q790" s="5" t="inlineStr">
        <x:is>
          <x:t xml:space="preserve">ultra-rare</x:t>
        </x:is>
      </x:c>
      <x:c r="R790" s="5" t="inlineStr">
        <x:is>
          <x:t xml:space="preserve"/>
        </x:is>
      </x:c>
      <x:c r="S790" s="5" t="inlineStr">
        <x:is>
          <x:t xml:space="preserve"/>
        </x:is>
      </x:c>
      <x:c r="T790" s="5" t="inlineStr">
        <x:is>
          <x:t xml:space="preserve">해양</x:t>
        </x:is>
      </x:c>
      <x:c r="U790" s="5" t="inlineStr">
        <x:is>
          <x:t xml:space="preserve">해안·해양</x:t>
        </x:is>
      </x:c>
      <x:c r="V790" s="5" t="inlineStr">
        <x:is>
          <x:t xml:space="preserve">온대</x:t>
        </x:is>
      </x:c>
      <x:c r="W790" s="5" t="inlineStr">
        <x:is>
          <x:t xml:space="preserve">수중</x:t>
        </x:is>
      </x:c>
      <x:c r="X790" s="5" t="inlineStr">
        <x:is>
          <x:t xml:space="preserve">비</x:t>
        </x:is>
      </x:c>
      <x:c r="Y790" s="5" t="inlineStr">
        <x:is>
          <x:t xml:space="preserve">무관</x:t>
        </x:is>
      </x:c>
      <x:c r="Z790" s="5" t="inlineStr">
        <x:is>
          <x:t xml:space="preserve">전설</x:t>
        </x:is>
      </x:c>
      <x:c r="AA790" s="5" t="inlineStr">
        <x:is>
          <x:t xml:space="preserve">전설</x:t>
        </x:is>
      </x:c>
      <x:c r="AB790" s="5" t="inlineStr">
        <x:is>
          <x:t xml:space="preserve">해양</x:t>
        </x:is>
      </x:c>
      <x:c r="AC790" s="5" t="inlineStr">
        <x:is>
          <x:t xml:space="preserve">gen7; legendary</x:t>
        </x:is>
      </x:c>
      <x:c r="AD790" s="5" t="inlineStr">
        <x:is>
          <x:t xml:space="preserve">.tmp/cobblemon-1.7.3-source/common/src/main/resources/data/cobblemon/species/generation7/tapulele.json</x:t>
        </x:is>
      </x:c>
    </x:row>
    <x:row r="791" ht="22" customHeight="1">
      <x:c r="A791" s="5" t="n">
        <x:v>787</x:v>
      </x:c>
      <x:c r="B791" s="5" t="inlineStr">
        <x:is>
          <x:t xml:space="preserve">카푸브루루</x:t>
        </x:is>
      </x:c>
      <x:c r="C791" s="5" t="inlineStr">
        <x:is>
          <x:t xml:space="preserve">tapubulu</x:t>
        </x:is>
      </x:c>
      <x:c r="D791" s="5" t="inlineStr">
        <x:is>
          <x:t xml:space="preserve">Tapu Bulu</x:t>
        </x:is>
      </x:c>
      <x:c r="E791" s="5" t="n">
        <x:v>7</x:v>
      </x:c>
      <x:c r="F791" s="5" t="inlineStr">
        <x:is>
          <x:t xml:space="preserve">풀</x:t>
        </x:is>
      </x:c>
      <x:c r="G791" s="5" t="inlineStr">
        <x:is>
          <x:t xml:space="preserve">페어리</x:t>
        </x:is>
      </x:c>
      <x:c r="H791" s="5" t="n">
        <x:v>1.9</x:v>
      </x:c>
      <x:c r="I791" s="5" t="n">
        <x:v>45.5</x:v>
      </x:c>
      <x:c r="J791" s="5" t="n">
        <x:v>570</x:v>
      </x:c>
      <x:c r="K791" s="5" t="n">
        <x:v>3</x:v>
      </x:c>
      <x:c r="L791" s="5" t="inlineStr">
        <x:is>
          <x:t xml:space="preserve">무진화</x:t>
        </x:is>
      </x:c>
      <x:c r="M791" s="5" t="n"/>
      <x:c r="N791" s="5" t="inlineStr">
        <x:is>
          <x:t xml:space="preserve">없음</x:t>
        </x:is>
      </x:c>
      <x:c r="O791" s="5" t="inlineStr">
        <x:is>
          <x:t xml:space="preserve">아니오</x:t>
        </x:is>
      </x:c>
      <x:c r="P791" s="5" t="inlineStr">
        <x:is>
          <x:t xml:space="preserve">#cobblemon:is_jungle; #cobblemon:is_river</x:t>
        </x:is>
      </x:c>
      <x:c r="Q791" s="5" t="inlineStr">
        <x:is>
          <x:t xml:space="preserve">ultra-rare</x:t>
        </x:is>
      </x:c>
      <x:c r="R791" s="5" t="inlineStr">
        <x:is>
          <x:t xml:space="preserve"/>
        </x:is>
      </x:c>
      <x:c r="S791" s="5" t="inlineStr">
        <x:is>
          <x:t xml:space="preserve"/>
        </x:is>
      </x:c>
      <x:c r="T791" s="5" t="inlineStr">
        <x:is>
          <x:t xml:space="preserve">담수</x:t>
        </x:is>
      </x:c>
      <x:c r="U791" s="5" t="inlineStr">
        <x:is>
          <x:t xml:space="preserve">담수</x:t>
        </x:is>
      </x:c>
      <x:c r="V791" s="5" t="inlineStr">
        <x:is>
          <x:t xml:space="preserve">온대</x:t>
        </x:is>
      </x:c>
      <x:c r="W791" s="5" t="inlineStr">
        <x:is>
          <x:t xml:space="preserve">수중</x:t>
        </x:is>
      </x:c>
      <x:c r="X791" s="5" t="inlineStr">
        <x:is>
          <x:t xml:space="preserve">비</x:t>
        </x:is>
      </x:c>
      <x:c r="Y791" s="5" t="inlineStr">
        <x:is>
          <x:t xml:space="preserve">무관</x:t>
        </x:is>
      </x:c>
      <x:c r="Z791" s="5" t="inlineStr">
        <x:is>
          <x:t xml:space="preserve">전설</x:t>
        </x:is>
      </x:c>
      <x:c r="AA791" s="5" t="inlineStr">
        <x:is>
          <x:t xml:space="preserve">전설</x:t>
        </x:is>
      </x:c>
      <x:c r="AB791" s="5" t="inlineStr">
        <x:is>
          <x:t xml:space="preserve">담수</x:t>
        </x:is>
      </x:c>
      <x:c r="AC791" s="5" t="inlineStr">
        <x:is>
          <x:t xml:space="preserve">gen7; legendary</x:t>
        </x:is>
      </x:c>
      <x:c r="AD791" s="5" t="inlineStr">
        <x:is>
          <x:t xml:space="preserve">.tmp/cobblemon-1.7.3-source/common/src/main/resources/data/cobblemon/species/generation7/tapubulu.json</x:t>
        </x:is>
      </x:c>
    </x:row>
    <x:row r="792" ht="22" customHeight="1">
      <x:c r="A792" s="5" t="n">
        <x:v>788</x:v>
      </x:c>
      <x:c r="B792" s="5" t="inlineStr">
        <x:is>
          <x:t xml:space="preserve">카푸느지느</x:t>
        </x:is>
      </x:c>
      <x:c r="C792" s="5" t="inlineStr">
        <x:is>
          <x:t xml:space="preserve">tapufini</x:t>
        </x:is>
      </x:c>
      <x:c r="D792" s="5" t="inlineStr">
        <x:is>
          <x:t xml:space="preserve">Tapu Fini</x:t>
        </x:is>
      </x:c>
      <x:c r="E792" s="5" t="n">
        <x:v>7</x:v>
      </x:c>
      <x:c r="F792" s="5" t="inlineStr">
        <x:is>
          <x:t xml:space="preserve">물</x:t>
        </x:is>
      </x:c>
      <x:c r="G792" s="5" t="inlineStr">
        <x:is>
          <x:t xml:space="preserve">페어리</x:t>
        </x:is>
      </x:c>
      <x:c r="H792" s="5" t="n">
        <x:v>1.3</x:v>
      </x:c>
      <x:c r="I792" s="5" t="n">
        <x:v>21.2</x:v>
      </x:c>
      <x:c r="J792" s="5" t="n">
        <x:v>570</x:v>
      </x:c>
      <x:c r="K792" s="5" t="n">
        <x:v>3</x:v>
      </x:c>
      <x:c r="L792" s="5" t="inlineStr">
        <x:is>
          <x:t xml:space="preserve">무진화</x:t>
        </x:is>
      </x:c>
      <x:c r="M792" s="5" t="n"/>
      <x:c r="N792" s="5" t="inlineStr">
        <x:is>
          <x:t xml:space="preserve">없음</x:t>
        </x:is>
      </x:c>
      <x:c r="O792" s="5" t="inlineStr">
        <x:is>
          <x:t xml:space="preserve">아니오</x:t>
        </x:is>
      </x:c>
      <x:c r="P792" s="5" t="inlineStr">
        <x:is>
          <x:t xml:space="preserve">#cobblemon:is_river; #minecraft:is_beach</x:t>
        </x:is>
      </x:c>
      <x:c r="Q792" s="5" t="inlineStr">
        <x:is>
          <x:t xml:space="preserve">ultra-rare</x:t>
        </x:is>
      </x:c>
      <x:c r="R792" s="5" t="inlineStr">
        <x:is>
          <x:t xml:space="preserve"/>
        </x:is>
      </x:c>
      <x:c r="S792" s="5" t="inlineStr">
        <x:is>
          <x:t xml:space="preserve"/>
        </x:is>
      </x:c>
      <x:c r="T792" s="5" t="inlineStr">
        <x:is>
          <x:t xml:space="preserve">해양</x:t>
        </x:is>
      </x:c>
      <x:c r="U792" s="5" t="inlineStr">
        <x:is>
          <x:t xml:space="preserve">해안·해양</x:t>
        </x:is>
      </x:c>
      <x:c r="V792" s="5" t="inlineStr">
        <x:is>
          <x:t xml:space="preserve">온대</x:t>
        </x:is>
      </x:c>
      <x:c r="W792" s="5" t="inlineStr">
        <x:is>
          <x:t xml:space="preserve">수중</x:t>
        </x:is>
      </x:c>
      <x:c r="X792" s="5" t="inlineStr">
        <x:is>
          <x:t xml:space="preserve">비</x:t>
        </x:is>
      </x:c>
      <x:c r="Y792" s="5" t="inlineStr">
        <x:is>
          <x:t xml:space="preserve">무관</x:t>
        </x:is>
      </x:c>
      <x:c r="Z792" s="5" t="inlineStr">
        <x:is>
          <x:t xml:space="preserve">전설</x:t>
        </x:is>
      </x:c>
      <x:c r="AA792" s="5" t="inlineStr">
        <x:is>
          <x:t xml:space="preserve">전설</x:t>
        </x:is>
      </x:c>
      <x:c r="AB792" s="5" t="inlineStr">
        <x:is>
          <x:t xml:space="preserve">해양</x:t>
        </x:is>
      </x:c>
      <x:c r="AC792" s="5" t="inlineStr">
        <x:is>
          <x:t xml:space="preserve">gen7; legendary</x:t>
        </x:is>
      </x:c>
      <x:c r="AD792" s="5" t="inlineStr">
        <x:is>
          <x:t xml:space="preserve">.tmp/cobblemon-1.7.3-source/common/src/main/resources/data/cobblemon/species/generation7/tapufini.json</x:t>
        </x:is>
      </x:c>
    </x:row>
    <x:row r="793" ht="22" customHeight="1">
      <x:c r="A793" s="5" t="n">
        <x:v>789</x:v>
      </x:c>
      <x:c r="B793" s="5" t="inlineStr">
        <x:is>
          <x:t xml:space="preserve">코스모그</x:t>
        </x:is>
      </x:c>
      <x:c r="C793" s="5" t="inlineStr">
        <x:is>
          <x:t xml:space="preserve">cosmog</x:t>
        </x:is>
      </x:c>
      <x:c r="D793" s="5" t="inlineStr">
        <x:is>
          <x:t xml:space="preserve">Cosmog</x:t>
        </x:is>
      </x:c>
      <x:c r="E793" s="5" t="n">
        <x:v>7</x:v>
      </x:c>
      <x:c r="F793" s="5" t="inlineStr">
        <x:is>
          <x:t xml:space="preserve">에스퍼</x:t>
        </x:is>
      </x:c>
      <x:c r="G793" s="5" t="inlineStr">
        <x:is>
          <x:t xml:space="preserve"/>
        </x:is>
      </x:c>
      <x:c r="H793" s="5" t="n">
        <x:v>0.2</x:v>
      </x:c>
      <x:c r="I793" s="5" t="n">
        <x:v>0.1</x:v>
      </x:c>
      <x:c r="J793" s="5" t="n">
        <x:v>200</x:v>
      </x:c>
      <x:c r="K793" s="5" t="n">
        <x:v>3</x:v>
      </x:c>
      <x:c r="L793" s="5" t="inlineStr">
        <x:is>
          <x:t xml:space="preserve">기본</x:t>
        </x:is>
      </x:c>
      <x:c r="M793" s="5" t="n">
        <x:v>53</x:v>
      </x:c>
      <x:c r="N793" s="5" t="inlineStr">
        <x:is>
          <x:t xml:space="preserve">레벨·특수</x:t>
        </x:is>
      </x:c>
      <x:c r="O793" s="5" t="inlineStr">
        <x:is>
          <x:t xml:space="preserve">아니오</x:t>
        </x:is>
      </x:c>
      <x:c r="P793" s="5" t="inlineStr">
        <x:is>
          <x:t xml:space="preserve">#minecraft:is_end</x:t>
        </x:is>
      </x:c>
      <x:c r="Q793" s="5" t="inlineStr">
        <x:is>
          <x:t xml:space="preserve">ultra-rare</x:t>
        </x:is>
      </x:c>
      <x:c r="R793" s="5" t="inlineStr">
        <x:is>
          <x:t xml:space="preserve"/>
        </x:is>
      </x:c>
      <x:c r="S793" s="5" t="inlineStr">
        <x:is>
          <x:t xml:space="preserve"/>
        </x:is>
      </x:c>
      <x:c r="T793" s="5" t="inlineStr">
        <x:is>
          <x:t xml:space="preserve">비행</x:t>
        </x:is>
      </x:c>
      <x:c r="U793" s="5" t="inlineStr">
        <x:is>
          <x:t xml:space="preserve">개활지</x:t>
        </x:is>
      </x:c>
      <x:c r="V793" s="5" t="inlineStr">
        <x:is>
          <x:t xml:space="preserve">온대</x:t>
        </x:is>
      </x:c>
      <x:c r="W793" s="5" t="inlineStr">
        <x:is>
          <x:t xml:space="preserve">보통</x:t>
        </x:is>
      </x:c>
      <x:c r="X793" s="5" t="inlineStr">
        <x:is>
          <x:t xml:space="preserve">무관</x:t>
        </x:is>
      </x:c>
      <x:c r="Y793" s="5" t="inlineStr">
        <x:is>
          <x:t xml:space="preserve">무관</x:t>
        </x:is>
      </x:c>
      <x:c r="Z793" s="5" t="inlineStr">
        <x:is>
          <x:t xml:space="preserve">전설</x:t>
        </x:is>
      </x:c>
      <x:c r="AA793" s="5" t="inlineStr">
        <x:is>
          <x:t xml:space="preserve">전설</x:t>
        </x:is>
      </x:c>
      <x:c r="AB793" s="5" t="inlineStr">
        <x:is>
          <x:t xml:space="preserve"/>
        </x:is>
      </x:c>
      <x:c r="AC793" s="5" t="inlineStr">
        <x:is>
          <x:t xml:space="preserve">gen7; legendary; restricted</x:t>
        </x:is>
      </x:c>
      <x:c r="AD793" s="5" t="inlineStr">
        <x:is>
          <x:t xml:space="preserve">.tmp/cobblemon-1.7.3-source/common/src/main/resources/data/cobblemon/species/generation7/cosmog.json</x:t>
        </x:is>
      </x:c>
    </x:row>
    <x:row r="794" ht="22" customHeight="1">
      <x:c r="A794" s="5" t="n">
        <x:v>790</x:v>
      </x:c>
      <x:c r="B794" s="5" t="inlineStr">
        <x:is>
          <x:t xml:space="preserve">코스모움</x:t>
        </x:is>
      </x:c>
      <x:c r="C794" s="5" t="inlineStr">
        <x:is>
          <x:t xml:space="preserve">cosmoem</x:t>
        </x:is>
      </x:c>
      <x:c r="D794" s="5" t="inlineStr">
        <x:is>
          <x:t xml:space="preserve">Cosmoem</x:t>
        </x:is>
      </x:c>
      <x:c r="E794" s="5" t="n">
        <x:v>7</x:v>
      </x:c>
      <x:c r="F794" s="5" t="inlineStr">
        <x:is>
          <x:t xml:space="preserve">에스퍼</x:t>
        </x:is>
      </x:c>
      <x:c r="G794" s="5" t="inlineStr">
        <x:is>
          <x:t xml:space="preserve"/>
        </x:is>
      </x:c>
      <x:c r="H794" s="5" t="n">
        <x:v>0.1</x:v>
      </x:c>
      <x:c r="I794" s="5" t="n">
        <x:v>999.9</x:v>
      </x:c>
      <x:c r="J794" s="5" t="n">
        <x:v>400</x:v>
      </x:c>
      <x:c r="K794" s="5" t="n">
        <x:v>3</x:v>
      </x:c>
      <x:c r="L794" s="5" t="inlineStr">
        <x:is>
          <x:t xml:space="preserve">중간</x:t>
        </x:is>
      </x:c>
      <x:c r="M794" s="5" t="n">
        <x:v>53</x:v>
      </x:c>
      <x:c r="N794" s="5" t="inlineStr">
        <x:is>
          <x:t xml:space="preserve">레벨·특수</x:t>
        </x:is>
      </x:c>
      <x:c r="O794" s="5" t="inlineStr">
        <x:is>
          <x:t xml:space="preserve">아니오</x:t>
        </x:is>
      </x:c>
      <x:c r="P794" s="5" t="inlineStr">
        <x:is>
          <x:t xml:space="preserve">#minecraft:is_end</x:t>
        </x:is>
      </x:c>
      <x:c r="Q794" s="5" t="inlineStr">
        <x:is>
          <x:t xml:space="preserve">ultra-rare</x:t>
        </x:is>
      </x:c>
      <x:c r="R794" s="5" t="inlineStr">
        <x:is>
          <x:t xml:space="preserve"/>
        </x:is>
      </x:c>
      <x:c r="S794" s="5" t="inlineStr">
        <x:is>
          <x:t xml:space="preserve"/>
        </x:is>
      </x:c>
      <x:c r="T794" s="5" t="inlineStr">
        <x:is>
          <x:t xml:space="preserve">비행</x:t>
        </x:is>
      </x:c>
      <x:c r="U794" s="5" t="inlineStr">
        <x:is>
          <x:t xml:space="preserve">개활지</x:t>
        </x:is>
      </x:c>
      <x:c r="V794" s="5" t="inlineStr">
        <x:is>
          <x:t xml:space="preserve">온대</x:t>
        </x:is>
      </x:c>
      <x:c r="W794" s="5" t="inlineStr">
        <x:is>
          <x:t xml:space="preserve">보통</x:t>
        </x:is>
      </x:c>
      <x:c r="X794" s="5" t="inlineStr">
        <x:is>
          <x:t xml:space="preserve">무관</x:t>
        </x:is>
      </x:c>
      <x:c r="Y794" s="5" t="inlineStr">
        <x:is>
          <x:t xml:space="preserve">무관</x:t>
        </x:is>
      </x:c>
      <x:c r="Z794" s="5" t="inlineStr">
        <x:is>
          <x:t xml:space="preserve">전설</x:t>
        </x:is>
      </x:c>
      <x:c r="AA794" s="5" t="inlineStr">
        <x:is>
          <x:t xml:space="preserve">전설</x:t>
        </x:is>
      </x:c>
      <x:c r="AB794" s="5" t="inlineStr">
        <x:is>
          <x:t xml:space="preserve"/>
        </x:is>
      </x:c>
      <x:c r="AC794" s="5" t="inlineStr">
        <x:is>
          <x:t xml:space="preserve">gen7; legendary; restricted</x:t>
        </x:is>
      </x:c>
      <x:c r="AD794" s="5" t="inlineStr">
        <x:is>
          <x:t xml:space="preserve">.tmp/cobblemon-1.7.3-source/common/src/main/resources/data/cobblemon/species/generation7/cosmoem.json</x:t>
        </x:is>
      </x:c>
    </x:row>
    <x:row r="795" ht="22" customHeight="1">
      <x:c r="A795" s="5" t="n">
        <x:v>791</x:v>
      </x:c>
      <x:c r="B795" s="5" t="inlineStr">
        <x:is>
          <x:t xml:space="preserve">솔가레오</x:t>
        </x:is>
      </x:c>
      <x:c r="C795" s="5" t="inlineStr">
        <x:is>
          <x:t xml:space="preserve">solgaleo</x:t>
        </x:is>
      </x:c>
      <x:c r="D795" s="5" t="inlineStr">
        <x:is>
          <x:t xml:space="preserve">Solgaleo</x:t>
        </x:is>
      </x:c>
      <x:c r="E795" s="5" t="n">
        <x:v>7</x:v>
      </x:c>
      <x:c r="F795" s="5" t="inlineStr">
        <x:is>
          <x:t xml:space="preserve">에스퍼</x:t>
        </x:is>
      </x:c>
      <x:c r="G795" s="5" t="inlineStr">
        <x:is>
          <x:t xml:space="preserve">강철</x:t>
        </x:is>
      </x:c>
      <x:c r="H795" s="5" t="n">
        <x:v>3.4</x:v>
      </x:c>
      <x:c r="I795" s="5" t="n">
        <x:v>230</x:v>
      </x:c>
      <x:c r="J795" s="5" t="n">
        <x:v>680</x:v>
      </x:c>
      <x:c r="K795" s="5" t="n">
        <x:v>3</x:v>
      </x:c>
      <x:c r="L795" s="5" t="inlineStr">
        <x:is>
          <x:t xml:space="preserve">최종</x:t>
        </x:is>
      </x:c>
      <x:c r="M795" s="5" t="n">
        <x:v>53</x:v>
      </x:c>
      <x:c r="N795" s="5" t="inlineStr">
        <x:is>
          <x:t xml:space="preserve">레벨·특수</x:t>
        </x:is>
      </x:c>
      <x:c r="O795" s="5" t="inlineStr">
        <x:is>
          <x:t xml:space="preserve">아니오</x:t>
        </x:is>
      </x:c>
      <x:c r="P795" s="5" t="inlineStr">
        <x:is>
          <x:t xml:space="preserve">#cobblemon:is_savanna; #minecraft:is_end</x:t>
        </x:is>
      </x:c>
      <x:c r="Q795" s="5" t="inlineStr">
        <x:is>
          <x:t xml:space="preserve">ultra-rare</x:t>
        </x:is>
      </x:c>
      <x:c r="R795" s="5" t="inlineStr">
        <x:is>
          <x:t xml:space="preserve">day</x:t>
        </x:is>
      </x:c>
      <x:c r="S795" s="5" t="inlineStr">
        <x:is>
          <x:t xml:space="preserve"/>
        </x:is>
      </x:c>
      <x:c r="T795" s="5" t="inlineStr">
        <x:is>
          <x:t xml:space="preserve">비행</x:t>
        </x:is>
      </x:c>
      <x:c r="U795" s="5" t="inlineStr">
        <x:is>
          <x:t xml:space="preserve">개활지</x:t>
        </x:is>
      </x:c>
      <x:c r="V795" s="5" t="inlineStr">
        <x:is>
          <x:t xml:space="preserve">온대</x:t>
        </x:is>
      </x:c>
      <x:c r="W795" s="5" t="inlineStr">
        <x:is>
          <x:t xml:space="preserve">보통</x:t>
        </x:is>
      </x:c>
      <x:c r="X795" s="5" t="inlineStr">
        <x:is>
          <x:t xml:space="preserve">무관</x:t>
        </x:is>
      </x:c>
      <x:c r="Y795" s="5" t="inlineStr">
        <x:is>
          <x:t xml:space="preserve">낮</x:t>
        </x:is>
      </x:c>
      <x:c r="Z795" s="5" t="inlineStr">
        <x:is>
          <x:t xml:space="preserve">전설</x:t>
        </x:is>
      </x:c>
      <x:c r="AA795" s="5" t="inlineStr">
        <x:is>
          <x:t xml:space="preserve">전설</x:t>
        </x:is>
      </x:c>
      <x:c r="AB795" s="5" t="inlineStr">
        <x:is>
          <x:t xml:space="preserve">평원</x:t>
        </x:is>
      </x:c>
      <x:c r="AC795" s="5" t="inlineStr">
        <x:is>
          <x:t xml:space="preserve">gen7; legendary; restricted</x:t>
        </x:is>
      </x:c>
      <x:c r="AD795" s="5" t="inlineStr">
        <x:is>
          <x:t xml:space="preserve">.tmp/cobblemon-1.7.3-source/common/src/main/resources/data/cobblemon/species/generation7/solgaleo.json</x:t>
        </x:is>
      </x:c>
    </x:row>
    <x:row r="796" ht="22" customHeight="1">
      <x:c r="A796" s="5" t="n">
        <x:v>792</x:v>
      </x:c>
      <x:c r="B796" s="5" t="inlineStr">
        <x:is>
          <x:t xml:space="preserve">루나아라</x:t>
        </x:is>
      </x:c>
      <x:c r="C796" s="5" t="inlineStr">
        <x:is>
          <x:t xml:space="preserve">lunala</x:t>
        </x:is>
      </x:c>
      <x:c r="D796" s="5" t="inlineStr">
        <x:is>
          <x:t xml:space="preserve">Lunala</x:t>
        </x:is>
      </x:c>
      <x:c r="E796" s="5" t="n">
        <x:v>7</x:v>
      </x:c>
      <x:c r="F796" s="5" t="inlineStr">
        <x:is>
          <x:t xml:space="preserve">에스퍼</x:t>
        </x:is>
      </x:c>
      <x:c r="G796" s="5" t="inlineStr">
        <x:is>
          <x:t xml:space="preserve">고스트</x:t>
        </x:is>
      </x:c>
      <x:c r="H796" s="5" t="n">
        <x:v>4</x:v>
      </x:c>
      <x:c r="I796" s="5" t="n">
        <x:v>120</x:v>
      </x:c>
      <x:c r="J796" s="5" t="n">
        <x:v>680</x:v>
      </x:c>
      <x:c r="K796" s="5" t="n">
        <x:v>3</x:v>
      </x:c>
      <x:c r="L796" s="5" t="inlineStr">
        <x:is>
          <x:t xml:space="preserve">최종</x:t>
        </x:is>
      </x:c>
      <x:c r="M796" s="5" t="n">
        <x:v>53</x:v>
      </x:c>
      <x:c r="N796" s="5" t="inlineStr">
        <x:is>
          <x:t xml:space="preserve">레벨·특수</x:t>
        </x:is>
      </x:c>
      <x:c r="O796" s="5" t="inlineStr">
        <x:is>
          <x:t xml:space="preserve">아니오</x:t>
        </x:is>
      </x:c>
      <x:c r="P796" s="5" t="inlineStr">
        <x:is>
          <x:t xml:space="preserve">#cobblemon:is_spooky; #minecraft:is_end</x:t>
        </x:is>
      </x:c>
      <x:c r="Q796" s="5" t="inlineStr">
        <x:is>
          <x:t xml:space="preserve">ultra-rare</x:t>
        </x:is>
      </x:c>
      <x:c r="R796" s="5" t="inlineStr">
        <x:is>
          <x:t xml:space="preserve">night</x:t>
        </x:is>
      </x:c>
      <x:c r="S796" s="5" t="inlineStr">
        <x:is>
          <x:t xml:space="preserve"/>
        </x:is>
      </x:c>
      <x:c r="T796" s="5" t="inlineStr">
        <x:is>
          <x:t xml:space="preserve">영체</x:t>
        </x:is>
      </x:c>
      <x:c r="U796" s="5" t="inlineStr">
        <x:is>
          <x:t xml:space="preserve">특수</x:t>
        </x:is>
      </x:c>
      <x:c r="V796" s="5" t="inlineStr">
        <x:is>
          <x:t xml:space="preserve">온대</x:t>
        </x:is>
      </x:c>
      <x:c r="W796" s="5" t="inlineStr">
        <x:is>
          <x:t xml:space="preserve">보통</x:t>
        </x:is>
      </x:c>
      <x:c r="X796" s="5" t="inlineStr">
        <x:is>
          <x:t xml:space="preserve">안개</x:t>
        </x:is>
      </x:c>
      <x:c r="Y796" s="5" t="inlineStr">
        <x:is>
          <x:t xml:space="preserve">밤</x:t>
        </x:is>
      </x:c>
      <x:c r="Z796" s="5" t="inlineStr">
        <x:is>
          <x:t xml:space="preserve">전설</x:t>
        </x:is>
      </x:c>
      <x:c r="AA796" s="5" t="inlineStr">
        <x:is>
          <x:t xml:space="preserve">전설</x:t>
        </x:is>
      </x:c>
      <x:c r="AB796" s="5" t="inlineStr">
        <x:is>
          <x:t xml:space="preserve">특수</x:t>
        </x:is>
      </x:c>
      <x:c r="AC796" s="5" t="inlineStr">
        <x:is>
          <x:t xml:space="preserve">gen7; legendary; restricted</x:t>
        </x:is>
      </x:c>
      <x:c r="AD796" s="5" t="inlineStr">
        <x:is>
          <x:t xml:space="preserve">.tmp/cobblemon-1.7.3-source/common/src/main/resources/data/cobblemon/species/generation7/lunala.json</x:t>
        </x:is>
      </x:c>
    </x:row>
    <x:row r="797" ht="22" customHeight="1">
      <x:c r="A797" s="5" t="n">
        <x:v>793</x:v>
      </x:c>
      <x:c r="B797" s="5" t="inlineStr">
        <x:is>
          <x:t xml:space="preserve">텅비드</x:t>
        </x:is>
      </x:c>
      <x:c r="C797" s="5" t="inlineStr">
        <x:is>
          <x:t xml:space="preserve">nihilego</x:t>
        </x:is>
      </x:c>
      <x:c r="D797" s="5" t="inlineStr">
        <x:is>
          <x:t xml:space="preserve">Nihilego</x:t>
        </x:is>
      </x:c>
      <x:c r="E797" s="5" t="n">
        <x:v>7</x:v>
      </x:c>
      <x:c r="F797" s="5" t="inlineStr">
        <x:is>
          <x:t xml:space="preserve">바위</x:t>
        </x:is>
      </x:c>
      <x:c r="G797" s="5" t="inlineStr">
        <x:is>
          <x:t xml:space="preserve">독</x:t>
        </x:is>
      </x:c>
      <x:c r="H797" s="5" t="n">
        <x:v>1.2</x:v>
      </x:c>
      <x:c r="I797" s="5" t="n">
        <x:v>55.5</x:v>
      </x:c>
      <x:c r="J797" s="5" t="n">
        <x:v>570</x:v>
      </x:c>
      <x:c r="K797" s="5" t="n">
        <x:v>45</x:v>
      </x:c>
      <x:c r="L797" s="5" t="inlineStr">
        <x:is>
          <x:t xml:space="preserve">무진화</x:t>
        </x:is>
      </x:c>
      <x:c r="M797" s="5" t="n"/>
      <x:c r="N797" s="5" t="inlineStr">
        <x:is>
          <x:t xml:space="preserve">없음</x:t>
        </x:is>
      </x:c>
      <x:c r="O797" s="5" t="inlineStr">
        <x:is>
          <x:t xml:space="preserve">아니오</x:t>
        </x:is>
      </x:c>
      <x:c r="P797" s="5" t="inlineStr">
        <x:is>
          <x:t xml:space="preserve">#cobblemon:is_ocean</x:t>
        </x:is>
      </x:c>
      <x:c r="Q797" s="5" t="inlineStr">
        <x:is>
          <x:t xml:space="preserve">ultra-rare</x:t>
        </x:is>
      </x:c>
      <x:c r="R797" s="5" t="inlineStr">
        <x:is>
          <x:t xml:space="preserve"/>
        </x:is>
      </x:c>
      <x:c r="S797" s="5" t="inlineStr">
        <x:is>
          <x:t xml:space="preserve"/>
        </x:is>
      </x:c>
      <x:c r="T797" s="5" t="inlineStr">
        <x:is>
          <x:t xml:space="preserve">해양</x:t>
        </x:is>
      </x:c>
      <x:c r="U797" s="5" t="inlineStr">
        <x:is>
          <x:t xml:space="preserve">해안·해양</x:t>
        </x:is>
      </x:c>
      <x:c r="V797" s="5" t="inlineStr">
        <x:is>
          <x:t xml:space="preserve">온대</x:t>
        </x:is>
      </x:c>
      <x:c r="W797" s="5" t="inlineStr">
        <x:is>
          <x:t xml:space="preserve">수중</x:t>
        </x:is>
      </x:c>
      <x:c r="X797" s="5" t="inlineStr">
        <x:is>
          <x:t xml:space="preserve">비</x:t>
        </x:is>
      </x:c>
      <x:c r="Y797" s="5" t="inlineStr">
        <x:is>
          <x:t xml:space="preserve">무관</x:t>
        </x:is>
      </x:c>
      <x:c r="Z797" s="5" t="inlineStr">
        <x:is>
          <x:t xml:space="preserve">전설</x:t>
        </x:is>
      </x:c>
      <x:c r="AA797" s="5" t="inlineStr">
        <x:is>
          <x:t xml:space="preserve">전설</x:t>
        </x:is>
      </x:c>
      <x:c r="AB797" s="5" t="inlineStr">
        <x:is>
          <x:t xml:space="preserve">해양</x:t>
        </x:is>
      </x:c>
      <x:c r="AC797" s="5" t="inlineStr">
        <x:is>
          <x:t xml:space="preserve">gen7; ultra_beast</x:t>
        </x:is>
      </x:c>
      <x:c r="AD797" s="5" t="inlineStr">
        <x:is>
          <x:t xml:space="preserve">.tmp/cobblemon-1.7.3-source/common/src/main/resources/data/cobblemon/species/generation7/nihilego.json</x:t>
        </x:is>
      </x:c>
    </x:row>
    <x:row r="798" ht="22" customHeight="1">
      <x:c r="A798" s="5" t="n">
        <x:v>794</x:v>
      </x:c>
      <x:c r="B798" s="5" t="inlineStr">
        <x:is>
          <x:t xml:space="preserve">매시붕</x:t>
        </x:is>
      </x:c>
      <x:c r="C798" s="5" t="inlineStr">
        <x:is>
          <x:t xml:space="preserve">buzzwole</x:t>
        </x:is>
      </x:c>
      <x:c r="D798" s="5" t="inlineStr">
        <x:is>
          <x:t xml:space="preserve">Buzzwole</x:t>
        </x:is>
      </x:c>
      <x:c r="E798" s="5" t="n">
        <x:v>7</x:v>
      </x:c>
      <x:c r="F798" s="5" t="inlineStr">
        <x:is>
          <x:t xml:space="preserve">벌레</x:t>
        </x:is>
      </x:c>
      <x:c r="G798" s="5" t="inlineStr">
        <x:is>
          <x:t xml:space="preserve">격투</x:t>
        </x:is>
      </x:c>
      <x:c r="H798" s="5" t="n">
        <x:v>2.4</x:v>
      </x:c>
      <x:c r="I798" s="5" t="n">
        <x:v>333.6</x:v>
      </x:c>
      <x:c r="J798" s="5" t="n">
        <x:v>570</x:v>
      </x:c>
      <x:c r="K798" s="5" t="n">
        <x:v>45</x:v>
      </x:c>
      <x:c r="L798" s="5" t="inlineStr">
        <x:is>
          <x:t xml:space="preserve">무진화</x:t>
        </x:is>
      </x:c>
      <x:c r="M798" s="5" t="n"/>
      <x:c r="N798" s="5" t="inlineStr">
        <x:is>
          <x:t xml:space="preserve">없음</x:t>
        </x:is>
      </x:c>
      <x:c r="O798" s="5" t="inlineStr">
        <x:is>
          <x:t xml:space="preserve">아니오</x:t>
        </x:is>
      </x:c>
      <x:c r="P798" s="5" t="inlineStr">
        <x:is>
          <x:t xml:space="preserve">#cobblemon:is_jungle</x:t>
        </x:is>
      </x:c>
      <x:c r="Q798" s="5" t="inlineStr">
        <x:is>
          <x:t xml:space="preserve">ultra-rare</x:t>
        </x:is>
      </x:c>
      <x:c r="R798" s="5" t="inlineStr">
        <x:is>
          <x:t xml:space="preserve"/>
        </x:is>
      </x:c>
      <x:c r="S798" s="5" t="inlineStr">
        <x:is>
          <x:t xml:space="preserve"/>
        </x:is>
      </x:c>
      <x:c r="T798" s="5" t="inlineStr">
        <x:is>
          <x:t xml:space="preserve">비행</x:t>
        </x:is>
      </x:c>
      <x:c r="U798" s="5" t="inlineStr">
        <x:is>
          <x:t xml:space="preserve">수목</x:t>
        </x:is>
      </x:c>
      <x:c r="V798" s="5" t="inlineStr">
        <x:is>
          <x:t xml:space="preserve">온대</x:t>
        </x:is>
      </x:c>
      <x:c r="W798" s="5" t="inlineStr">
        <x:is>
          <x:t xml:space="preserve">다습</x:t>
        </x:is>
      </x:c>
      <x:c r="X798" s="5" t="inlineStr">
        <x:is>
          <x:t xml:space="preserve">무관</x:t>
        </x:is>
      </x:c>
      <x:c r="Y798" s="5" t="inlineStr">
        <x:is>
          <x:t xml:space="preserve">무관</x:t>
        </x:is>
      </x:c>
      <x:c r="Z798" s="5" t="inlineStr">
        <x:is>
          <x:t xml:space="preserve">전설</x:t>
        </x:is>
      </x:c>
      <x:c r="AA798" s="5" t="inlineStr">
        <x:is>
          <x:t xml:space="preserve">전설</x:t>
        </x:is>
      </x:c>
      <x:c r="AB798" s="5" t="inlineStr">
        <x:is>
          <x:t xml:space="preserve">숲</x:t>
        </x:is>
      </x:c>
      <x:c r="AC798" s="5" t="inlineStr">
        <x:is>
          <x:t xml:space="preserve">gen7; ultra_beast</x:t>
        </x:is>
      </x:c>
      <x:c r="AD798" s="5" t="inlineStr">
        <x:is>
          <x:t xml:space="preserve">.tmp/cobblemon-1.7.3-source/common/src/main/resources/data/cobblemon/species/generation7/buzzwole.json</x:t>
        </x:is>
      </x:c>
    </x:row>
    <x:row r="799" ht="22" customHeight="1">
      <x:c r="A799" s="5" t="n">
        <x:v>795</x:v>
      </x:c>
      <x:c r="B799" s="5" t="inlineStr">
        <x:is>
          <x:t xml:space="preserve">페로코체</x:t>
        </x:is>
      </x:c>
      <x:c r="C799" s="5" t="inlineStr">
        <x:is>
          <x:t xml:space="preserve">pheromosa</x:t>
        </x:is>
      </x:c>
      <x:c r="D799" s="5" t="inlineStr">
        <x:is>
          <x:t xml:space="preserve">Pheromosa</x:t>
        </x:is>
      </x:c>
      <x:c r="E799" s="5" t="n">
        <x:v>7</x:v>
      </x:c>
      <x:c r="F799" s="5" t="inlineStr">
        <x:is>
          <x:t xml:space="preserve">벌레</x:t>
        </x:is>
      </x:c>
      <x:c r="G799" s="5" t="inlineStr">
        <x:is>
          <x:t xml:space="preserve">격투</x:t>
        </x:is>
      </x:c>
      <x:c r="H799" s="5" t="n">
        <x:v>1.8</x:v>
      </x:c>
      <x:c r="I799" s="5" t="n">
        <x:v>25</x:v>
      </x:c>
      <x:c r="J799" s="5" t="n">
        <x:v>570</x:v>
      </x:c>
      <x:c r="K799" s="5" t="n">
        <x:v>45</x:v>
      </x:c>
      <x:c r="L799" s="5" t="inlineStr">
        <x:is>
          <x:t xml:space="preserve">무진화</x:t>
        </x:is>
      </x:c>
      <x:c r="M799" s="5" t="n"/>
      <x:c r="N799" s="5" t="inlineStr">
        <x:is>
          <x:t xml:space="preserve">없음</x:t>
        </x:is>
      </x:c>
      <x:c r="O799" s="5" t="inlineStr">
        <x:is>
          <x:t xml:space="preserve">아니오</x:t>
        </x:is>
      </x:c>
      <x:c r="P799" s="5" t="inlineStr">
        <x:is>
          <x:t xml:space="preserve">#cobblemon:is_end; terralith:blooming_valley; terralith:steppe; terralith:white_cliffs</x:t>
        </x:is>
      </x:c>
      <x:c r="Q799" s="5" t="inlineStr">
        <x:is>
          <x:t xml:space="preserve">ultra-rare</x:t>
        </x:is>
      </x:c>
      <x:c r="R799" s="5" t="inlineStr">
        <x:is>
          <x:t xml:space="preserve"/>
        </x:is>
      </x:c>
      <x:c r="S799" s="5" t="inlineStr">
        <x:is>
          <x:t xml:space="preserve"/>
        </x:is>
      </x:c>
      <x:c r="T799" s="5" t="inlineStr">
        <x:is>
          <x:t xml:space="preserve">비행</x:t>
        </x:is>
      </x:c>
      <x:c r="U799" s="5" t="inlineStr">
        <x:is>
          <x:t xml:space="preserve">수목</x:t>
        </x:is>
      </x:c>
      <x:c r="V799" s="5" t="inlineStr">
        <x:is>
          <x:t xml:space="preserve">온대</x:t>
        </x:is>
      </x:c>
      <x:c r="W799" s="5" t="inlineStr">
        <x:is>
          <x:t xml:space="preserve">보통</x:t>
        </x:is>
      </x:c>
      <x:c r="X799" s="5" t="inlineStr">
        <x:is>
          <x:t xml:space="preserve">무관</x:t>
        </x:is>
      </x:c>
      <x:c r="Y799" s="5" t="inlineStr">
        <x:is>
          <x:t xml:space="preserve">무관</x:t>
        </x:is>
      </x:c>
      <x:c r="Z799" s="5" t="inlineStr">
        <x:is>
          <x:t xml:space="preserve">전설</x:t>
        </x:is>
      </x:c>
      <x:c r="AA799" s="5" t="inlineStr">
        <x:is>
          <x:t xml:space="preserve">전설</x:t>
        </x:is>
      </x:c>
      <x:c r="AB799" s="5" t="inlineStr">
        <x:is>
          <x:t xml:space="preserve"/>
        </x:is>
      </x:c>
      <x:c r="AC799" s="5" t="inlineStr">
        <x:is>
          <x:t xml:space="preserve">gen7; ultra_beast</x:t>
        </x:is>
      </x:c>
      <x:c r="AD799" s="5" t="inlineStr">
        <x:is>
          <x:t xml:space="preserve">.tmp/cobblemon-1.7.3-source/common/src/main/resources/data/cobblemon/species/generation7/pheromosa.json</x:t>
        </x:is>
      </x:c>
    </x:row>
    <x:row r="800" ht="22" customHeight="1">
      <x:c r="A800" s="5" t="n">
        <x:v>796</x:v>
      </x:c>
      <x:c r="B800" s="5" t="inlineStr">
        <x:is>
          <x:t xml:space="preserve">전수목</x:t>
        </x:is>
      </x:c>
      <x:c r="C800" s="5" t="inlineStr">
        <x:is>
          <x:t xml:space="preserve">xurkitree</x:t>
        </x:is>
      </x:c>
      <x:c r="D800" s="5" t="inlineStr">
        <x:is>
          <x:t xml:space="preserve">Xurkitree</x:t>
        </x:is>
      </x:c>
      <x:c r="E800" s="5" t="n">
        <x:v>7</x:v>
      </x:c>
      <x:c r="F800" s="5" t="inlineStr">
        <x:is>
          <x:t xml:space="preserve">전기</x:t>
        </x:is>
      </x:c>
      <x:c r="G800" s="5" t="inlineStr">
        <x:is>
          <x:t xml:space="preserve"/>
        </x:is>
      </x:c>
      <x:c r="H800" s="5" t="n">
        <x:v>3.8</x:v>
      </x:c>
      <x:c r="I800" s="5" t="n">
        <x:v>100</x:v>
      </x:c>
      <x:c r="J800" s="5" t="n">
        <x:v>570</x:v>
      </x:c>
      <x:c r="K800" s="5" t="n">
        <x:v>45</x:v>
      </x:c>
      <x:c r="L800" s="5" t="inlineStr">
        <x:is>
          <x:t xml:space="preserve">무진화</x:t>
        </x:is>
      </x:c>
      <x:c r="M800" s="5" t="n"/>
      <x:c r="N800" s="5" t="inlineStr">
        <x:is>
          <x:t xml:space="preserve">없음</x:t>
        </x:is>
      </x:c>
      <x:c r="O800" s="5" t="inlineStr">
        <x:is>
          <x:t xml:space="preserve">아니오</x:t>
        </x:is>
      </x:c>
      <x:c r="P800" s="5" t="inlineStr">
        <x:is>
          <x:t xml:space="preserve">#cobblemon:is_end</x:t>
        </x:is>
      </x:c>
      <x:c r="Q800" s="5" t="inlineStr">
        <x:is>
          <x:t xml:space="preserve">ultra-rare</x:t>
        </x:is>
      </x:c>
      <x:c r="R800" s="5" t="inlineStr">
        <x:is>
          <x:t xml:space="preserve"/>
        </x:is>
      </x:c>
      <x:c r="S800" s="5" t="inlineStr">
        <x:is>
          <x:t xml:space="preserve"/>
        </x:is>
      </x:c>
      <x:c r="T800" s="5" t="inlineStr">
        <x:is>
          <x:t xml:space="preserve">육상</x:t>
        </x:is>
      </x:c>
      <x:c r="U800" s="5" t="inlineStr">
        <x:is>
          <x:t xml:space="preserve">개활지</x:t>
        </x:is>
      </x:c>
      <x:c r="V800" s="5" t="inlineStr">
        <x:is>
          <x:t xml:space="preserve">온대</x:t>
        </x:is>
      </x:c>
      <x:c r="W800" s="5" t="inlineStr">
        <x:is>
          <x:t xml:space="preserve">보통</x:t>
        </x:is>
      </x:c>
      <x:c r="X800" s="5" t="inlineStr">
        <x:is>
          <x:t xml:space="preserve">무관</x:t>
        </x:is>
      </x:c>
      <x:c r="Y800" s="5" t="inlineStr">
        <x:is>
          <x:t xml:space="preserve">무관</x:t>
        </x:is>
      </x:c>
      <x:c r="Z800" s="5" t="inlineStr">
        <x:is>
          <x:t xml:space="preserve">전설</x:t>
        </x:is>
      </x:c>
      <x:c r="AA800" s="5" t="inlineStr">
        <x:is>
          <x:t xml:space="preserve">전설</x:t>
        </x:is>
      </x:c>
      <x:c r="AB800" s="5" t="inlineStr">
        <x:is>
          <x:t xml:space="preserve"/>
        </x:is>
      </x:c>
      <x:c r="AC800" s="5" t="inlineStr">
        <x:is>
          <x:t xml:space="preserve">gen7; ultra_beast</x:t>
        </x:is>
      </x:c>
      <x:c r="AD800" s="5" t="inlineStr">
        <x:is>
          <x:t xml:space="preserve">.tmp/cobblemon-1.7.3-source/common/src/main/resources/data/cobblemon/species/generation7/xurkitree.json</x:t>
        </x:is>
      </x:c>
    </x:row>
    <x:row r="801" ht="22" customHeight="1">
      <x:c r="A801" s="5" t="n">
        <x:v>797</x:v>
      </x:c>
      <x:c r="B801" s="5" t="inlineStr">
        <x:is>
          <x:t xml:space="preserve">철화구야</x:t>
        </x:is>
      </x:c>
      <x:c r="C801" s="5" t="inlineStr">
        <x:is>
          <x:t xml:space="preserve">celesteela</x:t>
        </x:is>
      </x:c>
      <x:c r="D801" s="5" t="inlineStr">
        <x:is>
          <x:t xml:space="preserve">Celesteela</x:t>
        </x:is>
      </x:c>
      <x:c r="E801" s="5" t="n">
        <x:v>7</x:v>
      </x:c>
      <x:c r="F801" s="5" t="inlineStr">
        <x:is>
          <x:t xml:space="preserve">강철</x:t>
        </x:is>
      </x:c>
      <x:c r="G801" s="5" t="inlineStr">
        <x:is>
          <x:t xml:space="preserve">비행</x:t>
        </x:is>
      </x:c>
      <x:c r="H801" s="5" t="n">
        <x:v>9.199999999999999</x:v>
      </x:c>
      <x:c r="I801" s="5" t="n">
        <x:v>999.9</x:v>
      </x:c>
      <x:c r="J801" s="5" t="n">
        <x:v>570</x:v>
      </x:c>
      <x:c r="K801" s="5" t="n">
        <x:v>45</x:v>
      </x:c>
      <x:c r="L801" s="5" t="inlineStr">
        <x:is>
          <x:t xml:space="preserve">무진화</x:t>
        </x:is>
      </x:c>
      <x:c r="M801" s="5" t="n"/>
      <x:c r="N801" s="5" t="inlineStr">
        <x:is>
          <x:t xml:space="preserve">없음</x:t>
        </x:is>
      </x:c>
      <x:c r="O801" s="5" t="inlineStr">
        <x:is>
          <x:t xml:space="preserve">아니오</x:t>
        </x:is>
      </x:c>
      <x:c r="P801" s="5" t="inlineStr">
        <x:is>
          <x:t xml:space="preserve">#cobblemon:is_end</x:t>
        </x:is>
      </x:c>
      <x:c r="Q801" s="5" t="inlineStr">
        <x:is>
          <x:t xml:space="preserve">ultra-rare</x:t>
        </x:is>
      </x:c>
      <x:c r="R801" s="5" t="inlineStr">
        <x:is>
          <x:t xml:space="preserve"/>
        </x:is>
      </x:c>
      <x:c r="S801" s="5" t="inlineStr">
        <x:is>
          <x:t xml:space="preserve"/>
        </x:is>
      </x:c>
      <x:c r="T801" s="5" t="inlineStr">
        <x:is>
          <x:t xml:space="preserve">비행</x:t>
        </x:is>
      </x:c>
      <x:c r="U801" s="5" t="inlineStr">
        <x:is>
          <x:t xml:space="preserve">개활지</x:t>
        </x:is>
      </x:c>
      <x:c r="V801" s="5" t="inlineStr">
        <x:is>
          <x:t xml:space="preserve">온대</x:t>
        </x:is>
      </x:c>
      <x:c r="W801" s="5" t="inlineStr">
        <x:is>
          <x:t xml:space="preserve">보통</x:t>
        </x:is>
      </x:c>
      <x:c r="X801" s="5" t="inlineStr">
        <x:is>
          <x:t xml:space="preserve">무관</x:t>
        </x:is>
      </x:c>
      <x:c r="Y801" s="5" t="inlineStr">
        <x:is>
          <x:t xml:space="preserve">무관</x:t>
        </x:is>
      </x:c>
      <x:c r="Z801" s="5" t="inlineStr">
        <x:is>
          <x:t xml:space="preserve">전설</x:t>
        </x:is>
      </x:c>
      <x:c r="AA801" s="5" t="inlineStr">
        <x:is>
          <x:t xml:space="preserve">전설</x:t>
        </x:is>
      </x:c>
      <x:c r="AB801" s="5" t="inlineStr">
        <x:is>
          <x:t xml:space="preserve"/>
        </x:is>
      </x:c>
      <x:c r="AC801" s="5" t="inlineStr">
        <x:is>
          <x:t xml:space="preserve">gen7; ultra_beast</x:t>
        </x:is>
      </x:c>
      <x:c r="AD801" s="5" t="inlineStr">
        <x:is>
          <x:t xml:space="preserve">.tmp/cobblemon-1.7.3-source/common/src/main/resources/data/cobblemon/species/generation7/celesteela.json</x:t>
        </x:is>
      </x:c>
    </x:row>
    <x:row r="802" ht="22" customHeight="1">
      <x:c r="A802" s="5" t="n">
        <x:v>798</x:v>
      </x:c>
      <x:c r="B802" s="5" t="inlineStr">
        <x:is>
          <x:t xml:space="preserve">종이신도</x:t>
        </x:is>
      </x:c>
      <x:c r="C802" s="5" t="inlineStr">
        <x:is>
          <x:t xml:space="preserve">kartana</x:t>
        </x:is>
      </x:c>
      <x:c r="D802" s="5" t="inlineStr">
        <x:is>
          <x:t xml:space="preserve">Kartana</x:t>
        </x:is>
      </x:c>
      <x:c r="E802" s="5" t="n">
        <x:v>7</x:v>
      </x:c>
      <x:c r="F802" s="5" t="inlineStr">
        <x:is>
          <x:t xml:space="preserve">풀</x:t>
        </x:is>
      </x:c>
      <x:c r="G802" s="5" t="inlineStr">
        <x:is>
          <x:t xml:space="preserve">강철</x:t>
        </x:is>
      </x:c>
      <x:c r="H802" s="5" t="n">
        <x:v>0.3</x:v>
      </x:c>
      <x:c r="I802" s="5" t="n">
        <x:v>0.1</x:v>
      </x:c>
      <x:c r="J802" s="5" t="n">
        <x:v>570</x:v>
      </x:c>
      <x:c r="K802" s="5" t="n">
        <x:v>45</x:v>
      </x:c>
      <x:c r="L802" s="5" t="inlineStr">
        <x:is>
          <x:t xml:space="preserve">무진화</x:t>
        </x:is>
      </x:c>
      <x:c r="M802" s="5" t="n"/>
      <x:c r="N802" s="5" t="inlineStr">
        <x:is>
          <x:t xml:space="preserve">없음</x:t>
        </x:is>
      </x:c>
      <x:c r="O802" s="5" t="inlineStr">
        <x:is>
          <x:t xml:space="preserve">아니오</x:t>
        </x:is>
      </x:c>
      <x:c r="P802" s="5" t="inlineStr">
        <x:is>
          <x:t xml:space="preserve">minecraft:cherry_grove</x:t>
        </x:is>
      </x:c>
      <x:c r="Q802" s="5" t="inlineStr">
        <x:is>
          <x:t xml:space="preserve">ultra-rare</x:t>
        </x:is>
      </x:c>
      <x:c r="R802" s="5" t="inlineStr">
        <x:is>
          <x:t xml:space="preserve"/>
        </x:is>
      </x:c>
      <x:c r="S802" s="5" t="inlineStr">
        <x:is>
          <x:t xml:space="preserve"/>
        </x:is>
      </x:c>
      <x:c r="T802" s="5" t="inlineStr">
        <x:is>
          <x:t xml:space="preserve">비행</x:t>
        </x:is>
      </x:c>
      <x:c r="U802" s="5" t="inlineStr">
        <x:is>
          <x:t xml:space="preserve">수목</x:t>
        </x:is>
      </x:c>
      <x:c r="V802" s="5" t="inlineStr">
        <x:is>
          <x:t xml:space="preserve">온대</x:t>
        </x:is>
      </x:c>
      <x:c r="W802" s="5" t="inlineStr">
        <x:is>
          <x:t xml:space="preserve">보통</x:t>
        </x:is>
      </x:c>
      <x:c r="X802" s="5" t="inlineStr">
        <x:is>
          <x:t xml:space="preserve">무관</x:t>
        </x:is>
      </x:c>
      <x:c r="Y802" s="5" t="inlineStr">
        <x:is>
          <x:t xml:space="preserve">무관</x:t>
        </x:is>
      </x:c>
      <x:c r="Z802" s="5" t="inlineStr">
        <x:is>
          <x:t xml:space="preserve">전설</x:t>
        </x:is>
      </x:c>
      <x:c r="AA802" s="5" t="inlineStr">
        <x:is>
          <x:t xml:space="preserve">전설</x:t>
        </x:is>
      </x:c>
      <x:c r="AB802" s="5" t="inlineStr">
        <x:is>
          <x:t xml:space="preserve">숲</x:t>
        </x:is>
      </x:c>
      <x:c r="AC802" s="5" t="inlineStr">
        <x:is>
          <x:t xml:space="preserve">gen7; ultra_beast</x:t>
        </x:is>
      </x:c>
      <x:c r="AD802" s="5" t="inlineStr">
        <x:is>
          <x:t xml:space="preserve">.tmp/cobblemon-1.7.3-source/common/src/main/resources/data/cobblemon/species/generation7/kartana.json</x:t>
        </x:is>
      </x:c>
    </x:row>
    <x:row r="803" ht="22" customHeight="1">
      <x:c r="A803" s="5" t="n">
        <x:v>799</x:v>
      </x:c>
      <x:c r="B803" s="5" t="inlineStr">
        <x:is>
          <x:t xml:space="preserve">악식킹</x:t>
        </x:is>
      </x:c>
      <x:c r="C803" s="5" t="inlineStr">
        <x:is>
          <x:t xml:space="preserve">guzzlord</x:t>
        </x:is>
      </x:c>
      <x:c r="D803" s="5" t="inlineStr">
        <x:is>
          <x:t xml:space="preserve">Guzzlord</x:t>
        </x:is>
      </x:c>
      <x:c r="E803" s="5" t="n">
        <x:v>7</x:v>
      </x:c>
      <x:c r="F803" s="5" t="inlineStr">
        <x:is>
          <x:t xml:space="preserve">악</x:t>
        </x:is>
      </x:c>
      <x:c r="G803" s="5" t="inlineStr">
        <x:is>
          <x:t xml:space="preserve">드래곤</x:t>
        </x:is>
      </x:c>
      <x:c r="H803" s="5" t="n">
        <x:v>5.5</x:v>
      </x:c>
      <x:c r="I803" s="5" t="n">
        <x:v>888</x:v>
      </x:c>
      <x:c r="J803" s="5" t="n">
        <x:v>570</x:v>
      </x:c>
      <x:c r="K803" s="5" t="n">
        <x:v>45</x:v>
      </x:c>
      <x:c r="L803" s="5" t="inlineStr">
        <x:is>
          <x:t xml:space="preserve">무진화</x:t>
        </x:is>
      </x:c>
      <x:c r="M803" s="5" t="n"/>
      <x:c r="N803" s="5" t="inlineStr">
        <x:is>
          <x:t xml:space="preserve">없음</x:t>
        </x:is>
      </x:c>
      <x:c r="O803" s="5" t="inlineStr">
        <x:is>
          <x:t xml:space="preserve">아니오</x:t>
        </x:is>
      </x:c>
      <x:c r="P803" s="5" t="inlineStr">
        <x:is>
          <x:t xml:space="preserve">#cobblemon:is_end</x:t>
        </x:is>
      </x:c>
      <x:c r="Q803" s="5" t="inlineStr">
        <x:is>
          <x:t xml:space="preserve">ultra-rare</x:t>
        </x:is>
      </x:c>
      <x:c r="R803" s="5" t="inlineStr">
        <x:is>
          <x:t xml:space="preserve"/>
        </x:is>
      </x:c>
      <x:c r="S803" s="5" t="inlineStr">
        <x:is>
          <x:t xml:space="preserve"/>
        </x:is>
      </x:c>
      <x:c r="T803" s="5" t="inlineStr">
        <x:is>
          <x:t xml:space="preserve">육상</x:t>
        </x:is>
      </x:c>
      <x:c r="U803" s="5" t="inlineStr">
        <x:is>
          <x:t xml:space="preserve">특수</x:t>
        </x:is>
      </x:c>
      <x:c r="V803" s="5" t="inlineStr">
        <x:is>
          <x:t xml:space="preserve">온대</x:t>
        </x:is>
      </x:c>
      <x:c r="W803" s="5" t="inlineStr">
        <x:is>
          <x:t xml:space="preserve">보통</x:t>
        </x:is>
      </x:c>
      <x:c r="X803" s="5" t="inlineStr">
        <x:is>
          <x:t xml:space="preserve">무관</x:t>
        </x:is>
      </x:c>
      <x:c r="Y803" s="5" t="inlineStr">
        <x:is>
          <x:t xml:space="preserve">밤</x:t>
        </x:is>
      </x:c>
      <x:c r="Z803" s="5" t="inlineStr">
        <x:is>
          <x:t xml:space="preserve">전설</x:t>
        </x:is>
      </x:c>
      <x:c r="AA803" s="5" t="inlineStr">
        <x:is>
          <x:t xml:space="preserve">전설</x:t>
        </x:is>
      </x:c>
      <x:c r="AB803" s="5" t="inlineStr">
        <x:is>
          <x:t xml:space="preserve"/>
        </x:is>
      </x:c>
      <x:c r="AC803" s="5" t="inlineStr">
        <x:is>
          <x:t xml:space="preserve">gen7; ultra_beast</x:t>
        </x:is>
      </x:c>
      <x:c r="AD803" s="5" t="inlineStr">
        <x:is>
          <x:t xml:space="preserve">.tmp/cobblemon-1.7.3-source/common/src/main/resources/data/cobblemon/species/generation7/guzzlord.json</x:t>
        </x:is>
      </x:c>
    </x:row>
    <x:row r="804" ht="22" customHeight="1">
      <x:c r="A804" s="5" t="n">
        <x:v>800</x:v>
      </x:c>
      <x:c r="B804" s="5" t="inlineStr">
        <x:is>
          <x:t xml:space="preserve">네크로즈마</x:t>
        </x:is>
      </x:c>
      <x:c r="C804" s="5" t="inlineStr">
        <x:is>
          <x:t xml:space="preserve">necrozma</x:t>
        </x:is>
      </x:c>
      <x:c r="D804" s="5" t="inlineStr">
        <x:is>
          <x:t xml:space="preserve">Necrozma</x:t>
        </x:is>
      </x:c>
      <x:c r="E804" s="5" t="n">
        <x:v>7</x:v>
      </x:c>
      <x:c r="F804" s="5" t="inlineStr">
        <x:is>
          <x:t xml:space="preserve">에스퍼</x:t>
        </x:is>
      </x:c>
      <x:c r="G804" s="5" t="inlineStr">
        <x:is>
          <x:t xml:space="preserve"/>
        </x:is>
      </x:c>
      <x:c r="H804" s="5" t="n">
        <x:v>2.4</x:v>
      </x:c>
      <x:c r="I804" s="5" t="n">
        <x:v>230</x:v>
      </x:c>
      <x:c r="J804" s="5" t="n">
        <x:v>600</x:v>
      </x:c>
      <x:c r="K804" s="5" t="n">
        <x:v>3</x:v>
      </x:c>
      <x:c r="L804" s="5" t="inlineStr">
        <x:is>
          <x:t xml:space="preserve">무진화</x:t>
        </x:is>
      </x:c>
      <x:c r="M804" s="5" t="n"/>
      <x:c r="N804" s="5" t="inlineStr">
        <x:is>
          <x:t xml:space="preserve">없음</x:t>
        </x:is>
      </x:c>
      <x:c r="O804" s="5" t="inlineStr">
        <x:is>
          <x:t xml:space="preserve">아니오</x:t>
        </x:is>
      </x:c>
      <x:c r="P804" s="5" t="inlineStr">
        <x:is>
          <x:t xml:space="preserve">#cobblemon:is_end</x:t>
        </x:is>
      </x:c>
      <x:c r="Q804" s="5" t="inlineStr">
        <x:is>
          <x:t xml:space="preserve">ultra-rare</x:t>
        </x:is>
      </x:c>
      <x:c r="R804" s="5" t="inlineStr">
        <x:is>
          <x:t xml:space="preserve"/>
        </x:is>
      </x:c>
      <x:c r="S804" s="5" t="inlineStr">
        <x:is>
          <x:t xml:space="preserve"/>
        </x:is>
      </x:c>
      <x:c r="T804" s="5" t="inlineStr">
        <x:is>
          <x:t xml:space="preserve">비행</x:t>
        </x:is>
      </x:c>
      <x:c r="U804" s="5" t="inlineStr">
        <x:is>
          <x:t xml:space="preserve">개활지</x:t>
        </x:is>
      </x:c>
      <x:c r="V804" s="5" t="inlineStr">
        <x:is>
          <x:t xml:space="preserve">온대</x:t>
        </x:is>
      </x:c>
      <x:c r="W804" s="5" t="inlineStr">
        <x:is>
          <x:t xml:space="preserve">보통</x:t>
        </x:is>
      </x:c>
      <x:c r="X804" s="5" t="inlineStr">
        <x:is>
          <x:t xml:space="preserve">무관</x:t>
        </x:is>
      </x:c>
      <x:c r="Y804" s="5" t="inlineStr">
        <x:is>
          <x:t xml:space="preserve">무관</x:t>
        </x:is>
      </x:c>
      <x:c r="Z804" s="5" t="inlineStr">
        <x:is>
          <x:t xml:space="preserve">전설</x:t>
        </x:is>
      </x:c>
      <x:c r="AA804" s="5" t="inlineStr">
        <x:is>
          <x:t xml:space="preserve">전설</x:t>
        </x:is>
      </x:c>
      <x:c r="AB804" s="5" t="inlineStr">
        <x:is>
          <x:t xml:space="preserve"/>
        </x:is>
      </x:c>
      <x:c r="AC804" s="5" t="inlineStr">
        <x:is>
          <x:t xml:space="preserve">gen7; legendary; restricted</x:t>
        </x:is>
      </x:c>
      <x:c r="AD804" s="5" t="inlineStr">
        <x:is>
          <x:t xml:space="preserve">.tmp/cobblemon-1.7.3-source/common/src/main/resources/data/cobblemon/species/generation7/necrozma.json</x:t>
        </x:is>
      </x:c>
    </x:row>
    <x:row r="805" ht="22" customHeight="1">
      <x:c r="A805" s="5" t="n">
        <x:v>801</x:v>
      </x:c>
      <x:c r="B805" s="5" t="inlineStr">
        <x:is>
          <x:t xml:space="preserve">마기아나</x:t>
        </x:is>
      </x:c>
      <x:c r="C805" s="5" t="inlineStr">
        <x:is>
          <x:t xml:space="preserve">magearna</x:t>
        </x:is>
      </x:c>
      <x:c r="D805" s="5" t="inlineStr">
        <x:is>
          <x:t xml:space="preserve">Magearna</x:t>
        </x:is>
      </x:c>
      <x:c r="E805" s="5" t="n">
        <x:v>7</x:v>
      </x:c>
      <x:c r="F805" s="5" t="inlineStr">
        <x:is>
          <x:t xml:space="preserve">강철</x:t>
        </x:is>
      </x:c>
      <x:c r="G805" s="5" t="inlineStr">
        <x:is>
          <x:t xml:space="preserve">페어리</x:t>
        </x:is>
      </x:c>
      <x:c r="H805" s="5" t="n">
        <x:v>1</x:v>
      </x:c>
      <x:c r="I805" s="5" t="n">
        <x:v>80.5</x:v>
      </x:c>
      <x:c r="J805" s="5" t="n">
        <x:v>600</x:v>
      </x:c>
      <x:c r="K805" s="5" t="n">
        <x:v>3</x:v>
      </x:c>
      <x:c r="L805" s="5" t="inlineStr">
        <x:is>
          <x:t xml:space="preserve">무진화</x:t>
        </x:is>
      </x:c>
      <x:c r="M805" s="5" t="n"/>
      <x:c r="N805" s="5" t="inlineStr">
        <x:is>
          <x:t xml:space="preserve">없음</x:t>
        </x:is>
      </x:c>
      <x:c r="O805" s="5" t="inlineStr">
        <x:is>
          <x:t xml:space="preserve">아니오</x:t>
        </x:is>
      </x:c>
      <x:c r="P805" s="5" t="inlineStr">
        <x:is>
          <x:t xml:space="preserve">#cobblemon:is_taiga</x:t>
        </x:is>
      </x:c>
      <x:c r="Q805" s="5" t="inlineStr">
        <x:is>
          <x:t xml:space="preserve">ultra-rare</x:t>
        </x:is>
      </x:c>
      <x:c r="R805" s="5" t="inlineStr">
        <x:is>
          <x:t xml:space="preserve"/>
        </x:is>
      </x:c>
      <x:c r="S805" s="5" t="inlineStr">
        <x:is>
          <x:t xml:space="preserve"/>
        </x:is>
      </x:c>
      <x:c r="T805" s="5" t="inlineStr">
        <x:is>
          <x:t xml:space="preserve">인공</x:t>
        </x:is>
      </x:c>
      <x:c r="U805" s="5" t="inlineStr">
        <x:is>
          <x:t xml:space="preserve">수목</x:t>
        </x:is>
      </x:c>
      <x:c r="V805" s="5" t="inlineStr">
        <x:is>
          <x:t xml:space="preserve">서늘</x:t>
        </x:is>
      </x:c>
      <x:c r="W805" s="5" t="inlineStr">
        <x:is>
          <x:t xml:space="preserve">보통</x:t>
        </x:is>
      </x:c>
      <x:c r="X805" s="5" t="inlineStr">
        <x:is>
          <x:t xml:space="preserve">무관</x:t>
        </x:is>
      </x:c>
      <x:c r="Y805" s="5" t="inlineStr">
        <x:is>
          <x:t xml:space="preserve">무관</x:t>
        </x:is>
      </x:c>
      <x:c r="Z805" s="5" t="inlineStr">
        <x:is>
          <x:t xml:space="preserve">전설</x:t>
        </x:is>
      </x:c>
      <x:c r="AA805" s="5" t="inlineStr">
        <x:is>
          <x:t xml:space="preserve">전설</x:t>
        </x:is>
      </x:c>
      <x:c r="AB805" s="5" t="inlineStr">
        <x:is>
          <x:t xml:space="preserve">숲</x:t>
        </x:is>
      </x:c>
      <x:c r="AC805" s="5" t="inlineStr">
        <x:is>
          <x:t xml:space="preserve">gen7; mythical</x:t>
        </x:is>
      </x:c>
      <x:c r="AD805" s="5" t="inlineStr">
        <x:is>
          <x:t xml:space="preserve">.tmp/cobblemon-1.7.3-source/common/src/main/resources/data/cobblemon/species/generation7/magearna.json</x:t>
        </x:is>
      </x:c>
    </x:row>
    <x:row r="806" ht="22" customHeight="1">
      <x:c r="A806" s="5" t="n">
        <x:v>802</x:v>
      </x:c>
      <x:c r="B806" s="5" t="inlineStr">
        <x:is>
          <x:t xml:space="preserve">마샤도</x:t>
        </x:is>
      </x:c>
      <x:c r="C806" s="5" t="inlineStr">
        <x:is>
          <x:t xml:space="preserve">marshadow</x:t>
        </x:is>
      </x:c>
      <x:c r="D806" s="5" t="inlineStr">
        <x:is>
          <x:t xml:space="preserve">Marshadow</x:t>
        </x:is>
      </x:c>
      <x:c r="E806" s="5" t="n">
        <x:v>7</x:v>
      </x:c>
      <x:c r="F806" s="5" t="inlineStr">
        <x:is>
          <x:t xml:space="preserve">격투</x:t>
        </x:is>
      </x:c>
      <x:c r="G806" s="5" t="inlineStr">
        <x:is>
          <x:t xml:space="preserve">고스트</x:t>
        </x:is>
      </x:c>
      <x:c r="H806" s="5" t="n">
        <x:v>0.7</x:v>
      </x:c>
      <x:c r="I806" s="5" t="n">
        <x:v>22.2</x:v>
      </x:c>
      <x:c r="J806" s="5" t="n">
        <x:v>600</x:v>
      </x:c>
      <x:c r="K806" s="5" t="n">
        <x:v>3</x:v>
      </x:c>
      <x:c r="L806" s="5" t="inlineStr">
        <x:is>
          <x:t xml:space="preserve">무진화</x:t>
        </x:is>
      </x:c>
      <x:c r="M806" s="5" t="n"/>
      <x:c r="N806" s="5" t="inlineStr">
        <x:is>
          <x:t xml:space="preserve">없음</x:t>
        </x:is>
      </x:c>
      <x:c r="O806" s="5" t="inlineStr">
        <x:is>
          <x:t xml:space="preserve">아니오</x:t>
        </x:is>
      </x:c>
      <x:c r="P806" s="5" t="inlineStr">
        <x:is>
          <x:t xml:space="preserve">#cobblemon:is_deep_dark</x:t>
        </x:is>
      </x:c>
      <x:c r="Q806" s="5" t="inlineStr">
        <x:is>
          <x:t xml:space="preserve">ultra-rare</x:t>
        </x:is>
      </x:c>
      <x:c r="R806" s="5" t="inlineStr">
        <x:is>
          <x:t xml:space="preserve"/>
        </x:is>
      </x:c>
      <x:c r="S806" s="5" t="inlineStr">
        <x:is>
          <x:t xml:space="preserve"/>
        </x:is>
      </x:c>
      <x:c r="T806" s="5" t="inlineStr">
        <x:is>
          <x:t xml:space="preserve">영체</x:t>
        </x:is>
      </x:c>
      <x:c r="U806" s="5" t="inlineStr">
        <x:is>
          <x:t xml:space="preserve">동굴</x:t>
        </x:is>
      </x:c>
      <x:c r="V806" s="5" t="inlineStr">
        <x:is>
          <x:t xml:space="preserve">온대</x:t>
        </x:is>
      </x:c>
      <x:c r="W806" s="5" t="inlineStr">
        <x:is>
          <x:t xml:space="preserve">보통</x:t>
        </x:is>
      </x:c>
      <x:c r="X806" s="5" t="inlineStr">
        <x:is>
          <x:t xml:space="preserve">안개</x:t>
        </x:is>
      </x:c>
      <x:c r="Y806" s="5" t="inlineStr">
        <x:is>
          <x:t xml:space="preserve">밤</x:t>
        </x:is>
      </x:c>
      <x:c r="Z806" s="5" t="inlineStr">
        <x:is>
          <x:t xml:space="preserve">전설</x:t>
        </x:is>
      </x:c>
      <x:c r="AA806" s="5" t="inlineStr">
        <x:is>
          <x:t xml:space="preserve">전설</x:t>
        </x:is>
      </x:c>
      <x:c r="AB806" s="5" t="inlineStr">
        <x:is>
          <x:t xml:space="preserve">동굴</x:t>
        </x:is>
      </x:c>
      <x:c r="AC806" s="5" t="inlineStr">
        <x:is>
          <x:t xml:space="preserve">gen7; mythical</x:t>
        </x:is>
      </x:c>
      <x:c r="AD806" s="5" t="inlineStr">
        <x:is>
          <x:t xml:space="preserve">.tmp/cobblemon-1.7.3-source/common/src/main/resources/data/cobblemon/species/generation7/marshadow.json</x:t>
        </x:is>
      </x:c>
    </x:row>
    <x:row r="807" ht="22" customHeight="1">
      <x:c r="A807" s="5" t="n">
        <x:v>803</x:v>
      </x:c>
      <x:c r="B807" s="5" t="inlineStr">
        <x:is>
          <x:t xml:space="preserve">베베놈</x:t>
        </x:is>
      </x:c>
      <x:c r="C807" s="5" t="inlineStr">
        <x:is>
          <x:t xml:space="preserve">poipole</x:t>
        </x:is>
      </x:c>
      <x:c r="D807" s="5" t="inlineStr">
        <x:is>
          <x:t xml:space="preserve">Poipole</x:t>
        </x:is>
      </x:c>
      <x:c r="E807" s="5" t="n">
        <x:v>7</x:v>
      </x:c>
      <x:c r="F807" s="5" t="inlineStr">
        <x:is>
          <x:t xml:space="preserve">독</x:t>
        </x:is>
      </x:c>
      <x:c r="G807" s="5" t="inlineStr">
        <x:is>
          <x:t xml:space="preserve"/>
        </x:is>
      </x:c>
      <x:c r="H807" s="5" t="n">
        <x:v>0.6</x:v>
      </x:c>
      <x:c r="I807" s="5" t="n">
        <x:v>1.8</x:v>
      </x:c>
      <x:c r="J807" s="5" t="n">
        <x:v>420</x:v>
      </x:c>
      <x:c r="K807" s="5" t="n">
        <x:v>45</x:v>
      </x:c>
      <x:c r="L807" s="5" t="inlineStr">
        <x:is>
          <x:t xml:space="preserve">기본</x:t>
        </x:is>
      </x:c>
      <x:c r="M807" s="5" t="n"/>
      <x:c r="N807" s="5" t="inlineStr">
        <x:is>
          <x:t xml:space="preserve">특수</x:t>
        </x:is>
      </x:c>
      <x:c r="O807" s="5" t="inlineStr">
        <x:is>
          <x:t xml:space="preserve">예</x:t>
        </x:is>
      </x:c>
      <x:c r="P807" s="5" t="inlineStr">
        <x:is>
          <x:t xml:space="preserve">#cobblemon:is_end</x:t>
        </x:is>
      </x:c>
      <x:c r="Q807" s="5" t="inlineStr">
        <x:is>
          <x:t xml:space="preserve">ultra-rare</x:t>
        </x:is>
      </x:c>
      <x:c r="R807" s="5" t="inlineStr">
        <x:is>
          <x:t xml:space="preserve"/>
        </x:is>
      </x:c>
      <x:c r="S807" s="5" t="inlineStr">
        <x:is>
          <x:t xml:space="preserve"/>
        </x:is>
      </x:c>
      <x:c r="T807" s="5" t="inlineStr">
        <x:is>
          <x:t xml:space="preserve">비행</x:t>
        </x:is>
      </x:c>
      <x:c r="U807" s="5" t="inlineStr">
        <x:is>
          <x:t xml:space="preserve">개활지</x:t>
        </x:is>
      </x:c>
      <x:c r="V807" s="5" t="inlineStr">
        <x:is>
          <x:t xml:space="preserve">온대</x:t>
        </x:is>
      </x:c>
      <x:c r="W807" s="5" t="inlineStr">
        <x:is>
          <x:t xml:space="preserve">보통</x:t>
        </x:is>
      </x:c>
      <x:c r="X807" s="5" t="inlineStr">
        <x:is>
          <x:t xml:space="preserve">무관</x:t>
        </x:is>
      </x:c>
      <x:c r="Y807" s="5" t="inlineStr">
        <x:is>
          <x:t xml:space="preserve">무관</x:t>
        </x:is>
      </x:c>
      <x:c r="Z807" s="5" t="inlineStr">
        <x:is>
          <x:t xml:space="preserve">전설</x:t>
        </x:is>
      </x:c>
      <x:c r="AA807" s="5" t="inlineStr">
        <x:is>
          <x:t xml:space="preserve">전설</x:t>
        </x:is>
      </x:c>
      <x:c r="AB807" s="5" t="inlineStr">
        <x:is>
          <x:t xml:space="preserve"/>
        </x:is>
      </x:c>
      <x:c r="AC807" s="5" t="inlineStr">
        <x:is>
          <x:t xml:space="preserve">gen7; ultra_beast</x:t>
        </x:is>
      </x:c>
      <x:c r="AD807" s="5" t="inlineStr">
        <x:is>
          <x:t xml:space="preserve">.tmp/cobblemon-1.7.3-source/common/src/main/resources/data/cobblemon/species/generation7/poipole.json</x:t>
        </x:is>
      </x:c>
    </x:row>
    <x:row r="808" ht="22" customHeight="1">
      <x:c r="A808" s="5" t="n">
        <x:v>804</x:v>
      </x:c>
      <x:c r="B808" s="5" t="inlineStr">
        <x:is>
          <x:t xml:space="preserve">아고용</x:t>
        </x:is>
      </x:c>
      <x:c r="C808" s="5" t="inlineStr">
        <x:is>
          <x:t xml:space="preserve">naganadel</x:t>
        </x:is>
      </x:c>
      <x:c r="D808" s="5" t="inlineStr">
        <x:is>
          <x:t xml:space="preserve">Naganadel</x:t>
        </x:is>
      </x:c>
      <x:c r="E808" s="5" t="n">
        <x:v>7</x:v>
      </x:c>
      <x:c r="F808" s="5" t="inlineStr">
        <x:is>
          <x:t xml:space="preserve">독</x:t>
        </x:is>
      </x:c>
      <x:c r="G808" s="5" t="inlineStr">
        <x:is>
          <x:t xml:space="preserve">드래곤</x:t>
        </x:is>
      </x:c>
      <x:c r="H808" s="5" t="n">
        <x:v>3.6</x:v>
      </x:c>
      <x:c r="I808" s="5" t="n">
        <x:v>150</x:v>
      </x:c>
      <x:c r="J808" s="5" t="n">
        <x:v>540</x:v>
      </x:c>
      <x:c r="K808" s="5" t="n">
        <x:v>45</x:v>
      </x:c>
      <x:c r="L808" s="5" t="inlineStr">
        <x:is>
          <x:t xml:space="preserve">최종</x:t>
        </x:is>
      </x:c>
      <x:c r="M808" s="5" t="n"/>
      <x:c r="N808" s="5" t="inlineStr">
        <x:is>
          <x:t xml:space="preserve">특수</x:t>
        </x:is>
      </x:c>
      <x:c r="O808" s="5" t="inlineStr">
        <x:is>
          <x:t xml:space="preserve">예</x:t>
        </x:is>
      </x:c>
      <x:c r="P808" s="5" t="inlineStr">
        <x:is>
          <x:t xml:space="preserve">#minecraft:is_end</x:t>
        </x:is>
      </x:c>
      <x:c r="Q808" s="5" t="inlineStr">
        <x:is>
          <x:t xml:space="preserve">ultra-rare</x:t>
        </x:is>
      </x:c>
      <x:c r="R808" s="5" t="inlineStr">
        <x:is>
          <x:t xml:space="preserve"/>
        </x:is>
      </x:c>
      <x:c r="S808" s="5" t="inlineStr">
        <x:is>
          <x:t xml:space="preserve"/>
        </x:is>
      </x:c>
      <x:c r="T808" s="5" t="inlineStr">
        <x:is>
          <x:t xml:space="preserve">비행</x:t>
        </x:is>
      </x:c>
      <x:c r="U808" s="5" t="inlineStr">
        <x:is>
          <x:t xml:space="preserve">개활지</x:t>
        </x:is>
      </x:c>
      <x:c r="V808" s="5" t="inlineStr">
        <x:is>
          <x:t xml:space="preserve">온대</x:t>
        </x:is>
      </x:c>
      <x:c r="W808" s="5" t="inlineStr">
        <x:is>
          <x:t xml:space="preserve">보통</x:t>
        </x:is>
      </x:c>
      <x:c r="X808" s="5" t="inlineStr">
        <x:is>
          <x:t xml:space="preserve">무관</x:t>
        </x:is>
      </x:c>
      <x:c r="Y808" s="5" t="inlineStr">
        <x:is>
          <x:t xml:space="preserve">무관</x:t>
        </x:is>
      </x:c>
      <x:c r="Z808" s="5" t="inlineStr">
        <x:is>
          <x:t xml:space="preserve">전설</x:t>
        </x:is>
      </x:c>
      <x:c r="AA808" s="5" t="inlineStr">
        <x:is>
          <x:t xml:space="preserve">전설</x:t>
        </x:is>
      </x:c>
      <x:c r="AB808" s="5" t="inlineStr">
        <x:is>
          <x:t xml:space="preserve"/>
        </x:is>
      </x:c>
      <x:c r="AC808" s="5" t="inlineStr">
        <x:is>
          <x:t xml:space="preserve">gen7; ultra_beast</x:t>
        </x:is>
      </x:c>
      <x:c r="AD808" s="5" t="inlineStr">
        <x:is>
          <x:t xml:space="preserve">.tmp/cobblemon-1.7.3-source/common/src/main/resources/data/cobblemon/species/generation7/naganadel.json</x:t>
        </x:is>
      </x:c>
    </x:row>
    <x:row r="809" ht="22" customHeight="1">
      <x:c r="A809" s="5" t="n">
        <x:v>805</x:v>
      </x:c>
      <x:c r="B809" s="5" t="inlineStr">
        <x:is>
          <x:t xml:space="preserve">차곡차곡</x:t>
        </x:is>
      </x:c>
      <x:c r="C809" s="5" t="inlineStr">
        <x:is>
          <x:t xml:space="preserve">stakataka</x:t>
        </x:is>
      </x:c>
      <x:c r="D809" s="5" t="inlineStr">
        <x:is>
          <x:t xml:space="preserve">Stakataka</x:t>
        </x:is>
      </x:c>
      <x:c r="E809" s="5" t="n">
        <x:v>7</x:v>
      </x:c>
      <x:c r="F809" s="5" t="inlineStr">
        <x:is>
          <x:t xml:space="preserve">바위</x:t>
        </x:is>
      </x:c>
      <x:c r="G809" s="5" t="inlineStr">
        <x:is>
          <x:t xml:space="preserve">강철</x:t>
        </x:is>
      </x:c>
      <x:c r="H809" s="5" t="n">
        <x:v>5.5</x:v>
      </x:c>
      <x:c r="I809" s="5" t="n">
        <x:v>820</x:v>
      </x:c>
      <x:c r="J809" s="5" t="n">
        <x:v>570</x:v>
      </x:c>
      <x:c r="K809" s="5" t="n">
        <x:v>30</x:v>
      </x:c>
      <x:c r="L809" s="5" t="inlineStr">
        <x:is>
          <x:t xml:space="preserve">무진화</x:t>
        </x:is>
      </x:c>
      <x:c r="M809" s="5" t="n"/>
      <x:c r="N809" s="5" t="inlineStr">
        <x:is>
          <x:t xml:space="preserve">없음</x:t>
        </x:is>
      </x:c>
      <x:c r="O809" s="5" t="inlineStr">
        <x:is>
          <x:t xml:space="preserve">아니오</x:t>
        </x:is>
      </x:c>
      <x:c r="P809" s="5" t="inlineStr">
        <x:is>
          <x:t xml:space="preserve">minecraft:deep_dark</x:t>
        </x:is>
      </x:c>
      <x:c r="Q809" s="5" t="inlineStr">
        <x:is>
          <x:t xml:space="preserve">ultra-rare</x:t>
        </x:is>
      </x:c>
      <x:c r="R809" s="5" t="inlineStr">
        <x:is>
          <x:t xml:space="preserve"/>
        </x:is>
      </x:c>
      <x:c r="S809" s="5" t="inlineStr">
        <x:is>
          <x:t xml:space="preserve"/>
        </x:is>
      </x:c>
      <x:c r="T809" s="5" t="inlineStr">
        <x:is>
          <x:t xml:space="preserve">지하</x:t>
        </x:is>
      </x:c>
      <x:c r="U809" s="5" t="inlineStr">
        <x:is>
          <x:t xml:space="preserve">동굴</x:t>
        </x:is>
      </x:c>
      <x:c r="V809" s="5" t="inlineStr">
        <x:is>
          <x:t xml:space="preserve">온대</x:t>
        </x:is>
      </x:c>
      <x:c r="W809" s="5" t="inlineStr">
        <x:is>
          <x:t xml:space="preserve">보통</x:t>
        </x:is>
      </x:c>
      <x:c r="X809" s="5" t="inlineStr">
        <x:is>
          <x:t xml:space="preserve">무관</x:t>
        </x:is>
      </x:c>
      <x:c r="Y809" s="5" t="inlineStr">
        <x:is>
          <x:t xml:space="preserve">무관</x:t>
        </x:is>
      </x:c>
      <x:c r="Z809" s="5" t="inlineStr">
        <x:is>
          <x:t xml:space="preserve">전설</x:t>
        </x:is>
      </x:c>
      <x:c r="AA809" s="5" t="inlineStr">
        <x:is>
          <x:t xml:space="preserve">전설</x:t>
        </x:is>
      </x:c>
      <x:c r="AB809" s="5" t="inlineStr">
        <x:is>
          <x:t xml:space="preserve">동굴</x:t>
        </x:is>
      </x:c>
      <x:c r="AC809" s="5" t="inlineStr">
        <x:is>
          <x:t xml:space="preserve">gen7; ultra_beast</x:t>
        </x:is>
      </x:c>
      <x:c r="AD809" s="5" t="inlineStr">
        <x:is>
          <x:t xml:space="preserve">.tmp/cobblemon-1.7.3-source/common/src/main/resources/data/cobblemon/species/generation7/stakataka.json</x:t>
        </x:is>
      </x:c>
    </x:row>
    <x:row r="810" ht="22" customHeight="1">
      <x:c r="A810" s="5" t="n">
        <x:v>806</x:v>
      </x:c>
      <x:c r="B810" s="5" t="inlineStr">
        <x:is>
          <x:t xml:space="preserve">두파팡</x:t>
        </x:is>
      </x:c>
      <x:c r="C810" s="5" t="inlineStr">
        <x:is>
          <x:t xml:space="preserve">blacephalon</x:t>
        </x:is>
      </x:c>
      <x:c r="D810" s="5" t="inlineStr">
        <x:is>
          <x:t xml:space="preserve">Blacephalon</x:t>
        </x:is>
      </x:c>
      <x:c r="E810" s="5" t="n">
        <x:v>7</x:v>
      </x:c>
      <x:c r="F810" s="5" t="inlineStr">
        <x:is>
          <x:t xml:space="preserve">불꽃</x:t>
        </x:is>
      </x:c>
      <x:c r="G810" s="5" t="inlineStr">
        <x:is>
          <x:t xml:space="preserve">고스트</x:t>
        </x:is>
      </x:c>
      <x:c r="H810" s="5" t="n">
        <x:v>1.8</x:v>
      </x:c>
      <x:c r="I810" s="5" t="n">
        <x:v>13</x:v>
      </x:c>
      <x:c r="J810" s="5" t="n">
        <x:v>570</x:v>
      </x:c>
      <x:c r="K810" s="5" t="n">
        <x:v>30</x:v>
      </x:c>
      <x:c r="L810" s="5" t="inlineStr">
        <x:is>
          <x:t xml:space="preserve">무진화</x:t>
        </x:is>
      </x:c>
      <x:c r="M810" s="5" t="n"/>
      <x:c r="N810" s="5" t="inlineStr">
        <x:is>
          <x:t xml:space="preserve">없음</x:t>
        </x:is>
      </x:c>
      <x:c r="O810" s="5" t="inlineStr">
        <x:is>
          <x:t xml:space="preserve">아니오</x:t>
        </x:is>
      </x:c>
      <x:c r="P810" s="5" t="inlineStr">
        <x:is>
          <x:t xml:space="preserve">#cobblemon:is_spooky</x:t>
        </x:is>
      </x:c>
      <x:c r="Q810" s="5" t="inlineStr">
        <x:is>
          <x:t xml:space="preserve">ultra-rare</x:t>
        </x:is>
      </x:c>
      <x:c r="R810" s="5" t="inlineStr">
        <x:is>
          <x:t xml:space="preserve"/>
        </x:is>
      </x:c>
      <x:c r="S810" s="5" t="inlineStr">
        <x:is>
          <x:t xml:space="preserve"/>
        </x:is>
      </x:c>
      <x:c r="T810" s="5" t="inlineStr">
        <x:is>
          <x:t xml:space="preserve">영체</x:t>
        </x:is>
      </x:c>
      <x:c r="U810" s="5" t="inlineStr">
        <x:is>
          <x:t xml:space="preserve">특수</x:t>
        </x:is>
      </x:c>
      <x:c r="V810" s="5" t="inlineStr">
        <x:is>
          <x:t xml:space="preserve">고온</x:t>
        </x:is>
      </x:c>
      <x:c r="W810" s="5" t="inlineStr">
        <x:is>
          <x:t xml:space="preserve">보통</x:t>
        </x:is>
      </x:c>
      <x:c r="X810" s="5" t="inlineStr">
        <x:is>
          <x:t xml:space="preserve">안개</x:t>
        </x:is>
      </x:c>
      <x:c r="Y810" s="5" t="inlineStr">
        <x:is>
          <x:t xml:space="preserve">밤</x:t>
        </x:is>
      </x:c>
      <x:c r="Z810" s="5" t="inlineStr">
        <x:is>
          <x:t xml:space="preserve">전설</x:t>
        </x:is>
      </x:c>
      <x:c r="AA810" s="5" t="inlineStr">
        <x:is>
          <x:t xml:space="preserve">전설</x:t>
        </x:is>
      </x:c>
      <x:c r="AB810" s="5" t="inlineStr">
        <x:is>
          <x:t xml:space="preserve">특수</x:t>
        </x:is>
      </x:c>
      <x:c r="AC810" s="5" t="inlineStr">
        <x:is>
          <x:t xml:space="preserve">gen7; ultra_beast</x:t>
        </x:is>
      </x:c>
      <x:c r="AD810" s="5" t="inlineStr">
        <x:is>
          <x:t xml:space="preserve">.tmp/cobblemon-1.7.3-source/common/src/main/resources/data/cobblemon/species/generation7/blacephalon.json</x:t>
        </x:is>
      </x:c>
    </x:row>
    <x:row r="811" ht="22" customHeight="1">
      <x:c r="A811" s="5" t="n">
        <x:v>807</x:v>
      </x:c>
      <x:c r="B811" s="5" t="inlineStr">
        <x:is>
          <x:t xml:space="preserve">제라오라</x:t>
        </x:is>
      </x:c>
      <x:c r="C811" s="5" t="inlineStr">
        <x:is>
          <x:t xml:space="preserve">zeraora</x:t>
        </x:is>
      </x:c>
      <x:c r="D811" s="5" t="inlineStr">
        <x:is>
          <x:t xml:space="preserve">Zeraora</x:t>
        </x:is>
      </x:c>
      <x:c r="E811" s="5" t="n">
        <x:v>7</x:v>
      </x:c>
      <x:c r="F811" s="5" t="inlineStr">
        <x:is>
          <x:t xml:space="preserve">전기</x:t>
        </x:is>
      </x:c>
      <x:c r="G811" s="5" t="inlineStr">
        <x:is>
          <x:t xml:space="preserve"/>
        </x:is>
      </x:c>
      <x:c r="H811" s="5" t="n">
        <x:v>1.5</x:v>
      </x:c>
      <x:c r="I811" s="5" t="n">
        <x:v>44.5</x:v>
      </x:c>
      <x:c r="J811" s="5" t="n">
        <x:v>600</x:v>
      </x:c>
      <x:c r="K811" s="5" t="n">
        <x:v>3</x:v>
      </x:c>
      <x:c r="L811" s="5" t="inlineStr">
        <x:is>
          <x:t xml:space="preserve">무진화</x:t>
        </x:is>
      </x:c>
      <x:c r="M811" s="5" t="n"/>
      <x:c r="N811" s="5" t="inlineStr">
        <x:is>
          <x:t xml:space="preserve">없음</x:t>
        </x:is>
      </x:c>
      <x:c r="O811" s="5" t="inlineStr">
        <x:is>
          <x:t xml:space="preserve">아니오</x:t>
        </x:is>
      </x:c>
      <x:c r="P811" s="5" t="inlineStr">
        <x:is>
          <x:t xml:space="preserve">#cobblemon:is_badlands; #minecraft:is_forest</x:t>
        </x:is>
      </x:c>
      <x:c r="Q811" s="5" t="inlineStr">
        <x:is>
          <x:t xml:space="preserve">ultra-rare</x:t>
        </x:is>
      </x:c>
      <x:c r="R811" s="5" t="inlineStr">
        <x:is>
          <x:t xml:space="preserve"/>
        </x:is>
      </x:c>
      <x:c r="S811" s="5" t="inlineStr">
        <x:is>
          <x:t xml:space="preserve"/>
        </x:is>
      </x:c>
      <x:c r="T811" s="5" t="inlineStr">
        <x:is>
          <x:t xml:space="preserve">육상</x:t>
        </x:is>
      </x:c>
      <x:c r="U811" s="5" t="inlineStr">
        <x:is>
          <x:t xml:space="preserve">건조</x:t>
        </x:is>
      </x:c>
      <x:c r="V811" s="5" t="inlineStr">
        <x:is>
          <x:t xml:space="preserve">고온</x:t>
        </x:is>
      </x:c>
      <x:c r="W811" s="5" t="inlineStr">
        <x:is>
          <x:t xml:space="preserve">건조</x:t>
        </x:is>
      </x:c>
      <x:c r="X811" s="5" t="inlineStr">
        <x:is>
          <x:t xml:space="preserve">맑음</x:t>
        </x:is>
      </x:c>
      <x:c r="Y811" s="5" t="inlineStr">
        <x:is>
          <x:t xml:space="preserve">무관</x:t>
        </x:is>
      </x:c>
      <x:c r="Z811" s="5" t="inlineStr">
        <x:is>
          <x:t xml:space="preserve">전설</x:t>
        </x:is>
      </x:c>
      <x:c r="AA811" s="5" t="inlineStr">
        <x:is>
          <x:t xml:space="preserve">전설</x:t>
        </x:is>
      </x:c>
      <x:c r="AB811" s="5" t="inlineStr">
        <x:is>
          <x:t xml:space="preserve">건조지</x:t>
        </x:is>
      </x:c>
      <x:c r="AC811" s="5" t="inlineStr">
        <x:is>
          <x:t xml:space="preserve">gen7; mythical</x:t>
        </x:is>
      </x:c>
      <x:c r="AD811" s="5" t="inlineStr">
        <x:is>
          <x:t xml:space="preserve">.tmp/cobblemon-1.7.3-source/common/src/main/resources/data/cobblemon/species/generation7/zeraora.json</x:t>
        </x:is>
      </x:c>
    </x:row>
    <x:row r="812" ht="22" customHeight="1">
      <x:c r="A812" s="5" t="n">
        <x:v>808</x:v>
      </x:c>
      <x:c r="B812" s="5" t="inlineStr">
        <x:is>
          <x:t xml:space="preserve">멜탄</x:t>
        </x:is>
      </x:c>
      <x:c r="C812" s="5" t="inlineStr">
        <x:is>
          <x:t xml:space="preserve">meltan</x:t>
        </x:is>
      </x:c>
      <x:c r="D812" s="5" t="inlineStr">
        <x:is>
          <x:t xml:space="preserve">Meltan</x:t>
        </x:is>
      </x:c>
      <x:c r="E812" s="5" t="n">
        <x:v>7</x:v>
      </x:c>
      <x:c r="F812" s="5" t="inlineStr">
        <x:is>
          <x:t xml:space="preserve">강철</x:t>
        </x:is>
      </x:c>
      <x:c r="G812" s="5" t="inlineStr">
        <x:is>
          <x:t xml:space="preserve"/>
        </x:is>
      </x:c>
      <x:c r="H812" s="5" t="n">
        <x:v>0.2</x:v>
      </x:c>
      <x:c r="I812" s="5" t="n">
        <x:v>8</x:v>
      </x:c>
      <x:c r="J812" s="5" t="n">
        <x:v>300</x:v>
      </x:c>
      <x:c r="K812" s="5" t="n">
        <x:v>3</x:v>
      </x:c>
      <x:c r="L812" s="5" t="inlineStr">
        <x:is>
          <x:t xml:space="preserve">무진화</x:t>
        </x:is>
      </x:c>
      <x:c r="M812" s="5" t="n"/>
      <x:c r="N812" s="5" t="inlineStr">
        <x:is>
          <x:t xml:space="preserve">없음</x:t>
        </x:is>
      </x:c>
      <x:c r="O812" s="5" t="inlineStr">
        <x:is>
          <x:t xml:space="preserve">아니오</x:t>
        </x:is>
      </x:c>
      <x:c r="P812" s="5" t="inlineStr">
        <x:is>
          <x:t xml:space="preserve">#cobblemon:is_overworld; minecraft:beach</x:t>
        </x:is>
      </x:c>
      <x:c r="Q812" s="5" t="inlineStr">
        <x:is>
          <x:t xml:space="preserve">ultra-rare</x:t>
        </x:is>
      </x:c>
      <x:c r="R812" s="5" t="inlineStr">
        <x:is>
          <x:t xml:space="preserve"/>
        </x:is>
      </x:c>
      <x:c r="S812" s="5" t="inlineStr">
        <x:is>
          <x:t xml:space="preserve"/>
        </x:is>
      </x:c>
      <x:c r="T812" s="5" t="inlineStr">
        <x:is>
          <x:t xml:space="preserve">인공</x:t>
        </x:is>
      </x:c>
      <x:c r="U812" s="5" t="inlineStr">
        <x:is>
          <x:t xml:space="preserve">해안·해양</x:t>
        </x:is>
      </x:c>
      <x:c r="V812" s="5" t="inlineStr">
        <x:is>
          <x:t xml:space="preserve">온대</x:t>
        </x:is>
      </x:c>
      <x:c r="W812" s="5" t="inlineStr">
        <x:is>
          <x:t xml:space="preserve">보통</x:t>
        </x:is>
      </x:c>
      <x:c r="X812" s="5" t="inlineStr">
        <x:is>
          <x:t xml:space="preserve">비</x:t>
        </x:is>
      </x:c>
      <x:c r="Y812" s="5" t="inlineStr">
        <x:is>
          <x:t xml:space="preserve">무관</x:t>
        </x:is>
      </x:c>
      <x:c r="Z812" s="5" t="inlineStr">
        <x:is>
          <x:t xml:space="preserve">전설</x:t>
        </x:is>
      </x:c>
      <x:c r="AA812" s="5" t="inlineStr">
        <x:is>
          <x:t xml:space="preserve">전설</x:t>
        </x:is>
      </x:c>
      <x:c r="AB812" s="5" t="inlineStr">
        <x:is>
          <x:t xml:space="preserve">해양</x:t>
        </x:is>
      </x:c>
      <x:c r="AC812" s="5" t="inlineStr">
        <x:is>
          <x:t xml:space="preserve">gen7b; mythical</x:t>
        </x:is>
      </x:c>
      <x:c r="AD812" s="5" t="inlineStr">
        <x:is>
          <x:t xml:space="preserve">.tmp/cobblemon-1.7.3-source/common/src/main/resources/data/cobblemon/species/generation7b/meltan.json</x:t>
        </x:is>
      </x:c>
    </x:row>
    <x:row r="813" ht="22" customHeight="1">
      <x:c r="A813" s="5" t="n">
        <x:v>809</x:v>
      </x:c>
      <x:c r="B813" s="5" t="inlineStr">
        <x:is>
          <x:t xml:space="preserve">멜메탈</x:t>
        </x:is>
      </x:c>
      <x:c r="C813" s="5" t="inlineStr">
        <x:is>
          <x:t xml:space="preserve">melmetal</x:t>
        </x:is>
      </x:c>
      <x:c r="D813" s="5" t="inlineStr">
        <x:is>
          <x:t xml:space="preserve">Melmetal</x:t>
        </x:is>
      </x:c>
      <x:c r="E813" s="5" t="n">
        <x:v>7</x:v>
      </x:c>
      <x:c r="F813" s="5" t="inlineStr">
        <x:is>
          <x:t xml:space="preserve">강철</x:t>
        </x:is>
      </x:c>
      <x:c r="G813" s="5" t="inlineStr">
        <x:is>
          <x:t xml:space="preserve"/>
        </x:is>
      </x:c>
      <x:c r="H813" s="5" t="n">
        <x:v>2.5</x:v>
      </x:c>
      <x:c r="I813" s="5" t="n">
        <x:v>800</x:v>
      </x:c>
      <x:c r="J813" s="5" t="n">
        <x:v>600</x:v>
      </x:c>
      <x:c r="K813" s="5" t="n">
        <x:v>3</x:v>
      </x:c>
      <x:c r="L813" s="5" t="inlineStr">
        <x:is>
          <x:t xml:space="preserve">무진화</x:t>
        </x:is>
      </x:c>
      <x:c r="M813" s="5" t="n"/>
      <x:c r="N813" s="5" t="inlineStr">
        <x:is>
          <x:t xml:space="preserve">없음</x:t>
        </x:is>
      </x:c>
      <x:c r="O813" s="5" t="inlineStr">
        <x:is>
          <x:t xml:space="preserve">아니오</x:t>
        </x:is>
      </x:c>
      <x:c r="P813" s="5" t="inlineStr">
        <x:is>
          <x:t xml:space="preserve"/>
        </x:is>
      </x:c>
      <x:c r="Q813" s="5" t="inlineStr">
        <x:is>
          <x:t xml:space="preserve"/>
        </x:is>
      </x:c>
      <x:c r="R813" s="5" t="inlineStr">
        <x:is>
          <x:t xml:space="preserve"/>
        </x:is>
      </x:c>
      <x:c r="S813" s="5" t="inlineStr">
        <x:is>
          <x:t xml:space="preserve"/>
        </x:is>
      </x:c>
      <x:c r="T813" s="5" t="inlineStr">
        <x:is>
          <x:t xml:space="preserve">인공</x:t>
        </x:is>
      </x:c>
      <x:c r="U813" s="5" t="inlineStr">
        <x:is>
          <x:t xml:space="preserve">도시</x:t>
        </x:is>
      </x:c>
      <x:c r="V813" s="5" t="inlineStr">
        <x:is>
          <x:t xml:space="preserve">온대</x:t>
        </x:is>
      </x:c>
      <x:c r="W813" s="5" t="inlineStr">
        <x:is>
          <x:t xml:space="preserve">보통</x:t>
        </x:is>
      </x:c>
      <x:c r="X813" s="5" t="inlineStr">
        <x:is>
          <x:t xml:space="preserve">무관</x:t>
        </x:is>
      </x:c>
      <x:c r="Y813" s="5" t="inlineStr">
        <x:is>
          <x:t xml:space="preserve">무관</x:t>
        </x:is>
      </x:c>
      <x:c r="Z813" s="5" t="inlineStr">
        <x:is>
          <x:t xml:space="preserve">전설</x:t>
        </x:is>
      </x:c>
      <x:c r="AA813" s="5" t="inlineStr">
        <x:is>
          <x:t xml:space="preserve">전설</x:t>
        </x:is>
      </x:c>
      <x:c r="AB813" s="5" t="inlineStr">
        <x:is>
          <x:t xml:space="preserve"/>
        </x:is>
      </x:c>
      <x:c r="AC813" s="5" t="inlineStr">
        <x:is>
          <x:t xml:space="preserve">gen7b; mythical</x:t>
        </x:is>
      </x:c>
      <x:c r="AD813" s="5" t="inlineStr">
        <x:is>
          <x:t xml:space="preserve">.tmp/cobblemon-1.7.3-source/common/src/main/resources/data/cobblemon/species/generation7b/melmetal.json</x:t>
        </x:is>
      </x:c>
    </x:row>
    <x:row r="814" ht="22" customHeight="1">
      <x:c r="A814" s="5" t="n">
        <x:v>810</x:v>
      </x:c>
      <x:c r="B814" s="5" t="inlineStr">
        <x:is>
          <x:t xml:space="preserve">흥나숭</x:t>
        </x:is>
      </x:c>
      <x:c r="C814" s="5" t="inlineStr">
        <x:is>
          <x:t xml:space="preserve">grookey</x:t>
        </x:is>
      </x:c>
      <x:c r="D814" s="5" t="inlineStr">
        <x:is>
          <x:t xml:space="preserve">Grookey</x:t>
        </x:is>
      </x:c>
      <x:c r="E814" s="5" t="n">
        <x:v>8</x:v>
      </x:c>
      <x:c r="F814" s="5" t="inlineStr">
        <x:is>
          <x:t xml:space="preserve">풀</x:t>
        </x:is>
      </x:c>
      <x:c r="G814" s="5" t="inlineStr">
        <x:is>
          <x:t xml:space="preserve"/>
        </x:is>
      </x:c>
      <x:c r="H814" s="5" t="n">
        <x:v>0.3</x:v>
      </x:c>
      <x:c r="I814" s="5" t="n">
        <x:v>5</x:v>
      </x:c>
      <x:c r="J814" s="5" t="n">
        <x:v>310</x:v>
      </x:c>
      <x:c r="K814" s="5" t="n">
        <x:v>45</x:v>
      </x:c>
      <x:c r="L814" s="5" t="inlineStr">
        <x:is>
          <x:t xml:space="preserve">기본</x:t>
        </x:is>
      </x:c>
      <x:c r="M814" s="5" t="n">
        <x:v>35</x:v>
      </x:c>
      <x:c r="N814" s="5" t="inlineStr">
        <x:is>
          <x:t xml:space="preserve">레벨</x:t>
        </x:is>
      </x:c>
      <x:c r="O814" s="5" t="inlineStr">
        <x:is>
          <x:t xml:space="preserve">예</x:t>
        </x:is>
      </x:c>
      <x:c r="P814" s="5" t="inlineStr">
        <x:is>
          <x:t xml:space="preserve">#cobblemon:is_jungle; #cobblemon:is_tropical_island</x:t>
        </x:is>
      </x:c>
      <x:c r="Q814" s="5" t="inlineStr">
        <x:is>
          <x:t xml:space="preserve">ultra-rare</x:t>
        </x:is>
      </x:c>
      <x:c r="R814" s="5" t="inlineStr">
        <x:is>
          <x:t xml:space="preserve"/>
        </x:is>
      </x:c>
      <x:c r="S814" s="5" t="inlineStr">
        <x:is>
          <x:t xml:space="preserve"/>
        </x:is>
      </x:c>
      <x:c r="T814" s="5" t="inlineStr">
        <x:is>
          <x:t xml:space="preserve">육상</x:t>
        </x:is>
      </x:c>
      <x:c r="U814" s="5" t="inlineStr">
        <x:is>
          <x:t xml:space="preserve">수목</x:t>
        </x:is>
      </x:c>
      <x:c r="V814" s="5" t="inlineStr">
        <x:is>
          <x:t xml:space="preserve">온대</x:t>
        </x:is>
      </x:c>
      <x:c r="W814" s="5" t="inlineStr">
        <x:is>
          <x:t xml:space="preserve">다습</x:t>
        </x:is>
      </x:c>
      <x:c r="X814" s="5" t="inlineStr">
        <x:is>
          <x:t xml:space="preserve">무관</x:t>
        </x:is>
      </x:c>
      <x:c r="Y814" s="5" t="inlineStr">
        <x:is>
          <x:t xml:space="preserve">무관</x:t>
        </x:is>
      </x:c>
      <x:c r="Z814" s="5" t="inlineStr">
        <x:is>
          <x:t xml:space="preserve">희귀</x:t>
        </x:is>
      </x:c>
      <x:c r="AA814" s="5" t="inlineStr">
        <x:is>
          <x:t xml:space="preserve">없음</x:t>
        </x:is>
      </x:c>
      <x:c r="AB814" s="5" t="inlineStr">
        <x:is>
          <x:t xml:space="preserve">숲</x:t>
        </x:is>
      </x:c>
      <x:c r="AC814" s="5" t="inlineStr">
        <x:is>
          <x:t xml:space="preserve">gen8; starter</x:t>
        </x:is>
      </x:c>
      <x:c r="AD814" s="5" t="inlineStr">
        <x:is>
          <x:t xml:space="preserve">.tmp/cobblemon-1.7.3-source/common/src/main/resources/data/cobblemon/species/generation8/grookey.json</x:t>
        </x:is>
      </x:c>
    </x:row>
    <x:row r="815" ht="22" customHeight="1">
      <x:c r="A815" s="5" t="n">
        <x:v>811</x:v>
      </x:c>
      <x:c r="B815" s="5" t="inlineStr">
        <x:is>
          <x:t xml:space="preserve">채키몽</x:t>
        </x:is>
      </x:c>
      <x:c r="C815" s="5" t="inlineStr">
        <x:is>
          <x:t xml:space="preserve">thwackey</x:t>
        </x:is>
      </x:c>
      <x:c r="D815" s="5" t="inlineStr">
        <x:is>
          <x:t xml:space="preserve">Thwackey</x:t>
        </x:is>
      </x:c>
      <x:c r="E815" s="5" t="n">
        <x:v>8</x:v>
      </x:c>
      <x:c r="F815" s="5" t="inlineStr">
        <x:is>
          <x:t xml:space="preserve">풀</x:t>
        </x:is>
      </x:c>
      <x:c r="G815" s="5" t="inlineStr">
        <x:is>
          <x:t xml:space="preserve"/>
        </x:is>
      </x:c>
      <x:c r="H815" s="5" t="n">
        <x:v>0.7</x:v>
      </x:c>
      <x:c r="I815" s="5" t="n">
        <x:v>14</x:v>
      </x:c>
      <x:c r="J815" s="5" t="n">
        <x:v>420</x:v>
      </x:c>
      <x:c r="K815" s="5" t="n">
        <x:v>45</x:v>
      </x:c>
      <x:c r="L815" s="5" t="inlineStr">
        <x:is>
          <x:t xml:space="preserve">중간</x:t>
        </x:is>
      </x:c>
      <x:c r="M815" s="5" t="n">
        <x:v>35</x:v>
      </x:c>
      <x:c r="N815" s="5" t="inlineStr">
        <x:is>
          <x:t xml:space="preserve">레벨</x:t>
        </x:is>
      </x:c>
      <x:c r="O815" s="5" t="inlineStr">
        <x:is>
          <x:t xml:space="preserve">예</x:t>
        </x:is>
      </x:c>
      <x:c r="P815" s="5" t="inlineStr">
        <x:is>
          <x:t xml:space="preserve">#cobblemon:is_jungle; #cobblemon:is_tropical_island</x:t>
        </x:is>
      </x:c>
      <x:c r="Q815" s="5" t="inlineStr">
        <x:is>
          <x:t xml:space="preserve">ultra-rare</x:t>
        </x:is>
      </x:c>
      <x:c r="R815" s="5" t="inlineStr">
        <x:is>
          <x:t xml:space="preserve"/>
        </x:is>
      </x:c>
      <x:c r="S815" s="5" t="inlineStr">
        <x:is>
          <x:t xml:space="preserve"/>
        </x:is>
      </x:c>
      <x:c r="T815" s="5" t="inlineStr">
        <x:is>
          <x:t xml:space="preserve">육상</x:t>
        </x:is>
      </x:c>
      <x:c r="U815" s="5" t="inlineStr">
        <x:is>
          <x:t xml:space="preserve">수목</x:t>
        </x:is>
      </x:c>
      <x:c r="V815" s="5" t="inlineStr">
        <x:is>
          <x:t xml:space="preserve">온대</x:t>
        </x:is>
      </x:c>
      <x:c r="W815" s="5" t="inlineStr">
        <x:is>
          <x:t xml:space="preserve">다습</x:t>
        </x:is>
      </x:c>
      <x:c r="X815" s="5" t="inlineStr">
        <x:is>
          <x:t xml:space="preserve">무관</x:t>
        </x:is>
      </x:c>
      <x:c r="Y815" s="5" t="inlineStr">
        <x:is>
          <x:t xml:space="preserve">무관</x:t>
        </x:is>
      </x:c>
      <x:c r="Z815" s="5" t="inlineStr">
        <x:is>
          <x:t xml:space="preserve">희귀</x:t>
        </x:is>
      </x:c>
      <x:c r="AA815" s="5" t="inlineStr">
        <x:is>
          <x:t xml:space="preserve">없음</x:t>
        </x:is>
      </x:c>
      <x:c r="AB815" s="5" t="inlineStr">
        <x:is>
          <x:t xml:space="preserve">숲</x:t>
        </x:is>
      </x:c>
      <x:c r="AC815" s="5" t="inlineStr">
        <x:is>
          <x:t xml:space="preserve">gen8</x:t>
        </x:is>
      </x:c>
      <x:c r="AD815" s="5" t="inlineStr">
        <x:is>
          <x:t xml:space="preserve">.tmp/cobblemon-1.7.3-source/common/src/main/resources/data/cobblemon/species/generation8/thwackey.json</x:t>
        </x:is>
      </x:c>
    </x:row>
    <x:row r="816" ht="22" customHeight="1">
      <x:c r="A816" s="5" t="n">
        <x:v>812</x:v>
      </x:c>
      <x:c r="B816" s="5" t="inlineStr">
        <x:is>
          <x:t xml:space="preserve">고릴타</x:t>
        </x:is>
      </x:c>
      <x:c r="C816" s="5" t="inlineStr">
        <x:is>
          <x:t xml:space="preserve">rillaboom</x:t>
        </x:is>
      </x:c>
      <x:c r="D816" s="5" t="inlineStr">
        <x:is>
          <x:t xml:space="preserve">Rillaboom</x:t>
        </x:is>
      </x:c>
      <x:c r="E816" s="5" t="n">
        <x:v>8</x:v>
      </x:c>
      <x:c r="F816" s="5" t="inlineStr">
        <x:is>
          <x:t xml:space="preserve">풀</x:t>
        </x:is>
      </x:c>
      <x:c r="G816" s="5" t="inlineStr">
        <x:is>
          <x:t xml:space="preserve"/>
        </x:is>
      </x:c>
      <x:c r="H816" s="5" t="n">
        <x:v>2.1</x:v>
      </x:c>
      <x:c r="I816" s="5" t="n">
        <x:v>90</x:v>
      </x:c>
      <x:c r="J816" s="5" t="n">
        <x:v>530</x:v>
      </x:c>
      <x:c r="K816" s="5" t="n">
        <x:v>45</x:v>
      </x:c>
      <x:c r="L816" s="5" t="inlineStr">
        <x:is>
          <x:t xml:space="preserve">최종</x:t>
        </x:is>
      </x:c>
      <x:c r="M816" s="5" t="n">
        <x:v>35</x:v>
      </x:c>
      <x:c r="N816" s="5" t="inlineStr">
        <x:is>
          <x:t xml:space="preserve">레벨</x:t>
        </x:is>
      </x:c>
      <x:c r="O816" s="5" t="inlineStr">
        <x:is>
          <x:t xml:space="preserve">예</x:t>
        </x:is>
      </x:c>
      <x:c r="P816" s="5" t="inlineStr">
        <x:is>
          <x:t xml:space="preserve">#cobblemon:is_jungle; #cobblemon:is_tropical_island</x:t>
        </x:is>
      </x:c>
      <x:c r="Q816" s="5" t="inlineStr">
        <x:is>
          <x:t xml:space="preserve">ultra-rare</x:t>
        </x:is>
      </x:c>
      <x:c r="R816" s="5" t="inlineStr">
        <x:is>
          <x:t xml:space="preserve"/>
        </x:is>
      </x:c>
      <x:c r="S816" s="5" t="inlineStr">
        <x:is>
          <x:t xml:space="preserve"/>
        </x:is>
      </x:c>
      <x:c r="T816" s="5" t="inlineStr">
        <x:is>
          <x:t xml:space="preserve">육상</x:t>
        </x:is>
      </x:c>
      <x:c r="U816" s="5" t="inlineStr">
        <x:is>
          <x:t xml:space="preserve">수목</x:t>
        </x:is>
      </x:c>
      <x:c r="V816" s="5" t="inlineStr">
        <x:is>
          <x:t xml:space="preserve">온대</x:t>
        </x:is>
      </x:c>
      <x:c r="W816" s="5" t="inlineStr">
        <x:is>
          <x:t xml:space="preserve">다습</x:t>
        </x:is>
      </x:c>
      <x:c r="X816" s="5" t="inlineStr">
        <x:is>
          <x:t xml:space="preserve">무관</x:t>
        </x:is>
      </x:c>
      <x:c r="Y816" s="5" t="inlineStr">
        <x:is>
          <x:t xml:space="preserve">무관</x:t>
        </x:is>
      </x:c>
      <x:c r="Z816" s="5" t="inlineStr">
        <x:is>
          <x:t xml:space="preserve">희귀</x:t>
        </x:is>
      </x:c>
      <x:c r="AA816" s="5" t="inlineStr">
        <x:is>
          <x:t xml:space="preserve">없음</x:t>
        </x:is>
      </x:c>
      <x:c r="AB816" s="5" t="inlineStr">
        <x:is>
          <x:t xml:space="preserve">숲</x:t>
        </x:is>
      </x:c>
      <x:c r="AC816" s="5" t="inlineStr">
        <x:is>
          <x:t xml:space="preserve">gen8</x:t>
        </x:is>
      </x:c>
      <x:c r="AD816" s="5" t="inlineStr">
        <x:is>
          <x:t xml:space="preserve">.tmp/cobblemon-1.7.3-source/common/src/main/resources/data/cobblemon/species/generation8/rillaboom.json</x:t>
        </x:is>
      </x:c>
    </x:row>
    <x:row r="817" ht="22" customHeight="1">
      <x:c r="A817" s="5" t="n">
        <x:v>813</x:v>
      </x:c>
      <x:c r="B817" s="5" t="inlineStr">
        <x:is>
          <x:t xml:space="preserve">염버니</x:t>
        </x:is>
      </x:c>
      <x:c r="C817" s="5" t="inlineStr">
        <x:is>
          <x:t xml:space="preserve">scorbunny</x:t>
        </x:is>
      </x:c>
      <x:c r="D817" s="5" t="inlineStr">
        <x:is>
          <x:t xml:space="preserve">Scorbunny</x:t>
        </x:is>
      </x:c>
      <x:c r="E817" s="5" t="n">
        <x:v>8</x:v>
      </x:c>
      <x:c r="F817" s="5" t="inlineStr">
        <x:is>
          <x:t xml:space="preserve">불꽃</x:t>
        </x:is>
      </x:c>
      <x:c r="G817" s="5" t="inlineStr">
        <x:is>
          <x:t xml:space="preserve"/>
        </x:is>
      </x:c>
      <x:c r="H817" s="5" t="n">
        <x:v>0.3</x:v>
      </x:c>
      <x:c r="I817" s="5" t="n">
        <x:v>4.5</x:v>
      </x:c>
      <x:c r="J817" s="5" t="n">
        <x:v>310</x:v>
      </x:c>
      <x:c r="K817" s="5" t="n">
        <x:v>45</x:v>
      </x:c>
      <x:c r="L817" s="5" t="inlineStr">
        <x:is>
          <x:t xml:space="preserve">기본</x:t>
        </x:is>
      </x:c>
      <x:c r="M817" s="5" t="n">
        <x:v>35</x:v>
      </x:c>
      <x:c r="N817" s="5" t="inlineStr">
        <x:is>
          <x:t xml:space="preserve">레벨</x:t>
        </x:is>
      </x:c>
      <x:c r="O817" s="5" t="inlineStr">
        <x:is>
          <x:t xml:space="preserve">예</x:t>
        </x:is>
      </x:c>
      <x:c r="P817" s="5" t="inlineStr">
        <x:is>
          <x:t xml:space="preserve">#cobblemon:is_grassland; aether:skyroot_grove; aether:skyroot_meadow</x:t>
        </x:is>
      </x:c>
      <x:c r="Q817" s="5" t="inlineStr">
        <x:is>
          <x:t xml:space="preserve">ultra-rare</x:t>
        </x:is>
      </x:c>
      <x:c r="R817" s="5" t="inlineStr">
        <x:is>
          <x:t xml:space="preserve"/>
        </x:is>
      </x:c>
      <x:c r="S817" s="5" t="inlineStr">
        <x:is>
          <x:t xml:space="preserve"/>
        </x:is>
      </x:c>
      <x:c r="T817" s="5" t="inlineStr">
        <x:is>
          <x:t xml:space="preserve">육상</x:t>
        </x:is>
      </x:c>
      <x:c r="U817" s="5" t="inlineStr">
        <x:is>
          <x:t xml:space="preserve">개활지</x:t>
        </x:is>
      </x:c>
      <x:c r="V817" s="5" t="inlineStr">
        <x:is>
          <x:t xml:space="preserve">고온</x:t>
        </x:is>
      </x:c>
      <x:c r="W817" s="5" t="inlineStr">
        <x:is>
          <x:t xml:space="preserve">보통</x:t>
        </x:is>
      </x:c>
      <x:c r="X817" s="5" t="inlineStr">
        <x:is>
          <x:t xml:space="preserve">무관</x:t>
        </x:is>
      </x:c>
      <x:c r="Y817" s="5" t="inlineStr">
        <x:is>
          <x:t xml:space="preserve">무관</x:t>
        </x:is>
      </x:c>
      <x:c r="Z817" s="5" t="inlineStr">
        <x:is>
          <x:t xml:space="preserve">희귀</x:t>
        </x:is>
      </x:c>
      <x:c r="AA817" s="5" t="inlineStr">
        <x:is>
          <x:t xml:space="preserve">없음</x:t>
        </x:is>
      </x:c>
      <x:c r="AB817" s="5" t="inlineStr">
        <x:is>
          <x:t xml:space="preserve">평원</x:t>
        </x:is>
      </x:c>
      <x:c r="AC817" s="5" t="inlineStr">
        <x:is>
          <x:t xml:space="preserve">gen8; starter</x:t>
        </x:is>
      </x:c>
      <x:c r="AD817" s="5" t="inlineStr">
        <x:is>
          <x:t xml:space="preserve">.tmp/cobblemon-1.7.3-source/common/src/main/resources/data/cobblemon/species/generation8/scorbunny.json</x:t>
        </x:is>
      </x:c>
    </x:row>
    <x:row r="818" ht="22" customHeight="1">
      <x:c r="A818" s="5" t="n">
        <x:v>814</x:v>
      </x:c>
      <x:c r="B818" s="5" t="inlineStr">
        <x:is>
          <x:t xml:space="preserve">래비풋</x:t>
        </x:is>
      </x:c>
      <x:c r="C818" s="5" t="inlineStr">
        <x:is>
          <x:t xml:space="preserve">raboot</x:t>
        </x:is>
      </x:c>
      <x:c r="D818" s="5" t="inlineStr">
        <x:is>
          <x:t xml:space="preserve">Raboot</x:t>
        </x:is>
      </x:c>
      <x:c r="E818" s="5" t="n">
        <x:v>8</x:v>
      </x:c>
      <x:c r="F818" s="5" t="inlineStr">
        <x:is>
          <x:t xml:space="preserve">불꽃</x:t>
        </x:is>
      </x:c>
      <x:c r="G818" s="5" t="inlineStr">
        <x:is>
          <x:t xml:space="preserve"/>
        </x:is>
      </x:c>
      <x:c r="H818" s="5" t="n">
        <x:v>0.6</x:v>
      </x:c>
      <x:c r="I818" s="5" t="n">
        <x:v>9</x:v>
      </x:c>
      <x:c r="J818" s="5" t="n">
        <x:v>420</x:v>
      </x:c>
      <x:c r="K818" s="5" t="n">
        <x:v>45</x:v>
      </x:c>
      <x:c r="L818" s="5" t="inlineStr">
        <x:is>
          <x:t xml:space="preserve">중간</x:t>
        </x:is>
      </x:c>
      <x:c r="M818" s="5" t="n">
        <x:v>35</x:v>
      </x:c>
      <x:c r="N818" s="5" t="inlineStr">
        <x:is>
          <x:t xml:space="preserve">레벨</x:t>
        </x:is>
      </x:c>
      <x:c r="O818" s="5" t="inlineStr">
        <x:is>
          <x:t xml:space="preserve">예</x:t>
        </x:is>
      </x:c>
      <x:c r="P818" s="5" t="inlineStr">
        <x:is>
          <x:t xml:space="preserve">#cobblemon:is_grassland; aether:skyroot_grove; aether:skyroot_meadow</x:t>
        </x:is>
      </x:c>
      <x:c r="Q818" s="5" t="inlineStr">
        <x:is>
          <x:t xml:space="preserve">ultra-rare</x:t>
        </x:is>
      </x:c>
      <x:c r="R818" s="5" t="inlineStr">
        <x:is>
          <x:t xml:space="preserve"/>
        </x:is>
      </x:c>
      <x:c r="S818" s="5" t="inlineStr">
        <x:is>
          <x:t xml:space="preserve"/>
        </x:is>
      </x:c>
      <x:c r="T818" s="5" t="inlineStr">
        <x:is>
          <x:t xml:space="preserve">육상</x:t>
        </x:is>
      </x:c>
      <x:c r="U818" s="5" t="inlineStr">
        <x:is>
          <x:t xml:space="preserve">개활지</x:t>
        </x:is>
      </x:c>
      <x:c r="V818" s="5" t="inlineStr">
        <x:is>
          <x:t xml:space="preserve">고온</x:t>
        </x:is>
      </x:c>
      <x:c r="W818" s="5" t="inlineStr">
        <x:is>
          <x:t xml:space="preserve">보통</x:t>
        </x:is>
      </x:c>
      <x:c r="X818" s="5" t="inlineStr">
        <x:is>
          <x:t xml:space="preserve">무관</x:t>
        </x:is>
      </x:c>
      <x:c r="Y818" s="5" t="inlineStr">
        <x:is>
          <x:t xml:space="preserve">무관</x:t>
        </x:is>
      </x:c>
      <x:c r="Z818" s="5" t="inlineStr">
        <x:is>
          <x:t xml:space="preserve">희귀</x:t>
        </x:is>
      </x:c>
      <x:c r="AA818" s="5" t="inlineStr">
        <x:is>
          <x:t xml:space="preserve">없음</x:t>
        </x:is>
      </x:c>
      <x:c r="AB818" s="5" t="inlineStr">
        <x:is>
          <x:t xml:space="preserve">평원</x:t>
        </x:is>
      </x:c>
      <x:c r="AC818" s="5" t="inlineStr">
        <x:is>
          <x:t xml:space="preserve">gen8</x:t>
        </x:is>
      </x:c>
      <x:c r="AD818" s="5" t="inlineStr">
        <x:is>
          <x:t xml:space="preserve">.tmp/cobblemon-1.7.3-source/common/src/main/resources/data/cobblemon/species/generation8/raboot.json</x:t>
        </x:is>
      </x:c>
    </x:row>
    <x:row r="819" ht="22" customHeight="1">
      <x:c r="A819" s="5" t="n">
        <x:v>815</x:v>
      </x:c>
      <x:c r="B819" s="5" t="inlineStr">
        <x:is>
          <x:t xml:space="preserve">에이스번</x:t>
        </x:is>
      </x:c>
      <x:c r="C819" s="5" t="inlineStr">
        <x:is>
          <x:t xml:space="preserve">cinderace</x:t>
        </x:is>
      </x:c>
      <x:c r="D819" s="5" t="inlineStr">
        <x:is>
          <x:t xml:space="preserve">Cinderace</x:t>
        </x:is>
      </x:c>
      <x:c r="E819" s="5" t="n">
        <x:v>8</x:v>
      </x:c>
      <x:c r="F819" s="5" t="inlineStr">
        <x:is>
          <x:t xml:space="preserve">불꽃</x:t>
        </x:is>
      </x:c>
      <x:c r="G819" s="5" t="inlineStr">
        <x:is>
          <x:t xml:space="preserve"/>
        </x:is>
      </x:c>
      <x:c r="H819" s="5" t="n">
        <x:v>1.4</x:v>
      </x:c>
      <x:c r="I819" s="5" t="n">
        <x:v>33</x:v>
      </x:c>
      <x:c r="J819" s="5" t="n">
        <x:v>530</x:v>
      </x:c>
      <x:c r="K819" s="5" t="n">
        <x:v>45</x:v>
      </x:c>
      <x:c r="L819" s="5" t="inlineStr">
        <x:is>
          <x:t xml:space="preserve">최종</x:t>
        </x:is>
      </x:c>
      <x:c r="M819" s="5" t="n">
        <x:v>35</x:v>
      </x:c>
      <x:c r="N819" s="5" t="inlineStr">
        <x:is>
          <x:t xml:space="preserve">레벨</x:t>
        </x:is>
      </x:c>
      <x:c r="O819" s="5" t="inlineStr">
        <x:is>
          <x:t xml:space="preserve">예</x:t>
        </x:is>
      </x:c>
      <x:c r="P819" s="5" t="inlineStr">
        <x:is>
          <x:t xml:space="preserve">#cobblemon:is_grassland; aether:skyroot_grove; aether:skyroot_meadow</x:t>
        </x:is>
      </x:c>
      <x:c r="Q819" s="5" t="inlineStr">
        <x:is>
          <x:t xml:space="preserve">ultra-rare</x:t>
        </x:is>
      </x:c>
      <x:c r="R819" s="5" t="inlineStr">
        <x:is>
          <x:t xml:space="preserve"/>
        </x:is>
      </x:c>
      <x:c r="S819" s="5" t="inlineStr">
        <x:is>
          <x:t xml:space="preserve"/>
        </x:is>
      </x:c>
      <x:c r="T819" s="5" t="inlineStr">
        <x:is>
          <x:t xml:space="preserve">육상</x:t>
        </x:is>
      </x:c>
      <x:c r="U819" s="5" t="inlineStr">
        <x:is>
          <x:t xml:space="preserve">개활지</x:t>
        </x:is>
      </x:c>
      <x:c r="V819" s="5" t="inlineStr">
        <x:is>
          <x:t xml:space="preserve">고온</x:t>
        </x:is>
      </x:c>
      <x:c r="W819" s="5" t="inlineStr">
        <x:is>
          <x:t xml:space="preserve">보통</x:t>
        </x:is>
      </x:c>
      <x:c r="X819" s="5" t="inlineStr">
        <x:is>
          <x:t xml:space="preserve">무관</x:t>
        </x:is>
      </x:c>
      <x:c r="Y819" s="5" t="inlineStr">
        <x:is>
          <x:t xml:space="preserve">무관</x:t>
        </x:is>
      </x:c>
      <x:c r="Z819" s="5" t="inlineStr">
        <x:is>
          <x:t xml:space="preserve">희귀</x:t>
        </x:is>
      </x:c>
      <x:c r="AA819" s="5" t="inlineStr">
        <x:is>
          <x:t xml:space="preserve">없음</x:t>
        </x:is>
      </x:c>
      <x:c r="AB819" s="5" t="inlineStr">
        <x:is>
          <x:t xml:space="preserve">평원</x:t>
        </x:is>
      </x:c>
      <x:c r="AC819" s="5" t="inlineStr">
        <x:is>
          <x:t xml:space="preserve">gen8</x:t>
        </x:is>
      </x:c>
      <x:c r="AD819" s="5" t="inlineStr">
        <x:is>
          <x:t xml:space="preserve">.tmp/cobblemon-1.7.3-source/common/src/main/resources/data/cobblemon/species/generation8/cinderace.json</x:t>
        </x:is>
      </x:c>
    </x:row>
    <x:row r="820" ht="22" customHeight="1">
      <x:c r="A820" s="5" t="n">
        <x:v>816</x:v>
      </x:c>
      <x:c r="B820" s="5" t="inlineStr">
        <x:is>
          <x:t xml:space="preserve">울머기</x:t>
        </x:is>
      </x:c>
      <x:c r="C820" s="5" t="inlineStr">
        <x:is>
          <x:t xml:space="preserve">sobble</x:t>
        </x:is>
      </x:c>
      <x:c r="D820" s="5" t="inlineStr">
        <x:is>
          <x:t xml:space="preserve">Sobble</x:t>
        </x:is>
      </x:c>
      <x:c r="E820" s="5" t="n">
        <x:v>8</x:v>
      </x:c>
      <x:c r="F820" s="5" t="inlineStr">
        <x:is>
          <x:t xml:space="preserve">물</x:t>
        </x:is>
      </x:c>
      <x:c r="G820" s="5" t="inlineStr">
        <x:is>
          <x:t xml:space="preserve"/>
        </x:is>
      </x:c>
      <x:c r="H820" s="5" t="n">
        <x:v>0.3</x:v>
      </x:c>
      <x:c r="I820" s="5" t="n">
        <x:v>4</x:v>
      </x:c>
      <x:c r="J820" s="5" t="n">
        <x:v>310</x:v>
      </x:c>
      <x:c r="K820" s="5" t="n">
        <x:v>45</x:v>
      </x:c>
      <x:c r="L820" s="5" t="inlineStr">
        <x:is>
          <x:t xml:space="preserve">기본</x:t>
        </x:is>
      </x:c>
      <x:c r="M820" s="5" t="n">
        <x:v>35</x:v>
      </x:c>
      <x:c r="N820" s="5" t="inlineStr">
        <x:is>
          <x:t xml:space="preserve">레벨</x:t>
        </x:is>
      </x:c>
      <x:c r="O820" s="5" t="inlineStr">
        <x:is>
          <x:t xml:space="preserve">예</x:t>
        </x:is>
      </x:c>
      <x:c r="P820" s="5" t="inlineStr">
        <x:is>
          <x:t xml:space="preserve">#cobblemon:is_forest; #cobblemon:is_jungle; #cobblemon:is_swamp</x:t>
        </x:is>
      </x:c>
      <x:c r="Q820" s="5" t="inlineStr">
        <x:is>
          <x:t xml:space="preserve">ultra-rare</x:t>
        </x:is>
      </x:c>
      <x:c r="R820" s="5" t="inlineStr">
        <x:is>
          <x:t xml:space="preserve"/>
        </x:is>
      </x:c>
      <x:c r="S820" s="5" t="inlineStr">
        <x:is>
          <x:t xml:space="preserve"/>
        </x:is>
      </x:c>
      <x:c r="T820" s="5" t="inlineStr">
        <x:is>
          <x:t xml:space="preserve">수륙</x:t>
        </x:is>
      </x:c>
      <x:c r="U820" s="5" t="inlineStr">
        <x:is>
          <x:t xml:space="preserve">습지</x:t>
        </x:is>
      </x:c>
      <x:c r="V820" s="5" t="inlineStr">
        <x:is>
          <x:t xml:space="preserve">온대</x:t>
        </x:is>
      </x:c>
      <x:c r="W820" s="5" t="inlineStr">
        <x:is>
          <x:t xml:space="preserve">다습</x:t>
        </x:is>
      </x:c>
      <x:c r="X820" s="5" t="inlineStr">
        <x:is>
          <x:t xml:space="preserve">비</x:t>
        </x:is>
      </x:c>
      <x:c r="Y820" s="5" t="inlineStr">
        <x:is>
          <x:t xml:space="preserve">무관</x:t>
        </x:is>
      </x:c>
      <x:c r="Z820" s="5" t="inlineStr">
        <x:is>
          <x:t xml:space="preserve">희귀</x:t>
        </x:is>
      </x:c>
      <x:c r="AA820" s="5" t="inlineStr">
        <x:is>
          <x:t xml:space="preserve">없음</x:t>
        </x:is>
      </x:c>
      <x:c r="AB820" s="5" t="inlineStr">
        <x:is>
          <x:t xml:space="preserve">습지</x:t>
        </x:is>
      </x:c>
      <x:c r="AC820" s="5" t="inlineStr">
        <x:is>
          <x:t xml:space="preserve">gen8; starter</x:t>
        </x:is>
      </x:c>
      <x:c r="AD820" s="5" t="inlineStr">
        <x:is>
          <x:t xml:space="preserve">.tmp/cobblemon-1.7.3-source/common/src/main/resources/data/cobblemon/species/generation8/sobble.json</x:t>
        </x:is>
      </x:c>
    </x:row>
    <x:row r="821" ht="22" customHeight="1">
      <x:c r="A821" s="5" t="n">
        <x:v>817</x:v>
      </x:c>
      <x:c r="B821" s="5" t="inlineStr">
        <x:is>
          <x:t xml:space="preserve">누겔레온</x:t>
        </x:is>
      </x:c>
      <x:c r="C821" s="5" t="inlineStr">
        <x:is>
          <x:t xml:space="preserve">drizzile</x:t>
        </x:is>
      </x:c>
      <x:c r="D821" s="5" t="inlineStr">
        <x:is>
          <x:t xml:space="preserve">Drizzile</x:t>
        </x:is>
      </x:c>
      <x:c r="E821" s="5" t="n">
        <x:v>8</x:v>
      </x:c>
      <x:c r="F821" s="5" t="inlineStr">
        <x:is>
          <x:t xml:space="preserve">물</x:t>
        </x:is>
      </x:c>
      <x:c r="G821" s="5" t="inlineStr">
        <x:is>
          <x:t xml:space="preserve"/>
        </x:is>
      </x:c>
      <x:c r="H821" s="5" t="n">
        <x:v>0.7</x:v>
      </x:c>
      <x:c r="I821" s="5" t="n">
        <x:v>11.5</x:v>
      </x:c>
      <x:c r="J821" s="5" t="n">
        <x:v>420</x:v>
      </x:c>
      <x:c r="K821" s="5" t="n">
        <x:v>45</x:v>
      </x:c>
      <x:c r="L821" s="5" t="inlineStr">
        <x:is>
          <x:t xml:space="preserve">중간</x:t>
        </x:is>
      </x:c>
      <x:c r="M821" s="5" t="n">
        <x:v>35</x:v>
      </x:c>
      <x:c r="N821" s="5" t="inlineStr">
        <x:is>
          <x:t xml:space="preserve">레벨</x:t>
        </x:is>
      </x:c>
      <x:c r="O821" s="5" t="inlineStr">
        <x:is>
          <x:t xml:space="preserve">예</x:t>
        </x:is>
      </x:c>
      <x:c r="P821" s="5" t="inlineStr">
        <x:is>
          <x:t xml:space="preserve">#cobblemon:is_forest; #cobblemon:is_jungle; #cobblemon:is_swamp</x:t>
        </x:is>
      </x:c>
      <x:c r="Q821" s="5" t="inlineStr">
        <x:is>
          <x:t xml:space="preserve">ultra-rare</x:t>
        </x:is>
      </x:c>
      <x:c r="R821" s="5" t="inlineStr">
        <x:is>
          <x:t xml:space="preserve"/>
        </x:is>
      </x:c>
      <x:c r="S821" s="5" t="inlineStr">
        <x:is>
          <x:t xml:space="preserve"/>
        </x:is>
      </x:c>
      <x:c r="T821" s="5" t="inlineStr">
        <x:is>
          <x:t xml:space="preserve">수륙</x:t>
        </x:is>
      </x:c>
      <x:c r="U821" s="5" t="inlineStr">
        <x:is>
          <x:t xml:space="preserve">습지</x:t>
        </x:is>
      </x:c>
      <x:c r="V821" s="5" t="inlineStr">
        <x:is>
          <x:t xml:space="preserve">온대</x:t>
        </x:is>
      </x:c>
      <x:c r="W821" s="5" t="inlineStr">
        <x:is>
          <x:t xml:space="preserve">다습</x:t>
        </x:is>
      </x:c>
      <x:c r="X821" s="5" t="inlineStr">
        <x:is>
          <x:t xml:space="preserve">비</x:t>
        </x:is>
      </x:c>
      <x:c r="Y821" s="5" t="inlineStr">
        <x:is>
          <x:t xml:space="preserve">무관</x:t>
        </x:is>
      </x:c>
      <x:c r="Z821" s="5" t="inlineStr">
        <x:is>
          <x:t xml:space="preserve">희귀</x:t>
        </x:is>
      </x:c>
      <x:c r="AA821" s="5" t="inlineStr">
        <x:is>
          <x:t xml:space="preserve">없음</x:t>
        </x:is>
      </x:c>
      <x:c r="AB821" s="5" t="inlineStr">
        <x:is>
          <x:t xml:space="preserve">습지</x:t>
        </x:is>
      </x:c>
      <x:c r="AC821" s="5" t="inlineStr">
        <x:is>
          <x:t xml:space="preserve">gen8</x:t>
        </x:is>
      </x:c>
      <x:c r="AD821" s="5" t="inlineStr">
        <x:is>
          <x:t xml:space="preserve">.tmp/cobblemon-1.7.3-source/common/src/main/resources/data/cobblemon/species/generation8/drizzile.json</x:t>
        </x:is>
      </x:c>
    </x:row>
    <x:row r="822" ht="22" customHeight="1">
      <x:c r="A822" s="5" t="n">
        <x:v>818</x:v>
      </x:c>
      <x:c r="B822" s="5" t="inlineStr">
        <x:is>
          <x:t xml:space="preserve">인텔리레온</x:t>
        </x:is>
      </x:c>
      <x:c r="C822" s="5" t="inlineStr">
        <x:is>
          <x:t xml:space="preserve">inteleon</x:t>
        </x:is>
      </x:c>
      <x:c r="D822" s="5" t="inlineStr">
        <x:is>
          <x:t xml:space="preserve">Inteleon</x:t>
        </x:is>
      </x:c>
      <x:c r="E822" s="5" t="n">
        <x:v>8</x:v>
      </x:c>
      <x:c r="F822" s="5" t="inlineStr">
        <x:is>
          <x:t xml:space="preserve">물</x:t>
        </x:is>
      </x:c>
      <x:c r="G822" s="5" t="inlineStr">
        <x:is>
          <x:t xml:space="preserve"/>
        </x:is>
      </x:c>
      <x:c r="H822" s="5" t="n">
        <x:v>1.9</x:v>
      </x:c>
      <x:c r="I822" s="5" t="n">
        <x:v>45.2</x:v>
      </x:c>
      <x:c r="J822" s="5" t="n">
        <x:v>530</x:v>
      </x:c>
      <x:c r="K822" s="5" t="n">
        <x:v>45</x:v>
      </x:c>
      <x:c r="L822" s="5" t="inlineStr">
        <x:is>
          <x:t xml:space="preserve">최종</x:t>
        </x:is>
      </x:c>
      <x:c r="M822" s="5" t="n">
        <x:v>35</x:v>
      </x:c>
      <x:c r="N822" s="5" t="inlineStr">
        <x:is>
          <x:t xml:space="preserve">레벨</x:t>
        </x:is>
      </x:c>
      <x:c r="O822" s="5" t="inlineStr">
        <x:is>
          <x:t xml:space="preserve">예</x:t>
        </x:is>
      </x:c>
      <x:c r="P822" s="5" t="inlineStr">
        <x:is>
          <x:t xml:space="preserve">#cobblemon:is_forest; #cobblemon:is_jungle; #cobblemon:is_swamp</x:t>
        </x:is>
      </x:c>
      <x:c r="Q822" s="5" t="inlineStr">
        <x:is>
          <x:t xml:space="preserve">ultra-rare</x:t>
        </x:is>
      </x:c>
      <x:c r="R822" s="5" t="inlineStr">
        <x:is>
          <x:t xml:space="preserve"/>
        </x:is>
      </x:c>
      <x:c r="S822" s="5" t="inlineStr">
        <x:is>
          <x:t xml:space="preserve"/>
        </x:is>
      </x:c>
      <x:c r="T822" s="5" t="inlineStr">
        <x:is>
          <x:t xml:space="preserve">수륙</x:t>
        </x:is>
      </x:c>
      <x:c r="U822" s="5" t="inlineStr">
        <x:is>
          <x:t xml:space="preserve">습지</x:t>
        </x:is>
      </x:c>
      <x:c r="V822" s="5" t="inlineStr">
        <x:is>
          <x:t xml:space="preserve">온대</x:t>
        </x:is>
      </x:c>
      <x:c r="W822" s="5" t="inlineStr">
        <x:is>
          <x:t xml:space="preserve">다습</x:t>
        </x:is>
      </x:c>
      <x:c r="X822" s="5" t="inlineStr">
        <x:is>
          <x:t xml:space="preserve">비</x:t>
        </x:is>
      </x:c>
      <x:c r="Y822" s="5" t="inlineStr">
        <x:is>
          <x:t xml:space="preserve">무관</x:t>
        </x:is>
      </x:c>
      <x:c r="Z822" s="5" t="inlineStr">
        <x:is>
          <x:t xml:space="preserve">희귀</x:t>
        </x:is>
      </x:c>
      <x:c r="AA822" s="5" t="inlineStr">
        <x:is>
          <x:t xml:space="preserve">없음</x:t>
        </x:is>
      </x:c>
      <x:c r="AB822" s="5" t="inlineStr">
        <x:is>
          <x:t xml:space="preserve">습지</x:t>
        </x:is>
      </x:c>
      <x:c r="AC822" s="5" t="inlineStr">
        <x:is>
          <x:t xml:space="preserve">gen8</x:t>
        </x:is>
      </x:c>
      <x:c r="AD822" s="5" t="inlineStr">
        <x:is>
          <x:t xml:space="preserve">.tmp/cobblemon-1.7.3-source/common/src/main/resources/data/cobblemon/species/generation8/inteleon.json</x:t>
        </x:is>
      </x:c>
    </x:row>
    <x:row r="823" ht="22" customHeight="1">
      <x:c r="A823" s="5" t="n">
        <x:v>819</x:v>
      </x:c>
      <x:c r="B823" s="5" t="inlineStr">
        <x:is>
          <x:t xml:space="preserve">탐리스</x:t>
        </x:is>
      </x:c>
      <x:c r="C823" s="5" t="inlineStr">
        <x:is>
          <x:t xml:space="preserve">skwovet</x:t>
        </x:is>
      </x:c>
      <x:c r="D823" s="5" t="inlineStr">
        <x:is>
          <x:t xml:space="preserve">Skwovet</x:t>
        </x:is>
      </x:c>
      <x:c r="E823" s="5" t="n">
        <x:v>8</x:v>
      </x:c>
      <x:c r="F823" s="5" t="inlineStr">
        <x:is>
          <x:t xml:space="preserve">노말</x:t>
        </x:is>
      </x:c>
      <x:c r="G823" s="5" t="inlineStr">
        <x:is>
          <x:t xml:space="preserve"/>
        </x:is>
      </x:c>
      <x:c r="H823" s="5" t="n">
        <x:v>0.3</x:v>
      </x:c>
      <x:c r="I823" s="5" t="n">
        <x:v>2.5</x:v>
      </x:c>
      <x:c r="J823" s="5" t="n">
        <x:v>275</x:v>
      </x:c>
      <x:c r="K823" s="5" t="n">
        <x:v>255</x:v>
      </x:c>
      <x:c r="L823" s="5" t="inlineStr">
        <x:is>
          <x:t xml:space="preserve">기본</x:t>
        </x:is>
      </x:c>
      <x:c r="M823" s="5" t="n">
        <x:v>24</x:v>
      </x:c>
      <x:c r="N823" s="5" t="inlineStr">
        <x:is>
          <x:t xml:space="preserve">레벨</x:t>
        </x:is>
      </x:c>
      <x:c r="O823" s="5" t="inlineStr">
        <x:is>
          <x:t xml:space="preserve">예</x:t>
        </x:is>
      </x:c>
      <x:c r="P823" s="5" t="inlineStr">
        <x:is>
          <x:t xml:space="preserve">#cobblemon:is_forest; #cobblemon:is_taiga</x:t>
        </x:is>
      </x:c>
      <x:c r="Q823" s="5" t="inlineStr">
        <x:is>
          <x:t xml:space="preserve">common</x:t>
        </x:is>
      </x:c>
      <x:c r="R823" s="5" t="inlineStr">
        <x:is>
          <x:t xml:space="preserve"/>
        </x:is>
      </x:c>
      <x:c r="S823" s="5" t="inlineStr">
        <x:is>
          <x:t xml:space="preserve"/>
        </x:is>
      </x:c>
      <x:c r="T823" s="5" t="inlineStr">
        <x:is>
          <x:t xml:space="preserve">육상</x:t>
        </x:is>
      </x:c>
      <x:c r="U823" s="5" t="inlineStr">
        <x:is>
          <x:t xml:space="preserve">수목</x:t>
        </x:is>
      </x:c>
      <x:c r="V823" s="5" t="inlineStr">
        <x:is>
          <x:t xml:space="preserve">서늘</x:t>
        </x:is>
      </x:c>
      <x:c r="W823" s="5" t="inlineStr">
        <x:is>
          <x:t xml:space="preserve">보통</x:t>
        </x:is>
      </x:c>
      <x:c r="X823" s="5" t="inlineStr">
        <x:is>
          <x:t xml:space="preserve">무관</x:t>
        </x:is>
      </x:c>
      <x:c r="Y823" s="5" t="inlineStr">
        <x:is>
          <x:t xml:space="preserve">무관</x:t>
        </x:is>
      </x:c>
      <x:c r="Z823" s="5" t="inlineStr">
        <x:is>
          <x:t xml:space="preserve">흔함</x:t>
        </x:is>
      </x:c>
      <x:c r="AA823" s="5" t="inlineStr">
        <x:is>
          <x:t xml:space="preserve">없음</x:t>
        </x:is>
      </x:c>
      <x:c r="AB823" s="5" t="inlineStr">
        <x:is>
          <x:t xml:space="preserve">숲</x:t>
        </x:is>
      </x:c>
      <x:c r="AC823" s="5" t="inlineStr">
        <x:is>
          <x:t xml:space="preserve">gen8</x:t>
        </x:is>
      </x:c>
      <x:c r="AD823" s="5" t="inlineStr">
        <x:is>
          <x:t xml:space="preserve">.tmp/cobblemon-1.7.3-source/common/src/main/resources/data/cobblemon/species/generation8/skwovet.json</x:t>
        </x:is>
      </x:c>
    </x:row>
    <x:row r="824" ht="22" customHeight="1">
      <x:c r="A824" s="5" t="n">
        <x:v>820</x:v>
      </x:c>
      <x:c r="B824" s="5" t="inlineStr">
        <x:is>
          <x:t xml:space="preserve">요씽리스</x:t>
        </x:is>
      </x:c>
      <x:c r="C824" s="5" t="inlineStr">
        <x:is>
          <x:t xml:space="preserve">greedent</x:t>
        </x:is>
      </x:c>
      <x:c r="D824" s="5" t="inlineStr">
        <x:is>
          <x:t xml:space="preserve">Greedent</x:t>
        </x:is>
      </x:c>
      <x:c r="E824" s="5" t="n">
        <x:v>8</x:v>
      </x:c>
      <x:c r="F824" s="5" t="inlineStr">
        <x:is>
          <x:t xml:space="preserve">노말</x:t>
        </x:is>
      </x:c>
      <x:c r="G824" s="5" t="inlineStr">
        <x:is>
          <x:t xml:space="preserve"/>
        </x:is>
      </x:c>
      <x:c r="H824" s="5" t="n">
        <x:v>0.6</x:v>
      </x:c>
      <x:c r="I824" s="5" t="n">
        <x:v>6</x:v>
      </x:c>
      <x:c r="J824" s="5" t="n">
        <x:v>460</x:v>
      </x:c>
      <x:c r="K824" s="5" t="n">
        <x:v>90</x:v>
      </x:c>
      <x:c r="L824" s="5" t="inlineStr">
        <x:is>
          <x:t xml:space="preserve">최종</x:t>
        </x:is>
      </x:c>
      <x:c r="M824" s="5" t="n">
        <x:v>24</x:v>
      </x:c>
      <x:c r="N824" s="5" t="inlineStr">
        <x:is>
          <x:t xml:space="preserve">레벨</x:t>
        </x:is>
      </x:c>
      <x:c r="O824" s="5" t="inlineStr">
        <x:is>
          <x:t xml:space="preserve">예</x:t>
        </x:is>
      </x:c>
      <x:c r="P824" s="5" t="inlineStr">
        <x:is>
          <x:t xml:space="preserve">#cobblemon:is_forest; #cobblemon:is_taiga</x:t>
        </x:is>
      </x:c>
      <x:c r="Q824" s="5" t="inlineStr">
        <x:is>
          <x:t xml:space="preserve">common</x:t>
        </x:is>
      </x:c>
      <x:c r="R824" s="5" t="inlineStr">
        <x:is>
          <x:t xml:space="preserve"/>
        </x:is>
      </x:c>
      <x:c r="S824" s="5" t="inlineStr">
        <x:is>
          <x:t xml:space="preserve"/>
        </x:is>
      </x:c>
      <x:c r="T824" s="5" t="inlineStr">
        <x:is>
          <x:t xml:space="preserve">육상</x:t>
        </x:is>
      </x:c>
      <x:c r="U824" s="5" t="inlineStr">
        <x:is>
          <x:t xml:space="preserve">수목</x:t>
        </x:is>
      </x:c>
      <x:c r="V824" s="5" t="inlineStr">
        <x:is>
          <x:t xml:space="preserve">서늘</x:t>
        </x:is>
      </x:c>
      <x:c r="W824" s="5" t="inlineStr">
        <x:is>
          <x:t xml:space="preserve">보통</x:t>
        </x:is>
      </x:c>
      <x:c r="X824" s="5" t="inlineStr">
        <x:is>
          <x:t xml:space="preserve">무관</x:t>
        </x:is>
      </x:c>
      <x:c r="Y824" s="5" t="inlineStr">
        <x:is>
          <x:t xml:space="preserve">무관</x:t>
        </x:is>
      </x:c>
      <x:c r="Z824" s="5" t="inlineStr">
        <x:is>
          <x:t xml:space="preserve">흔함</x:t>
        </x:is>
      </x:c>
      <x:c r="AA824" s="5" t="inlineStr">
        <x:is>
          <x:t xml:space="preserve">없음</x:t>
        </x:is>
      </x:c>
      <x:c r="AB824" s="5" t="inlineStr">
        <x:is>
          <x:t xml:space="preserve">숲</x:t>
        </x:is>
      </x:c>
      <x:c r="AC824" s="5" t="inlineStr">
        <x:is>
          <x:t xml:space="preserve">gen8</x:t>
        </x:is>
      </x:c>
      <x:c r="AD824" s="5" t="inlineStr">
        <x:is>
          <x:t xml:space="preserve">.tmp/cobblemon-1.7.3-source/common/src/main/resources/data/cobblemon/species/generation8/greedent.json</x:t>
        </x:is>
      </x:c>
    </x:row>
    <x:row r="825" ht="22" customHeight="1">
      <x:c r="A825" s="5" t="n">
        <x:v>821</x:v>
      </x:c>
      <x:c r="B825" s="5" t="inlineStr">
        <x:is>
          <x:t xml:space="preserve">파라꼬</x:t>
        </x:is>
      </x:c>
      <x:c r="C825" s="5" t="inlineStr">
        <x:is>
          <x:t xml:space="preserve">rookidee</x:t>
        </x:is>
      </x:c>
      <x:c r="D825" s="5" t="inlineStr">
        <x:is>
          <x:t xml:space="preserve">Rookidee</x:t>
        </x:is>
      </x:c>
      <x:c r="E825" s="5" t="n">
        <x:v>8</x:v>
      </x:c>
      <x:c r="F825" s="5" t="inlineStr">
        <x:is>
          <x:t xml:space="preserve">비행</x:t>
        </x:is>
      </x:c>
      <x:c r="G825" s="5" t="inlineStr">
        <x:is>
          <x:t xml:space="preserve"/>
        </x:is>
      </x:c>
      <x:c r="H825" s="5" t="n">
        <x:v>0.2</x:v>
      </x:c>
      <x:c r="I825" s="5" t="n">
        <x:v>1.8</x:v>
      </x:c>
      <x:c r="J825" s="5" t="n">
        <x:v>245</x:v>
      </x:c>
      <x:c r="K825" s="5" t="n">
        <x:v>255</x:v>
      </x:c>
      <x:c r="L825" s="5" t="inlineStr">
        <x:is>
          <x:t xml:space="preserve">기본</x:t>
        </x:is>
      </x:c>
      <x:c r="M825" s="5" t="n">
        <x:v>38</x:v>
      </x:c>
      <x:c r="N825" s="5" t="inlineStr">
        <x:is>
          <x:t xml:space="preserve">레벨</x:t>
        </x:is>
      </x:c>
      <x:c r="O825" s="5" t="inlineStr">
        <x:is>
          <x:t xml:space="preserve">예</x:t>
        </x:is>
      </x:c>
      <x:c r="P825" s="5" t="inlineStr">
        <x:is>
          <x:t xml:space="preserve">#cobblemon:is_hills; #cobblemon:is_sky; #cobblemon:is_spooky; #cobblemon:is_taiga</x:t>
        </x:is>
      </x:c>
      <x:c r="Q825" s="5" t="inlineStr">
        <x:is>
          <x:t xml:space="preserve">common</x:t>
        </x:is>
      </x:c>
      <x:c r="R825" s="5" t="inlineStr">
        <x:is>
          <x:t xml:space="preserve">day</x:t>
        </x:is>
      </x:c>
      <x:c r="S825" s="5" t="inlineStr">
        <x:is>
          <x:t xml:space="preserve"/>
        </x:is>
      </x:c>
      <x:c r="T825" s="5" t="inlineStr">
        <x:is>
          <x:t xml:space="preserve">비행</x:t>
        </x:is>
      </x:c>
      <x:c r="U825" s="5" t="inlineStr">
        <x:is>
          <x:t xml:space="preserve">특수</x:t>
        </x:is>
      </x:c>
      <x:c r="V825" s="5" t="inlineStr">
        <x:is>
          <x:t xml:space="preserve">서늘</x:t>
        </x:is>
      </x:c>
      <x:c r="W825" s="5" t="inlineStr">
        <x:is>
          <x:t xml:space="preserve">보통</x:t>
        </x:is>
      </x:c>
      <x:c r="X825" s="5" t="inlineStr">
        <x:is>
          <x:t xml:space="preserve">무관</x:t>
        </x:is>
      </x:c>
      <x:c r="Y825" s="5" t="inlineStr">
        <x:is>
          <x:t xml:space="preserve">낮</x:t>
        </x:is>
      </x:c>
      <x:c r="Z825" s="5" t="inlineStr">
        <x:is>
          <x:t xml:space="preserve">흔함</x:t>
        </x:is>
      </x:c>
      <x:c r="AA825" s="5" t="inlineStr">
        <x:is>
          <x:t xml:space="preserve">영체</x:t>
        </x:is>
      </x:c>
      <x:c r="AB825" s="5" t="inlineStr">
        <x:is>
          <x:t xml:space="preserve">특수</x:t>
        </x:is>
      </x:c>
      <x:c r="AC825" s="5" t="inlineStr">
        <x:is>
          <x:t xml:space="preserve">gen8</x:t>
        </x:is>
      </x:c>
      <x:c r="AD825" s="5" t="inlineStr">
        <x:is>
          <x:t xml:space="preserve">.tmp/cobblemon-1.7.3-source/common/src/main/resources/data/cobblemon/species/generation8/rookidee.json</x:t>
        </x:is>
      </x:c>
    </x:row>
    <x:row r="826" ht="22" customHeight="1">
      <x:c r="A826" s="5" t="n">
        <x:v>822</x:v>
      </x:c>
      <x:c r="B826" s="5" t="inlineStr">
        <x:is>
          <x:t xml:space="preserve">파크로우</x:t>
        </x:is>
      </x:c>
      <x:c r="C826" s="5" t="inlineStr">
        <x:is>
          <x:t xml:space="preserve">corvisquire</x:t>
        </x:is>
      </x:c>
      <x:c r="D826" s="5" t="inlineStr">
        <x:is>
          <x:t xml:space="preserve">Corvisquire</x:t>
        </x:is>
      </x:c>
      <x:c r="E826" s="5" t="n">
        <x:v>8</x:v>
      </x:c>
      <x:c r="F826" s="5" t="inlineStr">
        <x:is>
          <x:t xml:space="preserve">비행</x:t>
        </x:is>
      </x:c>
      <x:c r="G826" s="5" t="inlineStr">
        <x:is>
          <x:t xml:space="preserve"/>
        </x:is>
      </x:c>
      <x:c r="H826" s="5" t="n">
        <x:v>0.8</x:v>
      </x:c>
      <x:c r="I826" s="5" t="n">
        <x:v>16</x:v>
      </x:c>
      <x:c r="J826" s="5" t="n">
        <x:v>365</x:v>
      </x:c>
      <x:c r="K826" s="5" t="n">
        <x:v>120</x:v>
      </x:c>
      <x:c r="L826" s="5" t="inlineStr">
        <x:is>
          <x:t xml:space="preserve">중간</x:t>
        </x:is>
      </x:c>
      <x:c r="M826" s="5" t="n">
        <x:v>38</x:v>
      </x:c>
      <x:c r="N826" s="5" t="inlineStr">
        <x:is>
          <x:t xml:space="preserve">레벨</x:t>
        </x:is>
      </x:c>
      <x:c r="O826" s="5" t="inlineStr">
        <x:is>
          <x:t xml:space="preserve">예</x:t>
        </x:is>
      </x:c>
      <x:c r="P826" s="5" t="inlineStr">
        <x:is>
          <x:t xml:space="preserve">#cobblemon:is_hills; #cobblemon:is_sky; #cobblemon:is_spooky; #cobblemon:is_taiga</x:t>
        </x:is>
      </x:c>
      <x:c r="Q826" s="5" t="inlineStr">
        <x:is>
          <x:t xml:space="preserve">common</x:t>
        </x:is>
      </x:c>
      <x:c r="R826" s="5" t="inlineStr">
        <x:is>
          <x:t xml:space="preserve">day</x:t>
        </x:is>
      </x:c>
      <x:c r="S826" s="5" t="inlineStr">
        <x:is>
          <x:t xml:space="preserve"/>
        </x:is>
      </x:c>
      <x:c r="T826" s="5" t="inlineStr">
        <x:is>
          <x:t xml:space="preserve">비행</x:t>
        </x:is>
      </x:c>
      <x:c r="U826" s="5" t="inlineStr">
        <x:is>
          <x:t xml:space="preserve">특수</x:t>
        </x:is>
      </x:c>
      <x:c r="V826" s="5" t="inlineStr">
        <x:is>
          <x:t xml:space="preserve">서늘</x:t>
        </x:is>
      </x:c>
      <x:c r="W826" s="5" t="inlineStr">
        <x:is>
          <x:t xml:space="preserve">보통</x:t>
        </x:is>
      </x:c>
      <x:c r="X826" s="5" t="inlineStr">
        <x:is>
          <x:t xml:space="preserve">무관</x:t>
        </x:is>
      </x:c>
      <x:c r="Y826" s="5" t="inlineStr">
        <x:is>
          <x:t xml:space="preserve">낮</x:t>
        </x:is>
      </x:c>
      <x:c r="Z826" s="5" t="inlineStr">
        <x:is>
          <x:t xml:space="preserve">흔함</x:t>
        </x:is>
      </x:c>
      <x:c r="AA826" s="5" t="inlineStr">
        <x:is>
          <x:t xml:space="preserve">영체</x:t>
        </x:is>
      </x:c>
      <x:c r="AB826" s="5" t="inlineStr">
        <x:is>
          <x:t xml:space="preserve">특수</x:t>
        </x:is>
      </x:c>
      <x:c r="AC826" s="5" t="inlineStr">
        <x:is>
          <x:t xml:space="preserve">gen8</x:t>
        </x:is>
      </x:c>
      <x:c r="AD826" s="5" t="inlineStr">
        <x:is>
          <x:t xml:space="preserve">.tmp/cobblemon-1.7.3-source/common/src/main/resources/data/cobblemon/species/generation8/corvisquire.json</x:t>
        </x:is>
      </x:c>
    </x:row>
    <x:row r="827" ht="22" customHeight="1">
      <x:c r="A827" s="5" t="n">
        <x:v>823</x:v>
      </x:c>
      <x:c r="B827" s="5" t="inlineStr">
        <x:is>
          <x:t xml:space="preserve">아머까오</x:t>
        </x:is>
      </x:c>
      <x:c r="C827" s="5" t="inlineStr">
        <x:is>
          <x:t xml:space="preserve">corviknight</x:t>
        </x:is>
      </x:c>
      <x:c r="D827" s="5" t="inlineStr">
        <x:is>
          <x:t xml:space="preserve">Corviknight</x:t>
        </x:is>
      </x:c>
      <x:c r="E827" s="5" t="n">
        <x:v>8</x:v>
      </x:c>
      <x:c r="F827" s="5" t="inlineStr">
        <x:is>
          <x:t xml:space="preserve">비행</x:t>
        </x:is>
      </x:c>
      <x:c r="G827" s="5" t="inlineStr">
        <x:is>
          <x:t xml:space="preserve">강철</x:t>
        </x:is>
      </x:c>
      <x:c r="H827" s="5" t="n">
        <x:v>2.2</x:v>
      </x:c>
      <x:c r="I827" s="5" t="n">
        <x:v>75</x:v>
      </x:c>
      <x:c r="J827" s="5" t="n">
        <x:v>495</x:v>
      </x:c>
      <x:c r="K827" s="5" t="n">
        <x:v>45</x:v>
      </x:c>
      <x:c r="L827" s="5" t="inlineStr">
        <x:is>
          <x:t xml:space="preserve">최종</x:t>
        </x:is>
      </x:c>
      <x:c r="M827" s="5" t="n">
        <x:v>38</x:v>
      </x:c>
      <x:c r="N827" s="5" t="inlineStr">
        <x:is>
          <x:t xml:space="preserve">레벨</x:t>
        </x:is>
      </x:c>
      <x:c r="O827" s="5" t="inlineStr">
        <x:is>
          <x:t xml:space="preserve">예</x:t>
        </x:is>
      </x:c>
      <x:c r="P827" s="5" t="inlineStr">
        <x:is>
          <x:t xml:space="preserve">#cobblemon:is_hills; #cobblemon:is_sky; #cobblemon:is_spooky; #cobblemon:is_taiga</x:t>
        </x:is>
      </x:c>
      <x:c r="Q827" s="5" t="inlineStr">
        <x:is>
          <x:t xml:space="preserve">common</x:t>
        </x:is>
      </x:c>
      <x:c r="R827" s="5" t="inlineStr">
        <x:is>
          <x:t xml:space="preserve">day</x:t>
        </x:is>
      </x:c>
      <x:c r="S827" s="5" t="inlineStr">
        <x:is>
          <x:t xml:space="preserve"/>
        </x:is>
      </x:c>
      <x:c r="T827" s="5" t="inlineStr">
        <x:is>
          <x:t xml:space="preserve">비행</x:t>
        </x:is>
      </x:c>
      <x:c r="U827" s="5" t="inlineStr">
        <x:is>
          <x:t xml:space="preserve">특수</x:t>
        </x:is>
      </x:c>
      <x:c r="V827" s="5" t="inlineStr">
        <x:is>
          <x:t xml:space="preserve">서늘</x:t>
        </x:is>
      </x:c>
      <x:c r="W827" s="5" t="inlineStr">
        <x:is>
          <x:t xml:space="preserve">보통</x:t>
        </x:is>
      </x:c>
      <x:c r="X827" s="5" t="inlineStr">
        <x:is>
          <x:t xml:space="preserve">무관</x:t>
        </x:is>
      </x:c>
      <x:c r="Y827" s="5" t="inlineStr">
        <x:is>
          <x:t xml:space="preserve">낮</x:t>
        </x:is>
      </x:c>
      <x:c r="Z827" s="5" t="inlineStr">
        <x:is>
          <x:t xml:space="preserve">흔함</x:t>
        </x:is>
      </x:c>
      <x:c r="AA827" s="5" t="inlineStr">
        <x:is>
          <x:t xml:space="preserve">영체</x:t>
        </x:is>
      </x:c>
      <x:c r="AB827" s="5" t="inlineStr">
        <x:is>
          <x:t xml:space="preserve">특수</x:t>
        </x:is>
      </x:c>
      <x:c r="AC827" s="5" t="inlineStr">
        <x:is>
          <x:t xml:space="preserve">gen8</x:t>
        </x:is>
      </x:c>
      <x:c r="AD827" s="5" t="inlineStr">
        <x:is>
          <x:t xml:space="preserve">.tmp/cobblemon-1.7.3-source/common/src/main/resources/data/cobblemon/species/generation8/corviknight.json</x:t>
        </x:is>
      </x:c>
    </x:row>
    <x:row r="828" ht="22" customHeight="1">
      <x:c r="A828" s="5" t="n">
        <x:v>824</x:v>
      </x:c>
      <x:c r="B828" s="5" t="inlineStr">
        <x:is>
          <x:t xml:space="preserve">두루지벌레</x:t>
        </x:is>
      </x:c>
      <x:c r="C828" s="5" t="inlineStr">
        <x:is>
          <x:t xml:space="preserve">blipbug</x:t>
        </x:is>
      </x:c>
      <x:c r="D828" s="5" t="inlineStr">
        <x:is>
          <x:t xml:space="preserve">Blipbug</x:t>
        </x:is>
      </x:c>
      <x:c r="E828" s="5" t="n">
        <x:v>8</x:v>
      </x:c>
      <x:c r="F828" s="5" t="inlineStr">
        <x:is>
          <x:t xml:space="preserve">벌레</x:t>
        </x:is>
      </x:c>
      <x:c r="G828" s="5" t="inlineStr">
        <x:is>
          <x:t xml:space="preserve"/>
        </x:is>
      </x:c>
      <x:c r="H828" s="5" t="n">
        <x:v>0.4</x:v>
      </x:c>
      <x:c r="I828" s="5" t="n">
        <x:v>8</x:v>
      </x:c>
      <x:c r="J828" s="5" t="n">
        <x:v>180</x:v>
      </x:c>
      <x:c r="K828" s="5" t="n">
        <x:v>255</x:v>
      </x:c>
      <x:c r="L828" s="5" t="inlineStr">
        <x:is>
          <x:t xml:space="preserve">기본</x:t>
        </x:is>
      </x:c>
      <x:c r="M828" s="5" t="n">
        <x:v>30</x:v>
      </x:c>
      <x:c r="N828" s="5" t="inlineStr">
        <x:is>
          <x:t xml:space="preserve">레벨</x:t>
        </x:is>
      </x:c>
      <x:c r="O828" s="5" t="inlineStr">
        <x:is>
          <x:t xml:space="preserve">아니오</x:t>
        </x:is>
      </x:c>
      <x:c r="P828" s="5" t="inlineStr">
        <x:is>
          <x:t xml:space="preserve">#cobblemon:is_forest; #cobblemon:is_plains</x:t>
        </x:is>
      </x:c>
      <x:c r="Q828" s="5" t="inlineStr">
        <x:is>
          <x:t xml:space="preserve">common</x:t>
        </x:is>
      </x:c>
      <x:c r="R828" s="5" t="inlineStr">
        <x:is>
          <x:t xml:space="preserve"/>
        </x:is>
      </x:c>
      <x:c r="S828" s="5" t="inlineStr">
        <x:is>
          <x:t xml:space="preserve"/>
        </x:is>
      </x:c>
      <x:c r="T828" s="5" t="inlineStr">
        <x:is>
          <x:t xml:space="preserve">육상</x:t>
        </x:is>
      </x:c>
      <x:c r="U828" s="5" t="inlineStr">
        <x:is>
          <x:t xml:space="preserve">수목</x:t>
        </x:is>
      </x:c>
      <x:c r="V828" s="5" t="inlineStr">
        <x:is>
          <x:t xml:space="preserve">온대</x:t>
        </x:is>
      </x:c>
      <x:c r="W828" s="5" t="inlineStr">
        <x:is>
          <x:t xml:space="preserve">보통</x:t>
        </x:is>
      </x:c>
      <x:c r="X828" s="5" t="inlineStr">
        <x:is>
          <x:t xml:space="preserve">무관</x:t>
        </x:is>
      </x:c>
      <x:c r="Y828" s="5" t="inlineStr">
        <x:is>
          <x:t xml:space="preserve">무관</x:t>
        </x:is>
      </x:c>
      <x:c r="Z828" s="5" t="inlineStr">
        <x:is>
          <x:t xml:space="preserve">흔함</x:t>
        </x:is>
      </x:c>
      <x:c r="AA828" s="5" t="inlineStr">
        <x:is>
          <x:t xml:space="preserve">없음</x:t>
        </x:is>
      </x:c>
      <x:c r="AB828" s="5" t="inlineStr">
        <x:is>
          <x:t xml:space="preserve">숲</x:t>
        </x:is>
      </x:c>
      <x:c r="AC828" s="5" t="inlineStr">
        <x:is>
          <x:t xml:space="preserve">gen8</x:t>
        </x:is>
      </x:c>
      <x:c r="AD828" s="5" t="inlineStr">
        <x:is>
          <x:t xml:space="preserve">.tmp/cobblemon-1.7.3-source/common/src/main/resources/data/cobblemon/species/generation8/blipbug.json</x:t>
        </x:is>
      </x:c>
    </x:row>
    <x:row r="829" ht="22" customHeight="1">
      <x:c r="A829" s="5" t="n">
        <x:v>825</x:v>
      </x:c>
      <x:c r="B829" s="5" t="inlineStr">
        <x:is>
          <x:t xml:space="preserve">레돔벌레</x:t>
        </x:is>
      </x:c>
      <x:c r="C829" s="5" t="inlineStr">
        <x:is>
          <x:t xml:space="preserve">dottler</x:t>
        </x:is>
      </x:c>
      <x:c r="D829" s="5" t="inlineStr">
        <x:is>
          <x:t xml:space="preserve">Dottler</x:t>
        </x:is>
      </x:c>
      <x:c r="E829" s="5" t="n">
        <x:v>8</x:v>
      </x:c>
      <x:c r="F829" s="5" t="inlineStr">
        <x:is>
          <x:t xml:space="preserve">벌레</x:t>
        </x:is>
      </x:c>
      <x:c r="G829" s="5" t="inlineStr">
        <x:is>
          <x:t xml:space="preserve">에스퍼</x:t>
        </x:is>
      </x:c>
      <x:c r="H829" s="5" t="n">
        <x:v>0.4</x:v>
      </x:c>
      <x:c r="I829" s="5" t="n">
        <x:v>19.5</x:v>
      </x:c>
      <x:c r="J829" s="5" t="n">
        <x:v>335</x:v>
      </x:c>
      <x:c r="K829" s="5" t="n">
        <x:v>120</x:v>
      </x:c>
      <x:c r="L829" s="5" t="inlineStr">
        <x:is>
          <x:t xml:space="preserve">중간</x:t>
        </x:is>
      </x:c>
      <x:c r="M829" s="5" t="n">
        <x:v>30</x:v>
      </x:c>
      <x:c r="N829" s="5" t="inlineStr">
        <x:is>
          <x:t xml:space="preserve">레벨</x:t>
        </x:is>
      </x:c>
      <x:c r="O829" s="5" t="inlineStr">
        <x:is>
          <x:t xml:space="preserve">아니오</x:t>
        </x:is>
      </x:c>
      <x:c r="P829" s="5" t="inlineStr">
        <x:is>
          <x:t xml:space="preserve">#cobblemon:is_forest; #cobblemon:is_plains</x:t>
        </x:is>
      </x:c>
      <x:c r="Q829" s="5" t="inlineStr">
        <x:is>
          <x:t xml:space="preserve">uncommon</x:t>
        </x:is>
      </x:c>
      <x:c r="R829" s="5" t="inlineStr">
        <x:is>
          <x:t xml:space="preserve"/>
        </x:is>
      </x:c>
      <x:c r="S829" s="5" t="inlineStr">
        <x:is>
          <x:t xml:space="preserve"/>
        </x:is>
      </x:c>
      <x:c r="T829" s="5" t="inlineStr">
        <x:is>
          <x:t xml:space="preserve">육상</x:t>
        </x:is>
      </x:c>
      <x:c r="U829" s="5" t="inlineStr">
        <x:is>
          <x:t xml:space="preserve">수목</x:t>
        </x:is>
      </x:c>
      <x:c r="V829" s="5" t="inlineStr">
        <x:is>
          <x:t xml:space="preserve">온대</x:t>
        </x:is>
      </x:c>
      <x:c r="W829" s="5" t="inlineStr">
        <x:is>
          <x:t xml:space="preserve">보통</x:t>
        </x:is>
      </x:c>
      <x:c r="X829" s="5" t="inlineStr">
        <x:is>
          <x:t xml:space="preserve">무관</x:t>
        </x:is>
      </x:c>
      <x:c r="Y829" s="5" t="inlineStr">
        <x:is>
          <x:t xml:space="preserve">무관</x:t>
        </x:is>
      </x:c>
      <x:c r="Z829" s="5" t="inlineStr">
        <x:is>
          <x:t xml:space="preserve">보통</x:t>
        </x:is>
      </x:c>
      <x:c r="AA829" s="5" t="inlineStr">
        <x:is>
          <x:t xml:space="preserve">없음</x:t>
        </x:is>
      </x:c>
      <x:c r="AB829" s="5" t="inlineStr">
        <x:is>
          <x:t xml:space="preserve">숲</x:t>
        </x:is>
      </x:c>
      <x:c r="AC829" s="5" t="inlineStr">
        <x:is>
          <x:t xml:space="preserve">gen8</x:t>
        </x:is>
      </x:c>
      <x:c r="AD829" s="5" t="inlineStr">
        <x:is>
          <x:t xml:space="preserve">.tmp/cobblemon-1.7.3-source/common/src/main/resources/data/cobblemon/species/generation8/dottler.json</x:t>
        </x:is>
      </x:c>
    </x:row>
    <x:row r="830" ht="22" customHeight="1">
      <x:c r="A830" s="5" t="n">
        <x:v>826</x:v>
      </x:c>
      <x:c r="B830" s="5" t="inlineStr">
        <x:is>
          <x:t xml:space="preserve">이올브</x:t>
        </x:is>
      </x:c>
      <x:c r="C830" s="5" t="inlineStr">
        <x:is>
          <x:t xml:space="preserve">orbeetle</x:t>
        </x:is>
      </x:c>
      <x:c r="D830" s="5" t="inlineStr">
        <x:is>
          <x:t xml:space="preserve">Orbeetle</x:t>
        </x:is>
      </x:c>
      <x:c r="E830" s="5" t="n">
        <x:v>8</x:v>
      </x:c>
      <x:c r="F830" s="5" t="inlineStr">
        <x:is>
          <x:t xml:space="preserve">벌레</x:t>
        </x:is>
      </x:c>
      <x:c r="G830" s="5" t="inlineStr">
        <x:is>
          <x:t xml:space="preserve">에스퍼</x:t>
        </x:is>
      </x:c>
      <x:c r="H830" s="5" t="n">
        <x:v>0.4</x:v>
      </x:c>
      <x:c r="I830" s="5" t="n">
        <x:v>40.8</x:v>
      </x:c>
      <x:c r="J830" s="5" t="n">
        <x:v>505</x:v>
      </x:c>
      <x:c r="K830" s="5" t="n">
        <x:v>45</x:v>
      </x:c>
      <x:c r="L830" s="5" t="inlineStr">
        <x:is>
          <x:t xml:space="preserve">최종</x:t>
        </x:is>
      </x:c>
      <x:c r="M830" s="5" t="n">
        <x:v>30</x:v>
      </x:c>
      <x:c r="N830" s="5" t="inlineStr">
        <x:is>
          <x:t xml:space="preserve">레벨</x:t>
        </x:is>
      </x:c>
      <x:c r="O830" s="5" t="inlineStr">
        <x:is>
          <x:t xml:space="preserve">아니오</x:t>
        </x:is>
      </x:c>
      <x:c r="P830" s="5" t="inlineStr">
        <x:is>
          <x:t xml:space="preserve">#cobblemon:is_plains</x:t>
        </x:is>
      </x:c>
      <x:c r="Q830" s="5" t="inlineStr">
        <x:is>
          <x:t xml:space="preserve">rare</x:t>
        </x:is>
      </x:c>
      <x:c r="R830" s="5" t="inlineStr">
        <x:is>
          <x:t xml:space="preserve"/>
        </x:is>
      </x:c>
      <x:c r="S830" s="5" t="inlineStr">
        <x:is>
          <x:t xml:space="preserve"/>
        </x:is>
      </x:c>
      <x:c r="T830" s="5" t="inlineStr">
        <x:is>
          <x:t xml:space="preserve">비행</x:t>
        </x:is>
      </x:c>
      <x:c r="U830" s="5" t="inlineStr">
        <x:is>
          <x:t xml:space="preserve">개활지</x:t>
        </x:is>
      </x:c>
      <x:c r="V830" s="5" t="inlineStr">
        <x:is>
          <x:t xml:space="preserve">온대</x:t>
        </x:is>
      </x:c>
      <x:c r="W830" s="5" t="inlineStr">
        <x:is>
          <x:t xml:space="preserve">보통</x:t>
        </x:is>
      </x:c>
      <x:c r="X830" s="5" t="inlineStr">
        <x:is>
          <x:t xml:space="preserve">무관</x:t>
        </x:is>
      </x:c>
      <x:c r="Y830" s="5" t="inlineStr">
        <x:is>
          <x:t xml:space="preserve">무관</x:t>
        </x:is>
      </x:c>
      <x:c r="Z830" s="5" t="inlineStr">
        <x:is>
          <x:t xml:space="preserve">드묾</x:t>
        </x:is>
      </x:c>
      <x:c r="AA830" s="5" t="inlineStr">
        <x:is>
          <x:t xml:space="preserve">없음</x:t>
        </x:is>
      </x:c>
      <x:c r="AB830" s="5" t="inlineStr">
        <x:is>
          <x:t xml:space="preserve">평원</x:t>
        </x:is>
      </x:c>
      <x:c r="AC830" s="5" t="inlineStr">
        <x:is>
          <x:t xml:space="preserve">gen8</x:t>
        </x:is>
      </x:c>
      <x:c r="AD830" s="5" t="inlineStr">
        <x:is>
          <x:t xml:space="preserve">.tmp/cobblemon-1.7.3-source/common/src/main/resources/data/cobblemon/species/generation8/orbeetle.json</x:t>
        </x:is>
      </x:c>
    </x:row>
    <x:row r="831" ht="22" customHeight="1">
      <x:c r="A831" s="5" t="n">
        <x:v>827</x:v>
      </x:c>
      <x:c r="B831" s="5" t="inlineStr">
        <x:is>
          <x:t xml:space="preserve">훔처우</x:t>
        </x:is>
      </x:c>
      <x:c r="C831" s="5" t="inlineStr">
        <x:is>
          <x:t xml:space="preserve">nickit</x:t>
        </x:is>
      </x:c>
      <x:c r="D831" s="5" t="inlineStr">
        <x:is>
          <x:t xml:space="preserve">Nickit</x:t>
        </x:is>
      </x:c>
      <x:c r="E831" s="5" t="n">
        <x:v>8</x:v>
      </x:c>
      <x:c r="F831" s="5" t="inlineStr">
        <x:is>
          <x:t xml:space="preserve">악</x:t>
        </x:is>
      </x:c>
      <x:c r="G831" s="5" t="inlineStr">
        <x:is>
          <x:t xml:space="preserve"/>
        </x:is>
      </x:c>
      <x:c r="H831" s="5" t="n">
        <x:v>0.6</x:v>
      </x:c>
      <x:c r="I831" s="5" t="n">
        <x:v>8.9</x:v>
      </x:c>
      <x:c r="J831" s="5" t="n">
        <x:v>245</x:v>
      </x:c>
      <x:c r="K831" s="5" t="n">
        <x:v>255</x:v>
      </x:c>
      <x:c r="L831" s="5" t="inlineStr">
        <x:is>
          <x:t xml:space="preserve">기본</x:t>
        </x:is>
      </x:c>
      <x:c r="M831" s="5" t="n">
        <x:v>18</x:v>
      </x:c>
      <x:c r="N831" s="5" t="inlineStr">
        <x:is>
          <x:t xml:space="preserve">레벨</x:t>
        </x:is>
      </x:c>
      <x:c r="O831" s="5" t="inlineStr">
        <x:is>
          <x:t xml:space="preserve">예</x:t>
        </x:is>
      </x:c>
      <x:c r="P831" s="5" t="inlineStr">
        <x:is>
          <x:t xml:space="preserve">#cobblemon:is_forest; #cobblemon:is_plains; #cobblemon:is_taiga</x:t>
        </x:is>
      </x:c>
      <x:c r="Q831" s="5" t="inlineStr">
        <x:is>
          <x:t xml:space="preserve">common; uncommon</x:t>
        </x:is>
      </x:c>
      <x:c r="R831" s="5" t="inlineStr">
        <x:is>
          <x:t xml:space="preserve">night</x:t>
        </x:is>
      </x:c>
      <x:c r="S831" s="5" t="inlineStr">
        <x:is>
          <x:t xml:space="preserve"/>
        </x:is>
      </x:c>
      <x:c r="T831" s="5" t="inlineStr">
        <x:is>
          <x:t xml:space="preserve">육상</x:t>
        </x:is>
      </x:c>
      <x:c r="U831" s="5" t="inlineStr">
        <x:is>
          <x:t xml:space="preserve">수목</x:t>
        </x:is>
      </x:c>
      <x:c r="V831" s="5" t="inlineStr">
        <x:is>
          <x:t xml:space="preserve">서늘</x:t>
        </x:is>
      </x:c>
      <x:c r="W831" s="5" t="inlineStr">
        <x:is>
          <x:t xml:space="preserve">보통</x:t>
        </x:is>
      </x:c>
      <x:c r="X831" s="5" t="inlineStr">
        <x:is>
          <x:t xml:space="preserve">무관</x:t>
        </x:is>
      </x:c>
      <x:c r="Y831" s="5" t="inlineStr">
        <x:is>
          <x:t xml:space="preserve">밤</x:t>
        </x:is>
      </x:c>
      <x:c r="Z831" s="5" t="inlineStr">
        <x:is>
          <x:t xml:space="preserve">보통</x:t>
        </x:is>
      </x:c>
      <x:c r="AA831" s="5" t="inlineStr">
        <x:is>
          <x:t xml:space="preserve">없음</x:t>
        </x:is>
      </x:c>
      <x:c r="AB831" s="5" t="inlineStr">
        <x:is>
          <x:t xml:space="preserve">숲</x:t>
        </x:is>
      </x:c>
      <x:c r="AC831" s="5" t="inlineStr">
        <x:is>
          <x:t xml:space="preserve">gen8</x:t>
        </x:is>
      </x:c>
      <x:c r="AD831" s="5" t="inlineStr">
        <x:is>
          <x:t xml:space="preserve">.tmp/cobblemon-1.7.3-source/common/src/main/resources/data/cobblemon/species/generation8/nickit.json</x:t>
        </x:is>
      </x:c>
    </x:row>
    <x:row r="832" ht="22" customHeight="1">
      <x:c r="A832" s="5" t="n">
        <x:v>828</x:v>
      </x:c>
      <x:c r="B832" s="5" t="inlineStr">
        <x:is>
          <x:t xml:space="preserve">폭슬라이</x:t>
        </x:is>
      </x:c>
      <x:c r="C832" s="5" t="inlineStr">
        <x:is>
          <x:t xml:space="preserve">thievul</x:t>
        </x:is>
      </x:c>
      <x:c r="D832" s="5" t="inlineStr">
        <x:is>
          <x:t xml:space="preserve">Thievul</x:t>
        </x:is>
      </x:c>
      <x:c r="E832" s="5" t="n">
        <x:v>8</x:v>
      </x:c>
      <x:c r="F832" s="5" t="inlineStr">
        <x:is>
          <x:t xml:space="preserve">악</x:t>
        </x:is>
      </x:c>
      <x:c r="G832" s="5" t="inlineStr">
        <x:is>
          <x:t xml:space="preserve"/>
        </x:is>
      </x:c>
      <x:c r="H832" s="5" t="n">
        <x:v>1.2</x:v>
      </x:c>
      <x:c r="I832" s="5" t="n">
        <x:v>19.9</x:v>
      </x:c>
      <x:c r="J832" s="5" t="n">
        <x:v>455</x:v>
      </x:c>
      <x:c r="K832" s="5" t="n">
        <x:v>127</x:v>
      </x:c>
      <x:c r="L832" s="5" t="inlineStr">
        <x:is>
          <x:t xml:space="preserve">최종</x:t>
        </x:is>
      </x:c>
      <x:c r="M832" s="5" t="n">
        <x:v>18</x:v>
      </x:c>
      <x:c r="N832" s="5" t="inlineStr">
        <x:is>
          <x:t xml:space="preserve">레벨</x:t>
        </x:is>
      </x:c>
      <x:c r="O832" s="5" t="inlineStr">
        <x:is>
          <x:t xml:space="preserve">예</x:t>
        </x:is>
      </x:c>
      <x:c r="P832" s="5" t="inlineStr">
        <x:is>
          <x:t xml:space="preserve">#cobblemon:is_forest; #cobblemon:is_plains; #cobblemon:is_taiga</x:t>
        </x:is>
      </x:c>
      <x:c r="Q832" s="5" t="inlineStr">
        <x:is>
          <x:t xml:space="preserve">common; uncommon</x:t>
        </x:is>
      </x:c>
      <x:c r="R832" s="5" t="inlineStr">
        <x:is>
          <x:t xml:space="preserve">night</x:t>
        </x:is>
      </x:c>
      <x:c r="S832" s="5" t="inlineStr">
        <x:is>
          <x:t xml:space="preserve"/>
        </x:is>
      </x:c>
      <x:c r="T832" s="5" t="inlineStr">
        <x:is>
          <x:t xml:space="preserve">육상</x:t>
        </x:is>
      </x:c>
      <x:c r="U832" s="5" t="inlineStr">
        <x:is>
          <x:t xml:space="preserve">수목</x:t>
        </x:is>
      </x:c>
      <x:c r="V832" s="5" t="inlineStr">
        <x:is>
          <x:t xml:space="preserve">서늘</x:t>
        </x:is>
      </x:c>
      <x:c r="W832" s="5" t="inlineStr">
        <x:is>
          <x:t xml:space="preserve">보통</x:t>
        </x:is>
      </x:c>
      <x:c r="X832" s="5" t="inlineStr">
        <x:is>
          <x:t xml:space="preserve">무관</x:t>
        </x:is>
      </x:c>
      <x:c r="Y832" s="5" t="inlineStr">
        <x:is>
          <x:t xml:space="preserve">밤</x:t>
        </x:is>
      </x:c>
      <x:c r="Z832" s="5" t="inlineStr">
        <x:is>
          <x:t xml:space="preserve">보통</x:t>
        </x:is>
      </x:c>
      <x:c r="AA832" s="5" t="inlineStr">
        <x:is>
          <x:t xml:space="preserve">없음</x:t>
        </x:is>
      </x:c>
      <x:c r="AB832" s="5" t="inlineStr">
        <x:is>
          <x:t xml:space="preserve">숲</x:t>
        </x:is>
      </x:c>
      <x:c r="AC832" s="5" t="inlineStr">
        <x:is>
          <x:t xml:space="preserve">gen8</x:t>
        </x:is>
      </x:c>
      <x:c r="AD832" s="5" t="inlineStr">
        <x:is>
          <x:t xml:space="preserve">.tmp/cobblemon-1.7.3-source/common/src/main/resources/data/cobblemon/species/generation8/thievul.json</x:t>
        </x:is>
      </x:c>
    </x:row>
    <x:row r="833" ht="22" customHeight="1">
      <x:c r="A833" s="5" t="n">
        <x:v>829</x:v>
      </x:c>
      <x:c r="B833" s="5" t="inlineStr">
        <x:is>
          <x:t xml:space="preserve">꼬모카</x:t>
        </x:is>
      </x:c>
      <x:c r="C833" s="5" t="inlineStr">
        <x:is>
          <x:t xml:space="preserve">gossifleur</x:t>
        </x:is>
      </x:c>
      <x:c r="D833" s="5" t="inlineStr">
        <x:is>
          <x:t xml:space="preserve">Gossifleur</x:t>
        </x:is>
      </x:c>
      <x:c r="E833" s="5" t="n">
        <x:v>8</x:v>
      </x:c>
      <x:c r="F833" s="5" t="inlineStr">
        <x:is>
          <x:t xml:space="preserve">풀</x:t>
        </x:is>
      </x:c>
      <x:c r="G833" s="5" t="inlineStr">
        <x:is>
          <x:t xml:space="preserve"/>
        </x:is>
      </x:c>
      <x:c r="H833" s="5" t="n">
        <x:v>0.4</x:v>
      </x:c>
      <x:c r="I833" s="5" t="n">
        <x:v>2.2</x:v>
      </x:c>
      <x:c r="J833" s="5" t="n">
        <x:v>250</x:v>
      </x:c>
      <x:c r="K833" s="5" t="n">
        <x:v>190</x:v>
      </x:c>
      <x:c r="L833" s="5" t="inlineStr">
        <x:is>
          <x:t xml:space="preserve">기본</x:t>
        </x:is>
      </x:c>
      <x:c r="M833" s="5" t="n">
        <x:v>20</x:v>
      </x:c>
      <x:c r="N833" s="5" t="inlineStr">
        <x:is>
          <x:t xml:space="preserve">레벨</x:t>
        </x:is>
      </x:c>
      <x:c r="O833" s="5" t="inlineStr">
        <x:is>
          <x:t xml:space="preserve">예</x:t>
        </x:is>
      </x:c>
      <x:c r="P833" s="5" t="inlineStr">
        <x:is>
          <x:t xml:space="preserve">#cobblemon:is_floral; aether:skyroot_grove; aether:skyroot_meadow; the_bumblezone:floral_meadow</x:t>
        </x:is>
      </x:c>
      <x:c r="Q833" s="5" t="inlineStr">
        <x:is>
          <x:t xml:space="preserve">common</x:t>
        </x:is>
      </x:c>
      <x:c r="R833" s="5" t="inlineStr">
        <x:is>
          <x:t xml:space="preserve"/>
        </x:is>
      </x:c>
      <x:c r="S833" s="5" t="inlineStr">
        <x:is>
          <x:t xml:space="preserve">비=False</x:t>
        </x:is>
      </x:c>
      <x:c r="T833" s="5" t="inlineStr">
        <x:is>
          <x:t xml:space="preserve">비행</x:t>
        </x:is>
      </x:c>
      <x:c r="U833" s="5" t="inlineStr">
        <x:is>
          <x:t xml:space="preserve">개활지</x:t>
        </x:is>
      </x:c>
      <x:c r="V833" s="5" t="inlineStr">
        <x:is>
          <x:t xml:space="preserve">온대</x:t>
        </x:is>
      </x:c>
      <x:c r="W833" s="5" t="inlineStr">
        <x:is>
          <x:t xml:space="preserve">보통</x:t>
        </x:is>
      </x:c>
      <x:c r="X833" s="5" t="inlineStr">
        <x:is>
          <x:t xml:space="preserve">무관</x:t>
        </x:is>
      </x:c>
      <x:c r="Y833" s="5" t="inlineStr">
        <x:is>
          <x:t xml:space="preserve">무관</x:t>
        </x:is>
      </x:c>
      <x:c r="Z833" s="5" t="inlineStr">
        <x:is>
          <x:t xml:space="preserve">흔함</x:t>
        </x:is>
      </x:c>
      <x:c r="AA833" s="5" t="inlineStr">
        <x:is>
          <x:t xml:space="preserve">없음</x:t>
        </x:is>
      </x:c>
      <x:c r="AB833" s="5" t="inlineStr">
        <x:is>
          <x:t xml:space="preserve">평원</x:t>
        </x:is>
      </x:c>
      <x:c r="AC833" s="5" t="inlineStr">
        <x:is>
          <x:t xml:space="preserve">gen8</x:t>
        </x:is>
      </x:c>
      <x:c r="AD833" s="5" t="inlineStr">
        <x:is>
          <x:t xml:space="preserve">.tmp/cobblemon-1.7.3-source/common/src/main/resources/data/cobblemon/species/generation8/gossifleur.json</x:t>
        </x:is>
      </x:c>
    </x:row>
    <x:row r="834" ht="22" customHeight="1">
      <x:c r="A834" s="5" t="n">
        <x:v>830</x:v>
      </x:c>
      <x:c r="B834" s="5" t="inlineStr">
        <x:is>
          <x:t xml:space="preserve">백솜모카</x:t>
        </x:is>
      </x:c>
      <x:c r="C834" s="5" t="inlineStr">
        <x:is>
          <x:t xml:space="preserve">eldegoss</x:t>
        </x:is>
      </x:c>
      <x:c r="D834" s="5" t="inlineStr">
        <x:is>
          <x:t xml:space="preserve">Eldegoss</x:t>
        </x:is>
      </x:c>
      <x:c r="E834" s="5" t="n">
        <x:v>8</x:v>
      </x:c>
      <x:c r="F834" s="5" t="inlineStr">
        <x:is>
          <x:t xml:space="preserve">풀</x:t>
        </x:is>
      </x:c>
      <x:c r="G834" s="5" t="inlineStr">
        <x:is>
          <x:t xml:space="preserve"/>
        </x:is>
      </x:c>
      <x:c r="H834" s="5" t="n">
        <x:v>0.5</x:v>
      </x:c>
      <x:c r="I834" s="5" t="n">
        <x:v>2.5</x:v>
      </x:c>
      <x:c r="J834" s="5" t="n">
        <x:v>460</x:v>
      </x:c>
      <x:c r="K834" s="5" t="n">
        <x:v>75</x:v>
      </x:c>
      <x:c r="L834" s="5" t="inlineStr">
        <x:is>
          <x:t xml:space="preserve">최종</x:t>
        </x:is>
      </x:c>
      <x:c r="M834" s="5" t="n">
        <x:v>20</x:v>
      </x:c>
      <x:c r="N834" s="5" t="inlineStr">
        <x:is>
          <x:t xml:space="preserve">레벨</x:t>
        </x:is>
      </x:c>
      <x:c r="O834" s="5" t="inlineStr">
        <x:is>
          <x:t xml:space="preserve">예</x:t>
        </x:is>
      </x:c>
      <x:c r="P834" s="5" t="inlineStr">
        <x:is>
          <x:t xml:space="preserve">#cobblemon:is_floral; aether:skyroot_grove; aether:skyroot_meadow; the_bumblezone:floral_meadow</x:t>
        </x:is>
      </x:c>
      <x:c r="Q834" s="5" t="inlineStr">
        <x:is>
          <x:t xml:space="preserve">common</x:t>
        </x:is>
      </x:c>
      <x:c r="R834" s="5" t="inlineStr">
        <x:is>
          <x:t xml:space="preserve"/>
        </x:is>
      </x:c>
      <x:c r="S834" s="5" t="inlineStr">
        <x:is>
          <x:t xml:space="preserve">비=False</x:t>
        </x:is>
      </x:c>
      <x:c r="T834" s="5" t="inlineStr">
        <x:is>
          <x:t xml:space="preserve">비행</x:t>
        </x:is>
      </x:c>
      <x:c r="U834" s="5" t="inlineStr">
        <x:is>
          <x:t xml:space="preserve">개활지</x:t>
        </x:is>
      </x:c>
      <x:c r="V834" s="5" t="inlineStr">
        <x:is>
          <x:t xml:space="preserve">온대</x:t>
        </x:is>
      </x:c>
      <x:c r="W834" s="5" t="inlineStr">
        <x:is>
          <x:t xml:space="preserve">보통</x:t>
        </x:is>
      </x:c>
      <x:c r="X834" s="5" t="inlineStr">
        <x:is>
          <x:t xml:space="preserve">무관</x:t>
        </x:is>
      </x:c>
      <x:c r="Y834" s="5" t="inlineStr">
        <x:is>
          <x:t xml:space="preserve">무관</x:t>
        </x:is>
      </x:c>
      <x:c r="Z834" s="5" t="inlineStr">
        <x:is>
          <x:t xml:space="preserve">흔함</x:t>
        </x:is>
      </x:c>
      <x:c r="AA834" s="5" t="inlineStr">
        <x:is>
          <x:t xml:space="preserve">없음</x:t>
        </x:is>
      </x:c>
      <x:c r="AB834" s="5" t="inlineStr">
        <x:is>
          <x:t xml:space="preserve">평원</x:t>
        </x:is>
      </x:c>
      <x:c r="AC834" s="5" t="inlineStr">
        <x:is>
          <x:t xml:space="preserve">gen8</x:t>
        </x:is>
      </x:c>
      <x:c r="AD834" s="5" t="inlineStr">
        <x:is>
          <x:t xml:space="preserve">.tmp/cobblemon-1.7.3-source/common/src/main/resources/data/cobblemon/species/generation8/eldegoss.json</x:t>
        </x:is>
      </x:c>
    </x:row>
    <x:row r="835" ht="22" customHeight="1">
      <x:c r="A835" s="5" t="n">
        <x:v>831</x:v>
      </x:c>
      <x:c r="B835" s="5" t="inlineStr">
        <x:is>
          <x:t xml:space="preserve">우르</x:t>
        </x:is>
      </x:c>
      <x:c r="C835" s="5" t="inlineStr">
        <x:is>
          <x:t xml:space="preserve">wooloo</x:t>
        </x:is>
      </x:c>
      <x:c r="D835" s="5" t="inlineStr">
        <x:is>
          <x:t xml:space="preserve">Wooloo</x:t>
        </x:is>
      </x:c>
      <x:c r="E835" s="5" t="n">
        <x:v>8</x:v>
      </x:c>
      <x:c r="F835" s="5" t="inlineStr">
        <x:is>
          <x:t xml:space="preserve">노말</x:t>
        </x:is>
      </x:c>
      <x:c r="G835" s="5" t="inlineStr">
        <x:is>
          <x:t xml:space="preserve"/>
        </x:is>
      </x:c>
      <x:c r="H835" s="5" t="n">
        <x:v>0.6</x:v>
      </x:c>
      <x:c r="I835" s="5" t="n">
        <x:v>6</x:v>
      </x:c>
      <x:c r="J835" s="5" t="n">
        <x:v>270</x:v>
      </x:c>
      <x:c r="K835" s="5" t="n">
        <x:v>255</x:v>
      </x:c>
      <x:c r="L835" s="5" t="inlineStr">
        <x:is>
          <x:t xml:space="preserve">기본</x:t>
        </x:is>
      </x:c>
      <x:c r="M835" s="5" t="n">
        <x:v>24</x:v>
      </x:c>
      <x:c r="N835" s="5" t="inlineStr">
        <x:is>
          <x:t xml:space="preserve">레벨</x:t>
        </x:is>
      </x:c>
      <x:c r="O835" s="5" t="inlineStr">
        <x:is>
          <x:t xml:space="preserve">예</x:t>
        </x:is>
      </x:c>
      <x:c r="P835" s="5" t="inlineStr">
        <x:is>
          <x:t xml:space="preserve">#cobblemon:is_mountain; #cobblemon:is_plains; aether:skyroot_grove; aether:skyroot_meadow</x:t>
        </x:is>
      </x:c>
      <x:c r="Q835" s="5" t="inlineStr">
        <x:is>
          <x:t xml:space="preserve">common</x:t>
        </x:is>
      </x:c>
      <x:c r="R835" s="5" t="inlineStr">
        <x:is>
          <x:t xml:space="preserve"/>
        </x:is>
      </x:c>
      <x:c r="S835" s="5" t="inlineStr">
        <x:is>
          <x:t xml:space="preserve"/>
        </x:is>
      </x:c>
      <x:c r="T835" s="5" t="inlineStr">
        <x:is>
          <x:t xml:space="preserve">육상</x:t>
        </x:is>
      </x:c>
      <x:c r="U835" s="5" t="inlineStr">
        <x:is>
          <x:t xml:space="preserve">개활지</x:t>
        </x:is>
      </x:c>
      <x:c r="V835" s="5" t="inlineStr">
        <x:is>
          <x:t xml:space="preserve">온대</x:t>
        </x:is>
      </x:c>
      <x:c r="W835" s="5" t="inlineStr">
        <x:is>
          <x:t xml:space="preserve">보통</x:t>
        </x:is>
      </x:c>
      <x:c r="X835" s="5" t="inlineStr">
        <x:is>
          <x:t xml:space="preserve">무관</x:t>
        </x:is>
      </x:c>
      <x:c r="Y835" s="5" t="inlineStr">
        <x:is>
          <x:t xml:space="preserve">무관</x:t>
        </x:is>
      </x:c>
      <x:c r="Z835" s="5" t="inlineStr">
        <x:is>
          <x:t xml:space="preserve">흔함</x:t>
        </x:is>
      </x:c>
      <x:c r="AA835" s="5" t="inlineStr">
        <x:is>
          <x:t xml:space="preserve">없음</x:t>
        </x:is>
      </x:c>
      <x:c r="AB835" s="5" t="inlineStr">
        <x:is>
          <x:t xml:space="preserve">평원</x:t>
        </x:is>
      </x:c>
      <x:c r="AC835" s="5" t="inlineStr">
        <x:is>
          <x:t xml:space="preserve">gen8</x:t>
        </x:is>
      </x:c>
      <x:c r="AD835" s="5" t="inlineStr">
        <x:is>
          <x:t xml:space="preserve">.tmp/cobblemon-1.7.3-source/common/src/main/resources/data/cobblemon/species/generation8/wooloo.json</x:t>
        </x:is>
      </x:c>
    </x:row>
    <x:row r="836" ht="22" customHeight="1">
      <x:c r="A836" s="5" t="n">
        <x:v>832</x:v>
      </x:c>
      <x:c r="B836" s="5" t="inlineStr">
        <x:is>
          <x:t xml:space="preserve">배우르</x:t>
        </x:is>
      </x:c>
      <x:c r="C836" s="5" t="inlineStr">
        <x:is>
          <x:t xml:space="preserve">dubwool</x:t>
        </x:is>
      </x:c>
      <x:c r="D836" s="5" t="inlineStr">
        <x:is>
          <x:t xml:space="preserve">Dubwool</x:t>
        </x:is>
      </x:c>
      <x:c r="E836" s="5" t="n">
        <x:v>8</x:v>
      </x:c>
      <x:c r="F836" s="5" t="inlineStr">
        <x:is>
          <x:t xml:space="preserve">노말</x:t>
        </x:is>
      </x:c>
      <x:c r="G836" s="5" t="inlineStr">
        <x:is>
          <x:t xml:space="preserve"/>
        </x:is>
      </x:c>
      <x:c r="H836" s="5" t="n">
        <x:v>1.3</x:v>
      </x:c>
      <x:c r="I836" s="5" t="n">
        <x:v>43</x:v>
      </x:c>
      <x:c r="J836" s="5" t="n">
        <x:v>490</x:v>
      </x:c>
      <x:c r="K836" s="5" t="n">
        <x:v>127</x:v>
      </x:c>
      <x:c r="L836" s="5" t="inlineStr">
        <x:is>
          <x:t xml:space="preserve">최종</x:t>
        </x:is>
      </x:c>
      <x:c r="M836" s="5" t="n">
        <x:v>24</x:v>
      </x:c>
      <x:c r="N836" s="5" t="inlineStr">
        <x:is>
          <x:t xml:space="preserve">레벨</x:t>
        </x:is>
      </x:c>
      <x:c r="O836" s="5" t="inlineStr">
        <x:is>
          <x:t xml:space="preserve">예</x:t>
        </x:is>
      </x:c>
      <x:c r="P836" s="5" t="inlineStr">
        <x:is>
          <x:t xml:space="preserve">#cobblemon:is_mountain; #cobblemon:is_plains; aether:skyroot_grove; aether:skyroot_meadow</x:t>
        </x:is>
      </x:c>
      <x:c r="Q836" s="5" t="inlineStr">
        <x:is>
          <x:t xml:space="preserve">common</x:t>
        </x:is>
      </x:c>
      <x:c r="R836" s="5" t="inlineStr">
        <x:is>
          <x:t xml:space="preserve"/>
        </x:is>
      </x:c>
      <x:c r="S836" s="5" t="inlineStr">
        <x:is>
          <x:t xml:space="preserve"/>
        </x:is>
      </x:c>
      <x:c r="T836" s="5" t="inlineStr">
        <x:is>
          <x:t xml:space="preserve">육상</x:t>
        </x:is>
      </x:c>
      <x:c r="U836" s="5" t="inlineStr">
        <x:is>
          <x:t xml:space="preserve">개활지</x:t>
        </x:is>
      </x:c>
      <x:c r="V836" s="5" t="inlineStr">
        <x:is>
          <x:t xml:space="preserve">온대</x:t>
        </x:is>
      </x:c>
      <x:c r="W836" s="5" t="inlineStr">
        <x:is>
          <x:t xml:space="preserve">보통</x:t>
        </x:is>
      </x:c>
      <x:c r="X836" s="5" t="inlineStr">
        <x:is>
          <x:t xml:space="preserve">무관</x:t>
        </x:is>
      </x:c>
      <x:c r="Y836" s="5" t="inlineStr">
        <x:is>
          <x:t xml:space="preserve">무관</x:t>
        </x:is>
      </x:c>
      <x:c r="Z836" s="5" t="inlineStr">
        <x:is>
          <x:t xml:space="preserve">흔함</x:t>
        </x:is>
      </x:c>
      <x:c r="AA836" s="5" t="inlineStr">
        <x:is>
          <x:t xml:space="preserve">없음</x:t>
        </x:is>
      </x:c>
      <x:c r="AB836" s="5" t="inlineStr">
        <x:is>
          <x:t xml:space="preserve">평원</x:t>
        </x:is>
      </x:c>
      <x:c r="AC836" s="5" t="inlineStr">
        <x:is>
          <x:t xml:space="preserve">gen8</x:t>
        </x:is>
      </x:c>
      <x:c r="AD836" s="5" t="inlineStr">
        <x:is>
          <x:t xml:space="preserve">.tmp/cobblemon-1.7.3-source/common/src/main/resources/data/cobblemon/species/generation8/dubwool.json</x:t>
        </x:is>
      </x:c>
    </x:row>
    <x:row r="837" ht="22" customHeight="1">
      <x:c r="A837" s="5" t="n">
        <x:v>833</x:v>
      </x:c>
      <x:c r="B837" s="5" t="inlineStr">
        <x:is>
          <x:t xml:space="preserve">깨물부기</x:t>
        </x:is>
      </x:c>
      <x:c r="C837" s="5" t="inlineStr">
        <x:is>
          <x:t xml:space="preserve">chewtle</x:t>
        </x:is>
      </x:c>
      <x:c r="D837" s="5" t="inlineStr">
        <x:is>
          <x:t xml:space="preserve">Chewtle</x:t>
        </x:is>
      </x:c>
      <x:c r="E837" s="5" t="n">
        <x:v>8</x:v>
      </x:c>
      <x:c r="F837" s="5" t="inlineStr">
        <x:is>
          <x:t xml:space="preserve">물</x:t>
        </x:is>
      </x:c>
      <x:c r="G837" s="5" t="inlineStr">
        <x:is>
          <x:t xml:space="preserve"/>
        </x:is>
      </x:c>
      <x:c r="H837" s="5" t="n">
        <x:v>0.3</x:v>
      </x:c>
      <x:c r="I837" s="5" t="n">
        <x:v>8.5</x:v>
      </x:c>
      <x:c r="J837" s="5" t="n">
        <x:v>284</x:v>
      </x:c>
      <x:c r="K837" s="5" t="n">
        <x:v>255</x:v>
      </x:c>
      <x:c r="L837" s="5" t="inlineStr">
        <x:is>
          <x:t xml:space="preserve">기본</x:t>
        </x:is>
      </x:c>
      <x:c r="M837" s="5" t="n">
        <x:v>22</x:v>
      </x:c>
      <x:c r="N837" s="5" t="inlineStr">
        <x:is>
          <x:t xml:space="preserve">레벨</x:t>
        </x:is>
      </x:c>
      <x:c r="O837" s="5" t="inlineStr">
        <x:is>
          <x:t xml:space="preserve">예</x:t>
        </x:is>
      </x:c>
      <x:c r="P837" s="5" t="inlineStr">
        <x:is>
          <x:t xml:space="preserve">#cobblemon:is_arid; #cobblemon:is_freshwater; #cobblemon:is_hills; #cobblemon:is_jungle; #cobblemon:is_temperate</x:t>
        </x:is>
      </x:c>
      <x:c r="Q837" s="5" t="inlineStr">
        <x:is>
          <x:t xml:space="preserve">common</x:t>
        </x:is>
      </x:c>
      <x:c r="R837" s="5" t="inlineStr">
        <x:is>
          <x:t xml:space="preserve"/>
        </x:is>
      </x:c>
      <x:c r="S837" s="5" t="inlineStr">
        <x:is>
          <x:t xml:space="preserve"/>
        </x:is>
      </x:c>
      <x:c r="T837" s="5" t="inlineStr">
        <x:is>
          <x:t xml:space="preserve">담수</x:t>
        </x:is>
      </x:c>
      <x:c r="U837" s="5" t="inlineStr">
        <x:is>
          <x:t xml:space="preserve">담수</x:t>
        </x:is>
      </x:c>
      <x:c r="V837" s="5" t="inlineStr">
        <x:is>
          <x:t xml:space="preserve">온대</x:t>
        </x:is>
      </x:c>
      <x:c r="W837" s="5" t="inlineStr">
        <x:is>
          <x:t xml:space="preserve">수중</x:t>
        </x:is>
      </x:c>
      <x:c r="X837" s="5" t="inlineStr">
        <x:is>
          <x:t xml:space="preserve">비</x:t>
        </x:is>
      </x:c>
      <x:c r="Y837" s="5" t="inlineStr">
        <x:is>
          <x:t xml:space="preserve">무관</x:t>
        </x:is>
      </x:c>
      <x:c r="Z837" s="5" t="inlineStr">
        <x:is>
          <x:t xml:space="preserve">흔함</x:t>
        </x:is>
      </x:c>
      <x:c r="AA837" s="5" t="inlineStr">
        <x:is>
          <x:t xml:space="preserve">없음</x:t>
        </x:is>
      </x:c>
      <x:c r="AB837" s="5" t="inlineStr">
        <x:is>
          <x:t xml:space="preserve">담수</x:t>
        </x:is>
      </x:c>
      <x:c r="AC837" s="5" t="inlineStr">
        <x:is>
          <x:t xml:space="preserve">gen8</x:t>
        </x:is>
      </x:c>
      <x:c r="AD837" s="5" t="inlineStr">
        <x:is>
          <x:t xml:space="preserve">.tmp/cobblemon-1.7.3-source/common/src/main/resources/data/cobblemon/species/generation8/chewtle.json</x:t>
        </x:is>
      </x:c>
    </x:row>
    <x:row r="838" ht="22" customHeight="1">
      <x:c r="A838" s="5" t="n">
        <x:v>834</x:v>
      </x:c>
      <x:c r="B838" s="5" t="inlineStr">
        <x:is>
          <x:t xml:space="preserve">갈가부기</x:t>
        </x:is>
      </x:c>
      <x:c r="C838" s="5" t="inlineStr">
        <x:is>
          <x:t xml:space="preserve">drednaw</x:t>
        </x:is>
      </x:c>
      <x:c r="D838" s="5" t="inlineStr">
        <x:is>
          <x:t xml:space="preserve">Drednaw</x:t>
        </x:is>
      </x:c>
      <x:c r="E838" s="5" t="n">
        <x:v>8</x:v>
      </x:c>
      <x:c r="F838" s="5" t="inlineStr">
        <x:is>
          <x:t xml:space="preserve">물</x:t>
        </x:is>
      </x:c>
      <x:c r="G838" s="5" t="inlineStr">
        <x:is>
          <x:t xml:space="preserve">바위</x:t>
        </x:is>
      </x:c>
      <x:c r="H838" s="5" t="n">
        <x:v>1</x:v>
      </x:c>
      <x:c r="I838" s="5" t="n">
        <x:v>115.5</x:v>
      </x:c>
      <x:c r="J838" s="5" t="n">
        <x:v>485</x:v>
      </x:c>
      <x:c r="K838" s="5" t="n">
        <x:v>75</x:v>
      </x:c>
      <x:c r="L838" s="5" t="inlineStr">
        <x:is>
          <x:t xml:space="preserve">최종</x:t>
        </x:is>
      </x:c>
      <x:c r="M838" s="5" t="n">
        <x:v>22</x:v>
      </x:c>
      <x:c r="N838" s="5" t="inlineStr">
        <x:is>
          <x:t xml:space="preserve">레벨</x:t>
        </x:is>
      </x:c>
      <x:c r="O838" s="5" t="inlineStr">
        <x:is>
          <x:t xml:space="preserve">예</x:t>
        </x:is>
      </x:c>
      <x:c r="P838" s="5" t="inlineStr">
        <x:is>
          <x:t xml:space="preserve">#cobblemon:is_arid; #cobblemon:is_freshwater; #cobblemon:is_hills; #cobblemon:is_jungle; #cobblemon:is_temperate</x:t>
        </x:is>
      </x:c>
      <x:c r="Q838" s="5" t="inlineStr">
        <x:is>
          <x:t xml:space="preserve">common</x:t>
        </x:is>
      </x:c>
      <x:c r="R838" s="5" t="inlineStr">
        <x:is>
          <x:t xml:space="preserve"/>
        </x:is>
      </x:c>
      <x:c r="S838" s="5" t="inlineStr">
        <x:is>
          <x:t xml:space="preserve"/>
        </x:is>
      </x:c>
      <x:c r="T838" s="5" t="inlineStr">
        <x:is>
          <x:t xml:space="preserve">담수</x:t>
        </x:is>
      </x:c>
      <x:c r="U838" s="5" t="inlineStr">
        <x:is>
          <x:t xml:space="preserve">담수</x:t>
        </x:is>
      </x:c>
      <x:c r="V838" s="5" t="inlineStr">
        <x:is>
          <x:t xml:space="preserve">온대</x:t>
        </x:is>
      </x:c>
      <x:c r="W838" s="5" t="inlineStr">
        <x:is>
          <x:t xml:space="preserve">수중</x:t>
        </x:is>
      </x:c>
      <x:c r="X838" s="5" t="inlineStr">
        <x:is>
          <x:t xml:space="preserve">비</x:t>
        </x:is>
      </x:c>
      <x:c r="Y838" s="5" t="inlineStr">
        <x:is>
          <x:t xml:space="preserve">무관</x:t>
        </x:is>
      </x:c>
      <x:c r="Z838" s="5" t="inlineStr">
        <x:is>
          <x:t xml:space="preserve">흔함</x:t>
        </x:is>
      </x:c>
      <x:c r="AA838" s="5" t="inlineStr">
        <x:is>
          <x:t xml:space="preserve">없음</x:t>
        </x:is>
      </x:c>
      <x:c r="AB838" s="5" t="inlineStr">
        <x:is>
          <x:t xml:space="preserve">담수</x:t>
        </x:is>
      </x:c>
      <x:c r="AC838" s="5" t="inlineStr">
        <x:is>
          <x:t xml:space="preserve">gen8</x:t>
        </x:is>
      </x:c>
      <x:c r="AD838" s="5" t="inlineStr">
        <x:is>
          <x:t xml:space="preserve">.tmp/cobblemon-1.7.3-source/common/src/main/resources/data/cobblemon/species/generation8/drednaw.json</x:t>
        </x:is>
      </x:c>
    </x:row>
    <x:row r="839" ht="22" customHeight="1">
      <x:c r="A839" s="5" t="n">
        <x:v>835</x:v>
      </x:c>
      <x:c r="B839" s="5" t="inlineStr">
        <x:is>
          <x:t xml:space="preserve">멍파치</x:t>
        </x:is>
      </x:c>
      <x:c r="C839" s="5" t="inlineStr">
        <x:is>
          <x:t xml:space="preserve">yamper</x:t>
        </x:is>
      </x:c>
      <x:c r="D839" s="5" t="inlineStr">
        <x:is>
          <x:t xml:space="preserve">Yamper</x:t>
        </x:is>
      </x:c>
      <x:c r="E839" s="5" t="n">
        <x:v>8</x:v>
      </x:c>
      <x:c r="F839" s="5" t="inlineStr">
        <x:is>
          <x:t xml:space="preserve">전기</x:t>
        </x:is>
      </x:c>
      <x:c r="G839" s="5" t="inlineStr">
        <x:is>
          <x:t xml:space="preserve"/>
        </x:is>
      </x:c>
      <x:c r="H839" s="5" t="n">
        <x:v>0.3</x:v>
      </x:c>
      <x:c r="I839" s="5" t="n">
        <x:v>13.5</x:v>
      </x:c>
      <x:c r="J839" s="5" t="n">
        <x:v>270</x:v>
      </x:c>
      <x:c r="K839" s="5" t="n">
        <x:v>255</x:v>
      </x:c>
      <x:c r="L839" s="5" t="inlineStr">
        <x:is>
          <x:t xml:space="preserve">기본</x:t>
        </x:is>
      </x:c>
      <x:c r="M839" s="5" t="n">
        <x:v>25</x:v>
      </x:c>
      <x:c r="N839" s="5" t="inlineStr">
        <x:is>
          <x:t xml:space="preserve">레벨</x:t>
        </x:is>
      </x:c>
      <x:c r="O839" s="5" t="inlineStr">
        <x:is>
          <x:t xml:space="preserve">예</x:t>
        </x:is>
      </x:c>
      <x:c r="P839" s="5" t="inlineStr">
        <x:is>
          <x:t xml:space="preserve">#cobblemon:is_overworld</x:t>
        </x:is>
      </x:c>
      <x:c r="Q839" s="5" t="inlineStr">
        <x:is>
          <x:t xml:space="preserve">common</x:t>
        </x:is>
      </x:c>
      <x:c r="R839" s="5" t="inlineStr">
        <x:is>
          <x:t xml:space="preserve"/>
        </x:is>
      </x:c>
      <x:c r="S839" s="5" t="inlineStr">
        <x:is>
          <x:t xml:space="preserve"/>
        </x:is>
      </x:c>
      <x:c r="T839" s="5" t="inlineStr">
        <x:is>
          <x:t xml:space="preserve">육상</x:t>
        </x:is>
      </x:c>
      <x:c r="U839" s="5" t="inlineStr">
        <x:is>
          <x:t xml:space="preserve">개활지</x:t>
        </x:is>
      </x:c>
      <x:c r="V839" s="5" t="inlineStr">
        <x:is>
          <x:t xml:space="preserve">온대</x:t>
        </x:is>
      </x:c>
      <x:c r="W839" s="5" t="inlineStr">
        <x:is>
          <x:t xml:space="preserve">보통</x:t>
        </x:is>
      </x:c>
      <x:c r="X839" s="5" t="inlineStr">
        <x:is>
          <x:t xml:space="preserve">무관</x:t>
        </x:is>
      </x:c>
      <x:c r="Y839" s="5" t="inlineStr">
        <x:is>
          <x:t xml:space="preserve">무관</x:t>
        </x:is>
      </x:c>
      <x:c r="Z839" s="5" t="inlineStr">
        <x:is>
          <x:t xml:space="preserve">흔함</x:t>
        </x:is>
      </x:c>
      <x:c r="AA839" s="5" t="inlineStr">
        <x:is>
          <x:t xml:space="preserve">없음</x:t>
        </x:is>
      </x:c>
      <x:c r="AB839" s="5" t="inlineStr">
        <x:is>
          <x:t xml:space="preserve"/>
        </x:is>
      </x:c>
      <x:c r="AC839" s="5" t="inlineStr">
        <x:is>
          <x:t xml:space="preserve">gen8</x:t>
        </x:is>
      </x:c>
      <x:c r="AD839" s="5" t="inlineStr">
        <x:is>
          <x:t xml:space="preserve">.tmp/cobblemon-1.7.3-source/common/src/main/resources/data/cobblemon/species/generation8/yamper.json</x:t>
        </x:is>
      </x:c>
    </x:row>
    <x:row r="840" ht="22" customHeight="1">
      <x:c r="A840" s="5" t="n">
        <x:v>836</x:v>
      </x:c>
      <x:c r="B840" s="5" t="inlineStr">
        <x:is>
          <x:t xml:space="preserve">펄스멍</x:t>
        </x:is>
      </x:c>
      <x:c r="C840" s="5" t="inlineStr">
        <x:is>
          <x:t xml:space="preserve">boltund</x:t>
        </x:is>
      </x:c>
      <x:c r="D840" s="5" t="inlineStr">
        <x:is>
          <x:t xml:space="preserve">Boltund</x:t>
        </x:is>
      </x:c>
      <x:c r="E840" s="5" t="n">
        <x:v>8</x:v>
      </x:c>
      <x:c r="F840" s="5" t="inlineStr">
        <x:is>
          <x:t xml:space="preserve">전기</x:t>
        </x:is>
      </x:c>
      <x:c r="G840" s="5" t="inlineStr">
        <x:is>
          <x:t xml:space="preserve"/>
        </x:is>
      </x:c>
      <x:c r="H840" s="5" t="n">
        <x:v>1</x:v>
      </x:c>
      <x:c r="I840" s="5" t="n">
        <x:v>34</x:v>
      </x:c>
      <x:c r="J840" s="5" t="n">
        <x:v>490</x:v>
      </x:c>
      <x:c r="K840" s="5" t="n">
        <x:v>45</x:v>
      </x:c>
      <x:c r="L840" s="5" t="inlineStr">
        <x:is>
          <x:t xml:space="preserve">최종</x:t>
        </x:is>
      </x:c>
      <x:c r="M840" s="5" t="n">
        <x:v>25</x:v>
      </x:c>
      <x:c r="N840" s="5" t="inlineStr">
        <x:is>
          <x:t xml:space="preserve">레벨</x:t>
        </x:is>
      </x:c>
      <x:c r="O840" s="5" t="inlineStr">
        <x:is>
          <x:t xml:space="preserve">예</x:t>
        </x:is>
      </x:c>
      <x:c r="P840" s="5" t="inlineStr">
        <x:is>
          <x:t xml:space="preserve">#cobblemon:is_overworld</x:t>
        </x:is>
      </x:c>
      <x:c r="Q840" s="5" t="inlineStr">
        <x:is>
          <x:t xml:space="preserve">common</x:t>
        </x:is>
      </x:c>
      <x:c r="R840" s="5" t="inlineStr">
        <x:is>
          <x:t xml:space="preserve"/>
        </x:is>
      </x:c>
      <x:c r="S840" s="5" t="inlineStr">
        <x:is>
          <x:t xml:space="preserve"/>
        </x:is>
      </x:c>
      <x:c r="T840" s="5" t="inlineStr">
        <x:is>
          <x:t xml:space="preserve">육상</x:t>
        </x:is>
      </x:c>
      <x:c r="U840" s="5" t="inlineStr">
        <x:is>
          <x:t xml:space="preserve">개활지</x:t>
        </x:is>
      </x:c>
      <x:c r="V840" s="5" t="inlineStr">
        <x:is>
          <x:t xml:space="preserve">온대</x:t>
        </x:is>
      </x:c>
      <x:c r="W840" s="5" t="inlineStr">
        <x:is>
          <x:t xml:space="preserve">보통</x:t>
        </x:is>
      </x:c>
      <x:c r="X840" s="5" t="inlineStr">
        <x:is>
          <x:t xml:space="preserve">무관</x:t>
        </x:is>
      </x:c>
      <x:c r="Y840" s="5" t="inlineStr">
        <x:is>
          <x:t xml:space="preserve">무관</x:t>
        </x:is>
      </x:c>
      <x:c r="Z840" s="5" t="inlineStr">
        <x:is>
          <x:t xml:space="preserve">흔함</x:t>
        </x:is>
      </x:c>
      <x:c r="AA840" s="5" t="inlineStr">
        <x:is>
          <x:t xml:space="preserve">없음</x:t>
        </x:is>
      </x:c>
      <x:c r="AB840" s="5" t="inlineStr">
        <x:is>
          <x:t xml:space="preserve"/>
        </x:is>
      </x:c>
      <x:c r="AC840" s="5" t="inlineStr">
        <x:is>
          <x:t xml:space="preserve">gen8</x:t>
        </x:is>
      </x:c>
      <x:c r="AD840" s="5" t="inlineStr">
        <x:is>
          <x:t xml:space="preserve">.tmp/cobblemon-1.7.3-source/common/src/main/resources/data/cobblemon/species/generation8/boltund.json</x:t>
        </x:is>
      </x:c>
    </x:row>
    <x:row r="841" ht="22" customHeight="1">
      <x:c r="A841" s="5" t="n">
        <x:v>837</x:v>
      </x:c>
      <x:c r="B841" s="5" t="inlineStr">
        <x:is>
          <x:t xml:space="preserve">탄동</x:t>
        </x:is>
      </x:c>
      <x:c r="C841" s="5" t="inlineStr">
        <x:is>
          <x:t xml:space="preserve">rolycoly</x:t>
        </x:is>
      </x:c>
      <x:c r="D841" s="5" t="inlineStr">
        <x:is>
          <x:t xml:space="preserve">Rolycoly</x:t>
        </x:is>
      </x:c>
      <x:c r="E841" s="5" t="n">
        <x:v>8</x:v>
      </x:c>
      <x:c r="F841" s="5" t="inlineStr">
        <x:is>
          <x:t xml:space="preserve">바위</x:t>
        </x:is>
      </x:c>
      <x:c r="G841" s="5" t="inlineStr">
        <x:is>
          <x:t xml:space="preserve"/>
        </x:is>
      </x:c>
      <x:c r="H841" s="5" t="n">
        <x:v>0.3</x:v>
      </x:c>
      <x:c r="I841" s="5" t="n">
        <x:v>12</x:v>
      </x:c>
      <x:c r="J841" s="5" t="n">
        <x:v>240</x:v>
      </x:c>
      <x:c r="K841" s="5" t="n">
        <x:v>255</x:v>
      </x:c>
      <x:c r="L841" s="5" t="inlineStr">
        <x:is>
          <x:t xml:space="preserve">기본</x:t>
        </x:is>
      </x:c>
      <x:c r="M841" s="5" t="n">
        <x:v>34</x:v>
      </x:c>
      <x:c r="N841" s="5" t="inlineStr">
        <x:is>
          <x:t xml:space="preserve">레벨</x:t>
        </x:is>
      </x:c>
      <x:c r="O841" s="5" t="inlineStr">
        <x:is>
          <x:t xml:space="preserve">아니오</x:t>
        </x:is>
      </x:c>
      <x:c r="P841" s="5" t="inlineStr">
        <x:is>
          <x:t xml:space="preserve">#cobblemon:is_cave; #cobblemon:is_mountain</x:t>
        </x:is>
      </x:c>
      <x:c r="Q841" s="5" t="inlineStr">
        <x:is>
          <x:t xml:space="preserve">common; uncommon</x:t>
        </x:is>
      </x:c>
      <x:c r="R841" s="5" t="inlineStr">
        <x:is>
          <x:t xml:space="preserve"/>
        </x:is>
      </x:c>
      <x:c r="S841" s="5" t="inlineStr">
        <x:is>
          <x:t xml:space="preserve"/>
        </x:is>
      </x:c>
      <x:c r="T841" s="5" t="inlineStr">
        <x:is>
          <x:t xml:space="preserve">지하</x:t>
        </x:is>
      </x:c>
      <x:c r="U841" s="5" t="inlineStr">
        <x:is>
          <x:t xml:space="preserve">동굴</x:t>
        </x:is>
      </x:c>
      <x:c r="V841" s="5" t="inlineStr">
        <x:is>
          <x:t xml:space="preserve">온대</x:t>
        </x:is>
      </x:c>
      <x:c r="W841" s="5" t="inlineStr">
        <x:is>
          <x:t xml:space="preserve">보통</x:t>
        </x:is>
      </x:c>
      <x:c r="X841" s="5" t="inlineStr">
        <x:is>
          <x:t xml:space="preserve">무관</x:t>
        </x:is>
      </x:c>
      <x:c r="Y841" s="5" t="inlineStr">
        <x:is>
          <x:t xml:space="preserve">무관</x:t>
        </x:is>
      </x:c>
      <x:c r="Z841" s="5" t="inlineStr">
        <x:is>
          <x:t xml:space="preserve">보통</x:t>
        </x:is>
      </x:c>
      <x:c r="AA841" s="5" t="inlineStr">
        <x:is>
          <x:t xml:space="preserve">동굴</x:t>
        </x:is>
      </x:c>
      <x:c r="AB841" s="5" t="inlineStr">
        <x:is>
          <x:t xml:space="preserve">동굴</x:t>
        </x:is>
      </x:c>
      <x:c r="AC841" s="5" t="inlineStr">
        <x:is>
          <x:t xml:space="preserve">gen8</x:t>
        </x:is>
      </x:c>
      <x:c r="AD841" s="5" t="inlineStr">
        <x:is>
          <x:t xml:space="preserve">.tmp/cobblemon-1.7.3-source/common/src/main/resources/data/cobblemon/species/generation8/rolycoly.json</x:t>
        </x:is>
      </x:c>
    </x:row>
    <x:row r="842" ht="22" customHeight="1">
      <x:c r="A842" s="5" t="n">
        <x:v>838</x:v>
      </x:c>
      <x:c r="B842" s="5" t="inlineStr">
        <x:is>
          <x:t xml:space="preserve">탄차곤</x:t>
        </x:is>
      </x:c>
      <x:c r="C842" s="5" t="inlineStr">
        <x:is>
          <x:t xml:space="preserve">carkol</x:t>
        </x:is>
      </x:c>
      <x:c r="D842" s="5" t="inlineStr">
        <x:is>
          <x:t xml:space="preserve">Carkol</x:t>
        </x:is>
      </x:c>
      <x:c r="E842" s="5" t="n">
        <x:v>8</x:v>
      </x:c>
      <x:c r="F842" s="5" t="inlineStr">
        <x:is>
          <x:t xml:space="preserve">바위</x:t>
        </x:is>
      </x:c>
      <x:c r="G842" s="5" t="inlineStr">
        <x:is>
          <x:t xml:space="preserve">불꽃</x:t>
        </x:is>
      </x:c>
      <x:c r="H842" s="5" t="n">
        <x:v>1.1</x:v>
      </x:c>
      <x:c r="I842" s="5" t="n">
        <x:v>78</x:v>
      </x:c>
      <x:c r="J842" s="5" t="n">
        <x:v>410</x:v>
      </x:c>
      <x:c r="K842" s="5" t="n">
        <x:v>120</x:v>
      </x:c>
      <x:c r="L842" s="5" t="inlineStr">
        <x:is>
          <x:t xml:space="preserve">중간</x:t>
        </x:is>
      </x:c>
      <x:c r="M842" s="5" t="n">
        <x:v>34</x:v>
      </x:c>
      <x:c r="N842" s="5" t="inlineStr">
        <x:is>
          <x:t xml:space="preserve">레벨</x:t>
        </x:is>
      </x:c>
      <x:c r="O842" s="5" t="inlineStr">
        <x:is>
          <x:t xml:space="preserve">아니오</x:t>
        </x:is>
      </x:c>
      <x:c r="P842" s="5" t="inlineStr">
        <x:is>
          <x:t xml:space="preserve">#cobblemon:is_cave; #cobblemon:is_mountain</x:t>
        </x:is>
      </x:c>
      <x:c r="Q842" s="5" t="inlineStr">
        <x:is>
          <x:t xml:space="preserve">common; uncommon</x:t>
        </x:is>
      </x:c>
      <x:c r="R842" s="5" t="inlineStr">
        <x:is>
          <x:t xml:space="preserve"/>
        </x:is>
      </x:c>
      <x:c r="S842" s="5" t="inlineStr">
        <x:is>
          <x:t xml:space="preserve"/>
        </x:is>
      </x:c>
      <x:c r="T842" s="5" t="inlineStr">
        <x:is>
          <x:t xml:space="preserve">지하</x:t>
        </x:is>
      </x:c>
      <x:c r="U842" s="5" t="inlineStr">
        <x:is>
          <x:t xml:space="preserve">동굴</x:t>
        </x:is>
      </x:c>
      <x:c r="V842" s="5" t="inlineStr">
        <x:is>
          <x:t xml:space="preserve">고온</x:t>
        </x:is>
      </x:c>
      <x:c r="W842" s="5" t="inlineStr">
        <x:is>
          <x:t xml:space="preserve">보통</x:t>
        </x:is>
      </x:c>
      <x:c r="X842" s="5" t="inlineStr">
        <x:is>
          <x:t xml:space="preserve">무관</x:t>
        </x:is>
      </x:c>
      <x:c r="Y842" s="5" t="inlineStr">
        <x:is>
          <x:t xml:space="preserve">무관</x:t>
        </x:is>
      </x:c>
      <x:c r="Z842" s="5" t="inlineStr">
        <x:is>
          <x:t xml:space="preserve">보통</x:t>
        </x:is>
      </x:c>
      <x:c r="AA842" s="5" t="inlineStr">
        <x:is>
          <x:t xml:space="preserve">동굴</x:t>
        </x:is>
      </x:c>
      <x:c r="AB842" s="5" t="inlineStr">
        <x:is>
          <x:t xml:space="preserve">동굴</x:t>
        </x:is>
      </x:c>
      <x:c r="AC842" s="5" t="inlineStr">
        <x:is>
          <x:t xml:space="preserve">gen8</x:t>
        </x:is>
      </x:c>
      <x:c r="AD842" s="5" t="inlineStr">
        <x:is>
          <x:t xml:space="preserve">.tmp/cobblemon-1.7.3-source/common/src/main/resources/data/cobblemon/species/generation8/carkol.json</x:t>
        </x:is>
      </x:c>
    </x:row>
    <x:row r="843" ht="22" customHeight="1">
      <x:c r="A843" s="5" t="n">
        <x:v>839</x:v>
      </x:c>
      <x:c r="B843" s="5" t="inlineStr">
        <x:is>
          <x:t xml:space="preserve">석탄산</x:t>
        </x:is>
      </x:c>
      <x:c r="C843" s="5" t="inlineStr">
        <x:is>
          <x:t xml:space="preserve">coalossal</x:t>
        </x:is>
      </x:c>
      <x:c r="D843" s="5" t="inlineStr">
        <x:is>
          <x:t xml:space="preserve">Coalossal</x:t>
        </x:is>
      </x:c>
      <x:c r="E843" s="5" t="n">
        <x:v>8</x:v>
      </x:c>
      <x:c r="F843" s="5" t="inlineStr">
        <x:is>
          <x:t xml:space="preserve">바위</x:t>
        </x:is>
      </x:c>
      <x:c r="G843" s="5" t="inlineStr">
        <x:is>
          <x:t xml:space="preserve">불꽃</x:t>
        </x:is>
      </x:c>
      <x:c r="H843" s="5" t="n">
        <x:v>2.8</x:v>
      </x:c>
      <x:c r="I843" s="5" t="n">
        <x:v>310.5</x:v>
      </x:c>
      <x:c r="J843" s="5" t="n">
        <x:v>510</x:v>
      </x:c>
      <x:c r="K843" s="5" t="n">
        <x:v>45</x:v>
      </x:c>
      <x:c r="L843" s="5" t="inlineStr">
        <x:is>
          <x:t xml:space="preserve">최종</x:t>
        </x:is>
      </x:c>
      <x:c r="M843" s="5" t="n">
        <x:v>34</x:v>
      </x:c>
      <x:c r="N843" s="5" t="inlineStr">
        <x:is>
          <x:t xml:space="preserve">레벨</x:t>
        </x:is>
      </x:c>
      <x:c r="O843" s="5" t="inlineStr">
        <x:is>
          <x:t xml:space="preserve">아니오</x:t>
        </x:is>
      </x:c>
      <x:c r="P843" s="5" t="inlineStr">
        <x:is>
          <x:t xml:space="preserve">#cobblemon:is_cave; #cobblemon:is_mountain</x:t>
        </x:is>
      </x:c>
      <x:c r="Q843" s="5" t="inlineStr">
        <x:is>
          <x:t xml:space="preserve">rare; ultra-rare</x:t>
        </x:is>
      </x:c>
      <x:c r="R843" s="5" t="inlineStr">
        <x:is>
          <x:t xml:space="preserve"/>
        </x:is>
      </x:c>
      <x:c r="S843" s="5" t="inlineStr">
        <x:is>
          <x:t xml:space="preserve"/>
        </x:is>
      </x:c>
      <x:c r="T843" s="5" t="inlineStr">
        <x:is>
          <x:t xml:space="preserve">지하</x:t>
        </x:is>
      </x:c>
      <x:c r="U843" s="5" t="inlineStr">
        <x:is>
          <x:t xml:space="preserve">동굴</x:t>
        </x:is>
      </x:c>
      <x:c r="V843" s="5" t="inlineStr">
        <x:is>
          <x:t xml:space="preserve">고온</x:t>
        </x:is>
      </x:c>
      <x:c r="W843" s="5" t="inlineStr">
        <x:is>
          <x:t xml:space="preserve">보통</x:t>
        </x:is>
      </x:c>
      <x:c r="X843" s="5" t="inlineStr">
        <x:is>
          <x:t xml:space="preserve">무관</x:t>
        </x:is>
      </x:c>
      <x:c r="Y843" s="5" t="inlineStr">
        <x:is>
          <x:t xml:space="preserve">무관</x:t>
        </x:is>
      </x:c>
      <x:c r="Z843" s="5" t="inlineStr">
        <x:is>
          <x:t xml:space="preserve">희귀</x:t>
        </x:is>
      </x:c>
      <x:c r="AA843" s="5" t="inlineStr">
        <x:is>
          <x:t xml:space="preserve">동굴</x:t>
        </x:is>
      </x:c>
      <x:c r="AB843" s="5" t="inlineStr">
        <x:is>
          <x:t xml:space="preserve">동굴</x:t>
        </x:is>
      </x:c>
      <x:c r="AC843" s="5" t="inlineStr">
        <x:is>
          <x:t xml:space="preserve">gen8</x:t>
        </x:is>
      </x:c>
      <x:c r="AD843" s="5" t="inlineStr">
        <x:is>
          <x:t xml:space="preserve">.tmp/cobblemon-1.7.3-source/common/src/main/resources/data/cobblemon/species/generation8/coalossal.json</x:t>
        </x:is>
      </x:c>
    </x:row>
    <x:row r="844" ht="22" customHeight="1">
      <x:c r="A844" s="5" t="n">
        <x:v>840</x:v>
      </x:c>
      <x:c r="B844" s="5" t="inlineStr">
        <x:is>
          <x:t xml:space="preserve">과사삭벌레</x:t>
        </x:is>
      </x:c>
      <x:c r="C844" s="5" t="inlineStr">
        <x:is>
          <x:t xml:space="preserve">applin</x:t>
        </x:is>
      </x:c>
      <x:c r="D844" s="5" t="inlineStr">
        <x:is>
          <x:t xml:space="preserve">Applin</x:t>
        </x:is>
      </x:c>
      <x:c r="E844" s="5" t="n">
        <x:v>8</x:v>
      </x:c>
      <x:c r="F844" s="5" t="inlineStr">
        <x:is>
          <x:t xml:space="preserve">풀</x:t>
        </x:is>
      </x:c>
      <x:c r="G844" s="5" t="inlineStr">
        <x:is>
          <x:t xml:space="preserve">드래곤</x:t>
        </x:is>
      </x:c>
      <x:c r="H844" s="5" t="n">
        <x:v>0.2</x:v>
      </x:c>
      <x:c r="I844" s="5" t="n">
        <x:v>0.5</x:v>
      </x:c>
      <x:c r="J844" s="5" t="n">
        <x:v>260</x:v>
      </x:c>
      <x:c r="K844" s="5" t="n">
        <x:v>255</x:v>
      </x:c>
      <x:c r="L844" s="5" t="inlineStr">
        <x:is>
          <x:t xml:space="preserve">기본</x:t>
        </x:is>
      </x:c>
      <x:c r="M844" s="5" t="n"/>
      <x:c r="N844" s="5" t="inlineStr">
        <x:is>
          <x:t xml:space="preserve">특수</x:t>
        </x:is>
      </x:c>
      <x:c r="O844" s="5" t="inlineStr">
        <x:is>
          <x:t xml:space="preserve">아니오</x:t>
        </x:is>
      </x:c>
      <x:c r="P844" s="5" t="inlineStr">
        <x:is>
          <x:t xml:space="preserve">#cobblemon:is_forest</x:t>
        </x:is>
      </x:c>
      <x:c r="Q844" s="5" t="inlineStr">
        <x:is>
          <x:t xml:space="preserve">uncommon</x:t>
        </x:is>
      </x:c>
      <x:c r="R844" s="5" t="inlineStr">
        <x:is>
          <x:t xml:space="preserve"/>
        </x:is>
      </x:c>
      <x:c r="S844" s="5" t="inlineStr">
        <x:is>
          <x:t xml:space="preserve"/>
        </x:is>
      </x:c>
      <x:c r="T844" s="5" t="inlineStr">
        <x:is>
          <x:t xml:space="preserve">육상</x:t>
        </x:is>
      </x:c>
      <x:c r="U844" s="5" t="inlineStr">
        <x:is>
          <x:t xml:space="preserve">수목</x:t>
        </x:is>
      </x:c>
      <x:c r="V844" s="5" t="inlineStr">
        <x:is>
          <x:t xml:space="preserve">온대</x:t>
        </x:is>
      </x:c>
      <x:c r="W844" s="5" t="inlineStr">
        <x:is>
          <x:t xml:space="preserve">보통</x:t>
        </x:is>
      </x:c>
      <x:c r="X844" s="5" t="inlineStr">
        <x:is>
          <x:t xml:space="preserve">무관</x:t>
        </x:is>
      </x:c>
      <x:c r="Y844" s="5" t="inlineStr">
        <x:is>
          <x:t xml:space="preserve">무관</x:t>
        </x:is>
      </x:c>
      <x:c r="Z844" s="5" t="inlineStr">
        <x:is>
          <x:t xml:space="preserve">보통</x:t>
        </x:is>
      </x:c>
      <x:c r="AA844" s="5" t="inlineStr">
        <x:is>
          <x:t xml:space="preserve">없음</x:t>
        </x:is>
      </x:c>
      <x:c r="AB844" s="5" t="inlineStr">
        <x:is>
          <x:t xml:space="preserve">숲</x:t>
        </x:is>
      </x:c>
      <x:c r="AC844" s="5" t="inlineStr">
        <x:is>
          <x:t xml:space="preserve">gen8</x:t>
        </x:is>
      </x:c>
      <x:c r="AD844" s="5" t="inlineStr">
        <x:is>
          <x:t xml:space="preserve">.tmp/cobblemon-1.7.3-source/common/src/main/resources/data/cobblemon/species/generation8/applin.json</x:t>
        </x:is>
      </x:c>
    </x:row>
    <x:row r="845" ht="22" customHeight="1">
      <x:c r="A845" s="5" t="n">
        <x:v>841</x:v>
      </x:c>
      <x:c r="B845" s="5" t="inlineStr">
        <x:is>
          <x:t xml:space="preserve">애프룡</x:t>
        </x:is>
      </x:c>
      <x:c r="C845" s="5" t="inlineStr">
        <x:is>
          <x:t xml:space="preserve">flapple</x:t>
        </x:is>
      </x:c>
      <x:c r="D845" s="5" t="inlineStr">
        <x:is>
          <x:t xml:space="preserve">Flapple</x:t>
        </x:is>
      </x:c>
      <x:c r="E845" s="5" t="n">
        <x:v>8</x:v>
      </x:c>
      <x:c r="F845" s="5" t="inlineStr">
        <x:is>
          <x:t xml:space="preserve">풀</x:t>
        </x:is>
      </x:c>
      <x:c r="G845" s="5" t="inlineStr">
        <x:is>
          <x:t xml:space="preserve">드래곤</x:t>
        </x:is>
      </x:c>
      <x:c r="H845" s="5" t="n">
        <x:v>0.3</x:v>
      </x:c>
      <x:c r="I845" s="5" t="n">
        <x:v>1</x:v>
      </x:c>
      <x:c r="J845" s="5" t="n">
        <x:v>485</x:v>
      </x:c>
      <x:c r="K845" s="5" t="n">
        <x:v>45</x:v>
      </x:c>
      <x:c r="L845" s="5" t="inlineStr">
        <x:is>
          <x:t xml:space="preserve">최종</x:t>
        </x:is>
      </x:c>
      <x:c r="M845" s="5" t="n"/>
      <x:c r="N845" s="5" t="inlineStr">
        <x:is>
          <x:t xml:space="preserve">특수</x:t>
        </x:is>
      </x:c>
      <x:c r="O845" s="5" t="inlineStr">
        <x:is>
          <x:t xml:space="preserve">아니오</x:t>
        </x:is>
      </x:c>
      <x:c r="P845" s="5" t="inlineStr">
        <x:is>
          <x:t xml:space="preserve">#cobblemon:is_forest</x:t>
        </x:is>
      </x:c>
      <x:c r="Q845" s="5" t="inlineStr">
        <x:is>
          <x:t xml:space="preserve">rare</x:t>
        </x:is>
      </x:c>
      <x:c r="R845" s="5" t="inlineStr">
        <x:is>
          <x:t xml:space="preserve"/>
        </x:is>
      </x:c>
      <x:c r="S845" s="5" t="inlineStr">
        <x:is>
          <x:t xml:space="preserve"/>
        </x:is>
      </x:c>
      <x:c r="T845" s="5" t="inlineStr">
        <x:is>
          <x:t xml:space="preserve">비행</x:t>
        </x:is>
      </x:c>
      <x:c r="U845" s="5" t="inlineStr">
        <x:is>
          <x:t xml:space="preserve">수목</x:t>
        </x:is>
      </x:c>
      <x:c r="V845" s="5" t="inlineStr">
        <x:is>
          <x:t xml:space="preserve">온대</x:t>
        </x:is>
      </x:c>
      <x:c r="W845" s="5" t="inlineStr">
        <x:is>
          <x:t xml:space="preserve">보통</x:t>
        </x:is>
      </x:c>
      <x:c r="X845" s="5" t="inlineStr">
        <x:is>
          <x:t xml:space="preserve">무관</x:t>
        </x:is>
      </x:c>
      <x:c r="Y845" s="5" t="inlineStr">
        <x:is>
          <x:t xml:space="preserve">무관</x:t>
        </x:is>
      </x:c>
      <x:c r="Z845" s="5" t="inlineStr">
        <x:is>
          <x:t xml:space="preserve">드묾</x:t>
        </x:is>
      </x:c>
      <x:c r="AA845" s="5" t="inlineStr">
        <x:is>
          <x:t xml:space="preserve">없음</x:t>
        </x:is>
      </x:c>
      <x:c r="AB845" s="5" t="inlineStr">
        <x:is>
          <x:t xml:space="preserve">숲</x:t>
        </x:is>
      </x:c>
      <x:c r="AC845" s="5" t="inlineStr">
        <x:is>
          <x:t xml:space="preserve">gen8</x:t>
        </x:is>
      </x:c>
      <x:c r="AD845" s="5" t="inlineStr">
        <x:is>
          <x:t xml:space="preserve">.tmp/cobblemon-1.7.3-source/common/src/main/resources/data/cobblemon/species/generation8/flapple.json</x:t>
        </x:is>
      </x:c>
    </x:row>
    <x:row r="846" ht="22" customHeight="1">
      <x:c r="A846" s="5" t="n">
        <x:v>842</x:v>
      </x:c>
      <x:c r="B846" s="5" t="inlineStr">
        <x:is>
          <x:t xml:space="preserve">단지래플</x:t>
        </x:is>
      </x:c>
      <x:c r="C846" s="5" t="inlineStr">
        <x:is>
          <x:t xml:space="preserve">appletun</x:t>
        </x:is>
      </x:c>
      <x:c r="D846" s="5" t="inlineStr">
        <x:is>
          <x:t xml:space="preserve">Appletun</x:t>
        </x:is>
      </x:c>
      <x:c r="E846" s="5" t="n">
        <x:v>8</x:v>
      </x:c>
      <x:c r="F846" s="5" t="inlineStr">
        <x:is>
          <x:t xml:space="preserve">풀</x:t>
        </x:is>
      </x:c>
      <x:c r="G846" s="5" t="inlineStr">
        <x:is>
          <x:t xml:space="preserve">드래곤</x:t>
        </x:is>
      </x:c>
      <x:c r="H846" s="5" t="n">
        <x:v>0.4</x:v>
      </x:c>
      <x:c r="I846" s="5" t="n">
        <x:v>13</x:v>
      </x:c>
      <x:c r="J846" s="5" t="n">
        <x:v>485</x:v>
      </x:c>
      <x:c r="K846" s="5" t="n">
        <x:v>45</x:v>
      </x:c>
      <x:c r="L846" s="5" t="inlineStr">
        <x:is>
          <x:t xml:space="preserve">최종</x:t>
        </x:is>
      </x:c>
      <x:c r="M846" s="5" t="n"/>
      <x:c r="N846" s="5" t="inlineStr">
        <x:is>
          <x:t xml:space="preserve">특수</x:t>
        </x:is>
      </x:c>
      <x:c r="O846" s="5" t="inlineStr">
        <x:is>
          <x:t xml:space="preserve">아니오</x:t>
        </x:is>
      </x:c>
      <x:c r="P846" s="5" t="inlineStr">
        <x:is>
          <x:t xml:space="preserve">#cobblemon:is_forest</x:t>
        </x:is>
      </x:c>
      <x:c r="Q846" s="5" t="inlineStr">
        <x:is>
          <x:t xml:space="preserve">rare</x:t>
        </x:is>
      </x:c>
      <x:c r="R846" s="5" t="inlineStr">
        <x:is>
          <x:t xml:space="preserve"/>
        </x:is>
      </x:c>
      <x:c r="S846" s="5" t="inlineStr">
        <x:is>
          <x:t xml:space="preserve"/>
        </x:is>
      </x:c>
      <x:c r="T846" s="5" t="inlineStr">
        <x:is>
          <x:t xml:space="preserve">육상</x:t>
        </x:is>
      </x:c>
      <x:c r="U846" s="5" t="inlineStr">
        <x:is>
          <x:t xml:space="preserve">수목</x:t>
        </x:is>
      </x:c>
      <x:c r="V846" s="5" t="inlineStr">
        <x:is>
          <x:t xml:space="preserve">온대</x:t>
        </x:is>
      </x:c>
      <x:c r="W846" s="5" t="inlineStr">
        <x:is>
          <x:t xml:space="preserve">보통</x:t>
        </x:is>
      </x:c>
      <x:c r="X846" s="5" t="inlineStr">
        <x:is>
          <x:t xml:space="preserve">무관</x:t>
        </x:is>
      </x:c>
      <x:c r="Y846" s="5" t="inlineStr">
        <x:is>
          <x:t xml:space="preserve">무관</x:t>
        </x:is>
      </x:c>
      <x:c r="Z846" s="5" t="inlineStr">
        <x:is>
          <x:t xml:space="preserve">드묾</x:t>
        </x:is>
      </x:c>
      <x:c r="AA846" s="5" t="inlineStr">
        <x:is>
          <x:t xml:space="preserve">없음</x:t>
        </x:is>
      </x:c>
      <x:c r="AB846" s="5" t="inlineStr">
        <x:is>
          <x:t xml:space="preserve">숲</x:t>
        </x:is>
      </x:c>
      <x:c r="AC846" s="5" t="inlineStr">
        <x:is>
          <x:t xml:space="preserve">gen8</x:t>
        </x:is>
      </x:c>
      <x:c r="AD846" s="5" t="inlineStr">
        <x:is>
          <x:t xml:space="preserve">.tmp/cobblemon-1.7.3-source/common/src/main/resources/data/cobblemon/species/generation8/appletun.json</x:t>
        </x:is>
      </x:c>
    </x:row>
    <x:row r="847" ht="22" customHeight="1">
      <x:c r="A847" s="5" t="n">
        <x:v>843</x:v>
      </x:c>
      <x:c r="B847" s="5" t="inlineStr">
        <x:is>
          <x:t xml:space="preserve">모래뱀</x:t>
        </x:is>
      </x:c>
      <x:c r="C847" s="5" t="inlineStr">
        <x:is>
          <x:t xml:space="preserve">silicobra</x:t>
        </x:is>
      </x:c>
      <x:c r="D847" s="5" t="inlineStr">
        <x:is>
          <x:t xml:space="preserve">Silicobra</x:t>
        </x:is>
      </x:c>
      <x:c r="E847" s="5" t="n">
        <x:v>8</x:v>
      </x:c>
      <x:c r="F847" s="5" t="inlineStr">
        <x:is>
          <x:t xml:space="preserve">땅</x:t>
        </x:is>
      </x:c>
      <x:c r="G847" s="5" t="inlineStr">
        <x:is>
          <x:t xml:space="preserve"/>
        </x:is>
      </x:c>
      <x:c r="H847" s="5" t="n">
        <x:v>2.2</x:v>
      </x:c>
      <x:c r="I847" s="5" t="n">
        <x:v>7.6</x:v>
      </x:c>
      <x:c r="J847" s="5" t="n">
        <x:v>315</x:v>
      </x:c>
      <x:c r="K847" s="5" t="n">
        <x:v>255</x:v>
      </x:c>
      <x:c r="L847" s="5" t="inlineStr">
        <x:is>
          <x:t xml:space="preserve">기본</x:t>
        </x:is>
      </x:c>
      <x:c r="M847" s="5" t="n">
        <x:v>36</x:v>
      </x:c>
      <x:c r="N847" s="5" t="inlineStr">
        <x:is>
          <x:t xml:space="preserve">레벨</x:t>
        </x:is>
      </x:c>
      <x:c r="O847" s="5" t="inlineStr">
        <x:is>
          <x:t xml:space="preserve">예</x:t>
        </x:is>
      </x:c>
      <x:c r="P847" s="5" t="inlineStr">
        <x:is>
          <x:t xml:space="preserve">#cobblemon:is_desert</x:t>
        </x:is>
      </x:c>
      <x:c r="Q847" s="5" t="inlineStr">
        <x:is>
          <x:t xml:space="preserve">common</x:t>
        </x:is>
      </x:c>
      <x:c r="R847" s="5" t="inlineStr">
        <x:is>
          <x:t xml:space="preserve"/>
        </x:is>
      </x:c>
      <x:c r="S847" s="5" t="inlineStr">
        <x:is>
          <x:t xml:space="preserve"/>
        </x:is>
      </x:c>
      <x:c r="T847" s="5" t="inlineStr">
        <x:is>
          <x:t xml:space="preserve">육상</x:t>
        </x:is>
      </x:c>
      <x:c r="U847" s="5" t="inlineStr">
        <x:is>
          <x:t xml:space="preserve">건조</x:t>
        </x:is>
      </x:c>
      <x:c r="V847" s="5" t="inlineStr">
        <x:is>
          <x:t xml:space="preserve">고온</x:t>
        </x:is>
      </x:c>
      <x:c r="W847" s="5" t="inlineStr">
        <x:is>
          <x:t xml:space="preserve">건조</x:t>
        </x:is>
      </x:c>
      <x:c r="X847" s="5" t="inlineStr">
        <x:is>
          <x:t xml:space="preserve">맑음</x:t>
        </x:is>
      </x:c>
      <x:c r="Y847" s="5" t="inlineStr">
        <x:is>
          <x:t xml:space="preserve">무관</x:t>
        </x:is>
      </x:c>
      <x:c r="Z847" s="5" t="inlineStr">
        <x:is>
          <x:t xml:space="preserve">흔함</x:t>
        </x:is>
      </x:c>
      <x:c r="AA847" s="5" t="inlineStr">
        <x:is>
          <x:t xml:space="preserve">없음</x:t>
        </x:is>
      </x:c>
      <x:c r="AB847" s="5" t="inlineStr">
        <x:is>
          <x:t xml:space="preserve">건조지</x:t>
        </x:is>
      </x:c>
      <x:c r="AC847" s="5" t="inlineStr">
        <x:is>
          <x:t xml:space="preserve">gen8</x:t>
        </x:is>
      </x:c>
      <x:c r="AD847" s="5" t="inlineStr">
        <x:is>
          <x:t xml:space="preserve">.tmp/cobblemon-1.7.3-source/common/src/main/resources/data/cobblemon/species/generation8/silicobra.json</x:t>
        </x:is>
      </x:c>
    </x:row>
    <x:row r="848" ht="22" customHeight="1">
      <x:c r="A848" s="5" t="n">
        <x:v>844</x:v>
      </x:c>
      <x:c r="B848" s="5" t="inlineStr">
        <x:is>
          <x:t xml:space="preserve">사다이사</x:t>
        </x:is>
      </x:c>
      <x:c r="C848" s="5" t="inlineStr">
        <x:is>
          <x:t xml:space="preserve">sandaconda</x:t>
        </x:is>
      </x:c>
      <x:c r="D848" s="5" t="inlineStr">
        <x:is>
          <x:t xml:space="preserve">Sandaconda</x:t>
        </x:is>
      </x:c>
      <x:c r="E848" s="5" t="n">
        <x:v>8</x:v>
      </x:c>
      <x:c r="F848" s="5" t="inlineStr">
        <x:is>
          <x:t xml:space="preserve">땅</x:t>
        </x:is>
      </x:c>
      <x:c r="G848" s="5" t="inlineStr">
        <x:is>
          <x:t xml:space="preserve"/>
        </x:is>
      </x:c>
      <x:c r="H848" s="5" t="n">
        <x:v>3.8</x:v>
      </x:c>
      <x:c r="I848" s="5" t="n">
        <x:v>65.5</x:v>
      </x:c>
      <x:c r="J848" s="5" t="n">
        <x:v>510</x:v>
      </x:c>
      <x:c r="K848" s="5" t="n">
        <x:v>120</x:v>
      </x:c>
      <x:c r="L848" s="5" t="inlineStr">
        <x:is>
          <x:t xml:space="preserve">최종</x:t>
        </x:is>
      </x:c>
      <x:c r="M848" s="5" t="n">
        <x:v>36</x:v>
      </x:c>
      <x:c r="N848" s="5" t="inlineStr">
        <x:is>
          <x:t xml:space="preserve">레벨</x:t>
        </x:is>
      </x:c>
      <x:c r="O848" s="5" t="inlineStr">
        <x:is>
          <x:t xml:space="preserve">예</x:t>
        </x:is>
      </x:c>
      <x:c r="P848" s="5" t="inlineStr">
        <x:is>
          <x:t xml:space="preserve">#cobblemon:is_desert</x:t>
        </x:is>
      </x:c>
      <x:c r="Q848" s="5" t="inlineStr">
        <x:is>
          <x:t xml:space="preserve">common</x:t>
        </x:is>
      </x:c>
      <x:c r="R848" s="5" t="inlineStr">
        <x:is>
          <x:t xml:space="preserve"/>
        </x:is>
      </x:c>
      <x:c r="S848" s="5" t="inlineStr">
        <x:is>
          <x:t xml:space="preserve"/>
        </x:is>
      </x:c>
      <x:c r="T848" s="5" t="inlineStr">
        <x:is>
          <x:t xml:space="preserve">육상</x:t>
        </x:is>
      </x:c>
      <x:c r="U848" s="5" t="inlineStr">
        <x:is>
          <x:t xml:space="preserve">건조</x:t>
        </x:is>
      </x:c>
      <x:c r="V848" s="5" t="inlineStr">
        <x:is>
          <x:t xml:space="preserve">고온</x:t>
        </x:is>
      </x:c>
      <x:c r="W848" s="5" t="inlineStr">
        <x:is>
          <x:t xml:space="preserve">건조</x:t>
        </x:is>
      </x:c>
      <x:c r="X848" s="5" t="inlineStr">
        <x:is>
          <x:t xml:space="preserve">맑음</x:t>
        </x:is>
      </x:c>
      <x:c r="Y848" s="5" t="inlineStr">
        <x:is>
          <x:t xml:space="preserve">무관</x:t>
        </x:is>
      </x:c>
      <x:c r="Z848" s="5" t="inlineStr">
        <x:is>
          <x:t xml:space="preserve">흔함</x:t>
        </x:is>
      </x:c>
      <x:c r="AA848" s="5" t="inlineStr">
        <x:is>
          <x:t xml:space="preserve">없음</x:t>
        </x:is>
      </x:c>
      <x:c r="AB848" s="5" t="inlineStr">
        <x:is>
          <x:t xml:space="preserve">건조지</x:t>
        </x:is>
      </x:c>
      <x:c r="AC848" s="5" t="inlineStr">
        <x:is>
          <x:t xml:space="preserve">gen8</x:t>
        </x:is>
      </x:c>
      <x:c r="AD848" s="5" t="inlineStr">
        <x:is>
          <x:t xml:space="preserve">.tmp/cobblemon-1.7.3-source/common/src/main/resources/data/cobblemon/species/generation8/sandaconda.json</x:t>
        </x:is>
      </x:c>
    </x:row>
    <x:row r="849" ht="22" customHeight="1">
      <x:c r="A849" s="5" t="n">
        <x:v>845</x:v>
      </x:c>
      <x:c r="B849" s="5" t="inlineStr">
        <x:is>
          <x:t xml:space="preserve">윽우지</x:t>
        </x:is>
      </x:c>
      <x:c r="C849" s="5" t="inlineStr">
        <x:is>
          <x:t xml:space="preserve">cramorant</x:t>
        </x:is>
      </x:c>
      <x:c r="D849" s="5" t="inlineStr">
        <x:is>
          <x:t xml:space="preserve">Cramorant</x:t>
        </x:is>
      </x:c>
      <x:c r="E849" s="5" t="n">
        <x:v>8</x:v>
      </x:c>
      <x:c r="F849" s="5" t="inlineStr">
        <x:is>
          <x:t xml:space="preserve">비행</x:t>
        </x:is>
      </x:c>
      <x:c r="G849" s="5" t="inlineStr">
        <x:is>
          <x:t xml:space="preserve">물</x:t>
        </x:is>
      </x:c>
      <x:c r="H849" s="5" t="n">
        <x:v>0.8</x:v>
      </x:c>
      <x:c r="I849" s="5" t="n">
        <x:v>18</x:v>
      </x:c>
      <x:c r="J849" s="5" t="n">
        <x:v>475</x:v>
      </x:c>
      <x:c r="K849" s="5" t="n">
        <x:v>45</x:v>
      </x:c>
      <x:c r="L849" s="5" t="inlineStr">
        <x:is>
          <x:t xml:space="preserve">무진화</x:t>
        </x:is>
      </x:c>
      <x:c r="M849" s="5" t="n"/>
      <x:c r="N849" s="5" t="inlineStr">
        <x:is>
          <x:t xml:space="preserve">없음</x:t>
        </x:is>
      </x:c>
      <x:c r="O849" s="5" t="inlineStr">
        <x:is>
          <x:t xml:space="preserve">예</x:t>
        </x:is>
      </x:c>
      <x:c r="P849" s="5" t="inlineStr">
        <x:is>
          <x:t xml:space="preserve">#aether:is_aether; #cobblemon:is_coast; #cobblemon:is_island; #cobblemon:is_ocean; #cobblemon:is_sky</x:t>
        </x:is>
      </x:c>
      <x:c r="Q849" s="5" t="inlineStr">
        <x:is>
          <x:t xml:space="preserve">common; uncommon</x:t>
        </x:is>
      </x:c>
      <x:c r="R849" s="5" t="inlineStr">
        <x:is>
          <x:t xml:space="preserve">day</x:t>
        </x:is>
      </x:c>
      <x:c r="S849" s="5" t="inlineStr">
        <x:is>
          <x:t xml:space="preserve"/>
        </x:is>
      </x:c>
      <x:c r="T849" s="5" t="inlineStr">
        <x:is>
          <x:t xml:space="preserve">해양</x:t>
        </x:is>
      </x:c>
      <x:c r="U849" s="5" t="inlineStr">
        <x:is>
          <x:t xml:space="preserve">해안·해양</x:t>
        </x:is>
      </x:c>
      <x:c r="V849" s="5" t="inlineStr">
        <x:is>
          <x:t xml:space="preserve">온대</x:t>
        </x:is>
      </x:c>
      <x:c r="W849" s="5" t="inlineStr">
        <x:is>
          <x:t xml:space="preserve">수중</x:t>
        </x:is>
      </x:c>
      <x:c r="X849" s="5" t="inlineStr">
        <x:is>
          <x:t xml:space="preserve">비</x:t>
        </x:is>
      </x:c>
      <x:c r="Y849" s="5" t="inlineStr">
        <x:is>
          <x:t xml:space="preserve">낮</x:t>
        </x:is>
      </x:c>
      <x:c r="Z849" s="5" t="inlineStr">
        <x:is>
          <x:t xml:space="preserve">보통</x:t>
        </x:is>
      </x:c>
      <x:c r="AA849" s="5" t="inlineStr">
        <x:is>
          <x:t xml:space="preserve">없음</x:t>
        </x:is>
      </x:c>
      <x:c r="AB849" s="5" t="inlineStr">
        <x:is>
          <x:t xml:space="preserve">해양</x:t>
        </x:is>
      </x:c>
      <x:c r="AC849" s="5" t="inlineStr">
        <x:is>
          <x:t xml:space="preserve">gen8</x:t>
        </x:is>
      </x:c>
      <x:c r="AD849" s="5" t="inlineStr">
        <x:is>
          <x:t xml:space="preserve">.tmp/cobblemon-1.7.3-source/common/src/main/resources/data/cobblemon/species/generation8/cramorant.json</x:t>
        </x:is>
      </x:c>
    </x:row>
    <x:row r="850" ht="22" customHeight="1">
      <x:c r="A850" s="5" t="n">
        <x:v>846</x:v>
      </x:c>
      <x:c r="B850" s="5" t="inlineStr">
        <x:is>
          <x:t xml:space="preserve">찌로꼬치</x:t>
        </x:is>
      </x:c>
      <x:c r="C850" s="5" t="inlineStr">
        <x:is>
          <x:t xml:space="preserve">arrokuda</x:t>
        </x:is>
      </x:c>
      <x:c r="D850" s="5" t="inlineStr">
        <x:is>
          <x:t xml:space="preserve">Arrokuda</x:t>
        </x:is>
      </x:c>
      <x:c r="E850" s="5" t="n">
        <x:v>8</x:v>
      </x:c>
      <x:c r="F850" s="5" t="inlineStr">
        <x:is>
          <x:t xml:space="preserve">물</x:t>
        </x:is>
      </x:c>
      <x:c r="G850" s="5" t="inlineStr">
        <x:is>
          <x:t xml:space="preserve"/>
        </x:is>
      </x:c>
      <x:c r="H850" s="5" t="n">
        <x:v>0.5</x:v>
      </x:c>
      <x:c r="I850" s="5" t="n">
        <x:v>1</x:v>
      </x:c>
      <x:c r="J850" s="5" t="n">
        <x:v>280</x:v>
      </x:c>
      <x:c r="K850" s="5" t="n">
        <x:v>255</x:v>
      </x:c>
      <x:c r="L850" s="5" t="inlineStr">
        <x:is>
          <x:t xml:space="preserve">기본</x:t>
        </x:is>
      </x:c>
      <x:c r="M850" s="5" t="n">
        <x:v>26</x:v>
      </x:c>
      <x:c r="N850" s="5" t="inlineStr">
        <x:is>
          <x:t xml:space="preserve">레벨</x:t>
        </x:is>
      </x:c>
      <x:c r="O850" s="5" t="inlineStr">
        <x:is>
          <x:t xml:space="preserve">예</x:t>
        </x:is>
      </x:c>
      <x:c r="P850" s="5" t="inlineStr">
        <x:is>
          <x:t xml:space="preserve">#aether:is_aether; #cobblemon:is_coast; #cobblemon:is_ocean; #cobblemon:is_swamp</x:t>
        </x:is>
      </x:c>
      <x:c r="Q850" s="5" t="inlineStr">
        <x:is>
          <x:t xml:space="preserve">common</x:t>
        </x:is>
      </x:c>
      <x:c r="R850" s="5" t="inlineStr">
        <x:is>
          <x:t xml:space="preserve"/>
        </x:is>
      </x:c>
      <x:c r="S850" s="5" t="inlineStr">
        <x:is>
          <x:t xml:space="preserve"/>
        </x:is>
      </x:c>
      <x:c r="T850" s="5" t="inlineStr">
        <x:is>
          <x:t xml:space="preserve">해양</x:t>
        </x:is>
      </x:c>
      <x:c r="U850" s="5" t="inlineStr">
        <x:is>
          <x:t xml:space="preserve">해안·해양</x:t>
        </x:is>
      </x:c>
      <x:c r="V850" s="5" t="inlineStr">
        <x:is>
          <x:t xml:space="preserve">온대</x:t>
        </x:is>
      </x:c>
      <x:c r="W850" s="5" t="inlineStr">
        <x:is>
          <x:t xml:space="preserve">수중</x:t>
        </x:is>
      </x:c>
      <x:c r="X850" s="5" t="inlineStr">
        <x:is>
          <x:t xml:space="preserve">비</x:t>
        </x:is>
      </x:c>
      <x:c r="Y850" s="5" t="inlineStr">
        <x:is>
          <x:t xml:space="preserve">무관</x:t>
        </x:is>
      </x:c>
      <x:c r="Z850" s="5" t="inlineStr">
        <x:is>
          <x:t xml:space="preserve">흔함</x:t>
        </x:is>
      </x:c>
      <x:c r="AA850" s="5" t="inlineStr">
        <x:is>
          <x:t xml:space="preserve">없음</x:t>
        </x:is>
      </x:c>
      <x:c r="AB850" s="5" t="inlineStr">
        <x:is>
          <x:t xml:space="preserve">해양</x:t>
        </x:is>
      </x:c>
      <x:c r="AC850" s="5" t="inlineStr">
        <x:is>
          <x:t xml:space="preserve">gen8</x:t>
        </x:is>
      </x:c>
      <x:c r="AD850" s="5" t="inlineStr">
        <x:is>
          <x:t xml:space="preserve">.tmp/cobblemon-1.7.3-source/common/src/main/resources/data/cobblemon/species/generation8/arrokuda.json</x:t>
        </x:is>
      </x:c>
    </x:row>
    <x:row r="851" ht="22" customHeight="1">
      <x:c r="A851" s="5" t="n">
        <x:v>847</x:v>
      </x:c>
      <x:c r="B851" s="5" t="inlineStr">
        <x:is>
          <x:t xml:space="preserve">꼬치조</x:t>
        </x:is>
      </x:c>
      <x:c r="C851" s="5" t="inlineStr">
        <x:is>
          <x:t xml:space="preserve">barraskewda</x:t>
        </x:is>
      </x:c>
      <x:c r="D851" s="5" t="inlineStr">
        <x:is>
          <x:t xml:space="preserve">Barraskewda</x:t>
        </x:is>
      </x:c>
      <x:c r="E851" s="5" t="n">
        <x:v>8</x:v>
      </x:c>
      <x:c r="F851" s="5" t="inlineStr">
        <x:is>
          <x:t xml:space="preserve">물</x:t>
        </x:is>
      </x:c>
      <x:c r="G851" s="5" t="inlineStr">
        <x:is>
          <x:t xml:space="preserve"/>
        </x:is>
      </x:c>
      <x:c r="H851" s="5" t="n">
        <x:v>1.3</x:v>
      </x:c>
      <x:c r="I851" s="5" t="n">
        <x:v>30</x:v>
      </x:c>
      <x:c r="J851" s="5" t="n">
        <x:v>490</x:v>
      </x:c>
      <x:c r="K851" s="5" t="n">
        <x:v>60</x:v>
      </x:c>
      <x:c r="L851" s="5" t="inlineStr">
        <x:is>
          <x:t xml:space="preserve">최종</x:t>
        </x:is>
      </x:c>
      <x:c r="M851" s="5" t="n">
        <x:v>26</x:v>
      </x:c>
      <x:c r="N851" s="5" t="inlineStr">
        <x:is>
          <x:t xml:space="preserve">레벨</x:t>
        </x:is>
      </x:c>
      <x:c r="O851" s="5" t="inlineStr">
        <x:is>
          <x:t xml:space="preserve">예</x:t>
        </x:is>
      </x:c>
      <x:c r="P851" s="5" t="inlineStr">
        <x:is>
          <x:t xml:space="preserve">#aether:is_aether; #cobblemon:is_coast; #cobblemon:is_ocean; #cobblemon:is_swamp</x:t>
        </x:is>
      </x:c>
      <x:c r="Q851" s="5" t="inlineStr">
        <x:is>
          <x:t xml:space="preserve">common</x:t>
        </x:is>
      </x:c>
      <x:c r="R851" s="5" t="inlineStr">
        <x:is>
          <x:t xml:space="preserve"/>
        </x:is>
      </x:c>
      <x:c r="S851" s="5" t="inlineStr">
        <x:is>
          <x:t xml:space="preserve"/>
        </x:is>
      </x:c>
      <x:c r="T851" s="5" t="inlineStr">
        <x:is>
          <x:t xml:space="preserve">해양</x:t>
        </x:is>
      </x:c>
      <x:c r="U851" s="5" t="inlineStr">
        <x:is>
          <x:t xml:space="preserve">해안·해양</x:t>
        </x:is>
      </x:c>
      <x:c r="V851" s="5" t="inlineStr">
        <x:is>
          <x:t xml:space="preserve">온대</x:t>
        </x:is>
      </x:c>
      <x:c r="W851" s="5" t="inlineStr">
        <x:is>
          <x:t xml:space="preserve">수중</x:t>
        </x:is>
      </x:c>
      <x:c r="X851" s="5" t="inlineStr">
        <x:is>
          <x:t xml:space="preserve">비</x:t>
        </x:is>
      </x:c>
      <x:c r="Y851" s="5" t="inlineStr">
        <x:is>
          <x:t xml:space="preserve">무관</x:t>
        </x:is>
      </x:c>
      <x:c r="Z851" s="5" t="inlineStr">
        <x:is>
          <x:t xml:space="preserve">흔함</x:t>
        </x:is>
      </x:c>
      <x:c r="AA851" s="5" t="inlineStr">
        <x:is>
          <x:t xml:space="preserve">없음</x:t>
        </x:is>
      </x:c>
      <x:c r="AB851" s="5" t="inlineStr">
        <x:is>
          <x:t xml:space="preserve">해양</x:t>
        </x:is>
      </x:c>
      <x:c r="AC851" s="5" t="inlineStr">
        <x:is>
          <x:t xml:space="preserve">gen8</x:t>
        </x:is>
      </x:c>
      <x:c r="AD851" s="5" t="inlineStr">
        <x:is>
          <x:t xml:space="preserve">.tmp/cobblemon-1.7.3-source/common/src/main/resources/data/cobblemon/species/generation8/barraskewda.json</x:t>
        </x:is>
      </x:c>
    </x:row>
    <x:row r="852" ht="22" customHeight="1">
      <x:c r="A852" s="5" t="n">
        <x:v>848</x:v>
      </x:c>
      <x:c r="B852" s="5" t="inlineStr">
        <x:is>
          <x:t xml:space="preserve">일레즌</x:t>
        </x:is>
      </x:c>
      <x:c r="C852" s="5" t="inlineStr">
        <x:is>
          <x:t xml:space="preserve">toxel</x:t>
        </x:is>
      </x:c>
      <x:c r="D852" s="5" t="inlineStr">
        <x:is>
          <x:t xml:space="preserve">Toxel</x:t>
        </x:is>
      </x:c>
      <x:c r="E852" s="5" t="n">
        <x:v>8</x:v>
      </x:c>
      <x:c r="F852" s="5" t="inlineStr">
        <x:is>
          <x:t xml:space="preserve">전기</x:t>
        </x:is>
      </x:c>
      <x:c r="G852" s="5" t="inlineStr">
        <x:is>
          <x:t xml:space="preserve">독</x:t>
        </x:is>
      </x:c>
      <x:c r="H852" s="5" t="n">
        <x:v>0.4</x:v>
      </x:c>
      <x:c r="I852" s="5" t="n">
        <x:v>11</x:v>
      </x:c>
      <x:c r="J852" s="5" t="n">
        <x:v>242</x:v>
      </x:c>
      <x:c r="K852" s="5" t="n">
        <x:v>75</x:v>
      </x:c>
      <x:c r="L852" s="5" t="inlineStr">
        <x:is>
          <x:t xml:space="preserve">기본</x:t>
        </x:is>
      </x:c>
      <x:c r="M852" s="5" t="n">
        <x:v>30</x:v>
      </x:c>
      <x:c r="N852" s="5" t="inlineStr">
        <x:is>
          <x:t xml:space="preserve">레벨·특수</x:t>
        </x:is>
      </x:c>
      <x:c r="O852" s="5" t="inlineStr">
        <x:is>
          <x:t xml:space="preserve">예</x:t>
        </x:is>
      </x:c>
      <x:c r="P852" s="5" t="inlineStr">
        <x:is>
          <x:t xml:space="preserve">#cobblemon:is_overworld; #cobblemon:is_swamp</x:t>
        </x:is>
      </x:c>
      <x:c r="Q852" s="5" t="inlineStr">
        <x:is>
          <x:t xml:space="preserve">common; uncommon</x:t>
        </x:is>
      </x:c>
      <x:c r="R852" s="5" t="inlineStr">
        <x:is>
          <x:t xml:space="preserve"/>
        </x:is>
      </x:c>
      <x:c r="S852" s="5" t="inlineStr">
        <x:is>
          <x:t xml:space="preserve"/>
        </x:is>
      </x:c>
      <x:c r="T852" s="5" t="inlineStr">
        <x:is>
          <x:t xml:space="preserve">육상</x:t>
        </x:is>
      </x:c>
      <x:c r="U852" s="5" t="inlineStr">
        <x:is>
          <x:t xml:space="preserve">습지</x:t>
        </x:is>
      </x:c>
      <x:c r="V852" s="5" t="inlineStr">
        <x:is>
          <x:t xml:space="preserve">온대</x:t>
        </x:is>
      </x:c>
      <x:c r="W852" s="5" t="inlineStr">
        <x:is>
          <x:t xml:space="preserve">다습</x:t>
        </x:is>
      </x:c>
      <x:c r="X852" s="5" t="inlineStr">
        <x:is>
          <x:t xml:space="preserve">비</x:t>
        </x:is>
      </x:c>
      <x:c r="Y852" s="5" t="inlineStr">
        <x:is>
          <x:t xml:space="preserve">무관</x:t>
        </x:is>
      </x:c>
      <x:c r="Z852" s="5" t="inlineStr">
        <x:is>
          <x:t xml:space="preserve">보통</x:t>
        </x:is>
      </x:c>
      <x:c r="AA852" s="5" t="inlineStr">
        <x:is>
          <x:t xml:space="preserve">없음</x:t>
        </x:is>
      </x:c>
      <x:c r="AB852" s="5" t="inlineStr">
        <x:is>
          <x:t xml:space="preserve">습지</x:t>
        </x:is>
      </x:c>
      <x:c r="AC852" s="5" t="inlineStr">
        <x:is>
          <x:t xml:space="preserve">baby; gen8</x:t>
        </x:is>
      </x:c>
      <x:c r="AD852" s="5" t="inlineStr">
        <x:is>
          <x:t xml:space="preserve">.tmp/cobblemon-1.7.3-source/common/src/main/resources/data/cobblemon/species/generation8/toxel.json</x:t>
        </x:is>
      </x:c>
    </x:row>
    <x:row r="853" ht="22" customHeight="1">
      <x:c r="A853" s="5" t="n">
        <x:v>849</x:v>
      </x:c>
      <x:c r="B853" s="5" t="inlineStr">
        <x:is>
          <x:t xml:space="preserve">스트린더</x:t>
        </x:is>
      </x:c>
      <x:c r="C853" s="5" t="inlineStr">
        <x:is>
          <x:t xml:space="preserve">toxtricity</x:t>
        </x:is>
      </x:c>
      <x:c r="D853" s="5" t="inlineStr">
        <x:is>
          <x:t xml:space="preserve">Toxtricity</x:t>
        </x:is>
      </x:c>
      <x:c r="E853" s="5" t="n">
        <x:v>8</x:v>
      </x:c>
      <x:c r="F853" s="5" t="inlineStr">
        <x:is>
          <x:t xml:space="preserve">전기</x:t>
        </x:is>
      </x:c>
      <x:c r="G853" s="5" t="inlineStr">
        <x:is>
          <x:t xml:space="preserve">독</x:t>
        </x:is>
      </x:c>
      <x:c r="H853" s="5" t="n">
        <x:v>1.6</x:v>
      </x:c>
      <x:c r="I853" s="5" t="n">
        <x:v>40</x:v>
      </x:c>
      <x:c r="J853" s="5" t="n">
        <x:v>502</x:v>
      </x:c>
      <x:c r="K853" s="5" t="n">
        <x:v>45</x:v>
      </x:c>
      <x:c r="L853" s="5" t="inlineStr">
        <x:is>
          <x:t xml:space="preserve">최종</x:t>
        </x:is>
      </x:c>
      <x:c r="M853" s="5" t="n">
        <x:v>30</x:v>
      </x:c>
      <x:c r="N853" s="5" t="inlineStr">
        <x:is>
          <x:t xml:space="preserve">레벨·특수</x:t>
        </x:is>
      </x:c>
      <x:c r="O853" s="5" t="inlineStr">
        <x:is>
          <x:t xml:space="preserve">예</x:t>
        </x:is>
      </x:c>
      <x:c r="P853" s="5" t="inlineStr">
        <x:is>
          <x:t xml:space="preserve">#cobblemon:is_overworld; #cobblemon:is_swamp</x:t>
        </x:is>
      </x:c>
      <x:c r="Q853" s="5" t="inlineStr">
        <x:is>
          <x:t xml:space="preserve">common; uncommon</x:t>
        </x:is>
      </x:c>
      <x:c r="R853" s="5" t="inlineStr">
        <x:is>
          <x:t xml:space="preserve"/>
        </x:is>
      </x:c>
      <x:c r="S853" s="5" t="inlineStr">
        <x:is>
          <x:t xml:space="preserve"/>
        </x:is>
      </x:c>
      <x:c r="T853" s="5" t="inlineStr">
        <x:is>
          <x:t xml:space="preserve">육상</x:t>
        </x:is>
      </x:c>
      <x:c r="U853" s="5" t="inlineStr">
        <x:is>
          <x:t xml:space="preserve">습지</x:t>
        </x:is>
      </x:c>
      <x:c r="V853" s="5" t="inlineStr">
        <x:is>
          <x:t xml:space="preserve">온대</x:t>
        </x:is>
      </x:c>
      <x:c r="W853" s="5" t="inlineStr">
        <x:is>
          <x:t xml:space="preserve">다습</x:t>
        </x:is>
      </x:c>
      <x:c r="X853" s="5" t="inlineStr">
        <x:is>
          <x:t xml:space="preserve">비</x:t>
        </x:is>
      </x:c>
      <x:c r="Y853" s="5" t="inlineStr">
        <x:is>
          <x:t xml:space="preserve">무관</x:t>
        </x:is>
      </x:c>
      <x:c r="Z853" s="5" t="inlineStr">
        <x:is>
          <x:t xml:space="preserve">보통</x:t>
        </x:is>
      </x:c>
      <x:c r="AA853" s="5" t="inlineStr">
        <x:is>
          <x:t xml:space="preserve">없음</x:t>
        </x:is>
      </x:c>
      <x:c r="AB853" s="5" t="inlineStr">
        <x:is>
          <x:t xml:space="preserve">습지</x:t>
        </x:is>
      </x:c>
      <x:c r="AC853" s="5" t="inlineStr">
        <x:is>
          <x:t xml:space="preserve">gen8</x:t>
        </x:is>
      </x:c>
      <x:c r="AD853" s="5" t="inlineStr">
        <x:is>
          <x:t xml:space="preserve">.tmp/cobblemon-1.7.3-source/common/src/main/resources/data/cobblemon/species/generation8/toxtricity.json</x:t>
        </x:is>
      </x:c>
    </x:row>
    <x:row r="854" ht="22" customHeight="1">
      <x:c r="A854" s="5" t="n">
        <x:v>850</x:v>
      </x:c>
      <x:c r="B854" s="5" t="inlineStr">
        <x:is>
          <x:t xml:space="preserve">태우지네</x:t>
        </x:is>
      </x:c>
      <x:c r="C854" s="5" t="inlineStr">
        <x:is>
          <x:t xml:space="preserve">sizzlipede</x:t>
        </x:is>
      </x:c>
      <x:c r="D854" s="5" t="inlineStr">
        <x:is>
          <x:t xml:space="preserve">Sizzlipede</x:t>
        </x:is>
      </x:c>
      <x:c r="E854" s="5" t="n">
        <x:v>8</x:v>
      </x:c>
      <x:c r="F854" s="5" t="inlineStr">
        <x:is>
          <x:t xml:space="preserve">불꽃</x:t>
        </x:is>
      </x:c>
      <x:c r="G854" s="5" t="inlineStr">
        <x:is>
          <x:t xml:space="preserve">벌레</x:t>
        </x:is>
      </x:c>
      <x:c r="H854" s="5" t="n">
        <x:v>0.7</x:v>
      </x:c>
      <x:c r="I854" s="5" t="n">
        <x:v>1</x:v>
      </x:c>
      <x:c r="J854" s="5" t="n">
        <x:v>305</x:v>
      </x:c>
      <x:c r="K854" s="5" t="n">
        <x:v>190</x:v>
      </x:c>
      <x:c r="L854" s="5" t="inlineStr">
        <x:is>
          <x:t xml:space="preserve">기본</x:t>
        </x:is>
      </x:c>
      <x:c r="M854" s="5" t="n">
        <x:v>28</x:v>
      </x:c>
      <x:c r="N854" s="5" t="inlineStr">
        <x:is>
          <x:t xml:space="preserve">레벨</x:t>
        </x:is>
      </x:c>
      <x:c r="O854" s="5" t="inlineStr">
        <x:is>
          <x:t xml:space="preserve">예</x:t>
        </x:is>
      </x:c>
      <x:c r="P854" s="5" t="inlineStr">
        <x:is>
          <x:t xml:space="preserve">#cobblemon:is_badlands; #cobblemon:is_volcanic; #cobblemon:nether/is_basalt; #cobblemon:nether/is_wasteland</x:t>
        </x:is>
      </x:c>
      <x:c r="Q854" s="5" t="inlineStr">
        <x:is>
          <x:t xml:space="preserve">common</x:t>
        </x:is>
      </x:c>
      <x:c r="R854" s="5" t="inlineStr">
        <x:is>
          <x:t xml:space="preserve"/>
        </x:is>
      </x:c>
      <x:c r="S854" s="5" t="inlineStr">
        <x:is>
          <x:t xml:space="preserve"/>
        </x:is>
      </x:c>
      <x:c r="T854" s="5" t="inlineStr">
        <x:is>
          <x:t xml:space="preserve">육상</x:t>
        </x:is>
      </x:c>
      <x:c r="U854" s="5" t="inlineStr">
        <x:is>
          <x:t xml:space="preserve">화산</x:t>
        </x:is>
      </x:c>
      <x:c r="V854" s="5" t="inlineStr">
        <x:is>
          <x:t xml:space="preserve">고온</x:t>
        </x:is>
      </x:c>
      <x:c r="W854" s="5" t="inlineStr">
        <x:is>
          <x:t xml:space="preserve">건조</x:t>
        </x:is>
      </x:c>
      <x:c r="X854" s="5" t="inlineStr">
        <x:is>
          <x:t xml:space="preserve">맑음</x:t>
        </x:is>
      </x:c>
      <x:c r="Y854" s="5" t="inlineStr">
        <x:is>
          <x:t xml:space="preserve">무관</x:t>
        </x:is>
      </x:c>
      <x:c r="Z854" s="5" t="inlineStr">
        <x:is>
          <x:t xml:space="preserve">흔함</x:t>
        </x:is>
      </x:c>
      <x:c r="AA854" s="5" t="inlineStr">
        <x:is>
          <x:t xml:space="preserve">화산</x:t>
        </x:is>
      </x:c>
      <x:c r="AB854" s="5" t="inlineStr">
        <x:is>
          <x:t xml:space="preserve">화산</x:t>
        </x:is>
      </x:c>
      <x:c r="AC854" s="5" t="inlineStr">
        <x:is>
          <x:t xml:space="preserve">gen8</x:t>
        </x:is>
      </x:c>
      <x:c r="AD854" s="5" t="inlineStr">
        <x:is>
          <x:t xml:space="preserve">.tmp/cobblemon-1.7.3-source/common/src/main/resources/data/cobblemon/species/generation8/sizzlipede.json</x:t>
        </x:is>
      </x:c>
    </x:row>
    <x:row r="855" ht="22" customHeight="1">
      <x:c r="A855" s="5" t="n">
        <x:v>851</x:v>
      </x:c>
      <x:c r="B855" s="5" t="inlineStr">
        <x:is>
          <x:t xml:space="preserve">다태우지네</x:t>
        </x:is>
      </x:c>
      <x:c r="C855" s="5" t="inlineStr">
        <x:is>
          <x:t xml:space="preserve">centiskorch</x:t>
        </x:is>
      </x:c>
      <x:c r="D855" s="5" t="inlineStr">
        <x:is>
          <x:t xml:space="preserve">Centiskorch</x:t>
        </x:is>
      </x:c>
      <x:c r="E855" s="5" t="n">
        <x:v>8</x:v>
      </x:c>
      <x:c r="F855" s="5" t="inlineStr">
        <x:is>
          <x:t xml:space="preserve">불꽃</x:t>
        </x:is>
      </x:c>
      <x:c r="G855" s="5" t="inlineStr">
        <x:is>
          <x:t xml:space="preserve">벌레</x:t>
        </x:is>
      </x:c>
      <x:c r="H855" s="5" t="n">
        <x:v>3</x:v>
      </x:c>
      <x:c r="I855" s="5" t="n">
        <x:v>120</x:v>
      </x:c>
      <x:c r="J855" s="5" t="n">
        <x:v>525</x:v>
      </x:c>
      <x:c r="K855" s="5" t="n">
        <x:v>75</x:v>
      </x:c>
      <x:c r="L855" s="5" t="inlineStr">
        <x:is>
          <x:t xml:space="preserve">최종</x:t>
        </x:is>
      </x:c>
      <x:c r="M855" s="5" t="n">
        <x:v>28</x:v>
      </x:c>
      <x:c r="N855" s="5" t="inlineStr">
        <x:is>
          <x:t xml:space="preserve">레벨</x:t>
        </x:is>
      </x:c>
      <x:c r="O855" s="5" t="inlineStr">
        <x:is>
          <x:t xml:space="preserve">예</x:t>
        </x:is>
      </x:c>
      <x:c r="P855" s="5" t="inlineStr">
        <x:is>
          <x:t xml:space="preserve">#cobblemon:is_badlands; #cobblemon:is_volcanic; #cobblemon:nether/is_basalt; #cobblemon:nether/is_wasteland</x:t>
        </x:is>
      </x:c>
      <x:c r="Q855" s="5" t="inlineStr">
        <x:is>
          <x:t xml:space="preserve">common</x:t>
        </x:is>
      </x:c>
      <x:c r="R855" s="5" t="inlineStr">
        <x:is>
          <x:t xml:space="preserve"/>
        </x:is>
      </x:c>
      <x:c r="S855" s="5" t="inlineStr">
        <x:is>
          <x:t xml:space="preserve"/>
        </x:is>
      </x:c>
      <x:c r="T855" s="5" t="inlineStr">
        <x:is>
          <x:t xml:space="preserve">육상</x:t>
        </x:is>
      </x:c>
      <x:c r="U855" s="5" t="inlineStr">
        <x:is>
          <x:t xml:space="preserve">화산</x:t>
        </x:is>
      </x:c>
      <x:c r="V855" s="5" t="inlineStr">
        <x:is>
          <x:t xml:space="preserve">고온</x:t>
        </x:is>
      </x:c>
      <x:c r="W855" s="5" t="inlineStr">
        <x:is>
          <x:t xml:space="preserve">건조</x:t>
        </x:is>
      </x:c>
      <x:c r="X855" s="5" t="inlineStr">
        <x:is>
          <x:t xml:space="preserve">맑음</x:t>
        </x:is>
      </x:c>
      <x:c r="Y855" s="5" t="inlineStr">
        <x:is>
          <x:t xml:space="preserve">무관</x:t>
        </x:is>
      </x:c>
      <x:c r="Z855" s="5" t="inlineStr">
        <x:is>
          <x:t xml:space="preserve">흔함</x:t>
        </x:is>
      </x:c>
      <x:c r="AA855" s="5" t="inlineStr">
        <x:is>
          <x:t xml:space="preserve">화산</x:t>
        </x:is>
      </x:c>
      <x:c r="AB855" s="5" t="inlineStr">
        <x:is>
          <x:t xml:space="preserve">화산</x:t>
        </x:is>
      </x:c>
      <x:c r="AC855" s="5" t="inlineStr">
        <x:is>
          <x:t xml:space="preserve">gen8</x:t>
        </x:is>
      </x:c>
      <x:c r="AD855" s="5" t="inlineStr">
        <x:is>
          <x:t xml:space="preserve">.tmp/cobblemon-1.7.3-source/common/src/main/resources/data/cobblemon/species/generation8/centiskorch.json</x:t>
        </x:is>
      </x:c>
    </x:row>
    <x:row r="856" ht="22" customHeight="1">
      <x:c r="A856" s="5" t="n">
        <x:v>852</x:v>
      </x:c>
      <x:c r="B856" s="5" t="inlineStr">
        <x:is>
          <x:t xml:space="preserve">때때무노</x:t>
        </x:is>
      </x:c>
      <x:c r="C856" s="5" t="inlineStr">
        <x:is>
          <x:t xml:space="preserve">clobbopus</x:t>
        </x:is>
      </x:c>
      <x:c r="D856" s="5" t="inlineStr">
        <x:is>
          <x:t xml:space="preserve">Clobbopus</x:t>
        </x:is>
      </x:c>
      <x:c r="E856" s="5" t="n">
        <x:v>8</x:v>
      </x:c>
      <x:c r="F856" s="5" t="inlineStr">
        <x:is>
          <x:t xml:space="preserve">격투</x:t>
        </x:is>
      </x:c>
      <x:c r="G856" s="5" t="inlineStr">
        <x:is>
          <x:t xml:space="preserve"/>
        </x:is>
      </x:c>
      <x:c r="H856" s="5" t="n">
        <x:v>0.6</x:v>
      </x:c>
      <x:c r="I856" s="5" t="n">
        <x:v>4</x:v>
      </x:c>
      <x:c r="J856" s="5" t="n">
        <x:v>310</x:v>
      </x:c>
      <x:c r="K856" s="5" t="n">
        <x:v>180</x:v>
      </x:c>
      <x:c r="L856" s="5" t="inlineStr">
        <x:is>
          <x:t xml:space="preserve">기본</x:t>
        </x:is>
      </x:c>
      <x:c r="M856" s="5" t="n"/>
      <x:c r="N856" s="5" t="inlineStr">
        <x:is>
          <x:t xml:space="preserve">특수</x:t>
        </x:is>
      </x:c>
      <x:c r="O856" s="5" t="inlineStr">
        <x:is>
          <x:t xml:space="preserve">예</x:t>
        </x:is>
      </x:c>
      <x:c r="P856" s="5" t="inlineStr">
        <x:is>
          <x:t xml:space="preserve">#cobblemon:is_coast; #cobblemon:is_ocean; #cobblemon:is_overworld; #cobblemon:is_tropical_island</x:t>
        </x:is>
      </x:c>
      <x:c r="Q856" s="5" t="inlineStr">
        <x:is>
          <x:t xml:space="preserve">common; uncommon</x:t>
        </x:is>
      </x:c>
      <x:c r="R856" s="5" t="inlineStr">
        <x:is>
          <x:t xml:space="preserve"/>
        </x:is>
      </x:c>
      <x:c r="S856" s="5" t="inlineStr">
        <x:is>
          <x:t xml:space="preserve"/>
        </x:is>
      </x:c>
      <x:c r="T856" s="5" t="inlineStr">
        <x:is>
          <x:t xml:space="preserve">해양</x:t>
        </x:is>
      </x:c>
      <x:c r="U856" s="5" t="inlineStr">
        <x:is>
          <x:t xml:space="preserve">해안·해양</x:t>
        </x:is>
      </x:c>
      <x:c r="V856" s="5" t="inlineStr">
        <x:is>
          <x:t xml:space="preserve">온대</x:t>
        </x:is>
      </x:c>
      <x:c r="W856" s="5" t="inlineStr">
        <x:is>
          <x:t xml:space="preserve">수중</x:t>
        </x:is>
      </x:c>
      <x:c r="X856" s="5" t="inlineStr">
        <x:is>
          <x:t xml:space="preserve">비</x:t>
        </x:is>
      </x:c>
      <x:c r="Y856" s="5" t="inlineStr">
        <x:is>
          <x:t xml:space="preserve">무관</x:t>
        </x:is>
      </x:c>
      <x:c r="Z856" s="5" t="inlineStr">
        <x:is>
          <x:t xml:space="preserve">보통</x:t>
        </x:is>
      </x:c>
      <x:c r="AA856" s="5" t="inlineStr">
        <x:is>
          <x:t xml:space="preserve">없음</x:t>
        </x:is>
      </x:c>
      <x:c r="AB856" s="5" t="inlineStr">
        <x:is>
          <x:t xml:space="preserve">해양</x:t>
        </x:is>
      </x:c>
      <x:c r="AC856" s="5" t="inlineStr">
        <x:is>
          <x:t xml:space="preserve">gen8</x:t>
        </x:is>
      </x:c>
      <x:c r="AD856" s="5" t="inlineStr">
        <x:is>
          <x:t xml:space="preserve">.tmp/cobblemon-1.7.3-source/common/src/main/resources/data/cobblemon/species/generation8/clobbopus.json</x:t>
        </x:is>
      </x:c>
    </x:row>
    <x:row r="857" ht="22" customHeight="1">
      <x:c r="A857" s="5" t="n">
        <x:v>853</x:v>
      </x:c>
      <x:c r="B857" s="5" t="inlineStr">
        <x:is>
          <x:t xml:space="preserve">케오퍼스</x:t>
        </x:is>
      </x:c>
      <x:c r="C857" s="5" t="inlineStr">
        <x:is>
          <x:t xml:space="preserve">grapploct</x:t>
        </x:is>
      </x:c>
      <x:c r="D857" s="5" t="inlineStr">
        <x:is>
          <x:t xml:space="preserve">Grapploct</x:t>
        </x:is>
      </x:c>
      <x:c r="E857" s="5" t="n">
        <x:v>8</x:v>
      </x:c>
      <x:c r="F857" s="5" t="inlineStr">
        <x:is>
          <x:t xml:space="preserve">격투</x:t>
        </x:is>
      </x:c>
      <x:c r="G857" s="5" t="inlineStr">
        <x:is>
          <x:t xml:space="preserve"/>
        </x:is>
      </x:c>
      <x:c r="H857" s="5" t="n">
        <x:v>1.6</x:v>
      </x:c>
      <x:c r="I857" s="5" t="n">
        <x:v>39</x:v>
      </x:c>
      <x:c r="J857" s="5" t="n">
        <x:v>480</x:v>
      </x:c>
      <x:c r="K857" s="5" t="n">
        <x:v>45</x:v>
      </x:c>
      <x:c r="L857" s="5" t="inlineStr">
        <x:is>
          <x:t xml:space="preserve">최종</x:t>
        </x:is>
      </x:c>
      <x:c r="M857" s="5" t="n"/>
      <x:c r="N857" s="5" t="inlineStr">
        <x:is>
          <x:t xml:space="preserve">특수</x:t>
        </x:is>
      </x:c>
      <x:c r="O857" s="5" t="inlineStr">
        <x:is>
          <x:t xml:space="preserve">예</x:t>
        </x:is>
      </x:c>
      <x:c r="P857" s="5" t="inlineStr">
        <x:is>
          <x:t xml:space="preserve">#cobblemon:is_coast; #cobblemon:is_ocean; #cobblemon:is_overworld; #cobblemon:is_tropical_island</x:t>
        </x:is>
      </x:c>
      <x:c r="Q857" s="5" t="inlineStr">
        <x:is>
          <x:t xml:space="preserve">common; uncommon</x:t>
        </x:is>
      </x:c>
      <x:c r="R857" s="5" t="inlineStr">
        <x:is>
          <x:t xml:space="preserve"/>
        </x:is>
      </x:c>
      <x:c r="S857" s="5" t="inlineStr">
        <x:is>
          <x:t xml:space="preserve"/>
        </x:is>
      </x:c>
      <x:c r="T857" s="5" t="inlineStr">
        <x:is>
          <x:t xml:space="preserve">해양</x:t>
        </x:is>
      </x:c>
      <x:c r="U857" s="5" t="inlineStr">
        <x:is>
          <x:t xml:space="preserve">해안·해양</x:t>
        </x:is>
      </x:c>
      <x:c r="V857" s="5" t="inlineStr">
        <x:is>
          <x:t xml:space="preserve">온대</x:t>
        </x:is>
      </x:c>
      <x:c r="W857" s="5" t="inlineStr">
        <x:is>
          <x:t xml:space="preserve">수중</x:t>
        </x:is>
      </x:c>
      <x:c r="X857" s="5" t="inlineStr">
        <x:is>
          <x:t xml:space="preserve">비</x:t>
        </x:is>
      </x:c>
      <x:c r="Y857" s="5" t="inlineStr">
        <x:is>
          <x:t xml:space="preserve">무관</x:t>
        </x:is>
      </x:c>
      <x:c r="Z857" s="5" t="inlineStr">
        <x:is>
          <x:t xml:space="preserve">보통</x:t>
        </x:is>
      </x:c>
      <x:c r="AA857" s="5" t="inlineStr">
        <x:is>
          <x:t xml:space="preserve">없음</x:t>
        </x:is>
      </x:c>
      <x:c r="AB857" s="5" t="inlineStr">
        <x:is>
          <x:t xml:space="preserve">해양</x:t>
        </x:is>
      </x:c>
      <x:c r="AC857" s="5" t="inlineStr">
        <x:is>
          <x:t xml:space="preserve">gen8</x:t>
        </x:is>
      </x:c>
      <x:c r="AD857" s="5" t="inlineStr">
        <x:is>
          <x:t xml:space="preserve">.tmp/cobblemon-1.7.3-source/common/src/main/resources/data/cobblemon/species/generation8/grapploct.json</x:t>
        </x:is>
      </x:c>
    </x:row>
    <x:row r="858" ht="22" customHeight="1">
      <x:c r="A858" s="5" t="n">
        <x:v>854</x:v>
      </x:c>
      <x:c r="B858" s="5" t="inlineStr">
        <x:is>
          <x:t xml:space="preserve">데인차</x:t>
        </x:is>
      </x:c>
      <x:c r="C858" s="5" t="inlineStr">
        <x:is>
          <x:t xml:space="preserve">sinistea</x:t>
        </x:is>
      </x:c>
      <x:c r="D858" s="5" t="inlineStr">
        <x:is>
          <x:t xml:space="preserve">Sinistea</x:t>
        </x:is>
      </x:c>
      <x:c r="E858" s="5" t="n">
        <x:v>8</x:v>
      </x:c>
      <x:c r="F858" s="5" t="inlineStr">
        <x:is>
          <x:t xml:space="preserve">고스트</x:t>
        </x:is>
      </x:c>
      <x:c r="G858" s="5" t="inlineStr">
        <x:is>
          <x:t xml:space="preserve"/>
        </x:is>
      </x:c>
      <x:c r="H858" s="5" t="n">
        <x:v>0.1</x:v>
      </x:c>
      <x:c r="I858" s="5" t="n">
        <x:v>0.2</x:v>
      </x:c>
      <x:c r="J858" s="5" t="n">
        <x:v>308</x:v>
      </x:c>
      <x:c r="K858" s="5" t="n">
        <x:v>120</x:v>
      </x:c>
      <x:c r="L858" s="5" t="inlineStr">
        <x:is>
          <x:t xml:space="preserve">기본</x:t>
        </x:is>
      </x:c>
      <x:c r="M858" s="5" t="n"/>
      <x:c r="N858" s="5" t="inlineStr">
        <x:is>
          <x:t xml:space="preserve">특수</x:t>
        </x:is>
      </x:c>
      <x:c r="O858" s="5" t="inlineStr">
        <x:is>
          <x:t xml:space="preserve">예</x:t>
        </x:is>
      </x:c>
      <x:c r="P858" s="5" t="inlineStr">
        <x:is>
          <x:t xml:space="preserve">#cobblemon:is_floral; #cobblemon:is_magical; #cobblemon:is_mountain; #cobblemon:is_overworld; #cobblemon:is_plains; #cobblemon:is_snowy; #cobblemon:is_spooky; #cobblemon:is_taiga; #cobblemon:is_tundra</x:t>
        </x:is>
      </x:c>
      <x:c r="Q858" s="5" t="inlineStr">
        <x:is>
          <x:t xml:space="preserve">common; uncommon</x:t>
        </x:is>
      </x:c>
      <x:c r="R858" s="5" t="inlineStr">
        <x:is>
          <x:t xml:space="preserve">day; night</x:t>
        </x:is>
      </x:c>
      <x:c r="S858" s="5" t="inlineStr">
        <x:is>
          <x:t xml:space="preserve"/>
        </x:is>
      </x:c>
      <x:c r="T858" s="5" t="inlineStr">
        <x:is>
          <x:t xml:space="preserve">인공</x:t>
        </x:is>
      </x:c>
      <x:c r="U858" s="5" t="inlineStr">
        <x:is>
          <x:t xml:space="preserve">특수</x:t>
        </x:is>
      </x:c>
      <x:c r="V858" s="5" t="inlineStr">
        <x:is>
          <x:t xml:space="preserve">서늘</x:t>
        </x:is>
      </x:c>
      <x:c r="W858" s="5" t="inlineStr">
        <x:is>
          <x:t xml:space="preserve">보통</x:t>
        </x:is>
      </x:c>
      <x:c r="X858" s="5" t="inlineStr">
        <x:is>
          <x:t xml:space="preserve">안개</x:t>
        </x:is>
      </x:c>
      <x:c r="Y858" s="5" t="inlineStr">
        <x:is>
          <x:t xml:space="preserve">밤</x:t>
        </x:is>
      </x:c>
      <x:c r="Z858" s="5" t="inlineStr">
        <x:is>
          <x:t xml:space="preserve">보통</x:t>
        </x:is>
      </x:c>
      <x:c r="AA858" s="5" t="inlineStr">
        <x:is>
          <x:t xml:space="preserve">영체</x:t>
        </x:is>
      </x:c>
      <x:c r="AB858" s="5" t="inlineStr">
        <x:is>
          <x:t xml:space="preserve">특수</x:t>
        </x:is>
      </x:c>
      <x:c r="AC858" s="5" t="inlineStr">
        <x:is>
          <x:t xml:space="preserve">gen8</x:t>
        </x:is>
      </x:c>
      <x:c r="AD858" s="5" t="inlineStr">
        <x:is>
          <x:t xml:space="preserve">.tmp/cobblemon-1.7.3-source/common/src/main/resources/data/cobblemon/species/generation8/sinistea.json</x:t>
        </x:is>
      </x:c>
    </x:row>
    <x:row r="859" ht="22" customHeight="1">
      <x:c r="A859" s="5" t="n">
        <x:v>855</x:v>
      </x:c>
      <x:c r="B859" s="5" t="inlineStr">
        <x:is>
          <x:t xml:space="preserve">포트데스</x:t>
        </x:is>
      </x:c>
      <x:c r="C859" s="5" t="inlineStr">
        <x:is>
          <x:t xml:space="preserve">polteageist</x:t>
        </x:is>
      </x:c>
      <x:c r="D859" s="5" t="inlineStr">
        <x:is>
          <x:t xml:space="preserve">Polteageist</x:t>
        </x:is>
      </x:c>
      <x:c r="E859" s="5" t="n">
        <x:v>8</x:v>
      </x:c>
      <x:c r="F859" s="5" t="inlineStr">
        <x:is>
          <x:t xml:space="preserve">고스트</x:t>
        </x:is>
      </x:c>
      <x:c r="G859" s="5" t="inlineStr">
        <x:is>
          <x:t xml:space="preserve"/>
        </x:is>
      </x:c>
      <x:c r="H859" s="5" t="n">
        <x:v>0.2</x:v>
      </x:c>
      <x:c r="I859" s="5" t="n">
        <x:v>0.4</x:v>
      </x:c>
      <x:c r="J859" s="5" t="n">
        <x:v>508</x:v>
      </x:c>
      <x:c r="K859" s="5" t="n">
        <x:v>60</x:v>
      </x:c>
      <x:c r="L859" s="5" t="inlineStr">
        <x:is>
          <x:t xml:space="preserve">최종</x:t>
        </x:is>
      </x:c>
      <x:c r="M859" s="5" t="n"/>
      <x:c r="N859" s="5" t="inlineStr">
        <x:is>
          <x:t xml:space="preserve">특수</x:t>
        </x:is>
      </x:c>
      <x:c r="O859" s="5" t="inlineStr">
        <x:is>
          <x:t xml:space="preserve">예</x:t>
        </x:is>
      </x:c>
      <x:c r="P859" s="5" t="inlineStr">
        <x:is>
          <x:t xml:space="preserve">#cobblemon:is_floral; #cobblemon:is_magical; #cobblemon:is_mountain; #cobblemon:is_overworld; #cobblemon:is_plains; #cobblemon:is_snowy; #cobblemon:is_spooky; #cobblemon:is_taiga; #cobblemon:is_tundra</x:t>
        </x:is>
      </x:c>
      <x:c r="Q859" s="5" t="inlineStr">
        <x:is>
          <x:t xml:space="preserve">common; uncommon</x:t>
        </x:is>
      </x:c>
      <x:c r="R859" s="5" t="inlineStr">
        <x:is>
          <x:t xml:space="preserve">day; night</x:t>
        </x:is>
      </x:c>
      <x:c r="S859" s="5" t="inlineStr">
        <x:is>
          <x:t xml:space="preserve"/>
        </x:is>
      </x:c>
      <x:c r="T859" s="5" t="inlineStr">
        <x:is>
          <x:t xml:space="preserve">인공</x:t>
        </x:is>
      </x:c>
      <x:c r="U859" s="5" t="inlineStr">
        <x:is>
          <x:t xml:space="preserve">특수</x:t>
        </x:is>
      </x:c>
      <x:c r="V859" s="5" t="inlineStr">
        <x:is>
          <x:t xml:space="preserve">서늘</x:t>
        </x:is>
      </x:c>
      <x:c r="W859" s="5" t="inlineStr">
        <x:is>
          <x:t xml:space="preserve">보통</x:t>
        </x:is>
      </x:c>
      <x:c r="X859" s="5" t="inlineStr">
        <x:is>
          <x:t xml:space="preserve">안개</x:t>
        </x:is>
      </x:c>
      <x:c r="Y859" s="5" t="inlineStr">
        <x:is>
          <x:t xml:space="preserve">밤</x:t>
        </x:is>
      </x:c>
      <x:c r="Z859" s="5" t="inlineStr">
        <x:is>
          <x:t xml:space="preserve">보통</x:t>
        </x:is>
      </x:c>
      <x:c r="AA859" s="5" t="inlineStr">
        <x:is>
          <x:t xml:space="preserve">영체</x:t>
        </x:is>
      </x:c>
      <x:c r="AB859" s="5" t="inlineStr">
        <x:is>
          <x:t xml:space="preserve">특수</x:t>
        </x:is>
      </x:c>
      <x:c r="AC859" s="5" t="inlineStr">
        <x:is>
          <x:t xml:space="preserve">gen8</x:t>
        </x:is>
      </x:c>
      <x:c r="AD859" s="5" t="inlineStr">
        <x:is>
          <x:t xml:space="preserve">.tmp/cobblemon-1.7.3-source/common/src/main/resources/data/cobblemon/species/generation8/polteageist.json</x:t>
        </x:is>
      </x:c>
    </x:row>
    <x:row r="860" ht="22" customHeight="1">
      <x:c r="A860" s="5" t="n">
        <x:v>856</x:v>
      </x:c>
      <x:c r="B860" s="5" t="inlineStr">
        <x:is>
          <x:t xml:space="preserve">몸지브림</x:t>
        </x:is>
      </x:c>
      <x:c r="C860" s="5" t="inlineStr">
        <x:is>
          <x:t xml:space="preserve">hatenna</x:t>
        </x:is>
      </x:c>
      <x:c r="D860" s="5" t="inlineStr">
        <x:is>
          <x:t xml:space="preserve">Hatenna</x:t>
        </x:is>
      </x:c>
      <x:c r="E860" s="5" t="n">
        <x:v>8</x:v>
      </x:c>
      <x:c r="F860" s="5" t="inlineStr">
        <x:is>
          <x:t xml:space="preserve">에스퍼</x:t>
        </x:is>
      </x:c>
      <x:c r="G860" s="5" t="inlineStr">
        <x:is>
          <x:t xml:space="preserve"/>
        </x:is>
      </x:c>
      <x:c r="H860" s="5" t="n">
        <x:v>0.4</x:v>
      </x:c>
      <x:c r="I860" s="5" t="n">
        <x:v>3.4</x:v>
      </x:c>
      <x:c r="J860" s="5" t="n">
        <x:v>265</x:v>
      </x:c>
      <x:c r="K860" s="5" t="n">
        <x:v>235</x:v>
      </x:c>
      <x:c r="L860" s="5" t="inlineStr">
        <x:is>
          <x:t xml:space="preserve">기본</x:t>
        </x:is>
      </x:c>
      <x:c r="M860" s="5" t="n">
        <x:v>42</x:v>
      </x:c>
      <x:c r="N860" s="5" t="inlineStr">
        <x:is>
          <x:t xml:space="preserve">레벨</x:t>
        </x:is>
      </x:c>
      <x:c r="O860" s="5" t="inlineStr">
        <x:is>
          <x:t xml:space="preserve">예</x:t>
        </x:is>
      </x:c>
      <x:c r="P860" s="5" t="inlineStr">
        <x:is>
          <x:t xml:space="preserve">#cobblemon:is_magical; #cobblemon:is_overworld; aether:skyroot_forest; aether:skyroot_woodland</x:t>
        </x:is>
      </x:c>
      <x:c r="Q860" s="5" t="inlineStr">
        <x:is>
          <x:t xml:space="preserve">common; uncommon</x:t>
        </x:is>
      </x:c>
      <x:c r="R860" s="5" t="inlineStr">
        <x:is>
          <x:t xml:space="preserve"/>
        </x:is>
      </x:c>
      <x:c r="S860" s="5" t="inlineStr">
        <x:is>
          <x:t xml:space="preserve"/>
        </x:is>
      </x:c>
      <x:c r="T860" s="5" t="inlineStr">
        <x:is>
          <x:t xml:space="preserve">육상</x:t>
        </x:is>
      </x:c>
      <x:c r="U860" s="5" t="inlineStr">
        <x:is>
          <x:t xml:space="preserve">수목</x:t>
        </x:is>
      </x:c>
      <x:c r="V860" s="5" t="inlineStr">
        <x:is>
          <x:t xml:space="preserve">온대</x:t>
        </x:is>
      </x:c>
      <x:c r="W860" s="5" t="inlineStr">
        <x:is>
          <x:t xml:space="preserve">보통</x:t>
        </x:is>
      </x:c>
      <x:c r="X860" s="5" t="inlineStr">
        <x:is>
          <x:t xml:space="preserve">무관</x:t>
        </x:is>
      </x:c>
      <x:c r="Y860" s="5" t="inlineStr">
        <x:is>
          <x:t xml:space="preserve">무관</x:t>
        </x:is>
      </x:c>
      <x:c r="Z860" s="5" t="inlineStr">
        <x:is>
          <x:t xml:space="preserve">보통</x:t>
        </x:is>
      </x:c>
      <x:c r="AA860" s="5" t="inlineStr">
        <x:is>
          <x:t xml:space="preserve">없음</x:t>
        </x:is>
      </x:c>
      <x:c r="AB860" s="5" t="inlineStr">
        <x:is>
          <x:t xml:space="preserve">숲</x:t>
        </x:is>
      </x:c>
      <x:c r="AC860" s="5" t="inlineStr">
        <x:is>
          <x:t xml:space="preserve">gen8</x:t>
        </x:is>
      </x:c>
      <x:c r="AD860" s="5" t="inlineStr">
        <x:is>
          <x:t xml:space="preserve">.tmp/cobblemon-1.7.3-source/common/src/main/resources/data/cobblemon/species/generation8/hatenna.json</x:t>
        </x:is>
      </x:c>
    </x:row>
    <x:row r="861" ht="22" customHeight="1">
      <x:c r="A861" s="5" t="n">
        <x:v>857</x:v>
      </x:c>
      <x:c r="B861" s="5" t="inlineStr">
        <x:is>
          <x:t xml:space="preserve">손지브림</x:t>
        </x:is>
      </x:c>
      <x:c r="C861" s="5" t="inlineStr">
        <x:is>
          <x:t xml:space="preserve">hattrem</x:t>
        </x:is>
      </x:c>
      <x:c r="D861" s="5" t="inlineStr">
        <x:is>
          <x:t xml:space="preserve">Hattrem</x:t>
        </x:is>
      </x:c>
      <x:c r="E861" s="5" t="n">
        <x:v>8</x:v>
      </x:c>
      <x:c r="F861" s="5" t="inlineStr">
        <x:is>
          <x:t xml:space="preserve">에스퍼</x:t>
        </x:is>
      </x:c>
      <x:c r="G861" s="5" t="inlineStr">
        <x:is>
          <x:t xml:space="preserve"/>
        </x:is>
      </x:c>
      <x:c r="H861" s="5" t="n">
        <x:v>0.6</x:v>
      </x:c>
      <x:c r="I861" s="5" t="n">
        <x:v>4.8</x:v>
      </x:c>
      <x:c r="J861" s="5" t="n">
        <x:v>370</x:v>
      </x:c>
      <x:c r="K861" s="5" t="n">
        <x:v>120</x:v>
      </x:c>
      <x:c r="L861" s="5" t="inlineStr">
        <x:is>
          <x:t xml:space="preserve">중간</x:t>
        </x:is>
      </x:c>
      <x:c r="M861" s="5" t="n">
        <x:v>42</x:v>
      </x:c>
      <x:c r="N861" s="5" t="inlineStr">
        <x:is>
          <x:t xml:space="preserve">레벨</x:t>
        </x:is>
      </x:c>
      <x:c r="O861" s="5" t="inlineStr">
        <x:is>
          <x:t xml:space="preserve">예</x:t>
        </x:is>
      </x:c>
      <x:c r="P861" s="5" t="inlineStr">
        <x:is>
          <x:t xml:space="preserve">#cobblemon:is_magical; #cobblemon:is_overworld; aether:skyroot_forest; aether:skyroot_woodland</x:t>
        </x:is>
      </x:c>
      <x:c r="Q861" s="5" t="inlineStr">
        <x:is>
          <x:t xml:space="preserve">common; uncommon</x:t>
        </x:is>
      </x:c>
      <x:c r="R861" s="5" t="inlineStr">
        <x:is>
          <x:t xml:space="preserve"/>
        </x:is>
      </x:c>
      <x:c r="S861" s="5" t="inlineStr">
        <x:is>
          <x:t xml:space="preserve"/>
        </x:is>
      </x:c>
      <x:c r="T861" s="5" t="inlineStr">
        <x:is>
          <x:t xml:space="preserve">육상</x:t>
        </x:is>
      </x:c>
      <x:c r="U861" s="5" t="inlineStr">
        <x:is>
          <x:t xml:space="preserve">수목</x:t>
        </x:is>
      </x:c>
      <x:c r="V861" s="5" t="inlineStr">
        <x:is>
          <x:t xml:space="preserve">온대</x:t>
        </x:is>
      </x:c>
      <x:c r="W861" s="5" t="inlineStr">
        <x:is>
          <x:t xml:space="preserve">보통</x:t>
        </x:is>
      </x:c>
      <x:c r="X861" s="5" t="inlineStr">
        <x:is>
          <x:t xml:space="preserve">무관</x:t>
        </x:is>
      </x:c>
      <x:c r="Y861" s="5" t="inlineStr">
        <x:is>
          <x:t xml:space="preserve">무관</x:t>
        </x:is>
      </x:c>
      <x:c r="Z861" s="5" t="inlineStr">
        <x:is>
          <x:t xml:space="preserve">보통</x:t>
        </x:is>
      </x:c>
      <x:c r="AA861" s="5" t="inlineStr">
        <x:is>
          <x:t xml:space="preserve">없음</x:t>
        </x:is>
      </x:c>
      <x:c r="AB861" s="5" t="inlineStr">
        <x:is>
          <x:t xml:space="preserve">숲</x:t>
        </x:is>
      </x:c>
      <x:c r="AC861" s="5" t="inlineStr">
        <x:is>
          <x:t xml:space="preserve">gen8</x:t>
        </x:is>
      </x:c>
      <x:c r="AD861" s="5" t="inlineStr">
        <x:is>
          <x:t xml:space="preserve">.tmp/cobblemon-1.7.3-source/common/src/main/resources/data/cobblemon/species/generation8/hattrem.json</x:t>
        </x:is>
      </x:c>
    </x:row>
    <x:row r="862" ht="22" customHeight="1">
      <x:c r="A862" s="5" t="n">
        <x:v>858</x:v>
      </x:c>
      <x:c r="B862" s="5" t="inlineStr">
        <x:is>
          <x:t xml:space="preserve">브리무음</x:t>
        </x:is>
      </x:c>
      <x:c r="C862" s="5" t="inlineStr">
        <x:is>
          <x:t xml:space="preserve">hatterene</x:t>
        </x:is>
      </x:c>
      <x:c r="D862" s="5" t="inlineStr">
        <x:is>
          <x:t xml:space="preserve">Hatterene</x:t>
        </x:is>
      </x:c>
      <x:c r="E862" s="5" t="n">
        <x:v>8</x:v>
      </x:c>
      <x:c r="F862" s="5" t="inlineStr">
        <x:is>
          <x:t xml:space="preserve">에스퍼</x:t>
        </x:is>
      </x:c>
      <x:c r="G862" s="5" t="inlineStr">
        <x:is>
          <x:t xml:space="preserve">페어리</x:t>
        </x:is>
      </x:c>
      <x:c r="H862" s="5" t="n">
        <x:v>2.1</x:v>
      </x:c>
      <x:c r="I862" s="5" t="n">
        <x:v>5.1</x:v>
      </x:c>
      <x:c r="J862" s="5" t="n">
        <x:v>510</x:v>
      </x:c>
      <x:c r="K862" s="5" t="n">
        <x:v>45</x:v>
      </x:c>
      <x:c r="L862" s="5" t="inlineStr">
        <x:is>
          <x:t xml:space="preserve">최종</x:t>
        </x:is>
      </x:c>
      <x:c r="M862" s="5" t="n">
        <x:v>42</x:v>
      </x:c>
      <x:c r="N862" s="5" t="inlineStr">
        <x:is>
          <x:t xml:space="preserve">레벨</x:t>
        </x:is>
      </x:c>
      <x:c r="O862" s="5" t="inlineStr">
        <x:is>
          <x:t xml:space="preserve">예</x:t>
        </x:is>
      </x:c>
      <x:c r="P862" s="5" t="inlineStr">
        <x:is>
          <x:t xml:space="preserve">#cobblemon:is_magical; #cobblemon:is_overworld; aether:skyroot_forest; aether:skyroot_woodland</x:t>
        </x:is>
      </x:c>
      <x:c r="Q862" s="5" t="inlineStr">
        <x:is>
          <x:t xml:space="preserve">common; uncommon</x:t>
        </x:is>
      </x:c>
      <x:c r="R862" s="5" t="inlineStr">
        <x:is>
          <x:t xml:space="preserve"/>
        </x:is>
      </x:c>
      <x:c r="S862" s="5" t="inlineStr">
        <x:is>
          <x:t xml:space="preserve"/>
        </x:is>
      </x:c>
      <x:c r="T862" s="5" t="inlineStr">
        <x:is>
          <x:t xml:space="preserve">육상</x:t>
        </x:is>
      </x:c>
      <x:c r="U862" s="5" t="inlineStr">
        <x:is>
          <x:t xml:space="preserve">수목</x:t>
        </x:is>
      </x:c>
      <x:c r="V862" s="5" t="inlineStr">
        <x:is>
          <x:t xml:space="preserve">온대</x:t>
        </x:is>
      </x:c>
      <x:c r="W862" s="5" t="inlineStr">
        <x:is>
          <x:t xml:space="preserve">보통</x:t>
        </x:is>
      </x:c>
      <x:c r="X862" s="5" t="inlineStr">
        <x:is>
          <x:t xml:space="preserve">무관</x:t>
        </x:is>
      </x:c>
      <x:c r="Y862" s="5" t="inlineStr">
        <x:is>
          <x:t xml:space="preserve">무관</x:t>
        </x:is>
      </x:c>
      <x:c r="Z862" s="5" t="inlineStr">
        <x:is>
          <x:t xml:space="preserve">보통</x:t>
        </x:is>
      </x:c>
      <x:c r="AA862" s="5" t="inlineStr">
        <x:is>
          <x:t xml:space="preserve">없음</x:t>
        </x:is>
      </x:c>
      <x:c r="AB862" s="5" t="inlineStr">
        <x:is>
          <x:t xml:space="preserve">숲</x:t>
        </x:is>
      </x:c>
      <x:c r="AC862" s="5" t="inlineStr">
        <x:is>
          <x:t xml:space="preserve">gen8</x:t>
        </x:is>
      </x:c>
      <x:c r="AD862" s="5" t="inlineStr">
        <x:is>
          <x:t xml:space="preserve">.tmp/cobblemon-1.7.3-source/common/src/main/resources/data/cobblemon/species/generation8/hatterene.json</x:t>
        </x:is>
      </x:c>
    </x:row>
    <x:row r="863" ht="22" customHeight="1">
      <x:c r="A863" s="5" t="n">
        <x:v>859</x:v>
      </x:c>
      <x:c r="B863" s="5" t="inlineStr">
        <x:is>
          <x:t xml:space="preserve">메롱꿍</x:t>
        </x:is>
      </x:c>
      <x:c r="C863" s="5" t="inlineStr">
        <x:is>
          <x:t xml:space="preserve">impidimp</x:t>
        </x:is>
      </x:c>
      <x:c r="D863" s="5" t="inlineStr">
        <x:is>
          <x:t xml:space="preserve">Impidimp</x:t>
        </x:is>
      </x:c>
      <x:c r="E863" s="5" t="n">
        <x:v>8</x:v>
      </x:c>
      <x:c r="F863" s="5" t="inlineStr">
        <x:is>
          <x:t xml:space="preserve">악</x:t>
        </x:is>
      </x:c>
      <x:c r="G863" s="5" t="inlineStr">
        <x:is>
          <x:t xml:space="preserve">페어리</x:t>
        </x:is>
      </x:c>
      <x:c r="H863" s="5" t="n">
        <x:v>0.4</x:v>
      </x:c>
      <x:c r="I863" s="5" t="n">
        <x:v>5.5</x:v>
      </x:c>
      <x:c r="J863" s="5" t="n">
        <x:v>265</x:v>
      </x:c>
      <x:c r="K863" s="5" t="n">
        <x:v>255</x:v>
      </x:c>
      <x:c r="L863" s="5" t="inlineStr">
        <x:is>
          <x:t xml:space="preserve">기본</x:t>
        </x:is>
      </x:c>
      <x:c r="M863" s="5" t="n">
        <x:v>42</x:v>
      </x:c>
      <x:c r="N863" s="5" t="inlineStr">
        <x:is>
          <x:t xml:space="preserve">레벨</x:t>
        </x:is>
      </x:c>
      <x:c r="O863" s="5" t="inlineStr">
        <x:is>
          <x:t xml:space="preserve">예</x:t>
        </x:is>
      </x:c>
      <x:c r="P863" s="5" t="inlineStr">
        <x:is>
          <x:t xml:space="preserve">#cobblemon:is_magical; #cobblemon:is_spooky; #cobblemon:nether/is_forest; #cobblemon:nether/is_warped</x:t>
        </x:is>
      </x:c>
      <x:c r="Q863" s="5" t="inlineStr">
        <x:is>
          <x:t xml:space="preserve">common</x:t>
        </x:is>
      </x:c>
      <x:c r="R863" s="5" t="inlineStr">
        <x:is>
          <x:t xml:space="preserve"/>
        </x:is>
      </x:c>
      <x:c r="S863" s="5" t="inlineStr">
        <x:is>
          <x:t xml:space="preserve"/>
        </x:is>
      </x:c>
      <x:c r="T863" s="5" t="inlineStr">
        <x:is>
          <x:t xml:space="preserve">육상</x:t>
        </x:is>
      </x:c>
      <x:c r="U863" s="5" t="inlineStr">
        <x:is>
          <x:t xml:space="preserve">화산</x:t>
        </x:is>
      </x:c>
      <x:c r="V863" s="5" t="inlineStr">
        <x:is>
          <x:t xml:space="preserve">고온</x:t>
        </x:is>
      </x:c>
      <x:c r="W863" s="5" t="inlineStr">
        <x:is>
          <x:t xml:space="preserve">건조</x:t>
        </x:is>
      </x:c>
      <x:c r="X863" s="5" t="inlineStr">
        <x:is>
          <x:t xml:space="preserve">맑음</x:t>
        </x:is>
      </x:c>
      <x:c r="Y863" s="5" t="inlineStr">
        <x:is>
          <x:t xml:space="preserve">밤</x:t>
        </x:is>
      </x:c>
      <x:c r="Z863" s="5" t="inlineStr">
        <x:is>
          <x:t xml:space="preserve">흔함</x:t>
        </x:is>
      </x:c>
      <x:c r="AA863" s="5" t="inlineStr">
        <x:is>
          <x:t xml:space="preserve">영체</x:t>
        </x:is>
      </x:c>
      <x:c r="AB863" s="5" t="inlineStr">
        <x:is>
          <x:t xml:space="preserve">화산</x:t>
        </x:is>
      </x:c>
      <x:c r="AC863" s="5" t="inlineStr">
        <x:is>
          <x:t xml:space="preserve">gen8</x:t>
        </x:is>
      </x:c>
      <x:c r="AD863" s="5" t="inlineStr">
        <x:is>
          <x:t xml:space="preserve">.tmp/cobblemon-1.7.3-source/common/src/main/resources/data/cobblemon/species/generation8/impidimp.json</x:t>
        </x:is>
      </x:c>
    </x:row>
    <x:row r="864" ht="22" customHeight="1">
      <x:c r="A864" s="5" t="n">
        <x:v>860</x:v>
      </x:c>
      <x:c r="B864" s="5" t="inlineStr">
        <x:is>
          <x:t xml:space="preserve">쏘겨모</x:t>
        </x:is>
      </x:c>
      <x:c r="C864" s="5" t="inlineStr">
        <x:is>
          <x:t xml:space="preserve">morgrem</x:t>
        </x:is>
      </x:c>
      <x:c r="D864" s="5" t="inlineStr">
        <x:is>
          <x:t xml:space="preserve">Morgrem</x:t>
        </x:is>
      </x:c>
      <x:c r="E864" s="5" t="n">
        <x:v>8</x:v>
      </x:c>
      <x:c r="F864" s="5" t="inlineStr">
        <x:is>
          <x:t xml:space="preserve">악</x:t>
        </x:is>
      </x:c>
      <x:c r="G864" s="5" t="inlineStr">
        <x:is>
          <x:t xml:space="preserve">페어리</x:t>
        </x:is>
      </x:c>
      <x:c r="H864" s="5" t="n">
        <x:v>0.8</x:v>
      </x:c>
      <x:c r="I864" s="5" t="n">
        <x:v>12.5</x:v>
      </x:c>
      <x:c r="J864" s="5" t="n">
        <x:v>370</x:v>
      </x:c>
      <x:c r="K864" s="5" t="n">
        <x:v>120</x:v>
      </x:c>
      <x:c r="L864" s="5" t="inlineStr">
        <x:is>
          <x:t xml:space="preserve">중간</x:t>
        </x:is>
      </x:c>
      <x:c r="M864" s="5" t="n">
        <x:v>42</x:v>
      </x:c>
      <x:c r="N864" s="5" t="inlineStr">
        <x:is>
          <x:t xml:space="preserve">레벨</x:t>
        </x:is>
      </x:c>
      <x:c r="O864" s="5" t="inlineStr">
        <x:is>
          <x:t xml:space="preserve">예</x:t>
        </x:is>
      </x:c>
      <x:c r="P864" s="5" t="inlineStr">
        <x:is>
          <x:t xml:space="preserve">#cobblemon:is_magical; #cobblemon:nether/is_forest; #cobblemon:nether/is_warped</x:t>
        </x:is>
      </x:c>
      <x:c r="Q864" s="5" t="inlineStr">
        <x:is>
          <x:t xml:space="preserve">common</x:t>
        </x:is>
      </x:c>
      <x:c r="R864" s="5" t="inlineStr">
        <x:is>
          <x:t xml:space="preserve"/>
        </x:is>
      </x:c>
      <x:c r="S864" s="5" t="inlineStr">
        <x:is>
          <x:t xml:space="preserve"/>
        </x:is>
      </x:c>
      <x:c r="T864" s="5" t="inlineStr">
        <x:is>
          <x:t xml:space="preserve">육상</x:t>
        </x:is>
      </x:c>
      <x:c r="U864" s="5" t="inlineStr">
        <x:is>
          <x:t xml:space="preserve">화산</x:t>
        </x:is>
      </x:c>
      <x:c r="V864" s="5" t="inlineStr">
        <x:is>
          <x:t xml:space="preserve">고온</x:t>
        </x:is>
      </x:c>
      <x:c r="W864" s="5" t="inlineStr">
        <x:is>
          <x:t xml:space="preserve">건조</x:t>
        </x:is>
      </x:c>
      <x:c r="X864" s="5" t="inlineStr">
        <x:is>
          <x:t xml:space="preserve">맑음</x:t>
        </x:is>
      </x:c>
      <x:c r="Y864" s="5" t="inlineStr">
        <x:is>
          <x:t xml:space="preserve">밤</x:t>
        </x:is>
      </x:c>
      <x:c r="Z864" s="5" t="inlineStr">
        <x:is>
          <x:t xml:space="preserve">흔함</x:t>
        </x:is>
      </x:c>
      <x:c r="AA864" s="5" t="inlineStr">
        <x:is>
          <x:t xml:space="preserve">화산</x:t>
        </x:is>
      </x:c>
      <x:c r="AB864" s="5" t="inlineStr">
        <x:is>
          <x:t xml:space="preserve">화산</x:t>
        </x:is>
      </x:c>
      <x:c r="AC864" s="5" t="inlineStr">
        <x:is>
          <x:t xml:space="preserve">gen8</x:t>
        </x:is>
      </x:c>
      <x:c r="AD864" s="5" t="inlineStr">
        <x:is>
          <x:t xml:space="preserve">.tmp/cobblemon-1.7.3-source/common/src/main/resources/data/cobblemon/species/generation8/morgrem.json</x:t>
        </x:is>
      </x:c>
    </x:row>
    <x:row r="865" ht="22" customHeight="1">
      <x:c r="A865" s="5" t="n">
        <x:v>861</x:v>
      </x:c>
      <x:c r="B865" s="5" t="inlineStr">
        <x:is>
          <x:t xml:space="preserve">오롱털</x:t>
        </x:is>
      </x:c>
      <x:c r="C865" s="5" t="inlineStr">
        <x:is>
          <x:t xml:space="preserve">grimmsnarl</x:t>
        </x:is>
      </x:c>
      <x:c r="D865" s="5" t="inlineStr">
        <x:is>
          <x:t xml:space="preserve">Grimmsnarl</x:t>
        </x:is>
      </x:c>
      <x:c r="E865" s="5" t="n">
        <x:v>8</x:v>
      </x:c>
      <x:c r="F865" s="5" t="inlineStr">
        <x:is>
          <x:t xml:space="preserve">악</x:t>
        </x:is>
      </x:c>
      <x:c r="G865" s="5" t="inlineStr">
        <x:is>
          <x:t xml:space="preserve">페어리</x:t>
        </x:is>
      </x:c>
      <x:c r="H865" s="5" t="n">
        <x:v>1.5</x:v>
      </x:c>
      <x:c r="I865" s="5" t="n">
        <x:v>61</x:v>
      </x:c>
      <x:c r="J865" s="5" t="n">
        <x:v>510</x:v>
      </x:c>
      <x:c r="K865" s="5" t="n">
        <x:v>45</x:v>
      </x:c>
      <x:c r="L865" s="5" t="inlineStr">
        <x:is>
          <x:t xml:space="preserve">최종</x:t>
        </x:is>
      </x:c>
      <x:c r="M865" s="5" t="n">
        <x:v>42</x:v>
      </x:c>
      <x:c r="N865" s="5" t="inlineStr">
        <x:is>
          <x:t xml:space="preserve">레벨</x:t>
        </x:is>
      </x:c>
      <x:c r="O865" s="5" t="inlineStr">
        <x:is>
          <x:t xml:space="preserve">예</x:t>
        </x:is>
      </x:c>
      <x:c r="P865" s="5" t="inlineStr">
        <x:is>
          <x:t xml:space="preserve">#cobblemon:is_magical; #cobblemon:nether/is_forest; #cobblemon:nether/is_warped</x:t>
        </x:is>
      </x:c>
      <x:c r="Q865" s="5" t="inlineStr">
        <x:is>
          <x:t xml:space="preserve">common</x:t>
        </x:is>
      </x:c>
      <x:c r="R865" s="5" t="inlineStr">
        <x:is>
          <x:t xml:space="preserve"/>
        </x:is>
      </x:c>
      <x:c r="S865" s="5" t="inlineStr">
        <x:is>
          <x:t xml:space="preserve"/>
        </x:is>
      </x:c>
      <x:c r="T865" s="5" t="inlineStr">
        <x:is>
          <x:t xml:space="preserve">육상</x:t>
        </x:is>
      </x:c>
      <x:c r="U865" s="5" t="inlineStr">
        <x:is>
          <x:t xml:space="preserve">화산</x:t>
        </x:is>
      </x:c>
      <x:c r="V865" s="5" t="inlineStr">
        <x:is>
          <x:t xml:space="preserve">고온</x:t>
        </x:is>
      </x:c>
      <x:c r="W865" s="5" t="inlineStr">
        <x:is>
          <x:t xml:space="preserve">건조</x:t>
        </x:is>
      </x:c>
      <x:c r="X865" s="5" t="inlineStr">
        <x:is>
          <x:t xml:space="preserve">맑음</x:t>
        </x:is>
      </x:c>
      <x:c r="Y865" s="5" t="inlineStr">
        <x:is>
          <x:t xml:space="preserve">밤</x:t>
        </x:is>
      </x:c>
      <x:c r="Z865" s="5" t="inlineStr">
        <x:is>
          <x:t xml:space="preserve">흔함</x:t>
        </x:is>
      </x:c>
      <x:c r="AA865" s="5" t="inlineStr">
        <x:is>
          <x:t xml:space="preserve">화산</x:t>
        </x:is>
      </x:c>
      <x:c r="AB865" s="5" t="inlineStr">
        <x:is>
          <x:t xml:space="preserve">화산</x:t>
        </x:is>
      </x:c>
      <x:c r="AC865" s="5" t="inlineStr">
        <x:is>
          <x:t xml:space="preserve">gen8</x:t>
        </x:is>
      </x:c>
      <x:c r="AD865" s="5" t="inlineStr">
        <x:is>
          <x:t xml:space="preserve">.tmp/cobblemon-1.7.3-source/common/src/main/resources/data/cobblemon/species/generation8/grimmsnarl.json</x:t>
        </x:is>
      </x:c>
    </x:row>
    <x:row r="866" ht="22" customHeight="1">
      <x:c r="A866" s="5" t="n">
        <x:v>862</x:v>
      </x:c>
      <x:c r="B866" s="5" t="inlineStr">
        <x:is>
          <x:t xml:space="preserve">가로막구리</x:t>
        </x:is>
      </x:c>
      <x:c r="C866" s="5" t="inlineStr">
        <x:is>
          <x:t xml:space="preserve">obstagoon</x:t>
        </x:is>
      </x:c>
      <x:c r="D866" s="5" t="inlineStr">
        <x:is>
          <x:t xml:space="preserve">Obstagoon</x:t>
        </x:is>
      </x:c>
      <x:c r="E866" s="5" t="n">
        <x:v>8</x:v>
      </x:c>
      <x:c r="F866" s="5" t="inlineStr">
        <x:is>
          <x:t xml:space="preserve">악</x:t>
        </x:is>
      </x:c>
      <x:c r="G866" s="5" t="inlineStr">
        <x:is>
          <x:t xml:space="preserve">노말</x:t>
        </x:is>
      </x:c>
      <x:c r="H866" s="5" t="n">
        <x:v>1.6</x:v>
      </x:c>
      <x:c r="I866" s="5" t="n">
        <x:v>46</x:v>
      </x:c>
      <x:c r="J866" s="5" t="n">
        <x:v>520</x:v>
      </x:c>
      <x:c r="K866" s="5" t="n">
        <x:v>45</x:v>
      </x:c>
      <x:c r="L866" s="5" t="inlineStr">
        <x:is>
          <x:t xml:space="preserve">최종</x:t>
        </x:is>
      </x:c>
      <x:c r="M866" s="5" t="n">
        <x:v>20</x:v>
      </x:c>
      <x:c r="N866" s="5" t="inlineStr">
        <x:is>
          <x:t xml:space="preserve">레벨</x:t>
        </x:is>
      </x:c>
      <x:c r="O866" s="5" t="inlineStr">
        <x:is>
          <x:t xml:space="preserve">예</x:t>
        </x:is>
      </x:c>
      <x:c r="P866" s="5" t="inlineStr">
        <x:is>
          <x:t xml:space="preserve">#cobblemon:is_taiga</x:t>
        </x:is>
      </x:c>
      <x:c r="Q866" s="5" t="inlineStr">
        <x:is>
          <x:t xml:space="preserve">common</x:t>
        </x:is>
      </x:c>
      <x:c r="R866" s="5" t="inlineStr">
        <x:is>
          <x:t xml:space="preserve"/>
        </x:is>
      </x:c>
      <x:c r="S866" s="5" t="inlineStr">
        <x:is>
          <x:t xml:space="preserve"/>
        </x:is>
      </x:c>
      <x:c r="T866" s="5" t="inlineStr">
        <x:is>
          <x:t xml:space="preserve">육상</x:t>
        </x:is>
      </x:c>
      <x:c r="U866" s="5" t="inlineStr">
        <x:is>
          <x:t xml:space="preserve">수목</x:t>
        </x:is>
      </x:c>
      <x:c r="V866" s="5" t="inlineStr">
        <x:is>
          <x:t xml:space="preserve">서늘</x:t>
        </x:is>
      </x:c>
      <x:c r="W866" s="5" t="inlineStr">
        <x:is>
          <x:t xml:space="preserve">보통</x:t>
        </x:is>
      </x:c>
      <x:c r="X866" s="5" t="inlineStr">
        <x:is>
          <x:t xml:space="preserve">무관</x:t>
        </x:is>
      </x:c>
      <x:c r="Y866" s="5" t="inlineStr">
        <x:is>
          <x:t xml:space="preserve">밤</x:t>
        </x:is>
      </x:c>
      <x:c r="Z866" s="5" t="inlineStr">
        <x:is>
          <x:t xml:space="preserve">흔함</x:t>
        </x:is>
      </x:c>
      <x:c r="AA866" s="5" t="inlineStr">
        <x:is>
          <x:t xml:space="preserve">없음</x:t>
        </x:is>
      </x:c>
      <x:c r="AB866" s="5" t="inlineStr">
        <x:is>
          <x:t xml:space="preserve">숲</x:t>
        </x:is>
      </x:c>
      <x:c r="AC866" s="5" t="inlineStr">
        <x:is>
          <x:t xml:space="preserve">gen8</x:t>
        </x:is>
      </x:c>
      <x:c r="AD866" s="5" t="inlineStr">
        <x:is>
          <x:t xml:space="preserve">.tmp/cobblemon-1.7.3-source/common/src/main/resources/data/cobblemon/species/generation8/obstagoon.json</x:t>
        </x:is>
      </x:c>
    </x:row>
    <x:row r="867" ht="22" customHeight="1">
      <x:c r="A867" s="5" t="n">
        <x:v>863</x:v>
      </x:c>
      <x:c r="B867" s="5" t="inlineStr">
        <x:is>
          <x:t xml:space="preserve">나이킹</x:t>
        </x:is>
      </x:c>
      <x:c r="C867" s="5" t="inlineStr">
        <x:is>
          <x:t xml:space="preserve">perrserker</x:t>
        </x:is>
      </x:c>
      <x:c r="D867" s="5" t="inlineStr">
        <x:is>
          <x:t xml:space="preserve">Perrserker</x:t>
        </x:is>
      </x:c>
      <x:c r="E867" s="5" t="n">
        <x:v>8</x:v>
      </x:c>
      <x:c r="F867" s="5" t="inlineStr">
        <x:is>
          <x:t xml:space="preserve">강철</x:t>
        </x:is>
      </x:c>
      <x:c r="G867" s="5" t="inlineStr">
        <x:is>
          <x:t xml:space="preserve"/>
        </x:is>
      </x:c>
      <x:c r="H867" s="5" t="n">
        <x:v>0.8</x:v>
      </x:c>
      <x:c r="I867" s="5" t="n">
        <x:v>28</x:v>
      </x:c>
      <x:c r="J867" s="5" t="n">
        <x:v>440</x:v>
      </x:c>
      <x:c r="K867" s="5" t="n">
        <x:v>90</x:v>
      </x:c>
      <x:c r="L867" s="5" t="inlineStr">
        <x:is>
          <x:t xml:space="preserve">최종</x:t>
        </x:is>
      </x:c>
      <x:c r="M867" s="5" t="n">
        <x:v>28</x:v>
      </x:c>
      <x:c r="N867" s="5" t="inlineStr">
        <x:is>
          <x:t xml:space="preserve">레벨</x:t>
        </x:is>
      </x:c>
      <x:c r="O867" s="5" t="inlineStr">
        <x:is>
          <x:t xml:space="preserve">예</x:t>
        </x:is>
      </x:c>
      <x:c r="P867" s="5" t="inlineStr">
        <x:is>
          <x:t xml:space="preserve">#cobblemon:is_freezing; #cobblemon:is_taiga</x:t>
        </x:is>
      </x:c>
      <x:c r="Q867" s="5" t="inlineStr">
        <x:is>
          <x:t xml:space="preserve">common</x:t>
        </x:is>
      </x:c>
      <x:c r="R867" s="5" t="inlineStr">
        <x:is>
          <x:t xml:space="preserve"/>
        </x:is>
      </x:c>
      <x:c r="S867" s="5" t="inlineStr">
        <x:is>
          <x:t xml:space="preserve"/>
        </x:is>
      </x:c>
      <x:c r="T867" s="5" t="inlineStr">
        <x:is>
          <x:t xml:space="preserve">육상</x:t>
        </x:is>
      </x:c>
      <x:c r="U867" s="5" t="inlineStr">
        <x:is>
          <x:t xml:space="preserve">수목</x:t>
        </x:is>
      </x:c>
      <x:c r="V867" s="5" t="inlineStr">
        <x:is>
          <x:t xml:space="preserve">서늘</x:t>
        </x:is>
      </x:c>
      <x:c r="W867" s="5" t="inlineStr">
        <x:is>
          <x:t xml:space="preserve">보통</x:t>
        </x:is>
      </x:c>
      <x:c r="X867" s="5" t="inlineStr">
        <x:is>
          <x:t xml:space="preserve">무관</x:t>
        </x:is>
      </x:c>
      <x:c r="Y867" s="5" t="inlineStr">
        <x:is>
          <x:t xml:space="preserve">무관</x:t>
        </x:is>
      </x:c>
      <x:c r="Z867" s="5" t="inlineStr">
        <x:is>
          <x:t xml:space="preserve">흔함</x:t>
        </x:is>
      </x:c>
      <x:c r="AA867" s="5" t="inlineStr">
        <x:is>
          <x:t xml:space="preserve">없음</x:t>
        </x:is>
      </x:c>
      <x:c r="AB867" s="5" t="inlineStr">
        <x:is>
          <x:t xml:space="preserve">숲</x:t>
        </x:is>
      </x:c>
      <x:c r="AC867" s="5" t="inlineStr">
        <x:is>
          <x:t xml:space="preserve">gen8</x:t>
        </x:is>
      </x:c>
      <x:c r="AD867" s="5" t="inlineStr">
        <x:is>
          <x:t xml:space="preserve">.tmp/cobblemon-1.7.3-source/common/src/main/resources/data/cobblemon/species/generation8/perrserker.json</x:t>
        </x:is>
      </x:c>
    </x:row>
    <x:row r="868" ht="22" customHeight="1">
      <x:c r="A868" s="5" t="n">
        <x:v>864</x:v>
      </x:c>
      <x:c r="B868" s="5" t="inlineStr">
        <x:is>
          <x:t xml:space="preserve">산호르곤</x:t>
        </x:is>
      </x:c>
      <x:c r="C868" s="5" t="inlineStr">
        <x:is>
          <x:t xml:space="preserve">cursola</x:t>
        </x:is>
      </x:c>
      <x:c r="D868" s="5" t="inlineStr">
        <x:is>
          <x:t xml:space="preserve">Cursola</x:t>
        </x:is>
      </x:c>
      <x:c r="E868" s="5" t="n">
        <x:v>8</x:v>
      </x:c>
      <x:c r="F868" s="5" t="inlineStr">
        <x:is>
          <x:t xml:space="preserve">고스트</x:t>
        </x:is>
      </x:c>
      <x:c r="G868" s="5" t="inlineStr">
        <x:is>
          <x:t xml:space="preserve"/>
        </x:is>
      </x:c>
      <x:c r="H868" s="5" t="n">
        <x:v>1</x:v>
      </x:c>
      <x:c r="I868" s="5" t="n">
        <x:v>0.4</x:v>
      </x:c>
      <x:c r="J868" s="5" t="n">
        <x:v>510</x:v>
      </x:c>
      <x:c r="K868" s="5" t="n">
        <x:v>30</x:v>
      </x:c>
      <x:c r="L868" s="5" t="inlineStr">
        <x:is>
          <x:t xml:space="preserve">최종</x:t>
        </x:is>
      </x:c>
      <x:c r="M868" s="5" t="n"/>
      <x:c r="N868" s="5" t="inlineStr">
        <x:is>
          <x:t xml:space="preserve">없음</x:t>
        </x:is>
      </x:c>
      <x:c r="O868" s="5" t="inlineStr">
        <x:is>
          <x:t xml:space="preserve">예</x:t>
        </x:is>
      </x:c>
      <x:c r="P868" s="5" t="inlineStr">
        <x:is>
          <x:t xml:space="preserve">#cobblemon:is_beach; #cobblemon:is_overworld; #cobblemon:is_warm_ocean; #cobblemon:nether/is_quartz; byg:warped_desert</x:t>
        </x:is>
      </x:c>
      <x:c r="Q868" s="5" t="inlineStr">
        <x:is>
          <x:t xml:space="preserve">common; uncommon</x:t>
        </x:is>
      </x:c>
      <x:c r="R868" s="5" t="inlineStr">
        <x:is>
          <x:t xml:space="preserve"/>
        </x:is>
      </x:c>
      <x:c r="S868" s="5" t="inlineStr">
        <x:is>
          <x:t xml:space="preserve"/>
        </x:is>
      </x:c>
      <x:c r="T868" s="5" t="inlineStr">
        <x:is>
          <x:t xml:space="preserve">해양</x:t>
        </x:is>
      </x:c>
      <x:c r="U868" s="5" t="inlineStr">
        <x:is>
          <x:t xml:space="preserve">해안·해양</x:t>
        </x:is>
      </x:c>
      <x:c r="V868" s="5" t="inlineStr">
        <x:is>
          <x:t xml:space="preserve">온대</x:t>
        </x:is>
      </x:c>
      <x:c r="W868" s="5" t="inlineStr">
        <x:is>
          <x:t xml:space="preserve">수중</x:t>
        </x:is>
      </x:c>
      <x:c r="X868" s="5" t="inlineStr">
        <x:is>
          <x:t xml:space="preserve">비</x:t>
        </x:is>
      </x:c>
      <x:c r="Y868" s="5" t="inlineStr">
        <x:is>
          <x:t xml:space="preserve">밤</x:t>
        </x:is>
      </x:c>
      <x:c r="Z868" s="5" t="inlineStr">
        <x:is>
          <x:t xml:space="preserve">보통</x:t>
        </x:is>
      </x:c>
      <x:c r="AA868" s="5" t="inlineStr">
        <x:is>
          <x:t xml:space="preserve">영체</x:t>
        </x:is>
      </x:c>
      <x:c r="AB868" s="5" t="inlineStr">
        <x:is>
          <x:t xml:space="preserve">해양</x:t>
        </x:is>
      </x:c>
      <x:c r="AC868" s="5" t="inlineStr">
        <x:is>
          <x:t xml:space="preserve">gen8</x:t>
        </x:is>
      </x:c>
      <x:c r="AD868" s="5" t="inlineStr">
        <x:is>
          <x:t xml:space="preserve">.tmp/cobblemon-1.7.3-source/common/src/main/resources/data/cobblemon/species/generation8/cursola.json</x:t>
        </x:is>
      </x:c>
    </x:row>
    <x:row r="869" ht="22" customHeight="1">
      <x:c r="A869" s="5" t="n">
        <x:v>865</x:v>
      </x:c>
      <x:c r="B869" s="5" t="inlineStr">
        <x:is>
          <x:t xml:space="preserve">창파나이트</x:t>
        </x:is>
      </x:c>
      <x:c r="C869" s="5" t="inlineStr">
        <x:is>
          <x:t xml:space="preserve">sirfetchd</x:t>
        </x:is>
      </x:c>
      <x:c r="D869" s="5" t="inlineStr">
        <x:is>
          <x:t xml:space="preserve">Sirfetch'd</x:t>
        </x:is>
      </x:c>
      <x:c r="E869" s="5" t="n">
        <x:v>8</x:v>
      </x:c>
      <x:c r="F869" s="5" t="inlineStr">
        <x:is>
          <x:t xml:space="preserve">격투</x:t>
        </x:is>
      </x:c>
      <x:c r="G869" s="5" t="inlineStr">
        <x:is>
          <x:t xml:space="preserve"/>
        </x:is>
      </x:c>
      <x:c r="H869" s="5" t="n">
        <x:v>0.8</x:v>
      </x:c>
      <x:c r="I869" s="5" t="n">
        <x:v>117</x:v>
      </x:c>
      <x:c r="J869" s="5" t="n">
        <x:v>507</x:v>
      </x:c>
      <x:c r="K869" s="5" t="n">
        <x:v>45</x:v>
      </x:c>
      <x:c r="L869" s="5" t="inlineStr">
        <x:is>
          <x:t xml:space="preserve">최종</x:t>
        </x:is>
      </x:c>
      <x:c r="M869" s="5" t="n"/>
      <x:c r="N869" s="5" t="inlineStr">
        <x:is>
          <x:t xml:space="preserve">없음</x:t>
        </x:is>
      </x:c>
      <x:c r="O869" s="5" t="inlineStr">
        <x:is>
          <x:t xml:space="preserve">예</x:t>
        </x:is>
      </x:c>
      <x:c r="P869" s="5" t="inlineStr">
        <x:is>
          <x:t xml:space="preserve">#cobblemon:is_forest</x:t>
        </x:is>
      </x:c>
      <x:c r="Q869" s="5" t="inlineStr">
        <x:is>
          <x:t xml:space="preserve">rare</x:t>
        </x:is>
      </x:c>
      <x:c r="R869" s="5" t="inlineStr">
        <x:is>
          <x:t xml:space="preserve"/>
        </x:is>
      </x:c>
      <x:c r="S869" s="5" t="inlineStr">
        <x:is>
          <x:t xml:space="preserve"/>
        </x:is>
      </x:c>
      <x:c r="T869" s="5" t="inlineStr">
        <x:is>
          <x:t xml:space="preserve">육상</x:t>
        </x:is>
      </x:c>
      <x:c r="U869" s="5" t="inlineStr">
        <x:is>
          <x:t xml:space="preserve">수목</x:t>
        </x:is>
      </x:c>
      <x:c r="V869" s="5" t="inlineStr">
        <x:is>
          <x:t xml:space="preserve">온대</x:t>
        </x:is>
      </x:c>
      <x:c r="W869" s="5" t="inlineStr">
        <x:is>
          <x:t xml:space="preserve">보통</x:t>
        </x:is>
      </x:c>
      <x:c r="X869" s="5" t="inlineStr">
        <x:is>
          <x:t xml:space="preserve">무관</x:t>
        </x:is>
      </x:c>
      <x:c r="Y869" s="5" t="inlineStr">
        <x:is>
          <x:t xml:space="preserve">무관</x:t>
        </x:is>
      </x:c>
      <x:c r="Z869" s="5" t="inlineStr">
        <x:is>
          <x:t xml:space="preserve">드묾</x:t>
        </x:is>
      </x:c>
      <x:c r="AA869" s="5" t="inlineStr">
        <x:is>
          <x:t xml:space="preserve">없음</x:t>
        </x:is>
      </x:c>
      <x:c r="AB869" s="5" t="inlineStr">
        <x:is>
          <x:t xml:space="preserve">숲</x:t>
        </x:is>
      </x:c>
      <x:c r="AC869" s="5" t="inlineStr">
        <x:is>
          <x:t xml:space="preserve">gen8</x:t>
        </x:is>
      </x:c>
      <x:c r="AD869" s="5" t="inlineStr">
        <x:is>
          <x:t xml:space="preserve">.tmp/cobblemon-1.7.3-source/common/src/main/resources/data/cobblemon/species/generation8/sirfetchd.json</x:t>
        </x:is>
      </x:c>
    </x:row>
    <x:row r="870" ht="22" customHeight="1">
      <x:c r="A870" s="5" t="n">
        <x:v>866</x:v>
      </x:c>
      <x:c r="B870" s="5" t="inlineStr">
        <x:is>
          <x:t xml:space="preserve">마임꽁꽁</x:t>
        </x:is>
      </x:c>
      <x:c r="C870" s="5" t="inlineStr">
        <x:is>
          <x:t xml:space="preserve">mrrime</x:t>
        </x:is>
      </x:c>
      <x:c r="D870" s="5" t="inlineStr">
        <x:is>
          <x:t xml:space="preserve">Mr. Rime</x:t>
        </x:is>
      </x:c>
      <x:c r="E870" s="5" t="n">
        <x:v>8</x:v>
      </x:c>
      <x:c r="F870" s="5" t="inlineStr">
        <x:is>
          <x:t xml:space="preserve">얼음</x:t>
        </x:is>
      </x:c>
      <x:c r="G870" s="5" t="inlineStr">
        <x:is>
          <x:t xml:space="preserve">에스퍼</x:t>
        </x:is>
      </x:c>
      <x:c r="H870" s="5" t="n">
        <x:v>1.5</x:v>
      </x:c>
      <x:c r="I870" s="5" t="n">
        <x:v>58.2</x:v>
      </x:c>
      <x:c r="J870" s="5" t="n">
        <x:v>520</x:v>
      </x:c>
      <x:c r="K870" s="5" t="n">
        <x:v>45</x:v>
      </x:c>
      <x:c r="L870" s="5" t="inlineStr">
        <x:is>
          <x:t xml:space="preserve">최종</x:t>
        </x:is>
      </x:c>
      <x:c r="M870" s="5" t="n"/>
      <x:c r="N870" s="5" t="inlineStr">
        <x:is>
          <x:t xml:space="preserve">특수</x:t>
        </x:is>
      </x:c>
      <x:c r="O870" s="5" t="inlineStr">
        <x:is>
          <x:t xml:space="preserve">예</x:t>
        </x:is>
      </x:c>
      <x:c r="P870" s="5" t="inlineStr">
        <x:is>
          <x:t xml:space="preserve">#cobblemon:is_freezing</x:t>
        </x:is>
      </x:c>
      <x:c r="Q870" s="5" t="inlineStr">
        <x:is>
          <x:t xml:space="preserve">uncommon</x:t>
        </x:is>
      </x:c>
      <x:c r="R870" s="5" t="inlineStr">
        <x:is>
          <x:t xml:space="preserve"/>
        </x:is>
      </x:c>
      <x:c r="S870" s="5" t="inlineStr">
        <x:is>
          <x:t xml:space="preserve"/>
        </x:is>
      </x:c>
      <x:c r="T870" s="5" t="inlineStr">
        <x:is>
          <x:t xml:space="preserve">육상</x:t>
        </x:is>
      </x:c>
      <x:c r="U870" s="5" t="inlineStr">
        <x:is>
          <x:t xml:space="preserve">설원</x:t>
        </x:is>
      </x:c>
      <x:c r="V870" s="5" t="inlineStr">
        <x:is>
          <x:t xml:space="preserve">한랭</x:t>
        </x:is>
      </x:c>
      <x:c r="W870" s="5" t="inlineStr">
        <x:is>
          <x:t xml:space="preserve">보통</x:t>
        </x:is>
      </x:c>
      <x:c r="X870" s="5" t="inlineStr">
        <x:is>
          <x:t xml:space="preserve">무관</x:t>
        </x:is>
      </x:c>
      <x:c r="Y870" s="5" t="inlineStr">
        <x:is>
          <x:t xml:space="preserve">무관</x:t>
        </x:is>
      </x:c>
      <x:c r="Z870" s="5" t="inlineStr">
        <x:is>
          <x:t xml:space="preserve">보통</x:t>
        </x:is>
      </x:c>
      <x:c r="AA870" s="5" t="inlineStr">
        <x:is>
          <x:t xml:space="preserve">없음</x:t>
        </x:is>
      </x:c>
      <x:c r="AB870" s="5" t="inlineStr">
        <x:is>
          <x:t xml:space="preserve"/>
        </x:is>
      </x:c>
      <x:c r="AC870" s="5" t="inlineStr">
        <x:is>
          <x:t xml:space="preserve">gen8</x:t>
        </x:is>
      </x:c>
      <x:c r="AD870" s="5" t="inlineStr">
        <x:is>
          <x:t xml:space="preserve">.tmp/cobblemon-1.7.3-source/common/src/main/resources/data/cobblemon/species/generation8/mrrime.json</x:t>
        </x:is>
      </x:c>
    </x:row>
    <x:row r="871" ht="22" customHeight="1">
      <x:c r="A871" s="5" t="n">
        <x:v>867</x:v>
      </x:c>
      <x:c r="B871" s="5" t="inlineStr">
        <x:is>
          <x:t xml:space="preserve">데스판</x:t>
        </x:is>
      </x:c>
      <x:c r="C871" s="5" t="inlineStr">
        <x:is>
          <x:t xml:space="preserve">runerigus</x:t>
        </x:is>
      </x:c>
      <x:c r="D871" s="5" t="inlineStr">
        <x:is>
          <x:t xml:space="preserve">Runerigus</x:t>
        </x:is>
      </x:c>
      <x:c r="E871" s="5" t="n">
        <x:v>8</x:v>
      </x:c>
      <x:c r="F871" s="5" t="inlineStr">
        <x:is>
          <x:t xml:space="preserve">땅</x:t>
        </x:is>
      </x:c>
      <x:c r="G871" s="5" t="inlineStr">
        <x:is>
          <x:t xml:space="preserve">고스트</x:t>
        </x:is>
      </x:c>
      <x:c r="H871" s="5" t="n">
        <x:v>1.6</x:v>
      </x:c>
      <x:c r="I871" s="5" t="n">
        <x:v>66.59999999999999</x:v>
      </x:c>
      <x:c r="J871" s="5" t="n">
        <x:v>483</x:v>
      </x:c>
      <x:c r="K871" s="5" t="n">
        <x:v>90</x:v>
      </x:c>
      <x:c r="L871" s="5" t="inlineStr">
        <x:is>
          <x:t xml:space="preserve">최종</x:t>
        </x:is>
      </x:c>
      <x:c r="M871" s="5" t="n">
        <x:v>34</x:v>
      </x:c>
      <x:c r="N871" s="5" t="inlineStr">
        <x:is>
          <x:t xml:space="preserve">레벨</x:t>
        </x:is>
      </x:c>
      <x:c r="O871" s="5" t="inlineStr">
        <x:is>
          <x:t xml:space="preserve">아니오</x:t>
        </x:is>
      </x:c>
      <x:c r="P871" s="5" t="inlineStr">
        <x:is>
          <x:t xml:space="preserve">#cobblemon:is_overworld; #cobblemon:is_spooky</x:t>
        </x:is>
      </x:c>
      <x:c r="Q871" s="5" t="inlineStr">
        <x:is>
          <x:t xml:space="preserve">rare; uncommon</x:t>
        </x:is>
      </x:c>
      <x:c r="R871" s="5" t="inlineStr">
        <x:is>
          <x:t xml:space="preserve">night</x:t>
        </x:is>
      </x:c>
      <x:c r="S871" s="5" t="inlineStr">
        <x:is>
          <x:t xml:space="preserve"/>
        </x:is>
      </x:c>
      <x:c r="T871" s="5" t="inlineStr">
        <x:is>
          <x:t xml:space="preserve">비행</x:t>
        </x:is>
      </x:c>
      <x:c r="U871" s="5" t="inlineStr">
        <x:is>
          <x:t xml:space="preserve">특수</x:t>
        </x:is>
      </x:c>
      <x:c r="V871" s="5" t="inlineStr">
        <x:is>
          <x:t xml:space="preserve">온대</x:t>
        </x:is>
      </x:c>
      <x:c r="W871" s="5" t="inlineStr">
        <x:is>
          <x:t xml:space="preserve">보통</x:t>
        </x:is>
      </x:c>
      <x:c r="X871" s="5" t="inlineStr">
        <x:is>
          <x:t xml:space="preserve">안개</x:t>
        </x:is>
      </x:c>
      <x:c r="Y871" s="5" t="inlineStr">
        <x:is>
          <x:t xml:space="preserve">밤</x:t>
        </x:is>
      </x:c>
      <x:c r="Z871" s="5" t="inlineStr">
        <x:is>
          <x:t xml:space="preserve">보통</x:t>
        </x:is>
      </x:c>
      <x:c r="AA871" s="5" t="inlineStr">
        <x:is>
          <x:t xml:space="preserve">영체</x:t>
        </x:is>
      </x:c>
      <x:c r="AB871" s="5" t="inlineStr">
        <x:is>
          <x:t xml:space="preserve">특수</x:t>
        </x:is>
      </x:c>
      <x:c r="AC871" s="5" t="inlineStr">
        <x:is>
          <x:t xml:space="preserve">gen8</x:t>
        </x:is>
      </x:c>
      <x:c r="AD871" s="5" t="inlineStr">
        <x:is>
          <x:t xml:space="preserve">.tmp/cobblemon-1.7.3-source/common/src/main/resources/data/cobblemon/species/generation8/runerigus.json</x:t>
        </x:is>
      </x:c>
    </x:row>
    <x:row r="872" ht="22" customHeight="1">
      <x:c r="A872" s="5" t="n">
        <x:v>868</x:v>
      </x:c>
      <x:c r="B872" s="5" t="inlineStr">
        <x:is>
          <x:t xml:space="preserve">마빌크</x:t>
        </x:is>
      </x:c>
      <x:c r="C872" s="5" t="inlineStr">
        <x:is>
          <x:t xml:space="preserve">milcery</x:t>
        </x:is>
      </x:c>
      <x:c r="D872" s="5" t="inlineStr">
        <x:is>
          <x:t xml:space="preserve">Milcery</x:t>
        </x:is>
      </x:c>
      <x:c r="E872" s="5" t="n">
        <x:v>8</x:v>
      </x:c>
      <x:c r="F872" s="5" t="inlineStr">
        <x:is>
          <x:t xml:space="preserve">페어리</x:t>
        </x:is>
      </x:c>
      <x:c r="G872" s="5" t="inlineStr">
        <x:is>
          <x:t xml:space="preserve"/>
        </x:is>
      </x:c>
      <x:c r="H872" s="5" t="n">
        <x:v>0.2</x:v>
      </x:c>
      <x:c r="I872" s="5" t="n">
        <x:v>0.3</x:v>
      </x:c>
      <x:c r="J872" s="5" t="n">
        <x:v>270</x:v>
      </x:c>
      <x:c r="K872" s="5" t="n">
        <x:v>200</x:v>
      </x:c>
      <x:c r="L872" s="5" t="inlineStr">
        <x:is>
          <x:t xml:space="preserve">기본</x:t>
        </x:is>
      </x:c>
      <x:c r="M872" s="5" t="n"/>
      <x:c r="N872" s="5" t="inlineStr">
        <x:is>
          <x:t xml:space="preserve">특수</x:t>
        </x:is>
      </x:c>
      <x:c r="O872" s="5" t="inlineStr">
        <x:is>
          <x:t xml:space="preserve">예</x:t>
        </x:is>
      </x:c>
      <x:c r="P872" s="5" t="inlineStr">
        <x:is>
          <x:t xml:space="preserve">#aether:is_aether; #cobblemon:is_overworld</x:t>
        </x:is>
      </x:c>
      <x:c r="Q872" s="5" t="inlineStr">
        <x:is>
          <x:t xml:space="preserve">common; uncommon</x:t>
        </x:is>
      </x:c>
      <x:c r="R872" s="5" t="inlineStr">
        <x:is>
          <x:t xml:space="preserve"/>
        </x:is>
      </x:c>
      <x:c r="S872" s="5" t="inlineStr">
        <x:is>
          <x:t xml:space="preserve"/>
        </x:is>
      </x:c>
      <x:c r="T872" s="5" t="inlineStr">
        <x:is>
          <x:t xml:space="preserve">비행</x:t>
        </x:is>
      </x:c>
      <x:c r="U872" s="5" t="inlineStr">
        <x:is>
          <x:t xml:space="preserve">개활지</x:t>
        </x:is>
      </x:c>
      <x:c r="V872" s="5" t="inlineStr">
        <x:is>
          <x:t xml:space="preserve">온대</x:t>
        </x:is>
      </x:c>
      <x:c r="W872" s="5" t="inlineStr">
        <x:is>
          <x:t xml:space="preserve">보통</x:t>
        </x:is>
      </x:c>
      <x:c r="X872" s="5" t="inlineStr">
        <x:is>
          <x:t xml:space="preserve">무관</x:t>
        </x:is>
      </x:c>
      <x:c r="Y872" s="5" t="inlineStr">
        <x:is>
          <x:t xml:space="preserve">무관</x:t>
        </x:is>
      </x:c>
      <x:c r="Z872" s="5" t="inlineStr">
        <x:is>
          <x:t xml:space="preserve">보통</x:t>
        </x:is>
      </x:c>
      <x:c r="AA872" s="5" t="inlineStr">
        <x:is>
          <x:t xml:space="preserve">없음</x:t>
        </x:is>
      </x:c>
      <x:c r="AB872" s="5" t="inlineStr">
        <x:is>
          <x:t xml:space="preserve"/>
        </x:is>
      </x:c>
      <x:c r="AC872" s="5" t="inlineStr">
        <x:is>
          <x:t xml:space="preserve">gen8</x:t>
        </x:is>
      </x:c>
      <x:c r="AD872" s="5" t="inlineStr">
        <x:is>
          <x:t xml:space="preserve">.tmp/cobblemon-1.7.3-source/common/src/main/resources/data/cobblemon/species/generation8/milcery.json</x:t>
        </x:is>
      </x:c>
    </x:row>
    <x:row r="873" ht="22" customHeight="1">
      <x:c r="A873" s="5" t="n">
        <x:v>869</x:v>
      </x:c>
      <x:c r="B873" s="5" t="inlineStr">
        <x:is>
          <x:t xml:space="preserve">마휘핑</x:t>
        </x:is>
      </x:c>
      <x:c r="C873" s="5" t="inlineStr">
        <x:is>
          <x:t xml:space="preserve">alcremie</x:t>
        </x:is>
      </x:c>
      <x:c r="D873" s="5" t="inlineStr">
        <x:is>
          <x:t xml:space="preserve">Alcremie</x:t>
        </x:is>
      </x:c>
      <x:c r="E873" s="5" t="n">
        <x:v>8</x:v>
      </x:c>
      <x:c r="F873" s="5" t="inlineStr">
        <x:is>
          <x:t xml:space="preserve">페어리</x:t>
        </x:is>
      </x:c>
      <x:c r="G873" s="5" t="inlineStr">
        <x:is>
          <x:t xml:space="preserve"/>
        </x:is>
      </x:c>
      <x:c r="H873" s="5" t="n">
        <x:v>0.3</x:v>
      </x:c>
      <x:c r="I873" s="5" t="n">
        <x:v>0.5</x:v>
      </x:c>
      <x:c r="J873" s="5" t="n">
        <x:v>495</x:v>
      </x:c>
      <x:c r="K873" s="5" t="n">
        <x:v>100</x:v>
      </x:c>
      <x:c r="L873" s="5" t="inlineStr">
        <x:is>
          <x:t xml:space="preserve">최종</x:t>
        </x:is>
      </x:c>
      <x:c r="M873" s="5" t="n"/>
      <x:c r="N873" s="5" t="inlineStr">
        <x:is>
          <x:t xml:space="preserve">특수</x:t>
        </x:is>
      </x:c>
      <x:c r="O873" s="5" t="inlineStr">
        <x:is>
          <x:t xml:space="preserve">예</x:t>
        </x:is>
      </x:c>
      <x:c r="P873" s="5" t="inlineStr">
        <x:is>
          <x:t xml:space="preserve">#aether:is_aether; #cobblemon:is_overworld</x:t>
        </x:is>
      </x:c>
      <x:c r="Q873" s="5" t="inlineStr">
        <x:is>
          <x:t xml:space="preserve">common; uncommon</x:t>
        </x:is>
      </x:c>
      <x:c r="R873" s="5" t="inlineStr">
        <x:is>
          <x:t xml:space="preserve"/>
        </x:is>
      </x:c>
      <x:c r="S873" s="5" t="inlineStr">
        <x:is>
          <x:t xml:space="preserve"/>
        </x:is>
      </x:c>
      <x:c r="T873" s="5" t="inlineStr">
        <x:is>
          <x:t xml:space="preserve">육상</x:t>
        </x:is>
      </x:c>
      <x:c r="U873" s="5" t="inlineStr">
        <x:is>
          <x:t xml:space="preserve">개활지</x:t>
        </x:is>
      </x:c>
      <x:c r="V873" s="5" t="inlineStr">
        <x:is>
          <x:t xml:space="preserve">온대</x:t>
        </x:is>
      </x:c>
      <x:c r="W873" s="5" t="inlineStr">
        <x:is>
          <x:t xml:space="preserve">보통</x:t>
        </x:is>
      </x:c>
      <x:c r="X873" s="5" t="inlineStr">
        <x:is>
          <x:t xml:space="preserve">무관</x:t>
        </x:is>
      </x:c>
      <x:c r="Y873" s="5" t="inlineStr">
        <x:is>
          <x:t xml:space="preserve">무관</x:t>
        </x:is>
      </x:c>
      <x:c r="Z873" s="5" t="inlineStr">
        <x:is>
          <x:t xml:space="preserve">보통</x:t>
        </x:is>
      </x:c>
      <x:c r="AA873" s="5" t="inlineStr">
        <x:is>
          <x:t xml:space="preserve">없음</x:t>
        </x:is>
      </x:c>
      <x:c r="AB873" s="5" t="inlineStr">
        <x:is>
          <x:t xml:space="preserve"/>
        </x:is>
      </x:c>
      <x:c r="AC873" s="5" t="inlineStr">
        <x:is>
          <x:t xml:space="preserve">gen8</x:t>
        </x:is>
      </x:c>
      <x:c r="AD873" s="5" t="inlineStr">
        <x:is>
          <x:t xml:space="preserve">.tmp/cobblemon-1.7.3-source/common/src/main/resources/data/cobblemon/species/generation8/alcremie.json</x:t>
        </x:is>
      </x:c>
    </x:row>
    <x:row r="874" ht="22" customHeight="1">
      <x:c r="A874" s="5" t="n">
        <x:v>870</x:v>
      </x:c>
      <x:c r="B874" s="5" t="inlineStr">
        <x:is>
          <x:t xml:space="preserve">대여르</x:t>
        </x:is>
      </x:c>
      <x:c r="C874" s="5" t="inlineStr">
        <x:is>
          <x:t xml:space="preserve">falinks</x:t>
        </x:is>
      </x:c>
      <x:c r="D874" s="5" t="inlineStr">
        <x:is>
          <x:t xml:space="preserve">Falinks</x:t>
        </x:is>
      </x:c>
      <x:c r="E874" s="5" t="n">
        <x:v>8</x:v>
      </x:c>
      <x:c r="F874" s="5" t="inlineStr">
        <x:is>
          <x:t xml:space="preserve">격투</x:t>
        </x:is>
      </x:c>
      <x:c r="G874" s="5" t="inlineStr">
        <x:is>
          <x:t xml:space="preserve"/>
        </x:is>
      </x:c>
      <x:c r="H874" s="5" t="n">
        <x:v>3</x:v>
      </x:c>
      <x:c r="I874" s="5" t="n">
        <x:v>62</x:v>
      </x:c>
      <x:c r="J874" s="5" t="n">
        <x:v>470</x:v>
      </x:c>
      <x:c r="K874" s="5" t="n">
        <x:v>45</x:v>
      </x:c>
      <x:c r="L874" s="5" t="inlineStr">
        <x:is>
          <x:t xml:space="preserve">무진화</x:t>
        </x:is>
      </x:c>
      <x:c r="M874" s="5" t="n"/>
      <x:c r="N874" s="5" t="inlineStr">
        <x:is>
          <x:t xml:space="preserve">없음</x:t>
        </x:is>
      </x:c>
      <x:c r="O874" s="5" t="inlineStr">
        <x:is>
          <x:t xml:space="preserve">예</x:t>
        </x:is>
      </x:c>
      <x:c r="P874" s="5" t="inlineStr">
        <x:is>
          <x:t xml:space="preserve">#cobblemon:is_badlands; #minecraft:is_nether</x:t>
        </x:is>
      </x:c>
      <x:c r="Q874" s="5" t="inlineStr">
        <x:is>
          <x:t xml:space="preserve">uncommon</x:t>
        </x:is>
      </x:c>
      <x:c r="R874" s="5" t="inlineStr">
        <x:is>
          <x:t xml:space="preserve"/>
        </x:is>
      </x:c>
      <x:c r="S874" s="5" t="inlineStr">
        <x:is>
          <x:t xml:space="preserve"/>
        </x:is>
      </x:c>
      <x:c r="T874" s="5" t="inlineStr">
        <x:is>
          <x:t xml:space="preserve">육상</x:t>
        </x:is>
      </x:c>
      <x:c r="U874" s="5" t="inlineStr">
        <x:is>
          <x:t xml:space="preserve">화산</x:t>
        </x:is>
      </x:c>
      <x:c r="V874" s="5" t="inlineStr">
        <x:is>
          <x:t xml:space="preserve">고온</x:t>
        </x:is>
      </x:c>
      <x:c r="W874" s="5" t="inlineStr">
        <x:is>
          <x:t xml:space="preserve">건조</x:t>
        </x:is>
      </x:c>
      <x:c r="X874" s="5" t="inlineStr">
        <x:is>
          <x:t xml:space="preserve">맑음</x:t>
        </x:is>
      </x:c>
      <x:c r="Y874" s="5" t="inlineStr">
        <x:is>
          <x:t xml:space="preserve">무관</x:t>
        </x:is>
      </x:c>
      <x:c r="Z874" s="5" t="inlineStr">
        <x:is>
          <x:t xml:space="preserve">보통</x:t>
        </x:is>
      </x:c>
      <x:c r="AA874" s="5" t="inlineStr">
        <x:is>
          <x:t xml:space="preserve">화산</x:t>
        </x:is>
      </x:c>
      <x:c r="AB874" s="5" t="inlineStr">
        <x:is>
          <x:t xml:space="preserve">화산</x:t>
        </x:is>
      </x:c>
      <x:c r="AC874" s="5" t="inlineStr">
        <x:is>
          <x:t xml:space="preserve">gen8</x:t>
        </x:is>
      </x:c>
      <x:c r="AD874" s="5" t="inlineStr">
        <x:is>
          <x:t xml:space="preserve">.tmp/cobblemon-1.7.3-source/common/src/main/resources/data/cobblemon/species/generation8/falinks.json</x:t>
        </x:is>
      </x:c>
    </x:row>
    <x:row r="875" ht="22" customHeight="1">
      <x:c r="A875" s="5" t="n">
        <x:v>871</x:v>
      </x:c>
      <x:c r="B875" s="5" t="inlineStr">
        <x:is>
          <x:t xml:space="preserve">찌르성게</x:t>
        </x:is>
      </x:c>
      <x:c r="C875" s="5" t="inlineStr">
        <x:is>
          <x:t xml:space="preserve">pincurchin</x:t>
        </x:is>
      </x:c>
      <x:c r="D875" s="5" t="inlineStr">
        <x:is>
          <x:t xml:space="preserve">Pincurchin</x:t>
        </x:is>
      </x:c>
      <x:c r="E875" s="5" t="n">
        <x:v>8</x:v>
      </x:c>
      <x:c r="F875" s="5" t="inlineStr">
        <x:is>
          <x:t xml:space="preserve">전기</x:t>
        </x:is>
      </x:c>
      <x:c r="G875" s="5" t="inlineStr">
        <x:is>
          <x:t xml:space="preserve"/>
        </x:is>
      </x:c>
      <x:c r="H875" s="5" t="n">
        <x:v>0.3</x:v>
      </x:c>
      <x:c r="I875" s="5" t="n">
        <x:v>1</x:v>
      </x:c>
      <x:c r="J875" s="5" t="n">
        <x:v>435</x:v>
      </x:c>
      <x:c r="K875" s="5" t="n">
        <x:v>75</x:v>
      </x:c>
      <x:c r="L875" s="5" t="inlineStr">
        <x:is>
          <x:t xml:space="preserve">무진화</x:t>
        </x:is>
      </x:c>
      <x:c r="M875" s="5" t="n"/>
      <x:c r="N875" s="5" t="inlineStr">
        <x:is>
          <x:t xml:space="preserve">없음</x:t>
        </x:is>
      </x:c>
      <x:c r="O875" s="5" t="inlineStr">
        <x:is>
          <x:t xml:space="preserve">예</x:t>
        </x:is>
      </x:c>
      <x:c r="P875" s="5" t="inlineStr">
        <x:is>
          <x:t xml:space="preserve">#cobblemon:is_coast; #cobblemon:is_ocean; #cobblemon:is_overworld</x:t>
        </x:is>
      </x:c>
      <x:c r="Q875" s="5" t="inlineStr">
        <x:is>
          <x:t xml:space="preserve">common; uncommon</x:t>
        </x:is>
      </x:c>
      <x:c r="R875" s="5" t="inlineStr">
        <x:is>
          <x:t xml:space="preserve"/>
        </x:is>
      </x:c>
      <x:c r="S875" s="5" t="inlineStr">
        <x:is>
          <x:t xml:space="preserve"/>
        </x:is>
      </x:c>
      <x:c r="T875" s="5" t="inlineStr">
        <x:is>
          <x:t xml:space="preserve">해양</x:t>
        </x:is>
      </x:c>
      <x:c r="U875" s="5" t="inlineStr">
        <x:is>
          <x:t xml:space="preserve">해안·해양</x:t>
        </x:is>
      </x:c>
      <x:c r="V875" s="5" t="inlineStr">
        <x:is>
          <x:t xml:space="preserve">온대</x:t>
        </x:is>
      </x:c>
      <x:c r="W875" s="5" t="inlineStr">
        <x:is>
          <x:t xml:space="preserve">수중</x:t>
        </x:is>
      </x:c>
      <x:c r="X875" s="5" t="inlineStr">
        <x:is>
          <x:t xml:space="preserve">비</x:t>
        </x:is>
      </x:c>
      <x:c r="Y875" s="5" t="inlineStr">
        <x:is>
          <x:t xml:space="preserve">무관</x:t>
        </x:is>
      </x:c>
      <x:c r="Z875" s="5" t="inlineStr">
        <x:is>
          <x:t xml:space="preserve">보통</x:t>
        </x:is>
      </x:c>
      <x:c r="AA875" s="5" t="inlineStr">
        <x:is>
          <x:t xml:space="preserve">없음</x:t>
        </x:is>
      </x:c>
      <x:c r="AB875" s="5" t="inlineStr">
        <x:is>
          <x:t xml:space="preserve">해양</x:t>
        </x:is>
      </x:c>
      <x:c r="AC875" s="5" t="inlineStr">
        <x:is>
          <x:t xml:space="preserve">gen8</x:t>
        </x:is>
      </x:c>
      <x:c r="AD875" s="5" t="inlineStr">
        <x:is>
          <x:t xml:space="preserve">.tmp/cobblemon-1.7.3-source/common/src/main/resources/data/cobblemon/species/generation8/pincurchin.json</x:t>
        </x:is>
      </x:c>
    </x:row>
    <x:row r="876" ht="22" customHeight="1">
      <x:c r="A876" s="5" t="n">
        <x:v>872</x:v>
      </x:c>
      <x:c r="B876" s="5" t="inlineStr">
        <x:is>
          <x:t xml:space="preserve">누니머기</x:t>
        </x:is>
      </x:c>
      <x:c r="C876" s="5" t="inlineStr">
        <x:is>
          <x:t xml:space="preserve">snom</x:t>
        </x:is>
      </x:c>
      <x:c r="D876" s="5" t="inlineStr">
        <x:is>
          <x:t xml:space="preserve">Snom</x:t>
        </x:is>
      </x:c>
      <x:c r="E876" s="5" t="n">
        <x:v>8</x:v>
      </x:c>
      <x:c r="F876" s="5" t="inlineStr">
        <x:is>
          <x:t xml:space="preserve">얼음</x:t>
        </x:is>
      </x:c>
      <x:c r="G876" s="5" t="inlineStr">
        <x:is>
          <x:t xml:space="preserve">벌레</x:t>
        </x:is>
      </x:c>
      <x:c r="H876" s="5" t="n">
        <x:v>0.3</x:v>
      </x:c>
      <x:c r="I876" s="5" t="n">
        <x:v>3.8</x:v>
      </x:c>
      <x:c r="J876" s="5" t="n">
        <x:v>185</x:v>
      </x:c>
      <x:c r="K876" s="5" t="n">
        <x:v>190</x:v>
      </x:c>
      <x:c r="L876" s="5" t="inlineStr">
        <x:is>
          <x:t xml:space="preserve">기본</x:t>
        </x:is>
      </x:c>
      <x:c r="M876" s="5" t="n"/>
      <x:c r="N876" s="5" t="inlineStr">
        <x:is>
          <x:t xml:space="preserve">특수</x:t>
        </x:is>
      </x:c>
      <x:c r="O876" s="5" t="inlineStr">
        <x:is>
          <x:t xml:space="preserve">아니오</x:t>
        </x:is>
      </x:c>
      <x:c r="P876" s="5" t="inlineStr">
        <x:is>
          <x:t xml:space="preserve">#cobblemon:is_freezing</x:t>
        </x:is>
      </x:c>
      <x:c r="Q876" s="5" t="inlineStr">
        <x:is>
          <x:t xml:space="preserve">common</x:t>
        </x:is>
      </x:c>
      <x:c r="R876" s="5" t="inlineStr">
        <x:is>
          <x:t xml:space="preserve">night</x:t>
        </x:is>
      </x:c>
      <x:c r="S876" s="5" t="inlineStr">
        <x:is>
          <x:t xml:space="preserve"/>
        </x:is>
      </x:c>
      <x:c r="T876" s="5" t="inlineStr">
        <x:is>
          <x:t xml:space="preserve">육상</x:t>
        </x:is>
      </x:c>
      <x:c r="U876" s="5" t="inlineStr">
        <x:is>
          <x:t xml:space="preserve">수목</x:t>
        </x:is>
      </x:c>
      <x:c r="V876" s="5" t="inlineStr">
        <x:is>
          <x:t xml:space="preserve">한랭</x:t>
        </x:is>
      </x:c>
      <x:c r="W876" s="5" t="inlineStr">
        <x:is>
          <x:t xml:space="preserve">보통</x:t>
        </x:is>
      </x:c>
      <x:c r="X876" s="5" t="inlineStr">
        <x:is>
          <x:t xml:space="preserve">무관</x:t>
        </x:is>
      </x:c>
      <x:c r="Y876" s="5" t="inlineStr">
        <x:is>
          <x:t xml:space="preserve">밤</x:t>
        </x:is>
      </x:c>
      <x:c r="Z876" s="5" t="inlineStr">
        <x:is>
          <x:t xml:space="preserve">흔함</x:t>
        </x:is>
      </x:c>
      <x:c r="AA876" s="5" t="inlineStr">
        <x:is>
          <x:t xml:space="preserve">없음</x:t>
        </x:is>
      </x:c>
      <x:c r="AB876" s="5" t="inlineStr">
        <x:is>
          <x:t xml:space="preserve"/>
        </x:is>
      </x:c>
      <x:c r="AC876" s="5" t="inlineStr">
        <x:is>
          <x:t xml:space="preserve">gen8</x:t>
        </x:is>
      </x:c>
      <x:c r="AD876" s="5" t="inlineStr">
        <x:is>
          <x:t xml:space="preserve">.tmp/cobblemon-1.7.3-source/common/src/main/resources/data/cobblemon/species/generation8/snom.json</x:t>
        </x:is>
      </x:c>
    </x:row>
    <x:row r="877" ht="22" customHeight="1">
      <x:c r="A877" s="5" t="n">
        <x:v>873</x:v>
      </x:c>
      <x:c r="B877" s="5" t="inlineStr">
        <x:is>
          <x:t xml:space="preserve">모스노우</x:t>
        </x:is>
      </x:c>
      <x:c r="C877" s="5" t="inlineStr">
        <x:is>
          <x:t xml:space="preserve">frosmoth</x:t>
        </x:is>
      </x:c>
      <x:c r="D877" s="5" t="inlineStr">
        <x:is>
          <x:t xml:space="preserve">Frosmoth</x:t>
        </x:is>
      </x:c>
      <x:c r="E877" s="5" t="n">
        <x:v>8</x:v>
      </x:c>
      <x:c r="F877" s="5" t="inlineStr">
        <x:is>
          <x:t xml:space="preserve">얼음</x:t>
        </x:is>
      </x:c>
      <x:c r="G877" s="5" t="inlineStr">
        <x:is>
          <x:t xml:space="preserve">벌레</x:t>
        </x:is>
      </x:c>
      <x:c r="H877" s="5" t="n">
        <x:v>1.3</x:v>
      </x:c>
      <x:c r="I877" s="5" t="n">
        <x:v>42</x:v>
      </x:c>
      <x:c r="J877" s="5" t="n">
        <x:v>475</x:v>
      </x:c>
      <x:c r="K877" s="5" t="n">
        <x:v>75</x:v>
      </x:c>
      <x:c r="L877" s="5" t="inlineStr">
        <x:is>
          <x:t xml:space="preserve">최종</x:t>
        </x:is>
      </x:c>
      <x:c r="M877" s="5" t="n"/>
      <x:c r="N877" s="5" t="inlineStr">
        <x:is>
          <x:t xml:space="preserve">특수</x:t>
        </x:is>
      </x:c>
      <x:c r="O877" s="5" t="inlineStr">
        <x:is>
          <x:t xml:space="preserve">아니오</x:t>
        </x:is>
      </x:c>
      <x:c r="P877" s="5" t="inlineStr">
        <x:is>
          <x:t xml:space="preserve">#cobblemon:is_freezing</x:t>
        </x:is>
      </x:c>
      <x:c r="Q877" s="5" t="inlineStr">
        <x:is>
          <x:t xml:space="preserve">uncommon</x:t>
        </x:is>
      </x:c>
      <x:c r="R877" s="5" t="inlineStr">
        <x:is>
          <x:t xml:space="preserve">night</x:t>
        </x:is>
      </x:c>
      <x:c r="S877" s="5" t="inlineStr">
        <x:is>
          <x:t xml:space="preserve"/>
        </x:is>
      </x:c>
      <x:c r="T877" s="5" t="inlineStr">
        <x:is>
          <x:t xml:space="preserve">비행</x:t>
        </x:is>
      </x:c>
      <x:c r="U877" s="5" t="inlineStr">
        <x:is>
          <x:t xml:space="preserve">수목</x:t>
        </x:is>
      </x:c>
      <x:c r="V877" s="5" t="inlineStr">
        <x:is>
          <x:t xml:space="preserve">한랭</x:t>
        </x:is>
      </x:c>
      <x:c r="W877" s="5" t="inlineStr">
        <x:is>
          <x:t xml:space="preserve">보통</x:t>
        </x:is>
      </x:c>
      <x:c r="X877" s="5" t="inlineStr">
        <x:is>
          <x:t xml:space="preserve">무관</x:t>
        </x:is>
      </x:c>
      <x:c r="Y877" s="5" t="inlineStr">
        <x:is>
          <x:t xml:space="preserve">밤</x:t>
        </x:is>
      </x:c>
      <x:c r="Z877" s="5" t="inlineStr">
        <x:is>
          <x:t xml:space="preserve">보통</x:t>
        </x:is>
      </x:c>
      <x:c r="AA877" s="5" t="inlineStr">
        <x:is>
          <x:t xml:space="preserve">없음</x:t>
        </x:is>
      </x:c>
      <x:c r="AB877" s="5" t="inlineStr">
        <x:is>
          <x:t xml:space="preserve"/>
        </x:is>
      </x:c>
      <x:c r="AC877" s="5" t="inlineStr">
        <x:is>
          <x:t xml:space="preserve">gen8</x:t>
        </x:is>
      </x:c>
      <x:c r="AD877" s="5" t="inlineStr">
        <x:is>
          <x:t xml:space="preserve">.tmp/cobblemon-1.7.3-source/common/src/main/resources/data/cobblemon/species/generation8/frosmoth.json</x:t>
        </x:is>
      </x:c>
    </x:row>
    <x:row r="878" ht="22" customHeight="1">
      <x:c r="A878" s="5" t="n">
        <x:v>874</x:v>
      </x:c>
      <x:c r="B878" s="5" t="inlineStr">
        <x:is>
          <x:t xml:space="preserve">돌헨진</x:t>
        </x:is>
      </x:c>
      <x:c r="C878" s="5" t="inlineStr">
        <x:is>
          <x:t xml:space="preserve">stonjourner</x:t>
        </x:is>
      </x:c>
      <x:c r="D878" s="5" t="inlineStr">
        <x:is>
          <x:t xml:space="preserve">Stonjourner</x:t>
        </x:is>
      </x:c>
      <x:c r="E878" s="5" t="n">
        <x:v>8</x:v>
      </x:c>
      <x:c r="F878" s="5" t="inlineStr">
        <x:is>
          <x:t xml:space="preserve">바위</x:t>
        </x:is>
      </x:c>
      <x:c r="G878" s="5" t="inlineStr">
        <x:is>
          <x:t xml:space="preserve"/>
        </x:is>
      </x:c>
      <x:c r="H878" s="5" t="n">
        <x:v>2.5</x:v>
      </x:c>
      <x:c r="I878" s="5" t="n">
        <x:v>520</x:v>
      </x:c>
      <x:c r="J878" s="5" t="n">
        <x:v>470</x:v>
      </x:c>
      <x:c r="K878" s="5" t="n">
        <x:v>60</x:v>
      </x:c>
      <x:c r="L878" s="5" t="inlineStr">
        <x:is>
          <x:t xml:space="preserve">무진화</x:t>
        </x:is>
      </x:c>
      <x:c r="M878" s="5" t="n"/>
      <x:c r="N878" s="5" t="inlineStr">
        <x:is>
          <x:t xml:space="preserve">없음</x:t>
        </x:is>
      </x:c>
      <x:c r="O878" s="5" t="inlineStr">
        <x:is>
          <x:t xml:space="preserve">예</x:t>
        </x:is>
      </x:c>
      <x:c r="P878" s="5" t="inlineStr">
        <x:is>
          <x:t xml:space="preserve">#cobblemon:is_overworld; #cobblemon:is_plains</x:t>
        </x:is>
      </x:c>
      <x:c r="Q878" s="5" t="inlineStr">
        <x:is>
          <x:t xml:space="preserve">common; rare; uncommon</x:t>
        </x:is>
      </x:c>
      <x:c r="R878" s="5" t="inlineStr">
        <x:is>
          <x:t xml:space="preserve">dusk</x:t>
        </x:is>
      </x:c>
      <x:c r="S878" s="5" t="inlineStr">
        <x:is>
          <x:t xml:space="preserve"/>
        </x:is>
      </x:c>
      <x:c r="T878" s="5" t="inlineStr">
        <x:is>
          <x:t xml:space="preserve">육상</x:t>
        </x:is>
      </x:c>
      <x:c r="U878" s="5" t="inlineStr">
        <x:is>
          <x:t xml:space="preserve">개활지</x:t>
        </x:is>
      </x:c>
      <x:c r="V878" s="5" t="inlineStr">
        <x:is>
          <x:t xml:space="preserve">온대</x:t>
        </x:is>
      </x:c>
      <x:c r="W878" s="5" t="inlineStr">
        <x:is>
          <x:t xml:space="preserve">보통</x:t>
        </x:is>
      </x:c>
      <x:c r="X878" s="5" t="inlineStr">
        <x:is>
          <x:t xml:space="preserve">무관</x:t>
        </x:is>
      </x:c>
      <x:c r="Y878" s="5" t="inlineStr">
        <x:is>
          <x:t xml:space="preserve">황혼</x:t>
        </x:is>
      </x:c>
      <x:c r="Z878" s="5" t="inlineStr">
        <x:is>
          <x:t xml:space="preserve">보통</x:t>
        </x:is>
      </x:c>
      <x:c r="AA878" s="5" t="inlineStr">
        <x:is>
          <x:t xml:space="preserve">없음</x:t>
        </x:is>
      </x:c>
      <x:c r="AB878" s="5" t="inlineStr">
        <x:is>
          <x:t xml:space="preserve">평원</x:t>
        </x:is>
      </x:c>
      <x:c r="AC878" s="5" t="inlineStr">
        <x:is>
          <x:t xml:space="preserve">gen8</x:t>
        </x:is>
      </x:c>
      <x:c r="AD878" s="5" t="inlineStr">
        <x:is>
          <x:t xml:space="preserve">.tmp/cobblemon-1.7.3-source/common/src/main/resources/data/cobblemon/species/generation8/stonjourner.json</x:t>
        </x:is>
      </x:c>
    </x:row>
    <x:row r="879" ht="22" customHeight="1">
      <x:c r="A879" s="5" t="n">
        <x:v>875</x:v>
      </x:c>
      <x:c r="B879" s="5" t="inlineStr">
        <x:is>
          <x:t xml:space="preserve">빙큐보</x:t>
        </x:is>
      </x:c>
      <x:c r="C879" s="5" t="inlineStr">
        <x:is>
          <x:t xml:space="preserve">eiscue</x:t>
        </x:is>
      </x:c>
      <x:c r="D879" s="5" t="inlineStr">
        <x:is>
          <x:t xml:space="preserve">Eiscue</x:t>
        </x:is>
      </x:c>
      <x:c r="E879" s="5" t="n">
        <x:v>8</x:v>
      </x:c>
      <x:c r="F879" s="5" t="inlineStr">
        <x:is>
          <x:t xml:space="preserve">얼음</x:t>
        </x:is>
      </x:c>
      <x:c r="G879" s="5" t="inlineStr">
        <x:is>
          <x:t xml:space="preserve"/>
        </x:is>
      </x:c>
      <x:c r="H879" s="5" t="n">
        <x:v>1.4</x:v>
      </x:c>
      <x:c r="I879" s="5" t="n">
        <x:v>89</x:v>
      </x:c>
      <x:c r="J879" s="5" t="n">
        <x:v>470</x:v>
      </x:c>
      <x:c r="K879" s="5" t="n">
        <x:v>60</x:v>
      </x:c>
      <x:c r="L879" s="5" t="inlineStr">
        <x:is>
          <x:t xml:space="preserve">무진화</x:t>
        </x:is>
      </x:c>
      <x:c r="M879" s="5" t="n"/>
      <x:c r="N879" s="5" t="inlineStr">
        <x:is>
          <x:t xml:space="preserve">없음</x:t>
        </x:is>
      </x:c>
      <x:c r="O879" s="5" t="inlineStr">
        <x:is>
          <x:t xml:space="preserve">예</x:t>
        </x:is>
      </x:c>
      <x:c r="P879" s="5" t="inlineStr">
        <x:is>
          <x:t xml:space="preserve">#cobblemon:is_frozen_ocean; #cobblemon:is_glacial; #cobblemon:is_tundra</x:t>
        </x:is>
      </x:c>
      <x:c r="Q879" s="5" t="inlineStr">
        <x:is>
          <x:t xml:space="preserve">common</x:t>
        </x:is>
      </x:c>
      <x:c r="R879" s="5" t="inlineStr">
        <x:is>
          <x:t xml:space="preserve"/>
        </x:is>
      </x:c>
      <x:c r="S879" s="5" t="inlineStr">
        <x:is>
          <x:t xml:space="preserve"/>
        </x:is>
      </x:c>
      <x:c r="T879" s="5" t="inlineStr">
        <x:is>
          <x:t xml:space="preserve">육상</x:t>
        </x:is>
      </x:c>
      <x:c r="U879" s="5" t="inlineStr">
        <x:is>
          <x:t xml:space="preserve">설원</x:t>
        </x:is>
      </x:c>
      <x:c r="V879" s="5" t="inlineStr">
        <x:is>
          <x:t xml:space="preserve">한랭</x:t>
        </x:is>
      </x:c>
      <x:c r="W879" s="5" t="inlineStr">
        <x:is>
          <x:t xml:space="preserve">보통</x:t>
        </x:is>
      </x:c>
      <x:c r="X879" s="5" t="inlineStr">
        <x:is>
          <x:t xml:space="preserve">눈</x:t>
        </x:is>
      </x:c>
      <x:c r="Y879" s="5" t="inlineStr">
        <x:is>
          <x:t xml:space="preserve">무관</x:t>
        </x:is>
      </x:c>
      <x:c r="Z879" s="5" t="inlineStr">
        <x:is>
          <x:t xml:space="preserve">흔함</x:t>
        </x:is>
      </x:c>
      <x:c r="AA879" s="5" t="inlineStr">
        <x:is>
          <x:t xml:space="preserve">없음</x:t>
        </x:is>
      </x:c>
      <x:c r="AB879" s="5" t="inlineStr">
        <x:is>
          <x:t xml:space="preserve">설원</x:t>
        </x:is>
      </x:c>
      <x:c r="AC879" s="5" t="inlineStr">
        <x:is>
          <x:t xml:space="preserve">gen8</x:t>
        </x:is>
      </x:c>
      <x:c r="AD879" s="5" t="inlineStr">
        <x:is>
          <x:t xml:space="preserve">.tmp/cobblemon-1.7.3-source/common/src/main/resources/data/cobblemon/species/generation8/eiscue.json</x:t>
        </x:is>
      </x:c>
    </x:row>
    <x:row r="880" ht="22" customHeight="1">
      <x:c r="A880" s="5" t="n">
        <x:v>876</x:v>
      </x:c>
      <x:c r="B880" s="5" t="inlineStr">
        <x:is>
          <x:t xml:space="preserve">에써르</x:t>
        </x:is>
      </x:c>
      <x:c r="C880" s="5" t="inlineStr">
        <x:is>
          <x:t xml:space="preserve">indeedee</x:t>
        </x:is>
      </x:c>
      <x:c r="D880" s="5" t="inlineStr">
        <x:is>
          <x:t xml:space="preserve">Indeedee</x:t>
        </x:is>
      </x:c>
      <x:c r="E880" s="5" t="n">
        <x:v>8</x:v>
      </x:c>
      <x:c r="F880" s="5" t="inlineStr">
        <x:is>
          <x:t xml:space="preserve">에스퍼</x:t>
        </x:is>
      </x:c>
      <x:c r="G880" s="5" t="inlineStr">
        <x:is>
          <x:t xml:space="preserve">노말</x:t>
        </x:is>
      </x:c>
      <x:c r="H880" s="5" t="n">
        <x:v>0.9</x:v>
      </x:c>
      <x:c r="I880" s="5" t="n">
        <x:v>28</x:v>
      </x:c>
      <x:c r="J880" s="5" t="n">
        <x:v>475</x:v>
      </x:c>
      <x:c r="K880" s="5" t="n">
        <x:v>30</x:v>
      </x:c>
      <x:c r="L880" s="5" t="inlineStr">
        <x:is>
          <x:t xml:space="preserve">무진화</x:t>
        </x:is>
      </x:c>
      <x:c r="M880" s="5" t="n"/>
      <x:c r="N880" s="5" t="inlineStr">
        <x:is>
          <x:t xml:space="preserve">없음</x:t>
        </x:is>
      </x:c>
      <x:c r="O880" s="5" t="inlineStr">
        <x:is>
          <x:t xml:space="preserve">아니오</x:t>
        </x:is>
      </x:c>
      <x:c r="P880" s="5" t="inlineStr">
        <x:is>
          <x:t xml:space="preserve">#cobblemon:is_magical</x:t>
        </x:is>
      </x:c>
      <x:c r="Q880" s="5" t="inlineStr">
        <x:is>
          <x:t xml:space="preserve">rare</x:t>
        </x:is>
      </x:c>
      <x:c r="R880" s="5" t="inlineStr">
        <x:is>
          <x:t xml:space="preserve"/>
        </x:is>
      </x:c>
      <x:c r="S880" s="5" t="inlineStr">
        <x:is>
          <x:t xml:space="preserve"/>
        </x:is>
      </x:c>
      <x:c r="T880" s="5" t="inlineStr">
        <x:is>
          <x:t xml:space="preserve">육상</x:t>
        </x:is>
      </x:c>
      <x:c r="U880" s="5" t="inlineStr">
        <x:is>
          <x:t xml:space="preserve">개활지</x:t>
        </x:is>
      </x:c>
      <x:c r="V880" s="5" t="inlineStr">
        <x:is>
          <x:t xml:space="preserve">온대</x:t>
        </x:is>
      </x:c>
      <x:c r="W880" s="5" t="inlineStr">
        <x:is>
          <x:t xml:space="preserve">보통</x:t>
        </x:is>
      </x:c>
      <x:c r="X880" s="5" t="inlineStr">
        <x:is>
          <x:t xml:space="preserve">무관</x:t>
        </x:is>
      </x:c>
      <x:c r="Y880" s="5" t="inlineStr">
        <x:is>
          <x:t xml:space="preserve">무관</x:t>
        </x:is>
      </x:c>
      <x:c r="Z880" s="5" t="inlineStr">
        <x:is>
          <x:t xml:space="preserve">드묾</x:t>
        </x:is>
      </x:c>
      <x:c r="AA880" s="5" t="inlineStr">
        <x:is>
          <x:t xml:space="preserve">없음</x:t>
        </x:is>
      </x:c>
      <x:c r="AB880" s="5" t="inlineStr">
        <x:is>
          <x:t xml:space="preserve"/>
        </x:is>
      </x:c>
      <x:c r="AC880" s="5" t="inlineStr">
        <x:is>
          <x:t xml:space="preserve">gen8</x:t>
        </x:is>
      </x:c>
      <x:c r="AD880" s="5" t="inlineStr">
        <x:is>
          <x:t xml:space="preserve">.tmp/cobblemon-1.7.3-source/common/src/main/resources/data/cobblemon/species/generation8/indeedee.json</x:t>
        </x:is>
      </x:c>
    </x:row>
    <x:row r="881" ht="22" customHeight="1">
      <x:c r="A881" s="5" t="n">
        <x:v>877</x:v>
      </x:c>
      <x:c r="B881" s="5" t="inlineStr">
        <x:is>
          <x:t xml:space="preserve">모르페코</x:t>
        </x:is>
      </x:c>
      <x:c r="C881" s="5" t="inlineStr">
        <x:is>
          <x:t xml:space="preserve">morpeko</x:t>
        </x:is>
      </x:c>
      <x:c r="D881" s="5" t="inlineStr">
        <x:is>
          <x:t xml:space="preserve">Morpeko</x:t>
        </x:is>
      </x:c>
      <x:c r="E881" s="5" t="n">
        <x:v>8</x:v>
      </x:c>
      <x:c r="F881" s="5" t="inlineStr">
        <x:is>
          <x:t xml:space="preserve">전기</x:t>
        </x:is>
      </x:c>
      <x:c r="G881" s="5" t="inlineStr">
        <x:is>
          <x:t xml:space="preserve">악</x:t>
        </x:is>
      </x:c>
      <x:c r="H881" s="5" t="n">
        <x:v>0.3</x:v>
      </x:c>
      <x:c r="I881" s="5" t="n">
        <x:v>3</x:v>
      </x:c>
      <x:c r="J881" s="5" t="n">
        <x:v>436</x:v>
      </x:c>
      <x:c r="K881" s="5" t="n">
        <x:v>180</x:v>
      </x:c>
      <x:c r="L881" s="5" t="inlineStr">
        <x:is>
          <x:t xml:space="preserve">무진화</x:t>
        </x:is>
      </x:c>
      <x:c r="M881" s="5" t="n"/>
      <x:c r="N881" s="5" t="inlineStr">
        <x:is>
          <x:t xml:space="preserve">없음</x:t>
        </x:is>
      </x:c>
      <x:c r="O881" s="5" t="inlineStr">
        <x:is>
          <x:t xml:space="preserve">예</x:t>
        </x:is>
      </x:c>
      <x:c r="P881" s="5" t="inlineStr">
        <x:is>
          <x:t xml:space="preserve">#cobblemon:is_forest</x:t>
        </x:is>
      </x:c>
      <x:c r="Q881" s="5" t="inlineStr">
        <x:is>
          <x:t xml:space="preserve">uncommon</x:t>
        </x:is>
      </x:c>
      <x:c r="R881" s="5" t="inlineStr">
        <x:is>
          <x:t xml:space="preserve"/>
        </x:is>
      </x:c>
      <x:c r="S881" s="5" t="inlineStr">
        <x:is>
          <x:t xml:space="preserve"/>
        </x:is>
      </x:c>
      <x:c r="T881" s="5" t="inlineStr">
        <x:is>
          <x:t xml:space="preserve">육상</x:t>
        </x:is>
      </x:c>
      <x:c r="U881" s="5" t="inlineStr">
        <x:is>
          <x:t xml:space="preserve">수목</x:t>
        </x:is>
      </x:c>
      <x:c r="V881" s="5" t="inlineStr">
        <x:is>
          <x:t xml:space="preserve">온대</x:t>
        </x:is>
      </x:c>
      <x:c r="W881" s="5" t="inlineStr">
        <x:is>
          <x:t xml:space="preserve">보통</x:t>
        </x:is>
      </x:c>
      <x:c r="X881" s="5" t="inlineStr">
        <x:is>
          <x:t xml:space="preserve">무관</x:t>
        </x:is>
      </x:c>
      <x:c r="Y881" s="5" t="inlineStr">
        <x:is>
          <x:t xml:space="preserve">밤</x:t>
        </x:is>
      </x:c>
      <x:c r="Z881" s="5" t="inlineStr">
        <x:is>
          <x:t xml:space="preserve">보통</x:t>
        </x:is>
      </x:c>
      <x:c r="AA881" s="5" t="inlineStr">
        <x:is>
          <x:t xml:space="preserve">없음</x:t>
        </x:is>
      </x:c>
      <x:c r="AB881" s="5" t="inlineStr">
        <x:is>
          <x:t xml:space="preserve">숲</x:t>
        </x:is>
      </x:c>
      <x:c r="AC881" s="5" t="inlineStr">
        <x:is>
          <x:t xml:space="preserve">gen8</x:t>
        </x:is>
      </x:c>
      <x:c r="AD881" s="5" t="inlineStr">
        <x:is>
          <x:t xml:space="preserve">.tmp/cobblemon-1.7.3-source/common/src/main/resources/data/cobblemon/species/generation8/morpeko.json</x:t>
        </x:is>
      </x:c>
    </x:row>
    <x:row r="882" ht="22" customHeight="1">
      <x:c r="A882" s="5" t="n">
        <x:v>878</x:v>
      </x:c>
      <x:c r="B882" s="5" t="inlineStr">
        <x:is>
          <x:t xml:space="preserve">끼리동</x:t>
        </x:is>
      </x:c>
      <x:c r="C882" s="5" t="inlineStr">
        <x:is>
          <x:t xml:space="preserve">cufant</x:t>
        </x:is>
      </x:c>
      <x:c r="D882" s="5" t="inlineStr">
        <x:is>
          <x:t xml:space="preserve">Cufant</x:t>
        </x:is>
      </x:c>
      <x:c r="E882" s="5" t="n">
        <x:v>8</x:v>
      </x:c>
      <x:c r="F882" s="5" t="inlineStr">
        <x:is>
          <x:t xml:space="preserve">강철</x:t>
        </x:is>
      </x:c>
      <x:c r="G882" s="5" t="inlineStr">
        <x:is>
          <x:t xml:space="preserve"/>
        </x:is>
      </x:c>
      <x:c r="H882" s="5" t="n">
        <x:v>1.2</x:v>
      </x:c>
      <x:c r="I882" s="5" t="n">
        <x:v>100</x:v>
      </x:c>
      <x:c r="J882" s="5" t="n">
        <x:v>330</x:v>
      </x:c>
      <x:c r="K882" s="5" t="n">
        <x:v>190</x:v>
      </x:c>
      <x:c r="L882" s="5" t="inlineStr">
        <x:is>
          <x:t xml:space="preserve">기본</x:t>
        </x:is>
      </x:c>
      <x:c r="M882" s="5" t="n">
        <x:v>34</x:v>
      </x:c>
      <x:c r="N882" s="5" t="inlineStr">
        <x:is>
          <x:t xml:space="preserve">레벨</x:t>
        </x:is>
      </x:c>
      <x:c r="O882" s="5" t="inlineStr">
        <x:is>
          <x:t xml:space="preserve">예</x:t>
        </x:is>
      </x:c>
      <x:c r="P882" s="5" t="inlineStr">
        <x:is>
          <x:t xml:space="preserve">#cobblemon:is_badlands; #cobblemon:is_hills; #cobblemon:is_savanna</x:t>
        </x:is>
      </x:c>
      <x:c r="Q882" s="5" t="inlineStr">
        <x:is>
          <x:t xml:space="preserve">uncommon</x:t>
        </x:is>
      </x:c>
      <x:c r="R882" s="5" t="inlineStr">
        <x:is>
          <x:t xml:space="preserve"/>
        </x:is>
      </x:c>
      <x:c r="S882" s="5" t="inlineStr">
        <x:is>
          <x:t xml:space="preserve"/>
        </x:is>
      </x:c>
      <x:c r="T882" s="5" t="inlineStr">
        <x:is>
          <x:t xml:space="preserve">육상</x:t>
        </x:is>
      </x:c>
      <x:c r="U882" s="5" t="inlineStr">
        <x:is>
          <x:t xml:space="preserve">암석</x:t>
        </x:is>
      </x:c>
      <x:c r="V882" s="5" t="inlineStr">
        <x:is>
          <x:t xml:space="preserve">온대</x:t>
        </x:is>
      </x:c>
      <x:c r="W882" s="5" t="inlineStr">
        <x:is>
          <x:t xml:space="preserve">보통</x:t>
        </x:is>
      </x:c>
      <x:c r="X882" s="5" t="inlineStr">
        <x:is>
          <x:t xml:space="preserve">무관</x:t>
        </x:is>
      </x:c>
      <x:c r="Y882" s="5" t="inlineStr">
        <x:is>
          <x:t xml:space="preserve">무관</x:t>
        </x:is>
      </x:c>
      <x:c r="Z882" s="5" t="inlineStr">
        <x:is>
          <x:t xml:space="preserve">보통</x:t>
        </x:is>
      </x:c>
      <x:c r="AA882" s="5" t="inlineStr">
        <x:is>
          <x:t xml:space="preserve">없음</x:t>
        </x:is>
      </x:c>
      <x:c r="AB882" s="5" t="inlineStr">
        <x:is>
          <x:t xml:space="preserve">산악</x:t>
        </x:is>
      </x:c>
      <x:c r="AC882" s="5" t="inlineStr">
        <x:is>
          <x:t xml:space="preserve">gen8</x:t>
        </x:is>
      </x:c>
      <x:c r="AD882" s="5" t="inlineStr">
        <x:is>
          <x:t xml:space="preserve">.tmp/cobblemon-1.7.3-source/common/src/main/resources/data/cobblemon/species/generation8/cufant.json</x:t>
        </x:is>
      </x:c>
    </x:row>
    <x:row r="883" ht="22" customHeight="1">
      <x:c r="A883" s="5" t="n">
        <x:v>879</x:v>
      </x:c>
      <x:c r="B883" s="5" t="inlineStr">
        <x:is>
          <x:t xml:space="preserve">대왕끼리동</x:t>
        </x:is>
      </x:c>
      <x:c r="C883" s="5" t="inlineStr">
        <x:is>
          <x:t xml:space="preserve">copperajah</x:t>
        </x:is>
      </x:c>
      <x:c r="D883" s="5" t="inlineStr">
        <x:is>
          <x:t xml:space="preserve">Copperajah</x:t>
        </x:is>
      </x:c>
      <x:c r="E883" s="5" t="n">
        <x:v>8</x:v>
      </x:c>
      <x:c r="F883" s="5" t="inlineStr">
        <x:is>
          <x:t xml:space="preserve">강철</x:t>
        </x:is>
      </x:c>
      <x:c r="G883" s="5" t="inlineStr">
        <x:is>
          <x:t xml:space="preserve"/>
        </x:is>
      </x:c>
      <x:c r="H883" s="5" t="n">
        <x:v>3</x:v>
      </x:c>
      <x:c r="I883" s="5" t="n">
        <x:v>650</x:v>
      </x:c>
      <x:c r="J883" s="5" t="n">
        <x:v>500</x:v>
      </x:c>
      <x:c r="K883" s="5" t="n">
        <x:v>90</x:v>
      </x:c>
      <x:c r="L883" s="5" t="inlineStr">
        <x:is>
          <x:t xml:space="preserve">최종</x:t>
        </x:is>
      </x:c>
      <x:c r="M883" s="5" t="n">
        <x:v>34</x:v>
      </x:c>
      <x:c r="N883" s="5" t="inlineStr">
        <x:is>
          <x:t xml:space="preserve">레벨</x:t>
        </x:is>
      </x:c>
      <x:c r="O883" s="5" t="inlineStr">
        <x:is>
          <x:t xml:space="preserve">예</x:t>
        </x:is>
      </x:c>
      <x:c r="P883" s="5" t="inlineStr">
        <x:is>
          <x:t xml:space="preserve">#cobblemon:is_badlands; #cobblemon:is_hills; #cobblemon:is_savanna</x:t>
        </x:is>
      </x:c>
      <x:c r="Q883" s="5" t="inlineStr">
        <x:is>
          <x:t xml:space="preserve">uncommon</x:t>
        </x:is>
      </x:c>
      <x:c r="R883" s="5" t="inlineStr">
        <x:is>
          <x:t xml:space="preserve"/>
        </x:is>
      </x:c>
      <x:c r="S883" s="5" t="inlineStr">
        <x:is>
          <x:t xml:space="preserve"/>
        </x:is>
      </x:c>
      <x:c r="T883" s="5" t="inlineStr">
        <x:is>
          <x:t xml:space="preserve">육상</x:t>
        </x:is>
      </x:c>
      <x:c r="U883" s="5" t="inlineStr">
        <x:is>
          <x:t xml:space="preserve">암석</x:t>
        </x:is>
      </x:c>
      <x:c r="V883" s="5" t="inlineStr">
        <x:is>
          <x:t xml:space="preserve">온대</x:t>
        </x:is>
      </x:c>
      <x:c r="W883" s="5" t="inlineStr">
        <x:is>
          <x:t xml:space="preserve">보통</x:t>
        </x:is>
      </x:c>
      <x:c r="X883" s="5" t="inlineStr">
        <x:is>
          <x:t xml:space="preserve">무관</x:t>
        </x:is>
      </x:c>
      <x:c r="Y883" s="5" t="inlineStr">
        <x:is>
          <x:t xml:space="preserve">무관</x:t>
        </x:is>
      </x:c>
      <x:c r="Z883" s="5" t="inlineStr">
        <x:is>
          <x:t xml:space="preserve">보통</x:t>
        </x:is>
      </x:c>
      <x:c r="AA883" s="5" t="inlineStr">
        <x:is>
          <x:t xml:space="preserve">없음</x:t>
        </x:is>
      </x:c>
      <x:c r="AB883" s="5" t="inlineStr">
        <x:is>
          <x:t xml:space="preserve">산악</x:t>
        </x:is>
      </x:c>
      <x:c r="AC883" s="5" t="inlineStr">
        <x:is>
          <x:t xml:space="preserve">gen8</x:t>
        </x:is>
      </x:c>
      <x:c r="AD883" s="5" t="inlineStr">
        <x:is>
          <x:t xml:space="preserve">.tmp/cobblemon-1.7.3-source/common/src/main/resources/data/cobblemon/species/generation8/copperajah.json</x:t>
        </x:is>
      </x:c>
    </x:row>
    <x:row r="884" ht="22" customHeight="1">
      <x:c r="A884" s="5" t="n">
        <x:v>880</x:v>
      </x:c>
      <x:c r="B884" s="5" t="inlineStr">
        <x:is>
          <x:t xml:space="preserve">파치래곤</x:t>
        </x:is>
      </x:c>
      <x:c r="C884" s="5" t="inlineStr">
        <x:is>
          <x:t xml:space="preserve">dracozolt</x:t>
        </x:is>
      </x:c>
      <x:c r="D884" s="5" t="inlineStr">
        <x:is>
          <x:t xml:space="preserve">Dracozolt</x:t>
        </x:is>
      </x:c>
      <x:c r="E884" s="5" t="n">
        <x:v>8</x:v>
      </x:c>
      <x:c r="F884" s="5" t="inlineStr">
        <x:is>
          <x:t xml:space="preserve">전기</x:t>
        </x:is>
      </x:c>
      <x:c r="G884" s="5" t="inlineStr">
        <x:is>
          <x:t xml:space="preserve">드래곤</x:t>
        </x:is>
      </x:c>
      <x:c r="H884" s="5" t="n">
        <x:v>1.8</x:v>
      </x:c>
      <x:c r="I884" s="5" t="n">
        <x:v>190</x:v>
      </x:c>
      <x:c r="J884" s="5" t="n">
        <x:v>505</x:v>
      </x:c>
      <x:c r="K884" s="5" t="n">
        <x:v>45</x:v>
      </x:c>
      <x:c r="L884" s="5" t="inlineStr">
        <x:is>
          <x:t xml:space="preserve">무진화</x:t>
        </x:is>
      </x:c>
      <x:c r="M884" s="5" t="n"/>
      <x:c r="N884" s="5" t="inlineStr">
        <x:is>
          <x:t xml:space="preserve">없음</x:t>
        </x:is>
      </x:c>
      <x:c r="O884" s="5" t="inlineStr">
        <x:is>
          <x:t xml:space="preserve">예</x:t>
        </x:is>
      </x:c>
      <x:c r="P884" s="5" t="inlineStr">
        <x:is>
          <x:t xml:space="preserve"/>
        </x:is>
      </x:c>
      <x:c r="Q884" s="5" t="inlineStr">
        <x:is>
          <x:t xml:space="preserve"/>
        </x:is>
      </x:c>
      <x:c r="R884" s="5" t="inlineStr">
        <x:is>
          <x:t xml:space="preserve"/>
        </x:is>
      </x:c>
      <x:c r="S884" s="5" t="inlineStr">
        <x:is>
          <x:t xml:space="preserve"/>
        </x:is>
      </x:c>
      <x:c r="T884" s="5" t="inlineStr">
        <x:is>
          <x:t xml:space="preserve">육상</x:t>
        </x:is>
      </x:c>
      <x:c r="U884" s="5" t="inlineStr">
        <x:is>
          <x:t xml:space="preserve">개활지</x:t>
        </x:is>
      </x:c>
      <x:c r="V884" s="5" t="inlineStr">
        <x:is>
          <x:t xml:space="preserve">온대</x:t>
        </x:is>
      </x:c>
      <x:c r="W884" s="5" t="inlineStr">
        <x:is>
          <x:t xml:space="preserve">보통</x:t>
        </x:is>
      </x:c>
      <x:c r="X884" s="5" t="inlineStr">
        <x:is>
          <x:t xml:space="preserve">무관</x:t>
        </x:is>
      </x:c>
      <x:c r="Y884" s="5" t="inlineStr">
        <x:is>
          <x:t xml:space="preserve">무관</x:t>
        </x:is>
      </x:c>
      <x:c r="Z884" s="5" t="inlineStr">
        <x:is>
          <x:t xml:space="preserve">희귀</x:t>
        </x:is>
      </x:c>
      <x:c r="AA884" s="5" t="inlineStr">
        <x:is>
          <x:t xml:space="preserve">없음</x:t>
        </x:is>
      </x:c>
      <x:c r="AB884" s="5" t="inlineStr">
        <x:is>
          <x:t xml:space="preserve"/>
        </x:is>
      </x:c>
      <x:c r="AC884" s="5" t="inlineStr">
        <x:is>
          <x:t xml:space="preserve">gen8</x:t>
        </x:is>
      </x:c>
      <x:c r="AD884" s="5" t="inlineStr">
        <x:is>
          <x:t xml:space="preserve">.tmp/cobblemon-1.7.3-source/common/src/main/resources/data/cobblemon/species/generation8/dracozolt.json</x:t>
        </x:is>
      </x:c>
    </x:row>
    <x:row r="885" ht="22" customHeight="1">
      <x:c r="A885" s="5" t="n">
        <x:v>881</x:v>
      </x:c>
      <x:c r="B885" s="5" t="inlineStr">
        <x:is>
          <x:t xml:space="preserve">파치르돈</x:t>
        </x:is>
      </x:c>
      <x:c r="C885" s="5" t="inlineStr">
        <x:is>
          <x:t xml:space="preserve">arctozolt</x:t>
        </x:is>
      </x:c>
      <x:c r="D885" s="5" t="inlineStr">
        <x:is>
          <x:t xml:space="preserve">Arctozolt</x:t>
        </x:is>
      </x:c>
      <x:c r="E885" s="5" t="n">
        <x:v>8</x:v>
      </x:c>
      <x:c r="F885" s="5" t="inlineStr">
        <x:is>
          <x:t xml:space="preserve">전기</x:t>
        </x:is>
      </x:c>
      <x:c r="G885" s="5" t="inlineStr">
        <x:is>
          <x:t xml:space="preserve">얼음</x:t>
        </x:is>
      </x:c>
      <x:c r="H885" s="5" t="n">
        <x:v>2.3</x:v>
      </x:c>
      <x:c r="I885" s="5" t="n">
        <x:v>150</x:v>
      </x:c>
      <x:c r="J885" s="5" t="n">
        <x:v>505</x:v>
      </x:c>
      <x:c r="K885" s="5" t="n">
        <x:v>45</x:v>
      </x:c>
      <x:c r="L885" s="5" t="inlineStr">
        <x:is>
          <x:t xml:space="preserve">무진화</x:t>
        </x:is>
      </x:c>
      <x:c r="M885" s="5" t="n"/>
      <x:c r="N885" s="5" t="inlineStr">
        <x:is>
          <x:t xml:space="preserve">없음</x:t>
        </x:is>
      </x:c>
      <x:c r="O885" s="5" t="inlineStr">
        <x:is>
          <x:t xml:space="preserve">예</x:t>
        </x:is>
      </x:c>
      <x:c r="P885" s="5" t="inlineStr">
        <x:is>
          <x:t xml:space="preserve"/>
        </x:is>
      </x:c>
      <x:c r="Q885" s="5" t="inlineStr">
        <x:is>
          <x:t xml:space="preserve"/>
        </x:is>
      </x:c>
      <x:c r="R885" s="5" t="inlineStr">
        <x:is>
          <x:t xml:space="preserve"/>
        </x:is>
      </x:c>
      <x:c r="S885" s="5" t="inlineStr">
        <x:is>
          <x:t xml:space="preserve"/>
        </x:is>
      </x:c>
      <x:c r="T885" s="5" t="inlineStr">
        <x:is>
          <x:t xml:space="preserve">육상</x:t>
        </x:is>
      </x:c>
      <x:c r="U885" s="5" t="inlineStr">
        <x:is>
          <x:t xml:space="preserve">설원</x:t>
        </x:is>
      </x:c>
      <x:c r="V885" s="5" t="inlineStr">
        <x:is>
          <x:t xml:space="preserve">한랭</x:t>
        </x:is>
      </x:c>
      <x:c r="W885" s="5" t="inlineStr">
        <x:is>
          <x:t xml:space="preserve">보통</x:t>
        </x:is>
      </x:c>
      <x:c r="X885" s="5" t="inlineStr">
        <x:is>
          <x:t xml:space="preserve">무관</x:t>
        </x:is>
      </x:c>
      <x:c r="Y885" s="5" t="inlineStr">
        <x:is>
          <x:t xml:space="preserve">무관</x:t>
        </x:is>
      </x:c>
      <x:c r="Z885" s="5" t="inlineStr">
        <x:is>
          <x:t xml:space="preserve">희귀</x:t>
        </x:is>
      </x:c>
      <x:c r="AA885" s="5" t="inlineStr">
        <x:is>
          <x:t xml:space="preserve">없음</x:t>
        </x:is>
      </x:c>
      <x:c r="AB885" s="5" t="inlineStr">
        <x:is>
          <x:t xml:space="preserve"/>
        </x:is>
      </x:c>
      <x:c r="AC885" s="5" t="inlineStr">
        <x:is>
          <x:t xml:space="preserve">gen8</x:t>
        </x:is>
      </x:c>
      <x:c r="AD885" s="5" t="inlineStr">
        <x:is>
          <x:t xml:space="preserve">.tmp/cobblemon-1.7.3-source/common/src/main/resources/data/cobblemon/species/generation8/arctozolt.json</x:t>
        </x:is>
      </x:c>
    </x:row>
    <x:row r="886" ht="22" customHeight="1">
      <x:c r="A886" s="5" t="n">
        <x:v>882</x:v>
      </x:c>
      <x:c r="B886" s="5" t="inlineStr">
        <x:is>
          <x:t xml:space="preserve">어래곤</x:t>
        </x:is>
      </x:c>
      <x:c r="C886" s="5" t="inlineStr">
        <x:is>
          <x:t xml:space="preserve">dracovish</x:t>
        </x:is>
      </x:c>
      <x:c r="D886" s="5" t="inlineStr">
        <x:is>
          <x:t xml:space="preserve">Dracovish</x:t>
        </x:is>
      </x:c>
      <x:c r="E886" s="5" t="n">
        <x:v>8</x:v>
      </x:c>
      <x:c r="F886" s="5" t="inlineStr">
        <x:is>
          <x:t xml:space="preserve">물</x:t>
        </x:is>
      </x:c>
      <x:c r="G886" s="5" t="inlineStr">
        <x:is>
          <x:t xml:space="preserve">드래곤</x:t>
        </x:is>
      </x:c>
      <x:c r="H886" s="5" t="n">
        <x:v>2.3</x:v>
      </x:c>
      <x:c r="I886" s="5" t="n">
        <x:v>215</x:v>
      </x:c>
      <x:c r="J886" s="5" t="n">
        <x:v>505</x:v>
      </x:c>
      <x:c r="K886" s="5" t="n">
        <x:v>45</x:v>
      </x:c>
      <x:c r="L886" s="5" t="inlineStr">
        <x:is>
          <x:t xml:space="preserve">무진화</x:t>
        </x:is>
      </x:c>
      <x:c r="M886" s="5" t="n"/>
      <x:c r="N886" s="5" t="inlineStr">
        <x:is>
          <x:t xml:space="preserve">없음</x:t>
        </x:is>
      </x:c>
      <x:c r="O886" s="5" t="inlineStr">
        <x:is>
          <x:t xml:space="preserve">예</x:t>
        </x:is>
      </x:c>
      <x:c r="P886" s="5" t="inlineStr">
        <x:is>
          <x:t xml:space="preserve"/>
        </x:is>
      </x:c>
      <x:c r="Q886" s="5" t="inlineStr">
        <x:is>
          <x:t xml:space="preserve"/>
        </x:is>
      </x:c>
      <x:c r="R886" s="5" t="inlineStr">
        <x:is>
          <x:t xml:space="preserve"/>
        </x:is>
      </x:c>
      <x:c r="S886" s="5" t="inlineStr">
        <x:is>
          <x:t xml:space="preserve"/>
        </x:is>
      </x:c>
      <x:c r="T886" s="5" t="inlineStr">
        <x:is>
          <x:t xml:space="preserve">수륙</x:t>
        </x:is>
      </x:c>
      <x:c r="U886" s="5" t="inlineStr">
        <x:is>
          <x:t xml:space="preserve">담수</x:t>
        </x:is>
      </x:c>
      <x:c r="V886" s="5" t="inlineStr">
        <x:is>
          <x:t xml:space="preserve">온대</x:t>
        </x:is>
      </x:c>
      <x:c r="W886" s="5" t="inlineStr">
        <x:is>
          <x:t xml:space="preserve">보통</x:t>
        </x:is>
      </x:c>
      <x:c r="X886" s="5" t="inlineStr">
        <x:is>
          <x:t xml:space="preserve">무관</x:t>
        </x:is>
      </x:c>
      <x:c r="Y886" s="5" t="inlineStr">
        <x:is>
          <x:t xml:space="preserve">무관</x:t>
        </x:is>
      </x:c>
      <x:c r="Z886" s="5" t="inlineStr">
        <x:is>
          <x:t xml:space="preserve">희귀</x:t>
        </x:is>
      </x:c>
      <x:c r="AA886" s="5" t="inlineStr">
        <x:is>
          <x:t xml:space="preserve">없음</x:t>
        </x:is>
      </x:c>
      <x:c r="AB886" s="5" t="inlineStr">
        <x:is>
          <x:t xml:space="preserve"/>
        </x:is>
      </x:c>
      <x:c r="AC886" s="5" t="inlineStr">
        <x:is>
          <x:t xml:space="preserve">gen8</x:t>
        </x:is>
      </x:c>
      <x:c r="AD886" s="5" t="inlineStr">
        <x:is>
          <x:t xml:space="preserve">.tmp/cobblemon-1.7.3-source/common/src/main/resources/data/cobblemon/species/generation8/dracovish.json</x:t>
        </x:is>
      </x:c>
    </x:row>
    <x:row r="887" ht="22" customHeight="1">
      <x:c r="A887" s="5" t="n">
        <x:v>883</x:v>
      </x:c>
      <x:c r="B887" s="5" t="inlineStr">
        <x:is>
          <x:t xml:space="preserve">어치르돈</x:t>
        </x:is>
      </x:c>
      <x:c r="C887" s="5" t="inlineStr">
        <x:is>
          <x:t xml:space="preserve">arctovish</x:t>
        </x:is>
      </x:c>
      <x:c r="D887" s="5" t="inlineStr">
        <x:is>
          <x:t xml:space="preserve">Arctovish</x:t>
        </x:is>
      </x:c>
      <x:c r="E887" s="5" t="n">
        <x:v>8</x:v>
      </x:c>
      <x:c r="F887" s="5" t="inlineStr">
        <x:is>
          <x:t xml:space="preserve">물</x:t>
        </x:is>
      </x:c>
      <x:c r="G887" s="5" t="inlineStr">
        <x:is>
          <x:t xml:space="preserve">얼음</x:t>
        </x:is>
      </x:c>
      <x:c r="H887" s="5" t="n">
        <x:v>2</x:v>
      </x:c>
      <x:c r="I887" s="5" t="n">
        <x:v>175</x:v>
      </x:c>
      <x:c r="J887" s="5" t="n">
        <x:v>505</x:v>
      </x:c>
      <x:c r="K887" s="5" t="n">
        <x:v>45</x:v>
      </x:c>
      <x:c r="L887" s="5" t="inlineStr">
        <x:is>
          <x:t xml:space="preserve">무진화</x:t>
        </x:is>
      </x:c>
      <x:c r="M887" s="5" t="n"/>
      <x:c r="N887" s="5" t="inlineStr">
        <x:is>
          <x:t xml:space="preserve">없음</x:t>
        </x:is>
      </x:c>
      <x:c r="O887" s="5" t="inlineStr">
        <x:is>
          <x:t xml:space="preserve">예</x:t>
        </x:is>
      </x:c>
      <x:c r="P887" s="5" t="inlineStr">
        <x:is>
          <x:t xml:space="preserve"/>
        </x:is>
      </x:c>
      <x:c r="Q887" s="5" t="inlineStr">
        <x:is>
          <x:t xml:space="preserve"/>
        </x:is>
      </x:c>
      <x:c r="R887" s="5" t="inlineStr">
        <x:is>
          <x:t xml:space="preserve"/>
        </x:is>
      </x:c>
      <x:c r="S887" s="5" t="inlineStr">
        <x:is>
          <x:t xml:space="preserve"/>
        </x:is>
      </x:c>
      <x:c r="T887" s="5" t="inlineStr">
        <x:is>
          <x:t xml:space="preserve">수륙</x:t>
        </x:is>
      </x:c>
      <x:c r="U887" s="5" t="inlineStr">
        <x:is>
          <x:t xml:space="preserve">설원</x:t>
        </x:is>
      </x:c>
      <x:c r="V887" s="5" t="inlineStr">
        <x:is>
          <x:t xml:space="preserve">한랭</x:t>
        </x:is>
      </x:c>
      <x:c r="W887" s="5" t="inlineStr">
        <x:is>
          <x:t xml:space="preserve">보통</x:t>
        </x:is>
      </x:c>
      <x:c r="X887" s="5" t="inlineStr">
        <x:is>
          <x:t xml:space="preserve">무관</x:t>
        </x:is>
      </x:c>
      <x:c r="Y887" s="5" t="inlineStr">
        <x:is>
          <x:t xml:space="preserve">무관</x:t>
        </x:is>
      </x:c>
      <x:c r="Z887" s="5" t="inlineStr">
        <x:is>
          <x:t xml:space="preserve">희귀</x:t>
        </x:is>
      </x:c>
      <x:c r="AA887" s="5" t="inlineStr">
        <x:is>
          <x:t xml:space="preserve">없음</x:t>
        </x:is>
      </x:c>
      <x:c r="AB887" s="5" t="inlineStr">
        <x:is>
          <x:t xml:space="preserve"/>
        </x:is>
      </x:c>
      <x:c r="AC887" s="5" t="inlineStr">
        <x:is>
          <x:t xml:space="preserve">gen8</x:t>
        </x:is>
      </x:c>
      <x:c r="AD887" s="5" t="inlineStr">
        <x:is>
          <x:t xml:space="preserve">.tmp/cobblemon-1.7.3-source/common/src/main/resources/data/cobblemon/species/generation8/arctovish.json</x:t>
        </x:is>
      </x:c>
    </x:row>
    <x:row r="888" ht="22" customHeight="1">
      <x:c r="A888" s="5" t="n">
        <x:v>884</x:v>
      </x:c>
      <x:c r="B888" s="5" t="inlineStr">
        <x:is>
          <x:t xml:space="preserve">두랄루돈</x:t>
        </x:is>
      </x:c>
      <x:c r="C888" s="5" t="inlineStr">
        <x:is>
          <x:t xml:space="preserve">duraludon</x:t>
        </x:is>
      </x:c>
      <x:c r="D888" s="5" t="inlineStr">
        <x:is>
          <x:t xml:space="preserve">Duraludon</x:t>
        </x:is>
      </x:c>
      <x:c r="E888" s="5" t="n">
        <x:v>8</x:v>
      </x:c>
      <x:c r="F888" s="5" t="inlineStr">
        <x:is>
          <x:t xml:space="preserve">강철</x:t>
        </x:is>
      </x:c>
      <x:c r="G888" s="5" t="inlineStr">
        <x:is>
          <x:t xml:space="preserve">드래곤</x:t>
        </x:is>
      </x:c>
      <x:c r="H888" s="5" t="n">
        <x:v>1.8</x:v>
      </x:c>
      <x:c r="I888" s="5" t="n">
        <x:v>40</x:v>
      </x:c>
      <x:c r="J888" s="5" t="n">
        <x:v>535</x:v>
      </x:c>
      <x:c r="K888" s="5" t="n">
        <x:v>45</x:v>
      </x:c>
      <x:c r="L888" s="5" t="inlineStr">
        <x:is>
          <x:t xml:space="preserve">기본</x:t>
        </x:is>
      </x:c>
      <x:c r="M888" s="5" t="n"/>
      <x:c r="N888" s="5" t="inlineStr">
        <x:is>
          <x:t xml:space="preserve">특수</x:t>
        </x:is>
      </x:c>
      <x:c r="O888" s="5" t="inlineStr">
        <x:is>
          <x:t xml:space="preserve">아니오</x:t>
        </x:is>
      </x:c>
      <x:c r="P888" s="5" t="inlineStr">
        <x:is>
          <x:t xml:space="preserve">#cobblemon:is_end</x:t>
        </x:is>
      </x:c>
      <x:c r="Q888" s="5" t="inlineStr">
        <x:is>
          <x:t xml:space="preserve">rare</x:t>
        </x:is>
      </x:c>
      <x:c r="R888" s="5" t="inlineStr">
        <x:is>
          <x:t xml:space="preserve"/>
        </x:is>
      </x:c>
      <x:c r="S888" s="5" t="inlineStr">
        <x:is>
          <x:t xml:space="preserve"/>
        </x:is>
      </x:c>
      <x:c r="T888" s="5" t="inlineStr">
        <x:is>
          <x:t xml:space="preserve">육상</x:t>
        </x:is>
      </x:c>
      <x:c r="U888" s="5" t="inlineStr">
        <x:is>
          <x:t xml:space="preserve">개활지</x:t>
        </x:is>
      </x:c>
      <x:c r="V888" s="5" t="inlineStr">
        <x:is>
          <x:t xml:space="preserve">온대</x:t>
        </x:is>
      </x:c>
      <x:c r="W888" s="5" t="inlineStr">
        <x:is>
          <x:t xml:space="preserve">보통</x:t>
        </x:is>
      </x:c>
      <x:c r="X888" s="5" t="inlineStr">
        <x:is>
          <x:t xml:space="preserve">무관</x:t>
        </x:is>
      </x:c>
      <x:c r="Y888" s="5" t="inlineStr">
        <x:is>
          <x:t xml:space="preserve">무관</x:t>
        </x:is>
      </x:c>
      <x:c r="Z888" s="5" t="inlineStr">
        <x:is>
          <x:t xml:space="preserve">드묾</x:t>
        </x:is>
      </x:c>
      <x:c r="AA888" s="5" t="inlineStr">
        <x:is>
          <x:t xml:space="preserve">없음</x:t>
        </x:is>
      </x:c>
      <x:c r="AB888" s="5" t="inlineStr">
        <x:is>
          <x:t xml:space="preserve"/>
        </x:is>
      </x:c>
      <x:c r="AC888" s="5" t="inlineStr">
        <x:is>
          <x:t xml:space="preserve">gen8</x:t>
        </x:is>
      </x:c>
      <x:c r="AD888" s="5" t="inlineStr">
        <x:is>
          <x:t xml:space="preserve">.tmp/cobblemon-1.7.3-source/common/src/main/resources/data/cobblemon/species/generation8/duraludon.json</x:t>
        </x:is>
      </x:c>
    </x:row>
    <x:row r="889" ht="22" customHeight="1">
      <x:c r="A889" s="5" t="n">
        <x:v>885</x:v>
      </x:c>
      <x:c r="B889" s="5" t="inlineStr">
        <x:is>
          <x:t xml:space="preserve">드라꼰</x:t>
        </x:is>
      </x:c>
      <x:c r="C889" s="5" t="inlineStr">
        <x:is>
          <x:t xml:space="preserve">dreepy</x:t>
        </x:is>
      </x:c>
      <x:c r="D889" s="5" t="inlineStr">
        <x:is>
          <x:t xml:space="preserve">Dreepy</x:t>
        </x:is>
      </x:c>
      <x:c r="E889" s="5" t="n">
        <x:v>8</x:v>
      </x:c>
      <x:c r="F889" s="5" t="inlineStr">
        <x:is>
          <x:t xml:space="preserve">드래곤</x:t>
        </x:is>
      </x:c>
      <x:c r="G889" s="5" t="inlineStr">
        <x:is>
          <x:t xml:space="preserve">고스트</x:t>
        </x:is>
      </x:c>
      <x:c r="H889" s="5" t="n">
        <x:v>0.5</x:v>
      </x:c>
      <x:c r="I889" s="5" t="n">
        <x:v>2</x:v>
      </x:c>
      <x:c r="J889" s="5" t="n">
        <x:v>270</x:v>
      </x:c>
      <x:c r="K889" s="5" t="n">
        <x:v>45</x:v>
      </x:c>
      <x:c r="L889" s="5" t="inlineStr">
        <x:is>
          <x:t xml:space="preserve">기본</x:t>
        </x:is>
      </x:c>
      <x:c r="M889" s="5" t="n">
        <x:v>60</x:v>
      </x:c>
      <x:c r="N889" s="5" t="inlineStr">
        <x:is>
          <x:t xml:space="preserve">레벨</x:t>
        </x:is>
      </x:c>
      <x:c r="O889" s="5" t="inlineStr">
        <x:is>
          <x:t xml:space="preserve">예</x:t>
        </x:is>
      </x:c>
      <x:c r="P889" s="5" t="inlineStr">
        <x:is>
          <x:t xml:space="preserve">#cobblemon:is_coast; #cobblemon:is_ocean</x:t>
        </x:is>
      </x:c>
      <x:c r="Q889" s="5" t="inlineStr">
        <x:is>
          <x:t xml:space="preserve">ultra-rare</x:t>
        </x:is>
      </x:c>
      <x:c r="R889" s="5" t="inlineStr">
        <x:is>
          <x:t xml:space="preserve">dusk</x:t>
        </x:is>
      </x:c>
      <x:c r="S889" s="5" t="inlineStr">
        <x:is>
          <x:t xml:space="preserve"/>
        </x:is>
      </x:c>
      <x:c r="T889" s="5" t="inlineStr">
        <x:is>
          <x:t xml:space="preserve">해양</x:t>
        </x:is>
      </x:c>
      <x:c r="U889" s="5" t="inlineStr">
        <x:is>
          <x:t xml:space="preserve">해안·해양</x:t>
        </x:is>
      </x:c>
      <x:c r="V889" s="5" t="inlineStr">
        <x:is>
          <x:t xml:space="preserve">온대</x:t>
        </x:is>
      </x:c>
      <x:c r="W889" s="5" t="inlineStr">
        <x:is>
          <x:t xml:space="preserve">수중</x:t>
        </x:is>
      </x:c>
      <x:c r="X889" s="5" t="inlineStr">
        <x:is>
          <x:t xml:space="preserve">비</x:t>
        </x:is>
      </x:c>
      <x:c r="Y889" s="5" t="inlineStr">
        <x:is>
          <x:t xml:space="preserve">황혼</x:t>
        </x:is>
      </x:c>
      <x:c r="Z889" s="5" t="inlineStr">
        <x:is>
          <x:t xml:space="preserve">희귀</x:t>
        </x:is>
      </x:c>
      <x:c r="AA889" s="5" t="inlineStr">
        <x:is>
          <x:t xml:space="preserve">영체</x:t>
        </x:is>
      </x:c>
      <x:c r="AB889" s="5" t="inlineStr">
        <x:is>
          <x:t xml:space="preserve">해양</x:t>
        </x:is>
      </x:c>
      <x:c r="AC889" s="5" t="inlineStr">
        <x:is>
          <x:t xml:space="preserve">gen8</x:t>
        </x:is>
      </x:c>
      <x:c r="AD889" s="5" t="inlineStr">
        <x:is>
          <x:t xml:space="preserve">.tmp/cobblemon-1.7.3-source/common/src/main/resources/data/cobblemon/species/generation8/dreepy.json</x:t>
        </x:is>
      </x:c>
    </x:row>
    <x:row r="890" ht="22" customHeight="1">
      <x:c r="A890" s="5" t="n">
        <x:v>886</x:v>
      </x:c>
      <x:c r="B890" s="5" t="inlineStr">
        <x:is>
          <x:t xml:space="preserve">드래런치</x:t>
        </x:is>
      </x:c>
      <x:c r="C890" s="5" t="inlineStr">
        <x:is>
          <x:t xml:space="preserve">drakloak</x:t>
        </x:is>
      </x:c>
      <x:c r="D890" s="5" t="inlineStr">
        <x:is>
          <x:t xml:space="preserve">Drakloak</x:t>
        </x:is>
      </x:c>
      <x:c r="E890" s="5" t="n">
        <x:v>8</x:v>
      </x:c>
      <x:c r="F890" s="5" t="inlineStr">
        <x:is>
          <x:t xml:space="preserve">드래곤</x:t>
        </x:is>
      </x:c>
      <x:c r="G890" s="5" t="inlineStr">
        <x:is>
          <x:t xml:space="preserve">고스트</x:t>
        </x:is>
      </x:c>
      <x:c r="H890" s="5" t="n">
        <x:v>1.4</x:v>
      </x:c>
      <x:c r="I890" s="5" t="n">
        <x:v>11</x:v>
      </x:c>
      <x:c r="J890" s="5" t="n">
        <x:v>410</x:v>
      </x:c>
      <x:c r="K890" s="5" t="n">
        <x:v>45</x:v>
      </x:c>
      <x:c r="L890" s="5" t="inlineStr">
        <x:is>
          <x:t xml:space="preserve">중간</x:t>
        </x:is>
      </x:c>
      <x:c r="M890" s="5" t="n">
        <x:v>60</x:v>
      </x:c>
      <x:c r="N890" s="5" t="inlineStr">
        <x:is>
          <x:t xml:space="preserve">레벨</x:t>
        </x:is>
      </x:c>
      <x:c r="O890" s="5" t="inlineStr">
        <x:is>
          <x:t xml:space="preserve">예</x:t>
        </x:is>
      </x:c>
      <x:c r="P890" s="5" t="inlineStr">
        <x:is>
          <x:t xml:space="preserve">#cobblemon:is_coast; #cobblemon:is_ocean</x:t>
        </x:is>
      </x:c>
      <x:c r="Q890" s="5" t="inlineStr">
        <x:is>
          <x:t xml:space="preserve">ultra-rare</x:t>
        </x:is>
      </x:c>
      <x:c r="R890" s="5" t="inlineStr">
        <x:is>
          <x:t xml:space="preserve">dusk</x:t>
        </x:is>
      </x:c>
      <x:c r="S890" s="5" t="inlineStr">
        <x:is>
          <x:t xml:space="preserve"/>
        </x:is>
      </x:c>
      <x:c r="T890" s="5" t="inlineStr">
        <x:is>
          <x:t xml:space="preserve">해양</x:t>
        </x:is>
      </x:c>
      <x:c r="U890" s="5" t="inlineStr">
        <x:is>
          <x:t xml:space="preserve">해안·해양</x:t>
        </x:is>
      </x:c>
      <x:c r="V890" s="5" t="inlineStr">
        <x:is>
          <x:t xml:space="preserve">온대</x:t>
        </x:is>
      </x:c>
      <x:c r="W890" s="5" t="inlineStr">
        <x:is>
          <x:t xml:space="preserve">수중</x:t>
        </x:is>
      </x:c>
      <x:c r="X890" s="5" t="inlineStr">
        <x:is>
          <x:t xml:space="preserve">비</x:t>
        </x:is>
      </x:c>
      <x:c r="Y890" s="5" t="inlineStr">
        <x:is>
          <x:t xml:space="preserve">황혼</x:t>
        </x:is>
      </x:c>
      <x:c r="Z890" s="5" t="inlineStr">
        <x:is>
          <x:t xml:space="preserve">희귀</x:t>
        </x:is>
      </x:c>
      <x:c r="AA890" s="5" t="inlineStr">
        <x:is>
          <x:t xml:space="preserve">영체</x:t>
        </x:is>
      </x:c>
      <x:c r="AB890" s="5" t="inlineStr">
        <x:is>
          <x:t xml:space="preserve">해양</x:t>
        </x:is>
      </x:c>
      <x:c r="AC890" s="5" t="inlineStr">
        <x:is>
          <x:t xml:space="preserve">gen8</x:t>
        </x:is>
      </x:c>
      <x:c r="AD890" s="5" t="inlineStr">
        <x:is>
          <x:t xml:space="preserve">.tmp/cobblemon-1.7.3-source/common/src/main/resources/data/cobblemon/species/generation8/drakloak.json</x:t>
        </x:is>
      </x:c>
    </x:row>
    <x:row r="891" ht="22" customHeight="1">
      <x:c r="A891" s="5" t="n">
        <x:v>887</x:v>
      </x:c>
      <x:c r="B891" s="5" t="inlineStr">
        <x:is>
          <x:t xml:space="preserve">드래펄트</x:t>
        </x:is>
      </x:c>
      <x:c r="C891" s="5" t="inlineStr">
        <x:is>
          <x:t xml:space="preserve">dragapult</x:t>
        </x:is>
      </x:c>
      <x:c r="D891" s="5" t="inlineStr">
        <x:is>
          <x:t xml:space="preserve">Dragapult</x:t>
        </x:is>
      </x:c>
      <x:c r="E891" s="5" t="n">
        <x:v>8</x:v>
      </x:c>
      <x:c r="F891" s="5" t="inlineStr">
        <x:is>
          <x:t xml:space="preserve">드래곤</x:t>
        </x:is>
      </x:c>
      <x:c r="G891" s="5" t="inlineStr">
        <x:is>
          <x:t xml:space="preserve">고스트</x:t>
        </x:is>
      </x:c>
      <x:c r="H891" s="5" t="n">
        <x:v>3</x:v>
      </x:c>
      <x:c r="I891" s="5" t="n">
        <x:v>50</x:v>
      </x:c>
      <x:c r="J891" s="5" t="n">
        <x:v>600</x:v>
      </x:c>
      <x:c r="K891" s="5" t="n">
        <x:v>45</x:v>
      </x:c>
      <x:c r="L891" s="5" t="inlineStr">
        <x:is>
          <x:t xml:space="preserve">최종</x:t>
        </x:is>
      </x:c>
      <x:c r="M891" s="5" t="n">
        <x:v>60</x:v>
      </x:c>
      <x:c r="N891" s="5" t="inlineStr">
        <x:is>
          <x:t xml:space="preserve">레벨</x:t>
        </x:is>
      </x:c>
      <x:c r="O891" s="5" t="inlineStr">
        <x:is>
          <x:t xml:space="preserve">예</x:t>
        </x:is>
      </x:c>
      <x:c r="P891" s="5" t="inlineStr">
        <x:is>
          <x:t xml:space="preserve">#cobblemon:is_coast; #cobblemon:is_ocean</x:t>
        </x:is>
      </x:c>
      <x:c r="Q891" s="5" t="inlineStr">
        <x:is>
          <x:t xml:space="preserve">ultra-rare</x:t>
        </x:is>
      </x:c>
      <x:c r="R891" s="5" t="inlineStr">
        <x:is>
          <x:t xml:space="preserve">dusk</x:t>
        </x:is>
      </x:c>
      <x:c r="S891" s="5" t="inlineStr">
        <x:is>
          <x:t xml:space="preserve"/>
        </x:is>
      </x:c>
      <x:c r="T891" s="5" t="inlineStr">
        <x:is>
          <x:t xml:space="preserve">해양</x:t>
        </x:is>
      </x:c>
      <x:c r="U891" s="5" t="inlineStr">
        <x:is>
          <x:t xml:space="preserve">해안·해양</x:t>
        </x:is>
      </x:c>
      <x:c r="V891" s="5" t="inlineStr">
        <x:is>
          <x:t xml:space="preserve">온대</x:t>
        </x:is>
      </x:c>
      <x:c r="W891" s="5" t="inlineStr">
        <x:is>
          <x:t xml:space="preserve">수중</x:t>
        </x:is>
      </x:c>
      <x:c r="X891" s="5" t="inlineStr">
        <x:is>
          <x:t xml:space="preserve">비</x:t>
        </x:is>
      </x:c>
      <x:c r="Y891" s="5" t="inlineStr">
        <x:is>
          <x:t xml:space="preserve">황혼</x:t>
        </x:is>
      </x:c>
      <x:c r="Z891" s="5" t="inlineStr">
        <x:is>
          <x:t xml:space="preserve">희귀</x:t>
        </x:is>
      </x:c>
      <x:c r="AA891" s="5" t="inlineStr">
        <x:is>
          <x:t xml:space="preserve">영체</x:t>
        </x:is>
      </x:c>
      <x:c r="AB891" s="5" t="inlineStr">
        <x:is>
          <x:t xml:space="preserve">해양</x:t>
        </x:is>
      </x:c>
      <x:c r="AC891" s="5" t="inlineStr">
        <x:is>
          <x:t xml:space="preserve">gen8; powerhouse</x:t>
        </x:is>
      </x:c>
      <x:c r="AD891" s="5" t="inlineStr">
        <x:is>
          <x:t xml:space="preserve">.tmp/cobblemon-1.7.3-source/common/src/main/resources/data/cobblemon/species/generation8/dragapult.json</x:t>
        </x:is>
      </x:c>
    </x:row>
    <x:row r="892" ht="22" customHeight="1">
      <x:c r="A892" s="5" t="n">
        <x:v>888</x:v>
      </x:c>
      <x:c r="B892" s="5" t="inlineStr">
        <x:is>
          <x:t xml:space="preserve">자시안</x:t>
        </x:is>
      </x:c>
      <x:c r="C892" s="5" t="inlineStr">
        <x:is>
          <x:t xml:space="preserve">zacian</x:t>
        </x:is>
      </x:c>
      <x:c r="D892" s="5" t="inlineStr">
        <x:is>
          <x:t xml:space="preserve">Zacian</x:t>
        </x:is>
      </x:c>
      <x:c r="E892" s="5" t="n">
        <x:v>8</x:v>
      </x:c>
      <x:c r="F892" s="5" t="inlineStr">
        <x:is>
          <x:t xml:space="preserve">페어리</x:t>
        </x:is>
      </x:c>
      <x:c r="G892" s="5" t="inlineStr">
        <x:is>
          <x:t xml:space="preserve"/>
        </x:is>
      </x:c>
      <x:c r="H892" s="5" t="n">
        <x:v>2.8</x:v>
      </x:c>
      <x:c r="I892" s="5" t="n">
        <x:v>110</x:v>
      </x:c>
      <x:c r="J892" s="5" t="n">
        <x:v>660</x:v>
      </x:c>
      <x:c r="K892" s="5" t="n">
        <x:v>10</x:v>
      </x:c>
      <x:c r="L892" s="5" t="inlineStr">
        <x:is>
          <x:t xml:space="preserve">무진화</x:t>
        </x:is>
      </x:c>
      <x:c r="M892" s="5" t="n"/>
      <x:c r="N892" s="5" t="inlineStr">
        <x:is>
          <x:t xml:space="preserve">없음</x:t>
        </x:is>
      </x:c>
      <x:c r="O892" s="5" t="inlineStr">
        <x:is>
          <x:t xml:space="preserve">아니오</x:t>
        </x:is>
      </x:c>
      <x:c r="P892" s="5" t="inlineStr">
        <x:is>
          <x:t xml:space="preserve">minecraft:dark_forest</x:t>
        </x:is>
      </x:c>
      <x:c r="Q892" s="5" t="inlineStr">
        <x:is>
          <x:t xml:space="preserve">ultra-rare</x:t>
        </x:is>
      </x:c>
      <x:c r="R892" s="5" t="inlineStr">
        <x:is>
          <x:t xml:space="preserve"/>
        </x:is>
      </x:c>
      <x:c r="S892" s="5" t="inlineStr">
        <x:is>
          <x:t xml:space="preserve"/>
        </x:is>
      </x:c>
      <x:c r="T892" s="5" t="inlineStr">
        <x:is>
          <x:t xml:space="preserve">육상</x:t>
        </x:is>
      </x:c>
      <x:c r="U892" s="5" t="inlineStr">
        <x:is>
          <x:t xml:space="preserve">수목</x:t>
        </x:is>
      </x:c>
      <x:c r="V892" s="5" t="inlineStr">
        <x:is>
          <x:t xml:space="preserve">온대</x:t>
        </x:is>
      </x:c>
      <x:c r="W892" s="5" t="inlineStr">
        <x:is>
          <x:t xml:space="preserve">보통</x:t>
        </x:is>
      </x:c>
      <x:c r="X892" s="5" t="inlineStr">
        <x:is>
          <x:t xml:space="preserve">무관</x:t>
        </x:is>
      </x:c>
      <x:c r="Y892" s="5" t="inlineStr">
        <x:is>
          <x:t xml:space="preserve">무관</x:t>
        </x:is>
      </x:c>
      <x:c r="Z892" s="5" t="inlineStr">
        <x:is>
          <x:t xml:space="preserve">전설</x:t>
        </x:is>
      </x:c>
      <x:c r="AA892" s="5" t="inlineStr">
        <x:is>
          <x:t xml:space="preserve">전설</x:t>
        </x:is>
      </x:c>
      <x:c r="AB892" s="5" t="inlineStr">
        <x:is>
          <x:t xml:space="preserve">숲</x:t>
        </x:is>
      </x:c>
      <x:c r="AC892" s="5" t="inlineStr">
        <x:is>
          <x:t xml:space="preserve">gen8; legendary; restricted</x:t>
        </x:is>
      </x:c>
      <x:c r="AD892" s="5" t="inlineStr">
        <x:is>
          <x:t xml:space="preserve">.tmp/cobblemon-1.7.3-source/common/src/main/resources/data/cobblemon/species/generation8/zacian.json</x:t>
        </x:is>
      </x:c>
    </x:row>
    <x:row r="893" ht="22" customHeight="1">
      <x:c r="A893" s="5" t="n">
        <x:v>889</x:v>
      </x:c>
      <x:c r="B893" s="5" t="inlineStr">
        <x:is>
          <x:t xml:space="preserve">자마젠타</x:t>
        </x:is>
      </x:c>
      <x:c r="C893" s="5" t="inlineStr">
        <x:is>
          <x:t xml:space="preserve">zamazenta</x:t>
        </x:is>
      </x:c>
      <x:c r="D893" s="5" t="inlineStr">
        <x:is>
          <x:t xml:space="preserve">Zamazenta</x:t>
        </x:is>
      </x:c>
      <x:c r="E893" s="5" t="n">
        <x:v>8</x:v>
      </x:c>
      <x:c r="F893" s="5" t="inlineStr">
        <x:is>
          <x:t xml:space="preserve">격투</x:t>
        </x:is>
      </x:c>
      <x:c r="G893" s="5" t="inlineStr">
        <x:is>
          <x:t xml:space="preserve"/>
        </x:is>
      </x:c>
      <x:c r="H893" s="5" t="n">
        <x:v>2.9</x:v>
      </x:c>
      <x:c r="I893" s="5" t="n">
        <x:v>210</x:v>
      </x:c>
      <x:c r="J893" s="5" t="n">
        <x:v>660</x:v>
      </x:c>
      <x:c r="K893" s="5" t="n">
        <x:v>10</x:v>
      </x:c>
      <x:c r="L893" s="5" t="inlineStr">
        <x:is>
          <x:t xml:space="preserve">무진화</x:t>
        </x:is>
      </x:c>
      <x:c r="M893" s="5" t="n"/>
      <x:c r="N893" s="5" t="inlineStr">
        <x:is>
          <x:t xml:space="preserve">없음</x:t>
        </x:is>
      </x:c>
      <x:c r="O893" s="5" t="inlineStr">
        <x:is>
          <x:t xml:space="preserve">아니오</x:t>
        </x:is>
      </x:c>
      <x:c r="P893" s="5" t="inlineStr">
        <x:is>
          <x:t xml:space="preserve">minecraft:dark_forest</x:t>
        </x:is>
      </x:c>
      <x:c r="Q893" s="5" t="inlineStr">
        <x:is>
          <x:t xml:space="preserve">ultra-rare</x:t>
        </x:is>
      </x:c>
      <x:c r="R893" s="5" t="inlineStr">
        <x:is>
          <x:t xml:space="preserve"/>
        </x:is>
      </x:c>
      <x:c r="S893" s="5" t="inlineStr">
        <x:is>
          <x:t xml:space="preserve"/>
        </x:is>
      </x:c>
      <x:c r="T893" s="5" t="inlineStr">
        <x:is>
          <x:t xml:space="preserve">육상</x:t>
        </x:is>
      </x:c>
      <x:c r="U893" s="5" t="inlineStr">
        <x:is>
          <x:t xml:space="preserve">수목</x:t>
        </x:is>
      </x:c>
      <x:c r="V893" s="5" t="inlineStr">
        <x:is>
          <x:t xml:space="preserve">온대</x:t>
        </x:is>
      </x:c>
      <x:c r="W893" s="5" t="inlineStr">
        <x:is>
          <x:t xml:space="preserve">보통</x:t>
        </x:is>
      </x:c>
      <x:c r="X893" s="5" t="inlineStr">
        <x:is>
          <x:t xml:space="preserve">무관</x:t>
        </x:is>
      </x:c>
      <x:c r="Y893" s="5" t="inlineStr">
        <x:is>
          <x:t xml:space="preserve">무관</x:t>
        </x:is>
      </x:c>
      <x:c r="Z893" s="5" t="inlineStr">
        <x:is>
          <x:t xml:space="preserve">전설</x:t>
        </x:is>
      </x:c>
      <x:c r="AA893" s="5" t="inlineStr">
        <x:is>
          <x:t xml:space="preserve">전설</x:t>
        </x:is>
      </x:c>
      <x:c r="AB893" s="5" t="inlineStr">
        <x:is>
          <x:t xml:space="preserve">숲</x:t>
        </x:is>
      </x:c>
      <x:c r="AC893" s="5" t="inlineStr">
        <x:is>
          <x:t xml:space="preserve">gen8; legendary; restricted</x:t>
        </x:is>
      </x:c>
      <x:c r="AD893" s="5" t="inlineStr">
        <x:is>
          <x:t xml:space="preserve">.tmp/cobblemon-1.7.3-source/common/src/main/resources/data/cobblemon/species/generation8/zamazenta.json</x:t>
        </x:is>
      </x:c>
    </x:row>
    <x:row r="894" ht="22" customHeight="1">
      <x:c r="A894" s="5" t="n">
        <x:v>890</x:v>
      </x:c>
      <x:c r="B894" s="5" t="inlineStr">
        <x:is>
          <x:t xml:space="preserve">무한다이노</x:t>
        </x:is>
      </x:c>
      <x:c r="C894" s="5" t="inlineStr">
        <x:is>
          <x:t xml:space="preserve">eternatus</x:t>
        </x:is>
      </x:c>
      <x:c r="D894" s="5" t="inlineStr">
        <x:is>
          <x:t xml:space="preserve">Eternatus</x:t>
        </x:is>
      </x:c>
      <x:c r="E894" s="5" t="n">
        <x:v>8</x:v>
      </x:c>
      <x:c r="F894" s="5" t="inlineStr">
        <x:is>
          <x:t xml:space="preserve">독</x:t>
        </x:is>
      </x:c>
      <x:c r="G894" s="5" t="inlineStr">
        <x:is>
          <x:t xml:space="preserve">드래곤</x:t>
        </x:is>
      </x:c>
      <x:c r="H894" s="5" t="n">
        <x:v>20</x:v>
      </x:c>
      <x:c r="I894" s="5" t="n">
        <x:v>950</x:v>
      </x:c>
      <x:c r="J894" s="5" t="n">
        <x:v>690</x:v>
      </x:c>
      <x:c r="K894" s="5" t="n">
        <x:v>255</x:v>
      </x:c>
      <x:c r="L894" s="5" t="inlineStr">
        <x:is>
          <x:t xml:space="preserve">무진화</x:t>
        </x:is>
      </x:c>
      <x:c r="M894" s="5" t="n"/>
      <x:c r="N894" s="5" t="inlineStr">
        <x:is>
          <x:t xml:space="preserve">없음</x:t>
        </x:is>
      </x:c>
      <x:c r="O894" s="5" t="inlineStr">
        <x:is>
          <x:t xml:space="preserve">아니오</x:t>
        </x:is>
      </x:c>
      <x:c r="P894" s="5" t="inlineStr">
        <x:is>
          <x:t xml:space="preserve">cobbleverse:custom_spawn/eternatus_cocoon</x:t>
        </x:is>
      </x:c>
      <x:c r="Q894" s="5" t="inlineStr">
        <x:is>
          <x:t xml:space="preserve">ultra-rare</x:t>
        </x:is>
      </x:c>
      <x:c r="R894" s="5" t="inlineStr">
        <x:is>
          <x:t xml:space="preserve"/>
        </x:is>
      </x:c>
      <x:c r="S894" s="5" t="inlineStr">
        <x:is>
          <x:t xml:space="preserve"/>
        </x:is>
      </x:c>
      <x:c r="T894" s="5" t="inlineStr">
        <x:is>
          <x:t xml:space="preserve">비행</x:t>
        </x:is>
      </x:c>
      <x:c r="U894" s="5" t="inlineStr">
        <x:is>
          <x:t xml:space="preserve">개활지</x:t>
        </x:is>
      </x:c>
      <x:c r="V894" s="5" t="inlineStr">
        <x:is>
          <x:t xml:space="preserve">온대</x:t>
        </x:is>
      </x:c>
      <x:c r="W894" s="5" t="inlineStr">
        <x:is>
          <x:t xml:space="preserve">보통</x:t>
        </x:is>
      </x:c>
      <x:c r="X894" s="5" t="inlineStr">
        <x:is>
          <x:t xml:space="preserve">무관</x:t>
        </x:is>
      </x:c>
      <x:c r="Y894" s="5" t="inlineStr">
        <x:is>
          <x:t xml:space="preserve">무관</x:t>
        </x:is>
      </x:c>
      <x:c r="Z894" s="5" t="inlineStr">
        <x:is>
          <x:t xml:space="preserve">전설</x:t>
        </x:is>
      </x:c>
      <x:c r="AA894" s="5" t="inlineStr">
        <x:is>
          <x:t xml:space="preserve">전설</x:t>
        </x:is>
      </x:c>
      <x:c r="AB894" s="5" t="inlineStr">
        <x:is>
          <x:t xml:space="preserve"/>
        </x:is>
      </x:c>
      <x:c r="AC894" s="5" t="inlineStr">
        <x:is>
          <x:t xml:space="preserve">gen8; legendary; restricted</x:t>
        </x:is>
      </x:c>
      <x:c r="AD894" s="5" t="inlineStr">
        <x:is>
          <x:t xml:space="preserve">.tmp/cobblemon-1.7.3-source/common/src/main/resources/data/cobblemon/species/generation8/eternatus.json</x:t>
        </x:is>
      </x:c>
    </x:row>
    <x:row r="895" ht="22" customHeight="1">
      <x:c r="A895" s="5" t="n">
        <x:v>891</x:v>
      </x:c>
      <x:c r="B895" s="5" t="inlineStr">
        <x:is>
          <x:t xml:space="preserve">치고마</x:t>
        </x:is>
      </x:c>
      <x:c r="C895" s="5" t="inlineStr">
        <x:is>
          <x:t xml:space="preserve">kubfu</x:t>
        </x:is>
      </x:c>
      <x:c r="D895" s="5" t="inlineStr">
        <x:is>
          <x:t xml:space="preserve">Kubfu</x:t>
        </x:is>
      </x:c>
      <x:c r="E895" s="5" t="n">
        <x:v>8</x:v>
      </x:c>
      <x:c r="F895" s="5" t="inlineStr">
        <x:is>
          <x:t xml:space="preserve">격투</x:t>
        </x:is>
      </x:c>
      <x:c r="G895" s="5" t="inlineStr">
        <x:is>
          <x:t xml:space="preserve"/>
        </x:is>
      </x:c>
      <x:c r="H895" s="5" t="n">
        <x:v>0.6</x:v>
      </x:c>
      <x:c r="I895" s="5" t="n">
        <x:v>12</x:v>
      </x:c>
      <x:c r="J895" s="5" t="n">
        <x:v>385</x:v>
      </x:c>
      <x:c r="K895" s="5" t="n">
        <x:v>3</x:v>
      </x:c>
      <x:c r="L895" s="5" t="inlineStr">
        <x:is>
          <x:t xml:space="preserve">기본</x:t>
        </x:is>
      </x:c>
      <x:c r="M895" s="5" t="n"/>
      <x:c r="N895" s="5" t="inlineStr">
        <x:is>
          <x:t xml:space="preserve">특수</x:t>
        </x:is>
      </x:c>
      <x:c r="O895" s="5" t="inlineStr">
        <x:is>
          <x:t xml:space="preserve">아니오</x:t>
        </x:is>
      </x:c>
      <x:c r="P895" s="5" t="inlineStr">
        <x:is>
          <x:t xml:space="preserve">minecraft:cherry_grove</x:t>
        </x:is>
      </x:c>
      <x:c r="Q895" s="5" t="inlineStr">
        <x:is>
          <x:t xml:space="preserve">ultra-rare</x:t>
        </x:is>
      </x:c>
      <x:c r="R895" s="5" t="inlineStr">
        <x:is>
          <x:t xml:space="preserve"/>
        </x:is>
      </x:c>
      <x:c r="S895" s="5" t="inlineStr">
        <x:is>
          <x:t xml:space="preserve"/>
        </x:is>
      </x:c>
      <x:c r="T895" s="5" t="inlineStr">
        <x:is>
          <x:t xml:space="preserve">육상</x:t>
        </x:is>
      </x:c>
      <x:c r="U895" s="5" t="inlineStr">
        <x:is>
          <x:t xml:space="preserve">수목</x:t>
        </x:is>
      </x:c>
      <x:c r="V895" s="5" t="inlineStr">
        <x:is>
          <x:t xml:space="preserve">온대</x:t>
        </x:is>
      </x:c>
      <x:c r="W895" s="5" t="inlineStr">
        <x:is>
          <x:t xml:space="preserve">보통</x:t>
        </x:is>
      </x:c>
      <x:c r="X895" s="5" t="inlineStr">
        <x:is>
          <x:t xml:space="preserve">무관</x:t>
        </x:is>
      </x:c>
      <x:c r="Y895" s="5" t="inlineStr">
        <x:is>
          <x:t xml:space="preserve">무관</x:t>
        </x:is>
      </x:c>
      <x:c r="Z895" s="5" t="inlineStr">
        <x:is>
          <x:t xml:space="preserve">전설</x:t>
        </x:is>
      </x:c>
      <x:c r="AA895" s="5" t="inlineStr">
        <x:is>
          <x:t xml:space="preserve">전설</x:t>
        </x:is>
      </x:c>
      <x:c r="AB895" s="5" t="inlineStr">
        <x:is>
          <x:t xml:space="preserve">숲</x:t>
        </x:is>
      </x:c>
      <x:c r="AC895" s="5" t="inlineStr">
        <x:is>
          <x:t xml:space="preserve">gen8; legendary</x:t>
        </x:is>
      </x:c>
      <x:c r="AD895" s="5" t="inlineStr">
        <x:is>
          <x:t xml:space="preserve">.tmp/cobblemon-1.7.3-source/common/src/main/resources/data/cobblemon/species/generation8/kubfu.json</x:t>
        </x:is>
      </x:c>
    </x:row>
    <x:row r="896" ht="22" customHeight="1">
      <x:c r="A896" s="5" t="n">
        <x:v>892</x:v>
      </x:c>
      <x:c r="B896" s="5" t="inlineStr">
        <x:is>
          <x:t xml:space="preserve">우라오스</x:t>
        </x:is>
      </x:c>
      <x:c r="C896" s="5" t="inlineStr">
        <x:is>
          <x:t xml:space="preserve">urshifu</x:t>
        </x:is>
      </x:c>
      <x:c r="D896" s="5" t="inlineStr">
        <x:is>
          <x:t xml:space="preserve">Urshifu</x:t>
        </x:is>
      </x:c>
      <x:c r="E896" s="5" t="n">
        <x:v>8</x:v>
      </x:c>
      <x:c r="F896" s="5" t="inlineStr">
        <x:is>
          <x:t xml:space="preserve">격투</x:t>
        </x:is>
      </x:c>
      <x:c r="G896" s="5" t="inlineStr">
        <x:is>
          <x:t xml:space="preserve">악</x:t>
        </x:is>
      </x:c>
      <x:c r="H896" s="5" t="n">
        <x:v>1.9</x:v>
      </x:c>
      <x:c r="I896" s="5" t="n">
        <x:v>105</x:v>
      </x:c>
      <x:c r="J896" s="5" t="n">
        <x:v>550</x:v>
      </x:c>
      <x:c r="K896" s="5" t="n">
        <x:v>3</x:v>
      </x:c>
      <x:c r="L896" s="5" t="inlineStr">
        <x:is>
          <x:t xml:space="preserve">최종</x:t>
        </x:is>
      </x:c>
      <x:c r="M896" s="5" t="n"/>
      <x:c r="N896" s="5" t="inlineStr">
        <x:is>
          <x:t xml:space="preserve">특수</x:t>
        </x:is>
      </x:c>
      <x:c r="O896" s="5" t="inlineStr">
        <x:is>
          <x:t xml:space="preserve">아니오</x:t>
        </x:is>
      </x:c>
      <x:c r="P896" s="5" t="inlineStr">
        <x:is>
          <x:t xml:space="preserve">minecraft:cherry_grove</x:t>
        </x:is>
      </x:c>
      <x:c r="Q896" s="5" t="inlineStr">
        <x:is>
          <x:t xml:space="preserve">ultra-rare</x:t>
        </x:is>
      </x:c>
      <x:c r="R896" s="5" t="inlineStr">
        <x:is>
          <x:t xml:space="preserve"/>
        </x:is>
      </x:c>
      <x:c r="S896" s="5" t="inlineStr">
        <x:is>
          <x:t xml:space="preserve"/>
        </x:is>
      </x:c>
      <x:c r="T896" s="5" t="inlineStr">
        <x:is>
          <x:t xml:space="preserve">육상</x:t>
        </x:is>
      </x:c>
      <x:c r="U896" s="5" t="inlineStr">
        <x:is>
          <x:t xml:space="preserve">수목</x:t>
        </x:is>
      </x:c>
      <x:c r="V896" s="5" t="inlineStr">
        <x:is>
          <x:t xml:space="preserve">온대</x:t>
        </x:is>
      </x:c>
      <x:c r="W896" s="5" t="inlineStr">
        <x:is>
          <x:t xml:space="preserve">보통</x:t>
        </x:is>
      </x:c>
      <x:c r="X896" s="5" t="inlineStr">
        <x:is>
          <x:t xml:space="preserve">무관</x:t>
        </x:is>
      </x:c>
      <x:c r="Y896" s="5" t="inlineStr">
        <x:is>
          <x:t xml:space="preserve">밤</x:t>
        </x:is>
      </x:c>
      <x:c r="Z896" s="5" t="inlineStr">
        <x:is>
          <x:t xml:space="preserve">전설</x:t>
        </x:is>
      </x:c>
      <x:c r="AA896" s="5" t="inlineStr">
        <x:is>
          <x:t xml:space="preserve">전설</x:t>
        </x:is>
      </x:c>
      <x:c r="AB896" s="5" t="inlineStr">
        <x:is>
          <x:t xml:space="preserve">숲</x:t>
        </x:is>
      </x:c>
      <x:c r="AC896" s="5" t="inlineStr">
        <x:is>
          <x:t xml:space="preserve">gen8; legendary</x:t>
        </x:is>
      </x:c>
      <x:c r="AD896" s="5" t="inlineStr">
        <x:is>
          <x:t xml:space="preserve">.tmp/cobblemon-1.7.3-source/common/src/main/resources/data/cobblemon/species/generation8/urshifu.json</x:t>
        </x:is>
      </x:c>
    </x:row>
    <x:row r="897" ht="22" customHeight="1">
      <x:c r="A897" s="5" t="n">
        <x:v>893</x:v>
      </x:c>
      <x:c r="B897" s="5" t="inlineStr">
        <x:is>
          <x:t xml:space="preserve">자루도</x:t>
        </x:is>
      </x:c>
      <x:c r="C897" s="5" t="inlineStr">
        <x:is>
          <x:t xml:space="preserve">zarude</x:t>
        </x:is>
      </x:c>
      <x:c r="D897" s="5" t="inlineStr">
        <x:is>
          <x:t xml:space="preserve">Zarude</x:t>
        </x:is>
      </x:c>
      <x:c r="E897" s="5" t="n">
        <x:v>8</x:v>
      </x:c>
      <x:c r="F897" s="5" t="inlineStr">
        <x:is>
          <x:t xml:space="preserve">악</x:t>
        </x:is>
      </x:c>
      <x:c r="G897" s="5" t="inlineStr">
        <x:is>
          <x:t xml:space="preserve">풀</x:t>
        </x:is>
      </x:c>
      <x:c r="H897" s="5" t="n">
        <x:v>1.8</x:v>
      </x:c>
      <x:c r="I897" s="5" t="n">
        <x:v>70</x:v>
      </x:c>
      <x:c r="J897" s="5" t="n">
        <x:v>600</x:v>
      </x:c>
      <x:c r="K897" s="5" t="n">
        <x:v>3</x:v>
      </x:c>
      <x:c r="L897" s="5" t="inlineStr">
        <x:is>
          <x:t xml:space="preserve">무진화</x:t>
        </x:is>
      </x:c>
      <x:c r="M897" s="5" t="n"/>
      <x:c r="N897" s="5" t="inlineStr">
        <x:is>
          <x:t xml:space="preserve">없음</x:t>
        </x:is>
      </x:c>
      <x:c r="O897" s="5" t="inlineStr">
        <x:is>
          <x:t xml:space="preserve">예</x:t>
        </x:is>
      </x:c>
      <x:c r="P897" s="5" t="inlineStr">
        <x:is>
          <x:t xml:space="preserve">minecraft:jungle</x:t>
        </x:is>
      </x:c>
      <x:c r="Q897" s="5" t="inlineStr">
        <x:is>
          <x:t xml:space="preserve">ultra-rare</x:t>
        </x:is>
      </x:c>
      <x:c r="R897" s="5" t="inlineStr">
        <x:is>
          <x:t xml:space="preserve"/>
        </x:is>
      </x:c>
      <x:c r="S897" s="5" t="inlineStr">
        <x:is>
          <x:t xml:space="preserve"/>
        </x:is>
      </x:c>
      <x:c r="T897" s="5" t="inlineStr">
        <x:is>
          <x:t xml:space="preserve">육상</x:t>
        </x:is>
      </x:c>
      <x:c r="U897" s="5" t="inlineStr">
        <x:is>
          <x:t xml:space="preserve">수목</x:t>
        </x:is>
      </x:c>
      <x:c r="V897" s="5" t="inlineStr">
        <x:is>
          <x:t xml:space="preserve">온대</x:t>
        </x:is>
      </x:c>
      <x:c r="W897" s="5" t="inlineStr">
        <x:is>
          <x:t xml:space="preserve">다습</x:t>
        </x:is>
      </x:c>
      <x:c r="X897" s="5" t="inlineStr">
        <x:is>
          <x:t xml:space="preserve">무관</x:t>
        </x:is>
      </x:c>
      <x:c r="Y897" s="5" t="inlineStr">
        <x:is>
          <x:t xml:space="preserve">밤</x:t>
        </x:is>
      </x:c>
      <x:c r="Z897" s="5" t="inlineStr">
        <x:is>
          <x:t xml:space="preserve">전설</x:t>
        </x:is>
      </x:c>
      <x:c r="AA897" s="5" t="inlineStr">
        <x:is>
          <x:t xml:space="preserve">전설</x:t>
        </x:is>
      </x:c>
      <x:c r="AB897" s="5" t="inlineStr">
        <x:is>
          <x:t xml:space="preserve">숲</x:t>
        </x:is>
      </x:c>
      <x:c r="AC897" s="5" t="inlineStr">
        <x:is>
          <x:t xml:space="preserve">gen8; mythical</x:t>
        </x:is>
      </x:c>
      <x:c r="AD897" s="5" t="inlineStr">
        <x:is>
          <x:t xml:space="preserve">.tmp/cobblemon-1.7.3-source/common/src/main/resources/data/cobblemon/species/generation8/zarude.json</x:t>
        </x:is>
      </x:c>
    </x:row>
    <x:row r="898" ht="22" customHeight="1">
      <x:c r="A898" s="5" t="n">
        <x:v>894</x:v>
      </x:c>
      <x:c r="B898" s="5" t="inlineStr">
        <x:is>
          <x:t xml:space="preserve">레지에레키</x:t>
        </x:is>
      </x:c>
      <x:c r="C898" s="5" t="inlineStr">
        <x:is>
          <x:t xml:space="preserve">regieleki</x:t>
        </x:is>
      </x:c>
      <x:c r="D898" s="5" t="inlineStr">
        <x:is>
          <x:t xml:space="preserve">Regieleki</x:t>
        </x:is>
      </x:c>
      <x:c r="E898" s="5" t="n">
        <x:v>8</x:v>
      </x:c>
      <x:c r="F898" s="5" t="inlineStr">
        <x:is>
          <x:t xml:space="preserve">전기</x:t>
        </x:is>
      </x:c>
      <x:c r="G898" s="5" t="inlineStr">
        <x:is>
          <x:t xml:space="preserve"/>
        </x:is>
      </x:c>
      <x:c r="H898" s="5" t="n">
        <x:v>1.2</x:v>
      </x:c>
      <x:c r="I898" s="5" t="n">
        <x:v>145</x:v>
      </x:c>
      <x:c r="J898" s="5" t="n">
        <x:v>580</x:v>
      </x:c>
      <x:c r="K898" s="5" t="n">
        <x:v>3</x:v>
      </x:c>
      <x:c r="L898" s="5" t="inlineStr">
        <x:is>
          <x:t xml:space="preserve">무진화</x:t>
        </x:is>
      </x:c>
      <x:c r="M898" s="5" t="n"/>
      <x:c r="N898" s="5" t="inlineStr">
        <x:is>
          <x:t xml:space="preserve">없음</x:t>
        </x:is>
      </x:c>
      <x:c r="O898" s="5" t="inlineStr">
        <x:is>
          <x:t xml:space="preserve">예</x:t>
        </x:is>
      </x:c>
      <x:c r="P898" s="5" t="inlineStr">
        <x:is>
          <x:t xml:space="preserve">cobbleverse:custom_spawn/split_decision_temple</x:t>
        </x:is>
      </x:c>
      <x:c r="Q898" s="5" t="inlineStr">
        <x:is>
          <x:t xml:space="preserve">ultra-rare</x:t>
        </x:is>
      </x:c>
      <x:c r="R898" s="5" t="inlineStr">
        <x:is>
          <x:t xml:space="preserve"/>
        </x:is>
      </x:c>
      <x:c r="S898" s="5" t="inlineStr">
        <x:is>
          <x:t xml:space="preserve"/>
        </x:is>
      </x:c>
      <x:c r="T898" s="5" t="inlineStr">
        <x:is>
          <x:t xml:space="preserve">비행</x:t>
        </x:is>
      </x:c>
      <x:c r="U898" s="5" t="inlineStr">
        <x:is>
          <x:t xml:space="preserve">특수</x:t>
        </x:is>
      </x:c>
      <x:c r="V898" s="5" t="inlineStr">
        <x:is>
          <x:t xml:space="preserve">온대</x:t>
        </x:is>
      </x:c>
      <x:c r="W898" s="5" t="inlineStr">
        <x:is>
          <x:t xml:space="preserve">보통</x:t>
        </x:is>
      </x:c>
      <x:c r="X898" s="5" t="inlineStr">
        <x:is>
          <x:t xml:space="preserve">무관</x:t>
        </x:is>
      </x:c>
      <x:c r="Y898" s="5" t="inlineStr">
        <x:is>
          <x:t xml:space="preserve">무관</x:t>
        </x:is>
      </x:c>
      <x:c r="Z898" s="5" t="inlineStr">
        <x:is>
          <x:t xml:space="preserve">전설</x:t>
        </x:is>
      </x:c>
      <x:c r="AA898" s="5" t="inlineStr">
        <x:is>
          <x:t xml:space="preserve">전설</x:t>
        </x:is>
      </x:c>
      <x:c r="AB898" s="5" t="inlineStr">
        <x:is>
          <x:t xml:space="preserve">특수</x:t>
        </x:is>
      </x:c>
      <x:c r="AC898" s="5" t="inlineStr">
        <x:is>
          <x:t xml:space="preserve">gen8; legendary</x:t>
        </x:is>
      </x:c>
      <x:c r="AD898" s="5" t="inlineStr">
        <x:is>
          <x:t xml:space="preserve">.tmp/cobblemon-1.7.3-source/common/src/main/resources/data/cobblemon/species/generation8/regieleki.json</x:t>
        </x:is>
      </x:c>
    </x:row>
    <x:row r="899" ht="22" customHeight="1">
      <x:c r="A899" s="5" t="n">
        <x:v>895</x:v>
      </x:c>
      <x:c r="B899" s="5" t="inlineStr">
        <x:is>
          <x:t xml:space="preserve">레지드래고</x:t>
        </x:is>
      </x:c>
      <x:c r="C899" s="5" t="inlineStr">
        <x:is>
          <x:t xml:space="preserve">regidrago</x:t>
        </x:is>
      </x:c>
      <x:c r="D899" s="5" t="inlineStr">
        <x:is>
          <x:t xml:space="preserve">Regidrago</x:t>
        </x:is>
      </x:c>
      <x:c r="E899" s="5" t="n">
        <x:v>8</x:v>
      </x:c>
      <x:c r="F899" s="5" t="inlineStr">
        <x:is>
          <x:t xml:space="preserve">드래곤</x:t>
        </x:is>
      </x:c>
      <x:c r="G899" s="5" t="inlineStr">
        <x:is>
          <x:t xml:space="preserve"/>
        </x:is>
      </x:c>
      <x:c r="H899" s="5" t="n">
        <x:v>2.1</x:v>
      </x:c>
      <x:c r="I899" s="5" t="n">
        <x:v>200</x:v>
      </x:c>
      <x:c r="J899" s="5" t="n">
        <x:v>580</x:v>
      </x:c>
      <x:c r="K899" s="5" t="n">
        <x:v>3</x:v>
      </x:c>
      <x:c r="L899" s="5" t="inlineStr">
        <x:is>
          <x:t xml:space="preserve">무진화</x:t>
        </x:is>
      </x:c>
      <x:c r="M899" s="5" t="n"/>
      <x:c r="N899" s="5" t="inlineStr">
        <x:is>
          <x:t xml:space="preserve">없음</x:t>
        </x:is>
      </x:c>
      <x:c r="O899" s="5" t="inlineStr">
        <x:is>
          <x:t xml:space="preserve">예</x:t>
        </x:is>
      </x:c>
      <x:c r="P899" s="5" t="inlineStr">
        <x:is>
          <x:t xml:space="preserve">cobbleverse:custom_spawn/split_decision_temple</x:t>
        </x:is>
      </x:c>
      <x:c r="Q899" s="5" t="inlineStr">
        <x:is>
          <x:t xml:space="preserve">ultra-rare</x:t>
        </x:is>
      </x:c>
      <x:c r="R899" s="5" t="inlineStr">
        <x:is>
          <x:t xml:space="preserve"/>
        </x:is>
      </x:c>
      <x:c r="S899" s="5" t="inlineStr">
        <x:is>
          <x:t xml:space="preserve"/>
        </x:is>
      </x:c>
      <x:c r="T899" s="5" t="inlineStr">
        <x:is>
          <x:t xml:space="preserve">비행</x:t>
        </x:is>
      </x:c>
      <x:c r="U899" s="5" t="inlineStr">
        <x:is>
          <x:t xml:space="preserve">특수</x:t>
        </x:is>
      </x:c>
      <x:c r="V899" s="5" t="inlineStr">
        <x:is>
          <x:t xml:space="preserve">온대</x:t>
        </x:is>
      </x:c>
      <x:c r="W899" s="5" t="inlineStr">
        <x:is>
          <x:t xml:space="preserve">보통</x:t>
        </x:is>
      </x:c>
      <x:c r="X899" s="5" t="inlineStr">
        <x:is>
          <x:t xml:space="preserve">무관</x:t>
        </x:is>
      </x:c>
      <x:c r="Y899" s="5" t="inlineStr">
        <x:is>
          <x:t xml:space="preserve">무관</x:t>
        </x:is>
      </x:c>
      <x:c r="Z899" s="5" t="inlineStr">
        <x:is>
          <x:t xml:space="preserve">전설</x:t>
        </x:is>
      </x:c>
      <x:c r="AA899" s="5" t="inlineStr">
        <x:is>
          <x:t xml:space="preserve">전설</x:t>
        </x:is>
      </x:c>
      <x:c r="AB899" s="5" t="inlineStr">
        <x:is>
          <x:t xml:space="preserve">특수</x:t>
        </x:is>
      </x:c>
      <x:c r="AC899" s="5" t="inlineStr">
        <x:is>
          <x:t xml:space="preserve">gen8; legendary</x:t>
        </x:is>
      </x:c>
      <x:c r="AD899" s="5" t="inlineStr">
        <x:is>
          <x:t xml:space="preserve">.tmp/cobblemon-1.7.3-source/common/src/main/resources/data/cobblemon/species/generation8/regidrago.json</x:t>
        </x:is>
      </x:c>
    </x:row>
    <x:row r="900" ht="22" customHeight="1">
      <x:c r="A900" s="5" t="n">
        <x:v>896</x:v>
      </x:c>
      <x:c r="B900" s="5" t="inlineStr">
        <x:is>
          <x:t xml:space="preserve">블리자포스</x:t>
        </x:is>
      </x:c>
      <x:c r="C900" s="5" t="inlineStr">
        <x:is>
          <x:t xml:space="preserve">glastrier</x:t>
        </x:is>
      </x:c>
      <x:c r="D900" s="5" t="inlineStr">
        <x:is>
          <x:t xml:space="preserve">Glastrier</x:t>
        </x:is>
      </x:c>
      <x:c r="E900" s="5" t="n">
        <x:v>8</x:v>
      </x:c>
      <x:c r="F900" s="5" t="inlineStr">
        <x:is>
          <x:t xml:space="preserve">얼음</x:t>
        </x:is>
      </x:c>
      <x:c r="G900" s="5" t="inlineStr">
        <x:is>
          <x:t xml:space="preserve"/>
        </x:is>
      </x:c>
      <x:c r="H900" s="5" t="n">
        <x:v>2.2</x:v>
      </x:c>
      <x:c r="I900" s="5" t="n">
        <x:v>800</x:v>
      </x:c>
      <x:c r="J900" s="5" t="n">
        <x:v>580</x:v>
      </x:c>
      <x:c r="K900" s="5" t="n">
        <x:v>3</x:v>
      </x:c>
      <x:c r="L900" s="5" t="inlineStr">
        <x:is>
          <x:t xml:space="preserve">무진화</x:t>
        </x:is>
      </x:c>
      <x:c r="M900" s="5" t="n"/>
      <x:c r="N900" s="5" t="inlineStr">
        <x:is>
          <x:t xml:space="preserve">없음</x:t>
        </x:is>
      </x:c>
      <x:c r="O900" s="5" t="inlineStr">
        <x:is>
          <x:t xml:space="preserve">아니오</x:t>
        </x:is>
      </x:c>
      <x:c r="P900" s="5" t="inlineStr">
        <x:is>
          <x:t xml:space="preserve">cobbleverse:custom_spawn/crown_spire</x:t>
        </x:is>
      </x:c>
      <x:c r="Q900" s="5" t="inlineStr">
        <x:is>
          <x:t xml:space="preserve">ultra-rare</x:t>
        </x:is>
      </x:c>
      <x:c r="R900" s="5" t="inlineStr">
        <x:is>
          <x:t xml:space="preserve"/>
        </x:is>
      </x:c>
      <x:c r="S900" s="5" t="inlineStr">
        <x:is>
          <x:t xml:space="preserve"/>
        </x:is>
      </x:c>
      <x:c r="T900" s="5" t="inlineStr">
        <x:is>
          <x:t xml:space="preserve">육상</x:t>
        </x:is>
      </x:c>
      <x:c r="U900" s="5" t="inlineStr">
        <x:is>
          <x:t xml:space="preserve">설원</x:t>
        </x:is>
      </x:c>
      <x:c r="V900" s="5" t="inlineStr">
        <x:is>
          <x:t xml:space="preserve">한랭</x:t>
        </x:is>
      </x:c>
      <x:c r="W900" s="5" t="inlineStr">
        <x:is>
          <x:t xml:space="preserve">보통</x:t>
        </x:is>
      </x:c>
      <x:c r="X900" s="5" t="inlineStr">
        <x:is>
          <x:t xml:space="preserve">무관</x:t>
        </x:is>
      </x:c>
      <x:c r="Y900" s="5" t="inlineStr">
        <x:is>
          <x:t xml:space="preserve">무관</x:t>
        </x:is>
      </x:c>
      <x:c r="Z900" s="5" t="inlineStr">
        <x:is>
          <x:t xml:space="preserve">전설</x:t>
        </x:is>
      </x:c>
      <x:c r="AA900" s="5" t="inlineStr">
        <x:is>
          <x:t xml:space="preserve">전설</x:t>
        </x:is>
      </x:c>
      <x:c r="AB900" s="5" t="inlineStr">
        <x:is>
          <x:t xml:space="preserve"/>
        </x:is>
      </x:c>
      <x:c r="AC900" s="5" t="inlineStr">
        <x:is>
          <x:t xml:space="preserve">gen8; legendary</x:t>
        </x:is>
      </x:c>
      <x:c r="AD900" s="5" t="inlineStr">
        <x:is>
          <x:t xml:space="preserve">.tmp/cobblemon-1.7.3-source/common/src/main/resources/data/cobblemon/species/generation8/glastrier.json</x:t>
        </x:is>
      </x:c>
    </x:row>
    <x:row r="901" ht="22" customHeight="1">
      <x:c r="A901" s="5" t="n">
        <x:v>897</x:v>
      </x:c>
      <x:c r="B901" s="5" t="inlineStr">
        <x:is>
          <x:t xml:space="preserve">레이스포스</x:t>
        </x:is>
      </x:c>
      <x:c r="C901" s="5" t="inlineStr">
        <x:is>
          <x:t xml:space="preserve">spectrier</x:t>
        </x:is>
      </x:c>
      <x:c r="D901" s="5" t="inlineStr">
        <x:is>
          <x:t xml:space="preserve">Spectrier</x:t>
        </x:is>
      </x:c>
      <x:c r="E901" s="5" t="n">
        <x:v>8</x:v>
      </x:c>
      <x:c r="F901" s="5" t="inlineStr">
        <x:is>
          <x:t xml:space="preserve">고스트</x:t>
        </x:is>
      </x:c>
      <x:c r="G901" s="5" t="inlineStr">
        <x:is>
          <x:t xml:space="preserve"/>
        </x:is>
      </x:c>
      <x:c r="H901" s="5" t="n">
        <x:v>2</x:v>
      </x:c>
      <x:c r="I901" s="5" t="n">
        <x:v>44.5</x:v>
      </x:c>
      <x:c r="J901" s="5" t="n">
        <x:v>580</x:v>
      </x:c>
      <x:c r="K901" s="5" t="n">
        <x:v>3</x:v>
      </x:c>
      <x:c r="L901" s="5" t="inlineStr">
        <x:is>
          <x:t xml:space="preserve">무진화</x:t>
        </x:is>
      </x:c>
      <x:c r="M901" s="5" t="n"/>
      <x:c r="N901" s="5" t="inlineStr">
        <x:is>
          <x:t xml:space="preserve">없음</x:t>
        </x:is>
      </x:c>
      <x:c r="O901" s="5" t="inlineStr">
        <x:is>
          <x:t xml:space="preserve">아니오</x:t>
        </x:is>
      </x:c>
      <x:c r="P901" s="5" t="inlineStr">
        <x:is>
          <x:t xml:space="preserve">cobbleverse:custom_spawn/crown_cemetery</x:t>
        </x:is>
      </x:c>
      <x:c r="Q901" s="5" t="inlineStr">
        <x:is>
          <x:t xml:space="preserve">ultra-rare</x:t>
        </x:is>
      </x:c>
      <x:c r="R901" s="5" t="inlineStr">
        <x:is>
          <x:t xml:space="preserve"/>
        </x:is>
      </x:c>
      <x:c r="S901" s="5" t="inlineStr">
        <x:is>
          <x:t xml:space="preserve"/>
        </x:is>
      </x:c>
      <x:c r="T901" s="5" t="inlineStr">
        <x:is>
          <x:t xml:space="preserve">영체</x:t>
        </x:is>
      </x:c>
      <x:c r="U901" s="5" t="inlineStr">
        <x:is>
          <x:t xml:space="preserve">특수</x:t>
        </x:is>
      </x:c>
      <x:c r="V901" s="5" t="inlineStr">
        <x:is>
          <x:t xml:space="preserve">온대</x:t>
        </x:is>
      </x:c>
      <x:c r="W901" s="5" t="inlineStr">
        <x:is>
          <x:t xml:space="preserve">보통</x:t>
        </x:is>
      </x:c>
      <x:c r="X901" s="5" t="inlineStr">
        <x:is>
          <x:t xml:space="preserve">안개</x:t>
        </x:is>
      </x:c>
      <x:c r="Y901" s="5" t="inlineStr">
        <x:is>
          <x:t xml:space="preserve">밤</x:t>
        </x:is>
      </x:c>
      <x:c r="Z901" s="5" t="inlineStr">
        <x:is>
          <x:t xml:space="preserve">전설</x:t>
        </x:is>
      </x:c>
      <x:c r="AA901" s="5" t="inlineStr">
        <x:is>
          <x:t xml:space="preserve">전설</x:t>
        </x:is>
      </x:c>
      <x:c r="AB901" s="5" t="inlineStr">
        <x:is>
          <x:t xml:space="preserve"/>
        </x:is>
      </x:c>
      <x:c r="AC901" s="5" t="inlineStr">
        <x:is>
          <x:t xml:space="preserve">gen8; legendary</x:t>
        </x:is>
      </x:c>
      <x:c r="AD901" s="5" t="inlineStr">
        <x:is>
          <x:t xml:space="preserve">.tmp/cobblemon-1.7.3-source/common/src/main/resources/data/cobblemon/species/generation8/spectrier.json</x:t>
        </x:is>
      </x:c>
    </x:row>
    <x:row r="902" ht="22" customHeight="1">
      <x:c r="A902" s="5" t="n">
        <x:v>898</x:v>
      </x:c>
      <x:c r="B902" s="5" t="inlineStr">
        <x:is>
          <x:t xml:space="preserve">버드렉스</x:t>
        </x:is>
      </x:c>
      <x:c r="C902" s="5" t="inlineStr">
        <x:is>
          <x:t xml:space="preserve">calyrex</x:t>
        </x:is>
      </x:c>
      <x:c r="D902" s="5" t="inlineStr">
        <x:is>
          <x:t xml:space="preserve">Calyrex</x:t>
        </x:is>
      </x:c>
      <x:c r="E902" s="5" t="n">
        <x:v>8</x:v>
      </x:c>
      <x:c r="F902" s="5" t="inlineStr">
        <x:is>
          <x:t xml:space="preserve">에스퍼</x:t>
        </x:is>
      </x:c>
      <x:c r="G902" s="5" t="inlineStr">
        <x:is>
          <x:t xml:space="preserve">풀</x:t>
        </x:is>
      </x:c>
      <x:c r="H902" s="5" t="n">
        <x:v>1.1</x:v>
      </x:c>
      <x:c r="I902" s="5" t="n">
        <x:v>7.7</x:v>
      </x:c>
      <x:c r="J902" s="5" t="n">
        <x:v>500</x:v>
      </x:c>
      <x:c r="K902" s="5" t="n">
        <x:v>3</x:v>
      </x:c>
      <x:c r="L902" s="5" t="inlineStr">
        <x:is>
          <x:t xml:space="preserve">무진화</x:t>
        </x:is>
      </x:c>
      <x:c r="M902" s="5" t="n"/>
      <x:c r="N902" s="5" t="inlineStr">
        <x:is>
          <x:t xml:space="preserve">없음</x:t>
        </x:is>
      </x:c>
      <x:c r="O902" s="5" t="inlineStr">
        <x:is>
          <x:t xml:space="preserve">아니오</x:t>
        </x:is>
      </x:c>
      <x:c r="P902" s="5" t="inlineStr">
        <x:is>
          <x:t xml:space="preserve">cobbleverse:custom_spawn</x:t>
        </x:is>
      </x:c>
      <x:c r="Q902" s="5" t="inlineStr">
        <x:is>
          <x:t xml:space="preserve">ultra-rare</x:t>
        </x:is>
      </x:c>
      <x:c r="R902" s="5" t="inlineStr">
        <x:is>
          <x:t xml:space="preserve"/>
        </x:is>
      </x:c>
      <x:c r="S902" s="5" t="inlineStr">
        <x:is>
          <x:t xml:space="preserve"/>
        </x:is>
      </x:c>
      <x:c r="T902" s="5" t="inlineStr">
        <x:is>
          <x:t xml:space="preserve">육상</x:t>
        </x:is>
      </x:c>
      <x:c r="U902" s="5" t="inlineStr">
        <x:is>
          <x:t xml:space="preserve">수목</x:t>
        </x:is>
      </x:c>
      <x:c r="V902" s="5" t="inlineStr">
        <x:is>
          <x:t xml:space="preserve">온대</x:t>
        </x:is>
      </x:c>
      <x:c r="W902" s="5" t="inlineStr">
        <x:is>
          <x:t xml:space="preserve">보통</x:t>
        </x:is>
      </x:c>
      <x:c r="X902" s="5" t="inlineStr">
        <x:is>
          <x:t xml:space="preserve">무관</x:t>
        </x:is>
      </x:c>
      <x:c r="Y902" s="5" t="inlineStr">
        <x:is>
          <x:t xml:space="preserve">무관</x:t>
        </x:is>
      </x:c>
      <x:c r="Z902" s="5" t="inlineStr">
        <x:is>
          <x:t xml:space="preserve">전설</x:t>
        </x:is>
      </x:c>
      <x:c r="AA902" s="5" t="inlineStr">
        <x:is>
          <x:t xml:space="preserve">전설</x:t>
        </x:is>
      </x:c>
      <x:c r="AB902" s="5" t="inlineStr">
        <x:is>
          <x:t xml:space="preserve"/>
        </x:is>
      </x:c>
      <x:c r="AC902" s="5" t="inlineStr">
        <x:is>
          <x:t xml:space="preserve">gen8; legendary; restricted</x:t>
        </x:is>
      </x:c>
      <x:c r="AD902" s="5" t="inlineStr">
        <x:is>
          <x:t xml:space="preserve">.tmp/cobblemon-1.7.3-source/common/src/main/resources/data/cobblemon/species/generation8/calyrex.json</x:t>
        </x:is>
      </x:c>
    </x:row>
    <x:row r="903" ht="22" customHeight="1">
      <x:c r="A903" s="5" t="n">
        <x:v>899</x:v>
      </x:c>
      <x:c r="B903" s="5" t="inlineStr">
        <x:is>
          <x:t xml:space="preserve">신비록</x:t>
        </x:is>
      </x:c>
      <x:c r="C903" s="5" t="inlineStr">
        <x:is>
          <x:t xml:space="preserve">wyrdeer</x:t>
        </x:is>
      </x:c>
      <x:c r="D903" s="5" t="inlineStr">
        <x:is>
          <x:t xml:space="preserve">Wyrdeer</x:t>
        </x:is>
      </x:c>
      <x:c r="E903" s="5" t="n">
        <x:v>8</x:v>
      </x:c>
      <x:c r="F903" s="5" t="inlineStr">
        <x:is>
          <x:t xml:space="preserve">노말</x:t>
        </x:is>
      </x:c>
      <x:c r="G903" s="5" t="inlineStr">
        <x:is>
          <x:t xml:space="preserve">에스퍼</x:t>
        </x:is>
      </x:c>
      <x:c r="H903" s="5" t="n">
        <x:v>1.8</x:v>
      </x:c>
      <x:c r="I903" s="5" t="n">
        <x:v>95.09999999999999</x:v>
      </x:c>
      <x:c r="J903" s="5" t="n">
        <x:v>525</x:v>
      </x:c>
      <x:c r="K903" s="5" t="n">
        <x:v>45</x:v>
      </x:c>
      <x:c r="L903" s="5" t="inlineStr">
        <x:is>
          <x:t xml:space="preserve">최종</x:t>
        </x:is>
      </x:c>
      <x:c r="M903" s="5" t="n"/>
      <x:c r="N903" s="5" t="inlineStr">
        <x:is>
          <x:t xml:space="preserve">특수</x:t>
        </x:is>
      </x:c>
      <x:c r="O903" s="5" t="inlineStr">
        <x:is>
          <x:t xml:space="preserve">예</x:t>
        </x:is>
      </x:c>
      <x:c r="P903" s="5" t="inlineStr">
        <x:is>
          <x:t xml:space="preserve">#cobblemon:is_snowy_forest; #cobblemon:is_snowy_taiga; #cobblemon:is_tundra</x:t>
        </x:is>
      </x:c>
      <x:c r="Q903" s="5" t="inlineStr">
        <x:is>
          <x:t xml:space="preserve">common</x:t>
        </x:is>
      </x:c>
      <x:c r="R903" s="5" t="inlineStr">
        <x:is>
          <x:t xml:space="preserve"/>
        </x:is>
      </x:c>
      <x:c r="S903" s="5" t="inlineStr">
        <x:is>
          <x:t xml:space="preserve"/>
        </x:is>
      </x:c>
      <x:c r="T903" s="5" t="inlineStr">
        <x:is>
          <x:t xml:space="preserve">육상</x:t>
        </x:is>
      </x:c>
      <x:c r="U903" s="5" t="inlineStr">
        <x:is>
          <x:t xml:space="preserve">설원</x:t>
        </x:is>
      </x:c>
      <x:c r="V903" s="5" t="inlineStr">
        <x:is>
          <x:t xml:space="preserve">한랭</x:t>
        </x:is>
      </x:c>
      <x:c r="W903" s="5" t="inlineStr">
        <x:is>
          <x:t xml:space="preserve">보통</x:t>
        </x:is>
      </x:c>
      <x:c r="X903" s="5" t="inlineStr">
        <x:is>
          <x:t xml:space="preserve">눈</x:t>
        </x:is>
      </x:c>
      <x:c r="Y903" s="5" t="inlineStr">
        <x:is>
          <x:t xml:space="preserve">무관</x:t>
        </x:is>
      </x:c>
      <x:c r="Z903" s="5" t="inlineStr">
        <x:is>
          <x:t xml:space="preserve">흔함</x:t>
        </x:is>
      </x:c>
      <x:c r="AA903" s="5" t="inlineStr">
        <x:is>
          <x:t xml:space="preserve">없음</x:t>
        </x:is>
      </x:c>
      <x:c r="AB903" s="5" t="inlineStr">
        <x:is>
          <x:t xml:space="preserve">설원</x:t>
        </x:is>
      </x:c>
      <x:c r="AC903" s="5" t="inlineStr">
        <x:is>
          <x:t xml:space="preserve">gen8a</x:t>
        </x:is>
      </x:c>
      <x:c r="AD903" s="5" t="inlineStr">
        <x:is>
          <x:t xml:space="preserve">.tmp/cobblemon-1.7.3-source/common/src/main/resources/data/cobblemon/species/generation8a/wyrdeer.json</x:t>
        </x:is>
      </x:c>
    </x:row>
    <x:row r="904" ht="22" customHeight="1">
      <x:c r="A904" s="5" t="n">
        <x:v>900</x:v>
      </x:c>
      <x:c r="B904" s="5" t="inlineStr">
        <x:is>
          <x:t xml:space="preserve">사마자르</x:t>
        </x:is>
      </x:c>
      <x:c r="C904" s="5" t="inlineStr">
        <x:is>
          <x:t xml:space="preserve">kleavor</x:t>
        </x:is>
      </x:c>
      <x:c r="D904" s="5" t="inlineStr">
        <x:is>
          <x:t xml:space="preserve">Kleavor</x:t>
        </x:is>
      </x:c>
      <x:c r="E904" s="5" t="n">
        <x:v>8</x:v>
      </x:c>
      <x:c r="F904" s="5" t="inlineStr">
        <x:is>
          <x:t xml:space="preserve">벌레</x:t>
        </x:is>
      </x:c>
      <x:c r="G904" s="5" t="inlineStr">
        <x:is>
          <x:t xml:space="preserve">바위</x:t>
        </x:is>
      </x:c>
      <x:c r="H904" s="5" t="n">
        <x:v>1.8</x:v>
      </x:c>
      <x:c r="I904" s="5" t="n">
        <x:v>89</x:v>
      </x:c>
      <x:c r="J904" s="5" t="n">
        <x:v>500</x:v>
      </x:c>
      <x:c r="K904" s="5" t="n">
        <x:v>15</x:v>
      </x:c>
      <x:c r="L904" s="5" t="inlineStr">
        <x:is>
          <x:t xml:space="preserve">최종</x:t>
        </x:is>
      </x:c>
      <x:c r="M904" s="5" t="n"/>
      <x:c r="N904" s="5" t="inlineStr">
        <x:is>
          <x:t xml:space="preserve">특수</x:t>
        </x:is>
      </x:c>
      <x:c r="O904" s="5" t="inlineStr">
        <x:is>
          <x:t xml:space="preserve">예</x:t>
        </x:is>
      </x:c>
      <x:c r="P904" s="5" t="inlineStr">
        <x:is>
          <x:t xml:space="preserve">#cobblemon:is_forest; #cobblemon:is_hills; aether:skyroot_forest; aether:skyroot_woodland</x:t>
        </x:is>
      </x:c>
      <x:c r="Q904" s="5" t="inlineStr">
        <x:is>
          <x:t xml:space="preserve">rare</x:t>
        </x:is>
      </x:c>
      <x:c r="R904" s="5" t="inlineStr">
        <x:is>
          <x:t xml:space="preserve">day</x:t>
        </x:is>
      </x:c>
      <x:c r="S904" s="5" t="inlineStr">
        <x:is>
          <x:t xml:space="preserve"/>
        </x:is>
      </x:c>
      <x:c r="T904" s="5" t="inlineStr">
        <x:is>
          <x:t xml:space="preserve">육상</x:t>
        </x:is>
      </x:c>
      <x:c r="U904" s="5" t="inlineStr">
        <x:is>
          <x:t xml:space="preserve">수목</x:t>
        </x:is>
      </x:c>
      <x:c r="V904" s="5" t="inlineStr">
        <x:is>
          <x:t xml:space="preserve">온대</x:t>
        </x:is>
      </x:c>
      <x:c r="W904" s="5" t="inlineStr">
        <x:is>
          <x:t xml:space="preserve">보통</x:t>
        </x:is>
      </x:c>
      <x:c r="X904" s="5" t="inlineStr">
        <x:is>
          <x:t xml:space="preserve">무관</x:t>
        </x:is>
      </x:c>
      <x:c r="Y904" s="5" t="inlineStr">
        <x:is>
          <x:t xml:space="preserve">낮</x:t>
        </x:is>
      </x:c>
      <x:c r="Z904" s="5" t="inlineStr">
        <x:is>
          <x:t xml:space="preserve">드묾</x:t>
        </x:is>
      </x:c>
      <x:c r="AA904" s="5" t="inlineStr">
        <x:is>
          <x:t xml:space="preserve">없음</x:t>
        </x:is>
      </x:c>
      <x:c r="AB904" s="5" t="inlineStr">
        <x:is>
          <x:t xml:space="preserve">숲</x:t>
        </x:is>
      </x:c>
      <x:c r="AC904" s="5" t="inlineStr">
        <x:is>
          <x:t xml:space="preserve">gen8a</x:t>
        </x:is>
      </x:c>
      <x:c r="AD904" s="5" t="inlineStr">
        <x:is>
          <x:t xml:space="preserve">.tmp/cobblemon-1.7.3-source/common/src/main/resources/data/cobblemon/species/generation8a/kleavor.json</x:t>
        </x:is>
      </x:c>
    </x:row>
    <x:row r="905" ht="22" customHeight="1">
      <x:c r="A905" s="5" t="n">
        <x:v>901</x:v>
      </x:c>
      <x:c r="B905" s="5" t="inlineStr">
        <x:is>
          <x:t xml:space="preserve">다투곰</x:t>
        </x:is>
      </x:c>
      <x:c r="C905" s="5" t="inlineStr">
        <x:is>
          <x:t xml:space="preserve">ursaluna</x:t>
        </x:is>
      </x:c>
      <x:c r="D905" s="5" t="inlineStr">
        <x:is>
          <x:t xml:space="preserve">Ursaluna</x:t>
        </x:is>
      </x:c>
      <x:c r="E905" s="5" t="n">
        <x:v>8</x:v>
      </x:c>
      <x:c r="F905" s="5" t="inlineStr">
        <x:is>
          <x:t xml:space="preserve">땅</x:t>
        </x:is>
      </x:c>
      <x:c r="G905" s="5" t="inlineStr">
        <x:is>
          <x:t xml:space="preserve">노말</x:t>
        </x:is>
      </x:c>
      <x:c r="H905" s="5" t="n">
        <x:v>2.4</x:v>
      </x:c>
      <x:c r="I905" s="5" t="n">
        <x:v>290</x:v>
      </x:c>
      <x:c r="J905" s="5" t="n">
        <x:v>550</x:v>
      </x:c>
      <x:c r="K905" s="5" t="n">
        <x:v>20</x:v>
      </x:c>
      <x:c r="L905" s="5" t="inlineStr">
        <x:is>
          <x:t xml:space="preserve">최종</x:t>
        </x:is>
      </x:c>
      <x:c r="M905" s="5" t="n">
        <x:v>30</x:v>
      </x:c>
      <x:c r="N905" s="5" t="inlineStr">
        <x:is>
          <x:t xml:space="preserve">레벨·특수</x:t>
        </x:is>
      </x:c>
      <x:c r="O905" s="5" t="inlineStr">
        <x:is>
          <x:t xml:space="preserve">예</x:t>
        </x:is>
      </x:c>
      <x:c r="P905" s="5" t="inlineStr">
        <x:is>
          <x:t xml:space="preserve">#aether:is_aether; #cobblemon:is_forest; #cobblemon:is_mountain; #cobblemon:is_overworld; #cobblemon:is_taiga; aether:skyroot_forest; aether:skyroot_woodland; the_bumblezone:crystal_canyon; the_bumblezone:floral_meadow</x:t>
        </x:is>
      </x:c>
      <x:c r="Q905" s="5" t="inlineStr">
        <x:is>
          <x:t xml:space="preserve">common; rare</x:t>
        </x:is>
      </x:c>
      <x:c r="R905" s="5" t="inlineStr">
        <x:is>
          <x:t xml:space="preserve">night</x:t>
        </x:is>
      </x:c>
      <x:c r="S905" s="5" t="inlineStr">
        <x:is>
          <x:t xml:space="preserve"/>
        </x:is>
      </x:c>
      <x:c r="T905" s="5" t="inlineStr">
        <x:is>
          <x:t xml:space="preserve">육상</x:t>
        </x:is>
      </x:c>
      <x:c r="U905" s="5" t="inlineStr">
        <x:is>
          <x:t xml:space="preserve">수목</x:t>
        </x:is>
      </x:c>
      <x:c r="V905" s="5" t="inlineStr">
        <x:is>
          <x:t xml:space="preserve">서늘</x:t>
        </x:is>
      </x:c>
      <x:c r="W905" s="5" t="inlineStr">
        <x:is>
          <x:t xml:space="preserve">보통</x:t>
        </x:is>
      </x:c>
      <x:c r="X905" s="5" t="inlineStr">
        <x:is>
          <x:t xml:space="preserve">무관</x:t>
        </x:is>
      </x:c>
      <x:c r="Y905" s="5" t="inlineStr">
        <x:is>
          <x:t xml:space="preserve">밤</x:t>
        </x:is>
      </x:c>
      <x:c r="Z905" s="5" t="inlineStr">
        <x:is>
          <x:t xml:space="preserve">흔함</x:t>
        </x:is>
      </x:c>
      <x:c r="AA905" s="5" t="inlineStr">
        <x:is>
          <x:t xml:space="preserve">없음</x:t>
        </x:is>
      </x:c>
      <x:c r="AB905" s="5" t="inlineStr">
        <x:is>
          <x:t xml:space="preserve">숲</x:t>
        </x:is>
      </x:c>
      <x:c r="AC905" s="5" t="inlineStr">
        <x:is>
          <x:t xml:space="preserve">gen8a</x:t>
        </x:is>
      </x:c>
      <x:c r="AD905" s="5" t="inlineStr">
        <x:is>
          <x:t xml:space="preserve">.tmp/cobblemon-1.7.3-source/common/src/main/resources/data/cobblemon/species/generation8a/ursaluna.json</x:t>
        </x:is>
      </x:c>
    </x:row>
    <x:row r="906" ht="22" customHeight="1">
      <x:c r="A906" s="5" t="n">
        <x:v>902</x:v>
      </x:c>
      <x:c r="B906" s="5" t="inlineStr">
        <x:is>
          <x:t xml:space="preserve">대쓰여너</x:t>
        </x:is>
      </x:c>
      <x:c r="C906" s="5" t="inlineStr">
        <x:is>
          <x:t xml:space="preserve">basculegion</x:t>
        </x:is>
      </x:c>
      <x:c r="D906" s="5" t="inlineStr">
        <x:is>
          <x:t xml:space="preserve">Basculegion</x:t>
        </x:is>
      </x:c>
      <x:c r="E906" s="5" t="n">
        <x:v>8</x:v>
      </x:c>
      <x:c r="F906" s="5" t="inlineStr">
        <x:is>
          <x:t xml:space="preserve">물</x:t>
        </x:is>
      </x:c>
      <x:c r="G906" s="5" t="inlineStr">
        <x:is>
          <x:t xml:space="preserve">고스트</x:t>
        </x:is>
      </x:c>
      <x:c r="H906" s="5" t="n">
        <x:v>3</x:v>
      </x:c>
      <x:c r="I906" s="5" t="n">
        <x:v>110</x:v>
      </x:c>
      <x:c r="J906" s="5" t="n">
        <x:v>530</x:v>
      </x:c>
      <x:c r="K906" s="5" t="n">
        <x:v>45</x:v>
      </x:c>
      <x:c r="L906" s="5" t="inlineStr">
        <x:is>
          <x:t xml:space="preserve">최종</x:t>
        </x:is>
      </x:c>
      <x:c r="M906" s="5" t="n"/>
      <x:c r="N906" s="5" t="inlineStr">
        <x:is>
          <x:t xml:space="preserve">없음</x:t>
        </x:is>
      </x:c>
      <x:c r="O906" s="5" t="inlineStr">
        <x:is>
          <x:t xml:space="preserve">예</x:t>
        </x:is>
      </x:c>
      <x:c r="P906" s="5" t="inlineStr">
        <x:is>
          <x:t xml:space="preserve">#cobblemon:is_arid; #cobblemon:is_forest; #cobblemon:is_freshwater; #cobblemon:is_grassland; #cobblemon:is_jungle; #cobblemon:is_mountain; #cobblemon:is_snowy_forest; #cobblemon:is_taiga; #cobblemon:is_tundra</x:t>
        </x:is>
      </x:c>
      <x:c r="Q906" s="5" t="inlineStr">
        <x:is>
          <x:t xml:space="preserve">common</x:t>
        </x:is>
      </x:c>
      <x:c r="R906" s="5" t="inlineStr">
        <x:is>
          <x:t xml:space="preserve"/>
        </x:is>
      </x:c>
      <x:c r="S906" s="5" t="inlineStr">
        <x:is>
          <x:t xml:space="preserve"/>
        </x:is>
      </x:c>
      <x:c r="T906" s="5" t="inlineStr">
        <x:is>
          <x:t xml:space="preserve">담수</x:t>
        </x:is>
      </x:c>
      <x:c r="U906" s="5" t="inlineStr">
        <x:is>
          <x:t xml:space="preserve">담수</x:t>
        </x:is>
      </x:c>
      <x:c r="V906" s="5" t="inlineStr">
        <x:is>
          <x:t xml:space="preserve">서늘</x:t>
        </x:is>
      </x:c>
      <x:c r="W906" s="5" t="inlineStr">
        <x:is>
          <x:t xml:space="preserve">수중</x:t>
        </x:is>
      </x:c>
      <x:c r="X906" s="5" t="inlineStr">
        <x:is>
          <x:t xml:space="preserve">비</x:t>
        </x:is>
      </x:c>
      <x:c r="Y906" s="5" t="inlineStr">
        <x:is>
          <x:t xml:space="preserve">밤</x:t>
        </x:is>
      </x:c>
      <x:c r="Z906" s="5" t="inlineStr">
        <x:is>
          <x:t xml:space="preserve">흔함</x:t>
        </x:is>
      </x:c>
      <x:c r="AA906" s="5" t="inlineStr">
        <x:is>
          <x:t xml:space="preserve">영체</x:t>
        </x:is>
      </x:c>
      <x:c r="AB906" s="5" t="inlineStr">
        <x:is>
          <x:t xml:space="preserve">담수</x:t>
        </x:is>
      </x:c>
      <x:c r="AC906" s="5" t="inlineStr">
        <x:is>
          <x:t xml:space="preserve">gen8a</x:t>
        </x:is>
      </x:c>
      <x:c r="AD906" s="5" t="inlineStr">
        <x:is>
          <x:t xml:space="preserve">.tmp/cobblemon-1.7.3-source/common/src/main/resources/data/cobblemon/species/generation8a/basculegion.json</x:t>
        </x:is>
      </x:c>
    </x:row>
    <x:row r="907" ht="22" customHeight="1">
      <x:c r="A907" s="5" t="n">
        <x:v>903</x:v>
      </x:c>
      <x:c r="B907" s="5" t="inlineStr">
        <x:is>
          <x:t xml:space="preserve">포푸니크</x:t>
        </x:is>
      </x:c>
      <x:c r="C907" s="5" t="inlineStr">
        <x:is>
          <x:t xml:space="preserve">sneasler</x:t>
        </x:is>
      </x:c>
      <x:c r="D907" s="5" t="inlineStr">
        <x:is>
          <x:t xml:space="preserve">Sneasler</x:t>
        </x:is>
      </x:c>
      <x:c r="E907" s="5" t="n">
        <x:v>8</x:v>
      </x:c>
      <x:c r="F907" s="5" t="inlineStr">
        <x:is>
          <x:t xml:space="preserve">격투</x:t>
        </x:is>
      </x:c>
      <x:c r="G907" s="5" t="inlineStr">
        <x:is>
          <x:t xml:space="preserve">독</x:t>
        </x:is>
      </x:c>
      <x:c r="H907" s="5" t="n">
        <x:v>1.3</x:v>
      </x:c>
      <x:c r="I907" s="5" t="n">
        <x:v>43</x:v>
      </x:c>
      <x:c r="J907" s="5" t="n">
        <x:v>510</x:v>
      </x:c>
      <x:c r="K907" s="5" t="n">
        <x:v>20</x:v>
      </x:c>
      <x:c r="L907" s="5" t="inlineStr">
        <x:is>
          <x:t xml:space="preserve">최종</x:t>
        </x:is>
      </x:c>
      <x:c r="M907" s="5" t="n"/>
      <x:c r="N907" s="5" t="inlineStr">
        <x:is>
          <x:t xml:space="preserve">특수</x:t>
        </x:is>
      </x:c>
      <x:c r="O907" s="5" t="inlineStr">
        <x:is>
          <x:t xml:space="preserve">예</x:t>
        </x:is>
      </x:c>
      <x:c r="P907" s="5" t="inlineStr">
        <x:is>
          <x:t xml:space="preserve">#cobblemon:is_mountain</x:t>
        </x:is>
      </x:c>
      <x:c r="Q907" s="5" t="inlineStr">
        <x:is>
          <x:t xml:space="preserve">uncommon</x:t>
        </x:is>
      </x:c>
      <x:c r="R907" s="5" t="inlineStr">
        <x:is>
          <x:t xml:space="preserve"/>
        </x:is>
      </x:c>
      <x:c r="S907" s="5" t="inlineStr">
        <x:is>
          <x:t xml:space="preserve"/>
        </x:is>
      </x:c>
      <x:c r="T907" s="5" t="inlineStr">
        <x:is>
          <x:t xml:space="preserve">육상</x:t>
        </x:is>
      </x:c>
      <x:c r="U907" s="5" t="inlineStr">
        <x:is>
          <x:t xml:space="preserve">암석</x:t>
        </x:is>
      </x:c>
      <x:c r="V907" s="5" t="inlineStr">
        <x:is>
          <x:t xml:space="preserve">온대</x:t>
        </x:is>
      </x:c>
      <x:c r="W907" s="5" t="inlineStr">
        <x:is>
          <x:t xml:space="preserve">보통</x:t>
        </x:is>
      </x:c>
      <x:c r="X907" s="5" t="inlineStr">
        <x:is>
          <x:t xml:space="preserve">무관</x:t>
        </x:is>
      </x:c>
      <x:c r="Y907" s="5" t="inlineStr">
        <x:is>
          <x:t xml:space="preserve">무관</x:t>
        </x:is>
      </x:c>
      <x:c r="Z907" s="5" t="inlineStr">
        <x:is>
          <x:t xml:space="preserve">보통</x:t>
        </x:is>
      </x:c>
      <x:c r="AA907" s="5" t="inlineStr">
        <x:is>
          <x:t xml:space="preserve">없음</x:t>
        </x:is>
      </x:c>
      <x:c r="AB907" s="5" t="inlineStr">
        <x:is>
          <x:t xml:space="preserve">산악</x:t>
        </x:is>
      </x:c>
      <x:c r="AC907" s="5" t="inlineStr">
        <x:is>
          <x:t xml:space="preserve">gen8a</x:t>
        </x:is>
      </x:c>
      <x:c r="AD907" s="5" t="inlineStr">
        <x:is>
          <x:t xml:space="preserve">.tmp/cobblemon-1.7.3-source/common/src/main/resources/data/cobblemon/species/generation8a/sneasler.json</x:t>
        </x:is>
      </x:c>
    </x:row>
    <x:row r="908" ht="22" customHeight="1">
      <x:c r="A908" s="5" t="n">
        <x:v>904</x:v>
      </x:c>
      <x:c r="B908" s="5" t="inlineStr">
        <x:is>
          <x:t xml:space="preserve">장침바루</x:t>
        </x:is>
      </x:c>
      <x:c r="C908" s="5" t="inlineStr">
        <x:is>
          <x:t xml:space="preserve">overqwil</x:t>
        </x:is>
      </x:c>
      <x:c r="D908" s="5" t="inlineStr">
        <x:is>
          <x:t xml:space="preserve">Overqwil</x:t>
        </x:is>
      </x:c>
      <x:c r="E908" s="5" t="n">
        <x:v>8</x:v>
      </x:c>
      <x:c r="F908" s="5" t="inlineStr">
        <x:is>
          <x:t xml:space="preserve">악</x:t>
        </x:is>
      </x:c>
      <x:c r="G908" s="5" t="inlineStr">
        <x:is>
          <x:t xml:space="preserve">독</x:t>
        </x:is>
      </x:c>
      <x:c r="H908" s="5" t="n">
        <x:v>2.5</x:v>
      </x:c>
      <x:c r="I908" s="5" t="n">
        <x:v>60.5</x:v>
      </x:c>
      <x:c r="J908" s="5" t="n">
        <x:v>510</x:v>
      </x:c>
      <x:c r="K908" s="5" t="n">
        <x:v>45</x:v>
      </x:c>
      <x:c r="L908" s="5" t="inlineStr">
        <x:is>
          <x:t xml:space="preserve">최종</x:t>
        </x:is>
      </x:c>
      <x:c r="M908" s="5" t="n"/>
      <x:c r="N908" s="5" t="inlineStr">
        <x:is>
          <x:t xml:space="preserve">없음</x:t>
        </x:is>
      </x:c>
      <x:c r="O908" s="5" t="inlineStr">
        <x:is>
          <x:t xml:space="preserve">예</x:t>
        </x:is>
      </x:c>
      <x:c r="P908" s="5" t="inlineStr">
        <x:is>
          <x:t xml:space="preserve">#cobblemon:is_cold; #cobblemon:is_cold_ocean; #cobblemon:is_frozen_ocean</x:t>
        </x:is>
      </x:c>
      <x:c r="Q908" s="5" t="inlineStr">
        <x:is>
          <x:t xml:space="preserve">common; uncommon</x:t>
        </x:is>
      </x:c>
      <x:c r="R908" s="5" t="inlineStr">
        <x:is>
          <x:t xml:space="preserve"/>
        </x:is>
      </x:c>
      <x:c r="S908" s="5" t="inlineStr">
        <x:is>
          <x:t xml:space="preserve"/>
        </x:is>
      </x:c>
      <x:c r="T908" s="5" t="inlineStr">
        <x:is>
          <x:t xml:space="preserve">육상</x:t>
        </x:is>
      </x:c>
      <x:c r="U908" s="5" t="inlineStr">
        <x:is>
          <x:t xml:space="preserve">설원</x:t>
        </x:is>
      </x:c>
      <x:c r="V908" s="5" t="inlineStr">
        <x:is>
          <x:t xml:space="preserve">한랭</x:t>
        </x:is>
      </x:c>
      <x:c r="W908" s="5" t="inlineStr">
        <x:is>
          <x:t xml:space="preserve">보통</x:t>
        </x:is>
      </x:c>
      <x:c r="X908" s="5" t="inlineStr">
        <x:is>
          <x:t xml:space="preserve">눈</x:t>
        </x:is>
      </x:c>
      <x:c r="Y908" s="5" t="inlineStr">
        <x:is>
          <x:t xml:space="preserve">밤</x:t>
        </x:is>
      </x:c>
      <x:c r="Z908" s="5" t="inlineStr">
        <x:is>
          <x:t xml:space="preserve">보통</x:t>
        </x:is>
      </x:c>
      <x:c r="AA908" s="5" t="inlineStr">
        <x:is>
          <x:t xml:space="preserve">없음</x:t>
        </x:is>
      </x:c>
      <x:c r="AB908" s="5" t="inlineStr">
        <x:is>
          <x:t xml:space="preserve">설원</x:t>
        </x:is>
      </x:c>
      <x:c r="AC908" s="5" t="inlineStr">
        <x:is>
          <x:t xml:space="preserve">gen8a</x:t>
        </x:is>
      </x:c>
      <x:c r="AD908" s="5" t="inlineStr">
        <x:is>
          <x:t xml:space="preserve">.tmp/cobblemon-1.7.3-source/common/src/main/resources/data/cobblemon/species/generation8a/overqwil.json</x:t>
        </x:is>
      </x:c>
    </x:row>
    <x:row r="909" ht="22" customHeight="1">
      <x:c r="A909" s="5" t="n">
        <x:v>905</x:v>
      </x:c>
      <x:c r="B909" s="5" t="inlineStr">
        <x:is>
          <x:t xml:space="preserve">러브로스</x:t>
        </x:is>
      </x:c>
      <x:c r="C909" s="5" t="inlineStr">
        <x:is>
          <x:t xml:space="preserve">enamorus</x:t>
        </x:is>
      </x:c>
      <x:c r="D909" s="5" t="inlineStr">
        <x:is>
          <x:t xml:space="preserve">Enamorus</x:t>
        </x:is>
      </x:c>
      <x:c r="E909" s="5" t="n">
        <x:v>8</x:v>
      </x:c>
      <x:c r="F909" s="5" t="inlineStr">
        <x:is>
          <x:t xml:space="preserve">페어리</x:t>
        </x:is>
      </x:c>
      <x:c r="G909" s="5" t="inlineStr">
        <x:is>
          <x:t xml:space="preserve">비행</x:t>
        </x:is>
      </x:c>
      <x:c r="H909" s="5" t="n">
        <x:v>1.6</x:v>
      </x:c>
      <x:c r="I909" s="5" t="n">
        <x:v>48</x:v>
      </x:c>
      <x:c r="J909" s="5" t="n">
        <x:v>580</x:v>
      </x:c>
      <x:c r="K909" s="5" t="n">
        <x:v>3</x:v>
      </x:c>
      <x:c r="L909" s="5" t="inlineStr">
        <x:is>
          <x:t xml:space="preserve">무진화</x:t>
        </x:is>
      </x:c>
      <x:c r="M909" s="5" t="n"/>
      <x:c r="N909" s="5" t="inlineStr">
        <x:is>
          <x:t xml:space="preserve">없음</x:t>
        </x:is>
      </x:c>
      <x:c r="O909" s="5" t="inlineStr">
        <x:is>
          <x:t xml:space="preserve">아니오</x:t>
        </x:is>
      </x:c>
      <x:c r="P909" s="5" t="inlineStr">
        <x:is>
          <x:t xml:space="preserve">#cobblemon:is_mountain</x:t>
        </x:is>
      </x:c>
      <x:c r="Q909" s="5" t="inlineStr">
        <x:is>
          <x:t xml:space="preserve">ultra-rare</x:t>
        </x:is>
      </x:c>
      <x:c r="R909" s="5" t="inlineStr">
        <x:is>
          <x:t xml:space="preserve"/>
        </x:is>
      </x:c>
      <x:c r="S909" s="5" t="inlineStr">
        <x:is>
          <x:t xml:space="preserve"/>
        </x:is>
      </x:c>
      <x:c r="T909" s="5" t="inlineStr">
        <x:is>
          <x:t xml:space="preserve">비행</x:t>
        </x:is>
      </x:c>
      <x:c r="U909" s="5" t="inlineStr">
        <x:is>
          <x:t xml:space="preserve">암석</x:t>
        </x:is>
      </x:c>
      <x:c r="V909" s="5" t="inlineStr">
        <x:is>
          <x:t xml:space="preserve">온대</x:t>
        </x:is>
      </x:c>
      <x:c r="W909" s="5" t="inlineStr">
        <x:is>
          <x:t xml:space="preserve">보통</x:t>
        </x:is>
      </x:c>
      <x:c r="X909" s="5" t="inlineStr">
        <x:is>
          <x:t xml:space="preserve">무관</x:t>
        </x:is>
      </x:c>
      <x:c r="Y909" s="5" t="inlineStr">
        <x:is>
          <x:t xml:space="preserve">무관</x:t>
        </x:is>
      </x:c>
      <x:c r="Z909" s="5" t="inlineStr">
        <x:is>
          <x:t xml:space="preserve">전설</x:t>
        </x:is>
      </x:c>
      <x:c r="AA909" s="5" t="inlineStr">
        <x:is>
          <x:t xml:space="preserve">전설</x:t>
        </x:is>
      </x:c>
      <x:c r="AB909" s="5" t="inlineStr">
        <x:is>
          <x:t xml:space="preserve">산악</x:t>
        </x:is>
      </x:c>
      <x:c r="AC909" s="5" t="inlineStr">
        <x:is>
          <x:t xml:space="preserve">gen8a; legendary</x:t>
        </x:is>
      </x:c>
      <x:c r="AD909" s="5" t="inlineStr">
        <x:is>
          <x:t xml:space="preserve">.tmp/cobblemon-1.7.3-source/common/src/main/resources/data/cobblemon/species/generation8a/enamorus.json</x:t>
        </x:is>
      </x:c>
    </x:row>
    <x:row r="910" ht="22" customHeight="1">
      <x:c r="A910" s="5" t="n">
        <x:v>906</x:v>
      </x:c>
      <x:c r="B910" s="5" t="inlineStr">
        <x:is>
          <x:t xml:space="preserve">나오하</x:t>
        </x:is>
      </x:c>
      <x:c r="C910" s="5" t="inlineStr">
        <x:is>
          <x:t xml:space="preserve">sprigatito</x:t>
        </x:is>
      </x:c>
      <x:c r="D910" s="5" t="inlineStr">
        <x:is>
          <x:t xml:space="preserve">Sprigatito</x:t>
        </x:is>
      </x:c>
      <x:c r="E910" s="5" t="n">
        <x:v>9</x:v>
      </x:c>
      <x:c r="F910" s="5" t="inlineStr">
        <x:is>
          <x:t xml:space="preserve">풀</x:t>
        </x:is>
      </x:c>
      <x:c r="G910" s="5" t="inlineStr">
        <x:is>
          <x:t xml:space="preserve"/>
        </x:is>
      </x:c>
      <x:c r="H910" s="5" t="n">
        <x:v>0.4</x:v>
      </x:c>
      <x:c r="I910" s="5" t="n">
        <x:v>4.1</x:v>
      </x:c>
      <x:c r="J910" s="5" t="n">
        <x:v>310</x:v>
      </x:c>
      <x:c r="K910" s="5" t="n">
        <x:v>45</x:v>
      </x:c>
      <x:c r="L910" s="5" t="inlineStr">
        <x:is>
          <x:t xml:space="preserve">기본</x:t>
        </x:is>
      </x:c>
      <x:c r="M910" s="5" t="n">
        <x:v>36</x:v>
      </x:c>
      <x:c r="N910" s="5" t="inlineStr">
        <x:is>
          <x:t xml:space="preserve">레벨</x:t>
        </x:is>
      </x:c>
      <x:c r="O910" s="5" t="inlineStr">
        <x:is>
          <x:t xml:space="preserve">예</x:t>
        </x:is>
      </x:c>
      <x:c r="P910" s="5" t="inlineStr">
        <x:is>
          <x:t xml:space="preserve">#cobblemon:is_floral; #cobblemon:is_magical</x:t>
        </x:is>
      </x:c>
      <x:c r="Q910" s="5" t="inlineStr">
        <x:is>
          <x:t xml:space="preserve">ultra-rare</x:t>
        </x:is>
      </x:c>
      <x:c r="R910" s="5" t="inlineStr">
        <x:is>
          <x:t xml:space="preserve"/>
        </x:is>
      </x:c>
      <x:c r="S910" s="5" t="inlineStr">
        <x:is>
          <x:t xml:space="preserve"/>
        </x:is>
      </x:c>
      <x:c r="T910" s="5" t="inlineStr">
        <x:is>
          <x:t xml:space="preserve">육상</x:t>
        </x:is>
      </x:c>
      <x:c r="U910" s="5" t="inlineStr">
        <x:is>
          <x:t xml:space="preserve">수목</x:t>
        </x:is>
      </x:c>
      <x:c r="V910" s="5" t="inlineStr">
        <x:is>
          <x:t xml:space="preserve">온대</x:t>
        </x:is>
      </x:c>
      <x:c r="W910" s="5" t="inlineStr">
        <x:is>
          <x:t xml:space="preserve">보통</x:t>
        </x:is>
      </x:c>
      <x:c r="X910" s="5" t="inlineStr">
        <x:is>
          <x:t xml:space="preserve">무관</x:t>
        </x:is>
      </x:c>
      <x:c r="Y910" s="5" t="inlineStr">
        <x:is>
          <x:t xml:space="preserve">무관</x:t>
        </x:is>
      </x:c>
      <x:c r="Z910" s="5" t="inlineStr">
        <x:is>
          <x:t xml:space="preserve">희귀</x:t>
        </x:is>
      </x:c>
      <x:c r="AA910" s="5" t="inlineStr">
        <x:is>
          <x:t xml:space="preserve">없음</x:t>
        </x:is>
      </x:c>
      <x:c r="AB910" s="5" t="inlineStr">
        <x:is>
          <x:t xml:space="preserve"/>
        </x:is>
      </x:c>
      <x:c r="AC910" s="5" t="inlineStr">
        <x:is>
          <x:t xml:space="preserve">gen9; starter</x:t>
        </x:is>
      </x:c>
      <x:c r="AD910" s="5" t="inlineStr">
        <x:is>
          <x:t xml:space="preserve">.tmp/cobblemon-1.7.3-source/common/src/main/resources/data/cobblemon/species/generation9/sprigatito.json</x:t>
        </x:is>
      </x:c>
    </x:row>
    <x:row r="911" ht="22" customHeight="1">
      <x:c r="A911" s="5" t="n">
        <x:v>907</x:v>
      </x:c>
      <x:c r="B911" s="5" t="inlineStr">
        <x:is>
          <x:t xml:space="preserve">나로테</x:t>
        </x:is>
      </x:c>
      <x:c r="C911" s="5" t="inlineStr">
        <x:is>
          <x:t xml:space="preserve">floragato</x:t>
        </x:is>
      </x:c>
      <x:c r="D911" s="5" t="inlineStr">
        <x:is>
          <x:t xml:space="preserve">Floragato</x:t>
        </x:is>
      </x:c>
      <x:c r="E911" s="5" t="n">
        <x:v>9</x:v>
      </x:c>
      <x:c r="F911" s="5" t="inlineStr">
        <x:is>
          <x:t xml:space="preserve">풀</x:t>
        </x:is>
      </x:c>
      <x:c r="G911" s="5" t="inlineStr">
        <x:is>
          <x:t xml:space="preserve"/>
        </x:is>
      </x:c>
      <x:c r="H911" s="5" t="n">
        <x:v>0.9</x:v>
      </x:c>
      <x:c r="I911" s="5" t="n">
        <x:v>12.2</x:v>
      </x:c>
      <x:c r="J911" s="5" t="n">
        <x:v>410</x:v>
      </x:c>
      <x:c r="K911" s="5" t="n">
        <x:v>45</x:v>
      </x:c>
      <x:c r="L911" s="5" t="inlineStr">
        <x:is>
          <x:t xml:space="preserve">중간</x:t>
        </x:is>
      </x:c>
      <x:c r="M911" s="5" t="n">
        <x:v>36</x:v>
      </x:c>
      <x:c r="N911" s="5" t="inlineStr">
        <x:is>
          <x:t xml:space="preserve">레벨</x:t>
        </x:is>
      </x:c>
      <x:c r="O911" s="5" t="inlineStr">
        <x:is>
          <x:t xml:space="preserve">예</x:t>
        </x:is>
      </x:c>
      <x:c r="P911" s="5" t="inlineStr">
        <x:is>
          <x:t xml:space="preserve">#cobblemon:is_floral; #cobblemon:is_magical</x:t>
        </x:is>
      </x:c>
      <x:c r="Q911" s="5" t="inlineStr">
        <x:is>
          <x:t xml:space="preserve">ultra-rare</x:t>
        </x:is>
      </x:c>
      <x:c r="R911" s="5" t="inlineStr">
        <x:is>
          <x:t xml:space="preserve"/>
        </x:is>
      </x:c>
      <x:c r="S911" s="5" t="inlineStr">
        <x:is>
          <x:t xml:space="preserve"/>
        </x:is>
      </x:c>
      <x:c r="T911" s="5" t="inlineStr">
        <x:is>
          <x:t xml:space="preserve">육상</x:t>
        </x:is>
      </x:c>
      <x:c r="U911" s="5" t="inlineStr">
        <x:is>
          <x:t xml:space="preserve">수목</x:t>
        </x:is>
      </x:c>
      <x:c r="V911" s="5" t="inlineStr">
        <x:is>
          <x:t xml:space="preserve">온대</x:t>
        </x:is>
      </x:c>
      <x:c r="W911" s="5" t="inlineStr">
        <x:is>
          <x:t xml:space="preserve">보통</x:t>
        </x:is>
      </x:c>
      <x:c r="X911" s="5" t="inlineStr">
        <x:is>
          <x:t xml:space="preserve">무관</x:t>
        </x:is>
      </x:c>
      <x:c r="Y911" s="5" t="inlineStr">
        <x:is>
          <x:t xml:space="preserve">무관</x:t>
        </x:is>
      </x:c>
      <x:c r="Z911" s="5" t="inlineStr">
        <x:is>
          <x:t xml:space="preserve">희귀</x:t>
        </x:is>
      </x:c>
      <x:c r="AA911" s="5" t="inlineStr">
        <x:is>
          <x:t xml:space="preserve">없음</x:t>
        </x:is>
      </x:c>
      <x:c r="AB911" s="5" t="inlineStr">
        <x:is>
          <x:t xml:space="preserve"/>
        </x:is>
      </x:c>
      <x:c r="AC911" s="5" t="inlineStr">
        <x:is>
          <x:t xml:space="preserve">gen9</x:t>
        </x:is>
      </x:c>
      <x:c r="AD911" s="5" t="inlineStr">
        <x:is>
          <x:t xml:space="preserve">.tmp/cobblemon-1.7.3-source/common/src/main/resources/data/cobblemon/species/generation9/floragato.json</x:t>
        </x:is>
      </x:c>
    </x:row>
    <x:row r="912" ht="22" customHeight="1">
      <x:c r="A912" s="5" t="n">
        <x:v>908</x:v>
      </x:c>
      <x:c r="B912" s="5" t="inlineStr">
        <x:is>
          <x:t xml:space="preserve">마스카나</x:t>
        </x:is>
      </x:c>
      <x:c r="C912" s="5" t="inlineStr">
        <x:is>
          <x:t xml:space="preserve">meowscarada</x:t>
        </x:is>
      </x:c>
      <x:c r="D912" s="5" t="inlineStr">
        <x:is>
          <x:t xml:space="preserve">Meowscarada</x:t>
        </x:is>
      </x:c>
      <x:c r="E912" s="5" t="n">
        <x:v>9</x:v>
      </x:c>
      <x:c r="F912" s="5" t="inlineStr">
        <x:is>
          <x:t xml:space="preserve">풀</x:t>
        </x:is>
      </x:c>
      <x:c r="G912" s="5" t="inlineStr">
        <x:is>
          <x:t xml:space="preserve">악</x:t>
        </x:is>
      </x:c>
      <x:c r="H912" s="5" t="n">
        <x:v>1.5</x:v>
      </x:c>
      <x:c r="I912" s="5" t="n">
        <x:v>31.2</x:v>
      </x:c>
      <x:c r="J912" s="5" t="n">
        <x:v>530</x:v>
      </x:c>
      <x:c r="K912" s="5" t="n">
        <x:v>45</x:v>
      </x:c>
      <x:c r="L912" s="5" t="inlineStr">
        <x:is>
          <x:t xml:space="preserve">최종</x:t>
        </x:is>
      </x:c>
      <x:c r="M912" s="5" t="n">
        <x:v>36</x:v>
      </x:c>
      <x:c r="N912" s="5" t="inlineStr">
        <x:is>
          <x:t xml:space="preserve">레벨</x:t>
        </x:is>
      </x:c>
      <x:c r="O912" s="5" t="inlineStr">
        <x:is>
          <x:t xml:space="preserve">예</x:t>
        </x:is>
      </x:c>
      <x:c r="P912" s="5" t="inlineStr">
        <x:is>
          <x:t xml:space="preserve">#cobblemon:is_floral; #cobblemon:is_magical</x:t>
        </x:is>
      </x:c>
      <x:c r="Q912" s="5" t="inlineStr">
        <x:is>
          <x:t xml:space="preserve">ultra-rare</x:t>
        </x:is>
      </x:c>
      <x:c r="R912" s="5" t="inlineStr">
        <x:is>
          <x:t xml:space="preserve"/>
        </x:is>
      </x:c>
      <x:c r="S912" s="5" t="inlineStr">
        <x:is>
          <x:t xml:space="preserve"/>
        </x:is>
      </x:c>
      <x:c r="T912" s="5" t="inlineStr">
        <x:is>
          <x:t xml:space="preserve">육상</x:t>
        </x:is>
      </x:c>
      <x:c r="U912" s="5" t="inlineStr">
        <x:is>
          <x:t xml:space="preserve">수목</x:t>
        </x:is>
      </x:c>
      <x:c r="V912" s="5" t="inlineStr">
        <x:is>
          <x:t xml:space="preserve">온대</x:t>
        </x:is>
      </x:c>
      <x:c r="W912" s="5" t="inlineStr">
        <x:is>
          <x:t xml:space="preserve">보통</x:t>
        </x:is>
      </x:c>
      <x:c r="X912" s="5" t="inlineStr">
        <x:is>
          <x:t xml:space="preserve">무관</x:t>
        </x:is>
      </x:c>
      <x:c r="Y912" s="5" t="inlineStr">
        <x:is>
          <x:t xml:space="preserve">밤</x:t>
        </x:is>
      </x:c>
      <x:c r="Z912" s="5" t="inlineStr">
        <x:is>
          <x:t xml:space="preserve">희귀</x:t>
        </x:is>
      </x:c>
      <x:c r="AA912" s="5" t="inlineStr">
        <x:is>
          <x:t xml:space="preserve">없음</x:t>
        </x:is>
      </x:c>
      <x:c r="AB912" s="5" t="inlineStr">
        <x:is>
          <x:t xml:space="preserve"/>
        </x:is>
      </x:c>
      <x:c r="AC912" s="5" t="inlineStr">
        <x:is>
          <x:t xml:space="preserve">gen9</x:t>
        </x:is>
      </x:c>
      <x:c r="AD912" s="5" t="inlineStr">
        <x:is>
          <x:t xml:space="preserve">.tmp/cobblemon-1.7.3-source/common/src/main/resources/data/cobblemon/species/generation9/meowscarada.json</x:t>
        </x:is>
      </x:c>
    </x:row>
    <x:row r="913" ht="22" customHeight="1">
      <x:c r="A913" s="5" t="n">
        <x:v>909</x:v>
      </x:c>
      <x:c r="B913" s="5" t="inlineStr">
        <x:is>
          <x:t xml:space="preserve">뜨아거</x:t>
        </x:is>
      </x:c>
      <x:c r="C913" s="5" t="inlineStr">
        <x:is>
          <x:t xml:space="preserve">fuecoco</x:t>
        </x:is>
      </x:c>
      <x:c r="D913" s="5" t="inlineStr">
        <x:is>
          <x:t xml:space="preserve">Fuecoco</x:t>
        </x:is>
      </x:c>
      <x:c r="E913" s="5" t="n">
        <x:v>9</x:v>
      </x:c>
      <x:c r="F913" s="5" t="inlineStr">
        <x:is>
          <x:t xml:space="preserve">불꽃</x:t>
        </x:is>
      </x:c>
      <x:c r="G913" s="5" t="inlineStr">
        <x:is>
          <x:t xml:space="preserve"/>
        </x:is>
      </x:c>
      <x:c r="H913" s="5" t="n">
        <x:v>0.4</x:v>
      </x:c>
      <x:c r="I913" s="5" t="n">
        <x:v>9.800000000000001</x:v>
      </x:c>
      <x:c r="J913" s="5" t="n">
        <x:v>310</x:v>
      </x:c>
      <x:c r="K913" s="5" t="n">
        <x:v>45</x:v>
      </x:c>
      <x:c r="L913" s="5" t="inlineStr">
        <x:is>
          <x:t xml:space="preserve">기본</x:t>
        </x:is>
      </x:c>
      <x:c r="M913" s="5" t="n">
        <x:v>36</x:v>
      </x:c>
      <x:c r="N913" s="5" t="inlineStr">
        <x:is>
          <x:t xml:space="preserve">레벨</x:t>
        </x:is>
      </x:c>
      <x:c r="O913" s="5" t="inlineStr">
        <x:is>
          <x:t xml:space="preserve">예</x:t>
        </x:is>
      </x:c>
      <x:c r="P913" s="5" t="inlineStr">
        <x:is>
          <x:t xml:space="preserve">#cobblemon:is_badlands; #cobblemon:nether/is_wasteland</x:t>
        </x:is>
      </x:c>
      <x:c r="Q913" s="5" t="inlineStr">
        <x:is>
          <x:t xml:space="preserve">ultra-rare</x:t>
        </x:is>
      </x:c>
      <x:c r="R913" s="5" t="inlineStr">
        <x:is>
          <x:t xml:space="preserve"/>
        </x:is>
      </x:c>
      <x:c r="S913" s="5" t="inlineStr">
        <x:is>
          <x:t xml:space="preserve"/>
        </x:is>
      </x:c>
      <x:c r="T913" s="5" t="inlineStr">
        <x:is>
          <x:t xml:space="preserve">육상</x:t>
        </x:is>
      </x:c>
      <x:c r="U913" s="5" t="inlineStr">
        <x:is>
          <x:t xml:space="preserve">화산</x:t>
        </x:is>
      </x:c>
      <x:c r="V913" s="5" t="inlineStr">
        <x:is>
          <x:t xml:space="preserve">고온</x:t>
        </x:is>
      </x:c>
      <x:c r="W913" s="5" t="inlineStr">
        <x:is>
          <x:t xml:space="preserve">건조</x:t>
        </x:is>
      </x:c>
      <x:c r="X913" s="5" t="inlineStr">
        <x:is>
          <x:t xml:space="preserve">맑음</x:t>
        </x:is>
      </x:c>
      <x:c r="Y913" s="5" t="inlineStr">
        <x:is>
          <x:t xml:space="preserve">무관</x:t>
        </x:is>
      </x:c>
      <x:c r="Z913" s="5" t="inlineStr">
        <x:is>
          <x:t xml:space="preserve">희귀</x:t>
        </x:is>
      </x:c>
      <x:c r="AA913" s="5" t="inlineStr">
        <x:is>
          <x:t xml:space="preserve">화산</x:t>
        </x:is>
      </x:c>
      <x:c r="AB913" s="5" t="inlineStr">
        <x:is>
          <x:t xml:space="preserve">화산</x:t>
        </x:is>
      </x:c>
      <x:c r="AC913" s="5" t="inlineStr">
        <x:is>
          <x:t xml:space="preserve">gen9; starter</x:t>
        </x:is>
      </x:c>
      <x:c r="AD913" s="5" t="inlineStr">
        <x:is>
          <x:t xml:space="preserve">.tmp/cobblemon-1.7.3-source/common/src/main/resources/data/cobblemon/species/generation9/fuecoco.json</x:t>
        </x:is>
      </x:c>
    </x:row>
    <x:row r="914" ht="22" customHeight="1">
      <x:c r="A914" s="5" t="n">
        <x:v>910</x:v>
      </x:c>
      <x:c r="B914" s="5" t="inlineStr">
        <x:is>
          <x:t xml:space="preserve">악뜨거</x:t>
        </x:is>
      </x:c>
      <x:c r="C914" s="5" t="inlineStr">
        <x:is>
          <x:t xml:space="preserve">crocalor</x:t>
        </x:is>
      </x:c>
      <x:c r="D914" s="5" t="inlineStr">
        <x:is>
          <x:t xml:space="preserve">Crocalor</x:t>
        </x:is>
      </x:c>
      <x:c r="E914" s="5" t="n">
        <x:v>9</x:v>
      </x:c>
      <x:c r="F914" s="5" t="inlineStr">
        <x:is>
          <x:t xml:space="preserve">불꽃</x:t>
        </x:is>
      </x:c>
      <x:c r="G914" s="5" t="inlineStr">
        <x:is>
          <x:t xml:space="preserve"/>
        </x:is>
      </x:c>
      <x:c r="H914" s="5" t="n">
        <x:v>1</x:v>
      </x:c>
      <x:c r="I914" s="5" t="n">
        <x:v>30.7</x:v>
      </x:c>
      <x:c r="J914" s="5" t="n">
        <x:v>411</x:v>
      </x:c>
      <x:c r="K914" s="5" t="n">
        <x:v>45</x:v>
      </x:c>
      <x:c r="L914" s="5" t="inlineStr">
        <x:is>
          <x:t xml:space="preserve">중간</x:t>
        </x:is>
      </x:c>
      <x:c r="M914" s="5" t="n">
        <x:v>36</x:v>
      </x:c>
      <x:c r="N914" s="5" t="inlineStr">
        <x:is>
          <x:t xml:space="preserve">레벨</x:t>
        </x:is>
      </x:c>
      <x:c r="O914" s="5" t="inlineStr">
        <x:is>
          <x:t xml:space="preserve">예</x:t>
        </x:is>
      </x:c>
      <x:c r="P914" s="5" t="inlineStr">
        <x:is>
          <x:t xml:space="preserve">#cobblemon:is_badlands; #cobblemon:nether/is_wasteland</x:t>
        </x:is>
      </x:c>
      <x:c r="Q914" s="5" t="inlineStr">
        <x:is>
          <x:t xml:space="preserve">ultra-rare</x:t>
        </x:is>
      </x:c>
      <x:c r="R914" s="5" t="inlineStr">
        <x:is>
          <x:t xml:space="preserve"/>
        </x:is>
      </x:c>
      <x:c r="S914" s="5" t="inlineStr">
        <x:is>
          <x:t xml:space="preserve"/>
        </x:is>
      </x:c>
      <x:c r="T914" s="5" t="inlineStr">
        <x:is>
          <x:t xml:space="preserve">육상</x:t>
        </x:is>
      </x:c>
      <x:c r="U914" s="5" t="inlineStr">
        <x:is>
          <x:t xml:space="preserve">화산</x:t>
        </x:is>
      </x:c>
      <x:c r="V914" s="5" t="inlineStr">
        <x:is>
          <x:t xml:space="preserve">고온</x:t>
        </x:is>
      </x:c>
      <x:c r="W914" s="5" t="inlineStr">
        <x:is>
          <x:t xml:space="preserve">건조</x:t>
        </x:is>
      </x:c>
      <x:c r="X914" s="5" t="inlineStr">
        <x:is>
          <x:t xml:space="preserve">맑음</x:t>
        </x:is>
      </x:c>
      <x:c r="Y914" s="5" t="inlineStr">
        <x:is>
          <x:t xml:space="preserve">무관</x:t>
        </x:is>
      </x:c>
      <x:c r="Z914" s="5" t="inlineStr">
        <x:is>
          <x:t xml:space="preserve">희귀</x:t>
        </x:is>
      </x:c>
      <x:c r="AA914" s="5" t="inlineStr">
        <x:is>
          <x:t xml:space="preserve">화산</x:t>
        </x:is>
      </x:c>
      <x:c r="AB914" s="5" t="inlineStr">
        <x:is>
          <x:t xml:space="preserve">화산</x:t>
        </x:is>
      </x:c>
      <x:c r="AC914" s="5" t="inlineStr">
        <x:is>
          <x:t xml:space="preserve">gen9</x:t>
        </x:is>
      </x:c>
      <x:c r="AD914" s="5" t="inlineStr">
        <x:is>
          <x:t xml:space="preserve">.tmp/cobblemon-1.7.3-source/common/src/main/resources/data/cobblemon/species/generation9/crocalor.json</x:t>
        </x:is>
      </x:c>
    </x:row>
    <x:row r="915" ht="22" customHeight="1">
      <x:c r="A915" s="5" t="n">
        <x:v>911</x:v>
      </x:c>
      <x:c r="B915" s="5" t="inlineStr">
        <x:is>
          <x:t xml:space="preserve">라우드본</x:t>
        </x:is>
      </x:c>
      <x:c r="C915" s="5" t="inlineStr">
        <x:is>
          <x:t xml:space="preserve">skeledirge</x:t>
        </x:is>
      </x:c>
      <x:c r="D915" s="5" t="inlineStr">
        <x:is>
          <x:t xml:space="preserve">Skeledirge</x:t>
        </x:is>
      </x:c>
      <x:c r="E915" s="5" t="n">
        <x:v>9</x:v>
      </x:c>
      <x:c r="F915" s="5" t="inlineStr">
        <x:is>
          <x:t xml:space="preserve">불꽃</x:t>
        </x:is>
      </x:c>
      <x:c r="G915" s="5" t="inlineStr">
        <x:is>
          <x:t xml:space="preserve">고스트</x:t>
        </x:is>
      </x:c>
      <x:c r="H915" s="5" t="n">
        <x:v>1.6</x:v>
      </x:c>
      <x:c r="I915" s="5" t="n">
        <x:v>326.5</x:v>
      </x:c>
      <x:c r="J915" s="5" t="n">
        <x:v>530</x:v>
      </x:c>
      <x:c r="K915" s="5" t="n">
        <x:v>45</x:v>
      </x:c>
      <x:c r="L915" s="5" t="inlineStr">
        <x:is>
          <x:t xml:space="preserve">최종</x:t>
        </x:is>
      </x:c>
      <x:c r="M915" s="5" t="n">
        <x:v>36</x:v>
      </x:c>
      <x:c r="N915" s="5" t="inlineStr">
        <x:is>
          <x:t xml:space="preserve">레벨</x:t>
        </x:is>
      </x:c>
      <x:c r="O915" s="5" t="inlineStr">
        <x:is>
          <x:t xml:space="preserve">예</x:t>
        </x:is>
      </x:c>
      <x:c r="P915" s="5" t="inlineStr">
        <x:is>
          <x:t xml:space="preserve">#cobblemon:is_badlands; #cobblemon:nether/is_wasteland</x:t>
        </x:is>
      </x:c>
      <x:c r="Q915" s="5" t="inlineStr">
        <x:is>
          <x:t xml:space="preserve">ultra-rare</x:t>
        </x:is>
      </x:c>
      <x:c r="R915" s="5" t="inlineStr">
        <x:is>
          <x:t xml:space="preserve"/>
        </x:is>
      </x:c>
      <x:c r="S915" s="5" t="inlineStr">
        <x:is>
          <x:t xml:space="preserve"/>
        </x:is>
      </x:c>
      <x:c r="T915" s="5" t="inlineStr">
        <x:is>
          <x:t xml:space="preserve">영체</x:t>
        </x:is>
      </x:c>
      <x:c r="U915" s="5" t="inlineStr">
        <x:is>
          <x:t xml:space="preserve">화산</x:t>
        </x:is>
      </x:c>
      <x:c r="V915" s="5" t="inlineStr">
        <x:is>
          <x:t xml:space="preserve">고온</x:t>
        </x:is>
      </x:c>
      <x:c r="W915" s="5" t="inlineStr">
        <x:is>
          <x:t xml:space="preserve">건조</x:t>
        </x:is>
      </x:c>
      <x:c r="X915" s="5" t="inlineStr">
        <x:is>
          <x:t xml:space="preserve">맑음</x:t>
        </x:is>
      </x:c>
      <x:c r="Y915" s="5" t="inlineStr">
        <x:is>
          <x:t xml:space="preserve">밤</x:t>
        </x:is>
      </x:c>
      <x:c r="Z915" s="5" t="inlineStr">
        <x:is>
          <x:t xml:space="preserve">희귀</x:t>
        </x:is>
      </x:c>
      <x:c r="AA915" s="5" t="inlineStr">
        <x:is>
          <x:t xml:space="preserve">영체</x:t>
        </x:is>
      </x:c>
      <x:c r="AB915" s="5" t="inlineStr">
        <x:is>
          <x:t xml:space="preserve">화산</x:t>
        </x:is>
      </x:c>
      <x:c r="AC915" s="5" t="inlineStr">
        <x:is>
          <x:t xml:space="preserve">gen9</x:t>
        </x:is>
      </x:c>
      <x:c r="AD915" s="5" t="inlineStr">
        <x:is>
          <x:t xml:space="preserve">.tmp/cobblemon-1.7.3-source/common/src/main/resources/data/cobblemon/species/generation9/skeledirge.json</x:t>
        </x:is>
      </x:c>
    </x:row>
    <x:row r="916" ht="22" customHeight="1">
      <x:c r="A916" s="5" t="n">
        <x:v>912</x:v>
      </x:c>
      <x:c r="B916" s="5" t="inlineStr">
        <x:is>
          <x:t xml:space="preserve">꾸왁스</x:t>
        </x:is>
      </x:c>
      <x:c r="C916" s="5" t="inlineStr">
        <x:is>
          <x:t xml:space="preserve">quaxly</x:t>
        </x:is>
      </x:c>
      <x:c r="D916" s="5" t="inlineStr">
        <x:is>
          <x:t xml:space="preserve">Quaxly</x:t>
        </x:is>
      </x:c>
      <x:c r="E916" s="5" t="n">
        <x:v>9</x:v>
      </x:c>
      <x:c r="F916" s="5" t="inlineStr">
        <x:is>
          <x:t xml:space="preserve">물</x:t>
        </x:is>
      </x:c>
      <x:c r="G916" s="5" t="inlineStr">
        <x:is>
          <x:t xml:space="preserve"/>
        </x:is>
      </x:c>
      <x:c r="H916" s="5" t="n">
        <x:v>0.5</x:v>
      </x:c>
      <x:c r="I916" s="5" t="n">
        <x:v>6.1</x:v>
      </x:c>
      <x:c r="J916" s="5" t="n">
        <x:v>310</x:v>
      </x:c>
      <x:c r="K916" s="5" t="n">
        <x:v>45</x:v>
      </x:c>
      <x:c r="L916" s="5" t="inlineStr">
        <x:is>
          <x:t xml:space="preserve">기본</x:t>
        </x:is>
      </x:c>
      <x:c r="M916" s="5" t="n">
        <x:v>36</x:v>
      </x:c>
      <x:c r="N916" s="5" t="inlineStr">
        <x:is>
          <x:t xml:space="preserve">레벨</x:t>
        </x:is>
      </x:c>
      <x:c r="O916" s="5" t="inlineStr">
        <x:is>
          <x:t xml:space="preserve">예</x:t>
        </x:is>
      </x:c>
      <x:c r="P916" s="5" t="inlineStr">
        <x:is>
          <x:t xml:space="preserve">#cobblemon:is_forest; #cobblemon:is_freshwater; #cobblemon:is_grassland; #cobblemon:is_jungle; #cobblemon:is_river</x:t>
        </x:is>
      </x:c>
      <x:c r="Q916" s="5" t="inlineStr">
        <x:is>
          <x:t xml:space="preserve">ultra-rare</x:t>
        </x:is>
      </x:c>
      <x:c r="R916" s="5" t="inlineStr">
        <x:is>
          <x:t xml:space="preserve"/>
        </x:is>
      </x:c>
      <x:c r="S916" s="5" t="inlineStr">
        <x:is>
          <x:t xml:space="preserve"/>
        </x:is>
      </x:c>
      <x:c r="T916" s="5" t="inlineStr">
        <x:is>
          <x:t xml:space="preserve">담수</x:t>
        </x:is>
      </x:c>
      <x:c r="U916" s="5" t="inlineStr">
        <x:is>
          <x:t xml:space="preserve">담수</x:t>
        </x:is>
      </x:c>
      <x:c r="V916" s="5" t="inlineStr">
        <x:is>
          <x:t xml:space="preserve">온대</x:t>
        </x:is>
      </x:c>
      <x:c r="W916" s="5" t="inlineStr">
        <x:is>
          <x:t xml:space="preserve">수중</x:t>
        </x:is>
      </x:c>
      <x:c r="X916" s="5" t="inlineStr">
        <x:is>
          <x:t xml:space="preserve">비</x:t>
        </x:is>
      </x:c>
      <x:c r="Y916" s="5" t="inlineStr">
        <x:is>
          <x:t xml:space="preserve">무관</x:t>
        </x:is>
      </x:c>
      <x:c r="Z916" s="5" t="inlineStr">
        <x:is>
          <x:t xml:space="preserve">희귀</x:t>
        </x:is>
      </x:c>
      <x:c r="AA916" s="5" t="inlineStr">
        <x:is>
          <x:t xml:space="preserve">없음</x:t>
        </x:is>
      </x:c>
      <x:c r="AB916" s="5" t="inlineStr">
        <x:is>
          <x:t xml:space="preserve">담수</x:t>
        </x:is>
      </x:c>
      <x:c r="AC916" s="5" t="inlineStr">
        <x:is>
          <x:t xml:space="preserve">gen9; starter</x:t>
        </x:is>
      </x:c>
      <x:c r="AD916" s="5" t="inlineStr">
        <x:is>
          <x:t xml:space="preserve">.tmp/cobblemon-1.7.3-source/common/src/main/resources/data/cobblemon/species/generation9/quaxly.json</x:t>
        </x:is>
      </x:c>
    </x:row>
    <x:row r="917" ht="22" customHeight="1">
      <x:c r="A917" s="5" t="n">
        <x:v>913</x:v>
      </x:c>
      <x:c r="B917" s="5" t="inlineStr">
        <x:is>
          <x:t xml:space="preserve">아꾸왁</x:t>
        </x:is>
      </x:c>
      <x:c r="C917" s="5" t="inlineStr">
        <x:is>
          <x:t xml:space="preserve">quaxwell</x:t>
        </x:is>
      </x:c>
      <x:c r="D917" s="5" t="inlineStr">
        <x:is>
          <x:t xml:space="preserve">Quaxwell</x:t>
        </x:is>
      </x:c>
      <x:c r="E917" s="5" t="n">
        <x:v>9</x:v>
      </x:c>
      <x:c r="F917" s="5" t="inlineStr">
        <x:is>
          <x:t xml:space="preserve">물</x:t>
        </x:is>
      </x:c>
      <x:c r="G917" s="5" t="inlineStr">
        <x:is>
          <x:t xml:space="preserve"/>
        </x:is>
      </x:c>
      <x:c r="H917" s="5" t="n">
        <x:v>1.2</x:v>
      </x:c>
      <x:c r="I917" s="5" t="n">
        <x:v>21.5</x:v>
      </x:c>
      <x:c r="J917" s="5" t="n">
        <x:v>410</x:v>
      </x:c>
      <x:c r="K917" s="5" t="n">
        <x:v>45</x:v>
      </x:c>
      <x:c r="L917" s="5" t="inlineStr">
        <x:is>
          <x:t xml:space="preserve">중간</x:t>
        </x:is>
      </x:c>
      <x:c r="M917" s="5" t="n">
        <x:v>36</x:v>
      </x:c>
      <x:c r="N917" s="5" t="inlineStr">
        <x:is>
          <x:t xml:space="preserve">레벨</x:t>
        </x:is>
      </x:c>
      <x:c r="O917" s="5" t="inlineStr">
        <x:is>
          <x:t xml:space="preserve">예</x:t>
        </x:is>
      </x:c>
      <x:c r="P917" s="5" t="inlineStr">
        <x:is>
          <x:t xml:space="preserve">#cobblemon:is_forest; #cobblemon:is_freshwater; #cobblemon:is_grassland; #cobblemon:is_jungle; #cobblemon:is_river</x:t>
        </x:is>
      </x:c>
      <x:c r="Q917" s="5" t="inlineStr">
        <x:is>
          <x:t xml:space="preserve">ultra-rare</x:t>
        </x:is>
      </x:c>
      <x:c r="R917" s="5" t="inlineStr">
        <x:is>
          <x:t xml:space="preserve"/>
        </x:is>
      </x:c>
      <x:c r="S917" s="5" t="inlineStr">
        <x:is>
          <x:t xml:space="preserve"/>
        </x:is>
      </x:c>
      <x:c r="T917" s="5" t="inlineStr">
        <x:is>
          <x:t xml:space="preserve">담수</x:t>
        </x:is>
      </x:c>
      <x:c r="U917" s="5" t="inlineStr">
        <x:is>
          <x:t xml:space="preserve">담수</x:t>
        </x:is>
      </x:c>
      <x:c r="V917" s="5" t="inlineStr">
        <x:is>
          <x:t xml:space="preserve">온대</x:t>
        </x:is>
      </x:c>
      <x:c r="W917" s="5" t="inlineStr">
        <x:is>
          <x:t xml:space="preserve">수중</x:t>
        </x:is>
      </x:c>
      <x:c r="X917" s="5" t="inlineStr">
        <x:is>
          <x:t xml:space="preserve">비</x:t>
        </x:is>
      </x:c>
      <x:c r="Y917" s="5" t="inlineStr">
        <x:is>
          <x:t xml:space="preserve">무관</x:t>
        </x:is>
      </x:c>
      <x:c r="Z917" s="5" t="inlineStr">
        <x:is>
          <x:t xml:space="preserve">희귀</x:t>
        </x:is>
      </x:c>
      <x:c r="AA917" s="5" t="inlineStr">
        <x:is>
          <x:t xml:space="preserve">없음</x:t>
        </x:is>
      </x:c>
      <x:c r="AB917" s="5" t="inlineStr">
        <x:is>
          <x:t xml:space="preserve">담수</x:t>
        </x:is>
      </x:c>
      <x:c r="AC917" s="5" t="inlineStr">
        <x:is>
          <x:t xml:space="preserve">gen9</x:t>
        </x:is>
      </x:c>
      <x:c r="AD917" s="5" t="inlineStr">
        <x:is>
          <x:t xml:space="preserve">.tmp/cobblemon-1.7.3-source/common/src/main/resources/data/cobblemon/species/generation9/quaxwell.json</x:t>
        </x:is>
      </x:c>
    </x:row>
    <x:row r="918" ht="22" customHeight="1">
      <x:c r="A918" s="5" t="n">
        <x:v>914</x:v>
      </x:c>
      <x:c r="B918" s="5" t="inlineStr">
        <x:is>
          <x:t xml:space="preserve">웨이니발</x:t>
        </x:is>
      </x:c>
      <x:c r="C918" s="5" t="inlineStr">
        <x:is>
          <x:t xml:space="preserve">quaquaval</x:t>
        </x:is>
      </x:c>
      <x:c r="D918" s="5" t="inlineStr">
        <x:is>
          <x:t xml:space="preserve">Quaquaval</x:t>
        </x:is>
      </x:c>
      <x:c r="E918" s="5" t="n">
        <x:v>9</x:v>
      </x:c>
      <x:c r="F918" s="5" t="inlineStr">
        <x:is>
          <x:t xml:space="preserve">물</x:t>
        </x:is>
      </x:c>
      <x:c r="G918" s="5" t="inlineStr">
        <x:is>
          <x:t xml:space="preserve">격투</x:t>
        </x:is>
      </x:c>
      <x:c r="H918" s="5" t="n">
        <x:v>1.8</x:v>
      </x:c>
      <x:c r="I918" s="5" t="n">
        <x:v>61.9</x:v>
      </x:c>
      <x:c r="J918" s="5" t="n">
        <x:v>530</x:v>
      </x:c>
      <x:c r="K918" s="5" t="n">
        <x:v>45</x:v>
      </x:c>
      <x:c r="L918" s="5" t="inlineStr">
        <x:is>
          <x:t xml:space="preserve">최종</x:t>
        </x:is>
      </x:c>
      <x:c r="M918" s="5" t="n">
        <x:v>36</x:v>
      </x:c>
      <x:c r="N918" s="5" t="inlineStr">
        <x:is>
          <x:t xml:space="preserve">레벨</x:t>
        </x:is>
      </x:c>
      <x:c r="O918" s="5" t="inlineStr">
        <x:is>
          <x:t xml:space="preserve">예</x:t>
        </x:is>
      </x:c>
      <x:c r="P918" s="5" t="inlineStr">
        <x:is>
          <x:t xml:space="preserve">#cobblemon:is_forest; #cobblemon:is_freshwater; #cobblemon:is_grassland; #cobblemon:is_jungle; #cobblemon:is_river</x:t>
        </x:is>
      </x:c>
      <x:c r="Q918" s="5" t="inlineStr">
        <x:is>
          <x:t xml:space="preserve">ultra-rare</x:t>
        </x:is>
      </x:c>
      <x:c r="R918" s="5" t="inlineStr">
        <x:is>
          <x:t xml:space="preserve"/>
        </x:is>
      </x:c>
      <x:c r="S918" s="5" t="inlineStr">
        <x:is>
          <x:t xml:space="preserve"/>
        </x:is>
      </x:c>
      <x:c r="T918" s="5" t="inlineStr">
        <x:is>
          <x:t xml:space="preserve">담수</x:t>
        </x:is>
      </x:c>
      <x:c r="U918" s="5" t="inlineStr">
        <x:is>
          <x:t xml:space="preserve">담수</x:t>
        </x:is>
      </x:c>
      <x:c r="V918" s="5" t="inlineStr">
        <x:is>
          <x:t xml:space="preserve">온대</x:t>
        </x:is>
      </x:c>
      <x:c r="W918" s="5" t="inlineStr">
        <x:is>
          <x:t xml:space="preserve">수중</x:t>
        </x:is>
      </x:c>
      <x:c r="X918" s="5" t="inlineStr">
        <x:is>
          <x:t xml:space="preserve">비</x:t>
        </x:is>
      </x:c>
      <x:c r="Y918" s="5" t="inlineStr">
        <x:is>
          <x:t xml:space="preserve">무관</x:t>
        </x:is>
      </x:c>
      <x:c r="Z918" s="5" t="inlineStr">
        <x:is>
          <x:t xml:space="preserve">희귀</x:t>
        </x:is>
      </x:c>
      <x:c r="AA918" s="5" t="inlineStr">
        <x:is>
          <x:t xml:space="preserve">없음</x:t>
        </x:is>
      </x:c>
      <x:c r="AB918" s="5" t="inlineStr">
        <x:is>
          <x:t xml:space="preserve">담수</x:t>
        </x:is>
      </x:c>
      <x:c r="AC918" s="5" t="inlineStr">
        <x:is>
          <x:t xml:space="preserve">gen9</x:t>
        </x:is>
      </x:c>
      <x:c r="AD918" s="5" t="inlineStr">
        <x:is>
          <x:t xml:space="preserve">.tmp/cobblemon-1.7.3-source/common/src/main/resources/data/cobblemon/species/generation9/quaquaval.json</x:t>
        </x:is>
      </x:c>
    </x:row>
    <x:row r="919" ht="22" customHeight="1">
      <x:c r="A919" s="5" t="n">
        <x:v>915</x:v>
      </x:c>
      <x:c r="B919" s="5" t="inlineStr">
        <x:is>
          <x:t xml:space="preserve">맛보돈</x:t>
        </x:is>
      </x:c>
      <x:c r="C919" s="5" t="inlineStr">
        <x:is>
          <x:t xml:space="preserve">lechonk</x:t>
        </x:is>
      </x:c>
      <x:c r="D919" s="5" t="inlineStr">
        <x:is>
          <x:t xml:space="preserve">Lechonk</x:t>
        </x:is>
      </x:c>
      <x:c r="E919" s="5" t="n">
        <x:v>9</x:v>
      </x:c>
      <x:c r="F919" s="5" t="inlineStr">
        <x:is>
          <x:t xml:space="preserve">노말</x:t>
        </x:is>
      </x:c>
      <x:c r="G919" s="5" t="inlineStr">
        <x:is>
          <x:t xml:space="preserve"/>
        </x:is>
      </x:c>
      <x:c r="H919" s="5" t="n">
        <x:v>0.5</x:v>
      </x:c>
      <x:c r="I919" s="5" t="n">
        <x:v>10.2</x:v>
      </x:c>
      <x:c r="J919" s="5" t="n">
        <x:v>254</x:v>
      </x:c>
      <x:c r="K919" s="5" t="n">
        <x:v>255</x:v>
      </x:c>
      <x:c r="L919" s="5" t="inlineStr">
        <x:is>
          <x:t xml:space="preserve">기본</x:t>
        </x:is>
      </x:c>
      <x:c r="M919" s="5" t="n">
        <x:v>18</x:v>
      </x:c>
      <x:c r="N919" s="5" t="inlineStr">
        <x:is>
          <x:t xml:space="preserve">레벨·특수</x:t>
        </x:is>
      </x:c>
      <x:c r="O919" s="5" t="inlineStr">
        <x:is>
          <x:t xml:space="preserve">예</x:t>
        </x:is>
      </x:c>
      <x:c r="P919" s="5" t="inlineStr">
        <x:is>
          <x:t xml:space="preserve">#cobblemon:is_mushroom; #cobblemon:is_swamp; #cobblemon:is_temperate</x:t>
        </x:is>
      </x:c>
      <x:c r="Q919" s="5" t="inlineStr">
        <x:is>
          <x:t xml:space="preserve">common</x:t>
        </x:is>
      </x:c>
      <x:c r="R919" s="5" t="inlineStr">
        <x:is>
          <x:t xml:space="preserve"/>
        </x:is>
      </x:c>
      <x:c r="S919" s="5" t="inlineStr">
        <x:is>
          <x:t xml:space="preserve"/>
        </x:is>
      </x:c>
      <x:c r="T919" s="5" t="inlineStr">
        <x:is>
          <x:t xml:space="preserve">육상</x:t>
        </x:is>
      </x:c>
      <x:c r="U919" s="5" t="inlineStr">
        <x:is>
          <x:t xml:space="preserve">습지</x:t>
        </x:is>
      </x:c>
      <x:c r="V919" s="5" t="inlineStr">
        <x:is>
          <x:t xml:space="preserve">온대</x:t>
        </x:is>
      </x:c>
      <x:c r="W919" s="5" t="inlineStr">
        <x:is>
          <x:t xml:space="preserve">다습</x:t>
        </x:is>
      </x:c>
      <x:c r="X919" s="5" t="inlineStr">
        <x:is>
          <x:t xml:space="preserve">비</x:t>
        </x:is>
      </x:c>
      <x:c r="Y919" s="5" t="inlineStr">
        <x:is>
          <x:t xml:space="preserve">무관</x:t>
        </x:is>
      </x:c>
      <x:c r="Z919" s="5" t="inlineStr">
        <x:is>
          <x:t xml:space="preserve">흔함</x:t>
        </x:is>
      </x:c>
      <x:c r="AA919" s="5" t="inlineStr">
        <x:is>
          <x:t xml:space="preserve">없음</x:t>
        </x:is>
      </x:c>
      <x:c r="AB919" s="5" t="inlineStr">
        <x:is>
          <x:t xml:space="preserve">습지</x:t>
        </x:is>
      </x:c>
      <x:c r="AC919" s="5" t="inlineStr">
        <x:is>
          <x:t xml:space="preserve">gen9</x:t>
        </x:is>
      </x:c>
      <x:c r="AD919" s="5" t="inlineStr">
        <x:is>
          <x:t xml:space="preserve">.tmp/cobblemon-1.7.3-source/common/src/main/resources/data/cobblemon/species/generation9/lechonk.json</x:t>
        </x:is>
      </x:c>
    </x:row>
    <x:row r="920" ht="22" customHeight="1">
      <x:c r="A920" s="5" t="n">
        <x:v>916</x:v>
      </x:c>
      <x:c r="B920" s="5" t="inlineStr">
        <x:is>
          <x:t xml:space="preserve">퍼퓨돈</x:t>
        </x:is>
      </x:c>
      <x:c r="C920" s="5" t="inlineStr">
        <x:is>
          <x:t xml:space="preserve">oinkologne</x:t>
        </x:is>
      </x:c>
      <x:c r="D920" s="5" t="inlineStr">
        <x:is>
          <x:t xml:space="preserve">Oinkologne</x:t>
        </x:is>
      </x:c>
      <x:c r="E920" s="5" t="n">
        <x:v>9</x:v>
      </x:c>
      <x:c r="F920" s="5" t="inlineStr">
        <x:is>
          <x:t xml:space="preserve">노말</x:t>
        </x:is>
      </x:c>
      <x:c r="G920" s="5" t="inlineStr">
        <x:is>
          <x:t xml:space="preserve"/>
        </x:is>
      </x:c>
      <x:c r="H920" s="5" t="n">
        <x:v>1</x:v>
      </x:c>
      <x:c r="I920" s="5" t="n">
        <x:v>120</x:v>
      </x:c>
      <x:c r="J920" s="5" t="n">
        <x:v>489</x:v>
      </x:c>
      <x:c r="K920" s="5" t="n">
        <x:v>100</x:v>
      </x:c>
      <x:c r="L920" s="5" t="inlineStr">
        <x:is>
          <x:t xml:space="preserve">최종</x:t>
        </x:is>
      </x:c>
      <x:c r="M920" s="5" t="n">
        <x:v>18</x:v>
      </x:c>
      <x:c r="N920" s="5" t="inlineStr">
        <x:is>
          <x:t xml:space="preserve">레벨·특수</x:t>
        </x:is>
      </x:c>
      <x:c r="O920" s="5" t="inlineStr">
        <x:is>
          <x:t xml:space="preserve">예</x:t>
        </x:is>
      </x:c>
      <x:c r="P920" s="5" t="inlineStr">
        <x:is>
          <x:t xml:space="preserve">#cobblemon:is_mushroom; #cobblemon:is_swamp; #cobblemon:is_temperate</x:t>
        </x:is>
      </x:c>
      <x:c r="Q920" s="5" t="inlineStr">
        <x:is>
          <x:t xml:space="preserve">common</x:t>
        </x:is>
      </x:c>
      <x:c r="R920" s="5" t="inlineStr">
        <x:is>
          <x:t xml:space="preserve"/>
        </x:is>
      </x:c>
      <x:c r="S920" s="5" t="inlineStr">
        <x:is>
          <x:t xml:space="preserve"/>
        </x:is>
      </x:c>
      <x:c r="T920" s="5" t="inlineStr">
        <x:is>
          <x:t xml:space="preserve">육상</x:t>
        </x:is>
      </x:c>
      <x:c r="U920" s="5" t="inlineStr">
        <x:is>
          <x:t xml:space="preserve">습지</x:t>
        </x:is>
      </x:c>
      <x:c r="V920" s="5" t="inlineStr">
        <x:is>
          <x:t xml:space="preserve">온대</x:t>
        </x:is>
      </x:c>
      <x:c r="W920" s="5" t="inlineStr">
        <x:is>
          <x:t xml:space="preserve">다습</x:t>
        </x:is>
      </x:c>
      <x:c r="X920" s="5" t="inlineStr">
        <x:is>
          <x:t xml:space="preserve">비</x:t>
        </x:is>
      </x:c>
      <x:c r="Y920" s="5" t="inlineStr">
        <x:is>
          <x:t xml:space="preserve">무관</x:t>
        </x:is>
      </x:c>
      <x:c r="Z920" s="5" t="inlineStr">
        <x:is>
          <x:t xml:space="preserve">흔함</x:t>
        </x:is>
      </x:c>
      <x:c r="AA920" s="5" t="inlineStr">
        <x:is>
          <x:t xml:space="preserve">없음</x:t>
        </x:is>
      </x:c>
      <x:c r="AB920" s="5" t="inlineStr">
        <x:is>
          <x:t xml:space="preserve">습지</x:t>
        </x:is>
      </x:c>
      <x:c r="AC920" s="5" t="inlineStr">
        <x:is>
          <x:t xml:space="preserve">gen9</x:t>
        </x:is>
      </x:c>
      <x:c r="AD920" s="5" t="inlineStr">
        <x:is>
          <x:t xml:space="preserve">.tmp/cobblemon-1.7.3-source/common/src/main/resources/data/cobblemon/species/generation9/oinkologne.json</x:t>
        </x:is>
      </x:c>
    </x:row>
    <x:row r="921" ht="22" customHeight="1">
      <x:c r="A921" s="5" t="n">
        <x:v>917</x:v>
      </x:c>
      <x:c r="B921" s="5" t="inlineStr">
        <x:is>
          <x:t xml:space="preserve">타랜툴라</x:t>
        </x:is>
      </x:c>
      <x:c r="C921" s="5" t="inlineStr">
        <x:is>
          <x:t xml:space="preserve">tarountula</x:t>
        </x:is>
      </x:c>
      <x:c r="D921" s="5" t="inlineStr">
        <x:is>
          <x:t xml:space="preserve">Tarountula</x:t>
        </x:is>
      </x:c>
      <x:c r="E921" s="5" t="n">
        <x:v>9</x:v>
      </x:c>
      <x:c r="F921" s="5" t="inlineStr">
        <x:is>
          <x:t xml:space="preserve">벌레</x:t>
        </x:is>
      </x:c>
      <x:c r="G921" s="5" t="inlineStr">
        <x:is>
          <x:t xml:space="preserve"/>
        </x:is>
      </x:c>
      <x:c r="H921" s="5" t="n">
        <x:v>0.3</x:v>
      </x:c>
      <x:c r="I921" s="5" t="n">
        <x:v>4</x:v>
      </x:c>
      <x:c r="J921" s="5" t="n">
        <x:v>210</x:v>
      </x:c>
      <x:c r="K921" s="5" t="n">
        <x:v>255</x:v>
      </x:c>
      <x:c r="L921" s="5" t="inlineStr">
        <x:is>
          <x:t xml:space="preserve">기본</x:t>
        </x:is>
      </x:c>
      <x:c r="M921" s="5" t="n">
        <x:v>15</x:v>
      </x:c>
      <x:c r="N921" s="5" t="inlineStr">
        <x:is>
          <x:t xml:space="preserve">레벨</x:t>
        </x:is>
      </x:c>
      <x:c r="O921" s="5" t="inlineStr">
        <x:is>
          <x:t xml:space="preserve">예</x:t>
        </x:is>
      </x:c>
      <x:c r="P921" s="5" t="inlineStr">
        <x:is>
          <x:t xml:space="preserve">#cobblemon:is_forest; #cobblemon:is_jungle; #cobblemon:is_swamp</x:t>
        </x:is>
      </x:c>
      <x:c r="Q921" s="5" t="inlineStr">
        <x:is>
          <x:t xml:space="preserve">common</x:t>
        </x:is>
      </x:c>
      <x:c r="R921" s="5" t="inlineStr">
        <x:is>
          <x:t xml:space="preserve"/>
        </x:is>
      </x:c>
      <x:c r="S921" s="5" t="inlineStr">
        <x:is>
          <x:t xml:space="preserve"/>
        </x:is>
      </x:c>
      <x:c r="T921" s="5" t="inlineStr">
        <x:is>
          <x:t xml:space="preserve">육상</x:t>
        </x:is>
      </x:c>
      <x:c r="U921" s="5" t="inlineStr">
        <x:is>
          <x:t xml:space="preserve">수목</x:t>
        </x:is>
      </x:c>
      <x:c r="V921" s="5" t="inlineStr">
        <x:is>
          <x:t xml:space="preserve">온대</x:t>
        </x:is>
      </x:c>
      <x:c r="W921" s="5" t="inlineStr">
        <x:is>
          <x:t xml:space="preserve">다습</x:t>
        </x:is>
      </x:c>
      <x:c r="X921" s="5" t="inlineStr">
        <x:is>
          <x:t xml:space="preserve">무관</x:t>
        </x:is>
      </x:c>
      <x:c r="Y921" s="5" t="inlineStr">
        <x:is>
          <x:t xml:space="preserve">무관</x:t>
        </x:is>
      </x:c>
      <x:c r="Z921" s="5" t="inlineStr">
        <x:is>
          <x:t xml:space="preserve">흔함</x:t>
        </x:is>
      </x:c>
      <x:c r="AA921" s="5" t="inlineStr">
        <x:is>
          <x:t xml:space="preserve">없음</x:t>
        </x:is>
      </x:c>
      <x:c r="AB921" s="5" t="inlineStr">
        <x:is>
          <x:t xml:space="preserve">숲</x:t>
        </x:is>
      </x:c>
      <x:c r="AC921" s="5" t="inlineStr">
        <x:is>
          <x:t xml:space="preserve">gen9</x:t>
        </x:is>
      </x:c>
      <x:c r="AD921" s="5" t="inlineStr">
        <x:is>
          <x:t xml:space="preserve">.tmp/cobblemon-1.7.3-source/common/src/main/resources/data/cobblemon/species/generation9/tarountula.json</x:t>
        </x:is>
      </x:c>
    </x:row>
    <x:row r="922" ht="22" customHeight="1">
      <x:c r="A922" s="5" t="n">
        <x:v>918</x:v>
      </x:c>
      <x:c r="B922" s="5" t="inlineStr">
        <x:is>
          <x:t xml:space="preserve">트래피더</x:t>
        </x:is>
      </x:c>
      <x:c r="C922" s="5" t="inlineStr">
        <x:is>
          <x:t xml:space="preserve">spidops</x:t>
        </x:is>
      </x:c>
      <x:c r="D922" s="5" t="inlineStr">
        <x:is>
          <x:t xml:space="preserve">Spidops</x:t>
        </x:is>
      </x:c>
      <x:c r="E922" s="5" t="n">
        <x:v>9</x:v>
      </x:c>
      <x:c r="F922" s="5" t="inlineStr">
        <x:is>
          <x:t xml:space="preserve">벌레</x:t>
        </x:is>
      </x:c>
      <x:c r="G922" s="5" t="inlineStr">
        <x:is>
          <x:t xml:space="preserve"/>
        </x:is>
      </x:c>
      <x:c r="H922" s="5" t="n">
        <x:v>1</x:v>
      </x:c>
      <x:c r="I922" s="5" t="n">
        <x:v>16.5</x:v>
      </x:c>
      <x:c r="J922" s="5" t="n">
        <x:v>404</x:v>
      </x:c>
      <x:c r="K922" s="5" t="n">
        <x:v>120</x:v>
      </x:c>
      <x:c r="L922" s="5" t="inlineStr">
        <x:is>
          <x:t xml:space="preserve">최종</x:t>
        </x:is>
      </x:c>
      <x:c r="M922" s="5" t="n">
        <x:v>15</x:v>
      </x:c>
      <x:c r="N922" s="5" t="inlineStr">
        <x:is>
          <x:t xml:space="preserve">레벨</x:t>
        </x:is>
      </x:c>
      <x:c r="O922" s="5" t="inlineStr">
        <x:is>
          <x:t xml:space="preserve">예</x:t>
        </x:is>
      </x:c>
      <x:c r="P922" s="5" t="inlineStr">
        <x:is>
          <x:t xml:space="preserve">#cobblemon:is_forest; #cobblemon:is_jungle; #cobblemon:is_swamp</x:t>
        </x:is>
      </x:c>
      <x:c r="Q922" s="5" t="inlineStr">
        <x:is>
          <x:t xml:space="preserve">common</x:t>
        </x:is>
      </x:c>
      <x:c r="R922" s="5" t="inlineStr">
        <x:is>
          <x:t xml:space="preserve"/>
        </x:is>
      </x:c>
      <x:c r="S922" s="5" t="inlineStr">
        <x:is>
          <x:t xml:space="preserve"/>
        </x:is>
      </x:c>
      <x:c r="T922" s="5" t="inlineStr">
        <x:is>
          <x:t xml:space="preserve">육상</x:t>
        </x:is>
      </x:c>
      <x:c r="U922" s="5" t="inlineStr">
        <x:is>
          <x:t xml:space="preserve">수목</x:t>
        </x:is>
      </x:c>
      <x:c r="V922" s="5" t="inlineStr">
        <x:is>
          <x:t xml:space="preserve">온대</x:t>
        </x:is>
      </x:c>
      <x:c r="W922" s="5" t="inlineStr">
        <x:is>
          <x:t xml:space="preserve">다습</x:t>
        </x:is>
      </x:c>
      <x:c r="X922" s="5" t="inlineStr">
        <x:is>
          <x:t xml:space="preserve">무관</x:t>
        </x:is>
      </x:c>
      <x:c r="Y922" s="5" t="inlineStr">
        <x:is>
          <x:t xml:space="preserve">무관</x:t>
        </x:is>
      </x:c>
      <x:c r="Z922" s="5" t="inlineStr">
        <x:is>
          <x:t xml:space="preserve">흔함</x:t>
        </x:is>
      </x:c>
      <x:c r="AA922" s="5" t="inlineStr">
        <x:is>
          <x:t xml:space="preserve">없음</x:t>
        </x:is>
      </x:c>
      <x:c r="AB922" s="5" t="inlineStr">
        <x:is>
          <x:t xml:space="preserve">숲</x:t>
        </x:is>
      </x:c>
      <x:c r="AC922" s="5" t="inlineStr">
        <x:is>
          <x:t xml:space="preserve">gen9</x:t>
        </x:is>
      </x:c>
      <x:c r="AD922" s="5" t="inlineStr">
        <x:is>
          <x:t xml:space="preserve">.tmp/cobblemon-1.7.3-source/common/src/main/resources/data/cobblemon/species/generation9/spidops.json</x:t>
        </x:is>
      </x:c>
    </x:row>
    <x:row r="923" ht="22" customHeight="1">
      <x:c r="A923" s="5" t="n">
        <x:v>919</x:v>
      </x:c>
      <x:c r="B923" s="5" t="inlineStr">
        <x:is>
          <x:t xml:space="preserve">콩알뚜기</x:t>
        </x:is>
      </x:c>
      <x:c r="C923" s="5" t="inlineStr">
        <x:is>
          <x:t xml:space="preserve">nymble</x:t>
        </x:is>
      </x:c>
      <x:c r="D923" s="5" t="inlineStr">
        <x:is>
          <x:t xml:space="preserve">Nymble</x:t>
        </x:is>
      </x:c>
      <x:c r="E923" s="5" t="n">
        <x:v>9</x:v>
      </x:c>
      <x:c r="F923" s="5" t="inlineStr">
        <x:is>
          <x:t xml:space="preserve">벌레</x:t>
        </x:is>
      </x:c>
      <x:c r="G923" s="5" t="inlineStr">
        <x:is>
          <x:t xml:space="preserve"/>
        </x:is>
      </x:c>
      <x:c r="H923" s="5" t="n">
        <x:v>0.2</x:v>
      </x:c>
      <x:c r="I923" s="5" t="n">
        <x:v>1</x:v>
      </x:c>
      <x:c r="J923" s="5" t="n">
        <x:v>210</x:v>
      </x:c>
      <x:c r="K923" s="5" t="n">
        <x:v>190</x:v>
      </x:c>
      <x:c r="L923" s="5" t="inlineStr">
        <x:is>
          <x:t xml:space="preserve">기본</x:t>
        </x:is>
      </x:c>
      <x:c r="M923" s="5" t="n">
        <x:v>24</x:v>
      </x:c>
      <x:c r="N923" s="5" t="inlineStr">
        <x:is>
          <x:t xml:space="preserve">레벨</x:t>
        </x:is>
      </x:c>
      <x:c r="O923" s="5" t="inlineStr">
        <x:is>
          <x:t xml:space="preserve">아니오</x:t>
        </x:is>
      </x:c>
      <x:c r="P923" s="5" t="inlineStr">
        <x:is>
          <x:t xml:space="preserve">#cobblemon:is_badlands; #cobblemon:is_savanna</x:t>
        </x:is>
      </x:c>
      <x:c r="Q923" s="5" t="inlineStr">
        <x:is>
          <x:t xml:space="preserve">common</x:t>
        </x:is>
      </x:c>
      <x:c r="R923" s="5" t="inlineStr">
        <x:is>
          <x:t xml:space="preserve"/>
        </x:is>
      </x:c>
      <x:c r="S923" s="5" t="inlineStr">
        <x:is>
          <x:t xml:space="preserve"/>
        </x:is>
      </x:c>
      <x:c r="T923" s="5" t="inlineStr">
        <x:is>
          <x:t xml:space="preserve">육상</x:t>
        </x:is>
      </x:c>
      <x:c r="U923" s="5" t="inlineStr">
        <x:is>
          <x:t xml:space="preserve">건조</x:t>
        </x:is>
      </x:c>
      <x:c r="V923" s="5" t="inlineStr">
        <x:is>
          <x:t xml:space="preserve">고온</x:t>
        </x:is>
      </x:c>
      <x:c r="W923" s="5" t="inlineStr">
        <x:is>
          <x:t xml:space="preserve">건조</x:t>
        </x:is>
      </x:c>
      <x:c r="X923" s="5" t="inlineStr">
        <x:is>
          <x:t xml:space="preserve">맑음</x:t>
        </x:is>
      </x:c>
      <x:c r="Y923" s="5" t="inlineStr">
        <x:is>
          <x:t xml:space="preserve">무관</x:t>
        </x:is>
      </x:c>
      <x:c r="Z923" s="5" t="inlineStr">
        <x:is>
          <x:t xml:space="preserve">흔함</x:t>
        </x:is>
      </x:c>
      <x:c r="AA923" s="5" t="inlineStr">
        <x:is>
          <x:t xml:space="preserve">없음</x:t>
        </x:is>
      </x:c>
      <x:c r="AB923" s="5" t="inlineStr">
        <x:is>
          <x:t xml:space="preserve">건조지</x:t>
        </x:is>
      </x:c>
      <x:c r="AC923" s="5" t="inlineStr">
        <x:is>
          <x:t xml:space="preserve">gen9</x:t>
        </x:is>
      </x:c>
      <x:c r="AD923" s="5" t="inlineStr">
        <x:is>
          <x:t xml:space="preserve">.tmp/cobblemon-1.7.3-source/common/src/main/resources/data/cobblemon/species/generation9/nymble.json</x:t>
        </x:is>
      </x:c>
    </x:row>
    <x:row r="924" ht="22" customHeight="1">
      <x:c r="A924" s="5" t="n">
        <x:v>920</x:v>
      </x:c>
      <x:c r="B924" s="5" t="inlineStr">
        <x:is>
          <x:t xml:space="preserve">엑스레그</x:t>
        </x:is>
      </x:c>
      <x:c r="C924" s="5" t="inlineStr">
        <x:is>
          <x:t xml:space="preserve">lokix</x:t>
        </x:is>
      </x:c>
      <x:c r="D924" s="5" t="inlineStr">
        <x:is>
          <x:t xml:space="preserve">Lokix</x:t>
        </x:is>
      </x:c>
      <x:c r="E924" s="5" t="n">
        <x:v>9</x:v>
      </x:c>
      <x:c r="F924" s="5" t="inlineStr">
        <x:is>
          <x:t xml:space="preserve">벌레</x:t>
        </x:is>
      </x:c>
      <x:c r="G924" s="5" t="inlineStr">
        <x:is>
          <x:t xml:space="preserve">악</x:t>
        </x:is>
      </x:c>
      <x:c r="H924" s="5" t="n">
        <x:v>1</x:v>
      </x:c>
      <x:c r="I924" s="5" t="n">
        <x:v>17.5</x:v>
      </x:c>
      <x:c r="J924" s="5" t="n">
        <x:v>450</x:v>
      </x:c>
      <x:c r="K924" s="5" t="n">
        <x:v>30</x:v>
      </x:c>
      <x:c r="L924" s="5" t="inlineStr">
        <x:is>
          <x:t xml:space="preserve">최종</x:t>
        </x:is>
      </x:c>
      <x:c r="M924" s="5" t="n">
        <x:v>24</x:v>
      </x:c>
      <x:c r="N924" s="5" t="inlineStr">
        <x:is>
          <x:t xml:space="preserve">레벨</x:t>
        </x:is>
      </x:c>
      <x:c r="O924" s="5" t="inlineStr">
        <x:is>
          <x:t xml:space="preserve">아니오</x:t>
        </x:is>
      </x:c>
      <x:c r="P924" s="5" t="inlineStr">
        <x:is>
          <x:t xml:space="preserve">#cobblemon:is_badlands; #cobblemon:is_savanna</x:t>
        </x:is>
      </x:c>
      <x:c r="Q924" s="5" t="inlineStr">
        <x:is>
          <x:t xml:space="preserve">rare</x:t>
        </x:is>
      </x:c>
      <x:c r="R924" s="5" t="inlineStr">
        <x:is>
          <x:t xml:space="preserve"/>
        </x:is>
      </x:c>
      <x:c r="S924" s="5" t="inlineStr">
        <x:is>
          <x:t xml:space="preserve"/>
        </x:is>
      </x:c>
      <x:c r="T924" s="5" t="inlineStr">
        <x:is>
          <x:t xml:space="preserve">육상</x:t>
        </x:is>
      </x:c>
      <x:c r="U924" s="5" t="inlineStr">
        <x:is>
          <x:t xml:space="preserve">건조</x:t>
        </x:is>
      </x:c>
      <x:c r="V924" s="5" t="inlineStr">
        <x:is>
          <x:t xml:space="preserve">고온</x:t>
        </x:is>
      </x:c>
      <x:c r="W924" s="5" t="inlineStr">
        <x:is>
          <x:t xml:space="preserve">건조</x:t>
        </x:is>
      </x:c>
      <x:c r="X924" s="5" t="inlineStr">
        <x:is>
          <x:t xml:space="preserve">맑음</x:t>
        </x:is>
      </x:c>
      <x:c r="Y924" s="5" t="inlineStr">
        <x:is>
          <x:t xml:space="preserve">밤</x:t>
        </x:is>
      </x:c>
      <x:c r="Z924" s="5" t="inlineStr">
        <x:is>
          <x:t xml:space="preserve">드묾</x:t>
        </x:is>
      </x:c>
      <x:c r="AA924" s="5" t="inlineStr">
        <x:is>
          <x:t xml:space="preserve">없음</x:t>
        </x:is>
      </x:c>
      <x:c r="AB924" s="5" t="inlineStr">
        <x:is>
          <x:t xml:space="preserve">건조지</x:t>
        </x:is>
      </x:c>
      <x:c r="AC924" s="5" t="inlineStr">
        <x:is>
          <x:t xml:space="preserve">gen9</x:t>
        </x:is>
      </x:c>
      <x:c r="AD924" s="5" t="inlineStr">
        <x:is>
          <x:t xml:space="preserve">.tmp/cobblemon-1.7.3-source/common/src/main/resources/data/cobblemon/species/generation9/lokix.json</x:t>
        </x:is>
      </x:c>
    </x:row>
    <x:row r="925" ht="22" customHeight="1">
      <x:c r="A925" s="5" t="n">
        <x:v>921</x:v>
      </x:c>
      <x:c r="B925" s="5" t="inlineStr">
        <x:is>
          <x:t xml:space="preserve">빠모</x:t>
        </x:is>
      </x:c>
      <x:c r="C925" s="5" t="inlineStr">
        <x:is>
          <x:t xml:space="preserve">pawmi</x:t>
        </x:is>
      </x:c>
      <x:c r="D925" s="5" t="inlineStr">
        <x:is>
          <x:t xml:space="preserve">Pawmi</x:t>
        </x:is>
      </x:c>
      <x:c r="E925" s="5" t="n">
        <x:v>9</x:v>
      </x:c>
      <x:c r="F925" s="5" t="inlineStr">
        <x:is>
          <x:t xml:space="preserve">전기</x:t>
        </x:is>
      </x:c>
      <x:c r="G925" s="5" t="inlineStr">
        <x:is>
          <x:t xml:space="preserve"/>
        </x:is>
      </x:c>
      <x:c r="H925" s="5" t="n">
        <x:v>0.3</x:v>
      </x:c>
      <x:c r="I925" s="5" t="n">
        <x:v>2.5</x:v>
      </x:c>
      <x:c r="J925" s="5" t="n">
        <x:v>240</x:v>
      </x:c>
      <x:c r="K925" s="5" t="n">
        <x:v>190</x:v>
      </x:c>
      <x:c r="L925" s="5" t="inlineStr">
        <x:is>
          <x:t xml:space="preserve">기본</x:t>
        </x:is>
      </x:c>
      <x:c r="M925" s="5" t="n">
        <x:v>18</x:v>
      </x:c>
      <x:c r="N925" s="5" t="inlineStr">
        <x:is>
          <x:t xml:space="preserve">레벨·특수</x:t>
        </x:is>
      </x:c>
      <x:c r="O925" s="5" t="inlineStr">
        <x:is>
          <x:t xml:space="preserve">아니오</x:t>
        </x:is>
      </x:c>
      <x:c r="P925" s="5" t="inlineStr">
        <x:is>
          <x:t xml:space="preserve">#cobblemon:is_plains</x:t>
        </x:is>
      </x:c>
      <x:c r="Q925" s="5" t="inlineStr">
        <x:is>
          <x:t xml:space="preserve">uncommon</x:t>
        </x:is>
      </x:c>
      <x:c r="R925" s="5" t="inlineStr">
        <x:is>
          <x:t xml:space="preserve"/>
        </x:is>
      </x:c>
      <x:c r="S925" s="5" t="inlineStr">
        <x:is>
          <x:t xml:space="preserve"/>
        </x:is>
      </x:c>
      <x:c r="T925" s="5" t="inlineStr">
        <x:is>
          <x:t xml:space="preserve">육상</x:t>
        </x:is>
      </x:c>
      <x:c r="U925" s="5" t="inlineStr">
        <x:is>
          <x:t xml:space="preserve">개활지</x:t>
        </x:is>
      </x:c>
      <x:c r="V925" s="5" t="inlineStr">
        <x:is>
          <x:t xml:space="preserve">온대</x:t>
        </x:is>
      </x:c>
      <x:c r="W925" s="5" t="inlineStr">
        <x:is>
          <x:t xml:space="preserve">보통</x:t>
        </x:is>
      </x:c>
      <x:c r="X925" s="5" t="inlineStr">
        <x:is>
          <x:t xml:space="preserve">무관</x:t>
        </x:is>
      </x:c>
      <x:c r="Y925" s="5" t="inlineStr">
        <x:is>
          <x:t xml:space="preserve">무관</x:t>
        </x:is>
      </x:c>
      <x:c r="Z925" s="5" t="inlineStr">
        <x:is>
          <x:t xml:space="preserve">보통</x:t>
        </x:is>
      </x:c>
      <x:c r="AA925" s="5" t="inlineStr">
        <x:is>
          <x:t xml:space="preserve">없음</x:t>
        </x:is>
      </x:c>
      <x:c r="AB925" s="5" t="inlineStr">
        <x:is>
          <x:t xml:space="preserve">평원</x:t>
        </x:is>
      </x:c>
      <x:c r="AC925" s="5" t="inlineStr">
        <x:is>
          <x:t xml:space="preserve">gen9</x:t>
        </x:is>
      </x:c>
      <x:c r="AD925" s="5" t="inlineStr">
        <x:is>
          <x:t xml:space="preserve">.tmp/cobblemon-1.7.3-source/common/src/main/resources/data/cobblemon/species/generation9/pawmi.json</x:t>
        </x:is>
      </x:c>
    </x:row>
    <x:row r="926" ht="22" customHeight="1">
      <x:c r="A926" s="5" t="n">
        <x:v>922</x:v>
      </x:c>
      <x:c r="B926" s="5" t="inlineStr">
        <x:is>
          <x:t xml:space="preserve">빠모트</x:t>
        </x:is>
      </x:c>
      <x:c r="C926" s="5" t="inlineStr">
        <x:is>
          <x:t xml:space="preserve">pawmo</x:t>
        </x:is>
      </x:c>
      <x:c r="D926" s="5" t="inlineStr">
        <x:is>
          <x:t xml:space="preserve">Pawmo</x:t>
        </x:is>
      </x:c>
      <x:c r="E926" s="5" t="n">
        <x:v>9</x:v>
      </x:c>
      <x:c r="F926" s="5" t="inlineStr">
        <x:is>
          <x:t xml:space="preserve">전기</x:t>
        </x:is>
      </x:c>
      <x:c r="G926" s="5" t="inlineStr">
        <x:is>
          <x:t xml:space="preserve">격투</x:t>
        </x:is>
      </x:c>
      <x:c r="H926" s="5" t="n">
        <x:v>0.4</x:v>
      </x:c>
      <x:c r="I926" s="5" t="n">
        <x:v>6.5</x:v>
      </x:c>
      <x:c r="J926" s="5" t="n">
        <x:v>350</x:v>
      </x:c>
      <x:c r="K926" s="5" t="n">
        <x:v>80</x:v>
      </x:c>
      <x:c r="L926" s="5" t="inlineStr">
        <x:is>
          <x:t xml:space="preserve">중간</x:t>
        </x:is>
      </x:c>
      <x:c r="M926" s="5" t="n">
        <x:v>18</x:v>
      </x:c>
      <x:c r="N926" s="5" t="inlineStr">
        <x:is>
          <x:t xml:space="preserve">레벨·특수</x:t>
        </x:is>
      </x:c>
      <x:c r="O926" s="5" t="inlineStr">
        <x:is>
          <x:t xml:space="preserve">아니오</x:t>
        </x:is>
      </x:c>
      <x:c r="P926" s="5" t="inlineStr">
        <x:is>
          <x:t xml:space="preserve">#cobblemon:is_plains</x:t>
        </x:is>
      </x:c>
      <x:c r="Q926" s="5" t="inlineStr">
        <x:is>
          <x:t xml:space="preserve">uncommon</x:t>
        </x:is>
      </x:c>
      <x:c r="R926" s="5" t="inlineStr">
        <x:is>
          <x:t xml:space="preserve"/>
        </x:is>
      </x:c>
      <x:c r="S926" s="5" t="inlineStr">
        <x:is>
          <x:t xml:space="preserve"/>
        </x:is>
      </x:c>
      <x:c r="T926" s="5" t="inlineStr">
        <x:is>
          <x:t xml:space="preserve">육상</x:t>
        </x:is>
      </x:c>
      <x:c r="U926" s="5" t="inlineStr">
        <x:is>
          <x:t xml:space="preserve">개활지</x:t>
        </x:is>
      </x:c>
      <x:c r="V926" s="5" t="inlineStr">
        <x:is>
          <x:t xml:space="preserve">온대</x:t>
        </x:is>
      </x:c>
      <x:c r="W926" s="5" t="inlineStr">
        <x:is>
          <x:t xml:space="preserve">보통</x:t>
        </x:is>
      </x:c>
      <x:c r="X926" s="5" t="inlineStr">
        <x:is>
          <x:t xml:space="preserve">무관</x:t>
        </x:is>
      </x:c>
      <x:c r="Y926" s="5" t="inlineStr">
        <x:is>
          <x:t xml:space="preserve">무관</x:t>
        </x:is>
      </x:c>
      <x:c r="Z926" s="5" t="inlineStr">
        <x:is>
          <x:t xml:space="preserve">보통</x:t>
        </x:is>
      </x:c>
      <x:c r="AA926" s="5" t="inlineStr">
        <x:is>
          <x:t xml:space="preserve">없음</x:t>
        </x:is>
      </x:c>
      <x:c r="AB926" s="5" t="inlineStr">
        <x:is>
          <x:t xml:space="preserve">평원</x:t>
        </x:is>
      </x:c>
      <x:c r="AC926" s="5" t="inlineStr">
        <x:is>
          <x:t xml:space="preserve">gen9</x:t>
        </x:is>
      </x:c>
      <x:c r="AD926" s="5" t="inlineStr">
        <x:is>
          <x:t xml:space="preserve">.tmp/cobblemon-1.7.3-source/common/src/main/resources/data/cobblemon/species/generation9/pawmo.json</x:t>
        </x:is>
      </x:c>
    </x:row>
    <x:row r="927" ht="22" customHeight="1">
      <x:c r="A927" s="5" t="n">
        <x:v>923</x:v>
      </x:c>
      <x:c r="B927" s="5" t="inlineStr">
        <x:is>
          <x:t xml:space="preserve">빠르모트</x:t>
        </x:is>
      </x:c>
      <x:c r="C927" s="5" t="inlineStr">
        <x:is>
          <x:t xml:space="preserve">pawmot</x:t>
        </x:is>
      </x:c>
      <x:c r="D927" s="5" t="inlineStr">
        <x:is>
          <x:t xml:space="preserve">Pawmot</x:t>
        </x:is>
      </x:c>
      <x:c r="E927" s="5" t="n">
        <x:v>9</x:v>
      </x:c>
      <x:c r="F927" s="5" t="inlineStr">
        <x:is>
          <x:t xml:space="preserve">전기</x:t>
        </x:is>
      </x:c>
      <x:c r="G927" s="5" t="inlineStr">
        <x:is>
          <x:t xml:space="preserve">격투</x:t>
        </x:is>
      </x:c>
      <x:c r="H927" s="5" t="n">
        <x:v>0.9</x:v>
      </x:c>
      <x:c r="I927" s="5" t="n">
        <x:v>41</x:v>
      </x:c>
      <x:c r="J927" s="5" t="n">
        <x:v>490</x:v>
      </x:c>
      <x:c r="K927" s="5" t="n">
        <x:v>45</x:v>
      </x:c>
      <x:c r="L927" s="5" t="inlineStr">
        <x:is>
          <x:t xml:space="preserve">최종</x:t>
        </x:is>
      </x:c>
      <x:c r="M927" s="5" t="n">
        <x:v>18</x:v>
      </x:c>
      <x:c r="N927" s="5" t="inlineStr">
        <x:is>
          <x:t xml:space="preserve">레벨·특수</x:t>
        </x:is>
      </x:c>
      <x:c r="O927" s="5" t="inlineStr">
        <x:is>
          <x:t xml:space="preserve">아니오</x:t>
        </x:is>
      </x:c>
      <x:c r="P927" s="5" t="inlineStr">
        <x:is>
          <x:t xml:space="preserve">#cobblemon:is_plains</x:t>
        </x:is>
      </x:c>
      <x:c r="Q927" s="5" t="inlineStr">
        <x:is>
          <x:t xml:space="preserve">rare</x:t>
        </x:is>
      </x:c>
      <x:c r="R927" s="5" t="inlineStr">
        <x:is>
          <x:t xml:space="preserve"/>
        </x:is>
      </x:c>
      <x:c r="S927" s="5" t="inlineStr">
        <x:is>
          <x:t xml:space="preserve"/>
        </x:is>
      </x:c>
      <x:c r="T927" s="5" t="inlineStr">
        <x:is>
          <x:t xml:space="preserve">육상</x:t>
        </x:is>
      </x:c>
      <x:c r="U927" s="5" t="inlineStr">
        <x:is>
          <x:t xml:space="preserve">개활지</x:t>
        </x:is>
      </x:c>
      <x:c r="V927" s="5" t="inlineStr">
        <x:is>
          <x:t xml:space="preserve">온대</x:t>
        </x:is>
      </x:c>
      <x:c r="W927" s="5" t="inlineStr">
        <x:is>
          <x:t xml:space="preserve">보통</x:t>
        </x:is>
      </x:c>
      <x:c r="X927" s="5" t="inlineStr">
        <x:is>
          <x:t xml:space="preserve">무관</x:t>
        </x:is>
      </x:c>
      <x:c r="Y927" s="5" t="inlineStr">
        <x:is>
          <x:t xml:space="preserve">무관</x:t>
        </x:is>
      </x:c>
      <x:c r="Z927" s="5" t="inlineStr">
        <x:is>
          <x:t xml:space="preserve">드묾</x:t>
        </x:is>
      </x:c>
      <x:c r="AA927" s="5" t="inlineStr">
        <x:is>
          <x:t xml:space="preserve">없음</x:t>
        </x:is>
      </x:c>
      <x:c r="AB927" s="5" t="inlineStr">
        <x:is>
          <x:t xml:space="preserve">평원</x:t>
        </x:is>
      </x:c>
      <x:c r="AC927" s="5" t="inlineStr">
        <x:is>
          <x:t xml:space="preserve">gen9</x:t>
        </x:is>
      </x:c>
      <x:c r="AD927" s="5" t="inlineStr">
        <x:is>
          <x:t xml:space="preserve">.tmp/cobblemon-1.7.3-source/common/src/main/resources/data/cobblemon/species/generation9/pawmot.json</x:t>
        </x:is>
      </x:c>
    </x:row>
    <x:row r="928" ht="22" customHeight="1">
      <x:c r="A928" s="5" t="n">
        <x:v>924</x:v>
      </x:c>
      <x:c r="B928" s="5" t="inlineStr">
        <x:is>
          <x:t xml:space="preserve">두리쥐</x:t>
        </x:is>
      </x:c>
      <x:c r="C928" s="5" t="inlineStr">
        <x:is>
          <x:t xml:space="preserve">tandemaus</x:t>
        </x:is>
      </x:c>
      <x:c r="D928" s="5" t="inlineStr">
        <x:is>
          <x:t xml:space="preserve">Tandemaus</x:t>
        </x:is>
      </x:c>
      <x:c r="E928" s="5" t="n">
        <x:v>9</x:v>
      </x:c>
      <x:c r="F928" s="5" t="inlineStr">
        <x:is>
          <x:t xml:space="preserve">노말</x:t>
        </x:is>
      </x:c>
      <x:c r="G928" s="5" t="inlineStr">
        <x:is>
          <x:t xml:space="preserve"/>
        </x:is>
      </x:c>
      <x:c r="H928" s="5" t="n">
        <x:v>0.3</x:v>
      </x:c>
      <x:c r="I928" s="5" t="n">
        <x:v>1.8</x:v>
      </x:c>
      <x:c r="J928" s="5" t="n">
        <x:v>305</x:v>
      </x:c>
      <x:c r="K928" s="5" t="n">
        <x:v>150</x:v>
      </x:c>
      <x:c r="L928" s="5" t="inlineStr">
        <x:is>
          <x:t xml:space="preserve">기본</x:t>
        </x:is>
      </x:c>
      <x:c r="M928" s="5" t="n">
        <x:v>25</x:v>
      </x:c>
      <x:c r="N928" s="5" t="inlineStr">
        <x:is>
          <x:t xml:space="preserve">레벨</x:t>
        </x:is>
      </x:c>
      <x:c r="O928" s="5" t="inlineStr">
        <x:is>
          <x:t xml:space="preserve">예</x:t>
        </x:is>
      </x:c>
      <x:c r="P928" s="5" t="inlineStr">
        <x:is>
          <x:t xml:space="preserve">#aether:is_aether; #cobblemon:is_overworld; #cobblemon:is_temperate</x:t>
        </x:is>
      </x:c>
      <x:c r="Q928" s="5" t="inlineStr">
        <x:is>
          <x:t xml:space="preserve">common</x:t>
        </x:is>
      </x:c>
      <x:c r="R928" s="5" t="inlineStr">
        <x:is>
          <x:t xml:space="preserve"/>
        </x:is>
      </x:c>
      <x:c r="S928" s="5" t="inlineStr">
        <x:is>
          <x:t xml:space="preserve"/>
        </x:is>
      </x:c>
      <x:c r="T928" s="5" t="inlineStr">
        <x:is>
          <x:t xml:space="preserve">육상</x:t>
        </x:is>
      </x:c>
      <x:c r="U928" s="5" t="inlineStr">
        <x:is>
          <x:t xml:space="preserve">개활지</x:t>
        </x:is>
      </x:c>
      <x:c r="V928" s="5" t="inlineStr">
        <x:is>
          <x:t xml:space="preserve">온대</x:t>
        </x:is>
      </x:c>
      <x:c r="W928" s="5" t="inlineStr">
        <x:is>
          <x:t xml:space="preserve">보통</x:t>
        </x:is>
      </x:c>
      <x:c r="X928" s="5" t="inlineStr">
        <x:is>
          <x:t xml:space="preserve">무관</x:t>
        </x:is>
      </x:c>
      <x:c r="Y928" s="5" t="inlineStr">
        <x:is>
          <x:t xml:space="preserve">무관</x:t>
        </x:is>
      </x:c>
      <x:c r="Z928" s="5" t="inlineStr">
        <x:is>
          <x:t xml:space="preserve">흔함</x:t>
        </x:is>
      </x:c>
      <x:c r="AA928" s="5" t="inlineStr">
        <x:is>
          <x:t xml:space="preserve">없음</x:t>
        </x:is>
      </x:c>
      <x:c r="AB928" s="5" t="inlineStr">
        <x:is>
          <x:t xml:space="preserve"/>
        </x:is>
      </x:c>
      <x:c r="AC928" s="5" t="inlineStr">
        <x:is>
          <x:t xml:space="preserve">gen9</x:t>
        </x:is>
      </x:c>
      <x:c r="AD928" s="5" t="inlineStr">
        <x:is>
          <x:t xml:space="preserve">.tmp/cobblemon-1.7.3-source/common/src/main/resources/data/cobblemon/species/generation9/tandemaus.json</x:t>
        </x:is>
      </x:c>
    </x:row>
    <x:row r="929" ht="22" customHeight="1">
      <x:c r="A929" s="5" t="n">
        <x:v>925</x:v>
      </x:c>
      <x:c r="B929" s="5" t="inlineStr">
        <x:is>
          <x:t xml:space="preserve">파밀리쥐</x:t>
        </x:is>
      </x:c>
      <x:c r="C929" s="5" t="inlineStr">
        <x:is>
          <x:t xml:space="preserve">maushold</x:t>
        </x:is>
      </x:c>
      <x:c r="D929" s="5" t="inlineStr">
        <x:is>
          <x:t xml:space="preserve">Maushold</x:t>
        </x:is>
      </x:c>
      <x:c r="E929" s="5" t="n">
        <x:v>9</x:v>
      </x:c>
      <x:c r="F929" s="5" t="inlineStr">
        <x:is>
          <x:t xml:space="preserve">노말</x:t>
        </x:is>
      </x:c>
      <x:c r="G929" s="5" t="inlineStr">
        <x:is>
          <x:t xml:space="preserve"/>
        </x:is>
      </x:c>
      <x:c r="H929" s="5" t="n">
        <x:v>0.3</x:v>
      </x:c>
      <x:c r="I929" s="5" t="n">
        <x:v>2.3</x:v>
      </x:c>
      <x:c r="J929" s="5" t="n">
        <x:v>470</x:v>
      </x:c>
      <x:c r="K929" s="5" t="n">
        <x:v>75</x:v>
      </x:c>
      <x:c r="L929" s="5" t="inlineStr">
        <x:is>
          <x:t xml:space="preserve">최종</x:t>
        </x:is>
      </x:c>
      <x:c r="M929" s="5" t="n">
        <x:v>25</x:v>
      </x:c>
      <x:c r="N929" s="5" t="inlineStr">
        <x:is>
          <x:t xml:space="preserve">레벨</x:t>
        </x:is>
      </x:c>
      <x:c r="O929" s="5" t="inlineStr">
        <x:is>
          <x:t xml:space="preserve">예</x:t>
        </x:is>
      </x:c>
      <x:c r="P929" s="5" t="inlineStr">
        <x:is>
          <x:t xml:space="preserve">#aether:is_aether; #cobblemon:is_overworld; #cobblemon:is_temperate</x:t>
        </x:is>
      </x:c>
      <x:c r="Q929" s="5" t="inlineStr">
        <x:is>
          <x:t xml:space="preserve">common</x:t>
        </x:is>
      </x:c>
      <x:c r="R929" s="5" t="inlineStr">
        <x:is>
          <x:t xml:space="preserve"/>
        </x:is>
      </x:c>
      <x:c r="S929" s="5" t="inlineStr">
        <x:is>
          <x:t xml:space="preserve"/>
        </x:is>
      </x:c>
      <x:c r="T929" s="5" t="inlineStr">
        <x:is>
          <x:t xml:space="preserve">육상</x:t>
        </x:is>
      </x:c>
      <x:c r="U929" s="5" t="inlineStr">
        <x:is>
          <x:t xml:space="preserve">개활지</x:t>
        </x:is>
      </x:c>
      <x:c r="V929" s="5" t="inlineStr">
        <x:is>
          <x:t xml:space="preserve">온대</x:t>
        </x:is>
      </x:c>
      <x:c r="W929" s="5" t="inlineStr">
        <x:is>
          <x:t xml:space="preserve">보통</x:t>
        </x:is>
      </x:c>
      <x:c r="X929" s="5" t="inlineStr">
        <x:is>
          <x:t xml:space="preserve">무관</x:t>
        </x:is>
      </x:c>
      <x:c r="Y929" s="5" t="inlineStr">
        <x:is>
          <x:t xml:space="preserve">무관</x:t>
        </x:is>
      </x:c>
      <x:c r="Z929" s="5" t="inlineStr">
        <x:is>
          <x:t xml:space="preserve">흔함</x:t>
        </x:is>
      </x:c>
      <x:c r="AA929" s="5" t="inlineStr">
        <x:is>
          <x:t xml:space="preserve">없음</x:t>
        </x:is>
      </x:c>
      <x:c r="AB929" s="5" t="inlineStr">
        <x:is>
          <x:t xml:space="preserve"/>
        </x:is>
      </x:c>
      <x:c r="AC929" s="5" t="inlineStr">
        <x:is>
          <x:t xml:space="preserve">gen9</x:t>
        </x:is>
      </x:c>
      <x:c r="AD929" s="5" t="inlineStr">
        <x:is>
          <x:t xml:space="preserve">.tmp/cobblemon-1.7.3-source/common/src/main/resources/data/cobblemon/species/generation9/maushold.json</x:t>
        </x:is>
      </x:c>
    </x:row>
    <x:row r="930" ht="22" customHeight="1">
      <x:c r="A930" s="5" t="n">
        <x:v>926</x:v>
      </x:c>
      <x:c r="B930" s="5" t="inlineStr">
        <x:is>
          <x:t xml:space="preserve">쫀도기</x:t>
        </x:is>
      </x:c>
      <x:c r="C930" s="5" t="inlineStr">
        <x:is>
          <x:t xml:space="preserve">fidough</x:t>
        </x:is>
      </x:c>
      <x:c r="D930" s="5" t="inlineStr">
        <x:is>
          <x:t xml:space="preserve">Fidough</x:t>
        </x:is>
      </x:c>
      <x:c r="E930" s="5" t="n">
        <x:v>9</x:v>
      </x:c>
      <x:c r="F930" s="5" t="inlineStr">
        <x:is>
          <x:t xml:space="preserve">페어리</x:t>
        </x:is>
      </x:c>
      <x:c r="G930" s="5" t="inlineStr">
        <x:is>
          <x:t xml:space="preserve"/>
        </x:is>
      </x:c>
      <x:c r="H930" s="5" t="n">
        <x:v>0.3</x:v>
      </x:c>
      <x:c r="I930" s="5" t="n">
        <x:v>10.9</x:v>
      </x:c>
      <x:c r="J930" s="5" t="n">
        <x:v>312</x:v>
      </x:c>
      <x:c r="K930" s="5" t="n">
        <x:v>190</x:v>
      </x:c>
      <x:c r="L930" s="5" t="inlineStr">
        <x:is>
          <x:t xml:space="preserve">기본</x:t>
        </x:is>
      </x:c>
      <x:c r="M930" s="5" t="n">
        <x:v>26</x:v>
      </x:c>
      <x:c r="N930" s="5" t="inlineStr">
        <x:is>
          <x:t xml:space="preserve">레벨</x:t>
        </x:is>
      </x:c>
      <x:c r="O930" s="5" t="inlineStr">
        <x:is>
          <x:t xml:space="preserve">예</x:t>
        </x:is>
      </x:c>
      <x:c r="P930" s="5" t="inlineStr">
        <x:is>
          <x:t xml:space="preserve">#cobblemon:is_overworld</x:t>
        </x:is>
      </x:c>
      <x:c r="Q930" s="5" t="inlineStr">
        <x:is>
          <x:t xml:space="preserve">common</x:t>
        </x:is>
      </x:c>
      <x:c r="R930" s="5" t="inlineStr">
        <x:is>
          <x:t xml:space="preserve"/>
        </x:is>
      </x:c>
      <x:c r="S930" s="5" t="inlineStr">
        <x:is>
          <x:t xml:space="preserve"/>
        </x:is>
      </x:c>
      <x:c r="T930" s="5" t="inlineStr">
        <x:is>
          <x:t xml:space="preserve">육상</x:t>
        </x:is>
      </x:c>
      <x:c r="U930" s="5" t="inlineStr">
        <x:is>
          <x:t xml:space="preserve">개활지</x:t>
        </x:is>
      </x:c>
      <x:c r="V930" s="5" t="inlineStr">
        <x:is>
          <x:t xml:space="preserve">온대</x:t>
        </x:is>
      </x:c>
      <x:c r="W930" s="5" t="inlineStr">
        <x:is>
          <x:t xml:space="preserve">보통</x:t>
        </x:is>
      </x:c>
      <x:c r="X930" s="5" t="inlineStr">
        <x:is>
          <x:t xml:space="preserve">무관</x:t>
        </x:is>
      </x:c>
      <x:c r="Y930" s="5" t="inlineStr">
        <x:is>
          <x:t xml:space="preserve">무관</x:t>
        </x:is>
      </x:c>
      <x:c r="Z930" s="5" t="inlineStr">
        <x:is>
          <x:t xml:space="preserve">흔함</x:t>
        </x:is>
      </x:c>
      <x:c r="AA930" s="5" t="inlineStr">
        <x:is>
          <x:t xml:space="preserve">없음</x:t>
        </x:is>
      </x:c>
      <x:c r="AB930" s="5" t="inlineStr">
        <x:is>
          <x:t xml:space="preserve"/>
        </x:is>
      </x:c>
      <x:c r="AC930" s="5" t="inlineStr">
        <x:is>
          <x:t xml:space="preserve">gen9</x:t>
        </x:is>
      </x:c>
      <x:c r="AD930" s="5" t="inlineStr">
        <x:is>
          <x:t xml:space="preserve">.tmp/cobblemon-1.7.3-source/common/src/main/resources/data/cobblemon/species/generation9/fidough.json</x:t>
        </x:is>
      </x:c>
    </x:row>
    <x:row r="931" ht="22" customHeight="1">
      <x:c r="A931" s="5" t="n">
        <x:v>927</x:v>
      </x:c>
      <x:c r="B931" s="5" t="inlineStr">
        <x:is>
          <x:t xml:space="preserve">바우첼</x:t>
        </x:is>
      </x:c>
      <x:c r="C931" s="5" t="inlineStr">
        <x:is>
          <x:t xml:space="preserve">dachsbun</x:t>
        </x:is>
      </x:c>
      <x:c r="D931" s="5" t="inlineStr">
        <x:is>
          <x:t xml:space="preserve">Dachsbun</x:t>
        </x:is>
      </x:c>
      <x:c r="E931" s="5" t="n">
        <x:v>9</x:v>
      </x:c>
      <x:c r="F931" s="5" t="inlineStr">
        <x:is>
          <x:t xml:space="preserve">페어리</x:t>
        </x:is>
      </x:c>
      <x:c r="G931" s="5" t="inlineStr">
        <x:is>
          <x:t xml:space="preserve"/>
        </x:is>
      </x:c>
      <x:c r="H931" s="5" t="n">
        <x:v>0.5</x:v>
      </x:c>
      <x:c r="I931" s="5" t="n">
        <x:v>14.9</x:v>
      </x:c>
      <x:c r="J931" s="5" t="n">
        <x:v>477</x:v>
      </x:c>
      <x:c r="K931" s="5" t="n">
        <x:v>90</x:v>
      </x:c>
      <x:c r="L931" s="5" t="inlineStr">
        <x:is>
          <x:t xml:space="preserve">최종</x:t>
        </x:is>
      </x:c>
      <x:c r="M931" s="5" t="n">
        <x:v>26</x:v>
      </x:c>
      <x:c r="N931" s="5" t="inlineStr">
        <x:is>
          <x:t xml:space="preserve">레벨</x:t>
        </x:is>
      </x:c>
      <x:c r="O931" s="5" t="inlineStr">
        <x:is>
          <x:t xml:space="preserve">예</x:t>
        </x:is>
      </x:c>
      <x:c r="P931" s="5" t="inlineStr">
        <x:is>
          <x:t xml:space="preserve">#cobblemon:is_overworld</x:t>
        </x:is>
      </x:c>
      <x:c r="Q931" s="5" t="inlineStr">
        <x:is>
          <x:t xml:space="preserve">common</x:t>
        </x:is>
      </x:c>
      <x:c r="R931" s="5" t="inlineStr">
        <x:is>
          <x:t xml:space="preserve"/>
        </x:is>
      </x:c>
      <x:c r="S931" s="5" t="inlineStr">
        <x:is>
          <x:t xml:space="preserve"/>
        </x:is>
      </x:c>
      <x:c r="T931" s="5" t="inlineStr">
        <x:is>
          <x:t xml:space="preserve">육상</x:t>
        </x:is>
      </x:c>
      <x:c r="U931" s="5" t="inlineStr">
        <x:is>
          <x:t xml:space="preserve">개활지</x:t>
        </x:is>
      </x:c>
      <x:c r="V931" s="5" t="inlineStr">
        <x:is>
          <x:t xml:space="preserve">온대</x:t>
        </x:is>
      </x:c>
      <x:c r="W931" s="5" t="inlineStr">
        <x:is>
          <x:t xml:space="preserve">보통</x:t>
        </x:is>
      </x:c>
      <x:c r="X931" s="5" t="inlineStr">
        <x:is>
          <x:t xml:space="preserve">무관</x:t>
        </x:is>
      </x:c>
      <x:c r="Y931" s="5" t="inlineStr">
        <x:is>
          <x:t xml:space="preserve">무관</x:t>
        </x:is>
      </x:c>
      <x:c r="Z931" s="5" t="inlineStr">
        <x:is>
          <x:t xml:space="preserve">흔함</x:t>
        </x:is>
      </x:c>
      <x:c r="AA931" s="5" t="inlineStr">
        <x:is>
          <x:t xml:space="preserve">없음</x:t>
        </x:is>
      </x:c>
      <x:c r="AB931" s="5" t="inlineStr">
        <x:is>
          <x:t xml:space="preserve"/>
        </x:is>
      </x:c>
      <x:c r="AC931" s="5" t="inlineStr">
        <x:is>
          <x:t xml:space="preserve">gen9</x:t>
        </x:is>
      </x:c>
      <x:c r="AD931" s="5" t="inlineStr">
        <x:is>
          <x:t xml:space="preserve">.tmp/cobblemon-1.7.3-source/common/src/main/resources/data/cobblemon/species/generation9/dachsbun.json</x:t>
        </x:is>
      </x:c>
    </x:row>
    <x:row r="932" ht="22" customHeight="1">
      <x:c r="A932" s="5" t="n">
        <x:v>928</x:v>
      </x:c>
      <x:c r="B932" s="5" t="inlineStr">
        <x:is>
          <x:t xml:space="preserve">미니브</x:t>
        </x:is>
      </x:c>
      <x:c r="C932" s="5" t="inlineStr">
        <x:is>
          <x:t xml:space="preserve">smoliv</x:t>
        </x:is>
      </x:c>
      <x:c r="D932" s="5" t="inlineStr">
        <x:is>
          <x:t xml:space="preserve">Smoliv</x:t>
        </x:is>
      </x:c>
      <x:c r="E932" s="5" t="n">
        <x:v>9</x:v>
      </x:c>
      <x:c r="F932" s="5" t="inlineStr">
        <x:is>
          <x:t xml:space="preserve">풀</x:t>
        </x:is>
      </x:c>
      <x:c r="G932" s="5" t="inlineStr">
        <x:is>
          <x:t xml:space="preserve">노말</x:t>
        </x:is>
      </x:c>
      <x:c r="H932" s="5" t="n">
        <x:v>0.3</x:v>
      </x:c>
      <x:c r="I932" s="5" t="n">
        <x:v>6.5</x:v>
      </x:c>
      <x:c r="J932" s="5" t="n">
        <x:v>260</x:v>
      </x:c>
      <x:c r="K932" s="5" t="n">
        <x:v>255</x:v>
      </x:c>
      <x:c r="L932" s="5" t="inlineStr">
        <x:is>
          <x:t xml:space="preserve">기본</x:t>
        </x:is>
      </x:c>
      <x:c r="M932" s="5" t="n">
        <x:v>35</x:v>
      </x:c>
      <x:c r="N932" s="5" t="inlineStr">
        <x:is>
          <x:t xml:space="preserve">레벨</x:t>
        </x:is>
      </x:c>
      <x:c r="O932" s="5" t="inlineStr">
        <x:is>
          <x:t xml:space="preserve">예</x:t>
        </x:is>
      </x:c>
      <x:c r="P932" s="5" t="inlineStr">
        <x:is>
          <x:t xml:space="preserve">#cobblemon:is_grassland</x:t>
        </x:is>
      </x:c>
      <x:c r="Q932" s="5" t="inlineStr">
        <x:is>
          <x:t xml:space="preserve">uncommon</x:t>
        </x:is>
      </x:c>
      <x:c r="R932" s="5" t="inlineStr">
        <x:is>
          <x:t xml:space="preserve"/>
        </x:is>
      </x:c>
      <x:c r="S932" s="5" t="inlineStr">
        <x:is>
          <x:t xml:space="preserve"/>
        </x:is>
      </x:c>
      <x:c r="T932" s="5" t="inlineStr">
        <x:is>
          <x:t xml:space="preserve">육상</x:t>
        </x:is>
      </x:c>
      <x:c r="U932" s="5" t="inlineStr">
        <x:is>
          <x:t xml:space="preserve">개활지</x:t>
        </x:is>
      </x:c>
      <x:c r="V932" s="5" t="inlineStr">
        <x:is>
          <x:t xml:space="preserve">온대</x:t>
        </x:is>
      </x:c>
      <x:c r="W932" s="5" t="inlineStr">
        <x:is>
          <x:t xml:space="preserve">보통</x:t>
        </x:is>
      </x:c>
      <x:c r="X932" s="5" t="inlineStr">
        <x:is>
          <x:t xml:space="preserve">무관</x:t>
        </x:is>
      </x:c>
      <x:c r="Y932" s="5" t="inlineStr">
        <x:is>
          <x:t xml:space="preserve">무관</x:t>
        </x:is>
      </x:c>
      <x:c r="Z932" s="5" t="inlineStr">
        <x:is>
          <x:t xml:space="preserve">보통</x:t>
        </x:is>
      </x:c>
      <x:c r="AA932" s="5" t="inlineStr">
        <x:is>
          <x:t xml:space="preserve">없음</x:t>
        </x:is>
      </x:c>
      <x:c r="AB932" s="5" t="inlineStr">
        <x:is>
          <x:t xml:space="preserve">평원</x:t>
        </x:is>
      </x:c>
      <x:c r="AC932" s="5" t="inlineStr">
        <x:is>
          <x:t xml:space="preserve">gen9</x:t>
        </x:is>
      </x:c>
      <x:c r="AD932" s="5" t="inlineStr">
        <x:is>
          <x:t xml:space="preserve">.tmp/cobblemon-1.7.3-source/common/src/main/resources/data/cobblemon/species/generation9/smoliv.json</x:t>
        </x:is>
      </x:c>
    </x:row>
    <x:row r="933" ht="22" customHeight="1">
      <x:c r="A933" s="5" t="n">
        <x:v>929</x:v>
      </x:c>
      <x:c r="B933" s="5" t="inlineStr">
        <x:is>
          <x:t xml:space="preserve">올리뇨</x:t>
        </x:is>
      </x:c>
      <x:c r="C933" s="5" t="inlineStr">
        <x:is>
          <x:t xml:space="preserve">dolliv</x:t>
        </x:is>
      </x:c>
      <x:c r="D933" s="5" t="inlineStr">
        <x:is>
          <x:t xml:space="preserve">Dolliv</x:t>
        </x:is>
      </x:c>
      <x:c r="E933" s="5" t="n">
        <x:v>9</x:v>
      </x:c>
      <x:c r="F933" s="5" t="inlineStr">
        <x:is>
          <x:t xml:space="preserve">풀</x:t>
        </x:is>
      </x:c>
      <x:c r="G933" s="5" t="inlineStr">
        <x:is>
          <x:t xml:space="preserve">노말</x:t>
        </x:is>
      </x:c>
      <x:c r="H933" s="5" t="n">
        <x:v>0.6</x:v>
      </x:c>
      <x:c r="I933" s="5" t="n">
        <x:v>11.9</x:v>
      </x:c>
      <x:c r="J933" s="5" t="n">
        <x:v>354</x:v>
      </x:c>
      <x:c r="K933" s="5" t="n">
        <x:v>120</x:v>
      </x:c>
      <x:c r="L933" s="5" t="inlineStr">
        <x:is>
          <x:t xml:space="preserve">중간</x:t>
        </x:is>
      </x:c>
      <x:c r="M933" s="5" t="n">
        <x:v>35</x:v>
      </x:c>
      <x:c r="N933" s="5" t="inlineStr">
        <x:is>
          <x:t xml:space="preserve">레벨</x:t>
        </x:is>
      </x:c>
      <x:c r="O933" s="5" t="inlineStr">
        <x:is>
          <x:t xml:space="preserve">예</x:t>
        </x:is>
      </x:c>
      <x:c r="P933" s="5" t="inlineStr">
        <x:is>
          <x:t xml:space="preserve">#cobblemon:is_grassland</x:t>
        </x:is>
      </x:c>
      <x:c r="Q933" s="5" t="inlineStr">
        <x:is>
          <x:t xml:space="preserve">uncommon</x:t>
        </x:is>
      </x:c>
      <x:c r="R933" s="5" t="inlineStr">
        <x:is>
          <x:t xml:space="preserve"/>
        </x:is>
      </x:c>
      <x:c r="S933" s="5" t="inlineStr">
        <x:is>
          <x:t xml:space="preserve"/>
        </x:is>
      </x:c>
      <x:c r="T933" s="5" t="inlineStr">
        <x:is>
          <x:t xml:space="preserve">육상</x:t>
        </x:is>
      </x:c>
      <x:c r="U933" s="5" t="inlineStr">
        <x:is>
          <x:t xml:space="preserve">개활지</x:t>
        </x:is>
      </x:c>
      <x:c r="V933" s="5" t="inlineStr">
        <x:is>
          <x:t xml:space="preserve">온대</x:t>
        </x:is>
      </x:c>
      <x:c r="W933" s="5" t="inlineStr">
        <x:is>
          <x:t xml:space="preserve">보통</x:t>
        </x:is>
      </x:c>
      <x:c r="X933" s="5" t="inlineStr">
        <x:is>
          <x:t xml:space="preserve">무관</x:t>
        </x:is>
      </x:c>
      <x:c r="Y933" s="5" t="inlineStr">
        <x:is>
          <x:t xml:space="preserve">무관</x:t>
        </x:is>
      </x:c>
      <x:c r="Z933" s="5" t="inlineStr">
        <x:is>
          <x:t xml:space="preserve">보통</x:t>
        </x:is>
      </x:c>
      <x:c r="AA933" s="5" t="inlineStr">
        <x:is>
          <x:t xml:space="preserve">없음</x:t>
        </x:is>
      </x:c>
      <x:c r="AB933" s="5" t="inlineStr">
        <x:is>
          <x:t xml:space="preserve">평원</x:t>
        </x:is>
      </x:c>
      <x:c r="AC933" s="5" t="inlineStr">
        <x:is>
          <x:t xml:space="preserve">gen9</x:t>
        </x:is>
      </x:c>
      <x:c r="AD933" s="5" t="inlineStr">
        <x:is>
          <x:t xml:space="preserve">.tmp/cobblemon-1.7.3-source/common/src/main/resources/data/cobblemon/species/generation9/dolliv.json</x:t>
        </x:is>
      </x:c>
    </x:row>
    <x:row r="934" ht="22" customHeight="1">
      <x:c r="A934" s="5" t="n">
        <x:v>930</x:v>
      </x:c>
      <x:c r="B934" s="5" t="inlineStr">
        <x:is>
          <x:t xml:space="preserve">올리르바</x:t>
        </x:is>
      </x:c>
      <x:c r="C934" s="5" t="inlineStr">
        <x:is>
          <x:t xml:space="preserve">arboliva</x:t>
        </x:is>
      </x:c>
      <x:c r="D934" s="5" t="inlineStr">
        <x:is>
          <x:t xml:space="preserve">Arboliva</x:t>
        </x:is>
      </x:c>
      <x:c r="E934" s="5" t="n">
        <x:v>9</x:v>
      </x:c>
      <x:c r="F934" s="5" t="inlineStr">
        <x:is>
          <x:t xml:space="preserve">풀</x:t>
        </x:is>
      </x:c>
      <x:c r="G934" s="5" t="inlineStr">
        <x:is>
          <x:t xml:space="preserve">노말</x:t>
        </x:is>
      </x:c>
      <x:c r="H934" s="5" t="n">
        <x:v>1.4</x:v>
      </x:c>
      <x:c r="I934" s="5" t="n">
        <x:v>48.2</x:v>
      </x:c>
      <x:c r="J934" s="5" t="n">
        <x:v>510</x:v>
      </x:c>
      <x:c r="K934" s="5" t="n">
        <x:v>45</x:v>
      </x:c>
      <x:c r="L934" s="5" t="inlineStr">
        <x:is>
          <x:t xml:space="preserve">최종</x:t>
        </x:is>
      </x:c>
      <x:c r="M934" s="5" t="n">
        <x:v>35</x:v>
      </x:c>
      <x:c r="N934" s="5" t="inlineStr">
        <x:is>
          <x:t xml:space="preserve">레벨</x:t>
        </x:is>
      </x:c>
      <x:c r="O934" s="5" t="inlineStr">
        <x:is>
          <x:t xml:space="preserve">예</x:t>
        </x:is>
      </x:c>
      <x:c r="P934" s="5" t="inlineStr">
        <x:is>
          <x:t xml:space="preserve">#cobblemon:is_grassland</x:t>
        </x:is>
      </x:c>
      <x:c r="Q934" s="5" t="inlineStr">
        <x:is>
          <x:t xml:space="preserve">uncommon</x:t>
        </x:is>
      </x:c>
      <x:c r="R934" s="5" t="inlineStr">
        <x:is>
          <x:t xml:space="preserve"/>
        </x:is>
      </x:c>
      <x:c r="S934" s="5" t="inlineStr">
        <x:is>
          <x:t xml:space="preserve"/>
        </x:is>
      </x:c>
      <x:c r="T934" s="5" t="inlineStr">
        <x:is>
          <x:t xml:space="preserve">육상</x:t>
        </x:is>
      </x:c>
      <x:c r="U934" s="5" t="inlineStr">
        <x:is>
          <x:t xml:space="preserve">개활지</x:t>
        </x:is>
      </x:c>
      <x:c r="V934" s="5" t="inlineStr">
        <x:is>
          <x:t xml:space="preserve">온대</x:t>
        </x:is>
      </x:c>
      <x:c r="W934" s="5" t="inlineStr">
        <x:is>
          <x:t xml:space="preserve">보통</x:t>
        </x:is>
      </x:c>
      <x:c r="X934" s="5" t="inlineStr">
        <x:is>
          <x:t xml:space="preserve">무관</x:t>
        </x:is>
      </x:c>
      <x:c r="Y934" s="5" t="inlineStr">
        <x:is>
          <x:t xml:space="preserve">무관</x:t>
        </x:is>
      </x:c>
      <x:c r="Z934" s="5" t="inlineStr">
        <x:is>
          <x:t xml:space="preserve">보통</x:t>
        </x:is>
      </x:c>
      <x:c r="AA934" s="5" t="inlineStr">
        <x:is>
          <x:t xml:space="preserve">없음</x:t>
        </x:is>
      </x:c>
      <x:c r="AB934" s="5" t="inlineStr">
        <x:is>
          <x:t xml:space="preserve">평원</x:t>
        </x:is>
      </x:c>
      <x:c r="AC934" s="5" t="inlineStr">
        <x:is>
          <x:t xml:space="preserve">gen9</x:t>
        </x:is>
      </x:c>
      <x:c r="AD934" s="5" t="inlineStr">
        <x:is>
          <x:t xml:space="preserve">.tmp/cobblemon-1.7.3-source/common/src/main/resources/data/cobblemon/species/generation9/arboliva.json</x:t>
        </x:is>
      </x:c>
    </x:row>
    <x:row r="935" ht="22" customHeight="1">
      <x:c r="A935" s="5" t="n">
        <x:v>931</x:v>
      </x:c>
      <x:c r="B935" s="5" t="inlineStr">
        <x:is>
          <x:t xml:space="preserve">시비꼬</x:t>
        </x:is>
      </x:c>
      <x:c r="C935" s="5" t="inlineStr">
        <x:is>
          <x:t xml:space="preserve">squawkabilly</x:t>
        </x:is>
      </x:c>
      <x:c r="D935" s="5" t="inlineStr">
        <x:is>
          <x:t xml:space="preserve">Squawkabilly</x:t>
        </x:is>
      </x:c>
      <x:c r="E935" s="5" t="n">
        <x:v>9</x:v>
      </x:c>
      <x:c r="F935" s="5" t="inlineStr">
        <x:is>
          <x:t xml:space="preserve">노말</x:t>
        </x:is>
      </x:c>
      <x:c r="G935" s="5" t="inlineStr">
        <x:is>
          <x:t xml:space="preserve">비행</x:t>
        </x:is>
      </x:c>
      <x:c r="H935" s="5" t="n">
        <x:v>0.6</x:v>
      </x:c>
      <x:c r="I935" s="5" t="n">
        <x:v>2.4</x:v>
      </x:c>
      <x:c r="J935" s="5" t="n">
        <x:v>417</x:v>
      </x:c>
      <x:c r="K935" s="5" t="n">
        <x:v>190</x:v>
      </x:c>
      <x:c r="L935" s="5" t="inlineStr">
        <x:is>
          <x:t xml:space="preserve">무진화</x:t>
        </x:is>
      </x:c>
      <x:c r="M935" s="5" t="n"/>
      <x:c r="N935" s="5" t="inlineStr">
        <x:is>
          <x:t xml:space="preserve">없음</x:t>
        </x:is>
      </x:c>
      <x:c r="O935" s="5" t="inlineStr">
        <x:is>
          <x:t xml:space="preserve">예</x:t>
        </x:is>
      </x:c>
      <x:c r="P935" s="5" t="inlineStr">
        <x:is>
          <x:t xml:space="preserve">#cobblemon:is_jungle; #cobblemon:is_overworld; #cobblemon:is_savanna; #cobblemon:is_sky; #cobblemon:is_tropical_island</x:t>
        </x:is>
      </x:c>
      <x:c r="Q935" s="5" t="inlineStr">
        <x:is>
          <x:t xml:space="preserve">common</x:t>
        </x:is>
      </x:c>
      <x:c r="R935" s="5" t="inlineStr">
        <x:is>
          <x:t xml:space="preserve">day</x:t>
        </x:is>
      </x:c>
      <x:c r="S935" s="5" t="inlineStr">
        <x:is>
          <x:t xml:space="preserve">비=False</x:t>
        </x:is>
      </x:c>
      <x:c r="T935" s="5" t="inlineStr">
        <x:is>
          <x:t xml:space="preserve">비행</x:t>
        </x:is>
      </x:c>
      <x:c r="U935" s="5" t="inlineStr">
        <x:is>
          <x:t xml:space="preserve">수목</x:t>
        </x:is>
      </x:c>
      <x:c r="V935" s="5" t="inlineStr">
        <x:is>
          <x:t xml:space="preserve">온대</x:t>
        </x:is>
      </x:c>
      <x:c r="W935" s="5" t="inlineStr">
        <x:is>
          <x:t xml:space="preserve">다습</x:t>
        </x:is>
      </x:c>
      <x:c r="X935" s="5" t="inlineStr">
        <x:is>
          <x:t xml:space="preserve">무관</x:t>
        </x:is>
      </x:c>
      <x:c r="Y935" s="5" t="inlineStr">
        <x:is>
          <x:t xml:space="preserve">낮</x:t>
        </x:is>
      </x:c>
      <x:c r="Z935" s="5" t="inlineStr">
        <x:is>
          <x:t xml:space="preserve">흔함</x:t>
        </x:is>
      </x:c>
      <x:c r="AA935" s="5" t="inlineStr">
        <x:is>
          <x:t xml:space="preserve">없음</x:t>
        </x:is>
      </x:c>
      <x:c r="AB935" s="5" t="inlineStr">
        <x:is>
          <x:t xml:space="preserve">숲</x:t>
        </x:is>
      </x:c>
      <x:c r="AC935" s="5" t="inlineStr">
        <x:is>
          <x:t xml:space="preserve">gen9</x:t>
        </x:is>
      </x:c>
      <x:c r="AD935" s="5" t="inlineStr">
        <x:is>
          <x:t xml:space="preserve">.tmp/cobblemon-1.7.3-source/common/src/main/resources/data/cobblemon/species/generation9/squawkabilly.json</x:t>
        </x:is>
      </x:c>
    </x:row>
    <x:row r="936" ht="22" customHeight="1">
      <x:c r="A936" s="5" t="n">
        <x:v>932</x:v>
      </x:c>
      <x:c r="B936" s="5" t="inlineStr">
        <x:is>
          <x:t xml:space="preserve">베베솔트</x:t>
        </x:is>
      </x:c>
      <x:c r="C936" s="5" t="inlineStr">
        <x:is>
          <x:t xml:space="preserve">nacli</x:t>
        </x:is>
      </x:c>
      <x:c r="D936" s="5" t="inlineStr">
        <x:is>
          <x:t xml:space="preserve">Nacli</x:t>
        </x:is>
      </x:c>
      <x:c r="E936" s="5" t="n">
        <x:v>9</x:v>
      </x:c>
      <x:c r="F936" s="5" t="inlineStr">
        <x:is>
          <x:t xml:space="preserve">바위</x:t>
        </x:is>
      </x:c>
      <x:c r="G936" s="5" t="inlineStr">
        <x:is>
          <x:t xml:space="preserve"/>
        </x:is>
      </x:c>
      <x:c r="H936" s="5" t="n">
        <x:v>0.4</x:v>
      </x:c>
      <x:c r="I936" s="5" t="n">
        <x:v>16</x:v>
      </x:c>
      <x:c r="J936" s="5" t="n">
        <x:v>280</x:v>
      </x:c>
      <x:c r="K936" s="5" t="n">
        <x:v>255</x:v>
      </x:c>
      <x:c r="L936" s="5" t="inlineStr">
        <x:is>
          <x:t xml:space="preserve">기본</x:t>
        </x:is>
      </x:c>
      <x:c r="M936" s="5" t="n">
        <x:v>38</x:v>
      </x:c>
      <x:c r="N936" s="5" t="inlineStr">
        <x:is>
          <x:t xml:space="preserve">레벨</x:t>
        </x:is>
      </x:c>
      <x:c r="O936" s="5" t="inlineStr">
        <x:is>
          <x:t xml:space="preserve">예</x:t>
        </x:is>
      </x:c>
      <x:c r="P936" s="5" t="inlineStr">
        <x:is>
          <x:t xml:space="preserve">#cobblemon:is_badlands; #cobblemon:nether/is_quartz</x:t>
        </x:is>
      </x:c>
      <x:c r="Q936" s="5" t="inlineStr">
        <x:is>
          <x:t xml:space="preserve">common</x:t>
        </x:is>
      </x:c>
      <x:c r="R936" s="5" t="inlineStr">
        <x:is>
          <x:t xml:space="preserve"/>
        </x:is>
      </x:c>
      <x:c r="S936" s="5" t="inlineStr">
        <x:is>
          <x:t xml:space="preserve"/>
        </x:is>
      </x:c>
      <x:c r="T936" s="5" t="inlineStr">
        <x:is>
          <x:t xml:space="preserve">육상</x:t>
        </x:is>
      </x:c>
      <x:c r="U936" s="5" t="inlineStr">
        <x:is>
          <x:t xml:space="preserve">화산</x:t>
        </x:is>
      </x:c>
      <x:c r="V936" s="5" t="inlineStr">
        <x:is>
          <x:t xml:space="preserve">고온</x:t>
        </x:is>
      </x:c>
      <x:c r="W936" s="5" t="inlineStr">
        <x:is>
          <x:t xml:space="preserve">건조</x:t>
        </x:is>
      </x:c>
      <x:c r="X936" s="5" t="inlineStr">
        <x:is>
          <x:t xml:space="preserve">맑음</x:t>
        </x:is>
      </x:c>
      <x:c r="Y936" s="5" t="inlineStr">
        <x:is>
          <x:t xml:space="preserve">무관</x:t>
        </x:is>
      </x:c>
      <x:c r="Z936" s="5" t="inlineStr">
        <x:is>
          <x:t xml:space="preserve">흔함</x:t>
        </x:is>
      </x:c>
      <x:c r="AA936" s="5" t="inlineStr">
        <x:is>
          <x:t xml:space="preserve">화산</x:t>
        </x:is>
      </x:c>
      <x:c r="AB936" s="5" t="inlineStr">
        <x:is>
          <x:t xml:space="preserve">화산</x:t>
        </x:is>
      </x:c>
      <x:c r="AC936" s="5" t="inlineStr">
        <x:is>
          <x:t xml:space="preserve">gen9</x:t>
        </x:is>
      </x:c>
      <x:c r="AD936" s="5" t="inlineStr">
        <x:is>
          <x:t xml:space="preserve">.tmp/cobblemon-1.7.3-source/common/src/main/resources/data/cobblemon/species/generation9/nacli.json</x:t>
        </x:is>
      </x:c>
    </x:row>
    <x:row r="937" ht="22" customHeight="1">
      <x:c r="A937" s="5" t="n">
        <x:v>933</x:v>
      </x:c>
      <x:c r="B937" s="5" t="inlineStr">
        <x:is>
          <x:t xml:space="preserve">스태솔트</x:t>
        </x:is>
      </x:c>
      <x:c r="C937" s="5" t="inlineStr">
        <x:is>
          <x:t xml:space="preserve">naclstack</x:t>
        </x:is>
      </x:c>
      <x:c r="D937" s="5" t="inlineStr">
        <x:is>
          <x:t xml:space="preserve">Naclstack</x:t>
        </x:is>
      </x:c>
      <x:c r="E937" s="5" t="n">
        <x:v>9</x:v>
      </x:c>
      <x:c r="F937" s="5" t="inlineStr">
        <x:is>
          <x:t xml:space="preserve">바위</x:t>
        </x:is>
      </x:c>
      <x:c r="G937" s="5" t="inlineStr">
        <x:is>
          <x:t xml:space="preserve"/>
        </x:is>
      </x:c>
      <x:c r="H937" s="5" t="n">
        <x:v>0.6</x:v>
      </x:c>
      <x:c r="I937" s="5" t="n">
        <x:v>105</x:v>
      </x:c>
      <x:c r="J937" s="5" t="n">
        <x:v>355</x:v>
      </x:c>
      <x:c r="K937" s="5" t="n">
        <x:v>120</x:v>
      </x:c>
      <x:c r="L937" s="5" t="inlineStr">
        <x:is>
          <x:t xml:space="preserve">중간</x:t>
        </x:is>
      </x:c>
      <x:c r="M937" s="5" t="n">
        <x:v>38</x:v>
      </x:c>
      <x:c r="N937" s="5" t="inlineStr">
        <x:is>
          <x:t xml:space="preserve">레벨</x:t>
        </x:is>
      </x:c>
      <x:c r="O937" s="5" t="inlineStr">
        <x:is>
          <x:t xml:space="preserve">예</x:t>
        </x:is>
      </x:c>
      <x:c r="P937" s="5" t="inlineStr">
        <x:is>
          <x:t xml:space="preserve">#cobblemon:is_badlands; #cobblemon:nether/is_quartz</x:t>
        </x:is>
      </x:c>
      <x:c r="Q937" s="5" t="inlineStr">
        <x:is>
          <x:t xml:space="preserve">common</x:t>
        </x:is>
      </x:c>
      <x:c r="R937" s="5" t="inlineStr">
        <x:is>
          <x:t xml:space="preserve"/>
        </x:is>
      </x:c>
      <x:c r="S937" s="5" t="inlineStr">
        <x:is>
          <x:t xml:space="preserve"/>
        </x:is>
      </x:c>
      <x:c r="T937" s="5" t="inlineStr">
        <x:is>
          <x:t xml:space="preserve">육상</x:t>
        </x:is>
      </x:c>
      <x:c r="U937" s="5" t="inlineStr">
        <x:is>
          <x:t xml:space="preserve">화산</x:t>
        </x:is>
      </x:c>
      <x:c r="V937" s="5" t="inlineStr">
        <x:is>
          <x:t xml:space="preserve">고온</x:t>
        </x:is>
      </x:c>
      <x:c r="W937" s="5" t="inlineStr">
        <x:is>
          <x:t xml:space="preserve">건조</x:t>
        </x:is>
      </x:c>
      <x:c r="X937" s="5" t="inlineStr">
        <x:is>
          <x:t xml:space="preserve">맑음</x:t>
        </x:is>
      </x:c>
      <x:c r="Y937" s="5" t="inlineStr">
        <x:is>
          <x:t xml:space="preserve">무관</x:t>
        </x:is>
      </x:c>
      <x:c r="Z937" s="5" t="inlineStr">
        <x:is>
          <x:t xml:space="preserve">흔함</x:t>
        </x:is>
      </x:c>
      <x:c r="AA937" s="5" t="inlineStr">
        <x:is>
          <x:t xml:space="preserve">화산</x:t>
        </x:is>
      </x:c>
      <x:c r="AB937" s="5" t="inlineStr">
        <x:is>
          <x:t xml:space="preserve">화산</x:t>
        </x:is>
      </x:c>
      <x:c r="AC937" s="5" t="inlineStr">
        <x:is>
          <x:t xml:space="preserve">gen9</x:t>
        </x:is>
      </x:c>
      <x:c r="AD937" s="5" t="inlineStr">
        <x:is>
          <x:t xml:space="preserve">.tmp/cobblemon-1.7.3-source/common/src/main/resources/data/cobblemon/species/generation9/naclstack.json</x:t>
        </x:is>
      </x:c>
    </x:row>
    <x:row r="938" ht="22" customHeight="1">
      <x:c r="A938" s="5" t="n">
        <x:v>934</x:v>
      </x:c>
      <x:c r="B938" s="5" t="inlineStr">
        <x:is>
          <x:t xml:space="preserve">콜로솔트</x:t>
        </x:is>
      </x:c>
      <x:c r="C938" s="5" t="inlineStr">
        <x:is>
          <x:t xml:space="preserve">garganacl</x:t>
        </x:is>
      </x:c>
      <x:c r="D938" s="5" t="inlineStr">
        <x:is>
          <x:t xml:space="preserve">Garganacl</x:t>
        </x:is>
      </x:c>
      <x:c r="E938" s="5" t="n">
        <x:v>9</x:v>
      </x:c>
      <x:c r="F938" s="5" t="inlineStr">
        <x:is>
          <x:t xml:space="preserve">바위</x:t>
        </x:is>
      </x:c>
      <x:c r="G938" s="5" t="inlineStr">
        <x:is>
          <x:t xml:space="preserve"/>
        </x:is>
      </x:c>
      <x:c r="H938" s="5" t="n">
        <x:v>2.3</x:v>
      </x:c>
      <x:c r="I938" s="5" t="n">
        <x:v>240</x:v>
      </x:c>
      <x:c r="J938" s="5" t="n">
        <x:v>500</x:v>
      </x:c>
      <x:c r="K938" s="5" t="n">
        <x:v>45</x:v>
      </x:c>
      <x:c r="L938" s="5" t="inlineStr">
        <x:is>
          <x:t xml:space="preserve">최종</x:t>
        </x:is>
      </x:c>
      <x:c r="M938" s="5" t="n">
        <x:v>38</x:v>
      </x:c>
      <x:c r="N938" s="5" t="inlineStr">
        <x:is>
          <x:t xml:space="preserve">레벨</x:t>
        </x:is>
      </x:c>
      <x:c r="O938" s="5" t="inlineStr">
        <x:is>
          <x:t xml:space="preserve">예</x:t>
        </x:is>
      </x:c>
      <x:c r="P938" s="5" t="inlineStr">
        <x:is>
          <x:t xml:space="preserve">#cobblemon:is_badlands; #cobblemon:nether/is_quartz</x:t>
        </x:is>
      </x:c>
      <x:c r="Q938" s="5" t="inlineStr">
        <x:is>
          <x:t xml:space="preserve">common</x:t>
        </x:is>
      </x:c>
      <x:c r="R938" s="5" t="inlineStr">
        <x:is>
          <x:t xml:space="preserve"/>
        </x:is>
      </x:c>
      <x:c r="S938" s="5" t="inlineStr">
        <x:is>
          <x:t xml:space="preserve"/>
        </x:is>
      </x:c>
      <x:c r="T938" s="5" t="inlineStr">
        <x:is>
          <x:t xml:space="preserve">육상</x:t>
        </x:is>
      </x:c>
      <x:c r="U938" s="5" t="inlineStr">
        <x:is>
          <x:t xml:space="preserve">화산</x:t>
        </x:is>
      </x:c>
      <x:c r="V938" s="5" t="inlineStr">
        <x:is>
          <x:t xml:space="preserve">고온</x:t>
        </x:is>
      </x:c>
      <x:c r="W938" s="5" t="inlineStr">
        <x:is>
          <x:t xml:space="preserve">건조</x:t>
        </x:is>
      </x:c>
      <x:c r="X938" s="5" t="inlineStr">
        <x:is>
          <x:t xml:space="preserve">맑음</x:t>
        </x:is>
      </x:c>
      <x:c r="Y938" s="5" t="inlineStr">
        <x:is>
          <x:t xml:space="preserve">무관</x:t>
        </x:is>
      </x:c>
      <x:c r="Z938" s="5" t="inlineStr">
        <x:is>
          <x:t xml:space="preserve">흔함</x:t>
        </x:is>
      </x:c>
      <x:c r="AA938" s="5" t="inlineStr">
        <x:is>
          <x:t xml:space="preserve">화산</x:t>
        </x:is>
      </x:c>
      <x:c r="AB938" s="5" t="inlineStr">
        <x:is>
          <x:t xml:space="preserve">화산</x:t>
        </x:is>
      </x:c>
      <x:c r="AC938" s="5" t="inlineStr">
        <x:is>
          <x:t xml:space="preserve">gen9</x:t>
        </x:is>
      </x:c>
      <x:c r="AD938" s="5" t="inlineStr">
        <x:is>
          <x:t xml:space="preserve">.tmp/cobblemon-1.7.3-source/common/src/main/resources/data/cobblemon/species/generation9/garganacl.json</x:t>
        </x:is>
      </x:c>
    </x:row>
    <x:row r="939" ht="22" customHeight="1">
      <x:c r="A939" s="5" t="n">
        <x:v>935</x:v>
      </x:c>
      <x:c r="B939" s="5" t="inlineStr">
        <x:is>
          <x:t xml:space="preserve">카르본</x:t>
        </x:is>
      </x:c>
      <x:c r="C939" s="5" t="inlineStr">
        <x:is>
          <x:t xml:space="preserve">charcadet</x:t>
        </x:is>
      </x:c>
      <x:c r="D939" s="5" t="inlineStr">
        <x:is>
          <x:t xml:space="preserve">Charcadet</x:t>
        </x:is>
      </x:c>
      <x:c r="E939" s="5" t="n">
        <x:v>9</x:v>
      </x:c>
      <x:c r="F939" s="5" t="inlineStr">
        <x:is>
          <x:t xml:space="preserve">불꽃</x:t>
        </x:is>
      </x:c>
      <x:c r="G939" s="5" t="inlineStr">
        <x:is>
          <x:t xml:space="preserve"/>
        </x:is>
      </x:c>
      <x:c r="H939" s="5" t="n">
        <x:v>0.6</x:v>
      </x:c>
      <x:c r="I939" s="5" t="n">
        <x:v>10.5</x:v>
      </x:c>
      <x:c r="J939" s="5" t="n">
        <x:v>255</x:v>
      </x:c>
      <x:c r="K939" s="5" t="n">
        <x:v>90</x:v>
      </x:c>
      <x:c r="L939" s="5" t="inlineStr">
        <x:is>
          <x:t xml:space="preserve">기본</x:t>
        </x:is>
      </x:c>
      <x:c r="M939" s="5" t="n"/>
      <x:c r="N939" s="5" t="inlineStr">
        <x:is>
          <x:t xml:space="preserve">특수</x:t>
        </x:is>
      </x:c>
      <x:c r="O939" s="5" t="inlineStr">
        <x:is>
          <x:t xml:space="preserve">예</x:t>
        </x:is>
      </x:c>
      <x:c r="P939" s="5" t="inlineStr">
        <x:is>
          <x:t xml:space="preserve">#aether:is_aether; #cobblemon:is_overworld; #minecraft:is_nether</x:t>
        </x:is>
      </x:c>
      <x:c r="Q939" s="5" t="inlineStr">
        <x:is>
          <x:t xml:space="preserve">uncommon</x:t>
        </x:is>
      </x:c>
      <x:c r="R939" s="5" t="inlineStr">
        <x:is>
          <x:t xml:space="preserve"/>
        </x:is>
      </x:c>
      <x:c r="S939" s="5" t="inlineStr">
        <x:is>
          <x:t xml:space="preserve"/>
        </x:is>
      </x:c>
      <x:c r="T939" s="5" t="inlineStr">
        <x:is>
          <x:t xml:space="preserve">육상</x:t>
        </x:is>
      </x:c>
      <x:c r="U939" s="5" t="inlineStr">
        <x:is>
          <x:t xml:space="preserve">화산</x:t>
        </x:is>
      </x:c>
      <x:c r="V939" s="5" t="inlineStr">
        <x:is>
          <x:t xml:space="preserve">고온</x:t>
        </x:is>
      </x:c>
      <x:c r="W939" s="5" t="inlineStr">
        <x:is>
          <x:t xml:space="preserve">건조</x:t>
        </x:is>
      </x:c>
      <x:c r="X939" s="5" t="inlineStr">
        <x:is>
          <x:t xml:space="preserve">맑음</x:t>
        </x:is>
      </x:c>
      <x:c r="Y939" s="5" t="inlineStr">
        <x:is>
          <x:t xml:space="preserve">무관</x:t>
        </x:is>
      </x:c>
      <x:c r="Z939" s="5" t="inlineStr">
        <x:is>
          <x:t xml:space="preserve">보통</x:t>
        </x:is>
      </x:c>
      <x:c r="AA939" s="5" t="inlineStr">
        <x:is>
          <x:t xml:space="preserve">화산</x:t>
        </x:is>
      </x:c>
      <x:c r="AB939" s="5" t="inlineStr">
        <x:is>
          <x:t xml:space="preserve">화산</x:t>
        </x:is>
      </x:c>
      <x:c r="AC939" s="5" t="inlineStr">
        <x:is>
          <x:t xml:space="preserve">gen9</x:t>
        </x:is>
      </x:c>
      <x:c r="AD939" s="5" t="inlineStr">
        <x:is>
          <x:t xml:space="preserve">.tmp/cobblemon-1.7.3-source/common/src/main/resources/data/cobblemon/species/generation9/charcadet.json</x:t>
        </x:is>
      </x:c>
    </x:row>
    <x:row r="940" ht="22" customHeight="1">
      <x:c r="A940" s="5" t="n">
        <x:v>936</x:v>
      </x:c>
      <x:c r="B940" s="5" t="inlineStr">
        <x:is>
          <x:t xml:space="preserve">카디나르마</x:t>
        </x:is>
      </x:c>
      <x:c r="C940" s="5" t="inlineStr">
        <x:is>
          <x:t xml:space="preserve">armarouge</x:t>
        </x:is>
      </x:c>
      <x:c r="D940" s="5" t="inlineStr">
        <x:is>
          <x:t xml:space="preserve">Armarouge</x:t>
        </x:is>
      </x:c>
      <x:c r="E940" s="5" t="n">
        <x:v>9</x:v>
      </x:c>
      <x:c r="F940" s="5" t="inlineStr">
        <x:is>
          <x:t xml:space="preserve">불꽃</x:t>
        </x:is>
      </x:c>
      <x:c r="G940" s="5" t="inlineStr">
        <x:is>
          <x:t xml:space="preserve">에스퍼</x:t>
        </x:is>
      </x:c>
      <x:c r="H940" s="5" t="n">
        <x:v>1.5</x:v>
      </x:c>
      <x:c r="I940" s="5" t="n">
        <x:v>85</x:v>
      </x:c>
      <x:c r="J940" s="5" t="n">
        <x:v>525</x:v>
      </x:c>
      <x:c r="K940" s="5" t="n">
        <x:v>25</x:v>
      </x:c>
      <x:c r="L940" s="5" t="inlineStr">
        <x:is>
          <x:t xml:space="preserve">최종</x:t>
        </x:is>
      </x:c>
      <x:c r="M940" s="5" t="n"/>
      <x:c r="N940" s="5" t="inlineStr">
        <x:is>
          <x:t xml:space="preserve">특수</x:t>
        </x:is>
      </x:c>
      <x:c r="O940" s="5" t="inlineStr">
        <x:is>
          <x:t xml:space="preserve">예</x:t>
        </x:is>
      </x:c>
      <x:c r="P940" s="5" t="inlineStr">
        <x:is>
          <x:t xml:space="preserve">#aether:is_aether; #cobblemon:is_overworld; #minecraft:is_nether</x:t>
        </x:is>
      </x:c>
      <x:c r="Q940" s="5" t="inlineStr">
        <x:is>
          <x:t xml:space="preserve">rare; uncommon</x:t>
        </x:is>
      </x:c>
      <x:c r="R940" s="5" t="inlineStr">
        <x:is>
          <x:t xml:space="preserve"/>
        </x:is>
      </x:c>
      <x:c r="S940" s="5" t="inlineStr">
        <x:is>
          <x:t xml:space="preserve"/>
        </x:is>
      </x:c>
      <x:c r="T940" s="5" t="inlineStr">
        <x:is>
          <x:t xml:space="preserve">육상</x:t>
        </x:is>
      </x:c>
      <x:c r="U940" s="5" t="inlineStr">
        <x:is>
          <x:t xml:space="preserve">화산</x:t>
        </x:is>
      </x:c>
      <x:c r="V940" s="5" t="inlineStr">
        <x:is>
          <x:t xml:space="preserve">고온</x:t>
        </x:is>
      </x:c>
      <x:c r="W940" s="5" t="inlineStr">
        <x:is>
          <x:t xml:space="preserve">건조</x:t>
        </x:is>
      </x:c>
      <x:c r="X940" s="5" t="inlineStr">
        <x:is>
          <x:t xml:space="preserve">맑음</x:t>
        </x:is>
      </x:c>
      <x:c r="Y940" s="5" t="inlineStr">
        <x:is>
          <x:t xml:space="preserve">무관</x:t>
        </x:is>
      </x:c>
      <x:c r="Z940" s="5" t="inlineStr">
        <x:is>
          <x:t xml:space="preserve">보통</x:t>
        </x:is>
      </x:c>
      <x:c r="AA940" s="5" t="inlineStr">
        <x:is>
          <x:t xml:space="preserve">화산</x:t>
        </x:is>
      </x:c>
      <x:c r="AB940" s="5" t="inlineStr">
        <x:is>
          <x:t xml:space="preserve">화산</x:t>
        </x:is>
      </x:c>
      <x:c r="AC940" s="5" t="inlineStr">
        <x:is>
          <x:t xml:space="preserve">gen9</x:t>
        </x:is>
      </x:c>
      <x:c r="AD940" s="5" t="inlineStr">
        <x:is>
          <x:t xml:space="preserve">.tmp/cobblemon-1.7.3-source/common/src/main/resources/data/cobblemon/species/generation9/armarouge.json</x:t>
        </x:is>
      </x:c>
    </x:row>
    <x:row r="941" ht="22" customHeight="1">
      <x:c r="A941" s="5" t="n">
        <x:v>937</x:v>
      </x:c>
      <x:c r="B941" s="5" t="inlineStr">
        <x:is>
          <x:t xml:space="preserve">파라블레이즈</x:t>
        </x:is>
      </x:c>
      <x:c r="C941" s="5" t="inlineStr">
        <x:is>
          <x:t xml:space="preserve">ceruledge</x:t>
        </x:is>
      </x:c>
      <x:c r="D941" s="5" t="inlineStr">
        <x:is>
          <x:t xml:space="preserve">Ceruledge</x:t>
        </x:is>
      </x:c>
      <x:c r="E941" s="5" t="n">
        <x:v>9</x:v>
      </x:c>
      <x:c r="F941" s="5" t="inlineStr">
        <x:is>
          <x:t xml:space="preserve">불꽃</x:t>
        </x:is>
      </x:c>
      <x:c r="G941" s="5" t="inlineStr">
        <x:is>
          <x:t xml:space="preserve">고스트</x:t>
        </x:is>
      </x:c>
      <x:c r="H941" s="5" t="n">
        <x:v>1.6</x:v>
      </x:c>
      <x:c r="I941" s="5" t="n">
        <x:v>62</x:v>
      </x:c>
      <x:c r="J941" s="5" t="n">
        <x:v>525</x:v>
      </x:c>
      <x:c r="K941" s="5" t="n">
        <x:v>25</x:v>
      </x:c>
      <x:c r="L941" s="5" t="inlineStr">
        <x:is>
          <x:t xml:space="preserve">최종</x:t>
        </x:is>
      </x:c>
      <x:c r="M941" s="5" t="n"/>
      <x:c r="N941" s="5" t="inlineStr">
        <x:is>
          <x:t xml:space="preserve">특수</x:t>
        </x:is>
      </x:c>
      <x:c r="O941" s="5" t="inlineStr">
        <x:is>
          <x:t xml:space="preserve">예</x:t>
        </x:is>
      </x:c>
      <x:c r="P941" s="5" t="inlineStr">
        <x:is>
          <x:t xml:space="preserve">#aether:is_aether; #cobblemon:is_overworld; #minecraft:is_nether</x:t>
        </x:is>
      </x:c>
      <x:c r="Q941" s="5" t="inlineStr">
        <x:is>
          <x:t xml:space="preserve">uncommon</x:t>
        </x:is>
      </x:c>
      <x:c r="R941" s="5" t="inlineStr">
        <x:is>
          <x:t xml:space="preserve"/>
        </x:is>
      </x:c>
      <x:c r="S941" s="5" t="inlineStr">
        <x:is>
          <x:t xml:space="preserve"/>
        </x:is>
      </x:c>
      <x:c r="T941" s="5" t="inlineStr">
        <x:is>
          <x:t xml:space="preserve">영체</x:t>
        </x:is>
      </x:c>
      <x:c r="U941" s="5" t="inlineStr">
        <x:is>
          <x:t xml:space="preserve">화산</x:t>
        </x:is>
      </x:c>
      <x:c r="V941" s="5" t="inlineStr">
        <x:is>
          <x:t xml:space="preserve">고온</x:t>
        </x:is>
      </x:c>
      <x:c r="W941" s="5" t="inlineStr">
        <x:is>
          <x:t xml:space="preserve">건조</x:t>
        </x:is>
      </x:c>
      <x:c r="X941" s="5" t="inlineStr">
        <x:is>
          <x:t xml:space="preserve">맑음</x:t>
        </x:is>
      </x:c>
      <x:c r="Y941" s="5" t="inlineStr">
        <x:is>
          <x:t xml:space="preserve">밤</x:t>
        </x:is>
      </x:c>
      <x:c r="Z941" s="5" t="inlineStr">
        <x:is>
          <x:t xml:space="preserve">보통</x:t>
        </x:is>
      </x:c>
      <x:c r="AA941" s="5" t="inlineStr">
        <x:is>
          <x:t xml:space="preserve">영체</x:t>
        </x:is>
      </x:c>
      <x:c r="AB941" s="5" t="inlineStr">
        <x:is>
          <x:t xml:space="preserve">화산</x:t>
        </x:is>
      </x:c>
      <x:c r="AC941" s="5" t="inlineStr">
        <x:is>
          <x:t xml:space="preserve">gen9</x:t>
        </x:is>
      </x:c>
      <x:c r="AD941" s="5" t="inlineStr">
        <x:is>
          <x:t xml:space="preserve">.tmp/cobblemon-1.7.3-source/common/src/main/resources/data/cobblemon/species/generation9/ceruledge.json</x:t>
        </x:is>
      </x:c>
    </x:row>
    <x:row r="942" ht="22" customHeight="1">
      <x:c r="A942" s="5" t="n">
        <x:v>938</x:v>
      </x:c>
      <x:c r="B942" s="5" t="inlineStr">
        <x:is>
          <x:t xml:space="preserve">빈나두</x:t>
        </x:is>
      </x:c>
      <x:c r="C942" s="5" t="inlineStr">
        <x:is>
          <x:t xml:space="preserve">tadbulb</x:t>
        </x:is>
      </x:c>
      <x:c r="D942" s="5" t="inlineStr">
        <x:is>
          <x:t xml:space="preserve">Tadbulb</x:t>
        </x:is>
      </x:c>
      <x:c r="E942" s="5" t="n">
        <x:v>9</x:v>
      </x:c>
      <x:c r="F942" s="5" t="inlineStr">
        <x:is>
          <x:t xml:space="preserve">전기</x:t>
        </x:is>
      </x:c>
      <x:c r="G942" s="5" t="inlineStr">
        <x:is>
          <x:t xml:space="preserve"/>
        </x:is>
      </x:c>
      <x:c r="H942" s="5" t="n">
        <x:v>0.3</x:v>
      </x:c>
      <x:c r="I942" s="5" t="n">
        <x:v>0.4</x:v>
      </x:c>
      <x:c r="J942" s="5" t="n">
        <x:v>272</x:v>
      </x:c>
      <x:c r="K942" s="5" t="n">
        <x:v>190</x:v>
      </x:c>
      <x:c r="L942" s="5" t="inlineStr">
        <x:is>
          <x:t xml:space="preserve">기본</x:t>
        </x:is>
      </x:c>
      <x:c r="M942" s="5" t="n"/>
      <x:c r="N942" s="5" t="inlineStr">
        <x:is>
          <x:t xml:space="preserve">특수</x:t>
        </x:is>
      </x:c>
      <x:c r="O942" s="5" t="inlineStr">
        <x:is>
          <x:t xml:space="preserve">예</x:t>
        </x:is>
      </x:c>
      <x:c r="P942" s="5" t="inlineStr">
        <x:is>
          <x:t xml:space="preserve">#cobblemon:is_freshwater; #cobblemon:is_river</x:t>
        </x:is>
      </x:c>
      <x:c r="Q942" s="5" t="inlineStr">
        <x:is>
          <x:t xml:space="preserve">common</x:t>
        </x:is>
      </x:c>
      <x:c r="R942" s="5" t="inlineStr">
        <x:is>
          <x:t xml:space="preserve"/>
        </x:is>
      </x:c>
      <x:c r="S942" s="5" t="inlineStr">
        <x:is>
          <x:t xml:space="preserve"/>
        </x:is>
      </x:c>
      <x:c r="T942" s="5" t="inlineStr">
        <x:is>
          <x:t xml:space="preserve">담수</x:t>
        </x:is>
      </x:c>
      <x:c r="U942" s="5" t="inlineStr">
        <x:is>
          <x:t xml:space="preserve">담수</x:t>
        </x:is>
      </x:c>
      <x:c r="V942" s="5" t="inlineStr">
        <x:is>
          <x:t xml:space="preserve">온대</x:t>
        </x:is>
      </x:c>
      <x:c r="W942" s="5" t="inlineStr">
        <x:is>
          <x:t xml:space="preserve">수중</x:t>
        </x:is>
      </x:c>
      <x:c r="X942" s="5" t="inlineStr">
        <x:is>
          <x:t xml:space="preserve">비</x:t>
        </x:is>
      </x:c>
      <x:c r="Y942" s="5" t="inlineStr">
        <x:is>
          <x:t xml:space="preserve">무관</x:t>
        </x:is>
      </x:c>
      <x:c r="Z942" s="5" t="inlineStr">
        <x:is>
          <x:t xml:space="preserve">흔함</x:t>
        </x:is>
      </x:c>
      <x:c r="AA942" s="5" t="inlineStr">
        <x:is>
          <x:t xml:space="preserve">없음</x:t>
        </x:is>
      </x:c>
      <x:c r="AB942" s="5" t="inlineStr">
        <x:is>
          <x:t xml:space="preserve">담수</x:t>
        </x:is>
      </x:c>
      <x:c r="AC942" s="5" t="inlineStr">
        <x:is>
          <x:t xml:space="preserve">gen9</x:t>
        </x:is>
      </x:c>
      <x:c r="AD942" s="5" t="inlineStr">
        <x:is>
          <x:t xml:space="preserve">.tmp/cobblemon-1.7.3-source/common/src/main/resources/data/cobblemon/species/generation9/tadbulb.json</x:t>
        </x:is>
      </x:c>
    </x:row>
    <x:row r="943" ht="22" customHeight="1">
      <x:c r="A943" s="5" t="n">
        <x:v>939</x:v>
      </x:c>
      <x:c r="B943" s="5" t="inlineStr">
        <x:is>
          <x:t xml:space="preserve">찌리배리</x:t>
        </x:is>
      </x:c>
      <x:c r="C943" s="5" t="inlineStr">
        <x:is>
          <x:t xml:space="preserve">bellibolt</x:t>
        </x:is>
      </x:c>
      <x:c r="D943" s="5" t="inlineStr">
        <x:is>
          <x:t xml:space="preserve">Bellibolt</x:t>
        </x:is>
      </x:c>
      <x:c r="E943" s="5" t="n">
        <x:v>9</x:v>
      </x:c>
      <x:c r="F943" s="5" t="inlineStr">
        <x:is>
          <x:t xml:space="preserve">전기</x:t>
        </x:is>
      </x:c>
      <x:c r="G943" s="5" t="inlineStr">
        <x:is>
          <x:t xml:space="preserve"/>
        </x:is>
      </x:c>
      <x:c r="H943" s="5" t="n">
        <x:v>1.2</x:v>
      </x:c>
      <x:c r="I943" s="5" t="n">
        <x:v>113</x:v>
      </x:c>
      <x:c r="J943" s="5" t="n">
        <x:v>495</x:v>
      </x:c>
      <x:c r="K943" s="5" t="n">
        <x:v>50</x:v>
      </x:c>
      <x:c r="L943" s="5" t="inlineStr">
        <x:is>
          <x:t xml:space="preserve">최종</x:t>
        </x:is>
      </x:c>
      <x:c r="M943" s="5" t="n"/>
      <x:c r="N943" s="5" t="inlineStr">
        <x:is>
          <x:t xml:space="preserve">특수</x:t>
        </x:is>
      </x:c>
      <x:c r="O943" s="5" t="inlineStr">
        <x:is>
          <x:t xml:space="preserve">예</x:t>
        </x:is>
      </x:c>
      <x:c r="P943" s="5" t="inlineStr">
        <x:is>
          <x:t xml:space="preserve">#cobblemon:is_freshwater; #cobblemon:is_savanna</x:t>
        </x:is>
      </x:c>
      <x:c r="Q943" s="5" t="inlineStr">
        <x:is>
          <x:t xml:space="preserve">common</x:t>
        </x:is>
      </x:c>
      <x:c r="R943" s="5" t="inlineStr">
        <x:is>
          <x:t xml:space="preserve"/>
        </x:is>
      </x:c>
      <x:c r="S943" s="5" t="inlineStr">
        <x:is>
          <x:t xml:space="preserve"/>
        </x:is>
      </x:c>
      <x:c r="T943" s="5" t="inlineStr">
        <x:is>
          <x:t xml:space="preserve">담수</x:t>
        </x:is>
      </x:c>
      <x:c r="U943" s="5" t="inlineStr">
        <x:is>
          <x:t xml:space="preserve">담수</x:t>
        </x:is>
      </x:c>
      <x:c r="V943" s="5" t="inlineStr">
        <x:is>
          <x:t xml:space="preserve">온대</x:t>
        </x:is>
      </x:c>
      <x:c r="W943" s="5" t="inlineStr">
        <x:is>
          <x:t xml:space="preserve">수중</x:t>
        </x:is>
      </x:c>
      <x:c r="X943" s="5" t="inlineStr">
        <x:is>
          <x:t xml:space="preserve">비</x:t>
        </x:is>
      </x:c>
      <x:c r="Y943" s="5" t="inlineStr">
        <x:is>
          <x:t xml:space="preserve">무관</x:t>
        </x:is>
      </x:c>
      <x:c r="Z943" s="5" t="inlineStr">
        <x:is>
          <x:t xml:space="preserve">흔함</x:t>
        </x:is>
      </x:c>
      <x:c r="AA943" s="5" t="inlineStr">
        <x:is>
          <x:t xml:space="preserve">없음</x:t>
        </x:is>
      </x:c>
      <x:c r="AB943" s="5" t="inlineStr">
        <x:is>
          <x:t xml:space="preserve">담수</x:t>
        </x:is>
      </x:c>
      <x:c r="AC943" s="5" t="inlineStr">
        <x:is>
          <x:t xml:space="preserve">gen9</x:t>
        </x:is>
      </x:c>
      <x:c r="AD943" s="5" t="inlineStr">
        <x:is>
          <x:t xml:space="preserve">.tmp/cobblemon-1.7.3-source/common/src/main/resources/data/cobblemon/species/generation9/bellibolt.json</x:t>
        </x:is>
      </x:c>
    </x:row>
    <x:row r="944" ht="22" customHeight="1">
      <x:c r="A944" s="5" t="n">
        <x:v>940</x:v>
      </x:c>
      <x:c r="B944" s="5" t="inlineStr">
        <x:is>
          <x:t xml:space="preserve">찌리비</x:t>
        </x:is>
      </x:c>
      <x:c r="C944" s="5" t="inlineStr">
        <x:is>
          <x:t xml:space="preserve">wattrel</x:t>
        </x:is>
      </x:c>
      <x:c r="D944" s="5" t="inlineStr">
        <x:is>
          <x:t xml:space="preserve">Wattrel</x:t>
        </x:is>
      </x:c>
      <x:c r="E944" s="5" t="n">
        <x:v>9</x:v>
      </x:c>
      <x:c r="F944" s="5" t="inlineStr">
        <x:is>
          <x:t xml:space="preserve">전기</x:t>
        </x:is>
      </x:c>
      <x:c r="G944" s="5" t="inlineStr">
        <x:is>
          <x:t xml:space="preserve">비행</x:t>
        </x:is>
      </x:c>
      <x:c r="H944" s="5" t="n">
        <x:v>0.4</x:v>
      </x:c>
      <x:c r="I944" s="5" t="n">
        <x:v>3.6</x:v>
      </x:c>
      <x:c r="J944" s="5" t="n">
        <x:v>280</x:v>
      </x:c>
      <x:c r="K944" s="5" t="n">
        <x:v>180</x:v>
      </x:c>
      <x:c r="L944" s="5" t="inlineStr">
        <x:is>
          <x:t xml:space="preserve">기본</x:t>
        </x:is>
      </x:c>
      <x:c r="M944" s="5" t="n">
        <x:v>25</x:v>
      </x:c>
      <x:c r="N944" s="5" t="inlineStr">
        <x:is>
          <x:t xml:space="preserve">레벨</x:t>
        </x:is>
      </x:c>
      <x:c r="O944" s="5" t="inlineStr">
        <x:is>
          <x:t xml:space="preserve">예</x:t>
        </x:is>
      </x:c>
      <x:c r="P944" s="5" t="inlineStr">
        <x:is>
          <x:t xml:space="preserve">#cobblemon:is_coast; #cobblemon:is_island; #cobblemon:is_ocean; #cobblemon:is_sky</x:t>
        </x:is>
      </x:c>
      <x:c r="Q944" s="5" t="inlineStr">
        <x:is>
          <x:t xml:space="preserve">common; uncommon</x:t>
        </x:is>
      </x:c>
      <x:c r="R944" s="5" t="inlineStr">
        <x:is>
          <x:t xml:space="preserve">day; night</x:t>
        </x:is>
      </x:c>
      <x:c r="S944" s="5" t="inlineStr">
        <x:is>
          <x:t xml:space="preserve"/>
        </x:is>
      </x:c>
      <x:c r="T944" s="5" t="inlineStr">
        <x:is>
          <x:t xml:space="preserve">해양</x:t>
        </x:is>
      </x:c>
      <x:c r="U944" s="5" t="inlineStr">
        <x:is>
          <x:t xml:space="preserve">해안·해양</x:t>
        </x:is>
      </x:c>
      <x:c r="V944" s="5" t="inlineStr">
        <x:is>
          <x:t xml:space="preserve">온대</x:t>
        </x:is>
      </x:c>
      <x:c r="W944" s="5" t="inlineStr">
        <x:is>
          <x:t xml:space="preserve">수중</x:t>
        </x:is>
      </x:c>
      <x:c r="X944" s="5" t="inlineStr">
        <x:is>
          <x:t xml:space="preserve">비</x:t>
        </x:is>
      </x:c>
      <x:c r="Y944" s="5" t="inlineStr">
        <x:is>
          <x:t xml:space="preserve">밤</x:t>
        </x:is>
      </x:c>
      <x:c r="Z944" s="5" t="inlineStr">
        <x:is>
          <x:t xml:space="preserve">보통</x:t>
        </x:is>
      </x:c>
      <x:c r="AA944" s="5" t="inlineStr">
        <x:is>
          <x:t xml:space="preserve">없음</x:t>
        </x:is>
      </x:c>
      <x:c r="AB944" s="5" t="inlineStr">
        <x:is>
          <x:t xml:space="preserve">해양</x:t>
        </x:is>
      </x:c>
      <x:c r="AC944" s="5" t="inlineStr">
        <x:is>
          <x:t xml:space="preserve">gen9</x:t>
        </x:is>
      </x:c>
      <x:c r="AD944" s="5" t="inlineStr">
        <x:is>
          <x:t xml:space="preserve">.tmp/cobblemon-1.7.3-source/common/src/main/resources/data/cobblemon/species/generation9/wattrel.json</x:t>
        </x:is>
      </x:c>
    </x:row>
    <x:row r="945" ht="22" customHeight="1">
      <x:c r="A945" s="5" t="n">
        <x:v>941</x:v>
      </x:c>
      <x:c r="B945" s="5" t="inlineStr">
        <x:is>
          <x:t xml:space="preserve">찌리비크</x:t>
        </x:is>
      </x:c>
      <x:c r="C945" s="5" t="inlineStr">
        <x:is>
          <x:t xml:space="preserve">kilowattrel</x:t>
        </x:is>
      </x:c>
      <x:c r="D945" s="5" t="inlineStr">
        <x:is>
          <x:t xml:space="preserve">Kilowattrel</x:t>
        </x:is>
      </x:c>
      <x:c r="E945" s="5" t="n">
        <x:v>9</x:v>
      </x:c>
      <x:c r="F945" s="5" t="inlineStr">
        <x:is>
          <x:t xml:space="preserve">전기</x:t>
        </x:is>
      </x:c>
      <x:c r="G945" s="5" t="inlineStr">
        <x:is>
          <x:t xml:space="preserve">비행</x:t>
        </x:is>
      </x:c>
      <x:c r="H945" s="5" t="n">
        <x:v>1.4</x:v>
      </x:c>
      <x:c r="I945" s="5" t="n">
        <x:v>38.6</x:v>
      </x:c>
      <x:c r="J945" s="5" t="n">
        <x:v>490</x:v>
      </x:c>
      <x:c r="K945" s="5" t="n">
        <x:v>90</x:v>
      </x:c>
      <x:c r="L945" s="5" t="inlineStr">
        <x:is>
          <x:t xml:space="preserve">최종</x:t>
        </x:is>
      </x:c>
      <x:c r="M945" s="5" t="n">
        <x:v>25</x:v>
      </x:c>
      <x:c r="N945" s="5" t="inlineStr">
        <x:is>
          <x:t xml:space="preserve">레벨</x:t>
        </x:is>
      </x:c>
      <x:c r="O945" s="5" t="inlineStr">
        <x:is>
          <x:t xml:space="preserve">예</x:t>
        </x:is>
      </x:c>
      <x:c r="P945" s="5" t="inlineStr">
        <x:is>
          <x:t xml:space="preserve">#cobblemon:is_coast; #cobblemon:is_island; #cobblemon:is_ocean; #cobblemon:is_sky</x:t>
        </x:is>
      </x:c>
      <x:c r="Q945" s="5" t="inlineStr">
        <x:is>
          <x:t xml:space="preserve">common; uncommon</x:t>
        </x:is>
      </x:c>
      <x:c r="R945" s="5" t="inlineStr">
        <x:is>
          <x:t xml:space="preserve">day; night</x:t>
        </x:is>
      </x:c>
      <x:c r="S945" s="5" t="inlineStr">
        <x:is>
          <x:t xml:space="preserve"/>
        </x:is>
      </x:c>
      <x:c r="T945" s="5" t="inlineStr">
        <x:is>
          <x:t xml:space="preserve">해양</x:t>
        </x:is>
      </x:c>
      <x:c r="U945" s="5" t="inlineStr">
        <x:is>
          <x:t xml:space="preserve">해안·해양</x:t>
        </x:is>
      </x:c>
      <x:c r="V945" s="5" t="inlineStr">
        <x:is>
          <x:t xml:space="preserve">온대</x:t>
        </x:is>
      </x:c>
      <x:c r="W945" s="5" t="inlineStr">
        <x:is>
          <x:t xml:space="preserve">수중</x:t>
        </x:is>
      </x:c>
      <x:c r="X945" s="5" t="inlineStr">
        <x:is>
          <x:t xml:space="preserve">비</x:t>
        </x:is>
      </x:c>
      <x:c r="Y945" s="5" t="inlineStr">
        <x:is>
          <x:t xml:space="preserve">밤</x:t>
        </x:is>
      </x:c>
      <x:c r="Z945" s="5" t="inlineStr">
        <x:is>
          <x:t xml:space="preserve">보통</x:t>
        </x:is>
      </x:c>
      <x:c r="AA945" s="5" t="inlineStr">
        <x:is>
          <x:t xml:space="preserve">없음</x:t>
        </x:is>
      </x:c>
      <x:c r="AB945" s="5" t="inlineStr">
        <x:is>
          <x:t xml:space="preserve">해양</x:t>
        </x:is>
      </x:c>
      <x:c r="AC945" s="5" t="inlineStr">
        <x:is>
          <x:t xml:space="preserve">gen9</x:t>
        </x:is>
      </x:c>
      <x:c r="AD945" s="5" t="inlineStr">
        <x:is>
          <x:t xml:space="preserve">.tmp/cobblemon-1.7.3-source/common/src/main/resources/data/cobblemon/species/generation9/kilowattrel.json</x:t>
        </x:is>
      </x:c>
    </x:row>
    <x:row r="946" ht="22" customHeight="1">
      <x:c r="A946" s="5" t="n">
        <x:v>942</x:v>
      </x:c>
      <x:c r="B946" s="5" t="inlineStr">
        <x:is>
          <x:t xml:space="preserve">오라티프</x:t>
        </x:is>
      </x:c>
      <x:c r="C946" s="5" t="inlineStr">
        <x:is>
          <x:t xml:space="preserve">maschiff</x:t>
        </x:is>
      </x:c>
      <x:c r="D946" s="5" t="inlineStr">
        <x:is>
          <x:t xml:space="preserve">Maschiff</x:t>
        </x:is>
      </x:c>
      <x:c r="E946" s="5" t="n">
        <x:v>9</x:v>
      </x:c>
      <x:c r="F946" s="5" t="inlineStr">
        <x:is>
          <x:t xml:space="preserve">악</x:t>
        </x:is>
      </x:c>
      <x:c r="G946" s="5" t="inlineStr">
        <x:is>
          <x:t xml:space="preserve"/>
        </x:is>
      </x:c>
      <x:c r="H946" s="5" t="n">
        <x:v>0.5</x:v>
      </x:c>
      <x:c r="I946" s="5" t="n">
        <x:v>16</x:v>
      </x:c>
      <x:c r="J946" s="5" t="n">
        <x:v>340</x:v>
      </x:c>
      <x:c r="K946" s="5" t="n">
        <x:v>150</x:v>
      </x:c>
      <x:c r="L946" s="5" t="inlineStr">
        <x:is>
          <x:t xml:space="preserve">기본</x:t>
        </x:is>
      </x:c>
      <x:c r="M946" s="5" t="n">
        <x:v>30</x:v>
      </x:c>
      <x:c r="N946" s="5" t="inlineStr">
        <x:is>
          <x:t xml:space="preserve">레벨</x:t>
        </x:is>
      </x:c>
      <x:c r="O946" s="5" t="inlineStr">
        <x:is>
          <x:t xml:space="preserve">예</x:t>
        </x:is>
      </x:c>
      <x:c r="P946" s="5" t="inlineStr">
        <x:is>
          <x:t xml:space="preserve">#cobblemon:is_overworld</x:t>
        </x:is>
      </x:c>
      <x:c r="Q946" s="5" t="inlineStr">
        <x:is>
          <x:t xml:space="preserve">common</x:t>
        </x:is>
      </x:c>
      <x:c r="R946" s="5" t="inlineStr">
        <x:is>
          <x:t xml:space="preserve"/>
        </x:is>
      </x:c>
      <x:c r="S946" s="5" t="inlineStr">
        <x:is>
          <x:t xml:space="preserve"/>
        </x:is>
      </x:c>
      <x:c r="T946" s="5" t="inlineStr">
        <x:is>
          <x:t xml:space="preserve">육상</x:t>
        </x:is>
      </x:c>
      <x:c r="U946" s="5" t="inlineStr">
        <x:is>
          <x:t xml:space="preserve">특수</x:t>
        </x:is>
      </x:c>
      <x:c r="V946" s="5" t="inlineStr">
        <x:is>
          <x:t xml:space="preserve">온대</x:t>
        </x:is>
      </x:c>
      <x:c r="W946" s="5" t="inlineStr">
        <x:is>
          <x:t xml:space="preserve">보통</x:t>
        </x:is>
      </x:c>
      <x:c r="X946" s="5" t="inlineStr">
        <x:is>
          <x:t xml:space="preserve">무관</x:t>
        </x:is>
      </x:c>
      <x:c r="Y946" s="5" t="inlineStr">
        <x:is>
          <x:t xml:space="preserve">밤</x:t>
        </x:is>
      </x:c>
      <x:c r="Z946" s="5" t="inlineStr">
        <x:is>
          <x:t xml:space="preserve">흔함</x:t>
        </x:is>
      </x:c>
      <x:c r="AA946" s="5" t="inlineStr">
        <x:is>
          <x:t xml:space="preserve">없음</x:t>
        </x:is>
      </x:c>
      <x:c r="AB946" s="5" t="inlineStr">
        <x:is>
          <x:t xml:space="preserve"/>
        </x:is>
      </x:c>
      <x:c r="AC946" s="5" t="inlineStr">
        <x:is>
          <x:t xml:space="preserve">gen9</x:t>
        </x:is>
      </x:c>
      <x:c r="AD946" s="5" t="inlineStr">
        <x:is>
          <x:t xml:space="preserve">.tmp/cobblemon-1.7.3-source/common/src/main/resources/data/cobblemon/species/generation9/maschiff.json</x:t>
        </x:is>
      </x:c>
    </x:row>
    <x:row r="947" ht="22" customHeight="1">
      <x:c r="A947" s="5" t="n">
        <x:v>943</x:v>
      </x:c>
      <x:c r="B947" s="5" t="inlineStr">
        <x:is>
          <x:t xml:space="preserve">마피티프</x:t>
        </x:is>
      </x:c>
      <x:c r="C947" s="5" t="inlineStr">
        <x:is>
          <x:t xml:space="preserve">mabosstiff</x:t>
        </x:is>
      </x:c>
      <x:c r="D947" s="5" t="inlineStr">
        <x:is>
          <x:t xml:space="preserve">Mabosstiff</x:t>
        </x:is>
      </x:c>
      <x:c r="E947" s="5" t="n">
        <x:v>9</x:v>
      </x:c>
      <x:c r="F947" s="5" t="inlineStr">
        <x:is>
          <x:t xml:space="preserve">악</x:t>
        </x:is>
      </x:c>
      <x:c r="G947" s="5" t="inlineStr">
        <x:is>
          <x:t xml:space="preserve"/>
        </x:is>
      </x:c>
      <x:c r="H947" s="5" t="n">
        <x:v>1.1</x:v>
      </x:c>
      <x:c r="I947" s="5" t="n">
        <x:v>61</x:v>
      </x:c>
      <x:c r="J947" s="5" t="n">
        <x:v>505</x:v>
      </x:c>
      <x:c r="K947" s="5" t="n">
        <x:v>75</x:v>
      </x:c>
      <x:c r="L947" s="5" t="inlineStr">
        <x:is>
          <x:t xml:space="preserve">최종</x:t>
        </x:is>
      </x:c>
      <x:c r="M947" s="5" t="n">
        <x:v>30</x:v>
      </x:c>
      <x:c r="N947" s="5" t="inlineStr">
        <x:is>
          <x:t xml:space="preserve">레벨</x:t>
        </x:is>
      </x:c>
      <x:c r="O947" s="5" t="inlineStr">
        <x:is>
          <x:t xml:space="preserve">예</x:t>
        </x:is>
      </x:c>
      <x:c r="P947" s="5" t="inlineStr">
        <x:is>
          <x:t xml:space="preserve">#cobblemon:is_overworld</x:t>
        </x:is>
      </x:c>
      <x:c r="Q947" s="5" t="inlineStr">
        <x:is>
          <x:t xml:space="preserve">common</x:t>
        </x:is>
      </x:c>
      <x:c r="R947" s="5" t="inlineStr">
        <x:is>
          <x:t xml:space="preserve"/>
        </x:is>
      </x:c>
      <x:c r="S947" s="5" t="inlineStr">
        <x:is>
          <x:t xml:space="preserve"/>
        </x:is>
      </x:c>
      <x:c r="T947" s="5" t="inlineStr">
        <x:is>
          <x:t xml:space="preserve">육상</x:t>
        </x:is>
      </x:c>
      <x:c r="U947" s="5" t="inlineStr">
        <x:is>
          <x:t xml:space="preserve">특수</x:t>
        </x:is>
      </x:c>
      <x:c r="V947" s="5" t="inlineStr">
        <x:is>
          <x:t xml:space="preserve">온대</x:t>
        </x:is>
      </x:c>
      <x:c r="W947" s="5" t="inlineStr">
        <x:is>
          <x:t xml:space="preserve">보통</x:t>
        </x:is>
      </x:c>
      <x:c r="X947" s="5" t="inlineStr">
        <x:is>
          <x:t xml:space="preserve">무관</x:t>
        </x:is>
      </x:c>
      <x:c r="Y947" s="5" t="inlineStr">
        <x:is>
          <x:t xml:space="preserve">밤</x:t>
        </x:is>
      </x:c>
      <x:c r="Z947" s="5" t="inlineStr">
        <x:is>
          <x:t xml:space="preserve">흔함</x:t>
        </x:is>
      </x:c>
      <x:c r="AA947" s="5" t="inlineStr">
        <x:is>
          <x:t xml:space="preserve">없음</x:t>
        </x:is>
      </x:c>
      <x:c r="AB947" s="5" t="inlineStr">
        <x:is>
          <x:t xml:space="preserve"/>
        </x:is>
      </x:c>
      <x:c r="AC947" s="5" t="inlineStr">
        <x:is>
          <x:t xml:space="preserve">gen9</x:t>
        </x:is>
      </x:c>
      <x:c r="AD947" s="5" t="inlineStr">
        <x:is>
          <x:t xml:space="preserve">.tmp/cobblemon-1.7.3-source/common/src/main/resources/data/cobblemon/species/generation9/mabosstiff.json</x:t>
        </x:is>
      </x:c>
    </x:row>
    <x:row r="948" ht="22" customHeight="1">
      <x:c r="A948" s="5" t="n">
        <x:v>944</x:v>
      </x:c>
      <x:c r="B948" s="5" t="inlineStr">
        <x:is>
          <x:t xml:space="preserve">땃쭈르</x:t>
        </x:is>
      </x:c>
      <x:c r="C948" s="5" t="inlineStr">
        <x:is>
          <x:t xml:space="preserve">shroodle</x:t>
        </x:is>
      </x:c>
      <x:c r="D948" s="5" t="inlineStr">
        <x:is>
          <x:t xml:space="preserve">Shroodle</x:t>
        </x:is>
      </x:c>
      <x:c r="E948" s="5" t="n">
        <x:v>9</x:v>
      </x:c>
      <x:c r="F948" s="5" t="inlineStr">
        <x:is>
          <x:t xml:space="preserve">독</x:t>
        </x:is>
      </x:c>
      <x:c r="G948" s="5" t="inlineStr">
        <x:is>
          <x:t xml:space="preserve">노말</x:t>
        </x:is>
      </x:c>
      <x:c r="H948" s="5" t="n">
        <x:v>0.2</x:v>
      </x:c>
      <x:c r="I948" s="5" t="n">
        <x:v>0.7</x:v>
      </x:c>
      <x:c r="J948" s="5" t="n">
        <x:v>290</x:v>
      </x:c>
      <x:c r="K948" s="5" t="n">
        <x:v>190</x:v>
      </x:c>
      <x:c r="L948" s="5" t="inlineStr">
        <x:is>
          <x:t xml:space="preserve">기본</x:t>
        </x:is>
      </x:c>
      <x:c r="M948" s="5" t="n">
        <x:v>28</x:v>
      </x:c>
      <x:c r="N948" s="5" t="inlineStr">
        <x:is>
          <x:t xml:space="preserve">레벨</x:t>
        </x:is>
      </x:c>
      <x:c r="O948" s="5" t="inlineStr">
        <x:is>
          <x:t xml:space="preserve">예</x:t>
        </x:is>
      </x:c>
      <x:c r="P948" s="5" t="inlineStr">
        <x:is>
          <x:t xml:space="preserve">#cobblemon:is_jungle; #cobblemon:is_tropical_island</x:t>
        </x:is>
      </x:c>
      <x:c r="Q948" s="5" t="inlineStr">
        <x:is>
          <x:t xml:space="preserve">common</x:t>
        </x:is>
      </x:c>
      <x:c r="R948" s="5" t="inlineStr">
        <x:is>
          <x:t xml:space="preserve">night</x:t>
        </x:is>
      </x:c>
      <x:c r="S948" s="5" t="inlineStr">
        <x:is>
          <x:t xml:space="preserve"/>
        </x:is>
      </x:c>
      <x:c r="T948" s="5" t="inlineStr">
        <x:is>
          <x:t xml:space="preserve">육상</x:t>
        </x:is>
      </x:c>
      <x:c r="U948" s="5" t="inlineStr">
        <x:is>
          <x:t xml:space="preserve">수목</x:t>
        </x:is>
      </x:c>
      <x:c r="V948" s="5" t="inlineStr">
        <x:is>
          <x:t xml:space="preserve">온대</x:t>
        </x:is>
      </x:c>
      <x:c r="W948" s="5" t="inlineStr">
        <x:is>
          <x:t xml:space="preserve">다습</x:t>
        </x:is>
      </x:c>
      <x:c r="X948" s="5" t="inlineStr">
        <x:is>
          <x:t xml:space="preserve">무관</x:t>
        </x:is>
      </x:c>
      <x:c r="Y948" s="5" t="inlineStr">
        <x:is>
          <x:t xml:space="preserve">밤</x:t>
        </x:is>
      </x:c>
      <x:c r="Z948" s="5" t="inlineStr">
        <x:is>
          <x:t xml:space="preserve">흔함</x:t>
        </x:is>
      </x:c>
      <x:c r="AA948" s="5" t="inlineStr">
        <x:is>
          <x:t xml:space="preserve">없음</x:t>
        </x:is>
      </x:c>
      <x:c r="AB948" s="5" t="inlineStr">
        <x:is>
          <x:t xml:space="preserve">숲</x:t>
        </x:is>
      </x:c>
      <x:c r="AC948" s="5" t="inlineStr">
        <x:is>
          <x:t xml:space="preserve">gen9</x:t>
        </x:is>
      </x:c>
      <x:c r="AD948" s="5" t="inlineStr">
        <x:is>
          <x:t xml:space="preserve">.tmp/cobblemon-1.7.3-source/common/src/main/resources/data/cobblemon/species/generation9/shroodle.json</x:t>
        </x:is>
      </x:c>
    </x:row>
    <x:row r="949" ht="22" customHeight="1">
      <x:c r="A949" s="5" t="n">
        <x:v>945</x:v>
      </x:c>
      <x:c r="B949" s="5" t="inlineStr">
        <x:is>
          <x:t xml:space="preserve">태깅구르</x:t>
        </x:is>
      </x:c>
      <x:c r="C949" s="5" t="inlineStr">
        <x:is>
          <x:t xml:space="preserve">grafaiai</x:t>
        </x:is>
      </x:c>
      <x:c r="D949" s="5" t="inlineStr">
        <x:is>
          <x:t xml:space="preserve">Grafaiai</x:t>
        </x:is>
      </x:c>
      <x:c r="E949" s="5" t="n">
        <x:v>9</x:v>
      </x:c>
      <x:c r="F949" s="5" t="inlineStr">
        <x:is>
          <x:t xml:space="preserve">독</x:t>
        </x:is>
      </x:c>
      <x:c r="G949" s="5" t="inlineStr">
        <x:is>
          <x:t xml:space="preserve">노말</x:t>
        </x:is>
      </x:c>
      <x:c r="H949" s="5" t="n">
        <x:v>0.7</x:v>
      </x:c>
      <x:c r="I949" s="5" t="n">
        <x:v>27.2</x:v>
      </x:c>
      <x:c r="J949" s="5" t="n">
        <x:v>485</x:v>
      </x:c>
      <x:c r="K949" s="5" t="n">
        <x:v>90</x:v>
      </x:c>
      <x:c r="L949" s="5" t="inlineStr">
        <x:is>
          <x:t xml:space="preserve">최종</x:t>
        </x:is>
      </x:c>
      <x:c r="M949" s="5" t="n">
        <x:v>28</x:v>
      </x:c>
      <x:c r="N949" s="5" t="inlineStr">
        <x:is>
          <x:t xml:space="preserve">레벨</x:t>
        </x:is>
      </x:c>
      <x:c r="O949" s="5" t="inlineStr">
        <x:is>
          <x:t xml:space="preserve">예</x:t>
        </x:is>
      </x:c>
      <x:c r="P949" s="5" t="inlineStr">
        <x:is>
          <x:t xml:space="preserve">#cobblemon:is_jungle; #cobblemon:is_tropical_island</x:t>
        </x:is>
      </x:c>
      <x:c r="Q949" s="5" t="inlineStr">
        <x:is>
          <x:t xml:space="preserve">common</x:t>
        </x:is>
      </x:c>
      <x:c r="R949" s="5" t="inlineStr">
        <x:is>
          <x:t xml:space="preserve">night</x:t>
        </x:is>
      </x:c>
      <x:c r="S949" s="5" t="inlineStr">
        <x:is>
          <x:t xml:space="preserve"/>
        </x:is>
      </x:c>
      <x:c r="T949" s="5" t="inlineStr">
        <x:is>
          <x:t xml:space="preserve">육상</x:t>
        </x:is>
      </x:c>
      <x:c r="U949" s="5" t="inlineStr">
        <x:is>
          <x:t xml:space="preserve">수목</x:t>
        </x:is>
      </x:c>
      <x:c r="V949" s="5" t="inlineStr">
        <x:is>
          <x:t xml:space="preserve">온대</x:t>
        </x:is>
      </x:c>
      <x:c r="W949" s="5" t="inlineStr">
        <x:is>
          <x:t xml:space="preserve">다습</x:t>
        </x:is>
      </x:c>
      <x:c r="X949" s="5" t="inlineStr">
        <x:is>
          <x:t xml:space="preserve">무관</x:t>
        </x:is>
      </x:c>
      <x:c r="Y949" s="5" t="inlineStr">
        <x:is>
          <x:t xml:space="preserve">밤</x:t>
        </x:is>
      </x:c>
      <x:c r="Z949" s="5" t="inlineStr">
        <x:is>
          <x:t xml:space="preserve">흔함</x:t>
        </x:is>
      </x:c>
      <x:c r="AA949" s="5" t="inlineStr">
        <x:is>
          <x:t xml:space="preserve">없음</x:t>
        </x:is>
      </x:c>
      <x:c r="AB949" s="5" t="inlineStr">
        <x:is>
          <x:t xml:space="preserve">숲</x:t>
        </x:is>
      </x:c>
      <x:c r="AC949" s="5" t="inlineStr">
        <x:is>
          <x:t xml:space="preserve">gen9</x:t>
        </x:is>
      </x:c>
      <x:c r="AD949" s="5" t="inlineStr">
        <x:is>
          <x:t xml:space="preserve">.tmp/cobblemon-1.7.3-source/common/src/main/resources/data/cobblemon/species/generation9/grafaiai.json</x:t>
        </x:is>
      </x:c>
    </x:row>
    <x:row r="950" ht="22" customHeight="1">
      <x:c r="A950" s="5" t="n">
        <x:v>946</x:v>
      </x:c>
      <x:c r="B950" s="5" t="inlineStr">
        <x:is>
          <x:t xml:space="preserve">그푸리</x:t>
        </x:is>
      </x:c>
      <x:c r="C950" s="5" t="inlineStr">
        <x:is>
          <x:t xml:space="preserve">bramblin</x:t>
        </x:is>
      </x:c>
      <x:c r="D950" s="5" t="inlineStr">
        <x:is>
          <x:t xml:space="preserve">Bramblin</x:t>
        </x:is>
      </x:c>
      <x:c r="E950" s="5" t="n">
        <x:v>9</x:v>
      </x:c>
      <x:c r="F950" s="5" t="inlineStr">
        <x:is>
          <x:t xml:space="preserve">풀</x:t>
        </x:is>
      </x:c>
      <x:c r="G950" s="5" t="inlineStr">
        <x:is>
          <x:t xml:space="preserve">고스트</x:t>
        </x:is>
      </x:c>
      <x:c r="H950" s="5" t="n">
        <x:v>0.6</x:v>
      </x:c>
      <x:c r="I950" s="5" t="n">
        <x:v>0.6</x:v>
      </x:c>
      <x:c r="J950" s="5" t="n">
        <x:v>275</x:v>
      </x:c>
      <x:c r="K950" s="5" t="n">
        <x:v>190</x:v>
      </x:c>
      <x:c r="L950" s="5" t="inlineStr">
        <x:is>
          <x:t xml:space="preserve">기본</x:t>
        </x:is>
      </x:c>
      <x:c r="M950" s="5" t="n"/>
      <x:c r="N950" s="5" t="inlineStr">
        <x:is>
          <x:t xml:space="preserve">특수</x:t>
        </x:is>
      </x:c>
      <x:c r="O950" s="5" t="inlineStr">
        <x:is>
          <x:t xml:space="preserve">예</x:t>
        </x:is>
      </x:c>
      <x:c r="P950" s="5" t="inlineStr">
        <x:is>
          <x:t xml:space="preserve">#cobblemon:is_badlands; #cobblemon:is_desert; #cobblemon:nether/is_desert</x:t>
        </x:is>
      </x:c>
      <x:c r="Q950" s="5" t="inlineStr">
        <x:is>
          <x:t xml:space="preserve">common</x:t>
        </x:is>
      </x:c>
      <x:c r="R950" s="5" t="inlineStr">
        <x:is>
          <x:t xml:space="preserve"/>
        </x:is>
      </x:c>
      <x:c r="S950" s="5" t="inlineStr">
        <x:is>
          <x:t xml:space="preserve"/>
        </x:is>
      </x:c>
      <x:c r="T950" s="5" t="inlineStr">
        <x:is>
          <x:t xml:space="preserve">영체</x:t>
        </x:is>
      </x:c>
      <x:c r="U950" s="5" t="inlineStr">
        <x:is>
          <x:t xml:space="preserve">건조</x:t>
        </x:is>
      </x:c>
      <x:c r="V950" s="5" t="inlineStr">
        <x:is>
          <x:t xml:space="preserve">고온</x:t>
        </x:is>
      </x:c>
      <x:c r="W950" s="5" t="inlineStr">
        <x:is>
          <x:t xml:space="preserve">건조</x:t>
        </x:is>
      </x:c>
      <x:c r="X950" s="5" t="inlineStr">
        <x:is>
          <x:t xml:space="preserve">맑음</x:t>
        </x:is>
      </x:c>
      <x:c r="Y950" s="5" t="inlineStr">
        <x:is>
          <x:t xml:space="preserve">밤</x:t>
        </x:is>
      </x:c>
      <x:c r="Z950" s="5" t="inlineStr">
        <x:is>
          <x:t xml:space="preserve">흔함</x:t>
        </x:is>
      </x:c>
      <x:c r="AA950" s="5" t="inlineStr">
        <x:is>
          <x:t xml:space="preserve">영체</x:t>
        </x:is>
      </x:c>
      <x:c r="AB950" s="5" t="inlineStr">
        <x:is>
          <x:t xml:space="preserve">건조지</x:t>
        </x:is>
      </x:c>
      <x:c r="AC950" s="5" t="inlineStr">
        <x:is>
          <x:t xml:space="preserve">gen9</x:t>
        </x:is>
      </x:c>
      <x:c r="AD950" s="5" t="inlineStr">
        <x:is>
          <x:t xml:space="preserve">.tmp/cobblemon-1.7.3-source/common/src/main/resources/data/cobblemon/species/generation9/bramblin.json</x:t>
        </x:is>
      </x:c>
    </x:row>
    <x:row r="951" ht="22" customHeight="1">
      <x:c r="A951" s="5" t="n">
        <x:v>947</x:v>
      </x:c>
      <x:c r="B951" s="5" t="inlineStr">
        <x:is>
          <x:t xml:space="preserve">공푸리</x:t>
        </x:is>
      </x:c>
      <x:c r="C951" s="5" t="inlineStr">
        <x:is>
          <x:t xml:space="preserve">brambleghast</x:t>
        </x:is>
      </x:c>
      <x:c r="D951" s="5" t="inlineStr">
        <x:is>
          <x:t xml:space="preserve">Brambleghast</x:t>
        </x:is>
      </x:c>
      <x:c r="E951" s="5" t="n">
        <x:v>9</x:v>
      </x:c>
      <x:c r="F951" s="5" t="inlineStr">
        <x:is>
          <x:t xml:space="preserve">풀</x:t>
        </x:is>
      </x:c>
      <x:c r="G951" s="5" t="inlineStr">
        <x:is>
          <x:t xml:space="preserve">고스트</x:t>
        </x:is>
      </x:c>
      <x:c r="H951" s="5" t="n">
        <x:v>1.2</x:v>
      </x:c>
      <x:c r="I951" s="5" t="n">
        <x:v>6</x:v>
      </x:c>
      <x:c r="J951" s="5" t="n">
        <x:v>480</x:v>
      </x:c>
      <x:c r="K951" s="5" t="n">
        <x:v>45</x:v>
      </x:c>
      <x:c r="L951" s="5" t="inlineStr">
        <x:is>
          <x:t xml:space="preserve">최종</x:t>
        </x:is>
      </x:c>
      <x:c r="M951" s="5" t="n"/>
      <x:c r="N951" s="5" t="inlineStr">
        <x:is>
          <x:t xml:space="preserve">특수</x:t>
        </x:is>
      </x:c>
      <x:c r="O951" s="5" t="inlineStr">
        <x:is>
          <x:t xml:space="preserve">예</x:t>
        </x:is>
      </x:c>
      <x:c r="P951" s="5" t="inlineStr">
        <x:is>
          <x:t xml:space="preserve">#cobblemon:is_badlands; #cobblemon:is_desert; #cobblemon:nether/is_desert</x:t>
        </x:is>
      </x:c>
      <x:c r="Q951" s="5" t="inlineStr">
        <x:is>
          <x:t xml:space="preserve">common</x:t>
        </x:is>
      </x:c>
      <x:c r="R951" s="5" t="inlineStr">
        <x:is>
          <x:t xml:space="preserve"/>
        </x:is>
      </x:c>
      <x:c r="S951" s="5" t="inlineStr">
        <x:is>
          <x:t xml:space="preserve"/>
        </x:is>
      </x:c>
      <x:c r="T951" s="5" t="inlineStr">
        <x:is>
          <x:t xml:space="preserve">영체</x:t>
        </x:is>
      </x:c>
      <x:c r="U951" s="5" t="inlineStr">
        <x:is>
          <x:t xml:space="preserve">건조</x:t>
        </x:is>
      </x:c>
      <x:c r="V951" s="5" t="inlineStr">
        <x:is>
          <x:t xml:space="preserve">고온</x:t>
        </x:is>
      </x:c>
      <x:c r="W951" s="5" t="inlineStr">
        <x:is>
          <x:t xml:space="preserve">건조</x:t>
        </x:is>
      </x:c>
      <x:c r="X951" s="5" t="inlineStr">
        <x:is>
          <x:t xml:space="preserve">맑음</x:t>
        </x:is>
      </x:c>
      <x:c r="Y951" s="5" t="inlineStr">
        <x:is>
          <x:t xml:space="preserve">밤</x:t>
        </x:is>
      </x:c>
      <x:c r="Z951" s="5" t="inlineStr">
        <x:is>
          <x:t xml:space="preserve">흔함</x:t>
        </x:is>
      </x:c>
      <x:c r="AA951" s="5" t="inlineStr">
        <x:is>
          <x:t xml:space="preserve">영체</x:t>
        </x:is>
      </x:c>
      <x:c r="AB951" s="5" t="inlineStr">
        <x:is>
          <x:t xml:space="preserve">건조지</x:t>
        </x:is>
      </x:c>
      <x:c r="AC951" s="5" t="inlineStr">
        <x:is>
          <x:t xml:space="preserve">gen9</x:t>
        </x:is>
      </x:c>
      <x:c r="AD951" s="5" t="inlineStr">
        <x:is>
          <x:t xml:space="preserve">.tmp/cobblemon-1.7.3-source/common/src/main/resources/data/cobblemon/species/generation9/brambleghast.json</x:t>
        </x:is>
      </x:c>
    </x:row>
    <x:row r="952" ht="22" customHeight="1">
      <x:c r="A952" s="5" t="n">
        <x:v>948</x:v>
      </x:c>
      <x:c r="B952" s="5" t="inlineStr">
        <x:is>
          <x:t xml:space="preserve">들눈해</x:t>
        </x:is>
      </x:c>
      <x:c r="C952" s="5" t="inlineStr">
        <x:is>
          <x:t xml:space="preserve">toedscool</x:t>
        </x:is>
      </x:c>
      <x:c r="D952" s="5" t="inlineStr">
        <x:is>
          <x:t xml:space="preserve">Toedscool</x:t>
        </x:is>
      </x:c>
      <x:c r="E952" s="5" t="n">
        <x:v>9</x:v>
      </x:c>
      <x:c r="F952" s="5" t="inlineStr">
        <x:is>
          <x:t xml:space="preserve">땅</x:t>
        </x:is>
      </x:c>
      <x:c r="G952" s="5" t="inlineStr">
        <x:is>
          <x:t xml:space="preserve">풀</x:t>
        </x:is>
      </x:c>
      <x:c r="H952" s="5" t="n">
        <x:v>0.9</x:v>
      </x:c>
      <x:c r="I952" s="5" t="n">
        <x:v>33</x:v>
      </x:c>
      <x:c r="J952" s="5" t="n">
        <x:v>335</x:v>
      </x:c>
      <x:c r="K952" s="5" t="n">
        <x:v>190</x:v>
      </x:c>
      <x:c r="L952" s="5" t="inlineStr">
        <x:is>
          <x:t xml:space="preserve">기본</x:t>
        </x:is>
      </x:c>
      <x:c r="M952" s="5" t="n">
        <x:v>30</x:v>
      </x:c>
      <x:c r="N952" s="5" t="inlineStr">
        <x:is>
          <x:t xml:space="preserve">레벨</x:t>
        </x:is>
      </x:c>
      <x:c r="O952" s="5" t="inlineStr">
        <x:is>
          <x:t xml:space="preserve">예</x:t>
        </x:is>
      </x:c>
      <x:c r="P952" s="5" t="inlineStr">
        <x:is>
          <x:t xml:space="preserve">#cobblemon:is_savanna; #cobblemon:nether/is_fungus</x:t>
        </x:is>
      </x:c>
      <x:c r="Q952" s="5" t="inlineStr">
        <x:is>
          <x:t xml:space="preserve">common</x:t>
        </x:is>
      </x:c>
      <x:c r="R952" s="5" t="inlineStr">
        <x:is>
          <x:t xml:space="preserve"/>
        </x:is>
      </x:c>
      <x:c r="S952" s="5" t="inlineStr">
        <x:is>
          <x:t xml:space="preserve"/>
        </x:is>
      </x:c>
      <x:c r="T952" s="5" t="inlineStr">
        <x:is>
          <x:t xml:space="preserve">육상</x:t>
        </x:is>
      </x:c>
      <x:c r="U952" s="5" t="inlineStr">
        <x:is>
          <x:t xml:space="preserve">화산</x:t>
        </x:is>
      </x:c>
      <x:c r="V952" s="5" t="inlineStr">
        <x:is>
          <x:t xml:space="preserve">고온</x:t>
        </x:is>
      </x:c>
      <x:c r="W952" s="5" t="inlineStr">
        <x:is>
          <x:t xml:space="preserve">건조</x:t>
        </x:is>
      </x:c>
      <x:c r="X952" s="5" t="inlineStr">
        <x:is>
          <x:t xml:space="preserve">맑음</x:t>
        </x:is>
      </x:c>
      <x:c r="Y952" s="5" t="inlineStr">
        <x:is>
          <x:t xml:space="preserve">무관</x:t>
        </x:is>
      </x:c>
      <x:c r="Z952" s="5" t="inlineStr">
        <x:is>
          <x:t xml:space="preserve">흔함</x:t>
        </x:is>
      </x:c>
      <x:c r="AA952" s="5" t="inlineStr">
        <x:is>
          <x:t xml:space="preserve">화산</x:t>
        </x:is>
      </x:c>
      <x:c r="AB952" s="5" t="inlineStr">
        <x:is>
          <x:t xml:space="preserve">화산</x:t>
        </x:is>
      </x:c>
      <x:c r="AC952" s="5" t="inlineStr">
        <x:is>
          <x:t xml:space="preserve">gen9</x:t>
        </x:is>
      </x:c>
      <x:c r="AD952" s="5" t="inlineStr">
        <x:is>
          <x:t xml:space="preserve">.tmp/cobblemon-1.7.3-source/common/src/main/resources/data/cobblemon/species/generation9/toedscool.json</x:t>
        </x:is>
      </x:c>
    </x:row>
    <x:row r="953" ht="22" customHeight="1">
      <x:c r="A953" s="5" t="n">
        <x:v>949</x:v>
      </x:c>
      <x:c r="B953" s="5" t="inlineStr">
        <x:is>
          <x:t xml:space="preserve">육파리</x:t>
        </x:is>
      </x:c>
      <x:c r="C953" s="5" t="inlineStr">
        <x:is>
          <x:t xml:space="preserve">toedscruel</x:t>
        </x:is>
      </x:c>
      <x:c r="D953" s="5" t="inlineStr">
        <x:is>
          <x:t xml:space="preserve">Toedscruel</x:t>
        </x:is>
      </x:c>
      <x:c r="E953" s="5" t="n">
        <x:v>9</x:v>
      </x:c>
      <x:c r="F953" s="5" t="inlineStr">
        <x:is>
          <x:t xml:space="preserve">땅</x:t>
        </x:is>
      </x:c>
      <x:c r="G953" s="5" t="inlineStr">
        <x:is>
          <x:t xml:space="preserve">풀</x:t>
        </x:is>
      </x:c>
      <x:c r="H953" s="5" t="n">
        <x:v>1.9</x:v>
      </x:c>
      <x:c r="I953" s="5" t="n">
        <x:v>58</x:v>
      </x:c>
      <x:c r="J953" s="5" t="n">
        <x:v>515</x:v>
      </x:c>
      <x:c r="K953" s="5" t="n">
        <x:v>90</x:v>
      </x:c>
      <x:c r="L953" s="5" t="inlineStr">
        <x:is>
          <x:t xml:space="preserve">최종</x:t>
        </x:is>
      </x:c>
      <x:c r="M953" s="5" t="n">
        <x:v>30</x:v>
      </x:c>
      <x:c r="N953" s="5" t="inlineStr">
        <x:is>
          <x:t xml:space="preserve">레벨</x:t>
        </x:is>
      </x:c>
      <x:c r="O953" s="5" t="inlineStr">
        <x:is>
          <x:t xml:space="preserve">예</x:t>
        </x:is>
      </x:c>
      <x:c r="P953" s="5" t="inlineStr">
        <x:is>
          <x:t xml:space="preserve">#cobblemon:is_savanna; #cobblemon:nether/is_fungus</x:t>
        </x:is>
      </x:c>
      <x:c r="Q953" s="5" t="inlineStr">
        <x:is>
          <x:t xml:space="preserve">common</x:t>
        </x:is>
      </x:c>
      <x:c r="R953" s="5" t="inlineStr">
        <x:is>
          <x:t xml:space="preserve"/>
        </x:is>
      </x:c>
      <x:c r="S953" s="5" t="inlineStr">
        <x:is>
          <x:t xml:space="preserve"/>
        </x:is>
      </x:c>
      <x:c r="T953" s="5" t="inlineStr">
        <x:is>
          <x:t xml:space="preserve">육상</x:t>
        </x:is>
      </x:c>
      <x:c r="U953" s="5" t="inlineStr">
        <x:is>
          <x:t xml:space="preserve">화산</x:t>
        </x:is>
      </x:c>
      <x:c r="V953" s="5" t="inlineStr">
        <x:is>
          <x:t xml:space="preserve">고온</x:t>
        </x:is>
      </x:c>
      <x:c r="W953" s="5" t="inlineStr">
        <x:is>
          <x:t xml:space="preserve">건조</x:t>
        </x:is>
      </x:c>
      <x:c r="X953" s="5" t="inlineStr">
        <x:is>
          <x:t xml:space="preserve">맑음</x:t>
        </x:is>
      </x:c>
      <x:c r="Y953" s="5" t="inlineStr">
        <x:is>
          <x:t xml:space="preserve">무관</x:t>
        </x:is>
      </x:c>
      <x:c r="Z953" s="5" t="inlineStr">
        <x:is>
          <x:t xml:space="preserve">흔함</x:t>
        </x:is>
      </x:c>
      <x:c r="AA953" s="5" t="inlineStr">
        <x:is>
          <x:t xml:space="preserve">화산</x:t>
        </x:is>
      </x:c>
      <x:c r="AB953" s="5" t="inlineStr">
        <x:is>
          <x:t xml:space="preserve">화산</x:t>
        </x:is>
      </x:c>
      <x:c r="AC953" s="5" t="inlineStr">
        <x:is>
          <x:t xml:space="preserve">gen9</x:t>
        </x:is>
      </x:c>
      <x:c r="AD953" s="5" t="inlineStr">
        <x:is>
          <x:t xml:space="preserve">.tmp/cobblemon-1.7.3-source/common/src/main/resources/data/cobblemon/species/generation9/toedscruel.json</x:t>
        </x:is>
      </x:c>
    </x:row>
    <x:row r="954" ht="22" customHeight="1">
      <x:c r="A954" s="5" t="n">
        <x:v>950</x:v>
      </x:c>
      <x:c r="B954" s="5" t="inlineStr">
        <x:is>
          <x:t xml:space="preserve">절벼게</x:t>
        </x:is>
      </x:c>
      <x:c r="C954" s="5" t="inlineStr">
        <x:is>
          <x:t xml:space="preserve">klawf</x:t>
        </x:is>
      </x:c>
      <x:c r="D954" s="5" t="inlineStr">
        <x:is>
          <x:t xml:space="preserve">Klawf</x:t>
        </x:is>
      </x:c>
      <x:c r="E954" s="5" t="n">
        <x:v>9</x:v>
      </x:c>
      <x:c r="F954" s="5" t="inlineStr">
        <x:is>
          <x:t xml:space="preserve">바위</x:t>
        </x:is>
      </x:c>
      <x:c r="G954" s="5" t="inlineStr">
        <x:is>
          <x:t xml:space="preserve"/>
        </x:is>
      </x:c>
      <x:c r="H954" s="5" t="n">
        <x:v>1.3</x:v>
      </x:c>
      <x:c r="I954" s="5" t="n">
        <x:v>79</x:v>
      </x:c>
      <x:c r="J954" s="5" t="n">
        <x:v>450</x:v>
      </x:c>
      <x:c r="K954" s="5" t="n">
        <x:v>120</x:v>
      </x:c>
      <x:c r="L954" s="5" t="inlineStr">
        <x:is>
          <x:t xml:space="preserve">무진화</x:t>
        </x:is>
      </x:c>
      <x:c r="M954" s="5" t="n"/>
      <x:c r="N954" s="5" t="inlineStr">
        <x:is>
          <x:t xml:space="preserve">없음</x:t>
        </x:is>
      </x:c>
      <x:c r="O954" s="5" t="inlineStr">
        <x:is>
          <x:t xml:space="preserve">예</x:t>
        </x:is>
      </x:c>
      <x:c r="P954" s="5" t="inlineStr">
        <x:is>
          <x:t xml:space="preserve">#cobblemon:is_badlands</x:t>
        </x:is>
      </x:c>
      <x:c r="Q954" s="5" t="inlineStr">
        <x:is>
          <x:t xml:space="preserve">uncommon</x:t>
        </x:is>
      </x:c>
      <x:c r="R954" s="5" t="inlineStr">
        <x:is>
          <x:t xml:space="preserve"/>
        </x:is>
      </x:c>
      <x:c r="S954" s="5" t="inlineStr">
        <x:is>
          <x:t xml:space="preserve"/>
        </x:is>
      </x:c>
      <x:c r="T954" s="5" t="inlineStr">
        <x:is>
          <x:t xml:space="preserve">육상</x:t>
        </x:is>
      </x:c>
      <x:c r="U954" s="5" t="inlineStr">
        <x:is>
          <x:t xml:space="preserve">건조</x:t>
        </x:is>
      </x:c>
      <x:c r="V954" s="5" t="inlineStr">
        <x:is>
          <x:t xml:space="preserve">고온</x:t>
        </x:is>
      </x:c>
      <x:c r="W954" s="5" t="inlineStr">
        <x:is>
          <x:t xml:space="preserve">건조</x:t>
        </x:is>
      </x:c>
      <x:c r="X954" s="5" t="inlineStr">
        <x:is>
          <x:t xml:space="preserve">맑음</x:t>
        </x:is>
      </x:c>
      <x:c r="Y954" s="5" t="inlineStr">
        <x:is>
          <x:t xml:space="preserve">무관</x:t>
        </x:is>
      </x:c>
      <x:c r="Z954" s="5" t="inlineStr">
        <x:is>
          <x:t xml:space="preserve">보통</x:t>
        </x:is>
      </x:c>
      <x:c r="AA954" s="5" t="inlineStr">
        <x:is>
          <x:t xml:space="preserve">없음</x:t>
        </x:is>
      </x:c>
      <x:c r="AB954" s="5" t="inlineStr">
        <x:is>
          <x:t xml:space="preserve">건조지</x:t>
        </x:is>
      </x:c>
      <x:c r="AC954" s="5" t="inlineStr">
        <x:is>
          <x:t xml:space="preserve">gen9</x:t>
        </x:is>
      </x:c>
      <x:c r="AD954" s="5" t="inlineStr">
        <x:is>
          <x:t xml:space="preserve">.tmp/cobblemon-1.7.3-source/common/src/main/resources/data/cobblemon/species/generation9/klawf.json</x:t>
        </x:is>
      </x:c>
    </x:row>
    <x:row r="955" ht="22" customHeight="1">
      <x:c r="A955" s="5" t="n">
        <x:v>951</x:v>
      </x:c>
      <x:c r="B955" s="5" t="inlineStr">
        <x:is>
          <x:t xml:space="preserve">캡싸이</x:t>
        </x:is>
      </x:c>
      <x:c r="C955" s="5" t="inlineStr">
        <x:is>
          <x:t xml:space="preserve">capsakid</x:t>
        </x:is>
      </x:c>
      <x:c r="D955" s="5" t="inlineStr">
        <x:is>
          <x:t xml:space="preserve">Capsakid</x:t>
        </x:is>
      </x:c>
      <x:c r="E955" s="5" t="n">
        <x:v>9</x:v>
      </x:c>
      <x:c r="F955" s="5" t="inlineStr">
        <x:is>
          <x:t xml:space="preserve">풀</x:t>
        </x:is>
      </x:c>
      <x:c r="G955" s="5" t="inlineStr">
        <x:is>
          <x:t xml:space="preserve"/>
        </x:is>
      </x:c>
      <x:c r="H955" s="5" t="n">
        <x:v>0.3</x:v>
      </x:c>
      <x:c r="I955" s="5" t="n">
        <x:v>3</x:v>
      </x:c>
      <x:c r="J955" s="5" t="n">
        <x:v>304</x:v>
      </x:c>
      <x:c r="K955" s="5" t="n">
        <x:v>190</x:v>
      </x:c>
      <x:c r="L955" s="5" t="inlineStr">
        <x:is>
          <x:t xml:space="preserve">기본</x:t>
        </x:is>
      </x:c>
      <x:c r="M955" s="5" t="n"/>
      <x:c r="N955" s="5" t="inlineStr">
        <x:is>
          <x:t xml:space="preserve">특수</x:t>
        </x:is>
      </x:c>
      <x:c r="O955" s="5" t="inlineStr">
        <x:is>
          <x:t xml:space="preserve">예</x:t>
        </x:is>
      </x:c>
      <x:c r="P955" s="5" t="inlineStr">
        <x:is>
          <x:t xml:space="preserve">#cobblemon:is_arid; #cobblemon:nether/is_overgrowth</x:t>
        </x:is>
      </x:c>
      <x:c r="Q955" s="5" t="inlineStr">
        <x:is>
          <x:t xml:space="preserve">common</x:t>
        </x:is>
      </x:c>
      <x:c r="R955" s="5" t="inlineStr">
        <x:is>
          <x:t xml:space="preserve"/>
        </x:is>
      </x:c>
      <x:c r="S955" s="5" t="inlineStr">
        <x:is>
          <x:t xml:space="preserve"/>
        </x:is>
      </x:c>
      <x:c r="T955" s="5" t="inlineStr">
        <x:is>
          <x:t xml:space="preserve">육상</x:t>
        </x:is>
      </x:c>
      <x:c r="U955" s="5" t="inlineStr">
        <x:is>
          <x:t xml:space="preserve">화산</x:t>
        </x:is>
      </x:c>
      <x:c r="V955" s="5" t="inlineStr">
        <x:is>
          <x:t xml:space="preserve">고온</x:t>
        </x:is>
      </x:c>
      <x:c r="W955" s="5" t="inlineStr">
        <x:is>
          <x:t xml:space="preserve">건조</x:t>
        </x:is>
      </x:c>
      <x:c r="X955" s="5" t="inlineStr">
        <x:is>
          <x:t xml:space="preserve">맑음</x:t>
        </x:is>
      </x:c>
      <x:c r="Y955" s="5" t="inlineStr">
        <x:is>
          <x:t xml:space="preserve">무관</x:t>
        </x:is>
      </x:c>
      <x:c r="Z955" s="5" t="inlineStr">
        <x:is>
          <x:t xml:space="preserve">흔함</x:t>
        </x:is>
      </x:c>
      <x:c r="AA955" s="5" t="inlineStr">
        <x:is>
          <x:t xml:space="preserve">화산</x:t>
        </x:is>
      </x:c>
      <x:c r="AB955" s="5" t="inlineStr">
        <x:is>
          <x:t xml:space="preserve">화산</x:t>
        </x:is>
      </x:c>
      <x:c r="AC955" s="5" t="inlineStr">
        <x:is>
          <x:t xml:space="preserve">gen9</x:t>
        </x:is>
      </x:c>
      <x:c r="AD955" s="5" t="inlineStr">
        <x:is>
          <x:t xml:space="preserve">.tmp/cobblemon-1.7.3-source/common/src/main/resources/data/cobblemon/species/generation9/capsakid.json</x:t>
        </x:is>
      </x:c>
    </x:row>
    <x:row r="956" ht="22" customHeight="1">
      <x:c r="A956" s="5" t="n">
        <x:v>952</x:v>
      </x:c>
      <x:c r="B956" s="5" t="inlineStr">
        <x:is>
          <x:t xml:space="preserve">스코빌런</x:t>
        </x:is>
      </x:c>
      <x:c r="C956" s="5" t="inlineStr">
        <x:is>
          <x:t xml:space="preserve">scovillain</x:t>
        </x:is>
      </x:c>
      <x:c r="D956" s="5" t="inlineStr">
        <x:is>
          <x:t xml:space="preserve">Scovillain</x:t>
        </x:is>
      </x:c>
      <x:c r="E956" s="5" t="n">
        <x:v>9</x:v>
      </x:c>
      <x:c r="F956" s="5" t="inlineStr">
        <x:is>
          <x:t xml:space="preserve">풀</x:t>
        </x:is>
      </x:c>
      <x:c r="G956" s="5" t="inlineStr">
        <x:is>
          <x:t xml:space="preserve">불꽃</x:t>
        </x:is>
      </x:c>
      <x:c r="H956" s="5" t="n">
        <x:v>0.9</x:v>
      </x:c>
      <x:c r="I956" s="5" t="n">
        <x:v>15</x:v>
      </x:c>
      <x:c r="J956" s="5" t="n">
        <x:v>486</x:v>
      </x:c>
      <x:c r="K956" s="5" t="n">
        <x:v>75</x:v>
      </x:c>
      <x:c r="L956" s="5" t="inlineStr">
        <x:is>
          <x:t xml:space="preserve">최종</x:t>
        </x:is>
      </x:c>
      <x:c r="M956" s="5" t="n"/>
      <x:c r="N956" s="5" t="inlineStr">
        <x:is>
          <x:t xml:space="preserve">특수</x:t>
        </x:is>
      </x:c>
      <x:c r="O956" s="5" t="inlineStr">
        <x:is>
          <x:t xml:space="preserve">예</x:t>
        </x:is>
      </x:c>
      <x:c r="P956" s="5" t="inlineStr">
        <x:is>
          <x:t xml:space="preserve">#cobblemon:is_arid; #cobblemon:nether/is_overgrowth</x:t>
        </x:is>
      </x:c>
      <x:c r="Q956" s="5" t="inlineStr">
        <x:is>
          <x:t xml:space="preserve">common</x:t>
        </x:is>
      </x:c>
      <x:c r="R956" s="5" t="inlineStr">
        <x:is>
          <x:t xml:space="preserve"/>
        </x:is>
      </x:c>
      <x:c r="S956" s="5" t="inlineStr">
        <x:is>
          <x:t xml:space="preserve"/>
        </x:is>
      </x:c>
      <x:c r="T956" s="5" t="inlineStr">
        <x:is>
          <x:t xml:space="preserve">육상</x:t>
        </x:is>
      </x:c>
      <x:c r="U956" s="5" t="inlineStr">
        <x:is>
          <x:t xml:space="preserve">화산</x:t>
        </x:is>
      </x:c>
      <x:c r="V956" s="5" t="inlineStr">
        <x:is>
          <x:t xml:space="preserve">고온</x:t>
        </x:is>
      </x:c>
      <x:c r="W956" s="5" t="inlineStr">
        <x:is>
          <x:t xml:space="preserve">건조</x:t>
        </x:is>
      </x:c>
      <x:c r="X956" s="5" t="inlineStr">
        <x:is>
          <x:t xml:space="preserve">맑음</x:t>
        </x:is>
      </x:c>
      <x:c r="Y956" s="5" t="inlineStr">
        <x:is>
          <x:t xml:space="preserve">무관</x:t>
        </x:is>
      </x:c>
      <x:c r="Z956" s="5" t="inlineStr">
        <x:is>
          <x:t xml:space="preserve">흔함</x:t>
        </x:is>
      </x:c>
      <x:c r="AA956" s="5" t="inlineStr">
        <x:is>
          <x:t xml:space="preserve">화산</x:t>
        </x:is>
      </x:c>
      <x:c r="AB956" s="5" t="inlineStr">
        <x:is>
          <x:t xml:space="preserve">화산</x:t>
        </x:is>
      </x:c>
      <x:c r="AC956" s="5" t="inlineStr">
        <x:is>
          <x:t xml:space="preserve">gen9</x:t>
        </x:is>
      </x:c>
      <x:c r="AD956" s="5" t="inlineStr">
        <x:is>
          <x:t xml:space="preserve">.tmp/cobblemon-1.7.3-source/common/src/main/resources/data/cobblemon/species/generation9/scovillain.json</x:t>
        </x:is>
      </x:c>
    </x:row>
    <x:row r="957" ht="22" customHeight="1">
      <x:c r="A957" s="5" t="n">
        <x:v>953</x:v>
      </x:c>
      <x:c r="B957" s="5" t="inlineStr">
        <x:is>
          <x:t xml:space="preserve">구르데</x:t>
        </x:is>
      </x:c>
      <x:c r="C957" s="5" t="inlineStr">
        <x:is>
          <x:t xml:space="preserve">rellor</x:t>
        </x:is>
      </x:c>
      <x:c r="D957" s="5" t="inlineStr">
        <x:is>
          <x:t xml:space="preserve">Rellor</x:t>
        </x:is>
      </x:c>
      <x:c r="E957" s="5" t="n">
        <x:v>9</x:v>
      </x:c>
      <x:c r="F957" s="5" t="inlineStr">
        <x:is>
          <x:t xml:space="preserve">벌레</x:t>
        </x:is>
      </x:c>
      <x:c r="G957" s="5" t="inlineStr">
        <x:is>
          <x:t xml:space="preserve"/>
        </x:is>
      </x:c>
      <x:c r="H957" s="5" t="n">
        <x:v>0.2</x:v>
      </x:c>
      <x:c r="I957" s="5" t="n">
        <x:v>1</x:v>
      </x:c>
      <x:c r="J957" s="5" t="n">
        <x:v>270</x:v>
      </x:c>
      <x:c r="K957" s="5" t="n">
        <x:v>190</x:v>
      </x:c>
      <x:c r="L957" s="5" t="inlineStr">
        <x:is>
          <x:t xml:space="preserve">기본</x:t>
        </x:is>
      </x:c>
      <x:c r="M957" s="5" t="n"/>
      <x:c r="N957" s="5" t="inlineStr">
        <x:is>
          <x:t xml:space="preserve">특수</x:t>
        </x:is>
      </x:c>
      <x:c r="O957" s="5" t="inlineStr">
        <x:is>
          <x:t xml:space="preserve">예</x:t>
        </x:is>
      </x:c>
      <x:c r="P957" s="5" t="inlineStr">
        <x:is>
          <x:t xml:space="preserve">#cobblemon:is_arid</x:t>
        </x:is>
      </x:c>
      <x:c r="Q957" s="5" t="inlineStr">
        <x:is>
          <x:t xml:space="preserve">common</x:t>
        </x:is>
      </x:c>
      <x:c r="R957" s="5" t="inlineStr">
        <x:is>
          <x:t xml:space="preserve"/>
        </x:is>
      </x:c>
      <x:c r="S957" s="5" t="inlineStr">
        <x:is>
          <x:t xml:space="preserve"/>
        </x:is>
      </x:c>
      <x:c r="T957" s="5" t="inlineStr">
        <x:is>
          <x:t xml:space="preserve">육상</x:t>
        </x:is>
      </x:c>
      <x:c r="U957" s="5" t="inlineStr">
        <x:is>
          <x:t xml:space="preserve">건조</x:t>
        </x:is>
      </x:c>
      <x:c r="V957" s="5" t="inlineStr">
        <x:is>
          <x:t xml:space="preserve">고온</x:t>
        </x:is>
      </x:c>
      <x:c r="W957" s="5" t="inlineStr">
        <x:is>
          <x:t xml:space="preserve">건조</x:t>
        </x:is>
      </x:c>
      <x:c r="X957" s="5" t="inlineStr">
        <x:is>
          <x:t xml:space="preserve">맑음</x:t>
        </x:is>
      </x:c>
      <x:c r="Y957" s="5" t="inlineStr">
        <x:is>
          <x:t xml:space="preserve">무관</x:t>
        </x:is>
      </x:c>
      <x:c r="Z957" s="5" t="inlineStr">
        <x:is>
          <x:t xml:space="preserve">흔함</x:t>
        </x:is>
      </x:c>
      <x:c r="AA957" s="5" t="inlineStr">
        <x:is>
          <x:t xml:space="preserve">없음</x:t>
        </x:is>
      </x:c>
      <x:c r="AB957" s="5" t="inlineStr">
        <x:is>
          <x:t xml:space="preserve">건조지</x:t>
        </x:is>
      </x:c>
      <x:c r="AC957" s="5" t="inlineStr">
        <x:is>
          <x:t xml:space="preserve">gen9</x:t>
        </x:is>
      </x:c>
      <x:c r="AD957" s="5" t="inlineStr">
        <x:is>
          <x:t xml:space="preserve">.tmp/cobblemon-1.7.3-source/common/src/main/resources/data/cobblemon/species/generation9/rellor.json</x:t>
        </x:is>
      </x:c>
    </x:row>
    <x:row r="958" ht="22" customHeight="1">
      <x:c r="A958" s="5" t="n">
        <x:v>954</x:v>
      </x:c>
      <x:c r="B958" s="5" t="inlineStr">
        <x:is>
          <x:t xml:space="preserve">베라카스</x:t>
        </x:is>
      </x:c>
      <x:c r="C958" s="5" t="inlineStr">
        <x:is>
          <x:t xml:space="preserve">rabsca</x:t>
        </x:is>
      </x:c>
      <x:c r="D958" s="5" t="inlineStr">
        <x:is>
          <x:t xml:space="preserve">Rabsca</x:t>
        </x:is>
      </x:c>
      <x:c r="E958" s="5" t="n">
        <x:v>9</x:v>
      </x:c>
      <x:c r="F958" s="5" t="inlineStr">
        <x:is>
          <x:t xml:space="preserve">벌레</x:t>
        </x:is>
      </x:c>
      <x:c r="G958" s="5" t="inlineStr">
        <x:is>
          <x:t xml:space="preserve">에스퍼</x:t>
        </x:is>
      </x:c>
      <x:c r="H958" s="5" t="n">
        <x:v>0.3</x:v>
      </x:c>
      <x:c r="I958" s="5" t="n">
        <x:v>3.5</x:v>
      </x:c>
      <x:c r="J958" s="5" t="n">
        <x:v>470</x:v>
      </x:c>
      <x:c r="K958" s="5" t="n">
        <x:v>45</x:v>
      </x:c>
      <x:c r="L958" s="5" t="inlineStr">
        <x:is>
          <x:t xml:space="preserve">최종</x:t>
        </x:is>
      </x:c>
      <x:c r="M958" s="5" t="n"/>
      <x:c r="N958" s="5" t="inlineStr">
        <x:is>
          <x:t xml:space="preserve">특수</x:t>
        </x:is>
      </x:c>
      <x:c r="O958" s="5" t="inlineStr">
        <x:is>
          <x:t xml:space="preserve">예</x:t>
        </x:is>
      </x:c>
      <x:c r="P958" s="5" t="inlineStr">
        <x:is>
          <x:t xml:space="preserve">#cobblemon:is_arid</x:t>
        </x:is>
      </x:c>
      <x:c r="Q958" s="5" t="inlineStr">
        <x:is>
          <x:t xml:space="preserve">common</x:t>
        </x:is>
      </x:c>
      <x:c r="R958" s="5" t="inlineStr">
        <x:is>
          <x:t xml:space="preserve"/>
        </x:is>
      </x:c>
      <x:c r="S958" s="5" t="inlineStr">
        <x:is>
          <x:t xml:space="preserve"/>
        </x:is>
      </x:c>
      <x:c r="T958" s="5" t="inlineStr">
        <x:is>
          <x:t xml:space="preserve">비행</x:t>
        </x:is>
      </x:c>
      <x:c r="U958" s="5" t="inlineStr">
        <x:is>
          <x:t xml:space="preserve">건조</x:t>
        </x:is>
      </x:c>
      <x:c r="V958" s="5" t="inlineStr">
        <x:is>
          <x:t xml:space="preserve">고온</x:t>
        </x:is>
      </x:c>
      <x:c r="W958" s="5" t="inlineStr">
        <x:is>
          <x:t xml:space="preserve">건조</x:t>
        </x:is>
      </x:c>
      <x:c r="X958" s="5" t="inlineStr">
        <x:is>
          <x:t xml:space="preserve">맑음</x:t>
        </x:is>
      </x:c>
      <x:c r="Y958" s="5" t="inlineStr">
        <x:is>
          <x:t xml:space="preserve">무관</x:t>
        </x:is>
      </x:c>
      <x:c r="Z958" s="5" t="inlineStr">
        <x:is>
          <x:t xml:space="preserve">흔함</x:t>
        </x:is>
      </x:c>
      <x:c r="AA958" s="5" t="inlineStr">
        <x:is>
          <x:t xml:space="preserve">없음</x:t>
        </x:is>
      </x:c>
      <x:c r="AB958" s="5" t="inlineStr">
        <x:is>
          <x:t xml:space="preserve">건조지</x:t>
        </x:is>
      </x:c>
      <x:c r="AC958" s="5" t="inlineStr">
        <x:is>
          <x:t xml:space="preserve">gen9</x:t>
        </x:is>
      </x:c>
      <x:c r="AD958" s="5" t="inlineStr">
        <x:is>
          <x:t xml:space="preserve">.tmp/cobblemon-1.7.3-source/common/src/main/resources/data/cobblemon/species/generation9/rabsca.json</x:t>
        </x:is>
      </x:c>
    </x:row>
    <x:row r="959" ht="22" customHeight="1">
      <x:c r="A959" s="5" t="n">
        <x:v>955</x:v>
      </x:c>
      <x:c r="B959" s="5" t="inlineStr">
        <x:is>
          <x:t xml:space="preserve">하느라기</x:t>
        </x:is>
      </x:c>
      <x:c r="C959" s="5" t="inlineStr">
        <x:is>
          <x:t xml:space="preserve">flittle</x:t>
        </x:is>
      </x:c>
      <x:c r="D959" s="5" t="inlineStr">
        <x:is>
          <x:t xml:space="preserve">Flittle</x:t>
        </x:is>
      </x:c>
      <x:c r="E959" s="5" t="n">
        <x:v>9</x:v>
      </x:c>
      <x:c r="F959" s="5" t="inlineStr">
        <x:is>
          <x:t xml:space="preserve">에스퍼</x:t>
        </x:is>
      </x:c>
      <x:c r="G959" s="5" t="inlineStr">
        <x:is>
          <x:t xml:space="preserve"/>
        </x:is>
      </x:c>
      <x:c r="H959" s="5" t="n">
        <x:v>0.2</x:v>
      </x:c>
      <x:c r="I959" s="5" t="n">
        <x:v>1.5</x:v>
      </x:c>
      <x:c r="J959" s="5" t="n">
        <x:v>255</x:v>
      </x:c>
      <x:c r="K959" s="5" t="n">
        <x:v>120</x:v>
      </x:c>
      <x:c r="L959" s="5" t="inlineStr">
        <x:is>
          <x:t xml:space="preserve">기본</x:t>
        </x:is>
      </x:c>
      <x:c r="M959" s="5" t="n">
        <x:v>35</x:v>
      </x:c>
      <x:c r="N959" s="5" t="inlineStr">
        <x:is>
          <x:t xml:space="preserve">레벨</x:t>
        </x:is>
      </x:c>
      <x:c r="O959" s="5" t="inlineStr">
        <x:is>
          <x:t xml:space="preserve">예</x:t>
        </x:is>
      </x:c>
      <x:c r="P959" s="5" t="inlineStr">
        <x:is>
          <x:t xml:space="preserve">#cobblemon:is_arid</x:t>
        </x:is>
      </x:c>
      <x:c r="Q959" s="5" t="inlineStr">
        <x:is>
          <x:t xml:space="preserve">uncommon</x:t>
        </x:is>
      </x:c>
      <x:c r="R959" s="5" t="inlineStr">
        <x:is>
          <x:t xml:space="preserve"/>
        </x:is>
      </x:c>
      <x:c r="S959" s="5" t="inlineStr">
        <x:is>
          <x:t xml:space="preserve"/>
        </x:is>
      </x:c>
      <x:c r="T959" s="5" t="inlineStr">
        <x:is>
          <x:t xml:space="preserve">비행</x:t>
        </x:is>
      </x:c>
      <x:c r="U959" s="5" t="inlineStr">
        <x:is>
          <x:t xml:space="preserve">건조</x:t>
        </x:is>
      </x:c>
      <x:c r="V959" s="5" t="inlineStr">
        <x:is>
          <x:t xml:space="preserve">고온</x:t>
        </x:is>
      </x:c>
      <x:c r="W959" s="5" t="inlineStr">
        <x:is>
          <x:t xml:space="preserve">건조</x:t>
        </x:is>
      </x:c>
      <x:c r="X959" s="5" t="inlineStr">
        <x:is>
          <x:t xml:space="preserve">맑음</x:t>
        </x:is>
      </x:c>
      <x:c r="Y959" s="5" t="inlineStr">
        <x:is>
          <x:t xml:space="preserve">무관</x:t>
        </x:is>
      </x:c>
      <x:c r="Z959" s="5" t="inlineStr">
        <x:is>
          <x:t xml:space="preserve">보통</x:t>
        </x:is>
      </x:c>
      <x:c r="AA959" s="5" t="inlineStr">
        <x:is>
          <x:t xml:space="preserve">없음</x:t>
        </x:is>
      </x:c>
      <x:c r="AB959" s="5" t="inlineStr">
        <x:is>
          <x:t xml:space="preserve">건조지</x:t>
        </x:is>
      </x:c>
      <x:c r="AC959" s="5" t="inlineStr">
        <x:is>
          <x:t xml:space="preserve">gen9</x:t>
        </x:is>
      </x:c>
      <x:c r="AD959" s="5" t="inlineStr">
        <x:is>
          <x:t xml:space="preserve">.tmp/cobblemon-1.7.3-source/common/src/main/resources/data/cobblemon/species/generation9/flittle.json</x:t>
        </x:is>
      </x:c>
    </x:row>
    <x:row r="960" ht="22" customHeight="1">
      <x:c r="A960" s="5" t="n">
        <x:v>956</x:v>
      </x:c>
      <x:c r="B960" s="5" t="inlineStr">
        <x:is>
          <x:t xml:space="preserve">클레스퍼트라</x:t>
        </x:is>
      </x:c>
      <x:c r="C960" s="5" t="inlineStr">
        <x:is>
          <x:t xml:space="preserve">espathra</x:t>
        </x:is>
      </x:c>
      <x:c r="D960" s="5" t="inlineStr">
        <x:is>
          <x:t xml:space="preserve">Espathra</x:t>
        </x:is>
      </x:c>
      <x:c r="E960" s="5" t="n">
        <x:v>9</x:v>
      </x:c>
      <x:c r="F960" s="5" t="inlineStr">
        <x:is>
          <x:t xml:space="preserve">에스퍼</x:t>
        </x:is>
      </x:c>
      <x:c r="G960" s="5" t="inlineStr">
        <x:is>
          <x:t xml:space="preserve"/>
        </x:is>
      </x:c>
      <x:c r="H960" s="5" t="n">
        <x:v>1.9</x:v>
      </x:c>
      <x:c r="I960" s="5" t="n">
        <x:v>90</x:v>
      </x:c>
      <x:c r="J960" s="5" t="n">
        <x:v>481</x:v>
      </x:c>
      <x:c r="K960" s="5" t="n">
        <x:v>60</x:v>
      </x:c>
      <x:c r="L960" s="5" t="inlineStr">
        <x:is>
          <x:t xml:space="preserve">최종</x:t>
        </x:is>
      </x:c>
      <x:c r="M960" s="5" t="n">
        <x:v>35</x:v>
      </x:c>
      <x:c r="N960" s="5" t="inlineStr">
        <x:is>
          <x:t xml:space="preserve">레벨</x:t>
        </x:is>
      </x:c>
      <x:c r="O960" s="5" t="inlineStr">
        <x:is>
          <x:t xml:space="preserve">예</x:t>
        </x:is>
      </x:c>
      <x:c r="P960" s="5" t="inlineStr">
        <x:is>
          <x:t xml:space="preserve">#cobblemon:is_arid</x:t>
        </x:is>
      </x:c>
      <x:c r="Q960" s="5" t="inlineStr">
        <x:is>
          <x:t xml:space="preserve">uncommon</x:t>
        </x:is>
      </x:c>
      <x:c r="R960" s="5" t="inlineStr">
        <x:is>
          <x:t xml:space="preserve"/>
        </x:is>
      </x:c>
      <x:c r="S960" s="5" t="inlineStr">
        <x:is>
          <x:t xml:space="preserve"/>
        </x:is>
      </x:c>
      <x:c r="T960" s="5" t="inlineStr">
        <x:is>
          <x:t xml:space="preserve">육상</x:t>
        </x:is>
      </x:c>
      <x:c r="U960" s="5" t="inlineStr">
        <x:is>
          <x:t xml:space="preserve">건조</x:t>
        </x:is>
      </x:c>
      <x:c r="V960" s="5" t="inlineStr">
        <x:is>
          <x:t xml:space="preserve">고온</x:t>
        </x:is>
      </x:c>
      <x:c r="W960" s="5" t="inlineStr">
        <x:is>
          <x:t xml:space="preserve">건조</x:t>
        </x:is>
      </x:c>
      <x:c r="X960" s="5" t="inlineStr">
        <x:is>
          <x:t xml:space="preserve">맑음</x:t>
        </x:is>
      </x:c>
      <x:c r="Y960" s="5" t="inlineStr">
        <x:is>
          <x:t xml:space="preserve">무관</x:t>
        </x:is>
      </x:c>
      <x:c r="Z960" s="5" t="inlineStr">
        <x:is>
          <x:t xml:space="preserve">보통</x:t>
        </x:is>
      </x:c>
      <x:c r="AA960" s="5" t="inlineStr">
        <x:is>
          <x:t xml:space="preserve">없음</x:t>
        </x:is>
      </x:c>
      <x:c r="AB960" s="5" t="inlineStr">
        <x:is>
          <x:t xml:space="preserve">건조지</x:t>
        </x:is>
      </x:c>
      <x:c r="AC960" s="5" t="inlineStr">
        <x:is>
          <x:t xml:space="preserve">gen9</x:t>
        </x:is>
      </x:c>
      <x:c r="AD960" s="5" t="inlineStr">
        <x:is>
          <x:t xml:space="preserve">.tmp/cobblemon-1.7.3-source/common/src/main/resources/data/cobblemon/species/generation9/espathra.json</x:t>
        </x:is>
      </x:c>
    </x:row>
    <x:row r="961" ht="22" customHeight="1">
      <x:c r="A961" s="5" t="n">
        <x:v>957</x:v>
      </x:c>
      <x:c r="B961" s="5" t="inlineStr">
        <x:is>
          <x:t xml:space="preserve">어리짱</x:t>
        </x:is>
      </x:c>
      <x:c r="C961" s="5" t="inlineStr">
        <x:is>
          <x:t xml:space="preserve">tinkatink</x:t>
        </x:is>
      </x:c>
      <x:c r="D961" s="5" t="inlineStr">
        <x:is>
          <x:t xml:space="preserve">Tinkatink</x:t>
        </x:is>
      </x:c>
      <x:c r="E961" s="5" t="n">
        <x:v>9</x:v>
      </x:c>
      <x:c r="F961" s="5" t="inlineStr">
        <x:is>
          <x:t xml:space="preserve">페어리</x:t>
        </x:is>
      </x:c>
      <x:c r="G961" s="5" t="inlineStr">
        <x:is>
          <x:t xml:space="preserve">강철</x:t>
        </x:is>
      </x:c>
      <x:c r="H961" s="5" t="n">
        <x:v>0.4</x:v>
      </x:c>
      <x:c r="I961" s="5" t="n">
        <x:v>8.9</x:v>
      </x:c>
      <x:c r="J961" s="5" t="n">
        <x:v>297</x:v>
      </x:c>
      <x:c r="K961" s="5" t="n">
        <x:v>190</x:v>
      </x:c>
      <x:c r="L961" s="5" t="inlineStr">
        <x:is>
          <x:t xml:space="preserve">기본</x:t>
        </x:is>
      </x:c>
      <x:c r="M961" s="5" t="n">
        <x:v>38</x:v>
      </x:c>
      <x:c r="N961" s="5" t="inlineStr">
        <x:is>
          <x:t xml:space="preserve">레벨</x:t>
        </x:is>
      </x:c>
      <x:c r="O961" s="5" t="inlineStr">
        <x:is>
          <x:t xml:space="preserve">예</x:t>
        </x:is>
      </x:c>
      <x:c r="P961" s="5" t="inlineStr">
        <x:is>
          <x:t xml:space="preserve">#aether:is_aether; #cobblemon:is_overworld</x:t>
        </x:is>
      </x:c>
      <x:c r="Q961" s="5" t="inlineStr">
        <x:is>
          <x:t xml:space="preserve">common; uncommon</x:t>
        </x:is>
      </x:c>
      <x:c r="R961" s="5" t="inlineStr">
        <x:is>
          <x:t xml:space="preserve"/>
        </x:is>
      </x:c>
      <x:c r="S961" s="5" t="inlineStr">
        <x:is>
          <x:t xml:space="preserve"/>
        </x:is>
      </x:c>
      <x:c r="T961" s="5" t="inlineStr">
        <x:is>
          <x:t xml:space="preserve">육상</x:t>
        </x:is>
      </x:c>
      <x:c r="U961" s="5" t="inlineStr">
        <x:is>
          <x:t xml:space="preserve">개활지</x:t>
        </x:is>
      </x:c>
      <x:c r="V961" s="5" t="inlineStr">
        <x:is>
          <x:t xml:space="preserve">온대</x:t>
        </x:is>
      </x:c>
      <x:c r="W961" s="5" t="inlineStr">
        <x:is>
          <x:t xml:space="preserve">보통</x:t>
        </x:is>
      </x:c>
      <x:c r="X961" s="5" t="inlineStr">
        <x:is>
          <x:t xml:space="preserve">무관</x:t>
        </x:is>
      </x:c>
      <x:c r="Y961" s="5" t="inlineStr">
        <x:is>
          <x:t xml:space="preserve">무관</x:t>
        </x:is>
      </x:c>
      <x:c r="Z961" s="5" t="inlineStr">
        <x:is>
          <x:t xml:space="preserve">보통</x:t>
        </x:is>
      </x:c>
      <x:c r="AA961" s="5" t="inlineStr">
        <x:is>
          <x:t xml:space="preserve">없음</x:t>
        </x:is>
      </x:c>
      <x:c r="AB961" s="5" t="inlineStr">
        <x:is>
          <x:t xml:space="preserve"/>
        </x:is>
      </x:c>
      <x:c r="AC961" s="5" t="inlineStr">
        <x:is>
          <x:t xml:space="preserve">gen9</x:t>
        </x:is>
      </x:c>
      <x:c r="AD961" s="5" t="inlineStr">
        <x:is>
          <x:t xml:space="preserve">.tmp/cobblemon-1.7.3-source/common/src/main/resources/data/cobblemon/species/generation9/tinkatink.json</x:t>
        </x:is>
      </x:c>
    </x:row>
    <x:row r="962" ht="22" customHeight="1">
      <x:c r="A962" s="5" t="n">
        <x:v>958</x:v>
      </x:c>
      <x:c r="B962" s="5" t="inlineStr">
        <x:is>
          <x:t xml:space="preserve">벼리짱</x:t>
        </x:is>
      </x:c>
      <x:c r="C962" s="5" t="inlineStr">
        <x:is>
          <x:t xml:space="preserve">tinkatuff</x:t>
        </x:is>
      </x:c>
      <x:c r="D962" s="5" t="inlineStr">
        <x:is>
          <x:t xml:space="preserve">Tinkatuff</x:t>
        </x:is>
      </x:c>
      <x:c r="E962" s="5" t="n">
        <x:v>9</x:v>
      </x:c>
      <x:c r="F962" s="5" t="inlineStr">
        <x:is>
          <x:t xml:space="preserve">페어리</x:t>
        </x:is>
      </x:c>
      <x:c r="G962" s="5" t="inlineStr">
        <x:is>
          <x:t xml:space="preserve">강철</x:t>
        </x:is>
      </x:c>
      <x:c r="H962" s="5" t="n">
        <x:v>0.7</x:v>
      </x:c>
      <x:c r="I962" s="5" t="n">
        <x:v>59.1</x:v>
      </x:c>
      <x:c r="J962" s="5" t="n">
        <x:v>380</x:v>
      </x:c>
      <x:c r="K962" s="5" t="n">
        <x:v>90</x:v>
      </x:c>
      <x:c r="L962" s="5" t="inlineStr">
        <x:is>
          <x:t xml:space="preserve">중간</x:t>
        </x:is>
      </x:c>
      <x:c r="M962" s="5" t="n">
        <x:v>38</x:v>
      </x:c>
      <x:c r="N962" s="5" t="inlineStr">
        <x:is>
          <x:t xml:space="preserve">레벨</x:t>
        </x:is>
      </x:c>
      <x:c r="O962" s="5" t="inlineStr">
        <x:is>
          <x:t xml:space="preserve">예</x:t>
        </x:is>
      </x:c>
      <x:c r="P962" s="5" t="inlineStr">
        <x:is>
          <x:t xml:space="preserve">#aether:is_aether; #cobblemon:is_overworld</x:t>
        </x:is>
      </x:c>
      <x:c r="Q962" s="5" t="inlineStr">
        <x:is>
          <x:t xml:space="preserve">common; uncommon</x:t>
        </x:is>
      </x:c>
      <x:c r="R962" s="5" t="inlineStr">
        <x:is>
          <x:t xml:space="preserve"/>
        </x:is>
      </x:c>
      <x:c r="S962" s="5" t="inlineStr">
        <x:is>
          <x:t xml:space="preserve"/>
        </x:is>
      </x:c>
      <x:c r="T962" s="5" t="inlineStr">
        <x:is>
          <x:t xml:space="preserve">육상</x:t>
        </x:is>
      </x:c>
      <x:c r="U962" s="5" t="inlineStr">
        <x:is>
          <x:t xml:space="preserve">개활지</x:t>
        </x:is>
      </x:c>
      <x:c r="V962" s="5" t="inlineStr">
        <x:is>
          <x:t xml:space="preserve">온대</x:t>
        </x:is>
      </x:c>
      <x:c r="W962" s="5" t="inlineStr">
        <x:is>
          <x:t xml:space="preserve">보통</x:t>
        </x:is>
      </x:c>
      <x:c r="X962" s="5" t="inlineStr">
        <x:is>
          <x:t xml:space="preserve">무관</x:t>
        </x:is>
      </x:c>
      <x:c r="Y962" s="5" t="inlineStr">
        <x:is>
          <x:t xml:space="preserve">무관</x:t>
        </x:is>
      </x:c>
      <x:c r="Z962" s="5" t="inlineStr">
        <x:is>
          <x:t xml:space="preserve">보통</x:t>
        </x:is>
      </x:c>
      <x:c r="AA962" s="5" t="inlineStr">
        <x:is>
          <x:t xml:space="preserve">없음</x:t>
        </x:is>
      </x:c>
      <x:c r="AB962" s="5" t="inlineStr">
        <x:is>
          <x:t xml:space="preserve"/>
        </x:is>
      </x:c>
      <x:c r="AC962" s="5" t="inlineStr">
        <x:is>
          <x:t xml:space="preserve">gen9</x:t>
        </x:is>
      </x:c>
      <x:c r="AD962" s="5" t="inlineStr">
        <x:is>
          <x:t xml:space="preserve">.tmp/cobblemon-1.7.3-source/common/src/main/resources/data/cobblemon/species/generation9/tinkatuff.json</x:t>
        </x:is>
      </x:c>
    </x:row>
    <x:row r="963" ht="22" customHeight="1">
      <x:c r="A963" s="5" t="n">
        <x:v>959</x:v>
      </x:c>
      <x:c r="B963" s="5" t="inlineStr">
        <x:is>
          <x:t xml:space="preserve">두드리짱</x:t>
        </x:is>
      </x:c>
      <x:c r="C963" s="5" t="inlineStr">
        <x:is>
          <x:t xml:space="preserve">tinkaton</x:t>
        </x:is>
      </x:c>
      <x:c r="D963" s="5" t="inlineStr">
        <x:is>
          <x:t xml:space="preserve">Tinkaton</x:t>
        </x:is>
      </x:c>
      <x:c r="E963" s="5" t="n">
        <x:v>9</x:v>
      </x:c>
      <x:c r="F963" s="5" t="inlineStr">
        <x:is>
          <x:t xml:space="preserve">페어리</x:t>
        </x:is>
      </x:c>
      <x:c r="G963" s="5" t="inlineStr">
        <x:is>
          <x:t xml:space="preserve">강철</x:t>
        </x:is>
      </x:c>
      <x:c r="H963" s="5" t="n">
        <x:v>0.7</x:v>
      </x:c>
      <x:c r="I963" s="5" t="n">
        <x:v>112.8</x:v>
      </x:c>
      <x:c r="J963" s="5" t="n">
        <x:v>506</x:v>
      </x:c>
      <x:c r="K963" s="5" t="n">
        <x:v>45</x:v>
      </x:c>
      <x:c r="L963" s="5" t="inlineStr">
        <x:is>
          <x:t xml:space="preserve">최종</x:t>
        </x:is>
      </x:c>
      <x:c r="M963" s="5" t="n">
        <x:v>38</x:v>
      </x:c>
      <x:c r="N963" s="5" t="inlineStr">
        <x:is>
          <x:t xml:space="preserve">레벨</x:t>
        </x:is>
      </x:c>
      <x:c r="O963" s="5" t="inlineStr">
        <x:is>
          <x:t xml:space="preserve">예</x:t>
        </x:is>
      </x:c>
      <x:c r="P963" s="5" t="inlineStr">
        <x:is>
          <x:t xml:space="preserve">#aether:is_aether; #cobblemon:is_overworld</x:t>
        </x:is>
      </x:c>
      <x:c r="Q963" s="5" t="inlineStr">
        <x:is>
          <x:t xml:space="preserve">common; uncommon</x:t>
        </x:is>
      </x:c>
      <x:c r="R963" s="5" t="inlineStr">
        <x:is>
          <x:t xml:space="preserve"/>
        </x:is>
      </x:c>
      <x:c r="S963" s="5" t="inlineStr">
        <x:is>
          <x:t xml:space="preserve"/>
        </x:is>
      </x:c>
      <x:c r="T963" s="5" t="inlineStr">
        <x:is>
          <x:t xml:space="preserve">육상</x:t>
        </x:is>
      </x:c>
      <x:c r="U963" s="5" t="inlineStr">
        <x:is>
          <x:t xml:space="preserve">개활지</x:t>
        </x:is>
      </x:c>
      <x:c r="V963" s="5" t="inlineStr">
        <x:is>
          <x:t xml:space="preserve">온대</x:t>
        </x:is>
      </x:c>
      <x:c r="W963" s="5" t="inlineStr">
        <x:is>
          <x:t xml:space="preserve">보통</x:t>
        </x:is>
      </x:c>
      <x:c r="X963" s="5" t="inlineStr">
        <x:is>
          <x:t xml:space="preserve">무관</x:t>
        </x:is>
      </x:c>
      <x:c r="Y963" s="5" t="inlineStr">
        <x:is>
          <x:t xml:space="preserve">무관</x:t>
        </x:is>
      </x:c>
      <x:c r="Z963" s="5" t="inlineStr">
        <x:is>
          <x:t xml:space="preserve">보통</x:t>
        </x:is>
      </x:c>
      <x:c r="AA963" s="5" t="inlineStr">
        <x:is>
          <x:t xml:space="preserve">없음</x:t>
        </x:is>
      </x:c>
      <x:c r="AB963" s="5" t="inlineStr">
        <x:is>
          <x:t xml:space="preserve"/>
        </x:is>
      </x:c>
      <x:c r="AC963" s="5" t="inlineStr">
        <x:is>
          <x:t xml:space="preserve">gen9</x:t>
        </x:is>
      </x:c>
      <x:c r="AD963" s="5" t="inlineStr">
        <x:is>
          <x:t xml:space="preserve">.tmp/cobblemon-1.7.3-source/common/src/main/resources/data/cobblemon/species/generation9/tinkaton.json</x:t>
        </x:is>
      </x:c>
    </x:row>
    <x:row r="964" ht="22" customHeight="1">
      <x:c r="A964" s="5" t="n">
        <x:v>960</x:v>
      </x:c>
      <x:c r="B964" s="5" t="inlineStr">
        <x:is>
          <x:t xml:space="preserve">바다그다</x:t>
        </x:is>
      </x:c>
      <x:c r="C964" s="5" t="inlineStr">
        <x:is>
          <x:t xml:space="preserve">wiglett</x:t>
        </x:is>
      </x:c>
      <x:c r="D964" s="5" t="inlineStr">
        <x:is>
          <x:t xml:space="preserve">Wiglett</x:t>
        </x:is>
      </x:c>
      <x:c r="E964" s="5" t="n">
        <x:v>9</x:v>
      </x:c>
      <x:c r="F964" s="5" t="inlineStr">
        <x:is>
          <x:t xml:space="preserve">물</x:t>
        </x:is>
      </x:c>
      <x:c r="G964" s="5" t="inlineStr">
        <x:is>
          <x:t xml:space="preserve"/>
        </x:is>
      </x:c>
      <x:c r="H964" s="5" t="n">
        <x:v>1.2</x:v>
      </x:c>
      <x:c r="I964" s="5" t="n">
        <x:v>1.8</x:v>
      </x:c>
      <x:c r="J964" s="5" t="n">
        <x:v>245</x:v>
      </x:c>
      <x:c r="K964" s="5" t="n">
        <x:v>255</x:v>
      </x:c>
      <x:c r="L964" s="5" t="inlineStr">
        <x:is>
          <x:t xml:space="preserve">기본</x:t>
        </x:is>
      </x:c>
      <x:c r="M964" s="5" t="n">
        <x:v>26</x:v>
      </x:c>
      <x:c r="N964" s="5" t="inlineStr">
        <x:is>
          <x:t xml:space="preserve">레벨</x:t>
        </x:is>
      </x:c>
      <x:c r="O964" s="5" t="inlineStr">
        <x:is>
          <x:t xml:space="preserve">예</x:t>
        </x:is>
      </x:c>
      <x:c r="P964" s="5" t="inlineStr">
        <x:is>
          <x:t xml:space="preserve">#cobblemon:is_beach; #cobblemon:is_lukewarm_ocean; #cobblemon:is_warm_ocean</x:t>
        </x:is>
      </x:c>
      <x:c r="Q964" s="5" t="inlineStr">
        <x:is>
          <x:t xml:space="preserve">common</x:t>
        </x:is>
      </x:c>
      <x:c r="R964" s="5" t="inlineStr">
        <x:is>
          <x:t xml:space="preserve"/>
        </x:is>
      </x:c>
      <x:c r="S964" s="5" t="inlineStr">
        <x:is>
          <x:t xml:space="preserve"/>
        </x:is>
      </x:c>
      <x:c r="T964" s="5" t="inlineStr">
        <x:is>
          <x:t xml:space="preserve">해양</x:t>
        </x:is>
      </x:c>
      <x:c r="U964" s="5" t="inlineStr">
        <x:is>
          <x:t xml:space="preserve">해안·해양</x:t>
        </x:is>
      </x:c>
      <x:c r="V964" s="5" t="inlineStr">
        <x:is>
          <x:t xml:space="preserve">온대</x:t>
        </x:is>
      </x:c>
      <x:c r="W964" s="5" t="inlineStr">
        <x:is>
          <x:t xml:space="preserve">수중</x:t>
        </x:is>
      </x:c>
      <x:c r="X964" s="5" t="inlineStr">
        <x:is>
          <x:t xml:space="preserve">비</x:t>
        </x:is>
      </x:c>
      <x:c r="Y964" s="5" t="inlineStr">
        <x:is>
          <x:t xml:space="preserve">무관</x:t>
        </x:is>
      </x:c>
      <x:c r="Z964" s="5" t="inlineStr">
        <x:is>
          <x:t xml:space="preserve">흔함</x:t>
        </x:is>
      </x:c>
      <x:c r="AA964" s="5" t="inlineStr">
        <x:is>
          <x:t xml:space="preserve">없음</x:t>
        </x:is>
      </x:c>
      <x:c r="AB964" s="5" t="inlineStr">
        <x:is>
          <x:t xml:space="preserve">해양</x:t>
        </x:is>
      </x:c>
      <x:c r="AC964" s="5" t="inlineStr">
        <x:is>
          <x:t xml:space="preserve">gen9</x:t>
        </x:is>
      </x:c>
      <x:c r="AD964" s="5" t="inlineStr">
        <x:is>
          <x:t xml:space="preserve">.tmp/cobblemon-1.7.3-source/common/src/main/resources/data/cobblemon/species/generation9/wiglett.json</x:t>
        </x:is>
      </x:c>
    </x:row>
    <x:row r="965" ht="22" customHeight="1">
      <x:c r="A965" s="5" t="n">
        <x:v>961</x:v>
      </x:c>
      <x:c r="B965" s="5" t="inlineStr">
        <x:is>
          <x:t xml:space="preserve">바닥트리오</x:t>
        </x:is>
      </x:c>
      <x:c r="C965" s="5" t="inlineStr">
        <x:is>
          <x:t xml:space="preserve">wugtrio</x:t>
        </x:is>
      </x:c>
      <x:c r="D965" s="5" t="inlineStr">
        <x:is>
          <x:t xml:space="preserve">Wugtrio</x:t>
        </x:is>
      </x:c>
      <x:c r="E965" s="5" t="n">
        <x:v>9</x:v>
      </x:c>
      <x:c r="F965" s="5" t="inlineStr">
        <x:is>
          <x:t xml:space="preserve">물</x:t>
        </x:is>
      </x:c>
      <x:c r="G965" s="5" t="inlineStr">
        <x:is>
          <x:t xml:space="preserve"/>
        </x:is>
      </x:c>
      <x:c r="H965" s="5" t="n">
        <x:v>1.2</x:v>
      </x:c>
      <x:c r="I965" s="5" t="n">
        <x:v>5.4</x:v>
      </x:c>
      <x:c r="J965" s="5" t="n">
        <x:v>425</x:v>
      </x:c>
      <x:c r="K965" s="5" t="n">
        <x:v>50</x:v>
      </x:c>
      <x:c r="L965" s="5" t="inlineStr">
        <x:is>
          <x:t xml:space="preserve">최종</x:t>
        </x:is>
      </x:c>
      <x:c r="M965" s="5" t="n">
        <x:v>26</x:v>
      </x:c>
      <x:c r="N965" s="5" t="inlineStr">
        <x:is>
          <x:t xml:space="preserve">레벨</x:t>
        </x:is>
      </x:c>
      <x:c r="O965" s="5" t="inlineStr">
        <x:is>
          <x:t xml:space="preserve">예</x:t>
        </x:is>
      </x:c>
      <x:c r="P965" s="5" t="inlineStr">
        <x:is>
          <x:t xml:space="preserve">#cobblemon:is_beach; #cobblemon:is_lukewarm_ocean; #cobblemon:is_warm_ocean</x:t>
        </x:is>
      </x:c>
      <x:c r="Q965" s="5" t="inlineStr">
        <x:is>
          <x:t xml:space="preserve">common</x:t>
        </x:is>
      </x:c>
      <x:c r="R965" s="5" t="inlineStr">
        <x:is>
          <x:t xml:space="preserve"/>
        </x:is>
      </x:c>
      <x:c r="S965" s="5" t="inlineStr">
        <x:is>
          <x:t xml:space="preserve"/>
        </x:is>
      </x:c>
      <x:c r="T965" s="5" t="inlineStr">
        <x:is>
          <x:t xml:space="preserve">해양</x:t>
        </x:is>
      </x:c>
      <x:c r="U965" s="5" t="inlineStr">
        <x:is>
          <x:t xml:space="preserve">해안·해양</x:t>
        </x:is>
      </x:c>
      <x:c r="V965" s="5" t="inlineStr">
        <x:is>
          <x:t xml:space="preserve">온대</x:t>
        </x:is>
      </x:c>
      <x:c r="W965" s="5" t="inlineStr">
        <x:is>
          <x:t xml:space="preserve">수중</x:t>
        </x:is>
      </x:c>
      <x:c r="X965" s="5" t="inlineStr">
        <x:is>
          <x:t xml:space="preserve">비</x:t>
        </x:is>
      </x:c>
      <x:c r="Y965" s="5" t="inlineStr">
        <x:is>
          <x:t xml:space="preserve">무관</x:t>
        </x:is>
      </x:c>
      <x:c r="Z965" s="5" t="inlineStr">
        <x:is>
          <x:t xml:space="preserve">흔함</x:t>
        </x:is>
      </x:c>
      <x:c r="AA965" s="5" t="inlineStr">
        <x:is>
          <x:t xml:space="preserve">없음</x:t>
        </x:is>
      </x:c>
      <x:c r="AB965" s="5" t="inlineStr">
        <x:is>
          <x:t xml:space="preserve">해양</x:t>
        </x:is>
      </x:c>
      <x:c r="AC965" s="5" t="inlineStr">
        <x:is>
          <x:t xml:space="preserve">gen9</x:t>
        </x:is>
      </x:c>
      <x:c r="AD965" s="5" t="inlineStr">
        <x:is>
          <x:t xml:space="preserve">.tmp/cobblemon-1.7.3-source/common/src/main/resources/data/cobblemon/species/generation9/wugtrio.json</x:t>
        </x:is>
      </x:c>
    </x:row>
    <x:row r="966" ht="22" customHeight="1">
      <x:c r="A966" s="5" t="n">
        <x:v>962</x:v>
      </x:c>
      <x:c r="B966" s="5" t="inlineStr">
        <x:is>
          <x:t xml:space="preserve">떨구새</x:t>
        </x:is>
      </x:c>
      <x:c r="C966" s="5" t="inlineStr">
        <x:is>
          <x:t xml:space="preserve">bombirdier</x:t>
        </x:is>
      </x:c>
      <x:c r="D966" s="5" t="inlineStr">
        <x:is>
          <x:t xml:space="preserve">Bombirdier</x:t>
        </x:is>
      </x:c>
      <x:c r="E966" s="5" t="n">
        <x:v>9</x:v>
      </x:c>
      <x:c r="F966" s="5" t="inlineStr">
        <x:is>
          <x:t xml:space="preserve">비행</x:t>
        </x:is>
      </x:c>
      <x:c r="G966" s="5" t="inlineStr">
        <x:is>
          <x:t xml:space="preserve">악</x:t>
        </x:is>
      </x:c>
      <x:c r="H966" s="5" t="n">
        <x:v>1.5</x:v>
      </x:c>
      <x:c r="I966" s="5" t="n">
        <x:v>42.9</x:v>
      </x:c>
      <x:c r="J966" s="5" t="n">
        <x:v>485</x:v>
      </x:c>
      <x:c r="K966" s="5" t="n">
        <x:v>25</x:v>
      </x:c>
      <x:c r="L966" s="5" t="inlineStr">
        <x:is>
          <x:t xml:space="preserve">무진화</x:t>
        </x:is>
      </x:c>
      <x:c r="M966" s="5" t="n"/>
      <x:c r="N966" s="5" t="inlineStr">
        <x:is>
          <x:t xml:space="preserve">없음</x:t>
        </x:is>
      </x:c>
      <x:c r="O966" s="5" t="inlineStr">
        <x:is>
          <x:t xml:space="preserve">아니오</x:t>
        </x:is>
      </x:c>
      <x:c r="P966" s="5" t="inlineStr">
        <x:is>
          <x:t xml:space="preserve">#cobblemon:is_beach; #cobblemon:is_river</x:t>
        </x:is>
      </x:c>
      <x:c r="Q966" s="5" t="inlineStr">
        <x:is>
          <x:t xml:space="preserve">uncommon</x:t>
        </x:is>
      </x:c>
      <x:c r="R966" s="5" t="inlineStr">
        <x:is>
          <x:t xml:space="preserve"/>
        </x:is>
      </x:c>
      <x:c r="S966" s="5" t="inlineStr">
        <x:is>
          <x:t xml:space="preserve"/>
        </x:is>
      </x:c>
      <x:c r="T966" s="5" t="inlineStr">
        <x:is>
          <x:t xml:space="preserve">해양</x:t>
        </x:is>
      </x:c>
      <x:c r="U966" s="5" t="inlineStr">
        <x:is>
          <x:t xml:space="preserve">해안·해양</x:t>
        </x:is>
      </x:c>
      <x:c r="V966" s="5" t="inlineStr">
        <x:is>
          <x:t xml:space="preserve">온대</x:t>
        </x:is>
      </x:c>
      <x:c r="W966" s="5" t="inlineStr">
        <x:is>
          <x:t xml:space="preserve">수중</x:t>
        </x:is>
      </x:c>
      <x:c r="X966" s="5" t="inlineStr">
        <x:is>
          <x:t xml:space="preserve">비</x:t>
        </x:is>
      </x:c>
      <x:c r="Y966" s="5" t="inlineStr">
        <x:is>
          <x:t xml:space="preserve">밤</x:t>
        </x:is>
      </x:c>
      <x:c r="Z966" s="5" t="inlineStr">
        <x:is>
          <x:t xml:space="preserve">보통</x:t>
        </x:is>
      </x:c>
      <x:c r="AA966" s="5" t="inlineStr">
        <x:is>
          <x:t xml:space="preserve">없음</x:t>
        </x:is>
      </x:c>
      <x:c r="AB966" s="5" t="inlineStr">
        <x:is>
          <x:t xml:space="preserve">해양</x:t>
        </x:is>
      </x:c>
      <x:c r="AC966" s="5" t="inlineStr">
        <x:is>
          <x:t xml:space="preserve">gen9</x:t>
        </x:is>
      </x:c>
      <x:c r="AD966" s="5" t="inlineStr">
        <x:is>
          <x:t xml:space="preserve">.tmp/cobblemon-1.7.3-source/common/src/main/resources/data/cobblemon/species/generation9/bombirdier.json</x:t>
        </x:is>
      </x:c>
    </x:row>
    <x:row r="967" ht="22" customHeight="1">
      <x:c r="A967" s="5" t="n">
        <x:v>963</x:v>
      </x:c>
      <x:c r="B967" s="5" t="inlineStr">
        <x:is>
          <x:t xml:space="preserve">맨돌핀</x:t>
        </x:is>
      </x:c>
      <x:c r="C967" s="5" t="inlineStr">
        <x:is>
          <x:t xml:space="preserve">finizen</x:t>
        </x:is>
      </x:c>
      <x:c r="D967" s="5" t="inlineStr">
        <x:is>
          <x:t xml:space="preserve">Finizen</x:t>
        </x:is>
      </x:c>
      <x:c r="E967" s="5" t="n">
        <x:v>9</x:v>
      </x:c>
      <x:c r="F967" s="5" t="inlineStr">
        <x:is>
          <x:t xml:space="preserve">물</x:t>
        </x:is>
      </x:c>
      <x:c r="G967" s="5" t="inlineStr">
        <x:is>
          <x:t xml:space="preserve"/>
        </x:is>
      </x:c>
      <x:c r="H967" s="5" t="n">
        <x:v>1.3</x:v>
      </x:c>
      <x:c r="I967" s="5" t="n">
        <x:v>60.2</x:v>
      </x:c>
      <x:c r="J967" s="5" t="n">
        <x:v>315</x:v>
      </x:c>
      <x:c r="K967" s="5" t="n">
        <x:v>200</x:v>
      </x:c>
      <x:c r="L967" s="5" t="inlineStr">
        <x:is>
          <x:t xml:space="preserve">기본</x:t>
        </x:is>
      </x:c>
      <x:c r="M967" s="5" t="n">
        <x:v>38</x:v>
      </x:c>
      <x:c r="N967" s="5" t="inlineStr">
        <x:is>
          <x:t xml:space="preserve">레벨</x:t>
        </x:is>
      </x:c>
      <x:c r="O967" s="5" t="inlineStr">
        <x:is>
          <x:t xml:space="preserve">예</x:t>
        </x:is>
      </x:c>
      <x:c r="P967" s="5" t="inlineStr">
        <x:is>
          <x:t xml:space="preserve">#cobblemon:is_ocean</x:t>
        </x:is>
      </x:c>
      <x:c r="Q967" s="5" t="inlineStr">
        <x:is>
          <x:t xml:space="preserve">common; uncommon</x:t>
        </x:is>
      </x:c>
      <x:c r="R967" s="5" t="inlineStr">
        <x:is>
          <x:t xml:space="preserve"/>
        </x:is>
      </x:c>
      <x:c r="S967" s="5" t="inlineStr">
        <x:is>
          <x:t xml:space="preserve"/>
        </x:is>
      </x:c>
      <x:c r="T967" s="5" t="inlineStr">
        <x:is>
          <x:t xml:space="preserve">해양</x:t>
        </x:is>
      </x:c>
      <x:c r="U967" s="5" t="inlineStr">
        <x:is>
          <x:t xml:space="preserve">해안·해양</x:t>
        </x:is>
      </x:c>
      <x:c r="V967" s="5" t="inlineStr">
        <x:is>
          <x:t xml:space="preserve">온대</x:t>
        </x:is>
      </x:c>
      <x:c r="W967" s="5" t="inlineStr">
        <x:is>
          <x:t xml:space="preserve">수중</x:t>
        </x:is>
      </x:c>
      <x:c r="X967" s="5" t="inlineStr">
        <x:is>
          <x:t xml:space="preserve">비</x:t>
        </x:is>
      </x:c>
      <x:c r="Y967" s="5" t="inlineStr">
        <x:is>
          <x:t xml:space="preserve">무관</x:t>
        </x:is>
      </x:c>
      <x:c r="Z967" s="5" t="inlineStr">
        <x:is>
          <x:t xml:space="preserve">보통</x:t>
        </x:is>
      </x:c>
      <x:c r="AA967" s="5" t="inlineStr">
        <x:is>
          <x:t xml:space="preserve">없음</x:t>
        </x:is>
      </x:c>
      <x:c r="AB967" s="5" t="inlineStr">
        <x:is>
          <x:t xml:space="preserve">해양</x:t>
        </x:is>
      </x:c>
      <x:c r="AC967" s="5" t="inlineStr">
        <x:is>
          <x:t xml:space="preserve">gen9</x:t>
        </x:is>
      </x:c>
      <x:c r="AD967" s="5" t="inlineStr">
        <x:is>
          <x:t xml:space="preserve">.tmp/cobblemon-1.7.3-source/common/src/main/resources/data/cobblemon/species/generation9/finizen.json</x:t>
        </x:is>
      </x:c>
    </x:row>
    <x:row r="968" ht="22" customHeight="1">
      <x:c r="A968" s="5" t="n">
        <x:v>964</x:v>
      </x:c>
      <x:c r="B968" s="5" t="inlineStr">
        <x:is>
          <x:t xml:space="preserve">돌핀맨</x:t>
        </x:is>
      </x:c>
      <x:c r="C968" s="5" t="inlineStr">
        <x:is>
          <x:t xml:space="preserve">palafin</x:t>
        </x:is>
      </x:c>
      <x:c r="D968" s="5" t="inlineStr">
        <x:is>
          <x:t xml:space="preserve">Palafin</x:t>
        </x:is>
      </x:c>
      <x:c r="E968" s="5" t="n">
        <x:v>9</x:v>
      </x:c>
      <x:c r="F968" s="5" t="inlineStr">
        <x:is>
          <x:t xml:space="preserve">물</x:t>
        </x:is>
      </x:c>
      <x:c r="G968" s="5" t="inlineStr">
        <x:is>
          <x:t xml:space="preserve"/>
        </x:is>
      </x:c>
      <x:c r="H968" s="5" t="n">
        <x:v>1.3</x:v>
      </x:c>
      <x:c r="I968" s="5" t="n">
        <x:v>60.2</x:v>
      </x:c>
      <x:c r="J968" s="5" t="n">
        <x:v>457</x:v>
      </x:c>
      <x:c r="K968" s="5" t="n">
        <x:v>45</x:v>
      </x:c>
      <x:c r="L968" s="5" t="inlineStr">
        <x:is>
          <x:t xml:space="preserve">최종</x:t>
        </x:is>
      </x:c>
      <x:c r="M968" s="5" t="n">
        <x:v>38</x:v>
      </x:c>
      <x:c r="N968" s="5" t="inlineStr">
        <x:is>
          <x:t xml:space="preserve">레벨</x:t>
        </x:is>
      </x:c>
      <x:c r="O968" s="5" t="inlineStr">
        <x:is>
          <x:t xml:space="preserve">예</x:t>
        </x:is>
      </x:c>
      <x:c r="P968" s="5" t="inlineStr">
        <x:is>
          <x:t xml:space="preserve">#cobblemon:is_ocean</x:t>
        </x:is>
      </x:c>
      <x:c r="Q968" s="5" t="inlineStr">
        <x:is>
          <x:t xml:space="preserve">common; uncommon</x:t>
        </x:is>
      </x:c>
      <x:c r="R968" s="5" t="inlineStr">
        <x:is>
          <x:t xml:space="preserve"/>
        </x:is>
      </x:c>
      <x:c r="S968" s="5" t="inlineStr">
        <x:is>
          <x:t xml:space="preserve"/>
        </x:is>
      </x:c>
      <x:c r="T968" s="5" t="inlineStr">
        <x:is>
          <x:t xml:space="preserve">해양</x:t>
        </x:is>
      </x:c>
      <x:c r="U968" s="5" t="inlineStr">
        <x:is>
          <x:t xml:space="preserve">해안·해양</x:t>
        </x:is>
      </x:c>
      <x:c r="V968" s="5" t="inlineStr">
        <x:is>
          <x:t xml:space="preserve">온대</x:t>
        </x:is>
      </x:c>
      <x:c r="W968" s="5" t="inlineStr">
        <x:is>
          <x:t xml:space="preserve">수중</x:t>
        </x:is>
      </x:c>
      <x:c r="X968" s="5" t="inlineStr">
        <x:is>
          <x:t xml:space="preserve">비</x:t>
        </x:is>
      </x:c>
      <x:c r="Y968" s="5" t="inlineStr">
        <x:is>
          <x:t xml:space="preserve">무관</x:t>
        </x:is>
      </x:c>
      <x:c r="Z968" s="5" t="inlineStr">
        <x:is>
          <x:t xml:space="preserve">보통</x:t>
        </x:is>
      </x:c>
      <x:c r="AA968" s="5" t="inlineStr">
        <x:is>
          <x:t xml:space="preserve">없음</x:t>
        </x:is>
      </x:c>
      <x:c r="AB968" s="5" t="inlineStr">
        <x:is>
          <x:t xml:space="preserve">해양</x:t>
        </x:is>
      </x:c>
      <x:c r="AC968" s="5" t="inlineStr">
        <x:is>
          <x:t xml:space="preserve">gen9</x:t>
        </x:is>
      </x:c>
      <x:c r="AD968" s="5" t="inlineStr">
        <x:is>
          <x:t xml:space="preserve">.tmp/cobblemon-1.7.3-source/common/src/main/resources/data/cobblemon/species/generation9/palafin.json</x:t>
        </x:is>
      </x:c>
    </x:row>
    <x:row r="969" ht="22" customHeight="1">
      <x:c r="A969" s="5" t="n">
        <x:v>965</x:v>
      </x:c>
      <x:c r="B969" s="5" t="inlineStr">
        <x:is>
          <x:t xml:space="preserve">부르롱</x:t>
        </x:is>
      </x:c>
      <x:c r="C969" s="5" t="inlineStr">
        <x:is>
          <x:t xml:space="preserve">varoom</x:t>
        </x:is>
      </x:c>
      <x:c r="D969" s="5" t="inlineStr">
        <x:is>
          <x:t xml:space="preserve">Varoom</x:t>
        </x:is>
      </x:c>
      <x:c r="E969" s="5" t="n">
        <x:v>9</x:v>
      </x:c>
      <x:c r="F969" s="5" t="inlineStr">
        <x:is>
          <x:t xml:space="preserve">강철</x:t>
        </x:is>
      </x:c>
      <x:c r="G969" s="5" t="inlineStr">
        <x:is>
          <x:t xml:space="preserve">독</x:t>
        </x:is>
      </x:c>
      <x:c r="H969" s="5" t="n">
        <x:v>1</x:v>
      </x:c>
      <x:c r="I969" s="5" t="n">
        <x:v>35</x:v>
      </x:c>
      <x:c r="J969" s="5" t="n">
        <x:v>300</x:v>
      </x:c>
      <x:c r="K969" s="5" t="n">
        <x:v>190</x:v>
      </x:c>
      <x:c r="L969" s="5" t="inlineStr">
        <x:is>
          <x:t xml:space="preserve">기본</x:t>
        </x:is>
      </x:c>
      <x:c r="M969" s="5" t="n">
        <x:v>40</x:v>
      </x:c>
      <x:c r="N969" s="5" t="inlineStr">
        <x:is>
          <x:t xml:space="preserve">레벨</x:t>
        </x:is>
      </x:c>
      <x:c r="O969" s="5" t="inlineStr">
        <x:is>
          <x:t xml:space="preserve">예</x:t>
        </x:is>
      </x:c>
      <x:c r="P969" s="5" t="inlineStr">
        <x:is>
          <x:t xml:space="preserve">#cobblemon:is_badlands; #cobblemon:is_overworld</x:t>
        </x:is>
      </x:c>
      <x:c r="Q969" s="5" t="inlineStr">
        <x:is>
          <x:t xml:space="preserve">uncommon</x:t>
        </x:is>
      </x:c>
      <x:c r="R969" s="5" t="inlineStr">
        <x:is>
          <x:t xml:space="preserve"/>
        </x:is>
      </x:c>
      <x:c r="S969" s="5" t="inlineStr">
        <x:is>
          <x:t xml:space="preserve"/>
        </x:is>
      </x:c>
      <x:c r="T969" s="5" t="inlineStr">
        <x:is>
          <x:t xml:space="preserve">인공</x:t>
        </x:is>
      </x:c>
      <x:c r="U969" s="5" t="inlineStr">
        <x:is>
          <x:t xml:space="preserve">건조</x:t>
        </x:is>
      </x:c>
      <x:c r="V969" s="5" t="inlineStr">
        <x:is>
          <x:t xml:space="preserve">고온</x:t>
        </x:is>
      </x:c>
      <x:c r="W969" s="5" t="inlineStr">
        <x:is>
          <x:t xml:space="preserve">건조</x:t>
        </x:is>
      </x:c>
      <x:c r="X969" s="5" t="inlineStr">
        <x:is>
          <x:t xml:space="preserve">맑음</x:t>
        </x:is>
      </x:c>
      <x:c r="Y969" s="5" t="inlineStr">
        <x:is>
          <x:t xml:space="preserve">무관</x:t>
        </x:is>
      </x:c>
      <x:c r="Z969" s="5" t="inlineStr">
        <x:is>
          <x:t xml:space="preserve">보통</x:t>
        </x:is>
      </x:c>
      <x:c r="AA969" s="5" t="inlineStr">
        <x:is>
          <x:t xml:space="preserve">도시</x:t>
        </x:is>
      </x:c>
      <x:c r="AB969" s="5" t="inlineStr">
        <x:is>
          <x:t xml:space="preserve">건조지</x:t>
        </x:is>
      </x:c>
      <x:c r="AC969" s="5" t="inlineStr">
        <x:is>
          <x:t xml:space="preserve">gen9</x:t>
        </x:is>
      </x:c>
      <x:c r="AD969" s="5" t="inlineStr">
        <x:is>
          <x:t xml:space="preserve">.tmp/cobblemon-1.7.3-source/common/src/main/resources/data/cobblemon/species/generation9/varoom.json</x:t>
        </x:is>
      </x:c>
    </x:row>
    <x:row r="970" ht="22" customHeight="1">
      <x:c r="A970" s="5" t="n">
        <x:v>966</x:v>
      </x:c>
      <x:c r="B970" s="5" t="inlineStr">
        <x:is>
          <x:t xml:space="preserve">부르르룸</x:t>
        </x:is>
      </x:c>
      <x:c r="C970" s="5" t="inlineStr">
        <x:is>
          <x:t xml:space="preserve">revavroom</x:t>
        </x:is>
      </x:c>
      <x:c r="D970" s="5" t="inlineStr">
        <x:is>
          <x:t xml:space="preserve">Revavroom</x:t>
        </x:is>
      </x:c>
      <x:c r="E970" s="5" t="n">
        <x:v>9</x:v>
      </x:c>
      <x:c r="F970" s="5" t="inlineStr">
        <x:is>
          <x:t xml:space="preserve">강철</x:t>
        </x:is>
      </x:c>
      <x:c r="G970" s="5" t="inlineStr">
        <x:is>
          <x:t xml:space="preserve">독</x:t>
        </x:is>
      </x:c>
      <x:c r="H970" s="5" t="n">
        <x:v>1.8</x:v>
      </x:c>
      <x:c r="I970" s="5" t="n">
        <x:v>120</x:v>
      </x:c>
      <x:c r="J970" s="5" t="n">
        <x:v>500</x:v>
      </x:c>
      <x:c r="K970" s="5" t="n">
        <x:v>75</x:v>
      </x:c>
      <x:c r="L970" s="5" t="inlineStr">
        <x:is>
          <x:t xml:space="preserve">최종</x:t>
        </x:is>
      </x:c>
      <x:c r="M970" s="5" t="n">
        <x:v>40</x:v>
      </x:c>
      <x:c r="N970" s="5" t="inlineStr">
        <x:is>
          <x:t xml:space="preserve">레벨</x:t>
        </x:is>
      </x:c>
      <x:c r="O970" s="5" t="inlineStr">
        <x:is>
          <x:t xml:space="preserve">예</x:t>
        </x:is>
      </x:c>
      <x:c r="P970" s="5" t="inlineStr">
        <x:is>
          <x:t xml:space="preserve">#cobblemon:is_badlands; #cobblemon:is_overworld</x:t>
        </x:is>
      </x:c>
      <x:c r="Q970" s="5" t="inlineStr">
        <x:is>
          <x:t xml:space="preserve">uncommon</x:t>
        </x:is>
      </x:c>
      <x:c r="R970" s="5" t="inlineStr">
        <x:is>
          <x:t xml:space="preserve"/>
        </x:is>
      </x:c>
      <x:c r="S970" s="5" t="inlineStr">
        <x:is>
          <x:t xml:space="preserve"/>
        </x:is>
      </x:c>
      <x:c r="T970" s="5" t="inlineStr">
        <x:is>
          <x:t xml:space="preserve">인공</x:t>
        </x:is>
      </x:c>
      <x:c r="U970" s="5" t="inlineStr">
        <x:is>
          <x:t xml:space="preserve">건조</x:t>
        </x:is>
      </x:c>
      <x:c r="V970" s="5" t="inlineStr">
        <x:is>
          <x:t xml:space="preserve">고온</x:t>
        </x:is>
      </x:c>
      <x:c r="W970" s="5" t="inlineStr">
        <x:is>
          <x:t xml:space="preserve">건조</x:t>
        </x:is>
      </x:c>
      <x:c r="X970" s="5" t="inlineStr">
        <x:is>
          <x:t xml:space="preserve">맑음</x:t>
        </x:is>
      </x:c>
      <x:c r="Y970" s="5" t="inlineStr">
        <x:is>
          <x:t xml:space="preserve">무관</x:t>
        </x:is>
      </x:c>
      <x:c r="Z970" s="5" t="inlineStr">
        <x:is>
          <x:t xml:space="preserve">보통</x:t>
        </x:is>
      </x:c>
      <x:c r="AA970" s="5" t="inlineStr">
        <x:is>
          <x:t xml:space="preserve">도시</x:t>
        </x:is>
      </x:c>
      <x:c r="AB970" s="5" t="inlineStr">
        <x:is>
          <x:t xml:space="preserve">건조지</x:t>
        </x:is>
      </x:c>
      <x:c r="AC970" s="5" t="inlineStr">
        <x:is>
          <x:t xml:space="preserve">gen9</x:t>
        </x:is>
      </x:c>
      <x:c r="AD970" s="5" t="inlineStr">
        <x:is>
          <x:t xml:space="preserve">.tmp/cobblemon-1.7.3-source/common/src/main/resources/data/cobblemon/species/generation9/revavroom.json</x:t>
        </x:is>
      </x:c>
    </x:row>
    <x:row r="971" ht="22" customHeight="1">
      <x:c r="A971" s="5" t="n">
        <x:v>967</x:v>
      </x:c>
      <x:c r="B971" s="5" t="inlineStr">
        <x:is>
          <x:t xml:space="preserve">모토마</x:t>
        </x:is>
      </x:c>
      <x:c r="C971" s="5" t="inlineStr">
        <x:is>
          <x:t xml:space="preserve">cyclizar</x:t>
        </x:is>
      </x:c>
      <x:c r="D971" s="5" t="inlineStr">
        <x:is>
          <x:t xml:space="preserve">Cyclizar</x:t>
        </x:is>
      </x:c>
      <x:c r="E971" s="5" t="n">
        <x:v>9</x:v>
      </x:c>
      <x:c r="F971" s="5" t="inlineStr">
        <x:is>
          <x:t xml:space="preserve">드래곤</x:t>
        </x:is>
      </x:c>
      <x:c r="G971" s="5" t="inlineStr">
        <x:is>
          <x:t xml:space="preserve">노말</x:t>
        </x:is>
      </x:c>
      <x:c r="H971" s="5" t="n">
        <x:v>1.6</x:v>
      </x:c>
      <x:c r="I971" s="5" t="n">
        <x:v>63</x:v>
      </x:c>
      <x:c r="J971" s="5" t="n">
        <x:v>501</x:v>
      </x:c>
      <x:c r="K971" s="5" t="n">
        <x:v>190</x:v>
      </x:c>
      <x:c r="L971" s="5" t="inlineStr">
        <x:is>
          <x:t xml:space="preserve">무진화</x:t>
        </x:is>
      </x:c>
      <x:c r="M971" s="5" t="n"/>
      <x:c r="N971" s="5" t="inlineStr">
        <x:is>
          <x:t xml:space="preserve">없음</x:t>
        </x:is>
      </x:c>
      <x:c r="O971" s="5" t="inlineStr">
        <x:is>
          <x:t xml:space="preserve">예</x:t>
        </x:is>
      </x:c>
      <x:c r="P971" s="5" t="inlineStr">
        <x:is>
          <x:t xml:space="preserve">#cobblemon:is_badlands; #cobblemon:is_grassland</x:t>
        </x:is>
      </x:c>
      <x:c r="Q971" s="5" t="inlineStr">
        <x:is>
          <x:t xml:space="preserve">rare</x:t>
        </x:is>
      </x:c>
      <x:c r="R971" s="5" t="inlineStr">
        <x:is>
          <x:t xml:space="preserve"/>
        </x:is>
      </x:c>
      <x:c r="S971" s="5" t="inlineStr">
        <x:is>
          <x:t xml:space="preserve"/>
        </x:is>
      </x:c>
      <x:c r="T971" s="5" t="inlineStr">
        <x:is>
          <x:t xml:space="preserve">육상</x:t>
        </x:is>
      </x:c>
      <x:c r="U971" s="5" t="inlineStr">
        <x:is>
          <x:t xml:space="preserve">건조</x:t>
        </x:is>
      </x:c>
      <x:c r="V971" s="5" t="inlineStr">
        <x:is>
          <x:t xml:space="preserve">고온</x:t>
        </x:is>
      </x:c>
      <x:c r="W971" s="5" t="inlineStr">
        <x:is>
          <x:t xml:space="preserve">건조</x:t>
        </x:is>
      </x:c>
      <x:c r="X971" s="5" t="inlineStr">
        <x:is>
          <x:t xml:space="preserve">맑음</x:t>
        </x:is>
      </x:c>
      <x:c r="Y971" s="5" t="inlineStr">
        <x:is>
          <x:t xml:space="preserve">무관</x:t>
        </x:is>
      </x:c>
      <x:c r="Z971" s="5" t="inlineStr">
        <x:is>
          <x:t xml:space="preserve">드묾</x:t>
        </x:is>
      </x:c>
      <x:c r="AA971" s="5" t="inlineStr">
        <x:is>
          <x:t xml:space="preserve">없음</x:t>
        </x:is>
      </x:c>
      <x:c r="AB971" s="5" t="inlineStr">
        <x:is>
          <x:t xml:space="preserve">건조지</x:t>
        </x:is>
      </x:c>
      <x:c r="AC971" s="5" t="inlineStr">
        <x:is>
          <x:t xml:space="preserve">gen9</x:t>
        </x:is>
      </x:c>
      <x:c r="AD971" s="5" t="inlineStr">
        <x:is>
          <x:t xml:space="preserve">.tmp/cobblemon-1.7.3-source/common/src/main/resources/data/cobblemon/species/generation9/cyclizar.json</x:t>
        </x:is>
      </x:c>
    </x:row>
    <x:row r="972" ht="22" customHeight="1">
      <x:c r="A972" s="5" t="n">
        <x:v>968</x:v>
      </x:c>
      <x:c r="B972" s="5" t="inlineStr">
        <x:is>
          <x:t xml:space="preserve">꿈트렁</x:t>
        </x:is>
      </x:c>
      <x:c r="C972" s="5" t="inlineStr">
        <x:is>
          <x:t xml:space="preserve">orthworm</x:t>
        </x:is>
      </x:c>
      <x:c r="D972" s="5" t="inlineStr">
        <x:is>
          <x:t xml:space="preserve">Orthworm</x:t>
        </x:is>
      </x:c>
      <x:c r="E972" s="5" t="n">
        <x:v>9</x:v>
      </x:c>
      <x:c r="F972" s="5" t="inlineStr">
        <x:is>
          <x:t xml:space="preserve">강철</x:t>
        </x:is>
      </x:c>
      <x:c r="G972" s="5" t="inlineStr">
        <x:is>
          <x:t xml:space="preserve"/>
        </x:is>
      </x:c>
      <x:c r="H972" s="5" t="n">
        <x:v>2.5</x:v>
      </x:c>
      <x:c r="I972" s="5" t="n">
        <x:v>310</x:v>
      </x:c>
      <x:c r="J972" s="5" t="n">
        <x:v>480</x:v>
      </x:c>
      <x:c r="K972" s="5" t="n">
        <x:v>25</x:v>
      </x:c>
      <x:c r="L972" s="5" t="inlineStr">
        <x:is>
          <x:t xml:space="preserve">무진화</x:t>
        </x:is>
      </x:c>
      <x:c r="M972" s="5" t="n"/>
      <x:c r="N972" s="5" t="inlineStr">
        <x:is>
          <x:t xml:space="preserve">없음</x:t>
        </x:is>
      </x:c>
      <x:c r="O972" s="5" t="inlineStr">
        <x:is>
          <x:t xml:space="preserve">예</x:t>
        </x:is>
      </x:c>
      <x:c r="P972" s="5" t="inlineStr">
        <x:is>
          <x:t xml:space="preserve">#cobblemon:is_badlands; #cobblemon:is_desert; #cobblemon:is_overworld; #cobblemon:nether/is_desert</x:t>
        </x:is>
      </x:c>
      <x:c r="Q972" s="5" t="inlineStr">
        <x:is>
          <x:t xml:space="preserve">common; uncommon</x:t>
        </x:is>
      </x:c>
      <x:c r="R972" s="5" t="inlineStr">
        <x:is>
          <x:t xml:space="preserve"/>
        </x:is>
      </x:c>
      <x:c r="S972" s="5" t="inlineStr">
        <x:is>
          <x:t xml:space="preserve"/>
        </x:is>
      </x:c>
      <x:c r="T972" s="5" t="inlineStr">
        <x:is>
          <x:t xml:space="preserve">육상</x:t>
        </x:is>
      </x:c>
      <x:c r="U972" s="5" t="inlineStr">
        <x:is>
          <x:t xml:space="preserve">건조</x:t>
        </x:is>
      </x:c>
      <x:c r="V972" s="5" t="inlineStr">
        <x:is>
          <x:t xml:space="preserve">고온</x:t>
        </x:is>
      </x:c>
      <x:c r="W972" s="5" t="inlineStr">
        <x:is>
          <x:t xml:space="preserve">건조</x:t>
        </x:is>
      </x:c>
      <x:c r="X972" s="5" t="inlineStr">
        <x:is>
          <x:t xml:space="preserve">맑음</x:t>
        </x:is>
      </x:c>
      <x:c r="Y972" s="5" t="inlineStr">
        <x:is>
          <x:t xml:space="preserve">무관</x:t>
        </x:is>
      </x:c>
      <x:c r="Z972" s="5" t="inlineStr">
        <x:is>
          <x:t xml:space="preserve">보통</x:t>
        </x:is>
      </x:c>
      <x:c r="AA972" s="5" t="inlineStr">
        <x:is>
          <x:t xml:space="preserve">없음</x:t>
        </x:is>
      </x:c>
      <x:c r="AB972" s="5" t="inlineStr">
        <x:is>
          <x:t xml:space="preserve">건조지</x:t>
        </x:is>
      </x:c>
      <x:c r="AC972" s="5" t="inlineStr">
        <x:is>
          <x:t xml:space="preserve">gen9</x:t>
        </x:is>
      </x:c>
      <x:c r="AD972" s="5" t="inlineStr">
        <x:is>
          <x:t xml:space="preserve">.tmp/cobblemon-1.7.3-source/common/src/main/resources/data/cobblemon/species/generation9/orthworm.json</x:t>
        </x:is>
      </x:c>
    </x:row>
    <x:row r="973" ht="22" customHeight="1">
      <x:c r="A973" s="5" t="n">
        <x:v>969</x:v>
      </x:c>
      <x:c r="B973" s="5" t="inlineStr">
        <x:is>
          <x:t xml:space="preserve">초롱순</x:t>
        </x:is>
      </x:c>
      <x:c r="C973" s="5" t="inlineStr">
        <x:is>
          <x:t xml:space="preserve">glimmet</x:t>
        </x:is>
      </x:c>
      <x:c r="D973" s="5" t="inlineStr">
        <x:is>
          <x:t xml:space="preserve">Glimmet</x:t>
        </x:is>
      </x:c>
      <x:c r="E973" s="5" t="n">
        <x:v>9</x:v>
      </x:c>
      <x:c r="F973" s="5" t="inlineStr">
        <x:is>
          <x:t xml:space="preserve">바위</x:t>
        </x:is>
      </x:c>
      <x:c r="G973" s="5" t="inlineStr">
        <x:is>
          <x:t xml:space="preserve">독</x:t>
        </x:is>
      </x:c>
      <x:c r="H973" s="5" t="n">
        <x:v>0.7</x:v>
      </x:c>
      <x:c r="I973" s="5" t="n">
        <x:v>8</x:v>
      </x:c>
      <x:c r="J973" s="5" t="n">
        <x:v>350</x:v>
      </x:c>
      <x:c r="K973" s="5" t="n">
        <x:v>70</x:v>
      </x:c>
      <x:c r="L973" s="5" t="inlineStr">
        <x:is>
          <x:t xml:space="preserve">기본</x:t>
        </x:is>
      </x:c>
      <x:c r="M973" s="5" t="n">
        <x:v>35</x:v>
      </x:c>
      <x:c r="N973" s="5" t="inlineStr">
        <x:is>
          <x:t xml:space="preserve">레벨</x:t>
        </x:is>
      </x:c>
      <x:c r="O973" s="5" t="inlineStr">
        <x:is>
          <x:t xml:space="preserve">예</x:t>
        </x:is>
      </x:c>
      <x:c r="P973" s="5" t="inlineStr">
        <x:is>
          <x:t xml:space="preserve">#cobblemon:is_overworld; #cobblemon:nether/is_quartz; biomesoplenty:crystalline_chasm; the_bumblezone:crystal_canyon</x:t>
        </x:is>
      </x:c>
      <x:c r="Q973" s="5" t="inlineStr">
        <x:is>
          <x:t xml:space="preserve">common</x:t>
        </x:is>
      </x:c>
      <x:c r="R973" s="5" t="inlineStr">
        <x:is>
          <x:t xml:space="preserve"/>
        </x:is>
      </x:c>
      <x:c r="S973" s="5" t="inlineStr">
        <x:is>
          <x:t xml:space="preserve"/>
        </x:is>
      </x:c>
      <x:c r="T973" s="5" t="inlineStr">
        <x:is>
          <x:t xml:space="preserve">비행</x:t>
        </x:is>
      </x:c>
      <x:c r="U973" s="5" t="inlineStr">
        <x:is>
          <x:t xml:space="preserve">화산</x:t>
        </x:is>
      </x:c>
      <x:c r="V973" s="5" t="inlineStr">
        <x:is>
          <x:t xml:space="preserve">고온</x:t>
        </x:is>
      </x:c>
      <x:c r="W973" s="5" t="inlineStr">
        <x:is>
          <x:t xml:space="preserve">건조</x:t>
        </x:is>
      </x:c>
      <x:c r="X973" s="5" t="inlineStr">
        <x:is>
          <x:t xml:space="preserve">맑음</x:t>
        </x:is>
      </x:c>
      <x:c r="Y973" s="5" t="inlineStr">
        <x:is>
          <x:t xml:space="preserve">무관</x:t>
        </x:is>
      </x:c>
      <x:c r="Z973" s="5" t="inlineStr">
        <x:is>
          <x:t xml:space="preserve">흔함</x:t>
        </x:is>
      </x:c>
      <x:c r="AA973" s="5" t="inlineStr">
        <x:is>
          <x:t xml:space="preserve">화산</x:t>
        </x:is>
      </x:c>
      <x:c r="AB973" s="5" t="inlineStr">
        <x:is>
          <x:t xml:space="preserve">화산</x:t>
        </x:is>
      </x:c>
      <x:c r="AC973" s="5" t="inlineStr">
        <x:is>
          <x:t xml:space="preserve">gen9</x:t>
        </x:is>
      </x:c>
      <x:c r="AD973" s="5" t="inlineStr">
        <x:is>
          <x:t xml:space="preserve">.tmp/cobblemon-1.7.3-source/common/src/main/resources/data/cobblemon/species/generation9/glimmet.json</x:t>
        </x:is>
      </x:c>
    </x:row>
    <x:row r="974" ht="22" customHeight="1">
      <x:c r="A974" s="5" t="n">
        <x:v>970</x:v>
      </x:c>
      <x:c r="B974" s="5" t="inlineStr">
        <x:is>
          <x:t xml:space="preserve">킬라플로르</x:t>
        </x:is>
      </x:c>
      <x:c r="C974" s="5" t="inlineStr">
        <x:is>
          <x:t xml:space="preserve">glimmora</x:t>
        </x:is>
      </x:c>
      <x:c r="D974" s="5" t="inlineStr">
        <x:is>
          <x:t xml:space="preserve">Glimmora</x:t>
        </x:is>
      </x:c>
      <x:c r="E974" s="5" t="n">
        <x:v>9</x:v>
      </x:c>
      <x:c r="F974" s="5" t="inlineStr">
        <x:is>
          <x:t xml:space="preserve">바위</x:t>
        </x:is>
      </x:c>
      <x:c r="G974" s="5" t="inlineStr">
        <x:is>
          <x:t xml:space="preserve">독</x:t>
        </x:is>
      </x:c>
      <x:c r="H974" s="5" t="n">
        <x:v>1.5</x:v>
      </x:c>
      <x:c r="I974" s="5" t="n">
        <x:v>45</x:v>
      </x:c>
      <x:c r="J974" s="5" t="n">
        <x:v>525</x:v>
      </x:c>
      <x:c r="K974" s="5" t="n">
        <x:v>25</x:v>
      </x:c>
      <x:c r="L974" s="5" t="inlineStr">
        <x:is>
          <x:t xml:space="preserve">최종</x:t>
        </x:is>
      </x:c>
      <x:c r="M974" s="5" t="n">
        <x:v>35</x:v>
      </x:c>
      <x:c r="N974" s="5" t="inlineStr">
        <x:is>
          <x:t xml:space="preserve">레벨</x:t>
        </x:is>
      </x:c>
      <x:c r="O974" s="5" t="inlineStr">
        <x:is>
          <x:t xml:space="preserve">예</x:t>
        </x:is>
      </x:c>
      <x:c r="P974" s="5" t="inlineStr">
        <x:is>
          <x:t xml:space="preserve">#cobblemon:is_overworld; #cobblemon:nether/is_quartz; biomesoplenty:crystalline_chasm; the_bumblezone:crystal_canyon</x:t>
        </x:is>
      </x:c>
      <x:c r="Q974" s="5" t="inlineStr">
        <x:is>
          <x:t xml:space="preserve">common</x:t>
        </x:is>
      </x:c>
      <x:c r="R974" s="5" t="inlineStr">
        <x:is>
          <x:t xml:space="preserve"/>
        </x:is>
      </x:c>
      <x:c r="S974" s="5" t="inlineStr">
        <x:is>
          <x:t xml:space="preserve"/>
        </x:is>
      </x:c>
      <x:c r="T974" s="5" t="inlineStr">
        <x:is>
          <x:t xml:space="preserve">비행</x:t>
        </x:is>
      </x:c>
      <x:c r="U974" s="5" t="inlineStr">
        <x:is>
          <x:t xml:space="preserve">화산</x:t>
        </x:is>
      </x:c>
      <x:c r="V974" s="5" t="inlineStr">
        <x:is>
          <x:t xml:space="preserve">고온</x:t>
        </x:is>
      </x:c>
      <x:c r="W974" s="5" t="inlineStr">
        <x:is>
          <x:t xml:space="preserve">건조</x:t>
        </x:is>
      </x:c>
      <x:c r="X974" s="5" t="inlineStr">
        <x:is>
          <x:t xml:space="preserve">맑음</x:t>
        </x:is>
      </x:c>
      <x:c r="Y974" s="5" t="inlineStr">
        <x:is>
          <x:t xml:space="preserve">무관</x:t>
        </x:is>
      </x:c>
      <x:c r="Z974" s="5" t="inlineStr">
        <x:is>
          <x:t xml:space="preserve">흔함</x:t>
        </x:is>
      </x:c>
      <x:c r="AA974" s="5" t="inlineStr">
        <x:is>
          <x:t xml:space="preserve">화산</x:t>
        </x:is>
      </x:c>
      <x:c r="AB974" s="5" t="inlineStr">
        <x:is>
          <x:t xml:space="preserve">화산</x:t>
        </x:is>
      </x:c>
      <x:c r="AC974" s="5" t="inlineStr">
        <x:is>
          <x:t xml:space="preserve">gen9</x:t>
        </x:is>
      </x:c>
      <x:c r="AD974" s="5" t="inlineStr">
        <x:is>
          <x:t xml:space="preserve">.tmp/cobblemon-1.7.3-source/common/src/main/resources/data/cobblemon/species/generation9/glimmora.json</x:t>
        </x:is>
      </x:c>
    </x:row>
    <x:row r="975" ht="22" customHeight="1">
      <x:c r="A975" s="5" t="n">
        <x:v>971</x:v>
      </x:c>
      <x:c r="B975" s="5" t="inlineStr">
        <x:is>
          <x:t xml:space="preserve">망망이</x:t>
        </x:is>
      </x:c>
      <x:c r="C975" s="5" t="inlineStr">
        <x:is>
          <x:t xml:space="preserve">greavard</x:t>
        </x:is>
      </x:c>
      <x:c r="D975" s="5" t="inlineStr">
        <x:is>
          <x:t xml:space="preserve">Greavard</x:t>
        </x:is>
      </x:c>
      <x:c r="E975" s="5" t="n">
        <x:v>9</x:v>
      </x:c>
      <x:c r="F975" s="5" t="inlineStr">
        <x:is>
          <x:t xml:space="preserve">고스트</x:t>
        </x:is>
      </x:c>
      <x:c r="G975" s="5" t="inlineStr">
        <x:is>
          <x:t xml:space="preserve"/>
        </x:is>
      </x:c>
      <x:c r="H975" s="5" t="n">
        <x:v>0.6</x:v>
      </x:c>
      <x:c r="I975" s="5" t="n">
        <x:v>35</x:v>
      </x:c>
      <x:c r="J975" s="5" t="n">
        <x:v>290</x:v>
      </x:c>
      <x:c r="K975" s="5" t="n">
        <x:v>120</x:v>
      </x:c>
      <x:c r="L975" s="5" t="inlineStr">
        <x:is>
          <x:t xml:space="preserve">기본</x:t>
        </x:is>
      </x:c>
      <x:c r="M975" s="5" t="n">
        <x:v>30</x:v>
      </x:c>
      <x:c r="N975" s="5" t="inlineStr">
        <x:is>
          <x:t xml:space="preserve">레벨·특수</x:t>
        </x:is>
      </x:c>
      <x:c r="O975" s="5" t="inlineStr">
        <x:is>
          <x:t xml:space="preserve">아니오</x:t>
        </x:is>
      </x:c>
      <x:c r="P975" s="5" t="inlineStr">
        <x:is>
          <x:t xml:space="preserve">#cobblemon:is_spooky; minecraft:dark_forest</x:t>
        </x:is>
      </x:c>
      <x:c r="Q975" s="5" t="inlineStr">
        <x:is>
          <x:t xml:space="preserve">rare</x:t>
        </x:is>
      </x:c>
      <x:c r="R975" s="5" t="inlineStr">
        <x:is>
          <x:t xml:space="preserve">night</x:t>
        </x:is>
      </x:c>
      <x:c r="S975" s="5" t="inlineStr">
        <x:is>
          <x:t xml:space="preserve"/>
        </x:is>
      </x:c>
      <x:c r="T975" s="5" t="inlineStr">
        <x:is>
          <x:t xml:space="preserve">영체</x:t>
        </x:is>
      </x:c>
      <x:c r="U975" s="5" t="inlineStr">
        <x:is>
          <x:t xml:space="preserve">특수</x:t>
        </x:is>
      </x:c>
      <x:c r="V975" s="5" t="inlineStr">
        <x:is>
          <x:t xml:space="preserve">온대</x:t>
        </x:is>
      </x:c>
      <x:c r="W975" s="5" t="inlineStr">
        <x:is>
          <x:t xml:space="preserve">보통</x:t>
        </x:is>
      </x:c>
      <x:c r="X975" s="5" t="inlineStr">
        <x:is>
          <x:t xml:space="preserve">안개</x:t>
        </x:is>
      </x:c>
      <x:c r="Y975" s="5" t="inlineStr">
        <x:is>
          <x:t xml:space="preserve">밤</x:t>
        </x:is>
      </x:c>
      <x:c r="Z975" s="5" t="inlineStr">
        <x:is>
          <x:t xml:space="preserve">드묾</x:t>
        </x:is>
      </x:c>
      <x:c r="AA975" s="5" t="inlineStr">
        <x:is>
          <x:t xml:space="preserve">영체</x:t>
        </x:is>
      </x:c>
      <x:c r="AB975" s="5" t="inlineStr">
        <x:is>
          <x:t xml:space="preserve">특수</x:t>
        </x:is>
      </x:c>
      <x:c r="AC975" s="5" t="inlineStr">
        <x:is>
          <x:t xml:space="preserve">gen9</x:t>
        </x:is>
      </x:c>
      <x:c r="AD975" s="5" t="inlineStr">
        <x:is>
          <x:t xml:space="preserve">.tmp/cobblemon-1.7.3-source/common/src/main/resources/data/cobblemon/species/generation9/greavard.json</x:t>
        </x:is>
      </x:c>
    </x:row>
    <x:row r="976" ht="22" customHeight="1">
      <x:c r="A976" s="5" t="n">
        <x:v>972</x:v>
      </x:c>
      <x:c r="B976" s="5" t="inlineStr">
        <x:is>
          <x:t xml:space="preserve">묘두기</x:t>
        </x:is>
      </x:c>
      <x:c r="C976" s="5" t="inlineStr">
        <x:is>
          <x:t xml:space="preserve">houndstone</x:t>
        </x:is>
      </x:c>
      <x:c r="D976" s="5" t="inlineStr">
        <x:is>
          <x:t xml:space="preserve">Houndstone</x:t>
        </x:is>
      </x:c>
      <x:c r="E976" s="5" t="n">
        <x:v>9</x:v>
      </x:c>
      <x:c r="F976" s="5" t="inlineStr">
        <x:is>
          <x:t xml:space="preserve">고스트</x:t>
        </x:is>
      </x:c>
      <x:c r="G976" s="5" t="inlineStr">
        <x:is>
          <x:t xml:space="preserve"/>
        </x:is>
      </x:c>
      <x:c r="H976" s="5" t="n">
        <x:v>2</x:v>
      </x:c>
      <x:c r="I976" s="5" t="n">
        <x:v>15</x:v>
      </x:c>
      <x:c r="J976" s="5" t="n">
        <x:v>488</x:v>
      </x:c>
      <x:c r="K976" s="5" t="n">
        <x:v>60</x:v>
      </x:c>
      <x:c r="L976" s="5" t="inlineStr">
        <x:is>
          <x:t xml:space="preserve">최종</x:t>
        </x:is>
      </x:c>
      <x:c r="M976" s="5" t="n">
        <x:v>30</x:v>
      </x:c>
      <x:c r="N976" s="5" t="inlineStr">
        <x:is>
          <x:t xml:space="preserve">레벨·특수</x:t>
        </x:is>
      </x:c>
      <x:c r="O976" s="5" t="inlineStr">
        <x:is>
          <x:t xml:space="preserve">아니오</x:t>
        </x:is>
      </x:c>
      <x:c r="P976" s="5" t="inlineStr">
        <x:is>
          <x:t xml:space="preserve">#cobblemon:is_spooky; minecraft:dark_forest</x:t>
        </x:is>
      </x:c>
      <x:c r="Q976" s="5" t="inlineStr">
        <x:is>
          <x:t xml:space="preserve">rare</x:t>
        </x:is>
      </x:c>
      <x:c r="R976" s="5" t="inlineStr">
        <x:is>
          <x:t xml:space="preserve">night</x:t>
        </x:is>
      </x:c>
      <x:c r="S976" s="5" t="inlineStr">
        <x:is>
          <x:t xml:space="preserve"/>
        </x:is>
      </x:c>
      <x:c r="T976" s="5" t="inlineStr">
        <x:is>
          <x:t xml:space="preserve">영체</x:t>
        </x:is>
      </x:c>
      <x:c r="U976" s="5" t="inlineStr">
        <x:is>
          <x:t xml:space="preserve">특수</x:t>
        </x:is>
      </x:c>
      <x:c r="V976" s="5" t="inlineStr">
        <x:is>
          <x:t xml:space="preserve">온대</x:t>
        </x:is>
      </x:c>
      <x:c r="W976" s="5" t="inlineStr">
        <x:is>
          <x:t xml:space="preserve">보통</x:t>
        </x:is>
      </x:c>
      <x:c r="X976" s="5" t="inlineStr">
        <x:is>
          <x:t xml:space="preserve">안개</x:t>
        </x:is>
      </x:c>
      <x:c r="Y976" s="5" t="inlineStr">
        <x:is>
          <x:t xml:space="preserve">밤</x:t>
        </x:is>
      </x:c>
      <x:c r="Z976" s="5" t="inlineStr">
        <x:is>
          <x:t xml:space="preserve">드묾</x:t>
        </x:is>
      </x:c>
      <x:c r="AA976" s="5" t="inlineStr">
        <x:is>
          <x:t xml:space="preserve">영체</x:t>
        </x:is>
      </x:c>
      <x:c r="AB976" s="5" t="inlineStr">
        <x:is>
          <x:t xml:space="preserve">특수</x:t>
        </x:is>
      </x:c>
      <x:c r="AC976" s="5" t="inlineStr">
        <x:is>
          <x:t xml:space="preserve">gen9</x:t>
        </x:is>
      </x:c>
      <x:c r="AD976" s="5" t="inlineStr">
        <x:is>
          <x:t xml:space="preserve">.tmp/cobblemon-1.7.3-source/common/src/main/resources/data/cobblemon/species/generation9/houndstone.json</x:t>
        </x:is>
      </x:c>
    </x:row>
    <x:row r="977" ht="22" customHeight="1">
      <x:c r="A977" s="5" t="n">
        <x:v>973</x:v>
      </x:c>
      <x:c r="B977" s="5" t="inlineStr">
        <x:is>
          <x:t xml:space="preserve">꼬이밍고</x:t>
        </x:is>
      </x:c>
      <x:c r="C977" s="5" t="inlineStr">
        <x:is>
          <x:t xml:space="preserve">flamigo</x:t>
        </x:is>
      </x:c>
      <x:c r="D977" s="5" t="inlineStr">
        <x:is>
          <x:t xml:space="preserve">Flamigo</x:t>
        </x:is>
      </x:c>
      <x:c r="E977" s="5" t="n">
        <x:v>9</x:v>
      </x:c>
      <x:c r="F977" s="5" t="inlineStr">
        <x:is>
          <x:t xml:space="preserve">비행</x:t>
        </x:is>
      </x:c>
      <x:c r="G977" s="5" t="inlineStr">
        <x:is>
          <x:t xml:space="preserve">격투</x:t>
        </x:is>
      </x:c>
      <x:c r="H977" s="5" t="n">
        <x:v>1.6</x:v>
      </x:c>
      <x:c r="I977" s="5" t="n">
        <x:v>37</x:v>
      </x:c>
      <x:c r="J977" s="5" t="n">
        <x:v>500</x:v>
      </x:c>
      <x:c r="K977" s="5" t="n">
        <x:v>100</x:v>
      </x:c>
      <x:c r="L977" s="5" t="inlineStr">
        <x:is>
          <x:t xml:space="preserve">무진화</x:t>
        </x:is>
      </x:c>
      <x:c r="M977" s="5" t="n"/>
      <x:c r="N977" s="5" t="inlineStr">
        <x:is>
          <x:t xml:space="preserve">없음</x:t>
        </x:is>
      </x:c>
      <x:c r="O977" s="5" t="inlineStr">
        <x:is>
          <x:t xml:space="preserve">예</x:t>
        </x:is>
      </x:c>
      <x:c r="P977" s="5" t="inlineStr">
        <x:is>
          <x:t xml:space="preserve">#aether:is_aether; #cobblemon:is_jungle; #cobblemon:is_savanna; #cobblemon:is_swamp; #cobblemon:is_tropical_island</x:t>
        </x:is>
      </x:c>
      <x:c r="Q977" s="5" t="inlineStr">
        <x:is>
          <x:t xml:space="preserve">common; uncommon</x:t>
        </x:is>
      </x:c>
      <x:c r="R977" s="5" t="inlineStr">
        <x:is>
          <x:t xml:space="preserve">day</x:t>
        </x:is>
      </x:c>
      <x:c r="S977" s="5" t="inlineStr">
        <x:is>
          <x:t xml:space="preserve"/>
        </x:is>
      </x:c>
      <x:c r="T977" s="5" t="inlineStr">
        <x:is>
          <x:t xml:space="preserve">비행</x:t>
        </x:is>
      </x:c>
      <x:c r="U977" s="5" t="inlineStr">
        <x:is>
          <x:t xml:space="preserve">습지</x:t>
        </x:is>
      </x:c>
      <x:c r="V977" s="5" t="inlineStr">
        <x:is>
          <x:t xml:space="preserve">온대</x:t>
        </x:is>
      </x:c>
      <x:c r="W977" s="5" t="inlineStr">
        <x:is>
          <x:t xml:space="preserve">다습</x:t>
        </x:is>
      </x:c>
      <x:c r="X977" s="5" t="inlineStr">
        <x:is>
          <x:t xml:space="preserve">비</x:t>
        </x:is>
      </x:c>
      <x:c r="Y977" s="5" t="inlineStr">
        <x:is>
          <x:t xml:space="preserve">낮</x:t>
        </x:is>
      </x:c>
      <x:c r="Z977" s="5" t="inlineStr">
        <x:is>
          <x:t xml:space="preserve">보통</x:t>
        </x:is>
      </x:c>
      <x:c r="AA977" s="5" t="inlineStr">
        <x:is>
          <x:t xml:space="preserve">없음</x:t>
        </x:is>
      </x:c>
      <x:c r="AB977" s="5" t="inlineStr">
        <x:is>
          <x:t xml:space="preserve">습지</x:t>
        </x:is>
      </x:c>
      <x:c r="AC977" s="5" t="inlineStr">
        <x:is>
          <x:t xml:space="preserve">gen9</x:t>
        </x:is>
      </x:c>
      <x:c r="AD977" s="5" t="inlineStr">
        <x:is>
          <x:t xml:space="preserve">.tmp/cobblemon-1.7.3-source/common/src/main/resources/data/cobblemon/species/generation9/flamigo.json</x:t>
        </x:is>
      </x:c>
    </x:row>
    <x:row r="978" ht="22" customHeight="1">
      <x:c r="A978" s="5" t="n">
        <x:v>974</x:v>
      </x:c>
      <x:c r="B978" s="5" t="inlineStr">
        <x:is>
          <x:t xml:space="preserve">터벅고래</x:t>
        </x:is>
      </x:c>
      <x:c r="C978" s="5" t="inlineStr">
        <x:is>
          <x:t xml:space="preserve">cetoddle</x:t>
        </x:is>
      </x:c>
      <x:c r="D978" s="5" t="inlineStr">
        <x:is>
          <x:t xml:space="preserve">Cetoddle</x:t>
        </x:is>
      </x:c>
      <x:c r="E978" s="5" t="n">
        <x:v>9</x:v>
      </x:c>
      <x:c r="F978" s="5" t="inlineStr">
        <x:is>
          <x:t xml:space="preserve">얼음</x:t>
        </x:is>
      </x:c>
      <x:c r="G978" s="5" t="inlineStr">
        <x:is>
          <x:t xml:space="preserve"/>
        </x:is>
      </x:c>
      <x:c r="H978" s="5" t="n">
        <x:v>1.2</x:v>
      </x:c>
      <x:c r="I978" s="5" t="n">
        <x:v>45</x:v>
      </x:c>
      <x:c r="J978" s="5" t="n">
        <x:v>334</x:v>
      </x:c>
      <x:c r="K978" s="5" t="n">
        <x:v>150</x:v>
      </x:c>
      <x:c r="L978" s="5" t="inlineStr">
        <x:is>
          <x:t xml:space="preserve">기본</x:t>
        </x:is>
      </x:c>
      <x:c r="M978" s="5" t="n"/>
      <x:c r="N978" s="5" t="inlineStr">
        <x:is>
          <x:t xml:space="preserve">특수</x:t>
        </x:is>
      </x:c>
      <x:c r="O978" s="5" t="inlineStr">
        <x:is>
          <x:t xml:space="preserve">예</x:t>
        </x:is>
      </x:c>
      <x:c r="P978" s="5" t="inlineStr">
        <x:is>
          <x:t xml:space="preserve">#cobblemon:is_frozen_ocean; #cobblemon:is_glacial; #cobblemon:is_tundra</x:t>
        </x:is>
      </x:c>
      <x:c r="Q978" s="5" t="inlineStr">
        <x:is>
          <x:t xml:space="preserve">uncommon</x:t>
        </x:is>
      </x:c>
      <x:c r="R978" s="5" t="inlineStr">
        <x:is>
          <x:t xml:space="preserve"/>
        </x:is>
      </x:c>
      <x:c r="S978" s="5" t="inlineStr">
        <x:is>
          <x:t xml:space="preserve"/>
        </x:is>
      </x:c>
      <x:c r="T978" s="5" t="inlineStr">
        <x:is>
          <x:t xml:space="preserve">육상</x:t>
        </x:is>
      </x:c>
      <x:c r="U978" s="5" t="inlineStr">
        <x:is>
          <x:t xml:space="preserve">설원</x:t>
        </x:is>
      </x:c>
      <x:c r="V978" s="5" t="inlineStr">
        <x:is>
          <x:t xml:space="preserve">한랭</x:t>
        </x:is>
      </x:c>
      <x:c r="W978" s="5" t="inlineStr">
        <x:is>
          <x:t xml:space="preserve">보통</x:t>
        </x:is>
      </x:c>
      <x:c r="X978" s="5" t="inlineStr">
        <x:is>
          <x:t xml:space="preserve">눈</x:t>
        </x:is>
      </x:c>
      <x:c r="Y978" s="5" t="inlineStr">
        <x:is>
          <x:t xml:space="preserve">무관</x:t>
        </x:is>
      </x:c>
      <x:c r="Z978" s="5" t="inlineStr">
        <x:is>
          <x:t xml:space="preserve">보통</x:t>
        </x:is>
      </x:c>
      <x:c r="AA978" s="5" t="inlineStr">
        <x:is>
          <x:t xml:space="preserve">없음</x:t>
        </x:is>
      </x:c>
      <x:c r="AB978" s="5" t="inlineStr">
        <x:is>
          <x:t xml:space="preserve">설원</x:t>
        </x:is>
      </x:c>
      <x:c r="AC978" s="5" t="inlineStr">
        <x:is>
          <x:t xml:space="preserve">gen9</x:t>
        </x:is>
      </x:c>
      <x:c r="AD978" s="5" t="inlineStr">
        <x:is>
          <x:t xml:space="preserve">.tmp/cobblemon-1.7.3-source/common/src/main/resources/data/cobblemon/species/generation9/cetoddle.json</x:t>
        </x:is>
      </x:c>
    </x:row>
    <x:row r="979" ht="22" customHeight="1">
      <x:c r="A979" s="5" t="n">
        <x:v>975</x:v>
      </x:c>
      <x:c r="B979" s="5" t="inlineStr">
        <x:is>
          <x:t xml:space="preserve">우락고래</x:t>
        </x:is>
      </x:c>
      <x:c r="C979" s="5" t="inlineStr">
        <x:is>
          <x:t xml:space="preserve">cetitan</x:t>
        </x:is>
      </x:c>
      <x:c r="D979" s="5" t="inlineStr">
        <x:is>
          <x:t xml:space="preserve">Cetitan</x:t>
        </x:is>
      </x:c>
      <x:c r="E979" s="5" t="n">
        <x:v>9</x:v>
      </x:c>
      <x:c r="F979" s="5" t="inlineStr">
        <x:is>
          <x:t xml:space="preserve">얼음</x:t>
        </x:is>
      </x:c>
      <x:c r="G979" s="5" t="inlineStr">
        <x:is>
          <x:t xml:space="preserve"/>
        </x:is>
      </x:c>
      <x:c r="H979" s="5" t="n">
        <x:v>4.5</x:v>
      </x:c>
      <x:c r="I979" s="5" t="n">
        <x:v>700</x:v>
      </x:c>
      <x:c r="J979" s="5" t="n">
        <x:v>521</x:v>
      </x:c>
      <x:c r="K979" s="5" t="n">
        <x:v>50</x:v>
      </x:c>
      <x:c r="L979" s="5" t="inlineStr">
        <x:is>
          <x:t xml:space="preserve">최종</x:t>
        </x:is>
      </x:c>
      <x:c r="M979" s="5" t="n"/>
      <x:c r="N979" s="5" t="inlineStr">
        <x:is>
          <x:t xml:space="preserve">특수</x:t>
        </x:is>
      </x:c>
      <x:c r="O979" s="5" t="inlineStr">
        <x:is>
          <x:t xml:space="preserve">예</x:t>
        </x:is>
      </x:c>
      <x:c r="P979" s="5" t="inlineStr">
        <x:is>
          <x:t xml:space="preserve">#cobblemon:is_frozen_ocean; #cobblemon:is_glacial; #cobblemon:is_tundra</x:t>
        </x:is>
      </x:c>
      <x:c r="Q979" s="5" t="inlineStr">
        <x:is>
          <x:t xml:space="preserve">uncommon</x:t>
        </x:is>
      </x:c>
      <x:c r="R979" s="5" t="inlineStr">
        <x:is>
          <x:t xml:space="preserve"/>
        </x:is>
      </x:c>
      <x:c r="S979" s="5" t="inlineStr">
        <x:is>
          <x:t xml:space="preserve"/>
        </x:is>
      </x:c>
      <x:c r="T979" s="5" t="inlineStr">
        <x:is>
          <x:t xml:space="preserve">육상</x:t>
        </x:is>
      </x:c>
      <x:c r="U979" s="5" t="inlineStr">
        <x:is>
          <x:t xml:space="preserve">설원</x:t>
        </x:is>
      </x:c>
      <x:c r="V979" s="5" t="inlineStr">
        <x:is>
          <x:t xml:space="preserve">한랭</x:t>
        </x:is>
      </x:c>
      <x:c r="W979" s="5" t="inlineStr">
        <x:is>
          <x:t xml:space="preserve">보통</x:t>
        </x:is>
      </x:c>
      <x:c r="X979" s="5" t="inlineStr">
        <x:is>
          <x:t xml:space="preserve">눈</x:t>
        </x:is>
      </x:c>
      <x:c r="Y979" s="5" t="inlineStr">
        <x:is>
          <x:t xml:space="preserve">무관</x:t>
        </x:is>
      </x:c>
      <x:c r="Z979" s="5" t="inlineStr">
        <x:is>
          <x:t xml:space="preserve">보통</x:t>
        </x:is>
      </x:c>
      <x:c r="AA979" s="5" t="inlineStr">
        <x:is>
          <x:t xml:space="preserve">없음</x:t>
        </x:is>
      </x:c>
      <x:c r="AB979" s="5" t="inlineStr">
        <x:is>
          <x:t xml:space="preserve">설원</x:t>
        </x:is>
      </x:c>
      <x:c r="AC979" s="5" t="inlineStr">
        <x:is>
          <x:t xml:space="preserve">gen9</x:t>
        </x:is>
      </x:c>
      <x:c r="AD979" s="5" t="inlineStr">
        <x:is>
          <x:t xml:space="preserve">.tmp/cobblemon-1.7.3-source/common/src/main/resources/data/cobblemon/species/generation9/cetitan.json</x:t>
        </x:is>
      </x:c>
    </x:row>
    <x:row r="980" ht="22" customHeight="1">
      <x:c r="A980" s="5" t="n">
        <x:v>976</x:v>
      </x:c>
      <x:c r="B980" s="5" t="inlineStr">
        <x:is>
          <x:t xml:space="preserve">가비루사</x:t>
        </x:is>
      </x:c>
      <x:c r="C980" s="5" t="inlineStr">
        <x:is>
          <x:t xml:space="preserve">veluza</x:t>
        </x:is>
      </x:c>
      <x:c r="D980" s="5" t="inlineStr">
        <x:is>
          <x:t xml:space="preserve">Veluza</x:t>
        </x:is>
      </x:c>
      <x:c r="E980" s="5" t="n">
        <x:v>9</x:v>
      </x:c>
      <x:c r="F980" s="5" t="inlineStr">
        <x:is>
          <x:t xml:space="preserve">물</x:t>
        </x:is>
      </x:c>
      <x:c r="G980" s="5" t="inlineStr">
        <x:is>
          <x:t xml:space="preserve">에스퍼</x:t>
        </x:is>
      </x:c>
      <x:c r="H980" s="5" t="n">
        <x:v>2.5</x:v>
      </x:c>
      <x:c r="I980" s="5" t="n">
        <x:v>90</x:v>
      </x:c>
      <x:c r="J980" s="5" t="n">
        <x:v>478</x:v>
      </x:c>
      <x:c r="K980" s="5" t="n">
        <x:v>100</x:v>
      </x:c>
      <x:c r="L980" s="5" t="inlineStr">
        <x:is>
          <x:t xml:space="preserve">무진화</x:t>
        </x:is>
      </x:c>
      <x:c r="M980" s="5" t="n"/>
      <x:c r="N980" s="5" t="inlineStr">
        <x:is>
          <x:t xml:space="preserve">없음</x:t>
        </x:is>
      </x:c>
      <x:c r="O980" s="5" t="inlineStr">
        <x:is>
          <x:t xml:space="preserve">예</x:t>
        </x:is>
      </x:c>
      <x:c r="P980" s="5" t="inlineStr">
        <x:is>
          <x:t xml:space="preserve">#cobblemon:is_ocean; #cobblemon:is_overworld</x:t>
        </x:is>
      </x:c>
      <x:c r="Q980" s="5" t="inlineStr">
        <x:is>
          <x:t xml:space="preserve">common; uncommon</x:t>
        </x:is>
      </x:c>
      <x:c r="R980" s="5" t="inlineStr">
        <x:is>
          <x:t xml:space="preserve"/>
        </x:is>
      </x:c>
      <x:c r="S980" s="5" t="inlineStr">
        <x:is>
          <x:t xml:space="preserve"/>
        </x:is>
      </x:c>
      <x:c r="T980" s="5" t="inlineStr">
        <x:is>
          <x:t xml:space="preserve">해양</x:t>
        </x:is>
      </x:c>
      <x:c r="U980" s="5" t="inlineStr">
        <x:is>
          <x:t xml:space="preserve">해안·해양</x:t>
        </x:is>
      </x:c>
      <x:c r="V980" s="5" t="inlineStr">
        <x:is>
          <x:t xml:space="preserve">온대</x:t>
        </x:is>
      </x:c>
      <x:c r="W980" s="5" t="inlineStr">
        <x:is>
          <x:t xml:space="preserve">수중</x:t>
        </x:is>
      </x:c>
      <x:c r="X980" s="5" t="inlineStr">
        <x:is>
          <x:t xml:space="preserve">비</x:t>
        </x:is>
      </x:c>
      <x:c r="Y980" s="5" t="inlineStr">
        <x:is>
          <x:t xml:space="preserve">무관</x:t>
        </x:is>
      </x:c>
      <x:c r="Z980" s="5" t="inlineStr">
        <x:is>
          <x:t xml:space="preserve">보통</x:t>
        </x:is>
      </x:c>
      <x:c r="AA980" s="5" t="inlineStr">
        <x:is>
          <x:t xml:space="preserve">없음</x:t>
        </x:is>
      </x:c>
      <x:c r="AB980" s="5" t="inlineStr">
        <x:is>
          <x:t xml:space="preserve">해양</x:t>
        </x:is>
      </x:c>
      <x:c r="AC980" s="5" t="inlineStr">
        <x:is>
          <x:t xml:space="preserve">gen9</x:t>
        </x:is>
      </x:c>
      <x:c r="AD980" s="5" t="inlineStr">
        <x:is>
          <x:t xml:space="preserve">.tmp/cobblemon-1.7.3-source/common/src/main/resources/data/cobblemon/species/generation9/veluza.json</x:t>
        </x:is>
      </x:c>
    </x:row>
    <x:row r="981" ht="22" customHeight="1">
      <x:c r="A981" s="5" t="n">
        <x:v>977</x:v>
      </x:c>
      <x:c r="B981" s="5" t="inlineStr">
        <x:is>
          <x:t xml:space="preserve">어써러셔</x:t>
        </x:is>
      </x:c>
      <x:c r="C981" s="5" t="inlineStr">
        <x:is>
          <x:t xml:space="preserve">dondozo</x:t>
        </x:is>
      </x:c>
      <x:c r="D981" s="5" t="inlineStr">
        <x:is>
          <x:t xml:space="preserve">Dondozo</x:t>
        </x:is>
      </x:c>
      <x:c r="E981" s="5" t="n">
        <x:v>9</x:v>
      </x:c>
      <x:c r="F981" s="5" t="inlineStr">
        <x:is>
          <x:t xml:space="preserve">물</x:t>
        </x:is>
      </x:c>
      <x:c r="G981" s="5" t="inlineStr">
        <x:is>
          <x:t xml:space="preserve"/>
        </x:is>
      </x:c>
      <x:c r="H981" s="5" t="n">
        <x:v>12</x:v>
      </x:c>
      <x:c r="I981" s="5" t="n">
        <x:v>220</x:v>
      </x:c>
      <x:c r="J981" s="5" t="n">
        <x:v>530</x:v>
      </x:c>
      <x:c r="K981" s="5" t="n">
        <x:v>25</x:v>
      </x:c>
      <x:c r="L981" s="5" t="inlineStr">
        <x:is>
          <x:t xml:space="preserve">무진화</x:t>
        </x:is>
      </x:c>
      <x:c r="M981" s="5" t="n"/>
      <x:c r="N981" s="5" t="inlineStr">
        <x:is>
          <x:t xml:space="preserve">없음</x:t>
        </x:is>
      </x:c>
      <x:c r="O981" s="5" t="inlineStr">
        <x:is>
          <x:t xml:space="preserve">예</x:t>
        </x:is>
      </x:c>
      <x:c r="P981" s="5" t="inlineStr">
        <x:is>
          <x:t xml:space="preserve">#cobblemon:is_bamboo; #cobblemon:is_forest; #cobblemon:is_jungle; #cobblemon:is_swamp</x:t>
        </x:is>
      </x:c>
      <x:c r="Q981" s="5" t="inlineStr">
        <x:is>
          <x:t xml:space="preserve">rare</x:t>
        </x:is>
      </x:c>
      <x:c r="R981" s="5" t="inlineStr">
        <x:is>
          <x:t xml:space="preserve"/>
        </x:is>
      </x:c>
      <x:c r="S981" s="5" t="inlineStr">
        <x:is>
          <x:t xml:space="preserve"/>
        </x:is>
      </x:c>
      <x:c r="T981" s="5" t="inlineStr">
        <x:is>
          <x:t xml:space="preserve">수륙</x:t>
        </x:is>
      </x:c>
      <x:c r="U981" s="5" t="inlineStr">
        <x:is>
          <x:t xml:space="preserve">습지</x:t>
        </x:is>
      </x:c>
      <x:c r="V981" s="5" t="inlineStr">
        <x:is>
          <x:t xml:space="preserve">온대</x:t>
        </x:is>
      </x:c>
      <x:c r="W981" s="5" t="inlineStr">
        <x:is>
          <x:t xml:space="preserve">다습</x:t>
        </x:is>
      </x:c>
      <x:c r="X981" s="5" t="inlineStr">
        <x:is>
          <x:t xml:space="preserve">비</x:t>
        </x:is>
      </x:c>
      <x:c r="Y981" s="5" t="inlineStr">
        <x:is>
          <x:t xml:space="preserve">무관</x:t>
        </x:is>
      </x:c>
      <x:c r="Z981" s="5" t="inlineStr">
        <x:is>
          <x:t xml:space="preserve">드묾</x:t>
        </x:is>
      </x:c>
      <x:c r="AA981" s="5" t="inlineStr">
        <x:is>
          <x:t xml:space="preserve">없음</x:t>
        </x:is>
      </x:c>
      <x:c r="AB981" s="5" t="inlineStr">
        <x:is>
          <x:t xml:space="preserve">습지</x:t>
        </x:is>
      </x:c>
      <x:c r="AC981" s="5" t="inlineStr">
        <x:is>
          <x:t xml:space="preserve">gen9</x:t>
        </x:is>
      </x:c>
      <x:c r="AD981" s="5" t="inlineStr">
        <x:is>
          <x:t xml:space="preserve">.tmp/cobblemon-1.7.3-source/common/src/main/resources/data/cobblemon/species/generation9/dondozo.json</x:t>
        </x:is>
      </x:c>
    </x:row>
    <x:row r="982" ht="22" customHeight="1">
      <x:c r="A982" s="5" t="n">
        <x:v>978</x:v>
      </x:c>
      <x:c r="B982" s="5" t="inlineStr">
        <x:is>
          <x:t xml:space="preserve">싸리용</x:t>
        </x:is>
      </x:c>
      <x:c r="C982" s="5" t="inlineStr">
        <x:is>
          <x:t xml:space="preserve">tatsugiri</x:t>
        </x:is>
      </x:c>
      <x:c r="D982" s="5" t="inlineStr">
        <x:is>
          <x:t xml:space="preserve">Tatsugiri</x:t>
        </x:is>
      </x:c>
      <x:c r="E982" s="5" t="n">
        <x:v>9</x:v>
      </x:c>
      <x:c r="F982" s="5" t="inlineStr">
        <x:is>
          <x:t xml:space="preserve">드래곤</x:t>
        </x:is>
      </x:c>
      <x:c r="G982" s="5" t="inlineStr">
        <x:is>
          <x:t xml:space="preserve">물</x:t>
        </x:is>
      </x:c>
      <x:c r="H982" s="5" t="n">
        <x:v>0.3</x:v>
      </x:c>
      <x:c r="I982" s="5" t="n">
        <x:v>8</x:v>
      </x:c>
      <x:c r="J982" s="5" t="n">
        <x:v>475</x:v>
      </x:c>
      <x:c r="K982" s="5" t="n">
        <x:v>100</x:v>
      </x:c>
      <x:c r="L982" s="5" t="inlineStr">
        <x:is>
          <x:t xml:space="preserve">무진화</x:t>
        </x:is>
      </x:c>
      <x:c r="M982" s="5" t="n"/>
      <x:c r="N982" s="5" t="inlineStr">
        <x:is>
          <x:t xml:space="preserve">없음</x:t>
        </x:is>
      </x:c>
      <x:c r="O982" s="5" t="inlineStr">
        <x:is>
          <x:t xml:space="preserve">예</x:t>
        </x:is>
      </x:c>
      <x:c r="P982" s="5" t="inlineStr">
        <x:is>
          <x:t xml:space="preserve">#cobblemon:is_bamboo; #cobblemon:is_forest; #cobblemon:is_jungle; #cobblemon:is_swamp</x:t>
        </x:is>
      </x:c>
      <x:c r="Q982" s="5" t="inlineStr">
        <x:is>
          <x:t xml:space="preserve">rare</x:t>
        </x:is>
      </x:c>
      <x:c r="R982" s="5" t="inlineStr">
        <x:is>
          <x:t xml:space="preserve"/>
        </x:is>
      </x:c>
      <x:c r="S982" s="5" t="inlineStr">
        <x:is>
          <x:t xml:space="preserve"/>
        </x:is>
      </x:c>
      <x:c r="T982" s="5" t="inlineStr">
        <x:is>
          <x:t xml:space="preserve">수륙</x:t>
        </x:is>
      </x:c>
      <x:c r="U982" s="5" t="inlineStr">
        <x:is>
          <x:t xml:space="preserve">습지</x:t>
        </x:is>
      </x:c>
      <x:c r="V982" s="5" t="inlineStr">
        <x:is>
          <x:t xml:space="preserve">온대</x:t>
        </x:is>
      </x:c>
      <x:c r="W982" s="5" t="inlineStr">
        <x:is>
          <x:t xml:space="preserve">다습</x:t>
        </x:is>
      </x:c>
      <x:c r="X982" s="5" t="inlineStr">
        <x:is>
          <x:t xml:space="preserve">비</x:t>
        </x:is>
      </x:c>
      <x:c r="Y982" s="5" t="inlineStr">
        <x:is>
          <x:t xml:space="preserve">무관</x:t>
        </x:is>
      </x:c>
      <x:c r="Z982" s="5" t="inlineStr">
        <x:is>
          <x:t xml:space="preserve">드묾</x:t>
        </x:is>
      </x:c>
      <x:c r="AA982" s="5" t="inlineStr">
        <x:is>
          <x:t xml:space="preserve">없음</x:t>
        </x:is>
      </x:c>
      <x:c r="AB982" s="5" t="inlineStr">
        <x:is>
          <x:t xml:space="preserve">습지</x:t>
        </x:is>
      </x:c>
      <x:c r="AC982" s="5" t="inlineStr">
        <x:is>
          <x:t xml:space="preserve">gen9</x:t>
        </x:is>
      </x:c>
      <x:c r="AD982" s="5" t="inlineStr">
        <x:is>
          <x:t xml:space="preserve">.tmp/cobblemon-1.7.3-source/common/src/main/resources/data/cobblemon/species/generation9/tatsugiri.json</x:t>
        </x:is>
      </x:c>
    </x:row>
    <x:row r="983" ht="22" customHeight="1">
      <x:c r="A983" s="5" t="n">
        <x:v>979</x:v>
      </x:c>
      <x:c r="B983" s="5" t="inlineStr">
        <x:is>
          <x:t xml:space="preserve">저승갓숭</x:t>
        </x:is>
      </x:c>
      <x:c r="C983" s="5" t="inlineStr">
        <x:is>
          <x:t xml:space="preserve">annihilape</x:t>
        </x:is>
      </x:c>
      <x:c r="D983" s="5" t="inlineStr">
        <x:is>
          <x:t xml:space="preserve">Annihilape</x:t>
        </x:is>
      </x:c>
      <x:c r="E983" s="5" t="n">
        <x:v>9</x:v>
      </x:c>
      <x:c r="F983" s="5" t="inlineStr">
        <x:is>
          <x:t xml:space="preserve">격투</x:t>
        </x:is>
      </x:c>
      <x:c r="G983" s="5" t="inlineStr">
        <x:is>
          <x:t xml:space="preserve">고스트</x:t>
        </x:is>
      </x:c>
      <x:c r="H983" s="5" t="n">
        <x:v>1.2</x:v>
      </x:c>
      <x:c r="I983" s="5" t="n">
        <x:v>56</x:v>
      </x:c>
      <x:c r="J983" s="5" t="n">
        <x:v>535</x:v>
      </x:c>
      <x:c r="K983" s="5" t="n">
        <x:v>45</x:v>
      </x:c>
      <x:c r="L983" s="5" t="inlineStr">
        <x:is>
          <x:t xml:space="preserve">최종</x:t>
        </x:is>
      </x:c>
      <x:c r="M983" s="5" t="n">
        <x:v>28</x:v>
      </x:c>
      <x:c r="N983" s="5" t="inlineStr">
        <x:is>
          <x:t xml:space="preserve">레벨·특수</x:t>
        </x:is>
      </x:c>
      <x:c r="O983" s="5" t="inlineStr">
        <x:is>
          <x:t xml:space="preserve">예</x:t>
        </x:is>
      </x:c>
      <x:c r="P983" s="5" t="inlineStr">
        <x:is>
          <x:t xml:space="preserve">#cobblemon:is_hills; #cobblemon:is_jungle</x:t>
        </x:is>
      </x:c>
      <x:c r="Q983" s="5" t="inlineStr">
        <x:is>
          <x:t xml:space="preserve">common</x:t>
        </x:is>
      </x:c>
      <x:c r="R983" s="5" t="inlineStr">
        <x:is>
          <x:t xml:space="preserve"/>
        </x:is>
      </x:c>
      <x:c r="S983" s="5" t="inlineStr">
        <x:is>
          <x:t xml:space="preserve"/>
        </x:is>
      </x:c>
      <x:c r="T983" s="5" t="inlineStr">
        <x:is>
          <x:t xml:space="preserve">영체</x:t>
        </x:is>
      </x:c>
      <x:c r="U983" s="5" t="inlineStr">
        <x:is>
          <x:t xml:space="preserve">암석</x:t>
        </x:is>
      </x:c>
      <x:c r="V983" s="5" t="inlineStr">
        <x:is>
          <x:t xml:space="preserve">온대</x:t>
        </x:is>
      </x:c>
      <x:c r="W983" s="5" t="inlineStr">
        <x:is>
          <x:t xml:space="preserve">다습</x:t>
        </x:is>
      </x:c>
      <x:c r="X983" s="5" t="inlineStr">
        <x:is>
          <x:t xml:space="preserve">안개</x:t>
        </x:is>
      </x:c>
      <x:c r="Y983" s="5" t="inlineStr">
        <x:is>
          <x:t xml:space="preserve">밤</x:t>
        </x:is>
      </x:c>
      <x:c r="Z983" s="5" t="inlineStr">
        <x:is>
          <x:t xml:space="preserve">흔함</x:t>
        </x:is>
      </x:c>
      <x:c r="AA983" s="5" t="inlineStr">
        <x:is>
          <x:t xml:space="preserve">영체</x:t>
        </x:is>
      </x:c>
      <x:c r="AB983" s="5" t="inlineStr">
        <x:is>
          <x:t xml:space="preserve">산악</x:t>
        </x:is>
      </x:c>
      <x:c r="AC983" s="5" t="inlineStr">
        <x:is>
          <x:t xml:space="preserve">gen9</x:t>
        </x:is>
      </x:c>
      <x:c r="AD983" s="5" t="inlineStr">
        <x:is>
          <x:t xml:space="preserve">.tmp/cobblemon-1.7.3-source/common/src/main/resources/data/cobblemon/species/generation9/annihilape.json</x:t>
        </x:is>
      </x:c>
    </x:row>
    <x:row r="984" ht="22" customHeight="1">
      <x:c r="A984" s="5" t="n">
        <x:v>980</x:v>
      </x:c>
      <x:c r="B984" s="5" t="inlineStr">
        <x:is>
          <x:t xml:space="preserve">토오</x:t>
        </x:is>
      </x:c>
      <x:c r="C984" s="5" t="inlineStr">
        <x:is>
          <x:t xml:space="preserve">clodsire</x:t>
        </x:is>
      </x:c>
      <x:c r="D984" s="5" t="inlineStr">
        <x:is>
          <x:t xml:space="preserve">Clodsire</x:t>
        </x:is>
      </x:c>
      <x:c r="E984" s="5" t="n">
        <x:v>9</x:v>
      </x:c>
      <x:c r="F984" s="5" t="inlineStr">
        <x:is>
          <x:t xml:space="preserve">독</x:t>
        </x:is>
      </x:c>
      <x:c r="G984" s="5" t="inlineStr">
        <x:is>
          <x:t xml:space="preserve">땅</x:t>
        </x:is>
      </x:c>
      <x:c r="H984" s="5" t="n">
        <x:v>1.8</x:v>
      </x:c>
      <x:c r="I984" s="5" t="n">
        <x:v>223</x:v>
      </x:c>
      <x:c r="J984" s="5" t="n">
        <x:v>430</x:v>
      </x:c>
      <x:c r="K984" s="5" t="n">
        <x:v>90</x:v>
      </x:c>
      <x:c r="L984" s="5" t="inlineStr">
        <x:is>
          <x:t xml:space="preserve">최종</x:t>
        </x:is>
      </x:c>
      <x:c r="M984" s="5" t="n">
        <x:v>20</x:v>
      </x:c>
      <x:c r="N984" s="5" t="inlineStr">
        <x:is>
          <x:t xml:space="preserve">레벨</x:t>
        </x:is>
      </x:c>
      <x:c r="O984" s="5" t="inlineStr">
        <x:is>
          <x:t xml:space="preserve">예</x:t>
        </x:is>
      </x:c>
      <x:c r="P984" s="5" t="inlineStr">
        <x:is>
          <x:t xml:space="preserve">#cobblemon:has_block/mud; #cobblemon:is_arid; #cobblemon:is_savanna</x:t>
        </x:is>
      </x:c>
      <x:c r="Q984" s="5" t="inlineStr">
        <x:is>
          <x:t xml:space="preserve">common; uncommon</x:t>
        </x:is>
      </x:c>
      <x:c r="R984" s="5" t="inlineStr">
        <x:is>
          <x:t xml:space="preserve"/>
        </x:is>
      </x:c>
      <x:c r="S984" s="5" t="inlineStr">
        <x:is>
          <x:t xml:space="preserve"/>
        </x:is>
      </x:c>
      <x:c r="T984" s="5" t="inlineStr">
        <x:is>
          <x:t xml:space="preserve">육상</x:t>
        </x:is>
      </x:c>
      <x:c r="U984" s="5" t="inlineStr">
        <x:is>
          <x:t xml:space="preserve">건조</x:t>
        </x:is>
      </x:c>
      <x:c r="V984" s="5" t="inlineStr">
        <x:is>
          <x:t xml:space="preserve">고온</x:t>
        </x:is>
      </x:c>
      <x:c r="W984" s="5" t="inlineStr">
        <x:is>
          <x:t xml:space="preserve">건조</x:t>
        </x:is>
      </x:c>
      <x:c r="X984" s="5" t="inlineStr">
        <x:is>
          <x:t xml:space="preserve">맑음</x:t>
        </x:is>
      </x:c>
      <x:c r="Y984" s="5" t="inlineStr">
        <x:is>
          <x:t xml:space="preserve">무관</x:t>
        </x:is>
      </x:c>
      <x:c r="Z984" s="5" t="inlineStr">
        <x:is>
          <x:t xml:space="preserve">보통</x:t>
        </x:is>
      </x:c>
      <x:c r="AA984" s="5" t="inlineStr">
        <x:is>
          <x:t xml:space="preserve">없음</x:t>
        </x:is>
      </x:c>
      <x:c r="AB984" s="5" t="inlineStr">
        <x:is>
          <x:t xml:space="preserve">건조지</x:t>
        </x:is>
      </x:c>
      <x:c r="AC984" s="5" t="inlineStr">
        <x:is>
          <x:t xml:space="preserve">gen9</x:t>
        </x:is>
      </x:c>
      <x:c r="AD984" s="5" t="inlineStr">
        <x:is>
          <x:t xml:space="preserve">.tmp/cobblemon-1.7.3-source/common/src/main/resources/data/cobblemon/species/generation9/clodsire.json</x:t>
        </x:is>
      </x:c>
    </x:row>
    <x:row r="985" ht="22" customHeight="1">
      <x:c r="A985" s="5" t="n">
        <x:v>981</x:v>
      </x:c>
      <x:c r="B985" s="5" t="inlineStr">
        <x:is>
          <x:t xml:space="preserve">키키링</x:t>
        </x:is>
      </x:c>
      <x:c r="C985" s="5" t="inlineStr">
        <x:is>
          <x:t xml:space="preserve">farigiraf</x:t>
        </x:is>
      </x:c>
      <x:c r="D985" s="5" t="inlineStr">
        <x:is>
          <x:t xml:space="preserve">Farigiraf</x:t>
        </x:is>
      </x:c>
      <x:c r="E985" s="5" t="n">
        <x:v>9</x:v>
      </x:c>
      <x:c r="F985" s="5" t="inlineStr">
        <x:is>
          <x:t xml:space="preserve">노말</x:t>
        </x:is>
      </x:c>
      <x:c r="G985" s="5" t="inlineStr">
        <x:is>
          <x:t xml:space="preserve">에스퍼</x:t>
        </x:is>
      </x:c>
      <x:c r="H985" s="5" t="n">
        <x:v>3.2</x:v>
      </x:c>
      <x:c r="I985" s="5" t="n">
        <x:v>160</x:v>
      </x:c>
      <x:c r="J985" s="5" t="n">
        <x:v>520</x:v>
      </x:c>
      <x:c r="K985" s="5" t="n">
        <x:v>45</x:v>
      </x:c>
      <x:c r="L985" s="5" t="inlineStr">
        <x:is>
          <x:t xml:space="preserve">최종</x:t>
        </x:is>
      </x:c>
      <x:c r="M985" s="5" t="n"/>
      <x:c r="N985" s="5" t="inlineStr">
        <x:is>
          <x:t xml:space="preserve">특수</x:t>
        </x:is>
      </x:c>
      <x:c r="O985" s="5" t="inlineStr">
        <x:is>
          <x:t xml:space="preserve">예</x:t>
        </x:is>
      </x:c>
      <x:c r="P985" s="5" t="inlineStr">
        <x:is>
          <x:t xml:space="preserve">#cobblemon:is_savanna</x:t>
        </x:is>
      </x:c>
      <x:c r="Q985" s="5" t="inlineStr">
        <x:is>
          <x:t xml:space="preserve">common</x:t>
        </x:is>
      </x:c>
      <x:c r="R985" s="5" t="inlineStr">
        <x:is>
          <x:t xml:space="preserve"/>
        </x:is>
      </x:c>
      <x:c r="S985" s="5" t="inlineStr">
        <x:is>
          <x:t xml:space="preserve"/>
        </x:is>
      </x:c>
      <x:c r="T985" s="5" t="inlineStr">
        <x:is>
          <x:t xml:space="preserve">육상</x:t>
        </x:is>
      </x:c>
      <x:c r="U985" s="5" t="inlineStr">
        <x:is>
          <x:t xml:space="preserve">개활지</x:t>
        </x:is>
      </x:c>
      <x:c r="V985" s="5" t="inlineStr">
        <x:is>
          <x:t xml:space="preserve">온대</x:t>
        </x:is>
      </x:c>
      <x:c r="W985" s="5" t="inlineStr">
        <x:is>
          <x:t xml:space="preserve">보통</x:t>
        </x:is>
      </x:c>
      <x:c r="X985" s="5" t="inlineStr">
        <x:is>
          <x:t xml:space="preserve">무관</x:t>
        </x:is>
      </x:c>
      <x:c r="Y985" s="5" t="inlineStr">
        <x:is>
          <x:t xml:space="preserve">무관</x:t>
        </x:is>
      </x:c>
      <x:c r="Z985" s="5" t="inlineStr">
        <x:is>
          <x:t xml:space="preserve">흔함</x:t>
        </x:is>
      </x:c>
      <x:c r="AA985" s="5" t="inlineStr">
        <x:is>
          <x:t xml:space="preserve">없음</x:t>
        </x:is>
      </x:c>
      <x:c r="AB985" s="5" t="inlineStr">
        <x:is>
          <x:t xml:space="preserve">평원</x:t>
        </x:is>
      </x:c>
      <x:c r="AC985" s="5" t="inlineStr">
        <x:is>
          <x:t xml:space="preserve">gen9</x:t>
        </x:is>
      </x:c>
      <x:c r="AD985" s="5" t="inlineStr">
        <x:is>
          <x:t xml:space="preserve">.tmp/cobblemon-1.7.3-source/common/src/main/resources/data/cobblemon/species/generation9/farigiraf.json</x:t>
        </x:is>
      </x:c>
    </x:row>
    <x:row r="986" ht="22" customHeight="1">
      <x:c r="A986" s="5" t="n">
        <x:v>982</x:v>
      </x:c>
      <x:c r="B986" s="5" t="inlineStr">
        <x:is>
          <x:t xml:space="preserve">노고고치</x:t>
        </x:is>
      </x:c>
      <x:c r="C986" s="5" t="inlineStr">
        <x:is>
          <x:t xml:space="preserve">dudunsparce</x:t>
        </x:is>
      </x:c>
      <x:c r="D986" s="5" t="inlineStr">
        <x:is>
          <x:t xml:space="preserve">Dudunsparce</x:t>
        </x:is>
      </x:c>
      <x:c r="E986" s="5" t="n">
        <x:v>9</x:v>
      </x:c>
      <x:c r="F986" s="5" t="inlineStr">
        <x:is>
          <x:t xml:space="preserve">노말</x:t>
        </x:is>
      </x:c>
      <x:c r="G986" s="5" t="inlineStr">
        <x:is>
          <x:t xml:space="preserve"/>
        </x:is>
      </x:c>
      <x:c r="H986" s="5" t="n">
        <x:v>3.6</x:v>
      </x:c>
      <x:c r="I986" s="5" t="n">
        <x:v>39.2</x:v>
      </x:c>
      <x:c r="J986" s="5" t="n">
        <x:v>520</x:v>
      </x:c>
      <x:c r="K986" s="5" t="n">
        <x:v>45</x:v>
      </x:c>
      <x:c r="L986" s="5" t="inlineStr">
        <x:is>
          <x:t xml:space="preserve">최종</x:t>
        </x:is>
      </x:c>
      <x:c r="M986" s="5" t="n"/>
      <x:c r="N986" s="5" t="inlineStr">
        <x:is>
          <x:t xml:space="preserve">특수</x:t>
        </x:is>
      </x:c>
      <x:c r="O986" s="5" t="inlineStr">
        <x:is>
          <x:t xml:space="preserve">예</x:t>
        </x:is>
      </x:c>
      <x:c r="P986" s="5" t="inlineStr">
        <x:is>
          <x:t xml:space="preserve">#cobblemon:is_overworld</x:t>
        </x:is>
      </x:c>
      <x:c r="Q986" s="5" t="inlineStr">
        <x:is>
          <x:t xml:space="preserve">uncommon</x:t>
        </x:is>
      </x:c>
      <x:c r="R986" s="5" t="inlineStr">
        <x:is>
          <x:t xml:space="preserve"/>
        </x:is>
      </x:c>
      <x:c r="S986" s="5" t="inlineStr">
        <x:is>
          <x:t xml:space="preserve"/>
        </x:is>
      </x:c>
      <x:c r="T986" s="5" t="inlineStr">
        <x:is>
          <x:t xml:space="preserve">육상</x:t>
        </x:is>
      </x:c>
      <x:c r="U986" s="5" t="inlineStr">
        <x:is>
          <x:t xml:space="preserve">개활지</x:t>
        </x:is>
      </x:c>
      <x:c r="V986" s="5" t="inlineStr">
        <x:is>
          <x:t xml:space="preserve">온대</x:t>
        </x:is>
      </x:c>
      <x:c r="W986" s="5" t="inlineStr">
        <x:is>
          <x:t xml:space="preserve">보통</x:t>
        </x:is>
      </x:c>
      <x:c r="X986" s="5" t="inlineStr">
        <x:is>
          <x:t xml:space="preserve">무관</x:t>
        </x:is>
      </x:c>
      <x:c r="Y986" s="5" t="inlineStr">
        <x:is>
          <x:t xml:space="preserve">무관</x:t>
        </x:is>
      </x:c>
      <x:c r="Z986" s="5" t="inlineStr">
        <x:is>
          <x:t xml:space="preserve">보통</x:t>
        </x:is>
      </x:c>
      <x:c r="AA986" s="5" t="inlineStr">
        <x:is>
          <x:t xml:space="preserve">없음</x:t>
        </x:is>
      </x:c>
      <x:c r="AB986" s="5" t="inlineStr">
        <x:is>
          <x:t xml:space="preserve"/>
        </x:is>
      </x:c>
      <x:c r="AC986" s="5" t="inlineStr">
        <x:is>
          <x:t xml:space="preserve">gen9</x:t>
        </x:is>
      </x:c>
      <x:c r="AD986" s="5" t="inlineStr">
        <x:is>
          <x:t xml:space="preserve">.tmp/cobblemon-1.7.3-source/common/src/main/resources/data/cobblemon/species/generation9/dudunsparce.json</x:t>
        </x:is>
      </x:c>
    </x:row>
    <x:row r="987" ht="22" customHeight="1">
      <x:c r="A987" s="5" t="n">
        <x:v>983</x:v>
      </x:c>
      <x:c r="B987" s="5" t="inlineStr">
        <x:is>
          <x:t xml:space="preserve">대도각참</x:t>
        </x:is>
      </x:c>
      <x:c r="C987" s="5" t="inlineStr">
        <x:is>
          <x:t xml:space="preserve">kingambit</x:t>
        </x:is>
      </x:c>
      <x:c r="D987" s="5" t="inlineStr">
        <x:is>
          <x:t xml:space="preserve">Kingambit</x:t>
        </x:is>
      </x:c>
      <x:c r="E987" s="5" t="n">
        <x:v>9</x:v>
      </x:c>
      <x:c r="F987" s="5" t="inlineStr">
        <x:is>
          <x:t xml:space="preserve">악</x:t>
        </x:is>
      </x:c>
      <x:c r="G987" s="5" t="inlineStr">
        <x:is>
          <x:t xml:space="preserve">강철</x:t>
        </x:is>
      </x:c>
      <x:c r="H987" s="5" t="n">
        <x:v>2</x:v>
      </x:c>
      <x:c r="I987" s="5" t="n">
        <x:v>120</x:v>
      </x:c>
      <x:c r="J987" s="5" t="n">
        <x:v>550</x:v>
      </x:c>
      <x:c r="K987" s="5" t="n">
        <x:v>25</x:v>
      </x:c>
      <x:c r="L987" s="5" t="inlineStr">
        <x:is>
          <x:t xml:space="preserve">최종</x:t>
        </x:is>
      </x:c>
      <x:c r="M987" s="5" t="n">
        <x:v>52</x:v>
      </x:c>
      <x:c r="N987" s="5" t="inlineStr">
        <x:is>
          <x:t xml:space="preserve">레벨·특수</x:t>
        </x:is>
      </x:c>
      <x:c r="O987" s="5" t="inlineStr">
        <x:is>
          <x:t xml:space="preserve">아니오</x:t>
        </x:is>
      </x:c>
      <x:c r="P987" s="5" t="inlineStr">
        <x:is>
          <x:t xml:space="preserve">minecraft:bamboo_jungle</x:t>
        </x:is>
      </x:c>
      <x:c r="Q987" s="5" t="inlineStr">
        <x:is>
          <x:t xml:space="preserve">ultra-rare</x:t>
        </x:is>
      </x:c>
      <x:c r="R987" s="5" t="inlineStr">
        <x:is>
          <x:t xml:space="preserve"/>
        </x:is>
      </x:c>
      <x:c r="S987" s="5" t="inlineStr">
        <x:is>
          <x:t xml:space="preserve"/>
        </x:is>
      </x:c>
      <x:c r="T987" s="5" t="inlineStr">
        <x:is>
          <x:t xml:space="preserve">육상</x:t>
        </x:is>
      </x:c>
      <x:c r="U987" s="5" t="inlineStr">
        <x:is>
          <x:t xml:space="preserve">수목</x:t>
        </x:is>
      </x:c>
      <x:c r="V987" s="5" t="inlineStr">
        <x:is>
          <x:t xml:space="preserve">온대</x:t>
        </x:is>
      </x:c>
      <x:c r="W987" s="5" t="inlineStr">
        <x:is>
          <x:t xml:space="preserve">다습</x:t>
        </x:is>
      </x:c>
      <x:c r="X987" s="5" t="inlineStr">
        <x:is>
          <x:t xml:space="preserve">무관</x:t>
        </x:is>
      </x:c>
      <x:c r="Y987" s="5" t="inlineStr">
        <x:is>
          <x:t xml:space="preserve">밤</x:t>
        </x:is>
      </x:c>
      <x:c r="Z987" s="5" t="inlineStr">
        <x:is>
          <x:t xml:space="preserve">희귀</x:t>
        </x:is>
      </x:c>
      <x:c r="AA987" s="5" t="inlineStr">
        <x:is>
          <x:t xml:space="preserve">없음</x:t>
        </x:is>
      </x:c>
      <x:c r="AB987" s="5" t="inlineStr">
        <x:is>
          <x:t xml:space="preserve">숲</x:t>
        </x:is>
      </x:c>
      <x:c r="AC987" s="5" t="inlineStr">
        <x:is>
          <x:t xml:space="preserve">gen9</x:t>
        </x:is>
      </x:c>
      <x:c r="AD987" s="5" t="inlineStr">
        <x:is>
          <x:t xml:space="preserve">.tmp/cobblemon-1.7.3-source/common/src/main/resources/data/cobblemon/species/generation9/kingambit.json</x:t>
        </x:is>
      </x:c>
    </x:row>
    <x:row r="988" ht="22" customHeight="1">
      <x:c r="A988" s="5" t="n">
        <x:v>984</x:v>
      </x:c>
      <x:c r="B988" s="5" t="inlineStr">
        <x:is>
          <x:t xml:space="preserve">위대한엄니</x:t>
        </x:is>
      </x:c>
      <x:c r="C988" s="5" t="inlineStr">
        <x:is>
          <x:t xml:space="preserve">greattusk</x:t>
        </x:is>
      </x:c>
      <x:c r="D988" s="5" t="inlineStr">
        <x:is>
          <x:t xml:space="preserve">Great Tusk</x:t>
        </x:is>
      </x:c>
      <x:c r="E988" s="5" t="n">
        <x:v>9</x:v>
      </x:c>
      <x:c r="F988" s="5" t="inlineStr">
        <x:is>
          <x:t xml:space="preserve">땅</x:t>
        </x:is>
      </x:c>
      <x:c r="G988" s="5" t="inlineStr">
        <x:is>
          <x:t xml:space="preserve">격투</x:t>
        </x:is>
      </x:c>
      <x:c r="H988" s="5" t="n">
        <x:v>2.2</x:v>
      </x:c>
      <x:c r="I988" s="5" t="n">
        <x:v>320</x:v>
      </x:c>
      <x:c r="J988" s="5" t="n">
        <x:v>570</x:v>
      </x:c>
      <x:c r="K988" s="5" t="n">
        <x:v>30</x:v>
      </x:c>
      <x:c r="L988" s="5" t="inlineStr">
        <x:is>
          <x:t xml:space="preserve">무진화</x:t>
        </x:is>
      </x:c>
      <x:c r="M988" s="5" t="n"/>
      <x:c r="N988" s="5" t="inlineStr">
        <x:is>
          <x:t xml:space="preserve">없음</x:t>
        </x:is>
      </x:c>
      <x:c r="O988" s="5" t="inlineStr">
        <x:is>
          <x:t xml:space="preserve">아니오</x:t>
        </x:is>
      </x:c>
      <x:c r="P988" s="5" t="inlineStr">
        <x:is>
          <x:t xml:space="preserve">#cobblemon:is_arid</x:t>
        </x:is>
      </x:c>
      <x:c r="Q988" s="5" t="inlineStr">
        <x:is>
          <x:t xml:space="preserve">rare</x:t>
        </x:is>
      </x:c>
      <x:c r="R988" s="5" t="inlineStr">
        <x:is>
          <x:t xml:space="preserve"/>
        </x:is>
      </x:c>
      <x:c r="S988" s="5" t="inlineStr">
        <x:is>
          <x:t xml:space="preserve"/>
        </x:is>
      </x:c>
      <x:c r="T988" s="5" t="inlineStr">
        <x:is>
          <x:t xml:space="preserve">육상</x:t>
        </x:is>
      </x:c>
      <x:c r="U988" s="5" t="inlineStr">
        <x:is>
          <x:t xml:space="preserve">건조</x:t>
        </x:is>
      </x:c>
      <x:c r="V988" s="5" t="inlineStr">
        <x:is>
          <x:t xml:space="preserve">고온</x:t>
        </x:is>
      </x:c>
      <x:c r="W988" s="5" t="inlineStr">
        <x:is>
          <x:t xml:space="preserve">건조</x:t>
        </x:is>
      </x:c>
      <x:c r="X988" s="5" t="inlineStr">
        <x:is>
          <x:t xml:space="preserve">맑음</x:t>
        </x:is>
      </x:c>
      <x:c r="Y988" s="5" t="inlineStr">
        <x:is>
          <x:t xml:space="preserve">무관</x:t>
        </x:is>
      </x:c>
      <x:c r="Z988" s="5" t="inlineStr">
        <x:is>
          <x:t xml:space="preserve">드묾</x:t>
        </x:is>
      </x:c>
      <x:c r="AA988" s="5" t="inlineStr">
        <x:is>
          <x:t xml:space="preserve">없음</x:t>
        </x:is>
      </x:c>
      <x:c r="AB988" s="5" t="inlineStr">
        <x:is>
          <x:t xml:space="preserve">건조지</x:t>
        </x:is>
      </x:c>
      <x:c r="AC988" s="5" t="inlineStr">
        <x:is>
          <x:t xml:space="preserve">gen9; paradox</x:t>
        </x:is>
      </x:c>
      <x:c r="AD988" s="5" t="inlineStr">
        <x:is>
          <x:t xml:space="preserve">.tmp/cobblemon-1.7.3-source/common/src/main/resources/data/cobblemon/species/generation9/greattusk.json</x:t>
        </x:is>
      </x:c>
    </x:row>
    <x:row r="989" ht="22" customHeight="1">
      <x:c r="A989" s="5" t="n">
        <x:v>985</x:v>
      </x:c>
      <x:c r="B989" s="5" t="inlineStr">
        <x:is>
          <x:t xml:space="preserve">우렁찬꼬리</x:t>
        </x:is>
      </x:c>
      <x:c r="C989" s="5" t="inlineStr">
        <x:is>
          <x:t xml:space="preserve">screamtail</x:t>
        </x:is>
      </x:c>
      <x:c r="D989" s="5" t="inlineStr">
        <x:is>
          <x:t xml:space="preserve">Scream Tail</x:t>
        </x:is>
      </x:c>
      <x:c r="E989" s="5" t="n">
        <x:v>9</x:v>
      </x:c>
      <x:c r="F989" s="5" t="inlineStr">
        <x:is>
          <x:t xml:space="preserve">페어리</x:t>
        </x:is>
      </x:c>
      <x:c r="G989" s="5" t="inlineStr">
        <x:is>
          <x:t xml:space="preserve">에스퍼</x:t>
        </x:is>
      </x:c>
      <x:c r="H989" s="5" t="n">
        <x:v>1.2</x:v>
      </x:c>
      <x:c r="I989" s="5" t="n">
        <x:v>8</x:v>
      </x:c>
      <x:c r="J989" s="5" t="n">
        <x:v>570</x:v>
      </x:c>
      <x:c r="K989" s="5" t="n">
        <x:v>50</x:v>
      </x:c>
      <x:c r="L989" s="5" t="inlineStr">
        <x:is>
          <x:t xml:space="preserve">무진화</x:t>
        </x:is>
      </x:c>
      <x:c r="M989" s="5" t="n"/>
      <x:c r="N989" s="5" t="inlineStr">
        <x:is>
          <x:t xml:space="preserve">없음</x:t>
        </x:is>
      </x:c>
      <x:c r="O989" s="5" t="inlineStr">
        <x:is>
          <x:t xml:space="preserve">아니오</x:t>
        </x:is>
      </x:c>
      <x:c r="P989" s="5" t="inlineStr">
        <x:is>
          <x:t xml:space="preserve">#cobblemon:is_floral</x:t>
        </x:is>
      </x:c>
      <x:c r="Q989" s="5" t="inlineStr">
        <x:is>
          <x:t xml:space="preserve">rare</x:t>
        </x:is>
      </x:c>
      <x:c r="R989" s="5" t="inlineStr">
        <x:is>
          <x:t xml:space="preserve"/>
        </x:is>
      </x:c>
      <x:c r="S989" s="5" t="inlineStr">
        <x:is>
          <x:t xml:space="preserve">비=True</x:t>
        </x:is>
      </x:c>
      <x:c r="T989" s="5" t="inlineStr">
        <x:is>
          <x:t xml:space="preserve">육상</x:t>
        </x:is>
      </x:c>
      <x:c r="U989" s="5" t="inlineStr">
        <x:is>
          <x:t xml:space="preserve">개활지</x:t>
        </x:is>
      </x:c>
      <x:c r="V989" s="5" t="inlineStr">
        <x:is>
          <x:t xml:space="preserve">온대</x:t>
        </x:is>
      </x:c>
      <x:c r="W989" s="5" t="inlineStr">
        <x:is>
          <x:t xml:space="preserve">보통</x:t>
        </x:is>
      </x:c>
      <x:c r="X989" s="5" t="inlineStr">
        <x:is>
          <x:t xml:space="preserve">무관</x:t>
        </x:is>
      </x:c>
      <x:c r="Y989" s="5" t="inlineStr">
        <x:is>
          <x:t xml:space="preserve">무관</x:t>
        </x:is>
      </x:c>
      <x:c r="Z989" s="5" t="inlineStr">
        <x:is>
          <x:t xml:space="preserve">드묾</x:t>
        </x:is>
      </x:c>
      <x:c r="AA989" s="5" t="inlineStr">
        <x:is>
          <x:t xml:space="preserve">없음</x:t>
        </x:is>
      </x:c>
      <x:c r="AB989" s="5" t="inlineStr">
        <x:is>
          <x:t xml:space="preserve"/>
        </x:is>
      </x:c>
      <x:c r="AC989" s="5" t="inlineStr">
        <x:is>
          <x:t xml:space="preserve">gen9; paradox</x:t>
        </x:is>
      </x:c>
      <x:c r="AD989" s="5" t="inlineStr">
        <x:is>
          <x:t xml:space="preserve">.tmp/cobblemon-1.7.3-source/common/src/main/resources/data/cobblemon/species/generation9/screamtail.json</x:t>
        </x:is>
      </x:c>
    </x:row>
    <x:row r="990" ht="22" customHeight="1">
      <x:c r="A990" s="5" t="n">
        <x:v>986</x:v>
      </x:c>
      <x:c r="B990" s="5" t="inlineStr">
        <x:is>
          <x:t xml:space="preserve">사나운버섯</x:t>
        </x:is>
      </x:c>
      <x:c r="C990" s="5" t="inlineStr">
        <x:is>
          <x:t xml:space="preserve">brutebonnet</x:t>
        </x:is>
      </x:c>
      <x:c r="D990" s="5" t="inlineStr">
        <x:is>
          <x:t xml:space="preserve">Brute Bonnet</x:t>
        </x:is>
      </x:c>
      <x:c r="E990" s="5" t="n">
        <x:v>9</x:v>
      </x:c>
      <x:c r="F990" s="5" t="inlineStr">
        <x:is>
          <x:t xml:space="preserve">풀</x:t>
        </x:is>
      </x:c>
      <x:c r="G990" s="5" t="inlineStr">
        <x:is>
          <x:t xml:space="preserve">악</x:t>
        </x:is>
      </x:c>
      <x:c r="H990" s="5" t="n">
        <x:v>1.2</x:v>
      </x:c>
      <x:c r="I990" s="5" t="n">
        <x:v>21</x:v>
      </x:c>
      <x:c r="J990" s="5" t="n">
        <x:v>570</x:v>
      </x:c>
      <x:c r="K990" s="5" t="n">
        <x:v>50</x:v>
      </x:c>
      <x:c r="L990" s="5" t="inlineStr">
        <x:is>
          <x:t xml:space="preserve">무진화</x:t>
        </x:is>
      </x:c>
      <x:c r="M990" s="5" t="n"/>
      <x:c r="N990" s="5" t="inlineStr">
        <x:is>
          <x:t xml:space="preserve">없음</x:t>
        </x:is>
      </x:c>
      <x:c r="O990" s="5" t="inlineStr">
        <x:is>
          <x:t xml:space="preserve">아니오</x:t>
        </x:is>
      </x:c>
      <x:c r="P990" s="5" t="inlineStr">
        <x:is>
          <x:t xml:space="preserve">#cobblemon:is_jungle</x:t>
        </x:is>
      </x:c>
      <x:c r="Q990" s="5" t="inlineStr">
        <x:is>
          <x:t xml:space="preserve">rare</x:t>
        </x:is>
      </x:c>
      <x:c r="R990" s="5" t="inlineStr">
        <x:is>
          <x:t xml:space="preserve"/>
        </x:is>
      </x:c>
      <x:c r="S990" s="5" t="inlineStr">
        <x:is>
          <x:t xml:space="preserve"/>
        </x:is>
      </x:c>
      <x:c r="T990" s="5" t="inlineStr">
        <x:is>
          <x:t xml:space="preserve">육상</x:t>
        </x:is>
      </x:c>
      <x:c r="U990" s="5" t="inlineStr">
        <x:is>
          <x:t xml:space="preserve">수목</x:t>
        </x:is>
      </x:c>
      <x:c r="V990" s="5" t="inlineStr">
        <x:is>
          <x:t xml:space="preserve">온대</x:t>
        </x:is>
      </x:c>
      <x:c r="W990" s="5" t="inlineStr">
        <x:is>
          <x:t xml:space="preserve">다습</x:t>
        </x:is>
      </x:c>
      <x:c r="X990" s="5" t="inlineStr">
        <x:is>
          <x:t xml:space="preserve">무관</x:t>
        </x:is>
      </x:c>
      <x:c r="Y990" s="5" t="inlineStr">
        <x:is>
          <x:t xml:space="preserve">밤</x:t>
        </x:is>
      </x:c>
      <x:c r="Z990" s="5" t="inlineStr">
        <x:is>
          <x:t xml:space="preserve">드묾</x:t>
        </x:is>
      </x:c>
      <x:c r="AA990" s="5" t="inlineStr">
        <x:is>
          <x:t xml:space="preserve">없음</x:t>
        </x:is>
      </x:c>
      <x:c r="AB990" s="5" t="inlineStr">
        <x:is>
          <x:t xml:space="preserve">숲</x:t>
        </x:is>
      </x:c>
      <x:c r="AC990" s="5" t="inlineStr">
        <x:is>
          <x:t xml:space="preserve">gen9; paradox</x:t>
        </x:is>
      </x:c>
      <x:c r="AD990" s="5" t="inlineStr">
        <x:is>
          <x:t xml:space="preserve">.tmp/cobblemon-1.7.3-source/common/src/main/resources/data/cobblemon/species/generation9/brutebonnet.json</x:t>
        </x:is>
      </x:c>
    </x:row>
    <x:row r="991" ht="22" customHeight="1">
      <x:c r="A991" s="5" t="n">
        <x:v>987</x:v>
      </x:c>
      <x:c r="B991" s="5" t="inlineStr">
        <x:is>
          <x:t xml:space="preserve">날개치는머리</x:t>
        </x:is>
      </x:c>
      <x:c r="C991" s="5" t="inlineStr">
        <x:is>
          <x:t xml:space="preserve">fluttermane</x:t>
        </x:is>
      </x:c>
      <x:c r="D991" s="5" t="inlineStr">
        <x:is>
          <x:t xml:space="preserve">Flutter Mane</x:t>
        </x:is>
      </x:c>
      <x:c r="E991" s="5" t="n">
        <x:v>9</x:v>
      </x:c>
      <x:c r="F991" s="5" t="inlineStr">
        <x:is>
          <x:t xml:space="preserve">고스트</x:t>
        </x:is>
      </x:c>
      <x:c r="G991" s="5" t="inlineStr">
        <x:is>
          <x:t xml:space="preserve">페어리</x:t>
        </x:is>
      </x:c>
      <x:c r="H991" s="5" t="n">
        <x:v>1.4</x:v>
      </x:c>
      <x:c r="I991" s="5" t="n">
        <x:v>4</x:v>
      </x:c>
      <x:c r="J991" s="5" t="n">
        <x:v>570</x:v>
      </x:c>
      <x:c r="K991" s="5" t="n">
        <x:v>30</x:v>
      </x:c>
      <x:c r="L991" s="5" t="inlineStr">
        <x:is>
          <x:t xml:space="preserve">무진화</x:t>
        </x:is>
      </x:c>
      <x:c r="M991" s="5" t="n"/>
      <x:c r="N991" s="5" t="inlineStr">
        <x:is>
          <x:t xml:space="preserve">없음</x:t>
        </x:is>
      </x:c>
      <x:c r="O991" s="5" t="inlineStr">
        <x:is>
          <x:t xml:space="preserve">아니오</x:t>
        </x:is>
      </x:c>
      <x:c r="P991" s="5" t="inlineStr">
        <x:is>
          <x:t xml:space="preserve">#cobblemon:is_spooky; minecraft:deep_dark</x:t>
        </x:is>
      </x:c>
      <x:c r="Q991" s="5" t="inlineStr">
        <x:is>
          <x:t xml:space="preserve">rare</x:t>
        </x:is>
      </x:c>
      <x:c r="R991" s="5" t="inlineStr">
        <x:is>
          <x:t xml:space="preserve">night</x:t>
        </x:is>
      </x:c>
      <x:c r="S991" s="5" t="inlineStr">
        <x:is>
          <x:t xml:space="preserve"/>
        </x:is>
      </x:c>
      <x:c r="T991" s="5" t="inlineStr">
        <x:is>
          <x:t xml:space="preserve">비행</x:t>
        </x:is>
      </x:c>
      <x:c r="U991" s="5" t="inlineStr">
        <x:is>
          <x:t xml:space="preserve">특수</x:t>
        </x:is>
      </x:c>
      <x:c r="V991" s="5" t="inlineStr">
        <x:is>
          <x:t xml:space="preserve">온대</x:t>
        </x:is>
      </x:c>
      <x:c r="W991" s="5" t="inlineStr">
        <x:is>
          <x:t xml:space="preserve">보통</x:t>
        </x:is>
      </x:c>
      <x:c r="X991" s="5" t="inlineStr">
        <x:is>
          <x:t xml:space="preserve">안개</x:t>
        </x:is>
      </x:c>
      <x:c r="Y991" s="5" t="inlineStr">
        <x:is>
          <x:t xml:space="preserve">밤</x:t>
        </x:is>
      </x:c>
      <x:c r="Z991" s="5" t="inlineStr">
        <x:is>
          <x:t xml:space="preserve">드묾</x:t>
        </x:is>
      </x:c>
      <x:c r="AA991" s="5" t="inlineStr">
        <x:is>
          <x:t xml:space="preserve">영체</x:t>
        </x:is>
      </x:c>
      <x:c r="AB991" s="5" t="inlineStr">
        <x:is>
          <x:t xml:space="preserve">특수</x:t>
        </x:is>
      </x:c>
      <x:c r="AC991" s="5" t="inlineStr">
        <x:is>
          <x:t xml:space="preserve">gen9; paradox</x:t>
        </x:is>
      </x:c>
      <x:c r="AD991" s="5" t="inlineStr">
        <x:is>
          <x:t xml:space="preserve">.tmp/cobblemon-1.7.3-source/common/src/main/resources/data/cobblemon/species/generation9/fluttermane.json</x:t>
        </x:is>
      </x:c>
    </x:row>
    <x:row r="992" ht="22" customHeight="1">
      <x:c r="A992" s="5" t="n">
        <x:v>988</x:v>
      </x:c>
      <x:c r="B992" s="5" t="inlineStr">
        <x:is>
          <x:t xml:space="preserve">땅을기는날개</x:t>
        </x:is>
      </x:c>
      <x:c r="C992" s="5" t="inlineStr">
        <x:is>
          <x:t xml:space="preserve">slitherwing</x:t>
        </x:is>
      </x:c>
      <x:c r="D992" s="5" t="inlineStr">
        <x:is>
          <x:t xml:space="preserve">Slither Wing</x:t>
        </x:is>
      </x:c>
      <x:c r="E992" s="5" t="n">
        <x:v>9</x:v>
      </x:c>
      <x:c r="F992" s="5" t="inlineStr">
        <x:is>
          <x:t xml:space="preserve">벌레</x:t>
        </x:is>
      </x:c>
      <x:c r="G992" s="5" t="inlineStr">
        <x:is>
          <x:t xml:space="preserve">격투</x:t>
        </x:is>
      </x:c>
      <x:c r="H992" s="5" t="n">
        <x:v>3.2</x:v>
      </x:c>
      <x:c r="I992" s="5" t="n">
        <x:v>92</x:v>
      </x:c>
      <x:c r="J992" s="5" t="n">
        <x:v>570</x:v>
      </x:c>
      <x:c r="K992" s="5" t="n">
        <x:v>30</x:v>
      </x:c>
      <x:c r="L992" s="5" t="inlineStr">
        <x:is>
          <x:t xml:space="preserve">무진화</x:t>
        </x:is>
      </x:c>
      <x:c r="M992" s="5" t="n"/>
      <x:c r="N992" s="5" t="inlineStr">
        <x:is>
          <x:t xml:space="preserve">없음</x:t>
        </x:is>
      </x:c>
      <x:c r="O992" s="5" t="inlineStr">
        <x:is>
          <x:t xml:space="preserve">아니오</x:t>
        </x:is>
      </x:c>
      <x:c r="P992" s="5" t="inlineStr">
        <x:is>
          <x:t xml:space="preserve">#cobblemon:is_jungle; minecraft:crimson_forest</x:t>
        </x:is>
      </x:c>
      <x:c r="Q992" s="5" t="inlineStr">
        <x:is>
          <x:t xml:space="preserve">rare; ultra-rare</x:t>
        </x:is>
      </x:c>
      <x:c r="R992" s="5" t="inlineStr">
        <x:is>
          <x:t xml:space="preserve"/>
        </x:is>
      </x:c>
      <x:c r="S992" s="5" t="inlineStr">
        <x:is>
          <x:t xml:space="preserve"/>
        </x:is>
      </x:c>
      <x:c r="T992" s="5" t="inlineStr">
        <x:is>
          <x:t xml:space="preserve">육상</x:t>
        </x:is>
      </x:c>
      <x:c r="U992" s="5" t="inlineStr">
        <x:is>
          <x:t xml:space="preserve">수목</x:t>
        </x:is>
      </x:c>
      <x:c r="V992" s="5" t="inlineStr">
        <x:is>
          <x:t xml:space="preserve">온대</x:t>
        </x:is>
      </x:c>
      <x:c r="W992" s="5" t="inlineStr">
        <x:is>
          <x:t xml:space="preserve">다습</x:t>
        </x:is>
      </x:c>
      <x:c r="X992" s="5" t="inlineStr">
        <x:is>
          <x:t xml:space="preserve">무관</x:t>
        </x:is>
      </x:c>
      <x:c r="Y992" s="5" t="inlineStr">
        <x:is>
          <x:t xml:space="preserve">무관</x:t>
        </x:is>
      </x:c>
      <x:c r="Z992" s="5" t="inlineStr">
        <x:is>
          <x:t xml:space="preserve">희귀</x:t>
        </x:is>
      </x:c>
      <x:c r="AA992" s="5" t="inlineStr">
        <x:is>
          <x:t xml:space="preserve">없음</x:t>
        </x:is>
      </x:c>
      <x:c r="AB992" s="5" t="inlineStr">
        <x:is>
          <x:t xml:space="preserve">숲</x:t>
        </x:is>
      </x:c>
      <x:c r="AC992" s="5" t="inlineStr">
        <x:is>
          <x:t xml:space="preserve">gen9; paradox</x:t>
        </x:is>
      </x:c>
      <x:c r="AD992" s="5" t="inlineStr">
        <x:is>
          <x:t xml:space="preserve">.tmp/cobblemon-1.7.3-source/common/src/main/resources/data/cobblemon/species/generation9/slitherwing.json</x:t>
        </x:is>
      </x:c>
    </x:row>
    <x:row r="993" ht="22" customHeight="1">
      <x:c r="A993" s="5" t="n">
        <x:v>989</x:v>
      </x:c>
      <x:c r="B993" s="5" t="inlineStr">
        <x:is>
          <x:t xml:space="preserve">모래털가죽</x:t>
        </x:is>
      </x:c>
      <x:c r="C993" s="5" t="inlineStr">
        <x:is>
          <x:t xml:space="preserve">sandyshocks</x:t>
        </x:is>
      </x:c>
      <x:c r="D993" s="5" t="inlineStr">
        <x:is>
          <x:t xml:space="preserve">Sandy Shocks</x:t>
        </x:is>
      </x:c>
      <x:c r="E993" s="5" t="n">
        <x:v>9</x:v>
      </x:c>
      <x:c r="F993" s="5" t="inlineStr">
        <x:is>
          <x:t xml:space="preserve">전기</x:t>
        </x:is>
      </x:c>
      <x:c r="G993" s="5" t="inlineStr">
        <x:is>
          <x:t xml:space="preserve">땅</x:t>
        </x:is>
      </x:c>
      <x:c r="H993" s="5" t="n">
        <x:v>2.3</x:v>
      </x:c>
      <x:c r="I993" s="5" t="n">
        <x:v>60</x:v>
      </x:c>
      <x:c r="J993" s="5" t="n">
        <x:v>570</x:v>
      </x:c>
      <x:c r="K993" s="5" t="n">
        <x:v>30</x:v>
      </x:c>
      <x:c r="L993" s="5" t="inlineStr">
        <x:is>
          <x:t xml:space="preserve">무진화</x:t>
        </x:is>
      </x:c>
      <x:c r="M993" s="5" t="n"/>
      <x:c r="N993" s="5" t="inlineStr">
        <x:is>
          <x:t xml:space="preserve">없음</x:t>
        </x:is>
      </x:c>
      <x:c r="O993" s="5" t="inlineStr">
        <x:is>
          <x:t xml:space="preserve">아니오</x:t>
        </x:is>
      </x:c>
      <x:c r="P993" s="5" t="inlineStr">
        <x:is>
          <x:t xml:space="preserve">#cobblemon:is_arid</x:t>
        </x:is>
      </x:c>
      <x:c r="Q993" s="5" t="inlineStr">
        <x:is>
          <x:t xml:space="preserve">rare</x:t>
        </x:is>
      </x:c>
      <x:c r="R993" s="5" t="inlineStr">
        <x:is>
          <x:t xml:space="preserve"/>
        </x:is>
      </x:c>
      <x:c r="S993" s="5" t="inlineStr">
        <x:is>
          <x:t xml:space="preserve"/>
        </x:is>
      </x:c>
      <x:c r="T993" s="5" t="inlineStr">
        <x:is>
          <x:t xml:space="preserve">육상</x:t>
        </x:is>
      </x:c>
      <x:c r="U993" s="5" t="inlineStr">
        <x:is>
          <x:t xml:space="preserve">건조</x:t>
        </x:is>
      </x:c>
      <x:c r="V993" s="5" t="inlineStr">
        <x:is>
          <x:t xml:space="preserve">고온</x:t>
        </x:is>
      </x:c>
      <x:c r="W993" s="5" t="inlineStr">
        <x:is>
          <x:t xml:space="preserve">건조</x:t>
        </x:is>
      </x:c>
      <x:c r="X993" s="5" t="inlineStr">
        <x:is>
          <x:t xml:space="preserve">맑음</x:t>
        </x:is>
      </x:c>
      <x:c r="Y993" s="5" t="inlineStr">
        <x:is>
          <x:t xml:space="preserve">무관</x:t>
        </x:is>
      </x:c>
      <x:c r="Z993" s="5" t="inlineStr">
        <x:is>
          <x:t xml:space="preserve">드묾</x:t>
        </x:is>
      </x:c>
      <x:c r="AA993" s="5" t="inlineStr">
        <x:is>
          <x:t xml:space="preserve">없음</x:t>
        </x:is>
      </x:c>
      <x:c r="AB993" s="5" t="inlineStr">
        <x:is>
          <x:t xml:space="preserve">건조지</x:t>
        </x:is>
      </x:c>
      <x:c r="AC993" s="5" t="inlineStr">
        <x:is>
          <x:t xml:space="preserve">gen9; paradox</x:t>
        </x:is>
      </x:c>
      <x:c r="AD993" s="5" t="inlineStr">
        <x:is>
          <x:t xml:space="preserve">.tmp/cobblemon-1.7.3-source/common/src/main/resources/data/cobblemon/species/generation9/sandyshocks.json</x:t>
        </x:is>
      </x:c>
    </x:row>
    <x:row r="994" ht="22" customHeight="1">
      <x:c r="A994" s="5" t="n">
        <x:v>990</x:v>
      </x:c>
      <x:c r="B994" s="5" t="inlineStr">
        <x:is>
          <x:t xml:space="preserve">무쇠바퀴</x:t>
        </x:is>
      </x:c>
      <x:c r="C994" s="5" t="inlineStr">
        <x:is>
          <x:t xml:space="preserve">irontreads</x:t>
        </x:is>
      </x:c>
      <x:c r="D994" s="5" t="inlineStr">
        <x:is>
          <x:t xml:space="preserve">Iron Treads</x:t>
        </x:is>
      </x:c>
      <x:c r="E994" s="5" t="n">
        <x:v>9</x:v>
      </x:c>
      <x:c r="F994" s="5" t="inlineStr">
        <x:is>
          <x:t xml:space="preserve">땅</x:t>
        </x:is>
      </x:c>
      <x:c r="G994" s="5" t="inlineStr">
        <x:is>
          <x:t xml:space="preserve">강철</x:t>
        </x:is>
      </x:c>
      <x:c r="H994" s="5" t="n">
        <x:v>0.9</x:v>
      </x:c>
      <x:c r="I994" s="5" t="n">
        <x:v>240</x:v>
      </x:c>
      <x:c r="J994" s="5" t="n">
        <x:v>570</x:v>
      </x:c>
      <x:c r="K994" s="5" t="n">
        <x:v>30</x:v>
      </x:c>
      <x:c r="L994" s="5" t="inlineStr">
        <x:is>
          <x:t xml:space="preserve">무진화</x:t>
        </x:is>
      </x:c>
      <x:c r="M994" s="5" t="n"/>
      <x:c r="N994" s="5" t="inlineStr">
        <x:is>
          <x:t xml:space="preserve">없음</x:t>
        </x:is>
      </x:c>
      <x:c r="O994" s="5" t="inlineStr">
        <x:is>
          <x:t xml:space="preserve">아니오</x:t>
        </x:is>
      </x:c>
      <x:c r="P994" s="5" t="inlineStr">
        <x:is>
          <x:t xml:space="preserve">#cobblemon:is_arid; #cobblemon:is_mountain</x:t>
        </x:is>
      </x:c>
      <x:c r="Q994" s="5" t="inlineStr">
        <x:is>
          <x:t xml:space="preserve">rare</x:t>
        </x:is>
      </x:c>
      <x:c r="R994" s="5" t="inlineStr">
        <x:is>
          <x:t xml:space="preserve"/>
        </x:is>
      </x:c>
      <x:c r="S994" s="5" t="inlineStr">
        <x:is>
          <x:t xml:space="preserve"/>
        </x:is>
      </x:c>
      <x:c r="T994" s="5" t="inlineStr">
        <x:is>
          <x:t xml:space="preserve">육상</x:t>
        </x:is>
      </x:c>
      <x:c r="U994" s="5" t="inlineStr">
        <x:is>
          <x:t xml:space="preserve">암석</x:t>
        </x:is>
      </x:c>
      <x:c r="V994" s="5" t="inlineStr">
        <x:is>
          <x:t xml:space="preserve">온대</x:t>
        </x:is>
      </x:c>
      <x:c r="W994" s="5" t="inlineStr">
        <x:is>
          <x:t xml:space="preserve">보통</x:t>
        </x:is>
      </x:c>
      <x:c r="X994" s="5" t="inlineStr">
        <x:is>
          <x:t xml:space="preserve">무관</x:t>
        </x:is>
      </x:c>
      <x:c r="Y994" s="5" t="inlineStr">
        <x:is>
          <x:t xml:space="preserve">무관</x:t>
        </x:is>
      </x:c>
      <x:c r="Z994" s="5" t="inlineStr">
        <x:is>
          <x:t xml:space="preserve">드묾</x:t>
        </x:is>
      </x:c>
      <x:c r="AA994" s="5" t="inlineStr">
        <x:is>
          <x:t xml:space="preserve">없음</x:t>
        </x:is>
      </x:c>
      <x:c r="AB994" s="5" t="inlineStr">
        <x:is>
          <x:t xml:space="preserve">산악</x:t>
        </x:is>
      </x:c>
      <x:c r="AC994" s="5" t="inlineStr">
        <x:is>
          <x:t xml:space="preserve">gen9; paradox</x:t>
        </x:is>
      </x:c>
      <x:c r="AD994" s="5" t="inlineStr">
        <x:is>
          <x:t xml:space="preserve">.tmp/cobblemon-1.7.3-source/common/src/main/resources/data/cobblemon/species/generation9/irontreads.json</x:t>
        </x:is>
      </x:c>
    </x:row>
    <x:row r="995" ht="22" customHeight="1">
      <x:c r="A995" s="5" t="n">
        <x:v>991</x:v>
      </x:c>
      <x:c r="B995" s="5" t="inlineStr">
        <x:is>
          <x:t xml:space="preserve">무쇠보따리</x:t>
        </x:is>
      </x:c>
      <x:c r="C995" s="5" t="inlineStr">
        <x:is>
          <x:t xml:space="preserve">ironbundle</x:t>
        </x:is>
      </x:c>
      <x:c r="D995" s="5" t="inlineStr">
        <x:is>
          <x:t xml:space="preserve">Iron Bundle</x:t>
        </x:is>
      </x:c>
      <x:c r="E995" s="5" t="n">
        <x:v>9</x:v>
      </x:c>
      <x:c r="F995" s="5" t="inlineStr">
        <x:is>
          <x:t xml:space="preserve">얼음</x:t>
        </x:is>
      </x:c>
      <x:c r="G995" s="5" t="inlineStr">
        <x:is>
          <x:t xml:space="preserve">물</x:t>
        </x:is>
      </x:c>
      <x:c r="H995" s="5" t="n">
        <x:v>0.6</x:v>
      </x:c>
      <x:c r="I995" s="5" t="n">
        <x:v>11</x:v>
      </x:c>
      <x:c r="J995" s="5" t="n">
        <x:v>570</x:v>
      </x:c>
      <x:c r="K995" s="5" t="n">
        <x:v>50</x:v>
      </x:c>
      <x:c r="L995" s="5" t="inlineStr">
        <x:is>
          <x:t xml:space="preserve">무진화</x:t>
        </x:is>
      </x:c>
      <x:c r="M995" s="5" t="n"/>
      <x:c r="N995" s="5" t="inlineStr">
        <x:is>
          <x:t xml:space="preserve">없음</x:t>
        </x:is>
      </x:c>
      <x:c r="O995" s="5" t="inlineStr">
        <x:is>
          <x:t xml:space="preserve">아니오</x:t>
        </x:is>
      </x:c>
      <x:c r="P995" s="5" t="inlineStr">
        <x:is>
          <x:t xml:space="preserve">#cobblemon:is_freezing; #cobblemon:is_glacial; #cobblemon:is_tundra</x:t>
        </x:is>
      </x:c>
      <x:c r="Q995" s="5" t="inlineStr">
        <x:is>
          <x:t xml:space="preserve">rare</x:t>
        </x:is>
      </x:c>
      <x:c r="R995" s="5" t="inlineStr">
        <x:is>
          <x:t xml:space="preserve"/>
        </x:is>
      </x:c>
      <x:c r="S995" s="5" t="inlineStr">
        <x:is>
          <x:t xml:space="preserve"/>
        </x:is>
      </x:c>
      <x:c r="T995" s="5" t="inlineStr">
        <x:is>
          <x:t xml:space="preserve">수륙</x:t>
        </x:is>
      </x:c>
      <x:c r="U995" s="5" t="inlineStr">
        <x:is>
          <x:t xml:space="preserve">설원</x:t>
        </x:is>
      </x:c>
      <x:c r="V995" s="5" t="inlineStr">
        <x:is>
          <x:t xml:space="preserve">한랭</x:t>
        </x:is>
      </x:c>
      <x:c r="W995" s="5" t="inlineStr">
        <x:is>
          <x:t xml:space="preserve">보통</x:t>
        </x:is>
      </x:c>
      <x:c r="X995" s="5" t="inlineStr">
        <x:is>
          <x:t xml:space="preserve">무관</x:t>
        </x:is>
      </x:c>
      <x:c r="Y995" s="5" t="inlineStr">
        <x:is>
          <x:t xml:space="preserve">무관</x:t>
        </x:is>
      </x:c>
      <x:c r="Z995" s="5" t="inlineStr">
        <x:is>
          <x:t xml:space="preserve">드묾</x:t>
        </x:is>
      </x:c>
      <x:c r="AA995" s="5" t="inlineStr">
        <x:is>
          <x:t xml:space="preserve">없음</x:t>
        </x:is>
      </x:c>
      <x:c r="AB995" s="5" t="inlineStr">
        <x:is>
          <x:t xml:space="preserve"/>
        </x:is>
      </x:c>
      <x:c r="AC995" s="5" t="inlineStr">
        <x:is>
          <x:t xml:space="preserve">gen9; paradox</x:t>
        </x:is>
      </x:c>
      <x:c r="AD995" s="5" t="inlineStr">
        <x:is>
          <x:t xml:space="preserve">.tmp/cobblemon-1.7.3-source/common/src/main/resources/data/cobblemon/species/generation9/ironbundle.json</x:t>
        </x:is>
      </x:c>
    </x:row>
    <x:row r="996" ht="22" customHeight="1">
      <x:c r="A996" s="5" t="n">
        <x:v>992</x:v>
      </x:c>
      <x:c r="B996" s="5" t="inlineStr">
        <x:is>
          <x:t xml:space="preserve">무쇠손</x:t>
        </x:is>
      </x:c>
      <x:c r="C996" s="5" t="inlineStr">
        <x:is>
          <x:t xml:space="preserve">ironhands</x:t>
        </x:is>
      </x:c>
      <x:c r="D996" s="5" t="inlineStr">
        <x:is>
          <x:t xml:space="preserve">Iron Hands</x:t>
        </x:is>
      </x:c>
      <x:c r="E996" s="5" t="n">
        <x:v>9</x:v>
      </x:c>
      <x:c r="F996" s="5" t="inlineStr">
        <x:is>
          <x:t xml:space="preserve">격투</x:t>
        </x:is>
      </x:c>
      <x:c r="G996" s="5" t="inlineStr">
        <x:is>
          <x:t xml:space="preserve">전기</x:t>
        </x:is>
      </x:c>
      <x:c r="H996" s="5" t="n">
        <x:v>1.8</x:v>
      </x:c>
      <x:c r="I996" s="5" t="n">
        <x:v>380.7</x:v>
      </x:c>
      <x:c r="J996" s="5" t="n">
        <x:v>570</x:v>
      </x:c>
      <x:c r="K996" s="5" t="n">
        <x:v>50</x:v>
      </x:c>
      <x:c r="L996" s="5" t="inlineStr">
        <x:is>
          <x:t xml:space="preserve">무진화</x:t>
        </x:is>
      </x:c>
      <x:c r="M996" s="5" t="n"/>
      <x:c r="N996" s="5" t="inlineStr">
        <x:is>
          <x:t xml:space="preserve">없음</x:t>
        </x:is>
      </x:c>
      <x:c r="O996" s="5" t="inlineStr">
        <x:is>
          <x:t xml:space="preserve">아니오</x:t>
        </x:is>
      </x:c>
      <x:c r="P996" s="5" t="inlineStr">
        <x:is>
          <x:t xml:space="preserve">minecraft:desert</x:t>
        </x:is>
      </x:c>
      <x:c r="Q996" s="5" t="inlineStr">
        <x:is>
          <x:t xml:space="preserve">rare</x:t>
        </x:is>
      </x:c>
      <x:c r="R996" s="5" t="inlineStr">
        <x:is>
          <x:t xml:space="preserve">night</x:t>
        </x:is>
      </x:c>
      <x:c r="S996" s="5" t="inlineStr">
        <x:is>
          <x:t xml:space="preserve"/>
        </x:is>
      </x:c>
      <x:c r="T996" s="5" t="inlineStr">
        <x:is>
          <x:t xml:space="preserve">육상</x:t>
        </x:is>
      </x:c>
      <x:c r="U996" s="5" t="inlineStr">
        <x:is>
          <x:t xml:space="preserve">건조</x:t>
        </x:is>
      </x:c>
      <x:c r="V996" s="5" t="inlineStr">
        <x:is>
          <x:t xml:space="preserve">고온</x:t>
        </x:is>
      </x:c>
      <x:c r="W996" s="5" t="inlineStr">
        <x:is>
          <x:t xml:space="preserve">건조</x:t>
        </x:is>
      </x:c>
      <x:c r="X996" s="5" t="inlineStr">
        <x:is>
          <x:t xml:space="preserve">맑음</x:t>
        </x:is>
      </x:c>
      <x:c r="Y996" s="5" t="inlineStr">
        <x:is>
          <x:t xml:space="preserve">밤</x:t>
        </x:is>
      </x:c>
      <x:c r="Z996" s="5" t="inlineStr">
        <x:is>
          <x:t xml:space="preserve">드묾</x:t>
        </x:is>
      </x:c>
      <x:c r="AA996" s="5" t="inlineStr">
        <x:is>
          <x:t xml:space="preserve">없음</x:t>
        </x:is>
      </x:c>
      <x:c r="AB996" s="5" t="inlineStr">
        <x:is>
          <x:t xml:space="preserve">건조지</x:t>
        </x:is>
      </x:c>
      <x:c r="AC996" s="5" t="inlineStr">
        <x:is>
          <x:t xml:space="preserve">gen9; paradox</x:t>
        </x:is>
      </x:c>
      <x:c r="AD996" s="5" t="inlineStr">
        <x:is>
          <x:t xml:space="preserve">.tmp/cobblemon-1.7.3-source/common/src/main/resources/data/cobblemon/species/generation9/ironhands.json</x:t>
        </x:is>
      </x:c>
    </x:row>
    <x:row r="997" ht="22" customHeight="1">
      <x:c r="A997" s="5" t="n">
        <x:v>993</x:v>
      </x:c>
      <x:c r="B997" s="5" t="inlineStr">
        <x:is>
          <x:t xml:space="preserve">무쇠머리</x:t>
        </x:is>
      </x:c>
      <x:c r="C997" s="5" t="inlineStr">
        <x:is>
          <x:t xml:space="preserve">ironjugulis</x:t>
        </x:is>
      </x:c>
      <x:c r="D997" s="5" t="inlineStr">
        <x:is>
          <x:t xml:space="preserve">Iron Jugulis</x:t>
        </x:is>
      </x:c>
      <x:c r="E997" s="5" t="n">
        <x:v>9</x:v>
      </x:c>
      <x:c r="F997" s="5" t="inlineStr">
        <x:is>
          <x:t xml:space="preserve">악</x:t>
        </x:is>
      </x:c>
      <x:c r="G997" s="5" t="inlineStr">
        <x:is>
          <x:t xml:space="preserve">비행</x:t>
        </x:is>
      </x:c>
      <x:c r="H997" s="5" t="n">
        <x:v>1.3</x:v>
      </x:c>
      <x:c r="I997" s="5" t="n">
        <x:v>111</x:v>
      </x:c>
      <x:c r="J997" s="5" t="n">
        <x:v>570</x:v>
      </x:c>
      <x:c r="K997" s="5" t="n">
        <x:v>30</x:v>
      </x:c>
      <x:c r="L997" s="5" t="inlineStr">
        <x:is>
          <x:t xml:space="preserve">무진화</x:t>
        </x:is>
      </x:c>
      <x:c r="M997" s="5" t="n"/>
      <x:c r="N997" s="5" t="inlineStr">
        <x:is>
          <x:t xml:space="preserve">없음</x:t>
        </x:is>
      </x:c>
      <x:c r="O997" s="5" t="inlineStr">
        <x:is>
          <x:t xml:space="preserve">아니오</x:t>
        </x:is>
      </x:c>
      <x:c r="P997" s="5" t="inlineStr">
        <x:is>
          <x:t xml:space="preserve">#cobblemon:is_mountain</x:t>
        </x:is>
      </x:c>
      <x:c r="Q997" s="5" t="inlineStr">
        <x:is>
          <x:t xml:space="preserve">rare</x:t>
        </x:is>
      </x:c>
      <x:c r="R997" s="5" t="inlineStr">
        <x:is>
          <x:t xml:space="preserve">night</x:t>
        </x:is>
      </x:c>
      <x:c r="S997" s="5" t="inlineStr">
        <x:is>
          <x:t xml:space="preserve"/>
        </x:is>
      </x:c>
      <x:c r="T997" s="5" t="inlineStr">
        <x:is>
          <x:t xml:space="preserve">비행</x:t>
        </x:is>
      </x:c>
      <x:c r="U997" s="5" t="inlineStr">
        <x:is>
          <x:t xml:space="preserve">암석</x:t>
        </x:is>
      </x:c>
      <x:c r="V997" s="5" t="inlineStr">
        <x:is>
          <x:t xml:space="preserve">온대</x:t>
        </x:is>
      </x:c>
      <x:c r="W997" s="5" t="inlineStr">
        <x:is>
          <x:t xml:space="preserve">보통</x:t>
        </x:is>
      </x:c>
      <x:c r="X997" s="5" t="inlineStr">
        <x:is>
          <x:t xml:space="preserve">무관</x:t>
        </x:is>
      </x:c>
      <x:c r="Y997" s="5" t="inlineStr">
        <x:is>
          <x:t xml:space="preserve">밤</x:t>
        </x:is>
      </x:c>
      <x:c r="Z997" s="5" t="inlineStr">
        <x:is>
          <x:t xml:space="preserve">드묾</x:t>
        </x:is>
      </x:c>
      <x:c r="AA997" s="5" t="inlineStr">
        <x:is>
          <x:t xml:space="preserve">없음</x:t>
        </x:is>
      </x:c>
      <x:c r="AB997" s="5" t="inlineStr">
        <x:is>
          <x:t xml:space="preserve">산악</x:t>
        </x:is>
      </x:c>
      <x:c r="AC997" s="5" t="inlineStr">
        <x:is>
          <x:t xml:space="preserve">gen9; paradox</x:t>
        </x:is>
      </x:c>
      <x:c r="AD997" s="5" t="inlineStr">
        <x:is>
          <x:t xml:space="preserve">.tmp/cobblemon-1.7.3-source/common/src/main/resources/data/cobblemon/species/generation9/ironjugulis.json</x:t>
        </x:is>
      </x:c>
    </x:row>
    <x:row r="998" ht="22" customHeight="1">
      <x:c r="A998" s="5" t="n">
        <x:v>994</x:v>
      </x:c>
      <x:c r="B998" s="5" t="inlineStr">
        <x:is>
          <x:t xml:space="preserve">무쇠독나방</x:t>
        </x:is>
      </x:c>
      <x:c r="C998" s="5" t="inlineStr">
        <x:is>
          <x:t xml:space="preserve">ironmoth</x:t>
        </x:is>
      </x:c>
      <x:c r="D998" s="5" t="inlineStr">
        <x:is>
          <x:t xml:space="preserve">Iron Moth</x:t>
        </x:is>
      </x:c>
      <x:c r="E998" s="5" t="n">
        <x:v>9</x:v>
      </x:c>
      <x:c r="F998" s="5" t="inlineStr">
        <x:is>
          <x:t xml:space="preserve">불꽃</x:t>
        </x:is>
      </x:c>
      <x:c r="G998" s="5" t="inlineStr">
        <x:is>
          <x:t xml:space="preserve">독</x:t>
        </x:is>
      </x:c>
      <x:c r="H998" s="5" t="n">
        <x:v>1.2</x:v>
      </x:c>
      <x:c r="I998" s="5" t="n">
        <x:v>36</x:v>
      </x:c>
      <x:c r="J998" s="5" t="n">
        <x:v>570</x:v>
      </x:c>
      <x:c r="K998" s="5" t="n">
        <x:v>30</x:v>
      </x:c>
      <x:c r="L998" s="5" t="inlineStr">
        <x:is>
          <x:t xml:space="preserve">무진화</x:t>
        </x:is>
      </x:c>
      <x:c r="M998" s="5" t="n"/>
      <x:c r="N998" s="5" t="inlineStr">
        <x:is>
          <x:t xml:space="preserve">없음</x:t>
        </x:is>
      </x:c>
      <x:c r="O998" s="5" t="inlineStr">
        <x:is>
          <x:t xml:space="preserve">아니오</x:t>
        </x:is>
      </x:c>
      <x:c r="P998" s="5" t="inlineStr">
        <x:is>
          <x:t xml:space="preserve">#cobblemon:is_hills</x:t>
        </x:is>
      </x:c>
      <x:c r="Q998" s="5" t="inlineStr">
        <x:is>
          <x:t xml:space="preserve">rare</x:t>
        </x:is>
      </x:c>
      <x:c r="R998" s="5" t="inlineStr">
        <x:is>
          <x:t xml:space="preserve">day</x:t>
        </x:is>
      </x:c>
      <x:c r="S998" s="5" t="inlineStr">
        <x:is>
          <x:t xml:space="preserve"/>
        </x:is>
      </x:c>
      <x:c r="T998" s="5" t="inlineStr">
        <x:is>
          <x:t xml:space="preserve">비행</x:t>
        </x:is>
      </x:c>
      <x:c r="U998" s="5" t="inlineStr">
        <x:is>
          <x:t xml:space="preserve">암석</x:t>
        </x:is>
      </x:c>
      <x:c r="V998" s="5" t="inlineStr">
        <x:is>
          <x:t xml:space="preserve">고온</x:t>
        </x:is>
      </x:c>
      <x:c r="W998" s="5" t="inlineStr">
        <x:is>
          <x:t xml:space="preserve">보통</x:t>
        </x:is>
      </x:c>
      <x:c r="X998" s="5" t="inlineStr">
        <x:is>
          <x:t xml:space="preserve">무관</x:t>
        </x:is>
      </x:c>
      <x:c r="Y998" s="5" t="inlineStr">
        <x:is>
          <x:t xml:space="preserve">낮</x:t>
        </x:is>
      </x:c>
      <x:c r="Z998" s="5" t="inlineStr">
        <x:is>
          <x:t xml:space="preserve">드묾</x:t>
        </x:is>
      </x:c>
      <x:c r="AA998" s="5" t="inlineStr">
        <x:is>
          <x:t xml:space="preserve">없음</x:t>
        </x:is>
      </x:c>
      <x:c r="AB998" s="5" t="inlineStr">
        <x:is>
          <x:t xml:space="preserve">산악</x:t>
        </x:is>
      </x:c>
      <x:c r="AC998" s="5" t="inlineStr">
        <x:is>
          <x:t xml:space="preserve">gen9; paradox</x:t>
        </x:is>
      </x:c>
      <x:c r="AD998" s="5" t="inlineStr">
        <x:is>
          <x:t xml:space="preserve">.tmp/cobblemon-1.7.3-source/common/src/main/resources/data/cobblemon/species/generation9/ironmoth.json</x:t>
        </x:is>
      </x:c>
    </x:row>
    <x:row r="999" ht="22" customHeight="1">
      <x:c r="A999" s="5" t="n">
        <x:v>995</x:v>
      </x:c>
      <x:c r="B999" s="5" t="inlineStr">
        <x:is>
          <x:t xml:space="preserve">무쇠가시</x:t>
        </x:is>
      </x:c>
      <x:c r="C999" s="5" t="inlineStr">
        <x:is>
          <x:t xml:space="preserve">ironthorns</x:t>
        </x:is>
      </x:c>
      <x:c r="D999" s="5" t="inlineStr">
        <x:is>
          <x:t xml:space="preserve">Iron Thorns</x:t>
        </x:is>
      </x:c>
      <x:c r="E999" s="5" t="n">
        <x:v>9</x:v>
      </x:c>
      <x:c r="F999" s="5" t="inlineStr">
        <x:is>
          <x:t xml:space="preserve">바위</x:t>
        </x:is>
      </x:c>
      <x:c r="G999" s="5" t="inlineStr">
        <x:is>
          <x:t xml:space="preserve">전기</x:t>
        </x:is>
      </x:c>
      <x:c r="H999" s="5" t="n">
        <x:v>1.6</x:v>
      </x:c>
      <x:c r="I999" s="5" t="n">
        <x:v>303</x:v>
      </x:c>
      <x:c r="J999" s="5" t="n">
        <x:v>570</x:v>
      </x:c>
      <x:c r="K999" s="5" t="n">
        <x:v>30</x:v>
      </x:c>
      <x:c r="L999" s="5" t="inlineStr">
        <x:is>
          <x:t xml:space="preserve">무진화</x:t>
        </x:is>
      </x:c>
      <x:c r="M999" s="5" t="n"/>
      <x:c r="N999" s="5" t="inlineStr">
        <x:is>
          <x:t xml:space="preserve">없음</x:t>
        </x:is>
      </x:c>
      <x:c r="O999" s="5" t="inlineStr">
        <x:is>
          <x:t xml:space="preserve">아니오</x:t>
        </x:is>
      </x:c>
      <x:c r="P999" s="5" t="inlineStr">
        <x:is>
          <x:t xml:space="preserve">#cobblemon:is_mountain</x:t>
        </x:is>
      </x:c>
      <x:c r="Q999" s="5" t="inlineStr">
        <x:is>
          <x:t xml:space="preserve">rare</x:t>
        </x:is>
      </x:c>
      <x:c r="R999" s="5" t="inlineStr">
        <x:is>
          <x:t xml:space="preserve"/>
        </x:is>
      </x:c>
      <x:c r="S999" s="5" t="inlineStr">
        <x:is>
          <x:t xml:space="preserve"/>
        </x:is>
      </x:c>
      <x:c r="T999" s="5" t="inlineStr">
        <x:is>
          <x:t xml:space="preserve">육상</x:t>
        </x:is>
      </x:c>
      <x:c r="U999" s="5" t="inlineStr">
        <x:is>
          <x:t xml:space="preserve">암석</x:t>
        </x:is>
      </x:c>
      <x:c r="V999" s="5" t="inlineStr">
        <x:is>
          <x:t xml:space="preserve">온대</x:t>
        </x:is>
      </x:c>
      <x:c r="W999" s="5" t="inlineStr">
        <x:is>
          <x:t xml:space="preserve">보통</x:t>
        </x:is>
      </x:c>
      <x:c r="X999" s="5" t="inlineStr">
        <x:is>
          <x:t xml:space="preserve">무관</x:t>
        </x:is>
      </x:c>
      <x:c r="Y999" s="5" t="inlineStr">
        <x:is>
          <x:t xml:space="preserve">무관</x:t>
        </x:is>
      </x:c>
      <x:c r="Z999" s="5" t="inlineStr">
        <x:is>
          <x:t xml:space="preserve">드묾</x:t>
        </x:is>
      </x:c>
      <x:c r="AA999" s="5" t="inlineStr">
        <x:is>
          <x:t xml:space="preserve">없음</x:t>
        </x:is>
      </x:c>
      <x:c r="AB999" s="5" t="inlineStr">
        <x:is>
          <x:t xml:space="preserve">산악</x:t>
        </x:is>
      </x:c>
      <x:c r="AC999" s="5" t="inlineStr">
        <x:is>
          <x:t xml:space="preserve">gen9; paradox</x:t>
        </x:is>
      </x:c>
      <x:c r="AD999" s="5" t="inlineStr">
        <x:is>
          <x:t xml:space="preserve">.tmp/cobblemon-1.7.3-source/common/src/main/resources/data/cobblemon/species/generation9/ironthorns.json</x:t>
        </x:is>
      </x:c>
    </x:row>
    <x:row r="1000" ht="22" customHeight="1">
      <x:c r="A1000" s="5" t="n">
        <x:v>996</x:v>
      </x:c>
      <x:c r="B1000" s="5" t="inlineStr">
        <x:is>
          <x:t xml:space="preserve">드니차</x:t>
        </x:is>
      </x:c>
      <x:c r="C1000" s="5" t="inlineStr">
        <x:is>
          <x:t xml:space="preserve">frigibax</x:t>
        </x:is>
      </x:c>
      <x:c r="D1000" s="5" t="inlineStr">
        <x:is>
          <x:t xml:space="preserve">Frigibax</x:t>
        </x:is>
      </x:c>
      <x:c r="E1000" s="5" t="n">
        <x:v>9</x:v>
      </x:c>
      <x:c r="F1000" s="5" t="inlineStr">
        <x:is>
          <x:t xml:space="preserve">드래곤</x:t>
        </x:is>
      </x:c>
      <x:c r="G1000" s="5" t="inlineStr">
        <x:is>
          <x:t xml:space="preserve">얼음</x:t>
        </x:is>
      </x:c>
      <x:c r="H1000" s="5" t="n">
        <x:v>0.5</x:v>
      </x:c>
      <x:c r="I1000" s="5" t="n">
        <x:v>17</x:v>
      </x:c>
      <x:c r="J1000" s="5" t="n">
        <x:v>320</x:v>
      </x:c>
      <x:c r="K1000" s="5" t="n">
        <x:v>45</x:v>
      </x:c>
      <x:c r="L1000" s="5" t="inlineStr">
        <x:is>
          <x:t xml:space="preserve">기본</x:t>
        </x:is>
      </x:c>
      <x:c r="M1000" s="5" t="n">
        <x:v>54</x:v>
      </x:c>
      <x:c r="N1000" s="5" t="inlineStr">
        <x:is>
          <x:t xml:space="preserve">레벨</x:t>
        </x:is>
      </x:c>
      <x:c r="O1000" s="5" t="inlineStr">
        <x:is>
          <x:t xml:space="preserve">아니오</x:t>
        </x:is>
      </x:c>
      <x:c r="P1000" s="5" t="inlineStr">
        <x:is>
          <x:t xml:space="preserve">#cobblemon:is_glacial</x:t>
        </x:is>
      </x:c>
      <x:c r="Q1000" s="5" t="inlineStr">
        <x:is>
          <x:t xml:space="preserve">rare</x:t>
        </x:is>
      </x:c>
      <x:c r="R1000" s="5" t="inlineStr">
        <x:is>
          <x:t xml:space="preserve"/>
        </x:is>
      </x:c>
      <x:c r="S1000" s="5" t="inlineStr">
        <x:is>
          <x:t xml:space="preserve"/>
        </x:is>
      </x:c>
      <x:c r="T1000" s="5" t="inlineStr">
        <x:is>
          <x:t xml:space="preserve">육상</x:t>
        </x:is>
      </x:c>
      <x:c r="U1000" s="5" t="inlineStr">
        <x:is>
          <x:t xml:space="preserve">설원</x:t>
        </x:is>
      </x:c>
      <x:c r="V1000" s="5" t="inlineStr">
        <x:is>
          <x:t xml:space="preserve">한랭</x:t>
        </x:is>
      </x:c>
      <x:c r="W1000" s="5" t="inlineStr">
        <x:is>
          <x:t xml:space="preserve">보통</x:t>
        </x:is>
      </x:c>
      <x:c r="X1000" s="5" t="inlineStr">
        <x:is>
          <x:t xml:space="preserve">무관</x:t>
        </x:is>
      </x:c>
      <x:c r="Y1000" s="5" t="inlineStr">
        <x:is>
          <x:t xml:space="preserve">무관</x:t>
        </x:is>
      </x:c>
      <x:c r="Z1000" s="5" t="inlineStr">
        <x:is>
          <x:t xml:space="preserve">드묾</x:t>
        </x:is>
      </x:c>
      <x:c r="AA1000" s="5" t="inlineStr">
        <x:is>
          <x:t xml:space="preserve">없음</x:t>
        </x:is>
      </x:c>
      <x:c r="AB1000" s="5" t="inlineStr">
        <x:is>
          <x:t xml:space="preserve"/>
        </x:is>
      </x:c>
      <x:c r="AC1000" s="5" t="inlineStr">
        <x:is>
          <x:t xml:space="preserve">gen9</x:t>
        </x:is>
      </x:c>
      <x:c r="AD1000" s="5" t="inlineStr">
        <x:is>
          <x:t xml:space="preserve">.tmp/cobblemon-1.7.3-source/common/src/main/resources/data/cobblemon/species/generation9/frigibax.json</x:t>
        </x:is>
      </x:c>
    </x:row>
    <x:row r="1001" ht="22" customHeight="1">
      <x:c r="A1001" s="5" t="n">
        <x:v>997</x:v>
      </x:c>
      <x:c r="B1001" s="5" t="inlineStr">
        <x:is>
          <x:t xml:space="preserve">드니꽁</x:t>
        </x:is>
      </x:c>
      <x:c r="C1001" s="5" t="inlineStr">
        <x:is>
          <x:t xml:space="preserve">arctibax</x:t>
        </x:is>
      </x:c>
      <x:c r="D1001" s="5" t="inlineStr">
        <x:is>
          <x:t xml:space="preserve">Arctibax</x:t>
        </x:is>
      </x:c>
      <x:c r="E1001" s="5" t="n">
        <x:v>9</x:v>
      </x:c>
      <x:c r="F1001" s="5" t="inlineStr">
        <x:is>
          <x:t xml:space="preserve">드래곤</x:t>
        </x:is>
      </x:c>
      <x:c r="G1001" s="5" t="inlineStr">
        <x:is>
          <x:t xml:space="preserve">얼음</x:t>
        </x:is>
      </x:c>
      <x:c r="H1001" s="5" t="n">
        <x:v>0.8</x:v>
      </x:c>
      <x:c r="I1001" s="5" t="n">
        <x:v>30</x:v>
      </x:c>
      <x:c r="J1001" s="5" t="n">
        <x:v>423</x:v>
      </x:c>
      <x:c r="K1001" s="5" t="n">
        <x:v>25</x:v>
      </x:c>
      <x:c r="L1001" s="5" t="inlineStr">
        <x:is>
          <x:t xml:space="preserve">중간</x:t>
        </x:is>
      </x:c>
      <x:c r="M1001" s="5" t="n">
        <x:v>54</x:v>
      </x:c>
      <x:c r="N1001" s="5" t="inlineStr">
        <x:is>
          <x:t xml:space="preserve">레벨</x:t>
        </x:is>
      </x:c>
      <x:c r="O1001" s="5" t="inlineStr">
        <x:is>
          <x:t xml:space="preserve">아니오</x:t>
        </x:is>
      </x:c>
      <x:c r="P1001" s="5" t="inlineStr">
        <x:is>
          <x:t xml:space="preserve">#cobblemon:is_glacial</x:t>
        </x:is>
      </x:c>
      <x:c r="Q1001" s="5" t="inlineStr">
        <x:is>
          <x:t xml:space="preserve">rare</x:t>
        </x:is>
      </x:c>
      <x:c r="R1001" s="5" t="inlineStr">
        <x:is>
          <x:t xml:space="preserve"/>
        </x:is>
      </x:c>
      <x:c r="S1001" s="5" t="inlineStr">
        <x:is>
          <x:t xml:space="preserve"/>
        </x:is>
      </x:c>
      <x:c r="T1001" s="5" t="inlineStr">
        <x:is>
          <x:t xml:space="preserve">육상</x:t>
        </x:is>
      </x:c>
      <x:c r="U1001" s="5" t="inlineStr">
        <x:is>
          <x:t xml:space="preserve">설원</x:t>
        </x:is>
      </x:c>
      <x:c r="V1001" s="5" t="inlineStr">
        <x:is>
          <x:t xml:space="preserve">한랭</x:t>
        </x:is>
      </x:c>
      <x:c r="W1001" s="5" t="inlineStr">
        <x:is>
          <x:t xml:space="preserve">보통</x:t>
        </x:is>
      </x:c>
      <x:c r="X1001" s="5" t="inlineStr">
        <x:is>
          <x:t xml:space="preserve">무관</x:t>
        </x:is>
      </x:c>
      <x:c r="Y1001" s="5" t="inlineStr">
        <x:is>
          <x:t xml:space="preserve">무관</x:t>
        </x:is>
      </x:c>
      <x:c r="Z1001" s="5" t="inlineStr">
        <x:is>
          <x:t xml:space="preserve">드묾</x:t>
        </x:is>
      </x:c>
      <x:c r="AA1001" s="5" t="inlineStr">
        <x:is>
          <x:t xml:space="preserve">없음</x:t>
        </x:is>
      </x:c>
      <x:c r="AB1001" s="5" t="inlineStr">
        <x:is>
          <x:t xml:space="preserve"/>
        </x:is>
      </x:c>
      <x:c r="AC1001" s="5" t="inlineStr">
        <x:is>
          <x:t xml:space="preserve">gen9</x:t>
        </x:is>
      </x:c>
      <x:c r="AD1001" s="5" t="inlineStr">
        <x:is>
          <x:t xml:space="preserve">.tmp/cobblemon-1.7.3-source/common/src/main/resources/data/cobblemon/species/generation9/arctibax.json</x:t>
        </x:is>
      </x:c>
    </x:row>
    <x:row r="1002" ht="22" customHeight="1">
      <x:c r="A1002" s="5" t="n">
        <x:v>998</x:v>
      </x:c>
      <x:c r="B1002" s="5" t="inlineStr">
        <x:is>
          <x:t xml:space="preserve">드닐레이브</x:t>
        </x:is>
      </x:c>
      <x:c r="C1002" s="5" t="inlineStr">
        <x:is>
          <x:t xml:space="preserve">baxcalibur</x:t>
        </x:is>
      </x:c>
      <x:c r="D1002" s="5" t="inlineStr">
        <x:is>
          <x:t xml:space="preserve">Baxcalibur</x:t>
        </x:is>
      </x:c>
      <x:c r="E1002" s="5" t="n">
        <x:v>9</x:v>
      </x:c>
      <x:c r="F1002" s="5" t="inlineStr">
        <x:is>
          <x:t xml:space="preserve">드래곤</x:t>
        </x:is>
      </x:c>
      <x:c r="G1002" s="5" t="inlineStr">
        <x:is>
          <x:t xml:space="preserve">얼음</x:t>
        </x:is>
      </x:c>
      <x:c r="H1002" s="5" t="n">
        <x:v>2.1</x:v>
      </x:c>
      <x:c r="I1002" s="5" t="n">
        <x:v>210</x:v>
      </x:c>
      <x:c r="J1002" s="5" t="n">
        <x:v>600</x:v>
      </x:c>
      <x:c r="K1002" s="5" t="n">
        <x:v>10</x:v>
      </x:c>
      <x:c r="L1002" s="5" t="inlineStr">
        <x:is>
          <x:t xml:space="preserve">최종</x:t>
        </x:is>
      </x:c>
      <x:c r="M1002" s="5" t="n">
        <x:v>54</x:v>
      </x:c>
      <x:c r="N1002" s="5" t="inlineStr">
        <x:is>
          <x:t xml:space="preserve">레벨</x:t>
        </x:is>
      </x:c>
      <x:c r="O1002" s="5" t="inlineStr">
        <x:is>
          <x:t xml:space="preserve">아니오</x:t>
        </x:is>
      </x:c>
      <x:c r="P1002" s="5" t="inlineStr">
        <x:is>
          <x:t xml:space="preserve">#cobblemon:is_glacial</x:t>
        </x:is>
      </x:c>
      <x:c r="Q1002" s="5" t="inlineStr">
        <x:is>
          <x:t xml:space="preserve">ultra-rare</x:t>
        </x:is>
      </x:c>
      <x:c r="R1002" s="5" t="inlineStr">
        <x:is>
          <x:t xml:space="preserve"/>
        </x:is>
      </x:c>
      <x:c r="S1002" s="5" t="inlineStr">
        <x:is>
          <x:t xml:space="preserve"/>
        </x:is>
      </x:c>
      <x:c r="T1002" s="5" t="inlineStr">
        <x:is>
          <x:t xml:space="preserve">육상</x:t>
        </x:is>
      </x:c>
      <x:c r="U1002" s="5" t="inlineStr">
        <x:is>
          <x:t xml:space="preserve">설원</x:t>
        </x:is>
      </x:c>
      <x:c r="V1002" s="5" t="inlineStr">
        <x:is>
          <x:t xml:space="preserve">한랭</x:t>
        </x:is>
      </x:c>
      <x:c r="W1002" s="5" t="inlineStr">
        <x:is>
          <x:t xml:space="preserve">보통</x:t>
        </x:is>
      </x:c>
      <x:c r="X1002" s="5" t="inlineStr">
        <x:is>
          <x:t xml:space="preserve">무관</x:t>
        </x:is>
      </x:c>
      <x:c r="Y1002" s="5" t="inlineStr">
        <x:is>
          <x:t xml:space="preserve">무관</x:t>
        </x:is>
      </x:c>
      <x:c r="Z1002" s="5" t="inlineStr">
        <x:is>
          <x:t xml:space="preserve">희귀</x:t>
        </x:is>
      </x:c>
      <x:c r="AA1002" s="5" t="inlineStr">
        <x:is>
          <x:t xml:space="preserve">없음</x:t>
        </x:is>
      </x:c>
      <x:c r="AB1002" s="5" t="inlineStr">
        <x:is>
          <x:t xml:space="preserve"/>
        </x:is>
      </x:c>
      <x:c r="AC1002" s="5" t="inlineStr">
        <x:is>
          <x:t xml:space="preserve">gen9; powerhouse</x:t>
        </x:is>
      </x:c>
      <x:c r="AD1002" s="5" t="inlineStr">
        <x:is>
          <x:t xml:space="preserve">.tmp/cobblemon-1.7.3-source/common/src/main/resources/data/cobblemon/species/generation9/baxcalibur.json</x:t>
        </x:is>
      </x:c>
    </x:row>
    <x:row r="1003" ht="22" customHeight="1">
      <x:c r="A1003" s="5" t="n">
        <x:v>999</x:v>
      </x:c>
      <x:c r="B1003" s="5" t="inlineStr">
        <x:is>
          <x:t xml:space="preserve">모으령</x:t>
        </x:is>
      </x:c>
      <x:c r="C1003" s="5" t="inlineStr">
        <x:is>
          <x:t xml:space="preserve">gimmighoul</x:t>
        </x:is>
      </x:c>
      <x:c r="D1003" s="5" t="inlineStr">
        <x:is>
          <x:t xml:space="preserve">Gimmighoul</x:t>
        </x:is>
      </x:c>
      <x:c r="E1003" s="5" t="n">
        <x:v>9</x:v>
      </x:c>
      <x:c r="F1003" s="5" t="inlineStr">
        <x:is>
          <x:t xml:space="preserve">고스트</x:t>
        </x:is>
      </x:c>
      <x:c r="G1003" s="5" t="inlineStr">
        <x:is>
          <x:t xml:space="preserve"/>
        </x:is>
      </x:c>
      <x:c r="H1003" s="5" t="n">
        <x:v>0.3</x:v>
      </x:c>
      <x:c r="I1003" s="5" t="n">
        <x:v>5</x:v>
      </x:c>
      <x:c r="J1003" s="5" t="n">
        <x:v>300</x:v>
      </x:c>
      <x:c r="K1003" s="5" t="n">
        <x:v>45</x:v>
      </x:c>
      <x:c r="L1003" s="5" t="inlineStr">
        <x:is>
          <x:t xml:space="preserve">기본</x:t>
        </x:is>
      </x:c>
      <x:c r="M1003" s="5" t="n"/>
      <x:c r="N1003" s="5" t="inlineStr">
        <x:is>
          <x:t xml:space="preserve">특수</x:t>
        </x:is>
      </x:c>
      <x:c r="O1003" s="5" t="inlineStr">
        <x:is>
          <x:t xml:space="preserve">예</x:t>
        </x:is>
      </x:c>
      <x:c r="P1003" s="5" t="inlineStr">
        <x:is>
          <x:t xml:space="preserve">#aether:is_aether; #cobblemon:is_overworld</x:t>
        </x:is>
      </x:c>
      <x:c r="Q1003" s="5" t="inlineStr">
        <x:is>
          <x:t xml:space="preserve">common; rare; uncommon</x:t>
        </x:is>
      </x:c>
      <x:c r="R1003" s="5" t="inlineStr">
        <x:is>
          <x:t xml:space="preserve"/>
        </x:is>
      </x:c>
      <x:c r="S1003" s="5" t="inlineStr">
        <x:is>
          <x:t xml:space="preserve"/>
        </x:is>
      </x:c>
      <x:c r="T1003" s="5" t="inlineStr">
        <x:is>
          <x:t xml:space="preserve">영체</x:t>
        </x:is>
      </x:c>
      <x:c r="U1003" s="5" t="inlineStr">
        <x:is>
          <x:t xml:space="preserve">특수</x:t>
        </x:is>
      </x:c>
      <x:c r="V1003" s="5" t="inlineStr">
        <x:is>
          <x:t xml:space="preserve">온대</x:t>
        </x:is>
      </x:c>
      <x:c r="W1003" s="5" t="inlineStr">
        <x:is>
          <x:t xml:space="preserve">보통</x:t>
        </x:is>
      </x:c>
      <x:c r="X1003" s="5" t="inlineStr">
        <x:is>
          <x:t xml:space="preserve">안개</x:t>
        </x:is>
      </x:c>
      <x:c r="Y1003" s="5" t="inlineStr">
        <x:is>
          <x:t xml:space="preserve">밤</x:t>
        </x:is>
      </x:c>
      <x:c r="Z1003" s="5" t="inlineStr">
        <x:is>
          <x:t xml:space="preserve">보통</x:t>
        </x:is>
      </x:c>
      <x:c r="AA1003" s="5" t="inlineStr">
        <x:is>
          <x:t xml:space="preserve">영체</x:t>
        </x:is>
      </x:c>
      <x:c r="AB1003" s="5" t="inlineStr">
        <x:is>
          <x:t xml:space="preserve"/>
        </x:is>
      </x:c>
      <x:c r="AC1003" s="5" t="inlineStr">
        <x:is>
          <x:t xml:space="preserve">gen9</x:t>
        </x:is>
      </x:c>
      <x:c r="AD1003" s="5" t="inlineStr">
        <x:is>
          <x:t xml:space="preserve">.tmp/cobblemon-1.7.3-source/common/src/main/resources/data/cobblemon/species/generation9/gimmighoul.json</x:t>
        </x:is>
      </x:c>
    </x:row>
    <x:row r="1004" ht="22" customHeight="1">
      <x:c r="A1004" s="5" t="n">
        <x:v>1000</x:v>
      </x:c>
      <x:c r="B1004" s="5" t="inlineStr">
        <x:is>
          <x:t xml:space="preserve">타부자고</x:t>
        </x:is>
      </x:c>
      <x:c r="C1004" s="5" t="inlineStr">
        <x:is>
          <x:t xml:space="preserve">gholdengo</x:t>
        </x:is>
      </x:c>
      <x:c r="D1004" s="5" t="inlineStr">
        <x:is>
          <x:t xml:space="preserve">Gholdengo</x:t>
        </x:is>
      </x:c>
      <x:c r="E1004" s="5" t="n">
        <x:v>9</x:v>
      </x:c>
      <x:c r="F1004" s="5" t="inlineStr">
        <x:is>
          <x:t xml:space="preserve">강철</x:t>
        </x:is>
      </x:c>
      <x:c r="G1004" s="5" t="inlineStr">
        <x:is>
          <x:t xml:space="preserve">고스트</x:t>
        </x:is>
      </x:c>
      <x:c r="H1004" s="5" t="n">
        <x:v>1.2</x:v>
      </x:c>
      <x:c r="I1004" s="5" t="n">
        <x:v>30</x:v>
      </x:c>
      <x:c r="J1004" s="5" t="n">
        <x:v>550</x:v>
      </x:c>
      <x:c r="K1004" s="5" t="n">
        <x:v>45</x:v>
      </x:c>
      <x:c r="L1004" s="5" t="inlineStr">
        <x:is>
          <x:t xml:space="preserve">최종</x:t>
        </x:is>
      </x:c>
      <x:c r="M1004" s="5" t="n"/>
      <x:c r="N1004" s="5" t="inlineStr">
        <x:is>
          <x:t xml:space="preserve">특수</x:t>
        </x:is>
      </x:c>
      <x:c r="O1004" s="5" t="inlineStr">
        <x:is>
          <x:t xml:space="preserve">예</x:t>
        </x:is>
      </x:c>
      <x:c r="P1004" s="5" t="inlineStr">
        <x:is>
          <x:t xml:space="preserve"/>
        </x:is>
      </x:c>
      <x:c r="Q1004" s="5" t="inlineStr">
        <x:is>
          <x:t xml:space="preserve"/>
        </x:is>
      </x:c>
      <x:c r="R1004" s="5" t="inlineStr">
        <x:is>
          <x:t xml:space="preserve"/>
        </x:is>
      </x:c>
      <x:c r="S1004" s="5" t="inlineStr">
        <x:is>
          <x:t xml:space="preserve"/>
        </x:is>
      </x:c>
      <x:c r="T1004" s="5" t="inlineStr">
        <x:is>
          <x:t xml:space="preserve">인공</x:t>
        </x:is>
      </x:c>
      <x:c r="U1004" s="5" t="inlineStr">
        <x:is>
          <x:t xml:space="preserve">도시</x:t>
        </x:is>
      </x:c>
      <x:c r="V1004" s="5" t="inlineStr">
        <x:is>
          <x:t xml:space="preserve">온대</x:t>
        </x:is>
      </x:c>
      <x:c r="W1004" s="5" t="inlineStr">
        <x:is>
          <x:t xml:space="preserve">보통</x:t>
        </x:is>
      </x:c>
      <x:c r="X1004" s="5" t="inlineStr">
        <x:is>
          <x:t xml:space="preserve">안개</x:t>
        </x:is>
      </x:c>
      <x:c r="Y1004" s="5" t="inlineStr">
        <x:is>
          <x:t xml:space="preserve">밤</x:t>
        </x:is>
      </x:c>
      <x:c r="Z1004" s="5" t="inlineStr">
        <x:is>
          <x:t xml:space="preserve">희귀</x:t>
        </x:is>
      </x:c>
      <x:c r="AA1004" s="5" t="inlineStr">
        <x:is>
          <x:t xml:space="preserve">영체</x:t>
        </x:is>
      </x:c>
      <x:c r="AB1004" s="5" t="inlineStr">
        <x:is>
          <x:t xml:space="preserve"/>
        </x:is>
      </x:c>
      <x:c r="AC1004" s="5" t="inlineStr">
        <x:is>
          <x:t xml:space="preserve">gen9</x:t>
        </x:is>
      </x:c>
      <x:c r="AD1004" s="5" t="inlineStr">
        <x:is>
          <x:t xml:space="preserve">.tmp/cobblemon-1.7.3-source/common/src/main/resources/data/cobblemon/species/generation9/gholdengo.json</x:t>
        </x:is>
      </x:c>
    </x:row>
    <x:row r="1005" ht="22" customHeight="1">
      <x:c r="A1005" s="5" t="n">
        <x:v>1001</x:v>
      </x:c>
      <x:c r="B1005" s="5" t="inlineStr">
        <x:is>
          <x:t xml:space="preserve">총지엔</x:t>
        </x:is>
      </x:c>
      <x:c r="C1005" s="5" t="inlineStr">
        <x:is>
          <x:t xml:space="preserve">wochien</x:t>
        </x:is>
      </x:c>
      <x:c r="D1005" s="5" t="inlineStr">
        <x:is>
          <x:t xml:space="preserve">Wo-Chien</x:t>
        </x:is>
      </x:c>
      <x:c r="E1005" s="5" t="n">
        <x:v>9</x:v>
      </x:c>
      <x:c r="F1005" s="5" t="inlineStr">
        <x:is>
          <x:t xml:space="preserve">악</x:t>
        </x:is>
      </x:c>
      <x:c r="G1005" s="5" t="inlineStr">
        <x:is>
          <x:t xml:space="preserve">풀</x:t>
        </x:is>
      </x:c>
      <x:c r="H1005" s="5" t="n">
        <x:v>1.5</x:v>
      </x:c>
      <x:c r="I1005" s="5" t="n">
        <x:v>74.2</x:v>
      </x:c>
      <x:c r="J1005" s="5" t="n">
        <x:v>570</x:v>
      </x:c>
      <x:c r="K1005" s="5" t="n">
        <x:v>6</x:v>
      </x:c>
      <x:c r="L1005" s="5" t="inlineStr">
        <x:is>
          <x:t xml:space="preserve">무진화</x:t>
        </x:is>
      </x:c>
      <x:c r="M1005" s="5" t="n"/>
      <x:c r="N1005" s="5" t="inlineStr">
        <x:is>
          <x:t xml:space="preserve">없음</x:t>
        </x:is>
      </x:c>
      <x:c r="O1005" s="5" t="inlineStr">
        <x:is>
          <x:t xml:space="preserve">아니오</x:t>
        </x:is>
      </x:c>
      <x:c r="P1005" s="5" t="inlineStr">
        <x:is>
          <x:t xml:space="preserve">cobbleverse:custom_spawn/grasswither_shrine</x:t>
        </x:is>
      </x:c>
      <x:c r="Q1005" s="5" t="inlineStr">
        <x:is>
          <x:t xml:space="preserve">ultra-rare</x:t>
        </x:is>
      </x:c>
      <x:c r="R1005" s="5" t="inlineStr">
        <x:is>
          <x:t xml:space="preserve"/>
        </x:is>
      </x:c>
      <x:c r="S1005" s="5" t="inlineStr">
        <x:is>
          <x:t xml:space="preserve"/>
        </x:is>
      </x:c>
      <x:c r="T1005" s="5" t="inlineStr">
        <x:is>
          <x:t xml:space="preserve">육상</x:t>
        </x:is>
      </x:c>
      <x:c r="U1005" s="5" t="inlineStr">
        <x:is>
          <x:t xml:space="preserve">수목</x:t>
        </x:is>
      </x:c>
      <x:c r="V1005" s="5" t="inlineStr">
        <x:is>
          <x:t xml:space="preserve">온대</x:t>
        </x:is>
      </x:c>
      <x:c r="W1005" s="5" t="inlineStr">
        <x:is>
          <x:t xml:space="preserve">보통</x:t>
        </x:is>
      </x:c>
      <x:c r="X1005" s="5" t="inlineStr">
        <x:is>
          <x:t xml:space="preserve">무관</x:t>
        </x:is>
      </x:c>
      <x:c r="Y1005" s="5" t="inlineStr">
        <x:is>
          <x:t xml:space="preserve">밤</x:t>
        </x:is>
      </x:c>
      <x:c r="Z1005" s="5" t="inlineStr">
        <x:is>
          <x:t xml:space="preserve">전설</x:t>
        </x:is>
      </x:c>
      <x:c r="AA1005" s="5" t="inlineStr">
        <x:is>
          <x:t xml:space="preserve">전설</x:t>
        </x:is>
      </x:c>
      <x:c r="AB1005" s="5" t="inlineStr">
        <x:is>
          <x:t xml:space="preserve"/>
        </x:is>
      </x:c>
      <x:c r="AC1005" s="5" t="inlineStr">
        <x:is>
          <x:t xml:space="preserve">gen9; legendary</x:t>
        </x:is>
      </x:c>
      <x:c r="AD1005" s="5" t="inlineStr">
        <x:is>
          <x:t xml:space="preserve">.tmp/cobblemon-1.7.3-source/common/src/main/resources/data/cobblemon/species/generation9/wochien.json</x:t>
        </x:is>
      </x:c>
    </x:row>
    <x:row r="1006" ht="22" customHeight="1">
      <x:c r="A1006" s="5" t="n">
        <x:v>1002</x:v>
      </x:c>
      <x:c r="B1006" s="5" t="inlineStr">
        <x:is>
          <x:t xml:space="preserve">파오젠</x:t>
        </x:is>
      </x:c>
      <x:c r="C1006" s="5" t="inlineStr">
        <x:is>
          <x:t xml:space="preserve">chienpao</x:t>
        </x:is>
      </x:c>
      <x:c r="D1006" s="5" t="inlineStr">
        <x:is>
          <x:t xml:space="preserve">Chien-Pao</x:t>
        </x:is>
      </x:c>
      <x:c r="E1006" s="5" t="n">
        <x:v>9</x:v>
      </x:c>
      <x:c r="F1006" s="5" t="inlineStr">
        <x:is>
          <x:t xml:space="preserve">악</x:t>
        </x:is>
      </x:c>
      <x:c r="G1006" s="5" t="inlineStr">
        <x:is>
          <x:t xml:space="preserve">얼음</x:t>
        </x:is>
      </x:c>
      <x:c r="H1006" s="5" t="n">
        <x:v>1.9</x:v>
      </x:c>
      <x:c r="I1006" s="5" t="n">
        <x:v>152.2</x:v>
      </x:c>
      <x:c r="J1006" s="5" t="n">
        <x:v>570</x:v>
      </x:c>
      <x:c r="K1006" s="5" t="n">
        <x:v>6</x:v>
      </x:c>
      <x:c r="L1006" s="5" t="inlineStr">
        <x:is>
          <x:t xml:space="preserve">무진화</x:t>
        </x:is>
      </x:c>
      <x:c r="M1006" s="5" t="n"/>
      <x:c r="N1006" s="5" t="inlineStr">
        <x:is>
          <x:t xml:space="preserve">없음</x:t>
        </x:is>
      </x:c>
      <x:c r="O1006" s="5" t="inlineStr">
        <x:is>
          <x:t xml:space="preserve">아니오</x:t>
        </x:is>
      </x:c>
      <x:c r="P1006" s="5" t="inlineStr">
        <x:is>
          <x:t xml:space="preserve">cobbleverse:custom_spawn/icerend_shrine</x:t>
        </x:is>
      </x:c>
      <x:c r="Q1006" s="5" t="inlineStr">
        <x:is>
          <x:t xml:space="preserve">ultra-rare</x:t>
        </x:is>
      </x:c>
      <x:c r="R1006" s="5" t="inlineStr">
        <x:is>
          <x:t xml:space="preserve"/>
        </x:is>
      </x:c>
      <x:c r="S1006" s="5" t="inlineStr">
        <x:is>
          <x:t xml:space="preserve"/>
        </x:is>
      </x:c>
      <x:c r="T1006" s="5" t="inlineStr">
        <x:is>
          <x:t xml:space="preserve">육상</x:t>
        </x:is>
      </x:c>
      <x:c r="U1006" s="5" t="inlineStr">
        <x:is>
          <x:t xml:space="preserve">설원</x:t>
        </x:is>
      </x:c>
      <x:c r="V1006" s="5" t="inlineStr">
        <x:is>
          <x:t xml:space="preserve">한랭</x:t>
        </x:is>
      </x:c>
      <x:c r="W1006" s="5" t="inlineStr">
        <x:is>
          <x:t xml:space="preserve">보통</x:t>
        </x:is>
      </x:c>
      <x:c r="X1006" s="5" t="inlineStr">
        <x:is>
          <x:t xml:space="preserve">눈</x:t>
        </x:is>
      </x:c>
      <x:c r="Y1006" s="5" t="inlineStr">
        <x:is>
          <x:t xml:space="preserve">밤</x:t>
        </x:is>
      </x:c>
      <x:c r="Z1006" s="5" t="inlineStr">
        <x:is>
          <x:t xml:space="preserve">전설</x:t>
        </x:is>
      </x:c>
      <x:c r="AA1006" s="5" t="inlineStr">
        <x:is>
          <x:t xml:space="preserve">전설</x:t>
        </x:is>
      </x:c>
      <x:c r="AB1006" s="5" t="inlineStr">
        <x:is>
          <x:t xml:space="preserve">설원</x:t>
        </x:is>
      </x:c>
      <x:c r="AC1006" s="5" t="inlineStr">
        <x:is>
          <x:t xml:space="preserve">gen9; legendary</x:t>
        </x:is>
      </x:c>
      <x:c r="AD1006" s="5" t="inlineStr">
        <x:is>
          <x:t xml:space="preserve">.tmp/cobblemon-1.7.3-source/common/src/main/resources/data/cobblemon/species/generation9/chienpao.json</x:t>
        </x:is>
      </x:c>
    </x:row>
    <x:row r="1007" ht="22" customHeight="1">
      <x:c r="A1007" s="5" t="n">
        <x:v>1003</x:v>
      </x:c>
      <x:c r="B1007" s="5" t="inlineStr">
        <x:is>
          <x:t xml:space="preserve">딩루</x:t>
        </x:is>
      </x:c>
      <x:c r="C1007" s="5" t="inlineStr">
        <x:is>
          <x:t xml:space="preserve">tinglu</x:t>
        </x:is>
      </x:c>
      <x:c r="D1007" s="5" t="inlineStr">
        <x:is>
          <x:t xml:space="preserve">Ting-Lu</x:t>
        </x:is>
      </x:c>
      <x:c r="E1007" s="5" t="n">
        <x:v>9</x:v>
      </x:c>
      <x:c r="F1007" s="5" t="inlineStr">
        <x:is>
          <x:t xml:space="preserve">악</x:t>
        </x:is>
      </x:c>
      <x:c r="G1007" s="5" t="inlineStr">
        <x:is>
          <x:t xml:space="preserve">땅</x:t>
        </x:is>
      </x:c>
      <x:c r="H1007" s="5" t="n">
        <x:v>2.7</x:v>
      </x:c>
      <x:c r="I1007" s="5" t="n">
        <x:v>699.7</x:v>
      </x:c>
      <x:c r="J1007" s="5" t="n">
        <x:v>570</x:v>
      </x:c>
      <x:c r="K1007" s="5" t="n">
        <x:v>6</x:v>
      </x:c>
      <x:c r="L1007" s="5" t="inlineStr">
        <x:is>
          <x:t xml:space="preserve">무진화</x:t>
        </x:is>
      </x:c>
      <x:c r="M1007" s="5" t="n"/>
      <x:c r="N1007" s="5" t="inlineStr">
        <x:is>
          <x:t xml:space="preserve">없음</x:t>
        </x:is>
      </x:c>
      <x:c r="O1007" s="5" t="inlineStr">
        <x:is>
          <x:t xml:space="preserve">아니오</x:t>
        </x:is>
      </x:c>
      <x:c r="P1007" s="5" t="inlineStr">
        <x:is>
          <x:t xml:space="preserve">cobbleverse:custom_spawn/groundblight_shrine</x:t>
        </x:is>
      </x:c>
      <x:c r="Q1007" s="5" t="inlineStr">
        <x:is>
          <x:t xml:space="preserve">ultra-rare</x:t>
        </x:is>
      </x:c>
      <x:c r="R1007" s="5" t="inlineStr">
        <x:is>
          <x:t xml:space="preserve"/>
        </x:is>
      </x:c>
      <x:c r="S1007" s="5" t="inlineStr">
        <x:is>
          <x:t xml:space="preserve"/>
        </x:is>
      </x:c>
      <x:c r="T1007" s="5" t="inlineStr">
        <x:is>
          <x:t xml:space="preserve">육상</x:t>
        </x:is>
      </x:c>
      <x:c r="U1007" s="5" t="inlineStr">
        <x:is>
          <x:t xml:space="preserve">암석</x:t>
        </x:is>
      </x:c>
      <x:c r="V1007" s="5" t="inlineStr">
        <x:is>
          <x:t xml:space="preserve">온대</x:t>
        </x:is>
      </x:c>
      <x:c r="W1007" s="5" t="inlineStr">
        <x:is>
          <x:t xml:space="preserve">보통</x:t>
        </x:is>
      </x:c>
      <x:c r="X1007" s="5" t="inlineStr">
        <x:is>
          <x:t xml:space="preserve">무관</x:t>
        </x:is>
      </x:c>
      <x:c r="Y1007" s="5" t="inlineStr">
        <x:is>
          <x:t xml:space="preserve">밤</x:t>
        </x:is>
      </x:c>
      <x:c r="Z1007" s="5" t="inlineStr">
        <x:is>
          <x:t xml:space="preserve">전설</x:t>
        </x:is>
      </x:c>
      <x:c r="AA1007" s="5" t="inlineStr">
        <x:is>
          <x:t xml:space="preserve">전설</x:t>
        </x:is>
      </x:c>
      <x:c r="AB1007" s="5" t="inlineStr">
        <x:is>
          <x:t xml:space="preserve"/>
        </x:is>
      </x:c>
      <x:c r="AC1007" s="5" t="inlineStr">
        <x:is>
          <x:t xml:space="preserve">gen9; legendary</x:t>
        </x:is>
      </x:c>
      <x:c r="AD1007" s="5" t="inlineStr">
        <x:is>
          <x:t xml:space="preserve">.tmp/cobblemon-1.7.3-source/common/src/main/resources/data/cobblemon/species/generation9/tinglu.json</x:t>
        </x:is>
      </x:c>
    </x:row>
    <x:row r="1008" ht="22" customHeight="1">
      <x:c r="A1008" s="5" t="n">
        <x:v>1004</x:v>
      </x:c>
      <x:c r="B1008" s="5" t="inlineStr">
        <x:is>
          <x:t xml:space="preserve">위유이</x:t>
        </x:is>
      </x:c>
      <x:c r="C1008" s="5" t="inlineStr">
        <x:is>
          <x:t xml:space="preserve">chiyu</x:t>
        </x:is>
      </x:c>
      <x:c r="D1008" s="5" t="inlineStr">
        <x:is>
          <x:t xml:space="preserve">Chi-Yu</x:t>
        </x:is>
      </x:c>
      <x:c r="E1008" s="5" t="n">
        <x:v>9</x:v>
      </x:c>
      <x:c r="F1008" s="5" t="inlineStr">
        <x:is>
          <x:t xml:space="preserve">악</x:t>
        </x:is>
      </x:c>
      <x:c r="G1008" s="5" t="inlineStr">
        <x:is>
          <x:t xml:space="preserve">불꽃</x:t>
        </x:is>
      </x:c>
      <x:c r="H1008" s="5" t="n">
        <x:v>0.4</x:v>
      </x:c>
      <x:c r="I1008" s="5" t="n">
        <x:v>4.9</x:v>
      </x:c>
      <x:c r="J1008" s="5" t="n">
        <x:v>570</x:v>
      </x:c>
      <x:c r="K1008" s="5" t="n">
        <x:v>6</x:v>
      </x:c>
      <x:c r="L1008" s="5" t="inlineStr">
        <x:is>
          <x:t xml:space="preserve">무진화</x:t>
        </x:is>
      </x:c>
      <x:c r="M1008" s="5" t="n"/>
      <x:c r="N1008" s="5" t="inlineStr">
        <x:is>
          <x:t xml:space="preserve">없음</x:t>
        </x:is>
      </x:c>
      <x:c r="O1008" s="5" t="inlineStr">
        <x:is>
          <x:t xml:space="preserve">아니오</x:t>
        </x:is>
      </x:c>
      <x:c r="P1008" s="5" t="inlineStr">
        <x:is>
          <x:t xml:space="preserve">cobbleverse:custom_spawn/firescoruge_shrine</x:t>
        </x:is>
      </x:c>
      <x:c r="Q1008" s="5" t="inlineStr">
        <x:is>
          <x:t xml:space="preserve">ultra-rare</x:t>
        </x:is>
      </x:c>
      <x:c r="R1008" s="5" t="inlineStr">
        <x:is>
          <x:t xml:space="preserve"/>
        </x:is>
      </x:c>
      <x:c r="S1008" s="5" t="inlineStr">
        <x:is>
          <x:t xml:space="preserve"/>
        </x:is>
      </x:c>
      <x:c r="T1008" s="5" t="inlineStr">
        <x:is>
          <x:t xml:space="preserve">비행</x:t>
        </x:is>
      </x:c>
      <x:c r="U1008" s="5" t="inlineStr">
        <x:is>
          <x:t xml:space="preserve">특수</x:t>
        </x:is>
      </x:c>
      <x:c r="V1008" s="5" t="inlineStr">
        <x:is>
          <x:t xml:space="preserve">고온</x:t>
        </x:is>
      </x:c>
      <x:c r="W1008" s="5" t="inlineStr">
        <x:is>
          <x:t xml:space="preserve">보통</x:t>
        </x:is>
      </x:c>
      <x:c r="X1008" s="5" t="inlineStr">
        <x:is>
          <x:t xml:space="preserve">무관</x:t>
        </x:is>
      </x:c>
      <x:c r="Y1008" s="5" t="inlineStr">
        <x:is>
          <x:t xml:space="preserve">밤</x:t>
        </x:is>
      </x:c>
      <x:c r="Z1008" s="5" t="inlineStr">
        <x:is>
          <x:t xml:space="preserve">전설</x:t>
        </x:is>
      </x:c>
      <x:c r="AA1008" s="5" t="inlineStr">
        <x:is>
          <x:t xml:space="preserve">전설</x:t>
        </x:is>
      </x:c>
      <x:c r="AB1008" s="5" t="inlineStr">
        <x:is>
          <x:t xml:space="preserve"/>
        </x:is>
      </x:c>
      <x:c r="AC1008" s="5" t="inlineStr">
        <x:is>
          <x:t xml:space="preserve">gen9; legendary</x:t>
        </x:is>
      </x:c>
      <x:c r="AD1008" s="5" t="inlineStr">
        <x:is>
          <x:t xml:space="preserve">.tmp/cobblemon-1.7.3-source/common/src/main/resources/data/cobblemon/species/generation9/chiyu.json</x:t>
        </x:is>
      </x:c>
    </x:row>
    <x:row r="1009" ht="22" customHeight="1">
      <x:c r="A1009" s="5" t="n">
        <x:v>1005</x:v>
      </x:c>
      <x:c r="B1009" s="5" t="inlineStr">
        <x:is>
          <x:t xml:space="preserve">고동치는달</x:t>
        </x:is>
      </x:c>
      <x:c r="C1009" s="5" t="inlineStr">
        <x:is>
          <x:t xml:space="preserve">roaringmoon</x:t>
        </x:is>
      </x:c>
      <x:c r="D1009" s="5" t="inlineStr">
        <x:is>
          <x:t xml:space="preserve">Roaring Moon</x:t>
        </x:is>
      </x:c>
      <x:c r="E1009" s="5" t="n">
        <x:v>9</x:v>
      </x:c>
      <x:c r="F1009" s="5" t="inlineStr">
        <x:is>
          <x:t xml:space="preserve">드래곤</x:t>
        </x:is>
      </x:c>
      <x:c r="G1009" s="5" t="inlineStr">
        <x:is>
          <x:t xml:space="preserve">악</x:t>
        </x:is>
      </x:c>
      <x:c r="H1009" s="5" t="n">
        <x:v>2</x:v>
      </x:c>
      <x:c r="I1009" s="5" t="n">
        <x:v>380</x:v>
      </x:c>
      <x:c r="J1009" s="5" t="n">
        <x:v>590</x:v>
      </x:c>
      <x:c r="K1009" s="5" t="n">
        <x:v>10</x:v>
      </x:c>
      <x:c r="L1009" s="5" t="inlineStr">
        <x:is>
          <x:t xml:space="preserve">무진화</x:t>
        </x:is>
      </x:c>
      <x:c r="M1009" s="5" t="n"/>
      <x:c r="N1009" s="5" t="inlineStr">
        <x:is>
          <x:t xml:space="preserve">없음</x:t>
        </x:is>
      </x:c>
      <x:c r="O1009" s="5" t="inlineStr">
        <x:is>
          <x:t xml:space="preserve">아니오</x:t>
        </x:is>
      </x:c>
      <x:c r="P1009" s="5" t="inlineStr">
        <x:is>
          <x:t xml:space="preserve">#cobblemon:is_mountain</x:t>
        </x:is>
      </x:c>
      <x:c r="Q1009" s="5" t="inlineStr">
        <x:is>
          <x:t xml:space="preserve">rare</x:t>
        </x:is>
      </x:c>
      <x:c r="R1009" s="5" t="inlineStr">
        <x:is>
          <x:t xml:space="preserve">night</x:t>
        </x:is>
      </x:c>
      <x:c r="S1009" s="5" t="inlineStr">
        <x:is>
          <x:t xml:space="preserve"/>
        </x:is>
      </x:c>
      <x:c r="T1009" s="5" t="inlineStr">
        <x:is>
          <x:t xml:space="preserve">비행</x:t>
        </x:is>
      </x:c>
      <x:c r="U1009" s="5" t="inlineStr">
        <x:is>
          <x:t xml:space="preserve">암석</x:t>
        </x:is>
      </x:c>
      <x:c r="V1009" s="5" t="inlineStr">
        <x:is>
          <x:t xml:space="preserve">온대</x:t>
        </x:is>
      </x:c>
      <x:c r="W1009" s="5" t="inlineStr">
        <x:is>
          <x:t xml:space="preserve">보통</x:t>
        </x:is>
      </x:c>
      <x:c r="X1009" s="5" t="inlineStr">
        <x:is>
          <x:t xml:space="preserve">무관</x:t>
        </x:is>
      </x:c>
      <x:c r="Y1009" s="5" t="inlineStr">
        <x:is>
          <x:t xml:space="preserve">밤</x:t>
        </x:is>
      </x:c>
      <x:c r="Z1009" s="5" t="inlineStr">
        <x:is>
          <x:t xml:space="preserve">드묾</x:t>
        </x:is>
      </x:c>
      <x:c r="AA1009" s="5" t="inlineStr">
        <x:is>
          <x:t xml:space="preserve">없음</x:t>
        </x:is>
      </x:c>
      <x:c r="AB1009" s="5" t="inlineStr">
        <x:is>
          <x:t xml:space="preserve">산악</x:t>
        </x:is>
      </x:c>
      <x:c r="AC1009" s="5" t="inlineStr">
        <x:is>
          <x:t xml:space="preserve">gen9; paradox</x:t>
        </x:is>
      </x:c>
      <x:c r="AD1009" s="5" t="inlineStr">
        <x:is>
          <x:t xml:space="preserve">.tmp/cobblemon-1.7.3-source/common/src/main/resources/data/cobblemon/species/generation9/roaringmoon.json</x:t>
        </x:is>
      </x:c>
    </x:row>
    <x:row r="1010" ht="22" customHeight="1">
      <x:c r="A1010" s="5" t="n">
        <x:v>1006</x:v>
      </x:c>
      <x:c r="B1010" s="5" t="inlineStr">
        <x:is>
          <x:t xml:space="preserve">무쇠무인</x:t>
        </x:is>
      </x:c>
      <x:c r="C1010" s="5" t="inlineStr">
        <x:is>
          <x:t xml:space="preserve">ironvaliant</x:t>
        </x:is>
      </x:c>
      <x:c r="D1010" s="5" t="inlineStr">
        <x:is>
          <x:t xml:space="preserve">Iron Valiant</x:t>
        </x:is>
      </x:c>
      <x:c r="E1010" s="5" t="n">
        <x:v>9</x:v>
      </x:c>
      <x:c r="F1010" s="5" t="inlineStr">
        <x:is>
          <x:t xml:space="preserve">페어리</x:t>
        </x:is>
      </x:c>
      <x:c r="G1010" s="5" t="inlineStr">
        <x:is>
          <x:t xml:space="preserve">격투</x:t>
        </x:is>
      </x:c>
      <x:c r="H1010" s="5" t="n">
        <x:v>1.4</x:v>
      </x:c>
      <x:c r="I1010" s="5" t="n">
        <x:v>35</x:v>
      </x:c>
      <x:c r="J1010" s="5" t="n">
        <x:v>590</x:v>
      </x:c>
      <x:c r="K1010" s="5" t="n">
        <x:v>10</x:v>
      </x:c>
      <x:c r="L1010" s="5" t="inlineStr">
        <x:is>
          <x:t xml:space="preserve">무진화</x:t>
        </x:is>
      </x:c>
      <x:c r="M1010" s="5" t="n"/>
      <x:c r="N1010" s="5" t="inlineStr">
        <x:is>
          <x:t xml:space="preserve">없음</x:t>
        </x:is>
      </x:c>
      <x:c r="O1010" s="5" t="inlineStr">
        <x:is>
          <x:t xml:space="preserve">아니오</x:t>
        </x:is>
      </x:c>
      <x:c r="P1010" s="5" t="inlineStr">
        <x:is>
          <x:t xml:space="preserve">#cobblemon:is_plains</x:t>
        </x:is>
      </x:c>
      <x:c r="Q1010" s="5" t="inlineStr">
        <x:is>
          <x:t xml:space="preserve">rare</x:t>
        </x:is>
      </x:c>
      <x:c r="R1010" s="5" t="inlineStr">
        <x:is>
          <x:t xml:space="preserve"/>
        </x:is>
      </x:c>
      <x:c r="S1010" s="5" t="inlineStr">
        <x:is>
          <x:t xml:space="preserve">천둥=True</x:t>
        </x:is>
      </x:c>
      <x:c r="T1010" s="5" t="inlineStr">
        <x:is>
          <x:t xml:space="preserve">육상</x:t>
        </x:is>
      </x:c>
      <x:c r="U1010" s="5" t="inlineStr">
        <x:is>
          <x:t xml:space="preserve">개활지</x:t>
        </x:is>
      </x:c>
      <x:c r="V1010" s="5" t="inlineStr">
        <x:is>
          <x:t xml:space="preserve">온대</x:t>
        </x:is>
      </x:c>
      <x:c r="W1010" s="5" t="inlineStr">
        <x:is>
          <x:t xml:space="preserve">보통</x:t>
        </x:is>
      </x:c>
      <x:c r="X1010" s="5" t="inlineStr">
        <x:is>
          <x:t xml:space="preserve">무관</x:t>
        </x:is>
      </x:c>
      <x:c r="Y1010" s="5" t="inlineStr">
        <x:is>
          <x:t xml:space="preserve">무관</x:t>
        </x:is>
      </x:c>
      <x:c r="Z1010" s="5" t="inlineStr">
        <x:is>
          <x:t xml:space="preserve">드묾</x:t>
        </x:is>
      </x:c>
      <x:c r="AA1010" s="5" t="inlineStr">
        <x:is>
          <x:t xml:space="preserve">없음</x:t>
        </x:is>
      </x:c>
      <x:c r="AB1010" s="5" t="inlineStr">
        <x:is>
          <x:t xml:space="preserve">평원</x:t>
        </x:is>
      </x:c>
      <x:c r="AC1010" s="5" t="inlineStr">
        <x:is>
          <x:t xml:space="preserve">gen9; paradox</x:t>
        </x:is>
      </x:c>
      <x:c r="AD1010" s="5" t="inlineStr">
        <x:is>
          <x:t xml:space="preserve">.tmp/cobblemon-1.7.3-source/common/src/main/resources/data/cobblemon/species/generation9/ironvaliant.json</x:t>
        </x:is>
      </x:c>
    </x:row>
    <x:row r="1011" ht="22" customHeight="1">
      <x:c r="A1011" s="5" t="n">
        <x:v>1007</x:v>
      </x:c>
      <x:c r="B1011" s="5" t="inlineStr">
        <x:is>
          <x:t xml:space="preserve">코라이돈</x:t>
        </x:is>
      </x:c>
      <x:c r="C1011" s="5" t="inlineStr">
        <x:is>
          <x:t xml:space="preserve">koraidon</x:t>
        </x:is>
      </x:c>
      <x:c r="D1011" s="5" t="inlineStr">
        <x:is>
          <x:t xml:space="preserve">Koraidon</x:t>
        </x:is>
      </x:c>
      <x:c r="E1011" s="5" t="n">
        <x:v>9</x:v>
      </x:c>
      <x:c r="F1011" s="5" t="inlineStr">
        <x:is>
          <x:t xml:space="preserve">격투</x:t>
        </x:is>
      </x:c>
      <x:c r="G1011" s="5" t="inlineStr">
        <x:is>
          <x:t xml:space="preserve">드래곤</x:t>
        </x:is>
      </x:c>
      <x:c r="H1011" s="5" t="n">
        <x:v>2.5</x:v>
      </x:c>
      <x:c r="I1011" s="5" t="n">
        <x:v>303</x:v>
      </x:c>
      <x:c r="J1011" s="5" t="n">
        <x:v>670</x:v>
      </x:c>
      <x:c r="K1011" s="5" t="n">
        <x:v>3</x:v>
      </x:c>
      <x:c r="L1011" s="5" t="inlineStr">
        <x:is>
          <x:t xml:space="preserve">무진화</x:t>
        </x:is>
      </x:c>
      <x:c r="M1011" s="5" t="n"/>
      <x:c r="N1011" s="5" t="inlineStr">
        <x:is>
          <x:t xml:space="preserve">없음</x:t>
        </x:is>
      </x:c>
      <x:c r="O1011" s="5" t="inlineStr">
        <x:is>
          <x:t xml:space="preserve">아니오</x:t>
        </x:is>
      </x:c>
      <x:c r="P1011" s="5" t="inlineStr">
        <x:is>
          <x:t xml:space="preserve">minecraft:beach</x:t>
        </x:is>
      </x:c>
      <x:c r="Q1011" s="5" t="inlineStr">
        <x:is>
          <x:t xml:space="preserve">ultra-rare</x:t>
        </x:is>
      </x:c>
      <x:c r="R1011" s="5" t="inlineStr">
        <x:is>
          <x:t xml:space="preserve"/>
        </x:is>
      </x:c>
      <x:c r="S1011" s="5" t="inlineStr">
        <x:is>
          <x:t xml:space="preserve"/>
        </x:is>
      </x:c>
      <x:c r="T1011" s="5" t="inlineStr">
        <x:is>
          <x:t xml:space="preserve">해양</x:t>
        </x:is>
      </x:c>
      <x:c r="U1011" s="5" t="inlineStr">
        <x:is>
          <x:t xml:space="preserve">해안·해양</x:t>
        </x:is>
      </x:c>
      <x:c r="V1011" s="5" t="inlineStr">
        <x:is>
          <x:t xml:space="preserve">온대</x:t>
        </x:is>
      </x:c>
      <x:c r="W1011" s="5" t="inlineStr">
        <x:is>
          <x:t xml:space="preserve">수중</x:t>
        </x:is>
      </x:c>
      <x:c r="X1011" s="5" t="inlineStr">
        <x:is>
          <x:t xml:space="preserve">비</x:t>
        </x:is>
      </x:c>
      <x:c r="Y1011" s="5" t="inlineStr">
        <x:is>
          <x:t xml:space="preserve">무관</x:t>
        </x:is>
      </x:c>
      <x:c r="Z1011" s="5" t="inlineStr">
        <x:is>
          <x:t xml:space="preserve">전설</x:t>
        </x:is>
      </x:c>
      <x:c r="AA1011" s="5" t="inlineStr">
        <x:is>
          <x:t xml:space="preserve">전설</x:t>
        </x:is>
      </x:c>
      <x:c r="AB1011" s="5" t="inlineStr">
        <x:is>
          <x:t xml:space="preserve">해양</x:t>
        </x:is>
      </x:c>
      <x:c r="AC1011" s="5" t="inlineStr">
        <x:is>
          <x:t xml:space="preserve">gen9; legendary; restricted</x:t>
        </x:is>
      </x:c>
      <x:c r="AD1011" s="5" t="inlineStr">
        <x:is>
          <x:t xml:space="preserve">.tmp/cobblemon-1.7.3-source/common/src/main/resources/data/cobblemon/species/generation9/koraidon.json</x:t>
        </x:is>
      </x:c>
    </x:row>
    <x:row r="1012" ht="22" customHeight="1">
      <x:c r="A1012" s="5" t="n">
        <x:v>1008</x:v>
      </x:c>
      <x:c r="B1012" s="5" t="inlineStr">
        <x:is>
          <x:t xml:space="preserve">미라이돈</x:t>
        </x:is>
      </x:c>
      <x:c r="C1012" s="5" t="inlineStr">
        <x:is>
          <x:t xml:space="preserve">miraidon</x:t>
        </x:is>
      </x:c>
      <x:c r="D1012" s="5" t="inlineStr">
        <x:is>
          <x:t xml:space="preserve">Miraidon</x:t>
        </x:is>
      </x:c>
      <x:c r="E1012" s="5" t="n">
        <x:v>9</x:v>
      </x:c>
      <x:c r="F1012" s="5" t="inlineStr">
        <x:is>
          <x:t xml:space="preserve">전기</x:t>
        </x:is>
      </x:c>
      <x:c r="G1012" s="5" t="inlineStr">
        <x:is>
          <x:t xml:space="preserve">드래곤</x:t>
        </x:is>
      </x:c>
      <x:c r="H1012" s="5" t="n">
        <x:v>3.5</x:v>
      </x:c>
      <x:c r="I1012" s="5" t="n">
        <x:v>240</x:v>
      </x:c>
      <x:c r="J1012" s="5" t="n">
        <x:v>670</x:v>
      </x:c>
      <x:c r="K1012" s="5" t="n">
        <x:v>3</x:v>
      </x:c>
      <x:c r="L1012" s="5" t="inlineStr">
        <x:is>
          <x:t xml:space="preserve">무진화</x:t>
        </x:is>
      </x:c>
      <x:c r="M1012" s="5" t="n"/>
      <x:c r="N1012" s="5" t="inlineStr">
        <x:is>
          <x:t xml:space="preserve">없음</x:t>
        </x:is>
      </x:c>
      <x:c r="O1012" s="5" t="inlineStr">
        <x:is>
          <x:t xml:space="preserve">아니오</x:t>
        </x:is>
      </x:c>
      <x:c r="P1012" s="5" t="inlineStr">
        <x:is>
          <x:t xml:space="preserve">minecraft:beach</x:t>
        </x:is>
      </x:c>
      <x:c r="Q1012" s="5" t="inlineStr">
        <x:is>
          <x:t xml:space="preserve">ultra-rare</x:t>
        </x:is>
      </x:c>
      <x:c r="R1012" s="5" t="inlineStr">
        <x:is>
          <x:t xml:space="preserve"/>
        </x:is>
      </x:c>
      <x:c r="S1012" s="5" t="inlineStr">
        <x:is>
          <x:t xml:space="preserve"/>
        </x:is>
      </x:c>
      <x:c r="T1012" s="5" t="inlineStr">
        <x:is>
          <x:t xml:space="preserve">해양</x:t>
        </x:is>
      </x:c>
      <x:c r="U1012" s="5" t="inlineStr">
        <x:is>
          <x:t xml:space="preserve">해안·해양</x:t>
        </x:is>
      </x:c>
      <x:c r="V1012" s="5" t="inlineStr">
        <x:is>
          <x:t xml:space="preserve">온대</x:t>
        </x:is>
      </x:c>
      <x:c r="W1012" s="5" t="inlineStr">
        <x:is>
          <x:t xml:space="preserve">수중</x:t>
        </x:is>
      </x:c>
      <x:c r="X1012" s="5" t="inlineStr">
        <x:is>
          <x:t xml:space="preserve">비</x:t>
        </x:is>
      </x:c>
      <x:c r="Y1012" s="5" t="inlineStr">
        <x:is>
          <x:t xml:space="preserve">무관</x:t>
        </x:is>
      </x:c>
      <x:c r="Z1012" s="5" t="inlineStr">
        <x:is>
          <x:t xml:space="preserve">전설</x:t>
        </x:is>
      </x:c>
      <x:c r="AA1012" s="5" t="inlineStr">
        <x:is>
          <x:t xml:space="preserve">전설</x:t>
        </x:is>
      </x:c>
      <x:c r="AB1012" s="5" t="inlineStr">
        <x:is>
          <x:t xml:space="preserve">해양</x:t>
        </x:is>
      </x:c>
      <x:c r="AC1012" s="5" t="inlineStr">
        <x:is>
          <x:t xml:space="preserve">gen9; legendary; restricted</x:t>
        </x:is>
      </x:c>
      <x:c r="AD1012" s="5" t="inlineStr">
        <x:is>
          <x:t xml:space="preserve">.tmp/cobblemon-1.7.3-source/common/src/main/resources/data/cobblemon/species/generation9/miraidon.json</x:t>
        </x:is>
      </x:c>
    </x:row>
    <x:row r="1013" ht="22" customHeight="1">
      <x:c r="A1013" s="5" t="n">
        <x:v>1009</x:v>
      </x:c>
      <x:c r="B1013" s="5" t="inlineStr">
        <x:is>
          <x:t xml:space="preserve">굽이치는물결</x:t>
        </x:is>
      </x:c>
      <x:c r="C1013" s="5" t="inlineStr">
        <x:is>
          <x:t xml:space="preserve">walkingwake</x:t>
        </x:is>
      </x:c>
      <x:c r="D1013" s="5" t="inlineStr">
        <x:is>
          <x:t xml:space="preserve">Walking Wake</x:t>
        </x:is>
      </x:c>
      <x:c r="E1013" s="5" t="n">
        <x:v>9</x:v>
      </x:c>
      <x:c r="F1013" s="5" t="inlineStr">
        <x:is>
          <x:t xml:space="preserve">물</x:t>
        </x:is>
      </x:c>
      <x:c r="G1013" s="5" t="inlineStr">
        <x:is>
          <x:t xml:space="preserve">드래곤</x:t>
        </x:is>
      </x:c>
      <x:c r="H1013" s="5" t="n">
        <x:v>3.5</x:v>
      </x:c>
      <x:c r="I1013" s="5" t="n">
        <x:v>280</x:v>
      </x:c>
      <x:c r="J1013" s="5" t="n">
        <x:v>590</x:v>
      </x:c>
      <x:c r="K1013" s="5" t="n">
        <x:v>5</x:v>
      </x:c>
      <x:c r="L1013" s="5" t="inlineStr">
        <x:is>
          <x:t xml:space="preserve">무진화</x:t>
        </x:is>
      </x:c>
      <x:c r="M1013" s="5" t="n"/>
      <x:c r="N1013" s="5" t="inlineStr">
        <x:is>
          <x:t xml:space="preserve">없음</x:t>
        </x:is>
      </x:c>
      <x:c r="O1013" s="5" t="inlineStr">
        <x:is>
          <x:t xml:space="preserve">예</x:t>
        </x:is>
      </x:c>
      <x:c r="P1013" s="5" t="inlineStr">
        <x:is>
          <x:t xml:space="preserve">#cobblemon:is_mountain</x:t>
        </x:is>
      </x:c>
      <x:c r="Q1013" s="5" t="inlineStr">
        <x:is>
          <x:t xml:space="preserve">ultra-rare</x:t>
        </x:is>
      </x:c>
      <x:c r="R1013" s="5" t="inlineStr">
        <x:is>
          <x:t xml:space="preserve"/>
        </x:is>
      </x:c>
      <x:c r="S1013" s="5" t="inlineStr">
        <x:is>
          <x:t xml:space="preserve">비=True</x:t>
        </x:is>
      </x:c>
      <x:c r="T1013" s="5" t="inlineStr">
        <x:is>
          <x:t xml:space="preserve">수륙</x:t>
        </x:is>
      </x:c>
      <x:c r="U1013" s="5" t="inlineStr">
        <x:is>
          <x:t xml:space="preserve">암석</x:t>
        </x:is>
      </x:c>
      <x:c r="V1013" s="5" t="inlineStr">
        <x:is>
          <x:t xml:space="preserve">온대</x:t>
        </x:is>
      </x:c>
      <x:c r="W1013" s="5" t="inlineStr">
        <x:is>
          <x:t xml:space="preserve">보통</x:t>
        </x:is>
      </x:c>
      <x:c r="X1013" s="5" t="inlineStr">
        <x:is>
          <x:t xml:space="preserve">무관</x:t>
        </x:is>
      </x:c>
      <x:c r="Y1013" s="5" t="inlineStr">
        <x:is>
          <x:t xml:space="preserve">무관</x:t>
        </x:is>
      </x:c>
      <x:c r="Z1013" s="5" t="inlineStr">
        <x:is>
          <x:t xml:space="preserve">희귀</x:t>
        </x:is>
      </x:c>
      <x:c r="AA1013" s="5" t="inlineStr">
        <x:is>
          <x:t xml:space="preserve">없음</x:t>
        </x:is>
      </x:c>
      <x:c r="AB1013" s="5" t="inlineStr">
        <x:is>
          <x:t xml:space="preserve">산악</x:t>
        </x:is>
      </x:c>
      <x:c r="AC1013" s="5" t="inlineStr">
        <x:is>
          <x:t xml:space="preserve">gen9; paradox</x:t>
        </x:is>
      </x:c>
      <x:c r="AD1013" s="5" t="inlineStr">
        <x:is>
          <x:t xml:space="preserve">.tmp/cobblemon-1.7.3-source/common/src/main/resources/data/cobblemon/species/generation9/walkingwake.json</x:t>
        </x:is>
      </x:c>
    </x:row>
    <x:row r="1014" ht="22" customHeight="1">
      <x:c r="A1014" s="5" t="n">
        <x:v>1010</x:v>
      </x:c>
      <x:c r="B1014" s="5" t="inlineStr">
        <x:is>
          <x:t xml:space="preserve">무쇠잎새</x:t>
        </x:is>
      </x:c>
      <x:c r="C1014" s="5" t="inlineStr">
        <x:is>
          <x:t xml:space="preserve">ironleaves</x:t>
        </x:is>
      </x:c>
      <x:c r="D1014" s="5" t="inlineStr">
        <x:is>
          <x:t xml:space="preserve">Iron Leaves</x:t>
        </x:is>
      </x:c>
      <x:c r="E1014" s="5" t="n">
        <x:v>9</x:v>
      </x:c>
      <x:c r="F1014" s="5" t="inlineStr">
        <x:is>
          <x:t xml:space="preserve">풀</x:t>
        </x:is>
      </x:c>
      <x:c r="G1014" s="5" t="inlineStr">
        <x:is>
          <x:t xml:space="preserve">에스퍼</x:t>
        </x:is>
      </x:c>
      <x:c r="H1014" s="5" t="n">
        <x:v>1.5</x:v>
      </x:c>
      <x:c r="I1014" s="5" t="n">
        <x:v>125</x:v>
      </x:c>
      <x:c r="J1014" s="5" t="n">
        <x:v>590</x:v>
      </x:c>
      <x:c r="K1014" s="5" t="n">
        <x:v>5</x:v>
      </x:c>
      <x:c r="L1014" s="5" t="inlineStr">
        <x:is>
          <x:t xml:space="preserve">무진화</x:t>
        </x:is>
      </x:c>
      <x:c r="M1014" s="5" t="n"/>
      <x:c r="N1014" s="5" t="inlineStr">
        <x:is>
          <x:t xml:space="preserve">없음</x:t>
        </x:is>
      </x:c>
      <x:c r="O1014" s="5" t="inlineStr">
        <x:is>
          <x:t xml:space="preserve">예</x:t>
        </x:is>
      </x:c>
      <x:c r="P1014" s="5" t="inlineStr">
        <x:is>
          <x:t xml:space="preserve">#cobblemon:is_forest</x:t>
        </x:is>
      </x:c>
      <x:c r="Q1014" s="5" t="inlineStr">
        <x:is>
          <x:t xml:space="preserve">ultra-rare</x:t>
        </x:is>
      </x:c>
      <x:c r="R1014" s="5" t="inlineStr">
        <x:is>
          <x:t xml:space="preserve">night</x:t>
        </x:is>
      </x:c>
      <x:c r="S1014" s="5" t="inlineStr">
        <x:is>
          <x:t xml:space="preserve"/>
        </x:is>
      </x:c>
      <x:c r="T1014" s="5" t="inlineStr">
        <x:is>
          <x:t xml:space="preserve">육상</x:t>
        </x:is>
      </x:c>
      <x:c r="U1014" s="5" t="inlineStr">
        <x:is>
          <x:t xml:space="preserve">수목</x:t>
        </x:is>
      </x:c>
      <x:c r="V1014" s="5" t="inlineStr">
        <x:is>
          <x:t xml:space="preserve">온대</x:t>
        </x:is>
      </x:c>
      <x:c r="W1014" s="5" t="inlineStr">
        <x:is>
          <x:t xml:space="preserve">보통</x:t>
        </x:is>
      </x:c>
      <x:c r="X1014" s="5" t="inlineStr">
        <x:is>
          <x:t xml:space="preserve">무관</x:t>
        </x:is>
      </x:c>
      <x:c r="Y1014" s="5" t="inlineStr">
        <x:is>
          <x:t xml:space="preserve">밤</x:t>
        </x:is>
      </x:c>
      <x:c r="Z1014" s="5" t="inlineStr">
        <x:is>
          <x:t xml:space="preserve">희귀</x:t>
        </x:is>
      </x:c>
      <x:c r="AA1014" s="5" t="inlineStr">
        <x:is>
          <x:t xml:space="preserve">없음</x:t>
        </x:is>
      </x:c>
      <x:c r="AB1014" s="5" t="inlineStr">
        <x:is>
          <x:t xml:space="preserve">숲</x:t>
        </x:is>
      </x:c>
      <x:c r="AC1014" s="5" t="inlineStr">
        <x:is>
          <x:t xml:space="preserve">gen9; paradox</x:t>
        </x:is>
      </x:c>
      <x:c r="AD1014" s="5" t="inlineStr">
        <x:is>
          <x:t xml:space="preserve">.tmp/cobblemon-1.7.3-source/common/src/main/resources/data/cobblemon/species/generation9/ironleaves.json</x:t>
        </x:is>
      </x:c>
    </x:row>
    <x:row r="1015" ht="22" customHeight="1">
      <x:c r="A1015" s="5" t="n">
        <x:v>1011</x:v>
      </x:c>
      <x:c r="B1015" s="5" t="inlineStr">
        <x:is>
          <x:t xml:space="preserve">과미르</x:t>
        </x:is>
      </x:c>
      <x:c r="C1015" s="5" t="inlineStr">
        <x:is>
          <x:t xml:space="preserve">dipplin</x:t>
        </x:is>
      </x:c>
      <x:c r="D1015" s="5" t="inlineStr">
        <x:is>
          <x:t xml:space="preserve">Dipplin</x:t>
        </x:is>
      </x:c>
      <x:c r="E1015" s="5" t="n">
        <x:v>9</x:v>
      </x:c>
      <x:c r="F1015" s="5" t="inlineStr">
        <x:is>
          <x:t xml:space="preserve">풀</x:t>
        </x:is>
      </x:c>
      <x:c r="G1015" s="5" t="inlineStr">
        <x:is>
          <x:t xml:space="preserve">드래곤</x:t>
        </x:is>
      </x:c>
      <x:c r="H1015" s="5" t="n">
        <x:v>0.4</x:v>
      </x:c>
      <x:c r="I1015" s="5" t="n">
        <x:v>4.4</x:v>
      </x:c>
      <x:c r="J1015" s="5" t="n">
        <x:v>485</x:v>
      </x:c>
      <x:c r="K1015" s="5" t="n">
        <x:v>45</x:v>
      </x:c>
      <x:c r="L1015" s="5" t="inlineStr">
        <x:is>
          <x:t xml:space="preserve">중간</x:t>
        </x:is>
      </x:c>
      <x:c r="M1015" s="5" t="n"/>
      <x:c r="N1015" s="5" t="inlineStr">
        <x:is>
          <x:t xml:space="preserve">특수</x:t>
        </x:is>
      </x:c>
      <x:c r="O1015" s="5" t="inlineStr">
        <x:is>
          <x:t xml:space="preserve">아니오</x:t>
        </x:is>
      </x:c>
      <x:c r="P1015" s="5" t="inlineStr">
        <x:is>
          <x:t xml:space="preserve">#cobblemon:is_floral</x:t>
        </x:is>
      </x:c>
      <x:c r="Q1015" s="5" t="inlineStr">
        <x:is>
          <x:t xml:space="preserve">rare</x:t>
        </x:is>
      </x:c>
      <x:c r="R1015" s="5" t="inlineStr">
        <x:is>
          <x:t xml:space="preserve">day</x:t>
        </x:is>
      </x:c>
      <x:c r="S1015" s="5" t="inlineStr">
        <x:is>
          <x:t xml:space="preserve">비=False</x:t>
        </x:is>
      </x:c>
      <x:c r="T1015" s="5" t="inlineStr">
        <x:is>
          <x:t xml:space="preserve">육상</x:t>
        </x:is>
      </x:c>
      <x:c r="U1015" s="5" t="inlineStr">
        <x:is>
          <x:t xml:space="preserve">수목</x:t>
        </x:is>
      </x:c>
      <x:c r="V1015" s="5" t="inlineStr">
        <x:is>
          <x:t xml:space="preserve">온대</x:t>
        </x:is>
      </x:c>
      <x:c r="W1015" s="5" t="inlineStr">
        <x:is>
          <x:t xml:space="preserve">보통</x:t>
        </x:is>
      </x:c>
      <x:c r="X1015" s="5" t="inlineStr">
        <x:is>
          <x:t xml:space="preserve">무관</x:t>
        </x:is>
      </x:c>
      <x:c r="Y1015" s="5" t="inlineStr">
        <x:is>
          <x:t xml:space="preserve">낮</x:t>
        </x:is>
      </x:c>
      <x:c r="Z1015" s="5" t="inlineStr">
        <x:is>
          <x:t xml:space="preserve">드묾</x:t>
        </x:is>
      </x:c>
      <x:c r="AA1015" s="5" t="inlineStr">
        <x:is>
          <x:t xml:space="preserve">없음</x:t>
        </x:is>
      </x:c>
      <x:c r="AB1015" s="5" t="inlineStr">
        <x:is>
          <x:t xml:space="preserve"/>
        </x:is>
      </x:c>
      <x:c r="AC1015" s="5" t="inlineStr">
        <x:is>
          <x:t xml:space="preserve">gen9</x:t>
        </x:is>
      </x:c>
      <x:c r="AD1015" s="5" t="inlineStr">
        <x:is>
          <x:t xml:space="preserve">.tmp/cobblemon-1.7.3-source/common/src/main/resources/data/cobblemon/species/generation9/dipplin.json</x:t>
        </x:is>
      </x:c>
    </x:row>
    <x:row r="1016" ht="22" customHeight="1">
      <x:c r="A1016" s="5" t="n">
        <x:v>1012</x:v>
      </x:c>
      <x:c r="B1016" s="5" t="inlineStr">
        <x:is>
          <x:t xml:space="preserve">차데스</x:t>
        </x:is>
      </x:c>
      <x:c r="C1016" s="5" t="inlineStr">
        <x:is>
          <x:t xml:space="preserve">poltchageist</x:t>
        </x:is>
      </x:c>
      <x:c r="D1016" s="5" t="inlineStr">
        <x:is>
          <x:t xml:space="preserve">Poltchageist</x:t>
        </x:is>
      </x:c>
      <x:c r="E1016" s="5" t="n">
        <x:v>9</x:v>
      </x:c>
      <x:c r="F1016" s="5" t="inlineStr">
        <x:is>
          <x:t xml:space="preserve">풀</x:t>
        </x:is>
      </x:c>
      <x:c r="G1016" s="5" t="inlineStr">
        <x:is>
          <x:t xml:space="preserve">고스트</x:t>
        </x:is>
      </x:c>
      <x:c r="H1016" s="5" t="n">
        <x:v>0.1</x:v>
      </x:c>
      <x:c r="I1016" s="5" t="n">
        <x:v>1.1</x:v>
      </x:c>
      <x:c r="J1016" s="5" t="n">
        <x:v>308</x:v>
      </x:c>
      <x:c r="K1016" s="5" t="n">
        <x:v>120</x:v>
      </x:c>
      <x:c r="L1016" s="5" t="inlineStr">
        <x:is>
          <x:t xml:space="preserve">기본</x:t>
        </x:is>
      </x:c>
      <x:c r="M1016" s="5" t="n"/>
      <x:c r="N1016" s="5" t="inlineStr">
        <x:is>
          <x:t xml:space="preserve">특수</x:t>
        </x:is>
      </x:c>
      <x:c r="O1016" s="5" t="inlineStr">
        <x:is>
          <x:t xml:space="preserve">예</x:t>
        </x:is>
      </x:c>
      <x:c r="P1016" s="5" t="inlineStr">
        <x:is>
          <x:t xml:space="preserve">#cobblemon:is_arid; #cobblemon:is_bamboo; #cobblemon:is_cherry_blossom; #cobblemon:is_forest; #cobblemon:is_island; #cobblemon:is_jungle; #cobblemon:is_ocean; #cobblemon:is_swamp; #cobblemon:is_thermal; #cobblemon:is_volcanic</x:t>
        </x:is>
      </x:c>
      <x:c r="Q1016" s="5" t="inlineStr">
        <x:is>
          <x:t xml:space="preserve">uncommon</x:t>
        </x:is>
      </x:c>
      <x:c r="R1016" s="5" t="inlineStr">
        <x:is>
          <x:t xml:space="preserve">day; night</x:t>
        </x:is>
      </x:c>
      <x:c r="S1016" s="5" t="inlineStr">
        <x:is>
          <x:t xml:space="preserve"/>
        </x:is>
      </x:c>
      <x:c r="T1016" s="5" t="inlineStr">
        <x:is>
          <x:t xml:space="preserve">비행</x:t>
        </x:is>
      </x:c>
      <x:c r="U1016" s="5" t="inlineStr">
        <x:is>
          <x:t xml:space="preserve">수목</x:t>
        </x:is>
      </x:c>
      <x:c r="V1016" s="5" t="inlineStr">
        <x:is>
          <x:t xml:space="preserve">온대</x:t>
        </x:is>
      </x:c>
      <x:c r="W1016" s="5" t="inlineStr">
        <x:is>
          <x:t xml:space="preserve">다습</x:t>
        </x:is>
      </x:c>
      <x:c r="X1016" s="5" t="inlineStr">
        <x:is>
          <x:t xml:space="preserve">안개</x:t>
        </x:is>
      </x:c>
      <x:c r="Y1016" s="5" t="inlineStr">
        <x:is>
          <x:t xml:space="preserve">밤</x:t>
        </x:is>
      </x:c>
      <x:c r="Z1016" s="5" t="inlineStr">
        <x:is>
          <x:t xml:space="preserve">보통</x:t>
        </x:is>
      </x:c>
      <x:c r="AA1016" s="5" t="inlineStr">
        <x:is>
          <x:t xml:space="preserve">영체</x:t>
        </x:is>
      </x:c>
      <x:c r="AB1016" s="5" t="inlineStr">
        <x:is>
          <x:t xml:space="preserve">숲</x:t>
        </x:is>
      </x:c>
      <x:c r="AC1016" s="5" t="inlineStr">
        <x:is>
          <x:t xml:space="preserve">gen9</x:t>
        </x:is>
      </x:c>
      <x:c r="AD1016" s="5" t="inlineStr">
        <x:is>
          <x:t xml:space="preserve">.tmp/cobblemon-1.7.3-source/common/src/main/resources/data/cobblemon/species/generation9/poltchageist.json</x:t>
        </x:is>
      </x:c>
    </x:row>
    <x:row r="1017" ht="22" customHeight="1">
      <x:c r="A1017" s="5" t="n">
        <x:v>1013</x:v>
      </x:c>
      <x:c r="B1017" s="5" t="inlineStr">
        <x:is>
          <x:t xml:space="preserve">그우린차</x:t>
        </x:is>
      </x:c>
      <x:c r="C1017" s="5" t="inlineStr">
        <x:is>
          <x:t xml:space="preserve">sinistcha</x:t>
        </x:is>
      </x:c>
      <x:c r="D1017" s="5" t="inlineStr">
        <x:is>
          <x:t xml:space="preserve">Sinistcha</x:t>
        </x:is>
      </x:c>
      <x:c r="E1017" s="5" t="n">
        <x:v>9</x:v>
      </x:c>
      <x:c r="F1017" s="5" t="inlineStr">
        <x:is>
          <x:t xml:space="preserve">풀</x:t>
        </x:is>
      </x:c>
      <x:c r="G1017" s="5" t="inlineStr">
        <x:is>
          <x:t xml:space="preserve">고스트</x:t>
        </x:is>
      </x:c>
      <x:c r="H1017" s="5" t="n">
        <x:v>0.2</x:v>
      </x:c>
      <x:c r="I1017" s="5" t="n">
        <x:v>2.2</x:v>
      </x:c>
      <x:c r="J1017" s="5" t="n">
        <x:v>508</x:v>
      </x:c>
      <x:c r="K1017" s="5" t="n">
        <x:v>60</x:v>
      </x:c>
      <x:c r="L1017" s="5" t="inlineStr">
        <x:is>
          <x:t xml:space="preserve">최종</x:t>
        </x:is>
      </x:c>
      <x:c r="M1017" s="5" t="n"/>
      <x:c r="N1017" s="5" t="inlineStr">
        <x:is>
          <x:t xml:space="preserve">특수</x:t>
        </x:is>
      </x:c>
      <x:c r="O1017" s="5" t="inlineStr">
        <x:is>
          <x:t xml:space="preserve">예</x:t>
        </x:is>
      </x:c>
      <x:c r="P1017" s="5" t="inlineStr">
        <x:is>
          <x:t xml:space="preserve">#cobblemon:is_arid; #cobblemon:is_bamboo; #cobblemon:is_cherry_blossom; #cobblemon:is_forest; #cobblemon:is_island; #cobblemon:is_jungle; #cobblemon:is_ocean; #cobblemon:is_swamp; #cobblemon:is_thermal; #cobblemon:is_volcanic</x:t>
        </x:is>
      </x:c>
      <x:c r="Q1017" s="5" t="inlineStr">
        <x:is>
          <x:t xml:space="preserve">uncommon</x:t>
        </x:is>
      </x:c>
      <x:c r="R1017" s="5" t="inlineStr">
        <x:is>
          <x:t xml:space="preserve">day; night</x:t>
        </x:is>
      </x:c>
      <x:c r="S1017" s="5" t="inlineStr">
        <x:is>
          <x:t xml:space="preserve"/>
        </x:is>
      </x:c>
      <x:c r="T1017" s="5" t="inlineStr">
        <x:is>
          <x:t xml:space="preserve">비행</x:t>
        </x:is>
      </x:c>
      <x:c r="U1017" s="5" t="inlineStr">
        <x:is>
          <x:t xml:space="preserve">수목</x:t>
        </x:is>
      </x:c>
      <x:c r="V1017" s="5" t="inlineStr">
        <x:is>
          <x:t xml:space="preserve">온대</x:t>
        </x:is>
      </x:c>
      <x:c r="W1017" s="5" t="inlineStr">
        <x:is>
          <x:t xml:space="preserve">다습</x:t>
        </x:is>
      </x:c>
      <x:c r="X1017" s="5" t="inlineStr">
        <x:is>
          <x:t xml:space="preserve">안개</x:t>
        </x:is>
      </x:c>
      <x:c r="Y1017" s="5" t="inlineStr">
        <x:is>
          <x:t xml:space="preserve">밤</x:t>
        </x:is>
      </x:c>
      <x:c r="Z1017" s="5" t="inlineStr">
        <x:is>
          <x:t xml:space="preserve">보통</x:t>
        </x:is>
      </x:c>
      <x:c r="AA1017" s="5" t="inlineStr">
        <x:is>
          <x:t xml:space="preserve">영체</x:t>
        </x:is>
      </x:c>
      <x:c r="AB1017" s="5" t="inlineStr">
        <x:is>
          <x:t xml:space="preserve">숲</x:t>
        </x:is>
      </x:c>
      <x:c r="AC1017" s="5" t="inlineStr">
        <x:is>
          <x:t xml:space="preserve">gen9</x:t>
        </x:is>
      </x:c>
      <x:c r="AD1017" s="5" t="inlineStr">
        <x:is>
          <x:t xml:space="preserve">.tmp/cobblemon-1.7.3-source/common/src/main/resources/data/cobblemon/species/generation9/sinistcha.json</x:t>
        </x:is>
      </x:c>
    </x:row>
    <x:row r="1018" ht="22" customHeight="1">
      <x:c r="A1018" s="5" t="n">
        <x:v>1014</x:v>
      </x:c>
      <x:c r="B1018" s="5" t="inlineStr">
        <x:is>
          <x:t xml:space="preserve">조타구</x:t>
        </x:is>
      </x:c>
      <x:c r="C1018" s="5" t="inlineStr">
        <x:is>
          <x:t xml:space="preserve">okidogi</x:t>
        </x:is>
      </x:c>
      <x:c r="D1018" s="5" t="inlineStr">
        <x:is>
          <x:t xml:space="preserve">Okidogi</x:t>
        </x:is>
      </x:c>
      <x:c r="E1018" s="5" t="n">
        <x:v>9</x:v>
      </x:c>
      <x:c r="F1018" s="5" t="inlineStr">
        <x:is>
          <x:t xml:space="preserve">독</x:t>
        </x:is>
      </x:c>
      <x:c r="G1018" s="5" t="inlineStr">
        <x:is>
          <x:t xml:space="preserve">격투</x:t>
        </x:is>
      </x:c>
      <x:c r="H1018" s="5" t="n">
        <x:v>1.8</x:v>
      </x:c>
      <x:c r="I1018" s="5" t="n">
        <x:v>92.2</x:v>
      </x:c>
      <x:c r="J1018" s="5" t="n">
        <x:v>555</x:v>
      </x:c>
      <x:c r="K1018" s="5" t="n">
        <x:v>3</x:v>
      </x:c>
      <x:c r="L1018" s="5" t="inlineStr">
        <x:is>
          <x:t xml:space="preserve">무진화</x:t>
        </x:is>
      </x:c>
      <x:c r="M1018" s="5" t="n"/>
      <x:c r="N1018" s="5" t="inlineStr">
        <x:is>
          <x:t xml:space="preserve">없음</x:t>
        </x:is>
      </x:c>
      <x:c r="O1018" s="5" t="inlineStr">
        <x:is>
          <x:t xml:space="preserve">아니오</x:t>
        </x:is>
      </x:c>
      <x:c r="P1018" s="5" t="inlineStr">
        <x:is>
          <x:t xml:space="preserve">#cobblemon:is_savanna</x:t>
        </x:is>
      </x:c>
      <x:c r="Q1018" s="5" t="inlineStr">
        <x:is>
          <x:t xml:space="preserve">ultra-rare</x:t>
        </x:is>
      </x:c>
      <x:c r="R1018" s="5" t="inlineStr">
        <x:is>
          <x:t xml:space="preserve"/>
        </x:is>
      </x:c>
      <x:c r="S1018" s="5" t="inlineStr">
        <x:is>
          <x:t xml:space="preserve"/>
        </x:is>
      </x:c>
      <x:c r="T1018" s="5" t="inlineStr">
        <x:is>
          <x:t xml:space="preserve">육상</x:t>
        </x:is>
      </x:c>
      <x:c r="U1018" s="5" t="inlineStr">
        <x:is>
          <x:t xml:space="preserve">개활지</x:t>
        </x:is>
      </x:c>
      <x:c r="V1018" s="5" t="inlineStr">
        <x:is>
          <x:t xml:space="preserve">온대</x:t>
        </x:is>
      </x:c>
      <x:c r="W1018" s="5" t="inlineStr">
        <x:is>
          <x:t xml:space="preserve">보통</x:t>
        </x:is>
      </x:c>
      <x:c r="X1018" s="5" t="inlineStr">
        <x:is>
          <x:t xml:space="preserve">무관</x:t>
        </x:is>
      </x:c>
      <x:c r="Y1018" s="5" t="inlineStr">
        <x:is>
          <x:t xml:space="preserve">무관</x:t>
        </x:is>
      </x:c>
      <x:c r="Z1018" s="5" t="inlineStr">
        <x:is>
          <x:t xml:space="preserve">전설</x:t>
        </x:is>
      </x:c>
      <x:c r="AA1018" s="5" t="inlineStr">
        <x:is>
          <x:t xml:space="preserve">전설</x:t>
        </x:is>
      </x:c>
      <x:c r="AB1018" s="5" t="inlineStr">
        <x:is>
          <x:t xml:space="preserve">평원</x:t>
        </x:is>
      </x:c>
      <x:c r="AC1018" s="5" t="inlineStr">
        <x:is>
          <x:t xml:space="preserve">gen9; legendary</x:t>
        </x:is>
      </x:c>
      <x:c r="AD1018" s="5" t="inlineStr">
        <x:is>
          <x:t xml:space="preserve">.tmp/cobblemon-1.7.3-source/common/src/main/resources/data/cobblemon/species/generation9/okidogi.json</x:t>
        </x:is>
      </x:c>
    </x:row>
    <x:row r="1019" ht="22" customHeight="1">
      <x:c r="A1019" s="5" t="n">
        <x:v>1015</x:v>
      </x:c>
      <x:c r="B1019" s="5" t="inlineStr">
        <x:is>
          <x:t xml:space="preserve">이야후</x:t>
        </x:is>
      </x:c>
      <x:c r="C1019" s="5" t="inlineStr">
        <x:is>
          <x:t xml:space="preserve">munkidori</x:t>
        </x:is>
      </x:c>
      <x:c r="D1019" s="5" t="inlineStr">
        <x:is>
          <x:t xml:space="preserve">Munkidori</x:t>
        </x:is>
      </x:c>
      <x:c r="E1019" s="5" t="n">
        <x:v>9</x:v>
      </x:c>
      <x:c r="F1019" s="5" t="inlineStr">
        <x:is>
          <x:t xml:space="preserve">독</x:t>
        </x:is>
      </x:c>
      <x:c r="G1019" s="5" t="inlineStr">
        <x:is>
          <x:t xml:space="preserve">에스퍼</x:t>
        </x:is>
      </x:c>
      <x:c r="H1019" s="5" t="n">
        <x:v>1</x:v>
      </x:c>
      <x:c r="I1019" s="5" t="n">
        <x:v>12.2</x:v>
      </x:c>
      <x:c r="J1019" s="5" t="n">
        <x:v>555</x:v>
      </x:c>
      <x:c r="K1019" s="5" t="n">
        <x:v>3</x:v>
      </x:c>
      <x:c r="L1019" s="5" t="inlineStr">
        <x:is>
          <x:t xml:space="preserve">무진화</x:t>
        </x:is>
      </x:c>
      <x:c r="M1019" s="5" t="n"/>
      <x:c r="N1019" s="5" t="inlineStr">
        <x:is>
          <x:t xml:space="preserve">없음</x:t>
        </x:is>
      </x:c>
      <x:c r="O1019" s="5" t="inlineStr">
        <x:is>
          <x:t xml:space="preserve">아니오</x:t>
        </x:is>
      </x:c>
      <x:c r="P1019" s="5" t="inlineStr">
        <x:is>
          <x:t xml:space="preserve">#cobblemon:is_jungle</x:t>
        </x:is>
      </x:c>
      <x:c r="Q1019" s="5" t="inlineStr">
        <x:is>
          <x:t xml:space="preserve">ultra-rare</x:t>
        </x:is>
      </x:c>
      <x:c r="R1019" s="5" t="inlineStr">
        <x:is>
          <x:t xml:space="preserve"/>
        </x:is>
      </x:c>
      <x:c r="S1019" s="5" t="inlineStr">
        <x:is>
          <x:t xml:space="preserve"/>
        </x:is>
      </x:c>
      <x:c r="T1019" s="5" t="inlineStr">
        <x:is>
          <x:t xml:space="preserve">육상</x:t>
        </x:is>
      </x:c>
      <x:c r="U1019" s="5" t="inlineStr">
        <x:is>
          <x:t xml:space="preserve">수목</x:t>
        </x:is>
      </x:c>
      <x:c r="V1019" s="5" t="inlineStr">
        <x:is>
          <x:t xml:space="preserve">온대</x:t>
        </x:is>
      </x:c>
      <x:c r="W1019" s="5" t="inlineStr">
        <x:is>
          <x:t xml:space="preserve">다습</x:t>
        </x:is>
      </x:c>
      <x:c r="X1019" s="5" t="inlineStr">
        <x:is>
          <x:t xml:space="preserve">무관</x:t>
        </x:is>
      </x:c>
      <x:c r="Y1019" s="5" t="inlineStr">
        <x:is>
          <x:t xml:space="preserve">무관</x:t>
        </x:is>
      </x:c>
      <x:c r="Z1019" s="5" t="inlineStr">
        <x:is>
          <x:t xml:space="preserve">전설</x:t>
        </x:is>
      </x:c>
      <x:c r="AA1019" s="5" t="inlineStr">
        <x:is>
          <x:t xml:space="preserve">전설</x:t>
        </x:is>
      </x:c>
      <x:c r="AB1019" s="5" t="inlineStr">
        <x:is>
          <x:t xml:space="preserve">숲</x:t>
        </x:is>
      </x:c>
      <x:c r="AC1019" s="5" t="inlineStr">
        <x:is>
          <x:t xml:space="preserve">gen9; legendary</x:t>
        </x:is>
      </x:c>
      <x:c r="AD1019" s="5" t="inlineStr">
        <x:is>
          <x:t xml:space="preserve">.tmp/cobblemon-1.7.3-source/common/src/main/resources/data/cobblemon/species/generation9/munkidori.json</x:t>
        </x:is>
      </x:c>
    </x:row>
    <x:row r="1020" ht="22" customHeight="1">
      <x:c r="A1020" s="5" t="n">
        <x:v>1016</x:v>
      </x:c>
      <x:c r="B1020" s="5" t="inlineStr">
        <x:is>
          <x:t xml:space="preserve">기로치</x:t>
        </x:is>
      </x:c>
      <x:c r="C1020" s="5" t="inlineStr">
        <x:is>
          <x:t xml:space="preserve">fezandipiti</x:t>
        </x:is>
      </x:c>
      <x:c r="D1020" s="5" t="inlineStr">
        <x:is>
          <x:t xml:space="preserve">Fezandipiti</x:t>
        </x:is>
      </x:c>
      <x:c r="E1020" s="5" t="n">
        <x:v>9</x:v>
      </x:c>
      <x:c r="F1020" s="5" t="inlineStr">
        <x:is>
          <x:t xml:space="preserve">독</x:t>
        </x:is>
      </x:c>
      <x:c r="G1020" s="5" t="inlineStr">
        <x:is>
          <x:t xml:space="preserve">페어리</x:t>
        </x:is>
      </x:c>
      <x:c r="H1020" s="5" t="n">
        <x:v>1.4</x:v>
      </x:c>
      <x:c r="I1020" s="5" t="n">
        <x:v>30.1</x:v>
      </x:c>
      <x:c r="J1020" s="5" t="n">
        <x:v>555</x:v>
      </x:c>
      <x:c r="K1020" s="5" t="n">
        <x:v>3</x:v>
      </x:c>
      <x:c r="L1020" s="5" t="inlineStr">
        <x:is>
          <x:t xml:space="preserve">무진화</x:t>
        </x:is>
      </x:c>
      <x:c r="M1020" s="5" t="n"/>
      <x:c r="N1020" s="5" t="inlineStr">
        <x:is>
          <x:t xml:space="preserve">없음</x:t>
        </x:is>
      </x:c>
      <x:c r="O1020" s="5" t="inlineStr">
        <x:is>
          <x:t xml:space="preserve">아니오</x:t>
        </x:is>
      </x:c>
      <x:c r="P1020" s="5" t="inlineStr">
        <x:is>
          <x:t xml:space="preserve">#cobblemon:is_peak</x:t>
        </x:is>
      </x:c>
      <x:c r="Q1020" s="5" t="inlineStr">
        <x:is>
          <x:t xml:space="preserve">ultra-rare</x:t>
        </x:is>
      </x:c>
      <x:c r="R1020" s="5" t="inlineStr">
        <x:is>
          <x:t xml:space="preserve"/>
        </x:is>
      </x:c>
      <x:c r="S1020" s="5" t="inlineStr">
        <x:is>
          <x:t xml:space="preserve"/>
        </x:is>
      </x:c>
      <x:c r="T1020" s="5" t="inlineStr">
        <x:is>
          <x:t xml:space="preserve">비행</x:t>
        </x:is>
      </x:c>
      <x:c r="U1020" s="5" t="inlineStr">
        <x:is>
          <x:t xml:space="preserve">암석</x:t>
        </x:is>
      </x:c>
      <x:c r="V1020" s="5" t="inlineStr">
        <x:is>
          <x:t xml:space="preserve">온대</x:t>
        </x:is>
      </x:c>
      <x:c r="W1020" s="5" t="inlineStr">
        <x:is>
          <x:t xml:space="preserve">보통</x:t>
        </x:is>
      </x:c>
      <x:c r="X1020" s="5" t="inlineStr">
        <x:is>
          <x:t xml:space="preserve">무관</x:t>
        </x:is>
      </x:c>
      <x:c r="Y1020" s="5" t="inlineStr">
        <x:is>
          <x:t xml:space="preserve">무관</x:t>
        </x:is>
      </x:c>
      <x:c r="Z1020" s="5" t="inlineStr">
        <x:is>
          <x:t xml:space="preserve">전설</x:t>
        </x:is>
      </x:c>
      <x:c r="AA1020" s="5" t="inlineStr">
        <x:is>
          <x:t xml:space="preserve">전설</x:t>
        </x:is>
      </x:c>
      <x:c r="AB1020" s="5" t="inlineStr">
        <x:is>
          <x:t xml:space="preserve">산악</x:t>
        </x:is>
      </x:c>
      <x:c r="AC1020" s="5" t="inlineStr">
        <x:is>
          <x:t xml:space="preserve">gen9; legendary</x:t>
        </x:is>
      </x:c>
      <x:c r="AD1020" s="5" t="inlineStr">
        <x:is>
          <x:t xml:space="preserve">.tmp/cobblemon-1.7.3-source/common/src/main/resources/data/cobblemon/species/generation9/fezandipiti.json</x:t>
        </x:is>
      </x:c>
    </x:row>
    <x:row r="1021" ht="22" customHeight="1">
      <x:c r="A1021" s="5" t="n">
        <x:v>1017</x:v>
      </x:c>
      <x:c r="B1021" s="5" t="inlineStr">
        <x:is>
          <x:t xml:space="preserve">오거폰</x:t>
        </x:is>
      </x:c>
      <x:c r="C1021" s="5" t="inlineStr">
        <x:is>
          <x:t xml:space="preserve">ogerpon</x:t>
        </x:is>
      </x:c>
      <x:c r="D1021" s="5" t="inlineStr">
        <x:is>
          <x:t xml:space="preserve">Ogerpon</x:t>
        </x:is>
      </x:c>
      <x:c r="E1021" s="5" t="n">
        <x:v>9</x:v>
      </x:c>
      <x:c r="F1021" s="5" t="inlineStr">
        <x:is>
          <x:t xml:space="preserve">풀</x:t>
        </x:is>
      </x:c>
      <x:c r="G1021" s="5" t="inlineStr">
        <x:is>
          <x:t xml:space="preserve"/>
        </x:is>
      </x:c>
      <x:c r="H1021" s="5" t="n">
        <x:v>1.2</x:v>
      </x:c>
      <x:c r="I1021" s="5" t="n">
        <x:v>39.8</x:v>
      </x:c>
      <x:c r="J1021" s="5" t="n">
        <x:v>550</x:v>
      </x:c>
      <x:c r="K1021" s="5" t="n">
        <x:v>5</x:v>
      </x:c>
      <x:c r="L1021" s="5" t="inlineStr">
        <x:is>
          <x:t xml:space="preserve">무진화</x:t>
        </x:is>
      </x:c>
      <x:c r="M1021" s="5" t="n"/>
      <x:c r="N1021" s="5" t="inlineStr">
        <x:is>
          <x:t xml:space="preserve">없음</x:t>
        </x:is>
      </x:c>
      <x:c r="O1021" s="5" t="inlineStr">
        <x:is>
          <x:t xml:space="preserve">아니오</x:t>
        </x:is>
      </x:c>
      <x:c r="P1021" s="5" t="inlineStr">
        <x:is>
          <x:t xml:space="preserve">#cobblemon:is_lush</x:t>
        </x:is>
      </x:c>
      <x:c r="Q1021" s="5" t="inlineStr">
        <x:is>
          <x:t xml:space="preserve">ultra-rare</x:t>
        </x:is>
      </x:c>
      <x:c r="R1021" s="5" t="inlineStr">
        <x:is>
          <x:t xml:space="preserve"/>
        </x:is>
      </x:c>
      <x:c r="S1021" s="5" t="inlineStr">
        <x:is>
          <x:t xml:space="preserve"/>
        </x:is>
      </x:c>
      <x:c r="T1021" s="5" t="inlineStr">
        <x:is>
          <x:t xml:space="preserve">육상</x:t>
        </x:is>
      </x:c>
      <x:c r="U1021" s="5" t="inlineStr">
        <x:is>
          <x:t xml:space="preserve">수목</x:t>
        </x:is>
      </x:c>
      <x:c r="V1021" s="5" t="inlineStr">
        <x:is>
          <x:t xml:space="preserve">온대</x:t>
        </x:is>
      </x:c>
      <x:c r="W1021" s="5" t="inlineStr">
        <x:is>
          <x:t xml:space="preserve">보통</x:t>
        </x:is>
      </x:c>
      <x:c r="X1021" s="5" t="inlineStr">
        <x:is>
          <x:t xml:space="preserve">무관</x:t>
        </x:is>
      </x:c>
      <x:c r="Y1021" s="5" t="inlineStr">
        <x:is>
          <x:t xml:space="preserve">무관</x:t>
        </x:is>
      </x:c>
      <x:c r="Z1021" s="5" t="inlineStr">
        <x:is>
          <x:t xml:space="preserve">전설</x:t>
        </x:is>
      </x:c>
      <x:c r="AA1021" s="5" t="inlineStr">
        <x:is>
          <x:t xml:space="preserve">전설</x:t>
        </x:is>
      </x:c>
      <x:c r="AB1021" s="5" t="inlineStr">
        <x:is>
          <x:t xml:space="preserve"/>
        </x:is>
      </x:c>
      <x:c r="AC1021" s="5" t="inlineStr">
        <x:is>
          <x:t xml:space="preserve">gen9; legendary</x:t>
        </x:is>
      </x:c>
      <x:c r="AD1021" s="5" t="inlineStr">
        <x:is>
          <x:t xml:space="preserve">.tmp/cobblemon-1.7.3-source/common/src/main/resources/data/cobblemon/species/generation9/ogerpon.json</x:t>
        </x:is>
      </x:c>
    </x:row>
    <x:row r="1022" ht="22" customHeight="1">
      <x:c r="A1022" s="5" t="n">
        <x:v>1018</x:v>
      </x:c>
      <x:c r="B1022" s="5" t="inlineStr">
        <x:is>
          <x:t xml:space="preserve">브리두라스</x:t>
        </x:is>
      </x:c>
      <x:c r="C1022" s="5" t="inlineStr">
        <x:is>
          <x:t xml:space="preserve">archaludon</x:t>
        </x:is>
      </x:c>
      <x:c r="D1022" s="5" t="inlineStr">
        <x:is>
          <x:t xml:space="preserve">Archaludon</x:t>
        </x:is>
      </x:c>
      <x:c r="E1022" s="5" t="n">
        <x:v>9</x:v>
      </x:c>
      <x:c r="F1022" s="5" t="inlineStr">
        <x:is>
          <x:t xml:space="preserve">강철</x:t>
        </x:is>
      </x:c>
      <x:c r="G1022" s="5" t="inlineStr">
        <x:is>
          <x:t xml:space="preserve">드래곤</x:t>
        </x:is>
      </x:c>
      <x:c r="H1022" s="5" t="n">
        <x:v>2</x:v>
      </x:c>
      <x:c r="I1022" s="5" t="n">
        <x:v>60</x:v>
      </x:c>
      <x:c r="J1022" s="5" t="n">
        <x:v>600</x:v>
      </x:c>
      <x:c r="K1022" s="5" t="n">
        <x:v>10</x:v>
      </x:c>
      <x:c r="L1022" s="5" t="inlineStr">
        <x:is>
          <x:t xml:space="preserve">최종</x:t>
        </x:is>
      </x:c>
      <x:c r="M1022" s="5" t="n"/>
      <x:c r="N1022" s="5" t="inlineStr">
        <x:is>
          <x:t xml:space="preserve">특수</x:t>
        </x:is>
      </x:c>
      <x:c r="O1022" s="5" t="inlineStr">
        <x:is>
          <x:t xml:space="preserve">아니오</x:t>
        </x:is>
      </x:c>
      <x:c r="P1022" s="5" t="inlineStr">
        <x:is>
          <x:t xml:space="preserve">#cobblemon:is_glacial</x:t>
        </x:is>
      </x:c>
      <x:c r="Q1022" s="5" t="inlineStr">
        <x:is>
          <x:t xml:space="preserve">ultra-rare</x:t>
        </x:is>
      </x:c>
      <x:c r="R1022" s="5" t="inlineStr">
        <x:is>
          <x:t xml:space="preserve"/>
        </x:is>
      </x:c>
      <x:c r="S1022" s="5" t="inlineStr">
        <x:is>
          <x:t xml:space="preserve"/>
        </x:is>
      </x:c>
      <x:c r="T1022" s="5" t="inlineStr">
        <x:is>
          <x:t xml:space="preserve">육상</x:t>
        </x:is>
      </x:c>
      <x:c r="U1022" s="5" t="inlineStr">
        <x:is>
          <x:t xml:space="preserve">개활지</x:t>
        </x:is>
      </x:c>
      <x:c r="V1022" s="5" t="inlineStr">
        <x:is>
          <x:t xml:space="preserve">온대</x:t>
        </x:is>
      </x:c>
      <x:c r="W1022" s="5" t="inlineStr">
        <x:is>
          <x:t xml:space="preserve">보통</x:t>
        </x:is>
      </x:c>
      <x:c r="X1022" s="5" t="inlineStr">
        <x:is>
          <x:t xml:space="preserve">무관</x:t>
        </x:is>
      </x:c>
      <x:c r="Y1022" s="5" t="inlineStr">
        <x:is>
          <x:t xml:space="preserve">무관</x:t>
        </x:is>
      </x:c>
      <x:c r="Z1022" s="5" t="inlineStr">
        <x:is>
          <x:t xml:space="preserve">희귀</x:t>
        </x:is>
      </x:c>
      <x:c r="AA1022" s="5" t="inlineStr">
        <x:is>
          <x:t xml:space="preserve">없음</x:t>
        </x:is>
      </x:c>
      <x:c r="AB1022" s="5" t="inlineStr">
        <x:is>
          <x:t xml:space="preserve"/>
        </x:is>
      </x:c>
      <x:c r="AC1022" s="5" t="inlineStr">
        <x:is>
          <x:t xml:space="preserve">gen9</x:t>
        </x:is>
      </x:c>
      <x:c r="AD1022" s="5" t="inlineStr">
        <x:is>
          <x:t xml:space="preserve">.tmp/cobblemon-1.7.3-source/common/src/main/resources/data/cobblemon/species/generation9/archaludon.json</x:t>
        </x:is>
      </x:c>
    </x:row>
    <x:row r="1023" ht="22" customHeight="1">
      <x:c r="A1023" s="5" t="n">
        <x:v>1019</x:v>
      </x:c>
      <x:c r="B1023" s="5" t="inlineStr">
        <x:is>
          <x:t xml:space="preserve">과미드라</x:t>
        </x:is>
      </x:c>
      <x:c r="C1023" s="5" t="inlineStr">
        <x:is>
          <x:t xml:space="preserve">hydrapple</x:t>
        </x:is>
      </x:c>
      <x:c r="D1023" s="5" t="inlineStr">
        <x:is>
          <x:t xml:space="preserve">Hydrapple</x:t>
        </x:is>
      </x:c>
      <x:c r="E1023" s="5" t="n">
        <x:v>9</x:v>
      </x:c>
      <x:c r="F1023" s="5" t="inlineStr">
        <x:is>
          <x:t xml:space="preserve">풀</x:t>
        </x:is>
      </x:c>
      <x:c r="G1023" s="5" t="inlineStr">
        <x:is>
          <x:t xml:space="preserve">드래곤</x:t>
        </x:is>
      </x:c>
      <x:c r="H1023" s="5" t="n">
        <x:v>1.8</x:v>
      </x:c>
      <x:c r="I1023" s="5" t="n">
        <x:v>93</x:v>
      </x:c>
      <x:c r="J1023" s="5" t="n">
        <x:v>540</x:v>
      </x:c>
      <x:c r="K1023" s="5" t="n">
        <x:v>10</x:v>
      </x:c>
      <x:c r="L1023" s="5" t="inlineStr">
        <x:is>
          <x:t xml:space="preserve">최종</x:t>
        </x:is>
      </x:c>
      <x:c r="M1023" s="5" t="n"/>
      <x:c r="N1023" s="5" t="inlineStr">
        <x:is>
          <x:t xml:space="preserve">특수</x:t>
        </x:is>
      </x:c>
      <x:c r="O1023" s="5" t="inlineStr">
        <x:is>
          <x:t xml:space="preserve">아니오</x:t>
        </x:is>
      </x:c>
      <x:c r="P1023" s="5" t="inlineStr">
        <x:is>
          <x:t xml:space="preserve">#cobblemon:is_floral</x:t>
        </x:is>
      </x:c>
      <x:c r="Q1023" s="5" t="inlineStr">
        <x:is>
          <x:t xml:space="preserve">ultra-rare</x:t>
        </x:is>
      </x:c>
      <x:c r="R1023" s="5" t="inlineStr">
        <x:is>
          <x:t xml:space="preserve">day</x:t>
        </x:is>
      </x:c>
      <x:c r="S1023" s="5" t="inlineStr">
        <x:is>
          <x:t xml:space="preserve">비=False</x:t>
        </x:is>
      </x:c>
      <x:c r="T1023" s="5" t="inlineStr">
        <x:is>
          <x:t xml:space="preserve">육상</x:t>
        </x:is>
      </x:c>
      <x:c r="U1023" s="5" t="inlineStr">
        <x:is>
          <x:t xml:space="preserve">수목</x:t>
        </x:is>
      </x:c>
      <x:c r="V1023" s="5" t="inlineStr">
        <x:is>
          <x:t xml:space="preserve">온대</x:t>
        </x:is>
      </x:c>
      <x:c r="W1023" s="5" t="inlineStr">
        <x:is>
          <x:t xml:space="preserve">보통</x:t>
        </x:is>
      </x:c>
      <x:c r="X1023" s="5" t="inlineStr">
        <x:is>
          <x:t xml:space="preserve">무관</x:t>
        </x:is>
      </x:c>
      <x:c r="Y1023" s="5" t="inlineStr">
        <x:is>
          <x:t xml:space="preserve">낮</x:t>
        </x:is>
      </x:c>
      <x:c r="Z1023" s="5" t="inlineStr">
        <x:is>
          <x:t xml:space="preserve">희귀</x:t>
        </x:is>
      </x:c>
      <x:c r="AA1023" s="5" t="inlineStr">
        <x:is>
          <x:t xml:space="preserve">없음</x:t>
        </x:is>
      </x:c>
      <x:c r="AB1023" s="5" t="inlineStr">
        <x:is>
          <x:t xml:space="preserve"/>
        </x:is>
      </x:c>
      <x:c r="AC1023" s="5" t="inlineStr">
        <x:is>
          <x:t xml:space="preserve">gen9</x:t>
        </x:is>
      </x:c>
      <x:c r="AD1023" s="5" t="inlineStr">
        <x:is>
          <x:t xml:space="preserve">.tmp/cobblemon-1.7.3-source/common/src/main/resources/data/cobblemon/species/generation9/hydrapple.json</x:t>
        </x:is>
      </x:c>
    </x:row>
    <x:row r="1024" ht="22" customHeight="1">
      <x:c r="A1024" s="5" t="n">
        <x:v>1020</x:v>
      </x:c>
      <x:c r="B1024" s="5" t="inlineStr">
        <x:is>
          <x:t xml:space="preserve">꿰뚫는화염</x:t>
        </x:is>
      </x:c>
      <x:c r="C1024" s="5" t="inlineStr">
        <x:is>
          <x:t xml:space="preserve">gougingfire</x:t>
        </x:is>
      </x:c>
      <x:c r="D1024" s="5" t="inlineStr">
        <x:is>
          <x:t xml:space="preserve">Gouging Fire</x:t>
        </x:is>
      </x:c>
      <x:c r="E1024" s="5" t="n">
        <x:v>9</x:v>
      </x:c>
      <x:c r="F1024" s="5" t="inlineStr">
        <x:is>
          <x:t xml:space="preserve">불꽃</x:t>
        </x:is>
      </x:c>
      <x:c r="G1024" s="5" t="inlineStr">
        <x:is>
          <x:t xml:space="preserve">드래곤</x:t>
        </x:is>
      </x:c>
      <x:c r="H1024" s="5" t="n">
        <x:v>3.5</x:v>
      </x:c>
      <x:c r="I1024" s="5" t="n">
        <x:v>590</x:v>
      </x:c>
      <x:c r="J1024" s="5" t="n">
        <x:v>590</x:v>
      </x:c>
      <x:c r="K1024" s="5" t="n">
        <x:v>10</x:v>
      </x:c>
      <x:c r="L1024" s="5" t="inlineStr">
        <x:is>
          <x:t xml:space="preserve">무진화</x:t>
        </x:is>
      </x:c>
      <x:c r="M1024" s="5" t="n"/>
      <x:c r="N1024" s="5" t="inlineStr">
        <x:is>
          <x:t xml:space="preserve">없음</x:t>
        </x:is>
      </x:c>
      <x:c r="O1024" s="5" t="inlineStr">
        <x:is>
          <x:t xml:space="preserve">아니오</x:t>
        </x:is>
      </x:c>
      <x:c r="P1024" s="5" t="inlineStr">
        <x:is>
          <x:t xml:space="preserve">minecraft:basalt_deltas</x:t>
        </x:is>
      </x:c>
      <x:c r="Q1024" s="5" t="inlineStr">
        <x:is>
          <x:t xml:space="preserve">ultra-rare</x:t>
        </x:is>
      </x:c>
      <x:c r="R1024" s="5" t="inlineStr">
        <x:is>
          <x:t xml:space="preserve"/>
        </x:is>
      </x:c>
      <x:c r="S1024" s="5" t="inlineStr">
        <x:is>
          <x:t xml:space="preserve"/>
        </x:is>
      </x:c>
      <x:c r="T1024" s="5" t="inlineStr">
        <x:is>
          <x:t xml:space="preserve">육상</x:t>
        </x:is>
      </x:c>
      <x:c r="U1024" s="5" t="inlineStr">
        <x:is>
          <x:t xml:space="preserve">화산</x:t>
        </x:is>
      </x:c>
      <x:c r="V1024" s="5" t="inlineStr">
        <x:is>
          <x:t xml:space="preserve">고온</x:t>
        </x:is>
      </x:c>
      <x:c r="W1024" s="5" t="inlineStr">
        <x:is>
          <x:t xml:space="preserve">건조</x:t>
        </x:is>
      </x:c>
      <x:c r="X1024" s="5" t="inlineStr">
        <x:is>
          <x:t xml:space="preserve">맑음</x:t>
        </x:is>
      </x:c>
      <x:c r="Y1024" s="5" t="inlineStr">
        <x:is>
          <x:t xml:space="preserve">무관</x:t>
        </x:is>
      </x:c>
      <x:c r="Z1024" s="5" t="inlineStr">
        <x:is>
          <x:t xml:space="preserve">희귀</x:t>
        </x:is>
      </x:c>
      <x:c r="AA1024" s="5" t="inlineStr">
        <x:is>
          <x:t xml:space="preserve">화산</x:t>
        </x:is>
      </x:c>
      <x:c r="AB1024" s="5" t="inlineStr">
        <x:is>
          <x:t xml:space="preserve">화산</x:t>
        </x:is>
      </x:c>
      <x:c r="AC1024" s="5" t="inlineStr">
        <x:is>
          <x:t xml:space="preserve">gen9; paradox</x:t>
        </x:is>
      </x:c>
      <x:c r="AD1024" s="5" t="inlineStr">
        <x:is>
          <x:t xml:space="preserve">.tmp/cobblemon-1.7.3-source/common/src/main/resources/data/cobblemon/species/generation9/gougingfire.json</x:t>
        </x:is>
      </x:c>
    </x:row>
    <x:row r="1025" ht="22" customHeight="1">
      <x:c r="A1025" s="5" t="n">
        <x:v>1021</x:v>
      </x:c>
      <x:c r="B1025" s="5" t="inlineStr">
        <x:is>
          <x:t xml:space="preserve">날뛰는우레</x:t>
        </x:is>
      </x:c>
      <x:c r="C1025" s="5" t="inlineStr">
        <x:is>
          <x:t xml:space="preserve">ragingbolt</x:t>
        </x:is>
      </x:c>
      <x:c r="D1025" s="5" t="inlineStr">
        <x:is>
          <x:t xml:space="preserve">Raging Bolt</x:t>
        </x:is>
      </x:c>
      <x:c r="E1025" s="5" t="n">
        <x:v>9</x:v>
      </x:c>
      <x:c r="F1025" s="5" t="inlineStr">
        <x:is>
          <x:t xml:space="preserve">전기</x:t>
        </x:is>
      </x:c>
      <x:c r="G1025" s="5" t="inlineStr">
        <x:is>
          <x:t xml:space="preserve">드래곤</x:t>
        </x:is>
      </x:c>
      <x:c r="H1025" s="5" t="n">
        <x:v>5.2</x:v>
      </x:c>
      <x:c r="I1025" s="5" t="n">
        <x:v>480</x:v>
      </x:c>
      <x:c r="J1025" s="5" t="n">
        <x:v>590</x:v>
      </x:c>
      <x:c r="K1025" s="5" t="n">
        <x:v>10</x:v>
      </x:c>
      <x:c r="L1025" s="5" t="inlineStr">
        <x:is>
          <x:t xml:space="preserve">무진화</x:t>
        </x:is>
      </x:c>
      <x:c r="M1025" s="5" t="n"/>
      <x:c r="N1025" s="5" t="inlineStr">
        <x:is>
          <x:t xml:space="preserve">없음</x:t>
        </x:is>
      </x:c>
      <x:c r="O1025" s="5" t="inlineStr">
        <x:is>
          <x:t xml:space="preserve">아니오</x:t>
        </x:is>
      </x:c>
      <x:c r="P1025" s="5" t="inlineStr">
        <x:is>
          <x:t xml:space="preserve">#cobblemon:is_arid</x:t>
        </x:is>
      </x:c>
      <x:c r="Q1025" s="5" t="inlineStr">
        <x:is>
          <x:t xml:space="preserve">ultra-rare</x:t>
        </x:is>
      </x:c>
      <x:c r="R1025" s="5" t="inlineStr">
        <x:is>
          <x:t xml:space="preserve"/>
        </x:is>
      </x:c>
      <x:c r="S1025" s="5" t="inlineStr">
        <x:is>
          <x:t xml:space="preserve"/>
        </x:is>
      </x:c>
      <x:c r="T1025" s="5" t="inlineStr">
        <x:is>
          <x:t xml:space="preserve">육상</x:t>
        </x:is>
      </x:c>
      <x:c r="U1025" s="5" t="inlineStr">
        <x:is>
          <x:t xml:space="preserve">건조</x:t>
        </x:is>
      </x:c>
      <x:c r="V1025" s="5" t="inlineStr">
        <x:is>
          <x:t xml:space="preserve">고온</x:t>
        </x:is>
      </x:c>
      <x:c r="W1025" s="5" t="inlineStr">
        <x:is>
          <x:t xml:space="preserve">건조</x:t>
        </x:is>
      </x:c>
      <x:c r="X1025" s="5" t="inlineStr">
        <x:is>
          <x:t xml:space="preserve">맑음</x:t>
        </x:is>
      </x:c>
      <x:c r="Y1025" s="5" t="inlineStr">
        <x:is>
          <x:t xml:space="preserve">무관</x:t>
        </x:is>
      </x:c>
      <x:c r="Z1025" s="5" t="inlineStr">
        <x:is>
          <x:t xml:space="preserve">희귀</x:t>
        </x:is>
      </x:c>
      <x:c r="AA1025" s="5" t="inlineStr">
        <x:is>
          <x:t xml:space="preserve">없음</x:t>
        </x:is>
      </x:c>
      <x:c r="AB1025" s="5" t="inlineStr">
        <x:is>
          <x:t xml:space="preserve">건조지</x:t>
        </x:is>
      </x:c>
      <x:c r="AC1025" s="5" t="inlineStr">
        <x:is>
          <x:t xml:space="preserve">gen9; paradox</x:t>
        </x:is>
      </x:c>
      <x:c r="AD1025" s="5" t="inlineStr">
        <x:is>
          <x:t xml:space="preserve">.tmp/cobblemon-1.7.3-source/common/src/main/resources/data/cobblemon/species/generation9/ragingbolt.json</x:t>
        </x:is>
      </x:c>
    </x:row>
    <x:row r="1026" ht="22" customHeight="1">
      <x:c r="A1026" s="5" t="n">
        <x:v>1022</x:v>
      </x:c>
      <x:c r="B1026" s="5" t="inlineStr">
        <x:is>
          <x:t xml:space="preserve">무쇠암석</x:t>
        </x:is>
      </x:c>
      <x:c r="C1026" s="5" t="inlineStr">
        <x:is>
          <x:t xml:space="preserve">ironboulder</x:t>
        </x:is>
      </x:c>
      <x:c r="D1026" s="5" t="inlineStr">
        <x:is>
          <x:t xml:space="preserve">Iron Boulder</x:t>
        </x:is>
      </x:c>
      <x:c r="E1026" s="5" t="n">
        <x:v>9</x:v>
      </x:c>
      <x:c r="F1026" s="5" t="inlineStr">
        <x:is>
          <x:t xml:space="preserve">바위</x:t>
        </x:is>
      </x:c>
      <x:c r="G1026" s="5" t="inlineStr">
        <x:is>
          <x:t xml:space="preserve">에스퍼</x:t>
        </x:is>
      </x:c>
      <x:c r="H1026" s="5" t="n">
        <x:v>1.5</x:v>
      </x:c>
      <x:c r="I1026" s="5" t="n">
        <x:v>162.5</x:v>
      </x:c>
      <x:c r="J1026" s="5" t="n">
        <x:v>590</x:v>
      </x:c>
      <x:c r="K1026" s="5" t="n">
        <x:v>10</x:v>
      </x:c>
      <x:c r="L1026" s="5" t="inlineStr">
        <x:is>
          <x:t xml:space="preserve">무진화</x:t>
        </x:is>
      </x:c>
      <x:c r="M1026" s="5" t="n"/>
      <x:c r="N1026" s="5" t="inlineStr">
        <x:is>
          <x:t xml:space="preserve">없음</x:t>
        </x:is>
      </x:c>
      <x:c r="O1026" s="5" t="inlineStr">
        <x:is>
          <x:t xml:space="preserve">아니오</x:t>
        </x:is>
      </x:c>
      <x:c r="P1026" s="5" t="inlineStr">
        <x:is>
          <x:t xml:space="preserve">minecraft:dark_forest</x:t>
        </x:is>
      </x:c>
      <x:c r="Q1026" s="5" t="inlineStr">
        <x:is>
          <x:t xml:space="preserve">ultra-rare</x:t>
        </x:is>
      </x:c>
      <x:c r="R1026" s="5" t="inlineStr">
        <x:is>
          <x:t xml:space="preserve">night</x:t>
        </x:is>
      </x:c>
      <x:c r="S1026" s="5" t="inlineStr">
        <x:is>
          <x:t xml:space="preserve"/>
        </x:is>
      </x:c>
      <x:c r="T1026" s="5" t="inlineStr">
        <x:is>
          <x:t xml:space="preserve">육상</x:t>
        </x:is>
      </x:c>
      <x:c r="U1026" s="5" t="inlineStr">
        <x:is>
          <x:t xml:space="preserve">수목</x:t>
        </x:is>
      </x:c>
      <x:c r="V1026" s="5" t="inlineStr">
        <x:is>
          <x:t xml:space="preserve">온대</x:t>
        </x:is>
      </x:c>
      <x:c r="W1026" s="5" t="inlineStr">
        <x:is>
          <x:t xml:space="preserve">보통</x:t>
        </x:is>
      </x:c>
      <x:c r="X1026" s="5" t="inlineStr">
        <x:is>
          <x:t xml:space="preserve">무관</x:t>
        </x:is>
      </x:c>
      <x:c r="Y1026" s="5" t="inlineStr">
        <x:is>
          <x:t xml:space="preserve">밤</x:t>
        </x:is>
      </x:c>
      <x:c r="Z1026" s="5" t="inlineStr">
        <x:is>
          <x:t xml:space="preserve">희귀</x:t>
        </x:is>
      </x:c>
      <x:c r="AA1026" s="5" t="inlineStr">
        <x:is>
          <x:t xml:space="preserve">없음</x:t>
        </x:is>
      </x:c>
      <x:c r="AB1026" s="5" t="inlineStr">
        <x:is>
          <x:t xml:space="preserve">숲</x:t>
        </x:is>
      </x:c>
      <x:c r="AC1026" s="5" t="inlineStr">
        <x:is>
          <x:t xml:space="preserve">gen9; paradox</x:t>
        </x:is>
      </x:c>
      <x:c r="AD1026" s="5" t="inlineStr">
        <x:is>
          <x:t xml:space="preserve">.tmp/cobblemon-1.7.3-source/common/src/main/resources/data/cobblemon/species/generation9/ironboulder.json</x:t>
        </x:is>
      </x:c>
    </x:row>
    <x:row r="1027" ht="22" customHeight="1">
      <x:c r="A1027" s="5" t="n">
        <x:v>1023</x:v>
      </x:c>
      <x:c r="B1027" s="5" t="inlineStr">
        <x:is>
          <x:t xml:space="preserve">무쇠감투</x:t>
        </x:is>
      </x:c>
      <x:c r="C1027" s="5" t="inlineStr">
        <x:is>
          <x:t xml:space="preserve">ironcrown</x:t>
        </x:is>
      </x:c>
      <x:c r="D1027" s="5" t="inlineStr">
        <x:is>
          <x:t xml:space="preserve">Iron Crown</x:t>
        </x:is>
      </x:c>
      <x:c r="E1027" s="5" t="n">
        <x:v>9</x:v>
      </x:c>
      <x:c r="F1027" s="5" t="inlineStr">
        <x:is>
          <x:t xml:space="preserve">강철</x:t>
        </x:is>
      </x:c>
      <x:c r="G1027" s="5" t="inlineStr">
        <x:is>
          <x:t xml:space="preserve">에스퍼</x:t>
        </x:is>
      </x:c>
      <x:c r="H1027" s="5" t="n">
        <x:v>1.6</x:v>
      </x:c>
      <x:c r="I1027" s="5" t="n">
        <x:v>156</x:v>
      </x:c>
      <x:c r="J1027" s="5" t="n">
        <x:v>590</x:v>
      </x:c>
      <x:c r="K1027" s="5" t="n">
        <x:v>10</x:v>
      </x:c>
      <x:c r="L1027" s="5" t="inlineStr">
        <x:is>
          <x:t xml:space="preserve">무진화</x:t>
        </x:is>
      </x:c>
      <x:c r="M1027" s="5" t="n"/>
      <x:c r="N1027" s="5" t="inlineStr">
        <x:is>
          <x:t xml:space="preserve">없음</x:t>
        </x:is>
      </x:c>
      <x:c r="O1027" s="5" t="inlineStr">
        <x:is>
          <x:t xml:space="preserve">아니오</x:t>
        </x:is>
      </x:c>
      <x:c r="P1027" s="5" t="inlineStr">
        <x:is>
          <x:t xml:space="preserve">#cobblemon:is_lush</x:t>
        </x:is>
      </x:c>
      <x:c r="Q1027" s="5" t="inlineStr">
        <x:is>
          <x:t xml:space="preserve">ultra-rare</x:t>
        </x:is>
      </x:c>
      <x:c r="R1027" s="5" t="inlineStr">
        <x:is>
          <x:t xml:space="preserve">night</x:t>
        </x:is>
      </x:c>
      <x:c r="S1027" s="5" t="inlineStr">
        <x:is>
          <x:t xml:space="preserve"/>
        </x:is>
      </x:c>
      <x:c r="T1027" s="5" t="inlineStr">
        <x:is>
          <x:t xml:space="preserve">육상</x:t>
        </x:is>
      </x:c>
      <x:c r="U1027" s="5" t="inlineStr">
        <x:is>
          <x:t xml:space="preserve">개활지</x:t>
        </x:is>
      </x:c>
      <x:c r="V1027" s="5" t="inlineStr">
        <x:is>
          <x:t xml:space="preserve">온대</x:t>
        </x:is>
      </x:c>
      <x:c r="W1027" s="5" t="inlineStr">
        <x:is>
          <x:t xml:space="preserve">보통</x:t>
        </x:is>
      </x:c>
      <x:c r="X1027" s="5" t="inlineStr">
        <x:is>
          <x:t xml:space="preserve">무관</x:t>
        </x:is>
      </x:c>
      <x:c r="Y1027" s="5" t="inlineStr">
        <x:is>
          <x:t xml:space="preserve">밤</x:t>
        </x:is>
      </x:c>
      <x:c r="Z1027" s="5" t="inlineStr">
        <x:is>
          <x:t xml:space="preserve">희귀</x:t>
        </x:is>
      </x:c>
      <x:c r="AA1027" s="5" t="inlineStr">
        <x:is>
          <x:t xml:space="preserve">없음</x:t>
        </x:is>
      </x:c>
      <x:c r="AB1027" s="5" t="inlineStr">
        <x:is>
          <x:t xml:space="preserve"/>
        </x:is>
      </x:c>
      <x:c r="AC1027" s="5" t="inlineStr">
        <x:is>
          <x:t xml:space="preserve">gen9; paradox</x:t>
        </x:is>
      </x:c>
      <x:c r="AD1027" s="5" t="inlineStr">
        <x:is>
          <x:t xml:space="preserve">.tmp/cobblemon-1.7.3-source/common/src/main/resources/data/cobblemon/species/generation9/ironcrown.json</x:t>
        </x:is>
      </x:c>
    </x:row>
    <x:row r="1028" ht="22" customHeight="1">
      <x:c r="A1028" s="5" t="n">
        <x:v>1024</x:v>
      </x:c>
      <x:c r="B1028" s="5" t="inlineStr">
        <x:is>
          <x:t xml:space="preserve">테라파고스</x:t>
        </x:is>
      </x:c>
      <x:c r="C1028" s="5" t="inlineStr">
        <x:is>
          <x:t xml:space="preserve">terapagos</x:t>
        </x:is>
      </x:c>
      <x:c r="D1028" s="5" t="inlineStr">
        <x:is>
          <x:t xml:space="preserve">Terapagos</x:t>
        </x:is>
      </x:c>
      <x:c r="E1028" s="5" t="n">
        <x:v>9</x:v>
      </x:c>
      <x:c r="F1028" s="5" t="inlineStr">
        <x:is>
          <x:t xml:space="preserve">노말</x:t>
        </x:is>
      </x:c>
      <x:c r="G1028" s="5" t="inlineStr">
        <x:is>
          <x:t xml:space="preserve"/>
        </x:is>
      </x:c>
      <x:c r="H1028" s="5" t="n">
        <x:v>0.2</x:v>
      </x:c>
      <x:c r="I1028" s="5" t="n">
        <x:v>6.5</x:v>
      </x:c>
      <x:c r="J1028" s="5" t="n">
        <x:v>450</x:v>
      </x:c>
      <x:c r="K1028" s="5" t="n">
        <x:v>255</x:v>
      </x:c>
      <x:c r="L1028" s="5" t="inlineStr">
        <x:is>
          <x:t xml:space="preserve">무진화</x:t>
        </x:is>
      </x:c>
      <x:c r="M1028" s="5" t="n"/>
      <x:c r="N1028" s="5" t="inlineStr">
        <x:is>
          <x:t xml:space="preserve">없음</x:t>
        </x:is>
      </x:c>
      <x:c r="O1028" s="5" t="inlineStr">
        <x:is>
          <x:t xml:space="preserve">아니오</x:t>
        </x:is>
      </x:c>
      <x:c r="P1028" s="5" t="inlineStr">
        <x:is>
          <x:t xml:space="preserve">#cobblemon:is_cave</x:t>
        </x:is>
      </x:c>
      <x:c r="Q1028" s="5" t="inlineStr">
        <x:is>
          <x:t xml:space="preserve">ultra-rare</x:t>
        </x:is>
      </x:c>
      <x:c r="R1028" s="5" t="inlineStr">
        <x:is>
          <x:t xml:space="preserve"/>
        </x:is>
      </x:c>
      <x:c r="S1028" s="5" t="inlineStr">
        <x:is>
          <x:t xml:space="preserve"/>
        </x:is>
      </x:c>
      <x:c r="T1028" s="5" t="inlineStr">
        <x:is>
          <x:t xml:space="preserve">육상</x:t>
        </x:is>
      </x:c>
      <x:c r="U1028" s="5" t="inlineStr">
        <x:is>
          <x:t xml:space="preserve">동굴</x:t>
        </x:is>
      </x:c>
      <x:c r="V1028" s="5" t="inlineStr">
        <x:is>
          <x:t xml:space="preserve">온대</x:t>
        </x:is>
      </x:c>
      <x:c r="W1028" s="5" t="inlineStr">
        <x:is>
          <x:t xml:space="preserve">보통</x:t>
        </x:is>
      </x:c>
      <x:c r="X1028" s="5" t="inlineStr">
        <x:is>
          <x:t xml:space="preserve">무관</x:t>
        </x:is>
      </x:c>
      <x:c r="Y1028" s="5" t="inlineStr">
        <x:is>
          <x:t xml:space="preserve">무관</x:t>
        </x:is>
      </x:c>
      <x:c r="Z1028" s="5" t="inlineStr">
        <x:is>
          <x:t xml:space="preserve">전설</x:t>
        </x:is>
      </x:c>
      <x:c r="AA1028" s="5" t="inlineStr">
        <x:is>
          <x:t xml:space="preserve">전설</x:t>
        </x:is>
      </x:c>
      <x:c r="AB1028" s="5" t="inlineStr">
        <x:is>
          <x:t xml:space="preserve">동굴</x:t>
        </x:is>
      </x:c>
      <x:c r="AC1028" s="5" t="inlineStr">
        <x:is>
          <x:t xml:space="preserve">gen9; legendary; restricted</x:t>
        </x:is>
      </x:c>
      <x:c r="AD1028" s="5" t="inlineStr">
        <x:is>
          <x:t xml:space="preserve">.tmp/cobblemon-1.7.3-source/common/src/main/resources/data/cobblemon/species/generation9/terapagos.json</x:t>
        </x:is>
      </x:c>
    </x:row>
    <x:row r="1029" ht="22" customHeight="1">
      <x:c r="A1029" s="5" t="n">
        <x:v>1025</x:v>
      </x:c>
      <x:c r="B1029" s="5" t="inlineStr">
        <x:is>
          <x:t xml:space="preserve">복숭악동</x:t>
        </x:is>
      </x:c>
      <x:c r="C1029" s="5" t="inlineStr">
        <x:is>
          <x:t xml:space="preserve">pecharunt</x:t>
        </x:is>
      </x:c>
      <x:c r="D1029" s="5" t="inlineStr">
        <x:is>
          <x:t xml:space="preserve">Pecharunt</x:t>
        </x:is>
      </x:c>
      <x:c r="E1029" s="5" t="n">
        <x:v>9</x:v>
      </x:c>
      <x:c r="F1029" s="5" t="inlineStr">
        <x:is>
          <x:t xml:space="preserve">독</x:t>
        </x:is>
      </x:c>
      <x:c r="G1029" s="5" t="inlineStr">
        <x:is>
          <x:t xml:space="preserve">고스트</x:t>
        </x:is>
      </x:c>
      <x:c r="H1029" s="5" t="n">
        <x:v>0.3</x:v>
      </x:c>
      <x:c r="I1029" s="5" t="n">
        <x:v>0.3</x:v>
      </x:c>
      <x:c r="J1029" s="5" t="n">
        <x:v>600</x:v>
      </x:c>
      <x:c r="K1029" s="5" t="n">
        <x:v>3</x:v>
      </x:c>
      <x:c r="L1029" s="5" t="inlineStr">
        <x:is>
          <x:t xml:space="preserve">무진화</x:t>
        </x:is>
      </x:c>
      <x:c r="M1029" s="5" t="n"/>
      <x:c r="N1029" s="5" t="inlineStr">
        <x:is>
          <x:t xml:space="preserve">없음</x:t>
        </x:is>
      </x:c>
      <x:c r="O1029" s="5" t="inlineStr">
        <x:is>
          <x:t xml:space="preserve">아니오</x:t>
        </x:is>
      </x:c>
      <x:c r="P1029" s="5" t="inlineStr">
        <x:is>
          <x:t xml:space="preserve">#cobblemon:is_spooky</x:t>
        </x:is>
      </x:c>
      <x:c r="Q1029" s="5" t="inlineStr">
        <x:is>
          <x:t xml:space="preserve">ultra-rare</x:t>
        </x:is>
      </x:c>
      <x:c r="R1029" s="5" t="inlineStr">
        <x:is>
          <x:t xml:space="preserve"/>
        </x:is>
      </x:c>
      <x:c r="S1029" s="5" t="inlineStr">
        <x:is>
          <x:t xml:space="preserve"/>
        </x:is>
      </x:c>
      <x:c r="T1029" s="5" t="inlineStr">
        <x:is>
          <x:t xml:space="preserve">영체</x:t>
        </x:is>
      </x:c>
      <x:c r="U1029" s="5" t="inlineStr">
        <x:is>
          <x:t xml:space="preserve">특수</x:t>
        </x:is>
      </x:c>
      <x:c r="V1029" s="5" t="inlineStr">
        <x:is>
          <x:t xml:space="preserve">온대</x:t>
        </x:is>
      </x:c>
      <x:c r="W1029" s="5" t="inlineStr">
        <x:is>
          <x:t xml:space="preserve">보통</x:t>
        </x:is>
      </x:c>
      <x:c r="X1029" s="5" t="inlineStr">
        <x:is>
          <x:t xml:space="preserve">안개</x:t>
        </x:is>
      </x:c>
      <x:c r="Y1029" s="5" t="inlineStr">
        <x:is>
          <x:t xml:space="preserve">밤</x:t>
        </x:is>
      </x:c>
      <x:c r="Z1029" s="5" t="inlineStr">
        <x:is>
          <x:t xml:space="preserve">전설</x:t>
        </x:is>
      </x:c>
      <x:c r="AA1029" s="5" t="inlineStr">
        <x:is>
          <x:t xml:space="preserve">전설</x:t>
        </x:is>
      </x:c>
      <x:c r="AB1029" s="5" t="inlineStr">
        <x:is>
          <x:t xml:space="preserve">특수</x:t>
        </x:is>
      </x:c>
      <x:c r="AC1029" s="5" t="inlineStr">
        <x:is>
          <x:t xml:space="preserve">gen9; mythical</x:t>
        </x:is>
      </x:c>
      <x:c r="AD1029" s="5" t="inlineStr">
        <x:is>
          <x:t xml:space="preserve">.tmp/cobblemon-1.7.3-source/common/src/main/resources/data/cobblemon/species/generation9/pecharunt.json</x:t>
        </x:is>
      </x:c>
    </x:row>
  </x:sheetData>
  <x:mergeCells>
    <x:mergeCell ref="A2:AD2"/>
    <x:mergeCell ref="A1:A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customWidth="1"/>
    <x:col min="2" max="2" width="15" customWidth="1"/>
    <x:col min="3" max="3" width="15" customWidth="1"/>
    <x:col min="4" max="4" width="15" customWidth="1"/>
    <x:col min="5" max="5" width="15" customWidth="1"/>
    <x:col min="6" max="6" width="15" customWidth="1"/>
    <x:col min="7" max="7" width="15" customWidth="1"/>
    <x:col min="8" max="8" width="15" customWidth="1"/>
    <x:col min="9" max="9" width="15" customWidth="1"/>
  </x:cols>
  <x:sheetData>
    <x:row r="1" ht="30" customHeight="1">
      <x:c r="A1" s="1" t="inlineStr">
        <x:is>
          <x:t xml:space="preserve">입력값 목록</x:t>
        </x:is>
      </x:c>
    </x:row>
    <x:row r="2" ht="32" customHeight="1">
      <x:c r="A2" s="2" t="inlineStr">
        <x:is>
          <x:t xml:space="preserve">포켓몬_편집 시트의 드롭다운 원본입니다. 항목을 바꾸면 데이터 유효성 검사 범위도 함께 확인하세요.</x:t>
        </x:is>
      </x:c>
    </x:row>
    <x:row r="4" ht="36" customHeight="1">
      <x:c r="A4" s="3" t="inlineStr">
        <x:is>
          <x:t xml:space="preserve">생활권</x:t>
        </x:is>
      </x:c>
      <x:c r="B4" s="3" t="inlineStr">
        <x:is>
          <x:t xml:space="preserve">지형</x:t>
        </x:is>
      </x:c>
      <x:c r="C4" s="3" t="inlineStr">
        <x:is>
          <x:t xml:space="preserve">온도</x:t>
        </x:is>
      </x:c>
      <x:c r="D4" s="3" t="inlineStr">
        <x:is>
          <x:t xml:space="preserve">습도</x:t>
        </x:is>
      </x:c>
      <x:c r="E4" s="3" t="inlineStr">
        <x:is>
          <x:t xml:space="preserve">날씨</x:t>
        </x:is>
      </x:c>
      <x:c r="F4" s="3" t="inlineStr">
        <x:is>
          <x:t xml:space="preserve">시간</x:t>
        </x:is>
      </x:c>
      <x:c r="G4" s="3" t="inlineStr">
        <x:is>
          <x:t xml:space="preserve">레어도</x:t>
        </x:is>
      </x:c>
      <x:c r="H4" s="3" t="inlineStr">
        <x:is>
          <x:t xml:space="preserve">특수태그</x:t>
        </x:is>
      </x:c>
      <x:c r="I4" s="3" t="inlineStr">
        <x:is>
          <x:t xml:space="preserve">서식지</x:t>
        </x:is>
      </x:c>
    </x:row>
    <x:row r="5" ht="24" customHeight="1">
      <x:c r="A5" s="5" t="inlineStr">
        <x:is>
          <x:t xml:space="preserve">육상</x:t>
        </x:is>
      </x:c>
      <x:c r="B5" s="5" t="inlineStr">
        <x:is>
          <x:t xml:space="preserve">개활지</x:t>
        </x:is>
      </x:c>
      <x:c r="C5" s="5" t="inlineStr">
        <x:is>
          <x:t xml:space="preserve">한랭</x:t>
        </x:is>
      </x:c>
      <x:c r="D5" s="5" t="inlineStr">
        <x:is>
          <x:t xml:space="preserve">건조</x:t>
        </x:is>
      </x:c>
      <x:c r="E5" s="5" t="inlineStr">
        <x:is>
          <x:t xml:space="preserve">무관</x:t>
        </x:is>
      </x:c>
      <x:c r="F5" s="5" t="inlineStr">
        <x:is>
          <x:t xml:space="preserve">무관</x:t>
        </x:is>
      </x:c>
      <x:c r="G5" s="5" t="inlineStr">
        <x:is>
          <x:t xml:space="preserve">흔함</x:t>
        </x:is>
      </x:c>
      <x:c r="H5" s="5" t="inlineStr">
        <x:is>
          <x:t xml:space="preserve">없음</x:t>
        </x:is>
      </x:c>
      <x:c r="I5" s="5" t="inlineStr">
        <x:is>
          <x:t xml:space="preserve">평원</x:t>
        </x:is>
      </x:c>
    </x:row>
    <x:row r="6" ht="24" customHeight="1">
      <x:c r="A6" s="5" t="inlineStr">
        <x:is>
          <x:t xml:space="preserve">비행</x:t>
        </x:is>
      </x:c>
      <x:c r="B6" s="5" t="inlineStr">
        <x:is>
          <x:t xml:space="preserve">수목</x:t>
        </x:is>
      </x:c>
      <x:c r="C6" s="5" t="inlineStr">
        <x:is>
          <x:t xml:space="preserve">서늘</x:t>
        </x:is>
      </x:c>
      <x:c r="D6" s="5" t="inlineStr">
        <x:is>
          <x:t xml:space="preserve">보통</x:t>
        </x:is>
      </x:c>
      <x:c r="E6" s="5" t="inlineStr">
        <x:is>
          <x:t xml:space="preserve">맑음</x:t>
        </x:is>
      </x:c>
      <x:c r="F6" s="5" t="inlineStr">
        <x:is>
          <x:t xml:space="preserve">낮</x:t>
        </x:is>
      </x:c>
      <x:c r="G6" s="5" t="inlineStr">
        <x:is>
          <x:t xml:space="preserve">보통</x:t>
        </x:is>
      </x:c>
      <x:c r="H6" s="5" t="inlineStr">
        <x:is>
          <x:t xml:space="preserve">동굴</x:t>
        </x:is>
      </x:c>
      <x:c r="I6" s="5" t="inlineStr">
        <x:is>
          <x:t xml:space="preserve">숲</x:t>
        </x:is>
      </x:c>
    </x:row>
    <x:row r="7" ht="24" customHeight="1">
      <x:c r="A7" s="5" t="inlineStr">
        <x:is>
          <x:t xml:space="preserve">담수</x:t>
        </x:is>
      </x:c>
      <x:c r="B7" s="5" t="inlineStr">
        <x:is>
          <x:t xml:space="preserve">건조</x:t>
        </x:is>
      </x:c>
      <x:c r="C7" s="5" t="inlineStr">
        <x:is>
          <x:t xml:space="preserve">온대</x:t>
        </x:is>
      </x:c>
      <x:c r="D7" s="5" t="inlineStr">
        <x:is>
          <x:t xml:space="preserve">다습</x:t>
        </x:is>
      </x:c>
      <x:c r="E7" s="5" t="inlineStr">
        <x:is>
          <x:t xml:space="preserve">비</x:t>
        </x:is>
      </x:c>
      <x:c r="F7" s="5" t="inlineStr">
        <x:is>
          <x:t xml:space="preserve">밤</x:t>
        </x:is>
      </x:c>
      <x:c r="G7" s="5" t="inlineStr">
        <x:is>
          <x:t xml:space="preserve">드묾</x:t>
        </x:is>
      </x:c>
      <x:c r="H7" s="5" t="inlineStr">
        <x:is>
          <x:t xml:space="preserve">심해</x:t>
        </x:is>
      </x:c>
      <x:c r="I7" s="5" t="inlineStr">
        <x:is>
          <x:t xml:space="preserve">건조지</x:t>
        </x:is>
      </x:c>
    </x:row>
    <x:row r="8" ht="24" customHeight="1">
      <x:c r="A8" s="5" t="inlineStr">
        <x:is>
          <x:t xml:space="preserve">해양</x:t>
        </x:is>
      </x:c>
      <x:c r="B8" s="5" t="inlineStr">
        <x:is>
          <x:t xml:space="preserve">암석</x:t>
        </x:is>
      </x:c>
      <x:c r="C8" s="5" t="inlineStr">
        <x:is>
          <x:t xml:space="preserve">고온</x:t>
        </x:is>
      </x:c>
      <x:c r="D8" s="5" t="inlineStr">
        <x:is>
          <x:t xml:space="preserve">수중</x:t>
        </x:is>
      </x:c>
      <x:c r="E8" s="5" t="inlineStr">
        <x:is>
          <x:t xml:space="preserve">뇌우</x:t>
        </x:is>
      </x:c>
      <x:c r="F8" s="5" t="inlineStr">
        <x:is>
          <x:t xml:space="preserve">황혼</x:t>
        </x:is>
      </x:c>
      <x:c r="G8" s="5" t="inlineStr">
        <x:is>
          <x:t xml:space="preserve">희귀</x:t>
        </x:is>
      </x:c>
      <x:c r="H8" s="5" t="inlineStr">
        <x:is>
          <x:t xml:space="preserve">화산</x:t>
        </x:is>
      </x:c>
      <x:c r="I8" s="5" t="inlineStr">
        <x:is>
          <x:t xml:space="preserve">산악</x:t>
        </x:is>
      </x:c>
    </x:row>
    <x:row r="9" ht="24" customHeight="1">
      <x:c r="A9" s="5" t="inlineStr">
        <x:is>
          <x:t xml:space="preserve">수륙</x:t>
        </x:is>
      </x:c>
      <x:c r="B9" s="5" t="inlineStr">
        <x:is>
          <x:t xml:space="preserve">동굴</x:t>
        </x:is>
      </x:c>
      <x:c r="C9" s="5" t="n"/>
      <x:c r="D9" s="5" t="n"/>
      <x:c r="E9" s="5" t="inlineStr">
        <x:is>
          <x:t xml:space="preserve">눈</x:t>
        </x:is>
      </x:c>
      <x:c r="F9" s="5" t="n"/>
      <x:c r="G9" s="5" t="inlineStr">
        <x:is>
          <x:t xml:space="preserve">전설</x:t>
        </x:is>
      </x:c>
      <x:c r="H9" s="5" t="inlineStr">
        <x:is>
          <x:t xml:space="preserve">도시</x:t>
        </x:is>
      </x:c>
      <x:c r="I9" s="5" t="inlineStr">
        <x:is>
          <x:t xml:space="preserve">동굴</x:t>
        </x:is>
      </x:c>
    </x:row>
    <x:row r="10" ht="24" customHeight="1">
      <x:c r="A10" s="5" t="inlineStr">
        <x:is>
          <x:t xml:space="preserve">지하</x:t>
        </x:is>
      </x:c>
      <x:c r="B10" s="5" t="inlineStr">
        <x:is>
          <x:t xml:space="preserve">습지</x:t>
        </x:is>
      </x:c>
      <x:c r="C10" s="5" t="n"/>
      <x:c r="D10" s="5" t="n"/>
      <x:c r="E10" s="5" t="inlineStr">
        <x:is>
          <x:t xml:space="preserve">안개</x:t>
        </x:is>
      </x:c>
      <x:c r="F10" s="5" t="n"/>
      <x:c r="G10" s="5" t="n"/>
      <x:c r="H10" s="5" t="inlineStr">
        <x:is>
          <x:t xml:space="preserve">유적</x:t>
        </x:is>
      </x:c>
      <x:c r="I10" s="5" t="inlineStr">
        <x:is>
          <x:t xml:space="preserve">습지</x:t>
        </x:is>
      </x:c>
    </x:row>
    <x:row r="11" ht="24" customHeight="1">
      <x:c r="A11" s="5" t="inlineStr">
        <x:is>
          <x:t xml:space="preserve">인공</x:t>
        </x:is>
      </x:c>
      <x:c r="B11" s="5" t="inlineStr">
        <x:is>
          <x:t xml:space="preserve">담수</x:t>
        </x:is>
      </x:c>
      <x:c r="C11" s="5" t="n"/>
      <x:c r="D11" s="5" t="n"/>
      <x:c r="E11" s="5" t="n"/>
      <x:c r="F11" s="5" t="n"/>
      <x:c r="G11" s="5" t="n"/>
      <x:c r="H11" s="5" t="inlineStr">
        <x:is>
          <x:t xml:space="preserve">영체</x:t>
        </x:is>
      </x:c>
      <x:c r="I11" s="5" t="inlineStr">
        <x:is>
          <x:t xml:space="preserve">담수</x:t>
        </x:is>
      </x:c>
    </x:row>
    <x:row r="12" ht="24" customHeight="1">
      <x:c r="A12" s="5" t="inlineStr">
        <x:is>
          <x:t xml:space="preserve">영체</x:t>
        </x:is>
      </x:c>
      <x:c r="B12" s="5" t="inlineStr">
        <x:is>
          <x:t xml:space="preserve">해안·해양</x:t>
        </x:is>
      </x:c>
      <x:c r="C12" s="5" t="n"/>
      <x:c r="D12" s="5" t="n"/>
      <x:c r="E12" s="5" t="n"/>
      <x:c r="F12" s="5" t="n"/>
      <x:c r="G12" s="5" t="n"/>
      <x:c r="H12" s="5" t="inlineStr">
        <x:is>
          <x:t xml:space="preserve">전설</x:t>
        </x:is>
      </x:c>
      <x:c r="I12" s="5" t="inlineStr">
        <x:is>
          <x:t xml:space="preserve">해양</x:t>
        </x:is>
      </x:c>
    </x:row>
    <x:row r="13" ht="24" customHeight="1">
      <x:c r="A13" s="5" t="n"/>
      <x:c r="B13" s="5" t="inlineStr">
        <x:is>
          <x:t xml:space="preserve">설원</x:t>
        </x:is>
      </x:c>
      <x:c r="C13" s="5" t="n"/>
      <x:c r="D13" s="5" t="n"/>
      <x:c r="E13" s="5" t="n"/>
      <x:c r="F13" s="5" t="n"/>
      <x:c r="G13" s="5" t="n"/>
      <x:c r="H13" s="5" t="n"/>
      <x:c r="I13" s="5" t="inlineStr">
        <x:is>
          <x:t xml:space="preserve">설원</x:t>
        </x:is>
      </x:c>
    </x:row>
    <x:row r="14" ht="24" customHeight="1">
      <x:c r="A14" s="5" t="n"/>
      <x:c r="B14" s="5" t="inlineStr">
        <x:is>
          <x:t xml:space="preserve">화산</x:t>
        </x:is>
      </x:c>
      <x:c r="C14" s="5" t="n"/>
      <x:c r="D14" s="5" t="n"/>
      <x:c r="E14" s="5" t="n"/>
      <x:c r="F14" s="5" t="n"/>
      <x:c r="G14" s="5" t="n"/>
      <x:c r="H14" s="5" t="n"/>
      <x:c r="I14" s="5" t="inlineStr">
        <x:is>
          <x:t xml:space="preserve">화산</x:t>
        </x:is>
      </x:c>
    </x:row>
    <x:row r="15" ht="24" customHeight="1">
      <x:c r="A15" s="5" t="n"/>
      <x:c r="B15" s="5" t="inlineStr">
        <x:is>
          <x:t xml:space="preserve">도시</x:t>
        </x:is>
      </x:c>
      <x:c r="C15" s="5" t="n"/>
      <x:c r="D15" s="5" t="n"/>
      <x:c r="E15" s="5" t="n"/>
      <x:c r="F15" s="5" t="n"/>
      <x:c r="G15" s="5" t="n"/>
      <x:c r="H15" s="5" t="n"/>
      <x:c r="I15" s="5" t="inlineStr">
        <x:is>
          <x:t xml:space="preserve">도시</x:t>
        </x:is>
      </x:c>
    </x:row>
    <x:row r="16" ht="24" customHeight="1">
      <x:c r="A16" s="5" t="n"/>
      <x:c r="B16" s="5" t="inlineStr">
        <x:is>
          <x:t xml:space="preserve">특수</x:t>
        </x:is>
      </x:c>
      <x:c r="C16" s="5" t="n"/>
      <x:c r="D16" s="5" t="n"/>
      <x:c r="E16" s="5" t="n"/>
      <x:c r="F16" s="5" t="n"/>
      <x:c r="G16" s="5" t="n"/>
      <x:c r="H16" s="5" t="n"/>
      <x:c r="I16" s="5" t="inlineStr">
        <x:is>
          <x:t xml:space="preserve">특수</x:t>
        </x:is>
      </x:c>
    </x:row>
    <x:row r="17" ht="24" customHeight="1">
      <x:c r="A17" s="5" t="n"/>
      <x:c r="B17" s="5" t="n"/>
      <x:c r="C17" s="5" t="n"/>
      <x:c r="D17" s="5" t="n"/>
      <x:c r="E17" s="5" t="n"/>
      <x:c r="F17" s="5" t="n"/>
      <x:c r="G17" s="5" t="n"/>
      <x:c r="H17" s="5" t="n"/>
      <x:c r="I17" s="5" t="n"/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26" customWidth="1"/>
    <x:col min="3" max="3" width="60" customWidth="1"/>
    <x:col min="4" max="4" width="70" customWidth="1"/>
  </x:cols>
  <x:sheetData>
    <x:row r="1" ht="30" customHeight="1">
      <x:c r="A1" s="1" t="inlineStr">
        <x:is>
          <x:t xml:space="preserve">출처와 생성 메타데이터</x:t>
        </x:is>
      </x:c>
    </x:row>
    <x:row r="2" ht="32" customHeight="1">
      <x:c r="A2" s="2" t="inlineStr">
        <x:is>
          <x:t xml:space="preserve">원본 버전과 데이터 계보를 기록합니다.</x:t>
        </x:is>
      </x:c>
    </x:row>
    <x:row r="4" ht="36" customHeight="1">
      <x:c r="A4" s="3" t="inlineStr">
        <x:is>
          <x:t xml:space="preserve">항목</x:t>
        </x:is>
      </x:c>
      <x:c r="B4" s="3" t="inlineStr">
        <x:is>
          <x:t xml:space="preserve">값</x:t>
        </x:is>
      </x:c>
      <x:c r="C4" s="3" t="inlineStr">
        <x:is>
          <x:t xml:space="preserve">출처URL</x:t>
        </x:is>
      </x:c>
      <x:c r="D4" s="3" t="inlineStr">
        <x:is>
          <x:t xml:space="preserve">설명</x:t>
        </x:is>
      </x:c>
    </x:row>
    <x:row r="5" ht="30" customHeight="1">
      <x:c r="A5" s="5" t="inlineStr">
        <x:is>
          <x:t xml:space="preserve">Cobblemon</x:t>
        </x:is>
      </x:c>
      <x:c r="B5" s="5" t="inlineStr">
        <x:is>
          <x:t xml:space="preserve">1.7.3 source</x:t>
        </x:is>
      </x:c>
      <x:c r="C5" s="5" t="inlineStr">
        <x:is>
          <x:t xml:space="preserve">https://gitlab.com/cable-mc/cobblemon/-/tree/1.7.3</x:t>
        </x:is>
      </x:c>
      <x:c r="D5" s="5" t="inlineStr">
        <x:is>
          <x:t xml:space="preserve">종 정보·타입·키·몸무게·진화·포획률</x:t>
        </x:is>
      </x:c>
    </x:row>
    <x:row r="6" ht="30" customHeight="1">
      <x:c r="A6" s="5" t="inlineStr">
        <x:is>
          <x:t xml:space="preserve">COBBLEVERSE</x:t>
        </x:is>
      </x:c>
      <x:c r="B6" s="5" t="inlineStr">
        <x:is>
          <x:t xml:space="preserve">1.7.42</x:t>
        </x:is>
      </x:c>
      <x:c r="C6" s="5" t="inlineStr">
        <x:is>
          <x:t xml:space="preserve">https://modrinth.com/modpack/cobbleverse/version/1.7.42</x:t>
        </x:is>
      </x:c>
      <x:c r="D6" s="5" t="inlineStr">
        <x:is>
          <x:t xml:space="preserve">기존 바이옴·희귀도 스폰 참고</x:t>
        </x:is>
      </x:c>
    </x:row>
    <x:row r="7" ht="30" customHeight="1">
      <x:c r="A7" s="5" t="inlineStr">
        <x:is>
          <x:t xml:space="preserve">기존 워크북</x:t>
        </x:is>
      </x:c>
      <x:c r="B7" s="5" t="inlineStr">
        <x:is>
          <x:t xml:space="preserve">코블몬_바이옴_스폰_정리.xlsx</x:t>
        </x:is>
      </x:c>
      <x:c r="C7" s="5" t="inlineStr">
        <x:is>
          <x:t xml:space="preserve"/>
        </x:is>
      </x:c>
      <x:c r="D7" s="5" t="inlineStr">
        <x:is>
          <x:t xml:space="preserve">SHA-256 3a11b832416ae7be63563556b88686a4ce4581eeaa9cf27adcf64ad03b492651</x:t>
        </x:is>
      </x:c>
    </x:row>
    <x:row r="8" ht="30" customHeight="1">
      <x:c r="A8" s="5" t="inlineStr">
        <x:is>
          <x:t xml:space="preserve">분류 체계</x:t>
        </x:is>
      </x:c>
      <x:c r="B8" s="5" t="inlineStr">
        <x:is>
          <x:t xml:space="preserve">12개 논리 서식지</x:t>
        </x:is>
      </x:c>
      <x:c r="C8" s="5" t="inlineStr">
        <x:is>
          <x:t xml:space="preserve"/>
        </x:is>
      </x:c>
      <x:c r="D8" s="5" t="inlineStr">
        <x:is>
          <x:t xml:space="preserve">기계식 초기 분류 후 수동 예외 허용</x:t>
        </x:is>
      </x:c>
    </x:row>
    <x:row r="9" ht="30" customHeight="1">
      <x:c r="A9" s="5" t="inlineStr">
        <x:is>
          <x:t xml:space="preserve">포켓몬 종수</x:t>
        </x:is>
      </x:c>
      <x:c r="B9" s="5" t="n">
        <x:v>1025</x:v>
      </x:c>
      <x:c r="C9" s="5" t="inlineStr">
        <x:is>
          <x:t xml:space="preserve"/>
        </x:is>
      </x:c>
      <x:c r="D9" s="5" t="inlineStr">
        <x:is>
          <x:t xml:space="preserve">전국도감 1~1025</x:t>
        </x:is>
      </x:c>
    </x:row>
    <x:row r="10" ht="30" customHeight="1">
      <x:c r="A10" s="5" t="inlineStr">
        <x:is>
          <x:t xml:space="preserve">주의</x:t>
        </x:is>
      </x:c>
      <x:c r="B10" s="5" t="inlineStr">
        <x:is>
          <x:t xml:space="preserve">자동 초기값</x:t>
        </x:is>
      </x:c>
      <x:c r="C10" s="5" t="inlineStr">
        <x:is>
          <x:t xml:space="preserve"/>
        </x:is>
      </x:c>
      <x:c r="D10" s="5" t="inlineStr">
        <x:is>
          <x:t xml:space="preserve">생태 설정의 최종 확정이 아니라 검토 출발점</x:t>
        </x:is>
      </x:c>
    </x:row>
    <x:row r="11">
      <x:c r="A11" t="str">
        <x:v>지역도감</x:v>
      </x:c>
      <x:c r="B11" t="str">
        <x:v>PokeAPI regional Pokédex</x:v>
      </x:c>
      <x:c r="C11" t="str">
        <x:v>https://pokeapi.co/api/v2/pokedex/</x:v>
      </x:c>
      <x:c r="D11" t="str">
        <x:v>관동~팔데아 대표 시리즈의 지역도감 및 DLC 도감 합집합</x:v>
      </x:c>
    </x:row>
    <x:row r="12">
      <x:c r="A12" t="str">
        <x:v>전설·환상</x:v>
      </x:c>
      <x:c r="B12" t="str">
        <x:v>PokeAPI Pokémon Species</x:v>
      </x:c>
      <x:c r="C12" t="str">
        <x:v>https://pokeapi.co/api/v2/pokemon-species/</x:v>
      </x:c>
      <x:c r="D12" t="str">
        <x:v>is_legendary / is_mythical 공식 분류를 일반 서식지 기본 제외에 사용</x:v>
      </x:c>
    </x:row>
    <x:row r="13">
      <x:c r="A13" t="str">
        <x:v>번호 서식지</x:v>
      </x:c>
      <x:c r="B13" t="str">
        <x:v>런타임 분할 규칙</x:v>
      </x:c>
      <x:c r="C13" t="str">
        <x:v>content/catalogs/biome-profiles.json</x:v>
      </x:c>
      <x:c r="D13" t="str">
        <x:v>지역도감별 주·보조 서식지 후보를 최대 40종 단위로 균등 분할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15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8" customHeight="1">
      <x:c r="A1" s="14" t="str">
        <x:v>시리즈별 지역도감 출현표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2" ht="24" customHeight="1">
      <x:c r="A2" s="18" t="str">
        <x:v>최초 등장 세대와 별개로, 전국도감 해금 전 각 시리즈 지역도감에 수록되는 포켓몬을 표시합니다.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</x:row>
    <x:row r="4" ht="32" customHeight="1">
      <x:c r="A4" s="29" t="str">
        <x:v>덱스번호</x:v>
      </x:c>
      <x:c r="B4" s="29" t="str">
        <x:v>한글명</x:v>
      </x:c>
      <x:c r="C4" s="29" t="str">
        <x:v>영문ID</x:v>
      </x:c>
      <x:c r="D4" s="29" t="str">
        <x:v>최초 등장 세대</x:v>
      </x:c>
      <x:c r="E4" s="29" t="str">
        <x:v>관동</x:v>
      </x:c>
      <x:c r="F4" s="29" t="str">
        <x:v>성도</x:v>
      </x:c>
      <x:c r="G4" s="29" t="str">
        <x:v>호연</x:v>
      </x:c>
      <x:c r="H4" s="29" t="str">
        <x:v>신오</x:v>
      </x:c>
      <x:c r="I4" s="29" t="str">
        <x:v>하나</x:v>
      </x:c>
      <x:c r="J4" s="29" t="str">
        <x:v>칼로스</x:v>
      </x:c>
      <x:c r="K4" s="29" t="str">
        <x:v>알로라</x:v>
      </x:c>
      <x:c r="L4" s="29" t="str">
        <x:v>가라르</x:v>
      </x:c>
      <x:c r="M4" s="29" t="str">
        <x:v>팔데아</x:v>
      </x:c>
    </x:row>
    <x:row r="5">
      <x:c r="A5" s="34" t="n">
        <x:v>1</x:v>
      </x:c>
      <x:c r="B5" s="30" t="str">
        <x:v>이상해씨</x:v>
      </x:c>
      <x:c r="C5" s="30" t="str">
        <x:v>bulbasaur</x:v>
      </x:c>
      <x:c r="D5" s="36" t="n">
        <x:v>1</x:v>
      </x:c>
      <x:c r="E5" s="31" t="str">
        <x:v>포함</x:v>
      </x:c>
      <x:c r="F5" s="31" t="str">
        <x:v>포함</x:v>
      </x:c>
      <x:c r="G5" s="31" t="str">
        <x:v>—</x:v>
      </x:c>
      <x:c r="H5" s="31" t="str">
        <x:v>—</x:v>
      </x:c>
      <x:c r="I5" s="31" t="str">
        <x:v>—</x:v>
      </x:c>
      <x:c r="J5" s="31" t="str">
        <x:v>포함</x:v>
      </x:c>
      <x:c r="K5" s="31" t="str">
        <x:v>—</x:v>
      </x:c>
      <x:c r="L5" s="31" t="str">
        <x:v>포함</x:v>
      </x:c>
      <x:c r="M5" s="31" t="str">
        <x:v>포함</x:v>
      </x:c>
    </x:row>
    <x:row r="6">
      <x:c r="A6" s="34" t="n">
        <x:v>2</x:v>
      </x:c>
      <x:c r="B6" s="30" t="str">
        <x:v>이상해풀</x:v>
      </x:c>
      <x:c r="C6" s="30" t="str">
        <x:v>ivysaur</x:v>
      </x:c>
      <x:c r="D6" s="36" t="n">
        <x:v>1</x:v>
      </x:c>
      <x:c r="E6" s="31" t="str">
        <x:v>포함</x:v>
      </x:c>
      <x:c r="F6" s="31" t="str">
        <x:v>포함</x:v>
      </x:c>
      <x:c r="G6" s="31" t="str">
        <x:v>—</x:v>
      </x:c>
      <x:c r="H6" s="31" t="str">
        <x:v>—</x:v>
      </x:c>
      <x:c r="I6" s="31" t="str">
        <x:v>—</x:v>
      </x:c>
      <x:c r="J6" s="31" t="str">
        <x:v>포함</x:v>
      </x:c>
      <x:c r="K6" s="31" t="str">
        <x:v>—</x:v>
      </x:c>
      <x:c r="L6" s="31" t="str">
        <x:v>포함</x:v>
      </x:c>
      <x:c r="M6" s="31" t="str">
        <x:v>포함</x:v>
      </x:c>
    </x:row>
    <x:row r="7">
      <x:c r="A7" s="34" t="n">
        <x:v>3</x:v>
      </x:c>
      <x:c r="B7" s="30" t="str">
        <x:v>이상해꽃</x:v>
      </x:c>
      <x:c r="C7" s="30" t="str">
        <x:v>venusaur</x:v>
      </x:c>
      <x:c r="D7" s="36" t="n">
        <x:v>1</x:v>
      </x:c>
      <x:c r="E7" s="31" t="str">
        <x:v>포함</x:v>
      </x:c>
      <x:c r="F7" s="31" t="str">
        <x:v>포함</x:v>
      </x:c>
      <x:c r="G7" s="31" t="str">
        <x:v>—</x:v>
      </x:c>
      <x:c r="H7" s="31" t="str">
        <x:v>—</x:v>
      </x:c>
      <x:c r="I7" s="31" t="str">
        <x:v>—</x:v>
      </x:c>
      <x:c r="J7" s="31" t="str">
        <x:v>포함</x:v>
      </x:c>
      <x:c r="K7" s="31" t="str">
        <x:v>—</x:v>
      </x:c>
      <x:c r="L7" s="31" t="str">
        <x:v>포함</x:v>
      </x:c>
      <x:c r="M7" s="31" t="str">
        <x:v>포함</x:v>
      </x:c>
    </x:row>
    <x:row r="8">
      <x:c r="A8" s="34" t="n">
        <x:v>4</x:v>
      </x:c>
      <x:c r="B8" s="30" t="str">
        <x:v>파이리</x:v>
      </x:c>
      <x:c r="C8" s="30" t="str">
        <x:v>charmander</x:v>
      </x:c>
      <x:c r="D8" s="36" t="n">
        <x:v>1</x:v>
      </x:c>
      <x:c r="E8" s="31" t="str">
        <x:v>포함</x:v>
      </x:c>
      <x:c r="F8" s="31" t="str">
        <x:v>포함</x:v>
      </x:c>
      <x:c r="G8" s="31" t="str">
        <x:v>—</x:v>
      </x:c>
      <x:c r="H8" s="31" t="str">
        <x:v>—</x:v>
      </x:c>
      <x:c r="I8" s="31" t="str">
        <x:v>—</x:v>
      </x:c>
      <x:c r="J8" s="31" t="str">
        <x:v>포함</x:v>
      </x:c>
      <x:c r="K8" s="31" t="str">
        <x:v>—</x:v>
      </x:c>
      <x:c r="L8" s="31" t="str">
        <x:v>포함</x:v>
      </x:c>
      <x:c r="M8" s="31" t="str">
        <x:v>포함</x:v>
      </x:c>
    </x:row>
    <x:row r="9">
      <x:c r="A9" s="34" t="n">
        <x:v>5</x:v>
      </x:c>
      <x:c r="B9" s="30" t="str">
        <x:v>리자드</x:v>
      </x:c>
      <x:c r="C9" s="30" t="str">
        <x:v>charmeleon</x:v>
      </x:c>
      <x:c r="D9" s="36" t="n">
        <x:v>1</x:v>
      </x:c>
      <x:c r="E9" s="31" t="str">
        <x:v>포함</x:v>
      </x:c>
      <x:c r="F9" s="31" t="str">
        <x:v>포함</x:v>
      </x:c>
      <x:c r="G9" s="31" t="str">
        <x:v>—</x:v>
      </x:c>
      <x:c r="H9" s="31" t="str">
        <x:v>—</x:v>
      </x:c>
      <x:c r="I9" s="31" t="str">
        <x:v>—</x:v>
      </x:c>
      <x:c r="J9" s="31" t="str">
        <x:v>포함</x:v>
      </x:c>
      <x:c r="K9" s="31" t="str">
        <x:v>—</x:v>
      </x:c>
      <x:c r="L9" s="31" t="str">
        <x:v>포함</x:v>
      </x:c>
      <x:c r="M9" s="31" t="str">
        <x:v>포함</x:v>
      </x:c>
    </x:row>
    <x:row r="10">
      <x:c r="A10" s="34" t="n">
        <x:v>6</x:v>
      </x:c>
      <x:c r="B10" s="30" t="str">
        <x:v>리자몽</x:v>
      </x:c>
      <x:c r="C10" s="30" t="str">
        <x:v>charizard</x:v>
      </x:c>
      <x:c r="D10" s="36" t="n">
        <x:v>1</x:v>
      </x:c>
      <x:c r="E10" s="31" t="str">
        <x:v>포함</x:v>
      </x:c>
      <x:c r="F10" s="31" t="str">
        <x:v>포함</x:v>
      </x:c>
      <x:c r="G10" s="31" t="str">
        <x:v>—</x:v>
      </x:c>
      <x:c r="H10" s="31" t="str">
        <x:v>—</x:v>
      </x:c>
      <x:c r="I10" s="31" t="str">
        <x:v>—</x:v>
      </x:c>
      <x:c r="J10" s="31" t="str">
        <x:v>포함</x:v>
      </x:c>
      <x:c r="K10" s="31" t="str">
        <x:v>—</x:v>
      </x:c>
      <x:c r="L10" s="31" t="str">
        <x:v>포함</x:v>
      </x:c>
      <x:c r="M10" s="31" t="str">
        <x:v>포함</x:v>
      </x:c>
    </x:row>
    <x:row r="11">
      <x:c r="A11" s="34" t="n">
        <x:v>7</x:v>
      </x:c>
      <x:c r="B11" s="30" t="str">
        <x:v>꼬부기</x:v>
      </x:c>
      <x:c r="C11" s="30" t="str">
        <x:v>squirtle</x:v>
      </x:c>
      <x:c r="D11" s="36" t="n">
        <x:v>1</x:v>
      </x:c>
      <x:c r="E11" s="31" t="str">
        <x:v>포함</x:v>
      </x:c>
      <x:c r="F11" s="31" t="str">
        <x:v>포함</x:v>
      </x:c>
      <x:c r="G11" s="31" t="str">
        <x:v>—</x:v>
      </x:c>
      <x:c r="H11" s="31" t="str">
        <x:v>—</x:v>
      </x:c>
      <x:c r="I11" s="31" t="str">
        <x:v>—</x:v>
      </x:c>
      <x:c r="J11" s="31" t="str">
        <x:v>포함</x:v>
      </x:c>
      <x:c r="K11" s="31" t="str">
        <x:v>—</x:v>
      </x:c>
      <x:c r="L11" s="31" t="str">
        <x:v>포함</x:v>
      </x:c>
      <x:c r="M11" s="31" t="str">
        <x:v>포함</x:v>
      </x:c>
    </x:row>
    <x:row r="12">
      <x:c r="A12" s="34" t="n">
        <x:v>8</x:v>
      </x:c>
      <x:c r="B12" s="30" t="str">
        <x:v>어니부기</x:v>
      </x:c>
      <x:c r="C12" s="30" t="str">
        <x:v>wartortle</x:v>
      </x:c>
      <x:c r="D12" s="36" t="n">
        <x:v>1</x:v>
      </x:c>
      <x:c r="E12" s="31" t="str">
        <x:v>포함</x:v>
      </x:c>
      <x:c r="F12" s="31" t="str">
        <x:v>포함</x:v>
      </x:c>
      <x:c r="G12" s="31" t="str">
        <x:v>—</x:v>
      </x:c>
      <x:c r="H12" s="31" t="str">
        <x:v>—</x:v>
      </x:c>
      <x:c r="I12" s="31" t="str">
        <x:v>—</x:v>
      </x:c>
      <x:c r="J12" s="31" t="str">
        <x:v>포함</x:v>
      </x:c>
      <x:c r="K12" s="31" t="str">
        <x:v>—</x:v>
      </x:c>
      <x:c r="L12" s="31" t="str">
        <x:v>포함</x:v>
      </x:c>
      <x:c r="M12" s="31" t="str">
        <x:v>포함</x:v>
      </x:c>
    </x:row>
    <x:row r="13">
      <x:c r="A13" s="34" t="n">
        <x:v>9</x:v>
      </x:c>
      <x:c r="B13" s="30" t="str">
        <x:v>거북왕</x:v>
      </x:c>
      <x:c r="C13" s="30" t="str">
        <x:v>blastoise</x:v>
      </x:c>
      <x:c r="D13" s="36" t="n">
        <x:v>1</x:v>
      </x:c>
      <x:c r="E13" s="31" t="str">
        <x:v>포함</x:v>
      </x:c>
      <x:c r="F13" s="31" t="str">
        <x:v>포함</x:v>
      </x:c>
      <x:c r="G13" s="31" t="str">
        <x:v>—</x:v>
      </x:c>
      <x:c r="H13" s="31" t="str">
        <x:v>—</x:v>
      </x:c>
      <x:c r="I13" s="31" t="str">
        <x:v>—</x:v>
      </x:c>
      <x:c r="J13" s="31" t="str">
        <x:v>포함</x:v>
      </x:c>
      <x:c r="K13" s="31" t="str">
        <x:v>—</x:v>
      </x:c>
      <x:c r="L13" s="31" t="str">
        <x:v>포함</x:v>
      </x:c>
      <x:c r="M13" s="31" t="str">
        <x:v>포함</x:v>
      </x:c>
    </x:row>
    <x:row r="14">
      <x:c r="A14" s="34" t="n">
        <x:v>10</x:v>
      </x:c>
      <x:c r="B14" s="30" t="str">
        <x:v>캐터피</x:v>
      </x:c>
      <x:c r="C14" s="30" t="str">
        <x:v>caterpie</x:v>
      </x:c>
      <x:c r="D14" s="36" t="n">
        <x:v>1</x:v>
      </x:c>
      <x:c r="E14" s="31" t="str">
        <x:v>포함</x:v>
      </x:c>
      <x:c r="F14" s="31" t="str">
        <x:v>포함</x:v>
      </x:c>
      <x:c r="G14" s="31" t="str">
        <x:v>—</x:v>
      </x:c>
      <x:c r="H14" s="31" t="str">
        <x:v>—</x:v>
      </x:c>
      <x:c r="I14" s="31" t="str">
        <x:v>—</x:v>
      </x:c>
      <x:c r="J14" s="31" t="str">
        <x:v>포함</x:v>
      </x:c>
      <x:c r="K14" s="31" t="str">
        <x:v>포함</x:v>
      </x:c>
      <x:c r="L14" s="31" t="str">
        <x:v>포함</x:v>
      </x:c>
      <x:c r="M14" s="31" t="str">
        <x:v>—</x:v>
      </x:c>
    </x:row>
    <x:row r="15">
      <x:c r="A15" s="34" t="n">
        <x:v>11</x:v>
      </x:c>
      <x:c r="B15" s="30" t="str">
        <x:v>단데기</x:v>
      </x:c>
      <x:c r="C15" s="30" t="str">
        <x:v>metapod</x:v>
      </x:c>
      <x:c r="D15" s="36" t="n">
        <x:v>1</x:v>
      </x:c>
      <x:c r="E15" s="31" t="str">
        <x:v>포함</x:v>
      </x:c>
      <x:c r="F15" s="31" t="str">
        <x:v>포함</x:v>
      </x:c>
      <x:c r="G15" s="31" t="str">
        <x:v>—</x:v>
      </x:c>
      <x:c r="H15" s="31" t="str">
        <x:v>—</x:v>
      </x:c>
      <x:c r="I15" s="31" t="str">
        <x:v>—</x:v>
      </x:c>
      <x:c r="J15" s="31" t="str">
        <x:v>포함</x:v>
      </x:c>
      <x:c r="K15" s="31" t="str">
        <x:v>포함</x:v>
      </x:c>
      <x:c r="L15" s="31" t="str">
        <x:v>포함</x:v>
      </x:c>
      <x:c r="M15" s="31" t="str">
        <x:v>—</x:v>
      </x:c>
    </x:row>
    <x:row r="16">
      <x:c r="A16" s="34" t="n">
        <x:v>12</x:v>
      </x:c>
      <x:c r="B16" s="30" t="str">
        <x:v>버터플</x:v>
      </x:c>
      <x:c r="C16" s="30" t="str">
        <x:v>butterfree</x:v>
      </x:c>
      <x:c r="D16" s="36" t="n">
        <x:v>1</x:v>
      </x:c>
      <x:c r="E16" s="31" t="str">
        <x:v>포함</x:v>
      </x:c>
      <x:c r="F16" s="31" t="str">
        <x:v>포함</x:v>
      </x:c>
      <x:c r="G16" s="31" t="str">
        <x:v>—</x:v>
      </x:c>
      <x:c r="H16" s="31" t="str">
        <x:v>—</x:v>
      </x:c>
      <x:c r="I16" s="31" t="str">
        <x:v>—</x:v>
      </x:c>
      <x:c r="J16" s="31" t="str">
        <x:v>포함</x:v>
      </x:c>
      <x:c r="K16" s="31" t="str">
        <x:v>포함</x:v>
      </x:c>
      <x:c r="L16" s="31" t="str">
        <x:v>포함</x:v>
      </x:c>
      <x:c r="M16" s="31" t="str">
        <x:v>—</x:v>
      </x:c>
    </x:row>
    <x:row r="17">
      <x:c r="A17" s="34" t="n">
        <x:v>13</x:v>
      </x:c>
      <x:c r="B17" s="30" t="str">
        <x:v>뿔충이</x:v>
      </x:c>
      <x:c r="C17" s="30" t="str">
        <x:v>weedle</x:v>
      </x:c>
      <x:c r="D17" s="36" t="n">
        <x:v>1</x:v>
      </x:c>
      <x:c r="E17" s="31" t="str">
        <x:v>포함</x:v>
      </x:c>
      <x:c r="F17" s="31" t="str">
        <x:v>포함</x:v>
      </x:c>
      <x:c r="G17" s="31" t="str">
        <x:v>—</x:v>
      </x:c>
      <x:c r="H17" s="31" t="str">
        <x:v>—</x:v>
      </x:c>
      <x:c r="I17" s="31" t="str">
        <x:v>—</x:v>
      </x:c>
      <x:c r="J17" s="31" t="str">
        <x:v>포함</x:v>
      </x:c>
      <x:c r="K17" s="31" t="str">
        <x:v>—</x:v>
      </x:c>
      <x:c r="L17" s="31" t="str">
        <x:v>—</x:v>
      </x:c>
      <x:c r="M17" s="31" t="str">
        <x:v>—</x:v>
      </x:c>
    </x:row>
    <x:row r="18">
      <x:c r="A18" s="34" t="n">
        <x:v>14</x:v>
      </x:c>
      <x:c r="B18" s="30" t="str">
        <x:v>딱충이</x:v>
      </x:c>
      <x:c r="C18" s="30" t="str">
        <x:v>kakuna</x:v>
      </x:c>
      <x:c r="D18" s="36" t="n">
        <x:v>1</x:v>
      </x:c>
      <x:c r="E18" s="31" t="str">
        <x:v>포함</x:v>
      </x:c>
      <x:c r="F18" s="31" t="str">
        <x:v>포함</x:v>
      </x:c>
      <x:c r="G18" s="31" t="str">
        <x:v>—</x:v>
      </x:c>
      <x:c r="H18" s="31" t="str">
        <x:v>—</x:v>
      </x:c>
      <x:c r="I18" s="31" t="str">
        <x:v>—</x:v>
      </x:c>
      <x:c r="J18" s="31" t="str">
        <x:v>포함</x:v>
      </x:c>
      <x:c r="K18" s="31" t="str">
        <x:v>—</x:v>
      </x:c>
      <x:c r="L18" s="31" t="str">
        <x:v>—</x:v>
      </x:c>
      <x:c r="M18" s="31" t="str">
        <x:v>—</x:v>
      </x:c>
    </x:row>
    <x:row r="19">
      <x:c r="A19" s="34" t="n">
        <x:v>15</x:v>
      </x:c>
      <x:c r="B19" s="30" t="str">
        <x:v>독침붕</x:v>
      </x:c>
      <x:c r="C19" s="30" t="str">
        <x:v>beedrill</x:v>
      </x:c>
      <x:c r="D19" s="36" t="n">
        <x:v>1</x:v>
      </x:c>
      <x:c r="E19" s="31" t="str">
        <x:v>포함</x:v>
      </x:c>
      <x:c r="F19" s="31" t="str">
        <x:v>포함</x:v>
      </x:c>
      <x:c r="G19" s="31" t="str">
        <x:v>—</x:v>
      </x:c>
      <x:c r="H19" s="31" t="str">
        <x:v>—</x:v>
      </x:c>
      <x:c r="I19" s="31" t="str">
        <x:v>—</x:v>
      </x:c>
      <x:c r="J19" s="31" t="str">
        <x:v>포함</x:v>
      </x:c>
      <x:c r="K19" s="31" t="str">
        <x:v>—</x:v>
      </x:c>
      <x:c r="L19" s="31" t="str">
        <x:v>—</x:v>
      </x:c>
      <x:c r="M19" s="31" t="str">
        <x:v>—</x:v>
      </x:c>
    </x:row>
    <x:row r="20">
      <x:c r="A20" s="34" t="n">
        <x:v>16</x:v>
      </x:c>
      <x:c r="B20" s="30" t="str">
        <x:v>구구</x:v>
      </x:c>
      <x:c r="C20" s="30" t="str">
        <x:v>pidgey</x:v>
      </x:c>
      <x:c r="D20" s="36" t="n">
        <x:v>1</x:v>
      </x:c>
      <x:c r="E20" s="31" t="str">
        <x:v>포함</x:v>
      </x:c>
      <x:c r="F20" s="31" t="str">
        <x:v>포함</x:v>
      </x:c>
      <x:c r="G20" s="31" t="str">
        <x:v>—</x:v>
      </x:c>
      <x:c r="H20" s="31" t="str">
        <x:v>—</x:v>
      </x:c>
      <x:c r="I20" s="31" t="str">
        <x:v>—</x:v>
      </x:c>
      <x:c r="J20" s="31" t="str">
        <x:v>포함</x:v>
      </x:c>
      <x:c r="K20" s="31" t="str">
        <x:v>—</x:v>
      </x:c>
      <x:c r="L20" s="31" t="str">
        <x:v>—</x:v>
      </x:c>
      <x:c r="M20" s="31" t="str">
        <x:v>—</x:v>
      </x:c>
    </x:row>
    <x:row r="21">
      <x:c r="A21" s="34" t="n">
        <x:v>17</x:v>
      </x:c>
      <x:c r="B21" s="30" t="str">
        <x:v>피죤</x:v>
      </x:c>
      <x:c r="C21" s="30" t="str">
        <x:v>pidgeotto</x:v>
      </x:c>
      <x:c r="D21" s="36" t="n">
        <x:v>1</x:v>
      </x:c>
      <x:c r="E21" s="31" t="str">
        <x:v>포함</x:v>
      </x:c>
      <x:c r="F21" s="31" t="str">
        <x:v>포함</x:v>
      </x:c>
      <x:c r="G21" s="31" t="str">
        <x:v>—</x:v>
      </x:c>
      <x:c r="H21" s="31" t="str">
        <x:v>—</x:v>
      </x:c>
      <x:c r="I21" s="31" t="str">
        <x:v>—</x:v>
      </x:c>
      <x:c r="J21" s="31" t="str">
        <x:v>포함</x:v>
      </x:c>
      <x:c r="K21" s="31" t="str">
        <x:v>—</x:v>
      </x:c>
      <x:c r="L21" s="31" t="str">
        <x:v>—</x:v>
      </x:c>
      <x:c r="M21" s="31" t="str">
        <x:v>—</x:v>
      </x:c>
    </x:row>
    <x:row r="22">
      <x:c r="A22" s="34" t="n">
        <x:v>18</x:v>
      </x:c>
      <x:c r="B22" s="30" t="str">
        <x:v>피죤투</x:v>
      </x:c>
      <x:c r="C22" s="30" t="str">
        <x:v>pidgeot</x:v>
      </x:c>
      <x:c r="D22" s="36" t="n">
        <x:v>1</x:v>
      </x:c>
      <x:c r="E22" s="31" t="str">
        <x:v>포함</x:v>
      </x:c>
      <x:c r="F22" s="31" t="str">
        <x:v>포함</x:v>
      </x:c>
      <x:c r="G22" s="31" t="str">
        <x:v>—</x:v>
      </x:c>
      <x:c r="H22" s="31" t="str">
        <x:v>—</x:v>
      </x:c>
      <x:c r="I22" s="31" t="str">
        <x:v>—</x:v>
      </x:c>
      <x:c r="J22" s="31" t="str">
        <x:v>포함</x:v>
      </x:c>
      <x:c r="K22" s="31" t="str">
        <x:v>—</x:v>
      </x:c>
      <x:c r="L22" s="31" t="str">
        <x:v>—</x:v>
      </x:c>
      <x:c r="M22" s="31" t="str">
        <x:v>—</x:v>
      </x:c>
    </x:row>
    <x:row r="23">
      <x:c r="A23" s="34" t="n">
        <x:v>19</x:v>
      </x:c>
      <x:c r="B23" s="30" t="str">
        <x:v>꼬렛</x:v>
      </x:c>
      <x:c r="C23" s="30" t="str">
        <x:v>rattata</x:v>
      </x:c>
      <x:c r="D23" s="36" t="n">
        <x:v>1</x:v>
      </x:c>
      <x:c r="E23" s="31" t="str">
        <x:v>포함</x:v>
      </x:c>
      <x:c r="F23" s="31" t="str">
        <x:v>포함</x:v>
      </x:c>
      <x:c r="G23" s="31" t="str">
        <x:v>—</x:v>
      </x:c>
      <x:c r="H23" s="31" t="str">
        <x:v>—</x:v>
      </x:c>
      <x:c r="I23" s="31" t="str">
        <x:v>포함</x:v>
      </x:c>
      <x:c r="J23" s="31" t="str">
        <x:v>—</x:v>
      </x:c>
      <x:c r="K23" s="31" t="str">
        <x:v>포함</x:v>
      </x:c>
      <x:c r="L23" s="31" t="str">
        <x:v>—</x:v>
      </x:c>
      <x:c r="M23" s="31" t="str">
        <x:v>—</x:v>
      </x:c>
    </x:row>
    <x:row r="24">
      <x:c r="A24" s="34" t="n">
        <x:v>20</x:v>
      </x:c>
      <x:c r="B24" s="30" t="str">
        <x:v>레트라</x:v>
      </x:c>
      <x:c r="C24" s="30" t="str">
        <x:v>raticate</x:v>
      </x:c>
      <x:c r="D24" s="36" t="n">
        <x:v>1</x:v>
      </x:c>
      <x:c r="E24" s="31" t="str">
        <x:v>포함</x:v>
      </x:c>
      <x:c r="F24" s="31" t="str">
        <x:v>포함</x:v>
      </x:c>
      <x:c r="G24" s="31" t="str">
        <x:v>—</x:v>
      </x:c>
      <x:c r="H24" s="31" t="str">
        <x:v>—</x:v>
      </x:c>
      <x:c r="I24" s="31" t="str">
        <x:v>포함</x:v>
      </x:c>
      <x:c r="J24" s="31" t="str">
        <x:v>—</x:v>
      </x:c>
      <x:c r="K24" s="31" t="str">
        <x:v>포함</x:v>
      </x:c>
      <x:c r="L24" s="31" t="str">
        <x:v>—</x:v>
      </x:c>
      <x:c r="M24" s="31" t="str">
        <x:v>—</x:v>
      </x:c>
    </x:row>
    <x:row r="25">
      <x:c r="A25" s="34" t="n">
        <x:v>21</x:v>
      </x:c>
      <x:c r="B25" s="30" t="str">
        <x:v>깨비참</x:v>
      </x:c>
      <x:c r="C25" s="30" t="str">
        <x:v>spearow</x:v>
      </x:c>
      <x:c r="D25" s="36" t="n">
        <x:v>1</x:v>
      </x:c>
      <x:c r="E25" s="31" t="str">
        <x:v>포함</x:v>
      </x:c>
      <x:c r="F25" s="31" t="str">
        <x:v>포함</x:v>
      </x:c>
      <x:c r="G25" s="31" t="str">
        <x:v>—</x:v>
      </x:c>
      <x:c r="H25" s="31" t="str">
        <x:v>—</x:v>
      </x:c>
      <x:c r="I25" s="31" t="str">
        <x:v>—</x:v>
      </x:c>
      <x:c r="J25" s="31" t="str">
        <x:v>포함</x:v>
      </x:c>
      <x:c r="K25" s="31" t="str">
        <x:v>포함</x:v>
      </x:c>
      <x:c r="L25" s="31" t="str">
        <x:v>—</x:v>
      </x:c>
      <x:c r="M25" s="31" t="str">
        <x:v>—</x:v>
      </x:c>
    </x:row>
    <x:row r="26">
      <x:c r="A26" s="34" t="n">
        <x:v>22</x:v>
      </x:c>
      <x:c r="B26" s="30" t="str">
        <x:v>깨비드릴조</x:v>
      </x:c>
      <x:c r="C26" s="30" t="str">
        <x:v>fearow</x:v>
      </x:c>
      <x:c r="D26" s="36" t="n">
        <x:v>1</x:v>
      </x:c>
      <x:c r="E26" s="31" t="str">
        <x:v>포함</x:v>
      </x:c>
      <x:c r="F26" s="31" t="str">
        <x:v>포함</x:v>
      </x:c>
      <x:c r="G26" s="31" t="str">
        <x:v>—</x:v>
      </x:c>
      <x:c r="H26" s="31" t="str">
        <x:v>—</x:v>
      </x:c>
      <x:c r="I26" s="31" t="str">
        <x:v>—</x:v>
      </x:c>
      <x:c r="J26" s="31" t="str">
        <x:v>포함</x:v>
      </x:c>
      <x:c r="K26" s="31" t="str">
        <x:v>포함</x:v>
      </x:c>
      <x:c r="L26" s="31" t="str">
        <x:v>—</x:v>
      </x:c>
      <x:c r="M26" s="31" t="str">
        <x:v>—</x:v>
      </x:c>
    </x:row>
    <x:row r="27">
      <x:c r="A27" s="34" t="n">
        <x:v>23</x:v>
      </x:c>
      <x:c r="B27" s="30" t="str">
        <x:v>아보</x:v>
      </x:c>
      <x:c r="C27" s="30" t="str">
        <x:v>ekans</x:v>
      </x:c>
      <x:c r="D27" s="36" t="n">
        <x:v>1</x:v>
      </x:c>
      <x:c r="E27" s="31" t="str">
        <x:v>포함</x:v>
      </x:c>
      <x:c r="F27" s="31" t="str">
        <x:v>포함</x:v>
      </x:c>
      <x:c r="G27" s="31" t="str">
        <x:v>—</x:v>
      </x:c>
      <x:c r="H27" s="31" t="str">
        <x:v>—</x:v>
      </x:c>
      <x:c r="I27" s="31" t="str">
        <x:v>—</x:v>
      </x:c>
      <x:c r="J27" s="31" t="str">
        <x:v>포함</x:v>
      </x:c>
      <x:c r="K27" s="31" t="str">
        <x:v>포함</x:v>
      </x:c>
      <x:c r="L27" s="31" t="str">
        <x:v>—</x:v>
      </x:c>
      <x:c r="M27" s="31" t="str">
        <x:v>포함</x:v>
      </x:c>
    </x:row>
    <x:row r="28">
      <x:c r="A28" s="34" t="n">
        <x:v>24</x:v>
      </x:c>
      <x:c r="B28" s="30" t="str">
        <x:v>아보크</x:v>
      </x:c>
      <x:c r="C28" s="30" t="str">
        <x:v>arbok</x:v>
      </x:c>
      <x:c r="D28" s="36" t="n">
        <x:v>1</x:v>
      </x:c>
      <x:c r="E28" s="31" t="str">
        <x:v>포함</x:v>
      </x:c>
      <x:c r="F28" s="31" t="str">
        <x:v>포함</x:v>
      </x:c>
      <x:c r="G28" s="31" t="str">
        <x:v>—</x:v>
      </x:c>
      <x:c r="H28" s="31" t="str">
        <x:v>—</x:v>
      </x:c>
      <x:c r="I28" s="31" t="str">
        <x:v>—</x:v>
      </x:c>
      <x:c r="J28" s="31" t="str">
        <x:v>포함</x:v>
      </x:c>
      <x:c r="K28" s="31" t="str">
        <x:v>포함</x:v>
      </x:c>
      <x:c r="L28" s="31" t="str">
        <x:v>—</x:v>
      </x:c>
      <x:c r="M28" s="31" t="str">
        <x:v>포함</x:v>
      </x:c>
    </x:row>
    <x:row r="29">
      <x:c r="A29" s="34" t="n">
        <x:v>25</x:v>
      </x:c>
      <x:c r="B29" s="30" t="str">
        <x:v>피카츄</x:v>
      </x:c>
      <x:c r="C29" s="30" t="str">
        <x:v>pikachu</x:v>
      </x:c>
      <x:c r="D29" s="36" t="n">
        <x:v>1</x:v>
      </x:c>
      <x:c r="E29" s="31" t="str">
        <x:v>포함</x:v>
      </x:c>
      <x:c r="F29" s="31" t="str">
        <x:v>포함</x:v>
      </x:c>
      <x:c r="G29" s="31" t="str">
        <x:v>포함</x:v>
      </x:c>
      <x:c r="H29" s="31" t="str">
        <x:v>포함</x:v>
      </x:c>
      <x:c r="I29" s="31" t="str">
        <x:v>—</x:v>
      </x:c>
      <x:c r="J29" s="31" t="str">
        <x:v>포함</x:v>
      </x:c>
      <x:c r="K29" s="31" t="str">
        <x:v>포함</x:v>
      </x:c>
      <x:c r="L29" s="31" t="str">
        <x:v>포함</x:v>
      </x:c>
      <x:c r="M29" s="31" t="str">
        <x:v>포함</x:v>
      </x:c>
    </x:row>
    <x:row r="30">
      <x:c r="A30" s="34" t="n">
        <x:v>26</x:v>
      </x:c>
      <x:c r="B30" s="30" t="str">
        <x:v>라이츄</x:v>
      </x:c>
      <x:c r="C30" s="30" t="str">
        <x:v>raichu</x:v>
      </x:c>
      <x:c r="D30" s="36" t="n">
        <x:v>1</x:v>
      </x:c>
      <x:c r="E30" s="31" t="str">
        <x:v>포함</x:v>
      </x:c>
      <x:c r="F30" s="31" t="str">
        <x:v>포함</x:v>
      </x:c>
      <x:c r="G30" s="31" t="str">
        <x:v>포함</x:v>
      </x:c>
      <x:c r="H30" s="31" t="str">
        <x:v>포함</x:v>
      </x:c>
      <x:c r="I30" s="31" t="str">
        <x:v>—</x:v>
      </x:c>
      <x:c r="J30" s="31" t="str">
        <x:v>포함</x:v>
      </x:c>
      <x:c r="K30" s="31" t="str">
        <x:v>포함</x:v>
      </x:c>
      <x:c r="L30" s="31" t="str">
        <x:v>포함</x:v>
      </x:c>
      <x:c r="M30" s="31" t="str">
        <x:v>포함</x:v>
      </x:c>
    </x:row>
    <x:row r="31">
      <x:c r="A31" s="34" t="n">
        <x:v>27</x:v>
      </x:c>
      <x:c r="B31" s="30" t="str">
        <x:v>모래두지</x:v>
      </x:c>
      <x:c r="C31" s="30" t="str">
        <x:v>sandshrew</x:v>
      </x:c>
      <x:c r="D31" s="36" t="n">
        <x:v>1</x:v>
      </x:c>
      <x:c r="E31" s="31" t="str">
        <x:v>포함</x:v>
      </x:c>
      <x:c r="F31" s="31" t="str">
        <x:v>포함</x:v>
      </x:c>
      <x:c r="G31" s="31" t="str">
        <x:v>포함</x:v>
      </x:c>
      <x:c r="H31" s="31" t="str">
        <x:v>—</x:v>
      </x:c>
      <x:c r="I31" s="31" t="str">
        <x:v>포함</x:v>
      </x:c>
      <x:c r="J31" s="31" t="str">
        <x:v>포함</x:v>
      </x:c>
      <x:c r="K31" s="31" t="str">
        <x:v>포함</x:v>
      </x:c>
      <x:c r="L31" s="31" t="str">
        <x:v>포함</x:v>
      </x:c>
      <x:c r="M31" s="31" t="str">
        <x:v>포함</x:v>
      </x:c>
    </x:row>
    <x:row r="32">
      <x:c r="A32" s="34" t="n">
        <x:v>28</x:v>
      </x:c>
      <x:c r="B32" s="30" t="str">
        <x:v>고지</x:v>
      </x:c>
      <x:c r="C32" s="30" t="str">
        <x:v>sandslash</x:v>
      </x:c>
      <x:c r="D32" s="36" t="n">
        <x:v>1</x:v>
      </x:c>
      <x:c r="E32" s="31" t="str">
        <x:v>포함</x:v>
      </x:c>
      <x:c r="F32" s="31" t="str">
        <x:v>포함</x:v>
      </x:c>
      <x:c r="G32" s="31" t="str">
        <x:v>포함</x:v>
      </x:c>
      <x:c r="H32" s="31" t="str">
        <x:v>—</x:v>
      </x:c>
      <x:c r="I32" s="31" t="str">
        <x:v>포함</x:v>
      </x:c>
      <x:c r="J32" s="31" t="str">
        <x:v>포함</x:v>
      </x:c>
      <x:c r="K32" s="31" t="str">
        <x:v>포함</x:v>
      </x:c>
      <x:c r="L32" s="31" t="str">
        <x:v>포함</x:v>
      </x:c>
      <x:c r="M32" s="31" t="str">
        <x:v>포함</x:v>
      </x:c>
    </x:row>
    <x:row r="33">
      <x:c r="A33" s="34" t="n">
        <x:v>29</x:v>
      </x:c>
      <x:c r="B33" s="30" t="str">
        <x:v>니드런</x:v>
      </x:c>
      <x:c r="C33" s="30" t="str">
        <x:v>nidoranf</x:v>
      </x:c>
      <x:c r="D33" s="36" t="n">
        <x:v>1</x:v>
      </x:c>
      <x:c r="E33" s="31" t="str">
        <x:v>포함</x:v>
      </x:c>
      <x:c r="F33" s="31" t="str">
        <x:v>포함</x:v>
      </x:c>
      <x:c r="G33" s="31" t="str">
        <x:v>—</x:v>
      </x:c>
      <x:c r="H33" s="31" t="str">
        <x:v>—</x:v>
      </x:c>
      <x:c r="I33" s="31" t="str">
        <x:v>—</x:v>
      </x:c>
      <x:c r="J33" s="31" t="str">
        <x:v>포함</x:v>
      </x:c>
      <x:c r="K33" s="31" t="str">
        <x:v>—</x:v>
      </x:c>
      <x:c r="L33" s="31" t="str">
        <x:v>포함</x:v>
      </x:c>
      <x:c r="M33" s="31" t="str">
        <x:v>—</x:v>
      </x:c>
    </x:row>
    <x:row r="34">
      <x:c r="A34" s="34" t="n">
        <x:v>30</x:v>
      </x:c>
      <x:c r="B34" s="30" t="str">
        <x:v>니드리나</x:v>
      </x:c>
      <x:c r="C34" s="30" t="str">
        <x:v>nidorina</x:v>
      </x:c>
      <x:c r="D34" s="36" t="n">
        <x:v>1</x:v>
      </x:c>
      <x:c r="E34" s="31" t="str">
        <x:v>포함</x:v>
      </x:c>
      <x:c r="F34" s="31" t="str">
        <x:v>포함</x:v>
      </x:c>
      <x:c r="G34" s="31" t="str">
        <x:v>—</x:v>
      </x:c>
      <x:c r="H34" s="31" t="str">
        <x:v>—</x:v>
      </x:c>
      <x:c r="I34" s="31" t="str">
        <x:v>—</x:v>
      </x:c>
      <x:c r="J34" s="31" t="str">
        <x:v>포함</x:v>
      </x:c>
      <x:c r="K34" s="31" t="str">
        <x:v>—</x:v>
      </x:c>
      <x:c r="L34" s="31" t="str">
        <x:v>포함</x:v>
      </x:c>
      <x:c r="M34" s="31" t="str">
        <x:v>—</x:v>
      </x:c>
    </x:row>
    <x:row r="35">
      <x:c r="A35" s="34" t="n">
        <x:v>31</x:v>
      </x:c>
      <x:c r="B35" s="30" t="str">
        <x:v>니드퀸</x:v>
      </x:c>
      <x:c r="C35" s="30" t="str">
        <x:v>nidoqueen</x:v>
      </x:c>
      <x:c r="D35" s="36" t="n">
        <x:v>1</x:v>
      </x:c>
      <x:c r="E35" s="31" t="str">
        <x:v>포함</x:v>
      </x:c>
      <x:c r="F35" s="31" t="str">
        <x:v>포함</x:v>
      </x:c>
      <x:c r="G35" s="31" t="str">
        <x:v>—</x:v>
      </x:c>
      <x:c r="H35" s="31" t="str">
        <x:v>—</x:v>
      </x:c>
      <x:c r="I35" s="31" t="str">
        <x:v>—</x:v>
      </x:c>
      <x:c r="J35" s="31" t="str">
        <x:v>포함</x:v>
      </x:c>
      <x:c r="K35" s="31" t="str">
        <x:v>—</x:v>
      </x:c>
      <x:c r="L35" s="31" t="str">
        <x:v>포함</x:v>
      </x:c>
      <x:c r="M35" s="31" t="str">
        <x:v>—</x:v>
      </x:c>
    </x:row>
    <x:row r="36">
      <x:c r="A36" s="34" t="n">
        <x:v>32</x:v>
      </x:c>
      <x:c r="B36" s="30" t="str">
        <x:v>니드런</x:v>
      </x:c>
      <x:c r="C36" s="30" t="str">
        <x:v>nidoranm</x:v>
      </x:c>
      <x:c r="D36" s="36" t="n">
        <x:v>1</x:v>
      </x:c>
      <x:c r="E36" s="31" t="str">
        <x:v>포함</x:v>
      </x:c>
      <x:c r="F36" s="31" t="str">
        <x:v>포함</x:v>
      </x:c>
      <x:c r="G36" s="31" t="str">
        <x:v>—</x:v>
      </x:c>
      <x:c r="H36" s="31" t="str">
        <x:v>—</x:v>
      </x:c>
      <x:c r="I36" s="31" t="str">
        <x:v>—</x:v>
      </x:c>
      <x:c r="J36" s="31" t="str">
        <x:v>포함</x:v>
      </x:c>
      <x:c r="K36" s="31" t="str">
        <x:v>—</x:v>
      </x:c>
      <x:c r="L36" s="31" t="str">
        <x:v>포함</x:v>
      </x:c>
      <x:c r="M36" s="31" t="str">
        <x:v>—</x:v>
      </x:c>
    </x:row>
    <x:row r="37">
      <x:c r="A37" s="34" t="n">
        <x:v>33</x:v>
      </x:c>
      <x:c r="B37" s="30" t="str">
        <x:v>니드리노</x:v>
      </x:c>
      <x:c r="C37" s="30" t="str">
        <x:v>nidorino</x:v>
      </x:c>
      <x:c r="D37" s="36" t="n">
        <x:v>1</x:v>
      </x:c>
      <x:c r="E37" s="31" t="str">
        <x:v>포함</x:v>
      </x:c>
      <x:c r="F37" s="31" t="str">
        <x:v>포함</x:v>
      </x:c>
      <x:c r="G37" s="31" t="str">
        <x:v>—</x:v>
      </x:c>
      <x:c r="H37" s="31" t="str">
        <x:v>—</x:v>
      </x:c>
      <x:c r="I37" s="31" t="str">
        <x:v>—</x:v>
      </x:c>
      <x:c r="J37" s="31" t="str">
        <x:v>포함</x:v>
      </x:c>
      <x:c r="K37" s="31" t="str">
        <x:v>—</x:v>
      </x:c>
      <x:c r="L37" s="31" t="str">
        <x:v>포함</x:v>
      </x:c>
      <x:c r="M37" s="31" t="str">
        <x:v>—</x:v>
      </x:c>
    </x:row>
    <x:row r="38">
      <x:c r="A38" s="34" t="n">
        <x:v>34</x:v>
      </x:c>
      <x:c r="B38" s="30" t="str">
        <x:v>니드킹</x:v>
      </x:c>
      <x:c r="C38" s="30" t="str">
        <x:v>nidoking</x:v>
      </x:c>
      <x:c r="D38" s="36" t="n">
        <x:v>1</x:v>
      </x:c>
      <x:c r="E38" s="31" t="str">
        <x:v>포함</x:v>
      </x:c>
      <x:c r="F38" s="31" t="str">
        <x:v>포함</x:v>
      </x:c>
      <x:c r="G38" s="31" t="str">
        <x:v>—</x:v>
      </x:c>
      <x:c r="H38" s="31" t="str">
        <x:v>—</x:v>
      </x:c>
      <x:c r="I38" s="31" t="str">
        <x:v>—</x:v>
      </x:c>
      <x:c r="J38" s="31" t="str">
        <x:v>포함</x:v>
      </x:c>
      <x:c r="K38" s="31" t="str">
        <x:v>—</x:v>
      </x:c>
      <x:c r="L38" s="31" t="str">
        <x:v>포함</x:v>
      </x:c>
      <x:c r="M38" s="31" t="str">
        <x:v>—</x:v>
      </x:c>
    </x:row>
    <x:row r="39">
      <x:c r="A39" s="34" t="n">
        <x:v>35</x:v>
      </x:c>
      <x:c r="B39" s="30" t="str">
        <x:v>삐삐</x:v>
      </x:c>
      <x:c r="C39" s="30" t="str">
        <x:v>clefairy</x:v>
      </x:c>
      <x:c r="D39" s="36" t="n">
        <x:v>1</x:v>
      </x:c>
      <x:c r="E39" s="31" t="str">
        <x:v>포함</x:v>
      </x:c>
      <x:c r="F39" s="31" t="str">
        <x:v>포함</x:v>
      </x:c>
      <x:c r="G39" s="31" t="str">
        <x:v>—</x:v>
      </x:c>
      <x:c r="H39" s="31" t="str">
        <x:v>포함</x:v>
      </x:c>
      <x:c r="I39" s="31" t="str">
        <x:v>포함</x:v>
      </x:c>
      <x:c r="J39" s="31" t="str">
        <x:v>—</x:v>
      </x:c>
      <x:c r="K39" s="31" t="str">
        <x:v>포함</x:v>
      </x:c>
      <x:c r="L39" s="31" t="str">
        <x:v>포함</x:v>
      </x:c>
      <x:c r="M39" s="31" t="str">
        <x:v>포함</x:v>
      </x:c>
    </x:row>
    <x:row r="40">
      <x:c r="A40" s="34" t="n">
        <x:v>36</x:v>
      </x:c>
      <x:c r="B40" s="30" t="str">
        <x:v>픽시</x:v>
      </x:c>
      <x:c r="C40" s="30" t="str">
        <x:v>clefable</x:v>
      </x:c>
      <x:c r="D40" s="36" t="n">
        <x:v>1</x:v>
      </x:c>
      <x:c r="E40" s="31" t="str">
        <x:v>포함</x:v>
      </x:c>
      <x:c r="F40" s="31" t="str">
        <x:v>포함</x:v>
      </x:c>
      <x:c r="G40" s="31" t="str">
        <x:v>—</x:v>
      </x:c>
      <x:c r="H40" s="31" t="str">
        <x:v>포함</x:v>
      </x:c>
      <x:c r="I40" s="31" t="str">
        <x:v>포함</x:v>
      </x:c>
      <x:c r="J40" s="31" t="str">
        <x:v>—</x:v>
      </x:c>
      <x:c r="K40" s="31" t="str">
        <x:v>포함</x:v>
      </x:c>
      <x:c r="L40" s="31" t="str">
        <x:v>포함</x:v>
      </x:c>
      <x:c r="M40" s="31" t="str">
        <x:v>포함</x:v>
      </x:c>
    </x:row>
    <x:row r="41">
      <x:c r="A41" s="34" t="n">
        <x:v>37</x:v>
      </x:c>
      <x:c r="B41" s="30" t="str">
        <x:v>식스테일</x:v>
      </x:c>
      <x:c r="C41" s="30" t="str">
        <x:v>vulpix</x:v>
      </x:c>
      <x:c r="D41" s="36" t="n">
        <x:v>1</x:v>
      </x:c>
      <x:c r="E41" s="31" t="str">
        <x:v>포함</x:v>
      </x:c>
      <x:c r="F41" s="31" t="str">
        <x:v>포함</x:v>
      </x:c>
      <x:c r="G41" s="31" t="str">
        <x:v>포함</x:v>
      </x:c>
      <x:c r="H41" s="31" t="str">
        <x:v>—</x:v>
      </x:c>
      <x:c r="I41" s="31" t="str">
        <x:v>포함</x:v>
      </x:c>
      <x:c r="J41" s="31" t="str">
        <x:v>—</x:v>
      </x:c>
      <x:c r="K41" s="31" t="str">
        <x:v>포함</x:v>
      </x:c>
      <x:c r="L41" s="31" t="str">
        <x:v>포함</x:v>
      </x:c>
      <x:c r="M41" s="31" t="str">
        <x:v>포함</x:v>
      </x:c>
    </x:row>
    <x:row r="42">
      <x:c r="A42" s="34" t="n">
        <x:v>38</x:v>
      </x:c>
      <x:c r="B42" s="30" t="str">
        <x:v>나인테일</x:v>
      </x:c>
      <x:c r="C42" s="30" t="str">
        <x:v>ninetales</x:v>
      </x:c>
      <x:c r="D42" s="36" t="n">
        <x:v>1</x:v>
      </x:c>
      <x:c r="E42" s="31" t="str">
        <x:v>포함</x:v>
      </x:c>
      <x:c r="F42" s="31" t="str">
        <x:v>포함</x:v>
      </x:c>
      <x:c r="G42" s="31" t="str">
        <x:v>포함</x:v>
      </x:c>
      <x:c r="H42" s="31" t="str">
        <x:v>—</x:v>
      </x:c>
      <x:c r="I42" s="31" t="str">
        <x:v>포함</x:v>
      </x:c>
      <x:c r="J42" s="31" t="str">
        <x:v>—</x:v>
      </x:c>
      <x:c r="K42" s="31" t="str">
        <x:v>포함</x:v>
      </x:c>
      <x:c r="L42" s="31" t="str">
        <x:v>포함</x:v>
      </x:c>
      <x:c r="M42" s="31" t="str">
        <x:v>포함</x:v>
      </x:c>
    </x:row>
    <x:row r="43">
      <x:c r="A43" s="34" t="n">
        <x:v>39</x:v>
      </x:c>
      <x:c r="B43" s="30" t="str">
        <x:v>푸린</x:v>
      </x:c>
      <x:c r="C43" s="30" t="str">
        <x:v>jigglypuff</x:v>
      </x:c>
      <x:c r="D43" s="36" t="n">
        <x:v>1</x:v>
      </x:c>
      <x:c r="E43" s="31" t="str">
        <x:v>포함</x:v>
      </x:c>
      <x:c r="F43" s="31" t="str">
        <x:v>포함</x:v>
      </x:c>
      <x:c r="G43" s="31" t="str">
        <x:v>포함</x:v>
      </x:c>
      <x:c r="H43" s="31" t="str">
        <x:v>—</x:v>
      </x:c>
      <x:c r="I43" s="31" t="str">
        <x:v>포함</x:v>
      </x:c>
      <x:c r="J43" s="31" t="str">
        <x:v>포함</x:v>
      </x:c>
      <x:c r="K43" s="31" t="str">
        <x:v>포함</x:v>
      </x:c>
      <x:c r="L43" s="31" t="str">
        <x:v>포함</x:v>
      </x:c>
      <x:c r="M43" s="31" t="str">
        <x:v>포함</x:v>
      </x:c>
    </x:row>
    <x:row r="44">
      <x:c r="A44" s="34" t="n">
        <x:v>40</x:v>
      </x:c>
      <x:c r="B44" s="30" t="str">
        <x:v>푸크린</x:v>
      </x:c>
      <x:c r="C44" s="30" t="str">
        <x:v>wigglytuff</x:v>
      </x:c>
      <x:c r="D44" s="36" t="n">
        <x:v>1</x:v>
      </x:c>
      <x:c r="E44" s="31" t="str">
        <x:v>포함</x:v>
      </x:c>
      <x:c r="F44" s="31" t="str">
        <x:v>포함</x:v>
      </x:c>
      <x:c r="G44" s="31" t="str">
        <x:v>포함</x:v>
      </x:c>
      <x:c r="H44" s="31" t="str">
        <x:v>—</x:v>
      </x:c>
      <x:c r="I44" s="31" t="str">
        <x:v>포함</x:v>
      </x:c>
      <x:c r="J44" s="31" t="str">
        <x:v>포함</x:v>
      </x:c>
      <x:c r="K44" s="31" t="str">
        <x:v>포함</x:v>
      </x:c>
      <x:c r="L44" s="31" t="str">
        <x:v>포함</x:v>
      </x:c>
      <x:c r="M44" s="31" t="str">
        <x:v>포함</x:v>
      </x:c>
    </x:row>
    <x:row r="45">
      <x:c r="A45" s="34" t="n">
        <x:v>41</x:v>
      </x:c>
      <x:c r="B45" s="30" t="str">
        <x:v>주뱃</x:v>
      </x:c>
      <x:c r="C45" s="30" t="str">
        <x:v>zubat</x:v>
      </x:c>
      <x:c r="D45" s="36" t="n">
        <x:v>1</x:v>
      </x:c>
      <x:c r="E45" s="31" t="str">
        <x:v>포함</x:v>
      </x:c>
      <x:c r="F45" s="31" t="str">
        <x:v>포함</x:v>
      </x:c>
      <x:c r="G45" s="31" t="str">
        <x:v>포함</x:v>
      </x:c>
      <x:c r="H45" s="31" t="str">
        <x:v>포함</x:v>
      </x:c>
      <x:c r="I45" s="31" t="str">
        <x:v>포함</x:v>
      </x:c>
      <x:c r="J45" s="31" t="str">
        <x:v>포함</x:v>
      </x:c>
      <x:c r="K45" s="31" t="str">
        <x:v>포함</x:v>
      </x:c>
      <x:c r="L45" s="31" t="str">
        <x:v>포함</x:v>
      </x:c>
      <x:c r="M45" s="31" t="str">
        <x:v>—</x:v>
      </x:c>
    </x:row>
    <x:row r="46">
      <x:c r="A46" s="34" t="n">
        <x:v>42</x:v>
      </x:c>
      <x:c r="B46" s="30" t="str">
        <x:v>골뱃</x:v>
      </x:c>
      <x:c r="C46" s="30" t="str">
        <x:v>golbat</x:v>
      </x:c>
      <x:c r="D46" s="36" t="n">
        <x:v>1</x:v>
      </x:c>
      <x:c r="E46" s="31" t="str">
        <x:v>포함</x:v>
      </x:c>
      <x:c r="F46" s="31" t="str">
        <x:v>포함</x:v>
      </x:c>
      <x:c r="G46" s="31" t="str">
        <x:v>포함</x:v>
      </x:c>
      <x:c r="H46" s="31" t="str">
        <x:v>포함</x:v>
      </x:c>
      <x:c r="I46" s="31" t="str">
        <x:v>포함</x:v>
      </x:c>
      <x:c r="J46" s="31" t="str">
        <x:v>포함</x:v>
      </x:c>
      <x:c r="K46" s="31" t="str">
        <x:v>포함</x:v>
      </x:c>
      <x:c r="L46" s="31" t="str">
        <x:v>포함</x:v>
      </x:c>
      <x:c r="M46" s="31" t="str">
        <x:v>—</x:v>
      </x:c>
    </x:row>
    <x:row r="47">
      <x:c r="A47" s="34" t="n">
        <x:v>43</x:v>
      </x:c>
      <x:c r="B47" s="30" t="str">
        <x:v>뚜벅쵸</x:v>
      </x:c>
      <x:c r="C47" s="30" t="str">
        <x:v>oddish</x:v>
      </x:c>
      <x:c r="D47" s="36" t="n">
        <x:v>1</x:v>
      </x:c>
      <x:c r="E47" s="31" t="str">
        <x:v>포함</x:v>
      </x:c>
      <x:c r="F47" s="31" t="str">
        <x:v>포함</x:v>
      </x:c>
      <x:c r="G47" s="31" t="str">
        <x:v>포함</x:v>
      </x:c>
      <x:c r="H47" s="31" t="str">
        <x:v>—</x:v>
      </x:c>
      <x:c r="I47" s="31" t="str">
        <x:v>—</x:v>
      </x:c>
      <x:c r="J47" s="31" t="str">
        <x:v>포함</x:v>
      </x:c>
      <x:c r="K47" s="31" t="str">
        <x:v>—</x:v>
      </x:c>
      <x:c r="L47" s="31" t="str">
        <x:v>포함</x:v>
      </x:c>
      <x:c r="M47" s="31" t="str">
        <x:v>포함</x:v>
      </x:c>
    </x:row>
    <x:row r="48">
      <x:c r="A48" s="34" t="n">
        <x:v>44</x:v>
      </x:c>
      <x:c r="B48" s="30" t="str">
        <x:v>냄새꼬</x:v>
      </x:c>
      <x:c r="C48" s="30" t="str">
        <x:v>gloom</x:v>
      </x:c>
      <x:c r="D48" s="36" t="n">
        <x:v>1</x:v>
      </x:c>
      <x:c r="E48" s="31" t="str">
        <x:v>포함</x:v>
      </x:c>
      <x:c r="F48" s="31" t="str">
        <x:v>포함</x:v>
      </x:c>
      <x:c r="G48" s="31" t="str">
        <x:v>포함</x:v>
      </x:c>
      <x:c r="H48" s="31" t="str">
        <x:v>—</x:v>
      </x:c>
      <x:c r="I48" s="31" t="str">
        <x:v>—</x:v>
      </x:c>
      <x:c r="J48" s="31" t="str">
        <x:v>포함</x:v>
      </x:c>
      <x:c r="K48" s="31" t="str">
        <x:v>—</x:v>
      </x:c>
      <x:c r="L48" s="31" t="str">
        <x:v>포함</x:v>
      </x:c>
      <x:c r="M48" s="31" t="str">
        <x:v>포함</x:v>
      </x:c>
    </x:row>
    <x:row r="49">
      <x:c r="A49" s="34" t="n">
        <x:v>45</x:v>
      </x:c>
      <x:c r="B49" s="30" t="str">
        <x:v>라플레시아</x:v>
      </x:c>
      <x:c r="C49" s="30" t="str">
        <x:v>vileplume</x:v>
      </x:c>
      <x:c r="D49" s="36" t="n">
        <x:v>1</x:v>
      </x:c>
      <x:c r="E49" s="31" t="str">
        <x:v>포함</x:v>
      </x:c>
      <x:c r="F49" s="31" t="str">
        <x:v>포함</x:v>
      </x:c>
      <x:c r="G49" s="31" t="str">
        <x:v>포함</x:v>
      </x:c>
      <x:c r="H49" s="31" t="str">
        <x:v>—</x:v>
      </x:c>
      <x:c r="I49" s="31" t="str">
        <x:v>—</x:v>
      </x:c>
      <x:c r="J49" s="31" t="str">
        <x:v>포함</x:v>
      </x:c>
      <x:c r="K49" s="31" t="str">
        <x:v>—</x:v>
      </x:c>
      <x:c r="L49" s="31" t="str">
        <x:v>포함</x:v>
      </x:c>
      <x:c r="M49" s="31" t="str">
        <x:v>포함</x:v>
      </x:c>
    </x:row>
    <x:row r="50">
      <x:c r="A50" s="34" t="n">
        <x:v>46</x:v>
      </x:c>
      <x:c r="B50" s="30" t="str">
        <x:v>파라스</x:v>
      </x:c>
      <x:c r="C50" s="30" t="str">
        <x:v>paras</x:v>
      </x:c>
      <x:c r="D50" s="36" t="n">
        <x:v>1</x:v>
      </x:c>
      <x:c r="E50" s="31" t="str">
        <x:v>포함</x:v>
      </x:c>
      <x:c r="F50" s="31" t="str">
        <x:v>포함</x:v>
      </x:c>
      <x:c r="G50" s="31" t="str">
        <x:v>—</x:v>
      </x:c>
      <x:c r="H50" s="31" t="str">
        <x:v>—</x:v>
      </x:c>
      <x:c r="I50" s="31" t="str">
        <x:v>—</x:v>
      </x:c>
      <x:c r="J50" s="31" t="str">
        <x:v>—</x:v>
      </x:c>
      <x:c r="K50" s="31" t="str">
        <x:v>포함</x:v>
      </x:c>
      <x:c r="L50" s="31" t="str">
        <x:v>—</x:v>
      </x:c>
      <x:c r="M50" s="31" t="str">
        <x:v>—</x:v>
      </x:c>
    </x:row>
    <x:row r="51">
      <x:c r="A51" s="34" t="n">
        <x:v>47</x:v>
      </x:c>
      <x:c r="B51" s="30" t="str">
        <x:v>파라섹트</x:v>
      </x:c>
      <x:c r="C51" s="30" t="str">
        <x:v>parasect</x:v>
      </x:c>
      <x:c r="D51" s="36" t="n">
        <x:v>1</x:v>
      </x:c>
      <x:c r="E51" s="31" t="str">
        <x:v>포함</x:v>
      </x:c>
      <x:c r="F51" s="31" t="str">
        <x:v>포함</x:v>
      </x:c>
      <x:c r="G51" s="31" t="str">
        <x:v>—</x:v>
      </x:c>
      <x:c r="H51" s="31" t="str">
        <x:v>—</x:v>
      </x:c>
      <x:c r="I51" s="31" t="str">
        <x:v>—</x:v>
      </x:c>
      <x:c r="J51" s="31" t="str">
        <x:v>—</x:v>
      </x:c>
      <x:c r="K51" s="31" t="str">
        <x:v>포함</x:v>
      </x:c>
      <x:c r="L51" s="31" t="str">
        <x:v>—</x:v>
      </x:c>
      <x:c r="M51" s="31" t="str">
        <x:v>—</x:v>
      </x:c>
    </x:row>
    <x:row r="52">
      <x:c r="A52" s="34" t="n">
        <x:v>48</x:v>
      </x:c>
      <x:c r="B52" s="30" t="str">
        <x:v>콘팡</x:v>
      </x:c>
      <x:c r="C52" s="30" t="str">
        <x:v>venonat</x:v>
      </x:c>
      <x:c r="D52" s="36" t="n">
        <x:v>1</x:v>
      </x:c>
      <x:c r="E52" s="31" t="str">
        <x:v>포함</x:v>
      </x:c>
      <x:c r="F52" s="31" t="str">
        <x:v>포함</x:v>
      </x:c>
      <x:c r="G52" s="31" t="str">
        <x:v>—</x:v>
      </x:c>
      <x:c r="H52" s="31" t="str">
        <x:v>—</x:v>
      </x:c>
      <x:c r="I52" s="31" t="str">
        <x:v>—</x:v>
      </x:c>
      <x:c r="J52" s="31" t="str">
        <x:v>—</x:v>
      </x:c>
      <x:c r="K52" s="31" t="str">
        <x:v>—</x:v>
      </x:c>
      <x:c r="L52" s="31" t="str">
        <x:v>—</x:v>
      </x:c>
      <x:c r="M52" s="31" t="str">
        <x:v>포함</x:v>
      </x:c>
    </x:row>
    <x:row r="53">
      <x:c r="A53" s="34" t="n">
        <x:v>49</x:v>
      </x:c>
      <x:c r="B53" s="30" t="str">
        <x:v>도나리</x:v>
      </x:c>
      <x:c r="C53" s="30" t="str">
        <x:v>venomoth</x:v>
      </x:c>
      <x:c r="D53" s="36" t="n">
        <x:v>1</x:v>
      </x:c>
      <x:c r="E53" s="31" t="str">
        <x:v>포함</x:v>
      </x:c>
      <x:c r="F53" s="31" t="str">
        <x:v>포함</x:v>
      </x:c>
      <x:c r="G53" s="31" t="str">
        <x:v>—</x:v>
      </x:c>
      <x:c r="H53" s="31" t="str">
        <x:v>—</x:v>
      </x:c>
      <x:c r="I53" s="31" t="str">
        <x:v>—</x:v>
      </x:c>
      <x:c r="J53" s="31" t="str">
        <x:v>—</x:v>
      </x:c>
      <x:c r="K53" s="31" t="str">
        <x:v>—</x:v>
      </x:c>
      <x:c r="L53" s="31" t="str">
        <x:v>—</x:v>
      </x:c>
      <x:c r="M53" s="31" t="str">
        <x:v>포함</x:v>
      </x:c>
    </x:row>
    <x:row r="54">
      <x:c r="A54" s="34" t="n">
        <x:v>50</x:v>
      </x:c>
      <x:c r="B54" s="30" t="str">
        <x:v>디그다</x:v>
      </x:c>
      <x:c r="C54" s="30" t="str">
        <x:v>diglett</x:v>
      </x:c>
      <x:c r="D54" s="36" t="n">
        <x:v>1</x:v>
      </x:c>
      <x:c r="E54" s="31" t="str">
        <x:v>포함</x:v>
      </x:c>
      <x:c r="F54" s="31" t="str">
        <x:v>포함</x:v>
      </x:c>
      <x:c r="G54" s="31" t="str">
        <x:v>—</x:v>
      </x:c>
      <x:c r="H54" s="31" t="str">
        <x:v>—</x:v>
      </x:c>
      <x:c r="I54" s="31" t="str">
        <x:v>—</x:v>
      </x:c>
      <x:c r="J54" s="31" t="str">
        <x:v>포함</x:v>
      </x:c>
      <x:c r="K54" s="31" t="str">
        <x:v>포함</x:v>
      </x:c>
      <x:c r="L54" s="31" t="str">
        <x:v>포함</x:v>
      </x:c>
      <x:c r="M54" s="31" t="str">
        <x:v>포함</x:v>
      </x:c>
    </x:row>
    <x:row r="55">
      <x:c r="A55" s="34" t="n">
        <x:v>51</x:v>
      </x:c>
      <x:c r="B55" s="30" t="str">
        <x:v>닥트리오</x:v>
      </x:c>
      <x:c r="C55" s="30" t="str">
        <x:v>dugtrio</x:v>
      </x:c>
      <x:c r="D55" s="36" t="n">
        <x:v>1</x:v>
      </x:c>
      <x:c r="E55" s="31" t="str">
        <x:v>포함</x:v>
      </x:c>
      <x:c r="F55" s="31" t="str">
        <x:v>포함</x:v>
      </x:c>
      <x:c r="G55" s="31" t="str">
        <x:v>—</x:v>
      </x:c>
      <x:c r="H55" s="31" t="str">
        <x:v>—</x:v>
      </x:c>
      <x:c r="I55" s="31" t="str">
        <x:v>—</x:v>
      </x:c>
      <x:c r="J55" s="31" t="str">
        <x:v>포함</x:v>
      </x:c>
      <x:c r="K55" s="31" t="str">
        <x:v>포함</x:v>
      </x:c>
      <x:c r="L55" s="31" t="str">
        <x:v>포함</x:v>
      </x:c>
      <x:c r="M55" s="31" t="str">
        <x:v>포함</x:v>
      </x:c>
    </x:row>
    <x:row r="56">
      <x:c r="A56" s="34" t="n">
        <x:v>52</x:v>
      </x:c>
      <x:c r="B56" s="30" t="str">
        <x:v>나옹</x:v>
      </x:c>
      <x:c r="C56" s="30" t="str">
        <x:v>meowth</x:v>
      </x:c>
      <x:c r="D56" s="36" t="n">
        <x:v>1</x:v>
      </x:c>
      <x:c r="E56" s="31" t="str">
        <x:v>포함</x:v>
      </x:c>
      <x:c r="F56" s="31" t="str">
        <x:v>포함</x:v>
      </x:c>
      <x:c r="G56" s="31" t="str">
        <x:v>—</x:v>
      </x:c>
      <x:c r="H56" s="31" t="str">
        <x:v>—</x:v>
      </x:c>
      <x:c r="I56" s="31" t="str">
        <x:v>—</x:v>
      </x:c>
      <x:c r="J56" s="31" t="str">
        <x:v>—</x:v>
      </x:c>
      <x:c r="K56" s="31" t="str">
        <x:v>포함</x:v>
      </x:c>
      <x:c r="L56" s="31" t="str">
        <x:v>포함</x:v>
      </x:c>
      <x:c r="M56" s="31" t="str">
        <x:v>포함</x:v>
      </x:c>
    </x:row>
    <x:row r="57">
      <x:c r="A57" s="34" t="n">
        <x:v>53</x:v>
      </x:c>
      <x:c r="B57" s="30" t="str">
        <x:v>페르시온</x:v>
      </x:c>
      <x:c r="C57" s="30" t="str">
        <x:v>persian</x:v>
      </x:c>
      <x:c r="D57" s="36" t="n">
        <x:v>1</x:v>
      </x:c>
      <x:c r="E57" s="31" t="str">
        <x:v>포함</x:v>
      </x:c>
      <x:c r="F57" s="31" t="str">
        <x:v>포함</x:v>
      </x:c>
      <x:c r="G57" s="31" t="str">
        <x:v>—</x:v>
      </x:c>
      <x:c r="H57" s="31" t="str">
        <x:v>—</x:v>
      </x:c>
      <x:c r="I57" s="31" t="str">
        <x:v>—</x:v>
      </x:c>
      <x:c r="J57" s="31" t="str">
        <x:v>—</x:v>
      </x:c>
      <x:c r="K57" s="31" t="str">
        <x:v>포함</x:v>
      </x:c>
      <x:c r="L57" s="31" t="str">
        <x:v>포함</x:v>
      </x:c>
      <x:c r="M57" s="31" t="str">
        <x:v>포함</x:v>
      </x:c>
    </x:row>
    <x:row r="58">
      <x:c r="A58" s="34" t="n">
        <x:v>54</x:v>
      </x:c>
      <x:c r="B58" s="30" t="str">
        <x:v>고라파덕</x:v>
      </x:c>
      <x:c r="C58" s="30" t="str">
        <x:v>psyduck</x:v>
      </x:c>
      <x:c r="D58" s="36" t="n">
        <x:v>1</x:v>
      </x:c>
      <x:c r="E58" s="31" t="str">
        <x:v>포함</x:v>
      </x:c>
      <x:c r="F58" s="31" t="str">
        <x:v>포함</x:v>
      </x:c>
      <x:c r="G58" s="31" t="str">
        <x:v>포함</x:v>
      </x:c>
      <x:c r="H58" s="31" t="str">
        <x:v>포함</x:v>
      </x:c>
      <x:c r="I58" s="31" t="str">
        <x:v>포함</x:v>
      </x:c>
      <x:c r="J58" s="31" t="str">
        <x:v>포함</x:v>
      </x:c>
      <x:c r="K58" s="31" t="str">
        <x:v>포함</x:v>
      </x:c>
      <x:c r="L58" s="31" t="str">
        <x:v>포함</x:v>
      </x:c>
      <x:c r="M58" s="31" t="str">
        <x:v>포함</x:v>
      </x:c>
    </x:row>
    <x:row r="59">
      <x:c r="A59" s="34" t="n">
        <x:v>55</x:v>
      </x:c>
      <x:c r="B59" s="30" t="str">
        <x:v>골덕</x:v>
      </x:c>
      <x:c r="C59" s="30" t="str">
        <x:v>golduck</x:v>
      </x:c>
      <x:c r="D59" s="36" t="n">
        <x:v>1</x:v>
      </x:c>
      <x:c r="E59" s="31" t="str">
        <x:v>포함</x:v>
      </x:c>
      <x:c r="F59" s="31" t="str">
        <x:v>포함</x:v>
      </x:c>
      <x:c r="G59" s="31" t="str">
        <x:v>포함</x:v>
      </x:c>
      <x:c r="H59" s="31" t="str">
        <x:v>포함</x:v>
      </x:c>
      <x:c r="I59" s="31" t="str">
        <x:v>포함</x:v>
      </x:c>
      <x:c r="J59" s="31" t="str">
        <x:v>포함</x:v>
      </x:c>
      <x:c r="K59" s="31" t="str">
        <x:v>포함</x:v>
      </x:c>
      <x:c r="L59" s="31" t="str">
        <x:v>포함</x:v>
      </x:c>
      <x:c r="M59" s="31" t="str">
        <x:v>포함</x:v>
      </x:c>
    </x:row>
    <x:row r="60">
      <x:c r="A60" s="34" t="n">
        <x:v>56</x:v>
      </x:c>
      <x:c r="B60" s="30" t="str">
        <x:v>망키</x:v>
      </x:c>
      <x:c r="C60" s="30" t="str">
        <x:v>mankey</x:v>
      </x:c>
      <x:c r="D60" s="36" t="n">
        <x:v>1</x:v>
      </x:c>
      <x:c r="E60" s="31" t="str">
        <x:v>포함</x:v>
      </x:c>
      <x:c r="F60" s="31" t="str">
        <x:v>포함</x:v>
      </x:c>
      <x:c r="G60" s="31" t="str">
        <x:v>—</x:v>
      </x:c>
      <x:c r="H60" s="31" t="str">
        <x:v>—</x:v>
      </x:c>
      <x:c r="I60" s="31" t="str">
        <x:v>—</x:v>
      </x:c>
      <x:c r="J60" s="31" t="str">
        <x:v>—</x:v>
      </x:c>
      <x:c r="K60" s="31" t="str">
        <x:v>포함</x:v>
      </x:c>
      <x:c r="L60" s="31" t="str">
        <x:v>—</x:v>
      </x:c>
      <x:c r="M60" s="31" t="str">
        <x:v>포함</x:v>
      </x:c>
    </x:row>
    <x:row r="61">
      <x:c r="A61" s="34" t="n">
        <x:v>57</x:v>
      </x:c>
      <x:c r="B61" s="30" t="str">
        <x:v>성원숭</x:v>
      </x:c>
      <x:c r="C61" s="30" t="str">
        <x:v>primeape</x:v>
      </x:c>
      <x:c r="D61" s="36" t="n">
        <x:v>1</x:v>
      </x:c>
      <x:c r="E61" s="31" t="str">
        <x:v>포함</x:v>
      </x:c>
      <x:c r="F61" s="31" t="str">
        <x:v>포함</x:v>
      </x:c>
      <x:c r="G61" s="31" t="str">
        <x:v>—</x:v>
      </x:c>
      <x:c r="H61" s="31" t="str">
        <x:v>—</x:v>
      </x:c>
      <x:c r="I61" s="31" t="str">
        <x:v>—</x:v>
      </x:c>
      <x:c r="J61" s="31" t="str">
        <x:v>—</x:v>
      </x:c>
      <x:c r="K61" s="31" t="str">
        <x:v>포함</x:v>
      </x:c>
      <x:c r="L61" s="31" t="str">
        <x:v>—</x:v>
      </x:c>
      <x:c r="M61" s="31" t="str">
        <x:v>포함</x:v>
      </x:c>
    </x:row>
    <x:row r="62">
      <x:c r="A62" s="34" t="n">
        <x:v>58</x:v>
      </x:c>
      <x:c r="B62" s="30" t="str">
        <x:v>가디</x:v>
      </x:c>
      <x:c r="C62" s="30" t="str">
        <x:v>growlithe</x:v>
      </x:c>
      <x:c r="D62" s="36" t="n">
        <x:v>1</x:v>
      </x:c>
      <x:c r="E62" s="31" t="str">
        <x:v>포함</x:v>
      </x:c>
      <x:c r="F62" s="31" t="str">
        <x:v>포함</x:v>
      </x:c>
      <x:c r="G62" s="31" t="str">
        <x:v>—</x:v>
      </x:c>
      <x:c r="H62" s="31" t="str">
        <x:v>—</x:v>
      </x:c>
      <x:c r="I62" s="31" t="str">
        <x:v>포함</x:v>
      </x:c>
      <x:c r="J62" s="31" t="str">
        <x:v>—</x:v>
      </x:c>
      <x:c r="K62" s="31" t="str">
        <x:v>포함</x:v>
      </x:c>
      <x:c r="L62" s="31" t="str">
        <x:v>포함</x:v>
      </x:c>
      <x:c r="M62" s="31" t="str">
        <x:v>포함</x:v>
      </x:c>
    </x:row>
    <x:row r="63">
      <x:c r="A63" s="34" t="n">
        <x:v>59</x:v>
      </x:c>
      <x:c r="B63" s="30" t="str">
        <x:v>윈디</x:v>
      </x:c>
      <x:c r="C63" s="30" t="str">
        <x:v>arcanine</x:v>
      </x:c>
      <x:c r="D63" s="36" t="n">
        <x:v>1</x:v>
      </x:c>
      <x:c r="E63" s="31" t="str">
        <x:v>포함</x:v>
      </x:c>
      <x:c r="F63" s="31" t="str">
        <x:v>포함</x:v>
      </x:c>
      <x:c r="G63" s="31" t="str">
        <x:v>—</x:v>
      </x:c>
      <x:c r="H63" s="31" t="str">
        <x:v>—</x:v>
      </x:c>
      <x:c r="I63" s="31" t="str">
        <x:v>포함</x:v>
      </x:c>
      <x:c r="J63" s="31" t="str">
        <x:v>—</x:v>
      </x:c>
      <x:c r="K63" s="31" t="str">
        <x:v>포함</x:v>
      </x:c>
      <x:c r="L63" s="31" t="str">
        <x:v>포함</x:v>
      </x:c>
      <x:c r="M63" s="31" t="str">
        <x:v>포함</x:v>
      </x:c>
    </x:row>
    <x:row r="64">
      <x:c r="A64" s="34" t="n">
        <x:v>60</x:v>
      </x:c>
      <x:c r="B64" s="30" t="str">
        <x:v>발챙이</x:v>
      </x:c>
      <x:c r="C64" s="30" t="str">
        <x:v>poliwag</x:v>
      </x:c>
      <x:c r="D64" s="36" t="n">
        <x:v>1</x:v>
      </x:c>
      <x:c r="E64" s="31" t="str">
        <x:v>포함</x:v>
      </x:c>
      <x:c r="F64" s="31" t="str">
        <x:v>포함</x:v>
      </x:c>
      <x:c r="G64" s="31" t="str">
        <x:v>—</x:v>
      </x:c>
      <x:c r="H64" s="31" t="str">
        <x:v>—</x:v>
      </x:c>
      <x:c r="I64" s="31" t="str">
        <x:v>—</x:v>
      </x:c>
      <x:c r="J64" s="31" t="str">
        <x:v>포함</x:v>
      </x:c>
      <x:c r="K64" s="31" t="str">
        <x:v>포함</x:v>
      </x:c>
      <x:c r="L64" s="31" t="str">
        <x:v>포함</x:v>
      </x:c>
      <x:c r="M64" s="31" t="str">
        <x:v>포함</x:v>
      </x:c>
    </x:row>
    <x:row r="65">
      <x:c r="A65" s="34" t="n">
        <x:v>61</x:v>
      </x:c>
      <x:c r="B65" s="30" t="str">
        <x:v>슈륙챙이</x:v>
      </x:c>
      <x:c r="C65" s="30" t="str">
        <x:v>poliwhirl</x:v>
      </x:c>
      <x:c r="D65" s="36" t="n">
        <x:v>1</x:v>
      </x:c>
      <x:c r="E65" s="31" t="str">
        <x:v>포함</x:v>
      </x:c>
      <x:c r="F65" s="31" t="str">
        <x:v>포함</x:v>
      </x:c>
      <x:c r="G65" s="31" t="str">
        <x:v>—</x:v>
      </x:c>
      <x:c r="H65" s="31" t="str">
        <x:v>—</x:v>
      </x:c>
      <x:c r="I65" s="31" t="str">
        <x:v>—</x:v>
      </x:c>
      <x:c r="J65" s="31" t="str">
        <x:v>포함</x:v>
      </x:c>
      <x:c r="K65" s="31" t="str">
        <x:v>포함</x:v>
      </x:c>
      <x:c r="L65" s="31" t="str">
        <x:v>포함</x:v>
      </x:c>
      <x:c r="M65" s="31" t="str">
        <x:v>포함</x:v>
      </x:c>
    </x:row>
    <x:row r="66">
      <x:c r="A66" s="34" t="n">
        <x:v>62</x:v>
      </x:c>
      <x:c r="B66" s="30" t="str">
        <x:v>강챙이</x:v>
      </x:c>
      <x:c r="C66" s="30" t="str">
        <x:v>poliwrath</x:v>
      </x:c>
      <x:c r="D66" s="36" t="n">
        <x:v>1</x:v>
      </x:c>
      <x:c r="E66" s="31" t="str">
        <x:v>포함</x:v>
      </x:c>
      <x:c r="F66" s="31" t="str">
        <x:v>포함</x:v>
      </x:c>
      <x:c r="G66" s="31" t="str">
        <x:v>—</x:v>
      </x:c>
      <x:c r="H66" s="31" t="str">
        <x:v>—</x:v>
      </x:c>
      <x:c r="I66" s="31" t="str">
        <x:v>—</x:v>
      </x:c>
      <x:c r="J66" s="31" t="str">
        <x:v>포함</x:v>
      </x:c>
      <x:c r="K66" s="31" t="str">
        <x:v>포함</x:v>
      </x:c>
      <x:c r="L66" s="31" t="str">
        <x:v>포함</x:v>
      </x:c>
      <x:c r="M66" s="31" t="str">
        <x:v>포함</x:v>
      </x:c>
    </x:row>
    <x:row r="67">
      <x:c r="A67" s="34" t="n">
        <x:v>63</x:v>
      </x:c>
      <x:c r="B67" s="30" t="str">
        <x:v>캐이시</x:v>
      </x:c>
      <x:c r="C67" s="30" t="str">
        <x:v>abra</x:v>
      </x:c>
      <x:c r="D67" s="36" t="n">
        <x:v>1</x:v>
      </x:c>
      <x:c r="E67" s="31" t="str">
        <x:v>포함</x:v>
      </x:c>
      <x:c r="F67" s="31" t="str">
        <x:v>포함</x:v>
      </x:c>
      <x:c r="G67" s="31" t="str">
        <x:v>포함</x:v>
      </x:c>
      <x:c r="H67" s="31" t="str">
        <x:v>포함</x:v>
      </x:c>
      <x:c r="I67" s="31" t="str">
        <x:v>—</x:v>
      </x:c>
      <x:c r="J67" s="31" t="str">
        <x:v>포함</x:v>
      </x:c>
      <x:c r="K67" s="31" t="str">
        <x:v>포함</x:v>
      </x:c>
      <x:c r="L67" s="31" t="str">
        <x:v>포함</x:v>
      </x:c>
      <x:c r="M67" s="31" t="str">
        <x:v>—</x:v>
      </x:c>
    </x:row>
    <x:row r="68">
      <x:c r="A68" s="34" t="n">
        <x:v>64</x:v>
      </x:c>
      <x:c r="B68" s="30" t="str">
        <x:v>윤겔라</x:v>
      </x:c>
      <x:c r="C68" s="30" t="str">
        <x:v>kadabra</x:v>
      </x:c>
      <x:c r="D68" s="36" t="n">
        <x:v>1</x:v>
      </x:c>
      <x:c r="E68" s="31" t="str">
        <x:v>포함</x:v>
      </x:c>
      <x:c r="F68" s="31" t="str">
        <x:v>포함</x:v>
      </x:c>
      <x:c r="G68" s="31" t="str">
        <x:v>포함</x:v>
      </x:c>
      <x:c r="H68" s="31" t="str">
        <x:v>포함</x:v>
      </x:c>
      <x:c r="I68" s="31" t="str">
        <x:v>—</x:v>
      </x:c>
      <x:c r="J68" s="31" t="str">
        <x:v>포함</x:v>
      </x:c>
      <x:c r="K68" s="31" t="str">
        <x:v>포함</x:v>
      </x:c>
      <x:c r="L68" s="31" t="str">
        <x:v>포함</x:v>
      </x:c>
      <x:c r="M68" s="31" t="str">
        <x:v>—</x:v>
      </x:c>
    </x:row>
    <x:row r="69">
      <x:c r="A69" s="34" t="n">
        <x:v>65</x:v>
      </x:c>
      <x:c r="B69" s="30" t="str">
        <x:v>후딘</x:v>
      </x:c>
      <x:c r="C69" s="30" t="str">
        <x:v>alakazam</x:v>
      </x:c>
      <x:c r="D69" s="36" t="n">
        <x:v>1</x:v>
      </x:c>
      <x:c r="E69" s="31" t="str">
        <x:v>포함</x:v>
      </x:c>
      <x:c r="F69" s="31" t="str">
        <x:v>포함</x:v>
      </x:c>
      <x:c r="G69" s="31" t="str">
        <x:v>포함</x:v>
      </x:c>
      <x:c r="H69" s="31" t="str">
        <x:v>포함</x:v>
      </x:c>
      <x:c r="I69" s="31" t="str">
        <x:v>—</x:v>
      </x:c>
      <x:c r="J69" s="31" t="str">
        <x:v>포함</x:v>
      </x:c>
      <x:c r="K69" s="31" t="str">
        <x:v>포함</x:v>
      </x:c>
      <x:c r="L69" s="31" t="str">
        <x:v>포함</x:v>
      </x:c>
      <x:c r="M69" s="31" t="str">
        <x:v>—</x:v>
      </x:c>
    </x:row>
    <x:row r="70">
      <x:c r="A70" s="34" t="n">
        <x:v>66</x:v>
      </x:c>
      <x:c r="B70" s="30" t="str">
        <x:v>알통몬</x:v>
      </x:c>
      <x:c r="C70" s="30" t="str">
        <x:v>machop</x:v>
      </x:c>
      <x:c r="D70" s="36" t="n">
        <x:v>1</x:v>
      </x:c>
      <x:c r="E70" s="31" t="str">
        <x:v>포함</x:v>
      </x:c>
      <x:c r="F70" s="31" t="str">
        <x:v>포함</x:v>
      </x:c>
      <x:c r="G70" s="31" t="str">
        <x:v>포함</x:v>
      </x:c>
      <x:c r="H70" s="31" t="str">
        <x:v>포함</x:v>
      </x:c>
      <x:c r="I70" s="31" t="str">
        <x:v>—</x:v>
      </x:c>
      <x:c r="J70" s="31" t="str">
        <x:v>포함</x:v>
      </x:c>
      <x:c r="K70" s="31" t="str">
        <x:v>포함</x:v>
      </x:c>
      <x:c r="L70" s="31" t="str">
        <x:v>포함</x:v>
      </x:c>
      <x:c r="M70" s="31" t="str">
        <x:v>—</x:v>
      </x:c>
    </x:row>
    <x:row r="71">
      <x:c r="A71" s="34" t="n">
        <x:v>67</x:v>
      </x:c>
      <x:c r="B71" s="30" t="str">
        <x:v>근육몬</x:v>
      </x:c>
      <x:c r="C71" s="30" t="str">
        <x:v>machoke</x:v>
      </x:c>
      <x:c r="D71" s="36" t="n">
        <x:v>1</x:v>
      </x:c>
      <x:c r="E71" s="31" t="str">
        <x:v>포함</x:v>
      </x:c>
      <x:c r="F71" s="31" t="str">
        <x:v>포함</x:v>
      </x:c>
      <x:c r="G71" s="31" t="str">
        <x:v>포함</x:v>
      </x:c>
      <x:c r="H71" s="31" t="str">
        <x:v>포함</x:v>
      </x:c>
      <x:c r="I71" s="31" t="str">
        <x:v>—</x:v>
      </x:c>
      <x:c r="J71" s="31" t="str">
        <x:v>포함</x:v>
      </x:c>
      <x:c r="K71" s="31" t="str">
        <x:v>포함</x:v>
      </x:c>
      <x:c r="L71" s="31" t="str">
        <x:v>포함</x:v>
      </x:c>
      <x:c r="M71" s="31" t="str">
        <x:v>—</x:v>
      </x:c>
    </x:row>
    <x:row r="72">
      <x:c r="A72" s="34" t="n">
        <x:v>68</x:v>
      </x:c>
      <x:c r="B72" s="30" t="str">
        <x:v>괴력몬</x:v>
      </x:c>
      <x:c r="C72" s="30" t="str">
        <x:v>machamp</x:v>
      </x:c>
      <x:c r="D72" s="36" t="n">
        <x:v>1</x:v>
      </x:c>
      <x:c r="E72" s="31" t="str">
        <x:v>포함</x:v>
      </x:c>
      <x:c r="F72" s="31" t="str">
        <x:v>포함</x:v>
      </x:c>
      <x:c r="G72" s="31" t="str">
        <x:v>포함</x:v>
      </x:c>
      <x:c r="H72" s="31" t="str">
        <x:v>포함</x:v>
      </x:c>
      <x:c r="I72" s="31" t="str">
        <x:v>—</x:v>
      </x:c>
      <x:c r="J72" s="31" t="str">
        <x:v>포함</x:v>
      </x:c>
      <x:c r="K72" s="31" t="str">
        <x:v>포함</x:v>
      </x:c>
      <x:c r="L72" s="31" t="str">
        <x:v>포함</x:v>
      </x:c>
      <x:c r="M72" s="31" t="str">
        <x:v>—</x:v>
      </x:c>
    </x:row>
    <x:row r="73">
      <x:c r="A73" s="34" t="n">
        <x:v>69</x:v>
      </x:c>
      <x:c r="B73" s="30" t="str">
        <x:v>모다피</x:v>
      </x:c>
      <x:c r="C73" s="30" t="str">
        <x:v>bellsprout</x:v>
      </x:c>
      <x:c r="D73" s="36" t="n">
        <x:v>1</x:v>
      </x:c>
      <x:c r="E73" s="31" t="str">
        <x:v>포함</x:v>
      </x:c>
      <x:c r="F73" s="31" t="str">
        <x:v>포함</x:v>
      </x:c>
      <x:c r="G73" s="31" t="str">
        <x:v>—</x:v>
      </x:c>
      <x:c r="H73" s="31" t="str">
        <x:v>—</x:v>
      </x:c>
      <x:c r="I73" s="31" t="str">
        <x:v>—</x:v>
      </x:c>
      <x:c r="J73" s="31" t="str">
        <x:v>포함</x:v>
      </x:c>
      <x:c r="K73" s="31" t="str">
        <x:v>—</x:v>
      </x:c>
      <x:c r="L73" s="31" t="str">
        <x:v>—</x:v>
      </x:c>
      <x:c r="M73" s="31" t="str">
        <x:v>포함</x:v>
      </x:c>
    </x:row>
    <x:row r="74">
      <x:c r="A74" s="34" t="n">
        <x:v>70</x:v>
      </x:c>
      <x:c r="B74" s="30" t="str">
        <x:v>우츠동</x:v>
      </x:c>
      <x:c r="C74" s="30" t="str">
        <x:v>weepinbell</x:v>
      </x:c>
      <x:c r="D74" s="36" t="n">
        <x:v>1</x:v>
      </x:c>
      <x:c r="E74" s="31" t="str">
        <x:v>포함</x:v>
      </x:c>
      <x:c r="F74" s="31" t="str">
        <x:v>포함</x:v>
      </x:c>
      <x:c r="G74" s="31" t="str">
        <x:v>—</x:v>
      </x:c>
      <x:c r="H74" s="31" t="str">
        <x:v>—</x:v>
      </x:c>
      <x:c r="I74" s="31" t="str">
        <x:v>—</x:v>
      </x:c>
      <x:c r="J74" s="31" t="str">
        <x:v>포함</x:v>
      </x:c>
      <x:c r="K74" s="31" t="str">
        <x:v>—</x:v>
      </x:c>
      <x:c r="L74" s="31" t="str">
        <x:v>—</x:v>
      </x:c>
      <x:c r="M74" s="31" t="str">
        <x:v>포함</x:v>
      </x:c>
    </x:row>
    <x:row r="75">
      <x:c r="A75" s="34" t="n">
        <x:v>71</x:v>
      </x:c>
      <x:c r="B75" s="30" t="str">
        <x:v>우츠보트</x:v>
      </x:c>
      <x:c r="C75" s="30" t="str">
        <x:v>victreebel</x:v>
      </x:c>
      <x:c r="D75" s="36" t="n">
        <x:v>1</x:v>
      </x:c>
      <x:c r="E75" s="31" t="str">
        <x:v>포함</x:v>
      </x:c>
      <x:c r="F75" s="31" t="str">
        <x:v>포함</x:v>
      </x:c>
      <x:c r="G75" s="31" t="str">
        <x:v>—</x:v>
      </x:c>
      <x:c r="H75" s="31" t="str">
        <x:v>—</x:v>
      </x:c>
      <x:c r="I75" s="31" t="str">
        <x:v>—</x:v>
      </x:c>
      <x:c r="J75" s="31" t="str">
        <x:v>포함</x:v>
      </x:c>
      <x:c r="K75" s="31" t="str">
        <x:v>—</x:v>
      </x:c>
      <x:c r="L75" s="31" t="str">
        <x:v>—</x:v>
      </x:c>
      <x:c r="M75" s="31" t="str">
        <x:v>포함</x:v>
      </x:c>
    </x:row>
    <x:row r="76">
      <x:c r="A76" s="34" t="n">
        <x:v>72</x:v>
      </x:c>
      <x:c r="B76" s="30" t="str">
        <x:v>왕눈해</x:v>
      </x:c>
      <x:c r="C76" s="30" t="str">
        <x:v>tentacool</x:v>
      </x:c>
      <x:c r="D76" s="36" t="n">
        <x:v>1</x:v>
      </x:c>
      <x:c r="E76" s="31" t="str">
        <x:v>포함</x:v>
      </x:c>
      <x:c r="F76" s="31" t="str">
        <x:v>포함</x:v>
      </x:c>
      <x:c r="G76" s="31" t="str">
        <x:v>포함</x:v>
      </x:c>
      <x:c r="H76" s="31" t="str">
        <x:v>포함</x:v>
      </x:c>
      <x:c r="I76" s="31" t="str">
        <x:v>—</x:v>
      </x:c>
      <x:c r="J76" s="31" t="str">
        <x:v>포함</x:v>
      </x:c>
      <x:c r="K76" s="31" t="str">
        <x:v>포함</x:v>
      </x:c>
      <x:c r="L76" s="31" t="str">
        <x:v>포함</x:v>
      </x:c>
      <x:c r="M76" s="31" t="str">
        <x:v>포함</x:v>
      </x:c>
    </x:row>
    <x:row r="77">
      <x:c r="A77" s="34" t="n">
        <x:v>73</x:v>
      </x:c>
      <x:c r="B77" s="30" t="str">
        <x:v>독파리</x:v>
      </x:c>
      <x:c r="C77" s="30" t="str">
        <x:v>tentacruel</x:v>
      </x:c>
      <x:c r="D77" s="36" t="n">
        <x:v>1</x:v>
      </x:c>
      <x:c r="E77" s="31" t="str">
        <x:v>포함</x:v>
      </x:c>
      <x:c r="F77" s="31" t="str">
        <x:v>포함</x:v>
      </x:c>
      <x:c r="G77" s="31" t="str">
        <x:v>포함</x:v>
      </x:c>
      <x:c r="H77" s="31" t="str">
        <x:v>포함</x:v>
      </x:c>
      <x:c r="I77" s="31" t="str">
        <x:v>—</x:v>
      </x:c>
      <x:c r="J77" s="31" t="str">
        <x:v>포함</x:v>
      </x:c>
      <x:c r="K77" s="31" t="str">
        <x:v>포함</x:v>
      </x:c>
      <x:c r="L77" s="31" t="str">
        <x:v>포함</x:v>
      </x:c>
      <x:c r="M77" s="31" t="str">
        <x:v>포함</x:v>
      </x:c>
    </x:row>
    <x:row r="78">
      <x:c r="A78" s="34" t="n">
        <x:v>74</x:v>
      </x:c>
      <x:c r="B78" s="30" t="str">
        <x:v>꼬마돌</x:v>
      </x:c>
      <x:c r="C78" s="30" t="str">
        <x:v>geodude</x:v>
      </x:c>
      <x:c r="D78" s="36" t="n">
        <x:v>1</x:v>
      </x:c>
      <x:c r="E78" s="31" t="str">
        <x:v>포함</x:v>
      </x:c>
      <x:c r="F78" s="31" t="str">
        <x:v>포함</x:v>
      </x:c>
      <x:c r="G78" s="31" t="str">
        <x:v>포함</x:v>
      </x:c>
      <x:c r="H78" s="31" t="str">
        <x:v>포함</x:v>
      </x:c>
      <x:c r="I78" s="31" t="str">
        <x:v>—</x:v>
      </x:c>
      <x:c r="J78" s="31" t="str">
        <x:v>포함</x:v>
      </x:c>
      <x:c r="K78" s="31" t="str">
        <x:v>포함</x:v>
      </x:c>
      <x:c r="L78" s="31" t="str">
        <x:v>—</x:v>
      </x:c>
      <x:c r="M78" s="31" t="str">
        <x:v>포함</x:v>
      </x:c>
    </x:row>
    <x:row r="79">
      <x:c r="A79" s="34" t="n">
        <x:v>75</x:v>
      </x:c>
      <x:c r="B79" s="30" t="str">
        <x:v>데구리</x:v>
      </x:c>
      <x:c r="C79" s="30" t="str">
        <x:v>graveler</x:v>
      </x:c>
      <x:c r="D79" s="36" t="n">
        <x:v>1</x:v>
      </x:c>
      <x:c r="E79" s="31" t="str">
        <x:v>포함</x:v>
      </x:c>
      <x:c r="F79" s="31" t="str">
        <x:v>포함</x:v>
      </x:c>
      <x:c r="G79" s="31" t="str">
        <x:v>포함</x:v>
      </x:c>
      <x:c r="H79" s="31" t="str">
        <x:v>포함</x:v>
      </x:c>
      <x:c r="I79" s="31" t="str">
        <x:v>—</x:v>
      </x:c>
      <x:c r="J79" s="31" t="str">
        <x:v>포함</x:v>
      </x:c>
      <x:c r="K79" s="31" t="str">
        <x:v>포함</x:v>
      </x:c>
      <x:c r="L79" s="31" t="str">
        <x:v>—</x:v>
      </x:c>
      <x:c r="M79" s="31" t="str">
        <x:v>포함</x:v>
      </x:c>
    </x:row>
    <x:row r="80">
      <x:c r="A80" s="34" t="n">
        <x:v>76</x:v>
      </x:c>
      <x:c r="B80" s="30" t="str">
        <x:v>딱구리</x:v>
      </x:c>
      <x:c r="C80" s="30" t="str">
        <x:v>golem</x:v>
      </x:c>
      <x:c r="D80" s="36" t="n">
        <x:v>1</x:v>
      </x:c>
      <x:c r="E80" s="31" t="str">
        <x:v>포함</x:v>
      </x:c>
      <x:c r="F80" s="31" t="str">
        <x:v>포함</x:v>
      </x:c>
      <x:c r="G80" s="31" t="str">
        <x:v>포함</x:v>
      </x:c>
      <x:c r="H80" s="31" t="str">
        <x:v>포함</x:v>
      </x:c>
      <x:c r="I80" s="31" t="str">
        <x:v>—</x:v>
      </x:c>
      <x:c r="J80" s="31" t="str">
        <x:v>포함</x:v>
      </x:c>
      <x:c r="K80" s="31" t="str">
        <x:v>포함</x:v>
      </x:c>
      <x:c r="L80" s="31" t="str">
        <x:v>—</x:v>
      </x:c>
      <x:c r="M80" s="31" t="str">
        <x:v>포함</x:v>
      </x:c>
    </x:row>
    <x:row r="81">
      <x:c r="A81" s="34" t="n">
        <x:v>77</x:v>
      </x:c>
      <x:c r="B81" s="30" t="str">
        <x:v>포니타</x:v>
      </x:c>
      <x:c r="C81" s="30" t="str">
        <x:v>ponyta</x:v>
      </x:c>
      <x:c r="D81" s="36" t="n">
        <x:v>1</x:v>
      </x:c>
      <x:c r="E81" s="31" t="str">
        <x:v>포함</x:v>
      </x:c>
      <x:c r="F81" s="31" t="str">
        <x:v>포함</x:v>
      </x:c>
      <x:c r="G81" s="31" t="str">
        <x:v>—</x:v>
      </x:c>
      <x:c r="H81" s="31" t="str">
        <x:v>포함</x:v>
      </x:c>
      <x:c r="I81" s="31" t="str">
        <x:v>—</x:v>
      </x:c>
      <x:c r="J81" s="31" t="str">
        <x:v>—</x:v>
      </x:c>
      <x:c r="K81" s="31" t="str">
        <x:v>—</x:v>
      </x:c>
      <x:c r="L81" s="31" t="str">
        <x:v>포함</x:v>
      </x:c>
      <x:c r="M81" s="31" t="str">
        <x:v>—</x:v>
      </x:c>
    </x:row>
    <x:row r="82">
      <x:c r="A82" s="34" t="n">
        <x:v>78</x:v>
      </x:c>
      <x:c r="B82" s="30" t="str">
        <x:v>날쌩마</x:v>
      </x:c>
      <x:c r="C82" s="30" t="str">
        <x:v>rapidash</x:v>
      </x:c>
      <x:c r="D82" s="36" t="n">
        <x:v>1</x:v>
      </x:c>
      <x:c r="E82" s="31" t="str">
        <x:v>포함</x:v>
      </x:c>
      <x:c r="F82" s="31" t="str">
        <x:v>포함</x:v>
      </x:c>
      <x:c r="G82" s="31" t="str">
        <x:v>—</x:v>
      </x:c>
      <x:c r="H82" s="31" t="str">
        <x:v>포함</x:v>
      </x:c>
      <x:c r="I82" s="31" t="str">
        <x:v>—</x:v>
      </x:c>
      <x:c r="J82" s="31" t="str">
        <x:v>—</x:v>
      </x:c>
      <x:c r="K82" s="31" t="str">
        <x:v>—</x:v>
      </x:c>
      <x:c r="L82" s="31" t="str">
        <x:v>포함</x:v>
      </x:c>
      <x:c r="M82" s="31" t="str">
        <x:v>—</x:v>
      </x:c>
    </x:row>
    <x:row r="83">
      <x:c r="A83" s="34" t="n">
        <x:v>79</x:v>
      </x:c>
      <x:c r="B83" s="30" t="str">
        <x:v>야돈</x:v>
      </x:c>
      <x:c r="C83" s="30" t="str">
        <x:v>slowpoke</x:v>
      </x:c>
      <x:c r="D83" s="36" t="n">
        <x:v>1</x:v>
      </x:c>
      <x:c r="E83" s="31" t="str">
        <x:v>포함</x:v>
      </x:c>
      <x:c r="F83" s="31" t="str">
        <x:v>포함</x:v>
      </x:c>
      <x:c r="G83" s="31" t="str">
        <x:v>—</x:v>
      </x:c>
      <x:c r="H83" s="31" t="str">
        <x:v>—</x:v>
      </x:c>
      <x:c r="I83" s="31" t="str">
        <x:v>—</x:v>
      </x:c>
      <x:c r="J83" s="31" t="str">
        <x:v>포함</x:v>
      </x:c>
      <x:c r="K83" s="31" t="str">
        <x:v>포함</x:v>
      </x:c>
      <x:c r="L83" s="31" t="str">
        <x:v>포함</x:v>
      </x:c>
      <x:c r="M83" s="31" t="str">
        <x:v>포함</x:v>
      </x:c>
    </x:row>
    <x:row r="84">
      <x:c r="A84" s="34" t="n">
        <x:v>80</x:v>
      </x:c>
      <x:c r="B84" s="30" t="str">
        <x:v>야도란</x:v>
      </x:c>
      <x:c r="C84" s="30" t="str">
        <x:v>slowbro</x:v>
      </x:c>
      <x:c r="D84" s="36" t="n">
        <x:v>1</x:v>
      </x:c>
      <x:c r="E84" s="31" t="str">
        <x:v>포함</x:v>
      </x:c>
      <x:c r="F84" s="31" t="str">
        <x:v>포함</x:v>
      </x:c>
      <x:c r="G84" s="31" t="str">
        <x:v>—</x:v>
      </x:c>
      <x:c r="H84" s="31" t="str">
        <x:v>—</x:v>
      </x:c>
      <x:c r="I84" s="31" t="str">
        <x:v>—</x:v>
      </x:c>
      <x:c r="J84" s="31" t="str">
        <x:v>포함</x:v>
      </x:c>
      <x:c r="K84" s="31" t="str">
        <x:v>포함</x:v>
      </x:c>
      <x:c r="L84" s="31" t="str">
        <x:v>포함</x:v>
      </x:c>
      <x:c r="M84" s="31" t="str">
        <x:v>포함</x:v>
      </x:c>
    </x:row>
    <x:row r="85">
      <x:c r="A85" s="34" t="n">
        <x:v>81</x:v>
      </x:c>
      <x:c r="B85" s="30" t="str">
        <x:v>코일</x:v>
      </x:c>
      <x:c r="C85" s="30" t="str">
        <x:v>magnemite</x:v>
      </x:c>
      <x:c r="D85" s="36" t="n">
        <x:v>1</x:v>
      </x:c>
      <x:c r="E85" s="31" t="str">
        <x:v>포함</x:v>
      </x:c>
      <x:c r="F85" s="31" t="str">
        <x:v>포함</x:v>
      </x:c>
      <x:c r="G85" s="31" t="str">
        <x:v>포함</x:v>
      </x:c>
      <x:c r="H85" s="31" t="str">
        <x:v>포함</x:v>
      </x:c>
      <x:c r="I85" s="31" t="str">
        <x:v>포함</x:v>
      </x:c>
      <x:c r="J85" s="31" t="str">
        <x:v>포함</x:v>
      </x:c>
      <x:c r="K85" s="31" t="str">
        <x:v>포함</x:v>
      </x:c>
      <x:c r="L85" s="31" t="str">
        <x:v>포함</x:v>
      </x:c>
      <x:c r="M85" s="31" t="str">
        <x:v>포함</x:v>
      </x:c>
    </x:row>
    <x:row r="86">
      <x:c r="A86" s="34" t="n">
        <x:v>82</x:v>
      </x:c>
      <x:c r="B86" s="30" t="str">
        <x:v>레어코일</x:v>
      </x:c>
      <x:c r="C86" s="30" t="str">
        <x:v>magneton</x:v>
      </x:c>
      <x:c r="D86" s="36" t="n">
        <x:v>1</x:v>
      </x:c>
      <x:c r="E86" s="31" t="str">
        <x:v>포함</x:v>
      </x:c>
      <x:c r="F86" s="31" t="str">
        <x:v>포함</x:v>
      </x:c>
      <x:c r="G86" s="31" t="str">
        <x:v>포함</x:v>
      </x:c>
      <x:c r="H86" s="31" t="str">
        <x:v>포함</x:v>
      </x:c>
      <x:c r="I86" s="31" t="str">
        <x:v>포함</x:v>
      </x:c>
      <x:c r="J86" s="31" t="str">
        <x:v>포함</x:v>
      </x:c>
      <x:c r="K86" s="31" t="str">
        <x:v>포함</x:v>
      </x:c>
      <x:c r="L86" s="31" t="str">
        <x:v>포함</x:v>
      </x:c>
      <x:c r="M86" s="31" t="str">
        <x:v>포함</x:v>
      </x:c>
    </x:row>
    <x:row r="87">
      <x:c r="A87" s="34" t="n">
        <x:v>83</x:v>
      </x:c>
      <x:c r="B87" s="30" t="str">
        <x:v>파오리</x:v>
      </x:c>
      <x:c r="C87" s="30" t="str">
        <x:v>farfetchd</x:v>
      </x:c>
      <x:c r="D87" s="36" t="n">
        <x:v>1</x:v>
      </x:c>
      <x:c r="E87" s="31" t="str">
        <x:v>포함</x:v>
      </x:c>
      <x:c r="F87" s="31" t="str">
        <x:v>포함</x:v>
      </x:c>
      <x:c r="G87" s="31" t="str">
        <x:v>—</x:v>
      </x:c>
      <x:c r="H87" s="31" t="str">
        <x:v>—</x:v>
      </x:c>
      <x:c r="I87" s="31" t="str">
        <x:v>—</x:v>
      </x:c>
      <x:c r="J87" s="31" t="str">
        <x:v>포함</x:v>
      </x:c>
      <x:c r="K87" s="31" t="str">
        <x:v>—</x:v>
      </x:c>
      <x:c r="L87" s="31" t="str">
        <x:v>포함</x:v>
      </x:c>
      <x:c r="M87" s="31" t="str">
        <x:v>—</x:v>
      </x:c>
    </x:row>
    <x:row r="88">
      <x:c r="A88" s="34" t="n">
        <x:v>84</x:v>
      </x:c>
      <x:c r="B88" s="30" t="str">
        <x:v>두두</x:v>
      </x:c>
      <x:c r="C88" s="30" t="str">
        <x:v>doduo</x:v>
      </x:c>
      <x:c r="D88" s="36" t="n">
        <x:v>1</x:v>
      </x:c>
      <x:c r="E88" s="31" t="str">
        <x:v>포함</x:v>
      </x:c>
      <x:c r="F88" s="31" t="str">
        <x:v>포함</x:v>
      </x:c>
      <x:c r="G88" s="31" t="str">
        <x:v>포함</x:v>
      </x:c>
      <x:c r="H88" s="31" t="str">
        <x:v>—</x:v>
      </x:c>
      <x:c r="I88" s="31" t="str">
        <x:v>—</x:v>
      </x:c>
      <x:c r="J88" s="31" t="str">
        <x:v>포함</x:v>
      </x:c>
      <x:c r="K88" s="31" t="str">
        <x:v>—</x:v>
      </x:c>
      <x:c r="L88" s="31" t="str">
        <x:v>—</x:v>
      </x:c>
      <x:c r="M88" s="31" t="str">
        <x:v>포함</x:v>
      </x:c>
    </x:row>
    <x:row r="89">
      <x:c r="A89" s="34" t="n">
        <x:v>85</x:v>
      </x:c>
      <x:c r="B89" s="30" t="str">
        <x:v>두트리오</x:v>
      </x:c>
      <x:c r="C89" s="30" t="str">
        <x:v>dodrio</x:v>
      </x:c>
      <x:c r="D89" s="36" t="n">
        <x:v>1</x:v>
      </x:c>
      <x:c r="E89" s="31" t="str">
        <x:v>포함</x:v>
      </x:c>
      <x:c r="F89" s="31" t="str">
        <x:v>포함</x:v>
      </x:c>
      <x:c r="G89" s="31" t="str">
        <x:v>포함</x:v>
      </x:c>
      <x:c r="H89" s="31" t="str">
        <x:v>—</x:v>
      </x:c>
      <x:c r="I89" s="31" t="str">
        <x:v>—</x:v>
      </x:c>
      <x:c r="J89" s="31" t="str">
        <x:v>포함</x:v>
      </x:c>
      <x:c r="K89" s="31" t="str">
        <x:v>—</x:v>
      </x:c>
      <x:c r="L89" s="31" t="str">
        <x:v>—</x:v>
      </x:c>
      <x:c r="M89" s="31" t="str">
        <x:v>포함</x:v>
      </x:c>
    </x:row>
    <x:row r="90">
      <x:c r="A90" s="34" t="n">
        <x:v>86</x:v>
      </x:c>
      <x:c r="B90" s="30" t="str">
        <x:v>쥬쥬</x:v>
      </x:c>
      <x:c r="C90" s="30" t="str">
        <x:v>seel</x:v>
      </x:c>
      <x:c r="D90" s="36" t="n">
        <x:v>1</x:v>
      </x:c>
      <x:c r="E90" s="31" t="str">
        <x:v>포함</x:v>
      </x:c>
      <x:c r="F90" s="31" t="str">
        <x:v>포함</x:v>
      </x:c>
      <x:c r="G90" s="31" t="str">
        <x:v>—</x:v>
      </x:c>
      <x:c r="H90" s="31" t="str">
        <x:v>—</x:v>
      </x:c>
      <x:c r="I90" s="31" t="str">
        <x:v>포함</x:v>
      </x:c>
      <x:c r="J90" s="31" t="str">
        <x:v>—</x:v>
      </x:c>
      <x:c r="K90" s="31" t="str">
        <x:v>포함</x:v>
      </x:c>
      <x:c r="L90" s="31" t="str">
        <x:v>—</x:v>
      </x:c>
      <x:c r="M90" s="31" t="str">
        <x:v>포함</x:v>
      </x:c>
    </x:row>
    <x:row r="91">
      <x:c r="A91" s="34" t="n">
        <x:v>87</x:v>
      </x:c>
      <x:c r="B91" s="30" t="str">
        <x:v>쥬레곤</x:v>
      </x:c>
      <x:c r="C91" s="30" t="str">
        <x:v>dewgong</x:v>
      </x:c>
      <x:c r="D91" s="36" t="n">
        <x:v>1</x:v>
      </x:c>
      <x:c r="E91" s="31" t="str">
        <x:v>포함</x:v>
      </x:c>
      <x:c r="F91" s="31" t="str">
        <x:v>포함</x:v>
      </x:c>
      <x:c r="G91" s="31" t="str">
        <x:v>—</x:v>
      </x:c>
      <x:c r="H91" s="31" t="str">
        <x:v>—</x:v>
      </x:c>
      <x:c r="I91" s="31" t="str">
        <x:v>포함</x:v>
      </x:c>
      <x:c r="J91" s="31" t="str">
        <x:v>—</x:v>
      </x:c>
      <x:c r="K91" s="31" t="str">
        <x:v>포함</x:v>
      </x:c>
      <x:c r="L91" s="31" t="str">
        <x:v>—</x:v>
      </x:c>
      <x:c r="M91" s="31" t="str">
        <x:v>포함</x:v>
      </x:c>
    </x:row>
    <x:row r="92">
      <x:c r="A92" s="34" t="n">
        <x:v>88</x:v>
      </x:c>
      <x:c r="B92" s="30" t="str">
        <x:v>질퍽이</x:v>
      </x:c>
      <x:c r="C92" s="30" t="str">
        <x:v>grimer</x:v>
      </x:c>
      <x:c r="D92" s="36" t="n">
        <x:v>1</x:v>
      </x:c>
      <x:c r="E92" s="31" t="str">
        <x:v>포함</x:v>
      </x:c>
      <x:c r="F92" s="31" t="str">
        <x:v>포함</x:v>
      </x:c>
      <x:c r="G92" s="31" t="str">
        <x:v>포함</x:v>
      </x:c>
      <x:c r="H92" s="31" t="str">
        <x:v>—</x:v>
      </x:c>
      <x:c r="I92" s="31" t="str">
        <x:v>포함</x:v>
      </x:c>
      <x:c r="J92" s="31" t="str">
        <x:v>—</x:v>
      </x:c>
      <x:c r="K92" s="31" t="str">
        <x:v>포함</x:v>
      </x:c>
      <x:c r="L92" s="31" t="str">
        <x:v>—</x:v>
      </x:c>
      <x:c r="M92" s="31" t="str">
        <x:v>포함</x:v>
      </x:c>
    </x:row>
    <x:row r="93">
      <x:c r="A93" s="34" t="n">
        <x:v>89</x:v>
      </x:c>
      <x:c r="B93" s="30" t="str">
        <x:v>질뻐기</x:v>
      </x:c>
      <x:c r="C93" s="30" t="str">
        <x:v>muk</x:v>
      </x:c>
      <x:c r="D93" s="36" t="n">
        <x:v>1</x:v>
      </x:c>
      <x:c r="E93" s="31" t="str">
        <x:v>포함</x:v>
      </x:c>
      <x:c r="F93" s="31" t="str">
        <x:v>포함</x:v>
      </x:c>
      <x:c r="G93" s="31" t="str">
        <x:v>포함</x:v>
      </x:c>
      <x:c r="H93" s="31" t="str">
        <x:v>—</x:v>
      </x:c>
      <x:c r="I93" s="31" t="str">
        <x:v>포함</x:v>
      </x:c>
      <x:c r="J93" s="31" t="str">
        <x:v>—</x:v>
      </x:c>
      <x:c r="K93" s="31" t="str">
        <x:v>포함</x:v>
      </x:c>
      <x:c r="L93" s="31" t="str">
        <x:v>—</x:v>
      </x:c>
      <x:c r="M93" s="31" t="str">
        <x:v>포함</x:v>
      </x:c>
    </x:row>
    <x:row r="94">
      <x:c r="A94" s="34" t="n">
        <x:v>90</x:v>
      </x:c>
      <x:c r="B94" s="30" t="str">
        <x:v>셀러</x:v>
      </x:c>
      <x:c r="C94" s="30" t="str">
        <x:v>shellder</x:v>
      </x:c>
      <x:c r="D94" s="36" t="n">
        <x:v>1</x:v>
      </x:c>
      <x:c r="E94" s="31" t="str">
        <x:v>포함</x:v>
      </x:c>
      <x:c r="F94" s="31" t="str">
        <x:v>포함</x:v>
      </x:c>
      <x:c r="G94" s="31" t="str">
        <x:v>—</x:v>
      </x:c>
      <x:c r="H94" s="31" t="str">
        <x:v>—</x:v>
      </x:c>
      <x:c r="I94" s="31" t="str">
        <x:v>—</x:v>
      </x:c>
      <x:c r="J94" s="31" t="str">
        <x:v>포함</x:v>
      </x:c>
      <x:c r="K94" s="31" t="str">
        <x:v>포함</x:v>
      </x:c>
      <x:c r="L94" s="31" t="str">
        <x:v>포함</x:v>
      </x:c>
      <x:c r="M94" s="31" t="str">
        <x:v>포함</x:v>
      </x:c>
    </x:row>
    <x:row r="95">
      <x:c r="A95" s="34" t="n">
        <x:v>91</x:v>
      </x:c>
      <x:c r="B95" s="30" t="str">
        <x:v>파르셀</x:v>
      </x:c>
      <x:c r="C95" s="30" t="str">
        <x:v>cloyster</x:v>
      </x:c>
      <x:c r="D95" s="36" t="n">
        <x:v>1</x:v>
      </x:c>
      <x:c r="E95" s="31" t="str">
        <x:v>포함</x:v>
      </x:c>
      <x:c r="F95" s="31" t="str">
        <x:v>포함</x:v>
      </x:c>
      <x:c r="G95" s="31" t="str">
        <x:v>—</x:v>
      </x:c>
      <x:c r="H95" s="31" t="str">
        <x:v>—</x:v>
      </x:c>
      <x:c r="I95" s="31" t="str">
        <x:v>—</x:v>
      </x:c>
      <x:c r="J95" s="31" t="str">
        <x:v>포함</x:v>
      </x:c>
      <x:c r="K95" s="31" t="str">
        <x:v>포함</x:v>
      </x:c>
      <x:c r="L95" s="31" t="str">
        <x:v>포함</x:v>
      </x:c>
      <x:c r="M95" s="31" t="str">
        <x:v>포함</x:v>
      </x:c>
    </x:row>
    <x:row r="96">
      <x:c r="A96" s="34" t="n">
        <x:v>92</x:v>
      </x:c>
      <x:c r="B96" s="30" t="str">
        <x:v>고오스</x:v>
      </x:c>
      <x:c r="C96" s="30" t="str">
        <x:v>gastly</x:v>
      </x:c>
      <x:c r="D96" s="36" t="n">
        <x:v>1</x:v>
      </x:c>
      <x:c r="E96" s="31" t="str">
        <x:v>포함</x:v>
      </x:c>
      <x:c r="F96" s="31" t="str">
        <x:v>포함</x:v>
      </x:c>
      <x:c r="G96" s="31" t="str">
        <x:v>—</x:v>
      </x:c>
      <x:c r="H96" s="31" t="str">
        <x:v>포함</x:v>
      </x:c>
      <x:c r="I96" s="31" t="str">
        <x:v>—</x:v>
      </x:c>
      <x:c r="J96" s="31" t="str">
        <x:v>포함</x:v>
      </x:c>
      <x:c r="K96" s="31" t="str">
        <x:v>포함</x:v>
      </x:c>
      <x:c r="L96" s="31" t="str">
        <x:v>포함</x:v>
      </x:c>
      <x:c r="M96" s="31" t="str">
        <x:v>포함</x:v>
      </x:c>
    </x:row>
    <x:row r="97">
      <x:c r="A97" s="34" t="n">
        <x:v>93</x:v>
      </x:c>
      <x:c r="B97" s="30" t="str">
        <x:v>고우스트</x:v>
      </x:c>
      <x:c r="C97" s="30" t="str">
        <x:v>haunter</x:v>
      </x:c>
      <x:c r="D97" s="36" t="n">
        <x:v>1</x:v>
      </x:c>
      <x:c r="E97" s="31" t="str">
        <x:v>포함</x:v>
      </x:c>
      <x:c r="F97" s="31" t="str">
        <x:v>포함</x:v>
      </x:c>
      <x:c r="G97" s="31" t="str">
        <x:v>—</x:v>
      </x:c>
      <x:c r="H97" s="31" t="str">
        <x:v>포함</x:v>
      </x:c>
      <x:c r="I97" s="31" t="str">
        <x:v>—</x:v>
      </x:c>
      <x:c r="J97" s="31" t="str">
        <x:v>포함</x:v>
      </x:c>
      <x:c r="K97" s="31" t="str">
        <x:v>포함</x:v>
      </x:c>
      <x:c r="L97" s="31" t="str">
        <x:v>포함</x:v>
      </x:c>
      <x:c r="M97" s="31" t="str">
        <x:v>포함</x:v>
      </x:c>
    </x:row>
    <x:row r="98">
      <x:c r="A98" s="34" t="n">
        <x:v>94</x:v>
      </x:c>
      <x:c r="B98" s="30" t="str">
        <x:v>팬텀</x:v>
      </x:c>
      <x:c r="C98" s="30" t="str">
        <x:v>gengar</x:v>
      </x:c>
      <x:c r="D98" s="36" t="n">
        <x:v>1</x:v>
      </x:c>
      <x:c r="E98" s="31" t="str">
        <x:v>포함</x:v>
      </x:c>
      <x:c r="F98" s="31" t="str">
        <x:v>포함</x:v>
      </x:c>
      <x:c r="G98" s="31" t="str">
        <x:v>—</x:v>
      </x:c>
      <x:c r="H98" s="31" t="str">
        <x:v>포함</x:v>
      </x:c>
      <x:c r="I98" s="31" t="str">
        <x:v>—</x:v>
      </x:c>
      <x:c r="J98" s="31" t="str">
        <x:v>포함</x:v>
      </x:c>
      <x:c r="K98" s="31" t="str">
        <x:v>포함</x:v>
      </x:c>
      <x:c r="L98" s="31" t="str">
        <x:v>포함</x:v>
      </x:c>
      <x:c r="M98" s="31" t="str">
        <x:v>포함</x:v>
      </x:c>
    </x:row>
    <x:row r="99">
      <x:c r="A99" s="34" t="n">
        <x:v>95</x:v>
      </x:c>
      <x:c r="B99" s="30" t="str">
        <x:v>롱스톤</x:v>
      </x:c>
      <x:c r="C99" s="30" t="str">
        <x:v>onix</x:v>
      </x:c>
      <x:c r="D99" s="36" t="n">
        <x:v>1</x:v>
      </x:c>
      <x:c r="E99" s="31" t="str">
        <x:v>포함</x:v>
      </x:c>
      <x:c r="F99" s="31" t="str">
        <x:v>포함</x:v>
      </x:c>
      <x:c r="G99" s="31" t="str">
        <x:v>—</x:v>
      </x:c>
      <x:c r="H99" s="31" t="str">
        <x:v>포함</x:v>
      </x:c>
      <x:c r="I99" s="31" t="str">
        <x:v>포함</x:v>
      </x:c>
      <x:c r="J99" s="31" t="str">
        <x:v>포함</x:v>
      </x:c>
      <x:c r="K99" s="31" t="str">
        <x:v>—</x:v>
      </x:c>
      <x:c r="L99" s="31" t="str">
        <x:v>포함</x:v>
      </x:c>
      <x:c r="M99" s="31" t="str">
        <x:v>—</x:v>
      </x:c>
    </x:row>
    <x:row r="100">
      <x:c r="A100" s="34" t="n">
        <x:v>96</x:v>
      </x:c>
      <x:c r="B100" s="30" t="str">
        <x:v>슬리프</x:v>
      </x:c>
      <x:c r="C100" s="30" t="str">
        <x:v>drowzee</x:v>
      </x:c>
      <x:c r="D100" s="36" t="n">
        <x:v>1</x:v>
      </x:c>
      <x:c r="E100" s="31" t="str">
        <x:v>포함</x:v>
      </x:c>
      <x:c r="F100" s="31" t="str">
        <x:v>포함</x:v>
      </x:c>
      <x:c r="G100" s="31" t="str">
        <x:v>—</x:v>
      </x:c>
      <x:c r="H100" s="31" t="str">
        <x:v>—</x:v>
      </x:c>
      <x:c r="I100" s="31" t="str">
        <x:v>—</x:v>
      </x:c>
      <x:c r="J100" s="31" t="str">
        <x:v>—</x:v>
      </x:c>
      <x:c r="K100" s="31" t="str">
        <x:v>포함</x:v>
      </x:c>
      <x:c r="L100" s="31" t="str">
        <x:v>—</x:v>
      </x:c>
      <x:c r="M100" s="31" t="str">
        <x:v>포함</x:v>
      </x:c>
    </x:row>
    <x:row r="101">
      <x:c r="A101" s="34" t="n">
        <x:v>97</x:v>
      </x:c>
      <x:c r="B101" s="30" t="str">
        <x:v>슬리퍼</x:v>
      </x:c>
      <x:c r="C101" s="30" t="str">
        <x:v>hypno</x:v>
      </x:c>
      <x:c r="D101" s="36" t="n">
        <x:v>1</x:v>
      </x:c>
      <x:c r="E101" s="31" t="str">
        <x:v>포함</x:v>
      </x:c>
      <x:c r="F101" s="31" t="str">
        <x:v>포함</x:v>
      </x:c>
      <x:c r="G101" s="31" t="str">
        <x:v>—</x:v>
      </x:c>
      <x:c r="H101" s="31" t="str">
        <x:v>—</x:v>
      </x:c>
      <x:c r="I101" s="31" t="str">
        <x:v>—</x:v>
      </x:c>
      <x:c r="J101" s="31" t="str">
        <x:v>—</x:v>
      </x:c>
      <x:c r="K101" s="31" t="str">
        <x:v>포함</x:v>
      </x:c>
      <x:c r="L101" s="31" t="str">
        <x:v>—</x:v>
      </x:c>
      <x:c r="M101" s="31" t="str">
        <x:v>포함</x:v>
      </x:c>
    </x:row>
    <x:row r="102">
      <x:c r="A102" s="34" t="n">
        <x:v>98</x:v>
      </x:c>
      <x:c r="B102" s="30" t="str">
        <x:v>크랩</x:v>
      </x:c>
      <x:c r="C102" s="30" t="str">
        <x:v>krabby</x:v>
      </x:c>
      <x:c r="D102" s="36" t="n">
        <x:v>1</x:v>
      </x:c>
      <x:c r="E102" s="31" t="str">
        <x:v>포함</x:v>
      </x:c>
      <x:c r="F102" s="31" t="str">
        <x:v>포함</x:v>
      </x:c>
      <x:c r="G102" s="31" t="str">
        <x:v>—</x:v>
      </x:c>
      <x:c r="H102" s="31" t="str">
        <x:v>—</x:v>
      </x:c>
      <x:c r="I102" s="31" t="str">
        <x:v>—</x:v>
      </x:c>
      <x:c r="J102" s="31" t="str">
        <x:v>—</x:v>
      </x:c>
      <x:c r="K102" s="31" t="str">
        <x:v>—</x:v>
      </x:c>
      <x:c r="L102" s="31" t="str">
        <x:v>포함</x:v>
      </x:c>
      <x:c r="M102" s="31" t="str">
        <x:v>—</x:v>
      </x:c>
    </x:row>
    <x:row r="103">
      <x:c r="A103" s="34" t="n">
        <x:v>99</x:v>
      </x:c>
      <x:c r="B103" s="30" t="str">
        <x:v>킹크랩</x:v>
      </x:c>
      <x:c r="C103" s="30" t="str">
        <x:v>kingler</x:v>
      </x:c>
      <x:c r="D103" s="36" t="n">
        <x:v>1</x:v>
      </x:c>
      <x:c r="E103" s="31" t="str">
        <x:v>포함</x:v>
      </x:c>
      <x:c r="F103" s="31" t="str">
        <x:v>포함</x:v>
      </x:c>
      <x:c r="G103" s="31" t="str">
        <x:v>—</x:v>
      </x:c>
      <x:c r="H103" s="31" t="str">
        <x:v>—</x:v>
      </x:c>
      <x:c r="I103" s="31" t="str">
        <x:v>—</x:v>
      </x:c>
      <x:c r="J103" s="31" t="str">
        <x:v>—</x:v>
      </x:c>
      <x:c r="K103" s="31" t="str">
        <x:v>—</x:v>
      </x:c>
      <x:c r="L103" s="31" t="str">
        <x:v>포함</x:v>
      </x:c>
      <x:c r="M103" s="31" t="str">
        <x:v>—</x:v>
      </x:c>
    </x:row>
    <x:row r="104">
      <x:c r="A104" s="34" t="n">
        <x:v>100</x:v>
      </x:c>
      <x:c r="B104" s="30" t="str">
        <x:v>찌리리공</x:v>
      </x:c>
      <x:c r="C104" s="30" t="str">
        <x:v>voltorb</x:v>
      </x:c>
      <x:c r="D104" s="36" t="n">
        <x:v>1</x:v>
      </x:c>
      <x:c r="E104" s="31" t="str">
        <x:v>포함</x:v>
      </x:c>
      <x:c r="F104" s="31" t="str">
        <x:v>포함</x:v>
      </x:c>
      <x:c r="G104" s="31" t="str">
        <x:v>포함</x:v>
      </x:c>
      <x:c r="H104" s="31" t="str">
        <x:v>—</x:v>
      </x:c>
      <x:c r="I104" s="31" t="str">
        <x:v>—</x:v>
      </x:c>
      <x:c r="J104" s="31" t="str">
        <x:v>포함</x:v>
      </x:c>
      <x:c r="K104" s="31" t="str">
        <x:v>—</x:v>
      </x:c>
      <x:c r="L104" s="31" t="str">
        <x:v>—</x:v>
      </x:c>
      <x:c r="M104" s="31" t="str">
        <x:v>포함</x:v>
      </x:c>
    </x:row>
    <x:row r="105">
      <x:c r="A105" s="34" t="n">
        <x:v>101</x:v>
      </x:c>
      <x:c r="B105" s="30" t="str">
        <x:v>붐볼</x:v>
      </x:c>
      <x:c r="C105" s="30" t="str">
        <x:v>electrode</x:v>
      </x:c>
      <x:c r="D105" s="36" t="n">
        <x:v>1</x:v>
      </x:c>
      <x:c r="E105" s="31" t="str">
        <x:v>포함</x:v>
      </x:c>
      <x:c r="F105" s="31" t="str">
        <x:v>포함</x:v>
      </x:c>
      <x:c r="G105" s="31" t="str">
        <x:v>포함</x:v>
      </x:c>
      <x:c r="H105" s="31" t="str">
        <x:v>—</x:v>
      </x:c>
      <x:c r="I105" s="31" t="str">
        <x:v>—</x:v>
      </x:c>
      <x:c r="J105" s="31" t="str">
        <x:v>포함</x:v>
      </x:c>
      <x:c r="K105" s="31" t="str">
        <x:v>—</x:v>
      </x:c>
      <x:c r="L105" s="31" t="str">
        <x:v>—</x:v>
      </x:c>
      <x:c r="M105" s="31" t="str">
        <x:v>포함</x:v>
      </x:c>
    </x:row>
    <x:row r="106">
      <x:c r="A106" s="34" t="n">
        <x:v>102</x:v>
      </x:c>
      <x:c r="B106" s="30" t="str">
        <x:v>아라리</x:v>
      </x:c>
      <x:c r="C106" s="30" t="str">
        <x:v>exeggcute</x:v>
      </x:c>
      <x:c r="D106" s="36" t="n">
        <x:v>1</x:v>
      </x:c>
      <x:c r="E106" s="31" t="str">
        <x:v>포함</x:v>
      </x:c>
      <x:c r="F106" s="31" t="str">
        <x:v>포함</x:v>
      </x:c>
      <x:c r="G106" s="31" t="str">
        <x:v>—</x:v>
      </x:c>
      <x:c r="H106" s="31" t="str">
        <x:v>—</x:v>
      </x:c>
      <x:c r="I106" s="31" t="str">
        <x:v>—</x:v>
      </x:c>
      <x:c r="J106" s="31" t="str">
        <x:v>포함</x:v>
      </x:c>
      <x:c r="K106" s="31" t="str">
        <x:v>포함</x:v>
      </x:c>
      <x:c r="L106" s="31" t="str">
        <x:v>포함</x:v>
      </x:c>
      <x:c r="M106" s="31" t="str">
        <x:v>포함</x:v>
      </x:c>
    </x:row>
    <x:row r="107">
      <x:c r="A107" s="34" t="n">
        <x:v>103</x:v>
      </x:c>
      <x:c r="B107" s="30" t="str">
        <x:v>나시</x:v>
      </x:c>
      <x:c r="C107" s="30" t="str">
        <x:v>exeggutor</x:v>
      </x:c>
      <x:c r="D107" s="36" t="n">
        <x:v>1</x:v>
      </x:c>
      <x:c r="E107" s="31" t="str">
        <x:v>포함</x:v>
      </x:c>
      <x:c r="F107" s="31" t="str">
        <x:v>포함</x:v>
      </x:c>
      <x:c r="G107" s="31" t="str">
        <x:v>—</x:v>
      </x:c>
      <x:c r="H107" s="31" t="str">
        <x:v>—</x:v>
      </x:c>
      <x:c r="I107" s="31" t="str">
        <x:v>—</x:v>
      </x:c>
      <x:c r="J107" s="31" t="str">
        <x:v>포함</x:v>
      </x:c>
      <x:c r="K107" s="31" t="str">
        <x:v>포함</x:v>
      </x:c>
      <x:c r="L107" s="31" t="str">
        <x:v>포함</x:v>
      </x:c>
      <x:c r="M107" s="31" t="str">
        <x:v>포함</x:v>
      </x:c>
    </x:row>
    <x:row r="108">
      <x:c r="A108" s="34" t="n">
        <x:v>104</x:v>
      </x:c>
      <x:c r="B108" s="30" t="str">
        <x:v>탕구리</x:v>
      </x:c>
      <x:c r="C108" s="30" t="str">
        <x:v>cubone</x:v>
      </x:c>
      <x:c r="D108" s="36" t="n">
        <x:v>1</x:v>
      </x:c>
      <x:c r="E108" s="31" t="str">
        <x:v>포함</x:v>
      </x:c>
      <x:c r="F108" s="31" t="str">
        <x:v>포함</x:v>
      </x:c>
      <x:c r="G108" s="31" t="str">
        <x:v>—</x:v>
      </x:c>
      <x:c r="H108" s="31" t="str">
        <x:v>—</x:v>
      </x:c>
      <x:c r="I108" s="31" t="str">
        <x:v>—</x:v>
      </x:c>
      <x:c r="J108" s="31" t="str">
        <x:v>포함</x:v>
      </x:c>
      <x:c r="K108" s="31" t="str">
        <x:v>포함</x:v>
      </x:c>
      <x:c r="L108" s="31" t="str">
        <x:v>포함</x:v>
      </x:c>
      <x:c r="M108" s="31" t="str">
        <x:v>—</x:v>
      </x:c>
    </x:row>
    <x:row r="109">
      <x:c r="A109" s="34" t="n">
        <x:v>105</x:v>
      </x:c>
      <x:c r="B109" s="30" t="str">
        <x:v>텅구리</x:v>
      </x:c>
      <x:c r="C109" s="30" t="str">
        <x:v>marowak</x:v>
      </x:c>
      <x:c r="D109" s="36" t="n">
        <x:v>1</x:v>
      </x:c>
      <x:c r="E109" s="31" t="str">
        <x:v>포함</x:v>
      </x:c>
      <x:c r="F109" s="31" t="str">
        <x:v>포함</x:v>
      </x:c>
      <x:c r="G109" s="31" t="str">
        <x:v>—</x:v>
      </x:c>
      <x:c r="H109" s="31" t="str">
        <x:v>—</x:v>
      </x:c>
      <x:c r="I109" s="31" t="str">
        <x:v>—</x:v>
      </x:c>
      <x:c r="J109" s="31" t="str">
        <x:v>포함</x:v>
      </x:c>
      <x:c r="K109" s="31" t="str">
        <x:v>포함</x:v>
      </x:c>
      <x:c r="L109" s="31" t="str">
        <x:v>포함</x:v>
      </x:c>
      <x:c r="M109" s="31" t="str">
        <x:v>—</x:v>
      </x:c>
    </x:row>
    <x:row r="110">
      <x:c r="A110" s="34" t="n">
        <x:v>106</x:v>
      </x:c>
      <x:c r="B110" s="30" t="str">
        <x:v>시라소몬</x:v>
      </x:c>
      <x:c r="C110" s="30" t="str">
        <x:v>hitmonlee</x:v>
      </x:c>
      <x:c r="D110" s="36" t="n">
        <x:v>1</x:v>
      </x:c>
      <x:c r="E110" s="31" t="str">
        <x:v>포함</x:v>
      </x:c>
      <x:c r="F110" s="31" t="str">
        <x:v>포함</x:v>
      </x:c>
      <x:c r="G110" s="31" t="str">
        <x:v>—</x:v>
      </x:c>
      <x:c r="H110" s="31" t="str">
        <x:v>—</x:v>
      </x:c>
      <x:c r="I110" s="31" t="str">
        <x:v>—</x:v>
      </x:c>
      <x:c r="J110" s="31" t="str">
        <x:v>—</x:v>
      </x:c>
      <x:c r="K110" s="31" t="str">
        <x:v>—</x:v>
      </x:c>
      <x:c r="L110" s="31" t="str">
        <x:v>포함</x:v>
      </x:c>
      <x:c r="M110" s="31" t="str">
        <x:v>포함</x:v>
      </x:c>
    </x:row>
    <x:row r="111">
      <x:c r="A111" s="34" t="n">
        <x:v>107</x:v>
      </x:c>
      <x:c r="B111" s="30" t="str">
        <x:v>홍수몬</x:v>
      </x:c>
      <x:c r="C111" s="30" t="str">
        <x:v>hitmonchan</x:v>
      </x:c>
      <x:c r="D111" s="36" t="n">
        <x:v>1</x:v>
      </x:c>
      <x:c r="E111" s="31" t="str">
        <x:v>포함</x:v>
      </x:c>
      <x:c r="F111" s="31" t="str">
        <x:v>포함</x:v>
      </x:c>
      <x:c r="G111" s="31" t="str">
        <x:v>—</x:v>
      </x:c>
      <x:c r="H111" s="31" t="str">
        <x:v>—</x:v>
      </x:c>
      <x:c r="I111" s="31" t="str">
        <x:v>—</x:v>
      </x:c>
      <x:c r="J111" s="31" t="str">
        <x:v>—</x:v>
      </x:c>
      <x:c r="K111" s="31" t="str">
        <x:v>—</x:v>
      </x:c>
      <x:c r="L111" s="31" t="str">
        <x:v>포함</x:v>
      </x:c>
      <x:c r="M111" s="31" t="str">
        <x:v>포함</x:v>
      </x:c>
    </x:row>
    <x:row r="112">
      <x:c r="A112" s="34" t="n">
        <x:v>108</x:v>
      </x:c>
      <x:c r="B112" s="30" t="str">
        <x:v>내루미</x:v>
      </x:c>
      <x:c r="C112" s="30" t="str">
        <x:v>lickitung</x:v>
      </x:c>
      <x:c r="D112" s="36" t="n">
        <x:v>1</x:v>
      </x:c>
      <x:c r="E112" s="31" t="str">
        <x:v>포함</x:v>
      </x:c>
      <x:c r="F112" s="31" t="str">
        <x:v>포함</x:v>
      </x:c>
      <x:c r="G112" s="31" t="str">
        <x:v>—</x:v>
      </x:c>
      <x:c r="H112" s="31" t="str">
        <x:v>포함</x:v>
      </x:c>
      <x:c r="I112" s="31" t="str">
        <x:v>포함</x:v>
      </x:c>
      <x:c r="J112" s="31" t="str">
        <x:v>포함</x:v>
      </x:c>
      <x:c r="K112" s="31" t="str">
        <x:v>포함</x:v>
      </x:c>
      <x:c r="L112" s="31" t="str">
        <x:v>포함</x:v>
      </x:c>
      <x:c r="M112" s="31" t="str">
        <x:v>—</x:v>
      </x:c>
    </x:row>
    <x:row r="113">
      <x:c r="A113" s="34" t="n">
        <x:v>109</x:v>
      </x:c>
      <x:c r="B113" s="30" t="str">
        <x:v>또가스</x:v>
      </x:c>
      <x:c r="C113" s="30" t="str">
        <x:v>koffing</x:v>
      </x:c>
      <x:c r="D113" s="36" t="n">
        <x:v>1</x:v>
      </x:c>
      <x:c r="E113" s="31" t="str">
        <x:v>포함</x:v>
      </x:c>
      <x:c r="F113" s="31" t="str">
        <x:v>포함</x:v>
      </x:c>
      <x:c r="G113" s="31" t="str">
        <x:v>포함</x:v>
      </x:c>
      <x:c r="H113" s="31" t="str">
        <x:v>—</x:v>
      </x:c>
      <x:c r="I113" s="31" t="str">
        <x:v>포함</x:v>
      </x:c>
      <x:c r="J113" s="31" t="str">
        <x:v>—</x:v>
      </x:c>
      <x:c r="K113" s="31" t="str">
        <x:v>—</x:v>
      </x:c>
      <x:c r="L113" s="31" t="str">
        <x:v>포함</x:v>
      </x:c>
      <x:c r="M113" s="31" t="str">
        <x:v>포함</x:v>
      </x:c>
    </x:row>
    <x:row r="114">
      <x:c r="A114" s="34" t="n">
        <x:v>110</x:v>
      </x:c>
      <x:c r="B114" s="30" t="str">
        <x:v>또도가스</x:v>
      </x:c>
      <x:c r="C114" s="30" t="str">
        <x:v>weezing</x:v>
      </x:c>
      <x:c r="D114" s="36" t="n">
        <x:v>1</x:v>
      </x:c>
      <x:c r="E114" s="31" t="str">
        <x:v>포함</x:v>
      </x:c>
      <x:c r="F114" s="31" t="str">
        <x:v>포함</x:v>
      </x:c>
      <x:c r="G114" s="31" t="str">
        <x:v>포함</x:v>
      </x:c>
      <x:c r="H114" s="31" t="str">
        <x:v>—</x:v>
      </x:c>
      <x:c r="I114" s="31" t="str">
        <x:v>포함</x:v>
      </x:c>
      <x:c r="J114" s="31" t="str">
        <x:v>—</x:v>
      </x:c>
      <x:c r="K114" s="31" t="str">
        <x:v>—</x:v>
      </x:c>
      <x:c r="L114" s="31" t="str">
        <x:v>포함</x:v>
      </x:c>
      <x:c r="M114" s="31" t="str">
        <x:v>포함</x:v>
      </x:c>
    </x:row>
    <x:row r="115">
      <x:c r="A115" s="34" t="n">
        <x:v>111</x:v>
      </x:c>
      <x:c r="B115" s="30" t="str">
        <x:v>뿔카노</x:v>
      </x:c>
      <x:c r="C115" s="30" t="str">
        <x:v>rhyhorn</x:v>
      </x:c>
      <x:c r="D115" s="36" t="n">
        <x:v>1</x:v>
      </x:c>
      <x:c r="E115" s="31" t="str">
        <x:v>포함</x:v>
      </x:c>
      <x:c r="F115" s="31" t="str">
        <x:v>포함</x:v>
      </x:c>
      <x:c r="G115" s="31" t="str">
        <x:v>포함</x:v>
      </x:c>
      <x:c r="H115" s="31" t="str">
        <x:v>포함</x:v>
      </x:c>
      <x:c r="I115" s="31" t="str">
        <x:v>—</x:v>
      </x:c>
      <x:c r="J115" s="31" t="str">
        <x:v>포함</x:v>
      </x:c>
      <x:c r="K115" s="31" t="str">
        <x:v>—</x:v>
      </x:c>
      <x:c r="L115" s="31" t="str">
        <x:v>포함</x:v>
      </x:c>
      <x:c r="M115" s="31" t="str">
        <x:v>포함</x:v>
      </x:c>
    </x:row>
    <x:row r="116">
      <x:c r="A116" s="34" t="n">
        <x:v>112</x:v>
      </x:c>
      <x:c r="B116" s="30" t="str">
        <x:v>코뿌리</x:v>
      </x:c>
      <x:c r="C116" s="30" t="str">
        <x:v>rhydon</x:v>
      </x:c>
      <x:c r="D116" s="36" t="n">
        <x:v>1</x:v>
      </x:c>
      <x:c r="E116" s="31" t="str">
        <x:v>포함</x:v>
      </x:c>
      <x:c r="F116" s="31" t="str">
        <x:v>포함</x:v>
      </x:c>
      <x:c r="G116" s="31" t="str">
        <x:v>포함</x:v>
      </x:c>
      <x:c r="H116" s="31" t="str">
        <x:v>포함</x:v>
      </x:c>
      <x:c r="I116" s="31" t="str">
        <x:v>—</x:v>
      </x:c>
      <x:c r="J116" s="31" t="str">
        <x:v>포함</x:v>
      </x:c>
      <x:c r="K116" s="31" t="str">
        <x:v>—</x:v>
      </x:c>
      <x:c r="L116" s="31" t="str">
        <x:v>포함</x:v>
      </x:c>
      <x:c r="M116" s="31" t="str">
        <x:v>포함</x:v>
      </x:c>
    </x:row>
    <x:row r="117">
      <x:c r="A117" s="34" t="n">
        <x:v>113</x:v>
      </x:c>
      <x:c r="B117" s="30" t="str">
        <x:v>럭키</x:v>
      </x:c>
      <x:c r="C117" s="30" t="str">
        <x:v>chansey</x:v>
      </x:c>
      <x:c r="D117" s="36" t="n">
        <x:v>1</x:v>
      </x:c>
      <x:c r="E117" s="31" t="str">
        <x:v>포함</x:v>
      </x:c>
      <x:c r="F117" s="31" t="str">
        <x:v>포함</x:v>
      </x:c>
      <x:c r="G117" s="31" t="str">
        <x:v>—</x:v>
      </x:c>
      <x:c r="H117" s="31" t="str">
        <x:v>포함</x:v>
      </x:c>
      <x:c r="I117" s="31" t="str">
        <x:v>—</x:v>
      </x:c>
      <x:c r="J117" s="31" t="str">
        <x:v>—</x:v>
      </x:c>
      <x:c r="K117" s="31" t="str">
        <x:v>포함</x:v>
      </x:c>
      <x:c r="L117" s="31" t="str">
        <x:v>포함</x:v>
      </x:c>
      <x:c r="M117" s="31" t="str">
        <x:v>포함</x:v>
      </x:c>
    </x:row>
    <x:row r="118">
      <x:c r="A118" s="34" t="n">
        <x:v>114</x:v>
      </x:c>
      <x:c r="B118" s="30" t="str">
        <x:v>덩쿠리</x:v>
      </x:c>
      <x:c r="C118" s="30" t="str">
        <x:v>tangela</x:v>
      </x:c>
      <x:c r="D118" s="36" t="n">
        <x:v>1</x:v>
      </x:c>
      <x:c r="E118" s="31" t="str">
        <x:v>포함</x:v>
      </x:c>
      <x:c r="F118" s="31" t="str">
        <x:v>포함</x:v>
      </x:c>
      <x:c r="G118" s="31" t="str">
        <x:v>—</x:v>
      </x:c>
      <x:c r="H118" s="31" t="str">
        <x:v>포함</x:v>
      </x:c>
      <x:c r="I118" s="31" t="str">
        <x:v>포함</x:v>
      </x:c>
      <x:c r="J118" s="31" t="str">
        <x:v>—</x:v>
      </x:c>
      <x:c r="K118" s="31" t="str">
        <x:v>—</x:v>
      </x:c>
      <x:c r="L118" s="31" t="str">
        <x:v>포함</x:v>
      </x:c>
      <x:c r="M118" s="31" t="str">
        <x:v>—</x:v>
      </x:c>
    </x:row>
    <x:row r="119">
      <x:c r="A119" s="34" t="n">
        <x:v>115</x:v>
      </x:c>
      <x:c r="B119" s="30" t="str">
        <x:v>캥카</x:v>
      </x:c>
      <x:c r="C119" s="30" t="str">
        <x:v>kangaskhan</x:v>
      </x:c>
      <x:c r="D119" s="36" t="n">
        <x:v>1</x:v>
      </x:c>
      <x:c r="E119" s="31" t="str">
        <x:v>포함</x:v>
      </x:c>
      <x:c r="F119" s="31" t="str">
        <x:v>포함</x:v>
      </x:c>
      <x:c r="G119" s="31" t="str">
        <x:v>—</x:v>
      </x:c>
      <x:c r="H119" s="31" t="str">
        <x:v>—</x:v>
      </x:c>
      <x:c r="I119" s="31" t="str">
        <x:v>—</x:v>
      </x:c>
      <x:c r="J119" s="31" t="str">
        <x:v>포함</x:v>
      </x:c>
      <x:c r="K119" s="31" t="str">
        <x:v>포함</x:v>
      </x:c>
      <x:c r="L119" s="31" t="str">
        <x:v>포함</x:v>
      </x:c>
      <x:c r="M119" s="31" t="str">
        <x:v>—</x:v>
      </x:c>
    </x:row>
    <x:row r="120">
      <x:c r="A120" s="34" t="n">
        <x:v>116</x:v>
      </x:c>
      <x:c r="B120" s="30" t="str">
        <x:v>쏘드라</x:v>
      </x:c>
      <x:c r="C120" s="30" t="str">
        <x:v>horsea</x:v>
      </x:c>
      <x:c r="D120" s="36" t="n">
        <x:v>1</x:v>
      </x:c>
      <x:c r="E120" s="31" t="str">
        <x:v>포함</x:v>
      </x:c>
      <x:c r="F120" s="31" t="str">
        <x:v>포함</x:v>
      </x:c>
      <x:c r="G120" s="31" t="str">
        <x:v>포함</x:v>
      </x:c>
      <x:c r="H120" s="31" t="str">
        <x:v>—</x:v>
      </x:c>
      <x:c r="I120" s="31" t="str">
        <x:v>—</x:v>
      </x:c>
      <x:c r="J120" s="31" t="str">
        <x:v>포함</x:v>
      </x:c>
      <x:c r="K120" s="31" t="str">
        <x:v>—</x:v>
      </x:c>
      <x:c r="L120" s="31" t="str">
        <x:v>포함</x:v>
      </x:c>
      <x:c r="M120" s="31" t="str">
        <x:v>포함</x:v>
      </x:c>
    </x:row>
    <x:row r="121">
      <x:c r="A121" s="34" t="n">
        <x:v>117</x:v>
      </x:c>
      <x:c r="B121" s="30" t="str">
        <x:v>시드라</x:v>
      </x:c>
      <x:c r="C121" s="30" t="str">
        <x:v>seadra</x:v>
      </x:c>
      <x:c r="D121" s="36" t="n">
        <x:v>1</x:v>
      </x:c>
      <x:c r="E121" s="31" t="str">
        <x:v>포함</x:v>
      </x:c>
      <x:c r="F121" s="31" t="str">
        <x:v>포함</x:v>
      </x:c>
      <x:c r="G121" s="31" t="str">
        <x:v>포함</x:v>
      </x:c>
      <x:c r="H121" s="31" t="str">
        <x:v>—</x:v>
      </x:c>
      <x:c r="I121" s="31" t="str">
        <x:v>—</x:v>
      </x:c>
      <x:c r="J121" s="31" t="str">
        <x:v>포함</x:v>
      </x:c>
      <x:c r="K121" s="31" t="str">
        <x:v>—</x:v>
      </x:c>
      <x:c r="L121" s="31" t="str">
        <x:v>포함</x:v>
      </x:c>
      <x:c r="M121" s="31" t="str">
        <x:v>포함</x:v>
      </x:c>
    </x:row>
    <x:row r="122">
      <x:c r="A122" s="34" t="n">
        <x:v>118</x:v>
      </x:c>
      <x:c r="B122" s="30" t="str">
        <x:v>콘치</x:v>
      </x:c>
      <x:c r="C122" s="30" t="str">
        <x:v>goldeen</x:v>
      </x:c>
      <x:c r="D122" s="36" t="n">
        <x:v>1</x:v>
      </x:c>
      <x:c r="E122" s="31" t="str">
        <x:v>포함</x:v>
      </x:c>
      <x:c r="F122" s="31" t="str">
        <x:v>포함</x:v>
      </x:c>
      <x:c r="G122" s="31" t="str">
        <x:v>포함</x:v>
      </x:c>
      <x:c r="H122" s="31" t="str">
        <x:v>포함</x:v>
      </x:c>
      <x:c r="I122" s="31" t="str">
        <x:v>—</x:v>
      </x:c>
      <x:c r="J122" s="31" t="str">
        <x:v>포함</x:v>
      </x:c>
      <x:c r="K122" s="31" t="str">
        <x:v>포함</x:v>
      </x:c>
      <x:c r="L122" s="31" t="str">
        <x:v>포함</x:v>
      </x:c>
      <x:c r="M122" s="31" t="str">
        <x:v>—</x:v>
      </x:c>
    </x:row>
    <x:row r="123">
      <x:c r="A123" s="34" t="n">
        <x:v>119</x:v>
      </x:c>
      <x:c r="B123" s="30" t="str">
        <x:v>왕콘치</x:v>
      </x:c>
      <x:c r="C123" s="30" t="str">
        <x:v>seaking</x:v>
      </x:c>
      <x:c r="D123" s="36" t="n">
        <x:v>1</x:v>
      </x:c>
      <x:c r="E123" s="31" t="str">
        <x:v>포함</x:v>
      </x:c>
      <x:c r="F123" s="31" t="str">
        <x:v>포함</x:v>
      </x:c>
      <x:c r="G123" s="31" t="str">
        <x:v>포함</x:v>
      </x:c>
      <x:c r="H123" s="31" t="str">
        <x:v>포함</x:v>
      </x:c>
      <x:c r="I123" s="31" t="str">
        <x:v>—</x:v>
      </x:c>
      <x:c r="J123" s="31" t="str">
        <x:v>포함</x:v>
      </x:c>
      <x:c r="K123" s="31" t="str">
        <x:v>포함</x:v>
      </x:c>
      <x:c r="L123" s="31" t="str">
        <x:v>포함</x:v>
      </x:c>
      <x:c r="M123" s="31" t="str">
        <x:v>—</x:v>
      </x:c>
    </x:row>
    <x:row r="124">
      <x:c r="A124" s="34" t="n">
        <x:v>120</x:v>
      </x:c>
      <x:c r="B124" s="30" t="str">
        <x:v>별가사리</x:v>
      </x:c>
      <x:c r="C124" s="30" t="str">
        <x:v>staryu</x:v>
      </x:c>
      <x:c r="D124" s="36" t="n">
        <x:v>1</x:v>
      </x:c>
      <x:c r="E124" s="31" t="str">
        <x:v>포함</x:v>
      </x:c>
      <x:c r="F124" s="31" t="str">
        <x:v>포함</x:v>
      </x:c>
      <x:c r="G124" s="31" t="str">
        <x:v>포함</x:v>
      </x:c>
      <x:c r="H124" s="31" t="str">
        <x:v>—</x:v>
      </x:c>
      <x:c r="I124" s="31" t="str">
        <x:v>포함</x:v>
      </x:c>
      <x:c r="J124" s="31" t="str">
        <x:v>포함</x:v>
      </x:c>
      <x:c r="K124" s="31" t="str">
        <x:v>포함</x:v>
      </x:c>
      <x:c r="L124" s="31" t="str">
        <x:v>포함</x:v>
      </x:c>
      <x:c r="M124" s="31" t="str">
        <x:v>—</x:v>
      </x:c>
    </x:row>
    <x:row r="125">
      <x:c r="A125" s="34" t="n">
        <x:v>121</x:v>
      </x:c>
      <x:c r="B125" s="30" t="str">
        <x:v>아쿠스타</x:v>
      </x:c>
      <x:c r="C125" s="30" t="str">
        <x:v>starmie</x:v>
      </x:c>
      <x:c r="D125" s="36" t="n">
        <x:v>1</x:v>
      </x:c>
      <x:c r="E125" s="31" t="str">
        <x:v>포함</x:v>
      </x:c>
      <x:c r="F125" s="31" t="str">
        <x:v>포함</x:v>
      </x:c>
      <x:c r="G125" s="31" t="str">
        <x:v>포함</x:v>
      </x:c>
      <x:c r="H125" s="31" t="str">
        <x:v>—</x:v>
      </x:c>
      <x:c r="I125" s="31" t="str">
        <x:v>포함</x:v>
      </x:c>
      <x:c r="J125" s="31" t="str">
        <x:v>포함</x:v>
      </x:c>
      <x:c r="K125" s="31" t="str">
        <x:v>포함</x:v>
      </x:c>
      <x:c r="L125" s="31" t="str">
        <x:v>포함</x:v>
      </x:c>
      <x:c r="M125" s="31" t="str">
        <x:v>—</x:v>
      </x:c>
    </x:row>
    <x:row r="126">
      <x:c r="A126" s="34" t="n">
        <x:v>122</x:v>
      </x:c>
      <x:c r="B126" s="30" t="str">
        <x:v>마임맨</x:v>
      </x:c>
      <x:c r="C126" s="30" t="str">
        <x:v>mrmime</x:v>
      </x:c>
      <x:c r="D126" s="36" t="n">
        <x:v>1</x:v>
      </x:c>
      <x:c r="E126" s="31" t="str">
        <x:v>포함</x:v>
      </x:c>
      <x:c r="F126" s="31" t="str">
        <x:v>포함</x:v>
      </x:c>
      <x:c r="G126" s="31" t="str">
        <x:v>—</x:v>
      </x:c>
      <x:c r="H126" s="31" t="str">
        <x:v>포함</x:v>
      </x:c>
      <x:c r="I126" s="31" t="str">
        <x:v>—</x:v>
      </x:c>
      <x:c r="J126" s="31" t="str">
        <x:v>포함</x:v>
      </x:c>
      <x:c r="K126" s="31" t="str">
        <x:v>포함</x:v>
      </x:c>
      <x:c r="L126" s="31" t="str">
        <x:v>포함</x:v>
      </x:c>
      <x:c r="M126" s="31" t="str">
        <x:v>—</x:v>
      </x:c>
    </x:row>
    <x:row r="127">
      <x:c r="A127" s="34" t="n">
        <x:v>123</x:v>
      </x:c>
      <x:c r="B127" s="30" t="str">
        <x:v>스라크</x:v>
      </x:c>
      <x:c r="C127" s="30" t="str">
        <x:v>scyther</x:v>
      </x:c>
      <x:c r="D127" s="36" t="n">
        <x:v>1</x:v>
      </x:c>
      <x:c r="E127" s="31" t="str">
        <x:v>포함</x:v>
      </x:c>
      <x:c r="F127" s="31" t="str">
        <x:v>포함</x:v>
      </x:c>
      <x:c r="G127" s="31" t="str">
        <x:v>—</x:v>
      </x:c>
      <x:c r="H127" s="31" t="str">
        <x:v>포함</x:v>
      </x:c>
      <x:c r="I127" s="31" t="str">
        <x:v>—</x:v>
      </x:c>
      <x:c r="J127" s="31" t="str">
        <x:v>포함</x:v>
      </x:c>
      <x:c r="K127" s="31" t="str">
        <x:v>포함</x:v>
      </x:c>
      <x:c r="L127" s="31" t="str">
        <x:v>포함</x:v>
      </x:c>
      <x:c r="M127" s="31" t="str">
        <x:v>포함</x:v>
      </x:c>
    </x:row>
    <x:row r="128">
      <x:c r="A128" s="34" t="n">
        <x:v>124</x:v>
      </x:c>
      <x:c r="B128" s="30" t="str">
        <x:v>루주라</x:v>
      </x:c>
      <x:c r="C128" s="30" t="str">
        <x:v>jynx</x:v>
      </x:c>
      <x:c r="D128" s="36" t="n">
        <x:v>1</x:v>
      </x:c>
      <x:c r="E128" s="31" t="str">
        <x:v>포함</x:v>
      </x:c>
      <x:c r="F128" s="31" t="str">
        <x:v>포함</x:v>
      </x:c>
      <x:c r="G128" s="31" t="str">
        <x:v>—</x:v>
      </x:c>
      <x:c r="H128" s="31" t="str">
        <x:v>—</x:v>
      </x:c>
      <x:c r="I128" s="31" t="str">
        <x:v>—</x:v>
      </x:c>
      <x:c r="J128" s="31" t="str">
        <x:v>포함</x:v>
      </x:c>
      <x:c r="K128" s="31" t="str">
        <x:v>포함</x:v>
      </x:c>
      <x:c r="L128" s="31" t="str">
        <x:v>포함</x:v>
      </x:c>
      <x:c r="M128" s="31" t="str">
        <x:v>—</x:v>
      </x:c>
    </x:row>
    <x:row r="129">
      <x:c r="A129" s="34" t="n">
        <x:v>125</x:v>
      </x:c>
      <x:c r="B129" s="30" t="str">
        <x:v>에레브</x:v>
      </x:c>
      <x:c r="C129" s="30" t="str">
        <x:v>electabuzz</x:v>
      </x:c>
      <x:c r="D129" s="36" t="n">
        <x:v>1</x:v>
      </x:c>
      <x:c r="E129" s="31" t="str">
        <x:v>포함</x:v>
      </x:c>
      <x:c r="F129" s="31" t="str">
        <x:v>포함</x:v>
      </x:c>
      <x:c r="G129" s="31" t="str">
        <x:v>—</x:v>
      </x:c>
      <x:c r="H129" s="31" t="str">
        <x:v>포함</x:v>
      </x:c>
      <x:c r="I129" s="31" t="str">
        <x:v>포함</x:v>
      </x:c>
      <x:c r="J129" s="31" t="str">
        <x:v>—</x:v>
      </x:c>
      <x:c r="K129" s="31" t="str">
        <x:v>포함</x:v>
      </x:c>
      <x:c r="L129" s="31" t="str">
        <x:v>포함</x:v>
      </x:c>
      <x:c r="M129" s="31" t="str">
        <x:v>포함</x:v>
      </x:c>
    </x:row>
    <x:row r="130">
      <x:c r="A130" s="34" t="n">
        <x:v>126</x:v>
      </x:c>
      <x:c r="B130" s="30" t="str">
        <x:v>마그마</x:v>
      </x:c>
      <x:c r="C130" s="30" t="str">
        <x:v>magmar</x:v>
      </x:c>
      <x:c r="D130" s="36" t="n">
        <x:v>1</x:v>
      </x:c>
      <x:c r="E130" s="31" t="str">
        <x:v>포함</x:v>
      </x:c>
      <x:c r="F130" s="31" t="str">
        <x:v>포함</x:v>
      </x:c>
      <x:c r="G130" s="31" t="str">
        <x:v>—</x:v>
      </x:c>
      <x:c r="H130" s="31" t="str">
        <x:v>포함</x:v>
      </x:c>
      <x:c r="I130" s="31" t="str">
        <x:v>포함</x:v>
      </x:c>
      <x:c r="J130" s="31" t="str">
        <x:v>—</x:v>
      </x:c>
      <x:c r="K130" s="31" t="str">
        <x:v>포함</x:v>
      </x:c>
      <x:c r="L130" s="31" t="str">
        <x:v>포함</x:v>
      </x:c>
      <x:c r="M130" s="31" t="str">
        <x:v>포함</x:v>
      </x:c>
    </x:row>
    <x:row r="131">
      <x:c r="A131" s="34" t="n">
        <x:v>127</x:v>
      </x:c>
      <x:c r="B131" s="30" t="str">
        <x:v>쁘사이저</x:v>
      </x:c>
      <x:c r="C131" s="30" t="str">
        <x:v>pinsir</x:v>
      </x:c>
      <x:c r="D131" s="36" t="n">
        <x:v>1</x:v>
      </x:c>
      <x:c r="E131" s="31" t="str">
        <x:v>포함</x:v>
      </x:c>
      <x:c r="F131" s="31" t="str">
        <x:v>포함</x:v>
      </x:c>
      <x:c r="G131" s="31" t="str">
        <x:v>포함</x:v>
      </x:c>
      <x:c r="H131" s="31" t="str">
        <x:v>—</x:v>
      </x:c>
      <x:c r="I131" s="31" t="str">
        <x:v>포함</x:v>
      </x:c>
      <x:c r="J131" s="31" t="str">
        <x:v>포함</x:v>
      </x:c>
      <x:c r="K131" s="31" t="str">
        <x:v>포함</x:v>
      </x:c>
      <x:c r="L131" s="31" t="str">
        <x:v>포함</x:v>
      </x:c>
      <x:c r="M131" s="31" t="str">
        <x:v>—</x:v>
      </x:c>
    </x:row>
    <x:row r="132">
      <x:c r="A132" s="34" t="n">
        <x:v>128</x:v>
      </x:c>
      <x:c r="B132" s="30" t="str">
        <x:v>켄타로스</x:v>
      </x:c>
      <x:c r="C132" s="30" t="str">
        <x:v>tauros</x:v>
      </x:c>
      <x:c r="D132" s="36" t="n">
        <x:v>1</x:v>
      </x:c>
      <x:c r="E132" s="31" t="str">
        <x:v>포함</x:v>
      </x:c>
      <x:c r="F132" s="31" t="str">
        <x:v>포함</x:v>
      </x:c>
      <x:c r="G132" s="31" t="str">
        <x:v>—</x:v>
      </x:c>
      <x:c r="H132" s="31" t="str">
        <x:v>—</x:v>
      </x:c>
      <x:c r="I132" s="31" t="str">
        <x:v>—</x:v>
      </x:c>
      <x:c r="J132" s="31" t="str">
        <x:v>포함</x:v>
      </x:c>
      <x:c r="K132" s="31" t="str">
        <x:v>포함</x:v>
      </x:c>
      <x:c r="L132" s="31" t="str">
        <x:v>포함</x:v>
      </x:c>
      <x:c r="M132" s="31" t="str">
        <x:v>포함</x:v>
      </x:c>
    </x:row>
    <x:row r="133">
      <x:c r="A133" s="34" t="n">
        <x:v>129</x:v>
      </x:c>
      <x:c r="B133" s="30" t="str">
        <x:v>잉어킹</x:v>
      </x:c>
      <x:c r="C133" s="30" t="str">
        <x:v>magikarp</x:v>
      </x:c>
      <x:c r="D133" s="36" t="n">
        <x:v>1</x:v>
      </x:c>
      <x:c r="E133" s="31" t="str">
        <x:v>포함</x:v>
      </x:c>
      <x:c r="F133" s="31" t="str">
        <x:v>포함</x:v>
      </x:c>
      <x:c r="G133" s="31" t="str">
        <x:v>포함</x:v>
      </x:c>
      <x:c r="H133" s="31" t="str">
        <x:v>포함</x:v>
      </x:c>
      <x:c r="I133" s="31" t="str">
        <x:v>—</x:v>
      </x:c>
      <x:c r="J133" s="31" t="str">
        <x:v>포함</x:v>
      </x:c>
      <x:c r="K133" s="31" t="str">
        <x:v>포함</x:v>
      </x:c>
      <x:c r="L133" s="31" t="str">
        <x:v>포함</x:v>
      </x:c>
      <x:c r="M133" s="31" t="str">
        <x:v>포함</x:v>
      </x:c>
    </x:row>
    <x:row r="134">
      <x:c r="A134" s="34" t="n">
        <x:v>130</x:v>
      </x:c>
      <x:c r="B134" s="30" t="str">
        <x:v>갸라도스</x:v>
      </x:c>
      <x:c r="C134" s="30" t="str">
        <x:v>gyarados</x:v>
      </x:c>
      <x:c r="D134" s="36" t="n">
        <x:v>1</x:v>
      </x:c>
      <x:c r="E134" s="31" t="str">
        <x:v>포함</x:v>
      </x:c>
      <x:c r="F134" s="31" t="str">
        <x:v>포함</x:v>
      </x:c>
      <x:c r="G134" s="31" t="str">
        <x:v>포함</x:v>
      </x:c>
      <x:c r="H134" s="31" t="str">
        <x:v>포함</x:v>
      </x:c>
      <x:c r="I134" s="31" t="str">
        <x:v>—</x:v>
      </x:c>
      <x:c r="J134" s="31" t="str">
        <x:v>포함</x:v>
      </x:c>
      <x:c r="K134" s="31" t="str">
        <x:v>포함</x:v>
      </x:c>
      <x:c r="L134" s="31" t="str">
        <x:v>포함</x:v>
      </x:c>
      <x:c r="M134" s="31" t="str">
        <x:v>포함</x:v>
      </x:c>
    </x:row>
    <x:row r="135">
      <x:c r="A135" s="34" t="n">
        <x:v>131</x:v>
      </x:c>
      <x:c r="B135" s="30" t="str">
        <x:v>라프라스</x:v>
      </x:c>
      <x:c r="C135" s="30" t="str">
        <x:v>lapras</x:v>
      </x:c>
      <x:c r="D135" s="36" t="n">
        <x:v>1</x:v>
      </x:c>
      <x:c r="E135" s="31" t="str">
        <x:v>포함</x:v>
      </x:c>
      <x:c r="F135" s="31" t="str">
        <x:v>포함</x:v>
      </x:c>
      <x:c r="G135" s="31" t="str">
        <x:v>—</x:v>
      </x:c>
      <x:c r="H135" s="31" t="str">
        <x:v>—</x:v>
      </x:c>
      <x:c r="I135" s="31" t="str">
        <x:v>포함</x:v>
      </x:c>
      <x:c r="J135" s="31" t="str">
        <x:v>포함</x:v>
      </x:c>
      <x:c r="K135" s="31" t="str">
        <x:v>포함</x:v>
      </x:c>
      <x:c r="L135" s="31" t="str">
        <x:v>포함</x:v>
      </x:c>
      <x:c r="M135" s="31" t="str">
        <x:v>포함</x:v>
      </x:c>
    </x:row>
    <x:row r="136">
      <x:c r="A136" s="34" t="n">
        <x:v>132</x:v>
      </x:c>
      <x:c r="B136" s="30" t="str">
        <x:v>메타몽</x:v>
      </x:c>
      <x:c r="C136" s="30" t="str">
        <x:v>ditto</x:v>
      </x:c>
      <x:c r="D136" s="36" t="n">
        <x:v>1</x:v>
      </x:c>
      <x:c r="E136" s="31" t="str">
        <x:v>포함</x:v>
      </x:c>
      <x:c r="F136" s="31" t="str">
        <x:v>포함</x:v>
      </x:c>
      <x:c r="G136" s="31" t="str">
        <x:v>—</x:v>
      </x:c>
      <x:c r="H136" s="31" t="str">
        <x:v>—</x:v>
      </x:c>
      <x:c r="I136" s="31" t="str">
        <x:v>포함</x:v>
      </x:c>
      <x:c r="J136" s="31" t="str">
        <x:v>포함</x:v>
      </x:c>
      <x:c r="K136" s="31" t="str">
        <x:v>포함</x:v>
      </x:c>
      <x:c r="L136" s="31" t="str">
        <x:v>포함</x:v>
      </x:c>
      <x:c r="M136" s="31" t="str">
        <x:v>포함</x:v>
      </x:c>
    </x:row>
    <x:row r="137">
      <x:c r="A137" s="34" t="n">
        <x:v>133</x:v>
      </x:c>
      <x:c r="B137" s="30" t="str">
        <x:v>이브이</x:v>
      </x:c>
      <x:c r="C137" s="30" t="str">
        <x:v>eevee</x:v>
      </x:c>
      <x:c r="D137" s="36" t="n">
        <x:v>1</x:v>
      </x:c>
      <x:c r="E137" s="31" t="str">
        <x:v>포함</x:v>
      </x:c>
      <x:c r="F137" s="31" t="str">
        <x:v>포함</x:v>
      </x:c>
      <x:c r="G137" s="31" t="str">
        <x:v>—</x:v>
      </x:c>
      <x:c r="H137" s="31" t="str">
        <x:v>포함</x:v>
      </x:c>
      <x:c r="I137" s="31" t="str">
        <x:v>포함</x:v>
      </x:c>
      <x:c r="J137" s="31" t="str">
        <x:v>포함</x:v>
      </x:c>
      <x:c r="K137" s="31" t="str">
        <x:v>포함</x:v>
      </x:c>
      <x:c r="L137" s="31" t="str">
        <x:v>포함</x:v>
      </x:c>
      <x:c r="M137" s="31" t="str">
        <x:v>포함</x:v>
      </x:c>
    </x:row>
    <x:row r="138">
      <x:c r="A138" s="34" t="n">
        <x:v>134</x:v>
      </x:c>
      <x:c r="B138" s="30" t="str">
        <x:v>샤미드</x:v>
      </x:c>
      <x:c r="C138" s="30" t="str">
        <x:v>vaporeon</x:v>
      </x:c>
      <x:c r="D138" s="36" t="n">
        <x:v>1</x:v>
      </x:c>
      <x:c r="E138" s="31" t="str">
        <x:v>포함</x:v>
      </x:c>
      <x:c r="F138" s="31" t="str">
        <x:v>포함</x:v>
      </x:c>
      <x:c r="G138" s="31" t="str">
        <x:v>—</x:v>
      </x:c>
      <x:c r="H138" s="31" t="str">
        <x:v>포함</x:v>
      </x:c>
      <x:c r="I138" s="31" t="str">
        <x:v>포함</x:v>
      </x:c>
      <x:c r="J138" s="31" t="str">
        <x:v>포함</x:v>
      </x:c>
      <x:c r="K138" s="31" t="str">
        <x:v>포함</x:v>
      </x:c>
      <x:c r="L138" s="31" t="str">
        <x:v>포함</x:v>
      </x:c>
      <x:c r="M138" s="31" t="str">
        <x:v>포함</x:v>
      </x:c>
    </x:row>
    <x:row r="139">
      <x:c r="A139" s="34" t="n">
        <x:v>135</x:v>
      </x:c>
      <x:c r="B139" s="30" t="str">
        <x:v>쥬피썬더</x:v>
      </x:c>
      <x:c r="C139" s="30" t="str">
        <x:v>jolteon</x:v>
      </x:c>
      <x:c r="D139" s="36" t="n">
        <x:v>1</x:v>
      </x:c>
      <x:c r="E139" s="31" t="str">
        <x:v>포함</x:v>
      </x:c>
      <x:c r="F139" s="31" t="str">
        <x:v>포함</x:v>
      </x:c>
      <x:c r="G139" s="31" t="str">
        <x:v>—</x:v>
      </x:c>
      <x:c r="H139" s="31" t="str">
        <x:v>포함</x:v>
      </x:c>
      <x:c r="I139" s="31" t="str">
        <x:v>포함</x:v>
      </x:c>
      <x:c r="J139" s="31" t="str">
        <x:v>포함</x:v>
      </x:c>
      <x:c r="K139" s="31" t="str">
        <x:v>포함</x:v>
      </x:c>
      <x:c r="L139" s="31" t="str">
        <x:v>포함</x:v>
      </x:c>
      <x:c r="M139" s="31" t="str">
        <x:v>포함</x:v>
      </x:c>
    </x:row>
    <x:row r="140">
      <x:c r="A140" s="34" t="n">
        <x:v>136</x:v>
      </x:c>
      <x:c r="B140" s="30" t="str">
        <x:v>부스터</x:v>
      </x:c>
      <x:c r="C140" s="30" t="str">
        <x:v>flareon</x:v>
      </x:c>
      <x:c r="D140" s="36" t="n">
        <x:v>1</x:v>
      </x:c>
      <x:c r="E140" s="31" t="str">
        <x:v>포함</x:v>
      </x:c>
      <x:c r="F140" s="31" t="str">
        <x:v>포함</x:v>
      </x:c>
      <x:c r="G140" s="31" t="str">
        <x:v>—</x:v>
      </x:c>
      <x:c r="H140" s="31" t="str">
        <x:v>포함</x:v>
      </x:c>
      <x:c r="I140" s="31" t="str">
        <x:v>포함</x:v>
      </x:c>
      <x:c r="J140" s="31" t="str">
        <x:v>포함</x:v>
      </x:c>
      <x:c r="K140" s="31" t="str">
        <x:v>포함</x:v>
      </x:c>
      <x:c r="L140" s="31" t="str">
        <x:v>포함</x:v>
      </x:c>
      <x:c r="M140" s="31" t="str">
        <x:v>포함</x:v>
      </x:c>
    </x:row>
    <x:row r="141">
      <x:c r="A141" s="34" t="n">
        <x:v>137</x:v>
      </x:c>
      <x:c r="B141" s="30" t="str">
        <x:v>폴리곤</x:v>
      </x:c>
      <x:c r="C141" s="30" t="str">
        <x:v>porygon</x:v>
      </x:c>
      <x:c r="D141" s="36" t="n">
        <x:v>1</x:v>
      </x:c>
      <x:c r="E141" s="31" t="str">
        <x:v>포함</x:v>
      </x:c>
      <x:c r="F141" s="31" t="str">
        <x:v>포함</x:v>
      </x:c>
      <x:c r="G141" s="31" t="str">
        <x:v>—</x:v>
      </x:c>
      <x:c r="H141" s="31" t="str">
        <x:v>포함</x:v>
      </x:c>
      <x:c r="I141" s="31" t="str">
        <x:v>—</x:v>
      </x:c>
      <x:c r="J141" s="31" t="str">
        <x:v>—</x:v>
      </x:c>
      <x:c r="K141" s="31" t="str">
        <x:v>포함</x:v>
      </x:c>
      <x:c r="L141" s="31" t="str">
        <x:v>포함</x:v>
      </x:c>
      <x:c r="M141" s="31" t="str">
        <x:v>포함</x:v>
      </x:c>
    </x:row>
    <x:row r="142">
      <x:c r="A142" s="34" t="n">
        <x:v>138</x:v>
      </x:c>
      <x:c r="B142" s="30" t="str">
        <x:v>암나이트</x:v>
      </x:c>
      <x:c r="C142" s="30" t="str">
        <x:v>omanyte</x:v>
      </x:c>
      <x:c r="D142" s="36" t="n">
        <x:v>1</x:v>
      </x:c>
      <x:c r="E142" s="31" t="str">
        <x:v>포함</x:v>
      </x:c>
      <x:c r="F142" s="31" t="str">
        <x:v>포함</x:v>
      </x:c>
      <x:c r="G142" s="31" t="str">
        <x:v>—</x:v>
      </x:c>
      <x:c r="H142" s="31" t="str">
        <x:v>—</x:v>
      </x:c>
      <x:c r="I142" s="31" t="str">
        <x:v>—</x:v>
      </x:c>
      <x:c r="J142" s="31" t="str">
        <x:v>—</x:v>
      </x:c>
      <x:c r="K142" s="31" t="str">
        <x:v>포함</x:v>
      </x:c>
      <x:c r="L142" s="31" t="str">
        <x:v>포함</x:v>
      </x:c>
      <x:c r="M142" s="31" t="str">
        <x:v>—</x:v>
      </x:c>
    </x:row>
    <x:row r="143">
      <x:c r="A143" s="34" t="n">
        <x:v>139</x:v>
      </x:c>
      <x:c r="B143" s="30" t="str">
        <x:v>암스타</x:v>
      </x:c>
      <x:c r="C143" s="30" t="str">
        <x:v>omastar</x:v>
      </x:c>
      <x:c r="D143" s="36" t="n">
        <x:v>1</x:v>
      </x:c>
      <x:c r="E143" s="31" t="str">
        <x:v>포함</x:v>
      </x:c>
      <x:c r="F143" s="31" t="str">
        <x:v>포함</x:v>
      </x:c>
      <x:c r="G143" s="31" t="str">
        <x:v>—</x:v>
      </x:c>
      <x:c r="H143" s="31" t="str">
        <x:v>—</x:v>
      </x:c>
      <x:c r="I143" s="31" t="str">
        <x:v>—</x:v>
      </x:c>
      <x:c r="J143" s="31" t="str">
        <x:v>—</x:v>
      </x:c>
      <x:c r="K143" s="31" t="str">
        <x:v>포함</x:v>
      </x:c>
      <x:c r="L143" s="31" t="str">
        <x:v>포함</x:v>
      </x:c>
      <x:c r="M143" s="31" t="str">
        <x:v>—</x:v>
      </x:c>
    </x:row>
    <x:row r="144">
      <x:c r="A144" s="34" t="n">
        <x:v>140</x:v>
      </x:c>
      <x:c r="B144" s="30" t="str">
        <x:v>투구</x:v>
      </x:c>
      <x:c r="C144" s="30" t="str">
        <x:v>kabuto</x:v>
      </x:c>
      <x:c r="D144" s="36" t="n">
        <x:v>1</x:v>
      </x:c>
      <x:c r="E144" s="31" t="str">
        <x:v>포함</x:v>
      </x:c>
      <x:c r="F144" s="31" t="str">
        <x:v>포함</x:v>
      </x:c>
      <x:c r="G144" s="31" t="str">
        <x:v>—</x:v>
      </x:c>
      <x:c r="H144" s="31" t="str">
        <x:v>—</x:v>
      </x:c>
      <x:c r="I144" s="31" t="str">
        <x:v>—</x:v>
      </x:c>
      <x:c r="J144" s="31" t="str">
        <x:v>—</x:v>
      </x:c>
      <x:c r="K144" s="31" t="str">
        <x:v>포함</x:v>
      </x:c>
      <x:c r="L144" s="31" t="str">
        <x:v>포함</x:v>
      </x:c>
      <x:c r="M144" s="31" t="str">
        <x:v>—</x:v>
      </x:c>
    </x:row>
    <x:row r="145">
      <x:c r="A145" s="34" t="n">
        <x:v>141</x:v>
      </x:c>
      <x:c r="B145" s="30" t="str">
        <x:v>투구푸스</x:v>
      </x:c>
      <x:c r="C145" s="30" t="str">
        <x:v>kabutops</x:v>
      </x:c>
      <x:c r="D145" s="36" t="n">
        <x:v>1</x:v>
      </x:c>
      <x:c r="E145" s="31" t="str">
        <x:v>포함</x:v>
      </x:c>
      <x:c r="F145" s="31" t="str">
        <x:v>포함</x:v>
      </x:c>
      <x:c r="G145" s="31" t="str">
        <x:v>—</x:v>
      </x:c>
      <x:c r="H145" s="31" t="str">
        <x:v>—</x:v>
      </x:c>
      <x:c r="I145" s="31" t="str">
        <x:v>—</x:v>
      </x:c>
      <x:c r="J145" s="31" t="str">
        <x:v>—</x:v>
      </x:c>
      <x:c r="K145" s="31" t="str">
        <x:v>포함</x:v>
      </x:c>
      <x:c r="L145" s="31" t="str">
        <x:v>포함</x:v>
      </x:c>
      <x:c r="M145" s="31" t="str">
        <x:v>—</x:v>
      </x:c>
    </x:row>
    <x:row r="146">
      <x:c r="A146" s="34" t="n">
        <x:v>142</x:v>
      </x:c>
      <x:c r="B146" s="30" t="str">
        <x:v>프테라</x:v>
      </x:c>
      <x:c r="C146" s="30" t="str">
        <x:v>aerodactyl</x:v>
      </x:c>
      <x:c r="D146" s="36" t="n">
        <x:v>1</x:v>
      </x:c>
      <x:c r="E146" s="31" t="str">
        <x:v>포함</x:v>
      </x:c>
      <x:c r="F146" s="31" t="str">
        <x:v>포함</x:v>
      </x:c>
      <x:c r="G146" s="31" t="str">
        <x:v>—</x:v>
      </x:c>
      <x:c r="H146" s="31" t="str">
        <x:v>—</x:v>
      </x:c>
      <x:c r="I146" s="31" t="str">
        <x:v>—</x:v>
      </x:c>
      <x:c r="J146" s="31" t="str">
        <x:v>포함</x:v>
      </x:c>
      <x:c r="K146" s="31" t="str">
        <x:v>포함</x:v>
      </x:c>
      <x:c r="L146" s="31" t="str">
        <x:v>포함</x:v>
      </x:c>
      <x:c r="M146" s="31" t="str">
        <x:v>—</x:v>
      </x:c>
    </x:row>
    <x:row r="147">
      <x:c r="A147" s="34" t="n">
        <x:v>143</x:v>
      </x:c>
      <x:c r="B147" s="30" t="str">
        <x:v>잠만보</x:v>
      </x:c>
      <x:c r="C147" s="30" t="str">
        <x:v>snorlax</x:v>
      </x:c>
      <x:c r="D147" s="36" t="n">
        <x:v>1</x:v>
      </x:c>
      <x:c r="E147" s="31" t="str">
        <x:v>포함</x:v>
      </x:c>
      <x:c r="F147" s="31" t="str">
        <x:v>포함</x:v>
      </x:c>
      <x:c r="G147" s="31" t="str">
        <x:v>—</x:v>
      </x:c>
      <x:c r="H147" s="31" t="str">
        <x:v>포함</x:v>
      </x:c>
      <x:c r="I147" s="31" t="str">
        <x:v>—</x:v>
      </x:c>
      <x:c r="J147" s="31" t="str">
        <x:v>포함</x:v>
      </x:c>
      <x:c r="K147" s="31" t="str">
        <x:v>포함</x:v>
      </x:c>
      <x:c r="L147" s="31" t="str">
        <x:v>포함</x:v>
      </x:c>
      <x:c r="M147" s="31" t="str">
        <x:v>포함</x:v>
      </x:c>
    </x:row>
    <x:row r="148">
      <x:c r="A148" s="34" t="n">
        <x:v>144</x:v>
      </x:c>
      <x:c r="B148" s="30" t="str">
        <x:v>프리져</x:v>
      </x:c>
      <x:c r="C148" s="30" t="str">
        <x:v>articuno</x:v>
      </x:c>
      <x:c r="D148" s="36" t="n">
        <x:v>1</x:v>
      </x:c>
      <x:c r="E148" s="31" t="str">
        <x:v>포함</x:v>
      </x:c>
      <x:c r="F148" s="31" t="str">
        <x:v>포함</x:v>
      </x:c>
      <x:c r="G148" s="31" t="str">
        <x:v>—</x:v>
      </x:c>
      <x:c r="H148" s="31" t="str">
        <x:v>—</x:v>
      </x:c>
      <x:c r="I148" s="31" t="str">
        <x:v>—</x:v>
      </x:c>
      <x:c r="J148" s="31" t="str">
        <x:v>포함</x:v>
      </x:c>
      <x:c r="K148" s="31" t="str">
        <x:v>—</x:v>
      </x:c>
      <x:c r="L148" s="31" t="str">
        <x:v>포함</x:v>
      </x:c>
      <x:c r="M148" s="31" t="str">
        <x:v>—</x:v>
      </x:c>
    </x:row>
    <x:row r="149">
      <x:c r="A149" s="34" t="n">
        <x:v>145</x:v>
      </x:c>
      <x:c r="B149" s="30" t="str">
        <x:v>썬더</x:v>
      </x:c>
      <x:c r="C149" s="30" t="str">
        <x:v>zapdos</x:v>
      </x:c>
      <x:c r="D149" s="36" t="n">
        <x:v>1</x:v>
      </x:c>
      <x:c r="E149" s="31" t="str">
        <x:v>포함</x:v>
      </x:c>
      <x:c r="F149" s="31" t="str">
        <x:v>포함</x:v>
      </x:c>
      <x:c r="G149" s="31" t="str">
        <x:v>—</x:v>
      </x:c>
      <x:c r="H149" s="31" t="str">
        <x:v>—</x:v>
      </x:c>
      <x:c r="I149" s="31" t="str">
        <x:v>—</x:v>
      </x:c>
      <x:c r="J149" s="31" t="str">
        <x:v>포함</x:v>
      </x:c>
      <x:c r="K149" s="31" t="str">
        <x:v>—</x:v>
      </x:c>
      <x:c r="L149" s="31" t="str">
        <x:v>포함</x:v>
      </x:c>
      <x:c r="M149" s="31" t="str">
        <x:v>—</x:v>
      </x:c>
    </x:row>
    <x:row r="150">
      <x:c r="A150" s="34" t="n">
        <x:v>146</x:v>
      </x:c>
      <x:c r="B150" s="30" t="str">
        <x:v>파이어</x:v>
      </x:c>
      <x:c r="C150" s="30" t="str">
        <x:v>moltres</x:v>
      </x:c>
      <x:c r="D150" s="36" t="n">
        <x:v>1</x:v>
      </x:c>
      <x:c r="E150" s="31" t="str">
        <x:v>포함</x:v>
      </x:c>
      <x:c r="F150" s="31" t="str">
        <x:v>포함</x:v>
      </x:c>
      <x:c r="G150" s="31" t="str">
        <x:v>—</x:v>
      </x:c>
      <x:c r="H150" s="31" t="str">
        <x:v>—</x:v>
      </x:c>
      <x:c r="I150" s="31" t="str">
        <x:v>—</x:v>
      </x:c>
      <x:c r="J150" s="31" t="str">
        <x:v>포함</x:v>
      </x:c>
      <x:c r="K150" s="31" t="str">
        <x:v>—</x:v>
      </x:c>
      <x:c r="L150" s="31" t="str">
        <x:v>포함</x:v>
      </x:c>
      <x:c r="M150" s="31" t="str">
        <x:v>—</x:v>
      </x:c>
    </x:row>
    <x:row r="151">
      <x:c r="A151" s="34" t="n">
        <x:v>147</x:v>
      </x:c>
      <x:c r="B151" s="30" t="str">
        <x:v>미뇽</x:v>
      </x:c>
      <x:c r="C151" s="30" t="str">
        <x:v>dratini</x:v>
      </x:c>
      <x:c r="D151" s="36" t="n">
        <x:v>1</x:v>
      </x:c>
      <x:c r="E151" s="31" t="str">
        <x:v>포함</x:v>
      </x:c>
      <x:c r="F151" s="31" t="str">
        <x:v>포함</x:v>
      </x:c>
      <x:c r="G151" s="31" t="str">
        <x:v>—</x:v>
      </x:c>
      <x:c r="H151" s="31" t="str">
        <x:v>—</x:v>
      </x:c>
      <x:c r="I151" s="31" t="str">
        <x:v>—</x:v>
      </x:c>
      <x:c r="J151" s="31" t="str">
        <x:v>포함</x:v>
      </x:c>
      <x:c r="K151" s="31" t="str">
        <x:v>포함</x:v>
      </x:c>
      <x:c r="L151" s="31" t="str">
        <x:v>포함</x:v>
      </x:c>
      <x:c r="M151" s="31" t="str">
        <x:v>포함</x:v>
      </x:c>
    </x:row>
    <x:row r="152">
      <x:c r="A152" s="34" t="n">
        <x:v>148</x:v>
      </x:c>
      <x:c r="B152" s="30" t="str">
        <x:v>신뇽</x:v>
      </x:c>
      <x:c r="C152" s="30" t="str">
        <x:v>dragonair</x:v>
      </x:c>
      <x:c r="D152" s="36" t="n">
        <x:v>1</x:v>
      </x:c>
      <x:c r="E152" s="31" t="str">
        <x:v>포함</x:v>
      </x:c>
      <x:c r="F152" s="31" t="str">
        <x:v>포함</x:v>
      </x:c>
      <x:c r="G152" s="31" t="str">
        <x:v>—</x:v>
      </x:c>
      <x:c r="H152" s="31" t="str">
        <x:v>—</x:v>
      </x:c>
      <x:c r="I152" s="31" t="str">
        <x:v>—</x:v>
      </x:c>
      <x:c r="J152" s="31" t="str">
        <x:v>포함</x:v>
      </x:c>
      <x:c r="K152" s="31" t="str">
        <x:v>포함</x:v>
      </x:c>
      <x:c r="L152" s="31" t="str">
        <x:v>포함</x:v>
      </x:c>
      <x:c r="M152" s="31" t="str">
        <x:v>포함</x:v>
      </x:c>
    </x:row>
    <x:row r="153">
      <x:c r="A153" s="34" t="n">
        <x:v>149</x:v>
      </x:c>
      <x:c r="B153" s="30" t="str">
        <x:v>망나뇽</x:v>
      </x:c>
      <x:c r="C153" s="30" t="str">
        <x:v>dragonite</x:v>
      </x:c>
      <x:c r="D153" s="36" t="n">
        <x:v>1</x:v>
      </x:c>
      <x:c r="E153" s="31" t="str">
        <x:v>포함</x:v>
      </x:c>
      <x:c r="F153" s="31" t="str">
        <x:v>포함</x:v>
      </x:c>
      <x:c r="G153" s="31" t="str">
        <x:v>—</x:v>
      </x:c>
      <x:c r="H153" s="31" t="str">
        <x:v>—</x:v>
      </x:c>
      <x:c r="I153" s="31" t="str">
        <x:v>—</x:v>
      </x:c>
      <x:c r="J153" s="31" t="str">
        <x:v>포함</x:v>
      </x:c>
      <x:c r="K153" s="31" t="str">
        <x:v>포함</x:v>
      </x:c>
      <x:c r="L153" s="31" t="str">
        <x:v>포함</x:v>
      </x:c>
      <x:c r="M153" s="31" t="str">
        <x:v>포함</x:v>
      </x:c>
    </x:row>
    <x:row r="154">
      <x:c r="A154" s="34" t="n">
        <x:v>150</x:v>
      </x:c>
      <x:c r="B154" s="30" t="str">
        <x:v>뮤츠</x:v>
      </x:c>
      <x:c r="C154" s="30" t="str">
        <x:v>mewtwo</x:v>
      </x:c>
      <x:c r="D154" s="36" t="n">
        <x:v>1</x:v>
      </x:c>
      <x:c r="E154" s="31" t="str">
        <x:v>포함</x:v>
      </x:c>
      <x:c r="F154" s="31" t="str">
        <x:v>포함</x:v>
      </x:c>
      <x:c r="G154" s="31" t="str">
        <x:v>—</x:v>
      </x:c>
      <x:c r="H154" s="31" t="str">
        <x:v>—</x:v>
      </x:c>
      <x:c r="I154" s="31" t="str">
        <x:v>—</x:v>
      </x:c>
      <x:c r="J154" s="31" t="str">
        <x:v>포함</x:v>
      </x:c>
      <x:c r="K154" s="31" t="str">
        <x:v>—</x:v>
      </x:c>
      <x:c r="L154" s="31" t="str">
        <x:v>—</x:v>
      </x:c>
      <x:c r="M154" s="31" t="str">
        <x:v>—</x:v>
      </x:c>
    </x:row>
    <x:row r="155">
      <x:c r="A155" s="34" t="n">
        <x:v>151</x:v>
      </x:c>
      <x:c r="B155" s="30" t="str">
        <x:v>뮤</x:v>
      </x:c>
      <x:c r="C155" s="30" t="str">
        <x:v>mew</x:v>
      </x:c>
      <x:c r="D155" s="36" t="n">
        <x:v>1</x:v>
      </x:c>
      <x:c r="E155" s="31" t="str">
        <x:v>포함</x:v>
      </x:c>
      <x:c r="F155" s="31" t="str">
        <x:v>포함</x:v>
      </x:c>
      <x:c r="G155" s="31" t="str">
        <x:v>—</x:v>
      </x:c>
      <x:c r="H155" s="31" t="str">
        <x:v>—</x:v>
      </x:c>
      <x:c r="I155" s="31" t="str">
        <x:v>—</x:v>
      </x:c>
      <x:c r="J155" s="31" t="str">
        <x:v>—</x:v>
      </x:c>
      <x:c r="K155" s="31" t="str">
        <x:v>—</x:v>
      </x:c>
      <x:c r="L155" s="31" t="str">
        <x:v>—</x:v>
      </x:c>
      <x:c r="M155" s="31" t="str">
        <x:v>—</x:v>
      </x:c>
    </x:row>
    <x:row r="156">
      <x:c r="A156" s="34" t="n">
        <x:v>152</x:v>
      </x:c>
      <x:c r="B156" s="30" t="str">
        <x:v>치코리타</x:v>
      </x:c>
      <x:c r="C156" s="30" t="str">
        <x:v>chikorita</x:v>
      </x:c>
      <x:c r="D156" s="36" t="n">
        <x:v>2</x:v>
      </x:c>
      <x:c r="E156" s="31" t="str">
        <x:v>—</x:v>
      </x:c>
      <x:c r="F156" s="31" t="str">
        <x:v>포함</x:v>
      </x:c>
      <x:c r="G156" s="31" t="str">
        <x:v>—</x:v>
      </x:c>
      <x:c r="H156" s="31" t="str">
        <x:v>—</x:v>
      </x:c>
      <x:c r="I156" s="31" t="str">
        <x:v>—</x:v>
      </x:c>
      <x:c r="J156" s="31" t="str">
        <x:v>—</x:v>
      </x:c>
      <x:c r="K156" s="31" t="str">
        <x:v>—</x:v>
      </x:c>
      <x:c r="L156" s="31" t="str">
        <x:v>—</x:v>
      </x:c>
      <x:c r="M156" s="31" t="str">
        <x:v>포함</x:v>
      </x:c>
    </x:row>
    <x:row r="157">
      <x:c r="A157" s="34" t="n">
        <x:v>153</x:v>
      </x:c>
      <x:c r="B157" s="30" t="str">
        <x:v>베이리프</x:v>
      </x:c>
      <x:c r="C157" s="30" t="str">
        <x:v>bayleef</x:v>
      </x:c>
      <x:c r="D157" s="36" t="n">
        <x:v>2</x:v>
      </x:c>
      <x:c r="E157" s="31" t="str">
        <x:v>—</x:v>
      </x:c>
      <x:c r="F157" s="31" t="str">
        <x:v>포함</x:v>
      </x:c>
      <x:c r="G157" s="31" t="str">
        <x:v>—</x:v>
      </x:c>
      <x:c r="H157" s="31" t="str">
        <x:v>—</x:v>
      </x:c>
      <x:c r="I157" s="31" t="str">
        <x:v>—</x:v>
      </x:c>
      <x:c r="J157" s="31" t="str">
        <x:v>—</x:v>
      </x:c>
      <x:c r="K157" s="31" t="str">
        <x:v>—</x:v>
      </x:c>
      <x:c r="L157" s="31" t="str">
        <x:v>—</x:v>
      </x:c>
      <x:c r="M157" s="31" t="str">
        <x:v>포함</x:v>
      </x:c>
    </x:row>
    <x:row r="158">
      <x:c r="A158" s="34" t="n">
        <x:v>154</x:v>
      </x:c>
      <x:c r="B158" s="30" t="str">
        <x:v>메가니움</x:v>
      </x:c>
      <x:c r="C158" s="30" t="str">
        <x:v>meganium</x:v>
      </x:c>
      <x:c r="D158" s="36" t="n">
        <x:v>2</x:v>
      </x:c>
      <x:c r="E158" s="31" t="str">
        <x:v>—</x:v>
      </x:c>
      <x:c r="F158" s="31" t="str">
        <x:v>포함</x:v>
      </x:c>
      <x:c r="G158" s="31" t="str">
        <x:v>—</x:v>
      </x:c>
      <x:c r="H158" s="31" t="str">
        <x:v>—</x:v>
      </x:c>
      <x:c r="I158" s="31" t="str">
        <x:v>—</x:v>
      </x:c>
      <x:c r="J158" s="31" t="str">
        <x:v>—</x:v>
      </x:c>
      <x:c r="K158" s="31" t="str">
        <x:v>—</x:v>
      </x:c>
      <x:c r="L158" s="31" t="str">
        <x:v>—</x:v>
      </x:c>
      <x:c r="M158" s="31" t="str">
        <x:v>포함</x:v>
      </x:c>
    </x:row>
    <x:row r="159">
      <x:c r="A159" s="34" t="n">
        <x:v>155</x:v>
      </x:c>
      <x:c r="B159" s="30" t="str">
        <x:v>브케인</x:v>
      </x:c>
      <x:c r="C159" s="30" t="str">
        <x:v>cyndaquil</x:v>
      </x:c>
      <x:c r="D159" s="36" t="n">
        <x:v>2</x:v>
      </x:c>
      <x:c r="E159" s="31" t="str">
        <x:v>—</x:v>
      </x:c>
      <x:c r="F159" s="31" t="str">
        <x:v>포함</x:v>
      </x:c>
      <x:c r="G159" s="31" t="str">
        <x:v>—</x:v>
      </x:c>
      <x:c r="H159" s="31" t="str">
        <x:v>—</x:v>
      </x:c>
      <x:c r="I159" s="31" t="str">
        <x:v>—</x:v>
      </x:c>
      <x:c r="J159" s="31" t="str">
        <x:v>—</x:v>
      </x:c>
      <x:c r="K159" s="31" t="str">
        <x:v>—</x:v>
      </x:c>
      <x:c r="L159" s="31" t="str">
        <x:v>—</x:v>
      </x:c>
      <x:c r="M159" s="31" t="str">
        <x:v>포함</x:v>
      </x:c>
    </x:row>
    <x:row r="160">
      <x:c r="A160" s="34" t="n">
        <x:v>156</x:v>
      </x:c>
      <x:c r="B160" s="30" t="str">
        <x:v>마그케인</x:v>
      </x:c>
      <x:c r="C160" s="30" t="str">
        <x:v>quilava</x:v>
      </x:c>
      <x:c r="D160" s="36" t="n">
        <x:v>2</x:v>
      </x:c>
      <x:c r="E160" s="31" t="str">
        <x:v>—</x:v>
      </x:c>
      <x:c r="F160" s="31" t="str">
        <x:v>포함</x:v>
      </x:c>
      <x:c r="G160" s="31" t="str">
        <x:v>—</x:v>
      </x:c>
      <x:c r="H160" s="31" t="str">
        <x:v>—</x:v>
      </x:c>
      <x:c r="I160" s="31" t="str">
        <x:v>—</x:v>
      </x:c>
      <x:c r="J160" s="31" t="str">
        <x:v>—</x:v>
      </x:c>
      <x:c r="K160" s="31" t="str">
        <x:v>—</x:v>
      </x:c>
      <x:c r="L160" s="31" t="str">
        <x:v>—</x:v>
      </x:c>
      <x:c r="M160" s="31" t="str">
        <x:v>포함</x:v>
      </x:c>
    </x:row>
    <x:row r="161">
      <x:c r="A161" s="34" t="n">
        <x:v>157</x:v>
      </x:c>
      <x:c r="B161" s="30" t="str">
        <x:v>블레이범</x:v>
      </x:c>
      <x:c r="C161" s="30" t="str">
        <x:v>typhlosion</x:v>
      </x:c>
      <x:c r="D161" s="36" t="n">
        <x:v>2</x:v>
      </x:c>
      <x:c r="E161" s="31" t="str">
        <x:v>—</x:v>
      </x:c>
      <x:c r="F161" s="31" t="str">
        <x:v>포함</x:v>
      </x:c>
      <x:c r="G161" s="31" t="str">
        <x:v>—</x:v>
      </x:c>
      <x:c r="H161" s="31" t="str">
        <x:v>—</x:v>
      </x:c>
      <x:c r="I161" s="31" t="str">
        <x:v>—</x:v>
      </x:c>
      <x:c r="J161" s="31" t="str">
        <x:v>—</x:v>
      </x:c>
      <x:c r="K161" s="31" t="str">
        <x:v>—</x:v>
      </x:c>
      <x:c r="L161" s="31" t="str">
        <x:v>—</x:v>
      </x:c>
      <x:c r="M161" s="31" t="str">
        <x:v>포함</x:v>
      </x:c>
    </x:row>
    <x:row r="162">
      <x:c r="A162" s="34" t="n">
        <x:v>158</x:v>
      </x:c>
      <x:c r="B162" s="30" t="str">
        <x:v>리아코</x:v>
      </x:c>
      <x:c r="C162" s="30" t="str">
        <x:v>totodile</x:v>
      </x:c>
      <x:c r="D162" s="36" t="n">
        <x:v>2</x:v>
      </x:c>
      <x:c r="E162" s="31" t="str">
        <x:v>—</x:v>
      </x:c>
      <x:c r="F162" s="31" t="str">
        <x:v>포함</x:v>
      </x:c>
      <x:c r="G162" s="31" t="str">
        <x:v>—</x:v>
      </x:c>
      <x:c r="H162" s="31" t="str">
        <x:v>—</x:v>
      </x:c>
      <x:c r="I162" s="31" t="str">
        <x:v>—</x:v>
      </x:c>
      <x:c r="J162" s="31" t="str">
        <x:v>—</x:v>
      </x:c>
      <x:c r="K162" s="31" t="str">
        <x:v>—</x:v>
      </x:c>
      <x:c r="L162" s="31" t="str">
        <x:v>—</x:v>
      </x:c>
      <x:c r="M162" s="31" t="str">
        <x:v>포함</x:v>
      </x:c>
    </x:row>
    <x:row r="163">
      <x:c r="A163" s="34" t="n">
        <x:v>159</x:v>
      </x:c>
      <x:c r="B163" s="30" t="str">
        <x:v>엘리게이</x:v>
      </x:c>
      <x:c r="C163" s="30" t="str">
        <x:v>croconaw</x:v>
      </x:c>
      <x:c r="D163" s="36" t="n">
        <x:v>2</x:v>
      </x:c>
      <x:c r="E163" s="31" t="str">
        <x:v>—</x:v>
      </x:c>
      <x:c r="F163" s="31" t="str">
        <x:v>포함</x:v>
      </x:c>
      <x:c r="G163" s="31" t="str">
        <x:v>—</x:v>
      </x:c>
      <x:c r="H163" s="31" t="str">
        <x:v>—</x:v>
      </x:c>
      <x:c r="I163" s="31" t="str">
        <x:v>—</x:v>
      </x:c>
      <x:c r="J163" s="31" t="str">
        <x:v>—</x:v>
      </x:c>
      <x:c r="K163" s="31" t="str">
        <x:v>—</x:v>
      </x:c>
      <x:c r="L163" s="31" t="str">
        <x:v>—</x:v>
      </x:c>
      <x:c r="M163" s="31" t="str">
        <x:v>포함</x:v>
      </x:c>
    </x:row>
    <x:row r="164">
      <x:c r="A164" s="34" t="n">
        <x:v>160</x:v>
      </x:c>
      <x:c r="B164" s="30" t="str">
        <x:v>장크로다일</x:v>
      </x:c>
      <x:c r="C164" s="30" t="str">
        <x:v>feraligatr</x:v>
      </x:c>
      <x:c r="D164" s="36" t="n">
        <x:v>2</x:v>
      </x:c>
      <x:c r="E164" s="31" t="str">
        <x:v>—</x:v>
      </x:c>
      <x:c r="F164" s="31" t="str">
        <x:v>포함</x:v>
      </x:c>
      <x:c r="G164" s="31" t="str">
        <x:v>—</x:v>
      </x:c>
      <x:c r="H164" s="31" t="str">
        <x:v>—</x:v>
      </x:c>
      <x:c r="I164" s="31" t="str">
        <x:v>—</x:v>
      </x:c>
      <x:c r="J164" s="31" t="str">
        <x:v>—</x:v>
      </x:c>
      <x:c r="K164" s="31" t="str">
        <x:v>—</x:v>
      </x:c>
      <x:c r="L164" s="31" t="str">
        <x:v>—</x:v>
      </x:c>
      <x:c r="M164" s="31" t="str">
        <x:v>포함</x:v>
      </x:c>
    </x:row>
    <x:row r="165">
      <x:c r="A165" s="34" t="n">
        <x:v>161</x:v>
      </x:c>
      <x:c r="B165" s="30" t="str">
        <x:v>꼬리선</x:v>
      </x:c>
      <x:c r="C165" s="30" t="str">
        <x:v>sentret</x:v>
      </x:c>
      <x:c r="D165" s="36" t="n">
        <x:v>2</x:v>
      </x:c>
      <x:c r="E165" s="31" t="str">
        <x:v>—</x:v>
      </x:c>
      <x:c r="F165" s="31" t="str">
        <x:v>포함</x:v>
      </x:c>
      <x:c r="G165" s="31" t="str">
        <x:v>—</x:v>
      </x:c>
      <x:c r="H165" s="31" t="str">
        <x:v>—</x:v>
      </x:c>
      <x:c r="I165" s="31" t="str">
        <x:v>—</x:v>
      </x:c>
      <x:c r="J165" s="31" t="str">
        <x:v>포함</x:v>
      </x:c>
      <x:c r="K165" s="31" t="str">
        <x:v>—</x:v>
      </x:c>
      <x:c r="L165" s="31" t="str">
        <x:v>—</x:v>
      </x:c>
      <x:c r="M165" s="31" t="str">
        <x:v>포함</x:v>
      </x:c>
    </x:row>
    <x:row r="166">
      <x:c r="A166" s="34" t="n">
        <x:v>162</x:v>
      </x:c>
      <x:c r="B166" s="30" t="str">
        <x:v>다꼬리</x:v>
      </x:c>
      <x:c r="C166" s="30" t="str">
        <x:v>furret</x:v>
      </x:c>
      <x:c r="D166" s="36" t="n">
        <x:v>2</x:v>
      </x:c>
      <x:c r="E166" s="31" t="str">
        <x:v>—</x:v>
      </x:c>
      <x:c r="F166" s="31" t="str">
        <x:v>포함</x:v>
      </x:c>
      <x:c r="G166" s="31" t="str">
        <x:v>—</x:v>
      </x:c>
      <x:c r="H166" s="31" t="str">
        <x:v>—</x:v>
      </x:c>
      <x:c r="I166" s="31" t="str">
        <x:v>—</x:v>
      </x:c>
      <x:c r="J166" s="31" t="str">
        <x:v>포함</x:v>
      </x:c>
      <x:c r="K166" s="31" t="str">
        <x:v>—</x:v>
      </x:c>
      <x:c r="L166" s="31" t="str">
        <x:v>—</x:v>
      </x:c>
      <x:c r="M166" s="31" t="str">
        <x:v>포함</x:v>
      </x:c>
    </x:row>
    <x:row r="167">
      <x:c r="A167" s="34" t="n">
        <x:v>163</x:v>
      </x:c>
      <x:c r="B167" s="30" t="str">
        <x:v>부우부</x:v>
      </x:c>
      <x:c r="C167" s="30" t="str">
        <x:v>hoothoot</x:v>
      </x:c>
      <x:c r="D167" s="36" t="n">
        <x:v>2</x:v>
      </x:c>
      <x:c r="E167" s="31" t="str">
        <x:v>—</x:v>
      </x:c>
      <x:c r="F167" s="31" t="str">
        <x:v>포함</x:v>
      </x:c>
      <x:c r="G167" s="31" t="str">
        <x:v>—</x:v>
      </x:c>
      <x:c r="H167" s="31" t="str">
        <x:v>포함</x:v>
      </x:c>
      <x:c r="I167" s="31" t="str">
        <x:v>—</x:v>
      </x:c>
      <x:c r="J167" s="31" t="str">
        <x:v>포함</x:v>
      </x:c>
      <x:c r="K167" s="31" t="str">
        <x:v>포함</x:v>
      </x:c>
      <x:c r="L167" s="31" t="str">
        <x:v>포함</x:v>
      </x:c>
      <x:c r="M167" s="31" t="str">
        <x:v>포함</x:v>
      </x:c>
    </x:row>
    <x:row r="168">
      <x:c r="A168" s="34" t="n">
        <x:v>164</x:v>
      </x:c>
      <x:c r="B168" s="30" t="str">
        <x:v>야부엉</x:v>
      </x:c>
      <x:c r="C168" s="30" t="str">
        <x:v>noctowl</x:v>
      </x:c>
      <x:c r="D168" s="36" t="n">
        <x:v>2</x:v>
      </x:c>
      <x:c r="E168" s="31" t="str">
        <x:v>—</x:v>
      </x:c>
      <x:c r="F168" s="31" t="str">
        <x:v>포함</x:v>
      </x:c>
      <x:c r="G168" s="31" t="str">
        <x:v>—</x:v>
      </x:c>
      <x:c r="H168" s="31" t="str">
        <x:v>포함</x:v>
      </x:c>
      <x:c r="I168" s="31" t="str">
        <x:v>—</x:v>
      </x:c>
      <x:c r="J168" s="31" t="str">
        <x:v>포함</x:v>
      </x:c>
      <x:c r="K168" s="31" t="str">
        <x:v>포함</x:v>
      </x:c>
      <x:c r="L168" s="31" t="str">
        <x:v>포함</x:v>
      </x:c>
      <x:c r="M168" s="31" t="str">
        <x:v>포함</x:v>
      </x:c>
    </x:row>
    <x:row r="169">
      <x:c r="A169" s="34" t="n">
        <x:v>165</x:v>
      </x:c>
      <x:c r="B169" s="30" t="str">
        <x:v>레디바</x:v>
      </x:c>
      <x:c r="C169" s="30" t="str">
        <x:v>ledyba</x:v>
      </x:c>
      <x:c r="D169" s="36" t="n">
        <x:v>2</x:v>
      </x:c>
      <x:c r="E169" s="31" t="str">
        <x:v>—</x:v>
      </x:c>
      <x:c r="F169" s="31" t="str">
        <x:v>포함</x:v>
      </x:c>
      <x:c r="G169" s="31" t="str">
        <x:v>—</x:v>
      </x:c>
      <x:c r="H169" s="31" t="str">
        <x:v>—</x:v>
      </x:c>
      <x:c r="I169" s="31" t="str">
        <x:v>—</x:v>
      </x:c>
      <x:c r="J169" s="31" t="str">
        <x:v>포함</x:v>
      </x:c>
      <x:c r="K169" s="31" t="str">
        <x:v>포함</x:v>
      </x:c>
      <x:c r="L169" s="31" t="str">
        <x:v>—</x:v>
      </x:c>
      <x:c r="M169" s="31" t="str">
        <x:v>—</x:v>
      </x:c>
    </x:row>
    <x:row r="170">
      <x:c r="A170" s="34" t="n">
        <x:v>166</x:v>
      </x:c>
      <x:c r="B170" s="30" t="str">
        <x:v>레디안</x:v>
      </x:c>
      <x:c r="C170" s="30" t="str">
        <x:v>ledian</x:v>
      </x:c>
      <x:c r="D170" s="36" t="n">
        <x:v>2</x:v>
      </x:c>
      <x:c r="E170" s="31" t="str">
        <x:v>—</x:v>
      </x:c>
      <x:c r="F170" s="31" t="str">
        <x:v>포함</x:v>
      </x:c>
      <x:c r="G170" s="31" t="str">
        <x:v>—</x:v>
      </x:c>
      <x:c r="H170" s="31" t="str">
        <x:v>—</x:v>
      </x:c>
      <x:c r="I170" s="31" t="str">
        <x:v>—</x:v>
      </x:c>
      <x:c r="J170" s="31" t="str">
        <x:v>포함</x:v>
      </x:c>
      <x:c r="K170" s="31" t="str">
        <x:v>포함</x:v>
      </x:c>
      <x:c r="L170" s="31" t="str">
        <x:v>—</x:v>
      </x:c>
      <x:c r="M170" s="31" t="str">
        <x:v>—</x:v>
      </x:c>
    </x:row>
    <x:row r="171">
      <x:c r="A171" s="34" t="n">
        <x:v>167</x:v>
      </x:c>
      <x:c r="B171" s="30" t="str">
        <x:v>페이검</x:v>
      </x:c>
      <x:c r="C171" s="30" t="str">
        <x:v>spinarak</x:v>
      </x:c>
      <x:c r="D171" s="36" t="n">
        <x:v>2</x:v>
      </x:c>
      <x:c r="E171" s="31" t="str">
        <x:v>—</x:v>
      </x:c>
      <x:c r="F171" s="31" t="str">
        <x:v>포함</x:v>
      </x:c>
      <x:c r="G171" s="31" t="str">
        <x:v>—</x:v>
      </x:c>
      <x:c r="H171" s="31" t="str">
        <x:v>—</x:v>
      </x:c>
      <x:c r="I171" s="31" t="str">
        <x:v>—</x:v>
      </x:c>
      <x:c r="J171" s="31" t="str">
        <x:v>포함</x:v>
      </x:c>
      <x:c r="K171" s="31" t="str">
        <x:v>포함</x:v>
      </x:c>
      <x:c r="L171" s="31" t="str">
        <x:v>—</x:v>
      </x:c>
      <x:c r="M171" s="31" t="str">
        <x:v>포함</x:v>
      </x:c>
    </x:row>
    <x:row r="172">
      <x:c r="A172" s="34" t="n">
        <x:v>168</x:v>
      </x:c>
      <x:c r="B172" s="30" t="str">
        <x:v>아리아도스</x:v>
      </x:c>
      <x:c r="C172" s="30" t="str">
        <x:v>ariados</x:v>
      </x:c>
      <x:c r="D172" s="36" t="n">
        <x:v>2</x:v>
      </x:c>
      <x:c r="E172" s="31" t="str">
        <x:v>—</x:v>
      </x:c>
      <x:c r="F172" s="31" t="str">
        <x:v>포함</x:v>
      </x:c>
      <x:c r="G172" s="31" t="str">
        <x:v>—</x:v>
      </x:c>
      <x:c r="H172" s="31" t="str">
        <x:v>—</x:v>
      </x:c>
      <x:c r="I172" s="31" t="str">
        <x:v>—</x:v>
      </x:c>
      <x:c r="J172" s="31" t="str">
        <x:v>포함</x:v>
      </x:c>
      <x:c r="K172" s="31" t="str">
        <x:v>포함</x:v>
      </x:c>
      <x:c r="L172" s="31" t="str">
        <x:v>—</x:v>
      </x:c>
      <x:c r="M172" s="31" t="str">
        <x:v>포함</x:v>
      </x:c>
    </x:row>
    <x:row r="173">
      <x:c r="A173" s="34" t="n">
        <x:v>169</x:v>
      </x:c>
      <x:c r="B173" s="30" t="str">
        <x:v>크로뱃</x:v>
      </x:c>
      <x:c r="C173" s="30" t="str">
        <x:v>crobat</x:v>
      </x:c>
      <x:c r="D173" s="36" t="n">
        <x:v>2</x:v>
      </x:c>
      <x:c r="E173" s="31" t="str">
        <x:v>—</x:v>
      </x:c>
      <x:c r="F173" s="31" t="str">
        <x:v>포함</x:v>
      </x:c>
      <x:c r="G173" s="31" t="str">
        <x:v>포함</x:v>
      </x:c>
      <x:c r="H173" s="31" t="str">
        <x:v>포함</x:v>
      </x:c>
      <x:c r="I173" s="31" t="str">
        <x:v>포함</x:v>
      </x:c>
      <x:c r="J173" s="31" t="str">
        <x:v>포함</x:v>
      </x:c>
      <x:c r="K173" s="31" t="str">
        <x:v>포함</x:v>
      </x:c>
      <x:c r="L173" s="31" t="str">
        <x:v>포함</x:v>
      </x:c>
      <x:c r="M173" s="31" t="str">
        <x:v>—</x:v>
      </x:c>
    </x:row>
    <x:row r="174">
      <x:c r="A174" s="34" t="n">
        <x:v>170</x:v>
      </x:c>
      <x:c r="B174" s="30" t="str">
        <x:v>초라기</x:v>
      </x:c>
      <x:c r="C174" s="30" t="str">
        <x:v>chinchou</x:v>
      </x:c>
      <x:c r="D174" s="36" t="n">
        <x:v>2</x:v>
      </x:c>
      <x:c r="E174" s="31" t="str">
        <x:v>—</x:v>
      </x:c>
      <x:c r="F174" s="31" t="str">
        <x:v>포함</x:v>
      </x:c>
      <x:c r="G174" s="31" t="str">
        <x:v>포함</x:v>
      </x:c>
      <x:c r="H174" s="31" t="str">
        <x:v>—</x:v>
      </x:c>
      <x:c r="I174" s="31" t="str">
        <x:v>—</x:v>
      </x:c>
      <x:c r="J174" s="31" t="str">
        <x:v>포함</x:v>
      </x:c>
      <x:c r="K174" s="31" t="str">
        <x:v>포함</x:v>
      </x:c>
      <x:c r="L174" s="31" t="str">
        <x:v>포함</x:v>
      </x:c>
      <x:c r="M174" s="31" t="str">
        <x:v>포함</x:v>
      </x:c>
    </x:row>
    <x:row r="175">
      <x:c r="A175" s="34" t="n">
        <x:v>171</x:v>
      </x:c>
      <x:c r="B175" s="30" t="str">
        <x:v>랜턴</x:v>
      </x:c>
      <x:c r="C175" s="30" t="str">
        <x:v>lanturn</x:v>
      </x:c>
      <x:c r="D175" s="36" t="n">
        <x:v>2</x:v>
      </x:c>
      <x:c r="E175" s="31" t="str">
        <x:v>—</x:v>
      </x:c>
      <x:c r="F175" s="31" t="str">
        <x:v>포함</x:v>
      </x:c>
      <x:c r="G175" s="31" t="str">
        <x:v>포함</x:v>
      </x:c>
      <x:c r="H175" s="31" t="str">
        <x:v>—</x:v>
      </x:c>
      <x:c r="I175" s="31" t="str">
        <x:v>—</x:v>
      </x:c>
      <x:c r="J175" s="31" t="str">
        <x:v>포함</x:v>
      </x:c>
      <x:c r="K175" s="31" t="str">
        <x:v>포함</x:v>
      </x:c>
      <x:c r="L175" s="31" t="str">
        <x:v>포함</x:v>
      </x:c>
      <x:c r="M175" s="31" t="str">
        <x:v>포함</x:v>
      </x:c>
    </x:row>
    <x:row r="176">
      <x:c r="A176" s="34" t="n">
        <x:v>172</x:v>
      </x:c>
      <x:c r="B176" s="30" t="str">
        <x:v>피츄</x:v>
      </x:c>
      <x:c r="C176" s="30" t="str">
        <x:v>pichu</x:v>
      </x:c>
      <x:c r="D176" s="36" t="n">
        <x:v>2</x:v>
      </x:c>
      <x:c r="E176" s="31" t="str">
        <x:v>—</x:v>
      </x:c>
      <x:c r="F176" s="31" t="str">
        <x:v>포함</x:v>
      </x:c>
      <x:c r="G176" s="31" t="str">
        <x:v>포함</x:v>
      </x:c>
      <x:c r="H176" s="31" t="str">
        <x:v>포함</x:v>
      </x:c>
      <x:c r="I176" s="31" t="str">
        <x:v>—</x:v>
      </x:c>
      <x:c r="J176" s="31" t="str">
        <x:v>포함</x:v>
      </x:c>
      <x:c r="K176" s="31" t="str">
        <x:v>포함</x:v>
      </x:c>
      <x:c r="L176" s="31" t="str">
        <x:v>포함</x:v>
      </x:c>
      <x:c r="M176" s="31" t="str">
        <x:v>포함</x:v>
      </x:c>
    </x:row>
    <x:row r="177">
      <x:c r="A177" s="34" t="n">
        <x:v>173</x:v>
      </x:c>
      <x:c r="B177" s="30" t="str">
        <x:v>삐</x:v>
      </x:c>
      <x:c r="C177" s="30" t="str">
        <x:v>cleffa</x:v>
      </x:c>
      <x:c r="D177" s="36" t="n">
        <x:v>2</x:v>
      </x:c>
      <x:c r="E177" s="31" t="str">
        <x:v>—</x:v>
      </x:c>
      <x:c r="F177" s="31" t="str">
        <x:v>포함</x:v>
      </x:c>
      <x:c r="G177" s="31" t="str">
        <x:v>—</x:v>
      </x:c>
      <x:c r="H177" s="31" t="str">
        <x:v>포함</x:v>
      </x:c>
      <x:c r="I177" s="31" t="str">
        <x:v>포함</x:v>
      </x:c>
      <x:c r="J177" s="31" t="str">
        <x:v>—</x:v>
      </x:c>
      <x:c r="K177" s="31" t="str">
        <x:v>포함</x:v>
      </x:c>
      <x:c r="L177" s="31" t="str">
        <x:v>포함</x:v>
      </x:c>
      <x:c r="M177" s="31" t="str">
        <x:v>포함</x:v>
      </x:c>
    </x:row>
    <x:row r="178">
      <x:c r="A178" s="34" t="n">
        <x:v>174</x:v>
      </x:c>
      <x:c r="B178" s="30" t="str">
        <x:v>푸푸린</x:v>
      </x:c>
      <x:c r="C178" s="30" t="str">
        <x:v>igglybuff</x:v>
      </x:c>
      <x:c r="D178" s="36" t="n">
        <x:v>2</x:v>
      </x:c>
      <x:c r="E178" s="31" t="str">
        <x:v>—</x:v>
      </x:c>
      <x:c r="F178" s="31" t="str">
        <x:v>포함</x:v>
      </x:c>
      <x:c r="G178" s="31" t="str">
        <x:v>포함</x:v>
      </x:c>
      <x:c r="H178" s="31" t="str">
        <x:v>—</x:v>
      </x:c>
      <x:c r="I178" s="31" t="str">
        <x:v>포함</x:v>
      </x:c>
      <x:c r="J178" s="31" t="str">
        <x:v>포함</x:v>
      </x:c>
      <x:c r="K178" s="31" t="str">
        <x:v>포함</x:v>
      </x:c>
      <x:c r="L178" s="31" t="str">
        <x:v>포함</x:v>
      </x:c>
      <x:c r="M178" s="31" t="str">
        <x:v>포함</x:v>
      </x:c>
    </x:row>
    <x:row r="179">
      <x:c r="A179" s="34" t="n">
        <x:v>175</x:v>
      </x:c>
      <x:c r="B179" s="30" t="str">
        <x:v>토게피</x:v>
      </x:c>
      <x:c r="C179" s="30" t="str">
        <x:v>togepi</x:v>
      </x:c>
      <x:c r="D179" s="36" t="n">
        <x:v>2</x:v>
      </x:c>
      <x:c r="E179" s="31" t="str">
        <x:v>—</x:v>
      </x:c>
      <x:c r="F179" s="31" t="str">
        <x:v>포함</x:v>
      </x:c>
      <x:c r="G179" s="31" t="str">
        <x:v>—</x:v>
      </x:c>
      <x:c r="H179" s="31" t="str">
        <x:v>포함</x:v>
      </x:c>
      <x:c r="I179" s="31" t="str">
        <x:v>—</x:v>
      </x:c>
      <x:c r="J179" s="31" t="str">
        <x:v>—</x:v>
      </x:c>
      <x:c r="K179" s="31" t="str">
        <x:v>—</x:v>
      </x:c>
      <x:c r="L179" s="31" t="str">
        <x:v>포함</x:v>
      </x:c>
      <x:c r="M179" s="31" t="str">
        <x:v>—</x:v>
      </x:c>
    </x:row>
    <x:row r="180">
      <x:c r="A180" s="34" t="n">
        <x:v>176</x:v>
      </x:c>
      <x:c r="B180" s="30" t="str">
        <x:v>토게틱</x:v>
      </x:c>
      <x:c r="C180" s="30" t="str">
        <x:v>togetic</x:v>
      </x:c>
      <x:c r="D180" s="36" t="n">
        <x:v>2</x:v>
      </x:c>
      <x:c r="E180" s="31" t="str">
        <x:v>—</x:v>
      </x:c>
      <x:c r="F180" s="31" t="str">
        <x:v>포함</x:v>
      </x:c>
      <x:c r="G180" s="31" t="str">
        <x:v>—</x:v>
      </x:c>
      <x:c r="H180" s="31" t="str">
        <x:v>포함</x:v>
      </x:c>
      <x:c r="I180" s="31" t="str">
        <x:v>—</x:v>
      </x:c>
      <x:c r="J180" s="31" t="str">
        <x:v>—</x:v>
      </x:c>
      <x:c r="K180" s="31" t="str">
        <x:v>—</x:v>
      </x:c>
      <x:c r="L180" s="31" t="str">
        <x:v>포함</x:v>
      </x:c>
      <x:c r="M180" s="31" t="str">
        <x:v>—</x:v>
      </x:c>
    </x:row>
    <x:row r="181">
      <x:c r="A181" s="34" t="n">
        <x:v>177</x:v>
      </x:c>
      <x:c r="B181" s="30" t="str">
        <x:v>네이티</x:v>
      </x:c>
      <x:c r="C181" s="30" t="str">
        <x:v>natu</x:v>
      </x:c>
      <x:c r="D181" s="36" t="n">
        <x:v>2</x:v>
      </x:c>
      <x:c r="E181" s="31" t="str">
        <x:v>—</x:v>
      </x:c>
      <x:c r="F181" s="31" t="str">
        <x:v>포함</x:v>
      </x:c>
      <x:c r="G181" s="31" t="str">
        <x:v>포함</x:v>
      </x:c>
      <x:c r="H181" s="31" t="str">
        <x:v>—</x:v>
      </x:c>
      <x:c r="I181" s="31" t="str">
        <x:v>—</x:v>
      </x:c>
      <x:c r="J181" s="31" t="str">
        <x:v>—</x:v>
      </x:c>
      <x:c r="K181" s="31" t="str">
        <x:v>포함</x:v>
      </x:c>
      <x:c r="L181" s="31" t="str">
        <x:v>포함</x:v>
      </x:c>
      <x:c r="M181" s="31" t="str">
        <x:v>—</x:v>
      </x:c>
    </x:row>
    <x:row r="182">
      <x:c r="A182" s="34" t="n">
        <x:v>178</x:v>
      </x:c>
      <x:c r="B182" s="30" t="str">
        <x:v>네이티오</x:v>
      </x:c>
      <x:c r="C182" s="30" t="str">
        <x:v>xatu</x:v>
      </x:c>
      <x:c r="D182" s="36" t="n">
        <x:v>2</x:v>
      </x:c>
      <x:c r="E182" s="31" t="str">
        <x:v>—</x:v>
      </x:c>
      <x:c r="F182" s="31" t="str">
        <x:v>포함</x:v>
      </x:c>
      <x:c r="G182" s="31" t="str">
        <x:v>포함</x:v>
      </x:c>
      <x:c r="H182" s="31" t="str">
        <x:v>—</x:v>
      </x:c>
      <x:c r="I182" s="31" t="str">
        <x:v>—</x:v>
      </x:c>
      <x:c r="J182" s="31" t="str">
        <x:v>—</x:v>
      </x:c>
      <x:c r="K182" s="31" t="str">
        <x:v>포함</x:v>
      </x:c>
      <x:c r="L182" s="31" t="str">
        <x:v>포함</x:v>
      </x:c>
      <x:c r="M182" s="31" t="str">
        <x:v>—</x:v>
      </x:c>
    </x:row>
    <x:row r="183">
      <x:c r="A183" s="34" t="n">
        <x:v>179</x:v>
      </x:c>
      <x:c r="B183" s="30" t="str">
        <x:v>메리프</x:v>
      </x:c>
      <x:c r="C183" s="30" t="str">
        <x:v>mareep</x:v>
      </x:c>
      <x:c r="D183" s="36" t="n">
        <x:v>2</x:v>
      </x:c>
      <x:c r="E183" s="31" t="str">
        <x:v>—</x:v>
      </x:c>
      <x:c r="F183" s="31" t="str">
        <x:v>포함</x:v>
      </x:c>
      <x:c r="G183" s="31" t="str">
        <x:v>—</x:v>
      </x:c>
      <x:c r="H183" s="31" t="str">
        <x:v>—</x:v>
      </x:c>
      <x:c r="I183" s="31" t="str">
        <x:v>포함</x:v>
      </x:c>
      <x:c r="J183" s="31" t="str">
        <x:v>포함</x:v>
      </x:c>
      <x:c r="K183" s="31" t="str">
        <x:v>포함</x:v>
      </x:c>
      <x:c r="L183" s="31" t="str">
        <x:v>—</x:v>
      </x:c>
      <x:c r="M183" s="31" t="str">
        <x:v>포함</x:v>
      </x:c>
    </x:row>
    <x:row r="184">
      <x:c r="A184" s="34" t="n">
        <x:v>180</x:v>
      </x:c>
      <x:c r="B184" s="30" t="str">
        <x:v>보송송</x:v>
      </x:c>
      <x:c r="C184" s="30" t="str">
        <x:v>flaaffy</x:v>
      </x:c>
      <x:c r="D184" s="36" t="n">
        <x:v>2</x:v>
      </x:c>
      <x:c r="E184" s="31" t="str">
        <x:v>—</x:v>
      </x:c>
      <x:c r="F184" s="31" t="str">
        <x:v>포함</x:v>
      </x:c>
      <x:c r="G184" s="31" t="str">
        <x:v>—</x:v>
      </x:c>
      <x:c r="H184" s="31" t="str">
        <x:v>—</x:v>
      </x:c>
      <x:c r="I184" s="31" t="str">
        <x:v>포함</x:v>
      </x:c>
      <x:c r="J184" s="31" t="str">
        <x:v>포함</x:v>
      </x:c>
      <x:c r="K184" s="31" t="str">
        <x:v>포함</x:v>
      </x:c>
      <x:c r="L184" s="31" t="str">
        <x:v>—</x:v>
      </x:c>
      <x:c r="M184" s="31" t="str">
        <x:v>포함</x:v>
      </x:c>
    </x:row>
    <x:row r="185">
      <x:c r="A185" s="34" t="n">
        <x:v>181</x:v>
      </x:c>
      <x:c r="B185" s="30" t="str">
        <x:v>전룡</x:v>
      </x:c>
      <x:c r="C185" s="30" t="str">
        <x:v>ampharos</x:v>
      </x:c>
      <x:c r="D185" s="36" t="n">
        <x:v>2</x:v>
      </x:c>
      <x:c r="E185" s="31" t="str">
        <x:v>—</x:v>
      </x:c>
      <x:c r="F185" s="31" t="str">
        <x:v>포함</x:v>
      </x:c>
      <x:c r="G185" s="31" t="str">
        <x:v>—</x:v>
      </x:c>
      <x:c r="H185" s="31" t="str">
        <x:v>—</x:v>
      </x:c>
      <x:c r="I185" s="31" t="str">
        <x:v>포함</x:v>
      </x:c>
      <x:c r="J185" s="31" t="str">
        <x:v>포함</x:v>
      </x:c>
      <x:c r="K185" s="31" t="str">
        <x:v>포함</x:v>
      </x:c>
      <x:c r="L185" s="31" t="str">
        <x:v>—</x:v>
      </x:c>
      <x:c r="M185" s="31" t="str">
        <x:v>포함</x:v>
      </x:c>
    </x:row>
    <x:row r="186">
      <x:c r="A186" s="34" t="n">
        <x:v>182</x:v>
      </x:c>
      <x:c r="B186" s="30" t="str">
        <x:v>아르코</x:v>
      </x:c>
      <x:c r="C186" s="30" t="str">
        <x:v>bellossom</x:v>
      </x:c>
      <x:c r="D186" s="36" t="n">
        <x:v>2</x:v>
      </x:c>
      <x:c r="E186" s="31" t="str">
        <x:v>—</x:v>
      </x:c>
      <x:c r="F186" s="31" t="str">
        <x:v>포함</x:v>
      </x:c>
      <x:c r="G186" s="31" t="str">
        <x:v>포함</x:v>
      </x:c>
      <x:c r="H186" s="31" t="str">
        <x:v>—</x:v>
      </x:c>
      <x:c r="I186" s="31" t="str">
        <x:v>—</x:v>
      </x:c>
      <x:c r="J186" s="31" t="str">
        <x:v>포함</x:v>
      </x:c>
      <x:c r="K186" s="31" t="str">
        <x:v>—</x:v>
      </x:c>
      <x:c r="L186" s="31" t="str">
        <x:v>포함</x:v>
      </x:c>
      <x:c r="M186" s="31" t="str">
        <x:v>포함</x:v>
      </x:c>
    </x:row>
    <x:row r="187">
      <x:c r="A187" s="34" t="n">
        <x:v>183</x:v>
      </x:c>
      <x:c r="B187" s="30" t="str">
        <x:v>마릴</x:v>
      </x:c>
      <x:c r="C187" s="30" t="str">
        <x:v>marill</x:v>
      </x:c>
      <x:c r="D187" s="36" t="n">
        <x:v>2</x:v>
      </x:c>
      <x:c r="E187" s="31" t="str">
        <x:v>—</x:v>
      </x:c>
      <x:c r="F187" s="31" t="str">
        <x:v>포함</x:v>
      </x:c>
      <x:c r="G187" s="31" t="str">
        <x:v>포함</x:v>
      </x:c>
      <x:c r="H187" s="31" t="str">
        <x:v>포함</x:v>
      </x:c>
      <x:c r="I187" s="31" t="str">
        <x:v>포함</x:v>
      </x:c>
      <x:c r="J187" s="31" t="str">
        <x:v>포함</x:v>
      </x:c>
      <x:c r="K187" s="31" t="str">
        <x:v>—</x:v>
      </x:c>
      <x:c r="L187" s="31" t="str">
        <x:v>포함</x:v>
      </x:c>
      <x:c r="M187" s="31" t="str">
        <x:v>포함</x:v>
      </x:c>
    </x:row>
    <x:row r="188">
      <x:c r="A188" s="34" t="n">
        <x:v>184</x:v>
      </x:c>
      <x:c r="B188" s="30" t="str">
        <x:v>마릴리</x:v>
      </x:c>
      <x:c r="C188" s="30" t="str">
        <x:v>azumarill</x:v>
      </x:c>
      <x:c r="D188" s="36" t="n">
        <x:v>2</x:v>
      </x:c>
      <x:c r="E188" s="31" t="str">
        <x:v>—</x:v>
      </x:c>
      <x:c r="F188" s="31" t="str">
        <x:v>포함</x:v>
      </x:c>
      <x:c r="G188" s="31" t="str">
        <x:v>포함</x:v>
      </x:c>
      <x:c r="H188" s="31" t="str">
        <x:v>포함</x:v>
      </x:c>
      <x:c r="I188" s="31" t="str">
        <x:v>포함</x:v>
      </x:c>
      <x:c r="J188" s="31" t="str">
        <x:v>포함</x:v>
      </x:c>
      <x:c r="K188" s="31" t="str">
        <x:v>—</x:v>
      </x:c>
      <x:c r="L188" s="31" t="str">
        <x:v>포함</x:v>
      </x:c>
      <x:c r="M188" s="31" t="str">
        <x:v>포함</x:v>
      </x:c>
    </x:row>
    <x:row r="189">
      <x:c r="A189" s="34" t="n">
        <x:v>185</x:v>
      </x:c>
      <x:c r="B189" s="30" t="str">
        <x:v>꼬지모</x:v>
      </x:c>
      <x:c r="C189" s="30" t="str">
        <x:v>sudowoodo</x:v>
      </x:c>
      <x:c r="D189" s="36" t="n">
        <x:v>2</x:v>
      </x:c>
      <x:c r="E189" s="31" t="str">
        <x:v>—</x:v>
      </x:c>
      <x:c r="F189" s="31" t="str">
        <x:v>포함</x:v>
      </x:c>
      <x:c r="G189" s="31" t="str">
        <x:v>—</x:v>
      </x:c>
      <x:c r="H189" s="31" t="str">
        <x:v>포함</x:v>
      </x:c>
      <x:c r="I189" s="31" t="str">
        <x:v>—</x:v>
      </x:c>
      <x:c r="J189" s="31" t="str">
        <x:v>포함</x:v>
      </x:c>
      <x:c r="K189" s="31" t="str">
        <x:v>포함</x:v>
      </x:c>
      <x:c r="L189" s="31" t="str">
        <x:v>포함</x:v>
      </x:c>
      <x:c r="M189" s="31" t="str">
        <x:v>포함</x:v>
      </x:c>
    </x:row>
    <x:row r="190">
      <x:c r="A190" s="34" t="n">
        <x:v>186</x:v>
      </x:c>
      <x:c r="B190" s="30" t="str">
        <x:v>왕구리</x:v>
      </x:c>
      <x:c r="C190" s="30" t="str">
        <x:v>politoed</x:v>
      </x:c>
      <x:c r="D190" s="36" t="n">
        <x:v>2</x:v>
      </x:c>
      <x:c r="E190" s="31" t="str">
        <x:v>—</x:v>
      </x:c>
      <x:c r="F190" s="31" t="str">
        <x:v>포함</x:v>
      </x:c>
      <x:c r="G190" s="31" t="str">
        <x:v>—</x:v>
      </x:c>
      <x:c r="H190" s="31" t="str">
        <x:v>—</x:v>
      </x:c>
      <x:c r="I190" s="31" t="str">
        <x:v>—</x:v>
      </x:c>
      <x:c r="J190" s="31" t="str">
        <x:v>포함</x:v>
      </x:c>
      <x:c r="K190" s="31" t="str">
        <x:v>포함</x:v>
      </x:c>
      <x:c r="L190" s="31" t="str">
        <x:v>포함</x:v>
      </x:c>
      <x:c r="M190" s="31" t="str">
        <x:v>포함</x:v>
      </x:c>
    </x:row>
    <x:row r="191">
      <x:c r="A191" s="34" t="n">
        <x:v>187</x:v>
      </x:c>
      <x:c r="B191" s="30" t="str">
        <x:v>통통코</x:v>
      </x:c>
      <x:c r="C191" s="30" t="str">
        <x:v>hoppip</x:v>
      </x:c>
      <x:c r="D191" s="36" t="n">
        <x:v>2</x:v>
      </x:c>
      <x:c r="E191" s="31" t="str">
        <x:v>—</x:v>
      </x:c>
      <x:c r="F191" s="31" t="str">
        <x:v>포함</x:v>
      </x:c>
      <x:c r="G191" s="31" t="str">
        <x:v>—</x:v>
      </x:c>
      <x:c r="H191" s="31" t="str">
        <x:v>—</x:v>
      </x:c>
      <x:c r="I191" s="31" t="str">
        <x:v>—</x:v>
      </x:c>
      <x:c r="J191" s="31" t="str">
        <x:v>포함</x:v>
      </x:c>
      <x:c r="K191" s="31" t="str">
        <x:v>—</x:v>
      </x:c>
      <x:c r="L191" s="31" t="str">
        <x:v>—</x:v>
      </x:c>
      <x:c r="M191" s="31" t="str">
        <x:v>포함</x:v>
      </x:c>
    </x:row>
    <x:row r="192">
      <x:c r="A192" s="34" t="n">
        <x:v>188</x:v>
      </x:c>
      <x:c r="B192" s="30" t="str">
        <x:v>두코</x:v>
      </x:c>
      <x:c r="C192" s="30" t="str">
        <x:v>skiploom</x:v>
      </x:c>
      <x:c r="D192" s="36" t="n">
        <x:v>2</x:v>
      </x:c>
      <x:c r="E192" s="31" t="str">
        <x:v>—</x:v>
      </x:c>
      <x:c r="F192" s="31" t="str">
        <x:v>포함</x:v>
      </x:c>
      <x:c r="G192" s="31" t="str">
        <x:v>—</x:v>
      </x:c>
      <x:c r="H192" s="31" t="str">
        <x:v>—</x:v>
      </x:c>
      <x:c r="I192" s="31" t="str">
        <x:v>—</x:v>
      </x:c>
      <x:c r="J192" s="31" t="str">
        <x:v>포함</x:v>
      </x:c>
      <x:c r="K192" s="31" t="str">
        <x:v>—</x:v>
      </x:c>
      <x:c r="L192" s="31" t="str">
        <x:v>—</x:v>
      </x:c>
      <x:c r="M192" s="31" t="str">
        <x:v>포함</x:v>
      </x:c>
    </x:row>
    <x:row r="193">
      <x:c r="A193" s="34" t="n">
        <x:v>189</x:v>
      </x:c>
      <x:c r="B193" s="30" t="str">
        <x:v>솜솜코</x:v>
      </x:c>
      <x:c r="C193" s="30" t="str">
        <x:v>jumpluff</x:v>
      </x:c>
      <x:c r="D193" s="36" t="n">
        <x:v>2</x:v>
      </x:c>
      <x:c r="E193" s="31" t="str">
        <x:v>—</x:v>
      </x:c>
      <x:c r="F193" s="31" t="str">
        <x:v>포함</x:v>
      </x:c>
      <x:c r="G193" s="31" t="str">
        <x:v>—</x:v>
      </x:c>
      <x:c r="H193" s="31" t="str">
        <x:v>—</x:v>
      </x:c>
      <x:c r="I193" s="31" t="str">
        <x:v>—</x:v>
      </x:c>
      <x:c r="J193" s="31" t="str">
        <x:v>포함</x:v>
      </x:c>
      <x:c r="K193" s="31" t="str">
        <x:v>—</x:v>
      </x:c>
      <x:c r="L193" s="31" t="str">
        <x:v>—</x:v>
      </x:c>
      <x:c r="M193" s="31" t="str">
        <x:v>포함</x:v>
      </x:c>
    </x:row>
    <x:row r="194">
      <x:c r="A194" s="34" t="n">
        <x:v>190</x:v>
      </x:c>
      <x:c r="B194" s="30" t="str">
        <x:v>에이팜</x:v>
      </x:c>
      <x:c r="C194" s="30" t="str">
        <x:v>aipom</x:v>
      </x:c>
      <x:c r="D194" s="36" t="n">
        <x:v>2</x:v>
      </x:c>
      <x:c r="E194" s="31" t="str">
        <x:v>—</x:v>
      </x:c>
      <x:c r="F194" s="31" t="str">
        <x:v>포함</x:v>
      </x:c>
      <x:c r="G194" s="31" t="str">
        <x:v>—</x:v>
      </x:c>
      <x:c r="H194" s="31" t="str">
        <x:v>포함</x:v>
      </x:c>
      <x:c r="I194" s="31" t="str">
        <x:v>—</x:v>
      </x:c>
      <x:c r="J194" s="31" t="str">
        <x:v>—</x:v>
      </x:c>
      <x:c r="K194" s="31" t="str">
        <x:v>포함</x:v>
      </x:c>
      <x:c r="L194" s="31" t="str">
        <x:v>—</x:v>
      </x:c>
      <x:c r="M194" s="31" t="str">
        <x:v>포함</x:v>
      </x:c>
    </x:row>
    <x:row r="195">
      <x:c r="A195" s="34" t="n">
        <x:v>191</x:v>
      </x:c>
      <x:c r="B195" s="30" t="str">
        <x:v>해너츠</x:v>
      </x:c>
      <x:c r="C195" s="30" t="str">
        <x:v>sunkern</x:v>
      </x:c>
      <x:c r="D195" s="36" t="n">
        <x:v>2</x:v>
      </x:c>
      <x:c r="E195" s="31" t="str">
        <x:v>—</x:v>
      </x:c>
      <x:c r="F195" s="31" t="str">
        <x:v>포함</x:v>
      </x:c>
      <x:c r="G195" s="31" t="str">
        <x:v>—</x:v>
      </x:c>
      <x:c r="H195" s="31" t="str">
        <x:v>—</x:v>
      </x:c>
      <x:c r="I195" s="31" t="str">
        <x:v>포함</x:v>
      </x:c>
      <x:c r="J195" s="31" t="str">
        <x:v>—</x:v>
      </x:c>
      <x:c r="K195" s="31" t="str">
        <x:v>—</x:v>
      </x:c>
      <x:c r="L195" s="31" t="str">
        <x:v>—</x:v>
      </x:c>
      <x:c r="M195" s="31" t="str">
        <x:v>포함</x:v>
      </x:c>
    </x:row>
    <x:row r="196">
      <x:c r="A196" s="34" t="n">
        <x:v>192</x:v>
      </x:c>
      <x:c r="B196" s="30" t="str">
        <x:v>해루미</x:v>
      </x:c>
      <x:c r="C196" s="30" t="str">
        <x:v>sunflora</x:v>
      </x:c>
      <x:c r="D196" s="36" t="n">
        <x:v>2</x:v>
      </x:c>
      <x:c r="E196" s="31" t="str">
        <x:v>—</x:v>
      </x:c>
      <x:c r="F196" s="31" t="str">
        <x:v>포함</x:v>
      </x:c>
      <x:c r="G196" s="31" t="str">
        <x:v>—</x:v>
      </x:c>
      <x:c r="H196" s="31" t="str">
        <x:v>—</x:v>
      </x:c>
      <x:c r="I196" s="31" t="str">
        <x:v>포함</x:v>
      </x:c>
      <x:c r="J196" s="31" t="str">
        <x:v>—</x:v>
      </x:c>
      <x:c r="K196" s="31" t="str">
        <x:v>—</x:v>
      </x:c>
      <x:c r="L196" s="31" t="str">
        <x:v>—</x:v>
      </x:c>
      <x:c r="M196" s="31" t="str">
        <x:v>포함</x:v>
      </x:c>
    </x:row>
    <x:row r="197">
      <x:c r="A197" s="34" t="n">
        <x:v>193</x:v>
      </x:c>
      <x:c r="B197" s="30" t="str">
        <x:v>왕자리</x:v>
      </x:c>
      <x:c r="C197" s="30" t="str">
        <x:v>yanma</x:v>
      </x:c>
      <x:c r="D197" s="36" t="n">
        <x:v>2</x:v>
      </x:c>
      <x:c r="E197" s="31" t="str">
        <x:v>—</x:v>
      </x:c>
      <x:c r="F197" s="31" t="str">
        <x:v>포함</x:v>
      </x:c>
      <x:c r="G197" s="31" t="str">
        <x:v>—</x:v>
      </x:c>
      <x:c r="H197" s="31" t="str">
        <x:v>포함</x:v>
      </x:c>
      <x:c r="I197" s="31" t="str">
        <x:v>포함</x:v>
      </x:c>
      <x:c r="J197" s="31" t="str">
        <x:v>포함</x:v>
      </x:c>
      <x:c r="K197" s="31" t="str">
        <x:v>—</x:v>
      </x:c>
      <x:c r="L197" s="31" t="str">
        <x:v>—</x:v>
      </x:c>
      <x:c r="M197" s="31" t="str">
        <x:v>포함</x:v>
      </x:c>
    </x:row>
    <x:row r="198">
      <x:c r="A198" s="34" t="n">
        <x:v>194</x:v>
      </x:c>
      <x:c r="B198" s="30" t="str">
        <x:v>우파</x:v>
      </x:c>
      <x:c r="C198" s="30" t="str">
        <x:v>wooper</x:v>
      </x:c>
      <x:c r="D198" s="36" t="n">
        <x:v>2</x:v>
      </x:c>
      <x:c r="E198" s="31" t="str">
        <x:v>—</x:v>
      </x:c>
      <x:c r="F198" s="31" t="str">
        <x:v>포함</x:v>
      </x:c>
      <x:c r="G198" s="31" t="str">
        <x:v>—</x:v>
      </x:c>
      <x:c r="H198" s="31" t="str">
        <x:v>포함</x:v>
      </x:c>
      <x:c r="I198" s="31" t="str">
        <x:v>—</x:v>
      </x:c>
      <x:c r="J198" s="31" t="str">
        <x:v>포함</x:v>
      </x:c>
      <x:c r="K198" s="31" t="str">
        <x:v>—</x:v>
      </x:c>
      <x:c r="L198" s="31" t="str">
        <x:v>포함</x:v>
      </x:c>
      <x:c r="M198" s="31" t="str">
        <x:v>포함</x:v>
      </x:c>
    </x:row>
    <x:row r="199">
      <x:c r="A199" s="34" t="n">
        <x:v>195</x:v>
      </x:c>
      <x:c r="B199" s="30" t="str">
        <x:v>누오</x:v>
      </x:c>
      <x:c r="C199" s="30" t="str">
        <x:v>quagsire</x:v>
      </x:c>
      <x:c r="D199" s="36" t="n">
        <x:v>2</x:v>
      </x:c>
      <x:c r="E199" s="31" t="str">
        <x:v>—</x:v>
      </x:c>
      <x:c r="F199" s="31" t="str">
        <x:v>포함</x:v>
      </x:c>
      <x:c r="G199" s="31" t="str">
        <x:v>—</x:v>
      </x:c>
      <x:c r="H199" s="31" t="str">
        <x:v>포함</x:v>
      </x:c>
      <x:c r="I199" s="31" t="str">
        <x:v>—</x:v>
      </x:c>
      <x:c r="J199" s="31" t="str">
        <x:v>포함</x:v>
      </x:c>
      <x:c r="K199" s="31" t="str">
        <x:v>—</x:v>
      </x:c>
      <x:c r="L199" s="31" t="str">
        <x:v>포함</x:v>
      </x:c>
      <x:c r="M199" s="31" t="str">
        <x:v>포함</x:v>
      </x:c>
    </x:row>
    <x:row r="200">
      <x:c r="A200" s="34" t="n">
        <x:v>196</x:v>
      </x:c>
      <x:c r="B200" s="30" t="str">
        <x:v>에브이</x:v>
      </x:c>
      <x:c r="C200" s="30" t="str">
        <x:v>espeon</x:v>
      </x:c>
      <x:c r="D200" s="36" t="n">
        <x:v>2</x:v>
      </x:c>
      <x:c r="E200" s="31" t="str">
        <x:v>—</x:v>
      </x:c>
      <x:c r="F200" s="31" t="str">
        <x:v>포함</x:v>
      </x:c>
      <x:c r="G200" s="31" t="str">
        <x:v>—</x:v>
      </x:c>
      <x:c r="H200" s="31" t="str">
        <x:v>포함</x:v>
      </x:c>
      <x:c r="I200" s="31" t="str">
        <x:v>포함</x:v>
      </x:c>
      <x:c r="J200" s="31" t="str">
        <x:v>포함</x:v>
      </x:c>
      <x:c r="K200" s="31" t="str">
        <x:v>포함</x:v>
      </x:c>
      <x:c r="L200" s="31" t="str">
        <x:v>포함</x:v>
      </x:c>
      <x:c r="M200" s="31" t="str">
        <x:v>포함</x:v>
      </x:c>
    </x:row>
    <x:row r="201">
      <x:c r="A201" s="34" t="n">
        <x:v>197</x:v>
      </x:c>
      <x:c r="B201" s="30" t="str">
        <x:v>블래키</x:v>
      </x:c>
      <x:c r="C201" s="30" t="str">
        <x:v>umbreon</x:v>
      </x:c>
      <x:c r="D201" s="36" t="n">
        <x:v>2</x:v>
      </x:c>
      <x:c r="E201" s="31" t="str">
        <x:v>—</x:v>
      </x:c>
      <x:c r="F201" s="31" t="str">
        <x:v>포함</x:v>
      </x:c>
      <x:c r="G201" s="31" t="str">
        <x:v>—</x:v>
      </x:c>
      <x:c r="H201" s="31" t="str">
        <x:v>포함</x:v>
      </x:c>
      <x:c r="I201" s="31" t="str">
        <x:v>포함</x:v>
      </x:c>
      <x:c r="J201" s="31" t="str">
        <x:v>포함</x:v>
      </x:c>
      <x:c r="K201" s="31" t="str">
        <x:v>포함</x:v>
      </x:c>
      <x:c r="L201" s="31" t="str">
        <x:v>포함</x:v>
      </x:c>
      <x:c r="M201" s="31" t="str">
        <x:v>포함</x:v>
      </x:c>
    </x:row>
    <x:row r="202">
      <x:c r="A202" s="34" t="n">
        <x:v>198</x:v>
      </x:c>
      <x:c r="B202" s="30" t="str">
        <x:v>니로우</x:v>
      </x:c>
      <x:c r="C202" s="30" t="str">
        <x:v>murkrow</x:v>
      </x:c>
      <x:c r="D202" s="36" t="n">
        <x:v>2</x:v>
      </x:c>
      <x:c r="E202" s="31" t="str">
        <x:v>—</x:v>
      </x:c>
      <x:c r="F202" s="31" t="str">
        <x:v>포함</x:v>
      </x:c>
      <x:c r="G202" s="31" t="str">
        <x:v>—</x:v>
      </x:c>
      <x:c r="H202" s="31" t="str">
        <x:v>포함</x:v>
      </x:c>
      <x:c r="I202" s="31" t="str">
        <x:v>—</x:v>
      </x:c>
      <x:c r="J202" s="31" t="str">
        <x:v>포함</x:v>
      </x:c>
      <x:c r="K202" s="31" t="str">
        <x:v>포함</x:v>
      </x:c>
      <x:c r="L202" s="31" t="str">
        <x:v>—</x:v>
      </x:c>
      <x:c r="M202" s="31" t="str">
        <x:v>포함</x:v>
      </x:c>
    </x:row>
    <x:row r="203">
      <x:c r="A203" s="34" t="n">
        <x:v>199</x:v>
      </x:c>
      <x:c r="B203" s="30" t="str">
        <x:v>야도킹</x:v>
      </x:c>
      <x:c r="C203" s="30" t="str">
        <x:v>slowking</x:v>
      </x:c>
      <x:c r="D203" s="36" t="n">
        <x:v>2</x:v>
      </x:c>
      <x:c r="E203" s="31" t="str">
        <x:v>—</x:v>
      </x:c>
      <x:c r="F203" s="31" t="str">
        <x:v>포함</x:v>
      </x:c>
      <x:c r="G203" s="31" t="str">
        <x:v>—</x:v>
      </x:c>
      <x:c r="H203" s="31" t="str">
        <x:v>—</x:v>
      </x:c>
      <x:c r="I203" s="31" t="str">
        <x:v>—</x:v>
      </x:c>
      <x:c r="J203" s="31" t="str">
        <x:v>포함</x:v>
      </x:c>
      <x:c r="K203" s="31" t="str">
        <x:v>포함</x:v>
      </x:c>
      <x:c r="L203" s="31" t="str">
        <x:v>포함</x:v>
      </x:c>
      <x:c r="M203" s="31" t="str">
        <x:v>포함</x:v>
      </x:c>
    </x:row>
    <x:row r="204">
      <x:c r="A204" s="34" t="n">
        <x:v>200</x:v>
      </x:c>
      <x:c r="B204" s="30" t="str">
        <x:v>무우마</x:v>
      </x:c>
      <x:c r="C204" s="30" t="str">
        <x:v>misdreavus</x:v>
      </x:c>
      <x:c r="D204" s="36" t="n">
        <x:v>2</x:v>
      </x:c>
      <x:c r="E204" s="31" t="str">
        <x:v>—</x:v>
      </x:c>
      <x:c r="F204" s="31" t="str">
        <x:v>포함</x:v>
      </x:c>
      <x:c r="G204" s="31" t="str">
        <x:v>—</x:v>
      </x:c>
      <x:c r="H204" s="31" t="str">
        <x:v>포함</x:v>
      </x:c>
      <x:c r="I204" s="31" t="str">
        <x:v>—</x:v>
      </x:c>
      <x:c r="J204" s="31" t="str">
        <x:v>—</x:v>
      </x:c>
      <x:c r="K204" s="31" t="str">
        <x:v>포함</x:v>
      </x:c>
      <x:c r="L204" s="31" t="str">
        <x:v>—</x:v>
      </x:c>
      <x:c r="M204" s="31" t="str">
        <x:v>포함</x:v>
      </x:c>
    </x:row>
    <x:row r="205">
      <x:c r="A205" s="34" t="n">
        <x:v>201</x:v>
      </x:c>
      <x:c r="B205" s="30" t="str">
        <x:v>안농</x:v>
      </x:c>
      <x:c r="C205" s="30" t="str">
        <x:v>unown</x:v>
      </x:c>
      <x:c r="D205" s="36" t="n">
        <x:v>2</x:v>
      </x:c>
      <x:c r="E205" s="31" t="str">
        <x:v>—</x:v>
      </x:c>
      <x:c r="F205" s="31" t="str">
        <x:v>포함</x:v>
      </x:c>
      <x:c r="G205" s="31" t="str">
        <x:v>—</x:v>
      </x:c>
      <x:c r="H205" s="31" t="str">
        <x:v>포함</x:v>
      </x:c>
      <x:c r="I205" s="31" t="str">
        <x:v>—</x:v>
      </x:c>
      <x:c r="J205" s="31" t="str">
        <x:v>—</x:v>
      </x:c>
      <x:c r="K205" s="31" t="str">
        <x:v>—</x:v>
      </x:c>
      <x:c r="L205" s="31" t="str">
        <x:v>—</x:v>
      </x:c>
      <x:c r="M205" s="31" t="str">
        <x:v>—</x:v>
      </x:c>
    </x:row>
    <x:row r="206">
      <x:c r="A206" s="34" t="n">
        <x:v>202</x:v>
      </x:c>
      <x:c r="B206" s="30" t="str">
        <x:v>마자용</x:v>
      </x:c>
      <x:c r="C206" s="30" t="str">
        <x:v>wobbuffet</x:v>
      </x:c>
      <x:c r="D206" s="36" t="n">
        <x:v>2</x:v>
      </x:c>
      <x:c r="E206" s="31" t="str">
        <x:v>—</x:v>
      </x:c>
      <x:c r="F206" s="31" t="str">
        <x:v>포함</x:v>
      </x:c>
      <x:c r="G206" s="31" t="str">
        <x:v>포함</x:v>
      </x:c>
      <x:c r="H206" s="31" t="str">
        <x:v>—</x:v>
      </x:c>
      <x:c r="I206" s="31" t="str">
        <x:v>—</x:v>
      </x:c>
      <x:c r="J206" s="31" t="str">
        <x:v>포함</x:v>
      </x:c>
      <x:c r="K206" s="31" t="str">
        <x:v>—</x:v>
      </x:c>
      <x:c r="L206" s="31" t="str">
        <x:v>포함</x:v>
      </x:c>
      <x:c r="M206" s="31" t="str">
        <x:v>—</x:v>
      </x:c>
    </x:row>
    <x:row r="207">
      <x:c r="A207" s="34" t="n">
        <x:v>203</x:v>
      </x:c>
      <x:c r="B207" s="30" t="str">
        <x:v>키링키</x:v>
      </x:c>
      <x:c r="C207" s="30" t="str">
        <x:v>girafarig</x:v>
      </x:c>
      <x:c r="D207" s="36" t="n">
        <x:v>2</x:v>
      </x:c>
      <x:c r="E207" s="31" t="str">
        <x:v>—</x:v>
      </x:c>
      <x:c r="F207" s="31" t="str">
        <x:v>포함</x:v>
      </x:c>
      <x:c r="G207" s="31" t="str">
        <x:v>포함</x:v>
      </x:c>
      <x:c r="H207" s="31" t="str">
        <x:v>포함</x:v>
      </x:c>
      <x:c r="I207" s="31" t="str">
        <x:v>—</x:v>
      </x:c>
      <x:c r="J207" s="31" t="str">
        <x:v>—</x:v>
      </x:c>
      <x:c r="K207" s="31" t="str">
        <x:v>—</x:v>
      </x:c>
      <x:c r="L207" s="31" t="str">
        <x:v>—</x:v>
      </x:c>
      <x:c r="M207" s="31" t="str">
        <x:v>포함</x:v>
      </x:c>
    </x:row>
    <x:row r="208">
      <x:c r="A208" s="34" t="n">
        <x:v>204</x:v>
      </x:c>
      <x:c r="B208" s="30" t="str">
        <x:v>피콘</x:v>
      </x:c>
      <x:c r="C208" s="30" t="str">
        <x:v>pineco</x:v>
      </x:c>
      <x:c r="D208" s="36" t="n">
        <x:v>2</x:v>
      </x:c>
      <x:c r="E208" s="31" t="str">
        <x:v>—</x:v>
      </x:c>
      <x:c r="F208" s="31" t="str">
        <x:v>포함</x:v>
      </x:c>
      <x:c r="G208" s="31" t="str">
        <x:v>—</x:v>
      </x:c>
      <x:c r="H208" s="31" t="str">
        <x:v>—</x:v>
      </x:c>
      <x:c r="I208" s="31" t="str">
        <x:v>—</x:v>
      </x:c>
      <x:c r="J208" s="31" t="str">
        <x:v>—</x:v>
      </x:c>
      <x:c r="K208" s="31" t="str">
        <x:v>포함</x:v>
      </x:c>
      <x:c r="L208" s="31" t="str">
        <x:v>—</x:v>
      </x:c>
      <x:c r="M208" s="31" t="str">
        <x:v>포함</x:v>
      </x:c>
    </x:row>
    <x:row r="209">
      <x:c r="A209" s="34" t="n">
        <x:v>205</x:v>
      </x:c>
      <x:c r="B209" s="30" t="str">
        <x:v>쏘콘</x:v>
      </x:c>
      <x:c r="C209" s="30" t="str">
        <x:v>forretress</x:v>
      </x:c>
      <x:c r="D209" s="36" t="n">
        <x:v>2</x:v>
      </x:c>
      <x:c r="E209" s="31" t="str">
        <x:v>—</x:v>
      </x:c>
      <x:c r="F209" s="31" t="str">
        <x:v>포함</x:v>
      </x:c>
      <x:c r="G209" s="31" t="str">
        <x:v>—</x:v>
      </x:c>
      <x:c r="H209" s="31" t="str">
        <x:v>—</x:v>
      </x:c>
      <x:c r="I209" s="31" t="str">
        <x:v>—</x:v>
      </x:c>
      <x:c r="J209" s="31" t="str">
        <x:v>—</x:v>
      </x:c>
      <x:c r="K209" s="31" t="str">
        <x:v>포함</x:v>
      </x:c>
      <x:c r="L209" s="31" t="str">
        <x:v>—</x:v>
      </x:c>
      <x:c r="M209" s="31" t="str">
        <x:v>포함</x:v>
      </x:c>
    </x:row>
    <x:row r="210">
      <x:c r="A210" s="34" t="n">
        <x:v>206</x:v>
      </x:c>
      <x:c r="B210" s="30" t="str">
        <x:v>노고치</x:v>
      </x:c>
      <x:c r="C210" s="30" t="str">
        <x:v>dunsparce</x:v>
      </x:c>
      <x:c r="D210" s="36" t="n">
        <x:v>2</x:v>
      </x:c>
      <x:c r="E210" s="31" t="str">
        <x:v>—</x:v>
      </x:c>
      <x:c r="F210" s="31" t="str">
        <x:v>포함</x:v>
      </x:c>
      <x:c r="G210" s="31" t="str">
        <x:v>—</x:v>
      </x:c>
      <x:c r="H210" s="31" t="str">
        <x:v>—</x:v>
      </x:c>
      <x:c r="I210" s="31" t="str">
        <x:v>포함</x:v>
      </x:c>
      <x:c r="J210" s="31" t="str">
        <x:v>포함</x:v>
      </x:c>
      <x:c r="K210" s="31" t="str">
        <x:v>포함</x:v>
      </x:c>
      <x:c r="L210" s="31" t="str">
        <x:v>포함</x:v>
      </x:c>
      <x:c r="M210" s="31" t="str">
        <x:v>포함</x:v>
      </x:c>
    </x:row>
    <x:row r="211">
      <x:c r="A211" s="34" t="n">
        <x:v>207</x:v>
      </x:c>
      <x:c r="B211" s="30" t="str">
        <x:v>글라이거</x:v>
      </x:c>
      <x:c r="C211" s="30" t="str">
        <x:v>gligar</x:v>
      </x:c>
      <x:c r="D211" s="36" t="n">
        <x:v>2</x:v>
      </x:c>
      <x:c r="E211" s="31" t="str">
        <x:v>—</x:v>
      </x:c>
      <x:c r="F211" s="31" t="str">
        <x:v>포함</x:v>
      </x:c>
      <x:c r="G211" s="31" t="str">
        <x:v>—</x:v>
      </x:c>
      <x:c r="H211" s="31" t="str">
        <x:v>포함</x:v>
      </x:c>
      <x:c r="I211" s="31" t="str">
        <x:v>포함</x:v>
      </x:c>
      <x:c r="J211" s="31" t="str">
        <x:v>포함</x:v>
      </x:c>
      <x:c r="K211" s="31" t="str">
        <x:v>—</x:v>
      </x:c>
      <x:c r="L211" s="31" t="str">
        <x:v>—</x:v>
      </x:c>
      <x:c r="M211" s="31" t="str">
        <x:v>포함</x:v>
      </x:c>
    </x:row>
    <x:row r="212">
      <x:c r="A212" s="34" t="n">
        <x:v>208</x:v>
      </x:c>
      <x:c r="B212" s="30" t="str">
        <x:v>강철톤</x:v>
      </x:c>
      <x:c r="C212" s="30" t="str">
        <x:v>steelix</x:v>
      </x:c>
      <x:c r="D212" s="36" t="n">
        <x:v>2</x:v>
      </x:c>
      <x:c r="E212" s="31" t="str">
        <x:v>—</x:v>
      </x:c>
      <x:c r="F212" s="31" t="str">
        <x:v>포함</x:v>
      </x:c>
      <x:c r="G212" s="31" t="str">
        <x:v>—</x:v>
      </x:c>
      <x:c r="H212" s="31" t="str">
        <x:v>포함</x:v>
      </x:c>
      <x:c r="I212" s="31" t="str">
        <x:v>포함</x:v>
      </x:c>
      <x:c r="J212" s="31" t="str">
        <x:v>포함</x:v>
      </x:c>
      <x:c r="K212" s="31" t="str">
        <x:v>—</x:v>
      </x:c>
      <x:c r="L212" s="31" t="str">
        <x:v>포함</x:v>
      </x:c>
      <x:c r="M212" s="31" t="str">
        <x:v>—</x:v>
      </x:c>
    </x:row>
    <x:row r="213">
      <x:c r="A213" s="34" t="n">
        <x:v>209</x:v>
      </x:c>
      <x:c r="B213" s="30" t="str">
        <x:v>블루</x:v>
      </x:c>
      <x:c r="C213" s="30" t="str">
        <x:v>snubbull</x:v>
      </x:c>
      <x:c r="D213" s="36" t="n">
        <x:v>2</x:v>
      </x:c>
      <x:c r="E213" s="31" t="str">
        <x:v>—</x:v>
      </x:c>
      <x:c r="F213" s="31" t="str">
        <x:v>포함</x:v>
      </x:c>
      <x:c r="G213" s="31" t="str">
        <x:v>—</x:v>
      </x:c>
      <x:c r="H213" s="31" t="str">
        <x:v>—</x:v>
      </x:c>
      <x:c r="I213" s="31" t="str">
        <x:v>—</x:v>
      </x:c>
      <x:c r="J213" s="31" t="str">
        <x:v>포함</x:v>
      </x:c>
      <x:c r="K213" s="31" t="str">
        <x:v>포함</x:v>
      </x:c>
      <x:c r="L213" s="31" t="str">
        <x:v>—</x:v>
      </x:c>
      <x:c r="M213" s="31" t="str">
        <x:v>포함</x:v>
      </x:c>
    </x:row>
    <x:row r="214">
      <x:c r="A214" s="34" t="n">
        <x:v>210</x:v>
      </x:c>
      <x:c r="B214" s="30" t="str">
        <x:v>그랑블루</x:v>
      </x:c>
      <x:c r="C214" s="30" t="str">
        <x:v>granbull</x:v>
      </x:c>
      <x:c r="D214" s="36" t="n">
        <x:v>2</x:v>
      </x:c>
      <x:c r="E214" s="31" t="str">
        <x:v>—</x:v>
      </x:c>
      <x:c r="F214" s="31" t="str">
        <x:v>포함</x:v>
      </x:c>
      <x:c r="G214" s="31" t="str">
        <x:v>—</x:v>
      </x:c>
      <x:c r="H214" s="31" t="str">
        <x:v>—</x:v>
      </x:c>
      <x:c r="I214" s="31" t="str">
        <x:v>—</x:v>
      </x:c>
      <x:c r="J214" s="31" t="str">
        <x:v>포함</x:v>
      </x:c>
      <x:c r="K214" s="31" t="str">
        <x:v>포함</x:v>
      </x:c>
      <x:c r="L214" s="31" t="str">
        <x:v>—</x:v>
      </x:c>
      <x:c r="M214" s="31" t="str">
        <x:v>포함</x:v>
      </x:c>
    </x:row>
    <x:row r="215">
      <x:c r="A215" s="34" t="n">
        <x:v>211</x:v>
      </x:c>
      <x:c r="B215" s="30" t="str">
        <x:v>침바루</x:v>
      </x:c>
      <x:c r="C215" s="30" t="str">
        <x:v>qwilfish</x:v>
      </x:c>
      <x:c r="D215" s="36" t="n">
        <x:v>2</x:v>
      </x:c>
      <x:c r="E215" s="31" t="str">
        <x:v>—</x:v>
      </x:c>
      <x:c r="F215" s="31" t="str">
        <x:v>포함</x:v>
      </x:c>
      <x:c r="G215" s="31" t="str">
        <x:v>—</x:v>
      </x:c>
      <x:c r="H215" s="31" t="str">
        <x:v>—</x:v>
      </x:c>
      <x:c r="I215" s="31" t="str">
        <x:v>—</x:v>
      </x:c>
      <x:c r="J215" s="31" t="str">
        <x:v>포함</x:v>
      </x:c>
      <x:c r="K215" s="31" t="str">
        <x:v>—</x:v>
      </x:c>
      <x:c r="L215" s="31" t="str">
        <x:v>포함</x:v>
      </x:c>
      <x:c r="M215" s="31" t="str">
        <x:v>포함</x:v>
      </x:c>
    </x:row>
    <x:row r="216">
      <x:c r="A216" s="34" t="n">
        <x:v>212</x:v>
      </x:c>
      <x:c r="B216" s="30" t="str">
        <x:v>핫삼</x:v>
      </x:c>
      <x:c r="C216" s="30" t="str">
        <x:v>scizor</x:v>
      </x:c>
      <x:c r="D216" s="36" t="n">
        <x:v>2</x:v>
      </x:c>
      <x:c r="E216" s="31" t="str">
        <x:v>—</x:v>
      </x:c>
      <x:c r="F216" s="31" t="str">
        <x:v>포함</x:v>
      </x:c>
      <x:c r="G216" s="31" t="str">
        <x:v>—</x:v>
      </x:c>
      <x:c r="H216" s="31" t="str">
        <x:v>포함</x:v>
      </x:c>
      <x:c r="I216" s="31" t="str">
        <x:v>—</x:v>
      </x:c>
      <x:c r="J216" s="31" t="str">
        <x:v>포함</x:v>
      </x:c>
      <x:c r="K216" s="31" t="str">
        <x:v>포함</x:v>
      </x:c>
      <x:c r="L216" s="31" t="str">
        <x:v>포함</x:v>
      </x:c>
      <x:c r="M216" s="31" t="str">
        <x:v>포함</x:v>
      </x:c>
    </x:row>
    <x:row r="217">
      <x:c r="A217" s="34" t="n">
        <x:v>213</x:v>
      </x:c>
      <x:c r="B217" s="30" t="str">
        <x:v>단단지</x:v>
      </x:c>
      <x:c r="C217" s="30" t="str">
        <x:v>shuckle</x:v>
      </x:c>
      <x:c r="D217" s="36" t="n">
        <x:v>2</x:v>
      </x:c>
      <x:c r="E217" s="31" t="str">
        <x:v>—</x:v>
      </x:c>
      <x:c r="F217" s="31" t="str">
        <x:v>포함</x:v>
      </x:c>
      <x:c r="G217" s="31" t="str">
        <x:v>—</x:v>
      </x:c>
      <x:c r="H217" s="31" t="str">
        <x:v>—</x:v>
      </x:c>
      <x:c r="I217" s="31" t="str">
        <x:v>포함</x:v>
      </x:c>
      <x:c r="J217" s="31" t="str">
        <x:v>포함</x:v>
      </x:c>
      <x:c r="K217" s="31" t="str">
        <x:v>—</x:v>
      </x:c>
      <x:c r="L217" s="31" t="str">
        <x:v>포함</x:v>
      </x:c>
      <x:c r="M217" s="31" t="str">
        <x:v>—</x:v>
      </x:c>
    </x:row>
    <x:row r="218">
      <x:c r="A218" s="34" t="n">
        <x:v>214</x:v>
      </x:c>
      <x:c r="B218" s="30" t="str">
        <x:v>헤라크로스</x:v>
      </x:c>
      <x:c r="C218" s="30" t="str">
        <x:v>heracross</x:v>
      </x:c>
      <x:c r="D218" s="36" t="n">
        <x:v>2</x:v>
      </x:c>
      <x:c r="E218" s="31" t="str">
        <x:v>—</x:v>
      </x:c>
      <x:c r="F218" s="31" t="str">
        <x:v>포함</x:v>
      </x:c>
      <x:c r="G218" s="31" t="str">
        <x:v>포함</x:v>
      </x:c>
      <x:c r="H218" s="31" t="str">
        <x:v>포함</x:v>
      </x:c>
      <x:c r="I218" s="31" t="str">
        <x:v>포함</x:v>
      </x:c>
      <x:c r="J218" s="31" t="str">
        <x:v>포함</x:v>
      </x:c>
      <x:c r="K218" s="31" t="str">
        <x:v>포함</x:v>
      </x:c>
      <x:c r="L218" s="31" t="str">
        <x:v>포함</x:v>
      </x:c>
      <x:c r="M218" s="31" t="str">
        <x:v>포함</x:v>
      </x:c>
    </x:row>
    <x:row r="219">
      <x:c r="A219" s="34" t="n">
        <x:v>215</x:v>
      </x:c>
      <x:c r="B219" s="30" t="str">
        <x:v>포푸니</x:v>
      </x:c>
      <x:c r="C219" s="30" t="str">
        <x:v>sneasel</x:v>
      </x:c>
      <x:c r="D219" s="36" t="n">
        <x:v>2</x:v>
      </x:c>
      <x:c r="E219" s="31" t="str">
        <x:v>—</x:v>
      </x:c>
      <x:c r="F219" s="31" t="str">
        <x:v>포함</x:v>
      </x:c>
      <x:c r="G219" s="31" t="str">
        <x:v>—</x:v>
      </x:c>
      <x:c r="H219" s="31" t="str">
        <x:v>포함</x:v>
      </x:c>
      <x:c r="I219" s="31" t="str">
        <x:v>포함</x:v>
      </x:c>
      <x:c r="J219" s="31" t="str">
        <x:v>포함</x:v>
      </x:c>
      <x:c r="K219" s="31" t="str">
        <x:v>포함</x:v>
      </x:c>
      <x:c r="L219" s="31" t="str">
        <x:v>포함</x:v>
      </x:c>
      <x:c r="M219" s="31" t="str">
        <x:v>포함</x:v>
      </x:c>
    </x:row>
    <x:row r="220">
      <x:c r="A220" s="34" t="n">
        <x:v>216</x:v>
      </x:c>
      <x:c r="B220" s="30" t="str">
        <x:v>깜지곰</x:v>
      </x:c>
      <x:c r="C220" s="30" t="str">
        <x:v>teddiursa</x:v>
      </x:c>
      <x:c r="D220" s="36" t="n">
        <x:v>2</x:v>
      </x:c>
      <x:c r="E220" s="31" t="str">
        <x:v>—</x:v>
      </x:c>
      <x:c r="F220" s="31" t="str">
        <x:v>포함</x:v>
      </x:c>
      <x:c r="G220" s="31" t="str">
        <x:v>—</x:v>
      </x:c>
      <x:c r="H220" s="31" t="str">
        <x:v>—</x:v>
      </x:c>
      <x:c r="I220" s="31" t="str">
        <x:v>—</x:v>
      </x:c>
      <x:c r="J220" s="31" t="str">
        <x:v>포함</x:v>
      </x:c>
      <x:c r="K220" s="31" t="str">
        <x:v>—</x:v>
      </x:c>
      <x:c r="L220" s="31" t="str">
        <x:v>—</x:v>
      </x:c>
      <x:c r="M220" s="31" t="str">
        <x:v>포함</x:v>
      </x:c>
    </x:row>
    <x:row r="221">
      <x:c r="A221" s="34" t="n">
        <x:v>217</x:v>
      </x:c>
      <x:c r="B221" s="30" t="str">
        <x:v>링곰</x:v>
      </x:c>
      <x:c r="C221" s="30" t="str">
        <x:v>ursaring</x:v>
      </x:c>
      <x:c r="D221" s="36" t="n">
        <x:v>2</x:v>
      </x:c>
      <x:c r="E221" s="31" t="str">
        <x:v>—</x:v>
      </x:c>
      <x:c r="F221" s="31" t="str">
        <x:v>포함</x:v>
      </x:c>
      <x:c r="G221" s="31" t="str">
        <x:v>—</x:v>
      </x:c>
      <x:c r="H221" s="31" t="str">
        <x:v>—</x:v>
      </x:c>
      <x:c r="I221" s="31" t="str">
        <x:v>—</x:v>
      </x:c>
      <x:c r="J221" s="31" t="str">
        <x:v>포함</x:v>
      </x:c>
      <x:c r="K221" s="31" t="str">
        <x:v>—</x:v>
      </x:c>
      <x:c r="L221" s="31" t="str">
        <x:v>—</x:v>
      </x:c>
      <x:c r="M221" s="31" t="str">
        <x:v>포함</x:v>
      </x:c>
    </x:row>
    <x:row r="222">
      <x:c r="A222" s="34" t="n">
        <x:v>218</x:v>
      </x:c>
      <x:c r="B222" s="30" t="str">
        <x:v>마그마그</x:v>
      </x:c>
      <x:c r="C222" s="30" t="str">
        <x:v>slugma</x:v>
      </x:c>
      <x:c r="D222" s="36" t="n">
        <x:v>2</x:v>
      </x:c>
      <x:c r="E222" s="31" t="str">
        <x:v>—</x:v>
      </x:c>
      <x:c r="F222" s="31" t="str">
        <x:v>포함</x:v>
      </x:c>
      <x:c r="G222" s="31" t="str">
        <x:v>포함</x:v>
      </x:c>
      <x:c r="H222" s="31" t="str">
        <x:v>—</x:v>
      </x:c>
      <x:c r="I222" s="31" t="str">
        <x:v>—</x:v>
      </x:c>
      <x:c r="J222" s="31" t="str">
        <x:v>포함</x:v>
      </x:c>
      <x:c r="K222" s="31" t="str">
        <x:v>—</x:v>
      </x:c>
      <x:c r="L222" s="31" t="str">
        <x:v>—</x:v>
      </x:c>
      <x:c r="M222" s="31" t="str">
        <x:v>포함</x:v>
      </x:c>
    </x:row>
    <x:row r="223">
      <x:c r="A223" s="34" t="n">
        <x:v>219</x:v>
      </x:c>
      <x:c r="B223" s="30" t="str">
        <x:v>마그카르고</x:v>
      </x:c>
      <x:c r="C223" s="30" t="str">
        <x:v>magcargo</x:v>
      </x:c>
      <x:c r="D223" s="36" t="n">
        <x:v>2</x:v>
      </x:c>
      <x:c r="E223" s="31" t="str">
        <x:v>—</x:v>
      </x:c>
      <x:c r="F223" s="31" t="str">
        <x:v>포함</x:v>
      </x:c>
      <x:c r="G223" s="31" t="str">
        <x:v>포함</x:v>
      </x:c>
      <x:c r="H223" s="31" t="str">
        <x:v>—</x:v>
      </x:c>
      <x:c r="I223" s="31" t="str">
        <x:v>—</x:v>
      </x:c>
      <x:c r="J223" s="31" t="str">
        <x:v>포함</x:v>
      </x:c>
      <x:c r="K223" s="31" t="str">
        <x:v>—</x:v>
      </x:c>
      <x:c r="L223" s="31" t="str">
        <x:v>—</x:v>
      </x:c>
      <x:c r="M223" s="31" t="str">
        <x:v>포함</x:v>
      </x:c>
    </x:row>
    <x:row r="224">
      <x:c r="A224" s="34" t="n">
        <x:v>220</x:v>
      </x:c>
      <x:c r="B224" s="30" t="str">
        <x:v>꾸꾸리</x:v>
      </x:c>
      <x:c r="C224" s="30" t="str">
        <x:v>swinub</x:v>
      </x:c>
      <x:c r="D224" s="36" t="n">
        <x:v>2</x:v>
      </x:c>
      <x:c r="E224" s="31" t="str">
        <x:v>—</x:v>
      </x:c>
      <x:c r="F224" s="31" t="str">
        <x:v>포함</x:v>
      </x:c>
      <x:c r="G224" s="31" t="str">
        <x:v>—</x:v>
      </x:c>
      <x:c r="H224" s="31" t="str">
        <x:v>포함</x:v>
      </x:c>
      <x:c r="I224" s="31" t="str">
        <x:v>포함</x:v>
      </x:c>
      <x:c r="J224" s="31" t="str">
        <x:v>포함</x:v>
      </x:c>
      <x:c r="K224" s="31" t="str">
        <x:v>—</x:v>
      </x:c>
      <x:c r="L224" s="31" t="str">
        <x:v>포함</x:v>
      </x:c>
      <x:c r="M224" s="31" t="str">
        <x:v>포함</x:v>
      </x:c>
    </x:row>
    <x:row r="225">
      <x:c r="A225" s="34" t="n">
        <x:v>221</x:v>
      </x:c>
      <x:c r="B225" s="30" t="str">
        <x:v>메꾸리</x:v>
      </x:c>
      <x:c r="C225" s="30" t="str">
        <x:v>piloswine</x:v>
      </x:c>
      <x:c r="D225" s="36" t="n">
        <x:v>2</x:v>
      </x:c>
      <x:c r="E225" s="31" t="str">
        <x:v>—</x:v>
      </x:c>
      <x:c r="F225" s="31" t="str">
        <x:v>포함</x:v>
      </x:c>
      <x:c r="G225" s="31" t="str">
        <x:v>—</x:v>
      </x:c>
      <x:c r="H225" s="31" t="str">
        <x:v>포함</x:v>
      </x:c>
      <x:c r="I225" s="31" t="str">
        <x:v>포함</x:v>
      </x:c>
      <x:c r="J225" s="31" t="str">
        <x:v>포함</x:v>
      </x:c>
      <x:c r="K225" s="31" t="str">
        <x:v>—</x:v>
      </x:c>
      <x:c r="L225" s="31" t="str">
        <x:v>포함</x:v>
      </x:c>
      <x:c r="M225" s="31" t="str">
        <x:v>포함</x:v>
      </x:c>
    </x:row>
    <x:row r="226">
      <x:c r="A226" s="34" t="n">
        <x:v>222</x:v>
      </x:c>
      <x:c r="B226" s="30" t="str">
        <x:v>코산호</x:v>
      </x:c>
      <x:c r="C226" s="30" t="str">
        <x:v>corsola</x:v>
      </x:c>
      <x:c r="D226" s="36" t="n">
        <x:v>2</x:v>
      </x:c>
      <x:c r="E226" s="31" t="str">
        <x:v>—</x:v>
      </x:c>
      <x:c r="F226" s="31" t="str">
        <x:v>포함</x:v>
      </x:c>
      <x:c r="G226" s="31" t="str">
        <x:v>포함</x:v>
      </x:c>
      <x:c r="H226" s="31" t="str">
        <x:v>—</x:v>
      </x:c>
      <x:c r="I226" s="31" t="str">
        <x:v>포함</x:v>
      </x:c>
      <x:c r="J226" s="31" t="str">
        <x:v>포함</x:v>
      </x:c>
      <x:c r="K226" s="31" t="str">
        <x:v>포함</x:v>
      </x:c>
      <x:c r="L226" s="31" t="str">
        <x:v>포함</x:v>
      </x:c>
      <x:c r="M226" s="31" t="str">
        <x:v>—</x:v>
      </x:c>
    </x:row>
    <x:row r="227">
      <x:c r="A227" s="34" t="n">
        <x:v>223</x:v>
      </x:c>
      <x:c r="B227" s="30" t="str">
        <x:v>총어</x:v>
      </x:c>
      <x:c r="C227" s="30" t="str">
        <x:v>remoraid</x:v>
      </x:c>
      <x:c r="D227" s="36" t="n">
        <x:v>2</x:v>
      </x:c>
      <x:c r="E227" s="31" t="str">
        <x:v>—</x:v>
      </x:c>
      <x:c r="F227" s="31" t="str">
        <x:v>포함</x:v>
      </x:c>
      <x:c r="G227" s="31" t="str">
        <x:v>—</x:v>
      </x:c>
      <x:c r="H227" s="31" t="str">
        <x:v>포함</x:v>
      </x:c>
      <x:c r="I227" s="31" t="str">
        <x:v>포함</x:v>
      </x:c>
      <x:c r="J227" s="31" t="str">
        <x:v>포함</x:v>
      </x:c>
      <x:c r="K227" s="31" t="str">
        <x:v>포함</x:v>
      </x:c>
      <x:c r="L227" s="31" t="str">
        <x:v>포함</x:v>
      </x:c>
      <x:c r="M227" s="31" t="str">
        <x:v>—</x:v>
      </x:c>
    </x:row>
    <x:row r="228">
      <x:c r="A228" s="34" t="n">
        <x:v>224</x:v>
      </x:c>
      <x:c r="B228" s="30" t="str">
        <x:v>대포무노</x:v>
      </x:c>
      <x:c r="C228" s="30" t="str">
        <x:v>octillery</x:v>
      </x:c>
      <x:c r="D228" s="36" t="n">
        <x:v>2</x:v>
      </x:c>
      <x:c r="E228" s="31" t="str">
        <x:v>—</x:v>
      </x:c>
      <x:c r="F228" s="31" t="str">
        <x:v>포함</x:v>
      </x:c>
      <x:c r="G228" s="31" t="str">
        <x:v>—</x:v>
      </x:c>
      <x:c r="H228" s="31" t="str">
        <x:v>포함</x:v>
      </x:c>
      <x:c r="I228" s="31" t="str">
        <x:v>포함</x:v>
      </x:c>
      <x:c r="J228" s="31" t="str">
        <x:v>포함</x:v>
      </x:c>
      <x:c r="K228" s="31" t="str">
        <x:v>포함</x:v>
      </x:c>
      <x:c r="L228" s="31" t="str">
        <x:v>포함</x:v>
      </x:c>
      <x:c r="M228" s="31" t="str">
        <x:v>—</x:v>
      </x:c>
    </x:row>
    <x:row r="229">
      <x:c r="A229" s="34" t="n">
        <x:v>225</x:v>
      </x:c>
      <x:c r="B229" s="30" t="str">
        <x:v>딜리버드</x:v>
      </x:c>
      <x:c r="C229" s="30" t="str">
        <x:v>delibird</x:v>
      </x:c>
      <x:c r="D229" s="36" t="n">
        <x:v>2</x:v>
      </x:c>
      <x:c r="E229" s="31" t="str">
        <x:v>—</x:v>
      </x:c>
      <x:c r="F229" s="31" t="str">
        <x:v>포함</x:v>
      </x:c>
      <x:c r="G229" s="31" t="str">
        <x:v>—</x:v>
      </x:c>
      <x:c r="H229" s="31" t="str">
        <x:v>—</x:v>
      </x:c>
      <x:c r="I229" s="31" t="str">
        <x:v>포함</x:v>
      </x:c>
      <x:c r="J229" s="31" t="str">
        <x:v>포함</x:v>
      </x:c>
      <x:c r="K229" s="31" t="str">
        <x:v>포함</x:v>
      </x:c>
      <x:c r="L229" s="31" t="str">
        <x:v>포함</x:v>
      </x:c>
      <x:c r="M229" s="31" t="str">
        <x:v>포함</x:v>
      </x:c>
    </x:row>
    <x:row r="230">
      <x:c r="A230" s="34" t="n">
        <x:v>226</x:v>
      </x:c>
      <x:c r="B230" s="30" t="str">
        <x:v>만타인</x:v>
      </x:c>
      <x:c r="C230" s="30" t="str">
        <x:v>mantine</x:v>
      </x:c>
      <x:c r="D230" s="36" t="n">
        <x:v>2</x:v>
      </x:c>
      <x:c r="E230" s="31" t="str">
        <x:v>—</x:v>
      </x:c>
      <x:c r="F230" s="31" t="str">
        <x:v>포함</x:v>
      </x:c>
      <x:c r="G230" s="31" t="str">
        <x:v>—</x:v>
      </x:c>
      <x:c r="H230" s="31" t="str">
        <x:v>포함</x:v>
      </x:c>
      <x:c r="I230" s="31" t="str">
        <x:v>포함</x:v>
      </x:c>
      <x:c r="J230" s="31" t="str">
        <x:v>포함</x:v>
      </x:c>
      <x:c r="K230" s="31" t="str">
        <x:v>포함</x:v>
      </x:c>
      <x:c r="L230" s="31" t="str">
        <x:v>포함</x:v>
      </x:c>
      <x:c r="M230" s="31" t="str">
        <x:v>—</x:v>
      </x:c>
    </x:row>
    <x:row r="231">
      <x:c r="A231" s="34" t="n">
        <x:v>227</x:v>
      </x:c>
      <x:c r="B231" s="30" t="str">
        <x:v>무장조</x:v>
      </x:c>
      <x:c r="C231" s="30" t="str">
        <x:v>skarmory</x:v>
      </x:c>
      <x:c r="D231" s="36" t="n">
        <x:v>2</x:v>
      </x:c>
      <x:c r="E231" s="31" t="str">
        <x:v>—</x:v>
      </x:c>
      <x:c r="F231" s="31" t="str">
        <x:v>포함</x:v>
      </x:c>
      <x:c r="G231" s="31" t="str">
        <x:v>포함</x:v>
      </x:c>
      <x:c r="H231" s="31" t="str">
        <x:v>—</x:v>
      </x:c>
      <x:c r="I231" s="31" t="str">
        <x:v>포함</x:v>
      </x:c>
      <x:c r="J231" s="31" t="str">
        <x:v>포함</x:v>
      </x:c>
      <x:c r="K231" s="31" t="str">
        <x:v>포함</x:v>
      </x:c>
      <x:c r="L231" s="31" t="str">
        <x:v>포함</x:v>
      </x:c>
      <x:c r="M231" s="31" t="str">
        <x:v>포함</x:v>
      </x:c>
    </x:row>
    <x:row r="232">
      <x:c r="A232" s="34" t="n">
        <x:v>228</x:v>
      </x:c>
      <x:c r="B232" s="30" t="str">
        <x:v>델빌</x:v>
      </x:c>
      <x:c r="C232" s="30" t="str">
        <x:v>houndour</x:v>
      </x:c>
      <x:c r="D232" s="36" t="n">
        <x:v>2</x:v>
      </x:c>
      <x:c r="E232" s="31" t="str">
        <x:v>—</x:v>
      </x:c>
      <x:c r="F232" s="31" t="str">
        <x:v>포함</x:v>
      </x:c>
      <x:c r="G232" s="31" t="str">
        <x:v>—</x:v>
      </x:c>
      <x:c r="H232" s="31" t="str">
        <x:v>포함</x:v>
      </x:c>
      <x:c r="I232" s="31" t="str">
        <x:v>—</x:v>
      </x:c>
      <x:c r="J232" s="31" t="str">
        <x:v>포함</x:v>
      </x:c>
      <x:c r="K232" s="31" t="str">
        <x:v>포함</x:v>
      </x:c>
      <x:c r="L232" s="31" t="str">
        <x:v>—</x:v>
      </x:c>
      <x:c r="M232" s="31" t="str">
        <x:v>포함</x:v>
      </x:c>
    </x:row>
    <x:row r="233">
      <x:c r="A233" s="34" t="n">
        <x:v>229</x:v>
      </x:c>
      <x:c r="B233" s="30" t="str">
        <x:v>헬가</x:v>
      </x:c>
      <x:c r="C233" s="30" t="str">
        <x:v>houndoom</x:v>
      </x:c>
      <x:c r="D233" s="36" t="n">
        <x:v>2</x:v>
      </x:c>
      <x:c r="E233" s="31" t="str">
        <x:v>—</x:v>
      </x:c>
      <x:c r="F233" s="31" t="str">
        <x:v>포함</x:v>
      </x:c>
      <x:c r="G233" s="31" t="str">
        <x:v>—</x:v>
      </x:c>
      <x:c r="H233" s="31" t="str">
        <x:v>포함</x:v>
      </x:c>
      <x:c r="I233" s="31" t="str">
        <x:v>—</x:v>
      </x:c>
      <x:c r="J233" s="31" t="str">
        <x:v>포함</x:v>
      </x:c>
      <x:c r="K233" s="31" t="str">
        <x:v>포함</x:v>
      </x:c>
      <x:c r="L233" s="31" t="str">
        <x:v>—</x:v>
      </x:c>
      <x:c r="M233" s="31" t="str">
        <x:v>포함</x:v>
      </x:c>
    </x:row>
    <x:row r="234">
      <x:c r="A234" s="34" t="n">
        <x:v>230</x:v>
      </x:c>
      <x:c r="B234" s="30" t="str">
        <x:v>킹드라</x:v>
      </x:c>
      <x:c r="C234" s="30" t="str">
        <x:v>kingdra</x:v>
      </x:c>
      <x:c r="D234" s="36" t="n">
        <x:v>2</x:v>
      </x:c>
      <x:c r="E234" s="31" t="str">
        <x:v>—</x:v>
      </x:c>
      <x:c r="F234" s="31" t="str">
        <x:v>포함</x:v>
      </x:c>
      <x:c r="G234" s="31" t="str">
        <x:v>포함</x:v>
      </x:c>
      <x:c r="H234" s="31" t="str">
        <x:v>—</x:v>
      </x:c>
      <x:c r="I234" s="31" t="str">
        <x:v>—</x:v>
      </x:c>
      <x:c r="J234" s="31" t="str">
        <x:v>포함</x:v>
      </x:c>
      <x:c r="K234" s="31" t="str">
        <x:v>—</x:v>
      </x:c>
      <x:c r="L234" s="31" t="str">
        <x:v>포함</x:v>
      </x:c>
      <x:c r="M234" s="31" t="str">
        <x:v>포함</x:v>
      </x:c>
    </x:row>
    <x:row r="235">
      <x:c r="A235" s="34" t="n">
        <x:v>231</x:v>
      </x:c>
      <x:c r="B235" s="30" t="str">
        <x:v>코코리</x:v>
      </x:c>
      <x:c r="C235" s="30" t="str">
        <x:v>phanpy</x:v>
      </x:c>
      <x:c r="D235" s="36" t="n">
        <x:v>2</x:v>
      </x:c>
      <x:c r="E235" s="31" t="str">
        <x:v>—</x:v>
      </x:c>
      <x:c r="F235" s="31" t="str">
        <x:v>포함</x:v>
      </x:c>
      <x:c r="G235" s="31" t="str">
        <x:v>포함</x:v>
      </x:c>
      <x:c r="H235" s="31" t="str">
        <x:v>—</x:v>
      </x:c>
      <x:c r="I235" s="31" t="str">
        <x:v>—</x:v>
      </x:c>
      <x:c r="J235" s="31" t="str">
        <x:v>—</x:v>
      </x:c>
      <x:c r="K235" s="31" t="str">
        <x:v>—</x:v>
      </x:c>
      <x:c r="L235" s="31" t="str">
        <x:v>—</x:v>
      </x:c>
      <x:c r="M235" s="31" t="str">
        <x:v>포함</x:v>
      </x:c>
    </x:row>
    <x:row r="236">
      <x:c r="A236" s="34" t="n">
        <x:v>232</x:v>
      </x:c>
      <x:c r="B236" s="30" t="str">
        <x:v>코리갑</x:v>
      </x:c>
      <x:c r="C236" s="30" t="str">
        <x:v>donphan</x:v>
      </x:c>
      <x:c r="D236" s="36" t="n">
        <x:v>2</x:v>
      </x:c>
      <x:c r="E236" s="31" t="str">
        <x:v>—</x:v>
      </x:c>
      <x:c r="F236" s="31" t="str">
        <x:v>포함</x:v>
      </x:c>
      <x:c r="G236" s="31" t="str">
        <x:v>포함</x:v>
      </x:c>
      <x:c r="H236" s="31" t="str">
        <x:v>—</x:v>
      </x:c>
      <x:c r="I236" s="31" t="str">
        <x:v>—</x:v>
      </x:c>
      <x:c r="J236" s="31" t="str">
        <x:v>—</x:v>
      </x:c>
      <x:c r="K236" s="31" t="str">
        <x:v>—</x:v>
      </x:c>
      <x:c r="L236" s="31" t="str">
        <x:v>—</x:v>
      </x:c>
      <x:c r="M236" s="31" t="str">
        <x:v>포함</x:v>
      </x:c>
    </x:row>
    <x:row r="237">
      <x:c r="A237" s="34" t="n">
        <x:v>233</x:v>
      </x:c>
      <x:c r="B237" s="30" t="str">
        <x:v>폴리곤2</x:v>
      </x:c>
      <x:c r="C237" s="30" t="str">
        <x:v>porygon2</x:v>
      </x:c>
      <x:c r="D237" s="36" t="n">
        <x:v>2</x:v>
      </x:c>
      <x:c r="E237" s="31" t="str">
        <x:v>—</x:v>
      </x:c>
      <x:c r="F237" s="31" t="str">
        <x:v>포함</x:v>
      </x:c>
      <x:c r="G237" s="31" t="str">
        <x:v>—</x:v>
      </x:c>
      <x:c r="H237" s="31" t="str">
        <x:v>포함</x:v>
      </x:c>
      <x:c r="I237" s="31" t="str">
        <x:v>—</x:v>
      </x:c>
      <x:c r="J237" s="31" t="str">
        <x:v>—</x:v>
      </x:c>
      <x:c r="K237" s="31" t="str">
        <x:v>포함</x:v>
      </x:c>
      <x:c r="L237" s="31" t="str">
        <x:v>포함</x:v>
      </x:c>
      <x:c r="M237" s="31" t="str">
        <x:v>포함</x:v>
      </x:c>
    </x:row>
    <x:row r="238">
      <x:c r="A238" s="34" t="n">
        <x:v>234</x:v>
      </x:c>
      <x:c r="B238" s="30" t="str">
        <x:v>노라키</x:v>
      </x:c>
      <x:c r="C238" s="30" t="str">
        <x:v>stantler</x:v>
      </x:c>
      <x:c r="D238" s="36" t="n">
        <x:v>2</x:v>
      </x:c>
      <x:c r="E238" s="31" t="str">
        <x:v>—</x:v>
      </x:c>
      <x:c r="F238" s="31" t="str">
        <x:v>포함</x:v>
      </x:c>
      <x:c r="G238" s="31" t="str">
        <x:v>—</x:v>
      </x:c>
      <x:c r="H238" s="31" t="str">
        <x:v>—</x:v>
      </x:c>
      <x:c r="I238" s="31" t="str">
        <x:v>—</x:v>
      </x:c>
      <x:c r="J238" s="31" t="str">
        <x:v>—</x:v>
      </x:c>
      <x:c r="K238" s="31" t="str">
        <x:v>—</x:v>
      </x:c>
      <x:c r="L238" s="31" t="str">
        <x:v>—</x:v>
      </x:c>
      <x:c r="M238" s="31" t="str">
        <x:v>포함</x:v>
      </x:c>
    </x:row>
    <x:row r="239">
      <x:c r="A239" s="34" t="n">
        <x:v>235</x:v>
      </x:c>
      <x:c r="B239" s="30" t="str">
        <x:v>루브도</x:v>
      </x:c>
      <x:c r="C239" s="30" t="str">
        <x:v>smeargle</x:v>
      </x:c>
      <x:c r="D239" s="36" t="n">
        <x:v>2</x:v>
      </x:c>
      <x:c r="E239" s="31" t="str">
        <x:v>—</x:v>
      </x:c>
      <x:c r="F239" s="31" t="str">
        <x:v>포함</x:v>
      </x:c>
      <x:c r="G239" s="31" t="str">
        <x:v>—</x:v>
      </x:c>
      <x:c r="H239" s="31" t="str">
        <x:v>—</x:v>
      </x:c>
      <x:c r="I239" s="31" t="str">
        <x:v>—</x:v>
      </x:c>
      <x:c r="J239" s="31" t="str">
        <x:v>포함</x:v>
      </x:c>
      <x:c r="K239" s="31" t="str">
        <x:v>포함</x:v>
      </x:c>
      <x:c r="L239" s="31" t="str">
        <x:v>—</x:v>
      </x:c>
      <x:c r="M239" s="31" t="str">
        <x:v>포함</x:v>
      </x:c>
    </x:row>
    <x:row r="240">
      <x:c r="A240" s="34" t="n">
        <x:v>236</x:v>
      </x:c>
      <x:c r="B240" s="30" t="str">
        <x:v>배루키</x:v>
      </x:c>
      <x:c r="C240" s="30" t="str">
        <x:v>tyrogue</x:v>
      </x:c>
      <x:c r="D240" s="36" t="n">
        <x:v>2</x:v>
      </x:c>
      <x:c r="E240" s="31" t="str">
        <x:v>—</x:v>
      </x:c>
      <x:c r="F240" s="31" t="str">
        <x:v>포함</x:v>
      </x:c>
      <x:c r="G240" s="31" t="str">
        <x:v>—</x:v>
      </x:c>
      <x:c r="H240" s="31" t="str">
        <x:v>—</x:v>
      </x:c>
      <x:c r="I240" s="31" t="str">
        <x:v>—</x:v>
      </x:c>
      <x:c r="J240" s="31" t="str">
        <x:v>—</x:v>
      </x:c>
      <x:c r="K240" s="31" t="str">
        <x:v>—</x:v>
      </x:c>
      <x:c r="L240" s="31" t="str">
        <x:v>포함</x:v>
      </x:c>
      <x:c r="M240" s="31" t="str">
        <x:v>포함</x:v>
      </x:c>
    </x:row>
    <x:row r="241">
      <x:c r="A241" s="34" t="n">
        <x:v>237</x:v>
      </x:c>
      <x:c r="B241" s="30" t="str">
        <x:v>카포에라</x:v>
      </x:c>
      <x:c r="C241" s="30" t="str">
        <x:v>hitmontop</x:v>
      </x:c>
      <x:c r="D241" s="36" t="n">
        <x:v>2</x:v>
      </x:c>
      <x:c r="E241" s="31" t="str">
        <x:v>—</x:v>
      </x:c>
      <x:c r="F241" s="31" t="str">
        <x:v>포함</x:v>
      </x:c>
      <x:c r="G241" s="31" t="str">
        <x:v>—</x:v>
      </x:c>
      <x:c r="H241" s="31" t="str">
        <x:v>—</x:v>
      </x:c>
      <x:c r="I241" s="31" t="str">
        <x:v>—</x:v>
      </x:c>
      <x:c r="J241" s="31" t="str">
        <x:v>—</x:v>
      </x:c>
      <x:c r="K241" s="31" t="str">
        <x:v>—</x:v>
      </x:c>
      <x:c r="L241" s="31" t="str">
        <x:v>포함</x:v>
      </x:c>
      <x:c r="M241" s="31" t="str">
        <x:v>포함</x:v>
      </x:c>
    </x:row>
    <x:row r="242">
      <x:c r="A242" s="34" t="n">
        <x:v>238</x:v>
      </x:c>
      <x:c r="B242" s="30" t="str">
        <x:v>뽀뽀라</x:v>
      </x:c>
      <x:c r="C242" s="30" t="str">
        <x:v>smoochum</x:v>
      </x:c>
      <x:c r="D242" s="36" t="n">
        <x:v>2</x:v>
      </x:c>
      <x:c r="E242" s="31" t="str">
        <x:v>—</x:v>
      </x:c>
      <x:c r="F242" s="31" t="str">
        <x:v>포함</x:v>
      </x:c>
      <x:c r="G242" s="31" t="str">
        <x:v>—</x:v>
      </x:c>
      <x:c r="H242" s="31" t="str">
        <x:v>—</x:v>
      </x:c>
      <x:c r="I242" s="31" t="str">
        <x:v>—</x:v>
      </x:c>
      <x:c r="J242" s="31" t="str">
        <x:v>포함</x:v>
      </x:c>
      <x:c r="K242" s="31" t="str">
        <x:v>포함</x:v>
      </x:c>
      <x:c r="L242" s="31" t="str">
        <x:v>포함</x:v>
      </x:c>
      <x:c r="M242" s="31" t="str">
        <x:v>—</x:v>
      </x:c>
    </x:row>
    <x:row r="243">
      <x:c r="A243" s="34" t="n">
        <x:v>239</x:v>
      </x:c>
      <x:c r="B243" s="30" t="str">
        <x:v>에레키드</x:v>
      </x:c>
      <x:c r="C243" s="30" t="str">
        <x:v>elekid</x:v>
      </x:c>
      <x:c r="D243" s="36" t="n">
        <x:v>2</x:v>
      </x:c>
      <x:c r="E243" s="31" t="str">
        <x:v>—</x:v>
      </x:c>
      <x:c r="F243" s="31" t="str">
        <x:v>포함</x:v>
      </x:c>
      <x:c r="G243" s="31" t="str">
        <x:v>—</x:v>
      </x:c>
      <x:c r="H243" s="31" t="str">
        <x:v>포함</x:v>
      </x:c>
      <x:c r="I243" s="31" t="str">
        <x:v>포함</x:v>
      </x:c>
      <x:c r="J243" s="31" t="str">
        <x:v>—</x:v>
      </x:c>
      <x:c r="K243" s="31" t="str">
        <x:v>포함</x:v>
      </x:c>
      <x:c r="L243" s="31" t="str">
        <x:v>포함</x:v>
      </x:c>
      <x:c r="M243" s="31" t="str">
        <x:v>포함</x:v>
      </x:c>
    </x:row>
    <x:row r="244">
      <x:c r="A244" s="34" t="n">
        <x:v>240</x:v>
      </x:c>
      <x:c r="B244" s="30" t="str">
        <x:v>마그비</x:v>
      </x:c>
      <x:c r="C244" s="30" t="str">
        <x:v>magby</x:v>
      </x:c>
      <x:c r="D244" s="36" t="n">
        <x:v>2</x:v>
      </x:c>
      <x:c r="E244" s="31" t="str">
        <x:v>—</x:v>
      </x:c>
      <x:c r="F244" s="31" t="str">
        <x:v>포함</x:v>
      </x:c>
      <x:c r="G244" s="31" t="str">
        <x:v>—</x:v>
      </x:c>
      <x:c r="H244" s="31" t="str">
        <x:v>포함</x:v>
      </x:c>
      <x:c r="I244" s="31" t="str">
        <x:v>포함</x:v>
      </x:c>
      <x:c r="J244" s="31" t="str">
        <x:v>—</x:v>
      </x:c>
      <x:c r="K244" s="31" t="str">
        <x:v>포함</x:v>
      </x:c>
      <x:c r="L244" s="31" t="str">
        <x:v>포함</x:v>
      </x:c>
      <x:c r="M244" s="31" t="str">
        <x:v>포함</x:v>
      </x:c>
    </x:row>
    <x:row r="245">
      <x:c r="A245" s="34" t="n">
        <x:v>241</x:v>
      </x:c>
      <x:c r="B245" s="30" t="str">
        <x:v>밀탱크</x:v>
      </x:c>
      <x:c r="C245" s="30" t="str">
        <x:v>miltank</x:v>
      </x:c>
      <x:c r="D245" s="36" t="n">
        <x:v>2</x:v>
      </x:c>
      <x:c r="E245" s="31" t="str">
        <x:v>—</x:v>
      </x:c>
      <x:c r="F245" s="31" t="str">
        <x:v>포함</x:v>
      </x:c>
      <x:c r="G245" s="31" t="str">
        <x:v>—</x:v>
      </x:c>
      <x:c r="H245" s="31" t="str">
        <x:v>—</x:v>
      </x:c>
      <x:c r="I245" s="31" t="str">
        <x:v>—</x:v>
      </x:c>
      <x:c r="J245" s="31" t="str">
        <x:v>포함</x:v>
      </x:c>
      <x:c r="K245" s="31" t="str">
        <x:v>포함</x:v>
      </x:c>
      <x:c r="L245" s="31" t="str">
        <x:v>포함</x:v>
      </x:c>
      <x:c r="M245" s="31" t="str">
        <x:v>—</x:v>
      </x:c>
    </x:row>
    <x:row r="246">
      <x:c r="A246" s="34" t="n">
        <x:v>242</x:v>
      </x:c>
      <x:c r="B246" s="30" t="str">
        <x:v>해피너스</x:v>
      </x:c>
      <x:c r="C246" s="30" t="str">
        <x:v>blissey</x:v>
      </x:c>
      <x:c r="D246" s="36" t="n">
        <x:v>2</x:v>
      </x:c>
      <x:c r="E246" s="31" t="str">
        <x:v>—</x:v>
      </x:c>
      <x:c r="F246" s="31" t="str">
        <x:v>포함</x:v>
      </x:c>
      <x:c r="G246" s="31" t="str">
        <x:v>—</x:v>
      </x:c>
      <x:c r="H246" s="31" t="str">
        <x:v>포함</x:v>
      </x:c>
      <x:c r="I246" s="31" t="str">
        <x:v>—</x:v>
      </x:c>
      <x:c r="J246" s="31" t="str">
        <x:v>—</x:v>
      </x:c>
      <x:c r="K246" s="31" t="str">
        <x:v>포함</x:v>
      </x:c>
      <x:c r="L246" s="31" t="str">
        <x:v>포함</x:v>
      </x:c>
      <x:c r="M246" s="31" t="str">
        <x:v>포함</x:v>
      </x:c>
    </x:row>
    <x:row r="247">
      <x:c r="A247" s="34" t="n">
        <x:v>243</x:v>
      </x:c>
      <x:c r="B247" s="30" t="str">
        <x:v>라이코</x:v>
      </x:c>
      <x:c r="C247" s="30" t="str">
        <x:v>raikou</x:v>
      </x:c>
      <x:c r="D247" s="36" t="n">
        <x:v>2</x:v>
      </x:c>
      <x:c r="E247" s="31" t="str">
        <x:v>—</x:v>
      </x:c>
      <x:c r="F247" s="31" t="str">
        <x:v>포함</x:v>
      </x:c>
      <x:c r="G247" s="31" t="str">
        <x:v>—</x:v>
      </x:c>
      <x:c r="H247" s="31" t="str">
        <x:v>—</x:v>
      </x:c>
      <x:c r="I247" s="31" t="str">
        <x:v>—</x:v>
      </x:c>
      <x:c r="J247" s="31" t="str">
        <x:v>—</x:v>
      </x:c>
      <x:c r="K247" s="31" t="str">
        <x:v>—</x:v>
      </x:c>
      <x:c r="L247" s="31" t="str">
        <x:v>—</x:v>
      </x:c>
      <x:c r="M247" s="31" t="str">
        <x:v>—</x:v>
      </x:c>
    </x:row>
    <x:row r="248">
      <x:c r="A248" s="34" t="n">
        <x:v>244</x:v>
      </x:c>
      <x:c r="B248" s="30" t="str">
        <x:v>앤테이</x:v>
      </x:c>
      <x:c r="C248" s="30" t="str">
        <x:v>entei</x:v>
      </x:c>
      <x:c r="D248" s="36" t="n">
        <x:v>2</x:v>
      </x:c>
      <x:c r="E248" s="31" t="str">
        <x:v>—</x:v>
      </x:c>
      <x:c r="F248" s="31" t="str">
        <x:v>포함</x:v>
      </x:c>
      <x:c r="G248" s="31" t="str">
        <x:v>—</x:v>
      </x:c>
      <x:c r="H248" s="31" t="str">
        <x:v>—</x:v>
      </x:c>
      <x:c r="I248" s="31" t="str">
        <x:v>—</x:v>
      </x:c>
      <x:c r="J248" s="31" t="str">
        <x:v>—</x:v>
      </x:c>
      <x:c r="K248" s="31" t="str">
        <x:v>—</x:v>
      </x:c>
      <x:c r="L248" s="31" t="str">
        <x:v>—</x:v>
      </x:c>
      <x:c r="M248" s="31" t="str">
        <x:v>—</x:v>
      </x:c>
    </x:row>
    <x:row r="249">
      <x:c r="A249" s="34" t="n">
        <x:v>245</x:v>
      </x:c>
      <x:c r="B249" s="30" t="str">
        <x:v>스이쿤</x:v>
      </x:c>
      <x:c r="C249" s="30" t="str">
        <x:v>suicune</x:v>
      </x:c>
      <x:c r="D249" s="36" t="n">
        <x:v>2</x:v>
      </x:c>
      <x:c r="E249" s="31" t="str">
        <x:v>—</x:v>
      </x:c>
      <x:c r="F249" s="31" t="str">
        <x:v>포함</x:v>
      </x:c>
      <x:c r="G249" s="31" t="str">
        <x:v>—</x:v>
      </x:c>
      <x:c r="H249" s="31" t="str">
        <x:v>—</x:v>
      </x:c>
      <x:c r="I249" s="31" t="str">
        <x:v>—</x:v>
      </x:c>
      <x:c r="J249" s="31" t="str">
        <x:v>—</x:v>
      </x:c>
      <x:c r="K249" s="31" t="str">
        <x:v>—</x:v>
      </x:c>
      <x:c r="L249" s="31" t="str">
        <x:v>—</x:v>
      </x:c>
      <x:c r="M249" s="31" t="str">
        <x:v>—</x:v>
      </x:c>
    </x:row>
    <x:row r="250">
      <x:c r="A250" s="34" t="n">
        <x:v>246</x:v>
      </x:c>
      <x:c r="B250" s="30" t="str">
        <x:v>애버라스</x:v>
      </x:c>
      <x:c r="C250" s="30" t="str">
        <x:v>larvitar</x:v>
      </x:c>
      <x:c r="D250" s="36" t="n">
        <x:v>2</x:v>
      </x:c>
      <x:c r="E250" s="31" t="str">
        <x:v>—</x:v>
      </x:c>
      <x:c r="F250" s="31" t="str">
        <x:v>포함</x:v>
      </x:c>
      <x:c r="G250" s="31" t="str">
        <x:v>—</x:v>
      </x:c>
      <x:c r="H250" s="31" t="str">
        <x:v>—</x:v>
      </x:c>
      <x:c r="I250" s="31" t="str">
        <x:v>포함</x:v>
      </x:c>
      <x:c r="J250" s="31" t="str">
        <x:v>포함</x:v>
      </x:c>
      <x:c r="K250" s="31" t="str">
        <x:v>포함</x:v>
      </x:c>
      <x:c r="L250" s="31" t="str">
        <x:v>포함</x:v>
      </x:c>
      <x:c r="M250" s="31" t="str">
        <x:v>포함</x:v>
      </x:c>
    </x:row>
    <x:row r="251">
      <x:c r="A251" s="34" t="n">
        <x:v>247</x:v>
      </x:c>
      <x:c r="B251" s="30" t="str">
        <x:v>데기라스</x:v>
      </x:c>
      <x:c r="C251" s="30" t="str">
        <x:v>pupitar</x:v>
      </x:c>
      <x:c r="D251" s="36" t="n">
        <x:v>2</x:v>
      </x:c>
      <x:c r="E251" s="31" t="str">
        <x:v>—</x:v>
      </x:c>
      <x:c r="F251" s="31" t="str">
        <x:v>포함</x:v>
      </x:c>
      <x:c r="G251" s="31" t="str">
        <x:v>—</x:v>
      </x:c>
      <x:c r="H251" s="31" t="str">
        <x:v>—</x:v>
      </x:c>
      <x:c r="I251" s="31" t="str">
        <x:v>포함</x:v>
      </x:c>
      <x:c r="J251" s="31" t="str">
        <x:v>포함</x:v>
      </x:c>
      <x:c r="K251" s="31" t="str">
        <x:v>포함</x:v>
      </x:c>
      <x:c r="L251" s="31" t="str">
        <x:v>포함</x:v>
      </x:c>
      <x:c r="M251" s="31" t="str">
        <x:v>포함</x:v>
      </x:c>
    </x:row>
    <x:row r="252">
      <x:c r="A252" s="34" t="n">
        <x:v>248</x:v>
      </x:c>
      <x:c r="B252" s="30" t="str">
        <x:v>마기라스</x:v>
      </x:c>
      <x:c r="C252" s="30" t="str">
        <x:v>tyranitar</x:v>
      </x:c>
      <x:c r="D252" s="36" t="n">
        <x:v>2</x:v>
      </x:c>
      <x:c r="E252" s="31" t="str">
        <x:v>—</x:v>
      </x:c>
      <x:c r="F252" s="31" t="str">
        <x:v>포함</x:v>
      </x:c>
      <x:c r="G252" s="31" t="str">
        <x:v>—</x:v>
      </x:c>
      <x:c r="H252" s="31" t="str">
        <x:v>—</x:v>
      </x:c>
      <x:c r="I252" s="31" t="str">
        <x:v>포함</x:v>
      </x:c>
      <x:c r="J252" s="31" t="str">
        <x:v>포함</x:v>
      </x:c>
      <x:c r="K252" s="31" t="str">
        <x:v>포함</x:v>
      </x:c>
      <x:c r="L252" s="31" t="str">
        <x:v>포함</x:v>
      </x:c>
      <x:c r="M252" s="31" t="str">
        <x:v>포함</x:v>
      </x:c>
    </x:row>
    <x:row r="253">
      <x:c r="A253" s="34" t="n">
        <x:v>249</x:v>
      </x:c>
      <x:c r="B253" s="30" t="str">
        <x:v>루기아</x:v>
      </x:c>
      <x:c r="C253" s="30" t="str">
        <x:v>lugia</x:v>
      </x:c>
      <x:c r="D253" s="36" t="n">
        <x:v>2</x:v>
      </x:c>
      <x:c r="E253" s="31" t="str">
        <x:v>—</x:v>
      </x:c>
      <x:c r="F253" s="31" t="str">
        <x:v>포함</x:v>
      </x:c>
      <x:c r="G253" s="31" t="str">
        <x:v>—</x:v>
      </x:c>
      <x:c r="H253" s="31" t="str">
        <x:v>—</x:v>
      </x:c>
      <x:c r="I253" s="31" t="str">
        <x:v>—</x:v>
      </x:c>
      <x:c r="J253" s="31" t="str">
        <x:v>—</x:v>
      </x:c>
      <x:c r="K253" s="31" t="str">
        <x:v>—</x:v>
      </x:c>
      <x:c r="L253" s="31" t="str">
        <x:v>—</x:v>
      </x:c>
      <x:c r="M253" s="31" t="str">
        <x:v>—</x:v>
      </x:c>
    </x:row>
    <x:row r="254">
      <x:c r="A254" s="34" t="n">
        <x:v>250</x:v>
      </x:c>
      <x:c r="B254" s="30" t="str">
        <x:v>칠색조</x:v>
      </x:c>
      <x:c r="C254" s="30" t="str">
        <x:v>hooh</x:v>
      </x:c>
      <x:c r="D254" s="36" t="n">
        <x:v>2</x:v>
      </x:c>
      <x:c r="E254" s="31" t="str">
        <x:v>—</x:v>
      </x:c>
      <x:c r="F254" s="31" t="str">
        <x:v>포함</x:v>
      </x:c>
      <x:c r="G254" s="31" t="str">
        <x:v>—</x:v>
      </x:c>
      <x:c r="H254" s="31" t="str">
        <x:v>—</x:v>
      </x:c>
      <x:c r="I254" s="31" t="str">
        <x:v>—</x:v>
      </x:c>
      <x:c r="J254" s="31" t="str">
        <x:v>—</x:v>
      </x:c>
      <x:c r="K254" s="31" t="str">
        <x:v>—</x:v>
      </x:c>
      <x:c r="L254" s="31" t="str">
        <x:v>—</x:v>
      </x:c>
      <x:c r="M254" s="31" t="str">
        <x:v>—</x:v>
      </x:c>
    </x:row>
    <x:row r="255">
      <x:c r="A255" s="34" t="n">
        <x:v>251</x:v>
      </x:c>
      <x:c r="B255" s="30" t="str">
        <x:v>세레비</x:v>
      </x:c>
      <x:c r="C255" s="30" t="str">
        <x:v>celebi</x:v>
      </x:c>
      <x:c r="D255" s="36" t="n">
        <x:v>2</x:v>
      </x:c>
      <x:c r="E255" s="31" t="str">
        <x:v>—</x:v>
      </x:c>
      <x:c r="F255" s="31" t="str">
        <x:v>포함</x:v>
      </x:c>
      <x:c r="G255" s="31" t="str">
        <x:v>—</x:v>
      </x:c>
      <x:c r="H255" s="31" t="str">
        <x:v>—</x:v>
      </x:c>
      <x:c r="I255" s="31" t="str">
        <x:v>—</x:v>
      </x:c>
      <x:c r="J255" s="31" t="str">
        <x:v>—</x:v>
      </x:c>
      <x:c r="K255" s="31" t="str">
        <x:v>—</x:v>
      </x:c>
      <x:c r="L255" s="31" t="str">
        <x:v>—</x:v>
      </x:c>
      <x:c r="M255" s="31" t="str">
        <x:v>—</x:v>
      </x:c>
    </x:row>
    <x:row r="256">
      <x:c r="A256" s="34" t="n">
        <x:v>252</x:v>
      </x:c>
      <x:c r="B256" s="30" t="str">
        <x:v>나무지기</x:v>
      </x:c>
      <x:c r="C256" s="30" t="str">
        <x:v>treecko</x:v>
      </x:c>
      <x:c r="D256" s="36" t="n">
        <x:v>3</x:v>
      </x:c>
      <x:c r="E256" s="31" t="str">
        <x:v>—</x:v>
      </x:c>
      <x:c r="F256" s="31" t="str">
        <x:v>—</x:v>
      </x:c>
      <x:c r="G256" s="31" t="str">
        <x:v>포함</x:v>
      </x:c>
      <x:c r="H256" s="31" t="str">
        <x:v>—</x:v>
      </x:c>
      <x:c r="I256" s="31" t="str">
        <x:v>—</x:v>
      </x:c>
      <x:c r="J256" s="31" t="str">
        <x:v>—</x:v>
      </x:c>
      <x:c r="K256" s="31" t="str">
        <x:v>—</x:v>
      </x:c>
      <x:c r="L256" s="31" t="str">
        <x:v>—</x:v>
      </x:c>
      <x:c r="M256" s="31" t="str">
        <x:v>포함</x:v>
      </x:c>
    </x:row>
    <x:row r="257">
      <x:c r="A257" s="34" t="n">
        <x:v>253</x:v>
      </x:c>
      <x:c r="B257" s="30" t="str">
        <x:v>나무돌이</x:v>
      </x:c>
      <x:c r="C257" s="30" t="str">
        <x:v>grovyle</x:v>
      </x:c>
      <x:c r="D257" s="36" t="n">
        <x:v>3</x:v>
      </x:c>
      <x:c r="E257" s="31" t="str">
        <x:v>—</x:v>
      </x:c>
      <x:c r="F257" s="31" t="str">
        <x:v>—</x:v>
      </x:c>
      <x:c r="G257" s="31" t="str">
        <x:v>포함</x:v>
      </x:c>
      <x:c r="H257" s="31" t="str">
        <x:v>—</x:v>
      </x:c>
      <x:c r="I257" s="31" t="str">
        <x:v>—</x:v>
      </x:c>
      <x:c r="J257" s="31" t="str">
        <x:v>—</x:v>
      </x:c>
      <x:c r="K257" s="31" t="str">
        <x:v>—</x:v>
      </x:c>
      <x:c r="L257" s="31" t="str">
        <x:v>—</x:v>
      </x:c>
      <x:c r="M257" s="31" t="str">
        <x:v>포함</x:v>
      </x:c>
    </x:row>
    <x:row r="258">
      <x:c r="A258" s="34" t="n">
        <x:v>254</x:v>
      </x:c>
      <x:c r="B258" s="30" t="str">
        <x:v>나무킹</x:v>
      </x:c>
      <x:c r="C258" s="30" t="str">
        <x:v>sceptile</x:v>
      </x:c>
      <x:c r="D258" s="36" t="n">
        <x:v>3</x:v>
      </x:c>
      <x:c r="E258" s="31" t="str">
        <x:v>—</x:v>
      </x:c>
      <x:c r="F258" s="31" t="str">
        <x:v>—</x:v>
      </x:c>
      <x:c r="G258" s="31" t="str">
        <x:v>포함</x:v>
      </x:c>
      <x:c r="H258" s="31" t="str">
        <x:v>—</x:v>
      </x:c>
      <x:c r="I258" s="31" t="str">
        <x:v>—</x:v>
      </x:c>
      <x:c r="J258" s="31" t="str">
        <x:v>—</x:v>
      </x:c>
      <x:c r="K258" s="31" t="str">
        <x:v>—</x:v>
      </x:c>
      <x:c r="L258" s="31" t="str">
        <x:v>—</x:v>
      </x:c>
      <x:c r="M258" s="31" t="str">
        <x:v>포함</x:v>
      </x:c>
    </x:row>
    <x:row r="259">
      <x:c r="A259" s="34" t="n">
        <x:v>255</x:v>
      </x:c>
      <x:c r="B259" s="30" t="str">
        <x:v>아차모</x:v>
      </x:c>
      <x:c r="C259" s="30" t="str">
        <x:v>torchic</x:v>
      </x:c>
      <x:c r="D259" s="36" t="n">
        <x:v>3</x:v>
      </x:c>
      <x:c r="E259" s="31" t="str">
        <x:v>—</x:v>
      </x:c>
      <x:c r="F259" s="31" t="str">
        <x:v>—</x:v>
      </x:c>
      <x:c r="G259" s="31" t="str">
        <x:v>포함</x:v>
      </x:c>
      <x:c r="H259" s="31" t="str">
        <x:v>—</x:v>
      </x:c>
      <x:c r="I259" s="31" t="str">
        <x:v>—</x:v>
      </x:c>
      <x:c r="J259" s="31" t="str">
        <x:v>—</x:v>
      </x:c>
      <x:c r="K259" s="31" t="str">
        <x:v>—</x:v>
      </x:c>
      <x:c r="L259" s="31" t="str">
        <x:v>—</x:v>
      </x:c>
      <x:c r="M259" s="31" t="str">
        <x:v>포함</x:v>
      </x:c>
    </x:row>
    <x:row r="260">
      <x:c r="A260" s="34" t="n">
        <x:v>256</x:v>
      </x:c>
      <x:c r="B260" s="30" t="str">
        <x:v>영치코</x:v>
      </x:c>
      <x:c r="C260" s="30" t="str">
        <x:v>combusken</x:v>
      </x:c>
      <x:c r="D260" s="36" t="n">
        <x:v>3</x:v>
      </x:c>
      <x:c r="E260" s="31" t="str">
        <x:v>—</x:v>
      </x:c>
      <x:c r="F260" s="31" t="str">
        <x:v>—</x:v>
      </x:c>
      <x:c r="G260" s="31" t="str">
        <x:v>포함</x:v>
      </x:c>
      <x:c r="H260" s="31" t="str">
        <x:v>—</x:v>
      </x:c>
      <x:c r="I260" s="31" t="str">
        <x:v>—</x:v>
      </x:c>
      <x:c r="J260" s="31" t="str">
        <x:v>—</x:v>
      </x:c>
      <x:c r="K260" s="31" t="str">
        <x:v>—</x:v>
      </x:c>
      <x:c r="L260" s="31" t="str">
        <x:v>—</x:v>
      </x:c>
      <x:c r="M260" s="31" t="str">
        <x:v>포함</x:v>
      </x:c>
    </x:row>
    <x:row r="261">
      <x:c r="A261" s="34" t="n">
        <x:v>257</x:v>
      </x:c>
      <x:c r="B261" s="30" t="str">
        <x:v>번치코</x:v>
      </x:c>
      <x:c r="C261" s="30" t="str">
        <x:v>blaziken</x:v>
      </x:c>
      <x:c r="D261" s="36" t="n">
        <x:v>3</x:v>
      </x:c>
      <x:c r="E261" s="31" t="str">
        <x:v>—</x:v>
      </x:c>
      <x:c r="F261" s="31" t="str">
        <x:v>—</x:v>
      </x:c>
      <x:c r="G261" s="31" t="str">
        <x:v>포함</x:v>
      </x:c>
      <x:c r="H261" s="31" t="str">
        <x:v>—</x:v>
      </x:c>
      <x:c r="I261" s="31" t="str">
        <x:v>—</x:v>
      </x:c>
      <x:c r="J261" s="31" t="str">
        <x:v>—</x:v>
      </x:c>
      <x:c r="K261" s="31" t="str">
        <x:v>—</x:v>
      </x:c>
      <x:c r="L261" s="31" t="str">
        <x:v>—</x:v>
      </x:c>
      <x:c r="M261" s="31" t="str">
        <x:v>포함</x:v>
      </x:c>
    </x:row>
    <x:row r="262">
      <x:c r="A262" s="34" t="n">
        <x:v>258</x:v>
      </x:c>
      <x:c r="B262" s="30" t="str">
        <x:v>물짱이</x:v>
      </x:c>
      <x:c r="C262" s="30" t="str">
        <x:v>mudkip</x:v>
      </x:c>
      <x:c r="D262" s="36" t="n">
        <x:v>3</x:v>
      </x:c>
      <x:c r="E262" s="31" t="str">
        <x:v>—</x:v>
      </x:c>
      <x:c r="F262" s="31" t="str">
        <x:v>—</x:v>
      </x:c>
      <x:c r="G262" s="31" t="str">
        <x:v>포함</x:v>
      </x:c>
      <x:c r="H262" s="31" t="str">
        <x:v>—</x:v>
      </x:c>
      <x:c r="I262" s="31" t="str">
        <x:v>—</x:v>
      </x:c>
      <x:c r="J262" s="31" t="str">
        <x:v>—</x:v>
      </x:c>
      <x:c r="K262" s="31" t="str">
        <x:v>—</x:v>
      </x:c>
      <x:c r="L262" s="31" t="str">
        <x:v>—</x:v>
      </x:c>
      <x:c r="M262" s="31" t="str">
        <x:v>포함</x:v>
      </x:c>
    </x:row>
    <x:row r="263">
      <x:c r="A263" s="34" t="n">
        <x:v>259</x:v>
      </x:c>
      <x:c r="B263" s="30" t="str">
        <x:v>늪짱이</x:v>
      </x:c>
      <x:c r="C263" s="30" t="str">
        <x:v>marshtomp</x:v>
      </x:c>
      <x:c r="D263" s="36" t="n">
        <x:v>3</x:v>
      </x:c>
      <x:c r="E263" s="31" t="str">
        <x:v>—</x:v>
      </x:c>
      <x:c r="F263" s="31" t="str">
        <x:v>—</x:v>
      </x:c>
      <x:c r="G263" s="31" t="str">
        <x:v>포함</x:v>
      </x:c>
      <x:c r="H263" s="31" t="str">
        <x:v>—</x:v>
      </x:c>
      <x:c r="I263" s="31" t="str">
        <x:v>—</x:v>
      </x:c>
      <x:c r="J263" s="31" t="str">
        <x:v>—</x:v>
      </x:c>
      <x:c r="K263" s="31" t="str">
        <x:v>—</x:v>
      </x:c>
      <x:c r="L263" s="31" t="str">
        <x:v>—</x:v>
      </x:c>
      <x:c r="M263" s="31" t="str">
        <x:v>포함</x:v>
      </x:c>
    </x:row>
    <x:row r="264">
      <x:c r="A264" s="34" t="n">
        <x:v>260</x:v>
      </x:c>
      <x:c r="B264" s="30" t="str">
        <x:v>대짱이</x:v>
      </x:c>
      <x:c r="C264" s="30" t="str">
        <x:v>swampert</x:v>
      </x:c>
      <x:c r="D264" s="36" t="n">
        <x:v>3</x:v>
      </x:c>
      <x:c r="E264" s="31" t="str">
        <x:v>—</x:v>
      </x:c>
      <x:c r="F264" s="31" t="str">
        <x:v>—</x:v>
      </x:c>
      <x:c r="G264" s="31" t="str">
        <x:v>포함</x:v>
      </x:c>
      <x:c r="H264" s="31" t="str">
        <x:v>—</x:v>
      </x:c>
      <x:c r="I264" s="31" t="str">
        <x:v>—</x:v>
      </x:c>
      <x:c r="J264" s="31" t="str">
        <x:v>—</x:v>
      </x:c>
      <x:c r="K264" s="31" t="str">
        <x:v>—</x:v>
      </x:c>
      <x:c r="L264" s="31" t="str">
        <x:v>—</x:v>
      </x:c>
      <x:c r="M264" s="31" t="str">
        <x:v>포함</x:v>
      </x:c>
    </x:row>
    <x:row r="265">
      <x:c r="A265" s="34" t="n">
        <x:v>261</x:v>
      </x:c>
      <x:c r="B265" s="30" t="str">
        <x:v>포챠나</x:v>
      </x:c>
      <x:c r="C265" s="30" t="str">
        <x:v>poochyena</x:v>
      </x:c>
      <x:c r="D265" s="36" t="n">
        <x:v>3</x:v>
      </x:c>
      <x:c r="E265" s="31" t="str">
        <x:v>—</x:v>
      </x:c>
      <x:c r="F265" s="31" t="str">
        <x:v>—</x:v>
      </x:c>
      <x:c r="G265" s="31" t="str">
        <x:v>포함</x:v>
      </x:c>
      <x:c r="H265" s="31" t="str">
        <x:v>—</x:v>
      </x:c>
      <x:c r="I265" s="31" t="str">
        <x:v>—</x:v>
      </x:c>
      <x:c r="J265" s="31" t="str">
        <x:v>포함</x:v>
      </x:c>
      <x:c r="K265" s="31" t="str">
        <x:v>—</x:v>
      </x:c>
      <x:c r="L265" s="31" t="str">
        <x:v>—</x:v>
      </x:c>
      <x:c r="M265" s="31" t="str">
        <x:v>포함</x:v>
      </x:c>
    </x:row>
    <x:row r="266">
      <x:c r="A266" s="34" t="n">
        <x:v>262</x:v>
      </x:c>
      <x:c r="B266" s="30" t="str">
        <x:v>그라에나</x:v>
      </x:c>
      <x:c r="C266" s="30" t="str">
        <x:v>mightyena</x:v>
      </x:c>
      <x:c r="D266" s="36" t="n">
        <x:v>3</x:v>
      </x:c>
      <x:c r="E266" s="31" t="str">
        <x:v>—</x:v>
      </x:c>
      <x:c r="F266" s="31" t="str">
        <x:v>—</x:v>
      </x:c>
      <x:c r="G266" s="31" t="str">
        <x:v>포함</x:v>
      </x:c>
      <x:c r="H266" s="31" t="str">
        <x:v>—</x:v>
      </x:c>
      <x:c r="I266" s="31" t="str">
        <x:v>—</x:v>
      </x:c>
      <x:c r="J266" s="31" t="str">
        <x:v>포함</x:v>
      </x:c>
      <x:c r="K266" s="31" t="str">
        <x:v>—</x:v>
      </x:c>
      <x:c r="L266" s="31" t="str">
        <x:v>—</x:v>
      </x:c>
      <x:c r="M266" s="31" t="str">
        <x:v>포함</x:v>
      </x:c>
    </x:row>
    <x:row r="267">
      <x:c r="A267" s="34" t="n">
        <x:v>263</x:v>
      </x:c>
      <x:c r="B267" s="30" t="str">
        <x:v>지그제구리</x:v>
      </x:c>
      <x:c r="C267" s="30" t="str">
        <x:v>zigzagoon</x:v>
      </x:c>
      <x:c r="D267" s="36" t="n">
        <x:v>3</x:v>
      </x:c>
      <x:c r="E267" s="31" t="str">
        <x:v>—</x:v>
      </x:c>
      <x:c r="F267" s="31" t="str">
        <x:v>—</x:v>
      </x:c>
      <x:c r="G267" s="31" t="str">
        <x:v>포함</x:v>
      </x:c>
      <x:c r="H267" s="31" t="str">
        <x:v>—</x:v>
      </x:c>
      <x:c r="I267" s="31" t="str">
        <x:v>—</x:v>
      </x:c>
      <x:c r="J267" s="31" t="str">
        <x:v>포함</x:v>
      </x:c>
      <x:c r="K267" s="31" t="str">
        <x:v>—</x:v>
      </x:c>
      <x:c r="L267" s="31" t="str">
        <x:v>포함</x:v>
      </x:c>
      <x:c r="M267" s="31" t="str">
        <x:v>—</x:v>
      </x:c>
    </x:row>
    <x:row r="268">
      <x:c r="A268" s="34" t="n">
        <x:v>264</x:v>
      </x:c>
      <x:c r="B268" s="30" t="str">
        <x:v>직구리</x:v>
      </x:c>
      <x:c r="C268" s="30" t="str">
        <x:v>linoone</x:v>
      </x:c>
      <x:c r="D268" s="36" t="n">
        <x:v>3</x:v>
      </x:c>
      <x:c r="E268" s="31" t="str">
        <x:v>—</x:v>
      </x:c>
      <x:c r="F268" s="31" t="str">
        <x:v>—</x:v>
      </x:c>
      <x:c r="G268" s="31" t="str">
        <x:v>포함</x:v>
      </x:c>
      <x:c r="H268" s="31" t="str">
        <x:v>—</x:v>
      </x:c>
      <x:c r="I268" s="31" t="str">
        <x:v>—</x:v>
      </x:c>
      <x:c r="J268" s="31" t="str">
        <x:v>포함</x:v>
      </x:c>
      <x:c r="K268" s="31" t="str">
        <x:v>—</x:v>
      </x:c>
      <x:c r="L268" s="31" t="str">
        <x:v>포함</x:v>
      </x:c>
      <x:c r="M268" s="31" t="str">
        <x:v>—</x:v>
      </x:c>
    </x:row>
    <x:row r="269">
      <x:c r="A269" s="34" t="n">
        <x:v>265</x:v>
      </x:c>
      <x:c r="B269" s="30" t="str">
        <x:v>개무소</x:v>
      </x:c>
      <x:c r="C269" s="30" t="str">
        <x:v>wurmple</x:v>
      </x:c>
      <x:c r="D269" s="36" t="n">
        <x:v>3</x:v>
      </x:c>
      <x:c r="E269" s="31" t="str">
        <x:v>—</x:v>
      </x:c>
      <x:c r="F269" s="31" t="str">
        <x:v>—</x:v>
      </x:c>
      <x:c r="G269" s="31" t="str">
        <x:v>포함</x:v>
      </x:c>
      <x:c r="H269" s="31" t="str">
        <x:v>포함</x:v>
      </x:c>
      <x:c r="I269" s="31" t="str">
        <x:v>—</x:v>
      </x:c>
      <x:c r="J269" s="31" t="str">
        <x:v>—</x:v>
      </x:c>
      <x:c r="K269" s="31" t="str">
        <x:v>—</x:v>
      </x:c>
      <x:c r="L269" s="31" t="str">
        <x:v>—</x:v>
      </x:c>
      <x:c r="M269" s="31" t="str">
        <x:v>—</x:v>
      </x:c>
    </x:row>
    <x:row r="270">
      <x:c r="A270" s="34" t="n">
        <x:v>266</x:v>
      </x:c>
      <x:c r="B270" s="30" t="str">
        <x:v>실쿤</x:v>
      </x:c>
      <x:c r="C270" s="30" t="str">
        <x:v>silcoon</x:v>
      </x:c>
      <x:c r="D270" s="36" t="n">
        <x:v>3</x:v>
      </x:c>
      <x:c r="E270" s="31" t="str">
        <x:v>—</x:v>
      </x:c>
      <x:c r="F270" s="31" t="str">
        <x:v>—</x:v>
      </x:c>
      <x:c r="G270" s="31" t="str">
        <x:v>포함</x:v>
      </x:c>
      <x:c r="H270" s="31" t="str">
        <x:v>포함</x:v>
      </x:c>
      <x:c r="I270" s="31" t="str">
        <x:v>—</x:v>
      </x:c>
      <x:c r="J270" s="31" t="str">
        <x:v>—</x:v>
      </x:c>
      <x:c r="K270" s="31" t="str">
        <x:v>—</x:v>
      </x:c>
      <x:c r="L270" s="31" t="str">
        <x:v>—</x:v>
      </x:c>
      <x:c r="M270" s="31" t="str">
        <x:v>—</x:v>
      </x:c>
    </x:row>
    <x:row r="271">
      <x:c r="A271" s="34" t="n">
        <x:v>267</x:v>
      </x:c>
      <x:c r="B271" s="30" t="str">
        <x:v>뷰티플라이</x:v>
      </x:c>
      <x:c r="C271" s="30" t="str">
        <x:v>beautifly</x:v>
      </x:c>
      <x:c r="D271" s="36" t="n">
        <x:v>3</x:v>
      </x:c>
      <x:c r="E271" s="31" t="str">
        <x:v>—</x:v>
      </x:c>
      <x:c r="F271" s="31" t="str">
        <x:v>—</x:v>
      </x:c>
      <x:c r="G271" s="31" t="str">
        <x:v>포함</x:v>
      </x:c>
      <x:c r="H271" s="31" t="str">
        <x:v>포함</x:v>
      </x:c>
      <x:c r="I271" s="31" t="str">
        <x:v>—</x:v>
      </x:c>
      <x:c r="J271" s="31" t="str">
        <x:v>—</x:v>
      </x:c>
      <x:c r="K271" s="31" t="str">
        <x:v>—</x:v>
      </x:c>
      <x:c r="L271" s="31" t="str">
        <x:v>—</x:v>
      </x:c>
      <x:c r="M271" s="31" t="str">
        <x:v>—</x:v>
      </x:c>
    </x:row>
    <x:row r="272">
      <x:c r="A272" s="34" t="n">
        <x:v>268</x:v>
      </x:c>
      <x:c r="B272" s="30" t="str">
        <x:v>카스쿤</x:v>
      </x:c>
      <x:c r="C272" s="30" t="str">
        <x:v>cascoon</x:v>
      </x:c>
      <x:c r="D272" s="36" t="n">
        <x:v>3</x:v>
      </x:c>
      <x:c r="E272" s="31" t="str">
        <x:v>—</x:v>
      </x:c>
      <x:c r="F272" s="31" t="str">
        <x:v>—</x:v>
      </x:c>
      <x:c r="G272" s="31" t="str">
        <x:v>포함</x:v>
      </x:c>
      <x:c r="H272" s="31" t="str">
        <x:v>포함</x:v>
      </x:c>
      <x:c r="I272" s="31" t="str">
        <x:v>—</x:v>
      </x:c>
      <x:c r="J272" s="31" t="str">
        <x:v>—</x:v>
      </x:c>
      <x:c r="K272" s="31" t="str">
        <x:v>—</x:v>
      </x:c>
      <x:c r="L272" s="31" t="str">
        <x:v>—</x:v>
      </x:c>
      <x:c r="M272" s="31" t="str">
        <x:v>—</x:v>
      </x:c>
    </x:row>
    <x:row r="273">
      <x:c r="A273" s="34" t="n">
        <x:v>269</x:v>
      </x:c>
      <x:c r="B273" s="30" t="str">
        <x:v>독케일</x:v>
      </x:c>
      <x:c r="C273" s="30" t="str">
        <x:v>dustox</x:v>
      </x:c>
      <x:c r="D273" s="36" t="n">
        <x:v>3</x:v>
      </x:c>
      <x:c r="E273" s="31" t="str">
        <x:v>—</x:v>
      </x:c>
      <x:c r="F273" s="31" t="str">
        <x:v>—</x:v>
      </x:c>
      <x:c r="G273" s="31" t="str">
        <x:v>포함</x:v>
      </x:c>
      <x:c r="H273" s="31" t="str">
        <x:v>포함</x:v>
      </x:c>
      <x:c r="I273" s="31" t="str">
        <x:v>—</x:v>
      </x:c>
      <x:c r="J273" s="31" t="str">
        <x:v>—</x:v>
      </x:c>
      <x:c r="K273" s="31" t="str">
        <x:v>—</x:v>
      </x:c>
      <x:c r="L273" s="31" t="str">
        <x:v>—</x:v>
      </x:c>
      <x:c r="M273" s="31" t="str">
        <x:v>—</x:v>
      </x:c>
    </x:row>
    <x:row r="274">
      <x:c r="A274" s="34" t="n">
        <x:v>270</x:v>
      </x:c>
      <x:c r="B274" s="30" t="str">
        <x:v>연꽃몬</x:v>
      </x:c>
      <x:c r="C274" s="30" t="str">
        <x:v>lotad</x:v>
      </x:c>
      <x:c r="D274" s="36" t="n">
        <x:v>3</x:v>
      </x:c>
      <x:c r="E274" s="31" t="str">
        <x:v>—</x:v>
      </x:c>
      <x:c r="F274" s="31" t="str">
        <x:v>—</x:v>
      </x:c>
      <x:c r="G274" s="31" t="str">
        <x:v>포함</x:v>
      </x:c>
      <x:c r="H274" s="31" t="str">
        <x:v>—</x:v>
      </x:c>
      <x:c r="I274" s="31" t="str">
        <x:v>—</x:v>
      </x:c>
      <x:c r="J274" s="31" t="str">
        <x:v>포함</x:v>
      </x:c>
      <x:c r="K274" s="31" t="str">
        <x:v>—</x:v>
      </x:c>
      <x:c r="L274" s="31" t="str">
        <x:v>포함</x:v>
      </x:c>
      <x:c r="M274" s="31" t="str">
        <x:v>포함</x:v>
      </x:c>
    </x:row>
    <x:row r="275">
      <x:c r="A275" s="34" t="n">
        <x:v>271</x:v>
      </x:c>
      <x:c r="B275" s="30" t="str">
        <x:v>로토스</x:v>
      </x:c>
      <x:c r="C275" s="30" t="str">
        <x:v>lombre</x:v>
      </x:c>
      <x:c r="D275" s="36" t="n">
        <x:v>3</x:v>
      </x:c>
      <x:c r="E275" s="31" t="str">
        <x:v>—</x:v>
      </x:c>
      <x:c r="F275" s="31" t="str">
        <x:v>—</x:v>
      </x:c>
      <x:c r="G275" s="31" t="str">
        <x:v>포함</x:v>
      </x:c>
      <x:c r="H275" s="31" t="str">
        <x:v>—</x:v>
      </x:c>
      <x:c r="I275" s="31" t="str">
        <x:v>—</x:v>
      </x:c>
      <x:c r="J275" s="31" t="str">
        <x:v>포함</x:v>
      </x:c>
      <x:c r="K275" s="31" t="str">
        <x:v>—</x:v>
      </x:c>
      <x:c r="L275" s="31" t="str">
        <x:v>포함</x:v>
      </x:c>
      <x:c r="M275" s="31" t="str">
        <x:v>포함</x:v>
      </x:c>
    </x:row>
    <x:row r="276">
      <x:c r="A276" s="34" t="n">
        <x:v>272</x:v>
      </x:c>
      <x:c r="B276" s="30" t="str">
        <x:v>로파파</x:v>
      </x:c>
      <x:c r="C276" s="30" t="str">
        <x:v>ludicolo</x:v>
      </x:c>
      <x:c r="D276" s="36" t="n">
        <x:v>3</x:v>
      </x:c>
      <x:c r="E276" s="31" t="str">
        <x:v>—</x:v>
      </x:c>
      <x:c r="F276" s="31" t="str">
        <x:v>—</x:v>
      </x:c>
      <x:c r="G276" s="31" t="str">
        <x:v>포함</x:v>
      </x:c>
      <x:c r="H276" s="31" t="str">
        <x:v>—</x:v>
      </x:c>
      <x:c r="I276" s="31" t="str">
        <x:v>—</x:v>
      </x:c>
      <x:c r="J276" s="31" t="str">
        <x:v>포함</x:v>
      </x:c>
      <x:c r="K276" s="31" t="str">
        <x:v>—</x:v>
      </x:c>
      <x:c r="L276" s="31" t="str">
        <x:v>포함</x:v>
      </x:c>
      <x:c r="M276" s="31" t="str">
        <x:v>포함</x:v>
      </x:c>
    </x:row>
    <x:row r="277">
      <x:c r="A277" s="34" t="n">
        <x:v>273</x:v>
      </x:c>
      <x:c r="B277" s="30" t="str">
        <x:v>도토링</x:v>
      </x:c>
      <x:c r="C277" s="30" t="str">
        <x:v>seedot</x:v>
      </x:c>
      <x:c r="D277" s="36" t="n">
        <x:v>3</x:v>
      </x:c>
      <x:c r="E277" s="31" t="str">
        <x:v>—</x:v>
      </x:c>
      <x:c r="F277" s="31" t="str">
        <x:v>—</x:v>
      </x:c>
      <x:c r="G277" s="31" t="str">
        <x:v>포함</x:v>
      </x:c>
      <x:c r="H277" s="31" t="str">
        <x:v>—</x:v>
      </x:c>
      <x:c r="I277" s="31" t="str">
        <x:v>—</x:v>
      </x:c>
      <x:c r="J277" s="31" t="str">
        <x:v>—</x:v>
      </x:c>
      <x:c r="K277" s="31" t="str">
        <x:v>—</x:v>
      </x:c>
      <x:c r="L277" s="31" t="str">
        <x:v>포함</x:v>
      </x:c>
      <x:c r="M277" s="31" t="str">
        <x:v>포함</x:v>
      </x:c>
    </x:row>
    <x:row r="278">
      <x:c r="A278" s="34" t="n">
        <x:v>274</x:v>
      </x:c>
      <x:c r="B278" s="30" t="str">
        <x:v>잎새코</x:v>
      </x:c>
      <x:c r="C278" s="30" t="str">
        <x:v>nuzleaf</x:v>
      </x:c>
      <x:c r="D278" s="36" t="n">
        <x:v>3</x:v>
      </x:c>
      <x:c r="E278" s="31" t="str">
        <x:v>—</x:v>
      </x:c>
      <x:c r="F278" s="31" t="str">
        <x:v>—</x:v>
      </x:c>
      <x:c r="G278" s="31" t="str">
        <x:v>포함</x:v>
      </x:c>
      <x:c r="H278" s="31" t="str">
        <x:v>—</x:v>
      </x:c>
      <x:c r="I278" s="31" t="str">
        <x:v>—</x:v>
      </x:c>
      <x:c r="J278" s="31" t="str">
        <x:v>—</x:v>
      </x:c>
      <x:c r="K278" s="31" t="str">
        <x:v>—</x:v>
      </x:c>
      <x:c r="L278" s="31" t="str">
        <x:v>포함</x:v>
      </x:c>
      <x:c r="M278" s="31" t="str">
        <x:v>포함</x:v>
      </x:c>
    </x:row>
    <x:row r="279">
      <x:c r="A279" s="34" t="n">
        <x:v>275</x:v>
      </x:c>
      <x:c r="B279" s="30" t="str">
        <x:v>다탱구</x:v>
      </x:c>
      <x:c r="C279" s="30" t="str">
        <x:v>shiftry</x:v>
      </x:c>
      <x:c r="D279" s="36" t="n">
        <x:v>3</x:v>
      </x:c>
      <x:c r="E279" s="31" t="str">
        <x:v>—</x:v>
      </x:c>
      <x:c r="F279" s="31" t="str">
        <x:v>—</x:v>
      </x:c>
      <x:c r="G279" s="31" t="str">
        <x:v>포함</x:v>
      </x:c>
      <x:c r="H279" s="31" t="str">
        <x:v>—</x:v>
      </x:c>
      <x:c r="I279" s="31" t="str">
        <x:v>—</x:v>
      </x:c>
      <x:c r="J279" s="31" t="str">
        <x:v>—</x:v>
      </x:c>
      <x:c r="K279" s="31" t="str">
        <x:v>—</x:v>
      </x:c>
      <x:c r="L279" s="31" t="str">
        <x:v>포함</x:v>
      </x:c>
      <x:c r="M279" s="31" t="str">
        <x:v>포함</x:v>
      </x:c>
    </x:row>
    <x:row r="280">
      <x:c r="A280" s="34" t="n">
        <x:v>276</x:v>
      </x:c>
      <x:c r="B280" s="30" t="str">
        <x:v>테일로</x:v>
      </x:c>
      <x:c r="C280" s="30" t="str">
        <x:v>taillow</x:v>
      </x:c>
      <x:c r="D280" s="36" t="n">
        <x:v>3</x:v>
      </x:c>
      <x:c r="E280" s="31" t="str">
        <x:v>—</x:v>
      </x:c>
      <x:c r="F280" s="31" t="str">
        <x:v>—</x:v>
      </x:c>
      <x:c r="G280" s="31" t="str">
        <x:v>포함</x:v>
      </x:c>
      <x:c r="H280" s="31" t="str">
        <x:v>—</x:v>
      </x:c>
      <x:c r="I280" s="31" t="str">
        <x:v>—</x:v>
      </x:c>
      <x:c r="J280" s="31" t="str">
        <x:v>포함</x:v>
      </x:c>
      <x:c r="K280" s="31" t="str">
        <x:v>—</x:v>
      </x:c>
      <x:c r="L280" s="31" t="str">
        <x:v>—</x:v>
      </x:c>
      <x:c r="M280" s="31" t="str">
        <x:v>—</x:v>
      </x:c>
    </x:row>
    <x:row r="281">
      <x:c r="A281" s="34" t="n">
        <x:v>277</x:v>
      </x:c>
      <x:c r="B281" s="30" t="str">
        <x:v>스왈로</x:v>
      </x:c>
      <x:c r="C281" s="30" t="str">
        <x:v>swellow</x:v>
      </x:c>
      <x:c r="D281" s="36" t="n">
        <x:v>3</x:v>
      </x:c>
      <x:c r="E281" s="31" t="str">
        <x:v>—</x:v>
      </x:c>
      <x:c r="F281" s="31" t="str">
        <x:v>—</x:v>
      </x:c>
      <x:c r="G281" s="31" t="str">
        <x:v>포함</x:v>
      </x:c>
      <x:c r="H281" s="31" t="str">
        <x:v>—</x:v>
      </x:c>
      <x:c r="I281" s="31" t="str">
        <x:v>—</x:v>
      </x:c>
      <x:c r="J281" s="31" t="str">
        <x:v>포함</x:v>
      </x:c>
      <x:c r="K281" s="31" t="str">
        <x:v>—</x:v>
      </x:c>
      <x:c r="L281" s="31" t="str">
        <x:v>—</x:v>
      </x:c>
      <x:c r="M281" s="31" t="str">
        <x:v>—</x:v>
      </x:c>
    </x:row>
    <x:row r="282">
      <x:c r="A282" s="34" t="n">
        <x:v>278</x:v>
      </x:c>
      <x:c r="B282" s="30" t="str">
        <x:v>갈모매</x:v>
      </x:c>
      <x:c r="C282" s="30" t="str">
        <x:v>wingull</x:v>
      </x:c>
      <x:c r="D282" s="36" t="n">
        <x:v>3</x:v>
      </x:c>
      <x:c r="E282" s="31" t="str">
        <x:v>—</x:v>
      </x:c>
      <x:c r="F282" s="31" t="str">
        <x:v>—</x:v>
      </x:c>
      <x:c r="G282" s="31" t="str">
        <x:v>포함</x:v>
      </x:c>
      <x:c r="H282" s="31" t="str">
        <x:v>포함</x:v>
      </x:c>
      <x:c r="I282" s="31" t="str">
        <x:v>포함</x:v>
      </x:c>
      <x:c r="J282" s="31" t="str">
        <x:v>포함</x:v>
      </x:c>
      <x:c r="K282" s="31" t="str">
        <x:v>포함</x:v>
      </x:c>
      <x:c r="L282" s="31" t="str">
        <x:v>포함</x:v>
      </x:c>
      <x:c r="M282" s="31" t="str">
        <x:v>포함</x:v>
      </x:c>
    </x:row>
    <x:row r="283">
      <x:c r="A283" s="34" t="n">
        <x:v>279</x:v>
      </x:c>
      <x:c r="B283" s="30" t="str">
        <x:v>패리퍼</x:v>
      </x:c>
      <x:c r="C283" s="30" t="str">
        <x:v>pelipper</x:v>
      </x:c>
      <x:c r="D283" s="36" t="n">
        <x:v>3</x:v>
      </x:c>
      <x:c r="E283" s="31" t="str">
        <x:v>—</x:v>
      </x:c>
      <x:c r="F283" s="31" t="str">
        <x:v>—</x:v>
      </x:c>
      <x:c r="G283" s="31" t="str">
        <x:v>포함</x:v>
      </x:c>
      <x:c r="H283" s="31" t="str">
        <x:v>포함</x:v>
      </x:c>
      <x:c r="I283" s="31" t="str">
        <x:v>포함</x:v>
      </x:c>
      <x:c r="J283" s="31" t="str">
        <x:v>포함</x:v>
      </x:c>
      <x:c r="K283" s="31" t="str">
        <x:v>포함</x:v>
      </x:c>
      <x:c r="L283" s="31" t="str">
        <x:v>포함</x:v>
      </x:c>
      <x:c r="M283" s="31" t="str">
        <x:v>포함</x:v>
      </x:c>
    </x:row>
    <x:row r="284">
      <x:c r="A284" s="34" t="n">
        <x:v>280</x:v>
      </x:c>
      <x:c r="B284" s="30" t="str">
        <x:v>랄토스</x:v>
      </x:c>
      <x:c r="C284" s="30" t="str">
        <x:v>ralts</x:v>
      </x:c>
      <x:c r="D284" s="36" t="n">
        <x:v>3</x:v>
      </x:c>
      <x:c r="E284" s="31" t="str">
        <x:v>—</x:v>
      </x:c>
      <x:c r="F284" s="31" t="str">
        <x:v>—</x:v>
      </x:c>
      <x:c r="G284" s="31" t="str">
        <x:v>포함</x:v>
      </x:c>
      <x:c r="H284" s="31" t="str">
        <x:v>포함</x:v>
      </x:c>
      <x:c r="I284" s="31" t="str">
        <x:v>—</x:v>
      </x:c>
      <x:c r="J284" s="31" t="str">
        <x:v>포함</x:v>
      </x:c>
      <x:c r="K284" s="31" t="str">
        <x:v>—</x:v>
      </x:c>
      <x:c r="L284" s="31" t="str">
        <x:v>포함</x:v>
      </x:c>
      <x:c r="M284" s="31" t="str">
        <x:v>포함</x:v>
      </x:c>
    </x:row>
    <x:row r="285">
      <x:c r="A285" s="34" t="n">
        <x:v>281</x:v>
      </x:c>
      <x:c r="B285" s="30" t="str">
        <x:v>킬리아</x:v>
      </x:c>
      <x:c r="C285" s="30" t="str">
        <x:v>kirlia</x:v>
      </x:c>
      <x:c r="D285" s="36" t="n">
        <x:v>3</x:v>
      </x:c>
      <x:c r="E285" s="31" t="str">
        <x:v>—</x:v>
      </x:c>
      <x:c r="F285" s="31" t="str">
        <x:v>—</x:v>
      </x:c>
      <x:c r="G285" s="31" t="str">
        <x:v>포함</x:v>
      </x:c>
      <x:c r="H285" s="31" t="str">
        <x:v>포함</x:v>
      </x:c>
      <x:c r="I285" s="31" t="str">
        <x:v>—</x:v>
      </x:c>
      <x:c r="J285" s="31" t="str">
        <x:v>포함</x:v>
      </x:c>
      <x:c r="K285" s="31" t="str">
        <x:v>—</x:v>
      </x:c>
      <x:c r="L285" s="31" t="str">
        <x:v>포함</x:v>
      </x:c>
      <x:c r="M285" s="31" t="str">
        <x:v>포함</x:v>
      </x:c>
    </x:row>
    <x:row r="286">
      <x:c r="A286" s="34" t="n">
        <x:v>282</x:v>
      </x:c>
      <x:c r="B286" s="30" t="str">
        <x:v>가디안</x:v>
      </x:c>
      <x:c r="C286" s="30" t="str">
        <x:v>gardevoir</x:v>
      </x:c>
      <x:c r="D286" s="36" t="n">
        <x:v>3</x:v>
      </x:c>
      <x:c r="E286" s="31" t="str">
        <x:v>—</x:v>
      </x:c>
      <x:c r="F286" s="31" t="str">
        <x:v>—</x:v>
      </x:c>
      <x:c r="G286" s="31" t="str">
        <x:v>포함</x:v>
      </x:c>
      <x:c r="H286" s="31" t="str">
        <x:v>포함</x:v>
      </x:c>
      <x:c r="I286" s="31" t="str">
        <x:v>—</x:v>
      </x:c>
      <x:c r="J286" s="31" t="str">
        <x:v>포함</x:v>
      </x:c>
      <x:c r="K286" s="31" t="str">
        <x:v>—</x:v>
      </x:c>
      <x:c r="L286" s="31" t="str">
        <x:v>포함</x:v>
      </x:c>
      <x:c r="M286" s="31" t="str">
        <x:v>포함</x:v>
      </x:c>
    </x:row>
    <x:row r="287">
      <x:c r="A287" s="34" t="n">
        <x:v>283</x:v>
      </x:c>
      <x:c r="B287" s="30" t="str">
        <x:v>비구술</x:v>
      </x:c>
      <x:c r="C287" s="30" t="str">
        <x:v>surskit</x:v>
      </x:c>
      <x:c r="D287" s="36" t="n">
        <x:v>3</x:v>
      </x:c>
      <x:c r="E287" s="31" t="str">
        <x:v>—</x:v>
      </x:c>
      <x:c r="F287" s="31" t="str">
        <x:v>—</x:v>
      </x:c>
      <x:c r="G287" s="31" t="str">
        <x:v>포함</x:v>
      </x:c>
      <x:c r="H287" s="31" t="str">
        <x:v>—</x:v>
      </x:c>
      <x:c r="I287" s="31" t="str">
        <x:v>—</x:v>
      </x:c>
      <x:c r="J287" s="31" t="str">
        <x:v>포함</x:v>
      </x:c>
      <x:c r="K287" s="31" t="str">
        <x:v>포함</x:v>
      </x:c>
      <x:c r="L287" s="31" t="str">
        <x:v>—</x:v>
      </x:c>
      <x:c r="M287" s="31" t="str">
        <x:v>포함</x:v>
      </x:c>
    </x:row>
    <x:row r="288">
      <x:c r="A288" s="34" t="n">
        <x:v>284</x:v>
      </x:c>
      <x:c r="B288" s="30" t="str">
        <x:v>비나방</x:v>
      </x:c>
      <x:c r="C288" s="30" t="str">
        <x:v>masquerain</x:v>
      </x:c>
      <x:c r="D288" s="36" t="n">
        <x:v>3</x:v>
      </x:c>
      <x:c r="E288" s="31" t="str">
        <x:v>—</x:v>
      </x:c>
      <x:c r="F288" s="31" t="str">
        <x:v>—</x:v>
      </x:c>
      <x:c r="G288" s="31" t="str">
        <x:v>포함</x:v>
      </x:c>
      <x:c r="H288" s="31" t="str">
        <x:v>—</x:v>
      </x:c>
      <x:c r="I288" s="31" t="str">
        <x:v>—</x:v>
      </x:c>
      <x:c r="J288" s="31" t="str">
        <x:v>포함</x:v>
      </x:c>
      <x:c r="K288" s="31" t="str">
        <x:v>포함</x:v>
      </x:c>
      <x:c r="L288" s="31" t="str">
        <x:v>—</x:v>
      </x:c>
      <x:c r="M288" s="31" t="str">
        <x:v>포함</x:v>
      </x:c>
    </x:row>
    <x:row r="289">
      <x:c r="A289" s="34" t="n">
        <x:v>285</x:v>
      </x:c>
      <x:c r="B289" s="30" t="str">
        <x:v>버섯꼬</x:v>
      </x:c>
      <x:c r="C289" s="30" t="str">
        <x:v>shroomish</x:v>
      </x:c>
      <x:c r="D289" s="36" t="n">
        <x:v>3</x:v>
      </x:c>
      <x:c r="E289" s="31" t="str">
        <x:v>—</x:v>
      </x:c>
      <x:c r="F289" s="31" t="str">
        <x:v>—</x:v>
      </x:c>
      <x:c r="G289" s="31" t="str">
        <x:v>포함</x:v>
      </x:c>
      <x:c r="H289" s="31" t="str">
        <x:v>—</x:v>
      </x:c>
      <x:c r="I289" s="31" t="str">
        <x:v>—</x:v>
      </x:c>
      <x:c r="J289" s="31" t="str">
        <x:v>—</x:v>
      </x:c>
      <x:c r="K289" s="31" t="str">
        <x:v>—</x:v>
      </x:c>
      <x:c r="L289" s="31" t="str">
        <x:v>—</x:v>
      </x:c>
      <x:c r="M289" s="31" t="str">
        <x:v>포함</x:v>
      </x:c>
    </x:row>
    <x:row r="290">
      <x:c r="A290" s="34" t="n">
        <x:v>286</x:v>
      </x:c>
      <x:c r="B290" s="30" t="str">
        <x:v>버섯모</x:v>
      </x:c>
      <x:c r="C290" s="30" t="str">
        <x:v>breloom</x:v>
      </x:c>
      <x:c r="D290" s="36" t="n">
        <x:v>3</x:v>
      </x:c>
      <x:c r="E290" s="31" t="str">
        <x:v>—</x:v>
      </x:c>
      <x:c r="F290" s="31" t="str">
        <x:v>—</x:v>
      </x:c>
      <x:c r="G290" s="31" t="str">
        <x:v>포함</x:v>
      </x:c>
      <x:c r="H290" s="31" t="str">
        <x:v>—</x:v>
      </x:c>
      <x:c r="I290" s="31" t="str">
        <x:v>—</x:v>
      </x:c>
      <x:c r="J290" s="31" t="str">
        <x:v>—</x:v>
      </x:c>
      <x:c r="K290" s="31" t="str">
        <x:v>—</x:v>
      </x:c>
      <x:c r="L290" s="31" t="str">
        <x:v>—</x:v>
      </x:c>
      <x:c r="M290" s="31" t="str">
        <x:v>포함</x:v>
      </x:c>
    </x:row>
    <x:row r="291">
      <x:c r="A291" s="34" t="n">
        <x:v>287</x:v>
      </x:c>
      <x:c r="B291" s="30" t="str">
        <x:v>게을로</x:v>
      </x:c>
      <x:c r="C291" s="30" t="str">
        <x:v>slakoth</x:v>
      </x:c>
      <x:c r="D291" s="36" t="n">
        <x:v>3</x:v>
      </x:c>
      <x:c r="E291" s="31" t="str">
        <x:v>—</x:v>
      </x:c>
      <x:c r="F291" s="31" t="str">
        <x:v>—</x:v>
      </x:c>
      <x:c r="G291" s="31" t="str">
        <x:v>포함</x:v>
      </x:c>
      <x:c r="H291" s="31" t="str">
        <x:v>—</x:v>
      </x:c>
      <x:c r="I291" s="31" t="str">
        <x:v>포함</x:v>
      </x:c>
      <x:c r="J291" s="31" t="str">
        <x:v>—</x:v>
      </x:c>
      <x:c r="K291" s="31" t="str">
        <x:v>—</x:v>
      </x:c>
      <x:c r="L291" s="31" t="str">
        <x:v>—</x:v>
      </x:c>
      <x:c r="M291" s="31" t="str">
        <x:v>포함</x:v>
      </x:c>
    </x:row>
    <x:row r="292">
      <x:c r="A292" s="34" t="n">
        <x:v>288</x:v>
      </x:c>
      <x:c r="B292" s="30" t="str">
        <x:v>발바로</x:v>
      </x:c>
      <x:c r="C292" s="30" t="str">
        <x:v>vigoroth</x:v>
      </x:c>
      <x:c r="D292" s="36" t="n">
        <x:v>3</x:v>
      </x:c>
      <x:c r="E292" s="31" t="str">
        <x:v>—</x:v>
      </x:c>
      <x:c r="F292" s="31" t="str">
        <x:v>—</x:v>
      </x:c>
      <x:c r="G292" s="31" t="str">
        <x:v>포함</x:v>
      </x:c>
      <x:c r="H292" s="31" t="str">
        <x:v>—</x:v>
      </x:c>
      <x:c r="I292" s="31" t="str">
        <x:v>포함</x:v>
      </x:c>
      <x:c r="J292" s="31" t="str">
        <x:v>—</x:v>
      </x:c>
      <x:c r="K292" s="31" t="str">
        <x:v>—</x:v>
      </x:c>
      <x:c r="L292" s="31" t="str">
        <x:v>—</x:v>
      </x:c>
      <x:c r="M292" s="31" t="str">
        <x:v>포함</x:v>
      </x:c>
    </x:row>
    <x:row r="293">
      <x:c r="A293" s="34" t="n">
        <x:v>289</x:v>
      </x:c>
      <x:c r="B293" s="30" t="str">
        <x:v>게을킹</x:v>
      </x:c>
      <x:c r="C293" s="30" t="str">
        <x:v>slaking</x:v>
      </x:c>
      <x:c r="D293" s="36" t="n">
        <x:v>3</x:v>
      </x:c>
      <x:c r="E293" s="31" t="str">
        <x:v>—</x:v>
      </x:c>
      <x:c r="F293" s="31" t="str">
        <x:v>—</x:v>
      </x:c>
      <x:c r="G293" s="31" t="str">
        <x:v>포함</x:v>
      </x:c>
      <x:c r="H293" s="31" t="str">
        <x:v>—</x:v>
      </x:c>
      <x:c r="I293" s="31" t="str">
        <x:v>포함</x:v>
      </x:c>
      <x:c r="J293" s="31" t="str">
        <x:v>—</x:v>
      </x:c>
      <x:c r="K293" s="31" t="str">
        <x:v>—</x:v>
      </x:c>
      <x:c r="L293" s="31" t="str">
        <x:v>—</x:v>
      </x:c>
      <x:c r="M293" s="31" t="str">
        <x:v>포함</x:v>
      </x:c>
    </x:row>
    <x:row r="294">
      <x:c r="A294" s="34" t="n">
        <x:v>290</x:v>
      </x:c>
      <x:c r="B294" s="30" t="str">
        <x:v>토중몬</x:v>
      </x:c>
      <x:c r="C294" s="30" t="str">
        <x:v>nincada</x:v>
      </x:c>
      <x:c r="D294" s="36" t="n">
        <x:v>3</x:v>
      </x:c>
      <x:c r="E294" s="31" t="str">
        <x:v>—</x:v>
      </x:c>
      <x:c r="F294" s="31" t="str">
        <x:v>—</x:v>
      </x:c>
      <x:c r="G294" s="31" t="str">
        <x:v>포함</x:v>
      </x:c>
      <x:c r="H294" s="31" t="str">
        <x:v>—</x:v>
      </x:c>
      <x:c r="I294" s="31" t="str">
        <x:v>—</x:v>
      </x:c>
      <x:c r="J294" s="31" t="str">
        <x:v>포함</x:v>
      </x:c>
      <x:c r="K294" s="31" t="str">
        <x:v>—</x:v>
      </x:c>
      <x:c r="L294" s="31" t="str">
        <x:v>포함</x:v>
      </x:c>
      <x:c r="M294" s="31" t="str">
        <x:v>—</x:v>
      </x:c>
    </x:row>
    <x:row r="295">
      <x:c r="A295" s="34" t="n">
        <x:v>291</x:v>
      </x:c>
      <x:c r="B295" s="30" t="str">
        <x:v>아이스크</x:v>
      </x:c>
      <x:c r="C295" s="30" t="str">
        <x:v>ninjask</x:v>
      </x:c>
      <x:c r="D295" s="36" t="n">
        <x:v>3</x:v>
      </x:c>
      <x:c r="E295" s="31" t="str">
        <x:v>—</x:v>
      </x:c>
      <x:c r="F295" s="31" t="str">
        <x:v>—</x:v>
      </x:c>
      <x:c r="G295" s="31" t="str">
        <x:v>포함</x:v>
      </x:c>
      <x:c r="H295" s="31" t="str">
        <x:v>—</x:v>
      </x:c>
      <x:c r="I295" s="31" t="str">
        <x:v>—</x:v>
      </x:c>
      <x:c r="J295" s="31" t="str">
        <x:v>포함</x:v>
      </x:c>
      <x:c r="K295" s="31" t="str">
        <x:v>—</x:v>
      </x:c>
      <x:c r="L295" s="31" t="str">
        <x:v>포함</x:v>
      </x:c>
      <x:c r="M295" s="31" t="str">
        <x:v>—</x:v>
      </x:c>
    </x:row>
    <x:row r="296">
      <x:c r="A296" s="34" t="n">
        <x:v>292</x:v>
      </x:c>
      <x:c r="B296" s="30" t="str">
        <x:v>껍질몬</x:v>
      </x:c>
      <x:c r="C296" s="30" t="str">
        <x:v>shedinja</x:v>
      </x:c>
      <x:c r="D296" s="36" t="n">
        <x:v>3</x:v>
      </x:c>
      <x:c r="E296" s="31" t="str">
        <x:v>—</x:v>
      </x:c>
      <x:c r="F296" s="31" t="str">
        <x:v>—</x:v>
      </x:c>
      <x:c r="G296" s="31" t="str">
        <x:v>포함</x:v>
      </x:c>
      <x:c r="H296" s="31" t="str">
        <x:v>—</x:v>
      </x:c>
      <x:c r="I296" s="31" t="str">
        <x:v>—</x:v>
      </x:c>
      <x:c r="J296" s="31" t="str">
        <x:v>포함</x:v>
      </x:c>
      <x:c r="K296" s="31" t="str">
        <x:v>—</x:v>
      </x:c>
      <x:c r="L296" s="31" t="str">
        <x:v>포함</x:v>
      </x:c>
      <x:c r="M296" s="31" t="str">
        <x:v>—</x:v>
      </x:c>
    </x:row>
    <x:row r="297">
      <x:c r="A297" s="34" t="n">
        <x:v>293</x:v>
      </x:c>
      <x:c r="B297" s="30" t="str">
        <x:v>소곤룡</x:v>
      </x:c>
      <x:c r="C297" s="30" t="str">
        <x:v>whismur</x:v>
      </x:c>
      <x:c r="D297" s="36" t="n">
        <x:v>3</x:v>
      </x:c>
      <x:c r="E297" s="31" t="str">
        <x:v>—</x:v>
      </x:c>
      <x:c r="F297" s="31" t="str">
        <x:v>—</x:v>
      </x:c>
      <x:c r="G297" s="31" t="str">
        <x:v>포함</x:v>
      </x:c>
      <x:c r="H297" s="31" t="str">
        <x:v>—</x:v>
      </x:c>
      <x:c r="I297" s="31" t="str">
        <x:v>—</x:v>
      </x:c>
      <x:c r="J297" s="31" t="str">
        <x:v>포함</x:v>
      </x:c>
      <x:c r="K297" s="31" t="str">
        <x:v>—</x:v>
      </x:c>
      <x:c r="L297" s="31" t="str">
        <x:v>포함</x:v>
      </x:c>
      <x:c r="M297" s="31" t="str">
        <x:v>—</x:v>
      </x:c>
    </x:row>
    <x:row r="298">
      <x:c r="A298" s="34" t="n">
        <x:v>294</x:v>
      </x:c>
      <x:c r="B298" s="30" t="str">
        <x:v>노공룡</x:v>
      </x:c>
      <x:c r="C298" s="30" t="str">
        <x:v>loudred</x:v>
      </x:c>
      <x:c r="D298" s="36" t="n">
        <x:v>3</x:v>
      </x:c>
      <x:c r="E298" s="31" t="str">
        <x:v>—</x:v>
      </x:c>
      <x:c r="F298" s="31" t="str">
        <x:v>—</x:v>
      </x:c>
      <x:c r="G298" s="31" t="str">
        <x:v>포함</x:v>
      </x:c>
      <x:c r="H298" s="31" t="str">
        <x:v>—</x:v>
      </x:c>
      <x:c r="I298" s="31" t="str">
        <x:v>—</x:v>
      </x:c>
      <x:c r="J298" s="31" t="str">
        <x:v>포함</x:v>
      </x:c>
      <x:c r="K298" s="31" t="str">
        <x:v>—</x:v>
      </x:c>
      <x:c r="L298" s="31" t="str">
        <x:v>포함</x:v>
      </x:c>
      <x:c r="M298" s="31" t="str">
        <x:v>—</x:v>
      </x:c>
    </x:row>
    <x:row r="299">
      <x:c r="A299" s="34" t="n">
        <x:v>295</x:v>
      </x:c>
      <x:c r="B299" s="30" t="str">
        <x:v>폭음룡</x:v>
      </x:c>
      <x:c r="C299" s="30" t="str">
        <x:v>exploud</x:v>
      </x:c>
      <x:c r="D299" s="36" t="n">
        <x:v>3</x:v>
      </x:c>
      <x:c r="E299" s="31" t="str">
        <x:v>—</x:v>
      </x:c>
      <x:c r="F299" s="31" t="str">
        <x:v>—</x:v>
      </x:c>
      <x:c r="G299" s="31" t="str">
        <x:v>포함</x:v>
      </x:c>
      <x:c r="H299" s="31" t="str">
        <x:v>—</x:v>
      </x:c>
      <x:c r="I299" s="31" t="str">
        <x:v>—</x:v>
      </x:c>
      <x:c r="J299" s="31" t="str">
        <x:v>포함</x:v>
      </x:c>
      <x:c r="K299" s="31" t="str">
        <x:v>—</x:v>
      </x:c>
      <x:c r="L299" s="31" t="str">
        <x:v>포함</x:v>
      </x:c>
      <x:c r="M299" s="31" t="str">
        <x:v>—</x:v>
      </x:c>
    </x:row>
    <x:row r="300">
      <x:c r="A300" s="34" t="n">
        <x:v>296</x:v>
      </x:c>
      <x:c r="B300" s="30" t="str">
        <x:v>마크탕</x:v>
      </x:c>
      <x:c r="C300" s="30" t="str">
        <x:v>makuhita</x:v>
      </x:c>
      <x:c r="D300" s="36" t="n">
        <x:v>3</x:v>
      </x:c>
      <x:c r="E300" s="31" t="str">
        <x:v>—</x:v>
      </x:c>
      <x:c r="F300" s="31" t="str">
        <x:v>—</x:v>
      </x:c>
      <x:c r="G300" s="31" t="str">
        <x:v>포함</x:v>
      </x:c>
      <x:c r="H300" s="31" t="str">
        <x:v>—</x:v>
      </x:c>
      <x:c r="I300" s="31" t="str">
        <x:v>—</x:v>
      </x:c>
      <x:c r="J300" s="31" t="str">
        <x:v>포함</x:v>
      </x:c>
      <x:c r="K300" s="31" t="str">
        <x:v>포함</x:v>
      </x:c>
      <x:c r="L300" s="31" t="str">
        <x:v>—</x:v>
      </x:c>
      <x:c r="M300" s="31" t="str">
        <x:v>포함</x:v>
      </x:c>
    </x:row>
    <x:row r="301">
      <x:c r="A301" s="34" t="n">
        <x:v>297</x:v>
      </x:c>
      <x:c r="B301" s="30" t="str">
        <x:v>하리뭉</x:v>
      </x:c>
      <x:c r="C301" s="30" t="str">
        <x:v>hariyama</x:v>
      </x:c>
      <x:c r="D301" s="36" t="n">
        <x:v>3</x:v>
      </x:c>
      <x:c r="E301" s="31" t="str">
        <x:v>—</x:v>
      </x:c>
      <x:c r="F301" s="31" t="str">
        <x:v>—</x:v>
      </x:c>
      <x:c r="G301" s="31" t="str">
        <x:v>포함</x:v>
      </x:c>
      <x:c r="H301" s="31" t="str">
        <x:v>—</x:v>
      </x:c>
      <x:c r="I301" s="31" t="str">
        <x:v>—</x:v>
      </x:c>
      <x:c r="J301" s="31" t="str">
        <x:v>포함</x:v>
      </x:c>
      <x:c r="K301" s="31" t="str">
        <x:v>포함</x:v>
      </x:c>
      <x:c r="L301" s="31" t="str">
        <x:v>—</x:v>
      </x:c>
      <x:c r="M301" s="31" t="str">
        <x:v>포함</x:v>
      </x:c>
    </x:row>
    <x:row r="302">
      <x:c r="A302" s="34" t="n">
        <x:v>298</x:v>
      </x:c>
      <x:c r="B302" s="30" t="str">
        <x:v>루리리</x:v>
      </x:c>
      <x:c r="C302" s="30" t="str">
        <x:v>azurill</x:v>
      </x:c>
      <x:c r="D302" s="36" t="n">
        <x:v>3</x:v>
      </x:c>
      <x:c r="E302" s="31" t="str">
        <x:v>—</x:v>
      </x:c>
      <x:c r="F302" s="31" t="str">
        <x:v>—</x:v>
      </x:c>
      <x:c r="G302" s="31" t="str">
        <x:v>포함</x:v>
      </x:c>
      <x:c r="H302" s="31" t="str">
        <x:v>포함</x:v>
      </x:c>
      <x:c r="I302" s="31" t="str">
        <x:v>포함</x:v>
      </x:c>
      <x:c r="J302" s="31" t="str">
        <x:v>포함</x:v>
      </x:c>
      <x:c r="K302" s="31" t="str">
        <x:v>—</x:v>
      </x:c>
      <x:c r="L302" s="31" t="str">
        <x:v>포함</x:v>
      </x:c>
      <x:c r="M302" s="31" t="str">
        <x:v>포함</x:v>
      </x:c>
    </x:row>
    <x:row r="303">
      <x:c r="A303" s="34" t="n">
        <x:v>299</x:v>
      </x:c>
      <x:c r="B303" s="30" t="str">
        <x:v>코코파스</x:v>
      </x:c>
      <x:c r="C303" s="30" t="str">
        <x:v>nosepass</x:v>
      </x:c>
      <x:c r="D303" s="36" t="n">
        <x:v>3</x:v>
      </x:c>
      <x:c r="E303" s="31" t="str">
        <x:v>—</x:v>
      </x:c>
      <x:c r="F303" s="31" t="str">
        <x:v>—</x:v>
      </x:c>
      <x:c r="G303" s="31" t="str">
        <x:v>포함</x:v>
      </x:c>
      <x:c r="H303" s="31" t="str">
        <x:v>포함</x:v>
      </x:c>
      <x:c r="I303" s="31" t="str">
        <x:v>포함</x:v>
      </x:c>
      <x:c r="J303" s="31" t="str">
        <x:v>포함</x:v>
      </x:c>
      <x:c r="K303" s="31" t="str">
        <x:v>포함</x:v>
      </x:c>
      <x:c r="L303" s="31" t="str">
        <x:v>—</x:v>
      </x:c>
      <x:c r="M303" s="31" t="str">
        <x:v>포함</x:v>
      </x:c>
    </x:row>
    <x:row r="304">
      <x:c r="A304" s="34" t="n">
        <x:v>300</x:v>
      </x:c>
      <x:c r="B304" s="30" t="str">
        <x:v>에나비</x:v>
      </x:c>
      <x:c r="C304" s="30" t="str">
        <x:v>skitty</x:v>
      </x:c>
      <x:c r="D304" s="36" t="n">
        <x:v>3</x:v>
      </x:c>
      <x:c r="E304" s="31" t="str">
        <x:v>—</x:v>
      </x:c>
      <x:c r="F304" s="31" t="str">
        <x:v>—</x:v>
      </x:c>
      <x:c r="G304" s="31" t="str">
        <x:v>포함</x:v>
      </x:c>
      <x:c r="H304" s="31" t="str">
        <x:v>—</x:v>
      </x:c>
      <x:c r="I304" s="31" t="str">
        <x:v>포함</x:v>
      </x:c>
      <x:c r="J304" s="31" t="str">
        <x:v>포함</x:v>
      </x:c>
      <x:c r="K304" s="31" t="str">
        <x:v>—</x:v>
      </x:c>
      <x:c r="L304" s="31" t="str">
        <x:v>—</x:v>
      </x:c>
      <x:c r="M304" s="31" t="str">
        <x:v>—</x:v>
      </x:c>
    </x:row>
    <x:row r="305">
      <x:c r="A305" s="34" t="n">
        <x:v>301</x:v>
      </x:c>
      <x:c r="B305" s="30" t="str">
        <x:v>델케티</x:v>
      </x:c>
      <x:c r="C305" s="30" t="str">
        <x:v>delcatty</x:v>
      </x:c>
      <x:c r="D305" s="36" t="n">
        <x:v>3</x:v>
      </x:c>
      <x:c r="E305" s="31" t="str">
        <x:v>—</x:v>
      </x:c>
      <x:c r="F305" s="31" t="str">
        <x:v>—</x:v>
      </x:c>
      <x:c r="G305" s="31" t="str">
        <x:v>포함</x:v>
      </x:c>
      <x:c r="H305" s="31" t="str">
        <x:v>—</x:v>
      </x:c>
      <x:c r="I305" s="31" t="str">
        <x:v>포함</x:v>
      </x:c>
      <x:c r="J305" s="31" t="str">
        <x:v>포함</x:v>
      </x:c>
      <x:c r="K305" s="31" t="str">
        <x:v>—</x:v>
      </x:c>
      <x:c r="L305" s="31" t="str">
        <x:v>—</x:v>
      </x:c>
      <x:c r="M305" s="31" t="str">
        <x:v>—</x:v>
      </x:c>
    </x:row>
    <x:row r="306">
      <x:c r="A306" s="34" t="n">
        <x:v>302</x:v>
      </x:c>
      <x:c r="B306" s="30" t="str">
        <x:v>깜까미</x:v>
      </x:c>
      <x:c r="C306" s="30" t="str">
        <x:v>sableye</x:v>
      </x:c>
      <x:c r="D306" s="36" t="n">
        <x:v>3</x:v>
      </x:c>
      <x:c r="E306" s="31" t="str">
        <x:v>—</x:v>
      </x:c>
      <x:c r="F306" s="31" t="str">
        <x:v>—</x:v>
      </x:c>
      <x:c r="G306" s="31" t="str">
        <x:v>포함</x:v>
      </x:c>
      <x:c r="H306" s="31" t="str">
        <x:v>—</x:v>
      </x:c>
      <x:c r="I306" s="31" t="str">
        <x:v>—</x:v>
      </x:c>
      <x:c r="J306" s="31" t="str">
        <x:v>포함</x:v>
      </x:c>
      <x:c r="K306" s="31" t="str">
        <x:v>포함</x:v>
      </x:c>
      <x:c r="L306" s="31" t="str">
        <x:v>포함</x:v>
      </x:c>
      <x:c r="M306" s="31" t="str">
        <x:v>포함</x:v>
      </x:c>
    </x:row>
    <x:row r="307">
      <x:c r="A307" s="34" t="n">
        <x:v>303</x:v>
      </x:c>
      <x:c r="B307" s="30" t="str">
        <x:v>입치트</x:v>
      </x:c>
      <x:c r="C307" s="30" t="str">
        <x:v>mawile</x:v>
      </x:c>
      <x:c r="D307" s="36" t="n">
        <x:v>3</x:v>
      </x:c>
      <x:c r="E307" s="31" t="str">
        <x:v>—</x:v>
      </x:c>
      <x:c r="F307" s="31" t="str">
        <x:v>—</x:v>
      </x:c>
      <x:c r="G307" s="31" t="str">
        <x:v>포함</x:v>
      </x:c>
      <x:c r="H307" s="31" t="str">
        <x:v>—</x:v>
      </x:c>
      <x:c r="I307" s="31" t="str">
        <x:v>—</x:v>
      </x:c>
      <x:c r="J307" s="31" t="str">
        <x:v>포함</x:v>
      </x:c>
      <x:c r="K307" s="31" t="str">
        <x:v>포함</x:v>
      </x:c>
      <x:c r="L307" s="31" t="str">
        <x:v>포함</x:v>
      </x:c>
      <x:c r="M307" s="31" t="str">
        <x:v>—</x:v>
      </x:c>
    </x:row>
    <x:row r="308">
      <x:c r="A308" s="34" t="n">
        <x:v>304</x:v>
      </x:c>
      <x:c r="B308" s="30" t="str">
        <x:v>가보리</x:v>
      </x:c>
      <x:c r="C308" s="30" t="str">
        <x:v>aron</x:v>
      </x:c>
      <x:c r="D308" s="36" t="n">
        <x:v>3</x:v>
      </x:c>
      <x:c r="E308" s="31" t="str">
        <x:v>—</x:v>
      </x:c>
      <x:c r="F308" s="31" t="str">
        <x:v>—</x:v>
      </x:c>
      <x:c r="G308" s="31" t="str">
        <x:v>포함</x:v>
      </x:c>
      <x:c r="H308" s="31" t="str">
        <x:v>—</x:v>
      </x:c>
      <x:c r="I308" s="31" t="str">
        <x:v>포함</x:v>
      </x:c>
      <x:c r="J308" s="31" t="str">
        <x:v>포함</x:v>
      </x:c>
      <x:c r="K308" s="31" t="str">
        <x:v>—</x:v>
      </x:c>
      <x:c r="L308" s="31" t="str">
        <x:v>포함</x:v>
      </x:c>
      <x:c r="M308" s="31" t="str">
        <x:v>—</x:v>
      </x:c>
    </x:row>
    <x:row r="309">
      <x:c r="A309" s="34" t="n">
        <x:v>305</x:v>
      </x:c>
      <x:c r="B309" s="30" t="str">
        <x:v>갱도라</x:v>
      </x:c>
      <x:c r="C309" s="30" t="str">
        <x:v>lairon</x:v>
      </x:c>
      <x:c r="D309" s="36" t="n">
        <x:v>3</x:v>
      </x:c>
      <x:c r="E309" s="31" t="str">
        <x:v>—</x:v>
      </x:c>
      <x:c r="F309" s="31" t="str">
        <x:v>—</x:v>
      </x:c>
      <x:c r="G309" s="31" t="str">
        <x:v>포함</x:v>
      </x:c>
      <x:c r="H309" s="31" t="str">
        <x:v>—</x:v>
      </x:c>
      <x:c r="I309" s="31" t="str">
        <x:v>포함</x:v>
      </x:c>
      <x:c r="J309" s="31" t="str">
        <x:v>포함</x:v>
      </x:c>
      <x:c r="K309" s="31" t="str">
        <x:v>—</x:v>
      </x:c>
      <x:c r="L309" s="31" t="str">
        <x:v>포함</x:v>
      </x:c>
      <x:c r="M309" s="31" t="str">
        <x:v>—</x:v>
      </x:c>
    </x:row>
    <x:row r="310">
      <x:c r="A310" s="34" t="n">
        <x:v>306</x:v>
      </x:c>
      <x:c r="B310" s="30" t="str">
        <x:v>보스로라</x:v>
      </x:c>
      <x:c r="C310" s="30" t="str">
        <x:v>aggron</x:v>
      </x:c>
      <x:c r="D310" s="36" t="n">
        <x:v>3</x:v>
      </x:c>
      <x:c r="E310" s="31" t="str">
        <x:v>—</x:v>
      </x:c>
      <x:c r="F310" s="31" t="str">
        <x:v>—</x:v>
      </x:c>
      <x:c r="G310" s="31" t="str">
        <x:v>포함</x:v>
      </x:c>
      <x:c r="H310" s="31" t="str">
        <x:v>—</x:v>
      </x:c>
      <x:c r="I310" s="31" t="str">
        <x:v>포함</x:v>
      </x:c>
      <x:c r="J310" s="31" t="str">
        <x:v>포함</x:v>
      </x:c>
      <x:c r="K310" s="31" t="str">
        <x:v>—</x:v>
      </x:c>
      <x:c r="L310" s="31" t="str">
        <x:v>포함</x:v>
      </x:c>
      <x:c r="M310" s="31" t="str">
        <x:v>—</x:v>
      </x:c>
    </x:row>
    <x:row r="311">
      <x:c r="A311" s="34" t="n">
        <x:v>307</x:v>
      </x:c>
      <x:c r="B311" s="30" t="str">
        <x:v>요가랑</x:v>
      </x:c>
      <x:c r="C311" s="30" t="str">
        <x:v>meditite</x:v>
      </x:c>
      <x:c r="D311" s="36" t="n">
        <x:v>3</x:v>
      </x:c>
      <x:c r="E311" s="31" t="str">
        <x:v>—</x:v>
      </x:c>
      <x:c r="F311" s="31" t="str">
        <x:v>—</x:v>
      </x:c>
      <x:c r="G311" s="31" t="str">
        <x:v>포함</x:v>
      </x:c>
      <x:c r="H311" s="31" t="str">
        <x:v>포함</x:v>
      </x:c>
      <x:c r="I311" s="31" t="str">
        <x:v>—</x:v>
      </x:c>
      <x:c r="J311" s="31" t="str">
        <x:v>포함</x:v>
      </x:c>
      <x:c r="K311" s="31" t="str">
        <x:v>—</x:v>
      </x:c>
      <x:c r="L311" s="31" t="str">
        <x:v>—</x:v>
      </x:c>
      <x:c r="M311" s="31" t="str">
        <x:v>포함</x:v>
      </x:c>
    </x:row>
    <x:row r="312">
      <x:c r="A312" s="34" t="n">
        <x:v>308</x:v>
      </x:c>
      <x:c r="B312" s="30" t="str">
        <x:v>요가램</x:v>
      </x:c>
      <x:c r="C312" s="30" t="str">
        <x:v>medicham</x:v>
      </x:c>
      <x:c r="D312" s="36" t="n">
        <x:v>3</x:v>
      </x:c>
      <x:c r="E312" s="31" t="str">
        <x:v>—</x:v>
      </x:c>
      <x:c r="F312" s="31" t="str">
        <x:v>—</x:v>
      </x:c>
      <x:c r="G312" s="31" t="str">
        <x:v>포함</x:v>
      </x:c>
      <x:c r="H312" s="31" t="str">
        <x:v>포함</x:v>
      </x:c>
      <x:c r="I312" s="31" t="str">
        <x:v>—</x:v>
      </x:c>
      <x:c r="J312" s="31" t="str">
        <x:v>포함</x:v>
      </x:c>
      <x:c r="K312" s="31" t="str">
        <x:v>—</x:v>
      </x:c>
      <x:c r="L312" s="31" t="str">
        <x:v>—</x:v>
      </x:c>
      <x:c r="M312" s="31" t="str">
        <x:v>포함</x:v>
      </x:c>
    </x:row>
    <x:row r="313">
      <x:c r="A313" s="34" t="n">
        <x:v>309</x:v>
      </x:c>
      <x:c r="B313" s="30" t="str">
        <x:v>썬더라이</x:v>
      </x:c>
      <x:c r="C313" s="30" t="str">
        <x:v>electrike</x:v>
      </x:c>
      <x:c r="D313" s="36" t="n">
        <x:v>3</x:v>
      </x:c>
      <x:c r="E313" s="31" t="str">
        <x:v>—</x:v>
      </x:c>
      <x:c r="F313" s="31" t="str">
        <x:v>—</x:v>
      </x:c>
      <x:c r="G313" s="31" t="str">
        <x:v>포함</x:v>
      </x:c>
      <x:c r="H313" s="31" t="str">
        <x:v>—</x:v>
      </x:c>
      <x:c r="I313" s="31" t="str">
        <x:v>—</x:v>
      </x:c>
      <x:c r="J313" s="31" t="str">
        <x:v>포함</x:v>
      </x:c>
      <x:c r="K313" s="31" t="str">
        <x:v>포함</x:v>
      </x:c>
      <x:c r="L313" s="31" t="str">
        <x:v>포함</x:v>
      </x:c>
      <x:c r="M313" s="31" t="str">
        <x:v>—</x:v>
      </x:c>
    </x:row>
    <x:row r="314">
      <x:c r="A314" s="34" t="n">
        <x:v>310</x:v>
      </x:c>
      <x:c r="B314" s="30" t="str">
        <x:v>썬더볼트</x:v>
      </x:c>
      <x:c r="C314" s="30" t="str">
        <x:v>manectric</x:v>
      </x:c>
      <x:c r="D314" s="36" t="n">
        <x:v>3</x:v>
      </x:c>
      <x:c r="E314" s="31" t="str">
        <x:v>—</x:v>
      </x:c>
      <x:c r="F314" s="31" t="str">
        <x:v>—</x:v>
      </x:c>
      <x:c r="G314" s="31" t="str">
        <x:v>포함</x:v>
      </x:c>
      <x:c r="H314" s="31" t="str">
        <x:v>—</x:v>
      </x:c>
      <x:c r="I314" s="31" t="str">
        <x:v>—</x:v>
      </x:c>
      <x:c r="J314" s="31" t="str">
        <x:v>포함</x:v>
      </x:c>
      <x:c r="K314" s="31" t="str">
        <x:v>포함</x:v>
      </x:c>
      <x:c r="L314" s="31" t="str">
        <x:v>포함</x:v>
      </x:c>
      <x:c r="M314" s="31" t="str">
        <x:v>—</x:v>
      </x:c>
    </x:row>
    <x:row r="315">
      <x:c r="A315" s="34" t="n">
        <x:v>311</x:v>
      </x:c>
      <x:c r="B315" s="30" t="str">
        <x:v>플러시</x:v>
      </x:c>
      <x:c r="C315" s="30" t="str">
        <x:v>plusle</x:v>
      </x:c>
      <x:c r="D315" s="36" t="n">
        <x:v>3</x:v>
      </x:c>
      <x:c r="E315" s="31" t="str">
        <x:v>—</x:v>
      </x:c>
      <x:c r="F315" s="31" t="str">
        <x:v>—</x:v>
      </x:c>
      <x:c r="G315" s="31" t="str">
        <x:v>포함</x:v>
      </x:c>
      <x:c r="H315" s="31" t="str">
        <x:v>—</x:v>
      </x:c>
      <x:c r="I315" s="31" t="str">
        <x:v>—</x:v>
      </x:c>
      <x:c r="J315" s="31" t="str">
        <x:v>포함</x:v>
      </x:c>
      <x:c r="K315" s="31" t="str">
        <x:v>—</x:v>
      </x:c>
      <x:c r="L315" s="31" t="str">
        <x:v>—</x:v>
      </x:c>
      <x:c r="M315" s="31" t="str">
        <x:v>포함</x:v>
      </x:c>
    </x:row>
    <x:row r="316">
      <x:c r="A316" s="34" t="n">
        <x:v>312</x:v>
      </x:c>
      <x:c r="B316" s="30" t="str">
        <x:v>마이농</x:v>
      </x:c>
      <x:c r="C316" s="30" t="str">
        <x:v>minun</x:v>
      </x:c>
      <x:c r="D316" s="36" t="n">
        <x:v>3</x:v>
      </x:c>
      <x:c r="E316" s="31" t="str">
        <x:v>—</x:v>
      </x:c>
      <x:c r="F316" s="31" t="str">
        <x:v>—</x:v>
      </x:c>
      <x:c r="G316" s="31" t="str">
        <x:v>포함</x:v>
      </x:c>
      <x:c r="H316" s="31" t="str">
        <x:v>—</x:v>
      </x:c>
      <x:c r="I316" s="31" t="str">
        <x:v>—</x:v>
      </x:c>
      <x:c r="J316" s="31" t="str">
        <x:v>포함</x:v>
      </x:c>
      <x:c r="K316" s="31" t="str">
        <x:v>—</x:v>
      </x:c>
      <x:c r="L316" s="31" t="str">
        <x:v>—</x:v>
      </x:c>
      <x:c r="M316" s="31" t="str">
        <x:v>포함</x:v>
      </x:c>
    </x:row>
    <x:row r="317">
      <x:c r="A317" s="34" t="n">
        <x:v>313</x:v>
      </x:c>
      <x:c r="B317" s="30" t="str">
        <x:v>볼비트</x:v>
      </x:c>
      <x:c r="C317" s="30" t="str">
        <x:v>volbeat</x:v>
      </x:c>
      <x:c r="D317" s="36" t="n">
        <x:v>3</x:v>
      </x:c>
      <x:c r="E317" s="31" t="str">
        <x:v>—</x:v>
      </x:c>
      <x:c r="F317" s="31" t="str">
        <x:v>—</x:v>
      </x:c>
      <x:c r="G317" s="31" t="str">
        <x:v>포함</x:v>
      </x:c>
      <x:c r="H317" s="31" t="str">
        <x:v>—</x:v>
      </x:c>
      <x:c r="I317" s="31" t="str">
        <x:v>—</x:v>
      </x:c>
      <x:c r="J317" s="31" t="str">
        <x:v>포함</x:v>
      </x:c>
      <x:c r="K317" s="31" t="str">
        <x:v>—</x:v>
      </x:c>
      <x:c r="L317" s="31" t="str">
        <x:v>—</x:v>
      </x:c>
      <x:c r="M317" s="31" t="str">
        <x:v>포함</x:v>
      </x:c>
    </x:row>
    <x:row r="318">
      <x:c r="A318" s="34" t="n">
        <x:v>314</x:v>
      </x:c>
      <x:c r="B318" s="30" t="str">
        <x:v>네오비트</x:v>
      </x:c>
      <x:c r="C318" s="30" t="str">
        <x:v>illumise</x:v>
      </x:c>
      <x:c r="D318" s="36" t="n">
        <x:v>3</x:v>
      </x:c>
      <x:c r="E318" s="31" t="str">
        <x:v>—</x:v>
      </x:c>
      <x:c r="F318" s="31" t="str">
        <x:v>—</x:v>
      </x:c>
      <x:c r="G318" s="31" t="str">
        <x:v>포함</x:v>
      </x:c>
      <x:c r="H318" s="31" t="str">
        <x:v>—</x:v>
      </x:c>
      <x:c r="I318" s="31" t="str">
        <x:v>—</x:v>
      </x:c>
      <x:c r="J318" s="31" t="str">
        <x:v>포함</x:v>
      </x:c>
      <x:c r="K318" s="31" t="str">
        <x:v>—</x:v>
      </x:c>
      <x:c r="L318" s="31" t="str">
        <x:v>—</x:v>
      </x:c>
      <x:c r="M318" s="31" t="str">
        <x:v>포함</x:v>
      </x:c>
    </x:row>
    <x:row r="319">
      <x:c r="A319" s="34" t="n">
        <x:v>315</x:v>
      </x:c>
      <x:c r="B319" s="30" t="str">
        <x:v>로젤리아</x:v>
      </x:c>
      <x:c r="C319" s="30" t="str">
        <x:v>roselia</x:v>
      </x:c>
      <x:c r="D319" s="36" t="n">
        <x:v>3</x:v>
      </x:c>
      <x:c r="E319" s="31" t="str">
        <x:v>—</x:v>
      </x:c>
      <x:c r="F319" s="31" t="str">
        <x:v>—</x:v>
      </x:c>
      <x:c r="G319" s="31" t="str">
        <x:v>포함</x:v>
      </x:c>
      <x:c r="H319" s="31" t="str">
        <x:v>포함</x:v>
      </x:c>
      <x:c r="I319" s="31" t="str">
        <x:v>포함</x:v>
      </x:c>
      <x:c r="J319" s="31" t="str">
        <x:v>포함</x:v>
      </x:c>
      <x:c r="K319" s="31" t="str">
        <x:v>—</x:v>
      </x:c>
      <x:c r="L319" s="31" t="str">
        <x:v>포함</x:v>
      </x:c>
      <x:c r="M319" s="31" t="str">
        <x:v>—</x:v>
      </x:c>
    </x:row>
    <x:row r="320">
      <x:c r="A320" s="34" t="n">
        <x:v>316</x:v>
      </x:c>
      <x:c r="B320" s="30" t="str">
        <x:v>꼴깍몬</x:v>
      </x:c>
      <x:c r="C320" s="30" t="str">
        <x:v>gulpin</x:v>
      </x:c>
      <x:c r="D320" s="36" t="n">
        <x:v>3</x:v>
      </x:c>
      <x:c r="E320" s="31" t="str">
        <x:v>—</x:v>
      </x:c>
      <x:c r="F320" s="31" t="str">
        <x:v>—</x:v>
      </x:c>
      <x:c r="G320" s="31" t="str">
        <x:v>포함</x:v>
      </x:c>
      <x:c r="H320" s="31" t="str">
        <x:v>—</x:v>
      </x:c>
      <x:c r="I320" s="31" t="str">
        <x:v>—</x:v>
      </x:c>
      <x:c r="J320" s="31" t="str">
        <x:v>포함</x:v>
      </x:c>
      <x:c r="K320" s="31" t="str">
        <x:v>—</x:v>
      </x:c>
      <x:c r="L320" s="31" t="str">
        <x:v>—</x:v>
      </x:c>
      <x:c r="M320" s="31" t="str">
        <x:v>포함</x:v>
      </x:c>
    </x:row>
    <x:row r="321">
      <x:c r="A321" s="34" t="n">
        <x:v>317</x:v>
      </x:c>
      <x:c r="B321" s="30" t="str">
        <x:v>꿀꺽몬</x:v>
      </x:c>
      <x:c r="C321" s="30" t="str">
        <x:v>swalot</x:v>
      </x:c>
      <x:c r="D321" s="36" t="n">
        <x:v>3</x:v>
      </x:c>
      <x:c r="E321" s="31" t="str">
        <x:v>—</x:v>
      </x:c>
      <x:c r="F321" s="31" t="str">
        <x:v>—</x:v>
      </x:c>
      <x:c r="G321" s="31" t="str">
        <x:v>포함</x:v>
      </x:c>
      <x:c r="H321" s="31" t="str">
        <x:v>—</x:v>
      </x:c>
      <x:c r="I321" s="31" t="str">
        <x:v>—</x:v>
      </x:c>
      <x:c r="J321" s="31" t="str">
        <x:v>포함</x:v>
      </x:c>
      <x:c r="K321" s="31" t="str">
        <x:v>—</x:v>
      </x:c>
      <x:c r="L321" s="31" t="str">
        <x:v>—</x:v>
      </x:c>
      <x:c r="M321" s="31" t="str">
        <x:v>포함</x:v>
      </x:c>
    </x:row>
    <x:row r="322">
      <x:c r="A322" s="34" t="n">
        <x:v>318</x:v>
      </x:c>
      <x:c r="B322" s="30" t="str">
        <x:v>샤프니아</x:v>
      </x:c>
      <x:c r="C322" s="30" t="str">
        <x:v>carvanha</x:v>
      </x:c>
      <x:c r="D322" s="36" t="n">
        <x:v>3</x:v>
      </x:c>
      <x:c r="E322" s="31" t="str">
        <x:v>—</x:v>
      </x:c>
      <x:c r="F322" s="31" t="str">
        <x:v>—</x:v>
      </x:c>
      <x:c r="G322" s="31" t="str">
        <x:v>포함</x:v>
      </x:c>
      <x:c r="H322" s="31" t="str">
        <x:v>—</x:v>
      </x:c>
      <x:c r="I322" s="31" t="str">
        <x:v>—</x:v>
      </x:c>
      <x:c r="J322" s="31" t="str">
        <x:v>포함</x:v>
      </x:c>
      <x:c r="K322" s="31" t="str">
        <x:v>포함</x:v>
      </x:c>
      <x:c r="L322" s="31" t="str">
        <x:v>포함</x:v>
      </x:c>
      <x:c r="M322" s="31" t="str">
        <x:v>—</x:v>
      </x:c>
    </x:row>
    <x:row r="323">
      <x:c r="A323" s="34" t="n">
        <x:v>319</x:v>
      </x:c>
      <x:c r="B323" s="30" t="str">
        <x:v>샤크니아</x:v>
      </x:c>
      <x:c r="C323" s="30" t="str">
        <x:v>sharpedo</x:v>
      </x:c>
      <x:c r="D323" s="36" t="n">
        <x:v>3</x:v>
      </x:c>
      <x:c r="E323" s="31" t="str">
        <x:v>—</x:v>
      </x:c>
      <x:c r="F323" s="31" t="str">
        <x:v>—</x:v>
      </x:c>
      <x:c r="G323" s="31" t="str">
        <x:v>포함</x:v>
      </x:c>
      <x:c r="H323" s="31" t="str">
        <x:v>—</x:v>
      </x:c>
      <x:c r="I323" s="31" t="str">
        <x:v>—</x:v>
      </x:c>
      <x:c r="J323" s="31" t="str">
        <x:v>포함</x:v>
      </x:c>
      <x:c r="K323" s="31" t="str">
        <x:v>포함</x:v>
      </x:c>
      <x:c r="L323" s="31" t="str">
        <x:v>포함</x:v>
      </x:c>
      <x:c r="M323" s="31" t="str">
        <x:v>—</x:v>
      </x:c>
    </x:row>
    <x:row r="324">
      <x:c r="A324" s="34" t="n">
        <x:v>320</x:v>
      </x:c>
      <x:c r="B324" s="30" t="str">
        <x:v>고래왕자</x:v>
      </x:c>
      <x:c r="C324" s="30" t="str">
        <x:v>wailmer</x:v>
      </x:c>
      <x:c r="D324" s="36" t="n">
        <x:v>3</x:v>
      </x:c>
      <x:c r="E324" s="31" t="str">
        <x:v>—</x:v>
      </x:c>
      <x:c r="F324" s="31" t="str">
        <x:v>—</x:v>
      </x:c>
      <x:c r="G324" s="31" t="str">
        <x:v>포함</x:v>
      </x:c>
      <x:c r="H324" s="31" t="str">
        <x:v>—</x:v>
      </x:c>
      <x:c r="I324" s="31" t="str">
        <x:v>포함</x:v>
      </x:c>
      <x:c r="J324" s="31" t="str">
        <x:v>포함</x:v>
      </x:c>
      <x:c r="K324" s="31" t="str">
        <x:v>포함</x:v>
      </x:c>
      <x:c r="L324" s="31" t="str">
        <x:v>포함</x:v>
      </x:c>
      <x:c r="M324" s="31" t="str">
        <x:v>—</x:v>
      </x:c>
    </x:row>
    <x:row r="325">
      <x:c r="A325" s="34" t="n">
        <x:v>321</x:v>
      </x:c>
      <x:c r="B325" s="30" t="str">
        <x:v>고래왕</x:v>
      </x:c>
      <x:c r="C325" s="30" t="str">
        <x:v>wailord</x:v>
      </x:c>
      <x:c r="D325" s="36" t="n">
        <x:v>3</x:v>
      </x:c>
      <x:c r="E325" s="31" t="str">
        <x:v>—</x:v>
      </x:c>
      <x:c r="F325" s="31" t="str">
        <x:v>—</x:v>
      </x:c>
      <x:c r="G325" s="31" t="str">
        <x:v>포함</x:v>
      </x:c>
      <x:c r="H325" s="31" t="str">
        <x:v>—</x:v>
      </x:c>
      <x:c r="I325" s="31" t="str">
        <x:v>포함</x:v>
      </x:c>
      <x:c r="J325" s="31" t="str">
        <x:v>포함</x:v>
      </x:c>
      <x:c r="K325" s="31" t="str">
        <x:v>포함</x:v>
      </x:c>
      <x:c r="L325" s="31" t="str">
        <x:v>포함</x:v>
      </x:c>
      <x:c r="M325" s="31" t="str">
        <x:v>—</x:v>
      </x:c>
    </x:row>
    <x:row r="326">
      <x:c r="A326" s="34" t="n">
        <x:v>322</x:v>
      </x:c>
      <x:c r="B326" s="30" t="str">
        <x:v>둔타</x:v>
      </x:c>
      <x:c r="C326" s="30" t="str">
        <x:v>numel</x:v>
      </x:c>
      <x:c r="D326" s="36" t="n">
        <x:v>3</x:v>
      </x:c>
      <x:c r="E326" s="31" t="str">
        <x:v>—</x:v>
      </x:c>
      <x:c r="F326" s="31" t="str">
        <x:v>—</x:v>
      </x:c>
      <x:c r="G326" s="31" t="str">
        <x:v>포함</x:v>
      </x:c>
      <x:c r="H326" s="31" t="str">
        <x:v>—</x:v>
      </x:c>
      <x:c r="I326" s="31" t="str">
        <x:v>포함</x:v>
      </x:c>
      <x:c r="J326" s="31" t="str">
        <x:v>—</x:v>
      </x:c>
      <x:c r="K326" s="31" t="str">
        <x:v>—</x:v>
      </x:c>
      <x:c r="L326" s="31" t="str">
        <x:v>—</x:v>
      </x:c>
      <x:c r="M326" s="31" t="str">
        <x:v>포함</x:v>
      </x:c>
    </x:row>
    <x:row r="327">
      <x:c r="A327" s="34" t="n">
        <x:v>323</x:v>
      </x:c>
      <x:c r="B327" s="30" t="str">
        <x:v>폭타</x:v>
      </x:c>
      <x:c r="C327" s="30" t="str">
        <x:v>camerupt</x:v>
      </x:c>
      <x:c r="D327" s="36" t="n">
        <x:v>3</x:v>
      </x:c>
      <x:c r="E327" s="31" t="str">
        <x:v>—</x:v>
      </x:c>
      <x:c r="F327" s="31" t="str">
        <x:v>—</x:v>
      </x:c>
      <x:c r="G327" s="31" t="str">
        <x:v>포함</x:v>
      </x:c>
      <x:c r="H327" s="31" t="str">
        <x:v>—</x:v>
      </x:c>
      <x:c r="I327" s="31" t="str">
        <x:v>포함</x:v>
      </x:c>
      <x:c r="J327" s="31" t="str">
        <x:v>—</x:v>
      </x:c>
      <x:c r="K327" s="31" t="str">
        <x:v>—</x:v>
      </x:c>
      <x:c r="L327" s="31" t="str">
        <x:v>—</x:v>
      </x:c>
      <x:c r="M327" s="31" t="str">
        <x:v>포함</x:v>
      </x:c>
    </x:row>
    <x:row r="328">
      <x:c r="A328" s="34" t="n">
        <x:v>324</x:v>
      </x:c>
      <x:c r="B328" s="30" t="str">
        <x:v>코터스</x:v>
      </x:c>
      <x:c r="C328" s="30" t="str">
        <x:v>torkoal</x:v>
      </x:c>
      <x:c r="D328" s="36" t="n">
        <x:v>3</x:v>
      </x:c>
      <x:c r="E328" s="31" t="str">
        <x:v>—</x:v>
      </x:c>
      <x:c r="F328" s="31" t="str">
        <x:v>—</x:v>
      </x:c>
      <x:c r="G328" s="31" t="str">
        <x:v>포함</x:v>
      </x:c>
      <x:c r="H328" s="31" t="str">
        <x:v>—</x:v>
      </x:c>
      <x:c r="I328" s="31" t="str">
        <x:v>—</x:v>
      </x:c>
      <x:c r="J328" s="31" t="str">
        <x:v>포함</x:v>
      </x:c>
      <x:c r="K328" s="31" t="str">
        <x:v>포함</x:v>
      </x:c>
      <x:c r="L328" s="31" t="str">
        <x:v>포함</x:v>
      </x:c>
      <x:c r="M328" s="31" t="str">
        <x:v>포함</x:v>
      </x:c>
    </x:row>
    <x:row r="329">
      <x:c r="A329" s="34" t="n">
        <x:v>325</x:v>
      </x:c>
      <x:c r="B329" s="30" t="str">
        <x:v>피그점프</x:v>
      </x:c>
      <x:c r="C329" s="30" t="str">
        <x:v>spoink</x:v>
      </x:c>
      <x:c r="D329" s="36" t="n">
        <x:v>3</x:v>
      </x:c>
      <x:c r="E329" s="31" t="str">
        <x:v>—</x:v>
      </x:c>
      <x:c r="F329" s="31" t="str">
        <x:v>—</x:v>
      </x:c>
      <x:c r="G329" s="31" t="str">
        <x:v>포함</x:v>
      </x:c>
      <x:c r="H329" s="31" t="str">
        <x:v>—</x:v>
      </x:c>
      <x:c r="I329" s="31" t="str">
        <x:v>포함</x:v>
      </x:c>
      <x:c r="J329" s="31" t="str">
        <x:v>포함</x:v>
      </x:c>
      <x:c r="K329" s="31" t="str">
        <x:v>—</x:v>
      </x:c>
      <x:c r="L329" s="31" t="str">
        <x:v>—</x:v>
      </x:c>
      <x:c r="M329" s="31" t="str">
        <x:v>포함</x:v>
      </x:c>
    </x:row>
    <x:row r="330">
      <x:c r="A330" s="34" t="n">
        <x:v>326</x:v>
      </x:c>
      <x:c r="B330" s="30" t="str">
        <x:v>피그킹</x:v>
      </x:c>
      <x:c r="C330" s="30" t="str">
        <x:v>grumpig</x:v>
      </x:c>
      <x:c r="D330" s="36" t="n">
        <x:v>3</x:v>
      </x:c>
      <x:c r="E330" s="31" t="str">
        <x:v>—</x:v>
      </x:c>
      <x:c r="F330" s="31" t="str">
        <x:v>—</x:v>
      </x:c>
      <x:c r="G330" s="31" t="str">
        <x:v>포함</x:v>
      </x:c>
      <x:c r="H330" s="31" t="str">
        <x:v>—</x:v>
      </x:c>
      <x:c r="I330" s="31" t="str">
        <x:v>포함</x:v>
      </x:c>
      <x:c r="J330" s="31" t="str">
        <x:v>포함</x:v>
      </x:c>
      <x:c r="K330" s="31" t="str">
        <x:v>—</x:v>
      </x:c>
      <x:c r="L330" s="31" t="str">
        <x:v>—</x:v>
      </x:c>
      <x:c r="M330" s="31" t="str">
        <x:v>포함</x:v>
      </x:c>
    </x:row>
    <x:row r="331">
      <x:c r="A331" s="34" t="n">
        <x:v>327</x:v>
      </x:c>
      <x:c r="B331" s="30" t="str">
        <x:v>얼루기</x:v>
      </x:c>
      <x:c r="C331" s="30" t="str">
        <x:v>spinda</x:v>
      </x:c>
      <x:c r="D331" s="36" t="n">
        <x:v>3</x:v>
      </x:c>
      <x:c r="E331" s="31" t="str">
        <x:v>—</x:v>
      </x:c>
      <x:c r="F331" s="31" t="str">
        <x:v>—</x:v>
      </x:c>
      <x:c r="G331" s="31" t="str">
        <x:v>포함</x:v>
      </x:c>
      <x:c r="H331" s="31" t="str">
        <x:v>—</x:v>
      </x:c>
      <x:c r="I331" s="31" t="str">
        <x:v>—</x:v>
      </x:c>
      <x:c r="J331" s="31" t="str">
        <x:v>포함</x:v>
      </x:c>
      <x:c r="K331" s="31" t="str">
        <x:v>포함</x:v>
      </x:c>
      <x:c r="L331" s="31" t="str">
        <x:v>—</x:v>
      </x:c>
      <x:c r="M331" s="31" t="str">
        <x:v>—</x:v>
      </x:c>
    </x:row>
    <x:row r="332">
      <x:c r="A332" s="34" t="n">
        <x:v>328</x:v>
      </x:c>
      <x:c r="B332" s="30" t="str">
        <x:v>톱치</x:v>
      </x:c>
      <x:c r="C332" s="30" t="str">
        <x:v>trapinch</x:v>
      </x:c>
      <x:c r="D332" s="36" t="n">
        <x:v>3</x:v>
      </x:c>
      <x:c r="E332" s="31" t="str">
        <x:v>—</x:v>
      </x:c>
      <x:c r="F332" s="31" t="str">
        <x:v>—</x:v>
      </x:c>
      <x:c r="G332" s="31" t="str">
        <x:v>포함</x:v>
      </x:c>
      <x:c r="H332" s="31" t="str">
        <x:v>—</x:v>
      </x:c>
      <x:c r="I332" s="31" t="str">
        <x:v>포함</x:v>
      </x:c>
      <x:c r="J332" s="31" t="str">
        <x:v>포함</x:v>
      </x:c>
      <x:c r="K332" s="31" t="str">
        <x:v>포함</x:v>
      </x:c>
      <x:c r="L332" s="31" t="str">
        <x:v>포함</x:v>
      </x:c>
      <x:c r="M332" s="31" t="str">
        <x:v>포함</x:v>
      </x:c>
    </x:row>
    <x:row r="333">
      <x:c r="A333" s="34" t="n">
        <x:v>329</x:v>
      </x:c>
      <x:c r="B333" s="30" t="str">
        <x:v>비브라바</x:v>
      </x:c>
      <x:c r="C333" s="30" t="str">
        <x:v>vibrava</x:v>
      </x:c>
      <x:c r="D333" s="36" t="n">
        <x:v>3</x:v>
      </x:c>
      <x:c r="E333" s="31" t="str">
        <x:v>—</x:v>
      </x:c>
      <x:c r="F333" s="31" t="str">
        <x:v>—</x:v>
      </x:c>
      <x:c r="G333" s="31" t="str">
        <x:v>포함</x:v>
      </x:c>
      <x:c r="H333" s="31" t="str">
        <x:v>—</x:v>
      </x:c>
      <x:c r="I333" s="31" t="str">
        <x:v>포함</x:v>
      </x:c>
      <x:c r="J333" s="31" t="str">
        <x:v>포함</x:v>
      </x:c>
      <x:c r="K333" s="31" t="str">
        <x:v>포함</x:v>
      </x:c>
      <x:c r="L333" s="31" t="str">
        <x:v>포함</x:v>
      </x:c>
      <x:c r="M333" s="31" t="str">
        <x:v>포함</x:v>
      </x:c>
    </x:row>
    <x:row r="334">
      <x:c r="A334" s="34" t="n">
        <x:v>330</x:v>
      </x:c>
      <x:c r="B334" s="30" t="str">
        <x:v>플라이곤</x:v>
      </x:c>
      <x:c r="C334" s="30" t="str">
        <x:v>flygon</x:v>
      </x:c>
      <x:c r="D334" s="36" t="n">
        <x:v>3</x:v>
      </x:c>
      <x:c r="E334" s="31" t="str">
        <x:v>—</x:v>
      </x:c>
      <x:c r="F334" s="31" t="str">
        <x:v>—</x:v>
      </x:c>
      <x:c r="G334" s="31" t="str">
        <x:v>포함</x:v>
      </x:c>
      <x:c r="H334" s="31" t="str">
        <x:v>—</x:v>
      </x:c>
      <x:c r="I334" s="31" t="str">
        <x:v>포함</x:v>
      </x:c>
      <x:c r="J334" s="31" t="str">
        <x:v>포함</x:v>
      </x:c>
      <x:c r="K334" s="31" t="str">
        <x:v>포함</x:v>
      </x:c>
      <x:c r="L334" s="31" t="str">
        <x:v>포함</x:v>
      </x:c>
      <x:c r="M334" s="31" t="str">
        <x:v>포함</x:v>
      </x:c>
    </x:row>
    <x:row r="335">
      <x:c r="A335" s="34" t="n">
        <x:v>331</x:v>
      </x:c>
      <x:c r="B335" s="30" t="str">
        <x:v>선인왕</x:v>
      </x:c>
      <x:c r="C335" s="30" t="str">
        <x:v>cacnea</x:v>
      </x:c>
      <x:c r="D335" s="36" t="n">
        <x:v>3</x:v>
      </x:c>
      <x:c r="E335" s="31" t="str">
        <x:v>—</x:v>
      </x:c>
      <x:c r="F335" s="31" t="str">
        <x:v>—</x:v>
      </x:c>
      <x:c r="G335" s="31" t="str">
        <x:v>포함</x:v>
      </x:c>
      <x:c r="H335" s="31" t="str">
        <x:v>—</x:v>
      </x:c>
      <x:c r="I335" s="31" t="str">
        <x:v>—</x:v>
      </x:c>
      <x:c r="J335" s="31" t="str">
        <x:v>—</x:v>
      </x:c>
      <x:c r="K335" s="31" t="str">
        <x:v>—</x:v>
      </x:c>
      <x:c r="L335" s="31" t="str">
        <x:v>—</x:v>
      </x:c>
      <x:c r="M335" s="31" t="str">
        <x:v>포함</x:v>
      </x:c>
    </x:row>
    <x:row r="336">
      <x:c r="A336" s="34" t="n">
        <x:v>332</x:v>
      </x:c>
      <x:c r="B336" s="30" t="str">
        <x:v>밤선인</x:v>
      </x:c>
      <x:c r="C336" s="30" t="str">
        <x:v>cacturne</x:v>
      </x:c>
      <x:c r="D336" s="36" t="n">
        <x:v>3</x:v>
      </x:c>
      <x:c r="E336" s="31" t="str">
        <x:v>—</x:v>
      </x:c>
      <x:c r="F336" s="31" t="str">
        <x:v>—</x:v>
      </x:c>
      <x:c r="G336" s="31" t="str">
        <x:v>포함</x:v>
      </x:c>
      <x:c r="H336" s="31" t="str">
        <x:v>—</x:v>
      </x:c>
      <x:c r="I336" s="31" t="str">
        <x:v>—</x:v>
      </x:c>
      <x:c r="J336" s="31" t="str">
        <x:v>—</x:v>
      </x:c>
      <x:c r="K336" s="31" t="str">
        <x:v>—</x:v>
      </x:c>
      <x:c r="L336" s="31" t="str">
        <x:v>—</x:v>
      </x:c>
      <x:c r="M336" s="31" t="str">
        <x:v>포함</x:v>
      </x:c>
    </x:row>
    <x:row r="337">
      <x:c r="A337" s="34" t="n">
        <x:v>333</x:v>
      </x:c>
      <x:c r="B337" s="30" t="str">
        <x:v>파비코</x:v>
      </x:c>
      <x:c r="C337" s="30" t="str">
        <x:v>swablu</x:v>
      </x:c>
      <x:c r="D337" s="36" t="n">
        <x:v>3</x:v>
      </x:c>
      <x:c r="E337" s="31" t="str">
        <x:v>—</x:v>
      </x:c>
      <x:c r="F337" s="31" t="str">
        <x:v>—</x:v>
      </x:c>
      <x:c r="G337" s="31" t="str">
        <x:v>포함</x:v>
      </x:c>
      <x:c r="H337" s="31" t="str">
        <x:v>포함</x:v>
      </x:c>
      <x:c r="I337" s="31" t="str">
        <x:v>포함</x:v>
      </x:c>
      <x:c r="J337" s="31" t="str">
        <x:v>포함</x:v>
      </x:c>
      <x:c r="K337" s="31" t="str">
        <x:v>—</x:v>
      </x:c>
      <x:c r="L337" s="31" t="str">
        <x:v>포함</x:v>
      </x:c>
      <x:c r="M337" s="31" t="str">
        <x:v>포함</x:v>
      </x:c>
    </x:row>
    <x:row r="338">
      <x:c r="A338" s="34" t="n">
        <x:v>334</x:v>
      </x:c>
      <x:c r="B338" s="30" t="str">
        <x:v>파비코리</x:v>
      </x:c>
      <x:c r="C338" s="30" t="str">
        <x:v>altaria</x:v>
      </x:c>
      <x:c r="D338" s="36" t="n">
        <x:v>3</x:v>
      </x:c>
      <x:c r="E338" s="31" t="str">
        <x:v>—</x:v>
      </x:c>
      <x:c r="F338" s="31" t="str">
        <x:v>—</x:v>
      </x:c>
      <x:c r="G338" s="31" t="str">
        <x:v>포함</x:v>
      </x:c>
      <x:c r="H338" s="31" t="str">
        <x:v>포함</x:v>
      </x:c>
      <x:c r="I338" s="31" t="str">
        <x:v>포함</x:v>
      </x:c>
      <x:c r="J338" s="31" t="str">
        <x:v>포함</x:v>
      </x:c>
      <x:c r="K338" s="31" t="str">
        <x:v>—</x:v>
      </x:c>
      <x:c r="L338" s="31" t="str">
        <x:v>포함</x:v>
      </x:c>
      <x:c r="M338" s="31" t="str">
        <x:v>포함</x:v>
      </x:c>
    </x:row>
    <x:row r="339">
      <x:c r="A339" s="34" t="n">
        <x:v>335</x:v>
      </x:c>
      <x:c r="B339" s="30" t="str">
        <x:v>쟝고</x:v>
      </x:c>
      <x:c r="C339" s="30" t="str">
        <x:v>zangoose</x:v>
      </x:c>
      <x:c r="D339" s="36" t="n">
        <x:v>3</x:v>
      </x:c>
      <x:c r="E339" s="31" t="str">
        <x:v>—</x:v>
      </x:c>
      <x:c r="F339" s="31" t="str">
        <x:v>—</x:v>
      </x:c>
      <x:c r="G339" s="31" t="str">
        <x:v>포함</x:v>
      </x:c>
      <x:c r="H339" s="31" t="str">
        <x:v>—</x:v>
      </x:c>
      <x:c r="I339" s="31" t="str">
        <x:v>포함</x:v>
      </x:c>
      <x:c r="J339" s="31" t="str">
        <x:v>포함</x:v>
      </x:c>
      <x:c r="K339" s="31" t="str">
        <x:v>—</x:v>
      </x:c>
      <x:c r="L339" s="31" t="str">
        <x:v>—</x:v>
      </x:c>
      <x:c r="M339" s="31" t="str">
        <x:v>포함</x:v>
      </x:c>
    </x:row>
    <x:row r="340">
      <x:c r="A340" s="34" t="n">
        <x:v>336</x:v>
      </x:c>
      <x:c r="B340" s="30" t="str">
        <x:v>세비퍼</x:v>
      </x:c>
      <x:c r="C340" s="30" t="str">
        <x:v>seviper</x:v>
      </x:c>
      <x:c r="D340" s="36" t="n">
        <x:v>3</x:v>
      </x:c>
      <x:c r="E340" s="31" t="str">
        <x:v>—</x:v>
      </x:c>
      <x:c r="F340" s="31" t="str">
        <x:v>—</x:v>
      </x:c>
      <x:c r="G340" s="31" t="str">
        <x:v>포함</x:v>
      </x:c>
      <x:c r="H340" s="31" t="str">
        <x:v>—</x:v>
      </x:c>
      <x:c r="I340" s="31" t="str">
        <x:v>포함</x:v>
      </x:c>
      <x:c r="J340" s="31" t="str">
        <x:v>포함</x:v>
      </x:c>
      <x:c r="K340" s="31" t="str">
        <x:v>—</x:v>
      </x:c>
      <x:c r="L340" s="31" t="str">
        <x:v>—</x:v>
      </x:c>
      <x:c r="M340" s="31" t="str">
        <x:v>포함</x:v>
      </x:c>
    </x:row>
    <x:row r="341">
      <x:c r="A341" s="34" t="n">
        <x:v>337</x:v>
      </x:c>
      <x:c r="B341" s="30" t="str">
        <x:v>루나톤</x:v>
      </x:c>
      <x:c r="C341" s="30" t="str">
        <x:v>lunatone</x:v>
      </x:c>
      <x:c r="D341" s="36" t="n">
        <x:v>3</x:v>
      </x:c>
      <x:c r="E341" s="31" t="str">
        <x:v>—</x:v>
      </x:c>
      <x:c r="F341" s="31" t="str">
        <x:v>—</x:v>
      </x:c>
      <x:c r="G341" s="31" t="str">
        <x:v>포함</x:v>
      </x:c>
      <x:c r="H341" s="31" t="str">
        <x:v>—</x:v>
      </x:c>
      <x:c r="I341" s="31" t="str">
        <x:v>포함</x:v>
      </x:c>
      <x:c r="J341" s="31" t="str">
        <x:v>포함</x:v>
      </x:c>
      <x:c r="K341" s="31" t="str">
        <x:v>—</x:v>
      </x:c>
      <x:c r="L341" s="31" t="str">
        <x:v>포함</x:v>
      </x:c>
      <x:c r="M341" s="31" t="str">
        <x:v>—</x:v>
      </x:c>
    </x:row>
    <x:row r="342">
      <x:c r="A342" s="34" t="n">
        <x:v>338</x:v>
      </x:c>
      <x:c r="B342" s="30" t="str">
        <x:v>솔록</x:v>
      </x:c>
      <x:c r="C342" s="30" t="str">
        <x:v>solrock</x:v>
      </x:c>
      <x:c r="D342" s="36" t="n">
        <x:v>3</x:v>
      </x:c>
      <x:c r="E342" s="31" t="str">
        <x:v>—</x:v>
      </x:c>
      <x:c r="F342" s="31" t="str">
        <x:v>—</x:v>
      </x:c>
      <x:c r="G342" s="31" t="str">
        <x:v>포함</x:v>
      </x:c>
      <x:c r="H342" s="31" t="str">
        <x:v>—</x:v>
      </x:c>
      <x:c r="I342" s="31" t="str">
        <x:v>포함</x:v>
      </x:c>
      <x:c r="J342" s="31" t="str">
        <x:v>포함</x:v>
      </x:c>
      <x:c r="K342" s="31" t="str">
        <x:v>—</x:v>
      </x:c>
      <x:c r="L342" s="31" t="str">
        <x:v>포함</x:v>
      </x:c>
      <x:c r="M342" s="31" t="str">
        <x:v>—</x:v>
      </x:c>
    </x:row>
    <x:row r="343">
      <x:c r="A343" s="34" t="n">
        <x:v>339</x:v>
      </x:c>
      <x:c r="B343" s="30" t="str">
        <x:v>미꾸리</x:v>
      </x:c>
      <x:c r="C343" s="30" t="str">
        <x:v>barboach</x:v>
      </x:c>
      <x:c r="D343" s="36" t="n">
        <x:v>3</x:v>
      </x:c>
      <x:c r="E343" s="31" t="str">
        <x:v>—</x:v>
      </x:c>
      <x:c r="F343" s="31" t="str">
        <x:v>—</x:v>
      </x:c>
      <x:c r="G343" s="31" t="str">
        <x:v>포함</x:v>
      </x:c>
      <x:c r="H343" s="31" t="str">
        <x:v>포함</x:v>
      </x:c>
      <x:c r="I343" s="31" t="str">
        <x:v>—</x:v>
      </x:c>
      <x:c r="J343" s="31" t="str">
        <x:v>포함</x:v>
      </x:c>
      <x:c r="K343" s="31" t="str">
        <x:v>포함</x:v>
      </x:c>
      <x:c r="L343" s="31" t="str">
        <x:v>포함</x:v>
      </x:c>
      <x:c r="M343" s="31" t="str">
        <x:v>포함</x:v>
      </x:c>
    </x:row>
    <x:row r="344">
      <x:c r="A344" s="34" t="n">
        <x:v>340</x:v>
      </x:c>
      <x:c r="B344" s="30" t="str">
        <x:v>메깅</x:v>
      </x:c>
      <x:c r="C344" s="30" t="str">
        <x:v>whiscash</x:v>
      </x:c>
      <x:c r="D344" s="36" t="n">
        <x:v>3</x:v>
      </x:c>
      <x:c r="E344" s="31" t="str">
        <x:v>—</x:v>
      </x:c>
      <x:c r="F344" s="31" t="str">
        <x:v>—</x:v>
      </x:c>
      <x:c r="G344" s="31" t="str">
        <x:v>포함</x:v>
      </x:c>
      <x:c r="H344" s="31" t="str">
        <x:v>포함</x:v>
      </x:c>
      <x:c r="I344" s="31" t="str">
        <x:v>—</x:v>
      </x:c>
      <x:c r="J344" s="31" t="str">
        <x:v>포함</x:v>
      </x:c>
      <x:c r="K344" s="31" t="str">
        <x:v>포함</x:v>
      </x:c>
      <x:c r="L344" s="31" t="str">
        <x:v>포함</x:v>
      </x:c>
      <x:c r="M344" s="31" t="str">
        <x:v>포함</x:v>
      </x:c>
    </x:row>
    <x:row r="345">
      <x:c r="A345" s="34" t="n">
        <x:v>341</x:v>
      </x:c>
      <x:c r="B345" s="30" t="str">
        <x:v>가재군</x:v>
      </x:c>
      <x:c r="C345" s="30" t="str">
        <x:v>corphish</x:v>
      </x:c>
      <x:c r="D345" s="36" t="n">
        <x:v>3</x:v>
      </x:c>
      <x:c r="E345" s="31" t="str">
        <x:v>—</x:v>
      </x:c>
      <x:c r="F345" s="31" t="str">
        <x:v>—</x:v>
      </x:c>
      <x:c r="G345" s="31" t="str">
        <x:v>포함</x:v>
      </x:c>
      <x:c r="H345" s="31" t="str">
        <x:v>—</x:v>
      </x:c>
      <x:c r="I345" s="31" t="str">
        <x:v>포함</x:v>
      </x:c>
      <x:c r="J345" s="31" t="str">
        <x:v>포함</x:v>
      </x:c>
      <x:c r="K345" s="31" t="str">
        <x:v>포함</x:v>
      </x:c>
      <x:c r="L345" s="31" t="str">
        <x:v>포함</x:v>
      </x:c>
      <x:c r="M345" s="31" t="str">
        <x:v>포함</x:v>
      </x:c>
    </x:row>
    <x:row r="346">
      <x:c r="A346" s="34" t="n">
        <x:v>342</x:v>
      </x:c>
      <x:c r="B346" s="30" t="str">
        <x:v>가재장군</x:v>
      </x:c>
      <x:c r="C346" s="30" t="str">
        <x:v>crawdaunt</x:v>
      </x:c>
      <x:c r="D346" s="36" t="n">
        <x:v>3</x:v>
      </x:c>
      <x:c r="E346" s="31" t="str">
        <x:v>—</x:v>
      </x:c>
      <x:c r="F346" s="31" t="str">
        <x:v>—</x:v>
      </x:c>
      <x:c r="G346" s="31" t="str">
        <x:v>포함</x:v>
      </x:c>
      <x:c r="H346" s="31" t="str">
        <x:v>—</x:v>
      </x:c>
      <x:c r="I346" s="31" t="str">
        <x:v>포함</x:v>
      </x:c>
      <x:c r="J346" s="31" t="str">
        <x:v>포함</x:v>
      </x:c>
      <x:c r="K346" s="31" t="str">
        <x:v>포함</x:v>
      </x:c>
      <x:c r="L346" s="31" t="str">
        <x:v>포함</x:v>
      </x:c>
      <x:c r="M346" s="31" t="str">
        <x:v>포함</x:v>
      </x:c>
    </x:row>
    <x:row r="347">
      <x:c r="A347" s="34" t="n">
        <x:v>343</x:v>
      </x:c>
      <x:c r="B347" s="30" t="str">
        <x:v>오뚝군</x:v>
      </x:c>
      <x:c r="C347" s="30" t="str">
        <x:v>baltoy</x:v>
      </x:c>
      <x:c r="D347" s="36" t="n">
        <x:v>3</x:v>
      </x:c>
      <x:c r="E347" s="31" t="str">
        <x:v>—</x:v>
      </x:c>
      <x:c r="F347" s="31" t="str">
        <x:v>—</x:v>
      </x:c>
      <x:c r="G347" s="31" t="str">
        <x:v>포함</x:v>
      </x:c>
      <x:c r="H347" s="31" t="str">
        <x:v>—</x:v>
      </x:c>
      <x:c r="I347" s="31" t="str">
        <x:v>포함</x:v>
      </x:c>
      <x:c r="J347" s="31" t="str">
        <x:v>—</x:v>
      </x:c>
      <x:c r="K347" s="31" t="str">
        <x:v>포함</x:v>
      </x:c>
      <x:c r="L347" s="31" t="str">
        <x:v>포함</x:v>
      </x:c>
      <x:c r="M347" s="31" t="str">
        <x:v>—</x:v>
      </x:c>
    </x:row>
    <x:row r="348">
      <x:c r="A348" s="34" t="n">
        <x:v>344</x:v>
      </x:c>
      <x:c r="B348" s="30" t="str">
        <x:v>점토도리</x:v>
      </x:c>
      <x:c r="C348" s="30" t="str">
        <x:v>claydol</x:v>
      </x:c>
      <x:c r="D348" s="36" t="n">
        <x:v>3</x:v>
      </x:c>
      <x:c r="E348" s="31" t="str">
        <x:v>—</x:v>
      </x:c>
      <x:c r="F348" s="31" t="str">
        <x:v>—</x:v>
      </x:c>
      <x:c r="G348" s="31" t="str">
        <x:v>포함</x:v>
      </x:c>
      <x:c r="H348" s="31" t="str">
        <x:v>—</x:v>
      </x:c>
      <x:c r="I348" s="31" t="str">
        <x:v>포함</x:v>
      </x:c>
      <x:c r="J348" s="31" t="str">
        <x:v>—</x:v>
      </x:c>
      <x:c r="K348" s="31" t="str">
        <x:v>포함</x:v>
      </x:c>
      <x:c r="L348" s="31" t="str">
        <x:v>포함</x:v>
      </x:c>
      <x:c r="M348" s="31" t="str">
        <x:v>—</x:v>
      </x:c>
    </x:row>
    <x:row r="349">
      <x:c r="A349" s="34" t="n">
        <x:v>345</x:v>
      </x:c>
      <x:c r="B349" s="30" t="str">
        <x:v>릴링</x:v>
      </x:c>
      <x:c r="C349" s="30" t="str">
        <x:v>lileep</x:v>
      </x:c>
      <x:c r="D349" s="36" t="n">
        <x:v>3</x:v>
      </x:c>
      <x:c r="E349" s="31" t="str">
        <x:v>—</x:v>
      </x:c>
      <x:c r="F349" s="31" t="str">
        <x:v>—</x:v>
      </x:c>
      <x:c r="G349" s="31" t="str">
        <x:v>포함</x:v>
      </x:c>
      <x:c r="H349" s="31" t="str">
        <x:v>—</x:v>
      </x:c>
      <x:c r="I349" s="31" t="str">
        <x:v>—</x:v>
      </x:c>
      <x:c r="J349" s="31" t="str">
        <x:v>—</x:v>
      </x:c>
      <x:c r="K349" s="31" t="str">
        <x:v>포함</x:v>
      </x:c>
      <x:c r="L349" s="31" t="str">
        <x:v>포함</x:v>
      </x:c>
      <x:c r="M349" s="31" t="str">
        <x:v>—</x:v>
      </x:c>
    </x:row>
    <x:row r="350">
      <x:c r="A350" s="34" t="n">
        <x:v>346</x:v>
      </x:c>
      <x:c r="B350" s="30" t="str">
        <x:v>릴리요</x:v>
      </x:c>
      <x:c r="C350" s="30" t="str">
        <x:v>cradily</x:v>
      </x:c>
      <x:c r="D350" s="36" t="n">
        <x:v>3</x:v>
      </x:c>
      <x:c r="E350" s="31" t="str">
        <x:v>—</x:v>
      </x:c>
      <x:c r="F350" s="31" t="str">
        <x:v>—</x:v>
      </x:c>
      <x:c r="G350" s="31" t="str">
        <x:v>포함</x:v>
      </x:c>
      <x:c r="H350" s="31" t="str">
        <x:v>—</x:v>
      </x:c>
      <x:c r="I350" s="31" t="str">
        <x:v>—</x:v>
      </x:c>
      <x:c r="J350" s="31" t="str">
        <x:v>—</x:v>
      </x:c>
      <x:c r="K350" s="31" t="str">
        <x:v>포함</x:v>
      </x:c>
      <x:c r="L350" s="31" t="str">
        <x:v>포함</x:v>
      </x:c>
      <x:c r="M350" s="31" t="str">
        <x:v>—</x:v>
      </x:c>
    </x:row>
    <x:row r="351">
      <x:c r="A351" s="34" t="n">
        <x:v>347</x:v>
      </x:c>
      <x:c r="B351" s="30" t="str">
        <x:v>아노딥스</x:v>
      </x:c>
      <x:c r="C351" s="30" t="str">
        <x:v>anorith</x:v>
      </x:c>
      <x:c r="D351" s="36" t="n">
        <x:v>3</x:v>
      </x:c>
      <x:c r="E351" s="31" t="str">
        <x:v>—</x:v>
      </x:c>
      <x:c r="F351" s="31" t="str">
        <x:v>—</x:v>
      </x:c>
      <x:c r="G351" s="31" t="str">
        <x:v>포함</x:v>
      </x:c>
      <x:c r="H351" s="31" t="str">
        <x:v>—</x:v>
      </x:c>
      <x:c r="I351" s="31" t="str">
        <x:v>—</x:v>
      </x:c>
      <x:c r="J351" s="31" t="str">
        <x:v>—</x:v>
      </x:c>
      <x:c r="K351" s="31" t="str">
        <x:v>포함</x:v>
      </x:c>
      <x:c r="L351" s="31" t="str">
        <x:v>포함</x:v>
      </x:c>
      <x:c r="M351" s="31" t="str">
        <x:v>—</x:v>
      </x:c>
    </x:row>
    <x:row r="352">
      <x:c r="A352" s="34" t="n">
        <x:v>348</x:v>
      </x:c>
      <x:c r="B352" s="30" t="str">
        <x:v>아말도</x:v>
      </x:c>
      <x:c r="C352" s="30" t="str">
        <x:v>armaldo</x:v>
      </x:c>
      <x:c r="D352" s="36" t="n">
        <x:v>3</x:v>
      </x:c>
      <x:c r="E352" s="31" t="str">
        <x:v>—</x:v>
      </x:c>
      <x:c r="F352" s="31" t="str">
        <x:v>—</x:v>
      </x:c>
      <x:c r="G352" s="31" t="str">
        <x:v>포함</x:v>
      </x:c>
      <x:c r="H352" s="31" t="str">
        <x:v>—</x:v>
      </x:c>
      <x:c r="I352" s="31" t="str">
        <x:v>—</x:v>
      </x:c>
      <x:c r="J352" s="31" t="str">
        <x:v>—</x:v>
      </x:c>
      <x:c r="K352" s="31" t="str">
        <x:v>포함</x:v>
      </x:c>
      <x:c r="L352" s="31" t="str">
        <x:v>포함</x:v>
      </x:c>
      <x:c r="M352" s="31" t="str">
        <x:v>—</x:v>
      </x:c>
    </x:row>
    <x:row r="353">
      <x:c r="A353" s="34" t="n">
        <x:v>349</x:v>
      </x:c>
      <x:c r="B353" s="30" t="str">
        <x:v>빈티나</x:v>
      </x:c>
      <x:c r="C353" s="30" t="str">
        <x:v>feebas</x:v>
      </x:c>
      <x:c r="D353" s="36" t="n">
        <x:v>3</x:v>
      </x:c>
      <x:c r="E353" s="31" t="str">
        <x:v>—</x:v>
      </x:c>
      <x:c r="F353" s="31" t="str">
        <x:v>—</x:v>
      </x:c>
      <x:c r="G353" s="31" t="str">
        <x:v>포함</x:v>
      </x:c>
      <x:c r="H353" s="31" t="str">
        <x:v>포함</x:v>
      </x:c>
      <x:c r="I353" s="31" t="str">
        <x:v>—</x:v>
      </x:c>
      <x:c r="J353" s="31" t="str">
        <x:v>—</x:v>
      </x:c>
      <x:c r="K353" s="31" t="str">
        <x:v>포함</x:v>
      </x:c>
      <x:c r="L353" s="31" t="str">
        <x:v>포함</x:v>
      </x:c>
      <x:c r="M353" s="31" t="str">
        <x:v>포함</x:v>
      </x:c>
    </x:row>
    <x:row r="354">
      <x:c r="A354" s="34" t="n">
        <x:v>350</x:v>
      </x:c>
      <x:c r="B354" s="30" t="str">
        <x:v>밀로틱</x:v>
      </x:c>
      <x:c r="C354" s="30" t="str">
        <x:v>milotic</x:v>
      </x:c>
      <x:c r="D354" s="36" t="n">
        <x:v>3</x:v>
      </x:c>
      <x:c r="E354" s="31" t="str">
        <x:v>—</x:v>
      </x:c>
      <x:c r="F354" s="31" t="str">
        <x:v>—</x:v>
      </x:c>
      <x:c r="G354" s="31" t="str">
        <x:v>포함</x:v>
      </x:c>
      <x:c r="H354" s="31" t="str">
        <x:v>포함</x:v>
      </x:c>
      <x:c r="I354" s="31" t="str">
        <x:v>—</x:v>
      </x:c>
      <x:c r="J354" s="31" t="str">
        <x:v>—</x:v>
      </x:c>
      <x:c r="K354" s="31" t="str">
        <x:v>포함</x:v>
      </x:c>
      <x:c r="L354" s="31" t="str">
        <x:v>포함</x:v>
      </x:c>
      <x:c r="M354" s="31" t="str">
        <x:v>포함</x:v>
      </x:c>
    </x:row>
    <x:row r="355">
      <x:c r="A355" s="34" t="n">
        <x:v>351</x:v>
      </x:c>
      <x:c r="B355" s="30" t="str">
        <x:v>캐스퐁</x:v>
      </x:c>
      <x:c r="C355" s="30" t="str">
        <x:v>castform</x:v>
      </x:c>
      <x:c r="D355" s="36" t="n">
        <x:v>3</x:v>
      </x:c>
      <x:c r="E355" s="31" t="str">
        <x:v>—</x:v>
      </x:c>
      <x:c r="F355" s="31" t="str">
        <x:v>—</x:v>
      </x:c>
      <x:c r="G355" s="31" t="str">
        <x:v>포함</x:v>
      </x:c>
      <x:c r="H355" s="31" t="str">
        <x:v>—</x:v>
      </x:c>
      <x:c r="I355" s="31" t="str">
        <x:v>포함</x:v>
      </x:c>
      <x:c r="J355" s="31" t="str">
        <x:v>—</x:v>
      </x:c>
      <x:c r="K355" s="31" t="str">
        <x:v>포함</x:v>
      </x:c>
      <x:c r="L355" s="31" t="str">
        <x:v>—</x:v>
      </x:c>
      <x:c r="M355" s="31" t="str">
        <x:v>—</x:v>
      </x:c>
    </x:row>
    <x:row r="356">
      <x:c r="A356" s="34" t="n">
        <x:v>352</x:v>
      </x:c>
      <x:c r="B356" s="30" t="str">
        <x:v>켈리몬</x:v>
      </x:c>
      <x:c r="C356" s="30" t="str">
        <x:v>kecleon</x:v>
      </x:c>
      <x:c r="D356" s="36" t="n">
        <x:v>3</x:v>
      </x:c>
      <x:c r="E356" s="31" t="str">
        <x:v>—</x:v>
      </x:c>
      <x:c r="F356" s="31" t="str">
        <x:v>—</x:v>
      </x:c>
      <x:c r="G356" s="31" t="str">
        <x:v>포함</x:v>
      </x:c>
      <x:c r="H356" s="31" t="str">
        <x:v>—</x:v>
      </x:c>
      <x:c r="I356" s="31" t="str">
        <x:v>—</x:v>
      </x:c>
      <x:c r="J356" s="31" t="str">
        <x:v>포함</x:v>
      </x:c>
      <x:c r="K356" s="31" t="str">
        <x:v>포함</x:v>
      </x:c>
      <x:c r="L356" s="31" t="str">
        <x:v>—</x:v>
      </x:c>
      <x:c r="M356" s="31" t="str">
        <x:v>—</x:v>
      </x:c>
    </x:row>
    <x:row r="357">
      <x:c r="A357" s="34" t="n">
        <x:v>353</x:v>
      </x:c>
      <x:c r="B357" s="30" t="str">
        <x:v>어둠대신</x:v>
      </x:c>
      <x:c r="C357" s="30" t="str">
        <x:v>shuppet</x:v>
      </x:c>
      <x:c r="D357" s="36" t="n">
        <x:v>3</x:v>
      </x:c>
      <x:c r="E357" s="31" t="str">
        <x:v>—</x:v>
      </x:c>
      <x:c r="F357" s="31" t="str">
        <x:v>—</x:v>
      </x:c>
      <x:c r="G357" s="31" t="str">
        <x:v>포함</x:v>
      </x:c>
      <x:c r="H357" s="31" t="str">
        <x:v>—</x:v>
      </x:c>
      <x:c r="I357" s="31" t="str">
        <x:v>포함</x:v>
      </x:c>
      <x:c r="J357" s="31" t="str">
        <x:v>포함</x:v>
      </x:c>
      <x:c r="K357" s="31" t="str">
        <x:v>포함</x:v>
      </x:c>
      <x:c r="L357" s="31" t="str">
        <x:v>—</x:v>
      </x:c>
      <x:c r="M357" s="31" t="str">
        <x:v>포함</x:v>
      </x:c>
    </x:row>
    <x:row r="358">
      <x:c r="A358" s="34" t="n">
        <x:v>354</x:v>
      </x:c>
      <x:c r="B358" s="30" t="str">
        <x:v>다크펫</x:v>
      </x:c>
      <x:c r="C358" s="30" t="str">
        <x:v>banette</x:v>
      </x:c>
      <x:c r="D358" s="36" t="n">
        <x:v>3</x:v>
      </x:c>
      <x:c r="E358" s="31" t="str">
        <x:v>—</x:v>
      </x:c>
      <x:c r="F358" s="31" t="str">
        <x:v>—</x:v>
      </x:c>
      <x:c r="G358" s="31" t="str">
        <x:v>포함</x:v>
      </x:c>
      <x:c r="H358" s="31" t="str">
        <x:v>—</x:v>
      </x:c>
      <x:c r="I358" s="31" t="str">
        <x:v>포함</x:v>
      </x:c>
      <x:c r="J358" s="31" t="str">
        <x:v>포함</x:v>
      </x:c>
      <x:c r="K358" s="31" t="str">
        <x:v>포함</x:v>
      </x:c>
      <x:c r="L358" s="31" t="str">
        <x:v>—</x:v>
      </x:c>
      <x:c r="M358" s="31" t="str">
        <x:v>포함</x:v>
      </x:c>
    </x:row>
    <x:row r="359">
      <x:c r="A359" s="34" t="n">
        <x:v>355</x:v>
      </x:c>
      <x:c r="B359" s="30" t="str">
        <x:v>해골몽</x:v>
      </x:c>
      <x:c r="C359" s="30" t="str">
        <x:v>duskull</x:v>
      </x:c>
      <x:c r="D359" s="36" t="n">
        <x:v>3</x:v>
      </x:c>
      <x:c r="E359" s="31" t="str">
        <x:v>—</x:v>
      </x:c>
      <x:c r="F359" s="31" t="str">
        <x:v>—</x:v>
      </x:c>
      <x:c r="G359" s="31" t="str">
        <x:v>포함</x:v>
      </x:c>
      <x:c r="H359" s="31" t="str">
        <x:v>포함</x:v>
      </x:c>
      <x:c r="I359" s="31" t="str">
        <x:v>—</x:v>
      </x:c>
      <x:c r="J359" s="31" t="str">
        <x:v>—</x:v>
      </x:c>
      <x:c r="K359" s="31" t="str">
        <x:v>—</x:v>
      </x:c>
      <x:c r="L359" s="31" t="str">
        <x:v>포함</x:v>
      </x:c>
      <x:c r="M359" s="31" t="str">
        <x:v>포함</x:v>
      </x:c>
    </x:row>
    <x:row r="360">
      <x:c r="A360" s="34" t="n">
        <x:v>356</x:v>
      </x:c>
      <x:c r="B360" s="30" t="str">
        <x:v>미라몽</x:v>
      </x:c>
      <x:c r="C360" s="30" t="str">
        <x:v>dusclops</x:v>
      </x:c>
      <x:c r="D360" s="36" t="n">
        <x:v>3</x:v>
      </x:c>
      <x:c r="E360" s="31" t="str">
        <x:v>—</x:v>
      </x:c>
      <x:c r="F360" s="31" t="str">
        <x:v>—</x:v>
      </x:c>
      <x:c r="G360" s="31" t="str">
        <x:v>포함</x:v>
      </x:c>
      <x:c r="H360" s="31" t="str">
        <x:v>포함</x:v>
      </x:c>
      <x:c r="I360" s="31" t="str">
        <x:v>—</x:v>
      </x:c>
      <x:c r="J360" s="31" t="str">
        <x:v>—</x:v>
      </x:c>
      <x:c r="K360" s="31" t="str">
        <x:v>—</x:v>
      </x:c>
      <x:c r="L360" s="31" t="str">
        <x:v>포함</x:v>
      </x:c>
      <x:c r="M360" s="31" t="str">
        <x:v>포함</x:v>
      </x:c>
    </x:row>
    <x:row r="361">
      <x:c r="A361" s="34" t="n">
        <x:v>357</x:v>
      </x:c>
      <x:c r="B361" s="30" t="str">
        <x:v>트로피우스</x:v>
      </x:c>
      <x:c r="C361" s="30" t="str">
        <x:v>tropius</x:v>
      </x:c>
      <x:c r="D361" s="36" t="n">
        <x:v>3</x:v>
      </x:c>
      <x:c r="E361" s="31" t="str">
        <x:v>—</x:v>
      </x:c>
      <x:c r="F361" s="31" t="str">
        <x:v>—</x:v>
      </x:c>
      <x:c r="G361" s="31" t="str">
        <x:v>포함</x:v>
      </x:c>
      <x:c r="H361" s="31" t="str">
        <x:v>포함</x:v>
      </x:c>
      <x:c r="I361" s="31" t="str">
        <x:v>포함</x:v>
      </x:c>
      <x:c r="J361" s="31" t="str">
        <x:v>—</x:v>
      </x:c>
      <x:c r="K361" s="31" t="str">
        <x:v>포함</x:v>
      </x:c>
      <x:c r="L361" s="31" t="str">
        <x:v>—</x:v>
      </x:c>
      <x:c r="M361" s="31" t="str">
        <x:v>포함</x:v>
      </x:c>
    </x:row>
    <x:row r="362">
      <x:c r="A362" s="34" t="n">
        <x:v>358</x:v>
      </x:c>
      <x:c r="B362" s="30" t="str">
        <x:v>치렁</x:v>
      </x:c>
      <x:c r="C362" s="30" t="str">
        <x:v>chimecho</x:v>
      </x:c>
      <x:c r="D362" s="36" t="n">
        <x:v>3</x:v>
      </x:c>
      <x:c r="E362" s="31" t="str">
        <x:v>—</x:v>
      </x:c>
      <x:c r="F362" s="31" t="str">
        <x:v>—</x:v>
      </x:c>
      <x:c r="G362" s="31" t="str">
        <x:v>포함</x:v>
      </x:c>
      <x:c r="H362" s="31" t="str">
        <x:v>포함</x:v>
      </x:c>
      <x:c r="I362" s="31" t="str">
        <x:v>—</x:v>
      </x:c>
      <x:c r="J362" s="31" t="str">
        <x:v>포함</x:v>
      </x:c>
      <x:c r="K362" s="31" t="str">
        <x:v>—</x:v>
      </x:c>
      <x:c r="L362" s="31" t="str">
        <x:v>—</x:v>
      </x:c>
      <x:c r="M362" s="31" t="str">
        <x:v>포함</x:v>
      </x:c>
    </x:row>
    <x:row r="363">
      <x:c r="A363" s="34" t="n">
        <x:v>359</x:v>
      </x:c>
      <x:c r="B363" s="30" t="str">
        <x:v>앱솔</x:v>
      </x:c>
      <x:c r="C363" s="30" t="str">
        <x:v>absol</x:v>
      </x:c>
      <x:c r="D363" s="36" t="n">
        <x:v>3</x:v>
      </x:c>
      <x:c r="E363" s="31" t="str">
        <x:v>—</x:v>
      </x:c>
      <x:c r="F363" s="31" t="str">
        <x:v>—</x:v>
      </x:c>
      <x:c r="G363" s="31" t="str">
        <x:v>포함</x:v>
      </x:c>
      <x:c r="H363" s="31" t="str">
        <x:v>포함</x:v>
      </x:c>
      <x:c r="I363" s="31" t="str">
        <x:v>포함</x:v>
      </x:c>
      <x:c r="J363" s="31" t="str">
        <x:v>포함</x:v>
      </x:c>
      <x:c r="K363" s="31" t="str">
        <x:v>포함</x:v>
      </x:c>
      <x:c r="L363" s="31" t="str">
        <x:v>포함</x:v>
      </x:c>
      <x:c r="M363" s="31" t="str">
        <x:v>—</x:v>
      </x:c>
    </x:row>
    <x:row r="364">
      <x:c r="A364" s="34" t="n">
        <x:v>360</x:v>
      </x:c>
      <x:c r="B364" s="30" t="str">
        <x:v>마자</x:v>
      </x:c>
      <x:c r="C364" s="30" t="str">
        <x:v>wynaut</x:v>
      </x:c>
      <x:c r="D364" s="36" t="n">
        <x:v>3</x:v>
      </x:c>
      <x:c r="E364" s="31" t="str">
        <x:v>—</x:v>
      </x:c>
      <x:c r="F364" s="31" t="str">
        <x:v>—</x:v>
      </x:c>
      <x:c r="G364" s="31" t="str">
        <x:v>포함</x:v>
      </x:c>
      <x:c r="H364" s="31" t="str">
        <x:v>—</x:v>
      </x:c>
      <x:c r="I364" s="31" t="str">
        <x:v>—</x:v>
      </x:c>
      <x:c r="J364" s="31" t="str">
        <x:v>포함</x:v>
      </x:c>
      <x:c r="K364" s="31" t="str">
        <x:v>—</x:v>
      </x:c>
      <x:c r="L364" s="31" t="str">
        <x:v>포함</x:v>
      </x:c>
      <x:c r="M364" s="31" t="str">
        <x:v>—</x:v>
      </x:c>
    </x:row>
    <x:row r="365">
      <x:c r="A365" s="34" t="n">
        <x:v>361</x:v>
      </x:c>
      <x:c r="B365" s="30" t="str">
        <x:v>눈꼬마</x:v>
      </x:c>
      <x:c r="C365" s="30" t="str">
        <x:v>snorunt</x:v>
      </x:c>
      <x:c r="D365" s="36" t="n">
        <x:v>3</x:v>
      </x:c>
      <x:c r="E365" s="31" t="str">
        <x:v>—</x:v>
      </x:c>
      <x:c r="F365" s="31" t="str">
        <x:v>—</x:v>
      </x:c>
      <x:c r="G365" s="31" t="str">
        <x:v>포함</x:v>
      </x:c>
      <x:c r="H365" s="31" t="str">
        <x:v>포함</x:v>
      </x:c>
      <x:c r="I365" s="31" t="str">
        <x:v>—</x:v>
      </x:c>
      <x:c r="J365" s="31" t="str">
        <x:v>—</x:v>
      </x:c>
      <x:c r="K365" s="31" t="str">
        <x:v>포함</x:v>
      </x:c>
      <x:c r="L365" s="31" t="str">
        <x:v>포함</x:v>
      </x:c>
      <x:c r="M365" s="31" t="str">
        <x:v>포함</x:v>
      </x:c>
    </x:row>
    <x:row r="366">
      <x:c r="A366" s="34" t="n">
        <x:v>362</x:v>
      </x:c>
      <x:c r="B366" s="30" t="str">
        <x:v>얼음귀신</x:v>
      </x:c>
      <x:c r="C366" s="30" t="str">
        <x:v>glalie</x:v>
      </x:c>
      <x:c r="D366" s="36" t="n">
        <x:v>3</x:v>
      </x:c>
      <x:c r="E366" s="31" t="str">
        <x:v>—</x:v>
      </x:c>
      <x:c r="F366" s="31" t="str">
        <x:v>—</x:v>
      </x:c>
      <x:c r="G366" s="31" t="str">
        <x:v>포함</x:v>
      </x:c>
      <x:c r="H366" s="31" t="str">
        <x:v>포함</x:v>
      </x:c>
      <x:c r="I366" s="31" t="str">
        <x:v>—</x:v>
      </x:c>
      <x:c r="J366" s="31" t="str">
        <x:v>—</x:v>
      </x:c>
      <x:c r="K366" s="31" t="str">
        <x:v>포함</x:v>
      </x:c>
      <x:c r="L366" s="31" t="str">
        <x:v>포함</x:v>
      </x:c>
      <x:c r="M366" s="31" t="str">
        <x:v>포함</x:v>
      </x:c>
    </x:row>
    <x:row r="367">
      <x:c r="A367" s="34" t="n">
        <x:v>363</x:v>
      </x:c>
      <x:c r="B367" s="30" t="str">
        <x:v>대굴레오</x:v>
      </x:c>
      <x:c r="C367" s="30" t="str">
        <x:v>spheal</x:v>
      </x:c>
      <x:c r="D367" s="36" t="n">
        <x:v>3</x:v>
      </x:c>
      <x:c r="E367" s="31" t="str">
        <x:v>—</x:v>
      </x:c>
      <x:c r="F367" s="31" t="str">
        <x:v>—</x:v>
      </x:c>
      <x:c r="G367" s="31" t="str">
        <x:v>포함</x:v>
      </x:c>
      <x:c r="H367" s="31" t="str">
        <x:v>—</x:v>
      </x:c>
      <x:c r="I367" s="31" t="str">
        <x:v>포함</x:v>
      </x:c>
      <x:c r="J367" s="31" t="str">
        <x:v>—</x:v>
      </x:c>
      <x:c r="K367" s="31" t="str">
        <x:v>—</x:v>
      </x:c>
      <x:c r="L367" s="31" t="str">
        <x:v>포함</x:v>
      </x:c>
      <x:c r="M367" s="31" t="str">
        <x:v>—</x:v>
      </x:c>
    </x:row>
    <x:row r="368">
      <x:c r="A368" s="34" t="n">
        <x:v>364</x:v>
      </x:c>
      <x:c r="B368" s="30" t="str">
        <x:v>씨레오</x:v>
      </x:c>
      <x:c r="C368" s="30" t="str">
        <x:v>sealeo</x:v>
      </x:c>
      <x:c r="D368" s="36" t="n">
        <x:v>3</x:v>
      </x:c>
      <x:c r="E368" s="31" t="str">
        <x:v>—</x:v>
      </x:c>
      <x:c r="F368" s="31" t="str">
        <x:v>—</x:v>
      </x:c>
      <x:c r="G368" s="31" t="str">
        <x:v>포함</x:v>
      </x:c>
      <x:c r="H368" s="31" t="str">
        <x:v>—</x:v>
      </x:c>
      <x:c r="I368" s="31" t="str">
        <x:v>포함</x:v>
      </x:c>
      <x:c r="J368" s="31" t="str">
        <x:v>—</x:v>
      </x:c>
      <x:c r="K368" s="31" t="str">
        <x:v>—</x:v>
      </x:c>
      <x:c r="L368" s="31" t="str">
        <x:v>포함</x:v>
      </x:c>
      <x:c r="M368" s="31" t="str">
        <x:v>—</x:v>
      </x:c>
    </x:row>
    <x:row r="369">
      <x:c r="A369" s="34" t="n">
        <x:v>365</x:v>
      </x:c>
      <x:c r="B369" s="30" t="str">
        <x:v>씨카이저</x:v>
      </x:c>
      <x:c r="C369" s="30" t="str">
        <x:v>walrein</x:v>
      </x:c>
      <x:c r="D369" s="36" t="n">
        <x:v>3</x:v>
      </x:c>
      <x:c r="E369" s="31" t="str">
        <x:v>—</x:v>
      </x:c>
      <x:c r="F369" s="31" t="str">
        <x:v>—</x:v>
      </x:c>
      <x:c r="G369" s="31" t="str">
        <x:v>포함</x:v>
      </x:c>
      <x:c r="H369" s="31" t="str">
        <x:v>—</x:v>
      </x:c>
      <x:c r="I369" s="31" t="str">
        <x:v>포함</x:v>
      </x:c>
      <x:c r="J369" s="31" t="str">
        <x:v>—</x:v>
      </x:c>
      <x:c r="K369" s="31" t="str">
        <x:v>—</x:v>
      </x:c>
      <x:c r="L369" s="31" t="str">
        <x:v>포함</x:v>
      </x:c>
      <x:c r="M369" s="31" t="str">
        <x:v>—</x:v>
      </x:c>
    </x:row>
    <x:row r="370">
      <x:c r="A370" s="34" t="n">
        <x:v>366</x:v>
      </x:c>
      <x:c r="B370" s="30" t="str">
        <x:v>진주몽</x:v>
      </x:c>
      <x:c r="C370" s="30" t="str">
        <x:v>clamperl</x:v>
      </x:c>
      <x:c r="D370" s="36" t="n">
        <x:v>3</x:v>
      </x:c>
      <x:c r="E370" s="31" t="str">
        <x:v>—</x:v>
      </x:c>
      <x:c r="F370" s="31" t="str">
        <x:v>—</x:v>
      </x:c>
      <x:c r="G370" s="31" t="str">
        <x:v>포함</x:v>
      </x:c>
      <x:c r="H370" s="31" t="str">
        <x:v>—</x:v>
      </x:c>
      <x:c r="I370" s="31" t="str">
        <x:v>—</x:v>
      </x:c>
      <x:c r="J370" s="31" t="str">
        <x:v>포함</x:v>
      </x:c>
      <x:c r="K370" s="31" t="str">
        <x:v>포함</x:v>
      </x:c>
      <x:c r="L370" s="31" t="str">
        <x:v>—</x:v>
      </x:c>
      <x:c r="M370" s="31" t="str">
        <x:v>—</x:v>
      </x:c>
    </x:row>
    <x:row r="371">
      <x:c r="A371" s="34" t="n">
        <x:v>367</x:v>
      </x:c>
      <x:c r="B371" s="30" t="str">
        <x:v>헌테일</x:v>
      </x:c>
      <x:c r="C371" s="30" t="str">
        <x:v>huntail</x:v>
      </x:c>
      <x:c r="D371" s="36" t="n">
        <x:v>3</x:v>
      </x:c>
      <x:c r="E371" s="31" t="str">
        <x:v>—</x:v>
      </x:c>
      <x:c r="F371" s="31" t="str">
        <x:v>—</x:v>
      </x:c>
      <x:c r="G371" s="31" t="str">
        <x:v>포함</x:v>
      </x:c>
      <x:c r="H371" s="31" t="str">
        <x:v>—</x:v>
      </x:c>
      <x:c r="I371" s="31" t="str">
        <x:v>—</x:v>
      </x:c>
      <x:c r="J371" s="31" t="str">
        <x:v>포함</x:v>
      </x:c>
      <x:c r="K371" s="31" t="str">
        <x:v>포함</x:v>
      </x:c>
      <x:c r="L371" s="31" t="str">
        <x:v>—</x:v>
      </x:c>
      <x:c r="M371" s="31" t="str">
        <x:v>—</x:v>
      </x:c>
    </x:row>
    <x:row r="372">
      <x:c r="A372" s="34" t="n">
        <x:v>368</x:v>
      </x:c>
      <x:c r="B372" s="30" t="str">
        <x:v>분홍장이</x:v>
      </x:c>
      <x:c r="C372" s="30" t="str">
        <x:v>gorebyss</x:v>
      </x:c>
      <x:c r="D372" s="36" t="n">
        <x:v>3</x:v>
      </x:c>
      <x:c r="E372" s="31" t="str">
        <x:v>—</x:v>
      </x:c>
      <x:c r="F372" s="31" t="str">
        <x:v>—</x:v>
      </x:c>
      <x:c r="G372" s="31" t="str">
        <x:v>포함</x:v>
      </x:c>
      <x:c r="H372" s="31" t="str">
        <x:v>—</x:v>
      </x:c>
      <x:c r="I372" s="31" t="str">
        <x:v>—</x:v>
      </x:c>
      <x:c r="J372" s="31" t="str">
        <x:v>포함</x:v>
      </x:c>
      <x:c r="K372" s="31" t="str">
        <x:v>포함</x:v>
      </x:c>
      <x:c r="L372" s="31" t="str">
        <x:v>—</x:v>
      </x:c>
      <x:c r="M372" s="31" t="str">
        <x:v>—</x:v>
      </x:c>
    </x:row>
    <x:row r="373">
      <x:c r="A373" s="34" t="n">
        <x:v>369</x:v>
      </x:c>
      <x:c r="B373" s="30" t="str">
        <x:v>시라칸</x:v>
      </x:c>
      <x:c r="C373" s="30" t="str">
        <x:v>relicanth</x:v>
      </x:c>
      <x:c r="D373" s="36" t="n">
        <x:v>3</x:v>
      </x:c>
      <x:c r="E373" s="31" t="str">
        <x:v>—</x:v>
      </x:c>
      <x:c r="F373" s="31" t="str">
        <x:v>—</x:v>
      </x:c>
      <x:c r="G373" s="31" t="str">
        <x:v>포함</x:v>
      </x:c>
      <x:c r="H373" s="31" t="str">
        <x:v>—</x:v>
      </x:c>
      <x:c r="I373" s="31" t="str">
        <x:v>—</x:v>
      </x:c>
      <x:c r="J373" s="31" t="str">
        <x:v>포함</x:v>
      </x:c>
      <x:c r="K373" s="31" t="str">
        <x:v>포함</x:v>
      </x:c>
      <x:c r="L373" s="31" t="str">
        <x:v>포함</x:v>
      </x:c>
      <x:c r="M373" s="31" t="str">
        <x:v>—</x:v>
      </x:c>
    </x:row>
    <x:row r="374">
      <x:c r="A374" s="34" t="n">
        <x:v>370</x:v>
      </x:c>
      <x:c r="B374" s="30" t="str">
        <x:v>사랑동이</x:v>
      </x:c>
      <x:c r="C374" s="30" t="str">
        <x:v>luvdisc</x:v>
      </x:c>
      <x:c r="D374" s="36" t="n">
        <x:v>3</x:v>
      </x:c>
      <x:c r="E374" s="31" t="str">
        <x:v>—</x:v>
      </x:c>
      <x:c r="F374" s="31" t="str">
        <x:v>—</x:v>
      </x:c>
      <x:c r="G374" s="31" t="str">
        <x:v>포함</x:v>
      </x:c>
      <x:c r="H374" s="31" t="str">
        <x:v>—</x:v>
      </x:c>
      <x:c r="I374" s="31" t="str">
        <x:v>—</x:v>
      </x:c>
      <x:c r="J374" s="31" t="str">
        <x:v>포함</x:v>
      </x:c>
      <x:c r="K374" s="31" t="str">
        <x:v>포함</x:v>
      </x:c>
      <x:c r="L374" s="31" t="str">
        <x:v>—</x:v>
      </x:c>
      <x:c r="M374" s="31" t="str">
        <x:v>포함</x:v>
      </x:c>
    </x:row>
    <x:row r="375">
      <x:c r="A375" s="34" t="n">
        <x:v>371</x:v>
      </x:c>
      <x:c r="B375" s="30" t="str">
        <x:v>아공이</x:v>
      </x:c>
      <x:c r="C375" s="30" t="str">
        <x:v>bagon</x:v>
      </x:c>
      <x:c r="D375" s="36" t="n">
        <x:v>3</x:v>
      </x:c>
      <x:c r="E375" s="31" t="str">
        <x:v>—</x:v>
      </x:c>
      <x:c r="F375" s="31" t="str">
        <x:v>—</x:v>
      </x:c>
      <x:c r="G375" s="31" t="str">
        <x:v>포함</x:v>
      </x:c>
      <x:c r="H375" s="31" t="str">
        <x:v>—</x:v>
      </x:c>
      <x:c r="I375" s="31" t="str">
        <x:v>—</x:v>
      </x:c>
      <x:c r="J375" s="31" t="str">
        <x:v>포함</x:v>
      </x:c>
      <x:c r="K375" s="31" t="str">
        <x:v>포함</x:v>
      </x:c>
      <x:c r="L375" s="31" t="str">
        <x:v>포함</x:v>
      </x:c>
      <x:c r="M375" s="31" t="str">
        <x:v>포함</x:v>
      </x:c>
    </x:row>
    <x:row r="376">
      <x:c r="A376" s="34" t="n">
        <x:v>372</x:v>
      </x:c>
      <x:c r="B376" s="30" t="str">
        <x:v>쉘곤</x:v>
      </x:c>
      <x:c r="C376" s="30" t="str">
        <x:v>shelgon</x:v>
      </x:c>
      <x:c r="D376" s="36" t="n">
        <x:v>3</x:v>
      </x:c>
      <x:c r="E376" s="31" t="str">
        <x:v>—</x:v>
      </x:c>
      <x:c r="F376" s="31" t="str">
        <x:v>—</x:v>
      </x:c>
      <x:c r="G376" s="31" t="str">
        <x:v>포함</x:v>
      </x:c>
      <x:c r="H376" s="31" t="str">
        <x:v>—</x:v>
      </x:c>
      <x:c r="I376" s="31" t="str">
        <x:v>—</x:v>
      </x:c>
      <x:c r="J376" s="31" t="str">
        <x:v>포함</x:v>
      </x:c>
      <x:c r="K376" s="31" t="str">
        <x:v>포함</x:v>
      </x:c>
      <x:c r="L376" s="31" t="str">
        <x:v>포함</x:v>
      </x:c>
      <x:c r="M376" s="31" t="str">
        <x:v>포함</x:v>
      </x:c>
    </x:row>
    <x:row r="377">
      <x:c r="A377" s="34" t="n">
        <x:v>373</x:v>
      </x:c>
      <x:c r="B377" s="30" t="str">
        <x:v>보만다</x:v>
      </x:c>
      <x:c r="C377" s="30" t="str">
        <x:v>salamence</x:v>
      </x:c>
      <x:c r="D377" s="36" t="n">
        <x:v>3</x:v>
      </x:c>
      <x:c r="E377" s="31" t="str">
        <x:v>—</x:v>
      </x:c>
      <x:c r="F377" s="31" t="str">
        <x:v>—</x:v>
      </x:c>
      <x:c r="G377" s="31" t="str">
        <x:v>포함</x:v>
      </x:c>
      <x:c r="H377" s="31" t="str">
        <x:v>—</x:v>
      </x:c>
      <x:c r="I377" s="31" t="str">
        <x:v>—</x:v>
      </x:c>
      <x:c r="J377" s="31" t="str">
        <x:v>포함</x:v>
      </x:c>
      <x:c r="K377" s="31" t="str">
        <x:v>포함</x:v>
      </x:c>
      <x:c r="L377" s="31" t="str">
        <x:v>포함</x:v>
      </x:c>
      <x:c r="M377" s="31" t="str">
        <x:v>포함</x:v>
      </x:c>
    </x:row>
    <x:row r="378">
      <x:c r="A378" s="34" t="n">
        <x:v>374</x:v>
      </x:c>
      <x:c r="B378" s="30" t="str">
        <x:v>메탕</x:v>
      </x:c>
      <x:c r="C378" s="30" t="str">
        <x:v>beldum</x:v>
      </x:c>
      <x:c r="D378" s="36" t="n">
        <x:v>3</x:v>
      </x:c>
      <x:c r="E378" s="31" t="str">
        <x:v>—</x:v>
      </x:c>
      <x:c r="F378" s="31" t="str">
        <x:v>—</x:v>
      </x:c>
      <x:c r="G378" s="31" t="str">
        <x:v>포함</x:v>
      </x:c>
      <x:c r="H378" s="31" t="str">
        <x:v>—</x:v>
      </x:c>
      <x:c r="I378" s="31" t="str">
        <x:v>포함</x:v>
      </x:c>
      <x:c r="J378" s="31" t="str">
        <x:v>—</x:v>
      </x:c>
      <x:c r="K378" s="31" t="str">
        <x:v>포함</x:v>
      </x:c>
      <x:c r="L378" s="31" t="str">
        <x:v>포함</x:v>
      </x:c>
      <x:c r="M378" s="31" t="str">
        <x:v>포함</x:v>
      </x:c>
    </x:row>
    <x:row r="379">
      <x:c r="A379" s="34" t="n">
        <x:v>375</x:v>
      </x:c>
      <x:c r="B379" s="30" t="str">
        <x:v>메탕구</x:v>
      </x:c>
      <x:c r="C379" s="30" t="str">
        <x:v>metang</x:v>
      </x:c>
      <x:c r="D379" s="36" t="n">
        <x:v>3</x:v>
      </x:c>
      <x:c r="E379" s="31" t="str">
        <x:v>—</x:v>
      </x:c>
      <x:c r="F379" s="31" t="str">
        <x:v>—</x:v>
      </x:c>
      <x:c r="G379" s="31" t="str">
        <x:v>포함</x:v>
      </x:c>
      <x:c r="H379" s="31" t="str">
        <x:v>—</x:v>
      </x:c>
      <x:c r="I379" s="31" t="str">
        <x:v>포함</x:v>
      </x:c>
      <x:c r="J379" s="31" t="str">
        <x:v>—</x:v>
      </x:c>
      <x:c r="K379" s="31" t="str">
        <x:v>포함</x:v>
      </x:c>
      <x:c r="L379" s="31" t="str">
        <x:v>포함</x:v>
      </x:c>
      <x:c r="M379" s="31" t="str">
        <x:v>포함</x:v>
      </x:c>
    </x:row>
    <x:row r="380">
      <x:c r="A380" s="34" t="n">
        <x:v>376</x:v>
      </x:c>
      <x:c r="B380" s="30" t="str">
        <x:v>메타그로스</x:v>
      </x:c>
      <x:c r="C380" s="30" t="str">
        <x:v>metagross</x:v>
      </x:c>
      <x:c r="D380" s="36" t="n">
        <x:v>3</x:v>
      </x:c>
      <x:c r="E380" s="31" t="str">
        <x:v>—</x:v>
      </x:c>
      <x:c r="F380" s="31" t="str">
        <x:v>—</x:v>
      </x:c>
      <x:c r="G380" s="31" t="str">
        <x:v>포함</x:v>
      </x:c>
      <x:c r="H380" s="31" t="str">
        <x:v>—</x:v>
      </x:c>
      <x:c r="I380" s="31" t="str">
        <x:v>포함</x:v>
      </x:c>
      <x:c r="J380" s="31" t="str">
        <x:v>—</x:v>
      </x:c>
      <x:c r="K380" s="31" t="str">
        <x:v>포함</x:v>
      </x:c>
      <x:c r="L380" s="31" t="str">
        <x:v>포함</x:v>
      </x:c>
      <x:c r="M380" s="31" t="str">
        <x:v>포함</x:v>
      </x:c>
    </x:row>
    <x:row r="381">
      <x:c r="A381" s="34" t="n">
        <x:v>377</x:v>
      </x:c>
      <x:c r="B381" s="30" t="str">
        <x:v>레지락</x:v>
      </x:c>
      <x:c r="C381" s="30" t="str">
        <x:v>regirock</x:v>
      </x:c>
      <x:c r="D381" s="36" t="n">
        <x:v>3</x:v>
      </x:c>
      <x:c r="E381" s="31" t="str">
        <x:v>—</x:v>
      </x:c>
      <x:c r="F381" s="31" t="str">
        <x:v>—</x:v>
      </x:c>
      <x:c r="G381" s="31" t="str">
        <x:v>포함</x:v>
      </x:c>
      <x:c r="H381" s="31" t="str">
        <x:v>—</x:v>
      </x:c>
      <x:c r="I381" s="31" t="str">
        <x:v>—</x:v>
      </x:c>
      <x:c r="J381" s="31" t="str">
        <x:v>—</x:v>
      </x:c>
      <x:c r="K381" s="31" t="str">
        <x:v>—</x:v>
      </x:c>
      <x:c r="L381" s="31" t="str">
        <x:v>포함</x:v>
      </x:c>
      <x:c r="M381" s="31" t="str">
        <x:v>—</x:v>
      </x:c>
    </x:row>
    <x:row r="382">
      <x:c r="A382" s="34" t="n">
        <x:v>378</x:v>
      </x:c>
      <x:c r="B382" s="30" t="str">
        <x:v>레지아이스</x:v>
      </x:c>
      <x:c r="C382" s="30" t="str">
        <x:v>regice</x:v>
      </x:c>
      <x:c r="D382" s="36" t="n">
        <x:v>3</x:v>
      </x:c>
      <x:c r="E382" s="31" t="str">
        <x:v>—</x:v>
      </x:c>
      <x:c r="F382" s="31" t="str">
        <x:v>—</x:v>
      </x:c>
      <x:c r="G382" s="31" t="str">
        <x:v>포함</x:v>
      </x:c>
      <x:c r="H382" s="31" t="str">
        <x:v>—</x:v>
      </x:c>
      <x:c r="I382" s="31" t="str">
        <x:v>—</x:v>
      </x:c>
      <x:c r="J382" s="31" t="str">
        <x:v>—</x:v>
      </x:c>
      <x:c r="K382" s="31" t="str">
        <x:v>—</x:v>
      </x:c>
      <x:c r="L382" s="31" t="str">
        <x:v>포함</x:v>
      </x:c>
      <x:c r="M382" s="31" t="str">
        <x:v>—</x:v>
      </x:c>
    </x:row>
    <x:row r="383">
      <x:c r="A383" s="34" t="n">
        <x:v>379</x:v>
      </x:c>
      <x:c r="B383" s="30" t="str">
        <x:v>레지스틸</x:v>
      </x:c>
      <x:c r="C383" s="30" t="str">
        <x:v>registeel</x:v>
      </x:c>
      <x:c r="D383" s="36" t="n">
        <x:v>3</x:v>
      </x:c>
      <x:c r="E383" s="31" t="str">
        <x:v>—</x:v>
      </x:c>
      <x:c r="F383" s="31" t="str">
        <x:v>—</x:v>
      </x:c>
      <x:c r="G383" s="31" t="str">
        <x:v>포함</x:v>
      </x:c>
      <x:c r="H383" s="31" t="str">
        <x:v>—</x:v>
      </x:c>
      <x:c r="I383" s="31" t="str">
        <x:v>—</x:v>
      </x:c>
      <x:c r="J383" s="31" t="str">
        <x:v>—</x:v>
      </x:c>
      <x:c r="K383" s="31" t="str">
        <x:v>—</x:v>
      </x:c>
      <x:c r="L383" s="31" t="str">
        <x:v>포함</x:v>
      </x:c>
      <x:c r="M383" s="31" t="str">
        <x:v>—</x:v>
      </x:c>
    </x:row>
    <x:row r="384">
      <x:c r="A384" s="34" t="n">
        <x:v>380</x:v>
      </x:c>
      <x:c r="B384" s="30" t="str">
        <x:v>라티아스</x:v>
      </x:c>
      <x:c r="C384" s="30" t="str">
        <x:v>latias</x:v>
      </x:c>
      <x:c r="D384" s="36" t="n">
        <x:v>3</x:v>
      </x:c>
      <x:c r="E384" s="31" t="str">
        <x:v>—</x:v>
      </x:c>
      <x:c r="F384" s="31" t="str">
        <x:v>—</x:v>
      </x:c>
      <x:c r="G384" s="31" t="str">
        <x:v>포함</x:v>
      </x:c>
      <x:c r="H384" s="31" t="str">
        <x:v>—</x:v>
      </x:c>
      <x:c r="I384" s="31" t="str">
        <x:v>—</x:v>
      </x:c>
      <x:c r="J384" s="31" t="str">
        <x:v>—</x:v>
      </x:c>
      <x:c r="K384" s="31" t="str">
        <x:v>—</x:v>
      </x:c>
      <x:c r="L384" s="31" t="str">
        <x:v>—</x:v>
      </x:c>
      <x:c r="M384" s="31" t="str">
        <x:v>—</x:v>
      </x:c>
    </x:row>
    <x:row r="385">
      <x:c r="A385" s="34" t="n">
        <x:v>381</x:v>
      </x:c>
      <x:c r="B385" s="30" t="str">
        <x:v>라티오스</x:v>
      </x:c>
      <x:c r="C385" s="30" t="str">
        <x:v>latios</x:v>
      </x:c>
      <x:c r="D385" s="36" t="n">
        <x:v>3</x:v>
      </x:c>
      <x:c r="E385" s="31" t="str">
        <x:v>—</x:v>
      </x:c>
      <x:c r="F385" s="31" t="str">
        <x:v>—</x:v>
      </x:c>
      <x:c r="G385" s="31" t="str">
        <x:v>포함</x:v>
      </x:c>
      <x:c r="H385" s="31" t="str">
        <x:v>—</x:v>
      </x:c>
      <x:c r="I385" s="31" t="str">
        <x:v>—</x:v>
      </x:c>
      <x:c r="J385" s="31" t="str">
        <x:v>—</x:v>
      </x:c>
      <x:c r="K385" s="31" t="str">
        <x:v>—</x:v>
      </x:c>
      <x:c r="L385" s="31" t="str">
        <x:v>—</x:v>
      </x:c>
      <x:c r="M385" s="31" t="str">
        <x:v>—</x:v>
      </x:c>
    </x:row>
    <x:row r="386">
      <x:c r="A386" s="34" t="n">
        <x:v>382</x:v>
      </x:c>
      <x:c r="B386" s="30" t="str">
        <x:v>가이오가</x:v>
      </x:c>
      <x:c r="C386" s="30" t="str">
        <x:v>kyogre</x:v>
      </x:c>
      <x:c r="D386" s="36" t="n">
        <x:v>3</x:v>
      </x:c>
      <x:c r="E386" s="31" t="str">
        <x:v>—</x:v>
      </x:c>
      <x:c r="F386" s="31" t="str">
        <x:v>—</x:v>
      </x:c>
      <x:c r="G386" s="31" t="str">
        <x:v>포함</x:v>
      </x:c>
      <x:c r="H386" s="31" t="str">
        <x:v>—</x:v>
      </x:c>
      <x:c r="I386" s="31" t="str">
        <x:v>—</x:v>
      </x:c>
      <x:c r="J386" s="31" t="str">
        <x:v>—</x:v>
      </x:c>
      <x:c r="K386" s="31" t="str">
        <x:v>—</x:v>
      </x:c>
      <x:c r="L386" s="31" t="str">
        <x:v>—</x:v>
      </x:c>
      <x:c r="M386" s="31" t="str">
        <x:v>—</x:v>
      </x:c>
    </x:row>
    <x:row r="387">
      <x:c r="A387" s="34" t="n">
        <x:v>383</x:v>
      </x:c>
      <x:c r="B387" s="30" t="str">
        <x:v>그란돈</x:v>
      </x:c>
      <x:c r="C387" s="30" t="str">
        <x:v>groudon</x:v>
      </x:c>
      <x:c r="D387" s="36" t="n">
        <x:v>3</x:v>
      </x:c>
      <x:c r="E387" s="31" t="str">
        <x:v>—</x:v>
      </x:c>
      <x:c r="F387" s="31" t="str">
        <x:v>—</x:v>
      </x:c>
      <x:c r="G387" s="31" t="str">
        <x:v>포함</x:v>
      </x:c>
      <x:c r="H387" s="31" t="str">
        <x:v>—</x:v>
      </x:c>
      <x:c r="I387" s="31" t="str">
        <x:v>—</x:v>
      </x:c>
      <x:c r="J387" s="31" t="str">
        <x:v>—</x:v>
      </x:c>
      <x:c r="K387" s="31" t="str">
        <x:v>—</x:v>
      </x:c>
      <x:c r="L387" s="31" t="str">
        <x:v>—</x:v>
      </x:c>
      <x:c r="M387" s="31" t="str">
        <x:v>—</x:v>
      </x:c>
    </x:row>
    <x:row r="388">
      <x:c r="A388" s="34" t="n">
        <x:v>384</x:v>
      </x:c>
      <x:c r="B388" s="30" t="str">
        <x:v>레쿠쟈</x:v>
      </x:c>
      <x:c r="C388" s="30" t="str">
        <x:v>rayquaza</x:v>
      </x:c>
      <x:c r="D388" s="36" t="n">
        <x:v>3</x:v>
      </x:c>
      <x:c r="E388" s="31" t="str">
        <x:v>—</x:v>
      </x:c>
      <x:c r="F388" s="31" t="str">
        <x:v>—</x:v>
      </x:c>
      <x:c r="G388" s="31" t="str">
        <x:v>포함</x:v>
      </x:c>
      <x:c r="H388" s="31" t="str">
        <x:v>—</x:v>
      </x:c>
      <x:c r="I388" s="31" t="str">
        <x:v>—</x:v>
      </x:c>
      <x:c r="J388" s="31" t="str">
        <x:v>—</x:v>
      </x:c>
      <x:c r="K388" s="31" t="str">
        <x:v>—</x:v>
      </x:c>
      <x:c r="L388" s="31" t="str">
        <x:v>—</x:v>
      </x:c>
      <x:c r="M388" s="31" t="str">
        <x:v>—</x:v>
      </x:c>
    </x:row>
    <x:row r="389">
      <x:c r="A389" s="34" t="n">
        <x:v>385</x:v>
      </x:c>
      <x:c r="B389" s="30" t="str">
        <x:v>지라치</x:v>
      </x:c>
      <x:c r="C389" s="30" t="str">
        <x:v>jirachi</x:v>
      </x:c>
      <x:c r="D389" s="36" t="n">
        <x:v>3</x:v>
      </x:c>
      <x:c r="E389" s="31" t="str">
        <x:v>—</x:v>
      </x:c>
      <x:c r="F389" s="31" t="str">
        <x:v>—</x:v>
      </x:c>
      <x:c r="G389" s="31" t="str">
        <x:v>포함</x:v>
      </x:c>
      <x:c r="H389" s="31" t="str">
        <x:v>—</x:v>
      </x:c>
      <x:c r="I389" s="31" t="str">
        <x:v>—</x:v>
      </x:c>
      <x:c r="J389" s="31" t="str">
        <x:v>—</x:v>
      </x:c>
      <x:c r="K389" s="31" t="str">
        <x:v>—</x:v>
      </x:c>
      <x:c r="L389" s="31" t="str">
        <x:v>—</x:v>
      </x:c>
      <x:c r="M389" s="31" t="str">
        <x:v>—</x:v>
      </x:c>
    </x:row>
    <x:row r="390">
      <x:c r="A390" s="34" t="n">
        <x:v>386</x:v>
      </x:c>
      <x:c r="B390" s="30" t="str">
        <x:v>테오키스</x:v>
      </x:c>
      <x:c r="C390" s="30" t="str">
        <x:v>deoxys</x:v>
      </x:c>
      <x:c r="D390" s="36" t="n">
        <x:v>3</x:v>
      </x:c>
      <x:c r="E390" s="31" t="str">
        <x:v>—</x:v>
      </x:c>
      <x:c r="F390" s="31" t="str">
        <x:v>—</x:v>
      </x:c>
      <x:c r="G390" s="31" t="str">
        <x:v>포함</x:v>
      </x:c>
      <x:c r="H390" s="31" t="str">
        <x:v>—</x:v>
      </x:c>
      <x:c r="I390" s="31" t="str">
        <x:v>—</x:v>
      </x:c>
      <x:c r="J390" s="31" t="str">
        <x:v>—</x:v>
      </x:c>
      <x:c r="K390" s="31" t="str">
        <x:v>—</x:v>
      </x:c>
      <x:c r="L390" s="31" t="str">
        <x:v>—</x:v>
      </x:c>
      <x:c r="M390" s="31" t="str">
        <x:v>—</x:v>
      </x:c>
    </x:row>
    <x:row r="391">
      <x:c r="A391" s="34" t="n">
        <x:v>387</x:v>
      </x:c>
      <x:c r="B391" s="30" t="str">
        <x:v>모부기</x:v>
      </x:c>
      <x:c r="C391" s="30" t="str">
        <x:v>turtwig</x:v>
      </x:c>
      <x:c r="D391" s="36" t="n">
        <x:v>4</x:v>
      </x:c>
      <x:c r="E391" s="31" t="str">
        <x:v>—</x:v>
      </x:c>
      <x:c r="F391" s="31" t="str">
        <x:v>—</x:v>
      </x:c>
      <x:c r="G391" s="31" t="str">
        <x:v>—</x:v>
      </x:c>
      <x:c r="H391" s="31" t="str">
        <x:v>포함</x:v>
      </x:c>
      <x:c r="I391" s="31" t="str">
        <x:v>—</x:v>
      </x:c>
      <x:c r="J391" s="31" t="str">
        <x:v>—</x:v>
      </x:c>
      <x:c r="K391" s="31" t="str">
        <x:v>—</x:v>
      </x:c>
      <x:c r="L391" s="31" t="str">
        <x:v>—</x:v>
      </x:c>
      <x:c r="M391" s="31" t="str">
        <x:v>포함</x:v>
      </x:c>
    </x:row>
    <x:row r="392">
      <x:c r="A392" s="34" t="n">
        <x:v>388</x:v>
      </x:c>
      <x:c r="B392" s="30" t="str">
        <x:v>수풀부기</x:v>
      </x:c>
      <x:c r="C392" s="30" t="str">
        <x:v>grotle</x:v>
      </x:c>
      <x:c r="D392" s="36" t="n">
        <x:v>4</x:v>
      </x:c>
      <x:c r="E392" s="31" t="str">
        <x:v>—</x:v>
      </x:c>
      <x:c r="F392" s="31" t="str">
        <x:v>—</x:v>
      </x:c>
      <x:c r="G392" s="31" t="str">
        <x:v>—</x:v>
      </x:c>
      <x:c r="H392" s="31" t="str">
        <x:v>포함</x:v>
      </x:c>
      <x:c r="I392" s="31" t="str">
        <x:v>—</x:v>
      </x:c>
      <x:c r="J392" s="31" t="str">
        <x:v>—</x:v>
      </x:c>
      <x:c r="K392" s="31" t="str">
        <x:v>—</x:v>
      </x:c>
      <x:c r="L392" s="31" t="str">
        <x:v>—</x:v>
      </x:c>
      <x:c r="M392" s="31" t="str">
        <x:v>포함</x:v>
      </x:c>
    </x:row>
    <x:row r="393">
      <x:c r="A393" s="34" t="n">
        <x:v>389</x:v>
      </x:c>
      <x:c r="B393" s="30" t="str">
        <x:v>토대부기</x:v>
      </x:c>
      <x:c r="C393" s="30" t="str">
        <x:v>torterra</x:v>
      </x:c>
      <x:c r="D393" s="36" t="n">
        <x:v>4</x:v>
      </x:c>
      <x:c r="E393" s="31" t="str">
        <x:v>—</x:v>
      </x:c>
      <x:c r="F393" s="31" t="str">
        <x:v>—</x:v>
      </x:c>
      <x:c r="G393" s="31" t="str">
        <x:v>—</x:v>
      </x:c>
      <x:c r="H393" s="31" t="str">
        <x:v>포함</x:v>
      </x:c>
      <x:c r="I393" s="31" t="str">
        <x:v>—</x:v>
      </x:c>
      <x:c r="J393" s="31" t="str">
        <x:v>—</x:v>
      </x:c>
      <x:c r="K393" s="31" t="str">
        <x:v>—</x:v>
      </x:c>
      <x:c r="L393" s="31" t="str">
        <x:v>—</x:v>
      </x:c>
      <x:c r="M393" s="31" t="str">
        <x:v>포함</x:v>
      </x:c>
    </x:row>
    <x:row r="394">
      <x:c r="A394" s="34" t="n">
        <x:v>390</x:v>
      </x:c>
      <x:c r="B394" s="30" t="str">
        <x:v>불꽃숭이</x:v>
      </x:c>
      <x:c r="C394" s="30" t="str">
        <x:v>chimchar</x:v>
      </x:c>
      <x:c r="D394" s="36" t="n">
        <x:v>4</x:v>
      </x:c>
      <x:c r="E394" s="31" t="str">
        <x:v>—</x:v>
      </x:c>
      <x:c r="F394" s="31" t="str">
        <x:v>—</x:v>
      </x:c>
      <x:c r="G394" s="31" t="str">
        <x:v>—</x:v>
      </x:c>
      <x:c r="H394" s="31" t="str">
        <x:v>포함</x:v>
      </x:c>
      <x:c r="I394" s="31" t="str">
        <x:v>—</x:v>
      </x:c>
      <x:c r="J394" s="31" t="str">
        <x:v>—</x:v>
      </x:c>
      <x:c r="K394" s="31" t="str">
        <x:v>—</x:v>
      </x:c>
      <x:c r="L394" s="31" t="str">
        <x:v>—</x:v>
      </x:c>
      <x:c r="M394" s="31" t="str">
        <x:v>포함</x:v>
      </x:c>
    </x:row>
    <x:row r="395">
      <x:c r="A395" s="34" t="n">
        <x:v>391</x:v>
      </x:c>
      <x:c r="B395" s="30" t="str">
        <x:v>파이숭이</x:v>
      </x:c>
      <x:c r="C395" s="30" t="str">
        <x:v>monferno</x:v>
      </x:c>
      <x:c r="D395" s="36" t="n">
        <x:v>4</x:v>
      </x:c>
      <x:c r="E395" s="31" t="str">
        <x:v>—</x:v>
      </x:c>
      <x:c r="F395" s="31" t="str">
        <x:v>—</x:v>
      </x:c>
      <x:c r="G395" s="31" t="str">
        <x:v>—</x:v>
      </x:c>
      <x:c r="H395" s="31" t="str">
        <x:v>포함</x:v>
      </x:c>
      <x:c r="I395" s="31" t="str">
        <x:v>—</x:v>
      </x:c>
      <x:c r="J395" s="31" t="str">
        <x:v>—</x:v>
      </x:c>
      <x:c r="K395" s="31" t="str">
        <x:v>—</x:v>
      </x:c>
      <x:c r="L395" s="31" t="str">
        <x:v>—</x:v>
      </x:c>
      <x:c r="M395" s="31" t="str">
        <x:v>포함</x:v>
      </x:c>
    </x:row>
    <x:row r="396">
      <x:c r="A396" s="34" t="n">
        <x:v>392</x:v>
      </x:c>
      <x:c r="B396" s="30" t="str">
        <x:v>초염몽</x:v>
      </x:c>
      <x:c r="C396" s="30" t="str">
        <x:v>infernape</x:v>
      </x:c>
      <x:c r="D396" s="36" t="n">
        <x:v>4</x:v>
      </x:c>
      <x:c r="E396" s="31" t="str">
        <x:v>—</x:v>
      </x:c>
      <x:c r="F396" s="31" t="str">
        <x:v>—</x:v>
      </x:c>
      <x:c r="G396" s="31" t="str">
        <x:v>—</x:v>
      </x:c>
      <x:c r="H396" s="31" t="str">
        <x:v>포함</x:v>
      </x:c>
      <x:c r="I396" s="31" t="str">
        <x:v>—</x:v>
      </x:c>
      <x:c r="J396" s="31" t="str">
        <x:v>—</x:v>
      </x:c>
      <x:c r="K396" s="31" t="str">
        <x:v>—</x:v>
      </x:c>
      <x:c r="L396" s="31" t="str">
        <x:v>—</x:v>
      </x:c>
      <x:c r="M396" s="31" t="str">
        <x:v>포함</x:v>
      </x:c>
    </x:row>
    <x:row r="397">
      <x:c r="A397" s="34" t="n">
        <x:v>393</x:v>
      </x:c>
      <x:c r="B397" s="30" t="str">
        <x:v>팽도리</x:v>
      </x:c>
      <x:c r="C397" s="30" t="str">
        <x:v>piplup</x:v>
      </x:c>
      <x:c r="D397" s="36" t="n">
        <x:v>4</x:v>
      </x:c>
      <x:c r="E397" s="31" t="str">
        <x:v>—</x:v>
      </x:c>
      <x:c r="F397" s="31" t="str">
        <x:v>—</x:v>
      </x:c>
      <x:c r="G397" s="31" t="str">
        <x:v>—</x:v>
      </x:c>
      <x:c r="H397" s="31" t="str">
        <x:v>포함</x:v>
      </x:c>
      <x:c r="I397" s="31" t="str">
        <x:v>—</x:v>
      </x:c>
      <x:c r="J397" s="31" t="str">
        <x:v>—</x:v>
      </x:c>
      <x:c r="K397" s="31" t="str">
        <x:v>—</x:v>
      </x:c>
      <x:c r="L397" s="31" t="str">
        <x:v>—</x:v>
      </x:c>
      <x:c r="M397" s="31" t="str">
        <x:v>포함</x:v>
      </x:c>
    </x:row>
    <x:row r="398">
      <x:c r="A398" s="34" t="n">
        <x:v>394</x:v>
      </x:c>
      <x:c r="B398" s="30" t="str">
        <x:v>팽태자</x:v>
      </x:c>
      <x:c r="C398" s="30" t="str">
        <x:v>prinplup</x:v>
      </x:c>
      <x:c r="D398" s="36" t="n">
        <x:v>4</x:v>
      </x:c>
      <x:c r="E398" s="31" t="str">
        <x:v>—</x:v>
      </x:c>
      <x:c r="F398" s="31" t="str">
        <x:v>—</x:v>
      </x:c>
      <x:c r="G398" s="31" t="str">
        <x:v>—</x:v>
      </x:c>
      <x:c r="H398" s="31" t="str">
        <x:v>포함</x:v>
      </x:c>
      <x:c r="I398" s="31" t="str">
        <x:v>—</x:v>
      </x:c>
      <x:c r="J398" s="31" t="str">
        <x:v>—</x:v>
      </x:c>
      <x:c r="K398" s="31" t="str">
        <x:v>—</x:v>
      </x:c>
      <x:c r="L398" s="31" t="str">
        <x:v>—</x:v>
      </x:c>
      <x:c r="M398" s="31" t="str">
        <x:v>포함</x:v>
      </x:c>
    </x:row>
    <x:row r="399">
      <x:c r="A399" s="34" t="n">
        <x:v>395</x:v>
      </x:c>
      <x:c r="B399" s="30" t="str">
        <x:v>엠페르트</x:v>
      </x:c>
      <x:c r="C399" s="30" t="str">
        <x:v>empoleon</x:v>
      </x:c>
      <x:c r="D399" s="36" t="n">
        <x:v>4</x:v>
      </x:c>
      <x:c r="E399" s="31" t="str">
        <x:v>—</x:v>
      </x:c>
      <x:c r="F399" s="31" t="str">
        <x:v>—</x:v>
      </x:c>
      <x:c r="G399" s="31" t="str">
        <x:v>—</x:v>
      </x:c>
      <x:c r="H399" s="31" t="str">
        <x:v>포함</x:v>
      </x:c>
      <x:c r="I399" s="31" t="str">
        <x:v>—</x:v>
      </x:c>
      <x:c r="J399" s="31" t="str">
        <x:v>—</x:v>
      </x:c>
      <x:c r="K399" s="31" t="str">
        <x:v>—</x:v>
      </x:c>
      <x:c r="L399" s="31" t="str">
        <x:v>—</x:v>
      </x:c>
      <x:c r="M399" s="31" t="str">
        <x:v>포함</x:v>
      </x:c>
    </x:row>
    <x:row r="400">
      <x:c r="A400" s="34" t="n">
        <x:v>396</x:v>
      </x:c>
      <x:c r="B400" s="30" t="str">
        <x:v>찌르꼬</x:v>
      </x:c>
      <x:c r="C400" s="30" t="str">
        <x:v>starly</x:v>
      </x:c>
      <x:c r="D400" s="36" t="n">
        <x:v>4</x:v>
      </x:c>
      <x:c r="E400" s="31" t="str">
        <x:v>—</x:v>
      </x:c>
      <x:c r="F400" s="31" t="str">
        <x:v>—</x:v>
      </x:c>
      <x:c r="G400" s="31" t="str">
        <x:v>—</x:v>
      </x:c>
      <x:c r="H400" s="31" t="str">
        <x:v>포함</x:v>
      </x:c>
      <x:c r="I400" s="31" t="str">
        <x:v>—</x:v>
      </x:c>
      <x:c r="J400" s="31" t="str">
        <x:v>포함</x:v>
      </x:c>
      <x:c r="K400" s="31" t="str">
        <x:v>—</x:v>
      </x:c>
      <x:c r="L400" s="31" t="str">
        <x:v>—</x:v>
      </x:c>
      <x:c r="M400" s="31" t="str">
        <x:v>포함</x:v>
      </x:c>
    </x:row>
    <x:row r="401">
      <x:c r="A401" s="34" t="n">
        <x:v>397</x:v>
      </x:c>
      <x:c r="B401" s="30" t="str">
        <x:v>찌르버드</x:v>
      </x:c>
      <x:c r="C401" s="30" t="str">
        <x:v>staravia</x:v>
      </x:c>
      <x:c r="D401" s="36" t="n">
        <x:v>4</x:v>
      </x:c>
      <x:c r="E401" s="31" t="str">
        <x:v>—</x:v>
      </x:c>
      <x:c r="F401" s="31" t="str">
        <x:v>—</x:v>
      </x:c>
      <x:c r="G401" s="31" t="str">
        <x:v>—</x:v>
      </x:c>
      <x:c r="H401" s="31" t="str">
        <x:v>포함</x:v>
      </x:c>
      <x:c r="I401" s="31" t="str">
        <x:v>—</x:v>
      </x:c>
      <x:c r="J401" s="31" t="str">
        <x:v>포함</x:v>
      </x:c>
      <x:c r="K401" s="31" t="str">
        <x:v>—</x:v>
      </x:c>
      <x:c r="L401" s="31" t="str">
        <x:v>—</x:v>
      </x:c>
      <x:c r="M401" s="31" t="str">
        <x:v>포함</x:v>
      </x:c>
    </x:row>
    <x:row r="402">
      <x:c r="A402" s="34" t="n">
        <x:v>398</x:v>
      </x:c>
      <x:c r="B402" s="30" t="str">
        <x:v>찌르호크</x:v>
      </x:c>
      <x:c r="C402" s="30" t="str">
        <x:v>staraptor</x:v>
      </x:c>
      <x:c r="D402" s="36" t="n">
        <x:v>4</x:v>
      </x:c>
      <x:c r="E402" s="31" t="str">
        <x:v>—</x:v>
      </x:c>
      <x:c r="F402" s="31" t="str">
        <x:v>—</x:v>
      </x:c>
      <x:c r="G402" s="31" t="str">
        <x:v>—</x:v>
      </x:c>
      <x:c r="H402" s="31" t="str">
        <x:v>포함</x:v>
      </x:c>
      <x:c r="I402" s="31" t="str">
        <x:v>—</x:v>
      </x:c>
      <x:c r="J402" s="31" t="str">
        <x:v>포함</x:v>
      </x:c>
      <x:c r="K402" s="31" t="str">
        <x:v>—</x:v>
      </x:c>
      <x:c r="L402" s="31" t="str">
        <x:v>—</x:v>
      </x:c>
      <x:c r="M402" s="31" t="str">
        <x:v>포함</x:v>
      </x:c>
    </x:row>
    <x:row r="403">
      <x:c r="A403" s="34" t="n">
        <x:v>399</x:v>
      </x:c>
      <x:c r="B403" s="30" t="str">
        <x:v>비버니</x:v>
      </x:c>
      <x:c r="C403" s="30" t="str">
        <x:v>bidoof</x:v>
      </x:c>
      <x:c r="D403" s="36" t="n">
        <x:v>4</x:v>
      </x:c>
      <x:c r="E403" s="31" t="str">
        <x:v>—</x:v>
      </x:c>
      <x:c r="F403" s="31" t="str">
        <x:v>—</x:v>
      </x:c>
      <x:c r="G403" s="31" t="str">
        <x:v>—</x:v>
      </x:c>
      <x:c r="H403" s="31" t="str">
        <x:v>포함</x:v>
      </x:c>
      <x:c r="I403" s="31" t="str">
        <x:v>—</x:v>
      </x:c>
      <x:c r="J403" s="31" t="str">
        <x:v>포함</x:v>
      </x:c>
      <x:c r="K403" s="31" t="str">
        <x:v>—</x:v>
      </x:c>
      <x:c r="L403" s="31" t="str">
        <x:v>—</x:v>
      </x:c>
      <x:c r="M403" s="31" t="str">
        <x:v>—</x:v>
      </x:c>
    </x:row>
    <x:row r="404">
      <x:c r="A404" s="34" t="n">
        <x:v>400</x:v>
      </x:c>
      <x:c r="B404" s="30" t="str">
        <x:v>비버통</x:v>
      </x:c>
      <x:c r="C404" s="30" t="str">
        <x:v>bibarel</x:v>
      </x:c>
      <x:c r="D404" s="36" t="n">
        <x:v>4</x:v>
      </x:c>
      <x:c r="E404" s="31" t="str">
        <x:v>—</x:v>
      </x:c>
      <x:c r="F404" s="31" t="str">
        <x:v>—</x:v>
      </x:c>
      <x:c r="G404" s="31" t="str">
        <x:v>—</x:v>
      </x:c>
      <x:c r="H404" s="31" t="str">
        <x:v>포함</x:v>
      </x:c>
      <x:c r="I404" s="31" t="str">
        <x:v>—</x:v>
      </x:c>
      <x:c r="J404" s="31" t="str">
        <x:v>포함</x:v>
      </x:c>
      <x:c r="K404" s="31" t="str">
        <x:v>—</x:v>
      </x:c>
      <x:c r="L404" s="31" t="str">
        <x:v>—</x:v>
      </x:c>
      <x:c r="M404" s="31" t="str">
        <x:v>—</x:v>
      </x:c>
    </x:row>
    <x:row r="405">
      <x:c r="A405" s="34" t="n">
        <x:v>401</x:v>
      </x:c>
      <x:c r="B405" s="30" t="str">
        <x:v>귀뚤뚜기</x:v>
      </x:c>
      <x:c r="C405" s="30" t="str">
        <x:v>kricketot</x:v>
      </x:c>
      <x:c r="D405" s="36" t="n">
        <x:v>4</x:v>
      </x:c>
      <x:c r="E405" s="31" t="str">
        <x:v>—</x:v>
      </x:c>
      <x:c r="F405" s="31" t="str">
        <x:v>—</x:v>
      </x:c>
      <x:c r="G405" s="31" t="str">
        <x:v>—</x:v>
      </x:c>
      <x:c r="H405" s="31" t="str">
        <x:v>포함</x:v>
      </x:c>
      <x:c r="I405" s="31" t="str">
        <x:v>—</x:v>
      </x:c>
      <x:c r="J405" s="31" t="str">
        <x:v>—</x:v>
      </x:c>
      <x:c r="K405" s="31" t="str">
        <x:v>—</x:v>
      </x:c>
      <x:c r="L405" s="31" t="str">
        <x:v>—</x:v>
      </x:c>
      <x:c r="M405" s="31" t="str">
        <x:v>포함</x:v>
      </x:c>
    </x:row>
    <x:row r="406">
      <x:c r="A406" s="34" t="n">
        <x:v>402</x:v>
      </x:c>
      <x:c r="B406" s="30" t="str">
        <x:v>귀뚤톡크</x:v>
      </x:c>
      <x:c r="C406" s="30" t="str">
        <x:v>kricketune</x:v>
      </x:c>
      <x:c r="D406" s="36" t="n">
        <x:v>4</x:v>
      </x:c>
      <x:c r="E406" s="31" t="str">
        <x:v>—</x:v>
      </x:c>
      <x:c r="F406" s="31" t="str">
        <x:v>—</x:v>
      </x:c>
      <x:c r="G406" s="31" t="str">
        <x:v>—</x:v>
      </x:c>
      <x:c r="H406" s="31" t="str">
        <x:v>포함</x:v>
      </x:c>
      <x:c r="I406" s="31" t="str">
        <x:v>—</x:v>
      </x:c>
      <x:c r="J406" s="31" t="str">
        <x:v>—</x:v>
      </x:c>
      <x:c r="K406" s="31" t="str">
        <x:v>—</x:v>
      </x:c>
      <x:c r="L406" s="31" t="str">
        <x:v>—</x:v>
      </x:c>
      <x:c r="M406" s="31" t="str">
        <x:v>포함</x:v>
      </x:c>
    </x:row>
    <x:row r="407">
      <x:c r="A407" s="34" t="n">
        <x:v>403</x:v>
      </x:c>
      <x:c r="B407" s="30" t="str">
        <x:v>꼬링크</x:v>
      </x:c>
      <x:c r="C407" s="30" t="str">
        <x:v>shinx</x:v>
      </x:c>
      <x:c r="D407" s="36" t="n">
        <x:v>4</x:v>
      </x:c>
      <x:c r="E407" s="31" t="str">
        <x:v>—</x:v>
      </x:c>
      <x:c r="F407" s="31" t="str">
        <x:v>—</x:v>
      </x:c>
      <x:c r="G407" s="31" t="str">
        <x:v>—</x:v>
      </x:c>
      <x:c r="H407" s="31" t="str">
        <x:v>포함</x:v>
      </x:c>
      <x:c r="I407" s="31" t="str">
        <x:v>—</x:v>
      </x:c>
      <x:c r="J407" s="31" t="str">
        <x:v>—</x:v>
      </x:c>
      <x:c r="K407" s="31" t="str">
        <x:v>—</x:v>
      </x:c>
      <x:c r="L407" s="31" t="str">
        <x:v>포함</x:v>
      </x:c>
      <x:c r="M407" s="31" t="str">
        <x:v>포함</x:v>
      </x:c>
    </x:row>
    <x:row r="408">
      <x:c r="A408" s="34" t="n">
        <x:v>404</x:v>
      </x:c>
      <x:c r="B408" s="30" t="str">
        <x:v>럭시오</x:v>
      </x:c>
      <x:c r="C408" s="30" t="str">
        <x:v>luxio</x:v>
      </x:c>
      <x:c r="D408" s="36" t="n">
        <x:v>4</x:v>
      </x:c>
      <x:c r="E408" s="31" t="str">
        <x:v>—</x:v>
      </x:c>
      <x:c r="F408" s="31" t="str">
        <x:v>—</x:v>
      </x:c>
      <x:c r="G408" s="31" t="str">
        <x:v>—</x:v>
      </x:c>
      <x:c r="H408" s="31" t="str">
        <x:v>포함</x:v>
      </x:c>
      <x:c r="I408" s="31" t="str">
        <x:v>—</x:v>
      </x:c>
      <x:c r="J408" s="31" t="str">
        <x:v>—</x:v>
      </x:c>
      <x:c r="K408" s="31" t="str">
        <x:v>—</x:v>
      </x:c>
      <x:c r="L408" s="31" t="str">
        <x:v>포함</x:v>
      </x:c>
      <x:c r="M408" s="31" t="str">
        <x:v>포함</x:v>
      </x:c>
    </x:row>
    <x:row r="409">
      <x:c r="A409" s="34" t="n">
        <x:v>405</x:v>
      </x:c>
      <x:c r="B409" s="30" t="str">
        <x:v>렌트라</x:v>
      </x:c>
      <x:c r="C409" s="30" t="str">
        <x:v>luxray</x:v>
      </x:c>
      <x:c r="D409" s="36" t="n">
        <x:v>4</x:v>
      </x:c>
      <x:c r="E409" s="31" t="str">
        <x:v>—</x:v>
      </x:c>
      <x:c r="F409" s="31" t="str">
        <x:v>—</x:v>
      </x:c>
      <x:c r="G409" s="31" t="str">
        <x:v>—</x:v>
      </x:c>
      <x:c r="H409" s="31" t="str">
        <x:v>포함</x:v>
      </x:c>
      <x:c r="I409" s="31" t="str">
        <x:v>—</x:v>
      </x:c>
      <x:c r="J409" s="31" t="str">
        <x:v>—</x:v>
      </x:c>
      <x:c r="K409" s="31" t="str">
        <x:v>—</x:v>
      </x:c>
      <x:c r="L409" s="31" t="str">
        <x:v>포함</x:v>
      </x:c>
      <x:c r="M409" s="31" t="str">
        <x:v>포함</x:v>
      </x:c>
    </x:row>
    <x:row r="410">
      <x:c r="A410" s="34" t="n">
        <x:v>406</x:v>
      </x:c>
      <x:c r="B410" s="30" t="str">
        <x:v>꼬몽울</x:v>
      </x:c>
      <x:c r="C410" s="30" t="str">
        <x:v>budew</x:v>
      </x:c>
      <x:c r="D410" s="36" t="n">
        <x:v>4</x:v>
      </x:c>
      <x:c r="E410" s="31" t="str">
        <x:v>—</x:v>
      </x:c>
      <x:c r="F410" s="31" t="str">
        <x:v>—</x:v>
      </x:c>
      <x:c r="G410" s="31" t="str">
        <x:v>—</x:v>
      </x:c>
      <x:c r="H410" s="31" t="str">
        <x:v>포함</x:v>
      </x:c>
      <x:c r="I410" s="31" t="str">
        <x:v>포함</x:v>
      </x:c>
      <x:c r="J410" s="31" t="str">
        <x:v>포함</x:v>
      </x:c>
      <x:c r="K410" s="31" t="str">
        <x:v>—</x:v>
      </x:c>
      <x:c r="L410" s="31" t="str">
        <x:v>포함</x:v>
      </x:c>
      <x:c r="M410" s="31" t="str">
        <x:v>—</x:v>
      </x:c>
    </x:row>
    <x:row r="411">
      <x:c r="A411" s="34" t="n">
        <x:v>407</x:v>
      </x:c>
      <x:c r="B411" s="30" t="str">
        <x:v>로즈레이드</x:v>
      </x:c>
      <x:c r="C411" s="30" t="str">
        <x:v>roserade</x:v>
      </x:c>
      <x:c r="D411" s="36" t="n">
        <x:v>4</x:v>
      </x:c>
      <x:c r="E411" s="31" t="str">
        <x:v>—</x:v>
      </x:c>
      <x:c r="F411" s="31" t="str">
        <x:v>—</x:v>
      </x:c>
      <x:c r="G411" s="31" t="str">
        <x:v>—</x:v>
      </x:c>
      <x:c r="H411" s="31" t="str">
        <x:v>포함</x:v>
      </x:c>
      <x:c r="I411" s="31" t="str">
        <x:v>포함</x:v>
      </x:c>
      <x:c r="J411" s="31" t="str">
        <x:v>포함</x:v>
      </x:c>
      <x:c r="K411" s="31" t="str">
        <x:v>—</x:v>
      </x:c>
      <x:c r="L411" s="31" t="str">
        <x:v>포함</x:v>
      </x:c>
      <x:c r="M411" s="31" t="str">
        <x:v>—</x:v>
      </x:c>
    </x:row>
    <x:row r="412">
      <x:c r="A412" s="34" t="n">
        <x:v>408</x:v>
      </x:c>
      <x:c r="B412" s="30" t="str">
        <x:v>두개도스</x:v>
      </x:c>
      <x:c r="C412" s="30" t="str">
        <x:v>cranidos</x:v>
      </x:c>
      <x:c r="D412" s="36" t="n">
        <x:v>4</x:v>
      </x:c>
      <x:c r="E412" s="31" t="str">
        <x:v>—</x:v>
      </x:c>
      <x:c r="F412" s="31" t="str">
        <x:v>—</x:v>
      </x:c>
      <x:c r="G412" s="31" t="str">
        <x:v>—</x:v>
      </x:c>
      <x:c r="H412" s="31" t="str">
        <x:v>포함</x:v>
      </x:c>
      <x:c r="I412" s="31" t="str">
        <x:v>—</x:v>
      </x:c>
      <x:c r="J412" s="31" t="str">
        <x:v>—</x:v>
      </x:c>
      <x:c r="K412" s="31" t="str">
        <x:v>포함</x:v>
      </x:c>
      <x:c r="L412" s="31" t="str">
        <x:v>—</x:v>
      </x:c>
      <x:c r="M412" s="31" t="str">
        <x:v>포함</x:v>
      </x:c>
    </x:row>
    <x:row r="413">
      <x:c r="A413" s="34" t="n">
        <x:v>409</x:v>
      </x:c>
      <x:c r="B413" s="30" t="str">
        <x:v>램펄드</x:v>
      </x:c>
      <x:c r="C413" s="30" t="str">
        <x:v>rampardos</x:v>
      </x:c>
      <x:c r="D413" s="36" t="n">
        <x:v>4</x:v>
      </x:c>
      <x:c r="E413" s="31" t="str">
        <x:v>—</x:v>
      </x:c>
      <x:c r="F413" s="31" t="str">
        <x:v>—</x:v>
      </x:c>
      <x:c r="G413" s="31" t="str">
        <x:v>—</x:v>
      </x:c>
      <x:c r="H413" s="31" t="str">
        <x:v>포함</x:v>
      </x:c>
      <x:c r="I413" s="31" t="str">
        <x:v>—</x:v>
      </x:c>
      <x:c r="J413" s="31" t="str">
        <x:v>—</x:v>
      </x:c>
      <x:c r="K413" s="31" t="str">
        <x:v>포함</x:v>
      </x:c>
      <x:c r="L413" s="31" t="str">
        <x:v>—</x:v>
      </x:c>
      <x:c r="M413" s="31" t="str">
        <x:v>포함</x:v>
      </x:c>
    </x:row>
    <x:row r="414">
      <x:c r="A414" s="34" t="n">
        <x:v>410</x:v>
      </x:c>
      <x:c r="B414" s="30" t="str">
        <x:v>방패톱스</x:v>
      </x:c>
      <x:c r="C414" s="30" t="str">
        <x:v>shieldon</x:v>
      </x:c>
      <x:c r="D414" s="36" t="n">
        <x:v>4</x:v>
      </x:c>
      <x:c r="E414" s="31" t="str">
        <x:v>—</x:v>
      </x:c>
      <x:c r="F414" s="31" t="str">
        <x:v>—</x:v>
      </x:c>
      <x:c r="G414" s="31" t="str">
        <x:v>—</x:v>
      </x:c>
      <x:c r="H414" s="31" t="str">
        <x:v>포함</x:v>
      </x:c>
      <x:c r="I414" s="31" t="str">
        <x:v>—</x:v>
      </x:c>
      <x:c r="J414" s="31" t="str">
        <x:v>—</x:v>
      </x:c>
      <x:c r="K414" s="31" t="str">
        <x:v>포함</x:v>
      </x:c>
      <x:c r="L414" s="31" t="str">
        <x:v>—</x:v>
      </x:c>
      <x:c r="M414" s="31" t="str">
        <x:v>포함</x:v>
      </x:c>
    </x:row>
    <x:row r="415">
      <x:c r="A415" s="34" t="n">
        <x:v>411</x:v>
      </x:c>
      <x:c r="B415" s="30" t="str">
        <x:v>바리톱스</x:v>
      </x:c>
      <x:c r="C415" s="30" t="str">
        <x:v>bastiodon</x:v>
      </x:c>
      <x:c r="D415" s="36" t="n">
        <x:v>4</x:v>
      </x:c>
      <x:c r="E415" s="31" t="str">
        <x:v>—</x:v>
      </x:c>
      <x:c r="F415" s="31" t="str">
        <x:v>—</x:v>
      </x:c>
      <x:c r="G415" s="31" t="str">
        <x:v>—</x:v>
      </x:c>
      <x:c r="H415" s="31" t="str">
        <x:v>포함</x:v>
      </x:c>
      <x:c r="I415" s="31" t="str">
        <x:v>—</x:v>
      </x:c>
      <x:c r="J415" s="31" t="str">
        <x:v>—</x:v>
      </x:c>
      <x:c r="K415" s="31" t="str">
        <x:v>포함</x:v>
      </x:c>
      <x:c r="L415" s="31" t="str">
        <x:v>—</x:v>
      </x:c>
      <x:c r="M415" s="31" t="str">
        <x:v>포함</x:v>
      </x:c>
    </x:row>
    <x:row r="416">
      <x:c r="A416" s="34" t="n">
        <x:v>412</x:v>
      </x:c>
      <x:c r="B416" s="30" t="str">
        <x:v>도롱충이</x:v>
      </x:c>
      <x:c r="C416" s="30" t="str">
        <x:v>burmy</x:v>
      </x:c>
      <x:c r="D416" s="36" t="n">
        <x:v>4</x:v>
      </x:c>
      <x:c r="E416" s="31" t="str">
        <x:v>—</x:v>
      </x:c>
      <x:c r="F416" s="31" t="str">
        <x:v>—</x:v>
      </x:c>
      <x:c r="G416" s="31" t="str">
        <x:v>—</x:v>
      </x:c>
      <x:c r="H416" s="31" t="str">
        <x:v>포함</x:v>
      </x:c>
      <x:c r="I416" s="31" t="str">
        <x:v>—</x:v>
      </x:c>
      <x:c r="J416" s="31" t="str">
        <x:v>포함</x:v>
      </x:c>
      <x:c r="K416" s="31" t="str">
        <x:v>—</x:v>
      </x:c>
      <x:c r="L416" s="31" t="str">
        <x:v>—</x:v>
      </x:c>
      <x:c r="M416" s="31" t="str">
        <x:v>—</x:v>
      </x:c>
    </x:row>
    <x:row r="417">
      <x:c r="A417" s="34" t="n">
        <x:v>413</x:v>
      </x:c>
      <x:c r="B417" s="30" t="str">
        <x:v>도롱마담</x:v>
      </x:c>
      <x:c r="C417" s="30" t="str">
        <x:v>wormadam</x:v>
      </x:c>
      <x:c r="D417" s="36" t="n">
        <x:v>4</x:v>
      </x:c>
      <x:c r="E417" s="31" t="str">
        <x:v>—</x:v>
      </x:c>
      <x:c r="F417" s="31" t="str">
        <x:v>—</x:v>
      </x:c>
      <x:c r="G417" s="31" t="str">
        <x:v>—</x:v>
      </x:c>
      <x:c r="H417" s="31" t="str">
        <x:v>포함</x:v>
      </x:c>
      <x:c r="I417" s="31" t="str">
        <x:v>—</x:v>
      </x:c>
      <x:c r="J417" s="31" t="str">
        <x:v>포함</x:v>
      </x:c>
      <x:c r="K417" s="31" t="str">
        <x:v>—</x:v>
      </x:c>
      <x:c r="L417" s="31" t="str">
        <x:v>—</x:v>
      </x:c>
      <x:c r="M417" s="31" t="str">
        <x:v>—</x:v>
      </x:c>
    </x:row>
    <x:row r="418">
      <x:c r="A418" s="34" t="n">
        <x:v>414</x:v>
      </x:c>
      <x:c r="B418" s="30" t="str">
        <x:v>나메일</x:v>
      </x:c>
      <x:c r="C418" s="30" t="str">
        <x:v>mothim</x:v>
      </x:c>
      <x:c r="D418" s="36" t="n">
        <x:v>4</x:v>
      </x:c>
      <x:c r="E418" s="31" t="str">
        <x:v>—</x:v>
      </x:c>
      <x:c r="F418" s="31" t="str">
        <x:v>—</x:v>
      </x:c>
      <x:c r="G418" s="31" t="str">
        <x:v>—</x:v>
      </x:c>
      <x:c r="H418" s="31" t="str">
        <x:v>포함</x:v>
      </x:c>
      <x:c r="I418" s="31" t="str">
        <x:v>—</x:v>
      </x:c>
      <x:c r="J418" s="31" t="str">
        <x:v>포함</x:v>
      </x:c>
      <x:c r="K418" s="31" t="str">
        <x:v>—</x:v>
      </x:c>
      <x:c r="L418" s="31" t="str">
        <x:v>—</x:v>
      </x:c>
      <x:c r="M418" s="31" t="str">
        <x:v>—</x:v>
      </x:c>
    </x:row>
    <x:row r="419">
      <x:c r="A419" s="34" t="n">
        <x:v>415</x:v>
      </x:c>
      <x:c r="B419" s="30" t="str">
        <x:v>세꿀버리</x:v>
      </x:c>
      <x:c r="C419" s="30" t="str">
        <x:v>combee</x:v>
      </x:c>
      <x:c r="D419" s="36" t="n">
        <x:v>4</x:v>
      </x:c>
      <x:c r="E419" s="31" t="str">
        <x:v>—</x:v>
      </x:c>
      <x:c r="F419" s="31" t="str">
        <x:v>—</x:v>
      </x:c>
      <x:c r="G419" s="31" t="str">
        <x:v>—</x:v>
      </x:c>
      <x:c r="H419" s="31" t="str">
        <x:v>포함</x:v>
      </x:c>
      <x:c r="I419" s="31" t="str">
        <x:v>포함</x:v>
      </x:c>
      <x:c r="J419" s="31" t="str">
        <x:v>포함</x:v>
      </x:c>
      <x:c r="K419" s="31" t="str">
        <x:v>—</x:v>
      </x:c>
      <x:c r="L419" s="31" t="str">
        <x:v>포함</x:v>
      </x:c>
      <x:c r="M419" s="31" t="str">
        <x:v>포함</x:v>
      </x:c>
    </x:row>
    <x:row r="420">
      <x:c r="A420" s="34" t="n">
        <x:v>416</x:v>
      </x:c>
      <x:c r="B420" s="30" t="str">
        <x:v>비퀸</x:v>
      </x:c>
      <x:c r="C420" s="30" t="str">
        <x:v>vespiquen</x:v>
      </x:c>
      <x:c r="D420" s="36" t="n">
        <x:v>4</x:v>
      </x:c>
      <x:c r="E420" s="31" t="str">
        <x:v>—</x:v>
      </x:c>
      <x:c r="F420" s="31" t="str">
        <x:v>—</x:v>
      </x:c>
      <x:c r="G420" s="31" t="str">
        <x:v>—</x:v>
      </x:c>
      <x:c r="H420" s="31" t="str">
        <x:v>포함</x:v>
      </x:c>
      <x:c r="I420" s="31" t="str">
        <x:v>포함</x:v>
      </x:c>
      <x:c r="J420" s="31" t="str">
        <x:v>포함</x:v>
      </x:c>
      <x:c r="K420" s="31" t="str">
        <x:v>—</x:v>
      </x:c>
      <x:c r="L420" s="31" t="str">
        <x:v>포함</x:v>
      </x:c>
      <x:c r="M420" s="31" t="str">
        <x:v>포함</x:v>
      </x:c>
    </x:row>
    <x:row r="421">
      <x:c r="A421" s="34" t="n">
        <x:v>417</x:v>
      </x:c>
      <x:c r="B421" s="30" t="str">
        <x:v>파치리스</x:v>
      </x:c>
      <x:c r="C421" s="30" t="str">
        <x:v>pachirisu</x:v>
      </x:c>
      <x:c r="D421" s="36" t="n">
        <x:v>4</x:v>
      </x:c>
      <x:c r="E421" s="31" t="str">
        <x:v>—</x:v>
      </x:c>
      <x:c r="F421" s="31" t="str">
        <x:v>—</x:v>
      </x:c>
      <x:c r="G421" s="31" t="str">
        <x:v>—</x:v>
      </x:c>
      <x:c r="H421" s="31" t="str">
        <x:v>포함</x:v>
      </x:c>
      <x:c r="I421" s="31" t="str">
        <x:v>—</x:v>
      </x:c>
      <x:c r="J421" s="31" t="str">
        <x:v>포함</x:v>
      </x:c>
      <x:c r="K421" s="31" t="str">
        <x:v>—</x:v>
      </x:c>
      <x:c r="L421" s="31" t="str">
        <x:v>—</x:v>
      </x:c>
      <x:c r="M421" s="31" t="str">
        <x:v>포함</x:v>
      </x:c>
    </x:row>
    <x:row r="422">
      <x:c r="A422" s="34" t="n">
        <x:v>418</x:v>
      </x:c>
      <x:c r="B422" s="30" t="str">
        <x:v>브이젤</x:v>
      </x:c>
      <x:c r="C422" s="30" t="str">
        <x:v>buizel</x:v>
      </x:c>
      <x:c r="D422" s="36" t="n">
        <x:v>4</x:v>
      </x:c>
      <x:c r="E422" s="31" t="str">
        <x:v>—</x:v>
      </x:c>
      <x:c r="F422" s="31" t="str">
        <x:v>—</x:v>
      </x:c>
      <x:c r="G422" s="31" t="str">
        <x:v>—</x:v>
      </x:c>
      <x:c r="H422" s="31" t="str">
        <x:v>포함</x:v>
      </x:c>
      <x:c r="I422" s="31" t="str">
        <x:v>포함</x:v>
      </x:c>
      <x:c r="J422" s="31" t="str">
        <x:v>포함</x:v>
      </x:c>
      <x:c r="K422" s="31" t="str">
        <x:v>—</x:v>
      </x:c>
      <x:c r="L422" s="31" t="str">
        <x:v>—</x:v>
      </x:c>
      <x:c r="M422" s="31" t="str">
        <x:v>포함</x:v>
      </x:c>
    </x:row>
    <x:row r="423">
      <x:c r="A423" s="34" t="n">
        <x:v>419</x:v>
      </x:c>
      <x:c r="B423" s="30" t="str">
        <x:v>플로젤</x:v>
      </x:c>
      <x:c r="C423" s="30" t="str">
        <x:v>floatzel</x:v>
      </x:c>
      <x:c r="D423" s="36" t="n">
        <x:v>4</x:v>
      </x:c>
      <x:c r="E423" s="31" t="str">
        <x:v>—</x:v>
      </x:c>
      <x:c r="F423" s="31" t="str">
        <x:v>—</x:v>
      </x:c>
      <x:c r="G423" s="31" t="str">
        <x:v>—</x:v>
      </x:c>
      <x:c r="H423" s="31" t="str">
        <x:v>포함</x:v>
      </x:c>
      <x:c r="I423" s="31" t="str">
        <x:v>포함</x:v>
      </x:c>
      <x:c r="J423" s="31" t="str">
        <x:v>포함</x:v>
      </x:c>
      <x:c r="K423" s="31" t="str">
        <x:v>—</x:v>
      </x:c>
      <x:c r="L423" s="31" t="str">
        <x:v>—</x:v>
      </x:c>
      <x:c r="M423" s="31" t="str">
        <x:v>포함</x:v>
      </x:c>
    </x:row>
    <x:row r="424">
      <x:c r="A424" s="34" t="n">
        <x:v>420</x:v>
      </x:c>
      <x:c r="B424" s="30" t="str">
        <x:v>체리버</x:v>
      </x:c>
      <x:c r="C424" s="30" t="str">
        <x:v>cherubi</x:v>
      </x:c>
      <x:c r="D424" s="36" t="n">
        <x:v>4</x:v>
      </x:c>
      <x:c r="E424" s="31" t="str">
        <x:v>—</x:v>
      </x:c>
      <x:c r="F424" s="31" t="str">
        <x:v>—</x:v>
      </x:c>
      <x:c r="G424" s="31" t="str">
        <x:v>—</x:v>
      </x:c>
      <x:c r="H424" s="31" t="str">
        <x:v>포함</x:v>
      </x:c>
      <x:c r="I424" s="31" t="str">
        <x:v>—</x:v>
      </x:c>
      <x:c r="J424" s="31" t="str">
        <x:v>—</x:v>
      </x:c>
      <x:c r="K424" s="31" t="str">
        <x:v>—</x:v>
      </x:c>
      <x:c r="L424" s="31" t="str">
        <x:v>포함</x:v>
      </x:c>
      <x:c r="M424" s="31" t="str">
        <x:v>—</x:v>
      </x:c>
    </x:row>
    <x:row r="425">
      <x:c r="A425" s="34" t="n">
        <x:v>421</x:v>
      </x:c>
      <x:c r="B425" s="30" t="str">
        <x:v>체리꼬</x:v>
      </x:c>
      <x:c r="C425" s="30" t="str">
        <x:v>cherrim</x:v>
      </x:c>
      <x:c r="D425" s="36" t="n">
        <x:v>4</x:v>
      </x:c>
      <x:c r="E425" s="31" t="str">
        <x:v>—</x:v>
      </x:c>
      <x:c r="F425" s="31" t="str">
        <x:v>—</x:v>
      </x:c>
      <x:c r="G425" s="31" t="str">
        <x:v>—</x:v>
      </x:c>
      <x:c r="H425" s="31" t="str">
        <x:v>포함</x:v>
      </x:c>
      <x:c r="I425" s="31" t="str">
        <x:v>—</x:v>
      </x:c>
      <x:c r="J425" s="31" t="str">
        <x:v>—</x:v>
      </x:c>
      <x:c r="K425" s="31" t="str">
        <x:v>—</x:v>
      </x:c>
      <x:c r="L425" s="31" t="str">
        <x:v>포함</x:v>
      </x:c>
      <x:c r="M425" s="31" t="str">
        <x:v>—</x:v>
      </x:c>
    </x:row>
    <x:row r="426">
      <x:c r="A426" s="34" t="n">
        <x:v>422</x:v>
      </x:c>
      <x:c r="B426" s="30" t="str">
        <x:v>깝질무</x:v>
      </x:c>
      <x:c r="C426" s="30" t="str">
        <x:v>shellos</x:v>
      </x:c>
      <x:c r="D426" s="36" t="n">
        <x:v>4</x:v>
      </x:c>
      <x:c r="E426" s="31" t="str">
        <x:v>—</x:v>
      </x:c>
      <x:c r="F426" s="31" t="str">
        <x:v>—</x:v>
      </x:c>
      <x:c r="G426" s="31" t="str">
        <x:v>—</x:v>
      </x:c>
      <x:c r="H426" s="31" t="str">
        <x:v>포함</x:v>
      </x:c>
      <x:c r="I426" s="31" t="str">
        <x:v>—</x:v>
      </x:c>
      <x:c r="J426" s="31" t="str">
        <x:v>—</x:v>
      </x:c>
      <x:c r="K426" s="31" t="str">
        <x:v>포함</x:v>
      </x:c>
      <x:c r="L426" s="31" t="str">
        <x:v>포함</x:v>
      </x:c>
      <x:c r="M426" s="31" t="str">
        <x:v>포함</x:v>
      </x:c>
    </x:row>
    <x:row r="427">
      <x:c r="A427" s="34" t="n">
        <x:v>423</x:v>
      </x:c>
      <x:c r="B427" s="30" t="str">
        <x:v>트리토돈</x:v>
      </x:c>
      <x:c r="C427" s="30" t="str">
        <x:v>gastrodon</x:v>
      </x:c>
      <x:c r="D427" s="36" t="n">
        <x:v>4</x:v>
      </x:c>
      <x:c r="E427" s="31" t="str">
        <x:v>—</x:v>
      </x:c>
      <x:c r="F427" s="31" t="str">
        <x:v>—</x:v>
      </x:c>
      <x:c r="G427" s="31" t="str">
        <x:v>—</x:v>
      </x:c>
      <x:c r="H427" s="31" t="str">
        <x:v>포함</x:v>
      </x:c>
      <x:c r="I427" s="31" t="str">
        <x:v>—</x:v>
      </x:c>
      <x:c r="J427" s="31" t="str">
        <x:v>—</x:v>
      </x:c>
      <x:c r="K427" s="31" t="str">
        <x:v>포함</x:v>
      </x:c>
      <x:c r="L427" s="31" t="str">
        <x:v>포함</x:v>
      </x:c>
      <x:c r="M427" s="31" t="str">
        <x:v>포함</x:v>
      </x:c>
    </x:row>
    <x:row r="428">
      <x:c r="A428" s="34" t="n">
        <x:v>424</x:v>
      </x:c>
      <x:c r="B428" s="30" t="str">
        <x:v>겟핸보숭</x:v>
      </x:c>
      <x:c r="C428" s="30" t="str">
        <x:v>ambipom</x:v>
      </x:c>
      <x:c r="D428" s="36" t="n">
        <x:v>4</x:v>
      </x:c>
      <x:c r="E428" s="31" t="str">
        <x:v>—</x:v>
      </x:c>
      <x:c r="F428" s="31" t="str">
        <x:v>—</x:v>
      </x:c>
      <x:c r="G428" s="31" t="str">
        <x:v>—</x:v>
      </x:c>
      <x:c r="H428" s="31" t="str">
        <x:v>포함</x:v>
      </x:c>
      <x:c r="I428" s="31" t="str">
        <x:v>—</x:v>
      </x:c>
      <x:c r="J428" s="31" t="str">
        <x:v>—</x:v>
      </x:c>
      <x:c r="K428" s="31" t="str">
        <x:v>포함</x:v>
      </x:c>
      <x:c r="L428" s="31" t="str">
        <x:v>—</x:v>
      </x:c>
      <x:c r="M428" s="31" t="str">
        <x:v>포함</x:v>
      </x:c>
    </x:row>
    <x:row r="429">
      <x:c r="A429" s="34" t="n">
        <x:v>425</x:v>
      </x:c>
      <x:c r="B429" s="30" t="str">
        <x:v>흔들풍손</x:v>
      </x:c>
      <x:c r="C429" s="30" t="str">
        <x:v>drifloon</x:v>
      </x:c>
      <x:c r="D429" s="36" t="n">
        <x:v>4</x:v>
      </x:c>
      <x:c r="E429" s="31" t="str">
        <x:v>—</x:v>
      </x:c>
      <x:c r="F429" s="31" t="str">
        <x:v>—</x:v>
      </x:c>
      <x:c r="G429" s="31" t="str">
        <x:v>—</x:v>
      </x:c>
      <x:c r="H429" s="31" t="str">
        <x:v>포함</x:v>
      </x:c>
      <x:c r="I429" s="31" t="str">
        <x:v>포함</x:v>
      </x:c>
      <x:c r="J429" s="31" t="str">
        <x:v>포함</x:v>
      </x:c>
      <x:c r="K429" s="31" t="str">
        <x:v>포함</x:v>
      </x:c>
      <x:c r="L429" s="31" t="str">
        <x:v>포함</x:v>
      </x:c>
      <x:c r="M429" s="31" t="str">
        <x:v>포함</x:v>
      </x:c>
    </x:row>
    <x:row r="430">
      <x:c r="A430" s="34" t="n">
        <x:v>426</x:v>
      </x:c>
      <x:c r="B430" s="30" t="str">
        <x:v>둥실라이드</x:v>
      </x:c>
      <x:c r="C430" s="30" t="str">
        <x:v>drifblim</x:v>
      </x:c>
      <x:c r="D430" s="36" t="n">
        <x:v>4</x:v>
      </x:c>
      <x:c r="E430" s="31" t="str">
        <x:v>—</x:v>
      </x:c>
      <x:c r="F430" s="31" t="str">
        <x:v>—</x:v>
      </x:c>
      <x:c r="G430" s="31" t="str">
        <x:v>—</x:v>
      </x:c>
      <x:c r="H430" s="31" t="str">
        <x:v>포함</x:v>
      </x:c>
      <x:c r="I430" s="31" t="str">
        <x:v>포함</x:v>
      </x:c>
      <x:c r="J430" s="31" t="str">
        <x:v>포함</x:v>
      </x:c>
      <x:c r="K430" s="31" t="str">
        <x:v>포함</x:v>
      </x:c>
      <x:c r="L430" s="31" t="str">
        <x:v>포함</x:v>
      </x:c>
      <x:c r="M430" s="31" t="str">
        <x:v>포함</x:v>
      </x:c>
    </x:row>
    <x:row r="431">
      <x:c r="A431" s="34" t="n">
        <x:v>427</x:v>
      </x:c>
      <x:c r="B431" s="30" t="str">
        <x:v>이어롤</x:v>
      </x:c>
      <x:c r="C431" s="30" t="str">
        <x:v>buneary</x:v>
      </x:c>
      <x:c r="D431" s="36" t="n">
        <x:v>4</x:v>
      </x:c>
      <x:c r="E431" s="31" t="str">
        <x:v>—</x:v>
      </x:c>
      <x:c r="F431" s="31" t="str">
        <x:v>—</x:v>
      </x:c>
      <x:c r="G431" s="31" t="str">
        <x:v>—</x:v>
      </x:c>
      <x:c r="H431" s="31" t="str">
        <x:v>포함</x:v>
      </x:c>
      <x:c r="I431" s="31" t="str">
        <x:v>포함</x:v>
      </x:c>
      <x:c r="J431" s="31" t="str">
        <x:v>—</x:v>
      </x:c>
      <x:c r="K431" s="31" t="str">
        <x:v>포함</x:v>
      </x:c>
      <x:c r="L431" s="31" t="str">
        <x:v>포함</x:v>
      </x:c>
      <x:c r="M431" s="31" t="str">
        <x:v>—</x:v>
      </x:c>
    </x:row>
    <x:row r="432">
      <x:c r="A432" s="34" t="n">
        <x:v>428</x:v>
      </x:c>
      <x:c r="B432" s="30" t="str">
        <x:v>이어롭</x:v>
      </x:c>
      <x:c r="C432" s="30" t="str">
        <x:v>lopunny</x:v>
      </x:c>
      <x:c r="D432" s="36" t="n">
        <x:v>4</x:v>
      </x:c>
      <x:c r="E432" s="31" t="str">
        <x:v>—</x:v>
      </x:c>
      <x:c r="F432" s="31" t="str">
        <x:v>—</x:v>
      </x:c>
      <x:c r="G432" s="31" t="str">
        <x:v>—</x:v>
      </x:c>
      <x:c r="H432" s="31" t="str">
        <x:v>포함</x:v>
      </x:c>
      <x:c r="I432" s="31" t="str">
        <x:v>포함</x:v>
      </x:c>
      <x:c r="J432" s="31" t="str">
        <x:v>—</x:v>
      </x:c>
      <x:c r="K432" s="31" t="str">
        <x:v>포함</x:v>
      </x:c>
      <x:c r="L432" s="31" t="str">
        <x:v>포함</x:v>
      </x:c>
      <x:c r="M432" s="31" t="str">
        <x:v>—</x:v>
      </x:c>
    </x:row>
    <x:row r="433">
      <x:c r="A433" s="34" t="n">
        <x:v>429</x:v>
      </x:c>
      <x:c r="B433" s="30" t="str">
        <x:v>무우마직</x:v>
      </x:c>
      <x:c r="C433" s="30" t="str">
        <x:v>mismagius</x:v>
      </x:c>
      <x:c r="D433" s="36" t="n">
        <x:v>4</x:v>
      </x:c>
      <x:c r="E433" s="31" t="str">
        <x:v>—</x:v>
      </x:c>
      <x:c r="F433" s="31" t="str">
        <x:v>—</x:v>
      </x:c>
      <x:c r="G433" s="31" t="str">
        <x:v>—</x:v>
      </x:c>
      <x:c r="H433" s="31" t="str">
        <x:v>포함</x:v>
      </x:c>
      <x:c r="I433" s="31" t="str">
        <x:v>—</x:v>
      </x:c>
      <x:c r="J433" s="31" t="str">
        <x:v>—</x:v>
      </x:c>
      <x:c r="K433" s="31" t="str">
        <x:v>포함</x:v>
      </x:c>
      <x:c r="L433" s="31" t="str">
        <x:v>—</x:v>
      </x:c>
      <x:c r="M433" s="31" t="str">
        <x:v>포함</x:v>
      </x:c>
    </x:row>
    <x:row r="434">
      <x:c r="A434" s="34" t="n">
        <x:v>430</x:v>
      </x:c>
      <x:c r="B434" s="30" t="str">
        <x:v>돈크로우</x:v>
      </x:c>
      <x:c r="C434" s="30" t="str">
        <x:v>honchkrow</x:v>
      </x:c>
      <x:c r="D434" s="36" t="n">
        <x:v>4</x:v>
      </x:c>
      <x:c r="E434" s="31" t="str">
        <x:v>—</x:v>
      </x:c>
      <x:c r="F434" s="31" t="str">
        <x:v>—</x:v>
      </x:c>
      <x:c r="G434" s="31" t="str">
        <x:v>—</x:v>
      </x:c>
      <x:c r="H434" s="31" t="str">
        <x:v>포함</x:v>
      </x:c>
      <x:c r="I434" s="31" t="str">
        <x:v>—</x:v>
      </x:c>
      <x:c r="J434" s="31" t="str">
        <x:v>포함</x:v>
      </x:c>
      <x:c r="K434" s="31" t="str">
        <x:v>포함</x:v>
      </x:c>
      <x:c r="L434" s="31" t="str">
        <x:v>—</x:v>
      </x:c>
      <x:c r="M434" s="31" t="str">
        <x:v>포함</x:v>
      </x:c>
    </x:row>
    <x:row r="435">
      <x:c r="A435" s="34" t="n">
        <x:v>431</x:v>
      </x:c>
      <x:c r="B435" s="30" t="str">
        <x:v>나옹마</x:v>
      </x:c>
      <x:c r="C435" s="30" t="str">
        <x:v>glameow</x:v>
      </x:c>
      <x:c r="D435" s="36" t="n">
        <x:v>4</x:v>
      </x:c>
      <x:c r="E435" s="31" t="str">
        <x:v>—</x:v>
      </x:c>
      <x:c r="F435" s="31" t="str">
        <x:v>—</x:v>
      </x:c>
      <x:c r="G435" s="31" t="str">
        <x:v>—</x:v>
      </x:c>
      <x:c r="H435" s="31" t="str">
        <x:v>포함</x:v>
      </x:c>
      <x:c r="I435" s="31" t="str">
        <x:v>—</x:v>
      </x:c>
      <x:c r="J435" s="31" t="str">
        <x:v>—</x:v>
      </x:c>
      <x:c r="K435" s="31" t="str">
        <x:v>—</x:v>
      </x:c>
      <x:c r="L435" s="31" t="str">
        <x:v>—</x:v>
      </x:c>
      <x:c r="M435" s="31" t="str">
        <x:v>—</x:v>
      </x:c>
    </x:row>
    <x:row r="436">
      <x:c r="A436" s="34" t="n">
        <x:v>432</x:v>
      </x:c>
      <x:c r="B436" s="30" t="str">
        <x:v>몬냥이</x:v>
      </x:c>
      <x:c r="C436" s="30" t="str">
        <x:v>purugly</x:v>
      </x:c>
      <x:c r="D436" s="36" t="n">
        <x:v>4</x:v>
      </x:c>
      <x:c r="E436" s="31" t="str">
        <x:v>—</x:v>
      </x:c>
      <x:c r="F436" s="31" t="str">
        <x:v>—</x:v>
      </x:c>
      <x:c r="G436" s="31" t="str">
        <x:v>—</x:v>
      </x:c>
      <x:c r="H436" s="31" t="str">
        <x:v>포함</x:v>
      </x:c>
      <x:c r="I436" s="31" t="str">
        <x:v>—</x:v>
      </x:c>
      <x:c r="J436" s="31" t="str">
        <x:v>—</x:v>
      </x:c>
      <x:c r="K436" s="31" t="str">
        <x:v>—</x:v>
      </x:c>
      <x:c r="L436" s="31" t="str">
        <x:v>—</x:v>
      </x:c>
      <x:c r="M436" s="31" t="str">
        <x:v>—</x:v>
      </x:c>
    </x:row>
    <x:row r="437">
      <x:c r="A437" s="34" t="n">
        <x:v>433</x:v>
      </x:c>
      <x:c r="B437" s="30" t="str">
        <x:v>랑딸랑</x:v>
      </x:c>
      <x:c r="C437" s="30" t="str">
        <x:v>chingling</x:v>
      </x:c>
      <x:c r="D437" s="36" t="n">
        <x:v>4</x:v>
      </x:c>
      <x:c r="E437" s="31" t="str">
        <x:v>—</x:v>
      </x:c>
      <x:c r="F437" s="31" t="str">
        <x:v>—</x:v>
      </x:c>
      <x:c r="G437" s="31" t="str">
        <x:v>—</x:v>
      </x:c>
      <x:c r="H437" s="31" t="str">
        <x:v>포함</x:v>
      </x:c>
      <x:c r="I437" s="31" t="str">
        <x:v>—</x:v>
      </x:c>
      <x:c r="J437" s="31" t="str">
        <x:v>포함</x:v>
      </x:c>
      <x:c r="K437" s="31" t="str">
        <x:v>—</x:v>
      </x:c>
      <x:c r="L437" s="31" t="str">
        <x:v>—</x:v>
      </x:c>
      <x:c r="M437" s="31" t="str">
        <x:v>포함</x:v>
      </x:c>
    </x:row>
    <x:row r="438">
      <x:c r="A438" s="34" t="n">
        <x:v>434</x:v>
      </x:c>
      <x:c r="B438" s="30" t="str">
        <x:v>스컹뿡</x:v>
      </x:c>
      <x:c r="C438" s="30" t="str">
        <x:v>stunky</x:v>
      </x:c>
      <x:c r="D438" s="36" t="n">
        <x:v>4</x:v>
      </x:c>
      <x:c r="E438" s="31" t="str">
        <x:v>—</x:v>
      </x:c>
      <x:c r="F438" s="31" t="str">
        <x:v>—</x:v>
      </x:c>
      <x:c r="G438" s="31" t="str">
        <x:v>—</x:v>
      </x:c>
      <x:c r="H438" s="31" t="str">
        <x:v>포함</x:v>
      </x:c>
      <x:c r="I438" s="31" t="str">
        <x:v>—</x:v>
      </x:c>
      <x:c r="J438" s="31" t="str">
        <x:v>포함</x:v>
      </x:c>
      <x:c r="K438" s="31" t="str">
        <x:v>—</x:v>
      </x:c>
      <x:c r="L438" s="31" t="str">
        <x:v>포함</x:v>
      </x:c>
      <x:c r="M438" s="31" t="str">
        <x:v>포함</x:v>
      </x:c>
    </x:row>
    <x:row r="439">
      <x:c r="A439" s="34" t="n">
        <x:v>435</x:v>
      </x:c>
      <x:c r="B439" s="30" t="str">
        <x:v>스컹탱크</x:v>
      </x:c>
      <x:c r="C439" s="30" t="str">
        <x:v>skuntank</x:v>
      </x:c>
      <x:c r="D439" s="36" t="n">
        <x:v>4</x:v>
      </x:c>
      <x:c r="E439" s="31" t="str">
        <x:v>—</x:v>
      </x:c>
      <x:c r="F439" s="31" t="str">
        <x:v>—</x:v>
      </x:c>
      <x:c r="G439" s="31" t="str">
        <x:v>—</x:v>
      </x:c>
      <x:c r="H439" s="31" t="str">
        <x:v>포함</x:v>
      </x:c>
      <x:c r="I439" s="31" t="str">
        <x:v>—</x:v>
      </x:c>
      <x:c r="J439" s="31" t="str">
        <x:v>포함</x:v>
      </x:c>
      <x:c r="K439" s="31" t="str">
        <x:v>—</x:v>
      </x:c>
      <x:c r="L439" s="31" t="str">
        <x:v>포함</x:v>
      </x:c>
      <x:c r="M439" s="31" t="str">
        <x:v>포함</x:v>
      </x:c>
    </x:row>
    <x:row r="440">
      <x:c r="A440" s="34" t="n">
        <x:v>436</x:v>
      </x:c>
      <x:c r="B440" s="30" t="str">
        <x:v>동미러</x:v>
      </x:c>
      <x:c r="C440" s="30" t="str">
        <x:v>bronzor</x:v>
      </x:c>
      <x:c r="D440" s="36" t="n">
        <x:v>4</x:v>
      </x:c>
      <x:c r="E440" s="31" t="str">
        <x:v>—</x:v>
      </x:c>
      <x:c r="F440" s="31" t="str">
        <x:v>—</x:v>
      </x:c>
      <x:c r="G440" s="31" t="str">
        <x:v>—</x:v>
      </x:c>
      <x:c r="H440" s="31" t="str">
        <x:v>포함</x:v>
      </x:c>
      <x:c r="I440" s="31" t="str">
        <x:v>포함</x:v>
      </x:c>
      <x:c r="J440" s="31" t="str">
        <x:v>—</x:v>
      </x:c>
      <x:c r="K440" s="31" t="str">
        <x:v>—</x:v>
      </x:c>
      <x:c r="L440" s="31" t="str">
        <x:v>포함</x:v>
      </x:c>
      <x:c r="M440" s="31" t="str">
        <x:v>포함</x:v>
      </x:c>
    </x:row>
    <x:row r="441">
      <x:c r="A441" s="34" t="n">
        <x:v>437</x:v>
      </x:c>
      <x:c r="B441" s="30" t="str">
        <x:v>동탁군</x:v>
      </x:c>
      <x:c r="C441" s="30" t="str">
        <x:v>bronzong</x:v>
      </x:c>
      <x:c r="D441" s="36" t="n">
        <x:v>4</x:v>
      </x:c>
      <x:c r="E441" s="31" t="str">
        <x:v>—</x:v>
      </x:c>
      <x:c r="F441" s="31" t="str">
        <x:v>—</x:v>
      </x:c>
      <x:c r="G441" s="31" t="str">
        <x:v>—</x:v>
      </x:c>
      <x:c r="H441" s="31" t="str">
        <x:v>포함</x:v>
      </x:c>
      <x:c r="I441" s="31" t="str">
        <x:v>포함</x:v>
      </x:c>
      <x:c r="J441" s="31" t="str">
        <x:v>—</x:v>
      </x:c>
      <x:c r="K441" s="31" t="str">
        <x:v>—</x:v>
      </x:c>
      <x:c r="L441" s="31" t="str">
        <x:v>포함</x:v>
      </x:c>
      <x:c r="M441" s="31" t="str">
        <x:v>포함</x:v>
      </x:c>
    </x:row>
    <x:row r="442">
      <x:c r="A442" s="34" t="n">
        <x:v>438</x:v>
      </x:c>
      <x:c r="B442" s="30" t="str">
        <x:v>꼬지지</x:v>
      </x:c>
      <x:c r="C442" s="30" t="str">
        <x:v>bonsly</x:v>
      </x:c>
      <x:c r="D442" s="36" t="n">
        <x:v>4</x:v>
      </x:c>
      <x:c r="E442" s="31" t="str">
        <x:v>—</x:v>
      </x:c>
      <x:c r="F442" s="31" t="str">
        <x:v>—</x:v>
      </x:c>
      <x:c r="G442" s="31" t="str">
        <x:v>—</x:v>
      </x:c>
      <x:c r="H442" s="31" t="str">
        <x:v>포함</x:v>
      </x:c>
      <x:c r="I442" s="31" t="str">
        <x:v>—</x:v>
      </x:c>
      <x:c r="J442" s="31" t="str">
        <x:v>포함</x:v>
      </x:c>
      <x:c r="K442" s="31" t="str">
        <x:v>포함</x:v>
      </x:c>
      <x:c r="L442" s="31" t="str">
        <x:v>포함</x:v>
      </x:c>
      <x:c r="M442" s="31" t="str">
        <x:v>포함</x:v>
      </x:c>
    </x:row>
    <x:row r="443">
      <x:c r="A443" s="34" t="n">
        <x:v>439</x:v>
      </x:c>
      <x:c r="B443" s="30" t="str">
        <x:v>흉내내</x:v>
      </x:c>
      <x:c r="C443" s="30" t="str">
        <x:v>mimejr</x:v>
      </x:c>
      <x:c r="D443" s="36" t="n">
        <x:v>4</x:v>
      </x:c>
      <x:c r="E443" s="31" t="str">
        <x:v>—</x:v>
      </x:c>
      <x:c r="F443" s="31" t="str">
        <x:v>—</x:v>
      </x:c>
      <x:c r="G443" s="31" t="str">
        <x:v>—</x:v>
      </x:c>
      <x:c r="H443" s="31" t="str">
        <x:v>포함</x:v>
      </x:c>
      <x:c r="I443" s="31" t="str">
        <x:v>—</x:v>
      </x:c>
      <x:c r="J443" s="31" t="str">
        <x:v>포함</x:v>
      </x:c>
      <x:c r="K443" s="31" t="str">
        <x:v>포함</x:v>
      </x:c>
      <x:c r="L443" s="31" t="str">
        <x:v>포함</x:v>
      </x:c>
      <x:c r="M443" s="31" t="str">
        <x:v>—</x:v>
      </x:c>
    </x:row>
    <x:row r="444">
      <x:c r="A444" s="34" t="n">
        <x:v>440</x:v>
      </x:c>
      <x:c r="B444" s="30" t="str">
        <x:v>핑복</x:v>
      </x:c>
      <x:c r="C444" s="30" t="str">
        <x:v>happiny</x:v>
      </x:c>
      <x:c r="D444" s="36" t="n">
        <x:v>4</x:v>
      </x:c>
      <x:c r="E444" s="31" t="str">
        <x:v>—</x:v>
      </x:c>
      <x:c r="F444" s="31" t="str">
        <x:v>—</x:v>
      </x:c>
      <x:c r="G444" s="31" t="str">
        <x:v>—</x:v>
      </x:c>
      <x:c r="H444" s="31" t="str">
        <x:v>포함</x:v>
      </x:c>
      <x:c r="I444" s="31" t="str">
        <x:v>—</x:v>
      </x:c>
      <x:c r="J444" s="31" t="str">
        <x:v>—</x:v>
      </x:c>
      <x:c r="K444" s="31" t="str">
        <x:v>포함</x:v>
      </x:c>
      <x:c r="L444" s="31" t="str">
        <x:v>포함</x:v>
      </x:c>
      <x:c r="M444" s="31" t="str">
        <x:v>포함</x:v>
      </x:c>
    </x:row>
    <x:row r="445">
      <x:c r="A445" s="34" t="n">
        <x:v>441</x:v>
      </x:c>
      <x:c r="B445" s="30" t="str">
        <x:v>페라페</x:v>
      </x:c>
      <x:c r="C445" s="30" t="str">
        <x:v>chatot</x:v>
      </x:c>
      <x:c r="D445" s="36" t="n">
        <x:v>4</x:v>
      </x:c>
      <x:c r="E445" s="31" t="str">
        <x:v>—</x:v>
      </x:c>
      <x:c r="F445" s="31" t="str">
        <x:v>—</x:v>
      </x:c>
      <x:c r="G445" s="31" t="str">
        <x:v>—</x:v>
      </x:c>
      <x:c r="H445" s="31" t="str">
        <x:v>포함</x:v>
      </x:c>
      <x:c r="I445" s="31" t="str">
        <x:v>—</x:v>
      </x:c>
      <x:c r="J445" s="31" t="str">
        <x:v>포함</x:v>
      </x:c>
      <x:c r="K445" s="31" t="str">
        <x:v>—</x:v>
      </x:c>
      <x:c r="L445" s="31" t="str">
        <x:v>—</x:v>
      </x:c>
      <x:c r="M445" s="31" t="str">
        <x:v>—</x:v>
      </x:c>
    </x:row>
    <x:row r="446">
      <x:c r="A446" s="34" t="n">
        <x:v>442</x:v>
      </x:c>
      <x:c r="B446" s="30" t="str">
        <x:v>화강돌</x:v>
      </x:c>
      <x:c r="C446" s="30" t="str">
        <x:v>spiritomb</x:v>
      </x:c>
      <x:c r="D446" s="36" t="n">
        <x:v>4</x:v>
      </x:c>
      <x:c r="E446" s="31" t="str">
        <x:v>—</x:v>
      </x:c>
      <x:c r="F446" s="31" t="str">
        <x:v>—</x:v>
      </x:c>
      <x:c r="G446" s="31" t="str">
        <x:v>—</x:v>
      </x:c>
      <x:c r="H446" s="31" t="str">
        <x:v>포함</x:v>
      </x:c>
      <x:c r="I446" s="31" t="str">
        <x:v>—</x:v>
      </x:c>
      <x:c r="J446" s="31" t="str">
        <x:v>—</x:v>
      </x:c>
      <x:c r="K446" s="31" t="str">
        <x:v>—</x:v>
      </x:c>
      <x:c r="L446" s="31" t="str">
        <x:v>포함</x:v>
      </x:c>
      <x:c r="M446" s="31" t="str">
        <x:v>포함</x:v>
      </x:c>
    </x:row>
    <x:row r="447">
      <x:c r="A447" s="34" t="n">
        <x:v>443</x:v>
      </x:c>
      <x:c r="B447" s="30" t="str">
        <x:v>딥상어동</x:v>
      </x:c>
      <x:c r="C447" s="30" t="str">
        <x:v>gible</x:v>
      </x:c>
      <x:c r="D447" s="36" t="n">
        <x:v>4</x:v>
      </x:c>
      <x:c r="E447" s="31" t="str">
        <x:v>—</x:v>
      </x:c>
      <x:c r="F447" s="31" t="str">
        <x:v>—</x:v>
      </x:c>
      <x:c r="G447" s="31" t="str">
        <x:v>—</x:v>
      </x:c>
      <x:c r="H447" s="31" t="str">
        <x:v>포함</x:v>
      </x:c>
      <x:c r="I447" s="31" t="str">
        <x:v>—</x:v>
      </x:c>
      <x:c r="J447" s="31" t="str">
        <x:v>포함</x:v>
      </x:c>
      <x:c r="K447" s="31" t="str">
        <x:v>포함</x:v>
      </x:c>
      <x:c r="L447" s="31" t="str">
        <x:v>포함</x:v>
      </x:c>
      <x:c r="M447" s="31" t="str">
        <x:v>포함</x:v>
      </x:c>
    </x:row>
    <x:row r="448">
      <x:c r="A448" s="34" t="n">
        <x:v>444</x:v>
      </x:c>
      <x:c r="B448" s="30" t="str">
        <x:v>한바이트</x:v>
      </x:c>
      <x:c r="C448" s="30" t="str">
        <x:v>gabite</x:v>
      </x:c>
      <x:c r="D448" s="36" t="n">
        <x:v>4</x:v>
      </x:c>
      <x:c r="E448" s="31" t="str">
        <x:v>—</x:v>
      </x:c>
      <x:c r="F448" s="31" t="str">
        <x:v>—</x:v>
      </x:c>
      <x:c r="G448" s="31" t="str">
        <x:v>—</x:v>
      </x:c>
      <x:c r="H448" s="31" t="str">
        <x:v>포함</x:v>
      </x:c>
      <x:c r="I448" s="31" t="str">
        <x:v>—</x:v>
      </x:c>
      <x:c r="J448" s="31" t="str">
        <x:v>포함</x:v>
      </x:c>
      <x:c r="K448" s="31" t="str">
        <x:v>포함</x:v>
      </x:c>
      <x:c r="L448" s="31" t="str">
        <x:v>포함</x:v>
      </x:c>
      <x:c r="M448" s="31" t="str">
        <x:v>포함</x:v>
      </x:c>
    </x:row>
    <x:row r="449">
      <x:c r="A449" s="34" t="n">
        <x:v>445</x:v>
      </x:c>
      <x:c r="B449" s="30" t="str">
        <x:v>한카리아스</x:v>
      </x:c>
      <x:c r="C449" s="30" t="str">
        <x:v>garchomp</x:v>
      </x:c>
      <x:c r="D449" s="36" t="n">
        <x:v>4</x:v>
      </x:c>
      <x:c r="E449" s="31" t="str">
        <x:v>—</x:v>
      </x:c>
      <x:c r="F449" s="31" t="str">
        <x:v>—</x:v>
      </x:c>
      <x:c r="G449" s="31" t="str">
        <x:v>—</x:v>
      </x:c>
      <x:c r="H449" s="31" t="str">
        <x:v>포함</x:v>
      </x:c>
      <x:c r="I449" s="31" t="str">
        <x:v>—</x:v>
      </x:c>
      <x:c r="J449" s="31" t="str">
        <x:v>포함</x:v>
      </x:c>
      <x:c r="K449" s="31" t="str">
        <x:v>포함</x:v>
      </x:c>
      <x:c r="L449" s="31" t="str">
        <x:v>포함</x:v>
      </x:c>
      <x:c r="M449" s="31" t="str">
        <x:v>포함</x:v>
      </x:c>
    </x:row>
    <x:row r="450">
      <x:c r="A450" s="34" t="n">
        <x:v>446</x:v>
      </x:c>
      <x:c r="B450" s="30" t="str">
        <x:v>먹고자</x:v>
      </x:c>
      <x:c r="C450" s="30" t="str">
        <x:v>munchlax</x:v>
      </x:c>
      <x:c r="D450" s="36" t="n">
        <x:v>4</x:v>
      </x:c>
      <x:c r="E450" s="31" t="str">
        <x:v>—</x:v>
      </x:c>
      <x:c r="F450" s="31" t="str">
        <x:v>—</x:v>
      </x:c>
      <x:c r="G450" s="31" t="str">
        <x:v>—</x:v>
      </x:c>
      <x:c r="H450" s="31" t="str">
        <x:v>포함</x:v>
      </x:c>
      <x:c r="I450" s="31" t="str">
        <x:v>—</x:v>
      </x:c>
      <x:c r="J450" s="31" t="str">
        <x:v>포함</x:v>
      </x:c>
      <x:c r="K450" s="31" t="str">
        <x:v>포함</x:v>
      </x:c>
      <x:c r="L450" s="31" t="str">
        <x:v>포함</x:v>
      </x:c>
      <x:c r="M450" s="31" t="str">
        <x:v>포함</x:v>
      </x:c>
    </x:row>
    <x:row r="451">
      <x:c r="A451" s="34" t="n">
        <x:v>447</x:v>
      </x:c>
      <x:c r="B451" s="30" t="str">
        <x:v>리오르</x:v>
      </x:c>
      <x:c r="C451" s="30" t="str">
        <x:v>riolu</x:v>
      </x:c>
      <x:c r="D451" s="36" t="n">
        <x:v>4</x:v>
      </x:c>
      <x:c r="E451" s="31" t="str">
        <x:v>—</x:v>
      </x:c>
      <x:c r="F451" s="31" t="str">
        <x:v>—</x:v>
      </x:c>
      <x:c r="G451" s="31" t="str">
        <x:v>—</x:v>
      </x:c>
      <x:c r="H451" s="31" t="str">
        <x:v>포함</x:v>
      </x:c>
      <x:c r="I451" s="31" t="str">
        <x:v>포함</x:v>
      </x:c>
      <x:c r="J451" s="31" t="str">
        <x:v>포함</x:v>
      </x:c>
      <x:c r="K451" s="31" t="str">
        <x:v>포함</x:v>
      </x:c>
      <x:c r="L451" s="31" t="str">
        <x:v>포함</x:v>
      </x:c>
      <x:c r="M451" s="31" t="str">
        <x:v>포함</x:v>
      </x:c>
    </x:row>
    <x:row r="452">
      <x:c r="A452" s="34" t="n">
        <x:v>448</x:v>
      </x:c>
      <x:c r="B452" s="30" t="str">
        <x:v>루카리오</x:v>
      </x:c>
      <x:c r="C452" s="30" t="str">
        <x:v>lucario</x:v>
      </x:c>
      <x:c r="D452" s="36" t="n">
        <x:v>4</x:v>
      </x:c>
      <x:c r="E452" s="31" t="str">
        <x:v>—</x:v>
      </x:c>
      <x:c r="F452" s="31" t="str">
        <x:v>—</x:v>
      </x:c>
      <x:c r="G452" s="31" t="str">
        <x:v>—</x:v>
      </x:c>
      <x:c r="H452" s="31" t="str">
        <x:v>포함</x:v>
      </x:c>
      <x:c r="I452" s="31" t="str">
        <x:v>포함</x:v>
      </x:c>
      <x:c r="J452" s="31" t="str">
        <x:v>포함</x:v>
      </x:c>
      <x:c r="K452" s="31" t="str">
        <x:v>포함</x:v>
      </x:c>
      <x:c r="L452" s="31" t="str">
        <x:v>포함</x:v>
      </x:c>
      <x:c r="M452" s="31" t="str">
        <x:v>포함</x:v>
      </x:c>
    </x:row>
    <x:row r="453">
      <x:c r="A453" s="34" t="n">
        <x:v>449</x:v>
      </x:c>
      <x:c r="B453" s="30" t="str">
        <x:v>히포포타스</x:v>
      </x:c>
      <x:c r="C453" s="30" t="str">
        <x:v>hippopotas</x:v>
      </x:c>
      <x:c r="D453" s="36" t="n">
        <x:v>4</x:v>
      </x:c>
      <x:c r="E453" s="31" t="str">
        <x:v>—</x:v>
      </x:c>
      <x:c r="F453" s="31" t="str">
        <x:v>—</x:v>
      </x:c>
      <x:c r="G453" s="31" t="str">
        <x:v>—</x:v>
      </x:c>
      <x:c r="H453" s="31" t="str">
        <x:v>포함</x:v>
      </x:c>
      <x:c r="I453" s="31" t="str">
        <x:v>—</x:v>
      </x:c>
      <x:c r="J453" s="31" t="str">
        <x:v>포함</x:v>
      </x:c>
      <x:c r="K453" s="31" t="str">
        <x:v>—</x:v>
      </x:c>
      <x:c r="L453" s="31" t="str">
        <x:v>포함</x:v>
      </x:c>
      <x:c r="M453" s="31" t="str">
        <x:v>포함</x:v>
      </x:c>
    </x:row>
    <x:row r="454">
      <x:c r="A454" s="34" t="n">
        <x:v>450</x:v>
      </x:c>
      <x:c r="B454" s="30" t="str">
        <x:v>하마돈</x:v>
      </x:c>
      <x:c r="C454" s="30" t="str">
        <x:v>hippowdon</x:v>
      </x:c>
      <x:c r="D454" s="36" t="n">
        <x:v>4</x:v>
      </x:c>
      <x:c r="E454" s="31" t="str">
        <x:v>—</x:v>
      </x:c>
      <x:c r="F454" s="31" t="str">
        <x:v>—</x:v>
      </x:c>
      <x:c r="G454" s="31" t="str">
        <x:v>—</x:v>
      </x:c>
      <x:c r="H454" s="31" t="str">
        <x:v>포함</x:v>
      </x:c>
      <x:c r="I454" s="31" t="str">
        <x:v>—</x:v>
      </x:c>
      <x:c r="J454" s="31" t="str">
        <x:v>포함</x:v>
      </x:c>
      <x:c r="K454" s="31" t="str">
        <x:v>—</x:v>
      </x:c>
      <x:c r="L454" s="31" t="str">
        <x:v>포함</x:v>
      </x:c>
      <x:c r="M454" s="31" t="str">
        <x:v>포함</x:v>
      </x:c>
    </x:row>
    <x:row r="455">
      <x:c r="A455" s="34" t="n">
        <x:v>451</x:v>
      </x:c>
      <x:c r="B455" s="30" t="str">
        <x:v>스콜피</x:v>
      </x:c>
      <x:c r="C455" s="30" t="str">
        <x:v>skorupi</x:v>
      </x:c>
      <x:c r="D455" s="36" t="n">
        <x:v>4</x:v>
      </x:c>
      <x:c r="E455" s="31" t="str">
        <x:v>—</x:v>
      </x:c>
      <x:c r="F455" s="31" t="str">
        <x:v>—</x:v>
      </x:c>
      <x:c r="G455" s="31" t="str">
        <x:v>—</x:v>
      </x:c>
      <x:c r="H455" s="31" t="str">
        <x:v>포함</x:v>
      </x:c>
      <x:c r="I455" s="31" t="str">
        <x:v>포함</x:v>
      </x:c>
      <x:c r="J455" s="31" t="str">
        <x:v>포함</x:v>
      </x:c>
      <x:c r="K455" s="31" t="str">
        <x:v>—</x:v>
      </x:c>
      <x:c r="L455" s="31" t="str">
        <x:v>포함</x:v>
      </x:c>
      <x:c r="M455" s="31" t="str">
        <x:v>—</x:v>
      </x:c>
    </x:row>
    <x:row r="456">
      <x:c r="A456" s="34" t="n">
        <x:v>452</x:v>
      </x:c>
      <x:c r="B456" s="30" t="str">
        <x:v>드래피온</x:v>
      </x:c>
      <x:c r="C456" s="30" t="str">
        <x:v>drapion</x:v>
      </x:c>
      <x:c r="D456" s="36" t="n">
        <x:v>4</x:v>
      </x:c>
      <x:c r="E456" s="31" t="str">
        <x:v>—</x:v>
      </x:c>
      <x:c r="F456" s="31" t="str">
        <x:v>—</x:v>
      </x:c>
      <x:c r="G456" s="31" t="str">
        <x:v>—</x:v>
      </x:c>
      <x:c r="H456" s="31" t="str">
        <x:v>포함</x:v>
      </x:c>
      <x:c r="I456" s="31" t="str">
        <x:v>포함</x:v>
      </x:c>
      <x:c r="J456" s="31" t="str">
        <x:v>포함</x:v>
      </x:c>
      <x:c r="K456" s="31" t="str">
        <x:v>—</x:v>
      </x:c>
      <x:c r="L456" s="31" t="str">
        <x:v>포함</x:v>
      </x:c>
      <x:c r="M456" s="31" t="str">
        <x:v>—</x:v>
      </x:c>
    </x:row>
    <x:row r="457">
      <x:c r="A457" s="34" t="n">
        <x:v>453</x:v>
      </x:c>
      <x:c r="B457" s="30" t="str">
        <x:v>삐딱구리</x:v>
      </x:c>
      <x:c r="C457" s="30" t="str">
        <x:v>croagunk</x:v>
      </x:c>
      <x:c r="D457" s="36" t="n">
        <x:v>4</x:v>
      </x:c>
      <x:c r="E457" s="31" t="str">
        <x:v>—</x:v>
      </x:c>
      <x:c r="F457" s="31" t="str">
        <x:v>—</x:v>
      </x:c>
      <x:c r="G457" s="31" t="str">
        <x:v>—</x:v>
      </x:c>
      <x:c r="H457" s="31" t="str">
        <x:v>포함</x:v>
      </x:c>
      <x:c r="I457" s="31" t="str">
        <x:v>포함</x:v>
      </x:c>
      <x:c r="J457" s="31" t="str">
        <x:v>포함</x:v>
      </x:c>
      <x:c r="K457" s="31" t="str">
        <x:v>—</x:v>
      </x:c>
      <x:c r="L457" s="31" t="str">
        <x:v>포함</x:v>
      </x:c>
      <x:c r="M457" s="31" t="str">
        <x:v>포함</x:v>
      </x:c>
    </x:row>
    <x:row r="458">
      <x:c r="A458" s="34" t="n">
        <x:v>454</x:v>
      </x:c>
      <x:c r="B458" s="30" t="str">
        <x:v>독개굴</x:v>
      </x:c>
      <x:c r="C458" s="30" t="str">
        <x:v>toxicroak</x:v>
      </x:c>
      <x:c r="D458" s="36" t="n">
        <x:v>4</x:v>
      </x:c>
      <x:c r="E458" s="31" t="str">
        <x:v>—</x:v>
      </x:c>
      <x:c r="F458" s="31" t="str">
        <x:v>—</x:v>
      </x:c>
      <x:c r="G458" s="31" t="str">
        <x:v>—</x:v>
      </x:c>
      <x:c r="H458" s="31" t="str">
        <x:v>포함</x:v>
      </x:c>
      <x:c r="I458" s="31" t="str">
        <x:v>포함</x:v>
      </x:c>
      <x:c r="J458" s="31" t="str">
        <x:v>포함</x:v>
      </x:c>
      <x:c r="K458" s="31" t="str">
        <x:v>—</x:v>
      </x:c>
      <x:c r="L458" s="31" t="str">
        <x:v>포함</x:v>
      </x:c>
      <x:c r="M458" s="31" t="str">
        <x:v>포함</x:v>
      </x:c>
    </x:row>
    <x:row r="459">
      <x:c r="A459" s="34" t="n">
        <x:v>455</x:v>
      </x:c>
      <x:c r="B459" s="30" t="str">
        <x:v>무스틈니</x:v>
      </x:c>
      <x:c r="C459" s="30" t="str">
        <x:v>carnivine</x:v>
      </x:c>
      <x:c r="D459" s="36" t="n">
        <x:v>4</x:v>
      </x:c>
      <x:c r="E459" s="31" t="str">
        <x:v>—</x:v>
      </x:c>
      <x:c r="F459" s="31" t="str">
        <x:v>—</x:v>
      </x:c>
      <x:c r="G459" s="31" t="str">
        <x:v>—</x:v>
      </x:c>
      <x:c r="H459" s="31" t="str">
        <x:v>포함</x:v>
      </x:c>
      <x:c r="I459" s="31" t="str">
        <x:v>포함</x:v>
      </x:c>
      <x:c r="J459" s="31" t="str">
        <x:v>포함</x:v>
      </x:c>
      <x:c r="K459" s="31" t="str">
        <x:v>—</x:v>
      </x:c>
      <x:c r="L459" s="31" t="str">
        <x:v>—</x:v>
      </x:c>
      <x:c r="M459" s="31" t="str">
        <x:v>—</x:v>
      </x:c>
    </x:row>
    <x:row r="460">
      <x:c r="A460" s="34" t="n">
        <x:v>456</x:v>
      </x:c>
      <x:c r="B460" s="30" t="str">
        <x:v>형광어</x:v>
      </x:c>
      <x:c r="C460" s="30" t="str">
        <x:v>finneon</x:v>
      </x:c>
      <x:c r="D460" s="36" t="n">
        <x:v>4</x:v>
      </x:c>
      <x:c r="E460" s="31" t="str">
        <x:v>—</x:v>
      </x:c>
      <x:c r="F460" s="31" t="str">
        <x:v>—</x:v>
      </x:c>
      <x:c r="G460" s="31" t="str">
        <x:v>—</x:v>
      </x:c>
      <x:c r="H460" s="31" t="str">
        <x:v>포함</x:v>
      </x:c>
      <x:c r="I460" s="31" t="str">
        <x:v>—</x:v>
      </x:c>
      <x:c r="J460" s="31" t="str">
        <x:v>—</x:v>
      </x:c>
      <x:c r="K460" s="31" t="str">
        <x:v>포함</x:v>
      </x:c>
      <x:c r="L460" s="31" t="str">
        <x:v>—</x:v>
      </x:c>
      <x:c r="M460" s="31" t="str">
        <x:v>포함</x:v>
      </x:c>
    </x:row>
    <x:row r="461">
      <x:c r="A461" s="34" t="n">
        <x:v>457</x:v>
      </x:c>
      <x:c r="B461" s="30" t="str">
        <x:v>네오라이트</x:v>
      </x:c>
      <x:c r="C461" s="30" t="str">
        <x:v>lumineon</x:v>
      </x:c>
      <x:c r="D461" s="36" t="n">
        <x:v>4</x:v>
      </x:c>
      <x:c r="E461" s="31" t="str">
        <x:v>—</x:v>
      </x:c>
      <x:c r="F461" s="31" t="str">
        <x:v>—</x:v>
      </x:c>
      <x:c r="G461" s="31" t="str">
        <x:v>—</x:v>
      </x:c>
      <x:c r="H461" s="31" t="str">
        <x:v>포함</x:v>
      </x:c>
      <x:c r="I461" s="31" t="str">
        <x:v>—</x:v>
      </x:c>
      <x:c r="J461" s="31" t="str">
        <x:v>—</x:v>
      </x:c>
      <x:c r="K461" s="31" t="str">
        <x:v>포함</x:v>
      </x:c>
      <x:c r="L461" s="31" t="str">
        <x:v>—</x:v>
      </x:c>
      <x:c r="M461" s="31" t="str">
        <x:v>포함</x:v>
      </x:c>
    </x:row>
    <x:row r="462">
      <x:c r="A462" s="34" t="n">
        <x:v>458</x:v>
      </x:c>
      <x:c r="B462" s="30" t="str">
        <x:v>타만타</x:v>
      </x:c>
      <x:c r="C462" s="30" t="str">
        <x:v>mantyke</x:v>
      </x:c>
      <x:c r="D462" s="36" t="n">
        <x:v>4</x:v>
      </x:c>
      <x:c r="E462" s="31" t="str">
        <x:v>—</x:v>
      </x:c>
      <x:c r="F462" s="31" t="str">
        <x:v>—</x:v>
      </x:c>
      <x:c r="G462" s="31" t="str">
        <x:v>—</x:v>
      </x:c>
      <x:c r="H462" s="31" t="str">
        <x:v>포함</x:v>
      </x:c>
      <x:c r="I462" s="31" t="str">
        <x:v>포함</x:v>
      </x:c>
      <x:c r="J462" s="31" t="str">
        <x:v>포함</x:v>
      </x:c>
      <x:c r="K462" s="31" t="str">
        <x:v>포함</x:v>
      </x:c>
      <x:c r="L462" s="31" t="str">
        <x:v>포함</x:v>
      </x:c>
      <x:c r="M462" s="31" t="str">
        <x:v>—</x:v>
      </x:c>
    </x:row>
    <x:row r="463">
      <x:c r="A463" s="34" t="n">
        <x:v>459</x:v>
      </x:c>
      <x:c r="B463" s="30" t="str">
        <x:v>눈쓰개</x:v>
      </x:c>
      <x:c r="C463" s="30" t="str">
        <x:v>snover</x:v>
      </x:c>
      <x:c r="D463" s="36" t="n">
        <x:v>4</x:v>
      </x:c>
      <x:c r="E463" s="31" t="str">
        <x:v>—</x:v>
      </x:c>
      <x:c r="F463" s="31" t="str">
        <x:v>—</x:v>
      </x:c>
      <x:c r="G463" s="31" t="str">
        <x:v>—</x:v>
      </x:c>
      <x:c r="H463" s="31" t="str">
        <x:v>포함</x:v>
      </x:c>
      <x:c r="I463" s="31" t="str">
        <x:v>—</x:v>
      </x:c>
      <x:c r="J463" s="31" t="str">
        <x:v>포함</x:v>
      </x:c>
      <x:c r="K463" s="31" t="str">
        <x:v>—</x:v>
      </x:c>
      <x:c r="L463" s="31" t="str">
        <x:v>포함</x:v>
      </x:c>
      <x:c r="M463" s="31" t="str">
        <x:v>포함</x:v>
      </x:c>
    </x:row>
    <x:row r="464">
      <x:c r="A464" s="34" t="n">
        <x:v>460</x:v>
      </x:c>
      <x:c r="B464" s="30" t="str">
        <x:v>눈설왕</x:v>
      </x:c>
      <x:c r="C464" s="30" t="str">
        <x:v>abomasnow</x:v>
      </x:c>
      <x:c r="D464" s="36" t="n">
        <x:v>4</x:v>
      </x:c>
      <x:c r="E464" s="31" t="str">
        <x:v>—</x:v>
      </x:c>
      <x:c r="F464" s="31" t="str">
        <x:v>—</x:v>
      </x:c>
      <x:c r="G464" s="31" t="str">
        <x:v>—</x:v>
      </x:c>
      <x:c r="H464" s="31" t="str">
        <x:v>포함</x:v>
      </x:c>
      <x:c r="I464" s="31" t="str">
        <x:v>—</x:v>
      </x:c>
      <x:c r="J464" s="31" t="str">
        <x:v>포함</x:v>
      </x:c>
      <x:c r="K464" s="31" t="str">
        <x:v>—</x:v>
      </x:c>
      <x:c r="L464" s="31" t="str">
        <x:v>포함</x:v>
      </x:c>
      <x:c r="M464" s="31" t="str">
        <x:v>포함</x:v>
      </x:c>
    </x:row>
    <x:row r="465">
      <x:c r="A465" s="34" t="n">
        <x:v>461</x:v>
      </x:c>
      <x:c r="B465" s="30" t="str">
        <x:v>포푸니라</x:v>
      </x:c>
      <x:c r="C465" s="30" t="str">
        <x:v>weavile</x:v>
      </x:c>
      <x:c r="D465" s="36" t="n">
        <x:v>4</x:v>
      </x:c>
      <x:c r="E465" s="31" t="str">
        <x:v>—</x:v>
      </x:c>
      <x:c r="F465" s="31" t="str">
        <x:v>—</x:v>
      </x:c>
      <x:c r="G465" s="31" t="str">
        <x:v>—</x:v>
      </x:c>
      <x:c r="H465" s="31" t="str">
        <x:v>포함</x:v>
      </x:c>
      <x:c r="I465" s="31" t="str">
        <x:v>포함</x:v>
      </x:c>
      <x:c r="J465" s="31" t="str">
        <x:v>포함</x:v>
      </x:c>
      <x:c r="K465" s="31" t="str">
        <x:v>포함</x:v>
      </x:c>
      <x:c r="L465" s="31" t="str">
        <x:v>포함</x:v>
      </x:c>
      <x:c r="M465" s="31" t="str">
        <x:v>포함</x:v>
      </x:c>
    </x:row>
    <x:row r="466">
      <x:c r="A466" s="34" t="n">
        <x:v>462</x:v>
      </x:c>
      <x:c r="B466" s="30" t="str">
        <x:v>자포코일</x:v>
      </x:c>
      <x:c r="C466" s="30" t="str">
        <x:v>magnezone</x:v>
      </x:c>
      <x:c r="D466" s="36" t="n">
        <x:v>4</x:v>
      </x:c>
      <x:c r="E466" s="31" t="str">
        <x:v>—</x:v>
      </x:c>
      <x:c r="F466" s="31" t="str">
        <x:v>—</x:v>
      </x:c>
      <x:c r="G466" s="31" t="str">
        <x:v>—</x:v>
      </x:c>
      <x:c r="H466" s="31" t="str">
        <x:v>포함</x:v>
      </x:c>
      <x:c r="I466" s="31" t="str">
        <x:v>포함</x:v>
      </x:c>
      <x:c r="J466" s="31" t="str">
        <x:v>포함</x:v>
      </x:c>
      <x:c r="K466" s="31" t="str">
        <x:v>포함</x:v>
      </x:c>
      <x:c r="L466" s="31" t="str">
        <x:v>포함</x:v>
      </x:c>
      <x:c r="M466" s="31" t="str">
        <x:v>포함</x:v>
      </x:c>
    </x:row>
    <x:row r="467">
      <x:c r="A467" s="34" t="n">
        <x:v>463</x:v>
      </x:c>
      <x:c r="B467" s="30" t="str">
        <x:v>내룸벨트</x:v>
      </x:c>
      <x:c r="C467" s="30" t="str">
        <x:v>lickilicky</x:v>
      </x:c>
      <x:c r="D467" s="36" t="n">
        <x:v>4</x:v>
      </x:c>
      <x:c r="E467" s="31" t="str">
        <x:v>—</x:v>
      </x:c>
      <x:c r="F467" s="31" t="str">
        <x:v>—</x:v>
      </x:c>
      <x:c r="G467" s="31" t="str">
        <x:v>—</x:v>
      </x:c>
      <x:c r="H467" s="31" t="str">
        <x:v>포함</x:v>
      </x:c>
      <x:c r="I467" s="31" t="str">
        <x:v>포함</x:v>
      </x:c>
      <x:c r="J467" s="31" t="str">
        <x:v>포함</x:v>
      </x:c>
      <x:c r="K467" s="31" t="str">
        <x:v>포함</x:v>
      </x:c>
      <x:c r="L467" s="31" t="str">
        <x:v>포함</x:v>
      </x:c>
      <x:c r="M467" s="31" t="str">
        <x:v>—</x:v>
      </x:c>
    </x:row>
    <x:row r="468">
      <x:c r="A468" s="34" t="n">
        <x:v>464</x:v>
      </x:c>
      <x:c r="B468" s="30" t="str">
        <x:v>거대코뿌리</x:v>
      </x:c>
      <x:c r="C468" s="30" t="str">
        <x:v>rhyperior</x:v>
      </x:c>
      <x:c r="D468" s="36" t="n">
        <x:v>4</x:v>
      </x:c>
      <x:c r="E468" s="31" t="str">
        <x:v>—</x:v>
      </x:c>
      <x:c r="F468" s="31" t="str">
        <x:v>—</x:v>
      </x:c>
      <x:c r="G468" s="31" t="str">
        <x:v>—</x:v>
      </x:c>
      <x:c r="H468" s="31" t="str">
        <x:v>포함</x:v>
      </x:c>
      <x:c r="I468" s="31" t="str">
        <x:v>—</x:v>
      </x:c>
      <x:c r="J468" s="31" t="str">
        <x:v>포함</x:v>
      </x:c>
      <x:c r="K468" s="31" t="str">
        <x:v>—</x:v>
      </x:c>
      <x:c r="L468" s="31" t="str">
        <x:v>포함</x:v>
      </x:c>
      <x:c r="M468" s="31" t="str">
        <x:v>포함</x:v>
      </x:c>
    </x:row>
    <x:row r="469">
      <x:c r="A469" s="34" t="n">
        <x:v>465</x:v>
      </x:c>
      <x:c r="B469" s="30" t="str">
        <x:v>덩쿠림보</x:v>
      </x:c>
      <x:c r="C469" s="30" t="str">
        <x:v>tangrowth</x:v>
      </x:c>
      <x:c r="D469" s="36" t="n">
        <x:v>4</x:v>
      </x:c>
      <x:c r="E469" s="31" t="str">
        <x:v>—</x:v>
      </x:c>
      <x:c r="F469" s="31" t="str">
        <x:v>—</x:v>
      </x:c>
      <x:c r="G469" s="31" t="str">
        <x:v>—</x:v>
      </x:c>
      <x:c r="H469" s="31" t="str">
        <x:v>포함</x:v>
      </x:c>
      <x:c r="I469" s="31" t="str">
        <x:v>포함</x:v>
      </x:c>
      <x:c r="J469" s="31" t="str">
        <x:v>—</x:v>
      </x:c>
      <x:c r="K469" s="31" t="str">
        <x:v>—</x:v>
      </x:c>
      <x:c r="L469" s="31" t="str">
        <x:v>포함</x:v>
      </x:c>
      <x:c r="M469" s="31" t="str">
        <x:v>—</x:v>
      </x:c>
    </x:row>
    <x:row r="470">
      <x:c r="A470" s="34" t="n">
        <x:v>466</x:v>
      </x:c>
      <x:c r="B470" s="30" t="str">
        <x:v>에레키블</x:v>
      </x:c>
      <x:c r="C470" s="30" t="str">
        <x:v>electivire</x:v>
      </x:c>
      <x:c r="D470" s="36" t="n">
        <x:v>4</x:v>
      </x:c>
      <x:c r="E470" s="31" t="str">
        <x:v>—</x:v>
      </x:c>
      <x:c r="F470" s="31" t="str">
        <x:v>—</x:v>
      </x:c>
      <x:c r="G470" s="31" t="str">
        <x:v>—</x:v>
      </x:c>
      <x:c r="H470" s="31" t="str">
        <x:v>포함</x:v>
      </x:c>
      <x:c r="I470" s="31" t="str">
        <x:v>포함</x:v>
      </x:c>
      <x:c r="J470" s="31" t="str">
        <x:v>—</x:v>
      </x:c>
      <x:c r="K470" s="31" t="str">
        <x:v>포함</x:v>
      </x:c>
      <x:c r="L470" s="31" t="str">
        <x:v>포함</x:v>
      </x:c>
      <x:c r="M470" s="31" t="str">
        <x:v>포함</x:v>
      </x:c>
    </x:row>
    <x:row r="471">
      <x:c r="A471" s="34" t="n">
        <x:v>467</x:v>
      </x:c>
      <x:c r="B471" s="30" t="str">
        <x:v>마그마번</x:v>
      </x:c>
      <x:c r="C471" s="30" t="str">
        <x:v>magmortar</x:v>
      </x:c>
      <x:c r="D471" s="36" t="n">
        <x:v>4</x:v>
      </x:c>
      <x:c r="E471" s="31" t="str">
        <x:v>—</x:v>
      </x:c>
      <x:c r="F471" s="31" t="str">
        <x:v>—</x:v>
      </x:c>
      <x:c r="G471" s="31" t="str">
        <x:v>—</x:v>
      </x:c>
      <x:c r="H471" s="31" t="str">
        <x:v>포함</x:v>
      </x:c>
      <x:c r="I471" s="31" t="str">
        <x:v>포함</x:v>
      </x:c>
      <x:c r="J471" s="31" t="str">
        <x:v>—</x:v>
      </x:c>
      <x:c r="K471" s="31" t="str">
        <x:v>포함</x:v>
      </x:c>
      <x:c r="L471" s="31" t="str">
        <x:v>포함</x:v>
      </x:c>
      <x:c r="M471" s="31" t="str">
        <x:v>포함</x:v>
      </x:c>
    </x:row>
    <x:row r="472">
      <x:c r="A472" s="34" t="n">
        <x:v>468</x:v>
      </x:c>
      <x:c r="B472" s="30" t="str">
        <x:v>토게키스</x:v>
      </x:c>
      <x:c r="C472" s="30" t="str">
        <x:v>togekiss</x:v>
      </x:c>
      <x:c r="D472" s="36" t="n">
        <x:v>4</x:v>
      </x:c>
      <x:c r="E472" s="31" t="str">
        <x:v>—</x:v>
      </x:c>
      <x:c r="F472" s="31" t="str">
        <x:v>—</x:v>
      </x:c>
      <x:c r="G472" s="31" t="str">
        <x:v>—</x:v>
      </x:c>
      <x:c r="H472" s="31" t="str">
        <x:v>포함</x:v>
      </x:c>
      <x:c r="I472" s="31" t="str">
        <x:v>—</x:v>
      </x:c>
      <x:c r="J472" s="31" t="str">
        <x:v>—</x:v>
      </x:c>
      <x:c r="K472" s="31" t="str">
        <x:v>—</x:v>
      </x:c>
      <x:c r="L472" s="31" t="str">
        <x:v>포함</x:v>
      </x:c>
      <x:c r="M472" s="31" t="str">
        <x:v>—</x:v>
      </x:c>
    </x:row>
    <x:row r="473">
      <x:c r="A473" s="34" t="n">
        <x:v>469</x:v>
      </x:c>
      <x:c r="B473" s="30" t="str">
        <x:v>메가자리</x:v>
      </x:c>
      <x:c r="C473" s="30" t="str">
        <x:v>yanmega</x:v>
      </x:c>
      <x:c r="D473" s="36" t="n">
        <x:v>4</x:v>
      </x:c>
      <x:c r="E473" s="31" t="str">
        <x:v>—</x:v>
      </x:c>
      <x:c r="F473" s="31" t="str">
        <x:v>—</x:v>
      </x:c>
      <x:c r="G473" s="31" t="str">
        <x:v>—</x:v>
      </x:c>
      <x:c r="H473" s="31" t="str">
        <x:v>포함</x:v>
      </x:c>
      <x:c r="I473" s="31" t="str">
        <x:v>포함</x:v>
      </x:c>
      <x:c r="J473" s="31" t="str">
        <x:v>포함</x:v>
      </x:c>
      <x:c r="K473" s="31" t="str">
        <x:v>—</x:v>
      </x:c>
      <x:c r="L473" s="31" t="str">
        <x:v>—</x:v>
      </x:c>
      <x:c r="M473" s="31" t="str">
        <x:v>포함</x:v>
      </x:c>
    </x:row>
    <x:row r="474">
      <x:c r="A474" s="34" t="n">
        <x:v>470</x:v>
      </x:c>
      <x:c r="B474" s="30" t="str">
        <x:v>리피아</x:v>
      </x:c>
      <x:c r="C474" s="30" t="str">
        <x:v>leafeon</x:v>
      </x:c>
      <x:c r="D474" s="36" t="n">
        <x:v>4</x:v>
      </x:c>
      <x:c r="E474" s="31" t="str">
        <x:v>—</x:v>
      </x:c>
      <x:c r="F474" s="31" t="str">
        <x:v>—</x:v>
      </x:c>
      <x:c r="G474" s="31" t="str">
        <x:v>—</x:v>
      </x:c>
      <x:c r="H474" s="31" t="str">
        <x:v>포함</x:v>
      </x:c>
      <x:c r="I474" s="31" t="str">
        <x:v>포함</x:v>
      </x:c>
      <x:c r="J474" s="31" t="str">
        <x:v>포함</x:v>
      </x:c>
      <x:c r="K474" s="31" t="str">
        <x:v>포함</x:v>
      </x:c>
      <x:c r="L474" s="31" t="str">
        <x:v>포함</x:v>
      </x:c>
      <x:c r="M474" s="31" t="str">
        <x:v>포함</x:v>
      </x:c>
    </x:row>
    <x:row r="475">
      <x:c r="A475" s="34" t="n">
        <x:v>471</x:v>
      </x:c>
      <x:c r="B475" s="30" t="str">
        <x:v>글레이시아</x:v>
      </x:c>
      <x:c r="C475" s="30" t="str">
        <x:v>glaceon</x:v>
      </x:c>
      <x:c r="D475" s="36" t="n">
        <x:v>4</x:v>
      </x:c>
      <x:c r="E475" s="31" t="str">
        <x:v>—</x:v>
      </x:c>
      <x:c r="F475" s="31" t="str">
        <x:v>—</x:v>
      </x:c>
      <x:c r="G475" s="31" t="str">
        <x:v>—</x:v>
      </x:c>
      <x:c r="H475" s="31" t="str">
        <x:v>포함</x:v>
      </x:c>
      <x:c r="I475" s="31" t="str">
        <x:v>포함</x:v>
      </x:c>
      <x:c r="J475" s="31" t="str">
        <x:v>포함</x:v>
      </x:c>
      <x:c r="K475" s="31" t="str">
        <x:v>포함</x:v>
      </x:c>
      <x:c r="L475" s="31" t="str">
        <x:v>포함</x:v>
      </x:c>
      <x:c r="M475" s="31" t="str">
        <x:v>포함</x:v>
      </x:c>
    </x:row>
    <x:row r="476">
      <x:c r="A476" s="34" t="n">
        <x:v>472</x:v>
      </x:c>
      <x:c r="B476" s="30" t="str">
        <x:v>글라이온</x:v>
      </x:c>
      <x:c r="C476" s="30" t="str">
        <x:v>gliscor</x:v>
      </x:c>
      <x:c r="D476" s="36" t="n">
        <x:v>4</x:v>
      </x:c>
      <x:c r="E476" s="31" t="str">
        <x:v>—</x:v>
      </x:c>
      <x:c r="F476" s="31" t="str">
        <x:v>—</x:v>
      </x:c>
      <x:c r="G476" s="31" t="str">
        <x:v>—</x:v>
      </x:c>
      <x:c r="H476" s="31" t="str">
        <x:v>포함</x:v>
      </x:c>
      <x:c r="I476" s="31" t="str">
        <x:v>포함</x:v>
      </x:c>
      <x:c r="J476" s="31" t="str">
        <x:v>포함</x:v>
      </x:c>
      <x:c r="K476" s="31" t="str">
        <x:v>—</x:v>
      </x:c>
      <x:c r="L476" s="31" t="str">
        <x:v>—</x:v>
      </x:c>
      <x:c r="M476" s="31" t="str">
        <x:v>포함</x:v>
      </x:c>
    </x:row>
    <x:row r="477">
      <x:c r="A477" s="34" t="n">
        <x:v>473</x:v>
      </x:c>
      <x:c r="B477" s="30" t="str">
        <x:v>맘모꾸리</x:v>
      </x:c>
      <x:c r="C477" s="30" t="str">
        <x:v>mamoswine</x:v>
      </x:c>
      <x:c r="D477" s="36" t="n">
        <x:v>4</x:v>
      </x:c>
      <x:c r="E477" s="31" t="str">
        <x:v>—</x:v>
      </x:c>
      <x:c r="F477" s="31" t="str">
        <x:v>—</x:v>
      </x:c>
      <x:c r="G477" s="31" t="str">
        <x:v>—</x:v>
      </x:c>
      <x:c r="H477" s="31" t="str">
        <x:v>포함</x:v>
      </x:c>
      <x:c r="I477" s="31" t="str">
        <x:v>포함</x:v>
      </x:c>
      <x:c r="J477" s="31" t="str">
        <x:v>포함</x:v>
      </x:c>
      <x:c r="K477" s="31" t="str">
        <x:v>—</x:v>
      </x:c>
      <x:c r="L477" s="31" t="str">
        <x:v>포함</x:v>
      </x:c>
      <x:c r="M477" s="31" t="str">
        <x:v>포함</x:v>
      </x:c>
    </x:row>
    <x:row r="478">
      <x:c r="A478" s="34" t="n">
        <x:v>474</x:v>
      </x:c>
      <x:c r="B478" s="30" t="str">
        <x:v>폴리곤Z</x:v>
      </x:c>
      <x:c r="C478" s="30" t="str">
        <x:v>porygonz</x:v>
      </x:c>
      <x:c r="D478" s="36" t="n">
        <x:v>4</x:v>
      </x:c>
      <x:c r="E478" s="31" t="str">
        <x:v>—</x:v>
      </x:c>
      <x:c r="F478" s="31" t="str">
        <x:v>—</x:v>
      </x:c>
      <x:c r="G478" s="31" t="str">
        <x:v>—</x:v>
      </x:c>
      <x:c r="H478" s="31" t="str">
        <x:v>포함</x:v>
      </x:c>
      <x:c r="I478" s="31" t="str">
        <x:v>—</x:v>
      </x:c>
      <x:c r="J478" s="31" t="str">
        <x:v>—</x:v>
      </x:c>
      <x:c r="K478" s="31" t="str">
        <x:v>포함</x:v>
      </x:c>
      <x:c r="L478" s="31" t="str">
        <x:v>포함</x:v>
      </x:c>
      <x:c r="M478" s="31" t="str">
        <x:v>포함</x:v>
      </x:c>
    </x:row>
    <x:row r="479">
      <x:c r="A479" s="34" t="n">
        <x:v>475</x:v>
      </x:c>
      <x:c r="B479" s="30" t="str">
        <x:v>엘레이드</x:v>
      </x:c>
      <x:c r="C479" s="30" t="str">
        <x:v>gallade</x:v>
      </x:c>
      <x:c r="D479" s="36" t="n">
        <x:v>4</x:v>
      </x:c>
      <x:c r="E479" s="31" t="str">
        <x:v>—</x:v>
      </x:c>
      <x:c r="F479" s="31" t="str">
        <x:v>—</x:v>
      </x:c>
      <x:c r="G479" s="31" t="str">
        <x:v>—</x:v>
      </x:c>
      <x:c r="H479" s="31" t="str">
        <x:v>포함</x:v>
      </x:c>
      <x:c r="I479" s="31" t="str">
        <x:v>—</x:v>
      </x:c>
      <x:c r="J479" s="31" t="str">
        <x:v>포함</x:v>
      </x:c>
      <x:c r="K479" s="31" t="str">
        <x:v>—</x:v>
      </x:c>
      <x:c r="L479" s="31" t="str">
        <x:v>포함</x:v>
      </x:c>
      <x:c r="M479" s="31" t="str">
        <x:v>포함</x:v>
      </x:c>
    </x:row>
    <x:row r="480">
      <x:c r="A480" s="34" t="n">
        <x:v>476</x:v>
      </x:c>
      <x:c r="B480" s="30" t="str">
        <x:v>대코파스</x:v>
      </x:c>
      <x:c r="C480" s="30" t="str">
        <x:v>probopass</x:v>
      </x:c>
      <x:c r="D480" s="36" t="n">
        <x:v>4</x:v>
      </x:c>
      <x:c r="E480" s="31" t="str">
        <x:v>—</x:v>
      </x:c>
      <x:c r="F480" s="31" t="str">
        <x:v>—</x:v>
      </x:c>
      <x:c r="G480" s="31" t="str">
        <x:v>—</x:v>
      </x:c>
      <x:c r="H480" s="31" t="str">
        <x:v>포함</x:v>
      </x:c>
      <x:c r="I480" s="31" t="str">
        <x:v>포함</x:v>
      </x:c>
      <x:c r="J480" s="31" t="str">
        <x:v>포함</x:v>
      </x:c>
      <x:c r="K480" s="31" t="str">
        <x:v>포함</x:v>
      </x:c>
      <x:c r="L480" s="31" t="str">
        <x:v>—</x:v>
      </x:c>
      <x:c r="M480" s="31" t="str">
        <x:v>포함</x:v>
      </x:c>
    </x:row>
    <x:row r="481">
      <x:c r="A481" s="34" t="n">
        <x:v>477</x:v>
      </x:c>
      <x:c r="B481" s="30" t="str">
        <x:v>야느와르몽</x:v>
      </x:c>
      <x:c r="C481" s="30" t="str">
        <x:v>dusknoir</x:v>
      </x:c>
      <x:c r="D481" s="36" t="n">
        <x:v>4</x:v>
      </x:c>
      <x:c r="E481" s="31" t="str">
        <x:v>—</x:v>
      </x:c>
      <x:c r="F481" s="31" t="str">
        <x:v>—</x:v>
      </x:c>
      <x:c r="G481" s="31" t="str">
        <x:v>—</x:v>
      </x:c>
      <x:c r="H481" s="31" t="str">
        <x:v>포함</x:v>
      </x:c>
      <x:c r="I481" s="31" t="str">
        <x:v>—</x:v>
      </x:c>
      <x:c r="J481" s="31" t="str">
        <x:v>—</x:v>
      </x:c>
      <x:c r="K481" s="31" t="str">
        <x:v>—</x:v>
      </x:c>
      <x:c r="L481" s="31" t="str">
        <x:v>포함</x:v>
      </x:c>
      <x:c r="M481" s="31" t="str">
        <x:v>포함</x:v>
      </x:c>
    </x:row>
    <x:row r="482">
      <x:c r="A482" s="34" t="n">
        <x:v>478</x:v>
      </x:c>
      <x:c r="B482" s="30" t="str">
        <x:v>눈여아</x:v>
      </x:c>
      <x:c r="C482" s="30" t="str">
        <x:v>froslass</x:v>
      </x:c>
      <x:c r="D482" s="36" t="n">
        <x:v>4</x:v>
      </x:c>
      <x:c r="E482" s="31" t="str">
        <x:v>—</x:v>
      </x:c>
      <x:c r="F482" s="31" t="str">
        <x:v>—</x:v>
      </x:c>
      <x:c r="G482" s="31" t="str">
        <x:v>—</x:v>
      </x:c>
      <x:c r="H482" s="31" t="str">
        <x:v>포함</x:v>
      </x:c>
      <x:c r="I482" s="31" t="str">
        <x:v>—</x:v>
      </x:c>
      <x:c r="J482" s="31" t="str">
        <x:v>—</x:v>
      </x:c>
      <x:c r="K482" s="31" t="str">
        <x:v>포함</x:v>
      </x:c>
      <x:c r="L482" s="31" t="str">
        <x:v>포함</x:v>
      </x:c>
      <x:c r="M482" s="31" t="str">
        <x:v>포함</x:v>
      </x:c>
    </x:row>
    <x:row r="483">
      <x:c r="A483" s="34" t="n">
        <x:v>479</x:v>
      </x:c>
      <x:c r="B483" s="30" t="str">
        <x:v>로토무</x:v>
      </x:c>
      <x:c r="C483" s="30" t="str">
        <x:v>rotom</x:v>
      </x:c>
      <x:c r="D483" s="36" t="n">
        <x:v>4</x:v>
      </x:c>
      <x:c r="E483" s="31" t="str">
        <x:v>—</x:v>
      </x:c>
      <x:c r="F483" s="31" t="str">
        <x:v>—</x:v>
      </x:c>
      <x:c r="G483" s="31" t="str">
        <x:v>—</x:v>
      </x:c>
      <x:c r="H483" s="31" t="str">
        <x:v>포함</x:v>
      </x:c>
      <x:c r="I483" s="31" t="str">
        <x:v>—</x:v>
      </x:c>
      <x:c r="J483" s="31" t="str">
        <x:v>포함</x:v>
      </x:c>
      <x:c r="K483" s="31" t="str">
        <x:v>—</x:v>
      </x:c>
      <x:c r="L483" s="31" t="str">
        <x:v>포함</x:v>
      </x:c>
      <x:c r="M483" s="31" t="str">
        <x:v>포함</x:v>
      </x:c>
    </x:row>
    <x:row r="484">
      <x:c r="A484" s="34" t="n">
        <x:v>480</x:v>
      </x:c>
      <x:c r="B484" s="30" t="str">
        <x:v>유크시</x:v>
      </x:c>
      <x:c r="C484" s="30" t="str">
        <x:v>uxie</x:v>
      </x:c>
      <x:c r="D484" s="36" t="n">
        <x:v>4</x:v>
      </x:c>
      <x:c r="E484" s="31" t="str">
        <x:v>—</x:v>
      </x:c>
      <x:c r="F484" s="31" t="str">
        <x:v>—</x:v>
      </x:c>
      <x:c r="G484" s="31" t="str">
        <x:v>—</x:v>
      </x:c>
      <x:c r="H484" s="31" t="str">
        <x:v>포함</x:v>
      </x:c>
      <x:c r="I484" s="31" t="str">
        <x:v>—</x:v>
      </x:c>
      <x:c r="J484" s="31" t="str">
        <x:v>—</x:v>
      </x:c>
      <x:c r="K484" s="31" t="str">
        <x:v>—</x:v>
      </x:c>
      <x:c r="L484" s="31" t="str">
        <x:v>—</x:v>
      </x:c>
      <x:c r="M484" s="31" t="str">
        <x:v>—</x:v>
      </x:c>
    </x:row>
    <x:row r="485">
      <x:c r="A485" s="34" t="n">
        <x:v>481</x:v>
      </x:c>
      <x:c r="B485" s="30" t="str">
        <x:v>엠라이트</x:v>
      </x:c>
      <x:c r="C485" s="30" t="str">
        <x:v>mesprit</x:v>
      </x:c>
      <x:c r="D485" s="36" t="n">
        <x:v>4</x:v>
      </x:c>
      <x:c r="E485" s="31" t="str">
        <x:v>—</x:v>
      </x:c>
      <x:c r="F485" s="31" t="str">
        <x:v>—</x:v>
      </x:c>
      <x:c r="G485" s="31" t="str">
        <x:v>—</x:v>
      </x:c>
      <x:c r="H485" s="31" t="str">
        <x:v>포함</x:v>
      </x:c>
      <x:c r="I485" s="31" t="str">
        <x:v>—</x:v>
      </x:c>
      <x:c r="J485" s="31" t="str">
        <x:v>—</x:v>
      </x:c>
      <x:c r="K485" s="31" t="str">
        <x:v>—</x:v>
      </x:c>
      <x:c r="L485" s="31" t="str">
        <x:v>—</x:v>
      </x:c>
      <x:c r="M485" s="31" t="str">
        <x:v>—</x:v>
      </x:c>
    </x:row>
    <x:row r="486">
      <x:c r="A486" s="34" t="n">
        <x:v>482</x:v>
      </x:c>
      <x:c r="B486" s="30" t="str">
        <x:v>아그놈</x:v>
      </x:c>
      <x:c r="C486" s="30" t="str">
        <x:v>azelf</x:v>
      </x:c>
      <x:c r="D486" s="36" t="n">
        <x:v>4</x:v>
      </x:c>
      <x:c r="E486" s="31" t="str">
        <x:v>—</x:v>
      </x:c>
      <x:c r="F486" s="31" t="str">
        <x:v>—</x:v>
      </x:c>
      <x:c r="G486" s="31" t="str">
        <x:v>—</x:v>
      </x:c>
      <x:c r="H486" s="31" t="str">
        <x:v>포함</x:v>
      </x:c>
      <x:c r="I486" s="31" t="str">
        <x:v>—</x:v>
      </x:c>
      <x:c r="J486" s="31" t="str">
        <x:v>—</x:v>
      </x:c>
      <x:c r="K486" s="31" t="str">
        <x:v>—</x:v>
      </x:c>
      <x:c r="L486" s="31" t="str">
        <x:v>—</x:v>
      </x:c>
      <x:c r="M486" s="31" t="str">
        <x:v>—</x:v>
      </x:c>
    </x:row>
    <x:row r="487">
      <x:c r="A487" s="34" t="n">
        <x:v>483</x:v>
      </x:c>
      <x:c r="B487" s="30" t="str">
        <x:v>디아루가</x:v>
      </x:c>
      <x:c r="C487" s="30" t="str">
        <x:v>dialga</x:v>
      </x:c>
      <x:c r="D487" s="36" t="n">
        <x:v>4</x:v>
      </x:c>
      <x:c r="E487" s="31" t="str">
        <x:v>—</x:v>
      </x:c>
      <x:c r="F487" s="31" t="str">
        <x:v>—</x:v>
      </x:c>
      <x:c r="G487" s="31" t="str">
        <x:v>—</x:v>
      </x:c>
      <x:c r="H487" s="31" t="str">
        <x:v>포함</x:v>
      </x:c>
      <x:c r="I487" s="31" t="str">
        <x:v>—</x:v>
      </x:c>
      <x:c r="J487" s="31" t="str">
        <x:v>—</x:v>
      </x:c>
      <x:c r="K487" s="31" t="str">
        <x:v>—</x:v>
      </x:c>
      <x:c r="L487" s="31" t="str">
        <x:v>—</x:v>
      </x:c>
      <x:c r="M487" s="31" t="str">
        <x:v>—</x:v>
      </x:c>
    </x:row>
    <x:row r="488">
      <x:c r="A488" s="34" t="n">
        <x:v>484</x:v>
      </x:c>
      <x:c r="B488" s="30" t="str">
        <x:v>펄기아</x:v>
      </x:c>
      <x:c r="C488" s="30" t="str">
        <x:v>palkia</x:v>
      </x:c>
      <x:c r="D488" s="36" t="n">
        <x:v>4</x:v>
      </x:c>
      <x:c r="E488" s="31" t="str">
        <x:v>—</x:v>
      </x:c>
      <x:c r="F488" s="31" t="str">
        <x:v>—</x:v>
      </x:c>
      <x:c r="G488" s="31" t="str">
        <x:v>—</x:v>
      </x:c>
      <x:c r="H488" s="31" t="str">
        <x:v>포함</x:v>
      </x:c>
      <x:c r="I488" s="31" t="str">
        <x:v>—</x:v>
      </x:c>
      <x:c r="J488" s="31" t="str">
        <x:v>—</x:v>
      </x:c>
      <x:c r="K488" s="31" t="str">
        <x:v>—</x:v>
      </x:c>
      <x:c r="L488" s="31" t="str">
        <x:v>—</x:v>
      </x:c>
      <x:c r="M488" s="31" t="str">
        <x:v>—</x:v>
      </x:c>
    </x:row>
    <x:row r="489">
      <x:c r="A489" s="34" t="n">
        <x:v>485</x:v>
      </x:c>
      <x:c r="B489" s="30" t="str">
        <x:v>히드런</x:v>
      </x:c>
      <x:c r="C489" s="30" t="str">
        <x:v>heatran</x:v>
      </x:c>
      <x:c r="D489" s="36" t="n">
        <x:v>4</x:v>
      </x:c>
      <x:c r="E489" s="31" t="str">
        <x:v>—</x:v>
      </x:c>
      <x:c r="F489" s="31" t="str">
        <x:v>—</x:v>
      </x:c>
      <x:c r="G489" s="31" t="str">
        <x:v>—</x:v>
      </x:c>
      <x:c r="H489" s="31" t="str">
        <x:v>—</x:v>
      </x:c>
      <x:c r="I489" s="31" t="str">
        <x:v>—</x:v>
      </x:c>
      <x:c r="J489" s="31" t="str">
        <x:v>—</x:v>
      </x:c>
      <x:c r="K489" s="31" t="str">
        <x:v>—</x:v>
      </x:c>
      <x:c r="L489" s="31" t="str">
        <x:v>—</x:v>
      </x:c>
      <x:c r="M489" s="31" t="str">
        <x:v>—</x:v>
      </x:c>
    </x:row>
    <x:row r="490">
      <x:c r="A490" s="34" t="n">
        <x:v>486</x:v>
      </x:c>
      <x:c r="B490" s="30" t="str">
        <x:v>레지기가스</x:v>
      </x:c>
      <x:c r="C490" s="30" t="str">
        <x:v>regigigas</x:v>
      </x:c>
      <x:c r="D490" s="36" t="n">
        <x:v>4</x:v>
      </x:c>
      <x:c r="E490" s="31" t="str">
        <x:v>—</x:v>
      </x:c>
      <x:c r="F490" s="31" t="str">
        <x:v>—</x:v>
      </x:c>
      <x:c r="G490" s="31" t="str">
        <x:v>—</x:v>
      </x:c>
      <x:c r="H490" s="31" t="str">
        <x:v>—</x:v>
      </x:c>
      <x:c r="I490" s="31" t="str">
        <x:v>—</x:v>
      </x:c>
      <x:c r="J490" s="31" t="str">
        <x:v>—</x:v>
      </x:c>
      <x:c r="K490" s="31" t="str">
        <x:v>—</x:v>
      </x:c>
      <x:c r="L490" s="31" t="str">
        <x:v>—</x:v>
      </x:c>
      <x:c r="M490" s="31" t="str">
        <x:v>—</x:v>
      </x:c>
    </x:row>
    <x:row r="491">
      <x:c r="A491" s="34" t="n">
        <x:v>487</x:v>
      </x:c>
      <x:c r="B491" s="30" t="str">
        <x:v>기라티나</x:v>
      </x:c>
      <x:c r="C491" s="30" t="str">
        <x:v>giratina</x:v>
      </x:c>
      <x:c r="D491" s="36" t="n">
        <x:v>4</x:v>
      </x:c>
      <x:c r="E491" s="31" t="str">
        <x:v>—</x:v>
      </x:c>
      <x:c r="F491" s="31" t="str">
        <x:v>—</x:v>
      </x:c>
      <x:c r="G491" s="31" t="str">
        <x:v>—</x:v>
      </x:c>
      <x:c r="H491" s="31" t="str">
        <x:v>포함</x:v>
      </x:c>
      <x:c r="I491" s="31" t="str">
        <x:v>—</x:v>
      </x:c>
      <x:c r="J491" s="31" t="str">
        <x:v>—</x:v>
      </x:c>
      <x:c r="K491" s="31" t="str">
        <x:v>—</x:v>
      </x:c>
      <x:c r="L491" s="31" t="str">
        <x:v>—</x:v>
      </x:c>
      <x:c r="M491" s="31" t="str">
        <x:v>—</x:v>
      </x:c>
    </x:row>
    <x:row r="492">
      <x:c r="A492" s="34" t="n">
        <x:v>488</x:v>
      </x:c>
      <x:c r="B492" s="30" t="str">
        <x:v>크레세리아</x:v>
      </x:c>
      <x:c r="C492" s="30" t="str">
        <x:v>cresselia</x:v>
      </x:c>
      <x:c r="D492" s="36" t="n">
        <x:v>4</x:v>
      </x:c>
      <x:c r="E492" s="31" t="str">
        <x:v>—</x:v>
      </x:c>
      <x:c r="F492" s="31" t="str">
        <x:v>—</x:v>
      </x:c>
      <x:c r="G492" s="31" t="str">
        <x:v>—</x:v>
      </x:c>
      <x:c r="H492" s="31" t="str">
        <x:v>—</x:v>
      </x:c>
      <x:c r="I492" s="31" t="str">
        <x:v>—</x:v>
      </x:c>
      <x:c r="J492" s="31" t="str">
        <x:v>—</x:v>
      </x:c>
      <x:c r="K492" s="31" t="str">
        <x:v>—</x:v>
      </x:c>
      <x:c r="L492" s="31" t="str">
        <x:v>—</x:v>
      </x:c>
      <x:c r="M492" s="31" t="str">
        <x:v>—</x:v>
      </x:c>
    </x:row>
    <x:row r="493">
      <x:c r="A493" s="34" t="n">
        <x:v>489</x:v>
      </x:c>
      <x:c r="B493" s="30" t="str">
        <x:v>피오네</x:v>
      </x:c>
      <x:c r="C493" s="30" t="str">
        <x:v>phione</x:v>
      </x:c>
      <x:c r="D493" s="36" t="n">
        <x:v>4</x:v>
      </x:c>
      <x:c r="E493" s="31" t="str">
        <x:v>—</x:v>
      </x:c>
      <x:c r="F493" s="31" t="str">
        <x:v>—</x:v>
      </x:c>
      <x:c r="G493" s="31" t="str">
        <x:v>—</x:v>
      </x:c>
      <x:c r="H493" s="31" t="str">
        <x:v>—</x:v>
      </x:c>
      <x:c r="I493" s="31" t="str">
        <x:v>—</x:v>
      </x:c>
      <x:c r="J493" s="31" t="str">
        <x:v>—</x:v>
      </x:c>
      <x:c r="K493" s="31" t="str">
        <x:v>—</x:v>
      </x:c>
      <x:c r="L493" s="31" t="str">
        <x:v>—</x:v>
      </x:c>
      <x:c r="M493" s="31" t="str">
        <x:v>—</x:v>
      </x:c>
    </x:row>
    <x:row r="494">
      <x:c r="A494" s="34" t="n">
        <x:v>490</x:v>
      </x:c>
      <x:c r="B494" s="30" t="str">
        <x:v>마나피</x:v>
      </x:c>
      <x:c r="C494" s="30" t="str">
        <x:v>manaphy</x:v>
      </x:c>
      <x:c r="D494" s="36" t="n">
        <x:v>4</x:v>
      </x:c>
      <x:c r="E494" s="31" t="str">
        <x:v>—</x:v>
      </x:c>
      <x:c r="F494" s="31" t="str">
        <x:v>—</x:v>
      </x:c>
      <x:c r="G494" s="31" t="str">
        <x:v>—</x:v>
      </x:c>
      <x:c r="H494" s="31" t="str">
        <x:v>포함</x:v>
      </x:c>
      <x:c r="I494" s="31" t="str">
        <x:v>—</x:v>
      </x:c>
      <x:c r="J494" s="31" t="str">
        <x:v>—</x:v>
      </x:c>
      <x:c r="K494" s="31" t="str">
        <x:v>—</x:v>
      </x:c>
      <x:c r="L494" s="31" t="str">
        <x:v>—</x:v>
      </x:c>
      <x:c r="M494" s="31" t="str">
        <x:v>—</x:v>
      </x:c>
    </x:row>
    <x:row r="495">
      <x:c r="A495" s="34" t="n">
        <x:v>491</x:v>
      </x:c>
      <x:c r="B495" s="30" t="str">
        <x:v>다크라이</x:v>
      </x:c>
      <x:c r="C495" s="30" t="str">
        <x:v>darkrai</x:v>
      </x:c>
      <x:c r="D495" s="36" t="n">
        <x:v>4</x:v>
      </x:c>
      <x:c r="E495" s="31" t="str">
        <x:v>—</x:v>
      </x:c>
      <x:c r="F495" s="31" t="str">
        <x:v>—</x:v>
      </x:c>
      <x:c r="G495" s="31" t="str">
        <x:v>—</x:v>
      </x:c>
      <x:c r="H495" s="31" t="str">
        <x:v>—</x:v>
      </x:c>
      <x:c r="I495" s="31" t="str">
        <x:v>—</x:v>
      </x:c>
      <x:c r="J495" s="31" t="str">
        <x:v>—</x:v>
      </x:c>
      <x:c r="K495" s="31" t="str">
        <x:v>—</x:v>
      </x:c>
      <x:c r="L495" s="31" t="str">
        <x:v>—</x:v>
      </x:c>
      <x:c r="M495" s="31" t="str">
        <x:v>—</x:v>
      </x:c>
    </x:row>
    <x:row r="496">
      <x:c r="A496" s="34" t="n">
        <x:v>492</x:v>
      </x:c>
      <x:c r="B496" s="30" t="str">
        <x:v>쉐이미</x:v>
      </x:c>
      <x:c r="C496" s="30" t="str">
        <x:v>shaymin</x:v>
      </x:c>
      <x:c r="D496" s="36" t="n">
        <x:v>4</x:v>
      </x:c>
      <x:c r="E496" s="31" t="str">
        <x:v>—</x:v>
      </x:c>
      <x:c r="F496" s="31" t="str">
        <x:v>—</x:v>
      </x:c>
      <x:c r="G496" s="31" t="str">
        <x:v>—</x:v>
      </x:c>
      <x:c r="H496" s="31" t="str">
        <x:v>—</x:v>
      </x:c>
      <x:c r="I496" s="31" t="str">
        <x:v>—</x:v>
      </x:c>
      <x:c r="J496" s="31" t="str">
        <x:v>—</x:v>
      </x:c>
      <x:c r="K496" s="31" t="str">
        <x:v>—</x:v>
      </x:c>
      <x:c r="L496" s="31" t="str">
        <x:v>—</x:v>
      </x:c>
      <x:c r="M496" s="31" t="str">
        <x:v>—</x:v>
      </x:c>
    </x:row>
    <x:row r="497">
      <x:c r="A497" s="34" t="n">
        <x:v>493</x:v>
      </x:c>
      <x:c r="B497" s="30" t="str">
        <x:v>아르세우스</x:v>
      </x:c>
      <x:c r="C497" s="30" t="str">
        <x:v>arceus</x:v>
      </x:c>
      <x:c r="D497" s="36" t="n">
        <x:v>4</x:v>
      </x:c>
      <x:c r="E497" s="31" t="str">
        <x:v>—</x:v>
      </x:c>
      <x:c r="F497" s="31" t="str">
        <x:v>—</x:v>
      </x:c>
      <x:c r="G497" s="31" t="str">
        <x:v>—</x:v>
      </x:c>
      <x:c r="H497" s="31" t="str">
        <x:v>—</x:v>
      </x:c>
      <x:c r="I497" s="31" t="str">
        <x:v>—</x:v>
      </x:c>
      <x:c r="J497" s="31" t="str">
        <x:v>—</x:v>
      </x:c>
      <x:c r="K497" s="31" t="str">
        <x:v>—</x:v>
      </x:c>
      <x:c r="L497" s="31" t="str">
        <x:v>—</x:v>
      </x:c>
      <x:c r="M497" s="31" t="str">
        <x:v>—</x:v>
      </x:c>
    </x:row>
    <x:row r="498">
      <x:c r="A498" s="34" t="n">
        <x:v>494</x:v>
      </x:c>
      <x:c r="B498" s="30" t="str">
        <x:v>비크티니</x:v>
      </x:c>
      <x:c r="C498" s="30" t="str">
        <x:v>victini</x:v>
      </x:c>
      <x:c r="D498" s="36" t="n">
        <x:v>5</x:v>
      </x:c>
      <x:c r="E498" s="31" t="str">
        <x:v>—</x:v>
      </x:c>
      <x:c r="F498" s="31" t="str">
        <x:v>—</x:v>
      </x:c>
      <x:c r="G498" s="31" t="str">
        <x:v>—</x:v>
      </x:c>
      <x:c r="H498" s="31" t="str">
        <x:v>—</x:v>
      </x:c>
      <x:c r="I498" s="31" t="str">
        <x:v>포함</x:v>
      </x:c>
      <x:c r="J498" s="31" t="str">
        <x:v>—</x:v>
      </x:c>
      <x:c r="K498" s="31" t="str">
        <x:v>—</x:v>
      </x:c>
      <x:c r="L498" s="31" t="str">
        <x:v>—</x:v>
      </x:c>
      <x:c r="M498" s="31" t="str">
        <x:v>—</x:v>
      </x:c>
    </x:row>
    <x:row r="499">
      <x:c r="A499" s="34" t="n">
        <x:v>495</x:v>
      </x:c>
      <x:c r="B499" s="30" t="str">
        <x:v>주리비얀</x:v>
      </x:c>
      <x:c r="C499" s="30" t="str">
        <x:v>snivy</x:v>
      </x:c>
      <x:c r="D499" s="36" t="n">
        <x:v>5</x:v>
      </x:c>
      <x:c r="E499" s="31" t="str">
        <x:v>—</x:v>
      </x:c>
      <x:c r="F499" s="31" t="str">
        <x:v>—</x:v>
      </x:c>
      <x:c r="G499" s="31" t="str">
        <x:v>—</x:v>
      </x:c>
      <x:c r="H499" s="31" t="str">
        <x:v>—</x:v>
      </x:c>
      <x:c r="I499" s="31" t="str">
        <x:v>포함</x:v>
      </x:c>
      <x:c r="J499" s="31" t="str">
        <x:v>—</x:v>
      </x:c>
      <x:c r="K499" s="31" t="str">
        <x:v>—</x:v>
      </x:c>
      <x:c r="L499" s="31" t="str">
        <x:v>—</x:v>
      </x:c>
      <x:c r="M499" s="31" t="str">
        <x:v>포함</x:v>
      </x:c>
    </x:row>
    <x:row r="500">
      <x:c r="A500" s="34" t="n">
        <x:v>496</x:v>
      </x:c>
      <x:c r="B500" s="30" t="str">
        <x:v>샤비</x:v>
      </x:c>
      <x:c r="C500" s="30" t="str">
        <x:v>servine</x:v>
      </x:c>
      <x:c r="D500" s="36" t="n">
        <x:v>5</x:v>
      </x:c>
      <x:c r="E500" s="31" t="str">
        <x:v>—</x:v>
      </x:c>
      <x:c r="F500" s="31" t="str">
        <x:v>—</x:v>
      </x:c>
      <x:c r="G500" s="31" t="str">
        <x:v>—</x:v>
      </x:c>
      <x:c r="H500" s="31" t="str">
        <x:v>—</x:v>
      </x:c>
      <x:c r="I500" s="31" t="str">
        <x:v>포함</x:v>
      </x:c>
      <x:c r="J500" s="31" t="str">
        <x:v>—</x:v>
      </x:c>
      <x:c r="K500" s="31" t="str">
        <x:v>—</x:v>
      </x:c>
      <x:c r="L500" s="31" t="str">
        <x:v>—</x:v>
      </x:c>
      <x:c r="M500" s="31" t="str">
        <x:v>포함</x:v>
      </x:c>
    </x:row>
    <x:row r="501">
      <x:c r="A501" s="34" t="n">
        <x:v>497</x:v>
      </x:c>
      <x:c r="B501" s="30" t="str">
        <x:v>샤로다</x:v>
      </x:c>
      <x:c r="C501" s="30" t="str">
        <x:v>serperior</x:v>
      </x:c>
      <x:c r="D501" s="36" t="n">
        <x:v>5</x:v>
      </x:c>
      <x:c r="E501" s="31" t="str">
        <x:v>—</x:v>
      </x:c>
      <x:c r="F501" s="31" t="str">
        <x:v>—</x:v>
      </x:c>
      <x:c r="G501" s="31" t="str">
        <x:v>—</x:v>
      </x:c>
      <x:c r="H501" s="31" t="str">
        <x:v>—</x:v>
      </x:c>
      <x:c r="I501" s="31" t="str">
        <x:v>포함</x:v>
      </x:c>
      <x:c r="J501" s="31" t="str">
        <x:v>—</x:v>
      </x:c>
      <x:c r="K501" s="31" t="str">
        <x:v>—</x:v>
      </x:c>
      <x:c r="L501" s="31" t="str">
        <x:v>—</x:v>
      </x:c>
      <x:c r="M501" s="31" t="str">
        <x:v>포함</x:v>
      </x:c>
    </x:row>
    <x:row r="502">
      <x:c r="A502" s="34" t="n">
        <x:v>498</x:v>
      </x:c>
      <x:c r="B502" s="30" t="str">
        <x:v>뚜꾸리</x:v>
      </x:c>
      <x:c r="C502" s="30" t="str">
        <x:v>tepig</x:v>
      </x:c>
      <x:c r="D502" s="36" t="n">
        <x:v>5</x:v>
      </x:c>
      <x:c r="E502" s="31" t="str">
        <x:v>—</x:v>
      </x:c>
      <x:c r="F502" s="31" t="str">
        <x:v>—</x:v>
      </x:c>
      <x:c r="G502" s="31" t="str">
        <x:v>—</x:v>
      </x:c>
      <x:c r="H502" s="31" t="str">
        <x:v>—</x:v>
      </x:c>
      <x:c r="I502" s="31" t="str">
        <x:v>포함</x:v>
      </x:c>
      <x:c r="J502" s="31" t="str">
        <x:v>—</x:v>
      </x:c>
      <x:c r="K502" s="31" t="str">
        <x:v>—</x:v>
      </x:c>
      <x:c r="L502" s="31" t="str">
        <x:v>—</x:v>
      </x:c>
      <x:c r="M502" s="31" t="str">
        <x:v>포함</x:v>
      </x:c>
    </x:row>
    <x:row r="503">
      <x:c r="A503" s="34" t="n">
        <x:v>499</x:v>
      </x:c>
      <x:c r="B503" s="30" t="str">
        <x:v>차오꿀</x:v>
      </x:c>
      <x:c r="C503" s="30" t="str">
        <x:v>pignite</x:v>
      </x:c>
      <x:c r="D503" s="36" t="n">
        <x:v>5</x:v>
      </x:c>
      <x:c r="E503" s="31" t="str">
        <x:v>—</x:v>
      </x:c>
      <x:c r="F503" s="31" t="str">
        <x:v>—</x:v>
      </x:c>
      <x:c r="G503" s="31" t="str">
        <x:v>—</x:v>
      </x:c>
      <x:c r="H503" s="31" t="str">
        <x:v>—</x:v>
      </x:c>
      <x:c r="I503" s="31" t="str">
        <x:v>포함</x:v>
      </x:c>
      <x:c r="J503" s="31" t="str">
        <x:v>—</x:v>
      </x:c>
      <x:c r="K503" s="31" t="str">
        <x:v>—</x:v>
      </x:c>
      <x:c r="L503" s="31" t="str">
        <x:v>—</x:v>
      </x:c>
      <x:c r="M503" s="31" t="str">
        <x:v>포함</x:v>
      </x:c>
    </x:row>
    <x:row r="504">
      <x:c r="A504" s="34" t="n">
        <x:v>500</x:v>
      </x:c>
      <x:c r="B504" s="30" t="str">
        <x:v>염무왕</x:v>
      </x:c>
      <x:c r="C504" s="30" t="str">
        <x:v>emboar</x:v>
      </x:c>
      <x:c r="D504" s="36" t="n">
        <x:v>5</x:v>
      </x:c>
      <x:c r="E504" s="31" t="str">
        <x:v>—</x:v>
      </x:c>
      <x:c r="F504" s="31" t="str">
        <x:v>—</x:v>
      </x:c>
      <x:c r="G504" s="31" t="str">
        <x:v>—</x:v>
      </x:c>
      <x:c r="H504" s="31" t="str">
        <x:v>—</x:v>
      </x:c>
      <x:c r="I504" s="31" t="str">
        <x:v>포함</x:v>
      </x:c>
      <x:c r="J504" s="31" t="str">
        <x:v>—</x:v>
      </x:c>
      <x:c r="K504" s="31" t="str">
        <x:v>—</x:v>
      </x:c>
      <x:c r="L504" s="31" t="str">
        <x:v>—</x:v>
      </x:c>
      <x:c r="M504" s="31" t="str">
        <x:v>포함</x:v>
      </x:c>
    </x:row>
    <x:row r="505">
      <x:c r="A505" s="34" t="n">
        <x:v>501</x:v>
      </x:c>
      <x:c r="B505" s="30" t="str">
        <x:v>수댕이</x:v>
      </x:c>
      <x:c r="C505" s="30" t="str">
        <x:v>oshawott</x:v>
      </x:c>
      <x:c r="D505" s="36" t="n">
        <x:v>5</x:v>
      </x:c>
      <x:c r="E505" s="31" t="str">
        <x:v>—</x:v>
      </x:c>
      <x:c r="F505" s="31" t="str">
        <x:v>—</x:v>
      </x:c>
      <x:c r="G505" s="31" t="str">
        <x:v>—</x:v>
      </x:c>
      <x:c r="H505" s="31" t="str">
        <x:v>—</x:v>
      </x:c>
      <x:c r="I505" s="31" t="str">
        <x:v>포함</x:v>
      </x:c>
      <x:c r="J505" s="31" t="str">
        <x:v>—</x:v>
      </x:c>
      <x:c r="K505" s="31" t="str">
        <x:v>—</x:v>
      </x:c>
      <x:c r="L505" s="31" t="str">
        <x:v>—</x:v>
      </x:c>
      <x:c r="M505" s="31" t="str">
        <x:v>포함</x:v>
      </x:c>
    </x:row>
    <x:row r="506">
      <x:c r="A506" s="34" t="n">
        <x:v>502</x:v>
      </x:c>
      <x:c r="B506" s="30" t="str">
        <x:v>쌍검자비</x:v>
      </x:c>
      <x:c r="C506" s="30" t="str">
        <x:v>dewott</x:v>
      </x:c>
      <x:c r="D506" s="36" t="n">
        <x:v>5</x:v>
      </x:c>
      <x:c r="E506" s="31" t="str">
        <x:v>—</x:v>
      </x:c>
      <x:c r="F506" s="31" t="str">
        <x:v>—</x:v>
      </x:c>
      <x:c r="G506" s="31" t="str">
        <x:v>—</x:v>
      </x:c>
      <x:c r="H506" s="31" t="str">
        <x:v>—</x:v>
      </x:c>
      <x:c r="I506" s="31" t="str">
        <x:v>포함</x:v>
      </x:c>
      <x:c r="J506" s="31" t="str">
        <x:v>—</x:v>
      </x:c>
      <x:c r="K506" s="31" t="str">
        <x:v>—</x:v>
      </x:c>
      <x:c r="L506" s="31" t="str">
        <x:v>—</x:v>
      </x:c>
      <x:c r="M506" s="31" t="str">
        <x:v>포함</x:v>
      </x:c>
    </x:row>
    <x:row r="507">
      <x:c r="A507" s="34" t="n">
        <x:v>503</x:v>
      </x:c>
      <x:c r="B507" s="30" t="str">
        <x:v>대검귀</x:v>
      </x:c>
      <x:c r="C507" s="30" t="str">
        <x:v>samurott</x:v>
      </x:c>
      <x:c r="D507" s="36" t="n">
        <x:v>5</x:v>
      </x:c>
      <x:c r="E507" s="31" t="str">
        <x:v>—</x:v>
      </x:c>
      <x:c r="F507" s="31" t="str">
        <x:v>—</x:v>
      </x:c>
      <x:c r="G507" s="31" t="str">
        <x:v>—</x:v>
      </x:c>
      <x:c r="H507" s="31" t="str">
        <x:v>—</x:v>
      </x:c>
      <x:c r="I507" s="31" t="str">
        <x:v>포함</x:v>
      </x:c>
      <x:c r="J507" s="31" t="str">
        <x:v>—</x:v>
      </x:c>
      <x:c r="K507" s="31" t="str">
        <x:v>—</x:v>
      </x:c>
      <x:c r="L507" s="31" t="str">
        <x:v>—</x:v>
      </x:c>
      <x:c r="M507" s="31" t="str">
        <x:v>포함</x:v>
      </x:c>
    </x:row>
    <x:row r="508">
      <x:c r="A508" s="34" t="n">
        <x:v>504</x:v>
      </x:c>
      <x:c r="B508" s="30" t="str">
        <x:v>보르쥐</x:v>
      </x:c>
      <x:c r="C508" s="30" t="str">
        <x:v>patrat</x:v>
      </x:c>
      <x:c r="D508" s="36" t="n">
        <x:v>5</x:v>
      </x:c>
      <x:c r="E508" s="31" t="str">
        <x:v>—</x:v>
      </x:c>
      <x:c r="F508" s="31" t="str">
        <x:v>—</x:v>
      </x:c>
      <x:c r="G508" s="31" t="str">
        <x:v>—</x:v>
      </x:c>
      <x:c r="H508" s="31" t="str">
        <x:v>—</x:v>
      </x:c>
      <x:c r="I508" s="31" t="str">
        <x:v>포함</x:v>
      </x:c>
      <x:c r="J508" s="31" t="str">
        <x:v>포함</x:v>
      </x:c>
      <x:c r="K508" s="31" t="str">
        <x:v>—</x:v>
      </x:c>
      <x:c r="L508" s="31" t="str">
        <x:v>—</x:v>
      </x:c>
      <x:c r="M508" s="31" t="str">
        <x:v>—</x:v>
      </x:c>
    </x:row>
    <x:row r="509">
      <x:c r="A509" s="34" t="n">
        <x:v>505</x:v>
      </x:c>
      <x:c r="B509" s="30" t="str">
        <x:v>보르그</x:v>
      </x:c>
      <x:c r="C509" s="30" t="str">
        <x:v>watchog</x:v>
      </x:c>
      <x:c r="D509" s="36" t="n">
        <x:v>5</x:v>
      </x:c>
      <x:c r="E509" s="31" t="str">
        <x:v>—</x:v>
      </x:c>
      <x:c r="F509" s="31" t="str">
        <x:v>—</x:v>
      </x:c>
      <x:c r="G509" s="31" t="str">
        <x:v>—</x:v>
      </x:c>
      <x:c r="H509" s="31" t="str">
        <x:v>—</x:v>
      </x:c>
      <x:c r="I509" s="31" t="str">
        <x:v>포함</x:v>
      </x:c>
      <x:c r="J509" s="31" t="str">
        <x:v>포함</x:v>
      </x:c>
      <x:c r="K509" s="31" t="str">
        <x:v>—</x:v>
      </x:c>
      <x:c r="L509" s="31" t="str">
        <x:v>—</x:v>
      </x:c>
      <x:c r="M509" s="31" t="str">
        <x:v>—</x:v>
      </x:c>
    </x:row>
    <x:row r="510">
      <x:c r="A510" s="34" t="n">
        <x:v>506</x:v>
      </x:c>
      <x:c r="B510" s="30" t="str">
        <x:v>요테리</x:v>
      </x:c>
      <x:c r="C510" s="30" t="str">
        <x:v>lillipup</x:v>
      </x:c>
      <x:c r="D510" s="36" t="n">
        <x:v>5</x:v>
      </x:c>
      <x:c r="E510" s="31" t="str">
        <x:v>—</x:v>
      </x:c>
      <x:c r="F510" s="31" t="str">
        <x:v>—</x:v>
      </x:c>
      <x:c r="G510" s="31" t="str">
        <x:v>—</x:v>
      </x:c>
      <x:c r="H510" s="31" t="str">
        <x:v>—</x:v>
      </x:c>
      <x:c r="I510" s="31" t="str">
        <x:v>포함</x:v>
      </x:c>
      <x:c r="J510" s="31" t="str">
        <x:v>—</x:v>
      </x:c>
      <x:c r="K510" s="31" t="str">
        <x:v>포함</x:v>
      </x:c>
      <x:c r="L510" s="31" t="str">
        <x:v>포함</x:v>
      </x:c>
      <x:c r="M510" s="31" t="str">
        <x:v>—</x:v>
      </x:c>
    </x:row>
    <x:row r="511">
      <x:c r="A511" s="34" t="n">
        <x:v>507</x:v>
      </x:c>
      <x:c r="B511" s="30" t="str">
        <x:v>하데리어</x:v>
      </x:c>
      <x:c r="C511" s="30" t="str">
        <x:v>herdier</x:v>
      </x:c>
      <x:c r="D511" s="36" t="n">
        <x:v>5</x:v>
      </x:c>
      <x:c r="E511" s="31" t="str">
        <x:v>—</x:v>
      </x:c>
      <x:c r="F511" s="31" t="str">
        <x:v>—</x:v>
      </x:c>
      <x:c r="G511" s="31" t="str">
        <x:v>—</x:v>
      </x:c>
      <x:c r="H511" s="31" t="str">
        <x:v>—</x:v>
      </x:c>
      <x:c r="I511" s="31" t="str">
        <x:v>포함</x:v>
      </x:c>
      <x:c r="J511" s="31" t="str">
        <x:v>—</x:v>
      </x:c>
      <x:c r="K511" s="31" t="str">
        <x:v>포함</x:v>
      </x:c>
      <x:c r="L511" s="31" t="str">
        <x:v>포함</x:v>
      </x:c>
      <x:c r="M511" s="31" t="str">
        <x:v>—</x:v>
      </x:c>
    </x:row>
    <x:row r="512">
      <x:c r="A512" s="34" t="n">
        <x:v>508</x:v>
      </x:c>
      <x:c r="B512" s="30" t="str">
        <x:v>바랜드</x:v>
      </x:c>
      <x:c r="C512" s="30" t="str">
        <x:v>stoutland</x:v>
      </x:c>
      <x:c r="D512" s="36" t="n">
        <x:v>5</x:v>
      </x:c>
      <x:c r="E512" s="31" t="str">
        <x:v>—</x:v>
      </x:c>
      <x:c r="F512" s="31" t="str">
        <x:v>—</x:v>
      </x:c>
      <x:c r="G512" s="31" t="str">
        <x:v>—</x:v>
      </x:c>
      <x:c r="H512" s="31" t="str">
        <x:v>—</x:v>
      </x:c>
      <x:c r="I512" s="31" t="str">
        <x:v>포함</x:v>
      </x:c>
      <x:c r="J512" s="31" t="str">
        <x:v>—</x:v>
      </x:c>
      <x:c r="K512" s="31" t="str">
        <x:v>포함</x:v>
      </x:c>
      <x:c r="L512" s="31" t="str">
        <x:v>포함</x:v>
      </x:c>
      <x:c r="M512" s="31" t="str">
        <x:v>—</x:v>
      </x:c>
    </x:row>
    <x:row r="513">
      <x:c r="A513" s="34" t="n">
        <x:v>509</x:v>
      </x:c>
      <x:c r="B513" s="30" t="str">
        <x:v>쌔비냥</x:v>
      </x:c>
      <x:c r="C513" s="30" t="str">
        <x:v>purrloin</x:v>
      </x:c>
      <x:c r="D513" s="36" t="n">
        <x:v>5</x:v>
      </x:c>
      <x:c r="E513" s="31" t="str">
        <x:v>—</x:v>
      </x:c>
      <x:c r="F513" s="31" t="str">
        <x:v>—</x:v>
      </x:c>
      <x:c r="G513" s="31" t="str">
        <x:v>—</x:v>
      </x:c>
      <x:c r="H513" s="31" t="str">
        <x:v>—</x:v>
      </x:c>
      <x:c r="I513" s="31" t="str">
        <x:v>포함</x:v>
      </x:c>
      <x:c r="J513" s="31" t="str">
        <x:v>포함</x:v>
      </x:c>
      <x:c r="K513" s="31" t="str">
        <x:v>—</x:v>
      </x:c>
      <x:c r="L513" s="31" t="str">
        <x:v>포함</x:v>
      </x:c>
      <x:c r="M513" s="31" t="str">
        <x:v>—</x:v>
      </x:c>
    </x:row>
    <x:row r="514">
      <x:c r="A514" s="34" t="n">
        <x:v>510</x:v>
      </x:c>
      <x:c r="B514" s="30" t="str">
        <x:v>레파르다스</x:v>
      </x:c>
      <x:c r="C514" s="30" t="str">
        <x:v>liepard</x:v>
      </x:c>
      <x:c r="D514" s="36" t="n">
        <x:v>5</x:v>
      </x:c>
      <x:c r="E514" s="31" t="str">
        <x:v>—</x:v>
      </x:c>
      <x:c r="F514" s="31" t="str">
        <x:v>—</x:v>
      </x:c>
      <x:c r="G514" s="31" t="str">
        <x:v>—</x:v>
      </x:c>
      <x:c r="H514" s="31" t="str">
        <x:v>—</x:v>
      </x:c>
      <x:c r="I514" s="31" t="str">
        <x:v>포함</x:v>
      </x:c>
      <x:c r="J514" s="31" t="str">
        <x:v>포함</x:v>
      </x:c>
      <x:c r="K514" s="31" t="str">
        <x:v>—</x:v>
      </x:c>
      <x:c r="L514" s="31" t="str">
        <x:v>포함</x:v>
      </x:c>
      <x:c r="M514" s="31" t="str">
        <x:v>—</x:v>
      </x:c>
    </x:row>
    <x:row r="515">
      <x:c r="A515" s="34" t="n">
        <x:v>511</x:v>
      </x:c>
      <x:c r="B515" s="30" t="str">
        <x:v>야나프</x:v>
      </x:c>
      <x:c r="C515" s="30" t="str">
        <x:v>pansage</x:v>
      </x:c>
      <x:c r="D515" s="36" t="n">
        <x:v>5</x:v>
      </x:c>
      <x:c r="E515" s="31" t="str">
        <x:v>—</x:v>
      </x:c>
      <x:c r="F515" s="31" t="str">
        <x:v>—</x:v>
      </x:c>
      <x:c r="G515" s="31" t="str">
        <x:v>—</x:v>
      </x:c>
      <x:c r="H515" s="31" t="str">
        <x:v>—</x:v>
      </x:c>
      <x:c r="I515" s="31" t="str">
        <x:v>포함</x:v>
      </x:c>
      <x:c r="J515" s="31" t="str">
        <x:v>포함</x:v>
      </x:c>
      <x:c r="K515" s="31" t="str">
        <x:v>—</x:v>
      </x:c>
      <x:c r="L515" s="31" t="str">
        <x:v>—</x:v>
      </x:c>
      <x:c r="M515" s="31" t="str">
        <x:v>—</x:v>
      </x:c>
    </x:row>
    <x:row r="516">
      <x:c r="A516" s="34" t="n">
        <x:v>512</x:v>
      </x:c>
      <x:c r="B516" s="30" t="str">
        <x:v>야나키</x:v>
      </x:c>
      <x:c r="C516" s="30" t="str">
        <x:v>simisage</x:v>
      </x:c>
      <x:c r="D516" s="36" t="n">
        <x:v>5</x:v>
      </x:c>
      <x:c r="E516" s="31" t="str">
        <x:v>—</x:v>
      </x:c>
      <x:c r="F516" s="31" t="str">
        <x:v>—</x:v>
      </x:c>
      <x:c r="G516" s="31" t="str">
        <x:v>—</x:v>
      </x:c>
      <x:c r="H516" s="31" t="str">
        <x:v>—</x:v>
      </x:c>
      <x:c r="I516" s="31" t="str">
        <x:v>포함</x:v>
      </x:c>
      <x:c r="J516" s="31" t="str">
        <x:v>포함</x:v>
      </x:c>
      <x:c r="K516" s="31" t="str">
        <x:v>—</x:v>
      </x:c>
      <x:c r="L516" s="31" t="str">
        <x:v>—</x:v>
      </x:c>
      <x:c r="M516" s="31" t="str">
        <x:v>—</x:v>
      </x:c>
    </x:row>
    <x:row r="517">
      <x:c r="A517" s="34" t="n">
        <x:v>513</x:v>
      </x:c>
      <x:c r="B517" s="30" t="str">
        <x:v>바오프</x:v>
      </x:c>
      <x:c r="C517" s="30" t="str">
        <x:v>pansear</x:v>
      </x:c>
      <x:c r="D517" s="36" t="n">
        <x:v>5</x:v>
      </x:c>
      <x:c r="E517" s="31" t="str">
        <x:v>—</x:v>
      </x:c>
      <x:c r="F517" s="31" t="str">
        <x:v>—</x:v>
      </x:c>
      <x:c r="G517" s="31" t="str">
        <x:v>—</x:v>
      </x:c>
      <x:c r="H517" s="31" t="str">
        <x:v>—</x:v>
      </x:c>
      <x:c r="I517" s="31" t="str">
        <x:v>포함</x:v>
      </x:c>
      <x:c r="J517" s="31" t="str">
        <x:v>포함</x:v>
      </x:c>
      <x:c r="K517" s="31" t="str">
        <x:v>—</x:v>
      </x:c>
      <x:c r="L517" s="31" t="str">
        <x:v>—</x:v>
      </x:c>
      <x:c r="M517" s="31" t="str">
        <x:v>—</x:v>
      </x:c>
    </x:row>
    <x:row r="518">
      <x:c r="A518" s="34" t="n">
        <x:v>514</x:v>
      </x:c>
      <x:c r="B518" s="30" t="str">
        <x:v>바오키</x:v>
      </x:c>
      <x:c r="C518" s="30" t="str">
        <x:v>simisear</x:v>
      </x:c>
      <x:c r="D518" s="36" t="n">
        <x:v>5</x:v>
      </x:c>
      <x:c r="E518" s="31" t="str">
        <x:v>—</x:v>
      </x:c>
      <x:c r="F518" s="31" t="str">
        <x:v>—</x:v>
      </x:c>
      <x:c r="G518" s="31" t="str">
        <x:v>—</x:v>
      </x:c>
      <x:c r="H518" s="31" t="str">
        <x:v>—</x:v>
      </x:c>
      <x:c r="I518" s="31" t="str">
        <x:v>포함</x:v>
      </x:c>
      <x:c r="J518" s="31" t="str">
        <x:v>포함</x:v>
      </x:c>
      <x:c r="K518" s="31" t="str">
        <x:v>—</x:v>
      </x:c>
      <x:c r="L518" s="31" t="str">
        <x:v>—</x:v>
      </x:c>
      <x:c r="M518" s="31" t="str">
        <x:v>—</x:v>
      </x:c>
    </x:row>
    <x:row r="519">
      <x:c r="A519" s="34" t="n">
        <x:v>515</x:v>
      </x:c>
      <x:c r="B519" s="30" t="str">
        <x:v>앗차프</x:v>
      </x:c>
      <x:c r="C519" s="30" t="str">
        <x:v>panpour</x:v>
      </x:c>
      <x:c r="D519" s="36" t="n">
        <x:v>5</x:v>
      </x:c>
      <x:c r="E519" s="31" t="str">
        <x:v>—</x:v>
      </x:c>
      <x:c r="F519" s="31" t="str">
        <x:v>—</x:v>
      </x:c>
      <x:c r="G519" s="31" t="str">
        <x:v>—</x:v>
      </x:c>
      <x:c r="H519" s="31" t="str">
        <x:v>—</x:v>
      </x:c>
      <x:c r="I519" s="31" t="str">
        <x:v>포함</x:v>
      </x:c>
      <x:c r="J519" s="31" t="str">
        <x:v>포함</x:v>
      </x:c>
      <x:c r="K519" s="31" t="str">
        <x:v>—</x:v>
      </x:c>
      <x:c r="L519" s="31" t="str">
        <x:v>—</x:v>
      </x:c>
      <x:c r="M519" s="31" t="str">
        <x:v>—</x:v>
      </x:c>
    </x:row>
    <x:row r="520">
      <x:c r="A520" s="34" t="n">
        <x:v>516</x:v>
      </x:c>
      <x:c r="B520" s="30" t="str">
        <x:v>앗차키</x:v>
      </x:c>
      <x:c r="C520" s="30" t="str">
        <x:v>simipour</x:v>
      </x:c>
      <x:c r="D520" s="36" t="n">
        <x:v>5</x:v>
      </x:c>
      <x:c r="E520" s="31" t="str">
        <x:v>—</x:v>
      </x:c>
      <x:c r="F520" s="31" t="str">
        <x:v>—</x:v>
      </x:c>
      <x:c r="G520" s="31" t="str">
        <x:v>—</x:v>
      </x:c>
      <x:c r="H520" s="31" t="str">
        <x:v>—</x:v>
      </x:c>
      <x:c r="I520" s="31" t="str">
        <x:v>포함</x:v>
      </x:c>
      <x:c r="J520" s="31" t="str">
        <x:v>포함</x:v>
      </x:c>
      <x:c r="K520" s="31" t="str">
        <x:v>—</x:v>
      </x:c>
      <x:c r="L520" s="31" t="str">
        <x:v>—</x:v>
      </x:c>
      <x:c r="M520" s="31" t="str">
        <x:v>—</x:v>
      </x:c>
    </x:row>
    <x:row r="521">
      <x:c r="A521" s="34" t="n">
        <x:v>517</x:v>
      </x:c>
      <x:c r="B521" s="30" t="str">
        <x:v>몽나</x:v>
      </x:c>
      <x:c r="C521" s="30" t="str">
        <x:v>munna</x:v>
      </x:c>
      <x:c r="D521" s="36" t="n">
        <x:v>5</x:v>
      </x:c>
      <x:c r="E521" s="31" t="str">
        <x:v>—</x:v>
      </x:c>
      <x:c r="F521" s="31" t="str">
        <x:v>—</x:v>
      </x:c>
      <x:c r="G521" s="31" t="str">
        <x:v>—</x:v>
      </x:c>
      <x:c r="H521" s="31" t="str">
        <x:v>—</x:v>
      </x:c>
      <x:c r="I521" s="31" t="str">
        <x:v>포함</x:v>
      </x:c>
      <x:c r="J521" s="31" t="str">
        <x:v>—</x:v>
      </x:c>
      <x:c r="K521" s="31" t="str">
        <x:v>—</x:v>
      </x:c>
      <x:c r="L521" s="31" t="str">
        <x:v>포함</x:v>
      </x:c>
      <x:c r="M521" s="31" t="str">
        <x:v>—</x:v>
      </x:c>
    </x:row>
    <x:row r="522">
      <x:c r="A522" s="34" t="n">
        <x:v>518</x:v>
      </x:c>
      <x:c r="B522" s="30" t="str">
        <x:v>몽얌나</x:v>
      </x:c>
      <x:c r="C522" s="30" t="str">
        <x:v>musharna</x:v>
      </x:c>
      <x:c r="D522" s="36" t="n">
        <x:v>5</x:v>
      </x:c>
      <x:c r="E522" s="31" t="str">
        <x:v>—</x:v>
      </x:c>
      <x:c r="F522" s="31" t="str">
        <x:v>—</x:v>
      </x:c>
      <x:c r="G522" s="31" t="str">
        <x:v>—</x:v>
      </x:c>
      <x:c r="H522" s="31" t="str">
        <x:v>—</x:v>
      </x:c>
      <x:c r="I522" s="31" t="str">
        <x:v>포함</x:v>
      </x:c>
      <x:c r="J522" s="31" t="str">
        <x:v>—</x:v>
      </x:c>
      <x:c r="K522" s="31" t="str">
        <x:v>—</x:v>
      </x:c>
      <x:c r="L522" s="31" t="str">
        <x:v>포함</x:v>
      </x:c>
      <x:c r="M522" s="31" t="str">
        <x:v>—</x:v>
      </x:c>
    </x:row>
    <x:row r="523">
      <x:c r="A523" s="34" t="n">
        <x:v>519</x:v>
      </x:c>
      <x:c r="B523" s="30" t="str">
        <x:v>콩둘기</x:v>
      </x:c>
      <x:c r="C523" s="30" t="str">
        <x:v>pidove</x:v>
      </x:c>
      <x:c r="D523" s="36" t="n">
        <x:v>5</x:v>
      </x:c>
      <x:c r="E523" s="31" t="str">
        <x:v>—</x:v>
      </x:c>
      <x:c r="F523" s="31" t="str">
        <x:v>—</x:v>
      </x:c>
      <x:c r="G523" s="31" t="str">
        <x:v>—</x:v>
      </x:c>
      <x:c r="H523" s="31" t="str">
        <x:v>—</x:v>
      </x:c>
      <x:c r="I523" s="31" t="str">
        <x:v>포함</x:v>
      </x:c>
      <x:c r="J523" s="31" t="str">
        <x:v>—</x:v>
      </x:c>
      <x:c r="K523" s="31" t="str">
        <x:v>—</x:v>
      </x:c>
      <x:c r="L523" s="31" t="str">
        <x:v>포함</x:v>
      </x:c>
      <x:c r="M523" s="31" t="str">
        <x:v>—</x:v>
      </x:c>
    </x:row>
    <x:row r="524">
      <x:c r="A524" s="34" t="n">
        <x:v>520</x:v>
      </x:c>
      <x:c r="B524" s="30" t="str">
        <x:v>유토브</x:v>
      </x:c>
      <x:c r="C524" s="30" t="str">
        <x:v>tranquill</x:v>
      </x:c>
      <x:c r="D524" s="36" t="n">
        <x:v>5</x:v>
      </x:c>
      <x:c r="E524" s="31" t="str">
        <x:v>—</x:v>
      </x:c>
      <x:c r="F524" s="31" t="str">
        <x:v>—</x:v>
      </x:c>
      <x:c r="G524" s="31" t="str">
        <x:v>—</x:v>
      </x:c>
      <x:c r="H524" s="31" t="str">
        <x:v>—</x:v>
      </x:c>
      <x:c r="I524" s="31" t="str">
        <x:v>포함</x:v>
      </x:c>
      <x:c r="J524" s="31" t="str">
        <x:v>—</x:v>
      </x:c>
      <x:c r="K524" s="31" t="str">
        <x:v>—</x:v>
      </x:c>
      <x:c r="L524" s="31" t="str">
        <x:v>포함</x:v>
      </x:c>
      <x:c r="M524" s="31" t="str">
        <x:v>—</x:v>
      </x:c>
    </x:row>
    <x:row r="525">
      <x:c r="A525" s="34" t="n">
        <x:v>521</x:v>
      </x:c>
      <x:c r="B525" s="30" t="str">
        <x:v>켄호로우</x:v>
      </x:c>
      <x:c r="C525" s="30" t="str">
        <x:v>unfezant</x:v>
      </x:c>
      <x:c r="D525" s="36" t="n">
        <x:v>5</x:v>
      </x:c>
      <x:c r="E525" s="31" t="str">
        <x:v>—</x:v>
      </x:c>
      <x:c r="F525" s="31" t="str">
        <x:v>—</x:v>
      </x:c>
      <x:c r="G525" s="31" t="str">
        <x:v>—</x:v>
      </x:c>
      <x:c r="H525" s="31" t="str">
        <x:v>—</x:v>
      </x:c>
      <x:c r="I525" s="31" t="str">
        <x:v>포함</x:v>
      </x:c>
      <x:c r="J525" s="31" t="str">
        <x:v>—</x:v>
      </x:c>
      <x:c r="K525" s="31" t="str">
        <x:v>—</x:v>
      </x:c>
      <x:c r="L525" s="31" t="str">
        <x:v>포함</x:v>
      </x:c>
      <x:c r="M525" s="31" t="str">
        <x:v>—</x:v>
      </x:c>
    </x:row>
    <x:row r="526">
      <x:c r="A526" s="34" t="n">
        <x:v>522</x:v>
      </x:c>
      <x:c r="B526" s="30" t="str">
        <x:v>줄뮤마</x:v>
      </x:c>
      <x:c r="C526" s="30" t="str">
        <x:v>blitzle</x:v>
      </x:c>
      <x:c r="D526" s="36" t="n">
        <x:v>5</x:v>
      </x:c>
      <x:c r="E526" s="31" t="str">
        <x:v>—</x:v>
      </x:c>
      <x:c r="F526" s="31" t="str">
        <x:v>—</x:v>
      </x:c>
      <x:c r="G526" s="31" t="str">
        <x:v>—</x:v>
      </x:c>
      <x:c r="H526" s="31" t="str">
        <x:v>—</x:v>
      </x:c>
      <x:c r="I526" s="31" t="str">
        <x:v>포함</x:v>
      </x:c>
      <x:c r="J526" s="31" t="str">
        <x:v>—</x:v>
      </x:c>
      <x:c r="K526" s="31" t="str">
        <x:v>—</x:v>
      </x:c>
      <x:c r="L526" s="31" t="str">
        <x:v>—</x:v>
      </x:c>
      <x:c r="M526" s="31" t="str">
        <x:v>포함</x:v>
      </x:c>
    </x:row>
    <x:row r="527">
      <x:c r="A527" s="34" t="n">
        <x:v>523</x:v>
      </x:c>
      <x:c r="B527" s="30" t="str">
        <x:v>제브라이카</x:v>
      </x:c>
      <x:c r="C527" s="30" t="str">
        <x:v>zebstrika</x:v>
      </x:c>
      <x:c r="D527" s="36" t="n">
        <x:v>5</x:v>
      </x:c>
      <x:c r="E527" s="31" t="str">
        <x:v>—</x:v>
      </x:c>
      <x:c r="F527" s="31" t="str">
        <x:v>—</x:v>
      </x:c>
      <x:c r="G527" s="31" t="str">
        <x:v>—</x:v>
      </x:c>
      <x:c r="H527" s="31" t="str">
        <x:v>—</x:v>
      </x:c>
      <x:c r="I527" s="31" t="str">
        <x:v>포함</x:v>
      </x:c>
      <x:c r="J527" s="31" t="str">
        <x:v>—</x:v>
      </x:c>
      <x:c r="K527" s="31" t="str">
        <x:v>—</x:v>
      </x:c>
      <x:c r="L527" s="31" t="str">
        <x:v>—</x:v>
      </x:c>
      <x:c r="M527" s="31" t="str">
        <x:v>포함</x:v>
      </x:c>
    </x:row>
    <x:row r="528">
      <x:c r="A528" s="34" t="n">
        <x:v>524</x:v>
      </x:c>
      <x:c r="B528" s="30" t="str">
        <x:v>단굴</x:v>
      </x:c>
      <x:c r="C528" s="30" t="str">
        <x:v>roggenrola</x:v>
      </x:c>
      <x:c r="D528" s="36" t="n">
        <x:v>5</x:v>
      </x:c>
      <x:c r="E528" s="31" t="str">
        <x:v>—</x:v>
      </x:c>
      <x:c r="F528" s="31" t="str">
        <x:v>—</x:v>
      </x:c>
      <x:c r="G528" s="31" t="str">
        <x:v>—</x:v>
      </x:c>
      <x:c r="H528" s="31" t="str">
        <x:v>—</x:v>
      </x:c>
      <x:c r="I528" s="31" t="str">
        <x:v>포함</x:v>
      </x:c>
      <x:c r="J528" s="31" t="str">
        <x:v>포함</x:v>
      </x:c>
      <x:c r="K528" s="31" t="str">
        <x:v>포함</x:v>
      </x:c>
      <x:c r="L528" s="31" t="str">
        <x:v>포함</x:v>
      </x:c>
      <x:c r="M528" s="31" t="str">
        <x:v>—</x:v>
      </x:c>
    </x:row>
    <x:row r="529">
      <x:c r="A529" s="34" t="n">
        <x:v>525</x:v>
      </x:c>
      <x:c r="B529" s="30" t="str">
        <x:v>암트르</x:v>
      </x:c>
      <x:c r="C529" s="30" t="str">
        <x:v>boldore</x:v>
      </x:c>
      <x:c r="D529" s="36" t="n">
        <x:v>5</x:v>
      </x:c>
      <x:c r="E529" s="31" t="str">
        <x:v>—</x:v>
      </x:c>
      <x:c r="F529" s="31" t="str">
        <x:v>—</x:v>
      </x:c>
      <x:c r="G529" s="31" t="str">
        <x:v>—</x:v>
      </x:c>
      <x:c r="H529" s="31" t="str">
        <x:v>—</x:v>
      </x:c>
      <x:c r="I529" s="31" t="str">
        <x:v>포함</x:v>
      </x:c>
      <x:c r="J529" s="31" t="str">
        <x:v>포함</x:v>
      </x:c>
      <x:c r="K529" s="31" t="str">
        <x:v>포함</x:v>
      </x:c>
      <x:c r="L529" s="31" t="str">
        <x:v>포함</x:v>
      </x:c>
      <x:c r="M529" s="31" t="str">
        <x:v>—</x:v>
      </x:c>
    </x:row>
    <x:row r="530">
      <x:c r="A530" s="34" t="n">
        <x:v>526</x:v>
      </x:c>
      <x:c r="B530" s="30" t="str">
        <x:v>기가이어스</x:v>
      </x:c>
      <x:c r="C530" s="30" t="str">
        <x:v>gigalith</x:v>
      </x:c>
      <x:c r="D530" s="36" t="n">
        <x:v>5</x:v>
      </x:c>
      <x:c r="E530" s="31" t="str">
        <x:v>—</x:v>
      </x:c>
      <x:c r="F530" s="31" t="str">
        <x:v>—</x:v>
      </x:c>
      <x:c r="G530" s="31" t="str">
        <x:v>—</x:v>
      </x:c>
      <x:c r="H530" s="31" t="str">
        <x:v>—</x:v>
      </x:c>
      <x:c r="I530" s="31" t="str">
        <x:v>포함</x:v>
      </x:c>
      <x:c r="J530" s="31" t="str">
        <x:v>포함</x:v>
      </x:c>
      <x:c r="K530" s="31" t="str">
        <x:v>포함</x:v>
      </x:c>
      <x:c r="L530" s="31" t="str">
        <x:v>포함</x:v>
      </x:c>
      <x:c r="M530" s="31" t="str">
        <x:v>—</x:v>
      </x:c>
    </x:row>
    <x:row r="531">
      <x:c r="A531" s="34" t="n">
        <x:v>527</x:v>
      </x:c>
      <x:c r="B531" s="30" t="str">
        <x:v>또르박쥐</x:v>
      </x:c>
      <x:c r="C531" s="30" t="str">
        <x:v>woobat</x:v>
      </x:c>
      <x:c r="D531" s="36" t="n">
        <x:v>5</x:v>
      </x:c>
      <x:c r="E531" s="31" t="str">
        <x:v>—</x:v>
      </x:c>
      <x:c r="F531" s="31" t="str">
        <x:v>—</x:v>
      </x:c>
      <x:c r="G531" s="31" t="str">
        <x:v>—</x:v>
      </x:c>
      <x:c r="H531" s="31" t="str">
        <x:v>—</x:v>
      </x:c>
      <x:c r="I531" s="31" t="str">
        <x:v>포함</x:v>
      </x:c>
      <x:c r="J531" s="31" t="str">
        <x:v>포함</x:v>
      </x:c>
      <x:c r="K531" s="31" t="str">
        <x:v>—</x:v>
      </x:c>
      <x:c r="L531" s="31" t="str">
        <x:v>포함</x:v>
      </x:c>
      <x:c r="M531" s="31" t="str">
        <x:v>—</x:v>
      </x:c>
    </x:row>
    <x:row r="532">
      <x:c r="A532" s="34" t="n">
        <x:v>528</x:v>
      </x:c>
      <x:c r="B532" s="30" t="str">
        <x:v>맘박쥐</x:v>
      </x:c>
      <x:c r="C532" s="30" t="str">
        <x:v>swoobat</x:v>
      </x:c>
      <x:c r="D532" s="36" t="n">
        <x:v>5</x:v>
      </x:c>
      <x:c r="E532" s="31" t="str">
        <x:v>—</x:v>
      </x:c>
      <x:c r="F532" s="31" t="str">
        <x:v>—</x:v>
      </x:c>
      <x:c r="G532" s="31" t="str">
        <x:v>—</x:v>
      </x:c>
      <x:c r="H532" s="31" t="str">
        <x:v>—</x:v>
      </x:c>
      <x:c r="I532" s="31" t="str">
        <x:v>포함</x:v>
      </x:c>
      <x:c r="J532" s="31" t="str">
        <x:v>포함</x:v>
      </x:c>
      <x:c r="K532" s="31" t="str">
        <x:v>—</x:v>
      </x:c>
      <x:c r="L532" s="31" t="str">
        <x:v>포함</x:v>
      </x:c>
      <x:c r="M532" s="31" t="str">
        <x:v>—</x:v>
      </x:c>
    </x:row>
    <x:row r="533">
      <x:c r="A533" s="34" t="n">
        <x:v>529</x:v>
      </x:c>
      <x:c r="B533" s="30" t="str">
        <x:v>두더류</x:v>
      </x:c>
      <x:c r="C533" s="30" t="str">
        <x:v>drilbur</x:v>
      </x:c>
      <x:c r="D533" s="36" t="n">
        <x:v>5</x:v>
      </x:c>
      <x:c r="E533" s="31" t="str">
        <x:v>—</x:v>
      </x:c>
      <x:c r="F533" s="31" t="str">
        <x:v>—</x:v>
      </x:c>
      <x:c r="G533" s="31" t="str">
        <x:v>—</x:v>
      </x:c>
      <x:c r="H533" s="31" t="str">
        <x:v>—</x:v>
      </x:c>
      <x:c r="I533" s="31" t="str">
        <x:v>포함</x:v>
      </x:c>
      <x:c r="J533" s="31" t="str">
        <x:v>—</x:v>
      </x:c>
      <x:c r="K533" s="31" t="str">
        <x:v>—</x:v>
      </x:c>
      <x:c r="L533" s="31" t="str">
        <x:v>포함</x:v>
      </x:c>
      <x:c r="M533" s="31" t="str">
        <x:v>포함</x:v>
      </x:c>
    </x:row>
    <x:row r="534">
      <x:c r="A534" s="34" t="n">
        <x:v>530</x:v>
      </x:c>
      <x:c r="B534" s="30" t="str">
        <x:v>몰드류</x:v>
      </x:c>
      <x:c r="C534" s="30" t="str">
        <x:v>excadrill</x:v>
      </x:c>
      <x:c r="D534" s="36" t="n">
        <x:v>5</x:v>
      </x:c>
      <x:c r="E534" s="31" t="str">
        <x:v>—</x:v>
      </x:c>
      <x:c r="F534" s="31" t="str">
        <x:v>—</x:v>
      </x:c>
      <x:c r="G534" s="31" t="str">
        <x:v>—</x:v>
      </x:c>
      <x:c r="H534" s="31" t="str">
        <x:v>—</x:v>
      </x:c>
      <x:c r="I534" s="31" t="str">
        <x:v>포함</x:v>
      </x:c>
      <x:c r="J534" s="31" t="str">
        <x:v>—</x:v>
      </x:c>
      <x:c r="K534" s="31" t="str">
        <x:v>—</x:v>
      </x:c>
      <x:c r="L534" s="31" t="str">
        <x:v>포함</x:v>
      </x:c>
      <x:c r="M534" s="31" t="str">
        <x:v>포함</x:v>
      </x:c>
    </x:row>
    <x:row r="535">
      <x:c r="A535" s="34" t="n">
        <x:v>531</x:v>
      </x:c>
      <x:c r="B535" s="30" t="str">
        <x:v>다부니</x:v>
      </x:c>
      <x:c r="C535" s="30" t="str">
        <x:v>audino</x:v>
      </x:c>
      <x:c r="D535" s="36" t="n">
        <x:v>5</x:v>
      </x:c>
      <x:c r="E535" s="31" t="str">
        <x:v>—</x:v>
      </x:c>
      <x:c r="F535" s="31" t="str">
        <x:v>—</x:v>
      </x:c>
      <x:c r="G535" s="31" t="str">
        <x:v>—</x:v>
      </x:c>
      <x:c r="H535" s="31" t="str">
        <x:v>—</x:v>
      </x:c>
      <x:c r="I535" s="31" t="str">
        <x:v>포함</x:v>
      </x:c>
      <x:c r="J535" s="31" t="str">
        <x:v>포함</x:v>
      </x:c>
      <x:c r="K535" s="31" t="str">
        <x:v>—</x:v>
      </x:c>
      <x:c r="L535" s="31" t="str">
        <x:v>포함</x:v>
      </x:c>
      <x:c r="M535" s="31" t="str">
        <x:v>—</x:v>
      </x:c>
    </x:row>
    <x:row r="536">
      <x:c r="A536" s="34" t="n">
        <x:v>532</x:v>
      </x:c>
      <x:c r="B536" s="30" t="str">
        <x:v>으랏차</x:v>
      </x:c>
      <x:c r="C536" s="30" t="str">
        <x:v>timburr</x:v>
      </x:c>
      <x:c r="D536" s="36" t="n">
        <x:v>5</x:v>
      </x:c>
      <x:c r="E536" s="31" t="str">
        <x:v>—</x:v>
      </x:c>
      <x:c r="F536" s="31" t="str">
        <x:v>—</x:v>
      </x:c>
      <x:c r="G536" s="31" t="str">
        <x:v>—</x:v>
      </x:c>
      <x:c r="H536" s="31" t="str">
        <x:v>—</x:v>
      </x:c>
      <x:c r="I536" s="31" t="str">
        <x:v>포함</x:v>
      </x:c>
      <x:c r="J536" s="31" t="str">
        <x:v>포함</x:v>
      </x:c>
      <x:c r="K536" s="31" t="str">
        <x:v>—</x:v>
      </x:c>
      <x:c r="L536" s="31" t="str">
        <x:v>포함</x:v>
      </x:c>
      <x:c r="M536" s="31" t="str">
        <x:v>포함</x:v>
      </x:c>
    </x:row>
    <x:row r="537">
      <x:c r="A537" s="34" t="n">
        <x:v>533</x:v>
      </x:c>
      <x:c r="B537" s="30" t="str">
        <x:v>토쇠골</x:v>
      </x:c>
      <x:c r="C537" s="30" t="str">
        <x:v>gurdurr</x:v>
      </x:c>
      <x:c r="D537" s="36" t="n">
        <x:v>5</x:v>
      </x:c>
      <x:c r="E537" s="31" t="str">
        <x:v>—</x:v>
      </x:c>
      <x:c r="F537" s="31" t="str">
        <x:v>—</x:v>
      </x:c>
      <x:c r="G537" s="31" t="str">
        <x:v>—</x:v>
      </x:c>
      <x:c r="H537" s="31" t="str">
        <x:v>—</x:v>
      </x:c>
      <x:c r="I537" s="31" t="str">
        <x:v>포함</x:v>
      </x:c>
      <x:c r="J537" s="31" t="str">
        <x:v>포함</x:v>
      </x:c>
      <x:c r="K537" s="31" t="str">
        <x:v>—</x:v>
      </x:c>
      <x:c r="L537" s="31" t="str">
        <x:v>포함</x:v>
      </x:c>
      <x:c r="M537" s="31" t="str">
        <x:v>포함</x:v>
      </x:c>
    </x:row>
    <x:row r="538">
      <x:c r="A538" s="34" t="n">
        <x:v>534</x:v>
      </x:c>
      <x:c r="B538" s="30" t="str">
        <x:v>노보청</x:v>
      </x:c>
      <x:c r="C538" s="30" t="str">
        <x:v>conkeldurr</x:v>
      </x:c>
      <x:c r="D538" s="36" t="n">
        <x:v>5</x:v>
      </x:c>
      <x:c r="E538" s="31" t="str">
        <x:v>—</x:v>
      </x:c>
      <x:c r="F538" s="31" t="str">
        <x:v>—</x:v>
      </x:c>
      <x:c r="G538" s="31" t="str">
        <x:v>—</x:v>
      </x:c>
      <x:c r="H538" s="31" t="str">
        <x:v>—</x:v>
      </x:c>
      <x:c r="I538" s="31" t="str">
        <x:v>포함</x:v>
      </x:c>
      <x:c r="J538" s="31" t="str">
        <x:v>포함</x:v>
      </x:c>
      <x:c r="K538" s="31" t="str">
        <x:v>—</x:v>
      </x:c>
      <x:c r="L538" s="31" t="str">
        <x:v>포함</x:v>
      </x:c>
      <x:c r="M538" s="31" t="str">
        <x:v>포함</x:v>
      </x:c>
    </x:row>
    <x:row r="539">
      <x:c r="A539" s="34" t="n">
        <x:v>535</x:v>
      </x:c>
      <x:c r="B539" s="30" t="str">
        <x:v>동챙이</x:v>
      </x:c>
      <x:c r="C539" s="30" t="str">
        <x:v>tympole</x:v>
      </x:c>
      <x:c r="D539" s="36" t="n">
        <x:v>5</x:v>
      </x:c>
      <x:c r="E539" s="31" t="str">
        <x:v>—</x:v>
      </x:c>
      <x:c r="F539" s="31" t="str">
        <x:v>—</x:v>
      </x:c>
      <x:c r="G539" s="31" t="str">
        <x:v>—</x:v>
      </x:c>
      <x:c r="H539" s="31" t="str">
        <x:v>—</x:v>
      </x:c>
      <x:c r="I539" s="31" t="str">
        <x:v>포함</x:v>
      </x:c>
      <x:c r="J539" s="31" t="str">
        <x:v>—</x:v>
      </x:c>
      <x:c r="K539" s="31" t="str">
        <x:v>—</x:v>
      </x:c>
      <x:c r="L539" s="31" t="str">
        <x:v>포함</x:v>
      </x:c>
      <x:c r="M539" s="31" t="str">
        <x:v>—</x:v>
      </x:c>
    </x:row>
    <x:row r="540">
      <x:c r="A540" s="34" t="n">
        <x:v>536</x:v>
      </x:c>
      <x:c r="B540" s="30" t="str">
        <x:v>두까비</x:v>
      </x:c>
      <x:c r="C540" s="30" t="str">
        <x:v>palpitoad</x:v>
      </x:c>
      <x:c r="D540" s="36" t="n">
        <x:v>5</x:v>
      </x:c>
      <x:c r="E540" s="31" t="str">
        <x:v>—</x:v>
      </x:c>
      <x:c r="F540" s="31" t="str">
        <x:v>—</x:v>
      </x:c>
      <x:c r="G540" s="31" t="str">
        <x:v>—</x:v>
      </x:c>
      <x:c r="H540" s="31" t="str">
        <x:v>—</x:v>
      </x:c>
      <x:c r="I540" s="31" t="str">
        <x:v>포함</x:v>
      </x:c>
      <x:c r="J540" s="31" t="str">
        <x:v>—</x:v>
      </x:c>
      <x:c r="K540" s="31" t="str">
        <x:v>—</x:v>
      </x:c>
      <x:c r="L540" s="31" t="str">
        <x:v>포함</x:v>
      </x:c>
      <x:c r="M540" s="31" t="str">
        <x:v>—</x:v>
      </x:c>
    </x:row>
    <x:row r="541">
      <x:c r="A541" s="34" t="n">
        <x:v>537</x:v>
      </x:c>
      <x:c r="B541" s="30" t="str">
        <x:v>두빅굴</x:v>
      </x:c>
      <x:c r="C541" s="30" t="str">
        <x:v>seismitoad</x:v>
      </x:c>
      <x:c r="D541" s="36" t="n">
        <x:v>5</x:v>
      </x:c>
      <x:c r="E541" s="31" t="str">
        <x:v>—</x:v>
      </x:c>
      <x:c r="F541" s="31" t="str">
        <x:v>—</x:v>
      </x:c>
      <x:c r="G541" s="31" t="str">
        <x:v>—</x:v>
      </x:c>
      <x:c r="H541" s="31" t="str">
        <x:v>—</x:v>
      </x:c>
      <x:c r="I541" s="31" t="str">
        <x:v>포함</x:v>
      </x:c>
      <x:c r="J541" s="31" t="str">
        <x:v>—</x:v>
      </x:c>
      <x:c r="K541" s="31" t="str">
        <x:v>—</x:v>
      </x:c>
      <x:c r="L541" s="31" t="str">
        <x:v>포함</x:v>
      </x:c>
      <x:c r="M541" s="31" t="str">
        <x:v>—</x:v>
      </x:c>
    </x:row>
    <x:row r="542">
      <x:c r="A542" s="34" t="n">
        <x:v>538</x:v>
      </x:c>
      <x:c r="B542" s="30" t="str">
        <x:v>던지미</x:v>
      </x:c>
      <x:c r="C542" s="30" t="str">
        <x:v>throh</x:v>
      </x:c>
      <x:c r="D542" s="36" t="n">
        <x:v>5</x:v>
      </x:c>
      <x:c r="E542" s="31" t="str">
        <x:v>—</x:v>
      </x:c>
      <x:c r="F542" s="31" t="str">
        <x:v>—</x:v>
      </x:c>
      <x:c r="G542" s="31" t="str">
        <x:v>—</x:v>
      </x:c>
      <x:c r="H542" s="31" t="str">
        <x:v>—</x:v>
      </x:c>
      <x:c r="I542" s="31" t="str">
        <x:v>포함</x:v>
      </x:c>
      <x:c r="J542" s="31" t="str">
        <x:v>포함</x:v>
      </x:c>
      <x:c r="K542" s="31" t="str">
        <x:v>—</x:v>
      </x:c>
      <x:c r="L542" s="31" t="str">
        <x:v>포함</x:v>
      </x:c>
      <x:c r="M542" s="31" t="str">
        <x:v>—</x:v>
      </x:c>
    </x:row>
    <x:row r="543">
      <x:c r="A543" s="34" t="n">
        <x:v>539</x:v>
      </x:c>
      <x:c r="B543" s="30" t="str">
        <x:v>타격귀</x:v>
      </x:c>
      <x:c r="C543" s="30" t="str">
        <x:v>sawk</x:v>
      </x:c>
      <x:c r="D543" s="36" t="n">
        <x:v>5</x:v>
      </x:c>
      <x:c r="E543" s="31" t="str">
        <x:v>—</x:v>
      </x:c>
      <x:c r="F543" s="31" t="str">
        <x:v>—</x:v>
      </x:c>
      <x:c r="G543" s="31" t="str">
        <x:v>—</x:v>
      </x:c>
      <x:c r="H543" s="31" t="str">
        <x:v>—</x:v>
      </x:c>
      <x:c r="I543" s="31" t="str">
        <x:v>포함</x:v>
      </x:c>
      <x:c r="J543" s="31" t="str">
        <x:v>포함</x:v>
      </x:c>
      <x:c r="K543" s="31" t="str">
        <x:v>—</x:v>
      </x:c>
      <x:c r="L543" s="31" t="str">
        <x:v>포함</x:v>
      </x:c>
      <x:c r="M543" s="31" t="str">
        <x:v>—</x:v>
      </x:c>
    </x:row>
    <x:row r="544">
      <x:c r="A544" s="34" t="n">
        <x:v>540</x:v>
      </x:c>
      <x:c r="B544" s="30" t="str">
        <x:v>두르보</x:v>
      </x:c>
      <x:c r="C544" s="30" t="str">
        <x:v>sewaddle</x:v>
      </x:c>
      <x:c r="D544" s="36" t="n">
        <x:v>5</x:v>
      </x:c>
      <x:c r="E544" s="31" t="str">
        <x:v>—</x:v>
      </x:c>
      <x:c r="F544" s="31" t="str">
        <x:v>—</x:v>
      </x:c>
      <x:c r="G544" s="31" t="str">
        <x:v>—</x:v>
      </x:c>
      <x:c r="H544" s="31" t="str">
        <x:v>—</x:v>
      </x:c>
      <x:c r="I544" s="31" t="str">
        <x:v>포함</x:v>
      </x:c>
      <x:c r="J544" s="31" t="str">
        <x:v>—</x:v>
      </x:c>
      <x:c r="K544" s="31" t="str">
        <x:v>—</x:v>
      </x:c>
      <x:c r="L544" s="31" t="str">
        <x:v>—</x:v>
      </x:c>
      <x:c r="M544" s="31" t="str">
        <x:v>포함</x:v>
      </x:c>
    </x:row>
    <x:row r="545">
      <x:c r="A545" s="34" t="n">
        <x:v>541</x:v>
      </x:c>
      <x:c r="B545" s="30" t="str">
        <x:v>두르쿤</x:v>
      </x:c>
      <x:c r="C545" s="30" t="str">
        <x:v>swadloon</x:v>
      </x:c>
      <x:c r="D545" s="36" t="n">
        <x:v>5</x:v>
      </x:c>
      <x:c r="E545" s="31" t="str">
        <x:v>—</x:v>
      </x:c>
      <x:c r="F545" s="31" t="str">
        <x:v>—</x:v>
      </x:c>
      <x:c r="G545" s="31" t="str">
        <x:v>—</x:v>
      </x:c>
      <x:c r="H545" s="31" t="str">
        <x:v>—</x:v>
      </x:c>
      <x:c r="I545" s="31" t="str">
        <x:v>포함</x:v>
      </x:c>
      <x:c r="J545" s="31" t="str">
        <x:v>—</x:v>
      </x:c>
      <x:c r="K545" s="31" t="str">
        <x:v>—</x:v>
      </x:c>
      <x:c r="L545" s="31" t="str">
        <x:v>—</x:v>
      </x:c>
      <x:c r="M545" s="31" t="str">
        <x:v>포함</x:v>
      </x:c>
    </x:row>
    <x:row r="546">
      <x:c r="A546" s="34" t="n">
        <x:v>542</x:v>
      </x:c>
      <x:c r="B546" s="30" t="str">
        <x:v>모아머</x:v>
      </x:c>
      <x:c r="C546" s="30" t="str">
        <x:v>leavanny</x:v>
      </x:c>
      <x:c r="D546" s="36" t="n">
        <x:v>5</x:v>
      </x:c>
      <x:c r="E546" s="31" t="str">
        <x:v>—</x:v>
      </x:c>
      <x:c r="F546" s="31" t="str">
        <x:v>—</x:v>
      </x:c>
      <x:c r="G546" s="31" t="str">
        <x:v>—</x:v>
      </x:c>
      <x:c r="H546" s="31" t="str">
        <x:v>—</x:v>
      </x:c>
      <x:c r="I546" s="31" t="str">
        <x:v>포함</x:v>
      </x:c>
      <x:c r="J546" s="31" t="str">
        <x:v>—</x:v>
      </x:c>
      <x:c r="K546" s="31" t="str">
        <x:v>—</x:v>
      </x:c>
      <x:c r="L546" s="31" t="str">
        <x:v>—</x:v>
      </x:c>
      <x:c r="M546" s="31" t="str">
        <x:v>포함</x:v>
      </x:c>
    </x:row>
    <x:row r="547">
      <x:c r="A547" s="34" t="n">
        <x:v>543</x:v>
      </x:c>
      <x:c r="B547" s="30" t="str">
        <x:v>마디네</x:v>
      </x:c>
      <x:c r="C547" s="30" t="str">
        <x:v>venipede</x:v>
      </x:c>
      <x:c r="D547" s="36" t="n">
        <x:v>5</x:v>
      </x:c>
      <x:c r="E547" s="31" t="str">
        <x:v>—</x:v>
      </x:c>
      <x:c r="F547" s="31" t="str">
        <x:v>—</x:v>
      </x:c>
      <x:c r="G547" s="31" t="str">
        <x:v>—</x:v>
      </x:c>
      <x:c r="H547" s="31" t="str">
        <x:v>—</x:v>
      </x:c>
      <x:c r="I547" s="31" t="str">
        <x:v>포함</x:v>
      </x:c>
      <x:c r="J547" s="31" t="str">
        <x:v>포함</x:v>
      </x:c>
      <x:c r="K547" s="31" t="str">
        <x:v>—</x:v>
      </x:c>
      <x:c r="L547" s="31" t="str">
        <x:v>포함</x:v>
      </x:c>
      <x:c r="M547" s="31" t="str">
        <x:v>—</x:v>
      </x:c>
    </x:row>
    <x:row r="548">
      <x:c r="A548" s="34" t="n">
        <x:v>544</x:v>
      </x:c>
      <x:c r="B548" s="30" t="str">
        <x:v>휠구</x:v>
      </x:c>
      <x:c r="C548" s="30" t="str">
        <x:v>whirlipede</x:v>
      </x:c>
      <x:c r="D548" s="36" t="n">
        <x:v>5</x:v>
      </x:c>
      <x:c r="E548" s="31" t="str">
        <x:v>—</x:v>
      </x:c>
      <x:c r="F548" s="31" t="str">
        <x:v>—</x:v>
      </x:c>
      <x:c r="G548" s="31" t="str">
        <x:v>—</x:v>
      </x:c>
      <x:c r="H548" s="31" t="str">
        <x:v>—</x:v>
      </x:c>
      <x:c r="I548" s="31" t="str">
        <x:v>포함</x:v>
      </x:c>
      <x:c r="J548" s="31" t="str">
        <x:v>포함</x:v>
      </x:c>
      <x:c r="K548" s="31" t="str">
        <x:v>—</x:v>
      </x:c>
      <x:c r="L548" s="31" t="str">
        <x:v>포함</x:v>
      </x:c>
      <x:c r="M548" s="31" t="str">
        <x:v>—</x:v>
      </x:c>
    </x:row>
    <x:row r="549">
      <x:c r="A549" s="34" t="n">
        <x:v>545</x:v>
      </x:c>
      <x:c r="B549" s="30" t="str">
        <x:v>펜드라</x:v>
      </x:c>
      <x:c r="C549" s="30" t="str">
        <x:v>scolipede</x:v>
      </x:c>
      <x:c r="D549" s="36" t="n">
        <x:v>5</x:v>
      </x:c>
      <x:c r="E549" s="31" t="str">
        <x:v>—</x:v>
      </x:c>
      <x:c r="F549" s="31" t="str">
        <x:v>—</x:v>
      </x:c>
      <x:c r="G549" s="31" t="str">
        <x:v>—</x:v>
      </x:c>
      <x:c r="H549" s="31" t="str">
        <x:v>—</x:v>
      </x:c>
      <x:c r="I549" s="31" t="str">
        <x:v>포함</x:v>
      </x:c>
      <x:c r="J549" s="31" t="str">
        <x:v>포함</x:v>
      </x:c>
      <x:c r="K549" s="31" t="str">
        <x:v>—</x:v>
      </x:c>
      <x:c r="L549" s="31" t="str">
        <x:v>포함</x:v>
      </x:c>
      <x:c r="M549" s="31" t="str">
        <x:v>—</x:v>
      </x:c>
    </x:row>
    <x:row r="550">
      <x:c r="A550" s="34" t="n">
        <x:v>546</x:v>
      </x:c>
      <x:c r="B550" s="30" t="str">
        <x:v>소미안</x:v>
      </x:c>
      <x:c r="C550" s="30" t="str">
        <x:v>cottonee</x:v>
      </x:c>
      <x:c r="D550" s="36" t="n">
        <x:v>5</x:v>
      </x:c>
      <x:c r="E550" s="31" t="str">
        <x:v>—</x:v>
      </x:c>
      <x:c r="F550" s="31" t="str">
        <x:v>—</x:v>
      </x:c>
      <x:c r="G550" s="31" t="str">
        <x:v>—</x:v>
      </x:c>
      <x:c r="H550" s="31" t="str">
        <x:v>—</x:v>
      </x:c>
      <x:c r="I550" s="31" t="str">
        <x:v>포함</x:v>
      </x:c>
      <x:c r="J550" s="31" t="str">
        <x:v>—</x:v>
      </x:c>
      <x:c r="K550" s="31" t="str">
        <x:v>포함</x:v>
      </x:c>
      <x:c r="L550" s="31" t="str">
        <x:v>포함</x:v>
      </x:c>
      <x:c r="M550" s="31" t="str">
        <x:v>포함</x:v>
      </x:c>
    </x:row>
    <x:row r="551">
      <x:c r="A551" s="34" t="n">
        <x:v>547</x:v>
      </x:c>
      <x:c r="B551" s="30" t="str">
        <x:v>엘풍</x:v>
      </x:c>
      <x:c r="C551" s="30" t="str">
        <x:v>whimsicott</x:v>
      </x:c>
      <x:c r="D551" s="36" t="n">
        <x:v>5</x:v>
      </x:c>
      <x:c r="E551" s="31" t="str">
        <x:v>—</x:v>
      </x:c>
      <x:c r="F551" s="31" t="str">
        <x:v>—</x:v>
      </x:c>
      <x:c r="G551" s="31" t="str">
        <x:v>—</x:v>
      </x:c>
      <x:c r="H551" s="31" t="str">
        <x:v>—</x:v>
      </x:c>
      <x:c r="I551" s="31" t="str">
        <x:v>포함</x:v>
      </x:c>
      <x:c r="J551" s="31" t="str">
        <x:v>—</x:v>
      </x:c>
      <x:c r="K551" s="31" t="str">
        <x:v>포함</x:v>
      </x:c>
      <x:c r="L551" s="31" t="str">
        <x:v>포함</x:v>
      </x:c>
      <x:c r="M551" s="31" t="str">
        <x:v>포함</x:v>
      </x:c>
    </x:row>
    <x:row r="552">
      <x:c r="A552" s="34" t="n">
        <x:v>548</x:v>
      </x:c>
      <x:c r="B552" s="30" t="str">
        <x:v>치릴리</x:v>
      </x:c>
      <x:c r="C552" s="30" t="str">
        <x:v>petilil</x:v>
      </x:c>
      <x:c r="D552" s="36" t="n">
        <x:v>5</x:v>
      </x:c>
      <x:c r="E552" s="31" t="str">
        <x:v>—</x:v>
      </x:c>
      <x:c r="F552" s="31" t="str">
        <x:v>—</x:v>
      </x:c>
      <x:c r="G552" s="31" t="str">
        <x:v>—</x:v>
      </x:c>
      <x:c r="H552" s="31" t="str">
        <x:v>—</x:v>
      </x:c>
      <x:c r="I552" s="31" t="str">
        <x:v>포함</x:v>
      </x:c>
      <x:c r="J552" s="31" t="str">
        <x:v>—</x:v>
      </x:c>
      <x:c r="K552" s="31" t="str">
        <x:v>포함</x:v>
      </x:c>
      <x:c r="L552" s="31" t="str">
        <x:v>포함</x:v>
      </x:c>
      <x:c r="M552" s="31" t="str">
        <x:v>포함</x:v>
      </x:c>
    </x:row>
    <x:row r="553">
      <x:c r="A553" s="34" t="n">
        <x:v>549</x:v>
      </x:c>
      <x:c r="B553" s="30" t="str">
        <x:v>드레디어</x:v>
      </x:c>
      <x:c r="C553" s="30" t="str">
        <x:v>lilligant</x:v>
      </x:c>
      <x:c r="D553" s="36" t="n">
        <x:v>5</x:v>
      </x:c>
      <x:c r="E553" s="31" t="str">
        <x:v>—</x:v>
      </x:c>
      <x:c r="F553" s="31" t="str">
        <x:v>—</x:v>
      </x:c>
      <x:c r="G553" s="31" t="str">
        <x:v>—</x:v>
      </x:c>
      <x:c r="H553" s="31" t="str">
        <x:v>—</x:v>
      </x:c>
      <x:c r="I553" s="31" t="str">
        <x:v>포함</x:v>
      </x:c>
      <x:c r="J553" s="31" t="str">
        <x:v>—</x:v>
      </x:c>
      <x:c r="K553" s="31" t="str">
        <x:v>포함</x:v>
      </x:c>
      <x:c r="L553" s="31" t="str">
        <x:v>포함</x:v>
      </x:c>
      <x:c r="M553" s="31" t="str">
        <x:v>포함</x:v>
      </x:c>
    </x:row>
    <x:row r="554">
      <x:c r="A554" s="34" t="n">
        <x:v>550</x:v>
      </x:c>
      <x:c r="B554" s="30" t="str">
        <x:v>배쓰나이</x:v>
      </x:c>
      <x:c r="C554" s="30" t="str">
        <x:v>basculin</x:v>
      </x:c>
      <x:c r="D554" s="36" t="n">
        <x:v>5</x:v>
      </x:c>
      <x:c r="E554" s="31" t="str">
        <x:v>—</x:v>
      </x:c>
      <x:c r="F554" s="31" t="str">
        <x:v>—</x:v>
      </x:c>
      <x:c r="G554" s="31" t="str">
        <x:v>—</x:v>
      </x:c>
      <x:c r="H554" s="31" t="str">
        <x:v>—</x:v>
      </x:c>
      <x:c r="I554" s="31" t="str">
        <x:v>포함</x:v>
      </x:c>
      <x:c r="J554" s="31" t="str">
        <x:v>포함</x:v>
      </x:c>
      <x:c r="K554" s="31" t="str">
        <x:v>포함</x:v>
      </x:c>
      <x:c r="L554" s="31" t="str">
        <x:v>포함</x:v>
      </x:c>
      <x:c r="M554" s="31" t="str">
        <x:v>포함</x:v>
      </x:c>
    </x:row>
    <x:row r="555">
      <x:c r="A555" s="34" t="n">
        <x:v>551</x:v>
      </x:c>
      <x:c r="B555" s="30" t="str">
        <x:v>깜눈크</x:v>
      </x:c>
      <x:c r="C555" s="30" t="str">
        <x:v>sandile</x:v>
      </x:c>
      <x:c r="D555" s="36" t="n">
        <x:v>5</x:v>
      </x:c>
      <x:c r="E555" s="31" t="str">
        <x:v>—</x:v>
      </x:c>
      <x:c r="F555" s="31" t="str">
        <x:v>—</x:v>
      </x:c>
      <x:c r="G555" s="31" t="str">
        <x:v>—</x:v>
      </x:c>
      <x:c r="H555" s="31" t="str">
        <x:v>—</x:v>
      </x:c>
      <x:c r="I555" s="31" t="str">
        <x:v>포함</x:v>
      </x:c>
      <x:c r="J555" s="31" t="str">
        <x:v>포함</x:v>
      </x:c>
      <x:c r="K555" s="31" t="str">
        <x:v>포함</x:v>
      </x:c>
      <x:c r="L555" s="31" t="str">
        <x:v>포함</x:v>
      </x:c>
      <x:c r="M555" s="31" t="str">
        <x:v>포함</x:v>
      </x:c>
    </x:row>
    <x:row r="556">
      <x:c r="A556" s="34" t="n">
        <x:v>552</x:v>
      </x:c>
      <x:c r="B556" s="30" t="str">
        <x:v>악비르</x:v>
      </x:c>
      <x:c r="C556" s="30" t="str">
        <x:v>krokorok</x:v>
      </x:c>
      <x:c r="D556" s="36" t="n">
        <x:v>5</x:v>
      </x:c>
      <x:c r="E556" s="31" t="str">
        <x:v>—</x:v>
      </x:c>
      <x:c r="F556" s="31" t="str">
        <x:v>—</x:v>
      </x:c>
      <x:c r="G556" s="31" t="str">
        <x:v>—</x:v>
      </x:c>
      <x:c r="H556" s="31" t="str">
        <x:v>—</x:v>
      </x:c>
      <x:c r="I556" s="31" t="str">
        <x:v>포함</x:v>
      </x:c>
      <x:c r="J556" s="31" t="str">
        <x:v>포함</x:v>
      </x:c>
      <x:c r="K556" s="31" t="str">
        <x:v>포함</x:v>
      </x:c>
      <x:c r="L556" s="31" t="str">
        <x:v>포함</x:v>
      </x:c>
      <x:c r="M556" s="31" t="str">
        <x:v>포함</x:v>
      </x:c>
    </x:row>
    <x:row r="557">
      <x:c r="A557" s="34" t="n">
        <x:v>553</x:v>
      </x:c>
      <x:c r="B557" s="30" t="str">
        <x:v>악비아르</x:v>
      </x:c>
      <x:c r="C557" s="30" t="str">
        <x:v>krookodile</x:v>
      </x:c>
      <x:c r="D557" s="36" t="n">
        <x:v>5</x:v>
      </x:c>
      <x:c r="E557" s="31" t="str">
        <x:v>—</x:v>
      </x:c>
      <x:c r="F557" s="31" t="str">
        <x:v>—</x:v>
      </x:c>
      <x:c r="G557" s="31" t="str">
        <x:v>—</x:v>
      </x:c>
      <x:c r="H557" s="31" t="str">
        <x:v>—</x:v>
      </x:c>
      <x:c r="I557" s="31" t="str">
        <x:v>포함</x:v>
      </x:c>
      <x:c r="J557" s="31" t="str">
        <x:v>포함</x:v>
      </x:c>
      <x:c r="K557" s="31" t="str">
        <x:v>포함</x:v>
      </x:c>
      <x:c r="L557" s="31" t="str">
        <x:v>포함</x:v>
      </x:c>
      <x:c r="M557" s="31" t="str">
        <x:v>포함</x:v>
      </x:c>
    </x:row>
    <x:row r="558">
      <x:c r="A558" s="34" t="n">
        <x:v>554</x:v>
      </x:c>
      <x:c r="B558" s="30" t="str">
        <x:v>달막화</x:v>
      </x:c>
      <x:c r="C558" s="30" t="str">
        <x:v>darumaka</x:v>
      </x:c>
      <x:c r="D558" s="36" t="n">
        <x:v>5</x:v>
      </x:c>
      <x:c r="E558" s="31" t="str">
        <x:v>—</x:v>
      </x:c>
      <x:c r="F558" s="31" t="str">
        <x:v>—</x:v>
      </x:c>
      <x:c r="G558" s="31" t="str">
        <x:v>—</x:v>
      </x:c>
      <x:c r="H558" s="31" t="str">
        <x:v>—</x:v>
      </x:c>
      <x:c r="I558" s="31" t="str">
        <x:v>포함</x:v>
      </x:c>
      <x:c r="J558" s="31" t="str">
        <x:v>—</x:v>
      </x:c>
      <x:c r="K558" s="31" t="str">
        <x:v>—</x:v>
      </x:c>
      <x:c r="L558" s="31" t="str">
        <x:v>포함</x:v>
      </x:c>
      <x:c r="M558" s="31" t="str">
        <x:v>—</x:v>
      </x:c>
    </x:row>
    <x:row r="559">
      <x:c r="A559" s="34" t="n">
        <x:v>555</x:v>
      </x:c>
      <x:c r="B559" s="30" t="str">
        <x:v>불비달마</x:v>
      </x:c>
      <x:c r="C559" s="30" t="str">
        <x:v>darmanitan</x:v>
      </x:c>
      <x:c r="D559" s="36" t="n">
        <x:v>5</x:v>
      </x:c>
      <x:c r="E559" s="31" t="str">
        <x:v>—</x:v>
      </x:c>
      <x:c r="F559" s="31" t="str">
        <x:v>—</x:v>
      </x:c>
      <x:c r="G559" s="31" t="str">
        <x:v>—</x:v>
      </x:c>
      <x:c r="H559" s="31" t="str">
        <x:v>—</x:v>
      </x:c>
      <x:c r="I559" s="31" t="str">
        <x:v>포함</x:v>
      </x:c>
      <x:c r="J559" s="31" t="str">
        <x:v>—</x:v>
      </x:c>
      <x:c r="K559" s="31" t="str">
        <x:v>—</x:v>
      </x:c>
      <x:c r="L559" s="31" t="str">
        <x:v>포함</x:v>
      </x:c>
      <x:c r="M559" s="31" t="str">
        <x:v>—</x:v>
      </x:c>
    </x:row>
    <x:row r="560">
      <x:c r="A560" s="34" t="n">
        <x:v>556</x:v>
      </x:c>
      <x:c r="B560" s="30" t="str">
        <x:v>마라카치</x:v>
      </x:c>
      <x:c r="C560" s="30" t="str">
        <x:v>maractus</x:v>
      </x:c>
      <x:c r="D560" s="36" t="n">
        <x:v>5</x:v>
      </x:c>
      <x:c r="E560" s="31" t="str">
        <x:v>—</x:v>
      </x:c>
      <x:c r="F560" s="31" t="str">
        <x:v>—</x:v>
      </x:c>
      <x:c r="G560" s="31" t="str">
        <x:v>—</x:v>
      </x:c>
      <x:c r="H560" s="31" t="str">
        <x:v>—</x:v>
      </x:c>
      <x:c r="I560" s="31" t="str">
        <x:v>포함</x:v>
      </x:c>
      <x:c r="J560" s="31" t="str">
        <x:v>—</x:v>
      </x:c>
      <x:c r="K560" s="31" t="str">
        <x:v>—</x:v>
      </x:c>
      <x:c r="L560" s="31" t="str">
        <x:v>포함</x:v>
      </x:c>
      <x:c r="M560" s="31" t="str">
        <x:v>—</x:v>
      </x:c>
    </x:row>
    <x:row r="561">
      <x:c r="A561" s="34" t="n">
        <x:v>557</x:v>
      </x:c>
      <x:c r="B561" s="30" t="str">
        <x:v>돌살이</x:v>
      </x:c>
      <x:c r="C561" s="30" t="str">
        <x:v>dwebble</x:v>
      </x:c>
      <x:c r="D561" s="36" t="n">
        <x:v>5</x:v>
      </x:c>
      <x:c r="E561" s="31" t="str">
        <x:v>—</x:v>
      </x:c>
      <x:c r="F561" s="31" t="str">
        <x:v>—</x:v>
      </x:c>
      <x:c r="G561" s="31" t="str">
        <x:v>—</x:v>
      </x:c>
      <x:c r="H561" s="31" t="str">
        <x:v>—</x:v>
      </x:c>
      <x:c r="I561" s="31" t="str">
        <x:v>포함</x:v>
      </x:c>
      <x:c r="J561" s="31" t="str">
        <x:v>포함</x:v>
      </x:c>
      <x:c r="K561" s="31" t="str">
        <x:v>—</x:v>
      </x:c>
      <x:c r="L561" s="31" t="str">
        <x:v>포함</x:v>
      </x:c>
      <x:c r="M561" s="31" t="str">
        <x:v>—</x:v>
      </x:c>
    </x:row>
    <x:row r="562">
      <x:c r="A562" s="34" t="n">
        <x:v>558</x:v>
      </x:c>
      <x:c r="B562" s="30" t="str">
        <x:v>암팰리스</x:v>
      </x:c>
      <x:c r="C562" s="30" t="str">
        <x:v>crustle</x:v>
      </x:c>
      <x:c r="D562" s="36" t="n">
        <x:v>5</x:v>
      </x:c>
      <x:c r="E562" s="31" t="str">
        <x:v>—</x:v>
      </x:c>
      <x:c r="F562" s="31" t="str">
        <x:v>—</x:v>
      </x:c>
      <x:c r="G562" s="31" t="str">
        <x:v>—</x:v>
      </x:c>
      <x:c r="H562" s="31" t="str">
        <x:v>—</x:v>
      </x:c>
      <x:c r="I562" s="31" t="str">
        <x:v>포함</x:v>
      </x:c>
      <x:c r="J562" s="31" t="str">
        <x:v>포함</x:v>
      </x:c>
      <x:c r="K562" s="31" t="str">
        <x:v>—</x:v>
      </x:c>
      <x:c r="L562" s="31" t="str">
        <x:v>포함</x:v>
      </x:c>
      <x:c r="M562" s="31" t="str">
        <x:v>—</x:v>
      </x:c>
    </x:row>
    <x:row r="563">
      <x:c r="A563" s="34" t="n">
        <x:v>559</x:v>
      </x:c>
      <x:c r="B563" s="30" t="str">
        <x:v>곤율랭</x:v>
      </x:c>
      <x:c r="C563" s="30" t="str">
        <x:v>scraggy</x:v>
      </x:c>
      <x:c r="D563" s="36" t="n">
        <x:v>5</x:v>
      </x:c>
      <x:c r="E563" s="31" t="str">
        <x:v>—</x:v>
      </x:c>
      <x:c r="F563" s="31" t="str">
        <x:v>—</x:v>
      </x:c>
      <x:c r="G563" s="31" t="str">
        <x:v>—</x:v>
      </x:c>
      <x:c r="H563" s="31" t="str">
        <x:v>—</x:v>
      </x:c>
      <x:c r="I563" s="31" t="str">
        <x:v>포함</x:v>
      </x:c>
      <x:c r="J563" s="31" t="str">
        <x:v>포함</x:v>
      </x:c>
      <x:c r="K563" s="31" t="str">
        <x:v>포함</x:v>
      </x:c>
      <x:c r="L563" s="31" t="str">
        <x:v>포함</x:v>
      </x:c>
      <x:c r="M563" s="31" t="str">
        <x:v>포함</x:v>
      </x:c>
    </x:row>
    <x:row r="564">
      <x:c r="A564" s="34" t="n">
        <x:v>560</x:v>
      </x:c>
      <x:c r="B564" s="30" t="str">
        <x:v>곤율거니</x:v>
      </x:c>
      <x:c r="C564" s="30" t="str">
        <x:v>scrafty</x:v>
      </x:c>
      <x:c r="D564" s="36" t="n">
        <x:v>5</x:v>
      </x:c>
      <x:c r="E564" s="31" t="str">
        <x:v>—</x:v>
      </x:c>
      <x:c r="F564" s="31" t="str">
        <x:v>—</x:v>
      </x:c>
      <x:c r="G564" s="31" t="str">
        <x:v>—</x:v>
      </x:c>
      <x:c r="H564" s="31" t="str">
        <x:v>—</x:v>
      </x:c>
      <x:c r="I564" s="31" t="str">
        <x:v>포함</x:v>
      </x:c>
      <x:c r="J564" s="31" t="str">
        <x:v>포함</x:v>
      </x:c>
      <x:c r="K564" s="31" t="str">
        <x:v>포함</x:v>
      </x:c>
      <x:c r="L564" s="31" t="str">
        <x:v>포함</x:v>
      </x:c>
      <x:c r="M564" s="31" t="str">
        <x:v>포함</x:v>
      </x:c>
    </x:row>
    <x:row r="565">
      <x:c r="A565" s="34" t="n">
        <x:v>561</x:v>
      </x:c>
      <x:c r="B565" s="30" t="str">
        <x:v>심보러</x:v>
      </x:c>
      <x:c r="C565" s="30" t="str">
        <x:v>sigilyph</x:v>
      </x:c>
      <x:c r="D565" s="36" t="n">
        <x:v>5</x:v>
      </x:c>
      <x:c r="E565" s="31" t="str">
        <x:v>—</x:v>
      </x:c>
      <x:c r="F565" s="31" t="str">
        <x:v>—</x:v>
      </x:c>
      <x:c r="G565" s="31" t="str">
        <x:v>—</x:v>
      </x:c>
      <x:c r="H565" s="31" t="str">
        <x:v>—</x:v>
      </x:c>
      <x:c r="I565" s="31" t="str">
        <x:v>포함</x:v>
      </x:c>
      <x:c r="J565" s="31" t="str">
        <x:v>포함</x:v>
      </x:c>
      <x:c r="K565" s="31" t="str">
        <x:v>—</x:v>
      </x:c>
      <x:c r="L565" s="31" t="str">
        <x:v>포함</x:v>
      </x:c>
      <x:c r="M565" s="31" t="str">
        <x:v>—</x:v>
      </x:c>
    </x:row>
    <x:row r="566">
      <x:c r="A566" s="34" t="n">
        <x:v>562</x:v>
      </x:c>
      <x:c r="B566" s="30" t="str">
        <x:v>데스마스</x:v>
      </x:c>
      <x:c r="C566" s="30" t="str">
        <x:v>yamask</x:v>
      </x:c>
      <x:c r="D566" s="36" t="n">
        <x:v>5</x:v>
      </x:c>
      <x:c r="E566" s="31" t="str">
        <x:v>—</x:v>
      </x:c>
      <x:c r="F566" s="31" t="str">
        <x:v>—</x:v>
      </x:c>
      <x:c r="G566" s="31" t="str">
        <x:v>—</x:v>
      </x:c>
      <x:c r="H566" s="31" t="str">
        <x:v>—</x:v>
      </x:c>
      <x:c r="I566" s="31" t="str">
        <x:v>포함</x:v>
      </x:c>
      <x:c r="J566" s="31" t="str">
        <x:v>—</x:v>
      </x:c>
      <x:c r="K566" s="31" t="str">
        <x:v>—</x:v>
      </x:c>
      <x:c r="L566" s="31" t="str">
        <x:v>포함</x:v>
      </x:c>
      <x:c r="M566" s="31" t="str">
        <x:v>—</x:v>
      </x:c>
    </x:row>
    <x:row r="567">
      <x:c r="A567" s="34" t="n">
        <x:v>563</x:v>
      </x:c>
      <x:c r="B567" s="30" t="str">
        <x:v>데스니칸</x:v>
      </x:c>
      <x:c r="C567" s="30" t="str">
        <x:v>cofagrigus</x:v>
      </x:c>
      <x:c r="D567" s="36" t="n">
        <x:v>5</x:v>
      </x:c>
      <x:c r="E567" s="31" t="str">
        <x:v>—</x:v>
      </x:c>
      <x:c r="F567" s="31" t="str">
        <x:v>—</x:v>
      </x:c>
      <x:c r="G567" s="31" t="str">
        <x:v>—</x:v>
      </x:c>
      <x:c r="H567" s="31" t="str">
        <x:v>—</x:v>
      </x:c>
      <x:c r="I567" s="31" t="str">
        <x:v>포함</x:v>
      </x:c>
      <x:c r="J567" s="31" t="str">
        <x:v>—</x:v>
      </x:c>
      <x:c r="K567" s="31" t="str">
        <x:v>—</x:v>
      </x:c>
      <x:c r="L567" s="31" t="str">
        <x:v>포함</x:v>
      </x:c>
      <x:c r="M567" s="31" t="str">
        <x:v>—</x:v>
      </x:c>
    </x:row>
    <x:row r="568">
      <x:c r="A568" s="34" t="n">
        <x:v>564</x:v>
      </x:c>
      <x:c r="B568" s="30" t="str">
        <x:v>프로토가</x:v>
      </x:c>
      <x:c r="C568" s="30" t="str">
        <x:v>tirtouga</x:v>
      </x:c>
      <x:c r="D568" s="36" t="n">
        <x:v>5</x:v>
      </x:c>
      <x:c r="E568" s="31" t="str">
        <x:v>—</x:v>
      </x:c>
      <x:c r="F568" s="31" t="str">
        <x:v>—</x:v>
      </x:c>
      <x:c r="G568" s="31" t="str">
        <x:v>—</x:v>
      </x:c>
      <x:c r="H568" s="31" t="str">
        <x:v>—</x:v>
      </x:c>
      <x:c r="I568" s="31" t="str">
        <x:v>포함</x:v>
      </x:c>
      <x:c r="J568" s="31" t="str">
        <x:v>—</x:v>
      </x:c>
      <x:c r="K568" s="31" t="str">
        <x:v>포함</x:v>
      </x:c>
      <x:c r="L568" s="31" t="str">
        <x:v>포함</x:v>
      </x:c>
      <x:c r="M568" s="31" t="str">
        <x:v>—</x:v>
      </x:c>
    </x:row>
    <x:row r="569">
      <x:c r="A569" s="34" t="n">
        <x:v>565</x:v>
      </x:c>
      <x:c r="B569" s="30" t="str">
        <x:v>늑골라</x:v>
      </x:c>
      <x:c r="C569" s="30" t="str">
        <x:v>carracosta</x:v>
      </x:c>
      <x:c r="D569" s="36" t="n">
        <x:v>5</x:v>
      </x:c>
      <x:c r="E569" s="31" t="str">
        <x:v>—</x:v>
      </x:c>
      <x:c r="F569" s="31" t="str">
        <x:v>—</x:v>
      </x:c>
      <x:c r="G569" s="31" t="str">
        <x:v>—</x:v>
      </x:c>
      <x:c r="H569" s="31" t="str">
        <x:v>—</x:v>
      </x:c>
      <x:c r="I569" s="31" t="str">
        <x:v>포함</x:v>
      </x:c>
      <x:c r="J569" s="31" t="str">
        <x:v>—</x:v>
      </x:c>
      <x:c r="K569" s="31" t="str">
        <x:v>포함</x:v>
      </x:c>
      <x:c r="L569" s="31" t="str">
        <x:v>포함</x:v>
      </x:c>
      <x:c r="M569" s="31" t="str">
        <x:v>—</x:v>
      </x:c>
    </x:row>
    <x:row r="570">
      <x:c r="A570" s="34" t="n">
        <x:v>566</x:v>
      </x:c>
      <x:c r="B570" s="30" t="str">
        <x:v>아켄</x:v>
      </x:c>
      <x:c r="C570" s="30" t="str">
        <x:v>archen</x:v>
      </x:c>
      <x:c r="D570" s="36" t="n">
        <x:v>5</x:v>
      </x:c>
      <x:c r="E570" s="31" t="str">
        <x:v>—</x:v>
      </x:c>
      <x:c r="F570" s="31" t="str">
        <x:v>—</x:v>
      </x:c>
      <x:c r="G570" s="31" t="str">
        <x:v>—</x:v>
      </x:c>
      <x:c r="H570" s="31" t="str">
        <x:v>—</x:v>
      </x:c>
      <x:c r="I570" s="31" t="str">
        <x:v>포함</x:v>
      </x:c>
      <x:c r="J570" s="31" t="str">
        <x:v>—</x:v>
      </x:c>
      <x:c r="K570" s="31" t="str">
        <x:v>포함</x:v>
      </x:c>
      <x:c r="L570" s="31" t="str">
        <x:v>포함</x:v>
      </x:c>
      <x:c r="M570" s="31" t="str">
        <x:v>—</x:v>
      </x:c>
    </x:row>
    <x:row r="571">
      <x:c r="A571" s="34" t="n">
        <x:v>567</x:v>
      </x:c>
      <x:c r="B571" s="30" t="str">
        <x:v>아케오스</x:v>
      </x:c>
      <x:c r="C571" s="30" t="str">
        <x:v>archeops</x:v>
      </x:c>
      <x:c r="D571" s="36" t="n">
        <x:v>5</x:v>
      </x:c>
      <x:c r="E571" s="31" t="str">
        <x:v>—</x:v>
      </x:c>
      <x:c r="F571" s="31" t="str">
        <x:v>—</x:v>
      </x:c>
      <x:c r="G571" s="31" t="str">
        <x:v>—</x:v>
      </x:c>
      <x:c r="H571" s="31" t="str">
        <x:v>—</x:v>
      </x:c>
      <x:c r="I571" s="31" t="str">
        <x:v>포함</x:v>
      </x:c>
      <x:c r="J571" s="31" t="str">
        <x:v>—</x:v>
      </x:c>
      <x:c r="K571" s="31" t="str">
        <x:v>포함</x:v>
      </x:c>
      <x:c r="L571" s="31" t="str">
        <x:v>포함</x:v>
      </x:c>
      <x:c r="M571" s="31" t="str">
        <x:v>—</x:v>
      </x:c>
    </x:row>
    <x:row r="572">
      <x:c r="A572" s="34" t="n">
        <x:v>568</x:v>
      </x:c>
      <x:c r="B572" s="30" t="str">
        <x:v>깨봉이</x:v>
      </x:c>
      <x:c r="C572" s="30" t="str">
        <x:v>trubbish</x:v>
      </x:c>
      <x:c r="D572" s="36" t="n">
        <x:v>5</x:v>
      </x:c>
      <x:c r="E572" s="31" t="str">
        <x:v>—</x:v>
      </x:c>
      <x:c r="F572" s="31" t="str">
        <x:v>—</x:v>
      </x:c>
      <x:c r="G572" s="31" t="str">
        <x:v>—</x:v>
      </x:c>
      <x:c r="H572" s="31" t="str">
        <x:v>—</x:v>
      </x:c>
      <x:c r="I572" s="31" t="str">
        <x:v>포함</x:v>
      </x:c>
      <x:c r="J572" s="31" t="str">
        <x:v>포함</x:v>
      </x:c>
      <x:c r="K572" s="31" t="str">
        <x:v>포함</x:v>
      </x:c>
      <x:c r="L572" s="31" t="str">
        <x:v>포함</x:v>
      </x:c>
      <x:c r="M572" s="31" t="str">
        <x:v>—</x:v>
      </x:c>
    </x:row>
    <x:row r="573">
      <x:c r="A573" s="34" t="n">
        <x:v>569</x:v>
      </x:c>
      <x:c r="B573" s="30" t="str">
        <x:v>더스트나</x:v>
      </x:c>
      <x:c r="C573" s="30" t="str">
        <x:v>garbodor</x:v>
      </x:c>
      <x:c r="D573" s="36" t="n">
        <x:v>5</x:v>
      </x:c>
      <x:c r="E573" s="31" t="str">
        <x:v>—</x:v>
      </x:c>
      <x:c r="F573" s="31" t="str">
        <x:v>—</x:v>
      </x:c>
      <x:c r="G573" s="31" t="str">
        <x:v>—</x:v>
      </x:c>
      <x:c r="H573" s="31" t="str">
        <x:v>—</x:v>
      </x:c>
      <x:c r="I573" s="31" t="str">
        <x:v>포함</x:v>
      </x:c>
      <x:c r="J573" s="31" t="str">
        <x:v>포함</x:v>
      </x:c>
      <x:c r="K573" s="31" t="str">
        <x:v>포함</x:v>
      </x:c>
      <x:c r="L573" s="31" t="str">
        <x:v>포함</x:v>
      </x:c>
      <x:c r="M573" s="31" t="str">
        <x:v>—</x:v>
      </x:c>
    </x:row>
    <x:row r="574">
      <x:c r="A574" s="34" t="n">
        <x:v>570</x:v>
      </x:c>
      <x:c r="B574" s="30" t="str">
        <x:v>조로아</x:v>
      </x:c>
      <x:c r="C574" s="30" t="str">
        <x:v>zorua</x:v>
      </x:c>
      <x:c r="D574" s="36" t="n">
        <x:v>5</x:v>
      </x:c>
      <x:c r="E574" s="31" t="str">
        <x:v>—</x:v>
      </x:c>
      <x:c r="F574" s="31" t="str">
        <x:v>—</x:v>
      </x:c>
      <x:c r="G574" s="31" t="str">
        <x:v>—</x:v>
      </x:c>
      <x:c r="H574" s="31" t="str">
        <x:v>—</x:v>
      </x:c>
      <x:c r="I574" s="31" t="str">
        <x:v>포함</x:v>
      </x:c>
      <x:c r="J574" s="31" t="str">
        <x:v>포함</x:v>
      </x:c>
      <x:c r="K574" s="31" t="str">
        <x:v>포함</x:v>
      </x:c>
      <x:c r="L574" s="31" t="str">
        <x:v>포함</x:v>
      </x:c>
      <x:c r="M574" s="31" t="str">
        <x:v>포함</x:v>
      </x:c>
    </x:row>
    <x:row r="575">
      <x:c r="A575" s="34" t="n">
        <x:v>571</x:v>
      </x:c>
      <x:c r="B575" s="30" t="str">
        <x:v>조로아크</x:v>
      </x:c>
      <x:c r="C575" s="30" t="str">
        <x:v>zoroark</x:v>
      </x:c>
      <x:c r="D575" s="36" t="n">
        <x:v>5</x:v>
      </x:c>
      <x:c r="E575" s="31" t="str">
        <x:v>—</x:v>
      </x:c>
      <x:c r="F575" s="31" t="str">
        <x:v>—</x:v>
      </x:c>
      <x:c r="G575" s="31" t="str">
        <x:v>—</x:v>
      </x:c>
      <x:c r="H575" s="31" t="str">
        <x:v>—</x:v>
      </x:c>
      <x:c r="I575" s="31" t="str">
        <x:v>포함</x:v>
      </x:c>
      <x:c r="J575" s="31" t="str">
        <x:v>포함</x:v>
      </x:c>
      <x:c r="K575" s="31" t="str">
        <x:v>포함</x:v>
      </x:c>
      <x:c r="L575" s="31" t="str">
        <x:v>포함</x:v>
      </x:c>
      <x:c r="M575" s="31" t="str">
        <x:v>포함</x:v>
      </x:c>
    </x:row>
    <x:row r="576">
      <x:c r="A576" s="34" t="n">
        <x:v>572</x:v>
      </x:c>
      <x:c r="B576" s="30" t="str">
        <x:v>치라미</x:v>
      </x:c>
      <x:c r="C576" s="30" t="str">
        <x:v>minccino</x:v>
      </x:c>
      <x:c r="D576" s="36" t="n">
        <x:v>5</x:v>
      </x:c>
      <x:c r="E576" s="31" t="str">
        <x:v>—</x:v>
      </x:c>
      <x:c r="F576" s="31" t="str">
        <x:v>—</x:v>
      </x:c>
      <x:c r="G576" s="31" t="str">
        <x:v>—</x:v>
      </x:c>
      <x:c r="H576" s="31" t="str">
        <x:v>—</x:v>
      </x:c>
      <x:c r="I576" s="31" t="str">
        <x:v>포함</x:v>
      </x:c>
      <x:c r="J576" s="31" t="str">
        <x:v>—</x:v>
      </x:c>
      <x:c r="K576" s="31" t="str">
        <x:v>포함</x:v>
      </x:c>
      <x:c r="L576" s="31" t="str">
        <x:v>포함</x:v>
      </x:c>
      <x:c r="M576" s="31" t="str">
        <x:v>포함</x:v>
      </x:c>
    </x:row>
    <x:row r="577">
      <x:c r="A577" s="34" t="n">
        <x:v>573</x:v>
      </x:c>
      <x:c r="B577" s="30" t="str">
        <x:v>치라치노</x:v>
      </x:c>
      <x:c r="C577" s="30" t="str">
        <x:v>cinccino</x:v>
      </x:c>
      <x:c r="D577" s="36" t="n">
        <x:v>5</x:v>
      </x:c>
      <x:c r="E577" s="31" t="str">
        <x:v>—</x:v>
      </x:c>
      <x:c r="F577" s="31" t="str">
        <x:v>—</x:v>
      </x:c>
      <x:c r="G577" s="31" t="str">
        <x:v>—</x:v>
      </x:c>
      <x:c r="H577" s="31" t="str">
        <x:v>—</x:v>
      </x:c>
      <x:c r="I577" s="31" t="str">
        <x:v>포함</x:v>
      </x:c>
      <x:c r="J577" s="31" t="str">
        <x:v>—</x:v>
      </x:c>
      <x:c r="K577" s="31" t="str">
        <x:v>포함</x:v>
      </x:c>
      <x:c r="L577" s="31" t="str">
        <x:v>포함</x:v>
      </x:c>
      <x:c r="M577" s="31" t="str">
        <x:v>포함</x:v>
      </x:c>
    </x:row>
    <x:row r="578">
      <x:c r="A578" s="34" t="n">
        <x:v>574</x:v>
      </x:c>
      <x:c r="B578" s="30" t="str">
        <x:v>고디탱</x:v>
      </x:c>
      <x:c r="C578" s="30" t="str">
        <x:v>gothita</x:v>
      </x:c>
      <x:c r="D578" s="36" t="n">
        <x:v>5</x:v>
      </x:c>
      <x:c r="E578" s="31" t="str">
        <x:v>—</x:v>
      </x:c>
      <x:c r="F578" s="31" t="str">
        <x:v>—</x:v>
      </x:c>
      <x:c r="G578" s="31" t="str">
        <x:v>—</x:v>
      </x:c>
      <x:c r="H578" s="31" t="str">
        <x:v>—</x:v>
      </x:c>
      <x:c r="I578" s="31" t="str">
        <x:v>포함</x:v>
      </x:c>
      <x:c r="J578" s="31" t="str">
        <x:v>포함</x:v>
      </x:c>
      <x:c r="K578" s="31" t="str">
        <x:v>—</x:v>
      </x:c>
      <x:c r="L578" s="31" t="str">
        <x:v>포함</x:v>
      </x:c>
      <x:c r="M578" s="31" t="str">
        <x:v>포함</x:v>
      </x:c>
    </x:row>
    <x:row r="579">
      <x:c r="A579" s="34" t="n">
        <x:v>575</x:v>
      </x:c>
      <x:c r="B579" s="30" t="str">
        <x:v>고디보미</x:v>
      </x:c>
      <x:c r="C579" s="30" t="str">
        <x:v>gothorita</x:v>
      </x:c>
      <x:c r="D579" s="36" t="n">
        <x:v>5</x:v>
      </x:c>
      <x:c r="E579" s="31" t="str">
        <x:v>—</x:v>
      </x:c>
      <x:c r="F579" s="31" t="str">
        <x:v>—</x:v>
      </x:c>
      <x:c r="G579" s="31" t="str">
        <x:v>—</x:v>
      </x:c>
      <x:c r="H579" s="31" t="str">
        <x:v>—</x:v>
      </x:c>
      <x:c r="I579" s="31" t="str">
        <x:v>포함</x:v>
      </x:c>
      <x:c r="J579" s="31" t="str">
        <x:v>포함</x:v>
      </x:c>
      <x:c r="K579" s="31" t="str">
        <x:v>—</x:v>
      </x:c>
      <x:c r="L579" s="31" t="str">
        <x:v>포함</x:v>
      </x:c>
      <x:c r="M579" s="31" t="str">
        <x:v>포함</x:v>
      </x:c>
    </x:row>
    <x:row r="580">
      <x:c r="A580" s="34" t="n">
        <x:v>576</x:v>
      </x:c>
      <x:c r="B580" s="30" t="str">
        <x:v>고디모아젤</x:v>
      </x:c>
      <x:c r="C580" s="30" t="str">
        <x:v>gothitelle</x:v>
      </x:c>
      <x:c r="D580" s="36" t="n">
        <x:v>5</x:v>
      </x:c>
      <x:c r="E580" s="31" t="str">
        <x:v>—</x:v>
      </x:c>
      <x:c r="F580" s="31" t="str">
        <x:v>—</x:v>
      </x:c>
      <x:c r="G580" s="31" t="str">
        <x:v>—</x:v>
      </x:c>
      <x:c r="H580" s="31" t="str">
        <x:v>—</x:v>
      </x:c>
      <x:c r="I580" s="31" t="str">
        <x:v>포함</x:v>
      </x:c>
      <x:c r="J580" s="31" t="str">
        <x:v>포함</x:v>
      </x:c>
      <x:c r="K580" s="31" t="str">
        <x:v>—</x:v>
      </x:c>
      <x:c r="L580" s="31" t="str">
        <x:v>포함</x:v>
      </x:c>
      <x:c r="M580" s="31" t="str">
        <x:v>포함</x:v>
      </x:c>
    </x:row>
    <x:row r="581">
      <x:c r="A581" s="34" t="n">
        <x:v>577</x:v>
      </x:c>
      <x:c r="B581" s="30" t="str">
        <x:v>유니란</x:v>
      </x:c>
      <x:c r="C581" s="30" t="str">
        <x:v>solosis</x:v>
      </x:c>
      <x:c r="D581" s="36" t="n">
        <x:v>5</x:v>
      </x:c>
      <x:c r="E581" s="31" t="str">
        <x:v>—</x:v>
      </x:c>
      <x:c r="F581" s="31" t="str">
        <x:v>—</x:v>
      </x:c>
      <x:c r="G581" s="31" t="str">
        <x:v>—</x:v>
      </x:c>
      <x:c r="H581" s="31" t="str">
        <x:v>—</x:v>
      </x:c>
      <x:c r="I581" s="31" t="str">
        <x:v>포함</x:v>
      </x:c>
      <x:c r="J581" s="31" t="str">
        <x:v>포함</x:v>
      </x:c>
      <x:c r="K581" s="31" t="str">
        <x:v>—</x:v>
      </x:c>
      <x:c r="L581" s="31" t="str">
        <x:v>포함</x:v>
      </x:c>
      <x:c r="M581" s="31" t="str">
        <x:v>포함</x:v>
      </x:c>
    </x:row>
    <x:row r="582">
      <x:c r="A582" s="34" t="n">
        <x:v>578</x:v>
      </x:c>
      <x:c r="B582" s="30" t="str">
        <x:v>듀란</x:v>
      </x:c>
      <x:c r="C582" s="30" t="str">
        <x:v>duosion</x:v>
      </x:c>
      <x:c r="D582" s="36" t="n">
        <x:v>5</x:v>
      </x:c>
      <x:c r="E582" s="31" t="str">
        <x:v>—</x:v>
      </x:c>
      <x:c r="F582" s="31" t="str">
        <x:v>—</x:v>
      </x:c>
      <x:c r="G582" s="31" t="str">
        <x:v>—</x:v>
      </x:c>
      <x:c r="H582" s="31" t="str">
        <x:v>—</x:v>
      </x:c>
      <x:c r="I582" s="31" t="str">
        <x:v>포함</x:v>
      </x:c>
      <x:c r="J582" s="31" t="str">
        <x:v>포함</x:v>
      </x:c>
      <x:c r="K582" s="31" t="str">
        <x:v>—</x:v>
      </x:c>
      <x:c r="L582" s="31" t="str">
        <x:v>포함</x:v>
      </x:c>
      <x:c r="M582" s="31" t="str">
        <x:v>포함</x:v>
      </x:c>
    </x:row>
    <x:row r="583">
      <x:c r="A583" s="34" t="n">
        <x:v>579</x:v>
      </x:c>
      <x:c r="B583" s="30" t="str">
        <x:v>란쿨루스</x:v>
      </x:c>
      <x:c r="C583" s="30" t="str">
        <x:v>reuniclus</x:v>
      </x:c>
      <x:c r="D583" s="36" t="n">
        <x:v>5</x:v>
      </x:c>
      <x:c r="E583" s="31" t="str">
        <x:v>—</x:v>
      </x:c>
      <x:c r="F583" s="31" t="str">
        <x:v>—</x:v>
      </x:c>
      <x:c r="G583" s="31" t="str">
        <x:v>—</x:v>
      </x:c>
      <x:c r="H583" s="31" t="str">
        <x:v>—</x:v>
      </x:c>
      <x:c r="I583" s="31" t="str">
        <x:v>포함</x:v>
      </x:c>
      <x:c r="J583" s="31" t="str">
        <x:v>포함</x:v>
      </x:c>
      <x:c r="K583" s="31" t="str">
        <x:v>—</x:v>
      </x:c>
      <x:c r="L583" s="31" t="str">
        <x:v>포함</x:v>
      </x:c>
      <x:c r="M583" s="31" t="str">
        <x:v>포함</x:v>
      </x:c>
    </x:row>
    <x:row r="584">
      <x:c r="A584" s="34" t="n">
        <x:v>580</x:v>
      </x:c>
      <x:c r="B584" s="30" t="str">
        <x:v>꼬지보리</x:v>
      </x:c>
      <x:c r="C584" s="30" t="str">
        <x:v>ducklett</x:v>
      </x:c>
      <x:c r="D584" s="36" t="n">
        <x:v>5</x:v>
      </x:c>
      <x:c r="E584" s="31" t="str">
        <x:v>—</x:v>
      </x:c>
      <x:c r="F584" s="31" t="str">
        <x:v>—</x:v>
      </x:c>
      <x:c r="G584" s="31" t="str">
        <x:v>—</x:v>
      </x:c>
      <x:c r="H584" s="31" t="str">
        <x:v>—</x:v>
      </x:c>
      <x:c r="I584" s="31" t="str">
        <x:v>포함</x:v>
      </x:c>
      <x:c r="J584" s="31" t="str">
        <x:v>포함</x:v>
      </x:c>
      <x:c r="K584" s="31" t="str">
        <x:v>—</x:v>
      </x:c>
      <x:c r="L584" s="31" t="str">
        <x:v>—</x:v>
      </x:c>
      <x:c r="M584" s="31" t="str">
        <x:v>포함</x:v>
      </x:c>
    </x:row>
    <x:row r="585">
      <x:c r="A585" s="34" t="n">
        <x:v>581</x:v>
      </x:c>
      <x:c r="B585" s="30" t="str">
        <x:v>스완나</x:v>
      </x:c>
      <x:c r="C585" s="30" t="str">
        <x:v>swanna</x:v>
      </x:c>
      <x:c r="D585" s="36" t="n">
        <x:v>5</x:v>
      </x:c>
      <x:c r="E585" s="31" t="str">
        <x:v>—</x:v>
      </x:c>
      <x:c r="F585" s="31" t="str">
        <x:v>—</x:v>
      </x:c>
      <x:c r="G585" s="31" t="str">
        <x:v>—</x:v>
      </x:c>
      <x:c r="H585" s="31" t="str">
        <x:v>—</x:v>
      </x:c>
      <x:c r="I585" s="31" t="str">
        <x:v>포함</x:v>
      </x:c>
      <x:c r="J585" s="31" t="str">
        <x:v>포함</x:v>
      </x:c>
      <x:c r="K585" s="31" t="str">
        <x:v>—</x:v>
      </x:c>
      <x:c r="L585" s="31" t="str">
        <x:v>—</x:v>
      </x:c>
      <x:c r="M585" s="31" t="str">
        <x:v>포함</x:v>
      </x:c>
    </x:row>
    <x:row r="586">
      <x:c r="A586" s="34" t="n">
        <x:v>582</x:v>
      </x:c>
      <x:c r="B586" s="30" t="str">
        <x:v>바닐프티</x:v>
      </x:c>
      <x:c r="C586" s="30" t="str">
        <x:v>vanillite</x:v>
      </x:c>
      <x:c r="D586" s="36" t="n">
        <x:v>5</x:v>
      </x:c>
      <x:c r="E586" s="31" t="str">
        <x:v>—</x:v>
      </x:c>
      <x:c r="F586" s="31" t="str">
        <x:v>—</x:v>
      </x:c>
      <x:c r="G586" s="31" t="str">
        <x:v>—</x:v>
      </x:c>
      <x:c r="H586" s="31" t="str">
        <x:v>—</x:v>
      </x:c>
      <x:c r="I586" s="31" t="str">
        <x:v>포함</x:v>
      </x:c>
      <x:c r="J586" s="31" t="str">
        <x:v>포함</x:v>
      </x:c>
      <x:c r="K586" s="31" t="str">
        <x:v>포함</x:v>
      </x:c>
      <x:c r="L586" s="31" t="str">
        <x:v>포함</x:v>
      </x:c>
      <x:c r="M586" s="31" t="str">
        <x:v>—</x:v>
      </x:c>
    </x:row>
    <x:row r="587">
      <x:c r="A587" s="34" t="n">
        <x:v>583</x:v>
      </x:c>
      <x:c r="B587" s="30" t="str">
        <x:v>바닐리치</x:v>
      </x:c>
      <x:c r="C587" s="30" t="str">
        <x:v>vanillish</x:v>
      </x:c>
      <x:c r="D587" s="36" t="n">
        <x:v>5</x:v>
      </x:c>
      <x:c r="E587" s="31" t="str">
        <x:v>—</x:v>
      </x:c>
      <x:c r="F587" s="31" t="str">
        <x:v>—</x:v>
      </x:c>
      <x:c r="G587" s="31" t="str">
        <x:v>—</x:v>
      </x:c>
      <x:c r="H587" s="31" t="str">
        <x:v>—</x:v>
      </x:c>
      <x:c r="I587" s="31" t="str">
        <x:v>포함</x:v>
      </x:c>
      <x:c r="J587" s="31" t="str">
        <x:v>포함</x:v>
      </x:c>
      <x:c r="K587" s="31" t="str">
        <x:v>포함</x:v>
      </x:c>
      <x:c r="L587" s="31" t="str">
        <x:v>포함</x:v>
      </x:c>
      <x:c r="M587" s="31" t="str">
        <x:v>—</x:v>
      </x:c>
    </x:row>
    <x:row r="588">
      <x:c r="A588" s="34" t="n">
        <x:v>584</x:v>
      </x:c>
      <x:c r="B588" s="30" t="str">
        <x:v>배바닐라</x:v>
      </x:c>
      <x:c r="C588" s="30" t="str">
        <x:v>vanilluxe</x:v>
      </x:c>
      <x:c r="D588" s="36" t="n">
        <x:v>5</x:v>
      </x:c>
      <x:c r="E588" s="31" t="str">
        <x:v>—</x:v>
      </x:c>
      <x:c r="F588" s="31" t="str">
        <x:v>—</x:v>
      </x:c>
      <x:c r="G588" s="31" t="str">
        <x:v>—</x:v>
      </x:c>
      <x:c r="H588" s="31" t="str">
        <x:v>—</x:v>
      </x:c>
      <x:c r="I588" s="31" t="str">
        <x:v>포함</x:v>
      </x:c>
      <x:c r="J588" s="31" t="str">
        <x:v>포함</x:v>
      </x:c>
      <x:c r="K588" s="31" t="str">
        <x:v>포함</x:v>
      </x:c>
      <x:c r="L588" s="31" t="str">
        <x:v>포함</x:v>
      </x:c>
      <x:c r="M588" s="31" t="str">
        <x:v>—</x:v>
      </x:c>
    </x:row>
    <x:row r="589">
      <x:c r="A589" s="34" t="n">
        <x:v>585</x:v>
      </x:c>
      <x:c r="B589" s="30" t="str">
        <x:v>사철록</x:v>
      </x:c>
      <x:c r="C589" s="30" t="str">
        <x:v>deerling</x:v>
      </x:c>
      <x:c r="D589" s="36" t="n">
        <x:v>5</x:v>
      </x:c>
      <x:c r="E589" s="31" t="str">
        <x:v>—</x:v>
      </x:c>
      <x:c r="F589" s="31" t="str">
        <x:v>—</x:v>
      </x:c>
      <x:c r="G589" s="31" t="str">
        <x:v>—</x:v>
      </x:c>
      <x:c r="H589" s="31" t="str">
        <x:v>—</x:v>
      </x:c>
      <x:c r="I589" s="31" t="str">
        <x:v>포함</x:v>
      </x:c>
      <x:c r="J589" s="31" t="str">
        <x:v>—</x:v>
      </x:c>
      <x:c r="K589" s="31" t="str">
        <x:v>—</x:v>
      </x:c>
      <x:c r="L589" s="31" t="str">
        <x:v>—</x:v>
      </x:c>
      <x:c r="M589" s="31" t="str">
        <x:v>포함</x:v>
      </x:c>
    </x:row>
    <x:row r="590">
      <x:c r="A590" s="34" t="n">
        <x:v>586</x:v>
      </x:c>
      <x:c r="B590" s="30" t="str">
        <x:v>바라철록</x:v>
      </x:c>
      <x:c r="C590" s="30" t="str">
        <x:v>sawsbuck</x:v>
      </x:c>
      <x:c r="D590" s="36" t="n">
        <x:v>5</x:v>
      </x:c>
      <x:c r="E590" s="31" t="str">
        <x:v>—</x:v>
      </x:c>
      <x:c r="F590" s="31" t="str">
        <x:v>—</x:v>
      </x:c>
      <x:c r="G590" s="31" t="str">
        <x:v>—</x:v>
      </x:c>
      <x:c r="H590" s="31" t="str">
        <x:v>—</x:v>
      </x:c>
      <x:c r="I590" s="31" t="str">
        <x:v>포함</x:v>
      </x:c>
      <x:c r="J590" s="31" t="str">
        <x:v>—</x:v>
      </x:c>
      <x:c r="K590" s="31" t="str">
        <x:v>—</x:v>
      </x:c>
      <x:c r="L590" s="31" t="str">
        <x:v>—</x:v>
      </x:c>
      <x:c r="M590" s="31" t="str">
        <x:v>포함</x:v>
      </x:c>
    </x:row>
    <x:row r="591">
      <x:c r="A591" s="34" t="n">
        <x:v>587</x:v>
      </x:c>
      <x:c r="B591" s="30" t="str">
        <x:v>에몽가</x:v>
      </x:c>
      <x:c r="C591" s="30" t="str">
        <x:v>emolga</x:v>
      </x:c>
      <x:c r="D591" s="36" t="n">
        <x:v>5</x:v>
      </x:c>
      <x:c r="E591" s="31" t="str">
        <x:v>—</x:v>
      </x:c>
      <x:c r="F591" s="31" t="str">
        <x:v>—</x:v>
      </x:c>
      <x:c r="G591" s="31" t="str">
        <x:v>—</x:v>
      </x:c>
      <x:c r="H591" s="31" t="str">
        <x:v>—</x:v>
      </x:c>
      <x:c r="I591" s="31" t="str">
        <x:v>포함</x:v>
      </x:c>
      <x:c r="J591" s="31" t="str">
        <x:v>포함</x:v>
      </x:c>
      <x:c r="K591" s="31" t="str">
        <x:v>포함</x:v>
      </x:c>
      <x:c r="L591" s="31" t="str">
        <x:v>포함</x:v>
      </x:c>
      <x:c r="M591" s="31" t="str">
        <x:v>—</x:v>
      </x:c>
    </x:row>
    <x:row r="592">
      <x:c r="A592" s="34" t="n">
        <x:v>588</x:v>
      </x:c>
      <x:c r="B592" s="30" t="str">
        <x:v>딱정곤</x:v>
      </x:c>
      <x:c r="C592" s="30" t="str">
        <x:v>karrablast</x:v>
      </x:c>
      <x:c r="D592" s="36" t="n">
        <x:v>5</x:v>
      </x:c>
      <x:c r="E592" s="31" t="str">
        <x:v>—</x:v>
      </x:c>
      <x:c r="F592" s="31" t="str">
        <x:v>—</x:v>
      </x:c>
      <x:c r="G592" s="31" t="str">
        <x:v>—</x:v>
      </x:c>
      <x:c r="H592" s="31" t="str">
        <x:v>—</x:v>
      </x:c>
      <x:c r="I592" s="31" t="str">
        <x:v>포함</x:v>
      </x:c>
      <x:c r="J592" s="31" t="str">
        <x:v>포함</x:v>
      </x:c>
      <x:c r="K592" s="31" t="str">
        <x:v>—</x:v>
      </x:c>
      <x:c r="L592" s="31" t="str">
        <x:v>포함</x:v>
      </x:c>
      <x:c r="M592" s="31" t="str">
        <x:v>—</x:v>
      </x:c>
    </x:row>
    <x:row r="593">
      <x:c r="A593" s="34" t="n">
        <x:v>589</x:v>
      </x:c>
      <x:c r="B593" s="30" t="str">
        <x:v>슈바르고</x:v>
      </x:c>
      <x:c r="C593" s="30" t="str">
        <x:v>escavalier</x:v>
      </x:c>
      <x:c r="D593" s="36" t="n">
        <x:v>5</x:v>
      </x:c>
      <x:c r="E593" s="31" t="str">
        <x:v>—</x:v>
      </x:c>
      <x:c r="F593" s="31" t="str">
        <x:v>—</x:v>
      </x:c>
      <x:c r="G593" s="31" t="str">
        <x:v>—</x:v>
      </x:c>
      <x:c r="H593" s="31" t="str">
        <x:v>—</x:v>
      </x:c>
      <x:c r="I593" s="31" t="str">
        <x:v>포함</x:v>
      </x:c>
      <x:c r="J593" s="31" t="str">
        <x:v>포함</x:v>
      </x:c>
      <x:c r="K593" s="31" t="str">
        <x:v>—</x:v>
      </x:c>
      <x:c r="L593" s="31" t="str">
        <x:v>포함</x:v>
      </x:c>
      <x:c r="M593" s="31" t="str">
        <x:v>—</x:v>
      </x:c>
    </x:row>
    <x:row r="594">
      <x:c r="A594" s="34" t="n">
        <x:v>590</x:v>
      </x:c>
      <x:c r="B594" s="30" t="str">
        <x:v>깜놀버슬</x:v>
      </x:c>
      <x:c r="C594" s="30" t="str">
        <x:v>foongus</x:v>
      </x:c>
      <x:c r="D594" s="36" t="n">
        <x:v>5</x:v>
      </x:c>
      <x:c r="E594" s="31" t="str">
        <x:v>—</x:v>
      </x:c>
      <x:c r="F594" s="31" t="str">
        <x:v>—</x:v>
      </x:c>
      <x:c r="G594" s="31" t="str">
        <x:v>—</x:v>
      </x:c>
      <x:c r="H594" s="31" t="str">
        <x:v>—</x:v>
      </x:c>
      <x:c r="I594" s="31" t="str">
        <x:v>포함</x:v>
      </x:c>
      <x:c r="J594" s="31" t="str">
        <x:v>포함</x:v>
      </x:c>
      <x:c r="K594" s="31" t="str">
        <x:v>—</x:v>
      </x:c>
      <x:c r="L594" s="31" t="str">
        <x:v>포함</x:v>
      </x:c>
      <x:c r="M594" s="31" t="str">
        <x:v>포함</x:v>
      </x:c>
    </x:row>
    <x:row r="595">
      <x:c r="A595" s="34" t="n">
        <x:v>591</x:v>
      </x:c>
      <x:c r="B595" s="30" t="str">
        <x:v>뽀록나</x:v>
      </x:c>
      <x:c r="C595" s="30" t="str">
        <x:v>amoonguss</x:v>
      </x:c>
      <x:c r="D595" s="36" t="n">
        <x:v>5</x:v>
      </x:c>
      <x:c r="E595" s="31" t="str">
        <x:v>—</x:v>
      </x:c>
      <x:c r="F595" s="31" t="str">
        <x:v>—</x:v>
      </x:c>
      <x:c r="G595" s="31" t="str">
        <x:v>—</x:v>
      </x:c>
      <x:c r="H595" s="31" t="str">
        <x:v>—</x:v>
      </x:c>
      <x:c r="I595" s="31" t="str">
        <x:v>포함</x:v>
      </x:c>
      <x:c r="J595" s="31" t="str">
        <x:v>포함</x:v>
      </x:c>
      <x:c r="K595" s="31" t="str">
        <x:v>—</x:v>
      </x:c>
      <x:c r="L595" s="31" t="str">
        <x:v>포함</x:v>
      </x:c>
      <x:c r="M595" s="31" t="str">
        <x:v>포함</x:v>
      </x:c>
    </x:row>
    <x:row r="596">
      <x:c r="A596" s="34" t="n">
        <x:v>592</x:v>
      </x:c>
      <x:c r="B596" s="30" t="str">
        <x:v>탱그릴</x:v>
      </x:c>
      <x:c r="C596" s="30" t="str">
        <x:v>frillish</x:v>
      </x:c>
      <x:c r="D596" s="36" t="n">
        <x:v>5</x:v>
      </x:c>
      <x:c r="E596" s="31" t="str">
        <x:v>—</x:v>
      </x:c>
      <x:c r="F596" s="31" t="str">
        <x:v>—</x:v>
      </x:c>
      <x:c r="G596" s="31" t="str">
        <x:v>—</x:v>
      </x:c>
      <x:c r="H596" s="31" t="str">
        <x:v>—</x:v>
      </x:c>
      <x:c r="I596" s="31" t="str">
        <x:v>포함</x:v>
      </x:c>
      <x:c r="J596" s="31" t="str">
        <x:v>—</x:v>
      </x:c>
      <x:c r="K596" s="31" t="str">
        <x:v>포함</x:v>
      </x:c>
      <x:c r="L596" s="31" t="str">
        <x:v>포함</x:v>
      </x:c>
      <x:c r="M596" s="31" t="str">
        <x:v>—</x:v>
      </x:c>
    </x:row>
    <x:row r="597">
      <x:c r="A597" s="34" t="n">
        <x:v>593</x:v>
      </x:c>
      <x:c r="B597" s="30" t="str">
        <x:v>탱탱겔</x:v>
      </x:c>
      <x:c r="C597" s="30" t="str">
        <x:v>jellicent</x:v>
      </x:c>
      <x:c r="D597" s="36" t="n">
        <x:v>5</x:v>
      </x:c>
      <x:c r="E597" s="31" t="str">
        <x:v>—</x:v>
      </x:c>
      <x:c r="F597" s="31" t="str">
        <x:v>—</x:v>
      </x:c>
      <x:c r="G597" s="31" t="str">
        <x:v>—</x:v>
      </x:c>
      <x:c r="H597" s="31" t="str">
        <x:v>—</x:v>
      </x:c>
      <x:c r="I597" s="31" t="str">
        <x:v>포함</x:v>
      </x:c>
      <x:c r="J597" s="31" t="str">
        <x:v>—</x:v>
      </x:c>
      <x:c r="K597" s="31" t="str">
        <x:v>포함</x:v>
      </x:c>
      <x:c r="L597" s="31" t="str">
        <x:v>포함</x:v>
      </x:c>
      <x:c r="M597" s="31" t="str">
        <x:v>—</x:v>
      </x:c>
    </x:row>
    <x:row r="598">
      <x:c r="A598" s="34" t="n">
        <x:v>594</x:v>
      </x:c>
      <x:c r="B598" s="30" t="str">
        <x:v>맘복치</x:v>
      </x:c>
      <x:c r="C598" s="30" t="str">
        <x:v>alomomola</x:v>
      </x:c>
      <x:c r="D598" s="36" t="n">
        <x:v>5</x:v>
      </x:c>
      <x:c r="E598" s="31" t="str">
        <x:v>—</x:v>
      </x:c>
      <x:c r="F598" s="31" t="str">
        <x:v>—</x:v>
      </x:c>
      <x:c r="G598" s="31" t="str">
        <x:v>—</x:v>
      </x:c>
      <x:c r="H598" s="31" t="str">
        <x:v>—</x:v>
      </x:c>
      <x:c r="I598" s="31" t="str">
        <x:v>포함</x:v>
      </x:c>
      <x:c r="J598" s="31" t="str">
        <x:v>포함</x:v>
      </x:c>
      <x:c r="K598" s="31" t="str">
        <x:v>포함</x:v>
      </x:c>
      <x:c r="L598" s="31" t="str">
        <x:v>—</x:v>
      </x:c>
      <x:c r="M598" s="31" t="str">
        <x:v>포함</x:v>
      </x:c>
    </x:row>
    <x:row r="599">
      <x:c r="A599" s="34" t="n">
        <x:v>595</x:v>
      </x:c>
      <x:c r="B599" s="30" t="str">
        <x:v>파쪼옥</x:v>
      </x:c>
      <x:c r="C599" s="30" t="str">
        <x:v>joltik</x:v>
      </x:c>
      <x:c r="D599" s="36" t="n">
        <x:v>5</x:v>
      </x:c>
      <x:c r="E599" s="31" t="str">
        <x:v>—</x:v>
      </x:c>
      <x:c r="F599" s="31" t="str">
        <x:v>—</x:v>
      </x:c>
      <x:c r="G599" s="31" t="str">
        <x:v>—</x:v>
      </x:c>
      <x:c r="H599" s="31" t="str">
        <x:v>—</x:v>
      </x:c>
      <x:c r="I599" s="31" t="str">
        <x:v>포함</x:v>
      </x:c>
      <x:c r="J599" s="31" t="str">
        <x:v>—</x:v>
      </x:c>
      <x:c r="K599" s="31" t="str">
        <x:v>—</x:v>
      </x:c>
      <x:c r="L599" s="31" t="str">
        <x:v>포함</x:v>
      </x:c>
      <x:c r="M599" s="31" t="str">
        <x:v>포함</x:v>
      </x:c>
    </x:row>
    <x:row r="600">
      <x:c r="A600" s="34" t="n">
        <x:v>596</x:v>
      </x:c>
      <x:c r="B600" s="30" t="str">
        <x:v>전툴라</x:v>
      </x:c>
      <x:c r="C600" s="30" t="str">
        <x:v>galvantula</x:v>
      </x:c>
      <x:c r="D600" s="36" t="n">
        <x:v>5</x:v>
      </x:c>
      <x:c r="E600" s="31" t="str">
        <x:v>—</x:v>
      </x:c>
      <x:c r="F600" s="31" t="str">
        <x:v>—</x:v>
      </x:c>
      <x:c r="G600" s="31" t="str">
        <x:v>—</x:v>
      </x:c>
      <x:c r="H600" s="31" t="str">
        <x:v>—</x:v>
      </x:c>
      <x:c r="I600" s="31" t="str">
        <x:v>포함</x:v>
      </x:c>
      <x:c r="J600" s="31" t="str">
        <x:v>—</x:v>
      </x:c>
      <x:c r="K600" s="31" t="str">
        <x:v>—</x:v>
      </x:c>
      <x:c r="L600" s="31" t="str">
        <x:v>포함</x:v>
      </x:c>
      <x:c r="M600" s="31" t="str">
        <x:v>포함</x:v>
      </x:c>
    </x:row>
    <x:row r="601">
      <x:c r="A601" s="34" t="n">
        <x:v>597</x:v>
      </x:c>
      <x:c r="B601" s="30" t="str">
        <x:v>철시드</x:v>
      </x:c>
      <x:c r="C601" s="30" t="str">
        <x:v>ferroseed</x:v>
      </x:c>
      <x:c r="D601" s="36" t="n">
        <x:v>5</x:v>
      </x:c>
      <x:c r="E601" s="31" t="str">
        <x:v>—</x:v>
      </x:c>
      <x:c r="F601" s="31" t="str">
        <x:v>—</x:v>
      </x:c>
      <x:c r="G601" s="31" t="str">
        <x:v>—</x:v>
      </x:c>
      <x:c r="H601" s="31" t="str">
        <x:v>—</x:v>
      </x:c>
      <x:c r="I601" s="31" t="str">
        <x:v>포함</x:v>
      </x:c>
      <x:c r="J601" s="31" t="str">
        <x:v>포함</x:v>
      </x:c>
      <x:c r="K601" s="31" t="str">
        <x:v>—</x:v>
      </x:c>
      <x:c r="L601" s="31" t="str">
        <x:v>포함</x:v>
      </x:c>
      <x:c r="M601" s="31" t="str">
        <x:v>—</x:v>
      </x:c>
    </x:row>
    <x:row r="602">
      <x:c r="A602" s="34" t="n">
        <x:v>598</x:v>
      </x:c>
      <x:c r="B602" s="30" t="str">
        <x:v>너트령</x:v>
      </x:c>
      <x:c r="C602" s="30" t="str">
        <x:v>ferrothorn</x:v>
      </x:c>
      <x:c r="D602" s="36" t="n">
        <x:v>5</x:v>
      </x:c>
      <x:c r="E602" s="31" t="str">
        <x:v>—</x:v>
      </x:c>
      <x:c r="F602" s="31" t="str">
        <x:v>—</x:v>
      </x:c>
      <x:c r="G602" s="31" t="str">
        <x:v>—</x:v>
      </x:c>
      <x:c r="H602" s="31" t="str">
        <x:v>—</x:v>
      </x:c>
      <x:c r="I602" s="31" t="str">
        <x:v>포함</x:v>
      </x:c>
      <x:c r="J602" s="31" t="str">
        <x:v>포함</x:v>
      </x:c>
      <x:c r="K602" s="31" t="str">
        <x:v>—</x:v>
      </x:c>
      <x:c r="L602" s="31" t="str">
        <x:v>포함</x:v>
      </x:c>
      <x:c r="M602" s="31" t="str">
        <x:v>—</x:v>
      </x:c>
    </x:row>
    <x:row r="603">
      <x:c r="A603" s="34" t="n">
        <x:v>599</x:v>
      </x:c>
      <x:c r="B603" s="30" t="str">
        <x:v>기어르</x:v>
      </x:c>
      <x:c r="C603" s="30" t="str">
        <x:v>klink</x:v>
      </x:c>
      <x:c r="D603" s="36" t="n">
        <x:v>5</x:v>
      </x:c>
      <x:c r="E603" s="31" t="str">
        <x:v>—</x:v>
      </x:c>
      <x:c r="F603" s="31" t="str">
        <x:v>—</x:v>
      </x:c>
      <x:c r="G603" s="31" t="str">
        <x:v>—</x:v>
      </x:c>
      <x:c r="H603" s="31" t="str">
        <x:v>—</x:v>
      </x:c>
      <x:c r="I603" s="31" t="str">
        <x:v>포함</x:v>
      </x:c>
      <x:c r="J603" s="31" t="str">
        <x:v>—</x:v>
      </x:c>
      <x:c r="K603" s="31" t="str">
        <x:v>—</x:v>
      </x:c>
      <x:c r="L603" s="31" t="str">
        <x:v>포함</x:v>
      </x:c>
      <x:c r="M603" s="31" t="str">
        <x:v>—</x:v>
      </x:c>
    </x:row>
    <x:row r="604">
      <x:c r="A604" s="34" t="n">
        <x:v>600</x:v>
      </x:c>
      <x:c r="B604" s="30" t="str">
        <x:v>기기어르</x:v>
      </x:c>
      <x:c r="C604" s="30" t="str">
        <x:v>klang</x:v>
      </x:c>
      <x:c r="D604" s="36" t="n">
        <x:v>5</x:v>
      </x:c>
      <x:c r="E604" s="31" t="str">
        <x:v>—</x:v>
      </x:c>
      <x:c r="F604" s="31" t="str">
        <x:v>—</x:v>
      </x:c>
      <x:c r="G604" s="31" t="str">
        <x:v>—</x:v>
      </x:c>
      <x:c r="H604" s="31" t="str">
        <x:v>—</x:v>
      </x:c>
      <x:c r="I604" s="31" t="str">
        <x:v>포함</x:v>
      </x:c>
      <x:c r="J604" s="31" t="str">
        <x:v>—</x:v>
      </x:c>
      <x:c r="K604" s="31" t="str">
        <x:v>—</x:v>
      </x:c>
      <x:c r="L604" s="31" t="str">
        <x:v>포함</x:v>
      </x:c>
      <x:c r="M604" s="31" t="str">
        <x:v>—</x:v>
      </x:c>
    </x:row>
    <x:row r="605">
      <x:c r="A605" s="34" t="n">
        <x:v>601</x:v>
      </x:c>
      <x:c r="B605" s="30" t="str">
        <x:v>기기기어르</x:v>
      </x:c>
      <x:c r="C605" s="30" t="str">
        <x:v>klinklang</x:v>
      </x:c>
      <x:c r="D605" s="36" t="n">
        <x:v>5</x:v>
      </x:c>
      <x:c r="E605" s="31" t="str">
        <x:v>—</x:v>
      </x:c>
      <x:c r="F605" s="31" t="str">
        <x:v>—</x:v>
      </x:c>
      <x:c r="G605" s="31" t="str">
        <x:v>—</x:v>
      </x:c>
      <x:c r="H605" s="31" t="str">
        <x:v>—</x:v>
      </x:c>
      <x:c r="I605" s="31" t="str">
        <x:v>포함</x:v>
      </x:c>
      <x:c r="J605" s="31" t="str">
        <x:v>—</x:v>
      </x:c>
      <x:c r="K605" s="31" t="str">
        <x:v>—</x:v>
      </x:c>
      <x:c r="L605" s="31" t="str">
        <x:v>포함</x:v>
      </x:c>
      <x:c r="M605" s="31" t="str">
        <x:v>—</x:v>
      </x:c>
    </x:row>
    <x:row r="606">
      <x:c r="A606" s="34" t="n">
        <x:v>602</x:v>
      </x:c>
      <x:c r="B606" s="30" t="str">
        <x:v>저리어</x:v>
      </x:c>
      <x:c r="C606" s="30" t="str">
        <x:v>tynamo</x:v>
      </x:c>
      <x:c r="D606" s="36" t="n">
        <x:v>5</x:v>
      </x:c>
      <x:c r="E606" s="31" t="str">
        <x:v>—</x:v>
      </x:c>
      <x:c r="F606" s="31" t="str">
        <x:v>—</x:v>
      </x:c>
      <x:c r="G606" s="31" t="str">
        <x:v>—</x:v>
      </x:c>
      <x:c r="H606" s="31" t="str">
        <x:v>—</x:v>
      </x:c>
      <x:c r="I606" s="31" t="str">
        <x:v>포함</x:v>
      </x:c>
      <x:c r="J606" s="31" t="str">
        <x:v>—</x:v>
      </x:c>
      <x:c r="K606" s="31" t="str">
        <x:v>—</x:v>
      </x:c>
      <x:c r="L606" s="31" t="str">
        <x:v>—</x:v>
      </x:c>
      <x:c r="M606" s="31" t="str">
        <x:v>포함</x:v>
      </x:c>
    </x:row>
    <x:row r="607">
      <x:c r="A607" s="34" t="n">
        <x:v>603</x:v>
      </x:c>
      <x:c r="B607" s="30" t="str">
        <x:v>저리릴</x:v>
      </x:c>
      <x:c r="C607" s="30" t="str">
        <x:v>eelektrik</x:v>
      </x:c>
      <x:c r="D607" s="36" t="n">
        <x:v>5</x:v>
      </x:c>
      <x:c r="E607" s="31" t="str">
        <x:v>—</x:v>
      </x:c>
      <x:c r="F607" s="31" t="str">
        <x:v>—</x:v>
      </x:c>
      <x:c r="G607" s="31" t="str">
        <x:v>—</x:v>
      </x:c>
      <x:c r="H607" s="31" t="str">
        <x:v>—</x:v>
      </x:c>
      <x:c r="I607" s="31" t="str">
        <x:v>포함</x:v>
      </x:c>
      <x:c r="J607" s="31" t="str">
        <x:v>—</x:v>
      </x:c>
      <x:c r="K607" s="31" t="str">
        <x:v>—</x:v>
      </x:c>
      <x:c r="L607" s="31" t="str">
        <x:v>—</x:v>
      </x:c>
      <x:c r="M607" s="31" t="str">
        <x:v>포함</x:v>
      </x:c>
    </x:row>
    <x:row r="608">
      <x:c r="A608" s="34" t="n">
        <x:v>604</x:v>
      </x:c>
      <x:c r="B608" s="30" t="str">
        <x:v>저리더프</x:v>
      </x:c>
      <x:c r="C608" s="30" t="str">
        <x:v>eelektross</x:v>
      </x:c>
      <x:c r="D608" s="36" t="n">
        <x:v>5</x:v>
      </x:c>
      <x:c r="E608" s="31" t="str">
        <x:v>—</x:v>
      </x:c>
      <x:c r="F608" s="31" t="str">
        <x:v>—</x:v>
      </x:c>
      <x:c r="G608" s="31" t="str">
        <x:v>—</x:v>
      </x:c>
      <x:c r="H608" s="31" t="str">
        <x:v>—</x:v>
      </x:c>
      <x:c r="I608" s="31" t="str">
        <x:v>포함</x:v>
      </x:c>
      <x:c r="J608" s="31" t="str">
        <x:v>—</x:v>
      </x:c>
      <x:c r="K608" s="31" t="str">
        <x:v>—</x:v>
      </x:c>
      <x:c r="L608" s="31" t="str">
        <x:v>—</x:v>
      </x:c>
      <x:c r="M608" s="31" t="str">
        <x:v>포함</x:v>
      </x:c>
    </x:row>
    <x:row r="609">
      <x:c r="A609" s="34" t="n">
        <x:v>605</x:v>
      </x:c>
      <x:c r="B609" s="30" t="str">
        <x:v>리그레</x:v>
      </x:c>
      <x:c r="C609" s="30" t="str">
        <x:v>elgyem</x:v>
      </x:c>
      <x:c r="D609" s="36" t="n">
        <x:v>5</x:v>
      </x:c>
      <x:c r="E609" s="31" t="str">
        <x:v>—</x:v>
      </x:c>
      <x:c r="F609" s="31" t="str">
        <x:v>—</x:v>
      </x:c>
      <x:c r="G609" s="31" t="str">
        <x:v>—</x:v>
      </x:c>
      <x:c r="H609" s="31" t="str">
        <x:v>—</x:v>
      </x:c>
      <x:c r="I609" s="31" t="str">
        <x:v>포함</x:v>
      </x:c>
      <x:c r="J609" s="31" t="str">
        <x:v>—</x:v>
      </x:c>
      <x:c r="K609" s="31" t="str">
        <x:v>포함</x:v>
      </x:c>
      <x:c r="L609" s="31" t="str">
        <x:v>포함</x:v>
      </x:c>
      <x:c r="M609" s="31" t="str">
        <x:v>—</x:v>
      </x:c>
    </x:row>
    <x:row r="610">
      <x:c r="A610" s="34" t="n">
        <x:v>606</x:v>
      </x:c>
      <x:c r="B610" s="30" t="str">
        <x:v>벰크</x:v>
      </x:c>
      <x:c r="C610" s="30" t="str">
        <x:v>beheeyem</x:v>
      </x:c>
      <x:c r="D610" s="36" t="n">
        <x:v>5</x:v>
      </x:c>
      <x:c r="E610" s="31" t="str">
        <x:v>—</x:v>
      </x:c>
      <x:c r="F610" s="31" t="str">
        <x:v>—</x:v>
      </x:c>
      <x:c r="G610" s="31" t="str">
        <x:v>—</x:v>
      </x:c>
      <x:c r="H610" s="31" t="str">
        <x:v>—</x:v>
      </x:c>
      <x:c r="I610" s="31" t="str">
        <x:v>포함</x:v>
      </x:c>
      <x:c r="J610" s="31" t="str">
        <x:v>—</x:v>
      </x:c>
      <x:c r="K610" s="31" t="str">
        <x:v>포함</x:v>
      </x:c>
      <x:c r="L610" s="31" t="str">
        <x:v>포함</x:v>
      </x:c>
      <x:c r="M610" s="31" t="str">
        <x:v>—</x:v>
      </x:c>
    </x:row>
    <x:row r="611">
      <x:c r="A611" s="34" t="n">
        <x:v>607</x:v>
      </x:c>
      <x:c r="B611" s="30" t="str">
        <x:v>불켜미</x:v>
      </x:c>
      <x:c r="C611" s="30" t="str">
        <x:v>litwick</x:v>
      </x:c>
      <x:c r="D611" s="36" t="n">
        <x:v>5</x:v>
      </x:c>
      <x:c r="E611" s="31" t="str">
        <x:v>—</x:v>
      </x:c>
      <x:c r="F611" s="31" t="str">
        <x:v>—</x:v>
      </x:c>
      <x:c r="G611" s="31" t="str">
        <x:v>—</x:v>
      </x:c>
      <x:c r="H611" s="31" t="str">
        <x:v>—</x:v>
      </x:c>
      <x:c r="I611" s="31" t="str">
        <x:v>포함</x:v>
      </x:c>
      <x:c r="J611" s="31" t="str">
        <x:v>포함</x:v>
      </x:c>
      <x:c r="K611" s="31" t="str">
        <x:v>—</x:v>
      </x:c>
      <x:c r="L611" s="31" t="str">
        <x:v>포함</x:v>
      </x:c>
      <x:c r="M611" s="31" t="str">
        <x:v>포함</x:v>
      </x:c>
    </x:row>
    <x:row r="612">
      <x:c r="A612" s="34" t="n">
        <x:v>608</x:v>
      </x:c>
      <x:c r="B612" s="30" t="str">
        <x:v>램프라</x:v>
      </x:c>
      <x:c r="C612" s="30" t="str">
        <x:v>lampent</x:v>
      </x:c>
      <x:c r="D612" s="36" t="n">
        <x:v>5</x:v>
      </x:c>
      <x:c r="E612" s="31" t="str">
        <x:v>—</x:v>
      </x:c>
      <x:c r="F612" s="31" t="str">
        <x:v>—</x:v>
      </x:c>
      <x:c r="G612" s="31" t="str">
        <x:v>—</x:v>
      </x:c>
      <x:c r="H612" s="31" t="str">
        <x:v>—</x:v>
      </x:c>
      <x:c r="I612" s="31" t="str">
        <x:v>포함</x:v>
      </x:c>
      <x:c r="J612" s="31" t="str">
        <x:v>포함</x:v>
      </x:c>
      <x:c r="K612" s="31" t="str">
        <x:v>—</x:v>
      </x:c>
      <x:c r="L612" s="31" t="str">
        <x:v>포함</x:v>
      </x:c>
      <x:c r="M612" s="31" t="str">
        <x:v>포함</x:v>
      </x:c>
    </x:row>
    <x:row r="613">
      <x:c r="A613" s="34" t="n">
        <x:v>609</x:v>
      </x:c>
      <x:c r="B613" s="30" t="str">
        <x:v>샹델라</x:v>
      </x:c>
      <x:c r="C613" s="30" t="str">
        <x:v>chandelure</x:v>
      </x:c>
      <x:c r="D613" s="36" t="n">
        <x:v>5</x:v>
      </x:c>
      <x:c r="E613" s="31" t="str">
        <x:v>—</x:v>
      </x:c>
      <x:c r="F613" s="31" t="str">
        <x:v>—</x:v>
      </x:c>
      <x:c r="G613" s="31" t="str">
        <x:v>—</x:v>
      </x:c>
      <x:c r="H613" s="31" t="str">
        <x:v>—</x:v>
      </x:c>
      <x:c r="I613" s="31" t="str">
        <x:v>포함</x:v>
      </x:c>
      <x:c r="J613" s="31" t="str">
        <x:v>포함</x:v>
      </x:c>
      <x:c r="K613" s="31" t="str">
        <x:v>—</x:v>
      </x:c>
      <x:c r="L613" s="31" t="str">
        <x:v>포함</x:v>
      </x:c>
      <x:c r="M613" s="31" t="str">
        <x:v>포함</x:v>
      </x:c>
    </x:row>
    <x:row r="614">
      <x:c r="A614" s="34" t="n">
        <x:v>610</x:v>
      </x:c>
      <x:c r="B614" s="30" t="str">
        <x:v>터검니</x:v>
      </x:c>
      <x:c r="C614" s="30" t="str">
        <x:v>axew</x:v>
      </x:c>
      <x:c r="D614" s="36" t="n">
        <x:v>5</x:v>
      </x:c>
      <x:c r="E614" s="31" t="str">
        <x:v>—</x:v>
      </x:c>
      <x:c r="F614" s="31" t="str">
        <x:v>—</x:v>
      </x:c>
      <x:c r="G614" s="31" t="str">
        <x:v>—</x:v>
      </x:c>
      <x:c r="H614" s="31" t="str">
        <x:v>—</x:v>
      </x:c>
      <x:c r="I614" s="31" t="str">
        <x:v>포함</x:v>
      </x:c>
      <x:c r="J614" s="31" t="str">
        <x:v>포함</x:v>
      </x:c>
      <x:c r="K614" s="31" t="str">
        <x:v>—</x:v>
      </x:c>
      <x:c r="L614" s="31" t="str">
        <x:v>포함</x:v>
      </x:c>
      <x:c r="M614" s="31" t="str">
        <x:v>포함</x:v>
      </x:c>
    </x:row>
    <x:row r="615">
      <x:c r="A615" s="34" t="n">
        <x:v>611</x:v>
      </x:c>
      <x:c r="B615" s="30" t="str">
        <x:v>액슨도</x:v>
      </x:c>
      <x:c r="C615" s="30" t="str">
        <x:v>fraxure</x:v>
      </x:c>
      <x:c r="D615" s="36" t="n">
        <x:v>5</x:v>
      </x:c>
      <x:c r="E615" s="31" t="str">
        <x:v>—</x:v>
      </x:c>
      <x:c r="F615" s="31" t="str">
        <x:v>—</x:v>
      </x:c>
      <x:c r="G615" s="31" t="str">
        <x:v>—</x:v>
      </x:c>
      <x:c r="H615" s="31" t="str">
        <x:v>—</x:v>
      </x:c>
      <x:c r="I615" s="31" t="str">
        <x:v>포함</x:v>
      </x:c>
      <x:c r="J615" s="31" t="str">
        <x:v>포함</x:v>
      </x:c>
      <x:c r="K615" s="31" t="str">
        <x:v>—</x:v>
      </x:c>
      <x:c r="L615" s="31" t="str">
        <x:v>포함</x:v>
      </x:c>
      <x:c r="M615" s="31" t="str">
        <x:v>포함</x:v>
      </x:c>
    </x:row>
    <x:row r="616">
      <x:c r="A616" s="34" t="n">
        <x:v>612</x:v>
      </x:c>
      <x:c r="B616" s="30" t="str">
        <x:v>액스라이즈</x:v>
      </x:c>
      <x:c r="C616" s="30" t="str">
        <x:v>haxorus</x:v>
      </x:c>
      <x:c r="D616" s="36" t="n">
        <x:v>5</x:v>
      </x:c>
      <x:c r="E616" s="31" t="str">
        <x:v>—</x:v>
      </x:c>
      <x:c r="F616" s="31" t="str">
        <x:v>—</x:v>
      </x:c>
      <x:c r="G616" s="31" t="str">
        <x:v>—</x:v>
      </x:c>
      <x:c r="H616" s="31" t="str">
        <x:v>—</x:v>
      </x:c>
      <x:c r="I616" s="31" t="str">
        <x:v>포함</x:v>
      </x:c>
      <x:c r="J616" s="31" t="str">
        <x:v>포함</x:v>
      </x:c>
      <x:c r="K616" s="31" t="str">
        <x:v>—</x:v>
      </x:c>
      <x:c r="L616" s="31" t="str">
        <x:v>포함</x:v>
      </x:c>
      <x:c r="M616" s="31" t="str">
        <x:v>포함</x:v>
      </x:c>
    </x:row>
    <x:row r="617">
      <x:c r="A617" s="34" t="n">
        <x:v>613</x:v>
      </x:c>
      <x:c r="B617" s="30" t="str">
        <x:v>코고미</x:v>
      </x:c>
      <x:c r="C617" s="30" t="str">
        <x:v>cubchoo</x:v>
      </x:c>
      <x:c r="D617" s="36" t="n">
        <x:v>5</x:v>
      </x:c>
      <x:c r="E617" s="31" t="str">
        <x:v>—</x:v>
      </x:c>
      <x:c r="F617" s="31" t="str">
        <x:v>—</x:v>
      </x:c>
      <x:c r="G617" s="31" t="str">
        <x:v>—</x:v>
      </x:c>
      <x:c r="H617" s="31" t="str">
        <x:v>—</x:v>
      </x:c>
      <x:c r="I617" s="31" t="str">
        <x:v>포함</x:v>
      </x:c>
      <x:c r="J617" s="31" t="str">
        <x:v>포함</x:v>
      </x:c>
      <x:c r="K617" s="31" t="str">
        <x:v>—</x:v>
      </x:c>
      <x:c r="L617" s="31" t="str">
        <x:v>포함</x:v>
      </x:c>
      <x:c r="M617" s="31" t="str">
        <x:v>포함</x:v>
      </x:c>
    </x:row>
    <x:row r="618">
      <x:c r="A618" s="34" t="n">
        <x:v>614</x:v>
      </x:c>
      <x:c r="B618" s="30" t="str">
        <x:v>툰베어</x:v>
      </x:c>
      <x:c r="C618" s="30" t="str">
        <x:v>beartic</x:v>
      </x:c>
      <x:c r="D618" s="36" t="n">
        <x:v>5</x:v>
      </x:c>
      <x:c r="E618" s="31" t="str">
        <x:v>—</x:v>
      </x:c>
      <x:c r="F618" s="31" t="str">
        <x:v>—</x:v>
      </x:c>
      <x:c r="G618" s="31" t="str">
        <x:v>—</x:v>
      </x:c>
      <x:c r="H618" s="31" t="str">
        <x:v>—</x:v>
      </x:c>
      <x:c r="I618" s="31" t="str">
        <x:v>포함</x:v>
      </x:c>
      <x:c r="J618" s="31" t="str">
        <x:v>포함</x:v>
      </x:c>
      <x:c r="K618" s="31" t="str">
        <x:v>—</x:v>
      </x:c>
      <x:c r="L618" s="31" t="str">
        <x:v>포함</x:v>
      </x:c>
      <x:c r="M618" s="31" t="str">
        <x:v>포함</x:v>
      </x:c>
    </x:row>
    <x:row r="619">
      <x:c r="A619" s="34" t="n">
        <x:v>615</x:v>
      </x:c>
      <x:c r="B619" s="30" t="str">
        <x:v>프리지오</x:v>
      </x:c>
      <x:c r="C619" s="30" t="str">
        <x:v>cryogonal</x:v>
      </x:c>
      <x:c r="D619" s="36" t="n">
        <x:v>5</x:v>
      </x:c>
      <x:c r="E619" s="31" t="str">
        <x:v>—</x:v>
      </x:c>
      <x:c r="F619" s="31" t="str">
        <x:v>—</x:v>
      </x:c>
      <x:c r="G619" s="31" t="str">
        <x:v>—</x:v>
      </x:c>
      <x:c r="H619" s="31" t="str">
        <x:v>—</x:v>
      </x:c>
      <x:c r="I619" s="31" t="str">
        <x:v>포함</x:v>
      </x:c>
      <x:c r="J619" s="31" t="str">
        <x:v>포함</x:v>
      </x:c>
      <x:c r="K619" s="31" t="str">
        <x:v>—</x:v>
      </x:c>
      <x:c r="L619" s="31" t="str">
        <x:v>포함</x:v>
      </x:c>
      <x:c r="M619" s="31" t="str">
        <x:v>포함</x:v>
      </x:c>
    </x:row>
    <x:row r="620">
      <x:c r="A620" s="34" t="n">
        <x:v>616</x:v>
      </x:c>
      <x:c r="B620" s="30" t="str">
        <x:v>쪼마리</x:v>
      </x:c>
      <x:c r="C620" s="30" t="str">
        <x:v>shelmet</x:v>
      </x:c>
      <x:c r="D620" s="36" t="n">
        <x:v>5</x:v>
      </x:c>
      <x:c r="E620" s="31" t="str">
        <x:v>—</x:v>
      </x:c>
      <x:c r="F620" s="31" t="str">
        <x:v>—</x:v>
      </x:c>
      <x:c r="G620" s="31" t="str">
        <x:v>—</x:v>
      </x:c>
      <x:c r="H620" s="31" t="str">
        <x:v>—</x:v>
      </x:c>
      <x:c r="I620" s="31" t="str">
        <x:v>포함</x:v>
      </x:c>
      <x:c r="J620" s="31" t="str">
        <x:v>포함</x:v>
      </x:c>
      <x:c r="K620" s="31" t="str">
        <x:v>—</x:v>
      </x:c>
      <x:c r="L620" s="31" t="str">
        <x:v>포함</x:v>
      </x:c>
      <x:c r="M620" s="31" t="str">
        <x:v>—</x:v>
      </x:c>
    </x:row>
    <x:row r="621">
      <x:c r="A621" s="34" t="n">
        <x:v>617</x:v>
      </x:c>
      <x:c r="B621" s="30" t="str">
        <x:v>어지리더</x:v>
      </x:c>
      <x:c r="C621" s="30" t="str">
        <x:v>accelgor</x:v>
      </x:c>
      <x:c r="D621" s="36" t="n">
        <x:v>5</x:v>
      </x:c>
      <x:c r="E621" s="31" t="str">
        <x:v>—</x:v>
      </x:c>
      <x:c r="F621" s="31" t="str">
        <x:v>—</x:v>
      </x:c>
      <x:c r="G621" s="31" t="str">
        <x:v>—</x:v>
      </x:c>
      <x:c r="H621" s="31" t="str">
        <x:v>—</x:v>
      </x:c>
      <x:c r="I621" s="31" t="str">
        <x:v>포함</x:v>
      </x:c>
      <x:c r="J621" s="31" t="str">
        <x:v>포함</x:v>
      </x:c>
      <x:c r="K621" s="31" t="str">
        <x:v>—</x:v>
      </x:c>
      <x:c r="L621" s="31" t="str">
        <x:v>포함</x:v>
      </x:c>
      <x:c r="M621" s="31" t="str">
        <x:v>—</x:v>
      </x:c>
    </x:row>
    <x:row r="622">
      <x:c r="A622" s="34" t="n">
        <x:v>618</x:v>
      </x:c>
      <x:c r="B622" s="30" t="str">
        <x:v>메더</x:v>
      </x:c>
      <x:c r="C622" s="30" t="str">
        <x:v>stunfisk</x:v>
      </x:c>
      <x:c r="D622" s="36" t="n">
        <x:v>5</x:v>
      </x:c>
      <x:c r="E622" s="31" t="str">
        <x:v>—</x:v>
      </x:c>
      <x:c r="F622" s="31" t="str">
        <x:v>—</x:v>
      </x:c>
      <x:c r="G622" s="31" t="str">
        <x:v>—</x:v>
      </x:c>
      <x:c r="H622" s="31" t="str">
        <x:v>—</x:v>
      </x:c>
      <x:c r="I622" s="31" t="str">
        <x:v>포함</x:v>
      </x:c>
      <x:c r="J622" s="31" t="str">
        <x:v>포함</x:v>
      </x:c>
      <x:c r="K622" s="31" t="str">
        <x:v>—</x:v>
      </x:c>
      <x:c r="L622" s="31" t="str">
        <x:v>포함</x:v>
      </x:c>
      <x:c r="M622" s="31" t="str">
        <x:v>—</x:v>
      </x:c>
    </x:row>
    <x:row r="623">
      <x:c r="A623" s="34" t="n">
        <x:v>619</x:v>
      </x:c>
      <x:c r="B623" s="30" t="str">
        <x:v>비조푸</x:v>
      </x:c>
      <x:c r="C623" s="30" t="str">
        <x:v>mienfoo</x:v>
      </x:c>
      <x:c r="D623" s="36" t="n">
        <x:v>5</x:v>
      </x:c>
      <x:c r="E623" s="31" t="str">
        <x:v>—</x:v>
      </x:c>
      <x:c r="F623" s="31" t="str">
        <x:v>—</x:v>
      </x:c>
      <x:c r="G623" s="31" t="str">
        <x:v>—</x:v>
      </x:c>
      <x:c r="H623" s="31" t="str">
        <x:v>—</x:v>
      </x:c>
      <x:c r="I623" s="31" t="str">
        <x:v>포함</x:v>
      </x:c>
      <x:c r="J623" s="31" t="str">
        <x:v>포함</x:v>
      </x:c>
      <x:c r="K623" s="31" t="str">
        <x:v>포함</x:v>
      </x:c>
      <x:c r="L623" s="31" t="str">
        <x:v>포함</x:v>
      </x:c>
      <x:c r="M623" s="31" t="str">
        <x:v>포함</x:v>
      </x:c>
    </x:row>
    <x:row r="624">
      <x:c r="A624" s="34" t="n">
        <x:v>620</x:v>
      </x:c>
      <x:c r="B624" s="30" t="str">
        <x:v>비조도</x:v>
      </x:c>
      <x:c r="C624" s="30" t="str">
        <x:v>mienshao</x:v>
      </x:c>
      <x:c r="D624" s="36" t="n">
        <x:v>5</x:v>
      </x:c>
      <x:c r="E624" s="31" t="str">
        <x:v>—</x:v>
      </x:c>
      <x:c r="F624" s="31" t="str">
        <x:v>—</x:v>
      </x:c>
      <x:c r="G624" s="31" t="str">
        <x:v>—</x:v>
      </x:c>
      <x:c r="H624" s="31" t="str">
        <x:v>—</x:v>
      </x:c>
      <x:c r="I624" s="31" t="str">
        <x:v>포함</x:v>
      </x:c>
      <x:c r="J624" s="31" t="str">
        <x:v>포함</x:v>
      </x:c>
      <x:c r="K624" s="31" t="str">
        <x:v>포함</x:v>
      </x:c>
      <x:c r="L624" s="31" t="str">
        <x:v>포함</x:v>
      </x:c>
      <x:c r="M624" s="31" t="str">
        <x:v>포함</x:v>
      </x:c>
    </x:row>
    <x:row r="625">
      <x:c r="A625" s="34" t="n">
        <x:v>621</x:v>
      </x:c>
      <x:c r="B625" s="30" t="str">
        <x:v>크리만</x:v>
      </x:c>
      <x:c r="C625" s="30" t="str">
        <x:v>druddigon</x:v>
      </x:c>
      <x:c r="D625" s="36" t="n">
        <x:v>5</x:v>
      </x:c>
      <x:c r="E625" s="31" t="str">
        <x:v>—</x:v>
      </x:c>
      <x:c r="F625" s="31" t="str">
        <x:v>—</x:v>
      </x:c>
      <x:c r="G625" s="31" t="str">
        <x:v>—</x:v>
      </x:c>
      <x:c r="H625" s="31" t="str">
        <x:v>—</x:v>
      </x:c>
      <x:c r="I625" s="31" t="str">
        <x:v>포함</x:v>
      </x:c>
      <x:c r="J625" s="31" t="str">
        <x:v>포함</x:v>
      </x:c>
      <x:c r="K625" s="31" t="str">
        <x:v>포함</x:v>
      </x:c>
      <x:c r="L625" s="31" t="str">
        <x:v>포함</x:v>
      </x:c>
      <x:c r="M625" s="31" t="str">
        <x:v>—</x:v>
      </x:c>
    </x:row>
    <x:row r="626">
      <x:c r="A626" s="34" t="n">
        <x:v>622</x:v>
      </x:c>
      <x:c r="B626" s="30" t="str">
        <x:v>골비람</x:v>
      </x:c>
      <x:c r="C626" s="30" t="str">
        <x:v>golett</x:v>
      </x:c>
      <x:c r="D626" s="36" t="n">
        <x:v>5</x:v>
      </x:c>
      <x:c r="E626" s="31" t="str">
        <x:v>—</x:v>
      </x:c>
      <x:c r="F626" s="31" t="str">
        <x:v>—</x:v>
      </x:c>
      <x:c r="G626" s="31" t="str">
        <x:v>—</x:v>
      </x:c>
      <x:c r="H626" s="31" t="str">
        <x:v>—</x:v>
      </x:c>
      <x:c r="I626" s="31" t="str">
        <x:v>포함</x:v>
      </x:c>
      <x:c r="J626" s="31" t="str">
        <x:v>포함</x:v>
      </x:c>
      <x:c r="K626" s="31" t="str">
        <x:v>포함</x:v>
      </x:c>
      <x:c r="L626" s="31" t="str">
        <x:v>포함</x:v>
      </x:c>
      <x:c r="M626" s="31" t="str">
        <x:v>포함</x:v>
      </x:c>
    </x:row>
    <x:row r="627">
      <x:c r="A627" s="34" t="n">
        <x:v>623</x:v>
      </x:c>
      <x:c r="B627" s="30" t="str">
        <x:v>골루그</x:v>
      </x:c>
      <x:c r="C627" s="30" t="str">
        <x:v>golurk</x:v>
      </x:c>
      <x:c r="D627" s="36" t="n">
        <x:v>5</x:v>
      </x:c>
      <x:c r="E627" s="31" t="str">
        <x:v>—</x:v>
      </x:c>
      <x:c r="F627" s="31" t="str">
        <x:v>—</x:v>
      </x:c>
      <x:c r="G627" s="31" t="str">
        <x:v>—</x:v>
      </x:c>
      <x:c r="H627" s="31" t="str">
        <x:v>—</x:v>
      </x:c>
      <x:c r="I627" s="31" t="str">
        <x:v>포함</x:v>
      </x:c>
      <x:c r="J627" s="31" t="str">
        <x:v>포함</x:v>
      </x:c>
      <x:c r="K627" s="31" t="str">
        <x:v>포함</x:v>
      </x:c>
      <x:c r="L627" s="31" t="str">
        <x:v>포함</x:v>
      </x:c>
      <x:c r="M627" s="31" t="str">
        <x:v>포함</x:v>
      </x:c>
    </x:row>
    <x:row r="628">
      <x:c r="A628" s="34" t="n">
        <x:v>624</x:v>
      </x:c>
      <x:c r="B628" s="30" t="str">
        <x:v>자망칼</x:v>
      </x:c>
      <x:c r="C628" s="30" t="str">
        <x:v>pawniard</x:v>
      </x:c>
      <x:c r="D628" s="36" t="n">
        <x:v>5</x:v>
      </x:c>
      <x:c r="E628" s="31" t="str">
        <x:v>—</x:v>
      </x:c>
      <x:c r="F628" s="31" t="str">
        <x:v>—</x:v>
      </x:c>
      <x:c r="G628" s="31" t="str">
        <x:v>—</x:v>
      </x:c>
      <x:c r="H628" s="31" t="str">
        <x:v>—</x:v>
      </x:c>
      <x:c r="I628" s="31" t="str">
        <x:v>포함</x:v>
      </x:c>
      <x:c r="J628" s="31" t="str">
        <x:v>포함</x:v>
      </x:c>
      <x:c r="K628" s="31" t="str">
        <x:v>포함</x:v>
      </x:c>
      <x:c r="L628" s="31" t="str">
        <x:v>포함</x:v>
      </x:c>
      <x:c r="M628" s="31" t="str">
        <x:v>포함</x:v>
      </x:c>
    </x:row>
    <x:row r="629">
      <x:c r="A629" s="34" t="n">
        <x:v>625</x:v>
      </x:c>
      <x:c r="B629" s="30" t="str">
        <x:v>절각참</x:v>
      </x:c>
      <x:c r="C629" s="30" t="str">
        <x:v>bisharp</x:v>
      </x:c>
      <x:c r="D629" s="36" t="n">
        <x:v>5</x:v>
      </x:c>
      <x:c r="E629" s="31" t="str">
        <x:v>—</x:v>
      </x:c>
      <x:c r="F629" s="31" t="str">
        <x:v>—</x:v>
      </x:c>
      <x:c r="G629" s="31" t="str">
        <x:v>—</x:v>
      </x:c>
      <x:c r="H629" s="31" t="str">
        <x:v>—</x:v>
      </x:c>
      <x:c r="I629" s="31" t="str">
        <x:v>포함</x:v>
      </x:c>
      <x:c r="J629" s="31" t="str">
        <x:v>포함</x:v>
      </x:c>
      <x:c r="K629" s="31" t="str">
        <x:v>포함</x:v>
      </x:c>
      <x:c r="L629" s="31" t="str">
        <x:v>포함</x:v>
      </x:c>
      <x:c r="M629" s="31" t="str">
        <x:v>포함</x:v>
      </x:c>
    </x:row>
    <x:row r="630">
      <x:c r="A630" s="34" t="n">
        <x:v>626</x:v>
      </x:c>
      <x:c r="B630" s="30" t="str">
        <x:v>버프론</x:v>
      </x:c>
      <x:c r="C630" s="30" t="str">
        <x:v>bouffalant</x:v>
      </x:c>
      <x:c r="D630" s="36" t="n">
        <x:v>5</x:v>
      </x:c>
      <x:c r="E630" s="31" t="str">
        <x:v>—</x:v>
      </x:c>
      <x:c r="F630" s="31" t="str">
        <x:v>—</x:v>
      </x:c>
      <x:c r="G630" s="31" t="str">
        <x:v>—</x:v>
      </x:c>
      <x:c r="H630" s="31" t="str">
        <x:v>—</x:v>
      </x:c>
      <x:c r="I630" s="31" t="str">
        <x:v>포함</x:v>
      </x:c>
      <x:c r="J630" s="31" t="str">
        <x:v>—</x:v>
      </x:c>
      <x:c r="K630" s="31" t="str">
        <x:v>—</x:v>
      </x:c>
      <x:c r="L630" s="31" t="str">
        <x:v>포함</x:v>
      </x:c>
      <x:c r="M630" s="31" t="str">
        <x:v>—</x:v>
      </x:c>
    </x:row>
    <x:row r="631">
      <x:c r="A631" s="34" t="n">
        <x:v>627</x:v>
      </x:c>
      <x:c r="B631" s="30" t="str">
        <x:v>수리둥보</x:v>
      </x:c>
      <x:c r="C631" s="30" t="str">
        <x:v>rufflet</x:v>
      </x:c>
      <x:c r="D631" s="36" t="n">
        <x:v>5</x:v>
      </x:c>
      <x:c r="E631" s="31" t="str">
        <x:v>—</x:v>
      </x:c>
      <x:c r="F631" s="31" t="str">
        <x:v>—</x:v>
      </x:c>
      <x:c r="G631" s="31" t="str">
        <x:v>—</x:v>
      </x:c>
      <x:c r="H631" s="31" t="str">
        <x:v>—</x:v>
      </x:c>
      <x:c r="I631" s="31" t="str">
        <x:v>포함</x:v>
      </x:c>
      <x:c r="J631" s="31" t="str">
        <x:v>—</x:v>
      </x:c>
      <x:c r="K631" s="31" t="str">
        <x:v>포함</x:v>
      </x:c>
      <x:c r="L631" s="31" t="str">
        <x:v>포함</x:v>
      </x:c>
      <x:c r="M631" s="31" t="str">
        <x:v>포함</x:v>
      </x:c>
    </x:row>
    <x:row r="632">
      <x:c r="A632" s="34" t="n">
        <x:v>628</x:v>
      </x:c>
      <x:c r="B632" s="30" t="str">
        <x:v>워글</x:v>
      </x:c>
      <x:c r="C632" s="30" t="str">
        <x:v>braviary</x:v>
      </x:c>
      <x:c r="D632" s="36" t="n">
        <x:v>5</x:v>
      </x:c>
      <x:c r="E632" s="31" t="str">
        <x:v>—</x:v>
      </x:c>
      <x:c r="F632" s="31" t="str">
        <x:v>—</x:v>
      </x:c>
      <x:c r="G632" s="31" t="str">
        <x:v>—</x:v>
      </x:c>
      <x:c r="H632" s="31" t="str">
        <x:v>—</x:v>
      </x:c>
      <x:c r="I632" s="31" t="str">
        <x:v>포함</x:v>
      </x:c>
      <x:c r="J632" s="31" t="str">
        <x:v>—</x:v>
      </x:c>
      <x:c r="K632" s="31" t="str">
        <x:v>포함</x:v>
      </x:c>
      <x:c r="L632" s="31" t="str">
        <x:v>포함</x:v>
      </x:c>
      <x:c r="M632" s="31" t="str">
        <x:v>포함</x:v>
      </x:c>
    </x:row>
    <x:row r="633">
      <x:c r="A633" s="34" t="n">
        <x:v>629</x:v>
      </x:c>
      <x:c r="B633" s="30" t="str">
        <x:v>벌차이</x:v>
      </x:c>
      <x:c r="C633" s="30" t="str">
        <x:v>vullaby</x:v>
      </x:c>
      <x:c r="D633" s="36" t="n">
        <x:v>5</x:v>
      </x:c>
      <x:c r="E633" s="31" t="str">
        <x:v>—</x:v>
      </x:c>
      <x:c r="F633" s="31" t="str">
        <x:v>—</x:v>
      </x:c>
      <x:c r="G633" s="31" t="str">
        <x:v>—</x:v>
      </x:c>
      <x:c r="H633" s="31" t="str">
        <x:v>—</x:v>
      </x:c>
      <x:c r="I633" s="31" t="str">
        <x:v>포함</x:v>
      </x:c>
      <x:c r="J633" s="31" t="str">
        <x:v>—</x:v>
      </x:c>
      <x:c r="K633" s="31" t="str">
        <x:v>포함</x:v>
      </x:c>
      <x:c r="L633" s="31" t="str">
        <x:v>포함</x:v>
      </x:c>
      <x:c r="M633" s="31" t="str">
        <x:v>포함</x:v>
      </x:c>
    </x:row>
    <x:row r="634">
      <x:c r="A634" s="34" t="n">
        <x:v>630</x:v>
      </x:c>
      <x:c r="B634" s="30" t="str">
        <x:v>버랜지나</x:v>
      </x:c>
      <x:c r="C634" s="30" t="str">
        <x:v>mandibuzz</x:v>
      </x:c>
      <x:c r="D634" s="36" t="n">
        <x:v>5</x:v>
      </x:c>
      <x:c r="E634" s="31" t="str">
        <x:v>—</x:v>
      </x:c>
      <x:c r="F634" s="31" t="str">
        <x:v>—</x:v>
      </x:c>
      <x:c r="G634" s="31" t="str">
        <x:v>—</x:v>
      </x:c>
      <x:c r="H634" s="31" t="str">
        <x:v>—</x:v>
      </x:c>
      <x:c r="I634" s="31" t="str">
        <x:v>포함</x:v>
      </x:c>
      <x:c r="J634" s="31" t="str">
        <x:v>—</x:v>
      </x:c>
      <x:c r="K634" s="31" t="str">
        <x:v>포함</x:v>
      </x:c>
      <x:c r="L634" s="31" t="str">
        <x:v>포함</x:v>
      </x:c>
      <x:c r="M634" s="31" t="str">
        <x:v>포함</x:v>
      </x:c>
    </x:row>
    <x:row r="635">
      <x:c r="A635" s="34" t="n">
        <x:v>631</x:v>
      </x:c>
      <x:c r="B635" s="30" t="str">
        <x:v>앤티골</x:v>
      </x:c>
      <x:c r="C635" s="30" t="str">
        <x:v>heatmor</x:v>
      </x:c>
      <x:c r="D635" s="36" t="n">
        <x:v>5</x:v>
      </x:c>
      <x:c r="E635" s="31" t="str">
        <x:v>—</x:v>
      </x:c>
      <x:c r="F635" s="31" t="str">
        <x:v>—</x:v>
      </x:c>
      <x:c r="G635" s="31" t="str">
        <x:v>—</x:v>
      </x:c>
      <x:c r="H635" s="31" t="str">
        <x:v>—</x:v>
      </x:c>
      <x:c r="I635" s="31" t="str">
        <x:v>포함</x:v>
      </x:c>
      <x:c r="J635" s="31" t="str">
        <x:v>포함</x:v>
      </x:c>
      <x:c r="K635" s="31" t="str">
        <x:v>—</x:v>
      </x:c>
      <x:c r="L635" s="31" t="str">
        <x:v>포함</x:v>
      </x:c>
      <x:c r="M635" s="31" t="str">
        <x:v>—</x:v>
      </x:c>
    </x:row>
    <x:row r="636">
      <x:c r="A636" s="34" t="n">
        <x:v>632</x:v>
      </x:c>
      <x:c r="B636" s="30" t="str">
        <x:v>아이앤트</x:v>
      </x:c>
      <x:c r="C636" s="30" t="str">
        <x:v>durant</x:v>
      </x:c>
      <x:c r="D636" s="36" t="n">
        <x:v>5</x:v>
      </x:c>
      <x:c r="E636" s="31" t="str">
        <x:v>—</x:v>
      </x:c>
      <x:c r="F636" s="31" t="str">
        <x:v>—</x:v>
      </x:c>
      <x:c r="G636" s="31" t="str">
        <x:v>—</x:v>
      </x:c>
      <x:c r="H636" s="31" t="str">
        <x:v>—</x:v>
      </x:c>
      <x:c r="I636" s="31" t="str">
        <x:v>포함</x:v>
      </x:c>
      <x:c r="J636" s="31" t="str">
        <x:v>포함</x:v>
      </x:c>
      <x:c r="K636" s="31" t="str">
        <x:v>—</x:v>
      </x:c>
      <x:c r="L636" s="31" t="str">
        <x:v>포함</x:v>
      </x:c>
      <x:c r="M636" s="31" t="str">
        <x:v>—</x:v>
      </x:c>
    </x:row>
    <x:row r="637">
      <x:c r="A637" s="34" t="n">
        <x:v>633</x:v>
      </x:c>
      <x:c r="B637" s="30" t="str">
        <x:v>모노두</x:v>
      </x:c>
      <x:c r="C637" s="30" t="str">
        <x:v>deino</x:v>
      </x:c>
      <x:c r="D637" s="36" t="n">
        <x:v>5</x:v>
      </x:c>
      <x:c r="E637" s="31" t="str">
        <x:v>—</x:v>
      </x:c>
      <x:c r="F637" s="31" t="str">
        <x:v>—</x:v>
      </x:c>
      <x:c r="G637" s="31" t="str">
        <x:v>—</x:v>
      </x:c>
      <x:c r="H637" s="31" t="str">
        <x:v>—</x:v>
      </x:c>
      <x:c r="I637" s="31" t="str">
        <x:v>포함</x:v>
      </x:c>
      <x:c r="J637" s="31" t="str">
        <x:v>포함</x:v>
      </x:c>
      <x:c r="K637" s="31" t="str">
        <x:v>—</x:v>
      </x:c>
      <x:c r="L637" s="31" t="str">
        <x:v>포함</x:v>
      </x:c>
      <x:c r="M637" s="31" t="str">
        <x:v>포함</x:v>
      </x:c>
    </x:row>
    <x:row r="638">
      <x:c r="A638" s="34" t="n">
        <x:v>634</x:v>
      </x:c>
      <x:c r="B638" s="30" t="str">
        <x:v>디헤드</x:v>
      </x:c>
      <x:c r="C638" s="30" t="str">
        <x:v>zweilous</x:v>
      </x:c>
      <x:c r="D638" s="36" t="n">
        <x:v>5</x:v>
      </x:c>
      <x:c r="E638" s="31" t="str">
        <x:v>—</x:v>
      </x:c>
      <x:c r="F638" s="31" t="str">
        <x:v>—</x:v>
      </x:c>
      <x:c r="G638" s="31" t="str">
        <x:v>—</x:v>
      </x:c>
      <x:c r="H638" s="31" t="str">
        <x:v>—</x:v>
      </x:c>
      <x:c r="I638" s="31" t="str">
        <x:v>포함</x:v>
      </x:c>
      <x:c r="J638" s="31" t="str">
        <x:v>포함</x:v>
      </x:c>
      <x:c r="K638" s="31" t="str">
        <x:v>—</x:v>
      </x:c>
      <x:c r="L638" s="31" t="str">
        <x:v>포함</x:v>
      </x:c>
      <x:c r="M638" s="31" t="str">
        <x:v>포함</x:v>
      </x:c>
    </x:row>
    <x:row r="639">
      <x:c r="A639" s="34" t="n">
        <x:v>635</x:v>
      </x:c>
      <x:c r="B639" s="30" t="str">
        <x:v>삼삼드래</x:v>
      </x:c>
      <x:c r="C639" s="30" t="str">
        <x:v>hydreigon</x:v>
      </x:c>
      <x:c r="D639" s="36" t="n">
        <x:v>5</x:v>
      </x:c>
      <x:c r="E639" s="31" t="str">
        <x:v>—</x:v>
      </x:c>
      <x:c r="F639" s="31" t="str">
        <x:v>—</x:v>
      </x:c>
      <x:c r="G639" s="31" t="str">
        <x:v>—</x:v>
      </x:c>
      <x:c r="H639" s="31" t="str">
        <x:v>—</x:v>
      </x:c>
      <x:c r="I639" s="31" t="str">
        <x:v>포함</x:v>
      </x:c>
      <x:c r="J639" s="31" t="str">
        <x:v>포함</x:v>
      </x:c>
      <x:c r="K639" s="31" t="str">
        <x:v>—</x:v>
      </x:c>
      <x:c r="L639" s="31" t="str">
        <x:v>포함</x:v>
      </x:c>
      <x:c r="M639" s="31" t="str">
        <x:v>포함</x:v>
      </x:c>
    </x:row>
    <x:row r="640">
      <x:c r="A640" s="34" t="n">
        <x:v>636</x:v>
      </x:c>
      <x:c r="B640" s="30" t="str">
        <x:v>활화르바</x:v>
      </x:c>
      <x:c r="C640" s="30" t="str">
        <x:v>larvesta</x:v>
      </x:c>
      <x:c r="D640" s="36" t="n">
        <x:v>5</x:v>
      </x:c>
      <x:c r="E640" s="31" t="str">
        <x:v>—</x:v>
      </x:c>
      <x:c r="F640" s="31" t="str">
        <x:v>—</x:v>
      </x:c>
      <x:c r="G640" s="31" t="str">
        <x:v>—</x:v>
      </x:c>
      <x:c r="H640" s="31" t="str">
        <x:v>—</x:v>
      </x:c>
      <x:c r="I640" s="31" t="str">
        <x:v>포함</x:v>
      </x:c>
      <x:c r="J640" s="31" t="str">
        <x:v>—</x:v>
      </x:c>
      <x:c r="K640" s="31" t="str">
        <x:v>포함</x:v>
      </x:c>
      <x:c r="L640" s="31" t="str">
        <x:v>포함</x:v>
      </x:c>
      <x:c r="M640" s="31" t="str">
        <x:v>포함</x:v>
      </x:c>
    </x:row>
    <x:row r="641">
      <x:c r="A641" s="34" t="n">
        <x:v>637</x:v>
      </x:c>
      <x:c r="B641" s="30" t="str">
        <x:v>불카모스</x:v>
      </x:c>
      <x:c r="C641" s="30" t="str">
        <x:v>volcarona</x:v>
      </x:c>
      <x:c r="D641" s="36" t="n">
        <x:v>5</x:v>
      </x:c>
      <x:c r="E641" s="31" t="str">
        <x:v>—</x:v>
      </x:c>
      <x:c r="F641" s="31" t="str">
        <x:v>—</x:v>
      </x:c>
      <x:c r="G641" s="31" t="str">
        <x:v>—</x:v>
      </x:c>
      <x:c r="H641" s="31" t="str">
        <x:v>—</x:v>
      </x:c>
      <x:c r="I641" s="31" t="str">
        <x:v>포함</x:v>
      </x:c>
      <x:c r="J641" s="31" t="str">
        <x:v>—</x:v>
      </x:c>
      <x:c r="K641" s="31" t="str">
        <x:v>포함</x:v>
      </x:c>
      <x:c r="L641" s="31" t="str">
        <x:v>포함</x:v>
      </x:c>
      <x:c r="M641" s="31" t="str">
        <x:v>포함</x:v>
      </x:c>
    </x:row>
    <x:row r="642">
      <x:c r="A642" s="34" t="n">
        <x:v>638</x:v>
      </x:c>
      <x:c r="B642" s="30" t="str">
        <x:v>코바르온</x:v>
      </x:c>
      <x:c r="C642" s="30" t="str">
        <x:v>cobalion</x:v>
      </x:c>
      <x:c r="D642" s="36" t="n">
        <x:v>5</x:v>
      </x:c>
      <x:c r="E642" s="31" t="str">
        <x:v>—</x:v>
      </x:c>
      <x:c r="F642" s="31" t="str">
        <x:v>—</x:v>
      </x:c>
      <x:c r="G642" s="31" t="str">
        <x:v>—</x:v>
      </x:c>
      <x:c r="H642" s="31" t="str">
        <x:v>—</x:v>
      </x:c>
      <x:c r="I642" s="31" t="str">
        <x:v>포함</x:v>
      </x:c>
      <x:c r="J642" s="31" t="str">
        <x:v>—</x:v>
      </x:c>
      <x:c r="K642" s="31" t="str">
        <x:v>—</x:v>
      </x:c>
      <x:c r="L642" s="31" t="str">
        <x:v>포함</x:v>
      </x:c>
      <x:c r="M642" s="31" t="str">
        <x:v>—</x:v>
      </x:c>
    </x:row>
    <x:row r="643">
      <x:c r="A643" s="34" t="n">
        <x:v>639</x:v>
      </x:c>
      <x:c r="B643" s="30" t="str">
        <x:v>테라키온</x:v>
      </x:c>
      <x:c r="C643" s="30" t="str">
        <x:v>terrakion</x:v>
      </x:c>
      <x:c r="D643" s="36" t="n">
        <x:v>5</x:v>
      </x:c>
      <x:c r="E643" s="31" t="str">
        <x:v>—</x:v>
      </x:c>
      <x:c r="F643" s="31" t="str">
        <x:v>—</x:v>
      </x:c>
      <x:c r="G643" s="31" t="str">
        <x:v>—</x:v>
      </x:c>
      <x:c r="H643" s="31" t="str">
        <x:v>—</x:v>
      </x:c>
      <x:c r="I643" s="31" t="str">
        <x:v>포함</x:v>
      </x:c>
      <x:c r="J643" s="31" t="str">
        <x:v>—</x:v>
      </x:c>
      <x:c r="K643" s="31" t="str">
        <x:v>—</x:v>
      </x:c>
      <x:c r="L643" s="31" t="str">
        <x:v>포함</x:v>
      </x:c>
      <x:c r="M643" s="31" t="str">
        <x:v>—</x:v>
      </x:c>
    </x:row>
    <x:row r="644">
      <x:c r="A644" s="34" t="n">
        <x:v>640</x:v>
      </x:c>
      <x:c r="B644" s="30" t="str">
        <x:v>비리디온</x:v>
      </x:c>
      <x:c r="C644" s="30" t="str">
        <x:v>virizion</x:v>
      </x:c>
      <x:c r="D644" s="36" t="n">
        <x:v>5</x:v>
      </x:c>
      <x:c r="E644" s="31" t="str">
        <x:v>—</x:v>
      </x:c>
      <x:c r="F644" s="31" t="str">
        <x:v>—</x:v>
      </x:c>
      <x:c r="G644" s="31" t="str">
        <x:v>—</x:v>
      </x:c>
      <x:c r="H644" s="31" t="str">
        <x:v>—</x:v>
      </x:c>
      <x:c r="I644" s="31" t="str">
        <x:v>포함</x:v>
      </x:c>
      <x:c r="J644" s="31" t="str">
        <x:v>—</x:v>
      </x:c>
      <x:c r="K644" s="31" t="str">
        <x:v>—</x:v>
      </x:c>
      <x:c r="L644" s="31" t="str">
        <x:v>포함</x:v>
      </x:c>
      <x:c r="M644" s="31" t="str">
        <x:v>—</x:v>
      </x:c>
    </x:row>
    <x:row r="645">
      <x:c r="A645" s="34" t="n">
        <x:v>641</x:v>
      </x:c>
      <x:c r="B645" s="30" t="str">
        <x:v>토네로스</x:v>
      </x:c>
      <x:c r="C645" s="30" t="str">
        <x:v>tornadus</x:v>
      </x:c>
      <x:c r="D645" s="36" t="n">
        <x:v>5</x:v>
      </x:c>
      <x:c r="E645" s="31" t="str">
        <x:v>—</x:v>
      </x:c>
      <x:c r="F645" s="31" t="str">
        <x:v>—</x:v>
      </x:c>
      <x:c r="G645" s="31" t="str">
        <x:v>—</x:v>
      </x:c>
      <x:c r="H645" s="31" t="str">
        <x:v>—</x:v>
      </x:c>
      <x:c r="I645" s="31" t="str">
        <x:v>포함</x:v>
      </x:c>
      <x:c r="J645" s="31" t="str">
        <x:v>—</x:v>
      </x:c>
      <x:c r="K645" s="31" t="str">
        <x:v>—</x:v>
      </x:c>
      <x:c r="L645" s="31" t="str">
        <x:v>—</x:v>
      </x:c>
      <x:c r="M645" s="31" t="str">
        <x:v>—</x:v>
      </x:c>
    </x:row>
    <x:row r="646">
      <x:c r="A646" s="34" t="n">
        <x:v>642</x:v>
      </x:c>
      <x:c r="B646" s="30" t="str">
        <x:v>볼트로스</x:v>
      </x:c>
      <x:c r="C646" s="30" t="str">
        <x:v>thundurus</x:v>
      </x:c>
      <x:c r="D646" s="36" t="n">
        <x:v>5</x:v>
      </x:c>
      <x:c r="E646" s="31" t="str">
        <x:v>—</x:v>
      </x:c>
      <x:c r="F646" s="31" t="str">
        <x:v>—</x:v>
      </x:c>
      <x:c r="G646" s="31" t="str">
        <x:v>—</x:v>
      </x:c>
      <x:c r="H646" s="31" t="str">
        <x:v>—</x:v>
      </x:c>
      <x:c r="I646" s="31" t="str">
        <x:v>포함</x:v>
      </x:c>
      <x:c r="J646" s="31" t="str">
        <x:v>—</x:v>
      </x:c>
      <x:c r="K646" s="31" t="str">
        <x:v>—</x:v>
      </x:c>
      <x:c r="L646" s="31" t="str">
        <x:v>—</x:v>
      </x:c>
      <x:c r="M646" s="31" t="str">
        <x:v>—</x:v>
      </x:c>
    </x:row>
    <x:row r="647">
      <x:c r="A647" s="34" t="n">
        <x:v>643</x:v>
      </x:c>
      <x:c r="B647" s="30" t="str">
        <x:v>레시라무</x:v>
      </x:c>
      <x:c r="C647" s="30" t="str">
        <x:v>reshiram</x:v>
      </x:c>
      <x:c r="D647" s="36" t="n">
        <x:v>5</x:v>
      </x:c>
      <x:c r="E647" s="31" t="str">
        <x:v>—</x:v>
      </x:c>
      <x:c r="F647" s="31" t="str">
        <x:v>—</x:v>
      </x:c>
      <x:c r="G647" s="31" t="str">
        <x:v>—</x:v>
      </x:c>
      <x:c r="H647" s="31" t="str">
        <x:v>—</x:v>
      </x:c>
      <x:c r="I647" s="31" t="str">
        <x:v>포함</x:v>
      </x:c>
      <x:c r="J647" s="31" t="str">
        <x:v>—</x:v>
      </x:c>
      <x:c r="K647" s="31" t="str">
        <x:v>—</x:v>
      </x:c>
      <x:c r="L647" s="31" t="str">
        <x:v>—</x:v>
      </x:c>
      <x:c r="M647" s="31" t="str">
        <x:v>—</x:v>
      </x:c>
    </x:row>
    <x:row r="648">
      <x:c r="A648" s="34" t="n">
        <x:v>644</x:v>
      </x:c>
      <x:c r="B648" s="30" t="str">
        <x:v>제크로무</x:v>
      </x:c>
      <x:c r="C648" s="30" t="str">
        <x:v>zekrom</x:v>
      </x:c>
      <x:c r="D648" s="36" t="n">
        <x:v>5</x:v>
      </x:c>
      <x:c r="E648" s="31" t="str">
        <x:v>—</x:v>
      </x:c>
      <x:c r="F648" s="31" t="str">
        <x:v>—</x:v>
      </x:c>
      <x:c r="G648" s="31" t="str">
        <x:v>—</x:v>
      </x:c>
      <x:c r="H648" s="31" t="str">
        <x:v>—</x:v>
      </x:c>
      <x:c r="I648" s="31" t="str">
        <x:v>포함</x:v>
      </x:c>
      <x:c r="J648" s="31" t="str">
        <x:v>—</x:v>
      </x:c>
      <x:c r="K648" s="31" t="str">
        <x:v>—</x:v>
      </x:c>
      <x:c r="L648" s="31" t="str">
        <x:v>—</x:v>
      </x:c>
      <x:c r="M648" s="31" t="str">
        <x:v>—</x:v>
      </x:c>
    </x:row>
    <x:row r="649">
      <x:c r="A649" s="34" t="n">
        <x:v>645</x:v>
      </x:c>
      <x:c r="B649" s="30" t="str">
        <x:v>랜드로스</x:v>
      </x:c>
      <x:c r="C649" s="30" t="str">
        <x:v>landorus</x:v>
      </x:c>
      <x:c r="D649" s="36" t="n">
        <x:v>5</x:v>
      </x:c>
      <x:c r="E649" s="31" t="str">
        <x:v>—</x:v>
      </x:c>
      <x:c r="F649" s="31" t="str">
        <x:v>—</x:v>
      </x:c>
      <x:c r="G649" s="31" t="str">
        <x:v>—</x:v>
      </x:c>
      <x:c r="H649" s="31" t="str">
        <x:v>—</x:v>
      </x:c>
      <x:c r="I649" s="31" t="str">
        <x:v>포함</x:v>
      </x:c>
      <x:c r="J649" s="31" t="str">
        <x:v>—</x:v>
      </x:c>
      <x:c r="K649" s="31" t="str">
        <x:v>—</x:v>
      </x:c>
      <x:c r="L649" s="31" t="str">
        <x:v>—</x:v>
      </x:c>
      <x:c r="M649" s="31" t="str">
        <x:v>—</x:v>
      </x:c>
    </x:row>
    <x:row r="650">
      <x:c r="A650" s="34" t="n">
        <x:v>646</x:v>
      </x:c>
      <x:c r="B650" s="30" t="str">
        <x:v>큐레무</x:v>
      </x:c>
      <x:c r="C650" s="30" t="str">
        <x:v>kyurem</x:v>
      </x:c>
      <x:c r="D650" s="36" t="n">
        <x:v>5</x:v>
      </x:c>
      <x:c r="E650" s="31" t="str">
        <x:v>—</x:v>
      </x:c>
      <x:c r="F650" s="31" t="str">
        <x:v>—</x:v>
      </x:c>
      <x:c r="G650" s="31" t="str">
        <x:v>—</x:v>
      </x:c>
      <x:c r="H650" s="31" t="str">
        <x:v>—</x:v>
      </x:c>
      <x:c r="I650" s="31" t="str">
        <x:v>포함</x:v>
      </x:c>
      <x:c r="J650" s="31" t="str">
        <x:v>—</x:v>
      </x:c>
      <x:c r="K650" s="31" t="str">
        <x:v>—</x:v>
      </x:c>
      <x:c r="L650" s="31" t="str">
        <x:v>—</x:v>
      </x:c>
      <x:c r="M650" s="31" t="str">
        <x:v>—</x:v>
      </x:c>
    </x:row>
    <x:row r="651">
      <x:c r="A651" s="34" t="n">
        <x:v>647</x:v>
      </x:c>
      <x:c r="B651" s="30" t="str">
        <x:v>케르디오</x:v>
      </x:c>
      <x:c r="C651" s="30" t="str">
        <x:v>keldeo</x:v>
      </x:c>
      <x:c r="D651" s="36" t="n">
        <x:v>5</x:v>
      </x:c>
      <x:c r="E651" s="31" t="str">
        <x:v>—</x:v>
      </x:c>
      <x:c r="F651" s="31" t="str">
        <x:v>—</x:v>
      </x:c>
      <x:c r="G651" s="31" t="str">
        <x:v>—</x:v>
      </x:c>
      <x:c r="H651" s="31" t="str">
        <x:v>—</x:v>
      </x:c>
      <x:c r="I651" s="31" t="str">
        <x:v>포함</x:v>
      </x:c>
      <x:c r="J651" s="31" t="str">
        <x:v>—</x:v>
      </x:c>
      <x:c r="K651" s="31" t="str">
        <x:v>—</x:v>
      </x:c>
      <x:c r="L651" s="31" t="str">
        <x:v>—</x:v>
      </x:c>
      <x:c r="M651" s="31" t="str">
        <x:v>—</x:v>
      </x:c>
    </x:row>
    <x:row r="652">
      <x:c r="A652" s="34" t="n">
        <x:v>648</x:v>
      </x:c>
      <x:c r="B652" s="30" t="str">
        <x:v>메로엣타</x:v>
      </x:c>
      <x:c r="C652" s="30" t="str">
        <x:v>meloetta</x:v>
      </x:c>
      <x:c r="D652" s="36" t="n">
        <x:v>5</x:v>
      </x:c>
      <x:c r="E652" s="31" t="str">
        <x:v>—</x:v>
      </x:c>
      <x:c r="F652" s="31" t="str">
        <x:v>—</x:v>
      </x:c>
      <x:c r="G652" s="31" t="str">
        <x:v>—</x:v>
      </x:c>
      <x:c r="H652" s="31" t="str">
        <x:v>—</x:v>
      </x:c>
      <x:c r="I652" s="31" t="str">
        <x:v>포함</x:v>
      </x:c>
      <x:c r="J652" s="31" t="str">
        <x:v>—</x:v>
      </x:c>
      <x:c r="K652" s="31" t="str">
        <x:v>—</x:v>
      </x:c>
      <x:c r="L652" s="31" t="str">
        <x:v>—</x:v>
      </x:c>
      <x:c r="M652" s="31" t="str">
        <x:v>—</x:v>
      </x:c>
    </x:row>
    <x:row r="653">
      <x:c r="A653" s="34" t="n">
        <x:v>649</x:v>
      </x:c>
      <x:c r="B653" s="30" t="str">
        <x:v>게노세크트</x:v>
      </x:c>
      <x:c r="C653" s="30" t="str">
        <x:v>genesect</x:v>
      </x:c>
      <x:c r="D653" s="36" t="n">
        <x:v>5</x:v>
      </x:c>
      <x:c r="E653" s="31" t="str">
        <x:v>—</x:v>
      </x:c>
      <x:c r="F653" s="31" t="str">
        <x:v>—</x:v>
      </x:c>
      <x:c r="G653" s="31" t="str">
        <x:v>—</x:v>
      </x:c>
      <x:c r="H653" s="31" t="str">
        <x:v>—</x:v>
      </x:c>
      <x:c r="I653" s="31" t="str">
        <x:v>포함</x:v>
      </x:c>
      <x:c r="J653" s="31" t="str">
        <x:v>—</x:v>
      </x:c>
      <x:c r="K653" s="31" t="str">
        <x:v>—</x:v>
      </x:c>
      <x:c r="L653" s="31" t="str">
        <x:v>—</x:v>
      </x:c>
      <x:c r="M653" s="31" t="str">
        <x:v>—</x:v>
      </x:c>
    </x:row>
    <x:row r="654">
      <x:c r="A654" s="34" t="n">
        <x:v>650</x:v>
      </x:c>
      <x:c r="B654" s="30" t="str">
        <x:v>도치마론</x:v>
      </x:c>
      <x:c r="C654" s="30" t="str">
        <x:v>chespin</x:v>
      </x:c>
      <x:c r="D654" s="36" t="n">
        <x:v>6</x:v>
      </x:c>
      <x:c r="E654" s="31" t="str">
        <x:v>—</x:v>
      </x:c>
      <x:c r="F654" s="31" t="str">
        <x:v>—</x:v>
      </x:c>
      <x:c r="G654" s="31" t="str">
        <x:v>—</x:v>
      </x:c>
      <x:c r="H654" s="31" t="str">
        <x:v>—</x:v>
      </x:c>
      <x:c r="I654" s="31" t="str">
        <x:v>—</x:v>
      </x:c>
      <x:c r="J654" s="31" t="str">
        <x:v>포함</x:v>
      </x:c>
      <x:c r="K654" s="31" t="str">
        <x:v>—</x:v>
      </x:c>
      <x:c r="L654" s="31" t="str">
        <x:v>—</x:v>
      </x:c>
      <x:c r="M654" s="31" t="str">
        <x:v>포함</x:v>
      </x:c>
    </x:row>
    <x:row r="655">
      <x:c r="A655" s="34" t="n">
        <x:v>651</x:v>
      </x:c>
      <x:c r="B655" s="30" t="str">
        <x:v>도치보구</x:v>
      </x:c>
      <x:c r="C655" s="30" t="str">
        <x:v>quilladin</x:v>
      </x:c>
      <x:c r="D655" s="36" t="n">
        <x:v>6</x:v>
      </x:c>
      <x:c r="E655" s="31" t="str">
        <x:v>—</x:v>
      </x:c>
      <x:c r="F655" s="31" t="str">
        <x:v>—</x:v>
      </x:c>
      <x:c r="G655" s="31" t="str">
        <x:v>—</x:v>
      </x:c>
      <x:c r="H655" s="31" t="str">
        <x:v>—</x:v>
      </x:c>
      <x:c r="I655" s="31" t="str">
        <x:v>—</x:v>
      </x:c>
      <x:c r="J655" s="31" t="str">
        <x:v>포함</x:v>
      </x:c>
      <x:c r="K655" s="31" t="str">
        <x:v>—</x:v>
      </x:c>
      <x:c r="L655" s="31" t="str">
        <x:v>—</x:v>
      </x:c>
      <x:c r="M655" s="31" t="str">
        <x:v>포함</x:v>
      </x:c>
    </x:row>
    <x:row r="656">
      <x:c r="A656" s="34" t="n">
        <x:v>652</x:v>
      </x:c>
      <x:c r="B656" s="30" t="str">
        <x:v>브리가론</x:v>
      </x:c>
      <x:c r="C656" s="30" t="str">
        <x:v>chesnaught</x:v>
      </x:c>
      <x:c r="D656" s="36" t="n">
        <x:v>6</x:v>
      </x:c>
      <x:c r="E656" s="31" t="str">
        <x:v>—</x:v>
      </x:c>
      <x:c r="F656" s="31" t="str">
        <x:v>—</x:v>
      </x:c>
      <x:c r="G656" s="31" t="str">
        <x:v>—</x:v>
      </x:c>
      <x:c r="H656" s="31" t="str">
        <x:v>—</x:v>
      </x:c>
      <x:c r="I656" s="31" t="str">
        <x:v>—</x:v>
      </x:c>
      <x:c r="J656" s="31" t="str">
        <x:v>포함</x:v>
      </x:c>
      <x:c r="K656" s="31" t="str">
        <x:v>—</x:v>
      </x:c>
      <x:c r="L656" s="31" t="str">
        <x:v>—</x:v>
      </x:c>
      <x:c r="M656" s="31" t="str">
        <x:v>포함</x:v>
      </x:c>
    </x:row>
    <x:row r="657">
      <x:c r="A657" s="34" t="n">
        <x:v>653</x:v>
      </x:c>
      <x:c r="B657" s="30" t="str">
        <x:v>푸호꼬</x:v>
      </x:c>
      <x:c r="C657" s="30" t="str">
        <x:v>fennekin</x:v>
      </x:c>
      <x:c r="D657" s="36" t="n">
        <x:v>6</x:v>
      </x:c>
      <x:c r="E657" s="31" t="str">
        <x:v>—</x:v>
      </x:c>
      <x:c r="F657" s="31" t="str">
        <x:v>—</x:v>
      </x:c>
      <x:c r="G657" s="31" t="str">
        <x:v>—</x:v>
      </x:c>
      <x:c r="H657" s="31" t="str">
        <x:v>—</x:v>
      </x:c>
      <x:c r="I657" s="31" t="str">
        <x:v>—</x:v>
      </x:c>
      <x:c r="J657" s="31" t="str">
        <x:v>포함</x:v>
      </x:c>
      <x:c r="K657" s="31" t="str">
        <x:v>—</x:v>
      </x:c>
      <x:c r="L657" s="31" t="str">
        <x:v>—</x:v>
      </x:c>
      <x:c r="M657" s="31" t="str">
        <x:v>포함</x:v>
      </x:c>
    </x:row>
    <x:row r="658">
      <x:c r="A658" s="34" t="n">
        <x:v>654</x:v>
      </x:c>
      <x:c r="B658" s="30" t="str">
        <x:v>테르나</x:v>
      </x:c>
      <x:c r="C658" s="30" t="str">
        <x:v>braixen</x:v>
      </x:c>
      <x:c r="D658" s="36" t="n">
        <x:v>6</x:v>
      </x:c>
      <x:c r="E658" s="31" t="str">
        <x:v>—</x:v>
      </x:c>
      <x:c r="F658" s="31" t="str">
        <x:v>—</x:v>
      </x:c>
      <x:c r="G658" s="31" t="str">
        <x:v>—</x:v>
      </x:c>
      <x:c r="H658" s="31" t="str">
        <x:v>—</x:v>
      </x:c>
      <x:c r="I658" s="31" t="str">
        <x:v>—</x:v>
      </x:c>
      <x:c r="J658" s="31" t="str">
        <x:v>포함</x:v>
      </x:c>
      <x:c r="K658" s="31" t="str">
        <x:v>—</x:v>
      </x:c>
      <x:c r="L658" s="31" t="str">
        <x:v>—</x:v>
      </x:c>
      <x:c r="M658" s="31" t="str">
        <x:v>포함</x:v>
      </x:c>
    </x:row>
    <x:row r="659">
      <x:c r="A659" s="34" t="n">
        <x:v>655</x:v>
      </x:c>
      <x:c r="B659" s="30" t="str">
        <x:v>마폭시</x:v>
      </x:c>
      <x:c r="C659" s="30" t="str">
        <x:v>delphox</x:v>
      </x:c>
      <x:c r="D659" s="36" t="n">
        <x:v>6</x:v>
      </x:c>
      <x:c r="E659" s="31" t="str">
        <x:v>—</x:v>
      </x:c>
      <x:c r="F659" s="31" t="str">
        <x:v>—</x:v>
      </x:c>
      <x:c r="G659" s="31" t="str">
        <x:v>—</x:v>
      </x:c>
      <x:c r="H659" s="31" t="str">
        <x:v>—</x:v>
      </x:c>
      <x:c r="I659" s="31" t="str">
        <x:v>—</x:v>
      </x:c>
      <x:c r="J659" s="31" t="str">
        <x:v>포함</x:v>
      </x:c>
      <x:c r="K659" s="31" t="str">
        <x:v>—</x:v>
      </x:c>
      <x:c r="L659" s="31" t="str">
        <x:v>—</x:v>
      </x:c>
      <x:c r="M659" s="31" t="str">
        <x:v>포함</x:v>
      </x:c>
    </x:row>
    <x:row r="660">
      <x:c r="A660" s="34" t="n">
        <x:v>656</x:v>
      </x:c>
      <x:c r="B660" s="30" t="str">
        <x:v>개구마르</x:v>
      </x:c>
      <x:c r="C660" s="30" t="str">
        <x:v>froakie</x:v>
      </x:c>
      <x:c r="D660" s="36" t="n">
        <x:v>6</x:v>
      </x:c>
      <x:c r="E660" s="31" t="str">
        <x:v>—</x:v>
      </x:c>
      <x:c r="F660" s="31" t="str">
        <x:v>—</x:v>
      </x:c>
      <x:c r="G660" s="31" t="str">
        <x:v>—</x:v>
      </x:c>
      <x:c r="H660" s="31" t="str">
        <x:v>—</x:v>
      </x:c>
      <x:c r="I660" s="31" t="str">
        <x:v>—</x:v>
      </x:c>
      <x:c r="J660" s="31" t="str">
        <x:v>포함</x:v>
      </x:c>
      <x:c r="K660" s="31" t="str">
        <x:v>—</x:v>
      </x:c>
      <x:c r="L660" s="31" t="str">
        <x:v>—</x:v>
      </x:c>
      <x:c r="M660" s="31" t="str">
        <x:v>포함</x:v>
      </x:c>
    </x:row>
    <x:row r="661">
      <x:c r="A661" s="34" t="n">
        <x:v>657</x:v>
      </x:c>
      <x:c r="B661" s="30" t="str">
        <x:v>개굴반장</x:v>
      </x:c>
      <x:c r="C661" s="30" t="str">
        <x:v>frogadier</x:v>
      </x:c>
      <x:c r="D661" s="36" t="n">
        <x:v>6</x:v>
      </x:c>
      <x:c r="E661" s="31" t="str">
        <x:v>—</x:v>
      </x:c>
      <x:c r="F661" s="31" t="str">
        <x:v>—</x:v>
      </x:c>
      <x:c r="G661" s="31" t="str">
        <x:v>—</x:v>
      </x:c>
      <x:c r="H661" s="31" t="str">
        <x:v>—</x:v>
      </x:c>
      <x:c r="I661" s="31" t="str">
        <x:v>—</x:v>
      </x:c>
      <x:c r="J661" s="31" t="str">
        <x:v>포함</x:v>
      </x:c>
      <x:c r="K661" s="31" t="str">
        <x:v>—</x:v>
      </x:c>
      <x:c r="L661" s="31" t="str">
        <x:v>—</x:v>
      </x:c>
      <x:c r="M661" s="31" t="str">
        <x:v>포함</x:v>
      </x:c>
    </x:row>
    <x:row r="662">
      <x:c r="A662" s="34" t="n">
        <x:v>658</x:v>
      </x:c>
      <x:c r="B662" s="30" t="str">
        <x:v>개굴닌자</x:v>
      </x:c>
      <x:c r="C662" s="30" t="str">
        <x:v>greninja</x:v>
      </x:c>
      <x:c r="D662" s="36" t="n">
        <x:v>6</x:v>
      </x:c>
      <x:c r="E662" s="31" t="str">
        <x:v>—</x:v>
      </x:c>
      <x:c r="F662" s="31" t="str">
        <x:v>—</x:v>
      </x:c>
      <x:c r="G662" s="31" t="str">
        <x:v>—</x:v>
      </x:c>
      <x:c r="H662" s="31" t="str">
        <x:v>—</x:v>
      </x:c>
      <x:c r="I662" s="31" t="str">
        <x:v>—</x:v>
      </x:c>
      <x:c r="J662" s="31" t="str">
        <x:v>포함</x:v>
      </x:c>
      <x:c r="K662" s="31" t="str">
        <x:v>—</x:v>
      </x:c>
      <x:c r="L662" s="31" t="str">
        <x:v>—</x:v>
      </x:c>
      <x:c r="M662" s="31" t="str">
        <x:v>포함</x:v>
      </x:c>
    </x:row>
    <x:row r="663">
      <x:c r="A663" s="34" t="n">
        <x:v>659</x:v>
      </x:c>
      <x:c r="B663" s="30" t="str">
        <x:v>파르빗</x:v>
      </x:c>
      <x:c r="C663" s="30" t="str">
        <x:v>bunnelby</x:v>
      </x:c>
      <x:c r="D663" s="36" t="n">
        <x:v>6</x:v>
      </x:c>
      <x:c r="E663" s="31" t="str">
        <x:v>—</x:v>
      </x:c>
      <x:c r="F663" s="31" t="str">
        <x:v>—</x:v>
      </x:c>
      <x:c r="G663" s="31" t="str">
        <x:v>—</x:v>
      </x:c>
      <x:c r="H663" s="31" t="str">
        <x:v>—</x:v>
      </x:c>
      <x:c r="I663" s="31" t="str">
        <x:v>—</x:v>
      </x:c>
      <x:c r="J663" s="31" t="str">
        <x:v>포함</x:v>
      </x:c>
      <x:c r="K663" s="31" t="str">
        <x:v>—</x:v>
      </x:c>
      <x:c r="L663" s="31" t="str">
        <x:v>포함</x:v>
      </x:c>
      <x:c r="M663" s="31" t="str">
        <x:v>—</x:v>
      </x:c>
    </x:row>
    <x:row r="664">
      <x:c r="A664" s="34" t="n">
        <x:v>660</x:v>
      </x:c>
      <x:c r="B664" s="30" t="str">
        <x:v>파르토</x:v>
      </x:c>
      <x:c r="C664" s="30" t="str">
        <x:v>diggersby</x:v>
      </x:c>
      <x:c r="D664" s="36" t="n">
        <x:v>6</x:v>
      </x:c>
      <x:c r="E664" s="31" t="str">
        <x:v>—</x:v>
      </x:c>
      <x:c r="F664" s="31" t="str">
        <x:v>—</x:v>
      </x:c>
      <x:c r="G664" s="31" t="str">
        <x:v>—</x:v>
      </x:c>
      <x:c r="H664" s="31" t="str">
        <x:v>—</x:v>
      </x:c>
      <x:c r="I664" s="31" t="str">
        <x:v>—</x:v>
      </x:c>
      <x:c r="J664" s="31" t="str">
        <x:v>포함</x:v>
      </x:c>
      <x:c r="K664" s="31" t="str">
        <x:v>—</x:v>
      </x:c>
      <x:c r="L664" s="31" t="str">
        <x:v>포함</x:v>
      </x:c>
      <x:c r="M664" s="31" t="str">
        <x:v>—</x:v>
      </x:c>
    </x:row>
    <x:row r="665">
      <x:c r="A665" s="34" t="n">
        <x:v>661</x:v>
      </x:c>
      <x:c r="B665" s="30" t="str">
        <x:v>화살꼬빈</x:v>
      </x:c>
      <x:c r="C665" s="30" t="str">
        <x:v>fletchling</x:v>
      </x:c>
      <x:c r="D665" s="36" t="n">
        <x:v>6</x:v>
      </x:c>
      <x:c r="E665" s="31" t="str">
        <x:v>—</x:v>
      </x:c>
      <x:c r="F665" s="31" t="str">
        <x:v>—</x:v>
      </x:c>
      <x:c r="G665" s="31" t="str">
        <x:v>—</x:v>
      </x:c>
      <x:c r="H665" s="31" t="str">
        <x:v>—</x:v>
      </x:c>
      <x:c r="I665" s="31" t="str">
        <x:v>—</x:v>
      </x:c>
      <x:c r="J665" s="31" t="str">
        <x:v>포함</x:v>
      </x:c>
      <x:c r="K665" s="31" t="str">
        <x:v>포함</x:v>
      </x:c>
      <x:c r="L665" s="31" t="str">
        <x:v>포함</x:v>
      </x:c>
      <x:c r="M665" s="31" t="str">
        <x:v>포함</x:v>
      </x:c>
    </x:row>
    <x:row r="666">
      <x:c r="A666" s="34" t="n">
        <x:v>662</x:v>
      </x:c>
      <x:c r="B666" s="30" t="str">
        <x:v>불화살빈</x:v>
      </x:c>
      <x:c r="C666" s="30" t="str">
        <x:v>fletchinder</x:v>
      </x:c>
      <x:c r="D666" s="36" t="n">
        <x:v>6</x:v>
      </x:c>
      <x:c r="E666" s="31" t="str">
        <x:v>—</x:v>
      </x:c>
      <x:c r="F666" s="31" t="str">
        <x:v>—</x:v>
      </x:c>
      <x:c r="G666" s="31" t="str">
        <x:v>—</x:v>
      </x:c>
      <x:c r="H666" s="31" t="str">
        <x:v>—</x:v>
      </x:c>
      <x:c r="I666" s="31" t="str">
        <x:v>—</x:v>
      </x:c>
      <x:c r="J666" s="31" t="str">
        <x:v>포함</x:v>
      </x:c>
      <x:c r="K666" s="31" t="str">
        <x:v>포함</x:v>
      </x:c>
      <x:c r="L666" s="31" t="str">
        <x:v>포함</x:v>
      </x:c>
      <x:c r="M666" s="31" t="str">
        <x:v>포함</x:v>
      </x:c>
    </x:row>
    <x:row r="667">
      <x:c r="A667" s="34" t="n">
        <x:v>663</x:v>
      </x:c>
      <x:c r="B667" s="30" t="str">
        <x:v>파이어로</x:v>
      </x:c>
      <x:c r="C667" s="30" t="str">
        <x:v>talonflame</x:v>
      </x:c>
      <x:c r="D667" s="36" t="n">
        <x:v>6</x:v>
      </x:c>
      <x:c r="E667" s="31" t="str">
        <x:v>—</x:v>
      </x:c>
      <x:c r="F667" s="31" t="str">
        <x:v>—</x:v>
      </x:c>
      <x:c r="G667" s="31" t="str">
        <x:v>—</x:v>
      </x:c>
      <x:c r="H667" s="31" t="str">
        <x:v>—</x:v>
      </x:c>
      <x:c r="I667" s="31" t="str">
        <x:v>—</x:v>
      </x:c>
      <x:c r="J667" s="31" t="str">
        <x:v>포함</x:v>
      </x:c>
      <x:c r="K667" s="31" t="str">
        <x:v>포함</x:v>
      </x:c>
      <x:c r="L667" s="31" t="str">
        <x:v>포함</x:v>
      </x:c>
      <x:c r="M667" s="31" t="str">
        <x:v>포함</x:v>
      </x:c>
    </x:row>
    <x:row r="668">
      <x:c r="A668" s="34" t="n">
        <x:v>664</x:v>
      </x:c>
      <x:c r="B668" s="30" t="str">
        <x:v>분이벌레</x:v>
      </x:c>
      <x:c r="C668" s="30" t="str">
        <x:v>scatterbug</x:v>
      </x:c>
      <x:c r="D668" s="36" t="n">
        <x:v>6</x:v>
      </x:c>
      <x:c r="E668" s="31" t="str">
        <x:v>—</x:v>
      </x:c>
      <x:c r="F668" s="31" t="str">
        <x:v>—</x:v>
      </x:c>
      <x:c r="G668" s="31" t="str">
        <x:v>—</x:v>
      </x:c>
      <x:c r="H668" s="31" t="str">
        <x:v>—</x:v>
      </x:c>
      <x:c r="I668" s="31" t="str">
        <x:v>—</x:v>
      </x:c>
      <x:c r="J668" s="31" t="str">
        <x:v>포함</x:v>
      </x:c>
      <x:c r="K668" s="31" t="str">
        <x:v>—</x:v>
      </x:c>
      <x:c r="L668" s="31" t="str">
        <x:v>—</x:v>
      </x:c>
      <x:c r="M668" s="31" t="str">
        <x:v>포함</x:v>
      </x:c>
    </x:row>
    <x:row r="669">
      <x:c r="A669" s="34" t="n">
        <x:v>665</x:v>
      </x:c>
      <x:c r="B669" s="30" t="str">
        <x:v>분떠도리</x:v>
      </x:c>
      <x:c r="C669" s="30" t="str">
        <x:v>spewpa</x:v>
      </x:c>
      <x:c r="D669" s="36" t="n">
        <x:v>6</x:v>
      </x:c>
      <x:c r="E669" s="31" t="str">
        <x:v>—</x:v>
      </x:c>
      <x:c r="F669" s="31" t="str">
        <x:v>—</x:v>
      </x:c>
      <x:c r="G669" s="31" t="str">
        <x:v>—</x:v>
      </x:c>
      <x:c r="H669" s="31" t="str">
        <x:v>—</x:v>
      </x:c>
      <x:c r="I669" s="31" t="str">
        <x:v>—</x:v>
      </x:c>
      <x:c r="J669" s="31" t="str">
        <x:v>포함</x:v>
      </x:c>
      <x:c r="K669" s="31" t="str">
        <x:v>—</x:v>
      </x:c>
      <x:c r="L669" s="31" t="str">
        <x:v>—</x:v>
      </x:c>
      <x:c r="M669" s="31" t="str">
        <x:v>포함</x:v>
      </x:c>
    </x:row>
    <x:row r="670">
      <x:c r="A670" s="34" t="n">
        <x:v>666</x:v>
      </x:c>
      <x:c r="B670" s="30" t="str">
        <x:v>비비용</x:v>
      </x:c>
      <x:c r="C670" s="30" t="str">
        <x:v>vivillon</x:v>
      </x:c>
      <x:c r="D670" s="36" t="n">
        <x:v>6</x:v>
      </x:c>
      <x:c r="E670" s="31" t="str">
        <x:v>—</x:v>
      </x:c>
      <x:c r="F670" s="31" t="str">
        <x:v>—</x:v>
      </x:c>
      <x:c r="G670" s="31" t="str">
        <x:v>—</x:v>
      </x:c>
      <x:c r="H670" s="31" t="str">
        <x:v>—</x:v>
      </x:c>
      <x:c r="I670" s="31" t="str">
        <x:v>—</x:v>
      </x:c>
      <x:c r="J670" s="31" t="str">
        <x:v>포함</x:v>
      </x:c>
      <x:c r="K670" s="31" t="str">
        <x:v>—</x:v>
      </x:c>
      <x:c r="L670" s="31" t="str">
        <x:v>—</x:v>
      </x:c>
      <x:c r="M670" s="31" t="str">
        <x:v>포함</x:v>
      </x:c>
    </x:row>
    <x:row r="671">
      <x:c r="A671" s="34" t="n">
        <x:v>667</x:v>
      </x:c>
      <x:c r="B671" s="30" t="str">
        <x:v>레오꼬</x:v>
      </x:c>
      <x:c r="C671" s="30" t="str">
        <x:v>litleo</x:v>
      </x:c>
      <x:c r="D671" s="36" t="n">
        <x:v>6</x:v>
      </x:c>
      <x:c r="E671" s="31" t="str">
        <x:v>—</x:v>
      </x:c>
      <x:c r="F671" s="31" t="str">
        <x:v>—</x:v>
      </x:c>
      <x:c r="G671" s="31" t="str">
        <x:v>—</x:v>
      </x:c>
      <x:c r="H671" s="31" t="str">
        <x:v>—</x:v>
      </x:c>
      <x:c r="I671" s="31" t="str">
        <x:v>—</x:v>
      </x:c>
      <x:c r="J671" s="31" t="str">
        <x:v>포함</x:v>
      </x:c>
      <x:c r="K671" s="31" t="str">
        <x:v>포함</x:v>
      </x:c>
      <x:c r="L671" s="31" t="str">
        <x:v>—</x:v>
      </x:c>
      <x:c r="M671" s="31" t="str">
        <x:v>포함</x:v>
      </x:c>
    </x:row>
    <x:row r="672">
      <x:c r="A672" s="34" t="n">
        <x:v>668</x:v>
      </x:c>
      <x:c r="B672" s="30" t="str">
        <x:v>화염레오</x:v>
      </x:c>
      <x:c r="C672" s="30" t="str">
        <x:v>pyroar</x:v>
      </x:c>
      <x:c r="D672" s="36" t="n">
        <x:v>6</x:v>
      </x:c>
      <x:c r="E672" s="31" t="str">
        <x:v>—</x:v>
      </x:c>
      <x:c r="F672" s="31" t="str">
        <x:v>—</x:v>
      </x:c>
      <x:c r="G672" s="31" t="str">
        <x:v>—</x:v>
      </x:c>
      <x:c r="H672" s="31" t="str">
        <x:v>—</x:v>
      </x:c>
      <x:c r="I672" s="31" t="str">
        <x:v>—</x:v>
      </x:c>
      <x:c r="J672" s="31" t="str">
        <x:v>포함</x:v>
      </x:c>
      <x:c r="K672" s="31" t="str">
        <x:v>포함</x:v>
      </x:c>
      <x:c r="L672" s="31" t="str">
        <x:v>—</x:v>
      </x:c>
      <x:c r="M672" s="31" t="str">
        <x:v>포함</x:v>
      </x:c>
    </x:row>
    <x:row r="673">
      <x:c r="A673" s="34" t="n">
        <x:v>669</x:v>
      </x:c>
      <x:c r="B673" s="30" t="str">
        <x:v>플라베베</x:v>
      </x:c>
      <x:c r="C673" s="30" t="str">
        <x:v>flabebe</x:v>
      </x:c>
      <x:c r="D673" s="36" t="n">
        <x:v>6</x:v>
      </x:c>
      <x:c r="E673" s="31" t="str">
        <x:v>—</x:v>
      </x:c>
      <x:c r="F673" s="31" t="str">
        <x:v>—</x:v>
      </x:c>
      <x:c r="G673" s="31" t="str">
        <x:v>—</x:v>
      </x:c>
      <x:c r="H673" s="31" t="str">
        <x:v>—</x:v>
      </x:c>
      <x:c r="I673" s="31" t="str">
        <x:v>—</x:v>
      </x:c>
      <x:c r="J673" s="31" t="str">
        <x:v>포함</x:v>
      </x:c>
      <x:c r="K673" s="31" t="str">
        <x:v>포함</x:v>
      </x:c>
      <x:c r="L673" s="31" t="str">
        <x:v>—</x:v>
      </x:c>
      <x:c r="M673" s="31" t="str">
        <x:v>포함</x:v>
      </x:c>
    </x:row>
    <x:row r="674">
      <x:c r="A674" s="34" t="n">
        <x:v>670</x:v>
      </x:c>
      <x:c r="B674" s="30" t="str">
        <x:v>플라엣테</x:v>
      </x:c>
      <x:c r="C674" s="30" t="str">
        <x:v>floette</x:v>
      </x:c>
      <x:c r="D674" s="36" t="n">
        <x:v>6</x:v>
      </x:c>
      <x:c r="E674" s="31" t="str">
        <x:v>—</x:v>
      </x:c>
      <x:c r="F674" s="31" t="str">
        <x:v>—</x:v>
      </x:c>
      <x:c r="G674" s="31" t="str">
        <x:v>—</x:v>
      </x:c>
      <x:c r="H674" s="31" t="str">
        <x:v>—</x:v>
      </x:c>
      <x:c r="I674" s="31" t="str">
        <x:v>—</x:v>
      </x:c>
      <x:c r="J674" s="31" t="str">
        <x:v>포함</x:v>
      </x:c>
      <x:c r="K674" s="31" t="str">
        <x:v>포함</x:v>
      </x:c>
      <x:c r="L674" s="31" t="str">
        <x:v>—</x:v>
      </x:c>
      <x:c r="M674" s="31" t="str">
        <x:v>포함</x:v>
      </x:c>
    </x:row>
    <x:row r="675">
      <x:c r="A675" s="34" t="n">
        <x:v>671</x:v>
      </x:c>
      <x:c r="B675" s="30" t="str">
        <x:v>플라제스</x:v>
      </x:c>
      <x:c r="C675" s="30" t="str">
        <x:v>florges</x:v>
      </x:c>
      <x:c r="D675" s="36" t="n">
        <x:v>6</x:v>
      </x:c>
      <x:c r="E675" s="31" t="str">
        <x:v>—</x:v>
      </x:c>
      <x:c r="F675" s="31" t="str">
        <x:v>—</x:v>
      </x:c>
      <x:c r="G675" s="31" t="str">
        <x:v>—</x:v>
      </x:c>
      <x:c r="H675" s="31" t="str">
        <x:v>—</x:v>
      </x:c>
      <x:c r="I675" s="31" t="str">
        <x:v>—</x:v>
      </x:c>
      <x:c r="J675" s="31" t="str">
        <x:v>포함</x:v>
      </x:c>
      <x:c r="K675" s="31" t="str">
        <x:v>포함</x:v>
      </x:c>
      <x:c r="L675" s="31" t="str">
        <x:v>—</x:v>
      </x:c>
      <x:c r="M675" s="31" t="str">
        <x:v>포함</x:v>
      </x:c>
    </x:row>
    <x:row r="676">
      <x:c r="A676" s="34" t="n">
        <x:v>672</x:v>
      </x:c>
      <x:c r="B676" s="30" t="str">
        <x:v>메이클</x:v>
      </x:c>
      <x:c r="C676" s="30" t="str">
        <x:v>skiddo</x:v>
      </x:c>
      <x:c r="D676" s="36" t="n">
        <x:v>6</x:v>
      </x:c>
      <x:c r="E676" s="31" t="str">
        <x:v>—</x:v>
      </x:c>
      <x:c r="F676" s="31" t="str">
        <x:v>—</x:v>
      </x:c>
      <x:c r="G676" s="31" t="str">
        <x:v>—</x:v>
      </x:c>
      <x:c r="H676" s="31" t="str">
        <x:v>—</x:v>
      </x:c>
      <x:c r="I676" s="31" t="str">
        <x:v>—</x:v>
      </x:c>
      <x:c r="J676" s="31" t="str">
        <x:v>포함</x:v>
      </x:c>
      <x:c r="K676" s="31" t="str">
        <x:v>—</x:v>
      </x:c>
      <x:c r="L676" s="31" t="str">
        <x:v>—</x:v>
      </x:c>
      <x:c r="M676" s="31" t="str">
        <x:v>포함</x:v>
      </x:c>
    </x:row>
    <x:row r="677">
      <x:c r="A677" s="34" t="n">
        <x:v>673</x:v>
      </x:c>
      <x:c r="B677" s="30" t="str">
        <x:v>고고트</x:v>
      </x:c>
      <x:c r="C677" s="30" t="str">
        <x:v>gogoat</x:v>
      </x:c>
      <x:c r="D677" s="36" t="n">
        <x:v>6</x:v>
      </x:c>
      <x:c r="E677" s="31" t="str">
        <x:v>—</x:v>
      </x:c>
      <x:c r="F677" s="31" t="str">
        <x:v>—</x:v>
      </x:c>
      <x:c r="G677" s="31" t="str">
        <x:v>—</x:v>
      </x:c>
      <x:c r="H677" s="31" t="str">
        <x:v>—</x:v>
      </x:c>
      <x:c r="I677" s="31" t="str">
        <x:v>—</x:v>
      </x:c>
      <x:c r="J677" s="31" t="str">
        <x:v>포함</x:v>
      </x:c>
      <x:c r="K677" s="31" t="str">
        <x:v>—</x:v>
      </x:c>
      <x:c r="L677" s="31" t="str">
        <x:v>—</x:v>
      </x:c>
      <x:c r="M677" s="31" t="str">
        <x:v>포함</x:v>
      </x:c>
    </x:row>
    <x:row r="678">
      <x:c r="A678" s="34" t="n">
        <x:v>674</x:v>
      </x:c>
      <x:c r="B678" s="30" t="str">
        <x:v>판짱</x:v>
      </x:c>
      <x:c r="C678" s="30" t="str">
        <x:v>pancham</x:v>
      </x:c>
      <x:c r="D678" s="36" t="n">
        <x:v>6</x:v>
      </x:c>
      <x:c r="E678" s="31" t="str">
        <x:v>—</x:v>
      </x:c>
      <x:c r="F678" s="31" t="str">
        <x:v>—</x:v>
      </x:c>
      <x:c r="G678" s="31" t="str">
        <x:v>—</x:v>
      </x:c>
      <x:c r="H678" s="31" t="str">
        <x:v>—</x:v>
      </x:c>
      <x:c r="I678" s="31" t="str">
        <x:v>—</x:v>
      </x:c>
      <x:c r="J678" s="31" t="str">
        <x:v>포함</x:v>
      </x:c>
      <x:c r="K678" s="31" t="str">
        <x:v>포함</x:v>
      </x:c>
      <x:c r="L678" s="31" t="str">
        <x:v>포함</x:v>
      </x:c>
      <x:c r="M678" s="31" t="str">
        <x:v>—</x:v>
      </x:c>
    </x:row>
    <x:row r="679">
      <x:c r="A679" s="34" t="n">
        <x:v>675</x:v>
      </x:c>
      <x:c r="B679" s="30" t="str">
        <x:v>부란다</x:v>
      </x:c>
      <x:c r="C679" s="30" t="str">
        <x:v>pangoro</x:v>
      </x:c>
      <x:c r="D679" s="36" t="n">
        <x:v>6</x:v>
      </x:c>
      <x:c r="E679" s="31" t="str">
        <x:v>—</x:v>
      </x:c>
      <x:c r="F679" s="31" t="str">
        <x:v>—</x:v>
      </x:c>
      <x:c r="G679" s="31" t="str">
        <x:v>—</x:v>
      </x:c>
      <x:c r="H679" s="31" t="str">
        <x:v>—</x:v>
      </x:c>
      <x:c r="I679" s="31" t="str">
        <x:v>—</x:v>
      </x:c>
      <x:c r="J679" s="31" t="str">
        <x:v>포함</x:v>
      </x:c>
      <x:c r="K679" s="31" t="str">
        <x:v>포함</x:v>
      </x:c>
      <x:c r="L679" s="31" t="str">
        <x:v>포함</x:v>
      </x:c>
      <x:c r="M679" s="31" t="str">
        <x:v>—</x:v>
      </x:c>
    </x:row>
    <x:row r="680">
      <x:c r="A680" s="34" t="n">
        <x:v>676</x:v>
      </x:c>
      <x:c r="B680" s="30" t="str">
        <x:v>트리미앙</x:v>
      </x:c>
      <x:c r="C680" s="30" t="str">
        <x:v>furfrou</x:v>
      </x:c>
      <x:c r="D680" s="36" t="n">
        <x:v>6</x:v>
      </x:c>
      <x:c r="E680" s="31" t="str">
        <x:v>—</x:v>
      </x:c>
      <x:c r="F680" s="31" t="str">
        <x:v>—</x:v>
      </x:c>
      <x:c r="G680" s="31" t="str">
        <x:v>—</x:v>
      </x:c>
      <x:c r="H680" s="31" t="str">
        <x:v>—</x:v>
      </x:c>
      <x:c r="I680" s="31" t="str">
        <x:v>—</x:v>
      </x:c>
      <x:c r="J680" s="31" t="str">
        <x:v>포함</x:v>
      </x:c>
      <x:c r="K680" s="31" t="str">
        <x:v>포함</x:v>
      </x:c>
      <x:c r="L680" s="31" t="str">
        <x:v>—</x:v>
      </x:c>
      <x:c r="M680" s="31" t="str">
        <x:v>—</x:v>
      </x:c>
    </x:row>
    <x:row r="681">
      <x:c r="A681" s="34" t="n">
        <x:v>677</x:v>
      </x:c>
      <x:c r="B681" s="30" t="str">
        <x:v>냐스퍼</x:v>
      </x:c>
      <x:c r="C681" s="30" t="str">
        <x:v>espurr</x:v>
      </x:c>
      <x:c r="D681" s="36" t="n">
        <x:v>6</x:v>
      </x:c>
      <x:c r="E681" s="31" t="str">
        <x:v>—</x:v>
      </x:c>
      <x:c r="F681" s="31" t="str">
        <x:v>—</x:v>
      </x:c>
      <x:c r="G681" s="31" t="str">
        <x:v>—</x:v>
      </x:c>
      <x:c r="H681" s="31" t="str">
        <x:v>—</x:v>
      </x:c>
      <x:c r="I681" s="31" t="str">
        <x:v>—</x:v>
      </x:c>
      <x:c r="J681" s="31" t="str">
        <x:v>포함</x:v>
      </x:c>
      <x:c r="K681" s="31" t="str">
        <x:v>—</x:v>
      </x:c>
      <x:c r="L681" s="31" t="str">
        <x:v>포함</x:v>
      </x:c>
      <x:c r="M681" s="31" t="str">
        <x:v>포함</x:v>
      </x:c>
    </x:row>
    <x:row r="682">
      <x:c r="A682" s="34" t="n">
        <x:v>678</x:v>
      </x:c>
      <x:c r="B682" s="30" t="str">
        <x:v>냐오닉스</x:v>
      </x:c>
      <x:c r="C682" s="30" t="str">
        <x:v>meowstic</x:v>
      </x:c>
      <x:c r="D682" s="36" t="n">
        <x:v>6</x:v>
      </x:c>
      <x:c r="E682" s="31" t="str">
        <x:v>—</x:v>
      </x:c>
      <x:c r="F682" s="31" t="str">
        <x:v>—</x:v>
      </x:c>
      <x:c r="G682" s="31" t="str">
        <x:v>—</x:v>
      </x:c>
      <x:c r="H682" s="31" t="str">
        <x:v>—</x:v>
      </x:c>
      <x:c r="I682" s="31" t="str">
        <x:v>—</x:v>
      </x:c>
      <x:c r="J682" s="31" t="str">
        <x:v>포함</x:v>
      </x:c>
      <x:c r="K682" s="31" t="str">
        <x:v>—</x:v>
      </x:c>
      <x:c r="L682" s="31" t="str">
        <x:v>포함</x:v>
      </x:c>
      <x:c r="M682" s="31" t="str">
        <x:v>포함</x:v>
      </x:c>
    </x:row>
    <x:row r="683">
      <x:c r="A683" s="34" t="n">
        <x:v>679</x:v>
      </x:c>
      <x:c r="B683" s="30" t="str">
        <x:v>단칼빙</x:v>
      </x:c>
      <x:c r="C683" s="30" t="str">
        <x:v>honedge</x:v>
      </x:c>
      <x:c r="D683" s="36" t="n">
        <x:v>6</x:v>
      </x:c>
      <x:c r="E683" s="31" t="str">
        <x:v>—</x:v>
      </x:c>
      <x:c r="F683" s="31" t="str">
        <x:v>—</x:v>
      </x:c>
      <x:c r="G683" s="31" t="str">
        <x:v>—</x:v>
      </x:c>
      <x:c r="H683" s="31" t="str">
        <x:v>—</x:v>
      </x:c>
      <x:c r="I683" s="31" t="str">
        <x:v>—</x:v>
      </x:c>
      <x:c r="J683" s="31" t="str">
        <x:v>포함</x:v>
      </x:c>
      <x:c r="K683" s="31" t="str">
        <x:v>—</x:v>
      </x:c>
      <x:c r="L683" s="31" t="str">
        <x:v>포함</x:v>
      </x:c>
      <x:c r="M683" s="31" t="str">
        <x:v>—</x:v>
      </x:c>
    </x:row>
    <x:row r="684">
      <x:c r="A684" s="34" t="n">
        <x:v>680</x:v>
      </x:c>
      <x:c r="B684" s="30" t="str">
        <x:v>쌍검킬</x:v>
      </x:c>
      <x:c r="C684" s="30" t="str">
        <x:v>doublade</x:v>
      </x:c>
      <x:c r="D684" s="36" t="n">
        <x:v>6</x:v>
      </x:c>
      <x:c r="E684" s="31" t="str">
        <x:v>—</x:v>
      </x:c>
      <x:c r="F684" s="31" t="str">
        <x:v>—</x:v>
      </x:c>
      <x:c r="G684" s="31" t="str">
        <x:v>—</x:v>
      </x:c>
      <x:c r="H684" s="31" t="str">
        <x:v>—</x:v>
      </x:c>
      <x:c r="I684" s="31" t="str">
        <x:v>—</x:v>
      </x:c>
      <x:c r="J684" s="31" t="str">
        <x:v>포함</x:v>
      </x:c>
      <x:c r="K684" s="31" t="str">
        <x:v>—</x:v>
      </x:c>
      <x:c r="L684" s="31" t="str">
        <x:v>포함</x:v>
      </x:c>
      <x:c r="M684" s="31" t="str">
        <x:v>—</x:v>
      </x:c>
    </x:row>
    <x:row r="685">
      <x:c r="A685" s="34" t="n">
        <x:v>681</x:v>
      </x:c>
      <x:c r="B685" s="30" t="str">
        <x:v>킬가르도</x:v>
      </x:c>
      <x:c r="C685" s="30" t="str">
        <x:v>aegislash</x:v>
      </x:c>
      <x:c r="D685" s="36" t="n">
        <x:v>6</x:v>
      </x:c>
      <x:c r="E685" s="31" t="str">
        <x:v>—</x:v>
      </x:c>
      <x:c r="F685" s="31" t="str">
        <x:v>—</x:v>
      </x:c>
      <x:c r="G685" s="31" t="str">
        <x:v>—</x:v>
      </x:c>
      <x:c r="H685" s="31" t="str">
        <x:v>—</x:v>
      </x:c>
      <x:c r="I685" s="31" t="str">
        <x:v>—</x:v>
      </x:c>
      <x:c r="J685" s="31" t="str">
        <x:v>포함</x:v>
      </x:c>
      <x:c r="K685" s="31" t="str">
        <x:v>—</x:v>
      </x:c>
      <x:c r="L685" s="31" t="str">
        <x:v>포함</x:v>
      </x:c>
      <x:c r="M685" s="31" t="str">
        <x:v>—</x:v>
      </x:c>
    </x:row>
    <x:row r="686">
      <x:c r="A686" s="34" t="n">
        <x:v>682</x:v>
      </x:c>
      <x:c r="B686" s="30" t="str">
        <x:v>슈쁘</x:v>
      </x:c>
      <x:c r="C686" s="30" t="str">
        <x:v>spritzee</x:v>
      </x:c>
      <x:c r="D686" s="36" t="n">
        <x:v>6</x:v>
      </x:c>
      <x:c r="E686" s="31" t="str">
        <x:v>—</x:v>
      </x:c>
      <x:c r="F686" s="31" t="str">
        <x:v>—</x:v>
      </x:c>
      <x:c r="G686" s="31" t="str">
        <x:v>—</x:v>
      </x:c>
      <x:c r="H686" s="31" t="str">
        <x:v>—</x:v>
      </x:c>
      <x:c r="I686" s="31" t="str">
        <x:v>—</x:v>
      </x:c>
      <x:c r="J686" s="31" t="str">
        <x:v>포함</x:v>
      </x:c>
      <x:c r="K686" s="31" t="str">
        <x:v>—</x:v>
      </x:c>
      <x:c r="L686" s="31" t="str">
        <x:v>포함</x:v>
      </x:c>
      <x:c r="M686" s="31" t="str">
        <x:v>—</x:v>
      </x:c>
    </x:row>
    <x:row r="687">
      <x:c r="A687" s="34" t="n">
        <x:v>683</x:v>
      </x:c>
      <x:c r="B687" s="30" t="str">
        <x:v>프레프티르</x:v>
      </x:c>
      <x:c r="C687" s="30" t="str">
        <x:v>aromatisse</x:v>
      </x:c>
      <x:c r="D687" s="36" t="n">
        <x:v>6</x:v>
      </x:c>
      <x:c r="E687" s="31" t="str">
        <x:v>—</x:v>
      </x:c>
      <x:c r="F687" s="31" t="str">
        <x:v>—</x:v>
      </x:c>
      <x:c r="G687" s="31" t="str">
        <x:v>—</x:v>
      </x:c>
      <x:c r="H687" s="31" t="str">
        <x:v>—</x:v>
      </x:c>
      <x:c r="I687" s="31" t="str">
        <x:v>—</x:v>
      </x:c>
      <x:c r="J687" s="31" t="str">
        <x:v>포함</x:v>
      </x:c>
      <x:c r="K687" s="31" t="str">
        <x:v>—</x:v>
      </x:c>
      <x:c r="L687" s="31" t="str">
        <x:v>포함</x:v>
      </x:c>
      <x:c r="M687" s="31" t="str">
        <x:v>—</x:v>
      </x:c>
    </x:row>
    <x:row r="688">
      <x:c r="A688" s="34" t="n">
        <x:v>684</x:v>
      </x:c>
      <x:c r="B688" s="30" t="str">
        <x:v>나룸퍼프</x:v>
      </x:c>
      <x:c r="C688" s="30" t="str">
        <x:v>swirlix</x:v>
      </x:c>
      <x:c r="D688" s="36" t="n">
        <x:v>6</x:v>
      </x:c>
      <x:c r="E688" s="31" t="str">
        <x:v>—</x:v>
      </x:c>
      <x:c r="F688" s="31" t="str">
        <x:v>—</x:v>
      </x:c>
      <x:c r="G688" s="31" t="str">
        <x:v>—</x:v>
      </x:c>
      <x:c r="H688" s="31" t="str">
        <x:v>—</x:v>
      </x:c>
      <x:c r="I688" s="31" t="str">
        <x:v>—</x:v>
      </x:c>
      <x:c r="J688" s="31" t="str">
        <x:v>포함</x:v>
      </x:c>
      <x:c r="K688" s="31" t="str">
        <x:v>—</x:v>
      </x:c>
      <x:c r="L688" s="31" t="str">
        <x:v>포함</x:v>
      </x:c>
      <x:c r="M688" s="31" t="str">
        <x:v>—</x:v>
      </x:c>
    </x:row>
    <x:row r="689">
      <x:c r="A689" s="34" t="n">
        <x:v>685</x:v>
      </x:c>
      <x:c r="B689" s="30" t="str">
        <x:v>나루림</x:v>
      </x:c>
      <x:c r="C689" s="30" t="str">
        <x:v>slurpuff</x:v>
      </x:c>
      <x:c r="D689" s="36" t="n">
        <x:v>6</x:v>
      </x:c>
      <x:c r="E689" s="31" t="str">
        <x:v>—</x:v>
      </x:c>
      <x:c r="F689" s="31" t="str">
        <x:v>—</x:v>
      </x:c>
      <x:c r="G689" s="31" t="str">
        <x:v>—</x:v>
      </x:c>
      <x:c r="H689" s="31" t="str">
        <x:v>—</x:v>
      </x:c>
      <x:c r="I689" s="31" t="str">
        <x:v>—</x:v>
      </x:c>
      <x:c r="J689" s="31" t="str">
        <x:v>포함</x:v>
      </x:c>
      <x:c r="K689" s="31" t="str">
        <x:v>—</x:v>
      </x:c>
      <x:c r="L689" s="31" t="str">
        <x:v>포함</x:v>
      </x:c>
      <x:c r="M689" s="31" t="str">
        <x:v>—</x:v>
      </x:c>
    </x:row>
    <x:row r="690">
      <x:c r="A690" s="34" t="n">
        <x:v>686</x:v>
      </x:c>
      <x:c r="B690" s="30" t="str">
        <x:v>오케이징</x:v>
      </x:c>
      <x:c r="C690" s="30" t="str">
        <x:v>inkay</x:v>
      </x:c>
      <x:c r="D690" s="36" t="n">
        <x:v>6</x:v>
      </x:c>
      <x:c r="E690" s="31" t="str">
        <x:v>—</x:v>
      </x:c>
      <x:c r="F690" s="31" t="str">
        <x:v>—</x:v>
      </x:c>
      <x:c r="G690" s="31" t="str">
        <x:v>—</x:v>
      </x:c>
      <x:c r="H690" s="31" t="str">
        <x:v>—</x:v>
      </x:c>
      <x:c r="I690" s="31" t="str">
        <x:v>—</x:v>
      </x:c>
      <x:c r="J690" s="31" t="str">
        <x:v>포함</x:v>
      </x:c>
      <x:c r="K690" s="31" t="str">
        <x:v>포함</x:v>
      </x:c>
      <x:c r="L690" s="31" t="str">
        <x:v>포함</x:v>
      </x:c>
      <x:c r="M690" s="31" t="str">
        <x:v>포함</x:v>
      </x:c>
    </x:row>
    <x:row r="691">
      <x:c r="A691" s="34" t="n">
        <x:v>687</x:v>
      </x:c>
      <x:c r="B691" s="30" t="str">
        <x:v>칼라마네로</x:v>
      </x:c>
      <x:c r="C691" s="30" t="str">
        <x:v>malamar</x:v>
      </x:c>
      <x:c r="D691" s="36" t="n">
        <x:v>6</x:v>
      </x:c>
      <x:c r="E691" s="31" t="str">
        <x:v>—</x:v>
      </x:c>
      <x:c r="F691" s="31" t="str">
        <x:v>—</x:v>
      </x:c>
      <x:c r="G691" s="31" t="str">
        <x:v>—</x:v>
      </x:c>
      <x:c r="H691" s="31" t="str">
        <x:v>—</x:v>
      </x:c>
      <x:c r="I691" s="31" t="str">
        <x:v>—</x:v>
      </x:c>
      <x:c r="J691" s="31" t="str">
        <x:v>포함</x:v>
      </x:c>
      <x:c r="K691" s="31" t="str">
        <x:v>포함</x:v>
      </x:c>
      <x:c r="L691" s="31" t="str">
        <x:v>포함</x:v>
      </x:c>
      <x:c r="M691" s="31" t="str">
        <x:v>포함</x:v>
      </x:c>
    </x:row>
    <x:row r="692">
      <x:c r="A692" s="34" t="n">
        <x:v>688</x:v>
      </x:c>
      <x:c r="B692" s="30" t="str">
        <x:v>거북손손</x:v>
      </x:c>
      <x:c r="C692" s="30" t="str">
        <x:v>binacle</x:v>
      </x:c>
      <x:c r="D692" s="36" t="n">
        <x:v>6</x:v>
      </x:c>
      <x:c r="E692" s="31" t="str">
        <x:v>—</x:v>
      </x:c>
      <x:c r="F692" s="31" t="str">
        <x:v>—</x:v>
      </x:c>
      <x:c r="G692" s="31" t="str">
        <x:v>—</x:v>
      </x:c>
      <x:c r="H692" s="31" t="str">
        <x:v>—</x:v>
      </x:c>
      <x:c r="I692" s="31" t="str">
        <x:v>—</x:v>
      </x:c>
      <x:c r="J692" s="31" t="str">
        <x:v>포함</x:v>
      </x:c>
      <x:c r="K692" s="31" t="str">
        <x:v>—</x:v>
      </x:c>
      <x:c r="L692" s="31" t="str">
        <x:v>포함</x:v>
      </x:c>
      <x:c r="M692" s="31" t="str">
        <x:v>—</x:v>
      </x:c>
    </x:row>
    <x:row r="693">
      <x:c r="A693" s="34" t="n">
        <x:v>689</x:v>
      </x:c>
      <x:c r="B693" s="30" t="str">
        <x:v>거북손데스</x:v>
      </x:c>
      <x:c r="C693" s="30" t="str">
        <x:v>barbaracle</x:v>
      </x:c>
      <x:c r="D693" s="36" t="n">
        <x:v>6</x:v>
      </x:c>
      <x:c r="E693" s="31" t="str">
        <x:v>—</x:v>
      </x:c>
      <x:c r="F693" s="31" t="str">
        <x:v>—</x:v>
      </x:c>
      <x:c r="G693" s="31" t="str">
        <x:v>—</x:v>
      </x:c>
      <x:c r="H693" s="31" t="str">
        <x:v>—</x:v>
      </x:c>
      <x:c r="I693" s="31" t="str">
        <x:v>—</x:v>
      </x:c>
      <x:c r="J693" s="31" t="str">
        <x:v>포함</x:v>
      </x:c>
      <x:c r="K693" s="31" t="str">
        <x:v>—</x:v>
      </x:c>
      <x:c r="L693" s="31" t="str">
        <x:v>포함</x:v>
      </x:c>
      <x:c r="M693" s="31" t="str">
        <x:v>—</x:v>
      </x:c>
    </x:row>
    <x:row r="694">
      <x:c r="A694" s="34" t="n">
        <x:v>690</x:v>
      </x:c>
      <x:c r="B694" s="30" t="str">
        <x:v>수레기</x:v>
      </x:c>
      <x:c r="C694" s="30" t="str">
        <x:v>skrelp</x:v>
      </x:c>
      <x:c r="D694" s="36" t="n">
        <x:v>6</x:v>
      </x:c>
      <x:c r="E694" s="31" t="str">
        <x:v>—</x:v>
      </x:c>
      <x:c r="F694" s="31" t="str">
        <x:v>—</x:v>
      </x:c>
      <x:c r="G694" s="31" t="str">
        <x:v>—</x:v>
      </x:c>
      <x:c r="H694" s="31" t="str">
        <x:v>—</x:v>
      </x:c>
      <x:c r="I694" s="31" t="str">
        <x:v>—</x:v>
      </x:c>
      <x:c r="J694" s="31" t="str">
        <x:v>포함</x:v>
      </x:c>
      <x:c r="K694" s="31" t="str">
        <x:v>포함</x:v>
      </x:c>
      <x:c r="L694" s="31" t="str">
        <x:v>포함</x:v>
      </x:c>
      <x:c r="M694" s="31" t="str">
        <x:v>포함</x:v>
      </x:c>
    </x:row>
    <x:row r="695">
      <x:c r="A695" s="34" t="n">
        <x:v>691</x:v>
      </x:c>
      <x:c r="B695" s="30" t="str">
        <x:v>드래캄</x:v>
      </x:c>
      <x:c r="C695" s="30" t="str">
        <x:v>dragalge</x:v>
      </x:c>
      <x:c r="D695" s="36" t="n">
        <x:v>6</x:v>
      </x:c>
      <x:c r="E695" s="31" t="str">
        <x:v>—</x:v>
      </x:c>
      <x:c r="F695" s="31" t="str">
        <x:v>—</x:v>
      </x:c>
      <x:c r="G695" s="31" t="str">
        <x:v>—</x:v>
      </x:c>
      <x:c r="H695" s="31" t="str">
        <x:v>—</x:v>
      </x:c>
      <x:c r="I695" s="31" t="str">
        <x:v>—</x:v>
      </x:c>
      <x:c r="J695" s="31" t="str">
        <x:v>포함</x:v>
      </x:c>
      <x:c r="K695" s="31" t="str">
        <x:v>포함</x:v>
      </x:c>
      <x:c r="L695" s="31" t="str">
        <x:v>포함</x:v>
      </x:c>
      <x:c r="M695" s="31" t="str">
        <x:v>포함</x:v>
      </x:c>
    </x:row>
    <x:row r="696">
      <x:c r="A696" s="34" t="n">
        <x:v>692</x:v>
      </x:c>
      <x:c r="B696" s="30" t="str">
        <x:v>완철포</x:v>
      </x:c>
      <x:c r="C696" s="30" t="str">
        <x:v>clauncher</x:v>
      </x:c>
      <x:c r="D696" s="36" t="n">
        <x:v>6</x:v>
      </x:c>
      <x:c r="E696" s="31" t="str">
        <x:v>—</x:v>
      </x:c>
      <x:c r="F696" s="31" t="str">
        <x:v>—</x:v>
      </x:c>
      <x:c r="G696" s="31" t="str">
        <x:v>—</x:v>
      </x:c>
      <x:c r="H696" s="31" t="str">
        <x:v>—</x:v>
      </x:c>
      <x:c r="I696" s="31" t="str">
        <x:v>—</x:v>
      </x:c>
      <x:c r="J696" s="31" t="str">
        <x:v>포함</x:v>
      </x:c>
      <x:c r="K696" s="31" t="str">
        <x:v>포함</x:v>
      </x:c>
      <x:c r="L696" s="31" t="str">
        <x:v>포함</x:v>
      </x:c>
      <x:c r="M696" s="31" t="str">
        <x:v>포함</x:v>
      </x:c>
    </x:row>
    <x:row r="697">
      <x:c r="A697" s="34" t="n">
        <x:v>693</x:v>
      </x:c>
      <x:c r="B697" s="30" t="str">
        <x:v>블로스터</x:v>
      </x:c>
      <x:c r="C697" s="30" t="str">
        <x:v>clawitzer</x:v>
      </x:c>
      <x:c r="D697" s="36" t="n">
        <x:v>6</x:v>
      </x:c>
      <x:c r="E697" s="31" t="str">
        <x:v>—</x:v>
      </x:c>
      <x:c r="F697" s="31" t="str">
        <x:v>—</x:v>
      </x:c>
      <x:c r="G697" s="31" t="str">
        <x:v>—</x:v>
      </x:c>
      <x:c r="H697" s="31" t="str">
        <x:v>—</x:v>
      </x:c>
      <x:c r="I697" s="31" t="str">
        <x:v>—</x:v>
      </x:c>
      <x:c r="J697" s="31" t="str">
        <x:v>포함</x:v>
      </x:c>
      <x:c r="K697" s="31" t="str">
        <x:v>포함</x:v>
      </x:c>
      <x:c r="L697" s="31" t="str">
        <x:v>포함</x:v>
      </x:c>
      <x:c r="M697" s="31" t="str">
        <x:v>포함</x:v>
      </x:c>
    </x:row>
    <x:row r="698">
      <x:c r="A698" s="34" t="n">
        <x:v>694</x:v>
      </x:c>
      <x:c r="B698" s="30" t="str">
        <x:v>목도리키텔</x:v>
      </x:c>
      <x:c r="C698" s="30" t="str">
        <x:v>helioptile</x:v>
      </x:c>
      <x:c r="D698" s="36" t="n">
        <x:v>6</x:v>
      </x:c>
      <x:c r="E698" s="31" t="str">
        <x:v>—</x:v>
      </x:c>
      <x:c r="F698" s="31" t="str">
        <x:v>—</x:v>
      </x:c>
      <x:c r="G698" s="31" t="str">
        <x:v>—</x:v>
      </x:c>
      <x:c r="H698" s="31" t="str">
        <x:v>—</x:v>
      </x:c>
      <x:c r="I698" s="31" t="str">
        <x:v>—</x:v>
      </x:c>
      <x:c r="J698" s="31" t="str">
        <x:v>포함</x:v>
      </x:c>
      <x:c r="K698" s="31" t="str">
        <x:v>—</x:v>
      </x:c>
      <x:c r="L698" s="31" t="str">
        <x:v>포함</x:v>
      </x:c>
      <x:c r="M698" s="31" t="str">
        <x:v>—</x:v>
      </x:c>
    </x:row>
    <x:row r="699">
      <x:c r="A699" s="34" t="n">
        <x:v>695</x:v>
      </x:c>
      <x:c r="B699" s="30" t="str">
        <x:v>일레도리자드</x:v>
      </x:c>
      <x:c r="C699" s="30" t="str">
        <x:v>heliolisk</x:v>
      </x:c>
      <x:c r="D699" s="36" t="n">
        <x:v>6</x:v>
      </x:c>
      <x:c r="E699" s="31" t="str">
        <x:v>—</x:v>
      </x:c>
      <x:c r="F699" s="31" t="str">
        <x:v>—</x:v>
      </x:c>
      <x:c r="G699" s="31" t="str">
        <x:v>—</x:v>
      </x:c>
      <x:c r="H699" s="31" t="str">
        <x:v>—</x:v>
      </x:c>
      <x:c r="I699" s="31" t="str">
        <x:v>—</x:v>
      </x:c>
      <x:c r="J699" s="31" t="str">
        <x:v>포함</x:v>
      </x:c>
      <x:c r="K699" s="31" t="str">
        <x:v>—</x:v>
      </x:c>
      <x:c r="L699" s="31" t="str">
        <x:v>포함</x:v>
      </x:c>
      <x:c r="M699" s="31" t="str">
        <x:v>—</x:v>
      </x:c>
    </x:row>
    <x:row r="700">
      <x:c r="A700" s="34" t="n">
        <x:v>696</x:v>
      </x:c>
      <x:c r="B700" s="30" t="str">
        <x:v>티고라스</x:v>
      </x:c>
      <x:c r="C700" s="30" t="str">
        <x:v>tyrunt</x:v>
      </x:c>
      <x:c r="D700" s="36" t="n">
        <x:v>6</x:v>
      </x:c>
      <x:c r="E700" s="31" t="str">
        <x:v>—</x:v>
      </x:c>
      <x:c r="F700" s="31" t="str">
        <x:v>—</x:v>
      </x:c>
      <x:c r="G700" s="31" t="str">
        <x:v>—</x:v>
      </x:c>
      <x:c r="H700" s="31" t="str">
        <x:v>—</x:v>
      </x:c>
      <x:c r="I700" s="31" t="str">
        <x:v>—</x:v>
      </x:c>
      <x:c r="J700" s="31" t="str">
        <x:v>포함</x:v>
      </x:c>
      <x:c r="K700" s="31" t="str">
        <x:v>포함</x:v>
      </x:c>
      <x:c r="L700" s="31" t="str">
        <x:v>포함</x:v>
      </x:c>
      <x:c r="M700" s="31" t="str">
        <x:v>—</x:v>
      </x:c>
    </x:row>
    <x:row r="701">
      <x:c r="A701" s="34" t="n">
        <x:v>697</x:v>
      </x:c>
      <x:c r="B701" s="30" t="str">
        <x:v>견고라스</x:v>
      </x:c>
      <x:c r="C701" s="30" t="str">
        <x:v>tyrantrum</x:v>
      </x:c>
      <x:c r="D701" s="36" t="n">
        <x:v>6</x:v>
      </x:c>
      <x:c r="E701" s="31" t="str">
        <x:v>—</x:v>
      </x:c>
      <x:c r="F701" s="31" t="str">
        <x:v>—</x:v>
      </x:c>
      <x:c r="G701" s="31" t="str">
        <x:v>—</x:v>
      </x:c>
      <x:c r="H701" s="31" t="str">
        <x:v>—</x:v>
      </x:c>
      <x:c r="I701" s="31" t="str">
        <x:v>—</x:v>
      </x:c>
      <x:c r="J701" s="31" t="str">
        <x:v>포함</x:v>
      </x:c>
      <x:c r="K701" s="31" t="str">
        <x:v>포함</x:v>
      </x:c>
      <x:c r="L701" s="31" t="str">
        <x:v>포함</x:v>
      </x:c>
      <x:c r="M701" s="31" t="str">
        <x:v>—</x:v>
      </x:c>
    </x:row>
    <x:row r="702">
      <x:c r="A702" s="34" t="n">
        <x:v>698</x:v>
      </x:c>
      <x:c r="B702" s="30" t="str">
        <x:v>아마루스</x:v>
      </x:c>
      <x:c r="C702" s="30" t="str">
        <x:v>amaura</x:v>
      </x:c>
      <x:c r="D702" s="36" t="n">
        <x:v>6</x:v>
      </x:c>
      <x:c r="E702" s="31" t="str">
        <x:v>—</x:v>
      </x:c>
      <x:c r="F702" s="31" t="str">
        <x:v>—</x:v>
      </x:c>
      <x:c r="G702" s="31" t="str">
        <x:v>—</x:v>
      </x:c>
      <x:c r="H702" s="31" t="str">
        <x:v>—</x:v>
      </x:c>
      <x:c r="I702" s="31" t="str">
        <x:v>—</x:v>
      </x:c>
      <x:c r="J702" s="31" t="str">
        <x:v>포함</x:v>
      </x:c>
      <x:c r="K702" s="31" t="str">
        <x:v>포함</x:v>
      </x:c>
      <x:c r="L702" s="31" t="str">
        <x:v>포함</x:v>
      </x:c>
      <x:c r="M702" s="31" t="str">
        <x:v>—</x:v>
      </x:c>
    </x:row>
    <x:row r="703">
      <x:c r="A703" s="34" t="n">
        <x:v>699</x:v>
      </x:c>
      <x:c r="B703" s="30" t="str">
        <x:v>아마루르가</x:v>
      </x:c>
      <x:c r="C703" s="30" t="str">
        <x:v>aurorus</x:v>
      </x:c>
      <x:c r="D703" s="36" t="n">
        <x:v>6</x:v>
      </x:c>
      <x:c r="E703" s="31" t="str">
        <x:v>—</x:v>
      </x:c>
      <x:c r="F703" s="31" t="str">
        <x:v>—</x:v>
      </x:c>
      <x:c r="G703" s="31" t="str">
        <x:v>—</x:v>
      </x:c>
      <x:c r="H703" s="31" t="str">
        <x:v>—</x:v>
      </x:c>
      <x:c r="I703" s="31" t="str">
        <x:v>—</x:v>
      </x:c>
      <x:c r="J703" s="31" t="str">
        <x:v>포함</x:v>
      </x:c>
      <x:c r="K703" s="31" t="str">
        <x:v>포함</x:v>
      </x:c>
      <x:c r="L703" s="31" t="str">
        <x:v>포함</x:v>
      </x:c>
      <x:c r="M703" s="31" t="str">
        <x:v>—</x:v>
      </x:c>
    </x:row>
    <x:row r="704">
      <x:c r="A704" s="34" t="n">
        <x:v>700</x:v>
      </x:c>
      <x:c r="B704" s="30" t="str">
        <x:v>님피아</x:v>
      </x:c>
      <x:c r="C704" s="30" t="str">
        <x:v>sylveon</x:v>
      </x:c>
      <x:c r="D704" s="36" t="n">
        <x:v>6</x:v>
      </x:c>
      <x:c r="E704" s="31" t="str">
        <x:v>—</x:v>
      </x:c>
      <x:c r="F704" s="31" t="str">
        <x:v>—</x:v>
      </x:c>
      <x:c r="G704" s="31" t="str">
        <x:v>—</x:v>
      </x:c>
      <x:c r="H704" s="31" t="str">
        <x:v>—</x:v>
      </x:c>
      <x:c r="I704" s="31" t="str">
        <x:v>—</x:v>
      </x:c>
      <x:c r="J704" s="31" t="str">
        <x:v>포함</x:v>
      </x:c>
      <x:c r="K704" s="31" t="str">
        <x:v>포함</x:v>
      </x:c>
      <x:c r="L704" s="31" t="str">
        <x:v>포함</x:v>
      </x:c>
      <x:c r="M704" s="31" t="str">
        <x:v>포함</x:v>
      </x:c>
    </x:row>
    <x:row r="705">
      <x:c r="A705" s="34" t="n">
        <x:v>701</x:v>
      </x:c>
      <x:c r="B705" s="30" t="str">
        <x:v>루차불</x:v>
      </x:c>
      <x:c r="C705" s="30" t="str">
        <x:v>hawlucha</x:v>
      </x:c>
      <x:c r="D705" s="36" t="n">
        <x:v>6</x:v>
      </x:c>
      <x:c r="E705" s="31" t="str">
        <x:v>—</x:v>
      </x:c>
      <x:c r="F705" s="31" t="str">
        <x:v>—</x:v>
      </x:c>
      <x:c r="G705" s="31" t="str">
        <x:v>—</x:v>
      </x:c>
      <x:c r="H705" s="31" t="str">
        <x:v>—</x:v>
      </x:c>
      <x:c r="I705" s="31" t="str">
        <x:v>—</x:v>
      </x:c>
      <x:c r="J705" s="31" t="str">
        <x:v>포함</x:v>
      </x:c>
      <x:c r="K705" s="31" t="str">
        <x:v>포함</x:v>
      </x:c>
      <x:c r="L705" s="31" t="str">
        <x:v>포함</x:v>
      </x:c>
      <x:c r="M705" s="31" t="str">
        <x:v>포함</x:v>
      </x:c>
    </x:row>
    <x:row r="706">
      <x:c r="A706" s="34" t="n">
        <x:v>702</x:v>
      </x:c>
      <x:c r="B706" s="30" t="str">
        <x:v>데덴네</x:v>
      </x:c>
      <x:c r="C706" s="30" t="str">
        <x:v>dedenne</x:v>
      </x:c>
      <x:c r="D706" s="36" t="n">
        <x:v>6</x:v>
      </x:c>
      <x:c r="E706" s="31" t="str">
        <x:v>—</x:v>
      </x:c>
      <x:c r="F706" s="31" t="str">
        <x:v>—</x:v>
      </x:c>
      <x:c r="G706" s="31" t="str">
        <x:v>—</x:v>
      </x:c>
      <x:c r="H706" s="31" t="str">
        <x:v>—</x:v>
      </x:c>
      <x:c r="I706" s="31" t="str">
        <x:v>—</x:v>
      </x:c>
      <x:c r="J706" s="31" t="str">
        <x:v>포함</x:v>
      </x:c>
      <x:c r="K706" s="31" t="str">
        <x:v>포함</x:v>
      </x:c>
      <x:c r="L706" s="31" t="str">
        <x:v>포함</x:v>
      </x:c>
      <x:c r="M706" s="31" t="str">
        <x:v>포함</x:v>
      </x:c>
    </x:row>
    <x:row r="707">
      <x:c r="A707" s="34" t="n">
        <x:v>703</x:v>
      </x:c>
      <x:c r="B707" s="30" t="str">
        <x:v>멜리시</x:v>
      </x:c>
      <x:c r="C707" s="30" t="str">
        <x:v>carbink</x:v>
      </x:c>
      <x:c r="D707" s="36" t="n">
        <x:v>6</x:v>
      </x:c>
      <x:c r="E707" s="31" t="str">
        <x:v>—</x:v>
      </x:c>
      <x:c r="F707" s="31" t="str">
        <x:v>—</x:v>
      </x:c>
      <x:c r="G707" s="31" t="str">
        <x:v>—</x:v>
      </x:c>
      <x:c r="H707" s="31" t="str">
        <x:v>—</x:v>
      </x:c>
      <x:c r="I707" s="31" t="str">
        <x:v>—</x:v>
      </x:c>
      <x:c r="J707" s="31" t="str">
        <x:v>포함</x:v>
      </x:c>
      <x:c r="K707" s="31" t="str">
        <x:v>포함</x:v>
      </x:c>
      <x:c r="L707" s="31" t="str">
        <x:v>포함</x:v>
      </x:c>
      <x:c r="M707" s="31" t="str">
        <x:v>포함</x:v>
      </x:c>
    </x:row>
    <x:row r="708">
      <x:c r="A708" s="34" t="n">
        <x:v>704</x:v>
      </x:c>
      <x:c r="B708" s="30" t="str">
        <x:v>미끄메라</x:v>
      </x:c>
      <x:c r="C708" s="30" t="str">
        <x:v>goomy</x:v>
      </x:c>
      <x:c r="D708" s="36" t="n">
        <x:v>6</x:v>
      </x:c>
      <x:c r="E708" s="31" t="str">
        <x:v>—</x:v>
      </x:c>
      <x:c r="F708" s="31" t="str">
        <x:v>—</x:v>
      </x:c>
      <x:c r="G708" s="31" t="str">
        <x:v>—</x:v>
      </x:c>
      <x:c r="H708" s="31" t="str">
        <x:v>—</x:v>
      </x:c>
      <x:c r="I708" s="31" t="str">
        <x:v>—</x:v>
      </x:c>
      <x:c r="J708" s="31" t="str">
        <x:v>포함</x:v>
      </x:c>
      <x:c r="K708" s="31" t="str">
        <x:v>포함</x:v>
      </x:c>
      <x:c r="L708" s="31" t="str">
        <x:v>포함</x:v>
      </x:c>
      <x:c r="M708" s="31" t="str">
        <x:v>포함</x:v>
      </x:c>
    </x:row>
    <x:row r="709">
      <x:c r="A709" s="34" t="n">
        <x:v>705</x:v>
      </x:c>
      <x:c r="B709" s="30" t="str">
        <x:v>미끄네일</x:v>
      </x:c>
      <x:c r="C709" s="30" t="str">
        <x:v>sliggoo</x:v>
      </x:c>
      <x:c r="D709" s="36" t="n">
        <x:v>6</x:v>
      </x:c>
      <x:c r="E709" s="31" t="str">
        <x:v>—</x:v>
      </x:c>
      <x:c r="F709" s="31" t="str">
        <x:v>—</x:v>
      </x:c>
      <x:c r="G709" s="31" t="str">
        <x:v>—</x:v>
      </x:c>
      <x:c r="H709" s="31" t="str">
        <x:v>—</x:v>
      </x:c>
      <x:c r="I709" s="31" t="str">
        <x:v>—</x:v>
      </x:c>
      <x:c r="J709" s="31" t="str">
        <x:v>포함</x:v>
      </x:c>
      <x:c r="K709" s="31" t="str">
        <x:v>포함</x:v>
      </x:c>
      <x:c r="L709" s="31" t="str">
        <x:v>포함</x:v>
      </x:c>
      <x:c r="M709" s="31" t="str">
        <x:v>포함</x:v>
      </x:c>
    </x:row>
    <x:row r="710">
      <x:c r="A710" s="34" t="n">
        <x:v>706</x:v>
      </x:c>
      <x:c r="B710" s="30" t="str">
        <x:v>미끄래곤</x:v>
      </x:c>
      <x:c r="C710" s="30" t="str">
        <x:v>goodra</x:v>
      </x:c>
      <x:c r="D710" s="36" t="n">
        <x:v>6</x:v>
      </x:c>
      <x:c r="E710" s="31" t="str">
        <x:v>—</x:v>
      </x:c>
      <x:c r="F710" s="31" t="str">
        <x:v>—</x:v>
      </x:c>
      <x:c r="G710" s="31" t="str">
        <x:v>—</x:v>
      </x:c>
      <x:c r="H710" s="31" t="str">
        <x:v>—</x:v>
      </x:c>
      <x:c r="I710" s="31" t="str">
        <x:v>—</x:v>
      </x:c>
      <x:c r="J710" s="31" t="str">
        <x:v>포함</x:v>
      </x:c>
      <x:c r="K710" s="31" t="str">
        <x:v>포함</x:v>
      </x:c>
      <x:c r="L710" s="31" t="str">
        <x:v>포함</x:v>
      </x:c>
      <x:c r="M710" s="31" t="str">
        <x:v>포함</x:v>
      </x:c>
    </x:row>
    <x:row r="711">
      <x:c r="A711" s="34" t="n">
        <x:v>707</x:v>
      </x:c>
      <x:c r="B711" s="30" t="str">
        <x:v>클레피</x:v>
      </x:c>
      <x:c r="C711" s="30" t="str">
        <x:v>klefki</x:v>
      </x:c>
      <x:c r="D711" s="36" t="n">
        <x:v>6</x:v>
      </x:c>
      <x:c r="E711" s="31" t="str">
        <x:v>—</x:v>
      </x:c>
      <x:c r="F711" s="31" t="str">
        <x:v>—</x:v>
      </x:c>
      <x:c r="G711" s="31" t="str">
        <x:v>—</x:v>
      </x:c>
      <x:c r="H711" s="31" t="str">
        <x:v>—</x:v>
      </x:c>
      <x:c r="I711" s="31" t="str">
        <x:v>—</x:v>
      </x:c>
      <x:c r="J711" s="31" t="str">
        <x:v>포함</x:v>
      </x:c>
      <x:c r="K711" s="31" t="str">
        <x:v>포함</x:v>
      </x:c>
      <x:c r="L711" s="31" t="str">
        <x:v>포함</x:v>
      </x:c>
      <x:c r="M711" s="31" t="str">
        <x:v>포함</x:v>
      </x:c>
    </x:row>
    <x:row r="712">
      <x:c r="A712" s="34" t="n">
        <x:v>708</x:v>
      </x:c>
      <x:c r="B712" s="30" t="str">
        <x:v>나목령</x:v>
      </x:c>
      <x:c r="C712" s="30" t="str">
        <x:v>phantump</x:v>
      </x:c>
      <x:c r="D712" s="36" t="n">
        <x:v>6</x:v>
      </x:c>
      <x:c r="E712" s="31" t="str">
        <x:v>—</x:v>
      </x:c>
      <x:c r="F712" s="31" t="str">
        <x:v>—</x:v>
      </x:c>
      <x:c r="G712" s="31" t="str">
        <x:v>—</x:v>
      </x:c>
      <x:c r="H712" s="31" t="str">
        <x:v>—</x:v>
      </x:c>
      <x:c r="I712" s="31" t="str">
        <x:v>—</x:v>
      </x:c>
      <x:c r="J712" s="31" t="str">
        <x:v>포함</x:v>
      </x:c>
      <x:c r="K712" s="31" t="str">
        <x:v>포함</x:v>
      </x:c>
      <x:c r="L712" s="31" t="str">
        <x:v>포함</x:v>
      </x:c>
      <x:c r="M712" s="31" t="str">
        <x:v>포함</x:v>
      </x:c>
    </x:row>
    <x:row r="713">
      <x:c r="A713" s="34" t="n">
        <x:v>709</x:v>
      </x:c>
      <x:c r="B713" s="30" t="str">
        <x:v>대로트</x:v>
      </x:c>
      <x:c r="C713" s="30" t="str">
        <x:v>trevenant</x:v>
      </x:c>
      <x:c r="D713" s="36" t="n">
        <x:v>6</x:v>
      </x:c>
      <x:c r="E713" s="31" t="str">
        <x:v>—</x:v>
      </x:c>
      <x:c r="F713" s="31" t="str">
        <x:v>—</x:v>
      </x:c>
      <x:c r="G713" s="31" t="str">
        <x:v>—</x:v>
      </x:c>
      <x:c r="H713" s="31" t="str">
        <x:v>—</x:v>
      </x:c>
      <x:c r="I713" s="31" t="str">
        <x:v>—</x:v>
      </x:c>
      <x:c r="J713" s="31" t="str">
        <x:v>포함</x:v>
      </x:c>
      <x:c r="K713" s="31" t="str">
        <x:v>포함</x:v>
      </x:c>
      <x:c r="L713" s="31" t="str">
        <x:v>포함</x:v>
      </x:c>
      <x:c r="M713" s="31" t="str">
        <x:v>포함</x:v>
      </x:c>
    </x:row>
    <x:row r="714">
      <x:c r="A714" s="34" t="n">
        <x:v>710</x:v>
      </x:c>
      <x:c r="B714" s="30" t="str">
        <x:v>호바귀</x:v>
      </x:c>
      <x:c r="C714" s="30" t="str">
        <x:v>pumpkaboo</x:v>
      </x:c>
      <x:c r="D714" s="36" t="n">
        <x:v>6</x:v>
      </x:c>
      <x:c r="E714" s="31" t="str">
        <x:v>—</x:v>
      </x:c>
      <x:c r="F714" s="31" t="str">
        <x:v>—</x:v>
      </x:c>
      <x:c r="G714" s="31" t="str">
        <x:v>—</x:v>
      </x:c>
      <x:c r="H714" s="31" t="str">
        <x:v>—</x:v>
      </x:c>
      <x:c r="I714" s="31" t="str">
        <x:v>—</x:v>
      </x:c>
      <x:c r="J714" s="31" t="str">
        <x:v>포함</x:v>
      </x:c>
      <x:c r="K714" s="31" t="str">
        <x:v>—</x:v>
      </x:c>
      <x:c r="L714" s="31" t="str">
        <x:v>포함</x:v>
      </x:c>
      <x:c r="M714" s="31" t="str">
        <x:v>—</x:v>
      </x:c>
    </x:row>
    <x:row r="715">
      <x:c r="A715" s="34" t="n">
        <x:v>711</x:v>
      </x:c>
      <x:c r="B715" s="30" t="str">
        <x:v>펌킨인</x:v>
      </x:c>
      <x:c r="C715" s="30" t="str">
        <x:v>gourgeist</x:v>
      </x:c>
      <x:c r="D715" s="36" t="n">
        <x:v>6</x:v>
      </x:c>
      <x:c r="E715" s="31" t="str">
        <x:v>—</x:v>
      </x:c>
      <x:c r="F715" s="31" t="str">
        <x:v>—</x:v>
      </x:c>
      <x:c r="G715" s="31" t="str">
        <x:v>—</x:v>
      </x:c>
      <x:c r="H715" s="31" t="str">
        <x:v>—</x:v>
      </x:c>
      <x:c r="I715" s="31" t="str">
        <x:v>—</x:v>
      </x:c>
      <x:c r="J715" s="31" t="str">
        <x:v>포함</x:v>
      </x:c>
      <x:c r="K715" s="31" t="str">
        <x:v>—</x:v>
      </x:c>
      <x:c r="L715" s="31" t="str">
        <x:v>포함</x:v>
      </x:c>
      <x:c r="M715" s="31" t="str">
        <x:v>—</x:v>
      </x:c>
    </x:row>
    <x:row r="716">
      <x:c r="A716" s="34" t="n">
        <x:v>712</x:v>
      </x:c>
      <x:c r="B716" s="30" t="str">
        <x:v>꽁어름</x:v>
      </x:c>
      <x:c r="C716" s="30" t="str">
        <x:v>bergmite</x:v>
      </x:c>
      <x:c r="D716" s="36" t="n">
        <x:v>6</x:v>
      </x:c>
      <x:c r="E716" s="31" t="str">
        <x:v>—</x:v>
      </x:c>
      <x:c r="F716" s="31" t="str">
        <x:v>—</x:v>
      </x:c>
      <x:c r="G716" s="31" t="str">
        <x:v>—</x:v>
      </x:c>
      <x:c r="H716" s="31" t="str">
        <x:v>—</x:v>
      </x:c>
      <x:c r="I716" s="31" t="str">
        <x:v>—</x:v>
      </x:c>
      <x:c r="J716" s="31" t="str">
        <x:v>포함</x:v>
      </x:c>
      <x:c r="K716" s="31" t="str">
        <x:v>—</x:v>
      </x:c>
      <x:c r="L716" s="31" t="str">
        <x:v>포함</x:v>
      </x:c>
      <x:c r="M716" s="31" t="str">
        <x:v>포함</x:v>
      </x:c>
    </x:row>
    <x:row r="717">
      <x:c r="A717" s="34" t="n">
        <x:v>713</x:v>
      </x:c>
      <x:c r="B717" s="30" t="str">
        <x:v>크레베이스</x:v>
      </x:c>
      <x:c r="C717" s="30" t="str">
        <x:v>avalugg</x:v>
      </x:c>
      <x:c r="D717" s="36" t="n">
        <x:v>6</x:v>
      </x:c>
      <x:c r="E717" s="31" t="str">
        <x:v>—</x:v>
      </x:c>
      <x:c r="F717" s="31" t="str">
        <x:v>—</x:v>
      </x:c>
      <x:c r="G717" s="31" t="str">
        <x:v>—</x:v>
      </x:c>
      <x:c r="H717" s="31" t="str">
        <x:v>—</x:v>
      </x:c>
      <x:c r="I717" s="31" t="str">
        <x:v>—</x:v>
      </x:c>
      <x:c r="J717" s="31" t="str">
        <x:v>포함</x:v>
      </x:c>
      <x:c r="K717" s="31" t="str">
        <x:v>—</x:v>
      </x:c>
      <x:c r="L717" s="31" t="str">
        <x:v>포함</x:v>
      </x:c>
      <x:c r="M717" s="31" t="str">
        <x:v>포함</x:v>
      </x:c>
    </x:row>
    <x:row r="718">
      <x:c r="A718" s="34" t="n">
        <x:v>714</x:v>
      </x:c>
      <x:c r="B718" s="30" t="str">
        <x:v>음뱃</x:v>
      </x:c>
      <x:c r="C718" s="30" t="str">
        <x:v>noibat</x:v>
      </x:c>
      <x:c r="D718" s="36" t="n">
        <x:v>6</x:v>
      </x:c>
      <x:c r="E718" s="31" t="str">
        <x:v>—</x:v>
      </x:c>
      <x:c r="F718" s="31" t="str">
        <x:v>—</x:v>
      </x:c>
      <x:c r="G718" s="31" t="str">
        <x:v>—</x:v>
      </x:c>
      <x:c r="H718" s="31" t="str">
        <x:v>—</x:v>
      </x:c>
      <x:c r="I718" s="31" t="str">
        <x:v>—</x:v>
      </x:c>
      <x:c r="J718" s="31" t="str">
        <x:v>포함</x:v>
      </x:c>
      <x:c r="K718" s="31" t="str">
        <x:v>포함</x:v>
      </x:c>
      <x:c r="L718" s="31" t="str">
        <x:v>포함</x:v>
      </x:c>
      <x:c r="M718" s="31" t="str">
        <x:v>포함</x:v>
      </x:c>
    </x:row>
    <x:row r="719">
      <x:c r="A719" s="34" t="n">
        <x:v>715</x:v>
      </x:c>
      <x:c r="B719" s="30" t="str">
        <x:v>음번</x:v>
      </x:c>
      <x:c r="C719" s="30" t="str">
        <x:v>noivern</x:v>
      </x:c>
      <x:c r="D719" s="36" t="n">
        <x:v>6</x:v>
      </x:c>
      <x:c r="E719" s="31" t="str">
        <x:v>—</x:v>
      </x:c>
      <x:c r="F719" s="31" t="str">
        <x:v>—</x:v>
      </x:c>
      <x:c r="G719" s="31" t="str">
        <x:v>—</x:v>
      </x:c>
      <x:c r="H719" s="31" t="str">
        <x:v>—</x:v>
      </x:c>
      <x:c r="I719" s="31" t="str">
        <x:v>—</x:v>
      </x:c>
      <x:c r="J719" s="31" t="str">
        <x:v>포함</x:v>
      </x:c>
      <x:c r="K719" s="31" t="str">
        <x:v>포함</x:v>
      </x:c>
      <x:c r="L719" s="31" t="str">
        <x:v>포함</x:v>
      </x:c>
      <x:c r="M719" s="31" t="str">
        <x:v>포함</x:v>
      </x:c>
    </x:row>
    <x:row r="720">
      <x:c r="A720" s="34" t="n">
        <x:v>716</x:v>
      </x:c>
      <x:c r="B720" s="30" t="str">
        <x:v>제르네아스</x:v>
      </x:c>
      <x:c r="C720" s="30" t="str">
        <x:v>xerneas</x:v>
      </x:c>
      <x:c r="D720" s="36" t="n">
        <x:v>6</x:v>
      </x:c>
      <x:c r="E720" s="31" t="str">
        <x:v>—</x:v>
      </x:c>
      <x:c r="F720" s="31" t="str">
        <x:v>—</x:v>
      </x:c>
      <x:c r="G720" s="31" t="str">
        <x:v>—</x:v>
      </x:c>
      <x:c r="H720" s="31" t="str">
        <x:v>—</x:v>
      </x:c>
      <x:c r="I720" s="31" t="str">
        <x:v>—</x:v>
      </x:c>
      <x:c r="J720" s="31" t="str">
        <x:v>포함</x:v>
      </x:c>
      <x:c r="K720" s="31" t="str">
        <x:v>—</x:v>
      </x:c>
      <x:c r="L720" s="31" t="str">
        <x:v>—</x:v>
      </x:c>
      <x:c r="M720" s="31" t="str">
        <x:v>—</x:v>
      </x:c>
    </x:row>
    <x:row r="721">
      <x:c r="A721" s="34" t="n">
        <x:v>717</x:v>
      </x:c>
      <x:c r="B721" s="30" t="str">
        <x:v>이벨타르</x:v>
      </x:c>
      <x:c r="C721" s="30" t="str">
        <x:v>yveltal</x:v>
      </x:c>
      <x:c r="D721" s="36" t="n">
        <x:v>6</x:v>
      </x:c>
      <x:c r="E721" s="31" t="str">
        <x:v>—</x:v>
      </x:c>
      <x:c r="F721" s="31" t="str">
        <x:v>—</x:v>
      </x:c>
      <x:c r="G721" s="31" t="str">
        <x:v>—</x:v>
      </x:c>
      <x:c r="H721" s="31" t="str">
        <x:v>—</x:v>
      </x:c>
      <x:c r="I721" s="31" t="str">
        <x:v>—</x:v>
      </x:c>
      <x:c r="J721" s="31" t="str">
        <x:v>포함</x:v>
      </x:c>
      <x:c r="K721" s="31" t="str">
        <x:v>—</x:v>
      </x:c>
      <x:c r="L721" s="31" t="str">
        <x:v>—</x:v>
      </x:c>
      <x:c r="M721" s="31" t="str">
        <x:v>—</x:v>
      </x:c>
    </x:row>
    <x:row r="722">
      <x:c r="A722" s="34" t="n">
        <x:v>718</x:v>
      </x:c>
      <x:c r="B722" s="30" t="str">
        <x:v>지가르데</x:v>
      </x:c>
      <x:c r="C722" s="30" t="str">
        <x:v>zygarde</x:v>
      </x:c>
      <x:c r="D722" s="36" t="n">
        <x:v>6</x:v>
      </x:c>
      <x:c r="E722" s="31" t="str">
        <x:v>—</x:v>
      </x:c>
      <x:c r="F722" s="31" t="str">
        <x:v>—</x:v>
      </x:c>
      <x:c r="G722" s="31" t="str">
        <x:v>—</x:v>
      </x:c>
      <x:c r="H722" s="31" t="str">
        <x:v>—</x:v>
      </x:c>
      <x:c r="I722" s="31" t="str">
        <x:v>—</x:v>
      </x:c>
      <x:c r="J722" s="31" t="str">
        <x:v>포함</x:v>
      </x:c>
      <x:c r="K722" s="31" t="str">
        <x:v>포함</x:v>
      </x:c>
      <x:c r="L722" s="31" t="str">
        <x:v>—</x:v>
      </x:c>
      <x:c r="M722" s="31" t="str">
        <x:v>—</x:v>
      </x:c>
    </x:row>
    <x:row r="723">
      <x:c r="A723" s="34" t="n">
        <x:v>719</x:v>
      </x:c>
      <x:c r="B723" s="30" t="str">
        <x:v>디안시</x:v>
      </x:c>
      <x:c r="C723" s="30" t="str">
        <x:v>diancie</x:v>
      </x:c>
      <x:c r="D723" s="36" t="n">
        <x:v>6</x:v>
      </x:c>
      <x:c r="E723" s="31" t="str">
        <x:v>—</x:v>
      </x:c>
      <x:c r="F723" s="31" t="str">
        <x:v>—</x:v>
      </x:c>
      <x:c r="G723" s="31" t="str">
        <x:v>—</x:v>
      </x:c>
      <x:c r="H723" s="31" t="str">
        <x:v>—</x:v>
      </x:c>
      <x:c r="I723" s="31" t="str">
        <x:v>—</x:v>
      </x:c>
      <x:c r="J723" s="31" t="str">
        <x:v>—</x:v>
      </x:c>
      <x:c r="K723" s="31" t="str">
        <x:v>—</x:v>
      </x:c>
      <x:c r="L723" s="31" t="str">
        <x:v>—</x:v>
      </x:c>
      <x:c r="M723" s="31" t="str">
        <x:v>—</x:v>
      </x:c>
    </x:row>
    <x:row r="724">
      <x:c r="A724" s="34" t="n">
        <x:v>720</x:v>
      </x:c>
      <x:c r="B724" s="30" t="str">
        <x:v>후파</x:v>
      </x:c>
      <x:c r="C724" s="30" t="str">
        <x:v>hoopa</x:v>
      </x:c>
      <x:c r="D724" s="36" t="n">
        <x:v>6</x:v>
      </x:c>
      <x:c r="E724" s="31" t="str">
        <x:v>—</x:v>
      </x:c>
      <x:c r="F724" s="31" t="str">
        <x:v>—</x:v>
      </x:c>
      <x:c r="G724" s="31" t="str">
        <x:v>—</x:v>
      </x:c>
      <x:c r="H724" s="31" t="str">
        <x:v>—</x:v>
      </x:c>
      <x:c r="I724" s="31" t="str">
        <x:v>—</x:v>
      </x:c>
      <x:c r="J724" s="31" t="str">
        <x:v>—</x:v>
      </x:c>
      <x:c r="K724" s="31" t="str">
        <x:v>—</x:v>
      </x:c>
      <x:c r="L724" s="31" t="str">
        <x:v>—</x:v>
      </x:c>
      <x:c r="M724" s="31" t="str">
        <x:v>—</x:v>
      </x:c>
    </x:row>
    <x:row r="725">
      <x:c r="A725" s="34" t="n">
        <x:v>721</x:v>
      </x:c>
      <x:c r="B725" s="30" t="str">
        <x:v>볼케니온</x:v>
      </x:c>
      <x:c r="C725" s="30" t="str">
        <x:v>volcanion</x:v>
      </x:c>
      <x:c r="D725" s="36" t="n">
        <x:v>6</x:v>
      </x:c>
      <x:c r="E725" s="31" t="str">
        <x:v>—</x:v>
      </x:c>
      <x:c r="F725" s="31" t="str">
        <x:v>—</x:v>
      </x:c>
      <x:c r="G725" s="31" t="str">
        <x:v>—</x:v>
      </x:c>
      <x:c r="H725" s="31" t="str">
        <x:v>—</x:v>
      </x:c>
      <x:c r="I725" s="31" t="str">
        <x:v>—</x:v>
      </x:c>
      <x:c r="J725" s="31" t="str">
        <x:v>—</x:v>
      </x:c>
      <x:c r="K725" s="31" t="str">
        <x:v>—</x:v>
      </x:c>
      <x:c r="L725" s="31" t="str">
        <x:v>—</x:v>
      </x:c>
      <x:c r="M725" s="31" t="str">
        <x:v>—</x:v>
      </x:c>
    </x:row>
    <x:row r="726">
      <x:c r="A726" s="34" t="n">
        <x:v>722</x:v>
      </x:c>
      <x:c r="B726" s="30" t="str">
        <x:v>나몰빼미</x:v>
      </x:c>
      <x:c r="C726" s="30" t="str">
        <x:v>rowlet</x:v>
      </x:c>
      <x:c r="D726" s="36" t="n">
        <x:v>7</x:v>
      </x:c>
      <x:c r="E726" s="31" t="str">
        <x:v>—</x:v>
      </x:c>
      <x:c r="F726" s="31" t="str">
        <x:v>—</x:v>
      </x:c>
      <x:c r="G726" s="31" t="str">
        <x:v>—</x:v>
      </x:c>
      <x:c r="H726" s="31" t="str">
        <x:v>—</x:v>
      </x:c>
      <x:c r="I726" s="31" t="str">
        <x:v>—</x:v>
      </x:c>
      <x:c r="J726" s="31" t="str">
        <x:v>—</x:v>
      </x:c>
      <x:c r="K726" s="31" t="str">
        <x:v>포함</x:v>
      </x:c>
      <x:c r="L726" s="31" t="str">
        <x:v>—</x:v>
      </x:c>
      <x:c r="M726" s="31" t="str">
        <x:v>포함</x:v>
      </x:c>
    </x:row>
    <x:row r="727">
      <x:c r="A727" s="34" t="n">
        <x:v>723</x:v>
      </x:c>
      <x:c r="B727" s="30" t="str">
        <x:v>빼미스로우</x:v>
      </x:c>
      <x:c r="C727" s="30" t="str">
        <x:v>dartrix</x:v>
      </x:c>
      <x:c r="D727" s="36" t="n">
        <x:v>7</x:v>
      </x:c>
      <x:c r="E727" s="31" t="str">
        <x:v>—</x:v>
      </x:c>
      <x:c r="F727" s="31" t="str">
        <x:v>—</x:v>
      </x:c>
      <x:c r="G727" s="31" t="str">
        <x:v>—</x:v>
      </x:c>
      <x:c r="H727" s="31" t="str">
        <x:v>—</x:v>
      </x:c>
      <x:c r="I727" s="31" t="str">
        <x:v>—</x:v>
      </x:c>
      <x:c r="J727" s="31" t="str">
        <x:v>—</x:v>
      </x:c>
      <x:c r="K727" s="31" t="str">
        <x:v>포함</x:v>
      </x:c>
      <x:c r="L727" s="31" t="str">
        <x:v>—</x:v>
      </x:c>
      <x:c r="M727" s="31" t="str">
        <x:v>포함</x:v>
      </x:c>
    </x:row>
    <x:row r="728">
      <x:c r="A728" s="34" t="n">
        <x:v>724</x:v>
      </x:c>
      <x:c r="B728" s="30" t="str">
        <x:v>모크나이퍼</x:v>
      </x:c>
      <x:c r="C728" s="30" t="str">
        <x:v>decidueye</x:v>
      </x:c>
      <x:c r="D728" s="36" t="n">
        <x:v>7</x:v>
      </x:c>
      <x:c r="E728" s="31" t="str">
        <x:v>—</x:v>
      </x:c>
      <x:c r="F728" s="31" t="str">
        <x:v>—</x:v>
      </x:c>
      <x:c r="G728" s="31" t="str">
        <x:v>—</x:v>
      </x:c>
      <x:c r="H728" s="31" t="str">
        <x:v>—</x:v>
      </x:c>
      <x:c r="I728" s="31" t="str">
        <x:v>—</x:v>
      </x:c>
      <x:c r="J728" s="31" t="str">
        <x:v>—</x:v>
      </x:c>
      <x:c r="K728" s="31" t="str">
        <x:v>포함</x:v>
      </x:c>
      <x:c r="L728" s="31" t="str">
        <x:v>—</x:v>
      </x:c>
      <x:c r="M728" s="31" t="str">
        <x:v>포함</x:v>
      </x:c>
    </x:row>
    <x:row r="729">
      <x:c r="A729" s="34" t="n">
        <x:v>725</x:v>
      </x:c>
      <x:c r="B729" s="30" t="str">
        <x:v>냐오불</x:v>
      </x:c>
      <x:c r="C729" s="30" t="str">
        <x:v>litten</x:v>
      </x:c>
      <x:c r="D729" s="36" t="n">
        <x:v>7</x:v>
      </x:c>
      <x:c r="E729" s="31" t="str">
        <x:v>—</x:v>
      </x:c>
      <x:c r="F729" s="31" t="str">
        <x:v>—</x:v>
      </x:c>
      <x:c r="G729" s="31" t="str">
        <x:v>—</x:v>
      </x:c>
      <x:c r="H729" s="31" t="str">
        <x:v>—</x:v>
      </x:c>
      <x:c r="I729" s="31" t="str">
        <x:v>—</x:v>
      </x:c>
      <x:c r="J729" s="31" t="str">
        <x:v>—</x:v>
      </x:c>
      <x:c r="K729" s="31" t="str">
        <x:v>포함</x:v>
      </x:c>
      <x:c r="L729" s="31" t="str">
        <x:v>—</x:v>
      </x:c>
      <x:c r="M729" s="31" t="str">
        <x:v>포함</x:v>
      </x:c>
    </x:row>
    <x:row r="730">
      <x:c r="A730" s="34" t="n">
        <x:v>726</x:v>
      </x:c>
      <x:c r="B730" s="30" t="str">
        <x:v>냐오히트</x:v>
      </x:c>
      <x:c r="C730" s="30" t="str">
        <x:v>torracat</x:v>
      </x:c>
      <x:c r="D730" s="36" t="n">
        <x:v>7</x:v>
      </x:c>
      <x:c r="E730" s="31" t="str">
        <x:v>—</x:v>
      </x:c>
      <x:c r="F730" s="31" t="str">
        <x:v>—</x:v>
      </x:c>
      <x:c r="G730" s="31" t="str">
        <x:v>—</x:v>
      </x:c>
      <x:c r="H730" s="31" t="str">
        <x:v>—</x:v>
      </x:c>
      <x:c r="I730" s="31" t="str">
        <x:v>—</x:v>
      </x:c>
      <x:c r="J730" s="31" t="str">
        <x:v>—</x:v>
      </x:c>
      <x:c r="K730" s="31" t="str">
        <x:v>포함</x:v>
      </x:c>
      <x:c r="L730" s="31" t="str">
        <x:v>—</x:v>
      </x:c>
      <x:c r="M730" s="31" t="str">
        <x:v>포함</x:v>
      </x:c>
    </x:row>
    <x:row r="731">
      <x:c r="A731" s="34" t="n">
        <x:v>727</x:v>
      </x:c>
      <x:c r="B731" s="30" t="str">
        <x:v>어흥염</x:v>
      </x:c>
      <x:c r="C731" s="30" t="str">
        <x:v>incineroar</x:v>
      </x:c>
      <x:c r="D731" s="36" t="n">
        <x:v>7</x:v>
      </x:c>
      <x:c r="E731" s="31" t="str">
        <x:v>—</x:v>
      </x:c>
      <x:c r="F731" s="31" t="str">
        <x:v>—</x:v>
      </x:c>
      <x:c r="G731" s="31" t="str">
        <x:v>—</x:v>
      </x:c>
      <x:c r="H731" s="31" t="str">
        <x:v>—</x:v>
      </x:c>
      <x:c r="I731" s="31" t="str">
        <x:v>—</x:v>
      </x:c>
      <x:c r="J731" s="31" t="str">
        <x:v>—</x:v>
      </x:c>
      <x:c r="K731" s="31" t="str">
        <x:v>포함</x:v>
      </x:c>
      <x:c r="L731" s="31" t="str">
        <x:v>—</x:v>
      </x:c>
      <x:c r="M731" s="31" t="str">
        <x:v>포함</x:v>
      </x:c>
    </x:row>
    <x:row r="732">
      <x:c r="A732" s="34" t="n">
        <x:v>728</x:v>
      </x:c>
      <x:c r="B732" s="30" t="str">
        <x:v>누리공</x:v>
      </x:c>
      <x:c r="C732" s="30" t="str">
        <x:v>popplio</x:v>
      </x:c>
      <x:c r="D732" s="36" t="n">
        <x:v>7</x:v>
      </x:c>
      <x:c r="E732" s="31" t="str">
        <x:v>—</x:v>
      </x:c>
      <x:c r="F732" s="31" t="str">
        <x:v>—</x:v>
      </x:c>
      <x:c r="G732" s="31" t="str">
        <x:v>—</x:v>
      </x:c>
      <x:c r="H732" s="31" t="str">
        <x:v>—</x:v>
      </x:c>
      <x:c r="I732" s="31" t="str">
        <x:v>—</x:v>
      </x:c>
      <x:c r="J732" s="31" t="str">
        <x:v>—</x:v>
      </x:c>
      <x:c r="K732" s="31" t="str">
        <x:v>포함</x:v>
      </x:c>
      <x:c r="L732" s="31" t="str">
        <x:v>—</x:v>
      </x:c>
      <x:c r="M732" s="31" t="str">
        <x:v>포함</x:v>
      </x:c>
    </x:row>
    <x:row r="733">
      <x:c r="A733" s="34" t="n">
        <x:v>729</x:v>
      </x:c>
      <x:c r="B733" s="30" t="str">
        <x:v>키요공</x:v>
      </x:c>
      <x:c r="C733" s="30" t="str">
        <x:v>brionne</x:v>
      </x:c>
      <x:c r="D733" s="36" t="n">
        <x:v>7</x:v>
      </x:c>
      <x:c r="E733" s="31" t="str">
        <x:v>—</x:v>
      </x:c>
      <x:c r="F733" s="31" t="str">
        <x:v>—</x:v>
      </x:c>
      <x:c r="G733" s="31" t="str">
        <x:v>—</x:v>
      </x:c>
      <x:c r="H733" s="31" t="str">
        <x:v>—</x:v>
      </x:c>
      <x:c r="I733" s="31" t="str">
        <x:v>—</x:v>
      </x:c>
      <x:c r="J733" s="31" t="str">
        <x:v>—</x:v>
      </x:c>
      <x:c r="K733" s="31" t="str">
        <x:v>포함</x:v>
      </x:c>
      <x:c r="L733" s="31" t="str">
        <x:v>—</x:v>
      </x:c>
      <x:c r="M733" s="31" t="str">
        <x:v>포함</x:v>
      </x:c>
    </x:row>
    <x:row r="734">
      <x:c r="A734" s="34" t="n">
        <x:v>730</x:v>
      </x:c>
      <x:c r="B734" s="30" t="str">
        <x:v>누리레느</x:v>
      </x:c>
      <x:c r="C734" s="30" t="str">
        <x:v>primarina</x:v>
      </x:c>
      <x:c r="D734" s="36" t="n">
        <x:v>7</x:v>
      </x:c>
      <x:c r="E734" s="31" t="str">
        <x:v>—</x:v>
      </x:c>
      <x:c r="F734" s="31" t="str">
        <x:v>—</x:v>
      </x:c>
      <x:c r="G734" s="31" t="str">
        <x:v>—</x:v>
      </x:c>
      <x:c r="H734" s="31" t="str">
        <x:v>—</x:v>
      </x:c>
      <x:c r="I734" s="31" t="str">
        <x:v>—</x:v>
      </x:c>
      <x:c r="J734" s="31" t="str">
        <x:v>—</x:v>
      </x:c>
      <x:c r="K734" s="31" t="str">
        <x:v>포함</x:v>
      </x:c>
      <x:c r="L734" s="31" t="str">
        <x:v>—</x:v>
      </x:c>
      <x:c r="M734" s="31" t="str">
        <x:v>포함</x:v>
      </x:c>
    </x:row>
    <x:row r="735">
      <x:c r="A735" s="34" t="n">
        <x:v>731</x:v>
      </x:c>
      <x:c r="B735" s="30" t="str">
        <x:v>콕코구리</x:v>
      </x:c>
      <x:c r="C735" s="30" t="str">
        <x:v>pikipek</x:v>
      </x:c>
      <x:c r="D735" s="36" t="n">
        <x:v>7</x:v>
      </x:c>
      <x:c r="E735" s="31" t="str">
        <x:v>—</x:v>
      </x:c>
      <x:c r="F735" s="31" t="str">
        <x:v>—</x:v>
      </x:c>
      <x:c r="G735" s="31" t="str">
        <x:v>—</x:v>
      </x:c>
      <x:c r="H735" s="31" t="str">
        <x:v>—</x:v>
      </x:c>
      <x:c r="I735" s="31" t="str">
        <x:v>—</x:v>
      </x:c>
      <x:c r="J735" s="31" t="str">
        <x:v>—</x:v>
      </x:c>
      <x:c r="K735" s="31" t="str">
        <x:v>포함</x:v>
      </x:c>
      <x:c r="L735" s="31" t="str">
        <x:v>—</x:v>
      </x:c>
      <x:c r="M735" s="31" t="str">
        <x:v>포함</x:v>
      </x:c>
    </x:row>
    <x:row r="736">
      <x:c r="A736" s="34" t="n">
        <x:v>732</x:v>
      </x:c>
      <x:c r="B736" s="30" t="str">
        <x:v>크라파</x:v>
      </x:c>
      <x:c r="C736" s="30" t="str">
        <x:v>trumbeak</x:v>
      </x:c>
      <x:c r="D736" s="36" t="n">
        <x:v>7</x:v>
      </x:c>
      <x:c r="E736" s="31" t="str">
        <x:v>—</x:v>
      </x:c>
      <x:c r="F736" s="31" t="str">
        <x:v>—</x:v>
      </x:c>
      <x:c r="G736" s="31" t="str">
        <x:v>—</x:v>
      </x:c>
      <x:c r="H736" s="31" t="str">
        <x:v>—</x:v>
      </x:c>
      <x:c r="I736" s="31" t="str">
        <x:v>—</x:v>
      </x:c>
      <x:c r="J736" s="31" t="str">
        <x:v>—</x:v>
      </x:c>
      <x:c r="K736" s="31" t="str">
        <x:v>포함</x:v>
      </x:c>
      <x:c r="L736" s="31" t="str">
        <x:v>—</x:v>
      </x:c>
      <x:c r="M736" s="31" t="str">
        <x:v>포함</x:v>
      </x:c>
    </x:row>
    <x:row r="737">
      <x:c r="A737" s="34" t="n">
        <x:v>733</x:v>
      </x:c>
      <x:c r="B737" s="30" t="str">
        <x:v>왕큰부리</x:v>
      </x:c>
      <x:c r="C737" s="30" t="str">
        <x:v>toucannon</x:v>
      </x:c>
      <x:c r="D737" s="36" t="n">
        <x:v>7</x:v>
      </x:c>
      <x:c r="E737" s="31" t="str">
        <x:v>—</x:v>
      </x:c>
      <x:c r="F737" s="31" t="str">
        <x:v>—</x:v>
      </x:c>
      <x:c r="G737" s="31" t="str">
        <x:v>—</x:v>
      </x:c>
      <x:c r="H737" s="31" t="str">
        <x:v>—</x:v>
      </x:c>
      <x:c r="I737" s="31" t="str">
        <x:v>—</x:v>
      </x:c>
      <x:c r="J737" s="31" t="str">
        <x:v>—</x:v>
      </x:c>
      <x:c r="K737" s="31" t="str">
        <x:v>포함</x:v>
      </x:c>
      <x:c r="L737" s="31" t="str">
        <x:v>—</x:v>
      </x:c>
      <x:c r="M737" s="31" t="str">
        <x:v>포함</x:v>
      </x:c>
    </x:row>
    <x:row r="738">
      <x:c r="A738" s="34" t="n">
        <x:v>734</x:v>
      </x:c>
      <x:c r="B738" s="30" t="str">
        <x:v>영구스</x:v>
      </x:c>
      <x:c r="C738" s="30" t="str">
        <x:v>yungoos</x:v>
      </x:c>
      <x:c r="D738" s="36" t="n">
        <x:v>7</x:v>
      </x:c>
      <x:c r="E738" s="31" t="str">
        <x:v>—</x:v>
      </x:c>
      <x:c r="F738" s="31" t="str">
        <x:v>—</x:v>
      </x:c>
      <x:c r="G738" s="31" t="str">
        <x:v>—</x:v>
      </x:c>
      <x:c r="H738" s="31" t="str">
        <x:v>—</x:v>
      </x:c>
      <x:c r="I738" s="31" t="str">
        <x:v>—</x:v>
      </x:c>
      <x:c r="J738" s="31" t="str">
        <x:v>—</x:v>
      </x:c>
      <x:c r="K738" s="31" t="str">
        <x:v>포함</x:v>
      </x:c>
      <x:c r="L738" s="31" t="str">
        <x:v>—</x:v>
      </x:c>
      <x:c r="M738" s="31" t="str">
        <x:v>포함</x:v>
      </x:c>
    </x:row>
    <x:row r="739">
      <x:c r="A739" s="34" t="n">
        <x:v>735</x:v>
      </x:c>
      <x:c r="B739" s="30" t="str">
        <x:v>형사구스</x:v>
      </x:c>
      <x:c r="C739" s="30" t="str">
        <x:v>gumshoos</x:v>
      </x:c>
      <x:c r="D739" s="36" t="n">
        <x:v>7</x:v>
      </x:c>
      <x:c r="E739" s="31" t="str">
        <x:v>—</x:v>
      </x:c>
      <x:c r="F739" s="31" t="str">
        <x:v>—</x:v>
      </x:c>
      <x:c r="G739" s="31" t="str">
        <x:v>—</x:v>
      </x:c>
      <x:c r="H739" s="31" t="str">
        <x:v>—</x:v>
      </x:c>
      <x:c r="I739" s="31" t="str">
        <x:v>—</x:v>
      </x:c>
      <x:c r="J739" s="31" t="str">
        <x:v>—</x:v>
      </x:c>
      <x:c r="K739" s="31" t="str">
        <x:v>포함</x:v>
      </x:c>
      <x:c r="L739" s="31" t="str">
        <x:v>—</x:v>
      </x:c>
      <x:c r="M739" s="31" t="str">
        <x:v>포함</x:v>
      </x:c>
    </x:row>
    <x:row r="740">
      <x:c r="A740" s="34" t="n">
        <x:v>736</x:v>
      </x:c>
      <x:c r="B740" s="30" t="str">
        <x:v>턱지충이</x:v>
      </x:c>
      <x:c r="C740" s="30" t="str">
        <x:v>grubbin</x:v>
      </x:c>
      <x:c r="D740" s="36" t="n">
        <x:v>7</x:v>
      </x:c>
      <x:c r="E740" s="31" t="str">
        <x:v>—</x:v>
      </x:c>
      <x:c r="F740" s="31" t="str">
        <x:v>—</x:v>
      </x:c>
      <x:c r="G740" s="31" t="str">
        <x:v>—</x:v>
      </x:c>
      <x:c r="H740" s="31" t="str">
        <x:v>—</x:v>
      </x:c>
      <x:c r="I740" s="31" t="str">
        <x:v>—</x:v>
      </x:c>
      <x:c r="J740" s="31" t="str">
        <x:v>—</x:v>
      </x:c>
      <x:c r="K740" s="31" t="str">
        <x:v>포함</x:v>
      </x:c>
      <x:c r="L740" s="31" t="str">
        <x:v>포함</x:v>
      </x:c>
      <x:c r="M740" s="31" t="str">
        <x:v>포함</x:v>
      </x:c>
    </x:row>
    <x:row r="741">
      <x:c r="A741" s="34" t="n">
        <x:v>737</x:v>
      </x:c>
      <x:c r="B741" s="30" t="str">
        <x:v>전지충이</x:v>
      </x:c>
      <x:c r="C741" s="30" t="str">
        <x:v>charjabug</x:v>
      </x:c>
      <x:c r="D741" s="36" t="n">
        <x:v>7</x:v>
      </x:c>
      <x:c r="E741" s="31" t="str">
        <x:v>—</x:v>
      </x:c>
      <x:c r="F741" s="31" t="str">
        <x:v>—</x:v>
      </x:c>
      <x:c r="G741" s="31" t="str">
        <x:v>—</x:v>
      </x:c>
      <x:c r="H741" s="31" t="str">
        <x:v>—</x:v>
      </x:c>
      <x:c r="I741" s="31" t="str">
        <x:v>—</x:v>
      </x:c>
      <x:c r="J741" s="31" t="str">
        <x:v>—</x:v>
      </x:c>
      <x:c r="K741" s="31" t="str">
        <x:v>포함</x:v>
      </x:c>
      <x:c r="L741" s="31" t="str">
        <x:v>포함</x:v>
      </x:c>
      <x:c r="M741" s="31" t="str">
        <x:v>포함</x:v>
      </x:c>
    </x:row>
    <x:row r="742">
      <x:c r="A742" s="34" t="n">
        <x:v>738</x:v>
      </x:c>
      <x:c r="B742" s="30" t="str">
        <x:v>투구뿌논</x:v>
      </x:c>
      <x:c r="C742" s="30" t="str">
        <x:v>vikavolt</x:v>
      </x:c>
      <x:c r="D742" s="36" t="n">
        <x:v>7</x:v>
      </x:c>
      <x:c r="E742" s="31" t="str">
        <x:v>—</x:v>
      </x:c>
      <x:c r="F742" s="31" t="str">
        <x:v>—</x:v>
      </x:c>
      <x:c r="G742" s="31" t="str">
        <x:v>—</x:v>
      </x:c>
      <x:c r="H742" s="31" t="str">
        <x:v>—</x:v>
      </x:c>
      <x:c r="I742" s="31" t="str">
        <x:v>—</x:v>
      </x:c>
      <x:c r="J742" s="31" t="str">
        <x:v>—</x:v>
      </x:c>
      <x:c r="K742" s="31" t="str">
        <x:v>포함</x:v>
      </x:c>
      <x:c r="L742" s="31" t="str">
        <x:v>포함</x:v>
      </x:c>
      <x:c r="M742" s="31" t="str">
        <x:v>포함</x:v>
      </x:c>
    </x:row>
    <x:row r="743">
      <x:c r="A743" s="34" t="n">
        <x:v>739</x:v>
      </x:c>
      <x:c r="B743" s="30" t="str">
        <x:v>오기지게</x:v>
      </x:c>
      <x:c r="C743" s="30" t="str">
        <x:v>crabrawler</x:v>
      </x:c>
      <x:c r="D743" s="36" t="n">
        <x:v>7</x:v>
      </x:c>
      <x:c r="E743" s="31" t="str">
        <x:v>—</x:v>
      </x:c>
      <x:c r="F743" s="31" t="str">
        <x:v>—</x:v>
      </x:c>
      <x:c r="G743" s="31" t="str">
        <x:v>—</x:v>
      </x:c>
      <x:c r="H743" s="31" t="str">
        <x:v>—</x:v>
      </x:c>
      <x:c r="I743" s="31" t="str">
        <x:v>—</x:v>
      </x:c>
      <x:c r="J743" s="31" t="str">
        <x:v>—</x:v>
      </x:c>
      <x:c r="K743" s="31" t="str">
        <x:v>포함</x:v>
      </x:c>
      <x:c r="L743" s="31" t="str">
        <x:v>—</x:v>
      </x:c>
      <x:c r="M743" s="31" t="str">
        <x:v>포함</x:v>
      </x:c>
    </x:row>
    <x:row r="744">
      <x:c r="A744" s="34" t="n">
        <x:v>740</x:v>
      </x:c>
      <x:c r="B744" s="30" t="str">
        <x:v>모단단게</x:v>
      </x:c>
      <x:c r="C744" s="30" t="str">
        <x:v>crabominable</x:v>
      </x:c>
      <x:c r="D744" s="36" t="n">
        <x:v>7</x:v>
      </x:c>
      <x:c r="E744" s="31" t="str">
        <x:v>—</x:v>
      </x:c>
      <x:c r="F744" s="31" t="str">
        <x:v>—</x:v>
      </x:c>
      <x:c r="G744" s="31" t="str">
        <x:v>—</x:v>
      </x:c>
      <x:c r="H744" s="31" t="str">
        <x:v>—</x:v>
      </x:c>
      <x:c r="I744" s="31" t="str">
        <x:v>—</x:v>
      </x:c>
      <x:c r="J744" s="31" t="str">
        <x:v>—</x:v>
      </x:c>
      <x:c r="K744" s="31" t="str">
        <x:v>포함</x:v>
      </x:c>
      <x:c r="L744" s="31" t="str">
        <x:v>—</x:v>
      </x:c>
      <x:c r="M744" s="31" t="str">
        <x:v>포함</x:v>
      </x:c>
    </x:row>
    <x:row r="745">
      <x:c r="A745" s="34" t="n">
        <x:v>741</x:v>
      </x:c>
      <x:c r="B745" s="30" t="str">
        <x:v>춤추새</x:v>
      </x:c>
      <x:c r="C745" s="30" t="str">
        <x:v>oricorio</x:v>
      </x:c>
      <x:c r="D745" s="36" t="n">
        <x:v>7</x:v>
      </x:c>
      <x:c r="E745" s="31" t="str">
        <x:v>—</x:v>
      </x:c>
      <x:c r="F745" s="31" t="str">
        <x:v>—</x:v>
      </x:c>
      <x:c r="G745" s="31" t="str">
        <x:v>—</x:v>
      </x:c>
      <x:c r="H745" s="31" t="str">
        <x:v>—</x:v>
      </x:c>
      <x:c r="I745" s="31" t="str">
        <x:v>—</x:v>
      </x:c>
      <x:c r="J745" s="31" t="str">
        <x:v>—</x:v>
      </x:c>
      <x:c r="K745" s="31" t="str">
        <x:v>포함</x:v>
      </x:c>
      <x:c r="L745" s="31" t="str">
        <x:v>—</x:v>
      </x:c>
      <x:c r="M745" s="31" t="str">
        <x:v>포함</x:v>
      </x:c>
    </x:row>
    <x:row r="746">
      <x:c r="A746" s="34" t="n">
        <x:v>742</x:v>
      </x:c>
      <x:c r="B746" s="30" t="str">
        <x:v>에블리</x:v>
      </x:c>
      <x:c r="C746" s="30" t="str">
        <x:v>cutiefly</x:v>
      </x:c>
      <x:c r="D746" s="36" t="n">
        <x:v>7</x:v>
      </x:c>
      <x:c r="E746" s="31" t="str">
        <x:v>—</x:v>
      </x:c>
      <x:c r="F746" s="31" t="str">
        <x:v>—</x:v>
      </x:c>
      <x:c r="G746" s="31" t="str">
        <x:v>—</x:v>
      </x:c>
      <x:c r="H746" s="31" t="str">
        <x:v>—</x:v>
      </x:c>
      <x:c r="I746" s="31" t="str">
        <x:v>—</x:v>
      </x:c>
      <x:c r="J746" s="31" t="str">
        <x:v>—</x:v>
      </x:c>
      <x:c r="K746" s="31" t="str">
        <x:v>포함</x:v>
      </x:c>
      <x:c r="L746" s="31" t="str">
        <x:v>포함</x:v>
      </x:c>
      <x:c r="M746" s="31" t="str">
        <x:v>포함</x:v>
      </x:c>
    </x:row>
    <x:row r="747">
      <x:c r="A747" s="34" t="n">
        <x:v>743</x:v>
      </x:c>
      <x:c r="B747" s="30" t="str">
        <x:v>에리본</x:v>
      </x:c>
      <x:c r="C747" s="30" t="str">
        <x:v>ribombee</x:v>
      </x:c>
      <x:c r="D747" s="36" t="n">
        <x:v>7</x:v>
      </x:c>
      <x:c r="E747" s="31" t="str">
        <x:v>—</x:v>
      </x:c>
      <x:c r="F747" s="31" t="str">
        <x:v>—</x:v>
      </x:c>
      <x:c r="G747" s="31" t="str">
        <x:v>—</x:v>
      </x:c>
      <x:c r="H747" s="31" t="str">
        <x:v>—</x:v>
      </x:c>
      <x:c r="I747" s="31" t="str">
        <x:v>—</x:v>
      </x:c>
      <x:c r="J747" s="31" t="str">
        <x:v>—</x:v>
      </x:c>
      <x:c r="K747" s="31" t="str">
        <x:v>포함</x:v>
      </x:c>
      <x:c r="L747" s="31" t="str">
        <x:v>포함</x:v>
      </x:c>
      <x:c r="M747" s="31" t="str">
        <x:v>포함</x:v>
      </x:c>
    </x:row>
    <x:row r="748">
      <x:c r="A748" s="34" t="n">
        <x:v>744</x:v>
      </x:c>
      <x:c r="B748" s="30" t="str">
        <x:v>암멍이</x:v>
      </x:c>
      <x:c r="C748" s="30" t="str">
        <x:v>rockruff</x:v>
      </x:c>
      <x:c r="D748" s="36" t="n">
        <x:v>7</x:v>
      </x:c>
      <x:c r="E748" s="31" t="str">
        <x:v>—</x:v>
      </x:c>
      <x:c r="F748" s="31" t="str">
        <x:v>—</x:v>
      </x:c>
      <x:c r="G748" s="31" t="str">
        <x:v>—</x:v>
      </x:c>
      <x:c r="H748" s="31" t="str">
        <x:v>—</x:v>
      </x:c>
      <x:c r="I748" s="31" t="str">
        <x:v>—</x:v>
      </x:c>
      <x:c r="J748" s="31" t="str">
        <x:v>—</x:v>
      </x:c>
      <x:c r="K748" s="31" t="str">
        <x:v>포함</x:v>
      </x:c>
      <x:c r="L748" s="31" t="str">
        <x:v>포함</x:v>
      </x:c>
      <x:c r="M748" s="31" t="str">
        <x:v>포함</x:v>
      </x:c>
    </x:row>
    <x:row r="749">
      <x:c r="A749" s="34" t="n">
        <x:v>745</x:v>
      </x:c>
      <x:c r="B749" s="30" t="str">
        <x:v>루가루암</x:v>
      </x:c>
      <x:c r="C749" s="30" t="str">
        <x:v>lycanroc</x:v>
      </x:c>
      <x:c r="D749" s="36" t="n">
        <x:v>7</x:v>
      </x:c>
      <x:c r="E749" s="31" t="str">
        <x:v>—</x:v>
      </x:c>
      <x:c r="F749" s="31" t="str">
        <x:v>—</x:v>
      </x:c>
      <x:c r="G749" s="31" t="str">
        <x:v>—</x:v>
      </x:c>
      <x:c r="H749" s="31" t="str">
        <x:v>—</x:v>
      </x:c>
      <x:c r="I749" s="31" t="str">
        <x:v>—</x:v>
      </x:c>
      <x:c r="J749" s="31" t="str">
        <x:v>—</x:v>
      </x:c>
      <x:c r="K749" s="31" t="str">
        <x:v>포함</x:v>
      </x:c>
      <x:c r="L749" s="31" t="str">
        <x:v>포함</x:v>
      </x:c>
      <x:c r="M749" s="31" t="str">
        <x:v>포함</x:v>
      </x:c>
    </x:row>
    <x:row r="750">
      <x:c r="A750" s="34" t="n">
        <x:v>746</x:v>
      </x:c>
      <x:c r="B750" s="30" t="str">
        <x:v>약어리</x:v>
      </x:c>
      <x:c r="C750" s="30" t="str">
        <x:v>wishiwashi</x:v>
      </x:c>
      <x:c r="D750" s="36" t="n">
        <x:v>7</x:v>
      </x:c>
      <x:c r="E750" s="31" t="str">
        <x:v>—</x:v>
      </x:c>
      <x:c r="F750" s="31" t="str">
        <x:v>—</x:v>
      </x:c>
      <x:c r="G750" s="31" t="str">
        <x:v>—</x:v>
      </x:c>
      <x:c r="H750" s="31" t="str">
        <x:v>—</x:v>
      </x:c>
      <x:c r="I750" s="31" t="str">
        <x:v>—</x:v>
      </x:c>
      <x:c r="J750" s="31" t="str">
        <x:v>—</x:v>
      </x:c>
      <x:c r="K750" s="31" t="str">
        <x:v>포함</x:v>
      </x:c>
      <x:c r="L750" s="31" t="str">
        <x:v>포함</x:v>
      </x:c>
      <x:c r="M750" s="31" t="str">
        <x:v>—</x:v>
      </x:c>
    </x:row>
    <x:row r="751">
      <x:c r="A751" s="34" t="n">
        <x:v>747</x:v>
      </x:c>
      <x:c r="B751" s="30" t="str">
        <x:v>시마사리</x:v>
      </x:c>
      <x:c r="C751" s="30" t="str">
        <x:v>mareanie</x:v>
      </x:c>
      <x:c r="D751" s="36" t="n">
        <x:v>7</x:v>
      </x:c>
      <x:c r="E751" s="31" t="str">
        <x:v>—</x:v>
      </x:c>
      <x:c r="F751" s="31" t="str">
        <x:v>—</x:v>
      </x:c>
      <x:c r="G751" s="31" t="str">
        <x:v>—</x:v>
      </x:c>
      <x:c r="H751" s="31" t="str">
        <x:v>—</x:v>
      </x:c>
      <x:c r="I751" s="31" t="str">
        <x:v>—</x:v>
      </x:c>
      <x:c r="J751" s="31" t="str">
        <x:v>—</x:v>
      </x:c>
      <x:c r="K751" s="31" t="str">
        <x:v>포함</x:v>
      </x:c>
      <x:c r="L751" s="31" t="str">
        <x:v>포함</x:v>
      </x:c>
      <x:c r="M751" s="31" t="str">
        <x:v>포함</x:v>
      </x:c>
    </x:row>
    <x:row r="752">
      <x:c r="A752" s="34" t="n">
        <x:v>748</x:v>
      </x:c>
      <x:c r="B752" s="30" t="str">
        <x:v>더시마사리</x:v>
      </x:c>
      <x:c r="C752" s="30" t="str">
        <x:v>toxapex</x:v>
      </x:c>
      <x:c r="D752" s="36" t="n">
        <x:v>7</x:v>
      </x:c>
      <x:c r="E752" s="31" t="str">
        <x:v>—</x:v>
      </x:c>
      <x:c r="F752" s="31" t="str">
        <x:v>—</x:v>
      </x:c>
      <x:c r="G752" s="31" t="str">
        <x:v>—</x:v>
      </x:c>
      <x:c r="H752" s="31" t="str">
        <x:v>—</x:v>
      </x:c>
      <x:c r="I752" s="31" t="str">
        <x:v>—</x:v>
      </x:c>
      <x:c r="J752" s="31" t="str">
        <x:v>—</x:v>
      </x:c>
      <x:c r="K752" s="31" t="str">
        <x:v>포함</x:v>
      </x:c>
      <x:c r="L752" s="31" t="str">
        <x:v>포함</x:v>
      </x:c>
      <x:c r="M752" s="31" t="str">
        <x:v>포함</x:v>
      </x:c>
    </x:row>
    <x:row r="753">
      <x:c r="A753" s="34" t="n">
        <x:v>749</x:v>
      </x:c>
      <x:c r="B753" s="30" t="str">
        <x:v>머드나기</x:v>
      </x:c>
      <x:c r="C753" s="30" t="str">
        <x:v>mudbray</x:v>
      </x:c>
      <x:c r="D753" s="36" t="n">
        <x:v>7</x:v>
      </x:c>
      <x:c r="E753" s="31" t="str">
        <x:v>—</x:v>
      </x:c>
      <x:c r="F753" s="31" t="str">
        <x:v>—</x:v>
      </x:c>
      <x:c r="G753" s="31" t="str">
        <x:v>—</x:v>
      </x:c>
      <x:c r="H753" s="31" t="str">
        <x:v>—</x:v>
      </x:c>
      <x:c r="I753" s="31" t="str">
        <x:v>—</x:v>
      </x:c>
      <x:c r="J753" s="31" t="str">
        <x:v>—</x:v>
      </x:c>
      <x:c r="K753" s="31" t="str">
        <x:v>포함</x:v>
      </x:c>
      <x:c r="L753" s="31" t="str">
        <x:v>포함</x:v>
      </x:c>
      <x:c r="M753" s="31" t="str">
        <x:v>포함</x:v>
      </x:c>
    </x:row>
    <x:row r="754">
      <x:c r="A754" s="34" t="n">
        <x:v>750</x:v>
      </x:c>
      <x:c r="B754" s="30" t="str">
        <x:v>만마드</x:v>
      </x:c>
      <x:c r="C754" s="30" t="str">
        <x:v>mudsdale</x:v>
      </x:c>
      <x:c r="D754" s="36" t="n">
        <x:v>7</x:v>
      </x:c>
      <x:c r="E754" s="31" t="str">
        <x:v>—</x:v>
      </x:c>
      <x:c r="F754" s="31" t="str">
        <x:v>—</x:v>
      </x:c>
      <x:c r="G754" s="31" t="str">
        <x:v>—</x:v>
      </x:c>
      <x:c r="H754" s="31" t="str">
        <x:v>—</x:v>
      </x:c>
      <x:c r="I754" s="31" t="str">
        <x:v>—</x:v>
      </x:c>
      <x:c r="J754" s="31" t="str">
        <x:v>—</x:v>
      </x:c>
      <x:c r="K754" s="31" t="str">
        <x:v>포함</x:v>
      </x:c>
      <x:c r="L754" s="31" t="str">
        <x:v>포함</x:v>
      </x:c>
      <x:c r="M754" s="31" t="str">
        <x:v>포함</x:v>
      </x:c>
    </x:row>
    <x:row r="755">
      <x:c r="A755" s="34" t="n">
        <x:v>751</x:v>
      </x:c>
      <x:c r="B755" s="30" t="str">
        <x:v>물거미</x:v>
      </x:c>
      <x:c r="C755" s="30" t="str">
        <x:v>dewpider</x:v>
      </x:c>
      <x:c r="D755" s="36" t="n">
        <x:v>7</x:v>
      </x:c>
      <x:c r="E755" s="31" t="str">
        <x:v>—</x:v>
      </x:c>
      <x:c r="F755" s="31" t="str">
        <x:v>—</x:v>
      </x:c>
      <x:c r="G755" s="31" t="str">
        <x:v>—</x:v>
      </x:c>
      <x:c r="H755" s="31" t="str">
        <x:v>—</x:v>
      </x:c>
      <x:c r="I755" s="31" t="str">
        <x:v>—</x:v>
      </x:c>
      <x:c r="J755" s="31" t="str">
        <x:v>—</x:v>
      </x:c>
      <x:c r="K755" s="31" t="str">
        <x:v>포함</x:v>
      </x:c>
      <x:c r="L755" s="31" t="str">
        <x:v>포함</x:v>
      </x:c>
      <x:c r="M755" s="31" t="str">
        <x:v>포함</x:v>
      </x:c>
    </x:row>
    <x:row r="756">
      <x:c r="A756" s="34" t="n">
        <x:v>752</x:v>
      </x:c>
      <x:c r="B756" s="30" t="str">
        <x:v>깨비물거미</x:v>
      </x:c>
      <x:c r="C756" s="30" t="str">
        <x:v>araquanid</x:v>
      </x:c>
      <x:c r="D756" s="36" t="n">
        <x:v>7</x:v>
      </x:c>
      <x:c r="E756" s="31" t="str">
        <x:v>—</x:v>
      </x:c>
      <x:c r="F756" s="31" t="str">
        <x:v>—</x:v>
      </x:c>
      <x:c r="G756" s="31" t="str">
        <x:v>—</x:v>
      </x:c>
      <x:c r="H756" s="31" t="str">
        <x:v>—</x:v>
      </x:c>
      <x:c r="I756" s="31" t="str">
        <x:v>—</x:v>
      </x:c>
      <x:c r="J756" s="31" t="str">
        <x:v>—</x:v>
      </x:c>
      <x:c r="K756" s="31" t="str">
        <x:v>포함</x:v>
      </x:c>
      <x:c r="L756" s="31" t="str">
        <x:v>포함</x:v>
      </x:c>
      <x:c r="M756" s="31" t="str">
        <x:v>포함</x:v>
      </x:c>
    </x:row>
    <x:row r="757">
      <x:c r="A757" s="34" t="n">
        <x:v>753</x:v>
      </x:c>
      <x:c r="B757" s="30" t="str">
        <x:v>짜랑랑</x:v>
      </x:c>
      <x:c r="C757" s="30" t="str">
        <x:v>fomantis</x:v>
      </x:c>
      <x:c r="D757" s="36" t="n">
        <x:v>7</x:v>
      </x:c>
      <x:c r="E757" s="31" t="str">
        <x:v>—</x:v>
      </x:c>
      <x:c r="F757" s="31" t="str">
        <x:v>—</x:v>
      </x:c>
      <x:c r="G757" s="31" t="str">
        <x:v>—</x:v>
      </x:c>
      <x:c r="H757" s="31" t="str">
        <x:v>—</x:v>
      </x:c>
      <x:c r="I757" s="31" t="str">
        <x:v>—</x:v>
      </x:c>
      <x:c r="J757" s="31" t="str">
        <x:v>—</x:v>
      </x:c>
      <x:c r="K757" s="31" t="str">
        <x:v>포함</x:v>
      </x:c>
      <x:c r="L757" s="31" t="str">
        <x:v>포함</x:v>
      </x:c>
      <x:c r="M757" s="31" t="str">
        <x:v>포함</x:v>
      </x:c>
    </x:row>
    <x:row r="758">
      <x:c r="A758" s="34" t="n">
        <x:v>754</x:v>
      </x:c>
      <x:c r="B758" s="30" t="str">
        <x:v>라란티스</x:v>
      </x:c>
      <x:c r="C758" s="30" t="str">
        <x:v>lurantis</x:v>
      </x:c>
      <x:c r="D758" s="36" t="n">
        <x:v>7</x:v>
      </x:c>
      <x:c r="E758" s="31" t="str">
        <x:v>—</x:v>
      </x:c>
      <x:c r="F758" s="31" t="str">
        <x:v>—</x:v>
      </x:c>
      <x:c r="G758" s="31" t="str">
        <x:v>—</x:v>
      </x:c>
      <x:c r="H758" s="31" t="str">
        <x:v>—</x:v>
      </x:c>
      <x:c r="I758" s="31" t="str">
        <x:v>—</x:v>
      </x:c>
      <x:c r="J758" s="31" t="str">
        <x:v>—</x:v>
      </x:c>
      <x:c r="K758" s="31" t="str">
        <x:v>포함</x:v>
      </x:c>
      <x:c r="L758" s="31" t="str">
        <x:v>포함</x:v>
      </x:c>
      <x:c r="M758" s="31" t="str">
        <x:v>포함</x:v>
      </x:c>
    </x:row>
    <x:row r="759">
      <x:c r="A759" s="34" t="n">
        <x:v>755</x:v>
      </x:c>
      <x:c r="B759" s="30" t="str">
        <x:v>자마슈</x:v>
      </x:c>
      <x:c r="C759" s="30" t="str">
        <x:v>morelull</x:v>
      </x:c>
      <x:c r="D759" s="36" t="n">
        <x:v>7</x:v>
      </x:c>
      <x:c r="E759" s="31" t="str">
        <x:v>—</x:v>
      </x:c>
      <x:c r="F759" s="31" t="str">
        <x:v>—</x:v>
      </x:c>
      <x:c r="G759" s="31" t="str">
        <x:v>—</x:v>
      </x:c>
      <x:c r="H759" s="31" t="str">
        <x:v>—</x:v>
      </x:c>
      <x:c r="I759" s="31" t="str">
        <x:v>—</x:v>
      </x:c>
      <x:c r="J759" s="31" t="str">
        <x:v>—</x:v>
      </x:c>
      <x:c r="K759" s="31" t="str">
        <x:v>포함</x:v>
      </x:c>
      <x:c r="L759" s="31" t="str">
        <x:v>포함</x:v>
      </x:c>
      <x:c r="M759" s="31" t="str">
        <x:v>—</x:v>
      </x:c>
    </x:row>
    <x:row r="760">
      <x:c r="A760" s="34" t="n">
        <x:v>756</x:v>
      </x:c>
      <x:c r="B760" s="30" t="str">
        <x:v>마셰이드</x:v>
      </x:c>
      <x:c r="C760" s="30" t="str">
        <x:v>shiinotic</x:v>
      </x:c>
      <x:c r="D760" s="36" t="n">
        <x:v>7</x:v>
      </x:c>
      <x:c r="E760" s="31" t="str">
        <x:v>—</x:v>
      </x:c>
      <x:c r="F760" s="31" t="str">
        <x:v>—</x:v>
      </x:c>
      <x:c r="G760" s="31" t="str">
        <x:v>—</x:v>
      </x:c>
      <x:c r="H760" s="31" t="str">
        <x:v>—</x:v>
      </x:c>
      <x:c r="I760" s="31" t="str">
        <x:v>—</x:v>
      </x:c>
      <x:c r="J760" s="31" t="str">
        <x:v>—</x:v>
      </x:c>
      <x:c r="K760" s="31" t="str">
        <x:v>포함</x:v>
      </x:c>
      <x:c r="L760" s="31" t="str">
        <x:v>포함</x:v>
      </x:c>
      <x:c r="M760" s="31" t="str">
        <x:v>—</x:v>
      </x:c>
    </x:row>
    <x:row r="761">
      <x:c r="A761" s="34" t="n">
        <x:v>757</x:v>
      </x:c>
      <x:c r="B761" s="30" t="str">
        <x:v>야도뇽</x:v>
      </x:c>
      <x:c r="C761" s="30" t="str">
        <x:v>salandit</x:v>
      </x:c>
      <x:c r="D761" s="36" t="n">
        <x:v>7</x:v>
      </x:c>
      <x:c r="E761" s="31" t="str">
        <x:v>—</x:v>
      </x:c>
      <x:c r="F761" s="31" t="str">
        <x:v>—</x:v>
      </x:c>
      <x:c r="G761" s="31" t="str">
        <x:v>—</x:v>
      </x:c>
      <x:c r="H761" s="31" t="str">
        <x:v>—</x:v>
      </x:c>
      <x:c r="I761" s="31" t="str">
        <x:v>—</x:v>
      </x:c>
      <x:c r="J761" s="31" t="str">
        <x:v>—</x:v>
      </x:c>
      <x:c r="K761" s="31" t="str">
        <x:v>포함</x:v>
      </x:c>
      <x:c r="L761" s="31" t="str">
        <x:v>포함</x:v>
      </x:c>
      <x:c r="M761" s="31" t="str">
        <x:v>포함</x:v>
      </x:c>
    </x:row>
    <x:row r="762">
      <x:c r="A762" s="34" t="n">
        <x:v>758</x:v>
      </x:c>
      <x:c r="B762" s="30" t="str">
        <x:v>염뉴트</x:v>
      </x:c>
      <x:c r="C762" s="30" t="str">
        <x:v>salazzle</x:v>
      </x:c>
      <x:c r="D762" s="36" t="n">
        <x:v>7</x:v>
      </x:c>
      <x:c r="E762" s="31" t="str">
        <x:v>—</x:v>
      </x:c>
      <x:c r="F762" s="31" t="str">
        <x:v>—</x:v>
      </x:c>
      <x:c r="G762" s="31" t="str">
        <x:v>—</x:v>
      </x:c>
      <x:c r="H762" s="31" t="str">
        <x:v>—</x:v>
      </x:c>
      <x:c r="I762" s="31" t="str">
        <x:v>—</x:v>
      </x:c>
      <x:c r="J762" s="31" t="str">
        <x:v>—</x:v>
      </x:c>
      <x:c r="K762" s="31" t="str">
        <x:v>포함</x:v>
      </x:c>
      <x:c r="L762" s="31" t="str">
        <x:v>포함</x:v>
      </x:c>
      <x:c r="M762" s="31" t="str">
        <x:v>포함</x:v>
      </x:c>
    </x:row>
    <x:row r="763">
      <x:c r="A763" s="34" t="n">
        <x:v>759</x:v>
      </x:c>
      <x:c r="B763" s="30" t="str">
        <x:v>포곰곰</x:v>
      </x:c>
      <x:c r="C763" s="30" t="str">
        <x:v>stufful</x:v>
      </x:c>
      <x:c r="D763" s="36" t="n">
        <x:v>7</x:v>
      </x:c>
      <x:c r="E763" s="31" t="str">
        <x:v>—</x:v>
      </x:c>
      <x:c r="F763" s="31" t="str">
        <x:v>—</x:v>
      </x:c>
      <x:c r="G763" s="31" t="str">
        <x:v>—</x:v>
      </x:c>
      <x:c r="H763" s="31" t="str">
        <x:v>—</x:v>
      </x:c>
      <x:c r="I763" s="31" t="str">
        <x:v>—</x:v>
      </x:c>
      <x:c r="J763" s="31" t="str">
        <x:v>—</x:v>
      </x:c>
      <x:c r="K763" s="31" t="str">
        <x:v>포함</x:v>
      </x:c>
      <x:c r="L763" s="31" t="str">
        <x:v>포함</x:v>
      </x:c>
      <x:c r="M763" s="31" t="str">
        <x:v>—</x:v>
      </x:c>
    </x:row>
    <x:row r="764">
      <x:c r="A764" s="34" t="n">
        <x:v>760</x:v>
      </x:c>
      <x:c r="B764" s="30" t="str">
        <x:v>이븐곰</x:v>
      </x:c>
      <x:c r="C764" s="30" t="str">
        <x:v>bewear</x:v>
      </x:c>
      <x:c r="D764" s="36" t="n">
        <x:v>7</x:v>
      </x:c>
      <x:c r="E764" s="31" t="str">
        <x:v>—</x:v>
      </x:c>
      <x:c r="F764" s="31" t="str">
        <x:v>—</x:v>
      </x:c>
      <x:c r="G764" s="31" t="str">
        <x:v>—</x:v>
      </x:c>
      <x:c r="H764" s="31" t="str">
        <x:v>—</x:v>
      </x:c>
      <x:c r="I764" s="31" t="str">
        <x:v>—</x:v>
      </x:c>
      <x:c r="J764" s="31" t="str">
        <x:v>—</x:v>
      </x:c>
      <x:c r="K764" s="31" t="str">
        <x:v>포함</x:v>
      </x:c>
      <x:c r="L764" s="31" t="str">
        <x:v>포함</x:v>
      </x:c>
      <x:c r="M764" s="31" t="str">
        <x:v>—</x:v>
      </x:c>
    </x:row>
    <x:row r="765">
      <x:c r="A765" s="34" t="n">
        <x:v>761</x:v>
      </x:c>
      <x:c r="B765" s="30" t="str">
        <x:v>달콤아</x:v>
      </x:c>
      <x:c r="C765" s="30" t="str">
        <x:v>bounsweet</x:v>
      </x:c>
      <x:c r="D765" s="36" t="n">
        <x:v>7</x:v>
      </x:c>
      <x:c r="E765" s="31" t="str">
        <x:v>—</x:v>
      </x:c>
      <x:c r="F765" s="31" t="str">
        <x:v>—</x:v>
      </x:c>
      <x:c r="G765" s="31" t="str">
        <x:v>—</x:v>
      </x:c>
      <x:c r="H765" s="31" t="str">
        <x:v>—</x:v>
      </x:c>
      <x:c r="I765" s="31" t="str">
        <x:v>—</x:v>
      </x:c>
      <x:c r="J765" s="31" t="str">
        <x:v>—</x:v>
      </x:c>
      <x:c r="K765" s="31" t="str">
        <x:v>포함</x:v>
      </x:c>
      <x:c r="L765" s="31" t="str">
        <x:v>포함</x:v>
      </x:c>
      <x:c r="M765" s="31" t="str">
        <x:v>포함</x:v>
      </x:c>
    </x:row>
    <x:row r="766">
      <x:c r="A766" s="34" t="n">
        <x:v>762</x:v>
      </x:c>
      <x:c r="B766" s="30" t="str">
        <x:v>달무리나</x:v>
      </x:c>
      <x:c r="C766" s="30" t="str">
        <x:v>steenee</x:v>
      </x:c>
      <x:c r="D766" s="36" t="n">
        <x:v>7</x:v>
      </x:c>
      <x:c r="E766" s="31" t="str">
        <x:v>—</x:v>
      </x:c>
      <x:c r="F766" s="31" t="str">
        <x:v>—</x:v>
      </x:c>
      <x:c r="G766" s="31" t="str">
        <x:v>—</x:v>
      </x:c>
      <x:c r="H766" s="31" t="str">
        <x:v>—</x:v>
      </x:c>
      <x:c r="I766" s="31" t="str">
        <x:v>—</x:v>
      </x:c>
      <x:c r="J766" s="31" t="str">
        <x:v>—</x:v>
      </x:c>
      <x:c r="K766" s="31" t="str">
        <x:v>포함</x:v>
      </x:c>
      <x:c r="L766" s="31" t="str">
        <x:v>포함</x:v>
      </x:c>
      <x:c r="M766" s="31" t="str">
        <x:v>포함</x:v>
      </x:c>
    </x:row>
    <x:row r="767">
      <x:c r="A767" s="34" t="n">
        <x:v>763</x:v>
      </x:c>
      <x:c r="B767" s="30" t="str">
        <x:v>달코퀸</x:v>
      </x:c>
      <x:c r="C767" s="30" t="str">
        <x:v>tsareena</x:v>
      </x:c>
      <x:c r="D767" s="36" t="n">
        <x:v>7</x:v>
      </x:c>
      <x:c r="E767" s="31" t="str">
        <x:v>—</x:v>
      </x:c>
      <x:c r="F767" s="31" t="str">
        <x:v>—</x:v>
      </x:c>
      <x:c r="G767" s="31" t="str">
        <x:v>—</x:v>
      </x:c>
      <x:c r="H767" s="31" t="str">
        <x:v>—</x:v>
      </x:c>
      <x:c r="I767" s="31" t="str">
        <x:v>—</x:v>
      </x:c>
      <x:c r="J767" s="31" t="str">
        <x:v>—</x:v>
      </x:c>
      <x:c r="K767" s="31" t="str">
        <x:v>포함</x:v>
      </x:c>
      <x:c r="L767" s="31" t="str">
        <x:v>포함</x:v>
      </x:c>
      <x:c r="M767" s="31" t="str">
        <x:v>포함</x:v>
      </x:c>
    </x:row>
    <x:row r="768">
      <x:c r="A768" s="34" t="n">
        <x:v>764</x:v>
      </x:c>
      <x:c r="B768" s="30" t="str">
        <x:v>큐아링</x:v>
      </x:c>
      <x:c r="C768" s="30" t="str">
        <x:v>comfey</x:v>
      </x:c>
      <x:c r="D768" s="36" t="n">
        <x:v>7</x:v>
      </x:c>
      <x:c r="E768" s="31" t="str">
        <x:v>—</x:v>
      </x:c>
      <x:c r="F768" s="31" t="str">
        <x:v>—</x:v>
      </x:c>
      <x:c r="G768" s="31" t="str">
        <x:v>—</x:v>
      </x:c>
      <x:c r="H768" s="31" t="str">
        <x:v>—</x:v>
      </x:c>
      <x:c r="I768" s="31" t="str">
        <x:v>—</x:v>
      </x:c>
      <x:c r="J768" s="31" t="str">
        <x:v>—</x:v>
      </x:c>
      <x:c r="K768" s="31" t="str">
        <x:v>포함</x:v>
      </x:c>
      <x:c r="L768" s="31" t="str">
        <x:v>포함</x:v>
      </x:c>
      <x:c r="M768" s="31" t="str">
        <x:v>포함</x:v>
      </x:c>
    </x:row>
    <x:row r="769">
      <x:c r="A769" s="34" t="n">
        <x:v>765</x:v>
      </x:c>
      <x:c r="B769" s="30" t="str">
        <x:v>하랑우탄</x:v>
      </x:c>
      <x:c r="C769" s="30" t="str">
        <x:v>oranguru</x:v>
      </x:c>
      <x:c r="D769" s="36" t="n">
        <x:v>7</x:v>
      </x:c>
      <x:c r="E769" s="31" t="str">
        <x:v>—</x:v>
      </x:c>
      <x:c r="F769" s="31" t="str">
        <x:v>—</x:v>
      </x:c>
      <x:c r="G769" s="31" t="str">
        <x:v>—</x:v>
      </x:c>
      <x:c r="H769" s="31" t="str">
        <x:v>—</x:v>
      </x:c>
      <x:c r="I769" s="31" t="str">
        <x:v>—</x:v>
      </x:c>
      <x:c r="J769" s="31" t="str">
        <x:v>—</x:v>
      </x:c>
      <x:c r="K769" s="31" t="str">
        <x:v>포함</x:v>
      </x:c>
      <x:c r="L769" s="31" t="str">
        <x:v>포함</x:v>
      </x:c>
      <x:c r="M769" s="31" t="str">
        <x:v>포함</x:v>
      </x:c>
    </x:row>
    <x:row r="770">
      <x:c r="A770" s="34" t="n">
        <x:v>766</x:v>
      </x:c>
      <x:c r="B770" s="30" t="str">
        <x:v>내던숭이</x:v>
      </x:c>
      <x:c r="C770" s="30" t="str">
        <x:v>passimian</x:v>
      </x:c>
      <x:c r="D770" s="36" t="n">
        <x:v>7</x:v>
      </x:c>
      <x:c r="E770" s="31" t="str">
        <x:v>—</x:v>
      </x:c>
      <x:c r="F770" s="31" t="str">
        <x:v>—</x:v>
      </x:c>
      <x:c r="G770" s="31" t="str">
        <x:v>—</x:v>
      </x:c>
      <x:c r="H770" s="31" t="str">
        <x:v>—</x:v>
      </x:c>
      <x:c r="I770" s="31" t="str">
        <x:v>—</x:v>
      </x:c>
      <x:c r="J770" s="31" t="str">
        <x:v>—</x:v>
      </x:c>
      <x:c r="K770" s="31" t="str">
        <x:v>포함</x:v>
      </x:c>
      <x:c r="L770" s="31" t="str">
        <x:v>포함</x:v>
      </x:c>
      <x:c r="M770" s="31" t="str">
        <x:v>포함</x:v>
      </x:c>
    </x:row>
    <x:row r="771">
      <x:c r="A771" s="34" t="n">
        <x:v>767</x:v>
      </x:c>
      <x:c r="B771" s="30" t="str">
        <x:v>꼬시레</x:v>
      </x:c>
      <x:c r="C771" s="30" t="str">
        <x:v>wimpod</x:v>
      </x:c>
      <x:c r="D771" s="36" t="n">
        <x:v>7</x:v>
      </x:c>
      <x:c r="E771" s="31" t="str">
        <x:v>—</x:v>
      </x:c>
      <x:c r="F771" s="31" t="str">
        <x:v>—</x:v>
      </x:c>
      <x:c r="G771" s="31" t="str">
        <x:v>—</x:v>
      </x:c>
      <x:c r="H771" s="31" t="str">
        <x:v>—</x:v>
      </x:c>
      <x:c r="I771" s="31" t="str">
        <x:v>—</x:v>
      </x:c>
      <x:c r="J771" s="31" t="str">
        <x:v>—</x:v>
      </x:c>
      <x:c r="K771" s="31" t="str">
        <x:v>포함</x:v>
      </x:c>
      <x:c r="L771" s="31" t="str">
        <x:v>포함</x:v>
      </x:c>
      <x:c r="M771" s="31" t="str">
        <x:v>—</x:v>
      </x:c>
    </x:row>
    <x:row r="772">
      <x:c r="A772" s="34" t="n">
        <x:v>768</x:v>
      </x:c>
      <x:c r="B772" s="30" t="str">
        <x:v>갑주무사</x:v>
      </x:c>
      <x:c r="C772" s="30" t="str">
        <x:v>golisopod</x:v>
      </x:c>
      <x:c r="D772" s="36" t="n">
        <x:v>7</x:v>
      </x:c>
      <x:c r="E772" s="31" t="str">
        <x:v>—</x:v>
      </x:c>
      <x:c r="F772" s="31" t="str">
        <x:v>—</x:v>
      </x:c>
      <x:c r="G772" s="31" t="str">
        <x:v>—</x:v>
      </x:c>
      <x:c r="H772" s="31" t="str">
        <x:v>—</x:v>
      </x:c>
      <x:c r="I772" s="31" t="str">
        <x:v>—</x:v>
      </x:c>
      <x:c r="J772" s="31" t="str">
        <x:v>—</x:v>
      </x:c>
      <x:c r="K772" s="31" t="str">
        <x:v>포함</x:v>
      </x:c>
      <x:c r="L772" s="31" t="str">
        <x:v>포함</x:v>
      </x:c>
      <x:c r="M772" s="31" t="str">
        <x:v>—</x:v>
      </x:c>
    </x:row>
    <x:row r="773">
      <x:c r="A773" s="34" t="n">
        <x:v>769</x:v>
      </x:c>
      <x:c r="B773" s="30" t="str">
        <x:v>모래꿍</x:v>
      </x:c>
      <x:c r="C773" s="30" t="str">
        <x:v>sandygast</x:v>
      </x:c>
      <x:c r="D773" s="36" t="n">
        <x:v>7</x:v>
      </x:c>
      <x:c r="E773" s="31" t="str">
        <x:v>—</x:v>
      </x:c>
      <x:c r="F773" s="31" t="str">
        <x:v>—</x:v>
      </x:c>
      <x:c r="G773" s="31" t="str">
        <x:v>—</x:v>
      </x:c>
      <x:c r="H773" s="31" t="str">
        <x:v>—</x:v>
      </x:c>
      <x:c r="I773" s="31" t="str">
        <x:v>—</x:v>
      </x:c>
      <x:c r="J773" s="31" t="str">
        <x:v>—</x:v>
      </x:c>
      <x:c r="K773" s="31" t="str">
        <x:v>포함</x:v>
      </x:c>
      <x:c r="L773" s="31" t="str">
        <x:v>포함</x:v>
      </x:c>
      <x:c r="M773" s="31" t="str">
        <x:v>포함</x:v>
      </x:c>
    </x:row>
    <x:row r="774">
      <x:c r="A774" s="34" t="n">
        <x:v>770</x:v>
      </x:c>
      <x:c r="B774" s="30" t="str">
        <x:v>모래성이당</x:v>
      </x:c>
      <x:c r="C774" s="30" t="str">
        <x:v>palossand</x:v>
      </x:c>
      <x:c r="D774" s="36" t="n">
        <x:v>7</x:v>
      </x:c>
      <x:c r="E774" s="31" t="str">
        <x:v>—</x:v>
      </x:c>
      <x:c r="F774" s="31" t="str">
        <x:v>—</x:v>
      </x:c>
      <x:c r="G774" s="31" t="str">
        <x:v>—</x:v>
      </x:c>
      <x:c r="H774" s="31" t="str">
        <x:v>—</x:v>
      </x:c>
      <x:c r="I774" s="31" t="str">
        <x:v>—</x:v>
      </x:c>
      <x:c r="J774" s="31" t="str">
        <x:v>—</x:v>
      </x:c>
      <x:c r="K774" s="31" t="str">
        <x:v>포함</x:v>
      </x:c>
      <x:c r="L774" s="31" t="str">
        <x:v>포함</x:v>
      </x:c>
      <x:c r="M774" s="31" t="str">
        <x:v>포함</x:v>
      </x:c>
    </x:row>
    <x:row r="775">
      <x:c r="A775" s="34" t="n">
        <x:v>771</x:v>
      </x:c>
      <x:c r="B775" s="30" t="str">
        <x:v>해무기</x:v>
      </x:c>
      <x:c r="C775" s="30" t="str">
        <x:v>pyukumuku</x:v>
      </x:c>
      <x:c r="D775" s="36" t="n">
        <x:v>7</x:v>
      </x:c>
      <x:c r="E775" s="31" t="str">
        <x:v>—</x:v>
      </x:c>
      <x:c r="F775" s="31" t="str">
        <x:v>—</x:v>
      </x:c>
      <x:c r="G775" s="31" t="str">
        <x:v>—</x:v>
      </x:c>
      <x:c r="H775" s="31" t="str">
        <x:v>—</x:v>
      </x:c>
      <x:c r="I775" s="31" t="str">
        <x:v>—</x:v>
      </x:c>
      <x:c r="J775" s="31" t="str">
        <x:v>—</x:v>
      </x:c>
      <x:c r="K775" s="31" t="str">
        <x:v>포함</x:v>
      </x:c>
      <x:c r="L775" s="31" t="str">
        <x:v>포함</x:v>
      </x:c>
      <x:c r="M775" s="31" t="str">
        <x:v>—</x:v>
      </x:c>
    </x:row>
    <x:row r="776">
      <x:c r="A776" s="34" t="n">
        <x:v>772</x:v>
      </x:c>
      <x:c r="B776" s="30" t="str">
        <x:v>타입:널</x:v>
      </x:c>
      <x:c r="C776" s="30" t="str">
        <x:v>typenull</x:v>
      </x:c>
      <x:c r="D776" s="36" t="n">
        <x:v>7</x:v>
      </x:c>
      <x:c r="E776" s="31" t="str">
        <x:v>—</x:v>
      </x:c>
      <x:c r="F776" s="31" t="str">
        <x:v>—</x:v>
      </x:c>
      <x:c r="G776" s="31" t="str">
        <x:v>—</x:v>
      </x:c>
      <x:c r="H776" s="31" t="str">
        <x:v>—</x:v>
      </x:c>
      <x:c r="I776" s="31" t="str">
        <x:v>—</x:v>
      </x:c>
      <x:c r="J776" s="31" t="str">
        <x:v>—</x:v>
      </x:c>
      <x:c r="K776" s="31" t="str">
        <x:v>포함</x:v>
      </x:c>
      <x:c r="L776" s="31" t="str">
        <x:v>포함</x:v>
      </x:c>
      <x:c r="M776" s="31" t="str">
        <x:v>—</x:v>
      </x:c>
    </x:row>
    <x:row r="777">
      <x:c r="A777" s="34" t="n">
        <x:v>773</x:v>
      </x:c>
      <x:c r="B777" s="30" t="str">
        <x:v>실버디</x:v>
      </x:c>
      <x:c r="C777" s="30" t="str">
        <x:v>silvally</x:v>
      </x:c>
      <x:c r="D777" s="36" t="n">
        <x:v>7</x:v>
      </x:c>
      <x:c r="E777" s="31" t="str">
        <x:v>—</x:v>
      </x:c>
      <x:c r="F777" s="31" t="str">
        <x:v>—</x:v>
      </x:c>
      <x:c r="G777" s="31" t="str">
        <x:v>—</x:v>
      </x:c>
      <x:c r="H777" s="31" t="str">
        <x:v>—</x:v>
      </x:c>
      <x:c r="I777" s="31" t="str">
        <x:v>—</x:v>
      </x:c>
      <x:c r="J777" s="31" t="str">
        <x:v>—</x:v>
      </x:c>
      <x:c r="K777" s="31" t="str">
        <x:v>포함</x:v>
      </x:c>
      <x:c r="L777" s="31" t="str">
        <x:v>포함</x:v>
      </x:c>
      <x:c r="M777" s="31" t="str">
        <x:v>—</x:v>
      </x:c>
    </x:row>
    <x:row r="778">
      <x:c r="A778" s="34" t="n">
        <x:v>774</x:v>
      </x:c>
      <x:c r="B778" s="30" t="str">
        <x:v>메테노</x:v>
      </x:c>
      <x:c r="C778" s="30" t="str">
        <x:v>minior</x:v>
      </x:c>
      <x:c r="D778" s="36" t="n">
        <x:v>7</x:v>
      </x:c>
      <x:c r="E778" s="31" t="str">
        <x:v>—</x:v>
      </x:c>
      <x:c r="F778" s="31" t="str">
        <x:v>—</x:v>
      </x:c>
      <x:c r="G778" s="31" t="str">
        <x:v>—</x:v>
      </x:c>
      <x:c r="H778" s="31" t="str">
        <x:v>—</x:v>
      </x:c>
      <x:c r="I778" s="31" t="str">
        <x:v>—</x:v>
      </x:c>
      <x:c r="J778" s="31" t="str">
        <x:v>—</x:v>
      </x:c>
      <x:c r="K778" s="31" t="str">
        <x:v>포함</x:v>
      </x:c>
      <x:c r="L778" s="31" t="str">
        <x:v>—</x:v>
      </x:c>
      <x:c r="M778" s="31" t="str">
        <x:v>포함</x:v>
      </x:c>
    </x:row>
    <x:row r="779">
      <x:c r="A779" s="34" t="n">
        <x:v>775</x:v>
      </x:c>
      <x:c r="B779" s="30" t="str">
        <x:v>자말라</x:v>
      </x:c>
      <x:c r="C779" s="30" t="str">
        <x:v>komala</x:v>
      </x:c>
      <x:c r="D779" s="36" t="n">
        <x:v>7</x:v>
      </x:c>
      <x:c r="E779" s="31" t="str">
        <x:v>—</x:v>
      </x:c>
      <x:c r="F779" s="31" t="str">
        <x:v>—</x:v>
      </x:c>
      <x:c r="G779" s="31" t="str">
        <x:v>—</x:v>
      </x:c>
      <x:c r="H779" s="31" t="str">
        <x:v>—</x:v>
      </x:c>
      <x:c r="I779" s="31" t="str">
        <x:v>—</x:v>
      </x:c>
      <x:c r="J779" s="31" t="str">
        <x:v>—</x:v>
      </x:c>
      <x:c r="K779" s="31" t="str">
        <x:v>포함</x:v>
      </x:c>
      <x:c r="L779" s="31" t="str">
        <x:v>—</x:v>
      </x:c>
      <x:c r="M779" s="31" t="str">
        <x:v>포함</x:v>
      </x:c>
    </x:row>
    <x:row r="780">
      <x:c r="A780" s="34" t="n">
        <x:v>776</x:v>
      </x:c>
      <x:c r="B780" s="30" t="str">
        <x:v>폭거북스</x:v>
      </x:c>
      <x:c r="C780" s="30" t="str">
        <x:v>turtonator</x:v>
      </x:c>
      <x:c r="D780" s="36" t="n">
        <x:v>7</x:v>
      </x:c>
      <x:c r="E780" s="31" t="str">
        <x:v>—</x:v>
      </x:c>
      <x:c r="F780" s="31" t="str">
        <x:v>—</x:v>
      </x:c>
      <x:c r="G780" s="31" t="str">
        <x:v>—</x:v>
      </x:c>
      <x:c r="H780" s="31" t="str">
        <x:v>—</x:v>
      </x:c>
      <x:c r="I780" s="31" t="str">
        <x:v>—</x:v>
      </x:c>
      <x:c r="J780" s="31" t="str">
        <x:v>—</x:v>
      </x:c>
      <x:c r="K780" s="31" t="str">
        <x:v>포함</x:v>
      </x:c>
      <x:c r="L780" s="31" t="str">
        <x:v>포함</x:v>
      </x:c>
      <x:c r="M780" s="31" t="str">
        <x:v>—</x:v>
      </x:c>
    </x:row>
    <x:row r="781">
      <x:c r="A781" s="34" t="n">
        <x:v>777</x:v>
      </x:c>
      <x:c r="B781" s="30" t="str">
        <x:v>토게데마루</x:v>
      </x:c>
      <x:c r="C781" s="30" t="str">
        <x:v>togedemaru</x:v>
      </x:c>
      <x:c r="D781" s="36" t="n">
        <x:v>7</x:v>
      </x:c>
      <x:c r="E781" s="31" t="str">
        <x:v>—</x:v>
      </x:c>
      <x:c r="F781" s="31" t="str">
        <x:v>—</x:v>
      </x:c>
      <x:c r="G781" s="31" t="str">
        <x:v>—</x:v>
      </x:c>
      <x:c r="H781" s="31" t="str">
        <x:v>—</x:v>
      </x:c>
      <x:c r="I781" s="31" t="str">
        <x:v>—</x:v>
      </x:c>
      <x:c r="J781" s="31" t="str">
        <x:v>—</x:v>
      </x:c>
      <x:c r="K781" s="31" t="str">
        <x:v>포함</x:v>
      </x:c>
      <x:c r="L781" s="31" t="str">
        <x:v>포함</x:v>
      </x:c>
      <x:c r="M781" s="31" t="str">
        <x:v>—</x:v>
      </x:c>
    </x:row>
    <x:row r="782">
      <x:c r="A782" s="34" t="n">
        <x:v>778</x:v>
      </x:c>
      <x:c r="B782" s="30" t="str">
        <x:v>따라큐</x:v>
      </x:c>
      <x:c r="C782" s="30" t="str">
        <x:v>mimikyu</x:v>
      </x:c>
      <x:c r="D782" s="36" t="n">
        <x:v>7</x:v>
      </x:c>
      <x:c r="E782" s="31" t="str">
        <x:v>—</x:v>
      </x:c>
      <x:c r="F782" s="31" t="str">
        <x:v>—</x:v>
      </x:c>
      <x:c r="G782" s="31" t="str">
        <x:v>—</x:v>
      </x:c>
      <x:c r="H782" s="31" t="str">
        <x:v>—</x:v>
      </x:c>
      <x:c r="I782" s="31" t="str">
        <x:v>—</x:v>
      </x:c>
      <x:c r="J782" s="31" t="str">
        <x:v>—</x:v>
      </x:c>
      <x:c r="K782" s="31" t="str">
        <x:v>포함</x:v>
      </x:c>
      <x:c r="L782" s="31" t="str">
        <x:v>포함</x:v>
      </x:c>
      <x:c r="M782" s="31" t="str">
        <x:v>포함</x:v>
      </x:c>
    </x:row>
    <x:row r="783">
      <x:c r="A783" s="34" t="n">
        <x:v>779</x:v>
      </x:c>
      <x:c r="B783" s="30" t="str">
        <x:v>치갈기</x:v>
      </x:c>
      <x:c r="C783" s="30" t="str">
        <x:v>bruxish</x:v>
      </x:c>
      <x:c r="D783" s="36" t="n">
        <x:v>7</x:v>
      </x:c>
      <x:c r="E783" s="31" t="str">
        <x:v>—</x:v>
      </x:c>
      <x:c r="F783" s="31" t="str">
        <x:v>—</x:v>
      </x:c>
      <x:c r="G783" s="31" t="str">
        <x:v>—</x:v>
      </x:c>
      <x:c r="H783" s="31" t="str">
        <x:v>—</x:v>
      </x:c>
      <x:c r="I783" s="31" t="str">
        <x:v>—</x:v>
      </x:c>
      <x:c r="J783" s="31" t="str">
        <x:v>—</x:v>
      </x:c>
      <x:c r="K783" s="31" t="str">
        <x:v>포함</x:v>
      </x:c>
      <x:c r="L783" s="31" t="str">
        <x:v>—</x:v>
      </x:c>
      <x:c r="M783" s="31" t="str">
        <x:v>포함</x:v>
      </x:c>
    </x:row>
    <x:row r="784">
      <x:c r="A784" s="34" t="n">
        <x:v>780</x:v>
      </x:c>
      <x:c r="B784" s="30" t="str">
        <x:v>할비롱</x:v>
      </x:c>
      <x:c r="C784" s="30" t="str">
        <x:v>drampa</x:v>
      </x:c>
      <x:c r="D784" s="36" t="n">
        <x:v>7</x:v>
      </x:c>
      <x:c r="E784" s="31" t="str">
        <x:v>—</x:v>
      </x:c>
      <x:c r="F784" s="31" t="str">
        <x:v>—</x:v>
      </x:c>
      <x:c r="G784" s="31" t="str">
        <x:v>—</x:v>
      </x:c>
      <x:c r="H784" s="31" t="str">
        <x:v>—</x:v>
      </x:c>
      <x:c r="I784" s="31" t="str">
        <x:v>—</x:v>
      </x:c>
      <x:c r="J784" s="31" t="str">
        <x:v>—</x:v>
      </x:c>
      <x:c r="K784" s="31" t="str">
        <x:v>포함</x:v>
      </x:c>
      <x:c r="L784" s="31" t="str">
        <x:v>포함</x:v>
      </x:c>
      <x:c r="M784" s="31" t="str">
        <x:v>—</x:v>
      </x:c>
    </x:row>
    <x:row r="785">
      <x:c r="A785" s="34" t="n">
        <x:v>781</x:v>
      </x:c>
      <x:c r="B785" s="30" t="str">
        <x:v>타타륜</x:v>
      </x:c>
      <x:c r="C785" s="30" t="str">
        <x:v>dhelmise</x:v>
      </x:c>
      <x:c r="D785" s="36" t="n">
        <x:v>7</x:v>
      </x:c>
      <x:c r="E785" s="31" t="str">
        <x:v>—</x:v>
      </x:c>
      <x:c r="F785" s="31" t="str">
        <x:v>—</x:v>
      </x:c>
      <x:c r="G785" s="31" t="str">
        <x:v>—</x:v>
      </x:c>
      <x:c r="H785" s="31" t="str">
        <x:v>—</x:v>
      </x:c>
      <x:c r="I785" s="31" t="str">
        <x:v>—</x:v>
      </x:c>
      <x:c r="J785" s="31" t="str">
        <x:v>—</x:v>
      </x:c>
      <x:c r="K785" s="31" t="str">
        <x:v>포함</x:v>
      </x:c>
      <x:c r="L785" s="31" t="str">
        <x:v>포함</x:v>
      </x:c>
      <x:c r="M785" s="31" t="str">
        <x:v>—</x:v>
      </x:c>
    </x:row>
    <x:row r="786">
      <x:c r="A786" s="34" t="n">
        <x:v>782</x:v>
      </x:c>
      <x:c r="B786" s="30" t="str">
        <x:v>짜랑꼬</x:v>
      </x:c>
      <x:c r="C786" s="30" t="str">
        <x:v>jangmoo</x:v>
      </x:c>
      <x:c r="D786" s="36" t="n">
        <x:v>7</x:v>
      </x:c>
      <x:c r="E786" s="31" t="str">
        <x:v>—</x:v>
      </x:c>
      <x:c r="F786" s="31" t="str">
        <x:v>—</x:v>
      </x:c>
      <x:c r="G786" s="31" t="str">
        <x:v>—</x:v>
      </x:c>
      <x:c r="H786" s="31" t="str">
        <x:v>—</x:v>
      </x:c>
      <x:c r="I786" s="31" t="str">
        <x:v>—</x:v>
      </x:c>
      <x:c r="J786" s="31" t="str">
        <x:v>—</x:v>
      </x:c>
      <x:c r="K786" s="31" t="str">
        <x:v>포함</x:v>
      </x:c>
      <x:c r="L786" s="31" t="str">
        <x:v>포함</x:v>
      </x:c>
      <x:c r="M786" s="31" t="str">
        <x:v>포함</x:v>
      </x:c>
    </x:row>
    <x:row r="787">
      <x:c r="A787" s="34" t="n">
        <x:v>783</x:v>
      </x:c>
      <x:c r="B787" s="30" t="str">
        <x:v>짜랑고우</x:v>
      </x:c>
      <x:c r="C787" s="30" t="str">
        <x:v>hakamoo</x:v>
      </x:c>
      <x:c r="D787" s="36" t="n">
        <x:v>7</x:v>
      </x:c>
      <x:c r="E787" s="31" t="str">
        <x:v>—</x:v>
      </x:c>
      <x:c r="F787" s="31" t="str">
        <x:v>—</x:v>
      </x:c>
      <x:c r="G787" s="31" t="str">
        <x:v>—</x:v>
      </x:c>
      <x:c r="H787" s="31" t="str">
        <x:v>—</x:v>
      </x:c>
      <x:c r="I787" s="31" t="str">
        <x:v>—</x:v>
      </x:c>
      <x:c r="J787" s="31" t="str">
        <x:v>—</x:v>
      </x:c>
      <x:c r="K787" s="31" t="str">
        <x:v>포함</x:v>
      </x:c>
      <x:c r="L787" s="31" t="str">
        <x:v>포함</x:v>
      </x:c>
      <x:c r="M787" s="31" t="str">
        <x:v>포함</x:v>
      </x:c>
    </x:row>
    <x:row r="788">
      <x:c r="A788" s="34" t="n">
        <x:v>784</x:v>
      </x:c>
      <x:c r="B788" s="30" t="str">
        <x:v>짜랑고우거</x:v>
      </x:c>
      <x:c r="C788" s="30" t="str">
        <x:v>kommoo</x:v>
      </x:c>
      <x:c r="D788" s="36" t="n">
        <x:v>7</x:v>
      </x:c>
      <x:c r="E788" s="31" t="str">
        <x:v>—</x:v>
      </x:c>
      <x:c r="F788" s="31" t="str">
        <x:v>—</x:v>
      </x:c>
      <x:c r="G788" s="31" t="str">
        <x:v>—</x:v>
      </x:c>
      <x:c r="H788" s="31" t="str">
        <x:v>—</x:v>
      </x:c>
      <x:c r="I788" s="31" t="str">
        <x:v>—</x:v>
      </x:c>
      <x:c r="J788" s="31" t="str">
        <x:v>—</x:v>
      </x:c>
      <x:c r="K788" s="31" t="str">
        <x:v>포함</x:v>
      </x:c>
      <x:c r="L788" s="31" t="str">
        <x:v>포함</x:v>
      </x:c>
      <x:c r="M788" s="31" t="str">
        <x:v>포함</x:v>
      </x:c>
    </x:row>
    <x:row r="789">
      <x:c r="A789" s="34" t="n">
        <x:v>785</x:v>
      </x:c>
      <x:c r="B789" s="30" t="str">
        <x:v>카푸꼬꼬꼭</x:v>
      </x:c>
      <x:c r="C789" s="30" t="str">
        <x:v>tapukoko</x:v>
      </x:c>
      <x:c r="D789" s="36" t="n">
        <x:v>7</x:v>
      </x:c>
      <x:c r="E789" s="31" t="str">
        <x:v>—</x:v>
      </x:c>
      <x:c r="F789" s="31" t="str">
        <x:v>—</x:v>
      </x:c>
      <x:c r="G789" s="31" t="str">
        <x:v>—</x:v>
      </x:c>
      <x:c r="H789" s="31" t="str">
        <x:v>—</x:v>
      </x:c>
      <x:c r="I789" s="31" t="str">
        <x:v>—</x:v>
      </x:c>
      <x:c r="J789" s="31" t="str">
        <x:v>—</x:v>
      </x:c>
      <x:c r="K789" s="31" t="str">
        <x:v>포함</x:v>
      </x:c>
      <x:c r="L789" s="31" t="str">
        <x:v>—</x:v>
      </x:c>
      <x:c r="M789" s="31" t="str">
        <x:v>—</x:v>
      </x:c>
    </x:row>
    <x:row r="790">
      <x:c r="A790" s="34" t="n">
        <x:v>786</x:v>
      </x:c>
      <x:c r="B790" s="30" t="str">
        <x:v>카푸나비나</x:v>
      </x:c>
      <x:c r="C790" s="30" t="str">
        <x:v>tapulele</x:v>
      </x:c>
      <x:c r="D790" s="36" t="n">
        <x:v>7</x:v>
      </x:c>
      <x:c r="E790" s="31" t="str">
        <x:v>—</x:v>
      </x:c>
      <x:c r="F790" s="31" t="str">
        <x:v>—</x:v>
      </x:c>
      <x:c r="G790" s="31" t="str">
        <x:v>—</x:v>
      </x:c>
      <x:c r="H790" s="31" t="str">
        <x:v>—</x:v>
      </x:c>
      <x:c r="I790" s="31" t="str">
        <x:v>—</x:v>
      </x:c>
      <x:c r="J790" s="31" t="str">
        <x:v>—</x:v>
      </x:c>
      <x:c r="K790" s="31" t="str">
        <x:v>포함</x:v>
      </x:c>
      <x:c r="L790" s="31" t="str">
        <x:v>—</x:v>
      </x:c>
      <x:c r="M790" s="31" t="str">
        <x:v>—</x:v>
      </x:c>
    </x:row>
    <x:row r="791">
      <x:c r="A791" s="34" t="n">
        <x:v>787</x:v>
      </x:c>
      <x:c r="B791" s="30" t="str">
        <x:v>카푸브루루</x:v>
      </x:c>
      <x:c r="C791" s="30" t="str">
        <x:v>tapubulu</x:v>
      </x:c>
      <x:c r="D791" s="36" t="n">
        <x:v>7</x:v>
      </x:c>
      <x:c r="E791" s="31" t="str">
        <x:v>—</x:v>
      </x:c>
      <x:c r="F791" s="31" t="str">
        <x:v>—</x:v>
      </x:c>
      <x:c r="G791" s="31" t="str">
        <x:v>—</x:v>
      </x:c>
      <x:c r="H791" s="31" t="str">
        <x:v>—</x:v>
      </x:c>
      <x:c r="I791" s="31" t="str">
        <x:v>—</x:v>
      </x:c>
      <x:c r="J791" s="31" t="str">
        <x:v>—</x:v>
      </x:c>
      <x:c r="K791" s="31" t="str">
        <x:v>포함</x:v>
      </x:c>
      <x:c r="L791" s="31" t="str">
        <x:v>—</x:v>
      </x:c>
      <x:c r="M791" s="31" t="str">
        <x:v>—</x:v>
      </x:c>
    </x:row>
    <x:row r="792">
      <x:c r="A792" s="34" t="n">
        <x:v>788</x:v>
      </x:c>
      <x:c r="B792" s="30" t="str">
        <x:v>카푸느지느</x:v>
      </x:c>
      <x:c r="C792" s="30" t="str">
        <x:v>tapufini</x:v>
      </x:c>
      <x:c r="D792" s="36" t="n">
        <x:v>7</x:v>
      </x:c>
      <x:c r="E792" s="31" t="str">
        <x:v>—</x:v>
      </x:c>
      <x:c r="F792" s="31" t="str">
        <x:v>—</x:v>
      </x:c>
      <x:c r="G792" s="31" t="str">
        <x:v>—</x:v>
      </x:c>
      <x:c r="H792" s="31" t="str">
        <x:v>—</x:v>
      </x:c>
      <x:c r="I792" s="31" t="str">
        <x:v>—</x:v>
      </x:c>
      <x:c r="J792" s="31" t="str">
        <x:v>—</x:v>
      </x:c>
      <x:c r="K792" s="31" t="str">
        <x:v>포함</x:v>
      </x:c>
      <x:c r="L792" s="31" t="str">
        <x:v>—</x:v>
      </x:c>
      <x:c r="M792" s="31" t="str">
        <x:v>—</x:v>
      </x:c>
    </x:row>
    <x:row r="793">
      <x:c r="A793" s="34" t="n">
        <x:v>789</x:v>
      </x:c>
      <x:c r="B793" s="30" t="str">
        <x:v>코스모그</x:v>
      </x:c>
      <x:c r="C793" s="30" t="str">
        <x:v>cosmog</x:v>
      </x:c>
      <x:c r="D793" s="36" t="n">
        <x:v>7</x:v>
      </x:c>
      <x:c r="E793" s="31" t="str">
        <x:v>—</x:v>
      </x:c>
      <x:c r="F793" s="31" t="str">
        <x:v>—</x:v>
      </x:c>
      <x:c r="G793" s="31" t="str">
        <x:v>—</x:v>
      </x:c>
      <x:c r="H793" s="31" t="str">
        <x:v>—</x:v>
      </x:c>
      <x:c r="I793" s="31" t="str">
        <x:v>—</x:v>
      </x:c>
      <x:c r="J793" s="31" t="str">
        <x:v>—</x:v>
      </x:c>
      <x:c r="K793" s="31" t="str">
        <x:v>포함</x:v>
      </x:c>
      <x:c r="L793" s="31" t="str">
        <x:v>—</x:v>
      </x:c>
      <x:c r="M793" s="31" t="str">
        <x:v>—</x:v>
      </x:c>
    </x:row>
    <x:row r="794">
      <x:c r="A794" s="34" t="n">
        <x:v>790</x:v>
      </x:c>
      <x:c r="B794" s="30" t="str">
        <x:v>코스모움</x:v>
      </x:c>
      <x:c r="C794" s="30" t="str">
        <x:v>cosmoem</x:v>
      </x:c>
      <x:c r="D794" s="36" t="n">
        <x:v>7</x:v>
      </x:c>
      <x:c r="E794" s="31" t="str">
        <x:v>—</x:v>
      </x:c>
      <x:c r="F794" s="31" t="str">
        <x:v>—</x:v>
      </x:c>
      <x:c r="G794" s="31" t="str">
        <x:v>—</x:v>
      </x:c>
      <x:c r="H794" s="31" t="str">
        <x:v>—</x:v>
      </x:c>
      <x:c r="I794" s="31" t="str">
        <x:v>—</x:v>
      </x:c>
      <x:c r="J794" s="31" t="str">
        <x:v>—</x:v>
      </x:c>
      <x:c r="K794" s="31" t="str">
        <x:v>포함</x:v>
      </x:c>
      <x:c r="L794" s="31" t="str">
        <x:v>—</x:v>
      </x:c>
      <x:c r="M794" s="31" t="str">
        <x:v>—</x:v>
      </x:c>
    </x:row>
    <x:row r="795">
      <x:c r="A795" s="34" t="n">
        <x:v>791</x:v>
      </x:c>
      <x:c r="B795" s="30" t="str">
        <x:v>솔가레오</x:v>
      </x:c>
      <x:c r="C795" s="30" t="str">
        <x:v>solgaleo</x:v>
      </x:c>
      <x:c r="D795" s="36" t="n">
        <x:v>7</x:v>
      </x:c>
      <x:c r="E795" s="31" t="str">
        <x:v>—</x:v>
      </x:c>
      <x:c r="F795" s="31" t="str">
        <x:v>—</x:v>
      </x:c>
      <x:c r="G795" s="31" t="str">
        <x:v>—</x:v>
      </x:c>
      <x:c r="H795" s="31" t="str">
        <x:v>—</x:v>
      </x:c>
      <x:c r="I795" s="31" t="str">
        <x:v>—</x:v>
      </x:c>
      <x:c r="J795" s="31" t="str">
        <x:v>—</x:v>
      </x:c>
      <x:c r="K795" s="31" t="str">
        <x:v>포함</x:v>
      </x:c>
      <x:c r="L795" s="31" t="str">
        <x:v>—</x:v>
      </x:c>
      <x:c r="M795" s="31" t="str">
        <x:v>—</x:v>
      </x:c>
    </x:row>
    <x:row r="796">
      <x:c r="A796" s="34" t="n">
        <x:v>792</x:v>
      </x:c>
      <x:c r="B796" s="30" t="str">
        <x:v>루나아라</x:v>
      </x:c>
      <x:c r="C796" s="30" t="str">
        <x:v>lunala</x:v>
      </x:c>
      <x:c r="D796" s="36" t="n">
        <x:v>7</x:v>
      </x:c>
      <x:c r="E796" s="31" t="str">
        <x:v>—</x:v>
      </x:c>
      <x:c r="F796" s="31" t="str">
        <x:v>—</x:v>
      </x:c>
      <x:c r="G796" s="31" t="str">
        <x:v>—</x:v>
      </x:c>
      <x:c r="H796" s="31" t="str">
        <x:v>—</x:v>
      </x:c>
      <x:c r="I796" s="31" t="str">
        <x:v>—</x:v>
      </x:c>
      <x:c r="J796" s="31" t="str">
        <x:v>—</x:v>
      </x:c>
      <x:c r="K796" s="31" t="str">
        <x:v>포함</x:v>
      </x:c>
      <x:c r="L796" s="31" t="str">
        <x:v>—</x:v>
      </x:c>
      <x:c r="M796" s="31" t="str">
        <x:v>—</x:v>
      </x:c>
    </x:row>
    <x:row r="797">
      <x:c r="A797" s="34" t="n">
        <x:v>793</x:v>
      </x:c>
      <x:c r="B797" s="30" t="str">
        <x:v>텅비드</x:v>
      </x:c>
      <x:c r="C797" s="30" t="str">
        <x:v>nihilego</x:v>
      </x:c>
      <x:c r="D797" s="36" t="n">
        <x:v>7</x:v>
      </x:c>
      <x:c r="E797" s="31" t="str">
        <x:v>—</x:v>
      </x:c>
      <x:c r="F797" s="31" t="str">
        <x:v>—</x:v>
      </x:c>
      <x:c r="G797" s="31" t="str">
        <x:v>—</x:v>
      </x:c>
      <x:c r="H797" s="31" t="str">
        <x:v>—</x:v>
      </x:c>
      <x:c r="I797" s="31" t="str">
        <x:v>—</x:v>
      </x:c>
      <x:c r="J797" s="31" t="str">
        <x:v>—</x:v>
      </x:c>
      <x:c r="K797" s="31" t="str">
        <x:v>포함</x:v>
      </x:c>
      <x:c r="L797" s="31" t="str">
        <x:v>—</x:v>
      </x:c>
      <x:c r="M797" s="31" t="str">
        <x:v>—</x:v>
      </x:c>
    </x:row>
    <x:row r="798">
      <x:c r="A798" s="34" t="n">
        <x:v>794</x:v>
      </x:c>
      <x:c r="B798" s="30" t="str">
        <x:v>매시붕</x:v>
      </x:c>
      <x:c r="C798" s="30" t="str">
        <x:v>buzzwole</x:v>
      </x:c>
      <x:c r="D798" s="36" t="n">
        <x:v>7</x:v>
      </x:c>
      <x:c r="E798" s="31" t="str">
        <x:v>—</x:v>
      </x:c>
      <x:c r="F798" s="31" t="str">
        <x:v>—</x:v>
      </x:c>
      <x:c r="G798" s="31" t="str">
        <x:v>—</x:v>
      </x:c>
      <x:c r="H798" s="31" t="str">
        <x:v>—</x:v>
      </x:c>
      <x:c r="I798" s="31" t="str">
        <x:v>—</x:v>
      </x:c>
      <x:c r="J798" s="31" t="str">
        <x:v>—</x:v>
      </x:c>
      <x:c r="K798" s="31" t="str">
        <x:v>포함</x:v>
      </x:c>
      <x:c r="L798" s="31" t="str">
        <x:v>—</x:v>
      </x:c>
      <x:c r="M798" s="31" t="str">
        <x:v>—</x:v>
      </x:c>
    </x:row>
    <x:row r="799">
      <x:c r="A799" s="34" t="n">
        <x:v>795</x:v>
      </x:c>
      <x:c r="B799" s="30" t="str">
        <x:v>페로코체</x:v>
      </x:c>
      <x:c r="C799" s="30" t="str">
        <x:v>pheromosa</x:v>
      </x:c>
      <x:c r="D799" s="36" t="n">
        <x:v>7</x:v>
      </x:c>
      <x:c r="E799" s="31" t="str">
        <x:v>—</x:v>
      </x:c>
      <x:c r="F799" s="31" t="str">
        <x:v>—</x:v>
      </x:c>
      <x:c r="G799" s="31" t="str">
        <x:v>—</x:v>
      </x:c>
      <x:c r="H799" s="31" t="str">
        <x:v>—</x:v>
      </x:c>
      <x:c r="I799" s="31" t="str">
        <x:v>—</x:v>
      </x:c>
      <x:c r="J799" s="31" t="str">
        <x:v>—</x:v>
      </x:c>
      <x:c r="K799" s="31" t="str">
        <x:v>포함</x:v>
      </x:c>
      <x:c r="L799" s="31" t="str">
        <x:v>—</x:v>
      </x:c>
      <x:c r="M799" s="31" t="str">
        <x:v>—</x:v>
      </x:c>
    </x:row>
    <x:row r="800">
      <x:c r="A800" s="34" t="n">
        <x:v>796</x:v>
      </x:c>
      <x:c r="B800" s="30" t="str">
        <x:v>전수목</x:v>
      </x:c>
      <x:c r="C800" s="30" t="str">
        <x:v>xurkitree</x:v>
      </x:c>
      <x:c r="D800" s="36" t="n">
        <x:v>7</x:v>
      </x:c>
      <x:c r="E800" s="31" t="str">
        <x:v>—</x:v>
      </x:c>
      <x:c r="F800" s="31" t="str">
        <x:v>—</x:v>
      </x:c>
      <x:c r="G800" s="31" t="str">
        <x:v>—</x:v>
      </x:c>
      <x:c r="H800" s="31" t="str">
        <x:v>—</x:v>
      </x:c>
      <x:c r="I800" s="31" t="str">
        <x:v>—</x:v>
      </x:c>
      <x:c r="J800" s="31" t="str">
        <x:v>—</x:v>
      </x:c>
      <x:c r="K800" s="31" t="str">
        <x:v>포함</x:v>
      </x:c>
      <x:c r="L800" s="31" t="str">
        <x:v>—</x:v>
      </x:c>
      <x:c r="M800" s="31" t="str">
        <x:v>—</x:v>
      </x:c>
    </x:row>
    <x:row r="801">
      <x:c r="A801" s="34" t="n">
        <x:v>797</x:v>
      </x:c>
      <x:c r="B801" s="30" t="str">
        <x:v>철화구야</x:v>
      </x:c>
      <x:c r="C801" s="30" t="str">
        <x:v>celesteela</x:v>
      </x:c>
      <x:c r="D801" s="36" t="n">
        <x:v>7</x:v>
      </x:c>
      <x:c r="E801" s="31" t="str">
        <x:v>—</x:v>
      </x:c>
      <x:c r="F801" s="31" t="str">
        <x:v>—</x:v>
      </x:c>
      <x:c r="G801" s="31" t="str">
        <x:v>—</x:v>
      </x:c>
      <x:c r="H801" s="31" t="str">
        <x:v>—</x:v>
      </x:c>
      <x:c r="I801" s="31" t="str">
        <x:v>—</x:v>
      </x:c>
      <x:c r="J801" s="31" t="str">
        <x:v>—</x:v>
      </x:c>
      <x:c r="K801" s="31" t="str">
        <x:v>포함</x:v>
      </x:c>
      <x:c r="L801" s="31" t="str">
        <x:v>—</x:v>
      </x:c>
      <x:c r="M801" s="31" t="str">
        <x:v>—</x:v>
      </x:c>
    </x:row>
    <x:row r="802">
      <x:c r="A802" s="34" t="n">
        <x:v>798</x:v>
      </x:c>
      <x:c r="B802" s="30" t="str">
        <x:v>종이신도</x:v>
      </x:c>
      <x:c r="C802" s="30" t="str">
        <x:v>kartana</x:v>
      </x:c>
      <x:c r="D802" s="36" t="n">
        <x:v>7</x:v>
      </x:c>
      <x:c r="E802" s="31" t="str">
        <x:v>—</x:v>
      </x:c>
      <x:c r="F802" s="31" t="str">
        <x:v>—</x:v>
      </x:c>
      <x:c r="G802" s="31" t="str">
        <x:v>—</x:v>
      </x:c>
      <x:c r="H802" s="31" t="str">
        <x:v>—</x:v>
      </x:c>
      <x:c r="I802" s="31" t="str">
        <x:v>—</x:v>
      </x:c>
      <x:c r="J802" s="31" t="str">
        <x:v>—</x:v>
      </x:c>
      <x:c r="K802" s="31" t="str">
        <x:v>포함</x:v>
      </x:c>
      <x:c r="L802" s="31" t="str">
        <x:v>—</x:v>
      </x:c>
      <x:c r="M802" s="31" t="str">
        <x:v>—</x:v>
      </x:c>
    </x:row>
    <x:row r="803">
      <x:c r="A803" s="34" t="n">
        <x:v>799</x:v>
      </x:c>
      <x:c r="B803" s="30" t="str">
        <x:v>악식킹</x:v>
      </x:c>
      <x:c r="C803" s="30" t="str">
        <x:v>guzzlord</x:v>
      </x:c>
      <x:c r="D803" s="36" t="n">
        <x:v>7</x:v>
      </x:c>
      <x:c r="E803" s="31" t="str">
        <x:v>—</x:v>
      </x:c>
      <x:c r="F803" s="31" t="str">
        <x:v>—</x:v>
      </x:c>
      <x:c r="G803" s="31" t="str">
        <x:v>—</x:v>
      </x:c>
      <x:c r="H803" s="31" t="str">
        <x:v>—</x:v>
      </x:c>
      <x:c r="I803" s="31" t="str">
        <x:v>—</x:v>
      </x:c>
      <x:c r="J803" s="31" t="str">
        <x:v>—</x:v>
      </x:c>
      <x:c r="K803" s="31" t="str">
        <x:v>포함</x:v>
      </x:c>
      <x:c r="L803" s="31" t="str">
        <x:v>—</x:v>
      </x:c>
      <x:c r="M803" s="31" t="str">
        <x:v>—</x:v>
      </x:c>
    </x:row>
    <x:row r="804">
      <x:c r="A804" s="34" t="n">
        <x:v>800</x:v>
      </x:c>
      <x:c r="B804" s="30" t="str">
        <x:v>네크로즈마</x:v>
      </x:c>
      <x:c r="C804" s="30" t="str">
        <x:v>necrozma</x:v>
      </x:c>
      <x:c r="D804" s="36" t="n">
        <x:v>7</x:v>
      </x:c>
      <x:c r="E804" s="31" t="str">
        <x:v>—</x:v>
      </x:c>
      <x:c r="F804" s="31" t="str">
        <x:v>—</x:v>
      </x:c>
      <x:c r="G804" s="31" t="str">
        <x:v>—</x:v>
      </x:c>
      <x:c r="H804" s="31" t="str">
        <x:v>—</x:v>
      </x:c>
      <x:c r="I804" s="31" t="str">
        <x:v>—</x:v>
      </x:c>
      <x:c r="J804" s="31" t="str">
        <x:v>—</x:v>
      </x:c>
      <x:c r="K804" s="31" t="str">
        <x:v>포함</x:v>
      </x:c>
      <x:c r="L804" s="31" t="str">
        <x:v>—</x:v>
      </x:c>
      <x:c r="M804" s="31" t="str">
        <x:v>—</x:v>
      </x:c>
    </x:row>
    <x:row r="805">
      <x:c r="A805" s="34" t="n">
        <x:v>801</x:v>
      </x:c>
      <x:c r="B805" s="30" t="str">
        <x:v>마기아나</x:v>
      </x:c>
      <x:c r="C805" s="30" t="str">
        <x:v>magearna</x:v>
      </x:c>
      <x:c r="D805" s="36" t="n">
        <x:v>7</x:v>
      </x:c>
      <x:c r="E805" s="31" t="str">
        <x:v>—</x:v>
      </x:c>
      <x:c r="F805" s="31" t="str">
        <x:v>—</x:v>
      </x:c>
      <x:c r="G805" s="31" t="str">
        <x:v>—</x:v>
      </x:c>
      <x:c r="H805" s="31" t="str">
        <x:v>—</x:v>
      </x:c>
      <x:c r="I805" s="31" t="str">
        <x:v>—</x:v>
      </x:c>
      <x:c r="J805" s="31" t="str">
        <x:v>—</x:v>
      </x:c>
      <x:c r="K805" s="31" t="str">
        <x:v>포함</x:v>
      </x:c>
      <x:c r="L805" s="31" t="str">
        <x:v>—</x:v>
      </x:c>
      <x:c r="M805" s="31" t="str">
        <x:v>—</x:v>
      </x:c>
    </x:row>
    <x:row r="806">
      <x:c r="A806" s="34" t="n">
        <x:v>802</x:v>
      </x:c>
      <x:c r="B806" s="30" t="str">
        <x:v>마샤도</x:v>
      </x:c>
      <x:c r="C806" s="30" t="str">
        <x:v>marshadow</x:v>
      </x:c>
      <x:c r="D806" s="36" t="n">
        <x:v>7</x:v>
      </x:c>
      <x:c r="E806" s="31" t="str">
        <x:v>—</x:v>
      </x:c>
      <x:c r="F806" s="31" t="str">
        <x:v>—</x:v>
      </x:c>
      <x:c r="G806" s="31" t="str">
        <x:v>—</x:v>
      </x:c>
      <x:c r="H806" s="31" t="str">
        <x:v>—</x:v>
      </x:c>
      <x:c r="I806" s="31" t="str">
        <x:v>—</x:v>
      </x:c>
      <x:c r="J806" s="31" t="str">
        <x:v>—</x:v>
      </x:c>
      <x:c r="K806" s="31" t="str">
        <x:v>포함</x:v>
      </x:c>
      <x:c r="L806" s="31" t="str">
        <x:v>—</x:v>
      </x:c>
      <x:c r="M806" s="31" t="str">
        <x:v>—</x:v>
      </x:c>
    </x:row>
    <x:row r="807">
      <x:c r="A807" s="34" t="n">
        <x:v>803</x:v>
      </x:c>
      <x:c r="B807" s="30" t="str">
        <x:v>베베놈</x:v>
      </x:c>
      <x:c r="C807" s="30" t="str">
        <x:v>poipole</x:v>
      </x:c>
      <x:c r="D807" s="36" t="n">
        <x:v>7</x:v>
      </x:c>
      <x:c r="E807" s="31" t="str">
        <x:v>—</x:v>
      </x:c>
      <x:c r="F807" s="31" t="str">
        <x:v>—</x:v>
      </x:c>
      <x:c r="G807" s="31" t="str">
        <x:v>—</x:v>
      </x:c>
      <x:c r="H807" s="31" t="str">
        <x:v>—</x:v>
      </x:c>
      <x:c r="I807" s="31" t="str">
        <x:v>—</x:v>
      </x:c>
      <x:c r="J807" s="31" t="str">
        <x:v>—</x:v>
      </x:c>
      <x:c r="K807" s="31" t="str">
        <x:v>포함</x:v>
      </x:c>
      <x:c r="L807" s="31" t="str">
        <x:v>—</x:v>
      </x:c>
      <x:c r="M807" s="31" t="str">
        <x:v>—</x:v>
      </x:c>
    </x:row>
    <x:row r="808">
      <x:c r="A808" s="34" t="n">
        <x:v>804</x:v>
      </x:c>
      <x:c r="B808" s="30" t="str">
        <x:v>아고용</x:v>
      </x:c>
      <x:c r="C808" s="30" t="str">
        <x:v>naganadel</x:v>
      </x:c>
      <x:c r="D808" s="36" t="n">
        <x:v>7</x:v>
      </x:c>
      <x:c r="E808" s="31" t="str">
        <x:v>—</x:v>
      </x:c>
      <x:c r="F808" s="31" t="str">
        <x:v>—</x:v>
      </x:c>
      <x:c r="G808" s="31" t="str">
        <x:v>—</x:v>
      </x:c>
      <x:c r="H808" s="31" t="str">
        <x:v>—</x:v>
      </x:c>
      <x:c r="I808" s="31" t="str">
        <x:v>—</x:v>
      </x:c>
      <x:c r="J808" s="31" t="str">
        <x:v>—</x:v>
      </x:c>
      <x:c r="K808" s="31" t="str">
        <x:v>포함</x:v>
      </x:c>
      <x:c r="L808" s="31" t="str">
        <x:v>—</x:v>
      </x:c>
      <x:c r="M808" s="31" t="str">
        <x:v>—</x:v>
      </x:c>
    </x:row>
    <x:row r="809">
      <x:c r="A809" s="34" t="n">
        <x:v>805</x:v>
      </x:c>
      <x:c r="B809" s="30" t="str">
        <x:v>차곡차곡</x:v>
      </x:c>
      <x:c r="C809" s="30" t="str">
        <x:v>stakataka</x:v>
      </x:c>
      <x:c r="D809" s="36" t="n">
        <x:v>7</x:v>
      </x:c>
      <x:c r="E809" s="31" t="str">
        <x:v>—</x:v>
      </x:c>
      <x:c r="F809" s="31" t="str">
        <x:v>—</x:v>
      </x:c>
      <x:c r="G809" s="31" t="str">
        <x:v>—</x:v>
      </x:c>
      <x:c r="H809" s="31" t="str">
        <x:v>—</x:v>
      </x:c>
      <x:c r="I809" s="31" t="str">
        <x:v>—</x:v>
      </x:c>
      <x:c r="J809" s="31" t="str">
        <x:v>—</x:v>
      </x:c>
      <x:c r="K809" s="31" t="str">
        <x:v>포함</x:v>
      </x:c>
      <x:c r="L809" s="31" t="str">
        <x:v>—</x:v>
      </x:c>
      <x:c r="M809" s="31" t="str">
        <x:v>—</x:v>
      </x:c>
    </x:row>
    <x:row r="810">
      <x:c r="A810" s="34" t="n">
        <x:v>806</x:v>
      </x:c>
      <x:c r="B810" s="30" t="str">
        <x:v>두파팡</x:v>
      </x:c>
      <x:c r="C810" s="30" t="str">
        <x:v>blacephalon</x:v>
      </x:c>
      <x:c r="D810" s="36" t="n">
        <x:v>7</x:v>
      </x:c>
      <x:c r="E810" s="31" t="str">
        <x:v>—</x:v>
      </x:c>
      <x:c r="F810" s="31" t="str">
        <x:v>—</x:v>
      </x:c>
      <x:c r="G810" s="31" t="str">
        <x:v>—</x:v>
      </x:c>
      <x:c r="H810" s="31" t="str">
        <x:v>—</x:v>
      </x:c>
      <x:c r="I810" s="31" t="str">
        <x:v>—</x:v>
      </x:c>
      <x:c r="J810" s="31" t="str">
        <x:v>—</x:v>
      </x:c>
      <x:c r="K810" s="31" t="str">
        <x:v>포함</x:v>
      </x:c>
      <x:c r="L810" s="31" t="str">
        <x:v>—</x:v>
      </x:c>
      <x:c r="M810" s="31" t="str">
        <x:v>—</x:v>
      </x:c>
    </x:row>
    <x:row r="811">
      <x:c r="A811" s="34" t="n">
        <x:v>807</x:v>
      </x:c>
      <x:c r="B811" s="30" t="str">
        <x:v>제라오라</x:v>
      </x:c>
      <x:c r="C811" s="30" t="str">
        <x:v>zeraora</x:v>
      </x:c>
      <x:c r="D811" s="36" t="n">
        <x:v>7</x:v>
      </x:c>
      <x:c r="E811" s="31" t="str">
        <x:v>—</x:v>
      </x:c>
      <x:c r="F811" s="31" t="str">
        <x:v>—</x:v>
      </x:c>
      <x:c r="G811" s="31" t="str">
        <x:v>—</x:v>
      </x:c>
      <x:c r="H811" s="31" t="str">
        <x:v>—</x:v>
      </x:c>
      <x:c r="I811" s="31" t="str">
        <x:v>—</x:v>
      </x:c>
      <x:c r="J811" s="31" t="str">
        <x:v>—</x:v>
      </x:c>
      <x:c r="K811" s="31" t="str">
        <x:v>포함</x:v>
      </x:c>
      <x:c r="L811" s="31" t="str">
        <x:v>—</x:v>
      </x:c>
      <x:c r="M811" s="31" t="str">
        <x:v>—</x:v>
      </x:c>
    </x:row>
    <x:row r="812">
      <x:c r="A812" s="34" t="n">
        <x:v>808</x:v>
      </x:c>
      <x:c r="B812" s="30" t="str">
        <x:v>멜탄</x:v>
      </x:c>
      <x:c r="C812" s="30" t="str">
        <x:v>meltan</x:v>
      </x:c>
      <x:c r="D812" s="36" t="n">
        <x:v>7</x:v>
      </x:c>
      <x:c r="E812" s="31" t="str">
        <x:v>—</x:v>
      </x:c>
      <x:c r="F812" s="31" t="str">
        <x:v>—</x:v>
      </x:c>
      <x:c r="G812" s="31" t="str">
        <x:v>—</x:v>
      </x:c>
      <x:c r="H812" s="31" t="str">
        <x:v>—</x:v>
      </x:c>
      <x:c r="I812" s="31" t="str">
        <x:v>—</x:v>
      </x:c>
      <x:c r="J812" s="31" t="str">
        <x:v>—</x:v>
      </x:c>
      <x:c r="K812" s="31" t="str">
        <x:v>—</x:v>
      </x:c>
      <x:c r="L812" s="31" t="str">
        <x:v>—</x:v>
      </x:c>
      <x:c r="M812" s="31" t="str">
        <x:v>—</x:v>
      </x:c>
    </x:row>
    <x:row r="813">
      <x:c r="A813" s="34" t="n">
        <x:v>809</x:v>
      </x:c>
      <x:c r="B813" s="30" t="str">
        <x:v>멜메탈</x:v>
      </x:c>
      <x:c r="C813" s="30" t="str">
        <x:v>melmetal</x:v>
      </x:c>
      <x:c r="D813" s="36" t="n">
        <x:v>7</x:v>
      </x:c>
      <x:c r="E813" s="31" t="str">
        <x:v>—</x:v>
      </x:c>
      <x:c r="F813" s="31" t="str">
        <x:v>—</x:v>
      </x:c>
      <x:c r="G813" s="31" t="str">
        <x:v>—</x:v>
      </x:c>
      <x:c r="H813" s="31" t="str">
        <x:v>—</x:v>
      </x:c>
      <x:c r="I813" s="31" t="str">
        <x:v>—</x:v>
      </x:c>
      <x:c r="J813" s="31" t="str">
        <x:v>—</x:v>
      </x:c>
      <x:c r="K813" s="31" t="str">
        <x:v>—</x:v>
      </x:c>
      <x:c r="L813" s="31" t="str">
        <x:v>—</x:v>
      </x:c>
      <x:c r="M813" s="31" t="str">
        <x:v>—</x:v>
      </x:c>
    </x:row>
    <x:row r="814">
      <x:c r="A814" s="34" t="n">
        <x:v>810</x:v>
      </x:c>
      <x:c r="B814" s="30" t="str">
        <x:v>흥나숭</x:v>
      </x:c>
      <x:c r="C814" s="30" t="str">
        <x:v>grookey</x:v>
      </x:c>
      <x:c r="D814" s="36" t="n">
        <x:v>8</x:v>
      </x:c>
      <x:c r="E814" s="31" t="str">
        <x:v>—</x:v>
      </x:c>
      <x:c r="F814" s="31" t="str">
        <x:v>—</x:v>
      </x:c>
      <x:c r="G814" s="31" t="str">
        <x:v>—</x:v>
      </x:c>
      <x:c r="H814" s="31" t="str">
        <x:v>—</x:v>
      </x:c>
      <x:c r="I814" s="31" t="str">
        <x:v>—</x:v>
      </x:c>
      <x:c r="J814" s="31" t="str">
        <x:v>—</x:v>
      </x:c>
      <x:c r="K814" s="31" t="str">
        <x:v>—</x:v>
      </x:c>
      <x:c r="L814" s="31" t="str">
        <x:v>포함</x:v>
      </x:c>
      <x:c r="M814" s="31" t="str">
        <x:v>포함</x:v>
      </x:c>
    </x:row>
    <x:row r="815">
      <x:c r="A815" s="34" t="n">
        <x:v>811</x:v>
      </x:c>
      <x:c r="B815" s="30" t="str">
        <x:v>채키몽</x:v>
      </x:c>
      <x:c r="C815" s="30" t="str">
        <x:v>thwackey</x:v>
      </x:c>
      <x:c r="D815" s="36" t="n">
        <x:v>8</x:v>
      </x:c>
      <x:c r="E815" s="31" t="str">
        <x:v>—</x:v>
      </x:c>
      <x:c r="F815" s="31" t="str">
        <x:v>—</x:v>
      </x:c>
      <x:c r="G815" s="31" t="str">
        <x:v>—</x:v>
      </x:c>
      <x:c r="H815" s="31" t="str">
        <x:v>—</x:v>
      </x:c>
      <x:c r="I815" s="31" t="str">
        <x:v>—</x:v>
      </x:c>
      <x:c r="J815" s="31" t="str">
        <x:v>—</x:v>
      </x:c>
      <x:c r="K815" s="31" t="str">
        <x:v>—</x:v>
      </x:c>
      <x:c r="L815" s="31" t="str">
        <x:v>포함</x:v>
      </x:c>
      <x:c r="M815" s="31" t="str">
        <x:v>포함</x:v>
      </x:c>
    </x:row>
    <x:row r="816">
      <x:c r="A816" s="34" t="n">
        <x:v>812</x:v>
      </x:c>
      <x:c r="B816" s="30" t="str">
        <x:v>고릴타</x:v>
      </x:c>
      <x:c r="C816" s="30" t="str">
        <x:v>rillaboom</x:v>
      </x:c>
      <x:c r="D816" s="36" t="n">
        <x:v>8</x:v>
      </x:c>
      <x:c r="E816" s="31" t="str">
        <x:v>—</x:v>
      </x:c>
      <x:c r="F816" s="31" t="str">
        <x:v>—</x:v>
      </x:c>
      <x:c r="G816" s="31" t="str">
        <x:v>—</x:v>
      </x:c>
      <x:c r="H816" s="31" t="str">
        <x:v>—</x:v>
      </x:c>
      <x:c r="I816" s="31" t="str">
        <x:v>—</x:v>
      </x:c>
      <x:c r="J816" s="31" t="str">
        <x:v>—</x:v>
      </x:c>
      <x:c r="K816" s="31" t="str">
        <x:v>—</x:v>
      </x:c>
      <x:c r="L816" s="31" t="str">
        <x:v>포함</x:v>
      </x:c>
      <x:c r="M816" s="31" t="str">
        <x:v>포함</x:v>
      </x:c>
    </x:row>
    <x:row r="817">
      <x:c r="A817" s="34" t="n">
        <x:v>813</x:v>
      </x:c>
      <x:c r="B817" s="30" t="str">
        <x:v>염버니</x:v>
      </x:c>
      <x:c r="C817" s="30" t="str">
        <x:v>scorbunny</x:v>
      </x:c>
      <x:c r="D817" s="36" t="n">
        <x:v>8</x:v>
      </x:c>
      <x:c r="E817" s="31" t="str">
        <x:v>—</x:v>
      </x:c>
      <x:c r="F817" s="31" t="str">
        <x:v>—</x:v>
      </x:c>
      <x:c r="G817" s="31" t="str">
        <x:v>—</x:v>
      </x:c>
      <x:c r="H817" s="31" t="str">
        <x:v>—</x:v>
      </x:c>
      <x:c r="I817" s="31" t="str">
        <x:v>—</x:v>
      </x:c>
      <x:c r="J817" s="31" t="str">
        <x:v>—</x:v>
      </x:c>
      <x:c r="K817" s="31" t="str">
        <x:v>—</x:v>
      </x:c>
      <x:c r="L817" s="31" t="str">
        <x:v>포함</x:v>
      </x:c>
      <x:c r="M817" s="31" t="str">
        <x:v>포함</x:v>
      </x:c>
    </x:row>
    <x:row r="818">
      <x:c r="A818" s="34" t="n">
        <x:v>814</x:v>
      </x:c>
      <x:c r="B818" s="30" t="str">
        <x:v>래비풋</x:v>
      </x:c>
      <x:c r="C818" s="30" t="str">
        <x:v>raboot</x:v>
      </x:c>
      <x:c r="D818" s="36" t="n">
        <x:v>8</x:v>
      </x:c>
      <x:c r="E818" s="31" t="str">
        <x:v>—</x:v>
      </x:c>
      <x:c r="F818" s="31" t="str">
        <x:v>—</x:v>
      </x:c>
      <x:c r="G818" s="31" t="str">
        <x:v>—</x:v>
      </x:c>
      <x:c r="H818" s="31" t="str">
        <x:v>—</x:v>
      </x:c>
      <x:c r="I818" s="31" t="str">
        <x:v>—</x:v>
      </x:c>
      <x:c r="J818" s="31" t="str">
        <x:v>—</x:v>
      </x:c>
      <x:c r="K818" s="31" t="str">
        <x:v>—</x:v>
      </x:c>
      <x:c r="L818" s="31" t="str">
        <x:v>포함</x:v>
      </x:c>
      <x:c r="M818" s="31" t="str">
        <x:v>포함</x:v>
      </x:c>
    </x:row>
    <x:row r="819">
      <x:c r="A819" s="34" t="n">
        <x:v>815</x:v>
      </x:c>
      <x:c r="B819" s="30" t="str">
        <x:v>에이스번</x:v>
      </x:c>
      <x:c r="C819" s="30" t="str">
        <x:v>cinderace</x:v>
      </x:c>
      <x:c r="D819" s="36" t="n">
        <x:v>8</x:v>
      </x:c>
      <x:c r="E819" s="31" t="str">
        <x:v>—</x:v>
      </x:c>
      <x:c r="F819" s="31" t="str">
        <x:v>—</x:v>
      </x:c>
      <x:c r="G819" s="31" t="str">
        <x:v>—</x:v>
      </x:c>
      <x:c r="H819" s="31" t="str">
        <x:v>—</x:v>
      </x:c>
      <x:c r="I819" s="31" t="str">
        <x:v>—</x:v>
      </x:c>
      <x:c r="J819" s="31" t="str">
        <x:v>—</x:v>
      </x:c>
      <x:c r="K819" s="31" t="str">
        <x:v>—</x:v>
      </x:c>
      <x:c r="L819" s="31" t="str">
        <x:v>포함</x:v>
      </x:c>
      <x:c r="M819" s="31" t="str">
        <x:v>포함</x:v>
      </x:c>
    </x:row>
    <x:row r="820">
      <x:c r="A820" s="34" t="n">
        <x:v>816</x:v>
      </x:c>
      <x:c r="B820" s="30" t="str">
        <x:v>울머기</x:v>
      </x:c>
      <x:c r="C820" s="30" t="str">
        <x:v>sobble</x:v>
      </x:c>
      <x:c r="D820" s="36" t="n">
        <x:v>8</x:v>
      </x:c>
      <x:c r="E820" s="31" t="str">
        <x:v>—</x:v>
      </x:c>
      <x:c r="F820" s="31" t="str">
        <x:v>—</x:v>
      </x:c>
      <x:c r="G820" s="31" t="str">
        <x:v>—</x:v>
      </x:c>
      <x:c r="H820" s="31" t="str">
        <x:v>—</x:v>
      </x:c>
      <x:c r="I820" s="31" t="str">
        <x:v>—</x:v>
      </x:c>
      <x:c r="J820" s="31" t="str">
        <x:v>—</x:v>
      </x:c>
      <x:c r="K820" s="31" t="str">
        <x:v>—</x:v>
      </x:c>
      <x:c r="L820" s="31" t="str">
        <x:v>포함</x:v>
      </x:c>
      <x:c r="M820" s="31" t="str">
        <x:v>포함</x:v>
      </x:c>
    </x:row>
    <x:row r="821">
      <x:c r="A821" s="34" t="n">
        <x:v>817</x:v>
      </x:c>
      <x:c r="B821" s="30" t="str">
        <x:v>누겔레온</x:v>
      </x:c>
      <x:c r="C821" s="30" t="str">
        <x:v>drizzile</x:v>
      </x:c>
      <x:c r="D821" s="36" t="n">
        <x:v>8</x:v>
      </x:c>
      <x:c r="E821" s="31" t="str">
        <x:v>—</x:v>
      </x:c>
      <x:c r="F821" s="31" t="str">
        <x:v>—</x:v>
      </x:c>
      <x:c r="G821" s="31" t="str">
        <x:v>—</x:v>
      </x:c>
      <x:c r="H821" s="31" t="str">
        <x:v>—</x:v>
      </x:c>
      <x:c r="I821" s="31" t="str">
        <x:v>—</x:v>
      </x:c>
      <x:c r="J821" s="31" t="str">
        <x:v>—</x:v>
      </x:c>
      <x:c r="K821" s="31" t="str">
        <x:v>—</x:v>
      </x:c>
      <x:c r="L821" s="31" t="str">
        <x:v>포함</x:v>
      </x:c>
      <x:c r="M821" s="31" t="str">
        <x:v>포함</x:v>
      </x:c>
    </x:row>
    <x:row r="822">
      <x:c r="A822" s="34" t="n">
        <x:v>818</x:v>
      </x:c>
      <x:c r="B822" s="30" t="str">
        <x:v>인텔리레온</x:v>
      </x:c>
      <x:c r="C822" s="30" t="str">
        <x:v>inteleon</x:v>
      </x:c>
      <x:c r="D822" s="36" t="n">
        <x:v>8</x:v>
      </x:c>
      <x:c r="E822" s="31" t="str">
        <x:v>—</x:v>
      </x:c>
      <x:c r="F822" s="31" t="str">
        <x:v>—</x:v>
      </x:c>
      <x:c r="G822" s="31" t="str">
        <x:v>—</x:v>
      </x:c>
      <x:c r="H822" s="31" t="str">
        <x:v>—</x:v>
      </x:c>
      <x:c r="I822" s="31" t="str">
        <x:v>—</x:v>
      </x:c>
      <x:c r="J822" s="31" t="str">
        <x:v>—</x:v>
      </x:c>
      <x:c r="K822" s="31" t="str">
        <x:v>—</x:v>
      </x:c>
      <x:c r="L822" s="31" t="str">
        <x:v>포함</x:v>
      </x:c>
      <x:c r="M822" s="31" t="str">
        <x:v>포함</x:v>
      </x:c>
    </x:row>
    <x:row r="823">
      <x:c r="A823" s="34" t="n">
        <x:v>819</x:v>
      </x:c>
      <x:c r="B823" s="30" t="str">
        <x:v>탐리스</x:v>
      </x:c>
      <x:c r="C823" s="30" t="str">
        <x:v>skwovet</x:v>
      </x:c>
      <x:c r="D823" s="36" t="n">
        <x:v>8</x:v>
      </x:c>
      <x:c r="E823" s="31" t="str">
        <x:v>—</x:v>
      </x:c>
      <x:c r="F823" s="31" t="str">
        <x:v>—</x:v>
      </x:c>
      <x:c r="G823" s="31" t="str">
        <x:v>—</x:v>
      </x:c>
      <x:c r="H823" s="31" t="str">
        <x:v>—</x:v>
      </x:c>
      <x:c r="I823" s="31" t="str">
        <x:v>—</x:v>
      </x:c>
      <x:c r="J823" s="31" t="str">
        <x:v>—</x:v>
      </x:c>
      <x:c r="K823" s="31" t="str">
        <x:v>—</x:v>
      </x:c>
      <x:c r="L823" s="31" t="str">
        <x:v>포함</x:v>
      </x:c>
      <x:c r="M823" s="31" t="str">
        <x:v>포함</x:v>
      </x:c>
    </x:row>
    <x:row r="824">
      <x:c r="A824" s="34" t="n">
        <x:v>820</x:v>
      </x:c>
      <x:c r="B824" s="30" t="str">
        <x:v>요씽리스</x:v>
      </x:c>
      <x:c r="C824" s="30" t="str">
        <x:v>greedent</x:v>
      </x:c>
      <x:c r="D824" s="36" t="n">
        <x:v>8</x:v>
      </x:c>
      <x:c r="E824" s="31" t="str">
        <x:v>—</x:v>
      </x:c>
      <x:c r="F824" s="31" t="str">
        <x:v>—</x:v>
      </x:c>
      <x:c r="G824" s="31" t="str">
        <x:v>—</x:v>
      </x:c>
      <x:c r="H824" s="31" t="str">
        <x:v>—</x:v>
      </x:c>
      <x:c r="I824" s="31" t="str">
        <x:v>—</x:v>
      </x:c>
      <x:c r="J824" s="31" t="str">
        <x:v>—</x:v>
      </x:c>
      <x:c r="K824" s="31" t="str">
        <x:v>—</x:v>
      </x:c>
      <x:c r="L824" s="31" t="str">
        <x:v>포함</x:v>
      </x:c>
      <x:c r="M824" s="31" t="str">
        <x:v>포함</x:v>
      </x:c>
    </x:row>
    <x:row r="825">
      <x:c r="A825" s="34" t="n">
        <x:v>821</x:v>
      </x:c>
      <x:c r="B825" s="30" t="str">
        <x:v>파라꼬</x:v>
      </x:c>
      <x:c r="C825" s="30" t="str">
        <x:v>rookidee</x:v>
      </x:c>
      <x:c r="D825" s="36" t="n">
        <x:v>8</x:v>
      </x:c>
      <x:c r="E825" s="31" t="str">
        <x:v>—</x:v>
      </x:c>
      <x:c r="F825" s="31" t="str">
        <x:v>—</x:v>
      </x:c>
      <x:c r="G825" s="31" t="str">
        <x:v>—</x:v>
      </x:c>
      <x:c r="H825" s="31" t="str">
        <x:v>—</x:v>
      </x:c>
      <x:c r="I825" s="31" t="str">
        <x:v>—</x:v>
      </x:c>
      <x:c r="J825" s="31" t="str">
        <x:v>—</x:v>
      </x:c>
      <x:c r="K825" s="31" t="str">
        <x:v>—</x:v>
      </x:c>
      <x:c r="L825" s="31" t="str">
        <x:v>포함</x:v>
      </x:c>
      <x:c r="M825" s="31" t="str">
        <x:v>포함</x:v>
      </x:c>
    </x:row>
    <x:row r="826">
      <x:c r="A826" s="34" t="n">
        <x:v>822</x:v>
      </x:c>
      <x:c r="B826" s="30" t="str">
        <x:v>파크로우</x:v>
      </x:c>
      <x:c r="C826" s="30" t="str">
        <x:v>corvisquire</x:v>
      </x:c>
      <x:c r="D826" s="36" t="n">
        <x:v>8</x:v>
      </x:c>
      <x:c r="E826" s="31" t="str">
        <x:v>—</x:v>
      </x:c>
      <x:c r="F826" s="31" t="str">
        <x:v>—</x:v>
      </x:c>
      <x:c r="G826" s="31" t="str">
        <x:v>—</x:v>
      </x:c>
      <x:c r="H826" s="31" t="str">
        <x:v>—</x:v>
      </x:c>
      <x:c r="I826" s="31" t="str">
        <x:v>—</x:v>
      </x:c>
      <x:c r="J826" s="31" t="str">
        <x:v>—</x:v>
      </x:c>
      <x:c r="K826" s="31" t="str">
        <x:v>—</x:v>
      </x:c>
      <x:c r="L826" s="31" t="str">
        <x:v>포함</x:v>
      </x:c>
      <x:c r="M826" s="31" t="str">
        <x:v>포함</x:v>
      </x:c>
    </x:row>
    <x:row r="827">
      <x:c r="A827" s="34" t="n">
        <x:v>823</x:v>
      </x:c>
      <x:c r="B827" s="30" t="str">
        <x:v>아머까오</x:v>
      </x:c>
      <x:c r="C827" s="30" t="str">
        <x:v>corviknight</x:v>
      </x:c>
      <x:c r="D827" s="36" t="n">
        <x:v>8</x:v>
      </x:c>
      <x:c r="E827" s="31" t="str">
        <x:v>—</x:v>
      </x:c>
      <x:c r="F827" s="31" t="str">
        <x:v>—</x:v>
      </x:c>
      <x:c r="G827" s="31" t="str">
        <x:v>—</x:v>
      </x:c>
      <x:c r="H827" s="31" t="str">
        <x:v>—</x:v>
      </x:c>
      <x:c r="I827" s="31" t="str">
        <x:v>—</x:v>
      </x:c>
      <x:c r="J827" s="31" t="str">
        <x:v>—</x:v>
      </x:c>
      <x:c r="K827" s="31" t="str">
        <x:v>—</x:v>
      </x:c>
      <x:c r="L827" s="31" t="str">
        <x:v>포함</x:v>
      </x:c>
      <x:c r="M827" s="31" t="str">
        <x:v>포함</x:v>
      </x:c>
    </x:row>
    <x:row r="828">
      <x:c r="A828" s="34" t="n">
        <x:v>824</x:v>
      </x:c>
      <x:c r="B828" s="30" t="str">
        <x:v>두루지벌레</x:v>
      </x:c>
      <x:c r="C828" s="30" t="str">
        <x:v>blipbug</x:v>
      </x:c>
      <x:c r="D828" s="36" t="n">
        <x:v>8</x:v>
      </x:c>
      <x:c r="E828" s="31" t="str">
        <x:v>—</x:v>
      </x:c>
      <x:c r="F828" s="31" t="str">
        <x:v>—</x:v>
      </x:c>
      <x:c r="G828" s="31" t="str">
        <x:v>—</x:v>
      </x:c>
      <x:c r="H828" s="31" t="str">
        <x:v>—</x:v>
      </x:c>
      <x:c r="I828" s="31" t="str">
        <x:v>—</x:v>
      </x:c>
      <x:c r="J828" s="31" t="str">
        <x:v>—</x:v>
      </x:c>
      <x:c r="K828" s="31" t="str">
        <x:v>—</x:v>
      </x:c>
      <x:c r="L828" s="31" t="str">
        <x:v>포함</x:v>
      </x:c>
      <x:c r="M828" s="31" t="str">
        <x:v>—</x:v>
      </x:c>
    </x:row>
    <x:row r="829">
      <x:c r="A829" s="34" t="n">
        <x:v>825</x:v>
      </x:c>
      <x:c r="B829" s="30" t="str">
        <x:v>레돔벌레</x:v>
      </x:c>
      <x:c r="C829" s="30" t="str">
        <x:v>dottler</x:v>
      </x:c>
      <x:c r="D829" s="36" t="n">
        <x:v>8</x:v>
      </x:c>
      <x:c r="E829" s="31" t="str">
        <x:v>—</x:v>
      </x:c>
      <x:c r="F829" s="31" t="str">
        <x:v>—</x:v>
      </x:c>
      <x:c r="G829" s="31" t="str">
        <x:v>—</x:v>
      </x:c>
      <x:c r="H829" s="31" t="str">
        <x:v>—</x:v>
      </x:c>
      <x:c r="I829" s="31" t="str">
        <x:v>—</x:v>
      </x:c>
      <x:c r="J829" s="31" t="str">
        <x:v>—</x:v>
      </x:c>
      <x:c r="K829" s="31" t="str">
        <x:v>—</x:v>
      </x:c>
      <x:c r="L829" s="31" t="str">
        <x:v>포함</x:v>
      </x:c>
      <x:c r="M829" s="31" t="str">
        <x:v>—</x:v>
      </x:c>
    </x:row>
    <x:row r="830">
      <x:c r="A830" s="34" t="n">
        <x:v>826</x:v>
      </x:c>
      <x:c r="B830" s="30" t="str">
        <x:v>이올브</x:v>
      </x:c>
      <x:c r="C830" s="30" t="str">
        <x:v>orbeetle</x:v>
      </x:c>
      <x:c r="D830" s="36" t="n">
        <x:v>8</x:v>
      </x:c>
      <x:c r="E830" s="31" t="str">
        <x:v>—</x:v>
      </x:c>
      <x:c r="F830" s="31" t="str">
        <x:v>—</x:v>
      </x:c>
      <x:c r="G830" s="31" t="str">
        <x:v>—</x:v>
      </x:c>
      <x:c r="H830" s="31" t="str">
        <x:v>—</x:v>
      </x:c>
      <x:c r="I830" s="31" t="str">
        <x:v>—</x:v>
      </x:c>
      <x:c r="J830" s="31" t="str">
        <x:v>—</x:v>
      </x:c>
      <x:c r="K830" s="31" t="str">
        <x:v>—</x:v>
      </x:c>
      <x:c r="L830" s="31" t="str">
        <x:v>포함</x:v>
      </x:c>
      <x:c r="M830" s="31" t="str">
        <x:v>—</x:v>
      </x:c>
    </x:row>
    <x:row r="831">
      <x:c r="A831" s="34" t="n">
        <x:v>827</x:v>
      </x:c>
      <x:c r="B831" s="30" t="str">
        <x:v>훔처우</x:v>
      </x:c>
      <x:c r="C831" s="30" t="str">
        <x:v>nickit</x:v>
      </x:c>
      <x:c r="D831" s="36" t="n">
        <x:v>8</x:v>
      </x:c>
      <x:c r="E831" s="31" t="str">
        <x:v>—</x:v>
      </x:c>
      <x:c r="F831" s="31" t="str">
        <x:v>—</x:v>
      </x:c>
      <x:c r="G831" s="31" t="str">
        <x:v>—</x:v>
      </x:c>
      <x:c r="H831" s="31" t="str">
        <x:v>—</x:v>
      </x:c>
      <x:c r="I831" s="31" t="str">
        <x:v>—</x:v>
      </x:c>
      <x:c r="J831" s="31" t="str">
        <x:v>—</x:v>
      </x:c>
      <x:c r="K831" s="31" t="str">
        <x:v>—</x:v>
      </x:c>
      <x:c r="L831" s="31" t="str">
        <x:v>포함</x:v>
      </x:c>
      <x:c r="M831" s="31" t="str">
        <x:v>—</x:v>
      </x:c>
    </x:row>
    <x:row r="832">
      <x:c r="A832" s="34" t="n">
        <x:v>828</x:v>
      </x:c>
      <x:c r="B832" s="30" t="str">
        <x:v>폭슬라이</x:v>
      </x:c>
      <x:c r="C832" s="30" t="str">
        <x:v>thievul</x:v>
      </x:c>
      <x:c r="D832" s="36" t="n">
        <x:v>8</x:v>
      </x:c>
      <x:c r="E832" s="31" t="str">
        <x:v>—</x:v>
      </x:c>
      <x:c r="F832" s="31" t="str">
        <x:v>—</x:v>
      </x:c>
      <x:c r="G832" s="31" t="str">
        <x:v>—</x:v>
      </x:c>
      <x:c r="H832" s="31" t="str">
        <x:v>—</x:v>
      </x:c>
      <x:c r="I832" s="31" t="str">
        <x:v>—</x:v>
      </x:c>
      <x:c r="J832" s="31" t="str">
        <x:v>—</x:v>
      </x:c>
      <x:c r="K832" s="31" t="str">
        <x:v>—</x:v>
      </x:c>
      <x:c r="L832" s="31" t="str">
        <x:v>포함</x:v>
      </x:c>
      <x:c r="M832" s="31" t="str">
        <x:v>—</x:v>
      </x:c>
    </x:row>
    <x:row r="833">
      <x:c r="A833" s="34" t="n">
        <x:v>829</x:v>
      </x:c>
      <x:c r="B833" s="30" t="str">
        <x:v>꼬모카</x:v>
      </x:c>
      <x:c r="C833" s="30" t="str">
        <x:v>gossifleur</x:v>
      </x:c>
      <x:c r="D833" s="36" t="n">
        <x:v>8</x:v>
      </x:c>
      <x:c r="E833" s="31" t="str">
        <x:v>—</x:v>
      </x:c>
      <x:c r="F833" s="31" t="str">
        <x:v>—</x:v>
      </x:c>
      <x:c r="G833" s="31" t="str">
        <x:v>—</x:v>
      </x:c>
      <x:c r="H833" s="31" t="str">
        <x:v>—</x:v>
      </x:c>
      <x:c r="I833" s="31" t="str">
        <x:v>—</x:v>
      </x:c>
      <x:c r="J833" s="31" t="str">
        <x:v>—</x:v>
      </x:c>
      <x:c r="K833" s="31" t="str">
        <x:v>—</x:v>
      </x:c>
      <x:c r="L833" s="31" t="str">
        <x:v>포함</x:v>
      </x:c>
      <x:c r="M833" s="31" t="str">
        <x:v>—</x:v>
      </x:c>
    </x:row>
    <x:row r="834">
      <x:c r="A834" s="34" t="n">
        <x:v>830</x:v>
      </x:c>
      <x:c r="B834" s="30" t="str">
        <x:v>백솜모카</x:v>
      </x:c>
      <x:c r="C834" s="30" t="str">
        <x:v>eldegoss</x:v>
      </x:c>
      <x:c r="D834" s="36" t="n">
        <x:v>8</x:v>
      </x:c>
      <x:c r="E834" s="31" t="str">
        <x:v>—</x:v>
      </x:c>
      <x:c r="F834" s="31" t="str">
        <x:v>—</x:v>
      </x:c>
      <x:c r="G834" s="31" t="str">
        <x:v>—</x:v>
      </x:c>
      <x:c r="H834" s="31" t="str">
        <x:v>—</x:v>
      </x:c>
      <x:c r="I834" s="31" t="str">
        <x:v>—</x:v>
      </x:c>
      <x:c r="J834" s="31" t="str">
        <x:v>—</x:v>
      </x:c>
      <x:c r="K834" s="31" t="str">
        <x:v>—</x:v>
      </x:c>
      <x:c r="L834" s="31" t="str">
        <x:v>포함</x:v>
      </x:c>
      <x:c r="M834" s="31" t="str">
        <x:v>—</x:v>
      </x:c>
    </x:row>
    <x:row r="835">
      <x:c r="A835" s="34" t="n">
        <x:v>831</x:v>
      </x:c>
      <x:c r="B835" s="30" t="str">
        <x:v>우르</x:v>
      </x:c>
      <x:c r="C835" s="30" t="str">
        <x:v>wooloo</x:v>
      </x:c>
      <x:c r="D835" s="36" t="n">
        <x:v>8</x:v>
      </x:c>
      <x:c r="E835" s="31" t="str">
        <x:v>—</x:v>
      </x:c>
      <x:c r="F835" s="31" t="str">
        <x:v>—</x:v>
      </x:c>
      <x:c r="G835" s="31" t="str">
        <x:v>—</x:v>
      </x:c>
      <x:c r="H835" s="31" t="str">
        <x:v>—</x:v>
      </x:c>
      <x:c r="I835" s="31" t="str">
        <x:v>—</x:v>
      </x:c>
      <x:c r="J835" s="31" t="str">
        <x:v>—</x:v>
      </x:c>
      <x:c r="K835" s="31" t="str">
        <x:v>—</x:v>
      </x:c>
      <x:c r="L835" s="31" t="str">
        <x:v>포함</x:v>
      </x:c>
      <x:c r="M835" s="31" t="str">
        <x:v>—</x:v>
      </x:c>
    </x:row>
    <x:row r="836">
      <x:c r="A836" s="34" t="n">
        <x:v>832</x:v>
      </x:c>
      <x:c r="B836" s="30" t="str">
        <x:v>배우르</x:v>
      </x:c>
      <x:c r="C836" s="30" t="str">
        <x:v>dubwool</x:v>
      </x:c>
      <x:c r="D836" s="36" t="n">
        <x:v>8</x:v>
      </x:c>
      <x:c r="E836" s="31" t="str">
        <x:v>—</x:v>
      </x:c>
      <x:c r="F836" s="31" t="str">
        <x:v>—</x:v>
      </x:c>
      <x:c r="G836" s="31" t="str">
        <x:v>—</x:v>
      </x:c>
      <x:c r="H836" s="31" t="str">
        <x:v>—</x:v>
      </x:c>
      <x:c r="I836" s="31" t="str">
        <x:v>—</x:v>
      </x:c>
      <x:c r="J836" s="31" t="str">
        <x:v>—</x:v>
      </x:c>
      <x:c r="K836" s="31" t="str">
        <x:v>—</x:v>
      </x:c>
      <x:c r="L836" s="31" t="str">
        <x:v>포함</x:v>
      </x:c>
      <x:c r="M836" s="31" t="str">
        <x:v>—</x:v>
      </x:c>
    </x:row>
    <x:row r="837">
      <x:c r="A837" s="34" t="n">
        <x:v>833</x:v>
      </x:c>
      <x:c r="B837" s="30" t="str">
        <x:v>깨물부기</x:v>
      </x:c>
      <x:c r="C837" s="30" t="str">
        <x:v>chewtle</x:v>
      </x:c>
      <x:c r="D837" s="36" t="n">
        <x:v>8</x:v>
      </x:c>
      <x:c r="E837" s="31" t="str">
        <x:v>—</x:v>
      </x:c>
      <x:c r="F837" s="31" t="str">
        <x:v>—</x:v>
      </x:c>
      <x:c r="G837" s="31" t="str">
        <x:v>—</x:v>
      </x:c>
      <x:c r="H837" s="31" t="str">
        <x:v>—</x:v>
      </x:c>
      <x:c r="I837" s="31" t="str">
        <x:v>—</x:v>
      </x:c>
      <x:c r="J837" s="31" t="str">
        <x:v>—</x:v>
      </x:c>
      <x:c r="K837" s="31" t="str">
        <x:v>—</x:v>
      </x:c>
      <x:c r="L837" s="31" t="str">
        <x:v>포함</x:v>
      </x:c>
      <x:c r="M837" s="31" t="str">
        <x:v>포함</x:v>
      </x:c>
    </x:row>
    <x:row r="838">
      <x:c r="A838" s="34" t="n">
        <x:v>834</x:v>
      </x:c>
      <x:c r="B838" s="30" t="str">
        <x:v>갈가부기</x:v>
      </x:c>
      <x:c r="C838" s="30" t="str">
        <x:v>drednaw</x:v>
      </x:c>
      <x:c r="D838" s="36" t="n">
        <x:v>8</x:v>
      </x:c>
      <x:c r="E838" s="31" t="str">
        <x:v>—</x:v>
      </x:c>
      <x:c r="F838" s="31" t="str">
        <x:v>—</x:v>
      </x:c>
      <x:c r="G838" s="31" t="str">
        <x:v>—</x:v>
      </x:c>
      <x:c r="H838" s="31" t="str">
        <x:v>—</x:v>
      </x:c>
      <x:c r="I838" s="31" t="str">
        <x:v>—</x:v>
      </x:c>
      <x:c r="J838" s="31" t="str">
        <x:v>—</x:v>
      </x:c>
      <x:c r="K838" s="31" t="str">
        <x:v>—</x:v>
      </x:c>
      <x:c r="L838" s="31" t="str">
        <x:v>포함</x:v>
      </x:c>
      <x:c r="M838" s="31" t="str">
        <x:v>포함</x:v>
      </x:c>
    </x:row>
    <x:row r="839">
      <x:c r="A839" s="34" t="n">
        <x:v>835</x:v>
      </x:c>
      <x:c r="B839" s="30" t="str">
        <x:v>멍파치</x:v>
      </x:c>
      <x:c r="C839" s="30" t="str">
        <x:v>yamper</x:v>
      </x:c>
      <x:c r="D839" s="36" t="n">
        <x:v>8</x:v>
      </x:c>
      <x:c r="E839" s="31" t="str">
        <x:v>—</x:v>
      </x:c>
      <x:c r="F839" s="31" t="str">
        <x:v>—</x:v>
      </x:c>
      <x:c r="G839" s="31" t="str">
        <x:v>—</x:v>
      </x:c>
      <x:c r="H839" s="31" t="str">
        <x:v>—</x:v>
      </x:c>
      <x:c r="I839" s="31" t="str">
        <x:v>—</x:v>
      </x:c>
      <x:c r="J839" s="31" t="str">
        <x:v>—</x:v>
      </x:c>
      <x:c r="K839" s="31" t="str">
        <x:v>—</x:v>
      </x:c>
      <x:c r="L839" s="31" t="str">
        <x:v>포함</x:v>
      </x:c>
      <x:c r="M839" s="31" t="str">
        <x:v>—</x:v>
      </x:c>
    </x:row>
    <x:row r="840">
      <x:c r="A840" s="34" t="n">
        <x:v>836</x:v>
      </x:c>
      <x:c r="B840" s="30" t="str">
        <x:v>펄스멍</x:v>
      </x:c>
      <x:c r="C840" s="30" t="str">
        <x:v>boltund</x:v>
      </x:c>
      <x:c r="D840" s="36" t="n">
        <x:v>8</x:v>
      </x:c>
      <x:c r="E840" s="31" t="str">
        <x:v>—</x:v>
      </x:c>
      <x:c r="F840" s="31" t="str">
        <x:v>—</x:v>
      </x:c>
      <x:c r="G840" s="31" t="str">
        <x:v>—</x:v>
      </x:c>
      <x:c r="H840" s="31" t="str">
        <x:v>—</x:v>
      </x:c>
      <x:c r="I840" s="31" t="str">
        <x:v>—</x:v>
      </x:c>
      <x:c r="J840" s="31" t="str">
        <x:v>—</x:v>
      </x:c>
      <x:c r="K840" s="31" t="str">
        <x:v>—</x:v>
      </x:c>
      <x:c r="L840" s="31" t="str">
        <x:v>포함</x:v>
      </x:c>
      <x:c r="M840" s="31" t="str">
        <x:v>—</x:v>
      </x:c>
    </x:row>
    <x:row r="841">
      <x:c r="A841" s="34" t="n">
        <x:v>837</x:v>
      </x:c>
      <x:c r="B841" s="30" t="str">
        <x:v>탄동</x:v>
      </x:c>
      <x:c r="C841" s="30" t="str">
        <x:v>rolycoly</x:v>
      </x:c>
      <x:c r="D841" s="36" t="n">
        <x:v>8</x:v>
      </x:c>
      <x:c r="E841" s="31" t="str">
        <x:v>—</x:v>
      </x:c>
      <x:c r="F841" s="31" t="str">
        <x:v>—</x:v>
      </x:c>
      <x:c r="G841" s="31" t="str">
        <x:v>—</x:v>
      </x:c>
      <x:c r="H841" s="31" t="str">
        <x:v>—</x:v>
      </x:c>
      <x:c r="I841" s="31" t="str">
        <x:v>—</x:v>
      </x:c>
      <x:c r="J841" s="31" t="str">
        <x:v>—</x:v>
      </x:c>
      <x:c r="K841" s="31" t="str">
        <x:v>—</x:v>
      </x:c>
      <x:c r="L841" s="31" t="str">
        <x:v>포함</x:v>
      </x:c>
      <x:c r="M841" s="31" t="str">
        <x:v>포함</x:v>
      </x:c>
    </x:row>
    <x:row r="842">
      <x:c r="A842" s="34" t="n">
        <x:v>838</x:v>
      </x:c>
      <x:c r="B842" s="30" t="str">
        <x:v>탄차곤</x:v>
      </x:c>
      <x:c r="C842" s="30" t="str">
        <x:v>carkol</x:v>
      </x:c>
      <x:c r="D842" s="36" t="n">
        <x:v>8</x:v>
      </x:c>
      <x:c r="E842" s="31" t="str">
        <x:v>—</x:v>
      </x:c>
      <x:c r="F842" s="31" t="str">
        <x:v>—</x:v>
      </x:c>
      <x:c r="G842" s="31" t="str">
        <x:v>—</x:v>
      </x:c>
      <x:c r="H842" s="31" t="str">
        <x:v>—</x:v>
      </x:c>
      <x:c r="I842" s="31" t="str">
        <x:v>—</x:v>
      </x:c>
      <x:c r="J842" s="31" t="str">
        <x:v>—</x:v>
      </x:c>
      <x:c r="K842" s="31" t="str">
        <x:v>—</x:v>
      </x:c>
      <x:c r="L842" s="31" t="str">
        <x:v>포함</x:v>
      </x:c>
      <x:c r="M842" s="31" t="str">
        <x:v>포함</x:v>
      </x:c>
    </x:row>
    <x:row r="843">
      <x:c r="A843" s="34" t="n">
        <x:v>839</x:v>
      </x:c>
      <x:c r="B843" s="30" t="str">
        <x:v>석탄산</x:v>
      </x:c>
      <x:c r="C843" s="30" t="str">
        <x:v>coalossal</x:v>
      </x:c>
      <x:c r="D843" s="36" t="n">
        <x:v>8</x:v>
      </x:c>
      <x:c r="E843" s="31" t="str">
        <x:v>—</x:v>
      </x:c>
      <x:c r="F843" s="31" t="str">
        <x:v>—</x:v>
      </x:c>
      <x:c r="G843" s="31" t="str">
        <x:v>—</x:v>
      </x:c>
      <x:c r="H843" s="31" t="str">
        <x:v>—</x:v>
      </x:c>
      <x:c r="I843" s="31" t="str">
        <x:v>—</x:v>
      </x:c>
      <x:c r="J843" s="31" t="str">
        <x:v>—</x:v>
      </x:c>
      <x:c r="K843" s="31" t="str">
        <x:v>—</x:v>
      </x:c>
      <x:c r="L843" s="31" t="str">
        <x:v>포함</x:v>
      </x:c>
      <x:c r="M843" s="31" t="str">
        <x:v>포함</x:v>
      </x:c>
    </x:row>
    <x:row r="844">
      <x:c r="A844" s="34" t="n">
        <x:v>840</x:v>
      </x:c>
      <x:c r="B844" s="30" t="str">
        <x:v>과사삭벌레</x:v>
      </x:c>
      <x:c r="C844" s="30" t="str">
        <x:v>applin</x:v>
      </x:c>
      <x:c r="D844" s="36" t="n">
        <x:v>8</x:v>
      </x:c>
      <x:c r="E844" s="31" t="str">
        <x:v>—</x:v>
      </x:c>
      <x:c r="F844" s="31" t="str">
        <x:v>—</x:v>
      </x:c>
      <x:c r="G844" s="31" t="str">
        <x:v>—</x:v>
      </x:c>
      <x:c r="H844" s="31" t="str">
        <x:v>—</x:v>
      </x:c>
      <x:c r="I844" s="31" t="str">
        <x:v>—</x:v>
      </x:c>
      <x:c r="J844" s="31" t="str">
        <x:v>—</x:v>
      </x:c>
      <x:c r="K844" s="31" t="str">
        <x:v>—</x:v>
      </x:c>
      <x:c r="L844" s="31" t="str">
        <x:v>포함</x:v>
      </x:c>
      <x:c r="M844" s="31" t="str">
        <x:v>포함</x:v>
      </x:c>
    </x:row>
    <x:row r="845">
      <x:c r="A845" s="34" t="n">
        <x:v>841</x:v>
      </x:c>
      <x:c r="B845" s="30" t="str">
        <x:v>애프룡</x:v>
      </x:c>
      <x:c r="C845" s="30" t="str">
        <x:v>flapple</x:v>
      </x:c>
      <x:c r="D845" s="36" t="n">
        <x:v>8</x:v>
      </x:c>
      <x:c r="E845" s="31" t="str">
        <x:v>—</x:v>
      </x:c>
      <x:c r="F845" s="31" t="str">
        <x:v>—</x:v>
      </x:c>
      <x:c r="G845" s="31" t="str">
        <x:v>—</x:v>
      </x:c>
      <x:c r="H845" s="31" t="str">
        <x:v>—</x:v>
      </x:c>
      <x:c r="I845" s="31" t="str">
        <x:v>—</x:v>
      </x:c>
      <x:c r="J845" s="31" t="str">
        <x:v>—</x:v>
      </x:c>
      <x:c r="K845" s="31" t="str">
        <x:v>—</x:v>
      </x:c>
      <x:c r="L845" s="31" t="str">
        <x:v>포함</x:v>
      </x:c>
      <x:c r="M845" s="31" t="str">
        <x:v>포함</x:v>
      </x:c>
    </x:row>
    <x:row r="846">
      <x:c r="A846" s="34" t="n">
        <x:v>842</x:v>
      </x:c>
      <x:c r="B846" s="30" t="str">
        <x:v>단지래플</x:v>
      </x:c>
      <x:c r="C846" s="30" t="str">
        <x:v>appletun</x:v>
      </x:c>
      <x:c r="D846" s="36" t="n">
        <x:v>8</x:v>
      </x:c>
      <x:c r="E846" s="31" t="str">
        <x:v>—</x:v>
      </x:c>
      <x:c r="F846" s="31" t="str">
        <x:v>—</x:v>
      </x:c>
      <x:c r="G846" s="31" t="str">
        <x:v>—</x:v>
      </x:c>
      <x:c r="H846" s="31" t="str">
        <x:v>—</x:v>
      </x:c>
      <x:c r="I846" s="31" t="str">
        <x:v>—</x:v>
      </x:c>
      <x:c r="J846" s="31" t="str">
        <x:v>—</x:v>
      </x:c>
      <x:c r="K846" s="31" t="str">
        <x:v>—</x:v>
      </x:c>
      <x:c r="L846" s="31" t="str">
        <x:v>포함</x:v>
      </x:c>
      <x:c r="M846" s="31" t="str">
        <x:v>포함</x:v>
      </x:c>
    </x:row>
    <x:row r="847">
      <x:c r="A847" s="34" t="n">
        <x:v>843</x:v>
      </x:c>
      <x:c r="B847" s="30" t="str">
        <x:v>모래뱀</x:v>
      </x:c>
      <x:c r="C847" s="30" t="str">
        <x:v>silicobra</x:v>
      </x:c>
      <x:c r="D847" s="36" t="n">
        <x:v>8</x:v>
      </x:c>
      <x:c r="E847" s="31" t="str">
        <x:v>—</x:v>
      </x:c>
      <x:c r="F847" s="31" t="str">
        <x:v>—</x:v>
      </x:c>
      <x:c r="G847" s="31" t="str">
        <x:v>—</x:v>
      </x:c>
      <x:c r="H847" s="31" t="str">
        <x:v>—</x:v>
      </x:c>
      <x:c r="I847" s="31" t="str">
        <x:v>—</x:v>
      </x:c>
      <x:c r="J847" s="31" t="str">
        <x:v>—</x:v>
      </x:c>
      <x:c r="K847" s="31" t="str">
        <x:v>—</x:v>
      </x:c>
      <x:c r="L847" s="31" t="str">
        <x:v>포함</x:v>
      </x:c>
      <x:c r="M847" s="31" t="str">
        <x:v>포함</x:v>
      </x:c>
    </x:row>
    <x:row r="848">
      <x:c r="A848" s="34" t="n">
        <x:v>844</x:v>
      </x:c>
      <x:c r="B848" s="30" t="str">
        <x:v>사다이사</x:v>
      </x:c>
      <x:c r="C848" s="30" t="str">
        <x:v>sandaconda</x:v>
      </x:c>
      <x:c r="D848" s="36" t="n">
        <x:v>8</x:v>
      </x:c>
      <x:c r="E848" s="31" t="str">
        <x:v>—</x:v>
      </x:c>
      <x:c r="F848" s="31" t="str">
        <x:v>—</x:v>
      </x:c>
      <x:c r="G848" s="31" t="str">
        <x:v>—</x:v>
      </x:c>
      <x:c r="H848" s="31" t="str">
        <x:v>—</x:v>
      </x:c>
      <x:c r="I848" s="31" t="str">
        <x:v>—</x:v>
      </x:c>
      <x:c r="J848" s="31" t="str">
        <x:v>—</x:v>
      </x:c>
      <x:c r="K848" s="31" t="str">
        <x:v>—</x:v>
      </x:c>
      <x:c r="L848" s="31" t="str">
        <x:v>포함</x:v>
      </x:c>
      <x:c r="M848" s="31" t="str">
        <x:v>포함</x:v>
      </x:c>
    </x:row>
    <x:row r="849">
      <x:c r="A849" s="34" t="n">
        <x:v>845</x:v>
      </x:c>
      <x:c r="B849" s="30" t="str">
        <x:v>윽우지</x:v>
      </x:c>
      <x:c r="C849" s="30" t="str">
        <x:v>cramorant</x:v>
      </x:c>
      <x:c r="D849" s="36" t="n">
        <x:v>8</x:v>
      </x:c>
      <x:c r="E849" s="31" t="str">
        <x:v>—</x:v>
      </x:c>
      <x:c r="F849" s="31" t="str">
        <x:v>—</x:v>
      </x:c>
      <x:c r="G849" s="31" t="str">
        <x:v>—</x:v>
      </x:c>
      <x:c r="H849" s="31" t="str">
        <x:v>—</x:v>
      </x:c>
      <x:c r="I849" s="31" t="str">
        <x:v>—</x:v>
      </x:c>
      <x:c r="J849" s="31" t="str">
        <x:v>—</x:v>
      </x:c>
      <x:c r="K849" s="31" t="str">
        <x:v>—</x:v>
      </x:c>
      <x:c r="L849" s="31" t="str">
        <x:v>포함</x:v>
      </x:c>
      <x:c r="M849" s="31" t="str">
        <x:v>포함</x:v>
      </x:c>
    </x:row>
    <x:row r="850">
      <x:c r="A850" s="34" t="n">
        <x:v>846</x:v>
      </x:c>
      <x:c r="B850" s="30" t="str">
        <x:v>찌로꼬치</x:v>
      </x:c>
      <x:c r="C850" s="30" t="str">
        <x:v>arrokuda</x:v>
      </x:c>
      <x:c r="D850" s="36" t="n">
        <x:v>8</x:v>
      </x:c>
      <x:c r="E850" s="31" t="str">
        <x:v>—</x:v>
      </x:c>
      <x:c r="F850" s="31" t="str">
        <x:v>—</x:v>
      </x:c>
      <x:c r="G850" s="31" t="str">
        <x:v>—</x:v>
      </x:c>
      <x:c r="H850" s="31" t="str">
        <x:v>—</x:v>
      </x:c>
      <x:c r="I850" s="31" t="str">
        <x:v>—</x:v>
      </x:c>
      <x:c r="J850" s="31" t="str">
        <x:v>—</x:v>
      </x:c>
      <x:c r="K850" s="31" t="str">
        <x:v>—</x:v>
      </x:c>
      <x:c r="L850" s="31" t="str">
        <x:v>포함</x:v>
      </x:c>
      <x:c r="M850" s="31" t="str">
        <x:v>포함</x:v>
      </x:c>
    </x:row>
    <x:row r="851">
      <x:c r="A851" s="34" t="n">
        <x:v>847</x:v>
      </x:c>
      <x:c r="B851" s="30" t="str">
        <x:v>꼬치조</x:v>
      </x:c>
      <x:c r="C851" s="30" t="str">
        <x:v>barraskewda</x:v>
      </x:c>
      <x:c r="D851" s="36" t="n">
        <x:v>8</x:v>
      </x:c>
      <x:c r="E851" s="31" t="str">
        <x:v>—</x:v>
      </x:c>
      <x:c r="F851" s="31" t="str">
        <x:v>—</x:v>
      </x:c>
      <x:c r="G851" s="31" t="str">
        <x:v>—</x:v>
      </x:c>
      <x:c r="H851" s="31" t="str">
        <x:v>—</x:v>
      </x:c>
      <x:c r="I851" s="31" t="str">
        <x:v>—</x:v>
      </x:c>
      <x:c r="J851" s="31" t="str">
        <x:v>—</x:v>
      </x:c>
      <x:c r="K851" s="31" t="str">
        <x:v>—</x:v>
      </x:c>
      <x:c r="L851" s="31" t="str">
        <x:v>포함</x:v>
      </x:c>
      <x:c r="M851" s="31" t="str">
        <x:v>포함</x:v>
      </x:c>
    </x:row>
    <x:row r="852">
      <x:c r="A852" s="34" t="n">
        <x:v>848</x:v>
      </x:c>
      <x:c r="B852" s="30" t="str">
        <x:v>일레즌</x:v>
      </x:c>
      <x:c r="C852" s="30" t="str">
        <x:v>toxel</x:v>
      </x:c>
      <x:c r="D852" s="36" t="n">
        <x:v>8</x:v>
      </x:c>
      <x:c r="E852" s="31" t="str">
        <x:v>—</x:v>
      </x:c>
      <x:c r="F852" s="31" t="str">
        <x:v>—</x:v>
      </x:c>
      <x:c r="G852" s="31" t="str">
        <x:v>—</x:v>
      </x:c>
      <x:c r="H852" s="31" t="str">
        <x:v>—</x:v>
      </x:c>
      <x:c r="I852" s="31" t="str">
        <x:v>—</x:v>
      </x:c>
      <x:c r="J852" s="31" t="str">
        <x:v>—</x:v>
      </x:c>
      <x:c r="K852" s="31" t="str">
        <x:v>—</x:v>
      </x:c>
      <x:c r="L852" s="31" t="str">
        <x:v>포함</x:v>
      </x:c>
      <x:c r="M852" s="31" t="str">
        <x:v>포함</x:v>
      </x:c>
    </x:row>
    <x:row r="853">
      <x:c r="A853" s="34" t="n">
        <x:v>849</x:v>
      </x:c>
      <x:c r="B853" s="30" t="str">
        <x:v>스트린더</x:v>
      </x:c>
      <x:c r="C853" s="30" t="str">
        <x:v>toxtricity</x:v>
      </x:c>
      <x:c r="D853" s="36" t="n">
        <x:v>8</x:v>
      </x:c>
      <x:c r="E853" s="31" t="str">
        <x:v>—</x:v>
      </x:c>
      <x:c r="F853" s="31" t="str">
        <x:v>—</x:v>
      </x:c>
      <x:c r="G853" s="31" t="str">
        <x:v>—</x:v>
      </x:c>
      <x:c r="H853" s="31" t="str">
        <x:v>—</x:v>
      </x:c>
      <x:c r="I853" s="31" t="str">
        <x:v>—</x:v>
      </x:c>
      <x:c r="J853" s="31" t="str">
        <x:v>—</x:v>
      </x:c>
      <x:c r="K853" s="31" t="str">
        <x:v>—</x:v>
      </x:c>
      <x:c r="L853" s="31" t="str">
        <x:v>포함</x:v>
      </x:c>
      <x:c r="M853" s="31" t="str">
        <x:v>포함</x:v>
      </x:c>
    </x:row>
    <x:row r="854">
      <x:c r="A854" s="34" t="n">
        <x:v>850</x:v>
      </x:c>
      <x:c r="B854" s="30" t="str">
        <x:v>태우지네</x:v>
      </x:c>
      <x:c r="C854" s="30" t="str">
        <x:v>sizzlipede</x:v>
      </x:c>
      <x:c r="D854" s="36" t="n">
        <x:v>8</x:v>
      </x:c>
      <x:c r="E854" s="31" t="str">
        <x:v>—</x:v>
      </x:c>
      <x:c r="F854" s="31" t="str">
        <x:v>—</x:v>
      </x:c>
      <x:c r="G854" s="31" t="str">
        <x:v>—</x:v>
      </x:c>
      <x:c r="H854" s="31" t="str">
        <x:v>—</x:v>
      </x:c>
      <x:c r="I854" s="31" t="str">
        <x:v>—</x:v>
      </x:c>
      <x:c r="J854" s="31" t="str">
        <x:v>—</x:v>
      </x:c>
      <x:c r="K854" s="31" t="str">
        <x:v>—</x:v>
      </x:c>
      <x:c r="L854" s="31" t="str">
        <x:v>포함</x:v>
      </x:c>
      <x:c r="M854" s="31" t="str">
        <x:v>—</x:v>
      </x:c>
    </x:row>
    <x:row r="855">
      <x:c r="A855" s="34" t="n">
        <x:v>851</x:v>
      </x:c>
      <x:c r="B855" s="30" t="str">
        <x:v>다태우지네</x:v>
      </x:c>
      <x:c r="C855" s="30" t="str">
        <x:v>centiskorch</x:v>
      </x:c>
      <x:c r="D855" s="36" t="n">
        <x:v>8</x:v>
      </x:c>
      <x:c r="E855" s="31" t="str">
        <x:v>—</x:v>
      </x:c>
      <x:c r="F855" s="31" t="str">
        <x:v>—</x:v>
      </x:c>
      <x:c r="G855" s="31" t="str">
        <x:v>—</x:v>
      </x:c>
      <x:c r="H855" s="31" t="str">
        <x:v>—</x:v>
      </x:c>
      <x:c r="I855" s="31" t="str">
        <x:v>—</x:v>
      </x:c>
      <x:c r="J855" s="31" t="str">
        <x:v>—</x:v>
      </x:c>
      <x:c r="K855" s="31" t="str">
        <x:v>—</x:v>
      </x:c>
      <x:c r="L855" s="31" t="str">
        <x:v>포함</x:v>
      </x:c>
      <x:c r="M855" s="31" t="str">
        <x:v>—</x:v>
      </x:c>
    </x:row>
    <x:row r="856">
      <x:c r="A856" s="34" t="n">
        <x:v>852</x:v>
      </x:c>
      <x:c r="B856" s="30" t="str">
        <x:v>때때무노</x:v>
      </x:c>
      <x:c r="C856" s="30" t="str">
        <x:v>clobbopus</x:v>
      </x:c>
      <x:c r="D856" s="36" t="n">
        <x:v>8</x:v>
      </x:c>
      <x:c r="E856" s="31" t="str">
        <x:v>—</x:v>
      </x:c>
      <x:c r="F856" s="31" t="str">
        <x:v>—</x:v>
      </x:c>
      <x:c r="G856" s="31" t="str">
        <x:v>—</x:v>
      </x:c>
      <x:c r="H856" s="31" t="str">
        <x:v>—</x:v>
      </x:c>
      <x:c r="I856" s="31" t="str">
        <x:v>—</x:v>
      </x:c>
      <x:c r="J856" s="31" t="str">
        <x:v>—</x:v>
      </x:c>
      <x:c r="K856" s="31" t="str">
        <x:v>—</x:v>
      </x:c>
      <x:c r="L856" s="31" t="str">
        <x:v>포함</x:v>
      </x:c>
      <x:c r="M856" s="31" t="str">
        <x:v>—</x:v>
      </x:c>
    </x:row>
    <x:row r="857">
      <x:c r="A857" s="34" t="n">
        <x:v>853</x:v>
      </x:c>
      <x:c r="B857" s="30" t="str">
        <x:v>케오퍼스</x:v>
      </x:c>
      <x:c r="C857" s="30" t="str">
        <x:v>grapploct</x:v>
      </x:c>
      <x:c r="D857" s="36" t="n">
        <x:v>8</x:v>
      </x:c>
      <x:c r="E857" s="31" t="str">
        <x:v>—</x:v>
      </x:c>
      <x:c r="F857" s="31" t="str">
        <x:v>—</x:v>
      </x:c>
      <x:c r="G857" s="31" t="str">
        <x:v>—</x:v>
      </x:c>
      <x:c r="H857" s="31" t="str">
        <x:v>—</x:v>
      </x:c>
      <x:c r="I857" s="31" t="str">
        <x:v>—</x:v>
      </x:c>
      <x:c r="J857" s="31" t="str">
        <x:v>—</x:v>
      </x:c>
      <x:c r="K857" s="31" t="str">
        <x:v>—</x:v>
      </x:c>
      <x:c r="L857" s="31" t="str">
        <x:v>포함</x:v>
      </x:c>
      <x:c r="M857" s="31" t="str">
        <x:v>—</x:v>
      </x:c>
    </x:row>
    <x:row r="858">
      <x:c r="A858" s="34" t="n">
        <x:v>854</x:v>
      </x:c>
      <x:c r="B858" s="30" t="str">
        <x:v>데인차</x:v>
      </x:c>
      <x:c r="C858" s="30" t="str">
        <x:v>sinistea</x:v>
      </x:c>
      <x:c r="D858" s="36" t="n">
        <x:v>8</x:v>
      </x:c>
      <x:c r="E858" s="31" t="str">
        <x:v>—</x:v>
      </x:c>
      <x:c r="F858" s="31" t="str">
        <x:v>—</x:v>
      </x:c>
      <x:c r="G858" s="31" t="str">
        <x:v>—</x:v>
      </x:c>
      <x:c r="H858" s="31" t="str">
        <x:v>—</x:v>
      </x:c>
      <x:c r="I858" s="31" t="str">
        <x:v>—</x:v>
      </x:c>
      <x:c r="J858" s="31" t="str">
        <x:v>—</x:v>
      </x:c>
      <x:c r="K858" s="31" t="str">
        <x:v>—</x:v>
      </x:c>
      <x:c r="L858" s="31" t="str">
        <x:v>포함</x:v>
      </x:c>
      <x:c r="M858" s="31" t="str">
        <x:v>포함</x:v>
      </x:c>
    </x:row>
    <x:row r="859">
      <x:c r="A859" s="34" t="n">
        <x:v>855</x:v>
      </x:c>
      <x:c r="B859" s="30" t="str">
        <x:v>포트데스</x:v>
      </x:c>
      <x:c r="C859" s="30" t="str">
        <x:v>polteageist</x:v>
      </x:c>
      <x:c r="D859" s="36" t="n">
        <x:v>8</x:v>
      </x:c>
      <x:c r="E859" s="31" t="str">
        <x:v>—</x:v>
      </x:c>
      <x:c r="F859" s="31" t="str">
        <x:v>—</x:v>
      </x:c>
      <x:c r="G859" s="31" t="str">
        <x:v>—</x:v>
      </x:c>
      <x:c r="H859" s="31" t="str">
        <x:v>—</x:v>
      </x:c>
      <x:c r="I859" s="31" t="str">
        <x:v>—</x:v>
      </x:c>
      <x:c r="J859" s="31" t="str">
        <x:v>—</x:v>
      </x:c>
      <x:c r="K859" s="31" t="str">
        <x:v>—</x:v>
      </x:c>
      <x:c r="L859" s="31" t="str">
        <x:v>포함</x:v>
      </x:c>
      <x:c r="M859" s="31" t="str">
        <x:v>포함</x:v>
      </x:c>
    </x:row>
    <x:row r="860">
      <x:c r="A860" s="34" t="n">
        <x:v>856</x:v>
      </x:c>
      <x:c r="B860" s="30" t="str">
        <x:v>몸지브림</x:v>
      </x:c>
      <x:c r="C860" s="30" t="str">
        <x:v>hatenna</x:v>
      </x:c>
      <x:c r="D860" s="36" t="n">
        <x:v>8</x:v>
      </x:c>
      <x:c r="E860" s="31" t="str">
        <x:v>—</x:v>
      </x:c>
      <x:c r="F860" s="31" t="str">
        <x:v>—</x:v>
      </x:c>
      <x:c r="G860" s="31" t="str">
        <x:v>—</x:v>
      </x:c>
      <x:c r="H860" s="31" t="str">
        <x:v>—</x:v>
      </x:c>
      <x:c r="I860" s="31" t="str">
        <x:v>—</x:v>
      </x:c>
      <x:c r="J860" s="31" t="str">
        <x:v>—</x:v>
      </x:c>
      <x:c r="K860" s="31" t="str">
        <x:v>—</x:v>
      </x:c>
      <x:c r="L860" s="31" t="str">
        <x:v>포함</x:v>
      </x:c>
      <x:c r="M860" s="31" t="str">
        <x:v>포함</x:v>
      </x:c>
    </x:row>
    <x:row r="861">
      <x:c r="A861" s="34" t="n">
        <x:v>857</x:v>
      </x:c>
      <x:c r="B861" s="30" t="str">
        <x:v>손지브림</x:v>
      </x:c>
      <x:c r="C861" s="30" t="str">
        <x:v>hattrem</x:v>
      </x:c>
      <x:c r="D861" s="36" t="n">
        <x:v>8</x:v>
      </x:c>
      <x:c r="E861" s="31" t="str">
        <x:v>—</x:v>
      </x:c>
      <x:c r="F861" s="31" t="str">
        <x:v>—</x:v>
      </x:c>
      <x:c r="G861" s="31" t="str">
        <x:v>—</x:v>
      </x:c>
      <x:c r="H861" s="31" t="str">
        <x:v>—</x:v>
      </x:c>
      <x:c r="I861" s="31" t="str">
        <x:v>—</x:v>
      </x:c>
      <x:c r="J861" s="31" t="str">
        <x:v>—</x:v>
      </x:c>
      <x:c r="K861" s="31" t="str">
        <x:v>—</x:v>
      </x:c>
      <x:c r="L861" s="31" t="str">
        <x:v>포함</x:v>
      </x:c>
      <x:c r="M861" s="31" t="str">
        <x:v>포함</x:v>
      </x:c>
    </x:row>
    <x:row r="862">
      <x:c r="A862" s="34" t="n">
        <x:v>858</x:v>
      </x:c>
      <x:c r="B862" s="30" t="str">
        <x:v>브리무음</x:v>
      </x:c>
      <x:c r="C862" s="30" t="str">
        <x:v>hatterene</x:v>
      </x:c>
      <x:c r="D862" s="36" t="n">
        <x:v>8</x:v>
      </x:c>
      <x:c r="E862" s="31" t="str">
        <x:v>—</x:v>
      </x:c>
      <x:c r="F862" s="31" t="str">
        <x:v>—</x:v>
      </x:c>
      <x:c r="G862" s="31" t="str">
        <x:v>—</x:v>
      </x:c>
      <x:c r="H862" s="31" t="str">
        <x:v>—</x:v>
      </x:c>
      <x:c r="I862" s="31" t="str">
        <x:v>—</x:v>
      </x:c>
      <x:c r="J862" s="31" t="str">
        <x:v>—</x:v>
      </x:c>
      <x:c r="K862" s="31" t="str">
        <x:v>—</x:v>
      </x:c>
      <x:c r="L862" s="31" t="str">
        <x:v>포함</x:v>
      </x:c>
      <x:c r="M862" s="31" t="str">
        <x:v>포함</x:v>
      </x:c>
    </x:row>
    <x:row r="863">
      <x:c r="A863" s="34" t="n">
        <x:v>859</x:v>
      </x:c>
      <x:c r="B863" s="30" t="str">
        <x:v>메롱꿍</x:v>
      </x:c>
      <x:c r="C863" s="30" t="str">
        <x:v>impidimp</x:v>
      </x:c>
      <x:c r="D863" s="36" t="n">
        <x:v>8</x:v>
      </x:c>
      <x:c r="E863" s="31" t="str">
        <x:v>—</x:v>
      </x:c>
      <x:c r="F863" s="31" t="str">
        <x:v>—</x:v>
      </x:c>
      <x:c r="G863" s="31" t="str">
        <x:v>—</x:v>
      </x:c>
      <x:c r="H863" s="31" t="str">
        <x:v>—</x:v>
      </x:c>
      <x:c r="I863" s="31" t="str">
        <x:v>—</x:v>
      </x:c>
      <x:c r="J863" s="31" t="str">
        <x:v>—</x:v>
      </x:c>
      <x:c r="K863" s="31" t="str">
        <x:v>—</x:v>
      </x:c>
      <x:c r="L863" s="31" t="str">
        <x:v>포함</x:v>
      </x:c>
      <x:c r="M863" s="31" t="str">
        <x:v>포함</x:v>
      </x:c>
    </x:row>
    <x:row r="864">
      <x:c r="A864" s="34" t="n">
        <x:v>860</x:v>
      </x:c>
      <x:c r="B864" s="30" t="str">
        <x:v>쏘겨모</x:v>
      </x:c>
      <x:c r="C864" s="30" t="str">
        <x:v>morgrem</x:v>
      </x:c>
      <x:c r="D864" s="36" t="n">
        <x:v>8</x:v>
      </x:c>
      <x:c r="E864" s="31" t="str">
        <x:v>—</x:v>
      </x:c>
      <x:c r="F864" s="31" t="str">
        <x:v>—</x:v>
      </x:c>
      <x:c r="G864" s="31" t="str">
        <x:v>—</x:v>
      </x:c>
      <x:c r="H864" s="31" t="str">
        <x:v>—</x:v>
      </x:c>
      <x:c r="I864" s="31" t="str">
        <x:v>—</x:v>
      </x:c>
      <x:c r="J864" s="31" t="str">
        <x:v>—</x:v>
      </x:c>
      <x:c r="K864" s="31" t="str">
        <x:v>—</x:v>
      </x:c>
      <x:c r="L864" s="31" t="str">
        <x:v>포함</x:v>
      </x:c>
      <x:c r="M864" s="31" t="str">
        <x:v>포함</x:v>
      </x:c>
    </x:row>
    <x:row r="865">
      <x:c r="A865" s="34" t="n">
        <x:v>861</x:v>
      </x:c>
      <x:c r="B865" s="30" t="str">
        <x:v>오롱털</x:v>
      </x:c>
      <x:c r="C865" s="30" t="str">
        <x:v>grimmsnarl</x:v>
      </x:c>
      <x:c r="D865" s="36" t="n">
        <x:v>8</x:v>
      </x:c>
      <x:c r="E865" s="31" t="str">
        <x:v>—</x:v>
      </x:c>
      <x:c r="F865" s="31" t="str">
        <x:v>—</x:v>
      </x:c>
      <x:c r="G865" s="31" t="str">
        <x:v>—</x:v>
      </x:c>
      <x:c r="H865" s="31" t="str">
        <x:v>—</x:v>
      </x:c>
      <x:c r="I865" s="31" t="str">
        <x:v>—</x:v>
      </x:c>
      <x:c r="J865" s="31" t="str">
        <x:v>—</x:v>
      </x:c>
      <x:c r="K865" s="31" t="str">
        <x:v>—</x:v>
      </x:c>
      <x:c r="L865" s="31" t="str">
        <x:v>포함</x:v>
      </x:c>
      <x:c r="M865" s="31" t="str">
        <x:v>포함</x:v>
      </x:c>
    </x:row>
    <x:row r="866">
      <x:c r="A866" s="34" t="n">
        <x:v>862</x:v>
      </x:c>
      <x:c r="B866" s="30" t="str">
        <x:v>가로막구리</x:v>
      </x:c>
      <x:c r="C866" s="30" t="str">
        <x:v>obstagoon</x:v>
      </x:c>
      <x:c r="D866" s="36" t="n">
        <x:v>8</x:v>
      </x:c>
      <x:c r="E866" s="31" t="str">
        <x:v>—</x:v>
      </x:c>
      <x:c r="F866" s="31" t="str">
        <x:v>—</x:v>
      </x:c>
      <x:c r="G866" s="31" t="str">
        <x:v>—</x:v>
      </x:c>
      <x:c r="H866" s="31" t="str">
        <x:v>—</x:v>
      </x:c>
      <x:c r="I866" s="31" t="str">
        <x:v>—</x:v>
      </x:c>
      <x:c r="J866" s="31" t="str">
        <x:v>—</x:v>
      </x:c>
      <x:c r="K866" s="31" t="str">
        <x:v>—</x:v>
      </x:c>
      <x:c r="L866" s="31" t="str">
        <x:v>포함</x:v>
      </x:c>
      <x:c r="M866" s="31" t="str">
        <x:v>—</x:v>
      </x:c>
    </x:row>
    <x:row r="867">
      <x:c r="A867" s="34" t="n">
        <x:v>863</x:v>
      </x:c>
      <x:c r="B867" s="30" t="str">
        <x:v>나이킹</x:v>
      </x:c>
      <x:c r="C867" s="30" t="str">
        <x:v>perrserker</x:v>
      </x:c>
      <x:c r="D867" s="36" t="n">
        <x:v>8</x:v>
      </x:c>
      <x:c r="E867" s="31" t="str">
        <x:v>—</x:v>
      </x:c>
      <x:c r="F867" s="31" t="str">
        <x:v>—</x:v>
      </x:c>
      <x:c r="G867" s="31" t="str">
        <x:v>—</x:v>
      </x:c>
      <x:c r="H867" s="31" t="str">
        <x:v>—</x:v>
      </x:c>
      <x:c r="I867" s="31" t="str">
        <x:v>—</x:v>
      </x:c>
      <x:c r="J867" s="31" t="str">
        <x:v>—</x:v>
      </x:c>
      <x:c r="K867" s="31" t="str">
        <x:v>—</x:v>
      </x:c>
      <x:c r="L867" s="31" t="str">
        <x:v>포함</x:v>
      </x:c>
      <x:c r="M867" s="31" t="str">
        <x:v>—</x:v>
      </x:c>
    </x:row>
    <x:row r="868">
      <x:c r="A868" s="34" t="n">
        <x:v>864</x:v>
      </x:c>
      <x:c r="B868" s="30" t="str">
        <x:v>산호르곤</x:v>
      </x:c>
      <x:c r="C868" s="30" t="str">
        <x:v>cursola</x:v>
      </x:c>
      <x:c r="D868" s="36" t="n">
        <x:v>8</x:v>
      </x:c>
      <x:c r="E868" s="31" t="str">
        <x:v>—</x:v>
      </x:c>
      <x:c r="F868" s="31" t="str">
        <x:v>—</x:v>
      </x:c>
      <x:c r="G868" s="31" t="str">
        <x:v>—</x:v>
      </x:c>
      <x:c r="H868" s="31" t="str">
        <x:v>—</x:v>
      </x:c>
      <x:c r="I868" s="31" t="str">
        <x:v>—</x:v>
      </x:c>
      <x:c r="J868" s="31" t="str">
        <x:v>—</x:v>
      </x:c>
      <x:c r="K868" s="31" t="str">
        <x:v>—</x:v>
      </x:c>
      <x:c r="L868" s="31" t="str">
        <x:v>포함</x:v>
      </x:c>
      <x:c r="M868" s="31" t="str">
        <x:v>—</x:v>
      </x:c>
    </x:row>
    <x:row r="869">
      <x:c r="A869" s="34" t="n">
        <x:v>865</x:v>
      </x:c>
      <x:c r="B869" s="30" t="str">
        <x:v>창파나이트</x:v>
      </x:c>
      <x:c r="C869" s="30" t="str">
        <x:v>sirfetchd</x:v>
      </x:c>
      <x:c r="D869" s="36" t="n">
        <x:v>8</x:v>
      </x:c>
      <x:c r="E869" s="31" t="str">
        <x:v>—</x:v>
      </x:c>
      <x:c r="F869" s="31" t="str">
        <x:v>—</x:v>
      </x:c>
      <x:c r="G869" s="31" t="str">
        <x:v>—</x:v>
      </x:c>
      <x:c r="H869" s="31" t="str">
        <x:v>—</x:v>
      </x:c>
      <x:c r="I869" s="31" t="str">
        <x:v>—</x:v>
      </x:c>
      <x:c r="J869" s="31" t="str">
        <x:v>—</x:v>
      </x:c>
      <x:c r="K869" s="31" t="str">
        <x:v>—</x:v>
      </x:c>
      <x:c r="L869" s="31" t="str">
        <x:v>포함</x:v>
      </x:c>
      <x:c r="M869" s="31" t="str">
        <x:v>—</x:v>
      </x:c>
    </x:row>
    <x:row r="870">
      <x:c r="A870" s="34" t="n">
        <x:v>866</x:v>
      </x:c>
      <x:c r="B870" s="30" t="str">
        <x:v>마임꽁꽁</x:v>
      </x:c>
      <x:c r="C870" s="30" t="str">
        <x:v>mrrime</x:v>
      </x:c>
      <x:c r="D870" s="36" t="n">
        <x:v>8</x:v>
      </x:c>
      <x:c r="E870" s="31" t="str">
        <x:v>—</x:v>
      </x:c>
      <x:c r="F870" s="31" t="str">
        <x:v>—</x:v>
      </x:c>
      <x:c r="G870" s="31" t="str">
        <x:v>—</x:v>
      </x:c>
      <x:c r="H870" s="31" t="str">
        <x:v>—</x:v>
      </x:c>
      <x:c r="I870" s="31" t="str">
        <x:v>—</x:v>
      </x:c>
      <x:c r="J870" s="31" t="str">
        <x:v>—</x:v>
      </x:c>
      <x:c r="K870" s="31" t="str">
        <x:v>—</x:v>
      </x:c>
      <x:c r="L870" s="31" t="str">
        <x:v>포함</x:v>
      </x:c>
      <x:c r="M870" s="31" t="str">
        <x:v>—</x:v>
      </x:c>
    </x:row>
    <x:row r="871">
      <x:c r="A871" s="34" t="n">
        <x:v>867</x:v>
      </x:c>
      <x:c r="B871" s="30" t="str">
        <x:v>데스판</x:v>
      </x:c>
      <x:c r="C871" s="30" t="str">
        <x:v>runerigus</x:v>
      </x:c>
      <x:c r="D871" s="36" t="n">
        <x:v>8</x:v>
      </x:c>
      <x:c r="E871" s="31" t="str">
        <x:v>—</x:v>
      </x:c>
      <x:c r="F871" s="31" t="str">
        <x:v>—</x:v>
      </x:c>
      <x:c r="G871" s="31" t="str">
        <x:v>—</x:v>
      </x:c>
      <x:c r="H871" s="31" t="str">
        <x:v>—</x:v>
      </x:c>
      <x:c r="I871" s="31" t="str">
        <x:v>—</x:v>
      </x:c>
      <x:c r="J871" s="31" t="str">
        <x:v>—</x:v>
      </x:c>
      <x:c r="K871" s="31" t="str">
        <x:v>—</x:v>
      </x:c>
      <x:c r="L871" s="31" t="str">
        <x:v>포함</x:v>
      </x:c>
      <x:c r="M871" s="31" t="str">
        <x:v>—</x:v>
      </x:c>
    </x:row>
    <x:row r="872">
      <x:c r="A872" s="34" t="n">
        <x:v>868</x:v>
      </x:c>
      <x:c r="B872" s="30" t="str">
        <x:v>마빌크</x:v>
      </x:c>
      <x:c r="C872" s="30" t="str">
        <x:v>milcery</x:v>
      </x:c>
      <x:c r="D872" s="36" t="n">
        <x:v>8</x:v>
      </x:c>
      <x:c r="E872" s="31" t="str">
        <x:v>—</x:v>
      </x:c>
      <x:c r="F872" s="31" t="str">
        <x:v>—</x:v>
      </x:c>
      <x:c r="G872" s="31" t="str">
        <x:v>—</x:v>
      </x:c>
      <x:c r="H872" s="31" t="str">
        <x:v>—</x:v>
      </x:c>
      <x:c r="I872" s="31" t="str">
        <x:v>—</x:v>
      </x:c>
      <x:c r="J872" s="31" t="str">
        <x:v>—</x:v>
      </x:c>
      <x:c r="K872" s="31" t="str">
        <x:v>—</x:v>
      </x:c>
      <x:c r="L872" s="31" t="str">
        <x:v>포함</x:v>
      </x:c>
      <x:c r="M872" s="31" t="str">
        <x:v>포함</x:v>
      </x:c>
    </x:row>
    <x:row r="873">
      <x:c r="A873" s="34" t="n">
        <x:v>869</x:v>
      </x:c>
      <x:c r="B873" s="30" t="str">
        <x:v>마휘핑</x:v>
      </x:c>
      <x:c r="C873" s="30" t="str">
        <x:v>alcremie</x:v>
      </x:c>
      <x:c r="D873" s="36" t="n">
        <x:v>8</x:v>
      </x:c>
      <x:c r="E873" s="31" t="str">
        <x:v>—</x:v>
      </x:c>
      <x:c r="F873" s="31" t="str">
        <x:v>—</x:v>
      </x:c>
      <x:c r="G873" s="31" t="str">
        <x:v>—</x:v>
      </x:c>
      <x:c r="H873" s="31" t="str">
        <x:v>—</x:v>
      </x:c>
      <x:c r="I873" s="31" t="str">
        <x:v>—</x:v>
      </x:c>
      <x:c r="J873" s="31" t="str">
        <x:v>—</x:v>
      </x:c>
      <x:c r="K873" s="31" t="str">
        <x:v>—</x:v>
      </x:c>
      <x:c r="L873" s="31" t="str">
        <x:v>포함</x:v>
      </x:c>
      <x:c r="M873" s="31" t="str">
        <x:v>포함</x:v>
      </x:c>
    </x:row>
    <x:row r="874">
      <x:c r="A874" s="34" t="n">
        <x:v>870</x:v>
      </x:c>
      <x:c r="B874" s="30" t="str">
        <x:v>대여르</x:v>
      </x:c>
      <x:c r="C874" s="30" t="str">
        <x:v>falinks</x:v>
      </x:c>
      <x:c r="D874" s="36" t="n">
        <x:v>8</x:v>
      </x:c>
      <x:c r="E874" s="31" t="str">
        <x:v>—</x:v>
      </x:c>
      <x:c r="F874" s="31" t="str">
        <x:v>—</x:v>
      </x:c>
      <x:c r="G874" s="31" t="str">
        <x:v>—</x:v>
      </x:c>
      <x:c r="H874" s="31" t="str">
        <x:v>—</x:v>
      </x:c>
      <x:c r="I874" s="31" t="str">
        <x:v>—</x:v>
      </x:c>
      <x:c r="J874" s="31" t="str">
        <x:v>—</x:v>
      </x:c>
      <x:c r="K874" s="31" t="str">
        <x:v>—</x:v>
      </x:c>
      <x:c r="L874" s="31" t="str">
        <x:v>포함</x:v>
      </x:c>
      <x:c r="M874" s="31" t="str">
        <x:v>포함</x:v>
      </x:c>
    </x:row>
    <x:row r="875">
      <x:c r="A875" s="34" t="n">
        <x:v>871</x:v>
      </x:c>
      <x:c r="B875" s="30" t="str">
        <x:v>찌르성게</x:v>
      </x:c>
      <x:c r="C875" s="30" t="str">
        <x:v>pincurchin</x:v>
      </x:c>
      <x:c r="D875" s="36" t="n">
        <x:v>8</x:v>
      </x:c>
      <x:c r="E875" s="31" t="str">
        <x:v>—</x:v>
      </x:c>
      <x:c r="F875" s="31" t="str">
        <x:v>—</x:v>
      </x:c>
      <x:c r="G875" s="31" t="str">
        <x:v>—</x:v>
      </x:c>
      <x:c r="H875" s="31" t="str">
        <x:v>—</x:v>
      </x:c>
      <x:c r="I875" s="31" t="str">
        <x:v>—</x:v>
      </x:c>
      <x:c r="J875" s="31" t="str">
        <x:v>—</x:v>
      </x:c>
      <x:c r="K875" s="31" t="str">
        <x:v>—</x:v>
      </x:c>
      <x:c r="L875" s="31" t="str">
        <x:v>포함</x:v>
      </x:c>
      <x:c r="M875" s="31" t="str">
        <x:v>포함</x:v>
      </x:c>
    </x:row>
    <x:row r="876">
      <x:c r="A876" s="34" t="n">
        <x:v>872</x:v>
      </x:c>
      <x:c r="B876" s="30" t="str">
        <x:v>누니머기</x:v>
      </x:c>
      <x:c r="C876" s="30" t="str">
        <x:v>snom</x:v>
      </x:c>
      <x:c r="D876" s="36" t="n">
        <x:v>8</x:v>
      </x:c>
      <x:c r="E876" s="31" t="str">
        <x:v>—</x:v>
      </x:c>
      <x:c r="F876" s="31" t="str">
        <x:v>—</x:v>
      </x:c>
      <x:c r="G876" s="31" t="str">
        <x:v>—</x:v>
      </x:c>
      <x:c r="H876" s="31" t="str">
        <x:v>—</x:v>
      </x:c>
      <x:c r="I876" s="31" t="str">
        <x:v>—</x:v>
      </x:c>
      <x:c r="J876" s="31" t="str">
        <x:v>—</x:v>
      </x:c>
      <x:c r="K876" s="31" t="str">
        <x:v>—</x:v>
      </x:c>
      <x:c r="L876" s="31" t="str">
        <x:v>포함</x:v>
      </x:c>
      <x:c r="M876" s="31" t="str">
        <x:v>포함</x:v>
      </x:c>
    </x:row>
    <x:row r="877">
      <x:c r="A877" s="34" t="n">
        <x:v>873</x:v>
      </x:c>
      <x:c r="B877" s="30" t="str">
        <x:v>모스노우</x:v>
      </x:c>
      <x:c r="C877" s="30" t="str">
        <x:v>frosmoth</x:v>
      </x:c>
      <x:c r="D877" s="36" t="n">
        <x:v>8</x:v>
      </x:c>
      <x:c r="E877" s="31" t="str">
        <x:v>—</x:v>
      </x:c>
      <x:c r="F877" s="31" t="str">
        <x:v>—</x:v>
      </x:c>
      <x:c r="G877" s="31" t="str">
        <x:v>—</x:v>
      </x:c>
      <x:c r="H877" s="31" t="str">
        <x:v>—</x:v>
      </x:c>
      <x:c r="I877" s="31" t="str">
        <x:v>—</x:v>
      </x:c>
      <x:c r="J877" s="31" t="str">
        <x:v>—</x:v>
      </x:c>
      <x:c r="K877" s="31" t="str">
        <x:v>—</x:v>
      </x:c>
      <x:c r="L877" s="31" t="str">
        <x:v>포함</x:v>
      </x:c>
      <x:c r="M877" s="31" t="str">
        <x:v>포함</x:v>
      </x:c>
    </x:row>
    <x:row r="878">
      <x:c r="A878" s="34" t="n">
        <x:v>874</x:v>
      </x:c>
      <x:c r="B878" s="30" t="str">
        <x:v>돌헨진</x:v>
      </x:c>
      <x:c r="C878" s="30" t="str">
        <x:v>stonjourner</x:v>
      </x:c>
      <x:c r="D878" s="36" t="n">
        <x:v>8</x:v>
      </x:c>
      <x:c r="E878" s="31" t="str">
        <x:v>—</x:v>
      </x:c>
      <x:c r="F878" s="31" t="str">
        <x:v>—</x:v>
      </x:c>
      <x:c r="G878" s="31" t="str">
        <x:v>—</x:v>
      </x:c>
      <x:c r="H878" s="31" t="str">
        <x:v>—</x:v>
      </x:c>
      <x:c r="I878" s="31" t="str">
        <x:v>—</x:v>
      </x:c>
      <x:c r="J878" s="31" t="str">
        <x:v>—</x:v>
      </x:c>
      <x:c r="K878" s="31" t="str">
        <x:v>—</x:v>
      </x:c>
      <x:c r="L878" s="31" t="str">
        <x:v>포함</x:v>
      </x:c>
      <x:c r="M878" s="31" t="str">
        <x:v>포함</x:v>
      </x:c>
    </x:row>
    <x:row r="879">
      <x:c r="A879" s="34" t="n">
        <x:v>875</x:v>
      </x:c>
      <x:c r="B879" s="30" t="str">
        <x:v>빙큐보</x:v>
      </x:c>
      <x:c r="C879" s="30" t="str">
        <x:v>eiscue</x:v>
      </x:c>
      <x:c r="D879" s="36" t="n">
        <x:v>8</x:v>
      </x:c>
      <x:c r="E879" s="31" t="str">
        <x:v>—</x:v>
      </x:c>
      <x:c r="F879" s="31" t="str">
        <x:v>—</x:v>
      </x:c>
      <x:c r="G879" s="31" t="str">
        <x:v>—</x:v>
      </x:c>
      <x:c r="H879" s="31" t="str">
        <x:v>—</x:v>
      </x:c>
      <x:c r="I879" s="31" t="str">
        <x:v>—</x:v>
      </x:c>
      <x:c r="J879" s="31" t="str">
        <x:v>—</x:v>
      </x:c>
      <x:c r="K879" s="31" t="str">
        <x:v>—</x:v>
      </x:c>
      <x:c r="L879" s="31" t="str">
        <x:v>포함</x:v>
      </x:c>
      <x:c r="M879" s="31" t="str">
        <x:v>포함</x:v>
      </x:c>
    </x:row>
    <x:row r="880">
      <x:c r="A880" s="34" t="n">
        <x:v>876</x:v>
      </x:c>
      <x:c r="B880" s="30" t="str">
        <x:v>에써르</x:v>
      </x:c>
      <x:c r="C880" s="30" t="str">
        <x:v>indeedee</x:v>
      </x:c>
      <x:c r="D880" s="36" t="n">
        <x:v>8</x:v>
      </x:c>
      <x:c r="E880" s="31" t="str">
        <x:v>—</x:v>
      </x:c>
      <x:c r="F880" s="31" t="str">
        <x:v>—</x:v>
      </x:c>
      <x:c r="G880" s="31" t="str">
        <x:v>—</x:v>
      </x:c>
      <x:c r="H880" s="31" t="str">
        <x:v>—</x:v>
      </x:c>
      <x:c r="I880" s="31" t="str">
        <x:v>—</x:v>
      </x:c>
      <x:c r="J880" s="31" t="str">
        <x:v>—</x:v>
      </x:c>
      <x:c r="K880" s="31" t="str">
        <x:v>—</x:v>
      </x:c>
      <x:c r="L880" s="31" t="str">
        <x:v>포함</x:v>
      </x:c>
      <x:c r="M880" s="31" t="str">
        <x:v>포함</x:v>
      </x:c>
    </x:row>
    <x:row r="881">
      <x:c r="A881" s="34" t="n">
        <x:v>877</x:v>
      </x:c>
      <x:c r="B881" s="30" t="str">
        <x:v>모르페코</x:v>
      </x:c>
      <x:c r="C881" s="30" t="str">
        <x:v>morpeko</x:v>
      </x:c>
      <x:c r="D881" s="36" t="n">
        <x:v>8</x:v>
      </x:c>
      <x:c r="E881" s="31" t="str">
        <x:v>—</x:v>
      </x:c>
      <x:c r="F881" s="31" t="str">
        <x:v>—</x:v>
      </x:c>
      <x:c r="G881" s="31" t="str">
        <x:v>—</x:v>
      </x:c>
      <x:c r="H881" s="31" t="str">
        <x:v>—</x:v>
      </x:c>
      <x:c r="I881" s="31" t="str">
        <x:v>—</x:v>
      </x:c>
      <x:c r="J881" s="31" t="str">
        <x:v>—</x:v>
      </x:c>
      <x:c r="K881" s="31" t="str">
        <x:v>—</x:v>
      </x:c>
      <x:c r="L881" s="31" t="str">
        <x:v>포함</x:v>
      </x:c>
      <x:c r="M881" s="31" t="str">
        <x:v>포함</x:v>
      </x:c>
    </x:row>
    <x:row r="882">
      <x:c r="A882" s="34" t="n">
        <x:v>878</x:v>
      </x:c>
      <x:c r="B882" s="30" t="str">
        <x:v>끼리동</x:v>
      </x:c>
      <x:c r="C882" s="30" t="str">
        <x:v>cufant</x:v>
      </x:c>
      <x:c r="D882" s="36" t="n">
        <x:v>8</x:v>
      </x:c>
      <x:c r="E882" s="31" t="str">
        <x:v>—</x:v>
      </x:c>
      <x:c r="F882" s="31" t="str">
        <x:v>—</x:v>
      </x:c>
      <x:c r="G882" s="31" t="str">
        <x:v>—</x:v>
      </x:c>
      <x:c r="H882" s="31" t="str">
        <x:v>—</x:v>
      </x:c>
      <x:c r="I882" s="31" t="str">
        <x:v>—</x:v>
      </x:c>
      <x:c r="J882" s="31" t="str">
        <x:v>—</x:v>
      </x:c>
      <x:c r="K882" s="31" t="str">
        <x:v>—</x:v>
      </x:c>
      <x:c r="L882" s="31" t="str">
        <x:v>포함</x:v>
      </x:c>
      <x:c r="M882" s="31" t="str">
        <x:v>포함</x:v>
      </x:c>
    </x:row>
    <x:row r="883">
      <x:c r="A883" s="34" t="n">
        <x:v>879</x:v>
      </x:c>
      <x:c r="B883" s="30" t="str">
        <x:v>대왕끼리동</x:v>
      </x:c>
      <x:c r="C883" s="30" t="str">
        <x:v>copperajah</x:v>
      </x:c>
      <x:c r="D883" s="36" t="n">
        <x:v>8</x:v>
      </x:c>
      <x:c r="E883" s="31" t="str">
        <x:v>—</x:v>
      </x:c>
      <x:c r="F883" s="31" t="str">
        <x:v>—</x:v>
      </x:c>
      <x:c r="G883" s="31" t="str">
        <x:v>—</x:v>
      </x:c>
      <x:c r="H883" s="31" t="str">
        <x:v>—</x:v>
      </x:c>
      <x:c r="I883" s="31" t="str">
        <x:v>—</x:v>
      </x:c>
      <x:c r="J883" s="31" t="str">
        <x:v>—</x:v>
      </x:c>
      <x:c r="K883" s="31" t="str">
        <x:v>—</x:v>
      </x:c>
      <x:c r="L883" s="31" t="str">
        <x:v>포함</x:v>
      </x:c>
      <x:c r="M883" s="31" t="str">
        <x:v>포함</x:v>
      </x:c>
    </x:row>
    <x:row r="884">
      <x:c r="A884" s="34" t="n">
        <x:v>880</x:v>
      </x:c>
      <x:c r="B884" s="30" t="str">
        <x:v>파치래곤</x:v>
      </x:c>
      <x:c r="C884" s="30" t="str">
        <x:v>dracozolt</x:v>
      </x:c>
      <x:c r="D884" s="36" t="n">
        <x:v>8</x:v>
      </x:c>
      <x:c r="E884" s="31" t="str">
        <x:v>—</x:v>
      </x:c>
      <x:c r="F884" s="31" t="str">
        <x:v>—</x:v>
      </x:c>
      <x:c r="G884" s="31" t="str">
        <x:v>—</x:v>
      </x:c>
      <x:c r="H884" s="31" t="str">
        <x:v>—</x:v>
      </x:c>
      <x:c r="I884" s="31" t="str">
        <x:v>—</x:v>
      </x:c>
      <x:c r="J884" s="31" t="str">
        <x:v>—</x:v>
      </x:c>
      <x:c r="K884" s="31" t="str">
        <x:v>—</x:v>
      </x:c>
      <x:c r="L884" s="31" t="str">
        <x:v>포함</x:v>
      </x:c>
      <x:c r="M884" s="31" t="str">
        <x:v>—</x:v>
      </x:c>
    </x:row>
    <x:row r="885">
      <x:c r="A885" s="34" t="n">
        <x:v>881</x:v>
      </x:c>
      <x:c r="B885" s="30" t="str">
        <x:v>파치르돈</x:v>
      </x:c>
      <x:c r="C885" s="30" t="str">
        <x:v>arctozolt</x:v>
      </x:c>
      <x:c r="D885" s="36" t="n">
        <x:v>8</x:v>
      </x:c>
      <x:c r="E885" s="31" t="str">
        <x:v>—</x:v>
      </x:c>
      <x:c r="F885" s="31" t="str">
        <x:v>—</x:v>
      </x:c>
      <x:c r="G885" s="31" t="str">
        <x:v>—</x:v>
      </x:c>
      <x:c r="H885" s="31" t="str">
        <x:v>—</x:v>
      </x:c>
      <x:c r="I885" s="31" t="str">
        <x:v>—</x:v>
      </x:c>
      <x:c r="J885" s="31" t="str">
        <x:v>—</x:v>
      </x:c>
      <x:c r="K885" s="31" t="str">
        <x:v>—</x:v>
      </x:c>
      <x:c r="L885" s="31" t="str">
        <x:v>포함</x:v>
      </x:c>
      <x:c r="M885" s="31" t="str">
        <x:v>—</x:v>
      </x:c>
    </x:row>
    <x:row r="886">
      <x:c r="A886" s="34" t="n">
        <x:v>882</x:v>
      </x:c>
      <x:c r="B886" s="30" t="str">
        <x:v>어래곤</x:v>
      </x:c>
      <x:c r="C886" s="30" t="str">
        <x:v>dracovish</x:v>
      </x:c>
      <x:c r="D886" s="36" t="n">
        <x:v>8</x:v>
      </x:c>
      <x:c r="E886" s="31" t="str">
        <x:v>—</x:v>
      </x:c>
      <x:c r="F886" s="31" t="str">
        <x:v>—</x:v>
      </x:c>
      <x:c r="G886" s="31" t="str">
        <x:v>—</x:v>
      </x:c>
      <x:c r="H886" s="31" t="str">
        <x:v>—</x:v>
      </x:c>
      <x:c r="I886" s="31" t="str">
        <x:v>—</x:v>
      </x:c>
      <x:c r="J886" s="31" t="str">
        <x:v>—</x:v>
      </x:c>
      <x:c r="K886" s="31" t="str">
        <x:v>—</x:v>
      </x:c>
      <x:c r="L886" s="31" t="str">
        <x:v>포함</x:v>
      </x:c>
      <x:c r="M886" s="31" t="str">
        <x:v>—</x:v>
      </x:c>
    </x:row>
    <x:row r="887">
      <x:c r="A887" s="34" t="n">
        <x:v>883</x:v>
      </x:c>
      <x:c r="B887" s="30" t="str">
        <x:v>어치르돈</x:v>
      </x:c>
      <x:c r="C887" s="30" t="str">
        <x:v>arctovish</x:v>
      </x:c>
      <x:c r="D887" s="36" t="n">
        <x:v>8</x:v>
      </x:c>
      <x:c r="E887" s="31" t="str">
        <x:v>—</x:v>
      </x:c>
      <x:c r="F887" s="31" t="str">
        <x:v>—</x:v>
      </x:c>
      <x:c r="G887" s="31" t="str">
        <x:v>—</x:v>
      </x:c>
      <x:c r="H887" s="31" t="str">
        <x:v>—</x:v>
      </x:c>
      <x:c r="I887" s="31" t="str">
        <x:v>—</x:v>
      </x:c>
      <x:c r="J887" s="31" t="str">
        <x:v>—</x:v>
      </x:c>
      <x:c r="K887" s="31" t="str">
        <x:v>—</x:v>
      </x:c>
      <x:c r="L887" s="31" t="str">
        <x:v>포함</x:v>
      </x:c>
      <x:c r="M887" s="31" t="str">
        <x:v>—</x:v>
      </x:c>
    </x:row>
    <x:row r="888">
      <x:c r="A888" s="34" t="n">
        <x:v>884</x:v>
      </x:c>
      <x:c r="B888" s="30" t="str">
        <x:v>두랄루돈</x:v>
      </x:c>
      <x:c r="C888" s="30" t="str">
        <x:v>duraludon</x:v>
      </x:c>
      <x:c r="D888" s="36" t="n">
        <x:v>8</x:v>
      </x:c>
      <x:c r="E888" s="31" t="str">
        <x:v>—</x:v>
      </x:c>
      <x:c r="F888" s="31" t="str">
        <x:v>—</x:v>
      </x:c>
      <x:c r="G888" s="31" t="str">
        <x:v>—</x:v>
      </x:c>
      <x:c r="H888" s="31" t="str">
        <x:v>—</x:v>
      </x:c>
      <x:c r="I888" s="31" t="str">
        <x:v>—</x:v>
      </x:c>
      <x:c r="J888" s="31" t="str">
        <x:v>—</x:v>
      </x:c>
      <x:c r="K888" s="31" t="str">
        <x:v>—</x:v>
      </x:c>
      <x:c r="L888" s="31" t="str">
        <x:v>포함</x:v>
      </x:c>
      <x:c r="M888" s="31" t="str">
        <x:v>포함</x:v>
      </x:c>
    </x:row>
    <x:row r="889">
      <x:c r="A889" s="34" t="n">
        <x:v>885</x:v>
      </x:c>
      <x:c r="B889" s="30" t="str">
        <x:v>드라꼰</x:v>
      </x:c>
      <x:c r="C889" s="30" t="str">
        <x:v>dreepy</x:v>
      </x:c>
      <x:c r="D889" s="36" t="n">
        <x:v>8</x:v>
      </x:c>
      <x:c r="E889" s="31" t="str">
        <x:v>—</x:v>
      </x:c>
      <x:c r="F889" s="31" t="str">
        <x:v>—</x:v>
      </x:c>
      <x:c r="G889" s="31" t="str">
        <x:v>—</x:v>
      </x:c>
      <x:c r="H889" s="31" t="str">
        <x:v>—</x:v>
      </x:c>
      <x:c r="I889" s="31" t="str">
        <x:v>—</x:v>
      </x:c>
      <x:c r="J889" s="31" t="str">
        <x:v>—</x:v>
      </x:c>
      <x:c r="K889" s="31" t="str">
        <x:v>—</x:v>
      </x:c>
      <x:c r="L889" s="31" t="str">
        <x:v>포함</x:v>
      </x:c>
      <x:c r="M889" s="31" t="str">
        <x:v>포함</x:v>
      </x:c>
    </x:row>
    <x:row r="890">
      <x:c r="A890" s="34" t="n">
        <x:v>886</x:v>
      </x:c>
      <x:c r="B890" s="30" t="str">
        <x:v>드래런치</x:v>
      </x:c>
      <x:c r="C890" s="30" t="str">
        <x:v>drakloak</x:v>
      </x:c>
      <x:c r="D890" s="36" t="n">
        <x:v>8</x:v>
      </x:c>
      <x:c r="E890" s="31" t="str">
        <x:v>—</x:v>
      </x:c>
      <x:c r="F890" s="31" t="str">
        <x:v>—</x:v>
      </x:c>
      <x:c r="G890" s="31" t="str">
        <x:v>—</x:v>
      </x:c>
      <x:c r="H890" s="31" t="str">
        <x:v>—</x:v>
      </x:c>
      <x:c r="I890" s="31" t="str">
        <x:v>—</x:v>
      </x:c>
      <x:c r="J890" s="31" t="str">
        <x:v>—</x:v>
      </x:c>
      <x:c r="K890" s="31" t="str">
        <x:v>—</x:v>
      </x:c>
      <x:c r="L890" s="31" t="str">
        <x:v>포함</x:v>
      </x:c>
      <x:c r="M890" s="31" t="str">
        <x:v>포함</x:v>
      </x:c>
    </x:row>
    <x:row r="891">
      <x:c r="A891" s="34" t="n">
        <x:v>887</x:v>
      </x:c>
      <x:c r="B891" s="30" t="str">
        <x:v>드래펄트</x:v>
      </x:c>
      <x:c r="C891" s="30" t="str">
        <x:v>dragapult</x:v>
      </x:c>
      <x:c r="D891" s="36" t="n">
        <x:v>8</x:v>
      </x:c>
      <x:c r="E891" s="31" t="str">
        <x:v>—</x:v>
      </x:c>
      <x:c r="F891" s="31" t="str">
        <x:v>—</x:v>
      </x:c>
      <x:c r="G891" s="31" t="str">
        <x:v>—</x:v>
      </x:c>
      <x:c r="H891" s="31" t="str">
        <x:v>—</x:v>
      </x:c>
      <x:c r="I891" s="31" t="str">
        <x:v>—</x:v>
      </x:c>
      <x:c r="J891" s="31" t="str">
        <x:v>—</x:v>
      </x:c>
      <x:c r="K891" s="31" t="str">
        <x:v>—</x:v>
      </x:c>
      <x:c r="L891" s="31" t="str">
        <x:v>포함</x:v>
      </x:c>
      <x:c r="M891" s="31" t="str">
        <x:v>포함</x:v>
      </x:c>
    </x:row>
    <x:row r="892">
      <x:c r="A892" s="34" t="n">
        <x:v>888</x:v>
      </x:c>
      <x:c r="B892" s="30" t="str">
        <x:v>자시안</x:v>
      </x:c>
      <x:c r="C892" s="30" t="str">
        <x:v>zacian</x:v>
      </x:c>
      <x:c r="D892" s="36" t="n">
        <x:v>8</x:v>
      </x:c>
      <x:c r="E892" s="31" t="str">
        <x:v>—</x:v>
      </x:c>
      <x:c r="F892" s="31" t="str">
        <x:v>—</x:v>
      </x:c>
      <x:c r="G892" s="31" t="str">
        <x:v>—</x:v>
      </x:c>
      <x:c r="H892" s="31" t="str">
        <x:v>—</x:v>
      </x:c>
      <x:c r="I892" s="31" t="str">
        <x:v>—</x:v>
      </x:c>
      <x:c r="J892" s="31" t="str">
        <x:v>—</x:v>
      </x:c>
      <x:c r="K892" s="31" t="str">
        <x:v>—</x:v>
      </x:c>
      <x:c r="L892" s="31" t="str">
        <x:v>포함</x:v>
      </x:c>
      <x:c r="M892" s="31" t="str">
        <x:v>—</x:v>
      </x:c>
    </x:row>
    <x:row r="893">
      <x:c r="A893" s="34" t="n">
        <x:v>889</x:v>
      </x:c>
      <x:c r="B893" s="30" t="str">
        <x:v>자마젠타</x:v>
      </x:c>
      <x:c r="C893" s="30" t="str">
        <x:v>zamazenta</x:v>
      </x:c>
      <x:c r="D893" s="36" t="n">
        <x:v>8</x:v>
      </x:c>
      <x:c r="E893" s="31" t="str">
        <x:v>—</x:v>
      </x:c>
      <x:c r="F893" s="31" t="str">
        <x:v>—</x:v>
      </x:c>
      <x:c r="G893" s="31" t="str">
        <x:v>—</x:v>
      </x:c>
      <x:c r="H893" s="31" t="str">
        <x:v>—</x:v>
      </x:c>
      <x:c r="I893" s="31" t="str">
        <x:v>—</x:v>
      </x:c>
      <x:c r="J893" s="31" t="str">
        <x:v>—</x:v>
      </x:c>
      <x:c r="K893" s="31" t="str">
        <x:v>—</x:v>
      </x:c>
      <x:c r="L893" s="31" t="str">
        <x:v>포함</x:v>
      </x:c>
      <x:c r="M893" s="31" t="str">
        <x:v>—</x:v>
      </x:c>
    </x:row>
    <x:row r="894">
      <x:c r="A894" s="34" t="n">
        <x:v>890</x:v>
      </x:c>
      <x:c r="B894" s="30" t="str">
        <x:v>무한다이노</x:v>
      </x:c>
      <x:c r="C894" s="30" t="str">
        <x:v>eternatus</x:v>
      </x:c>
      <x:c r="D894" s="36" t="n">
        <x:v>8</x:v>
      </x:c>
      <x:c r="E894" s="31" t="str">
        <x:v>—</x:v>
      </x:c>
      <x:c r="F894" s="31" t="str">
        <x:v>—</x:v>
      </x:c>
      <x:c r="G894" s="31" t="str">
        <x:v>—</x:v>
      </x:c>
      <x:c r="H894" s="31" t="str">
        <x:v>—</x:v>
      </x:c>
      <x:c r="I894" s="31" t="str">
        <x:v>—</x:v>
      </x:c>
      <x:c r="J894" s="31" t="str">
        <x:v>—</x:v>
      </x:c>
      <x:c r="K894" s="31" t="str">
        <x:v>—</x:v>
      </x:c>
      <x:c r="L894" s="31" t="str">
        <x:v>포함</x:v>
      </x:c>
      <x:c r="M894" s="31" t="str">
        <x:v>—</x:v>
      </x:c>
    </x:row>
    <x:row r="895">
      <x:c r="A895" s="34" t="n">
        <x:v>891</x:v>
      </x:c>
      <x:c r="B895" s="30" t="str">
        <x:v>치고마</x:v>
      </x:c>
      <x:c r="C895" s="30" t="str">
        <x:v>kubfu</x:v>
      </x:c>
      <x:c r="D895" s="36" t="n">
        <x:v>8</x:v>
      </x:c>
      <x:c r="E895" s="31" t="str">
        <x:v>—</x:v>
      </x:c>
      <x:c r="F895" s="31" t="str">
        <x:v>—</x:v>
      </x:c>
      <x:c r="G895" s="31" t="str">
        <x:v>—</x:v>
      </x:c>
      <x:c r="H895" s="31" t="str">
        <x:v>—</x:v>
      </x:c>
      <x:c r="I895" s="31" t="str">
        <x:v>—</x:v>
      </x:c>
      <x:c r="J895" s="31" t="str">
        <x:v>—</x:v>
      </x:c>
      <x:c r="K895" s="31" t="str">
        <x:v>—</x:v>
      </x:c>
      <x:c r="L895" s="31" t="str">
        <x:v>포함</x:v>
      </x:c>
      <x:c r="M895" s="31" t="str">
        <x:v>—</x:v>
      </x:c>
    </x:row>
    <x:row r="896">
      <x:c r="A896" s="34" t="n">
        <x:v>892</x:v>
      </x:c>
      <x:c r="B896" s="30" t="str">
        <x:v>우라오스</x:v>
      </x:c>
      <x:c r="C896" s="30" t="str">
        <x:v>urshifu</x:v>
      </x:c>
      <x:c r="D896" s="36" t="n">
        <x:v>8</x:v>
      </x:c>
      <x:c r="E896" s="31" t="str">
        <x:v>—</x:v>
      </x:c>
      <x:c r="F896" s="31" t="str">
        <x:v>—</x:v>
      </x:c>
      <x:c r="G896" s="31" t="str">
        <x:v>—</x:v>
      </x:c>
      <x:c r="H896" s="31" t="str">
        <x:v>—</x:v>
      </x:c>
      <x:c r="I896" s="31" t="str">
        <x:v>—</x:v>
      </x:c>
      <x:c r="J896" s="31" t="str">
        <x:v>—</x:v>
      </x:c>
      <x:c r="K896" s="31" t="str">
        <x:v>—</x:v>
      </x:c>
      <x:c r="L896" s="31" t="str">
        <x:v>포함</x:v>
      </x:c>
      <x:c r="M896" s="31" t="str">
        <x:v>—</x:v>
      </x:c>
    </x:row>
    <x:row r="897">
      <x:c r="A897" s="34" t="n">
        <x:v>893</x:v>
      </x:c>
      <x:c r="B897" s="30" t="str">
        <x:v>자루도</x:v>
      </x:c>
      <x:c r="C897" s="30" t="str">
        <x:v>zarude</x:v>
      </x:c>
      <x:c r="D897" s="36" t="n">
        <x:v>8</x:v>
      </x:c>
      <x:c r="E897" s="31" t="str">
        <x:v>—</x:v>
      </x:c>
      <x:c r="F897" s="31" t="str">
        <x:v>—</x:v>
      </x:c>
      <x:c r="G897" s="31" t="str">
        <x:v>—</x:v>
      </x:c>
      <x:c r="H897" s="31" t="str">
        <x:v>—</x:v>
      </x:c>
      <x:c r="I897" s="31" t="str">
        <x:v>—</x:v>
      </x:c>
      <x:c r="J897" s="31" t="str">
        <x:v>—</x:v>
      </x:c>
      <x:c r="K897" s="31" t="str">
        <x:v>—</x:v>
      </x:c>
      <x:c r="L897" s="31" t="str">
        <x:v>포함</x:v>
      </x:c>
      <x:c r="M897" s="31" t="str">
        <x:v>—</x:v>
      </x:c>
    </x:row>
    <x:row r="898">
      <x:c r="A898" s="34" t="n">
        <x:v>894</x:v>
      </x:c>
      <x:c r="B898" s="30" t="str">
        <x:v>레지에레키</x:v>
      </x:c>
      <x:c r="C898" s="30" t="str">
        <x:v>regieleki</x:v>
      </x:c>
      <x:c r="D898" s="36" t="n">
        <x:v>8</x:v>
      </x:c>
      <x:c r="E898" s="31" t="str">
        <x:v>—</x:v>
      </x:c>
      <x:c r="F898" s="31" t="str">
        <x:v>—</x:v>
      </x:c>
      <x:c r="G898" s="31" t="str">
        <x:v>—</x:v>
      </x:c>
      <x:c r="H898" s="31" t="str">
        <x:v>—</x:v>
      </x:c>
      <x:c r="I898" s="31" t="str">
        <x:v>—</x:v>
      </x:c>
      <x:c r="J898" s="31" t="str">
        <x:v>—</x:v>
      </x:c>
      <x:c r="K898" s="31" t="str">
        <x:v>—</x:v>
      </x:c>
      <x:c r="L898" s="31" t="str">
        <x:v>포함</x:v>
      </x:c>
      <x:c r="M898" s="31" t="str">
        <x:v>—</x:v>
      </x:c>
    </x:row>
    <x:row r="899">
      <x:c r="A899" s="34" t="n">
        <x:v>895</x:v>
      </x:c>
      <x:c r="B899" s="30" t="str">
        <x:v>레지드래고</x:v>
      </x:c>
      <x:c r="C899" s="30" t="str">
        <x:v>regidrago</x:v>
      </x:c>
      <x:c r="D899" s="36" t="n">
        <x:v>8</x:v>
      </x:c>
      <x:c r="E899" s="31" t="str">
        <x:v>—</x:v>
      </x:c>
      <x:c r="F899" s="31" t="str">
        <x:v>—</x:v>
      </x:c>
      <x:c r="G899" s="31" t="str">
        <x:v>—</x:v>
      </x:c>
      <x:c r="H899" s="31" t="str">
        <x:v>—</x:v>
      </x:c>
      <x:c r="I899" s="31" t="str">
        <x:v>—</x:v>
      </x:c>
      <x:c r="J899" s="31" t="str">
        <x:v>—</x:v>
      </x:c>
      <x:c r="K899" s="31" t="str">
        <x:v>—</x:v>
      </x:c>
      <x:c r="L899" s="31" t="str">
        <x:v>포함</x:v>
      </x:c>
      <x:c r="M899" s="31" t="str">
        <x:v>—</x:v>
      </x:c>
    </x:row>
    <x:row r="900">
      <x:c r="A900" s="34" t="n">
        <x:v>896</x:v>
      </x:c>
      <x:c r="B900" s="30" t="str">
        <x:v>블리자포스</x:v>
      </x:c>
      <x:c r="C900" s="30" t="str">
        <x:v>glastrier</x:v>
      </x:c>
      <x:c r="D900" s="36" t="n">
        <x:v>8</x:v>
      </x:c>
      <x:c r="E900" s="31" t="str">
        <x:v>—</x:v>
      </x:c>
      <x:c r="F900" s="31" t="str">
        <x:v>—</x:v>
      </x:c>
      <x:c r="G900" s="31" t="str">
        <x:v>—</x:v>
      </x:c>
      <x:c r="H900" s="31" t="str">
        <x:v>—</x:v>
      </x:c>
      <x:c r="I900" s="31" t="str">
        <x:v>—</x:v>
      </x:c>
      <x:c r="J900" s="31" t="str">
        <x:v>—</x:v>
      </x:c>
      <x:c r="K900" s="31" t="str">
        <x:v>—</x:v>
      </x:c>
      <x:c r="L900" s="31" t="str">
        <x:v>포함</x:v>
      </x:c>
      <x:c r="M900" s="31" t="str">
        <x:v>—</x:v>
      </x:c>
    </x:row>
    <x:row r="901">
      <x:c r="A901" s="34" t="n">
        <x:v>897</x:v>
      </x:c>
      <x:c r="B901" s="30" t="str">
        <x:v>레이스포스</x:v>
      </x:c>
      <x:c r="C901" s="30" t="str">
        <x:v>spectrier</x:v>
      </x:c>
      <x:c r="D901" s="36" t="n">
        <x:v>8</x:v>
      </x:c>
      <x:c r="E901" s="31" t="str">
        <x:v>—</x:v>
      </x:c>
      <x:c r="F901" s="31" t="str">
        <x:v>—</x:v>
      </x:c>
      <x:c r="G901" s="31" t="str">
        <x:v>—</x:v>
      </x:c>
      <x:c r="H901" s="31" t="str">
        <x:v>—</x:v>
      </x:c>
      <x:c r="I901" s="31" t="str">
        <x:v>—</x:v>
      </x:c>
      <x:c r="J901" s="31" t="str">
        <x:v>—</x:v>
      </x:c>
      <x:c r="K901" s="31" t="str">
        <x:v>—</x:v>
      </x:c>
      <x:c r="L901" s="31" t="str">
        <x:v>포함</x:v>
      </x:c>
      <x:c r="M901" s="31" t="str">
        <x:v>—</x:v>
      </x:c>
    </x:row>
    <x:row r="902">
      <x:c r="A902" s="34" t="n">
        <x:v>898</x:v>
      </x:c>
      <x:c r="B902" s="30" t="str">
        <x:v>버드렉스</x:v>
      </x:c>
      <x:c r="C902" s="30" t="str">
        <x:v>calyrex</x:v>
      </x:c>
      <x:c r="D902" s="36" t="n">
        <x:v>8</x:v>
      </x:c>
      <x:c r="E902" s="31" t="str">
        <x:v>—</x:v>
      </x:c>
      <x:c r="F902" s="31" t="str">
        <x:v>—</x:v>
      </x:c>
      <x:c r="G902" s="31" t="str">
        <x:v>—</x:v>
      </x:c>
      <x:c r="H902" s="31" t="str">
        <x:v>—</x:v>
      </x:c>
      <x:c r="I902" s="31" t="str">
        <x:v>—</x:v>
      </x:c>
      <x:c r="J902" s="31" t="str">
        <x:v>—</x:v>
      </x:c>
      <x:c r="K902" s="31" t="str">
        <x:v>—</x:v>
      </x:c>
      <x:c r="L902" s="31" t="str">
        <x:v>포함</x:v>
      </x:c>
      <x:c r="M902" s="31" t="str">
        <x:v>—</x:v>
      </x:c>
    </x:row>
    <x:row r="903">
      <x:c r="A903" s="34" t="n">
        <x:v>899</x:v>
      </x:c>
      <x:c r="B903" s="30" t="str">
        <x:v>신비록</x:v>
      </x:c>
      <x:c r="C903" s="30" t="str">
        <x:v>wyrdeer</x:v>
      </x:c>
      <x:c r="D903" s="36" t="n">
        <x:v>8</x:v>
      </x:c>
      <x:c r="E903" s="31" t="str">
        <x:v>—</x:v>
      </x:c>
      <x:c r="F903" s="31" t="str">
        <x:v>—</x:v>
      </x:c>
      <x:c r="G903" s="31" t="str">
        <x:v>—</x:v>
      </x:c>
      <x:c r="H903" s="31" t="str">
        <x:v>—</x:v>
      </x:c>
      <x:c r="I903" s="31" t="str">
        <x:v>—</x:v>
      </x:c>
      <x:c r="J903" s="31" t="str">
        <x:v>—</x:v>
      </x:c>
      <x:c r="K903" s="31" t="str">
        <x:v>—</x:v>
      </x:c>
      <x:c r="L903" s="31" t="str">
        <x:v>—</x:v>
      </x:c>
      <x:c r="M903" s="31" t="str">
        <x:v>—</x:v>
      </x:c>
    </x:row>
    <x:row r="904">
      <x:c r="A904" s="34" t="n">
        <x:v>900</x:v>
      </x:c>
      <x:c r="B904" s="30" t="str">
        <x:v>사마자르</x:v>
      </x:c>
      <x:c r="C904" s="30" t="str">
        <x:v>kleavor</x:v>
      </x:c>
      <x:c r="D904" s="36" t="n">
        <x:v>8</x:v>
      </x:c>
      <x:c r="E904" s="31" t="str">
        <x:v>—</x:v>
      </x:c>
      <x:c r="F904" s="31" t="str">
        <x:v>—</x:v>
      </x:c>
      <x:c r="G904" s="31" t="str">
        <x:v>—</x:v>
      </x:c>
      <x:c r="H904" s="31" t="str">
        <x:v>—</x:v>
      </x:c>
      <x:c r="I904" s="31" t="str">
        <x:v>—</x:v>
      </x:c>
      <x:c r="J904" s="31" t="str">
        <x:v>—</x:v>
      </x:c>
      <x:c r="K904" s="31" t="str">
        <x:v>—</x:v>
      </x:c>
      <x:c r="L904" s="31" t="str">
        <x:v>—</x:v>
      </x:c>
      <x:c r="M904" s="31" t="str">
        <x:v>포함</x:v>
      </x:c>
    </x:row>
    <x:row r="905">
      <x:c r="A905" s="34" t="n">
        <x:v>901</x:v>
      </x:c>
      <x:c r="B905" s="30" t="str">
        <x:v>다투곰</x:v>
      </x:c>
      <x:c r="C905" s="30" t="str">
        <x:v>ursaluna</x:v>
      </x:c>
      <x:c r="D905" s="36" t="n">
        <x:v>8</x:v>
      </x:c>
      <x:c r="E905" s="31" t="str">
        <x:v>—</x:v>
      </x:c>
      <x:c r="F905" s="31" t="str">
        <x:v>—</x:v>
      </x:c>
      <x:c r="G905" s="31" t="str">
        <x:v>—</x:v>
      </x:c>
      <x:c r="H905" s="31" t="str">
        <x:v>—</x:v>
      </x:c>
      <x:c r="I905" s="31" t="str">
        <x:v>—</x:v>
      </x:c>
      <x:c r="J905" s="31" t="str">
        <x:v>—</x:v>
      </x:c>
      <x:c r="K905" s="31" t="str">
        <x:v>—</x:v>
      </x:c>
      <x:c r="L905" s="31" t="str">
        <x:v>—</x:v>
      </x:c>
      <x:c r="M905" s="31" t="str">
        <x:v>포함</x:v>
      </x:c>
    </x:row>
    <x:row r="906">
      <x:c r="A906" s="34" t="n">
        <x:v>902</x:v>
      </x:c>
      <x:c r="B906" s="30" t="str">
        <x:v>대쓰여너</x:v>
      </x:c>
      <x:c r="C906" s="30" t="str">
        <x:v>basculegion</x:v>
      </x:c>
      <x:c r="D906" s="36" t="n">
        <x:v>8</x:v>
      </x:c>
      <x:c r="E906" s="31" t="str">
        <x:v>—</x:v>
      </x:c>
      <x:c r="F906" s="31" t="str">
        <x:v>—</x:v>
      </x:c>
      <x:c r="G906" s="31" t="str">
        <x:v>—</x:v>
      </x:c>
      <x:c r="H906" s="31" t="str">
        <x:v>—</x:v>
      </x:c>
      <x:c r="I906" s="31" t="str">
        <x:v>—</x:v>
      </x:c>
      <x:c r="J906" s="31" t="str">
        <x:v>—</x:v>
      </x:c>
      <x:c r="K906" s="31" t="str">
        <x:v>—</x:v>
      </x:c>
      <x:c r="L906" s="31" t="str">
        <x:v>—</x:v>
      </x:c>
      <x:c r="M906" s="31" t="str">
        <x:v>포함</x:v>
      </x:c>
    </x:row>
    <x:row r="907">
      <x:c r="A907" s="34" t="n">
        <x:v>903</x:v>
      </x:c>
      <x:c r="B907" s="30" t="str">
        <x:v>포푸니크</x:v>
      </x:c>
      <x:c r="C907" s="30" t="str">
        <x:v>sneasler</x:v>
      </x:c>
      <x:c r="D907" s="36" t="n">
        <x:v>8</x:v>
      </x:c>
      <x:c r="E907" s="31" t="str">
        <x:v>—</x:v>
      </x:c>
      <x:c r="F907" s="31" t="str">
        <x:v>—</x:v>
      </x:c>
      <x:c r="G907" s="31" t="str">
        <x:v>—</x:v>
      </x:c>
      <x:c r="H907" s="31" t="str">
        <x:v>—</x:v>
      </x:c>
      <x:c r="I907" s="31" t="str">
        <x:v>—</x:v>
      </x:c>
      <x:c r="J907" s="31" t="str">
        <x:v>—</x:v>
      </x:c>
      <x:c r="K907" s="31" t="str">
        <x:v>—</x:v>
      </x:c>
      <x:c r="L907" s="31" t="str">
        <x:v>—</x:v>
      </x:c>
      <x:c r="M907" s="31" t="str">
        <x:v>—</x:v>
      </x:c>
    </x:row>
    <x:row r="908">
      <x:c r="A908" s="34" t="n">
        <x:v>904</x:v>
      </x:c>
      <x:c r="B908" s="30" t="str">
        <x:v>장침바루</x:v>
      </x:c>
      <x:c r="C908" s="30" t="str">
        <x:v>overqwil</x:v>
      </x:c>
      <x:c r="D908" s="36" t="n">
        <x:v>8</x:v>
      </x:c>
      <x:c r="E908" s="31" t="str">
        <x:v>—</x:v>
      </x:c>
      <x:c r="F908" s="31" t="str">
        <x:v>—</x:v>
      </x:c>
      <x:c r="G908" s="31" t="str">
        <x:v>—</x:v>
      </x:c>
      <x:c r="H908" s="31" t="str">
        <x:v>—</x:v>
      </x:c>
      <x:c r="I908" s="31" t="str">
        <x:v>—</x:v>
      </x:c>
      <x:c r="J908" s="31" t="str">
        <x:v>—</x:v>
      </x:c>
      <x:c r="K908" s="31" t="str">
        <x:v>—</x:v>
      </x:c>
      <x:c r="L908" s="31" t="str">
        <x:v>—</x:v>
      </x:c>
      <x:c r="M908" s="31" t="str">
        <x:v>포함</x:v>
      </x:c>
    </x:row>
    <x:row r="909">
      <x:c r="A909" s="34" t="n">
        <x:v>905</x:v>
      </x:c>
      <x:c r="B909" s="30" t="str">
        <x:v>러브로스</x:v>
      </x:c>
      <x:c r="C909" s="30" t="str">
        <x:v>enamorus</x:v>
      </x:c>
      <x:c r="D909" s="36" t="n">
        <x:v>8</x:v>
      </x:c>
      <x:c r="E909" s="31" t="str">
        <x:v>—</x:v>
      </x:c>
      <x:c r="F909" s="31" t="str">
        <x:v>—</x:v>
      </x:c>
      <x:c r="G909" s="31" t="str">
        <x:v>—</x:v>
      </x:c>
      <x:c r="H909" s="31" t="str">
        <x:v>—</x:v>
      </x:c>
      <x:c r="I909" s="31" t="str">
        <x:v>—</x:v>
      </x:c>
      <x:c r="J909" s="31" t="str">
        <x:v>—</x:v>
      </x:c>
      <x:c r="K909" s="31" t="str">
        <x:v>—</x:v>
      </x:c>
      <x:c r="L909" s="31" t="str">
        <x:v>—</x:v>
      </x:c>
      <x:c r="M909" s="31" t="str">
        <x:v>—</x:v>
      </x:c>
    </x:row>
    <x:row r="910">
      <x:c r="A910" s="34" t="n">
        <x:v>906</x:v>
      </x:c>
      <x:c r="B910" s="30" t="str">
        <x:v>나오하</x:v>
      </x:c>
      <x:c r="C910" s="30" t="str">
        <x:v>sprigatito</x:v>
      </x:c>
      <x:c r="D910" s="36" t="n">
        <x:v>9</x:v>
      </x:c>
      <x:c r="E910" s="31" t="str">
        <x:v>—</x:v>
      </x:c>
      <x:c r="F910" s="31" t="str">
        <x:v>—</x:v>
      </x:c>
      <x:c r="G910" s="31" t="str">
        <x:v>—</x:v>
      </x:c>
      <x:c r="H910" s="31" t="str">
        <x:v>—</x:v>
      </x:c>
      <x:c r="I910" s="31" t="str">
        <x:v>—</x:v>
      </x:c>
      <x:c r="J910" s="31" t="str">
        <x:v>—</x:v>
      </x:c>
      <x:c r="K910" s="31" t="str">
        <x:v>—</x:v>
      </x:c>
      <x:c r="L910" s="31" t="str">
        <x:v>—</x:v>
      </x:c>
      <x:c r="M910" s="31" t="str">
        <x:v>포함</x:v>
      </x:c>
    </x:row>
    <x:row r="911">
      <x:c r="A911" s="34" t="n">
        <x:v>907</x:v>
      </x:c>
      <x:c r="B911" s="30" t="str">
        <x:v>나로테</x:v>
      </x:c>
      <x:c r="C911" s="30" t="str">
        <x:v>floragato</x:v>
      </x:c>
      <x:c r="D911" s="36" t="n">
        <x:v>9</x:v>
      </x:c>
      <x:c r="E911" s="31" t="str">
        <x:v>—</x:v>
      </x:c>
      <x:c r="F911" s="31" t="str">
        <x:v>—</x:v>
      </x:c>
      <x:c r="G911" s="31" t="str">
        <x:v>—</x:v>
      </x:c>
      <x:c r="H911" s="31" t="str">
        <x:v>—</x:v>
      </x:c>
      <x:c r="I911" s="31" t="str">
        <x:v>—</x:v>
      </x:c>
      <x:c r="J911" s="31" t="str">
        <x:v>—</x:v>
      </x:c>
      <x:c r="K911" s="31" t="str">
        <x:v>—</x:v>
      </x:c>
      <x:c r="L911" s="31" t="str">
        <x:v>—</x:v>
      </x:c>
      <x:c r="M911" s="31" t="str">
        <x:v>포함</x:v>
      </x:c>
    </x:row>
    <x:row r="912">
      <x:c r="A912" s="34" t="n">
        <x:v>908</x:v>
      </x:c>
      <x:c r="B912" s="30" t="str">
        <x:v>마스카나</x:v>
      </x:c>
      <x:c r="C912" s="30" t="str">
        <x:v>meowscarada</x:v>
      </x:c>
      <x:c r="D912" s="36" t="n">
        <x:v>9</x:v>
      </x:c>
      <x:c r="E912" s="31" t="str">
        <x:v>—</x:v>
      </x:c>
      <x:c r="F912" s="31" t="str">
        <x:v>—</x:v>
      </x:c>
      <x:c r="G912" s="31" t="str">
        <x:v>—</x:v>
      </x:c>
      <x:c r="H912" s="31" t="str">
        <x:v>—</x:v>
      </x:c>
      <x:c r="I912" s="31" t="str">
        <x:v>—</x:v>
      </x:c>
      <x:c r="J912" s="31" t="str">
        <x:v>—</x:v>
      </x:c>
      <x:c r="K912" s="31" t="str">
        <x:v>—</x:v>
      </x:c>
      <x:c r="L912" s="31" t="str">
        <x:v>—</x:v>
      </x:c>
      <x:c r="M912" s="31" t="str">
        <x:v>포함</x:v>
      </x:c>
    </x:row>
    <x:row r="913">
      <x:c r="A913" s="34" t="n">
        <x:v>909</x:v>
      </x:c>
      <x:c r="B913" s="30" t="str">
        <x:v>뜨아거</x:v>
      </x:c>
      <x:c r="C913" s="30" t="str">
        <x:v>fuecoco</x:v>
      </x:c>
      <x:c r="D913" s="36" t="n">
        <x:v>9</x:v>
      </x:c>
      <x:c r="E913" s="31" t="str">
        <x:v>—</x:v>
      </x:c>
      <x:c r="F913" s="31" t="str">
        <x:v>—</x:v>
      </x:c>
      <x:c r="G913" s="31" t="str">
        <x:v>—</x:v>
      </x:c>
      <x:c r="H913" s="31" t="str">
        <x:v>—</x:v>
      </x:c>
      <x:c r="I913" s="31" t="str">
        <x:v>—</x:v>
      </x:c>
      <x:c r="J913" s="31" t="str">
        <x:v>—</x:v>
      </x:c>
      <x:c r="K913" s="31" t="str">
        <x:v>—</x:v>
      </x:c>
      <x:c r="L913" s="31" t="str">
        <x:v>—</x:v>
      </x:c>
      <x:c r="M913" s="31" t="str">
        <x:v>포함</x:v>
      </x:c>
    </x:row>
    <x:row r="914">
      <x:c r="A914" s="34" t="n">
        <x:v>910</x:v>
      </x:c>
      <x:c r="B914" s="30" t="str">
        <x:v>악뜨거</x:v>
      </x:c>
      <x:c r="C914" s="30" t="str">
        <x:v>crocalor</x:v>
      </x:c>
      <x:c r="D914" s="36" t="n">
        <x:v>9</x:v>
      </x:c>
      <x:c r="E914" s="31" t="str">
        <x:v>—</x:v>
      </x:c>
      <x:c r="F914" s="31" t="str">
        <x:v>—</x:v>
      </x:c>
      <x:c r="G914" s="31" t="str">
        <x:v>—</x:v>
      </x:c>
      <x:c r="H914" s="31" t="str">
        <x:v>—</x:v>
      </x:c>
      <x:c r="I914" s="31" t="str">
        <x:v>—</x:v>
      </x:c>
      <x:c r="J914" s="31" t="str">
        <x:v>—</x:v>
      </x:c>
      <x:c r="K914" s="31" t="str">
        <x:v>—</x:v>
      </x:c>
      <x:c r="L914" s="31" t="str">
        <x:v>—</x:v>
      </x:c>
      <x:c r="M914" s="31" t="str">
        <x:v>포함</x:v>
      </x:c>
    </x:row>
    <x:row r="915">
      <x:c r="A915" s="34" t="n">
        <x:v>911</x:v>
      </x:c>
      <x:c r="B915" s="30" t="str">
        <x:v>라우드본</x:v>
      </x:c>
      <x:c r="C915" s="30" t="str">
        <x:v>skeledirge</x:v>
      </x:c>
      <x:c r="D915" s="36" t="n">
        <x:v>9</x:v>
      </x:c>
      <x:c r="E915" s="31" t="str">
        <x:v>—</x:v>
      </x:c>
      <x:c r="F915" s="31" t="str">
        <x:v>—</x:v>
      </x:c>
      <x:c r="G915" s="31" t="str">
        <x:v>—</x:v>
      </x:c>
      <x:c r="H915" s="31" t="str">
        <x:v>—</x:v>
      </x:c>
      <x:c r="I915" s="31" t="str">
        <x:v>—</x:v>
      </x:c>
      <x:c r="J915" s="31" t="str">
        <x:v>—</x:v>
      </x:c>
      <x:c r="K915" s="31" t="str">
        <x:v>—</x:v>
      </x:c>
      <x:c r="L915" s="31" t="str">
        <x:v>—</x:v>
      </x:c>
      <x:c r="M915" s="31" t="str">
        <x:v>포함</x:v>
      </x:c>
    </x:row>
    <x:row r="916">
      <x:c r="A916" s="34" t="n">
        <x:v>912</x:v>
      </x:c>
      <x:c r="B916" s="30" t="str">
        <x:v>꾸왁스</x:v>
      </x:c>
      <x:c r="C916" s="30" t="str">
        <x:v>quaxly</x:v>
      </x:c>
      <x:c r="D916" s="36" t="n">
        <x:v>9</x:v>
      </x:c>
      <x:c r="E916" s="31" t="str">
        <x:v>—</x:v>
      </x:c>
      <x:c r="F916" s="31" t="str">
        <x:v>—</x:v>
      </x:c>
      <x:c r="G916" s="31" t="str">
        <x:v>—</x:v>
      </x:c>
      <x:c r="H916" s="31" t="str">
        <x:v>—</x:v>
      </x:c>
      <x:c r="I916" s="31" t="str">
        <x:v>—</x:v>
      </x:c>
      <x:c r="J916" s="31" t="str">
        <x:v>—</x:v>
      </x:c>
      <x:c r="K916" s="31" t="str">
        <x:v>—</x:v>
      </x:c>
      <x:c r="L916" s="31" t="str">
        <x:v>—</x:v>
      </x:c>
      <x:c r="M916" s="31" t="str">
        <x:v>포함</x:v>
      </x:c>
    </x:row>
    <x:row r="917">
      <x:c r="A917" s="34" t="n">
        <x:v>913</x:v>
      </x:c>
      <x:c r="B917" s="30" t="str">
        <x:v>아꾸왁</x:v>
      </x:c>
      <x:c r="C917" s="30" t="str">
        <x:v>quaxwell</x:v>
      </x:c>
      <x:c r="D917" s="36" t="n">
        <x:v>9</x:v>
      </x:c>
      <x:c r="E917" s="31" t="str">
        <x:v>—</x:v>
      </x:c>
      <x:c r="F917" s="31" t="str">
        <x:v>—</x:v>
      </x:c>
      <x:c r="G917" s="31" t="str">
        <x:v>—</x:v>
      </x:c>
      <x:c r="H917" s="31" t="str">
        <x:v>—</x:v>
      </x:c>
      <x:c r="I917" s="31" t="str">
        <x:v>—</x:v>
      </x:c>
      <x:c r="J917" s="31" t="str">
        <x:v>—</x:v>
      </x:c>
      <x:c r="K917" s="31" t="str">
        <x:v>—</x:v>
      </x:c>
      <x:c r="L917" s="31" t="str">
        <x:v>—</x:v>
      </x:c>
      <x:c r="M917" s="31" t="str">
        <x:v>포함</x:v>
      </x:c>
    </x:row>
    <x:row r="918">
      <x:c r="A918" s="34" t="n">
        <x:v>914</x:v>
      </x:c>
      <x:c r="B918" s="30" t="str">
        <x:v>웨이니발</x:v>
      </x:c>
      <x:c r="C918" s="30" t="str">
        <x:v>quaquaval</x:v>
      </x:c>
      <x:c r="D918" s="36" t="n">
        <x:v>9</x:v>
      </x:c>
      <x:c r="E918" s="31" t="str">
        <x:v>—</x:v>
      </x:c>
      <x:c r="F918" s="31" t="str">
        <x:v>—</x:v>
      </x:c>
      <x:c r="G918" s="31" t="str">
        <x:v>—</x:v>
      </x:c>
      <x:c r="H918" s="31" t="str">
        <x:v>—</x:v>
      </x:c>
      <x:c r="I918" s="31" t="str">
        <x:v>—</x:v>
      </x:c>
      <x:c r="J918" s="31" t="str">
        <x:v>—</x:v>
      </x:c>
      <x:c r="K918" s="31" t="str">
        <x:v>—</x:v>
      </x:c>
      <x:c r="L918" s="31" t="str">
        <x:v>—</x:v>
      </x:c>
      <x:c r="M918" s="31" t="str">
        <x:v>포함</x:v>
      </x:c>
    </x:row>
    <x:row r="919">
      <x:c r="A919" s="34" t="n">
        <x:v>915</x:v>
      </x:c>
      <x:c r="B919" s="30" t="str">
        <x:v>맛보돈</x:v>
      </x:c>
      <x:c r="C919" s="30" t="str">
        <x:v>lechonk</x:v>
      </x:c>
      <x:c r="D919" s="36" t="n">
        <x:v>9</x:v>
      </x:c>
      <x:c r="E919" s="31" t="str">
        <x:v>—</x:v>
      </x:c>
      <x:c r="F919" s="31" t="str">
        <x:v>—</x:v>
      </x:c>
      <x:c r="G919" s="31" t="str">
        <x:v>—</x:v>
      </x:c>
      <x:c r="H919" s="31" t="str">
        <x:v>—</x:v>
      </x:c>
      <x:c r="I919" s="31" t="str">
        <x:v>—</x:v>
      </x:c>
      <x:c r="J919" s="31" t="str">
        <x:v>—</x:v>
      </x:c>
      <x:c r="K919" s="31" t="str">
        <x:v>—</x:v>
      </x:c>
      <x:c r="L919" s="31" t="str">
        <x:v>—</x:v>
      </x:c>
      <x:c r="M919" s="31" t="str">
        <x:v>포함</x:v>
      </x:c>
    </x:row>
    <x:row r="920">
      <x:c r="A920" s="34" t="n">
        <x:v>916</x:v>
      </x:c>
      <x:c r="B920" s="30" t="str">
        <x:v>퍼퓨돈</x:v>
      </x:c>
      <x:c r="C920" s="30" t="str">
        <x:v>oinkologne</x:v>
      </x:c>
      <x:c r="D920" s="36" t="n">
        <x:v>9</x:v>
      </x:c>
      <x:c r="E920" s="31" t="str">
        <x:v>—</x:v>
      </x:c>
      <x:c r="F920" s="31" t="str">
        <x:v>—</x:v>
      </x:c>
      <x:c r="G920" s="31" t="str">
        <x:v>—</x:v>
      </x:c>
      <x:c r="H920" s="31" t="str">
        <x:v>—</x:v>
      </x:c>
      <x:c r="I920" s="31" t="str">
        <x:v>—</x:v>
      </x:c>
      <x:c r="J920" s="31" t="str">
        <x:v>—</x:v>
      </x:c>
      <x:c r="K920" s="31" t="str">
        <x:v>—</x:v>
      </x:c>
      <x:c r="L920" s="31" t="str">
        <x:v>—</x:v>
      </x:c>
      <x:c r="M920" s="31" t="str">
        <x:v>포함</x:v>
      </x:c>
    </x:row>
    <x:row r="921">
      <x:c r="A921" s="34" t="n">
        <x:v>917</x:v>
      </x:c>
      <x:c r="B921" s="30" t="str">
        <x:v>타랜툴라</x:v>
      </x:c>
      <x:c r="C921" s="30" t="str">
        <x:v>tarountula</x:v>
      </x:c>
      <x:c r="D921" s="36" t="n">
        <x:v>9</x:v>
      </x:c>
      <x:c r="E921" s="31" t="str">
        <x:v>—</x:v>
      </x:c>
      <x:c r="F921" s="31" t="str">
        <x:v>—</x:v>
      </x:c>
      <x:c r="G921" s="31" t="str">
        <x:v>—</x:v>
      </x:c>
      <x:c r="H921" s="31" t="str">
        <x:v>—</x:v>
      </x:c>
      <x:c r="I921" s="31" t="str">
        <x:v>—</x:v>
      </x:c>
      <x:c r="J921" s="31" t="str">
        <x:v>—</x:v>
      </x:c>
      <x:c r="K921" s="31" t="str">
        <x:v>—</x:v>
      </x:c>
      <x:c r="L921" s="31" t="str">
        <x:v>—</x:v>
      </x:c>
      <x:c r="M921" s="31" t="str">
        <x:v>포함</x:v>
      </x:c>
    </x:row>
    <x:row r="922">
      <x:c r="A922" s="34" t="n">
        <x:v>918</x:v>
      </x:c>
      <x:c r="B922" s="30" t="str">
        <x:v>트래피더</x:v>
      </x:c>
      <x:c r="C922" s="30" t="str">
        <x:v>spidops</x:v>
      </x:c>
      <x:c r="D922" s="36" t="n">
        <x:v>9</x:v>
      </x:c>
      <x:c r="E922" s="31" t="str">
        <x:v>—</x:v>
      </x:c>
      <x:c r="F922" s="31" t="str">
        <x:v>—</x:v>
      </x:c>
      <x:c r="G922" s="31" t="str">
        <x:v>—</x:v>
      </x:c>
      <x:c r="H922" s="31" t="str">
        <x:v>—</x:v>
      </x:c>
      <x:c r="I922" s="31" t="str">
        <x:v>—</x:v>
      </x:c>
      <x:c r="J922" s="31" t="str">
        <x:v>—</x:v>
      </x:c>
      <x:c r="K922" s="31" t="str">
        <x:v>—</x:v>
      </x:c>
      <x:c r="L922" s="31" t="str">
        <x:v>—</x:v>
      </x:c>
      <x:c r="M922" s="31" t="str">
        <x:v>포함</x:v>
      </x:c>
    </x:row>
    <x:row r="923">
      <x:c r="A923" s="34" t="n">
        <x:v>919</x:v>
      </x:c>
      <x:c r="B923" s="30" t="str">
        <x:v>콩알뚜기</x:v>
      </x:c>
      <x:c r="C923" s="30" t="str">
        <x:v>nymble</x:v>
      </x:c>
      <x:c r="D923" s="36" t="n">
        <x:v>9</x:v>
      </x:c>
      <x:c r="E923" s="31" t="str">
        <x:v>—</x:v>
      </x:c>
      <x:c r="F923" s="31" t="str">
        <x:v>—</x:v>
      </x:c>
      <x:c r="G923" s="31" t="str">
        <x:v>—</x:v>
      </x:c>
      <x:c r="H923" s="31" t="str">
        <x:v>—</x:v>
      </x:c>
      <x:c r="I923" s="31" t="str">
        <x:v>—</x:v>
      </x:c>
      <x:c r="J923" s="31" t="str">
        <x:v>—</x:v>
      </x:c>
      <x:c r="K923" s="31" t="str">
        <x:v>—</x:v>
      </x:c>
      <x:c r="L923" s="31" t="str">
        <x:v>—</x:v>
      </x:c>
      <x:c r="M923" s="31" t="str">
        <x:v>포함</x:v>
      </x:c>
    </x:row>
    <x:row r="924">
      <x:c r="A924" s="34" t="n">
        <x:v>920</x:v>
      </x:c>
      <x:c r="B924" s="30" t="str">
        <x:v>엑스레그</x:v>
      </x:c>
      <x:c r="C924" s="30" t="str">
        <x:v>lokix</x:v>
      </x:c>
      <x:c r="D924" s="36" t="n">
        <x:v>9</x:v>
      </x:c>
      <x:c r="E924" s="31" t="str">
        <x:v>—</x:v>
      </x:c>
      <x:c r="F924" s="31" t="str">
        <x:v>—</x:v>
      </x:c>
      <x:c r="G924" s="31" t="str">
        <x:v>—</x:v>
      </x:c>
      <x:c r="H924" s="31" t="str">
        <x:v>—</x:v>
      </x:c>
      <x:c r="I924" s="31" t="str">
        <x:v>—</x:v>
      </x:c>
      <x:c r="J924" s="31" t="str">
        <x:v>—</x:v>
      </x:c>
      <x:c r="K924" s="31" t="str">
        <x:v>—</x:v>
      </x:c>
      <x:c r="L924" s="31" t="str">
        <x:v>—</x:v>
      </x:c>
      <x:c r="M924" s="31" t="str">
        <x:v>포함</x:v>
      </x:c>
    </x:row>
    <x:row r="925">
      <x:c r="A925" s="34" t="n">
        <x:v>921</x:v>
      </x:c>
      <x:c r="B925" s="30" t="str">
        <x:v>빠모</x:v>
      </x:c>
      <x:c r="C925" s="30" t="str">
        <x:v>pawmi</x:v>
      </x:c>
      <x:c r="D925" s="36" t="n">
        <x:v>9</x:v>
      </x:c>
      <x:c r="E925" s="31" t="str">
        <x:v>—</x:v>
      </x:c>
      <x:c r="F925" s="31" t="str">
        <x:v>—</x:v>
      </x:c>
      <x:c r="G925" s="31" t="str">
        <x:v>—</x:v>
      </x:c>
      <x:c r="H925" s="31" t="str">
        <x:v>—</x:v>
      </x:c>
      <x:c r="I925" s="31" t="str">
        <x:v>—</x:v>
      </x:c>
      <x:c r="J925" s="31" t="str">
        <x:v>—</x:v>
      </x:c>
      <x:c r="K925" s="31" t="str">
        <x:v>—</x:v>
      </x:c>
      <x:c r="L925" s="31" t="str">
        <x:v>—</x:v>
      </x:c>
      <x:c r="M925" s="31" t="str">
        <x:v>포함</x:v>
      </x:c>
    </x:row>
    <x:row r="926">
      <x:c r="A926" s="34" t="n">
        <x:v>922</x:v>
      </x:c>
      <x:c r="B926" s="30" t="str">
        <x:v>빠모트</x:v>
      </x:c>
      <x:c r="C926" s="30" t="str">
        <x:v>pawmo</x:v>
      </x:c>
      <x:c r="D926" s="36" t="n">
        <x:v>9</x:v>
      </x:c>
      <x:c r="E926" s="31" t="str">
        <x:v>—</x:v>
      </x:c>
      <x:c r="F926" s="31" t="str">
        <x:v>—</x:v>
      </x:c>
      <x:c r="G926" s="31" t="str">
        <x:v>—</x:v>
      </x:c>
      <x:c r="H926" s="31" t="str">
        <x:v>—</x:v>
      </x:c>
      <x:c r="I926" s="31" t="str">
        <x:v>—</x:v>
      </x:c>
      <x:c r="J926" s="31" t="str">
        <x:v>—</x:v>
      </x:c>
      <x:c r="K926" s="31" t="str">
        <x:v>—</x:v>
      </x:c>
      <x:c r="L926" s="31" t="str">
        <x:v>—</x:v>
      </x:c>
      <x:c r="M926" s="31" t="str">
        <x:v>포함</x:v>
      </x:c>
    </x:row>
    <x:row r="927">
      <x:c r="A927" s="34" t="n">
        <x:v>923</x:v>
      </x:c>
      <x:c r="B927" s="30" t="str">
        <x:v>빠르모트</x:v>
      </x:c>
      <x:c r="C927" s="30" t="str">
        <x:v>pawmot</x:v>
      </x:c>
      <x:c r="D927" s="36" t="n">
        <x:v>9</x:v>
      </x:c>
      <x:c r="E927" s="31" t="str">
        <x:v>—</x:v>
      </x:c>
      <x:c r="F927" s="31" t="str">
        <x:v>—</x:v>
      </x:c>
      <x:c r="G927" s="31" t="str">
        <x:v>—</x:v>
      </x:c>
      <x:c r="H927" s="31" t="str">
        <x:v>—</x:v>
      </x:c>
      <x:c r="I927" s="31" t="str">
        <x:v>—</x:v>
      </x:c>
      <x:c r="J927" s="31" t="str">
        <x:v>—</x:v>
      </x:c>
      <x:c r="K927" s="31" t="str">
        <x:v>—</x:v>
      </x:c>
      <x:c r="L927" s="31" t="str">
        <x:v>—</x:v>
      </x:c>
      <x:c r="M927" s="31" t="str">
        <x:v>포함</x:v>
      </x:c>
    </x:row>
    <x:row r="928">
      <x:c r="A928" s="34" t="n">
        <x:v>924</x:v>
      </x:c>
      <x:c r="B928" s="30" t="str">
        <x:v>두리쥐</x:v>
      </x:c>
      <x:c r="C928" s="30" t="str">
        <x:v>tandemaus</x:v>
      </x:c>
      <x:c r="D928" s="36" t="n">
        <x:v>9</x:v>
      </x:c>
      <x:c r="E928" s="31" t="str">
        <x:v>—</x:v>
      </x:c>
      <x:c r="F928" s="31" t="str">
        <x:v>—</x:v>
      </x:c>
      <x:c r="G928" s="31" t="str">
        <x:v>—</x:v>
      </x:c>
      <x:c r="H928" s="31" t="str">
        <x:v>—</x:v>
      </x:c>
      <x:c r="I928" s="31" t="str">
        <x:v>—</x:v>
      </x:c>
      <x:c r="J928" s="31" t="str">
        <x:v>—</x:v>
      </x:c>
      <x:c r="K928" s="31" t="str">
        <x:v>—</x:v>
      </x:c>
      <x:c r="L928" s="31" t="str">
        <x:v>—</x:v>
      </x:c>
      <x:c r="M928" s="31" t="str">
        <x:v>포함</x:v>
      </x:c>
    </x:row>
    <x:row r="929">
      <x:c r="A929" s="34" t="n">
        <x:v>925</x:v>
      </x:c>
      <x:c r="B929" s="30" t="str">
        <x:v>파밀리쥐</x:v>
      </x:c>
      <x:c r="C929" s="30" t="str">
        <x:v>maushold</x:v>
      </x:c>
      <x:c r="D929" s="36" t="n">
        <x:v>9</x:v>
      </x:c>
      <x:c r="E929" s="31" t="str">
        <x:v>—</x:v>
      </x:c>
      <x:c r="F929" s="31" t="str">
        <x:v>—</x:v>
      </x:c>
      <x:c r="G929" s="31" t="str">
        <x:v>—</x:v>
      </x:c>
      <x:c r="H929" s="31" t="str">
        <x:v>—</x:v>
      </x:c>
      <x:c r="I929" s="31" t="str">
        <x:v>—</x:v>
      </x:c>
      <x:c r="J929" s="31" t="str">
        <x:v>—</x:v>
      </x:c>
      <x:c r="K929" s="31" t="str">
        <x:v>—</x:v>
      </x:c>
      <x:c r="L929" s="31" t="str">
        <x:v>—</x:v>
      </x:c>
      <x:c r="M929" s="31" t="str">
        <x:v>포함</x:v>
      </x:c>
    </x:row>
    <x:row r="930">
      <x:c r="A930" s="34" t="n">
        <x:v>926</x:v>
      </x:c>
      <x:c r="B930" s="30" t="str">
        <x:v>쫀도기</x:v>
      </x:c>
      <x:c r="C930" s="30" t="str">
        <x:v>fidough</x:v>
      </x:c>
      <x:c r="D930" s="36" t="n">
        <x:v>9</x:v>
      </x:c>
      <x:c r="E930" s="31" t="str">
        <x:v>—</x:v>
      </x:c>
      <x:c r="F930" s="31" t="str">
        <x:v>—</x:v>
      </x:c>
      <x:c r="G930" s="31" t="str">
        <x:v>—</x:v>
      </x:c>
      <x:c r="H930" s="31" t="str">
        <x:v>—</x:v>
      </x:c>
      <x:c r="I930" s="31" t="str">
        <x:v>—</x:v>
      </x:c>
      <x:c r="J930" s="31" t="str">
        <x:v>—</x:v>
      </x:c>
      <x:c r="K930" s="31" t="str">
        <x:v>—</x:v>
      </x:c>
      <x:c r="L930" s="31" t="str">
        <x:v>—</x:v>
      </x:c>
      <x:c r="M930" s="31" t="str">
        <x:v>포함</x:v>
      </x:c>
    </x:row>
    <x:row r="931">
      <x:c r="A931" s="34" t="n">
        <x:v>927</x:v>
      </x:c>
      <x:c r="B931" s="30" t="str">
        <x:v>바우첼</x:v>
      </x:c>
      <x:c r="C931" s="30" t="str">
        <x:v>dachsbun</x:v>
      </x:c>
      <x:c r="D931" s="36" t="n">
        <x:v>9</x:v>
      </x:c>
      <x:c r="E931" s="31" t="str">
        <x:v>—</x:v>
      </x:c>
      <x:c r="F931" s="31" t="str">
        <x:v>—</x:v>
      </x:c>
      <x:c r="G931" s="31" t="str">
        <x:v>—</x:v>
      </x:c>
      <x:c r="H931" s="31" t="str">
        <x:v>—</x:v>
      </x:c>
      <x:c r="I931" s="31" t="str">
        <x:v>—</x:v>
      </x:c>
      <x:c r="J931" s="31" t="str">
        <x:v>—</x:v>
      </x:c>
      <x:c r="K931" s="31" t="str">
        <x:v>—</x:v>
      </x:c>
      <x:c r="L931" s="31" t="str">
        <x:v>—</x:v>
      </x:c>
      <x:c r="M931" s="31" t="str">
        <x:v>포함</x:v>
      </x:c>
    </x:row>
    <x:row r="932">
      <x:c r="A932" s="34" t="n">
        <x:v>928</x:v>
      </x:c>
      <x:c r="B932" s="30" t="str">
        <x:v>미니브</x:v>
      </x:c>
      <x:c r="C932" s="30" t="str">
        <x:v>smoliv</x:v>
      </x:c>
      <x:c r="D932" s="36" t="n">
        <x:v>9</x:v>
      </x:c>
      <x:c r="E932" s="31" t="str">
        <x:v>—</x:v>
      </x:c>
      <x:c r="F932" s="31" t="str">
        <x:v>—</x:v>
      </x:c>
      <x:c r="G932" s="31" t="str">
        <x:v>—</x:v>
      </x:c>
      <x:c r="H932" s="31" t="str">
        <x:v>—</x:v>
      </x:c>
      <x:c r="I932" s="31" t="str">
        <x:v>—</x:v>
      </x:c>
      <x:c r="J932" s="31" t="str">
        <x:v>—</x:v>
      </x:c>
      <x:c r="K932" s="31" t="str">
        <x:v>—</x:v>
      </x:c>
      <x:c r="L932" s="31" t="str">
        <x:v>—</x:v>
      </x:c>
      <x:c r="M932" s="31" t="str">
        <x:v>포함</x:v>
      </x:c>
    </x:row>
    <x:row r="933">
      <x:c r="A933" s="34" t="n">
        <x:v>929</x:v>
      </x:c>
      <x:c r="B933" s="30" t="str">
        <x:v>올리뇨</x:v>
      </x:c>
      <x:c r="C933" s="30" t="str">
        <x:v>dolliv</x:v>
      </x:c>
      <x:c r="D933" s="36" t="n">
        <x:v>9</x:v>
      </x:c>
      <x:c r="E933" s="31" t="str">
        <x:v>—</x:v>
      </x:c>
      <x:c r="F933" s="31" t="str">
        <x:v>—</x:v>
      </x:c>
      <x:c r="G933" s="31" t="str">
        <x:v>—</x:v>
      </x:c>
      <x:c r="H933" s="31" t="str">
        <x:v>—</x:v>
      </x:c>
      <x:c r="I933" s="31" t="str">
        <x:v>—</x:v>
      </x:c>
      <x:c r="J933" s="31" t="str">
        <x:v>—</x:v>
      </x:c>
      <x:c r="K933" s="31" t="str">
        <x:v>—</x:v>
      </x:c>
      <x:c r="L933" s="31" t="str">
        <x:v>—</x:v>
      </x:c>
      <x:c r="M933" s="31" t="str">
        <x:v>포함</x:v>
      </x:c>
    </x:row>
    <x:row r="934">
      <x:c r="A934" s="34" t="n">
        <x:v>930</x:v>
      </x:c>
      <x:c r="B934" s="30" t="str">
        <x:v>올리르바</x:v>
      </x:c>
      <x:c r="C934" s="30" t="str">
        <x:v>arboliva</x:v>
      </x:c>
      <x:c r="D934" s="36" t="n">
        <x:v>9</x:v>
      </x:c>
      <x:c r="E934" s="31" t="str">
        <x:v>—</x:v>
      </x:c>
      <x:c r="F934" s="31" t="str">
        <x:v>—</x:v>
      </x:c>
      <x:c r="G934" s="31" t="str">
        <x:v>—</x:v>
      </x:c>
      <x:c r="H934" s="31" t="str">
        <x:v>—</x:v>
      </x:c>
      <x:c r="I934" s="31" t="str">
        <x:v>—</x:v>
      </x:c>
      <x:c r="J934" s="31" t="str">
        <x:v>—</x:v>
      </x:c>
      <x:c r="K934" s="31" t="str">
        <x:v>—</x:v>
      </x:c>
      <x:c r="L934" s="31" t="str">
        <x:v>—</x:v>
      </x:c>
      <x:c r="M934" s="31" t="str">
        <x:v>포함</x:v>
      </x:c>
    </x:row>
    <x:row r="935">
      <x:c r="A935" s="34" t="n">
        <x:v>931</x:v>
      </x:c>
      <x:c r="B935" s="30" t="str">
        <x:v>시비꼬</x:v>
      </x:c>
      <x:c r="C935" s="30" t="str">
        <x:v>squawkabilly</x:v>
      </x:c>
      <x:c r="D935" s="36" t="n">
        <x:v>9</x:v>
      </x:c>
      <x:c r="E935" s="31" t="str">
        <x:v>—</x:v>
      </x:c>
      <x:c r="F935" s="31" t="str">
        <x:v>—</x:v>
      </x:c>
      <x:c r="G935" s="31" t="str">
        <x:v>—</x:v>
      </x:c>
      <x:c r="H935" s="31" t="str">
        <x:v>—</x:v>
      </x:c>
      <x:c r="I935" s="31" t="str">
        <x:v>—</x:v>
      </x:c>
      <x:c r="J935" s="31" t="str">
        <x:v>—</x:v>
      </x:c>
      <x:c r="K935" s="31" t="str">
        <x:v>—</x:v>
      </x:c>
      <x:c r="L935" s="31" t="str">
        <x:v>—</x:v>
      </x:c>
      <x:c r="M935" s="31" t="str">
        <x:v>포함</x:v>
      </x:c>
    </x:row>
    <x:row r="936">
      <x:c r="A936" s="34" t="n">
        <x:v>932</x:v>
      </x:c>
      <x:c r="B936" s="30" t="str">
        <x:v>베베솔트</x:v>
      </x:c>
      <x:c r="C936" s="30" t="str">
        <x:v>nacli</x:v>
      </x:c>
      <x:c r="D936" s="36" t="n">
        <x:v>9</x:v>
      </x:c>
      <x:c r="E936" s="31" t="str">
        <x:v>—</x:v>
      </x:c>
      <x:c r="F936" s="31" t="str">
        <x:v>—</x:v>
      </x:c>
      <x:c r="G936" s="31" t="str">
        <x:v>—</x:v>
      </x:c>
      <x:c r="H936" s="31" t="str">
        <x:v>—</x:v>
      </x:c>
      <x:c r="I936" s="31" t="str">
        <x:v>—</x:v>
      </x:c>
      <x:c r="J936" s="31" t="str">
        <x:v>—</x:v>
      </x:c>
      <x:c r="K936" s="31" t="str">
        <x:v>—</x:v>
      </x:c>
      <x:c r="L936" s="31" t="str">
        <x:v>—</x:v>
      </x:c>
      <x:c r="M936" s="31" t="str">
        <x:v>포함</x:v>
      </x:c>
    </x:row>
    <x:row r="937">
      <x:c r="A937" s="34" t="n">
        <x:v>933</x:v>
      </x:c>
      <x:c r="B937" s="30" t="str">
        <x:v>스태솔트</x:v>
      </x:c>
      <x:c r="C937" s="30" t="str">
        <x:v>naclstack</x:v>
      </x:c>
      <x:c r="D937" s="36" t="n">
        <x:v>9</x:v>
      </x:c>
      <x:c r="E937" s="31" t="str">
        <x:v>—</x:v>
      </x:c>
      <x:c r="F937" s="31" t="str">
        <x:v>—</x:v>
      </x:c>
      <x:c r="G937" s="31" t="str">
        <x:v>—</x:v>
      </x:c>
      <x:c r="H937" s="31" t="str">
        <x:v>—</x:v>
      </x:c>
      <x:c r="I937" s="31" t="str">
        <x:v>—</x:v>
      </x:c>
      <x:c r="J937" s="31" t="str">
        <x:v>—</x:v>
      </x:c>
      <x:c r="K937" s="31" t="str">
        <x:v>—</x:v>
      </x:c>
      <x:c r="L937" s="31" t="str">
        <x:v>—</x:v>
      </x:c>
      <x:c r="M937" s="31" t="str">
        <x:v>포함</x:v>
      </x:c>
    </x:row>
    <x:row r="938">
      <x:c r="A938" s="34" t="n">
        <x:v>934</x:v>
      </x:c>
      <x:c r="B938" s="30" t="str">
        <x:v>콜로솔트</x:v>
      </x:c>
      <x:c r="C938" s="30" t="str">
        <x:v>garganacl</x:v>
      </x:c>
      <x:c r="D938" s="36" t="n">
        <x:v>9</x:v>
      </x:c>
      <x:c r="E938" s="31" t="str">
        <x:v>—</x:v>
      </x:c>
      <x:c r="F938" s="31" t="str">
        <x:v>—</x:v>
      </x:c>
      <x:c r="G938" s="31" t="str">
        <x:v>—</x:v>
      </x:c>
      <x:c r="H938" s="31" t="str">
        <x:v>—</x:v>
      </x:c>
      <x:c r="I938" s="31" t="str">
        <x:v>—</x:v>
      </x:c>
      <x:c r="J938" s="31" t="str">
        <x:v>—</x:v>
      </x:c>
      <x:c r="K938" s="31" t="str">
        <x:v>—</x:v>
      </x:c>
      <x:c r="L938" s="31" t="str">
        <x:v>—</x:v>
      </x:c>
      <x:c r="M938" s="31" t="str">
        <x:v>포함</x:v>
      </x:c>
    </x:row>
    <x:row r="939">
      <x:c r="A939" s="34" t="n">
        <x:v>935</x:v>
      </x:c>
      <x:c r="B939" s="30" t="str">
        <x:v>카르본</x:v>
      </x:c>
      <x:c r="C939" s="30" t="str">
        <x:v>charcadet</x:v>
      </x:c>
      <x:c r="D939" s="36" t="n">
        <x:v>9</x:v>
      </x:c>
      <x:c r="E939" s="31" t="str">
        <x:v>—</x:v>
      </x:c>
      <x:c r="F939" s="31" t="str">
        <x:v>—</x:v>
      </x:c>
      <x:c r="G939" s="31" t="str">
        <x:v>—</x:v>
      </x:c>
      <x:c r="H939" s="31" t="str">
        <x:v>—</x:v>
      </x:c>
      <x:c r="I939" s="31" t="str">
        <x:v>—</x:v>
      </x:c>
      <x:c r="J939" s="31" t="str">
        <x:v>—</x:v>
      </x:c>
      <x:c r="K939" s="31" t="str">
        <x:v>—</x:v>
      </x:c>
      <x:c r="L939" s="31" t="str">
        <x:v>—</x:v>
      </x:c>
      <x:c r="M939" s="31" t="str">
        <x:v>포함</x:v>
      </x:c>
    </x:row>
    <x:row r="940">
      <x:c r="A940" s="34" t="n">
        <x:v>936</x:v>
      </x:c>
      <x:c r="B940" s="30" t="str">
        <x:v>카디나르마</x:v>
      </x:c>
      <x:c r="C940" s="30" t="str">
        <x:v>armarouge</x:v>
      </x:c>
      <x:c r="D940" s="36" t="n">
        <x:v>9</x:v>
      </x:c>
      <x:c r="E940" s="31" t="str">
        <x:v>—</x:v>
      </x:c>
      <x:c r="F940" s="31" t="str">
        <x:v>—</x:v>
      </x:c>
      <x:c r="G940" s="31" t="str">
        <x:v>—</x:v>
      </x:c>
      <x:c r="H940" s="31" t="str">
        <x:v>—</x:v>
      </x:c>
      <x:c r="I940" s="31" t="str">
        <x:v>—</x:v>
      </x:c>
      <x:c r="J940" s="31" t="str">
        <x:v>—</x:v>
      </x:c>
      <x:c r="K940" s="31" t="str">
        <x:v>—</x:v>
      </x:c>
      <x:c r="L940" s="31" t="str">
        <x:v>—</x:v>
      </x:c>
      <x:c r="M940" s="31" t="str">
        <x:v>포함</x:v>
      </x:c>
    </x:row>
    <x:row r="941">
      <x:c r="A941" s="34" t="n">
        <x:v>937</x:v>
      </x:c>
      <x:c r="B941" s="30" t="str">
        <x:v>파라블레이즈</x:v>
      </x:c>
      <x:c r="C941" s="30" t="str">
        <x:v>ceruledge</x:v>
      </x:c>
      <x:c r="D941" s="36" t="n">
        <x:v>9</x:v>
      </x:c>
      <x:c r="E941" s="31" t="str">
        <x:v>—</x:v>
      </x:c>
      <x:c r="F941" s="31" t="str">
        <x:v>—</x:v>
      </x:c>
      <x:c r="G941" s="31" t="str">
        <x:v>—</x:v>
      </x:c>
      <x:c r="H941" s="31" t="str">
        <x:v>—</x:v>
      </x:c>
      <x:c r="I941" s="31" t="str">
        <x:v>—</x:v>
      </x:c>
      <x:c r="J941" s="31" t="str">
        <x:v>—</x:v>
      </x:c>
      <x:c r="K941" s="31" t="str">
        <x:v>—</x:v>
      </x:c>
      <x:c r="L941" s="31" t="str">
        <x:v>—</x:v>
      </x:c>
      <x:c r="M941" s="31" t="str">
        <x:v>포함</x:v>
      </x:c>
    </x:row>
    <x:row r="942">
      <x:c r="A942" s="34" t="n">
        <x:v>938</x:v>
      </x:c>
      <x:c r="B942" s="30" t="str">
        <x:v>빈나두</x:v>
      </x:c>
      <x:c r="C942" s="30" t="str">
        <x:v>tadbulb</x:v>
      </x:c>
      <x:c r="D942" s="36" t="n">
        <x:v>9</x:v>
      </x:c>
      <x:c r="E942" s="31" t="str">
        <x:v>—</x:v>
      </x:c>
      <x:c r="F942" s="31" t="str">
        <x:v>—</x:v>
      </x:c>
      <x:c r="G942" s="31" t="str">
        <x:v>—</x:v>
      </x:c>
      <x:c r="H942" s="31" t="str">
        <x:v>—</x:v>
      </x:c>
      <x:c r="I942" s="31" t="str">
        <x:v>—</x:v>
      </x:c>
      <x:c r="J942" s="31" t="str">
        <x:v>—</x:v>
      </x:c>
      <x:c r="K942" s="31" t="str">
        <x:v>—</x:v>
      </x:c>
      <x:c r="L942" s="31" t="str">
        <x:v>—</x:v>
      </x:c>
      <x:c r="M942" s="31" t="str">
        <x:v>포함</x:v>
      </x:c>
    </x:row>
    <x:row r="943">
      <x:c r="A943" s="34" t="n">
        <x:v>939</x:v>
      </x:c>
      <x:c r="B943" s="30" t="str">
        <x:v>찌리배리</x:v>
      </x:c>
      <x:c r="C943" s="30" t="str">
        <x:v>bellibolt</x:v>
      </x:c>
      <x:c r="D943" s="36" t="n">
        <x:v>9</x:v>
      </x:c>
      <x:c r="E943" s="31" t="str">
        <x:v>—</x:v>
      </x:c>
      <x:c r="F943" s="31" t="str">
        <x:v>—</x:v>
      </x:c>
      <x:c r="G943" s="31" t="str">
        <x:v>—</x:v>
      </x:c>
      <x:c r="H943" s="31" t="str">
        <x:v>—</x:v>
      </x:c>
      <x:c r="I943" s="31" t="str">
        <x:v>—</x:v>
      </x:c>
      <x:c r="J943" s="31" t="str">
        <x:v>—</x:v>
      </x:c>
      <x:c r="K943" s="31" t="str">
        <x:v>—</x:v>
      </x:c>
      <x:c r="L943" s="31" t="str">
        <x:v>—</x:v>
      </x:c>
      <x:c r="M943" s="31" t="str">
        <x:v>포함</x:v>
      </x:c>
    </x:row>
    <x:row r="944">
      <x:c r="A944" s="34" t="n">
        <x:v>940</x:v>
      </x:c>
      <x:c r="B944" s="30" t="str">
        <x:v>찌리비</x:v>
      </x:c>
      <x:c r="C944" s="30" t="str">
        <x:v>wattrel</x:v>
      </x:c>
      <x:c r="D944" s="36" t="n">
        <x:v>9</x:v>
      </x:c>
      <x:c r="E944" s="31" t="str">
        <x:v>—</x:v>
      </x:c>
      <x:c r="F944" s="31" t="str">
        <x:v>—</x:v>
      </x:c>
      <x:c r="G944" s="31" t="str">
        <x:v>—</x:v>
      </x:c>
      <x:c r="H944" s="31" t="str">
        <x:v>—</x:v>
      </x:c>
      <x:c r="I944" s="31" t="str">
        <x:v>—</x:v>
      </x:c>
      <x:c r="J944" s="31" t="str">
        <x:v>—</x:v>
      </x:c>
      <x:c r="K944" s="31" t="str">
        <x:v>—</x:v>
      </x:c>
      <x:c r="L944" s="31" t="str">
        <x:v>—</x:v>
      </x:c>
      <x:c r="M944" s="31" t="str">
        <x:v>포함</x:v>
      </x:c>
    </x:row>
    <x:row r="945">
      <x:c r="A945" s="34" t="n">
        <x:v>941</x:v>
      </x:c>
      <x:c r="B945" s="30" t="str">
        <x:v>찌리비크</x:v>
      </x:c>
      <x:c r="C945" s="30" t="str">
        <x:v>kilowattrel</x:v>
      </x:c>
      <x:c r="D945" s="36" t="n">
        <x:v>9</x:v>
      </x:c>
      <x:c r="E945" s="31" t="str">
        <x:v>—</x:v>
      </x:c>
      <x:c r="F945" s="31" t="str">
        <x:v>—</x:v>
      </x:c>
      <x:c r="G945" s="31" t="str">
        <x:v>—</x:v>
      </x:c>
      <x:c r="H945" s="31" t="str">
        <x:v>—</x:v>
      </x:c>
      <x:c r="I945" s="31" t="str">
        <x:v>—</x:v>
      </x:c>
      <x:c r="J945" s="31" t="str">
        <x:v>—</x:v>
      </x:c>
      <x:c r="K945" s="31" t="str">
        <x:v>—</x:v>
      </x:c>
      <x:c r="L945" s="31" t="str">
        <x:v>—</x:v>
      </x:c>
      <x:c r="M945" s="31" t="str">
        <x:v>포함</x:v>
      </x:c>
    </x:row>
    <x:row r="946">
      <x:c r="A946" s="34" t="n">
        <x:v>942</x:v>
      </x:c>
      <x:c r="B946" s="30" t="str">
        <x:v>오라티프</x:v>
      </x:c>
      <x:c r="C946" s="30" t="str">
        <x:v>maschiff</x:v>
      </x:c>
      <x:c r="D946" s="36" t="n">
        <x:v>9</x:v>
      </x:c>
      <x:c r="E946" s="31" t="str">
        <x:v>—</x:v>
      </x:c>
      <x:c r="F946" s="31" t="str">
        <x:v>—</x:v>
      </x:c>
      <x:c r="G946" s="31" t="str">
        <x:v>—</x:v>
      </x:c>
      <x:c r="H946" s="31" t="str">
        <x:v>—</x:v>
      </x:c>
      <x:c r="I946" s="31" t="str">
        <x:v>—</x:v>
      </x:c>
      <x:c r="J946" s="31" t="str">
        <x:v>—</x:v>
      </x:c>
      <x:c r="K946" s="31" t="str">
        <x:v>—</x:v>
      </x:c>
      <x:c r="L946" s="31" t="str">
        <x:v>—</x:v>
      </x:c>
      <x:c r="M946" s="31" t="str">
        <x:v>포함</x:v>
      </x:c>
    </x:row>
    <x:row r="947">
      <x:c r="A947" s="34" t="n">
        <x:v>943</x:v>
      </x:c>
      <x:c r="B947" s="30" t="str">
        <x:v>마피티프</x:v>
      </x:c>
      <x:c r="C947" s="30" t="str">
        <x:v>mabosstiff</x:v>
      </x:c>
      <x:c r="D947" s="36" t="n">
        <x:v>9</x:v>
      </x:c>
      <x:c r="E947" s="31" t="str">
        <x:v>—</x:v>
      </x:c>
      <x:c r="F947" s="31" t="str">
        <x:v>—</x:v>
      </x:c>
      <x:c r="G947" s="31" t="str">
        <x:v>—</x:v>
      </x:c>
      <x:c r="H947" s="31" t="str">
        <x:v>—</x:v>
      </x:c>
      <x:c r="I947" s="31" t="str">
        <x:v>—</x:v>
      </x:c>
      <x:c r="J947" s="31" t="str">
        <x:v>—</x:v>
      </x:c>
      <x:c r="K947" s="31" t="str">
        <x:v>—</x:v>
      </x:c>
      <x:c r="L947" s="31" t="str">
        <x:v>—</x:v>
      </x:c>
      <x:c r="M947" s="31" t="str">
        <x:v>포함</x:v>
      </x:c>
    </x:row>
    <x:row r="948">
      <x:c r="A948" s="34" t="n">
        <x:v>944</x:v>
      </x:c>
      <x:c r="B948" s="30" t="str">
        <x:v>땃쭈르</x:v>
      </x:c>
      <x:c r="C948" s="30" t="str">
        <x:v>shroodle</x:v>
      </x:c>
      <x:c r="D948" s="36" t="n">
        <x:v>9</x:v>
      </x:c>
      <x:c r="E948" s="31" t="str">
        <x:v>—</x:v>
      </x:c>
      <x:c r="F948" s="31" t="str">
        <x:v>—</x:v>
      </x:c>
      <x:c r="G948" s="31" t="str">
        <x:v>—</x:v>
      </x:c>
      <x:c r="H948" s="31" t="str">
        <x:v>—</x:v>
      </x:c>
      <x:c r="I948" s="31" t="str">
        <x:v>—</x:v>
      </x:c>
      <x:c r="J948" s="31" t="str">
        <x:v>—</x:v>
      </x:c>
      <x:c r="K948" s="31" t="str">
        <x:v>—</x:v>
      </x:c>
      <x:c r="L948" s="31" t="str">
        <x:v>—</x:v>
      </x:c>
      <x:c r="M948" s="31" t="str">
        <x:v>포함</x:v>
      </x:c>
    </x:row>
    <x:row r="949">
      <x:c r="A949" s="34" t="n">
        <x:v>945</x:v>
      </x:c>
      <x:c r="B949" s="30" t="str">
        <x:v>태깅구르</x:v>
      </x:c>
      <x:c r="C949" s="30" t="str">
        <x:v>grafaiai</x:v>
      </x:c>
      <x:c r="D949" s="36" t="n">
        <x:v>9</x:v>
      </x:c>
      <x:c r="E949" s="31" t="str">
        <x:v>—</x:v>
      </x:c>
      <x:c r="F949" s="31" t="str">
        <x:v>—</x:v>
      </x:c>
      <x:c r="G949" s="31" t="str">
        <x:v>—</x:v>
      </x:c>
      <x:c r="H949" s="31" t="str">
        <x:v>—</x:v>
      </x:c>
      <x:c r="I949" s="31" t="str">
        <x:v>—</x:v>
      </x:c>
      <x:c r="J949" s="31" t="str">
        <x:v>—</x:v>
      </x:c>
      <x:c r="K949" s="31" t="str">
        <x:v>—</x:v>
      </x:c>
      <x:c r="L949" s="31" t="str">
        <x:v>—</x:v>
      </x:c>
      <x:c r="M949" s="31" t="str">
        <x:v>포함</x:v>
      </x:c>
    </x:row>
    <x:row r="950">
      <x:c r="A950" s="34" t="n">
        <x:v>946</x:v>
      </x:c>
      <x:c r="B950" s="30" t="str">
        <x:v>그푸리</x:v>
      </x:c>
      <x:c r="C950" s="30" t="str">
        <x:v>bramblin</x:v>
      </x:c>
      <x:c r="D950" s="36" t="n">
        <x:v>9</x:v>
      </x:c>
      <x:c r="E950" s="31" t="str">
        <x:v>—</x:v>
      </x:c>
      <x:c r="F950" s="31" t="str">
        <x:v>—</x:v>
      </x:c>
      <x:c r="G950" s="31" t="str">
        <x:v>—</x:v>
      </x:c>
      <x:c r="H950" s="31" t="str">
        <x:v>—</x:v>
      </x:c>
      <x:c r="I950" s="31" t="str">
        <x:v>—</x:v>
      </x:c>
      <x:c r="J950" s="31" t="str">
        <x:v>—</x:v>
      </x:c>
      <x:c r="K950" s="31" t="str">
        <x:v>—</x:v>
      </x:c>
      <x:c r="L950" s="31" t="str">
        <x:v>—</x:v>
      </x:c>
      <x:c r="M950" s="31" t="str">
        <x:v>포함</x:v>
      </x:c>
    </x:row>
    <x:row r="951">
      <x:c r="A951" s="34" t="n">
        <x:v>947</x:v>
      </x:c>
      <x:c r="B951" s="30" t="str">
        <x:v>공푸리</x:v>
      </x:c>
      <x:c r="C951" s="30" t="str">
        <x:v>brambleghast</x:v>
      </x:c>
      <x:c r="D951" s="36" t="n">
        <x:v>9</x:v>
      </x:c>
      <x:c r="E951" s="31" t="str">
        <x:v>—</x:v>
      </x:c>
      <x:c r="F951" s="31" t="str">
        <x:v>—</x:v>
      </x:c>
      <x:c r="G951" s="31" t="str">
        <x:v>—</x:v>
      </x:c>
      <x:c r="H951" s="31" t="str">
        <x:v>—</x:v>
      </x:c>
      <x:c r="I951" s="31" t="str">
        <x:v>—</x:v>
      </x:c>
      <x:c r="J951" s="31" t="str">
        <x:v>—</x:v>
      </x:c>
      <x:c r="K951" s="31" t="str">
        <x:v>—</x:v>
      </x:c>
      <x:c r="L951" s="31" t="str">
        <x:v>—</x:v>
      </x:c>
      <x:c r="M951" s="31" t="str">
        <x:v>포함</x:v>
      </x:c>
    </x:row>
    <x:row r="952">
      <x:c r="A952" s="34" t="n">
        <x:v>948</x:v>
      </x:c>
      <x:c r="B952" s="30" t="str">
        <x:v>들눈해</x:v>
      </x:c>
      <x:c r="C952" s="30" t="str">
        <x:v>toedscool</x:v>
      </x:c>
      <x:c r="D952" s="36" t="n">
        <x:v>9</x:v>
      </x:c>
      <x:c r="E952" s="31" t="str">
        <x:v>—</x:v>
      </x:c>
      <x:c r="F952" s="31" t="str">
        <x:v>—</x:v>
      </x:c>
      <x:c r="G952" s="31" t="str">
        <x:v>—</x:v>
      </x:c>
      <x:c r="H952" s="31" t="str">
        <x:v>—</x:v>
      </x:c>
      <x:c r="I952" s="31" t="str">
        <x:v>—</x:v>
      </x:c>
      <x:c r="J952" s="31" t="str">
        <x:v>—</x:v>
      </x:c>
      <x:c r="K952" s="31" t="str">
        <x:v>—</x:v>
      </x:c>
      <x:c r="L952" s="31" t="str">
        <x:v>—</x:v>
      </x:c>
      <x:c r="M952" s="31" t="str">
        <x:v>포함</x:v>
      </x:c>
    </x:row>
    <x:row r="953">
      <x:c r="A953" s="34" t="n">
        <x:v>949</x:v>
      </x:c>
      <x:c r="B953" s="30" t="str">
        <x:v>육파리</x:v>
      </x:c>
      <x:c r="C953" s="30" t="str">
        <x:v>toedscruel</x:v>
      </x:c>
      <x:c r="D953" s="36" t="n">
        <x:v>9</x:v>
      </x:c>
      <x:c r="E953" s="31" t="str">
        <x:v>—</x:v>
      </x:c>
      <x:c r="F953" s="31" t="str">
        <x:v>—</x:v>
      </x:c>
      <x:c r="G953" s="31" t="str">
        <x:v>—</x:v>
      </x:c>
      <x:c r="H953" s="31" t="str">
        <x:v>—</x:v>
      </x:c>
      <x:c r="I953" s="31" t="str">
        <x:v>—</x:v>
      </x:c>
      <x:c r="J953" s="31" t="str">
        <x:v>—</x:v>
      </x:c>
      <x:c r="K953" s="31" t="str">
        <x:v>—</x:v>
      </x:c>
      <x:c r="L953" s="31" t="str">
        <x:v>—</x:v>
      </x:c>
      <x:c r="M953" s="31" t="str">
        <x:v>포함</x:v>
      </x:c>
    </x:row>
    <x:row r="954">
      <x:c r="A954" s="34" t="n">
        <x:v>950</x:v>
      </x:c>
      <x:c r="B954" s="30" t="str">
        <x:v>절벼게</x:v>
      </x:c>
      <x:c r="C954" s="30" t="str">
        <x:v>klawf</x:v>
      </x:c>
      <x:c r="D954" s="36" t="n">
        <x:v>9</x:v>
      </x:c>
      <x:c r="E954" s="31" t="str">
        <x:v>—</x:v>
      </x:c>
      <x:c r="F954" s="31" t="str">
        <x:v>—</x:v>
      </x:c>
      <x:c r="G954" s="31" t="str">
        <x:v>—</x:v>
      </x:c>
      <x:c r="H954" s="31" t="str">
        <x:v>—</x:v>
      </x:c>
      <x:c r="I954" s="31" t="str">
        <x:v>—</x:v>
      </x:c>
      <x:c r="J954" s="31" t="str">
        <x:v>—</x:v>
      </x:c>
      <x:c r="K954" s="31" t="str">
        <x:v>—</x:v>
      </x:c>
      <x:c r="L954" s="31" t="str">
        <x:v>—</x:v>
      </x:c>
      <x:c r="M954" s="31" t="str">
        <x:v>포함</x:v>
      </x:c>
    </x:row>
    <x:row r="955">
      <x:c r="A955" s="34" t="n">
        <x:v>951</x:v>
      </x:c>
      <x:c r="B955" s="30" t="str">
        <x:v>캡싸이</x:v>
      </x:c>
      <x:c r="C955" s="30" t="str">
        <x:v>capsakid</x:v>
      </x:c>
      <x:c r="D955" s="36" t="n">
        <x:v>9</x:v>
      </x:c>
      <x:c r="E955" s="31" t="str">
        <x:v>—</x:v>
      </x:c>
      <x:c r="F955" s="31" t="str">
        <x:v>—</x:v>
      </x:c>
      <x:c r="G955" s="31" t="str">
        <x:v>—</x:v>
      </x:c>
      <x:c r="H955" s="31" t="str">
        <x:v>—</x:v>
      </x:c>
      <x:c r="I955" s="31" t="str">
        <x:v>—</x:v>
      </x:c>
      <x:c r="J955" s="31" t="str">
        <x:v>—</x:v>
      </x:c>
      <x:c r="K955" s="31" t="str">
        <x:v>—</x:v>
      </x:c>
      <x:c r="L955" s="31" t="str">
        <x:v>—</x:v>
      </x:c>
      <x:c r="M955" s="31" t="str">
        <x:v>포함</x:v>
      </x:c>
    </x:row>
    <x:row r="956">
      <x:c r="A956" s="34" t="n">
        <x:v>952</x:v>
      </x:c>
      <x:c r="B956" s="30" t="str">
        <x:v>스코빌런</x:v>
      </x:c>
      <x:c r="C956" s="30" t="str">
        <x:v>scovillain</x:v>
      </x:c>
      <x:c r="D956" s="36" t="n">
        <x:v>9</x:v>
      </x:c>
      <x:c r="E956" s="31" t="str">
        <x:v>—</x:v>
      </x:c>
      <x:c r="F956" s="31" t="str">
        <x:v>—</x:v>
      </x:c>
      <x:c r="G956" s="31" t="str">
        <x:v>—</x:v>
      </x:c>
      <x:c r="H956" s="31" t="str">
        <x:v>—</x:v>
      </x:c>
      <x:c r="I956" s="31" t="str">
        <x:v>—</x:v>
      </x:c>
      <x:c r="J956" s="31" t="str">
        <x:v>—</x:v>
      </x:c>
      <x:c r="K956" s="31" t="str">
        <x:v>—</x:v>
      </x:c>
      <x:c r="L956" s="31" t="str">
        <x:v>—</x:v>
      </x:c>
      <x:c r="M956" s="31" t="str">
        <x:v>포함</x:v>
      </x:c>
    </x:row>
    <x:row r="957">
      <x:c r="A957" s="34" t="n">
        <x:v>953</x:v>
      </x:c>
      <x:c r="B957" s="30" t="str">
        <x:v>구르데</x:v>
      </x:c>
      <x:c r="C957" s="30" t="str">
        <x:v>rellor</x:v>
      </x:c>
      <x:c r="D957" s="36" t="n">
        <x:v>9</x:v>
      </x:c>
      <x:c r="E957" s="31" t="str">
        <x:v>—</x:v>
      </x:c>
      <x:c r="F957" s="31" t="str">
        <x:v>—</x:v>
      </x:c>
      <x:c r="G957" s="31" t="str">
        <x:v>—</x:v>
      </x:c>
      <x:c r="H957" s="31" t="str">
        <x:v>—</x:v>
      </x:c>
      <x:c r="I957" s="31" t="str">
        <x:v>—</x:v>
      </x:c>
      <x:c r="J957" s="31" t="str">
        <x:v>—</x:v>
      </x:c>
      <x:c r="K957" s="31" t="str">
        <x:v>—</x:v>
      </x:c>
      <x:c r="L957" s="31" t="str">
        <x:v>—</x:v>
      </x:c>
      <x:c r="M957" s="31" t="str">
        <x:v>포함</x:v>
      </x:c>
    </x:row>
    <x:row r="958">
      <x:c r="A958" s="34" t="n">
        <x:v>954</x:v>
      </x:c>
      <x:c r="B958" s="30" t="str">
        <x:v>베라카스</x:v>
      </x:c>
      <x:c r="C958" s="30" t="str">
        <x:v>rabsca</x:v>
      </x:c>
      <x:c r="D958" s="36" t="n">
        <x:v>9</x:v>
      </x:c>
      <x:c r="E958" s="31" t="str">
        <x:v>—</x:v>
      </x:c>
      <x:c r="F958" s="31" t="str">
        <x:v>—</x:v>
      </x:c>
      <x:c r="G958" s="31" t="str">
        <x:v>—</x:v>
      </x:c>
      <x:c r="H958" s="31" t="str">
        <x:v>—</x:v>
      </x:c>
      <x:c r="I958" s="31" t="str">
        <x:v>—</x:v>
      </x:c>
      <x:c r="J958" s="31" t="str">
        <x:v>—</x:v>
      </x:c>
      <x:c r="K958" s="31" t="str">
        <x:v>—</x:v>
      </x:c>
      <x:c r="L958" s="31" t="str">
        <x:v>—</x:v>
      </x:c>
      <x:c r="M958" s="31" t="str">
        <x:v>포함</x:v>
      </x:c>
    </x:row>
    <x:row r="959">
      <x:c r="A959" s="34" t="n">
        <x:v>955</x:v>
      </x:c>
      <x:c r="B959" s="30" t="str">
        <x:v>하느라기</x:v>
      </x:c>
      <x:c r="C959" s="30" t="str">
        <x:v>flittle</x:v>
      </x:c>
      <x:c r="D959" s="36" t="n">
        <x:v>9</x:v>
      </x:c>
      <x:c r="E959" s="31" t="str">
        <x:v>—</x:v>
      </x:c>
      <x:c r="F959" s="31" t="str">
        <x:v>—</x:v>
      </x:c>
      <x:c r="G959" s="31" t="str">
        <x:v>—</x:v>
      </x:c>
      <x:c r="H959" s="31" t="str">
        <x:v>—</x:v>
      </x:c>
      <x:c r="I959" s="31" t="str">
        <x:v>—</x:v>
      </x:c>
      <x:c r="J959" s="31" t="str">
        <x:v>—</x:v>
      </x:c>
      <x:c r="K959" s="31" t="str">
        <x:v>—</x:v>
      </x:c>
      <x:c r="L959" s="31" t="str">
        <x:v>—</x:v>
      </x:c>
      <x:c r="M959" s="31" t="str">
        <x:v>포함</x:v>
      </x:c>
    </x:row>
    <x:row r="960">
      <x:c r="A960" s="34" t="n">
        <x:v>956</x:v>
      </x:c>
      <x:c r="B960" s="30" t="str">
        <x:v>클레스퍼트라</x:v>
      </x:c>
      <x:c r="C960" s="30" t="str">
        <x:v>espathra</x:v>
      </x:c>
      <x:c r="D960" s="36" t="n">
        <x:v>9</x:v>
      </x:c>
      <x:c r="E960" s="31" t="str">
        <x:v>—</x:v>
      </x:c>
      <x:c r="F960" s="31" t="str">
        <x:v>—</x:v>
      </x:c>
      <x:c r="G960" s="31" t="str">
        <x:v>—</x:v>
      </x:c>
      <x:c r="H960" s="31" t="str">
        <x:v>—</x:v>
      </x:c>
      <x:c r="I960" s="31" t="str">
        <x:v>—</x:v>
      </x:c>
      <x:c r="J960" s="31" t="str">
        <x:v>—</x:v>
      </x:c>
      <x:c r="K960" s="31" t="str">
        <x:v>—</x:v>
      </x:c>
      <x:c r="L960" s="31" t="str">
        <x:v>—</x:v>
      </x:c>
      <x:c r="M960" s="31" t="str">
        <x:v>포함</x:v>
      </x:c>
    </x:row>
    <x:row r="961">
      <x:c r="A961" s="34" t="n">
        <x:v>957</x:v>
      </x:c>
      <x:c r="B961" s="30" t="str">
        <x:v>어리짱</x:v>
      </x:c>
      <x:c r="C961" s="30" t="str">
        <x:v>tinkatink</x:v>
      </x:c>
      <x:c r="D961" s="36" t="n">
        <x:v>9</x:v>
      </x:c>
      <x:c r="E961" s="31" t="str">
        <x:v>—</x:v>
      </x:c>
      <x:c r="F961" s="31" t="str">
        <x:v>—</x:v>
      </x:c>
      <x:c r="G961" s="31" t="str">
        <x:v>—</x:v>
      </x:c>
      <x:c r="H961" s="31" t="str">
        <x:v>—</x:v>
      </x:c>
      <x:c r="I961" s="31" t="str">
        <x:v>—</x:v>
      </x:c>
      <x:c r="J961" s="31" t="str">
        <x:v>—</x:v>
      </x:c>
      <x:c r="K961" s="31" t="str">
        <x:v>—</x:v>
      </x:c>
      <x:c r="L961" s="31" t="str">
        <x:v>—</x:v>
      </x:c>
      <x:c r="M961" s="31" t="str">
        <x:v>포함</x:v>
      </x:c>
    </x:row>
    <x:row r="962">
      <x:c r="A962" s="34" t="n">
        <x:v>958</x:v>
      </x:c>
      <x:c r="B962" s="30" t="str">
        <x:v>벼리짱</x:v>
      </x:c>
      <x:c r="C962" s="30" t="str">
        <x:v>tinkatuff</x:v>
      </x:c>
      <x:c r="D962" s="36" t="n">
        <x:v>9</x:v>
      </x:c>
      <x:c r="E962" s="31" t="str">
        <x:v>—</x:v>
      </x:c>
      <x:c r="F962" s="31" t="str">
        <x:v>—</x:v>
      </x:c>
      <x:c r="G962" s="31" t="str">
        <x:v>—</x:v>
      </x:c>
      <x:c r="H962" s="31" t="str">
        <x:v>—</x:v>
      </x:c>
      <x:c r="I962" s="31" t="str">
        <x:v>—</x:v>
      </x:c>
      <x:c r="J962" s="31" t="str">
        <x:v>—</x:v>
      </x:c>
      <x:c r="K962" s="31" t="str">
        <x:v>—</x:v>
      </x:c>
      <x:c r="L962" s="31" t="str">
        <x:v>—</x:v>
      </x:c>
      <x:c r="M962" s="31" t="str">
        <x:v>포함</x:v>
      </x:c>
    </x:row>
    <x:row r="963">
      <x:c r="A963" s="34" t="n">
        <x:v>959</x:v>
      </x:c>
      <x:c r="B963" s="30" t="str">
        <x:v>두드리짱</x:v>
      </x:c>
      <x:c r="C963" s="30" t="str">
        <x:v>tinkaton</x:v>
      </x:c>
      <x:c r="D963" s="36" t="n">
        <x:v>9</x:v>
      </x:c>
      <x:c r="E963" s="31" t="str">
        <x:v>—</x:v>
      </x:c>
      <x:c r="F963" s="31" t="str">
        <x:v>—</x:v>
      </x:c>
      <x:c r="G963" s="31" t="str">
        <x:v>—</x:v>
      </x:c>
      <x:c r="H963" s="31" t="str">
        <x:v>—</x:v>
      </x:c>
      <x:c r="I963" s="31" t="str">
        <x:v>—</x:v>
      </x:c>
      <x:c r="J963" s="31" t="str">
        <x:v>—</x:v>
      </x:c>
      <x:c r="K963" s="31" t="str">
        <x:v>—</x:v>
      </x:c>
      <x:c r="L963" s="31" t="str">
        <x:v>—</x:v>
      </x:c>
      <x:c r="M963" s="31" t="str">
        <x:v>포함</x:v>
      </x:c>
    </x:row>
    <x:row r="964">
      <x:c r="A964" s="34" t="n">
        <x:v>960</x:v>
      </x:c>
      <x:c r="B964" s="30" t="str">
        <x:v>바다그다</x:v>
      </x:c>
      <x:c r="C964" s="30" t="str">
        <x:v>wiglett</x:v>
      </x:c>
      <x:c r="D964" s="36" t="n">
        <x:v>9</x:v>
      </x:c>
      <x:c r="E964" s="31" t="str">
        <x:v>—</x:v>
      </x:c>
      <x:c r="F964" s="31" t="str">
        <x:v>—</x:v>
      </x:c>
      <x:c r="G964" s="31" t="str">
        <x:v>—</x:v>
      </x:c>
      <x:c r="H964" s="31" t="str">
        <x:v>—</x:v>
      </x:c>
      <x:c r="I964" s="31" t="str">
        <x:v>—</x:v>
      </x:c>
      <x:c r="J964" s="31" t="str">
        <x:v>—</x:v>
      </x:c>
      <x:c r="K964" s="31" t="str">
        <x:v>—</x:v>
      </x:c>
      <x:c r="L964" s="31" t="str">
        <x:v>—</x:v>
      </x:c>
      <x:c r="M964" s="31" t="str">
        <x:v>포함</x:v>
      </x:c>
    </x:row>
    <x:row r="965">
      <x:c r="A965" s="34" t="n">
        <x:v>961</x:v>
      </x:c>
      <x:c r="B965" s="30" t="str">
        <x:v>바닥트리오</x:v>
      </x:c>
      <x:c r="C965" s="30" t="str">
        <x:v>wugtrio</x:v>
      </x:c>
      <x:c r="D965" s="36" t="n">
        <x:v>9</x:v>
      </x:c>
      <x:c r="E965" s="31" t="str">
        <x:v>—</x:v>
      </x:c>
      <x:c r="F965" s="31" t="str">
        <x:v>—</x:v>
      </x:c>
      <x:c r="G965" s="31" t="str">
        <x:v>—</x:v>
      </x:c>
      <x:c r="H965" s="31" t="str">
        <x:v>—</x:v>
      </x:c>
      <x:c r="I965" s="31" t="str">
        <x:v>—</x:v>
      </x:c>
      <x:c r="J965" s="31" t="str">
        <x:v>—</x:v>
      </x:c>
      <x:c r="K965" s="31" t="str">
        <x:v>—</x:v>
      </x:c>
      <x:c r="L965" s="31" t="str">
        <x:v>—</x:v>
      </x:c>
      <x:c r="M965" s="31" t="str">
        <x:v>포함</x:v>
      </x:c>
    </x:row>
    <x:row r="966">
      <x:c r="A966" s="34" t="n">
        <x:v>962</x:v>
      </x:c>
      <x:c r="B966" s="30" t="str">
        <x:v>떨구새</x:v>
      </x:c>
      <x:c r="C966" s="30" t="str">
        <x:v>bombirdier</x:v>
      </x:c>
      <x:c r="D966" s="36" t="n">
        <x:v>9</x:v>
      </x:c>
      <x:c r="E966" s="31" t="str">
        <x:v>—</x:v>
      </x:c>
      <x:c r="F966" s="31" t="str">
        <x:v>—</x:v>
      </x:c>
      <x:c r="G966" s="31" t="str">
        <x:v>—</x:v>
      </x:c>
      <x:c r="H966" s="31" t="str">
        <x:v>—</x:v>
      </x:c>
      <x:c r="I966" s="31" t="str">
        <x:v>—</x:v>
      </x:c>
      <x:c r="J966" s="31" t="str">
        <x:v>—</x:v>
      </x:c>
      <x:c r="K966" s="31" t="str">
        <x:v>—</x:v>
      </x:c>
      <x:c r="L966" s="31" t="str">
        <x:v>—</x:v>
      </x:c>
      <x:c r="M966" s="31" t="str">
        <x:v>포함</x:v>
      </x:c>
    </x:row>
    <x:row r="967">
      <x:c r="A967" s="34" t="n">
        <x:v>963</x:v>
      </x:c>
      <x:c r="B967" s="30" t="str">
        <x:v>맨돌핀</x:v>
      </x:c>
      <x:c r="C967" s="30" t="str">
        <x:v>finizen</x:v>
      </x:c>
      <x:c r="D967" s="36" t="n">
        <x:v>9</x:v>
      </x:c>
      <x:c r="E967" s="31" t="str">
        <x:v>—</x:v>
      </x:c>
      <x:c r="F967" s="31" t="str">
        <x:v>—</x:v>
      </x:c>
      <x:c r="G967" s="31" t="str">
        <x:v>—</x:v>
      </x:c>
      <x:c r="H967" s="31" t="str">
        <x:v>—</x:v>
      </x:c>
      <x:c r="I967" s="31" t="str">
        <x:v>—</x:v>
      </x:c>
      <x:c r="J967" s="31" t="str">
        <x:v>—</x:v>
      </x:c>
      <x:c r="K967" s="31" t="str">
        <x:v>—</x:v>
      </x:c>
      <x:c r="L967" s="31" t="str">
        <x:v>—</x:v>
      </x:c>
      <x:c r="M967" s="31" t="str">
        <x:v>포함</x:v>
      </x:c>
    </x:row>
    <x:row r="968">
      <x:c r="A968" s="34" t="n">
        <x:v>964</x:v>
      </x:c>
      <x:c r="B968" s="30" t="str">
        <x:v>돌핀맨</x:v>
      </x:c>
      <x:c r="C968" s="30" t="str">
        <x:v>palafin</x:v>
      </x:c>
      <x:c r="D968" s="36" t="n">
        <x:v>9</x:v>
      </x:c>
      <x:c r="E968" s="31" t="str">
        <x:v>—</x:v>
      </x:c>
      <x:c r="F968" s="31" t="str">
        <x:v>—</x:v>
      </x:c>
      <x:c r="G968" s="31" t="str">
        <x:v>—</x:v>
      </x:c>
      <x:c r="H968" s="31" t="str">
        <x:v>—</x:v>
      </x:c>
      <x:c r="I968" s="31" t="str">
        <x:v>—</x:v>
      </x:c>
      <x:c r="J968" s="31" t="str">
        <x:v>—</x:v>
      </x:c>
      <x:c r="K968" s="31" t="str">
        <x:v>—</x:v>
      </x:c>
      <x:c r="L968" s="31" t="str">
        <x:v>—</x:v>
      </x:c>
      <x:c r="M968" s="31" t="str">
        <x:v>포함</x:v>
      </x:c>
    </x:row>
    <x:row r="969">
      <x:c r="A969" s="34" t="n">
        <x:v>965</x:v>
      </x:c>
      <x:c r="B969" s="30" t="str">
        <x:v>부르롱</x:v>
      </x:c>
      <x:c r="C969" s="30" t="str">
        <x:v>varoom</x:v>
      </x:c>
      <x:c r="D969" s="36" t="n">
        <x:v>9</x:v>
      </x:c>
      <x:c r="E969" s="31" t="str">
        <x:v>—</x:v>
      </x:c>
      <x:c r="F969" s="31" t="str">
        <x:v>—</x:v>
      </x:c>
      <x:c r="G969" s="31" t="str">
        <x:v>—</x:v>
      </x:c>
      <x:c r="H969" s="31" t="str">
        <x:v>—</x:v>
      </x:c>
      <x:c r="I969" s="31" t="str">
        <x:v>—</x:v>
      </x:c>
      <x:c r="J969" s="31" t="str">
        <x:v>—</x:v>
      </x:c>
      <x:c r="K969" s="31" t="str">
        <x:v>—</x:v>
      </x:c>
      <x:c r="L969" s="31" t="str">
        <x:v>—</x:v>
      </x:c>
      <x:c r="M969" s="31" t="str">
        <x:v>포함</x:v>
      </x:c>
    </x:row>
    <x:row r="970">
      <x:c r="A970" s="34" t="n">
        <x:v>966</x:v>
      </x:c>
      <x:c r="B970" s="30" t="str">
        <x:v>부르르룸</x:v>
      </x:c>
      <x:c r="C970" s="30" t="str">
        <x:v>revavroom</x:v>
      </x:c>
      <x:c r="D970" s="36" t="n">
        <x:v>9</x:v>
      </x:c>
      <x:c r="E970" s="31" t="str">
        <x:v>—</x:v>
      </x:c>
      <x:c r="F970" s="31" t="str">
        <x:v>—</x:v>
      </x:c>
      <x:c r="G970" s="31" t="str">
        <x:v>—</x:v>
      </x:c>
      <x:c r="H970" s="31" t="str">
        <x:v>—</x:v>
      </x:c>
      <x:c r="I970" s="31" t="str">
        <x:v>—</x:v>
      </x:c>
      <x:c r="J970" s="31" t="str">
        <x:v>—</x:v>
      </x:c>
      <x:c r="K970" s="31" t="str">
        <x:v>—</x:v>
      </x:c>
      <x:c r="L970" s="31" t="str">
        <x:v>—</x:v>
      </x:c>
      <x:c r="M970" s="31" t="str">
        <x:v>포함</x:v>
      </x:c>
    </x:row>
    <x:row r="971">
      <x:c r="A971" s="34" t="n">
        <x:v>967</x:v>
      </x:c>
      <x:c r="B971" s="30" t="str">
        <x:v>모토마</x:v>
      </x:c>
      <x:c r="C971" s="30" t="str">
        <x:v>cyclizar</x:v>
      </x:c>
      <x:c r="D971" s="36" t="n">
        <x:v>9</x:v>
      </x:c>
      <x:c r="E971" s="31" t="str">
        <x:v>—</x:v>
      </x:c>
      <x:c r="F971" s="31" t="str">
        <x:v>—</x:v>
      </x:c>
      <x:c r="G971" s="31" t="str">
        <x:v>—</x:v>
      </x:c>
      <x:c r="H971" s="31" t="str">
        <x:v>—</x:v>
      </x:c>
      <x:c r="I971" s="31" t="str">
        <x:v>—</x:v>
      </x:c>
      <x:c r="J971" s="31" t="str">
        <x:v>—</x:v>
      </x:c>
      <x:c r="K971" s="31" t="str">
        <x:v>—</x:v>
      </x:c>
      <x:c r="L971" s="31" t="str">
        <x:v>—</x:v>
      </x:c>
      <x:c r="M971" s="31" t="str">
        <x:v>포함</x:v>
      </x:c>
    </x:row>
    <x:row r="972">
      <x:c r="A972" s="34" t="n">
        <x:v>968</x:v>
      </x:c>
      <x:c r="B972" s="30" t="str">
        <x:v>꿈트렁</x:v>
      </x:c>
      <x:c r="C972" s="30" t="str">
        <x:v>orthworm</x:v>
      </x:c>
      <x:c r="D972" s="36" t="n">
        <x:v>9</x:v>
      </x:c>
      <x:c r="E972" s="31" t="str">
        <x:v>—</x:v>
      </x:c>
      <x:c r="F972" s="31" t="str">
        <x:v>—</x:v>
      </x:c>
      <x:c r="G972" s="31" t="str">
        <x:v>—</x:v>
      </x:c>
      <x:c r="H972" s="31" t="str">
        <x:v>—</x:v>
      </x:c>
      <x:c r="I972" s="31" t="str">
        <x:v>—</x:v>
      </x:c>
      <x:c r="J972" s="31" t="str">
        <x:v>—</x:v>
      </x:c>
      <x:c r="K972" s="31" t="str">
        <x:v>—</x:v>
      </x:c>
      <x:c r="L972" s="31" t="str">
        <x:v>—</x:v>
      </x:c>
      <x:c r="M972" s="31" t="str">
        <x:v>포함</x:v>
      </x:c>
    </x:row>
    <x:row r="973">
      <x:c r="A973" s="34" t="n">
        <x:v>969</x:v>
      </x:c>
      <x:c r="B973" s="30" t="str">
        <x:v>초롱순</x:v>
      </x:c>
      <x:c r="C973" s="30" t="str">
        <x:v>glimmet</x:v>
      </x:c>
      <x:c r="D973" s="36" t="n">
        <x:v>9</x:v>
      </x:c>
      <x:c r="E973" s="31" t="str">
        <x:v>—</x:v>
      </x:c>
      <x:c r="F973" s="31" t="str">
        <x:v>—</x:v>
      </x:c>
      <x:c r="G973" s="31" t="str">
        <x:v>—</x:v>
      </x:c>
      <x:c r="H973" s="31" t="str">
        <x:v>—</x:v>
      </x:c>
      <x:c r="I973" s="31" t="str">
        <x:v>—</x:v>
      </x:c>
      <x:c r="J973" s="31" t="str">
        <x:v>—</x:v>
      </x:c>
      <x:c r="K973" s="31" t="str">
        <x:v>—</x:v>
      </x:c>
      <x:c r="L973" s="31" t="str">
        <x:v>—</x:v>
      </x:c>
      <x:c r="M973" s="31" t="str">
        <x:v>포함</x:v>
      </x:c>
    </x:row>
    <x:row r="974">
      <x:c r="A974" s="34" t="n">
        <x:v>970</x:v>
      </x:c>
      <x:c r="B974" s="30" t="str">
        <x:v>킬라플로르</x:v>
      </x:c>
      <x:c r="C974" s="30" t="str">
        <x:v>glimmora</x:v>
      </x:c>
      <x:c r="D974" s="36" t="n">
        <x:v>9</x:v>
      </x:c>
      <x:c r="E974" s="31" t="str">
        <x:v>—</x:v>
      </x:c>
      <x:c r="F974" s="31" t="str">
        <x:v>—</x:v>
      </x:c>
      <x:c r="G974" s="31" t="str">
        <x:v>—</x:v>
      </x:c>
      <x:c r="H974" s="31" t="str">
        <x:v>—</x:v>
      </x:c>
      <x:c r="I974" s="31" t="str">
        <x:v>—</x:v>
      </x:c>
      <x:c r="J974" s="31" t="str">
        <x:v>—</x:v>
      </x:c>
      <x:c r="K974" s="31" t="str">
        <x:v>—</x:v>
      </x:c>
      <x:c r="L974" s="31" t="str">
        <x:v>—</x:v>
      </x:c>
      <x:c r="M974" s="31" t="str">
        <x:v>포함</x:v>
      </x:c>
    </x:row>
    <x:row r="975">
      <x:c r="A975" s="34" t="n">
        <x:v>971</x:v>
      </x:c>
      <x:c r="B975" s="30" t="str">
        <x:v>망망이</x:v>
      </x:c>
      <x:c r="C975" s="30" t="str">
        <x:v>greavard</x:v>
      </x:c>
      <x:c r="D975" s="36" t="n">
        <x:v>9</x:v>
      </x:c>
      <x:c r="E975" s="31" t="str">
        <x:v>—</x:v>
      </x:c>
      <x:c r="F975" s="31" t="str">
        <x:v>—</x:v>
      </x:c>
      <x:c r="G975" s="31" t="str">
        <x:v>—</x:v>
      </x:c>
      <x:c r="H975" s="31" t="str">
        <x:v>—</x:v>
      </x:c>
      <x:c r="I975" s="31" t="str">
        <x:v>—</x:v>
      </x:c>
      <x:c r="J975" s="31" t="str">
        <x:v>—</x:v>
      </x:c>
      <x:c r="K975" s="31" t="str">
        <x:v>—</x:v>
      </x:c>
      <x:c r="L975" s="31" t="str">
        <x:v>—</x:v>
      </x:c>
      <x:c r="M975" s="31" t="str">
        <x:v>포함</x:v>
      </x:c>
    </x:row>
    <x:row r="976">
      <x:c r="A976" s="34" t="n">
        <x:v>972</x:v>
      </x:c>
      <x:c r="B976" s="30" t="str">
        <x:v>묘두기</x:v>
      </x:c>
      <x:c r="C976" s="30" t="str">
        <x:v>houndstone</x:v>
      </x:c>
      <x:c r="D976" s="36" t="n">
        <x:v>9</x:v>
      </x:c>
      <x:c r="E976" s="31" t="str">
        <x:v>—</x:v>
      </x:c>
      <x:c r="F976" s="31" t="str">
        <x:v>—</x:v>
      </x:c>
      <x:c r="G976" s="31" t="str">
        <x:v>—</x:v>
      </x:c>
      <x:c r="H976" s="31" t="str">
        <x:v>—</x:v>
      </x:c>
      <x:c r="I976" s="31" t="str">
        <x:v>—</x:v>
      </x:c>
      <x:c r="J976" s="31" t="str">
        <x:v>—</x:v>
      </x:c>
      <x:c r="K976" s="31" t="str">
        <x:v>—</x:v>
      </x:c>
      <x:c r="L976" s="31" t="str">
        <x:v>—</x:v>
      </x:c>
      <x:c r="M976" s="31" t="str">
        <x:v>포함</x:v>
      </x:c>
    </x:row>
    <x:row r="977">
      <x:c r="A977" s="34" t="n">
        <x:v>973</x:v>
      </x:c>
      <x:c r="B977" s="30" t="str">
        <x:v>꼬이밍고</x:v>
      </x:c>
      <x:c r="C977" s="30" t="str">
        <x:v>flamigo</x:v>
      </x:c>
      <x:c r="D977" s="36" t="n">
        <x:v>9</x:v>
      </x:c>
      <x:c r="E977" s="31" t="str">
        <x:v>—</x:v>
      </x:c>
      <x:c r="F977" s="31" t="str">
        <x:v>—</x:v>
      </x:c>
      <x:c r="G977" s="31" t="str">
        <x:v>—</x:v>
      </x:c>
      <x:c r="H977" s="31" t="str">
        <x:v>—</x:v>
      </x:c>
      <x:c r="I977" s="31" t="str">
        <x:v>—</x:v>
      </x:c>
      <x:c r="J977" s="31" t="str">
        <x:v>—</x:v>
      </x:c>
      <x:c r="K977" s="31" t="str">
        <x:v>—</x:v>
      </x:c>
      <x:c r="L977" s="31" t="str">
        <x:v>—</x:v>
      </x:c>
      <x:c r="M977" s="31" t="str">
        <x:v>포함</x:v>
      </x:c>
    </x:row>
    <x:row r="978">
      <x:c r="A978" s="34" t="n">
        <x:v>974</x:v>
      </x:c>
      <x:c r="B978" s="30" t="str">
        <x:v>터벅고래</x:v>
      </x:c>
      <x:c r="C978" s="30" t="str">
        <x:v>cetoddle</x:v>
      </x:c>
      <x:c r="D978" s="36" t="n">
        <x:v>9</x:v>
      </x:c>
      <x:c r="E978" s="31" t="str">
        <x:v>—</x:v>
      </x:c>
      <x:c r="F978" s="31" t="str">
        <x:v>—</x:v>
      </x:c>
      <x:c r="G978" s="31" t="str">
        <x:v>—</x:v>
      </x:c>
      <x:c r="H978" s="31" t="str">
        <x:v>—</x:v>
      </x:c>
      <x:c r="I978" s="31" t="str">
        <x:v>—</x:v>
      </x:c>
      <x:c r="J978" s="31" t="str">
        <x:v>—</x:v>
      </x:c>
      <x:c r="K978" s="31" t="str">
        <x:v>—</x:v>
      </x:c>
      <x:c r="L978" s="31" t="str">
        <x:v>—</x:v>
      </x:c>
      <x:c r="M978" s="31" t="str">
        <x:v>포함</x:v>
      </x:c>
    </x:row>
    <x:row r="979">
      <x:c r="A979" s="34" t="n">
        <x:v>975</x:v>
      </x:c>
      <x:c r="B979" s="30" t="str">
        <x:v>우락고래</x:v>
      </x:c>
      <x:c r="C979" s="30" t="str">
        <x:v>cetitan</x:v>
      </x:c>
      <x:c r="D979" s="36" t="n">
        <x:v>9</x:v>
      </x:c>
      <x:c r="E979" s="31" t="str">
        <x:v>—</x:v>
      </x:c>
      <x:c r="F979" s="31" t="str">
        <x:v>—</x:v>
      </x:c>
      <x:c r="G979" s="31" t="str">
        <x:v>—</x:v>
      </x:c>
      <x:c r="H979" s="31" t="str">
        <x:v>—</x:v>
      </x:c>
      <x:c r="I979" s="31" t="str">
        <x:v>—</x:v>
      </x:c>
      <x:c r="J979" s="31" t="str">
        <x:v>—</x:v>
      </x:c>
      <x:c r="K979" s="31" t="str">
        <x:v>—</x:v>
      </x:c>
      <x:c r="L979" s="31" t="str">
        <x:v>—</x:v>
      </x:c>
      <x:c r="M979" s="31" t="str">
        <x:v>포함</x:v>
      </x:c>
    </x:row>
    <x:row r="980">
      <x:c r="A980" s="34" t="n">
        <x:v>976</x:v>
      </x:c>
      <x:c r="B980" s="30" t="str">
        <x:v>가비루사</x:v>
      </x:c>
      <x:c r="C980" s="30" t="str">
        <x:v>veluza</x:v>
      </x:c>
      <x:c r="D980" s="36" t="n">
        <x:v>9</x:v>
      </x:c>
      <x:c r="E980" s="31" t="str">
        <x:v>—</x:v>
      </x:c>
      <x:c r="F980" s="31" t="str">
        <x:v>—</x:v>
      </x:c>
      <x:c r="G980" s="31" t="str">
        <x:v>—</x:v>
      </x:c>
      <x:c r="H980" s="31" t="str">
        <x:v>—</x:v>
      </x:c>
      <x:c r="I980" s="31" t="str">
        <x:v>—</x:v>
      </x:c>
      <x:c r="J980" s="31" t="str">
        <x:v>—</x:v>
      </x:c>
      <x:c r="K980" s="31" t="str">
        <x:v>—</x:v>
      </x:c>
      <x:c r="L980" s="31" t="str">
        <x:v>—</x:v>
      </x:c>
      <x:c r="M980" s="31" t="str">
        <x:v>포함</x:v>
      </x:c>
    </x:row>
    <x:row r="981">
      <x:c r="A981" s="34" t="n">
        <x:v>977</x:v>
      </x:c>
      <x:c r="B981" s="30" t="str">
        <x:v>어써러셔</x:v>
      </x:c>
      <x:c r="C981" s="30" t="str">
        <x:v>dondozo</x:v>
      </x:c>
      <x:c r="D981" s="36" t="n">
        <x:v>9</x:v>
      </x:c>
      <x:c r="E981" s="31" t="str">
        <x:v>—</x:v>
      </x:c>
      <x:c r="F981" s="31" t="str">
        <x:v>—</x:v>
      </x:c>
      <x:c r="G981" s="31" t="str">
        <x:v>—</x:v>
      </x:c>
      <x:c r="H981" s="31" t="str">
        <x:v>—</x:v>
      </x:c>
      <x:c r="I981" s="31" t="str">
        <x:v>—</x:v>
      </x:c>
      <x:c r="J981" s="31" t="str">
        <x:v>—</x:v>
      </x:c>
      <x:c r="K981" s="31" t="str">
        <x:v>—</x:v>
      </x:c>
      <x:c r="L981" s="31" t="str">
        <x:v>—</x:v>
      </x:c>
      <x:c r="M981" s="31" t="str">
        <x:v>포함</x:v>
      </x:c>
    </x:row>
    <x:row r="982">
      <x:c r="A982" s="34" t="n">
        <x:v>978</x:v>
      </x:c>
      <x:c r="B982" s="30" t="str">
        <x:v>싸리용</x:v>
      </x:c>
      <x:c r="C982" s="30" t="str">
        <x:v>tatsugiri</x:v>
      </x:c>
      <x:c r="D982" s="36" t="n">
        <x:v>9</x:v>
      </x:c>
      <x:c r="E982" s="31" t="str">
        <x:v>—</x:v>
      </x:c>
      <x:c r="F982" s="31" t="str">
        <x:v>—</x:v>
      </x:c>
      <x:c r="G982" s="31" t="str">
        <x:v>—</x:v>
      </x:c>
      <x:c r="H982" s="31" t="str">
        <x:v>—</x:v>
      </x:c>
      <x:c r="I982" s="31" t="str">
        <x:v>—</x:v>
      </x:c>
      <x:c r="J982" s="31" t="str">
        <x:v>—</x:v>
      </x:c>
      <x:c r="K982" s="31" t="str">
        <x:v>—</x:v>
      </x:c>
      <x:c r="L982" s="31" t="str">
        <x:v>—</x:v>
      </x:c>
      <x:c r="M982" s="31" t="str">
        <x:v>포함</x:v>
      </x:c>
    </x:row>
    <x:row r="983">
      <x:c r="A983" s="34" t="n">
        <x:v>979</x:v>
      </x:c>
      <x:c r="B983" s="30" t="str">
        <x:v>저승갓숭</x:v>
      </x:c>
      <x:c r="C983" s="30" t="str">
        <x:v>annihilape</x:v>
      </x:c>
      <x:c r="D983" s="36" t="n">
        <x:v>9</x:v>
      </x:c>
      <x:c r="E983" s="31" t="str">
        <x:v>—</x:v>
      </x:c>
      <x:c r="F983" s="31" t="str">
        <x:v>—</x:v>
      </x:c>
      <x:c r="G983" s="31" t="str">
        <x:v>—</x:v>
      </x:c>
      <x:c r="H983" s="31" t="str">
        <x:v>—</x:v>
      </x:c>
      <x:c r="I983" s="31" t="str">
        <x:v>—</x:v>
      </x:c>
      <x:c r="J983" s="31" t="str">
        <x:v>—</x:v>
      </x:c>
      <x:c r="K983" s="31" t="str">
        <x:v>—</x:v>
      </x:c>
      <x:c r="L983" s="31" t="str">
        <x:v>—</x:v>
      </x:c>
      <x:c r="M983" s="31" t="str">
        <x:v>포함</x:v>
      </x:c>
    </x:row>
    <x:row r="984">
      <x:c r="A984" s="34" t="n">
        <x:v>980</x:v>
      </x:c>
      <x:c r="B984" s="30" t="str">
        <x:v>토오</x:v>
      </x:c>
      <x:c r="C984" s="30" t="str">
        <x:v>clodsire</x:v>
      </x:c>
      <x:c r="D984" s="36" t="n">
        <x:v>9</x:v>
      </x:c>
      <x:c r="E984" s="31" t="str">
        <x:v>—</x:v>
      </x:c>
      <x:c r="F984" s="31" t="str">
        <x:v>—</x:v>
      </x:c>
      <x:c r="G984" s="31" t="str">
        <x:v>—</x:v>
      </x:c>
      <x:c r="H984" s="31" t="str">
        <x:v>—</x:v>
      </x:c>
      <x:c r="I984" s="31" t="str">
        <x:v>—</x:v>
      </x:c>
      <x:c r="J984" s="31" t="str">
        <x:v>—</x:v>
      </x:c>
      <x:c r="K984" s="31" t="str">
        <x:v>—</x:v>
      </x:c>
      <x:c r="L984" s="31" t="str">
        <x:v>—</x:v>
      </x:c>
      <x:c r="M984" s="31" t="str">
        <x:v>포함</x:v>
      </x:c>
    </x:row>
    <x:row r="985">
      <x:c r="A985" s="34" t="n">
        <x:v>981</x:v>
      </x:c>
      <x:c r="B985" s="30" t="str">
        <x:v>키키링</x:v>
      </x:c>
      <x:c r="C985" s="30" t="str">
        <x:v>farigiraf</x:v>
      </x:c>
      <x:c r="D985" s="36" t="n">
        <x:v>9</x:v>
      </x:c>
      <x:c r="E985" s="31" t="str">
        <x:v>—</x:v>
      </x:c>
      <x:c r="F985" s="31" t="str">
        <x:v>—</x:v>
      </x:c>
      <x:c r="G985" s="31" t="str">
        <x:v>—</x:v>
      </x:c>
      <x:c r="H985" s="31" t="str">
        <x:v>—</x:v>
      </x:c>
      <x:c r="I985" s="31" t="str">
        <x:v>—</x:v>
      </x:c>
      <x:c r="J985" s="31" t="str">
        <x:v>—</x:v>
      </x:c>
      <x:c r="K985" s="31" t="str">
        <x:v>—</x:v>
      </x:c>
      <x:c r="L985" s="31" t="str">
        <x:v>—</x:v>
      </x:c>
      <x:c r="M985" s="31" t="str">
        <x:v>포함</x:v>
      </x:c>
    </x:row>
    <x:row r="986">
      <x:c r="A986" s="34" t="n">
        <x:v>982</x:v>
      </x:c>
      <x:c r="B986" s="30" t="str">
        <x:v>노고고치</x:v>
      </x:c>
      <x:c r="C986" s="30" t="str">
        <x:v>dudunsparce</x:v>
      </x:c>
      <x:c r="D986" s="36" t="n">
        <x:v>9</x:v>
      </x:c>
      <x:c r="E986" s="31" t="str">
        <x:v>—</x:v>
      </x:c>
      <x:c r="F986" s="31" t="str">
        <x:v>—</x:v>
      </x:c>
      <x:c r="G986" s="31" t="str">
        <x:v>—</x:v>
      </x:c>
      <x:c r="H986" s="31" t="str">
        <x:v>—</x:v>
      </x:c>
      <x:c r="I986" s="31" t="str">
        <x:v>—</x:v>
      </x:c>
      <x:c r="J986" s="31" t="str">
        <x:v>—</x:v>
      </x:c>
      <x:c r="K986" s="31" t="str">
        <x:v>—</x:v>
      </x:c>
      <x:c r="L986" s="31" t="str">
        <x:v>—</x:v>
      </x:c>
      <x:c r="M986" s="31" t="str">
        <x:v>포함</x:v>
      </x:c>
    </x:row>
    <x:row r="987">
      <x:c r="A987" s="34" t="n">
        <x:v>983</x:v>
      </x:c>
      <x:c r="B987" s="30" t="str">
        <x:v>대도각참</x:v>
      </x:c>
      <x:c r="C987" s="30" t="str">
        <x:v>kingambit</x:v>
      </x:c>
      <x:c r="D987" s="36" t="n">
        <x:v>9</x:v>
      </x:c>
      <x:c r="E987" s="31" t="str">
        <x:v>—</x:v>
      </x:c>
      <x:c r="F987" s="31" t="str">
        <x:v>—</x:v>
      </x:c>
      <x:c r="G987" s="31" t="str">
        <x:v>—</x:v>
      </x:c>
      <x:c r="H987" s="31" t="str">
        <x:v>—</x:v>
      </x:c>
      <x:c r="I987" s="31" t="str">
        <x:v>—</x:v>
      </x:c>
      <x:c r="J987" s="31" t="str">
        <x:v>—</x:v>
      </x:c>
      <x:c r="K987" s="31" t="str">
        <x:v>—</x:v>
      </x:c>
      <x:c r="L987" s="31" t="str">
        <x:v>—</x:v>
      </x:c>
      <x:c r="M987" s="31" t="str">
        <x:v>포함</x:v>
      </x:c>
    </x:row>
    <x:row r="988">
      <x:c r="A988" s="34" t="n">
        <x:v>984</x:v>
      </x:c>
      <x:c r="B988" s="30" t="str">
        <x:v>위대한엄니</x:v>
      </x:c>
      <x:c r="C988" s="30" t="str">
        <x:v>greattusk</x:v>
      </x:c>
      <x:c r="D988" s="36" t="n">
        <x:v>9</x:v>
      </x:c>
      <x:c r="E988" s="31" t="str">
        <x:v>—</x:v>
      </x:c>
      <x:c r="F988" s="31" t="str">
        <x:v>—</x:v>
      </x:c>
      <x:c r="G988" s="31" t="str">
        <x:v>—</x:v>
      </x:c>
      <x:c r="H988" s="31" t="str">
        <x:v>—</x:v>
      </x:c>
      <x:c r="I988" s="31" t="str">
        <x:v>—</x:v>
      </x:c>
      <x:c r="J988" s="31" t="str">
        <x:v>—</x:v>
      </x:c>
      <x:c r="K988" s="31" t="str">
        <x:v>—</x:v>
      </x:c>
      <x:c r="L988" s="31" t="str">
        <x:v>—</x:v>
      </x:c>
      <x:c r="M988" s="31" t="str">
        <x:v>포함</x:v>
      </x:c>
    </x:row>
    <x:row r="989">
      <x:c r="A989" s="34" t="n">
        <x:v>985</x:v>
      </x:c>
      <x:c r="B989" s="30" t="str">
        <x:v>우렁찬꼬리</x:v>
      </x:c>
      <x:c r="C989" s="30" t="str">
        <x:v>screamtail</x:v>
      </x:c>
      <x:c r="D989" s="36" t="n">
        <x:v>9</x:v>
      </x:c>
      <x:c r="E989" s="31" t="str">
        <x:v>—</x:v>
      </x:c>
      <x:c r="F989" s="31" t="str">
        <x:v>—</x:v>
      </x:c>
      <x:c r="G989" s="31" t="str">
        <x:v>—</x:v>
      </x:c>
      <x:c r="H989" s="31" t="str">
        <x:v>—</x:v>
      </x:c>
      <x:c r="I989" s="31" t="str">
        <x:v>—</x:v>
      </x:c>
      <x:c r="J989" s="31" t="str">
        <x:v>—</x:v>
      </x:c>
      <x:c r="K989" s="31" t="str">
        <x:v>—</x:v>
      </x:c>
      <x:c r="L989" s="31" t="str">
        <x:v>—</x:v>
      </x:c>
      <x:c r="M989" s="31" t="str">
        <x:v>포함</x:v>
      </x:c>
    </x:row>
    <x:row r="990">
      <x:c r="A990" s="34" t="n">
        <x:v>986</x:v>
      </x:c>
      <x:c r="B990" s="30" t="str">
        <x:v>사나운버섯</x:v>
      </x:c>
      <x:c r="C990" s="30" t="str">
        <x:v>brutebonnet</x:v>
      </x:c>
      <x:c r="D990" s="36" t="n">
        <x:v>9</x:v>
      </x:c>
      <x:c r="E990" s="31" t="str">
        <x:v>—</x:v>
      </x:c>
      <x:c r="F990" s="31" t="str">
        <x:v>—</x:v>
      </x:c>
      <x:c r="G990" s="31" t="str">
        <x:v>—</x:v>
      </x:c>
      <x:c r="H990" s="31" t="str">
        <x:v>—</x:v>
      </x:c>
      <x:c r="I990" s="31" t="str">
        <x:v>—</x:v>
      </x:c>
      <x:c r="J990" s="31" t="str">
        <x:v>—</x:v>
      </x:c>
      <x:c r="K990" s="31" t="str">
        <x:v>—</x:v>
      </x:c>
      <x:c r="L990" s="31" t="str">
        <x:v>—</x:v>
      </x:c>
      <x:c r="M990" s="31" t="str">
        <x:v>포함</x:v>
      </x:c>
    </x:row>
    <x:row r="991">
      <x:c r="A991" s="34" t="n">
        <x:v>987</x:v>
      </x:c>
      <x:c r="B991" s="30" t="str">
        <x:v>날개치는머리</x:v>
      </x:c>
      <x:c r="C991" s="30" t="str">
        <x:v>fluttermane</x:v>
      </x:c>
      <x:c r="D991" s="36" t="n">
        <x:v>9</x:v>
      </x:c>
      <x:c r="E991" s="31" t="str">
        <x:v>—</x:v>
      </x:c>
      <x:c r="F991" s="31" t="str">
        <x:v>—</x:v>
      </x:c>
      <x:c r="G991" s="31" t="str">
        <x:v>—</x:v>
      </x:c>
      <x:c r="H991" s="31" t="str">
        <x:v>—</x:v>
      </x:c>
      <x:c r="I991" s="31" t="str">
        <x:v>—</x:v>
      </x:c>
      <x:c r="J991" s="31" t="str">
        <x:v>—</x:v>
      </x:c>
      <x:c r="K991" s="31" t="str">
        <x:v>—</x:v>
      </x:c>
      <x:c r="L991" s="31" t="str">
        <x:v>—</x:v>
      </x:c>
      <x:c r="M991" s="31" t="str">
        <x:v>포함</x:v>
      </x:c>
    </x:row>
    <x:row r="992">
      <x:c r="A992" s="34" t="n">
        <x:v>988</x:v>
      </x:c>
      <x:c r="B992" s="30" t="str">
        <x:v>땅을기는날개</x:v>
      </x:c>
      <x:c r="C992" s="30" t="str">
        <x:v>slitherwing</x:v>
      </x:c>
      <x:c r="D992" s="36" t="n">
        <x:v>9</x:v>
      </x:c>
      <x:c r="E992" s="31" t="str">
        <x:v>—</x:v>
      </x:c>
      <x:c r="F992" s="31" t="str">
        <x:v>—</x:v>
      </x:c>
      <x:c r="G992" s="31" t="str">
        <x:v>—</x:v>
      </x:c>
      <x:c r="H992" s="31" t="str">
        <x:v>—</x:v>
      </x:c>
      <x:c r="I992" s="31" t="str">
        <x:v>—</x:v>
      </x:c>
      <x:c r="J992" s="31" t="str">
        <x:v>—</x:v>
      </x:c>
      <x:c r="K992" s="31" t="str">
        <x:v>—</x:v>
      </x:c>
      <x:c r="L992" s="31" t="str">
        <x:v>—</x:v>
      </x:c>
      <x:c r="M992" s="31" t="str">
        <x:v>포함</x:v>
      </x:c>
    </x:row>
    <x:row r="993">
      <x:c r="A993" s="34" t="n">
        <x:v>989</x:v>
      </x:c>
      <x:c r="B993" s="30" t="str">
        <x:v>모래털가죽</x:v>
      </x:c>
      <x:c r="C993" s="30" t="str">
        <x:v>sandyshocks</x:v>
      </x:c>
      <x:c r="D993" s="36" t="n">
        <x:v>9</x:v>
      </x:c>
      <x:c r="E993" s="31" t="str">
        <x:v>—</x:v>
      </x:c>
      <x:c r="F993" s="31" t="str">
        <x:v>—</x:v>
      </x:c>
      <x:c r="G993" s="31" t="str">
        <x:v>—</x:v>
      </x:c>
      <x:c r="H993" s="31" t="str">
        <x:v>—</x:v>
      </x:c>
      <x:c r="I993" s="31" t="str">
        <x:v>—</x:v>
      </x:c>
      <x:c r="J993" s="31" t="str">
        <x:v>—</x:v>
      </x:c>
      <x:c r="K993" s="31" t="str">
        <x:v>—</x:v>
      </x:c>
      <x:c r="L993" s="31" t="str">
        <x:v>—</x:v>
      </x:c>
      <x:c r="M993" s="31" t="str">
        <x:v>포함</x:v>
      </x:c>
    </x:row>
    <x:row r="994">
      <x:c r="A994" s="34" t="n">
        <x:v>990</x:v>
      </x:c>
      <x:c r="B994" s="30" t="str">
        <x:v>무쇠바퀴</x:v>
      </x:c>
      <x:c r="C994" s="30" t="str">
        <x:v>irontreads</x:v>
      </x:c>
      <x:c r="D994" s="36" t="n">
        <x:v>9</x:v>
      </x:c>
      <x:c r="E994" s="31" t="str">
        <x:v>—</x:v>
      </x:c>
      <x:c r="F994" s="31" t="str">
        <x:v>—</x:v>
      </x:c>
      <x:c r="G994" s="31" t="str">
        <x:v>—</x:v>
      </x:c>
      <x:c r="H994" s="31" t="str">
        <x:v>—</x:v>
      </x:c>
      <x:c r="I994" s="31" t="str">
        <x:v>—</x:v>
      </x:c>
      <x:c r="J994" s="31" t="str">
        <x:v>—</x:v>
      </x:c>
      <x:c r="K994" s="31" t="str">
        <x:v>—</x:v>
      </x:c>
      <x:c r="L994" s="31" t="str">
        <x:v>—</x:v>
      </x:c>
      <x:c r="M994" s="31" t="str">
        <x:v>포함</x:v>
      </x:c>
    </x:row>
    <x:row r="995">
      <x:c r="A995" s="34" t="n">
        <x:v>991</x:v>
      </x:c>
      <x:c r="B995" s="30" t="str">
        <x:v>무쇠보따리</x:v>
      </x:c>
      <x:c r="C995" s="30" t="str">
        <x:v>ironbundle</x:v>
      </x:c>
      <x:c r="D995" s="36" t="n">
        <x:v>9</x:v>
      </x:c>
      <x:c r="E995" s="31" t="str">
        <x:v>—</x:v>
      </x:c>
      <x:c r="F995" s="31" t="str">
        <x:v>—</x:v>
      </x:c>
      <x:c r="G995" s="31" t="str">
        <x:v>—</x:v>
      </x:c>
      <x:c r="H995" s="31" t="str">
        <x:v>—</x:v>
      </x:c>
      <x:c r="I995" s="31" t="str">
        <x:v>—</x:v>
      </x:c>
      <x:c r="J995" s="31" t="str">
        <x:v>—</x:v>
      </x:c>
      <x:c r="K995" s="31" t="str">
        <x:v>—</x:v>
      </x:c>
      <x:c r="L995" s="31" t="str">
        <x:v>—</x:v>
      </x:c>
      <x:c r="M995" s="31" t="str">
        <x:v>포함</x:v>
      </x:c>
    </x:row>
    <x:row r="996">
      <x:c r="A996" s="34" t="n">
        <x:v>992</x:v>
      </x:c>
      <x:c r="B996" s="30" t="str">
        <x:v>무쇠손</x:v>
      </x:c>
      <x:c r="C996" s="30" t="str">
        <x:v>ironhands</x:v>
      </x:c>
      <x:c r="D996" s="36" t="n">
        <x:v>9</x:v>
      </x:c>
      <x:c r="E996" s="31" t="str">
        <x:v>—</x:v>
      </x:c>
      <x:c r="F996" s="31" t="str">
        <x:v>—</x:v>
      </x:c>
      <x:c r="G996" s="31" t="str">
        <x:v>—</x:v>
      </x:c>
      <x:c r="H996" s="31" t="str">
        <x:v>—</x:v>
      </x:c>
      <x:c r="I996" s="31" t="str">
        <x:v>—</x:v>
      </x:c>
      <x:c r="J996" s="31" t="str">
        <x:v>—</x:v>
      </x:c>
      <x:c r="K996" s="31" t="str">
        <x:v>—</x:v>
      </x:c>
      <x:c r="L996" s="31" t="str">
        <x:v>—</x:v>
      </x:c>
      <x:c r="M996" s="31" t="str">
        <x:v>포함</x:v>
      </x:c>
    </x:row>
    <x:row r="997">
      <x:c r="A997" s="34" t="n">
        <x:v>993</x:v>
      </x:c>
      <x:c r="B997" s="30" t="str">
        <x:v>무쇠머리</x:v>
      </x:c>
      <x:c r="C997" s="30" t="str">
        <x:v>ironjugulis</x:v>
      </x:c>
      <x:c r="D997" s="36" t="n">
        <x:v>9</x:v>
      </x:c>
      <x:c r="E997" s="31" t="str">
        <x:v>—</x:v>
      </x:c>
      <x:c r="F997" s="31" t="str">
        <x:v>—</x:v>
      </x:c>
      <x:c r="G997" s="31" t="str">
        <x:v>—</x:v>
      </x:c>
      <x:c r="H997" s="31" t="str">
        <x:v>—</x:v>
      </x:c>
      <x:c r="I997" s="31" t="str">
        <x:v>—</x:v>
      </x:c>
      <x:c r="J997" s="31" t="str">
        <x:v>—</x:v>
      </x:c>
      <x:c r="K997" s="31" t="str">
        <x:v>—</x:v>
      </x:c>
      <x:c r="L997" s="31" t="str">
        <x:v>—</x:v>
      </x:c>
      <x:c r="M997" s="31" t="str">
        <x:v>포함</x:v>
      </x:c>
    </x:row>
    <x:row r="998">
      <x:c r="A998" s="34" t="n">
        <x:v>994</x:v>
      </x:c>
      <x:c r="B998" s="30" t="str">
        <x:v>무쇠독나방</x:v>
      </x:c>
      <x:c r="C998" s="30" t="str">
        <x:v>ironmoth</x:v>
      </x:c>
      <x:c r="D998" s="36" t="n">
        <x:v>9</x:v>
      </x:c>
      <x:c r="E998" s="31" t="str">
        <x:v>—</x:v>
      </x:c>
      <x:c r="F998" s="31" t="str">
        <x:v>—</x:v>
      </x:c>
      <x:c r="G998" s="31" t="str">
        <x:v>—</x:v>
      </x:c>
      <x:c r="H998" s="31" t="str">
        <x:v>—</x:v>
      </x:c>
      <x:c r="I998" s="31" t="str">
        <x:v>—</x:v>
      </x:c>
      <x:c r="J998" s="31" t="str">
        <x:v>—</x:v>
      </x:c>
      <x:c r="K998" s="31" t="str">
        <x:v>—</x:v>
      </x:c>
      <x:c r="L998" s="31" t="str">
        <x:v>—</x:v>
      </x:c>
      <x:c r="M998" s="31" t="str">
        <x:v>포함</x:v>
      </x:c>
    </x:row>
    <x:row r="999">
      <x:c r="A999" s="34" t="n">
        <x:v>995</x:v>
      </x:c>
      <x:c r="B999" s="30" t="str">
        <x:v>무쇠가시</x:v>
      </x:c>
      <x:c r="C999" s="30" t="str">
        <x:v>ironthorns</x:v>
      </x:c>
      <x:c r="D999" s="36" t="n">
        <x:v>9</x:v>
      </x:c>
      <x:c r="E999" s="31" t="str">
        <x:v>—</x:v>
      </x:c>
      <x:c r="F999" s="31" t="str">
        <x:v>—</x:v>
      </x:c>
      <x:c r="G999" s="31" t="str">
        <x:v>—</x:v>
      </x:c>
      <x:c r="H999" s="31" t="str">
        <x:v>—</x:v>
      </x:c>
      <x:c r="I999" s="31" t="str">
        <x:v>—</x:v>
      </x:c>
      <x:c r="J999" s="31" t="str">
        <x:v>—</x:v>
      </x:c>
      <x:c r="K999" s="31" t="str">
        <x:v>—</x:v>
      </x:c>
      <x:c r="L999" s="31" t="str">
        <x:v>—</x:v>
      </x:c>
      <x:c r="M999" s="31" t="str">
        <x:v>포함</x:v>
      </x:c>
    </x:row>
    <x:row r="1000">
      <x:c r="A1000" s="34" t="n">
        <x:v>996</x:v>
      </x:c>
      <x:c r="B1000" s="30" t="str">
        <x:v>드니차</x:v>
      </x:c>
      <x:c r="C1000" s="30" t="str">
        <x:v>frigibax</x:v>
      </x:c>
      <x:c r="D1000" s="36" t="n">
        <x:v>9</x:v>
      </x:c>
      <x:c r="E1000" s="31" t="str">
        <x:v>—</x:v>
      </x:c>
      <x:c r="F1000" s="31" t="str">
        <x:v>—</x:v>
      </x:c>
      <x:c r="G1000" s="31" t="str">
        <x:v>—</x:v>
      </x:c>
      <x:c r="H1000" s="31" t="str">
        <x:v>—</x:v>
      </x:c>
      <x:c r="I1000" s="31" t="str">
        <x:v>—</x:v>
      </x:c>
      <x:c r="J1000" s="31" t="str">
        <x:v>—</x:v>
      </x:c>
      <x:c r="K1000" s="31" t="str">
        <x:v>—</x:v>
      </x:c>
      <x:c r="L1000" s="31" t="str">
        <x:v>—</x:v>
      </x:c>
      <x:c r="M1000" s="31" t="str">
        <x:v>포함</x:v>
      </x:c>
    </x:row>
    <x:row r="1001">
      <x:c r="A1001" s="34" t="n">
        <x:v>997</x:v>
      </x:c>
      <x:c r="B1001" s="30" t="str">
        <x:v>드니꽁</x:v>
      </x:c>
      <x:c r="C1001" s="30" t="str">
        <x:v>arctibax</x:v>
      </x:c>
      <x:c r="D1001" s="36" t="n">
        <x:v>9</x:v>
      </x:c>
      <x:c r="E1001" s="31" t="str">
        <x:v>—</x:v>
      </x:c>
      <x:c r="F1001" s="31" t="str">
        <x:v>—</x:v>
      </x:c>
      <x:c r="G1001" s="31" t="str">
        <x:v>—</x:v>
      </x:c>
      <x:c r="H1001" s="31" t="str">
        <x:v>—</x:v>
      </x:c>
      <x:c r="I1001" s="31" t="str">
        <x:v>—</x:v>
      </x:c>
      <x:c r="J1001" s="31" t="str">
        <x:v>—</x:v>
      </x:c>
      <x:c r="K1001" s="31" t="str">
        <x:v>—</x:v>
      </x:c>
      <x:c r="L1001" s="31" t="str">
        <x:v>—</x:v>
      </x:c>
      <x:c r="M1001" s="31" t="str">
        <x:v>포함</x:v>
      </x:c>
    </x:row>
    <x:row r="1002">
      <x:c r="A1002" s="34" t="n">
        <x:v>998</x:v>
      </x:c>
      <x:c r="B1002" s="30" t="str">
        <x:v>드닐레이브</x:v>
      </x:c>
      <x:c r="C1002" s="30" t="str">
        <x:v>baxcalibur</x:v>
      </x:c>
      <x:c r="D1002" s="36" t="n">
        <x:v>9</x:v>
      </x:c>
      <x:c r="E1002" s="31" t="str">
        <x:v>—</x:v>
      </x:c>
      <x:c r="F1002" s="31" t="str">
        <x:v>—</x:v>
      </x:c>
      <x:c r="G1002" s="31" t="str">
        <x:v>—</x:v>
      </x:c>
      <x:c r="H1002" s="31" t="str">
        <x:v>—</x:v>
      </x:c>
      <x:c r="I1002" s="31" t="str">
        <x:v>—</x:v>
      </x:c>
      <x:c r="J1002" s="31" t="str">
        <x:v>—</x:v>
      </x:c>
      <x:c r="K1002" s="31" t="str">
        <x:v>—</x:v>
      </x:c>
      <x:c r="L1002" s="31" t="str">
        <x:v>—</x:v>
      </x:c>
      <x:c r="M1002" s="31" t="str">
        <x:v>포함</x:v>
      </x:c>
    </x:row>
    <x:row r="1003">
      <x:c r="A1003" s="34" t="n">
        <x:v>999</x:v>
      </x:c>
      <x:c r="B1003" s="30" t="str">
        <x:v>모으령</x:v>
      </x:c>
      <x:c r="C1003" s="30" t="str">
        <x:v>gimmighoul</x:v>
      </x:c>
      <x:c r="D1003" s="36" t="n">
        <x:v>9</x:v>
      </x:c>
      <x:c r="E1003" s="31" t="str">
        <x:v>—</x:v>
      </x:c>
      <x:c r="F1003" s="31" t="str">
        <x:v>—</x:v>
      </x:c>
      <x:c r="G1003" s="31" t="str">
        <x:v>—</x:v>
      </x:c>
      <x:c r="H1003" s="31" t="str">
        <x:v>—</x:v>
      </x:c>
      <x:c r="I1003" s="31" t="str">
        <x:v>—</x:v>
      </x:c>
      <x:c r="J1003" s="31" t="str">
        <x:v>—</x:v>
      </x:c>
      <x:c r="K1003" s="31" t="str">
        <x:v>—</x:v>
      </x:c>
      <x:c r="L1003" s="31" t="str">
        <x:v>—</x:v>
      </x:c>
      <x:c r="M1003" s="31" t="str">
        <x:v>포함</x:v>
      </x:c>
    </x:row>
    <x:row r="1004">
      <x:c r="A1004" s="34" t="n">
        <x:v>1000</x:v>
      </x:c>
      <x:c r="B1004" s="30" t="str">
        <x:v>타부자고</x:v>
      </x:c>
      <x:c r="C1004" s="30" t="str">
        <x:v>gholdengo</x:v>
      </x:c>
      <x:c r="D1004" s="36" t="n">
        <x:v>9</x:v>
      </x:c>
      <x:c r="E1004" s="31" t="str">
        <x:v>—</x:v>
      </x:c>
      <x:c r="F1004" s="31" t="str">
        <x:v>—</x:v>
      </x:c>
      <x:c r="G1004" s="31" t="str">
        <x:v>—</x:v>
      </x:c>
      <x:c r="H1004" s="31" t="str">
        <x:v>—</x:v>
      </x:c>
      <x:c r="I1004" s="31" t="str">
        <x:v>—</x:v>
      </x:c>
      <x:c r="J1004" s="31" t="str">
        <x:v>—</x:v>
      </x:c>
      <x:c r="K1004" s="31" t="str">
        <x:v>—</x:v>
      </x:c>
      <x:c r="L1004" s="31" t="str">
        <x:v>—</x:v>
      </x:c>
      <x:c r="M1004" s="31" t="str">
        <x:v>포함</x:v>
      </x:c>
    </x:row>
    <x:row r="1005">
      <x:c r="A1005" s="34" t="n">
        <x:v>1001</x:v>
      </x:c>
      <x:c r="B1005" s="30" t="str">
        <x:v>총지엔</x:v>
      </x:c>
      <x:c r="C1005" s="30" t="str">
        <x:v>wochien</x:v>
      </x:c>
      <x:c r="D1005" s="36" t="n">
        <x:v>9</x:v>
      </x:c>
      <x:c r="E1005" s="31" t="str">
        <x:v>—</x:v>
      </x:c>
      <x:c r="F1005" s="31" t="str">
        <x:v>—</x:v>
      </x:c>
      <x:c r="G1005" s="31" t="str">
        <x:v>—</x:v>
      </x:c>
      <x:c r="H1005" s="31" t="str">
        <x:v>—</x:v>
      </x:c>
      <x:c r="I1005" s="31" t="str">
        <x:v>—</x:v>
      </x:c>
      <x:c r="J1005" s="31" t="str">
        <x:v>—</x:v>
      </x:c>
      <x:c r="K1005" s="31" t="str">
        <x:v>—</x:v>
      </x:c>
      <x:c r="L1005" s="31" t="str">
        <x:v>—</x:v>
      </x:c>
      <x:c r="M1005" s="31" t="str">
        <x:v>포함</x:v>
      </x:c>
    </x:row>
    <x:row r="1006">
      <x:c r="A1006" s="34" t="n">
        <x:v>1002</x:v>
      </x:c>
      <x:c r="B1006" s="30" t="str">
        <x:v>파오젠</x:v>
      </x:c>
      <x:c r="C1006" s="30" t="str">
        <x:v>chienpao</x:v>
      </x:c>
      <x:c r="D1006" s="36" t="n">
        <x:v>9</x:v>
      </x:c>
      <x:c r="E1006" s="31" t="str">
        <x:v>—</x:v>
      </x:c>
      <x:c r="F1006" s="31" t="str">
        <x:v>—</x:v>
      </x:c>
      <x:c r="G1006" s="31" t="str">
        <x:v>—</x:v>
      </x:c>
      <x:c r="H1006" s="31" t="str">
        <x:v>—</x:v>
      </x:c>
      <x:c r="I1006" s="31" t="str">
        <x:v>—</x:v>
      </x:c>
      <x:c r="J1006" s="31" t="str">
        <x:v>—</x:v>
      </x:c>
      <x:c r="K1006" s="31" t="str">
        <x:v>—</x:v>
      </x:c>
      <x:c r="L1006" s="31" t="str">
        <x:v>—</x:v>
      </x:c>
      <x:c r="M1006" s="31" t="str">
        <x:v>포함</x:v>
      </x:c>
    </x:row>
    <x:row r="1007">
      <x:c r="A1007" s="34" t="n">
        <x:v>1003</x:v>
      </x:c>
      <x:c r="B1007" s="30" t="str">
        <x:v>딩루</x:v>
      </x:c>
      <x:c r="C1007" s="30" t="str">
        <x:v>tinglu</x:v>
      </x:c>
      <x:c r="D1007" s="36" t="n">
        <x:v>9</x:v>
      </x:c>
      <x:c r="E1007" s="31" t="str">
        <x:v>—</x:v>
      </x:c>
      <x:c r="F1007" s="31" t="str">
        <x:v>—</x:v>
      </x:c>
      <x:c r="G1007" s="31" t="str">
        <x:v>—</x:v>
      </x:c>
      <x:c r="H1007" s="31" t="str">
        <x:v>—</x:v>
      </x:c>
      <x:c r="I1007" s="31" t="str">
        <x:v>—</x:v>
      </x:c>
      <x:c r="J1007" s="31" t="str">
        <x:v>—</x:v>
      </x:c>
      <x:c r="K1007" s="31" t="str">
        <x:v>—</x:v>
      </x:c>
      <x:c r="L1007" s="31" t="str">
        <x:v>—</x:v>
      </x:c>
      <x:c r="M1007" s="31" t="str">
        <x:v>포함</x:v>
      </x:c>
    </x:row>
    <x:row r="1008">
      <x:c r="A1008" s="34" t="n">
        <x:v>1004</x:v>
      </x:c>
      <x:c r="B1008" s="30" t="str">
        <x:v>위유이</x:v>
      </x:c>
      <x:c r="C1008" s="30" t="str">
        <x:v>chiyu</x:v>
      </x:c>
      <x:c r="D1008" s="36" t="n">
        <x:v>9</x:v>
      </x:c>
      <x:c r="E1008" s="31" t="str">
        <x:v>—</x:v>
      </x:c>
      <x:c r="F1008" s="31" t="str">
        <x:v>—</x:v>
      </x:c>
      <x:c r="G1008" s="31" t="str">
        <x:v>—</x:v>
      </x:c>
      <x:c r="H1008" s="31" t="str">
        <x:v>—</x:v>
      </x:c>
      <x:c r="I1008" s="31" t="str">
        <x:v>—</x:v>
      </x:c>
      <x:c r="J1008" s="31" t="str">
        <x:v>—</x:v>
      </x:c>
      <x:c r="K1008" s="31" t="str">
        <x:v>—</x:v>
      </x:c>
      <x:c r="L1008" s="31" t="str">
        <x:v>—</x:v>
      </x:c>
      <x:c r="M1008" s="31" t="str">
        <x:v>포함</x:v>
      </x:c>
    </x:row>
    <x:row r="1009">
      <x:c r="A1009" s="34" t="n">
        <x:v>1005</x:v>
      </x:c>
      <x:c r="B1009" s="30" t="str">
        <x:v>고동치는달</x:v>
      </x:c>
      <x:c r="C1009" s="30" t="str">
        <x:v>roaringmoon</x:v>
      </x:c>
      <x:c r="D1009" s="36" t="n">
        <x:v>9</x:v>
      </x:c>
      <x:c r="E1009" s="31" t="str">
        <x:v>—</x:v>
      </x:c>
      <x:c r="F1009" s="31" t="str">
        <x:v>—</x:v>
      </x:c>
      <x:c r="G1009" s="31" t="str">
        <x:v>—</x:v>
      </x:c>
      <x:c r="H1009" s="31" t="str">
        <x:v>—</x:v>
      </x:c>
      <x:c r="I1009" s="31" t="str">
        <x:v>—</x:v>
      </x:c>
      <x:c r="J1009" s="31" t="str">
        <x:v>—</x:v>
      </x:c>
      <x:c r="K1009" s="31" t="str">
        <x:v>—</x:v>
      </x:c>
      <x:c r="L1009" s="31" t="str">
        <x:v>—</x:v>
      </x:c>
      <x:c r="M1009" s="31" t="str">
        <x:v>포함</x:v>
      </x:c>
    </x:row>
    <x:row r="1010">
      <x:c r="A1010" s="34" t="n">
        <x:v>1006</x:v>
      </x:c>
      <x:c r="B1010" s="30" t="str">
        <x:v>무쇠무인</x:v>
      </x:c>
      <x:c r="C1010" s="30" t="str">
        <x:v>ironvaliant</x:v>
      </x:c>
      <x:c r="D1010" s="36" t="n">
        <x:v>9</x:v>
      </x:c>
      <x:c r="E1010" s="31" t="str">
        <x:v>—</x:v>
      </x:c>
      <x:c r="F1010" s="31" t="str">
        <x:v>—</x:v>
      </x:c>
      <x:c r="G1010" s="31" t="str">
        <x:v>—</x:v>
      </x:c>
      <x:c r="H1010" s="31" t="str">
        <x:v>—</x:v>
      </x:c>
      <x:c r="I1010" s="31" t="str">
        <x:v>—</x:v>
      </x:c>
      <x:c r="J1010" s="31" t="str">
        <x:v>—</x:v>
      </x:c>
      <x:c r="K1010" s="31" t="str">
        <x:v>—</x:v>
      </x:c>
      <x:c r="L1010" s="31" t="str">
        <x:v>—</x:v>
      </x:c>
      <x:c r="M1010" s="31" t="str">
        <x:v>포함</x:v>
      </x:c>
    </x:row>
    <x:row r="1011">
      <x:c r="A1011" s="34" t="n">
        <x:v>1007</x:v>
      </x:c>
      <x:c r="B1011" s="30" t="str">
        <x:v>코라이돈</x:v>
      </x:c>
      <x:c r="C1011" s="30" t="str">
        <x:v>koraidon</x:v>
      </x:c>
      <x:c r="D1011" s="36" t="n">
        <x:v>9</x:v>
      </x:c>
      <x:c r="E1011" s="31" t="str">
        <x:v>—</x:v>
      </x:c>
      <x:c r="F1011" s="31" t="str">
        <x:v>—</x:v>
      </x:c>
      <x:c r="G1011" s="31" t="str">
        <x:v>—</x:v>
      </x:c>
      <x:c r="H1011" s="31" t="str">
        <x:v>—</x:v>
      </x:c>
      <x:c r="I1011" s="31" t="str">
        <x:v>—</x:v>
      </x:c>
      <x:c r="J1011" s="31" t="str">
        <x:v>—</x:v>
      </x:c>
      <x:c r="K1011" s="31" t="str">
        <x:v>—</x:v>
      </x:c>
      <x:c r="L1011" s="31" t="str">
        <x:v>—</x:v>
      </x:c>
      <x:c r="M1011" s="31" t="str">
        <x:v>포함</x:v>
      </x:c>
    </x:row>
    <x:row r="1012">
      <x:c r="A1012" s="34" t="n">
        <x:v>1008</x:v>
      </x:c>
      <x:c r="B1012" s="30" t="str">
        <x:v>미라이돈</x:v>
      </x:c>
      <x:c r="C1012" s="30" t="str">
        <x:v>miraidon</x:v>
      </x:c>
      <x:c r="D1012" s="36" t="n">
        <x:v>9</x:v>
      </x:c>
      <x:c r="E1012" s="31" t="str">
        <x:v>—</x:v>
      </x:c>
      <x:c r="F1012" s="31" t="str">
        <x:v>—</x:v>
      </x:c>
      <x:c r="G1012" s="31" t="str">
        <x:v>—</x:v>
      </x:c>
      <x:c r="H1012" s="31" t="str">
        <x:v>—</x:v>
      </x:c>
      <x:c r="I1012" s="31" t="str">
        <x:v>—</x:v>
      </x:c>
      <x:c r="J1012" s="31" t="str">
        <x:v>—</x:v>
      </x:c>
      <x:c r="K1012" s="31" t="str">
        <x:v>—</x:v>
      </x:c>
      <x:c r="L1012" s="31" t="str">
        <x:v>—</x:v>
      </x:c>
      <x:c r="M1012" s="31" t="str">
        <x:v>포함</x:v>
      </x:c>
    </x:row>
    <x:row r="1013">
      <x:c r="A1013" s="34" t="n">
        <x:v>1009</x:v>
      </x:c>
      <x:c r="B1013" s="30" t="str">
        <x:v>굽이치는물결</x:v>
      </x:c>
      <x:c r="C1013" s="30" t="str">
        <x:v>walkingwake</x:v>
      </x:c>
      <x:c r="D1013" s="36" t="n">
        <x:v>9</x:v>
      </x:c>
      <x:c r="E1013" s="31" t="str">
        <x:v>—</x:v>
      </x:c>
      <x:c r="F1013" s="31" t="str">
        <x:v>—</x:v>
      </x:c>
      <x:c r="G1013" s="31" t="str">
        <x:v>—</x:v>
      </x:c>
      <x:c r="H1013" s="31" t="str">
        <x:v>—</x:v>
      </x:c>
      <x:c r="I1013" s="31" t="str">
        <x:v>—</x:v>
      </x:c>
      <x:c r="J1013" s="31" t="str">
        <x:v>—</x:v>
      </x:c>
      <x:c r="K1013" s="31" t="str">
        <x:v>—</x:v>
      </x:c>
      <x:c r="L1013" s="31" t="str">
        <x:v>—</x:v>
      </x:c>
      <x:c r="M1013" s="31" t="str">
        <x:v>포함</x:v>
      </x:c>
    </x:row>
    <x:row r="1014">
      <x:c r="A1014" s="34" t="n">
        <x:v>1010</x:v>
      </x:c>
      <x:c r="B1014" s="30" t="str">
        <x:v>무쇠잎새</x:v>
      </x:c>
      <x:c r="C1014" s="30" t="str">
        <x:v>ironleaves</x:v>
      </x:c>
      <x:c r="D1014" s="36" t="n">
        <x:v>9</x:v>
      </x:c>
      <x:c r="E1014" s="31" t="str">
        <x:v>—</x:v>
      </x:c>
      <x:c r="F1014" s="31" t="str">
        <x:v>—</x:v>
      </x:c>
      <x:c r="G1014" s="31" t="str">
        <x:v>—</x:v>
      </x:c>
      <x:c r="H1014" s="31" t="str">
        <x:v>—</x:v>
      </x:c>
      <x:c r="I1014" s="31" t="str">
        <x:v>—</x:v>
      </x:c>
      <x:c r="J1014" s="31" t="str">
        <x:v>—</x:v>
      </x:c>
      <x:c r="K1014" s="31" t="str">
        <x:v>—</x:v>
      </x:c>
      <x:c r="L1014" s="31" t="str">
        <x:v>—</x:v>
      </x:c>
      <x:c r="M1014" s="31" t="str">
        <x:v>포함</x:v>
      </x:c>
    </x:row>
    <x:row r="1015">
      <x:c r="A1015" s="34" t="n">
        <x:v>1011</x:v>
      </x:c>
      <x:c r="B1015" s="30" t="str">
        <x:v>과미르</x:v>
      </x:c>
      <x:c r="C1015" s="30" t="str">
        <x:v>dipplin</x:v>
      </x:c>
      <x:c r="D1015" s="36" t="n">
        <x:v>9</x:v>
      </x:c>
      <x:c r="E1015" s="31" t="str">
        <x:v>—</x:v>
      </x:c>
      <x:c r="F1015" s="31" t="str">
        <x:v>—</x:v>
      </x:c>
      <x:c r="G1015" s="31" t="str">
        <x:v>—</x:v>
      </x:c>
      <x:c r="H1015" s="31" t="str">
        <x:v>—</x:v>
      </x:c>
      <x:c r="I1015" s="31" t="str">
        <x:v>—</x:v>
      </x:c>
      <x:c r="J1015" s="31" t="str">
        <x:v>—</x:v>
      </x:c>
      <x:c r="K1015" s="31" t="str">
        <x:v>—</x:v>
      </x:c>
      <x:c r="L1015" s="31" t="str">
        <x:v>—</x:v>
      </x:c>
      <x:c r="M1015" s="31" t="str">
        <x:v>포함</x:v>
      </x:c>
    </x:row>
    <x:row r="1016">
      <x:c r="A1016" s="34" t="n">
        <x:v>1012</x:v>
      </x:c>
      <x:c r="B1016" s="30" t="str">
        <x:v>차데스</x:v>
      </x:c>
      <x:c r="C1016" s="30" t="str">
        <x:v>poltchageist</x:v>
      </x:c>
      <x:c r="D1016" s="36" t="n">
        <x:v>9</x:v>
      </x:c>
      <x:c r="E1016" s="31" t="str">
        <x:v>—</x:v>
      </x:c>
      <x:c r="F1016" s="31" t="str">
        <x:v>—</x:v>
      </x:c>
      <x:c r="G1016" s="31" t="str">
        <x:v>—</x:v>
      </x:c>
      <x:c r="H1016" s="31" t="str">
        <x:v>—</x:v>
      </x:c>
      <x:c r="I1016" s="31" t="str">
        <x:v>—</x:v>
      </x:c>
      <x:c r="J1016" s="31" t="str">
        <x:v>—</x:v>
      </x:c>
      <x:c r="K1016" s="31" t="str">
        <x:v>—</x:v>
      </x:c>
      <x:c r="L1016" s="31" t="str">
        <x:v>—</x:v>
      </x:c>
      <x:c r="M1016" s="31" t="str">
        <x:v>포함</x:v>
      </x:c>
    </x:row>
    <x:row r="1017">
      <x:c r="A1017" s="34" t="n">
        <x:v>1013</x:v>
      </x:c>
      <x:c r="B1017" s="30" t="str">
        <x:v>그우린차</x:v>
      </x:c>
      <x:c r="C1017" s="30" t="str">
        <x:v>sinistcha</x:v>
      </x:c>
      <x:c r="D1017" s="36" t="n">
        <x:v>9</x:v>
      </x:c>
      <x:c r="E1017" s="31" t="str">
        <x:v>—</x:v>
      </x:c>
      <x:c r="F1017" s="31" t="str">
        <x:v>—</x:v>
      </x:c>
      <x:c r="G1017" s="31" t="str">
        <x:v>—</x:v>
      </x:c>
      <x:c r="H1017" s="31" t="str">
        <x:v>—</x:v>
      </x:c>
      <x:c r="I1017" s="31" t="str">
        <x:v>—</x:v>
      </x:c>
      <x:c r="J1017" s="31" t="str">
        <x:v>—</x:v>
      </x:c>
      <x:c r="K1017" s="31" t="str">
        <x:v>—</x:v>
      </x:c>
      <x:c r="L1017" s="31" t="str">
        <x:v>—</x:v>
      </x:c>
      <x:c r="M1017" s="31" t="str">
        <x:v>포함</x:v>
      </x:c>
    </x:row>
    <x:row r="1018">
      <x:c r="A1018" s="34" t="n">
        <x:v>1014</x:v>
      </x:c>
      <x:c r="B1018" s="30" t="str">
        <x:v>조타구</x:v>
      </x:c>
      <x:c r="C1018" s="30" t="str">
        <x:v>okidogi</x:v>
      </x:c>
      <x:c r="D1018" s="36" t="n">
        <x:v>9</x:v>
      </x:c>
      <x:c r="E1018" s="31" t="str">
        <x:v>—</x:v>
      </x:c>
      <x:c r="F1018" s="31" t="str">
        <x:v>—</x:v>
      </x:c>
      <x:c r="G1018" s="31" t="str">
        <x:v>—</x:v>
      </x:c>
      <x:c r="H1018" s="31" t="str">
        <x:v>—</x:v>
      </x:c>
      <x:c r="I1018" s="31" t="str">
        <x:v>—</x:v>
      </x:c>
      <x:c r="J1018" s="31" t="str">
        <x:v>—</x:v>
      </x:c>
      <x:c r="K1018" s="31" t="str">
        <x:v>—</x:v>
      </x:c>
      <x:c r="L1018" s="31" t="str">
        <x:v>—</x:v>
      </x:c>
      <x:c r="M1018" s="31" t="str">
        <x:v>포함</x:v>
      </x:c>
    </x:row>
    <x:row r="1019">
      <x:c r="A1019" s="34" t="n">
        <x:v>1015</x:v>
      </x:c>
      <x:c r="B1019" s="30" t="str">
        <x:v>이야후</x:v>
      </x:c>
      <x:c r="C1019" s="30" t="str">
        <x:v>munkidori</x:v>
      </x:c>
      <x:c r="D1019" s="36" t="n">
        <x:v>9</x:v>
      </x:c>
      <x:c r="E1019" s="31" t="str">
        <x:v>—</x:v>
      </x:c>
      <x:c r="F1019" s="31" t="str">
        <x:v>—</x:v>
      </x:c>
      <x:c r="G1019" s="31" t="str">
        <x:v>—</x:v>
      </x:c>
      <x:c r="H1019" s="31" t="str">
        <x:v>—</x:v>
      </x:c>
      <x:c r="I1019" s="31" t="str">
        <x:v>—</x:v>
      </x:c>
      <x:c r="J1019" s="31" t="str">
        <x:v>—</x:v>
      </x:c>
      <x:c r="K1019" s="31" t="str">
        <x:v>—</x:v>
      </x:c>
      <x:c r="L1019" s="31" t="str">
        <x:v>—</x:v>
      </x:c>
      <x:c r="M1019" s="31" t="str">
        <x:v>포함</x:v>
      </x:c>
    </x:row>
    <x:row r="1020">
      <x:c r="A1020" s="34" t="n">
        <x:v>1016</x:v>
      </x:c>
      <x:c r="B1020" s="30" t="str">
        <x:v>기로치</x:v>
      </x:c>
      <x:c r="C1020" s="30" t="str">
        <x:v>fezandipiti</x:v>
      </x:c>
      <x:c r="D1020" s="36" t="n">
        <x:v>9</x:v>
      </x:c>
      <x:c r="E1020" s="31" t="str">
        <x:v>—</x:v>
      </x:c>
      <x:c r="F1020" s="31" t="str">
        <x:v>—</x:v>
      </x:c>
      <x:c r="G1020" s="31" t="str">
        <x:v>—</x:v>
      </x:c>
      <x:c r="H1020" s="31" t="str">
        <x:v>—</x:v>
      </x:c>
      <x:c r="I1020" s="31" t="str">
        <x:v>—</x:v>
      </x:c>
      <x:c r="J1020" s="31" t="str">
        <x:v>—</x:v>
      </x:c>
      <x:c r="K1020" s="31" t="str">
        <x:v>—</x:v>
      </x:c>
      <x:c r="L1020" s="31" t="str">
        <x:v>—</x:v>
      </x:c>
      <x:c r="M1020" s="31" t="str">
        <x:v>포함</x:v>
      </x:c>
    </x:row>
    <x:row r="1021">
      <x:c r="A1021" s="34" t="n">
        <x:v>1017</x:v>
      </x:c>
      <x:c r="B1021" s="30" t="str">
        <x:v>오거폰</x:v>
      </x:c>
      <x:c r="C1021" s="30" t="str">
        <x:v>ogerpon</x:v>
      </x:c>
      <x:c r="D1021" s="36" t="n">
        <x:v>9</x:v>
      </x:c>
      <x:c r="E1021" s="31" t="str">
        <x:v>—</x:v>
      </x:c>
      <x:c r="F1021" s="31" t="str">
        <x:v>—</x:v>
      </x:c>
      <x:c r="G1021" s="31" t="str">
        <x:v>—</x:v>
      </x:c>
      <x:c r="H1021" s="31" t="str">
        <x:v>—</x:v>
      </x:c>
      <x:c r="I1021" s="31" t="str">
        <x:v>—</x:v>
      </x:c>
      <x:c r="J1021" s="31" t="str">
        <x:v>—</x:v>
      </x:c>
      <x:c r="K1021" s="31" t="str">
        <x:v>—</x:v>
      </x:c>
      <x:c r="L1021" s="31" t="str">
        <x:v>—</x:v>
      </x:c>
      <x:c r="M1021" s="31" t="str">
        <x:v>포함</x:v>
      </x:c>
    </x:row>
    <x:row r="1022">
      <x:c r="A1022" s="34" t="n">
        <x:v>1018</x:v>
      </x:c>
      <x:c r="B1022" s="30" t="str">
        <x:v>브리두라스</x:v>
      </x:c>
      <x:c r="C1022" s="30" t="str">
        <x:v>archaludon</x:v>
      </x:c>
      <x:c r="D1022" s="36" t="n">
        <x:v>9</x:v>
      </x:c>
      <x:c r="E1022" s="31" t="str">
        <x:v>—</x:v>
      </x:c>
      <x:c r="F1022" s="31" t="str">
        <x:v>—</x:v>
      </x:c>
      <x:c r="G1022" s="31" t="str">
        <x:v>—</x:v>
      </x:c>
      <x:c r="H1022" s="31" t="str">
        <x:v>—</x:v>
      </x:c>
      <x:c r="I1022" s="31" t="str">
        <x:v>—</x:v>
      </x:c>
      <x:c r="J1022" s="31" t="str">
        <x:v>—</x:v>
      </x:c>
      <x:c r="K1022" s="31" t="str">
        <x:v>—</x:v>
      </x:c>
      <x:c r="L1022" s="31" t="str">
        <x:v>—</x:v>
      </x:c>
      <x:c r="M1022" s="31" t="str">
        <x:v>포함</x:v>
      </x:c>
    </x:row>
    <x:row r="1023">
      <x:c r="A1023" s="34" t="n">
        <x:v>1019</x:v>
      </x:c>
      <x:c r="B1023" s="30" t="str">
        <x:v>과미드라</x:v>
      </x:c>
      <x:c r="C1023" s="30" t="str">
        <x:v>hydrapple</x:v>
      </x:c>
      <x:c r="D1023" s="36" t="n">
        <x:v>9</x:v>
      </x:c>
      <x:c r="E1023" s="31" t="str">
        <x:v>—</x:v>
      </x:c>
      <x:c r="F1023" s="31" t="str">
        <x:v>—</x:v>
      </x:c>
      <x:c r="G1023" s="31" t="str">
        <x:v>—</x:v>
      </x:c>
      <x:c r="H1023" s="31" t="str">
        <x:v>—</x:v>
      </x:c>
      <x:c r="I1023" s="31" t="str">
        <x:v>—</x:v>
      </x:c>
      <x:c r="J1023" s="31" t="str">
        <x:v>—</x:v>
      </x:c>
      <x:c r="K1023" s="31" t="str">
        <x:v>—</x:v>
      </x:c>
      <x:c r="L1023" s="31" t="str">
        <x:v>—</x:v>
      </x:c>
      <x:c r="M1023" s="31" t="str">
        <x:v>포함</x:v>
      </x:c>
    </x:row>
    <x:row r="1024">
      <x:c r="A1024" s="34" t="n">
        <x:v>1020</x:v>
      </x:c>
      <x:c r="B1024" s="30" t="str">
        <x:v>꿰뚫는화염</x:v>
      </x:c>
      <x:c r="C1024" s="30" t="str">
        <x:v>gougingfire</x:v>
      </x:c>
      <x:c r="D1024" s="36" t="n">
        <x:v>9</x:v>
      </x:c>
      <x:c r="E1024" s="31" t="str">
        <x:v>—</x:v>
      </x:c>
      <x:c r="F1024" s="31" t="str">
        <x:v>—</x:v>
      </x:c>
      <x:c r="G1024" s="31" t="str">
        <x:v>—</x:v>
      </x:c>
      <x:c r="H1024" s="31" t="str">
        <x:v>—</x:v>
      </x:c>
      <x:c r="I1024" s="31" t="str">
        <x:v>—</x:v>
      </x:c>
      <x:c r="J1024" s="31" t="str">
        <x:v>—</x:v>
      </x:c>
      <x:c r="K1024" s="31" t="str">
        <x:v>—</x:v>
      </x:c>
      <x:c r="L1024" s="31" t="str">
        <x:v>—</x:v>
      </x:c>
      <x:c r="M1024" s="31" t="str">
        <x:v>포함</x:v>
      </x:c>
    </x:row>
    <x:row r="1025">
      <x:c r="A1025" s="34" t="n">
        <x:v>1021</x:v>
      </x:c>
      <x:c r="B1025" s="30" t="str">
        <x:v>날뛰는우레</x:v>
      </x:c>
      <x:c r="C1025" s="30" t="str">
        <x:v>ragingbolt</x:v>
      </x:c>
      <x:c r="D1025" s="36" t="n">
        <x:v>9</x:v>
      </x:c>
      <x:c r="E1025" s="31" t="str">
        <x:v>—</x:v>
      </x:c>
      <x:c r="F1025" s="31" t="str">
        <x:v>—</x:v>
      </x:c>
      <x:c r="G1025" s="31" t="str">
        <x:v>—</x:v>
      </x:c>
      <x:c r="H1025" s="31" t="str">
        <x:v>—</x:v>
      </x:c>
      <x:c r="I1025" s="31" t="str">
        <x:v>—</x:v>
      </x:c>
      <x:c r="J1025" s="31" t="str">
        <x:v>—</x:v>
      </x:c>
      <x:c r="K1025" s="31" t="str">
        <x:v>—</x:v>
      </x:c>
      <x:c r="L1025" s="31" t="str">
        <x:v>—</x:v>
      </x:c>
      <x:c r="M1025" s="31" t="str">
        <x:v>포함</x:v>
      </x:c>
    </x:row>
    <x:row r="1026">
      <x:c r="A1026" s="34" t="n">
        <x:v>1022</x:v>
      </x:c>
      <x:c r="B1026" s="30" t="str">
        <x:v>무쇠암석</x:v>
      </x:c>
      <x:c r="C1026" s="30" t="str">
        <x:v>ironboulder</x:v>
      </x:c>
      <x:c r="D1026" s="36" t="n">
        <x:v>9</x:v>
      </x:c>
      <x:c r="E1026" s="31" t="str">
        <x:v>—</x:v>
      </x:c>
      <x:c r="F1026" s="31" t="str">
        <x:v>—</x:v>
      </x:c>
      <x:c r="G1026" s="31" t="str">
        <x:v>—</x:v>
      </x:c>
      <x:c r="H1026" s="31" t="str">
        <x:v>—</x:v>
      </x:c>
      <x:c r="I1026" s="31" t="str">
        <x:v>—</x:v>
      </x:c>
      <x:c r="J1026" s="31" t="str">
        <x:v>—</x:v>
      </x:c>
      <x:c r="K1026" s="31" t="str">
        <x:v>—</x:v>
      </x:c>
      <x:c r="L1026" s="31" t="str">
        <x:v>—</x:v>
      </x:c>
      <x:c r="M1026" s="31" t="str">
        <x:v>포함</x:v>
      </x:c>
    </x:row>
    <x:row r="1027">
      <x:c r="A1027" s="34" t="n">
        <x:v>1023</x:v>
      </x:c>
      <x:c r="B1027" s="30" t="str">
        <x:v>무쇠감투</x:v>
      </x:c>
      <x:c r="C1027" s="30" t="str">
        <x:v>ironcrown</x:v>
      </x:c>
      <x:c r="D1027" s="36" t="n">
        <x:v>9</x:v>
      </x:c>
      <x:c r="E1027" s="31" t="str">
        <x:v>—</x:v>
      </x:c>
      <x:c r="F1027" s="31" t="str">
        <x:v>—</x:v>
      </x:c>
      <x:c r="G1027" s="31" t="str">
        <x:v>—</x:v>
      </x:c>
      <x:c r="H1027" s="31" t="str">
        <x:v>—</x:v>
      </x:c>
      <x:c r="I1027" s="31" t="str">
        <x:v>—</x:v>
      </x:c>
      <x:c r="J1027" s="31" t="str">
        <x:v>—</x:v>
      </x:c>
      <x:c r="K1027" s="31" t="str">
        <x:v>—</x:v>
      </x:c>
      <x:c r="L1027" s="31" t="str">
        <x:v>—</x:v>
      </x:c>
      <x:c r="M1027" s="31" t="str">
        <x:v>포함</x:v>
      </x:c>
    </x:row>
    <x:row r="1028">
      <x:c r="A1028" s="34" t="n">
        <x:v>1024</x:v>
      </x:c>
      <x:c r="B1028" s="30" t="str">
        <x:v>테라파고스</x:v>
      </x:c>
      <x:c r="C1028" s="30" t="str">
        <x:v>terapagos</x:v>
      </x:c>
      <x:c r="D1028" s="36" t="n">
        <x:v>9</x:v>
      </x:c>
      <x:c r="E1028" s="31" t="str">
        <x:v>—</x:v>
      </x:c>
      <x:c r="F1028" s="31" t="str">
        <x:v>—</x:v>
      </x:c>
      <x:c r="G1028" s="31" t="str">
        <x:v>—</x:v>
      </x:c>
      <x:c r="H1028" s="31" t="str">
        <x:v>—</x:v>
      </x:c>
      <x:c r="I1028" s="31" t="str">
        <x:v>—</x:v>
      </x:c>
      <x:c r="J1028" s="31" t="str">
        <x:v>—</x:v>
      </x:c>
      <x:c r="K1028" s="31" t="str">
        <x:v>—</x:v>
      </x:c>
      <x:c r="L1028" s="31" t="str">
        <x:v>—</x:v>
      </x:c>
      <x:c r="M1028" s="31" t="str">
        <x:v>포함</x:v>
      </x:c>
    </x:row>
    <x:row r="1029">
      <x:c r="A1029" s="35" t="n">
        <x:v>1025</x:v>
      </x:c>
      <x:c r="B1029" s="32" t="str">
        <x:v>복숭악동</x:v>
      </x:c>
      <x:c r="C1029" s="32" t="str">
        <x:v>pecharunt</x:v>
      </x:c>
      <x:c r="D1029" s="37" t="n">
        <x:v>9</x:v>
      </x:c>
      <x:c r="E1029" s="33" t="str">
        <x:v>—</x:v>
      </x:c>
      <x:c r="F1029" s="33" t="str">
        <x:v>—</x:v>
      </x:c>
      <x:c r="G1029" s="33" t="str">
        <x:v>—</x:v>
      </x:c>
      <x:c r="H1029" s="33" t="str">
        <x:v>—</x:v>
      </x:c>
      <x:c r="I1029" s="33" t="str">
        <x:v>—</x:v>
      </x:c>
      <x:c r="J1029" s="33" t="str">
        <x:v>—</x:v>
      </x:c>
      <x:c r="K1029" s="33" t="str">
        <x:v>—</x:v>
      </x:c>
      <x:c r="L1029" s="33" t="str">
        <x:v>—</x:v>
      </x:c>
      <x:c r="M1029" s="33" t="str">
        <x:v>포함</x:v>
      </x:c>
    </x:row>
  </x:sheetData>
  <x:mergeCells>
    <x:mergeCell ref="A1:M1"/>
    <x:mergeCell ref="A2:M2"/>
  </x:mergeCells>
  <x:pageMargins left="0.7" right="0.7" top="0.75" bottom="0.75" header="0.3" footer="0.3"/>
  <x:legacyDrawing xmlns:r="http://schemas.openxmlformats.org/officeDocument/2006/relationships" r:id="R2f856238324e4530"/>
  <x:tableParts count="1">
    <x:tablePart xmlns:r="http://schemas.openxmlformats.org/officeDocument/2006/relationships" r:id="R3493877beb8e411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</x:cols>
  <x:sheetData>
    <x:row r="1" ht="28" customHeight="1">
      <x:c r="A1" s="40" t="str">
        <x:v>실제 런타임 포켓몬 출현 원본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</x:row>
    <x:row r="2" ht="28" customHeight="1">
      <x:c r="A2" s="44" t="str">
        <x:v>content/catalogs/pokemon-habitats.json 기준 · 전설/환상: https://pokeapi.co/api/v2/pokemon-species/ · 기본출현은 전설·환상 및 legendary 레어도를 제외합니다.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</x:row>
    <x:row r="4" ht="32" customHeight="1">
      <x:c r="A4" s="55" t="str">
        <x:v>덱스번호</x:v>
      </x:c>
      <x:c r="B4" s="55" t="str">
        <x:v>한글명</x:v>
      </x:c>
      <x:c r="C4" s="55" t="str">
        <x:v>영문ID</x:v>
      </x:c>
      <x:c r="D4" s="55" t="str">
        <x:v>주서식지</x:v>
      </x:c>
      <x:c r="E4" s="55" t="str">
        <x:v>레어도</x:v>
      </x:c>
      <x:c r="F4" s="55" t="str">
        <x:v>전설</x:v>
      </x:c>
      <x:c r="G4" s="55" t="str">
        <x:v>환상</x:v>
      </x:c>
      <x:c r="H4" s="55" t="str">
        <x:v>기본출현</x:v>
      </x:c>
      <x:c r="I4" s="55" t="str">
        <x:v>기본제외사유</x:v>
      </x:c>
      <x:c r="J4" s="55" t="str">
        <x:v>관동</x:v>
      </x:c>
      <x:c r="K4" s="55" t="str">
        <x:v>성도</x:v>
      </x:c>
      <x:c r="L4" s="55" t="str">
        <x:v>호연</x:v>
      </x:c>
      <x:c r="M4" s="55" t="str">
        <x:v>신오</x:v>
      </x:c>
      <x:c r="N4" s="55" t="str">
        <x:v>하나</x:v>
      </x:c>
      <x:c r="O4" s="55" t="str">
        <x:v>칼로스</x:v>
      </x:c>
      <x:c r="P4" s="55" t="str">
        <x:v>알로라</x:v>
      </x:c>
      <x:c r="Q4" s="55" t="str">
        <x:v>가라르</x:v>
      </x:c>
      <x:c r="R4" s="55" t="str">
        <x:v>팔데아</x:v>
      </x:c>
    </x:row>
    <x:row r="5">
      <x:c r="A5" s="60" t="n">
        <x:v>1</x:v>
      </x:c>
      <x:c r="B5" s="56" t="str">
        <x:v>이상해씨</x:v>
      </x:c>
      <x:c r="C5" s="56" t="str">
        <x:v>bulbasaur</x:v>
      </x:c>
      <x:c r="D5" s="56" t="str">
        <x:v>숲</x:v>
      </x:c>
      <x:c r="E5" s="56" t="str">
        <x:v>희귀</x:v>
      </x:c>
      <x:c r="F5" s="56" t="str">
        <x:v>아니오</x:v>
      </x:c>
      <x:c r="G5" s="56" t="str">
        <x:v>아니오</x:v>
      </x:c>
      <x:c r="H5" s="56" t="str">
        <x:v>예</x:v>
      </x:c>
      <x:c r="I5" s="56" t="str">
        <x:v>—</x:v>
      </x:c>
      <x:c r="J5" s="57" t="str">
        <x:v>포함</x:v>
      </x:c>
      <x:c r="K5" s="57" t="str">
        <x:v>포함</x:v>
      </x:c>
      <x:c r="L5" s="57" t="str">
        <x:v>—</x:v>
      </x:c>
      <x:c r="M5" s="57" t="str">
        <x:v>—</x:v>
      </x:c>
      <x:c r="N5" s="57" t="str">
        <x:v>—</x:v>
      </x:c>
      <x:c r="O5" s="57" t="str">
        <x:v>포함</x:v>
      </x:c>
      <x:c r="P5" s="57" t="str">
        <x:v>—</x:v>
      </x:c>
      <x:c r="Q5" s="57" t="str">
        <x:v>포함</x:v>
      </x:c>
      <x:c r="R5" s="57" t="str">
        <x:v>포함</x:v>
      </x:c>
    </x:row>
    <x:row r="6">
      <x:c r="A6" s="60" t="n">
        <x:v>2</x:v>
      </x:c>
      <x:c r="B6" s="56" t="str">
        <x:v>이상해풀</x:v>
      </x:c>
      <x:c r="C6" s="56" t="str">
        <x:v>ivysaur</x:v>
      </x:c>
      <x:c r="D6" s="56" t="str">
        <x:v>숲</x:v>
      </x:c>
      <x:c r="E6" s="56" t="str">
        <x:v>희귀</x:v>
      </x:c>
      <x:c r="F6" s="56" t="str">
        <x:v>아니오</x:v>
      </x:c>
      <x:c r="G6" s="56" t="str">
        <x:v>아니오</x:v>
      </x:c>
      <x:c r="H6" s="56" t="str">
        <x:v>예</x:v>
      </x:c>
      <x:c r="I6" s="56" t="str">
        <x:v>—</x:v>
      </x:c>
      <x:c r="J6" s="57" t="str">
        <x:v>포함</x:v>
      </x:c>
      <x:c r="K6" s="57" t="str">
        <x:v>포함</x:v>
      </x:c>
      <x:c r="L6" s="57" t="str">
        <x:v>—</x:v>
      </x:c>
      <x:c r="M6" s="57" t="str">
        <x:v>—</x:v>
      </x:c>
      <x:c r="N6" s="57" t="str">
        <x:v>—</x:v>
      </x:c>
      <x:c r="O6" s="57" t="str">
        <x:v>포함</x:v>
      </x:c>
      <x:c r="P6" s="57" t="str">
        <x:v>—</x:v>
      </x:c>
      <x:c r="Q6" s="57" t="str">
        <x:v>포함</x:v>
      </x:c>
      <x:c r="R6" s="57" t="str">
        <x:v>포함</x:v>
      </x:c>
    </x:row>
    <x:row r="7">
      <x:c r="A7" s="60" t="n">
        <x:v>3</x:v>
      </x:c>
      <x:c r="B7" s="56" t="str">
        <x:v>이상해꽃</x:v>
      </x:c>
      <x:c r="C7" s="56" t="str">
        <x:v>venusaur</x:v>
      </x:c>
      <x:c r="D7" s="56" t="str">
        <x:v>숲</x:v>
      </x:c>
      <x:c r="E7" s="56" t="str">
        <x:v>희귀</x:v>
      </x:c>
      <x:c r="F7" s="56" t="str">
        <x:v>아니오</x:v>
      </x:c>
      <x:c r="G7" s="56" t="str">
        <x:v>아니오</x:v>
      </x:c>
      <x:c r="H7" s="56" t="str">
        <x:v>예</x:v>
      </x:c>
      <x:c r="I7" s="56" t="str">
        <x:v>—</x:v>
      </x:c>
      <x:c r="J7" s="57" t="str">
        <x:v>포함</x:v>
      </x:c>
      <x:c r="K7" s="57" t="str">
        <x:v>포함</x:v>
      </x:c>
      <x:c r="L7" s="57" t="str">
        <x:v>—</x:v>
      </x:c>
      <x:c r="M7" s="57" t="str">
        <x:v>—</x:v>
      </x:c>
      <x:c r="N7" s="57" t="str">
        <x:v>—</x:v>
      </x:c>
      <x:c r="O7" s="57" t="str">
        <x:v>포함</x:v>
      </x:c>
      <x:c r="P7" s="57" t="str">
        <x:v>—</x:v>
      </x:c>
      <x:c r="Q7" s="57" t="str">
        <x:v>포함</x:v>
      </x:c>
      <x:c r="R7" s="57" t="str">
        <x:v>포함</x:v>
      </x:c>
    </x:row>
    <x:row r="8">
      <x:c r="A8" s="60" t="n">
        <x:v>4</x:v>
      </x:c>
      <x:c r="B8" s="56" t="str">
        <x:v>파이리</x:v>
      </x:c>
      <x:c r="C8" s="56" t="str">
        <x:v>charmander</x:v>
      </x:c>
      <x:c r="D8" s="56" t="str">
        <x:v>화산</x:v>
      </x:c>
      <x:c r="E8" s="56" t="str">
        <x:v>희귀</x:v>
      </x:c>
      <x:c r="F8" s="56" t="str">
        <x:v>아니오</x:v>
      </x:c>
      <x:c r="G8" s="56" t="str">
        <x:v>아니오</x:v>
      </x:c>
      <x:c r="H8" s="56" t="str">
        <x:v>예</x:v>
      </x:c>
      <x:c r="I8" s="56" t="str">
        <x:v>—</x:v>
      </x:c>
      <x:c r="J8" s="57" t="str">
        <x:v>포함</x:v>
      </x:c>
      <x:c r="K8" s="57" t="str">
        <x:v>포함</x:v>
      </x:c>
      <x:c r="L8" s="57" t="str">
        <x:v>—</x:v>
      </x:c>
      <x:c r="M8" s="57" t="str">
        <x:v>—</x:v>
      </x:c>
      <x:c r="N8" s="57" t="str">
        <x:v>—</x:v>
      </x:c>
      <x:c r="O8" s="57" t="str">
        <x:v>포함</x:v>
      </x:c>
      <x:c r="P8" s="57" t="str">
        <x:v>—</x:v>
      </x:c>
      <x:c r="Q8" s="57" t="str">
        <x:v>포함</x:v>
      </x:c>
      <x:c r="R8" s="57" t="str">
        <x:v>포함</x:v>
      </x:c>
    </x:row>
    <x:row r="9">
      <x:c r="A9" s="60" t="n">
        <x:v>5</x:v>
      </x:c>
      <x:c r="B9" s="56" t="str">
        <x:v>리자드</x:v>
      </x:c>
      <x:c r="C9" s="56" t="str">
        <x:v>charmeleon</x:v>
      </x:c>
      <x:c r="D9" s="56" t="str">
        <x:v>화산</x:v>
      </x:c>
      <x:c r="E9" s="56" t="str">
        <x:v>희귀</x:v>
      </x:c>
      <x:c r="F9" s="56" t="str">
        <x:v>아니오</x:v>
      </x:c>
      <x:c r="G9" s="56" t="str">
        <x:v>아니오</x:v>
      </x:c>
      <x:c r="H9" s="56" t="str">
        <x:v>예</x:v>
      </x:c>
      <x:c r="I9" s="56" t="str">
        <x:v>—</x:v>
      </x:c>
      <x:c r="J9" s="57" t="str">
        <x:v>포함</x:v>
      </x:c>
      <x:c r="K9" s="57" t="str">
        <x:v>포함</x:v>
      </x:c>
      <x:c r="L9" s="57" t="str">
        <x:v>—</x:v>
      </x:c>
      <x:c r="M9" s="57" t="str">
        <x:v>—</x:v>
      </x:c>
      <x:c r="N9" s="57" t="str">
        <x:v>—</x:v>
      </x:c>
      <x:c r="O9" s="57" t="str">
        <x:v>포함</x:v>
      </x:c>
      <x:c r="P9" s="57" t="str">
        <x:v>—</x:v>
      </x:c>
      <x:c r="Q9" s="57" t="str">
        <x:v>포함</x:v>
      </x:c>
      <x:c r="R9" s="57" t="str">
        <x:v>포함</x:v>
      </x:c>
    </x:row>
    <x:row r="10">
      <x:c r="A10" s="60" t="n">
        <x:v>6</x:v>
      </x:c>
      <x:c r="B10" s="56" t="str">
        <x:v>리자몽</x:v>
      </x:c>
      <x:c r="C10" s="56" t="str">
        <x:v>charizard</x:v>
      </x:c>
      <x:c r="D10" s="56" t="str">
        <x:v>화산</x:v>
      </x:c>
      <x:c r="E10" s="56" t="str">
        <x:v>희귀</x:v>
      </x:c>
      <x:c r="F10" s="56" t="str">
        <x:v>아니오</x:v>
      </x:c>
      <x:c r="G10" s="56" t="str">
        <x:v>아니오</x:v>
      </x:c>
      <x:c r="H10" s="56" t="str">
        <x:v>예</x:v>
      </x:c>
      <x:c r="I10" s="56" t="str">
        <x:v>—</x:v>
      </x:c>
      <x:c r="J10" s="57" t="str">
        <x:v>포함</x:v>
      </x:c>
      <x:c r="K10" s="57" t="str">
        <x:v>포함</x:v>
      </x:c>
      <x:c r="L10" s="57" t="str">
        <x:v>—</x:v>
      </x:c>
      <x:c r="M10" s="57" t="str">
        <x:v>—</x:v>
      </x:c>
      <x:c r="N10" s="57" t="str">
        <x:v>—</x:v>
      </x:c>
      <x:c r="O10" s="57" t="str">
        <x:v>포함</x:v>
      </x:c>
      <x:c r="P10" s="57" t="str">
        <x:v>—</x:v>
      </x:c>
      <x:c r="Q10" s="57" t="str">
        <x:v>포함</x:v>
      </x:c>
      <x:c r="R10" s="57" t="str">
        <x:v>포함</x:v>
      </x:c>
    </x:row>
    <x:row r="11">
      <x:c r="A11" s="60" t="n">
        <x:v>7</x:v>
      </x:c>
      <x:c r="B11" s="56" t="str">
        <x:v>꼬부기</x:v>
      </x:c>
      <x:c r="C11" s="56" t="str">
        <x:v>squirtle</x:v>
      </x:c>
      <x:c r="D11" s="56" t="str">
        <x:v>담수</x:v>
      </x:c>
      <x:c r="E11" s="56" t="str">
        <x:v>희귀</x:v>
      </x:c>
      <x:c r="F11" s="56" t="str">
        <x:v>아니오</x:v>
      </x:c>
      <x:c r="G11" s="56" t="str">
        <x:v>아니오</x:v>
      </x:c>
      <x:c r="H11" s="56" t="str">
        <x:v>예</x:v>
      </x:c>
      <x:c r="I11" s="56" t="str">
        <x:v>—</x:v>
      </x:c>
      <x:c r="J11" s="57" t="str">
        <x:v>포함</x:v>
      </x:c>
      <x:c r="K11" s="57" t="str">
        <x:v>포함</x:v>
      </x:c>
      <x:c r="L11" s="57" t="str">
        <x:v>—</x:v>
      </x:c>
      <x:c r="M11" s="57" t="str">
        <x:v>—</x:v>
      </x:c>
      <x:c r="N11" s="57" t="str">
        <x:v>—</x:v>
      </x:c>
      <x:c r="O11" s="57" t="str">
        <x:v>포함</x:v>
      </x:c>
      <x:c r="P11" s="57" t="str">
        <x:v>—</x:v>
      </x:c>
      <x:c r="Q11" s="57" t="str">
        <x:v>포함</x:v>
      </x:c>
      <x:c r="R11" s="57" t="str">
        <x:v>포함</x:v>
      </x:c>
    </x:row>
    <x:row r="12">
      <x:c r="A12" s="60" t="n">
        <x:v>8</x:v>
      </x:c>
      <x:c r="B12" s="56" t="str">
        <x:v>어니부기</x:v>
      </x:c>
      <x:c r="C12" s="56" t="str">
        <x:v>wartortle</x:v>
      </x:c>
      <x:c r="D12" s="56" t="str">
        <x:v>담수</x:v>
      </x:c>
      <x:c r="E12" s="56" t="str">
        <x:v>희귀</x:v>
      </x:c>
      <x:c r="F12" s="56" t="str">
        <x:v>아니오</x:v>
      </x:c>
      <x:c r="G12" s="56" t="str">
        <x:v>아니오</x:v>
      </x:c>
      <x:c r="H12" s="56" t="str">
        <x:v>예</x:v>
      </x:c>
      <x:c r="I12" s="56" t="str">
        <x:v>—</x:v>
      </x:c>
      <x:c r="J12" s="57" t="str">
        <x:v>포함</x:v>
      </x:c>
      <x:c r="K12" s="57" t="str">
        <x:v>포함</x:v>
      </x:c>
      <x:c r="L12" s="57" t="str">
        <x:v>—</x:v>
      </x:c>
      <x:c r="M12" s="57" t="str">
        <x:v>—</x:v>
      </x:c>
      <x:c r="N12" s="57" t="str">
        <x:v>—</x:v>
      </x:c>
      <x:c r="O12" s="57" t="str">
        <x:v>포함</x:v>
      </x:c>
      <x:c r="P12" s="57" t="str">
        <x:v>—</x:v>
      </x:c>
      <x:c r="Q12" s="57" t="str">
        <x:v>포함</x:v>
      </x:c>
      <x:c r="R12" s="57" t="str">
        <x:v>포함</x:v>
      </x:c>
    </x:row>
    <x:row r="13">
      <x:c r="A13" s="60" t="n">
        <x:v>9</x:v>
      </x:c>
      <x:c r="B13" s="56" t="str">
        <x:v>거북왕</x:v>
      </x:c>
      <x:c r="C13" s="56" t="str">
        <x:v>blastoise</x:v>
      </x:c>
      <x:c r="D13" s="56" t="str">
        <x:v>담수</x:v>
      </x:c>
      <x:c r="E13" s="56" t="str">
        <x:v>희귀</x:v>
      </x:c>
      <x:c r="F13" s="56" t="str">
        <x:v>아니오</x:v>
      </x:c>
      <x:c r="G13" s="56" t="str">
        <x:v>아니오</x:v>
      </x:c>
      <x:c r="H13" s="56" t="str">
        <x:v>예</x:v>
      </x:c>
      <x:c r="I13" s="56" t="str">
        <x:v>—</x:v>
      </x:c>
      <x:c r="J13" s="57" t="str">
        <x:v>포함</x:v>
      </x:c>
      <x:c r="K13" s="57" t="str">
        <x:v>포함</x:v>
      </x:c>
      <x:c r="L13" s="57" t="str">
        <x:v>—</x:v>
      </x:c>
      <x:c r="M13" s="57" t="str">
        <x:v>—</x:v>
      </x:c>
      <x:c r="N13" s="57" t="str">
        <x:v>—</x:v>
      </x:c>
      <x:c r="O13" s="57" t="str">
        <x:v>포함</x:v>
      </x:c>
      <x:c r="P13" s="57" t="str">
        <x:v>—</x:v>
      </x:c>
      <x:c r="Q13" s="57" t="str">
        <x:v>포함</x:v>
      </x:c>
      <x:c r="R13" s="57" t="str">
        <x:v>포함</x:v>
      </x:c>
    </x:row>
    <x:row r="14">
      <x:c r="A14" s="60" t="n">
        <x:v>10</x:v>
      </x:c>
      <x:c r="B14" s="56" t="str">
        <x:v>캐터피</x:v>
      </x:c>
      <x:c r="C14" s="56" t="str">
        <x:v>caterpie</x:v>
      </x:c>
      <x:c r="D14" s="56" t="str">
        <x:v>숲</x:v>
      </x:c>
      <x:c r="E14" s="56" t="str">
        <x:v>흔함</x:v>
      </x:c>
      <x:c r="F14" s="56" t="str">
        <x:v>아니오</x:v>
      </x:c>
      <x:c r="G14" s="56" t="str">
        <x:v>아니오</x:v>
      </x:c>
      <x:c r="H14" s="56" t="str">
        <x:v>예</x:v>
      </x:c>
      <x:c r="I14" s="56" t="str">
        <x:v>—</x:v>
      </x:c>
      <x:c r="J14" s="57" t="str">
        <x:v>포함</x:v>
      </x:c>
      <x:c r="K14" s="57" t="str">
        <x:v>포함</x:v>
      </x:c>
      <x:c r="L14" s="57" t="str">
        <x:v>—</x:v>
      </x:c>
      <x:c r="M14" s="57" t="str">
        <x:v>—</x:v>
      </x:c>
      <x:c r="N14" s="57" t="str">
        <x:v>—</x:v>
      </x:c>
      <x:c r="O14" s="57" t="str">
        <x:v>포함</x:v>
      </x:c>
      <x:c r="P14" s="57" t="str">
        <x:v>포함</x:v>
      </x:c>
      <x:c r="Q14" s="57" t="str">
        <x:v>포함</x:v>
      </x:c>
      <x:c r="R14" s="57" t="str">
        <x:v>—</x:v>
      </x:c>
    </x:row>
    <x:row r="15">
      <x:c r="A15" s="60" t="n">
        <x:v>11</x:v>
      </x:c>
      <x:c r="B15" s="56" t="str">
        <x:v>단데기</x:v>
      </x:c>
      <x:c r="C15" s="56" t="str">
        <x:v>metapod</x:v>
      </x:c>
      <x:c r="D15" s="56" t="str">
        <x:v>숲</x:v>
      </x:c>
      <x:c r="E15" s="56" t="str">
        <x:v>흔함</x:v>
      </x:c>
      <x:c r="F15" s="56" t="str">
        <x:v>아니오</x:v>
      </x:c>
      <x:c r="G15" s="56" t="str">
        <x:v>아니오</x:v>
      </x:c>
      <x:c r="H15" s="56" t="str">
        <x:v>예</x:v>
      </x:c>
      <x:c r="I15" s="56" t="str">
        <x:v>—</x:v>
      </x:c>
      <x:c r="J15" s="57" t="str">
        <x:v>포함</x:v>
      </x:c>
      <x:c r="K15" s="57" t="str">
        <x:v>포함</x:v>
      </x:c>
      <x:c r="L15" s="57" t="str">
        <x:v>—</x:v>
      </x:c>
      <x:c r="M15" s="57" t="str">
        <x:v>—</x:v>
      </x:c>
      <x:c r="N15" s="57" t="str">
        <x:v>—</x:v>
      </x:c>
      <x:c r="O15" s="57" t="str">
        <x:v>포함</x:v>
      </x:c>
      <x:c r="P15" s="57" t="str">
        <x:v>포함</x:v>
      </x:c>
      <x:c r="Q15" s="57" t="str">
        <x:v>포함</x:v>
      </x:c>
      <x:c r="R15" s="57" t="str">
        <x:v>—</x:v>
      </x:c>
    </x:row>
    <x:row r="16">
      <x:c r="A16" s="60" t="n">
        <x:v>12</x:v>
      </x:c>
      <x:c r="B16" s="56" t="str">
        <x:v>버터플</x:v>
      </x:c>
      <x:c r="C16" s="56" t="str">
        <x:v>butterfree</x:v>
      </x:c>
      <x:c r="D16" s="56" t="str">
        <x:v>숲</x:v>
      </x:c>
      <x:c r="E16" s="56" t="str">
        <x:v>흔함</x:v>
      </x:c>
      <x:c r="F16" s="56" t="str">
        <x:v>아니오</x:v>
      </x:c>
      <x:c r="G16" s="56" t="str">
        <x:v>아니오</x:v>
      </x:c>
      <x:c r="H16" s="56" t="str">
        <x:v>예</x:v>
      </x:c>
      <x:c r="I16" s="56" t="str">
        <x:v>—</x:v>
      </x:c>
      <x:c r="J16" s="57" t="str">
        <x:v>포함</x:v>
      </x:c>
      <x:c r="K16" s="57" t="str">
        <x:v>포함</x:v>
      </x:c>
      <x:c r="L16" s="57" t="str">
        <x:v>—</x:v>
      </x:c>
      <x:c r="M16" s="57" t="str">
        <x:v>—</x:v>
      </x:c>
      <x:c r="N16" s="57" t="str">
        <x:v>—</x:v>
      </x:c>
      <x:c r="O16" s="57" t="str">
        <x:v>포함</x:v>
      </x:c>
      <x:c r="P16" s="57" t="str">
        <x:v>포함</x:v>
      </x:c>
      <x:c r="Q16" s="57" t="str">
        <x:v>포함</x:v>
      </x:c>
      <x:c r="R16" s="57" t="str">
        <x:v>—</x:v>
      </x:c>
    </x:row>
    <x:row r="17">
      <x:c r="A17" s="60" t="n">
        <x:v>13</x:v>
      </x:c>
      <x:c r="B17" s="56" t="str">
        <x:v>뿔충이</x:v>
      </x:c>
      <x:c r="C17" s="56" t="str">
        <x:v>weedle</x:v>
      </x:c>
      <x:c r="D17" s="56" t="str">
        <x:v>숲</x:v>
      </x:c>
      <x:c r="E17" s="56" t="str">
        <x:v>흔함</x:v>
      </x:c>
      <x:c r="F17" s="56" t="str">
        <x:v>아니오</x:v>
      </x:c>
      <x:c r="G17" s="56" t="str">
        <x:v>아니오</x:v>
      </x:c>
      <x:c r="H17" s="56" t="str">
        <x:v>예</x:v>
      </x:c>
      <x:c r="I17" s="56" t="str">
        <x:v>—</x:v>
      </x:c>
      <x:c r="J17" s="57" t="str">
        <x:v>포함</x:v>
      </x:c>
      <x:c r="K17" s="57" t="str">
        <x:v>포함</x:v>
      </x:c>
      <x:c r="L17" s="57" t="str">
        <x:v>—</x:v>
      </x:c>
      <x:c r="M17" s="57" t="str">
        <x:v>—</x:v>
      </x:c>
      <x:c r="N17" s="57" t="str">
        <x:v>—</x:v>
      </x:c>
      <x:c r="O17" s="57" t="str">
        <x:v>포함</x:v>
      </x:c>
      <x:c r="P17" s="57" t="str">
        <x:v>—</x:v>
      </x:c>
      <x:c r="Q17" s="57" t="str">
        <x:v>—</x:v>
      </x:c>
      <x:c r="R17" s="57" t="str">
        <x:v>—</x:v>
      </x:c>
    </x:row>
    <x:row r="18">
      <x:c r="A18" s="60" t="n">
        <x:v>14</x:v>
      </x:c>
      <x:c r="B18" s="56" t="str">
        <x:v>딱충이</x:v>
      </x:c>
      <x:c r="C18" s="56" t="str">
        <x:v>kakuna</x:v>
      </x:c>
      <x:c r="D18" s="56" t="str">
        <x:v>숲</x:v>
      </x:c>
      <x:c r="E18" s="56" t="str">
        <x:v>흔함</x:v>
      </x:c>
      <x:c r="F18" s="56" t="str">
        <x:v>아니오</x:v>
      </x:c>
      <x:c r="G18" s="56" t="str">
        <x:v>아니오</x:v>
      </x:c>
      <x:c r="H18" s="56" t="str">
        <x:v>예</x:v>
      </x:c>
      <x:c r="I18" s="56" t="str">
        <x:v>—</x:v>
      </x:c>
      <x:c r="J18" s="57" t="str">
        <x:v>포함</x:v>
      </x:c>
      <x:c r="K18" s="57" t="str">
        <x:v>포함</x:v>
      </x:c>
      <x:c r="L18" s="57" t="str">
        <x:v>—</x:v>
      </x:c>
      <x:c r="M18" s="57" t="str">
        <x:v>—</x:v>
      </x:c>
      <x:c r="N18" s="57" t="str">
        <x:v>—</x:v>
      </x:c>
      <x:c r="O18" s="57" t="str">
        <x:v>포함</x:v>
      </x:c>
      <x:c r="P18" s="57" t="str">
        <x:v>—</x:v>
      </x:c>
      <x:c r="Q18" s="57" t="str">
        <x:v>—</x:v>
      </x:c>
      <x:c r="R18" s="57" t="str">
        <x:v>—</x:v>
      </x:c>
    </x:row>
    <x:row r="19">
      <x:c r="A19" s="60" t="n">
        <x:v>15</x:v>
      </x:c>
      <x:c r="B19" s="56" t="str">
        <x:v>독침붕</x:v>
      </x:c>
      <x:c r="C19" s="56" t="str">
        <x:v>beedrill</x:v>
      </x:c>
      <x:c r="D19" s="56" t="str">
        <x:v>숲</x:v>
      </x:c>
      <x:c r="E19" s="56" t="str">
        <x:v>흔함</x:v>
      </x:c>
      <x:c r="F19" s="56" t="str">
        <x:v>아니오</x:v>
      </x:c>
      <x:c r="G19" s="56" t="str">
        <x:v>아니오</x:v>
      </x:c>
      <x:c r="H19" s="56" t="str">
        <x:v>예</x:v>
      </x:c>
      <x:c r="I19" s="56" t="str">
        <x:v>—</x:v>
      </x:c>
      <x:c r="J19" s="57" t="str">
        <x:v>포함</x:v>
      </x:c>
      <x:c r="K19" s="57" t="str">
        <x:v>포함</x:v>
      </x:c>
      <x:c r="L19" s="57" t="str">
        <x:v>—</x:v>
      </x:c>
      <x:c r="M19" s="57" t="str">
        <x:v>—</x:v>
      </x:c>
      <x:c r="N19" s="57" t="str">
        <x:v>—</x:v>
      </x:c>
      <x:c r="O19" s="57" t="str">
        <x:v>포함</x:v>
      </x:c>
      <x:c r="P19" s="57" t="str">
        <x:v>—</x:v>
      </x:c>
      <x:c r="Q19" s="57" t="str">
        <x:v>—</x:v>
      </x:c>
      <x:c r="R19" s="57" t="str">
        <x:v>—</x:v>
      </x:c>
    </x:row>
    <x:row r="20">
      <x:c r="A20" s="60" t="n">
        <x:v>16</x:v>
      </x:c>
      <x:c r="B20" s="56" t="str">
        <x:v>구구</x:v>
      </x:c>
      <x:c r="C20" s="56" t="str">
        <x:v>pidgey</x:v>
      </x:c>
      <x:c r="D20" s="56" t="str">
        <x:v>숲</x:v>
      </x:c>
      <x:c r="E20" s="56" t="str">
        <x:v>흔함</x:v>
      </x:c>
      <x:c r="F20" s="56" t="str">
        <x:v>아니오</x:v>
      </x:c>
      <x:c r="G20" s="56" t="str">
        <x:v>아니오</x:v>
      </x:c>
      <x:c r="H20" s="56" t="str">
        <x:v>예</x:v>
      </x:c>
      <x:c r="I20" s="56" t="str">
        <x:v>—</x:v>
      </x:c>
      <x:c r="J20" s="57" t="str">
        <x:v>포함</x:v>
      </x:c>
      <x:c r="K20" s="57" t="str">
        <x:v>포함</x:v>
      </x:c>
      <x:c r="L20" s="57" t="str">
        <x:v>—</x:v>
      </x:c>
      <x:c r="M20" s="57" t="str">
        <x:v>—</x:v>
      </x:c>
      <x:c r="N20" s="57" t="str">
        <x:v>—</x:v>
      </x:c>
      <x:c r="O20" s="57" t="str">
        <x:v>포함</x:v>
      </x:c>
      <x:c r="P20" s="57" t="str">
        <x:v>—</x:v>
      </x:c>
      <x:c r="Q20" s="57" t="str">
        <x:v>—</x:v>
      </x:c>
      <x:c r="R20" s="57" t="str">
        <x:v>—</x:v>
      </x:c>
    </x:row>
    <x:row r="21">
      <x:c r="A21" s="60" t="n">
        <x:v>17</x:v>
      </x:c>
      <x:c r="B21" s="56" t="str">
        <x:v>피죤</x:v>
      </x:c>
      <x:c r="C21" s="56" t="str">
        <x:v>pidgeotto</x:v>
      </x:c>
      <x:c r="D21" s="56" t="str">
        <x:v>숲</x:v>
      </x:c>
      <x:c r="E21" s="56" t="str">
        <x:v>흔함</x:v>
      </x:c>
      <x:c r="F21" s="56" t="str">
        <x:v>아니오</x:v>
      </x:c>
      <x:c r="G21" s="56" t="str">
        <x:v>아니오</x:v>
      </x:c>
      <x:c r="H21" s="56" t="str">
        <x:v>예</x:v>
      </x:c>
      <x:c r="I21" s="56" t="str">
        <x:v>—</x:v>
      </x:c>
      <x:c r="J21" s="57" t="str">
        <x:v>포함</x:v>
      </x:c>
      <x:c r="K21" s="57" t="str">
        <x:v>포함</x:v>
      </x:c>
      <x:c r="L21" s="57" t="str">
        <x:v>—</x:v>
      </x:c>
      <x:c r="M21" s="57" t="str">
        <x:v>—</x:v>
      </x:c>
      <x:c r="N21" s="57" t="str">
        <x:v>—</x:v>
      </x:c>
      <x:c r="O21" s="57" t="str">
        <x:v>포함</x:v>
      </x:c>
      <x:c r="P21" s="57" t="str">
        <x:v>—</x:v>
      </x:c>
      <x:c r="Q21" s="57" t="str">
        <x:v>—</x:v>
      </x:c>
      <x:c r="R21" s="57" t="str">
        <x:v>—</x:v>
      </x:c>
    </x:row>
    <x:row r="22">
      <x:c r="A22" s="60" t="n">
        <x:v>18</x:v>
      </x:c>
      <x:c r="B22" s="56" t="str">
        <x:v>피죤투</x:v>
      </x:c>
      <x:c r="C22" s="56" t="str">
        <x:v>pidgeot</x:v>
      </x:c>
      <x:c r="D22" s="56" t="str">
        <x:v>숲</x:v>
      </x:c>
      <x:c r="E22" s="56" t="str">
        <x:v>흔함</x:v>
      </x:c>
      <x:c r="F22" s="56" t="str">
        <x:v>아니오</x:v>
      </x:c>
      <x:c r="G22" s="56" t="str">
        <x:v>아니오</x:v>
      </x:c>
      <x:c r="H22" s="56" t="str">
        <x:v>예</x:v>
      </x:c>
      <x:c r="I22" s="56" t="str">
        <x:v>—</x:v>
      </x:c>
      <x:c r="J22" s="57" t="str">
        <x:v>포함</x:v>
      </x:c>
      <x:c r="K22" s="57" t="str">
        <x:v>포함</x:v>
      </x:c>
      <x:c r="L22" s="57" t="str">
        <x:v>—</x:v>
      </x:c>
      <x:c r="M22" s="57" t="str">
        <x:v>—</x:v>
      </x:c>
      <x:c r="N22" s="57" t="str">
        <x:v>—</x:v>
      </x:c>
      <x:c r="O22" s="57" t="str">
        <x:v>포함</x:v>
      </x:c>
      <x:c r="P22" s="57" t="str">
        <x:v>—</x:v>
      </x:c>
      <x:c r="Q22" s="57" t="str">
        <x:v>—</x:v>
      </x:c>
      <x:c r="R22" s="57" t="str">
        <x:v>—</x:v>
      </x:c>
    </x:row>
    <x:row r="23">
      <x:c r="A23" s="60" t="n">
        <x:v>19</x:v>
      </x:c>
      <x:c r="B23" s="56" t="str">
        <x:v>꼬렛</x:v>
      </x:c>
      <x:c r="C23" s="56" t="str">
        <x:v>rattata</x:v>
      </x:c>
      <x:c r="D23" s="56" t="str">
        <x:v>특수</x:v>
      </x:c>
      <x:c r="E23" s="56" t="str">
        <x:v>보통</x:v>
      </x:c>
      <x:c r="F23" s="56" t="str">
        <x:v>아니오</x:v>
      </x:c>
      <x:c r="G23" s="56" t="str">
        <x:v>아니오</x:v>
      </x:c>
      <x:c r="H23" s="56" t="str">
        <x:v>예</x:v>
      </x:c>
      <x:c r="I23" s="56" t="str">
        <x:v>—</x:v>
      </x:c>
      <x:c r="J23" s="57" t="str">
        <x:v>포함</x:v>
      </x:c>
      <x:c r="K23" s="57" t="str">
        <x:v>포함</x:v>
      </x:c>
      <x:c r="L23" s="57" t="str">
        <x:v>—</x:v>
      </x:c>
      <x:c r="M23" s="57" t="str">
        <x:v>—</x:v>
      </x:c>
      <x:c r="N23" s="57" t="str">
        <x:v>포함</x:v>
      </x:c>
      <x:c r="O23" s="57" t="str">
        <x:v>—</x:v>
      </x:c>
      <x:c r="P23" s="57" t="str">
        <x:v>포함</x:v>
      </x:c>
      <x:c r="Q23" s="57" t="str">
        <x:v>—</x:v>
      </x:c>
      <x:c r="R23" s="57" t="str">
        <x:v>—</x:v>
      </x:c>
    </x:row>
    <x:row r="24">
      <x:c r="A24" s="60" t="n">
        <x:v>20</x:v>
      </x:c>
      <x:c r="B24" s="56" t="str">
        <x:v>레트라</x:v>
      </x:c>
      <x:c r="C24" s="56" t="str">
        <x:v>raticate</x:v>
      </x:c>
      <x:c r="D24" s="56" t="str">
        <x:v>특수</x:v>
      </x:c>
      <x:c r="E24" s="56" t="str">
        <x:v>보통</x:v>
      </x:c>
      <x:c r="F24" s="56" t="str">
        <x:v>아니오</x:v>
      </x:c>
      <x:c r="G24" s="56" t="str">
        <x:v>아니오</x:v>
      </x:c>
      <x:c r="H24" s="56" t="str">
        <x:v>예</x:v>
      </x:c>
      <x:c r="I24" s="56" t="str">
        <x:v>—</x:v>
      </x:c>
      <x:c r="J24" s="57" t="str">
        <x:v>포함</x:v>
      </x:c>
      <x:c r="K24" s="57" t="str">
        <x:v>포함</x:v>
      </x:c>
      <x:c r="L24" s="57" t="str">
        <x:v>—</x:v>
      </x:c>
      <x:c r="M24" s="57" t="str">
        <x:v>—</x:v>
      </x:c>
      <x:c r="N24" s="57" t="str">
        <x:v>포함</x:v>
      </x:c>
      <x:c r="O24" s="57" t="str">
        <x:v>—</x:v>
      </x:c>
      <x:c r="P24" s="57" t="str">
        <x:v>포함</x:v>
      </x:c>
      <x:c r="Q24" s="57" t="str">
        <x:v>—</x:v>
      </x:c>
      <x:c r="R24" s="57" t="str">
        <x:v>—</x:v>
      </x:c>
    </x:row>
    <x:row r="25">
      <x:c r="A25" s="60" t="n">
        <x:v>21</x:v>
      </x:c>
      <x:c r="B25" s="56" t="str">
        <x:v>깨비참</x:v>
      </x:c>
      <x:c r="C25" s="56" t="str">
        <x:v>spearow</x:v>
      </x:c>
      <x:c r="D25" s="56" t="str">
        <x:v>건조지</x:v>
      </x:c>
      <x:c r="E25" s="56" t="str">
        <x:v>흔함</x:v>
      </x:c>
      <x:c r="F25" s="56" t="str">
        <x:v>아니오</x:v>
      </x:c>
      <x:c r="G25" s="56" t="str">
        <x:v>아니오</x:v>
      </x:c>
      <x:c r="H25" s="56" t="str">
        <x:v>예</x:v>
      </x:c>
      <x:c r="I25" s="56" t="str">
        <x:v>—</x:v>
      </x:c>
      <x:c r="J25" s="57" t="str">
        <x:v>포함</x:v>
      </x:c>
      <x:c r="K25" s="57" t="str">
        <x:v>포함</x:v>
      </x:c>
      <x:c r="L25" s="57" t="str">
        <x:v>—</x:v>
      </x:c>
      <x:c r="M25" s="57" t="str">
        <x:v>—</x:v>
      </x:c>
      <x:c r="N25" s="57" t="str">
        <x:v>—</x:v>
      </x:c>
      <x:c r="O25" s="57" t="str">
        <x:v>포함</x:v>
      </x:c>
      <x:c r="P25" s="57" t="str">
        <x:v>포함</x:v>
      </x:c>
      <x:c r="Q25" s="57" t="str">
        <x:v>—</x:v>
      </x:c>
      <x:c r="R25" s="57" t="str">
        <x:v>—</x:v>
      </x:c>
    </x:row>
    <x:row r="26">
      <x:c r="A26" s="60" t="n">
        <x:v>22</x:v>
      </x:c>
      <x:c r="B26" s="56" t="str">
        <x:v>깨비드릴조</x:v>
      </x:c>
      <x:c r="C26" s="56" t="str">
        <x:v>fearow</x:v>
      </x:c>
      <x:c r="D26" s="56" t="str">
        <x:v>건조지</x:v>
      </x:c>
      <x:c r="E26" s="56" t="str">
        <x:v>흔함</x:v>
      </x:c>
      <x:c r="F26" s="56" t="str">
        <x:v>아니오</x:v>
      </x:c>
      <x:c r="G26" s="56" t="str">
        <x:v>아니오</x:v>
      </x:c>
      <x:c r="H26" s="56" t="str">
        <x:v>예</x:v>
      </x:c>
      <x:c r="I26" s="56" t="str">
        <x:v>—</x:v>
      </x:c>
      <x:c r="J26" s="57" t="str">
        <x:v>포함</x:v>
      </x:c>
      <x:c r="K26" s="57" t="str">
        <x:v>포함</x:v>
      </x:c>
      <x:c r="L26" s="57" t="str">
        <x:v>—</x:v>
      </x:c>
      <x:c r="M26" s="57" t="str">
        <x:v>—</x:v>
      </x:c>
      <x:c r="N26" s="57" t="str">
        <x:v>—</x:v>
      </x:c>
      <x:c r="O26" s="57" t="str">
        <x:v>포함</x:v>
      </x:c>
      <x:c r="P26" s="57" t="str">
        <x:v>포함</x:v>
      </x:c>
      <x:c r="Q26" s="57" t="str">
        <x:v>—</x:v>
      </x:c>
      <x:c r="R26" s="57" t="str">
        <x:v>—</x:v>
      </x:c>
    </x:row>
    <x:row r="27">
      <x:c r="A27" s="60" t="n">
        <x:v>23</x:v>
      </x:c>
      <x:c r="B27" s="56" t="str">
        <x:v>아보</x:v>
      </x:c>
      <x:c r="C27" s="56" t="str">
        <x:v>ekans</x:v>
      </x:c>
      <x:c r="D27" s="56" t="str">
        <x:v>동굴</x:v>
      </x:c>
      <x:c r="E27" s="56" t="str">
        <x:v>흔함</x:v>
      </x:c>
      <x:c r="F27" s="56" t="str">
        <x:v>아니오</x:v>
      </x:c>
      <x:c r="G27" s="56" t="str">
        <x:v>아니오</x:v>
      </x:c>
      <x:c r="H27" s="56" t="str">
        <x:v>예</x:v>
      </x:c>
      <x:c r="I27" s="56" t="str">
        <x:v>—</x:v>
      </x:c>
      <x:c r="J27" s="57" t="str">
        <x:v>포함</x:v>
      </x:c>
      <x:c r="K27" s="57" t="str">
        <x:v>포함</x:v>
      </x:c>
      <x:c r="L27" s="57" t="str">
        <x:v>—</x:v>
      </x:c>
      <x:c r="M27" s="57" t="str">
        <x:v>—</x:v>
      </x:c>
      <x:c r="N27" s="57" t="str">
        <x:v>—</x:v>
      </x:c>
      <x:c r="O27" s="57" t="str">
        <x:v>포함</x:v>
      </x:c>
      <x:c r="P27" s="57" t="str">
        <x:v>포함</x:v>
      </x:c>
      <x:c r="Q27" s="57" t="str">
        <x:v>—</x:v>
      </x:c>
      <x:c r="R27" s="57" t="str">
        <x:v>포함</x:v>
      </x:c>
    </x:row>
    <x:row r="28">
      <x:c r="A28" s="60" t="n">
        <x:v>24</x:v>
      </x:c>
      <x:c r="B28" s="56" t="str">
        <x:v>아보크</x:v>
      </x:c>
      <x:c r="C28" s="56" t="str">
        <x:v>arbok</x:v>
      </x:c>
      <x:c r="D28" s="56" t="str">
        <x:v>동굴</x:v>
      </x:c>
      <x:c r="E28" s="56" t="str">
        <x:v>흔함</x:v>
      </x:c>
      <x:c r="F28" s="56" t="str">
        <x:v>아니오</x:v>
      </x:c>
      <x:c r="G28" s="56" t="str">
        <x:v>아니오</x:v>
      </x:c>
      <x:c r="H28" s="56" t="str">
        <x:v>예</x:v>
      </x:c>
      <x:c r="I28" s="56" t="str">
        <x:v>—</x:v>
      </x:c>
      <x:c r="J28" s="57" t="str">
        <x:v>포함</x:v>
      </x:c>
      <x:c r="K28" s="57" t="str">
        <x:v>포함</x:v>
      </x:c>
      <x:c r="L28" s="57" t="str">
        <x:v>—</x:v>
      </x:c>
      <x:c r="M28" s="57" t="str">
        <x:v>—</x:v>
      </x:c>
      <x:c r="N28" s="57" t="str">
        <x:v>—</x:v>
      </x:c>
      <x:c r="O28" s="57" t="str">
        <x:v>포함</x:v>
      </x:c>
      <x:c r="P28" s="57" t="str">
        <x:v>포함</x:v>
      </x:c>
      <x:c r="Q28" s="57" t="str">
        <x:v>—</x:v>
      </x:c>
      <x:c r="R28" s="57" t="str">
        <x:v>포함</x:v>
      </x:c>
    </x:row>
    <x:row r="29">
      <x:c r="A29" s="60" t="n">
        <x:v>25</x:v>
      </x:c>
      <x:c r="B29" s="56" t="str">
        <x:v>피카츄</x:v>
      </x:c>
      <x:c r="C29" s="56" t="str">
        <x:v>pikachu</x:v>
      </x:c>
      <x:c r="D29" s="56" t="str">
        <x:v>숲</x:v>
      </x:c>
      <x:c r="E29" s="56" t="str">
        <x:v>보통</x:v>
      </x:c>
      <x:c r="F29" s="56" t="str">
        <x:v>아니오</x:v>
      </x:c>
      <x:c r="G29" s="56" t="str">
        <x:v>아니오</x:v>
      </x:c>
      <x:c r="H29" s="56" t="str">
        <x:v>예</x:v>
      </x:c>
      <x:c r="I29" s="56" t="str">
        <x:v>—</x:v>
      </x:c>
      <x:c r="J29" s="57" t="str">
        <x:v>포함</x:v>
      </x:c>
      <x:c r="K29" s="57" t="str">
        <x:v>포함</x:v>
      </x:c>
      <x:c r="L29" s="57" t="str">
        <x:v>포함</x:v>
      </x:c>
      <x:c r="M29" s="57" t="str">
        <x:v>포함</x:v>
      </x:c>
      <x:c r="N29" s="57" t="str">
        <x:v>—</x:v>
      </x:c>
      <x:c r="O29" s="57" t="str">
        <x:v>포함</x:v>
      </x:c>
      <x:c r="P29" s="57" t="str">
        <x:v>포함</x:v>
      </x:c>
      <x:c r="Q29" s="57" t="str">
        <x:v>포함</x:v>
      </x:c>
      <x:c r="R29" s="57" t="str">
        <x:v>포함</x:v>
      </x:c>
    </x:row>
    <x:row r="30">
      <x:c r="A30" s="60" t="n">
        <x:v>26</x:v>
      </x:c>
      <x:c r="B30" s="56" t="str">
        <x:v>라이츄</x:v>
      </x:c>
      <x:c r="C30" s="56" t="str">
        <x:v>raichu</x:v>
      </x:c>
      <x:c r="D30" s="56" t="str">
        <x:v>숲</x:v>
      </x:c>
      <x:c r="E30" s="56" t="str">
        <x:v>보통</x:v>
      </x:c>
      <x:c r="F30" s="56" t="str">
        <x:v>아니오</x:v>
      </x:c>
      <x:c r="G30" s="56" t="str">
        <x:v>아니오</x:v>
      </x:c>
      <x:c r="H30" s="56" t="str">
        <x:v>예</x:v>
      </x:c>
      <x:c r="I30" s="56" t="str">
        <x:v>—</x:v>
      </x:c>
      <x:c r="J30" s="57" t="str">
        <x:v>포함</x:v>
      </x:c>
      <x:c r="K30" s="57" t="str">
        <x:v>포함</x:v>
      </x:c>
      <x:c r="L30" s="57" t="str">
        <x:v>포함</x:v>
      </x:c>
      <x:c r="M30" s="57" t="str">
        <x:v>포함</x:v>
      </x:c>
      <x:c r="N30" s="57" t="str">
        <x:v>—</x:v>
      </x:c>
      <x:c r="O30" s="57" t="str">
        <x:v>포함</x:v>
      </x:c>
      <x:c r="P30" s="57" t="str">
        <x:v>포함</x:v>
      </x:c>
      <x:c r="Q30" s="57" t="str">
        <x:v>포함</x:v>
      </x:c>
      <x:c r="R30" s="57" t="str">
        <x:v>포함</x:v>
      </x:c>
    </x:row>
    <x:row r="31">
      <x:c r="A31" s="60" t="n">
        <x:v>27</x:v>
      </x:c>
      <x:c r="B31" s="56" t="str">
        <x:v>모래두지</x:v>
      </x:c>
      <x:c r="C31" s="56" t="str">
        <x:v>sandshrew</x:v>
      </x:c>
      <x:c r="D31" s="56" t="str">
        <x:v>건조지</x:v>
      </x:c>
      <x:c r="E31" s="56" t="str">
        <x:v>보통</x:v>
      </x:c>
      <x:c r="F31" s="56" t="str">
        <x:v>아니오</x:v>
      </x:c>
      <x:c r="G31" s="56" t="str">
        <x:v>아니오</x:v>
      </x:c>
      <x:c r="H31" s="56" t="str">
        <x:v>예</x:v>
      </x:c>
      <x:c r="I31" s="56" t="str">
        <x:v>—</x:v>
      </x:c>
      <x:c r="J31" s="57" t="str">
        <x:v>포함</x:v>
      </x:c>
      <x:c r="K31" s="57" t="str">
        <x:v>포함</x:v>
      </x:c>
      <x:c r="L31" s="57" t="str">
        <x:v>포함</x:v>
      </x:c>
      <x:c r="M31" s="57" t="str">
        <x:v>—</x:v>
      </x:c>
      <x:c r="N31" s="57" t="str">
        <x:v>포함</x:v>
      </x:c>
      <x:c r="O31" s="57" t="str">
        <x:v>포함</x:v>
      </x:c>
      <x:c r="P31" s="57" t="str">
        <x:v>포함</x:v>
      </x:c>
      <x:c r="Q31" s="57" t="str">
        <x:v>포함</x:v>
      </x:c>
      <x:c r="R31" s="57" t="str">
        <x:v>포함</x:v>
      </x:c>
    </x:row>
    <x:row r="32">
      <x:c r="A32" s="60" t="n">
        <x:v>28</x:v>
      </x:c>
      <x:c r="B32" s="56" t="str">
        <x:v>고지</x:v>
      </x:c>
      <x:c r="C32" s="56" t="str">
        <x:v>sandslash</x:v>
      </x:c>
      <x:c r="D32" s="56" t="str">
        <x:v>건조지</x:v>
      </x:c>
      <x:c r="E32" s="56" t="str">
        <x:v>보통</x:v>
      </x:c>
      <x:c r="F32" s="56" t="str">
        <x:v>아니오</x:v>
      </x:c>
      <x:c r="G32" s="56" t="str">
        <x:v>아니오</x:v>
      </x:c>
      <x:c r="H32" s="56" t="str">
        <x:v>예</x:v>
      </x:c>
      <x:c r="I32" s="56" t="str">
        <x:v>—</x:v>
      </x:c>
      <x:c r="J32" s="57" t="str">
        <x:v>포함</x:v>
      </x:c>
      <x:c r="K32" s="57" t="str">
        <x:v>포함</x:v>
      </x:c>
      <x:c r="L32" s="57" t="str">
        <x:v>포함</x:v>
      </x:c>
      <x:c r="M32" s="57" t="str">
        <x:v>—</x:v>
      </x:c>
      <x:c r="N32" s="57" t="str">
        <x:v>포함</x:v>
      </x:c>
      <x:c r="O32" s="57" t="str">
        <x:v>포함</x:v>
      </x:c>
      <x:c r="P32" s="57" t="str">
        <x:v>포함</x:v>
      </x:c>
      <x:c r="Q32" s="57" t="str">
        <x:v>포함</x:v>
      </x:c>
      <x:c r="R32" s="57" t="str">
        <x:v>포함</x:v>
      </x:c>
    </x:row>
    <x:row r="33">
      <x:c r="A33" s="60" t="n">
        <x:v>29</x:v>
      </x:c>
      <x:c r="B33" s="56" t="str">
        <x:v>니드런</x:v>
      </x:c>
      <x:c r="C33" s="56" t="str">
        <x:v>nidoranf</x:v>
      </x:c>
      <x:c r="D33" s="56" t="str">
        <x:v>평원</x:v>
      </x:c>
      <x:c r="E33" s="56" t="str">
        <x:v>보통</x:v>
      </x:c>
      <x:c r="F33" s="56" t="str">
        <x:v>아니오</x:v>
      </x:c>
      <x:c r="G33" s="56" t="str">
        <x:v>아니오</x:v>
      </x:c>
      <x:c r="H33" s="56" t="str">
        <x:v>예</x:v>
      </x:c>
      <x:c r="I33" s="56" t="str">
        <x:v>—</x:v>
      </x:c>
      <x:c r="J33" s="57" t="str">
        <x:v>포함</x:v>
      </x:c>
      <x:c r="K33" s="57" t="str">
        <x:v>포함</x:v>
      </x:c>
      <x:c r="L33" s="57" t="str">
        <x:v>—</x:v>
      </x:c>
      <x:c r="M33" s="57" t="str">
        <x:v>—</x:v>
      </x:c>
      <x:c r="N33" s="57" t="str">
        <x:v>—</x:v>
      </x:c>
      <x:c r="O33" s="57" t="str">
        <x:v>포함</x:v>
      </x:c>
      <x:c r="P33" s="57" t="str">
        <x:v>—</x:v>
      </x:c>
      <x:c r="Q33" s="57" t="str">
        <x:v>포함</x:v>
      </x:c>
      <x:c r="R33" s="57" t="str">
        <x:v>—</x:v>
      </x:c>
    </x:row>
    <x:row r="34">
      <x:c r="A34" s="60" t="n">
        <x:v>30</x:v>
      </x:c>
      <x:c r="B34" s="56" t="str">
        <x:v>니드리나</x:v>
      </x:c>
      <x:c r="C34" s="56" t="str">
        <x:v>nidorina</x:v>
      </x:c>
      <x:c r="D34" s="56" t="str">
        <x:v>평원</x:v>
      </x:c>
      <x:c r="E34" s="56" t="str">
        <x:v>보통</x:v>
      </x:c>
      <x:c r="F34" s="56" t="str">
        <x:v>아니오</x:v>
      </x:c>
      <x:c r="G34" s="56" t="str">
        <x:v>아니오</x:v>
      </x:c>
      <x:c r="H34" s="56" t="str">
        <x:v>예</x:v>
      </x:c>
      <x:c r="I34" s="56" t="str">
        <x:v>—</x:v>
      </x:c>
      <x:c r="J34" s="57" t="str">
        <x:v>포함</x:v>
      </x:c>
      <x:c r="K34" s="57" t="str">
        <x:v>포함</x:v>
      </x:c>
      <x:c r="L34" s="57" t="str">
        <x:v>—</x:v>
      </x:c>
      <x:c r="M34" s="57" t="str">
        <x:v>—</x:v>
      </x:c>
      <x:c r="N34" s="57" t="str">
        <x:v>—</x:v>
      </x:c>
      <x:c r="O34" s="57" t="str">
        <x:v>포함</x:v>
      </x:c>
      <x:c r="P34" s="57" t="str">
        <x:v>—</x:v>
      </x:c>
      <x:c r="Q34" s="57" t="str">
        <x:v>포함</x:v>
      </x:c>
      <x:c r="R34" s="57" t="str">
        <x:v>—</x:v>
      </x:c>
    </x:row>
    <x:row r="35">
      <x:c r="A35" s="60" t="n">
        <x:v>31</x:v>
      </x:c>
      <x:c r="B35" s="56" t="str">
        <x:v>니드퀸</x:v>
      </x:c>
      <x:c r="C35" s="56" t="str">
        <x:v>nidoqueen</x:v>
      </x:c>
      <x:c r="D35" s="56" t="str">
        <x:v>평원</x:v>
      </x:c>
      <x:c r="E35" s="56" t="str">
        <x:v>보통</x:v>
      </x:c>
      <x:c r="F35" s="56" t="str">
        <x:v>아니오</x:v>
      </x:c>
      <x:c r="G35" s="56" t="str">
        <x:v>아니오</x:v>
      </x:c>
      <x:c r="H35" s="56" t="str">
        <x:v>예</x:v>
      </x:c>
      <x:c r="I35" s="56" t="str">
        <x:v>—</x:v>
      </x:c>
      <x:c r="J35" s="57" t="str">
        <x:v>포함</x:v>
      </x:c>
      <x:c r="K35" s="57" t="str">
        <x:v>포함</x:v>
      </x:c>
      <x:c r="L35" s="57" t="str">
        <x:v>—</x:v>
      </x:c>
      <x:c r="M35" s="57" t="str">
        <x:v>—</x:v>
      </x:c>
      <x:c r="N35" s="57" t="str">
        <x:v>—</x:v>
      </x:c>
      <x:c r="O35" s="57" t="str">
        <x:v>포함</x:v>
      </x:c>
      <x:c r="P35" s="57" t="str">
        <x:v>—</x:v>
      </x:c>
      <x:c r="Q35" s="57" t="str">
        <x:v>포함</x:v>
      </x:c>
      <x:c r="R35" s="57" t="str">
        <x:v>—</x:v>
      </x:c>
    </x:row>
    <x:row r="36">
      <x:c r="A36" s="60" t="n">
        <x:v>32</x:v>
      </x:c>
      <x:c r="B36" s="56" t="str">
        <x:v>니드런</x:v>
      </x:c>
      <x:c r="C36" s="56" t="str">
        <x:v>nidoranm</x:v>
      </x:c>
      <x:c r="D36" s="56" t="str">
        <x:v>평원</x:v>
      </x:c>
      <x:c r="E36" s="56" t="str">
        <x:v>보통</x:v>
      </x:c>
      <x:c r="F36" s="56" t="str">
        <x:v>아니오</x:v>
      </x:c>
      <x:c r="G36" s="56" t="str">
        <x:v>아니오</x:v>
      </x:c>
      <x:c r="H36" s="56" t="str">
        <x:v>예</x:v>
      </x:c>
      <x:c r="I36" s="56" t="str">
        <x:v>—</x:v>
      </x:c>
      <x:c r="J36" s="57" t="str">
        <x:v>포함</x:v>
      </x:c>
      <x:c r="K36" s="57" t="str">
        <x:v>포함</x:v>
      </x:c>
      <x:c r="L36" s="57" t="str">
        <x:v>—</x:v>
      </x:c>
      <x:c r="M36" s="57" t="str">
        <x:v>—</x:v>
      </x:c>
      <x:c r="N36" s="57" t="str">
        <x:v>—</x:v>
      </x:c>
      <x:c r="O36" s="57" t="str">
        <x:v>포함</x:v>
      </x:c>
      <x:c r="P36" s="57" t="str">
        <x:v>—</x:v>
      </x:c>
      <x:c r="Q36" s="57" t="str">
        <x:v>포함</x:v>
      </x:c>
      <x:c r="R36" s="57" t="str">
        <x:v>—</x:v>
      </x:c>
    </x:row>
    <x:row r="37">
      <x:c r="A37" s="60" t="n">
        <x:v>33</x:v>
      </x:c>
      <x:c r="B37" s="56" t="str">
        <x:v>니드리노</x:v>
      </x:c>
      <x:c r="C37" s="56" t="str">
        <x:v>nidorino</x:v>
      </x:c>
      <x:c r="D37" s="56" t="str">
        <x:v>평원</x:v>
      </x:c>
      <x:c r="E37" s="56" t="str">
        <x:v>보통</x:v>
      </x:c>
      <x:c r="F37" s="56" t="str">
        <x:v>아니오</x:v>
      </x:c>
      <x:c r="G37" s="56" t="str">
        <x:v>아니오</x:v>
      </x:c>
      <x:c r="H37" s="56" t="str">
        <x:v>예</x:v>
      </x:c>
      <x:c r="I37" s="56" t="str">
        <x:v>—</x:v>
      </x:c>
      <x:c r="J37" s="57" t="str">
        <x:v>포함</x:v>
      </x:c>
      <x:c r="K37" s="57" t="str">
        <x:v>포함</x:v>
      </x:c>
      <x:c r="L37" s="57" t="str">
        <x:v>—</x:v>
      </x:c>
      <x:c r="M37" s="57" t="str">
        <x:v>—</x:v>
      </x:c>
      <x:c r="N37" s="57" t="str">
        <x:v>—</x:v>
      </x:c>
      <x:c r="O37" s="57" t="str">
        <x:v>포함</x:v>
      </x:c>
      <x:c r="P37" s="57" t="str">
        <x:v>—</x:v>
      </x:c>
      <x:c r="Q37" s="57" t="str">
        <x:v>포함</x:v>
      </x:c>
      <x:c r="R37" s="57" t="str">
        <x:v>—</x:v>
      </x:c>
    </x:row>
    <x:row r="38">
      <x:c r="A38" s="60" t="n">
        <x:v>34</x:v>
      </x:c>
      <x:c r="B38" s="56" t="str">
        <x:v>니드킹</x:v>
      </x:c>
      <x:c r="C38" s="56" t="str">
        <x:v>nidoking</x:v>
      </x:c>
      <x:c r="D38" s="56" t="str">
        <x:v>평원</x:v>
      </x:c>
      <x:c r="E38" s="56" t="str">
        <x:v>보통</x:v>
      </x:c>
      <x:c r="F38" s="56" t="str">
        <x:v>아니오</x:v>
      </x:c>
      <x:c r="G38" s="56" t="str">
        <x:v>아니오</x:v>
      </x:c>
      <x:c r="H38" s="56" t="str">
        <x:v>예</x:v>
      </x:c>
      <x:c r="I38" s="56" t="str">
        <x:v>—</x:v>
      </x:c>
      <x:c r="J38" s="57" t="str">
        <x:v>포함</x:v>
      </x:c>
      <x:c r="K38" s="57" t="str">
        <x:v>포함</x:v>
      </x:c>
      <x:c r="L38" s="57" t="str">
        <x:v>—</x:v>
      </x:c>
      <x:c r="M38" s="57" t="str">
        <x:v>—</x:v>
      </x:c>
      <x:c r="N38" s="57" t="str">
        <x:v>—</x:v>
      </x:c>
      <x:c r="O38" s="57" t="str">
        <x:v>포함</x:v>
      </x:c>
      <x:c r="P38" s="57" t="str">
        <x:v>—</x:v>
      </x:c>
      <x:c r="Q38" s="57" t="str">
        <x:v>포함</x:v>
      </x:c>
      <x:c r="R38" s="57" t="str">
        <x:v>—</x:v>
      </x:c>
    </x:row>
    <x:row r="39">
      <x:c r="A39" s="60" t="n">
        <x:v>35</x:v>
      </x:c>
      <x:c r="B39" s="56" t="str">
        <x:v>삐삐</x:v>
      </x:c>
      <x:c r="C39" s="56" t="str">
        <x:v>clefairy</x:v>
      </x:c>
      <x:c r="D39" s="56" t="str">
        <x:v>동굴</x:v>
      </x:c>
      <x:c r="E39" s="56" t="str">
        <x:v>보통</x:v>
      </x:c>
      <x:c r="F39" s="56" t="str">
        <x:v>아니오</x:v>
      </x:c>
      <x:c r="G39" s="56" t="str">
        <x:v>아니오</x:v>
      </x:c>
      <x:c r="H39" s="56" t="str">
        <x:v>예</x:v>
      </x:c>
      <x:c r="I39" s="56" t="str">
        <x:v>—</x:v>
      </x:c>
      <x:c r="J39" s="57" t="str">
        <x:v>포함</x:v>
      </x:c>
      <x:c r="K39" s="57" t="str">
        <x:v>포함</x:v>
      </x:c>
      <x:c r="L39" s="57" t="str">
        <x:v>—</x:v>
      </x:c>
      <x:c r="M39" s="57" t="str">
        <x:v>포함</x:v>
      </x:c>
      <x:c r="N39" s="57" t="str">
        <x:v>포함</x:v>
      </x:c>
      <x:c r="O39" s="57" t="str">
        <x:v>—</x:v>
      </x:c>
      <x:c r="P39" s="57" t="str">
        <x:v>포함</x:v>
      </x:c>
      <x:c r="Q39" s="57" t="str">
        <x:v>포함</x:v>
      </x:c>
      <x:c r="R39" s="57" t="str">
        <x:v>포함</x:v>
      </x:c>
    </x:row>
    <x:row r="40">
      <x:c r="A40" s="60" t="n">
        <x:v>36</x:v>
      </x:c>
      <x:c r="B40" s="56" t="str">
        <x:v>픽시</x:v>
      </x:c>
      <x:c r="C40" s="56" t="str">
        <x:v>clefable</x:v>
      </x:c>
      <x:c r="D40" s="56" t="str">
        <x:v>동굴</x:v>
      </x:c>
      <x:c r="E40" s="56" t="str">
        <x:v>보통</x:v>
      </x:c>
      <x:c r="F40" s="56" t="str">
        <x:v>아니오</x:v>
      </x:c>
      <x:c r="G40" s="56" t="str">
        <x:v>아니오</x:v>
      </x:c>
      <x:c r="H40" s="56" t="str">
        <x:v>예</x:v>
      </x:c>
      <x:c r="I40" s="56" t="str">
        <x:v>—</x:v>
      </x:c>
      <x:c r="J40" s="57" t="str">
        <x:v>포함</x:v>
      </x:c>
      <x:c r="K40" s="57" t="str">
        <x:v>포함</x:v>
      </x:c>
      <x:c r="L40" s="57" t="str">
        <x:v>—</x:v>
      </x:c>
      <x:c r="M40" s="57" t="str">
        <x:v>포함</x:v>
      </x:c>
      <x:c r="N40" s="57" t="str">
        <x:v>포함</x:v>
      </x:c>
      <x:c r="O40" s="57" t="str">
        <x:v>—</x:v>
      </x:c>
      <x:c r="P40" s="57" t="str">
        <x:v>포함</x:v>
      </x:c>
      <x:c r="Q40" s="57" t="str">
        <x:v>포함</x:v>
      </x:c>
      <x:c r="R40" s="57" t="str">
        <x:v>포함</x:v>
      </x:c>
    </x:row>
    <x:row r="41">
      <x:c r="A41" s="60" t="n">
        <x:v>37</x:v>
      </x:c>
      <x:c r="B41" s="56" t="str">
        <x:v>식스테일</x:v>
      </x:c>
      <x:c r="C41" s="56" t="str">
        <x:v>vulpix</x:v>
      </x:c>
      <x:c r="D41" s="56" t="str">
        <x:v>숲</x:v>
      </x:c>
      <x:c r="E41" s="56" t="str">
        <x:v>보통</x:v>
      </x:c>
      <x:c r="F41" s="56" t="str">
        <x:v>아니오</x:v>
      </x:c>
      <x:c r="G41" s="56" t="str">
        <x:v>아니오</x:v>
      </x:c>
      <x:c r="H41" s="56" t="str">
        <x:v>예</x:v>
      </x:c>
      <x:c r="I41" s="56" t="str">
        <x:v>—</x:v>
      </x:c>
      <x:c r="J41" s="57" t="str">
        <x:v>포함</x:v>
      </x:c>
      <x:c r="K41" s="57" t="str">
        <x:v>포함</x:v>
      </x:c>
      <x:c r="L41" s="57" t="str">
        <x:v>포함</x:v>
      </x:c>
      <x:c r="M41" s="57" t="str">
        <x:v>—</x:v>
      </x:c>
      <x:c r="N41" s="57" t="str">
        <x:v>포함</x:v>
      </x:c>
      <x:c r="O41" s="57" t="str">
        <x:v>—</x:v>
      </x:c>
      <x:c r="P41" s="57" t="str">
        <x:v>포함</x:v>
      </x:c>
      <x:c r="Q41" s="57" t="str">
        <x:v>포함</x:v>
      </x:c>
      <x:c r="R41" s="57" t="str">
        <x:v>포함</x:v>
      </x:c>
    </x:row>
    <x:row r="42">
      <x:c r="A42" s="60" t="n">
        <x:v>38</x:v>
      </x:c>
      <x:c r="B42" s="56" t="str">
        <x:v>나인테일</x:v>
      </x:c>
      <x:c r="C42" s="56" t="str">
        <x:v>ninetales</x:v>
      </x:c>
      <x:c r="D42" s="56" t="str">
        <x:v>숲</x:v>
      </x:c>
      <x:c r="E42" s="56" t="str">
        <x:v>보통</x:v>
      </x:c>
      <x:c r="F42" s="56" t="str">
        <x:v>아니오</x:v>
      </x:c>
      <x:c r="G42" s="56" t="str">
        <x:v>아니오</x:v>
      </x:c>
      <x:c r="H42" s="56" t="str">
        <x:v>예</x:v>
      </x:c>
      <x:c r="I42" s="56" t="str">
        <x:v>—</x:v>
      </x:c>
      <x:c r="J42" s="57" t="str">
        <x:v>포함</x:v>
      </x:c>
      <x:c r="K42" s="57" t="str">
        <x:v>포함</x:v>
      </x:c>
      <x:c r="L42" s="57" t="str">
        <x:v>포함</x:v>
      </x:c>
      <x:c r="M42" s="57" t="str">
        <x:v>—</x:v>
      </x:c>
      <x:c r="N42" s="57" t="str">
        <x:v>포함</x:v>
      </x:c>
      <x:c r="O42" s="57" t="str">
        <x:v>—</x:v>
      </x:c>
      <x:c r="P42" s="57" t="str">
        <x:v>포함</x:v>
      </x:c>
      <x:c r="Q42" s="57" t="str">
        <x:v>포함</x:v>
      </x:c>
      <x:c r="R42" s="57" t="str">
        <x:v>포함</x:v>
      </x:c>
    </x:row>
    <x:row r="43">
      <x:c r="A43" s="60" t="n">
        <x:v>39</x:v>
      </x:c>
      <x:c r="B43" s="56" t="str">
        <x:v>푸린</x:v>
      </x:c>
      <x:c r="C43" s="56" t="str">
        <x:v>jigglypuff</x:v>
      </x:c>
      <x:c r="D43" s="56" t="str">
        <x:v>평원</x:v>
      </x:c>
      <x:c r="E43" s="56" t="str">
        <x:v>흔함</x:v>
      </x:c>
      <x:c r="F43" s="56" t="str">
        <x:v>아니오</x:v>
      </x:c>
      <x:c r="G43" s="56" t="str">
        <x:v>아니오</x:v>
      </x:c>
      <x:c r="H43" s="56" t="str">
        <x:v>예</x:v>
      </x:c>
      <x:c r="I43" s="56" t="str">
        <x:v>—</x:v>
      </x:c>
      <x:c r="J43" s="57" t="str">
        <x:v>포함</x:v>
      </x:c>
      <x:c r="K43" s="57" t="str">
        <x:v>포함</x:v>
      </x:c>
      <x:c r="L43" s="57" t="str">
        <x:v>포함</x:v>
      </x:c>
      <x:c r="M43" s="57" t="str">
        <x:v>—</x:v>
      </x:c>
      <x:c r="N43" s="57" t="str">
        <x:v>포함</x:v>
      </x:c>
      <x:c r="O43" s="57" t="str">
        <x:v>포함</x:v>
      </x:c>
      <x:c r="P43" s="57" t="str">
        <x:v>포함</x:v>
      </x:c>
      <x:c r="Q43" s="57" t="str">
        <x:v>포함</x:v>
      </x:c>
      <x:c r="R43" s="57" t="str">
        <x:v>포함</x:v>
      </x:c>
    </x:row>
    <x:row r="44">
      <x:c r="A44" s="60" t="n">
        <x:v>40</x:v>
      </x:c>
      <x:c r="B44" s="56" t="str">
        <x:v>푸크린</x:v>
      </x:c>
      <x:c r="C44" s="56" t="str">
        <x:v>wigglytuff</x:v>
      </x:c>
      <x:c r="D44" s="56" t="str">
        <x:v>평원</x:v>
      </x:c>
      <x:c r="E44" s="56" t="str">
        <x:v>흔함</x:v>
      </x:c>
      <x:c r="F44" s="56" t="str">
        <x:v>아니오</x:v>
      </x:c>
      <x:c r="G44" s="56" t="str">
        <x:v>아니오</x:v>
      </x:c>
      <x:c r="H44" s="56" t="str">
        <x:v>예</x:v>
      </x:c>
      <x:c r="I44" s="56" t="str">
        <x:v>—</x:v>
      </x:c>
      <x:c r="J44" s="57" t="str">
        <x:v>포함</x:v>
      </x:c>
      <x:c r="K44" s="57" t="str">
        <x:v>포함</x:v>
      </x:c>
      <x:c r="L44" s="57" t="str">
        <x:v>포함</x:v>
      </x:c>
      <x:c r="M44" s="57" t="str">
        <x:v>—</x:v>
      </x:c>
      <x:c r="N44" s="57" t="str">
        <x:v>포함</x:v>
      </x:c>
      <x:c r="O44" s="57" t="str">
        <x:v>포함</x:v>
      </x:c>
      <x:c r="P44" s="57" t="str">
        <x:v>포함</x:v>
      </x:c>
      <x:c r="Q44" s="57" t="str">
        <x:v>포함</x:v>
      </x:c>
      <x:c r="R44" s="57" t="str">
        <x:v>포함</x:v>
      </x:c>
    </x:row>
    <x:row r="45">
      <x:c r="A45" s="60" t="n">
        <x:v>41</x:v>
      </x:c>
      <x:c r="B45" s="56" t="str">
        <x:v>주뱃</x:v>
      </x:c>
      <x:c r="C45" s="56" t="str">
        <x:v>zubat</x:v>
      </x:c>
      <x:c r="D45" s="56" t="str">
        <x:v>특수</x:v>
      </x:c>
      <x:c r="E45" s="56" t="str">
        <x:v>보통</x:v>
      </x:c>
      <x:c r="F45" s="56" t="str">
        <x:v>아니오</x:v>
      </x:c>
      <x:c r="G45" s="56" t="str">
        <x:v>아니오</x:v>
      </x:c>
      <x:c r="H45" s="56" t="str">
        <x:v>예</x:v>
      </x:c>
      <x:c r="I45" s="56" t="str">
        <x:v>—</x:v>
      </x:c>
      <x:c r="J45" s="57" t="str">
        <x:v>포함</x:v>
      </x:c>
      <x:c r="K45" s="57" t="str">
        <x:v>포함</x:v>
      </x:c>
      <x:c r="L45" s="57" t="str">
        <x:v>포함</x:v>
      </x:c>
      <x:c r="M45" s="57" t="str">
        <x:v>포함</x:v>
      </x:c>
      <x:c r="N45" s="57" t="str">
        <x:v>포함</x:v>
      </x:c>
      <x:c r="O45" s="57" t="str">
        <x:v>포함</x:v>
      </x:c>
      <x:c r="P45" s="57" t="str">
        <x:v>포함</x:v>
      </x:c>
      <x:c r="Q45" s="57" t="str">
        <x:v>포함</x:v>
      </x:c>
      <x:c r="R45" s="57" t="str">
        <x:v>—</x:v>
      </x:c>
    </x:row>
    <x:row r="46">
      <x:c r="A46" s="60" t="n">
        <x:v>42</x:v>
      </x:c>
      <x:c r="B46" s="56" t="str">
        <x:v>골뱃</x:v>
      </x:c>
      <x:c r="C46" s="56" t="str">
        <x:v>golbat</x:v>
      </x:c>
      <x:c r="D46" s="56" t="str">
        <x:v>특수</x:v>
      </x:c>
      <x:c r="E46" s="56" t="str">
        <x:v>보통</x:v>
      </x:c>
      <x:c r="F46" s="56" t="str">
        <x:v>아니오</x:v>
      </x:c>
      <x:c r="G46" s="56" t="str">
        <x:v>아니오</x:v>
      </x:c>
      <x:c r="H46" s="56" t="str">
        <x:v>예</x:v>
      </x:c>
      <x:c r="I46" s="56" t="str">
        <x:v>—</x:v>
      </x:c>
      <x:c r="J46" s="57" t="str">
        <x:v>포함</x:v>
      </x:c>
      <x:c r="K46" s="57" t="str">
        <x:v>포함</x:v>
      </x:c>
      <x:c r="L46" s="57" t="str">
        <x:v>포함</x:v>
      </x:c>
      <x:c r="M46" s="57" t="str">
        <x:v>포함</x:v>
      </x:c>
      <x:c r="N46" s="57" t="str">
        <x:v>포함</x:v>
      </x:c>
      <x:c r="O46" s="57" t="str">
        <x:v>포함</x:v>
      </x:c>
      <x:c r="P46" s="57" t="str">
        <x:v>포함</x:v>
      </x:c>
      <x:c r="Q46" s="57" t="str">
        <x:v>포함</x:v>
      </x:c>
      <x:c r="R46" s="57" t="str">
        <x:v>—</x:v>
      </x:c>
    </x:row>
    <x:row r="47">
      <x:c r="A47" s="60" t="n">
        <x:v>43</x:v>
      </x:c>
      <x:c r="B47" s="56" t="str">
        <x:v>뚜벅쵸</x:v>
      </x:c>
      <x:c r="C47" s="56" t="str">
        <x:v>oddish</x:v>
      </x:c>
      <x:c r="D47" s="56" t="str">
        <x:v>숲</x:v>
      </x:c>
      <x:c r="E47" s="56" t="str">
        <x:v>흔함</x:v>
      </x:c>
      <x:c r="F47" s="56" t="str">
        <x:v>아니오</x:v>
      </x:c>
      <x:c r="G47" s="56" t="str">
        <x:v>아니오</x:v>
      </x:c>
      <x:c r="H47" s="56" t="str">
        <x:v>예</x:v>
      </x:c>
      <x:c r="I47" s="56" t="str">
        <x:v>—</x:v>
      </x:c>
      <x:c r="J47" s="57" t="str">
        <x:v>포함</x:v>
      </x:c>
      <x:c r="K47" s="57" t="str">
        <x:v>포함</x:v>
      </x:c>
      <x:c r="L47" s="57" t="str">
        <x:v>포함</x:v>
      </x:c>
      <x:c r="M47" s="57" t="str">
        <x:v>—</x:v>
      </x:c>
      <x:c r="N47" s="57" t="str">
        <x:v>—</x:v>
      </x:c>
      <x:c r="O47" s="57" t="str">
        <x:v>포함</x:v>
      </x:c>
      <x:c r="P47" s="57" t="str">
        <x:v>—</x:v>
      </x:c>
      <x:c r="Q47" s="57" t="str">
        <x:v>포함</x:v>
      </x:c>
      <x:c r="R47" s="57" t="str">
        <x:v>포함</x:v>
      </x:c>
    </x:row>
    <x:row r="48">
      <x:c r="A48" s="60" t="n">
        <x:v>44</x:v>
      </x:c>
      <x:c r="B48" s="56" t="str">
        <x:v>냄새꼬</x:v>
      </x:c>
      <x:c r="C48" s="56" t="str">
        <x:v>gloom</x:v>
      </x:c>
      <x:c r="D48" s="56" t="str">
        <x:v>숲</x:v>
      </x:c>
      <x:c r="E48" s="56" t="str">
        <x:v>흔함</x:v>
      </x:c>
      <x:c r="F48" s="56" t="str">
        <x:v>아니오</x:v>
      </x:c>
      <x:c r="G48" s="56" t="str">
        <x:v>아니오</x:v>
      </x:c>
      <x:c r="H48" s="56" t="str">
        <x:v>예</x:v>
      </x:c>
      <x:c r="I48" s="56" t="str">
        <x:v>—</x:v>
      </x:c>
      <x:c r="J48" s="57" t="str">
        <x:v>포함</x:v>
      </x:c>
      <x:c r="K48" s="57" t="str">
        <x:v>포함</x:v>
      </x:c>
      <x:c r="L48" s="57" t="str">
        <x:v>포함</x:v>
      </x:c>
      <x:c r="M48" s="57" t="str">
        <x:v>—</x:v>
      </x:c>
      <x:c r="N48" s="57" t="str">
        <x:v>—</x:v>
      </x:c>
      <x:c r="O48" s="57" t="str">
        <x:v>포함</x:v>
      </x:c>
      <x:c r="P48" s="57" t="str">
        <x:v>—</x:v>
      </x:c>
      <x:c r="Q48" s="57" t="str">
        <x:v>포함</x:v>
      </x:c>
      <x:c r="R48" s="57" t="str">
        <x:v>포함</x:v>
      </x:c>
    </x:row>
    <x:row r="49">
      <x:c r="A49" s="60" t="n">
        <x:v>45</x:v>
      </x:c>
      <x:c r="B49" s="56" t="str">
        <x:v>라플레시아</x:v>
      </x:c>
      <x:c r="C49" s="56" t="str">
        <x:v>vileplume</x:v>
      </x:c>
      <x:c r="D49" s="56" t="str">
        <x:v>숲</x:v>
      </x:c>
      <x:c r="E49" s="56" t="str">
        <x:v>흔함</x:v>
      </x:c>
      <x:c r="F49" s="56" t="str">
        <x:v>아니오</x:v>
      </x:c>
      <x:c r="G49" s="56" t="str">
        <x:v>아니오</x:v>
      </x:c>
      <x:c r="H49" s="56" t="str">
        <x:v>예</x:v>
      </x:c>
      <x:c r="I49" s="56" t="str">
        <x:v>—</x:v>
      </x:c>
      <x:c r="J49" s="57" t="str">
        <x:v>포함</x:v>
      </x:c>
      <x:c r="K49" s="57" t="str">
        <x:v>포함</x:v>
      </x:c>
      <x:c r="L49" s="57" t="str">
        <x:v>포함</x:v>
      </x:c>
      <x:c r="M49" s="57" t="str">
        <x:v>—</x:v>
      </x:c>
      <x:c r="N49" s="57" t="str">
        <x:v>—</x:v>
      </x:c>
      <x:c r="O49" s="57" t="str">
        <x:v>포함</x:v>
      </x:c>
      <x:c r="P49" s="57" t="str">
        <x:v>—</x:v>
      </x:c>
      <x:c r="Q49" s="57" t="str">
        <x:v>포함</x:v>
      </x:c>
      <x:c r="R49" s="57" t="str">
        <x:v>포함</x:v>
      </x:c>
    </x:row>
    <x:row r="50">
      <x:c r="A50" s="60" t="n">
        <x:v>46</x:v>
      </x:c>
      <x:c r="B50" s="56" t="str">
        <x:v>파라스</x:v>
      </x:c>
      <x:c r="C50" s="56" t="str">
        <x:v>paras</x:v>
      </x:c>
      <x:c r="D50" s="56" t="str">
        <x:v>화산</x:v>
      </x:c>
      <x:c r="E50" s="56" t="str">
        <x:v>보통</x:v>
      </x:c>
      <x:c r="F50" s="56" t="str">
        <x:v>아니오</x:v>
      </x:c>
      <x:c r="G50" s="56" t="str">
        <x:v>아니오</x:v>
      </x:c>
      <x:c r="H50" s="56" t="str">
        <x:v>예</x:v>
      </x:c>
      <x:c r="I50" s="56" t="str">
        <x:v>—</x:v>
      </x:c>
      <x:c r="J50" s="57" t="str">
        <x:v>포함</x:v>
      </x:c>
      <x:c r="K50" s="57" t="str">
        <x:v>포함</x:v>
      </x:c>
      <x:c r="L50" s="57" t="str">
        <x:v>—</x:v>
      </x:c>
      <x:c r="M50" s="57" t="str">
        <x:v>—</x:v>
      </x:c>
      <x:c r="N50" s="57" t="str">
        <x:v>—</x:v>
      </x:c>
      <x:c r="O50" s="57" t="str">
        <x:v>—</x:v>
      </x:c>
      <x:c r="P50" s="57" t="str">
        <x:v>포함</x:v>
      </x:c>
      <x:c r="Q50" s="57" t="str">
        <x:v>—</x:v>
      </x:c>
      <x:c r="R50" s="57" t="str">
        <x:v>—</x:v>
      </x:c>
    </x:row>
    <x:row r="51">
      <x:c r="A51" s="60" t="n">
        <x:v>47</x:v>
      </x:c>
      <x:c r="B51" s="56" t="str">
        <x:v>파라섹트</x:v>
      </x:c>
      <x:c r="C51" s="56" t="str">
        <x:v>parasect</x:v>
      </x:c>
      <x:c r="D51" s="56" t="str">
        <x:v>화산</x:v>
      </x:c>
      <x:c r="E51" s="56" t="str">
        <x:v>보통</x:v>
      </x:c>
      <x:c r="F51" s="56" t="str">
        <x:v>아니오</x:v>
      </x:c>
      <x:c r="G51" s="56" t="str">
        <x:v>아니오</x:v>
      </x:c>
      <x:c r="H51" s="56" t="str">
        <x:v>예</x:v>
      </x:c>
      <x:c r="I51" s="56" t="str">
        <x:v>—</x:v>
      </x:c>
      <x:c r="J51" s="57" t="str">
        <x:v>포함</x:v>
      </x:c>
      <x:c r="K51" s="57" t="str">
        <x:v>포함</x:v>
      </x:c>
      <x:c r="L51" s="57" t="str">
        <x:v>—</x:v>
      </x:c>
      <x:c r="M51" s="57" t="str">
        <x:v>—</x:v>
      </x:c>
      <x:c r="N51" s="57" t="str">
        <x:v>—</x:v>
      </x:c>
      <x:c r="O51" s="57" t="str">
        <x:v>—</x:v>
      </x:c>
      <x:c r="P51" s="57" t="str">
        <x:v>포함</x:v>
      </x:c>
      <x:c r="Q51" s="57" t="str">
        <x:v>—</x:v>
      </x:c>
      <x:c r="R51" s="57" t="str">
        <x:v>—</x:v>
      </x:c>
    </x:row>
    <x:row r="52">
      <x:c r="A52" s="60" t="n">
        <x:v>48</x:v>
      </x:c>
      <x:c r="B52" s="56" t="str">
        <x:v>콘팡</x:v>
      </x:c>
      <x:c r="C52" s="56" t="str">
        <x:v>venonat</x:v>
      </x:c>
      <x:c r="D52" s="56" t="str">
        <x:v>특수</x:v>
      </x:c>
      <x:c r="E52" s="56" t="str">
        <x:v>흔함</x:v>
      </x:c>
      <x:c r="F52" s="56" t="str">
        <x:v>아니오</x:v>
      </x:c>
      <x:c r="G52" s="56" t="str">
        <x:v>아니오</x:v>
      </x:c>
      <x:c r="H52" s="56" t="str">
        <x:v>예</x:v>
      </x:c>
      <x:c r="I52" s="56" t="str">
        <x:v>—</x:v>
      </x:c>
      <x:c r="J52" s="57" t="str">
        <x:v>포함</x:v>
      </x:c>
      <x:c r="K52" s="57" t="str">
        <x:v>포함</x:v>
      </x:c>
      <x:c r="L52" s="57" t="str">
        <x:v>—</x:v>
      </x:c>
      <x:c r="M52" s="57" t="str">
        <x:v>—</x:v>
      </x:c>
      <x:c r="N52" s="57" t="str">
        <x:v>—</x:v>
      </x:c>
      <x:c r="O52" s="57" t="str">
        <x:v>—</x:v>
      </x:c>
      <x:c r="P52" s="57" t="str">
        <x:v>—</x:v>
      </x:c>
      <x:c r="Q52" s="57" t="str">
        <x:v>—</x:v>
      </x:c>
      <x:c r="R52" s="57" t="str">
        <x:v>포함</x:v>
      </x:c>
    </x:row>
    <x:row r="53">
      <x:c r="A53" s="60" t="n">
        <x:v>49</x:v>
      </x:c>
      <x:c r="B53" s="56" t="str">
        <x:v>도나리</x:v>
      </x:c>
      <x:c r="C53" s="56" t="str">
        <x:v>venomoth</x:v>
      </x:c>
      <x:c r="D53" s="56" t="str">
        <x:v>특수</x:v>
      </x:c>
      <x:c r="E53" s="56" t="str">
        <x:v>흔함</x:v>
      </x:c>
      <x:c r="F53" s="56" t="str">
        <x:v>아니오</x:v>
      </x:c>
      <x:c r="G53" s="56" t="str">
        <x:v>아니오</x:v>
      </x:c>
      <x:c r="H53" s="56" t="str">
        <x:v>예</x:v>
      </x:c>
      <x:c r="I53" s="56" t="str">
        <x:v>—</x:v>
      </x:c>
      <x:c r="J53" s="57" t="str">
        <x:v>포함</x:v>
      </x:c>
      <x:c r="K53" s="57" t="str">
        <x:v>포함</x:v>
      </x:c>
      <x:c r="L53" s="57" t="str">
        <x:v>—</x:v>
      </x:c>
      <x:c r="M53" s="57" t="str">
        <x:v>—</x:v>
      </x:c>
      <x:c r="N53" s="57" t="str">
        <x:v>—</x:v>
      </x:c>
      <x:c r="O53" s="57" t="str">
        <x:v>—</x:v>
      </x:c>
      <x:c r="P53" s="57" t="str">
        <x:v>—</x:v>
      </x:c>
      <x:c r="Q53" s="57" t="str">
        <x:v>—</x:v>
      </x:c>
      <x:c r="R53" s="57" t="str">
        <x:v>포함</x:v>
      </x:c>
    </x:row>
    <x:row r="54">
      <x:c r="A54" s="60" t="n">
        <x:v>50</x:v>
      </x:c>
      <x:c r="B54" s="56" t="str">
        <x:v>디그다</x:v>
      </x:c>
      <x:c r="C54" s="56" t="str">
        <x:v>diglett</x:v>
      </x:c>
      <x:c r="D54" s="56" t="str">
        <x:v>산악</x:v>
      </x:c>
      <x:c r="E54" s="56" t="str">
        <x:v>흔함</x:v>
      </x:c>
      <x:c r="F54" s="56" t="str">
        <x:v>아니오</x:v>
      </x:c>
      <x:c r="G54" s="56" t="str">
        <x:v>아니오</x:v>
      </x:c>
      <x:c r="H54" s="56" t="str">
        <x:v>예</x:v>
      </x:c>
      <x:c r="I54" s="56" t="str">
        <x:v>—</x:v>
      </x:c>
      <x:c r="J54" s="57" t="str">
        <x:v>포함</x:v>
      </x:c>
      <x:c r="K54" s="57" t="str">
        <x:v>포함</x:v>
      </x:c>
      <x:c r="L54" s="57" t="str">
        <x:v>—</x:v>
      </x:c>
      <x:c r="M54" s="57" t="str">
        <x:v>—</x:v>
      </x:c>
      <x:c r="N54" s="57" t="str">
        <x:v>—</x:v>
      </x:c>
      <x:c r="O54" s="57" t="str">
        <x:v>포함</x:v>
      </x:c>
      <x:c r="P54" s="57" t="str">
        <x:v>포함</x:v>
      </x:c>
      <x:c r="Q54" s="57" t="str">
        <x:v>포함</x:v>
      </x:c>
      <x:c r="R54" s="57" t="str">
        <x:v>포함</x:v>
      </x:c>
    </x:row>
    <x:row r="55">
      <x:c r="A55" s="60" t="n">
        <x:v>51</x:v>
      </x:c>
      <x:c r="B55" s="56" t="str">
        <x:v>닥트리오</x:v>
      </x:c>
      <x:c r="C55" s="56" t="str">
        <x:v>dugtrio</x:v>
      </x:c>
      <x:c r="D55" s="56" t="str">
        <x:v>산악</x:v>
      </x:c>
      <x:c r="E55" s="56" t="str">
        <x:v>흔함</x:v>
      </x:c>
      <x:c r="F55" s="56" t="str">
        <x:v>아니오</x:v>
      </x:c>
      <x:c r="G55" s="56" t="str">
        <x:v>아니오</x:v>
      </x:c>
      <x:c r="H55" s="56" t="str">
        <x:v>예</x:v>
      </x:c>
      <x:c r="I55" s="56" t="str">
        <x:v>—</x:v>
      </x:c>
      <x:c r="J55" s="57" t="str">
        <x:v>포함</x:v>
      </x:c>
      <x:c r="K55" s="57" t="str">
        <x:v>포함</x:v>
      </x:c>
      <x:c r="L55" s="57" t="str">
        <x:v>—</x:v>
      </x:c>
      <x:c r="M55" s="57" t="str">
        <x:v>—</x:v>
      </x:c>
      <x:c r="N55" s="57" t="str">
        <x:v>—</x:v>
      </x:c>
      <x:c r="O55" s="57" t="str">
        <x:v>포함</x:v>
      </x:c>
      <x:c r="P55" s="57" t="str">
        <x:v>포함</x:v>
      </x:c>
      <x:c r="Q55" s="57" t="str">
        <x:v>포함</x:v>
      </x:c>
      <x:c r="R55" s="57" t="str">
        <x:v>포함</x:v>
      </x:c>
    </x:row>
    <x:row r="56">
      <x:c r="A56" s="60" t="n">
        <x:v>52</x:v>
      </x:c>
      <x:c r="B56" s="56" t="str">
        <x:v>나옹</x:v>
      </x:c>
      <x:c r="C56" s="56" t="str">
        <x:v>meowth</x:v>
      </x:c>
      <x:c r="D56" s="56" t="str">
        <x:v>건조지</x:v>
      </x:c>
      <x:c r="E56" s="56" t="str">
        <x:v>보통</x:v>
      </x:c>
      <x:c r="F56" s="56" t="str">
        <x:v>아니오</x:v>
      </x:c>
      <x:c r="G56" s="56" t="str">
        <x:v>아니오</x:v>
      </x:c>
      <x:c r="H56" s="56" t="str">
        <x:v>예</x:v>
      </x:c>
      <x:c r="I56" s="56" t="str">
        <x:v>—</x:v>
      </x:c>
      <x:c r="J56" s="57" t="str">
        <x:v>포함</x:v>
      </x:c>
      <x:c r="K56" s="57" t="str">
        <x:v>포함</x:v>
      </x:c>
      <x:c r="L56" s="57" t="str">
        <x:v>—</x:v>
      </x:c>
      <x:c r="M56" s="57" t="str">
        <x:v>—</x:v>
      </x:c>
      <x:c r="N56" s="57" t="str">
        <x:v>—</x:v>
      </x:c>
      <x:c r="O56" s="57" t="str">
        <x:v>—</x:v>
      </x:c>
      <x:c r="P56" s="57" t="str">
        <x:v>포함</x:v>
      </x:c>
      <x:c r="Q56" s="57" t="str">
        <x:v>포함</x:v>
      </x:c>
      <x:c r="R56" s="57" t="str">
        <x:v>포함</x:v>
      </x:c>
    </x:row>
    <x:row r="57">
      <x:c r="A57" s="60" t="n">
        <x:v>53</x:v>
      </x:c>
      <x:c r="B57" s="56" t="str">
        <x:v>페르시온</x:v>
      </x:c>
      <x:c r="C57" s="56" t="str">
        <x:v>persian</x:v>
      </x:c>
      <x:c r="D57" s="56" t="str">
        <x:v>건조지</x:v>
      </x:c>
      <x:c r="E57" s="56" t="str">
        <x:v>보통</x:v>
      </x:c>
      <x:c r="F57" s="56" t="str">
        <x:v>아니오</x:v>
      </x:c>
      <x:c r="G57" s="56" t="str">
        <x:v>아니오</x:v>
      </x:c>
      <x:c r="H57" s="56" t="str">
        <x:v>예</x:v>
      </x:c>
      <x:c r="I57" s="56" t="str">
        <x:v>—</x:v>
      </x:c>
      <x:c r="J57" s="57" t="str">
        <x:v>포함</x:v>
      </x:c>
      <x:c r="K57" s="57" t="str">
        <x:v>포함</x:v>
      </x:c>
      <x:c r="L57" s="57" t="str">
        <x:v>—</x:v>
      </x:c>
      <x:c r="M57" s="57" t="str">
        <x:v>—</x:v>
      </x:c>
      <x:c r="N57" s="57" t="str">
        <x:v>—</x:v>
      </x:c>
      <x:c r="O57" s="57" t="str">
        <x:v>—</x:v>
      </x:c>
      <x:c r="P57" s="57" t="str">
        <x:v>포함</x:v>
      </x:c>
      <x:c r="Q57" s="57" t="str">
        <x:v>포함</x:v>
      </x:c>
      <x:c r="R57" s="57" t="str">
        <x:v>포함</x:v>
      </x:c>
    </x:row>
    <x:row r="58">
      <x:c r="A58" s="60" t="n">
        <x:v>54</x:v>
      </x:c>
      <x:c r="B58" s="56" t="str">
        <x:v>고라파덕</x:v>
      </x:c>
      <x:c r="C58" s="56" t="str">
        <x:v>psyduck</x:v>
      </x:c>
      <x:c r="D58" s="56" t="str">
        <x:v>담수</x:v>
      </x:c>
      <x:c r="E58" s="56" t="str">
        <x:v>흔함</x:v>
      </x:c>
      <x:c r="F58" s="56" t="str">
        <x:v>아니오</x:v>
      </x:c>
      <x:c r="G58" s="56" t="str">
        <x:v>아니오</x:v>
      </x:c>
      <x:c r="H58" s="56" t="str">
        <x:v>예</x:v>
      </x:c>
      <x:c r="I58" s="56" t="str">
        <x:v>—</x:v>
      </x:c>
      <x:c r="J58" s="57" t="str">
        <x:v>포함</x:v>
      </x:c>
      <x:c r="K58" s="57" t="str">
        <x:v>포함</x:v>
      </x:c>
      <x:c r="L58" s="57" t="str">
        <x:v>포함</x:v>
      </x:c>
      <x:c r="M58" s="57" t="str">
        <x:v>포함</x:v>
      </x:c>
      <x:c r="N58" s="57" t="str">
        <x:v>포함</x:v>
      </x:c>
      <x:c r="O58" s="57" t="str">
        <x:v>포함</x:v>
      </x:c>
      <x:c r="P58" s="57" t="str">
        <x:v>포함</x:v>
      </x:c>
      <x:c r="Q58" s="57" t="str">
        <x:v>포함</x:v>
      </x:c>
      <x:c r="R58" s="57" t="str">
        <x:v>포함</x:v>
      </x:c>
    </x:row>
    <x:row r="59">
      <x:c r="A59" s="60" t="n">
        <x:v>55</x:v>
      </x:c>
      <x:c r="B59" s="56" t="str">
        <x:v>골덕</x:v>
      </x:c>
      <x:c r="C59" s="56" t="str">
        <x:v>golduck</x:v>
      </x:c>
      <x:c r="D59" s="56" t="str">
        <x:v>담수</x:v>
      </x:c>
      <x:c r="E59" s="56" t="str">
        <x:v>흔함</x:v>
      </x:c>
      <x:c r="F59" s="56" t="str">
        <x:v>아니오</x:v>
      </x:c>
      <x:c r="G59" s="56" t="str">
        <x:v>아니오</x:v>
      </x:c>
      <x:c r="H59" s="56" t="str">
        <x:v>예</x:v>
      </x:c>
      <x:c r="I59" s="56" t="str">
        <x:v>—</x:v>
      </x:c>
      <x:c r="J59" s="57" t="str">
        <x:v>포함</x:v>
      </x:c>
      <x:c r="K59" s="57" t="str">
        <x:v>포함</x:v>
      </x:c>
      <x:c r="L59" s="57" t="str">
        <x:v>포함</x:v>
      </x:c>
      <x:c r="M59" s="57" t="str">
        <x:v>포함</x:v>
      </x:c>
      <x:c r="N59" s="57" t="str">
        <x:v>포함</x:v>
      </x:c>
      <x:c r="O59" s="57" t="str">
        <x:v>포함</x:v>
      </x:c>
      <x:c r="P59" s="57" t="str">
        <x:v>포함</x:v>
      </x:c>
      <x:c r="Q59" s="57" t="str">
        <x:v>포함</x:v>
      </x:c>
      <x:c r="R59" s="57" t="str">
        <x:v>포함</x:v>
      </x:c>
    </x:row>
    <x:row r="60">
      <x:c r="A60" s="60" t="n">
        <x:v>56</x:v>
      </x:c>
      <x:c r="B60" s="56" t="str">
        <x:v>망키</x:v>
      </x:c>
      <x:c r="C60" s="56" t="str">
        <x:v>mankey</x:v>
      </x:c>
      <x:c r="D60" s="56" t="str">
        <x:v>산악</x:v>
      </x:c>
      <x:c r="E60" s="56" t="str">
        <x:v>흔함</x:v>
      </x:c>
      <x:c r="F60" s="56" t="str">
        <x:v>아니오</x:v>
      </x:c>
      <x:c r="G60" s="56" t="str">
        <x:v>아니오</x:v>
      </x:c>
      <x:c r="H60" s="56" t="str">
        <x:v>예</x:v>
      </x:c>
      <x:c r="I60" s="56" t="str">
        <x:v>—</x:v>
      </x:c>
      <x:c r="J60" s="57" t="str">
        <x:v>포함</x:v>
      </x:c>
      <x:c r="K60" s="57" t="str">
        <x:v>포함</x:v>
      </x:c>
      <x:c r="L60" s="57" t="str">
        <x:v>—</x:v>
      </x:c>
      <x:c r="M60" s="57" t="str">
        <x:v>—</x:v>
      </x:c>
      <x:c r="N60" s="57" t="str">
        <x:v>—</x:v>
      </x:c>
      <x:c r="O60" s="57" t="str">
        <x:v>—</x:v>
      </x:c>
      <x:c r="P60" s="57" t="str">
        <x:v>포함</x:v>
      </x:c>
      <x:c r="Q60" s="57" t="str">
        <x:v>—</x:v>
      </x:c>
      <x:c r="R60" s="57" t="str">
        <x:v>포함</x:v>
      </x:c>
    </x:row>
    <x:row r="61">
      <x:c r="A61" s="60" t="n">
        <x:v>57</x:v>
      </x:c>
      <x:c r="B61" s="56" t="str">
        <x:v>성원숭</x:v>
      </x:c>
      <x:c r="C61" s="56" t="str">
        <x:v>primeape</x:v>
      </x:c>
      <x:c r="D61" s="56" t="str">
        <x:v>산악</x:v>
      </x:c>
      <x:c r="E61" s="56" t="str">
        <x:v>흔함</x:v>
      </x:c>
      <x:c r="F61" s="56" t="str">
        <x:v>아니오</x:v>
      </x:c>
      <x:c r="G61" s="56" t="str">
        <x:v>아니오</x:v>
      </x:c>
      <x:c r="H61" s="56" t="str">
        <x:v>예</x:v>
      </x:c>
      <x:c r="I61" s="56" t="str">
        <x:v>—</x:v>
      </x:c>
      <x:c r="J61" s="57" t="str">
        <x:v>포함</x:v>
      </x:c>
      <x:c r="K61" s="57" t="str">
        <x:v>포함</x:v>
      </x:c>
      <x:c r="L61" s="57" t="str">
        <x:v>—</x:v>
      </x:c>
      <x:c r="M61" s="57" t="str">
        <x:v>—</x:v>
      </x:c>
      <x:c r="N61" s="57" t="str">
        <x:v>—</x:v>
      </x:c>
      <x:c r="O61" s="57" t="str">
        <x:v>—</x:v>
      </x:c>
      <x:c r="P61" s="57" t="str">
        <x:v>포함</x:v>
      </x:c>
      <x:c r="Q61" s="57" t="str">
        <x:v>—</x:v>
      </x:c>
      <x:c r="R61" s="57" t="str">
        <x:v>포함</x:v>
      </x:c>
    </x:row>
    <x:row r="62">
      <x:c r="A62" s="60" t="n">
        <x:v>58</x:v>
      </x:c>
      <x:c r="B62" s="56" t="str">
        <x:v>가디</x:v>
      </x:c>
      <x:c r="C62" s="56" t="str">
        <x:v>growlithe</x:v>
      </x:c>
      <x:c r="D62" s="56" t="str">
        <x:v>산악</x:v>
      </x:c>
      <x:c r="E62" s="56" t="str">
        <x:v>보통</x:v>
      </x:c>
      <x:c r="F62" s="56" t="str">
        <x:v>아니오</x:v>
      </x:c>
      <x:c r="G62" s="56" t="str">
        <x:v>아니오</x:v>
      </x:c>
      <x:c r="H62" s="56" t="str">
        <x:v>예</x:v>
      </x:c>
      <x:c r="I62" s="56" t="str">
        <x:v>—</x:v>
      </x:c>
      <x:c r="J62" s="57" t="str">
        <x:v>포함</x:v>
      </x:c>
      <x:c r="K62" s="57" t="str">
        <x:v>포함</x:v>
      </x:c>
      <x:c r="L62" s="57" t="str">
        <x:v>—</x:v>
      </x:c>
      <x:c r="M62" s="57" t="str">
        <x:v>—</x:v>
      </x:c>
      <x:c r="N62" s="57" t="str">
        <x:v>포함</x:v>
      </x:c>
      <x:c r="O62" s="57" t="str">
        <x:v>—</x:v>
      </x:c>
      <x:c r="P62" s="57" t="str">
        <x:v>포함</x:v>
      </x:c>
      <x:c r="Q62" s="57" t="str">
        <x:v>포함</x:v>
      </x:c>
      <x:c r="R62" s="57" t="str">
        <x:v>포함</x:v>
      </x:c>
    </x:row>
    <x:row r="63">
      <x:c r="A63" s="60" t="n">
        <x:v>59</x:v>
      </x:c>
      <x:c r="B63" s="56" t="str">
        <x:v>윈디</x:v>
      </x:c>
      <x:c r="C63" s="56" t="str">
        <x:v>arcanine</x:v>
      </x:c>
      <x:c r="D63" s="56" t="str">
        <x:v>화산</x:v>
      </x:c>
      <x:c r="E63" s="56" t="str">
        <x:v>보통</x:v>
      </x:c>
      <x:c r="F63" s="56" t="str">
        <x:v>아니오</x:v>
      </x:c>
      <x:c r="G63" s="56" t="str">
        <x:v>아니오</x:v>
      </x:c>
      <x:c r="H63" s="56" t="str">
        <x:v>예</x:v>
      </x:c>
      <x:c r="I63" s="56" t="str">
        <x:v>—</x:v>
      </x:c>
      <x:c r="J63" s="57" t="str">
        <x:v>포함</x:v>
      </x:c>
      <x:c r="K63" s="57" t="str">
        <x:v>포함</x:v>
      </x:c>
      <x:c r="L63" s="57" t="str">
        <x:v>—</x:v>
      </x:c>
      <x:c r="M63" s="57" t="str">
        <x:v>—</x:v>
      </x:c>
      <x:c r="N63" s="57" t="str">
        <x:v>포함</x:v>
      </x:c>
      <x:c r="O63" s="57" t="str">
        <x:v>—</x:v>
      </x:c>
      <x:c r="P63" s="57" t="str">
        <x:v>포함</x:v>
      </x:c>
      <x:c r="Q63" s="57" t="str">
        <x:v>포함</x:v>
      </x:c>
      <x:c r="R63" s="57" t="str">
        <x:v>포함</x:v>
      </x:c>
    </x:row>
    <x:row r="64">
      <x:c r="A64" s="60" t="n">
        <x:v>60</x:v>
      </x:c>
      <x:c r="B64" s="56" t="str">
        <x:v>발챙이</x:v>
      </x:c>
      <x:c r="C64" s="56" t="str">
        <x:v>poliwag</x:v>
      </x:c>
      <x:c r="D64" s="56" t="str">
        <x:v>담수</x:v>
      </x:c>
      <x:c r="E64" s="56" t="str">
        <x:v>흔함</x:v>
      </x:c>
      <x:c r="F64" s="56" t="str">
        <x:v>아니오</x:v>
      </x:c>
      <x:c r="G64" s="56" t="str">
        <x:v>아니오</x:v>
      </x:c>
      <x:c r="H64" s="56" t="str">
        <x:v>예</x:v>
      </x:c>
      <x:c r="I64" s="56" t="str">
        <x:v>—</x:v>
      </x:c>
      <x:c r="J64" s="57" t="str">
        <x:v>포함</x:v>
      </x:c>
      <x:c r="K64" s="57" t="str">
        <x:v>포함</x:v>
      </x:c>
      <x:c r="L64" s="57" t="str">
        <x:v>—</x:v>
      </x:c>
      <x:c r="M64" s="57" t="str">
        <x:v>—</x:v>
      </x:c>
      <x:c r="N64" s="57" t="str">
        <x:v>—</x:v>
      </x:c>
      <x:c r="O64" s="57" t="str">
        <x:v>포함</x:v>
      </x:c>
      <x:c r="P64" s="57" t="str">
        <x:v>포함</x:v>
      </x:c>
      <x:c r="Q64" s="57" t="str">
        <x:v>포함</x:v>
      </x:c>
      <x:c r="R64" s="57" t="str">
        <x:v>포함</x:v>
      </x:c>
    </x:row>
    <x:row r="65">
      <x:c r="A65" s="60" t="n">
        <x:v>61</x:v>
      </x:c>
      <x:c r="B65" s="56" t="str">
        <x:v>슈륙챙이</x:v>
      </x:c>
      <x:c r="C65" s="56" t="str">
        <x:v>poliwhirl</x:v>
      </x:c>
      <x:c r="D65" s="56" t="str">
        <x:v>담수</x:v>
      </x:c>
      <x:c r="E65" s="56" t="str">
        <x:v>흔함</x:v>
      </x:c>
      <x:c r="F65" s="56" t="str">
        <x:v>아니오</x:v>
      </x:c>
      <x:c r="G65" s="56" t="str">
        <x:v>아니오</x:v>
      </x:c>
      <x:c r="H65" s="56" t="str">
        <x:v>예</x:v>
      </x:c>
      <x:c r="I65" s="56" t="str">
        <x:v>—</x:v>
      </x:c>
      <x:c r="J65" s="57" t="str">
        <x:v>포함</x:v>
      </x:c>
      <x:c r="K65" s="57" t="str">
        <x:v>포함</x:v>
      </x:c>
      <x:c r="L65" s="57" t="str">
        <x:v>—</x:v>
      </x:c>
      <x:c r="M65" s="57" t="str">
        <x:v>—</x:v>
      </x:c>
      <x:c r="N65" s="57" t="str">
        <x:v>—</x:v>
      </x:c>
      <x:c r="O65" s="57" t="str">
        <x:v>포함</x:v>
      </x:c>
      <x:c r="P65" s="57" t="str">
        <x:v>포함</x:v>
      </x:c>
      <x:c r="Q65" s="57" t="str">
        <x:v>포함</x:v>
      </x:c>
      <x:c r="R65" s="57" t="str">
        <x:v>포함</x:v>
      </x:c>
    </x:row>
    <x:row r="66">
      <x:c r="A66" s="60" t="n">
        <x:v>62</x:v>
      </x:c>
      <x:c r="B66" s="56" t="str">
        <x:v>강챙이</x:v>
      </x:c>
      <x:c r="C66" s="56" t="str">
        <x:v>poliwrath</x:v>
      </x:c>
      <x:c r="D66" s="56" t="str">
        <x:v>담수</x:v>
      </x:c>
      <x:c r="E66" s="56" t="str">
        <x:v>흔함</x:v>
      </x:c>
      <x:c r="F66" s="56" t="str">
        <x:v>아니오</x:v>
      </x:c>
      <x:c r="G66" s="56" t="str">
        <x:v>아니오</x:v>
      </x:c>
      <x:c r="H66" s="56" t="str">
        <x:v>예</x:v>
      </x:c>
      <x:c r="I66" s="56" t="str">
        <x:v>—</x:v>
      </x:c>
      <x:c r="J66" s="57" t="str">
        <x:v>포함</x:v>
      </x:c>
      <x:c r="K66" s="57" t="str">
        <x:v>포함</x:v>
      </x:c>
      <x:c r="L66" s="57" t="str">
        <x:v>—</x:v>
      </x:c>
      <x:c r="M66" s="57" t="str">
        <x:v>—</x:v>
      </x:c>
      <x:c r="N66" s="57" t="str">
        <x:v>—</x:v>
      </x:c>
      <x:c r="O66" s="57" t="str">
        <x:v>포함</x:v>
      </x:c>
      <x:c r="P66" s="57" t="str">
        <x:v>포함</x:v>
      </x:c>
      <x:c r="Q66" s="57" t="str">
        <x:v>포함</x:v>
      </x:c>
      <x:c r="R66" s="57" t="str">
        <x:v>포함</x:v>
      </x:c>
    </x:row>
    <x:row r="67">
      <x:c r="A67" s="60" t="n">
        <x:v>63</x:v>
      </x:c>
      <x:c r="B67" s="56" t="str">
        <x:v>캐이시</x:v>
      </x:c>
      <x:c r="C67" s="56" t="str">
        <x:v>abra</x:v>
      </x:c>
      <x:c r="D67" s="56" t="str">
        <x:v>산악</x:v>
      </x:c>
      <x:c r="E67" s="56" t="str">
        <x:v>보통</x:v>
      </x:c>
      <x:c r="F67" s="56" t="str">
        <x:v>아니오</x:v>
      </x:c>
      <x:c r="G67" s="56" t="str">
        <x:v>아니오</x:v>
      </x:c>
      <x:c r="H67" s="56" t="str">
        <x:v>예</x:v>
      </x:c>
      <x:c r="I67" s="56" t="str">
        <x:v>—</x:v>
      </x:c>
      <x:c r="J67" s="57" t="str">
        <x:v>포함</x:v>
      </x:c>
      <x:c r="K67" s="57" t="str">
        <x:v>포함</x:v>
      </x:c>
      <x:c r="L67" s="57" t="str">
        <x:v>포함</x:v>
      </x:c>
      <x:c r="M67" s="57" t="str">
        <x:v>포함</x:v>
      </x:c>
      <x:c r="N67" s="57" t="str">
        <x:v>—</x:v>
      </x:c>
      <x:c r="O67" s="57" t="str">
        <x:v>포함</x:v>
      </x:c>
      <x:c r="P67" s="57" t="str">
        <x:v>포함</x:v>
      </x:c>
      <x:c r="Q67" s="57" t="str">
        <x:v>포함</x:v>
      </x:c>
      <x:c r="R67" s="57" t="str">
        <x:v>—</x:v>
      </x:c>
    </x:row>
    <x:row r="68">
      <x:c r="A68" s="60" t="n">
        <x:v>64</x:v>
      </x:c>
      <x:c r="B68" s="56" t="str">
        <x:v>윤겔라</x:v>
      </x:c>
      <x:c r="C68" s="56" t="str">
        <x:v>kadabra</x:v>
      </x:c>
      <x:c r="D68" s="56" t="str">
        <x:v>산악</x:v>
      </x:c>
      <x:c r="E68" s="56" t="str">
        <x:v>보통</x:v>
      </x:c>
      <x:c r="F68" s="56" t="str">
        <x:v>아니오</x:v>
      </x:c>
      <x:c r="G68" s="56" t="str">
        <x:v>아니오</x:v>
      </x:c>
      <x:c r="H68" s="56" t="str">
        <x:v>예</x:v>
      </x:c>
      <x:c r="I68" s="56" t="str">
        <x:v>—</x:v>
      </x:c>
      <x:c r="J68" s="57" t="str">
        <x:v>포함</x:v>
      </x:c>
      <x:c r="K68" s="57" t="str">
        <x:v>포함</x:v>
      </x:c>
      <x:c r="L68" s="57" t="str">
        <x:v>포함</x:v>
      </x:c>
      <x:c r="M68" s="57" t="str">
        <x:v>포함</x:v>
      </x:c>
      <x:c r="N68" s="57" t="str">
        <x:v>—</x:v>
      </x:c>
      <x:c r="O68" s="57" t="str">
        <x:v>포함</x:v>
      </x:c>
      <x:c r="P68" s="57" t="str">
        <x:v>포함</x:v>
      </x:c>
      <x:c r="Q68" s="57" t="str">
        <x:v>포함</x:v>
      </x:c>
      <x:c r="R68" s="57" t="str">
        <x:v>—</x:v>
      </x:c>
    </x:row>
    <x:row r="69">
      <x:c r="A69" s="60" t="n">
        <x:v>65</x:v>
      </x:c>
      <x:c r="B69" s="56" t="str">
        <x:v>후딘</x:v>
      </x:c>
      <x:c r="C69" s="56" t="str">
        <x:v>alakazam</x:v>
      </x:c>
      <x:c r="D69" s="56" t="str">
        <x:v>산악</x:v>
      </x:c>
      <x:c r="E69" s="56" t="str">
        <x:v>보통</x:v>
      </x:c>
      <x:c r="F69" s="56" t="str">
        <x:v>아니오</x:v>
      </x:c>
      <x:c r="G69" s="56" t="str">
        <x:v>아니오</x:v>
      </x:c>
      <x:c r="H69" s="56" t="str">
        <x:v>예</x:v>
      </x:c>
      <x:c r="I69" s="56" t="str">
        <x:v>—</x:v>
      </x:c>
      <x:c r="J69" s="57" t="str">
        <x:v>포함</x:v>
      </x:c>
      <x:c r="K69" s="57" t="str">
        <x:v>포함</x:v>
      </x:c>
      <x:c r="L69" s="57" t="str">
        <x:v>포함</x:v>
      </x:c>
      <x:c r="M69" s="57" t="str">
        <x:v>포함</x:v>
      </x:c>
      <x:c r="N69" s="57" t="str">
        <x:v>—</x:v>
      </x:c>
      <x:c r="O69" s="57" t="str">
        <x:v>포함</x:v>
      </x:c>
      <x:c r="P69" s="57" t="str">
        <x:v>포함</x:v>
      </x:c>
      <x:c r="Q69" s="57" t="str">
        <x:v>포함</x:v>
      </x:c>
      <x:c r="R69" s="57" t="str">
        <x:v>—</x:v>
      </x:c>
    </x:row>
    <x:row r="70">
      <x:c r="A70" s="60" t="n">
        <x:v>66</x:v>
      </x:c>
      <x:c r="B70" s="56" t="str">
        <x:v>알통몬</x:v>
      </x:c>
      <x:c r="C70" s="56" t="str">
        <x:v>machop</x:v>
      </x:c>
      <x:c r="D70" s="56" t="str">
        <x:v>산악</x:v>
      </x:c>
      <x:c r="E70" s="56" t="str">
        <x:v>흔함</x:v>
      </x:c>
      <x:c r="F70" s="56" t="str">
        <x:v>아니오</x:v>
      </x:c>
      <x:c r="G70" s="56" t="str">
        <x:v>아니오</x:v>
      </x:c>
      <x:c r="H70" s="56" t="str">
        <x:v>예</x:v>
      </x:c>
      <x:c r="I70" s="56" t="str">
        <x:v>—</x:v>
      </x:c>
      <x:c r="J70" s="57" t="str">
        <x:v>포함</x:v>
      </x:c>
      <x:c r="K70" s="57" t="str">
        <x:v>포함</x:v>
      </x:c>
      <x:c r="L70" s="57" t="str">
        <x:v>포함</x:v>
      </x:c>
      <x:c r="M70" s="57" t="str">
        <x:v>포함</x:v>
      </x:c>
      <x:c r="N70" s="57" t="str">
        <x:v>—</x:v>
      </x:c>
      <x:c r="O70" s="57" t="str">
        <x:v>포함</x:v>
      </x:c>
      <x:c r="P70" s="57" t="str">
        <x:v>포함</x:v>
      </x:c>
      <x:c r="Q70" s="57" t="str">
        <x:v>포함</x:v>
      </x:c>
      <x:c r="R70" s="57" t="str">
        <x:v>—</x:v>
      </x:c>
    </x:row>
    <x:row r="71">
      <x:c r="A71" s="60" t="n">
        <x:v>67</x:v>
      </x:c>
      <x:c r="B71" s="56" t="str">
        <x:v>근육몬</x:v>
      </x:c>
      <x:c r="C71" s="56" t="str">
        <x:v>machoke</x:v>
      </x:c>
      <x:c r="D71" s="56" t="str">
        <x:v>산악</x:v>
      </x:c>
      <x:c r="E71" s="56" t="str">
        <x:v>흔함</x:v>
      </x:c>
      <x:c r="F71" s="56" t="str">
        <x:v>아니오</x:v>
      </x:c>
      <x:c r="G71" s="56" t="str">
        <x:v>아니오</x:v>
      </x:c>
      <x:c r="H71" s="56" t="str">
        <x:v>예</x:v>
      </x:c>
      <x:c r="I71" s="56" t="str">
        <x:v>—</x:v>
      </x:c>
      <x:c r="J71" s="57" t="str">
        <x:v>포함</x:v>
      </x:c>
      <x:c r="K71" s="57" t="str">
        <x:v>포함</x:v>
      </x:c>
      <x:c r="L71" s="57" t="str">
        <x:v>포함</x:v>
      </x:c>
      <x:c r="M71" s="57" t="str">
        <x:v>포함</x:v>
      </x:c>
      <x:c r="N71" s="57" t="str">
        <x:v>—</x:v>
      </x:c>
      <x:c r="O71" s="57" t="str">
        <x:v>포함</x:v>
      </x:c>
      <x:c r="P71" s="57" t="str">
        <x:v>포함</x:v>
      </x:c>
      <x:c r="Q71" s="57" t="str">
        <x:v>포함</x:v>
      </x:c>
      <x:c r="R71" s="57" t="str">
        <x:v>—</x:v>
      </x:c>
    </x:row>
    <x:row r="72">
      <x:c r="A72" s="60" t="n">
        <x:v>68</x:v>
      </x:c>
      <x:c r="B72" s="56" t="str">
        <x:v>괴력몬</x:v>
      </x:c>
      <x:c r="C72" s="56" t="str">
        <x:v>machamp</x:v>
      </x:c>
      <x:c r="D72" s="56" t="str">
        <x:v>산악</x:v>
      </x:c>
      <x:c r="E72" s="56" t="str">
        <x:v>흔함</x:v>
      </x:c>
      <x:c r="F72" s="56" t="str">
        <x:v>아니오</x:v>
      </x:c>
      <x:c r="G72" s="56" t="str">
        <x:v>아니오</x:v>
      </x:c>
      <x:c r="H72" s="56" t="str">
        <x:v>예</x:v>
      </x:c>
      <x:c r="I72" s="56" t="str">
        <x:v>—</x:v>
      </x:c>
      <x:c r="J72" s="57" t="str">
        <x:v>포함</x:v>
      </x:c>
      <x:c r="K72" s="57" t="str">
        <x:v>포함</x:v>
      </x:c>
      <x:c r="L72" s="57" t="str">
        <x:v>포함</x:v>
      </x:c>
      <x:c r="M72" s="57" t="str">
        <x:v>포함</x:v>
      </x:c>
      <x:c r="N72" s="57" t="str">
        <x:v>—</x:v>
      </x:c>
      <x:c r="O72" s="57" t="str">
        <x:v>포함</x:v>
      </x:c>
      <x:c r="P72" s="57" t="str">
        <x:v>포함</x:v>
      </x:c>
      <x:c r="Q72" s="57" t="str">
        <x:v>포함</x:v>
      </x:c>
      <x:c r="R72" s="57" t="str">
        <x:v>—</x:v>
      </x:c>
    </x:row>
    <x:row r="73">
      <x:c r="A73" s="60" t="n">
        <x:v>69</x:v>
      </x:c>
      <x:c r="B73" s="56" t="str">
        <x:v>모다피</x:v>
      </x:c>
      <x:c r="C73" s="56" t="str">
        <x:v>bellsprout</x:v>
      </x:c>
      <x:c r="D73" s="56" t="str">
        <x:v>숲</x:v>
      </x:c>
      <x:c r="E73" s="56" t="str">
        <x:v>흔함</x:v>
      </x:c>
      <x:c r="F73" s="56" t="str">
        <x:v>아니오</x:v>
      </x:c>
      <x:c r="G73" s="56" t="str">
        <x:v>아니오</x:v>
      </x:c>
      <x:c r="H73" s="56" t="str">
        <x:v>예</x:v>
      </x:c>
      <x:c r="I73" s="56" t="str">
        <x:v>—</x:v>
      </x:c>
      <x:c r="J73" s="57" t="str">
        <x:v>포함</x:v>
      </x:c>
      <x:c r="K73" s="57" t="str">
        <x:v>포함</x:v>
      </x:c>
      <x:c r="L73" s="57" t="str">
        <x:v>—</x:v>
      </x:c>
      <x:c r="M73" s="57" t="str">
        <x:v>—</x:v>
      </x:c>
      <x:c r="N73" s="57" t="str">
        <x:v>—</x:v>
      </x:c>
      <x:c r="O73" s="57" t="str">
        <x:v>포함</x:v>
      </x:c>
      <x:c r="P73" s="57" t="str">
        <x:v>—</x:v>
      </x:c>
      <x:c r="Q73" s="57" t="str">
        <x:v>—</x:v>
      </x:c>
      <x:c r="R73" s="57" t="str">
        <x:v>포함</x:v>
      </x:c>
    </x:row>
    <x:row r="74">
      <x:c r="A74" s="60" t="n">
        <x:v>70</x:v>
      </x:c>
      <x:c r="B74" s="56" t="str">
        <x:v>우츠동</x:v>
      </x:c>
      <x:c r="C74" s="56" t="str">
        <x:v>weepinbell</x:v>
      </x:c>
      <x:c r="D74" s="56" t="str">
        <x:v>숲</x:v>
      </x:c>
      <x:c r="E74" s="56" t="str">
        <x:v>흔함</x:v>
      </x:c>
      <x:c r="F74" s="56" t="str">
        <x:v>아니오</x:v>
      </x:c>
      <x:c r="G74" s="56" t="str">
        <x:v>아니오</x:v>
      </x:c>
      <x:c r="H74" s="56" t="str">
        <x:v>예</x:v>
      </x:c>
      <x:c r="I74" s="56" t="str">
        <x:v>—</x:v>
      </x:c>
      <x:c r="J74" s="57" t="str">
        <x:v>포함</x:v>
      </x:c>
      <x:c r="K74" s="57" t="str">
        <x:v>포함</x:v>
      </x:c>
      <x:c r="L74" s="57" t="str">
        <x:v>—</x:v>
      </x:c>
      <x:c r="M74" s="57" t="str">
        <x:v>—</x:v>
      </x:c>
      <x:c r="N74" s="57" t="str">
        <x:v>—</x:v>
      </x:c>
      <x:c r="O74" s="57" t="str">
        <x:v>포함</x:v>
      </x:c>
      <x:c r="P74" s="57" t="str">
        <x:v>—</x:v>
      </x:c>
      <x:c r="Q74" s="57" t="str">
        <x:v>—</x:v>
      </x:c>
      <x:c r="R74" s="57" t="str">
        <x:v>포함</x:v>
      </x:c>
    </x:row>
    <x:row r="75">
      <x:c r="A75" s="60" t="n">
        <x:v>71</x:v>
      </x:c>
      <x:c r="B75" s="56" t="str">
        <x:v>우츠보트</x:v>
      </x:c>
      <x:c r="C75" s="56" t="str">
        <x:v>victreebel</x:v>
      </x:c>
      <x:c r="D75" s="56" t="str">
        <x:v>숲</x:v>
      </x:c>
      <x:c r="E75" s="56" t="str">
        <x:v>흔함</x:v>
      </x:c>
      <x:c r="F75" s="56" t="str">
        <x:v>아니오</x:v>
      </x:c>
      <x:c r="G75" s="56" t="str">
        <x:v>아니오</x:v>
      </x:c>
      <x:c r="H75" s="56" t="str">
        <x:v>예</x:v>
      </x:c>
      <x:c r="I75" s="56" t="str">
        <x:v>—</x:v>
      </x:c>
      <x:c r="J75" s="57" t="str">
        <x:v>포함</x:v>
      </x:c>
      <x:c r="K75" s="57" t="str">
        <x:v>포함</x:v>
      </x:c>
      <x:c r="L75" s="57" t="str">
        <x:v>—</x:v>
      </x:c>
      <x:c r="M75" s="57" t="str">
        <x:v>—</x:v>
      </x:c>
      <x:c r="N75" s="57" t="str">
        <x:v>—</x:v>
      </x:c>
      <x:c r="O75" s="57" t="str">
        <x:v>포함</x:v>
      </x:c>
      <x:c r="P75" s="57" t="str">
        <x:v>—</x:v>
      </x:c>
      <x:c r="Q75" s="57" t="str">
        <x:v>—</x:v>
      </x:c>
      <x:c r="R75" s="57" t="str">
        <x:v>포함</x:v>
      </x:c>
    </x:row>
    <x:row r="76">
      <x:c r="A76" s="60" t="n">
        <x:v>72</x:v>
      </x:c>
      <x:c r="B76" s="56" t="str">
        <x:v>왕눈해</x:v>
      </x:c>
      <x:c r="C76" s="56" t="str">
        <x:v>tentacool</x:v>
      </x:c>
      <x:c r="D76" s="56" t="str">
        <x:v>해양</x:v>
      </x:c>
      <x:c r="E76" s="56" t="str">
        <x:v>흔함</x:v>
      </x:c>
      <x:c r="F76" s="56" t="str">
        <x:v>아니오</x:v>
      </x:c>
      <x:c r="G76" s="56" t="str">
        <x:v>아니오</x:v>
      </x:c>
      <x:c r="H76" s="56" t="str">
        <x:v>예</x:v>
      </x:c>
      <x:c r="I76" s="56" t="str">
        <x:v>—</x:v>
      </x:c>
      <x:c r="J76" s="57" t="str">
        <x:v>포함</x:v>
      </x:c>
      <x:c r="K76" s="57" t="str">
        <x:v>포함</x:v>
      </x:c>
      <x:c r="L76" s="57" t="str">
        <x:v>포함</x:v>
      </x:c>
      <x:c r="M76" s="57" t="str">
        <x:v>포함</x:v>
      </x:c>
      <x:c r="N76" s="57" t="str">
        <x:v>—</x:v>
      </x:c>
      <x:c r="O76" s="57" t="str">
        <x:v>포함</x:v>
      </x:c>
      <x:c r="P76" s="57" t="str">
        <x:v>포함</x:v>
      </x:c>
      <x:c r="Q76" s="57" t="str">
        <x:v>포함</x:v>
      </x:c>
      <x:c r="R76" s="57" t="str">
        <x:v>포함</x:v>
      </x:c>
    </x:row>
    <x:row r="77">
      <x:c r="A77" s="60" t="n">
        <x:v>73</x:v>
      </x:c>
      <x:c r="B77" s="56" t="str">
        <x:v>독파리</x:v>
      </x:c>
      <x:c r="C77" s="56" t="str">
        <x:v>tentacruel</x:v>
      </x:c>
      <x:c r="D77" s="56" t="str">
        <x:v>해양</x:v>
      </x:c>
      <x:c r="E77" s="56" t="str">
        <x:v>흔함</x:v>
      </x:c>
      <x:c r="F77" s="56" t="str">
        <x:v>아니오</x:v>
      </x:c>
      <x:c r="G77" s="56" t="str">
        <x:v>아니오</x:v>
      </x:c>
      <x:c r="H77" s="56" t="str">
        <x:v>예</x:v>
      </x:c>
      <x:c r="I77" s="56" t="str">
        <x:v>—</x:v>
      </x:c>
      <x:c r="J77" s="57" t="str">
        <x:v>포함</x:v>
      </x:c>
      <x:c r="K77" s="57" t="str">
        <x:v>포함</x:v>
      </x:c>
      <x:c r="L77" s="57" t="str">
        <x:v>포함</x:v>
      </x:c>
      <x:c r="M77" s="57" t="str">
        <x:v>포함</x:v>
      </x:c>
      <x:c r="N77" s="57" t="str">
        <x:v>—</x:v>
      </x:c>
      <x:c r="O77" s="57" t="str">
        <x:v>포함</x:v>
      </x:c>
      <x:c r="P77" s="57" t="str">
        <x:v>포함</x:v>
      </x:c>
      <x:c r="Q77" s="57" t="str">
        <x:v>포함</x:v>
      </x:c>
      <x:c r="R77" s="57" t="str">
        <x:v>포함</x:v>
      </x:c>
    </x:row>
    <x:row r="78">
      <x:c r="A78" s="60" t="n">
        <x:v>74</x:v>
      </x:c>
      <x:c r="B78" s="56" t="str">
        <x:v>꼬마돌</x:v>
      </x:c>
      <x:c r="C78" s="56" t="str">
        <x:v>geodude</x:v>
      </x:c>
      <x:c r="D78" s="56" t="str">
        <x:v>산악</x:v>
      </x:c>
      <x:c r="E78" s="56" t="str">
        <x:v>흔함</x:v>
      </x:c>
      <x:c r="F78" s="56" t="str">
        <x:v>아니오</x:v>
      </x:c>
      <x:c r="G78" s="56" t="str">
        <x:v>아니오</x:v>
      </x:c>
      <x:c r="H78" s="56" t="str">
        <x:v>예</x:v>
      </x:c>
      <x:c r="I78" s="56" t="str">
        <x:v>—</x:v>
      </x:c>
      <x:c r="J78" s="57" t="str">
        <x:v>포함</x:v>
      </x:c>
      <x:c r="K78" s="57" t="str">
        <x:v>포함</x:v>
      </x:c>
      <x:c r="L78" s="57" t="str">
        <x:v>포함</x:v>
      </x:c>
      <x:c r="M78" s="57" t="str">
        <x:v>포함</x:v>
      </x:c>
      <x:c r="N78" s="57" t="str">
        <x:v>—</x:v>
      </x:c>
      <x:c r="O78" s="57" t="str">
        <x:v>포함</x:v>
      </x:c>
      <x:c r="P78" s="57" t="str">
        <x:v>포함</x:v>
      </x:c>
      <x:c r="Q78" s="57" t="str">
        <x:v>—</x:v>
      </x:c>
      <x:c r="R78" s="57" t="str">
        <x:v>포함</x:v>
      </x:c>
    </x:row>
    <x:row r="79">
      <x:c r="A79" s="60" t="n">
        <x:v>75</x:v>
      </x:c>
      <x:c r="B79" s="56" t="str">
        <x:v>데구리</x:v>
      </x:c>
      <x:c r="C79" s="56" t="str">
        <x:v>graveler</x:v>
      </x:c>
      <x:c r="D79" s="56" t="str">
        <x:v>산악</x:v>
      </x:c>
      <x:c r="E79" s="56" t="str">
        <x:v>흔함</x:v>
      </x:c>
      <x:c r="F79" s="56" t="str">
        <x:v>아니오</x:v>
      </x:c>
      <x:c r="G79" s="56" t="str">
        <x:v>아니오</x:v>
      </x:c>
      <x:c r="H79" s="56" t="str">
        <x:v>예</x:v>
      </x:c>
      <x:c r="I79" s="56" t="str">
        <x:v>—</x:v>
      </x:c>
      <x:c r="J79" s="57" t="str">
        <x:v>포함</x:v>
      </x:c>
      <x:c r="K79" s="57" t="str">
        <x:v>포함</x:v>
      </x:c>
      <x:c r="L79" s="57" t="str">
        <x:v>포함</x:v>
      </x:c>
      <x:c r="M79" s="57" t="str">
        <x:v>포함</x:v>
      </x:c>
      <x:c r="N79" s="57" t="str">
        <x:v>—</x:v>
      </x:c>
      <x:c r="O79" s="57" t="str">
        <x:v>포함</x:v>
      </x:c>
      <x:c r="P79" s="57" t="str">
        <x:v>포함</x:v>
      </x:c>
      <x:c r="Q79" s="57" t="str">
        <x:v>—</x:v>
      </x:c>
      <x:c r="R79" s="57" t="str">
        <x:v>포함</x:v>
      </x:c>
    </x:row>
    <x:row r="80">
      <x:c r="A80" s="60" t="n">
        <x:v>76</x:v>
      </x:c>
      <x:c r="B80" s="56" t="str">
        <x:v>딱구리</x:v>
      </x:c>
      <x:c r="C80" s="56" t="str">
        <x:v>golem</x:v>
      </x:c>
      <x:c r="D80" s="56" t="str">
        <x:v>산악</x:v>
      </x:c>
      <x:c r="E80" s="56" t="str">
        <x:v>흔함</x:v>
      </x:c>
      <x:c r="F80" s="56" t="str">
        <x:v>아니오</x:v>
      </x:c>
      <x:c r="G80" s="56" t="str">
        <x:v>아니오</x:v>
      </x:c>
      <x:c r="H80" s="56" t="str">
        <x:v>예</x:v>
      </x:c>
      <x:c r="I80" s="56" t="str">
        <x:v>—</x:v>
      </x:c>
      <x:c r="J80" s="57" t="str">
        <x:v>포함</x:v>
      </x:c>
      <x:c r="K80" s="57" t="str">
        <x:v>포함</x:v>
      </x:c>
      <x:c r="L80" s="57" t="str">
        <x:v>포함</x:v>
      </x:c>
      <x:c r="M80" s="57" t="str">
        <x:v>포함</x:v>
      </x:c>
      <x:c r="N80" s="57" t="str">
        <x:v>—</x:v>
      </x:c>
      <x:c r="O80" s="57" t="str">
        <x:v>포함</x:v>
      </x:c>
      <x:c r="P80" s="57" t="str">
        <x:v>포함</x:v>
      </x:c>
      <x:c r="Q80" s="57" t="str">
        <x:v>—</x:v>
      </x:c>
      <x:c r="R80" s="57" t="str">
        <x:v>포함</x:v>
      </x:c>
    </x:row>
    <x:row r="81">
      <x:c r="A81" s="60" t="n">
        <x:v>77</x:v>
      </x:c>
      <x:c r="B81" s="56" t="str">
        <x:v>포니타</x:v>
      </x:c>
      <x:c r="C81" s="56" t="str">
        <x:v>ponyta</x:v>
      </x:c>
      <x:c r="D81" s="56" t="str">
        <x:v>화산</x:v>
      </x:c>
      <x:c r="E81" s="56" t="str">
        <x:v>보통</x:v>
      </x:c>
      <x:c r="F81" s="56" t="str">
        <x:v>아니오</x:v>
      </x:c>
      <x:c r="G81" s="56" t="str">
        <x:v>아니오</x:v>
      </x:c>
      <x:c r="H81" s="56" t="str">
        <x:v>예</x:v>
      </x:c>
      <x:c r="I81" s="56" t="str">
        <x:v>—</x:v>
      </x:c>
      <x:c r="J81" s="57" t="str">
        <x:v>포함</x:v>
      </x:c>
      <x:c r="K81" s="57" t="str">
        <x:v>포함</x:v>
      </x:c>
      <x:c r="L81" s="57" t="str">
        <x:v>—</x:v>
      </x:c>
      <x:c r="M81" s="57" t="str">
        <x:v>포함</x:v>
      </x:c>
      <x:c r="N81" s="57" t="str">
        <x:v>—</x:v>
      </x:c>
      <x:c r="O81" s="57" t="str">
        <x:v>—</x:v>
      </x:c>
      <x:c r="P81" s="57" t="str">
        <x:v>—</x:v>
      </x:c>
      <x:c r="Q81" s="57" t="str">
        <x:v>포함</x:v>
      </x:c>
      <x:c r="R81" s="57" t="str">
        <x:v>—</x:v>
      </x:c>
    </x:row>
    <x:row r="82">
      <x:c r="A82" s="60" t="n">
        <x:v>78</x:v>
      </x:c>
      <x:c r="B82" s="56" t="str">
        <x:v>날쌩마</x:v>
      </x:c>
      <x:c r="C82" s="56" t="str">
        <x:v>rapidash</x:v>
      </x:c>
      <x:c r="D82" s="56" t="str">
        <x:v>화산</x:v>
      </x:c>
      <x:c r="E82" s="56" t="str">
        <x:v>보통</x:v>
      </x:c>
      <x:c r="F82" s="56" t="str">
        <x:v>아니오</x:v>
      </x:c>
      <x:c r="G82" s="56" t="str">
        <x:v>아니오</x:v>
      </x:c>
      <x:c r="H82" s="56" t="str">
        <x:v>예</x:v>
      </x:c>
      <x:c r="I82" s="56" t="str">
        <x:v>—</x:v>
      </x:c>
      <x:c r="J82" s="57" t="str">
        <x:v>포함</x:v>
      </x:c>
      <x:c r="K82" s="57" t="str">
        <x:v>포함</x:v>
      </x:c>
      <x:c r="L82" s="57" t="str">
        <x:v>—</x:v>
      </x:c>
      <x:c r="M82" s="57" t="str">
        <x:v>포함</x:v>
      </x:c>
      <x:c r="N82" s="57" t="str">
        <x:v>—</x:v>
      </x:c>
      <x:c r="O82" s="57" t="str">
        <x:v>—</x:v>
      </x:c>
      <x:c r="P82" s="57" t="str">
        <x:v>—</x:v>
      </x:c>
      <x:c r="Q82" s="57" t="str">
        <x:v>포함</x:v>
      </x:c>
      <x:c r="R82" s="57" t="str">
        <x:v>—</x:v>
      </x:c>
    </x:row>
    <x:row r="83">
      <x:c r="A83" s="60" t="n">
        <x:v>79</x:v>
      </x:c>
      <x:c r="B83" s="56" t="str">
        <x:v>야돈</x:v>
      </x:c>
      <x:c r="C83" s="56" t="str">
        <x:v>slowpoke</x:v>
      </x:c>
      <x:c r="D83" s="56" t="str">
        <x:v>해양</x:v>
      </x:c>
      <x:c r="E83" s="56" t="str">
        <x:v>흔함</x:v>
      </x:c>
      <x:c r="F83" s="56" t="str">
        <x:v>아니오</x:v>
      </x:c>
      <x:c r="G83" s="56" t="str">
        <x:v>아니오</x:v>
      </x:c>
      <x:c r="H83" s="56" t="str">
        <x:v>예</x:v>
      </x:c>
      <x:c r="I83" s="56" t="str">
        <x:v>—</x:v>
      </x:c>
      <x:c r="J83" s="57" t="str">
        <x:v>포함</x:v>
      </x:c>
      <x:c r="K83" s="57" t="str">
        <x:v>포함</x:v>
      </x:c>
      <x:c r="L83" s="57" t="str">
        <x:v>—</x:v>
      </x:c>
      <x:c r="M83" s="57" t="str">
        <x:v>—</x:v>
      </x:c>
      <x:c r="N83" s="57" t="str">
        <x:v>—</x:v>
      </x:c>
      <x:c r="O83" s="57" t="str">
        <x:v>포함</x:v>
      </x:c>
      <x:c r="P83" s="57" t="str">
        <x:v>포함</x:v>
      </x:c>
      <x:c r="Q83" s="57" t="str">
        <x:v>포함</x:v>
      </x:c>
      <x:c r="R83" s="57" t="str">
        <x:v>포함</x:v>
      </x:c>
    </x:row>
    <x:row r="84">
      <x:c r="A84" s="60" t="n">
        <x:v>80</x:v>
      </x:c>
      <x:c r="B84" s="56" t="str">
        <x:v>야도란</x:v>
      </x:c>
      <x:c r="C84" s="56" t="str">
        <x:v>slowbro</x:v>
      </x:c>
      <x:c r="D84" s="56" t="str">
        <x:v>해양</x:v>
      </x:c>
      <x:c r="E84" s="56" t="str">
        <x:v>흔함</x:v>
      </x:c>
      <x:c r="F84" s="56" t="str">
        <x:v>아니오</x:v>
      </x:c>
      <x:c r="G84" s="56" t="str">
        <x:v>아니오</x:v>
      </x:c>
      <x:c r="H84" s="56" t="str">
        <x:v>예</x:v>
      </x:c>
      <x:c r="I84" s="56" t="str">
        <x:v>—</x:v>
      </x:c>
      <x:c r="J84" s="57" t="str">
        <x:v>포함</x:v>
      </x:c>
      <x:c r="K84" s="57" t="str">
        <x:v>포함</x:v>
      </x:c>
      <x:c r="L84" s="57" t="str">
        <x:v>—</x:v>
      </x:c>
      <x:c r="M84" s="57" t="str">
        <x:v>—</x:v>
      </x:c>
      <x:c r="N84" s="57" t="str">
        <x:v>—</x:v>
      </x:c>
      <x:c r="O84" s="57" t="str">
        <x:v>포함</x:v>
      </x:c>
      <x:c r="P84" s="57" t="str">
        <x:v>포함</x:v>
      </x:c>
      <x:c r="Q84" s="57" t="str">
        <x:v>포함</x:v>
      </x:c>
      <x:c r="R84" s="57" t="str">
        <x:v>포함</x:v>
      </x:c>
    </x:row>
    <x:row r="85">
      <x:c r="A85" s="60" t="n">
        <x:v>81</x:v>
      </x:c>
      <x:c r="B85" s="56" t="str">
        <x:v>코일</x:v>
      </x:c>
      <x:c r="C85" s="56" t="str">
        <x:v>magnemite</x:v>
      </x:c>
      <x:c r="D85" s="56" t="str">
        <x:v>도시</x:v>
      </x:c>
      <x:c r="E85" s="56" t="str">
        <x:v>보통</x:v>
      </x:c>
      <x:c r="F85" s="56" t="str">
        <x:v>아니오</x:v>
      </x:c>
      <x:c r="G85" s="56" t="str">
        <x:v>아니오</x:v>
      </x:c>
      <x:c r="H85" s="56" t="str">
        <x:v>예</x:v>
      </x:c>
      <x:c r="I85" s="56" t="str">
        <x:v>—</x:v>
      </x:c>
      <x:c r="J85" s="57" t="str">
        <x:v>포함</x:v>
      </x:c>
      <x:c r="K85" s="57" t="str">
        <x:v>포함</x:v>
      </x:c>
      <x:c r="L85" s="57" t="str">
        <x:v>포함</x:v>
      </x:c>
      <x:c r="M85" s="57" t="str">
        <x:v>포함</x:v>
      </x:c>
      <x:c r="N85" s="57" t="str">
        <x:v>포함</x:v>
      </x:c>
      <x:c r="O85" s="57" t="str">
        <x:v>포함</x:v>
      </x:c>
      <x:c r="P85" s="57" t="str">
        <x:v>포함</x:v>
      </x:c>
      <x:c r="Q85" s="57" t="str">
        <x:v>포함</x:v>
      </x:c>
      <x:c r="R85" s="57" t="str">
        <x:v>포함</x:v>
      </x:c>
    </x:row>
    <x:row r="86">
      <x:c r="A86" s="60" t="n">
        <x:v>82</x:v>
      </x:c>
      <x:c r="B86" s="56" t="str">
        <x:v>레어코일</x:v>
      </x:c>
      <x:c r="C86" s="56" t="str">
        <x:v>magneton</x:v>
      </x:c>
      <x:c r="D86" s="56" t="str">
        <x:v>도시</x:v>
      </x:c>
      <x:c r="E86" s="56" t="str">
        <x:v>보통</x:v>
      </x:c>
      <x:c r="F86" s="56" t="str">
        <x:v>아니오</x:v>
      </x:c>
      <x:c r="G86" s="56" t="str">
        <x:v>아니오</x:v>
      </x:c>
      <x:c r="H86" s="56" t="str">
        <x:v>예</x:v>
      </x:c>
      <x:c r="I86" s="56" t="str">
        <x:v>—</x:v>
      </x:c>
      <x:c r="J86" s="57" t="str">
        <x:v>포함</x:v>
      </x:c>
      <x:c r="K86" s="57" t="str">
        <x:v>포함</x:v>
      </x:c>
      <x:c r="L86" s="57" t="str">
        <x:v>포함</x:v>
      </x:c>
      <x:c r="M86" s="57" t="str">
        <x:v>포함</x:v>
      </x:c>
      <x:c r="N86" s="57" t="str">
        <x:v>포함</x:v>
      </x:c>
      <x:c r="O86" s="57" t="str">
        <x:v>포함</x:v>
      </x:c>
      <x:c r="P86" s="57" t="str">
        <x:v>포함</x:v>
      </x:c>
      <x:c r="Q86" s="57" t="str">
        <x:v>포함</x:v>
      </x:c>
      <x:c r="R86" s="57" t="str">
        <x:v>포함</x:v>
      </x:c>
    </x:row>
    <x:row r="87">
      <x:c r="A87" s="60" t="n">
        <x:v>83</x:v>
      </x:c>
      <x:c r="B87" s="56" t="str">
        <x:v>파오리</x:v>
      </x:c>
      <x:c r="C87" s="56" t="str">
        <x:v>farfetchd</x:v>
      </x:c>
      <x:c r="D87" s="56" t="str">
        <x:v>숲</x:v>
      </x:c>
      <x:c r="E87" s="56" t="str">
        <x:v>흔함</x:v>
      </x:c>
      <x:c r="F87" s="56" t="str">
        <x:v>아니오</x:v>
      </x:c>
      <x:c r="G87" s="56" t="str">
        <x:v>아니오</x:v>
      </x:c>
      <x:c r="H87" s="56" t="str">
        <x:v>예</x:v>
      </x:c>
      <x:c r="I87" s="56" t="str">
        <x:v>—</x:v>
      </x:c>
      <x:c r="J87" s="57" t="str">
        <x:v>포함</x:v>
      </x:c>
      <x:c r="K87" s="57" t="str">
        <x:v>포함</x:v>
      </x:c>
      <x:c r="L87" s="57" t="str">
        <x:v>—</x:v>
      </x:c>
      <x:c r="M87" s="57" t="str">
        <x:v>—</x:v>
      </x:c>
      <x:c r="N87" s="57" t="str">
        <x:v>—</x:v>
      </x:c>
      <x:c r="O87" s="57" t="str">
        <x:v>포함</x:v>
      </x:c>
      <x:c r="P87" s="57" t="str">
        <x:v>—</x:v>
      </x:c>
      <x:c r="Q87" s="57" t="str">
        <x:v>포함</x:v>
      </x:c>
      <x:c r="R87" s="57" t="str">
        <x:v>—</x:v>
      </x:c>
    </x:row>
    <x:row r="88">
      <x:c r="A88" s="60" t="n">
        <x:v>84</x:v>
      </x:c>
      <x:c r="B88" s="56" t="str">
        <x:v>두두</x:v>
      </x:c>
      <x:c r="C88" s="56" t="str">
        <x:v>doduo</x:v>
      </x:c>
      <x:c r="D88" s="56" t="str">
        <x:v>평원</x:v>
      </x:c>
      <x:c r="E88" s="56" t="str">
        <x:v>흔함</x:v>
      </x:c>
      <x:c r="F88" s="56" t="str">
        <x:v>아니오</x:v>
      </x:c>
      <x:c r="G88" s="56" t="str">
        <x:v>아니오</x:v>
      </x:c>
      <x:c r="H88" s="56" t="str">
        <x:v>예</x:v>
      </x:c>
      <x:c r="I88" s="56" t="str">
        <x:v>—</x:v>
      </x:c>
      <x:c r="J88" s="57" t="str">
        <x:v>포함</x:v>
      </x:c>
      <x:c r="K88" s="57" t="str">
        <x:v>포함</x:v>
      </x:c>
      <x:c r="L88" s="57" t="str">
        <x:v>포함</x:v>
      </x:c>
      <x:c r="M88" s="57" t="str">
        <x:v>—</x:v>
      </x:c>
      <x:c r="N88" s="57" t="str">
        <x:v>—</x:v>
      </x:c>
      <x:c r="O88" s="57" t="str">
        <x:v>포함</x:v>
      </x:c>
      <x:c r="P88" s="57" t="str">
        <x:v>—</x:v>
      </x:c>
      <x:c r="Q88" s="57" t="str">
        <x:v>—</x:v>
      </x:c>
      <x:c r="R88" s="57" t="str">
        <x:v>포함</x:v>
      </x:c>
    </x:row>
    <x:row r="89">
      <x:c r="A89" s="60" t="n">
        <x:v>85</x:v>
      </x:c>
      <x:c r="B89" s="56" t="str">
        <x:v>두트리오</x:v>
      </x:c>
      <x:c r="C89" s="56" t="str">
        <x:v>dodrio</x:v>
      </x:c>
      <x:c r="D89" s="56" t="str">
        <x:v>평원</x:v>
      </x:c>
      <x:c r="E89" s="56" t="str">
        <x:v>흔함</x:v>
      </x:c>
      <x:c r="F89" s="56" t="str">
        <x:v>아니오</x:v>
      </x:c>
      <x:c r="G89" s="56" t="str">
        <x:v>아니오</x:v>
      </x:c>
      <x:c r="H89" s="56" t="str">
        <x:v>예</x:v>
      </x:c>
      <x:c r="I89" s="56" t="str">
        <x:v>—</x:v>
      </x:c>
      <x:c r="J89" s="57" t="str">
        <x:v>포함</x:v>
      </x:c>
      <x:c r="K89" s="57" t="str">
        <x:v>포함</x:v>
      </x:c>
      <x:c r="L89" s="57" t="str">
        <x:v>포함</x:v>
      </x:c>
      <x:c r="M89" s="57" t="str">
        <x:v>—</x:v>
      </x:c>
      <x:c r="N89" s="57" t="str">
        <x:v>—</x:v>
      </x:c>
      <x:c r="O89" s="57" t="str">
        <x:v>포함</x:v>
      </x:c>
      <x:c r="P89" s="57" t="str">
        <x:v>—</x:v>
      </x:c>
      <x:c r="Q89" s="57" t="str">
        <x:v>—</x:v>
      </x:c>
      <x:c r="R89" s="57" t="str">
        <x:v>포함</x:v>
      </x:c>
    </x:row>
    <x:row r="90">
      <x:c r="A90" s="60" t="n">
        <x:v>86</x:v>
      </x:c>
      <x:c r="B90" s="56" t="str">
        <x:v>쥬쥬</x:v>
      </x:c>
      <x:c r="C90" s="56" t="str">
        <x:v>seel</x:v>
      </x:c>
      <x:c r="D90" s="56" t="str">
        <x:v>해양</x:v>
      </x:c>
      <x:c r="E90" s="56" t="str">
        <x:v>흔함</x:v>
      </x:c>
      <x:c r="F90" s="56" t="str">
        <x:v>아니오</x:v>
      </x:c>
      <x:c r="G90" s="56" t="str">
        <x:v>아니오</x:v>
      </x:c>
      <x:c r="H90" s="56" t="str">
        <x:v>예</x:v>
      </x:c>
      <x:c r="I90" s="56" t="str">
        <x:v>—</x:v>
      </x:c>
      <x:c r="J90" s="57" t="str">
        <x:v>포함</x:v>
      </x:c>
      <x:c r="K90" s="57" t="str">
        <x:v>포함</x:v>
      </x:c>
      <x:c r="L90" s="57" t="str">
        <x:v>—</x:v>
      </x:c>
      <x:c r="M90" s="57" t="str">
        <x:v>—</x:v>
      </x:c>
      <x:c r="N90" s="57" t="str">
        <x:v>포함</x:v>
      </x:c>
      <x:c r="O90" s="57" t="str">
        <x:v>—</x:v>
      </x:c>
      <x:c r="P90" s="57" t="str">
        <x:v>포함</x:v>
      </x:c>
      <x:c r="Q90" s="57" t="str">
        <x:v>—</x:v>
      </x:c>
      <x:c r="R90" s="57" t="str">
        <x:v>포함</x:v>
      </x:c>
    </x:row>
    <x:row r="91">
      <x:c r="A91" s="60" t="n">
        <x:v>87</x:v>
      </x:c>
      <x:c r="B91" s="56" t="str">
        <x:v>쥬레곤</x:v>
      </x:c>
      <x:c r="C91" s="56" t="str">
        <x:v>dewgong</x:v>
      </x:c>
      <x:c r="D91" s="56" t="str">
        <x:v>해양</x:v>
      </x:c>
      <x:c r="E91" s="56" t="str">
        <x:v>흔함</x:v>
      </x:c>
      <x:c r="F91" s="56" t="str">
        <x:v>아니오</x:v>
      </x:c>
      <x:c r="G91" s="56" t="str">
        <x:v>아니오</x:v>
      </x:c>
      <x:c r="H91" s="56" t="str">
        <x:v>예</x:v>
      </x:c>
      <x:c r="I91" s="56" t="str">
        <x:v>—</x:v>
      </x:c>
      <x:c r="J91" s="57" t="str">
        <x:v>포함</x:v>
      </x:c>
      <x:c r="K91" s="57" t="str">
        <x:v>포함</x:v>
      </x:c>
      <x:c r="L91" s="57" t="str">
        <x:v>—</x:v>
      </x:c>
      <x:c r="M91" s="57" t="str">
        <x:v>—</x:v>
      </x:c>
      <x:c r="N91" s="57" t="str">
        <x:v>포함</x:v>
      </x:c>
      <x:c r="O91" s="57" t="str">
        <x:v>—</x:v>
      </x:c>
      <x:c r="P91" s="57" t="str">
        <x:v>포함</x:v>
      </x:c>
      <x:c r="Q91" s="57" t="str">
        <x:v>—</x:v>
      </x:c>
      <x:c r="R91" s="57" t="str">
        <x:v>포함</x:v>
      </x:c>
    </x:row>
    <x:row r="92">
      <x:c r="A92" s="60" t="n">
        <x:v>88</x:v>
      </x:c>
      <x:c r="B92" s="56" t="str">
        <x:v>질퍽이</x:v>
      </x:c>
      <x:c r="C92" s="56" t="str">
        <x:v>grimer</x:v>
      </x:c>
      <x:c r="D92" s="56" t="str">
        <x:v>해양</x:v>
      </x:c>
      <x:c r="E92" s="56" t="str">
        <x:v>보통</x:v>
      </x:c>
      <x:c r="F92" s="56" t="str">
        <x:v>아니오</x:v>
      </x:c>
      <x:c r="G92" s="56" t="str">
        <x:v>아니오</x:v>
      </x:c>
      <x:c r="H92" s="56" t="str">
        <x:v>예</x:v>
      </x:c>
      <x:c r="I92" s="56" t="str">
        <x:v>—</x:v>
      </x:c>
      <x:c r="J92" s="57" t="str">
        <x:v>포함</x:v>
      </x:c>
      <x:c r="K92" s="57" t="str">
        <x:v>포함</x:v>
      </x:c>
      <x:c r="L92" s="57" t="str">
        <x:v>포함</x:v>
      </x:c>
      <x:c r="M92" s="57" t="str">
        <x:v>—</x:v>
      </x:c>
      <x:c r="N92" s="57" t="str">
        <x:v>포함</x:v>
      </x:c>
      <x:c r="O92" s="57" t="str">
        <x:v>—</x:v>
      </x:c>
      <x:c r="P92" s="57" t="str">
        <x:v>포함</x:v>
      </x:c>
      <x:c r="Q92" s="57" t="str">
        <x:v>—</x:v>
      </x:c>
      <x:c r="R92" s="57" t="str">
        <x:v>포함</x:v>
      </x:c>
    </x:row>
    <x:row r="93">
      <x:c r="A93" s="60" t="n">
        <x:v>89</x:v>
      </x:c>
      <x:c r="B93" s="56" t="str">
        <x:v>질뻐기</x:v>
      </x:c>
      <x:c r="C93" s="56" t="str">
        <x:v>muk</x:v>
      </x:c>
      <x:c r="D93" s="56" t="str">
        <x:v>해양</x:v>
      </x:c>
      <x:c r="E93" s="56" t="str">
        <x:v>보통</x:v>
      </x:c>
      <x:c r="F93" s="56" t="str">
        <x:v>아니오</x:v>
      </x:c>
      <x:c r="G93" s="56" t="str">
        <x:v>아니오</x:v>
      </x:c>
      <x:c r="H93" s="56" t="str">
        <x:v>예</x:v>
      </x:c>
      <x:c r="I93" s="56" t="str">
        <x:v>—</x:v>
      </x:c>
      <x:c r="J93" s="57" t="str">
        <x:v>포함</x:v>
      </x:c>
      <x:c r="K93" s="57" t="str">
        <x:v>포함</x:v>
      </x:c>
      <x:c r="L93" s="57" t="str">
        <x:v>포함</x:v>
      </x:c>
      <x:c r="M93" s="57" t="str">
        <x:v>—</x:v>
      </x:c>
      <x:c r="N93" s="57" t="str">
        <x:v>포함</x:v>
      </x:c>
      <x:c r="O93" s="57" t="str">
        <x:v>—</x:v>
      </x:c>
      <x:c r="P93" s="57" t="str">
        <x:v>포함</x:v>
      </x:c>
      <x:c r="Q93" s="57" t="str">
        <x:v>—</x:v>
      </x:c>
      <x:c r="R93" s="57" t="str">
        <x:v>포함</x:v>
      </x:c>
    </x:row>
    <x:row r="94">
      <x:c r="A94" s="60" t="n">
        <x:v>90</x:v>
      </x:c>
      <x:c r="B94" s="56" t="str">
        <x:v>셀러</x:v>
      </x:c>
      <x:c r="C94" s="56" t="str">
        <x:v>shellder</x:v>
      </x:c>
      <x:c r="D94" s="56" t="str">
        <x:v>해양</x:v>
      </x:c>
      <x:c r="E94" s="56" t="str">
        <x:v>흔함</x:v>
      </x:c>
      <x:c r="F94" s="56" t="str">
        <x:v>아니오</x:v>
      </x:c>
      <x:c r="G94" s="56" t="str">
        <x:v>아니오</x:v>
      </x:c>
      <x:c r="H94" s="56" t="str">
        <x:v>예</x:v>
      </x:c>
      <x:c r="I94" s="56" t="str">
        <x:v>—</x:v>
      </x:c>
      <x:c r="J94" s="57" t="str">
        <x:v>포함</x:v>
      </x:c>
      <x:c r="K94" s="57" t="str">
        <x:v>포함</x:v>
      </x:c>
      <x:c r="L94" s="57" t="str">
        <x:v>—</x:v>
      </x:c>
      <x:c r="M94" s="57" t="str">
        <x:v>—</x:v>
      </x:c>
      <x:c r="N94" s="57" t="str">
        <x:v>—</x:v>
      </x:c>
      <x:c r="O94" s="57" t="str">
        <x:v>포함</x:v>
      </x:c>
      <x:c r="P94" s="57" t="str">
        <x:v>포함</x:v>
      </x:c>
      <x:c r="Q94" s="57" t="str">
        <x:v>포함</x:v>
      </x:c>
      <x:c r="R94" s="57" t="str">
        <x:v>포함</x:v>
      </x:c>
    </x:row>
    <x:row r="95">
      <x:c r="A95" s="60" t="n">
        <x:v>91</x:v>
      </x:c>
      <x:c r="B95" s="56" t="str">
        <x:v>파르셀</x:v>
      </x:c>
      <x:c r="C95" s="56" t="str">
        <x:v>cloyster</x:v>
      </x:c>
      <x:c r="D95" s="56" t="str">
        <x:v>해양</x:v>
      </x:c>
      <x:c r="E95" s="56" t="str">
        <x:v>흔함</x:v>
      </x:c>
      <x:c r="F95" s="56" t="str">
        <x:v>아니오</x:v>
      </x:c>
      <x:c r="G95" s="56" t="str">
        <x:v>아니오</x:v>
      </x:c>
      <x:c r="H95" s="56" t="str">
        <x:v>예</x:v>
      </x:c>
      <x:c r="I95" s="56" t="str">
        <x:v>—</x:v>
      </x:c>
      <x:c r="J95" s="57" t="str">
        <x:v>포함</x:v>
      </x:c>
      <x:c r="K95" s="57" t="str">
        <x:v>포함</x:v>
      </x:c>
      <x:c r="L95" s="57" t="str">
        <x:v>—</x:v>
      </x:c>
      <x:c r="M95" s="57" t="str">
        <x:v>—</x:v>
      </x:c>
      <x:c r="N95" s="57" t="str">
        <x:v>—</x:v>
      </x:c>
      <x:c r="O95" s="57" t="str">
        <x:v>포함</x:v>
      </x:c>
      <x:c r="P95" s="57" t="str">
        <x:v>포함</x:v>
      </x:c>
      <x:c r="Q95" s="57" t="str">
        <x:v>포함</x:v>
      </x:c>
      <x:c r="R95" s="57" t="str">
        <x:v>포함</x:v>
      </x:c>
    </x:row>
    <x:row r="96">
      <x:c r="A96" s="60" t="n">
        <x:v>92</x:v>
      </x:c>
      <x:c r="B96" s="56" t="str">
        <x:v>고오스</x:v>
      </x:c>
      <x:c r="C96" s="56" t="str">
        <x:v>gastly</x:v>
      </x:c>
      <x:c r="D96" s="56" t="str">
        <x:v>특수</x:v>
      </x:c>
      <x:c r="E96" s="56" t="str">
        <x:v>보통</x:v>
      </x:c>
      <x:c r="F96" s="56" t="str">
        <x:v>아니오</x:v>
      </x:c>
      <x:c r="G96" s="56" t="str">
        <x:v>아니오</x:v>
      </x:c>
      <x:c r="H96" s="56" t="str">
        <x:v>예</x:v>
      </x:c>
      <x:c r="I96" s="56" t="str">
        <x:v>—</x:v>
      </x:c>
      <x:c r="J96" s="57" t="str">
        <x:v>포함</x:v>
      </x:c>
      <x:c r="K96" s="57" t="str">
        <x:v>포함</x:v>
      </x:c>
      <x:c r="L96" s="57" t="str">
        <x:v>—</x:v>
      </x:c>
      <x:c r="M96" s="57" t="str">
        <x:v>포함</x:v>
      </x:c>
      <x:c r="N96" s="57" t="str">
        <x:v>—</x:v>
      </x:c>
      <x:c r="O96" s="57" t="str">
        <x:v>포함</x:v>
      </x:c>
      <x:c r="P96" s="57" t="str">
        <x:v>포함</x:v>
      </x:c>
      <x:c r="Q96" s="57" t="str">
        <x:v>포함</x:v>
      </x:c>
      <x:c r="R96" s="57" t="str">
        <x:v>포함</x:v>
      </x:c>
    </x:row>
    <x:row r="97">
      <x:c r="A97" s="60" t="n">
        <x:v>93</x:v>
      </x:c>
      <x:c r="B97" s="56" t="str">
        <x:v>고우스트</x:v>
      </x:c>
      <x:c r="C97" s="56" t="str">
        <x:v>haunter</x:v>
      </x:c>
      <x:c r="D97" s="56" t="str">
        <x:v>특수</x:v>
      </x:c>
      <x:c r="E97" s="56" t="str">
        <x:v>흔함</x:v>
      </x:c>
      <x:c r="F97" s="56" t="str">
        <x:v>아니오</x:v>
      </x:c>
      <x:c r="G97" s="56" t="str">
        <x:v>아니오</x:v>
      </x:c>
      <x:c r="H97" s="56" t="str">
        <x:v>예</x:v>
      </x:c>
      <x:c r="I97" s="56" t="str">
        <x:v>—</x:v>
      </x:c>
      <x:c r="J97" s="57" t="str">
        <x:v>포함</x:v>
      </x:c>
      <x:c r="K97" s="57" t="str">
        <x:v>포함</x:v>
      </x:c>
      <x:c r="L97" s="57" t="str">
        <x:v>—</x:v>
      </x:c>
      <x:c r="M97" s="57" t="str">
        <x:v>포함</x:v>
      </x:c>
      <x:c r="N97" s="57" t="str">
        <x:v>—</x:v>
      </x:c>
      <x:c r="O97" s="57" t="str">
        <x:v>포함</x:v>
      </x:c>
      <x:c r="P97" s="57" t="str">
        <x:v>포함</x:v>
      </x:c>
      <x:c r="Q97" s="57" t="str">
        <x:v>포함</x:v>
      </x:c>
      <x:c r="R97" s="57" t="str">
        <x:v>포함</x:v>
      </x:c>
    </x:row>
    <x:row r="98">
      <x:c r="A98" s="60" t="n">
        <x:v>94</x:v>
      </x:c>
      <x:c r="B98" s="56" t="str">
        <x:v>팬텀</x:v>
      </x:c>
      <x:c r="C98" s="56" t="str">
        <x:v>gengar</x:v>
      </x:c>
      <x:c r="D98" s="56" t="str">
        <x:v>특수</x:v>
      </x:c>
      <x:c r="E98" s="56" t="str">
        <x:v>보통</x:v>
      </x:c>
      <x:c r="F98" s="56" t="str">
        <x:v>아니오</x:v>
      </x:c>
      <x:c r="G98" s="56" t="str">
        <x:v>아니오</x:v>
      </x:c>
      <x:c r="H98" s="56" t="str">
        <x:v>예</x:v>
      </x:c>
      <x:c r="I98" s="56" t="str">
        <x:v>—</x:v>
      </x:c>
      <x:c r="J98" s="57" t="str">
        <x:v>포함</x:v>
      </x:c>
      <x:c r="K98" s="57" t="str">
        <x:v>포함</x:v>
      </x:c>
      <x:c r="L98" s="57" t="str">
        <x:v>—</x:v>
      </x:c>
      <x:c r="M98" s="57" t="str">
        <x:v>포함</x:v>
      </x:c>
      <x:c r="N98" s="57" t="str">
        <x:v>—</x:v>
      </x:c>
      <x:c r="O98" s="57" t="str">
        <x:v>포함</x:v>
      </x:c>
      <x:c r="P98" s="57" t="str">
        <x:v>포함</x:v>
      </x:c>
      <x:c r="Q98" s="57" t="str">
        <x:v>포함</x:v>
      </x:c>
      <x:c r="R98" s="57" t="str">
        <x:v>포함</x:v>
      </x:c>
    </x:row>
    <x:row r="99">
      <x:c r="A99" s="60" t="n">
        <x:v>95</x:v>
      </x:c>
      <x:c r="B99" s="56" t="str">
        <x:v>롱스톤</x:v>
      </x:c>
      <x:c r="C99" s="56" t="str">
        <x:v>onix</x:v>
      </x:c>
      <x:c r="D99" s="56" t="str">
        <x:v>화산</x:v>
      </x:c>
      <x:c r="E99" s="56" t="str">
        <x:v>보통</x:v>
      </x:c>
      <x:c r="F99" s="56" t="str">
        <x:v>아니오</x:v>
      </x:c>
      <x:c r="G99" s="56" t="str">
        <x:v>아니오</x:v>
      </x:c>
      <x:c r="H99" s="56" t="str">
        <x:v>예</x:v>
      </x:c>
      <x:c r="I99" s="56" t="str">
        <x:v>—</x:v>
      </x:c>
      <x:c r="J99" s="57" t="str">
        <x:v>포함</x:v>
      </x:c>
      <x:c r="K99" s="57" t="str">
        <x:v>포함</x:v>
      </x:c>
      <x:c r="L99" s="57" t="str">
        <x:v>—</x:v>
      </x:c>
      <x:c r="M99" s="57" t="str">
        <x:v>포함</x:v>
      </x:c>
      <x:c r="N99" s="57" t="str">
        <x:v>포함</x:v>
      </x:c>
      <x:c r="O99" s="57" t="str">
        <x:v>포함</x:v>
      </x:c>
      <x:c r="P99" s="57" t="str">
        <x:v>—</x:v>
      </x:c>
      <x:c r="Q99" s="57" t="str">
        <x:v>포함</x:v>
      </x:c>
      <x:c r="R99" s="57" t="str">
        <x:v>—</x:v>
      </x:c>
    </x:row>
    <x:row r="100">
      <x:c r="A100" s="60" t="n">
        <x:v>96</x:v>
      </x:c>
      <x:c r="B100" s="56" t="str">
        <x:v>슬리프</x:v>
      </x:c>
      <x:c r="C100" s="56" t="str">
        <x:v>drowzee</x:v>
      </x:c>
      <x:c r="D100" s="56" t="str">
        <x:v>평원</x:v>
      </x:c>
      <x:c r="E100" s="56" t="str">
        <x:v>흔함</x:v>
      </x:c>
      <x:c r="F100" s="56" t="str">
        <x:v>아니오</x:v>
      </x:c>
      <x:c r="G100" s="56" t="str">
        <x:v>아니오</x:v>
      </x:c>
      <x:c r="H100" s="56" t="str">
        <x:v>예</x:v>
      </x:c>
      <x:c r="I100" s="56" t="str">
        <x:v>—</x:v>
      </x:c>
      <x:c r="J100" s="57" t="str">
        <x:v>포함</x:v>
      </x:c>
      <x:c r="K100" s="57" t="str">
        <x:v>포함</x:v>
      </x:c>
      <x:c r="L100" s="57" t="str">
        <x:v>—</x:v>
      </x:c>
      <x:c r="M100" s="57" t="str">
        <x:v>—</x:v>
      </x:c>
      <x:c r="N100" s="57" t="str">
        <x:v>—</x:v>
      </x:c>
      <x:c r="O100" s="57" t="str">
        <x:v>—</x:v>
      </x:c>
      <x:c r="P100" s="57" t="str">
        <x:v>포함</x:v>
      </x:c>
      <x:c r="Q100" s="57" t="str">
        <x:v>—</x:v>
      </x:c>
      <x:c r="R100" s="57" t="str">
        <x:v>포함</x:v>
      </x:c>
    </x:row>
    <x:row r="101">
      <x:c r="A101" s="60" t="n">
        <x:v>97</x:v>
      </x:c>
      <x:c r="B101" s="56" t="str">
        <x:v>슬리퍼</x:v>
      </x:c>
      <x:c r="C101" s="56" t="str">
        <x:v>hypno</x:v>
      </x:c>
      <x:c r="D101" s="56" t="str">
        <x:v>평원</x:v>
      </x:c>
      <x:c r="E101" s="56" t="str">
        <x:v>흔함</x:v>
      </x:c>
      <x:c r="F101" s="56" t="str">
        <x:v>아니오</x:v>
      </x:c>
      <x:c r="G101" s="56" t="str">
        <x:v>아니오</x:v>
      </x:c>
      <x:c r="H101" s="56" t="str">
        <x:v>예</x:v>
      </x:c>
      <x:c r="I101" s="56" t="str">
        <x:v>—</x:v>
      </x:c>
      <x:c r="J101" s="57" t="str">
        <x:v>포함</x:v>
      </x:c>
      <x:c r="K101" s="57" t="str">
        <x:v>포함</x:v>
      </x:c>
      <x:c r="L101" s="57" t="str">
        <x:v>—</x:v>
      </x:c>
      <x:c r="M101" s="57" t="str">
        <x:v>—</x:v>
      </x:c>
      <x:c r="N101" s="57" t="str">
        <x:v>—</x:v>
      </x:c>
      <x:c r="O101" s="57" t="str">
        <x:v>—</x:v>
      </x:c>
      <x:c r="P101" s="57" t="str">
        <x:v>포함</x:v>
      </x:c>
      <x:c r="Q101" s="57" t="str">
        <x:v>—</x:v>
      </x:c>
      <x:c r="R101" s="57" t="str">
        <x:v>포함</x:v>
      </x:c>
    </x:row>
    <x:row r="102">
      <x:c r="A102" s="60" t="n">
        <x:v>98</x:v>
      </x:c>
      <x:c r="B102" s="56" t="str">
        <x:v>크랩</x:v>
      </x:c>
      <x:c r="C102" s="56" t="str">
        <x:v>krabby</x:v>
      </x:c>
      <x:c r="D102" s="56" t="str">
        <x:v>해양</x:v>
      </x:c>
      <x:c r="E102" s="56" t="str">
        <x:v>흔함</x:v>
      </x:c>
      <x:c r="F102" s="56" t="str">
        <x:v>아니오</x:v>
      </x:c>
      <x:c r="G102" s="56" t="str">
        <x:v>아니오</x:v>
      </x:c>
      <x:c r="H102" s="56" t="str">
        <x:v>예</x:v>
      </x:c>
      <x:c r="I102" s="56" t="str">
        <x:v>—</x:v>
      </x:c>
      <x:c r="J102" s="57" t="str">
        <x:v>포함</x:v>
      </x:c>
      <x:c r="K102" s="57" t="str">
        <x:v>포함</x:v>
      </x:c>
      <x:c r="L102" s="57" t="str">
        <x:v>—</x:v>
      </x:c>
      <x:c r="M102" s="57" t="str">
        <x:v>—</x:v>
      </x:c>
      <x:c r="N102" s="57" t="str">
        <x:v>—</x:v>
      </x:c>
      <x:c r="O102" s="57" t="str">
        <x:v>—</x:v>
      </x:c>
      <x:c r="P102" s="57" t="str">
        <x:v>—</x:v>
      </x:c>
      <x:c r="Q102" s="57" t="str">
        <x:v>포함</x:v>
      </x:c>
      <x:c r="R102" s="57" t="str">
        <x:v>—</x:v>
      </x:c>
    </x:row>
    <x:row r="103">
      <x:c r="A103" s="60" t="n">
        <x:v>99</x:v>
      </x:c>
      <x:c r="B103" s="56" t="str">
        <x:v>킹크랩</x:v>
      </x:c>
      <x:c r="C103" s="56" t="str">
        <x:v>kingler</x:v>
      </x:c>
      <x:c r="D103" s="56" t="str">
        <x:v>해양</x:v>
      </x:c>
      <x:c r="E103" s="56" t="str">
        <x:v>흔함</x:v>
      </x:c>
      <x:c r="F103" s="56" t="str">
        <x:v>아니오</x:v>
      </x:c>
      <x:c r="G103" s="56" t="str">
        <x:v>아니오</x:v>
      </x:c>
      <x:c r="H103" s="56" t="str">
        <x:v>예</x:v>
      </x:c>
      <x:c r="I103" s="56" t="str">
        <x:v>—</x:v>
      </x:c>
      <x:c r="J103" s="57" t="str">
        <x:v>포함</x:v>
      </x:c>
      <x:c r="K103" s="57" t="str">
        <x:v>포함</x:v>
      </x:c>
      <x:c r="L103" s="57" t="str">
        <x:v>—</x:v>
      </x:c>
      <x:c r="M103" s="57" t="str">
        <x:v>—</x:v>
      </x:c>
      <x:c r="N103" s="57" t="str">
        <x:v>—</x:v>
      </x:c>
      <x:c r="O103" s="57" t="str">
        <x:v>—</x:v>
      </x:c>
      <x:c r="P103" s="57" t="str">
        <x:v>—</x:v>
      </x:c>
      <x:c r="Q103" s="57" t="str">
        <x:v>포함</x:v>
      </x:c>
      <x:c r="R103" s="57" t="str">
        <x:v>—</x:v>
      </x:c>
    </x:row>
    <x:row r="104">
      <x:c r="A104" s="60" t="n">
        <x:v>100</x:v>
      </x:c>
      <x:c r="B104" s="56" t="str">
        <x:v>찌리리공</x:v>
      </x:c>
      <x:c r="C104" s="56" t="str">
        <x:v>voltorb</x:v>
      </x:c>
      <x:c r="D104" s="56" t="str">
        <x:v>도시</x:v>
      </x:c>
      <x:c r="E104" s="56" t="str">
        <x:v>보통</x:v>
      </x:c>
      <x:c r="F104" s="56" t="str">
        <x:v>아니오</x:v>
      </x:c>
      <x:c r="G104" s="56" t="str">
        <x:v>아니오</x:v>
      </x:c>
      <x:c r="H104" s="56" t="str">
        <x:v>예</x:v>
      </x:c>
      <x:c r="I104" s="56" t="str">
        <x:v>—</x:v>
      </x:c>
      <x:c r="J104" s="57" t="str">
        <x:v>포함</x:v>
      </x:c>
      <x:c r="K104" s="57" t="str">
        <x:v>포함</x:v>
      </x:c>
      <x:c r="L104" s="57" t="str">
        <x:v>포함</x:v>
      </x:c>
      <x:c r="M104" s="57" t="str">
        <x:v>—</x:v>
      </x:c>
      <x:c r="N104" s="57" t="str">
        <x:v>—</x:v>
      </x:c>
      <x:c r="O104" s="57" t="str">
        <x:v>포함</x:v>
      </x:c>
      <x:c r="P104" s="57" t="str">
        <x:v>—</x:v>
      </x:c>
      <x:c r="Q104" s="57" t="str">
        <x:v>—</x:v>
      </x:c>
      <x:c r="R104" s="57" t="str">
        <x:v>포함</x:v>
      </x:c>
    </x:row>
    <x:row r="105">
      <x:c r="A105" s="60" t="n">
        <x:v>101</x:v>
      </x:c>
      <x:c r="B105" s="56" t="str">
        <x:v>붐볼</x:v>
      </x:c>
      <x:c r="C105" s="56" t="str">
        <x:v>electrode</x:v>
      </x:c>
      <x:c r="D105" s="56" t="str">
        <x:v>도시</x:v>
      </x:c>
      <x:c r="E105" s="56" t="str">
        <x:v>보통</x:v>
      </x:c>
      <x:c r="F105" s="56" t="str">
        <x:v>아니오</x:v>
      </x:c>
      <x:c r="G105" s="56" t="str">
        <x:v>아니오</x:v>
      </x:c>
      <x:c r="H105" s="56" t="str">
        <x:v>예</x:v>
      </x:c>
      <x:c r="I105" s="56" t="str">
        <x:v>—</x:v>
      </x:c>
      <x:c r="J105" s="57" t="str">
        <x:v>포함</x:v>
      </x:c>
      <x:c r="K105" s="57" t="str">
        <x:v>포함</x:v>
      </x:c>
      <x:c r="L105" s="57" t="str">
        <x:v>포함</x:v>
      </x:c>
      <x:c r="M105" s="57" t="str">
        <x:v>—</x:v>
      </x:c>
      <x:c r="N105" s="57" t="str">
        <x:v>—</x:v>
      </x:c>
      <x:c r="O105" s="57" t="str">
        <x:v>포함</x:v>
      </x:c>
      <x:c r="P105" s="57" t="str">
        <x:v>—</x:v>
      </x:c>
      <x:c r="Q105" s="57" t="str">
        <x:v>—</x:v>
      </x:c>
      <x:c r="R105" s="57" t="str">
        <x:v>포함</x:v>
      </x:c>
    </x:row>
    <x:row r="106">
      <x:c r="A106" s="60" t="n">
        <x:v>102</x:v>
      </x:c>
      <x:c r="B106" s="56" t="str">
        <x:v>아라리</x:v>
      </x:c>
      <x:c r="C106" s="56" t="str">
        <x:v>exeggcute</x:v>
      </x:c>
      <x:c r="D106" s="56" t="str">
        <x:v>해양</x:v>
      </x:c>
      <x:c r="E106" s="56" t="str">
        <x:v>보통</x:v>
      </x:c>
      <x:c r="F106" s="56" t="str">
        <x:v>아니오</x:v>
      </x:c>
      <x:c r="G106" s="56" t="str">
        <x:v>아니오</x:v>
      </x:c>
      <x:c r="H106" s="56" t="str">
        <x:v>예</x:v>
      </x:c>
      <x:c r="I106" s="56" t="str">
        <x:v>—</x:v>
      </x:c>
      <x:c r="J106" s="57" t="str">
        <x:v>포함</x:v>
      </x:c>
      <x:c r="K106" s="57" t="str">
        <x:v>포함</x:v>
      </x:c>
      <x:c r="L106" s="57" t="str">
        <x:v>—</x:v>
      </x:c>
      <x:c r="M106" s="57" t="str">
        <x:v>—</x:v>
      </x:c>
      <x:c r="N106" s="57" t="str">
        <x:v>—</x:v>
      </x:c>
      <x:c r="O106" s="57" t="str">
        <x:v>포함</x:v>
      </x:c>
      <x:c r="P106" s="57" t="str">
        <x:v>포함</x:v>
      </x:c>
      <x:c r="Q106" s="57" t="str">
        <x:v>포함</x:v>
      </x:c>
      <x:c r="R106" s="57" t="str">
        <x:v>포함</x:v>
      </x:c>
    </x:row>
    <x:row r="107">
      <x:c r="A107" s="60" t="n">
        <x:v>103</x:v>
      </x:c>
      <x:c r="B107" s="56" t="str">
        <x:v>나시</x:v>
      </x:c>
      <x:c r="C107" s="56" t="str">
        <x:v>exeggutor</x:v>
      </x:c>
      <x:c r="D107" s="56" t="str">
        <x:v>해양</x:v>
      </x:c>
      <x:c r="E107" s="56" t="str">
        <x:v>보통</x:v>
      </x:c>
      <x:c r="F107" s="56" t="str">
        <x:v>아니오</x:v>
      </x:c>
      <x:c r="G107" s="56" t="str">
        <x:v>아니오</x:v>
      </x:c>
      <x:c r="H107" s="56" t="str">
        <x:v>예</x:v>
      </x:c>
      <x:c r="I107" s="56" t="str">
        <x:v>—</x:v>
      </x:c>
      <x:c r="J107" s="57" t="str">
        <x:v>포함</x:v>
      </x:c>
      <x:c r="K107" s="57" t="str">
        <x:v>포함</x:v>
      </x:c>
      <x:c r="L107" s="57" t="str">
        <x:v>—</x:v>
      </x:c>
      <x:c r="M107" s="57" t="str">
        <x:v>—</x:v>
      </x:c>
      <x:c r="N107" s="57" t="str">
        <x:v>—</x:v>
      </x:c>
      <x:c r="O107" s="57" t="str">
        <x:v>포함</x:v>
      </x:c>
      <x:c r="P107" s="57" t="str">
        <x:v>포함</x:v>
      </x:c>
      <x:c r="Q107" s="57" t="str">
        <x:v>포함</x:v>
      </x:c>
      <x:c r="R107" s="57" t="str">
        <x:v>포함</x:v>
      </x:c>
    </x:row>
    <x:row r="108">
      <x:c r="A108" s="60" t="n">
        <x:v>104</x:v>
      </x:c>
      <x:c r="B108" s="56" t="str">
        <x:v>탕구리</x:v>
      </x:c>
      <x:c r="C108" s="56" t="str">
        <x:v>cubone</x:v>
      </x:c>
      <x:c r="D108" s="56" t="str">
        <x:v>건조지</x:v>
      </x:c>
      <x:c r="E108" s="56" t="str">
        <x:v>흔함</x:v>
      </x:c>
      <x:c r="F108" s="56" t="str">
        <x:v>아니오</x:v>
      </x:c>
      <x:c r="G108" s="56" t="str">
        <x:v>아니오</x:v>
      </x:c>
      <x:c r="H108" s="56" t="str">
        <x:v>예</x:v>
      </x:c>
      <x:c r="I108" s="56" t="str">
        <x:v>—</x:v>
      </x:c>
      <x:c r="J108" s="57" t="str">
        <x:v>포함</x:v>
      </x:c>
      <x:c r="K108" s="57" t="str">
        <x:v>포함</x:v>
      </x:c>
      <x:c r="L108" s="57" t="str">
        <x:v>—</x:v>
      </x:c>
      <x:c r="M108" s="57" t="str">
        <x:v>—</x:v>
      </x:c>
      <x:c r="N108" s="57" t="str">
        <x:v>—</x:v>
      </x:c>
      <x:c r="O108" s="57" t="str">
        <x:v>포함</x:v>
      </x:c>
      <x:c r="P108" s="57" t="str">
        <x:v>포함</x:v>
      </x:c>
      <x:c r="Q108" s="57" t="str">
        <x:v>포함</x:v>
      </x:c>
      <x:c r="R108" s="57" t="str">
        <x:v>—</x:v>
      </x:c>
    </x:row>
    <x:row r="109">
      <x:c r="A109" s="60" t="n">
        <x:v>105</x:v>
      </x:c>
      <x:c r="B109" s="56" t="str">
        <x:v>텅구리</x:v>
      </x:c>
      <x:c r="C109" s="56" t="str">
        <x:v>marowak</x:v>
      </x:c>
      <x:c r="D109" s="56" t="str">
        <x:v>건조지</x:v>
      </x:c>
      <x:c r="E109" s="56" t="str">
        <x:v>흔함</x:v>
      </x:c>
      <x:c r="F109" s="56" t="str">
        <x:v>아니오</x:v>
      </x:c>
      <x:c r="G109" s="56" t="str">
        <x:v>아니오</x:v>
      </x:c>
      <x:c r="H109" s="56" t="str">
        <x:v>예</x:v>
      </x:c>
      <x:c r="I109" s="56" t="str">
        <x:v>—</x:v>
      </x:c>
      <x:c r="J109" s="57" t="str">
        <x:v>포함</x:v>
      </x:c>
      <x:c r="K109" s="57" t="str">
        <x:v>포함</x:v>
      </x:c>
      <x:c r="L109" s="57" t="str">
        <x:v>—</x:v>
      </x:c>
      <x:c r="M109" s="57" t="str">
        <x:v>—</x:v>
      </x:c>
      <x:c r="N109" s="57" t="str">
        <x:v>—</x:v>
      </x:c>
      <x:c r="O109" s="57" t="str">
        <x:v>포함</x:v>
      </x:c>
      <x:c r="P109" s="57" t="str">
        <x:v>포함</x:v>
      </x:c>
      <x:c r="Q109" s="57" t="str">
        <x:v>포함</x:v>
      </x:c>
      <x:c r="R109" s="57" t="str">
        <x:v>—</x:v>
      </x:c>
    </x:row>
    <x:row r="110">
      <x:c r="A110" s="60" t="n">
        <x:v>106</x:v>
      </x:c>
      <x:c r="B110" s="56" t="str">
        <x:v>시라소몬</x:v>
      </x:c>
      <x:c r="C110" s="56" t="str">
        <x:v>hitmonlee</x:v>
      </x:c>
      <x:c r="D110" s="56" t="str">
        <x:v>산악</x:v>
      </x:c>
      <x:c r="E110" s="56" t="str">
        <x:v>보통</x:v>
      </x:c>
      <x:c r="F110" s="56" t="str">
        <x:v>아니오</x:v>
      </x:c>
      <x:c r="G110" s="56" t="str">
        <x:v>아니오</x:v>
      </x:c>
      <x:c r="H110" s="56" t="str">
        <x:v>예</x:v>
      </x:c>
      <x:c r="I110" s="56" t="str">
        <x:v>—</x:v>
      </x:c>
      <x:c r="J110" s="57" t="str">
        <x:v>포함</x:v>
      </x:c>
      <x:c r="K110" s="57" t="str">
        <x:v>포함</x:v>
      </x:c>
      <x:c r="L110" s="57" t="str">
        <x:v>—</x:v>
      </x:c>
      <x:c r="M110" s="57" t="str">
        <x:v>—</x:v>
      </x:c>
      <x:c r="N110" s="57" t="str">
        <x:v>—</x:v>
      </x:c>
      <x:c r="O110" s="57" t="str">
        <x:v>—</x:v>
      </x:c>
      <x:c r="P110" s="57" t="str">
        <x:v>—</x:v>
      </x:c>
      <x:c r="Q110" s="57" t="str">
        <x:v>포함</x:v>
      </x:c>
      <x:c r="R110" s="57" t="str">
        <x:v>포함</x:v>
      </x:c>
    </x:row>
    <x:row r="111">
      <x:c r="A111" s="60" t="n">
        <x:v>107</x:v>
      </x:c>
      <x:c r="B111" s="56" t="str">
        <x:v>홍수몬</x:v>
      </x:c>
      <x:c r="C111" s="56" t="str">
        <x:v>hitmonchan</x:v>
      </x:c>
      <x:c r="D111" s="56" t="str">
        <x:v>산악</x:v>
      </x:c>
      <x:c r="E111" s="56" t="str">
        <x:v>보통</x:v>
      </x:c>
      <x:c r="F111" s="56" t="str">
        <x:v>아니오</x:v>
      </x:c>
      <x:c r="G111" s="56" t="str">
        <x:v>아니오</x:v>
      </x:c>
      <x:c r="H111" s="56" t="str">
        <x:v>예</x:v>
      </x:c>
      <x:c r="I111" s="56" t="str">
        <x:v>—</x:v>
      </x:c>
      <x:c r="J111" s="57" t="str">
        <x:v>포함</x:v>
      </x:c>
      <x:c r="K111" s="57" t="str">
        <x:v>포함</x:v>
      </x:c>
      <x:c r="L111" s="57" t="str">
        <x:v>—</x:v>
      </x:c>
      <x:c r="M111" s="57" t="str">
        <x:v>—</x:v>
      </x:c>
      <x:c r="N111" s="57" t="str">
        <x:v>—</x:v>
      </x:c>
      <x:c r="O111" s="57" t="str">
        <x:v>—</x:v>
      </x:c>
      <x:c r="P111" s="57" t="str">
        <x:v>—</x:v>
      </x:c>
      <x:c r="Q111" s="57" t="str">
        <x:v>포함</x:v>
      </x:c>
      <x:c r="R111" s="57" t="str">
        <x:v>포함</x:v>
      </x:c>
    </x:row>
    <x:row r="112">
      <x:c r="A112" s="60" t="n">
        <x:v>108</x:v>
      </x:c>
      <x:c r="B112" s="56" t="str">
        <x:v>내루미</x:v>
      </x:c>
      <x:c r="C112" s="56" t="str">
        <x:v>lickitung</x:v>
      </x:c>
      <x:c r="D112" s="56" t="str">
        <x:v>평원</x:v>
      </x:c>
      <x:c r="E112" s="56" t="str">
        <x:v>보통</x:v>
      </x:c>
      <x:c r="F112" s="56" t="str">
        <x:v>아니오</x:v>
      </x:c>
      <x:c r="G112" s="56" t="str">
        <x:v>아니오</x:v>
      </x:c>
      <x:c r="H112" s="56" t="str">
        <x:v>예</x:v>
      </x:c>
      <x:c r="I112" s="56" t="str">
        <x:v>—</x:v>
      </x:c>
      <x:c r="J112" s="57" t="str">
        <x:v>포함</x:v>
      </x:c>
      <x:c r="K112" s="57" t="str">
        <x:v>포함</x:v>
      </x:c>
      <x:c r="L112" s="57" t="str">
        <x:v>—</x:v>
      </x:c>
      <x:c r="M112" s="57" t="str">
        <x:v>포함</x:v>
      </x:c>
      <x:c r="N112" s="57" t="str">
        <x:v>포함</x:v>
      </x:c>
      <x:c r="O112" s="57" t="str">
        <x:v>포함</x:v>
      </x:c>
      <x:c r="P112" s="57" t="str">
        <x:v>포함</x:v>
      </x:c>
      <x:c r="Q112" s="57" t="str">
        <x:v>포함</x:v>
      </x:c>
      <x:c r="R112" s="57" t="str">
        <x:v>—</x:v>
      </x:c>
    </x:row>
    <x:row r="113">
      <x:c r="A113" s="60" t="n">
        <x:v>109</x:v>
      </x:c>
      <x:c r="B113" s="56" t="str">
        <x:v>또가스</x:v>
      </x:c>
      <x:c r="C113" s="56" t="str">
        <x:v>koffing</x:v>
      </x:c>
      <x:c r="D113" s="56" t="str">
        <x:v>특수</x:v>
      </x:c>
      <x:c r="E113" s="56" t="str">
        <x:v>흔함</x:v>
      </x:c>
      <x:c r="F113" s="56" t="str">
        <x:v>아니오</x:v>
      </x:c>
      <x:c r="G113" s="56" t="str">
        <x:v>아니오</x:v>
      </x:c>
      <x:c r="H113" s="56" t="str">
        <x:v>예</x:v>
      </x:c>
      <x:c r="I113" s="56" t="str">
        <x:v>—</x:v>
      </x:c>
      <x:c r="J113" s="57" t="str">
        <x:v>포함</x:v>
      </x:c>
      <x:c r="K113" s="57" t="str">
        <x:v>포함</x:v>
      </x:c>
      <x:c r="L113" s="57" t="str">
        <x:v>포함</x:v>
      </x:c>
      <x:c r="M113" s="57" t="str">
        <x:v>—</x:v>
      </x:c>
      <x:c r="N113" s="57" t="str">
        <x:v>포함</x:v>
      </x:c>
      <x:c r="O113" s="57" t="str">
        <x:v>—</x:v>
      </x:c>
      <x:c r="P113" s="57" t="str">
        <x:v>—</x:v>
      </x:c>
      <x:c r="Q113" s="57" t="str">
        <x:v>포함</x:v>
      </x:c>
      <x:c r="R113" s="57" t="str">
        <x:v>포함</x:v>
      </x:c>
    </x:row>
    <x:row r="114">
      <x:c r="A114" s="60" t="n">
        <x:v>110</x:v>
      </x:c>
      <x:c r="B114" s="56" t="str">
        <x:v>또도가스</x:v>
      </x:c>
      <x:c r="C114" s="56" t="str">
        <x:v>weezing</x:v>
      </x:c>
      <x:c r="D114" s="56" t="str">
        <x:v>특수</x:v>
      </x:c>
      <x:c r="E114" s="56" t="str">
        <x:v>흔함</x:v>
      </x:c>
      <x:c r="F114" s="56" t="str">
        <x:v>아니오</x:v>
      </x:c>
      <x:c r="G114" s="56" t="str">
        <x:v>아니오</x:v>
      </x:c>
      <x:c r="H114" s="56" t="str">
        <x:v>예</x:v>
      </x:c>
      <x:c r="I114" s="56" t="str">
        <x:v>—</x:v>
      </x:c>
      <x:c r="J114" s="57" t="str">
        <x:v>포함</x:v>
      </x:c>
      <x:c r="K114" s="57" t="str">
        <x:v>포함</x:v>
      </x:c>
      <x:c r="L114" s="57" t="str">
        <x:v>포함</x:v>
      </x:c>
      <x:c r="M114" s="57" t="str">
        <x:v>—</x:v>
      </x:c>
      <x:c r="N114" s="57" t="str">
        <x:v>포함</x:v>
      </x:c>
      <x:c r="O114" s="57" t="str">
        <x:v>—</x:v>
      </x:c>
      <x:c r="P114" s="57" t="str">
        <x:v>—</x:v>
      </x:c>
      <x:c r="Q114" s="57" t="str">
        <x:v>포함</x:v>
      </x:c>
      <x:c r="R114" s="57" t="str">
        <x:v>포함</x:v>
      </x:c>
    </x:row>
    <x:row r="115">
      <x:c r="A115" s="60" t="n">
        <x:v>111</x:v>
      </x:c>
      <x:c r="B115" s="56" t="str">
        <x:v>뿔카노</x:v>
      </x:c>
      <x:c r="C115" s="56" t="str">
        <x:v>rhyhorn</x:v>
      </x:c>
      <x:c r="D115" s="56" t="str">
        <x:v>산악</x:v>
      </x:c>
      <x:c r="E115" s="56" t="str">
        <x:v>흔함</x:v>
      </x:c>
      <x:c r="F115" s="56" t="str">
        <x:v>아니오</x:v>
      </x:c>
      <x:c r="G115" s="56" t="str">
        <x:v>아니오</x:v>
      </x:c>
      <x:c r="H115" s="56" t="str">
        <x:v>예</x:v>
      </x:c>
      <x:c r="I115" s="56" t="str">
        <x:v>—</x:v>
      </x:c>
      <x:c r="J115" s="57" t="str">
        <x:v>포함</x:v>
      </x:c>
      <x:c r="K115" s="57" t="str">
        <x:v>포함</x:v>
      </x:c>
      <x:c r="L115" s="57" t="str">
        <x:v>포함</x:v>
      </x:c>
      <x:c r="M115" s="57" t="str">
        <x:v>포함</x:v>
      </x:c>
      <x:c r="N115" s="57" t="str">
        <x:v>—</x:v>
      </x:c>
      <x:c r="O115" s="57" t="str">
        <x:v>포함</x:v>
      </x:c>
      <x:c r="P115" s="57" t="str">
        <x:v>—</x:v>
      </x:c>
      <x:c r="Q115" s="57" t="str">
        <x:v>포함</x:v>
      </x:c>
      <x:c r="R115" s="57" t="str">
        <x:v>포함</x:v>
      </x:c>
    </x:row>
    <x:row r="116">
      <x:c r="A116" s="60" t="n">
        <x:v>112</x:v>
      </x:c>
      <x:c r="B116" s="56" t="str">
        <x:v>코뿌리</x:v>
      </x:c>
      <x:c r="C116" s="56" t="str">
        <x:v>rhydon</x:v>
      </x:c>
      <x:c r="D116" s="56" t="str">
        <x:v>산악</x:v>
      </x:c>
      <x:c r="E116" s="56" t="str">
        <x:v>흔함</x:v>
      </x:c>
      <x:c r="F116" s="56" t="str">
        <x:v>아니오</x:v>
      </x:c>
      <x:c r="G116" s="56" t="str">
        <x:v>아니오</x:v>
      </x:c>
      <x:c r="H116" s="56" t="str">
        <x:v>예</x:v>
      </x:c>
      <x:c r="I116" s="56" t="str">
        <x:v>—</x:v>
      </x:c>
      <x:c r="J116" s="57" t="str">
        <x:v>포함</x:v>
      </x:c>
      <x:c r="K116" s="57" t="str">
        <x:v>포함</x:v>
      </x:c>
      <x:c r="L116" s="57" t="str">
        <x:v>포함</x:v>
      </x:c>
      <x:c r="M116" s="57" t="str">
        <x:v>포함</x:v>
      </x:c>
      <x:c r="N116" s="57" t="str">
        <x:v>—</x:v>
      </x:c>
      <x:c r="O116" s="57" t="str">
        <x:v>포함</x:v>
      </x:c>
      <x:c r="P116" s="57" t="str">
        <x:v>—</x:v>
      </x:c>
      <x:c r="Q116" s="57" t="str">
        <x:v>포함</x:v>
      </x:c>
      <x:c r="R116" s="57" t="str">
        <x:v>포함</x:v>
      </x:c>
    </x:row>
    <x:row r="117">
      <x:c r="A117" s="60" t="n">
        <x:v>113</x:v>
      </x:c>
      <x:c r="B117" s="56" t="str">
        <x:v>럭키</x:v>
      </x:c>
      <x:c r="C117" s="56" t="str">
        <x:v>chansey</x:v>
      </x:c>
      <x:c r="D117" s="56" t="str">
        <x:v>평원</x:v>
      </x:c>
      <x:c r="E117" s="56" t="str">
        <x:v>드묾</x:v>
      </x:c>
      <x:c r="F117" s="56" t="str">
        <x:v>아니오</x:v>
      </x:c>
      <x:c r="G117" s="56" t="str">
        <x:v>아니오</x:v>
      </x:c>
      <x:c r="H117" s="56" t="str">
        <x:v>예</x:v>
      </x:c>
      <x:c r="I117" s="56" t="str">
        <x:v>—</x:v>
      </x:c>
      <x:c r="J117" s="57" t="str">
        <x:v>포함</x:v>
      </x:c>
      <x:c r="K117" s="57" t="str">
        <x:v>포함</x:v>
      </x:c>
      <x:c r="L117" s="57" t="str">
        <x:v>—</x:v>
      </x:c>
      <x:c r="M117" s="57" t="str">
        <x:v>포함</x:v>
      </x:c>
      <x:c r="N117" s="57" t="str">
        <x:v>—</x:v>
      </x:c>
      <x:c r="O117" s="57" t="str">
        <x:v>—</x:v>
      </x:c>
      <x:c r="P117" s="57" t="str">
        <x:v>포함</x:v>
      </x:c>
      <x:c r="Q117" s="57" t="str">
        <x:v>포함</x:v>
      </x:c>
      <x:c r="R117" s="57" t="str">
        <x:v>포함</x:v>
      </x:c>
    </x:row>
    <x:row r="118">
      <x:c r="A118" s="60" t="n">
        <x:v>114</x:v>
      </x:c>
      <x:c r="B118" s="56" t="str">
        <x:v>덩쿠리</x:v>
      </x:c>
      <x:c r="C118" s="56" t="str">
        <x:v>tangela</x:v>
      </x:c>
      <x:c r="D118" s="56" t="str">
        <x:v>숲</x:v>
      </x:c>
      <x:c r="E118" s="56" t="str">
        <x:v>흔함</x:v>
      </x:c>
      <x:c r="F118" s="56" t="str">
        <x:v>아니오</x:v>
      </x:c>
      <x:c r="G118" s="56" t="str">
        <x:v>아니오</x:v>
      </x:c>
      <x:c r="H118" s="56" t="str">
        <x:v>예</x:v>
      </x:c>
      <x:c r="I118" s="56" t="str">
        <x:v>—</x:v>
      </x:c>
      <x:c r="J118" s="57" t="str">
        <x:v>포함</x:v>
      </x:c>
      <x:c r="K118" s="57" t="str">
        <x:v>포함</x:v>
      </x:c>
      <x:c r="L118" s="57" t="str">
        <x:v>—</x:v>
      </x:c>
      <x:c r="M118" s="57" t="str">
        <x:v>포함</x:v>
      </x:c>
      <x:c r="N118" s="57" t="str">
        <x:v>포함</x:v>
      </x:c>
      <x:c r="O118" s="57" t="str">
        <x:v>—</x:v>
      </x:c>
      <x:c r="P118" s="57" t="str">
        <x:v>—</x:v>
      </x:c>
      <x:c r="Q118" s="57" t="str">
        <x:v>포함</x:v>
      </x:c>
      <x:c r="R118" s="57" t="str">
        <x:v>—</x:v>
      </x:c>
    </x:row>
    <x:row r="119">
      <x:c r="A119" s="60" t="n">
        <x:v>115</x:v>
      </x:c>
      <x:c r="B119" s="56" t="str">
        <x:v>캥카</x:v>
      </x:c>
      <x:c r="C119" s="56" t="str">
        <x:v>kangaskhan</x:v>
      </x:c>
      <x:c r="D119" s="56" t="str">
        <x:v>평원</x:v>
      </x:c>
      <x:c r="E119" s="56" t="str">
        <x:v>드묾</x:v>
      </x:c>
      <x:c r="F119" s="56" t="str">
        <x:v>아니오</x:v>
      </x:c>
      <x:c r="G119" s="56" t="str">
        <x:v>아니오</x:v>
      </x:c>
      <x:c r="H119" s="56" t="str">
        <x:v>예</x:v>
      </x:c>
      <x:c r="I119" s="56" t="str">
        <x:v>—</x:v>
      </x:c>
      <x:c r="J119" s="57" t="str">
        <x:v>포함</x:v>
      </x:c>
      <x:c r="K119" s="57" t="str">
        <x:v>포함</x:v>
      </x:c>
      <x:c r="L119" s="57" t="str">
        <x:v>—</x:v>
      </x:c>
      <x:c r="M119" s="57" t="str">
        <x:v>—</x:v>
      </x:c>
      <x:c r="N119" s="57" t="str">
        <x:v>—</x:v>
      </x:c>
      <x:c r="O119" s="57" t="str">
        <x:v>포함</x:v>
      </x:c>
      <x:c r="P119" s="57" t="str">
        <x:v>포함</x:v>
      </x:c>
      <x:c r="Q119" s="57" t="str">
        <x:v>포함</x:v>
      </x:c>
      <x:c r="R119" s="57" t="str">
        <x:v>—</x:v>
      </x:c>
    </x:row>
    <x:row r="120">
      <x:c r="A120" s="60" t="n">
        <x:v>116</x:v>
      </x:c>
      <x:c r="B120" s="56" t="str">
        <x:v>쏘드라</x:v>
      </x:c>
      <x:c r="C120" s="56" t="str">
        <x:v>horsea</x:v>
      </x:c>
      <x:c r="D120" s="56" t="str">
        <x:v>해양</x:v>
      </x:c>
      <x:c r="E120" s="56" t="str">
        <x:v>흔함</x:v>
      </x:c>
      <x:c r="F120" s="56" t="str">
        <x:v>아니오</x:v>
      </x:c>
      <x:c r="G120" s="56" t="str">
        <x:v>아니오</x:v>
      </x:c>
      <x:c r="H120" s="56" t="str">
        <x:v>예</x:v>
      </x:c>
      <x:c r="I120" s="56" t="str">
        <x:v>—</x:v>
      </x:c>
      <x:c r="J120" s="57" t="str">
        <x:v>포함</x:v>
      </x:c>
      <x:c r="K120" s="57" t="str">
        <x:v>포함</x:v>
      </x:c>
      <x:c r="L120" s="57" t="str">
        <x:v>포함</x:v>
      </x:c>
      <x:c r="M120" s="57" t="str">
        <x:v>—</x:v>
      </x:c>
      <x:c r="N120" s="57" t="str">
        <x:v>—</x:v>
      </x:c>
      <x:c r="O120" s="57" t="str">
        <x:v>포함</x:v>
      </x:c>
      <x:c r="P120" s="57" t="str">
        <x:v>—</x:v>
      </x:c>
      <x:c r="Q120" s="57" t="str">
        <x:v>포함</x:v>
      </x:c>
      <x:c r="R120" s="57" t="str">
        <x:v>포함</x:v>
      </x:c>
    </x:row>
    <x:row r="121">
      <x:c r="A121" s="60" t="n">
        <x:v>117</x:v>
      </x:c>
      <x:c r="B121" s="56" t="str">
        <x:v>시드라</x:v>
      </x:c>
      <x:c r="C121" s="56" t="str">
        <x:v>seadra</x:v>
      </x:c>
      <x:c r="D121" s="56" t="str">
        <x:v>해양</x:v>
      </x:c>
      <x:c r="E121" s="56" t="str">
        <x:v>흔함</x:v>
      </x:c>
      <x:c r="F121" s="56" t="str">
        <x:v>아니오</x:v>
      </x:c>
      <x:c r="G121" s="56" t="str">
        <x:v>아니오</x:v>
      </x:c>
      <x:c r="H121" s="56" t="str">
        <x:v>예</x:v>
      </x:c>
      <x:c r="I121" s="56" t="str">
        <x:v>—</x:v>
      </x:c>
      <x:c r="J121" s="57" t="str">
        <x:v>포함</x:v>
      </x:c>
      <x:c r="K121" s="57" t="str">
        <x:v>포함</x:v>
      </x:c>
      <x:c r="L121" s="57" t="str">
        <x:v>포함</x:v>
      </x:c>
      <x:c r="M121" s="57" t="str">
        <x:v>—</x:v>
      </x:c>
      <x:c r="N121" s="57" t="str">
        <x:v>—</x:v>
      </x:c>
      <x:c r="O121" s="57" t="str">
        <x:v>포함</x:v>
      </x:c>
      <x:c r="P121" s="57" t="str">
        <x:v>—</x:v>
      </x:c>
      <x:c r="Q121" s="57" t="str">
        <x:v>포함</x:v>
      </x:c>
      <x:c r="R121" s="57" t="str">
        <x:v>포함</x:v>
      </x:c>
    </x:row>
    <x:row r="122">
      <x:c r="A122" s="60" t="n">
        <x:v>118</x:v>
      </x:c>
      <x:c r="B122" s="56" t="str">
        <x:v>콘치</x:v>
      </x:c>
      <x:c r="C122" s="56" t="str">
        <x:v>goldeen</x:v>
      </x:c>
      <x:c r="D122" s="56" t="str">
        <x:v>담수</x:v>
      </x:c>
      <x:c r="E122" s="56" t="str">
        <x:v>흔함</x:v>
      </x:c>
      <x:c r="F122" s="56" t="str">
        <x:v>아니오</x:v>
      </x:c>
      <x:c r="G122" s="56" t="str">
        <x:v>아니오</x:v>
      </x:c>
      <x:c r="H122" s="56" t="str">
        <x:v>예</x:v>
      </x:c>
      <x:c r="I122" s="56" t="str">
        <x:v>—</x:v>
      </x:c>
      <x:c r="J122" s="57" t="str">
        <x:v>포함</x:v>
      </x:c>
      <x:c r="K122" s="57" t="str">
        <x:v>포함</x:v>
      </x:c>
      <x:c r="L122" s="57" t="str">
        <x:v>포함</x:v>
      </x:c>
      <x:c r="M122" s="57" t="str">
        <x:v>포함</x:v>
      </x:c>
      <x:c r="N122" s="57" t="str">
        <x:v>—</x:v>
      </x:c>
      <x:c r="O122" s="57" t="str">
        <x:v>포함</x:v>
      </x:c>
      <x:c r="P122" s="57" t="str">
        <x:v>포함</x:v>
      </x:c>
      <x:c r="Q122" s="57" t="str">
        <x:v>포함</x:v>
      </x:c>
      <x:c r="R122" s="57" t="str">
        <x:v>—</x:v>
      </x:c>
    </x:row>
    <x:row r="123">
      <x:c r="A123" s="60" t="n">
        <x:v>119</x:v>
      </x:c>
      <x:c r="B123" s="56" t="str">
        <x:v>왕콘치</x:v>
      </x:c>
      <x:c r="C123" s="56" t="str">
        <x:v>seaking</x:v>
      </x:c>
      <x:c r="D123" s="56" t="str">
        <x:v>담수</x:v>
      </x:c>
      <x:c r="E123" s="56" t="str">
        <x:v>흔함</x:v>
      </x:c>
      <x:c r="F123" s="56" t="str">
        <x:v>아니오</x:v>
      </x:c>
      <x:c r="G123" s="56" t="str">
        <x:v>아니오</x:v>
      </x:c>
      <x:c r="H123" s="56" t="str">
        <x:v>예</x:v>
      </x:c>
      <x:c r="I123" s="56" t="str">
        <x:v>—</x:v>
      </x:c>
      <x:c r="J123" s="57" t="str">
        <x:v>포함</x:v>
      </x:c>
      <x:c r="K123" s="57" t="str">
        <x:v>포함</x:v>
      </x:c>
      <x:c r="L123" s="57" t="str">
        <x:v>포함</x:v>
      </x:c>
      <x:c r="M123" s="57" t="str">
        <x:v>포함</x:v>
      </x:c>
      <x:c r="N123" s="57" t="str">
        <x:v>—</x:v>
      </x:c>
      <x:c r="O123" s="57" t="str">
        <x:v>포함</x:v>
      </x:c>
      <x:c r="P123" s="57" t="str">
        <x:v>포함</x:v>
      </x:c>
      <x:c r="Q123" s="57" t="str">
        <x:v>포함</x:v>
      </x:c>
      <x:c r="R123" s="57" t="str">
        <x:v>—</x:v>
      </x:c>
    </x:row>
    <x:row r="124">
      <x:c r="A124" s="60" t="n">
        <x:v>120</x:v>
      </x:c>
      <x:c r="B124" s="56" t="str">
        <x:v>별가사리</x:v>
      </x:c>
      <x:c r="C124" s="56" t="str">
        <x:v>staryu</x:v>
      </x:c>
      <x:c r="D124" s="56" t="str">
        <x:v>해양</x:v>
      </x:c>
      <x:c r="E124" s="56" t="str">
        <x:v>보통</x:v>
      </x:c>
      <x:c r="F124" s="56" t="str">
        <x:v>아니오</x:v>
      </x:c>
      <x:c r="G124" s="56" t="str">
        <x:v>아니오</x:v>
      </x:c>
      <x:c r="H124" s="56" t="str">
        <x:v>예</x:v>
      </x:c>
      <x:c r="I124" s="56" t="str">
        <x:v>—</x:v>
      </x:c>
      <x:c r="J124" s="57" t="str">
        <x:v>포함</x:v>
      </x:c>
      <x:c r="K124" s="57" t="str">
        <x:v>포함</x:v>
      </x:c>
      <x:c r="L124" s="57" t="str">
        <x:v>포함</x:v>
      </x:c>
      <x:c r="M124" s="57" t="str">
        <x:v>—</x:v>
      </x:c>
      <x:c r="N124" s="57" t="str">
        <x:v>포함</x:v>
      </x:c>
      <x:c r="O124" s="57" t="str">
        <x:v>포함</x:v>
      </x:c>
      <x:c r="P124" s="57" t="str">
        <x:v>포함</x:v>
      </x:c>
      <x:c r="Q124" s="57" t="str">
        <x:v>포함</x:v>
      </x:c>
      <x:c r="R124" s="57" t="str">
        <x:v>—</x:v>
      </x:c>
    </x:row>
    <x:row r="125">
      <x:c r="A125" s="60" t="n">
        <x:v>121</x:v>
      </x:c>
      <x:c r="B125" s="56" t="str">
        <x:v>아쿠스타</x:v>
      </x:c>
      <x:c r="C125" s="56" t="str">
        <x:v>starmie</x:v>
      </x:c>
      <x:c r="D125" s="56" t="str">
        <x:v>해양</x:v>
      </x:c>
      <x:c r="E125" s="56" t="str">
        <x:v>보통</x:v>
      </x:c>
      <x:c r="F125" s="56" t="str">
        <x:v>아니오</x:v>
      </x:c>
      <x:c r="G125" s="56" t="str">
        <x:v>아니오</x:v>
      </x:c>
      <x:c r="H125" s="56" t="str">
        <x:v>예</x:v>
      </x:c>
      <x:c r="I125" s="56" t="str">
        <x:v>—</x:v>
      </x:c>
      <x:c r="J125" s="57" t="str">
        <x:v>포함</x:v>
      </x:c>
      <x:c r="K125" s="57" t="str">
        <x:v>포함</x:v>
      </x:c>
      <x:c r="L125" s="57" t="str">
        <x:v>포함</x:v>
      </x:c>
      <x:c r="M125" s="57" t="str">
        <x:v>—</x:v>
      </x:c>
      <x:c r="N125" s="57" t="str">
        <x:v>포함</x:v>
      </x:c>
      <x:c r="O125" s="57" t="str">
        <x:v>포함</x:v>
      </x:c>
      <x:c r="P125" s="57" t="str">
        <x:v>포함</x:v>
      </x:c>
      <x:c r="Q125" s="57" t="str">
        <x:v>포함</x:v>
      </x:c>
      <x:c r="R125" s="57" t="str">
        <x:v>—</x:v>
      </x:c>
    </x:row>
    <x:row r="126">
      <x:c r="A126" s="60" t="n">
        <x:v>122</x:v>
      </x:c>
      <x:c r="B126" s="56" t="str">
        <x:v>마임맨</x:v>
      </x:c>
      <x:c r="C126" s="56" t="str">
        <x:v>mrmime</x:v>
      </x:c>
      <x:c r="D126" s="56" t="str">
        <x:v>평원</x:v>
      </x:c>
      <x:c r="E126" s="56" t="str">
        <x:v>보통</x:v>
      </x:c>
      <x:c r="F126" s="56" t="str">
        <x:v>아니오</x:v>
      </x:c>
      <x:c r="G126" s="56" t="str">
        <x:v>아니오</x:v>
      </x:c>
      <x:c r="H126" s="56" t="str">
        <x:v>예</x:v>
      </x:c>
      <x:c r="I126" s="56" t="str">
        <x:v>—</x:v>
      </x:c>
      <x:c r="J126" s="57" t="str">
        <x:v>포함</x:v>
      </x:c>
      <x:c r="K126" s="57" t="str">
        <x:v>포함</x:v>
      </x:c>
      <x:c r="L126" s="57" t="str">
        <x:v>—</x:v>
      </x:c>
      <x:c r="M126" s="57" t="str">
        <x:v>포함</x:v>
      </x:c>
      <x:c r="N126" s="57" t="str">
        <x:v>—</x:v>
      </x:c>
      <x:c r="O126" s="57" t="str">
        <x:v>포함</x:v>
      </x:c>
      <x:c r="P126" s="57" t="str">
        <x:v>포함</x:v>
      </x:c>
      <x:c r="Q126" s="57" t="str">
        <x:v>포함</x:v>
      </x:c>
      <x:c r="R126" s="57" t="str">
        <x:v>—</x:v>
      </x:c>
    </x:row>
    <x:row r="127">
      <x:c r="A127" s="60" t="n">
        <x:v>123</x:v>
      </x:c>
      <x:c r="B127" s="56" t="str">
        <x:v>스라크</x:v>
      </x:c>
      <x:c r="C127" s="56" t="str">
        <x:v>scyther</x:v>
      </x:c>
      <x:c r="D127" s="56" t="str">
        <x:v>숲</x:v>
      </x:c>
      <x:c r="E127" s="56" t="str">
        <x:v>보통</x:v>
      </x:c>
      <x:c r="F127" s="56" t="str">
        <x:v>아니오</x:v>
      </x:c>
      <x:c r="G127" s="56" t="str">
        <x:v>아니오</x:v>
      </x:c>
      <x:c r="H127" s="56" t="str">
        <x:v>예</x:v>
      </x:c>
      <x:c r="I127" s="56" t="str">
        <x:v>—</x:v>
      </x:c>
      <x:c r="J127" s="57" t="str">
        <x:v>포함</x:v>
      </x:c>
      <x:c r="K127" s="57" t="str">
        <x:v>포함</x:v>
      </x:c>
      <x:c r="L127" s="57" t="str">
        <x:v>—</x:v>
      </x:c>
      <x:c r="M127" s="57" t="str">
        <x:v>포함</x:v>
      </x:c>
      <x:c r="N127" s="57" t="str">
        <x:v>—</x:v>
      </x:c>
      <x:c r="O127" s="57" t="str">
        <x:v>포함</x:v>
      </x:c>
      <x:c r="P127" s="57" t="str">
        <x:v>포함</x:v>
      </x:c>
      <x:c r="Q127" s="57" t="str">
        <x:v>포함</x:v>
      </x:c>
      <x:c r="R127" s="57" t="str">
        <x:v>포함</x:v>
      </x:c>
    </x:row>
    <x:row r="128">
      <x:c r="A128" s="60" t="n">
        <x:v>124</x:v>
      </x:c>
      <x:c r="B128" s="56" t="str">
        <x:v>루주라</x:v>
      </x:c>
      <x:c r="C128" s="56" t="str">
        <x:v>jynx</x:v>
      </x:c>
      <x:c r="D128" s="56" t="str">
        <x:v>설원</x:v>
      </x:c>
      <x:c r="E128" s="56" t="str">
        <x:v>보통</x:v>
      </x:c>
      <x:c r="F128" s="56" t="str">
        <x:v>아니오</x:v>
      </x:c>
      <x:c r="G128" s="56" t="str">
        <x:v>아니오</x:v>
      </x:c>
      <x:c r="H128" s="56" t="str">
        <x:v>예</x:v>
      </x:c>
      <x:c r="I128" s="56" t="str">
        <x:v>—</x:v>
      </x:c>
      <x:c r="J128" s="57" t="str">
        <x:v>포함</x:v>
      </x:c>
      <x:c r="K128" s="57" t="str">
        <x:v>포함</x:v>
      </x:c>
      <x:c r="L128" s="57" t="str">
        <x:v>—</x:v>
      </x:c>
      <x:c r="M128" s="57" t="str">
        <x:v>—</x:v>
      </x:c>
      <x:c r="N128" s="57" t="str">
        <x:v>—</x:v>
      </x:c>
      <x:c r="O128" s="57" t="str">
        <x:v>포함</x:v>
      </x:c>
      <x:c r="P128" s="57" t="str">
        <x:v>포함</x:v>
      </x:c>
      <x:c r="Q128" s="57" t="str">
        <x:v>포함</x:v>
      </x:c>
      <x:c r="R128" s="57" t="str">
        <x:v>—</x:v>
      </x:c>
    </x:row>
    <x:row r="129">
      <x:c r="A129" s="60" t="n">
        <x:v>125</x:v>
      </x:c>
      <x:c r="B129" s="56" t="str">
        <x:v>에레브</x:v>
      </x:c>
      <x:c r="C129" s="56" t="str">
        <x:v>electabuzz</x:v>
      </x:c>
      <x:c r="D129" s="56" t="str">
        <x:v>산악</x:v>
      </x:c>
      <x:c r="E129" s="56" t="str">
        <x:v>보통</x:v>
      </x:c>
      <x:c r="F129" s="56" t="str">
        <x:v>아니오</x:v>
      </x:c>
      <x:c r="G129" s="56" t="str">
        <x:v>아니오</x:v>
      </x:c>
      <x:c r="H129" s="56" t="str">
        <x:v>예</x:v>
      </x:c>
      <x:c r="I129" s="56" t="str">
        <x:v>—</x:v>
      </x:c>
      <x:c r="J129" s="57" t="str">
        <x:v>포함</x:v>
      </x:c>
      <x:c r="K129" s="57" t="str">
        <x:v>포함</x:v>
      </x:c>
      <x:c r="L129" s="57" t="str">
        <x:v>—</x:v>
      </x:c>
      <x:c r="M129" s="57" t="str">
        <x:v>포함</x:v>
      </x:c>
      <x:c r="N129" s="57" t="str">
        <x:v>포함</x:v>
      </x:c>
      <x:c r="O129" s="57" t="str">
        <x:v>—</x:v>
      </x:c>
      <x:c r="P129" s="57" t="str">
        <x:v>포함</x:v>
      </x:c>
      <x:c r="Q129" s="57" t="str">
        <x:v>포함</x:v>
      </x:c>
      <x:c r="R129" s="57" t="str">
        <x:v>포함</x:v>
      </x:c>
    </x:row>
    <x:row r="130">
      <x:c r="A130" s="60" t="n">
        <x:v>126</x:v>
      </x:c>
      <x:c r="B130" s="56" t="str">
        <x:v>마그마</x:v>
      </x:c>
      <x:c r="C130" s="56" t="str">
        <x:v>magmar</x:v>
      </x:c>
      <x:c r="D130" s="56" t="str">
        <x:v>화산</x:v>
      </x:c>
      <x:c r="E130" s="56" t="str">
        <x:v>흔함</x:v>
      </x:c>
      <x:c r="F130" s="56" t="str">
        <x:v>아니오</x:v>
      </x:c>
      <x:c r="G130" s="56" t="str">
        <x:v>아니오</x:v>
      </x:c>
      <x:c r="H130" s="56" t="str">
        <x:v>예</x:v>
      </x:c>
      <x:c r="I130" s="56" t="str">
        <x:v>—</x:v>
      </x:c>
      <x:c r="J130" s="57" t="str">
        <x:v>포함</x:v>
      </x:c>
      <x:c r="K130" s="57" t="str">
        <x:v>포함</x:v>
      </x:c>
      <x:c r="L130" s="57" t="str">
        <x:v>—</x:v>
      </x:c>
      <x:c r="M130" s="57" t="str">
        <x:v>포함</x:v>
      </x:c>
      <x:c r="N130" s="57" t="str">
        <x:v>포함</x:v>
      </x:c>
      <x:c r="O130" s="57" t="str">
        <x:v>—</x:v>
      </x:c>
      <x:c r="P130" s="57" t="str">
        <x:v>포함</x:v>
      </x:c>
      <x:c r="Q130" s="57" t="str">
        <x:v>포함</x:v>
      </x:c>
      <x:c r="R130" s="57" t="str">
        <x:v>포함</x:v>
      </x:c>
    </x:row>
    <x:row r="131">
      <x:c r="A131" s="60" t="n">
        <x:v>127</x:v>
      </x:c>
      <x:c r="B131" s="56" t="str">
        <x:v>쁘사이저</x:v>
      </x:c>
      <x:c r="C131" s="56" t="str">
        <x:v>pinsir</x:v>
      </x:c>
      <x:c r="D131" s="56" t="str">
        <x:v>숲</x:v>
      </x:c>
      <x:c r="E131" s="56" t="str">
        <x:v>보통</x:v>
      </x:c>
      <x:c r="F131" s="56" t="str">
        <x:v>아니오</x:v>
      </x:c>
      <x:c r="G131" s="56" t="str">
        <x:v>아니오</x:v>
      </x:c>
      <x:c r="H131" s="56" t="str">
        <x:v>예</x:v>
      </x:c>
      <x:c r="I131" s="56" t="str">
        <x:v>—</x:v>
      </x:c>
      <x:c r="J131" s="57" t="str">
        <x:v>포함</x:v>
      </x:c>
      <x:c r="K131" s="57" t="str">
        <x:v>포함</x:v>
      </x:c>
      <x:c r="L131" s="57" t="str">
        <x:v>포함</x:v>
      </x:c>
      <x:c r="M131" s="57" t="str">
        <x:v>—</x:v>
      </x:c>
      <x:c r="N131" s="57" t="str">
        <x:v>포함</x:v>
      </x:c>
      <x:c r="O131" s="57" t="str">
        <x:v>포함</x:v>
      </x:c>
      <x:c r="P131" s="57" t="str">
        <x:v>포함</x:v>
      </x:c>
      <x:c r="Q131" s="57" t="str">
        <x:v>포함</x:v>
      </x:c>
      <x:c r="R131" s="57" t="str">
        <x:v>—</x:v>
      </x:c>
    </x:row>
    <x:row r="132">
      <x:c r="A132" s="60" t="n">
        <x:v>128</x:v>
      </x:c>
      <x:c r="B132" s="56" t="str">
        <x:v>켄타로스</x:v>
      </x:c>
      <x:c r="C132" s="56" t="str">
        <x:v>tauros</x:v>
      </x:c>
      <x:c r="D132" s="56" t="str">
        <x:v>산악</x:v>
      </x:c>
      <x:c r="E132" s="56" t="str">
        <x:v>흔함</x:v>
      </x:c>
      <x:c r="F132" s="56" t="str">
        <x:v>아니오</x:v>
      </x:c>
      <x:c r="G132" s="56" t="str">
        <x:v>아니오</x:v>
      </x:c>
      <x:c r="H132" s="56" t="str">
        <x:v>예</x:v>
      </x:c>
      <x:c r="I132" s="56" t="str">
        <x:v>—</x:v>
      </x:c>
      <x:c r="J132" s="57" t="str">
        <x:v>포함</x:v>
      </x:c>
      <x:c r="K132" s="57" t="str">
        <x:v>포함</x:v>
      </x:c>
      <x:c r="L132" s="57" t="str">
        <x:v>—</x:v>
      </x:c>
      <x:c r="M132" s="57" t="str">
        <x:v>—</x:v>
      </x:c>
      <x:c r="N132" s="57" t="str">
        <x:v>—</x:v>
      </x:c>
      <x:c r="O132" s="57" t="str">
        <x:v>포함</x:v>
      </x:c>
      <x:c r="P132" s="57" t="str">
        <x:v>포함</x:v>
      </x:c>
      <x:c r="Q132" s="57" t="str">
        <x:v>포함</x:v>
      </x:c>
      <x:c r="R132" s="57" t="str">
        <x:v>포함</x:v>
      </x:c>
    </x:row>
    <x:row r="133">
      <x:c r="A133" s="60" t="n">
        <x:v>129</x:v>
      </x:c>
      <x:c r="B133" s="56" t="str">
        <x:v>잉어킹</x:v>
      </x:c>
      <x:c r="C133" s="56" t="str">
        <x:v>magikarp</x:v>
      </x:c>
      <x:c r="D133" s="56" t="str">
        <x:v>해양</x:v>
      </x:c>
      <x:c r="E133" s="56" t="str">
        <x:v>보통</x:v>
      </x:c>
      <x:c r="F133" s="56" t="str">
        <x:v>아니오</x:v>
      </x:c>
      <x:c r="G133" s="56" t="str">
        <x:v>아니오</x:v>
      </x:c>
      <x:c r="H133" s="56" t="str">
        <x:v>예</x:v>
      </x:c>
      <x:c r="I133" s="56" t="str">
        <x:v>—</x:v>
      </x:c>
      <x:c r="J133" s="57" t="str">
        <x:v>포함</x:v>
      </x:c>
      <x:c r="K133" s="57" t="str">
        <x:v>포함</x:v>
      </x:c>
      <x:c r="L133" s="57" t="str">
        <x:v>포함</x:v>
      </x:c>
      <x:c r="M133" s="57" t="str">
        <x:v>포함</x:v>
      </x:c>
      <x:c r="N133" s="57" t="str">
        <x:v>—</x:v>
      </x:c>
      <x:c r="O133" s="57" t="str">
        <x:v>포함</x:v>
      </x:c>
      <x:c r="P133" s="57" t="str">
        <x:v>포함</x:v>
      </x:c>
      <x:c r="Q133" s="57" t="str">
        <x:v>포함</x:v>
      </x:c>
      <x:c r="R133" s="57" t="str">
        <x:v>포함</x:v>
      </x:c>
    </x:row>
    <x:row r="134">
      <x:c r="A134" s="60" t="n">
        <x:v>130</x:v>
      </x:c>
      <x:c r="B134" s="56" t="str">
        <x:v>갸라도스</x:v>
      </x:c>
      <x:c r="C134" s="56" t="str">
        <x:v>gyarados</x:v>
      </x:c>
      <x:c r="D134" s="56" t="str">
        <x:v>해양</x:v>
      </x:c>
      <x:c r="E134" s="56" t="str">
        <x:v>보통</x:v>
      </x:c>
      <x:c r="F134" s="56" t="str">
        <x:v>아니오</x:v>
      </x:c>
      <x:c r="G134" s="56" t="str">
        <x:v>아니오</x:v>
      </x:c>
      <x:c r="H134" s="56" t="str">
        <x:v>예</x:v>
      </x:c>
      <x:c r="I134" s="56" t="str">
        <x:v>—</x:v>
      </x:c>
      <x:c r="J134" s="57" t="str">
        <x:v>포함</x:v>
      </x:c>
      <x:c r="K134" s="57" t="str">
        <x:v>포함</x:v>
      </x:c>
      <x:c r="L134" s="57" t="str">
        <x:v>포함</x:v>
      </x:c>
      <x:c r="M134" s="57" t="str">
        <x:v>포함</x:v>
      </x:c>
      <x:c r="N134" s="57" t="str">
        <x:v>—</x:v>
      </x:c>
      <x:c r="O134" s="57" t="str">
        <x:v>포함</x:v>
      </x:c>
      <x:c r="P134" s="57" t="str">
        <x:v>포함</x:v>
      </x:c>
      <x:c r="Q134" s="57" t="str">
        <x:v>포함</x:v>
      </x:c>
      <x:c r="R134" s="57" t="str">
        <x:v>포함</x:v>
      </x:c>
    </x:row>
    <x:row r="135">
      <x:c r="A135" s="60" t="n">
        <x:v>131</x:v>
      </x:c>
      <x:c r="B135" s="56" t="str">
        <x:v>라프라스</x:v>
      </x:c>
      <x:c r="C135" s="56" t="str">
        <x:v>lapras</x:v>
      </x:c>
      <x:c r="D135" s="56" t="str">
        <x:v>해양</x:v>
      </x:c>
      <x:c r="E135" s="56" t="str">
        <x:v>보통</x:v>
      </x:c>
      <x:c r="F135" s="56" t="str">
        <x:v>아니오</x:v>
      </x:c>
      <x:c r="G135" s="56" t="str">
        <x:v>아니오</x:v>
      </x:c>
      <x:c r="H135" s="56" t="str">
        <x:v>예</x:v>
      </x:c>
      <x:c r="I135" s="56" t="str">
        <x:v>—</x:v>
      </x:c>
      <x:c r="J135" s="57" t="str">
        <x:v>포함</x:v>
      </x:c>
      <x:c r="K135" s="57" t="str">
        <x:v>포함</x:v>
      </x:c>
      <x:c r="L135" s="57" t="str">
        <x:v>—</x:v>
      </x:c>
      <x:c r="M135" s="57" t="str">
        <x:v>—</x:v>
      </x:c>
      <x:c r="N135" s="57" t="str">
        <x:v>포함</x:v>
      </x:c>
      <x:c r="O135" s="57" t="str">
        <x:v>포함</x:v>
      </x:c>
      <x:c r="P135" s="57" t="str">
        <x:v>포함</x:v>
      </x:c>
      <x:c r="Q135" s="57" t="str">
        <x:v>포함</x:v>
      </x:c>
      <x:c r="R135" s="57" t="str">
        <x:v>포함</x:v>
      </x:c>
    </x:row>
    <x:row r="136">
      <x:c r="A136" s="60" t="n">
        <x:v>132</x:v>
      </x:c>
      <x:c r="B136" s="56" t="str">
        <x:v>메타몽</x:v>
      </x:c>
      <x:c r="C136" s="56" t="str">
        <x:v>ditto</x:v>
      </x:c>
      <x:c r="D136" s="56" t="str">
        <x:v>평원</x:v>
      </x:c>
      <x:c r="E136" s="56" t="str">
        <x:v>보통</x:v>
      </x:c>
      <x:c r="F136" s="56" t="str">
        <x:v>아니오</x:v>
      </x:c>
      <x:c r="G136" s="56" t="str">
        <x:v>아니오</x:v>
      </x:c>
      <x:c r="H136" s="56" t="str">
        <x:v>예</x:v>
      </x:c>
      <x:c r="I136" s="56" t="str">
        <x:v>—</x:v>
      </x:c>
      <x:c r="J136" s="57" t="str">
        <x:v>포함</x:v>
      </x:c>
      <x:c r="K136" s="57" t="str">
        <x:v>포함</x:v>
      </x:c>
      <x:c r="L136" s="57" t="str">
        <x:v>—</x:v>
      </x:c>
      <x:c r="M136" s="57" t="str">
        <x:v>—</x:v>
      </x:c>
      <x:c r="N136" s="57" t="str">
        <x:v>포함</x:v>
      </x:c>
      <x:c r="O136" s="57" t="str">
        <x:v>포함</x:v>
      </x:c>
      <x:c r="P136" s="57" t="str">
        <x:v>포함</x:v>
      </x:c>
      <x:c r="Q136" s="57" t="str">
        <x:v>포함</x:v>
      </x:c>
      <x:c r="R136" s="57" t="str">
        <x:v>포함</x:v>
      </x:c>
    </x:row>
    <x:row r="137">
      <x:c r="A137" s="60" t="n">
        <x:v>133</x:v>
      </x:c>
      <x:c r="B137" s="56" t="str">
        <x:v>이브이</x:v>
      </x:c>
      <x:c r="C137" s="56" t="str">
        <x:v>eevee</x:v>
      </x:c>
      <x:c r="D137" s="56" t="str">
        <x:v>평원</x:v>
      </x:c>
      <x:c r="E137" s="56" t="str">
        <x:v>보통</x:v>
      </x:c>
      <x:c r="F137" s="56" t="str">
        <x:v>아니오</x:v>
      </x:c>
      <x:c r="G137" s="56" t="str">
        <x:v>아니오</x:v>
      </x:c>
      <x:c r="H137" s="56" t="str">
        <x:v>예</x:v>
      </x:c>
      <x:c r="I137" s="56" t="str">
        <x:v>—</x:v>
      </x:c>
      <x:c r="J137" s="57" t="str">
        <x:v>포함</x:v>
      </x:c>
      <x:c r="K137" s="57" t="str">
        <x:v>포함</x:v>
      </x:c>
      <x:c r="L137" s="57" t="str">
        <x:v>—</x:v>
      </x:c>
      <x:c r="M137" s="57" t="str">
        <x:v>포함</x:v>
      </x:c>
      <x:c r="N137" s="57" t="str">
        <x:v>포함</x:v>
      </x:c>
      <x:c r="O137" s="57" t="str">
        <x:v>포함</x:v>
      </x:c>
      <x:c r="P137" s="57" t="str">
        <x:v>포함</x:v>
      </x:c>
      <x:c r="Q137" s="57" t="str">
        <x:v>포함</x:v>
      </x:c>
      <x:c r="R137" s="57" t="str">
        <x:v>포함</x:v>
      </x:c>
    </x:row>
    <x:row r="138">
      <x:c r="A138" s="60" t="n">
        <x:v>134</x:v>
      </x:c>
      <x:c r="B138" s="56" t="str">
        <x:v>샤미드</x:v>
      </x:c>
      <x:c r="C138" s="56" t="str">
        <x:v>vaporeon</x:v>
      </x:c>
      <x:c r="D138" s="56" t="str">
        <x:v>담수</x:v>
      </x:c>
      <x:c r="E138" s="56" t="str">
        <x:v>보통</x:v>
      </x:c>
      <x:c r="F138" s="56" t="str">
        <x:v>아니오</x:v>
      </x:c>
      <x:c r="G138" s="56" t="str">
        <x:v>아니오</x:v>
      </x:c>
      <x:c r="H138" s="56" t="str">
        <x:v>예</x:v>
      </x:c>
      <x:c r="I138" s="56" t="str">
        <x:v>—</x:v>
      </x:c>
      <x:c r="J138" s="57" t="str">
        <x:v>포함</x:v>
      </x:c>
      <x:c r="K138" s="57" t="str">
        <x:v>포함</x:v>
      </x:c>
      <x:c r="L138" s="57" t="str">
        <x:v>—</x:v>
      </x:c>
      <x:c r="M138" s="57" t="str">
        <x:v>포함</x:v>
      </x:c>
      <x:c r="N138" s="57" t="str">
        <x:v>포함</x:v>
      </x:c>
      <x:c r="O138" s="57" t="str">
        <x:v>포함</x:v>
      </x:c>
      <x:c r="P138" s="57" t="str">
        <x:v>포함</x:v>
      </x:c>
      <x:c r="Q138" s="57" t="str">
        <x:v>포함</x:v>
      </x:c>
      <x:c r="R138" s="57" t="str">
        <x:v>포함</x:v>
      </x:c>
    </x:row>
    <x:row r="139">
      <x:c r="A139" s="60" t="n">
        <x:v>135</x:v>
      </x:c>
      <x:c r="B139" s="56" t="str">
        <x:v>쥬피썬더</x:v>
      </x:c>
      <x:c r="C139" s="56" t="str">
        <x:v>jolteon</x:v>
      </x:c>
      <x:c r="D139" s="56" t="str">
        <x:v>평원</x:v>
      </x:c>
      <x:c r="E139" s="56" t="str">
        <x:v>보통</x:v>
      </x:c>
      <x:c r="F139" s="56" t="str">
        <x:v>아니오</x:v>
      </x:c>
      <x:c r="G139" s="56" t="str">
        <x:v>아니오</x:v>
      </x:c>
      <x:c r="H139" s="56" t="str">
        <x:v>예</x:v>
      </x:c>
      <x:c r="I139" s="56" t="str">
        <x:v>—</x:v>
      </x:c>
      <x:c r="J139" s="57" t="str">
        <x:v>포함</x:v>
      </x:c>
      <x:c r="K139" s="57" t="str">
        <x:v>포함</x:v>
      </x:c>
      <x:c r="L139" s="57" t="str">
        <x:v>—</x:v>
      </x:c>
      <x:c r="M139" s="57" t="str">
        <x:v>포함</x:v>
      </x:c>
      <x:c r="N139" s="57" t="str">
        <x:v>포함</x:v>
      </x:c>
      <x:c r="O139" s="57" t="str">
        <x:v>포함</x:v>
      </x:c>
      <x:c r="P139" s="57" t="str">
        <x:v>포함</x:v>
      </x:c>
      <x:c r="Q139" s="57" t="str">
        <x:v>포함</x:v>
      </x:c>
      <x:c r="R139" s="57" t="str">
        <x:v>포함</x:v>
      </x:c>
    </x:row>
    <x:row r="140">
      <x:c r="A140" s="60" t="n">
        <x:v>136</x:v>
      </x:c>
      <x:c r="B140" s="56" t="str">
        <x:v>부스터</x:v>
      </x:c>
      <x:c r="C140" s="56" t="str">
        <x:v>flareon</x:v>
      </x:c>
      <x:c r="D140" s="56" t="str">
        <x:v>건조지</x:v>
      </x:c>
      <x:c r="E140" s="56" t="str">
        <x:v>보통</x:v>
      </x:c>
      <x:c r="F140" s="56" t="str">
        <x:v>아니오</x:v>
      </x:c>
      <x:c r="G140" s="56" t="str">
        <x:v>아니오</x:v>
      </x:c>
      <x:c r="H140" s="56" t="str">
        <x:v>예</x:v>
      </x:c>
      <x:c r="I140" s="56" t="str">
        <x:v>—</x:v>
      </x:c>
      <x:c r="J140" s="57" t="str">
        <x:v>포함</x:v>
      </x:c>
      <x:c r="K140" s="57" t="str">
        <x:v>포함</x:v>
      </x:c>
      <x:c r="L140" s="57" t="str">
        <x:v>—</x:v>
      </x:c>
      <x:c r="M140" s="57" t="str">
        <x:v>포함</x:v>
      </x:c>
      <x:c r="N140" s="57" t="str">
        <x:v>포함</x:v>
      </x:c>
      <x:c r="O140" s="57" t="str">
        <x:v>포함</x:v>
      </x:c>
      <x:c r="P140" s="57" t="str">
        <x:v>포함</x:v>
      </x:c>
      <x:c r="Q140" s="57" t="str">
        <x:v>포함</x:v>
      </x:c>
      <x:c r="R140" s="57" t="str">
        <x:v>포함</x:v>
      </x:c>
    </x:row>
    <x:row r="141">
      <x:c r="A141" s="60" t="n">
        <x:v>137</x:v>
      </x:c>
      <x:c r="B141" s="56" t="str">
        <x:v>폴리곤</x:v>
      </x:c>
      <x:c r="C141" s="56" t="str">
        <x:v>porygon</x:v>
      </x:c>
      <x:c r="D141" s="56" t="str">
        <x:v>도시</x:v>
      </x:c>
      <x:c r="E141" s="56" t="str">
        <x:v>보통</x:v>
      </x:c>
      <x:c r="F141" s="56" t="str">
        <x:v>아니오</x:v>
      </x:c>
      <x:c r="G141" s="56" t="str">
        <x:v>아니오</x:v>
      </x:c>
      <x:c r="H141" s="56" t="str">
        <x:v>예</x:v>
      </x:c>
      <x:c r="I141" s="56" t="str">
        <x:v>—</x:v>
      </x:c>
      <x:c r="J141" s="57" t="str">
        <x:v>포함</x:v>
      </x:c>
      <x:c r="K141" s="57" t="str">
        <x:v>포함</x:v>
      </x:c>
      <x:c r="L141" s="57" t="str">
        <x:v>—</x:v>
      </x:c>
      <x:c r="M141" s="57" t="str">
        <x:v>포함</x:v>
      </x:c>
      <x:c r="N141" s="57" t="str">
        <x:v>—</x:v>
      </x:c>
      <x:c r="O141" s="57" t="str">
        <x:v>—</x:v>
      </x:c>
      <x:c r="P141" s="57" t="str">
        <x:v>포함</x:v>
      </x:c>
      <x:c r="Q141" s="57" t="str">
        <x:v>포함</x:v>
      </x:c>
      <x:c r="R141" s="57" t="str">
        <x:v>포함</x:v>
      </x:c>
    </x:row>
    <x:row r="142">
      <x:c r="A142" s="60" t="n">
        <x:v>138</x:v>
      </x:c>
      <x:c r="B142" s="56" t="str">
        <x:v>암나이트</x:v>
      </x:c>
      <x:c r="C142" s="56" t="str">
        <x:v>omanyte</x:v>
      </x:c>
      <x:c r="D142" s="56" t="str">
        <x:v>산악</x:v>
      </x:c>
      <x:c r="E142" s="56" t="str">
        <x:v>희귀</x:v>
      </x:c>
      <x:c r="F142" s="56" t="str">
        <x:v>아니오</x:v>
      </x:c>
      <x:c r="G142" s="56" t="str">
        <x:v>아니오</x:v>
      </x:c>
      <x:c r="H142" s="56" t="str">
        <x:v>예</x:v>
      </x:c>
      <x:c r="I142" s="56" t="str">
        <x:v>—</x:v>
      </x:c>
      <x:c r="J142" s="57" t="str">
        <x:v>포함</x:v>
      </x:c>
      <x:c r="K142" s="57" t="str">
        <x:v>포함</x:v>
      </x:c>
      <x:c r="L142" s="57" t="str">
        <x:v>—</x:v>
      </x:c>
      <x:c r="M142" s="57" t="str">
        <x:v>—</x:v>
      </x:c>
      <x:c r="N142" s="57" t="str">
        <x:v>—</x:v>
      </x:c>
      <x:c r="O142" s="57" t="str">
        <x:v>—</x:v>
      </x:c>
      <x:c r="P142" s="57" t="str">
        <x:v>포함</x:v>
      </x:c>
      <x:c r="Q142" s="57" t="str">
        <x:v>포함</x:v>
      </x:c>
      <x:c r="R142" s="57" t="str">
        <x:v>—</x:v>
      </x:c>
    </x:row>
    <x:row r="143">
      <x:c r="A143" s="60" t="n">
        <x:v>139</x:v>
      </x:c>
      <x:c r="B143" s="56" t="str">
        <x:v>암스타</x:v>
      </x:c>
      <x:c r="C143" s="56" t="str">
        <x:v>omastar</x:v>
      </x:c>
      <x:c r="D143" s="56" t="str">
        <x:v>산악</x:v>
      </x:c>
      <x:c r="E143" s="56" t="str">
        <x:v>희귀</x:v>
      </x:c>
      <x:c r="F143" s="56" t="str">
        <x:v>아니오</x:v>
      </x:c>
      <x:c r="G143" s="56" t="str">
        <x:v>아니오</x:v>
      </x:c>
      <x:c r="H143" s="56" t="str">
        <x:v>예</x:v>
      </x:c>
      <x:c r="I143" s="56" t="str">
        <x:v>—</x:v>
      </x:c>
      <x:c r="J143" s="57" t="str">
        <x:v>포함</x:v>
      </x:c>
      <x:c r="K143" s="57" t="str">
        <x:v>포함</x:v>
      </x:c>
      <x:c r="L143" s="57" t="str">
        <x:v>—</x:v>
      </x:c>
      <x:c r="M143" s="57" t="str">
        <x:v>—</x:v>
      </x:c>
      <x:c r="N143" s="57" t="str">
        <x:v>—</x:v>
      </x:c>
      <x:c r="O143" s="57" t="str">
        <x:v>—</x:v>
      </x:c>
      <x:c r="P143" s="57" t="str">
        <x:v>포함</x:v>
      </x:c>
      <x:c r="Q143" s="57" t="str">
        <x:v>포함</x:v>
      </x:c>
      <x:c r="R143" s="57" t="str">
        <x:v>—</x:v>
      </x:c>
    </x:row>
    <x:row r="144">
      <x:c r="A144" s="60" t="n">
        <x:v>140</x:v>
      </x:c>
      <x:c r="B144" s="56" t="str">
        <x:v>투구</x:v>
      </x:c>
      <x:c r="C144" s="56" t="str">
        <x:v>kabuto</x:v>
      </x:c>
      <x:c r="D144" s="56" t="str">
        <x:v>산악</x:v>
      </x:c>
      <x:c r="E144" s="56" t="str">
        <x:v>희귀</x:v>
      </x:c>
      <x:c r="F144" s="56" t="str">
        <x:v>아니오</x:v>
      </x:c>
      <x:c r="G144" s="56" t="str">
        <x:v>아니오</x:v>
      </x:c>
      <x:c r="H144" s="56" t="str">
        <x:v>예</x:v>
      </x:c>
      <x:c r="I144" s="56" t="str">
        <x:v>—</x:v>
      </x:c>
      <x:c r="J144" s="57" t="str">
        <x:v>포함</x:v>
      </x:c>
      <x:c r="K144" s="57" t="str">
        <x:v>포함</x:v>
      </x:c>
      <x:c r="L144" s="57" t="str">
        <x:v>—</x:v>
      </x:c>
      <x:c r="M144" s="57" t="str">
        <x:v>—</x:v>
      </x:c>
      <x:c r="N144" s="57" t="str">
        <x:v>—</x:v>
      </x:c>
      <x:c r="O144" s="57" t="str">
        <x:v>—</x:v>
      </x:c>
      <x:c r="P144" s="57" t="str">
        <x:v>포함</x:v>
      </x:c>
      <x:c r="Q144" s="57" t="str">
        <x:v>포함</x:v>
      </x:c>
      <x:c r="R144" s="57" t="str">
        <x:v>—</x:v>
      </x:c>
    </x:row>
    <x:row r="145">
      <x:c r="A145" s="60" t="n">
        <x:v>141</x:v>
      </x:c>
      <x:c r="B145" s="56" t="str">
        <x:v>투구푸스</x:v>
      </x:c>
      <x:c r="C145" s="56" t="str">
        <x:v>kabutops</x:v>
      </x:c>
      <x:c r="D145" s="56" t="str">
        <x:v>산악</x:v>
      </x:c>
      <x:c r="E145" s="56" t="str">
        <x:v>희귀</x:v>
      </x:c>
      <x:c r="F145" s="56" t="str">
        <x:v>아니오</x:v>
      </x:c>
      <x:c r="G145" s="56" t="str">
        <x:v>아니오</x:v>
      </x:c>
      <x:c r="H145" s="56" t="str">
        <x:v>예</x:v>
      </x:c>
      <x:c r="I145" s="56" t="str">
        <x:v>—</x:v>
      </x:c>
      <x:c r="J145" s="57" t="str">
        <x:v>포함</x:v>
      </x:c>
      <x:c r="K145" s="57" t="str">
        <x:v>포함</x:v>
      </x:c>
      <x:c r="L145" s="57" t="str">
        <x:v>—</x:v>
      </x:c>
      <x:c r="M145" s="57" t="str">
        <x:v>—</x:v>
      </x:c>
      <x:c r="N145" s="57" t="str">
        <x:v>—</x:v>
      </x:c>
      <x:c r="O145" s="57" t="str">
        <x:v>—</x:v>
      </x:c>
      <x:c r="P145" s="57" t="str">
        <x:v>포함</x:v>
      </x:c>
      <x:c r="Q145" s="57" t="str">
        <x:v>포함</x:v>
      </x:c>
      <x:c r="R145" s="57" t="str">
        <x:v>—</x:v>
      </x:c>
    </x:row>
    <x:row r="146">
      <x:c r="A146" s="60" t="n">
        <x:v>142</x:v>
      </x:c>
      <x:c r="B146" s="56" t="str">
        <x:v>프테라</x:v>
      </x:c>
      <x:c r="C146" s="56" t="str">
        <x:v>aerodactyl</x:v>
      </x:c>
      <x:c r="D146" s="56" t="str">
        <x:v>산악</x:v>
      </x:c>
      <x:c r="E146" s="56" t="str">
        <x:v>희귀</x:v>
      </x:c>
      <x:c r="F146" s="56" t="str">
        <x:v>아니오</x:v>
      </x:c>
      <x:c r="G146" s="56" t="str">
        <x:v>아니오</x:v>
      </x:c>
      <x:c r="H146" s="56" t="str">
        <x:v>예</x:v>
      </x:c>
      <x:c r="I146" s="56" t="str">
        <x:v>—</x:v>
      </x:c>
      <x:c r="J146" s="57" t="str">
        <x:v>포함</x:v>
      </x:c>
      <x:c r="K146" s="57" t="str">
        <x:v>포함</x:v>
      </x:c>
      <x:c r="L146" s="57" t="str">
        <x:v>—</x:v>
      </x:c>
      <x:c r="M146" s="57" t="str">
        <x:v>—</x:v>
      </x:c>
      <x:c r="N146" s="57" t="str">
        <x:v>—</x:v>
      </x:c>
      <x:c r="O146" s="57" t="str">
        <x:v>포함</x:v>
      </x:c>
      <x:c r="P146" s="57" t="str">
        <x:v>포함</x:v>
      </x:c>
      <x:c r="Q146" s="57" t="str">
        <x:v>포함</x:v>
      </x:c>
      <x:c r="R146" s="57" t="str">
        <x:v>—</x:v>
      </x:c>
    </x:row>
    <x:row r="147">
      <x:c r="A147" s="60" t="n">
        <x:v>143</x:v>
      </x:c>
      <x:c r="B147" s="56" t="str">
        <x:v>잠만보</x:v>
      </x:c>
      <x:c r="C147" s="56" t="str">
        <x:v>snorlax</x:v>
      </x:c>
      <x:c r="D147" s="56" t="str">
        <x:v>숲</x:v>
      </x:c>
      <x:c r="E147" s="56" t="str">
        <x:v>보통</x:v>
      </x:c>
      <x:c r="F147" s="56" t="str">
        <x:v>아니오</x:v>
      </x:c>
      <x:c r="G147" s="56" t="str">
        <x:v>아니오</x:v>
      </x:c>
      <x:c r="H147" s="56" t="str">
        <x:v>예</x:v>
      </x:c>
      <x:c r="I147" s="56" t="str">
        <x:v>—</x:v>
      </x:c>
      <x:c r="J147" s="57" t="str">
        <x:v>포함</x:v>
      </x:c>
      <x:c r="K147" s="57" t="str">
        <x:v>포함</x:v>
      </x:c>
      <x:c r="L147" s="57" t="str">
        <x:v>—</x:v>
      </x:c>
      <x:c r="M147" s="57" t="str">
        <x:v>포함</x:v>
      </x:c>
      <x:c r="N147" s="57" t="str">
        <x:v>—</x:v>
      </x:c>
      <x:c r="O147" s="57" t="str">
        <x:v>포함</x:v>
      </x:c>
      <x:c r="P147" s="57" t="str">
        <x:v>포함</x:v>
      </x:c>
      <x:c r="Q147" s="57" t="str">
        <x:v>포함</x:v>
      </x:c>
      <x:c r="R147" s="57" t="str">
        <x:v>포함</x:v>
      </x:c>
    </x:row>
    <x:row r="148">
      <x:c r="A148" s="60" t="n">
        <x:v>144</x:v>
      </x:c>
      <x:c r="B148" s="56" t="str">
        <x:v>프리져</x:v>
      </x:c>
      <x:c r="C148" s="56" t="str">
        <x:v>articuno</x:v>
      </x:c>
      <x:c r="D148" s="56" t="str">
        <x:v>설원</x:v>
      </x:c>
      <x:c r="E148" s="56" t="str">
        <x:v>전설</x:v>
      </x:c>
      <x:c r="F148" s="56" t="str">
        <x:v>예</x:v>
      </x:c>
      <x:c r="G148" s="56" t="str">
        <x:v>아니오</x:v>
      </x:c>
      <x:c r="H148" s="56" t="str">
        <x:v>아니오</x:v>
      </x:c>
      <x:c r="I148" s="56" t="str">
        <x:v>전설</x:v>
      </x:c>
      <x:c r="J148" s="57" t="str">
        <x:v>포함</x:v>
      </x:c>
      <x:c r="K148" s="57" t="str">
        <x:v>포함</x:v>
      </x:c>
      <x:c r="L148" s="57" t="str">
        <x:v>—</x:v>
      </x:c>
      <x:c r="M148" s="57" t="str">
        <x:v>—</x:v>
      </x:c>
      <x:c r="N148" s="57" t="str">
        <x:v>—</x:v>
      </x:c>
      <x:c r="O148" s="57" t="str">
        <x:v>포함</x:v>
      </x:c>
      <x:c r="P148" s="57" t="str">
        <x:v>—</x:v>
      </x:c>
      <x:c r="Q148" s="57" t="str">
        <x:v>포함</x:v>
      </x:c>
      <x:c r="R148" s="57" t="str">
        <x:v>—</x:v>
      </x:c>
    </x:row>
    <x:row r="149">
      <x:c r="A149" s="60" t="n">
        <x:v>145</x:v>
      </x:c>
      <x:c r="B149" s="56" t="str">
        <x:v>썬더</x:v>
      </x:c>
      <x:c r="C149" s="56" t="str">
        <x:v>zapdos</x:v>
      </x:c>
      <x:c r="D149" s="56" t="str">
        <x:v>평원</x:v>
      </x:c>
      <x:c r="E149" s="56" t="str">
        <x:v>전설</x:v>
      </x:c>
      <x:c r="F149" s="56" t="str">
        <x:v>예</x:v>
      </x:c>
      <x:c r="G149" s="56" t="str">
        <x:v>아니오</x:v>
      </x:c>
      <x:c r="H149" s="56" t="str">
        <x:v>아니오</x:v>
      </x:c>
      <x:c r="I149" s="56" t="str">
        <x:v>전설</x:v>
      </x:c>
      <x:c r="J149" s="57" t="str">
        <x:v>포함</x:v>
      </x:c>
      <x:c r="K149" s="57" t="str">
        <x:v>포함</x:v>
      </x:c>
      <x:c r="L149" s="57" t="str">
        <x:v>—</x:v>
      </x:c>
      <x:c r="M149" s="57" t="str">
        <x:v>—</x:v>
      </x:c>
      <x:c r="N149" s="57" t="str">
        <x:v>—</x:v>
      </x:c>
      <x:c r="O149" s="57" t="str">
        <x:v>포함</x:v>
      </x:c>
      <x:c r="P149" s="57" t="str">
        <x:v>—</x:v>
      </x:c>
      <x:c r="Q149" s="57" t="str">
        <x:v>포함</x:v>
      </x:c>
      <x:c r="R149" s="57" t="str">
        <x:v>—</x:v>
      </x:c>
    </x:row>
    <x:row r="150">
      <x:c r="A150" s="60" t="n">
        <x:v>146</x:v>
      </x:c>
      <x:c r="B150" s="56" t="str">
        <x:v>파이어</x:v>
      </x:c>
      <x:c r="C150" s="56" t="str">
        <x:v>moltres</x:v>
      </x:c>
      <x:c r="D150" s="56" t="str">
        <x:v>평원</x:v>
      </x:c>
      <x:c r="E150" s="56" t="str">
        <x:v>전설</x:v>
      </x:c>
      <x:c r="F150" s="56" t="str">
        <x:v>예</x:v>
      </x:c>
      <x:c r="G150" s="56" t="str">
        <x:v>아니오</x:v>
      </x:c>
      <x:c r="H150" s="56" t="str">
        <x:v>아니오</x:v>
      </x:c>
      <x:c r="I150" s="56" t="str">
        <x:v>전설</x:v>
      </x:c>
      <x:c r="J150" s="57" t="str">
        <x:v>포함</x:v>
      </x:c>
      <x:c r="K150" s="57" t="str">
        <x:v>포함</x:v>
      </x:c>
      <x:c r="L150" s="57" t="str">
        <x:v>—</x:v>
      </x:c>
      <x:c r="M150" s="57" t="str">
        <x:v>—</x:v>
      </x:c>
      <x:c r="N150" s="57" t="str">
        <x:v>—</x:v>
      </x:c>
      <x:c r="O150" s="57" t="str">
        <x:v>포함</x:v>
      </x:c>
      <x:c r="P150" s="57" t="str">
        <x:v>—</x:v>
      </x:c>
      <x:c r="Q150" s="57" t="str">
        <x:v>포함</x:v>
      </x:c>
      <x:c r="R150" s="57" t="str">
        <x:v>—</x:v>
      </x:c>
    </x:row>
    <x:row r="151">
      <x:c r="A151" s="60" t="n">
        <x:v>147</x:v>
      </x:c>
      <x:c r="B151" s="56" t="str">
        <x:v>미뇽</x:v>
      </x:c>
      <x:c r="C151" s="56" t="str">
        <x:v>dratini</x:v>
      </x:c>
      <x:c r="D151" s="56" t="str">
        <x:v>해양</x:v>
      </x:c>
      <x:c r="E151" s="56" t="str">
        <x:v>보통</x:v>
      </x:c>
      <x:c r="F151" s="56" t="str">
        <x:v>아니오</x:v>
      </x:c>
      <x:c r="G151" s="56" t="str">
        <x:v>아니오</x:v>
      </x:c>
      <x:c r="H151" s="56" t="str">
        <x:v>예</x:v>
      </x:c>
      <x:c r="I151" s="56" t="str">
        <x:v>—</x:v>
      </x:c>
      <x:c r="J151" s="57" t="str">
        <x:v>포함</x:v>
      </x:c>
      <x:c r="K151" s="57" t="str">
        <x:v>포함</x:v>
      </x:c>
      <x:c r="L151" s="57" t="str">
        <x:v>—</x:v>
      </x:c>
      <x:c r="M151" s="57" t="str">
        <x:v>—</x:v>
      </x:c>
      <x:c r="N151" s="57" t="str">
        <x:v>—</x:v>
      </x:c>
      <x:c r="O151" s="57" t="str">
        <x:v>포함</x:v>
      </x:c>
      <x:c r="P151" s="57" t="str">
        <x:v>포함</x:v>
      </x:c>
      <x:c r="Q151" s="57" t="str">
        <x:v>포함</x:v>
      </x:c>
      <x:c r="R151" s="57" t="str">
        <x:v>포함</x:v>
      </x:c>
    </x:row>
    <x:row r="152">
      <x:c r="A152" s="60" t="n">
        <x:v>148</x:v>
      </x:c>
      <x:c r="B152" s="56" t="str">
        <x:v>신뇽</x:v>
      </x:c>
      <x:c r="C152" s="56" t="str">
        <x:v>dragonair</x:v>
      </x:c>
      <x:c r="D152" s="56" t="str">
        <x:v>해양</x:v>
      </x:c>
      <x:c r="E152" s="56" t="str">
        <x:v>보통</x:v>
      </x:c>
      <x:c r="F152" s="56" t="str">
        <x:v>아니오</x:v>
      </x:c>
      <x:c r="G152" s="56" t="str">
        <x:v>아니오</x:v>
      </x:c>
      <x:c r="H152" s="56" t="str">
        <x:v>예</x:v>
      </x:c>
      <x:c r="I152" s="56" t="str">
        <x:v>—</x:v>
      </x:c>
      <x:c r="J152" s="57" t="str">
        <x:v>포함</x:v>
      </x:c>
      <x:c r="K152" s="57" t="str">
        <x:v>포함</x:v>
      </x:c>
      <x:c r="L152" s="57" t="str">
        <x:v>—</x:v>
      </x:c>
      <x:c r="M152" s="57" t="str">
        <x:v>—</x:v>
      </x:c>
      <x:c r="N152" s="57" t="str">
        <x:v>—</x:v>
      </x:c>
      <x:c r="O152" s="57" t="str">
        <x:v>포함</x:v>
      </x:c>
      <x:c r="P152" s="57" t="str">
        <x:v>포함</x:v>
      </x:c>
      <x:c r="Q152" s="57" t="str">
        <x:v>포함</x:v>
      </x:c>
      <x:c r="R152" s="57" t="str">
        <x:v>포함</x:v>
      </x:c>
    </x:row>
    <x:row r="153">
      <x:c r="A153" s="60" t="n">
        <x:v>149</x:v>
      </x:c>
      <x:c r="B153" s="56" t="str">
        <x:v>망나뇽</x:v>
      </x:c>
      <x:c r="C153" s="56" t="str">
        <x:v>dragonite</x:v>
      </x:c>
      <x:c r="D153" s="56" t="str">
        <x:v>해양</x:v>
      </x:c>
      <x:c r="E153" s="56" t="str">
        <x:v>보통</x:v>
      </x:c>
      <x:c r="F153" s="56" t="str">
        <x:v>아니오</x:v>
      </x:c>
      <x:c r="G153" s="56" t="str">
        <x:v>아니오</x:v>
      </x:c>
      <x:c r="H153" s="56" t="str">
        <x:v>예</x:v>
      </x:c>
      <x:c r="I153" s="56" t="str">
        <x:v>—</x:v>
      </x:c>
      <x:c r="J153" s="57" t="str">
        <x:v>포함</x:v>
      </x:c>
      <x:c r="K153" s="57" t="str">
        <x:v>포함</x:v>
      </x:c>
      <x:c r="L153" s="57" t="str">
        <x:v>—</x:v>
      </x:c>
      <x:c r="M153" s="57" t="str">
        <x:v>—</x:v>
      </x:c>
      <x:c r="N153" s="57" t="str">
        <x:v>—</x:v>
      </x:c>
      <x:c r="O153" s="57" t="str">
        <x:v>포함</x:v>
      </x:c>
      <x:c r="P153" s="57" t="str">
        <x:v>포함</x:v>
      </x:c>
      <x:c r="Q153" s="57" t="str">
        <x:v>포함</x:v>
      </x:c>
      <x:c r="R153" s="57" t="str">
        <x:v>포함</x:v>
      </x:c>
    </x:row>
    <x:row r="154">
      <x:c r="A154" s="60" t="n">
        <x:v>150</x:v>
      </x:c>
      <x:c r="B154" s="56" t="str">
        <x:v>뮤츠</x:v>
      </x:c>
      <x:c r="C154" s="56" t="str">
        <x:v>mewtwo</x:v>
      </x:c>
      <x:c r="D154" s="56" t="str">
        <x:v>도시</x:v>
      </x:c>
      <x:c r="E154" s="56" t="str">
        <x:v>전설</x:v>
      </x:c>
      <x:c r="F154" s="56" t="str">
        <x:v>예</x:v>
      </x:c>
      <x:c r="G154" s="56" t="str">
        <x:v>아니오</x:v>
      </x:c>
      <x:c r="H154" s="56" t="str">
        <x:v>아니오</x:v>
      </x:c>
      <x:c r="I154" s="56" t="str">
        <x:v>전설</x:v>
      </x:c>
      <x:c r="J154" s="57" t="str">
        <x:v>포함</x:v>
      </x:c>
      <x:c r="K154" s="57" t="str">
        <x:v>포함</x:v>
      </x:c>
      <x:c r="L154" s="57" t="str">
        <x:v>—</x:v>
      </x:c>
      <x:c r="M154" s="57" t="str">
        <x:v>—</x:v>
      </x:c>
      <x:c r="N154" s="57" t="str">
        <x:v>—</x:v>
      </x:c>
      <x:c r="O154" s="57" t="str">
        <x:v>포함</x:v>
      </x:c>
      <x:c r="P154" s="57" t="str">
        <x:v>—</x:v>
      </x:c>
      <x:c r="Q154" s="57" t="str">
        <x:v>—</x:v>
      </x:c>
      <x:c r="R154" s="57" t="str">
        <x:v>—</x:v>
      </x:c>
    </x:row>
    <x:row r="155">
      <x:c r="A155" s="60" t="n">
        <x:v>151</x:v>
      </x:c>
      <x:c r="B155" s="56" t="str">
        <x:v>뮤</x:v>
      </x:c>
      <x:c r="C155" s="56" t="str">
        <x:v>mew</x:v>
      </x:c>
      <x:c r="D155" s="56" t="str">
        <x:v>특수</x:v>
      </x:c>
      <x:c r="E155" s="56" t="str">
        <x:v>전설</x:v>
      </x:c>
      <x:c r="F155" s="56" t="str">
        <x:v>아니오</x:v>
      </x:c>
      <x:c r="G155" s="56" t="str">
        <x:v>예</x:v>
      </x:c>
      <x:c r="H155" s="56" t="str">
        <x:v>아니오</x:v>
      </x:c>
      <x:c r="I155" s="56" t="str">
        <x:v>환상</x:v>
      </x:c>
      <x:c r="J155" s="57" t="str">
        <x:v>포함</x:v>
      </x:c>
      <x:c r="K155" s="57" t="str">
        <x:v>포함</x:v>
      </x:c>
      <x:c r="L155" s="57" t="str">
        <x:v>—</x:v>
      </x:c>
      <x:c r="M155" s="57" t="str">
        <x:v>—</x:v>
      </x:c>
      <x:c r="N155" s="57" t="str">
        <x:v>—</x:v>
      </x:c>
      <x:c r="O155" s="57" t="str">
        <x:v>—</x:v>
      </x:c>
      <x:c r="P155" s="57" t="str">
        <x:v>—</x:v>
      </x:c>
      <x:c r="Q155" s="57" t="str">
        <x:v>—</x:v>
      </x:c>
      <x:c r="R155" s="57" t="str">
        <x:v>—</x:v>
      </x:c>
    </x:row>
    <x:row r="156">
      <x:c r="A156" s="60" t="n">
        <x:v>152</x:v>
      </x:c>
      <x:c r="B156" s="56" t="str">
        <x:v>치코리타</x:v>
      </x:c>
      <x:c r="C156" s="56" t="str">
        <x:v>chikorita</x:v>
      </x:c>
      <x:c r="D156" s="56" t="str">
        <x:v>평원</x:v>
      </x:c>
      <x:c r="E156" s="56" t="str">
        <x:v>희귀</x:v>
      </x:c>
      <x:c r="F156" s="56" t="str">
        <x:v>아니오</x:v>
      </x:c>
      <x:c r="G156" s="56" t="str">
        <x:v>아니오</x:v>
      </x:c>
      <x:c r="H156" s="56" t="str">
        <x:v>예</x:v>
      </x:c>
      <x:c r="I156" s="56" t="str">
        <x:v>—</x:v>
      </x:c>
      <x:c r="J156" s="57" t="str">
        <x:v>—</x:v>
      </x:c>
      <x:c r="K156" s="57" t="str">
        <x:v>포함</x:v>
      </x:c>
      <x:c r="L156" s="57" t="str">
        <x:v>—</x:v>
      </x:c>
      <x:c r="M156" s="57" t="str">
        <x:v>—</x:v>
      </x:c>
      <x:c r="N156" s="57" t="str">
        <x:v>—</x:v>
      </x:c>
      <x:c r="O156" s="57" t="str">
        <x:v>—</x:v>
      </x:c>
      <x:c r="P156" s="57" t="str">
        <x:v>—</x:v>
      </x:c>
      <x:c r="Q156" s="57" t="str">
        <x:v>—</x:v>
      </x:c>
      <x:c r="R156" s="57" t="str">
        <x:v>포함</x:v>
      </x:c>
    </x:row>
    <x:row r="157">
      <x:c r="A157" s="60" t="n">
        <x:v>153</x:v>
      </x:c>
      <x:c r="B157" s="56" t="str">
        <x:v>베이리프</x:v>
      </x:c>
      <x:c r="C157" s="56" t="str">
        <x:v>bayleef</x:v>
      </x:c>
      <x:c r="D157" s="56" t="str">
        <x:v>평원</x:v>
      </x:c>
      <x:c r="E157" s="56" t="str">
        <x:v>희귀</x:v>
      </x:c>
      <x:c r="F157" s="56" t="str">
        <x:v>아니오</x:v>
      </x:c>
      <x:c r="G157" s="56" t="str">
        <x:v>아니오</x:v>
      </x:c>
      <x:c r="H157" s="56" t="str">
        <x:v>예</x:v>
      </x:c>
      <x:c r="I157" s="56" t="str">
        <x:v>—</x:v>
      </x:c>
      <x:c r="J157" s="57" t="str">
        <x:v>—</x:v>
      </x:c>
      <x:c r="K157" s="57" t="str">
        <x:v>포함</x:v>
      </x:c>
      <x:c r="L157" s="57" t="str">
        <x:v>—</x:v>
      </x:c>
      <x:c r="M157" s="57" t="str">
        <x:v>—</x:v>
      </x:c>
      <x:c r="N157" s="57" t="str">
        <x:v>—</x:v>
      </x:c>
      <x:c r="O157" s="57" t="str">
        <x:v>—</x:v>
      </x:c>
      <x:c r="P157" s="57" t="str">
        <x:v>—</x:v>
      </x:c>
      <x:c r="Q157" s="57" t="str">
        <x:v>—</x:v>
      </x:c>
      <x:c r="R157" s="57" t="str">
        <x:v>포함</x:v>
      </x:c>
    </x:row>
    <x:row r="158">
      <x:c r="A158" s="60" t="n">
        <x:v>154</x:v>
      </x:c>
      <x:c r="B158" s="56" t="str">
        <x:v>메가니움</x:v>
      </x:c>
      <x:c r="C158" s="56" t="str">
        <x:v>meganium</x:v>
      </x:c>
      <x:c r="D158" s="56" t="str">
        <x:v>평원</x:v>
      </x:c>
      <x:c r="E158" s="56" t="str">
        <x:v>희귀</x:v>
      </x:c>
      <x:c r="F158" s="56" t="str">
        <x:v>아니오</x:v>
      </x:c>
      <x:c r="G158" s="56" t="str">
        <x:v>아니오</x:v>
      </x:c>
      <x:c r="H158" s="56" t="str">
        <x:v>예</x:v>
      </x:c>
      <x:c r="I158" s="56" t="str">
        <x:v>—</x:v>
      </x:c>
      <x:c r="J158" s="57" t="str">
        <x:v>—</x:v>
      </x:c>
      <x:c r="K158" s="57" t="str">
        <x:v>포함</x:v>
      </x:c>
      <x:c r="L158" s="57" t="str">
        <x:v>—</x:v>
      </x:c>
      <x:c r="M158" s="57" t="str">
        <x:v>—</x:v>
      </x:c>
      <x:c r="N158" s="57" t="str">
        <x:v>—</x:v>
      </x:c>
      <x:c r="O158" s="57" t="str">
        <x:v>—</x:v>
      </x:c>
      <x:c r="P158" s="57" t="str">
        <x:v>—</x:v>
      </x:c>
      <x:c r="Q158" s="57" t="str">
        <x:v>—</x:v>
      </x:c>
      <x:c r="R158" s="57" t="str">
        <x:v>포함</x:v>
      </x:c>
    </x:row>
    <x:row r="159">
      <x:c r="A159" s="60" t="n">
        <x:v>155</x:v>
      </x:c>
      <x:c r="B159" s="56" t="str">
        <x:v>브케인</x:v>
      </x:c>
      <x:c r="C159" s="56" t="str">
        <x:v>cyndaquil</x:v>
      </x:c>
      <x:c r="D159" s="56" t="str">
        <x:v>화산</x:v>
      </x:c>
      <x:c r="E159" s="56" t="str">
        <x:v>희귀</x:v>
      </x:c>
      <x:c r="F159" s="56" t="str">
        <x:v>아니오</x:v>
      </x:c>
      <x:c r="G159" s="56" t="str">
        <x:v>아니오</x:v>
      </x:c>
      <x:c r="H159" s="56" t="str">
        <x:v>예</x:v>
      </x:c>
      <x:c r="I159" s="56" t="str">
        <x:v>—</x:v>
      </x:c>
      <x:c r="J159" s="57" t="str">
        <x:v>—</x:v>
      </x:c>
      <x:c r="K159" s="57" t="str">
        <x:v>포함</x:v>
      </x:c>
      <x:c r="L159" s="57" t="str">
        <x:v>—</x:v>
      </x:c>
      <x:c r="M159" s="57" t="str">
        <x:v>—</x:v>
      </x:c>
      <x:c r="N159" s="57" t="str">
        <x:v>—</x:v>
      </x:c>
      <x:c r="O159" s="57" t="str">
        <x:v>—</x:v>
      </x:c>
      <x:c r="P159" s="57" t="str">
        <x:v>—</x:v>
      </x:c>
      <x:c r="Q159" s="57" t="str">
        <x:v>—</x:v>
      </x:c>
      <x:c r="R159" s="57" t="str">
        <x:v>포함</x:v>
      </x:c>
    </x:row>
    <x:row r="160">
      <x:c r="A160" s="60" t="n">
        <x:v>156</x:v>
      </x:c>
      <x:c r="B160" s="56" t="str">
        <x:v>마그케인</x:v>
      </x:c>
      <x:c r="C160" s="56" t="str">
        <x:v>quilava</x:v>
      </x:c>
      <x:c r="D160" s="56" t="str">
        <x:v>화산</x:v>
      </x:c>
      <x:c r="E160" s="56" t="str">
        <x:v>희귀</x:v>
      </x:c>
      <x:c r="F160" s="56" t="str">
        <x:v>아니오</x:v>
      </x:c>
      <x:c r="G160" s="56" t="str">
        <x:v>아니오</x:v>
      </x:c>
      <x:c r="H160" s="56" t="str">
        <x:v>예</x:v>
      </x:c>
      <x:c r="I160" s="56" t="str">
        <x:v>—</x:v>
      </x:c>
      <x:c r="J160" s="57" t="str">
        <x:v>—</x:v>
      </x:c>
      <x:c r="K160" s="57" t="str">
        <x:v>포함</x:v>
      </x:c>
      <x:c r="L160" s="57" t="str">
        <x:v>—</x:v>
      </x:c>
      <x:c r="M160" s="57" t="str">
        <x:v>—</x:v>
      </x:c>
      <x:c r="N160" s="57" t="str">
        <x:v>—</x:v>
      </x:c>
      <x:c r="O160" s="57" t="str">
        <x:v>—</x:v>
      </x:c>
      <x:c r="P160" s="57" t="str">
        <x:v>—</x:v>
      </x:c>
      <x:c r="Q160" s="57" t="str">
        <x:v>—</x:v>
      </x:c>
      <x:c r="R160" s="57" t="str">
        <x:v>포함</x:v>
      </x:c>
    </x:row>
    <x:row r="161">
      <x:c r="A161" s="60" t="n">
        <x:v>157</x:v>
      </x:c>
      <x:c r="B161" s="56" t="str">
        <x:v>블레이범</x:v>
      </x:c>
      <x:c r="C161" s="56" t="str">
        <x:v>typhlosion</x:v>
      </x:c>
      <x:c r="D161" s="56" t="str">
        <x:v>화산</x:v>
      </x:c>
      <x:c r="E161" s="56" t="str">
        <x:v>희귀</x:v>
      </x:c>
      <x:c r="F161" s="56" t="str">
        <x:v>아니오</x:v>
      </x:c>
      <x:c r="G161" s="56" t="str">
        <x:v>아니오</x:v>
      </x:c>
      <x:c r="H161" s="56" t="str">
        <x:v>예</x:v>
      </x:c>
      <x:c r="I161" s="56" t="str">
        <x:v>—</x:v>
      </x:c>
      <x:c r="J161" s="57" t="str">
        <x:v>—</x:v>
      </x:c>
      <x:c r="K161" s="57" t="str">
        <x:v>포함</x:v>
      </x:c>
      <x:c r="L161" s="57" t="str">
        <x:v>—</x:v>
      </x:c>
      <x:c r="M161" s="57" t="str">
        <x:v>—</x:v>
      </x:c>
      <x:c r="N161" s="57" t="str">
        <x:v>—</x:v>
      </x:c>
      <x:c r="O161" s="57" t="str">
        <x:v>—</x:v>
      </x:c>
      <x:c r="P161" s="57" t="str">
        <x:v>—</x:v>
      </x:c>
      <x:c r="Q161" s="57" t="str">
        <x:v>—</x:v>
      </x:c>
      <x:c r="R161" s="57" t="str">
        <x:v>포함</x:v>
      </x:c>
    </x:row>
    <x:row r="162">
      <x:c r="A162" s="60" t="n">
        <x:v>158</x:v>
      </x:c>
      <x:c r="B162" s="56" t="str">
        <x:v>리아코</x:v>
      </x:c>
      <x:c r="C162" s="56" t="str">
        <x:v>totodile</x:v>
      </x:c>
      <x:c r="D162" s="56" t="str">
        <x:v>습지</x:v>
      </x:c>
      <x:c r="E162" s="56" t="str">
        <x:v>희귀</x:v>
      </x:c>
      <x:c r="F162" s="56" t="str">
        <x:v>아니오</x:v>
      </x:c>
      <x:c r="G162" s="56" t="str">
        <x:v>아니오</x:v>
      </x:c>
      <x:c r="H162" s="56" t="str">
        <x:v>예</x:v>
      </x:c>
      <x:c r="I162" s="56" t="str">
        <x:v>—</x:v>
      </x:c>
      <x:c r="J162" s="57" t="str">
        <x:v>—</x:v>
      </x:c>
      <x:c r="K162" s="57" t="str">
        <x:v>포함</x:v>
      </x:c>
      <x:c r="L162" s="57" t="str">
        <x:v>—</x:v>
      </x:c>
      <x:c r="M162" s="57" t="str">
        <x:v>—</x:v>
      </x:c>
      <x:c r="N162" s="57" t="str">
        <x:v>—</x:v>
      </x:c>
      <x:c r="O162" s="57" t="str">
        <x:v>—</x:v>
      </x:c>
      <x:c r="P162" s="57" t="str">
        <x:v>—</x:v>
      </x:c>
      <x:c r="Q162" s="57" t="str">
        <x:v>—</x:v>
      </x:c>
      <x:c r="R162" s="57" t="str">
        <x:v>포함</x:v>
      </x:c>
    </x:row>
    <x:row r="163">
      <x:c r="A163" s="60" t="n">
        <x:v>159</x:v>
      </x:c>
      <x:c r="B163" s="56" t="str">
        <x:v>엘리게이</x:v>
      </x:c>
      <x:c r="C163" s="56" t="str">
        <x:v>croconaw</x:v>
      </x:c>
      <x:c r="D163" s="56" t="str">
        <x:v>습지</x:v>
      </x:c>
      <x:c r="E163" s="56" t="str">
        <x:v>희귀</x:v>
      </x:c>
      <x:c r="F163" s="56" t="str">
        <x:v>아니오</x:v>
      </x:c>
      <x:c r="G163" s="56" t="str">
        <x:v>아니오</x:v>
      </x:c>
      <x:c r="H163" s="56" t="str">
        <x:v>예</x:v>
      </x:c>
      <x:c r="I163" s="56" t="str">
        <x:v>—</x:v>
      </x:c>
      <x:c r="J163" s="57" t="str">
        <x:v>—</x:v>
      </x:c>
      <x:c r="K163" s="57" t="str">
        <x:v>포함</x:v>
      </x:c>
      <x:c r="L163" s="57" t="str">
        <x:v>—</x:v>
      </x:c>
      <x:c r="M163" s="57" t="str">
        <x:v>—</x:v>
      </x:c>
      <x:c r="N163" s="57" t="str">
        <x:v>—</x:v>
      </x:c>
      <x:c r="O163" s="57" t="str">
        <x:v>—</x:v>
      </x:c>
      <x:c r="P163" s="57" t="str">
        <x:v>—</x:v>
      </x:c>
      <x:c r="Q163" s="57" t="str">
        <x:v>—</x:v>
      </x:c>
      <x:c r="R163" s="57" t="str">
        <x:v>포함</x:v>
      </x:c>
    </x:row>
    <x:row r="164">
      <x:c r="A164" s="60" t="n">
        <x:v>160</x:v>
      </x:c>
      <x:c r="B164" s="56" t="str">
        <x:v>장크로다일</x:v>
      </x:c>
      <x:c r="C164" s="56" t="str">
        <x:v>feraligatr</x:v>
      </x:c>
      <x:c r="D164" s="56" t="str">
        <x:v>습지</x:v>
      </x:c>
      <x:c r="E164" s="56" t="str">
        <x:v>희귀</x:v>
      </x:c>
      <x:c r="F164" s="56" t="str">
        <x:v>아니오</x:v>
      </x:c>
      <x:c r="G164" s="56" t="str">
        <x:v>아니오</x:v>
      </x:c>
      <x:c r="H164" s="56" t="str">
        <x:v>예</x:v>
      </x:c>
      <x:c r="I164" s="56" t="str">
        <x:v>—</x:v>
      </x:c>
      <x:c r="J164" s="57" t="str">
        <x:v>—</x:v>
      </x:c>
      <x:c r="K164" s="57" t="str">
        <x:v>포함</x:v>
      </x:c>
      <x:c r="L164" s="57" t="str">
        <x:v>—</x:v>
      </x:c>
      <x:c r="M164" s="57" t="str">
        <x:v>—</x:v>
      </x:c>
      <x:c r="N164" s="57" t="str">
        <x:v>—</x:v>
      </x:c>
      <x:c r="O164" s="57" t="str">
        <x:v>—</x:v>
      </x:c>
      <x:c r="P164" s="57" t="str">
        <x:v>—</x:v>
      </x:c>
      <x:c r="Q164" s="57" t="str">
        <x:v>—</x:v>
      </x:c>
      <x:c r="R164" s="57" t="str">
        <x:v>포함</x:v>
      </x:c>
    </x:row>
    <x:row r="165">
      <x:c r="A165" s="60" t="n">
        <x:v>161</x:v>
      </x:c>
      <x:c r="B165" s="56" t="str">
        <x:v>꼬리선</x:v>
      </x:c>
      <x:c r="C165" s="56" t="str">
        <x:v>sentret</x:v>
      </x:c>
      <x:c r="D165" s="56" t="str">
        <x:v>숲</x:v>
      </x:c>
      <x:c r="E165" s="56" t="str">
        <x:v>흔함</x:v>
      </x:c>
      <x:c r="F165" s="56" t="str">
        <x:v>아니오</x:v>
      </x:c>
      <x:c r="G165" s="56" t="str">
        <x:v>아니오</x:v>
      </x:c>
      <x:c r="H165" s="56" t="str">
        <x:v>예</x:v>
      </x:c>
      <x:c r="I165" s="56" t="str">
        <x:v>—</x:v>
      </x:c>
      <x:c r="J165" s="57" t="str">
        <x:v>—</x:v>
      </x:c>
      <x:c r="K165" s="57" t="str">
        <x:v>포함</x:v>
      </x:c>
      <x:c r="L165" s="57" t="str">
        <x:v>—</x:v>
      </x:c>
      <x:c r="M165" s="57" t="str">
        <x:v>—</x:v>
      </x:c>
      <x:c r="N165" s="57" t="str">
        <x:v>—</x:v>
      </x:c>
      <x:c r="O165" s="57" t="str">
        <x:v>포함</x:v>
      </x:c>
      <x:c r="P165" s="57" t="str">
        <x:v>—</x:v>
      </x:c>
      <x:c r="Q165" s="57" t="str">
        <x:v>—</x:v>
      </x:c>
      <x:c r="R165" s="57" t="str">
        <x:v>포함</x:v>
      </x:c>
    </x:row>
    <x:row r="166">
      <x:c r="A166" s="60" t="n">
        <x:v>162</x:v>
      </x:c>
      <x:c r="B166" s="56" t="str">
        <x:v>다꼬리</x:v>
      </x:c>
      <x:c r="C166" s="56" t="str">
        <x:v>furret</x:v>
      </x:c>
      <x:c r="D166" s="56" t="str">
        <x:v>숲</x:v>
      </x:c>
      <x:c r="E166" s="56" t="str">
        <x:v>흔함</x:v>
      </x:c>
      <x:c r="F166" s="56" t="str">
        <x:v>아니오</x:v>
      </x:c>
      <x:c r="G166" s="56" t="str">
        <x:v>아니오</x:v>
      </x:c>
      <x:c r="H166" s="56" t="str">
        <x:v>예</x:v>
      </x:c>
      <x:c r="I166" s="56" t="str">
        <x:v>—</x:v>
      </x:c>
      <x:c r="J166" s="57" t="str">
        <x:v>—</x:v>
      </x:c>
      <x:c r="K166" s="57" t="str">
        <x:v>포함</x:v>
      </x:c>
      <x:c r="L166" s="57" t="str">
        <x:v>—</x:v>
      </x:c>
      <x:c r="M166" s="57" t="str">
        <x:v>—</x:v>
      </x:c>
      <x:c r="N166" s="57" t="str">
        <x:v>—</x:v>
      </x:c>
      <x:c r="O166" s="57" t="str">
        <x:v>포함</x:v>
      </x:c>
      <x:c r="P166" s="57" t="str">
        <x:v>—</x:v>
      </x:c>
      <x:c r="Q166" s="57" t="str">
        <x:v>—</x:v>
      </x:c>
      <x:c r="R166" s="57" t="str">
        <x:v>포함</x:v>
      </x:c>
    </x:row>
    <x:row r="167">
      <x:c r="A167" s="60" t="n">
        <x:v>163</x:v>
      </x:c>
      <x:c r="B167" s="56" t="str">
        <x:v>부우부</x:v>
      </x:c>
      <x:c r="C167" s="56" t="str">
        <x:v>hoothoot</x:v>
      </x:c>
      <x:c r="D167" s="56" t="str">
        <x:v>특수</x:v>
      </x:c>
      <x:c r="E167" s="56" t="str">
        <x:v>흔함</x:v>
      </x:c>
      <x:c r="F167" s="56" t="str">
        <x:v>아니오</x:v>
      </x:c>
      <x:c r="G167" s="56" t="str">
        <x:v>아니오</x:v>
      </x:c>
      <x:c r="H167" s="56" t="str">
        <x:v>예</x:v>
      </x:c>
      <x:c r="I167" s="56" t="str">
        <x:v>—</x:v>
      </x:c>
      <x:c r="J167" s="57" t="str">
        <x:v>—</x:v>
      </x:c>
      <x:c r="K167" s="57" t="str">
        <x:v>포함</x:v>
      </x:c>
      <x:c r="L167" s="57" t="str">
        <x:v>—</x:v>
      </x:c>
      <x:c r="M167" s="57" t="str">
        <x:v>포함</x:v>
      </x:c>
      <x:c r="N167" s="57" t="str">
        <x:v>—</x:v>
      </x:c>
      <x:c r="O167" s="57" t="str">
        <x:v>포함</x:v>
      </x:c>
      <x:c r="P167" s="57" t="str">
        <x:v>포함</x:v>
      </x:c>
      <x:c r="Q167" s="57" t="str">
        <x:v>포함</x:v>
      </x:c>
      <x:c r="R167" s="57" t="str">
        <x:v>포함</x:v>
      </x:c>
    </x:row>
    <x:row r="168">
      <x:c r="A168" s="60" t="n">
        <x:v>164</x:v>
      </x:c>
      <x:c r="B168" s="56" t="str">
        <x:v>야부엉</x:v>
      </x:c>
      <x:c r="C168" s="56" t="str">
        <x:v>noctowl</x:v>
      </x:c>
      <x:c r="D168" s="56" t="str">
        <x:v>특수</x:v>
      </x:c>
      <x:c r="E168" s="56" t="str">
        <x:v>흔함</x:v>
      </x:c>
      <x:c r="F168" s="56" t="str">
        <x:v>아니오</x:v>
      </x:c>
      <x:c r="G168" s="56" t="str">
        <x:v>아니오</x:v>
      </x:c>
      <x:c r="H168" s="56" t="str">
        <x:v>예</x:v>
      </x:c>
      <x:c r="I168" s="56" t="str">
        <x:v>—</x:v>
      </x:c>
      <x:c r="J168" s="57" t="str">
        <x:v>—</x:v>
      </x:c>
      <x:c r="K168" s="57" t="str">
        <x:v>포함</x:v>
      </x:c>
      <x:c r="L168" s="57" t="str">
        <x:v>—</x:v>
      </x:c>
      <x:c r="M168" s="57" t="str">
        <x:v>포함</x:v>
      </x:c>
      <x:c r="N168" s="57" t="str">
        <x:v>—</x:v>
      </x:c>
      <x:c r="O168" s="57" t="str">
        <x:v>포함</x:v>
      </x:c>
      <x:c r="P168" s="57" t="str">
        <x:v>포함</x:v>
      </x:c>
      <x:c r="Q168" s="57" t="str">
        <x:v>포함</x:v>
      </x:c>
      <x:c r="R168" s="57" t="str">
        <x:v>포함</x:v>
      </x:c>
    </x:row>
    <x:row r="169">
      <x:c r="A169" s="60" t="n">
        <x:v>165</x:v>
      </x:c>
      <x:c r="B169" s="56" t="str">
        <x:v>레디바</x:v>
      </x:c>
      <x:c r="C169" s="56" t="str">
        <x:v>ledyba</x:v>
      </x:c>
      <x:c r="D169" s="56" t="str">
        <x:v>평원</x:v>
      </x:c>
      <x:c r="E169" s="56" t="str">
        <x:v>흔함</x:v>
      </x:c>
      <x:c r="F169" s="56" t="str">
        <x:v>아니오</x:v>
      </x:c>
      <x:c r="G169" s="56" t="str">
        <x:v>아니오</x:v>
      </x:c>
      <x:c r="H169" s="56" t="str">
        <x:v>예</x:v>
      </x:c>
      <x:c r="I169" s="56" t="str">
        <x:v>—</x:v>
      </x:c>
      <x:c r="J169" s="57" t="str">
        <x:v>—</x:v>
      </x:c>
      <x:c r="K169" s="57" t="str">
        <x:v>포함</x:v>
      </x:c>
      <x:c r="L169" s="57" t="str">
        <x:v>—</x:v>
      </x:c>
      <x:c r="M169" s="57" t="str">
        <x:v>—</x:v>
      </x:c>
      <x:c r="N169" s="57" t="str">
        <x:v>—</x:v>
      </x:c>
      <x:c r="O169" s="57" t="str">
        <x:v>포함</x:v>
      </x:c>
      <x:c r="P169" s="57" t="str">
        <x:v>포함</x:v>
      </x:c>
      <x:c r="Q169" s="57" t="str">
        <x:v>—</x:v>
      </x:c>
      <x:c r="R169" s="57" t="str">
        <x:v>—</x:v>
      </x:c>
    </x:row>
    <x:row r="170">
      <x:c r="A170" s="60" t="n">
        <x:v>166</x:v>
      </x:c>
      <x:c r="B170" s="56" t="str">
        <x:v>레디안</x:v>
      </x:c>
      <x:c r="C170" s="56" t="str">
        <x:v>ledian</x:v>
      </x:c>
      <x:c r="D170" s="56" t="str">
        <x:v>평원</x:v>
      </x:c>
      <x:c r="E170" s="56" t="str">
        <x:v>흔함</x:v>
      </x:c>
      <x:c r="F170" s="56" t="str">
        <x:v>아니오</x:v>
      </x:c>
      <x:c r="G170" s="56" t="str">
        <x:v>아니오</x:v>
      </x:c>
      <x:c r="H170" s="56" t="str">
        <x:v>예</x:v>
      </x:c>
      <x:c r="I170" s="56" t="str">
        <x:v>—</x:v>
      </x:c>
      <x:c r="J170" s="57" t="str">
        <x:v>—</x:v>
      </x:c>
      <x:c r="K170" s="57" t="str">
        <x:v>포함</x:v>
      </x:c>
      <x:c r="L170" s="57" t="str">
        <x:v>—</x:v>
      </x:c>
      <x:c r="M170" s="57" t="str">
        <x:v>—</x:v>
      </x:c>
      <x:c r="N170" s="57" t="str">
        <x:v>—</x:v>
      </x:c>
      <x:c r="O170" s="57" t="str">
        <x:v>포함</x:v>
      </x:c>
      <x:c r="P170" s="57" t="str">
        <x:v>포함</x:v>
      </x:c>
      <x:c r="Q170" s="57" t="str">
        <x:v>—</x:v>
      </x:c>
      <x:c r="R170" s="57" t="str">
        <x:v>—</x:v>
      </x:c>
    </x:row>
    <x:row r="171">
      <x:c r="A171" s="60" t="n">
        <x:v>167</x:v>
      </x:c>
      <x:c r="B171" s="56" t="str">
        <x:v>페이검</x:v>
      </x:c>
      <x:c r="C171" s="56" t="str">
        <x:v>spinarak</x:v>
      </x:c>
      <x:c r="D171" s="56" t="str">
        <x:v>숲</x:v>
      </x:c>
      <x:c r="E171" s="56" t="str">
        <x:v>흔함</x:v>
      </x:c>
      <x:c r="F171" s="56" t="str">
        <x:v>아니오</x:v>
      </x:c>
      <x:c r="G171" s="56" t="str">
        <x:v>아니오</x:v>
      </x:c>
      <x:c r="H171" s="56" t="str">
        <x:v>예</x:v>
      </x:c>
      <x:c r="I171" s="56" t="str">
        <x:v>—</x:v>
      </x:c>
      <x:c r="J171" s="57" t="str">
        <x:v>—</x:v>
      </x:c>
      <x:c r="K171" s="57" t="str">
        <x:v>포함</x:v>
      </x:c>
      <x:c r="L171" s="57" t="str">
        <x:v>—</x:v>
      </x:c>
      <x:c r="M171" s="57" t="str">
        <x:v>—</x:v>
      </x:c>
      <x:c r="N171" s="57" t="str">
        <x:v>—</x:v>
      </x:c>
      <x:c r="O171" s="57" t="str">
        <x:v>포함</x:v>
      </x:c>
      <x:c r="P171" s="57" t="str">
        <x:v>포함</x:v>
      </x:c>
      <x:c r="Q171" s="57" t="str">
        <x:v>—</x:v>
      </x:c>
      <x:c r="R171" s="57" t="str">
        <x:v>포함</x:v>
      </x:c>
    </x:row>
    <x:row r="172">
      <x:c r="A172" s="60" t="n">
        <x:v>168</x:v>
      </x:c>
      <x:c r="B172" s="56" t="str">
        <x:v>아리아도스</x:v>
      </x:c>
      <x:c r="C172" s="56" t="str">
        <x:v>ariados</x:v>
      </x:c>
      <x:c r="D172" s="56" t="str">
        <x:v>숲</x:v>
      </x:c>
      <x:c r="E172" s="56" t="str">
        <x:v>흔함</x:v>
      </x:c>
      <x:c r="F172" s="56" t="str">
        <x:v>아니오</x:v>
      </x:c>
      <x:c r="G172" s="56" t="str">
        <x:v>아니오</x:v>
      </x:c>
      <x:c r="H172" s="56" t="str">
        <x:v>예</x:v>
      </x:c>
      <x:c r="I172" s="56" t="str">
        <x:v>—</x:v>
      </x:c>
      <x:c r="J172" s="57" t="str">
        <x:v>—</x:v>
      </x:c>
      <x:c r="K172" s="57" t="str">
        <x:v>포함</x:v>
      </x:c>
      <x:c r="L172" s="57" t="str">
        <x:v>—</x:v>
      </x:c>
      <x:c r="M172" s="57" t="str">
        <x:v>—</x:v>
      </x:c>
      <x:c r="N172" s="57" t="str">
        <x:v>—</x:v>
      </x:c>
      <x:c r="O172" s="57" t="str">
        <x:v>포함</x:v>
      </x:c>
      <x:c r="P172" s="57" t="str">
        <x:v>포함</x:v>
      </x:c>
      <x:c r="Q172" s="57" t="str">
        <x:v>—</x:v>
      </x:c>
      <x:c r="R172" s="57" t="str">
        <x:v>포함</x:v>
      </x:c>
    </x:row>
    <x:row r="173">
      <x:c r="A173" s="60" t="n">
        <x:v>169</x:v>
      </x:c>
      <x:c r="B173" s="56" t="str">
        <x:v>크로뱃</x:v>
      </x:c>
      <x:c r="C173" s="56" t="str">
        <x:v>crobat</x:v>
      </x:c>
      <x:c r="D173" s="56" t="str">
        <x:v>특수</x:v>
      </x:c>
      <x:c r="E173" s="56" t="str">
        <x:v>보통</x:v>
      </x:c>
      <x:c r="F173" s="56" t="str">
        <x:v>아니오</x:v>
      </x:c>
      <x:c r="G173" s="56" t="str">
        <x:v>아니오</x:v>
      </x:c>
      <x:c r="H173" s="56" t="str">
        <x:v>예</x:v>
      </x:c>
      <x:c r="I173" s="56" t="str">
        <x:v>—</x:v>
      </x:c>
      <x:c r="J173" s="57" t="str">
        <x:v>—</x:v>
      </x:c>
      <x:c r="K173" s="57" t="str">
        <x:v>포함</x:v>
      </x:c>
      <x:c r="L173" s="57" t="str">
        <x:v>포함</x:v>
      </x:c>
      <x:c r="M173" s="57" t="str">
        <x:v>포함</x:v>
      </x:c>
      <x:c r="N173" s="57" t="str">
        <x:v>포함</x:v>
      </x:c>
      <x:c r="O173" s="57" t="str">
        <x:v>포함</x:v>
      </x:c>
      <x:c r="P173" s="57" t="str">
        <x:v>포함</x:v>
      </x:c>
      <x:c r="Q173" s="57" t="str">
        <x:v>포함</x:v>
      </x:c>
      <x:c r="R173" s="57" t="str">
        <x:v>—</x:v>
      </x:c>
    </x:row>
    <x:row r="174">
      <x:c r="A174" s="60" t="n">
        <x:v>170</x:v>
      </x:c>
      <x:c r="B174" s="56" t="str">
        <x:v>초라기</x:v>
      </x:c>
      <x:c r="C174" s="56" t="str">
        <x:v>chinchou</x:v>
      </x:c>
      <x:c r="D174" s="56" t="str">
        <x:v>해양</x:v>
      </x:c>
      <x:c r="E174" s="56" t="str">
        <x:v>흔함</x:v>
      </x:c>
      <x:c r="F174" s="56" t="str">
        <x:v>아니오</x:v>
      </x:c>
      <x:c r="G174" s="56" t="str">
        <x:v>아니오</x:v>
      </x:c>
      <x:c r="H174" s="56" t="str">
        <x:v>예</x:v>
      </x:c>
      <x:c r="I174" s="56" t="str">
        <x:v>—</x:v>
      </x:c>
      <x:c r="J174" s="57" t="str">
        <x:v>—</x:v>
      </x:c>
      <x:c r="K174" s="57" t="str">
        <x:v>포함</x:v>
      </x:c>
      <x:c r="L174" s="57" t="str">
        <x:v>포함</x:v>
      </x:c>
      <x:c r="M174" s="57" t="str">
        <x:v>—</x:v>
      </x:c>
      <x:c r="N174" s="57" t="str">
        <x:v>—</x:v>
      </x:c>
      <x:c r="O174" s="57" t="str">
        <x:v>포함</x:v>
      </x:c>
      <x:c r="P174" s="57" t="str">
        <x:v>포함</x:v>
      </x:c>
      <x:c r="Q174" s="57" t="str">
        <x:v>포함</x:v>
      </x:c>
      <x:c r="R174" s="57" t="str">
        <x:v>포함</x:v>
      </x:c>
    </x:row>
    <x:row r="175">
      <x:c r="A175" s="60" t="n">
        <x:v>171</x:v>
      </x:c>
      <x:c r="B175" s="56" t="str">
        <x:v>랜턴</x:v>
      </x:c>
      <x:c r="C175" s="56" t="str">
        <x:v>lanturn</x:v>
      </x:c>
      <x:c r="D175" s="56" t="str">
        <x:v>해양</x:v>
      </x:c>
      <x:c r="E175" s="56" t="str">
        <x:v>흔함</x:v>
      </x:c>
      <x:c r="F175" s="56" t="str">
        <x:v>아니오</x:v>
      </x:c>
      <x:c r="G175" s="56" t="str">
        <x:v>아니오</x:v>
      </x:c>
      <x:c r="H175" s="56" t="str">
        <x:v>예</x:v>
      </x:c>
      <x:c r="I175" s="56" t="str">
        <x:v>—</x:v>
      </x:c>
      <x:c r="J175" s="57" t="str">
        <x:v>—</x:v>
      </x:c>
      <x:c r="K175" s="57" t="str">
        <x:v>포함</x:v>
      </x:c>
      <x:c r="L175" s="57" t="str">
        <x:v>포함</x:v>
      </x:c>
      <x:c r="M175" s="57" t="str">
        <x:v>—</x:v>
      </x:c>
      <x:c r="N175" s="57" t="str">
        <x:v>—</x:v>
      </x:c>
      <x:c r="O175" s="57" t="str">
        <x:v>포함</x:v>
      </x:c>
      <x:c r="P175" s="57" t="str">
        <x:v>포함</x:v>
      </x:c>
      <x:c r="Q175" s="57" t="str">
        <x:v>포함</x:v>
      </x:c>
      <x:c r="R175" s="57" t="str">
        <x:v>포함</x:v>
      </x:c>
    </x:row>
    <x:row r="176">
      <x:c r="A176" s="60" t="n">
        <x:v>172</x:v>
      </x:c>
      <x:c r="B176" s="56" t="str">
        <x:v>피츄</x:v>
      </x:c>
      <x:c r="C176" s="56" t="str">
        <x:v>pichu</x:v>
      </x:c>
      <x:c r="D176" s="56" t="str">
        <x:v>숲</x:v>
      </x:c>
      <x:c r="E176" s="56" t="str">
        <x:v>보통</x:v>
      </x:c>
      <x:c r="F176" s="56" t="str">
        <x:v>아니오</x:v>
      </x:c>
      <x:c r="G176" s="56" t="str">
        <x:v>아니오</x:v>
      </x:c>
      <x:c r="H176" s="56" t="str">
        <x:v>예</x:v>
      </x:c>
      <x:c r="I176" s="56" t="str">
        <x:v>—</x:v>
      </x:c>
      <x:c r="J176" s="57" t="str">
        <x:v>—</x:v>
      </x:c>
      <x:c r="K176" s="57" t="str">
        <x:v>포함</x:v>
      </x:c>
      <x:c r="L176" s="57" t="str">
        <x:v>포함</x:v>
      </x:c>
      <x:c r="M176" s="57" t="str">
        <x:v>포함</x:v>
      </x:c>
      <x:c r="N176" s="57" t="str">
        <x:v>—</x:v>
      </x:c>
      <x:c r="O176" s="57" t="str">
        <x:v>포함</x:v>
      </x:c>
      <x:c r="P176" s="57" t="str">
        <x:v>포함</x:v>
      </x:c>
      <x:c r="Q176" s="57" t="str">
        <x:v>포함</x:v>
      </x:c>
      <x:c r="R176" s="57" t="str">
        <x:v>포함</x:v>
      </x:c>
    </x:row>
    <x:row r="177">
      <x:c r="A177" s="60" t="n">
        <x:v>173</x:v>
      </x:c>
      <x:c r="B177" s="56" t="str">
        <x:v>삐</x:v>
      </x:c>
      <x:c r="C177" s="56" t="str">
        <x:v>cleffa</x:v>
      </x:c>
      <x:c r="D177" s="56" t="str">
        <x:v>동굴</x:v>
      </x:c>
      <x:c r="E177" s="56" t="str">
        <x:v>보통</x:v>
      </x:c>
      <x:c r="F177" s="56" t="str">
        <x:v>아니오</x:v>
      </x:c>
      <x:c r="G177" s="56" t="str">
        <x:v>아니오</x:v>
      </x:c>
      <x:c r="H177" s="56" t="str">
        <x:v>예</x:v>
      </x:c>
      <x:c r="I177" s="56" t="str">
        <x:v>—</x:v>
      </x:c>
      <x:c r="J177" s="57" t="str">
        <x:v>—</x:v>
      </x:c>
      <x:c r="K177" s="57" t="str">
        <x:v>포함</x:v>
      </x:c>
      <x:c r="L177" s="57" t="str">
        <x:v>—</x:v>
      </x:c>
      <x:c r="M177" s="57" t="str">
        <x:v>포함</x:v>
      </x:c>
      <x:c r="N177" s="57" t="str">
        <x:v>포함</x:v>
      </x:c>
      <x:c r="O177" s="57" t="str">
        <x:v>—</x:v>
      </x:c>
      <x:c r="P177" s="57" t="str">
        <x:v>포함</x:v>
      </x:c>
      <x:c r="Q177" s="57" t="str">
        <x:v>포함</x:v>
      </x:c>
      <x:c r="R177" s="57" t="str">
        <x:v>포함</x:v>
      </x:c>
    </x:row>
    <x:row r="178">
      <x:c r="A178" s="60" t="n">
        <x:v>174</x:v>
      </x:c>
      <x:c r="B178" s="56" t="str">
        <x:v>푸푸린</x:v>
      </x:c>
      <x:c r="C178" s="56" t="str">
        <x:v>igglybuff</x:v>
      </x:c>
      <x:c r="D178" s="56" t="str">
        <x:v>평원</x:v>
      </x:c>
      <x:c r="E178" s="56" t="str">
        <x:v>흔함</x:v>
      </x:c>
      <x:c r="F178" s="56" t="str">
        <x:v>아니오</x:v>
      </x:c>
      <x:c r="G178" s="56" t="str">
        <x:v>아니오</x:v>
      </x:c>
      <x:c r="H178" s="56" t="str">
        <x:v>예</x:v>
      </x:c>
      <x:c r="I178" s="56" t="str">
        <x:v>—</x:v>
      </x:c>
      <x:c r="J178" s="57" t="str">
        <x:v>—</x:v>
      </x:c>
      <x:c r="K178" s="57" t="str">
        <x:v>포함</x:v>
      </x:c>
      <x:c r="L178" s="57" t="str">
        <x:v>포함</x:v>
      </x:c>
      <x:c r="M178" s="57" t="str">
        <x:v>—</x:v>
      </x:c>
      <x:c r="N178" s="57" t="str">
        <x:v>포함</x:v>
      </x:c>
      <x:c r="O178" s="57" t="str">
        <x:v>포함</x:v>
      </x:c>
      <x:c r="P178" s="57" t="str">
        <x:v>포함</x:v>
      </x:c>
      <x:c r="Q178" s="57" t="str">
        <x:v>포함</x:v>
      </x:c>
      <x:c r="R178" s="57" t="str">
        <x:v>포함</x:v>
      </x:c>
    </x:row>
    <x:row r="179">
      <x:c r="A179" s="60" t="n">
        <x:v>175</x:v>
      </x:c>
      <x:c r="B179" s="56" t="str">
        <x:v>토게피</x:v>
      </x:c>
      <x:c r="C179" s="56" t="str">
        <x:v>togepi</x:v>
      </x:c>
      <x:c r="D179" s="56" t="str">
        <x:v>평원</x:v>
      </x:c>
      <x:c r="E179" s="56" t="str">
        <x:v>드묾</x:v>
      </x:c>
      <x:c r="F179" s="56" t="str">
        <x:v>아니오</x:v>
      </x:c>
      <x:c r="G179" s="56" t="str">
        <x:v>아니오</x:v>
      </x:c>
      <x:c r="H179" s="56" t="str">
        <x:v>예</x:v>
      </x:c>
      <x:c r="I179" s="56" t="str">
        <x:v>—</x:v>
      </x:c>
      <x:c r="J179" s="57" t="str">
        <x:v>—</x:v>
      </x:c>
      <x:c r="K179" s="57" t="str">
        <x:v>포함</x:v>
      </x:c>
      <x:c r="L179" s="57" t="str">
        <x:v>—</x:v>
      </x:c>
      <x:c r="M179" s="57" t="str">
        <x:v>포함</x:v>
      </x:c>
      <x:c r="N179" s="57" t="str">
        <x:v>—</x:v>
      </x:c>
      <x:c r="O179" s="57" t="str">
        <x:v>—</x:v>
      </x:c>
      <x:c r="P179" s="57" t="str">
        <x:v>—</x:v>
      </x:c>
      <x:c r="Q179" s="57" t="str">
        <x:v>포함</x:v>
      </x:c>
      <x:c r="R179" s="57" t="str">
        <x:v>—</x:v>
      </x:c>
    </x:row>
    <x:row r="180">
      <x:c r="A180" s="60" t="n">
        <x:v>176</x:v>
      </x:c>
      <x:c r="B180" s="56" t="str">
        <x:v>토게틱</x:v>
      </x:c>
      <x:c r="C180" s="56" t="str">
        <x:v>togetic</x:v>
      </x:c>
      <x:c r="D180" s="56" t="str">
        <x:v>평원</x:v>
      </x:c>
      <x:c r="E180" s="56" t="str">
        <x:v>드묾</x:v>
      </x:c>
      <x:c r="F180" s="56" t="str">
        <x:v>아니오</x:v>
      </x:c>
      <x:c r="G180" s="56" t="str">
        <x:v>아니오</x:v>
      </x:c>
      <x:c r="H180" s="56" t="str">
        <x:v>예</x:v>
      </x:c>
      <x:c r="I180" s="56" t="str">
        <x:v>—</x:v>
      </x:c>
      <x:c r="J180" s="57" t="str">
        <x:v>—</x:v>
      </x:c>
      <x:c r="K180" s="57" t="str">
        <x:v>포함</x:v>
      </x:c>
      <x:c r="L180" s="57" t="str">
        <x:v>—</x:v>
      </x:c>
      <x:c r="M180" s="57" t="str">
        <x:v>포함</x:v>
      </x:c>
      <x:c r="N180" s="57" t="str">
        <x:v>—</x:v>
      </x:c>
      <x:c r="O180" s="57" t="str">
        <x:v>—</x:v>
      </x:c>
      <x:c r="P180" s="57" t="str">
        <x:v>—</x:v>
      </x:c>
      <x:c r="Q180" s="57" t="str">
        <x:v>포함</x:v>
      </x:c>
      <x:c r="R180" s="57" t="str">
        <x:v>—</x:v>
      </x:c>
    </x:row>
    <x:row r="181">
      <x:c r="A181" s="60" t="n">
        <x:v>177</x:v>
      </x:c>
      <x:c r="B181" s="56" t="str">
        <x:v>네이티</x:v>
      </x:c>
      <x:c r="C181" s="56" t="str">
        <x:v>natu</x:v>
      </x:c>
      <x:c r="D181" s="56" t="str">
        <x:v>건조지</x:v>
      </x:c>
      <x:c r="E181" s="56" t="str">
        <x:v>흔함</x:v>
      </x:c>
      <x:c r="F181" s="56" t="str">
        <x:v>아니오</x:v>
      </x:c>
      <x:c r="G181" s="56" t="str">
        <x:v>아니오</x:v>
      </x:c>
      <x:c r="H181" s="56" t="str">
        <x:v>예</x:v>
      </x:c>
      <x:c r="I181" s="56" t="str">
        <x:v>—</x:v>
      </x:c>
      <x:c r="J181" s="57" t="str">
        <x:v>—</x:v>
      </x:c>
      <x:c r="K181" s="57" t="str">
        <x:v>포함</x:v>
      </x:c>
      <x:c r="L181" s="57" t="str">
        <x:v>포함</x:v>
      </x:c>
      <x:c r="M181" s="57" t="str">
        <x:v>—</x:v>
      </x:c>
      <x:c r="N181" s="57" t="str">
        <x:v>—</x:v>
      </x:c>
      <x:c r="O181" s="57" t="str">
        <x:v>—</x:v>
      </x:c>
      <x:c r="P181" s="57" t="str">
        <x:v>포함</x:v>
      </x:c>
      <x:c r="Q181" s="57" t="str">
        <x:v>포함</x:v>
      </x:c>
      <x:c r="R181" s="57" t="str">
        <x:v>—</x:v>
      </x:c>
    </x:row>
    <x:row r="182">
      <x:c r="A182" s="60" t="n">
        <x:v>178</x:v>
      </x:c>
      <x:c r="B182" s="56" t="str">
        <x:v>네이티오</x:v>
      </x:c>
      <x:c r="C182" s="56" t="str">
        <x:v>xatu</x:v>
      </x:c>
      <x:c r="D182" s="56" t="str">
        <x:v>건조지</x:v>
      </x:c>
      <x:c r="E182" s="56" t="str">
        <x:v>흔함</x:v>
      </x:c>
      <x:c r="F182" s="56" t="str">
        <x:v>아니오</x:v>
      </x:c>
      <x:c r="G182" s="56" t="str">
        <x:v>아니오</x:v>
      </x:c>
      <x:c r="H182" s="56" t="str">
        <x:v>예</x:v>
      </x:c>
      <x:c r="I182" s="56" t="str">
        <x:v>—</x:v>
      </x:c>
      <x:c r="J182" s="57" t="str">
        <x:v>—</x:v>
      </x:c>
      <x:c r="K182" s="57" t="str">
        <x:v>포함</x:v>
      </x:c>
      <x:c r="L182" s="57" t="str">
        <x:v>포함</x:v>
      </x:c>
      <x:c r="M182" s="57" t="str">
        <x:v>—</x:v>
      </x:c>
      <x:c r="N182" s="57" t="str">
        <x:v>—</x:v>
      </x:c>
      <x:c r="O182" s="57" t="str">
        <x:v>—</x:v>
      </x:c>
      <x:c r="P182" s="57" t="str">
        <x:v>포함</x:v>
      </x:c>
      <x:c r="Q182" s="57" t="str">
        <x:v>포함</x:v>
      </x:c>
      <x:c r="R182" s="57" t="str">
        <x:v>—</x:v>
      </x:c>
    </x:row>
    <x:row r="183">
      <x:c r="A183" s="60" t="n">
        <x:v>179</x:v>
      </x:c>
      <x:c r="B183" s="56" t="str">
        <x:v>메리프</x:v>
      </x:c>
      <x:c r="C183" s="56" t="str">
        <x:v>mareep</x:v>
      </x:c>
      <x:c r="D183" s="56" t="str">
        <x:v>산악</x:v>
      </x:c>
      <x:c r="E183" s="56" t="str">
        <x:v>흔함</x:v>
      </x:c>
      <x:c r="F183" s="56" t="str">
        <x:v>아니오</x:v>
      </x:c>
      <x:c r="G183" s="56" t="str">
        <x:v>아니오</x:v>
      </x:c>
      <x:c r="H183" s="56" t="str">
        <x:v>예</x:v>
      </x:c>
      <x:c r="I183" s="56" t="str">
        <x:v>—</x:v>
      </x:c>
      <x:c r="J183" s="57" t="str">
        <x:v>—</x:v>
      </x:c>
      <x:c r="K183" s="57" t="str">
        <x:v>포함</x:v>
      </x:c>
      <x:c r="L183" s="57" t="str">
        <x:v>—</x:v>
      </x:c>
      <x:c r="M183" s="57" t="str">
        <x:v>—</x:v>
      </x:c>
      <x:c r="N183" s="57" t="str">
        <x:v>포함</x:v>
      </x:c>
      <x:c r="O183" s="57" t="str">
        <x:v>포함</x:v>
      </x:c>
      <x:c r="P183" s="57" t="str">
        <x:v>포함</x:v>
      </x:c>
      <x:c r="Q183" s="57" t="str">
        <x:v>—</x:v>
      </x:c>
      <x:c r="R183" s="57" t="str">
        <x:v>포함</x:v>
      </x:c>
    </x:row>
    <x:row r="184">
      <x:c r="A184" s="60" t="n">
        <x:v>180</x:v>
      </x:c>
      <x:c r="B184" s="56" t="str">
        <x:v>보송송</x:v>
      </x:c>
      <x:c r="C184" s="56" t="str">
        <x:v>flaaffy</x:v>
      </x:c>
      <x:c r="D184" s="56" t="str">
        <x:v>산악</x:v>
      </x:c>
      <x:c r="E184" s="56" t="str">
        <x:v>흔함</x:v>
      </x:c>
      <x:c r="F184" s="56" t="str">
        <x:v>아니오</x:v>
      </x:c>
      <x:c r="G184" s="56" t="str">
        <x:v>아니오</x:v>
      </x:c>
      <x:c r="H184" s="56" t="str">
        <x:v>예</x:v>
      </x:c>
      <x:c r="I184" s="56" t="str">
        <x:v>—</x:v>
      </x:c>
      <x:c r="J184" s="57" t="str">
        <x:v>—</x:v>
      </x:c>
      <x:c r="K184" s="57" t="str">
        <x:v>포함</x:v>
      </x:c>
      <x:c r="L184" s="57" t="str">
        <x:v>—</x:v>
      </x:c>
      <x:c r="M184" s="57" t="str">
        <x:v>—</x:v>
      </x:c>
      <x:c r="N184" s="57" t="str">
        <x:v>포함</x:v>
      </x:c>
      <x:c r="O184" s="57" t="str">
        <x:v>포함</x:v>
      </x:c>
      <x:c r="P184" s="57" t="str">
        <x:v>포함</x:v>
      </x:c>
      <x:c r="Q184" s="57" t="str">
        <x:v>—</x:v>
      </x:c>
      <x:c r="R184" s="57" t="str">
        <x:v>포함</x:v>
      </x:c>
    </x:row>
    <x:row r="185">
      <x:c r="A185" s="60" t="n">
        <x:v>181</x:v>
      </x:c>
      <x:c r="B185" s="56" t="str">
        <x:v>전룡</x:v>
      </x:c>
      <x:c r="C185" s="56" t="str">
        <x:v>ampharos</x:v>
      </x:c>
      <x:c r="D185" s="56" t="str">
        <x:v>산악</x:v>
      </x:c>
      <x:c r="E185" s="56" t="str">
        <x:v>흔함</x:v>
      </x:c>
      <x:c r="F185" s="56" t="str">
        <x:v>아니오</x:v>
      </x:c>
      <x:c r="G185" s="56" t="str">
        <x:v>아니오</x:v>
      </x:c>
      <x:c r="H185" s="56" t="str">
        <x:v>예</x:v>
      </x:c>
      <x:c r="I185" s="56" t="str">
        <x:v>—</x:v>
      </x:c>
      <x:c r="J185" s="57" t="str">
        <x:v>—</x:v>
      </x:c>
      <x:c r="K185" s="57" t="str">
        <x:v>포함</x:v>
      </x:c>
      <x:c r="L185" s="57" t="str">
        <x:v>—</x:v>
      </x:c>
      <x:c r="M185" s="57" t="str">
        <x:v>—</x:v>
      </x:c>
      <x:c r="N185" s="57" t="str">
        <x:v>포함</x:v>
      </x:c>
      <x:c r="O185" s="57" t="str">
        <x:v>포함</x:v>
      </x:c>
      <x:c r="P185" s="57" t="str">
        <x:v>포함</x:v>
      </x:c>
      <x:c r="Q185" s="57" t="str">
        <x:v>—</x:v>
      </x:c>
      <x:c r="R185" s="57" t="str">
        <x:v>포함</x:v>
      </x:c>
    </x:row>
    <x:row r="186">
      <x:c r="A186" s="60" t="n">
        <x:v>182</x:v>
      </x:c>
      <x:c r="B186" s="56" t="str">
        <x:v>아르코</x:v>
      </x:c>
      <x:c r="C186" s="56" t="str">
        <x:v>bellossom</x:v>
      </x:c>
      <x:c r="D186" s="56" t="str">
        <x:v>숲</x:v>
      </x:c>
      <x:c r="E186" s="56" t="str">
        <x:v>흔함</x:v>
      </x:c>
      <x:c r="F186" s="56" t="str">
        <x:v>아니오</x:v>
      </x:c>
      <x:c r="G186" s="56" t="str">
        <x:v>아니오</x:v>
      </x:c>
      <x:c r="H186" s="56" t="str">
        <x:v>예</x:v>
      </x:c>
      <x:c r="I186" s="56" t="str">
        <x:v>—</x:v>
      </x:c>
      <x:c r="J186" s="57" t="str">
        <x:v>—</x:v>
      </x:c>
      <x:c r="K186" s="57" t="str">
        <x:v>포함</x:v>
      </x:c>
      <x:c r="L186" s="57" t="str">
        <x:v>포함</x:v>
      </x:c>
      <x:c r="M186" s="57" t="str">
        <x:v>—</x:v>
      </x:c>
      <x:c r="N186" s="57" t="str">
        <x:v>—</x:v>
      </x:c>
      <x:c r="O186" s="57" t="str">
        <x:v>포함</x:v>
      </x:c>
      <x:c r="P186" s="57" t="str">
        <x:v>—</x:v>
      </x:c>
      <x:c r="Q186" s="57" t="str">
        <x:v>포함</x:v>
      </x:c>
      <x:c r="R186" s="57" t="str">
        <x:v>포함</x:v>
      </x:c>
    </x:row>
    <x:row r="187">
      <x:c r="A187" s="60" t="n">
        <x:v>183</x:v>
      </x:c>
      <x:c r="B187" s="56" t="str">
        <x:v>마릴</x:v>
      </x:c>
      <x:c r="C187" s="56" t="str">
        <x:v>marill</x:v>
      </x:c>
      <x:c r="D187" s="56" t="str">
        <x:v>담수</x:v>
      </x:c>
      <x:c r="E187" s="56" t="str">
        <x:v>흔함</x:v>
      </x:c>
      <x:c r="F187" s="56" t="str">
        <x:v>아니오</x:v>
      </x:c>
      <x:c r="G187" s="56" t="str">
        <x:v>아니오</x:v>
      </x:c>
      <x:c r="H187" s="56" t="str">
        <x:v>예</x:v>
      </x:c>
      <x:c r="I187" s="56" t="str">
        <x:v>—</x:v>
      </x:c>
      <x:c r="J187" s="57" t="str">
        <x:v>—</x:v>
      </x:c>
      <x:c r="K187" s="57" t="str">
        <x:v>포함</x:v>
      </x:c>
      <x:c r="L187" s="57" t="str">
        <x:v>포함</x:v>
      </x:c>
      <x:c r="M187" s="57" t="str">
        <x:v>포함</x:v>
      </x:c>
      <x:c r="N187" s="57" t="str">
        <x:v>포함</x:v>
      </x:c>
      <x:c r="O187" s="57" t="str">
        <x:v>포함</x:v>
      </x:c>
      <x:c r="P187" s="57" t="str">
        <x:v>—</x:v>
      </x:c>
      <x:c r="Q187" s="57" t="str">
        <x:v>포함</x:v>
      </x:c>
      <x:c r="R187" s="57" t="str">
        <x:v>포함</x:v>
      </x:c>
    </x:row>
    <x:row r="188">
      <x:c r="A188" s="60" t="n">
        <x:v>184</x:v>
      </x:c>
      <x:c r="B188" s="56" t="str">
        <x:v>마릴리</x:v>
      </x:c>
      <x:c r="C188" s="56" t="str">
        <x:v>azumarill</x:v>
      </x:c>
      <x:c r="D188" s="56" t="str">
        <x:v>담수</x:v>
      </x:c>
      <x:c r="E188" s="56" t="str">
        <x:v>보통</x:v>
      </x:c>
      <x:c r="F188" s="56" t="str">
        <x:v>아니오</x:v>
      </x:c>
      <x:c r="G188" s="56" t="str">
        <x:v>아니오</x:v>
      </x:c>
      <x:c r="H188" s="56" t="str">
        <x:v>예</x:v>
      </x:c>
      <x:c r="I188" s="56" t="str">
        <x:v>—</x:v>
      </x:c>
      <x:c r="J188" s="57" t="str">
        <x:v>—</x:v>
      </x:c>
      <x:c r="K188" s="57" t="str">
        <x:v>포함</x:v>
      </x:c>
      <x:c r="L188" s="57" t="str">
        <x:v>포함</x:v>
      </x:c>
      <x:c r="M188" s="57" t="str">
        <x:v>포함</x:v>
      </x:c>
      <x:c r="N188" s="57" t="str">
        <x:v>포함</x:v>
      </x:c>
      <x:c r="O188" s="57" t="str">
        <x:v>포함</x:v>
      </x:c>
      <x:c r="P188" s="57" t="str">
        <x:v>—</x:v>
      </x:c>
      <x:c r="Q188" s="57" t="str">
        <x:v>포함</x:v>
      </x:c>
      <x:c r="R188" s="57" t="str">
        <x:v>포함</x:v>
      </x:c>
    </x:row>
    <x:row r="189">
      <x:c r="A189" s="60" t="n">
        <x:v>185</x:v>
      </x:c>
      <x:c r="B189" s="56" t="str">
        <x:v>꼬지모</x:v>
      </x:c>
      <x:c r="C189" s="56" t="str">
        <x:v>sudowoodo</x:v>
      </x:c>
      <x:c r="D189" s="56" t="str">
        <x:v>숲</x:v>
      </x:c>
      <x:c r="E189" s="56" t="str">
        <x:v>보통</x:v>
      </x:c>
      <x:c r="F189" s="56" t="str">
        <x:v>아니오</x:v>
      </x:c>
      <x:c r="G189" s="56" t="str">
        <x:v>아니오</x:v>
      </x:c>
      <x:c r="H189" s="56" t="str">
        <x:v>예</x:v>
      </x:c>
      <x:c r="I189" s="56" t="str">
        <x:v>—</x:v>
      </x:c>
      <x:c r="J189" s="57" t="str">
        <x:v>—</x:v>
      </x:c>
      <x:c r="K189" s="57" t="str">
        <x:v>포함</x:v>
      </x:c>
      <x:c r="L189" s="57" t="str">
        <x:v>—</x:v>
      </x:c>
      <x:c r="M189" s="57" t="str">
        <x:v>포함</x:v>
      </x:c>
      <x:c r="N189" s="57" t="str">
        <x:v>—</x:v>
      </x:c>
      <x:c r="O189" s="57" t="str">
        <x:v>포함</x:v>
      </x:c>
      <x:c r="P189" s="57" t="str">
        <x:v>포함</x:v>
      </x:c>
      <x:c r="Q189" s="57" t="str">
        <x:v>포함</x:v>
      </x:c>
      <x:c r="R189" s="57" t="str">
        <x:v>포함</x:v>
      </x:c>
    </x:row>
    <x:row r="190">
      <x:c r="A190" s="60" t="n">
        <x:v>186</x:v>
      </x:c>
      <x:c r="B190" s="56" t="str">
        <x:v>왕구리</x:v>
      </x:c>
      <x:c r="C190" s="56" t="str">
        <x:v>politoed</x:v>
      </x:c>
      <x:c r="D190" s="56" t="str">
        <x:v>담수</x:v>
      </x:c>
      <x:c r="E190" s="56" t="str">
        <x:v>흔함</x:v>
      </x:c>
      <x:c r="F190" s="56" t="str">
        <x:v>아니오</x:v>
      </x:c>
      <x:c r="G190" s="56" t="str">
        <x:v>아니오</x:v>
      </x:c>
      <x:c r="H190" s="56" t="str">
        <x:v>예</x:v>
      </x:c>
      <x:c r="I190" s="56" t="str">
        <x:v>—</x:v>
      </x:c>
      <x:c r="J190" s="57" t="str">
        <x:v>—</x:v>
      </x:c>
      <x:c r="K190" s="57" t="str">
        <x:v>포함</x:v>
      </x:c>
      <x:c r="L190" s="57" t="str">
        <x:v>—</x:v>
      </x:c>
      <x:c r="M190" s="57" t="str">
        <x:v>—</x:v>
      </x:c>
      <x:c r="N190" s="57" t="str">
        <x:v>—</x:v>
      </x:c>
      <x:c r="O190" s="57" t="str">
        <x:v>포함</x:v>
      </x:c>
      <x:c r="P190" s="57" t="str">
        <x:v>포함</x:v>
      </x:c>
      <x:c r="Q190" s="57" t="str">
        <x:v>포함</x:v>
      </x:c>
      <x:c r="R190" s="57" t="str">
        <x:v>포함</x:v>
      </x:c>
    </x:row>
    <x:row r="191">
      <x:c r="A191" s="60" t="n">
        <x:v>187</x:v>
      </x:c>
      <x:c r="B191" s="56" t="str">
        <x:v>통통코</x:v>
      </x:c>
      <x:c r="C191" s="56" t="str">
        <x:v>hoppip</x:v>
      </x:c>
      <x:c r="D191" s="56" t="str">
        <x:v>평원</x:v>
      </x:c>
      <x:c r="E191" s="56" t="str">
        <x:v>흔함</x:v>
      </x:c>
      <x:c r="F191" s="56" t="str">
        <x:v>아니오</x:v>
      </x:c>
      <x:c r="G191" s="56" t="str">
        <x:v>아니오</x:v>
      </x:c>
      <x:c r="H191" s="56" t="str">
        <x:v>예</x:v>
      </x:c>
      <x:c r="I191" s="56" t="str">
        <x:v>—</x:v>
      </x:c>
      <x:c r="J191" s="57" t="str">
        <x:v>—</x:v>
      </x:c>
      <x:c r="K191" s="57" t="str">
        <x:v>포함</x:v>
      </x:c>
      <x:c r="L191" s="57" t="str">
        <x:v>—</x:v>
      </x:c>
      <x:c r="M191" s="57" t="str">
        <x:v>—</x:v>
      </x:c>
      <x:c r="N191" s="57" t="str">
        <x:v>—</x:v>
      </x:c>
      <x:c r="O191" s="57" t="str">
        <x:v>포함</x:v>
      </x:c>
      <x:c r="P191" s="57" t="str">
        <x:v>—</x:v>
      </x:c>
      <x:c r="Q191" s="57" t="str">
        <x:v>—</x:v>
      </x:c>
      <x:c r="R191" s="57" t="str">
        <x:v>포함</x:v>
      </x:c>
    </x:row>
    <x:row r="192">
      <x:c r="A192" s="60" t="n">
        <x:v>188</x:v>
      </x:c>
      <x:c r="B192" s="56" t="str">
        <x:v>두코</x:v>
      </x:c>
      <x:c r="C192" s="56" t="str">
        <x:v>skiploom</x:v>
      </x:c>
      <x:c r="D192" s="56" t="str">
        <x:v>평원</x:v>
      </x:c>
      <x:c r="E192" s="56" t="str">
        <x:v>흔함</x:v>
      </x:c>
      <x:c r="F192" s="56" t="str">
        <x:v>아니오</x:v>
      </x:c>
      <x:c r="G192" s="56" t="str">
        <x:v>아니오</x:v>
      </x:c>
      <x:c r="H192" s="56" t="str">
        <x:v>예</x:v>
      </x:c>
      <x:c r="I192" s="56" t="str">
        <x:v>—</x:v>
      </x:c>
      <x:c r="J192" s="57" t="str">
        <x:v>—</x:v>
      </x:c>
      <x:c r="K192" s="57" t="str">
        <x:v>포함</x:v>
      </x:c>
      <x:c r="L192" s="57" t="str">
        <x:v>—</x:v>
      </x:c>
      <x:c r="M192" s="57" t="str">
        <x:v>—</x:v>
      </x:c>
      <x:c r="N192" s="57" t="str">
        <x:v>—</x:v>
      </x:c>
      <x:c r="O192" s="57" t="str">
        <x:v>포함</x:v>
      </x:c>
      <x:c r="P192" s="57" t="str">
        <x:v>—</x:v>
      </x:c>
      <x:c r="Q192" s="57" t="str">
        <x:v>—</x:v>
      </x:c>
      <x:c r="R192" s="57" t="str">
        <x:v>포함</x:v>
      </x:c>
    </x:row>
    <x:row r="193">
      <x:c r="A193" s="60" t="n">
        <x:v>189</x:v>
      </x:c>
      <x:c r="B193" s="56" t="str">
        <x:v>솜솜코</x:v>
      </x:c>
      <x:c r="C193" s="56" t="str">
        <x:v>jumpluff</x:v>
      </x:c>
      <x:c r="D193" s="56" t="str">
        <x:v>평원</x:v>
      </x:c>
      <x:c r="E193" s="56" t="str">
        <x:v>흔함</x:v>
      </x:c>
      <x:c r="F193" s="56" t="str">
        <x:v>아니오</x:v>
      </x:c>
      <x:c r="G193" s="56" t="str">
        <x:v>아니오</x:v>
      </x:c>
      <x:c r="H193" s="56" t="str">
        <x:v>예</x:v>
      </x:c>
      <x:c r="I193" s="56" t="str">
        <x:v>—</x:v>
      </x:c>
      <x:c r="J193" s="57" t="str">
        <x:v>—</x:v>
      </x:c>
      <x:c r="K193" s="57" t="str">
        <x:v>포함</x:v>
      </x:c>
      <x:c r="L193" s="57" t="str">
        <x:v>—</x:v>
      </x:c>
      <x:c r="M193" s="57" t="str">
        <x:v>—</x:v>
      </x:c>
      <x:c r="N193" s="57" t="str">
        <x:v>—</x:v>
      </x:c>
      <x:c r="O193" s="57" t="str">
        <x:v>포함</x:v>
      </x:c>
      <x:c r="P193" s="57" t="str">
        <x:v>—</x:v>
      </x:c>
      <x:c r="Q193" s="57" t="str">
        <x:v>—</x:v>
      </x:c>
      <x:c r="R193" s="57" t="str">
        <x:v>포함</x:v>
      </x:c>
    </x:row>
    <x:row r="194">
      <x:c r="A194" s="60" t="n">
        <x:v>190</x:v>
      </x:c>
      <x:c r="B194" s="56" t="str">
        <x:v>에이팜</x:v>
      </x:c>
      <x:c r="C194" s="56" t="str">
        <x:v>aipom</x:v>
      </x:c>
      <x:c r="D194" s="56" t="str">
        <x:v>숲</x:v>
      </x:c>
      <x:c r="E194" s="56" t="str">
        <x:v>흔함</x:v>
      </x:c>
      <x:c r="F194" s="56" t="str">
        <x:v>아니오</x:v>
      </x:c>
      <x:c r="G194" s="56" t="str">
        <x:v>아니오</x:v>
      </x:c>
      <x:c r="H194" s="56" t="str">
        <x:v>예</x:v>
      </x:c>
      <x:c r="I194" s="56" t="str">
        <x:v>—</x:v>
      </x:c>
      <x:c r="J194" s="57" t="str">
        <x:v>—</x:v>
      </x:c>
      <x:c r="K194" s="57" t="str">
        <x:v>포함</x:v>
      </x:c>
      <x:c r="L194" s="57" t="str">
        <x:v>—</x:v>
      </x:c>
      <x:c r="M194" s="57" t="str">
        <x:v>포함</x:v>
      </x:c>
      <x:c r="N194" s="57" t="str">
        <x:v>—</x:v>
      </x:c>
      <x:c r="O194" s="57" t="str">
        <x:v>—</x:v>
      </x:c>
      <x:c r="P194" s="57" t="str">
        <x:v>포함</x:v>
      </x:c>
      <x:c r="Q194" s="57" t="str">
        <x:v>—</x:v>
      </x:c>
      <x:c r="R194" s="57" t="str">
        <x:v>포함</x:v>
      </x:c>
    </x:row>
    <x:row r="195">
      <x:c r="A195" s="60" t="n">
        <x:v>191</x:v>
      </x:c>
      <x:c r="B195" s="56" t="str">
        <x:v>해너츠</x:v>
      </x:c>
      <x:c r="C195" s="56" t="str">
        <x:v>sunkern</x:v>
      </x:c>
      <x:c r="D195" s="56" t="str">
        <x:v>평원</x:v>
      </x:c>
      <x:c r="E195" s="56" t="str">
        <x:v>흔함</x:v>
      </x:c>
      <x:c r="F195" s="56" t="str">
        <x:v>아니오</x:v>
      </x:c>
      <x:c r="G195" s="56" t="str">
        <x:v>아니오</x:v>
      </x:c>
      <x:c r="H195" s="56" t="str">
        <x:v>예</x:v>
      </x:c>
      <x:c r="I195" s="56" t="str">
        <x:v>—</x:v>
      </x:c>
      <x:c r="J195" s="57" t="str">
        <x:v>—</x:v>
      </x:c>
      <x:c r="K195" s="57" t="str">
        <x:v>포함</x:v>
      </x:c>
      <x:c r="L195" s="57" t="str">
        <x:v>—</x:v>
      </x:c>
      <x:c r="M195" s="57" t="str">
        <x:v>—</x:v>
      </x:c>
      <x:c r="N195" s="57" t="str">
        <x:v>포함</x:v>
      </x:c>
      <x:c r="O195" s="57" t="str">
        <x:v>—</x:v>
      </x:c>
      <x:c r="P195" s="57" t="str">
        <x:v>—</x:v>
      </x:c>
      <x:c r="Q195" s="57" t="str">
        <x:v>—</x:v>
      </x:c>
      <x:c r="R195" s="57" t="str">
        <x:v>포함</x:v>
      </x:c>
    </x:row>
    <x:row r="196">
      <x:c r="A196" s="60" t="n">
        <x:v>192</x:v>
      </x:c>
      <x:c r="B196" s="56" t="str">
        <x:v>해루미</x:v>
      </x:c>
      <x:c r="C196" s="56" t="str">
        <x:v>sunflora</x:v>
      </x:c>
      <x:c r="D196" s="56" t="str">
        <x:v>평원</x:v>
      </x:c>
      <x:c r="E196" s="56" t="str">
        <x:v>흔함</x:v>
      </x:c>
      <x:c r="F196" s="56" t="str">
        <x:v>아니오</x:v>
      </x:c>
      <x:c r="G196" s="56" t="str">
        <x:v>아니오</x:v>
      </x:c>
      <x:c r="H196" s="56" t="str">
        <x:v>예</x:v>
      </x:c>
      <x:c r="I196" s="56" t="str">
        <x:v>—</x:v>
      </x:c>
      <x:c r="J196" s="57" t="str">
        <x:v>—</x:v>
      </x:c>
      <x:c r="K196" s="57" t="str">
        <x:v>포함</x:v>
      </x:c>
      <x:c r="L196" s="57" t="str">
        <x:v>—</x:v>
      </x:c>
      <x:c r="M196" s="57" t="str">
        <x:v>—</x:v>
      </x:c>
      <x:c r="N196" s="57" t="str">
        <x:v>포함</x:v>
      </x:c>
      <x:c r="O196" s="57" t="str">
        <x:v>—</x:v>
      </x:c>
      <x:c r="P196" s="57" t="str">
        <x:v>—</x:v>
      </x:c>
      <x:c r="Q196" s="57" t="str">
        <x:v>—</x:v>
      </x:c>
      <x:c r="R196" s="57" t="str">
        <x:v>포함</x:v>
      </x:c>
    </x:row>
    <x:row r="197">
      <x:c r="A197" s="60" t="n">
        <x:v>193</x:v>
      </x:c>
      <x:c r="B197" s="56" t="str">
        <x:v>왕자리</x:v>
      </x:c>
      <x:c r="C197" s="56" t="str">
        <x:v>yanma</x:v>
      </x:c>
      <x:c r="D197" s="56" t="str">
        <x:v>담수</x:v>
      </x:c>
      <x:c r="E197" s="56" t="str">
        <x:v>보통</x:v>
      </x:c>
      <x:c r="F197" s="56" t="str">
        <x:v>아니오</x:v>
      </x:c>
      <x:c r="G197" s="56" t="str">
        <x:v>아니오</x:v>
      </x:c>
      <x:c r="H197" s="56" t="str">
        <x:v>예</x:v>
      </x:c>
      <x:c r="I197" s="56" t="str">
        <x:v>—</x:v>
      </x:c>
      <x:c r="J197" s="57" t="str">
        <x:v>—</x:v>
      </x:c>
      <x:c r="K197" s="57" t="str">
        <x:v>포함</x:v>
      </x:c>
      <x:c r="L197" s="57" t="str">
        <x:v>—</x:v>
      </x:c>
      <x:c r="M197" s="57" t="str">
        <x:v>포함</x:v>
      </x:c>
      <x:c r="N197" s="57" t="str">
        <x:v>포함</x:v>
      </x:c>
      <x:c r="O197" s="57" t="str">
        <x:v>포함</x:v>
      </x:c>
      <x:c r="P197" s="57" t="str">
        <x:v>—</x:v>
      </x:c>
      <x:c r="Q197" s="57" t="str">
        <x:v>—</x:v>
      </x:c>
      <x:c r="R197" s="57" t="str">
        <x:v>포함</x:v>
      </x:c>
    </x:row>
    <x:row r="198">
      <x:c r="A198" s="60" t="n">
        <x:v>194</x:v>
      </x:c>
      <x:c r="B198" s="56" t="str">
        <x:v>우파</x:v>
      </x:c>
      <x:c r="C198" s="56" t="str">
        <x:v>wooper</x:v>
      </x:c>
      <x:c r="D198" s="56" t="str">
        <x:v>습지</x:v>
      </x:c>
      <x:c r="E198" s="56" t="str">
        <x:v>보통</x:v>
      </x:c>
      <x:c r="F198" s="56" t="str">
        <x:v>아니오</x:v>
      </x:c>
      <x:c r="G198" s="56" t="str">
        <x:v>아니오</x:v>
      </x:c>
      <x:c r="H198" s="56" t="str">
        <x:v>예</x:v>
      </x:c>
      <x:c r="I198" s="56" t="str">
        <x:v>—</x:v>
      </x:c>
      <x:c r="J198" s="57" t="str">
        <x:v>—</x:v>
      </x:c>
      <x:c r="K198" s="57" t="str">
        <x:v>포함</x:v>
      </x:c>
      <x:c r="L198" s="57" t="str">
        <x:v>—</x:v>
      </x:c>
      <x:c r="M198" s="57" t="str">
        <x:v>포함</x:v>
      </x:c>
      <x:c r="N198" s="57" t="str">
        <x:v>—</x:v>
      </x:c>
      <x:c r="O198" s="57" t="str">
        <x:v>포함</x:v>
      </x:c>
      <x:c r="P198" s="57" t="str">
        <x:v>—</x:v>
      </x:c>
      <x:c r="Q198" s="57" t="str">
        <x:v>포함</x:v>
      </x:c>
      <x:c r="R198" s="57" t="str">
        <x:v>포함</x:v>
      </x:c>
    </x:row>
    <x:row r="199">
      <x:c r="A199" s="60" t="n">
        <x:v>195</x:v>
      </x:c>
      <x:c r="B199" s="56" t="str">
        <x:v>누오</x:v>
      </x:c>
      <x:c r="C199" s="56" t="str">
        <x:v>quagsire</x:v>
      </x:c>
      <x:c r="D199" s="56" t="str">
        <x:v>습지</x:v>
      </x:c>
      <x:c r="E199" s="56" t="str">
        <x:v>보통</x:v>
      </x:c>
      <x:c r="F199" s="56" t="str">
        <x:v>아니오</x:v>
      </x:c>
      <x:c r="G199" s="56" t="str">
        <x:v>아니오</x:v>
      </x:c>
      <x:c r="H199" s="56" t="str">
        <x:v>예</x:v>
      </x:c>
      <x:c r="I199" s="56" t="str">
        <x:v>—</x:v>
      </x:c>
      <x:c r="J199" s="57" t="str">
        <x:v>—</x:v>
      </x:c>
      <x:c r="K199" s="57" t="str">
        <x:v>포함</x:v>
      </x:c>
      <x:c r="L199" s="57" t="str">
        <x:v>—</x:v>
      </x:c>
      <x:c r="M199" s="57" t="str">
        <x:v>포함</x:v>
      </x:c>
      <x:c r="N199" s="57" t="str">
        <x:v>—</x:v>
      </x:c>
      <x:c r="O199" s="57" t="str">
        <x:v>포함</x:v>
      </x:c>
      <x:c r="P199" s="57" t="str">
        <x:v>—</x:v>
      </x:c>
      <x:c r="Q199" s="57" t="str">
        <x:v>포함</x:v>
      </x:c>
      <x:c r="R199" s="57" t="str">
        <x:v>포함</x:v>
      </x:c>
    </x:row>
    <x:row r="200">
      <x:c r="A200" s="60" t="n">
        <x:v>196</x:v>
      </x:c>
      <x:c r="B200" s="56" t="str">
        <x:v>에브이</x:v>
      </x:c>
      <x:c r="C200" s="56" t="str">
        <x:v>espeon</x:v>
      </x:c>
      <x:c r="D200" s="56" t="str">
        <x:v>산악</x:v>
      </x:c>
      <x:c r="E200" s="56" t="str">
        <x:v>보통</x:v>
      </x:c>
      <x:c r="F200" s="56" t="str">
        <x:v>아니오</x:v>
      </x:c>
      <x:c r="G200" s="56" t="str">
        <x:v>아니오</x:v>
      </x:c>
      <x:c r="H200" s="56" t="str">
        <x:v>예</x:v>
      </x:c>
      <x:c r="I200" s="56" t="str">
        <x:v>—</x:v>
      </x:c>
      <x:c r="J200" s="57" t="str">
        <x:v>—</x:v>
      </x:c>
      <x:c r="K200" s="57" t="str">
        <x:v>포함</x:v>
      </x:c>
      <x:c r="L200" s="57" t="str">
        <x:v>—</x:v>
      </x:c>
      <x:c r="M200" s="57" t="str">
        <x:v>포함</x:v>
      </x:c>
      <x:c r="N200" s="57" t="str">
        <x:v>포함</x:v>
      </x:c>
      <x:c r="O200" s="57" t="str">
        <x:v>포함</x:v>
      </x:c>
      <x:c r="P200" s="57" t="str">
        <x:v>포함</x:v>
      </x:c>
      <x:c r="Q200" s="57" t="str">
        <x:v>포함</x:v>
      </x:c>
      <x:c r="R200" s="57" t="str">
        <x:v>포함</x:v>
      </x:c>
    </x:row>
    <x:row r="201">
      <x:c r="A201" s="60" t="n">
        <x:v>197</x:v>
      </x:c>
      <x:c r="B201" s="56" t="str">
        <x:v>블래키</x:v>
      </x:c>
      <x:c r="C201" s="56" t="str">
        <x:v>umbreon</x:v>
      </x:c>
      <x:c r="D201" s="56" t="str">
        <x:v>특수</x:v>
      </x:c>
      <x:c r="E201" s="56" t="str">
        <x:v>보통</x:v>
      </x:c>
      <x:c r="F201" s="56" t="str">
        <x:v>아니오</x:v>
      </x:c>
      <x:c r="G201" s="56" t="str">
        <x:v>아니오</x:v>
      </x:c>
      <x:c r="H201" s="56" t="str">
        <x:v>예</x:v>
      </x:c>
      <x:c r="I201" s="56" t="str">
        <x:v>—</x:v>
      </x:c>
      <x:c r="J201" s="57" t="str">
        <x:v>—</x:v>
      </x:c>
      <x:c r="K201" s="57" t="str">
        <x:v>포함</x:v>
      </x:c>
      <x:c r="L201" s="57" t="str">
        <x:v>—</x:v>
      </x:c>
      <x:c r="M201" s="57" t="str">
        <x:v>포함</x:v>
      </x:c>
      <x:c r="N201" s="57" t="str">
        <x:v>포함</x:v>
      </x:c>
      <x:c r="O201" s="57" t="str">
        <x:v>포함</x:v>
      </x:c>
      <x:c r="P201" s="57" t="str">
        <x:v>포함</x:v>
      </x:c>
      <x:c r="Q201" s="57" t="str">
        <x:v>포함</x:v>
      </x:c>
      <x:c r="R201" s="57" t="str">
        <x:v>포함</x:v>
      </x:c>
    </x:row>
    <x:row r="202">
      <x:c r="A202" s="60" t="n">
        <x:v>198</x:v>
      </x:c>
      <x:c r="B202" s="56" t="str">
        <x:v>니로우</x:v>
      </x:c>
      <x:c r="C202" s="56" t="str">
        <x:v>murkrow</x:v>
      </x:c>
      <x:c r="D202" s="56" t="str">
        <x:v>특수</x:v>
      </x:c>
      <x:c r="E202" s="56" t="str">
        <x:v>흔함</x:v>
      </x:c>
      <x:c r="F202" s="56" t="str">
        <x:v>아니오</x:v>
      </x:c>
      <x:c r="G202" s="56" t="str">
        <x:v>아니오</x:v>
      </x:c>
      <x:c r="H202" s="56" t="str">
        <x:v>예</x:v>
      </x:c>
      <x:c r="I202" s="56" t="str">
        <x:v>—</x:v>
      </x:c>
      <x:c r="J202" s="57" t="str">
        <x:v>—</x:v>
      </x:c>
      <x:c r="K202" s="57" t="str">
        <x:v>포함</x:v>
      </x:c>
      <x:c r="L202" s="57" t="str">
        <x:v>—</x:v>
      </x:c>
      <x:c r="M202" s="57" t="str">
        <x:v>포함</x:v>
      </x:c>
      <x:c r="N202" s="57" t="str">
        <x:v>—</x:v>
      </x:c>
      <x:c r="O202" s="57" t="str">
        <x:v>포함</x:v>
      </x:c>
      <x:c r="P202" s="57" t="str">
        <x:v>포함</x:v>
      </x:c>
      <x:c r="Q202" s="57" t="str">
        <x:v>—</x:v>
      </x:c>
      <x:c r="R202" s="57" t="str">
        <x:v>포함</x:v>
      </x:c>
    </x:row>
    <x:row r="203">
      <x:c r="A203" s="60" t="n">
        <x:v>199</x:v>
      </x:c>
      <x:c r="B203" s="56" t="str">
        <x:v>야도킹</x:v>
      </x:c>
      <x:c r="C203" s="56" t="str">
        <x:v>slowking</x:v>
      </x:c>
      <x:c r="D203" s="56" t="str">
        <x:v>해양</x:v>
      </x:c>
      <x:c r="E203" s="56" t="str">
        <x:v>흔함</x:v>
      </x:c>
      <x:c r="F203" s="56" t="str">
        <x:v>아니오</x:v>
      </x:c>
      <x:c r="G203" s="56" t="str">
        <x:v>아니오</x:v>
      </x:c>
      <x:c r="H203" s="56" t="str">
        <x:v>예</x:v>
      </x:c>
      <x:c r="I203" s="56" t="str">
        <x:v>—</x:v>
      </x:c>
      <x:c r="J203" s="57" t="str">
        <x:v>—</x:v>
      </x:c>
      <x:c r="K203" s="57" t="str">
        <x:v>포함</x:v>
      </x:c>
      <x:c r="L203" s="57" t="str">
        <x:v>—</x:v>
      </x:c>
      <x:c r="M203" s="57" t="str">
        <x:v>—</x:v>
      </x:c>
      <x:c r="N203" s="57" t="str">
        <x:v>—</x:v>
      </x:c>
      <x:c r="O203" s="57" t="str">
        <x:v>포함</x:v>
      </x:c>
      <x:c r="P203" s="57" t="str">
        <x:v>포함</x:v>
      </x:c>
      <x:c r="Q203" s="57" t="str">
        <x:v>포함</x:v>
      </x:c>
      <x:c r="R203" s="57" t="str">
        <x:v>포함</x:v>
      </x:c>
    </x:row>
    <x:row r="204">
      <x:c r="A204" s="60" t="n">
        <x:v>200</x:v>
      </x:c>
      <x:c r="B204" s="56" t="str">
        <x:v>무우마</x:v>
      </x:c>
      <x:c r="C204" s="56" t="str">
        <x:v>misdreavus</x:v>
      </x:c>
      <x:c r="D204" s="56" t="str">
        <x:v>특수</x:v>
      </x:c>
      <x:c r="E204" s="56" t="str">
        <x:v>흔함</x:v>
      </x:c>
      <x:c r="F204" s="56" t="str">
        <x:v>아니오</x:v>
      </x:c>
      <x:c r="G204" s="56" t="str">
        <x:v>아니오</x:v>
      </x:c>
      <x:c r="H204" s="56" t="str">
        <x:v>예</x:v>
      </x:c>
      <x:c r="I204" s="56" t="str">
        <x:v>—</x:v>
      </x:c>
      <x:c r="J204" s="57" t="str">
        <x:v>—</x:v>
      </x:c>
      <x:c r="K204" s="57" t="str">
        <x:v>포함</x:v>
      </x:c>
      <x:c r="L204" s="57" t="str">
        <x:v>—</x:v>
      </x:c>
      <x:c r="M204" s="57" t="str">
        <x:v>포함</x:v>
      </x:c>
      <x:c r="N204" s="57" t="str">
        <x:v>—</x:v>
      </x:c>
      <x:c r="O204" s="57" t="str">
        <x:v>—</x:v>
      </x:c>
      <x:c r="P204" s="57" t="str">
        <x:v>포함</x:v>
      </x:c>
      <x:c r="Q204" s="57" t="str">
        <x:v>—</x:v>
      </x:c>
      <x:c r="R204" s="57" t="str">
        <x:v>포함</x:v>
      </x:c>
    </x:row>
    <x:row r="205">
      <x:c r="A205" s="60" t="n">
        <x:v>201</x:v>
      </x:c>
      <x:c r="B205" s="56" t="str">
        <x:v>안농</x:v>
      </x:c>
      <x:c r="C205" s="56" t="str">
        <x:v>unown</x:v>
      </x:c>
      <x:c r="D205" s="56" t="str">
        <x:v>평원</x:v>
      </x:c>
      <x:c r="E205" s="56" t="str">
        <x:v>흔함</x:v>
      </x:c>
      <x:c r="F205" s="56" t="str">
        <x:v>아니오</x:v>
      </x:c>
      <x:c r="G205" s="56" t="str">
        <x:v>아니오</x:v>
      </x:c>
      <x:c r="H205" s="56" t="str">
        <x:v>예</x:v>
      </x:c>
      <x:c r="I205" s="56" t="str">
        <x:v>—</x:v>
      </x:c>
      <x:c r="J205" s="57" t="str">
        <x:v>—</x:v>
      </x:c>
      <x:c r="K205" s="57" t="str">
        <x:v>포함</x:v>
      </x:c>
      <x:c r="L205" s="57" t="str">
        <x:v>—</x:v>
      </x:c>
      <x:c r="M205" s="57" t="str">
        <x:v>포함</x:v>
      </x:c>
      <x:c r="N205" s="57" t="str">
        <x:v>—</x:v>
      </x:c>
      <x:c r="O205" s="57" t="str">
        <x:v>—</x:v>
      </x:c>
      <x:c r="P205" s="57" t="str">
        <x:v>—</x:v>
      </x:c>
      <x:c r="Q205" s="57" t="str">
        <x:v>—</x:v>
      </x:c>
      <x:c r="R205" s="57" t="str">
        <x:v>—</x:v>
      </x:c>
    </x:row>
    <x:row r="206">
      <x:c r="A206" s="60" t="n">
        <x:v>202</x:v>
      </x:c>
      <x:c r="B206" s="56" t="str">
        <x:v>마자용</x:v>
      </x:c>
      <x:c r="C206" s="56" t="str">
        <x:v>wobbuffet</x:v>
      </x:c>
      <x:c r="D206" s="56" t="str">
        <x:v>평원</x:v>
      </x:c>
      <x:c r="E206" s="56" t="str">
        <x:v>드묾</x:v>
      </x:c>
      <x:c r="F206" s="56" t="str">
        <x:v>아니오</x:v>
      </x:c>
      <x:c r="G206" s="56" t="str">
        <x:v>아니오</x:v>
      </x:c>
      <x:c r="H206" s="56" t="str">
        <x:v>예</x:v>
      </x:c>
      <x:c r="I206" s="56" t="str">
        <x:v>—</x:v>
      </x:c>
      <x:c r="J206" s="57" t="str">
        <x:v>—</x:v>
      </x:c>
      <x:c r="K206" s="57" t="str">
        <x:v>포함</x:v>
      </x:c>
      <x:c r="L206" s="57" t="str">
        <x:v>포함</x:v>
      </x:c>
      <x:c r="M206" s="57" t="str">
        <x:v>—</x:v>
      </x:c>
      <x:c r="N206" s="57" t="str">
        <x:v>—</x:v>
      </x:c>
      <x:c r="O206" s="57" t="str">
        <x:v>포함</x:v>
      </x:c>
      <x:c r="P206" s="57" t="str">
        <x:v>—</x:v>
      </x:c>
      <x:c r="Q206" s="57" t="str">
        <x:v>포함</x:v>
      </x:c>
      <x:c r="R206" s="57" t="str">
        <x:v>—</x:v>
      </x:c>
    </x:row>
    <x:row r="207">
      <x:c r="A207" s="60" t="n">
        <x:v>203</x:v>
      </x:c>
      <x:c r="B207" s="56" t="str">
        <x:v>키링키</x:v>
      </x:c>
      <x:c r="C207" s="56" t="str">
        <x:v>girafarig</x:v>
      </x:c>
      <x:c r="D207" s="56" t="str">
        <x:v>평원</x:v>
      </x:c>
      <x:c r="E207" s="56" t="str">
        <x:v>흔함</x:v>
      </x:c>
      <x:c r="F207" s="56" t="str">
        <x:v>아니오</x:v>
      </x:c>
      <x:c r="G207" s="56" t="str">
        <x:v>아니오</x:v>
      </x:c>
      <x:c r="H207" s="56" t="str">
        <x:v>예</x:v>
      </x:c>
      <x:c r="I207" s="56" t="str">
        <x:v>—</x:v>
      </x:c>
      <x:c r="J207" s="57" t="str">
        <x:v>—</x:v>
      </x:c>
      <x:c r="K207" s="57" t="str">
        <x:v>포함</x:v>
      </x:c>
      <x:c r="L207" s="57" t="str">
        <x:v>포함</x:v>
      </x:c>
      <x:c r="M207" s="57" t="str">
        <x:v>포함</x:v>
      </x:c>
      <x:c r="N207" s="57" t="str">
        <x:v>—</x:v>
      </x:c>
      <x:c r="O207" s="57" t="str">
        <x:v>—</x:v>
      </x:c>
      <x:c r="P207" s="57" t="str">
        <x:v>—</x:v>
      </x:c>
      <x:c r="Q207" s="57" t="str">
        <x:v>—</x:v>
      </x:c>
      <x:c r="R207" s="57" t="str">
        <x:v>포함</x:v>
      </x:c>
    </x:row>
    <x:row r="208">
      <x:c r="A208" s="60" t="n">
        <x:v>204</x:v>
      </x:c>
      <x:c r="B208" s="56" t="str">
        <x:v>피콘</x:v>
      </x:c>
      <x:c r="C208" s="56" t="str">
        <x:v>pineco</x:v>
      </x:c>
      <x:c r="D208" s="56" t="str">
        <x:v>숲</x:v>
      </x:c>
      <x:c r="E208" s="56" t="str">
        <x:v>흔함</x:v>
      </x:c>
      <x:c r="F208" s="56" t="str">
        <x:v>아니오</x:v>
      </x:c>
      <x:c r="G208" s="56" t="str">
        <x:v>아니오</x:v>
      </x:c>
      <x:c r="H208" s="56" t="str">
        <x:v>예</x:v>
      </x:c>
      <x:c r="I208" s="56" t="str">
        <x:v>—</x:v>
      </x:c>
      <x:c r="J208" s="57" t="str">
        <x:v>—</x:v>
      </x:c>
      <x:c r="K208" s="57" t="str">
        <x:v>포함</x:v>
      </x:c>
      <x:c r="L208" s="57" t="str">
        <x:v>—</x:v>
      </x:c>
      <x:c r="M208" s="57" t="str">
        <x:v>—</x:v>
      </x:c>
      <x:c r="N208" s="57" t="str">
        <x:v>—</x:v>
      </x:c>
      <x:c r="O208" s="57" t="str">
        <x:v>—</x:v>
      </x:c>
      <x:c r="P208" s="57" t="str">
        <x:v>포함</x:v>
      </x:c>
      <x:c r="Q208" s="57" t="str">
        <x:v>—</x:v>
      </x:c>
      <x:c r="R208" s="57" t="str">
        <x:v>포함</x:v>
      </x:c>
    </x:row>
    <x:row r="209">
      <x:c r="A209" s="60" t="n">
        <x:v>205</x:v>
      </x:c>
      <x:c r="B209" s="56" t="str">
        <x:v>쏘콘</x:v>
      </x:c>
      <x:c r="C209" s="56" t="str">
        <x:v>forretress</x:v>
      </x:c>
      <x:c r="D209" s="56" t="str">
        <x:v>숲</x:v>
      </x:c>
      <x:c r="E209" s="56" t="str">
        <x:v>흔함</x:v>
      </x:c>
      <x:c r="F209" s="56" t="str">
        <x:v>아니오</x:v>
      </x:c>
      <x:c r="G209" s="56" t="str">
        <x:v>아니오</x:v>
      </x:c>
      <x:c r="H209" s="56" t="str">
        <x:v>예</x:v>
      </x:c>
      <x:c r="I209" s="56" t="str">
        <x:v>—</x:v>
      </x:c>
      <x:c r="J209" s="57" t="str">
        <x:v>—</x:v>
      </x:c>
      <x:c r="K209" s="57" t="str">
        <x:v>포함</x:v>
      </x:c>
      <x:c r="L209" s="57" t="str">
        <x:v>—</x:v>
      </x:c>
      <x:c r="M209" s="57" t="str">
        <x:v>—</x:v>
      </x:c>
      <x:c r="N209" s="57" t="str">
        <x:v>—</x:v>
      </x:c>
      <x:c r="O209" s="57" t="str">
        <x:v>—</x:v>
      </x:c>
      <x:c r="P209" s="57" t="str">
        <x:v>포함</x:v>
      </x:c>
      <x:c r="Q209" s="57" t="str">
        <x:v>—</x:v>
      </x:c>
      <x:c r="R209" s="57" t="str">
        <x:v>포함</x:v>
      </x:c>
    </x:row>
    <x:row r="210">
      <x:c r="A210" s="60" t="n">
        <x:v>206</x:v>
      </x:c>
      <x:c r="B210" s="56" t="str">
        <x:v>노고치</x:v>
      </x:c>
      <x:c r="C210" s="56" t="str">
        <x:v>dunsparce</x:v>
      </x:c>
      <x:c r="D210" s="56" t="str">
        <x:v>평원</x:v>
      </x:c>
      <x:c r="E210" s="56" t="str">
        <x:v>드묾</x:v>
      </x:c>
      <x:c r="F210" s="56" t="str">
        <x:v>아니오</x:v>
      </x:c>
      <x:c r="G210" s="56" t="str">
        <x:v>아니오</x:v>
      </x:c>
      <x:c r="H210" s="56" t="str">
        <x:v>예</x:v>
      </x:c>
      <x:c r="I210" s="56" t="str">
        <x:v>—</x:v>
      </x:c>
      <x:c r="J210" s="57" t="str">
        <x:v>—</x:v>
      </x:c>
      <x:c r="K210" s="57" t="str">
        <x:v>포함</x:v>
      </x:c>
      <x:c r="L210" s="57" t="str">
        <x:v>—</x:v>
      </x:c>
      <x:c r="M210" s="57" t="str">
        <x:v>—</x:v>
      </x:c>
      <x:c r="N210" s="57" t="str">
        <x:v>포함</x:v>
      </x:c>
      <x:c r="O210" s="57" t="str">
        <x:v>포함</x:v>
      </x:c>
      <x:c r="P210" s="57" t="str">
        <x:v>포함</x:v>
      </x:c>
      <x:c r="Q210" s="57" t="str">
        <x:v>포함</x:v>
      </x:c>
      <x:c r="R210" s="57" t="str">
        <x:v>포함</x:v>
      </x:c>
    </x:row>
    <x:row r="211">
      <x:c r="A211" s="60" t="n">
        <x:v>207</x:v>
      </x:c>
      <x:c r="B211" s="56" t="str">
        <x:v>글라이거</x:v>
      </x:c>
      <x:c r="C211" s="56" t="str">
        <x:v>gligar</x:v>
      </x:c>
      <x:c r="D211" s="56" t="str">
        <x:v>화산</x:v>
      </x:c>
      <x:c r="E211" s="56" t="str">
        <x:v>보통</x:v>
      </x:c>
      <x:c r="F211" s="56" t="str">
        <x:v>아니오</x:v>
      </x:c>
      <x:c r="G211" s="56" t="str">
        <x:v>아니오</x:v>
      </x:c>
      <x:c r="H211" s="56" t="str">
        <x:v>예</x:v>
      </x:c>
      <x:c r="I211" s="56" t="str">
        <x:v>—</x:v>
      </x:c>
      <x:c r="J211" s="57" t="str">
        <x:v>—</x:v>
      </x:c>
      <x:c r="K211" s="57" t="str">
        <x:v>포함</x:v>
      </x:c>
      <x:c r="L211" s="57" t="str">
        <x:v>—</x:v>
      </x:c>
      <x:c r="M211" s="57" t="str">
        <x:v>포함</x:v>
      </x:c>
      <x:c r="N211" s="57" t="str">
        <x:v>포함</x:v>
      </x:c>
      <x:c r="O211" s="57" t="str">
        <x:v>포함</x:v>
      </x:c>
      <x:c r="P211" s="57" t="str">
        <x:v>—</x:v>
      </x:c>
      <x:c r="Q211" s="57" t="str">
        <x:v>—</x:v>
      </x:c>
      <x:c r="R211" s="57" t="str">
        <x:v>포함</x:v>
      </x:c>
    </x:row>
    <x:row r="212">
      <x:c r="A212" s="60" t="n">
        <x:v>208</x:v>
      </x:c>
      <x:c r="B212" s="56" t="str">
        <x:v>강철톤</x:v>
      </x:c>
      <x:c r="C212" s="56" t="str">
        <x:v>steelix</x:v>
      </x:c>
      <x:c r="D212" s="56" t="str">
        <x:v>화산</x:v>
      </x:c>
      <x:c r="E212" s="56" t="str">
        <x:v>보통</x:v>
      </x:c>
      <x:c r="F212" s="56" t="str">
        <x:v>아니오</x:v>
      </x:c>
      <x:c r="G212" s="56" t="str">
        <x:v>아니오</x:v>
      </x:c>
      <x:c r="H212" s="56" t="str">
        <x:v>예</x:v>
      </x:c>
      <x:c r="I212" s="56" t="str">
        <x:v>—</x:v>
      </x:c>
      <x:c r="J212" s="57" t="str">
        <x:v>—</x:v>
      </x:c>
      <x:c r="K212" s="57" t="str">
        <x:v>포함</x:v>
      </x:c>
      <x:c r="L212" s="57" t="str">
        <x:v>—</x:v>
      </x:c>
      <x:c r="M212" s="57" t="str">
        <x:v>포함</x:v>
      </x:c>
      <x:c r="N212" s="57" t="str">
        <x:v>포함</x:v>
      </x:c>
      <x:c r="O212" s="57" t="str">
        <x:v>포함</x:v>
      </x:c>
      <x:c r="P212" s="57" t="str">
        <x:v>—</x:v>
      </x:c>
      <x:c r="Q212" s="57" t="str">
        <x:v>포함</x:v>
      </x:c>
      <x:c r="R212" s="57" t="str">
        <x:v>—</x:v>
      </x:c>
    </x:row>
    <x:row r="213">
      <x:c r="A213" s="60" t="n">
        <x:v>209</x:v>
      </x:c>
      <x:c r="B213" s="56" t="str">
        <x:v>블루</x:v>
      </x:c>
      <x:c r="C213" s="56" t="str">
        <x:v>snubbull</x:v>
      </x:c>
      <x:c r="D213" s="56" t="str">
        <x:v>평원</x:v>
      </x:c>
      <x:c r="E213" s="56" t="str">
        <x:v>흔함</x:v>
      </x:c>
      <x:c r="F213" s="56" t="str">
        <x:v>아니오</x:v>
      </x:c>
      <x:c r="G213" s="56" t="str">
        <x:v>아니오</x:v>
      </x:c>
      <x:c r="H213" s="56" t="str">
        <x:v>예</x:v>
      </x:c>
      <x:c r="I213" s="56" t="str">
        <x:v>—</x:v>
      </x:c>
      <x:c r="J213" s="57" t="str">
        <x:v>—</x:v>
      </x:c>
      <x:c r="K213" s="57" t="str">
        <x:v>포함</x:v>
      </x:c>
      <x:c r="L213" s="57" t="str">
        <x:v>—</x:v>
      </x:c>
      <x:c r="M213" s="57" t="str">
        <x:v>—</x:v>
      </x:c>
      <x:c r="N213" s="57" t="str">
        <x:v>—</x:v>
      </x:c>
      <x:c r="O213" s="57" t="str">
        <x:v>포함</x:v>
      </x:c>
      <x:c r="P213" s="57" t="str">
        <x:v>포함</x:v>
      </x:c>
      <x:c r="Q213" s="57" t="str">
        <x:v>—</x:v>
      </x:c>
      <x:c r="R213" s="57" t="str">
        <x:v>포함</x:v>
      </x:c>
    </x:row>
    <x:row r="214">
      <x:c r="A214" s="60" t="n">
        <x:v>210</x:v>
      </x:c>
      <x:c r="B214" s="56" t="str">
        <x:v>그랑블루</x:v>
      </x:c>
      <x:c r="C214" s="56" t="str">
        <x:v>granbull</x:v>
      </x:c>
      <x:c r="D214" s="56" t="str">
        <x:v>평원</x:v>
      </x:c>
      <x:c r="E214" s="56" t="str">
        <x:v>흔함</x:v>
      </x:c>
      <x:c r="F214" s="56" t="str">
        <x:v>아니오</x:v>
      </x:c>
      <x:c r="G214" s="56" t="str">
        <x:v>아니오</x:v>
      </x:c>
      <x:c r="H214" s="56" t="str">
        <x:v>예</x:v>
      </x:c>
      <x:c r="I214" s="56" t="str">
        <x:v>—</x:v>
      </x:c>
      <x:c r="J214" s="57" t="str">
        <x:v>—</x:v>
      </x:c>
      <x:c r="K214" s="57" t="str">
        <x:v>포함</x:v>
      </x:c>
      <x:c r="L214" s="57" t="str">
        <x:v>—</x:v>
      </x:c>
      <x:c r="M214" s="57" t="str">
        <x:v>—</x:v>
      </x:c>
      <x:c r="N214" s="57" t="str">
        <x:v>—</x:v>
      </x:c>
      <x:c r="O214" s="57" t="str">
        <x:v>포함</x:v>
      </x:c>
      <x:c r="P214" s="57" t="str">
        <x:v>포함</x:v>
      </x:c>
      <x:c r="Q214" s="57" t="str">
        <x:v>—</x:v>
      </x:c>
      <x:c r="R214" s="57" t="str">
        <x:v>포함</x:v>
      </x:c>
    </x:row>
    <x:row r="215">
      <x:c r="A215" s="60" t="n">
        <x:v>211</x:v>
      </x:c>
      <x:c r="B215" s="56" t="str">
        <x:v>침바루</x:v>
      </x:c>
      <x:c r="C215" s="56" t="str">
        <x:v>qwilfish</x:v>
      </x:c>
      <x:c r="D215" s="56" t="str">
        <x:v>해양</x:v>
      </x:c>
      <x:c r="E215" s="56" t="str">
        <x:v>보통</x:v>
      </x:c>
      <x:c r="F215" s="56" t="str">
        <x:v>아니오</x:v>
      </x:c>
      <x:c r="G215" s="56" t="str">
        <x:v>아니오</x:v>
      </x:c>
      <x:c r="H215" s="56" t="str">
        <x:v>예</x:v>
      </x:c>
      <x:c r="I215" s="56" t="str">
        <x:v>—</x:v>
      </x:c>
      <x:c r="J215" s="57" t="str">
        <x:v>—</x:v>
      </x:c>
      <x:c r="K215" s="57" t="str">
        <x:v>포함</x:v>
      </x:c>
      <x:c r="L215" s="57" t="str">
        <x:v>—</x:v>
      </x:c>
      <x:c r="M215" s="57" t="str">
        <x:v>—</x:v>
      </x:c>
      <x:c r="N215" s="57" t="str">
        <x:v>—</x:v>
      </x:c>
      <x:c r="O215" s="57" t="str">
        <x:v>포함</x:v>
      </x:c>
      <x:c r="P215" s="57" t="str">
        <x:v>—</x:v>
      </x:c>
      <x:c r="Q215" s="57" t="str">
        <x:v>포함</x:v>
      </x:c>
      <x:c r="R215" s="57" t="str">
        <x:v>포함</x:v>
      </x:c>
    </x:row>
    <x:row r="216">
      <x:c r="A216" s="60" t="n">
        <x:v>212</x:v>
      </x:c>
      <x:c r="B216" s="56" t="str">
        <x:v>핫삼</x:v>
      </x:c>
      <x:c r="C216" s="56" t="str">
        <x:v>scizor</x:v>
      </x:c>
      <x:c r="D216" s="56" t="str">
        <x:v>숲</x:v>
      </x:c>
      <x:c r="E216" s="56" t="str">
        <x:v>보통</x:v>
      </x:c>
      <x:c r="F216" s="56" t="str">
        <x:v>아니오</x:v>
      </x:c>
      <x:c r="G216" s="56" t="str">
        <x:v>아니오</x:v>
      </x:c>
      <x:c r="H216" s="56" t="str">
        <x:v>예</x:v>
      </x:c>
      <x:c r="I216" s="56" t="str">
        <x:v>—</x:v>
      </x:c>
      <x:c r="J216" s="57" t="str">
        <x:v>—</x:v>
      </x:c>
      <x:c r="K216" s="57" t="str">
        <x:v>포함</x:v>
      </x:c>
      <x:c r="L216" s="57" t="str">
        <x:v>—</x:v>
      </x:c>
      <x:c r="M216" s="57" t="str">
        <x:v>포함</x:v>
      </x:c>
      <x:c r="N216" s="57" t="str">
        <x:v>—</x:v>
      </x:c>
      <x:c r="O216" s="57" t="str">
        <x:v>포함</x:v>
      </x:c>
      <x:c r="P216" s="57" t="str">
        <x:v>포함</x:v>
      </x:c>
      <x:c r="Q216" s="57" t="str">
        <x:v>포함</x:v>
      </x:c>
      <x:c r="R216" s="57" t="str">
        <x:v>포함</x:v>
      </x:c>
    </x:row>
    <x:row r="217">
      <x:c r="A217" s="60" t="n">
        <x:v>213</x:v>
      </x:c>
      <x:c r="B217" s="56" t="str">
        <x:v>단단지</x:v>
      </x:c>
      <x:c r="C217" s="56" t="str">
        <x:v>shuckle</x:v>
      </x:c>
      <x:c r="D217" s="56" t="str">
        <x:v>산악</x:v>
      </x:c>
      <x:c r="E217" s="56" t="str">
        <x:v>보통</x:v>
      </x:c>
      <x:c r="F217" s="56" t="str">
        <x:v>아니오</x:v>
      </x:c>
      <x:c r="G217" s="56" t="str">
        <x:v>아니오</x:v>
      </x:c>
      <x:c r="H217" s="56" t="str">
        <x:v>예</x:v>
      </x:c>
      <x:c r="I217" s="56" t="str">
        <x:v>—</x:v>
      </x:c>
      <x:c r="J217" s="57" t="str">
        <x:v>—</x:v>
      </x:c>
      <x:c r="K217" s="57" t="str">
        <x:v>포함</x:v>
      </x:c>
      <x:c r="L217" s="57" t="str">
        <x:v>—</x:v>
      </x:c>
      <x:c r="M217" s="57" t="str">
        <x:v>—</x:v>
      </x:c>
      <x:c r="N217" s="57" t="str">
        <x:v>포함</x:v>
      </x:c>
      <x:c r="O217" s="57" t="str">
        <x:v>포함</x:v>
      </x:c>
      <x:c r="P217" s="57" t="str">
        <x:v>—</x:v>
      </x:c>
      <x:c r="Q217" s="57" t="str">
        <x:v>포함</x:v>
      </x:c>
      <x:c r="R217" s="57" t="str">
        <x:v>—</x:v>
      </x:c>
    </x:row>
    <x:row r="218">
      <x:c r="A218" s="60" t="n">
        <x:v>214</x:v>
      </x:c>
      <x:c r="B218" s="56" t="str">
        <x:v>헤라크로스</x:v>
      </x:c>
      <x:c r="C218" s="56" t="str">
        <x:v>heracross</x:v>
      </x:c>
      <x:c r="D218" s="56" t="str">
        <x:v>숲</x:v>
      </x:c>
      <x:c r="E218" s="56" t="str">
        <x:v>보통</x:v>
      </x:c>
      <x:c r="F218" s="56" t="str">
        <x:v>아니오</x:v>
      </x:c>
      <x:c r="G218" s="56" t="str">
        <x:v>아니오</x:v>
      </x:c>
      <x:c r="H218" s="56" t="str">
        <x:v>예</x:v>
      </x:c>
      <x:c r="I218" s="56" t="str">
        <x:v>—</x:v>
      </x:c>
      <x:c r="J218" s="57" t="str">
        <x:v>—</x:v>
      </x:c>
      <x:c r="K218" s="57" t="str">
        <x:v>포함</x:v>
      </x:c>
      <x:c r="L218" s="57" t="str">
        <x:v>포함</x:v>
      </x:c>
      <x:c r="M218" s="57" t="str">
        <x:v>포함</x:v>
      </x:c>
      <x:c r="N218" s="57" t="str">
        <x:v>포함</x:v>
      </x:c>
      <x:c r="O218" s="57" t="str">
        <x:v>포함</x:v>
      </x:c>
      <x:c r="P218" s="57" t="str">
        <x:v>포함</x:v>
      </x:c>
      <x:c r="Q218" s="57" t="str">
        <x:v>포함</x:v>
      </x:c>
      <x:c r="R218" s="57" t="str">
        <x:v>포함</x:v>
      </x:c>
    </x:row>
    <x:row r="219">
      <x:c r="A219" s="60" t="n">
        <x:v>215</x:v>
      </x:c>
      <x:c r="B219" s="56" t="str">
        <x:v>포푸니</x:v>
      </x:c>
      <x:c r="C219" s="56" t="str">
        <x:v>sneasel</x:v>
      </x:c>
      <x:c r="D219" s="56" t="str">
        <x:v>산악</x:v>
      </x:c>
      <x:c r="E219" s="56" t="str">
        <x:v>보통</x:v>
      </x:c>
      <x:c r="F219" s="56" t="str">
        <x:v>아니오</x:v>
      </x:c>
      <x:c r="G219" s="56" t="str">
        <x:v>아니오</x:v>
      </x:c>
      <x:c r="H219" s="56" t="str">
        <x:v>예</x:v>
      </x:c>
      <x:c r="I219" s="56" t="str">
        <x:v>—</x:v>
      </x:c>
      <x:c r="J219" s="57" t="str">
        <x:v>—</x:v>
      </x:c>
      <x:c r="K219" s="57" t="str">
        <x:v>포함</x:v>
      </x:c>
      <x:c r="L219" s="57" t="str">
        <x:v>—</x:v>
      </x:c>
      <x:c r="M219" s="57" t="str">
        <x:v>포함</x:v>
      </x:c>
      <x:c r="N219" s="57" t="str">
        <x:v>포함</x:v>
      </x:c>
      <x:c r="O219" s="57" t="str">
        <x:v>포함</x:v>
      </x:c>
      <x:c r="P219" s="57" t="str">
        <x:v>포함</x:v>
      </x:c>
      <x:c r="Q219" s="57" t="str">
        <x:v>포함</x:v>
      </x:c>
      <x:c r="R219" s="57" t="str">
        <x:v>포함</x:v>
      </x:c>
    </x:row>
    <x:row r="220">
      <x:c r="A220" s="60" t="n">
        <x:v>216</x:v>
      </x:c>
      <x:c r="B220" s="56" t="str">
        <x:v>깜지곰</x:v>
      </x:c>
      <x:c r="C220" s="56" t="str">
        <x:v>teddiursa</x:v>
      </x:c>
      <x:c r="D220" s="56" t="str">
        <x:v>숲</x:v>
      </x:c>
      <x:c r="E220" s="56" t="str">
        <x:v>흔함</x:v>
      </x:c>
      <x:c r="F220" s="56" t="str">
        <x:v>아니오</x:v>
      </x:c>
      <x:c r="G220" s="56" t="str">
        <x:v>아니오</x:v>
      </x:c>
      <x:c r="H220" s="56" t="str">
        <x:v>예</x:v>
      </x:c>
      <x:c r="I220" s="56" t="str">
        <x:v>—</x:v>
      </x:c>
      <x:c r="J220" s="57" t="str">
        <x:v>—</x:v>
      </x:c>
      <x:c r="K220" s="57" t="str">
        <x:v>포함</x:v>
      </x:c>
      <x:c r="L220" s="57" t="str">
        <x:v>—</x:v>
      </x:c>
      <x:c r="M220" s="57" t="str">
        <x:v>—</x:v>
      </x:c>
      <x:c r="N220" s="57" t="str">
        <x:v>—</x:v>
      </x:c>
      <x:c r="O220" s="57" t="str">
        <x:v>포함</x:v>
      </x:c>
      <x:c r="P220" s="57" t="str">
        <x:v>—</x:v>
      </x:c>
      <x:c r="Q220" s="57" t="str">
        <x:v>—</x:v>
      </x:c>
      <x:c r="R220" s="57" t="str">
        <x:v>포함</x:v>
      </x:c>
    </x:row>
    <x:row r="221">
      <x:c r="A221" s="60" t="n">
        <x:v>217</x:v>
      </x:c>
      <x:c r="B221" s="56" t="str">
        <x:v>링곰</x:v>
      </x:c>
      <x:c r="C221" s="56" t="str">
        <x:v>ursaring</x:v>
      </x:c>
      <x:c r="D221" s="56" t="str">
        <x:v>숲</x:v>
      </x:c>
      <x:c r="E221" s="56" t="str">
        <x:v>흔함</x:v>
      </x:c>
      <x:c r="F221" s="56" t="str">
        <x:v>아니오</x:v>
      </x:c>
      <x:c r="G221" s="56" t="str">
        <x:v>아니오</x:v>
      </x:c>
      <x:c r="H221" s="56" t="str">
        <x:v>예</x:v>
      </x:c>
      <x:c r="I221" s="56" t="str">
        <x:v>—</x:v>
      </x:c>
      <x:c r="J221" s="57" t="str">
        <x:v>—</x:v>
      </x:c>
      <x:c r="K221" s="57" t="str">
        <x:v>포함</x:v>
      </x:c>
      <x:c r="L221" s="57" t="str">
        <x:v>—</x:v>
      </x:c>
      <x:c r="M221" s="57" t="str">
        <x:v>—</x:v>
      </x:c>
      <x:c r="N221" s="57" t="str">
        <x:v>—</x:v>
      </x:c>
      <x:c r="O221" s="57" t="str">
        <x:v>포함</x:v>
      </x:c>
      <x:c r="P221" s="57" t="str">
        <x:v>—</x:v>
      </x:c>
      <x:c r="Q221" s="57" t="str">
        <x:v>—</x:v>
      </x:c>
      <x:c r="R221" s="57" t="str">
        <x:v>포함</x:v>
      </x:c>
    </x:row>
    <x:row r="222">
      <x:c r="A222" s="60" t="n">
        <x:v>218</x:v>
      </x:c>
      <x:c r="B222" s="56" t="str">
        <x:v>마그마그</x:v>
      </x:c>
      <x:c r="C222" s="56" t="str">
        <x:v>slugma</x:v>
      </x:c>
      <x:c r="D222" s="56" t="str">
        <x:v>화산</x:v>
      </x:c>
      <x:c r="E222" s="56" t="str">
        <x:v>흔함</x:v>
      </x:c>
      <x:c r="F222" s="56" t="str">
        <x:v>아니오</x:v>
      </x:c>
      <x:c r="G222" s="56" t="str">
        <x:v>아니오</x:v>
      </x:c>
      <x:c r="H222" s="56" t="str">
        <x:v>예</x:v>
      </x:c>
      <x:c r="I222" s="56" t="str">
        <x:v>—</x:v>
      </x:c>
      <x:c r="J222" s="57" t="str">
        <x:v>—</x:v>
      </x:c>
      <x:c r="K222" s="57" t="str">
        <x:v>포함</x:v>
      </x:c>
      <x:c r="L222" s="57" t="str">
        <x:v>포함</x:v>
      </x:c>
      <x:c r="M222" s="57" t="str">
        <x:v>—</x:v>
      </x:c>
      <x:c r="N222" s="57" t="str">
        <x:v>—</x:v>
      </x:c>
      <x:c r="O222" s="57" t="str">
        <x:v>포함</x:v>
      </x:c>
      <x:c r="P222" s="57" t="str">
        <x:v>—</x:v>
      </x:c>
      <x:c r="Q222" s="57" t="str">
        <x:v>—</x:v>
      </x:c>
      <x:c r="R222" s="57" t="str">
        <x:v>포함</x:v>
      </x:c>
    </x:row>
    <x:row r="223">
      <x:c r="A223" s="60" t="n">
        <x:v>219</x:v>
      </x:c>
      <x:c r="B223" s="56" t="str">
        <x:v>마그카르고</x:v>
      </x:c>
      <x:c r="C223" s="56" t="str">
        <x:v>magcargo</x:v>
      </x:c>
      <x:c r="D223" s="56" t="str">
        <x:v>화산</x:v>
      </x:c>
      <x:c r="E223" s="56" t="str">
        <x:v>흔함</x:v>
      </x:c>
      <x:c r="F223" s="56" t="str">
        <x:v>아니오</x:v>
      </x:c>
      <x:c r="G223" s="56" t="str">
        <x:v>아니오</x:v>
      </x:c>
      <x:c r="H223" s="56" t="str">
        <x:v>예</x:v>
      </x:c>
      <x:c r="I223" s="56" t="str">
        <x:v>—</x:v>
      </x:c>
      <x:c r="J223" s="57" t="str">
        <x:v>—</x:v>
      </x:c>
      <x:c r="K223" s="57" t="str">
        <x:v>포함</x:v>
      </x:c>
      <x:c r="L223" s="57" t="str">
        <x:v>포함</x:v>
      </x:c>
      <x:c r="M223" s="57" t="str">
        <x:v>—</x:v>
      </x:c>
      <x:c r="N223" s="57" t="str">
        <x:v>—</x:v>
      </x:c>
      <x:c r="O223" s="57" t="str">
        <x:v>포함</x:v>
      </x:c>
      <x:c r="P223" s="57" t="str">
        <x:v>—</x:v>
      </x:c>
      <x:c r="Q223" s="57" t="str">
        <x:v>—</x:v>
      </x:c>
      <x:c r="R223" s="57" t="str">
        <x:v>포함</x:v>
      </x:c>
    </x:row>
    <x:row r="224">
      <x:c r="A224" s="60" t="n">
        <x:v>220</x:v>
      </x:c>
      <x:c r="B224" s="56" t="str">
        <x:v>꾸꾸리</x:v>
      </x:c>
      <x:c r="C224" s="56" t="str">
        <x:v>swinub</x:v>
      </x:c>
      <x:c r="D224" s="56" t="str">
        <x:v>산악</x:v>
      </x:c>
      <x:c r="E224" s="56" t="str">
        <x:v>흔함</x:v>
      </x:c>
      <x:c r="F224" s="56" t="str">
        <x:v>아니오</x:v>
      </x:c>
      <x:c r="G224" s="56" t="str">
        <x:v>아니오</x:v>
      </x:c>
      <x:c r="H224" s="56" t="str">
        <x:v>예</x:v>
      </x:c>
      <x:c r="I224" s="56" t="str">
        <x:v>—</x:v>
      </x:c>
      <x:c r="J224" s="57" t="str">
        <x:v>—</x:v>
      </x:c>
      <x:c r="K224" s="57" t="str">
        <x:v>포함</x:v>
      </x:c>
      <x:c r="L224" s="57" t="str">
        <x:v>—</x:v>
      </x:c>
      <x:c r="M224" s="57" t="str">
        <x:v>포함</x:v>
      </x:c>
      <x:c r="N224" s="57" t="str">
        <x:v>포함</x:v>
      </x:c>
      <x:c r="O224" s="57" t="str">
        <x:v>포함</x:v>
      </x:c>
      <x:c r="P224" s="57" t="str">
        <x:v>—</x:v>
      </x:c>
      <x:c r="Q224" s="57" t="str">
        <x:v>포함</x:v>
      </x:c>
      <x:c r="R224" s="57" t="str">
        <x:v>포함</x:v>
      </x:c>
    </x:row>
    <x:row r="225">
      <x:c r="A225" s="60" t="n">
        <x:v>221</x:v>
      </x:c>
      <x:c r="B225" s="56" t="str">
        <x:v>메꾸리</x:v>
      </x:c>
      <x:c r="C225" s="56" t="str">
        <x:v>piloswine</x:v>
      </x:c>
      <x:c r="D225" s="56" t="str">
        <x:v>산악</x:v>
      </x:c>
      <x:c r="E225" s="56" t="str">
        <x:v>흔함</x:v>
      </x:c>
      <x:c r="F225" s="56" t="str">
        <x:v>아니오</x:v>
      </x:c>
      <x:c r="G225" s="56" t="str">
        <x:v>아니오</x:v>
      </x:c>
      <x:c r="H225" s="56" t="str">
        <x:v>예</x:v>
      </x:c>
      <x:c r="I225" s="56" t="str">
        <x:v>—</x:v>
      </x:c>
      <x:c r="J225" s="57" t="str">
        <x:v>—</x:v>
      </x:c>
      <x:c r="K225" s="57" t="str">
        <x:v>포함</x:v>
      </x:c>
      <x:c r="L225" s="57" t="str">
        <x:v>—</x:v>
      </x:c>
      <x:c r="M225" s="57" t="str">
        <x:v>포함</x:v>
      </x:c>
      <x:c r="N225" s="57" t="str">
        <x:v>포함</x:v>
      </x:c>
      <x:c r="O225" s="57" t="str">
        <x:v>포함</x:v>
      </x:c>
      <x:c r="P225" s="57" t="str">
        <x:v>—</x:v>
      </x:c>
      <x:c r="Q225" s="57" t="str">
        <x:v>포함</x:v>
      </x:c>
      <x:c r="R225" s="57" t="str">
        <x:v>포함</x:v>
      </x:c>
    </x:row>
    <x:row r="226">
      <x:c r="A226" s="60" t="n">
        <x:v>222</x:v>
      </x:c>
      <x:c r="B226" s="56" t="str">
        <x:v>코산호</x:v>
      </x:c>
      <x:c r="C226" s="56" t="str">
        <x:v>corsola</x:v>
      </x:c>
      <x:c r="D226" s="56" t="str">
        <x:v>해양</x:v>
      </x:c>
      <x:c r="E226" s="56" t="str">
        <x:v>보통</x:v>
      </x:c>
      <x:c r="F226" s="56" t="str">
        <x:v>아니오</x:v>
      </x:c>
      <x:c r="G226" s="56" t="str">
        <x:v>아니오</x:v>
      </x:c>
      <x:c r="H226" s="56" t="str">
        <x:v>예</x:v>
      </x:c>
      <x:c r="I226" s="56" t="str">
        <x:v>—</x:v>
      </x:c>
      <x:c r="J226" s="57" t="str">
        <x:v>—</x:v>
      </x:c>
      <x:c r="K226" s="57" t="str">
        <x:v>포함</x:v>
      </x:c>
      <x:c r="L226" s="57" t="str">
        <x:v>포함</x:v>
      </x:c>
      <x:c r="M226" s="57" t="str">
        <x:v>—</x:v>
      </x:c>
      <x:c r="N226" s="57" t="str">
        <x:v>포함</x:v>
      </x:c>
      <x:c r="O226" s="57" t="str">
        <x:v>포함</x:v>
      </x:c>
      <x:c r="P226" s="57" t="str">
        <x:v>포함</x:v>
      </x:c>
      <x:c r="Q226" s="57" t="str">
        <x:v>포함</x:v>
      </x:c>
      <x:c r="R226" s="57" t="str">
        <x:v>—</x:v>
      </x:c>
    </x:row>
    <x:row r="227">
      <x:c r="A227" s="60" t="n">
        <x:v>223</x:v>
      </x:c>
      <x:c r="B227" s="56" t="str">
        <x:v>총어</x:v>
      </x:c>
      <x:c r="C227" s="56" t="str">
        <x:v>remoraid</x:v>
      </x:c>
      <x:c r="D227" s="56" t="str">
        <x:v>해양</x:v>
      </x:c>
      <x:c r="E227" s="56" t="str">
        <x:v>흔함</x:v>
      </x:c>
      <x:c r="F227" s="56" t="str">
        <x:v>아니오</x:v>
      </x:c>
      <x:c r="G227" s="56" t="str">
        <x:v>아니오</x:v>
      </x:c>
      <x:c r="H227" s="56" t="str">
        <x:v>예</x:v>
      </x:c>
      <x:c r="I227" s="56" t="str">
        <x:v>—</x:v>
      </x:c>
      <x:c r="J227" s="57" t="str">
        <x:v>—</x:v>
      </x:c>
      <x:c r="K227" s="57" t="str">
        <x:v>포함</x:v>
      </x:c>
      <x:c r="L227" s="57" t="str">
        <x:v>—</x:v>
      </x:c>
      <x:c r="M227" s="57" t="str">
        <x:v>포함</x:v>
      </x:c>
      <x:c r="N227" s="57" t="str">
        <x:v>포함</x:v>
      </x:c>
      <x:c r="O227" s="57" t="str">
        <x:v>포함</x:v>
      </x:c>
      <x:c r="P227" s="57" t="str">
        <x:v>포함</x:v>
      </x:c>
      <x:c r="Q227" s="57" t="str">
        <x:v>포함</x:v>
      </x:c>
      <x:c r="R227" s="57" t="str">
        <x:v>—</x:v>
      </x:c>
    </x:row>
    <x:row r="228">
      <x:c r="A228" s="60" t="n">
        <x:v>224</x:v>
      </x:c>
      <x:c r="B228" s="56" t="str">
        <x:v>대포무노</x:v>
      </x:c>
      <x:c r="C228" s="56" t="str">
        <x:v>octillery</x:v>
      </x:c>
      <x:c r="D228" s="56" t="str">
        <x:v>해양</x:v>
      </x:c>
      <x:c r="E228" s="56" t="str">
        <x:v>흔함</x:v>
      </x:c>
      <x:c r="F228" s="56" t="str">
        <x:v>아니오</x:v>
      </x:c>
      <x:c r="G228" s="56" t="str">
        <x:v>아니오</x:v>
      </x:c>
      <x:c r="H228" s="56" t="str">
        <x:v>예</x:v>
      </x:c>
      <x:c r="I228" s="56" t="str">
        <x:v>—</x:v>
      </x:c>
      <x:c r="J228" s="57" t="str">
        <x:v>—</x:v>
      </x:c>
      <x:c r="K228" s="57" t="str">
        <x:v>포함</x:v>
      </x:c>
      <x:c r="L228" s="57" t="str">
        <x:v>—</x:v>
      </x:c>
      <x:c r="M228" s="57" t="str">
        <x:v>포함</x:v>
      </x:c>
      <x:c r="N228" s="57" t="str">
        <x:v>포함</x:v>
      </x:c>
      <x:c r="O228" s="57" t="str">
        <x:v>포함</x:v>
      </x:c>
      <x:c r="P228" s="57" t="str">
        <x:v>포함</x:v>
      </x:c>
      <x:c r="Q228" s="57" t="str">
        <x:v>포함</x:v>
      </x:c>
      <x:c r="R228" s="57" t="str">
        <x:v>—</x:v>
      </x:c>
    </x:row>
    <x:row r="229">
      <x:c r="A229" s="60" t="n">
        <x:v>225</x:v>
      </x:c>
      <x:c r="B229" s="56" t="str">
        <x:v>딜리버드</x:v>
      </x:c>
      <x:c r="C229" s="56" t="str">
        <x:v>delibird</x:v>
      </x:c>
      <x:c r="D229" s="56" t="str">
        <x:v>산악</x:v>
      </x:c>
      <x:c r="E229" s="56" t="str">
        <x:v>보통</x:v>
      </x:c>
      <x:c r="F229" s="56" t="str">
        <x:v>아니오</x:v>
      </x:c>
      <x:c r="G229" s="56" t="str">
        <x:v>아니오</x:v>
      </x:c>
      <x:c r="H229" s="56" t="str">
        <x:v>예</x:v>
      </x:c>
      <x:c r="I229" s="56" t="str">
        <x:v>—</x:v>
      </x:c>
      <x:c r="J229" s="57" t="str">
        <x:v>—</x:v>
      </x:c>
      <x:c r="K229" s="57" t="str">
        <x:v>포함</x:v>
      </x:c>
      <x:c r="L229" s="57" t="str">
        <x:v>—</x:v>
      </x:c>
      <x:c r="M229" s="57" t="str">
        <x:v>—</x:v>
      </x:c>
      <x:c r="N229" s="57" t="str">
        <x:v>포함</x:v>
      </x:c>
      <x:c r="O229" s="57" t="str">
        <x:v>포함</x:v>
      </x:c>
      <x:c r="P229" s="57" t="str">
        <x:v>포함</x:v>
      </x:c>
      <x:c r="Q229" s="57" t="str">
        <x:v>포함</x:v>
      </x:c>
      <x:c r="R229" s="57" t="str">
        <x:v>포함</x:v>
      </x:c>
    </x:row>
    <x:row r="230">
      <x:c r="A230" s="60" t="n">
        <x:v>226</x:v>
      </x:c>
      <x:c r="B230" s="56" t="str">
        <x:v>만타인</x:v>
      </x:c>
      <x:c r="C230" s="56" t="str">
        <x:v>mantine</x:v>
      </x:c>
      <x:c r="D230" s="56" t="str">
        <x:v>해양</x:v>
      </x:c>
      <x:c r="E230" s="56" t="str">
        <x:v>보통</x:v>
      </x:c>
      <x:c r="F230" s="56" t="str">
        <x:v>아니오</x:v>
      </x:c>
      <x:c r="G230" s="56" t="str">
        <x:v>아니오</x:v>
      </x:c>
      <x:c r="H230" s="56" t="str">
        <x:v>예</x:v>
      </x:c>
      <x:c r="I230" s="56" t="str">
        <x:v>—</x:v>
      </x:c>
      <x:c r="J230" s="57" t="str">
        <x:v>—</x:v>
      </x:c>
      <x:c r="K230" s="57" t="str">
        <x:v>포함</x:v>
      </x:c>
      <x:c r="L230" s="57" t="str">
        <x:v>—</x:v>
      </x:c>
      <x:c r="M230" s="57" t="str">
        <x:v>포함</x:v>
      </x:c>
      <x:c r="N230" s="57" t="str">
        <x:v>포함</x:v>
      </x:c>
      <x:c r="O230" s="57" t="str">
        <x:v>포함</x:v>
      </x:c>
      <x:c r="P230" s="57" t="str">
        <x:v>포함</x:v>
      </x:c>
      <x:c r="Q230" s="57" t="str">
        <x:v>포함</x:v>
      </x:c>
      <x:c r="R230" s="57" t="str">
        <x:v>—</x:v>
      </x:c>
    </x:row>
    <x:row r="231">
      <x:c r="A231" s="60" t="n">
        <x:v>227</x:v>
      </x:c>
      <x:c r="B231" s="56" t="str">
        <x:v>무장조</x:v>
      </x:c>
      <x:c r="C231" s="56" t="str">
        <x:v>skarmory</x:v>
      </x:c>
      <x:c r="D231" s="56" t="str">
        <x:v>건조지</x:v>
      </x:c>
      <x:c r="E231" s="56" t="str">
        <x:v>드묾</x:v>
      </x:c>
      <x:c r="F231" s="56" t="str">
        <x:v>아니오</x:v>
      </x:c>
      <x:c r="G231" s="56" t="str">
        <x:v>아니오</x:v>
      </x:c>
      <x:c r="H231" s="56" t="str">
        <x:v>예</x:v>
      </x:c>
      <x:c r="I231" s="56" t="str">
        <x:v>—</x:v>
      </x:c>
      <x:c r="J231" s="57" t="str">
        <x:v>—</x:v>
      </x:c>
      <x:c r="K231" s="57" t="str">
        <x:v>포함</x:v>
      </x:c>
      <x:c r="L231" s="57" t="str">
        <x:v>포함</x:v>
      </x:c>
      <x:c r="M231" s="57" t="str">
        <x:v>—</x:v>
      </x:c>
      <x:c r="N231" s="57" t="str">
        <x:v>포함</x:v>
      </x:c>
      <x:c r="O231" s="57" t="str">
        <x:v>포함</x:v>
      </x:c>
      <x:c r="P231" s="57" t="str">
        <x:v>포함</x:v>
      </x:c>
      <x:c r="Q231" s="57" t="str">
        <x:v>포함</x:v>
      </x:c>
      <x:c r="R231" s="57" t="str">
        <x:v>포함</x:v>
      </x:c>
    </x:row>
    <x:row r="232">
      <x:c r="A232" s="60" t="n">
        <x:v>228</x:v>
      </x:c>
      <x:c r="B232" s="56" t="str">
        <x:v>델빌</x:v>
      </x:c>
      <x:c r="C232" s="56" t="str">
        <x:v>houndour</x:v>
      </x:c>
      <x:c r="D232" s="56" t="str">
        <x:v>화산</x:v>
      </x:c>
      <x:c r="E232" s="56" t="str">
        <x:v>보통</x:v>
      </x:c>
      <x:c r="F232" s="56" t="str">
        <x:v>아니오</x:v>
      </x:c>
      <x:c r="G232" s="56" t="str">
        <x:v>아니오</x:v>
      </x:c>
      <x:c r="H232" s="56" t="str">
        <x:v>예</x:v>
      </x:c>
      <x:c r="I232" s="56" t="str">
        <x:v>—</x:v>
      </x:c>
      <x:c r="J232" s="57" t="str">
        <x:v>—</x:v>
      </x:c>
      <x:c r="K232" s="57" t="str">
        <x:v>포함</x:v>
      </x:c>
      <x:c r="L232" s="57" t="str">
        <x:v>—</x:v>
      </x:c>
      <x:c r="M232" s="57" t="str">
        <x:v>포함</x:v>
      </x:c>
      <x:c r="N232" s="57" t="str">
        <x:v>—</x:v>
      </x:c>
      <x:c r="O232" s="57" t="str">
        <x:v>포함</x:v>
      </x:c>
      <x:c r="P232" s="57" t="str">
        <x:v>포함</x:v>
      </x:c>
      <x:c r="Q232" s="57" t="str">
        <x:v>—</x:v>
      </x:c>
      <x:c r="R232" s="57" t="str">
        <x:v>포함</x:v>
      </x:c>
    </x:row>
    <x:row r="233">
      <x:c r="A233" s="60" t="n">
        <x:v>229</x:v>
      </x:c>
      <x:c r="B233" s="56" t="str">
        <x:v>헬가</x:v>
      </x:c>
      <x:c r="C233" s="56" t="str">
        <x:v>houndoom</x:v>
      </x:c>
      <x:c r="D233" s="56" t="str">
        <x:v>화산</x:v>
      </x:c>
      <x:c r="E233" s="56" t="str">
        <x:v>보통</x:v>
      </x:c>
      <x:c r="F233" s="56" t="str">
        <x:v>아니오</x:v>
      </x:c>
      <x:c r="G233" s="56" t="str">
        <x:v>아니오</x:v>
      </x:c>
      <x:c r="H233" s="56" t="str">
        <x:v>예</x:v>
      </x:c>
      <x:c r="I233" s="56" t="str">
        <x:v>—</x:v>
      </x:c>
      <x:c r="J233" s="57" t="str">
        <x:v>—</x:v>
      </x:c>
      <x:c r="K233" s="57" t="str">
        <x:v>포함</x:v>
      </x:c>
      <x:c r="L233" s="57" t="str">
        <x:v>—</x:v>
      </x:c>
      <x:c r="M233" s="57" t="str">
        <x:v>포함</x:v>
      </x:c>
      <x:c r="N233" s="57" t="str">
        <x:v>—</x:v>
      </x:c>
      <x:c r="O233" s="57" t="str">
        <x:v>포함</x:v>
      </x:c>
      <x:c r="P233" s="57" t="str">
        <x:v>포함</x:v>
      </x:c>
      <x:c r="Q233" s="57" t="str">
        <x:v>—</x:v>
      </x:c>
      <x:c r="R233" s="57" t="str">
        <x:v>포함</x:v>
      </x:c>
    </x:row>
    <x:row r="234">
      <x:c r="A234" s="60" t="n">
        <x:v>230</x:v>
      </x:c>
      <x:c r="B234" s="56" t="str">
        <x:v>킹드라</x:v>
      </x:c>
      <x:c r="C234" s="56" t="str">
        <x:v>kingdra</x:v>
      </x:c>
      <x:c r="D234" s="56" t="str">
        <x:v>해양</x:v>
      </x:c>
      <x:c r="E234" s="56" t="str">
        <x:v>흔함</x:v>
      </x:c>
      <x:c r="F234" s="56" t="str">
        <x:v>아니오</x:v>
      </x:c>
      <x:c r="G234" s="56" t="str">
        <x:v>아니오</x:v>
      </x:c>
      <x:c r="H234" s="56" t="str">
        <x:v>예</x:v>
      </x:c>
      <x:c r="I234" s="56" t="str">
        <x:v>—</x:v>
      </x:c>
      <x:c r="J234" s="57" t="str">
        <x:v>—</x:v>
      </x:c>
      <x:c r="K234" s="57" t="str">
        <x:v>포함</x:v>
      </x:c>
      <x:c r="L234" s="57" t="str">
        <x:v>포함</x:v>
      </x:c>
      <x:c r="M234" s="57" t="str">
        <x:v>—</x:v>
      </x:c>
      <x:c r="N234" s="57" t="str">
        <x:v>—</x:v>
      </x:c>
      <x:c r="O234" s="57" t="str">
        <x:v>포함</x:v>
      </x:c>
      <x:c r="P234" s="57" t="str">
        <x:v>—</x:v>
      </x:c>
      <x:c r="Q234" s="57" t="str">
        <x:v>포함</x:v>
      </x:c>
      <x:c r="R234" s="57" t="str">
        <x:v>포함</x:v>
      </x:c>
    </x:row>
    <x:row r="235">
      <x:c r="A235" s="60" t="n">
        <x:v>231</x:v>
      </x:c>
      <x:c r="B235" s="56" t="str">
        <x:v>코코리</x:v>
      </x:c>
      <x:c r="C235" s="56" t="str">
        <x:v>phanpy</x:v>
      </x:c>
      <x:c r="D235" s="56" t="str">
        <x:v>건조지</x:v>
      </x:c>
      <x:c r="E235" s="56" t="str">
        <x:v>흔함</x:v>
      </x:c>
      <x:c r="F235" s="56" t="str">
        <x:v>아니오</x:v>
      </x:c>
      <x:c r="G235" s="56" t="str">
        <x:v>아니오</x:v>
      </x:c>
      <x:c r="H235" s="56" t="str">
        <x:v>예</x:v>
      </x:c>
      <x:c r="I235" s="56" t="str">
        <x:v>—</x:v>
      </x:c>
      <x:c r="J235" s="57" t="str">
        <x:v>—</x:v>
      </x:c>
      <x:c r="K235" s="57" t="str">
        <x:v>포함</x:v>
      </x:c>
      <x:c r="L235" s="57" t="str">
        <x:v>포함</x:v>
      </x:c>
      <x:c r="M235" s="57" t="str">
        <x:v>—</x:v>
      </x:c>
      <x:c r="N235" s="57" t="str">
        <x:v>—</x:v>
      </x:c>
      <x:c r="O235" s="57" t="str">
        <x:v>—</x:v>
      </x:c>
      <x:c r="P235" s="57" t="str">
        <x:v>—</x:v>
      </x:c>
      <x:c r="Q235" s="57" t="str">
        <x:v>—</x:v>
      </x:c>
      <x:c r="R235" s="57" t="str">
        <x:v>포함</x:v>
      </x:c>
    </x:row>
    <x:row r="236">
      <x:c r="A236" s="60" t="n">
        <x:v>232</x:v>
      </x:c>
      <x:c r="B236" s="56" t="str">
        <x:v>코리갑</x:v>
      </x:c>
      <x:c r="C236" s="56" t="str">
        <x:v>donphan</x:v>
      </x:c>
      <x:c r="D236" s="56" t="str">
        <x:v>건조지</x:v>
      </x:c>
      <x:c r="E236" s="56" t="str">
        <x:v>흔함</x:v>
      </x:c>
      <x:c r="F236" s="56" t="str">
        <x:v>아니오</x:v>
      </x:c>
      <x:c r="G236" s="56" t="str">
        <x:v>아니오</x:v>
      </x:c>
      <x:c r="H236" s="56" t="str">
        <x:v>예</x:v>
      </x:c>
      <x:c r="I236" s="56" t="str">
        <x:v>—</x:v>
      </x:c>
      <x:c r="J236" s="57" t="str">
        <x:v>—</x:v>
      </x:c>
      <x:c r="K236" s="57" t="str">
        <x:v>포함</x:v>
      </x:c>
      <x:c r="L236" s="57" t="str">
        <x:v>포함</x:v>
      </x:c>
      <x:c r="M236" s="57" t="str">
        <x:v>—</x:v>
      </x:c>
      <x:c r="N236" s="57" t="str">
        <x:v>—</x:v>
      </x:c>
      <x:c r="O236" s="57" t="str">
        <x:v>—</x:v>
      </x:c>
      <x:c r="P236" s="57" t="str">
        <x:v>—</x:v>
      </x:c>
      <x:c r="Q236" s="57" t="str">
        <x:v>—</x:v>
      </x:c>
      <x:c r="R236" s="57" t="str">
        <x:v>포함</x:v>
      </x:c>
    </x:row>
    <x:row r="237">
      <x:c r="A237" s="60" t="n">
        <x:v>233</x:v>
      </x:c>
      <x:c r="B237" s="56" t="str">
        <x:v>폴리곤2</x:v>
      </x:c>
      <x:c r="C237" s="56" t="str">
        <x:v>porygon2</x:v>
      </x:c>
      <x:c r="D237" s="56" t="str">
        <x:v>도시</x:v>
      </x:c>
      <x:c r="E237" s="56" t="str">
        <x:v>보통</x:v>
      </x:c>
      <x:c r="F237" s="56" t="str">
        <x:v>아니오</x:v>
      </x:c>
      <x:c r="G237" s="56" t="str">
        <x:v>아니오</x:v>
      </x:c>
      <x:c r="H237" s="56" t="str">
        <x:v>예</x:v>
      </x:c>
      <x:c r="I237" s="56" t="str">
        <x:v>—</x:v>
      </x:c>
      <x:c r="J237" s="57" t="str">
        <x:v>—</x:v>
      </x:c>
      <x:c r="K237" s="57" t="str">
        <x:v>포함</x:v>
      </x:c>
      <x:c r="L237" s="57" t="str">
        <x:v>—</x:v>
      </x:c>
      <x:c r="M237" s="57" t="str">
        <x:v>포함</x:v>
      </x:c>
      <x:c r="N237" s="57" t="str">
        <x:v>—</x:v>
      </x:c>
      <x:c r="O237" s="57" t="str">
        <x:v>—</x:v>
      </x:c>
      <x:c r="P237" s="57" t="str">
        <x:v>포함</x:v>
      </x:c>
      <x:c r="Q237" s="57" t="str">
        <x:v>포함</x:v>
      </x:c>
      <x:c r="R237" s="57" t="str">
        <x:v>포함</x:v>
      </x:c>
    </x:row>
    <x:row r="238">
      <x:c r="A238" s="60" t="n">
        <x:v>234</x:v>
      </x:c>
      <x:c r="B238" s="56" t="str">
        <x:v>노라키</x:v>
      </x:c>
      <x:c r="C238" s="56" t="str">
        <x:v>stantler</x:v>
      </x:c>
      <x:c r="D238" s="56" t="str">
        <x:v>설원</x:v>
      </x:c>
      <x:c r="E238" s="56" t="str">
        <x:v>흔함</x:v>
      </x:c>
      <x:c r="F238" s="56" t="str">
        <x:v>아니오</x:v>
      </x:c>
      <x:c r="G238" s="56" t="str">
        <x:v>아니오</x:v>
      </x:c>
      <x:c r="H238" s="56" t="str">
        <x:v>예</x:v>
      </x:c>
      <x:c r="I238" s="56" t="str">
        <x:v>—</x:v>
      </x:c>
      <x:c r="J238" s="57" t="str">
        <x:v>—</x:v>
      </x:c>
      <x:c r="K238" s="57" t="str">
        <x:v>포함</x:v>
      </x:c>
      <x:c r="L238" s="57" t="str">
        <x:v>—</x:v>
      </x:c>
      <x:c r="M238" s="57" t="str">
        <x:v>—</x:v>
      </x:c>
      <x:c r="N238" s="57" t="str">
        <x:v>—</x:v>
      </x:c>
      <x:c r="O238" s="57" t="str">
        <x:v>—</x:v>
      </x:c>
      <x:c r="P238" s="57" t="str">
        <x:v>—</x:v>
      </x:c>
      <x:c r="Q238" s="57" t="str">
        <x:v>—</x:v>
      </x:c>
      <x:c r="R238" s="57" t="str">
        <x:v>포함</x:v>
      </x:c>
    </x:row>
    <x:row r="239">
      <x:c r="A239" s="60" t="n">
        <x:v>235</x:v>
      </x:c>
      <x:c r="B239" s="56" t="str">
        <x:v>루브도</x:v>
      </x:c>
      <x:c r="C239" s="56" t="str">
        <x:v>smeargle</x:v>
      </x:c>
      <x:c r="D239" s="56" t="str">
        <x:v>평원</x:v>
      </x:c>
      <x:c r="E239" s="56" t="str">
        <x:v>흔함</x:v>
      </x:c>
      <x:c r="F239" s="56" t="str">
        <x:v>아니오</x:v>
      </x:c>
      <x:c r="G239" s="56" t="str">
        <x:v>아니오</x:v>
      </x:c>
      <x:c r="H239" s="56" t="str">
        <x:v>예</x:v>
      </x:c>
      <x:c r="I239" s="56" t="str">
        <x:v>—</x:v>
      </x:c>
      <x:c r="J239" s="57" t="str">
        <x:v>—</x:v>
      </x:c>
      <x:c r="K239" s="57" t="str">
        <x:v>포함</x:v>
      </x:c>
      <x:c r="L239" s="57" t="str">
        <x:v>—</x:v>
      </x:c>
      <x:c r="M239" s="57" t="str">
        <x:v>—</x:v>
      </x:c>
      <x:c r="N239" s="57" t="str">
        <x:v>—</x:v>
      </x:c>
      <x:c r="O239" s="57" t="str">
        <x:v>포함</x:v>
      </x:c>
      <x:c r="P239" s="57" t="str">
        <x:v>포함</x:v>
      </x:c>
      <x:c r="Q239" s="57" t="str">
        <x:v>—</x:v>
      </x:c>
      <x:c r="R239" s="57" t="str">
        <x:v>포함</x:v>
      </x:c>
    </x:row>
    <x:row r="240">
      <x:c r="A240" s="60" t="n">
        <x:v>236</x:v>
      </x:c>
      <x:c r="B240" s="56" t="str">
        <x:v>배루키</x:v>
      </x:c>
      <x:c r="C240" s="56" t="str">
        <x:v>tyrogue</x:v>
      </x:c>
      <x:c r="D240" s="56" t="str">
        <x:v>산악</x:v>
      </x:c>
      <x:c r="E240" s="56" t="str">
        <x:v>보통</x:v>
      </x:c>
      <x:c r="F240" s="56" t="str">
        <x:v>아니오</x:v>
      </x:c>
      <x:c r="G240" s="56" t="str">
        <x:v>아니오</x:v>
      </x:c>
      <x:c r="H240" s="56" t="str">
        <x:v>예</x:v>
      </x:c>
      <x:c r="I240" s="56" t="str">
        <x:v>—</x:v>
      </x:c>
      <x:c r="J240" s="57" t="str">
        <x:v>—</x:v>
      </x:c>
      <x:c r="K240" s="57" t="str">
        <x:v>포함</x:v>
      </x:c>
      <x:c r="L240" s="57" t="str">
        <x:v>—</x:v>
      </x:c>
      <x:c r="M240" s="57" t="str">
        <x:v>—</x:v>
      </x:c>
      <x:c r="N240" s="57" t="str">
        <x:v>—</x:v>
      </x:c>
      <x:c r="O240" s="57" t="str">
        <x:v>—</x:v>
      </x:c>
      <x:c r="P240" s="57" t="str">
        <x:v>—</x:v>
      </x:c>
      <x:c r="Q240" s="57" t="str">
        <x:v>포함</x:v>
      </x:c>
      <x:c r="R240" s="57" t="str">
        <x:v>포함</x:v>
      </x:c>
    </x:row>
    <x:row r="241">
      <x:c r="A241" s="60" t="n">
        <x:v>237</x:v>
      </x:c>
      <x:c r="B241" s="56" t="str">
        <x:v>카포에라</x:v>
      </x:c>
      <x:c r="C241" s="56" t="str">
        <x:v>hitmontop</x:v>
      </x:c>
      <x:c r="D241" s="56" t="str">
        <x:v>산악</x:v>
      </x:c>
      <x:c r="E241" s="56" t="str">
        <x:v>보통</x:v>
      </x:c>
      <x:c r="F241" s="56" t="str">
        <x:v>아니오</x:v>
      </x:c>
      <x:c r="G241" s="56" t="str">
        <x:v>아니오</x:v>
      </x:c>
      <x:c r="H241" s="56" t="str">
        <x:v>예</x:v>
      </x:c>
      <x:c r="I241" s="56" t="str">
        <x:v>—</x:v>
      </x:c>
      <x:c r="J241" s="57" t="str">
        <x:v>—</x:v>
      </x:c>
      <x:c r="K241" s="57" t="str">
        <x:v>포함</x:v>
      </x:c>
      <x:c r="L241" s="57" t="str">
        <x:v>—</x:v>
      </x:c>
      <x:c r="M241" s="57" t="str">
        <x:v>—</x:v>
      </x:c>
      <x:c r="N241" s="57" t="str">
        <x:v>—</x:v>
      </x:c>
      <x:c r="O241" s="57" t="str">
        <x:v>—</x:v>
      </x:c>
      <x:c r="P241" s="57" t="str">
        <x:v>—</x:v>
      </x:c>
      <x:c r="Q241" s="57" t="str">
        <x:v>포함</x:v>
      </x:c>
      <x:c r="R241" s="57" t="str">
        <x:v>포함</x:v>
      </x:c>
    </x:row>
    <x:row r="242">
      <x:c r="A242" s="60" t="n">
        <x:v>238</x:v>
      </x:c>
      <x:c r="B242" s="56" t="str">
        <x:v>뽀뽀라</x:v>
      </x:c>
      <x:c r="C242" s="56" t="str">
        <x:v>smoochum</x:v>
      </x:c>
      <x:c r="D242" s="56" t="str">
        <x:v>설원</x:v>
      </x:c>
      <x:c r="E242" s="56" t="str">
        <x:v>보통</x:v>
      </x:c>
      <x:c r="F242" s="56" t="str">
        <x:v>아니오</x:v>
      </x:c>
      <x:c r="G242" s="56" t="str">
        <x:v>아니오</x:v>
      </x:c>
      <x:c r="H242" s="56" t="str">
        <x:v>예</x:v>
      </x:c>
      <x:c r="I242" s="56" t="str">
        <x:v>—</x:v>
      </x:c>
      <x:c r="J242" s="57" t="str">
        <x:v>—</x:v>
      </x:c>
      <x:c r="K242" s="57" t="str">
        <x:v>포함</x:v>
      </x:c>
      <x:c r="L242" s="57" t="str">
        <x:v>—</x:v>
      </x:c>
      <x:c r="M242" s="57" t="str">
        <x:v>—</x:v>
      </x:c>
      <x:c r="N242" s="57" t="str">
        <x:v>—</x:v>
      </x:c>
      <x:c r="O242" s="57" t="str">
        <x:v>포함</x:v>
      </x:c>
      <x:c r="P242" s="57" t="str">
        <x:v>포함</x:v>
      </x:c>
      <x:c r="Q242" s="57" t="str">
        <x:v>포함</x:v>
      </x:c>
      <x:c r="R242" s="57" t="str">
        <x:v>—</x:v>
      </x:c>
    </x:row>
    <x:row r="243">
      <x:c r="A243" s="60" t="n">
        <x:v>239</x:v>
      </x:c>
      <x:c r="B243" s="56" t="str">
        <x:v>에레키드</x:v>
      </x:c>
      <x:c r="C243" s="56" t="str">
        <x:v>elekid</x:v>
      </x:c>
      <x:c r="D243" s="56" t="str">
        <x:v>산악</x:v>
      </x:c>
      <x:c r="E243" s="56" t="str">
        <x:v>보통</x:v>
      </x:c>
      <x:c r="F243" s="56" t="str">
        <x:v>아니오</x:v>
      </x:c>
      <x:c r="G243" s="56" t="str">
        <x:v>아니오</x:v>
      </x:c>
      <x:c r="H243" s="56" t="str">
        <x:v>예</x:v>
      </x:c>
      <x:c r="I243" s="56" t="str">
        <x:v>—</x:v>
      </x:c>
      <x:c r="J243" s="57" t="str">
        <x:v>—</x:v>
      </x:c>
      <x:c r="K243" s="57" t="str">
        <x:v>포함</x:v>
      </x:c>
      <x:c r="L243" s="57" t="str">
        <x:v>—</x:v>
      </x:c>
      <x:c r="M243" s="57" t="str">
        <x:v>포함</x:v>
      </x:c>
      <x:c r="N243" s="57" t="str">
        <x:v>포함</x:v>
      </x:c>
      <x:c r="O243" s="57" t="str">
        <x:v>—</x:v>
      </x:c>
      <x:c r="P243" s="57" t="str">
        <x:v>포함</x:v>
      </x:c>
      <x:c r="Q243" s="57" t="str">
        <x:v>포함</x:v>
      </x:c>
      <x:c r="R243" s="57" t="str">
        <x:v>포함</x:v>
      </x:c>
    </x:row>
    <x:row r="244">
      <x:c r="A244" s="60" t="n">
        <x:v>240</x:v>
      </x:c>
      <x:c r="B244" s="56" t="str">
        <x:v>마그비</x:v>
      </x:c>
      <x:c r="C244" s="56" t="str">
        <x:v>magby</x:v>
      </x:c>
      <x:c r="D244" s="56" t="str">
        <x:v>화산</x:v>
      </x:c>
      <x:c r="E244" s="56" t="str">
        <x:v>흔함</x:v>
      </x:c>
      <x:c r="F244" s="56" t="str">
        <x:v>아니오</x:v>
      </x:c>
      <x:c r="G244" s="56" t="str">
        <x:v>아니오</x:v>
      </x:c>
      <x:c r="H244" s="56" t="str">
        <x:v>예</x:v>
      </x:c>
      <x:c r="I244" s="56" t="str">
        <x:v>—</x:v>
      </x:c>
      <x:c r="J244" s="57" t="str">
        <x:v>—</x:v>
      </x:c>
      <x:c r="K244" s="57" t="str">
        <x:v>포함</x:v>
      </x:c>
      <x:c r="L244" s="57" t="str">
        <x:v>—</x:v>
      </x:c>
      <x:c r="M244" s="57" t="str">
        <x:v>포함</x:v>
      </x:c>
      <x:c r="N244" s="57" t="str">
        <x:v>포함</x:v>
      </x:c>
      <x:c r="O244" s="57" t="str">
        <x:v>—</x:v>
      </x:c>
      <x:c r="P244" s="57" t="str">
        <x:v>포함</x:v>
      </x:c>
      <x:c r="Q244" s="57" t="str">
        <x:v>포함</x:v>
      </x:c>
      <x:c r="R244" s="57" t="str">
        <x:v>포함</x:v>
      </x:c>
    </x:row>
    <x:row r="245">
      <x:c r="A245" s="60" t="n">
        <x:v>241</x:v>
      </x:c>
      <x:c r="B245" s="56" t="str">
        <x:v>밀탱크</x:v>
      </x:c>
      <x:c r="C245" s="56" t="str">
        <x:v>miltank</x:v>
      </x:c>
      <x:c r="D245" s="56" t="str">
        <x:v>평원</x:v>
      </x:c>
      <x:c r="E245" s="56" t="str">
        <x:v>흔함</x:v>
      </x:c>
      <x:c r="F245" s="56" t="str">
        <x:v>아니오</x:v>
      </x:c>
      <x:c r="G245" s="56" t="str">
        <x:v>아니오</x:v>
      </x:c>
      <x:c r="H245" s="56" t="str">
        <x:v>예</x:v>
      </x:c>
      <x:c r="I245" s="56" t="str">
        <x:v>—</x:v>
      </x:c>
      <x:c r="J245" s="57" t="str">
        <x:v>—</x:v>
      </x:c>
      <x:c r="K245" s="57" t="str">
        <x:v>포함</x:v>
      </x:c>
      <x:c r="L245" s="57" t="str">
        <x:v>—</x:v>
      </x:c>
      <x:c r="M245" s="57" t="str">
        <x:v>—</x:v>
      </x:c>
      <x:c r="N245" s="57" t="str">
        <x:v>—</x:v>
      </x:c>
      <x:c r="O245" s="57" t="str">
        <x:v>포함</x:v>
      </x:c>
      <x:c r="P245" s="57" t="str">
        <x:v>포함</x:v>
      </x:c>
      <x:c r="Q245" s="57" t="str">
        <x:v>포함</x:v>
      </x:c>
      <x:c r="R245" s="57" t="str">
        <x:v>—</x:v>
      </x:c>
    </x:row>
    <x:row r="246">
      <x:c r="A246" s="60" t="n">
        <x:v>242</x:v>
      </x:c>
      <x:c r="B246" s="56" t="str">
        <x:v>해피너스</x:v>
      </x:c>
      <x:c r="C246" s="56" t="str">
        <x:v>blissey</x:v>
      </x:c>
      <x:c r="D246" s="56" t="str">
        <x:v>평원</x:v>
      </x:c>
      <x:c r="E246" s="56" t="str">
        <x:v>드묾</x:v>
      </x:c>
      <x:c r="F246" s="56" t="str">
        <x:v>아니오</x:v>
      </x:c>
      <x:c r="G246" s="56" t="str">
        <x:v>아니오</x:v>
      </x:c>
      <x:c r="H246" s="56" t="str">
        <x:v>예</x:v>
      </x:c>
      <x:c r="I246" s="56" t="str">
        <x:v>—</x:v>
      </x:c>
      <x:c r="J246" s="57" t="str">
        <x:v>—</x:v>
      </x:c>
      <x:c r="K246" s="57" t="str">
        <x:v>포함</x:v>
      </x:c>
      <x:c r="L246" s="57" t="str">
        <x:v>—</x:v>
      </x:c>
      <x:c r="M246" s="57" t="str">
        <x:v>포함</x:v>
      </x:c>
      <x:c r="N246" s="57" t="str">
        <x:v>—</x:v>
      </x:c>
      <x:c r="O246" s="57" t="str">
        <x:v>—</x:v>
      </x:c>
      <x:c r="P246" s="57" t="str">
        <x:v>포함</x:v>
      </x:c>
      <x:c r="Q246" s="57" t="str">
        <x:v>포함</x:v>
      </x:c>
      <x:c r="R246" s="57" t="str">
        <x:v>포함</x:v>
      </x:c>
    </x:row>
    <x:row r="247">
      <x:c r="A247" s="60" t="n">
        <x:v>243</x:v>
      </x:c>
      <x:c r="B247" s="56" t="str">
        <x:v>라이코</x:v>
      </x:c>
      <x:c r="C247" s="56" t="str">
        <x:v>raikou</x:v>
      </x:c>
      <x:c r="D247" s="56" t="str">
        <x:v>평원</x:v>
      </x:c>
      <x:c r="E247" s="56" t="str">
        <x:v>전설</x:v>
      </x:c>
      <x:c r="F247" s="56" t="str">
        <x:v>예</x:v>
      </x:c>
      <x:c r="G247" s="56" t="str">
        <x:v>아니오</x:v>
      </x:c>
      <x:c r="H247" s="56" t="str">
        <x:v>아니오</x:v>
      </x:c>
      <x:c r="I247" s="56" t="str">
        <x:v>전설</x:v>
      </x:c>
      <x:c r="J247" s="57" t="str">
        <x:v>—</x:v>
      </x:c>
      <x:c r="K247" s="57" t="str">
        <x:v>포함</x:v>
      </x:c>
      <x:c r="L247" s="57" t="str">
        <x:v>—</x:v>
      </x:c>
      <x:c r="M247" s="57" t="str">
        <x:v>—</x:v>
      </x:c>
      <x:c r="N247" s="57" t="str">
        <x:v>—</x:v>
      </x:c>
      <x:c r="O247" s="57" t="str">
        <x:v>—</x:v>
      </x:c>
      <x:c r="P247" s="57" t="str">
        <x:v>—</x:v>
      </x:c>
      <x:c r="Q247" s="57" t="str">
        <x:v>—</x:v>
      </x:c>
      <x:c r="R247" s="57" t="str">
        <x:v>—</x:v>
      </x:c>
    </x:row>
    <x:row r="248">
      <x:c r="A248" s="60" t="n">
        <x:v>244</x:v>
      </x:c>
      <x:c r="B248" s="56" t="str">
        <x:v>앤테이</x:v>
      </x:c>
      <x:c r="C248" s="56" t="str">
        <x:v>entei</x:v>
      </x:c>
      <x:c r="D248" s="56" t="str">
        <x:v>평원</x:v>
      </x:c>
      <x:c r="E248" s="56" t="str">
        <x:v>전설</x:v>
      </x:c>
      <x:c r="F248" s="56" t="str">
        <x:v>예</x:v>
      </x:c>
      <x:c r="G248" s="56" t="str">
        <x:v>아니오</x:v>
      </x:c>
      <x:c r="H248" s="56" t="str">
        <x:v>아니오</x:v>
      </x:c>
      <x:c r="I248" s="56" t="str">
        <x:v>전설</x:v>
      </x:c>
      <x:c r="J248" s="57" t="str">
        <x:v>—</x:v>
      </x:c>
      <x:c r="K248" s="57" t="str">
        <x:v>포함</x:v>
      </x:c>
      <x:c r="L248" s="57" t="str">
        <x:v>—</x:v>
      </x:c>
      <x:c r="M248" s="57" t="str">
        <x:v>—</x:v>
      </x:c>
      <x:c r="N248" s="57" t="str">
        <x:v>—</x:v>
      </x:c>
      <x:c r="O248" s="57" t="str">
        <x:v>—</x:v>
      </x:c>
      <x:c r="P248" s="57" t="str">
        <x:v>—</x:v>
      </x:c>
      <x:c r="Q248" s="57" t="str">
        <x:v>—</x:v>
      </x:c>
      <x:c r="R248" s="57" t="str">
        <x:v>—</x:v>
      </x:c>
    </x:row>
    <x:row r="249">
      <x:c r="A249" s="60" t="n">
        <x:v>245</x:v>
      </x:c>
      <x:c r="B249" s="56" t="str">
        <x:v>스이쿤</x:v>
      </x:c>
      <x:c r="C249" s="56" t="str">
        <x:v>suicune</x:v>
      </x:c>
      <x:c r="D249" s="56" t="str">
        <x:v>담수</x:v>
      </x:c>
      <x:c r="E249" s="56" t="str">
        <x:v>전설</x:v>
      </x:c>
      <x:c r="F249" s="56" t="str">
        <x:v>예</x:v>
      </x:c>
      <x:c r="G249" s="56" t="str">
        <x:v>아니오</x:v>
      </x:c>
      <x:c r="H249" s="56" t="str">
        <x:v>아니오</x:v>
      </x:c>
      <x:c r="I249" s="56" t="str">
        <x:v>전설</x:v>
      </x:c>
      <x:c r="J249" s="57" t="str">
        <x:v>—</x:v>
      </x:c>
      <x:c r="K249" s="57" t="str">
        <x:v>포함</x:v>
      </x:c>
      <x:c r="L249" s="57" t="str">
        <x:v>—</x:v>
      </x:c>
      <x:c r="M249" s="57" t="str">
        <x:v>—</x:v>
      </x:c>
      <x:c r="N249" s="57" t="str">
        <x:v>—</x:v>
      </x:c>
      <x:c r="O249" s="57" t="str">
        <x:v>—</x:v>
      </x:c>
      <x:c r="P249" s="57" t="str">
        <x:v>—</x:v>
      </x:c>
      <x:c r="Q249" s="57" t="str">
        <x:v>—</x:v>
      </x:c>
      <x:c r="R249" s="57" t="str">
        <x:v>—</x:v>
      </x:c>
    </x:row>
    <x:row r="250">
      <x:c r="A250" s="60" t="n">
        <x:v>246</x:v>
      </x:c>
      <x:c r="B250" s="56" t="str">
        <x:v>애버라스</x:v>
      </x:c>
      <x:c r="C250" s="56" t="str">
        <x:v>larvitar</x:v>
      </x:c>
      <x:c r="D250" s="56" t="str">
        <x:v>산악</x:v>
      </x:c>
      <x:c r="E250" s="56" t="str">
        <x:v>희귀</x:v>
      </x:c>
      <x:c r="F250" s="56" t="str">
        <x:v>아니오</x:v>
      </x:c>
      <x:c r="G250" s="56" t="str">
        <x:v>아니오</x:v>
      </x:c>
      <x:c r="H250" s="56" t="str">
        <x:v>예</x:v>
      </x:c>
      <x:c r="I250" s="56" t="str">
        <x:v>—</x:v>
      </x:c>
      <x:c r="J250" s="57" t="str">
        <x:v>—</x:v>
      </x:c>
      <x:c r="K250" s="57" t="str">
        <x:v>포함</x:v>
      </x:c>
      <x:c r="L250" s="57" t="str">
        <x:v>—</x:v>
      </x:c>
      <x:c r="M250" s="57" t="str">
        <x:v>—</x:v>
      </x:c>
      <x:c r="N250" s="57" t="str">
        <x:v>포함</x:v>
      </x:c>
      <x:c r="O250" s="57" t="str">
        <x:v>포함</x:v>
      </x:c>
      <x:c r="P250" s="57" t="str">
        <x:v>포함</x:v>
      </x:c>
      <x:c r="Q250" s="57" t="str">
        <x:v>포함</x:v>
      </x:c>
      <x:c r="R250" s="57" t="str">
        <x:v>포함</x:v>
      </x:c>
    </x:row>
    <x:row r="251">
      <x:c r="A251" s="60" t="n">
        <x:v>247</x:v>
      </x:c>
      <x:c r="B251" s="56" t="str">
        <x:v>데기라스</x:v>
      </x:c>
      <x:c r="C251" s="56" t="str">
        <x:v>pupitar</x:v>
      </x:c>
      <x:c r="D251" s="56" t="str">
        <x:v>산악</x:v>
      </x:c>
      <x:c r="E251" s="56" t="str">
        <x:v>희귀</x:v>
      </x:c>
      <x:c r="F251" s="56" t="str">
        <x:v>아니오</x:v>
      </x:c>
      <x:c r="G251" s="56" t="str">
        <x:v>아니오</x:v>
      </x:c>
      <x:c r="H251" s="56" t="str">
        <x:v>예</x:v>
      </x:c>
      <x:c r="I251" s="56" t="str">
        <x:v>—</x:v>
      </x:c>
      <x:c r="J251" s="57" t="str">
        <x:v>—</x:v>
      </x:c>
      <x:c r="K251" s="57" t="str">
        <x:v>포함</x:v>
      </x:c>
      <x:c r="L251" s="57" t="str">
        <x:v>—</x:v>
      </x:c>
      <x:c r="M251" s="57" t="str">
        <x:v>—</x:v>
      </x:c>
      <x:c r="N251" s="57" t="str">
        <x:v>포함</x:v>
      </x:c>
      <x:c r="O251" s="57" t="str">
        <x:v>포함</x:v>
      </x:c>
      <x:c r="P251" s="57" t="str">
        <x:v>포함</x:v>
      </x:c>
      <x:c r="Q251" s="57" t="str">
        <x:v>포함</x:v>
      </x:c>
      <x:c r="R251" s="57" t="str">
        <x:v>포함</x:v>
      </x:c>
    </x:row>
    <x:row r="252">
      <x:c r="A252" s="60" t="n">
        <x:v>248</x:v>
      </x:c>
      <x:c r="B252" s="56" t="str">
        <x:v>마기라스</x:v>
      </x:c>
      <x:c r="C252" s="56" t="str">
        <x:v>tyranitar</x:v>
      </x:c>
      <x:c r="D252" s="56" t="str">
        <x:v>산악</x:v>
      </x:c>
      <x:c r="E252" s="56" t="str">
        <x:v>희귀</x:v>
      </x:c>
      <x:c r="F252" s="56" t="str">
        <x:v>아니오</x:v>
      </x:c>
      <x:c r="G252" s="56" t="str">
        <x:v>아니오</x:v>
      </x:c>
      <x:c r="H252" s="56" t="str">
        <x:v>예</x:v>
      </x:c>
      <x:c r="I252" s="56" t="str">
        <x:v>—</x:v>
      </x:c>
      <x:c r="J252" s="57" t="str">
        <x:v>—</x:v>
      </x:c>
      <x:c r="K252" s="57" t="str">
        <x:v>포함</x:v>
      </x:c>
      <x:c r="L252" s="57" t="str">
        <x:v>—</x:v>
      </x:c>
      <x:c r="M252" s="57" t="str">
        <x:v>—</x:v>
      </x:c>
      <x:c r="N252" s="57" t="str">
        <x:v>포함</x:v>
      </x:c>
      <x:c r="O252" s="57" t="str">
        <x:v>포함</x:v>
      </x:c>
      <x:c r="P252" s="57" t="str">
        <x:v>포함</x:v>
      </x:c>
      <x:c r="Q252" s="57" t="str">
        <x:v>포함</x:v>
      </x:c>
      <x:c r="R252" s="57" t="str">
        <x:v>포함</x:v>
      </x:c>
    </x:row>
    <x:row r="253">
      <x:c r="A253" s="60" t="n">
        <x:v>249</x:v>
      </x:c>
      <x:c r="B253" s="56" t="str">
        <x:v>루기아</x:v>
      </x:c>
      <x:c r="C253" s="56" t="str">
        <x:v>lugia</x:v>
      </x:c>
      <x:c r="D253" s="56" t="str">
        <x:v>특수</x:v>
      </x:c>
      <x:c r="E253" s="56" t="str">
        <x:v>전설</x:v>
      </x:c>
      <x:c r="F253" s="56" t="str">
        <x:v>예</x:v>
      </x:c>
      <x:c r="G253" s="56" t="str">
        <x:v>아니오</x:v>
      </x:c>
      <x:c r="H253" s="56" t="str">
        <x:v>아니오</x:v>
      </x:c>
      <x:c r="I253" s="56" t="str">
        <x:v>전설</x:v>
      </x:c>
      <x:c r="J253" s="57" t="str">
        <x:v>—</x:v>
      </x:c>
      <x:c r="K253" s="57" t="str">
        <x:v>포함</x:v>
      </x:c>
      <x:c r="L253" s="57" t="str">
        <x:v>—</x:v>
      </x:c>
      <x:c r="M253" s="57" t="str">
        <x:v>—</x:v>
      </x:c>
      <x:c r="N253" s="57" t="str">
        <x:v>—</x:v>
      </x:c>
      <x:c r="O253" s="57" t="str">
        <x:v>—</x:v>
      </x:c>
      <x:c r="P253" s="57" t="str">
        <x:v>—</x:v>
      </x:c>
      <x:c r="Q253" s="57" t="str">
        <x:v>—</x:v>
      </x:c>
      <x:c r="R253" s="57" t="str">
        <x:v>—</x:v>
      </x:c>
    </x:row>
    <x:row r="254">
      <x:c r="A254" s="60" t="n">
        <x:v>250</x:v>
      </x:c>
      <x:c r="B254" s="56" t="str">
        <x:v>칠색조</x:v>
      </x:c>
      <x:c r="C254" s="56" t="str">
        <x:v>hooh</x:v>
      </x:c>
      <x:c r="D254" s="56" t="str">
        <x:v>평원</x:v>
      </x:c>
      <x:c r="E254" s="56" t="str">
        <x:v>전설</x:v>
      </x:c>
      <x:c r="F254" s="56" t="str">
        <x:v>예</x:v>
      </x:c>
      <x:c r="G254" s="56" t="str">
        <x:v>아니오</x:v>
      </x:c>
      <x:c r="H254" s="56" t="str">
        <x:v>아니오</x:v>
      </x:c>
      <x:c r="I254" s="56" t="str">
        <x:v>전설</x:v>
      </x:c>
      <x:c r="J254" s="57" t="str">
        <x:v>—</x:v>
      </x:c>
      <x:c r="K254" s="57" t="str">
        <x:v>포함</x:v>
      </x:c>
      <x:c r="L254" s="57" t="str">
        <x:v>—</x:v>
      </x:c>
      <x:c r="M254" s="57" t="str">
        <x:v>—</x:v>
      </x:c>
      <x:c r="N254" s="57" t="str">
        <x:v>—</x:v>
      </x:c>
      <x:c r="O254" s="57" t="str">
        <x:v>—</x:v>
      </x:c>
      <x:c r="P254" s="57" t="str">
        <x:v>—</x:v>
      </x:c>
      <x:c r="Q254" s="57" t="str">
        <x:v>—</x:v>
      </x:c>
      <x:c r="R254" s="57" t="str">
        <x:v>—</x:v>
      </x:c>
    </x:row>
    <x:row r="255">
      <x:c r="A255" s="60" t="n">
        <x:v>251</x:v>
      </x:c>
      <x:c r="B255" s="56" t="str">
        <x:v>세레비</x:v>
      </x:c>
      <x:c r="C255" s="56" t="str">
        <x:v>celebi</x:v>
      </x:c>
      <x:c r="D255" s="56" t="str">
        <x:v>숲</x:v>
      </x:c>
      <x:c r="E255" s="56" t="str">
        <x:v>전설</x:v>
      </x:c>
      <x:c r="F255" s="56" t="str">
        <x:v>아니오</x:v>
      </x:c>
      <x:c r="G255" s="56" t="str">
        <x:v>예</x:v>
      </x:c>
      <x:c r="H255" s="56" t="str">
        <x:v>아니오</x:v>
      </x:c>
      <x:c r="I255" s="56" t="str">
        <x:v>환상</x:v>
      </x:c>
      <x:c r="J255" s="57" t="str">
        <x:v>—</x:v>
      </x:c>
      <x:c r="K255" s="57" t="str">
        <x:v>포함</x:v>
      </x:c>
      <x:c r="L255" s="57" t="str">
        <x:v>—</x:v>
      </x:c>
      <x:c r="M255" s="57" t="str">
        <x:v>—</x:v>
      </x:c>
      <x:c r="N255" s="57" t="str">
        <x:v>—</x:v>
      </x:c>
      <x:c r="O255" s="57" t="str">
        <x:v>—</x:v>
      </x:c>
      <x:c r="P255" s="57" t="str">
        <x:v>—</x:v>
      </x:c>
      <x:c r="Q255" s="57" t="str">
        <x:v>—</x:v>
      </x:c>
      <x:c r="R255" s="57" t="str">
        <x:v>—</x:v>
      </x:c>
    </x:row>
    <x:row r="256">
      <x:c r="A256" s="60" t="n">
        <x:v>252</x:v>
      </x:c>
      <x:c r="B256" s="56" t="str">
        <x:v>나무지기</x:v>
      </x:c>
      <x:c r="C256" s="56" t="str">
        <x:v>treecko</x:v>
      </x:c>
      <x:c r="D256" s="56" t="str">
        <x:v>숲</x:v>
      </x:c>
      <x:c r="E256" s="56" t="str">
        <x:v>희귀</x:v>
      </x:c>
      <x:c r="F256" s="56" t="str">
        <x:v>아니오</x:v>
      </x:c>
      <x:c r="G256" s="56" t="str">
        <x:v>아니오</x:v>
      </x:c>
      <x:c r="H256" s="56" t="str">
        <x:v>예</x:v>
      </x:c>
      <x:c r="I256" s="56" t="str">
        <x:v>—</x:v>
      </x:c>
      <x:c r="J256" s="57" t="str">
        <x:v>—</x:v>
      </x:c>
      <x:c r="K256" s="57" t="str">
        <x:v>—</x:v>
      </x:c>
      <x:c r="L256" s="57" t="str">
        <x:v>포함</x:v>
      </x:c>
      <x:c r="M256" s="57" t="str">
        <x:v>—</x:v>
      </x:c>
      <x:c r="N256" s="57" t="str">
        <x:v>—</x:v>
      </x:c>
      <x:c r="O256" s="57" t="str">
        <x:v>—</x:v>
      </x:c>
      <x:c r="P256" s="57" t="str">
        <x:v>—</x:v>
      </x:c>
      <x:c r="Q256" s="57" t="str">
        <x:v>—</x:v>
      </x:c>
      <x:c r="R256" s="57" t="str">
        <x:v>포함</x:v>
      </x:c>
    </x:row>
    <x:row r="257">
      <x:c r="A257" s="60" t="n">
        <x:v>253</x:v>
      </x:c>
      <x:c r="B257" s="56" t="str">
        <x:v>나무돌이</x:v>
      </x:c>
      <x:c r="C257" s="56" t="str">
        <x:v>grovyle</x:v>
      </x:c>
      <x:c r="D257" s="56" t="str">
        <x:v>숲</x:v>
      </x:c>
      <x:c r="E257" s="56" t="str">
        <x:v>희귀</x:v>
      </x:c>
      <x:c r="F257" s="56" t="str">
        <x:v>아니오</x:v>
      </x:c>
      <x:c r="G257" s="56" t="str">
        <x:v>아니오</x:v>
      </x:c>
      <x:c r="H257" s="56" t="str">
        <x:v>예</x:v>
      </x:c>
      <x:c r="I257" s="56" t="str">
        <x:v>—</x:v>
      </x:c>
      <x:c r="J257" s="57" t="str">
        <x:v>—</x:v>
      </x:c>
      <x:c r="K257" s="57" t="str">
        <x:v>—</x:v>
      </x:c>
      <x:c r="L257" s="57" t="str">
        <x:v>포함</x:v>
      </x:c>
      <x:c r="M257" s="57" t="str">
        <x:v>—</x:v>
      </x:c>
      <x:c r="N257" s="57" t="str">
        <x:v>—</x:v>
      </x:c>
      <x:c r="O257" s="57" t="str">
        <x:v>—</x:v>
      </x:c>
      <x:c r="P257" s="57" t="str">
        <x:v>—</x:v>
      </x:c>
      <x:c r="Q257" s="57" t="str">
        <x:v>—</x:v>
      </x:c>
      <x:c r="R257" s="57" t="str">
        <x:v>포함</x:v>
      </x:c>
    </x:row>
    <x:row r="258">
      <x:c r="A258" s="60" t="n">
        <x:v>254</x:v>
      </x:c>
      <x:c r="B258" s="56" t="str">
        <x:v>나무킹</x:v>
      </x:c>
      <x:c r="C258" s="56" t="str">
        <x:v>sceptile</x:v>
      </x:c>
      <x:c r="D258" s="56" t="str">
        <x:v>숲</x:v>
      </x:c>
      <x:c r="E258" s="56" t="str">
        <x:v>희귀</x:v>
      </x:c>
      <x:c r="F258" s="56" t="str">
        <x:v>아니오</x:v>
      </x:c>
      <x:c r="G258" s="56" t="str">
        <x:v>아니오</x:v>
      </x:c>
      <x:c r="H258" s="56" t="str">
        <x:v>예</x:v>
      </x:c>
      <x:c r="I258" s="56" t="str">
        <x:v>—</x:v>
      </x:c>
      <x:c r="J258" s="57" t="str">
        <x:v>—</x:v>
      </x:c>
      <x:c r="K258" s="57" t="str">
        <x:v>—</x:v>
      </x:c>
      <x:c r="L258" s="57" t="str">
        <x:v>포함</x:v>
      </x:c>
      <x:c r="M258" s="57" t="str">
        <x:v>—</x:v>
      </x:c>
      <x:c r="N258" s="57" t="str">
        <x:v>—</x:v>
      </x:c>
      <x:c r="O258" s="57" t="str">
        <x:v>—</x:v>
      </x:c>
      <x:c r="P258" s="57" t="str">
        <x:v>—</x:v>
      </x:c>
      <x:c r="Q258" s="57" t="str">
        <x:v>—</x:v>
      </x:c>
      <x:c r="R258" s="57" t="str">
        <x:v>포함</x:v>
      </x:c>
    </x:row>
    <x:row r="259">
      <x:c r="A259" s="60" t="n">
        <x:v>255</x:v>
      </x:c>
      <x:c r="B259" s="56" t="str">
        <x:v>아차모</x:v>
      </x:c>
      <x:c r="C259" s="56" t="str">
        <x:v>torchic</x:v>
      </x:c>
      <x:c r="D259" s="56" t="str">
        <x:v>평원</x:v>
      </x:c>
      <x:c r="E259" s="56" t="str">
        <x:v>희귀</x:v>
      </x:c>
      <x:c r="F259" s="56" t="str">
        <x:v>아니오</x:v>
      </x:c>
      <x:c r="G259" s="56" t="str">
        <x:v>아니오</x:v>
      </x:c>
      <x:c r="H259" s="56" t="str">
        <x:v>예</x:v>
      </x:c>
      <x:c r="I259" s="56" t="str">
        <x:v>—</x:v>
      </x:c>
      <x:c r="J259" s="57" t="str">
        <x:v>—</x:v>
      </x:c>
      <x:c r="K259" s="57" t="str">
        <x:v>—</x:v>
      </x:c>
      <x:c r="L259" s="57" t="str">
        <x:v>포함</x:v>
      </x:c>
      <x:c r="M259" s="57" t="str">
        <x:v>—</x:v>
      </x:c>
      <x:c r="N259" s="57" t="str">
        <x:v>—</x:v>
      </x:c>
      <x:c r="O259" s="57" t="str">
        <x:v>—</x:v>
      </x:c>
      <x:c r="P259" s="57" t="str">
        <x:v>—</x:v>
      </x:c>
      <x:c r="Q259" s="57" t="str">
        <x:v>—</x:v>
      </x:c>
      <x:c r="R259" s="57" t="str">
        <x:v>포함</x:v>
      </x:c>
    </x:row>
    <x:row r="260">
      <x:c r="A260" s="60" t="n">
        <x:v>256</x:v>
      </x:c>
      <x:c r="B260" s="56" t="str">
        <x:v>영치코</x:v>
      </x:c>
      <x:c r="C260" s="56" t="str">
        <x:v>combusken</x:v>
      </x:c>
      <x:c r="D260" s="56" t="str">
        <x:v>평원</x:v>
      </x:c>
      <x:c r="E260" s="56" t="str">
        <x:v>희귀</x:v>
      </x:c>
      <x:c r="F260" s="56" t="str">
        <x:v>아니오</x:v>
      </x:c>
      <x:c r="G260" s="56" t="str">
        <x:v>아니오</x:v>
      </x:c>
      <x:c r="H260" s="56" t="str">
        <x:v>예</x:v>
      </x:c>
      <x:c r="I260" s="56" t="str">
        <x:v>—</x:v>
      </x:c>
      <x:c r="J260" s="57" t="str">
        <x:v>—</x:v>
      </x:c>
      <x:c r="K260" s="57" t="str">
        <x:v>—</x:v>
      </x:c>
      <x:c r="L260" s="57" t="str">
        <x:v>포함</x:v>
      </x:c>
      <x:c r="M260" s="57" t="str">
        <x:v>—</x:v>
      </x:c>
      <x:c r="N260" s="57" t="str">
        <x:v>—</x:v>
      </x:c>
      <x:c r="O260" s="57" t="str">
        <x:v>—</x:v>
      </x:c>
      <x:c r="P260" s="57" t="str">
        <x:v>—</x:v>
      </x:c>
      <x:c r="Q260" s="57" t="str">
        <x:v>—</x:v>
      </x:c>
      <x:c r="R260" s="57" t="str">
        <x:v>포함</x:v>
      </x:c>
    </x:row>
    <x:row r="261">
      <x:c r="A261" s="60" t="n">
        <x:v>257</x:v>
      </x:c>
      <x:c r="B261" s="56" t="str">
        <x:v>번치코</x:v>
      </x:c>
      <x:c r="C261" s="56" t="str">
        <x:v>blaziken</x:v>
      </x:c>
      <x:c r="D261" s="56" t="str">
        <x:v>평원</x:v>
      </x:c>
      <x:c r="E261" s="56" t="str">
        <x:v>희귀</x:v>
      </x:c>
      <x:c r="F261" s="56" t="str">
        <x:v>아니오</x:v>
      </x:c>
      <x:c r="G261" s="56" t="str">
        <x:v>아니오</x:v>
      </x:c>
      <x:c r="H261" s="56" t="str">
        <x:v>예</x:v>
      </x:c>
      <x:c r="I261" s="56" t="str">
        <x:v>—</x:v>
      </x:c>
      <x:c r="J261" s="57" t="str">
        <x:v>—</x:v>
      </x:c>
      <x:c r="K261" s="57" t="str">
        <x:v>—</x:v>
      </x:c>
      <x:c r="L261" s="57" t="str">
        <x:v>포함</x:v>
      </x:c>
      <x:c r="M261" s="57" t="str">
        <x:v>—</x:v>
      </x:c>
      <x:c r="N261" s="57" t="str">
        <x:v>—</x:v>
      </x:c>
      <x:c r="O261" s="57" t="str">
        <x:v>—</x:v>
      </x:c>
      <x:c r="P261" s="57" t="str">
        <x:v>—</x:v>
      </x:c>
      <x:c r="Q261" s="57" t="str">
        <x:v>—</x:v>
      </x:c>
      <x:c r="R261" s="57" t="str">
        <x:v>포함</x:v>
      </x:c>
    </x:row>
    <x:row r="262">
      <x:c r="A262" s="60" t="n">
        <x:v>258</x:v>
      </x:c>
      <x:c r="B262" s="56" t="str">
        <x:v>물짱이</x:v>
      </x:c>
      <x:c r="C262" s="56" t="str">
        <x:v>mudkip</x:v>
      </x:c>
      <x:c r="D262" s="56" t="str">
        <x:v>습지</x:v>
      </x:c>
      <x:c r="E262" s="56" t="str">
        <x:v>희귀</x:v>
      </x:c>
      <x:c r="F262" s="56" t="str">
        <x:v>아니오</x:v>
      </x:c>
      <x:c r="G262" s="56" t="str">
        <x:v>아니오</x:v>
      </x:c>
      <x:c r="H262" s="56" t="str">
        <x:v>예</x:v>
      </x:c>
      <x:c r="I262" s="56" t="str">
        <x:v>—</x:v>
      </x:c>
      <x:c r="J262" s="57" t="str">
        <x:v>—</x:v>
      </x:c>
      <x:c r="K262" s="57" t="str">
        <x:v>—</x:v>
      </x:c>
      <x:c r="L262" s="57" t="str">
        <x:v>포함</x:v>
      </x:c>
      <x:c r="M262" s="57" t="str">
        <x:v>—</x:v>
      </x:c>
      <x:c r="N262" s="57" t="str">
        <x:v>—</x:v>
      </x:c>
      <x:c r="O262" s="57" t="str">
        <x:v>—</x:v>
      </x:c>
      <x:c r="P262" s="57" t="str">
        <x:v>—</x:v>
      </x:c>
      <x:c r="Q262" s="57" t="str">
        <x:v>—</x:v>
      </x:c>
      <x:c r="R262" s="57" t="str">
        <x:v>포함</x:v>
      </x:c>
    </x:row>
    <x:row r="263">
      <x:c r="A263" s="60" t="n">
        <x:v>259</x:v>
      </x:c>
      <x:c r="B263" s="56" t="str">
        <x:v>늪짱이</x:v>
      </x:c>
      <x:c r="C263" s="56" t="str">
        <x:v>marshtomp</x:v>
      </x:c>
      <x:c r="D263" s="56" t="str">
        <x:v>습지</x:v>
      </x:c>
      <x:c r="E263" s="56" t="str">
        <x:v>희귀</x:v>
      </x:c>
      <x:c r="F263" s="56" t="str">
        <x:v>아니오</x:v>
      </x:c>
      <x:c r="G263" s="56" t="str">
        <x:v>아니오</x:v>
      </x:c>
      <x:c r="H263" s="56" t="str">
        <x:v>예</x:v>
      </x:c>
      <x:c r="I263" s="56" t="str">
        <x:v>—</x:v>
      </x:c>
      <x:c r="J263" s="57" t="str">
        <x:v>—</x:v>
      </x:c>
      <x:c r="K263" s="57" t="str">
        <x:v>—</x:v>
      </x:c>
      <x:c r="L263" s="57" t="str">
        <x:v>포함</x:v>
      </x:c>
      <x:c r="M263" s="57" t="str">
        <x:v>—</x:v>
      </x:c>
      <x:c r="N263" s="57" t="str">
        <x:v>—</x:v>
      </x:c>
      <x:c r="O263" s="57" t="str">
        <x:v>—</x:v>
      </x:c>
      <x:c r="P263" s="57" t="str">
        <x:v>—</x:v>
      </x:c>
      <x:c r="Q263" s="57" t="str">
        <x:v>—</x:v>
      </x:c>
      <x:c r="R263" s="57" t="str">
        <x:v>포함</x:v>
      </x:c>
    </x:row>
    <x:row r="264">
      <x:c r="A264" s="60" t="n">
        <x:v>260</x:v>
      </x:c>
      <x:c r="B264" s="56" t="str">
        <x:v>대짱이</x:v>
      </x:c>
      <x:c r="C264" s="56" t="str">
        <x:v>swampert</x:v>
      </x:c>
      <x:c r="D264" s="56" t="str">
        <x:v>습지</x:v>
      </x:c>
      <x:c r="E264" s="56" t="str">
        <x:v>희귀</x:v>
      </x:c>
      <x:c r="F264" s="56" t="str">
        <x:v>아니오</x:v>
      </x:c>
      <x:c r="G264" s="56" t="str">
        <x:v>아니오</x:v>
      </x:c>
      <x:c r="H264" s="56" t="str">
        <x:v>예</x:v>
      </x:c>
      <x:c r="I264" s="56" t="str">
        <x:v>—</x:v>
      </x:c>
      <x:c r="J264" s="57" t="str">
        <x:v>—</x:v>
      </x:c>
      <x:c r="K264" s="57" t="str">
        <x:v>—</x:v>
      </x:c>
      <x:c r="L264" s="57" t="str">
        <x:v>포함</x:v>
      </x:c>
      <x:c r="M264" s="57" t="str">
        <x:v>—</x:v>
      </x:c>
      <x:c r="N264" s="57" t="str">
        <x:v>—</x:v>
      </x:c>
      <x:c r="O264" s="57" t="str">
        <x:v>—</x:v>
      </x:c>
      <x:c r="P264" s="57" t="str">
        <x:v>—</x:v>
      </x:c>
      <x:c r="Q264" s="57" t="str">
        <x:v>—</x:v>
      </x:c>
      <x:c r="R264" s="57" t="str">
        <x:v>포함</x:v>
      </x:c>
    </x:row>
    <x:row r="265">
      <x:c r="A265" s="60" t="n">
        <x:v>261</x:v>
      </x:c>
      <x:c r="B265" s="56" t="str">
        <x:v>포챠나</x:v>
      </x:c>
      <x:c r="C265" s="56" t="str">
        <x:v>poochyena</x:v>
      </x:c>
      <x:c r="D265" s="56" t="str">
        <x:v>건조지</x:v>
      </x:c>
      <x:c r="E265" s="56" t="str">
        <x:v>흔함</x:v>
      </x:c>
      <x:c r="F265" s="56" t="str">
        <x:v>아니오</x:v>
      </x:c>
      <x:c r="G265" s="56" t="str">
        <x:v>아니오</x:v>
      </x:c>
      <x:c r="H265" s="56" t="str">
        <x:v>예</x:v>
      </x:c>
      <x:c r="I265" s="56" t="str">
        <x:v>—</x:v>
      </x:c>
      <x:c r="J265" s="57" t="str">
        <x:v>—</x:v>
      </x:c>
      <x:c r="K265" s="57" t="str">
        <x:v>—</x:v>
      </x:c>
      <x:c r="L265" s="57" t="str">
        <x:v>포함</x:v>
      </x:c>
      <x:c r="M265" s="57" t="str">
        <x:v>—</x:v>
      </x:c>
      <x:c r="N265" s="57" t="str">
        <x:v>—</x:v>
      </x:c>
      <x:c r="O265" s="57" t="str">
        <x:v>포함</x:v>
      </x:c>
      <x:c r="P265" s="57" t="str">
        <x:v>—</x:v>
      </x:c>
      <x:c r="Q265" s="57" t="str">
        <x:v>—</x:v>
      </x:c>
      <x:c r="R265" s="57" t="str">
        <x:v>포함</x:v>
      </x:c>
    </x:row>
    <x:row r="266">
      <x:c r="A266" s="60" t="n">
        <x:v>262</x:v>
      </x:c>
      <x:c r="B266" s="56" t="str">
        <x:v>그라에나</x:v>
      </x:c>
      <x:c r="C266" s="56" t="str">
        <x:v>mightyena</x:v>
      </x:c>
      <x:c r="D266" s="56" t="str">
        <x:v>건조지</x:v>
      </x:c>
      <x:c r="E266" s="56" t="str">
        <x:v>흔함</x:v>
      </x:c>
      <x:c r="F266" s="56" t="str">
        <x:v>아니오</x:v>
      </x:c>
      <x:c r="G266" s="56" t="str">
        <x:v>아니오</x:v>
      </x:c>
      <x:c r="H266" s="56" t="str">
        <x:v>예</x:v>
      </x:c>
      <x:c r="I266" s="56" t="str">
        <x:v>—</x:v>
      </x:c>
      <x:c r="J266" s="57" t="str">
        <x:v>—</x:v>
      </x:c>
      <x:c r="K266" s="57" t="str">
        <x:v>—</x:v>
      </x:c>
      <x:c r="L266" s="57" t="str">
        <x:v>포함</x:v>
      </x:c>
      <x:c r="M266" s="57" t="str">
        <x:v>—</x:v>
      </x:c>
      <x:c r="N266" s="57" t="str">
        <x:v>—</x:v>
      </x:c>
      <x:c r="O266" s="57" t="str">
        <x:v>포함</x:v>
      </x:c>
      <x:c r="P266" s="57" t="str">
        <x:v>—</x:v>
      </x:c>
      <x:c r="Q266" s="57" t="str">
        <x:v>—</x:v>
      </x:c>
      <x:c r="R266" s="57" t="str">
        <x:v>포함</x:v>
      </x:c>
    </x:row>
    <x:row r="267">
      <x:c r="A267" s="60" t="n">
        <x:v>263</x:v>
      </x:c>
      <x:c r="B267" s="56" t="str">
        <x:v>지그제구리</x:v>
      </x:c>
      <x:c r="C267" s="56" t="str">
        <x:v>zigzagoon</x:v>
      </x:c>
      <x:c r="D267" s="56" t="str">
        <x:v>숲</x:v>
      </x:c>
      <x:c r="E267" s="56" t="str">
        <x:v>흔함</x:v>
      </x:c>
      <x:c r="F267" s="56" t="str">
        <x:v>아니오</x:v>
      </x:c>
      <x:c r="G267" s="56" t="str">
        <x:v>아니오</x:v>
      </x:c>
      <x:c r="H267" s="56" t="str">
        <x:v>예</x:v>
      </x:c>
      <x:c r="I267" s="56" t="str">
        <x:v>—</x:v>
      </x:c>
      <x:c r="J267" s="57" t="str">
        <x:v>—</x:v>
      </x:c>
      <x:c r="K267" s="57" t="str">
        <x:v>—</x:v>
      </x:c>
      <x:c r="L267" s="57" t="str">
        <x:v>포함</x:v>
      </x:c>
      <x:c r="M267" s="57" t="str">
        <x:v>—</x:v>
      </x:c>
      <x:c r="N267" s="57" t="str">
        <x:v>—</x:v>
      </x:c>
      <x:c r="O267" s="57" t="str">
        <x:v>포함</x:v>
      </x:c>
      <x:c r="P267" s="57" t="str">
        <x:v>—</x:v>
      </x:c>
      <x:c r="Q267" s="57" t="str">
        <x:v>포함</x:v>
      </x:c>
      <x:c r="R267" s="57" t="str">
        <x:v>—</x:v>
      </x:c>
    </x:row>
    <x:row r="268">
      <x:c r="A268" s="60" t="n">
        <x:v>264</x:v>
      </x:c>
      <x:c r="B268" s="56" t="str">
        <x:v>직구리</x:v>
      </x:c>
      <x:c r="C268" s="56" t="str">
        <x:v>linoone</x:v>
      </x:c>
      <x:c r="D268" s="56" t="str">
        <x:v>숲</x:v>
      </x:c>
      <x:c r="E268" s="56" t="str">
        <x:v>흔함</x:v>
      </x:c>
      <x:c r="F268" s="56" t="str">
        <x:v>아니오</x:v>
      </x:c>
      <x:c r="G268" s="56" t="str">
        <x:v>아니오</x:v>
      </x:c>
      <x:c r="H268" s="56" t="str">
        <x:v>예</x:v>
      </x:c>
      <x:c r="I268" s="56" t="str">
        <x:v>—</x:v>
      </x:c>
      <x:c r="J268" s="57" t="str">
        <x:v>—</x:v>
      </x:c>
      <x:c r="K268" s="57" t="str">
        <x:v>—</x:v>
      </x:c>
      <x:c r="L268" s="57" t="str">
        <x:v>포함</x:v>
      </x:c>
      <x:c r="M268" s="57" t="str">
        <x:v>—</x:v>
      </x:c>
      <x:c r="N268" s="57" t="str">
        <x:v>—</x:v>
      </x:c>
      <x:c r="O268" s="57" t="str">
        <x:v>포함</x:v>
      </x:c>
      <x:c r="P268" s="57" t="str">
        <x:v>—</x:v>
      </x:c>
      <x:c r="Q268" s="57" t="str">
        <x:v>포함</x:v>
      </x:c>
      <x:c r="R268" s="57" t="str">
        <x:v>—</x:v>
      </x:c>
    </x:row>
    <x:row r="269">
      <x:c r="A269" s="60" t="n">
        <x:v>265</x:v>
      </x:c>
      <x:c r="B269" s="56" t="str">
        <x:v>개무소</x:v>
      </x:c>
      <x:c r="C269" s="56" t="str">
        <x:v>wurmple</x:v>
      </x:c>
      <x:c r="D269" s="56" t="str">
        <x:v>숲</x:v>
      </x:c>
      <x:c r="E269" s="56" t="str">
        <x:v>흔함</x:v>
      </x:c>
      <x:c r="F269" s="56" t="str">
        <x:v>아니오</x:v>
      </x:c>
      <x:c r="G269" s="56" t="str">
        <x:v>아니오</x:v>
      </x:c>
      <x:c r="H269" s="56" t="str">
        <x:v>예</x:v>
      </x:c>
      <x:c r="I269" s="56" t="str">
        <x:v>—</x:v>
      </x:c>
      <x:c r="J269" s="57" t="str">
        <x:v>—</x:v>
      </x:c>
      <x:c r="K269" s="57" t="str">
        <x:v>—</x:v>
      </x:c>
      <x:c r="L269" s="57" t="str">
        <x:v>포함</x:v>
      </x:c>
      <x:c r="M269" s="57" t="str">
        <x:v>포함</x:v>
      </x:c>
      <x:c r="N269" s="57" t="str">
        <x:v>—</x:v>
      </x:c>
      <x:c r="O269" s="57" t="str">
        <x:v>—</x:v>
      </x:c>
      <x:c r="P269" s="57" t="str">
        <x:v>—</x:v>
      </x:c>
      <x:c r="Q269" s="57" t="str">
        <x:v>—</x:v>
      </x:c>
      <x:c r="R269" s="57" t="str">
        <x:v>—</x:v>
      </x:c>
    </x:row>
    <x:row r="270">
      <x:c r="A270" s="60" t="n">
        <x:v>266</x:v>
      </x:c>
      <x:c r="B270" s="56" t="str">
        <x:v>실쿤</x:v>
      </x:c>
      <x:c r="C270" s="56" t="str">
        <x:v>silcoon</x:v>
      </x:c>
      <x:c r="D270" s="56" t="str">
        <x:v>숲</x:v>
      </x:c>
      <x:c r="E270" s="56" t="str">
        <x:v>보통</x:v>
      </x:c>
      <x:c r="F270" s="56" t="str">
        <x:v>아니오</x:v>
      </x:c>
      <x:c r="G270" s="56" t="str">
        <x:v>아니오</x:v>
      </x:c>
      <x:c r="H270" s="56" t="str">
        <x:v>예</x:v>
      </x:c>
      <x:c r="I270" s="56" t="str">
        <x:v>—</x:v>
      </x:c>
      <x:c r="J270" s="57" t="str">
        <x:v>—</x:v>
      </x:c>
      <x:c r="K270" s="57" t="str">
        <x:v>—</x:v>
      </x:c>
      <x:c r="L270" s="57" t="str">
        <x:v>포함</x:v>
      </x:c>
      <x:c r="M270" s="57" t="str">
        <x:v>포함</x:v>
      </x:c>
      <x:c r="N270" s="57" t="str">
        <x:v>—</x:v>
      </x:c>
      <x:c r="O270" s="57" t="str">
        <x:v>—</x:v>
      </x:c>
      <x:c r="P270" s="57" t="str">
        <x:v>—</x:v>
      </x:c>
      <x:c r="Q270" s="57" t="str">
        <x:v>—</x:v>
      </x:c>
      <x:c r="R270" s="57" t="str">
        <x:v>—</x:v>
      </x:c>
    </x:row>
    <x:row r="271">
      <x:c r="A271" s="60" t="n">
        <x:v>267</x:v>
      </x:c>
      <x:c r="B271" s="56" t="str">
        <x:v>뷰티플라이</x:v>
      </x:c>
      <x:c r="C271" s="56" t="str">
        <x:v>beautifly</x:v>
      </x:c>
      <x:c r="D271" s="56" t="str">
        <x:v>숲</x:v>
      </x:c>
      <x:c r="E271" s="56" t="str">
        <x:v>보통</x:v>
      </x:c>
      <x:c r="F271" s="56" t="str">
        <x:v>아니오</x:v>
      </x:c>
      <x:c r="G271" s="56" t="str">
        <x:v>아니오</x:v>
      </x:c>
      <x:c r="H271" s="56" t="str">
        <x:v>예</x:v>
      </x:c>
      <x:c r="I271" s="56" t="str">
        <x:v>—</x:v>
      </x:c>
      <x:c r="J271" s="57" t="str">
        <x:v>—</x:v>
      </x:c>
      <x:c r="K271" s="57" t="str">
        <x:v>—</x:v>
      </x:c>
      <x:c r="L271" s="57" t="str">
        <x:v>포함</x:v>
      </x:c>
      <x:c r="M271" s="57" t="str">
        <x:v>포함</x:v>
      </x:c>
      <x:c r="N271" s="57" t="str">
        <x:v>—</x:v>
      </x:c>
      <x:c r="O271" s="57" t="str">
        <x:v>—</x:v>
      </x:c>
      <x:c r="P271" s="57" t="str">
        <x:v>—</x:v>
      </x:c>
      <x:c r="Q271" s="57" t="str">
        <x:v>—</x:v>
      </x:c>
      <x:c r="R271" s="57" t="str">
        <x:v>—</x:v>
      </x:c>
    </x:row>
    <x:row r="272">
      <x:c r="A272" s="60" t="n">
        <x:v>268</x:v>
      </x:c>
      <x:c r="B272" s="56" t="str">
        <x:v>카스쿤</x:v>
      </x:c>
      <x:c r="C272" s="56" t="str">
        <x:v>cascoon</x:v>
      </x:c>
      <x:c r="D272" s="56" t="str">
        <x:v>숲</x:v>
      </x:c>
      <x:c r="E272" s="56" t="str">
        <x:v>보통</x:v>
      </x:c>
      <x:c r="F272" s="56" t="str">
        <x:v>아니오</x:v>
      </x:c>
      <x:c r="G272" s="56" t="str">
        <x:v>아니오</x:v>
      </x:c>
      <x:c r="H272" s="56" t="str">
        <x:v>예</x:v>
      </x:c>
      <x:c r="I272" s="56" t="str">
        <x:v>—</x:v>
      </x:c>
      <x:c r="J272" s="57" t="str">
        <x:v>—</x:v>
      </x:c>
      <x:c r="K272" s="57" t="str">
        <x:v>—</x:v>
      </x:c>
      <x:c r="L272" s="57" t="str">
        <x:v>포함</x:v>
      </x:c>
      <x:c r="M272" s="57" t="str">
        <x:v>포함</x:v>
      </x:c>
      <x:c r="N272" s="57" t="str">
        <x:v>—</x:v>
      </x:c>
      <x:c r="O272" s="57" t="str">
        <x:v>—</x:v>
      </x:c>
      <x:c r="P272" s="57" t="str">
        <x:v>—</x:v>
      </x:c>
      <x:c r="Q272" s="57" t="str">
        <x:v>—</x:v>
      </x:c>
      <x:c r="R272" s="57" t="str">
        <x:v>—</x:v>
      </x:c>
    </x:row>
    <x:row r="273">
      <x:c r="A273" s="60" t="n">
        <x:v>269</x:v>
      </x:c>
      <x:c r="B273" s="56" t="str">
        <x:v>독케일</x:v>
      </x:c>
      <x:c r="C273" s="56" t="str">
        <x:v>dustox</x:v>
      </x:c>
      <x:c r="D273" s="56" t="str">
        <x:v>숲</x:v>
      </x:c>
      <x:c r="E273" s="56" t="str">
        <x:v>보통</x:v>
      </x:c>
      <x:c r="F273" s="56" t="str">
        <x:v>아니오</x:v>
      </x:c>
      <x:c r="G273" s="56" t="str">
        <x:v>아니오</x:v>
      </x:c>
      <x:c r="H273" s="56" t="str">
        <x:v>예</x:v>
      </x:c>
      <x:c r="I273" s="56" t="str">
        <x:v>—</x:v>
      </x:c>
      <x:c r="J273" s="57" t="str">
        <x:v>—</x:v>
      </x:c>
      <x:c r="K273" s="57" t="str">
        <x:v>—</x:v>
      </x:c>
      <x:c r="L273" s="57" t="str">
        <x:v>포함</x:v>
      </x:c>
      <x:c r="M273" s="57" t="str">
        <x:v>포함</x:v>
      </x:c>
      <x:c r="N273" s="57" t="str">
        <x:v>—</x:v>
      </x:c>
      <x:c r="O273" s="57" t="str">
        <x:v>—</x:v>
      </x:c>
      <x:c r="P273" s="57" t="str">
        <x:v>—</x:v>
      </x:c>
      <x:c r="Q273" s="57" t="str">
        <x:v>—</x:v>
      </x:c>
      <x:c r="R273" s="57" t="str">
        <x:v>—</x:v>
      </x:c>
    </x:row>
    <x:row r="274">
      <x:c r="A274" s="60" t="n">
        <x:v>270</x:v>
      </x:c>
      <x:c r="B274" s="56" t="str">
        <x:v>연꽃몬</x:v>
      </x:c>
      <x:c r="C274" s="56" t="str">
        <x:v>lotad</x:v>
      </x:c>
      <x:c r="D274" s="56" t="str">
        <x:v>습지</x:v>
      </x:c>
      <x:c r="E274" s="56" t="str">
        <x:v>흔함</x:v>
      </x:c>
      <x:c r="F274" s="56" t="str">
        <x:v>아니오</x:v>
      </x:c>
      <x:c r="G274" s="56" t="str">
        <x:v>아니오</x:v>
      </x:c>
      <x:c r="H274" s="56" t="str">
        <x:v>예</x:v>
      </x:c>
      <x:c r="I274" s="56" t="str">
        <x:v>—</x:v>
      </x:c>
      <x:c r="J274" s="57" t="str">
        <x:v>—</x:v>
      </x:c>
      <x:c r="K274" s="57" t="str">
        <x:v>—</x:v>
      </x:c>
      <x:c r="L274" s="57" t="str">
        <x:v>포함</x:v>
      </x:c>
      <x:c r="M274" s="57" t="str">
        <x:v>—</x:v>
      </x:c>
      <x:c r="N274" s="57" t="str">
        <x:v>—</x:v>
      </x:c>
      <x:c r="O274" s="57" t="str">
        <x:v>포함</x:v>
      </x:c>
      <x:c r="P274" s="57" t="str">
        <x:v>—</x:v>
      </x:c>
      <x:c r="Q274" s="57" t="str">
        <x:v>포함</x:v>
      </x:c>
      <x:c r="R274" s="57" t="str">
        <x:v>포함</x:v>
      </x:c>
    </x:row>
    <x:row r="275">
      <x:c r="A275" s="60" t="n">
        <x:v>271</x:v>
      </x:c>
      <x:c r="B275" s="56" t="str">
        <x:v>로토스</x:v>
      </x:c>
      <x:c r="C275" s="56" t="str">
        <x:v>lombre</x:v>
      </x:c>
      <x:c r="D275" s="56" t="str">
        <x:v>습지</x:v>
      </x:c>
      <x:c r="E275" s="56" t="str">
        <x:v>흔함</x:v>
      </x:c>
      <x:c r="F275" s="56" t="str">
        <x:v>아니오</x:v>
      </x:c>
      <x:c r="G275" s="56" t="str">
        <x:v>아니오</x:v>
      </x:c>
      <x:c r="H275" s="56" t="str">
        <x:v>예</x:v>
      </x:c>
      <x:c r="I275" s="56" t="str">
        <x:v>—</x:v>
      </x:c>
      <x:c r="J275" s="57" t="str">
        <x:v>—</x:v>
      </x:c>
      <x:c r="K275" s="57" t="str">
        <x:v>—</x:v>
      </x:c>
      <x:c r="L275" s="57" t="str">
        <x:v>포함</x:v>
      </x:c>
      <x:c r="M275" s="57" t="str">
        <x:v>—</x:v>
      </x:c>
      <x:c r="N275" s="57" t="str">
        <x:v>—</x:v>
      </x:c>
      <x:c r="O275" s="57" t="str">
        <x:v>포함</x:v>
      </x:c>
      <x:c r="P275" s="57" t="str">
        <x:v>—</x:v>
      </x:c>
      <x:c r="Q275" s="57" t="str">
        <x:v>포함</x:v>
      </x:c>
      <x:c r="R275" s="57" t="str">
        <x:v>포함</x:v>
      </x:c>
    </x:row>
    <x:row r="276">
      <x:c r="A276" s="60" t="n">
        <x:v>272</x:v>
      </x:c>
      <x:c r="B276" s="56" t="str">
        <x:v>로파파</x:v>
      </x:c>
      <x:c r="C276" s="56" t="str">
        <x:v>ludicolo</x:v>
      </x:c>
      <x:c r="D276" s="56" t="str">
        <x:v>습지</x:v>
      </x:c>
      <x:c r="E276" s="56" t="str">
        <x:v>흔함</x:v>
      </x:c>
      <x:c r="F276" s="56" t="str">
        <x:v>아니오</x:v>
      </x:c>
      <x:c r="G276" s="56" t="str">
        <x:v>아니오</x:v>
      </x:c>
      <x:c r="H276" s="56" t="str">
        <x:v>예</x:v>
      </x:c>
      <x:c r="I276" s="56" t="str">
        <x:v>—</x:v>
      </x:c>
      <x:c r="J276" s="57" t="str">
        <x:v>—</x:v>
      </x:c>
      <x:c r="K276" s="57" t="str">
        <x:v>—</x:v>
      </x:c>
      <x:c r="L276" s="57" t="str">
        <x:v>포함</x:v>
      </x:c>
      <x:c r="M276" s="57" t="str">
        <x:v>—</x:v>
      </x:c>
      <x:c r="N276" s="57" t="str">
        <x:v>—</x:v>
      </x:c>
      <x:c r="O276" s="57" t="str">
        <x:v>포함</x:v>
      </x:c>
      <x:c r="P276" s="57" t="str">
        <x:v>—</x:v>
      </x:c>
      <x:c r="Q276" s="57" t="str">
        <x:v>포함</x:v>
      </x:c>
      <x:c r="R276" s="57" t="str">
        <x:v>포함</x:v>
      </x:c>
    </x:row>
    <x:row r="277">
      <x:c r="A277" s="60" t="n">
        <x:v>273</x:v>
      </x:c>
      <x:c r="B277" s="56" t="str">
        <x:v>도토링</x:v>
      </x:c>
      <x:c r="C277" s="56" t="str">
        <x:v>seedot</x:v>
      </x:c>
      <x:c r="D277" s="56" t="str">
        <x:v>숲</x:v>
      </x:c>
      <x:c r="E277" s="56" t="str">
        <x:v>흔함</x:v>
      </x:c>
      <x:c r="F277" s="56" t="str">
        <x:v>아니오</x:v>
      </x:c>
      <x:c r="G277" s="56" t="str">
        <x:v>아니오</x:v>
      </x:c>
      <x:c r="H277" s="56" t="str">
        <x:v>예</x:v>
      </x:c>
      <x:c r="I277" s="56" t="str">
        <x:v>—</x:v>
      </x:c>
      <x:c r="J277" s="57" t="str">
        <x:v>—</x:v>
      </x:c>
      <x:c r="K277" s="57" t="str">
        <x:v>—</x:v>
      </x:c>
      <x:c r="L277" s="57" t="str">
        <x:v>포함</x:v>
      </x:c>
      <x:c r="M277" s="57" t="str">
        <x:v>—</x:v>
      </x:c>
      <x:c r="N277" s="57" t="str">
        <x:v>—</x:v>
      </x:c>
      <x:c r="O277" s="57" t="str">
        <x:v>—</x:v>
      </x:c>
      <x:c r="P277" s="57" t="str">
        <x:v>—</x:v>
      </x:c>
      <x:c r="Q277" s="57" t="str">
        <x:v>포함</x:v>
      </x:c>
      <x:c r="R277" s="57" t="str">
        <x:v>포함</x:v>
      </x:c>
    </x:row>
    <x:row r="278">
      <x:c r="A278" s="60" t="n">
        <x:v>274</x:v>
      </x:c>
      <x:c r="B278" s="56" t="str">
        <x:v>잎새코</x:v>
      </x:c>
      <x:c r="C278" s="56" t="str">
        <x:v>nuzleaf</x:v>
      </x:c>
      <x:c r="D278" s="56" t="str">
        <x:v>숲</x:v>
      </x:c>
      <x:c r="E278" s="56" t="str">
        <x:v>흔함</x:v>
      </x:c>
      <x:c r="F278" s="56" t="str">
        <x:v>아니오</x:v>
      </x:c>
      <x:c r="G278" s="56" t="str">
        <x:v>아니오</x:v>
      </x:c>
      <x:c r="H278" s="56" t="str">
        <x:v>예</x:v>
      </x:c>
      <x:c r="I278" s="56" t="str">
        <x:v>—</x:v>
      </x:c>
      <x:c r="J278" s="57" t="str">
        <x:v>—</x:v>
      </x:c>
      <x:c r="K278" s="57" t="str">
        <x:v>—</x:v>
      </x:c>
      <x:c r="L278" s="57" t="str">
        <x:v>포함</x:v>
      </x:c>
      <x:c r="M278" s="57" t="str">
        <x:v>—</x:v>
      </x:c>
      <x:c r="N278" s="57" t="str">
        <x:v>—</x:v>
      </x:c>
      <x:c r="O278" s="57" t="str">
        <x:v>—</x:v>
      </x:c>
      <x:c r="P278" s="57" t="str">
        <x:v>—</x:v>
      </x:c>
      <x:c r="Q278" s="57" t="str">
        <x:v>포함</x:v>
      </x:c>
      <x:c r="R278" s="57" t="str">
        <x:v>포함</x:v>
      </x:c>
    </x:row>
    <x:row r="279">
      <x:c r="A279" s="60" t="n">
        <x:v>275</x:v>
      </x:c>
      <x:c r="B279" s="56" t="str">
        <x:v>다탱구</x:v>
      </x:c>
      <x:c r="C279" s="56" t="str">
        <x:v>shiftry</x:v>
      </x:c>
      <x:c r="D279" s="56" t="str">
        <x:v>숲</x:v>
      </x:c>
      <x:c r="E279" s="56" t="str">
        <x:v>흔함</x:v>
      </x:c>
      <x:c r="F279" s="56" t="str">
        <x:v>아니오</x:v>
      </x:c>
      <x:c r="G279" s="56" t="str">
        <x:v>아니오</x:v>
      </x:c>
      <x:c r="H279" s="56" t="str">
        <x:v>예</x:v>
      </x:c>
      <x:c r="I279" s="56" t="str">
        <x:v>—</x:v>
      </x:c>
      <x:c r="J279" s="57" t="str">
        <x:v>—</x:v>
      </x:c>
      <x:c r="K279" s="57" t="str">
        <x:v>—</x:v>
      </x:c>
      <x:c r="L279" s="57" t="str">
        <x:v>포함</x:v>
      </x:c>
      <x:c r="M279" s="57" t="str">
        <x:v>—</x:v>
      </x:c>
      <x:c r="N279" s="57" t="str">
        <x:v>—</x:v>
      </x:c>
      <x:c r="O279" s="57" t="str">
        <x:v>—</x:v>
      </x:c>
      <x:c r="P279" s="57" t="str">
        <x:v>—</x:v>
      </x:c>
      <x:c r="Q279" s="57" t="str">
        <x:v>포함</x:v>
      </x:c>
      <x:c r="R279" s="57" t="str">
        <x:v>포함</x:v>
      </x:c>
    </x:row>
    <x:row r="280">
      <x:c r="A280" s="60" t="n">
        <x:v>276</x:v>
      </x:c>
      <x:c r="B280" s="56" t="str">
        <x:v>테일로</x:v>
      </x:c>
      <x:c r="C280" s="56" t="str">
        <x:v>taillow</x:v>
      </x:c>
      <x:c r="D280" s="56" t="str">
        <x:v>평원</x:v>
      </x:c>
      <x:c r="E280" s="56" t="str">
        <x:v>흔함</x:v>
      </x:c>
      <x:c r="F280" s="56" t="str">
        <x:v>아니오</x:v>
      </x:c>
      <x:c r="G280" s="56" t="str">
        <x:v>아니오</x:v>
      </x:c>
      <x:c r="H280" s="56" t="str">
        <x:v>예</x:v>
      </x:c>
      <x:c r="I280" s="56" t="str">
        <x:v>—</x:v>
      </x:c>
      <x:c r="J280" s="57" t="str">
        <x:v>—</x:v>
      </x:c>
      <x:c r="K280" s="57" t="str">
        <x:v>—</x:v>
      </x:c>
      <x:c r="L280" s="57" t="str">
        <x:v>포함</x:v>
      </x:c>
      <x:c r="M280" s="57" t="str">
        <x:v>—</x:v>
      </x:c>
      <x:c r="N280" s="57" t="str">
        <x:v>—</x:v>
      </x:c>
      <x:c r="O280" s="57" t="str">
        <x:v>포함</x:v>
      </x:c>
      <x:c r="P280" s="57" t="str">
        <x:v>—</x:v>
      </x:c>
      <x:c r="Q280" s="57" t="str">
        <x:v>—</x:v>
      </x:c>
      <x:c r="R280" s="57" t="str">
        <x:v>—</x:v>
      </x:c>
    </x:row>
    <x:row r="281">
      <x:c r="A281" s="60" t="n">
        <x:v>277</x:v>
      </x:c>
      <x:c r="B281" s="56" t="str">
        <x:v>스왈로</x:v>
      </x:c>
      <x:c r="C281" s="56" t="str">
        <x:v>swellow</x:v>
      </x:c>
      <x:c r="D281" s="56" t="str">
        <x:v>평원</x:v>
      </x:c>
      <x:c r="E281" s="56" t="str">
        <x:v>흔함</x:v>
      </x:c>
      <x:c r="F281" s="56" t="str">
        <x:v>아니오</x:v>
      </x:c>
      <x:c r="G281" s="56" t="str">
        <x:v>아니오</x:v>
      </x:c>
      <x:c r="H281" s="56" t="str">
        <x:v>예</x:v>
      </x:c>
      <x:c r="I281" s="56" t="str">
        <x:v>—</x:v>
      </x:c>
      <x:c r="J281" s="57" t="str">
        <x:v>—</x:v>
      </x:c>
      <x:c r="K281" s="57" t="str">
        <x:v>—</x:v>
      </x:c>
      <x:c r="L281" s="57" t="str">
        <x:v>포함</x:v>
      </x:c>
      <x:c r="M281" s="57" t="str">
        <x:v>—</x:v>
      </x:c>
      <x:c r="N281" s="57" t="str">
        <x:v>—</x:v>
      </x:c>
      <x:c r="O281" s="57" t="str">
        <x:v>포함</x:v>
      </x:c>
      <x:c r="P281" s="57" t="str">
        <x:v>—</x:v>
      </x:c>
      <x:c r="Q281" s="57" t="str">
        <x:v>—</x:v>
      </x:c>
      <x:c r="R281" s="57" t="str">
        <x:v>—</x:v>
      </x:c>
    </x:row>
    <x:row r="282">
      <x:c r="A282" s="60" t="n">
        <x:v>278</x:v>
      </x:c>
      <x:c r="B282" s="56" t="str">
        <x:v>갈모매</x:v>
      </x:c>
      <x:c r="C282" s="56" t="str">
        <x:v>wingull</x:v>
      </x:c>
      <x:c r="D282" s="56" t="str">
        <x:v>해양</x:v>
      </x:c>
      <x:c r="E282" s="56" t="str">
        <x:v>흔함</x:v>
      </x:c>
      <x:c r="F282" s="56" t="str">
        <x:v>아니오</x:v>
      </x:c>
      <x:c r="G282" s="56" t="str">
        <x:v>아니오</x:v>
      </x:c>
      <x:c r="H282" s="56" t="str">
        <x:v>예</x:v>
      </x:c>
      <x:c r="I282" s="56" t="str">
        <x:v>—</x:v>
      </x:c>
      <x:c r="J282" s="57" t="str">
        <x:v>—</x:v>
      </x:c>
      <x:c r="K282" s="57" t="str">
        <x:v>—</x:v>
      </x:c>
      <x:c r="L282" s="57" t="str">
        <x:v>포함</x:v>
      </x:c>
      <x:c r="M282" s="57" t="str">
        <x:v>포함</x:v>
      </x:c>
      <x:c r="N282" s="57" t="str">
        <x:v>포함</x:v>
      </x:c>
      <x:c r="O282" s="57" t="str">
        <x:v>포함</x:v>
      </x:c>
      <x:c r="P282" s="57" t="str">
        <x:v>포함</x:v>
      </x:c>
      <x:c r="Q282" s="57" t="str">
        <x:v>포함</x:v>
      </x:c>
      <x:c r="R282" s="57" t="str">
        <x:v>포함</x:v>
      </x:c>
    </x:row>
    <x:row r="283">
      <x:c r="A283" s="60" t="n">
        <x:v>279</x:v>
      </x:c>
      <x:c r="B283" s="56" t="str">
        <x:v>패리퍼</x:v>
      </x:c>
      <x:c r="C283" s="56" t="str">
        <x:v>pelipper</x:v>
      </x:c>
      <x:c r="D283" s="56" t="str">
        <x:v>해양</x:v>
      </x:c>
      <x:c r="E283" s="56" t="str">
        <x:v>흔함</x:v>
      </x:c>
      <x:c r="F283" s="56" t="str">
        <x:v>아니오</x:v>
      </x:c>
      <x:c r="G283" s="56" t="str">
        <x:v>아니오</x:v>
      </x:c>
      <x:c r="H283" s="56" t="str">
        <x:v>예</x:v>
      </x:c>
      <x:c r="I283" s="56" t="str">
        <x:v>—</x:v>
      </x:c>
      <x:c r="J283" s="57" t="str">
        <x:v>—</x:v>
      </x:c>
      <x:c r="K283" s="57" t="str">
        <x:v>—</x:v>
      </x:c>
      <x:c r="L283" s="57" t="str">
        <x:v>포함</x:v>
      </x:c>
      <x:c r="M283" s="57" t="str">
        <x:v>포함</x:v>
      </x:c>
      <x:c r="N283" s="57" t="str">
        <x:v>포함</x:v>
      </x:c>
      <x:c r="O283" s="57" t="str">
        <x:v>포함</x:v>
      </x:c>
      <x:c r="P283" s="57" t="str">
        <x:v>포함</x:v>
      </x:c>
      <x:c r="Q283" s="57" t="str">
        <x:v>포함</x:v>
      </x:c>
      <x:c r="R283" s="57" t="str">
        <x:v>포함</x:v>
      </x:c>
    </x:row>
    <x:row r="284">
      <x:c r="A284" s="60" t="n">
        <x:v>280</x:v>
      </x:c>
      <x:c r="B284" s="56" t="str">
        <x:v>랄토스</x:v>
      </x:c>
      <x:c r="C284" s="56" t="str">
        <x:v>ralts</x:v>
      </x:c>
      <x:c r="D284" s="56" t="str">
        <x:v>숲</x:v>
      </x:c>
      <x:c r="E284" s="56" t="str">
        <x:v>흔함</x:v>
      </x:c>
      <x:c r="F284" s="56" t="str">
        <x:v>아니오</x:v>
      </x:c>
      <x:c r="G284" s="56" t="str">
        <x:v>아니오</x:v>
      </x:c>
      <x:c r="H284" s="56" t="str">
        <x:v>예</x:v>
      </x:c>
      <x:c r="I284" s="56" t="str">
        <x:v>—</x:v>
      </x:c>
      <x:c r="J284" s="57" t="str">
        <x:v>—</x:v>
      </x:c>
      <x:c r="K284" s="57" t="str">
        <x:v>—</x:v>
      </x:c>
      <x:c r="L284" s="57" t="str">
        <x:v>포함</x:v>
      </x:c>
      <x:c r="M284" s="57" t="str">
        <x:v>포함</x:v>
      </x:c>
      <x:c r="N284" s="57" t="str">
        <x:v>—</x:v>
      </x:c>
      <x:c r="O284" s="57" t="str">
        <x:v>포함</x:v>
      </x:c>
      <x:c r="P284" s="57" t="str">
        <x:v>—</x:v>
      </x:c>
      <x:c r="Q284" s="57" t="str">
        <x:v>포함</x:v>
      </x:c>
      <x:c r="R284" s="57" t="str">
        <x:v>포함</x:v>
      </x:c>
    </x:row>
    <x:row r="285">
      <x:c r="A285" s="60" t="n">
        <x:v>281</x:v>
      </x:c>
      <x:c r="B285" s="56" t="str">
        <x:v>킬리아</x:v>
      </x:c>
      <x:c r="C285" s="56" t="str">
        <x:v>kirlia</x:v>
      </x:c>
      <x:c r="D285" s="56" t="str">
        <x:v>숲</x:v>
      </x:c>
      <x:c r="E285" s="56" t="str">
        <x:v>흔함</x:v>
      </x:c>
      <x:c r="F285" s="56" t="str">
        <x:v>아니오</x:v>
      </x:c>
      <x:c r="G285" s="56" t="str">
        <x:v>아니오</x:v>
      </x:c>
      <x:c r="H285" s="56" t="str">
        <x:v>예</x:v>
      </x:c>
      <x:c r="I285" s="56" t="str">
        <x:v>—</x:v>
      </x:c>
      <x:c r="J285" s="57" t="str">
        <x:v>—</x:v>
      </x:c>
      <x:c r="K285" s="57" t="str">
        <x:v>—</x:v>
      </x:c>
      <x:c r="L285" s="57" t="str">
        <x:v>포함</x:v>
      </x:c>
      <x:c r="M285" s="57" t="str">
        <x:v>포함</x:v>
      </x:c>
      <x:c r="N285" s="57" t="str">
        <x:v>—</x:v>
      </x:c>
      <x:c r="O285" s="57" t="str">
        <x:v>포함</x:v>
      </x:c>
      <x:c r="P285" s="57" t="str">
        <x:v>—</x:v>
      </x:c>
      <x:c r="Q285" s="57" t="str">
        <x:v>포함</x:v>
      </x:c>
      <x:c r="R285" s="57" t="str">
        <x:v>포함</x:v>
      </x:c>
    </x:row>
    <x:row r="286">
      <x:c r="A286" s="60" t="n">
        <x:v>282</x:v>
      </x:c>
      <x:c r="B286" s="56" t="str">
        <x:v>가디안</x:v>
      </x:c>
      <x:c r="C286" s="56" t="str">
        <x:v>gardevoir</x:v>
      </x:c>
      <x:c r="D286" s="56" t="str">
        <x:v>숲</x:v>
      </x:c>
      <x:c r="E286" s="56" t="str">
        <x:v>흔함</x:v>
      </x:c>
      <x:c r="F286" s="56" t="str">
        <x:v>아니오</x:v>
      </x:c>
      <x:c r="G286" s="56" t="str">
        <x:v>아니오</x:v>
      </x:c>
      <x:c r="H286" s="56" t="str">
        <x:v>예</x:v>
      </x:c>
      <x:c r="I286" s="56" t="str">
        <x:v>—</x:v>
      </x:c>
      <x:c r="J286" s="57" t="str">
        <x:v>—</x:v>
      </x:c>
      <x:c r="K286" s="57" t="str">
        <x:v>—</x:v>
      </x:c>
      <x:c r="L286" s="57" t="str">
        <x:v>포함</x:v>
      </x:c>
      <x:c r="M286" s="57" t="str">
        <x:v>포함</x:v>
      </x:c>
      <x:c r="N286" s="57" t="str">
        <x:v>—</x:v>
      </x:c>
      <x:c r="O286" s="57" t="str">
        <x:v>포함</x:v>
      </x:c>
      <x:c r="P286" s="57" t="str">
        <x:v>—</x:v>
      </x:c>
      <x:c r="Q286" s="57" t="str">
        <x:v>포함</x:v>
      </x:c>
      <x:c r="R286" s="57" t="str">
        <x:v>포함</x:v>
      </x:c>
    </x:row>
    <x:row r="287">
      <x:c r="A287" s="60" t="n">
        <x:v>283</x:v>
      </x:c>
      <x:c r="B287" s="56" t="str">
        <x:v>비구술</x:v>
      </x:c>
      <x:c r="C287" s="56" t="str">
        <x:v>surskit</x:v>
      </x:c>
      <x:c r="D287" s="56" t="str">
        <x:v>담수</x:v>
      </x:c>
      <x:c r="E287" s="56" t="str">
        <x:v>보통</x:v>
      </x:c>
      <x:c r="F287" s="56" t="str">
        <x:v>아니오</x:v>
      </x:c>
      <x:c r="G287" s="56" t="str">
        <x:v>아니오</x:v>
      </x:c>
      <x:c r="H287" s="56" t="str">
        <x:v>예</x:v>
      </x:c>
      <x:c r="I287" s="56" t="str">
        <x:v>—</x:v>
      </x:c>
      <x:c r="J287" s="57" t="str">
        <x:v>—</x:v>
      </x:c>
      <x:c r="K287" s="57" t="str">
        <x:v>—</x:v>
      </x:c>
      <x:c r="L287" s="57" t="str">
        <x:v>포함</x:v>
      </x:c>
      <x:c r="M287" s="57" t="str">
        <x:v>—</x:v>
      </x:c>
      <x:c r="N287" s="57" t="str">
        <x:v>—</x:v>
      </x:c>
      <x:c r="O287" s="57" t="str">
        <x:v>포함</x:v>
      </x:c>
      <x:c r="P287" s="57" t="str">
        <x:v>포함</x:v>
      </x:c>
      <x:c r="Q287" s="57" t="str">
        <x:v>—</x:v>
      </x:c>
      <x:c r="R287" s="57" t="str">
        <x:v>포함</x:v>
      </x:c>
    </x:row>
    <x:row r="288">
      <x:c r="A288" s="60" t="n">
        <x:v>284</x:v>
      </x:c>
      <x:c r="B288" s="56" t="str">
        <x:v>비나방</x:v>
      </x:c>
      <x:c r="C288" s="56" t="str">
        <x:v>masquerain</x:v>
      </x:c>
      <x:c r="D288" s="56" t="str">
        <x:v>담수</x:v>
      </x:c>
      <x:c r="E288" s="56" t="str">
        <x:v>보통</x:v>
      </x:c>
      <x:c r="F288" s="56" t="str">
        <x:v>아니오</x:v>
      </x:c>
      <x:c r="G288" s="56" t="str">
        <x:v>아니오</x:v>
      </x:c>
      <x:c r="H288" s="56" t="str">
        <x:v>예</x:v>
      </x:c>
      <x:c r="I288" s="56" t="str">
        <x:v>—</x:v>
      </x:c>
      <x:c r="J288" s="57" t="str">
        <x:v>—</x:v>
      </x:c>
      <x:c r="K288" s="57" t="str">
        <x:v>—</x:v>
      </x:c>
      <x:c r="L288" s="57" t="str">
        <x:v>포함</x:v>
      </x:c>
      <x:c r="M288" s="57" t="str">
        <x:v>—</x:v>
      </x:c>
      <x:c r="N288" s="57" t="str">
        <x:v>—</x:v>
      </x:c>
      <x:c r="O288" s="57" t="str">
        <x:v>포함</x:v>
      </x:c>
      <x:c r="P288" s="57" t="str">
        <x:v>포함</x:v>
      </x:c>
      <x:c r="Q288" s="57" t="str">
        <x:v>—</x:v>
      </x:c>
      <x:c r="R288" s="57" t="str">
        <x:v>포함</x:v>
      </x:c>
    </x:row>
    <x:row r="289">
      <x:c r="A289" s="60" t="n">
        <x:v>285</x:v>
      </x:c>
      <x:c r="B289" s="56" t="str">
        <x:v>버섯꼬</x:v>
      </x:c>
      <x:c r="C289" s="56" t="str">
        <x:v>shroomish</x:v>
      </x:c>
      <x:c r="D289" s="56" t="str">
        <x:v>숲</x:v>
      </x:c>
      <x:c r="E289" s="56" t="str">
        <x:v>흔함</x:v>
      </x:c>
      <x:c r="F289" s="56" t="str">
        <x:v>아니오</x:v>
      </x:c>
      <x:c r="G289" s="56" t="str">
        <x:v>아니오</x:v>
      </x:c>
      <x:c r="H289" s="56" t="str">
        <x:v>예</x:v>
      </x:c>
      <x:c r="I289" s="56" t="str">
        <x:v>—</x:v>
      </x:c>
      <x:c r="J289" s="57" t="str">
        <x:v>—</x:v>
      </x:c>
      <x:c r="K289" s="57" t="str">
        <x:v>—</x:v>
      </x:c>
      <x:c r="L289" s="57" t="str">
        <x:v>포함</x:v>
      </x:c>
      <x:c r="M289" s="57" t="str">
        <x:v>—</x:v>
      </x:c>
      <x:c r="N289" s="57" t="str">
        <x:v>—</x:v>
      </x:c>
      <x:c r="O289" s="57" t="str">
        <x:v>—</x:v>
      </x:c>
      <x:c r="P289" s="57" t="str">
        <x:v>—</x:v>
      </x:c>
      <x:c r="Q289" s="57" t="str">
        <x:v>—</x:v>
      </x:c>
      <x:c r="R289" s="57" t="str">
        <x:v>포함</x:v>
      </x:c>
    </x:row>
    <x:row r="290">
      <x:c r="A290" s="60" t="n">
        <x:v>286</x:v>
      </x:c>
      <x:c r="B290" s="56" t="str">
        <x:v>버섯모</x:v>
      </x:c>
      <x:c r="C290" s="56" t="str">
        <x:v>breloom</x:v>
      </x:c>
      <x:c r="D290" s="56" t="str">
        <x:v>숲</x:v>
      </x:c>
      <x:c r="E290" s="56" t="str">
        <x:v>흔함</x:v>
      </x:c>
      <x:c r="F290" s="56" t="str">
        <x:v>아니오</x:v>
      </x:c>
      <x:c r="G290" s="56" t="str">
        <x:v>아니오</x:v>
      </x:c>
      <x:c r="H290" s="56" t="str">
        <x:v>예</x:v>
      </x:c>
      <x:c r="I290" s="56" t="str">
        <x:v>—</x:v>
      </x:c>
      <x:c r="J290" s="57" t="str">
        <x:v>—</x:v>
      </x:c>
      <x:c r="K290" s="57" t="str">
        <x:v>—</x:v>
      </x:c>
      <x:c r="L290" s="57" t="str">
        <x:v>포함</x:v>
      </x:c>
      <x:c r="M290" s="57" t="str">
        <x:v>—</x:v>
      </x:c>
      <x:c r="N290" s="57" t="str">
        <x:v>—</x:v>
      </x:c>
      <x:c r="O290" s="57" t="str">
        <x:v>—</x:v>
      </x:c>
      <x:c r="P290" s="57" t="str">
        <x:v>—</x:v>
      </x:c>
      <x:c r="Q290" s="57" t="str">
        <x:v>—</x:v>
      </x:c>
      <x:c r="R290" s="57" t="str">
        <x:v>포함</x:v>
      </x:c>
    </x:row>
    <x:row r="291">
      <x:c r="A291" s="60" t="n">
        <x:v>287</x:v>
      </x:c>
      <x:c r="B291" s="56" t="str">
        <x:v>게을로</x:v>
      </x:c>
      <x:c r="C291" s="56" t="str">
        <x:v>slakoth</x:v>
      </x:c>
      <x:c r="D291" s="56" t="str">
        <x:v>숲</x:v>
      </x:c>
      <x:c r="E291" s="56" t="str">
        <x:v>흔함</x:v>
      </x:c>
      <x:c r="F291" s="56" t="str">
        <x:v>아니오</x:v>
      </x:c>
      <x:c r="G291" s="56" t="str">
        <x:v>아니오</x:v>
      </x:c>
      <x:c r="H291" s="56" t="str">
        <x:v>예</x:v>
      </x:c>
      <x:c r="I291" s="56" t="str">
        <x:v>—</x:v>
      </x:c>
      <x:c r="J291" s="57" t="str">
        <x:v>—</x:v>
      </x:c>
      <x:c r="K291" s="57" t="str">
        <x:v>—</x:v>
      </x:c>
      <x:c r="L291" s="57" t="str">
        <x:v>포함</x:v>
      </x:c>
      <x:c r="M291" s="57" t="str">
        <x:v>—</x:v>
      </x:c>
      <x:c r="N291" s="57" t="str">
        <x:v>포함</x:v>
      </x:c>
      <x:c r="O291" s="57" t="str">
        <x:v>—</x:v>
      </x:c>
      <x:c r="P291" s="57" t="str">
        <x:v>—</x:v>
      </x:c>
      <x:c r="Q291" s="57" t="str">
        <x:v>—</x:v>
      </x:c>
      <x:c r="R291" s="57" t="str">
        <x:v>포함</x:v>
      </x:c>
    </x:row>
    <x:row r="292">
      <x:c r="A292" s="60" t="n">
        <x:v>288</x:v>
      </x:c>
      <x:c r="B292" s="56" t="str">
        <x:v>발바로</x:v>
      </x:c>
      <x:c r="C292" s="56" t="str">
        <x:v>vigoroth</x:v>
      </x:c>
      <x:c r="D292" s="56" t="str">
        <x:v>숲</x:v>
      </x:c>
      <x:c r="E292" s="56" t="str">
        <x:v>흔함</x:v>
      </x:c>
      <x:c r="F292" s="56" t="str">
        <x:v>아니오</x:v>
      </x:c>
      <x:c r="G292" s="56" t="str">
        <x:v>아니오</x:v>
      </x:c>
      <x:c r="H292" s="56" t="str">
        <x:v>예</x:v>
      </x:c>
      <x:c r="I292" s="56" t="str">
        <x:v>—</x:v>
      </x:c>
      <x:c r="J292" s="57" t="str">
        <x:v>—</x:v>
      </x:c>
      <x:c r="K292" s="57" t="str">
        <x:v>—</x:v>
      </x:c>
      <x:c r="L292" s="57" t="str">
        <x:v>포함</x:v>
      </x:c>
      <x:c r="M292" s="57" t="str">
        <x:v>—</x:v>
      </x:c>
      <x:c r="N292" s="57" t="str">
        <x:v>포함</x:v>
      </x:c>
      <x:c r="O292" s="57" t="str">
        <x:v>—</x:v>
      </x:c>
      <x:c r="P292" s="57" t="str">
        <x:v>—</x:v>
      </x:c>
      <x:c r="Q292" s="57" t="str">
        <x:v>—</x:v>
      </x:c>
      <x:c r="R292" s="57" t="str">
        <x:v>포함</x:v>
      </x:c>
    </x:row>
    <x:row r="293">
      <x:c r="A293" s="60" t="n">
        <x:v>289</x:v>
      </x:c>
      <x:c r="B293" s="56" t="str">
        <x:v>게을킹</x:v>
      </x:c>
      <x:c r="C293" s="56" t="str">
        <x:v>slaking</x:v>
      </x:c>
      <x:c r="D293" s="56" t="str">
        <x:v>숲</x:v>
      </x:c>
      <x:c r="E293" s="56" t="str">
        <x:v>흔함</x:v>
      </x:c>
      <x:c r="F293" s="56" t="str">
        <x:v>아니오</x:v>
      </x:c>
      <x:c r="G293" s="56" t="str">
        <x:v>아니오</x:v>
      </x:c>
      <x:c r="H293" s="56" t="str">
        <x:v>예</x:v>
      </x:c>
      <x:c r="I293" s="56" t="str">
        <x:v>—</x:v>
      </x:c>
      <x:c r="J293" s="57" t="str">
        <x:v>—</x:v>
      </x:c>
      <x:c r="K293" s="57" t="str">
        <x:v>—</x:v>
      </x:c>
      <x:c r="L293" s="57" t="str">
        <x:v>포함</x:v>
      </x:c>
      <x:c r="M293" s="57" t="str">
        <x:v>—</x:v>
      </x:c>
      <x:c r="N293" s="57" t="str">
        <x:v>포함</x:v>
      </x:c>
      <x:c r="O293" s="57" t="str">
        <x:v>—</x:v>
      </x:c>
      <x:c r="P293" s="57" t="str">
        <x:v>—</x:v>
      </x:c>
      <x:c r="Q293" s="57" t="str">
        <x:v>—</x:v>
      </x:c>
      <x:c r="R293" s="57" t="str">
        <x:v>포함</x:v>
      </x:c>
    </x:row>
    <x:row r="294">
      <x:c r="A294" s="60" t="n">
        <x:v>290</x:v>
      </x:c>
      <x:c r="B294" s="56" t="str">
        <x:v>토중몬</x:v>
      </x:c>
      <x:c r="C294" s="56" t="str">
        <x:v>nincada</x:v>
      </x:c>
      <x:c r="D294" s="56" t="str">
        <x:v>숲</x:v>
      </x:c>
      <x:c r="E294" s="56" t="str">
        <x:v>흔함</x:v>
      </x:c>
      <x:c r="F294" s="56" t="str">
        <x:v>아니오</x:v>
      </x:c>
      <x:c r="G294" s="56" t="str">
        <x:v>아니오</x:v>
      </x:c>
      <x:c r="H294" s="56" t="str">
        <x:v>예</x:v>
      </x:c>
      <x:c r="I294" s="56" t="str">
        <x:v>—</x:v>
      </x:c>
      <x:c r="J294" s="57" t="str">
        <x:v>—</x:v>
      </x:c>
      <x:c r="K294" s="57" t="str">
        <x:v>—</x:v>
      </x:c>
      <x:c r="L294" s="57" t="str">
        <x:v>포함</x:v>
      </x:c>
      <x:c r="M294" s="57" t="str">
        <x:v>—</x:v>
      </x:c>
      <x:c r="N294" s="57" t="str">
        <x:v>—</x:v>
      </x:c>
      <x:c r="O294" s="57" t="str">
        <x:v>포함</x:v>
      </x:c>
      <x:c r="P294" s="57" t="str">
        <x:v>—</x:v>
      </x:c>
      <x:c r="Q294" s="57" t="str">
        <x:v>포함</x:v>
      </x:c>
      <x:c r="R294" s="57" t="str">
        <x:v>—</x:v>
      </x:c>
    </x:row>
    <x:row r="295">
      <x:c r="A295" s="60" t="n">
        <x:v>291</x:v>
      </x:c>
      <x:c r="B295" s="56" t="str">
        <x:v>아이스크</x:v>
      </x:c>
      <x:c r="C295" s="56" t="str">
        <x:v>ninjask</x:v>
      </x:c>
      <x:c r="D295" s="56" t="str">
        <x:v>숲</x:v>
      </x:c>
      <x:c r="E295" s="56" t="str">
        <x:v>흔함</x:v>
      </x:c>
      <x:c r="F295" s="56" t="str">
        <x:v>아니오</x:v>
      </x:c>
      <x:c r="G295" s="56" t="str">
        <x:v>아니오</x:v>
      </x:c>
      <x:c r="H295" s="56" t="str">
        <x:v>예</x:v>
      </x:c>
      <x:c r="I295" s="56" t="str">
        <x:v>—</x:v>
      </x:c>
      <x:c r="J295" s="57" t="str">
        <x:v>—</x:v>
      </x:c>
      <x:c r="K295" s="57" t="str">
        <x:v>—</x:v>
      </x:c>
      <x:c r="L295" s="57" t="str">
        <x:v>포함</x:v>
      </x:c>
      <x:c r="M295" s="57" t="str">
        <x:v>—</x:v>
      </x:c>
      <x:c r="N295" s="57" t="str">
        <x:v>—</x:v>
      </x:c>
      <x:c r="O295" s="57" t="str">
        <x:v>포함</x:v>
      </x:c>
      <x:c r="P295" s="57" t="str">
        <x:v>—</x:v>
      </x:c>
      <x:c r="Q295" s="57" t="str">
        <x:v>포함</x:v>
      </x:c>
      <x:c r="R295" s="57" t="str">
        <x:v>—</x:v>
      </x:c>
    </x:row>
    <x:row r="296">
      <x:c r="A296" s="60" t="n">
        <x:v>292</x:v>
      </x:c>
      <x:c r="B296" s="56" t="str">
        <x:v>껍질몬</x:v>
      </x:c>
      <x:c r="C296" s="56" t="str">
        <x:v>shedinja</x:v>
      </x:c>
      <x:c r="D296" s="56" t="str">
        <x:v>숲</x:v>
      </x:c>
      <x:c r="E296" s="56" t="str">
        <x:v>보통</x:v>
      </x:c>
      <x:c r="F296" s="56" t="str">
        <x:v>아니오</x:v>
      </x:c>
      <x:c r="G296" s="56" t="str">
        <x:v>아니오</x:v>
      </x:c>
      <x:c r="H296" s="56" t="str">
        <x:v>예</x:v>
      </x:c>
      <x:c r="I296" s="56" t="str">
        <x:v>—</x:v>
      </x:c>
      <x:c r="J296" s="57" t="str">
        <x:v>—</x:v>
      </x:c>
      <x:c r="K296" s="57" t="str">
        <x:v>—</x:v>
      </x:c>
      <x:c r="L296" s="57" t="str">
        <x:v>포함</x:v>
      </x:c>
      <x:c r="M296" s="57" t="str">
        <x:v>—</x:v>
      </x:c>
      <x:c r="N296" s="57" t="str">
        <x:v>—</x:v>
      </x:c>
      <x:c r="O296" s="57" t="str">
        <x:v>포함</x:v>
      </x:c>
      <x:c r="P296" s="57" t="str">
        <x:v>—</x:v>
      </x:c>
      <x:c r="Q296" s="57" t="str">
        <x:v>포함</x:v>
      </x:c>
      <x:c r="R296" s="57" t="str">
        <x:v>—</x:v>
      </x:c>
    </x:row>
    <x:row r="297">
      <x:c r="A297" s="60" t="n">
        <x:v>293</x:v>
      </x:c>
      <x:c r="B297" s="56" t="str">
        <x:v>소곤룡</x:v>
      </x:c>
      <x:c r="C297" s="56" t="str">
        <x:v>whismur</x:v>
      </x:c>
      <x:c r="D297" s="56" t="str">
        <x:v>동굴</x:v>
      </x:c>
      <x:c r="E297" s="56" t="str">
        <x:v>보통</x:v>
      </x:c>
      <x:c r="F297" s="56" t="str">
        <x:v>아니오</x:v>
      </x:c>
      <x:c r="G297" s="56" t="str">
        <x:v>아니오</x:v>
      </x:c>
      <x:c r="H297" s="56" t="str">
        <x:v>예</x:v>
      </x:c>
      <x:c r="I297" s="56" t="str">
        <x:v>—</x:v>
      </x:c>
      <x:c r="J297" s="57" t="str">
        <x:v>—</x:v>
      </x:c>
      <x:c r="K297" s="57" t="str">
        <x:v>—</x:v>
      </x:c>
      <x:c r="L297" s="57" t="str">
        <x:v>포함</x:v>
      </x:c>
      <x:c r="M297" s="57" t="str">
        <x:v>—</x:v>
      </x:c>
      <x:c r="N297" s="57" t="str">
        <x:v>—</x:v>
      </x:c>
      <x:c r="O297" s="57" t="str">
        <x:v>포함</x:v>
      </x:c>
      <x:c r="P297" s="57" t="str">
        <x:v>—</x:v>
      </x:c>
      <x:c r="Q297" s="57" t="str">
        <x:v>포함</x:v>
      </x:c>
      <x:c r="R297" s="57" t="str">
        <x:v>—</x:v>
      </x:c>
    </x:row>
    <x:row r="298">
      <x:c r="A298" s="60" t="n">
        <x:v>294</x:v>
      </x:c>
      <x:c r="B298" s="56" t="str">
        <x:v>노공룡</x:v>
      </x:c>
      <x:c r="C298" s="56" t="str">
        <x:v>loudred</x:v>
      </x:c>
      <x:c r="D298" s="56" t="str">
        <x:v>동굴</x:v>
      </x:c>
      <x:c r="E298" s="56" t="str">
        <x:v>보통</x:v>
      </x:c>
      <x:c r="F298" s="56" t="str">
        <x:v>아니오</x:v>
      </x:c>
      <x:c r="G298" s="56" t="str">
        <x:v>아니오</x:v>
      </x:c>
      <x:c r="H298" s="56" t="str">
        <x:v>예</x:v>
      </x:c>
      <x:c r="I298" s="56" t="str">
        <x:v>—</x:v>
      </x:c>
      <x:c r="J298" s="57" t="str">
        <x:v>—</x:v>
      </x:c>
      <x:c r="K298" s="57" t="str">
        <x:v>—</x:v>
      </x:c>
      <x:c r="L298" s="57" t="str">
        <x:v>포함</x:v>
      </x:c>
      <x:c r="M298" s="57" t="str">
        <x:v>—</x:v>
      </x:c>
      <x:c r="N298" s="57" t="str">
        <x:v>—</x:v>
      </x:c>
      <x:c r="O298" s="57" t="str">
        <x:v>포함</x:v>
      </x:c>
      <x:c r="P298" s="57" t="str">
        <x:v>—</x:v>
      </x:c>
      <x:c r="Q298" s="57" t="str">
        <x:v>포함</x:v>
      </x:c>
      <x:c r="R298" s="57" t="str">
        <x:v>—</x:v>
      </x:c>
    </x:row>
    <x:row r="299">
      <x:c r="A299" s="60" t="n">
        <x:v>295</x:v>
      </x:c>
      <x:c r="B299" s="56" t="str">
        <x:v>폭음룡</x:v>
      </x:c>
      <x:c r="C299" s="56" t="str">
        <x:v>exploud</x:v>
      </x:c>
      <x:c r="D299" s="56" t="str">
        <x:v>동굴</x:v>
      </x:c>
      <x:c r="E299" s="56" t="str">
        <x:v>보통</x:v>
      </x:c>
      <x:c r="F299" s="56" t="str">
        <x:v>아니오</x:v>
      </x:c>
      <x:c r="G299" s="56" t="str">
        <x:v>아니오</x:v>
      </x:c>
      <x:c r="H299" s="56" t="str">
        <x:v>예</x:v>
      </x:c>
      <x:c r="I299" s="56" t="str">
        <x:v>—</x:v>
      </x:c>
      <x:c r="J299" s="57" t="str">
        <x:v>—</x:v>
      </x:c>
      <x:c r="K299" s="57" t="str">
        <x:v>—</x:v>
      </x:c>
      <x:c r="L299" s="57" t="str">
        <x:v>포함</x:v>
      </x:c>
      <x:c r="M299" s="57" t="str">
        <x:v>—</x:v>
      </x:c>
      <x:c r="N299" s="57" t="str">
        <x:v>—</x:v>
      </x:c>
      <x:c r="O299" s="57" t="str">
        <x:v>포함</x:v>
      </x:c>
      <x:c r="P299" s="57" t="str">
        <x:v>—</x:v>
      </x:c>
      <x:c r="Q299" s="57" t="str">
        <x:v>포함</x:v>
      </x:c>
      <x:c r="R299" s="57" t="str">
        <x:v>—</x:v>
      </x:c>
    </x:row>
    <x:row r="300">
      <x:c r="A300" s="60" t="n">
        <x:v>296</x:v>
      </x:c>
      <x:c r="B300" s="56" t="str">
        <x:v>마크탕</x:v>
      </x:c>
      <x:c r="C300" s="56" t="str">
        <x:v>makuhita</x:v>
      </x:c>
      <x:c r="D300" s="56" t="str">
        <x:v>산악</x:v>
      </x:c>
      <x:c r="E300" s="56" t="str">
        <x:v>흔함</x:v>
      </x:c>
      <x:c r="F300" s="56" t="str">
        <x:v>아니오</x:v>
      </x:c>
      <x:c r="G300" s="56" t="str">
        <x:v>아니오</x:v>
      </x:c>
      <x:c r="H300" s="56" t="str">
        <x:v>예</x:v>
      </x:c>
      <x:c r="I300" s="56" t="str">
        <x:v>—</x:v>
      </x:c>
      <x:c r="J300" s="57" t="str">
        <x:v>—</x:v>
      </x:c>
      <x:c r="K300" s="57" t="str">
        <x:v>—</x:v>
      </x:c>
      <x:c r="L300" s="57" t="str">
        <x:v>포함</x:v>
      </x:c>
      <x:c r="M300" s="57" t="str">
        <x:v>—</x:v>
      </x:c>
      <x:c r="N300" s="57" t="str">
        <x:v>—</x:v>
      </x:c>
      <x:c r="O300" s="57" t="str">
        <x:v>포함</x:v>
      </x:c>
      <x:c r="P300" s="57" t="str">
        <x:v>포함</x:v>
      </x:c>
      <x:c r="Q300" s="57" t="str">
        <x:v>—</x:v>
      </x:c>
      <x:c r="R300" s="57" t="str">
        <x:v>포함</x:v>
      </x:c>
    </x:row>
    <x:row r="301">
      <x:c r="A301" s="60" t="n">
        <x:v>297</x:v>
      </x:c>
      <x:c r="B301" s="56" t="str">
        <x:v>하리뭉</x:v>
      </x:c>
      <x:c r="C301" s="56" t="str">
        <x:v>hariyama</x:v>
      </x:c>
      <x:c r="D301" s="56" t="str">
        <x:v>산악</x:v>
      </x:c>
      <x:c r="E301" s="56" t="str">
        <x:v>흔함</x:v>
      </x:c>
      <x:c r="F301" s="56" t="str">
        <x:v>아니오</x:v>
      </x:c>
      <x:c r="G301" s="56" t="str">
        <x:v>아니오</x:v>
      </x:c>
      <x:c r="H301" s="56" t="str">
        <x:v>예</x:v>
      </x:c>
      <x:c r="I301" s="56" t="str">
        <x:v>—</x:v>
      </x:c>
      <x:c r="J301" s="57" t="str">
        <x:v>—</x:v>
      </x:c>
      <x:c r="K301" s="57" t="str">
        <x:v>—</x:v>
      </x:c>
      <x:c r="L301" s="57" t="str">
        <x:v>포함</x:v>
      </x:c>
      <x:c r="M301" s="57" t="str">
        <x:v>—</x:v>
      </x:c>
      <x:c r="N301" s="57" t="str">
        <x:v>—</x:v>
      </x:c>
      <x:c r="O301" s="57" t="str">
        <x:v>포함</x:v>
      </x:c>
      <x:c r="P301" s="57" t="str">
        <x:v>포함</x:v>
      </x:c>
      <x:c r="Q301" s="57" t="str">
        <x:v>—</x:v>
      </x:c>
      <x:c r="R301" s="57" t="str">
        <x:v>포함</x:v>
      </x:c>
    </x:row>
    <x:row r="302">
      <x:c r="A302" s="60" t="n">
        <x:v>298</x:v>
      </x:c>
      <x:c r="B302" s="56" t="str">
        <x:v>루리리</x:v>
      </x:c>
      <x:c r="C302" s="56" t="str">
        <x:v>azurill</x:v>
      </x:c>
      <x:c r="D302" s="56" t="str">
        <x:v>숲</x:v>
      </x:c>
      <x:c r="E302" s="56" t="str">
        <x:v>보통</x:v>
      </x:c>
      <x:c r="F302" s="56" t="str">
        <x:v>아니오</x:v>
      </x:c>
      <x:c r="G302" s="56" t="str">
        <x:v>아니오</x:v>
      </x:c>
      <x:c r="H302" s="56" t="str">
        <x:v>예</x:v>
      </x:c>
      <x:c r="I302" s="56" t="str">
        <x:v>—</x:v>
      </x:c>
      <x:c r="J302" s="57" t="str">
        <x:v>—</x:v>
      </x:c>
      <x:c r="K302" s="57" t="str">
        <x:v>—</x:v>
      </x:c>
      <x:c r="L302" s="57" t="str">
        <x:v>포함</x:v>
      </x:c>
      <x:c r="M302" s="57" t="str">
        <x:v>포함</x:v>
      </x:c>
      <x:c r="N302" s="57" t="str">
        <x:v>포함</x:v>
      </x:c>
      <x:c r="O302" s="57" t="str">
        <x:v>포함</x:v>
      </x:c>
      <x:c r="P302" s="57" t="str">
        <x:v>—</x:v>
      </x:c>
      <x:c r="Q302" s="57" t="str">
        <x:v>포함</x:v>
      </x:c>
      <x:c r="R302" s="57" t="str">
        <x:v>포함</x:v>
      </x:c>
    </x:row>
    <x:row r="303">
      <x:c r="A303" s="60" t="n">
        <x:v>299</x:v>
      </x:c>
      <x:c r="B303" s="56" t="str">
        <x:v>코코파스</x:v>
      </x:c>
      <x:c r="C303" s="56" t="str">
        <x:v>nosepass</x:v>
      </x:c>
      <x:c r="D303" s="56" t="str">
        <x:v>산악</x:v>
      </x:c>
      <x:c r="E303" s="56" t="str">
        <x:v>보통</x:v>
      </x:c>
      <x:c r="F303" s="56" t="str">
        <x:v>아니오</x:v>
      </x:c>
      <x:c r="G303" s="56" t="str">
        <x:v>아니오</x:v>
      </x:c>
      <x:c r="H303" s="56" t="str">
        <x:v>예</x:v>
      </x:c>
      <x:c r="I303" s="56" t="str">
        <x:v>—</x:v>
      </x:c>
      <x:c r="J303" s="57" t="str">
        <x:v>—</x:v>
      </x:c>
      <x:c r="K303" s="57" t="str">
        <x:v>—</x:v>
      </x:c>
      <x:c r="L303" s="57" t="str">
        <x:v>포함</x:v>
      </x:c>
      <x:c r="M303" s="57" t="str">
        <x:v>포함</x:v>
      </x:c>
      <x:c r="N303" s="57" t="str">
        <x:v>포함</x:v>
      </x:c>
      <x:c r="O303" s="57" t="str">
        <x:v>포함</x:v>
      </x:c>
      <x:c r="P303" s="57" t="str">
        <x:v>포함</x:v>
      </x:c>
      <x:c r="Q303" s="57" t="str">
        <x:v>—</x:v>
      </x:c>
      <x:c r="R303" s="57" t="str">
        <x:v>포함</x:v>
      </x:c>
    </x:row>
    <x:row r="304">
      <x:c r="A304" s="60" t="n">
        <x:v>300</x:v>
      </x:c>
      <x:c r="B304" s="56" t="str">
        <x:v>에나비</x:v>
      </x:c>
      <x:c r="C304" s="56" t="str">
        <x:v>skitty</x:v>
      </x:c>
      <x:c r="D304" s="56" t="str">
        <x:v>건조지</x:v>
      </x:c>
      <x:c r="E304" s="56" t="str">
        <x:v>흔함</x:v>
      </x:c>
      <x:c r="F304" s="56" t="str">
        <x:v>아니오</x:v>
      </x:c>
      <x:c r="G304" s="56" t="str">
        <x:v>아니오</x:v>
      </x:c>
      <x:c r="H304" s="56" t="str">
        <x:v>예</x:v>
      </x:c>
      <x:c r="I304" s="56" t="str">
        <x:v>—</x:v>
      </x:c>
      <x:c r="J304" s="57" t="str">
        <x:v>—</x:v>
      </x:c>
      <x:c r="K304" s="57" t="str">
        <x:v>—</x:v>
      </x:c>
      <x:c r="L304" s="57" t="str">
        <x:v>포함</x:v>
      </x:c>
      <x:c r="M304" s="57" t="str">
        <x:v>—</x:v>
      </x:c>
      <x:c r="N304" s="57" t="str">
        <x:v>포함</x:v>
      </x:c>
      <x:c r="O304" s="57" t="str">
        <x:v>포함</x:v>
      </x:c>
      <x:c r="P304" s="57" t="str">
        <x:v>—</x:v>
      </x:c>
      <x:c r="Q304" s="57" t="str">
        <x:v>—</x:v>
      </x:c>
      <x:c r="R304" s="57" t="str">
        <x:v>—</x:v>
      </x:c>
    </x:row>
    <x:row r="305">
      <x:c r="A305" s="60" t="n">
        <x:v>301</x:v>
      </x:c>
      <x:c r="B305" s="56" t="str">
        <x:v>델케티</x:v>
      </x:c>
      <x:c r="C305" s="56" t="str">
        <x:v>delcatty</x:v>
      </x:c>
      <x:c r="D305" s="56" t="str">
        <x:v>건조지</x:v>
      </x:c>
      <x:c r="E305" s="56" t="str">
        <x:v>보통</x:v>
      </x:c>
      <x:c r="F305" s="56" t="str">
        <x:v>아니오</x:v>
      </x:c>
      <x:c r="G305" s="56" t="str">
        <x:v>아니오</x:v>
      </x:c>
      <x:c r="H305" s="56" t="str">
        <x:v>예</x:v>
      </x:c>
      <x:c r="I305" s="56" t="str">
        <x:v>—</x:v>
      </x:c>
      <x:c r="J305" s="57" t="str">
        <x:v>—</x:v>
      </x:c>
      <x:c r="K305" s="57" t="str">
        <x:v>—</x:v>
      </x:c>
      <x:c r="L305" s="57" t="str">
        <x:v>포함</x:v>
      </x:c>
      <x:c r="M305" s="57" t="str">
        <x:v>—</x:v>
      </x:c>
      <x:c r="N305" s="57" t="str">
        <x:v>포함</x:v>
      </x:c>
      <x:c r="O305" s="57" t="str">
        <x:v>포함</x:v>
      </x:c>
      <x:c r="P305" s="57" t="str">
        <x:v>—</x:v>
      </x:c>
      <x:c r="Q305" s="57" t="str">
        <x:v>—</x:v>
      </x:c>
      <x:c r="R305" s="57" t="str">
        <x:v>—</x:v>
      </x:c>
    </x:row>
    <x:row r="306">
      <x:c r="A306" s="60" t="n">
        <x:v>302</x:v>
      </x:c>
      <x:c r="B306" s="56" t="str">
        <x:v>깜까미</x:v>
      </x:c>
      <x:c r="C306" s="56" t="str">
        <x:v>sableye</x:v>
      </x:c>
      <x:c r="D306" s="56" t="str">
        <x:v>동굴</x:v>
      </x:c>
      <x:c r="E306" s="56" t="str">
        <x:v>흔함</x:v>
      </x:c>
      <x:c r="F306" s="56" t="str">
        <x:v>아니오</x:v>
      </x:c>
      <x:c r="G306" s="56" t="str">
        <x:v>아니오</x:v>
      </x:c>
      <x:c r="H306" s="56" t="str">
        <x:v>예</x:v>
      </x:c>
      <x:c r="I306" s="56" t="str">
        <x:v>—</x:v>
      </x:c>
      <x:c r="J306" s="57" t="str">
        <x:v>—</x:v>
      </x:c>
      <x:c r="K306" s="57" t="str">
        <x:v>—</x:v>
      </x:c>
      <x:c r="L306" s="57" t="str">
        <x:v>포함</x:v>
      </x:c>
      <x:c r="M306" s="57" t="str">
        <x:v>—</x:v>
      </x:c>
      <x:c r="N306" s="57" t="str">
        <x:v>—</x:v>
      </x:c>
      <x:c r="O306" s="57" t="str">
        <x:v>포함</x:v>
      </x:c>
      <x:c r="P306" s="57" t="str">
        <x:v>포함</x:v>
      </x:c>
      <x:c r="Q306" s="57" t="str">
        <x:v>포함</x:v>
      </x:c>
      <x:c r="R306" s="57" t="str">
        <x:v>포함</x:v>
      </x:c>
    </x:row>
    <x:row r="307">
      <x:c r="A307" s="60" t="n">
        <x:v>303</x:v>
      </x:c>
      <x:c r="B307" s="56" t="str">
        <x:v>입치트</x:v>
      </x:c>
      <x:c r="C307" s="56" t="str">
        <x:v>mawile</x:v>
      </x:c>
      <x:c r="D307" s="56" t="str">
        <x:v>동굴</x:v>
      </x:c>
      <x:c r="E307" s="56" t="str">
        <x:v>보통</x:v>
      </x:c>
      <x:c r="F307" s="56" t="str">
        <x:v>아니오</x:v>
      </x:c>
      <x:c r="G307" s="56" t="str">
        <x:v>아니오</x:v>
      </x:c>
      <x:c r="H307" s="56" t="str">
        <x:v>예</x:v>
      </x:c>
      <x:c r="I307" s="56" t="str">
        <x:v>—</x:v>
      </x:c>
      <x:c r="J307" s="57" t="str">
        <x:v>—</x:v>
      </x:c>
      <x:c r="K307" s="57" t="str">
        <x:v>—</x:v>
      </x:c>
      <x:c r="L307" s="57" t="str">
        <x:v>포함</x:v>
      </x:c>
      <x:c r="M307" s="57" t="str">
        <x:v>—</x:v>
      </x:c>
      <x:c r="N307" s="57" t="str">
        <x:v>—</x:v>
      </x:c>
      <x:c r="O307" s="57" t="str">
        <x:v>포함</x:v>
      </x:c>
      <x:c r="P307" s="57" t="str">
        <x:v>포함</x:v>
      </x:c>
      <x:c r="Q307" s="57" t="str">
        <x:v>포함</x:v>
      </x:c>
      <x:c r="R307" s="57" t="str">
        <x:v>—</x:v>
      </x:c>
    </x:row>
    <x:row r="308">
      <x:c r="A308" s="60" t="n">
        <x:v>304</x:v>
      </x:c>
      <x:c r="B308" s="56" t="str">
        <x:v>가보리</x:v>
      </x:c>
      <x:c r="C308" s="56" t="str">
        <x:v>aron</x:v>
      </x:c>
      <x:c r="D308" s="56" t="str">
        <x:v>산악</x:v>
      </x:c>
      <x:c r="E308" s="56" t="str">
        <x:v>흔함</x:v>
      </x:c>
      <x:c r="F308" s="56" t="str">
        <x:v>아니오</x:v>
      </x:c>
      <x:c r="G308" s="56" t="str">
        <x:v>아니오</x:v>
      </x:c>
      <x:c r="H308" s="56" t="str">
        <x:v>예</x:v>
      </x:c>
      <x:c r="I308" s="56" t="str">
        <x:v>—</x:v>
      </x:c>
      <x:c r="J308" s="57" t="str">
        <x:v>—</x:v>
      </x:c>
      <x:c r="K308" s="57" t="str">
        <x:v>—</x:v>
      </x:c>
      <x:c r="L308" s="57" t="str">
        <x:v>포함</x:v>
      </x:c>
      <x:c r="M308" s="57" t="str">
        <x:v>—</x:v>
      </x:c>
      <x:c r="N308" s="57" t="str">
        <x:v>포함</x:v>
      </x:c>
      <x:c r="O308" s="57" t="str">
        <x:v>포함</x:v>
      </x:c>
      <x:c r="P308" s="57" t="str">
        <x:v>—</x:v>
      </x:c>
      <x:c r="Q308" s="57" t="str">
        <x:v>포함</x:v>
      </x:c>
      <x:c r="R308" s="57" t="str">
        <x:v>—</x:v>
      </x:c>
    </x:row>
    <x:row r="309">
      <x:c r="A309" s="60" t="n">
        <x:v>305</x:v>
      </x:c>
      <x:c r="B309" s="56" t="str">
        <x:v>갱도라</x:v>
      </x:c>
      <x:c r="C309" s="56" t="str">
        <x:v>lairon</x:v>
      </x:c>
      <x:c r="D309" s="56" t="str">
        <x:v>산악</x:v>
      </x:c>
      <x:c r="E309" s="56" t="str">
        <x:v>흔함</x:v>
      </x:c>
      <x:c r="F309" s="56" t="str">
        <x:v>아니오</x:v>
      </x:c>
      <x:c r="G309" s="56" t="str">
        <x:v>아니오</x:v>
      </x:c>
      <x:c r="H309" s="56" t="str">
        <x:v>예</x:v>
      </x:c>
      <x:c r="I309" s="56" t="str">
        <x:v>—</x:v>
      </x:c>
      <x:c r="J309" s="57" t="str">
        <x:v>—</x:v>
      </x:c>
      <x:c r="K309" s="57" t="str">
        <x:v>—</x:v>
      </x:c>
      <x:c r="L309" s="57" t="str">
        <x:v>포함</x:v>
      </x:c>
      <x:c r="M309" s="57" t="str">
        <x:v>—</x:v>
      </x:c>
      <x:c r="N309" s="57" t="str">
        <x:v>포함</x:v>
      </x:c>
      <x:c r="O309" s="57" t="str">
        <x:v>포함</x:v>
      </x:c>
      <x:c r="P309" s="57" t="str">
        <x:v>—</x:v>
      </x:c>
      <x:c r="Q309" s="57" t="str">
        <x:v>포함</x:v>
      </x:c>
      <x:c r="R309" s="57" t="str">
        <x:v>—</x:v>
      </x:c>
    </x:row>
    <x:row r="310">
      <x:c r="A310" s="60" t="n">
        <x:v>306</x:v>
      </x:c>
      <x:c r="B310" s="56" t="str">
        <x:v>보스로라</x:v>
      </x:c>
      <x:c r="C310" s="56" t="str">
        <x:v>aggron</x:v>
      </x:c>
      <x:c r="D310" s="56" t="str">
        <x:v>산악</x:v>
      </x:c>
      <x:c r="E310" s="56" t="str">
        <x:v>흔함</x:v>
      </x:c>
      <x:c r="F310" s="56" t="str">
        <x:v>아니오</x:v>
      </x:c>
      <x:c r="G310" s="56" t="str">
        <x:v>아니오</x:v>
      </x:c>
      <x:c r="H310" s="56" t="str">
        <x:v>예</x:v>
      </x:c>
      <x:c r="I310" s="56" t="str">
        <x:v>—</x:v>
      </x:c>
      <x:c r="J310" s="57" t="str">
        <x:v>—</x:v>
      </x:c>
      <x:c r="K310" s="57" t="str">
        <x:v>—</x:v>
      </x:c>
      <x:c r="L310" s="57" t="str">
        <x:v>포함</x:v>
      </x:c>
      <x:c r="M310" s="57" t="str">
        <x:v>—</x:v>
      </x:c>
      <x:c r="N310" s="57" t="str">
        <x:v>포함</x:v>
      </x:c>
      <x:c r="O310" s="57" t="str">
        <x:v>포함</x:v>
      </x:c>
      <x:c r="P310" s="57" t="str">
        <x:v>—</x:v>
      </x:c>
      <x:c r="Q310" s="57" t="str">
        <x:v>포함</x:v>
      </x:c>
      <x:c r="R310" s="57" t="str">
        <x:v>—</x:v>
      </x:c>
    </x:row>
    <x:row r="311">
      <x:c r="A311" s="60" t="n">
        <x:v>307</x:v>
      </x:c>
      <x:c r="B311" s="56" t="str">
        <x:v>요가랑</x:v>
      </x:c>
      <x:c r="C311" s="56" t="str">
        <x:v>meditite</x:v>
      </x:c>
      <x:c r="D311" s="56" t="str">
        <x:v>산악</x:v>
      </x:c>
      <x:c r="E311" s="56" t="str">
        <x:v>흔함</x:v>
      </x:c>
      <x:c r="F311" s="56" t="str">
        <x:v>아니오</x:v>
      </x:c>
      <x:c r="G311" s="56" t="str">
        <x:v>아니오</x:v>
      </x:c>
      <x:c r="H311" s="56" t="str">
        <x:v>예</x:v>
      </x:c>
      <x:c r="I311" s="56" t="str">
        <x:v>—</x:v>
      </x:c>
      <x:c r="J311" s="57" t="str">
        <x:v>—</x:v>
      </x:c>
      <x:c r="K311" s="57" t="str">
        <x:v>—</x:v>
      </x:c>
      <x:c r="L311" s="57" t="str">
        <x:v>포함</x:v>
      </x:c>
      <x:c r="M311" s="57" t="str">
        <x:v>포함</x:v>
      </x:c>
      <x:c r="N311" s="57" t="str">
        <x:v>—</x:v>
      </x:c>
      <x:c r="O311" s="57" t="str">
        <x:v>포함</x:v>
      </x:c>
      <x:c r="P311" s="57" t="str">
        <x:v>—</x:v>
      </x:c>
      <x:c r="Q311" s="57" t="str">
        <x:v>—</x:v>
      </x:c>
      <x:c r="R311" s="57" t="str">
        <x:v>포함</x:v>
      </x:c>
    </x:row>
    <x:row r="312">
      <x:c r="A312" s="60" t="n">
        <x:v>308</x:v>
      </x:c>
      <x:c r="B312" s="56" t="str">
        <x:v>요가램</x:v>
      </x:c>
      <x:c r="C312" s="56" t="str">
        <x:v>medicham</x:v>
      </x:c>
      <x:c r="D312" s="56" t="str">
        <x:v>산악</x:v>
      </x:c>
      <x:c r="E312" s="56" t="str">
        <x:v>흔함</x:v>
      </x:c>
      <x:c r="F312" s="56" t="str">
        <x:v>아니오</x:v>
      </x:c>
      <x:c r="G312" s="56" t="str">
        <x:v>아니오</x:v>
      </x:c>
      <x:c r="H312" s="56" t="str">
        <x:v>예</x:v>
      </x:c>
      <x:c r="I312" s="56" t="str">
        <x:v>—</x:v>
      </x:c>
      <x:c r="J312" s="57" t="str">
        <x:v>—</x:v>
      </x:c>
      <x:c r="K312" s="57" t="str">
        <x:v>—</x:v>
      </x:c>
      <x:c r="L312" s="57" t="str">
        <x:v>포함</x:v>
      </x:c>
      <x:c r="M312" s="57" t="str">
        <x:v>포함</x:v>
      </x:c>
      <x:c r="N312" s="57" t="str">
        <x:v>—</x:v>
      </x:c>
      <x:c r="O312" s="57" t="str">
        <x:v>포함</x:v>
      </x:c>
      <x:c r="P312" s="57" t="str">
        <x:v>—</x:v>
      </x:c>
      <x:c r="Q312" s="57" t="str">
        <x:v>—</x:v>
      </x:c>
      <x:c r="R312" s="57" t="str">
        <x:v>포함</x:v>
      </x:c>
    </x:row>
    <x:row r="313">
      <x:c r="A313" s="60" t="n">
        <x:v>309</x:v>
      </x:c>
      <x:c r="B313" s="56" t="str">
        <x:v>썬더라이</x:v>
      </x:c>
      <x:c r="C313" s="56" t="str">
        <x:v>electrike</x:v>
      </x:c>
      <x:c r="D313" s="56" t="str">
        <x:v>산악</x:v>
      </x:c>
      <x:c r="E313" s="56" t="str">
        <x:v>흔함</x:v>
      </x:c>
      <x:c r="F313" s="56" t="str">
        <x:v>아니오</x:v>
      </x:c>
      <x:c r="G313" s="56" t="str">
        <x:v>아니오</x:v>
      </x:c>
      <x:c r="H313" s="56" t="str">
        <x:v>예</x:v>
      </x:c>
      <x:c r="I313" s="56" t="str">
        <x:v>—</x:v>
      </x:c>
      <x:c r="J313" s="57" t="str">
        <x:v>—</x:v>
      </x:c>
      <x:c r="K313" s="57" t="str">
        <x:v>—</x:v>
      </x:c>
      <x:c r="L313" s="57" t="str">
        <x:v>포함</x:v>
      </x:c>
      <x:c r="M313" s="57" t="str">
        <x:v>—</x:v>
      </x:c>
      <x:c r="N313" s="57" t="str">
        <x:v>—</x:v>
      </x:c>
      <x:c r="O313" s="57" t="str">
        <x:v>포함</x:v>
      </x:c>
      <x:c r="P313" s="57" t="str">
        <x:v>포함</x:v>
      </x:c>
      <x:c r="Q313" s="57" t="str">
        <x:v>포함</x:v>
      </x:c>
      <x:c r="R313" s="57" t="str">
        <x:v>—</x:v>
      </x:c>
    </x:row>
    <x:row r="314">
      <x:c r="A314" s="60" t="n">
        <x:v>310</x:v>
      </x:c>
      <x:c r="B314" s="56" t="str">
        <x:v>썬더볼트</x:v>
      </x:c>
      <x:c r="C314" s="56" t="str">
        <x:v>manectric</x:v>
      </x:c>
      <x:c r="D314" s="56" t="str">
        <x:v>산악</x:v>
      </x:c>
      <x:c r="E314" s="56" t="str">
        <x:v>흔함</x:v>
      </x:c>
      <x:c r="F314" s="56" t="str">
        <x:v>아니오</x:v>
      </x:c>
      <x:c r="G314" s="56" t="str">
        <x:v>아니오</x:v>
      </x:c>
      <x:c r="H314" s="56" t="str">
        <x:v>예</x:v>
      </x:c>
      <x:c r="I314" s="56" t="str">
        <x:v>—</x:v>
      </x:c>
      <x:c r="J314" s="57" t="str">
        <x:v>—</x:v>
      </x:c>
      <x:c r="K314" s="57" t="str">
        <x:v>—</x:v>
      </x:c>
      <x:c r="L314" s="57" t="str">
        <x:v>포함</x:v>
      </x:c>
      <x:c r="M314" s="57" t="str">
        <x:v>—</x:v>
      </x:c>
      <x:c r="N314" s="57" t="str">
        <x:v>—</x:v>
      </x:c>
      <x:c r="O314" s="57" t="str">
        <x:v>포함</x:v>
      </x:c>
      <x:c r="P314" s="57" t="str">
        <x:v>포함</x:v>
      </x:c>
      <x:c r="Q314" s="57" t="str">
        <x:v>포함</x:v>
      </x:c>
      <x:c r="R314" s="57" t="str">
        <x:v>—</x:v>
      </x:c>
    </x:row>
    <x:row r="315">
      <x:c r="A315" s="60" t="n">
        <x:v>311</x:v>
      </x:c>
      <x:c r="B315" s="56" t="str">
        <x:v>플러시</x:v>
      </x:c>
      <x:c r="C315" s="56" t="str">
        <x:v>plusle</x:v>
      </x:c>
      <x:c r="D315" s="56" t="str">
        <x:v>평원</x:v>
      </x:c>
      <x:c r="E315" s="56" t="str">
        <x:v>보통</x:v>
      </x:c>
      <x:c r="F315" s="56" t="str">
        <x:v>아니오</x:v>
      </x:c>
      <x:c r="G315" s="56" t="str">
        <x:v>아니오</x:v>
      </x:c>
      <x:c r="H315" s="56" t="str">
        <x:v>예</x:v>
      </x:c>
      <x:c r="I315" s="56" t="str">
        <x:v>—</x:v>
      </x:c>
      <x:c r="J315" s="57" t="str">
        <x:v>—</x:v>
      </x:c>
      <x:c r="K315" s="57" t="str">
        <x:v>—</x:v>
      </x:c>
      <x:c r="L315" s="57" t="str">
        <x:v>포함</x:v>
      </x:c>
      <x:c r="M315" s="57" t="str">
        <x:v>—</x:v>
      </x:c>
      <x:c r="N315" s="57" t="str">
        <x:v>—</x:v>
      </x:c>
      <x:c r="O315" s="57" t="str">
        <x:v>포함</x:v>
      </x:c>
      <x:c r="P315" s="57" t="str">
        <x:v>—</x:v>
      </x:c>
      <x:c r="Q315" s="57" t="str">
        <x:v>—</x:v>
      </x:c>
      <x:c r="R315" s="57" t="str">
        <x:v>포함</x:v>
      </x:c>
    </x:row>
    <x:row r="316">
      <x:c r="A316" s="60" t="n">
        <x:v>312</x:v>
      </x:c>
      <x:c r="B316" s="56" t="str">
        <x:v>마이농</x:v>
      </x:c>
      <x:c r="C316" s="56" t="str">
        <x:v>minun</x:v>
      </x:c>
      <x:c r="D316" s="56" t="str">
        <x:v>평원</x:v>
      </x:c>
      <x:c r="E316" s="56" t="str">
        <x:v>보통</x:v>
      </x:c>
      <x:c r="F316" s="56" t="str">
        <x:v>아니오</x:v>
      </x:c>
      <x:c r="G316" s="56" t="str">
        <x:v>아니오</x:v>
      </x:c>
      <x:c r="H316" s="56" t="str">
        <x:v>예</x:v>
      </x:c>
      <x:c r="I316" s="56" t="str">
        <x:v>—</x:v>
      </x:c>
      <x:c r="J316" s="57" t="str">
        <x:v>—</x:v>
      </x:c>
      <x:c r="K316" s="57" t="str">
        <x:v>—</x:v>
      </x:c>
      <x:c r="L316" s="57" t="str">
        <x:v>포함</x:v>
      </x:c>
      <x:c r="M316" s="57" t="str">
        <x:v>—</x:v>
      </x:c>
      <x:c r="N316" s="57" t="str">
        <x:v>—</x:v>
      </x:c>
      <x:c r="O316" s="57" t="str">
        <x:v>포함</x:v>
      </x:c>
      <x:c r="P316" s="57" t="str">
        <x:v>—</x:v>
      </x:c>
      <x:c r="Q316" s="57" t="str">
        <x:v>—</x:v>
      </x:c>
      <x:c r="R316" s="57" t="str">
        <x:v>포함</x:v>
      </x:c>
    </x:row>
    <x:row r="317">
      <x:c r="A317" s="60" t="n">
        <x:v>313</x:v>
      </x:c>
      <x:c r="B317" s="56" t="str">
        <x:v>볼비트</x:v>
      </x:c>
      <x:c r="C317" s="56" t="str">
        <x:v>volbeat</x:v>
      </x:c>
      <x:c r="D317" s="56" t="str">
        <x:v>담수</x:v>
      </x:c>
      <x:c r="E317" s="56" t="str">
        <x:v>보통</x:v>
      </x:c>
      <x:c r="F317" s="56" t="str">
        <x:v>아니오</x:v>
      </x:c>
      <x:c r="G317" s="56" t="str">
        <x:v>아니오</x:v>
      </x:c>
      <x:c r="H317" s="56" t="str">
        <x:v>예</x:v>
      </x:c>
      <x:c r="I317" s="56" t="str">
        <x:v>—</x:v>
      </x:c>
      <x:c r="J317" s="57" t="str">
        <x:v>—</x:v>
      </x:c>
      <x:c r="K317" s="57" t="str">
        <x:v>—</x:v>
      </x:c>
      <x:c r="L317" s="57" t="str">
        <x:v>포함</x:v>
      </x:c>
      <x:c r="M317" s="57" t="str">
        <x:v>—</x:v>
      </x:c>
      <x:c r="N317" s="57" t="str">
        <x:v>—</x:v>
      </x:c>
      <x:c r="O317" s="57" t="str">
        <x:v>포함</x:v>
      </x:c>
      <x:c r="P317" s="57" t="str">
        <x:v>—</x:v>
      </x:c>
      <x:c r="Q317" s="57" t="str">
        <x:v>—</x:v>
      </x:c>
      <x:c r="R317" s="57" t="str">
        <x:v>포함</x:v>
      </x:c>
    </x:row>
    <x:row r="318">
      <x:c r="A318" s="60" t="n">
        <x:v>314</x:v>
      </x:c>
      <x:c r="B318" s="56" t="str">
        <x:v>네오비트</x:v>
      </x:c>
      <x:c r="C318" s="56" t="str">
        <x:v>illumise</x:v>
      </x:c>
      <x:c r="D318" s="56" t="str">
        <x:v>담수</x:v>
      </x:c>
      <x:c r="E318" s="56" t="str">
        <x:v>보통</x:v>
      </x:c>
      <x:c r="F318" s="56" t="str">
        <x:v>아니오</x:v>
      </x:c>
      <x:c r="G318" s="56" t="str">
        <x:v>아니오</x:v>
      </x:c>
      <x:c r="H318" s="56" t="str">
        <x:v>예</x:v>
      </x:c>
      <x:c r="I318" s="56" t="str">
        <x:v>—</x:v>
      </x:c>
      <x:c r="J318" s="57" t="str">
        <x:v>—</x:v>
      </x:c>
      <x:c r="K318" s="57" t="str">
        <x:v>—</x:v>
      </x:c>
      <x:c r="L318" s="57" t="str">
        <x:v>포함</x:v>
      </x:c>
      <x:c r="M318" s="57" t="str">
        <x:v>—</x:v>
      </x:c>
      <x:c r="N318" s="57" t="str">
        <x:v>—</x:v>
      </x:c>
      <x:c r="O318" s="57" t="str">
        <x:v>포함</x:v>
      </x:c>
      <x:c r="P318" s="57" t="str">
        <x:v>—</x:v>
      </x:c>
      <x:c r="Q318" s="57" t="str">
        <x:v>—</x:v>
      </x:c>
      <x:c r="R318" s="57" t="str">
        <x:v>포함</x:v>
      </x:c>
    </x:row>
    <x:row r="319">
      <x:c r="A319" s="60" t="n">
        <x:v>315</x:v>
      </x:c>
      <x:c r="B319" s="56" t="str">
        <x:v>로젤리아</x:v>
      </x:c>
      <x:c r="C319" s="56" t="str">
        <x:v>roselia</x:v>
      </x:c>
      <x:c r="D319" s="56" t="str">
        <x:v>숲</x:v>
      </x:c>
      <x:c r="E319" s="56" t="str">
        <x:v>흔함</x:v>
      </x:c>
      <x:c r="F319" s="56" t="str">
        <x:v>아니오</x:v>
      </x:c>
      <x:c r="G319" s="56" t="str">
        <x:v>아니오</x:v>
      </x:c>
      <x:c r="H319" s="56" t="str">
        <x:v>예</x:v>
      </x:c>
      <x:c r="I319" s="56" t="str">
        <x:v>—</x:v>
      </x:c>
      <x:c r="J319" s="57" t="str">
        <x:v>—</x:v>
      </x:c>
      <x:c r="K319" s="57" t="str">
        <x:v>—</x:v>
      </x:c>
      <x:c r="L319" s="57" t="str">
        <x:v>포함</x:v>
      </x:c>
      <x:c r="M319" s="57" t="str">
        <x:v>포함</x:v>
      </x:c>
      <x:c r="N319" s="57" t="str">
        <x:v>포함</x:v>
      </x:c>
      <x:c r="O319" s="57" t="str">
        <x:v>포함</x:v>
      </x:c>
      <x:c r="P319" s="57" t="str">
        <x:v>—</x:v>
      </x:c>
      <x:c r="Q319" s="57" t="str">
        <x:v>포함</x:v>
      </x:c>
      <x:c r="R319" s="57" t="str">
        <x:v>—</x:v>
      </x:c>
    </x:row>
    <x:row r="320">
      <x:c r="A320" s="60" t="n">
        <x:v>316</x:v>
      </x:c>
      <x:c r="B320" s="56" t="str">
        <x:v>꼴깍몬</x:v>
      </x:c>
      <x:c r="C320" s="56" t="str">
        <x:v>gulpin</x:v>
      </x:c>
      <x:c r="D320" s="56" t="str">
        <x:v>습지</x:v>
      </x:c>
      <x:c r="E320" s="56" t="str">
        <x:v>흔함</x:v>
      </x:c>
      <x:c r="F320" s="56" t="str">
        <x:v>아니오</x:v>
      </x:c>
      <x:c r="G320" s="56" t="str">
        <x:v>아니오</x:v>
      </x:c>
      <x:c r="H320" s="56" t="str">
        <x:v>예</x:v>
      </x:c>
      <x:c r="I320" s="56" t="str">
        <x:v>—</x:v>
      </x:c>
      <x:c r="J320" s="57" t="str">
        <x:v>—</x:v>
      </x:c>
      <x:c r="K320" s="57" t="str">
        <x:v>—</x:v>
      </x:c>
      <x:c r="L320" s="57" t="str">
        <x:v>포함</x:v>
      </x:c>
      <x:c r="M320" s="57" t="str">
        <x:v>—</x:v>
      </x:c>
      <x:c r="N320" s="57" t="str">
        <x:v>—</x:v>
      </x:c>
      <x:c r="O320" s="57" t="str">
        <x:v>포함</x:v>
      </x:c>
      <x:c r="P320" s="57" t="str">
        <x:v>—</x:v>
      </x:c>
      <x:c r="Q320" s="57" t="str">
        <x:v>—</x:v>
      </x:c>
      <x:c r="R320" s="57" t="str">
        <x:v>포함</x:v>
      </x:c>
    </x:row>
    <x:row r="321">
      <x:c r="A321" s="60" t="n">
        <x:v>317</x:v>
      </x:c>
      <x:c r="B321" s="56" t="str">
        <x:v>꿀꺽몬</x:v>
      </x:c>
      <x:c r="C321" s="56" t="str">
        <x:v>swalot</x:v>
      </x:c>
      <x:c r="D321" s="56" t="str">
        <x:v>습지</x:v>
      </x:c>
      <x:c r="E321" s="56" t="str">
        <x:v>보통</x:v>
      </x:c>
      <x:c r="F321" s="56" t="str">
        <x:v>아니오</x:v>
      </x:c>
      <x:c r="G321" s="56" t="str">
        <x:v>아니오</x:v>
      </x:c>
      <x:c r="H321" s="56" t="str">
        <x:v>예</x:v>
      </x:c>
      <x:c r="I321" s="56" t="str">
        <x:v>—</x:v>
      </x:c>
      <x:c r="J321" s="57" t="str">
        <x:v>—</x:v>
      </x:c>
      <x:c r="K321" s="57" t="str">
        <x:v>—</x:v>
      </x:c>
      <x:c r="L321" s="57" t="str">
        <x:v>포함</x:v>
      </x:c>
      <x:c r="M321" s="57" t="str">
        <x:v>—</x:v>
      </x:c>
      <x:c r="N321" s="57" t="str">
        <x:v>—</x:v>
      </x:c>
      <x:c r="O321" s="57" t="str">
        <x:v>포함</x:v>
      </x:c>
      <x:c r="P321" s="57" t="str">
        <x:v>—</x:v>
      </x:c>
      <x:c r="Q321" s="57" t="str">
        <x:v>—</x:v>
      </x:c>
      <x:c r="R321" s="57" t="str">
        <x:v>포함</x:v>
      </x:c>
    </x:row>
    <x:row r="322">
      <x:c r="A322" s="60" t="n">
        <x:v>318</x:v>
      </x:c>
      <x:c r="B322" s="56" t="str">
        <x:v>샤프니아</x:v>
      </x:c>
      <x:c r="C322" s="56" t="str">
        <x:v>carvanha</x:v>
      </x:c>
      <x:c r="D322" s="56" t="str">
        <x:v>해양</x:v>
      </x:c>
      <x:c r="E322" s="56" t="str">
        <x:v>흔함</x:v>
      </x:c>
      <x:c r="F322" s="56" t="str">
        <x:v>아니오</x:v>
      </x:c>
      <x:c r="G322" s="56" t="str">
        <x:v>아니오</x:v>
      </x:c>
      <x:c r="H322" s="56" t="str">
        <x:v>예</x:v>
      </x:c>
      <x:c r="I322" s="56" t="str">
        <x:v>—</x:v>
      </x:c>
      <x:c r="J322" s="57" t="str">
        <x:v>—</x:v>
      </x:c>
      <x:c r="K322" s="57" t="str">
        <x:v>—</x:v>
      </x:c>
      <x:c r="L322" s="57" t="str">
        <x:v>포함</x:v>
      </x:c>
      <x:c r="M322" s="57" t="str">
        <x:v>—</x:v>
      </x:c>
      <x:c r="N322" s="57" t="str">
        <x:v>—</x:v>
      </x:c>
      <x:c r="O322" s="57" t="str">
        <x:v>포함</x:v>
      </x:c>
      <x:c r="P322" s="57" t="str">
        <x:v>포함</x:v>
      </x:c>
      <x:c r="Q322" s="57" t="str">
        <x:v>포함</x:v>
      </x:c>
      <x:c r="R322" s="57" t="str">
        <x:v>—</x:v>
      </x:c>
    </x:row>
    <x:row r="323">
      <x:c r="A323" s="60" t="n">
        <x:v>319</x:v>
      </x:c>
      <x:c r="B323" s="56" t="str">
        <x:v>샤크니아</x:v>
      </x:c>
      <x:c r="C323" s="56" t="str">
        <x:v>sharpedo</x:v>
      </x:c>
      <x:c r="D323" s="56" t="str">
        <x:v>해양</x:v>
      </x:c>
      <x:c r="E323" s="56" t="str">
        <x:v>흔함</x:v>
      </x:c>
      <x:c r="F323" s="56" t="str">
        <x:v>아니오</x:v>
      </x:c>
      <x:c r="G323" s="56" t="str">
        <x:v>아니오</x:v>
      </x:c>
      <x:c r="H323" s="56" t="str">
        <x:v>예</x:v>
      </x:c>
      <x:c r="I323" s="56" t="str">
        <x:v>—</x:v>
      </x:c>
      <x:c r="J323" s="57" t="str">
        <x:v>—</x:v>
      </x:c>
      <x:c r="K323" s="57" t="str">
        <x:v>—</x:v>
      </x:c>
      <x:c r="L323" s="57" t="str">
        <x:v>포함</x:v>
      </x:c>
      <x:c r="M323" s="57" t="str">
        <x:v>—</x:v>
      </x:c>
      <x:c r="N323" s="57" t="str">
        <x:v>—</x:v>
      </x:c>
      <x:c r="O323" s="57" t="str">
        <x:v>포함</x:v>
      </x:c>
      <x:c r="P323" s="57" t="str">
        <x:v>포함</x:v>
      </x:c>
      <x:c r="Q323" s="57" t="str">
        <x:v>포함</x:v>
      </x:c>
      <x:c r="R323" s="57" t="str">
        <x:v>—</x:v>
      </x:c>
    </x:row>
    <x:row r="324">
      <x:c r="A324" s="60" t="n">
        <x:v>320</x:v>
      </x:c>
      <x:c r="B324" s="56" t="str">
        <x:v>고래왕자</x:v>
      </x:c>
      <x:c r="C324" s="56" t="str">
        <x:v>wailmer</x:v>
      </x:c>
      <x:c r="D324" s="56" t="str">
        <x:v>해양</x:v>
      </x:c>
      <x:c r="E324" s="56" t="str">
        <x:v>보통</x:v>
      </x:c>
      <x:c r="F324" s="56" t="str">
        <x:v>아니오</x:v>
      </x:c>
      <x:c r="G324" s="56" t="str">
        <x:v>아니오</x:v>
      </x:c>
      <x:c r="H324" s="56" t="str">
        <x:v>예</x:v>
      </x:c>
      <x:c r="I324" s="56" t="str">
        <x:v>—</x:v>
      </x:c>
      <x:c r="J324" s="57" t="str">
        <x:v>—</x:v>
      </x:c>
      <x:c r="K324" s="57" t="str">
        <x:v>—</x:v>
      </x:c>
      <x:c r="L324" s="57" t="str">
        <x:v>포함</x:v>
      </x:c>
      <x:c r="M324" s="57" t="str">
        <x:v>—</x:v>
      </x:c>
      <x:c r="N324" s="57" t="str">
        <x:v>포함</x:v>
      </x:c>
      <x:c r="O324" s="57" t="str">
        <x:v>포함</x:v>
      </x:c>
      <x:c r="P324" s="57" t="str">
        <x:v>포함</x:v>
      </x:c>
      <x:c r="Q324" s="57" t="str">
        <x:v>포함</x:v>
      </x:c>
      <x:c r="R324" s="57" t="str">
        <x:v>—</x:v>
      </x:c>
    </x:row>
    <x:row r="325">
      <x:c r="A325" s="60" t="n">
        <x:v>321</x:v>
      </x:c>
      <x:c r="B325" s="56" t="str">
        <x:v>고래왕</x:v>
      </x:c>
      <x:c r="C325" s="56" t="str">
        <x:v>wailord</x:v>
      </x:c>
      <x:c r="D325" s="56" t="str">
        <x:v>해양</x:v>
      </x:c>
      <x:c r="E325" s="56" t="str">
        <x:v>보통</x:v>
      </x:c>
      <x:c r="F325" s="56" t="str">
        <x:v>아니오</x:v>
      </x:c>
      <x:c r="G325" s="56" t="str">
        <x:v>아니오</x:v>
      </x:c>
      <x:c r="H325" s="56" t="str">
        <x:v>예</x:v>
      </x:c>
      <x:c r="I325" s="56" t="str">
        <x:v>—</x:v>
      </x:c>
      <x:c r="J325" s="57" t="str">
        <x:v>—</x:v>
      </x:c>
      <x:c r="K325" s="57" t="str">
        <x:v>—</x:v>
      </x:c>
      <x:c r="L325" s="57" t="str">
        <x:v>포함</x:v>
      </x:c>
      <x:c r="M325" s="57" t="str">
        <x:v>—</x:v>
      </x:c>
      <x:c r="N325" s="57" t="str">
        <x:v>포함</x:v>
      </x:c>
      <x:c r="O325" s="57" t="str">
        <x:v>포함</x:v>
      </x:c>
      <x:c r="P325" s="57" t="str">
        <x:v>포함</x:v>
      </x:c>
      <x:c r="Q325" s="57" t="str">
        <x:v>포함</x:v>
      </x:c>
      <x:c r="R325" s="57" t="str">
        <x:v>—</x:v>
      </x:c>
    </x:row>
    <x:row r="326">
      <x:c r="A326" s="60" t="n">
        <x:v>322</x:v>
      </x:c>
      <x:c r="B326" s="56" t="str">
        <x:v>둔타</x:v>
      </x:c>
      <x:c r="C326" s="56" t="str">
        <x:v>numel</x:v>
      </x:c>
      <x:c r="D326" s="56" t="str">
        <x:v>화산</x:v>
      </x:c>
      <x:c r="E326" s="56" t="str">
        <x:v>흔함</x:v>
      </x:c>
      <x:c r="F326" s="56" t="str">
        <x:v>아니오</x:v>
      </x:c>
      <x:c r="G326" s="56" t="str">
        <x:v>아니오</x:v>
      </x:c>
      <x:c r="H326" s="56" t="str">
        <x:v>예</x:v>
      </x:c>
      <x:c r="I326" s="56" t="str">
        <x:v>—</x:v>
      </x:c>
      <x:c r="J326" s="57" t="str">
        <x:v>—</x:v>
      </x:c>
      <x:c r="K326" s="57" t="str">
        <x:v>—</x:v>
      </x:c>
      <x:c r="L326" s="57" t="str">
        <x:v>포함</x:v>
      </x:c>
      <x:c r="M326" s="57" t="str">
        <x:v>—</x:v>
      </x:c>
      <x:c r="N326" s="57" t="str">
        <x:v>포함</x:v>
      </x:c>
      <x:c r="O326" s="57" t="str">
        <x:v>—</x:v>
      </x:c>
      <x:c r="P326" s="57" t="str">
        <x:v>—</x:v>
      </x:c>
      <x:c r="Q326" s="57" t="str">
        <x:v>—</x:v>
      </x:c>
      <x:c r="R326" s="57" t="str">
        <x:v>포함</x:v>
      </x:c>
    </x:row>
    <x:row r="327">
      <x:c r="A327" s="60" t="n">
        <x:v>323</x:v>
      </x:c>
      <x:c r="B327" s="56" t="str">
        <x:v>폭타</x:v>
      </x:c>
      <x:c r="C327" s="56" t="str">
        <x:v>camerupt</x:v>
      </x:c>
      <x:c r="D327" s="56" t="str">
        <x:v>화산</x:v>
      </x:c>
      <x:c r="E327" s="56" t="str">
        <x:v>흔함</x:v>
      </x:c>
      <x:c r="F327" s="56" t="str">
        <x:v>아니오</x:v>
      </x:c>
      <x:c r="G327" s="56" t="str">
        <x:v>아니오</x:v>
      </x:c>
      <x:c r="H327" s="56" t="str">
        <x:v>예</x:v>
      </x:c>
      <x:c r="I327" s="56" t="str">
        <x:v>—</x:v>
      </x:c>
      <x:c r="J327" s="57" t="str">
        <x:v>—</x:v>
      </x:c>
      <x:c r="K327" s="57" t="str">
        <x:v>—</x:v>
      </x:c>
      <x:c r="L327" s="57" t="str">
        <x:v>포함</x:v>
      </x:c>
      <x:c r="M327" s="57" t="str">
        <x:v>—</x:v>
      </x:c>
      <x:c r="N327" s="57" t="str">
        <x:v>포함</x:v>
      </x:c>
      <x:c r="O327" s="57" t="str">
        <x:v>—</x:v>
      </x:c>
      <x:c r="P327" s="57" t="str">
        <x:v>—</x:v>
      </x:c>
      <x:c r="Q327" s="57" t="str">
        <x:v>—</x:v>
      </x:c>
      <x:c r="R327" s="57" t="str">
        <x:v>포함</x:v>
      </x:c>
    </x:row>
    <x:row r="328">
      <x:c r="A328" s="60" t="n">
        <x:v>324</x:v>
      </x:c>
      <x:c r="B328" s="56" t="str">
        <x:v>코터스</x:v>
      </x:c>
      <x:c r="C328" s="56" t="str">
        <x:v>torkoal</x:v>
      </x:c>
      <x:c r="D328" s="56" t="str">
        <x:v>화산</x:v>
      </x:c>
      <x:c r="E328" s="56" t="str">
        <x:v>보통</x:v>
      </x:c>
      <x:c r="F328" s="56" t="str">
        <x:v>아니오</x:v>
      </x:c>
      <x:c r="G328" s="56" t="str">
        <x:v>아니오</x:v>
      </x:c>
      <x:c r="H328" s="56" t="str">
        <x:v>예</x:v>
      </x:c>
      <x:c r="I328" s="56" t="str">
        <x:v>—</x:v>
      </x:c>
      <x:c r="J328" s="57" t="str">
        <x:v>—</x:v>
      </x:c>
      <x:c r="K328" s="57" t="str">
        <x:v>—</x:v>
      </x:c>
      <x:c r="L328" s="57" t="str">
        <x:v>포함</x:v>
      </x:c>
      <x:c r="M328" s="57" t="str">
        <x:v>—</x:v>
      </x:c>
      <x:c r="N328" s="57" t="str">
        <x:v>—</x:v>
      </x:c>
      <x:c r="O328" s="57" t="str">
        <x:v>포함</x:v>
      </x:c>
      <x:c r="P328" s="57" t="str">
        <x:v>포함</x:v>
      </x:c>
      <x:c r="Q328" s="57" t="str">
        <x:v>포함</x:v>
      </x:c>
      <x:c r="R328" s="57" t="str">
        <x:v>포함</x:v>
      </x:c>
    </x:row>
    <x:row r="329">
      <x:c r="A329" s="60" t="n">
        <x:v>325</x:v>
      </x:c>
      <x:c r="B329" s="56" t="str">
        <x:v>피그점프</x:v>
      </x:c>
      <x:c r="C329" s="56" t="str">
        <x:v>spoink</x:v>
      </x:c>
      <x:c r="D329" s="56" t="str">
        <x:v>화산</x:v>
      </x:c>
      <x:c r="E329" s="56" t="str">
        <x:v>흔함</x:v>
      </x:c>
      <x:c r="F329" s="56" t="str">
        <x:v>아니오</x:v>
      </x:c>
      <x:c r="G329" s="56" t="str">
        <x:v>아니오</x:v>
      </x:c>
      <x:c r="H329" s="56" t="str">
        <x:v>예</x:v>
      </x:c>
      <x:c r="I329" s="56" t="str">
        <x:v>—</x:v>
      </x:c>
      <x:c r="J329" s="57" t="str">
        <x:v>—</x:v>
      </x:c>
      <x:c r="K329" s="57" t="str">
        <x:v>—</x:v>
      </x:c>
      <x:c r="L329" s="57" t="str">
        <x:v>포함</x:v>
      </x:c>
      <x:c r="M329" s="57" t="str">
        <x:v>—</x:v>
      </x:c>
      <x:c r="N329" s="57" t="str">
        <x:v>포함</x:v>
      </x:c>
      <x:c r="O329" s="57" t="str">
        <x:v>포함</x:v>
      </x:c>
      <x:c r="P329" s="57" t="str">
        <x:v>—</x:v>
      </x:c>
      <x:c r="Q329" s="57" t="str">
        <x:v>—</x:v>
      </x:c>
      <x:c r="R329" s="57" t="str">
        <x:v>포함</x:v>
      </x:c>
    </x:row>
    <x:row r="330">
      <x:c r="A330" s="60" t="n">
        <x:v>326</x:v>
      </x:c>
      <x:c r="B330" s="56" t="str">
        <x:v>피그킹</x:v>
      </x:c>
      <x:c r="C330" s="56" t="str">
        <x:v>grumpig</x:v>
      </x:c>
      <x:c r="D330" s="56" t="str">
        <x:v>화산</x:v>
      </x:c>
      <x:c r="E330" s="56" t="str">
        <x:v>흔함</x:v>
      </x:c>
      <x:c r="F330" s="56" t="str">
        <x:v>아니오</x:v>
      </x:c>
      <x:c r="G330" s="56" t="str">
        <x:v>아니오</x:v>
      </x:c>
      <x:c r="H330" s="56" t="str">
        <x:v>예</x:v>
      </x:c>
      <x:c r="I330" s="56" t="str">
        <x:v>—</x:v>
      </x:c>
      <x:c r="J330" s="57" t="str">
        <x:v>—</x:v>
      </x:c>
      <x:c r="K330" s="57" t="str">
        <x:v>—</x:v>
      </x:c>
      <x:c r="L330" s="57" t="str">
        <x:v>포함</x:v>
      </x:c>
      <x:c r="M330" s="57" t="str">
        <x:v>—</x:v>
      </x:c>
      <x:c r="N330" s="57" t="str">
        <x:v>포함</x:v>
      </x:c>
      <x:c r="O330" s="57" t="str">
        <x:v>포함</x:v>
      </x:c>
      <x:c r="P330" s="57" t="str">
        <x:v>—</x:v>
      </x:c>
      <x:c r="Q330" s="57" t="str">
        <x:v>—</x:v>
      </x:c>
      <x:c r="R330" s="57" t="str">
        <x:v>포함</x:v>
      </x:c>
    </x:row>
    <x:row r="331">
      <x:c r="A331" s="60" t="n">
        <x:v>327</x:v>
      </x:c>
      <x:c r="B331" s="56" t="str">
        <x:v>얼루기</x:v>
      </x:c>
      <x:c r="C331" s="56" t="str">
        <x:v>spinda</x:v>
      </x:c>
      <x:c r="D331" s="56" t="str">
        <x:v>산악</x:v>
      </x:c>
      <x:c r="E331" s="56" t="str">
        <x:v>보통</x:v>
      </x:c>
      <x:c r="F331" s="56" t="str">
        <x:v>아니오</x:v>
      </x:c>
      <x:c r="G331" s="56" t="str">
        <x:v>아니오</x:v>
      </x:c>
      <x:c r="H331" s="56" t="str">
        <x:v>예</x:v>
      </x:c>
      <x:c r="I331" s="56" t="str">
        <x:v>—</x:v>
      </x:c>
      <x:c r="J331" s="57" t="str">
        <x:v>—</x:v>
      </x:c>
      <x:c r="K331" s="57" t="str">
        <x:v>—</x:v>
      </x:c>
      <x:c r="L331" s="57" t="str">
        <x:v>포함</x:v>
      </x:c>
      <x:c r="M331" s="57" t="str">
        <x:v>—</x:v>
      </x:c>
      <x:c r="N331" s="57" t="str">
        <x:v>—</x:v>
      </x:c>
      <x:c r="O331" s="57" t="str">
        <x:v>포함</x:v>
      </x:c>
      <x:c r="P331" s="57" t="str">
        <x:v>포함</x:v>
      </x:c>
      <x:c r="Q331" s="57" t="str">
        <x:v>—</x:v>
      </x:c>
      <x:c r="R331" s="57" t="str">
        <x:v>—</x:v>
      </x:c>
    </x:row>
    <x:row r="332">
      <x:c r="A332" s="60" t="n">
        <x:v>328</x:v>
      </x:c>
      <x:c r="B332" s="56" t="str">
        <x:v>톱치</x:v>
      </x:c>
      <x:c r="C332" s="56" t="str">
        <x:v>trapinch</x:v>
      </x:c>
      <x:c r="D332" s="56" t="str">
        <x:v>건조지</x:v>
      </x:c>
      <x:c r="E332" s="56" t="str">
        <x:v>보통</x:v>
      </x:c>
      <x:c r="F332" s="56" t="str">
        <x:v>아니오</x:v>
      </x:c>
      <x:c r="G332" s="56" t="str">
        <x:v>아니오</x:v>
      </x:c>
      <x:c r="H332" s="56" t="str">
        <x:v>예</x:v>
      </x:c>
      <x:c r="I332" s="56" t="str">
        <x:v>—</x:v>
      </x:c>
      <x:c r="J332" s="57" t="str">
        <x:v>—</x:v>
      </x:c>
      <x:c r="K332" s="57" t="str">
        <x:v>—</x:v>
      </x:c>
      <x:c r="L332" s="57" t="str">
        <x:v>포함</x:v>
      </x:c>
      <x:c r="M332" s="57" t="str">
        <x:v>—</x:v>
      </x:c>
      <x:c r="N332" s="57" t="str">
        <x:v>포함</x:v>
      </x:c>
      <x:c r="O332" s="57" t="str">
        <x:v>포함</x:v>
      </x:c>
      <x:c r="P332" s="57" t="str">
        <x:v>포함</x:v>
      </x:c>
      <x:c r="Q332" s="57" t="str">
        <x:v>포함</x:v>
      </x:c>
      <x:c r="R332" s="57" t="str">
        <x:v>포함</x:v>
      </x:c>
    </x:row>
    <x:row r="333">
      <x:c r="A333" s="60" t="n">
        <x:v>329</x:v>
      </x:c>
      <x:c r="B333" s="56" t="str">
        <x:v>비브라바</x:v>
      </x:c>
      <x:c r="C333" s="56" t="str">
        <x:v>vibrava</x:v>
      </x:c>
      <x:c r="D333" s="56" t="str">
        <x:v>건조지</x:v>
      </x:c>
      <x:c r="E333" s="56" t="str">
        <x:v>드묾</x:v>
      </x:c>
      <x:c r="F333" s="56" t="str">
        <x:v>아니오</x:v>
      </x:c>
      <x:c r="G333" s="56" t="str">
        <x:v>아니오</x:v>
      </x:c>
      <x:c r="H333" s="56" t="str">
        <x:v>예</x:v>
      </x:c>
      <x:c r="I333" s="56" t="str">
        <x:v>—</x:v>
      </x:c>
      <x:c r="J333" s="57" t="str">
        <x:v>—</x:v>
      </x:c>
      <x:c r="K333" s="57" t="str">
        <x:v>—</x:v>
      </x:c>
      <x:c r="L333" s="57" t="str">
        <x:v>포함</x:v>
      </x:c>
      <x:c r="M333" s="57" t="str">
        <x:v>—</x:v>
      </x:c>
      <x:c r="N333" s="57" t="str">
        <x:v>포함</x:v>
      </x:c>
      <x:c r="O333" s="57" t="str">
        <x:v>포함</x:v>
      </x:c>
      <x:c r="P333" s="57" t="str">
        <x:v>포함</x:v>
      </x:c>
      <x:c r="Q333" s="57" t="str">
        <x:v>포함</x:v>
      </x:c>
      <x:c r="R333" s="57" t="str">
        <x:v>포함</x:v>
      </x:c>
    </x:row>
    <x:row r="334">
      <x:c r="A334" s="60" t="n">
        <x:v>330</x:v>
      </x:c>
      <x:c r="B334" s="56" t="str">
        <x:v>플라이곤</x:v>
      </x:c>
      <x:c r="C334" s="56" t="str">
        <x:v>flygon</x:v>
      </x:c>
      <x:c r="D334" s="56" t="str">
        <x:v>건조지</x:v>
      </x:c>
      <x:c r="E334" s="56" t="str">
        <x:v>드묾</x:v>
      </x:c>
      <x:c r="F334" s="56" t="str">
        <x:v>아니오</x:v>
      </x:c>
      <x:c r="G334" s="56" t="str">
        <x:v>아니오</x:v>
      </x:c>
      <x:c r="H334" s="56" t="str">
        <x:v>예</x:v>
      </x:c>
      <x:c r="I334" s="56" t="str">
        <x:v>—</x:v>
      </x:c>
      <x:c r="J334" s="57" t="str">
        <x:v>—</x:v>
      </x:c>
      <x:c r="K334" s="57" t="str">
        <x:v>—</x:v>
      </x:c>
      <x:c r="L334" s="57" t="str">
        <x:v>포함</x:v>
      </x:c>
      <x:c r="M334" s="57" t="str">
        <x:v>—</x:v>
      </x:c>
      <x:c r="N334" s="57" t="str">
        <x:v>포함</x:v>
      </x:c>
      <x:c r="O334" s="57" t="str">
        <x:v>포함</x:v>
      </x:c>
      <x:c r="P334" s="57" t="str">
        <x:v>포함</x:v>
      </x:c>
      <x:c r="Q334" s="57" t="str">
        <x:v>포함</x:v>
      </x:c>
      <x:c r="R334" s="57" t="str">
        <x:v>포함</x:v>
      </x:c>
    </x:row>
    <x:row r="335">
      <x:c r="A335" s="60" t="n">
        <x:v>331</x:v>
      </x:c>
      <x:c r="B335" s="56" t="str">
        <x:v>선인왕</x:v>
      </x:c>
      <x:c r="C335" s="56" t="str">
        <x:v>cacnea</x:v>
      </x:c>
      <x:c r="D335" s="56" t="str">
        <x:v>건조지</x:v>
      </x:c>
      <x:c r="E335" s="56" t="str">
        <x:v>흔함</x:v>
      </x:c>
      <x:c r="F335" s="56" t="str">
        <x:v>아니오</x:v>
      </x:c>
      <x:c r="G335" s="56" t="str">
        <x:v>아니오</x:v>
      </x:c>
      <x:c r="H335" s="56" t="str">
        <x:v>예</x:v>
      </x:c>
      <x:c r="I335" s="56" t="str">
        <x:v>—</x:v>
      </x:c>
      <x:c r="J335" s="57" t="str">
        <x:v>—</x:v>
      </x:c>
      <x:c r="K335" s="57" t="str">
        <x:v>—</x:v>
      </x:c>
      <x:c r="L335" s="57" t="str">
        <x:v>포함</x:v>
      </x:c>
      <x:c r="M335" s="57" t="str">
        <x:v>—</x:v>
      </x:c>
      <x:c r="N335" s="57" t="str">
        <x:v>—</x:v>
      </x:c>
      <x:c r="O335" s="57" t="str">
        <x:v>—</x:v>
      </x:c>
      <x:c r="P335" s="57" t="str">
        <x:v>—</x:v>
      </x:c>
      <x:c r="Q335" s="57" t="str">
        <x:v>—</x:v>
      </x:c>
      <x:c r="R335" s="57" t="str">
        <x:v>포함</x:v>
      </x:c>
    </x:row>
    <x:row r="336">
      <x:c r="A336" s="60" t="n">
        <x:v>332</x:v>
      </x:c>
      <x:c r="B336" s="56" t="str">
        <x:v>밤선인</x:v>
      </x:c>
      <x:c r="C336" s="56" t="str">
        <x:v>cacturne</x:v>
      </x:c>
      <x:c r="D336" s="56" t="str">
        <x:v>건조지</x:v>
      </x:c>
      <x:c r="E336" s="56" t="str">
        <x:v>흔함</x:v>
      </x:c>
      <x:c r="F336" s="56" t="str">
        <x:v>아니오</x:v>
      </x:c>
      <x:c r="G336" s="56" t="str">
        <x:v>아니오</x:v>
      </x:c>
      <x:c r="H336" s="56" t="str">
        <x:v>예</x:v>
      </x:c>
      <x:c r="I336" s="56" t="str">
        <x:v>—</x:v>
      </x:c>
      <x:c r="J336" s="57" t="str">
        <x:v>—</x:v>
      </x:c>
      <x:c r="K336" s="57" t="str">
        <x:v>—</x:v>
      </x:c>
      <x:c r="L336" s="57" t="str">
        <x:v>포함</x:v>
      </x:c>
      <x:c r="M336" s="57" t="str">
        <x:v>—</x:v>
      </x:c>
      <x:c r="N336" s="57" t="str">
        <x:v>—</x:v>
      </x:c>
      <x:c r="O336" s="57" t="str">
        <x:v>—</x:v>
      </x:c>
      <x:c r="P336" s="57" t="str">
        <x:v>—</x:v>
      </x:c>
      <x:c r="Q336" s="57" t="str">
        <x:v>—</x:v>
      </x:c>
      <x:c r="R336" s="57" t="str">
        <x:v>포함</x:v>
      </x:c>
    </x:row>
    <x:row r="337">
      <x:c r="A337" s="60" t="n">
        <x:v>333</x:v>
      </x:c>
      <x:c r="B337" s="56" t="str">
        <x:v>파비코</x:v>
      </x:c>
      <x:c r="C337" s="56" t="str">
        <x:v>swablu</x:v>
      </x:c>
      <x:c r="D337" s="56" t="str">
        <x:v>산악</x:v>
      </x:c>
      <x:c r="E337" s="56" t="str">
        <x:v>보통</x:v>
      </x:c>
      <x:c r="F337" s="56" t="str">
        <x:v>아니오</x:v>
      </x:c>
      <x:c r="G337" s="56" t="str">
        <x:v>아니오</x:v>
      </x:c>
      <x:c r="H337" s="56" t="str">
        <x:v>예</x:v>
      </x:c>
      <x:c r="I337" s="56" t="str">
        <x:v>—</x:v>
      </x:c>
      <x:c r="J337" s="57" t="str">
        <x:v>—</x:v>
      </x:c>
      <x:c r="K337" s="57" t="str">
        <x:v>—</x:v>
      </x:c>
      <x:c r="L337" s="57" t="str">
        <x:v>포함</x:v>
      </x:c>
      <x:c r="M337" s="57" t="str">
        <x:v>포함</x:v>
      </x:c>
      <x:c r="N337" s="57" t="str">
        <x:v>포함</x:v>
      </x:c>
      <x:c r="O337" s="57" t="str">
        <x:v>포함</x:v>
      </x:c>
      <x:c r="P337" s="57" t="str">
        <x:v>—</x:v>
      </x:c>
      <x:c r="Q337" s="57" t="str">
        <x:v>포함</x:v>
      </x:c>
      <x:c r="R337" s="57" t="str">
        <x:v>포함</x:v>
      </x:c>
    </x:row>
    <x:row r="338">
      <x:c r="A338" s="60" t="n">
        <x:v>334</x:v>
      </x:c>
      <x:c r="B338" s="56" t="str">
        <x:v>파비코리</x:v>
      </x:c>
      <x:c r="C338" s="56" t="str">
        <x:v>altaria</x:v>
      </x:c>
      <x:c r="D338" s="56" t="str">
        <x:v>산악</x:v>
      </x:c>
      <x:c r="E338" s="56" t="str">
        <x:v>보통</x:v>
      </x:c>
      <x:c r="F338" s="56" t="str">
        <x:v>아니오</x:v>
      </x:c>
      <x:c r="G338" s="56" t="str">
        <x:v>아니오</x:v>
      </x:c>
      <x:c r="H338" s="56" t="str">
        <x:v>예</x:v>
      </x:c>
      <x:c r="I338" s="56" t="str">
        <x:v>—</x:v>
      </x:c>
      <x:c r="J338" s="57" t="str">
        <x:v>—</x:v>
      </x:c>
      <x:c r="K338" s="57" t="str">
        <x:v>—</x:v>
      </x:c>
      <x:c r="L338" s="57" t="str">
        <x:v>포함</x:v>
      </x:c>
      <x:c r="M338" s="57" t="str">
        <x:v>포함</x:v>
      </x:c>
      <x:c r="N338" s="57" t="str">
        <x:v>포함</x:v>
      </x:c>
      <x:c r="O338" s="57" t="str">
        <x:v>포함</x:v>
      </x:c>
      <x:c r="P338" s="57" t="str">
        <x:v>—</x:v>
      </x:c>
      <x:c r="Q338" s="57" t="str">
        <x:v>포함</x:v>
      </x:c>
      <x:c r="R338" s="57" t="str">
        <x:v>포함</x:v>
      </x:c>
    </x:row>
    <x:row r="339">
      <x:c r="A339" s="60" t="n">
        <x:v>335</x:v>
      </x:c>
      <x:c r="B339" s="56" t="str">
        <x:v>쟝고</x:v>
      </x:c>
      <x:c r="C339" s="56" t="str">
        <x:v>zangoose</x:v>
      </x:c>
      <x:c r="D339" s="56" t="str">
        <x:v>평원</x:v>
      </x:c>
      <x:c r="E339" s="56" t="str">
        <x:v>보통</x:v>
      </x:c>
      <x:c r="F339" s="56" t="str">
        <x:v>아니오</x:v>
      </x:c>
      <x:c r="G339" s="56" t="str">
        <x:v>아니오</x:v>
      </x:c>
      <x:c r="H339" s="56" t="str">
        <x:v>예</x:v>
      </x:c>
      <x:c r="I339" s="56" t="str">
        <x:v>—</x:v>
      </x:c>
      <x:c r="J339" s="57" t="str">
        <x:v>—</x:v>
      </x:c>
      <x:c r="K339" s="57" t="str">
        <x:v>—</x:v>
      </x:c>
      <x:c r="L339" s="57" t="str">
        <x:v>포함</x:v>
      </x:c>
      <x:c r="M339" s="57" t="str">
        <x:v>—</x:v>
      </x:c>
      <x:c r="N339" s="57" t="str">
        <x:v>포함</x:v>
      </x:c>
      <x:c r="O339" s="57" t="str">
        <x:v>포함</x:v>
      </x:c>
      <x:c r="P339" s="57" t="str">
        <x:v>—</x:v>
      </x:c>
      <x:c r="Q339" s="57" t="str">
        <x:v>—</x:v>
      </x:c>
      <x:c r="R339" s="57" t="str">
        <x:v>포함</x:v>
      </x:c>
    </x:row>
    <x:row r="340">
      <x:c r="A340" s="60" t="n">
        <x:v>336</x:v>
      </x:c>
      <x:c r="B340" s="56" t="str">
        <x:v>세비퍼</x:v>
      </x:c>
      <x:c r="C340" s="56" t="str">
        <x:v>seviper</x:v>
      </x:c>
      <x:c r="D340" s="56" t="str">
        <x:v>건조지</x:v>
      </x:c>
      <x:c r="E340" s="56" t="str">
        <x:v>보통</x:v>
      </x:c>
      <x:c r="F340" s="56" t="str">
        <x:v>아니오</x:v>
      </x:c>
      <x:c r="G340" s="56" t="str">
        <x:v>아니오</x:v>
      </x:c>
      <x:c r="H340" s="56" t="str">
        <x:v>예</x:v>
      </x:c>
      <x:c r="I340" s="56" t="str">
        <x:v>—</x:v>
      </x:c>
      <x:c r="J340" s="57" t="str">
        <x:v>—</x:v>
      </x:c>
      <x:c r="K340" s="57" t="str">
        <x:v>—</x:v>
      </x:c>
      <x:c r="L340" s="57" t="str">
        <x:v>포함</x:v>
      </x:c>
      <x:c r="M340" s="57" t="str">
        <x:v>—</x:v>
      </x:c>
      <x:c r="N340" s="57" t="str">
        <x:v>포함</x:v>
      </x:c>
      <x:c r="O340" s="57" t="str">
        <x:v>포함</x:v>
      </x:c>
      <x:c r="P340" s="57" t="str">
        <x:v>—</x:v>
      </x:c>
      <x:c r="Q340" s="57" t="str">
        <x:v>—</x:v>
      </x:c>
      <x:c r="R340" s="57" t="str">
        <x:v>포함</x:v>
      </x:c>
    </x:row>
    <x:row r="341">
      <x:c r="A341" s="60" t="n">
        <x:v>337</x:v>
      </x:c>
      <x:c r="B341" s="56" t="str">
        <x:v>루나톤</x:v>
      </x:c>
      <x:c r="C341" s="56" t="str">
        <x:v>lunatone</x:v>
      </x:c>
      <x:c r="D341" s="56" t="str">
        <x:v>동굴</x:v>
      </x:c>
      <x:c r="E341" s="56" t="str">
        <x:v>보통</x:v>
      </x:c>
      <x:c r="F341" s="56" t="str">
        <x:v>아니오</x:v>
      </x:c>
      <x:c r="G341" s="56" t="str">
        <x:v>아니오</x:v>
      </x:c>
      <x:c r="H341" s="56" t="str">
        <x:v>예</x:v>
      </x:c>
      <x:c r="I341" s="56" t="str">
        <x:v>—</x:v>
      </x:c>
      <x:c r="J341" s="57" t="str">
        <x:v>—</x:v>
      </x:c>
      <x:c r="K341" s="57" t="str">
        <x:v>—</x:v>
      </x:c>
      <x:c r="L341" s="57" t="str">
        <x:v>포함</x:v>
      </x:c>
      <x:c r="M341" s="57" t="str">
        <x:v>—</x:v>
      </x:c>
      <x:c r="N341" s="57" t="str">
        <x:v>포함</x:v>
      </x:c>
      <x:c r="O341" s="57" t="str">
        <x:v>포함</x:v>
      </x:c>
      <x:c r="P341" s="57" t="str">
        <x:v>—</x:v>
      </x:c>
      <x:c r="Q341" s="57" t="str">
        <x:v>포함</x:v>
      </x:c>
      <x:c r="R341" s="57" t="str">
        <x:v>—</x:v>
      </x:c>
    </x:row>
    <x:row r="342">
      <x:c r="A342" s="60" t="n">
        <x:v>338</x:v>
      </x:c>
      <x:c r="B342" s="56" t="str">
        <x:v>솔록</x:v>
      </x:c>
      <x:c r="C342" s="56" t="str">
        <x:v>solrock</x:v>
      </x:c>
      <x:c r="D342" s="56" t="str">
        <x:v>동굴</x:v>
      </x:c>
      <x:c r="E342" s="56" t="str">
        <x:v>보통</x:v>
      </x:c>
      <x:c r="F342" s="56" t="str">
        <x:v>아니오</x:v>
      </x:c>
      <x:c r="G342" s="56" t="str">
        <x:v>아니오</x:v>
      </x:c>
      <x:c r="H342" s="56" t="str">
        <x:v>예</x:v>
      </x:c>
      <x:c r="I342" s="56" t="str">
        <x:v>—</x:v>
      </x:c>
      <x:c r="J342" s="57" t="str">
        <x:v>—</x:v>
      </x:c>
      <x:c r="K342" s="57" t="str">
        <x:v>—</x:v>
      </x:c>
      <x:c r="L342" s="57" t="str">
        <x:v>포함</x:v>
      </x:c>
      <x:c r="M342" s="57" t="str">
        <x:v>—</x:v>
      </x:c>
      <x:c r="N342" s="57" t="str">
        <x:v>포함</x:v>
      </x:c>
      <x:c r="O342" s="57" t="str">
        <x:v>포함</x:v>
      </x:c>
      <x:c r="P342" s="57" t="str">
        <x:v>—</x:v>
      </x:c>
      <x:c r="Q342" s="57" t="str">
        <x:v>포함</x:v>
      </x:c>
      <x:c r="R342" s="57" t="str">
        <x:v>—</x:v>
      </x:c>
    </x:row>
    <x:row r="343">
      <x:c r="A343" s="60" t="n">
        <x:v>339</x:v>
      </x:c>
      <x:c r="B343" s="56" t="str">
        <x:v>미꾸리</x:v>
      </x:c>
      <x:c r="C343" s="56" t="str">
        <x:v>barboach</x:v>
      </x:c>
      <x:c r="D343" s="56" t="str">
        <x:v>담수</x:v>
      </x:c>
      <x:c r="E343" s="56" t="str">
        <x:v>보통</x:v>
      </x:c>
      <x:c r="F343" s="56" t="str">
        <x:v>아니오</x:v>
      </x:c>
      <x:c r="G343" s="56" t="str">
        <x:v>아니오</x:v>
      </x:c>
      <x:c r="H343" s="56" t="str">
        <x:v>예</x:v>
      </x:c>
      <x:c r="I343" s="56" t="str">
        <x:v>—</x:v>
      </x:c>
      <x:c r="J343" s="57" t="str">
        <x:v>—</x:v>
      </x:c>
      <x:c r="K343" s="57" t="str">
        <x:v>—</x:v>
      </x:c>
      <x:c r="L343" s="57" t="str">
        <x:v>포함</x:v>
      </x:c>
      <x:c r="M343" s="57" t="str">
        <x:v>포함</x:v>
      </x:c>
      <x:c r="N343" s="57" t="str">
        <x:v>—</x:v>
      </x:c>
      <x:c r="O343" s="57" t="str">
        <x:v>포함</x:v>
      </x:c>
      <x:c r="P343" s="57" t="str">
        <x:v>포함</x:v>
      </x:c>
      <x:c r="Q343" s="57" t="str">
        <x:v>포함</x:v>
      </x:c>
      <x:c r="R343" s="57" t="str">
        <x:v>포함</x:v>
      </x:c>
    </x:row>
    <x:row r="344">
      <x:c r="A344" s="60" t="n">
        <x:v>340</x:v>
      </x:c>
      <x:c r="B344" s="56" t="str">
        <x:v>메깅</x:v>
      </x:c>
      <x:c r="C344" s="56" t="str">
        <x:v>whiscash</x:v>
      </x:c>
      <x:c r="D344" s="56" t="str">
        <x:v>담수</x:v>
      </x:c>
      <x:c r="E344" s="56" t="str">
        <x:v>보통</x:v>
      </x:c>
      <x:c r="F344" s="56" t="str">
        <x:v>아니오</x:v>
      </x:c>
      <x:c r="G344" s="56" t="str">
        <x:v>아니오</x:v>
      </x:c>
      <x:c r="H344" s="56" t="str">
        <x:v>예</x:v>
      </x:c>
      <x:c r="I344" s="56" t="str">
        <x:v>—</x:v>
      </x:c>
      <x:c r="J344" s="57" t="str">
        <x:v>—</x:v>
      </x:c>
      <x:c r="K344" s="57" t="str">
        <x:v>—</x:v>
      </x:c>
      <x:c r="L344" s="57" t="str">
        <x:v>포함</x:v>
      </x:c>
      <x:c r="M344" s="57" t="str">
        <x:v>포함</x:v>
      </x:c>
      <x:c r="N344" s="57" t="str">
        <x:v>—</x:v>
      </x:c>
      <x:c r="O344" s="57" t="str">
        <x:v>포함</x:v>
      </x:c>
      <x:c r="P344" s="57" t="str">
        <x:v>포함</x:v>
      </x:c>
      <x:c r="Q344" s="57" t="str">
        <x:v>포함</x:v>
      </x:c>
      <x:c r="R344" s="57" t="str">
        <x:v>포함</x:v>
      </x:c>
    </x:row>
    <x:row r="345">
      <x:c r="A345" s="60" t="n">
        <x:v>341</x:v>
      </x:c>
      <x:c r="B345" s="56" t="str">
        <x:v>가재군</x:v>
      </x:c>
      <x:c r="C345" s="56" t="str">
        <x:v>corphish</x:v>
      </x:c>
      <x:c r="D345" s="56" t="str">
        <x:v>담수</x:v>
      </x:c>
      <x:c r="E345" s="56" t="str">
        <x:v>흔함</x:v>
      </x:c>
      <x:c r="F345" s="56" t="str">
        <x:v>아니오</x:v>
      </x:c>
      <x:c r="G345" s="56" t="str">
        <x:v>아니오</x:v>
      </x:c>
      <x:c r="H345" s="56" t="str">
        <x:v>예</x:v>
      </x:c>
      <x:c r="I345" s="56" t="str">
        <x:v>—</x:v>
      </x:c>
      <x:c r="J345" s="57" t="str">
        <x:v>—</x:v>
      </x:c>
      <x:c r="K345" s="57" t="str">
        <x:v>—</x:v>
      </x:c>
      <x:c r="L345" s="57" t="str">
        <x:v>포함</x:v>
      </x:c>
      <x:c r="M345" s="57" t="str">
        <x:v>—</x:v>
      </x:c>
      <x:c r="N345" s="57" t="str">
        <x:v>포함</x:v>
      </x:c>
      <x:c r="O345" s="57" t="str">
        <x:v>포함</x:v>
      </x:c>
      <x:c r="P345" s="57" t="str">
        <x:v>포함</x:v>
      </x:c>
      <x:c r="Q345" s="57" t="str">
        <x:v>포함</x:v>
      </x:c>
      <x:c r="R345" s="57" t="str">
        <x:v>포함</x:v>
      </x:c>
    </x:row>
    <x:row r="346">
      <x:c r="A346" s="60" t="n">
        <x:v>342</x:v>
      </x:c>
      <x:c r="B346" s="56" t="str">
        <x:v>가재장군</x:v>
      </x:c>
      <x:c r="C346" s="56" t="str">
        <x:v>crawdaunt</x:v>
      </x:c>
      <x:c r="D346" s="56" t="str">
        <x:v>담수</x:v>
      </x:c>
      <x:c r="E346" s="56" t="str">
        <x:v>흔함</x:v>
      </x:c>
      <x:c r="F346" s="56" t="str">
        <x:v>아니오</x:v>
      </x:c>
      <x:c r="G346" s="56" t="str">
        <x:v>아니오</x:v>
      </x:c>
      <x:c r="H346" s="56" t="str">
        <x:v>예</x:v>
      </x:c>
      <x:c r="I346" s="56" t="str">
        <x:v>—</x:v>
      </x:c>
      <x:c r="J346" s="57" t="str">
        <x:v>—</x:v>
      </x:c>
      <x:c r="K346" s="57" t="str">
        <x:v>—</x:v>
      </x:c>
      <x:c r="L346" s="57" t="str">
        <x:v>포함</x:v>
      </x:c>
      <x:c r="M346" s="57" t="str">
        <x:v>—</x:v>
      </x:c>
      <x:c r="N346" s="57" t="str">
        <x:v>포함</x:v>
      </x:c>
      <x:c r="O346" s="57" t="str">
        <x:v>포함</x:v>
      </x:c>
      <x:c r="P346" s="57" t="str">
        <x:v>포함</x:v>
      </x:c>
      <x:c r="Q346" s="57" t="str">
        <x:v>포함</x:v>
      </x:c>
      <x:c r="R346" s="57" t="str">
        <x:v>포함</x:v>
      </x:c>
    </x:row>
    <x:row r="347">
      <x:c r="A347" s="60" t="n">
        <x:v>343</x:v>
      </x:c>
      <x:c r="B347" s="56" t="str">
        <x:v>오뚝군</x:v>
      </x:c>
      <x:c r="C347" s="56" t="str">
        <x:v>baltoy</x:v>
      </x:c>
      <x:c r="D347" s="56" t="str">
        <x:v>건조지</x:v>
      </x:c>
      <x:c r="E347" s="56" t="str">
        <x:v>보통</x:v>
      </x:c>
      <x:c r="F347" s="56" t="str">
        <x:v>아니오</x:v>
      </x:c>
      <x:c r="G347" s="56" t="str">
        <x:v>아니오</x:v>
      </x:c>
      <x:c r="H347" s="56" t="str">
        <x:v>예</x:v>
      </x:c>
      <x:c r="I347" s="56" t="str">
        <x:v>—</x:v>
      </x:c>
      <x:c r="J347" s="57" t="str">
        <x:v>—</x:v>
      </x:c>
      <x:c r="K347" s="57" t="str">
        <x:v>—</x:v>
      </x:c>
      <x:c r="L347" s="57" t="str">
        <x:v>포함</x:v>
      </x:c>
      <x:c r="M347" s="57" t="str">
        <x:v>—</x:v>
      </x:c>
      <x:c r="N347" s="57" t="str">
        <x:v>포함</x:v>
      </x:c>
      <x:c r="O347" s="57" t="str">
        <x:v>—</x:v>
      </x:c>
      <x:c r="P347" s="57" t="str">
        <x:v>포함</x:v>
      </x:c>
      <x:c r="Q347" s="57" t="str">
        <x:v>포함</x:v>
      </x:c>
      <x:c r="R347" s="57" t="str">
        <x:v>—</x:v>
      </x:c>
    </x:row>
    <x:row r="348">
      <x:c r="A348" s="60" t="n">
        <x:v>344</x:v>
      </x:c>
      <x:c r="B348" s="56" t="str">
        <x:v>점토도리</x:v>
      </x:c>
      <x:c r="C348" s="56" t="str">
        <x:v>claydol</x:v>
      </x:c>
      <x:c r="D348" s="56" t="str">
        <x:v>건조지</x:v>
      </x:c>
      <x:c r="E348" s="56" t="str">
        <x:v>보통</x:v>
      </x:c>
      <x:c r="F348" s="56" t="str">
        <x:v>아니오</x:v>
      </x:c>
      <x:c r="G348" s="56" t="str">
        <x:v>아니오</x:v>
      </x:c>
      <x:c r="H348" s="56" t="str">
        <x:v>예</x:v>
      </x:c>
      <x:c r="I348" s="56" t="str">
        <x:v>—</x:v>
      </x:c>
      <x:c r="J348" s="57" t="str">
        <x:v>—</x:v>
      </x:c>
      <x:c r="K348" s="57" t="str">
        <x:v>—</x:v>
      </x:c>
      <x:c r="L348" s="57" t="str">
        <x:v>포함</x:v>
      </x:c>
      <x:c r="M348" s="57" t="str">
        <x:v>—</x:v>
      </x:c>
      <x:c r="N348" s="57" t="str">
        <x:v>포함</x:v>
      </x:c>
      <x:c r="O348" s="57" t="str">
        <x:v>—</x:v>
      </x:c>
      <x:c r="P348" s="57" t="str">
        <x:v>포함</x:v>
      </x:c>
      <x:c r="Q348" s="57" t="str">
        <x:v>포함</x:v>
      </x:c>
      <x:c r="R348" s="57" t="str">
        <x:v>—</x:v>
      </x:c>
    </x:row>
    <x:row r="349">
      <x:c r="A349" s="60" t="n">
        <x:v>345</x:v>
      </x:c>
      <x:c r="B349" s="56" t="str">
        <x:v>릴링</x:v>
      </x:c>
      <x:c r="C349" s="56" t="str">
        <x:v>lileep</x:v>
      </x:c>
      <x:c r="D349" s="56" t="str">
        <x:v>산악</x:v>
      </x:c>
      <x:c r="E349" s="56" t="str">
        <x:v>희귀</x:v>
      </x:c>
      <x:c r="F349" s="56" t="str">
        <x:v>아니오</x:v>
      </x:c>
      <x:c r="G349" s="56" t="str">
        <x:v>아니오</x:v>
      </x:c>
      <x:c r="H349" s="56" t="str">
        <x:v>예</x:v>
      </x:c>
      <x:c r="I349" s="56" t="str">
        <x:v>—</x:v>
      </x:c>
      <x:c r="J349" s="57" t="str">
        <x:v>—</x:v>
      </x:c>
      <x:c r="K349" s="57" t="str">
        <x:v>—</x:v>
      </x:c>
      <x:c r="L349" s="57" t="str">
        <x:v>포함</x:v>
      </x:c>
      <x:c r="M349" s="57" t="str">
        <x:v>—</x:v>
      </x:c>
      <x:c r="N349" s="57" t="str">
        <x:v>—</x:v>
      </x:c>
      <x:c r="O349" s="57" t="str">
        <x:v>—</x:v>
      </x:c>
      <x:c r="P349" s="57" t="str">
        <x:v>포함</x:v>
      </x:c>
      <x:c r="Q349" s="57" t="str">
        <x:v>포함</x:v>
      </x:c>
      <x:c r="R349" s="57" t="str">
        <x:v>—</x:v>
      </x:c>
    </x:row>
    <x:row r="350">
      <x:c r="A350" s="60" t="n">
        <x:v>346</x:v>
      </x:c>
      <x:c r="B350" s="56" t="str">
        <x:v>릴리요</x:v>
      </x:c>
      <x:c r="C350" s="56" t="str">
        <x:v>cradily</x:v>
      </x:c>
      <x:c r="D350" s="56" t="str">
        <x:v>산악</x:v>
      </x:c>
      <x:c r="E350" s="56" t="str">
        <x:v>희귀</x:v>
      </x:c>
      <x:c r="F350" s="56" t="str">
        <x:v>아니오</x:v>
      </x:c>
      <x:c r="G350" s="56" t="str">
        <x:v>아니오</x:v>
      </x:c>
      <x:c r="H350" s="56" t="str">
        <x:v>예</x:v>
      </x:c>
      <x:c r="I350" s="56" t="str">
        <x:v>—</x:v>
      </x:c>
      <x:c r="J350" s="57" t="str">
        <x:v>—</x:v>
      </x:c>
      <x:c r="K350" s="57" t="str">
        <x:v>—</x:v>
      </x:c>
      <x:c r="L350" s="57" t="str">
        <x:v>포함</x:v>
      </x:c>
      <x:c r="M350" s="57" t="str">
        <x:v>—</x:v>
      </x:c>
      <x:c r="N350" s="57" t="str">
        <x:v>—</x:v>
      </x:c>
      <x:c r="O350" s="57" t="str">
        <x:v>—</x:v>
      </x:c>
      <x:c r="P350" s="57" t="str">
        <x:v>포함</x:v>
      </x:c>
      <x:c r="Q350" s="57" t="str">
        <x:v>포함</x:v>
      </x:c>
      <x:c r="R350" s="57" t="str">
        <x:v>—</x:v>
      </x:c>
    </x:row>
    <x:row r="351">
      <x:c r="A351" s="60" t="n">
        <x:v>347</x:v>
      </x:c>
      <x:c r="B351" s="56" t="str">
        <x:v>아노딥스</x:v>
      </x:c>
      <x:c r="C351" s="56" t="str">
        <x:v>anorith</x:v>
      </x:c>
      <x:c r="D351" s="56" t="str">
        <x:v>산악</x:v>
      </x:c>
      <x:c r="E351" s="56" t="str">
        <x:v>희귀</x:v>
      </x:c>
      <x:c r="F351" s="56" t="str">
        <x:v>아니오</x:v>
      </x:c>
      <x:c r="G351" s="56" t="str">
        <x:v>아니오</x:v>
      </x:c>
      <x:c r="H351" s="56" t="str">
        <x:v>예</x:v>
      </x:c>
      <x:c r="I351" s="56" t="str">
        <x:v>—</x:v>
      </x:c>
      <x:c r="J351" s="57" t="str">
        <x:v>—</x:v>
      </x:c>
      <x:c r="K351" s="57" t="str">
        <x:v>—</x:v>
      </x:c>
      <x:c r="L351" s="57" t="str">
        <x:v>포함</x:v>
      </x:c>
      <x:c r="M351" s="57" t="str">
        <x:v>—</x:v>
      </x:c>
      <x:c r="N351" s="57" t="str">
        <x:v>—</x:v>
      </x:c>
      <x:c r="O351" s="57" t="str">
        <x:v>—</x:v>
      </x:c>
      <x:c r="P351" s="57" t="str">
        <x:v>포함</x:v>
      </x:c>
      <x:c r="Q351" s="57" t="str">
        <x:v>포함</x:v>
      </x:c>
      <x:c r="R351" s="57" t="str">
        <x:v>—</x:v>
      </x:c>
    </x:row>
    <x:row r="352">
      <x:c r="A352" s="60" t="n">
        <x:v>348</x:v>
      </x:c>
      <x:c r="B352" s="56" t="str">
        <x:v>아말도</x:v>
      </x:c>
      <x:c r="C352" s="56" t="str">
        <x:v>armaldo</x:v>
      </x:c>
      <x:c r="D352" s="56" t="str">
        <x:v>산악</x:v>
      </x:c>
      <x:c r="E352" s="56" t="str">
        <x:v>희귀</x:v>
      </x:c>
      <x:c r="F352" s="56" t="str">
        <x:v>아니오</x:v>
      </x:c>
      <x:c r="G352" s="56" t="str">
        <x:v>아니오</x:v>
      </x:c>
      <x:c r="H352" s="56" t="str">
        <x:v>예</x:v>
      </x:c>
      <x:c r="I352" s="56" t="str">
        <x:v>—</x:v>
      </x:c>
      <x:c r="J352" s="57" t="str">
        <x:v>—</x:v>
      </x:c>
      <x:c r="K352" s="57" t="str">
        <x:v>—</x:v>
      </x:c>
      <x:c r="L352" s="57" t="str">
        <x:v>포함</x:v>
      </x:c>
      <x:c r="M352" s="57" t="str">
        <x:v>—</x:v>
      </x:c>
      <x:c r="N352" s="57" t="str">
        <x:v>—</x:v>
      </x:c>
      <x:c r="O352" s="57" t="str">
        <x:v>—</x:v>
      </x:c>
      <x:c r="P352" s="57" t="str">
        <x:v>포함</x:v>
      </x:c>
      <x:c r="Q352" s="57" t="str">
        <x:v>포함</x:v>
      </x:c>
      <x:c r="R352" s="57" t="str">
        <x:v>—</x:v>
      </x:c>
    </x:row>
    <x:row r="353">
      <x:c r="A353" s="60" t="n">
        <x:v>349</x:v>
      </x:c>
      <x:c r="B353" s="56" t="str">
        <x:v>빈티나</x:v>
      </x:c>
      <x:c r="C353" s="56" t="str">
        <x:v>feebas</x:v>
      </x:c>
      <x:c r="D353" s="56" t="str">
        <x:v>담수</x:v>
      </x:c>
      <x:c r="E353" s="56" t="str">
        <x:v>흔함</x:v>
      </x:c>
      <x:c r="F353" s="56" t="str">
        <x:v>아니오</x:v>
      </x:c>
      <x:c r="G353" s="56" t="str">
        <x:v>아니오</x:v>
      </x:c>
      <x:c r="H353" s="56" t="str">
        <x:v>예</x:v>
      </x:c>
      <x:c r="I353" s="56" t="str">
        <x:v>—</x:v>
      </x:c>
      <x:c r="J353" s="57" t="str">
        <x:v>—</x:v>
      </x:c>
      <x:c r="K353" s="57" t="str">
        <x:v>—</x:v>
      </x:c>
      <x:c r="L353" s="57" t="str">
        <x:v>포함</x:v>
      </x:c>
      <x:c r="M353" s="57" t="str">
        <x:v>포함</x:v>
      </x:c>
      <x:c r="N353" s="57" t="str">
        <x:v>—</x:v>
      </x:c>
      <x:c r="O353" s="57" t="str">
        <x:v>—</x:v>
      </x:c>
      <x:c r="P353" s="57" t="str">
        <x:v>포함</x:v>
      </x:c>
      <x:c r="Q353" s="57" t="str">
        <x:v>포함</x:v>
      </x:c>
      <x:c r="R353" s="57" t="str">
        <x:v>포함</x:v>
      </x:c>
    </x:row>
    <x:row r="354">
      <x:c r="A354" s="60" t="n">
        <x:v>350</x:v>
      </x:c>
      <x:c r="B354" s="56" t="str">
        <x:v>밀로틱</x:v>
      </x:c>
      <x:c r="C354" s="56" t="str">
        <x:v>milotic</x:v>
      </x:c>
      <x:c r="D354" s="56" t="str">
        <x:v>담수</x:v>
      </x:c>
      <x:c r="E354" s="56" t="str">
        <x:v>흔함</x:v>
      </x:c>
      <x:c r="F354" s="56" t="str">
        <x:v>아니오</x:v>
      </x:c>
      <x:c r="G354" s="56" t="str">
        <x:v>아니오</x:v>
      </x:c>
      <x:c r="H354" s="56" t="str">
        <x:v>예</x:v>
      </x:c>
      <x:c r="I354" s="56" t="str">
        <x:v>—</x:v>
      </x:c>
      <x:c r="J354" s="57" t="str">
        <x:v>—</x:v>
      </x:c>
      <x:c r="K354" s="57" t="str">
        <x:v>—</x:v>
      </x:c>
      <x:c r="L354" s="57" t="str">
        <x:v>포함</x:v>
      </x:c>
      <x:c r="M354" s="57" t="str">
        <x:v>포함</x:v>
      </x:c>
      <x:c r="N354" s="57" t="str">
        <x:v>—</x:v>
      </x:c>
      <x:c r="O354" s="57" t="str">
        <x:v>—</x:v>
      </x:c>
      <x:c r="P354" s="57" t="str">
        <x:v>포함</x:v>
      </x:c>
      <x:c r="Q354" s="57" t="str">
        <x:v>포함</x:v>
      </x:c>
      <x:c r="R354" s="57" t="str">
        <x:v>포함</x:v>
      </x:c>
    </x:row>
    <x:row r="355">
      <x:c r="A355" s="60" t="n">
        <x:v>351</x:v>
      </x:c>
      <x:c r="B355" s="56" t="str">
        <x:v>캐스퐁</x:v>
      </x:c>
      <x:c r="C355" s="56" t="str">
        <x:v>castform</x:v>
      </x:c>
      <x:c r="D355" s="56" t="str">
        <x:v>도시</x:v>
      </x:c>
      <x:c r="E355" s="56" t="str">
        <x:v>보통</x:v>
      </x:c>
      <x:c r="F355" s="56" t="str">
        <x:v>아니오</x:v>
      </x:c>
      <x:c r="G355" s="56" t="str">
        <x:v>아니오</x:v>
      </x:c>
      <x:c r="H355" s="56" t="str">
        <x:v>예</x:v>
      </x:c>
      <x:c r="I355" s="56" t="str">
        <x:v>—</x:v>
      </x:c>
      <x:c r="J355" s="57" t="str">
        <x:v>—</x:v>
      </x:c>
      <x:c r="K355" s="57" t="str">
        <x:v>—</x:v>
      </x:c>
      <x:c r="L355" s="57" t="str">
        <x:v>포함</x:v>
      </x:c>
      <x:c r="M355" s="57" t="str">
        <x:v>—</x:v>
      </x:c>
      <x:c r="N355" s="57" t="str">
        <x:v>포함</x:v>
      </x:c>
      <x:c r="O355" s="57" t="str">
        <x:v>—</x:v>
      </x:c>
      <x:c r="P355" s="57" t="str">
        <x:v>포함</x:v>
      </x:c>
      <x:c r="Q355" s="57" t="str">
        <x:v>—</x:v>
      </x:c>
      <x:c r="R355" s="57" t="str">
        <x:v>—</x:v>
      </x:c>
    </x:row>
    <x:row r="356">
      <x:c r="A356" s="60" t="n">
        <x:v>352</x:v>
      </x:c>
      <x:c r="B356" s="56" t="str">
        <x:v>켈리몬</x:v>
      </x:c>
      <x:c r="C356" s="56" t="str">
        <x:v>kecleon</x:v>
      </x:c>
      <x:c r="D356" s="56" t="str">
        <x:v>숲</x:v>
      </x:c>
      <x:c r="E356" s="56" t="str">
        <x:v>보통</x:v>
      </x:c>
      <x:c r="F356" s="56" t="str">
        <x:v>아니오</x:v>
      </x:c>
      <x:c r="G356" s="56" t="str">
        <x:v>아니오</x:v>
      </x:c>
      <x:c r="H356" s="56" t="str">
        <x:v>예</x:v>
      </x:c>
      <x:c r="I356" s="56" t="str">
        <x:v>—</x:v>
      </x:c>
      <x:c r="J356" s="57" t="str">
        <x:v>—</x:v>
      </x:c>
      <x:c r="K356" s="57" t="str">
        <x:v>—</x:v>
      </x:c>
      <x:c r="L356" s="57" t="str">
        <x:v>포함</x:v>
      </x:c>
      <x:c r="M356" s="57" t="str">
        <x:v>—</x:v>
      </x:c>
      <x:c r="N356" s="57" t="str">
        <x:v>—</x:v>
      </x:c>
      <x:c r="O356" s="57" t="str">
        <x:v>포함</x:v>
      </x:c>
      <x:c r="P356" s="57" t="str">
        <x:v>포함</x:v>
      </x:c>
      <x:c r="Q356" s="57" t="str">
        <x:v>—</x:v>
      </x:c>
      <x:c r="R356" s="57" t="str">
        <x:v>—</x:v>
      </x:c>
    </x:row>
    <x:row r="357">
      <x:c r="A357" s="60" t="n">
        <x:v>353</x:v>
      </x:c>
      <x:c r="B357" s="56" t="str">
        <x:v>어둠대신</x:v>
      </x:c>
      <x:c r="C357" s="56" t="str">
        <x:v>shuppet</x:v>
      </x:c>
      <x:c r="D357" s="56" t="str">
        <x:v>특수</x:v>
      </x:c>
      <x:c r="E357" s="56" t="str">
        <x:v>보통</x:v>
      </x:c>
      <x:c r="F357" s="56" t="str">
        <x:v>아니오</x:v>
      </x:c>
      <x:c r="G357" s="56" t="str">
        <x:v>아니오</x:v>
      </x:c>
      <x:c r="H357" s="56" t="str">
        <x:v>예</x:v>
      </x:c>
      <x:c r="I357" s="56" t="str">
        <x:v>—</x:v>
      </x:c>
      <x:c r="J357" s="57" t="str">
        <x:v>—</x:v>
      </x:c>
      <x:c r="K357" s="57" t="str">
        <x:v>—</x:v>
      </x:c>
      <x:c r="L357" s="57" t="str">
        <x:v>포함</x:v>
      </x:c>
      <x:c r="M357" s="57" t="str">
        <x:v>—</x:v>
      </x:c>
      <x:c r="N357" s="57" t="str">
        <x:v>포함</x:v>
      </x:c>
      <x:c r="O357" s="57" t="str">
        <x:v>포함</x:v>
      </x:c>
      <x:c r="P357" s="57" t="str">
        <x:v>포함</x:v>
      </x:c>
      <x:c r="Q357" s="57" t="str">
        <x:v>—</x:v>
      </x:c>
      <x:c r="R357" s="57" t="str">
        <x:v>포함</x:v>
      </x:c>
    </x:row>
    <x:row r="358">
      <x:c r="A358" s="60" t="n">
        <x:v>354</x:v>
      </x:c>
      <x:c r="B358" s="56" t="str">
        <x:v>다크펫</x:v>
      </x:c>
      <x:c r="C358" s="56" t="str">
        <x:v>banette</x:v>
      </x:c>
      <x:c r="D358" s="56" t="str">
        <x:v>특수</x:v>
      </x:c>
      <x:c r="E358" s="56" t="str">
        <x:v>보통</x:v>
      </x:c>
      <x:c r="F358" s="56" t="str">
        <x:v>아니오</x:v>
      </x:c>
      <x:c r="G358" s="56" t="str">
        <x:v>아니오</x:v>
      </x:c>
      <x:c r="H358" s="56" t="str">
        <x:v>예</x:v>
      </x:c>
      <x:c r="I358" s="56" t="str">
        <x:v>—</x:v>
      </x:c>
      <x:c r="J358" s="57" t="str">
        <x:v>—</x:v>
      </x:c>
      <x:c r="K358" s="57" t="str">
        <x:v>—</x:v>
      </x:c>
      <x:c r="L358" s="57" t="str">
        <x:v>포함</x:v>
      </x:c>
      <x:c r="M358" s="57" t="str">
        <x:v>—</x:v>
      </x:c>
      <x:c r="N358" s="57" t="str">
        <x:v>포함</x:v>
      </x:c>
      <x:c r="O358" s="57" t="str">
        <x:v>포함</x:v>
      </x:c>
      <x:c r="P358" s="57" t="str">
        <x:v>포함</x:v>
      </x:c>
      <x:c r="Q358" s="57" t="str">
        <x:v>—</x:v>
      </x:c>
      <x:c r="R358" s="57" t="str">
        <x:v>포함</x:v>
      </x:c>
    </x:row>
    <x:row r="359">
      <x:c r="A359" s="60" t="n">
        <x:v>355</x:v>
      </x:c>
      <x:c r="B359" s="56" t="str">
        <x:v>해골몽</x:v>
      </x:c>
      <x:c r="C359" s="56" t="str">
        <x:v>duskull</x:v>
      </x:c>
      <x:c r="D359" s="56" t="str">
        <x:v>특수</x:v>
      </x:c>
      <x:c r="E359" s="56" t="str">
        <x:v>흔함</x:v>
      </x:c>
      <x:c r="F359" s="56" t="str">
        <x:v>아니오</x:v>
      </x:c>
      <x:c r="G359" s="56" t="str">
        <x:v>아니오</x:v>
      </x:c>
      <x:c r="H359" s="56" t="str">
        <x:v>예</x:v>
      </x:c>
      <x:c r="I359" s="56" t="str">
        <x:v>—</x:v>
      </x:c>
      <x:c r="J359" s="57" t="str">
        <x:v>—</x:v>
      </x:c>
      <x:c r="K359" s="57" t="str">
        <x:v>—</x:v>
      </x:c>
      <x:c r="L359" s="57" t="str">
        <x:v>포함</x:v>
      </x:c>
      <x:c r="M359" s="57" t="str">
        <x:v>포함</x:v>
      </x:c>
      <x:c r="N359" s="57" t="str">
        <x:v>—</x:v>
      </x:c>
      <x:c r="O359" s="57" t="str">
        <x:v>—</x:v>
      </x:c>
      <x:c r="P359" s="57" t="str">
        <x:v>—</x:v>
      </x:c>
      <x:c r="Q359" s="57" t="str">
        <x:v>포함</x:v>
      </x:c>
      <x:c r="R359" s="57" t="str">
        <x:v>포함</x:v>
      </x:c>
    </x:row>
    <x:row r="360">
      <x:c r="A360" s="60" t="n">
        <x:v>356</x:v>
      </x:c>
      <x:c r="B360" s="56" t="str">
        <x:v>미라몽</x:v>
      </x:c>
      <x:c r="C360" s="56" t="str">
        <x:v>dusclops</x:v>
      </x:c>
      <x:c r="D360" s="56" t="str">
        <x:v>특수</x:v>
      </x:c>
      <x:c r="E360" s="56" t="str">
        <x:v>흔함</x:v>
      </x:c>
      <x:c r="F360" s="56" t="str">
        <x:v>아니오</x:v>
      </x:c>
      <x:c r="G360" s="56" t="str">
        <x:v>아니오</x:v>
      </x:c>
      <x:c r="H360" s="56" t="str">
        <x:v>예</x:v>
      </x:c>
      <x:c r="I360" s="56" t="str">
        <x:v>—</x:v>
      </x:c>
      <x:c r="J360" s="57" t="str">
        <x:v>—</x:v>
      </x:c>
      <x:c r="K360" s="57" t="str">
        <x:v>—</x:v>
      </x:c>
      <x:c r="L360" s="57" t="str">
        <x:v>포함</x:v>
      </x:c>
      <x:c r="M360" s="57" t="str">
        <x:v>포함</x:v>
      </x:c>
      <x:c r="N360" s="57" t="str">
        <x:v>—</x:v>
      </x:c>
      <x:c r="O360" s="57" t="str">
        <x:v>—</x:v>
      </x:c>
      <x:c r="P360" s="57" t="str">
        <x:v>—</x:v>
      </x:c>
      <x:c r="Q360" s="57" t="str">
        <x:v>포함</x:v>
      </x:c>
      <x:c r="R360" s="57" t="str">
        <x:v>포함</x:v>
      </x:c>
    </x:row>
    <x:row r="361">
      <x:c r="A361" s="60" t="n">
        <x:v>357</x:v>
      </x:c>
      <x:c r="B361" s="56" t="str">
        <x:v>트로피우스</x:v>
      </x:c>
      <x:c r="C361" s="56" t="str">
        <x:v>tropius</x:v>
      </x:c>
      <x:c r="D361" s="56" t="str">
        <x:v>숲</x:v>
      </x:c>
      <x:c r="E361" s="56" t="str">
        <x:v>보통</x:v>
      </x:c>
      <x:c r="F361" s="56" t="str">
        <x:v>아니오</x:v>
      </x:c>
      <x:c r="G361" s="56" t="str">
        <x:v>아니오</x:v>
      </x:c>
      <x:c r="H361" s="56" t="str">
        <x:v>예</x:v>
      </x:c>
      <x:c r="I361" s="56" t="str">
        <x:v>—</x:v>
      </x:c>
      <x:c r="J361" s="57" t="str">
        <x:v>—</x:v>
      </x:c>
      <x:c r="K361" s="57" t="str">
        <x:v>—</x:v>
      </x:c>
      <x:c r="L361" s="57" t="str">
        <x:v>포함</x:v>
      </x:c>
      <x:c r="M361" s="57" t="str">
        <x:v>포함</x:v>
      </x:c>
      <x:c r="N361" s="57" t="str">
        <x:v>포함</x:v>
      </x:c>
      <x:c r="O361" s="57" t="str">
        <x:v>—</x:v>
      </x:c>
      <x:c r="P361" s="57" t="str">
        <x:v>포함</x:v>
      </x:c>
      <x:c r="Q361" s="57" t="str">
        <x:v>—</x:v>
      </x:c>
      <x:c r="R361" s="57" t="str">
        <x:v>포함</x:v>
      </x:c>
    </x:row>
    <x:row r="362">
      <x:c r="A362" s="60" t="n">
        <x:v>358</x:v>
      </x:c>
      <x:c r="B362" s="56" t="str">
        <x:v>치렁</x:v>
      </x:c>
      <x:c r="C362" s="56" t="str">
        <x:v>chimecho</x:v>
      </x:c>
      <x:c r="D362" s="56" t="str">
        <x:v>숲</x:v>
      </x:c>
      <x:c r="E362" s="56" t="str">
        <x:v>보통</x:v>
      </x:c>
      <x:c r="F362" s="56" t="str">
        <x:v>아니오</x:v>
      </x:c>
      <x:c r="G362" s="56" t="str">
        <x:v>아니오</x:v>
      </x:c>
      <x:c r="H362" s="56" t="str">
        <x:v>예</x:v>
      </x:c>
      <x:c r="I362" s="56" t="str">
        <x:v>—</x:v>
      </x:c>
      <x:c r="J362" s="57" t="str">
        <x:v>—</x:v>
      </x:c>
      <x:c r="K362" s="57" t="str">
        <x:v>—</x:v>
      </x:c>
      <x:c r="L362" s="57" t="str">
        <x:v>포함</x:v>
      </x:c>
      <x:c r="M362" s="57" t="str">
        <x:v>포함</x:v>
      </x:c>
      <x:c r="N362" s="57" t="str">
        <x:v>—</x:v>
      </x:c>
      <x:c r="O362" s="57" t="str">
        <x:v>포함</x:v>
      </x:c>
      <x:c r="P362" s="57" t="str">
        <x:v>—</x:v>
      </x:c>
      <x:c r="Q362" s="57" t="str">
        <x:v>—</x:v>
      </x:c>
      <x:c r="R362" s="57" t="str">
        <x:v>포함</x:v>
      </x:c>
    </x:row>
    <x:row r="363">
      <x:c r="A363" s="60" t="n">
        <x:v>359</x:v>
      </x:c>
      <x:c r="B363" s="56" t="str">
        <x:v>앱솔</x:v>
      </x:c>
      <x:c r="C363" s="56" t="str">
        <x:v>absol</x:v>
      </x:c>
      <x:c r="D363" s="56" t="str">
        <x:v>숲</x:v>
      </x:c>
      <x:c r="E363" s="56" t="str">
        <x:v>드묾</x:v>
      </x:c>
      <x:c r="F363" s="56" t="str">
        <x:v>아니오</x:v>
      </x:c>
      <x:c r="G363" s="56" t="str">
        <x:v>아니오</x:v>
      </x:c>
      <x:c r="H363" s="56" t="str">
        <x:v>예</x:v>
      </x:c>
      <x:c r="I363" s="56" t="str">
        <x:v>—</x:v>
      </x:c>
      <x:c r="J363" s="57" t="str">
        <x:v>—</x:v>
      </x:c>
      <x:c r="K363" s="57" t="str">
        <x:v>—</x:v>
      </x:c>
      <x:c r="L363" s="57" t="str">
        <x:v>포함</x:v>
      </x:c>
      <x:c r="M363" s="57" t="str">
        <x:v>포함</x:v>
      </x:c>
      <x:c r="N363" s="57" t="str">
        <x:v>포함</x:v>
      </x:c>
      <x:c r="O363" s="57" t="str">
        <x:v>포함</x:v>
      </x:c>
      <x:c r="P363" s="57" t="str">
        <x:v>포함</x:v>
      </x:c>
      <x:c r="Q363" s="57" t="str">
        <x:v>포함</x:v>
      </x:c>
      <x:c r="R363" s="57" t="str">
        <x:v>—</x:v>
      </x:c>
    </x:row>
    <x:row r="364">
      <x:c r="A364" s="60" t="n">
        <x:v>360</x:v>
      </x:c>
      <x:c r="B364" s="56" t="str">
        <x:v>마자</x:v>
      </x:c>
      <x:c r="C364" s="56" t="str">
        <x:v>wynaut</x:v>
      </x:c>
      <x:c r="D364" s="56" t="str">
        <x:v>평원</x:v>
      </x:c>
      <x:c r="E364" s="56" t="str">
        <x:v>드묾</x:v>
      </x:c>
      <x:c r="F364" s="56" t="str">
        <x:v>아니오</x:v>
      </x:c>
      <x:c r="G364" s="56" t="str">
        <x:v>아니오</x:v>
      </x:c>
      <x:c r="H364" s="56" t="str">
        <x:v>예</x:v>
      </x:c>
      <x:c r="I364" s="56" t="str">
        <x:v>—</x:v>
      </x:c>
      <x:c r="J364" s="57" t="str">
        <x:v>—</x:v>
      </x:c>
      <x:c r="K364" s="57" t="str">
        <x:v>—</x:v>
      </x:c>
      <x:c r="L364" s="57" t="str">
        <x:v>포함</x:v>
      </x:c>
      <x:c r="M364" s="57" t="str">
        <x:v>—</x:v>
      </x:c>
      <x:c r="N364" s="57" t="str">
        <x:v>—</x:v>
      </x:c>
      <x:c r="O364" s="57" t="str">
        <x:v>포함</x:v>
      </x:c>
      <x:c r="P364" s="57" t="str">
        <x:v>—</x:v>
      </x:c>
      <x:c r="Q364" s="57" t="str">
        <x:v>포함</x:v>
      </x:c>
      <x:c r="R364" s="57" t="str">
        <x:v>—</x:v>
      </x:c>
    </x:row>
    <x:row r="365">
      <x:c r="A365" s="60" t="n">
        <x:v>361</x:v>
      </x:c>
      <x:c r="B365" s="56" t="str">
        <x:v>눈꼬마</x:v>
      </x:c>
      <x:c r="C365" s="56" t="str">
        <x:v>snorunt</x:v>
      </x:c>
      <x:c r="D365" s="56" t="str">
        <x:v>설원</x:v>
      </x:c>
      <x:c r="E365" s="56" t="str">
        <x:v>보통</x:v>
      </x:c>
      <x:c r="F365" s="56" t="str">
        <x:v>아니오</x:v>
      </x:c>
      <x:c r="G365" s="56" t="str">
        <x:v>아니오</x:v>
      </x:c>
      <x:c r="H365" s="56" t="str">
        <x:v>예</x:v>
      </x:c>
      <x:c r="I365" s="56" t="str">
        <x:v>—</x:v>
      </x:c>
      <x:c r="J365" s="57" t="str">
        <x:v>—</x:v>
      </x:c>
      <x:c r="K365" s="57" t="str">
        <x:v>—</x:v>
      </x:c>
      <x:c r="L365" s="57" t="str">
        <x:v>포함</x:v>
      </x:c>
      <x:c r="M365" s="57" t="str">
        <x:v>포함</x:v>
      </x:c>
      <x:c r="N365" s="57" t="str">
        <x:v>—</x:v>
      </x:c>
      <x:c r="O365" s="57" t="str">
        <x:v>—</x:v>
      </x:c>
      <x:c r="P365" s="57" t="str">
        <x:v>포함</x:v>
      </x:c>
      <x:c r="Q365" s="57" t="str">
        <x:v>포함</x:v>
      </x:c>
      <x:c r="R365" s="57" t="str">
        <x:v>포함</x:v>
      </x:c>
    </x:row>
    <x:row r="366">
      <x:c r="A366" s="60" t="n">
        <x:v>362</x:v>
      </x:c>
      <x:c r="B366" s="56" t="str">
        <x:v>얼음귀신</x:v>
      </x:c>
      <x:c r="C366" s="56" t="str">
        <x:v>glalie</x:v>
      </x:c>
      <x:c r="D366" s="56" t="str">
        <x:v>설원</x:v>
      </x:c>
      <x:c r="E366" s="56" t="str">
        <x:v>보통</x:v>
      </x:c>
      <x:c r="F366" s="56" t="str">
        <x:v>아니오</x:v>
      </x:c>
      <x:c r="G366" s="56" t="str">
        <x:v>아니오</x:v>
      </x:c>
      <x:c r="H366" s="56" t="str">
        <x:v>예</x:v>
      </x:c>
      <x:c r="I366" s="56" t="str">
        <x:v>—</x:v>
      </x:c>
      <x:c r="J366" s="57" t="str">
        <x:v>—</x:v>
      </x:c>
      <x:c r="K366" s="57" t="str">
        <x:v>—</x:v>
      </x:c>
      <x:c r="L366" s="57" t="str">
        <x:v>포함</x:v>
      </x:c>
      <x:c r="M366" s="57" t="str">
        <x:v>포함</x:v>
      </x:c>
      <x:c r="N366" s="57" t="str">
        <x:v>—</x:v>
      </x:c>
      <x:c r="O366" s="57" t="str">
        <x:v>—</x:v>
      </x:c>
      <x:c r="P366" s="57" t="str">
        <x:v>포함</x:v>
      </x:c>
      <x:c r="Q366" s="57" t="str">
        <x:v>포함</x:v>
      </x:c>
      <x:c r="R366" s="57" t="str">
        <x:v>포함</x:v>
      </x:c>
    </x:row>
    <x:row r="367">
      <x:c r="A367" s="60" t="n">
        <x:v>363</x:v>
      </x:c>
      <x:c r="B367" s="56" t="str">
        <x:v>대굴레오</x:v>
      </x:c>
      <x:c r="C367" s="56" t="str">
        <x:v>spheal</x:v>
      </x:c>
      <x:c r="D367" s="56" t="str">
        <x:v>해양</x:v>
      </x:c>
      <x:c r="E367" s="56" t="str">
        <x:v>흔함</x:v>
      </x:c>
      <x:c r="F367" s="56" t="str">
        <x:v>아니오</x:v>
      </x:c>
      <x:c r="G367" s="56" t="str">
        <x:v>아니오</x:v>
      </x:c>
      <x:c r="H367" s="56" t="str">
        <x:v>예</x:v>
      </x:c>
      <x:c r="I367" s="56" t="str">
        <x:v>—</x:v>
      </x:c>
      <x:c r="J367" s="57" t="str">
        <x:v>—</x:v>
      </x:c>
      <x:c r="K367" s="57" t="str">
        <x:v>—</x:v>
      </x:c>
      <x:c r="L367" s="57" t="str">
        <x:v>포함</x:v>
      </x:c>
      <x:c r="M367" s="57" t="str">
        <x:v>—</x:v>
      </x:c>
      <x:c r="N367" s="57" t="str">
        <x:v>포함</x:v>
      </x:c>
      <x:c r="O367" s="57" t="str">
        <x:v>—</x:v>
      </x:c>
      <x:c r="P367" s="57" t="str">
        <x:v>—</x:v>
      </x:c>
      <x:c r="Q367" s="57" t="str">
        <x:v>포함</x:v>
      </x:c>
      <x:c r="R367" s="57" t="str">
        <x:v>—</x:v>
      </x:c>
    </x:row>
    <x:row r="368">
      <x:c r="A368" s="60" t="n">
        <x:v>364</x:v>
      </x:c>
      <x:c r="B368" s="56" t="str">
        <x:v>씨레오</x:v>
      </x:c>
      <x:c r="C368" s="56" t="str">
        <x:v>sealeo</x:v>
      </x:c>
      <x:c r="D368" s="56" t="str">
        <x:v>해양</x:v>
      </x:c>
      <x:c r="E368" s="56" t="str">
        <x:v>흔함</x:v>
      </x:c>
      <x:c r="F368" s="56" t="str">
        <x:v>아니오</x:v>
      </x:c>
      <x:c r="G368" s="56" t="str">
        <x:v>아니오</x:v>
      </x:c>
      <x:c r="H368" s="56" t="str">
        <x:v>예</x:v>
      </x:c>
      <x:c r="I368" s="56" t="str">
        <x:v>—</x:v>
      </x:c>
      <x:c r="J368" s="57" t="str">
        <x:v>—</x:v>
      </x:c>
      <x:c r="K368" s="57" t="str">
        <x:v>—</x:v>
      </x:c>
      <x:c r="L368" s="57" t="str">
        <x:v>포함</x:v>
      </x:c>
      <x:c r="M368" s="57" t="str">
        <x:v>—</x:v>
      </x:c>
      <x:c r="N368" s="57" t="str">
        <x:v>포함</x:v>
      </x:c>
      <x:c r="O368" s="57" t="str">
        <x:v>—</x:v>
      </x:c>
      <x:c r="P368" s="57" t="str">
        <x:v>—</x:v>
      </x:c>
      <x:c r="Q368" s="57" t="str">
        <x:v>포함</x:v>
      </x:c>
      <x:c r="R368" s="57" t="str">
        <x:v>—</x:v>
      </x:c>
    </x:row>
    <x:row r="369">
      <x:c r="A369" s="60" t="n">
        <x:v>365</x:v>
      </x:c>
      <x:c r="B369" s="56" t="str">
        <x:v>씨카이저</x:v>
      </x:c>
      <x:c r="C369" s="56" t="str">
        <x:v>walrein</x:v>
      </x:c>
      <x:c r="D369" s="56" t="str">
        <x:v>해양</x:v>
      </x:c>
      <x:c r="E369" s="56" t="str">
        <x:v>흔함</x:v>
      </x:c>
      <x:c r="F369" s="56" t="str">
        <x:v>아니오</x:v>
      </x:c>
      <x:c r="G369" s="56" t="str">
        <x:v>아니오</x:v>
      </x:c>
      <x:c r="H369" s="56" t="str">
        <x:v>예</x:v>
      </x:c>
      <x:c r="I369" s="56" t="str">
        <x:v>—</x:v>
      </x:c>
      <x:c r="J369" s="57" t="str">
        <x:v>—</x:v>
      </x:c>
      <x:c r="K369" s="57" t="str">
        <x:v>—</x:v>
      </x:c>
      <x:c r="L369" s="57" t="str">
        <x:v>포함</x:v>
      </x:c>
      <x:c r="M369" s="57" t="str">
        <x:v>—</x:v>
      </x:c>
      <x:c r="N369" s="57" t="str">
        <x:v>포함</x:v>
      </x:c>
      <x:c r="O369" s="57" t="str">
        <x:v>—</x:v>
      </x:c>
      <x:c r="P369" s="57" t="str">
        <x:v>—</x:v>
      </x:c>
      <x:c r="Q369" s="57" t="str">
        <x:v>포함</x:v>
      </x:c>
      <x:c r="R369" s="57" t="str">
        <x:v>—</x:v>
      </x:c>
    </x:row>
    <x:row r="370">
      <x:c r="A370" s="60" t="n">
        <x:v>366</x:v>
      </x:c>
      <x:c r="B370" s="56" t="str">
        <x:v>진주몽</x:v>
      </x:c>
      <x:c r="C370" s="56" t="str">
        <x:v>clamperl</x:v>
      </x:c>
      <x:c r="D370" s="56" t="str">
        <x:v>해양</x:v>
      </x:c>
      <x:c r="E370" s="56" t="str">
        <x:v>보통</x:v>
      </x:c>
      <x:c r="F370" s="56" t="str">
        <x:v>아니오</x:v>
      </x:c>
      <x:c r="G370" s="56" t="str">
        <x:v>아니오</x:v>
      </x:c>
      <x:c r="H370" s="56" t="str">
        <x:v>예</x:v>
      </x:c>
      <x:c r="I370" s="56" t="str">
        <x:v>—</x:v>
      </x:c>
      <x:c r="J370" s="57" t="str">
        <x:v>—</x:v>
      </x:c>
      <x:c r="K370" s="57" t="str">
        <x:v>—</x:v>
      </x:c>
      <x:c r="L370" s="57" t="str">
        <x:v>포함</x:v>
      </x:c>
      <x:c r="M370" s="57" t="str">
        <x:v>—</x:v>
      </x:c>
      <x:c r="N370" s="57" t="str">
        <x:v>—</x:v>
      </x:c>
      <x:c r="O370" s="57" t="str">
        <x:v>포함</x:v>
      </x:c>
      <x:c r="P370" s="57" t="str">
        <x:v>포함</x:v>
      </x:c>
      <x:c r="Q370" s="57" t="str">
        <x:v>—</x:v>
      </x:c>
      <x:c r="R370" s="57" t="str">
        <x:v>—</x:v>
      </x:c>
    </x:row>
    <x:row r="371">
      <x:c r="A371" s="60" t="n">
        <x:v>367</x:v>
      </x:c>
      <x:c r="B371" s="56" t="str">
        <x:v>헌테일</x:v>
      </x:c>
      <x:c r="C371" s="56" t="str">
        <x:v>huntail</x:v>
      </x:c>
      <x:c r="D371" s="56" t="str">
        <x:v>해양</x:v>
      </x:c>
      <x:c r="E371" s="56" t="str">
        <x:v>보통</x:v>
      </x:c>
      <x:c r="F371" s="56" t="str">
        <x:v>아니오</x:v>
      </x:c>
      <x:c r="G371" s="56" t="str">
        <x:v>아니오</x:v>
      </x:c>
      <x:c r="H371" s="56" t="str">
        <x:v>예</x:v>
      </x:c>
      <x:c r="I371" s="56" t="str">
        <x:v>—</x:v>
      </x:c>
      <x:c r="J371" s="57" t="str">
        <x:v>—</x:v>
      </x:c>
      <x:c r="K371" s="57" t="str">
        <x:v>—</x:v>
      </x:c>
      <x:c r="L371" s="57" t="str">
        <x:v>포함</x:v>
      </x:c>
      <x:c r="M371" s="57" t="str">
        <x:v>—</x:v>
      </x:c>
      <x:c r="N371" s="57" t="str">
        <x:v>—</x:v>
      </x:c>
      <x:c r="O371" s="57" t="str">
        <x:v>포함</x:v>
      </x:c>
      <x:c r="P371" s="57" t="str">
        <x:v>포함</x:v>
      </x:c>
      <x:c r="Q371" s="57" t="str">
        <x:v>—</x:v>
      </x:c>
      <x:c r="R371" s="57" t="str">
        <x:v>—</x:v>
      </x:c>
    </x:row>
    <x:row r="372">
      <x:c r="A372" s="60" t="n">
        <x:v>368</x:v>
      </x:c>
      <x:c r="B372" s="56" t="str">
        <x:v>분홍장이</x:v>
      </x:c>
      <x:c r="C372" s="56" t="str">
        <x:v>gorebyss</x:v>
      </x:c>
      <x:c r="D372" s="56" t="str">
        <x:v>해양</x:v>
      </x:c>
      <x:c r="E372" s="56" t="str">
        <x:v>보통</x:v>
      </x:c>
      <x:c r="F372" s="56" t="str">
        <x:v>아니오</x:v>
      </x:c>
      <x:c r="G372" s="56" t="str">
        <x:v>아니오</x:v>
      </x:c>
      <x:c r="H372" s="56" t="str">
        <x:v>예</x:v>
      </x:c>
      <x:c r="I372" s="56" t="str">
        <x:v>—</x:v>
      </x:c>
      <x:c r="J372" s="57" t="str">
        <x:v>—</x:v>
      </x:c>
      <x:c r="K372" s="57" t="str">
        <x:v>—</x:v>
      </x:c>
      <x:c r="L372" s="57" t="str">
        <x:v>포함</x:v>
      </x:c>
      <x:c r="M372" s="57" t="str">
        <x:v>—</x:v>
      </x:c>
      <x:c r="N372" s="57" t="str">
        <x:v>—</x:v>
      </x:c>
      <x:c r="O372" s="57" t="str">
        <x:v>포함</x:v>
      </x:c>
      <x:c r="P372" s="57" t="str">
        <x:v>포함</x:v>
      </x:c>
      <x:c r="Q372" s="57" t="str">
        <x:v>—</x:v>
      </x:c>
      <x:c r="R372" s="57" t="str">
        <x:v>—</x:v>
      </x:c>
    </x:row>
    <x:row r="373">
      <x:c r="A373" s="60" t="n">
        <x:v>369</x:v>
      </x:c>
      <x:c r="B373" s="56" t="str">
        <x:v>시라칸</x:v>
      </x:c>
      <x:c r="C373" s="56" t="str">
        <x:v>relicanth</x:v>
      </x:c>
      <x:c r="D373" s="56" t="str">
        <x:v>해양</x:v>
      </x:c>
      <x:c r="E373" s="56" t="str">
        <x:v>보통</x:v>
      </x:c>
      <x:c r="F373" s="56" t="str">
        <x:v>아니오</x:v>
      </x:c>
      <x:c r="G373" s="56" t="str">
        <x:v>아니오</x:v>
      </x:c>
      <x:c r="H373" s="56" t="str">
        <x:v>예</x:v>
      </x:c>
      <x:c r="I373" s="56" t="str">
        <x:v>—</x:v>
      </x:c>
      <x:c r="J373" s="57" t="str">
        <x:v>—</x:v>
      </x:c>
      <x:c r="K373" s="57" t="str">
        <x:v>—</x:v>
      </x:c>
      <x:c r="L373" s="57" t="str">
        <x:v>포함</x:v>
      </x:c>
      <x:c r="M373" s="57" t="str">
        <x:v>—</x:v>
      </x:c>
      <x:c r="N373" s="57" t="str">
        <x:v>—</x:v>
      </x:c>
      <x:c r="O373" s="57" t="str">
        <x:v>포함</x:v>
      </x:c>
      <x:c r="P373" s="57" t="str">
        <x:v>포함</x:v>
      </x:c>
      <x:c r="Q373" s="57" t="str">
        <x:v>포함</x:v>
      </x:c>
      <x:c r="R373" s="57" t="str">
        <x:v>—</x:v>
      </x:c>
    </x:row>
    <x:row r="374">
      <x:c r="A374" s="60" t="n">
        <x:v>370</x:v>
      </x:c>
      <x:c r="B374" s="56" t="str">
        <x:v>사랑동이</x:v>
      </x:c>
      <x:c r="C374" s="56" t="str">
        <x:v>luvdisc</x:v>
      </x:c>
      <x:c r="D374" s="56" t="str">
        <x:v>해양</x:v>
      </x:c>
      <x:c r="E374" s="56" t="str">
        <x:v>흔함</x:v>
      </x:c>
      <x:c r="F374" s="56" t="str">
        <x:v>아니오</x:v>
      </x:c>
      <x:c r="G374" s="56" t="str">
        <x:v>아니오</x:v>
      </x:c>
      <x:c r="H374" s="56" t="str">
        <x:v>예</x:v>
      </x:c>
      <x:c r="I374" s="56" t="str">
        <x:v>—</x:v>
      </x:c>
      <x:c r="J374" s="57" t="str">
        <x:v>—</x:v>
      </x:c>
      <x:c r="K374" s="57" t="str">
        <x:v>—</x:v>
      </x:c>
      <x:c r="L374" s="57" t="str">
        <x:v>포함</x:v>
      </x:c>
      <x:c r="M374" s="57" t="str">
        <x:v>—</x:v>
      </x:c>
      <x:c r="N374" s="57" t="str">
        <x:v>—</x:v>
      </x:c>
      <x:c r="O374" s="57" t="str">
        <x:v>포함</x:v>
      </x:c>
      <x:c r="P374" s="57" t="str">
        <x:v>포함</x:v>
      </x:c>
      <x:c r="Q374" s="57" t="str">
        <x:v>—</x:v>
      </x:c>
      <x:c r="R374" s="57" t="str">
        <x:v>포함</x:v>
      </x:c>
    </x:row>
    <x:row r="375">
      <x:c r="A375" s="60" t="n">
        <x:v>371</x:v>
      </x:c>
      <x:c r="B375" s="56" t="str">
        <x:v>아공이</x:v>
      </x:c>
      <x:c r="C375" s="56" t="str">
        <x:v>bagon</x:v>
      </x:c>
      <x:c r="D375" s="56" t="str">
        <x:v>동굴</x:v>
      </x:c>
      <x:c r="E375" s="56" t="str">
        <x:v>희귀</x:v>
      </x:c>
      <x:c r="F375" s="56" t="str">
        <x:v>아니오</x:v>
      </x:c>
      <x:c r="G375" s="56" t="str">
        <x:v>아니오</x:v>
      </x:c>
      <x:c r="H375" s="56" t="str">
        <x:v>예</x:v>
      </x:c>
      <x:c r="I375" s="56" t="str">
        <x:v>—</x:v>
      </x:c>
      <x:c r="J375" s="57" t="str">
        <x:v>—</x:v>
      </x:c>
      <x:c r="K375" s="57" t="str">
        <x:v>—</x:v>
      </x:c>
      <x:c r="L375" s="57" t="str">
        <x:v>포함</x:v>
      </x:c>
      <x:c r="M375" s="57" t="str">
        <x:v>—</x:v>
      </x:c>
      <x:c r="N375" s="57" t="str">
        <x:v>—</x:v>
      </x:c>
      <x:c r="O375" s="57" t="str">
        <x:v>포함</x:v>
      </x:c>
      <x:c r="P375" s="57" t="str">
        <x:v>포함</x:v>
      </x:c>
      <x:c r="Q375" s="57" t="str">
        <x:v>포함</x:v>
      </x:c>
      <x:c r="R375" s="57" t="str">
        <x:v>포함</x:v>
      </x:c>
    </x:row>
    <x:row r="376">
      <x:c r="A376" s="60" t="n">
        <x:v>372</x:v>
      </x:c>
      <x:c r="B376" s="56" t="str">
        <x:v>쉘곤</x:v>
      </x:c>
      <x:c r="C376" s="56" t="str">
        <x:v>shelgon</x:v>
      </x:c>
      <x:c r="D376" s="56" t="str">
        <x:v>동굴</x:v>
      </x:c>
      <x:c r="E376" s="56" t="str">
        <x:v>희귀</x:v>
      </x:c>
      <x:c r="F376" s="56" t="str">
        <x:v>아니오</x:v>
      </x:c>
      <x:c r="G376" s="56" t="str">
        <x:v>아니오</x:v>
      </x:c>
      <x:c r="H376" s="56" t="str">
        <x:v>예</x:v>
      </x:c>
      <x:c r="I376" s="56" t="str">
        <x:v>—</x:v>
      </x:c>
      <x:c r="J376" s="57" t="str">
        <x:v>—</x:v>
      </x:c>
      <x:c r="K376" s="57" t="str">
        <x:v>—</x:v>
      </x:c>
      <x:c r="L376" s="57" t="str">
        <x:v>포함</x:v>
      </x:c>
      <x:c r="M376" s="57" t="str">
        <x:v>—</x:v>
      </x:c>
      <x:c r="N376" s="57" t="str">
        <x:v>—</x:v>
      </x:c>
      <x:c r="O376" s="57" t="str">
        <x:v>포함</x:v>
      </x:c>
      <x:c r="P376" s="57" t="str">
        <x:v>포함</x:v>
      </x:c>
      <x:c r="Q376" s="57" t="str">
        <x:v>포함</x:v>
      </x:c>
      <x:c r="R376" s="57" t="str">
        <x:v>포함</x:v>
      </x:c>
    </x:row>
    <x:row r="377">
      <x:c r="A377" s="60" t="n">
        <x:v>373</x:v>
      </x:c>
      <x:c r="B377" s="56" t="str">
        <x:v>보만다</x:v>
      </x:c>
      <x:c r="C377" s="56" t="str">
        <x:v>salamence</x:v>
      </x:c>
      <x:c r="D377" s="56" t="str">
        <x:v>동굴</x:v>
      </x:c>
      <x:c r="E377" s="56" t="str">
        <x:v>희귀</x:v>
      </x:c>
      <x:c r="F377" s="56" t="str">
        <x:v>아니오</x:v>
      </x:c>
      <x:c r="G377" s="56" t="str">
        <x:v>아니오</x:v>
      </x:c>
      <x:c r="H377" s="56" t="str">
        <x:v>예</x:v>
      </x:c>
      <x:c r="I377" s="56" t="str">
        <x:v>—</x:v>
      </x:c>
      <x:c r="J377" s="57" t="str">
        <x:v>—</x:v>
      </x:c>
      <x:c r="K377" s="57" t="str">
        <x:v>—</x:v>
      </x:c>
      <x:c r="L377" s="57" t="str">
        <x:v>포함</x:v>
      </x:c>
      <x:c r="M377" s="57" t="str">
        <x:v>—</x:v>
      </x:c>
      <x:c r="N377" s="57" t="str">
        <x:v>—</x:v>
      </x:c>
      <x:c r="O377" s="57" t="str">
        <x:v>포함</x:v>
      </x:c>
      <x:c r="P377" s="57" t="str">
        <x:v>포함</x:v>
      </x:c>
      <x:c r="Q377" s="57" t="str">
        <x:v>포함</x:v>
      </x:c>
      <x:c r="R377" s="57" t="str">
        <x:v>포함</x:v>
      </x:c>
    </x:row>
    <x:row r="378">
      <x:c r="A378" s="60" t="n">
        <x:v>374</x:v>
      </x:c>
      <x:c r="B378" s="56" t="str">
        <x:v>메탕</x:v>
      </x:c>
      <x:c r="C378" s="56" t="str">
        <x:v>beldum</x:v>
      </x:c>
      <x:c r="D378" s="56" t="str">
        <x:v>동굴</x:v>
      </x:c>
      <x:c r="E378" s="56" t="str">
        <x:v>보통</x:v>
      </x:c>
      <x:c r="F378" s="56" t="str">
        <x:v>아니오</x:v>
      </x:c>
      <x:c r="G378" s="56" t="str">
        <x:v>아니오</x:v>
      </x:c>
      <x:c r="H378" s="56" t="str">
        <x:v>예</x:v>
      </x:c>
      <x:c r="I378" s="56" t="str">
        <x:v>—</x:v>
      </x:c>
      <x:c r="J378" s="57" t="str">
        <x:v>—</x:v>
      </x:c>
      <x:c r="K378" s="57" t="str">
        <x:v>—</x:v>
      </x:c>
      <x:c r="L378" s="57" t="str">
        <x:v>포함</x:v>
      </x:c>
      <x:c r="M378" s="57" t="str">
        <x:v>—</x:v>
      </x:c>
      <x:c r="N378" s="57" t="str">
        <x:v>포함</x:v>
      </x:c>
      <x:c r="O378" s="57" t="str">
        <x:v>—</x:v>
      </x:c>
      <x:c r="P378" s="57" t="str">
        <x:v>포함</x:v>
      </x:c>
      <x:c r="Q378" s="57" t="str">
        <x:v>포함</x:v>
      </x:c>
      <x:c r="R378" s="57" t="str">
        <x:v>포함</x:v>
      </x:c>
    </x:row>
    <x:row r="379">
      <x:c r="A379" s="60" t="n">
        <x:v>375</x:v>
      </x:c>
      <x:c r="B379" s="56" t="str">
        <x:v>메탕구</x:v>
      </x:c>
      <x:c r="C379" s="56" t="str">
        <x:v>metang</x:v>
      </x:c>
      <x:c r="D379" s="56" t="str">
        <x:v>동굴</x:v>
      </x:c>
      <x:c r="E379" s="56" t="str">
        <x:v>보통</x:v>
      </x:c>
      <x:c r="F379" s="56" t="str">
        <x:v>아니오</x:v>
      </x:c>
      <x:c r="G379" s="56" t="str">
        <x:v>아니오</x:v>
      </x:c>
      <x:c r="H379" s="56" t="str">
        <x:v>예</x:v>
      </x:c>
      <x:c r="I379" s="56" t="str">
        <x:v>—</x:v>
      </x:c>
      <x:c r="J379" s="57" t="str">
        <x:v>—</x:v>
      </x:c>
      <x:c r="K379" s="57" t="str">
        <x:v>—</x:v>
      </x:c>
      <x:c r="L379" s="57" t="str">
        <x:v>포함</x:v>
      </x:c>
      <x:c r="M379" s="57" t="str">
        <x:v>—</x:v>
      </x:c>
      <x:c r="N379" s="57" t="str">
        <x:v>포함</x:v>
      </x:c>
      <x:c r="O379" s="57" t="str">
        <x:v>—</x:v>
      </x:c>
      <x:c r="P379" s="57" t="str">
        <x:v>포함</x:v>
      </x:c>
      <x:c r="Q379" s="57" t="str">
        <x:v>포함</x:v>
      </x:c>
      <x:c r="R379" s="57" t="str">
        <x:v>포함</x:v>
      </x:c>
    </x:row>
    <x:row r="380">
      <x:c r="A380" s="60" t="n">
        <x:v>376</x:v>
      </x:c>
      <x:c r="B380" s="56" t="str">
        <x:v>메타그로스</x:v>
      </x:c>
      <x:c r="C380" s="56" t="str">
        <x:v>metagross</x:v>
      </x:c>
      <x:c r="D380" s="56" t="str">
        <x:v>동굴</x:v>
      </x:c>
      <x:c r="E380" s="56" t="str">
        <x:v>보통</x:v>
      </x:c>
      <x:c r="F380" s="56" t="str">
        <x:v>아니오</x:v>
      </x:c>
      <x:c r="G380" s="56" t="str">
        <x:v>아니오</x:v>
      </x:c>
      <x:c r="H380" s="56" t="str">
        <x:v>예</x:v>
      </x:c>
      <x:c r="I380" s="56" t="str">
        <x:v>—</x:v>
      </x:c>
      <x:c r="J380" s="57" t="str">
        <x:v>—</x:v>
      </x:c>
      <x:c r="K380" s="57" t="str">
        <x:v>—</x:v>
      </x:c>
      <x:c r="L380" s="57" t="str">
        <x:v>포함</x:v>
      </x:c>
      <x:c r="M380" s="57" t="str">
        <x:v>—</x:v>
      </x:c>
      <x:c r="N380" s="57" t="str">
        <x:v>포함</x:v>
      </x:c>
      <x:c r="O380" s="57" t="str">
        <x:v>—</x:v>
      </x:c>
      <x:c r="P380" s="57" t="str">
        <x:v>포함</x:v>
      </x:c>
      <x:c r="Q380" s="57" t="str">
        <x:v>포함</x:v>
      </x:c>
      <x:c r="R380" s="57" t="str">
        <x:v>포함</x:v>
      </x:c>
    </x:row>
    <x:row r="381">
      <x:c r="A381" s="60" t="n">
        <x:v>377</x:v>
      </x:c>
      <x:c r="B381" s="56" t="str">
        <x:v>레지락</x:v>
      </x:c>
      <x:c r="C381" s="56" t="str">
        <x:v>regirock</x:v>
      </x:c>
      <x:c r="D381" s="56" t="str">
        <x:v>특수</x:v>
      </x:c>
      <x:c r="E381" s="56" t="str">
        <x:v>전설</x:v>
      </x:c>
      <x:c r="F381" s="56" t="str">
        <x:v>예</x:v>
      </x:c>
      <x:c r="G381" s="56" t="str">
        <x:v>아니오</x:v>
      </x:c>
      <x:c r="H381" s="56" t="str">
        <x:v>아니오</x:v>
      </x:c>
      <x:c r="I381" s="56" t="str">
        <x:v>전설</x:v>
      </x:c>
      <x:c r="J381" s="57" t="str">
        <x:v>—</x:v>
      </x:c>
      <x:c r="K381" s="57" t="str">
        <x:v>—</x:v>
      </x:c>
      <x:c r="L381" s="57" t="str">
        <x:v>포함</x:v>
      </x:c>
      <x:c r="M381" s="57" t="str">
        <x:v>—</x:v>
      </x:c>
      <x:c r="N381" s="57" t="str">
        <x:v>—</x:v>
      </x:c>
      <x:c r="O381" s="57" t="str">
        <x:v>—</x:v>
      </x:c>
      <x:c r="P381" s="57" t="str">
        <x:v>—</x:v>
      </x:c>
      <x:c r="Q381" s="57" t="str">
        <x:v>포함</x:v>
      </x:c>
      <x:c r="R381" s="57" t="str">
        <x:v>—</x:v>
      </x:c>
    </x:row>
    <x:row r="382">
      <x:c r="A382" s="60" t="n">
        <x:v>378</x:v>
      </x:c>
      <x:c r="B382" s="56" t="str">
        <x:v>레지아이스</x:v>
      </x:c>
      <x:c r="C382" s="56" t="str">
        <x:v>regice</x:v>
      </x:c>
      <x:c r="D382" s="56" t="str">
        <x:v>특수</x:v>
      </x:c>
      <x:c r="E382" s="56" t="str">
        <x:v>전설</x:v>
      </x:c>
      <x:c r="F382" s="56" t="str">
        <x:v>예</x:v>
      </x:c>
      <x:c r="G382" s="56" t="str">
        <x:v>아니오</x:v>
      </x:c>
      <x:c r="H382" s="56" t="str">
        <x:v>아니오</x:v>
      </x:c>
      <x:c r="I382" s="56" t="str">
        <x:v>전설</x:v>
      </x:c>
      <x:c r="J382" s="57" t="str">
        <x:v>—</x:v>
      </x:c>
      <x:c r="K382" s="57" t="str">
        <x:v>—</x:v>
      </x:c>
      <x:c r="L382" s="57" t="str">
        <x:v>포함</x:v>
      </x:c>
      <x:c r="M382" s="57" t="str">
        <x:v>—</x:v>
      </x:c>
      <x:c r="N382" s="57" t="str">
        <x:v>—</x:v>
      </x:c>
      <x:c r="O382" s="57" t="str">
        <x:v>—</x:v>
      </x:c>
      <x:c r="P382" s="57" t="str">
        <x:v>—</x:v>
      </x:c>
      <x:c r="Q382" s="57" t="str">
        <x:v>포함</x:v>
      </x:c>
      <x:c r="R382" s="57" t="str">
        <x:v>—</x:v>
      </x:c>
    </x:row>
    <x:row r="383">
      <x:c r="A383" s="60" t="n">
        <x:v>379</x:v>
      </x:c>
      <x:c r="B383" s="56" t="str">
        <x:v>레지스틸</x:v>
      </x:c>
      <x:c r="C383" s="56" t="str">
        <x:v>registeel</x:v>
      </x:c>
      <x:c r="D383" s="56" t="str">
        <x:v>특수</x:v>
      </x:c>
      <x:c r="E383" s="56" t="str">
        <x:v>전설</x:v>
      </x:c>
      <x:c r="F383" s="56" t="str">
        <x:v>예</x:v>
      </x:c>
      <x:c r="G383" s="56" t="str">
        <x:v>아니오</x:v>
      </x:c>
      <x:c r="H383" s="56" t="str">
        <x:v>아니오</x:v>
      </x:c>
      <x:c r="I383" s="56" t="str">
        <x:v>전설</x:v>
      </x:c>
      <x:c r="J383" s="57" t="str">
        <x:v>—</x:v>
      </x:c>
      <x:c r="K383" s="57" t="str">
        <x:v>—</x:v>
      </x:c>
      <x:c r="L383" s="57" t="str">
        <x:v>포함</x:v>
      </x:c>
      <x:c r="M383" s="57" t="str">
        <x:v>—</x:v>
      </x:c>
      <x:c r="N383" s="57" t="str">
        <x:v>—</x:v>
      </x:c>
      <x:c r="O383" s="57" t="str">
        <x:v>—</x:v>
      </x:c>
      <x:c r="P383" s="57" t="str">
        <x:v>—</x:v>
      </x:c>
      <x:c r="Q383" s="57" t="str">
        <x:v>포함</x:v>
      </x:c>
      <x:c r="R383" s="57" t="str">
        <x:v>—</x:v>
      </x:c>
    </x:row>
    <x:row r="384">
      <x:c r="A384" s="60" t="n">
        <x:v>380</x:v>
      </x:c>
      <x:c r="B384" s="56" t="str">
        <x:v>라티아스</x:v>
      </x:c>
      <x:c r="C384" s="56" t="str">
        <x:v>latias</x:v>
      </x:c>
      <x:c r="D384" s="56" t="str">
        <x:v>특수</x:v>
      </x:c>
      <x:c r="E384" s="56" t="str">
        <x:v>전설</x:v>
      </x:c>
      <x:c r="F384" s="56" t="str">
        <x:v>예</x:v>
      </x:c>
      <x:c r="G384" s="56" t="str">
        <x:v>아니오</x:v>
      </x:c>
      <x:c r="H384" s="56" t="str">
        <x:v>아니오</x:v>
      </x:c>
      <x:c r="I384" s="56" t="str">
        <x:v>전설</x:v>
      </x:c>
      <x:c r="J384" s="57" t="str">
        <x:v>—</x:v>
      </x:c>
      <x:c r="K384" s="57" t="str">
        <x:v>—</x:v>
      </x:c>
      <x:c r="L384" s="57" t="str">
        <x:v>포함</x:v>
      </x:c>
      <x:c r="M384" s="57" t="str">
        <x:v>—</x:v>
      </x:c>
      <x:c r="N384" s="57" t="str">
        <x:v>—</x:v>
      </x:c>
      <x:c r="O384" s="57" t="str">
        <x:v>—</x:v>
      </x:c>
      <x:c r="P384" s="57" t="str">
        <x:v>—</x:v>
      </x:c>
      <x:c r="Q384" s="57" t="str">
        <x:v>—</x:v>
      </x:c>
      <x:c r="R384" s="57" t="str">
        <x:v>—</x:v>
      </x:c>
    </x:row>
    <x:row r="385">
      <x:c r="A385" s="60" t="n">
        <x:v>381</x:v>
      </x:c>
      <x:c r="B385" s="56" t="str">
        <x:v>라티오스</x:v>
      </x:c>
      <x:c r="C385" s="56" t="str">
        <x:v>latios</x:v>
      </x:c>
      <x:c r="D385" s="56" t="str">
        <x:v>특수</x:v>
      </x:c>
      <x:c r="E385" s="56" t="str">
        <x:v>전설</x:v>
      </x:c>
      <x:c r="F385" s="56" t="str">
        <x:v>예</x:v>
      </x:c>
      <x:c r="G385" s="56" t="str">
        <x:v>아니오</x:v>
      </x:c>
      <x:c r="H385" s="56" t="str">
        <x:v>아니오</x:v>
      </x:c>
      <x:c r="I385" s="56" t="str">
        <x:v>전설</x:v>
      </x:c>
      <x:c r="J385" s="57" t="str">
        <x:v>—</x:v>
      </x:c>
      <x:c r="K385" s="57" t="str">
        <x:v>—</x:v>
      </x:c>
      <x:c r="L385" s="57" t="str">
        <x:v>포함</x:v>
      </x:c>
      <x:c r="M385" s="57" t="str">
        <x:v>—</x:v>
      </x:c>
      <x:c r="N385" s="57" t="str">
        <x:v>—</x:v>
      </x:c>
      <x:c r="O385" s="57" t="str">
        <x:v>—</x:v>
      </x:c>
      <x:c r="P385" s="57" t="str">
        <x:v>—</x:v>
      </x:c>
      <x:c r="Q385" s="57" t="str">
        <x:v>—</x:v>
      </x:c>
      <x:c r="R385" s="57" t="str">
        <x:v>—</x:v>
      </x:c>
    </x:row>
    <x:row r="386">
      <x:c r="A386" s="60" t="n">
        <x:v>382</x:v>
      </x:c>
      <x:c r="B386" s="56" t="str">
        <x:v>가이오가</x:v>
      </x:c>
      <x:c r="C386" s="56" t="str">
        <x:v>kyogre</x:v>
      </x:c>
      <x:c r="D386" s="56" t="str">
        <x:v>특수</x:v>
      </x:c>
      <x:c r="E386" s="56" t="str">
        <x:v>전설</x:v>
      </x:c>
      <x:c r="F386" s="56" t="str">
        <x:v>예</x:v>
      </x:c>
      <x:c r="G386" s="56" t="str">
        <x:v>아니오</x:v>
      </x:c>
      <x:c r="H386" s="56" t="str">
        <x:v>아니오</x:v>
      </x:c>
      <x:c r="I386" s="56" t="str">
        <x:v>전설</x:v>
      </x:c>
      <x:c r="J386" s="57" t="str">
        <x:v>—</x:v>
      </x:c>
      <x:c r="K386" s="57" t="str">
        <x:v>—</x:v>
      </x:c>
      <x:c r="L386" s="57" t="str">
        <x:v>포함</x:v>
      </x:c>
      <x:c r="M386" s="57" t="str">
        <x:v>—</x:v>
      </x:c>
      <x:c r="N386" s="57" t="str">
        <x:v>—</x:v>
      </x:c>
      <x:c r="O386" s="57" t="str">
        <x:v>—</x:v>
      </x:c>
      <x:c r="P386" s="57" t="str">
        <x:v>—</x:v>
      </x:c>
      <x:c r="Q386" s="57" t="str">
        <x:v>—</x:v>
      </x:c>
      <x:c r="R386" s="57" t="str">
        <x:v>—</x:v>
      </x:c>
    </x:row>
    <x:row r="387">
      <x:c r="A387" s="60" t="n">
        <x:v>383</x:v>
      </x:c>
      <x:c r="B387" s="56" t="str">
        <x:v>그란돈</x:v>
      </x:c>
      <x:c r="C387" s="56" t="str">
        <x:v>groudon</x:v>
      </x:c>
      <x:c r="D387" s="56" t="str">
        <x:v>특수</x:v>
      </x:c>
      <x:c r="E387" s="56" t="str">
        <x:v>전설</x:v>
      </x:c>
      <x:c r="F387" s="56" t="str">
        <x:v>예</x:v>
      </x:c>
      <x:c r="G387" s="56" t="str">
        <x:v>아니오</x:v>
      </x:c>
      <x:c r="H387" s="56" t="str">
        <x:v>아니오</x:v>
      </x:c>
      <x:c r="I387" s="56" t="str">
        <x:v>전설</x:v>
      </x:c>
      <x:c r="J387" s="57" t="str">
        <x:v>—</x:v>
      </x:c>
      <x:c r="K387" s="57" t="str">
        <x:v>—</x:v>
      </x:c>
      <x:c r="L387" s="57" t="str">
        <x:v>포함</x:v>
      </x:c>
      <x:c r="M387" s="57" t="str">
        <x:v>—</x:v>
      </x:c>
      <x:c r="N387" s="57" t="str">
        <x:v>—</x:v>
      </x:c>
      <x:c r="O387" s="57" t="str">
        <x:v>—</x:v>
      </x:c>
      <x:c r="P387" s="57" t="str">
        <x:v>—</x:v>
      </x:c>
      <x:c r="Q387" s="57" t="str">
        <x:v>—</x:v>
      </x:c>
      <x:c r="R387" s="57" t="str">
        <x:v>—</x:v>
      </x:c>
    </x:row>
    <x:row r="388">
      <x:c r="A388" s="60" t="n">
        <x:v>384</x:v>
      </x:c>
      <x:c r="B388" s="56" t="str">
        <x:v>레쿠쟈</x:v>
      </x:c>
      <x:c r="C388" s="56" t="str">
        <x:v>rayquaza</x:v>
      </x:c>
      <x:c r="D388" s="56" t="str">
        <x:v>특수</x:v>
      </x:c>
      <x:c r="E388" s="56" t="str">
        <x:v>전설</x:v>
      </x:c>
      <x:c r="F388" s="56" t="str">
        <x:v>예</x:v>
      </x:c>
      <x:c r="G388" s="56" t="str">
        <x:v>아니오</x:v>
      </x:c>
      <x:c r="H388" s="56" t="str">
        <x:v>아니오</x:v>
      </x:c>
      <x:c r="I388" s="56" t="str">
        <x:v>전설</x:v>
      </x:c>
      <x:c r="J388" s="57" t="str">
        <x:v>—</x:v>
      </x:c>
      <x:c r="K388" s="57" t="str">
        <x:v>—</x:v>
      </x:c>
      <x:c r="L388" s="57" t="str">
        <x:v>포함</x:v>
      </x:c>
      <x:c r="M388" s="57" t="str">
        <x:v>—</x:v>
      </x:c>
      <x:c r="N388" s="57" t="str">
        <x:v>—</x:v>
      </x:c>
      <x:c r="O388" s="57" t="str">
        <x:v>—</x:v>
      </x:c>
      <x:c r="P388" s="57" t="str">
        <x:v>—</x:v>
      </x:c>
      <x:c r="Q388" s="57" t="str">
        <x:v>—</x:v>
      </x:c>
      <x:c r="R388" s="57" t="str">
        <x:v>—</x:v>
      </x:c>
    </x:row>
    <x:row r="389">
      <x:c r="A389" s="60" t="n">
        <x:v>385</x:v>
      </x:c>
      <x:c r="B389" s="56" t="str">
        <x:v>지라치</x:v>
      </x:c>
      <x:c r="C389" s="56" t="str">
        <x:v>jirachi</x:v>
      </x:c>
      <x:c r="D389" s="56" t="str">
        <x:v>특수</x:v>
      </x:c>
      <x:c r="E389" s="56" t="str">
        <x:v>전설</x:v>
      </x:c>
      <x:c r="F389" s="56" t="str">
        <x:v>아니오</x:v>
      </x:c>
      <x:c r="G389" s="56" t="str">
        <x:v>예</x:v>
      </x:c>
      <x:c r="H389" s="56" t="str">
        <x:v>아니오</x:v>
      </x:c>
      <x:c r="I389" s="56" t="str">
        <x:v>환상</x:v>
      </x:c>
      <x:c r="J389" s="57" t="str">
        <x:v>—</x:v>
      </x:c>
      <x:c r="K389" s="57" t="str">
        <x:v>—</x:v>
      </x:c>
      <x:c r="L389" s="57" t="str">
        <x:v>포함</x:v>
      </x:c>
      <x:c r="M389" s="57" t="str">
        <x:v>—</x:v>
      </x:c>
      <x:c r="N389" s="57" t="str">
        <x:v>—</x:v>
      </x:c>
      <x:c r="O389" s="57" t="str">
        <x:v>—</x:v>
      </x:c>
      <x:c r="P389" s="57" t="str">
        <x:v>—</x:v>
      </x:c>
      <x:c r="Q389" s="57" t="str">
        <x:v>—</x:v>
      </x:c>
      <x:c r="R389" s="57" t="str">
        <x:v>—</x:v>
      </x:c>
    </x:row>
    <x:row r="390">
      <x:c r="A390" s="60" t="n">
        <x:v>386</x:v>
      </x:c>
      <x:c r="B390" s="56" t="str">
        <x:v>테오키스</x:v>
      </x:c>
      <x:c r="C390" s="56" t="str">
        <x:v>deoxys</x:v>
      </x:c>
      <x:c r="D390" s="56" t="str">
        <x:v>특수</x:v>
      </x:c>
      <x:c r="E390" s="56" t="str">
        <x:v>전설</x:v>
      </x:c>
      <x:c r="F390" s="56" t="str">
        <x:v>아니오</x:v>
      </x:c>
      <x:c r="G390" s="56" t="str">
        <x:v>예</x:v>
      </x:c>
      <x:c r="H390" s="56" t="str">
        <x:v>아니오</x:v>
      </x:c>
      <x:c r="I390" s="56" t="str">
        <x:v>환상</x:v>
      </x:c>
      <x:c r="J390" s="57" t="str">
        <x:v>—</x:v>
      </x:c>
      <x:c r="K390" s="57" t="str">
        <x:v>—</x:v>
      </x:c>
      <x:c r="L390" s="57" t="str">
        <x:v>포함</x:v>
      </x:c>
      <x:c r="M390" s="57" t="str">
        <x:v>—</x:v>
      </x:c>
      <x:c r="N390" s="57" t="str">
        <x:v>—</x:v>
      </x:c>
      <x:c r="O390" s="57" t="str">
        <x:v>—</x:v>
      </x:c>
      <x:c r="P390" s="57" t="str">
        <x:v>—</x:v>
      </x:c>
      <x:c r="Q390" s="57" t="str">
        <x:v>—</x:v>
      </x:c>
      <x:c r="R390" s="57" t="str">
        <x:v>—</x:v>
      </x:c>
    </x:row>
    <x:row r="391">
      <x:c r="A391" s="60" t="n">
        <x:v>387</x:v>
      </x:c>
      <x:c r="B391" s="56" t="str">
        <x:v>모부기</x:v>
      </x:c>
      <x:c r="C391" s="56" t="str">
        <x:v>turtwig</x:v>
      </x:c>
      <x:c r="D391" s="56" t="str">
        <x:v>숲</x:v>
      </x:c>
      <x:c r="E391" s="56" t="str">
        <x:v>희귀</x:v>
      </x:c>
      <x:c r="F391" s="56" t="str">
        <x:v>아니오</x:v>
      </x:c>
      <x:c r="G391" s="56" t="str">
        <x:v>아니오</x:v>
      </x:c>
      <x:c r="H391" s="56" t="str">
        <x:v>예</x:v>
      </x:c>
      <x:c r="I391" s="56" t="str">
        <x:v>—</x:v>
      </x:c>
      <x:c r="J391" s="57" t="str">
        <x:v>—</x:v>
      </x:c>
      <x:c r="K391" s="57" t="str">
        <x:v>—</x:v>
      </x:c>
      <x:c r="L391" s="57" t="str">
        <x:v>—</x:v>
      </x:c>
      <x:c r="M391" s="57" t="str">
        <x:v>포함</x:v>
      </x:c>
      <x:c r="N391" s="57" t="str">
        <x:v>—</x:v>
      </x:c>
      <x:c r="O391" s="57" t="str">
        <x:v>—</x:v>
      </x:c>
      <x:c r="P391" s="57" t="str">
        <x:v>—</x:v>
      </x:c>
      <x:c r="Q391" s="57" t="str">
        <x:v>—</x:v>
      </x:c>
      <x:c r="R391" s="57" t="str">
        <x:v>포함</x:v>
      </x:c>
    </x:row>
    <x:row r="392">
      <x:c r="A392" s="60" t="n">
        <x:v>388</x:v>
      </x:c>
      <x:c r="B392" s="56" t="str">
        <x:v>수풀부기</x:v>
      </x:c>
      <x:c r="C392" s="56" t="str">
        <x:v>grotle</x:v>
      </x:c>
      <x:c r="D392" s="56" t="str">
        <x:v>숲</x:v>
      </x:c>
      <x:c r="E392" s="56" t="str">
        <x:v>희귀</x:v>
      </x:c>
      <x:c r="F392" s="56" t="str">
        <x:v>아니오</x:v>
      </x:c>
      <x:c r="G392" s="56" t="str">
        <x:v>아니오</x:v>
      </x:c>
      <x:c r="H392" s="56" t="str">
        <x:v>예</x:v>
      </x:c>
      <x:c r="I392" s="56" t="str">
        <x:v>—</x:v>
      </x:c>
      <x:c r="J392" s="57" t="str">
        <x:v>—</x:v>
      </x:c>
      <x:c r="K392" s="57" t="str">
        <x:v>—</x:v>
      </x:c>
      <x:c r="L392" s="57" t="str">
        <x:v>—</x:v>
      </x:c>
      <x:c r="M392" s="57" t="str">
        <x:v>포함</x:v>
      </x:c>
      <x:c r="N392" s="57" t="str">
        <x:v>—</x:v>
      </x:c>
      <x:c r="O392" s="57" t="str">
        <x:v>—</x:v>
      </x:c>
      <x:c r="P392" s="57" t="str">
        <x:v>—</x:v>
      </x:c>
      <x:c r="Q392" s="57" t="str">
        <x:v>—</x:v>
      </x:c>
      <x:c r="R392" s="57" t="str">
        <x:v>포함</x:v>
      </x:c>
    </x:row>
    <x:row r="393">
      <x:c r="A393" s="60" t="n">
        <x:v>389</x:v>
      </x:c>
      <x:c r="B393" s="56" t="str">
        <x:v>토대부기</x:v>
      </x:c>
      <x:c r="C393" s="56" t="str">
        <x:v>torterra</x:v>
      </x:c>
      <x:c r="D393" s="56" t="str">
        <x:v>숲</x:v>
      </x:c>
      <x:c r="E393" s="56" t="str">
        <x:v>희귀</x:v>
      </x:c>
      <x:c r="F393" s="56" t="str">
        <x:v>아니오</x:v>
      </x:c>
      <x:c r="G393" s="56" t="str">
        <x:v>아니오</x:v>
      </x:c>
      <x:c r="H393" s="56" t="str">
        <x:v>예</x:v>
      </x:c>
      <x:c r="I393" s="56" t="str">
        <x:v>—</x:v>
      </x:c>
      <x:c r="J393" s="57" t="str">
        <x:v>—</x:v>
      </x:c>
      <x:c r="K393" s="57" t="str">
        <x:v>—</x:v>
      </x:c>
      <x:c r="L393" s="57" t="str">
        <x:v>—</x:v>
      </x:c>
      <x:c r="M393" s="57" t="str">
        <x:v>포함</x:v>
      </x:c>
      <x:c r="N393" s="57" t="str">
        <x:v>—</x:v>
      </x:c>
      <x:c r="O393" s="57" t="str">
        <x:v>—</x:v>
      </x:c>
      <x:c r="P393" s="57" t="str">
        <x:v>—</x:v>
      </x:c>
      <x:c r="Q393" s="57" t="str">
        <x:v>—</x:v>
      </x:c>
      <x:c r="R393" s="57" t="str">
        <x:v>포함</x:v>
      </x:c>
    </x:row>
    <x:row r="394">
      <x:c r="A394" s="60" t="n">
        <x:v>390</x:v>
      </x:c>
      <x:c r="B394" s="56" t="str">
        <x:v>불꽃숭이</x:v>
      </x:c>
      <x:c r="C394" s="56" t="str">
        <x:v>chimchar</x:v>
      </x:c>
      <x:c r="D394" s="56" t="str">
        <x:v>화산</x:v>
      </x:c>
      <x:c r="E394" s="56" t="str">
        <x:v>희귀</x:v>
      </x:c>
      <x:c r="F394" s="56" t="str">
        <x:v>아니오</x:v>
      </x:c>
      <x:c r="G394" s="56" t="str">
        <x:v>아니오</x:v>
      </x:c>
      <x:c r="H394" s="56" t="str">
        <x:v>예</x:v>
      </x:c>
      <x:c r="I394" s="56" t="str">
        <x:v>—</x:v>
      </x:c>
      <x:c r="J394" s="57" t="str">
        <x:v>—</x:v>
      </x:c>
      <x:c r="K394" s="57" t="str">
        <x:v>—</x:v>
      </x:c>
      <x:c r="L394" s="57" t="str">
        <x:v>—</x:v>
      </x:c>
      <x:c r="M394" s="57" t="str">
        <x:v>포함</x:v>
      </x:c>
      <x:c r="N394" s="57" t="str">
        <x:v>—</x:v>
      </x:c>
      <x:c r="O394" s="57" t="str">
        <x:v>—</x:v>
      </x:c>
      <x:c r="P394" s="57" t="str">
        <x:v>—</x:v>
      </x:c>
      <x:c r="Q394" s="57" t="str">
        <x:v>—</x:v>
      </x:c>
      <x:c r="R394" s="57" t="str">
        <x:v>포함</x:v>
      </x:c>
    </x:row>
    <x:row r="395">
      <x:c r="A395" s="60" t="n">
        <x:v>391</x:v>
      </x:c>
      <x:c r="B395" s="56" t="str">
        <x:v>파이숭이</x:v>
      </x:c>
      <x:c r="C395" s="56" t="str">
        <x:v>monferno</x:v>
      </x:c>
      <x:c r="D395" s="56" t="str">
        <x:v>화산</x:v>
      </x:c>
      <x:c r="E395" s="56" t="str">
        <x:v>희귀</x:v>
      </x:c>
      <x:c r="F395" s="56" t="str">
        <x:v>아니오</x:v>
      </x:c>
      <x:c r="G395" s="56" t="str">
        <x:v>아니오</x:v>
      </x:c>
      <x:c r="H395" s="56" t="str">
        <x:v>예</x:v>
      </x:c>
      <x:c r="I395" s="56" t="str">
        <x:v>—</x:v>
      </x:c>
      <x:c r="J395" s="57" t="str">
        <x:v>—</x:v>
      </x:c>
      <x:c r="K395" s="57" t="str">
        <x:v>—</x:v>
      </x:c>
      <x:c r="L395" s="57" t="str">
        <x:v>—</x:v>
      </x:c>
      <x:c r="M395" s="57" t="str">
        <x:v>포함</x:v>
      </x:c>
      <x:c r="N395" s="57" t="str">
        <x:v>—</x:v>
      </x:c>
      <x:c r="O395" s="57" t="str">
        <x:v>—</x:v>
      </x:c>
      <x:c r="P395" s="57" t="str">
        <x:v>—</x:v>
      </x:c>
      <x:c r="Q395" s="57" t="str">
        <x:v>—</x:v>
      </x:c>
      <x:c r="R395" s="57" t="str">
        <x:v>포함</x:v>
      </x:c>
    </x:row>
    <x:row r="396">
      <x:c r="A396" s="60" t="n">
        <x:v>392</x:v>
      </x:c>
      <x:c r="B396" s="56" t="str">
        <x:v>초염몽</x:v>
      </x:c>
      <x:c r="C396" s="56" t="str">
        <x:v>infernape</x:v>
      </x:c>
      <x:c r="D396" s="56" t="str">
        <x:v>화산</x:v>
      </x:c>
      <x:c r="E396" s="56" t="str">
        <x:v>희귀</x:v>
      </x:c>
      <x:c r="F396" s="56" t="str">
        <x:v>아니오</x:v>
      </x:c>
      <x:c r="G396" s="56" t="str">
        <x:v>아니오</x:v>
      </x:c>
      <x:c r="H396" s="56" t="str">
        <x:v>예</x:v>
      </x:c>
      <x:c r="I396" s="56" t="str">
        <x:v>—</x:v>
      </x:c>
      <x:c r="J396" s="57" t="str">
        <x:v>—</x:v>
      </x:c>
      <x:c r="K396" s="57" t="str">
        <x:v>—</x:v>
      </x:c>
      <x:c r="L396" s="57" t="str">
        <x:v>—</x:v>
      </x:c>
      <x:c r="M396" s="57" t="str">
        <x:v>포함</x:v>
      </x:c>
      <x:c r="N396" s="57" t="str">
        <x:v>—</x:v>
      </x:c>
      <x:c r="O396" s="57" t="str">
        <x:v>—</x:v>
      </x:c>
      <x:c r="P396" s="57" t="str">
        <x:v>—</x:v>
      </x:c>
      <x:c r="Q396" s="57" t="str">
        <x:v>—</x:v>
      </x:c>
      <x:c r="R396" s="57" t="str">
        <x:v>포함</x:v>
      </x:c>
    </x:row>
    <x:row r="397">
      <x:c r="A397" s="60" t="n">
        <x:v>393</x:v>
      </x:c>
      <x:c r="B397" s="56" t="str">
        <x:v>팽도리</x:v>
      </x:c>
      <x:c r="C397" s="56" t="str">
        <x:v>piplup</x:v>
      </x:c>
      <x:c r="D397" s="56" t="str">
        <x:v>해양</x:v>
      </x:c>
      <x:c r="E397" s="56" t="str">
        <x:v>희귀</x:v>
      </x:c>
      <x:c r="F397" s="56" t="str">
        <x:v>아니오</x:v>
      </x:c>
      <x:c r="G397" s="56" t="str">
        <x:v>아니오</x:v>
      </x:c>
      <x:c r="H397" s="56" t="str">
        <x:v>예</x:v>
      </x:c>
      <x:c r="I397" s="56" t="str">
        <x:v>—</x:v>
      </x:c>
      <x:c r="J397" s="57" t="str">
        <x:v>—</x:v>
      </x:c>
      <x:c r="K397" s="57" t="str">
        <x:v>—</x:v>
      </x:c>
      <x:c r="L397" s="57" t="str">
        <x:v>—</x:v>
      </x:c>
      <x:c r="M397" s="57" t="str">
        <x:v>포함</x:v>
      </x:c>
      <x:c r="N397" s="57" t="str">
        <x:v>—</x:v>
      </x:c>
      <x:c r="O397" s="57" t="str">
        <x:v>—</x:v>
      </x:c>
      <x:c r="P397" s="57" t="str">
        <x:v>—</x:v>
      </x:c>
      <x:c r="Q397" s="57" t="str">
        <x:v>—</x:v>
      </x:c>
      <x:c r="R397" s="57" t="str">
        <x:v>포함</x:v>
      </x:c>
    </x:row>
    <x:row r="398">
      <x:c r="A398" s="60" t="n">
        <x:v>394</x:v>
      </x:c>
      <x:c r="B398" s="56" t="str">
        <x:v>팽태자</x:v>
      </x:c>
      <x:c r="C398" s="56" t="str">
        <x:v>prinplup</x:v>
      </x:c>
      <x:c r="D398" s="56" t="str">
        <x:v>해양</x:v>
      </x:c>
      <x:c r="E398" s="56" t="str">
        <x:v>희귀</x:v>
      </x:c>
      <x:c r="F398" s="56" t="str">
        <x:v>아니오</x:v>
      </x:c>
      <x:c r="G398" s="56" t="str">
        <x:v>아니오</x:v>
      </x:c>
      <x:c r="H398" s="56" t="str">
        <x:v>예</x:v>
      </x:c>
      <x:c r="I398" s="56" t="str">
        <x:v>—</x:v>
      </x:c>
      <x:c r="J398" s="57" t="str">
        <x:v>—</x:v>
      </x:c>
      <x:c r="K398" s="57" t="str">
        <x:v>—</x:v>
      </x:c>
      <x:c r="L398" s="57" t="str">
        <x:v>—</x:v>
      </x:c>
      <x:c r="M398" s="57" t="str">
        <x:v>포함</x:v>
      </x:c>
      <x:c r="N398" s="57" t="str">
        <x:v>—</x:v>
      </x:c>
      <x:c r="O398" s="57" t="str">
        <x:v>—</x:v>
      </x:c>
      <x:c r="P398" s="57" t="str">
        <x:v>—</x:v>
      </x:c>
      <x:c r="Q398" s="57" t="str">
        <x:v>—</x:v>
      </x:c>
      <x:c r="R398" s="57" t="str">
        <x:v>포함</x:v>
      </x:c>
    </x:row>
    <x:row r="399">
      <x:c r="A399" s="60" t="n">
        <x:v>395</x:v>
      </x:c>
      <x:c r="B399" s="56" t="str">
        <x:v>엠페르트</x:v>
      </x:c>
      <x:c r="C399" s="56" t="str">
        <x:v>empoleon</x:v>
      </x:c>
      <x:c r="D399" s="56" t="str">
        <x:v>해양</x:v>
      </x:c>
      <x:c r="E399" s="56" t="str">
        <x:v>희귀</x:v>
      </x:c>
      <x:c r="F399" s="56" t="str">
        <x:v>아니오</x:v>
      </x:c>
      <x:c r="G399" s="56" t="str">
        <x:v>아니오</x:v>
      </x:c>
      <x:c r="H399" s="56" t="str">
        <x:v>예</x:v>
      </x:c>
      <x:c r="I399" s="56" t="str">
        <x:v>—</x:v>
      </x:c>
      <x:c r="J399" s="57" t="str">
        <x:v>—</x:v>
      </x:c>
      <x:c r="K399" s="57" t="str">
        <x:v>—</x:v>
      </x:c>
      <x:c r="L399" s="57" t="str">
        <x:v>—</x:v>
      </x:c>
      <x:c r="M399" s="57" t="str">
        <x:v>포함</x:v>
      </x:c>
      <x:c r="N399" s="57" t="str">
        <x:v>—</x:v>
      </x:c>
      <x:c r="O399" s="57" t="str">
        <x:v>—</x:v>
      </x:c>
      <x:c r="P399" s="57" t="str">
        <x:v>—</x:v>
      </x:c>
      <x:c r="Q399" s="57" t="str">
        <x:v>—</x:v>
      </x:c>
      <x:c r="R399" s="57" t="str">
        <x:v>포함</x:v>
      </x:c>
    </x:row>
    <x:row r="400">
      <x:c r="A400" s="60" t="n">
        <x:v>396</x:v>
      </x:c>
      <x:c r="B400" s="56" t="str">
        <x:v>찌르꼬</x:v>
      </x:c>
      <x:c r="C400" s="56" t="str">
        <x:v>starly</x:v>
      </x:c>
      <x:c r="D400" s="56" t="str">
        <x:v>숲</x:v>
      </x:c>
      <x:c r="E400" s="56" t="str">
        <x:v>흔함</x:v>
      </x:c>
      <x:c r="F400" s="56" t="str">
        <x:v>아니오</x:v>
      </x:c>
      <x:c r="G400" s="56" t="str">
        <x:v>아니오</x:v>
      </x:c>
      <x:c r="H400" s="56" t="str">
        <x:v>예</x:v>
      </x:c>
      <x:c r="I400" s="56" t="str">
        <x:v>—</x:v>
      </x:c>
      <x:c r="J400" s="57" t="str">
        <x:v>—</x:v>
      </x:c>
      <x:c r="K400" s="57" t="str">
        <x:v>—</x:v>
      </x:c>
      <x:c r="L400" s="57" t="str">
        <x:v>—</x:v>
      </x:c>
      <x:c r="M400" s="57" t="str">
        <x:v>포함</x:v>
      </x:c>
      <x:c r="N400" s="57" t="str">
        <x:v>—</x:v>
      </x:c>
      <x:c r="O400" s="57" t="str">
        <x:v>포함</x:v>
      </x:c>
      <x:c r="P400" s="57" t="str">
        <x:v>—</x:v>
      </x:c>
      <x:c r="Q400" s="57" t="str">
        <x:v>—</x:v>
      </x:c>
      <x:c r="R400" s="57" t="str">
        <x:v>포함</x:v>
      </x:c>
    </x:row>
    <x:row r="401">
      <x:c r="A401" s="60" t="n">
        <x:v>397</x:v>
      </x:c>
      <x:c r="B401" s="56" t="str">
        <x:v>찌르버드</x:v>
      </x:c>
      <x:c r="C401" s="56" t="str">
        <x:v>staravia</x:v>
      </x:c>
      <x:c r="D401" s="56" t="str">
        <x:v>숲</x:v>
      </x:c>
      <x:c r="E401" s="56" t="str">
        <x:v>흔함</x:v>
      </x:c>
      <x:c r="F401" s="56" t="str">
        <x:v>아니오</x:v>
      </x:c>
      <x:c r="G401" s="56" t="str">
        <x:v>아니오</x:v>
      </x:c>
      <x:c r="H401" s="56" t="str">
        <x:v>예</x:v>
      </x:c>
      <x:c r="I401" s="56" t="str">
        <x:v>—</x:v>
      </x:c>
      <x:c r="J401" s="57" t="str">
        <x:v>—</x:v>
      </x:c>
      <x:c r="K401" s="57" t="str">
        <x:v>—</x:v>
      </x:c>
      <x:c r="L401" s="57" t="str">
        <x:v>—</x:v>
      </x:c>
      <x:c r="M401" s="57" t="str">
        <x:v>포함</x:v>
      </x:c>
      <x:c r="N401" s="57" t="str">
        <x:v>—</x:v>
      </x:c>
      <x:c r="O401" s="57" t="str">
        <x:v>포함</x:v>
      </x:c>
      <x:c r="P401" s="57" t="str">
        <x:v>—</x:v>
      </x:c>
      <x:c r="Q401" s="57" t="str">
        <x:v>—</x:v>
      </x:c>
      <x:c r="R401" s="57" t="str">
        <x:v>포함</x:v>
      </x:c>
    </x:row>
    <x:row r="402">
      <x:c r="A402" s="60" t="n">
        <x:v>398</x:v>
      </x:c>
      <x:c r="B402" s="56" t="str">
        <x:v>찌르호크</x:v>
      </x:c>
      <x:c r="C402" s="56" t="str">
        <x:v>staraptor</x:v>
      </x:c>
      <x:c r="D402" s="56" t="str">
        <x:v>숲</x:v>
      </x:c>
      <x:c r="E402" s="56" t="str">
        <x:v>흔함</x:v>
      </x:c>
      <x:c r="F402" s="56" t="str">
        <x:v>아니오</x:v>
      </x:c>
      <x:c r="G402" s="56" t="str">
        <x:v>아니오</x:v>
      </x:c>
      <x:c r="H402" s="56" t="str">
        <x:v>예</x:v>
      </x:c>
      <x:c r="I402" s="56" t="str">
        <x:v>—</x:v>
      </x:c>
      <x:c r="J402" s="57" t="str">
        <x:v>—</x:v>
      </x:c>
      <x:c r="K402" s="57" t="str">
        <x:v>—</x:v>
      </x:c>
      <x:c r="L402" s="57" t="str">
        <x:v>—</x:v>
      </x:c>
      <x:c r="M402" s="57" t="str">
        <x:v>포함</x:v>
      </x:c>
      <x:c r="N402" s="57" t="str">
        <x:v>—</x:v>
      </x:c>
      <x:c r="O402" s="57" t="str">
        <x:v>포함</x:v>
      </x:c>
      <x:c r="P402" s="57" t="str">
        <x:v>—</x:v>
      </x:c>
      <x:c r="Q402" s="57" t="str">
        <x:v>—</x:v>
      </x:c>
      <x:c r="R402" s="57" t="str">
        <x:v>포함</x:v>
      </x:c>
    </x:row>
    <x:row r="403">
      <x:c r="A403" s="60" t="n">
        <x:v>399</x:v>
      </x:c>
      <x:c r="B403" s="56" t="str">
        <x:v>비버니</x:v>
      </x:c>
      <x:c r="C403" s="56" t="str">
        <x:v>bidoof</x:v>
      </x:c>
      <x:c r="D403" s="56" t="str">
        <x:v>숲</x:v>
      </x:c>
      <x:c r="E403" s="56" t="str">
        <x:v>보통</x:v>
      </x:c>
      <x:c r="F403" s="56" t="str">
        <x:v>아니오</x:v>
      </x:c>
      <x:c r="G403" s="56" t="str">
        <x:v>아니오</x:v>
      </x:c>
      <x:c r="H403" s="56" t="str">
        <x:v>예</x:v>
      </x:c>
      <x:c r="I403" s="56" t="str">
        <x:v>—</x:v>
      </x:c>
      <x:c r="J403" s="57" t="str">
        <x:v>—</x:v>
      </x:c>
      <x:c r="K403" s="57" t="str">
        <x:v>—</x:v>
      </x:c>
      <x:c r="L403" s="57" t="str">
        <x:v>—</x:v>
      </x:c>
      <x:c r="M403" s="57" t="str">
        <x:v>포함</x:v>
      </x:c>
      <x:c r="N403" s="57" t="str">
        <x:v>—</x:v>
      </x:c>
      <x:c r="O403" s="57" t="str">
        <x:v>포함</x:v>
      </x:c>
      <x:c r="P403" s="57" t="str">
        <x:v>—</x:v>
      </x:c>
      <x:c r="Q403" s="57" t="str">
        <x:v>—</x:v>
      </x:c>
      <x:c r="R403" s="57" t="str">
        <x:v>—</x:v>
      </x:c>
    </x:row>
    <x:row r="404">
      <x:c r="A404" s="60" t="n">
        <x:v>400</x:v>
      </x:c>
      <x:c r="B404" s="56" t="str">
        <x:v>비버통</x:v>
      </x:c>
      <x:c r="C404" s="56" t="str">
        <x:v>bibarel</x:v>
      </x:c>
      <x:c r="D404" s="56" t="str">
        <x:v>담수</x:v>
      </x:c>
      <x:c r="E404" s="56" t="str">
        <x:v>보통</x:v>
      </x:c>
      <x:c r="F404" s="56" t="str">
        <x:v>아니오</x:v>
      </x:c>
      <x:c r="G404" s="56" t="str">
        <x:v>아니오</x:v>
      </x:c>
      <x:c r="H404" s="56" t="str">
        <x:v>예</x:v>
      </x:c>
      <x:c r="I404" s="56" t="str">
        <x:v>—</x:v>
      </x:c>
      <x:c r="J404" s="57" t="str">
        <x:v>—</x:v>
      </x:c>
      <x:c r="K404" s="57" t="str">
        <x:v>—</x:v>
      </x:c>
      <x:c r="L404" s="57" t="str">
        <x:v>—</x:v>
      </x:c>
      <x:c r="M404" s="57" t="str">
        <x:v>포함</x:v>
      </x:c>
      <x:c r="N404" s="57" t="str">
        <x:v>—</x:v>
      </x:c>
      <x:c r="O404" s="57" t="str">
        <x:v>포함</x:v>
      </x:c>
      <x:c r="P404" s="57" t="str">
        <x:v>—</x:v>
      </x:c>
      <x:c r="Q404" s="57" t="str">
        <x:v>—</x:v>
      </x:c>
      <x:c r="R404" s="57" t="str">
        <x:v>—</x:v>
      </x:c>
    </x:row>
    <x:row r="405">
      <x:c r="A405" s="60" t="n">
        <x:v>401</x:v>
      </x:c>
      <x:c r="B405" s="56" t="str">
        <x:v>귀뚤뚜기</x:v>
      </x:c>
      <x:c r="C405" s="56" t="str">
        <x:v>kricketot</x:v>
      </x:c>
      <x:c r="D405" s="56" t="str">
        <x:v>습지</x:v>
      </x:c>
      <x:c r="E405" s="56" t="str">
        <x:v>흔함</x:v>
      </x:c>
      <x:c r="F405" s="56" t="str">
        <x:v>아니오</x:v>
      </x:c>
      <x:c r="G405" s="56" t="str">
        <x:v>아니오</x:v>
      </x:c>
      <x:c r="H405" s="56" t="str">
        <x:v>예</x:v>
      </x:c>
      <x:c r="I405" s="56" t="str">
        <x:v>—</x:v>
      </x:c>
      <x:c r="J405" s="57" t="str">
        <x:v>—</x:v>
      </x:c>
      <x:c r="K405" s="57" t="str">
        <x:v>—</x:v>
      </x:c>
      <x:c r="L405" s="57" t="str">
        <x:v>—</x:v>
      </x:c>
      <x:c r="M405" s="57" t="str">
        <x:v>포함</x:v>
      </x:c>
      <x:c r="N405" s="57" t="str">
        <x:v>—</x:v>
      </x:c>
      <x:c r="O405" s="57" t="str">
        <x:v>—</x:v>
      </x:c>
      <x:c r="P405" s="57" t="str">
        <x:v>—</x:v>
      </x:c>
      <x:c r="Q405" s="57" t="str">
        <x:v>—</x:v>
      </x:c>
      <x:c r="R405" s="57" t="str">
        <x:v>포함</x:v>
      </x:c>
    </x:row>
    <x:row r="406">
      <x:c r="A406" s="60" t="n">
        <x:v>402</x:v>
      </x:c>
      <x:c r="B406" s="56" t="str">
        <x:v>귀뚤톡크</x:v>
      </x:c>
      <x:c r="C406" s="56" t="str">
        <x:v>kricketune</x:v>
      </x:c>
      <x:c r="D406" s="56" t="str">
        <x:v>습지</x:v>
      </x:c>
      <x:c r="E406" s="56" t="str">
        <x:v>흔함</x:v>
      </x:c>
      <x:c r="F406" s="56" t="str">
        <x:v>아니오</x:v>
      </x:c>
      <x:c r="G406" s="56" t="str">
        <x:v>아니오</x:v>
      </x:c>
      <x:c r="H406" s="56" t="str">
        <x:v>예</x:v>
      </x:c>
      <x:c r="I406" s="56" t="str">
        <x:v>—</x:v>
      </x:c>
      <x:c r="J406" s="57" t="str">
        <x:v>—</x:v>
      </x:c>
      <x:c r="K406" s="57" t="str">
        <x:v>—</x:v>
      </x:c>
      <x:c r="L406" s="57" t="str">
        <x:v>—</x:v>
      </x:c>
      <x:c r="M406" s="57" t="str">
        <x:v>포함</x:v>
      </x:c>
      <x:c r="N406" s="57" t="str">
        <x:v>—</x:v>
      </x:c>
      <x:c r="O406" s="57" t="str">
        <x:v>—</x:v>
      </x:c>
      <x:c r="P406" s="57" t="str">
        <x:v>—</x:v>
      </x:c>
      <x:c r="Q406" s="57" t="str">
        <x:v>—</x:v>
      </x:c>
      <x:c r="R406" s="57" t="str">
        <x:v>포함</x:v>
      </x:c>
    </x:row>
    <x:row r="407">
      <x:c r="A407" s="60" t="n">
        <x:v>403</x:v>
      </x:c>
      <x:c r="B407" s="56" t="str">
        <x:v>꼬링크</x:v>
      </x:c>
      <x:c r="C407" s="56" t="str">
        <x:v>shinx</x:v>
      </x:c>
      <x:c r="D407" s="56" t="str">
        <x:v>건조지</x:v>
      </x:c>
      <x:c r="E407" s="56" t="str">
        <x:v>보통</x:v>
      </x:c>
      <x:c r="F407" s="56" t="str">
        <x:v>아니오</x:v>
      </x:c>
      <x:c r="G407" s="56" t="str">
        <x:v>아니오</x:v>
      </x:c>
      <x:c r="H407" s="56" t="str">
        <x:v>예</x:v>
      </x:c>
      <x:c r="I407" s="56" t="str">
        <x:v>—</x:v>
      </x:c>
      <x:c r="J407" s="57" t="str">
        <x:v>—</x:v>
      </x:c>
      <x:c r="K407" s="57" t="str">
        <x:v>—</x:v>
      </x:c>
      <x:c r="L407" s="57" t="str">
        <x:v>—</x:v>
      </x:c>
      <x:c r="M407" s="57" t="str">
        <x:v>포함</x:v>
      </x:c>
      <x:c r="N407" s="57" t="str">
        <x:v>—</x:v>
      </x:c>
      <x:c r="O407" s="57" t="str">
        <x:v>—</x:v>
      </x:c>
      <x:c r="P407" s="57" t="str">
        <x:v>—</x:v>
      </x:c>
      <x:c r="Q407" s="57" t="str">
        <x:v>포함</x:v>
      </x:c>
      <x:c r="R407" s="57" t="str">
        <x:v>포함</x:v>
      </x:c>
    </x:row>
    <x:row r="408">
      <x:c r="A408" s="60" t="n">
        <x:v>404</x:v>
      </x:c>
      <x:c r="B408" s="56" t="str">
        <x:v>럭시오</x:v>
      </x:c>
      <x:c r="C408" s="56" t="str">
        <x:v>luxio</x:v>
      </x:c>
      <x:c r="D408" s="56" t="str">
        <x:v>건조지</x:v>
      </x:c>
      <x:c r="E408" s="56" t="str">
        <x:v>보통</x:v>
      </x:c>
      <x:c r="F408" s="56" t="str">
        <x:v>아니오</x:v>
      </x:c>
      <x:c r="G408" s="56" t="str">
        <x:v>아니오</x:v>
      </x:c>
      <x:c r="H408" s="56" t="str">
        <x:v>예</x:v>
      </x:c>
      <x:c r="I408" s="56" t="str">
        <x:v>—</x:v>
      </x:c>
      <x:c r="J408" s="57" t="str">
        <x:v>—</x:v>
      </x:c>
      <x:c r="K408" s="57" t="str">
        <x:v>—</x:v>
      </x:c>
      <x:c r="L408" s="57" t="str">
        <x:v>—</x:v>
      </x:c>
      <x:c r="M408" s="57" t="str">
        <x:v>포함</x:v>
      </x:c>
      <x:c r="N408" s="57" t="str">
        <x:v>—</x:v>
      </x:c>
      <x:c r="O408" s="57" t="str">
        <x:v>—</x:v>
      </x:c>
      <x:c r="P408" s="57" t="str">
        <x:v>—</x:v>
      </x:c>
      <x:c r="Q408" s="57" t="str">
        <x:v>포함</x:v>
      </x:c>
      <x:c r="R408" s="57" t="str">
        <x:v>포함</x:v>
      </x:c>
    </x:row>
    <x:row r="409">
      <x:c r="A409" s="60" t="n">
        <x:v>405</x:v>
      </x:c>
      <x:c r="B409" s="56" t="str">
        <x:v>렌트라</x:v>
      </x:c>
      <x:c r="C409" s="56" t="str">
        <x:v>luxray</x:v>
      </x:c>
      <x:c r="D409" s="56" t="str">
        <x:v>건조지</x:v>
      </x:c>
      <x:c r="E409" s="56" t="str">
        <x:v>보통</x:v>
      </x:c>
      <x:c r="F409" s="56" t="str">
        <x:v>아니오</x:v>
      </x:c>
      <x:c r="G409" s="56" t="str">
        <x:v>아니오</x:v>
      </x:c>
      <x:c r="H409" s="56" t="str">
        <x:v>예</x:v>
      </x:c>
      <x:c r="I409" s="56" t="str">
        <x:v>—</x:v>
      </x:c>
      <x:c r="J409" s="57" t="str">
        <x:v>—</x:v>
      </x:c>
      <x:c r="K409" s="57" t="str">
        <x:v>—</x:v>
      </x:c>
      <x:c r="L409" s="57" t="str">
        <x:v>—</x:v>
      </x:c>
      <x:c r="M409" s="57" t="str">
        <x:v>포함</x:v>
      </x:c>
      <x:c r="N409" s="57" t="str">
        <x:v>—</x:v>
      </x:c>
      <x:c r="O409" s="57" t="str">
        <x:v>—</x:v>
      </x:c>
      <x:c r="P409" s="57" t="str">
        <x:v>—</x:v>
      </x:c>
      <x:c r="Q409" s="57" t="str">
        <x:v>포함</x:v>
      </x:c>
      <x:c r="R409" s="57" t="str">
        <x:v>포함</x:v>
      </x:c>
    </x:row>
    <x:row r="410">
      <x:c r="A410" s="60" t="n">
        <x:v>406</x:v>
      </x:c>
      <x:c r="B410" s="56" t="str">
        <x:v>꼬몽울</x:v>
      </x:c>
      <x:c r="C410" s="56" t="str">
        <x:v>budew</x:v>
      </x:c>
      <x:c r="D410" s="56" t="str">
        <x:v>평원</x:v>
      </x:c>
      <x:c r="E410" s="56" t="str">
        <x:v>흔함</x:v>
      </x:c>
      <x:c r="F410" s="56" t="str">
        <x:v>아니오</x:v>
      </x:c>
      <x:c r="G410" s="56" t="str">
        <x:v>아니오</x:v>
      </x:c>
      <x:c r="H410" s="56" t="str">
        <x:v>예</x:v>
      </x:c>
      <x:c r="I410" s="56" t="str">
        <x:v>—</x:v>
      </x:c>
      <x:c r="J410" s="57" t="str">
        <x:v>—</x:v>
      </x:c>
      <x:c r="K410" s="57" t="str">
        <x:v>—</x:v>
      </x:c>
      <x:c r="L410" s="57" t="str">
        <x:v>—</x:v>
      </x:c>
      <x:c r="M410" s="57" t="str">
        <x:v>포함</x:v>
      </x:c>
      <x:c r="N410" s="57" t="str">
        <x:v>포함</x:v>
      </x:c>
      <x:c r="O410" s="57" t="str">
        <x:v>포함</x:v>
      </x:c>
      <x:c r="P410" s="57" t="str">
        <x:v>—</x:v>
      </x:c>
      <x:c r="Q410" s="57" t="str">
        <x:v>포함</x:v>
      </x:c>
      <x:c r="R410" s="57" t="str">
        <x:v>—</x:v>
      </x:c>
    </x:row>
    <x:row r="411">
      <x:c r="A411" s="60" t="n">
        <x:v>407</x:v>
      </x:c>
      <x:c r="B411" s="56" t="str">
        <x:v>로즈레이드</x:v>
      </x:c>
      <x:c r="C411" s="56" t="str">
        <x:v>roserade</x:v>
      </x:c>
      <x:c r="D411" s="56" t="str">
        <x:v>평원</x:v>
      </x:c>
      <x:c r="E411" s="56" t="str">
        <x:v>흔함</x:v>
      </x:c>
      <x:c r="F411" s="56" t="str">
        <x:v>아니오</x:v>
      </x:c>
      <x:c r="G411" s="56" t="str">
        <x:v>아니오</x:v>
      </x:c>
      <x:c r="H411" s="56" t="str">
        <x:v>예</x:v>
      </x:c>
      <x:c r="I411" s="56" t="str">
        <x:v>—</x:v>
      </x:c>
      <x:c r="J411" s="57" t="str">
        <x:v>—</x:v>
      </x:c>
      <x:c r="K411" s="57" t="str">
        <x:v>—</x:v>
      </x:c>
      <x:c r="L411" s="57" t="str">
        <x:v>—</x:v>
      </x:c>
      <x:c r="M411" s="57" t="str">
        <x:v>포함</x:v>
      </x:c>
      <x:c r="N411" s="57" t="str">
        <x:v>포함</x:v>
      </x:c>
      <x:c r="O411" s="57" t="str">
        <x:v>포함</x:v>
      </x:c>
      <x:c r="P411" s="57" t="str">
        <x:v>—</x:v>
      </x:c>
      <x:c r="Q411" s="57" t="str">
        <x:v>포함</x:v>
      </x:c>
      <x:c r="R411" s="57" t="str">
        <x:v>—</x:v>
      </x:c>
    </x:row>
    <x:row r="412">
      <x:c r="A412" s="60" t="n">
        <x:v>408</x:v>
      </x:c>
      <x:c r="B412" s="56" t="str">
        <x:v>두개도스</x:v>
      </x:c>
      <x:c r="C412" s="56" t="str">
        <x:v>cranidos</x:v>
      </x:c>
      <x:c r="D412" s="56" t="str">
        <x:v>산악</x:v>
      </x:c>
      <x:c r="E412" s="56" t="str">
        <x:v>희귀</x:v>
      </x:c>
      <x:c r="F412" s="56" t="str">
        <x:v>아니오</x:v>
      </x:c>
      <x:c r="G412" s="56" t="str">
        <x:v>아니오</x:v>
      </x:c>
      <x:c r="H412" s="56" t="str">
        <x:v>예</x:v>
      </x:c>
      <x:c r="I412" s="56" t="str">
        <x:v>—</x:v>
      </x:c>
      <x:c r="J412" s="57" t="str">
        <x:v>—</x:v>
      </x:c>
      <x:c r="K412" s="57" t="str">
        <x:v>—</x:v>
      </x:c>
      <x:c r="L412" s="57" t="str">
        <x:v>—</x:v>
      </x:c>
      <x:c r="M412" s="57" t="str">
        <x:v>포함</x:v>
      </x:c>
      <x:c r="N412" s="57" t="str">
        <x:v>—</x:v>
      </x:c>
      <x:c r="O412" s="57" t="str">
        <x:v>—</x:v>
      </x:c>
      <x:c r="P412" s="57" t="str">
        <x:v>포함</x:v>
      </x:c>
      <x:c r="Q412" s="57" t="str">
        <x:v>—</x:v>
      </x:c>
      <x:c r="R412" s="57" t="str">
        <x:v>포함</x:v>
      </x:c>
    </x:row>
    <x:row r="413">
      <x:c r="A413" s="60" t="n">
        <x:v>409</x:v>
      </x:c>
      <x:c r="B413" s="56" t="str">
        <x:v>램펄드</x:v>
      </x:c>
      <x:c r="C413" s="56" t="str">
        <x:v>rampardos</x:v>
      </x:c>
      <x:c r="D413" s="56" t="str">
        <x:v>산악</x:v>
      </x:c>
      <x:c r="E413" s="56" t="str">
        <x:v>희귀</x:v>
      </x:c>
      <x:c r="F413" s="56" t="str">
        <x:v>아니오</x:v>
      </x:c>
      <x:c r="G413" s="56" t="str">
        <x:v>아니오</x:v>
      </x:c>
      <x:c r="H413" s="56" t="str">
        <x:v>예</x:v>
      </x:c>
      <x:c r="I413" s="56" t="str">
        <x:v>—</x:v>
      </x:c>
      <x:c r="J413" s="57" t="str">
        <x:v>—</x:v>
      </x:c>
      <x:c r="K413" s="57" t="str">
        <x:v>—</x:v>
      </x:c>
      <x:c r="L413" s="57" t="str">
        <x:v>—</x:v>
      </x:c>
      <x:c r="M413" s="57" t="str">
        <x:v>포함</x:v>
      </x:c>
      <x:c r="N413" s="57" t="str">
        <x:v>—</x:v>
      </x:c>
      <x:c r="O413" s="57" t="str">
        <x:v>—</x:v>
      </x:c>
      <x:c r="P413" s="57" t="str">
        <x:v>포함</x:v>
      </x:c>
      <x:c r="Q413" s="57" t="str">
        <x:v>—</x:v>
      </x:c>
      <x:c r="R413" s="57" t="str">
        <x:v>포함</x:v>
      </x:c>
    </x:row>
    <x:row r="414">
      <x:c r="A414" s="60" t="n">
        <x:v>410</x:v>
      </x:c>
      <x:c r="B414" s="56" t="str">
        <x:v>방패톱스</x:v>
      </x:c>
      <x:c r="C414" s="56" t="str">
        <x:v>shieldon</x:v>
      </x:c>
      <x:c r="D414" s="56" t="str">
        <x:v>산악</x:v>
      </x:c>
      <x:c r="E414" s="56" t="str">
        <x:v>희귀</x:v>
      </x:c>
      <x:c r="F414" s="56" t="str">
        <x:v>아니오</x:v>
      </x:c>
      <x:c r="G414" s="56" t="str">
        <x:v>아니오</x:v>
      </x:c>
      <x:c r="H414" s="56" t="str">
        <x:v>예</x:v>
      </x:c>
      <x:c r="I414" s="56" t="str">
        <x:v>—</x:v>
      </x:c>
      <x:c r="J414" s="57" t="str">
        <x:v>—</x:v>
      </x:c>
      <x:c r="K414" s="57" t="str">
        <x:v>—</x:v>
      </x:c>
      <x:c r="L414" s="57" t="str">
        <x:v>—</x:v>
      </x:c>
      <x:c r="M414" s="57" t="str">
        <x:v>포함</x:v>
      </x:c>
      <x:c r="N414" s="57" t="str">
        <x:v>—</x:v>
      </x:c>
      <x:c r="O414" s="57" t="str">
        <x:v>—</x:v>
      </x:c>
      <x:c r="P414" s="57" t="str">
        <x:v>포함</x:v>
      </x:c>
      <x:c r="Q414" s="57" t="str">
        <x:v>—</x:v>
      </x:c>
      <x:c r="R414" s="57" t="str">
        <x:v>포함</x:v>
      </x:c>
    </x:row>
    <x:row r="415">
      <x:c r="A415" s="60" t="n">
        <x:v>411</x:v>
      </x:c>
      <x:c r="B415" s="56" t="str">
        <x:v>바리톱스</x:v>
      </x:c>
      <x:c r="C415" s="56" t="str">
        <x:v>bastiodon</x:v>
      </x:c>
      <x:c r="D415" s="56" t="str">
        <x:v>산악</x:v>
      </x:c>
      <x:c r="E415" s="56" t="str">
        <x:v>희귀</x:v>
      </x:c>
      <x:c r="F415" s="56" t="str">
        <x:v>아니오</x:v>
      </x:c>
      <x:c r="G415" s="56" t="str">
        <x:v>아니오</x:v>
      </x:c>
      <x:c r="H415" s="56" t="str">
        <x:v>예</x:v>
      </x:c>
      <x:c r="I415" s="56" t="str">
        <x:v>—</x:v>
      </x:c>
      <x:c r="J415" s="57" t="str">
        <x:v>—</x:v>
      </x:c>
      <x:c r="K415" s="57" t="str">
        <x:v>—</x:v>
      </x:c>
      <x:c r="L415" s="57" t="str">
        <x:v>—</x:v>
      </x:c>
      <x:c r="M415" s="57" t="str">
        <x:v>포함</x:v>
      </x:c>
      <x:c r="N415" s="57" t="str">
        <x:v>—</x:v>
      </x:c>
      <x:c r="O415" s="57" t="str">
        <x:v>—</x:v>
      </x:c>
      <x:c r="P415" s="57" t="str">
        <x:v>포함</x:v>
      </x:c>
      <x:c r="Q415" s="57" t="str">
        <x:v>—</x:v>
      </x:c>
      <x:c r="R415" s="57" t="str">
        <x:v>포함</x:v>
      </x:c>
    </x:row>
    <x:row r="416">
      <x:c r="A416" s="60" t="n">
        <x:v>412</x:v>
      </x:c>
      <x:c r="B416" s="56" t="str">
        <x:v>도롱충이</x:v>
      </x:c>
      <x:c r="C416" s="56" t="str">
        <x:v>burmy</x:v>
      </x:c>
      <x:c r="D416" s="56" t="str">
        <x:v>건조지</x:v>
      </x:c>
      <x:c r="E416" s="56" t="str">
        <x:v>보통</x:v>
      </x:c>
      <x:c r="F416" s="56" t="str">
        <x:v>아니오</x:v>
      </x:c>
      <x:c r="G416" s="56" t="str">
        <x:v>아니오</x:v>
      </x:c>
      <x:c r="H416" s="56" t="str">
        <x:v>예</x:v>
      </x:c>
      <x:c r="I416" s="56" t="str">
        <x:v>—</x:v>
      </x:c>
      <x:c r="J416" s="57" t="str">
        <x:v>—</x:v>
      </x:c>
      <x:c r="K416" s="57" t="str">
        <x:v>—</x:v>
      </x:c>
      <x:c r="L416" s="57" t="str">
        <x:v>—</x:v>
      </x:c>
      <x:c r="M416" s="57" t="str">
        <x:v>포함</x:v>
      </x:c>
      <x:c r="N416" s="57" t="str">
        <x:v>—</x:v>
      </x:c>
      <x:c r="O416" s="57" t="str">
        <x:v>포함</x:v>
      </x:c>
      <x:c r="P416" s="57" t="str">
        <x:v>—</x:v>
      </x:c>
      <x:c r="Q416" s="57" t="str">
        <x:v>—</x:v>
      </x:c>
      <x:c r="R416" s="57" t="str">
        <x:v>—</x:v>
      </x:c>
    </x:row>
    <x:row r="417">
      <x:c r="A417" s="60" t="n">
        <x:v>413</x:v>
      </x:c>
      <x:c r="B417" s="56" t="str">
        <x:v>도롱마담</x:v>
      </x:c>
      <x:c r="C417" s="56" t="str">
        <x:v>wormadam</x:v>
      </x:c>
      <x:c r="D417" s="56" t="str">
        <x:v>건조지</x:v>
      </x:c>
      <x:c r="E417" s="56" t="str">
        <x:v>보통</x:v>
      </x:c>
      <x:c r="F417" s="56" t="str">
        <x:v>아니오</x:v>
      </x:c>
      <x:c r="G417" s="56" t="str">
        <x:v>아니오</x:v>
      </x:c>
      <x:c r="H417" s="56" t="str">
        <x:v>예</x:v>
      </x:c>
      <x:c r="I417" s="56" t="str">
        <x:v>—</x:v>
      </x:c>
      <x:c r="J417" s="57" t="str">
        <x:v>—</x:v>
      </x:c>
      <x:c r="K417" s="57" t="str">
        <x:v>—</x:v>
      </x:c>
      <x:c r="L417" s="57" t="str">
        <x:v>—</x:v>
      </x:c>
      <x:c r="M417" s="57" t="str">
        <x:v>포함</x:v>
      </x:c>
      <x:c r="N417" s="57" t="str">
        <x:v>—</x:v>
      </x:c>
      <x:c r="O417" s="57" t="str">
        <x:v>포함</x:v>
      </x:c>
      <x:c r="P417" s="57" t="str">
        <x:v>—</x:v>
      </x:c>
      <x:c r="Q417" s="57" t="str">
        <x:v>—</x:v>
      </x:c>
      <x:c r="R417" s="57" t="str">
        <x:v>—</x:v>
      </x:c>
    </x:row>
    <x:row r="418">
      <x:c r="A418" s="60" t="n">
        <x:v>414</x:v>
      </x:c>
      <x:c r="B418" s="56" t="str">
        <x:v>나메일</x:v>
      </x:c>
      <x:c r="C418" s="56" t="str">
        <x:v>mothim</x:v>
      </x:c>
      <x:c r="D418" s="56" t="str">
        <x:v>숲</x:v>
      </x:c>
      <x:c r="E418" s="56" t="str">
        <x:v>드묾</x:v>
      </x:c>
      <x:c r="F418" s="56" t="str">
        <x:v>아니오</x:v>
      </x:c>
      <x:c r="G418" s="56" t="str">
        <x:v>아니오</x:v>
      </x:c>
      <x:c r="H418" s="56" t="str">
        <x:v>예</x:v>
      </x:c>
      <x:c r="I418" s="56" t="str">
        <x:v>—</x:v>
      </x:c>
      <x:c r="J418" s="57" t="str">
        <x:v>—</x:v>
      </x:c>
      <x:c r="K418" s="57" t="str">
        <x:v>—</x:v>
      </x:c>
      <x:c r="L418" s="57" t="str">
        <x:v>—</x:v>
      </x:c>
      <x:c r="M418" s="57" t="str">
        <x:v>포함</x:v>
      </x:c>
      <x:c r="N418" s="57" t="str">
        <x:v>—</x:v>
      </x:c>
      <x:c r="O418" s="57" t="str">
        <x:v>포함</x:v>
      </x:c>
      <x:c r="P418" s="57" t="str">
        <x:v>—</x:v>
      </x:c>
      <x:c r="Q418" s="57" t="str">
        <x:v>—</x:v>
      </x:c>
      <x:c r="R418" s="57" t="str">
        <x:v>—</x:v>
      </x:c>
    </x:row>
    <x:row r="419">
      <x:c r="A419" s="60" t="n">
        <x:v>415</x:v>
      </x:c>
      <x:c r="B419" s="56" t="str">
        <x:v>세꿀버리</x:v>
      </x:c>
      <x:c r="C419" s="56" t="str">
        <x:v>combee</x:v>
      </x:c>
      <x:c r="D419" s="56" t="str">
        <x:v>숲</x:v>
      </x:c>
      <x:c r="E419" s="56" t="str">
        <x:v>흔함</x:v>
      </x:c>
      <x:c r="F419" s="56" t="str">
        <x:v>아니오</x:v>
      </x:c>
      <x:c r="G419" s="56" t="str">
        <x:v>아니오</x:v>
      </x:c>
      <x:c r="H419" s="56" t="str">
        <x:v>예</x:v>
      </x:c>
      <x:c r="I419" s="56" t="str">
        <x:v>—</x:v>
      </x:c>
      <x:c r="J419" s="57" t="str">
        <x:v>—</x:v>
      </x:c>
      <x:c r="K419" s="57" t="str">
        <x:v>—</x:v>
      </x:c>
      <x:c r="L419" s="57" t="str">
        <x:v>—</x:v>
      </x:c>
      <x:c r="M419" s="57" t="str">
        <x:v>포함</x:v>
      </x:c>
      <x:c r="N419" s="57" t="str">
        <x:v>포함</x:v>
      </x:c>
      <x:c r="O419" s="57" t="str">
        <x:v>포함</x:v>
      </x:c>
      <x:c r="P419" s="57" t="str">
        <x:v>—</x:v>
      </x:c>
      <x:c r="Q419" s="57" t="str">
        <x:v>포함</x:v>
      </x:c>
      <x:c r="R419" s="57" t="str">
        <x:v>포함</x:v>
      </x:c>
    </x:row>
    <x:row r="420">
      <x:c r="A420" s="60" t="n">
        <x:v>416</x:v>
      </x:c>
      <x:c r="B420" s="56" t="str">
        <x:v>비퀸</x:v>
      </x:c>
      <x:c r="C420" s="56" t="str">
        <x:v>vespiquen</x:v>
      </x:c>
      <x:c r="D420" s="56" t="str">
        <x:v>숲</x:v>
      </x:c>
      <x:c r="E420" s="56" t="str">
        <x:v>흔함</x:v>
      </x:c>
      <x:c r="F420" s="56" t="str">
        <x:v>아니오</x:v>
      </x:c>
      <x:c r="G420" s="56" t="str">
        <x:v>아니오</x:v>
      </x:c>
      <x:c r="H420" s="56" t="str">
        <x:v>예</x:v>
      </x:c>
      <x:c r="I420" s="56" t="str">
        <x:v>—</x:v>
      </x:c>
      <x:c r="J420" s="57" t="str">
        <x:v>—</x:v>
      </x:c>
      <x:c r="K420" s="57" t="str">
        <x:v>—</x:v>
      </x:c>
      <x:c r="L420" s="57" t="str">
        <x:v>—</x:v>
      </x:c>
      <x:c r="M420" s="57" t="str">
        <x:v>포함</x:v>
      </x:c>
      <x:c r="N420" s="57" t="str">
        <x:v>포함</x:v>
      </x:c>
      <x:c r="O420" s="57" t="str">
        <x:v>포함</x:v>
      </x:c>
      <x:c r="P420" s="57" t="str">
        <x:v>—</x:v>
      </x:c>
      <x:c r="Q420" s="57" t="str">
        <x:v>포함</x:v>
      </x:c>
      <x:c r="R420" s="57" t="str">
        <x:v>포함</x:v>
      </x:c>
    </x:row>
    <x:row r="421">
      <x:c r="A421" s="60" t="n">
        <x:v>417</x:v>
      </x:c>
      <x:c r="B421" s="56" t="str">
        <x:v>파치리스</x:v>
      </x:c>
      <x:c r="C421" s="56" t="str">
        <x:v>pachirisu</x:v>
      </x:c>
      <x:c r="D421" s="56" t="str">
        <x:v>숲</x:v>
      </x:c>
      <x:c r="E421" s="56" t="str">
        <x:v>보통</x:v>
      </x:c>
      <x:c r="F421" s="56" t="str">
        <x:v>아니오</x:v>
      </x:c>
      <x:c r="G421" s="56" t="str">
        <x:v>아니오</x:v>
      </x:c>
      <x:c r="H421" s="56" t="str">
        <x:v>예</x:v>
      </x:c>
      <x:c r="I421" s="56" t="str">
        <x:v>—</x:v>
      </x:c>
      <x:c r="J421" s="57" t="str">
        <x:v>—</x:v>
      </x:c>
      <x:c r="K421" s="57" t="str">
        <x:v>—</x:v>
      </x:c>
      <x:c r="L421" s="57" t="str">
        <x:v>—</x:v>
      </x:c>
      <x:c r="M421" s="57" t="str">
        <x:v>포함</x:v>
      </x:c>
      <x:c r="N421" s="57" t="str">
        <x:v>—</x:v>
      </x:c>
      <x:c r="O421" s="57" t="str">
        <x:v>포함</x:v>
      </x:c>
      <x:c r="P421" s="57" t="str">
        <x:v>—</x:v>
      </x:c>
      <x:c r="Q421" s="57" t="str">
        <x:v>—</x:v>
      </x:c>
      <x:c r="R421" s="57" t="str">
        <x:v>포함</x:v>
      </x:c>
    </x:row>
    <x:row r="422">
      <x:c r="A422" s="60" t="n">
        <x:v>418</x:v>
      </x:c>
      <x:c r="B422" s="56" t="str">
        <x:v>브이젤</x:v>
      </x:c>
      <x:c r="C422" s="56" t="str">
        <x:v>buizel</x:v>
      </x:c>
      <x:c r="D422" s="56" t="str">
        <x:v>담수</x:v>
      </x:c>
      <x:c r="E422" s="56" t="str">
        <x:v>보통</x:v>
      </x:c>
      <x:c r="F422" s="56" t="str">
        <x:v>아니오</x:v>
      </x:c>
      <x:c r="G422" s="56" t="str">
        <x:v>아니오</x:v>
      </x:c>
      <x:c r="H422" s="56" t="str">
        <x:v>예</x:v>
      </x:c>
      <x:c r="I422" s="56" t="str">
        <x:v>—</x:v>
      </x:c>
      <x:c r="J422" s="57" t="str">
        <x:v>—</x:v>
      </x:c>
      <x:c r="K422" s="57" t="str">
        <x:v>—</x:v>
      </x:c>
      <x:c r="L422" s="57" t="str">
        <x:v>—</x:v>
      </x:c>
      <x:c r="M422" s="57" t="str">
        <x:v>포함</x:v>
      </x:c>
      <x:c r="N422" s="57" t="str">
        <x:v>포함</x:v>
      </x:c>
      <x:c r="O422" s="57" t="str">
        <x:v>포함</x:v>
      </x:c>
      <x:c r="P422" s="57" t="str">
        <x:v>—</x:v>
      </x:c>
      <x:c r="Q422" s="57" t="str">
        <x:v>—</x:v>
      </x:c>
      <x:c r="R422" s="57" t="str">
        <x:v>포함</x:v>
      </x:c>
    </x:row>
    <x:row r="423">
      <x:c r="A423" s="60" t="n">
        <x:v>419</x:v>
      </x:c>
      <x:c r="B423" s="56" t="str">
        <x:v>플로젤</x:v>
      </x:c>
      <x:c r="C423" s="56" t="str">
        <x:v>floatzel</x:v>
      </x:c>
      <x:c r="D423" s="56" t="str">
        <x:v>담수</x:v>
      </x:c>
      <x:c r="E423" s="56" t="str">
        <x:v>보통</x:v>
      </x:c>
      <x:c r="F423" s="56" t="str">
        <x:v>아니오</x:v>
      </x:c>
      <x:c r="G423" s="56" t="str">
        <x:v>아니오</x:v>
      </x:c>
      <x:c r="H423" s="56" t="str">
        <x:v>예</x:v>
      </x:c>
      <x:c r="I423" s="56" t="str">
        <x:v>—</x:v>
      </x:c>
      <x:c r="J423" s="57" t="str">
        <x:v>—</x:v>
      </x:c>
      <x:c r="K423" s="57" t="str">
        <x:v>—</x:v>
      </x:c>
      <x:c r="L423" s="57" t="str">
        <x:v>—</x:v>
      </x:c>
      <x:c r="M423" s="57" t="str">
        <x:v>포함</x:v>
      </x:c>
      <x:c r="N423" s="57" t="str">
        <x:v>포함</x:v>
      </x:c>
      <x:c r="O423" s="57" t="str">
        <x:v>포함</x:v>
      </x:c>
      <x:c r="P423" s="57" t="str">
        <x:v>—</x:v>
      </x:c>
      <x:c r="Q423" s="57" t="str">
        <x:v>—</x:v>
      </x:c>
      <x:c r="R423" s="57" t="str">
        <x:v>포함</x:v>
      </x:c>
    </x:row>
    <x:row r="424">
      <x:c r="A424" s="60" t="n">
        <x:v>420</x:v>
      </x:c>
      <x:c r="B424" s="56" t="str">
        <x:v>체리버</x:v>
      </x:c>
      <x:c r="C424" s="56" t="str">
        <x:v>cherubi</x:v>
      </x:c>
      <x:c r="D424" s="56" t="str">
        <x:v>숲</x:v>
      </x:c>
      <x:c r="E424" s="56" t="str">
        <x:v>흔함</x:v>
      </x:c>
      <x:c r="F424" s="56" t="str">
        <x:v>아니오</x:v>
      </x:c>
      <x:c r="G424" s="56" t="str">
        <x:v>아니오</x:v>
      </x:c>
      <x:c r="H424" s="56" t="str">
        <x:v>예</x:v>
      </x:c>
      <x:c r="I424" s="56" t="str">
        <x:v>—</x:v>
      </x:c>
      <x:c r="J424" s="57" t="str">
        <x:v>—</x:v>
      </x:c>
      <x:c r="K424" s="57" t="str">
        <x:v>—</x:v>
      </x:c>
      <x:c r="L424" s="57" t="str">
        <x:v>—</x:v>
      </x:c>
      <x:c r="M424" s="57" t="str">
        <x:v>포함</x:v>
      </x:c>
      <x:c r="N424" s="57" t="str">
        <x:v>—</x:v>
      </x:c>
      <x:c r="O424" s="57" t="str">
        <x:v>—</x:v>
      </x:c>
      <x:c r="P424" s="57" t="str">
        <x:v>—</x:v>
      </x:c>
      <x:c r="Q424" s="57" t="str">
        <x:v>포함</x:v>
      </x:c>
      <x:c r="R424" s="57" t="str">
        <x:v>—</x:v>
      </x:c>
    </x:row>
    <x:row r="425">
      <x:c r="A425" s="60" t="n">
        <x:v>421</x:v>
      </x:c>
      <x:c r="B425" s="56" t="str">
        <x:v>체리꼬</x:v>
      </x:c>
      <x:c r="C425" s="56" t="str">
        <x:v>cherrim</x:v>
      </x:c>
      <x:c r="D425" s="56" t="str">
        <x:v>숲</x:v>
      </x:c>
      <x:c r="E425" s="56" t="str">
        <x:v>보통</x:v>
      </x:c>
      <x:c r="F425" s="56" t="str">
        <x:v>아니오</x:v>
      </x:c>
      <x:c r="G425" s="56" t="str">
        <x:v>아니오</x:v>
      </x:c>
      <x:c r="H425" s="56" t="str">
        <x:v>예</x:v>
      </x:c>
      <x:c r="I425" s="56" t="str">
        <x:v>—</x:v>
      </x:c>
      <x:c r="J425" s="57" t="str">
        <x:v>—</x:v>
      </x:c>
      <x:c r="K425" s="57" t="str">
        <x:v>—</x:v>
      </x:c>
      <x:c r="L425" s="57" t="str">
        <x:v>—</x:v>
      </x:c>
      <x:c r="M425" s="57" t="str">
        <x:v>포함</x:v>
      </x:c>
      <x:c r="N425" s="57" t="str">
        <x:v>—</x:v>
      </x:c>
      <x:c r="O425" s="57" t="str">
        <x:v>—</x:v>
      </x:c>
      <x:c r="P425" s="57" t="str">
        <x:v>—</x:v>
      </x:c>
      <x:c r="Q425" s="57" t="str">
        <x:v>포함</x:v>
      </x:c>
      <x:c r="R425" s="57" t="str">
        <x:v>—</x:v>
      </x:c>
    </x:row>
    <x:row r="426">
      <x:c r="A426" s="60" t="n">
        <x:v>422</x:v>
      </x:c>
      <x:c r="B426" s="56" t="str">
        <x:v>깝질무</x:v>
      </x:c>
      <x:c r="C426" s="56" t="str">
        <x:v>shellos</x:v>
      </x:c>
      <x:c r="D426" s="56" t="str">
        <x:v>해양</x:v>
      </x:c>
      <x:c r="E426" s="56" t="str">
        <x:v>보통</x:v>
      </x:c>
      <x:c r="F426" s="56" t="str">
        <x:v>아니오</x:v>
      </x:c>
      <x:c r="G426" s="56" t="str">
        <x:v>아니오</x:v>
      </x:c>
      <x:c r="H426" s="56" t="str">
        <x:v>예</x:v>
      </x:c>
      <x:c r="I426" s="56" t="str">
        <x:v>—</x:v>
      </x:c>
      <x:c r="J426" s="57" t="str">
        <x:v>—</x:v>
      </x:c>
      <x:c r="K426" s="57" t="str">
        <x:v>—</x:v>
      </x:c>
      <x:c r="L426" s="57" t="str">
        <x:v>—</x:v>
      </x:c>
      <x:c r="M426" s="57" t="str">
        <x:v>포함</x:v>
      </x:c>
      <x:c r="N426" s="57" t="str">
        <x:v>—</x:v>
      </x:c>
      <x:c r="O426" s="57" t="str">
        <x:v>—</x:v>
      </x:c>
      <x:c r="P426" s="57" t="str">
        <x:v>포함</x:v>
      </x:c>
      <x:c r="Q426" s="57" t="str">
        <x:v>포함</x:v>
      </x:c>
      <x:c r="R426" s="57" t="str">
        <x:v>포함</x:v>
      </x:c>
    </x:row>
    <x:row r="427">
      <x:c r="A427" s="60" t="n">
        <x:v>423</x:v>
      </x:c>
      <x:c r="B427" s="56" t="str">
        <x:v>트리토돈</x:v>
      </x:c>
      <x:c r="C427" s="56" t="str">
        <x:v>gastrodon</x:v>
      </x:c>
      <x:c r="D427" s="56" t="str">
        <x:v>해양</x:v>
      </x:c>
      <x:c r="E427" s="56" t="str">
        <x:v>보통</x:v>
      </x:c>
      <x:c r="F427" s="56" t="str">
        <x:v>아니오</x:v>
      </x:c>
      <x:c r="G427" s="56" t="str">
        <x:v>아니오</x:v>
      </x:c>
      <x:c r="H427" s="56" t="str">
        <x:v>예</x:v>
      </x:c>
      <x:c r="I427" s="56" t="str">
        <x:v>—</x:v>
      </x:c>
      <x:c r="J427" s="57" t="str">
        <x:v>—</x:v>
      </x:c>
      <x:c r="K427" s="57" t="str">
        <x:v>—</x:v>
      </x:c>
      <x:c r="L427" s="57" t="str">
        <x:v>—</x:v>
      </x:c>
      <x:c r="M427" s="57" t="str">
        <x:v>포함</x:v>
      </x:c>
      <x:c r="N427" s="57" t="str">
        <x:v>—</x:v>
      </x:c>
      <x:c r="O427" s="57" t="str">
        <x:v>—</x:v>
      </x:c>
      <x:c r="P427" s="57" t="str">
        <x:v>포함</x:v>
      </x:c>
      <x:c r="Q427" s="57" t="str">
        <x:v>포함</x:v>
      </x:c>
      <x:c r="R427" s="57" t="str">
        <x:v>포함</x:v>
      </x:c>
    </x:row>
    <x:row r="428">
      <x:c r="A428" s="60" t="n">
        <x:v>424</x:v>
      </x:c>
      <x:c r="B428" s="56" t="str">
        <x:v>겟핸보숭</x:v>
      </x:c>
      <x:c r="C428" s="56" t="str">
        <x:v>ambipom</x:v>
      </x:c>
      <x:c r="D428" s="56" t="str">
        <x:v>숲</x:v>
      </x:c>
      <x:c r="E428" s="56" t="str">
        <x:v>흔함</x:v>
      </x:c>
      <x:c r="F428" s="56" t="str">
        <x:v>아니오</x:v>
      </x:c>
      <x:c r="G428" s="56" t="str">
        <x:v>아니오</x:v>
      </x:c>
      <x:c r="H428" s="56" t="str">
        <x:v>예</x:v>
      </x:c>
      <x:c r="I428" s="56" t="str">
        <x:v>—</x:v>
      </x:c>
      <x:c r="J428" s="57" t="str">
        <x:v>—</x:v>
      </x:c>
      <x:c r="K428" s="57" t="str">
        <x:v>—</x:v>
      </x:c>
      <x:c r="L428" s="57" t="str">
        <x:v>—</x:v>
      </x:c>
      <x:c r="M428" s="57" t="str">
        <x:v>포함</x:v>
      </x:c>
      <x:c r="N428" s="57" t="str">
        <x:v>—</x:v>
      </x:c>
      <x:c r="O428" s="57" t="str">
        <x:v>—</x:v>
      </x:c>
      <x:c r="P428" s="57" t="str">
        <x:v>포함</x:v>
      </x:c>
      <x:c r="Q428" s="57" t="str">
        <x:v>—</x:v>
      </x:c>
      <x:c r="R428" s="57" t="str">
        <x:v>포함</x:v>
      </x:c>
    </x:row>
    <x:row r="429">
      <x:c r="A429" s="60" t="n">
        <x:v>425</x:v>
      </x:c>
      <x:c r="B429" s="56" t="str">
        <x:v>흔들풍손</x:v>
      </x:c>
      <x:c r="C429" s="56" t="str">
        <x:v>drifloon</x:v>
      </x:c>
      <x:c r="D429" s="56" t="str">
        <x:v>특수</x:v>
      </x:c>
      <x:c r="E429" s="56" t="str">
        <x:v>보통</x:v>
      </x:c>
      <x:c r="F429" s="56" t="str">
        <x:v>아니오</x:v>
      </x:c>
      <x:c r="G429" s="56" t="str">
        <x:v>아니오</x:v>
      </x:c>
      <x:c r="H429" s="56" t="str">
        <x:v>예</x:v>
      </x:c>
      <x:c r="I429" s="56" t="str">
        <x:v>—</x:v>
      </x:c>
      <x:c r="J429" s="57" t="str">
        <x:v>—</x:v>
      </x:c>
      <x:c r="K429" s="57" t="str">
        <x:v>—</x:v>
      </x:c>
      <x:c r="L429" s="57" t="str">
        <x:v>—</x:v>
      </x:c>
      <x:c r="M429" s="57" t="str">
        <x:v>포함</x:v>
      </x:c>
      <x:c r="N429" s="57" t="str">
        <x:v>포함</x:v>
      </x:c>
      <x:c r="O429" s="57" t="str">
        <x:v>포함</x:v>
      </x:c>
      <x:c r="P429" s="57" t="str">
        <x:v>포함</x:v>
      </x:c>
      <x:c r="Q429" s="57" t="str">
        <x:v>포함</x:v>
      </x:c>
      <x:c r="R429" s="57" t="str">
        <x:v>포함</x:v>
      </x:c>
    </x:row>
    <x:row r="430">
      <x:c r="A430" s="60" t="n">
        <x:v>426</x:v>
      </x:c>
      <x:c r="B430" s="56" t="str">
        <x:v>둥실라이드</x:v>
      </x:c>
      <x:c r="C430" s="56" t="str">
        <x:v>drifblim</x:v>
      </x:c>
      <x:c r="D430" s="56" t="str">
        <x:v>특수</x:v>
      </x:c>
      <x:c r="E430" s="56" t="str">
        <x:v>보통</x:v>
      </x:c>
      <x:c r="F430" s="56" t="str">
        <x:v>아니오</x:v>
      </x:c>
      <x:c r="G430" s="56" t="str">
        <x:v>아니오</x:v>
      </x:c>
      <x:c r="H430" s="56" t="str">
        <x:v>예</x:v>
      </x:c>
      <x:c r="I430" s="56" t="str">
        <x:v>—</x:v>
      </x:c>
      <x:c r="J430" s="57" t="str">
        <x:v>—</x:v>
      </x:c>
      <x:c r="K430" s="57" t="str">
        <x:v>—</x:v>
      </x:c>
      <x:c r="L430" s="57" t="str">
        <x:v>—</x:v>
      </x:c>
      <x:c r="M430" s="57" t="str">
        <x:v>포함</x:v>
      </x:c>
      <x:c r="N430" s="57" t="str">
        <x:v>포함</x:v>
      </x:c>
      <x:c r="O430" s="57" t="str">
        <x:v>포함</x:v>
      </x:c>
      <x:c r="P430" s="57" t="str">
        <x:v>포함</x:v>
      </x:c>
      <x:c r="Q430" s="57" t="str">
        <x:v>포함</x:v>
      </x:c>
      <x:c r="R430" s="57" t="str">
        <x:v>포함</x:v>
      </x:c>
    </x:row>
    <x:row r="431">
      <x:c r="A431" s="60" t="n">
        <x:v>427</x:v>
      </x:c>
      <x:c r="B431" s="56" t="str">
        <x:v>이어롤</x:v>
      </x:c>
      <x:c r="C431" s="56" t="str">
        <x:v>buneary</x:v>
      </x:c>
      <x:c r="D431" s="56" t="str">
        <x:v>숲</x:v>
      </x:c>
      <x:c r="E431" s="56" t="str">
        <x:v>흔함</x:v>
      </x:c>
      <x:c r="F431" s="56" t="str">
        <x:v>아니오</x:v>
      </x:c>
      <x:c r="G431" s="56" t="str">
        <x:v>아니오</x:v>
      </x:c>
      <x:c r="H431" s="56" t="str">
        <x:v>예</x:v>
      </x:c>
      <x:c r="I431" s="56" t="str">
        <x:v>—</x:v>
      </x:c>
      <x:c r="J431" s="57" t="str">
        <x:v>—</x:v>
      </x:c>
      <x:c r="K431" s="57" t="str">
        <x:v>—</x:v>
      </x:c>
      <x:c r="L431" s="57" t="str">
        <x:v>—</x:v>
      </x:c>
      <x:c r="M431" s="57" t="str">
        <x:v>포함</x:v>
      </x:c>
      <x:c r="N431" s="57" t="str">
        <x:v>포함</x:v>
      </x:c>
      <x:c r="O431" s="57" t="str">
        <x:v>—</x:v>
      </x:c>
      <x:c r="P431" s="57" t="str">
        <x:v>포함</x:v>
      </x:c>
      <x:c r="Q431" s="57" t="str">
        <x:v>포함</x:v>
      </x:c>
      <x:c r="R431" s="57" t="str">
        <x:v>—</x:v>
      </x:c>
    </x:row>
    <x:row r="432">
      <x:c r="A432" s="60" t="n">
        <x:v>428</x:v>
      </x:c>
      <x:c r="B432" s="56" t="str">
        <x:v>이어롭</x:v>
      </x:c>
      <x:c r="C432" s="56" t="str">
        <x:v>lopunny</x:v>
      </x:c>
      <x:c r="D432" s="56" t="str">
        <x:v>숲</x:v>
      </x:c>
      <x:c r="E432" s="56" t="str">
        <x:v>흔함</x:v>
      </x:c>
      <x:c r="F432" s="56" t="str">
        <x:v>아니오</x:v>
      </x:c>
      <x:c r="G432" s="56" t="str">
        <x:v>아니오</x:v>
      </x:c>
      <x:c r="H432" s="56" t="str">
        <x:v>예</x:v>
      </x:c>
      <x:c r="I432" s="56" t="str">
        <x:v>—</x:v>
      </x:c>
      <x:c r="J432" s="57" t="str">
        <x:v>—</x:v>
      </x:c>
      <x:c r="K432" s="57" t="str">
        <x:v>—</x:v>
      </x:c>
      <x:c r="L432" s="57" t="str">
        <x:v>—</x:v>
      </x:c>
      <x:c r="M432" s="57" t="str">
        <x:v>포함</x:v>
      </x:c>
      <x:c r="N432" s="57" t="str">
        <x:v>포함</x:v>
      </x:c>
      <x:c r="O432" s="57" t="str">
        <x:v>—</x:v>
      </x:c>
      <x:c r="P432" s="57" t="str">
        <x:v>포함</x:v>
      </x:c>
      <x:c r="Q432" s="57" t="str">
        <x:v>포함</x:v>
      </x:c>
      <x:c r="R432" s="57" t="str">
        <x:v>—</x:v>
      </x:c>
    </x:row>
    <x:row r="433">
      <x:c r="A433" s="60" t="n">
        <x:v>429</x:v>
      </x:c>
      <x:c r="B433" s="56" t="str">
        <x:v>무우마직</x:v>
      </x:c>
      <x:c r="C433" s="56" t="str">
        <x:v>mismagius</x:v>
      </x:c>
      <x:c r="D433" s="56" t="str">
        <x:v>특수</x:v>
      </x:c>
      <x:c r="E433" s="56" t="str">
        <x:v>흔함</x:v>
      </x:c>
      <x:c r="F433" s="56" t="str">
        <x:v>아니오</x:v>
      </x:c>
      <x:c r="G433" s="56" t="str">
        <x:v>아니오</x:v>
      </x:c>
      <x:c r="H433" s="56" t="str">
        <x:v>예</x:v>
      </x:c>
      <x:c r="I433" s="56" t="str">
        <x:v>—</x:v>
      </x:c>
      <x:c r="J433" s="57" t="str">
        <x:v>—</x:v>
      </x:c>
      <x:c r="K433" s="57" t="str">
        <x:v>—</x:v>
      </x:c>
      <x:c r="L433" s="57" t="str">
        <x:v>—</x:v>
      </x:c>
      <x:c r="M433" s="57" t="str">
        <x:v>포함</x:v>
      </x:c>
      <x:c r="N433" s="57" t="str">
        <x:v>—</x:v>
      </x:c>
      <x:c r="O433" s="57" t="str">
        <x:v>—</x:v>
      </x:c>
      <x:c r="P433" s="57" t="str">
        <x:v>포함</x:v>
      </x:c>
      <x:c r="Q433" s="57" t="str">
        <x:v>—</x:v>
      </x:c>
      <x:c r="R433" s="57" t="str">
        <x:v>포함</x:v>
      </x:c>
    </x:row>
    <x:row r="434">
      <x:c r="A434" s="60" t="n">
        <x:v>430</x:v>
      </x:c>
      <x:c r="B434" s="56" t="str">
        <x:v>돈크로우</x:v>
      </x:c>
      <x:c r="C434" s="56" t="str">
        <x:v>honchkrow</x:v>
      </x:c>
      <x:c r="D434" s="56" t="str">
        <x:v>특수</x:v>
      </x:c>
      <x:c r="E434" s="56" t="str">
        <x:v>흔함</x:v>
      </x:c>
      <x:c r="F434" s="56" t="str">
        <x:v>아니오</x:v>
      </x:c>
      <x:c r="G434" s="56" t="str">
        <x:v>아니오</x:v>
      </x:c>
      <x:c r="H434" s="56" t="str">
        <x:v>예</x:v>
      </x:c>
      <x:c r="I434" s="56" t="str">
        <x:v>—</x:v>
      </x:c>
      <x:c r="J434" s="57" t="str">
        <x:v>—</x:v>
      </x:c>
      <x:c r="K434" s="57" t="str">
        <x:v>—</x:v>
      </x:c>
      <x:c r="L434" s="57" t="str">
        <x:v>—</x:v>
      </x:c>
      <x:c r="M434" s="57" t="str">
        <x:v>포함</x:v>
      </x:c>
      <x:c r="N434" s="57" t="str">
        <x:v>—</x:v>
      </x:c>
      <x:c r="O434" s="57" t="str">
        <x:v>포함</x:v>
      </x:c>
      <x:c r="P434" s="57" t="str">
        <x:v>포함</x:v>
      </x:c>
      <x:c r="Q434" s="57" t="str">
        <x:v>—</x:v>
      </x:c>
      <x:c r="R434" s="57" t="str">
        <x:v>포함</x:v>
      </x:c>
    </x:row>
    <x:row r="435">
      <x:c r="A435" s="60" t="n">
        <x:v>431</x:v>
      </x:c>
      <x:c r="B435" s="56" t="str">
        <x:v>나옹마</x:v>
      </x:c>
      <x:c r="C435" s="56" t="str">
        <x:v>glameow</x:v>
      </x:c>
      <x:c r="D435" s="56" t="str">
        <x:v>건조지</x:v>
      </x:c>
      <x:c r="E435" s="56" t="str">
        <x:v>흔함</x:v>
      </x:c>
      <x:c r="F435" s="56" t="str">
        <x:v>아니오</x:v>
      </x:c>
      <x:c r="G435" s="56" t="str">
        <x:v>아니오</x:v>
      </x:c>
      <x:c r="H435" s="56" t="str">
        <x:v>예</x:v>
      </x:c>
      <x:c r="I435" s="56" t="str">
        <x:v>—</x:v>
      </x:c>
      <x:c r="J435" s="57" t="str">
        <x:v>—</x:v>
      </x:c>
      <x:c r="K435" s="57" t="str">
        <x:v>—</x:v>
      </x:c>
      <x:c r="L435" s="57" t="str">
        <x:v>—</x:v>
      </x:c>
      <x:c r="M435" s="57" t="str">
        <x:v>포함</x:v>
      </x:c>
      <x:c r="N435" s="57" t="str">
        <x:v>—</x:v>
      </x:c>
      <x:c r="O435" s="57" t="str">
        <x:v>—</x:v>
      </x:c>
      <x:c r="P435" s="57" t="str">
        <x:v>—</x:v>
      </x:c>
      <x:c r="Q435" s="57" t="str">
        <x:v>—</x:v>
      </x:c>
      <x:c r="R435" s="57" t="str">
        <x:v>—</x:v>
      </x:c>
    </x:row>
    <x:row r="436">
      <x:c r="A436" s="60" t="n">
        <x:v>432</x:v>
      </x:c>
      <x:c r="B436" s="56" t="str">
        <x:v>몬냥이</x:v>
      </x:c>
      <x:c r="C436" s="56" t="str">
        <x:v>purugly</x:v>
      </x:c>
      <x:c r="D436" s="56" t="str">
        <x:v>건조지</x:v>
      </x:c>
      <x:c r="E436" s="56" t="str">
        <x:v>흔함</x:v>
      </x:c>
      <x:c r="F436" s="56" t="str">
        <x:v>아니오</x:v>
      </x:c>
      <x:c r="G436" s="56" t="str">
        <x:v>아니오</x:v>
      </x:c>
      <x:c r="H436" s="56" t="str">
        <x:v>예</x:v>
      </x:c>
      <x:c r="I436" s="56" t="str">
        <x:v>—</x:v>
      </x:c>
      <x:c r="J436" s="57" t="str">
        <x:v>—</x:v>
      </x:c>
      <x:c r="K436" s="57" t="str">
        <x:v>—</x:v>
      </x:c>
      <x:c r="L436" s="57" t="str">
        <x:v>—</x:v>
      </x:c>
      <x:c r="M436" s="57" t="str">
        <x:v>포함</x:v>
      </x:c>
      <x:c r="N436" s="57" t="str">
        <x:v>—</x:v>
      </x:c>
      <x:c r="O436" s="57" t="str">
        <x:v>—</x:v>
      </x:c>
      <x:c r="P436" s="57" t="str">
        <x:v>—</x:v>
      </x:c>
      <x:c r="Q436" s="57" t="str">
        <x:v>—</x:v>
      </x:c>
      <x:c r="R436" s="57" t="str">
        <x:v>—</x:v>
      </x:c>
    </x:row>
    <x:row r="437">
      <x:c r="A437" s="60" t="n">
        <x:v>433</x:v>
      </x:c>
      <x:c r="B437" s="56" t="str">
        <x:v>랑딸랑</x:v>
      </x:c>
      <x:c r="C437" s="56" t="str">
        <x:v>chingling</x:v>
      </x:c>
      <x:c r="D437" s="56" t="str">
        <x:v>숲</x:v>
      </x:c>
      <x:c r="E437" s="56" t="str">
        <x:v>보통</x:v>
      </x:c>
      <x:c r="F437" s="56" t="str">
        <x:v>아니오</x:v>
      </x:c>
      <x:c r="G437" s="56" t="str">
        <x:v>아니오</x:v>
      </x:c>
      <x:c r="H437" s="56" t="str">
        <x:v>예</x:v>
      </x:c>
      <x:c r="I437" s="56" t="str">
        <x:v>—</x:v>
      </x:c>
      <x:c r="J437" s="57" t="str">
        <x:v>—</x:v>
      </x:c>
      <x:c r="K437" s="57" t="str">
        <x:v>—</x:v>
      </x:c>
      <x:c r="L437" s="57" t="str">
        <x:v>—</x:v>
      </x:c>
      <x:c r="M437" s="57" t="str">
        <x:v>포함</x:v>
      </x:c>
      <x:c r="N437" s="57" t="str">
        <x:v>—</x:v>
      </x:c>
      <x:c r="O437" s="57" t="str">
        <x:v>포함</x:v>
      </x:c>
      <x:c r="P437" s="57" t="str">
        <x:v>—</x:v>
      </x:c>
      <x:c r="Q437" s="57" t="str">
        <x:v>—</x:v>
      </x:c>
      <x:c r="R437" s="57" t="str">
        <x:v>포함</x:v>
      </x:c>
    </x:row>
    <x:row r="438">
      <x:c r="A438" s="60" t="n">
        <x:v>434</x:v>
      </x:c>
      <x:c r="B438" s="56" t="str">
        <x:v>스컹뿡</x:v>
      </x:c>
      <x:c r="C438" s="56" t="str">
        <x:v>stunky</x:v>
      </x:c>
      <x:c r="D438" s="56" t="str">
        <x:v>습지</x:v>
      </x:c>
      <x:c r="E438" s="56" t="str">
        <x:v>흔함</x:v>
      </x:c>
      <x:c r="F438" s="56" t="str">
        <x:v>아니오</x:v>
      </x:c>
      <x:c r="G438" s="56" t="str">
        <x:v>아니오</x:v>
      </x:c>
      <x:c r="H438" s="56" t="str">
        <x:v>예</x:v>
      </x:c>
      <x:c r="I438" s="56" t="str">
        <x:v>—</x:v>
      </x:c>
      <x:c r="J438" s="57" t="str">
        <x:v>—</x:v>
      </x:c>
      <x:c r="K438" s="57" t="str">
        <x:v>—</x:v>
      </x:c>
      <x:c r="L438" s="57" t="str">
        <x:v>—</x:v>
      </x:c>
      <x:c r="M438" s="57" t="str">
        <x:v>포함</x:v>
      </x:c>
      <x:c r="N438" s="57" t="str">
        <x:v>—</x:v>
      </x:c>
      <x:c r="O438" s="57" t="str">
        <x:v>포함</x:v>
      </x:c>
      <x:c r="P438" s="57" t="str">
        <x:v>—</x:v>
      </x:c>
      <x:c r="Q438" s="57" t="str">
        <x:v>포함</x:v>
      </x:c>
      <x:c r="R438" s="57" t="str">
        <x:v>포함</x:v>
      </x:c>
    </x:row>
    <x:row r="439">
      <x:c r="A439" s="60" t="n">
        <x:v>435</x:v>
      </x:c>
      <x:c r="B439" s="56" t="str">
        <x:v>스컹탱크</x:v>
      </x:c>
      <x:c r="C439" s="56" t="str">
        <x:v>skuntank</x:v>
      </x:c>
      <x:c r="D439" s="56" t="str">
        <x:v>습지</x:v>
      </x:c>
      <x:c r="E439" s="56" t="str">
        <x:v>보통</x:v>
      </x:c>
      <x:c r="F439" s="56" t="str">
        <x:v>아니오</x:v>
      </x:c>
      <x:c r="G439" s="56" t="str">
        <x:v>아니오</x:v>
      </x:c>
      <x:c r="H439" s="56" t="str">
        <x:v>예</x:v>
      </x:c>
      <x:c r="I439" s="56" t="str">
        <x:v>—</x:v>
      </x:c>
      <x:c r="J439" s="57" t="str">
        <x:v>—</x:v>
      </x:c>
      <x:c r="K439" s="57" t="str">
        <x:v>—</x:v>
      </x:c>
      <x:c r="L439" s="57" t="str">
        <x:v>—</x:v>
      </x:c>
      <x:c r="M439" s="57" t="str">
        <x:v>포함</x:v>
      </x:c>
      <x:c r="N439" s="57" t="str">
        <x:v>—</x:v>
      </x:c>
      <x:c r="O439" s="57" t="str">
        <x:v>포함</x:v>
      </x:c>
      <x:c r="P439" s="57" t="str">
        <x:v>—</x:v>
      </x:c>
      <x:c r="Q439" s="57" t="str">
        <x:v>포함</x:v>
      </x:c>
      <x:c r="R439" s="57" t="str">
        <x:v>포함</x:v>
      </x:c>
    </x:row>
    <x:row r="440">
      <x:c r="A440" s="60" t="n">
        <x:v>436</x:v>
      </x:c>
      <x:c r="B440" s="56" t="str">
        <x:v>동미러</x:v>
      </x:c>
      <x:c r="C440" s="56" t="str">
        <x:v>bronzor</x:v>
      </x:c>
      <x:c r="D440" s="56" t="str">
        <x:v>도시</x:v>
      </x:c>
      <x:c r="E440" s="56" t="str">
        <x:v>보통</x:v>
      </x:c>
      <x:c r="F440" s="56" t="str">
        <x:v>아니오</x:v>
      </x:c>
      <x:c r="G440" s="56" t="str">
        <x:v>아니오</x:v>
      </x:c>
      <x:c r="H440" s="56" t="str">
        <x:v>예</x:v>
      </x:c>
      <x:c r="I440" s="56" t="str">
        <x:v>—</x:v>
      </x:c>
      <x:c r="J440" s="57" t="str">
        <x:v>—</x:v>
      </x:c>
      <x:c r="K440" s="57" t="str">
        <x:v>—</x:v>
      </x:c>
      <x:c r="L440" s="57" t="str">
        <x:v>—</x:v>
      </x:c>
      <x:c r="M440" s="57" t="str">
        <x:v>포함</x:v>
      </x:c>
      <x:c r="N440" s="57" t="str">
        <x:v>포함</x:v>
      </x:c>
      <x:c r="O440" s="57" t="str">
        <x:v>—</x:v>
      </x:c>
      <x:c r="P440" s="57" t="str">
        <x:v>—</x:v>
      </x:c>
      <x:c r="Q440" s="57" t="str">
        <x:v>포함</x:v>
      </x:c>
      <x:c r="R440" s="57" t="str">
        <x:v>포함</x:v>
      </x:c>
    </x:row>
    <x:row r="441">
      <x:c r="A441" s="60" t="n">
        <x:v>437</x:v>
      </x:c>
      <x:c r="B441" s="56" t="str">
        <x:v>동탁군</x:v>
      </x:c>
      <x:c r="C441" s="56" t="str">
        <x:v>bronzong</x:v>
      </x:c>
      <x:c r="D441" s="56" t="str">
        <x:v>도시</x:v>
      </x:c>
      <x:c r="E441" s="56" t="str">
        <x:v>보통</x:v>
      </x:c>
      <x:c r="F441" s="56" t="str">
        <x:v>아니오</x:v>
      </x:c>
      <x:c r="G441" s="56" t="str">
        <x:v>아니오</x:v>
      </x:c>
      <x:c r="H441" s="56" t="str">
        <x:v>예</x:v>
      </x:c>
      <x:c r="I441" s="56" t="str">
        <x:v>—</x:v>
      </x:c>
      <x:c r="J441" s="57" t="str">
        <x:v>—</x:v>
      </x:c>
      <x:c r="K441" s="57" t="str">
        <x:v>—</x:v>
      </x:c>
      <x:c r="L441" s="57" t="str">
        <x:v>—</x:v>
      </x:c>
      <x:c r="M441" s="57" t="str">
        <x:v>포함</x:v>
      </x:c>
      <x:c r="N441" s="57" t="str">
        <x:v>포함</x:v>
      </x:c>
      <x:c r="O441" s="57" t="str">
        <x:v>—</x:v>
      </x:c>
      <x:c r="P441" s="57" t="str">
        <x:v>—</x:v>
      </x:c>
      <x:c r="Q441" s="57" t="str">
        <x:v>포함</x:v>
      </x:c>
      <x:c r="R441" s="57" t="str">
        <x:v>포함</x:v>
      </x:c>
    </x:row>
    <x:row r="442">
      <x:c r="A442" s="60" t="n">
        <x:v>438</x:v>
      </x:c>
      <x:c r="B442" s="56" t="str">
        <x:v>꼬지지</x:v>
      </x:c>
      <x:c r="C442" s="56" t="str">
        <x:v>bonsly</x:v>
      </x:c>
      <x:c r="D442" s="56" t="str">
        <x:v>숲</x:v>
      </x:c>
      <x:c r="E442" s="56" t="str">
        <x:v>보통</x:v>
      </x:c>
      <x:c r="F442" s="56" t="str">
        <x:v>아니오</x:v>
      </x:c>
      <x:c r="G442" s="56" t="str">
        <x:v>아니오</x:v>
      </x:c>
      <x:c r="H442" s="56" t="str">
        <x:v>예</x:v>
      </x:c>
      <x:c r="I442" s="56" t="str">
        <x:v>—</x:v>
      </x:c>
      <x:c r="J442" s="57" t="str">
        <x:v>—</x:v>
      </x:c>
      <x:c r="K442" s="57" t="str">
        <x:v>—</x:v>
      </x:c>
      <x:c r="L442" s="57" t="str">
        <x:v>—</x:v>
      </x:c>
      <x:c r="M442" s="57" t="str">
        <x:v>포함</x:v>
      </x:c>
      <x:c r="N442" s="57" t="str">
        <x:v>—</x:v>
      </x:c>
      <x:c r="O442" s="57" t="str">
        <x:v>포함</x:v>
      </x:c>
      <x:c r="P442" s="57" t="str">
        <x:v>포함</x:v>
      </x:c>
      <x:c r="Q442" s="57" t="str">
        <x:v>포함</x:v>
      </x:c>
      <x:c r="R442" s="57" t="str">
        <x:v>포함</x:v>
      </x:c>
    </x:row>
    <x:row r="443">
      <x:c r="A443" s="60" t="n">
        <x:v>439</x:v>
      </x:c>
      <x:c r="B443" s="56" t="str">
        <x:v>흉내내</x:v>
      </x:c>
      <x:c r="C443" s="56" t="str">
        <x:v>mimejr</x:v>
      </x:c>
      <x:c r="D443" s="56" t="str">
        <x:v>평원</x:v>
      </x:c>
      <x:c r="E443" s="56" t="str">
        <x:v>보통</x:v>
      </x:c>
      <x:c r="F443" s="56" t="str">
        <x:v>아니오</x:v>
      </x:c>
      <x:c r="G443" s="56" t="str">
        <x:v>아니오</x:v>
      </x:c>
      <x:c r="H443" s="56" t="str">
        <x:v>예</x:v>
      </x:c>
      <x:c r="I443" s="56" t="str">
        <x:v>—</x:v>
      </x:c>
      <x:c r="J443" s="57" t="str">
        <x:v>—</x:v>
      </x:c>
      <x:c r="K443" s="57" t="str">
        <x:v>—</x:v>
      </x:c>
      <x:c r="L443" s="57" t="str">
        <x:v>—</x:v>
      </x:c>
      <x:c r="M443" s="57" t="str">
        <x:v>포함</x:v>
      </x:c>
      <x:c r="N443" s="57" t="str">
        <x:v>—</x:v>
      </x:c>
      <x:c r="O443" s="57" t="str">
        <x:v>포함</x:v>
      </x:c>
      <x:c r="P443" s="57" t="str">
        <x:v>포함</x:v>
      </x:c>
      <x:c r="Q443" s="57" t="str">
        <x:v>포함</x:v>
      </x:c>
      <x:c r="R443" s="57" t="str">
        <x:v>—</x:v>
      </x:c>
    </x:row>
    <x:row r="444">
      <x:c r="A444" s="60" t="n">
        <x:v>440</x:v>
      </x:c>
      <x:c r="B444" s="56" t="str">
        <x:v>핑복</x:v>
      </x:c>
      <x:c r="C444" s="56" t="str">
        <x:v>happiny</x:v>
      </x:c>
      <x:c r="D444" s="56" t="str">
        <x:v>평원</x:v>
      </x:c>
      <x:c r="E444" s="56" t="str">
        <x:v>드묾</x:v>
      </x:c>
      <x:c r="F444" s="56" t="str">
        <x:v>아니오</x:v>
      </x:c>
      <x:c r="G444" s="56" t="str">
        <x:v>아니오</x:v>
      </x:c>
      <x:c r="H444" s="56" t="str">
        <x:v>예</x:v>
      </x:c>
      <x:c r="I444" s="56" t="str">
        <x:v>—</x:v>
      </x:c>
      <x:c r="J444" s="57" t="str">
        <x:v>—</x:v>
      </x:c>
      <x:c r="K444" s="57" t="str">
        <x:v>—</x:v>
      </x:c>
      <x:c r="L444" s="57" t="str">
        <x:v>—</x:v>
      </x:c>
      <x:c r="M444" s="57" t="str">
        <x:v>포함</x:v>
      </x:c>
      <x:c r="N444" s="57" t="str">
        <x:v>—</x:v>
      </x:c>
      <x:c r="O444" s="57" t="str">
        <x:v>—</x:v>
      </x:c>
      <x:c r="P444" s="57" t="str">
        <x:v>포함</x:v>
      </x:c>
      <x:c r="Q444" s="57" t="str">
        <x:v>포함</x:v>
      </x:c>
      <x:c r="R444" s="57" t="str">
        <x:v>포함</x:v>
      </x:c>
    </x:row>
    <x:row r="445">
      <x:c r="A445" s="60" t="n">
        <x:v>441</x:v>
      </x:c>
      <x:c r="B445" s="56" t="str">
        <x:v>페라페</x:v>
      </x:c>
      <x:c r="C445" s="56" t="str">
        <x:v>chatot</x:v>
      </x:c>
      <x:c r="D445" s="56" t="str">
        <x:v>숲</x:v>
      </x:c>
      <x:c r="E445" s="56" t="str">
        <x:v>보통</x:v>
      </x:c>
      <x:c r="F445" s="56" t="str">
        <x:v>아니오</x:v>
      </x:c>
      <x:c r="G445" s="56" t="str">
        <x:v>아니오</x:v>
      </x:c>
      <x:c r="H445" s="56" t="str">
        <x:v>예</x:v>
      </x:c>
      <x:c r="I445" s="56" t="str">
        <x:v>—</x:v>
      </x:c>
      <x:c r="J445" s="57" t="str">
        <x:v>—</x:v>
      </x:c>
      <x:c r="K445" s="57" t="str">
        <x:v>—</x:v>
      </x:c>
      <x:c r="L445" s="57" t="str">
        <x:v>—</x:v>
      </x:c>
      <x:c r="M445" s="57" t="str">
        <x:v>포함</x:v>
      </x:c>
      <x:c r="N445" s="57" t="str">
        <x:v>—</x:v>
      </x:c>
      <x:c r="O445" s="57" t="str">
        <x:v>포함</x:v>
      </x:c>
      <x:c r="P445" s="57" t="str">
        <x:v>—</x:v>
      </x:c>
      <x:c r="Q445" s="57" t="str">
        <x:v>—</x:v>
      </x:c>
      <x:c r="R445" s="57" t="str">
        <x:v>—</x:v>
      </x:c>
    </x:row>
    <x:row r="446">
      <x:c r="A446" s="60" t="n">
        <x:v>442</x:v>
      </x:c>
      <x:c r="B446" s="56" t="str">
        <x:v>화강돌</x:v>
      </x:c>
      <x:c r="C446" s="56" t="str">
        <x:v>spiritomb</x:v>
      </x:c>
      <x:c r="D446" s="56" t="str">
        <x:v>동굴</x:v>
      </x:c>
      <x:c r="E446" s="56" t="str">
        <x:v>보통</x:v>
      </x:c>
      <x:c r="F446" s="56" t="str">
        <x:v>아니오</x:v>
      </x:c>
      <x:c r="G446" s="56" t="str">
        <x:v>아니오</x:v>
      </x:c>
      <x:c r="H446" s="56" t="str">
        <x:v>예</x:v>
      </x:c>
      <x:c r="I446" s="56" t="str">
        <x:v>—</x:v>
      </x:c>
      <x:c r="J446" s="57" t="str">
        <x:v>—</x:v>
      </x:c>
      <x:c r="K446" s="57" t="str">
        <x:v>—</x:v>
      </x:c>
      <x:c r="L446" s="57" t="str">
        <x:v>—</x:v>
      </x:c>
      <x:c r="M446" s="57" t="str">
        <x:v>포함</x:v>
      </x:c>
      <x:c r="N446" s="57" t="str">
        <x:v>—</x:v>
      </x:c>
      <x:c r="O446" s="57" t="str">
        <x:v>—</x:v>
      </x:c>
      <x:c r="P446" s="57" t="str">
        <x:v>—</x:v>
      </x:c>
      <x:c r="Q446" s="57" t="str">
        <x:v>포함</x:v>
      </x:c>
      <x:c r="R446" s="57" t="str">
        <x:v>포함</x:v>
      </x:c>
    </x:row>
    <x:row r="447">
      <x:c r="A447" s="60" t="n">
        <x:v>443</x:v>
      </x:c>
      <x:c r="B447" s="56" t="str">
        <x:v>딥상어동</x:v>
      </x:c>
      <x:c r="C447" s="56" t="str">
        <x:v>gible</x:v>
      </x:c>
      <x:c r="D447" s="56" t="str">
        <x:v>산악</x:v>
      </x:c>
      <x:c r="E447" s="56" t="str">
        <x:v>희귀</x:v>
      </x:c>
      <x:c r="F447" s="56" t="str">
        <x:v>아니오</x:v>
      </x:c>
      <x:c r="G447" s="56" t="str">
        <x:v>아니오</x:v>
      </x:c>
      <x:c r="H447" s="56" t="str">
        <x:v>예</x:v>
      </x:c>
      <x:c r="I447" s="56" t="str">
        <x:v>—</x:v>
      </x:c>
      <x:c r="J447" s="57" t="str">
        <x:v>—</x:v>
      </x:c>
      <x:c r="K447" s="57" t="str">
        <x:v>—</x:v>
      </x:c>
      <x:c r="L447" s="57" t="str">
        <x:v>—</x:v>
      </x:c>
      <x:c r="M447" s="57" t="str">
        <x:v>포함</x:v>
      </x:c>
      <x:c r="N447" s="57" t="str">
        <x:v>—</x:v>
      </x:c>
      <x:c r="O447" s="57" t="str">
        <x:v>포함</x:v>
      </x:c>
      <x:c r="P447" s="57" t="str">
        <x:v>포함</x:v>
      </x:c>
      <x:c r="Q447" s="57" t="str">
        <x:v>포함</x:v>
      </x:c>
      <x:c r="R447" s="57" t="str">
        <x:v>포함</x:v>
      </x:c>
    </x:row>
    <x:row r="448">
      <x:c r="A448" s="60" t="n">
        <x:v>444</x:v>
      </x:c>
      <x:c r="B448" s="56" t="str">
        <x:v>한바이트</x:v>
      </x:c>
      <x:c r="C448" s="56" t="str">
        <x:v>gabite</x:v>
      </x:c>
      <x:c r="D448" s="56" t="str">
        <x:v>산악</x:v>
      </x:c>
      <x:c r="E448" s="56" t="str">
        <x:v>희귀</x:v>
      </x:c>
      <x:c r="F448" s="56" t="str">
        <x:v>아니오</x:v>
      </x:c>
      <x:c r="G448" s="56" t="str">
        <x:v>아니오</x:v>
      </x:c>
      <x:c r="H448" s="56" t="str">
        <x:v>예</x:v>
      </x:c>
      <x:c r="I448" s="56" t="str">
        <x:v>—</x:v>
      </x:c>
      <x:c r="J448" s="57" t="str">
        <x:v>—</x:v>
      </x:c>
      <x:c r="K448" s="57" t="str">
        <x:v>—</x:v>
      </x:c>
      <x:c r="L448" s="57" t="str">
        <x:v>—</x:v>
      </x:c>
      <x:c r="M448" s="57" t="str">
        <x:v>포함</x:v>
      </x:c>
      <x:c r="N448" s="57" t="str">
        <x:v>—</x:v>
      </x:c>
      <x:c r="O448" s="57" t="str">
        <x:v>포함</x:v>
      </x:c>
      <x:c r="P448" s="57" t="str">
        <x:v>포함</x:v>
      </x:c>
      <x:c r="Q448" s="57" t="str">
        <x:v>포함</x:v>
      </x:c>
      <x:c r="R448" s="57" t="str">
        <x:v>포함</x:v>
      </x:c>
    </x:row>
    <x:row r="449">
      <x:c r="A449" s="60" t="n">
        <x:v>445</x:v>
      </x:c>
      <x:c r="B449" s="56" t="str">
        <x:v>한카리아스</x:v>
      </x:c>
      <x:c r="C449" s="56" t="str">
        <x:v>garchomp</x:v>
      </x:c>
      <x:c r="D449" s="56" t="str">
        <x:v>산악</x:v>
      </x:c>
      <x:c r="E449" s="56" t="str">
        <x:v>희귀</x:v>
      </x:c>
      <x:c r="F449" s="56" t="str">
        <x:v>아니오</x:v>
      </x:c>
      <x:c r="G449" s="56" t="str">
        <x:v>아니오</x:v>
      </x:c>
      <x:c r="H449" s="56" t="str">
        <x:v>예</x:v>
      </x:c>
      <x:c r="I449" s="56" t="str">
        <x:v>—</x:v>
      </x:c>
      <x:c r="J449" s="57" t="str">
        <x:v>—</x:v>
      </x:c>
      <x:c r="K449" s="57" t="str">
        <x:v>—</x:v>
      </x:c>
      <x:c r="L449" s="57" t="str">
        <x:v>—</x:v>
      </x:c>
      <x:c r="M449" s="57" t="str">
        <x:v>포함</x:v>
      </x:c>
      <x:c r="N449" s="57" t="str">
        <x:v>—</x:v>
      </x:c>
      <x:c r="O449" s="57" t="str">
        <x:v>포함</x:v>
      </x:c>
      <x:c r="P449" s="57" t="str">
        <x:v>포함</x:v>
      </x:c>
      <x:c r="Q449" s="57" t="str">
        <x:v>포함</x:v>
      </x:c>
      <x:c r="R449" s="57" t="str">
        <x:v>포함</x:v>
      </x:c>
    </x:row>
    <x:row r="450">
      <x:c r="A450" s="60" t="n">
        <x:v>446</x:v>
      </x:c>
      <x:c r="B450" s="56" t="str">
        <x:v>먹고자</x:v>
      </x:c>
      <x:c r="C450" s="56" t="str">
        <x:v>munchlax</x:v>
      </x:c>
      <x:c r="D450" s="56" t="str">
        <x:v>숲</x:v>
      </x:c>
      <x:c r="E450" s="56" t="str">
        <x:v>보통</x:v>
      </x:c>
      <x:c r="F450" s="56" t="str">
        <x:v>아니오</x:v>
      </x:c>
      <x:c r="G450" s="56" t="str">
        <x:v>아니오</x:v>
      </x:c>
      <x:c r="H450" s="56" t="str">
        <x:v>예</x:v>
      </x:c>
      <x:c r="I450" s="56" t="str">
        <x:v>—</x:v>
      </x:c>
      <x:c r="J450" s="57" t="str">
        <x:v>—</x:v>
      </x:c>
      <x:c r="K450" s="57" t="str">
        <x:v>—</x:v>
      </x:c>
      <x:c r="L450" s="57" t="str">
        <x:v>—</x:v>
      </x:c>
      <x:c r="M450" s="57" t="str">
        <x:v>포함</x:v>
      </x:c>
      <x:c r="N450" s="57" t="str">
        <x:v>—</x:v>
      </x:c>
      <x:c r="O450" s="57" t="str">
        <x:v>포함</x:v>
      </x:c>
      <x:c r="P450" s="57" t="str">
        <x:v>포함</x:v>
      </x:c>
      <x:c r="Q450" s="57" t="str">
        <x:v>포함</x:v>
      </x:c>
      <x:c r="R450" s="57" t="str">
        <x:v>포함</x:v>
      </x:c>
    </x:row>
    <x:row r="451">
      <x:c r="A451" s="60" t="n">
        <x:v>447</x:v>
      </x:c>
      <x:c r="B451" s="56" t="str">
        <x:v>리오르</x:v>
      </x:c>
      <x:c r="C451" s="56" t="str">
        <x:v>riolu</x:v>
      </x:c>
      <x:c r="D451" s="56" t="str">
        <x:v>산악</x:v>
      </x:c>
      <x:c r="E451" s="56" t="str">
        <x:v>드묾</x:v>
      </x:c>
      <x:c r="F451" s="56" t="str">
        <x:v>아니오</x:v>
      </x:c>
      <x:c r="G451" s="56" t="str">
        <x:v>아니오</x:v>
      </x:c>
      <x:c r="H451" s="56" t="str">
        <x:v>예</x:v>
      </x:c>
      <x:c r="I451" s="56" t="str">
        <x:v>—</x:v>
      </x:c>
      <x:c r="J451" s="57" t="str">
        <x:v>—</x:v>
      </x:c>
      <x:c r="K451" s="57" t="str">
        <x:v>—</x:v>
      </x:c>
      <x:c r="L451" s="57" t="str">
        <x:v>—</x:v>
      </x:c>
      <x:c r="M451" s="57" t="str">
        <x:v>포함</x:v>
      </x:c>
      <x:c r="N451" s="57" t="str">
        <x:v>포함</x:v>
      </x:c>
      <x:c r="O451" s="57" t="str">
        <x:v>포함</x:v>
      </x:c>
      <x:c r="P451" s="57" t="str">
        <x:v>포함</x:v>
      </x:c>
      <x:c r="Q451" s="57" t="str">
        <x:v>포함</x:v>
      </x:c>
      <x:c r="R451" s="57" t="str">
        <x:v>포함</x:v>
      </x:c>
    </x:row>
    <x:row r="452">
      <x:c r="A452" s="60" t="n">
        <x:v>448</x:v>
      </x:c>
      <x:c r="B452" s="56" t="str">
        <x:v>루카리오</x:v>
      </x:c>
      <x:c r="C452" s="56" t="str">
        <x:v>lucario</x:v>
      </x:c>
      <x:c r="D452" s="56" t="str">
        <x:v>산악</x:v>
      </x:c>
      <x:c r="E452" s="56" t="str">
        <x:v>드묾</x:v>
      </x:c>
      <x:c r="F452" s="56" t="str">
        <x:v>아니오</x:v>
      </x:c>
      <x:c r="G452" s="56" t="str">
        <x:v>아니오</x:v>
      </x:c>
      <x:c r="H452" s="56" t="str">
        <x:v>예</x:v>
      </x:c>
      <x:c r="I452" s="56" t="str">
        <x:v>—</x:v>
      </x:c>
      <x:c r="J452" s="57" t="str">
        <x:v>—</x:v>
      </x:c>
      <x:c r="K452" s="57" t="str">
        <x:v>—</x:v>
      </x:c>
      <x:c r="L452" s="57" t="str">
        <x:v>—</x:v>
      </x:c>
      <x:c r="M452" s="57" t="str">
        <x:v>포함</x:v>
      </x:c>
      <x:c r="N452" s="57" t="str">
        <x:v>포함</x:v>
      </x:c>
      <x:c r="O452" s="57" t="str">
        <x:v>포함</x:v>
      </x:c>
      <x:c r="P452" s="57" t="str">
        <x:v>포함</x:v>
      </x:c>
      <x:c r="Q452" s="57" t="str">
        <x:v>포함</x:v>
      </x:c>
      <x:c r="R452" s="57" t="str">
        <x:v>포함</x:v>
      </x:c>
    </x:row>
    <x:row r="453">
      <x:c r="A453" s="60" t="n">
        <x:v>449</x:v>
      </x:c>
      <x:c r="B453" s="56" t="str">
        <x:v>히포포타스</x:v>
      </x:c>
      <x:c r="C453" s="56" t="str">
        <x:v>hippopotas</x:v>
      </x:c>
      <x:c r="D453" s="56" t="str">
        <x:v>건조지</x:v>
      </x:c>
      <x:c r="E453" s="56" t="str">
        <x:v>흔함</x:v>
      </x:c>
      <x:c r="F453" s="56" t="str">
        <x:v>아니오</x:v>
      </x:c>
      <x:c r="G453" s="56" t="str">
        <x:v>아니오</x:v>
      </x:c>
      <x:c r="H453" s="56" t="str">
        <x:v>예</x:v>
      </x:c>
      <x:c r="I453" s="56" t="str">
        <x:v>—</x:v>
      </x:c>
      <x:c r="J453" s="57" t="str">
        <x:v>—</x:v>
      </x:c>
      <x:c r="K453" s="57" t="str">
        <x:v>—</x:v>
      </x:c>
      <x:c r="L453" s="57" t="str">
        <x:v>—</x:v>
      </x:c>
      <x:c r="M453" s="57" t="str">
        <x:v>포함</x:v>
      </x:c>
      <x:c r="N453" s="57" t="str">
        <x:v>—</x:v>
      </x:c>
      <x:c r="O453" s="57" t="str">
        <x:v>포함</x:v>
      </x:c>
      <x:c r="P453" s="57" t="str">
        <x:v>—</x:v>
      </x:c>
      <x:c r="Q453" s="57" t="str">
        <x:v>포함</x:v>
      </x:c>
      <x:c r="R453" s="57" t="str">
        <x:v>포함</x:v>
      </x:c>
    </x:row>
    <x:row r="454">
      <x:c r="A454" s="60" t="n">
        <x:v>450</x:v>
      </x:c>
      <x:c r="B454" s="56" t="str">
        <x:v>하마돈</x:v>
      </x:c>
      <x:c r="C454" s="56" t="str">
        <x:v>hippowdon</x:v>
      </x:c>
      <x:c r="D454" s="56" t="str">
        <x:v>건조지</x:v>
      </x:c>
      <x:c r="E454" s="56" t="str">
        <x:v>흔함</x:v>
      </x:c>
      <x:c r="F454" s="56" t="str">
        <x:v>아니오</x:v>
      </x:c>
      <x:c r="G454" s="56" t="str">
        <x:v>아니오</x:v>
      </x:c>
      <x:c r="H454" s="56" t="str">
        <x:v>예</x:v>
      </x:c>
      <x:c r="I454" s="56" t="str">
        <x:v>—</x:v>
      </x:c>
      <x:c r="J454" s="57" t="str">
        <x:v>—</x:v>
      </x:c>
      <x:c r="K454" s="57" t="str">
        <x:v>—</x:v>
      </x:c>
      <x:c r="L454" s="57" t="str">
        <x:v>—</x:v>
      </x:c>
      <x:c r="M454" s="57" t="str">
        <x:v>포함</x:v>
      </x:c>
      <x:c r="N454" s="57" t="str">
        <x:v>—</x:v>
      </x:c>
      <x:c r="O454" s="57" t="str">
        <x:v>포함</x:v>
      </x:c>
      <x:c r="P454" s="57" t="str">
        <x:v>—</x:v>
      </x:c>
      <x:c r="Q454" s="57" t="str">
        <x:v>포함</x:v>
      </x:c>
      <x:c r="R454" s="57" t="str">
        <x:v>포함</x:v>
      </x:c>
    </x:row>
    <x:row r="455">
      <x:c r="A455" s="60" t="n">
        <x:v>451</x:v>
      </x:c>
      <x:c r="B455" s="56" t="str">
        <x:v>스콜피</x:v>
      </x:c>
      <x:c r="C455" s="56" t="str">
        <x:v>skorupi</x:v>
      </x:c>
      <x:c r="D455" s="56" t="str">
        <x:v>건조지</x:v>
      </x:c>
      <x:c r="E455" s="56" t="str">
        <x:v>흔함</x:v>
      </x:c>
      <x:c r="F455" s="56" t="str">
        <x:v>아니오</x:v>
      </x:c>
      <x:c r="G455" s="56" t="str">
        <x:v>아니오</x:v>
      </x:c>
      <x:c r="H455" s="56" t="str">
        <x:v>예</x:v>
      </x:c>
      <x:c r="I455" s="56" t="str">
        <x:v>—</x:v>
      </x:c>
      <x:c r="J455" s="57" t="str">
        <x:v>—</x:v>
      </x:c>
      <x:c r="K455" s="57" t="str">
        <x:v>—</x:v>
      </x:c>
      <x:c r="L455" s="57" t="str">
        <x:v>—</x:v>
      </x:c>
      <x:c r="M455" s="57" t="str">
        <x:v>포함</x:v>
      </x:c>
      <x:c r="N455" s="57" t="str">
        <x:v>포함</x:v>
      </x:c>
      <x:c r="O455" s="57" t="str">
        <x:v>포함</x:v>
      </x:c>
      <x:c r="P455" s="57" t="str">
        <x:v>—</x:v>
      </x:c>
      <x:c r="Q455" s="57" t="str">
        <x:v>포함</x:v>
      </x:c>
      <x:c r="R455" s="57" t="str">
        <x:v>—</x:v>
      </x:c>
    </x:row>
    <x:row r="456">
      <x:c r="A456" s="60" t="n">
        <x:v>452</x:v>
      </x:c>
      <x:c r="B456" s="56" t="str">
        <x:v>드래피온</x:v>
      </x:c>
      <x:c r="C456" s="56" t="str">
        <x:v>drapion</x:v>
      </x:c>
      <x:c r="D456" s="56" t="str">
        <x:v>건조지</x:v>
      </x:c>
      <x:c r="E456" s="56" t="str">
        <x:v>흔함</x:v>
      </x:c>
      <x:c r="F456" s="56" t="str">
        <x:v>아니오</x:v>
      </x:c>
      <x:c r="G456" s="56" t="str">
        <x:v>아니오</x:v>
      </x:c>
      <x:c r="H456" s="56" t="str">
        <x:v>예</x:v>
      </x:c>
      <x:c r="I456" s="56" t="str">
        <x:v>—</x:v>
      </x:c>
      <x:c r="J456" s="57" t="str">
        <x:v>—</x:v>
      </x:c>
      <x:c r="K456" s="57" t="str">
        <x:v>—</x:v>
      </x:c>
      <x:c r="L456" s="57" t="str">
        <x:v>—</x:v>
      </x:c>
      <x:c r="M456" s="57" t="str">
        <x:v>포함</x:v>
      </x:c>
      <x:c r="N456" s="57" t="str">
        <x:v>포함</x:v>
      </x:c>
      <x:c r="O456" s="57" t="str">
        <x:v>포함</x:v>
      </x:c>
      <x:c r="P456" s="57" t="str">
        <x:v>—</x:v>
      </x:c>
      <x:c r="Q456" s="57" t="str">
        <x:v>포함</x:v>
      </x:c>
      <x:c r="R456" s="57" t="str">
        <x:v>—</x:v>
      </x:c>
    </x:row>
    <x:row r="457">
      <x:c r="A457" s="60" t="n">
        <x:v>453</x:v>
      </x:c>
      <x:c r="B457" s="56" t="str">
        <x:v>삐딱구리</x:v>
      </x:c>
      <x:c r="C457" s="56" t="str">
        <x:v>croagunk</x:v>
      </x:c>
      <x:c r="D457" s="56" t="str">
        <x:v>습지</x:v>
      </x:c>
      <x:c r="E457" s="56" t="str">
        <x:v>흔함</x:v>
      </x:c>
      <x:c r="F457" s="56" t="str">
        <x:v>아니오</x:v>
      </x:c>
      <x:c r="G457" s="56" t="str">
        <x:v>아니오</x:v>
      </x:c>
      <x:c r="H457" s="56" t="str">
        <x:v>예</x:v>
      </x:c>
      <x:c r="I457" s="56" t="str">
        <x:v>—</x:v>
      </x:c>
      <x:c r="J457" s="57" t="str">
        <x:v>—</x:v>
      </x:c>
      <x:c r="K457" s="57" t="str">
        <x:v>—</x:v>
      </x:c>
      <x:c r="L457" s="57" t="str">
        <x:v>—</x:v>
      </x:c>
      <x:c r="M457" s="57" t="str">
        <x:v>포함</x:v>
      </x:c>
      <x:c r="N457" s="57" t="str">
        <x:v>포함</x:v>
      </x:c>
      <x:c r="O457" s="57" t="str">
        <x:v>포함</x:v>
      </x:c>
      <x:c r="P457" s="57" t="str">
        <x:v>—</x:v>
      </x:c>
      <x:c r="Q457" s="57" t="str">
        <x:v>포함</x:v>
      </x:c>
      <x:c r="R457" s="57" t="str">
        <x:v>포함</x:v>
      </x:c>
    </x:row>
    <x:row r="458">
      <x:c r="A458" s="60" t="n">
        <x:v>454</x:v>
      </x:c>
      <x:c r="B458" s="56" t="str">
        <x:v>독개굴</x:v>
      </x:c>
      <x:c r="C458" s="56" t="str">
        <x:v>toxicroak</x:v>
      </x:c>
      <x:c r="D458" s="56" t="str">
        <x:v>습지</x:v>
      </x:c>
      <x:c r="E458" s="56" t="str">
        <x:v>흔함</x:v>
      </x:c>
      <x:c r="F458" s="56" t="str">
        <x:v>아니오</x:v>
      </x:c>
      <x:c r="G458" s="56" t="str">
        <x:v>아니오</x:v>
      </x:c>
      <x:c r="H458" s="56" t="str">
        <x:v>예</x:v>
      </x:c>
      <x:c r="I458" s="56" t="str">
        <x:v>—</x:v>
      </x:c>
      <x:c r="J458" s="57" t="str">
        <x:v>—</x:v>
      </x:c>
      <x:c r="K458" s="57" t="str">
        <x:v>—</x:v>
      </x:c>
      <x:c r="L458" s="57" t="str">
        <x:v>—</x:v>
      </x:c>
      <x:c r="M458" s="57" t="str">
        <x:v>포함</x:v>
      </x:c>
      <x:c r="N458" s="57" t="str">
        <x:v>포함</x:v>
      </x:c>
      <x:c r="O458" s="57" t="str">
        <x:v>포함</x:v>
      </x:c>
      <x:c r="P458" s="57" t="str">
        <x:v>—</x:v>
      </x:c>
      <x:c r="Q458" s="57" t="str">
        <x:v>포함</x:v>
      </x:c>
      <x:c r="R458" s="57" t="str">
        <x:v>포함</x:v>
      </x:c>
    </x:row>
    <x:row r="459">
      <x:c r="A459" s="60" t="n">
        <x:v>455</x:v>
      </x:c>
      <x:c r="B459" s="56" t="str">
        <x:v>무스틈니</x:v>
      </x:c>
      <x:c r="C459" s="56" t="str">
        <x:v>carnivine</x:v>
      </x:c>
      <x:c r="D459" s="56" t="str">
        <x:v>숲</x:v>
      </x:c>
      <x:c r="E459" s="56" t="str">
        <x:v>보통</x:v>
      </x:c>
      <x:c r="F459" s="56" t="str">
        <x:v>아니오</x:v>
      </x:c>
      <x:c r="G459" s="56" t="str">
        <x:v>아니오</x:v>
      </x:c>
      <x:c r="H459" s="56" t="str">
        <x:v>예</x:v>
      </x:c>
      <x:c r="I459" s="56" t="str">
        <x:v>—</x:v>
      </x:c>
      <x:c r="J459" s="57" t="str">
        <x:v>—</x:v>
      </x:c>
      <x:c r="K459" s="57" t="str">
        <x:v>—</x:v>
      </x:c>
      <x:c r="L459" s="57" t="str">
        <x:v>—</x:v>
      </x:c>
      <x:c r="M459" s="57" t="str">
        <x:v>포함</x:v>
      </x:c>
      <x:c r="N459" s="57" t="str">
        <x:v>포함</x:v>
      </x:c>
      <x:c r="O459" s="57" t="str">
        <x:v>포함</x:v>
      </x:c>
      <x:c r="P459" s="57" t="str">
        <x:v>—</x:v>
      </x:c>
      <x:c r="Q459" s="57" t="str">
        <x:v>—</x:v>
      </x:c>
      <x:c r="R459" s="57" t="str">
        <x:v>—</x:v>
      </x:c>
    </x:row>
    <x:row r="460">
      <x:c r="A460" s="60" t="n">
        <x:v>456</x:v>
      </x:c>
      <x:c r="B460" s="56" t="str">
        <x:v>형광어</x:v>
      </x:c>
      <x:c r="C460" s="56" t="str">
        <x:v>finneon</x:v>
      </x:c>
      <x:c r="D460" s="56" t="str">
        <x:v>해양</x:v>
      </x:c>
      <x:c r="E460" s="56" t="str">
        <x:v>흔함</x:v>
      </x:c>
      <x:c r="F460" s="56" t="str">
        <x:v>아니오</x:v>
      </x:c>
      <x:c r="G460" s="56" t="str">
        <x:v>아니오</x:v>
      </x:c>
      <x:c r="H460" s="56" t="str">
        <x:v>예</x:v>
      </x:c>
      <x:c r="I460" s="56" t="str">
        <x:v>—</x:v>
      </x:c>
      <x:c r="J460" s="57" t="str">
        <x:v>—</x:v>
      </x:c>
      <x:c r="K460" s="57" t="str">
        <x:v>—</x:v>
      </x:c>
      <x:c r="L460" s="57" t="str">
        <x:v>—</x:v>
      </x:c>
      <x:c r="M460" s="57" t="str">
        <x:v>포함</x:v>
      </x:c>
      <x:c r="N460" s="57" t="str">
        <x:v>—</x:v>
      </x:c>
      <x:c r="O460" s="57" t="str">
        <x:v>—</x:v>
      </x:c>
      <x:c r="P460" s="57" t="str">
        <x:v>포함</x:v>
      </x:c>
      <x:c r="Q460" s="57" t="str">
        <x:v>—</x:v>
      </x:c>
      <x:c r="R460" s="57" t="str">
        <x:v>포함</x:v>
      </x:c>
    </x:row>
    <x:row r="461">
      <x:c r="A461" s="60" t="n">
        <x:v>457</x:v>
      </x:c>
      <x:c r="B461" s="56" t="str">
        <x:v>네오라이트</x:v>
      </x:c>
      <x:c r="C461" s="56" t="str">
        <x:v>lumineon</x:v>
      </x:c>
      <x:c r="D461" s="56" t="str">
        <x:v>해양</x:v>
      </x:c>
      <x:c r="E461" s="56" t="str">
        <x:v>흔함</x:v>
      </x:c>
      <x:c r="F461" s="56" t="str">
        <x:v>아니오</x:v>
      </x:c>
      <x:c r="G461" s="56" t="str">
        <x:v>아니오</x:v>
      </x:c>
      <x:c r="H461" s="56" t="str">
        <x:v>예</x:v>
      </x:c>
      <x:c r="I461" s="56" t="str">
        <x:v>—</x:v>
      </x:c>
      <x:c r="J461" s="57" t="str">
        <x:v>—</x:v>
      </x:c>
      <x:c r="K461" s="57" t="str">
        <x:v>—</x:v>
      </x:c>
      <x:c r="L461" s="57" t="str">
        <x:v>—</x:v>
      </x:c>
      <x:c r="M461" s="57" t="str">
        <x:v>포함</x:v>
      </x:c>
      <x:c r="N461" s="57" t="str">
        <x:v>—</x:v>
      </x:c>
      <x:c r="O461" s="57" t="str">
        <x:v>—</x:v>
      </x:c>
      <x:c r="P461" s="57" t="str">
        <x:v>포함</x:v>
      </x:c>
      <x:c r="Q461" s="57" t="str">
        <x:v>—</x:v>
      </x:c>
      <x:c r="R461" s="57" t="str">
        <x:v>포함</x:v>
      </x:c>
    </x:row>
    <x:row r="462">
      <x:c r="A462" s="60" t="n">
        <x:v>458</x:v>
      </x:c>
      <x:c r="B462" s="56" t="str">
        <x:v>타만타</x:v>
      </x:c>
      <x:c r="C462" s="56" t="str">
        <x:v>mantyke</x:v>
      </x:c>
      <x:c r="D462" s="56" t="str">
        <x:v>해양</x:v>
      </x:c>
      <x:c r="E462" s="56" t="str">
        <x:v>보통</x:v>
      </x:c>
      <x:c r="F462" s="56" t="str">
        <x:v>아니오</x:v>
      </x:c>
      <x:c r="G462" s="56" t="str">
        <x:v>아니오</x:v>
      </x:c>
      <x:c r="H462" s="56" t="str">
        <x:v>예</x:v>
      </x:c>
      <x:c r="I462" s="56" t="str">
        <x:v>—</x:v>
      </x:c>
      <x:c r="J462" s="57" t="str">
        <x:v>—</x:v>
      </x:c>
      <x:c r="K462" s="57" t="str">
        <x:v>—</x:v>
      </x:c>
      <x:c r="L462" s="57" t="str">
        <x:v>—</x:v>
      </x:c>
      <x:c r="M462" s="57" t="str">
        <x:v>포함</x:v>
      </x:c>
      <x:c r="N462" s="57" t="str">
        <x:v>포함</x:v>
      </x:c>
      <x:c r="O462" s="57" t="str">
        <x:v>포함</x:v>
      </x:c>
      <x:c r="P462" s="57" t="str">
        <x:v>포함</x:v>
      </x:c>
      <x:c r="Q462" s="57" t="str">
        <x:v>포함</x:v>
      </x:c>
      <x:c r="R462" s="57" t="str">
        <x:v>—</x:v>
      </x:c>
    </x:row>
    <x:row r="463">
      <x:c r="A463" s="60" t="n">
        <x:v>459</x:v>
      </x:c>
      <x:c r="B463" s="56" t="str">
        <x:v>눈쓰개</x:v>
      </x:c>
      <x:c r="C463" s="56" t="str">
        <x:v>snover</x:v>
      </x:c>
      <x:c r="D463" s="56" t="str">
        <x:v>설원</x:v>
      </x:c>
      <x:c r="E463" s="56" t="str">
        <x:v>흔함</x:v>
      </x:c>
      <x:c r="F463" s="56" t="str">
        <x:v>아니오</x:v>
      </x:c>
      <x:c r="G463" s="56" t="str">
        <x:v>아니오</x:v>
      </x:c>
      <x:c r="H463" s="56" t="str">
        <x:v>예</x:v>
      </x:c>
      <x:c r="I463" s="56" t="str">
        <x:v>—</x:v>
      </x:c>
      <x:c r="J463" s="57" t="str">
        <x:v>—</x:v>
      </x:c>
      <x:c r="K463" s="57" t="str">
        <x:v>—</x:v>
      </x:c>
      <x:c r="L463" s="57" t="str">
        <x:v>—</x:v>
      </x:c>
      <x:c r="M463" s="57" t="str">
        <x:v>포함</x:v>
      </x:c>
      <x:c r="N463" s="57" t="str">
        <x:v>—</x:v>
      </x:c>
      <x:c r="O463" s="57" t="str">
        <x:v>포함</x:v>
      </x:c>
      <x:c r="P463" s="57" t="str">
        <x:v>—</x:v>
      </x:c>
      <x:c r="Q463" s="57" t="str">
        <x:v>포함</x:v>
      </x:c>
      <x:c r="R463" s="57" t="str">
        <x:v>포함</x:v>
      </x:c>
    </x:row>
    <x:row r="464">
      <x:c r="A464" s="60" t="n">
        <x:v>460</x:v>
      </x:c>
      <x:c r="B464" s="56" t="str">
        <x:v>눈설왕</x:v>
      </x:c>
      <x:c r="C464" s="56" t="str">
        <x:v>abomasnow</x:v>
      </x:c>
      <x:c r="D464" s="56" t="str">
        <x:v>설원</x:v>
      </x:c>
      <x:c r="E464" s="56" t="str">
        <x:v>보통</x:v>
      </x:c>
      <x:c r="F464" s="56" t="str">
        <x:v>아니오</x:v>
      </x:c>
      <x:c r="G464" s="56" t="str">
        <x:v>아니오</x:v>
      </x:c>
      <x:c r="H464" s="56" t="str">
        <x:v>예</x:v>
      </x:c>
      <x:c r="I464" s="56" t="str">
        <x:v>—</x:v>
      </x:c>
      <x:c r="J464" s="57" t="str">
        <x:v>—</x:v>
      </x:c>
      <x:c r="K464" s="57" t="str">
        <x:v>—</x:v>
      </x:c>
      <x:c r="L464" s="57" t="str">
        <x:v>—</x:v>
      </x:c>
      <x:c r="M464" s="57" t="str">
        <x:v>포함</x:v>
      </x:c>
      <x:c r="N464" s="57" t="str">
        <x:v>—</x:v>
      </x:c>
      <x:c r="O464" s="57" t="str">
        <x:v>포함</x:v>
      </x:c>
      <x:c r="P464" s="57" t="str">
        <x:v>—</x:v>
      </x:c>
      <x:c r="Q464" s="57" t="str">
        <x:v>포함</x:v>
      </x:c>
      <x:c r="R464" s="57" t="str">
        <x:v>포함</x:v>
      </x:c>
    </x:row>
    <x:row r="465">
      <x:c r="A465" s="60" t="n">
        <x:v>461</x:v>
      </x:c>
      <x:c r="B465" s="56" t="str">
        <x:v>포푸니라</x:v>
      </x:c>
      <x:c r="C465" s="56" t="str">
        <x:v>weavile</x:v>
      </x:c>
      <x:c r="D465" s="56" t="str">
        <x:v>숲</x:v>
      </x:c>
      <x:c r="E465" s="56" t="str">
        <x:v>보통</x:v>
      </x:c>
      <x:c r="F465" s="56" t="str">
        <x:v>아니오</x:v>
      </x:c>
      <x:c r="G465" s="56" t="str">
        <x:v>아니오</x:v>
      </x:c>
      <x:c r="H465" s="56" t="str">
        <x:v>예</x:v>
      </x:c>
      <x:c r="I465" s="56" t="str">
        <x:v>—</x:v>
      </x:c>
      <x:c r="J465" s="57" t="str">
        <x:v>—</x:v>
      </x:c>
      <x:c r="K465" s="57" t="str">
        <x:v>—</x:v>
      </x:c>
      <x:c r="L465" s="57" t="str">
        <x:v>—</x:v>
      </x:c>
      <x:c r="M465" s="57" t="str">
        <x:v>포함</x:v>
      </x:c>
      <x:c r="N465" s="57" t="str">
        <x:v>포함</x:v>
      </x:c>
      <x:c r="O465" s="57" t="str">
        <x:v>포함</x:v>
      </x:c>
      <x:c r="P465" s="57" t="str">
        <x:v>포함</x:v>
      </x:c>
      <x:c r="Q465" s="57" t="str">
        <x:v>포함</x:v>
      </x:c>
      <x:c r="R465" s="57" t="str">
        <x:v>포함</x:v>
      </x:c>
    </x:row>
    <x:row r="466">
      <x:c r="A466" s="60" t="n">
        <x:v>462</x:v>
      </x:c>
      <x:c r="B466" s="56" t="str">
        <x:v>자포코일</x:v>
      </x:c>
      <x:c r="C466" s="56" t="str">
        <x:v>magnezone</x:v>
      </x:c>
      <x:c r="D466" s="56" t="str">
        <x:v>건조지</x:v>
      </x:c>
      <x:c r="E466" s="56" t="str">
        <x:v>보통</x:v>
      </x:c>
      <x:c r="F466" s="56" t="str">
        <x:v>아니오</x:v>
      </x:c>
      <x:c r="G466" s="56" t="str">
        <x:v>아니오</x:v>
      </x:c>
      <x:c r="H466" s="56" t="str">
        <x:v>예</x:v>
      </x:c>
      <x:c r="I466" s="56" t="str">
        <x:v>—</x:v>
      </x:c>
      <x:c r="J466" s="57" t="str">
        <x:v>—</x:v>
      </x:c>
      <x:c r="K466" s="57" t="str">
        <x:v>—</x:v>
      </x:c>
      <x:c r="L466" s="57" t="str">
        <x:v>—</x:v>
      </x:c>
      <x:c r="M466" s="57" t="str">
        <x:v>포함</x:v>
      </x:c>
      <x:c r="N466" s="57" t="str">
        <x:v>포함</x:v>
      </x:c>
      <x:c r="O466" s="57" t="str">
        <x:v>포함</x:v>
      </x:c>
      <x:c r="P466" s="57" t="str">
        <x:v>포함</x:v>
      </x:c>
      <x:c r="Q466" s="57" t="str">
        <x:v>포함</x:v>
      </x:c>
      <x:c r="R466" s="57" t="str">
        <x:v>포함</x:v>
      </x:c>
    </x:row>
    <x:row r="467">
      <x:c r="A467" s="60" t="n">
        <x:v>463</x:v>
      </x:c>
      <x:c r="B467" s="56" t="str">
        <x:v>내룸벨트</x:v>
      </x:c>
      <x:c r="C467" s="56" t="str">
        <x:v>lickilicky</x:v>
      </x:c>
      <x:c r="D467" s="56" t="str">
        <x:v>평원</x:v>
      </x:c>
      <x:c r="E467" s="56" t="str">
        <x:v>보통</x:v>
      </x:c>
      <x:c r="F467" s="56" t="str">
        <x:v>아니오</x:v>
      </x:c>
      <x:c r="G467" s="56" t="str">
        <x:v>아니오</x:v>
      </x:c>
      <x:c r="H467" s="56" t="str">
        <x:v>예</x:v>
      </x:c>
      <x:c r="I467" s="56" t="str">
        <x:v>—</x:v>
      </x:c>
      <x:c r="J467" s="57" t="str">
        <x:v>—</x:v>
      </x:c>
      <x:c r="K467" s="57" t="str">
        <x:v>—</x:v>
      </x:c>
      <x:c r="L467" s="57" t="str">
        <x:v>—</x:v>
      </x:c>
      <x:c r="M467" s="57" t="str">
        <x:v>포함</x:v>
      </x:c>
      <x:c r="N467" s="57" t="str">
        <x:v>포함</x:v>
      </x:c>
      <x:c r="O467" s="57" t="str">
        <x:v>포함</x:v>
      </x:c>
      <x:c r="P467" s="57" t="str">
        <x:v>포함</x:v>
      </x:c>
      <x:c r="Q467" s="57" t="str">
        <x:v>포함</x:v>
      </x:c>
      <x:c r="R467" s="57" t="str">
        <x:v>—</x:v>
      </x:c>
    </x:row>
    <x:row r="468">
      <x:c r="A468" s="60" t="n">
        <x:v>464</x:v>
      </x:c>
      <x:c r="B468" s="56" t="str">
        <x:v>거대코뿌리</x:v>
      </x:c>
      <x:c r="C468" s="56" t="str">
        <x:v>rhyperior</x:v>
      </x:c>
      <x:c r="D468" s="56" t="str">
        <x:v>산악</x:v>
      </x:c>
      <x:c r="E468" s="56" t="str">
        <x:v>흔함</x:v>
      </x:c>
      <x:c r="F468" s="56" t="str">
        <x:v>아니오</x:v>
      </x:c>
      <x:c r="G468" s="56" t="str">
        <x:v>아니오</x:v>
      </x:c>
      <x:c r="H468" s="56" t="str">
        <x:v>예</x:v>
      </x:c>
      <x:c r="I468" s="56" t="str">
        <x:v>—</x:v>
      </x:c>
      <x:c r="J468" s="57" t="str">
        <x:v>—</x:v>
      </x:c>
      <x:c r="K468" s="57" t="str">
        <x:v>—</x:v>
      </x:c>
      <x:c r="L468" s="57" t="str">
        <x:v>—</x:v>
      </x:c>
      <x:c r="M468" s="57" t="str">
        <x:v>포함</x:v>
      </x:c>
      <x:c r="N468" s="57" t="str">
        <x:v>—</x:v>
      </x:c>
      <x:c r="O468" s="57" t="str">
        <x:v>포함</x:v>
      </x:c>
      <x:c r="P468" s="57" t="str">
        <x:v>—</x:v>
      </x:c>
      <x:c r="Q468" s="57" t="str">
        <x:v>포함</x:v>
      </x:c>
      <x:c r="R468" s="57" t="str">
        <x:v>포함</x:v>
      </x:c>
    </x:row>
    <x:row r="469">
      <x:c r="A469" s="60" t="n">
        <x:v>465</x:v>
      </x:c>
      <x:c r="B469" s="56" t="str">
        <x:v>덩쿠림보</x:v>
      </x:c>
      <x:c r="C469" s="56" t="str">
        <x:v>tangrowth</x:v>
      </x:c>
      <x:c r="D469" s="56" t="str">
        <x:v>숲</x:v>
      </x:c>
      <x:c r="E469" s="56" t="str">
        <x:v>흔함</x:v>
      </x:c>
      <x:c r="F469" s="56" t="str">
        <x:v>아니오</x:v>
      </x:c>
      <x:c r="G469" s="56" t="str">
        <x:v>아니오</x:v>
      </x:c>
      <x:c r="H469" s="56" t="str">
        <x:v>예</x:v>
      </x:c>
      <x:c r="I469" s="56" t="str">
        <x:v>—</x:v>
      </x:c>
      <x:c r="J469" s="57" t="str">
        <x:v>—</x:v>
      </x:c>
      <x:c r="K469" s="57" t="str">
        <x:v>—</x:v>
      </x:c>
      <x:c r="L469" s="57" t="str">
        <x:v>—</x:v>
      </x:c>
      <x:c r="M469" s="57" t="str">
        <x:v>포함</x:v>
      </x:c>
      <x:c r="N469" s="57" t="str">
        <x:v>포함</x:v>
      </x:c>
      <x:c r="O469" s="57" t="str">
        <x:v>—</x:v>
      </x:c>
      <x:c r="P469" s="57" t="str">
        <x:v>—</x:v>
      </x:c>
      <x:c r="Q469" s="57" t="str">
        <x:v>포함</x:v>
      </x:c>
      <x:c r="R469" s="57" t="str">
        <x:v>—</x:v>
      </x:c>
    </x:row>
    <x:row r="470">
      <x:c r="A470" s="60" t="n">
        <x:v>466</x:v>
      </x:c>
      <x:c r="B470" s="56" t="str">
        <x:v>에레키블</x:v>
      </x:c>
      <x:c r="C470" s="56" t="str">
        <x:v>electivire</x:v>
      </x:c>
      <x:c r="D470" s="56" t="str">
        <x:v>산악</x:v>
      </x:c>
      <x:c r="E470" s="56" t="str">
        <x:v>보통</x:v>
      </x:c>
      <x:c r="F470" s="56" t="str">
        <x:v>아니오</x:v>
      </x:c>
      <x:c r="G470" s="56" t="str">
        <x:v>아니오</x:v>
      </x:c>
      <x:c r="H470" s="56" t="str">
        <x:v>예</x:v>
      </x:c>
      <x:c r="I470" s="56" t="str">
        <x:v>—</x:v>
      </x:c>
      <x:c r="J470" s="57" t="str">
        <x:v>—</x:v>
      </x:c>
      <x:c r="K470" s="57" t="str">
        <x:v>—</x:v>
      </x:c>
      <x:c r="L470" s="57" t="str">
        <x:v>—</x:v>
      </x:c>
      <x:c r="M470" s="57" t="str">
        <x:v>포함</x:v>
      </x:c>
      <x:c r="N470" s="57" t="str">
        <x:v>포함</x:v>
      </x:c>
      <x:c r="O470" s="57" t="str">
        <x:v>—</x:v>
      </x:c>
      <x:c r="P470" s="57" t="str">
        <x:v>포함</x:v>
      </x:c>
      <x:c r="Q470" s="57" t="str">
        <x:v>포함</x:v>
      </x:c>
      <x:c r="R470" s="57" t="str">
        <x:v>포함</x:v>
      </x:c>
    </x:row>
    <x:row r="471">
      <x:c r="A471" s="60" t="n">
        <x:v>467</x:v>
      </x:c>
      <x:c r="B471" s="56" t="str">
        <x:v>마그마번</x:v>
      </x:c>
      <x:c r="C471" s="56" t="str">
        <x:v>magmortar</x:v>
      </x:c>
      <x:c r="D471" s="56" t="str">
        <x:v>화산</x:v>
      </x:c>
      <x:c r="E471" s="56" t="str">
        <x:v>흔함</x:v>
      </x:c>
      <x:c r="F471" s="56" t="str">
        <x:v>아니오</x:v>
      </x:c>
      <x:c r="G471" s="56" t="str">
        <x:v>아니오</x:v>
      </x:c>
      <x:c r="H471" s="56" t="str">
        <x:v>예</x:v>
      </x:c>
      <x:c r="I471" s="56" t="str">
        <x:v>—</x:v>
      </x:c>
      <x:c r="J471" s="57" t="str">
        <x:v>—</x:v>
      </x:c>
      <x:c r="K471" s="57" t="str">
        <x:v>—</x:v>
      </x:c>
      <x:c r="L471" s="57" t="str">
        <x:v>—</x:v>
      </x:c>
      <x:c r="M471" s="57" t="str">
        <x:v>포함</x:v>
      </x:c>
      <x:c r="N471" s="57" t="str">
        <x:v>포함</x:v>
      </x:c>
      <x:c r="O471" s="57" t="str">
        <x:v>—</x:v>
      </x:c>
      <x:c r="P471" s="57" t="str">
        <x:v>포함</x:v>
      </x:c>
      <x:c r="Q471" s="57" t="str">
        <x:v>포함</x:v>
      </x:c>
      <x:c r="R471" s="57" t="str">
        <x:v>포함</x:v>
      </x:c>
    </x:row>
    <x:row r="472">
      <x:c r="A472" s="60" t="n">
        <x:v>468</x:v>
      </x:c>
      <x:c r="B472" s="56" t="str">
        <x:v>토게키스</x:v>
      </x:c>
      <x:c r="C472" s="56" t="str">
        <x:v>togekiss</x:v>
      </x:c>
      <x:c r="D472" s="56" t="str">
        <x:v>평원</x:v>
      </x:c>
      <x:c r="E472" s="56" t="str">
        <x:v>드묾</x:v>
      </x:c>
      <x:c r="F472" s="56" t="str">
        <x:v>아니오</x:v>
      </x:c>
      <x:c r="G472" s="56" t="str">
        <x:v>아니오</x:v>
      </x:c>
      <x:c r="H472" s="56" t="str">
        <x:v>예</x:v>
      </x:c>
      <x:c r="I472" s="56" t="str">
        <x:v>—</x:v>
      </x:c>
      <x:c r="J472" s="57" t="str">
        <x:v>—</x:v>
      </x:c>
      <x:c r="K472" s="57" t="str">
        <x:v>—</x:v>
      </x:c>
      <x:c r="L472" s="57" t="str">
        <x:v>—</x:v>
      </x:c>
      <x:c r="M472" s="57" t="str">
        <x:v>포함</x:v>
      </x:c>
      <x:c r="N472" s="57" t="str">
        <x:v>—</x:v>
      </x:c>
      <x:c r="O472" s="57" t="str">
        <x:v>—</x:v>
      </x:c>
      <x:c r="P472" s="57" t="str">
        <x:v>—</x:v>
      </x:c>
      <x:c r="Q472" s="57" t="str">
        <x:v>포함</x:v>
      </x:c>
      <x:c r="R472" s="57" t="str">
        <x:v>—</x:v>
      </x:c>
    </x:row>
    <x:row r="473">
      <x:c r="A473" s="60" t="n">
        <x:v>469</x:v>
      </x:c>
      <x:c r="B473" s="56" t="str">
        <x:v>메가자리</x:v>
      </x:c>
      <x:c r="C473" s="56" t="str">
        <x:v>yanmega</x:v>
      </x:c>
      <x:c r="D473" s="56" t="str">
        <x:v>담수</x:v>
      </x:c>
      <x:c r="E473" s="56" t="str">
        <x:v>보통</x:v>
      </x:c>
      <x:c r="F473" s="56" t="str">
        <x:v>아니오</x:v>
      </x:c>
      <x:c r="G473" s="56" t="str">
        <x:v>아니오</x:v>
      </x:c>
      <x:c r="H473" s="56" t="str">
        <x:v>예</x:v>
      </x:c>
      <x:c r="I473" s="56" t="str">
        <x:v>—</x:v>
      </x:c>
      <x:c r="J473" s="57" t="str">
        <x:v>—</x:v>
      </x:c>
      <x:c r="K473" s="57" t="str">
        <x:v>—</x:v>
      </x:c>
      <x:c r="L473" s="57" t="str">
        <x:v>—</x:v>
      </x:c>
      <x:c r="M473" s="57" t="str">
        <x:v>포함</x:v>
      </x:c>
      <x:c r="N473" s="57" t="str">
        <x:v>포함</x:v>
      </x:c>
      <x:c r="O473" s="57" t="str">
        <x:v>포함</x:v>
      </x:c>
      <x:c r="P473" s="57" t="str">
        <x:v>—</x:v>
      </x:c>
      <x:c r="Q473" s="57" t="str">
        <x:v>—</x:v>
      </x:c>
      <x:c r="R473" s="57" t="str">
        <x:v>포함</x:v>
      </x:c>
    </x:row>
    <x:row r="474">
      <x:c r="A474" s="60" t="n">
        <x:v>470</x:v>
      </x:c>
      <x:c r="B474" s="56" t="str">
        <x:v>리피아</x:v>
      </x:c>
      <x:c r="C474" s="56" t="str">
        <x:v>leafeon</x:v>
      </x:c>
      <x:c r="D474" s="56" t="str">
        <x:v>숲</x:v>
      </x:c>
      <x:c r="E474" s="56" t="str">
        <x:v>보통</x:v>
      </x:c>
      <x:c r="F474" s="56" t="str">
        <x:v>아니오</x:v>
      </x:c>
      <x:c r="G474" s="56" t="str">
        <x:v>아니오</x:v>
      </x:c>
      <x:c r="H474" s="56" t="str">
        <x:v>예</x:v>
      </x:c>
      <x:c r="I474" s="56" t="str">
        <x:v>—</x:v>
      </x:c>
      <x:c r="J474" s="57" t="str">
        <x:v>—</x:v>
      </x:c>
      <x:c r="K474" s="57" t="str">
        <x:v>—</x:v>
      </x:c>
      <x:c r="L474" s="57" t="str">
        <x:v>—</x:v>
      </x:c>
      <x:c r="M474" s="57" t="str">
        <x:v>포함</x:v>
      </x:c>
      <x:c r="N474" s="57" t="str">
        <x:v>포함</x:v>
      </x:c>
      <x:c r="O474" s="57" t="str">
        <x:v>포함</x:v>
      </x:c>
      <x:c r="P474" s="57" t="str">
        <x:v>포함</x:v>
      </x:c>
      <x:c r="Q474" s="57" t="str">
        <x:v>포함</x:v>
      </x:c>
      <x:c r="R474" s="57" t="str">
        <x:v>포함</x:v>
      </x:c>
    </x:row>
    <x:row r="475">
      <x:c r="A475" s="60" t="n">
        <x:v>471</x:v>
      </x:c>
      <x:c r="B475" s="56" t="str">
        <x:v>글레이시아</x:v>
      </x:c>
      <x:c r="C475" s="56" t="str">
        <x:v>glaceon</x:v>
      </x:c>
      <x:c r="D475" s="56" t="str">
        <x:v>설원</x:v>
      </x:c>
      <x:c r="E475" s="56" t="str">
        <x:v>보통</x:v>
      </x:c>
      <x:c r="F475" s="56" t="str">
        <x:v>아니오</x:v>
      </x:c>
      <x:c r="G475" s="56" t="str">
        <x:v>아니오</x:v>
      </x:c>
      <x:c r="H475" s="56" t="str">
        <x:v>예</x:v>
      </x:c>
      <x:c r="I475" s="56" t="str">
        <x:v>—</x:v>
      </x:c>
      <x:c r="J475" s="57" t="str">
        <x:v>—</x:v>
      </x:c>
      <x:c r="K475" s="57" t="str">
        <x:v>—</x:v>
      </x:c>
      <x:c r="L475" s="57" t="str">
        <x:v>—</x:v>
      </x:c>
      <x:c r="M475" s="57" t="str">
        <x:v>포함</x:v>
      </x:c>
      <x:c r="N475" s="57" t="str">
        <x:v>포함</x:v>
      </x:c>
      <x:c r="O475" s="57" t="str">
        <x:v>포함</x:v>
      </x:c>
      <x:c r="P475" s="57" t="str">
        <x:v>포함</x:v>
      </x:c>
      <x:c r="Q475" s="57" t="str">
        <x:v>포함</x:v>
      </x:c>
      <x:c r="R475" s="57" t="str">
        <x:v>포함</x:v>
      </x:c>
    </x:row>
    <x:row r="476">
      <x:c r="A476" s="60" t="n">
        <x:v>472</x:v>
      </x:c>
      <x:c r="B476" s="56" t="str">
        <x:v>글라이온</x:v>
      </x:c>
      <x:c r="C476" s="56" t="str">
        <x:v>gliscor</x:v>
      </x:c>
      <x:c r="D476" s="56" t="str">
        <x:v>화산</x:v>
      </x:c>
      <x:c r="E476" s="56" t="str">
        <x:v>보통</x:v>
      </x:c>
      <x:c r="F476" s="56" t="str">
        <x:v>아니오</x:v>
      </x:c>
      <x:c r="G476" s="56" t="str">
        <x:v>아니오</x:v>
      </x:c>
      <x:c r="H476" s="56" t="str">
        <x:v>예</x:v>
      </x:c>
      <x:c r="I476" s="56" t="str">
        <x:v>—</x:v>
      </x:c>
      <x:c r="J476" s="57" t="str">
        <x:v>—</x:v>
      </x:c>
      <x:c r="K476" s="57" t="str">
        <x:v>—</x:v>
      </x:c>
      <x:c r="L476" s="57" t="str">
        <x:v>—</x:v>
      </x:c>
      <x:c r="M476" s="57" t="str">
        <x:v>포함</x:v>
      </x:c>
      <x:c r="N476" s="57" t="str">
        <x:v>포함</x:v>
      </x:c>
      <x:c r="O476" s="57" t="str">
        <x:v>포함</x:v>
      </x:c>
      <x:c r="P476" s="57" t="str">
        <x:v>—</x:v>
      </x:c>
      <x:c r="Q476" s="57" t="str">
        <x:v>—</x:v>
      </x:c>
      <x:c r="R476" s="57" t="str">
        <x:v>포함</x:v>
      </x:c>
    </x:row>
    <x:row r="477">
      <x:c r="A477" s="60" t="n">
        <x:v>473</x:v>
      </x:c>
      <x:c r="B477" s="56" t="str">
        <x:v>맘모꾸리</x:v>
      </x:c>
      <x:c r="C477" s="56" t="str">
        <x:v>mamoswine</x:v>
      </x:c>
      <x:c r="D477" s="56" t="str">
        <x:v>산악</x:v>
      </x:c>
      <x:c r="E477" s="56" t="str">
        <x:v>흔함</x:v>
      </x:c>
      <x:c r="F477" s="56" t="str">
        <x:v>아니오</x:v>
      </x:c>
      <x:c r="G477" s="56" t="str">
        <x:v>아니오</x:v>
      </x:c>
      <x:c r="H477" s="56" t="str">
        <x:v>예</x:v>
      </x:c>
      <x:c r="I477" s="56" t="str">
        <x:v>—</x:v>
      </x:c>
      <x:c r="J477" s="57" t="str">
        <x:v>—</x:v>
      </x:c>
      <x:c r="K477" s="57" t="str">
        <x:v>—</x:v>
      </x:c>
      <x:c r="L477" s="57" t="str">
        <x:v>—</x:v>
      </x:c>
      <x:c r="M477" s="57" t="str">
        <x:v>포함</x:v>
      </x:c>
      <x:c r="N477" s="57" t="str">
        <x:v>포함</x:v>
      </x:c>
      <x:c r="O477" s="57" t="str">
        <x:v>포함</x:v>
      </x:c>
      <x:c r="P477" s="57" t="str">
        <x:v>—</x:v>
      </x:c>
      <x:c r="Q477" s="57" t="str">
        <x:v>포함</x:v>
      </x:c>
      <x:c r="R477" s="57" t="str">
        <x:v>포함</x:v>
      </x:c>
    </x:row>
    <x:row r="478">
      <x:c r="A478" s="60" t="n">
        <x:v>474</x:v>
      </x:c>
      <x:c r="B478" s="56" t="str">
        <x:v>폴리곤Z</x:v>
      </x:c>
      <x:c r="C478" s="56" t="str">
        <x:v>porygonz</x:v>
      </x:c>
      <x:c r="D478" s="56" t="str">
        <x:v>도시</x:v>
      </x:c>
      <x:c r="E478" s="56" t="str">
        <x:v>드묾</x:v>
      </x:c>
      <x:c r="F478" s="56" t="str">
        <x:v>아니오</x:v>
      </x:c>
      <x:c r="G478" s="56" t="str">
        <x:v>아니오</x:v>
      </x:c>
      <x:c r="H478" s="56" t="str">
        <x:v>예</x:v>
      </x:c>
      <x:c r="I478" s="56" t="str">
        <x:v>—</x:v>
      </x:c>
      <x:c r="J478" s="57" t="str">
        <x:v>—</x:v>
      </x:c>
      <x:c r="K478" s="57" t="str">
        <x:v>—</x:v>
      </x:c>
      <x:c r="L478" s="57" t="str">
        <x:v>—</x:v>
      </x:c>
      <x:c r="M478" s="57" t="str">
        <x:v>포함</x:v>
      </x:c>
      <x:c r="N478" s="57" t="str">
        <x:v>—</x:v>
      </x:c>
      <x:c r="O478" s="57" t="str">
        <x:v>—</x:v>
      </x:c>
      <x:c r="P478" s="57" t="str">
        <x:v>포함</x:v>
      </x:c>
      <x:c r="Q478" s="57" t="str">
        <x:v>포함</x:v>
      </x:c>
      <x:c r="R478" s="57" t="str">
        <x:v>포함</x:v>
      </x:c>
    </x:row>
    <x:row r="479">
      <x:c r="A479" s="60" t="n">
        <x:v>475</x:v>
      </x:c>
      <x:c r="B479" s="56" t="str">
        <x:v>엘레이드</x:v>
      </x:c>
      <x:c r="C479" s="56" t="str">
        <x:v>gallade</x:v>
      </x:c>
      <x:c r="D479" s="56" t="str">
        <x:v>숲</x:v>
      </x:c>
      <x:c r="E479" s="56" t="str">
        <x:v>흔함</x:v>
      </x:c>
      <x:c r="F479" s="56" t="str">
        <x:v>아니오</x:v>
      </x:c>
      <x:c r="G479" s="56" t="str">
        <x:v>아니오</x:v>
      </x:c>
      <x:c r="H479" s="56" t="str">
        <x:v>예</x:v>
      </x:c>
      <x:c r="I479" s="56" t="str">
        <x:v>—</x:v>
      </x:c>
      <x:c r="J479" s="57" t="str">
        <x:v>—</x:v>
      </x:c>
      <x:c r="K479" s="57" t="str">
        <x:v>—</x:v>
      </x:c>
      <x:c r="L479" s="57" t="str">
        <x:v>—</x:v>
      </x:c>
      <x:c r="M479" s="57" t="str">
        <x:v>포함</x:v>
      </x:c>
      <x:c r="N479" s="57" t="str">
        <x:v>—</x:v>
      </x:c>
      <x:c r="O479" s="57" t="str">
        <x:v>포함</x:v>
      </x:c>
      <x:c r="P479" s="57" t="str">
        <x:v>—</x:v>
      </x:c>
      <x:c r="Q479" s="57" t="str">
        <x:v>포함</x:v>
      </x:c>
      <x:c r="R479" s="57" t="str">
        <x:v>포함</x:v>
      </x:c>
    </x:row>
    <x:row r="480">
      <x:c r="A480" s="60" t="n">
        <x:v>476</x:v>
      </x:c>
      <x:c r="B480" s="56" t="str">
        <x:v>대코파스</x:v>
      </x:c>
      <x:c r="C480" s="56" t="str">
        <x:v>probopass</x:v>
      </x:c>
      <x:c r="D480" s="56" t="str">
        <x:v>산악</x:v>
      </x:c>
      <x:c r="E480" s="56" t="str">
        <x:v>보통</x:v>
      </x:c>
      <x:c r="F480" s="56" t="str">
        <x:v>아니오</x:v>
      </x:c>
      <x:c r="G480" s="56" t="str">
        <x:v>아니오</x:v>
      </x:c>
      <x:c r="H480" s="56" t="str">
        <x:v>예</x:v>
      </x:c>
      <x:c r="I480" s="56" t="str">
        <x:v>—</x:v>
      </x:c>
      <x:c r="J480" s="57" t="str">
        <x:v>—</x:v>
      </x:c>
      <x:c r="K480" s="57" t="str">
        <x:v>—</x:v>
      </x:c>
      <x:c r="L480" s="57" t="str">
        <x:v>—</x:v>
      </x:c>
      <x:c r="M480" s="57" t="str">
        <x:v>포함</x:v>
      </x:c>
      <x:c r="N480" s="57" t="str">
        <x:v>포함</x:v>
      </x:c>
      <x:c r="O480" s="57" t="str">
        <x:v>포함</x:v>
      </x:c>
      <x:c r="P480" s="57" t="str">
        <x:v>포함</x:v>
      </x:c>
      <x:c r="Q480" s="57" t="str">
        <x:v>—</x:v>
      </x:c>
      <x:c r="R480" s="57" t="str">
        <x:v>포함</x:v>
      </x:c>
    </x:row>
    <x:row r="481">
      <x:c r="A481" s="60" t="n">
        <x:v>477</x:v>
      </x:c>
      <x:c r="B481" s="56" t="str">
        <x:v>야느와르몽</x:v>
      </x:c>
      <x:c r="C481" s="56" t="str">
        <x:v>dusknoir</x:v>
      </x:c>
      <x:c r="D481" s="56" t="str">
        <x:v>특수</x:v>
      </x:c>
      <x:c r="E481" s="56" t="str">
        <x:v>흔함</x:v>
      </x:c>
      <x:c r="F481" s="56" t="str">
        <x:v>아니오</x:v>
      </x:c>
      <x:c r="G481" s="56" t="str">
        <x:v>아니오</x:v>
      </x:c>
      <x:c r="H481" s="56" t="str">
        <x:v>예</x:v>
      </x:c>
      <x:c r="I481" s="56" t="str">
        <x:v>—</x:v>
      </x:c>
      <x:c r="J481" s="57" t="str">
        <x:v>—</x:v>
      </x:c>
      <x:c r="K481" s="57" t="str">
        <x:v>—</x:v>
      </x:c>
      <x:c r="L481" s="57" t="str">
        <x:v>—</x:v>
      </x:c>
      <x:c r="M481" s="57" t="str">
        <x:v>포함</x:v>
      </x:c>
      <x:c r="N481" s="57" t="str">
        <x:v>—</x:v>
      </x:c>
      <x:c r="O481" s="57" t="str">
        <x:v>—</x:v>
      </x:c>
      <x:c r="P481" s="57" t="str">
        <x:v>—</x:v>
      </x:c>
      <x:c r="Q481" s="57" t="str">
        <x:v>포함</x:v>
      </x:c>
      <x:c r="R481" s="57" t="str">
        <x:v>포함</x:v>
      </x:c>
    </x:row>
    <x:row r="482">
      <x:c r="A482" s="60" t="n">
        <x:v>478</x:v>
      </x:c>
      <x:c r="B482" s="56" t="str">
        <x:v>눈여아</x:v>
      </x:c>
      <x:c r="C482" s="56" t="str">
        <x:v>froslass</x:v>
      </x:c>
      <x:c r="D482" s="56" t="str">
        <x:v>설원</x:v>
      </x:c>
      <x:c r="E482" s="56" t="str">
        <x:v>보통</x:v>
      </x:c>
      <x:c r="F482" s="56" t="str">
        <x:v>아니오</x:v>
      </x:c>
      <x:c r="G482" s="56" t="str">
        <x:v>아니오</x:v>
      </x:c>
      <x:c r="H482" s="56" t="str">
        <x:v>예</x:v>
      </x:c>
      <x:c r="I482" s="56" t="str">
        <x:v>—</x:v>
      </x:c>
      <x:c r="J482" s="57" t="str">
        <x:v>—</x:v>
      </x:c>
      <x:c r="K482" s="57" t="str">
        <x:v>—</x:v>
      </x:c>
      <x:c r="L482" s="57" t="str">
        <x:v>—</x:v>
      </x:c>
      <x:c r="M482" s="57" t="str">
        <x:v>포함</x:v>
      </x:c>
      <x:c r="N482" s="57" t="str">
        <x:v>—</x:v>
      </x:c>
      <x:c r="O482" s="57" t="str">
        <x:v>—</x:v>
      </x:c>
      <x:c r="P482" s="57" t="str">
        <x:v>포함</x:v>
      </x:c>
      <x:c r="Q482" s="57" t="str">
        <x:v>포함</x:v>
      </x:c>
      <x:c r="R482" s="57" t="str">
        <x:v>포함</x:v>
      </x:c>
    </x:row>
    <x:row r="483">
      <x:c r="A483" s="60" t="n">
        <x:v>479</x:v>
      </x:c>
      <x:c r="B483" s="56" t="str">
        <x:v>로토무</x:v>
      </x:c>
      <x:c r="C483" s="56" t="str">
        <x:v>rotom</x:v>
      </x:c>
      <x:c r="D483" s="56" t="str">
        <x:v>도시</x:v>
      </x:c>
      <x:c r="E483" s="56" t="str">
        <x:v>드묾</x:v>
      </x:c>
      <x:c r="F483" s="56" t="str">
        <x:v>아니오</x:v>
      </x:c>
      <x:c r="G483" s="56" t="str">
        <x:v>아니오</x:v>
      </x:c>
      <x:c r="H483" s="56" t="str">
        <x:v>예</x:v>
      </x:c>
      <x:c r="I483" s="56" t="str">
        <x:v>—</x:v>
      </x:c>
      <x:c r="J483" s="57" t="str">
        <x:v>—</x:v>
      </x:c>
      <x:c r="K483" s="57" t="str">
        <x:v>—</x:v>
      </x:c>
      <x:c r="L483" s="57" t="str">
        <x:v>—</x:v>
      </x:c>
      <x:c r="M483" s="57" t="str">
        <x:v>포함</x:v>
      </x:c>
      <x:c r="N483" s="57" t="str">
        <x:v>—</x:v>
      </x:c>
      <x:c r="O483" s="57" t="str">
        <x:v>포함</x:v>
      </x:c>
      <x:c r="P483" s="57" t="str">
        <x:v>—</x:v>
      </x:c>
      <x:c r="Q483" s="57" t="str">
        <x:v>포함</x:v>
      </x:c>
      <x:c r="R483" s="57" t="str">
        <x:v>포함</x:v>
      </x:c>
    </x:row>
    <x:row r="484">
      <x:c r="A484" s="60" t="n">
        <x:v>480</x:v>
      </x:c>
      <x:c r="B484" s="56" t="str">
        <x:v>유크시</x:v>
      </x:c>
      <x:c r="C484" s="56" t="str">
        <x:v>uxie</x:v>
      </x:c>
      <x:c r="D484" s="56" t="str">
        <x:v>특수</x:v>
      </x:c>
      <x:c r="E484" s="56" t="str">
        <x:v>전설</x:v>
      </x:c>
      <x:c r="F484" s="56" t="str">
        <x:v>예</x:v>
      </x:c>
      <x:c r="G484" s="56" t="str">
        <x:v>아니오</x:v>
      </x:c>
      <x:c r="H484" s="56" t="str">
        <x:v>아니오</x:v>
      </x:c>
      <x:c r="I484" s="56" t="str">
        <x:v>전설</x:v>
      </x:c>
      <x:c r="J484" s="57" t="str">
        <x:v>—</x:v>
      </x:c>
      <x:c r="K484" s="57" t="str">
        <x:v>—</x:v>
      </x:c>
      <x:c r="L484" s="57" t="str">
        <x:v>—</x:v>
      </x:c>
      <x:c r="M484" s="57" t="str">
        <x:v>포함</x:v>
      </x:c>
      <x:c r="N484" s="57" t="str">
        <x:v>—</x:v>
      </x:c>
      <x:c r="O484" s="57" t="str">
        <x:v>—</x:v>
      </x:c>
      <x:c r="P484" s="57" t="str">
        <x:v>—</x:v>
      </x:c>
      <x:c r="Q484" s="57" t="str">
        <x:v>—</x:v>
      </x:c>
      <x:c r="R484" s="57" t="str">
        <x:v>—</x:v>
      </x:c>
    </x:row>
    <x:row r="485">
      <x:c r="A485" s="60" t="n">
        <x:v>481</x:v>
      </x:c>
      <x:c r="B485" s="56" t="str">
        <x:v>엠라이트</x:v>
      </x:c>
      <x:c r="C485" s="56" t="str">
        <x:v>mesprit</x:v>
      </x:c>
      <x:c r="D485" s="56" t="str">
        <x:v>특수</x:v>
      </x:c>
      <x:c r="E485" s="56" t="str">
        <x:v>전설</x:v>
      </x:c>
      <x:c r="F485" s="56" t="str">
        <x:v>예</x:v>
      </x:c>
      <x:c r="G485" s="56" t="str">
        <x:v>아니오</x:v>
      </x:c>
      <x:c r="H485" s="56" t="str">
        <x:v>아니오</x:v>
      </x:c>
      <x:c r="I485" s="56" t="str">
        <x:v>전설</x:v>
      </x:c>
      <x:c r="J485" s="57" t="str">
        <x:v>—</x:v>
      </x:c>
      <x:c r="K485" s="57" t="str">
        <x:v>—</x:v>
      </x:c>
      <x:c r="L485" s="57" t="str">
        <x:v>—</x:v>
      </x:c>
      <x:c r="M485" s="57" t="str">
        <x:v>포함</x:v>
      </x:c>
      <x:c r="N485" s="57" t="str">
        <x:v>—</x:v>
      </x:c>
      <x:c r="O485" s="57" t="str">
        <x:v>—</x:v>
      </x:c>
      <x:c r="P485" s="57" t="str">
        <x:v>—</x:v>
      </x:c>
      <x:c r="Q485" s="57" t="str">
        <x:v>—</x:v>
      </x:c>
      <x:c r="R485" s="57" t="str">
        <x:v>—</x:v>
      </x:c>
    </x:row>
    <x:row r="486">
      <x:c r="A486" s="60" t="n">
        <x:v>482</x:v>
      </x:c>
      <x:c r="B486" s="56" t="str">
        <x:v>아그놈</x:v>
      </x:c>
      <x:c r="C486" s="56" t="str">
        <x:v>azelf</x:v>
      </x:c>
      <x:c r="D486" s="56" t="str">
        <x:v>특수</x:v>
      </x:c>
      <x:c r="E486" s="56" t="str">
        <x:v>전설</x:v>
      </x:c>
      <x:c r="F486" s="56" t="str">
        <x:v>예</x:v>
      </x:c>
      <x:c r="G486" s="56" t="str">
        <x:v>아니오</x:v>
      </x:c>
      <x:c r="H486" s="56" t="str">
        <x:v>아니오</x:v>
      </x:c>
      <x:c r="I486" s="56" t="str">
        <x:v>전설</x:v>
      </x:c>
      <x:c r="J486" s="57" t="str">
        <x:v>—</x:v>
      </x:c>
      <x:c r="K486" s="57" t="str">
        <x:v>—</x:v>
      </x:c>
      <x:c r="L486" s="57" t="str">
        <x:v>—</x:v>
      </x:c>
      <x:c r="M486" s="57" t="str">
        <x:v>포함</x:v>
      </x:c>
      <x:c r="N486" s="57" t="str">
        <x:v>—</x:v>
      </x:c>
      <x:c r="O486" s="57" t="str">
        <x:v>—</x:v>
      </x:c>
      <x:c r="P486" s="57" t="str">
        <x:v>—</x:v>
      </x:c>
      <x:c r="Q486" s="57" t="str">
        <x:v>—</x:v>
      </x:c>
      <x:c r="R486" s="57" t="str">
        <x:v>—</x:v>
      </x:c>
    </x:row>
    <x:row r="487">
      <x:c r="A487" s="60" t="n">
        <x:v>483</x:v>
      </x:c>
      <x:c r="B487" s="56" t="str">
        <x:v>디아루가</x:v>
      </x:c>
      <x:c r="C487" s="56" t="str">
        <x:v>dialga</x:v>
      </x:c>
      <x:c r="D487" s="56" t="str">
        <x:v>특수</x:v>
      </x:c>
      <x:c r="E487" s="56" t="str">
        <x:v>전설</x:v>
      </x:c>
      <x:c r="F487" s="56" t="str">
        <x:v>예</x:v>
      </x:c>
      <x:c r="G487" s="56" t="str">
        <x:v>아니오</x:v>
      </x:c>
      <x:c r="H487" s="56" t="str">
        <x:v>아니오</x:v>
      </x:c>
      <x:c r="I487" s="56" t="str">
        <x:v>전설</x:v>
      </x:c>
      <x:c r="J487" s="57" t="str">
        <x:v>—</x:v>
      </x:c>
      <x:c r="K487" s="57" t="str">
        <x:v>—</x:v>
      </x:c>
      <x:c r="L487" s="57" t="str">
        <x:v>—</x:v>
      </x:c>
      <x:c r="M487" s="57" t="str">
        <x:v>포함</x:v>
      </x:c>
      <x:c r="N487" s="57" t="str">
        <x:v>—</x:v>
      </x:c>
      <x:c r="O487" s="57" t="str">
        <x:v>—</x:v>
      </x:c>
      <x:c r="P487" s="57" t="str">
        <x:v>—</x:v>
      </x:c>
      <x:c r="Q487" s="57" t="str">
        <x:v>—</x:v>
      </x:c>
      <x:c r="R487" s="57" t="str">
        <x:v>—</x:v>
      </x:c>
    </x:row>
    <x:row r="488">
      <x:c r="A488" s="60" t="n">
        <x:v>484</x:v>
      </x:c>
      <x:c r="B488" s="56" t="str">
        <x:v>펄기아</x:v>
      </x:c>
      <x:c r="C488" s="56" t="str">
        <x:v>palkia</x:v>
      </x:c>
      <x:c r="D488" s="56" t="str">
        <x:v>특수</x:v>
      </x:c>
      <x:c r="E488" s="56" t="str">
        <x:v>전설</x:v>
      </x:c>
      <x:c r="F488" s="56" t="str">
        <x:v>예</x:v>
      </x:c>
      <x:c r="G488" s="56" t="str">
        <x:v>아니오</x:v>
      </x:c>
      <x:c r="H488" s="56" t="str">
        <x:v>아니오</x:v>
      </x:c>
      <x:c r="I488" s="56" t="str">
        <x:v>전설</x:v>
      </x:c>
      <x:c r="J488" s="57" t="str">
        <x:v>—</x:v>
      </x:c>
      <x:c r="K488" s="57" t="str">
        <x:v>—</x:v>
      </x:c>
      <x:c r="L488" s="57" t="str">
        <x:v>—</x:v>
      </x:c>
      <x:c r="M488" s="57" t="str">
        <x:v>포함</x:v>
      </x:c>
      <x:c r="N488" s="57" t="str">
        <x:v>—</x:v>
      </x:c>
      <x:c r="O488" s="57" t="str">
        <x:v>—</x:v>
      </x:c>
      <x:c r="P488" s="57" t="str">
        <x:v>—</x:v>
      </x:c>
      <x:c r="Q488" s="57" t="str">
        <x:v>—</x:v>
      </x:c>
      <x:c r="R488" s="57" t="str">
        <x:v>—</x:v>
      </x:c>
    </x:row>
    <x:row r="489">
      <x:c r="A489" s="60" t="n">
        <x:v>485</x:v>
      </x:c>
      <x:c r="B489" s="56" t="str">
        <x:v>히드런</x:v>
      </x:c>
      <x:c r="C489" s="56" t="str">
        <x:v>heatran</x:v>
      </x:c>
      <x:c r="D489" s="56" t="str">
        <x:v>평원</x:v>
      </x:c>
      <x:c r="E489" s="56" t="str">
        <x:v>전설</x:v>
      </x:c>
      <x:c r="F489" s="56" t="str">
        <x:v>예</x:v>
      </x:c>
      <x:c r="G489" s="56" t="str">
        <x:v>아니오</x:v>
      </x:c>
      <x:c r="H489" s="56" t="str">
        <x:v>아니오</x:v>
      </x:c>
      <x:c r="I489" s="56" t="str">
        <x:v>전설</x:v>
      </x:c>
      <x:c r="J489" s="57" t="str">
        <x:v>—</x:v>
      </x:c>
      <x:c r="K489" s="57" t="str">
        <x:v>—</x:v>
      </x:c>
      <x:c r="L489" s="57" t="str">
        <x:v>—</x:v>
      </x:c>
      <x:c r="M489" s="57" t="str">
        <x:v>—</x:v>
      </x:c>
      <x:c r="N489" s="57" t="str">
        <x:v>—</x:v>
      </x:c>
      <x:c r="O489" s="57" t="str">
        <x:v>—</x:v>
      </x:c>
      <x:c r="P489" s="57" t="str">
        <x:v>—</x:v>
      </x:c>
      <x:c r="Q489" s="57" t="str">
        <x:v>—</x:v>
      </x:c>
      <x:c r="R489" s="57" t="str">
        <x:v>—</x:v>
      </x:c>
    </x:row>
    <x:row r="490">
      <x:c r="A490" s="60" t="n">
        <x:v>486</x:v>
      </x:c>
      <x:c r="B490" s="56" t="str">
        <x:v>레지기가스</x:v>
      </x:c>
      <x:c r="C490" s="56" t="str">
        <x:v>regigigas</x:v>
      </x:c>
      <x:c r="D490" s="56" t="str">
        <x:v>평원</x:v>
      </x:c>
      <x:c r="E490" s="56" t="str">
        <x:v>전설</x:v>
      </x:c>
      <x:c r="F490" s="56" t="str">
        <x:v>예</x:v>
      </x:c>
      <x:c r="G490" s="56" t="str">
        <x:v>아니오</x:v>
      </x:c>
      <x:c r="H490" s="56" t="str">
        <x:v>아니오</x:v>
      </x:c>
      <x:c r="I490" s="56" t="str">
        <x:v>전설</x:v>
      </x:c>
      <x:c r="J490" s="57" t="str">
        <x:v>—</x:v>
      </x:c>
      <x:c r="K490" s="57" t="str">
        <x:v>—</x:v>
      </x:c>
      <x:c r="L490" s="57" t="str">
        <x:v>—</x:v>
      </x:c>
      <x:c r="M490" s="57" t="str">
        <x:v>—</x:v>
      </x:c>
      <x:c r="N490" s="57" t="str">
        <x:v>—</x:v>
      </x:c>
      <x:c r="O490" s="57" t="str">
        <x:v>—</x:v>
      </x:c>
      <x:c r="P490" s="57" t="str">
        <x:v>—</x:v>
      </x:c>
      <x:c r="Q490" s="57" t="str">
        <x:v>—</x:v>
      </x:c>
      <x:c r="R490" s="57" t="str">
        <x:v>—</x:v>
      </x:c>
    </x:row>
    <x:row r="491">
      <x:c r="A491" s="60" t="n">
        <x:v>487</x:v>
      </x:c>
      <x:c r="B491" s="56" t="str">
        <x:v>기라티나</x:v>
      </x:c>
      <x:c r="C491" s="56" t="str">
        <x:v>giratina</x:v>
      </x:c>
      <x:c r="D491" s="56" t="str">
        <x:v>특수</x:v>
      </x:c>
      <x:c r="E491" s="56" t="str">
        <x:v>전설</x:v>
      </x:c>
      <x:c r="F491" s="56" t="str">
        <x:v>예</x:v>
      </x:c>
      <x:c r="G491" s="56" t="str">
        <x:v>아니오</x:v>
      </x:c>
      <x:c r="H491" s="56" t="str">
        <x:v>아니오</x:v>
      </x:c>
      <x:c r="I491" s="56" t="str">
        <x:v>전설</x:v>
      </x:c>
      <x:c r="J491" s="57" t="str">
        <x:v>—</x:v>
      </x:c>
      <x:c r="K491" s="57" t="str">
        <x:v>—</x:v>
      </x:c>
      <x:c r="L491" s="57" t="str">
        <x:v>—</x:v>
      </x:c>
      <x:c r="M491" s="57" t="str">
        <x:v>포함</x:v>
      </x:c>
      <x:c r="N491" s="57" t="str">
        <x:v>—</x:v>
      </x:c>
      <x:c r="O491" s="57" t="str">
        <x:v>—</x:v>
      </x:c>
      <x:c r="P491" s="57" t="str">
        <x:v>—</x:v>
      </x:c>
      <x:c r="Q491" s="57" t="str">
        <x:v>—</x:v>
      </x:c>
      <x:c r="R491" s="57" t="str">
        <x:v>—</x:v>
      </x:c>
    </x:row>
    <x:row r="492">
      <x:c r="A492" s="60" t="n">
        <x:v>488</x:v>
      </x:c>
      <x:c r="B492" s="56" t="str">
        <x:v>크레세리아</x:v>
      </x:c>
      <x:c r="C492" s="56" t="str">
        <x:v>cresselia</x:v>
      </x:c>
      <x:c r="D492" s="56" t="str">
        <x:v>특수</x:v>
      </x:c>
      <x:c r="E492" s="56" t="str">
        <x:v>전설</x:v>
      </x:c>
      <x:c r="F492" s="56" t="str">
        <x:v>예</x:v>
      </x:c>
      <x:c r="G492" s="56" t="str">
        <x:v>아니오</x:v>
      </x:c>
      <x:c r="H492" s="56" t="str">
        <x:v>아니오</x:v>
      </x:c>
      <x:c r="I492" s="56" t="str">
        <x:v>전설</x:v>
      </x:c>
      <x:c r="J492" s="57" t="str">
        <x:v>—</x:v>
      </x:c>
      <x:c r="K492" s="57" t="str">
        <x:v>—</x:v>
      </x:c>
      <x:c r="L492" s="57" t="str">
        <x:v>—</x:v>
      </x:c>
      <x:c r="M492" s="57" t="str">
        <x:v>—</x:v>
      </x:c>
      <x:c r="N492" s="57" t="str">
        <x:v>—</x:v>
      </x:c>
      <x:c r="O492" s="57" t="str">
        <x:v>—</x:v>
      </x:c>
      <x:c r="P492" s="57" t="str">
        <x:v>—</x:v>
      </x:c>
      <x:c r="Q492" s="57" t="str">
        <x:v>—</x:v>
      </x:c>
      <x:c r="R492" s="57" t="str">
        <x:v>—</x:v>
      </x:c>
    </x:row>
    <x:row r="493">
      <x:c r="A493" s="60" t="n">
        <x:v>489</x:v>
      </x:c>
      <x:c r="B493" s="56" t="str">
        <x:v>피오네</x:v>
      </x:c>
      <x:c r="C493" s="56" t="str">
        <x:v>phione</x:v>
      </x:c>
      <x:c r="D493" s="56" t="str">
        <x:v>담수</x:v>
      </x:c>
      <x:c r="E493" s="56" t="str">
        <x:v>전설</x:v>
      </x:c>
      <x:c r="F493" s="56" t="str">
        <x:v>아니오</x:v>
      </x:c>
      <x:c r="G493" s="56" t="str">
        <x:v>예</x:v>
      </x:c>
      <x:c r="H493" s="56" t="str">
        <x:v>아니오</x:v>
      </x:c>
      <x:c r="I493" s="56" t="str">
        <x:v>환상</x:v>
      </x:c>
      <x:c r="J493" s="57" t="str">
        <x:v>—</x:v>
      </x:c>
      <x:c r="K493" s="57" t="str">
        <x:v>—</x:v>
      </x:c>
      <x:c r="L493" s="57" t="str">
        <x:v>—</x:v>
      </x:c>
      <x:c r="M493" s="57" t="str">
        <x:v>—</x:v>
      </x:c>
      <x:c r="N493" s="57" t="str">
        <x:v>—</x:v>
      </x:c>
      <x:c r="O493" s="57" t="str">
        <x:v>—</x:v>
      </x:c>
      <x:c r="P493" s="57" t="str">
        <x:v>—</x:v>
      </x:c>
      <x:c r="Q493" s="57" t="str">
        <x:v>—</x:v>
      </x:c>
      <x:c r="R493" s="57" t="str">
        <x:v>—</x:v>
      </x:c>
    </x:row>
    <x:row r="494">
      <x:c r="A494" s="60" t="n">
        <x:v>490</x:v>
      </x:c>
      <x:c r="B494" s="56" t="str">
        <x:v>마나피</x:v>
      </x:c>
      <x:c r="C494" s="56" t="str">
        <x:v>manaphy</x:v>
      </x:c>
      <x:c r="D494" s="56" t="str">
        <x:v>담수</x:v>
      </x:c>
      <x:c r="E494" s="56" t="str">
        <x:v>전설</x:v>
      </x:c>
      <x:c r="F494" s="56" t="str">
        <x:v>아니오</x:v>
      </x:c>
      <x:c r="G494" s="56" t="str">
        <x:v>예</x:v>
      </x:c>
      <x:c r="H494" s="56" t="str">
        <x:v>아니오</x:v>
      </x:c>
      <x:c r="I494" s="56" t="str">
        <x:v>환상</x:v>
      </x:c>
      <x:c r="J494" s="57" t="str">
        <x:v>—</x:v>
      </x:c>
      <x:c r="K494" s="57" t="str">
        <x:v>—</x:v>
      </x:c>
      <x:c r="L494" s="57" t="str">
        <x:v>—</x:v>
      </x:c>
      <x:c r="M494" s="57" t="str">
        <x:v>포함</x:v>
      </x:c>
      <x:c r="N494" s="57" t="str">
        <x:v>—</x:v>
      </x:c>
      <x:c r="O494" s="57" t="str">
        <x:v>—</x:v>
      </x:c>
      <x:c r="P494" s="57" t="str">
        <x:v>—</x:v>
      </x:c>
      <x:c r="Q494" s="57" t="str">
        <x:v>—</x:v>
      </x:c>
      <x:c r="R494" s="57" t="str">
        <x:v>—</x:v>
      </x:c>
    </x:row>
    <x:row r="495">
      <x:c r="A495" s="60" t="n">
        <x:v>491</x:v>
      </x:c>
      <x:c r="B495" s="56" t="str">
        <x:v>다크라이</x:v>
      </x:c>
      <x:c r="C495" s="56" t="str">
        <x:v>darkrai</x:v>
      </x:c>
      <x:c r="D495" s="56" t="str">
        <x:v>특수</x:v>
      </x:c>
      <x:c r="E495" s="56" t="str">
        <x:v>전설</x:v>
      </x:c>
      <x:c r="F495" s="56" t="str">
        <x:v>아니오</x:v>
      </x:c>
      <x:c r="G495" s="56" t="str">
        <x:v>예</x:v>
      </x:c>
      <x:c r="H495" s="56" t="str">
        <x:v>아니오</x:v>
      </x:c>
      <x:c r="I495" s="56" t="str">
        <x:v>환상</x:v>
      </x:c>
      <x:c r="J495" s="57" t="str">
        <x:v>—</x:v>
      </x:c>
      <x:c r="K495" s="57" t="str">
        <x:v>—</x:v>
      </x:c>
      <x:c r="L495" s="57" t="str">
        <x:v>—</x:v>
      </x:c>
      <x:c r="M495" s="57" t="str">
        <x:v>—</x:v>
      </x:c>
      <x:c r="N495" s="57" t="str">
        <x:v>—</x:v>
      </x:c>
      <x:c r="O495" s="57" t="str">
        <x:v>—</x:v>
      </x:c>
      <x:c r="P495" s="57" t="str">
        <x:v>—</x:v>
      </x:c>
      <x:c r="Q495" s="57" t="str">
        <x:v>—</x:v>
      </x:c>
      <x:c r="R495" s="57" t="str">
        <x:v>—</x:v>
      </x:c>
    </x:row>
    <x:row r="496">
      <x:c r="A496" s="60" t="n">
        <x:v>492</x:v>
      </x:c>
      <x:c r="B496" s="56" t="str">
        <x:v>쉐이미</x:v>
      </x:c>
      <x:c r="C496" s="56" t="str">
        <x:v>shaymin</x:v>
      </x:c>
      <x:c r="D496" s="56" t="str">
        <x:v>숲</x:v>
      </x:c>
      <x:c r="E496" s="56" t="str">
        <x:v>전설</x:v>
      </x:c>
      <x:c r="F496" s="56" t="str">
        <x:v>아니오</x:v>
      </x:c>
      <x:c r="G496" s="56" t="str">
        <x:v>예</x:v>
      </x:c>
      <x:c r="H496" s="56" t="str">
        <x:v>아니오</x:v>
      </x:c>
      <x:c r="I496" s="56" t="str">
        <x:v>환상</x:v>
      </x:c>
      <x:c r="J496" s="57" t="str">
        <x:v>—</x:v>
      </x:c>
      <x:c r="K496" s="57" t="str">
        <x:v>—</x:v>
      </x:c>
      <x:c r="L496" s="57" t="str">
        <x:v>—</x:v>
      </x:c>
      <x:c r="M496" s="57" t="str">
        <x:v>—</x:v>
      </x:c>
      <x:c r="N496" s="57" t="str">
        <x:v>—</x:v>
      </x:c>
      <x:c r="O496" s="57" t="str">
        <x:v>—</x:v>
      </x:c>
      <x:c r="P496" s="57" t="str">
        <x:v>—</x:v>
      </x:c>
      <x:c r="Q496" s="57" t="str">
        <x:v>—</x:v>
      </x:c>
      <x:c r="R496" s="57" t="str">
        <x:v>—</x:v>
      </x:c>
    </x:row>
    <x:row r="497">
      <x:c r="A497" s="60" t="n">
        <x:v>493</x:v>
      </x:c>
      <x:c r="B497" s="56" t="str">
        <x:v>아르세우스</x:v>
      </x:c>
      <x:c r="C497" s="56" t="str">
        <x:v>arceus</x:v>
      </x:c>
      <x:c r="D497" s="56" t="str">
        <x:v>특수</x:v>
      </x:c>
      <x:c r="E497" s="56" t="str">
        <x:v>전설</x:v>
      </x:c>
      <x:c r="F497" s="56" t="str">
        <x:v>아니오</x:v>
      </x:c>
      <x:c r="G497" s="56" t="str">
        <x:v>예</x:v>
      </x:c>
      <x:c r="H497" s="56" t="str">
        <x:v>아니오</x:v>
      </x:c>
      <x:c r="I497" s="56" t="str">
        <x:v>환상</x:v>
      </x:c>
      <x:c r="J497" s="57" t="str">
        <x:v>—</x:v>
      </x:c>
      <x:c r="K497" s="57" t="str">
        <x:v>—</x:v>
      </x:c>
      <x:c r="L497" s="57" t="str">
        <x:v>—</x:v>
      </x:c>
      <x:c r="M497" s="57" t="str">
        <x:v>—</x:v>
      </x:c>
      <x:c r="N497" s="57" t="str">
        <x:v>—</x:v>
      </x:c>
      <x:c r="O497" s="57" t="str">
        <x:v>—</x:v>
      </x:c>
      <x:c r="P497" s="57" t="str">
        <x:v>—</x:v>
      </x:c>
      <x:c r="Q497" s="57" t="str">
        <x:v>—</x:v>
      </x:c>
      <x:c r="R497" s="57" t="str">
        <x:v>—</x:v>
      </x:c>
    </x:row>
    <x:row r="498">
      <x:c r="A498" s="60" t="n">
        <x:v>494</x:v>
      </x:c>
      <x:c r="B498" s="56" t="str">
        <x:v>비크티니</x:v>
      </x:c>
      <x:c r="C498" s="56" t="str">
        <x:v>victini</x:v>
      </x:c>
      <x:c r="D498" s="56" t="str">
        <x:v>숲</x:v>
      </x:c>
      <x:c r="E498" s="56" t="str">
        <x:v>전설</x:v>
      </x:c>
      <x:c r="F498" s="56" t="str">
        <x:v>아니오</x:v>
      </x:c>
      <x:c r="G498" s="56" t="str">
        <x:v>예</x:v>
      </x:c>
      <x:c r="H498" s="56" t="str">
        <x:v>아니오</x:v>
      </x:c>
      <x:c r="I498" s="56" t="str">
        <x:v>환상</x:v>
      </x:c>
      <x:c r="J498" s="57" t="str">
        <x:v>—</x:v>
      </x:c>
      <x:c r="K498" s="57" t="str">
        <x:v>—</x:v>
      </x:c>
      <x:c r="L498" s="57" t="str">
        <x:v>—</x:v>
      </x:c>
      <x:c r="M498" s="57" t="str">
        <x:v>—</x:v>
      </x:c>
      <x:c r="N498" s="57" t="str">
        <x:v>포함</x:v>
      </x:c>
      <x:c r="O498" s="57" t="str">
        <x:v>—</x:v>
      </x:c>
      <x:c r="P498" s="57" t="str">
        <x:v>—</x:v>
      </x:c>
      <x:c r="Q498" s="57" t="str">
        <x:v>—</x:v>
      </x:c>
      <x:c r="R498" s="57" t="str">
        <x:v>—</x:v>
      </x:c>
    </x:row>
    <x:row r="499">
      <x:c r="A499" s="60" t="n">
        <x:v>495</x:v>
      </x:c>
      <x:c r="B499" s="56" t="str">
        <x:v>주리비얀</x:v>
      </x:c>
      <x:c r="C499" s="56" t="str">
        <x:v>snivy</x:v>
      </x:c>
      <x:c r="D499" s="56" t="str">
        <x:v>숲</x:v>
      </x:c>
      <x:c r="E499" s="56" t="str">
        <x:v>희귀</x:v>
      </x:c>
      <x:c r="F499" s="56" t="str">
        <x:v>아니오</x:v>
      </x:c>
      <x:c r="G499" s="56" t="str">
        <x:v>아니오</x:v>
      </x:c>
      <x:c r="H499" s="56" t="str">
        <x:v>예</x:v>
      </x:c>
      <x:c r="I499" s="56" t="str">
        <x:v>—</x:v>
      </x:c>
      <x:c r="J499" s="57" t="str">
        <x:v>—</x:v>
      </x:c>
      <x:c r="K499" s="57" t="str">
        <x:v>—</x:v>
      </x:c>
      <x:c r="L499" s="57" t="str">
        <x:v>—</x:v>
      </x:c>
      <x:c r="M499" s="57" t="str">
        <x:v>—</x:v>
      </x:c>
      <x:c r="N499" s="57" t="str">
        <x:v>포함</x:v>
      </x:c>
      <x:c r="O499" s="57" t="str">
        <x:v>—</x:v>
      </x:c>
      <x:c r="P499" s="57" t="str">
        <x:v>—</x:v>
      </x:c>
      <x:c r="Q499" s="57" t="str">
        <x:v>—</x:v>
      </x:c>
      <x:c r="R499" s="57" t="str">
        <x:v>포함</x:v>
      </x:c>
    </x:row>
    <x:row r="500">
      <x:c r="A500" s="60" t="n">
        <x:v>496</x:v>
      </x:c>
      <x:c r="B500" s="56" t="str">
        <x:v>샤비</x:v>
      </x:c>
      <x:c r="C500" s="56" t="str">
        <x:v>servine</x:v>
      </x:c>
      <x:c r="D500" s="56" t="str">
        <x:v>숲</x:v>
      </x:c>
      <x:c r="E500" s="56" t="str">
        <x:v>희귀</x:v>
      </x:c>
      <x:c r="F500" s="56" t="str">
        <x:v>아니오</x:v>
      </x:c>
      <x:c r="G500" s="56" t="str">
        <x:v>아니오</x:v>
      </x:c>
      <x:c r="H500" s="56" t="str">
        <x:v>예</x:v>
      </x:c>
      <x:c r="I500" s="56" t="str">
        <x:v>—</x:v>
      </x:c>
      <x:c r="J500" s="57" t="str">
        <x:v>—</x:v>
      </x:c>
      <x:c r="K500" s="57" t="str">
        <x:v>—</x:v>
      </x:c>
      <x:c r="L500" s="57" t="str">
        <x:v>—</x:v>
      </x:c>
      <x:c r="M500" s="57" t="str">
        <x:v>—</x:v>
      </x:c>
      <x:c r="N500" s="57" t="str">
        <x:v>포함</x:v>
      </x:c>
      <x:c r="O500" s="57" t="str">
        <x:v>—</x:v>
      </x:c>
      <x:c r="P500" s="57" t="str">
        <x:v>—</x:v>
      </x:c>
      <x:c r="Q500" s="57" t="str">
        <x:v>—</x:v>
      </x:c>
      <x:c r="R500" s="57" t="str">
        <x:v>포함</x:v>
      </x:c>
    </x:row>
    <x:row r="501">
      <x:c r="A501" s="60" t="n">
        <x:v>497</x:v>
      </x:c>
      <x:c r="B501" s="56" t="str">
        <x:v>샤로다</x:v>
      </x:c>
      <x:c r="C501" s="56" t="str">
        <x:v>serperior</x:v>
      </x:c>
      <x:c r="D501" s="56" t="str">
        <x:v>숲</x:v>
      </x:c>
      <x:c r="E501" s="56" t="str">
        <x:v>희귀</x:v>
      </x:c>
      <x:c r="F501" s="56" t="str">
        <x:v>아니오</x:v>
      </x:c>
      <x:c r="G501" s="56" t="str">
        <x:v>아니오</x:v>
      </x:c>
      <x:c r="H501" s="56" t="str">
        <x:v>예</x:v>
      </x:c>
      <x:c r="I501" s="56" t="str">
        <x:v>—</x:v>
      </x:c>
      <x:c r="J501" s="57" t="str">
        <x:v>—</x:v>
      </x:c>
      <x:c r="K501" s="57" t="str">
        <x:v>—</x:v>
      </x:c>
      <x:c r="L501" s="57" t="str">
        <x:v>—</x:v>
      </x:c>
      <x:c r="M501" s="57" t="str">
        <x:v>—</x:v>
      </x:c>
      <x:c r="N501" s="57" t="str">
        <x:v>포함</x:v>
      </x:c>
      <x:c r="O501" s="57" t="str">
        <x:v>—</x:v>
      </x:c>
      <x:c r="P501" s="57" t="str">
        <x:v>—</x:v>
      </x:c>
      <x:c r="Q501" s="57" t="str">
        <x:v>—</x:v>
      </x:c>
      <x:c r="R501" s="57" t="str">
        <x:v>포함</x:v>
      </x:c>
    </x:row>
    <x:row r="502">
      <x:c r="A502" s="60" t="n">
        <x:v>498</x:v>
      </x:c>
      <x:c r="B502" s="56" t="str">
        <x:v>뚜꾸리</x:v>
      </x:c>
      <x:c r="C502" s="56" t="str">
        <x:v>tepig</x:v>
      </x:c>
      <x:c r="D502" s="56" t="str">
        <x:v>화산</x:v>
      </x:c>
      <x:c r="E502" s="56" t="str">
        <x:v>희귀</x:v>
      </x:c>
      <x:c r="F502" s="56" t="str">
        <x:v>아니오</x:v>
      </x:c>
      <x:c r="G502" s="56" t="str">
        <x:v>아니오</x:v>
      </x:c>
      <x:c r="H502" s="56" t="str">
        <x:v>예</x:v>
      </x:c>
      <x:c r="I502" s="56" t="str">
        <x:v>—</x:v>
      </x:c>
      <x:c r="J502" s="57" t="str">
        <x:v>—</x:v>
      </x:c>
      <x:c r="K502" s="57" t="str">
        <x:v>—</x:v>
      </x:c>
      <x:c r="L502" s="57" t="str">
        <x:v>—</x:v>
      </x:c>
      <x:c r="M502" s="57" t="str">
        <x:v>—</x:v>
      </x:c>
      <x:c r="N502" s="57" t="str">
        <x:v>포함</x:v>
      </x:c>
      <x:c r="O502" s="57" t="str">
        <x:v>—</x:v>
      </x:c>
      <x:c r="P502" s="57" t="str">
        <x:v>—</x:v>
      </x:c>
      <x:c r="Q502" s="57" t="str">
        <x:v>—</x:v>
      </x:c>
      <x:c r="R502" s="57" t="str">
        <x:v>포함</x:v>
      </x:c>
    </x:row>
    <x:row r="503">
      <x:c r="A503" s="60" t="n">
        <x:v>499</x:v>
      </x:c>
      <x:c r="B503" s="56" t="str">
        <x:v>차오꿀</x:v>
      </x:c>
      <x:c r="C503" s="56" t="str">
        <x:v>pignite</x:v>
      </x:c>
      <x:c r="D503" s="56" t="str">
        <x:v>화산</x:v>
      </x:c>
      <x:c r="E503" s="56" t="str">
        <x:v>희귀</x:v>
      </x:c>
      <x:c r="F503" s="56" t="str">
        <x:v>아니오</x:v>
      </x:c>
      <x:c r="G503" s="56" t="str">
        <x:v>아니오</x:v>
      </x:c>
      <x:c r="H503" s="56" t="str">
        <x:v>예</x:v>
      </x:c>
      <x:c r="I503" s="56" t="str">
        <x:v>—</x:v>
      </x:c>
      <x:c r="J503" s="57" t="str">
        <x:v>—</x:v>
      </x:c>
      <x:c r="K503" s="57" t="str">
        <x:v>—</x:v>
      </x:c>
      <x:c r="L503" s="57" t="str">
        <x:v>—</x:v>
      </x:c>
      <x:c r="M503" s="57" t="str">
        <x:v>—</x:v>
      </x:c>
      <x:c r="N503" s="57" t="str">
        <x:v>포함</x:v>
      </x:c>
      <x:c r="O503" s="57" t="str">
        <x:v>—</x:v>
      </x:c>
      <x:c r="P503" s="57" t="str">
        <x:v>—</x:v>
      </x:c>
      <x:c r="Q503" s="57" t="str">
        <x:v>—</x:v>
      </x:c>
      <x:c r="R503" s="57" t="str">
        <x:v>포함</x:v>
      </x:c>
    </x:row>
    <x:row r="504">
      <x:c r="A504" s="60" t="n">
        <x:v>500</x:v>
      </x:c>
      <x:c r="B504" s="56" t="str">
        <x:v>염무왕</x:v>
      </x:c>
      <x:c r="C504" s="56" t="str">
        <x:v>emboar</x:v>
      </x:c>
      <x:c r="D504" s="56" t="str">
        <x:v>화산</x:v>
      </x:c>
      <x:c r="E504" s="56" t="str">
        <x:v>희귀</x:v>
      </x:c>
      <x:c r="F504" s="56" t="str">
        <x:v>아니오</x:v>
      </x:c>
      <x:c r="G504" s="56" t="str">
        <x:v>아니오</x:v>
      </x:c>
      <x:c r="H504" s="56" t="str">
        <x:v>예</x:v>
      </x:c>
      <x:c r="I504" s="56" t="str">
        <x:v>—</x:v>
      </x:c>
      <x:c r="J504" s="57" t="str">
        <x:v>—</x:v>
      </x:c>
      <x:c r="K504" s="57" t="str">
        <x:v>—</x:v>
      </x:c>
      <x:c r="L504" s="57" t="str">
        <x:v>—</x:v>
      </x:c>
      <x:c r="M504" s="57" t="str">
        <x:v>—</x:v>
      </x:c>
      <x:c r="N504" s="57" t="str">
        <x:v>포함</x:v>
      </x:c>
      <x:c r="O504" s="57" t="str">
        <x:v>—</x:v>
      </x:c>
      <x:c r="P504" s="57" t="str">
        <x:v>—</x:v>
      </x:c>
      <x:c r="Q504" s="57" t="str">
        <x:v>—</x:v>
      </x:c>
      <x:c r="R504" s="57" t="str">
        <x:v>포함</x:v>
      </x:c>
    </x:row>
    <x:row r="505">
      <x:c r="A505" s="60" t="n">
        <x:v>501</x:v>
      </x:c>
      <x:c r="B505" s="56" t="str">
        <x:v>수댕이</x:v>
      </x:c>
      <x:c r="C505" s="56" t="str">
        <x:v>oshawott</x:v>
      </x:c>
      <x:c r="D505" s="56" t="str">
        <x:v>해양</x:v>
      </x:c>
      <x:c r="E505" s="56" t="str">
        <x:v>희귀</x:v>
      </x:c>
      <x:c r="F505" s="56" t="str">
        <x:v>아니오</x:v>
      </x:c>
      <x:c r="G505" s="56" t="str">
        <x:v>아니오</x:v>
      </x:c>
      <x:c r="H505" s="56" t="str">
        <x:v>예</x:v>
      </x:c>
      <x:c r="I505" s="56" t="str">
        <x:v>—</x:v>
      </x:c>
      <x:c r="J505" s="57" t="str">
        <x:v>—</x:v>
      </x:c>
      <x:c r="K505" s="57" t="str">
        <x:v>—</x:v>
      </x:c>
      <x:c r="L505" s="57" t="str">
        <x:v>—</x:v>
      </x:c>
      <x:c r="M505" s="57" t="str">
        <x:v>—</x:v>
      </x:c>
      <x:c r="N505" s="57" t="str">
        <x:v>포함</x:v>
      </x:c>
      <x:c r="O505" s="57" t="str">
        <x:v>—</x:v>
      </x:c>
      <x:c r="P505" s="57" t="str">
        <x:v>—</x:v>
      </x:c>
      <x:c r="Q505" s="57" t="str">
        <x:v>—</x:v>
      </x:c>
      <x:c r="R505" s="57" t="str">
        <x:v>포함</x:v>
      </x:c>
    </x:row>
    <x:row r="506">
      <x:c r="A506" s="60" t="n">
        <x:v>502</x:v>
      </x:c>
      <x:c r="B506" s="56" t="str">
        <x:v>쌍검자비</x:v>
      </x:c>
      <x:c r="C506" s="56" t="str">
        <x:v>dewott</x:v>
      </x:c>
      <x:c r="D506" s="56" t="str">
        <x:v>해양</x:v>
      </x:c>
      <x:c r="E506" s="56" t="str">
        <x:v>희귀</x:v>
      </x:c>
      <x:c r="F506" s="56" t="str">
        <x:v>아니오</x:v>
      </x:c>
      <x:c r="G506" s="56" t="str">
        <x:v>아니오</x:v>
      </x:c>
      <x:c r="H506" s="56" t="str">
        <x:v>예</x:v>
      </x:c>
      <x:c r="I506" s="56" t="str">
        <x:v>—</x:v>
      </x:c>
      <x:c r="J506" s="57" t="str">
        <x:v>—</x:v>
      </x:c>
      <x:c r="K506" s="57" t="str">
        <x:v>—</x:v>
      </x:c>
      <x:c r="L506" s="57" t="str">
        <x:v>—</x:v>
      </x:c>
      <x:c r="M506" s="57" t="str">
        <x:v>—</x:v>
      </x:c>
      <x:c r="N506" s="57" t="str">
        <x:v>포함</x:v>
      </x:c>
      <x:c r="O506" s="57" t="str">
        <x:v>—</x:v>
      </x:c>
      <x:c r="P506" s="57" t="str">
        <x:v>—</x:v>
      </x:c>
      <x:c r="Q506" s="57" t="str">
        <x:v>—</x:v>
      </x:c>
      <x:c r="R506" s="57" t="str">
        <x:v>포함</x:v>
      </x:c>
    </x:row>
    <x:row r="507">
      <x:c r="A507" s="60" t="n">
        <x:v>503</x:v>
      </x:c>
      <x:c r="B507" s="56" t="str">
        <x:v>대검귀</x:v>
      </x:c>
      <x:c r="C507" s="56" t="str">
        <x:v>samurott</x:v>
      </x:c>
      <x:c r="D507" s="56" t="str">
        <x:v>해양</x:v>
      </x:c>
      <x:c r="E507" s="56" t="str">
        <x:v>희귀</x:v>
      </x:c>
      <x:c r="F507" s="56" t="str">
        <x:v>아니오</x:v>
      </x:c>
      <x:c r="G507" s="56" t="str">
        <x:v>아니오</x:v>
      </x:c>
      <x:c r="H507" s="56" t="str">
        <x:v>예</x:v>
      </x:c>
      <x:c r="I507" s="56" t="str">
        <x:v>—</x:v>
      </x:c>
      <x:c r="J507" s="57" t="str">
        <x:v>—</x:v>
      </x:c>
      <x:c r="K507" s="57" t="str">
        <x:v>—</x:v>
      </x:c>
      <x:c r="L507" s="57" t="str">
        <x:v>—</x:v>
      </x:c>
      <x:c r="M507" s="57" t="str">
        <x:v>—</x:v>
      </x:c>
      <x:c r="N507" s="57" t="str">
        <x:v>포함</x:v>
      </x:c>
      <x:c r="O507" s="57" t="str">
        <x:v>—</x:v>
      </x:c>
      <x:c r="P507" s="57" t="str">
        <x:v>—</x:v>
      </x:c>
      <x:c r="Q507" s="57" t="str">
        <x:v>—</x:v>
      </x:c>
      <x:c r="R507" s="57" t="str">
        <x:v>포함</x:v>
      </x:c>
    </x:row>
    <x:row r="508">
      <x:c r="A508" s="60" t="n">
        <x:v>504</x:v>
      </x:c>
      <x:c r="B508" s="56" t="str">
        <x:v>보르쥐</x:v>
      </x:c>
      <x:c r="C508" s="56" t="str">
        <x:v>patrat</x:v>
      </x:c>
      <x:c r="D508" s="56" t="str">
        <x:v>평원</x:v>
      </x:c>
      <x:c r="E508" s="56" t="str">
        <x:v>흔함</x:v>
      </x:c>
      <x:c r="F508" s="56" t="str">
        <x:v>아니오</x:v>
      </x:c>
      <x:c r="G508" s="56" t="str">
        <x:v>아니오</x:v>
      </x:c>
      <x:c r="H508" s="56" t="str">
        <x:v>예</x:v>
      </x:c>
      <x:c r="I508" s="56" t="str">
        <x:v>—</x:v>
      </x:c>
      <x:c r="J508" s="57" t="str">
        <x:v>—</x:v>
      </x:c>
      <x:c r="K508" s="57" t="str">
        <x:v>—</x:v>
      </x:c>
      <x:c r="L508" s="57" t="str">
        <x:v>—</x:v>
      </x:c>
      <x:c r="M508" s="57" t="str">
        <x:v>—</x:v>
      </x:c>
      <x:c r="N508" s="57" t="str">
        <x:v>포함</x:v>
      </x:c>
      <x:c r="O508" s="57" t="str">
        <x:v>포함</x:v>
      </x:c>
      <x:c r="P508" s="57" t="str">
        <x:v>—</x:v>
      </x:c>
      <x:c r="Q508" s="57" t="str">
        <x:v>—</x:v>
      </x:c>
      <x:c r="R508" s="57" t="str">
        <x:v>—</x:v>
      </x:c>
    </x:row>
    <x:row r="509">
      <x:c r="A509" s="60" t="n">
        <x:v>505</x:v>
      </x:c>
      <x:c r="B509" s="56" t="str">
        <x:v>보르그</x:v>
      </x:c>
      <x:c r="C509" s="56" t="str">
        <x:v>watchog</x:v>
      </x:c>
      <x:c r="D509" s="56" t="str">
        <x:v>평원</x:v>
      </x:c>
      <x:c r="E509" s="56" t="str">
        <x:v>흔함</x:v>
      </x:c>
      <x:c r="F509" s="56" t="str">
        <x:v>아니오</x:v>
      </x:c>
      <x:c r="G509" s="56" t="str">
        <x:v>아니오</x:v>
      </x:c>
      <x:c r="H509" s="56" t="str">
        <x:v>예</x:v>
      </x:c>
      <x:c r="I509" s="56" t="str">
        <x:v>—</x:v>
      </x:c>
      <x:c r="J509" s="57" t="str">
        <x:v>—</x:v>
      </x:c>
      <x:c r="K509" s="57" t="str">
        <x:v>—</x:v>
      </x:c>
      <x:c r="L509" s="57" t="str">
        <x:v>—</x:v>
      </x:c>
      <x:c r="M509" s="57" t="str">
        <x:v>—</x:v>
      </x:c>
      <x:c r="N509" s="57" t="str">
        <x:v>포함</x:v>
      </x:c>
      <x:c r="O509" s="57" t="str">
        <x:v>포함</x:v>
      </x:c>
      <x:c r="P509" s="57" t="str">
        <x:v>—</x:v>
      </x:c>
      <x:c r="Q509" s="57" t="str">
        <x:v>—</x:v>
      </x:c>
      <x:c r="R509" s="57" t="str">
        <x:v>—</x:v>
      </x:c>
    </x:row>
    <x:row r="510">
      <x:c r="A510" s="60" t="n">
        <x:v>506</x:v>
      </x:c>
      <x:c r="B510" s="56" t="str">
        <x:v>요테리</x:v>
      </x:c>
      <x:c r="C510" s="56" t="str">
        <x:v>lillipup</x:v>
      </x:c>
      <x:c r="D510" s="56" t="str">
        <x:v>평원</x:v>
      </x:c>
      <x:c r="E510" s="56" t="str">
        <x:v>흔함</x:v>
      </x:c>
      <x:c r="F510" s="56" t="str">
        <x:v>아니오</x:v>
      </x:c>
      <x:c r="G510" s="56" t="str">
        <x:v>아니오</x:v>
      </x:c>
      <x:c r="H510" s="56" t="str">
        <x:v>예</x:v>
      </x:c>
      <x:c r="I510" s="56" t="str">
        <x:v>—</x:v>
      </x:c>
      <x:c r="J510" s="57" t="str">
        <x:v>—</x:v>
      </x:c>
      <x:c r="K510" s="57" t="str">
        <x:v>—</x:v>
      </x:c>
      <x:c r="L510" s="57" t="str">
        <x:v>—</x:v>
      </x:c>
      <x:c r="M510" s="57" t="str">
        <x:v>—</x:v>
      </x:c>
      <x:c r="N510" s="57" t="str">
        <x:v>포함</x:v>
      </x:c>
      <x:c r="O510" s="57" t="str">
        <x:v>—</x:v>
      </x:c>
      <x:c r="P510" s="57" t="str">
        <x:v>포함</x:v>
      </x:c>
      <x:c r="Q510" s="57" t="str">
        <x:v>포함</x:v>
      </x:c>
      <x:c r="R510" s="57" t="str">
        <x:v>—</x:v>
      </x:c>
    </x:row>
    <x:row r="511">
      <x:c r="A511" s="60" t="n">
        <x:v>507</x:v>
      </x:c>
      <x:c r="B511" s="56" t="str">
        <x:v>하데리어</x:v>
      </x:c>
      <x:c r="C511" s="56" t="str">
        <x:v>herdier</x:v>
      </x:c>
      <x:c r="D511" s="56" t="str">
        <x:v>평원</x:v>
      </x:c>
      <x:c r="E511" s="56" t="str">
        <x:v>흔함</x:v>
      </x:c>
      <x:c r="F511" s="56" t="str">
        <x:v>아니오</x:v>
      </x:c>
      <x:c r="G511" s="56" t="str">
        <x:v>아니오</x:v>
      </x:c>
      <x:c r="H511" s="56" t="str">
        <x:v>예</x:v>
      </x:c>
      <x:c r="I511" s="56" t="str">
        <x:v>—</x:v>
      </x:c>
      <x:c r="J511" s="57" t="str">
        <x:v>—</x:v>
      </x:c>
      <x:c r="K511" s="57" t="str">
        <x:v>—</x:v>
      </x:c>
      <x:c r="L511" s="57" t="str">
        <x:v>—</x:v>
      </x:c>
      <x:c r="M511" s="57" t="str">
        <x:v>—</x:v>
      </x:c>
      <x:c r="N511" s="57" t="str">
        <x:v>포함</x:v>
      </x:c>
      <x:c r="O511" s="57" t="str">
        <x:v>—</x:v>
      </x:c>
      <x:c r="P511" s="57" t="str">
        <x:v>포함</x:v>
      </x:c>
      <x:c r="Q511" s="57" t="str">
        <x:v>포함</x:v>
      </x:c>
      <x:c r="R511" s="57" t="str">
        <x:v>—</x:v>
      </x:c>
    </x:row>
    <x:row r="512">
      <x:c r="A512" s="60" t="n">
        <x:v>508</x:v>
      </x:c>
      <x:c r="B512" s="56" t="str">
        <x:v>바랜드</x:v>
      </x:c>
      <x:c r="C512" s="56" t="str">
        <x:v>stoutland</x:v>
      </x:c>
      <x:c r="D512" s="56" t="str">
        <x:v>평원</x:v>
      </x:c>
      <x:c r="E512" s="56" t="str">
        <x:v>흔함</x:v>
      </x:c>
      <x:c r="F512" s="56" t="str">
        <x:v>아니오</x:v>
      </x:c>
      <x:c r="G512" s="56" t="str">
        <x:v>아니오</x:v>
      </x:c>
      <x:c r="H512" s="56" t="str">
        <x:v>예</x:v>
      </x:c>
      <x:c r="I512" s="56" t="str">
        <x:v>—</x:v>
      </x:c>
      <x:c r="J512" s="57" t="str">
        <x:v>—</x:v>
      </x:c>
      <x:c r="K512" s="57" t="str">
        <x:v>—</x:v>
      </x:c>
      <x:c r="L512" s="57" t="str">
        <x:v>—</x:v>
      </x:c>
      <x:c r="M512" s="57" t="str">
        <x:v>—</x:v>
      </x:c>
      <x:c r="N512" s="57" t="str">
        <x:v>포함</x:v>
      </x:c>
      <x:c r="O512" s="57" t="str">
        <x:v>—</x:v>
      </x:c>
      <x:c r="P512" s="57" t="str">
        <x:v>포함</x:v>
      </x:c>
      <x:c r="Q512" s="57" t="str">
        <x:v>포함</x:v>
      </x:c>
      <x:c r="R512" s="57" t="str">
        <x:v>—</x:v>
      </x:c>
    </x:row>
    <x:row r="513">
      <x:c r="A513" s="60" t="n">
        <x:v>509</x:v>
      </x:c>
      <x:c r="B513" s="56" t="str">
        <x:v>쌔비냥</x:v>
      </x:c>
      <x:c r="C513" s="56" t="str">
        <x:v>purrloin</x:v>
      </x:c>
      <x:c r="D513" s="56" t="str">
        <x:v>습지</x:v>
      </x:c>
      <x:c r="E513" s="56" t="str">
        <x:v>흔함</x:v>
      </x:c>
      <x:c r="F513" s="56" t="str">
        <x:v>아니오</x:v>
      </x:c>
      <x:c r="G513" s="56" t="str">
        <x:v>아니오</x:v>
      </x:c>
      <x:c r="H513" s="56" t="str">
        <x:v>예</x:v>
      </x:c>
      <x:c r="I513" s="56" t="str">
        <x:v>—</x:v>
      </x:c>
      <x:c r="J513" s="57" t="str">
        <x:v>—</x:v>
      </x:c>
      <x:c r="K513" s="57" t="str">
        <x:v>—</x:v>
      </x:c>
      <x:c r="L513" s="57" t="str">
        <x:v>—</x:v>
      </x:c>
      <x:c r="M513" s="57" t="str">
        <x:v>—</x:v>
      </x:c>
      <x:c r="N513" s="57" t="str">
        <x:v>포함</x:v>
      </x:c>
      <x:c r="O513" s="57" t="str">
        <x:v>포함</x:v>
      </x:c>
      <x:c r="P513" s="57" t="str">
        <x:v>—</x:v>
      </x:c>
      <x:c r="Q513" s="57" t="str">
        <x:v>포함</x:v>
      </x:c>
      <x:c r="R513" s="57" t="str">
        <x:v>—</x:v>
      </x:c>
    </x:row>
    <x:row r="514">
      <x:c r="A514" s="60" t="n">
        <x:v>510</x:v>
      </x:c>
      <x:c r="B514" s="56" t="str">
        <x:v>레파르다스</x:v>
      </x:c>
      <x:c r="C514" s="56" t="str">
        <x:v>liepard</x:v>
      </x:c>
      <x:c r="D514" s="56" t="str">
        <x:v>습지</x:v>
      </x:c>
      <x:c r="E514" s="56" t="str">
        <x:v>흔함</x:v>
      </x:c>
      <x:c r="F514" s="56" t="str">
        <x:v>아니오</x:v>
      </x:c>
      <x:c r="G514" s="56" t="str">
        <x:v>아니오</x:v>
      </x:c>
      <x:c r="H514" s="56" t="str">
        <x:v>예</x:v>
      </x:c>
      <x:c r="I514" s="56" t="str">
        <x:v>—</x:v>
      </x:c>
      <x:c r="J514" s="57" t="str">
        <x:v>—</x:v>
      </x:c>
      <x:c r="K514" s="57" t="str">
        <x:v>—</x:v>
      </x:c>
      <x:c r="L514" s="57" t="str">
        <x:v>—</x:v>
      </x:c>
      <x:c r="M514" s="57" t="str">
        <x:v>—</x:v>
      </x:c>
      <x:c r="N514" s="57" t="str">
        <x:v>포함</x:v>
      </x:c>
      <x:c r="O514" s="57" t="str">
        <x:v>포함</x:v>
      </x:c>
      <x:c r="P514" s="57" t="str">
        <x:v>—</x:v>
      </x:c>
      <x:c r="Q514" s="57" t="str">
        <x:v>포함</x:v>
      </x:c>
      <x:c r="R514" s="57" t="str">
        <x:v>—</x:v>
      </x:c>
    </x:row>
    <x:row r="515">
      <x:c r="A515" s="60" t="n">
        <x:v>511</x:v>
      </x:c>
      <x:c r="B515" s="56" t="str">
        <x:v>야나프</x:v>
      </x:c>
      <x:c r="C515" s="56" t="str">
        <x:v>pansage</x:v>
      </x:c>
      <x:c r="D515" s="56" t="str">
        <x:v>숲</x:v>
      </x:c>
      <x:c r="E515" s="56" t="str">
        <x:v>보통</x:v>
      </x:c>
      <x:c r="F515" s="56" t="str">
        <x:v>아니오</x:v>
      </x:c>
      <x:c r="G515" s="56" t="str">
        <x:v>아니오</x:v>
      </x:c>
      <x:c r="H515" s="56" t="str">
        <x:v>예</x:v>
      </x:c>
      <x:c r="I515" s="56" t="str">
        <x:v>—</x:v>
      </x:c>
      <x:c r="J515" s="57" t="str">
        <x:v>—</x:v>
      </x:c>
      <x:c r="K515" s="57" t="str">
        <x:v>—</x:v>
      </x:c>
      <x:c r="L515" s="57" t="str">
        <x:v>—</x:v>
      </x:c>
      <x:c r="M515" s="57" t="str">
        <x:v>—</x:v>
      </x:c>
      <x:c r="N515" s="57" t="str">
        <x:v>포함</x:v>
      </x:c>
      <x:c r="O515" s="57" t="str">
        <x:v>포함</x:v>
      </x:c>
      <x:c r="P515" s="57" t="str">
        <x:v>—</x:v>
      </x:c>
      <x:c r="Q515" s="57" t="str">
        <x:v>—</x:v>
      </x:c>
      <x:c r="R515" s="57" t="str">
        <x:v>—</x:v>
      </x:c>
    </x:row>
    <x:row r="516">
      <x:c r="A516" s="60" t="n">
        <x:v>512</x:v>
      </x:c>
      <x:c r="B516" s="56" t="str">
        <x:v>야나키</x:v>
      </x:c>
      <x:c r="C516" s="56" t="str">
        <x:v>simisage</x:v>
      </x:c>
      <x:c r="D516" s="56" t="str">
        <x:v>숲</x:v>
      </x:c>
      <x:c r="E516" s="56" t="str">
        <x:v>보통</x:v>
      </x:c>
      <x:c r="F516" s="56" t="str">
        <x:v>아니오</x:v>
      </x:c>
      <x:c r="G516" s="56" t="str">
        <x:v>아니오</x:v>
      </x:c>
      <x:c r="H516" s="56" t="str">
        <x:v>예</x:v>
      </x:c>
      <x:c r="I516" s="56" t="str">
        <x:v>—</x:v>
      </x:c>
      <x:c r="J516" s="57" t="str">
        <x:v>—</x:v>
      </x:c>
      <x:c r="K516" s="57" t="str">
        <x:v>—</x:v>
      </x:c>
      <x:c r="L516" s="57" t="str">
        <x:v>—</x:v>
      </x:c>
      <x:c r="M516" s="57" t="str">
        <x:v>—</x:v>
      </x:c>
      <x:c r="N516" s="57" t="str">
        <x:v>포함</x:v>
      </x:c>
      <x:c r="O516" s="57" t="str">
        <x:v>포함</x:v>
      </x:c>
      <x:c r="P516" s="57" t="str">
        <x:v>—</x:v>
      </x:c>
      <x:c r="Q516" s="57" t="str">
        <x:v>—</x:v>
      </x:c>
      <x:c r="R516" s="57" t="str">
        <x:v>—</x:v>
      </x:c>
    </x:row>
    <x:row r="517">
      <x:c r="A517" s="60" t="n">
        <x:v>513</x:v>
      </x:c>
      <x:c r="B517" s="56" t="str">
        <x:v>바오프</x:v>
      </x:c>
      <x:c r="C517" s="56" t="str">
        <x:v>pansear</x:v>
      </x:c>
      <x:c r="D517" s="56" t="str">
        <x:v>화산</x:v>
      </x:c>
      <x:c r="E517" s="56" t="str">
        <x:v>보통</x:v>
      </x:c>
      <x:c r="F517" s="56" t="str">
        <x:v>아니오</x:v>
      </x:c>
      <x:c r="G517" s="56" t="str">
        <x:v>아니오</x:v>
      </x:c>
      <x:c r="H517" s="56" t="str">
        <x:v>예</x:v>
      </x:c>
      <x:c r="I517" s="56" t="str">
        <x:v>—</x:v>
      </x:c>
      <x:c r="J517" s="57" t="str">
        <x:v>—</x:v>
      </x:c>
      <x:c r="K517" s="57" t="str">
        <x:v>—</x:v>
      </x:c>
      <x:c r="L517" s="57" t="str">
        <x:v>—</x:v>
      </x:c>
      <x:c r="M517" s="57" t="str">
        <x:v>—</x:v>
      </x:c>
      <x:c r="N517" s="57" t="str">
        <x:v>포함</x:v>
      </x:c>
      <x:c r="O517" s="57" t="str">
        <x:v>포함</x:v>
      </x:c>
      <x:c r="P517" s="57" t="str">
        <x:v>—</x:v>
      </x:c>
      <x:c r="Q517" s="57" t="str">
        <x:v>—</x:v>
      </x:c>
      <x:c r="R517" s="57" t="str">
        <x:v>—</x:v>
      </x:c>
    </x:row>
    <x:row r="518">
      <x:c r="A518" s="60" t="n">
        <x:v>514</x:v>
      </x:c>
      <x:c r="B518" s="56" t="str">
        <x:v>바오키</x:v>
      </x:c>
      <x:c r="C518" s="56" t="str">
        <x:v>simisear</x:v>
      </x:c>
      <x:c r="D518" s="56" t="str">
        <x:v>화산</x:v>
      </x:c>
      <x:c r="E518" s="56" t="str">
        <x:v>보통</x:v>
      </x:c>
      <x:c r="F518" s="56" t="str">
        <x:v>아니오</x:v>
      </x:c>
      <x:c r="G518" s="56" t="str">
        <x:v>아니오</x:v>
      </x:c>
      <x:c r="H518" s="56" t="str">
        <x:v>예</x:v>
      </x:c>
      <x:c r="I518" s="56" t="str">
        <x:v>—</x:v>
      </x:c>
      <x:c r="J518" s="57" t="str">
        <x:v>—</x:v>
      </x:c>
      <x:c r="K518" s="57" t="str">
        <x:v>—</x:v>
      </x:c>
      <x:c r="L518" s="57" t="str">
        <x:v>—</x:v>
      </x:c>
      <x:c r="M518" s="57" t="str">
        <x:v>—</x:v>
      </x:c>
      <x:c r="N518" s="57" t="str">
        <x:v>포함</x:v>
      </x:c>
      <x:c r="O518" s="57" t="str">
        <x:v>포함</x:v>
      </x:c>
      <x:c r="P518" s="57" t="str">
        <x:v>—</x:v>
      </x:c>
      <x:c r="Q518" s="57" t="str">
        <x:v>—</x:v>
      </x:c>
      <x:c r="R518" s="57" t="str">
        <x:v>—</x:v>
      </x:c>
    </x:row>
    <x:row r="519">
      <x:c r="A519" s="60" t="n">
        <x:v>515</x:v>
      </x:c>
      <x:c r="B519" s="56" t="str">
        <x:v>앗차프</x:v>
      </x:c>
      <x:c r="C519" s="56" t="str">
        <x:v>panpour</x:v>
      </x:c>
      <x:c r="D519" s="56" t="str">
        <x:v>담수</x:v>
      </x:c>
      <x:c r="E519" s="56" t="str">
        <x:v>보통</x:v>
      </x:c>
      <x:c r="F519" s="56" t="str">
        <x:v>아니오</x:v>
      </x:c>
      <x:c r="G519" s="56" t="str">
        <x:v>아니오</x:v>
      </x:c>
      <x:c r="H519" s="56" t="str">
        <x:v>예</x:v>
      </x:c>
      <x:c r="I519" s="56" t="str">
        <x:v>—</x:v>
      </x:c>
      <x:c r="J519" s="57" t="str">
        <x:v>—</x:v>
      </x:c>
      <x:c r="K519" s="57" t="str">
        <x:v>—</x:v>
      </x:c>
      <x:c r="L519" s="57" t="str">
        <x:v>—</x:v>
      </x:c>
      <x:c r="M519" s="57" t="str">
        <x:v>—</x:v>
      </x:c>
      <x:c r="N519" s="57" t="str">
        <x:v>포함</x:v>
      </x:c>
      <x:c r="O519" s="57" t="str">
        <x:v>포함</x:v>
      </x:c>
      <x:c r="P519" s="57" t="str">
        <x:v>—</x:v>
      </x:c>
      <x:c r="Q519" s="57" t="str">
        <x:v>—</x:v>
      </x:c>
      <x:c r="R519" s="57" t="str">
        <x:v>—</x:v>
      </x:c>
    </x:row>
    <x:row r="520">
      <x:c r="A520" s="60" t="n">
        <x:v>516</x:v>
      </x:c>
      <x:c r="B520" s="56" t="str">
        <x:v>앗차키</x:v>
      </x:c>
      <x:c r="C520" s="56" t="str">
        <x:v>simipour</x:v>
      </x:c>
      <x:c r="D520" s="56" t="str">
        <x:v>담수</x:v>
      </x:c>
      <x:c r="E520" s="56" t="str">
        <x:v>보통</x:v>
      </x:c>
      <x:c r="F520" s="56" t="str">
        <x:v>아니오</x:v>
      </x:c>
      <x:c r="G520" s="56" t="str">
        <x:v>아니오</x:v>
      </x:c>
      <x:c r="H520" s="56" t="str">
        <x:v>예</x:v>
      </x:c>
      <x:c r="I520" s="56" t="str">
        <x:v>—</x:v>
      </x:c>
      <x:c r="J520" s="57" t="str">
        <x:v>—</x:v>
      </x:c>
      <x:c r="K520" s="57" t="str">
        <x:v>—</x:v>
      </x:c>
      <x:c r="L520" s="57" t="str">
        <x:v>—</x:v>
      </x:c>
      <x:c r="M520" s="57" t="str">
        <x:v>—</x:v>
      </x:c>
      <x:c r="N520" s="57" t="str">
        <x:v>포함</x:v>
      </x:c>
      <x:c r="O520" s="57" t="str">
        <x:v>포함</x:v>
      </x:c>
      <x:c r="P520" s="57" t="str">
        <x:v>—</x:v>
      </x:c>
      <x:c r="Q520" s="57" t="str">
        <x:v>—</x:v>
      </x:c>
      <x:c r="R520" s="57" t="str">
        <x:v>—</x:v>
      </x:c>
    </x:row>
    <x:row r="521">
      <x:c r="A521" s="60" t="n">
        <x:v>517</x:v>
      </x:c>
      <x:c r="B521" s="56" t="str">
        <x:v>몽나</x:v>
      </x:c>
      <x:c r="C521" s="56" t="str">
        <x:v>munna</x:v>
      </x:c>
      <x:c r="D521" s="56" t="str">
        <x:v>평원</x:v>
      </x:c>
      <x:c r="E521" s="56" t="str">
        <x:v>흔함</x:v>
      </x:c>
      <x:c r="F521" s="56" t="str">
        <x:v>아니오</x:v>
      </x:c>
      <x:c r="G521" s="56" t="str">
        <x:v>아니오</x:v>
      </x:c>
      <x:c r="H521" s="56" t="str">
        <x:v>예</x:v>
      </x:c>
      <x:c r="I521" s="56" t="str">
        <x:v>—</x:v>
      </x:c>
      <x:c r="J521" s="57" t="str">
        <x:v>—</x:v>
      </x:c>
      <x:c r="K521" s="57" t="str">
        <x:v>—</x:v>
      </x:c>
      <x:c r="L521" s="57" t="str">
        <x:v>—</x:v>
      </x:c>
      <x:c r="M521" s="57" t="str">
        <x:v>—</x:v>
      </x:c>
      <x:c r="N521" s="57" t="str">
        <x:v>포함</x:v>
      </x:c>
      <x:c r="O521" s="57" t="str">
        <x:v>—</x:v>
      </x:c>
      <x:c r="P521" s="57" t="str">
        <x:v>—</x:v>
      </x:c>
      <x:c r="Q521" s="57" t="str">
        <x:v>포함</x:v>
      </x:c>
      <x:c r="R521" s="57" t="str">
        <x:v>—</x:v>
      </x:c>
    </x:row>
    <x:row r="522">
      <x:c r="A522" s="60" t="n">
        <x:v>518</x:v>
      </x:c>
      <x:c r="B522" s="56" t="str">
        <x:v>몽얌나</x:v>
      </x:c>
      <x:c r="C522" s="56" t="str">
        <x:v>musharna</x:v>
      </x:c>
      <x:c r="D522" s="56" t="str">
        <x:v>평원</x:v>
      </x:c>
      <x:c r="E522" s="56" t="str">
        <x:v>흔함</x:v>
      </x:c>
      <x:c r="F522" s="56" t="str">
        <x:v>아니오</x:v>
      </x:c>
      <x:c r="G522" s="56" t="str">
        <x:v>아니오</x:v>
      </x:c>
      <x:c r="H522" s="56" t="str">
        <x:v>예</x:v>
      </x:c>
      <x:c r="I522" s="56" t="str">
        <x:v>—</x:v>
      </x:c>
      <x:c r="J522" s="57" t="str">
        <x:v>—</x:v>
      </x:c>
      <x:c r="K522" s="57" t="str">
        <x:v>—</x:v>
      </x:c>
      <x:c r="L522" s="57" t="str">
        <x:v>—</x:v>
      </x:c>
      <x:c r="M522" s="57" t="str">
        <x:v>—</x:v>
      </x:c>
      <x:c r="N522" s="57" t="str">
        <x:v>포함</x:v>
      </x:c>
      <x:c r="O522" s="57" t="str">
        <x:v>—</x:v>
      </x:c>
      <x:c r="P522" s="57" t="str">
        <x:v>—</x:v>
      </x:c>
      <x:c r="Q522" s="57" t="str">
        <x:v>포함</x:v>
      </x:c>
      <x:c r="R522" s="57" t="str">
        <x:v>—</x:v>
      </x:c>
    </x:row>
    <x:row r="523">
      <x:c r="A523" s="60" t="n">
        <x:v>519</x:v>
      </x:c>
      <x:c r="B523" s="56" t="str">
        <x:v>콩둘기</x:v>
      </x:c>
      <x:c r="C523" s="56" t="str">
        <x:v>pidove</x:v>
      </x:c>
      <x:c r="D523" s="56" t="str">
        <x:v>산악</x:v>
      </x:c>
      <x:c r="E523" s="56" t="str">
        <x:v>흔함</x:v>
      </x:c>
      <x:c r="F523" s="56" t="str">
        <x:v>아니오</x:v>
      </x:c>
      <x:c r="G523" s="56" t="str">
        <x:v>아니오</x:v>
      </x:c>
      <x:c r="H523" s="56" t="str">
        <x:v>예</x:v>
      </x:c>
      <x:c r="I523" s="56" t="str">
        <x:v>—</x:v>
      </x:c>
      <x:c r="J523" s="57" t="str">
        <x:v>—</x:v>
      </x:c>
      <x:c r="K523" s="57" t="str">
        <x:v>—</x:v>
      </x:c>
      <x:c r="L523" s="57" t="str">
        <x:v>—</x:v>
      </x:c>
      <x:c r="M523" s="57" t="str">
        <x:v>—</x:v>
      </x:c>
      <x:c r="N523" s="57" t="str">
        <x:v>포함</x:v>
      </x:c>
      <x:c r="O523" s="57" t="str">
        <x:v>—</x:v>
      </x:c>
      <x:c r="P523" s="57" t="str">
        <x:v>—</x:v>
      </x:c>
      <x:c r="Q523" s="57" t="str">
        <x:v>포함</x:v>
      </x:c>
      <x:c r="R523" s="57" t="str">
        <x:v>—</x:v>
      </x:c>
    </x:row>
    <x:row r="524">
      <x:c r="A524" s="60" t="n">
        <x:v>520</x:v>
      </x:c>
      <x:c r="B524" s="56" t="str">
        <x:v>유토브</x:v>
      </x:c>
      <x:c r="C524" s="56" t="str">
        <x:v>tranquill</x:v>
      </x:c>
      <x:c r="D524" s="56" t="str">
        <x:v>산악</x:v>
      </x:c>
      <x:c r="E524" s="56" t="str">
        <x:v>흔함</x:v>
      </x:c>
      <x:c r="F524" s="56" t="str">
        <x:v>아니오</x:v>
      </x:c>
      <x:c r="G524" s="56" t="str">
        <x:v>아니오</x:v>
      </x:c>
      <x:c r="H524" s="56" t="str">
        <x:v>예</x:v>
      </x:c>
      <x:c r="I524" s="56" t="str">
        <x:v>—</x:v>
      </x:c>
      <x:c r="J524" s="57" t="str">
        <x:v>—</x:v>
      </x:c>
      <x:c r="K524" s="57" t="str">
        <x:v>—</x:v>
      </x:c>
      <x:c r="L524" s="57" t="str">
        <x:v>—</x:v>
      </x:c>
      <x:c r="M524" s="57" t="str">
        <x:v>—</x:v>
      </x:c>
      <x:c r="N524" s="57" t="str">
        <x:v>포함</x:v>
      </x:c>
      <x:c r="O524" s="57" t="str">
        <x:v>—</x:v>
      </x:c>
      <x:c r="P524" s="57" t="str">
        <x:v>—</x:v>
      </x:c>
      <x:c r="Q524" s="57" t="str">
        <x:v>포함</x:v>
      </x:c>
      <x:c r="R524" s="57" t="str">
        <x:v>—</x:v>
      </x:c>
    </x:row>
    <x:row r="525">
      <x:c r="A525" s="60" t="n">
        <x:v>521</x:v>
      </x:c>
      <x:c r="B525" s="56" t="str">
        <x:v>켄호로우</x:v>
      </x:c>
      <x:c r="C525" s="56" t="str">
        <x:v>unfezant</x:v>
      </x:c>
      <x:c r="D525" s="56" t="str">
        <x:v>산악</x:v>
      </x:c>
      <x:c r="E525" s="56" t="str">
        <x:v>흔함</x:v>
      </x:c>
      <x:c r="F525" s="56" t="str">
        <x:v>아니오</x:v>
      </x:c>
      <x:c r="G525" s="56" t="str">
        <x:v>아니오</x:v>
      </x:c>
      <x:c r="H525" s="56" t="str">
        <x:v>예</x:v>
      </x:c>
      <x:c r="I525" s="56" t="str">
        <x:v>—</x:v>
      </x:c>
      <x:c r="J525" s="57" t="str">
        <x:v>—</x:v>
      </x:c>
      <x:c r="K525" s="57" t="str">
        <x:v>—</x:v>
      </x:c>
      <x:c r="L525" s="57" t="str">
        <x:v>—</x:v>
      </x:c>
      <x:c r="M525" s="57" t="str">
        <x:v>—</x:v>
      </x:c>
      <x:c r="N525" s="57" t="str">
        <x:v>포함</x:v>
      </x:c>
      <x:c r="O525" s="57" t="str">
        <x:v>—</x:v>
      </x:c>
      <x:c r="P525" s="57" t="str">
        <x:v>—</x:v>
      </x:c>
      <x:c r="Q525" s="57" t="str">
        <x:v>포함</x:v>
      </x:c>
      <x:c r="R525" s="57" t="str">
        <x:v>—</x:v>
      </x:c>
    </x:row>
    <x:row r="526">
      <x:c r="A526" s="60" t="n">
        <x:v>522</x:v>
      </x:c>
      <x:c r="B526" s="56" t="str">
        <x:v>줄뮤마</x:v>
      </x:c>
      <x:c r="C526" s="56" t="str">
        <x:v>blitzle</x:v>
      </x:c>
      <x:c r="D526" s="56" t="str">
        <x:v>평원</x:v>
      </x:c>
      <x:c r="E526" s="56" t="str">
        <x:v>흔함</x:v>
      </x:c>
      <x:c r="F526" s="56" t="str">
        <x:v>아니오</x:v>
      </x:c>
      <x:c r="G526" s="56" t="str">
        <x:v>아니오</x:v>
      </x:c>
      <x:c r="H526" s="56" t="str">
        <x:v>예</x:v>
      </x:c>
      <x:c r="I526" s="56" t="str">
        <x:v>—</x:v>
      </x:c>
      <x:c r="J526" s="57" t="str">
        <x:v>—</x:v>
      </x:c>
      <x:c r="K526" s="57" t="str">
        <x:v>—</x:v>
      </x:c>
      <x:c r="L526" s="57" t="str">
        <x:v>—</x:v>
      </x:c>
      <x:c r="M526" s="57" t="str">
        <x:v>—</x:v>
      </x:c>
      <x:c r="N526" s="57" t="str">
        <x:v>포함</x:v>
      </x:c>
      <x:c r="O526" s="57" t="str">
        <x:v>—</x:v>
      </x:c>
      <x:c r="P526" s="57" t="str">
        <x:v>—</x:v>
      </x:c>
      <x:c r="Q526" s="57" t="str">
        <x:v>—</x:v>
      </x:c>
      <x:c r="R526" s="57" t="str">
        <x:v>포함</x:v>
      </x:c>
    </x:row>
    <x:row r="527">
      <x:c r="A527" s="60" t="n">
        <x:v>523</x:v>
      </x:c>
      <x:c r="B527" s="56" t="str">
        <x:v>제브라이카</x:v>
      </x:c>
      <x:c r="C527" s="56" t="str">
        <x:v>zebstrika</x:v>
      </x:c>
      <x:c r="D527" s="56" t="str">
        <x:v>평원</x:v>
      </x:c>
      <x:c r="E527" s="56" t="str">
        <x:v>흔함</x:v>
      </x:c>
      <x:c r="F527" s="56" t="str">
        <x:v>아니오</x:v>
      </x:c>
      <x:c r="G527" s="56" t="str">
        <x:v>아니오</x:v>
      </x:c>
      <x:c r="H527" s="56" t="str">
        <x:v>예</x:v>
      </x:c>
      <x:c r="I527" s="56" t="str">
        <x:v>—</x:v>
      </x:c>
      <x:c r="J527" s="57" t="str">
        <x:v>—</x:v>
      </x:c>
      <x:c r="K527" s="57" t="str">
        <x:v>—</x:v>
      </x:c>
      <x:c r="L527" s="57" t="str">
        <x:v>—</x:v>
      </x:c>
      <x:c r="M527" s="57" t="str">
        <x:v>—</x:v>
      </x:c>
      <x:c r="N527" s="57" t="str">
        <x:v>포함</x:v>
      </x:c>
      <x:c r="O527" s="57" t="str">
        <x:v>—</x:v>
      </x:c>
      <x:c r="P527" s="57" t="str">
        <x:v>—</x:v>
      </x:c>
      <x:c r="Q527" s="57" t="str">
        <x:v>—</x:v>
      </x:c>
      <x:c r="R527" s="57" t="str">
        <x:v>포함</x:v>
      </x:c>
    </x:row>
    <x:row r="528">
      <x:c r="A528" s="60" t="n">
        <x:v>524</x:v>
      </x:c>
      <x:c r="B528" s="56" t="str">
        <x:v>단굴</x:v>
      </x:c>
      <x:c r="C528" s="56" t="str">
        <x:v>roggenrola</x:v>
      </x:c>
      <x:c r="D528" s="56" t="str">
        <x:v>동굴</x:v>
      </x:c>
      <x:c r="E528" s="56" t="str">
        <x:v>보통</x:v>
      </x:c>
      <x:c r="F528" s="56" t="str">
        <x:v>아니오</x:v>
      </x:c>
      <x:c r="G528" s="56" t="str">
        <x:v>아니오</x:v>
      </x:c>
      <x:c r="H528" s="56" t="str">
        <x:v>예</x:v>
      </x:c>
      <x:c r="I528" s="56" t="str">
        <x:v>—</x:v>
      </x:c>
      <x:c r="J528" s="57" t="str">
        <x:v>—</x:v>
      </x:c>
      <x:c r="K528" s="57" t="str">
        <x:v>—</x:v>
      </x:c>
      <x:c r="L528" s="57" t="str">
        <x:v>—</x:v>
      </x:c>
      <x:c r="M528" s="57" t="str">
        <x:v>—</x:v>
      </x:c>
      <x:c r="N528" s="57" t="str">
        <x:v>포함</x:v>
      </x:c>
      <x:c r="O528" s="57" t="str">
        <x:v>포함</x:v>
      </x:c>
      <x:c r="P528" s="57" t="str">
        <x:v>포함</x:v>
      </x:c>
      <x:c r="Q528" s="57" t="str">
        <x:v>포함</x:v>
      </x:c>
      <x:c r="R528" s="57" t="str">
        <x:v>—</x:v>
      </x:c>
    </x:row>
    <x:row r="529">
      <x:c r="A529" s="60" t="n">
        <x:v>525</x:v>
      </x:c>
      <x:c r="B529" s="56" t="str">
        <x:v>암트르</x:v>
      </x:c>
      <x:c r="C529" s="56" t="str">
        <x:v>boldore</x:v>
      </x:c>
      <x:c r="D529" s="56" t="str">
        <x:v>동굴</x:v>
      </x:c>
      <x:c r="E529" s="56" t="str">
        <x:v>보통</x:v>
      </x:c>
      <x:c r="F529" s="56" t="str">
        <x:v>아니오</x:v>
      </x:c>
      <x:c r="G529" s="56" t="str">
        <x:v>아니오</x:v>
      </x:c>
      <x:c r="H529" s="56" t="str">
        <x:v>예</x:v>
      </x:c>
      <x:c r="I529" s="56" t="str">
        <x:v>—</x:v>
      </x:c>
      <x:c r="J529" s="57" t="str">
        <x:v>—</x:v>
      </x:c>
      <x:c r="K529" s="57" t="str">
        <x:v>—</x:v>
      </x:c>
      <x:c r="L529" s="57" t="str">
        <x:v>—</x:v>
      </x:c>
      <x:c r="M529" s="57" t="str">
        <x:v>—</x:v>
      </x:c>
      <x:c r="N529" s="57" t="str">
        <x:v>포함</x:v>
      </x:c>
      <x:c r="O529" s="57" t="str">
        <x:v>포함</x:v>
      </x:c>
      <x:c r="P529" s="57" t="str">
        <x:v>포함</x:v>
      </x:c>
      <x:c r="Q529" s="57" t="str">
        <x:v>포함</x:v>
      </x:c>
      <x:c r="R529" s="57" t="str">
        <x:v>—</x:v>
      </x:c>
    </x:row>
    <x:row r="530">
      <x:c r="A530" s="60" t="n">
        <x:v>526</x:v>
      </x:c>
      <x:c r="B530" s="56" t="str">
        <x:v>기가이어스</x:v>
      </x:c>
      <x:c r="C530" s="56" t="str">
        <x:v>gigalith</x:v>
      </x:c>
      <x:c r="D530" s="56" t="str">
        <x:v>동굴</x:v>
      </x:c>
      <x:c r="E530" s="56" t="str">
        <x:v>보통</x:v>
      </x:c>
      <x:c r="F530" s="56" t="str">
        <x:v>아니오</x:v>
      </x:c>
      <x:c r="G530" s="56" t="str">
        <x:v>아니오</x:v>
      </x:c>
      <x:c r="H530" s="56" t="str">
        <x:v>예</x:v>
      </x:c>
      <x:c r="I530" s="56" t="str">
        <x:v>—</x:v>
      </x:c>
      <x:c r="J530" s="57" t="str">
        <x:v>—</x:v>
      </x:c>
      <x:c r="K530" s="57" t="str">
        <x:v>—</x:v>
      </x:c>
      <x:c r="L530" s="57" t="str">
        <x:v>—</x:v>
      </x:c>
      <x:c r="M530" s="57" t="str">
        <x:v>—</x:v>
      </x:c>
      <x:c r="N530" s="57" t="str">
        <x:v>포함</x:v>
      </x:c>
      <x:c r="O530" s="57" t="str">
        <x:v>포함</x:v>
      </x:c>
      <x:c r="P530" s="57" t="str">
        <x:v>포함</x:v>
      </x:c>
      <x:c r="Q530" s="57" t="str">
        <x:v>포함</x:v>
      </x:c>
      <x:c r="R530" s="57" t="str">
        <x:v>—</x:v>
      </x:c>
    </x:row>
    <x:row r="531">
      <x:c r="A531" s="60" t="n">
        <x:v>527</x:v>
      </x:c>
      <x:c r="B531" s="56" t="str">
        <x:v>또르박쥐</x:v>
      </x:c>
      <x:c r="C531" s="56" t="str">
        <x:v>woobat</x:v>
      </x:c>
      <x:c r="D531" s="56" t="str">
        <x:v>숲</x:v>
      </x:c>
      <x:c r="E531" s="56" t="str">
        <x:v>흔함</x:v>
      </x:c>
      <x:c r="F531" s="56" t="str">
        <x:v>아니오</x:v>
      </x:c>
      <x:c r="G531" s="56" t="str">
        <x:v>아니오</x:v>
      </x:c>
      <x:c r="H531" s="56" t="str">
        <x:v>예</x:v>
      </x:c>
      <x:c r="I531" s="56" t="str">
        <x:v>—</x:v>
      </x:c>
      <x:c r="J531" s="57" t="str">
        <x:v>—</x:v>
      </x:c>
      <x:c r="K531" s="57" t="str">
        <x:v>—</x:v>
      </x:c>
      <x:c r="L531" s="57" t="str">
        <x:v>—</x:v>
      </x:c>
      <x:c r="M531" s="57" t="str">
        <x:v>—</x:v>
      </x:c>
      <x:c r="N531" s="57" t="str">
        <x:v>포함</x:v>
      </x:c>
      <x:c r="O531" s="57" t="str">
        <x:v>포함</x:v>
      </x:c>
      <x:c r="P531" s="57" t="str">
        <x:v>—</x:v>
      </x:c>
      <x:c r="Q531" s="57" t="str">
        <x:v>포함</x:v>
      </x:c>
      <x:c r="R531" s="57" t="str">
        <x:v>—</x:v>
      </x:c>
    </x:row>
    <x:row r="532">
      <x:c r="A532" s="60" t="n">
        <x:v>528</x:v>
      </x:c>
      <x:c r="B532" s="56" t="str">
        <x:v>맘박쥐</x:v>
      </x:c>
      <x:c r="C532" s="56" t="str">
        <x:v>swoobat</x:v>
      </x:c>
      <x:c r="D532" s="56" t="str">
        <x:v>숲</x:v>
      </x:c>
      <x:c r="E532" s="56" t="str">
        <x:v>흔함</x:v>
      </x:c>
      <x:c r="F532" s="56" t="str">
        <x:v>아니오</x:v>
      </x:c>
      <x:c r="G532" s="56" t="str">
        <x:v>아니오</x:v>
      </x:c>
      <x:c r="H532" s="56" t="str">
        <x:v>예</x:v>
      </x:c>
      <x:c r="I532" s="56" t="str">
        <x:v>—</x:v>
      </x:c>
      <x:c r="J532" s="57" t="str">
        <x:v>—</x:v>
      </x:c>
      <x:c r="K532" s="57" t="str">
        <x:v>—</x:v>
      </x:c>
      <x:c r="L532" s="57" t="str">
        <x:v>—</x:v>
      </x:c>
      <x:c r="M532" s="57" t="str">
        <x:v>—</x:v>
      </x:c>
      <x:c r="N532" s="57" t="str">
        <x:v>포함</x:v>
      </x:c>
      <x:c r="O532" s="57" t="str">
        <x:v>포함</x:v>
      </x:c>
      <x:c r="P532" s="57" t="str">
        <x:v>—</x:v>
      </x:c>
      <x:c r="Q532" s="57" t="str">
        <x:v>포함</x:v>
      </x:c>
      <x:c r="R532" s="57" t="str">
        <x:v>—</x:v>
      </x:c>
    </x:row>
    <x:row r="533">
      <x:c r="A533" s="60" t="n">
        <x:v>529</x:v>
      </x:c>
      <x:c r="B533" s="56" t="str">
        <x:v>두더류</x:v>
      </x:c>
      <x:c r="C533" s="56" t="str">
        <x:v>drilbur</x:v>
      </x:c>
      <x:c r="D533" s="56" t="str">
        <x:v>산악</x:v>
      </x:c>
      <x:c r="E533" s="56" t="str">
        <x:v>흔함</x:v>
      </x:c>
      <x:c r="F533" s="56" t="str">
        <x:v>아니오</x:v>
      </x:c>
      <x:c r="G533" s="56" t="str">
        <x:v>아니오</x:v>
      </x:c>
      <x:c r="H533" s="56" t="str">
        <x:v>예</x:v>
      </x:c>
      <x:c r="I533" s="56" t="str">
        <x:v>—</x:v>
      </x:c>
      <x:c r="J533" s="57" t="str">
        <x:v>—</x:v>
      </x:c>
      <x:c r="K533" s="57" t="str">
        <x:v>—</x:v>
      </x:c>
      <x:c r="L533" s="57" t="str">
        <x:v>—</x:v>
      </x:c>
      <x:c r="M533" s="57" t="str">
        <x:v>—</x:v>
      </x:c>
      <x:c r="N533" s="57" t="str">
        <x:v>포함</x:v>
      </x:c>
      <x:c r="O533" s="57" t="str">
        <x:v>—</x:v>
      </x:c>
      <x:c r="P533" s="57" t="str">
        <x:v>—</x:v>
      </x:c>
      <x:c r="Q533" s="57" t="str">
        <x:v>포함</x:v>
      </x:c>
      <x:c r="R533" s="57" t="str">
        <x:v>포함</x:v>
      </x:c>
    </x:row>
    <x:row r="534">
      <x:c r="A534" s="60" t="n">
        <x:v>530</x:v>
      </x:c>
      <x:c r="B534" s="56" t="str">
        <x:v>몰드류</x:v>
      </x:c>
      <x:c r="C534" s="56" t="str">
        <x:v>excadrill</x:v>
      </x:c>
      <x:c r="D534" s="56" t="str">
        <x:v>산악</x:v>
      </x:c>
      <x:c r="E534" s="56" t="str">
        <x:v>흔함</x:v>
      </x:c>
      <x:c r="F534" s="56" t="str">
        <x:v>아니오</x:v>
      </x:c>
      <x:c r="G534" s="56" t="str">
        <x:v>아니오</x:v>
      </x:c>
      <x:c r="H534" s="56" t="str">
        <x:v>예</x:v>
      </x:c>
      <x:c r="I534" s="56" t="str">
        <x:v>—</x:v>
      </x:c>
      <x:c r="J534" s="57" t="str">
        <x:v>—</x:v>
      </x:c>
      <x:c r="K534" s="57" t="str">
        <x:v>—</x:v>
      </x:c>
      <x:c r="L534" s="57" t="str">
        <x:v>—</x:v>
      </x:c>
      <x:c r="M534" s="57" t="str">
        <x:v>—</x:v>
      </x:c>
      <x:c r="N534" s="57" t="str">
        <x:v>포함</x:v>
      </x:c>
      <x:c r="O534" s="57" t="str">
        <x:v>—</x:v>
      </x:c>
      <x:c r="P534" s="57" t="str">
        <x:v>—</x:v>
      </x:c>
      <x:c r="Q534" s="57" t="str">
        <x:v>포함</x:v>
      </x:c>
      <x:c r="R534" s="57" t="str">
        <x:v>포함</x:v>
      </x:c>
    </x:row>
    <x:row r="535">
      <x:c r="A535" s="60" t="n">
        <x:v>531</x:v>
      </x:c>
      <x:c r="B535" s="56" t="str">
        <x:v>다부니</x:v>
      </x:c>
      <x:c r="C535" s="56" t="str">
        <x:v>audino</x:v>
      </x:c>
      <x:c r="D535" s="56" t="str">
        <x:v>산악</x:v>
      </x:c>
      <x:c r="E535" s="56" t="str">
        <x:v>드묾</x:v>
      </x:c>
      <x:c r="F535" s="56" t="str">
        <x:v>아니오</x:v>
      </x:c>
      <x:c r="G535" s="56" t="str">
        <x:v>아니오</x:v>
      </x:c>
      <x:c r="H535" s="56" t="str">
        <x:v>예</x:v>
      </x:c>
      <x:c r="I535" s="56" t="str">
        <x:v>—</x:v>
      </x:c>
      <x:c r="J535" s="57" t="str">
        <x:v>—</x:v>
      </x:c>
      <x:c r="K535" s="57" t="str">
        <x:v>—</x:v>
      </x:c>
      <x:c r="L535" s="57" t="str">
        <x:v>—</x:v>
      </x:c>
      <x:c r="M535" s="57" t="str">
        <x:v>—</x:v>
      </x:c>
      <x:c r="N535" s="57" t="str">
        <x:v>포함</x:v>
      </x:c>
      <x:c r="O535" s="57" t="str">
        <x:v>포함</x:v>
      </x:c>
      <x:c r="P535" s="57" t="str">
        <x:v>—</x:v>
      </x:c>
      <x:c r="Q535" s="57" t="str">
        <x:v>포함</x:v>
      </x:c>
      <x:c r="R535" s="57" t="str">
        <x:v>—</x:v>
      </x:c>
    </x:row>
    <x:row r="536">
      <x:c r="A536" s="60" t="n">
        <x:v>532</x:v>
      </x:c>
      <x:c r="B536" s="56" t="str">
        <x:v>으랏차</x:v>
      </x:c>
      <x:c r="C536" s="56" t="str">
        <x:v>timburr</x:v>
      </x:c>
      <x:c r="D536" s="56" t="str">
        <x:v>평원</x:v>
      </x:c>
      <x:c r="E536" s="56" t="str">
        <x:v>흔함</x:v>
      </x:c>
      <x:c r="F536" s="56" t="str">
        <x:v>아니오</x:v>
      </x:c>
      <x:c r="G536" s="56" t="str">
        <x:v>아니오</x:v>
      </x:c>
      <x:c r="H536" s="56" t="str">
        <x:v>예</x:v>
      </x:c>
      <x:c r="I536" s="56" t="str">
        <x:v>—</x:v>
      </x:c>
      <x:c r="J536" s="57" t="str">
        <x:v>—</x:v>
      </x:c>
      <x:c r="K536" s="57" t="str">
        <x:v>—</x:v>
      </x:c>
      <x:c r="L536" s="57" t="str">
        <x:v>—</x:v>
      </x:c>
      <x:c r="M536" s="57" t="str">
        <x:v>—</x:v>
      </x:c>
      <x:c r="N536" s="57" t="str">
        <x:v>포함</x:v>
      </x:c>
      <x:c r="O536" s="57" t="str">
        <x:v>포함</x:v>
      </x:c>
      <x:c r="P536" s="57" t="str">
        <x:v>—</x:v>
      </x:c>
      <x:c r="Q536" s="57" t="str">
        <x:v>포함</x:v>
      </x:c>
      <x:c r="R536" s="57" t="str">
        <x:v>포함</x:v>
      </x:c>
    </x:row>
    <x:row r="537">
      <x:c r="A537" s="60" t="n">
        <x:v>533</x:v>
      </x:c>
      <x:c r="B537" s="56" t="str">
        <x:v>토쇠골</x:v>
      </x:c>
      <x:c r="C537" s="56" t="str">
        <x:v>gurdurr</x:v>
      </x:c>
      <x:c r="D537" s="56" t="str">
        <x:v>평원</x:v>
      </x:c>
      <x:c r="E537" s="56" t="str">
        <x:v>흔함</x:v>
      </x:c>
      <x:c r="F537" s="56" t="str">
        <x:v>아니오</x:v>
      </x:c>
      <x:c r="G537" s="56" t="str">
        <x:v>아니오</x:v>
      </x:c>
      <x:c r="H537" s="56" t="str">
        <x:v>예</x:v>
      </x:c>
      <x:c r="I537" s="56" t="str">
        <x:v>—</x:v>
      </x:c>
      <x:c r="J537" s="57" t="str">
        <x:v>—</x:v>
      </x:c>
      <x:c r="K537" s="57" t="str">
        <x:v>—</x:v>
      </x:c>
      <x:c r="L537" s="57" t="str">
        <x:v>—</x:v>
      </x:c>
      <x:c r="M537" s="57" t="str">
        <x:v>—</x:v>
      </x:c>
      <x:c r="N537" s="57" t="str">
        <x:v>포함</x:v>
      </x:c>
      <x:c r="O537" s="57" t="str">
        <x:v>포함</x:v>
      </x:c>
      <x:c r="P537" s="57" t="str">
        <x:v>—</x:v>
      </x:c>
      <x:c r="Q537" s="57" t="str">
        <x:v>포함</x:v>
      </x:c>
      <x:c r="R537" s="57" t="str">
        <x:v>포함</x:v>
      </x:c>
    </x:row>
    <x:row r="538">
      <x:c r="A538" s="60" t="n">
        <x:v>534</x:v>
      </x:c>
      <x:c r="B538" s="56" t="str">
        <x:v>노보청</x:v>
      </x:c>
      <x:c r="C538" s="56" t="str">
        <x:v>conkeldurr</x:v>
      </x:c>
      <x:c r="D538" s="56" t="str">
        <x:v>평원</x:v>
      </x:c>
      <x:c r="E538" s="56" t="str">
        <x:v>흔함</x:v>
      </x:c>
      <x:c r="F538" s="56" t="str">
        <x:v>아니오</x:v>
      </x:c>
      <x:c r="G538" s="56" t="str">
        <x:v>아니오</x:v>
      </x:c>
      <x:c r="H538" s="56" t="str">
        <x:v>예</x:v>
      </x:c>
      <x:c r="I538" s="56" t="str">
        <x:v>—</x:v>
      </x:c>
      <x:c r="J538" s="57" t="str">
        <x:v>—</x:v>
      </x:c>
      <x:c r="K538" s="57" t="str">
        <x:v>—</x:v>
      </x:c>
      <x:c r="L538" s="57" t="str">
        <x:v>—</x:v>
      </x:c>
      <x:c r="M538" s="57" t="str">
        <x:v>—</x:v>
      </x:c>
      <x:c r="N538" s="57" t="str">
        <x:v>포함</x:v>
      </x:c>
      <x:c r="O538" s="57" t="str">
        <x:v>포함</x:v>
      </x:c>
      <x:c r="P538" s="57" t="str">
        <x:v>—</x:v>
      </x:c>
      <x:c r="Q538" s="57" t="str">
        <x:v>포함</x:v>
      </x:c>
      <x:c r="R538" s="57" t="str">
        <x:v>포함</x:v>
      </x:c>
    </x:row>
    <x:row r="539">
      <x:c r="A539" s="60" t="n">
        <x:v>535</x:v>
      </x:c>
      <x:c r="B539" s="56" t="str">
        <x:v>동챙이</x:v>
      </x:c>
      <x:c r="C539" s="56" t="str">
        <x:v>tympole</x:v>
      </x:c>
      <x:c r="D539" s="56" t="str">
        <x:v>습지</x:v>
      </x:c>
      <x:c r="E539" s="56" t="str">
        <x:v>보통</x:v>
      </x:c>
      <x:c r="F539" s="56" t="str">
        <x:v>아니오</x:v>
      </x:c>
      <x:c r="G539" s="56" t="str">
        <x:v>아니오</x:v>
      </x:c>
      <x:c r="H539" s="56" t="str">
        <x:v>예</x:v>
      </x:c>
      <x:c r="I539" s="56" t="str">
        <x:v>—</x:v>
      </x:c>
      <x:c r="J539" s="57" t="str">
        <x:v>—</x:v>
      </x:c>
      <x:c r="K539" s="57" t="str">
        <x:v>—</x:v>
      </x:c>
      <x:c r="L539" s="57" t="str">
        <x:v>—</x:v>
      </x:c>
      <x:c r="M539" s="57" t="str">
        <x:v>—</x:v>
      </x:c>
      <x:c r="N539" s="57" t="str">
        <x:v>포함</x:v>
      </x:c>
      <x:c r="O539" s="57" t="str">
        <x:v>—</x:v>
      </x:c>
      <x:c r="P539" s="57" t="str">
        <x:v>—</x:v>
      </x:c>
      <x:c r="Q539" s="57" t="str">
        <x:v>포함</x:v>
      </x:c>
      <x:c r="R539" s="57" t="str">
        <x:v>—</x:v>
      </x:c>
    </x:row>
    <x:row r="540">
      <x:c r="A540" s="60" t="n">
        <x:v>536</x:v>
      </x:c>
      <x:c r="B540" s="56" t="str">
        <x:v>두까비</x:v>
      </x:c>
      <x:c r="C540" s="56" t="str">
        <x:v>palpitoad</x:v>
      </x:c>
      <x:c r="D540" s="56" t="str">
        <x:v>습지</x:v>
      </x:c>
      <x:c r="E540" s="56" t="str">
        <x:v>보통</x:v>
      </x:c>
      <x:c r="F540" s="56" t="str">
        <x:v>아니오</x:v>
      </x:c>
      <x:c r="G540" s="56" t="str">
        <x:v>아니오</x:v>
      </x:c>
      <x:c r="H540" s="56" t="str">
        <x:v>예</x:v>
      </x:c>
      <x:c r="I540" s="56" t="str">
        <x:v>—</x:v>
      </x:c>
      <x:c r="J540" s="57" t="str">
        <x:v>—</x:v>
      </x:c>
      <x:c r="K540" s="57" t="str">
        <x:v>—</x:v>
      </x:c>
      <x:c r="L540" s="57" t="str">
        <x:v>—</x:v>
      </x:c>
      <x:c r="M540" s="57" t="str">
        <x:v>—</x:v>
      </x:c>
      <x:c r="N540" s="57" t="str">
        <x:v>포함</x:v>
      </x:c>
      <x:c r="O540" s="57" t="str">
        <x:v>—</x:v>
      </x:c>
      <x:c r="P540" s="57" t="str">
        <x:v>—</x:v>
      </x:c>
      <x:c r="Q540" s="57" t="str">
        <x:v>포함</x:v>
      </x:c>
      <x:c r="R540" s="57" t="str">
        <x:v>—</x:v>
      </x:c>
    </x:row>
    <x:row r="541">
      <x:c r="A541" s="60" t="n">
        <x:v>537</x:v>
      </x:c>
      <x:c r="B541" s="56" t="str">
        <x:v>두빅굴</x:v>
      </x:c>
      <x:c r="C541" s="56" t="str">
        <x:v>seismitoad</x:v>
      </x:c>
      <x:c r="D541" s="56" t="str">
        <x:v>습지</x:v>
      </x:c>
      <x:c r="E541" s="56" t="str">
        <x:v>보통</x:v>
      </x:c>
      <x:c r="F541" s="56" t="str">
        <x:v>아니오</x:v>
      </x:c>
      <x:c r="G541" s="56" t="str">
        <x:v>아니오</x:v>
      </x:c>
      <x:c r="H541" s="56" t="str">
        <x:v>예</x:v>
      </x:c>
      <x:c r="I541" s="56" t="str">
        <x:v>—</x:v>
      </x:c>
      <x:c r="J541" s="57" t="str">
        <x:v>—</x:v>
      </x:c>
      <x:c r="K541" s="57" t="str">
        <x:v>—</x:v>
      </x:c>
      <x:c r="L541" s="57" t="str">
        <x:v>—</x:v>
      </x:c>
      <x:c r="M541" s="57" t="str">
        <x:v>—</x:v>
      </x:c>
      <x:c r="N541" s="57" t="str">
        <x:v>포함</x:v>
      </x:c>
      <x:c r="O541" s="57" t="str">
        <x:v>—</x:v>
      </x:c>
      <x:c r="P541" s="57" t="str">
        <x:v>—</x:v>
      </x:c>
      <x:c r="Q541" s="57" t="str">
        <x:v>포함</x:v>
      </x:c>
      <x:c r="R541" s="57" t="str">
        <x:v>—</x:v>
      </x:c>
    </x:row>
    <x:row r="542">
      <x:c r="A542" s="60" t="n">
        <x:v>538</x:v>
      </x:c>
      <x:c r="B542" s="56" t="str">
        <x:v>던지미</x:v>
      </x:c>
      <x:c r="C542" s="56" t="str">
        <x:v>throh</x:v>
      </x:c>
      <x:c r="D542" s="56" t="str">
        <x:v>건조지</x:v>
      </x:c>
      <x:c r="E542" s="56" t="str">
        <x:v>드묾</x:v>
      </x:c>
      <x:c r="F542" s="56" t="str">
        <x:v>아니오</x:v>
      </x:c>
      <x:c r="G542" s="56" t="str">
        <x:v>아니오</x:v>
      </x:c>
      <x:c r="H542" s="56" t="str">
        <x:v>예</x:v>
      </x:c>
      <x:c r="I542" s="56" t="str">
        <x:v>—</x:v>
      </x:c>
      <x:c r="J542" s="57" t="str">
        <x:v>—</x:v>
      </x:c>
      <x:c r="K542" s="57" t="str">
        <x:v>—</x:v>
      </x:c>
      <x:c r="L542" s="57" t="str">
        <x:v>—</x:v>
      </x:c>
      <x:c r="M542" s="57" t="str">
        <x:v>—</x:v>
      </x:c>
      <x:c r="N542" s="57" t="str">
        <x:v>포함</x:v>
      </x:c>
      <x:c r="O542" s="57" t="str">
        <x:v>포함</x:v>
      </x:c>
      <x:c r="P542" s="57" t="str">
        <x:v>—</x:v>
      </x:c>
      <x:c r="Q542" s="57" t="str">
        <x:v>포함</x:v>
      </x:c>
      <x:c r="R542" s="57" t="str">
        <x:v>—</x:v>
      </x:c>
    </x:row>
    <x:row r="543">
      <x:c r="A543" s="60" t="n">
        <x:v>539</x:v>
      </x:c>
      <x:c r="B543" s="56" t="str">
        <x:v>타격귀</x:v>
      </x:c>
      <x:c r="C543" s="56" t="str">
        <x:v>sawk</x:v>
      </x:c>
      <x:c r="D543" s="56" t="str">
        <x:v>건조지</x:v>
      </x:c>
      <x:c r="E543" s="56" t="str">
        <x:v>드묾</x:v>
      </x:c>
      <x:c r="F543" s="56" t="str">
        <x:v>아니오</x:v>
      </x:c>
      <x:c r="G543" s="56" t="str">
        <x:v>아니오</x:v>
      </x:c>
      <x:c r="H543" s="56" t="str">
        <x:v>예</x:v>
      </x:c>
      <x:c r="I543" s="56" t="str">
        <x:v>—</x:v>
      </x:c>
      <x:c r="J543" s="57" t="str">
        <x:v>—</x:v>
      </x:c>
      <x:c r="K543" s="57" t="str">
        <x:v>—</x:v>
      </x:c>
      <x:c r="L543" s="57" t="str">
        <x:v>—</x:v>
      </x:c>
      <x:c r="M543" s="57" t="str">
        <x:v>—</x:v>
      </x:c>
      <x:c r="N543" s="57" t="str">
        <x:v>포함</x:v>
      </x:c>
      <x:c r="O543" s="57" t="str">
        <x:v>포함</x:v>
      </x:c>
      <x:c r="P543" s="57" t="str">
        <x:v>—</x:v>
      </x:c>
      <x:c r="Q543" s="57" t="str">
        <x:v>포함</x:v>
      </x:c>
      <x:c r="R543" s="57" t="str">
        <x:v>—</x:v>
      </x:c>
    </x:row>
    <x:row r="544">
      <x:c r="A544" s="60" t="n">
        <x:v>540</x:v>
      </x:c>
      <x:c r="B544" s="56" t="str">
        <x:v>두르보</x:v>
      </x:c>
      <x:c r="C544" s="56" t="str">
        <x:v>sewaddle</x:v>
      </x:c>
      <x:c r="D544" s="56" t="str">
        <x:v>숲</x:v>
      </x:c>
      <x:c r="E544" s="56" t="str">
        <x:v>흔함</x:v>
      </x:c>
      <x:c r="F544" s="56" t="str">
        <x:v>아니오</x:v>
      </x:c>
      <x:c r="G544" s="56" t="str">
        <x:v>아니오</x:v>
      </x:c>
      <x:c r="H544" s="56" t="str">
        <x:v>예</x:v>
      </x:c>
      <x:c r="I544" s="56" t="str">
        <x:v>—</x:v>
      </x:c>
      <x:c r="J544" s="57" t="str">
        <x:v>—</x:v>
      </x:c>
      <x:c r="K544" s="57" t="str">
        <x:v>—</x:v>
      </x:c>
      <x:c r="L544" s="57" t="str">
        <x:v>—</x:v>
      </x:c>
      <x:c r="M544" s="57" t="str">
        <x:v>—</x:v>
      </x:c>
      <x:c r="N544" s="57" t="str">
        <x:v>포함</x:v>
      </x:c>
      <x:c r="O544" s="57" t="str">
        <x:v>—</x:v>
      </x:c>
      <x:c r="P544" s="57" t="str">
        <x:v>—</x:v>
      </x:c>
      <x:c r="Q544" s="57" t="str">
        <x:v>—</x:v>
      </x:c>
      <x:c r="R544" s="57" t="str">
        <x:v>포함</x:v>
      </x:c>
    </x:row>
    <x:row r="545">
      <x:c r="A545" s="60" t="n">
        <x:v>541</x:v>
      </x:c>
      <x:c r="B545" s="56" t="str">
        <x:v>두르쿤</x:v>
      </x:c>
      <x:c r="C545" s="56" t="str">
        <x:v>swadloon</x:v>
      </x:c>
      <x:c r="D545" s="56" t="str">
        <x:v>숲</x:v>
      </x:c>
      <x:c r="E545" s="56" t="str">
        <x:v>흔함</x:v>
      </x:c>
      <x:c r="F545" s="56" t="str">
        <x:v>아니오</x:v>
      </x:c>
      <x:c r="G545" s="56" t="str">
        <x:v>아니오</x:v>
      </x:c>
      <x:c r="H545" s="56" t="str">
        <x:v>예</x:v>
      </x:c>
      <x:c r="I545" s="56" t="str">
        <x:v>—</x:v>
      </x:c>
      <x:c r="J545" s="57" t="str">
        <x:v>—</x:v>
      </x:c>
      <x:c r="K545" s="57" t="str">
        <x:v>—</x:v>
      </x:c>
      <x:c r="L545" s="57" t="str">
        <x:v>—</x:v>
      </x:c>
      <x:c r="M545" s="57" t="str">
        <x:v>—</x:v>
      </x:c>
      <x:c r="N545" s="57" t="str">
        <x:v>포함</x:v>
      </x:c>
      <x:c r="O545" s="57" t="str">
        <x:v>—</x:v>
      </x:c>
      <x:c r="P545" s="57" t="str">
        <x:v>—</x:v>
      </x:c>
      <x:c r="Q545" s="57" t="str">
        <x:v>—</x:v>
      </x:c>
      <x:c r="R545" s="57" t="str">
        <x:v>포함</x:v>
      </x:c>
    </x:row>
    <x:row r="546">
      <x:c r="A546" s="60" t="n">
        <x:v>542</x:v>
      </x:c>
      <x:c r="B546" s="56" t="str">
        <x:v>모아머</x:v>
      </x:c>
      <x:c r="C546" s="56" t="str">
        <x:v>leavanny</x:v>
      </x:c>
      <x:c r="D546" s="56" t="str">
        <x:v>숲</x:v>
      </x:c>
      <x:c r="E546" s="56" t="str">
        <x:v>흔함</x:v>
      </x:c>
      <x:c r="F546" s="56" t="str">
        <x:v>아니오</x:v>
      </x:c>
      <x:c r="G546" s="56" t="str">
        <x:v>아니오</x:v>
      </x:c>
      <x:c r="H546" s="56" t="str">
        <x:v>예</x:v>
      </x:c>
      <x:c r="I546" s="56" t="str">
        <x:v>—</x:v>
      </x:c>
      <x:c r="J546" s="57" t="str">
        <x:v>—</x:v>
      </x:c>
      <x:c r="K546" s="57" t="str">
        <x:v>—</x:v>
      </x:c>
      <x:c r="L546" s="57" t="str">
        <x:v>—</x:v>
      </x:c>
      <x:c r="M546" s="57" t="str">
        <x:v>—</x:v>
      </x:c>
      <x:c r="N546" s="57" t="str">
        <x:v>포함</x:v>
      </x:c>
      <x:c r="O546" s="57" t="str">
        <x:v>—</x:v>
      </x:c>
      <x:c r="P546" s="57" t="str">
        <x:v>—</x:v>
      </x:c>
      <x:c r="Q546" s="57" t="str">
        <x:v>—</x:v>
      </x:c>
      <x:c r="R546" s="57" t="str">
        <x:v>포함</x:v>
      </x:c>
    </x:row>
    <x:row r="547">
      <x:c r="A547" s="60" t="n">
        <x:v>543</x:v>
      </x:c>
      <x:c r="B547" s="56" t="str">
        <x:v>마디네</x:v>
      </x:c>
      <x:c r="C547" s="56" t="str">
        <x:v>venipede</x:v>
      </x:c>
      <x:c r="D547" s="56" t="str">
        <x:v>숲</x:v>
      </x:c>
      <x:c r="E547" s="56" t="str">
        <x:v>흔함</x:v>
      </x:c>
      <x:c r="F547" s="56" t="str">
        <x:v>아니오</x:v>
      </x:c>
      <x:c r="G547" s="56" t="str">
        <x:v>아니오</x:v>
      </x:c>
      <x:c r="H547" s="56" t="str">
        <x:v>예</x:v>
      </x:c>
      <x:c r="I547" s="56" t="str">
        <x:v>—</x:v>
      </x:c>
      <x:c r="J547" s="57" t="str">
        <x:v>—</x:v>
      </x:c>
      <x:c r="K547" s="57" t="str">
        <x:v>—</x:v>
      </x:c>
      <x:c r="L547" s="57" t="str">
        <x:v>—</x:v>
      </x:c>
      <x:c r="M547" s="57" t="str">
        <x:v>—</x:v>
      </x:c>
      <x:c r="N547" s="57" t="str">
        <x:v>포함</x:v>
      </x:c>
      <x:c r="O547" s="57" t="str">
        <x:v>포함</x:v>
      </x:c>
      <x:c r="P547" s="57" t="str">
        <x:v>—</x:v>
      </x:c>
      <x:c r="Q547" s="57" t="str">
        <x:v>포함</x:v>
      </x:c>
      <x:c r="R547" s="57" t="str">
        <x:v>—</x:v>
      </x:c>
    </x:row>
    <x:row r="548">
      <x:c r="A548" s="60" t="n">
        <x:v>544</x:v>
      </x:c>
      <x:c r="B548" s="56" t="str">
        <x:v>휠구</x:v>
      </x:c>
      <x:c r="C548" s="56" t="str">
        <x:v>whirlipede</x:v>
      </x:c>
      <x:c r="D548" s="56" t="str">
        <x:v>숲</x:v>
      </x:c>
      <x:c r="E548" s="56" t="str">
        <x:v>흔함</x:v>
      </x:c>
      <x:c r="F548" s="56" t="str">
        <x:v>아니오</x:v>
      </x:c>
      <x:c r="G548" s="56" t="str">
        <x:v>아니오</x:v>
      </x:c>
      <x:c r="H548" s="56" t="str">
        <x:v>예</x:v>
      </x:c>
      <x:c r="I548" s="56" t="str">
        <x:v>—</x:v>
      </x:c>
      <x:c r="J548" s="57" t="str">
        <x:v>—</x:v>
      </x:c>
      <x:c r="K548" s="57" t="str">
        <x:v>—</x:v>
      </x:c>
      <x:c r="L548" s="57" t="str">
        <x:v>—</x:v>
      </x:c>
      <x:c r="M548" s="57" t="str">
        <x:v>—</x:v>
      </x:c>
      <x:c r="N548" s="57" t="str">
        <x:v>포함</x:v>
      </x:c>
      <x:c r="O548" s="57" t="str">
        <x:v>포함</x:v>
      </x:c>
      <x:c r="P548" s="57" t="str">
        <x:v>—</x:v>
      </x:c>
      <x:c r="Q548" s="57" t="str">
        <x:v>포함</x:v>
      </x:c>
      <x:c r="R548" s="57" t="str">
        <x:v>—</x:v>
      </x:c>
    </x:row>
    <x:row r="549">
      <x:c r="A549" s="60" t="n">
        <x:v>545</x:v>
      </x:c>
      <x:c r="B549" s="56" t="str">
        <x:v>펜드라</x:v>
      </x:c>
      <x:c r="C549" s="56" t="str">
        <x:v>scolipede</x:v>
      </x:c>
      <x:c r="D549" s="56" t="str">
        <x:v>숲</x:v>
      </x:c>
      <x:c r="E549" s="56" t="str">
        <x:v>흔함</x:v>
      </x:c>
      <x:c r="F549" s="56" t="str">
        <x:v>아니오</x:v>
      </x:c>
      <x:c r="G549" s="56" t="str">
        <x:v>아니오</x:v>
      </x:c>
      <x:c r="H549" s="56" t="str">
        <x:v>예</x:v>
      </x:c>
      <x:c r="I549" s="56" t="str">
        <x:v>—</x:v>
      </x:c>
      <x:c r="J549" s="57" t="str">
        <x:v>—</x:v>
      </x:c>
      <x:c r="K549" s="57" t="str">
        <x:v>—</x:v>
      </x:c>
      <x:c r="L549" s="57" t="str">
        <x:v>—</x:v>
      </x:c>
      <x:c r="M549" s="57" t="str">
        <x:v>—</x:v>
      </x:c>
      <x:c r="N549" s="57" t="str">
        <x:v>포함</x:v>
      </x:c>
      <x:c r="O549" s="57" t="str">
        <x:v>포함</x:v>
      </x:c>
      <x:c r="P549" s="57" t="str">
        <x:v>—</x:v>
      </x:c>
      <x:c r="Q549" s="57" t="str">
        <x:v>포함</x:v>
      </x:c>
      <x:c r="R549" s="57" t="str">
        <x:v>—</x:v>
      </x:c>
    </x:row>
    <x:row r="550">
      <x:c r="A550" s="60" t="n">
        <x:v>546</x:v>
      </x:c>
      <x:c r="B550" s="56" t="str">
        <x:v>소미안</x:v>
      </x:c>
      <x:c r="C550" s="56" t="str">
        <x:v>cottonee</x:v>
      </x:c>
      <x:c r="D550" s="56" t="str">
        <x:v>평원</x:v>
      </x:c>
      <x:c r="E550" s="56" t="str">
        <x:v>흔함</x:v>
      </x:c>
      <x:c r="F550" s="56" t="str">
        <x:v>아니오</x:v>
      </x:c>
      <x:c r="G550" s="56" t="str">
        <x:v>아니오</x:v>
      </x:c>
      <x:c r="H550" s="56" t="str">
        <x:v>예</x:v>
      </x:c>
      <x:c r="I550" s="56" t="str">
        <x:v>—</x:v>
      </x:c>
      <x:c r="J550" s="57" t="str">
        <x:v>—</x:v>
      </x:c>
      <x:c r="K550" s="57" t="str">
        <x:v>—</x:v>
      </x:c>
      <x:c r="L550" s="57" t="str">
        <x:v>—</x:v>
      </x:c>
      <x:c r="M550" s="57" t="str">
        <x:v>—</x:v>
      </x:c>
      <x:c r="N550" s="57" t="str">
        <x:v>포함</x:v>
      </x:c>
      <x:c r="O550" s="57" t="str">
        <x:v>—</x:v>
      </x:c>
      <x:c r="P550" s="57" t="str">
        <x:v>포함</x:v>
      </x:c>
      <x:c r="Q550" s="57" t="str">
        <x:v>포함</x:v>
      </x:c>
      <x:c r="R550" s="57" t="str">
        <x:v>포함</x:v>
      </x:c>
    </x:row>
    <x:row r="551">
      <x:c r="A551" s="60" t="n">
        <x:v>547</x:v>
      </x:c>
      <x:c r="B551" s="56" t="str">
        <x:v>엘풍</x:v>
      </x:c>
      <x:c r="C551" s="56" t="str">
        <x:v>whimsicott</x:v>
      </x:c>
      <x:c r="D551" s="56" t="str">
        <x:v>평원</x:v>
      </x:c>
      <x:c r="E551" s="56" t="str">
        <x:v>흔함</x:v>
      </x:c>
      <x:c r="F551" s="56" t="str">
        <x:v>아니오</x:v>
      </x:c>
      <x:c r="G551" s="56" t="str">
        <x:v>아니오</x:v>
      </x:c>
      <x:c r="H551" s="56" t="str">
        <x:v>예</x:v>
      </x:c>
      <x:c r="I551" s="56" t="str">
        <x:v>—</x:v>
      </x:c>
      <x:c r="J551" s="57" t="str">
        <x:v>—</x:v>
      </x:c>
      <x:c r="K551" s="57" t="str">
        <x:v>—</x:v>
      </x:c>
      <x:c r="L551" s="57" t="str">
        <x:v>—</x:v>
      </x:c>
      <x:c r="M551" s="57" t="str">
        <x:v>—</x:v>
      </x:c>
      <x:c r="N551" s="57" t="str">
        <x:v>포함</x:v>
      </x:c>
      <x:c r="O551" s="57" t="str">
        <x:v>—</x:v>
      </x:c>
      <x:c r="P551" s="57" t="str">
        <x:v>포함</x:v>
      </x:c>
      <x:c r="Q551" s="57" t="str">
        <x:v>포함</x:v>
      </x:c>
      <x:c r="R551" s="57" t="str">
        <x:v>포함</x:v>
      </x:c>
    </x:row>
    <x:row r="552">
      <x:c r="A552" s="60" t="n">
        <x:v>548</x:v>
      </x:c>
      <x:c r="B552" s="56" t="str">
        <x:v>치릴리</x:v>
      </x:c>
      <x:c r="C552" s="56" t="str">
        <x:v>petilil</x:v>
      </x:c>
      <x:c r="D552" s="56" t="str">
        <x:v>산악</x:v>
      </x:c>
      <x:c r="E552" s="56" t="str">
        <x:v>흔함</x:v>
      </x:c>
      <x:c r="F552" s="56" t="str">
        <x:v>아니오</x:v>
      </x:c>
      <x:c r="G552" s="56" t="str">
        <x:v>아니오</x:v>
      </x:c>
      <x:c r="H552" s="56" t="str">
        <x:v>예</x:v>
      </x:c>
      <x:c r="I552" s="56" t="str">
        <x:v>—</x:v>
      </x:c>
      <x:c r="J552" s="57" t="str">
        <x:v>—</x:v>
      </x:c>
      <x:c r="K552" s="57" t="str">
        <x:v>—</x:v>
      </x:c>
      <x:c r="L552" s="57" t="str">
        <x:v>—</x:v>
      </x:c>
      <x:c r="M552" s="57" t="str">
        <x:v>—</x:v>
      </x:c>
      <x:c r="N552" s="57" t="str">
        <x:v>포함</x:v>
      </x:c>
      <x:c r="O552" s="57" t="str">
        <x:v>—</x:v>
      </x:c>
      <x:c r="P552" s="57" t="str">
        <x:v>포함</x:v>
      </x:c>
      <x:c r="Q552" s="57" t="str">
        <x:v>포함</x:v>
      </x:c>
      <x:c r="R552" s="57" t="str">
        <x:v>포함</x:v>
      </x:c>
    </x:row>
    <x:row r="553">
      <x:c r="A553" s="60" t="n">
        <x:v>549</x:v>
      </x:c>
      <x:c r="B553" s="56" t="str">
        <x:v>드레디어</x:v>
      </x:c>
      <x:c r="C553" s="56" t="str">
        <x:v>lilligant</x:v>
      </x:c>
      <x:c r="D553" s="56" t="str">
        <x:v>산악</x:v>
      </x:c>
      <x:c r="E553" s="56" t="str">
        <x:v>흔함</x:v>
      </x:c>
      <x:c r="F553" s="56" t="str">
        <x:v>아니오</x:v>
      </x:c>
      <x:c r="G553" s="56" t="str">
        <x:v>아니오</x:v>
      </x:c>
      <x:c r="H553" s="56" t="str">
        <x:v>예</x:v>
      </x:c>
      <x:c r="I553" s="56" t="str">
        <x:v>—</x:v>
      </x:c>
      <x:c r="J553" s="57" t="str">
        <x:v>—</x:v>
      </x:c>
      <x:c r="K553" s="57" t="str">
        <x:v>—</x:v>
      </x:c>
      <x:c r="L553" s="57" t="str">
        <x:v>—</x:v>
      </x:c>
      <x:c r="M553" s="57" t="str">
        <x:v>—</x:v>
      </x:c>
      <x:c r="N553" s="57" t="str">
        <x:v>포함</x:v>
      </x:c>
      <x:c r="O553" s="57" t="str">
        <x:v>—</x:v>
      </x:c>
      <x:c r="P553" s="57" t="str">
        <x:v>포함</x:v>
      </x:c>
      <x:c r="Q553" s="57" t="str">
        <x:v>포함</x:v>
      </x:c>
      <x:c r="R553" s="57" t="str">
        <x:v>포함</x:v>
      </x:c>
    </x:row>
    <x:row r="554">
      <x:c r="A554" s="60" t="n">
        <x:v>550</x:v>
      </x:c>
      <x:c r="B554" s="56" t="str">
        <x:v>배쓰나이</x:v>
      </x:c>
      <x:c r="C554" s="56" t="str">
        <x:v>basculin</x:v>
      </x:c>
      <x:c r="D554" s="56" t="str">
        <x:v>담수</x:v>
      </x:c>
      <x:c r="E554" s="56" t="str">
        <x:v>흔함</x:v>
      </x:c>
      <x:c r="F554" s="56" t="str">
        <x:v>아니오</x:v>
      </x:c>
      <x:c r="G554" s="56" t="str">
        <x:v>아니오</x:v>
      </x:c>
      <x:c r="H554" s="56" t="str">
        <x:v>예</x:v>
      </x:c>
      <x:c r="I554" s="56" t="str">
        <x:v>—</x:v>
      </x:c>
      <x:c r="J554" s="57" t="str">
        <x:v>—</x:v>
      </x:c>
      <x:c r="K554" s="57" t="str">
        <x:v>—</x:v>
      </x:c>
      <x:c r="L554" s="57" t="str">
        <x:v>—</x:v>
      </x:c>
      <x:c r="M554" s="57" t="str">
        <x:v>—</x:v>
      </x:c>
      <x:c r="N554" s="57" t="str">
        <x:v>포함</x:v>
      </x:c>
      <x:c r="O554" s="57" t="str">
        <x:v>포함</x:v>
      </x:c>
      <x:c r="P554" s="57" t="str">
        <x:v>포함</x:v>
      </x:c>
      <x:c r="Q554" s="57" t="str">
        <x:v>포함</x:v>
      </x:c>
      <x:c r="R554" s="57" t="str">
        <x:v>포함</x:v>
      </x:c>
    </x:row>
    <x:row r="555">
      <x:c r="A555" s="60" t="n">
        <x:v>551</x:v>
      </x:c>
      <x:c r="B555" s="56" t="str">
        <x:v>깜눈크</x:v>
      </x:c>
      <x:c r="C555" s="56" t="str">
        <x:v>sandile</x:v>
      </x:c>
      <x:c r="D555" s="56" t="str">
        <x:v>건조지</x:v>
      </x:c>
      <x:c r="E555" s="56" t="str">
        <x:v>흔함</x:v>
      </x:c>
      <x:c r="F555" s="56" t="str">
        <x:v>아니오</x:v>
      </x:c>
      <x:c r="G555" s="56" t="str">
        <x:v>아니오</x:v>
      </x:c>
      <x:c r="H555" s="56" t="str">
        <x:v>예</x:v>
      </x:c>
      <x:c r="I555" s="56" t="str">
        <x:v>—</x:v>
      </x:c>
      <x:c r="J555" s="57" t="str">
        <x:v>—</x:v>
      </x:c>
      <x:c r="K555" s="57" t="str">
        <x:v>—</x:v>
      </x:c>
      <x:c r="L555" s="57" t="str">
        <x:v>—</x:v>
      </x:c>
      <x:c r="M555" s="57" t="str">
        <x:v>—</x:v>
      </x:c>
      <x:c r="N555" s="57" t="str">
        <x:v>포함</x:v>
      </x:c>
      <x:c r="O555" s="57" t="str">
        <x:v>포함</x:v>
      </x:c>
      <x:c r="P555" s="57" t="str">
        <x:v>포함</x:v>
      </x:c>
      <x:c r="Q555" s="57" t="str">
        <x:v>포함</x:v>
      </x:c>
      <x:c r="R555" s="57" t="str">
        <x:v>포함</x:v>
      </x:c>
    </x:row>
    <x:row r="556">
      <x:c r="A556" s="60" t="n">
        <x:v>552</x:v>
      </x:c>
      <x:c r="B556" s="56" t="str">
        <x:v>악비르</x:v>
      </x:c>
      <x:c r="C556" s="56" t="str">
        <x:v>krokorok</x:v>
      </x:c>
      <x:c r="D556" s="56" t="str">
        <x:v>건조지</x:v>
      </x:c>
      <x:c r="E556" s="56" t="str">
        <x:v>흔함</x:v>
      </x:c>
      <x:c r="F556" s="56" t="str">
        <x:v>아니오</x:v>
      </x:c>
      <x:c r="G556" s="56" t="str">
        <x:v>아니오</x:v>
      </x:c>
      <x:c r="H556" s="56" t="str">
        <x:v>예</x:v>
      </x:c>
      <x:c r="I556" s="56" t="str">
        <x:v>—</x:v>
      </x:c>
      <x:c r="J556" s="57" t="str">
        <x:v>—</x:v>
      </x:c>
      <x:c r="K556" s="57" t="str">
        <x:v>—</x:v>
      </x:c>
      <x:c r="L556" s="57" t="str">
        <x:v>—</x:v>
      </x:c>
      <x:c r="M556" s="57" t="str">
        <x:v>—</x:v>
      </x:c>
      <x:c r="N556" s="57" t="str">
        <x:v>포함</x:v>
      </x:c>
      <x:c r="O556" s="57" t="str">
        <x:v>포함</x:v>
      </x:c>
      <x:c r="P556" s="57" t="str">
        <x:v>포함</x:v>
      </x:c>
      <x:c r="Q556" s="57" t="str">
        <x:v>포함</x:v>
      </x:c>
      <x:c r="R556" s="57" t="str">
        <x:v>포함</x:v>
      </x:c>
    </x:row>
    <x:row r="557">
      <x:c r="A557" s="60" t="n">
        <x:v>553</x:v>
      </x:c>
      <x:c r="B557" s="56" t="str">
        <x:v>악비아르</x:v>
      </x:c>
      <x:c r="C557" s="56" t="str">
        <x:v>krookodile</x:v>
      </x:c>
      <x:c r="D557" s="56" t="str">
        <x:v>건조지</x:v>
      </x:c>
      <x:c r="E557" s="56" t="str">
        <x:v>흔함</x:v>
      </x:c>
      <x:c r="F557" s="56" t="str">
        <x:v>아니오</x:v>
      </x:c>
      <x:c r="G557" s="56" t="str">
        <x:v>아니오</x:v>
      </x:c>
      <x:c r="H557" s="56" t="str">
        <x:v>예</x:v>
      </x:c>
      <x:c r="I557" s="56" t="str">
        <x:v>—</x:v>
      </x:c>
      <x:c r="J557" s="57" t="str">
        <x:v>—</x:v>
      </x:c>
      <x:c r="K557" s="57" t="str">
        <x:v>—</x:v>
      </x:c>
      <x:c r="L557" s="57" t="str">
        <x:v>—</x:v>
      </x:c>
      <x:c r="M557" s="57" t="str">
        <x:v>—</x:v>
      </x:c>
      <x:c r="N557" s="57" t="str">
        <x:v>포함</x:v>
      </x:c>
      <x:c r="O557" s="57" t="str">
        <x:v>포함</x:v>
      </x:c>
      <x:c r="P557" s="57" t="str">
        <x:v>포함</x:v>
      </x:c>
      <x:c r="Q557" s="57" t="str">
        <x:v>포함</x:v>
      </x:c>
      <x:c r="R557" s="57" t="str">
        <x:v>포함</x:v>
      </x:c>
    </x:row>
    <x:row r="558">
      <x:c r="A558" s="60" t="n">
        <x:v>554</x:v>
      </x:c>
      <x:c r="B558" s="56" t="str">
        <x:v>달막화</x:v>
      </x:c>
      <x:c r="C558" s="56" t="str">
        <x:v>darumaka</x:v>
      </x:c>
      <x:c r="D558" s="56" t="str">
        <x:v>설원</x:v>
      </x:c>
      <x:c r="E558" s="56" t="str">
        <x:v>보통</x:v>
      </x:c>
      <x:c r="F558" s="56" t="str">
        <x:v>아니오</x:v>
      </x:c>
      <x:c r="G558" s="56" t="str">
        <x:v>아니오</x:v>
      </x:c>
      <x:c r="H558" s="56" t="str">
        <x:v>예</x:v>
      </x:c>
      <x:c r="I558" s="56" t="str">
        <x:v>—</x:v>
      </x:c>
      <x:c r="J558" s="57" t="str">
        <x:v>—</x:v>
      </x:c>
      <x:c r="K558" s="57" t="str">
        <x:v>—</x:v>
      </x:c>
      <x:c r="L558" s="57" t="str">
        <x:v>—</x:v>
      </x:c>
      <x:c r="M558" s="57" t="str">
        <x:v>—</x:v>
      </x:c>
      <x:c r="N558" s="57" t="str">
        <x:v>포함</x:v>
      </x:c>
      <x:c r="O558" s="57" t="str">
        <x:v>—</x:v>
      </x:c>
      <x:c r="P558" s="57" t="str">
        <x:v>—</x:v>
      </x:c>
      <x:c r="Q558" s="57" t="str">
        <x:v>포함</x:v>
      </x:c>
      <x:c r="R558" s="57" t="str">
        <x:v>—</x:v>
      </x:c>
    </x:row>
    <x:row r="559">
      <x:c r="A559" s="60" t="n">
        <x:v>555</x:v>
      </x:c>
      <x:c r="B559" s="56" t="str">
        <x:v>불비달마</x:v>
      </x:c>
      <x:c r="C559" s="56" t="str">
        <x:v>darmanitan</x:v>
      </x:c>
      <x:c r="D559" s="56" t="str">
        <x:v>설원</x:v>
      </x:c>
      <x:c r="E559" s="56" t="str">
        <x:v>흔함</x:v>
      </x:c>
      <x:c r="F559" s="56" t="str">
        <x:v>아니오</x:v>
      </x:c>
      <x:c r="G559" s="56" t="str">
        <x:v>아니오</x:v>
      </x:c>
      <x:c r="H559" s="56" t="str">
        <x:v>예</x:v>
      </x:c>
      <x:c r="I559" s="56" t="str">
        <x:v>—</x:v>
      </x:c>
      <x:c r="J559" s="57" t="str">
        <x:v>—</x:v>
      </x:c>
      <x:c r="K559" s="57" t="str">
        <x:v>—</x:v>
      </x:c>
      <x:c r="L559" s="57" t="str">
        <x:v>—</x:v>
      </x:c>
      <x:c r="M559" s="57" t="str">
        <x:v>—</x:v>
      </x:c>
      <x:c r="N559" s="57" t="str">
        <x:v>포함</x:v>
      </x:c>
      <x:c r="O559" s="57" t="str">
        <x:v>—</x:v>
      </x:c>
      <x:c r="P559" s="57" t="str">
        <x:v>—</x:v>
      </x:c>
      <x:c r="Q559" s="57" t="str">
        <x:v>포함</x:v>
      </x:c>
      <x:c r="R559" s="57" t="str">
        <x:v>—</x:v>
      </x:c>
    </x:row>
    <x:row r="560">
      <x:c r="A560" s="60" t="n">
        <x:v>556</x:v>
      </x:c>
      <x:c r="B560" s="56" t="str">
        <x:v>마라카치</x:v>
      </x:c>
      <x:c r="C560" s="56" t="str">
        <x:v>maractus</x:v>
      </x:c>
      <x:c r="D560" s="56" t="str">
        <x:v>건조지</x:v>
      </x:c>
      <x:c r="E560" s="56" t="str">
        <x:v>흔함</x:v>
      </x:c>
      <x:c r="F560" s="56" t="str">
        <x:v>아니오</x:v>
      </x:c>
      <x:c r="G560" s="56" t="str">
        <x:v>아니오</x:v>
      </x:c>
      <x:c r="H560" s="56" t="str">
        <x:v>예</x:v>
      </x:c>
      <x:c r="I560" s="56" t="str">
        <x:v>—</x:v>
      </x:c>
      <x:c r="J560" s="57" t="str">
        <x:v>—</x:v>
      </x:c>
      <x:c r="K560" s="57" t="str">
        <x:v>—</x:v>
      </x:c>
      <x:c r="L560" s="57" t="str">
        <x:v>—</x:v>
      </x:c>
      <x:c r="M560" s="57" t="str">
        <x:v>—</x:v>
      </x:c>
      <x:c r="N560" s="57" t="str">
        <x:v>포함</x:v>
      </x:c>
      <x:c r="O560" s="57" t="str">
        <x:v>—</x:v>
      </x:c>
      <x:c r="P560" s="57" t="str">
        <x:v>—</x:v>
      </x:c>
      <x:c r="Q560" s="57" t="str">
        <x:v>포함</x:v>
      </x:c>
      <x:c r="R560" s="57" t="str">
        <x:v>—</x:v>
      </x:c>
    </x:row>
    <x:row r="561">
      <x:c r="A561" s="60" t="n">
        <x:v>557</x:v>
      </x:c>
      <x:c r="B561" s="56" t="str">
        <x:v>돌살이</x:v>
      </x:c>
      <x:c r="C561" s="56" t="str">
        <x:v>dwebble</x:v>
      </x:c>
      <x:c r="D561" s="56" t="str">
        <x:v>건조지</x:v>
      </x:c>
      <x:c r="E561" s="56" t="str">
        <x:v>흔함</x:v>
      </x:c>
      <x:c r="F561" s="56" t="str">
        <x:v>아니오</x:v>
      </x:c>
      <x:c r="G561" s="56" t="str">
        <x:v>아니오</x:v>
      </x:c>
      <x:c r="H561" s="56" t="str">
        <x:v>예</x:v>
      </x:c>
      <x:c r="I561" s="56" t="str">
        <x:v>—</x:v>
      </x:c>
      <x:c r="J561" s="57" t="str">
        <x:v>—</x:v>
      </x:c>
      <x:c r="K561" s="57" t="str">
        <x:v>—</x:v>
      </x:c>
      <x:c r="L561" s="57" t="str">
        <x:v>—</x:v>
      </x:c>
      <x:c r="M561" s="57" t="str">
        <x:v>—</x:v>
      </x:c>
      <x:c r="N561" s="57" t="str">
        <x:v>포함</x:v>
      </x:c>
      <x:c r="O561" s="57" t="str">
        <x:v>포함</x:v>
      </x:c>
      <x:c r="P561" s="57" t="str">
        <x:v>—</x:v>
      </x:c>
      <x:c r="Q561" s="57" t="str">
        <x:v>포함</x:v>
      </x:c>
      <x:c r="R561" s="57" t="str">
        <x:v>—</x:v>
      </x:c>
    </x:row>
    <x:row r="562">
      <x:c r="A562" s="60" t="n">
        <x:v>558</x:v>
      </x:c>
      <x:c r="B562" s="56" t="str">
        <x:v>암팰리스</x:v>
      </x:c>
      <x:c r="C562" s="56" t="str">
        <x:v>crustle</x:v>
      </x:c>
      <x:c r="D562" s="56" t="str">
        <x:v>건조지</x:v>
      </x:c>
      <x:c r="E562" s="56" t="str">
        <x:v>흔함</x:v>
      </x:c>
      <x:c r="F562" s="56" t="str">
        <x:v>아니오</x:v>
      </x:c>
      <x:c r="G562" s="56" t="str">
        <x:v>아니오</x:v>
      </x:c>
      <x:c r="H562" s="56" t="str">
        <x:v>예</x:v>
      </x:c>
      <x:c r="I562" s="56" t="str">
        <x:v>—</x:v>
      </x:c>
      <x:c r="J562" s="57" t="str">
        <x:v>—</x:v>
      </x:c>
      <x:c r="K562" s="57" t="str">
        <x:v>—</x:v>
      </x:c>
      <x:c r="L562" s="57" t="str">
        <x:v>—</x:v>
      </x:c>
      <x:c r="M562" s="57" t="str">
        <x:v>—</x:v>
      </x:c>
      <x:c r="N562" s="57" t="str">
        <x:v>포함</x:v>
      </x:c>
      <x:c r="O562" s="57" t="str">
        <x:v>포함</x:v>
      </x:c>
      <x:c r="P562" s="57" t="str">
        <x:v>—</x:v>
      </x:c>
      <x:c r="Q562" s="57" t="str">
        <x:v>포함</x:v>
      </x:c>
      <x:c r="R562" s="57" t="str">
        <x:v>—</x:v>
      </x:c>
    </x:row>
    <x:row r="563">
      <x:c r="A563" s="60" t="n">
        <x:v>559</x:v>
      </x:c>
      <x:c r="B563" s="56" t="str">
        <x:v>곤율랭</x:v>
      </x:c>
      <x:c r="C563" s="56" t="str">
        <x:v>scraggy</x:v>
      </x:c>
      <x:c r="D563" s="56" t="str">
        <x:v>건조지</x:v>
      </x:c>
      <x:c r="E563" s="56" t="str">
        <x:v>흔함</x:v>
      </x:c>
      <x:c r="F563" s="56" t="str">
        <x:v>아니오</x:v>
      </x:c>
      <x:c r="G563" s="56" t="str">
        <x:v>아니오</x:v>
      </x:c>
      <x:c r="H563" s="56" t="str">
        <x:v>예</x:v>
      </x:c>
      <x:c r="I563" s="56" t="str">
        <x:v>—</x:v>
      </x:c>
      <x:c r="J563" s="57" t="str">
        <x:v>—</x:v>
      </x:c>
      <x:c r="K563" s="57" t="str">
        <x:v>—</x:v>
      </x:c>
      <x:c r="L563" s="57" t="str">
        <x:v>—</x:v>
      </x:c>
      <x:c r="M563" s="57" t="str">
        <x:v>—</x:v>
      </x:c>
      <x:c r="N563" s="57" t="str">
        <x:v>포함</x:v>
      </x:c>
      <x:c r="O563" s="57" t="str">
        <x:v>포함</x:v>
      </x:c>
      <x:c r="P563" s="57" t="str">
        <x:v>포함</x:v>
      </x:c>
      <x:c r="Q563" s="57" t="str">
        <x:v>포함</x:v>
      </x:c>
      <x:c r="R563" s="57" t="str">
        <x:v>포함</x:v>
      </x:c>
    </x:row>
    <x:row r="564">
      <x:c r="A564" s="60" t="n">
        <x:v>560</x:v>
      </x:c>
      <x:c r="B564" s="56" t="str">
        <x:v>곤율거니</x:v>
      </x:c>
      <x:c r="C564" s="56" t="str">
        <x:v>scrafty</x:v>
      </x:c>
      <x:c r="D564" s="56" t="str">
        <x:v>건조지</x:v>
      </x:c>
      <x:c r="E564" s="56" t="str">
        <x:v>흔함</x:v>
      </x:c>
      <x:c r="F564" s="56" t="str">
        <x:v>아니오</x:v>
      </x:c>
      <x:c r="G564" s="56" t="str">
        <x:v>아니오</x:v>
      </x:c>
      <x:c r="H564" s="56" t="str">
        <x:v>예</x:v>
      </x:c>
      <x:c r="I564" s="56" t="str">
        <x:v>—</x:v>
      </x:c>
      <x:c r="J564" s="57" t="str">
        <x:v>—</x:v>
      </x:c>
      <x:c r="K564" s="57" t="str">
        <x:v>—</x:v>
      </x:c>
      <x:c r="L564" s="57" t="str">
        <x:v>—</x:v>
      </x:c>
      <x:c r="M564" s="57" t="str">
        <x:v>—</x:v>
      </x:c>
      <x:c r="N564" s="57" t="str">
        <x:v>포함</x:v>
      </x:c>
      <x:c r="O564" s="57" t="str">
        <x:v>포함</x:v>
      </x:c>
      <x:c r="P564" s="57" t="str">
        <x:v>포함</x:v>
      </x:c>
      <x:c r="Q564" s="57" t="str">
        <x:v>포함</x:v>
      </x:c>
      <x:c r="R564" s="57" t="str">
        <x:v>포함</x:v>
      </x:c>
    </x:row>
    <x:row r="565">
      <x:c r="A565" s="60" t="n">
        <x:v>561</x:v>
      </x:c>
      <x:c r="B565" s="56" t="str">
        <x:v>심보러</x:v>
      </x:c>
      <x:c r="C565" s="56" t="str">
        <x:v>sigilyph</x:v>
      </x:c>
      <x:c r="D565" s="56" t="str">
        <x:v>건조지</x:v>
      </x:c>
      <x:c r="E565" s="56" t="str">
        <x:v>보통</x:v>
      </x:c>
      <x:c r="F565" s="56" t="str">
        <x:v>아니오</x:v>
      </x:c>
      <x:c r="G565" s="56" t="str">
        <x:v>아니오</x:v>
      </x:c>
      <x:c r="H565" s="56" t="str">
        <x:v>예</x:v>
      </x:c>
      <x:c r="I565" s="56" t="str">
        <x:v>—</x:v>
      </x:c>
      <x:c r="J565" s="57" t="str">
        <x:v>—</x:v>
      </x:c>
      <x:c r="K565" s="57" t="str">
        <x:v>—</x:v>
      </x:c>
      <x:c r="L565" s="57" t="str">
        <x:v>—</x:v>
      </x:c>
      <x:c r="M565" s="57" t="str">
        <x:v>—</x:v>
      </x:c>
      <x:c r="N565" s="57" t="str">
        <x:v>포함</x:v>
      </x:c>
      <x:c r="O565" s="57" t="str">
        <x:v>포함</x:v>
      </x:c>
      <x:c r="P565" s="57" t="str">
        <x:v>—</x:v>
      </x:c>
      <x:c r="Q565" s="57" t="str">
        <x:v>포함</x:v>
      </x:c>
      <x:c r="R565" s="57" t="str">
        <x:v>—</x:v>
      </x:c>
    </x:row>
    <x:row r="566">
      <x:c r="A566" s="60" t="n">
        <x:v>562</x:v>
      </x:c>
      <x:c r="B566" s="56" t="str">
        <x:v>데스마스</x:v>
      </x:c>
      <x:c r="C566" s="56" t="str">
        <x:v>yamask</x:v>
      </x:c>
      <x:c r="D566" s="56" t="str">
        <x:v>건조지</x:v>
      </x:c>
      <x:c r="E566" s="56" t="str">
        <x:v>보통</x:v>
      </x:c>
      <x:c r="F566" s="56" t="str">
        <x:v>아니오</x:v>
      </x:c>
      <x:c r="G566" s="56" t="str">
        <x:v>아니오</x:v>
      </x:c>
      <x:c r="H566" s="56" t="str">
        <x:v>예</x:v>
      </x:c>
      <x:c r="I566" s="56" t="str">
        <x:v>—</x:v>
      </x:c>
      <x:c r="J566" s="57" t="str">
        <x:v>—</x:v>
      </x:c>
      <x:c r="K566" s="57" t="str">
        <x:v>—</x:v>
      </x:c>
      <x:c r="L566" s="57" t="str">
        <x:v>—</x:v>
      </x:c>
      <x:c r="M566" s="57" t="str">
        <x:v>—</x:v>
      </x:c>
      <x:c r="N566" s="57" t="str">
        <x:v>포함</x:v>
      </x:c>
      <x:c r="O566" s="57" t="str">
        <x:v>—</x:v>
      </x:c>
      <x:c r="P566" s="57" t="str">
        <x:v>—</x:v>
      </x:c>
      <x:c r="Q566" s="57" t="str">
        <x:v>포함</x:v>
      </x:c>
      <x:c r="R566" s="57" t="str">
        <x:v>—</x:v>
      </x:c>
    </x:row>
    <x:row r="567">
      <x:c r="A567" s="60" t="n">
        <x:v>563</x:v>
      </x:c>
      <x:c r="B567" s="56" t="str">
        <x:v>데스니칸</x:v>
      </x:c>
      <x:c r="C567" s="56" t="str">
        <x:v>cofagrigus</x:v>
      </x:c>
      <x:c r="D567" s="56" t="str">
        <x:v>건조지</x:v>
      </x:c>
      <x:c r="E567" s="56" t="str">
        <x:v>보통</x:v>
      </x:c>
      <x:c r="F567" s="56" t="str">
        <x:v>아니오</x:v>
      </x:c>
      <x:c r="G567" s="56" t="str">
        <x:v>아니오</x:v>
      </x:c>
      <x:c r="H567" s="56" t="str">
        <x:v>예</x:v>
      </x:c>
      <x:c r="I567" s="56" t="str">
        <x:v>—</x:v>
      </x:c>
      <x:c r="J567" s="57" t="str">
        <x:v>—</x:v>
      </x:c>
      <x:c r="K567" s="57" t="str">
        <x:v>—</x:v>
      </x:c>
      <x:c r="L567" s="57" t="str">
        <x:v>—</x:v>
      </x:c>
      <x:c r="M567" s="57" t="str">
        <x:v>—</x:v>
      </x:c>
      <x:c r="N567" s="57" t="str">
        <x:v>포함</x:v>
      </x:c>
      <x:c r="O567" s="57" t="str">
        <x:v>—</x:v>
      </x:c>
      <x:c r="P567" s="57" t="str">
        <x:v>—</x:v>
      </x:c>
      <x:c r="Q567" s="57" t="str">
        <x:v>포함</x:v>
      </x:c>
      <x:c r="R567" s="57" t="str">
        <x:v>—</x:v>
      </x:c>
    </x:row>
    <x:row r="568">
      <x:c r="A568" s="60" t="n">
        <x:v>564</x:v>
      </x:c>
      <x:c r="B568" s="56" t="str">
        <x:v>프로토가</x:v>
      </x:c>
      <x:c r="C568" s="56" t="str">
        <x:v>tirtouga</x:v>
      </x:c>
      <x:c r="D568" s="56" t="str">
        <x:v>산악</x:v>
      </x:c>
      <x:c r="E568" s="56" t="str">
        <x:v>희귀</x:v>
      </x:c>
      <x:c r="F568" s="56" t="str">
        <x:v>아니오</x:v>
      </x:c>
      <x:c r="G568" s="56" t="str">
        <x:v>아니오</x:v>
      </x:c>
      <x:c r="H568" s="56" t="str">
        <x:v>예</x:v>
      </x:c>
      <x:c r="I568" s="56" t="str">
        <x:v>—</x:v>
      </x:c>
      <x:c r="J568" s="57" t="str">
        <x:v>—</x:v>
      </x:c>
      <x:c r="K568" s="57" t="str">
        <x:v>—</x:v>
      </x:c>
      <x:c r="L568" s="57" t="str">
        <x:v>—</x:v>
      </x:c>
      <x:c r="M568" s="57" t="str">
        <x:v>—</x:v>
      </x:c>
      <x:c r="N568" s="57" t="str">
        <x:v>포함</x:v>
      </x:c>
      <x:c r="O568" s="57" t="str">
        <x:v>—</x:v>
      </x:c>
      <x:c r="P568" s="57" t="str">
        <x:v>포함</x:v>
      </x:c>
      <x:c r="Q568" s="57" t="str">
        <x:v>포함</x:v>
      </x:c>
      <x:c r="R568" s="57" t="str">
        <x:v>—</x:v>
      </x:c>
    </x:row>
    <x:row r="569">
      <x:c r="A569" s="60" t="n">
        <x:v>565</x:v>
      </x:c>
      <x:c r="B569" s="56" t="str">
        <x:v>늑골라</x:v>
      </x:c>
      <x:c r="C569" s="56" t="str">
        <x:v>carracosta</x:v>
      </x:c>
      <x:c r="D569" s="56" t="str">
        <x:v>산악</x:v>
      </x:c>
      <x:c r="E569" s="56" t="str">
        <x:v>희귀</x:v>
      </x:c>
      <x:c r="F569" s="56" t="str">
        <x:v>아니오</x:v>
      </x:c>
      <x:c r="G569" s="56" t="str">
        <x:v>아니오</x:v>
      </x:c>
      <x:c r="H569" s="56" t="str">
        <x:v>예</x:v>
      </x:c>
      <x:c r="I569" s="56" t="str">
        <x:v>—</x:v>
      </x:c>
      <x:c r="J569" s="57" t="str">
        <x:v>—</x:v>
      </x:c>
      <x:c r="K569" s="57" t="str">
        <x:v>—</x:v>
      </x:c>
      <x:c r="L569" s="57" t="str">
        <x:v>—</x:v>
      </x:c>
      <x:c r="M569" s="57" t="str">
        <x:v>—</x:v>
      </x:c>
      <x:c r="N569" s="57" t="str">
        <x:v>포함</x:v>
      </x:c>
      <x:c r="O569" s="57" t="str">
        <x:v>—</x:v>
      </x:c>
      <x:c r="P569" s="57" t="str">
        <x:v>포함</x:v>
      </x:c>
      <x:c r="Q569" s="57" t="str">
        <x:v>포함</x:v>
      </x:c>
      <x:c r="R569" s="57" t="str">
        <x:v>—</x:v>
      </x:c>
    </x:row>
    <x:row r="570">
      <x:c r="A570" s="60" t="n">
        <x:v>566</x:v>
      </x:c>
      <x:c r="B570" s="56" t="str">
        <x:v>아켄</x:v>
      </x:c>
      <x:c r="C570" s="56" t="str">
        <x:v>archen</x:v>
      </x:c>
      <x:c r="D570" s="56" t="str">
        <x:v>산악</x:v>
      </x:c>
      <x:c r="E570" s="56" t="str">
        <x:v>희귀</x:v>
      </x:c>
      <x:c r="F570" s="56" t="str">
        <x:v>아니오</x:v>
      </x:c>
      <x:c r="G570" s="56" t="str">
        <x:v>아니오</x:v>
      </x:c>
      <x:c r="H570" s="56" t="str">
        <x:v>예</x:v>
      </x:c>
      <x:c r="I570" s="56" t="str">
        <x:v>—</x:v>
      </x:c>
      <x:c r="J570" s="57" t="str">
        <x:v>—</x:v>
      </x:c>
      <x:c r="K570" s="57" t="str">
        <x:v>—</x:v>
      </x:c>
      <x:c r="L570" s="57" t="str">
        <x:v>—</x:v>
      </x:c>
      <x:c r="M570" s="57" t="str">
        <x:v>—</x:v>
      </x:c>
      <x:c r="N570" s="57" t="str">
        <x:v>포함</x:v>
      </x:c>
      <x:c r="O570" s="57" t="str">
        <x:v>—</x:v>
      </x:c>
      <x:c r="P570" s="57" t="str">
        <x:v>포함</x:v>
      </x:c>
      <x:c r="Q570" s="57" t="str">
        <x:v>포함</x:v>
      </x:c>
      <x:c r="R570" s="57" t="str">
        <x:v>—</x:v>
      </x:c>
    </x:row>
    <x:row r="571">
      <x:c r="A571" s="60" t="n">
        <x:v>567</x:v>
      </x:c>
      <x:c r="B571" s="56" t="str">
        <x:v>아케오스</x:v>
      </x:c>
      <x:c r="C571" s="56" t="str">
        <x:v>archeops</x:v>
      </x:c>
      <x:c r="D571" s="56" t="str">
        <x:v>산악</x:v>
      </x:c>
      <x:c r="E571" s="56" t="str">
        <x:v>희귀</x:v>
      </x:c>
      <x:c r="F571" s="56" t="str">
        <x:v>아니오</x:v>
      </x:c>
      <x:c r="G571" s="56" t="str">
        <x:v>아니오</x:v>
      </x:c>
      <x:c r="H571" s="56" t="str">
        <x:v>예</x:v>
      </x:c>
      <x:c r="I571" s="56" t="str">
        <x:v>—</x:v>
      </x:c>
      <x:c r="J571" s="57" t="str">
        <x:v>—</x:v>
      </x:c>
      <x:c r="K571" s="57" t="str">
        <x:v>—</x:v>
      </x:c>
      <x:c r="L571" s="57" t="str">
        <x:v>—</x:v>
      </x:c>
      <x:c r="M571" s="57" t="str">
        <x:v>—</x:v>
      </x:c>
      <x:c r="N571" s="57" t="str">
        <x:v>포함</x:v>
      </x:c>
      <x:c r="O571" s="57" t="str">
        <x:v>—</x:v>
      </x:c>
      <x:c r="P571" s="57" t="str">
        <x:v>포함</x:v>
      </x:c>
      <x:c r="Q571" s="57" t="str">
        <x:v>포함</x:v>
      </x:c>
      <x:c r="R571" s="57" t="str">
        <x:v>—</x:v>
      </x:c>
    </x:row>
    <x:row r="572">
      <x:c r="A572" s="60" t="n">
        <x:v>568</x:v>
      </x:c>
      <x:c r="B572" s="56" t="str">
        <x:v>깨봉이</x:v>
      </x:c>
      <x:c r="C572" s="56" t="str">
        <x:v>trubbish</x:v>
      </x:c>
      <x:c r="D572" s="56" t="str">
        <x:v>습지</x:v>
      </x:c>
      <x:c r="E572" s="56" t="str">
        <x:v>흔함</x:v>
      </x:c>
      <x:c r="F572" s="56" t="str">
        <x:v>아니오</x:v>
      </x:c>
      <x:c r="G572" s="56" t="str">
        <x:v>아니오</x:v>
      </x:c>
      <x:c r="H572" s="56" t="str">
        <x:v>예</x:v>
      </x:c>
      <x:c r="I572" s="56" t="str">
        <x:v>—</x:v>
      </x:c>
      <x:c r="J572" s="57" t="str">
        <x:v>—</x:v>
      </x:c>
      <x:c r="K572" s="57" t="str">
        <x:v>—</x:v>
      </x:c>
      <x:c r="L572" s="57" t="str">
        <x:v>—</x:v>
      </x:c>
      <x:c r="M572" s="57" t="str">
        <x:v>—</x:v>
      </x:c>
      <x:c r="N572" s="57" t="str">
        <x:v>포함</x:v>
      </x:c>
      <x:c r="O572" s="57" t="str">
        <x:v>포함</x:v>
      </x:c>
      <x:c r="P572" s="57" t="str">
        <x:v>포함</x:v>
      </x:c>
      <x:c r="Q572" s="57" t="str">
        <x:v>포함</x:v>
      </x:c>
      <x:c r="R572" s="57" t="str">
        <x:v>—</x:v>
      </x:c>
    </x:row>
    <x:row r="573">
      <x:c r="A573" s="60" t="n">
        <x:v>569</x:v>
      </x:c>
      <x:c r="B573" s="56" t="str">
        <x:v>더스트나</x:v>
      </x:c>
      <x:c r="C573" s="56" t="str">
        <x:v>garbodor</x:v>
      </x:c>
      <x:c r="D573" s="56" t="str">
        <x:v>습지</x:v>
      </x:c>
      <x:c r="E573" s="56" t="str">
        <x:v>흔함</x:v>
      </x:c>
      <x:c r="F573" s="56" t="str">
        <x:v>아니오</x:v>
      </x:c>
      <x:c r="G573" s="56" t="str">
        <x:v>아니오</x:v>
      </x:c>
      <x:c r="H573" s="56" t="str">
        <x:v>예</x:v>
      </x:c>
      <x:c r="I573" s="56" t="str">
        <x:v>—</x:v>
      </x:c>
      <x:c r="J573" s="57" t="str">
        <x:v>—</x:v>
      </x:c>
      <x:c r="K573" s="57" t="str">
        <x:v>—</x:v>
      </x:c>
      <x:c r="L573" s="57" t="str">
        <x:v>—</x:v>
      </x:c>
      <x:c r="M573" s="57" t="str">
        <x:v>—</x:v>
      </x:c>
      <x:c r="N573" s="57" t="str">
        <x:v>포함</x:v>
      </x:c>
      <x:c r="O573" s="57" t="str">
        <x:v>포함</x:v>
      </x:c>
      <x:c r="P573" s="57" t="str">
        <x:v>포함</x:v>
      </x:c>
      <x:c r="Q573" s="57" t="str">
        <x:v>포함</x:v>
      </x:c>
      <x:c r="R573" s="57" t="str">
        <x:v>—</x:v>
      </x:c>
    </x:row>
    <x:row r="574">
      <x:c r="A574" s="60" t="n">
        <x:v>570</x:v>
      </x:c>
      <x:c r="B574" s="56" t="str">
        <x:v>조로아</x:v>
      </x:c>
      <x:c r="C574" s="56" t="str">
        <x:v>zorua</x:v>
      </x:c>
      <x:c r="D574" s="56" t="str">
        <x:v>숲</x:v>
      </x:c>
      <x:c r="E574" s="56" t="str">
        <x:v>보통</x:v>
      </x:c>
      <x:c r="F574" s="56" t="str">
        <x:v>아니오</x:v>
      </x:c>
      <x:c r="G574" s="56" t="str">
        <x:v>아니오</x:v>
      </x:c>
      <x:c r="H574" s="56" t="str">
        <x:v>예</x:v>
      </x:c>
      <x:c r="I574" s="56" t="str">
        <x:v>—</x:v>
      </x:c>
      <x:c r="J574" s="57" t="str">
        <x:v>—</x:v>
      </x:c>
      <x:c r="K574" s="57" t="str">
        <x:v>—</x:v>
      </x:c>
      <x:c r="L574" s="57" t="str">
        <x:v>—</x:v>
      </x:c>
      <x:c r="M574" s="57" t="str">
        <x:v>—</x:v>
      </x:c>
      <x:c r="N574" s="57" t="str">
        <x:v>포함</x:v>
      </x:c>
      <x:c r="O574" s="57" t="str">
        <x:v>포함</x:v>
      </x:c>
      <x:c r="P574" s="57" t="str">
        <x:v>포함</x:v>
      </x:c>
      <x:c r="Q574" s="57" t="str">
        <x:v>포함</x:v>
      </x:c>
      <x:c r="R574" s="57" t="str">
        <x:v>포함</x:v>
      </x:c>
    </x:row>
    <x:row r="575">
      <x:c r="A575" s="60" t="n">
        <x:v>571</x:v>
      </x:c>
      <x:c r="B575" s="56" t="str">
        <x:v>조로아크</x:v>
      </x:c>
      <x:c r="C575" s="56" t="str">
        <x:v>zoroark</x:v>
      </x:c>
      <x:c r="D575" s="56" t="str">
        <x:v>숲</x:v>
      </x:c>
      <x:c r="E575" s="56" t="str">
        <x:v>보통</x:v>
      </x:c>
      <x:c r="F575" s="56" t="str">
        <x:v>아니오</x:v>
      </x:c>
      <x:c r="G575" s="56" t="str">
        <x:v>아니오</x:v>
      </x:c>
      <x:c r="H575" s="56" t="str">
        <x:v>예</x:v>
      </x:c>
      <x:c r="I575" s="56" t="str">
        <x:v>—</x:v>
      </x:c>
      <x:c r="J575" s="57" t="str">
        <x:v>—</x:v>
      </x:c>
      <x:c r="K575" s="57" t="str">
        <x:v>—</x:v>
      </x:c>
      <x:c r="L575" s="57" t="str">
        <x:v>—</x:v>
      </x:c>
      <x:c r="M575" s="57" t="str">
        <x:v>—</x:v>
      </x:c>
      <x:c r="N575" s="57" t="str">
        <x:v>포함</x:v>
      </x:c>
      <x:c r="O575" s="57" t="str">
        <x:v>포함</x:v>
      </x:c>
      <x:c r="P575" s="57" t="str">
        <x:v>포함</x:v>
      </x:c>
      <x:c r="Q575" s="57" t="str">
        <x:v>포함</x:v>
      </x:c>
      <x:c r="R575" s="57" t="str">
        <x:v>포함</x:v>
      </x:c>
    </x:row>
    <x:row r="576">
      <x:c r="A576" s="60" t="n">
        <x:v>572</x:v>
      </x:c>
      <x:c r="B576" s="56" t="str">
        <x:v>치라미</x:v>
      </x:c>
      <x:c r="C576" s="56" t="str">
        <x:v>minccino</x:v>
      </x:c>
      <x:c r="D576" s="56" t="str">
        <x:v>평원</x:v>
      </x:c>
      <x:c r="E576" s="56" t="str">
        <x:v>흔함</x:v>
      </x:c>
      <x:c r="F576" s="56" t="str">
        <x:v>아니오</x:v>
      </x:c>
      <x:c r="G576" s="56" t="str">
        <x:v>아니오</x:v>
      </x:c>
      <x:c r="H576" s="56" t="str">
        <x:v>예</x:v>
      </x:c>
      <x:c r="I576" s="56" t="str">
        <x:v>—</x:v>
      </x:c>
      <x:c r="J576" s="57" t="str">
        <x:v>—</x:v>
      </x:c>
      <x:c r="K576" s="57" t="str">
        <x:v>—</x:v>
      </x:c>
      <x:c r="L576" s="57" t="str">
        <x:v>—</x:v>
      </x:c>
      <x:c r="M576" s="57" t="str">
        <x:v>—</x:v>
      </x:c>
      <x:c r="N576" s="57" t="str">
        <x:v>포함</x:v>
      </x:c>
      <x:c r="O576" s="57" t="str">
        <x:v>—</x:v>
      </x:c>
      <x:c r="P576" s="57" t="str">
        <x:v>포함</x:v>
      </x:c>
      <x:c r="Q576" s="57" t="str">
        <x:v>포함</x:v>
      </x:c>
      <x:c r="R576" s="57" t="str">
        <x:v>포함</x:v>
      </x:c>
    </x:row>
    <x:row r="577">
      <x:c r="A577" s="60" t="n">
        <x:v>573</x:v>
      </x:c>
      <x:c r="B577" s="56" t="str">
        <x:v>치라치노</x:v>
      </x:c>
      <x:c r="C577" s="56" t="str">
        <x:v>cinccino</x:v>
      </x:c>
      <x:c r="D577" s="56" t="str">
        <x:v>평원</x:v>
      </x:c>
      <x:c r="E577" s="56" t="str">
        <x:v>흔함</x:v>
      </x:c>
      <x:c r="F577" s="56" t="str">
        <x:v>아니오</x:v>
      </x:c>
      <x:c r="G577" s="56" t="str">
        <x:v>아니오</x:v>
      </x:c>
      <x:c r="H577" s="56" t="str">
        <x:v>예</x:v>
      </x:c>
      <x:c r="I577" s="56" t="str">
        <x:v>—</x:v>
      </x:c>
      <x:c r="J577" s="57" t="str">
        <x:v>—</x:v>
      </x:c>
      <x:c r="K577" s="57" t="str">
        <x:v>—</x:v>
      </x:c>
      <x:c r="L577" s="57" t="str">
        <x:v>—</x:v>
      </x:c>
      <x:c r="M577" s="57" t="str">
        <x:v>—</x:v>
      </x:c>
      <x:c r="N577" s="57" t="str">
        <x:v>포함</x:v>
      </x:c>
      <x:c r="O577" s="57" t="str">
        <x:v>—</x:v>
      </x:c>
      <x:c r="P577" s="57" t="str">
        <x:v>포함</x:v>
      </x:c>
      <x:c r="Q577" s="57" t="str">
        <x:v>포함</x:v>
      </x:c>
      <x:c r="R577" s="57" t="str">
        <x:v>포함</x:v>
      </x:c>
    </x:row>
    <x:row r="578">
      <x:c r="A578" s="60" t="n">
        <x:v>574</x:v>
      </x:c>
      <x:c r="B578" s="56" t="str">
        <x:v>고디탱</x:v>
      </x:c>
      <x:c r="C578" s="56" t="str">
        <x:v>gothita</x:v>
      </x:c>
      <x:c r="D578" s="56" t="str">
        <x:v>평원</x:v>
      </x:c>
      <x:c r="E578" s="56" t="str">
        <x:v>보통</x:v>
      </x:c>
      <x:c r="F578" s="56" t="str">
        <x:v>아니오</x:v>
      </x:c>
      <x:c r="G578" s="56" t="str">
        <x:v>아니오</x:v>
      </x:c>
      <x:c r="H578" s="56" t="str">
        <x:v>예</x:v>
      </x:c>
      <x:c r="I578" s="56" t="str">
        <x:v>—</x:v>
      </x:c>
      <x:c r="J578" s="57" t="str">
        <x:v>—</x:v>
      </x:c>
      <x:c r="K578" s="57" t="str">
        <x:v>—</x:v>
      </x:c>
      <x:c r="L578" s="57" t="str">
        <x:v>—</x:v>
      </x:c>
      <x:c r="M578" s="57" t="str">
        <x:v>—</x:v>
      </x:c>
      <x:c r="N578" s="57" t="str">
        <x:v>포함</x:v>
      </x:c>
      <x:c r="O578" s="57" t="str">
        <x:v>포함</x:v>
      </x:c>
      <x:c r="P578" s="57" t="str">
        <x:v>—</x:v>
      </x:c>
      <x:c r="Q578" s="57" t="str">
        <x:v>포함</x:v>
      </x:c>
      <x:c r="R578" s="57" t="str">
        <x:v>포함</x:v>
      </x:c>
    </x:row>
    <x:row r="579">
      <x:c r="A579" s="60" t="n">
        <x:v>575</x:v>
      </x:c>
      <x:c r="B579" s="56" t="str">
        <x:v>고디보미</x:v>
      </x:c>
      <x:c r="C579" s="56" t="str">
        <x:v>gothorita</x:v>
      </x:c>
      <x:c r="D579" s="56" t="str">
        <x:v>평원</x:v>
      </x:c>
      <x:c r="E579" s="56" t="str">
        <x:v>보통</x:v>
      </x:c>
      <x:c r="F579" s="56" t="str">
        <x:v>아니오</x:v>
      </x:c>
      <x:c r="G579" s="56" t="str">
        <x:v>아니오</x:v>
      </x:c>
      <x:c r="H579" s="56" t="str">
        <x:v>예</x:v>
      </x:c>
      <x:c r="I579" s="56" t="str">
        <x:v>—</x:v>
      </x:c>
      <x:c r="J579" s="57" t="str">
        <x:v>—</x:v>
      </x:c>
      <x:c r="K579" s="57" t="str">
        <x:v>—</x:v>
      </x:c>
      <x:c r="L579" s="57" t="str">
        <x:v>—</x:v>
      </x:c>
      <x:c r="M579" s="57" t="str">
        <x:v>—</x:v>
      </x:c>
      <x:c r="N579" s="57" t="str">
        <x:v>포함</x:v>
      </x:c>
      <x:c r="O579" s="57" t="str">
        <x:v>포함</x:v>
      </x:c>
      <x:c r="P579" s="57" t="str">
        <x:v>—</x:v>
      </x:c>
      <x:c r="Q579" s="57" t="str">
        <x:v>포함</x:v>
      </x:c>
      <x:c r="R579" s="57" t="str">
        <x:v>포함</x:v>
      </x:c>
    </x:row>
    <x:row r="580">
      <x:c r="A580" s="60" t="n">
        <x:v>576</x:v>
      </x:c>
      <x:c r="B580" s="56" t="str">
        <x:v>고디모아젤</x:v>
      </x:c>
      <x:c r="C580" s="56" t="str">
        <x:v>gothitelle</x:v>
      </x:c>
      <x:c r="D580" s="56" t="str">
        <x:v>평원</x:v>
      </x:c>
      <x:c r="E580" s="56" t="str">
        <x:v>보통</x:v>
      </x:c>
      <x:c r="F580" s="56" t="str">
        <x:v>아니오</x:v>
      </x:c>
      <x:c r="G580" s="56" t="str">
        <x:v>아니오</x:v>
      </x:c>
      <x:c r="H580" s="56" t="str">
        <x:v>예</x:v>
      </x:c>
      <x:c r="I580" s="56" t="str">
        <x:v>—</x:v>
      </x:c>
      <x:c r="J580" s="57" t="str">
        <x:v>—</x:v>
      </x:c>
      <x:c r="K580" s="57" t="str">
        <x:v>—</x:v>
      </x:c>
      <x:c r="L580" s="57" t="str">
        <x:v>—</x:v>
      </x:c>
      <x:c r="M580" s="57" t="str">
        <x:v>—</x:v>
      </x:c>
      <x:c r="N580" s="57" t="str">
        <x:v>포함</x:v>
      </x:c>
      <x:c r="O580" s="57" t="str">
        <x:v>포함</x:v>
      </x:c>
      <x:c r="P580" s="57" t="str">
        <x:v>—</x:v>
      </x:c>
      <x:c r="Q580" s="57" t="str">
        <x:v>포함</x:v>
      </x:c>
      <x:c r="R580" s="57" t="str">
        <x:v>포함</x:v>
      </x:c>
    </x:row>
    <x:row r="581">
      <x:c r="A581" s="60" t="n">
        <x:v>577</x:v>
      </x:c>
      <x:c r="B581" s="56" t="str">
        <x:v>유니란</x:v>
      </x:c>
      <x:c r="C581" s="56" t="str">
        <x:v>solosis</x:v>
      </x:c>
      <x:c r="D581" s="56" t="str">
        <x:v>평원</x:v>
      </x:c>
      <x:c r="E581" s="56" t="str">
        <x:v>드묾</x:v>
      </x:c>
      <x:c r="F581" s="56" t="str">
        <x:v>아니오</x:v>
      </x:c>
      <x:c r="G581" s="56" t="str">
        <x:v>아니오</x:v>
      </x:c>
      <x:c r="H581" s="56" t="str">
        <x:v>예</x:v>
      </x:c>
      <x:c r="I581" s="56" t="str">
        <x:v>—</x:v>
      </x:c>
      <x:c r="J581" s="57" t="str">
        <x:v>—</x:v>
      </x:c>
      <x:c r="K581" s="57" t="str">
        <x:v>—</x:v>
      </x:c>
      <x:c r="L581" s="57" t="str">
        <x:v>—</x:v>
      </x:c>
      <x:c r="M581" s="57" t="str">
        <x:v>—</x:v>
      </x:c>
      <x:c r="N581" s="57" t="str">
        <x:v>포함</x:v>
      </x:c>
      <x:c r="O581" s="57" t="str">
        <x:v>포함</x:v>
      </x:c>
      <x:c r="P581" s="57" t="str">
        <x:v>—</x:v>
      </x:c>
      <x:c r="Q581" s="57" t="str">
        <x:v>포함</x:v>
      </x:c>
      <x:c r="R581" s="57" t="str">
        <x:v>포함</x:v>
      </x:c>
    </x:row>
    <x:row r="582">
      <x:c r="A582" s="60" t="n">
        <x:v>578</x:v>
      </x:c>
      <x:c r="B582" s="56" t="str">
        <x:v>듀란</x:v>
      </x:c>
      <x:c r="C582" s="56" t="str">
        <x:v>duosion</x:v>
      </x:c>
      <x:c r="D582" s="56" t="str">
        <x:v>평원</x:v>
      </x:c>
      <x:c r="E582" s="56" t="str">
        <x:v>보통</x:v>
      </x:c>
      <x:c r="F582" s="56" t="str">
        <x:v>아니오</x:v>
      </x:c>
      <x:c r="G582" s="56" t="str">
        <x:v>아니오</x:v>
      </x:c>
      <x:c r="H582" s="56" t="str">
        <x:v>예</x:v>
      </x:c>
      <x:c r="I582" s="56" t="str">
        <x:v>—</x:v>
      </x:c>
      <x:c r="J582" s="57" t="str">
        <x:v>—</x:v>
      </x:c>
      <x:c r="K582" s="57" t="str">
        <x:v>—</x:v>
      </x:c>
      <x:c r="L582" s="57" t="str">
        <x:v>—</x:v>
      </x:c>
      <x:c r="M582" s="57" t="str">
        <x:v>—</x:v>
      </x:c>
      <x:c r="N582" s="57" t="str">
        <x:v>포함</x:v>
      </x:c>
      <x:c r="O582" s="57" t="str">
        <x:v>포함</x:v>
      </x:c>
      <x:c r="P582" s="57" t="str">
        <x:v>—</x:v>
      </x:c>
      <x:c r="Q582" s="57" t="str">
        <x:v>포함</x:v>
      </x:c>
      <x:c r="R582" s="57" t="str">
        <x:v>포함</x:v>
      </x:c>
    </x:row>
    <x:row r="583">
      <x:c r="A583" s="60" t="n">
        <x:v>579</x:v>
      </x:c>
      <x:c r="B583" s="56" t="str">
        <x:v>란쿨루스</x:v>
      </x:c>
      <x:c r="C583" s="56" t="str">
        <x:v>reuniclus</x:v>
      </x:c>
      <x:c r="D583" s="56" t="str">
        <x:v>평원</x:v>
      </x:c>
      <x:c r="E583" s="56" t="str">
        <x:v>보통</x:v>
      </x:c>
      <x:c r="F583" s="56" t="str">
        <x:v>아니오</x:v>
      </x:c>
      <x:c r="G583" s="56" t="str">
        <x:v>아니오</x:v>
      </x:c>
      <x:c r="H583" s="56" t="str">
        <x:v>예</x:v>
      </x:c>
      <x:c r="I583" s="56" t="str">
        <x:v>—</x:v>
      </x:c>
      <x:c r="J583" s="57" t="str">
        <x:v>—</x:v>
      </x:c>
      <x:c r="K583" s="57" t="str">
        <x:v>—</x:v>
      </x:c>
      <x:c r="L583" s="57" t="str">
        <x:v>—</x:v>
      </x:c>
      <x:c r="M583" s="57" t="str">
        <x:v>—</x:v>
      </x:c>
      <x:c r="N583" s="57" t="str">
        <x:v>포함</x:v>
      </x:c>
      <x:c r="O583" s="57" t="str">
        <x:v>포함</x:v>
      </x:c>
      <x:c r="P583" s="57" t="str">
        <x:v>—</x:v>
      </x:c>
      <x:c r="Q583" s="57" t="str">
        <x:v>포함</x:v>
      </x:c>
      <x:c r="R583" s="57" t="str">
        <x:v>포함</x:v>
      </x:c>
    </x:row>
    <x:row r="584">
      <x:c r="A584" s="60" t="n">
        <x:v>580</x:v>
      </x:c>
      <x:c r="B584" s="56" t="str">
        <x:v>꼬지보리</x:v>
      </x:c>
      <x:c r="C584" s="56" t="str">
        <x:v>ducklett</x:v>
      </x:c>
      <x:c r="D584" s="56" t="str">
        <x:v>담수</x:v>
      </x:c>
      <x:c r="E584" s="56" t="str">
        <x:v>보통</x:v>
      </x:c>
      <x:c r="F584" s="56" t="str">
        <x:v>아니오</x:v>
      </x:c>
      <x:c r="G584" s="56" t="str">
        <x:v>아니오</x:v>
      </x:c>
      <x:c r="H584" s="56" t="str">
        <x:v>예</x:v>
      </x:c>
      <x:c r="I584" s="56" t="str">
        <x:v>—</x:v>
      </x:c>
      <x:c r="J584" s="57" t="str">
        <x:v>—</x:v>
      </x:c>
      <x:c r="K584" s="57" t="str">
        <x:v>—</x:v>
      </x:c>
      <x:c r="L584" s="57" t="str">
        <x:v>—</x:v>
      </x:c>
      <x:c r="M584" s="57" t="str">
        <x:v>—</x:v>
      </x:c>
      <x:c r="N584" s="57" t="str">
        <x:v>포함</x:v>
      </x:c>
      <x:c r="O584" s="57" t="str">
        <x:v>포함</x:v>
      </x:c>
      <x:c r="P584" s="57" t="str">
        <x:v>—</x:v>
      </x:c>
      <x:c r="Q584" s="57" t="str">
        <x:v>—</x:v>
      </x:c>
      <x:c r="R584" s="57" t="str">
        <x:v>포함</x:v>
      </x:c>
    </x:row>
    <x:row r="585">
      <x:c r="A585" s="60" t="n">
        <x:v>581</x:v>
      </x:c>
      <x:c r="B585" s="56" t="str">
        <x:v>스완나</x:v>
      </x:c>
      <x:c r="C585" s="56" t="str">
        <x:v>swanna</x:v>
      </x:c>
      <x:c r="D585" s="56" t="str">
        <x:v>담수</x:v>
      </x:c>
      <x:c r="E585" s="56" t="str">
        <x:v>보통</x:v>
      </x:c>
      <x:c r="F585" s="56" t="str">
        <x:v>아니오</x:v>
      </x:c>
      <x:c r="G585" s="56" t="str">
        <x:v>아니오</x:v>
      </x:c>
      <x:c r="H585" s="56" t="str">
        <x:v>예</x:v>
      </x:c>
      <x:c r="I585" s="56" t="str">
        <x:v>—</x:v>
      </x:c>
      <x:c r="J585" s="57" t="str">
        <x:v>—</x:v>
      </x:c>
      <x:c r="K585" s="57" t="str">
        <x:v>—</x:v>
      </x:c>
      <x:c r="L585" s="57" t="str">
        <x:v>—</x:v>
      </x:c>
      <x:c r="M585" s="57" t="str">
        <x:v>—</x:v>
      </x:c>
      <x:c r="N585" s="57" t="str">
        <x:v>포함</x:v>
      </x:c>
      <x:c r="O585" s="57" t="str">
        <x:v>포함</x:v>
      </x:c>
      <x:c r="P585" s="57" t="str">
        <x:v>—</x:v>
      </x:c>
      <x:c r="Q585" s="57" t="str">
        <x:v>—</x:v>
      </x:c>
      <x:c r="R585" s="57" t="str">
        <x:v>포함</x:v>
      </x:c>
    </x:row>
    <x:row r="586">
      <x:c r="A586" s="60" t="n">
        <x:v>582</x:v>
      </x:c>
      <x:c r="B586" s="56" t="str">
        <x:v>바닐프티</x:v>
      </x:c>
      <x:c r="C586" s="56" t="str">
        <x:v>vanillite</x:v>
      </x:c>
      <x:c r="D586" s="56" t="str">
        <x:v>화산</x:v>
      </x:c>
      <x:c r="E586" s="56" t="str">
        <x:v>보통</x:v>
      </x:c>
      <x:c r="F586" s="56" t="str">
        <x:v>아니오</x:v>
      </x:c>
      <x:c r="G586" s="56" t="str">
        <x:v>아니오</x:v>
      </x:c>
      <x:c r="H586" s="56" t="str">
        <x:v>예</x:v>
      </x:c>
      <x:c r="I586" s="56" t="str">
        <x:v>—</x:v>
      </x:c>
      <x:c r="J586" s="57" t="str">
        <x:v>—</x:v>
      </x:c>
      <x:c r="K586" s="57" t="str">
        <x:v>—</x:v>
      </x:c>
      <x:c r="L586" s="57" t="str">
        <x:v>—</x:v>
      </x:c>
      <x:c r="M586" s="57" t="str">
        <x:v>—</x:v>
      </x:c>
      <x:c r="N586" s="57" t="str">
        <x:v>포함</x:v>
      </x:c>
      <x:c r="O586" s="57" t="str">
        <x:v>포함</x:v>
      </x:c>
      <x:c r="P586" s="57" t="str">
        <x:v>포함</x:v>
      </x:c>
      <x:c r="Q586" s="57" t="str">
        <x:v>포함</x:v>
      </x:c>
      <x:c r="R586" s="57" t="str">
        <x:v>—</x:v>
      </x:c>
    </x:row>
    <x:row r="587">
      <x:c r="A587" s="60" t="n">
        <x:v>583</x:v>
      </x:c>
      <x:c r="B587" s="56" t="str">
        <x:v>바닐리치</x:v>
      </x:c>
      <x:c r="C587" s="56" t="str">
        <x:v>vanillish</x:v>
      </x:c>
      <x:c r="D587" s="56" t="str">
        <x:v>화산</x:v>
      </x:c>
      <x:c r="E587" s="56" t="str">
        <x:v>보통</x:v>
      </x:c>
      <x:c r="F587" s="56" t="str">
        <x:v>아니오</x:v>
      </x:c>
      <x:c r="G587" s="56" t="str">
        <x:v>아니오</x:v>
      </x:c>
      <x:c r="H587" s="56" t="str">
        <x:v>예</x:v>
      </x:c>
      <x:c r="I587" s="56" t="str">
        <x:v>—</x:v>
      </x:c>
      <x:c r="J587" s="57" t="str">
        <x:v>—</x:v>
      </x:c>
      <x:c r="K587" s="57" t="str">
        <x:v>—</x:v>
      </x:c>
      <x:c r="L587" s="57" t="str">
        <x:v>—</x:v>
      </x:c>
      <x:c r="M587" s="57" t="str">
        <x:v>—</x:v>
      </x:c>
      <x:c r="N587" s="57" t="str">
        <x:v>포함</x:v>
      </x:c>
      <x:c r="O587" s="57" t="str">
        <x:v>포함</x:v>
      </x:c>
      <x:c r="P587" s="57" t="str">
        <x:v>포함</x:v>
      </x:c>
      <x:c r="Q587" s="57" t="str">
        <x:v>포함</x:v>
      </x:c>
      <x:c r="R587" s="57" t="str">
        <x:v>—</x:v>
      </x:c>
    </x:row>
    <x:row r="588">
      <x:c r="A588" s="60" t="n">
        <x:v>584</x:v>
      </x:c>
      <x:c r="B588" s="56" t="str">
        <x:v>배바닐라</x:v>
      </x:c>
      <x:c r="C588" s="56" t="str">
        <x:v>vanilluxe</x:v>
      </x:c>
      <x:c r="D588" s="56" t="str">
        <x:v>화산</x:v>
      </x:c>
      <x:c r="E588" s="56" t="str">
        <x:v>보통</x:v>
      </x:c>
      <x:c r="F588" s="56" t="str">
        <x:v>아니오</x:v>
      </x:c>
      <x:c r="G588" s="56" t="str">
        <x:v>아니오</x:v>
      </x:c>
      <x:c r="H588" s="56" t="str">
        <x:v>예</x:v>
      </x:c>
      <x:c r="I588" s="56" t="str">
        <x:v>—</x:v>
      </x:c>
      <x:c r="J588" s="57" t="str">
        <x:v>—</x:v>
      </x:c>
      <x:c r="K588" s="57" t="str">
        <x:v>—</x:v>
      </x:c>
      <x:c r="L588" s="57" t="str">
        <x:v>—</x:v>
      </x:c>
      <x:c r="M588" s="57" t="str">
        <x:v>—</x:v>
      </x:c>
      <x:c r="N588" s="57" t="str">
        <x:v>포함</x:v>
      </x:c>
      <x:c r="O588" s="57" t="str">
        <x:v>포함</x:v>
      </x:c>
      <x:c r="P588" s="57" t="str">
        <x:v>포함</x:v>
      </x:c>
      <x:c r="Q588" s="57" t="str">
        <x:v>포함</x:v>
      </x:c>
      <x:c r="R588" s="57" t="str">
        <x:v>—</x:v>
      </x:c>
    </x:row>
    <x:row r="589">
      <x:c r="A589" s="60" t="n">
        <x:v>585</x:v>
      </x:c>
      <x:c r="B589" s="56" t="str">
        <x:v>사철록</x:v>
      </x:c>
      <x:c r="C589" s="56" t="str">
        <x:v>deerling</x:v>
      </x:c>
      <x:c r="D589" s="56" t="str">
        <x:v>숲</x:v>
      </x:c>
      <x:c r="E589" s="56" t="str">
        <x:v>보통</x:v>
      </x:c>
      <x:c r="F589" s="56" t="str">
        <x:v>아니오</x:v>
      </x:c>
      <x:c r="G589" s="56" t="str">
        <x:v>아니오</x:v>
      </x:c>
      <x:c r="H589" s="56" t="str">
        <x:v>예</x:v>
      </x:c>
      <x:c r="I589" s="56" t="str">
        <x:v>—</x:v>
      </x:c>
      <x:c r="J589" s="57" t="str">
        <x:v>—</x:v>
      </x:c>
      <x:c r="K589" s="57" t="str">
        <x:v>—</x:v>
      </x:c>
      <x:c r="L589" s="57" t="str">
        <x:v>—</x:v>
      </x:c>
      <x:c r="M589" s="57" t="str">
        <x:v>—</x:v>
      </x:c>
      <x:c r="N589" s="57" t="str">
        <x:v>포함</x:v>
      </x:c>
      <x:c r="O589" s="57" t="str">
        <x:v>—</x:v>
      </x:c>
      <x:c r="P589" s="57" t="str">
        <x:v>—</x:v>
      </x:c>
      <x:c r="Q589" s="57" t="str">
        <x:v>—</x:v>
      </x:c>
      <x:c r="R589" s="57" t="str">
        <x:v>포함</x:v>
      </x:c>
    </x:row>
    <x:row r="590">
      <x:c r="A590" s="60" t="n">
        <x:v>586</x:v>
      </x:c>
      <x:c r="B590" s="56" t="str">
        <x:v>바라철록</x:v>
      </x:c>
      <x:c r="C590" s="56" t="str">
        <x:v>sawsbuck</x:v>
      </x:c>
      <x:c r="D590" s="56" t="str">
        <x:v>숲</x:v>
      </x:c>
      <x:c r="E590" s="56" t="str">
        <x:v>보통</x:v>
      </x:c>
      <x:c r="F590" s="56" t="str">
        <x:v>아니오</x:v>
      </x:c>
      <x:c r="G590" s="56" t="str">
        <x:v>아니오</x:v>
      </x:c>
      <x:c r="H590" s="56" t="str">
        <x:v>예</x:v>
      </x:c>
      <x:c r="I590" s="56" t="str">
        <x:v>—</x:v>
      </x:c>
      <x:c r="J590" s="57" t="str">
        <x:v>—</x:v>
      </x:c>
      <x:c r="K590" s="57" t="str">
        <x:v>—</x:v>
      </x:c>
      <x:c r="L590" s="57" t="str">
        <x:v>—</x:v>
      </x:c>
      <x:c r="M590" s="57" t="str">
        <x:v>—</x:v>
      </x:c>
      <x:c r="N590" s="57" t="str">
        <x:v>포함</x:v>
      </x:c>
      <x:c r="O590" s="57" t="str">
        <x:v>—</x:v>
      </x:c>
      <x:c r="P590" s="57" t="str">
        <x:v>—</x:v>
      </x:c>
      <x:c r="Q590" s="57" t="str">
        <x:v>—</x:v>
      </x:c>
      <x:c r="R590" s="57" t="str">
        <x:v>포함</x:v>
      </x:c>
    </x:row>
    <x:row r="591">
      <x:c r="A591" s="60" t="n">
        <x:v>587</x:v>
      </x:c>
      <x:c r="B591" s="56" t="str">
        <x:v>에몽가</x:v>
      </x:c>
      <x:c r="C591" s="56" t="str">
        <x:v>emolga</x:v>
      </x:c>
      <x:c r="D591" s="56" t="str">
        <x:v>숲</x:v>
      </x:c>
      <x:c r="E591" s="56" t="str">
        <x:v>보통</x:v>
      </x:c>
      <x:c r="F591" s="56" t="str">
        <x:v>아니오</x:v>
      </x:c>
      <x:c r="G591" s="56" t="str">
        <x:v>아니오</x:v>
      </x:c>
      <x:c r="H591" s="56" t="str">
        <x:v>예</x:v>
      </x:c>
      <x:c r="I591" s="56" t="str">
        <x:v>—</x:v>
      </x:c>
      <x:c r="J591" s="57" t="str">
        <x:v>—</x:v>
      </x:c>
      <x:c r="K591" s="57" t="str">
        <x:v>—</x:v>
      </x:c>
      <x:c r="L591" s="57" t="str">
        <x:v>—</x:v>
      </x:c>
      <x:c r="M591" s="57" t="str">
        <x:v>—</x:v>
      </x:c>
      <x:c r="N591" s="57" t="str">
        <x:v>포함</x:v>
      </x:c>
      <x:c r="O591" s="57" t="str">
        <x:v>포함</x:v>
      </x:c>
      <x:c r="P591" s="57" t="str">
        <x:v>포함</x:v>
      </x:c>
      <x:c r="Q591" s="57" t="str">
        <x:v>포함</x:v>
      </x:c>
      <x:c r="R591" s="57" t="str">
        <x:v>—</x:v>
      </x:c>
    </x:row>
    <x:row r="592">
      <x:c r="A592" s="60" t="n">
        <x:v>588</x:v>
      </x:c>
      <x:c r="B592" s="56" t="str">
        <x:v>딱정곤</x:v>
      </x:c>
      <x:c r="C592" s="56" t="str">
        <x:v>karrablast</x:v>
      </x:c>
      <x:c r="D592" s="56" t="str">
        <x:v>습지</x:v>
      </x:c>
      <x:c r="E592" s="56" t="str">
        <x:v>흔함</x:v>
      </x:c>
      <x:c r="F592" s="56" t="str">
        <x:v>아니오</x:v>
      </x:c>
      <x:c r="G592" s="56" t="str">
        <x:v>아니오</x:v>
      </x:c>
      <x:c r="H592" s="56" t="str">
        <x:v>예</x:v>
      </x:c>
      <x:c r="I592" s="56" t="str">
        <x:v>—</x:v>
      </x:c>
      <x:c r="J592" s="57" t="str">
        <x:v>—</x:v>
      </x:c>
      <x:c r="K592" s="57" t="str">
        <x:v>—</x:v>
      </x:c>
      <x:c r="L592" s="57" t="str">
        <x:v>—</x:v>
      </x:c>
      <x:c r="M592" s="57" t="str">
        <x:v>—</x:v>
      </x:c>
      <x:c r="N592" s="57" t="str">
        <x:v>포함</x:v>
      </x:c>
      <x:c r="O592" s="57" t="str">
        <x:v>포함</x:v>
      </x:c>
      <x:c r="P592" s="57" t="str">
        <x:v>—</x:v>
      </x:c>
      <x:c r="Q592" s="57" t="str">
        <x:v>포함</x:v>
      </x:c>
      <x:c r="R592" s="57" t="str">
        <x:v>—</x:v>
      </x:c>
    </x:row>
    <x:row r="593">
      <x:c r="A593" s="60" t="n">
        <x:v>589</x:v>
      </x:c>
      <x:c r="B593" s="56" t="str">
        <x:v>슈바르고</x:v>
      </x:c>
      <x:c r="C593" s="56" t="str">
        <x:v>escavalier</x:v>
      </x:c>
      <x:c r="D593" s="56" t="str">
        <x:v>습지</x:v>
      </x:c>
      <x:c r="E593" s="56" t="str">
        <x:v>흔함</x:v>
      </x:c>
      <x:c r="F593" s="56" t="str">
        <x:v>아니오</x:v>
      </x:c>
      <x:c r="G593" s="56" t="str">
        <x:v>아니오</x:v>
      </x:c>
      <x:c r="H593" s="56" t="str">
        <x:v>예</x:v>
      </x:c>
      <x:c r="I593" s="56" t="str">
        <x:v>—</x:v>
      </x:c>
      <x:c r="J593" s="57" t="str">
        <x:v>—</x:v>
      </x:c>
      <x:c r="K593" s="57" t="str">
        <x:v>—</x:v>
      </x:c>
      <x:c r="L593" s="57" t="str">
        <x:v>—</x:v>
      </x:c>
      <x:c r="M593" s="57" t="str">
        <x:v>—</x:v>
      </x:c>
      <x:c r="N593" s="57" t="str">
        <x:v>포함</x:v>
      </x:c>
      <x:c r="O593" s="57" t="str">
        <x:v>포함</x:v>
      </x:c>
      <x:c r="P593" s="57" t="str">
        <x:v>—</x:v>
      </x:c>
      <x:c r="Q593" s="57" t="str">
        <x:v>포함</x:v>
      </x:c>
      <x:c r="R593" s="57" t="str">
        <x:v>—</x:v>
      </x:c>
    </x:row>
    <x:row r="594">
      <x:c r="A594" s="60" t="n">
        <x:v>590</x:v>
      </x:c>
      <x:c r="B594" s="56" t="str">
        <x:v>깜놀버슬</x:v>
      </x:c>
      <x:c r="C594" s="56" t="str">
        <x:v>foongus</x:v>
      </x:c>
      <x:c r="D594" s="56" t="str">
        <x:v>습지</x:v>
      </x:c>
      <x:c r="E594" s="56" t="str">
        <x:v>흔함</x:v>
      </x:c>
      <x:c r="F594" s="56" t="str">
        <x:v>아니오</x:v>
      </x:c>
      <x:c r="G594" s="56" t="str">
        <x:v>아니오</x:v>
      </x:c>
      <x:c r="H594" s="56" t="str">
        <x:v>예</x:v>
      </x:c>
      <x:c r="I594" s="56" t="str">
        <x:v>—</x:v>
      </x:c>
      <x:c r="J594" s="57" t="str">
        <x:v>—</x:v>
      </x:c>
      <x:c r="K594" s="57" t="str">
        <x:v>—</x:v>
      </x:c>
      <x:c r="L594" s="57" t="str">
        <x:v>—</x:v>
      </x:c>
      <x:c r="M594" s="57" t="str">
        <x:v>—</x:v>
      </x:c>
      <x:c r="N594" s="57" t="str">
        <x:v>포함</x:v>
      </x:c>
      <x:c r="O594" s="57" t="str">
        <x:v>포함</x:v>
      </x:c>
      <x:c r="P594" s="57" t="str">
        <x:v>—</x:v>
      </x:c>
      <x:c r="Q594" s="57" t="str">
        <x:v>포함</x:v>
      </x:c>
      <x:c r="R594" s="57" t="str">
        <x:v>포함</x:v>
      </x:c>
    </x:row>
    <x:row r="595">
      <x:c r="A595" s="60" t="n">
        <x:v>591</x:v>
      </x:c>
      <x:c r="B595" s="56" t="str">
        <x:v>뽀록나</x:v>
      </x:c>
      <x:c r="C595" s="56" t="str">
        <x:v>amoonguss</x:v>
      </x:c>
      <x:c r="D595" s="56" t="str">
        <x:v>습지</x:v>
      </x:c>
      <x:c r="E595" s="56" t="str">
        <x:v>흔함</x:v>
      </x:c>
      <x:c r="F595" s="56" t="str">
        <x:v>아니오</x:v>
      </x:c>
      <x:c r="G595" s="56" t="str">
        <x:v>아니오</x:v>
      </x:c>
      <x:c r="H595" s="56" t="str">
        <x:v>예</x:v>
      </x:c>
      <x:c r="I595" s="56" t="str">
        <x:v>—</x:v>
      </x:c>
      <x:c r="J595" s="57" t="str">
        <x:v>—</x:v>
      </x:c>
      <x:c r="K595" s="57" t="str">
        <x:v>—</x:v>
      </x:c>
      <x:c r="L595" s="57" t="str">
        <x:v>—</x:v>
      </x:c>
      <x:c r="M595" s="57" t="str">
        <x:v>—</x:v>
      </x:c>
      <x:c r="N595" s="57" t="str">
        <x:v>포함</x:v>
      </x:c>
      <x:c r="O595" s="57" t="str">
        <x:v>포함</x:v>
      </x:c>
      <x:c r="P595" s="57" t="str">
        <x:v>—</x:v>
      </x:c>
      <x:c r="Q595" s="57" t="str">
        <x:v>포함</x:v>
      </x:c>
      <x:c r="R595" s="57" t="str">
        <x:v>포함</x:v>
      </x:c>
    </x:row>
    <x:row r="596">
      <x:c r="A596" s="60" t="n">
        <x:v>592</x:v>
      </x:c>
      <x:c r="B596" s="56" t="str">
        <x:v>탱그릴</x:v>
      </x:c>
      <x:c r="C596" s="56" t="str">
        <x:v>frillish</x:v>
      </x:c>
      <x:c r="D596" s="56" t="str">
        <x:v>해양</x:v>
      </x:c>
      <x:c r="E596" s="56" t="str">
        <x:v>흔함</x:v>
      </x:c>
      <x:c r="F596" s="56" t="str">
        <x:v>아니오</x:v>
      </x:c>
      <x:c r="G596" s="56" t="str">
        <x:v>아니오</x:v>
      </x:c>
      <x:c r="H596" s="56" t="str">
        <x:v>예</x:v>
      </x:c>
      <x:c r="I596" s="56" t="str">
        <x:v>—</x:v>
      </x:c>
      <x:c r="J596" s="57" t="str">
        <x:v>—</x:v>
      </x:c>
      <x:c r="K596" s="57" t="str">
        <x:v>—</x:v>
      </x:c>
      <x:c r="L596" s="57" t="str">
        <x:v>—</x:v>
      </x:c>
      <x:c r="M596" s="57" t="str">
        <x:v>—</x:v>
      </x:c>
      <x:c r="N596" s="57" t="str">
        <x:v>포함</x:v>
      </x:c>
      <x:c r="O596" s="57" t="str">
        <x:v>—</x:v>
      </x:c>
      <x:c r="P596" s="57" t="str">
        <x:v>포함</x:v>
      </x:c>
      <x:c r="Q596" s="57" t="str">
        <x:v>포함</x:v>
      </x:c>
      <x:c r="R596" s="57" t="str">
        <x:v>—</x:v>
      </x:c>
    </x:row>
    <x:row r="597">
      <x:c r="A597" s="60" t="n">
        <x:v>593</x:v>
      </x:c>
      <x:c r="B597" s="56" t="str">
        <x:v>탱탱겔</x:v>
      </x:c>
      <x:c r="C597" s="56" t="str">
        <x:v>jellicent</x:v>
      </x:c>
      <x:c r="D597" s="56" t="str">
        <x:v>해양</x:v>
      </x:c>
      <x:c r="E597" s="56" t="str">
        <x:v>흔함</x:v>
      </x:c>
      <x:c r="F597" s="56" t="str">
        <x:v>아니오</x:v>
      </x:c>
      <x:c r="G597" s="56" t="str">
        <x:v>아니오</x:v>
      </x:c>
      <x:c r="H597" s="56" t="str">
        <x:v>예</x:v>
      </x:c>
      <x:c r="I597" s="56" t="str">
        <x:v>—</x:v>
      </x:c>
      <x:c r="J597" s="57" t="str">
        <x:v>—</x:v>
      </x:c>
      <x:c r="K597" s="57" t="str">
        <x:v>—</x:v>
      </x:c>
      <x:c r="L597" s="57" t="str">
        <x:v>—</x:v>
      </x:c>
      <x:c r="M597" s="57" t="str">
        <x:v>—</x:v>
      </x:c>
      <x:c r="N597" s="57" t="str">
        <x:v>포함</x:v>
      </x:c>
      <x:c r="O597" s="57" t="str">
        <x:v>—</x:v>
      </x:c>
      <x:c r="P597" s="57" t="str">
        <x:v>포함</x:v>
      </x:c>
      <x:c r="Q597" s="57" t="str">
        <x:v>포함</x:v>
      </x:c>
      <x:c r="R597" s="57" t="str">
        <x:v>—</x:v>
      </x:c>
    </x:row>
    <x:row r="598">
      <x:c r="A598" s="60" t="n">
        <x:v>594</x:v>
      </x:c>
      <x:c r="B598" s="56" t="str">
        <x:v>맘복치</x:v>
      </x:c>
      <x:c r="C598" s="56" t="str">
        <x:v>alomomola</x:v>
      </x:c>
      <x:c r="D598" s="56" t="str">
        <x:v>해양</x:v>
      </x:c>
      <x:c r="E598" s="56" t="str">
        <x:v>보통</x:v>
      </x:c>
      <x:c r="F598" s="56" t="str">
        <x:v>아니오</x:v>
      </x:c>
      <x:c r="G598" s="56" t="str">
        <x:v>아니오</x:v>
      </x:c>
      <x:c r="H598" s="56" t="str">
        <x:v>예</x:v>
      </x:c>
      <x:c r="I598" s="56" t="str">
        <x:v>—</x:v>
      </x:c>
      <x:c r="J598" s="57" t="str">
        <x:v>—</x:v>
      </x:c>
      <x:c r="K598" s="57" t="str">
        <x:v>—</x:v>
      </x:c>
      <x:c r="L598" s="57" t="str">
        <x:v>—</x:v>
      </x:c>
      <x:c r="M598" s="57" t="str">
        <x:v>—</x:v>
      </x:c>
      <x:c r="N598" s="57" t="str">
        <x:v>포함</x:v>
      </x:c>
      <x:c r="O598" s="57" t="str">
        <x:v>포함</x:v>
      </x:c>
      <x:c r="P598" s="57" t="str">
        <x:v>포함</x:v>
      </x:c>
      <x:c r="Q598" s="57" t="str">
        <x:v>—</x:v>
      </x:c>
      <x:c r="R598" s="57" t="str">
        <x:v>포함</x:v>
      </x:c>
    </x:row>
    <x:row r="599">
      <x:c r="A599" s="60" t="n">
        <x:v>595</x:v>
      </x:c>
      <x:c r="B599" s="56" t="str">
        <x:v>파쪼옥</x:v>
      </x:c>
      <x:c r="C599" s="56" t="str">
        <x:v>joltik</x:v>
      </x:c>
      <x:c r="D599" s="56" t="str">
        <x:v>건조지</x:v>
      </x:c>
      <x:c r="E599" s="56" t="str">
        <x:v>흔함</x:v>
      </x:c>
      <x:c r="F599" s="56" t="str">
        <x:v>아니오</x:v>
      </x:c>
      <x:c r="G599" s="56" t="str">
        <x:v>아니오</x:v>
      </x:c>
      <x:c r="H599" s="56" t="str">
        <x:v>예</x:v>
      </x:c>
      <x:c r="I599" s="56" t="str">
        <x:v>—</x:v>
      </x:c>
      <x:c r="J599" s="57" t="str">
        <x:v>—</x:v>
      </x:c>
      <x:c r="K599" s="57" t="str">
        <x:v>—</x:v>
      </x:c>
      <x:c r="L599" s="57" t="str">
        <x:v>—</x:v>
      </x:c>
      <x:c r="M599" s="57" t="str">
        <x:v>—</x:v>
      </x:c>
      <x:c r="N599" s="57" t="str">
        <x:v>포함</x:v>
      </x:c>
      <x:c r="O599" s="57" t="str">
        <x:v>—</x:v>
      </x:c>
      <x:c r="P599" s="57" t="str">
        <x:v>—</x:v>
      </x:c>
      <x:c r="Q599" s="57" t="str">
        <x:v>포함</x:v>
      </x:c>
      <x:c r="R599" s="57" t="str">
        <x:v>포함</x:v>
      </x:c>
    </x:row>
    <x:row r="600">
      <x:c r="A600" s="60" t="n">
        <x:v>596</x:v>
      </x:c>
      <x:c r="B600" s="56" t="str">
        <x:v>전툴라</x:v>
      </x:c>
      <x:c r="C600" s="56" t="str">
        <x:v>galvantula</x:v>
      </x:c>
      <x:c r="D600" s="56" t="str">
        <x:v>건조지</x:v>
      </x:c>
      <x:c r="E600" s="56" t="str">
        <x:v>흔함</x:v>
      </x:c>
      <x:c r="F600" s="56" t="str">
        <x:v>아니오</x:v>
      </x:c>
      <x:c r="G600" s="56" t="str">
        <x:v>아니오</x:v>
      </x:c>
      <x:c r="H600" s="56" t="str">
        <x:v>예</x:v>
      </x:c>
      <x:c r="I600" s="56" t="str">
        <x:v>—</x:v>
      </x:c>
      <x:c r="J600" s="57" t="str">
        <x:v>—</x:v>
      </x:c>
      <x:c r="K600" s="57" t="str">
        <x:v>—</x:v>
      </x:c>
      <x:c r="L600" s="57" t="str">
        <x:v>—</x:v>
      </x:c>
      <x:c r="M600" s="57" t="str">
        <x:v>—</x:v>
      </x:c>
      <x:c r="N600" s="57" t="str">
        <x:v>포함</x:v>
      </x:c>
      <x:c r="O600" s="57" t="str">
        <x:v>—</x:v>
      </x:c>
      <x:c r="P600" s="57" t="str">
        <x:v>—</x:v>
      </x:c>
      <x:c r="Q600" s="57" t="str">
        <x:v>포함</x:v>
      </x:c>
      <x:c r="R600" s="57" t="str">
        <x:v>포함</x:v>
      </x:c>
    </x:row>
    <x:row r="601">
      <x:c r="A601" s="60" t="n">
        <x:v>597</x:v>
      </x:c>
      <x:c r="B601" s="56" t="str">
        <x:v>철시드</x:v>
      </x:c>
      <x:c r="C601" s="56" t="str">
        <x:v>ferroseed</x:v>
      </x:c>
      <x:c r="D601" s="56" t="str">
        <x:v>숲</x:v>
      </x:c>
      <x:c r="E601" s="56" t="str">
        <x:v>흔함</x:v>
      </x:c>
      <x:c r="F601" s="56" t="str">
        <x:v>아니오</x:v>
      </x:c>
      <x:c r="G601" s="56" t="str">
        <x:v>아니오</x:v>
      </x:c>
      <x:c r="H601" s="56" t="str">
        <x:v>예</x:v>
      </x:c>
      <x:c r="I601" s="56" t="str">
        <x:v>—</x:v>
      </x:c>
      <x:c r="J601" s="57" t="str">
        <x:v>—</x:v>
      </x:c>
      <x:c r="K601" s="57" t="str">
        <x:v>—</x:v>
      </x:c>
      <x:c r="L601" s="57" t="str">
        <x:v>—</x:v>
      </x:c>
      <x:c r="M601" s="57" t="str">
        <x:v>—</x:v>
      </x:c>
      <x:c r="N601" s="57" t="str">
        <x:v>포함</x:v>
      </x:c>
      <x:c r="O601" s="57" t="str">
        <x:v>포함</x:v>
      </x:c>
      <x:c r="P601" s="57" t="str">
        <x:v>—</x:v>
      </x:c>
      <x:c r="Q601" s="57" t="str">
        <x:v>포함</x:v>
      </x:c>
      <x:c r="R601" s="57" t="str">
        <x:v>—</x:v>
      </x:c>
    </x:row>
    <x:row r="602">
      <x:c r="A602" s="60" t="n">
        <x:v>598</x:v>
      </x:c>
      <x:c r="B602" s="56" t="str">
        <x:v>너트령</x:v>
      </x:c>
      <x:c r="C602" s="56" t="str">
        <x:v>ferrothorn</x:v>
      </x:c>
      <x:c r="D602" s="56" t="str">
        <x:v>숲</x:v>
      </x:c>
      <x:c r="E602" s="56" t="str">
        <x:v>흔함</x:v>
      </x:c>
      <x:c r="F602" s="56" t="str">
        <x:v>아니오</x:v>
      </x:c>
      <x:c r="G602" s="56" t="str">
        <x:v>아니오</x:v>
      </x:c>
      <x:c r="H602" s="56" t="str">
        <x:v>예</x:v>
      </x:c>
      <x:c r="I602" s="56" t="str">
        <x:v>—</x:v>
      </x:c>
      <x:c r="J602" s="57" t="str">
        <x:v>—</x:v>
      </x:c>
      <x:c r="K602" s="57" t="str">
        <x:v>—</x:v>
      </x:c>
      <x:c r="L602" s="57" t="str">
        <x:v>—</x:v>
      </x:c>
      <x:c r="M602" s="57" t="str">
        <x:v>—</x:v>
      </x:c>
      <x:c r="N602" s="57" t="str">
        <x:v>포함</x:v>
      </x:c>
      <x:c r="O602" s="57" t="str">
        <x:v>포함</x:v>
      </x:c>
      <x:c r="P602" s="57" t="str">
        <x:v>—</x:v>
      </x:c>
      <x:c r="Q602" s="57" t="str">
        <x:v>포함</x:v>
      </x:c>
      <x:c r="R602" s="57" t="str">
        <x:v>—</x:v>
      </x:c>
    </x:row>
    <x:row r="603">
      <x:c r="A603" s="60" t="n">
        <x:v>599</x:v>
      </x:c>
      <x:c r="B603" s="56" t="str">
        <x:v>기어르</x:v>
      </x:c>
      <x:c r="C603" s="56" t="str">
        <x:v>klink</x:v>
      </x:c>
      <x:c r="D603" s="56" t="str">
        <x:v>동굴</x:v>
      </x:c>
      <x:c r="E603" s="56" t="str">
        <x:v>흔함</x:v>
      </x:c>
      <x:c r="F603" s="56" t="str">
        <x:v>아니오</x:v>
      </x:c>
      <x:c r="G603" s="56" t="str">
        <x:v>아니오</x:v>
      </x:c>
      <x:c r="H603" s="56" t="str">
        <x:v>예</x:v>
      </x:c>
      <x:c r="I603" s="56" t="str">
        <x:v>—</x:v>
      </x:c>
      <x:c r="J603" s="57" t="str">
        <x:v>—</x:v>
      </x:c>
      <x:c r="K603" s="57" t="str">
        <x:v>—</x:v>
      </x:c>
      <x:c r="L603" s="57" t="str">
        <x:v>—</x:v>
      </x:c>
      <x:c r="M603" s="57" t="str">
        <x:v>—</x:v>
      </x:c>
      <x:c r="N603" s="57" t="str">
        <x:v>포함</x:v>
      </x:c>
      <x:c r="O603" s="57" t="str">
        <x:v>—</x:v>
      </x:c>
      <x:c r="P603" s="57" t="str">
        <x:v>—</x:v>
      </x:c>
      <x:c r="Q603" s="57" t="str">
        <x:v>포함</x:v>
      </x:c>
      <x:c r="R603" s="57" t="str">
        <x:v>—</x:v>
      </x:c>
    </x:row>
    <x:row r="604">
      <x:c r="A604" s="60" t="n">
        <x:v>600</x:v>
      </x:c>
      <x:c r="B604" s="56" t="str">
        <x:v>기기어르</x:v>
      </x:c>
      <x:c r="C604" s="56" t="str">
        <x:v>klang</x:v>
      </x:c>
      <x:c r="D604" s="56" t="str">
        <x:v>동굴</x:v>
      </x:c>
      <x:c r="E604" s="56" t="str">
        <x:v>흔함</x:v>
      </x:c>
      <x:c r="F604" s="56" t="str">
        <x:v>아니오</x:v>
      </x:c>
      <x:c r="G604" s="56" t="str">
        <x:v>아니오</x:v>
      </x:c>
      <x:c r="H604" s="56" t="str">
        <x:v>예</x:v>
      </x:c>
      <x:c r="I604" s="56" t="str">
        <x:v>—</x:v>
      </x:c>
      <x:c r="J604" s="57" t="str">
        <x:v>—</x:v>
      </x:c>
      <x:c r="K604" s="57" t="str">
        <x:v>—</x:v>
      </x:c>
      <x:c r="L604" s="57" t="str">
        <x:v>—</x:v>
      </x:c>
      <x:c r="M604" s="57" t="str">
        <x:v>—</x:v>
      </x:c>
      <x:c r="N604" s="57" t="str">
        <x:v>포함</x:v>
      </x:c>
      <x:c r="O604" s="57" t="str">
        <x:v>—</x:v>
      </x:c>
      <x:c r="P604" s="57" t="str">
        <x:v>—</x:v>
      </x:c>
      <x:c r="Q604" s="57" t="str">
        <x:v>포함</x:v>
      </x:c>
      <x:c r="R604" s="57" t="str">
        <x:v>—</x:v>
      </x:c>
    </x:row>
    <x:row r="605">
      <x:c r="A605" s="60" t="n">
        <x:v>601</x:v>
      </x:c>
      <x:c r="B605" s="56" t="str">
        <x:v>기기기어르</x:v>
      </x:c>
      <x:c r="C605" s="56" t="str">
        <x:v>klinklang</x:v>
      </x:c>
      <x:c r="D605" s="56" t="str">
        <x:v>동굴</x:v>
      </x:c>
      <x:c r="E605" s="56" t="str">
        <x:v>흔함</x:v>
      </x:c>
      <x:c r="F605" s="56" t="str">
        <x:v>아니오</x:v>
      </x:c>
      <x:c r="G605" s="56" t="str">
        <x:v>아니오</x:v>
      </x:c>
      <x:c r="H605" s="56" t="str">
        <x:v>예</x:v>
      </x:c>
      <x:c r="I605" s="56" t="str">
        <x:v>—</x:v>
      </x:c>
      <x:c r="J605" s="57" t="str">
        <x:v>—</x:v>
      </x:c>
      <x:c r="K605" s="57" t="str">
        <x:v>—</x:v>
      </x:c>
      <x:c r="L605" s="57" t="str">
        <x:v>—</x:v>
      </x:c>
      <x:c r="M605" s="57" t="str">
        <x:v>—</x:v>
      </x:c>
      <x:c r="N605" s="57" t="str">
        <x:v>포함</x:v>
      </x:c>
      <x:c r="O605" s="57" t="str">
        <x:v>—</x:v>
      </x:c>
      <x:c r="P605" s="57" t="str">
        <x:v>—</x:v>
      </x:c>
      <x:c r="Q605" s="57" t="str">
        <x:v>포함</x:v>
      </x:c>
      <x:c r="R605" s="57" t="str">
        <x:v>—</x:v>
      </x:c>
    </x:row>
    <x:row r="606">
      <x:c r="A606" s="60" t="n">
        <x:v>602</x:v>
      </x:c>
      <x:c r="B606" s="56" t="str">
        <x:v>저리어</x:v>
      </x:c>
      <x:c r="C606" s="56" t="str">
        <x:v>tynamo</x:v>
      </x:c>
      <x:c r="D606" s="56" t="str">
        <x:v>해양</x:v>
      </x:c>
      <x:c r="E606" s="56" t="str">
        <x:v>보통</x:v>
      </x:c>
      <x:c r="F606" s="56" t="str">
        <x:v>아니오</x:v>
      </x:c>
      <x:c r="G606" s="56" t="str">
        <x:v>아니오</x:v>
      </x:c>
      <x:c r="H606" s="56" t="str">
        <x:v>예</x:v>
      </x:c>
      <x:c r="I606" s="56" t="str">
        <x:v>—</x:v>
      </x:c>
      <x:c r="J606" s="57" t="str">
        <x:v>—</x:v>
      </x:c>
      <x:c r="K606" s="57" t="str">
        <x:v>—</x:v>
      </x:c>
      <x:c r="L606" s="57" t="str">
        <x:v>—</x:v>
      </x:c>
      <x:c r="M606" s="57" t="str">
        <x:v>—</x:v>
      </x:c>
      <x:c r="N606" s="57" t="str">
        <x:v>포함</x:v>
      </x:c>
      <x:c r="O606" s="57" t="str">
        <x:v>—</x:v>
      </x:c>
      <x:c r="P606" s="57" t="str">
        <x:v>—</x:v>
      </x:c>
      <x:c r="Q606" s="57" t="str">
        <x:v>—</x:v>
      </x:c>
      <x:c r="R606" s="57" t="str">
        <x:v>포함</x:v>
      </x:c>
    </x:row>
    <x:row r="607">
      <x:c r="A607" s="60" t="n">
        <x:v>603</x:v>
      </x:c>
      <x:c r="B607" s="56" t="str">
        <x:v>저리릴</x:v>
      </x:c>
      <x:c r="C607" s="56" t="str">
        <x:v>eelektrik</x:v>
      </x:c>
      <x:c r="D607" s="56" t="str">
        <x:v>해양</x:v>
      </x:c>
      <x:c r="E607" s="56" t="str">
        <x:v>보통</x:v>
      </x:c>
      <x:c r="F607" s="56" t="str">
        <x:v>아니오</x:v>
      </x:c>
      <x:c r="G607" s="56" t="str">
        <x:v>아니오</x:v>
      </x:c>
      <x:c r="H607" s="56" t="str">
        <x:v>예</x:v>
      </x:c>
      <x:c r="I607" s="56" t="str">
        <x:v>—</x:v>
      </x:c>
      <x:c r="J607" s="57" t="str">
        <x:v>—</x:v>
      </x:c>
      <x:c r="K607" s="57" t="str">
        <x:v>—</x:v>
      </x:c>
      <x:c r="L607" s="57" t="str">
        <x:v>—</x:v>
      </x:c>
      <x:c r="M607" s="57" t="str">
        <x:v>—</x:v>
      </x:c>
      <x:c r="N607" s="57" t="str">
        <x:v>포함</x:v>
      </x:c>
      <x:c r="O607" s="57" t="str">
        <x:v>—</x:v>
      </x:c>
      <x:c r="P607" s="57" t="str">
        <x:v>—</x:v>
      </x:c>
      <x:c r="Q607" s="57" t="str">
        <x:v>—</x:v>
      </x:c>
      <x:c r="R607" s="57" t="str">
        <x:v>포함</x:v>
      </x:c>
    </x:row>
    <x:row r="608">
      <x:c r="A608" s="60" t="n">
        <x:v>604</x:v>
      </x:c>
      <x:c r="B608" s="56" t="str">
        <x:v>저리더프</x:v>
      </x:c>
      <x:c r="C608" s="56" t="str">
        <x:v>eelektross</x:v>
      </x:c>
      <x:c r="D608" s="56" t="str">
        <x:v>해양</x:v>
      </x:c>
      <x:c r="E608" s="56" t="str">
        <x:v>보통</x:v>
      </x:c>
      <x:c r="F608" s="56" t="str">
        <x:v>아니오</x:v>
      </x:c>
      <x:c r="G608" s="56" t="str">
        <x:v>아니오</x:v>
      </x:c>
      <x:c r="H608" s="56" t="str">
        <x:v>예</x:v>
      </x:c>
      <x:c r="I608" s="56" t="str">
        <x:v>—</x:v>
      </x:c>
      <x:c r="J608" s="57" t="str">
        <x:v>—</x:v>
      </x:c>
      <x:c r="K608" s="57" t="str">
        <x:v>—</x:v>
      </x:c>
      <x:c r="L608" s="57" t="str">
        <x:v>—</x:v>
      </x:c>
      <x:c r="M608" s="57" t="str">
        <x:v>—</x:v>
      </x:c>
      <x:c r="N608" s="57" t="str">
        <x:v>포함</x:v>
      </x:c>
      <x:c r="O608" s="57" t="str">
        <x:v>—</x:v>
      </x:c>
      <x:c r="P608" s="57" t="str">
        <x:v>—</x:v>
      </x:c>
      <x:c r="Q608" s="57" t="str">
        <x:v>—</x:v>
      </x:c>
      <x:c r="R608" s="57" t="str">
        <x:v>포함</x:v>
      </x:c>
    </x:row>
    <x:row r="609">
      <x:c r="A609" s="60" t="n">
        <x:v>605</x:v>
      </x:c>
      <x:c r="B609" s="56" t="str">
        <x:v>리그레</x:v>
      </x:c>
      <x:c r="C609" s="56" t="str">
        <x:v>elgyem</x:v>
      </x:c>
      <x:c r="D609" s="56" t="str">
        <x:v>평원</x:v>
      </x:c>
      <x:c r="E609" s="56" t="str">
        <x:v>보통</x:v>
      </x:c>
      <x:c r="F609" s="56" t="str">
        <x:v>아니오</x:v>
      </x:c>
      <x:c r="G609" s="56" t="str">
        <x:v>아니오</x:v>
      </x:c>
      <x:c r="H609" s="56" t="str">
        <x:v>예</x:v>
      </x:c>
      <x:c r="I609" s="56" t="str">
        <x:v>—</x:v>
      </x:c>
      <x:c r="J609" s="57" t="str">
        <x:v>—</x:v>
      </x:c>
      <x:c r="K609" s="57" t="str">
        <x:v>—</x:v>
      </x:c>
      <x:c r="L609" s="57" t="str">
        <x:v>—</x:v>
      </x:c>
      <x:c r="M609" s="57" t="str">
        <x:v>—</x:v>
      </x:c>
      <x:c r="N609" s="57" t="str">
        <x:v>포함</x:v>
      </x:c>
      <x:c r="O609" s="57" t="str">
        <x:v>—</x:v>
      </x:c>
      <x:c r="P609" s="57" t="str">
        <x:v>포함</x:v>
      </x:c>
      <x:c r="Q609" s="57" t="str">
        <x:v>포함</x:v>
      </x:c>
      <x:c r="R609" s="57" t="str">
        <x:v>—</x:v>
      </x:c>
    </x:row>
    <x:row r="610">
      <x:c r="A610" s="60" t="n">
        <x:v>606</x:v>
      </x:c>
      <x:c r="B610" s="56" t="str">
        <x:v>벰크</x:v>
      </x:c>
      <x:c r="C610" s="56" t="str">
        <x:v>beheeyem</x:v>
      </x:c>
      <x:c r="D610" s="56" t="str">
        <x:v>평원</x:v>
      </x:c>
      <x:c r="E610" s="56" t="str">
        <x:v>보통</x:v>
      </x:c>
      <x:c r="F610" s="56" t="str">
        <x:v>아니오</x:v>
      </x:c>
      <x:c r="G610" s="56" t="str">
        <x:v>아니오</x:v>
      </x:c>
      <x:c r="H610" s="56" t="str">
        <x:v>예</x:v>
      </x:c>
      <x:c r="I610" s="56" t="str">
        <x:v>—</x:v>
      </x:c>
      <x:c r="J610" s="57" t="str">
        <x:v>—</x:v>
      </x:c>
      <x:c r="K610" s="57" t="str">
        <x:v>—</x:v>
      </x:c>
      <x:c r="L610" s="57" t="str">
        <x:v>—</x:v>
      </x:c>
      <x:c r="M610" s="57" t="str">
        <x:v>—</x:v>
      </x:c>
      <x:c r="N610" s="57" t="str">
        <x:v>포함</x:v>
      </x:c>
      <x:c r="O610" s="57" t="str">
        <x:v>—</x:v>
      </x:c>
      <x:c r="P610" s="57" t="str">
        <x:v>포함</x:v>
      </x:c>
      <x:c r="Q610" s="57" t="str">
        <x:v>포함</x:v>
      </x:c>
      <x:c r="R610" s="57" t="str">
        <x:v>—</x:v>
      </x:c>
    </x:row>
    <x:row r="611">
      <x:c r="A611" s="60" t="n">
        <x:v>607</x:v>
      </x:c>
      <x:c r="B611" s="56" t="str">
        <x:v>불켜미</x:v>
      </x:c>
      <x:c r="C611" s="56" t="str">
        <x:v>litwick</x:v>
      </x:c>
      <x:c r="D611" s="56" t="str">
        <x:v>화산</x:v>
      </x:c>
      <x:c r="E611" s="56" t="str">
        <x:v>흔함</x:v>
      </x:c>
      <x:c r="F611" s="56" t="str">
        <x:v>아니오</x:v>
      </x:c>
      <x:c r="G611" s="56" t="str">
        <x:v>아니오</x:v>
      </x:c>
      <x:c r="H611" s="56" t="str">
        <x:v>예</x:v>
      </x:c>
      <x:c r="I611" s="56" t="str">
        <x:v>—</x:v>
      </x:c>
      <x:c r="J611" s="57" t="str">
        <x:v>—</x:v>
      </x:c>
      <x:c r="K611" s="57" t="str">
        <x:v>—</x:v>
      </x:c>
      <x:c r="L611" s="57" t="str">
        <x:v>—</x:v>
      </x:c>
      <x:c r="M611" s="57" t="str">
        <x:v>—</x:v>
      </x:c>
      <x:c r="N611" s="57" t="str">
        <x:v>포함</x:v>
      </x:c>
      <x:c r="O611" s="57" t="str">
        <x:v>포함</x:v>
      </x:c>
      <x:c r="P611" s="57" t="str">
        <x:v>—</x:v>
      </x:c>
      <x:c r="Q611" s="57" t="str">
        <x:v>포함</x:v>
      </x:c>
      <x:c r="R611" s="57" t="str">
        <x:v>포함</x:v>
      </x:c>
    </x:row>
    <x:row r="612">
      <x:c r="A612" s="60" t="n">
        <x:v>608</x:v>
      </x:c>
      <x:c r="B612" s="56" t="str">
        <x:v>램프라</x:v>
      </x:c>
      <x:c r="C612" s="56" t="str">
        <x:v>lampent</x:v>
      </x:c>
      <x:c r="D612" s="56" t="str">
        <x:v>화산</x:v>
      </x:c>
      <x:c r="E612" s="56" t="str">
        <x:v>흔함</x:v>
      </x:c>
      <x:c r="F612" s="56" t="str">
        <x:v>아니오</x:v>
      </x:c>
      <x:c r="G612" s="56" t="str">
        <x:v>아니오</x:v>
      </x:c>
      <x:c r="H612" s="56" t="str">
        <x:v>예</x:v>
      </x:c>
      <x:c r="I612" s="56" t="str">
        <x:v>—</x:v>
      </x:c>
      <x:c r="J612" s="57" t="str">
        <x:v>—</x:v>
      </x:c>
      <x:c r="K612" s="57" t="str">
        <x:v>—</x:v>
      </x:c>
      <x:c r="L612" s="57" t="str">
        <x:v>—</x:v>
      </x:c>
      <x:c r="M612" s="57" t="str">
        <x:v>—</x:v>
      </x:c>
      <x:c r="N612" s="57" t="str">
        <x:v>포함</x:v>
      </x:c>
      <x:c r="O612" s="57" t="str">
        <x:v>포함</x:v>
      </x:c>
      <x:c r="P612" s="57" t="str">
        <x:v>—</x:v>
      </x:c>
      <x:c r="Q612" s="57" t="str">
        <x:v>포함</x:v>
      </x:c>
      <x:c r="R612" s="57" t="str">
        <x:v>포함</x:v>
      </x:c>
    </x:row>
    <x:row r="613">
      <x:c r="A613" s="60" t="n">
        <x:v>609</x:v>
      </x:c>
      <x:c r="B613" s="56" t="str">
        <x:v>샹델라</x:v>
      </x:c>
      <x:c r="C613" s="56" t="str">
        <x:v>chandelure</x:v>
      </x:c>
      <x:c r="D613" s="56" t="str">
        <x:v>화산</x:v>
      </x:c>
      <x:c r="E613" s="56" t="str">
        <x:v>흔함</x:v>
      </x:c>
      <x:c r="F613" s="56" t="str">
        <x:v>아니오</x:v>
      </x:c>
      <x:c r="G613" s="56" t="str">
        <x:v>아니오</x:v>
      </x:c>
      <x:c r="H613" s="56" t="str">
        <x:v>예</x:v>
      </x:c>
      <x:c r="I613" s="56" t="str">
        <x:v>—</x:v>
      </x:c>
      <x:c r="J613" s="57" t="str">
        <x:v>—</x:v>
      </x:c>
      <x:c r="K613" s="57" t="str">
        <x:v>—</x:v>
      </x:c>
      <x:c r="L613" s="57" t="str">
        <x:v>—</x:v>
      </x:c>
      <x:c r="M613" s="57" t="str">
        <x:v>—</x:v>
      </x:c>
      <x:c r="N613" s="57" t="str">
        <x:v>포함</x:v>
      </x:c>
      <x:c r="O613" s="57" t="str">
        <x:v>포함</x:v>
      </x:c>
      <x:c r="P613" s="57" t="str">
        <x:v>—</x:v>
      </x:c>
      <x:c r="Q613" s="57" t="str">
        <x:v>포함</x:v>
      </x:c>
      <x:c r="R613" s="57" t="str">
        <x:v>포함</x:v>
      </x:c>
    </x:row>
    <x:row r="614">
      <x:c r="A614" s="60" t="n">
        <x:v>610</x:v>
      </x:c>
      <x:c r="B614" s="56" t="str">
        <x:v>터검니</x:v>
      </x:c>
      <x:c r="C614" s="56" t="str">
        <x:v>axew</x:v>
      </x:c>
      <x:c r="D614" s="56" t="str">
        <x:v>산악</x:v>
      </x:c>
      <x:c r="E614" s="56" t="str">
        <x:v>희귀</x:v>
      </x:c>
      <x:c r="F614" s="56" t="str">
        <x:v>아니오</x:v>
      </x:c>
      <x:c r="G614" s="56" t="str">
        <x:v>아니오</x:v>
      </x:c>
      <x:c r="H614" s="56" t="str">
        <x:v>예</x:v>
      </x:c>
      <x:c r="I614" s="56" t="str">
        <x:v>—</x:v>
      </x:c>
      <x:c r="J614" s="57" t="str">
        <x:v>—</x:v>
      </x:c>
      <x:c r="K614" s="57" t="str">
        <x:v>—</x:v>
      </x:c>
      <x:c r="L614" s="57" t="str">
        <x:v>—</x:v>
      </x:c>
      <x:c r="M614" s="57" t="str">
        <x:v>—</x:v>
      </x:c>
      <x:c r="N614" s="57" t="str">
        <x:v>포함</x:v>
      </x:c>
      <x:c r="O614" s="57" t="str">
        <x:v>포함</x:v>
      </x:c>
      <x:c r="P614" s="57" t="str">
        <x:v>—</x:v>
      </x:c>
      <x:c r="Q614" s="57" t="str">
        <x:v>포함</x:v>
      </x:c>
      <x:c r="R614" s="57" t="str">
        <x:v>포함</x:v>
      </x:c>
    </x:row>
    <x:row r="615">
      <x:c r="A615" s="60" t="n">
        <x:v>611</x:v>
      </x:c>
      <x:c r="B615" s="56" t="str">
        <x:v>액슨도</x:v>
      </x:c>
      <x:c r="C615" s="56" t="str">
        <x:v>fraxure</x:v>
      </x:c>
      <x:c r="D615" s="56" t="str">
        <x:v>산악</x:v>
      </x:c>
      <x:c r="E615" s="56" t="str">
        <x:v>희귀</x:v>
      </x:c>
      <x:c r="F615" s="56" t="str">
        <x:v>아니오</x:v>
      </x:c>
      <x:c r="G615" s="56" t="str">
        <x:v>아니오</x:v>
      </x:c>
      <x:c r="H615" s="56" t="str">
        <x:v>예</x:v>
      </x:c>
      <x:c r="I615" s="56" t="str">
        <x:v>—</x:v>
      </x:c>
      <x:c r="J615" s="57" t="str">
        <x:v>—</x:v>
      </x:c>
      <x:c r="K615" s="57" t="str">
        <x:v>—</x:v>
      </x:c>
      <x:c r="L615" s="57" t="str">
        <x:v>—</x:v>
      </x:c>
      <x:c r="M615" s="57" t="str">
        <x:v>—</x:v>
      </x:c>
      <x:c r="N615" s="57" t="str">
        <x:v>포함</x:v>
      </x:c>
      <x:c r="O615" s="57" t="str">
        <x:v>포함</x:v>
      </x:c>
      <x:c r="P615" s="57" t="str">
        <x:v>—</x:v>
      </x:c>
      <x:c r="Q615" s="57" t="str">
        <x:v>포함</x:v>
      </x:c>
      <x:c r="R615" s="57" t="str">
        <x:v>포함</x:v>
      </x:c>
    </x:row>
    <x:row r="616">
      <x:c r="A616" s="60" t="n">
        <x:v>612</x:v>
      </x:c>
      <x:c r="B616" s="56" t="str">
        <x:v>액스라이즈</x:v>
      </x:c>
      <x:c r="C616" s="56" t="str">
        <x:v>haxorus</x:v>
      </x:c>
      <x:c r="D616" s="56" t="str">
        <x:v>산악</x:v>
      </x:c>
      <x:c r="E616" s="56" t="str">
        <x:v>희귀</x:v>
      </x:c>
      <x:c r="F616" s="56" t="str">
        <x:v>아니오</x:v>
      </x:c>
      <x:c r="G616" s="56" t="str">
        <x:v>아니오</x:v>
      </x:c>
      <x:c r="H616" s="56" t="str">
        <x:v>예</x:v>
      </x:c>
      <x:c r="I616" s="56" t="str">
        <x:v>—</x:v>
      </x:c>
      <x:c r="J616" s="57" t="str">
        <x:v>—</x:v>
      </x:c>
      <x:c r="K616" s="57" t="str">
        <x:v>—</x:v>
      </x:c>
      <x:c r="L616" s="57" t="str">
        <x:v>—</x:v>
      </x:c>
      <x:c r="M616" s="57" t="str">
        <x:v>—</x:v>
      </x:c>
      <x:c r="N616" s="57" t="str">
        <x:v>포함</x:v>
      </x:c>
      <x:c r="O616" s="57" t="str">
        <x:v>포함</x:v>
      </x:c>
      <x:c r="P616" s="57" t="str">
        <x:v>—</x:v>
      </x:c>
      <x:c r="Q616" s="57" t="str">
        <x:v>포함</x:v>
      </x:c>
      <x:c r="R616" s="57" t="str">
        <x:v>포함</x:v>
      </x:c>
    </x:row>
    <x:row r="617">
      <x:c r="A617" s="60" t="n">
        <x:v>613</x:v>
      </x:c>
      <x:c r="B617" s="56" t="str">
        <x:v>코고미</x:v>
      </x:c>
      <x:c r="C617" s="56" t="str">
        <x:v>cubchoo</x:v>
      </x:c>
      <x:c r="D617" s="56" t="str">
        <x:v>설원</x:v>
      </x:c>
      <x:c r="E617" s="56" t="str">
        <x:v>흔함</x:v>
      </x:c>
      <x:c r="F617" s="56" t="str">
        <x:v>아니오</x:v>
      </x:c>
      <x:c r="G617" s="56" t="str">
        <x:v>아니오</x:v>
      </x:c>
      <x:c r="H617" s="56" t="str">
        <x:v>예</x:v>
      </x:c>
      <x:c r="I617" s="56" t="str">
        <x:v>—</x:v>
      </x:c>
      <x:c r="J617" s="57" t="str">
        <x:v>—</x:v>
      </x:c>
      <x:c r="K617" s="57" t="str">
        <x:v>—</x:v>
      </x:c>
      <x:c r="L617" s="57" t="str">
        <x:v>—</x:v>
      </x:c>
      <x:c r="M617" s="57" t="str">
        <x:v>—</x:v>
      </x:c>
      <x:c r="N617" s="57" t="str">
        <x:v>포함</x:v>
      </x:c>
      <x:c r="O617" s="57" t="str">
        <x:v>포함</x:v>
      </x:c>
      <x:c r="P617" s="57" t="str">
        <x:v>—</x:v>
      </x:c>
      <x:c r="Q617" s="57" t="str">
        <x:v>포함</x:v>
      </x:c>
      <x:c r="R617" s="57" t="str">
        <x:v>포함</x:v>
      </x:c>
    </x:row>
    <x:row r="618">
      <x:c r="A618" s="60" t="n">
        <x:v>614</x:v>
      </x:c>
      <x:c r="B618" s="56" t="str">
        <x:v>툰베어</x:v>
      </x:c>
      <x:c r="C618" s="56" t="str">
        <x:v>beartic</x:v>
      </x:c>
      <x:c r="D618" s="56" t="str">
        <x:v>설원</x:v>
      </x:c>
      <x:c r="E618" s="56" t="str">
        <x:v>흔함</x:v>
      </x:c>
      <x:c r="F618" s="56" t="str">
        <x:v>아니오</x:v>
      </x:c>
      <x:c r="G618" s="56" t="str">
        <x:v>아니오</x:v>
      </x:c>
      <x:c r="H618" s="56" t="str">
        <x:v>예</x:v>
      </x:c>
      <x:c r="I618" s="56" t="str">
        <x:v>—</x:v>
      </x:c>
      <x:c r="J618" s="57" t="str">
        <x:v>—</x:v>
      </x:c>
      <x:c r="K618" s="57" t="str">
        <x:v>—</x:v>
      </x:c>
      <x:c r="L618" s="57" t="str">
        <x:v>—</x:v>
      </x:c>
      <x:c r="M618" s="57" t="str">
        <x:v>—</x:v>
      </x:c>
      <x:c r="N618" s="57" t="str">
        <x:v>포함</x:v>
      </x:c>
      <x:c r="O618" s="57" t="str">
        <x:v>포함</x:v>
      </x:c>
      <x:c r="P618" s="57" t="str">
        <x:v>—</x:v>
      </x:c>
      <x:c r="Q618" s="57" t="str">
        <x:v>포함</x:v>
      </x:c>
      <x:c r="R618" s="57" t="str">
        <x:v>포함</x:v>
      </x:c>
    </x:row>
    <x:row r="619">
      <x:c r="A619" s="60" t="n">
        <x:v>615</x:v>
      </x:c>
      <x:c r="B619" s="56" t="str">
        <x:v>프리지오</x:v>
      </x:c>
      <x:c r="C619" s="56" t="str">
        <x:v>cryogonal</x:v>
      </x:c>
      <x:c r="D619" s="56" t="str">
        <x:v>화산</x:v>
      </x:c>
      <x:c r="E619" s="56" t="str">
        <x:v>보통</x:v>
      </x:c>
      <x:c r="F619" s="56" t="str">
        <x:v>아니오</x:v>
      </x:c>
      <x:c r="G619" s="56" t="str">
        <x:v>아니오</x:v>
      </x:c>
      <x:c r="H619" s="56" t="str">
        <x:v>예</x:v>
      </x:c>
      <x:c r="I619" s="56" t="str">
        <x:v>—</x:v>
      </x:c>
      <x:c r="J619" s="57" t="str">
        <x:v>—</x:v>
      </x:c>
      <x:c r="K619" s="57" t="str">
        <x:v>—</x:v>
      </x:c>
      <x:c r="L619" s="57" t="str">
        <x:v>—</x:v>
      </x:c>
      <x:c r="M619" s="57" t="str">
        <x:v>—</x:v>
      </x:c>
      <x:c r="N619" s="57" t="str">
        <x:v>포함</x:v>
      </x:c>
      <x:c r="O619" s="57" t="str">
        <x:v>포함</x:v>
      </x:c>
      <x:c r="P619" s="57" t="str">
        <x:v>—</x:v>
      </x:c>
      <x:c r="Q619" s="57" t="str">
        <x:v>포함</x:v>
      </x:c>
      <x:c r="R619" s="57" t="str">
        <x:v>포함</x:v>
      </x:c>
    </x:row>
    <x:row r="620">
      <x:c r="A620" s="60" t="n">
        <x:v>616</x:v>
      </x:c>
      <x:c r="B620" s="56" t="str">
        <x:v>쪼마리</x:v>
      </x:c>
      <x:c r="C620" s="56" t="str">
        <x:v>shelmet</x:v>
      </x:c>
      <x:c r="D620" s="56" t="str">
        <x:v>습지</x:v>
      </x:c>
      <x:c r="E620" s="56" t="str">
        <x:v>흔함</x:v>
      </x:c>
      <x:c r="F620" s="56" t="str">
        <x:v>아니오</x:v>
      </x:c>
      <x:c r="G620" s="56" t="str">
        <x:v>아니오</x:v>
      </x:c>
      <x:c r="H620" s="56" t="str">
        <x:v>예</x:v>
      </x:c>
      <x:c r="I620" s="56" t="str">
        <x:v>—</x:v>
      </x:c>
      <x:c r="J620" s="57" t="str">
        <x:v>—</x:v>
      </x:c>
      <x:c r="K620" s="57" t="str">
        <x:v>—</x:v>
      </x:c>
      <x:c r="L620" s="57" t="str">
        <x:v>—</x:v>
      </x:c>
      <x:c r="M620" s="57" t="str">
        <x:v>—</x:v>
      </x:c>
      <x:c r="N620" s="57" t="str">
        <x:v>포함</x:v>
      </x:c>
      <x:c r="O620" s="57" t="str">
        <x:v>포함</x:v>
      </x:c>
      <x:c r="P620" s="57" t="str">
        <x:v>—</x:v>
      </x:c>
      <x:c r="Q620" s="57" t="str">
        <x:v>포함</x:v>
      </x:c>
      <x:c r="R620" s="57" t="str">
        <x:v>—</x:v>
      </x:c>
    </x:row>
    <x:row r="621">
      <x:c r="A621" s="60" t="n">
        <x:v>617</x:v>
      </x:c>
      <x:c r="B621" s="56" t="str">
        <x:v>어지리더</x:v>
      </x:c>
      <x:c r="C621" s="56" t="str">
        <x:v>accelgor</x:v>
      </x:c>
      <x:c r="D621" s="56" t="str">
        <x:v>습지</x:v>
      </x:c>
      <x:c r="E621" s="56" t="str">
        <x:v>흔함</x:v>
      </x:c>
      <x:c r="F621" s="56" t="str">
        <x:v>아니오</x:v>
      </x:c>
      <x:c r="G621" s="56" t="str">
        <x:v>아니오</x:v>
      </x:c>
      <x:c r="H621" s="56" t="str">
        <x:v>예</x:v>
      </x:c>
      <x:c r="I621" s="56" t="str">
        <x:v>—</x:v>
      </x:c>
      <x:c r="J621" s="57" t="str">
        <x:v>—</x:v>
      </x:c>
      <x:c r="K621" s="57" t="str">
        <x:v>—</x:v>
      </x:c>
      <x:c r="L621" s="57" t="str">
        <x:v>—</x:v>
      </x:c>
      <x:c r="M621" s="57" t="str">
        <x:v>—</x:v>
      </x:c>
      <x:c r="N621" s="57" t="str">
        <x:v>포함</x:v>
      </x:c>
      <x:c r="O621" s="57" t="str">
        <x:v>포함</x:v>
      </x:c>
      <x:c r="P621" s="57" t="str">
        <x:v>—</x:v>
      </x:c>
      <x:c r="Q621" s="57" t="str">
        <x:v>포함</x:v>
      </x:c>
      <x:c r="R621" s="57" t="str">
        <x:v>—</x:v>
      </x:c>
    </x:row>
    <x:row r="622">
      <x:c r="A622" s="60" t="n">
        <x:v>618</x:v>
      </x:c>
      <x:c r="B622" s="56" t="str">
        <x:v>메더</x:v>
      </x:c>
      <x:c r="C622" s="56" t="str">
        <x:v>stunfisk</x:v>
      </x:c>
      <x:c r="D622" s="56" t="str">
        <x:v>습지</x:v>
      </x:c>
      <x:c r="E622" s="56" t="str">
        <x:v>흔함</x:v>
      </x:c>
      <x:c r="F622" s="56" t="str">
        <x:v>아니오</x:v>
      </x:c>
      <x:c r="G622" s="56" t="str">
        <x:v>아니오</x:v>
      </x:c>
      <x:c r="H622" s="56" t="str">
        <x:v>예</x:v>
      </x:c>
      <x:c r="I622" s="56" t="str">
        <x:v>—</x:v>
      </x:c>
      <x:c r="J622" s="57" t="str">
        <x:v>—</x:v>
      </x:c>
      <x:c r="K622" s="57" t="str">
        <x:v>—</x:v>
      </x:c>
      <x:c r="L622" s="57" t="str">
        <x:v>—</x:v>
      </x:c>
      <x:c r="M622" s="57" t="str">
        <x:v>—</x:v>
      </x:c>
      <x:c r="N622" s="57" t="str">
        <x:v>포함</x:v>
      </x:c>
      <x:c r="O622" s="57" t="str">
        <x:v>포함</x:v>
      </x:c>
      <x:c r="P622" s="57" t="str">
        <x:v>—</x:v>
      </x:c>
      <x:c r="Q622" s="57" t="str">
        <x:v>포함</x:v>
      </x:c>
      <x:c r="R622" s="57" t="str">
        <x:v>—</x:v>
      </x:c>
    </x:row>
    <x:row r="623">
      <x:c r="A623" s="60" t="n">
        <x:v>619</x:v>
      </x:c>
      <x:c r="B623" s="56" t="str">
        <x:v>비조푸</x:v>
      </x:c>
      <x:c r="C623" s="56" t="str">
        <x:v>mienfoo</x:v>
      </x:c>
      <x:c r="D623" s="56" t="str">
        <x:v>산악</x:v>
      </x:c>
      <x:c r="E623" s="56" t="str">
        <x:v>보통</x:v>
      </x:c>
      <x:c r="F623" s="56" t="str">
        <x:v>아니오</x:v>
      </x:c>
      <x:c r="G623" s="56" t="str">
        <x:v>아니오</x:v>
      </x:c>
      <x:c r="H623" s="56" t="str">
        <x:v>예</x:v>
      </x:c>
      <x:c r="I623" s="56" t="str">
        <x:v>—</x:v>
      </x:c>
      <x:c r="J623" s="57" t="str">
        <x:v>—</x:v>
      </x:c>
      <x:c r="K623" s="57" t="str">
        <x:v>—</x:v>
      </x:c>
      <x:c r="L623" s="57" t="str">
        <x:v>—</x:v>
      </x:c>
      <x:c r="M623" s="57" t="str">
        <x:v>—</x:v>
      </x:c>
      <x:c r="N623" s="57" t="str">
        <x:v>포함</x:v>
      </x:c>
      <x:c r="O623" s="57" t="str">
        <x:v>포함</x:v>
      </x:c>
      <x:c r="P623" s="57" t="str">
        <x:v>포함</x:v>
      </x:c>
      <x:c r="Q623" s="57" t="str">
        <x:v>포함</x:v>
      </x:c>
      <x:c r="R623" s="57" t="str">
        <x:v>포함</x:v>
      </x:c>
    </x:row>
    <x:row r="624">
      <x:c r="A624" s="60" t="n">
        <x:v>620</x:v>
      </x:c>
      <x:c r="B624" s="56" t="str">
        <x:v>비조도</x:v>
      </x:c>
      <x:c r="C624" s="56" t="str">
        <x:v>mienshao</x:v>
      </x:c>
      <x:c r="D624" s="56" t="str">
        <x:v>산악</x:v>
      </x:c>
      <x:c r="E624" s="56" t="str">
        <x:v>보통</x:v>
      </x:c>
      <x:c r="F624" s="56" t="str">
        <x:v>아니오</x:v>
      </x:c>
      <x:c r="G624" s="56" t="str">
        <x:v>아니오</x:v>
      </x:c>
      <x:c r="H624" s="56" t="str">
        <x:v>예</x:v>
      </x:c>
      <x:c r="I624" s="56" t="str">
        <x:v>—</x:v>
      </x:c>
      <x:c r="J624" s="57" t="str">
        <x:v>—</x:v>
      </x:c>
      <x:c r="K624" s="57" t="str">
        <x:v>—</x:v>
      </x:c>
      <x:c r="L624" s="57" t="str">
        <x:v>—</x:v>
      </x:c>
      <x:c r="M624" s="57" t="str">
        <x:v>—</x:v>
      </x:c>
      <x:c r="N624" s="57" t="str">
        <x:v>포함</x:v>
      </x:c>
      <x:c r="O624" s="57" t="str">
        <x:v>포함</x:v>
      </x:c>
      <x:c r="P624" s="57" t="str">
        <x:v>포함</x:v>
      </x:c>
      <x:c r="Q624" s="57" t="str">
        <x:v>포함</x:v>
      </x:c>
      <x:c r="R624" s="57" t="str">
        <x:v>포함</x:v>
      </x:c>
    </x:row>
    <x:row r="625">
      <x:c r="A625" s="60" t="n">
        <x:v>621</x:v>
      </x:c>
      <x:c r="B625" s="56" t="str">
        <x:v>크리만</x:v>
      </x:c>
      <x:c r="C625" s="56" t="str">
        <x:v>druddigon</x:v>
      </x:c>
      <x:c r="D625" s="56" t="str">
        <x:v>산악</x:v>
      </x:c>
      <x:c r="E625" s="56" t="str">
        <x:v>보통</x:v>
      </x:c>
      <x:c r="F625" s="56" t="str">
        <x:v>아니오</x:v>
      </x:c>
      <x:c r="G625" s="56" t="str">
        <x:v>아니오</x:v>
      </x:c>
      <x:c r="H625" s="56" t="str">
        <x:v>예</x:v>
      </x:c>
      <x:c r="I625" s="56" t="str">
        <x:v>—</x:v>
      </x:c>
      <x:c r="J625" s="57" t="str">
        <x:v>—</x:v>
      </x:c>
      <x:c r="K625" s="57" t="str">
        <x:v>—</x:v>
      </x:c>
      <x:c r="L625" s="57" t="str">
        <x:v>—</x:v>
      </x:c>
      <x:c r="M625" s="57" t="str">
        <x:v>—</x:v>
      </x:c>
      <x:c r="N625" s="57" t="str">
        <x:v>포함</x:v>
      </x:c>
      <x:c r="O625" s="57" t="str">
        <x:v>포함</x:v>
      </x:c>
      <x:c r="P625" s="57" t="str">
        <x:v>포함</x:v>
      </x:c>
      <x:c r="Q625" s="57" t="str">
        <x:v>포함</x:v>
      </x:c>
      <x:c r="R625" s="57" t="str">
        <x:v>—</x:v>
      </x:c>
    </x:row>
    <x:row r="626">
      <x:c r="A626" s="60" t="n">
        <x:v>622</x:v>
      </x:c>
      <x:c r="B626" s="56" t="str">
        <x:v>골비람</x:v>
      </x:c>
      <x:c r="C626" s="56" t="str">
        <x:v>golett</x:v>
      </x:c>
      <x:c r="D626" s="56" t="str">
        <x:v>동굴</x:v>
      </x:c>
      <x:c r="E626" s="56" t="str">
        <x:v>보통</x:v>
      </x:c>
      <x:c r="F626" s="56" t="str">
        <x:v>아니오</x:v>
      </x:c>
      <x:c r="G626" s="56" t="str">
        <x:v>아니오</x:v>
      </x:c>
      <x:c r="H626" s="56" t="str">
        <x:v>예</x:v>
      </x:c>
      <x:c r="I626" s="56" t="str">
        <x:v>—</x:v>
      </x:c>
      <x:c r="J626" s="57" t="str">
        <x:v>—</x:v>
      </x:c>
      <x:c r="K626" s="57" t="str">
        <x:v>—</x:v>
      </x:c>
      <x:c r="L626" s="57" t="str">
        <x:v>—</x:v>
      </x:c>
      <x:c r="M626" s="57" t="str">
        <x:v>—</x:v>
      </x:c>
      <x:c r="N626" s="57" t="str">
        <x:v>포함</x:v>
      </x:c>
      <x:c r="O626" s="57" t="str">
        <x:v>포함</x:v>
      </x:c>
      <x:c r="P626" s="57" t="str">
        <x:v>포함</x:v>
      </x:c>
      <x:c r="Q626" s="57" t="str">
        <x:v>포함</x:v>
      </x:c>
      <x:c r="R626" s="57" t="str">
        <x:v>포함</x:v>
      </x:c>
    </x:row>
    <x:row r="627">
      <x:c r="A627" s="60" t="n">
        <x:v>623</x:v>
      </x:c>
      <x:c r="B627" s="56" t="str">
        <x:v>골루그</x:v>
      </x:c>
      <x:c r="C627" s="56" t="str">
        <x:v>golurk</x:v>
      </x:c>
      <x:c r="D627" s="56" t="str">
        <x:v>동굴</x:v>
      </x:c>
      <x:c r="E627" s="56" t="str">
        <x:v>보통</x:v>
      </x:c>
      <x:c r="F627" s="56" t="str">
        <x:v>아니오</x:v>
      </x:c>
      <x:c r="G627" s="56" t="str">
        <x:v>아니오</x:v>
      </x:c>
      <x:c r="H627" s="56" t="str">
        <x:v>예</x:v>
      </x:c>
      <x:c r="I627" s="56" t="str">
        <x:v>—</x:v>
      </x:c>
      <x:c r="J627" s="57" t="str">
        <x:v>—</x:v>
      </x:c>
      <x:c r="K627" s="57" t="str">
        <x:v>—</x:v>
      </x:c>
      <x:c r="L627" s="57" t="str">
        <x:v>—</x:v>
      </x:c>
      <x:c r="M627" s="57" t="str">
        <x:v>—</x:v>
      </x:c>
      <x:c r="N627" s="57" t="str">
        <x:v>포함</x:v>
      </x:c>
      <x:c r="O627" s="57" t="str">
        <x:v>포함</x:v>
      </x:c>
      <x:c r="P627" s="57" t="str">
        <x:v>포함</x:v>
      </x:c>
      <x:c r="Q627" s="57" t="str">
        <x:v>포함</x:v>
      </x:c>
      <x:c r="R627" s="57" t="str">
        <x:v>포함</x:v>
      </x:c>
    </x:row>
    <x:row r="628">
      <x:c r="A628" s="60" t="n">
        <x:v>624</x:v>
      </x:c>
      <x:c r="B628" s="56" t="str">
        <x:v>자망칼</x:v>
      </x:c>
      <x:c r="C628" s="56" t="str">
        <x:v>pawniard</x:v>
      </x:c>
      <x:c r="D628" s="56" t="str">
        <x:v>숲</x:v>
      </x:c>
      <x:c r="E628" s="56" t="str">
        <x:v>보통</x:v>
      </x:c>
      <x:c r="F628" s="56" t="str">
        <x:v>아니오</x:v>
      </x:c>
      <x:c r="G628" s="56" t="str">
        <x:v>아니오</x:v>
      </x:c>
      <x:c r="H628" s="56" t="str">
        <x:v>예</x:v>
      </x:c>
      <x:c r="I628" s="56" t="str">
        <x:v>—</x:v>
      </x:c>
      <x:c r="J628" s="57" t="str">
        <x:v>—</x:v>
      </x:c>
      <x:c r="K628" s="57" t="str">
        <x:v>—</x:v>
      </x:c>
      <x:c r="L628" s="57" t="str">
        <x:v>—</x:v>
      </x:c>
      <x:c r="M628" s="57" t="str">
        <x:v>—</x:v>
      </x:c>
      <x:c r="N628" s="57" t="str">
        <x:v>포함</x:v>
      </x:c>
      <x:c r="O628" s="57" t="str">
        <x:v>포함</x:v>
      </x:c>
      <x:c r="P628" s="57" t="str">
        <x:v>포함</x:v>
      </x:c>
      <x:c r="Q628" s="57" t="str">
        <x:v>포함</x:v>
      </x:c>
      <x:c r="R628" s="57" t="str">
        <x:v>포함</x:v>
      </x:c>
    </x:row>
    <x:row r="629">
      <x:c r="A629" s="60" t="n">
        <x:v>625</x:v>
      </x:c>
      <x:c r="B629" s="56" t="str">
        <x:v>절각참</x:v>
      </x:c>
      <x:c r="C629" s="56" t="str">
        <x:v>bisharp</x:v>
      </x:c>
      <x:c r="D629" s="56" t="str">
        <x:v>숲</x:v>
      </x:c>
      <x:c r="E629" s="56" t="str">
        <x:v>드묾</x:v>
      </x:c>
      <x:c r="F629" s="56" t="str">
        <x:v>아니오</x:v>
      </x:c>
      <x:c r="G629" s="56" t="str">
        <x:v>아니오</x:v>
      </x:c>
      <x:c r="H629" s="56" t="str">
        <x:v>예</x:v>
      </x:c>
      <x:c r="I629" s="56" t="str">
        <x:v>—</x:v>
      </x:c>
      <x:c r="J629" s="57" t="str">
        <x:v>—</x:v>
      </x:c>
      <x:c r="K629" s="57" t="str">
        <x:v>—</x:v>
      </x:c>
      <x:c r="L629" s="57" t="str">
        <x:v>—</x:v>
      </x:c>
      <x:c r="M629" s="57" t="str">
        <x:v>—</x:v>
      </x:c>
      <x:c r="N629" s="57" t="str">
        <x:v>포함</x:v>
      </x:c>
      <x:c r="O629" s="57" t="str">
        <x:v>포함</x:v>
      </x:c>
      <x:c r="P629" s="57" t="str">
        <x:v>포함</x:v>
      </x:c>
      <x:c r="Q629" s="57" t="str">
        <x:v>포함</x:v>
      </x:c>
      <x:c r="R629" s="57" t="str">
        <x:v>포함</x:v>
      </x:c>
    </x:row>
    <x:row r="630">
      <x:c r="A630" s="60" t="n">
        <x:v>626</x:v>
      </x:c>
      <x:c r="B630" s="56" t="str">
        <x:v>버프론</x:v>
      </x:c>
      <x:c r="C630" s="56" t="str">
        <x:v>bouffalant</x:v>
      </x:c>
      <x:c r="D630" s="56" t="str">
        <x:v>평원</x:v>
      </x:c>
      <x:c r="E630" s="56" t="str">
        <x:v>흔함</x:v>
      </x:c>
      <x:c r="F630" s="56" t="str">
        <x:v>아니오</x:v>
      </x:c>
      <x:c r="G630" s="56" t="str">
        <x:v>아니오</x:v>
      </x:c>
      <x:c r="H630" s="56" t="str">
        <x:v>예</x:v>
      </x:c>
      <x:c r="I630" s="56" t="str">
        <x:v>—</x:v>
      </x:c>
      <x:c r="J630" s="57" t="str">
        <x:v>—</x:v>
      </x:c>
      <x:c r="K630" s="57" t="str">
        <x:v>—</x:v>
      </x:c>
      <x:c r="L630" s="57" t="str">
        <x:v>—</x:v>
      </x:c>
      <x:c r="M630" s="57" t="str">
        <x:v>—</x:v>
      </x:c>
      <x:c r="N630" s="57" t="str">
        <x:v>포함</x:v>
      </x:c>
      <x:c r="O630" s="57" t="str">
        <x:v>—</x:v>
      </x:c>
      <x:c r="P630" s="57" t="str">
        <x:v>—</x:v>
      </x:c>
      <x:c r="Q630" s="57" t="str">
        <x:v>포함</x:v>
      </x:c>
      <x:c r="R630" s="57" t="str">
        <x:v>—</x:v>
      </x:c>
    </x:row>
    <x:row r="631">
      <x:c r="A631" s="60" t="n">
        <x:v>627</x:v>
      </x:c>
      <x:c r="B631" s="56" t="str">
        <x:v>수리둥보</x:v>
      </x:c>
      <x:c r="C631" s="56" t="str">
        <x:v>rufflet</x:v>
      </x:c>
      <x:c r="D631" s="56" t="str">
        <x:v>산악</x:v>
      </x:c>
      <x:c r="E631" s="56" t="str">
        <x:v>보통</x:v>
      </x:c>
      <x:c r="F631" s="56" t="str">
        <x:v>아니오</x:v>
      </x:c>
      <x:c r="G631" s="56" t="str">
        <x:v>아니오</x:v>
      </x:c>
      <x:c r="H631" s="56" t="str">
        <x:v>예</x:v>
      </x:c>
      <x:c r="I631" s="56" t="str">
        <x:v>—</x:v>
      </x:c>
      <x:c r="J631" s="57" t="str">
        <x:v>—</x:v>
      </x:c>
      <x:c r="K631" s="57" t="str">
        <x:v>—</x:v>
      </x:c>
      <x:c r="L631" s="57" t="str">
        <x:v>—</x:v>
      </x:c>
      <x:c r="M631" s="57" t="str">
        <x:v>—</x:v>
      </x:c>
      <x:c r="N631" s="57" t="str">
        <x:v>포함</x:v>
      </x:c>
      <x:c r="O631" s="57" t="str">
        <x:v>—</x:v>
      </x:c>
      <x:c r="P631" s="57" t="str">
        <x:v>포함</x:v>
      </x:c>
      <x:c r="Q631" s="57" t="str">
        <x:v>포함</x:v>
      </x:c>
      <x:c r="R631" s="57" t="str">
        <x:v>포함</x:v>
      </x:c>
    </x:row>
    <x:row r="632">
      <x:c r="A632" s="60" t="n">
        <x:v>628</x:v>
      </x:c>
      <x:c r="B632" s="56" t="str">
        <x:v>워글</x:v>
      </x:c>
      <x:c r="C632" s="56" t="str">
        <x:v>braviary</x:v>
      </x:c>
      <x:c r="D632" s="56" t="str">
        <x:v>산악</x:v>
      </x:c>
      <x:c r="E632" s="56" t="str">
        <x:v>보통</x:v>
      </x:c>
      <x:c r="F632" s="56" t="str">
        <x:v>아니오</x:v>
      </x:c>
      <x:c r="G632" s="56" t="str">
        <x:v>아니오</x:v>
      </x:c>
      <x:c r="H632" s="56" t="str">
        <x:v>예</x:v>
      </x:c>
      <x:c r="I632" s="56" t="str">
        <x:v>—</x:v>
      </x:c>
      <x:c r="J632" s="57" t="str">
        <x:v>—</x:v>
      </x:c>
      <x:c r="K632" s="57" t="str">
        <x:v>—</x:v>
      </x:c>
      <x:c r="L632" s="57" t="str">
        <x:v>—</x:v>
      </x:c>
      <x:c r="M632" s="57" t="str">
        <x:v>—</x:v>
      </x:c>
      <x:c r="N632" s="57" t="str">
        <x:v>포함</x:v>
      </x:c>
      <x:c r="O632" s="57" t="str">
        <x:v>—</x:v>
      </x:c>
      <x:c r="P632" s="57" t="str">
        <x:v>포함</x:v>
      </x:c>
      <x:c r="Q632" s="57" t="str">
        <x:v>포함</x:v>
      </x:c>
      <x:c r="R632" s="57" t="str">
        <x:v>포함</x:v>
      </x:c>
    </x:row>
    <x:row r="633">
      <x:c r="A633" s="60" t="n">
        <x:v>629</x:v>
      </x:c>
      <x:c r="B633" s="56" t="str">
        <x:v>벌차이</x:v>
      </x:c>
      <x:c r="C633" s="56" t="str">
        <x:v>vullaby</x:v>
      </x:c>
      <x:c r="D633" s="56" t="str">
        <x:v>건조지</x:v>
      </x:c>
      <x:c r="E633" s="56" t="str">
        <x:v>흔함</x:v>
      </x:c>
      <x:c r="F633" s="56" t="str">
        <x:v>아니오</x:v>
      </x:c>
      <x:c r="G633" s="56" t="str">
        <x:v>아니오</x:v>
      </x:c>
      <x:c r="H633" s="56" t="str">
        <x:v>예</x:v>
      </x:c>
      <x:c r="I633" s="56" t="str">
        <x:v>—</x:v>
      </x:c>
      <x:c r="J633" s="57" t="str">
        <x:v>—</x:v>
      </x:c>
      <x:c r="K633" s="57" t="str">
        <x:v>—</x:v>
      </x:c>
      <x:c r="L633" s="57" t="str">
        <x:v>—</x:v>
      </x:c>
      <x:c r="M633" s="57" t="str">
        <x:v>—</x:v>
      </x:c>
      <x:c r="N633" s="57" t="str">
        <x:v>포함</x:v>
      </x:c>
      <x:c r="O633" s="57" t="str">
        <x:v>—</x:v>
      </x:c>
      <x:c r="P633" s="57" t="str">
        <x:v>포함</x:v>
      </x:c>
      <x:c r="Q633" s="57" t="str">
        <x:v>포함</x:v>
      </x:c>
      <x:c r="R633" s="57" t="str">
        <x:v>포함</x:v>
      </x:c>
    </x:row>
    <x:row r="634">
      <x:c r="A634" s="60" t="n">
        <x:v>630</x:v>
      </x:c>
      <x:c r="B634" s="56" t="str">
        <x:v>버랜지나</x:v>
      </x:c>
      <x:c r="C634" s="56" t="str">
        <x:v>mandibuzz</x:v>
      </x:c>
      <x:c r="D634" s="56" t="str">
        <x:v>건조지</x:v>
      </x:c>
      <x:c r="E634" s="56" t="str">
        <x:v>보통</x:v>
      </x:c>
      <x:c r="F634" s="56" t="str">
        <x:v>아니오</x:v>
      </x:c>
      <x:c r="G634" s="56" t="str">
        <x:v>아니오</x:v>
      </x:c>
      <x:c r="H634" s="56" t="str">
        <x:v>예</x:v>
      </x:c>
      <x:c r="I634" s="56" t="str">
        <x:v>—</x:v>
      </x:c>
      <x:c r="J634" s="57" t="str">
        <x:v>—</x:v>
      </x:c>
      <x:c r="K634" s="57" t="str">
        <x:v>—</x:v>
      </x:c>
      <x:c r="L634" s="57" t="str">
        <x:v>—</x:v>
      </x:c>
      <x:c r="M634" s="57" t="str">
        <x:v>—</x:v>
      </x:c>
      <x:c r="N634" s="57" t="str">
        <x:v>포함</x:v>
      </x:c>
      <x:c r="O634" s="57" t="str">
        <x:v>—</x:v>
      </x:c>
      <x:c r="P634" s="57" t="str">
        <x:v>포함</x:v>
      </x:c>
      <x:c r="Q634" s="57" t="str">
        <x:v>포함</x:v>
      </x:c>
      <x:c r="R634" s="57" t="str">
        <x:v>포함</x:v>
      </x:c>
    </x:row>
    <x:row r="635">
      <x:c r="A635" s="60" t="n">
        <x:v>631</x:v>
      </x:c>
      <x:c r="B635" s="56" t="str">
        <x:v>앤티골</x:v>
      </x:c>
      <x:c r="C635" s="56" t="str">
        <x:v>heatmor</x:v>
      </x:c>
      <x:c r="D635" s="56" t="str">
        <x:v>산악</x:v>
      </x:c>
      <x:c r="E635" s="56" t="str">
        <x:v>보통</x:v>
      </x:c>
      <x:c r="F635" s="56" t="str">
        <x:v>아니오</x:v>
      </x:c>
      <x:c r="G635" s="56" t="str">
        <x:v>아니오</x:v>
      </x:c>
      <x:c r="H635" s="56" t="str">
        <x:v>예</x:v>
      </x:c>
      <x:c r="I635" s="56" t="str">
        <x:v>—</x:v>
      </x:c>
      <x:c r="J635" s="57" t="str">
        <x:v>—</x:v>
      </x:c>
      <x:c r="K635" s="57" t="str">
        <x:v>—</x:v>
      </x:c>
      <x:c r="L635" s="57" t="str">
        <x:v>—</x:v>
      </x:c>
      <x:c r="M635" s="57" t="str">
        <x:v>—</x:v>
      </x:c>
      <x:c r="N635" s="57" t="str">
        <x:v>포함</x:v>
      </x:c>
      <x:c r="O635" s="57" t="str">
        <x:v>포함</x:v>
      </x:c>
      <x:c r="P635" s="57" t="str">
        <x:v>—</x:v>
      </x:c>
      <x:c r="Q635" s="57" t="str">
        <x:v>포함</x:v>
      </x:c>
      <x:c r="R635" s="57" t="str">
        <x:v>—</x:v>
      </x:c>
    </x:row>
    <x:row r="636">
      <x:c r="A636" s="60" t="n">
        <x:v>632</x:v>
      </x:c>
      <x:c r="B636" s="56" t="str">
        <x:v>아이앤트</x:v>
      </x:c>
      <x:c r="C636" s="56" t="str">
        <x:v>durant</x:v>
      </x:c>
      <x:c r="D636" s="56" t="str">
        <x:v>산악</x:v>
      </x:c>
      <x:c r="E636" s="56" t="str">
        <x:v>흔함</x:v>
      </x:c>
      <x:c r="F636" s="56" t="str">
        <x:v>아니오</x:v>
      </x:c>
      <x:c r="G636" s="56" t="str">
        <x:v>아니오</x:v>
      </x:c>
      <x:c r="H636" s="56" t="str">
        <x:v>예</x:v>
      </x:c>
      <x:c r="I636" s="56" t="str">
        <x:v>—</x:v>
      </x:c>
      <x:c r="J636" s="57" t="str">
        <x:v>—</x:v>
      </x:c>
      <x:c r="K636" s="57" t="str">
        <x:v>—</x:v>
      </x:c>
      <x:c r="L636" s="57" t="str">
        <x:v>—</x:v>
      </x:c>
      <x:c r="M636" s="57" t="str">
        <x:v>—</x:v>
      </x:c>
      <x:c r="N636" s="57" t="str">
        <x:v>포함</x:v>
      </x:c>
      <x:c r="O636" s="57" t="str">
        <x:v>포함</x:v>
      </x:c>
      <x:c r="P636" s="57" t="str">
        <x:v>—</x:v>
      </x:c>
      <x:c r="Q636" s="57" t="str">
        <x:v>포함</x:v>
      </x:c>
      <x:c r="R636" s="57" t="str">
        <x:v>—</x:v>
      </x:c>
    </x:row>
    <x:row r="637">
      <x:c r="A637" s="60" t="n">
        <x:v>633</x:v>
      </x:c>
      <x:c r="B637" s="56" t="str">
        <x:v>모노두</x:v>
      </x:c>
      <x:c r="C637" s="56" t="str">
        <x:v>deino</x:v>
      </x:c>
      <x:c r="D637" s="56" t="str">
        <x:v>동굴</x:v>
      </x:c>
      <x:c r="E637" s="56" t="str">
        <x:v>희귀</x:v>
      </x:c>
      <x:c r="F637" s="56" t="str">
        <x:v>아니오</x:v>
      </x:c>
      <x:c r="G637" s="56" t="str">
        <x:v>아니오</x:v>
      </x:c>
      <x:c r="H637" s="56" t="str">
        <x:v>예</x:v>
      </x:c>
      <x:c r="I637" s="56" t="str">
        <x:v>—</x:v>
      </x:c>
      <x:c r="J637" s="57" t="str">
        <x:v>—</x:v>
      </x:c>
      <x:c r="K637" s="57" t="str">
        <x:v>—</x:v>
      </x:c>
      <x:c r="L637" s="57" t="str">
        <x:v>—</x:v>
      </x:c>
      <x:c r="M637" s="57" t="str">
        <x:v>—</x:v>
      </x:c>
      <x:c r="N637" s="57" t="str">
        <x:v>포함</x:v>
      </x:c>
      <x:c r="O637" s="57" t="str">
        <x:v>포함</x:v>
      </x:c>
      <x:c r="P637" s="57" t="str">
        <x:v>—</x:v>
      </x:c>
      <x:c r="Q637" s="57" t="str">
        <x:v>포함</x:v>
      </x:c>
      <x:c r="R637" s="57" t="str">
        <x:v>포함</x:v>
      </x:c>
    </x:row>
    <x:row r="638">
      <x:c r="A638" s="60" t="n">
        <x:v>634</x:v>
      </x:c>
      <x:c r="B638" s="56" t="str">
        <x:v>디헤드</x:v>
      </x:c>
      <x:c r="C638" s="56" t="str">
        <x:v>zweilous</x:v>
      </x:c>
      <x:c r="D638" s="56" t="str">
        <x:v>동굴</x:v>
      </x:c>
      <x:c r="E638" s="56" t="str">
        <x:v>희귀</x:v>
      </x:c>
      <x:c r="F638" s="56" t="str">
        <x:v>아니오</x:v>
      </x:c>
      <x:c r="G638" s="56" t="str">
        <x:v>아니오</x:v>
      </x:c>
      <x:c r="H638" s="56" t="str">
        <x:v>예</x:v>
      </x:c>
      <x:c r="I638" s="56" t="str">
        <x:v>—</x:v>
      </x:c>
      <x:c r="J638" s="57" t="str">
        <x:v>—</x:v>
      </x:c>
      <x:c r="K638" s="57" t="str">
        <x:v>—</x:v>
      </x:c>
      <x:c r="L638" s="57" t="str">
        <x:v>—</x:v>
      </x:c>
      <x:c r="M638" s="57" t="str">
        <x:v>—</x:v>
      </x:c>
      <x:c r="N638" s="57" t="str">
        <x:v>포함</x:v>
      </x:c>
      <x:c r="O638" s="57" t="str">
        <x:v>포함</x:v>
      </x:c>
      <x:c r="P638" s="57" t="str">
        <x:v>—</x:v>
      </x:c>
      <x:c r="Q638" s="57" t="str">
        <x:v>포함</x:v>
      </x:c>
      <x:c r="R638" s="57" t="str">
        <x:v>포함</x:v>
      </x:c>
    </x:row>
    <x:row r="639">
      <x:c r="A639" s="60" t="n">
        <x:v>635</x:v>
      </x:c>
      <x:c r="B639" s="56" t="str">
        <x:v>삼삼드래</x:v>
      </x:c>
      <x:c r="C639" s="56" t="str">
        <x:v>hydreigon</x:v>
      </x:c>
      <x:c r="D639" s="56" t="str">
        <x:v>동굴</x:v>
      </x:c>
      <x:c r="E639" s="56" t="str">
        <x:v>희귀</x:v>
      </x:c>
      <x:c r="F639" s="56" t="str">
        <x:v>아니오</x:v>
      </x:c>
      <x:c r="G639" s="56" t="str">
        <x:v>아니오</x:v>
      </x:c>
      <x:c r="H639" s="56" t="str">
        <x:v>예</x:v>
      </x:c>
      <x:c r="I639" s="56" t="str">
        <x:v>—</x:v>
      </x:c>
      <x:c r="J639" s="57" t="str">
        <x:v>—</x:v>
      </x:c>
      <x:c r="K639" s="57" t="str">
        <x:v>—</x:v>
      </x:c>
      <x:c r="L639" s="57" t="str">
        <x:v>—</x:v>
      </x:c>
      <x:c r="M639" s="57" t="str">
        <x:v>—</x:v>
      </x:c>
      <x:c r="N639" s="57" t="str">
        <x:v>포함</x:v>
      </x:c>
      <x:c r="O639" s="57" t="str">
        <x:v>포함</x:v>
      </x:c>
      <x:c r="P639" s="57" t="str">
        <x:v>—</x:v>
      </x:c>
      <x:c r="Q639" s="57" t="str">
        <x:v>포함</x:v>
      </x:c>
      <x:c r="R639" s="57" t="str">
        <x:v>포함</x:v>
      </x:c>
    </x:row>
    <x:row r="640">
      <x:c r="A640" s="60" t="n">
        <x:v>636</x:v>
      </x:c>
      <x:c r="B640" s="56" t="str">
        <x:v>활화르바</x:v>
      </x:c>
      <x:c r="C640" s="56" t="str">
        <x:v>larvesta</x:v>
      </x:c>
      <x:c r="D640" s="56" t="str">
        <x:v>화산</x:v>
      </x:c>
      <x:c r="E640" s="56" t="str">
        <x:v>보통</x:v>
      </x:c>
      <x:c r="F640" s="56" t="str">
        <x:v>아니오</x:v>
      </x:c>
      <x:c r="G640" s="56" t="str">
        <x:v>아니오</x:v>
      </x:c>
      <x:c r="H640" s="56" t="str">
        <x:v>예</x:v>
      </x:c>
      <x:c r="I640" s="56" t="str">
        <x:v>—</x:v>
      </x:c>
      <x:c r="J640" s="57" t="str">
        <x:v>—</x:v>
      </x:c>
      <x:c r="K640" s="57" t="str">
        <x:v>—</x:v>
      </x:c>
      <x:c r="L640" s="57" t="str">
        <x:v>—</x:v>
      </x:c>
      <x:c r="M640" s="57" t="str">
        <x:v>—</x:v>
      </x:c>
      <x:c r="N640" s="57" t="str">
        <x:v>포함</x:v>
      </x:c>
      <x:c r="O640" s="57" t="str">
        <x:v>—</x:v>
      </x:c>
      <x:c r="P640" s="57" t="str">
        <x:v>포함</x:v>
      </x:c>
      <x:c r="Q640" s="57" t="str">
        <x:v>포함</x:v>
      </x:c>
      <x:c r="R640" s="57" t="str">
        <x:v>포함</x:v>
      </x:c>
    </x:row>
    <x:row r="641">
      <x:c r="A641" s="60" t="n">
        <x:v>637</x:v>
      </x:c>
      <x:c r="B641" s="56" t="str">
        <x:v>불카모스</x:v>
      </x:c>
      <x:c r="C641" s="56" t="str">
        <x:v>volcarona</x:v>
      </x:c>
      <x:c r="D641" s="56" t="str">
        <x:v>화산</x:v>
      </x:c>
      <x:c r="E641" s="56" t="str">
        <x:v>보통</x:v>
      </x:c>
      <x:c r="F641" s="56" t="str">
        <x:v>아니오</x:v>
      </x:c>
      <x:c r="G641" s="56" t="str">
        <x:v>아니오</x:v>
      </x:c>
      <x:c r="H641" s="56" t="str">
        <x:v>예</x:v>
      </x:c>
      <x:c r="I641" s="56" t="str">
        <x:v>—</x:v>
      </x:c>
      <x:c r="J641" s="57" t="str">
        <x:v>—</x:v>
      </x:c>
      <x:c r="K641" s="57" t="str">
        <x:v>—</x:v>
      </x:c>
      <x:c r="L641" s="57" t="str">
        <x:v>—</x:v>
      </x:c>
      <x:c r="M641" s="57" t="str">
        <x:v>—</x:v>
      </x:c>
      <x:c r="N641" s="57" t="str">
        <x:v>포함</x:v>
      </x:c>
      <x:c r="O641" s="57" t="str">
        <x:v>—</x:v>
      </x:c>
      <x:c r="P641" s="57" t="str">
        <x:v>포함</x:v>
      </x:c>
      <x:c r="Q641" s="57" t="str">
        <x:v>포함</x:v>
      </x:c>
      <x:c r="R641" s="57" t="str">
        <x:v>포함</x:v>
      </x:c>
    </x:row>
    <x:row r="642">
      <x:c r="A642" s="60" t="n">
        <x:v>638</x:v>
      </x:c>
      <x:c r="B642" s="56" t="str">
        <x:v>코바르온</x:v>
      </x:c>
      <x:c r="C642" s="56" t="str">
        <x:v>cobalion</x:v>
      </x:c>
      <x:c r="D642" s="56" t="str">
        <x:v>산악</x:v>
      </x:c>
      <x:c r="E642" s="56" t="str">
        <x:v>전설</x:v>
      </x:c>
      <x:c r="F642" s="56" t="str">
        <x:v>예</x:v>
      </x:c>
      <x:c r="G642" s="56" t="str">
        <x:v>아니오</x:v>
      </x:c>
      <x:c r="H642" s="56" t="str">
        <x:v>아니오</x:v>
      </x:c>
      <x:c r="I642" s="56" t="str">
        <x:v>전설</x:v>
      </x:c>
      <x:c r="J642" s="57" t="str">
        <x:v>—</x:v>
      </x:c>
      <x:c r="K642" s="57" t="str">
        <x:v>—</x:v>
      </x:c>
      <x:c r="L642" s="57" t="str">
        <x:v>—</x:v>
      </x:c>
      <x:c r="M642" s="57" t="str">
        <x:v>—</x:v>
      </x:c>
      <x:c r="N642" s="57" t="str">
        <x:v>포함</x:v>
      </x:c>
      <x:c r="O642" s="57" t="str">
        <x:v>—</x:v>
      </x:c>
      <x:c r="P642" s="57" t="str">
        <x:v>—</x:v>
      </x:c>
      <x:c r="Q642" s="57" t="str">
        <x:v>포함</x:v>
      </x:c>
      <x:c r="R642" s="57" t="str">
        <x:v>—</x:v>
      </x:c>
    </x:row>
    <x:row r="643">
      <x:c r="A643" s="60" t="n">
        <x:v>639</x:v>
      </x:c>
      <x:c r="B643" s="56" t="str">
        <x:v>테라키온</x:v>
      </x:c>
      <x:c r="C643" s="56" t="str">
        <x:v>terrakion</x:v>
      </x:c>
      <x:c r="D643" s="56" t="str">
        <x:v>평원</x:v>
      </x:c>
      <x:c r="E643" s="56" t="str">
        <x:v>전설</x:v>
      </x:c>
      <x:c r="F643" s="56" t="str">
        <x:v>예</x:v>
      </x:c>
      <x:c r="G643" s="56" t="str">
        <x:v>아니오</x:v>
      </x:c>
      <x:c r="H643" s="56" t="str">
        <x:v>아니오</x:v>
      </x:c>
      <x:c r="I643" s="56" t="str">
        <x:v>전설</x:v>
      </x:c>
      <x:c r="J643" s="57" t="str">
        <x:v>—</x:v>
      </x:c>
      <x:c r="K643" s="57" t="str">
        <x:v>—</x:v>
      </x:c>
      <x:c r="L643" s="57" t="str">
        <x:v>—</x:v>
      </x:c>
      <x:c r="M643" s="57" t="str">
        <x:v>—</x:v>
      </x:c>
      <x:c r="N643" s="57" t="str">
        <x:v>포함</x:v>
      </x:c>
      <x:c r="O643" s="57" t="str">
        <x:v>—</x:v>
      </x:c>
      <x:c r="P643" s="57" t="str">
        <x:v>—</x:v>
      </x:c>
      <x:c r="Q643" s="57" t="str">
        <x:v>포함</x:v>
      </x:c>
      <x:c r="R643" s="57" t="str">
        <x:v>—</x:v>
      </x:c>
    </x:row>
    <x:row r="644">
      <x:c r="A644" s="60" t="n">
        <x:v>640</x:v>
      </x:c>
      <x:c r="B644" s="56" t="str">
        <x:v>비리디온</x:v>
      </x:c>
      <x:c r="C644" s="56" t="str">
        <x:v>virizion</x:v>
      </x:c>
      <x:c r="D644" s="56" t="str">
        <x:v>숲</x:v>
      </x:c>
      <x:c r="E644" s="56" t="str">
        <x:v>전설</x:v>
      </x:c>
      <x:c r="F644" s="56" t="str">
        <x:v>예</x:v>
      </x:c>
      <x:c r="G644" s="56" t="str">
        <x:v>아니오</x:v>
      </x:c>
      <x:c r="H644" s="56" t="str">
        <x:v>아니오</x:v>
      </x:c>
      <x:c r="I644" s="56" t="str">
        <x:v>전설</x:v>
      </x:c>
      <x:c r="J644" s="57" t="str">
        <x:v>—</x:v>
      </x:c>
      <x:c r="K644" s="57" t="str">
        <x:v>—</x:v>
      </x:c>
      <x:c r="L644" s="57" t="str">
        <x:v>—</x:v>
      </x:c>
      <x:c r="M644" s="57" t="str">
        <x:v>—</x:v>
      </x:c>
      <x:c r="N644" s="57" t="str">
        <x:v>포함</x:v>
      </x:c>
      <x:c r="O644" s="57" t="str">
        <x:v>—</x:v>
      </x:c>
      <x:c r="P644" s="57" t="str">
        <x:v>—</x:v>
      </x:c>
      <x:c r="Q644" s="57" t="str">
        <x:v>포함</x:v>
      </x:c>
      <x:c r="R644" s="57" t="str">
        <x:v>—</x:v>
      </x:c>
    </x:row>
    <x:row r="645">
      <x:c r="A645" s="60" t="n">
        <x:v>641</x:v>
      </x:c>
      <x:c r="B645" s="56" t="str">
        <x:v>토네로스</x:v>
      </x:c>
      <x:c r="C645" s="56" t="str">
        <x:v>tornadus</x:v>
      </x:c>
      <x:c r="D645" s="56" t="str">
        <x:v>해양</x:v>
      </x:c>
      <x:c r="E645" s="56" t="str">
        <x:v>전설</x:v>
      </x:c>
      <x:c r="F645" s="56" t="str">
        <x:v>예</x:v>
      </x:c>
      <x:c r="G645" s="56" t="str">
        <x:v>아니오</x:v>
      </x:c>
      <x:c r="H645" s="56" t="str">
        <x:v>아니오</x:v>
      </x:c>
      <x:c r="I645" s="56" t="str">
        <x:v>전설</x:v>
      </x:c>
      <x:c r="J645" s="57" t="str">
        <x:v>—</x:v>
      </x:c>
      <x:c r="K645" s="57" t="str">
        <x:v>—</x:v>
      </x:c>
      <x:c r="L645" s="57" t="str">
        <x:v>—</x:v>
      </x:c>
      <x:c r="M645" s="57" t="str">
        <x:v>—</x:v>
      </x:c>
      <x:c r="N645" s="57" t="str">
        <x:v>포함</x:v>
      </x:c>
      <x:c r="O645" s="57" t="str">
        <x:v>—</x:v>
      </x:c>
      <x:c r="P645" s="57" t="str">
        <x:v>—</x:v>
      </x:c>
      <x:c r="Q645" s="57" t="str">
        <x:v>—</x:v>
      </x:c>
      <x:c r="R645" s="57" t="str">
        <x:v>—</x:v>
      </x:c>
    </x:row>
    <x:row r="646">
      <x:c r="A646" s="60" t="n">
        <x:v>642</x:v>
      </x:c>
      <x:c r="B646" s="56" t="str">
        <x:v>볼트로스</x:v>
      </x:c>
      <x:c r="C646" s="56" t="str">
        <x:v>thundurus</x:v>
      </x:c>
      <x:c r="D646" s="56" t="str">
        <x:v>산악</x:v>
      </x:c>
      <x:c r="E646" s="56" t="str">
        <x:v>전설</x:v>
      </x:c>
      <x:c r="F646" s="56" t="str">
        <x:v>예</x:v>
      </x:c>
      <x:c r="G646" s="56" t="str">
        <x:v>아니오</x:v>
      </x:c>
      <x:c r="H646" s="56" t="str">
        <x:v>아니오</x:v>
      </x:c>
      <x:c r="I646" s="56" t="str">
        <x:v>전설</x:v>
      </x:c>
      <x:c r="J646" s="57" t="str">
        <x:v>—</x:v>
      </x:c>
      <x:c r="K646" s="57" t="str">
        <x:v>—</x:v>
      </x:c>
      <x:c r="L646" s="57" t="str">
        <x:v>—</x:v>
      </x:c>
      <x:c r="M646" s="57" t="str">
        <x:v>—</x:v>
      </x:c>
      <x:c r="N646" s="57" t="str">
        <x:v>포함</x:v>
      </x:c>
      <x:c r="O646" s="57" t="str">
        <x:v>—</x:v>
      </x:c>
      <x:c r="P646" s="57" t="str">
        <x:v>—</x:v>
      </x:c>
      <x:c r="Q646" s="57" t="str">
        <x:v>—</x:v>
      </x:c>
      <x:c r="R646" s="57" t="str">
        <x:v>—</x:v>
      </x:c>
    </x:row>
    <x:row r="647">
      <x:c r="A647" s="60" t="n">
        <x:v>643</x:v>
      </x:c>
      <x:c r="B647" s="56" t="str">
        <x:v>레시라무</x:v>
      </x:c>
      <x:c r="C647" s="56" t="str">
        <x:v>reshiram</x:v>
      </x:c>
      <x:c r="D647" s="56" t="str">
        <x:v>산악</x:v>
      </x:c>
      <x:c r="E647" s="56" t="str">
        <x:v>전설</x:v>
      </x:c>
      <x:c r="F647" s="56" t="str">
        <x:v>예</x:v>
      </x:c>
      <x:c r="G647" s="56" t="str">
        <x:v>아니오</x:v>
      </x:c>
      <x:c r="H647" s="56" t="str">
        <x:v>아니오</x:v>
      </x:c>
      <x:c r="I647" s="56" t="str">
        <x:v>전설</x:v>
      </x:c>
      <x:c r="J647" s="57" t="str">
        <x:v>—</x:v>
      </x:c>
      <x:c r="K647" s="57" t="str">
        <x:v>—</x:v>
      </x:c>
      <x:c r="L647" s="57" t="str">
        <x:v>—</x:v>
      </x:c>
      <x:c r="M647" s="57" t="str">
        <x:v>—</x:v>
      </x:c>
      <x:c r="N647" s="57" t="str">
        <x:v>포함</x:v>
      </x:c>
      <x:c r="O647" s="57" t="str">
        <x:v>—</x:v>
      </x:c>
      <x:c r="P647" s="57" t="str">
        <x:v>—</x:v>
      </x:c>
      <x:c r="Q647" s="57" t="str">
        <x:v>—</x:v>
      </x:c>
      <x:c r="R647" s="57" t="str">
        <x:v>—</x:v>
      </x:c>
    </x:row>
    <x:row r="648">
      <x:c r="A648" s="60" t="n">
        <x:v>644</x:v>
      </x:c>
      <x:c r="B648" s="56" t="str">
        <x:v>제크로무</x:v>
      </x:c>
      <x:c r="C648" s="56" t="str">
        <x:v>zekrom</x:v>
      </x:c>
      <x:c r="D648" s="56" t="str">
        <x:v>산악</x:v>
      </x:c>
      <x:c r="E648" s="56" t="str">
        <x:v>전설</x:v>
      </x:c>
      <x:c r="F648" s="56" t="str">
        <x:v>예</x:v>
      </x:c>
      <x:c r="G648" s="56" t="str">
        <x:v>아니오</x:v>
      </x:c>
      <x:c r="H648" s="56" t="str">
        <x:v>아니오</x:v>
      </x:c>
      <x:c r="I648" s="56" t="str">
        <x:v>전설</x:v>
      </x:c>
      <x:c r="J648" s="57" t="str">
        <x:v>—</x:v>
      </x:c>
      <x:c r="K648" s="57" t="str">
        <x:v>—</x:v>
      </x:c>
      <x:c r="L648" s="57" t="str">
        <x:v>—</x:v>
      </x:c>
      <x:c r="M648" s="57" t="str">
        <x:v>—</x:v>
      </x:c>
      <x:c r="N648" s="57" t="str">
        <x:v>포함</x:v>
      </x:c>
      <x:c r="O648" s="57" t="str">
        <x:v>—</x:v>
      </x:c>
      <x:c r="P648" s="57" t="str">
        <x:v>—</x:v>
      </x:c>
      <x:c r="Q648" s="57" t="str">
        <x:v>—</x:v>
      </x:c>
      <x:c r="R648" s="57" t="str">
        <x:v>—</x:v>
      </x:c>
    </x:row>
    <x:row r="649">
      <x:c r="A649" s="60" t="n">
        <x:v>645</x:v>
      </x:c>
      <x:c r="B649" s="56" t="str">
        <x:v>랜드로스</x:v>
      </x:c>
      <x:c r="C649" s="56" t="str">
        <x:v>landorus</x:v>
      </x:c>
      <x:c r="D649" s="56" t="str">
        <x:v>건조지</x:v>
      </x:c>
      <x:c r="E649" s="56" t="str">
        <x:v>전설</x:v>
      </x:c>
      <x:c r="F649" s="56" t="str">
        <x:v>예</x:v>
      </x:c>
      <x:c r="G649" s="56" t="str">
        <x:v>아니오</x:v>
      </x:c>
      <x:c r="H649" s="56" t="str">
        <x:v>아니오</x:v>
      </x:c>
      <x:c r="I649" s="56" t="str">
        <x:v>전설</x:v>
      </x:c>
      <x:c r="J649" s="57" t="str">
        <x:v>—</x:v>
      </x:c>
      <x:c r="K649" s="57" t="str">
        <x:v>—</x:v>
      </x:c>
      <x:c r="L649" s="57" t="str">
        <x:v>—</x:v>
      </x:c>
      <x:c r="M649" s="57" t="str">
        <x:v>—</x:v>
      </x:c>
      <x:c r="N649" s="57" t="str">
        <x:v>포함</x:v>
      </x:c>
      <x:c r="O649" s="57" t="str">
        <x:v>—</x:v>
      </x:c>
      <x:c r="P649" s="57" t="str">
        <x:v>—</x:v>
      </x:c>
      <x:c r="Q649" s="57" t="str">
        <x:v>—</x:v>
      </x:c>
      <x:c r="R649" s="57" t="str">
        <x:v>—</x:v>
      </x:c>
    </x:row>
    <x:row r="650">
      <x:c r="A650" s="60" t="n">
        <x:v>646</x:v>
      </x:c>
      <x:c r="B650" s="56" t="str">
        <x:v>큐레무</x:v>
      </x:c>
      <x:c r="C650" s="56" t="str">
        <x:v>kyurem</x:v>
      </x:c>
      <x:c r="D650" s="56" t="str">
        <x:v>설원</x:v>
      </x:c>
      <x:c r="E650" s="56" t="str">
        <x:v>전설</x:v>
      </x:c>
      <x:c r="F650" s="56" t="str">
        <x:v>예</x:v>
      </x:c>
      <x:c r="G650" s="56" t="str">
        <x:v>아니오</x:v>
      </x:c>
      <x:c r="H650" s="56" t="str">
        <x:v>아니오</x:v>
      </x:c>
      <x:c r="I650" s="56" t="str">
        <x:v>전설</x:v>
      </x:c>
      <x:c r="J650" s="57" t="str">
        <x:v>—</x:v>
      </x:c>
      <x:c r="K650" s="57" t="str">
        <x:v>—</x:v>
      </x:c>
      <x:c r="L650" s="57" t="str">
        <x:v>—</x:v>
      </x:c>
      <x:c r="M650" s="57" t="str">
        <x:v>—</x:v>
      </x:c>
      <x:c r="N650" s="57" t="str">
        <x:v>포함</x:v>
      </x:c>
      <x:c r="O650" s="57" t="str">
        <x:v>—</x:v>
      </x:c>
      <x:c r="P650" s="57" t="str">
        <x:v>—</x:v>
      </x:c>
      <x:c r="Q650" s="57" t="str">
        <x:v>—</x:v>
      </x:c>
      <x:c r="R650" s="57" t="str">
        <x:v>—</x:v>
      </x:c>
    </x:row>
    <x:row r="651">
      <x:c r="A651" s="60" t="n">
        <x:v>647</x:v>
      </x:c>
      <x:c r="B651" s="56" t="str">
        <x:v>케르디오</x:v>
      </x:c>
      <x:c r="C651" s="56" t="str">
        <x:v>keldeo</x:v>
      </x:c>
      <x:c r="D651" s="56" t="str">
        <x:v>숲</x:v>
      </x:c>
      <x:c r="E651" s="56" t="str">
        <x:v>전설</x:v>
      </x:c>
      <x:c r="F651" s="56" t="str">
        <x:v>아니오</x:v>
      </x:c>
      <x:c r="G651" s="56" t="str">
        <x:v>예</x:v>
      </x:c>
      <x:c r="H651" s="56" t="str">
        <x:v>아니오</x:v>
      </x:c>
      <x:c r="I651" s="56" t="str">
        <x:v>환상</x:v>
      </x:c>
      <x:c r="J651" s="57" t="str">
        <x:v>—</x:v>
      </x:c>
      <x:c r="K651" s="57" t="str">
        <x:v>—</x:v>
      </x:c>
      <x:c r="L651" s="57" t="str">
        <x:v>—</x:v>
      </x:c>
      <x:c r="M651" s="57" t="str">
        <x:v>—</x:v>
      </x:c>
      <x:c r="N651" s="57" t="str">
        <x:v>포함</x:v>
      </x:c>
      <x:c r="O651" s="57" t="str">
        <x:v>—</x:v>
      </x:c>
      <x:c r="P651" s="57" t="str">
        <x:v>—</x:v>
      </x:c>
      <x:c r="Q651" s="57" t="str">
        <x:v>—</x:v>
      </x:c>
      <x:c r="R651" s="57" t="str">
        <x:v>—</x:v>
      </x:c>
    </x:row>
    <x:row r="652">
      <x:c r="A652" s="60" t="n">
        <x:v>648</x:v>
      </x:c>
      <x:c r="B652" s="56" t="str">
        <x:v>메로엣타</x:v>
      </x:c>
      <x:c r="C652" s="56" t="str">
        <x:v>meloetta</x:v>
      </x:c>
      <x:c r="D652" s="56" t="str">
        <x:v>평원</x:v>
      </x:c>
      <x:c r="E652" s="56" t="str">
        <x:v>전설</x:v>
      </x:c>
      <x:c r="F652" s="56" t="str">
        <x:v>아니오</x:v>
      </x:c>
      <x:c r="G652" s="56" t="str">
        <x:v>예</x:v>
      </x:c>
      <x:c r="H652" s="56" t="str">
        <x:v>아니오</x:v>
      </x:c>
      <x:c r="I652" s="56" t="str">
        <x:v>환상</x:v>
      </x:c>
      <x:c r="J652" s="57" t="str">
        <x:v>—</x:v>
      </x:c>
      <x:c r="K652" s="57" t="str">
        <x:v>—</x:v>
      </x:c>
      <x:c r="L652" s="57" t="str">
        <x:v>—</x:v>
      </x:c>
      <x:c r="M652" s="57" t="str">
        <x:v>—</x:v>
      </x:c>
      <x:c r="N652" s="57" t="str">
        <x:v>포함</x:v>
      </x:c>
      <x:c r="O652" s="57" t="str">
        <x:v>—</x:v>
      </x:c>
      <x:c r="P652" s="57" t="str">
        <x:v>—</x:v>
      </x:c>
      <x:c r="Q652" s="57" t="str">
        <x:v>—</x:v>
      </x:c>
      <x:c r="R652" s="57" t="str">
        <x:v>—</x:v>
      </x:c>
    </x:row>
    <x:row r="653">
      <x:c r="A653" s="60" t="n">
        <x:v>649</x:v>
      </x:c>
      <x:c r="B653" s="56" t="str">
        <x:v>게노세크트</x:v>
      </x:c>
      <x:c r="C653" s="56" t="str">
        <x:v>genesect</x:v>
      </x:c>
      <x:c r="D653" s="56" t="str">
        <x:v>동굴</x:v>
      </x:c>
      <x:c r="E653" s="56" t="str">
        <x:v>전설</x:v>
      </x:c>
      <x:c r="F653" s="56" t="str">
        <x:v>아니오</x:v>
      </x:c>
      <x:c r="G653" s="56" t="str">
        <x:v>예</x:v>
      </x:c>
      <x:c r="H653" s="56" t="str">
        <x:v>아니오</x:v>
      </x:c>
      <x:c r="I653" s="56" t="str">
        <x:v>환상</x:v>
      </x:c>
      <x:c r="J653" s="57" t="str">
        <x:v>—</x:v>
      </x:c>
      <x:c r="K653" s="57" t="str">
        <x:v>—</x:v>
      </x:c>
      <x:c r="L653" s="57" t="str">
        <x:v>—</x:v>
      </x:c>
      <x:c r="M653" s="57" t="str">
        <x:v>—</x:v>
      </x:c>
      <x:c r="N653" s="57" t="str">
        <x:v>포함</x:v>
      </x:c>
      <x:c r="O653" s="57" t="str">
        <x:v>—</x:v>
      </x:c>
      <x:c r="P653" s="57" t="str">
        <x:v>—</x:v>
      </x:c>
      <x:c r="Q653" s="57" t="str">
        <x:v>—</x:v>
      </x:c>
      <x:c r="R653" s="57" t="str">
        <x:v>—</x:v>
      </x:c>
    </x:row>
    <x:row r="654">
      <x:c r="A654" s="60" t="n">
        <x:v>650</x:v>
      </x:c>
      <x:c r="B654" s="56" t="str">
        <x:v>도치마론</x:v>
      </x:c>
      <x:c r="C654" s="56" t="str">
        <x:v>chespin</x:v>
      </x:c>
      <x:c r="D654" s="56" t="str">
        <x:v>숲</x:v>
      </x:c>
      <x:c r="E654" s="56" t="str">
        <x:v>희귀</x:v>
      </x:c>
      <x:c r="F654" s="56" t="str">
        <x:v>아니오</x:v>
      </x:c>
      <x:c r="G654" s="56" t="str">
        <x:v>아니오</x:v>
      </x:c>
      <x:c r="H654" s="56" t="str">
        <x:v>예</x:v>
      </x:c>
      <x:c r="I654" s="56" t="str">
        <x:v>—</x:v>
      </x:c>
      <x:c r="J654" s="57" t="str">
        <x:v>—</x:v>
      </x:c>
      <x:c r="K654" s="57" t="str">
        <x:v>—</x:v>
      </x:c>
      <x:c r="L654" s="57" t="str">
        <x:v>—</x:v>
      </x:c>
      <x:c r="M654" s="57" t="str">
        <x:v>—</x:v>
      </x:c>
      <x:c r="N654" s="57" t="str">
        <x:v>—</x:v>
      </x:c>
      <x:c r="O654" s="57" t="str">
        <x:v>포함</x:v>
      </x:c>
      <x:c r="P654" s="57" t="str">
        <x:v>—</x:v>
      </x:c>
      <x:c r="Q654" s="57" t="str">
        <x:v>—</x:v>
      </x:c>
      <x:c r="R654" s="57" t="str">
        <x:v>포함</x:v>
      </x:c>
    </x:row>
    <x:row r="655">
      <x:c r="A655" s="60" t="n">
        <x:v>651</x:v>
      </x:c>
      <x:c r="B655" s="56" t="str">
        <x:v>도치보구</x:v>
      </x:c>
      <x:c r="C655" s="56" t="str">
        <x:v>quilladin</x:v>
      </x:c>
      <x:c r="D655" s="56" t="str">
        <x:v>숲</x:v>
      </x:c>
      <x:c r="E655" s="56" t="str">
        <x:v>희귀</x:v>
      </x:c>
      <x:c r="F655" s="56" t="str">
        <x:v>아니오</x:v>
      </x:c>
      <x:c r="G655" s="56" t="str">
        <x:v>아니오</x:v>
      </x:c>
      <x:c r="H655" s="56" t="str">
        <x:v>예</x:v>
      </x:c>
      <x:c r="I655" s="56" t="str">
        <x:v>—</x:v>
      </x:c>
      <x:c r="J655" s="57" t="str">
        <x:v>—</x:v>
      </x:c>
      <x:c r="K655" s="57" t="str">
        <x:v>—</x:v>
      </x:c>
      <x:c r="L655" s="57" t="str">
        <x:v>—</x:v>
      </x:c>
      <x:c r="M655" s="57" t="str">
        <x:v>—</x:v>
      </x:c>
      <x:c r="N655" s="57" t="str">
        <x:v>—</x:v>
      </x:c>
      <x:c r="O655" s="57" t="str">
        <x:v>포함</x:v>
      </x:c>
      <x:c r="P655" s="57" t="str">
        <x:v>—</x:v>
      </x:c>
      <x:c r="Q655" s="57" t="str">
        <x:v>—</x:v>
      </x:c>
      <x:c r="R655" s="57" t="str">
        <x:v>포함</x:v>
      </x:c>
    </x:row>
    <x:row r="656">
      <x:c r="A656" s="60" t="n">
        <x:v>652</x:v>
      </x:c>
      <x:c r="B656" s="56" t="str">
        <x:v>브리가론</x:v>
      </x:c>
      <x:c r="C656" s="56" t="str">
        <x:v>chesnaught</x:v>
      </x:c>
      <x:c r="D656" s="56" t="str">
        <x:v>숲</x:v>
      </x:c>
      <x:c r="E656" s="56" t="str">
        <x:v>희귀</x:v>
      </x:c>
      <x:c r="F656" s="56" t="str">
        <x:v>아니오</x:v>
      </x:c>
      <x:c r="G656" s="56" t="str">
        <x:v>아니오</x:v>
      </x:c>
      <x:c r="H656" s="56" t="str">
        <x:v>예</x:v>
      </x:c>
      <x:c r="I656" s="56" t="str">
        <x:v>—</x:v>
      </x:c>
      <x:c r="J656" s="57" t="str">
        <x:v>—</x:v>
      </x:c>
      <x:c r="K656" s="57" t="str">
        <x:v>—</x:v>
      </x:c>
      <x:c r="L656" s="57" t="str">
        <x:v>—</x:v>
      </x:c>
      <x:c r="M656" s="57" t="str">
        <x:v>—</x:v>
      </x:c>
      <x:c r="N656" s="57" t="str">
        <x:v>—</x:v>
      </x:c>
      <x:c r="O656" s="57" t="str">
        <x:v>포함</x:v>
      </x:c>
      <x:c r="P656" s="57" t="str">
        <x:v>—</x:v>
      </x:c>
      <x:c r="Q656" s="57" t="str">
        <x:v>—</x:v>
      </x:c>
      <x:c r="R656" s="57" t="str">
        <x:v>포함</x:v>
      </x:c>
    </x:row>
    <x:row r="657">
      <x:c r="A657" s="60" t="n">
        <x:v>653</x:v>
      </x:c>
      <x:c r="B657" s="56" t="str">
        <x:v>푸호꼬</x:v>
      </x:c>
      <x:c r="C657" s="56" t="str">
        <x:v>fennekin</x:v>
      </x:c>
      <x:c r="D657" s="56" t="str">
        <x:v>건조지</x:v>
      </x:c>
      <x:c r="E657" s="56" t="str">
        <x:v>희귀</x:v>
      </x:c>
      <x:c r="F657" s="56" t="str">
        <x:v>아니오</x:v>
      </x:c>
      <x:c r="G657" s="56" t="str">
        <x:v>아니오</x:v>
      </x:c>
      <x:c r="H657" s="56" t="str">
        <x:v>예</x:v>
      </x:c>
      <x:c r="I657" s="56" t="str">
        <x:v>—</x:v>
      </x:c>
      <x:c r="J657" s="57" t="str">
        <x:v>—</x:v>
      </x:c>
      <x:c r="K657" s="57" t="str">
        <x:v>—</x:v>
      </x:c>
      <x:c r="L657" s="57" t="str">
        <x:v>—</x:v>
      </x:c>
      <x:c r="M657" s="57" t="str">
        <x:v>—</x:v>
      </x:c>
      <x:c r="N657" s="57" t="str">
        <x:v>—</x:v>
      </x:c>
      <x:c r="O657" s="57" t="str">
        <x:v>포함</x:v>
      </x:c>
      <x:c r="P657" s="57" t="str">
        <x:v>—</x:v>
      </x:c>
      <x:c r="Q657" s="57" t="str">
        <x:v>—</x:v>
      </x:c>
      <x:c r="R657" s="57" t="str">
        <x:v>포함</x:v>
      </x:c>
    </x:row>
    <x:row r="658">
      <x:c r="A658" s="60" t="n">
        <x:v>654</x:v>
      </x:c>
      <x:c r="B658" s="56" t="str">
        <x:v>테르나</x:v>
      </x:c>
      <x:c r="C658" s="56" t="str">
        <x:v>braixen</x:v>
      </x:c>
      <x:c r="D658" s="56" t="str">
        <x:v>건조지</x:v>
      </x:c>
      <x:c r="E658" s="56" t="str">
        <x:v>희귀</x:v>
      </x:c>
      <x:c r="F658" s="56" t="str">
        <x:v>아니오</x:v>
      </x:c>
      <x:c r="G658" s="56" t="str">
        <x:v>아니오</x:v>
      </x:c>
      <x:c r="H658" s="56" t="str">
        <x:v>예</x:v>
      </x:c>
      <x:c r="I658" s="56" t="str">
        <x:v>—</x:v>
      </x:c>
      <x:c r="J658" s="57" t="str">
        <x:v>—</x:v>
      </x:c>
      <x:c r="K658" s="57" t="str">
        <x:v>—</x:v>
      </x:c>
      <x:c r="L658" s="57" t="str">
        <x:v>—</x:v>
      </x:c>
      <x:c r="M658" s="57" t="str">
        <x:v>—</x:v>
      </x:c>
      <x:c r="N658" s="57" t="str">
        <x:v>—</x:v>
      </x:c>
      <x:c r="O658" s="57" t="str">
        <x:v>포함</x:v>
      </x:c>
      <x:c r="P658" s="57" t="str">
        <x:v>—</x:v>
      </x:c>
      <x:c r="Q658" s="57" t="str">
        <x:v>—</x:v>
      </x:c>
      <x:c r="R658" s="57" t="str">
        <x:v>포함</x:v>
      </x:c>
    </x:row>
    <x:row r="659">
      <x:c r="A659" s="60" t="n">
        <x:v>655</x:v>
      </x:c>
      <x:c r="B659" s="56" t="str">
        <x:v>마폭시</x:v>
      </x:c>
      <x:c r="C659" s="56" t="str">
        <x:v>delphox</x:v>
      </x:c>
      <x:c r="D659" s="56" t="str">
        <x:v>건조지</x:v>
      </x:c>
      <x:c r="E659" s="56" t="str">
        <x:v>희귀</x:v>
      </x:c>
      <x:c r="F659" s="56" t="str">
        <x:v>아니오</x:v>
      </x:c>
      <x:c r="G659" s="56" t="str">
        <x:v>아니오</x:v>
      </x:c>
      <x:c r="H659" s="56" t="str">
        <x:v>예</x:v>
      </x:c>
      <x:c r="I659" s="56" t="str">
        <x:v>—</x:v>
      </x:c>
      <x:c r="J659" s="57" t="str">
        <x:v>—</x:v>
      </x:c>
      <x:c r="K659" s="57" t="str">
        <x:v>—</x:v>
      </x:c>
      <x:c r="L659" s="57" t="str">
        <x:v>—</x:v>
      </x:c>
      <x:c r="M659" s="57" t="str">
        <x:v>—</x:v>
      </x:c>
      <x:c r="N659" s="57" t="str">
        <x:v>—</x:v>
      </x:c>
      <x:c r="O659" s="57" t="str">
        <x:v>포함</x:v>
      </x:c>
      <x:c r="P659" s="57" t="str">
        <x:v>—</x:v>
      </x:c>
      <x:c r="Q659" s="57" t="str">
        <x:v>—</x:v>
      </x:c>
      <x:c r="R659" s="57" t="str">
        <x:v>포함</x:v>
      </x:c>
    </x:row>
    <x:row r="660">
      <x:c r="A660" s="60" t="n">
        <x:v>656</x:v>
      </x:c>
      <x:c r="B660" s="56" t="str">
        <x:v>개구마르</x:v>
      </x:c>
      <x:c r="C660" s="56" t="str">
        <x:v>froakie</x:v>
      </x:c>
      <x:c r="D660" s="56" t="str">
        <x:v>담수</x:v>
      </x:c>
      <x:c r="E660" s="56" t="str">
        <x:v>희귀</x:v>
      </x:c>
      <x:c r="F660" s="56" t="str">
        <x:v>아니오</x:v>
      </x:c>
      <x:c r="G660" s="56" t="str">
        <x:v>아니오</x:v>
      </x:c>
      <x:c r="H660" s="56" t="str">
        <x:v>예</x:v>
      </x:c>
      <x:c r="I660" s="56" t="str">
        <x:v>—</x:v>
      </x:c>
      <x:c r="J660" s="57" t="str">
        <x:v>—</x:v>
      </x:c>
      <x:c r="K660" s="57" t="str">
        <x:v>—</x:v>
      </x:c>
      <x:c r="L660" s="57" t="str">
        <x:v>—</x:v>
      </x:c>
      <x:c r="M660" s="57" t="str">
        <x:v>—</x:v>
      </x:c>
      <x:c r="N660" s="57" t="str">
        <x:v>—</x:v>
      </x:c>
      <x:c r="O660" s="57" t="str">
        <x:v>포함</x:v>
      </x:c>
      <x:c r="P660" s="57" t="str">
        <x:v>—</x:v>
      </x:c>
      <x:c r="Q660" s="57" t="str">
        <x:v>—</x:v>
      </x:c>
      <x:c r="R660" s="57" t="str">
        <x:v>포함</x:v>
      </x:c>
    </x:row>
    <x:row r="661">
      <x:c r="A661" s="60" t="n">
        <x:v>657</x:v>
      </x:c>
      <x:c r="B661" s="56" t="str">
        <x:v>개굴반장</x:v>
      </x:c>
      <x:c r="C661" s="56" t="str">
        <x:v>frogadier</x:v>
      </x:c>
      <x:c r="D661" s="56" t="str">
        <x:v>담수</x:v>
      </x:c>
      <x:c r="E661" s="56" t="str">
        <x:v>희귀</x:v>
      </x:c>
      <x:c r="F661" s="56" t="str">
        <x:v>아니오</x:v>
      </x:c>
      <x:c r="G661" s="56" t="str">
        <x:v>아니오</x:v>
      </x:c>
      <x:c r="H661" s="56" t="str">
        <x:v>예</x:v>
      </x:c>
      <x:c r="I661" s="56" t="str">
        <x:v>—</x:v>
      </x:c>
      <x:c r="J661" s="57" t="str">
        <x:v>—</x:v>
      </x:c>
      <x:c r="K661" s="57" t="str">
        <x:v>—</x:v>
      </x:c>
      <x:c r="L661" s="57" t="str">
        <x:v>—</x:v>
      </x:c>
      <x:c r="M661" s="57" t="str">
        <x:v>—</x:v>
      </x:c>
      <x:c r="N661" s="57" t="str">
        <x:v>—</x:v>
      </x:c>
      <x:c r="O661" s="57" t="str">
        <x:v>포함</x:v>
      </x:c>
      <x:c r="P661" s="57" t="str">
        <x:v>—</x:v>
      </x:c>
      <x:c r="Q661" s="57" t="str">
        <x:v>—</x:v>
      </x:c>
      <x:c r="R661" s="57" t="str">
        <x:v>포함</x:v>
      </x:c>
    </x:row>
    <x:row r="662">
      <x:c r="A662" s="60" t="n">
        <x:v>658</x:v>
      </x:c>
      <x:c r="B662" s="56" t="str">
        <x:v>개굴닌자</x:v>
      </x:c>
      <x:c r="C662" s="56" t="str">
        <x:v>greninja</x:v>
      </x:c>
      <x:c r="D662" s="56" t="str">
        <x:v>담수</x:v>
      </x:c>
      <x:c r="E662" s="56" t="str">
        <x:v>희귀</x:v>
      </x:c>
      <x:c r="F662" s="56" t="str">
        <x:v>아니오</x:v>
      </x:c>
      <x:c r="G662" s="56" t="str">
        <x:v>아니오</x:v>
      </x:c>
      <x:c r="H662" s="56" t="str">
        <x:v>예</x:v>
      </x:c>
      <x:c r="I662" s="56" t="str">
        <x:v>—</x:v>
      </x:c>
      <x:c r="J662" s="57" t="str">
        <x:v>—</x:v>
      </x:c>
      <x:c r="K662" s="57" t="str">
        <x:v>—</x:v>
      </x:c>
      <x:c r="L662" s="57" t="str">
        <x:v>—</x:v>
      </x:c>
      <x:c r="M662" s="57" t="str">
        <x:v>—</x:v>
      </x:c>
      <x:c r="N662" s="57" t="str">
        <x:v>—</x:v>
      </x:c>
      <x:c r="O662" s="57" t="str">
        <x:v>포함</x:v>
      </x:c>
      <x:c r="P662" s="57" t="str">
        <x:v>—</x:v>
      </x:c>
      <x:c r="Q662" s="57" t="str">
        <x:v>—</x:v>
      </x:c>
      <x:c r="R662" s="57" t="str">
        <x:v>포함</x:v>
      </x:c>
    </x:row>
    <x:row r="663">
      <x:c r="A663" s="60" t="n">
        <x:v>659</x:v>
      </x:c>
      <x:c r="B663" s="56" t="str">
        <x:v>파르빗</x:v>
      </x:c>
      <x:c r="C663" s="56" t="str">
        <x:v>bunnelby</x:v>
      </x:c>
      <x:c r="D663" s="56" t="str">
        <x:v>산악</x:v>
      </x:c>
      <x:c r="E663" s="56" t="str">
        <x:v>흔함</x:v>
      </x:c>
      <x:c r="F663" s="56" t="str">
        <x:v>아니오</x:v>
      </x:c>
      <x:c r="G663" s="56" t="str">
        <x:v>아니오</x:v>
      </x:c>
      <x:c r="H663" s="56" t="str">
        <x:v>예</x:v>
      </x:c>
      <x:c r="I663" s="56" t="str">
        <x:v>—</x:v>
      </x:c>
      <x:c r="J663" s="57" t="str">
        <x:v>—</x:v>
      </x:c>
      <x:c r="K663" s="57" t="str">
        <x:v>—</x:v>
      </x:c>
      <x:c r="L663" s="57" t="str">
        <x:v>—</x:v>
      </x:c>
      <x:c r="M663" s="57" t="str">
        <x:v>—</x:v>
      </x:c>
      <x:c r="N663" s="57" t="str">
        <x:v>—</x:v>
      </x:c>
      <x:c r="O663" s="57" t="str">
        <x:v>포함</x:v>
      </x:c>
      <x:c r="P663" s="57" t="str">
        <x:v>—</x:v>
      </x:c>
      <x:c r="Q663" s="57" t="str">
        <x:v>포함</x:v>
      </x:c>
      <x:c r="R663" s="57" t="str">
        <x:v>—</x:v>
      </x:c>
    </x:row>
    <x:row r="664">
      <x:c r="A664" s="60" t="n">
        <x:v>660</x:v>
      </x:c>
      <x:c r="B664" s="56" t="str">
        <x:v>파르토</x:v>
      </x:c>
      <x:c r="C664" s="56" t="str">
        <x:v>diggersby</x:v>
      </x:c>
      <x:c r="D664" s="56" t="str">
        <x:v>산악</x:v>
      </x:c>
      <x:c r="E664" s="56" t="str">
        <x:v>흔함</x:v>
      </x:c>
      <x:c r="F664" s="56" t="str">
        <x:v>아니오</x:v>
      </x:c>
      <x:c r="G664" s="56" t="str">
        <x:v>아니오</x:v>
      </x:c>
      <x:c r="H664" s="56" t="str">
        <x:v>예</x:v>
      </x:c>
      <x:c r="I664" s="56" t="str">
        <x:v>—</x:v>
      </x:c>
      <x:c r="J664" s="57" t="str">
        <x:v>—</x:v>
      </x:c>
      <x:c r="K664" s="57" t="str">
        <x:v>—</x:v>
      </x:c>
      <x:c r="L664" s="57" t="str">
        <x:v>—</x:v>
      </x:c>
      <x:c r="M664" s="57" t="str">
        <x:v>—</x:v>
      </x:c>
      <x:c r="N664" s="57" t="str">
        <x:v>—</x:v>
      </x:c>
      <x:c r="O664" s="57" t="str">
        <x:v>포함</x:v>
      </x:c>
      <x:c r="P664" s="57" t="str">
        <x:v>—</x:v>
      </x:c>
      <x:c r="Q664" s="57" t="str">
        <x:v>포함</x:v>
      </x:c>
      <x:c r="R664" s="57" t="str">
        <x:v>—</x:v>
      </x:c>
    </x:row>
    <x:row r="665">
      <x:c r="A665" s="60" t="n">
        <x:v>661</x:v>
      </x:c>
      <x:c r="B665" s="56" t="str">
        <x:v>화살꼬빈</x:v>
      </x:c>
      <x:c r="C665" s="56" t="str">
        <x:v>fletchling</x:v>
      </x:c>
      <x:c r="D665" s="56" t="str">
        <x:v>숲</x:v>
      </x:c>
      <x:c r="E665" s="56" t="str">
        <x:v>흔함</x:v>
      </x:c>
      <x:c r="F665" s="56" t="str">
        <x:v>아니오</x:v>
      </x:c>
      <x:c r="G665" s="56" t="str">
        <x:v>아니오</x:v>
      </x:c>
      <x:c r="H665" s="56" t="str">
        <x:v>예</x:v>
      </x:c>
      <x:c r="I665" s="56" t="str">
        <x:v>—</x:v>
      </x:c>
      <x:c r="J665" s="57" t="str">
        <x:v>—</x:v>
      </x:c>
      <x:c r="K665" s="57" t="str">
        <x:v>—</x:v>
      </x:c>
      <x:c r="L665" s="57" t="str">
        <x:v>—</x:v>
      </x:c>
      <x:c r="M665" s="57" t="str">
        <x:v>—</x:v>
      </x:c>
      <x:c r="N665" s="57" t="str">
        <x:v>—</x:v>
      </x:c>
      <x:c r="O665" s="57" t="str">
        <x:v>포함</x:v>
      </x:c>
      <x:c r="P665" s="57" t="str">
        <x:v>포함</x:v>
      </x:c>
      <x:c r="Q665" s="57" t="str">
        <x:v>포함</x:v>
      </x:c>
      <x:c r="R665" s="57" t="str">
        <x:v>포함</x:v>
      </x:c>
    </x:row>
    <x:row r="666">
      <x:c r="A666" s="60" t="n">
        <x:v>662</x:v>
      </x:c>
      <x:c r="B666" s="56" t="str">
        <x:v>불화살빈</x:v>
      </x:c>
      <x:c r="C666" s="56" t="str">
        <x:v>fletchinder</x:v>
      </x:c>
      <x:c r="D666" s="56" t="str">
        <x:v>숲</x:v>
      </x:c>
      <x:c r="E666" s="56" t="str">
        <x:v>흔함</x:v>
      </x:c>
      <x:c r="F666" s="56" t="str">
        <x:v>아니오</x:v>
      </x:c>
      <x:c r="G666" s="56" t="str">
        <x:v>아니오</x:v>
      </x:c>
      <x:c r="H666" s="56" t="str">
        <x:v>예</x:v>
      </x:c>
      <x:c r="I666" s="56" t="str">
        <x:v>—</x:v>
      </x:c>
      <x:c r="J666" s="57" t="str">
        <x:v>—</x:v>
      </x:c>
      <x:c r="K666" s="57" t="str">
        <x:v>—</x:v>
      </x:c>
      <x:c r="L666" s="57" t="str">
        <x:v>—</x:v>
      </x:c>
      <x:c r="M666" s="57" t="str">
        <x:v>—</x:v>
      </x:c>
      <x:c r="N666" s="57" t="str">
        <x:v>—</x:v>
      </x:c>
      <x:c r="O666" s="57" t="str">
        <x:v>포함</x:v>
      </x:c>
      <x:c r="P666" s="57" t="str">
        <x:v>포함</x:v>
      </x:c>
      <x:c r="Q666" s="57" t="str">
        <x:v>포함</x:v>
      </x:c>
      <x:c r="R666" s="57" t="str">
        <x:v>포함</x:v>
      </x:c>
    </x:row>
    <x:row r="667">
      <x:c r="A667" s="60" t="n">
        <x:v>663</x:v>
      </x:c>
      <x:c r="B667" s="56" t="str">
        <x:v>파이어로</x:v>
      </x:c>
      <x:c r="C667" s="56" t="str">
        <x:v>talonflame</x:v>
      </x:c>
      <x:c r="D667" s="56" t="str">
        <x:v>숲</x:v>
      </x:c>
      <x:c r="E667" s="56" t="str">
        <x:v>흔함</x:v>
      </x:c>
      <x:c r="F667" s="56" t="str">
        <x:v>아니오</x:v>
      </x:c>
      <x:c r="G667" s="56" t="str">
        <x:v>아니오</x:v>
      </x:c>
      <x:c r="H667" s="56" t="str">
        <x:v>예</x:v>
      </x:c>
      <x:c r="I667" s="56" t="str">
        <x:v>—</x:v>
      </x:c>
      <x:c r="J667" s="57" t="str">
        <x:v>—</x:v>
      </x:c>
      <x:c r="K667" s="57" t="str">
        <x:v>—</x:v>
      </x:c>
      <x:c r="L667" s="57" t="str">
        <x:v>—</x:v>
      </x:c>
      <x:c r="M667" s="57" t="str">
        <x:v>—</x:v>
      </x:c>
      <x:c r="N667" s="57" t="str">
        <x:v>—</x:v>
      </x:c>
      <x:c r="O667" s="57" t="str">
        <x:v>포함</x:v>
      </x:c>
      <x:c r="P667" s="57" t="str">
        <x:v>포함</x:v>
      </x:c>
      <x:c r="Q667" s="57" t="str">
        <x:v>포함</x:v>
      </x:c>
      <x:c r="R667" s="57" t="str">
        <x:v>포함</x:v>
      </x:c>
    </x:row>
    <x:row r="668">
      <x:c r="A668" s="60" t="n">
        <x:v>664</x:v>
      </x:c>
      <x:c r="B668" s="56" t="str">
        <x:v>분이벌레</x:v>
      </x:c>
      <x:c r="C668" s="56" t="str">
        <x:v>scatterbug</x:v>
      </x:c>
      <x:c r="D668" s="56" t="str">
        <x:v>평원</x:v>
      </x:c>
      <x:c r="E668" s="56" t="str">
        <x:v>흔함</x:v>
      </x:c>
      <x:c r="F668" s="56" t="str">
        <x:v>아니오</x:v>
      </x:c>
      <x:c r="G668" s="56" t="str">
        <x:v>아니오</x:v>
      </x:c>
      <x:c r="H668" s="56" t="str">
        <x:v>예</x:v>
      </x:c>
      <x:c r="I668" s="56" t="str">
        <x:v>—</x:v>
      </x:c>
      <x:c r="J668" s="57" t="str">
        <x:v>—</x:v>
      </x:c>
      <x:c r="K668" s="57" t="str">
        <x:v>—</x:v>
      </x:c>
      <x:c r="L668" s="57" t="str">
        <x:v>—</x:v>
      </x:c>
      <x:c r="M668" s="57" t="str">
        <x:v>—</x:v>
      </x:c>
      <x:c r="N668" s="57" t="str">
        <x:v>—</x:v>
      </x:c>
      <x:c r="O668" s="57" t="str">
        <x:v>포함</x:v>
      </x:c>
      <x:c r="P668" s="57" t="str">
        <x:v>—</x:v>
      </x:c>
      <x:c r="Q668" s="57" t="str">
        <x:v>—</x:v>
      </x:c>
      <x:c r="R668" s="57" t="str">
        <x:v>포함</x:v>
      </x:c>
    </x:row>
    <x:row r="669">
      <x:c r="A669" s="60" t="n">
        <x:v>665</x:v>
      </x:c>
      <x:c r="B669" s="56" t="str">
        <x:v>분떠도리</x:v>
      </x:c>
      <x:c r="C669" s="56" t="str">
        <x:v>spewpa</x:v>
      </x:c>
      <x:c r="D669" s="56" t="str">
        <x:v>평원</x:v>
      </x:c>
      <x:c r="E669" s="56" t="str">
        <x:v>흔함</x:v>
      </x:c>
      <x:c r="F669" s="56" t="str">
        <x:v>아니오</x:v>
      </x:c>
      <x:c r="G669" s="56" t="str">
        <x:v>아니오</x:v>
      </x:c>
      <x:c r="H669" s="56" t="str">
        <x:v>예</x:v>
      </x:c>
      <x:c r="I669" s="56" t="str">
        <x:v>—</x:v>
      </x:c>
      <x:c r="J669" s="57" t="str">
        <x:v>—</x:v>
      </x:c>
      <x:c r="K669" s="57" t="str">
        <x:v>—</x:v>
      </x:c>
      <x:c r="L669" s="57" t="str">
        <x:v>—</x:v>
      </x:c>
      <x:c r="M669" s="57" t="str">
        <x:v>—</x:v>
      </x:c>
      <x:c r="N669" s="57" t="str">
        <x:v>—</x:v>
      </x:c>
      <x:c r="O669" s="57" t="str">
        <x:v>포함</x:v>
      </x:c>
      <x:c r="P669" s="57" t="str">
        <x:v>—</x:v>
      </x:c>
      <x:c r="Q669" s="57" t="str">
        <x:v>—</x:v>
      </x:c>
      <x:c r="R669" s="57" t="str">
        <x:v>포함</x:v>
      </x:c>
    </x:row>
    <x:row r="670">
      <x:c r="A670" s="60" t="n">
        <x:v>666</x:v>
      </x:c>
      <x:c r="B670" s="56" t="str">
        <x:v>비비용</x:v>
      </x:c>
      <x:c r="C670" s="56" t="str">
        <x:v>vivillon</x:v>
      </x:c>
      <x:c r="D670" s="56" t="str">
        <x:v>해양</x:v>
      </x:c>
      <x:c r="E670" s="56" t="str">
        <x:v>흔함</x:v>
      </x:c>
      <x:c r="F670" s="56" t="str">
        <x:v>아니오</x:v>
      </x:c>
      <x:c r="G670" s="56" t="str">
        <x:v>아니오</x:v>
      </x:c>
      <x:c r="H670" s="56" t="str">
        <x:v>예</x:v>
      </x:c>
      <x:c r="I670" s="56" t="str">
        <x:v>—</x:v>
      </x:c>
      <x:c r="J670" s="57" t="str">
        <x:v>—</x:v>
      </x:c>
      <x:c r="K670" s="57" t="str">
        <x:v>—</x:v>
      </x:c>
      <x:c r="L670" s="57" t="str">
        <x:v>—</x:v>
      </x:c>
      <x:c r="M670" s="57" t="str">
        <x:v>—</x:v>
      </x:c>
      <x:c r="N670" s="57" t="str">
        <x:v>—</x:v>
      </x:c>
      <x:c r="O670" s="57" t="str">
        <x:v>포함</x:v>
      </x:c>
      <x:c r="P670" s="57" t="str">
        <x:v>—</x:v>
      </x:c>
      <x:c r="Q670" s="57" t="str">
        <x:v>—</x:v>
      </x:c>
      <x:c r="R670" s="57" t="str">
        <x:v>포함</x:v>
      </x:c>
    </x:row>
    <x:row r="671">
      <x:c r="A671" s="60" t="n">
        <x:v>667</x:v>
      </x:c>
      <x:c r="B671" s="56" t="str">
        <x:v>레오꼬</x:v>
      </x:c>
      <x:c r="C671" s="56" t="str">
        <x:v>litleo</x:v>
      </x:c>
      <x:c r="D671" s="56" t="str">
        <x:v>건조지</x:v>
      </x:c>
      <x:c r="E671" s="56" t="str">
        <x:v>흔함</x:v>
      </x:c>
      <x:c r="F671" s="56" t="str">
        <x:v>아니오</x:v>
      </x:c>
      <x:c r="G671" s="56" t="str">
        <x:v>아니오</x:v>
      </x:c>
      <x:c r="H671" s="56" t="str">
        <x:v>예</x:v>
      </x:c>
      <x:c r="I671" s="56" t="str">
        <x:v>—</x:v>
      </x:c>
      <x:c r="J671" s="57" t="str">
        <x:v>—</x:v>
      </x:c>
      <x:c r="K671" s="57" t="str">
        <x:v>—</x:v>
      </x:c>
      <x:c r="L671" s="57" t="str">
        <x:v>—</x:v>
      </x:c>
      <x:c r="M671" s="57" t="str">
        <x:v>—</x:v>
      </x:c>
      <x:c r="N671" s="57" t="str">
        <x:v>—</x:v>
      </x:c>
      <x:c r="O671" s="57" t="str">
        <x:v>포함</x:v>
      </x:c>
      <x:c r="P671" s="57" t="str">
        <x:v>포함</x:v>
      </x:c>
      <x:c r="Q671" s="57" t="str">
        <x:v>—</x:v>
      </x:c>
      <x:c r="R671" s="57" t="str">
        <x:v>포함</x:v>
      </x:c>
    </x:row>
    <x:row r="672">
      <x:c r="A672" s="60" t="n">
        <x:v>668</x:v>
      </x:c>
      <x:c r="B672" s="56" t="str">
        <x:v>화염레오</x:v>
      </x:c>
      <x:c r="C672" s="56" t="str">
        <x:v>pyroar</x:v>
      </x:c>
      <x:c r="D672" s="56" t="str">
        <x:v>건조지</x:v>
      </x:c>
      <x:c r="E672" s="56" t="str">
        <x:v>보통</x:v>
      </x:c>
      <x:c r="F672" s="56" t="str">
        <x:v>아니오</x:v>
      </x:c>
      <x:c r="G672" s="56" t="str">
        <x:v>아니오</x:v>
      </x:c>
      <x:c r="H672" s="56" t="str">
        <x:v>예</x:v>
      </x:c>
      <x:c r="I672" s="56" t="str">
        <x:v>—</x:v>
      </x:c>
      <x:c r="J672" s="57" t="str">
        <x:v>—</x:v>
      </x:c>
      <x:c r="K672" s="57" t="str">
        <x:v>—</x:v>
      </x:c>
      <x:c r="L672" s="57" t="str">
        <x:v>—</x:v>
      </x:c>
      <x:c r="M672" s="57" t="str">
        <x:v>—</x:v>
      </x:c>
      <x:c r="N672" s="57" t="str">
        <x:v>—</x:v>
      </x:c>
      <x:c r="O672" s="57" t="str">
        <x:v>포함</x:v>
      </x:c>
      <x:c r="P672" s="57" t="str">
        <x:v>포함</x:v>
      </x:c>
      <x:c r="Q672" s="57" t="str">
        <x:v>—</x:v>
      </x:c>
      <x:c r="R672" s="57" t="str">
        <x:v>포함</x:v>
      </x:c>
    </x:row>
    <x:row r="673">
      <x:c r="A673" s="60" t="n">
        <x:v>669</x:v>
      </x:c>
      <x:c r="B673" s="56" t="str">
        <x:v>플라베베</x:v>
      </x:c>
      <x:c r="C673" s="56" t="str">
        <x:v>flabebe</x:v>
      </x:c>
      <x:c r="D673" s="56" t="str">
        <x:v>평원</x:v>
      </x:c>
      <x:c r="E673" s="56" t="str">
        <x:v>흔함</x:v>
      </x:c>
      <x:c r="F673" s="56" t="str">
        <x:v>아니오</x:v>
      </x:c>
      <x:c r="G673" s="56" t="str">
        <x:v>아니오</x:v>
      </x:c>
      <x:c r="H673" s="56" t="str">
        <x:v>예</x:v>
      </x:c>
      <x:c r="I673" s="56" t="str">
        <x:v>—</x:v>
      </x:c>
      <x:c r="J673" s="57" t="str">
        <x:v>—</x:v>
      </x:c>
      <x:c r="K673" s="57" t="str">
        <x:v>—</x:v>
      </x:c>
      <x:c r="L673" s="57" t="str">
        <x:v>—</x:v>
      </x:c>
      <x:c r="M673" s="57" t="str">
        <x:v>—</x:v>
      </x:c>
      <x:c r="N673" s="57" t="str">
        <x:v>—</x:v>
      </x:c>
      <x:c r="O673" s="57" t="str">
        <x:v>포함</x:v>
      </x:c>
      <x:c r="P673" s="57" t="str">
        <x:v>포함</x:v>
      </x:c>
      <x:c r="Q673" s="57" t="str">
        <x:v>—</x:v>
      </x:c>
      <x:c r="R673" s="57" t="str">
        <x:v>포함</x:v>
      </x:c>
    </x:row>
    <x:row r="674">
      <x:c r="A674" s="60" t="n">
        <x:v>670</x:v>
      </x:c>
      <x:c r="B674" s="56" t="str">
        <x:v>플라엣테</x:v>
      </x:c>
      <x:c r="C674" s="56" t="str">
        <x:v>floette</x:v>
      </x:c>
      <x:c r="D674" s="56" t="str">
        <x:v>평원</x:v>
      </x:c>
      <x:c r="E674" s="56" t="str">
        <x:v>흔함</x:v>
      </x:c>
      <x:c r="F674" s="56" t="str">
        <x:v>아니오</x:v>
      </x:c>
      <x:c r="G674" s="56" t="str">
        <x:v>아니오</x:v>
      </x:c>
      <x:c r="H674" s="56" t="str">
        <x:v>예</x:v>
      </x:c>
      <x:c r="I674" s="56" t="str">
        <x:v>—</x:v>
      </x:c>
      <x:c r="J674" s="57" t="str">
        <x:v>—</x:v>
      </x:c>
      <x:c r="K674" s="57" t="str">
        <x:v>—</x:v>
      </x:c>
      <x:c r="L674" s="57" t="str">
        <x:v>—</x:v>
      </x:c>
      <x:c r="M674" s="57" t="str">
        <x:v>—</x:v>
      </x:c>
      <x:c r="N674" s="57" t="str">
        <x:v>—</x:v>
      </x:c>
      <x:c r="O674" s="57" t="str">
        <x:v>포함</x:v>
      </x:c>
      <x:c r="P674" s="57" t="str">
        <x:v>포함</x:v>
      </x:c>
      <x:c r="Q674" s="57" t="str">
        <x:v>—</x:v>
      </x:c>
      <x:c r="R674" s="57" t="str">
        <x:v>포함</x:v>
      </x:c>
    </x:row>
    <x:row r="675">
      <x:c r="A675" s="60" t="n">
        <x:v>671</x:v>
      </x:c>
      <x:c r="B675" s="56" t="str">
        <x:v>플라제스</x:v>
      </x:c>
      <x:c r="C675" s="56" t="str">
        <x:v>florges</x:v>
      </x:c>
      <x:c r="D675" s="56" t="str">
        <x:v>평원</x:v>
      </x:c>
      <x:c r="E675" s="56" t="str">
        <x:v>흔함</x:v>
      </x:c>
      <x:c r="F675" s="56" t="str">
        <x:v>아니오</x:v>
      </x:c>
      <x:c r="G675" s="56" t="str">
        <x:v>아니오</x:v>
      </x:c>
      <x:c r="H675" s="56" t="str">
        <x:v>예</x:v>
      </x:c>
      <x:c r="I675" s="56" t="str">
        <x:v>—</x:v>
      </x:c>
      <x:c r="J675" s="57" t="str">
        <x:v>—</x:v>
      </x:c>
      <x:c r="K675" s="57" t="str">
        <x:v>—</x:v>
      </x:c>
      <x:c r="L675" s="57" t="str">
        <x:v>—</x:v>
      </x:c>
      <x:c r="M675" s="57" t="str">
        <x:v>—</x:v>
      </x:c>
      <x:c r="N675" s="57" t="str">
        <x:v>—</x:v>
      </x:c>
      <x:c r="O675" s="57" t="str">
        <x:v>포함</x:v>
      </x:c>
      <x:c r="P675" s="57" t="str">
        <x:v>포함</x:v>
      </x:c>
      <x:c r="Q675" s="57" t="str">
        <x:v>—</x:v>
      </x:c>
      <x:c r="R675" s="57" t="str">
        <x:v>포함</x:v>
      </x:c>
    </x:row>
    <x:row r="676">
      <x:c r="A676" s="60" t="n">
        <x:v>672</x:v>
      </x:c>
      <x:c r="B676" s="56" t="str">
        <x:v>메이클</x:v>
      </x:c>
      <x:c r="C676" s="56" t="str">
        <x:v>skiddo</x:v>
      </x:c>
      <x:c r="D676" s="56" t="str">
        <x:v>산악</x:v>
      </x:c>
      <x:c r="E676" s="56" t="str">
        <x:v>흔함</x:v>
      </x:c>
      <x:c r="F676" s="56" t="str">
        <x:v>아니오</x:v>
      </x:c>
      <x:c r="G676" s="56" t="str">
        <x:v>아니오</x:v>
      </x:c>
      <x:c r="H676" s="56" t="str">
        <x:v>예</x:v>
      </x:c>
      <x:c r="I676" s="56" t="str">
        <x:v>—</x:v>
      </x:c>
      <x:c r="J676" s="57" t="str">
        <x:v>—</x:v>
      </x:c>
      <x:c r="K676" s="57" t="str">
        <x:v>—</x:v>
      </x:c>
      <x:c r="L676" s="57" t="str">
        <x:v>—</x:v>
      </x:c>
      <x:c r="M676" s="57" t="str">
        <x:v>—</x:v>
      </x:c>
      <x:c r="N676" s="57" t="str">
        <x:v>—</x:v>
      </x:c>
      <x:c r="O676" s="57" t="str">
        <x:v>포함</x:v>
      </x:c>
      <x:c r="P676" s="57" t="str">
        <x:v>—</x:v>
      </x:c>
      <x:c r="Q676" s="57" t="str">
        <x:v>—</x:v>
      </x:c>
      <x:c r="R676" s="57" t="str">
        <x:v>포함</x:v>
      </x:c>
    </x:row>
    <x:row r="677">
      <x:c r="A677" s="60" t="n">
        <x:v>673</x:v>
      </x:c>
      <x:c r="B677" s="56" t="str">
        <x:v>고고트</x:v>
      </x:c>
      <x:c r="C677" s="56" t="str">
        <x:v>gogoat</x:v>
      </x:c>
      <x:c r="D677" s="56" t="str">
        <x:v>산악</x:v>
      </x:c>
      <x:c r="E677" s="56" t="str">
        <x:v>흔함</x:v>
      </x:c>
      <x:c r="F677" s="56" t="str">
        <x:v>아니오</x:v>
      </x:c>
      <x:c r="G677" s="56" t="str">
        <x:v>아니오</x:v>
      </x:c>
      <x:c r="H677" s="56" t="str">
        <x:v>예</x:v>
      </x:c>
      <x:c r="I677" s="56" t="str">
        <x:v>—</x:v>
      </x:c>
      <x:c r="J677" s="57" t="str">
        <x:v>—</x:v>
      </x:c>
      <x:c r="K677" s="57" t="str">
        <x:v>—</x:v>
      </x:c>
      <x:c r="L677" s="57" t="str">
        <x:v>—</x:v>
      </x:c>
      <x:c r="M677" s="57" t="str">
        <x:v>—</x:v>
      </x:c>
      <x:c r="N677" s="57" t="str">
        <x:v>—</x:v>
      </x:c>
      <x:c r="O677" s="57" t="str">
        <x:v>포함</x:v>
      </x:c>
      <x:c r="P677" s="57" t="str">
        <x:v>—</x:v>
      </x:c>
      <x:c r="Q677" s="57" t="str">
        <x:v>—</x:v>
      </x:c>
      <x:c r="R677" s="57" t="str">
        <x:v>포함</x:v>
      </x:c>
    </x:row>
    <x:row r="678">
      <x:c r="A678" s="60" t="n">
        <x:v>674</x:v>
      </x:c>
      <x:c r="B678" s="56" t="str">
        <x:v>판짱</x:v>
      </x:c>
      <x:c r="C678" s="56" t="str">
        <x:v>pancham</x:v>
      </x:c>
      <x:c r="D678" s="56" t="str">
        <x:v>숲</x:v>
      </x:c>
      <x:c r="E678" s="56" t="str">
        <x:v>흔함</x:v>
      </x:c>
      <x:c r="F678" s="56" t="str">
        <x:v>아니오</x:v>
      </x:c>
      <x:c r="G678" s="56" t="str">
        <x:v>아니오</x:v>
      </x:c>
      <x:c r="H678" s="56" t="str">
        <x:v>예</x:v>
      </x:c>
      <x:c r="I678" s="56" t="str">
        <x:v>—</x:v>
      </x:c>
      <x:c r="J678" s="57" t="str">
        <x:v>—</x:v>
      </x:c>
      <x:c r="K678" s="57" t="str">
        <x:v>—</x:v>
      </x:c>
      <x:c r="L678" s="57" t="str">
        <x:v>—</x:v>
      </x:c>
      <x:c r="M678" s="57" t="str">
        <x:v>—</x:v>
      </x:c>
      <x:c r="N678" s="57" t="str">
        <x:v>—</x:v>
      </x:c>
      <x:c r="O678" s="57" t="str">
        <x:v>포함</x:v>
      </x:c>
      <x:c r="P678" s="57" t="str">
        <x:v>포함</x:v>
      </x:c>
      <x:c r="Q678" s="57" t="str">
        <x:v>포함</x:v>
      </x:c>
      <x:c r="R678" s="57" t="str">
        <x:v>—</x:v>
      </x:c>
    </x:row>
    <x:row r="679">
      <x:c r="A679" s="60" t="n">
        <x:v>675</x:v>
      </x:c>
      <x:c r="B679" s="56" t="str">
        <x:v>부란다</x:v>
      </x:c>
      <x:c r="C679" s="56" t="str">
        <x:v>pangoro</x:v>
      </x:c>
      <x:c r="D679" s="56" t="str">
        <x:v>숲</x:v>
      </x:c>
      <x:c r="E679" s="56" t="str">
        <x:v>보통</x:v>
      </x:c>
      <x:c r="F679" s="56" t="str">
        <x:v>아니오</x:v>
      </x:c>
      <x:c r="G679" s="56" t="str">
        <x:v>아니오</x:v>
      </x:c>
      <x:c r="H679" s="56" t="str">
        <x:v>예</x:v>
      </x:c>
      <x:c r="I679" s="56" t="str">
        <x:v>—</x:v>
      </x:c>
      <x:c r="J679" s="57" t="str">
        <x:v>—</x:v>
      </x:c>
      <x:c r="K679" s="57" t="str">
        <x:v>—</x:v>
      </x:c>
      <x:c r="L679" s="57" t="str">
        <x:v>—</x:v>
      </x:c>
      <x:c r="M679" s="57" t="str">
        <x:v>—</x:v>
      </x:c>
      <x:c r="N679" s="57" t="str">
        <x:v>—</x:v>
      </x:c>
      <x:c r="O679" s="57" t="str">
        <x:v>포함</x:v>
      </x:c>
      <x:c r="P679" s="57" t="str">
        <x:v>포함</x:v>
      </x:c>
      <x:c r="Q679" s="57" t="str">
        <x:v>포함</x:v>
      </x:c>
      <x:c r="R679" s="57" t="str">
        <x:v>—</x:v>
      </x:c>
    </x:row>
    <x:row r="680">
      <x:c r="A680" s="60" t="n">
        <x:v>676</x:v>
      </x:c>
      <x:c r="B680" s="56" t="str">
        <x:v>트리미앙</x:v>
      </x:c>
      <x:c r="C680" s="56" t="str">
        <x:v>furfrou</x:v>
      </x:c>
      <x:c r="D680" s="56" t="str">
        <x:v>평원</x:v>
      </x:c>
      <x:c r="E680" s="56" t="str">
        <x:v>보통</x:v>
      </x:c>
      <x:c r="F680" s="56" t="str">
        <x:v>아니오</x:v>
      </x:c>
      <x:c r="G680" s="56" t="str">
        <x:v>아니오</x:v>
      </x:c>
      <x:c r="H680" s="56" t="str">
        <x:v>예</x:v>
      </x:c>
      <x:c r="I680" s="56" t="str">
        <x:v>—</x:v>
      </x:c>
      <x:c r="J680" s="57" t="str">
        <x:v>—</x:v>
      </x:c>
      <x:c r="K680" s="57" t="str">
        <x:v>—</x:v>
      </x:c>
      <x:c r="L680" s="57" t="str">
        <x:v>—</x:v>
      </x:c>
      <x:c r="M680" s="57" t="str">
        <x:v>—</x:v>
      </x:c>
      <x:c r="N680" s="57" t="str">
        <x:v>—</x:v>
      </x:c>
      <x:c r="O680" s="57" t="str">
        <x:v>포함</x:v>
      </x:c>
      <x:c r="P680" s="57" t="str">
        <x:v>포함</x:v>
      </x:c>
      <x:c r="Q680" s="57" t="str">
        <x:v>—</x:v>
      </x:c>
      <x:c r="R680" s="57" t="str">
        <x:v>—</x:v>
      </x:c>
    </x:row>
    <x:row r="681">
      <x:c r="A681" s="60" t="n">
        <x:v>677</x:v>
      </x:c>
      <x:c r="B681" s="56" t="str">
        <x:v>냐스퍼</x:v>
      </x:c>
      <x:c r="C681" s="56" t="str">
        <x:v>espurr</x:v>
      </x:c>
      <x:c r="D681" s="56" t="str">
        <x:v>건조지</x:v>
      </x:c>
      <x:c r="E681" s="56" t="str">
        <x:v>흔함</x:v>
      </x:c>
      <x:c r="F681" s="56" t="str">
        <x:v>아니오</x:v>
      </x:c>
      <x:c r="G681" s="56" t="str">
        <x:v>아니오</x:v>
      </x:c>
      <x:c r="H681" s="56" t="str">
        <x:v>예</x:v>
      </x:c>
      <x:c r="I681" s="56" t="str">
        <x:v>—</x:v>
      </x:c>
      <x:c r="J681" s="57" t="str">
        <x:v>—</x:v>
      </x:c>
      <x:c r="K681" s="57" t="str">
        <x:v>—</x:v>
      </x:c>
      <x:c r="L681" s="57" t="str">
        <x:v>—</x:v>
      </x:c>
      <x:c r="M681" s="57" t="str">
        <x:v>—</x:v>
      </x:c>
      <x:c r="N681" s="57" t="str">
        <x:v>—</x:v>
      </x:c>
      <x:c r="O681" s="57" t="str">
        <x:v>포함</x:v>
      </x:c>
      <x:c r="P681" s="57" t="str">
        <x:v>—</x:v>
      </x:c>
      <x:c r="Q681" s="57" t="str">
        <x:v>포함</x:v>
      </x:c>
      <x:c r="R681" s="57" t="str">
        <x:v>포함</x:v>
      </x:c>
    </x:row>
    <x:row r="682">
      <x:c r="A682" s="60" t="n">
        <x:v>678</x:v>
      </x:c>
      <x:c r="B682" s="56" t="str">
        <x:v>냐오닉스</x:v>
      </x:c>
      <x:c r="C682" s="56" t="str">
        <x:v>meowstic</x:v>
      </x:c>
      <x:c r="D682" s="56" t="str">
        <x:v>건조지</x:v>
      </x:c>
      <x:c r="E682" s="56" t="str">
        <x:v>흔함</x:v>
      </x:c>
      <x:c r="F682" s="56" t="str">
        <x:v>아니오</x:v>
      </x:c>
      <x:c r="G682" s="56" t="str">
        <x:v>아니오</x:v>
      </x:c>
      <x:c r="H682" s="56" t="str">
        <x:v>예</x:v>
      </x:c>
      <x:c r="I682" s="56" t="str">
        <x:v>—</x:v>
      </x:c>
      <x:c r="J682" s="57" t="str">
        <x:v>—</x:v>
      </x:c>
      <x:c r="K682" s="57" t="str">
        <x:v>—</x:v>
      </x:c>
      <x:c r="L682" s="57" t="str">
        <x:v>—</x:v>
      </x:c>
      <x:c r="M682" s="57" t="str">
        <x:v>—</x:v>
      </x:c>
      <x:c r="N682" s="57" t="str">
        <x:v>—</x:v>
      </x:c>
      <x:c r="O682" s="57" t="str">
        <x:v>포함</x:v>
      </x:c>
      <x:c r="P682" s="57" t="str">
        <x:v>—</x:v>
      </x:c>
      <x:c r="Q682" s="57" t="str">
        <x:v>포함</x:v>
      </x:c>
      <x:c r="R682" s="57" t="str">
        <x:v>포함</x:v>
      </x:c>
    </x:row>
    <x:row r="683">
      <x:c r="A683" s="60" t="n">
        <x:v>679</x:v>
      </x:c>
      <x:c r="B683" s="56" t="str">
        <x:v>단칼빙</x:v>
      </x:c>
      <x:c r="C683" s="56" t="str">
        <x:v>honedge</x:v>
      </x:c>
      <x:c r="D683" s="56" t="str">
        <x:v>화산</x:v>
      </x:c>
      <x:c r="E683" s="56" t="str">
        <x:v>보통</x:v>
      </x:c>
      <x:c r="F683" s="56" t="str">
        <x:v>아니오</x:v>
      </x:c>
      <x:c r="G683" s="56" t="str">
        <x:v>아니오</x:v>
      </x:c>
      <x:c r="H683" s="56" t="str">
        <x:v>예</x:v>
      </x:c>
      <x:c r="I683" s="56" t="str">
        <x:v>—</x:v>
      </x:c>
      <x:c r="J683" s="57" t="str">
        <x:v>—</x:v>
      </x:c>
      <x:c r="K683" s="57" t="str">
        <x:v>—</x:v>
      </x:c>
      <x:c r="L683" s="57" t="str">
        <x:v>—</x:v>
      </x:c>
      <x:c r="M683" s="57" t="str">
        <x:v>—</x:v>
      </x:c>
      <x:c r="N683" s="57" t="str">
        <x:v>—</x:v>
      </x:c>
      <x:c r="O683" s="57" t="str">
        <x:v>포함</x:v>
      </x:c>
      <x:c r="P683" s="57" t="str">
        <x:v>—</x:v>
      </x:c>
      <x:c r="Q683" s="57" t="str">
        <x:v>포함</x:v>
      </x:c>
      <x:c r="R683" s="57" t="str">
        <x:v>—</x:v>
      </x:c>
    </x:row>
    <x:row r="684">
      <x:c r="A684" s="60" t="n">
        <x:v>680</x:v>
      </x:c>
      <x:c r="B684" s="56" t="str">
        <x:v>쌍검킬</x:v>
      </x:c>
      <x:c r="C684" s="56" t="str">
        <x:v>doublade</x:v>
      </x:c>
      <x:c r="D684" s="56" t="str">
        <x:v>화산</x:v>
      </x:c>
      <x:c r="E684" s="56" t="str">
        <x:v>보통</x:v>
      </x:c>
      <x:c r="F684" s="56" t="str">
        <x:v>아니오</x:v>
      </x:c>
      <x:c r="G684" s="56" t="str">
        <x:v>아니오</x:v>
      </x:c>
      <x:c r="H684" s="56" t="str">
        <x:v>예</x:v>
      </x:c>
      <x:c r="I684" s="56" t="str">
        <x:v>—</x:v>
      </x:c>
      <x:c r="J684" s="57" t="str">
        <x:v>—</x:v>
      </x:c>
      <x:c r="K684" s="57" t="str">
        <x:v>—</x:v>
      </x:c>
      <x:c r="L684" s="57" t="str">
        <x:v>—</x:v>
      </x:c>
      <x:c r="M684" s="57" t="str">
        <x:v>—</x:v>
      </x:c>
      <x:c r="N684" s="57" t="str">
        <x:v>—</x:v>
      </x:c>
      <x:c r="O684" s="57" t="str">
        <x:v>포함</x:v>
      </x:c>
      <x:c r="P684" s="57" t="str">
        <x:v>—</x:v>
      </x:c>
      <x:c r="Q684" s="57" t="str">
        <x:v>포함</x:v>
      </x:c>
      <x:c r="R684" s="57" t="str">
        <x:v>—</x:v>
      </x:c>
    </x:row>
    <x:row r="685">
      <x:c r="A685" s="60" t="n">
        <x:v>681</x:v>
      </x:c>
      <x:c r="B685" s="56" t="str">
        <x:v>킬가르도</x:v>
      </x:c>
      <x:c r="C685" s="56" t="str">
        <x:v>aegislash</x:v>
      </x:c>
      <x:c r="D685" s="56" t="str">
        <x:v>화산</x:v>
      </x:c>
      <x:c r="E685" s="56" t="str">
        <x:v>보통</x:v>
      </x:c>
      <x:c r="F685" s="56" t="str">
        <x:v>아니오</x:v>
      </x:c>
      <x:c r="G685" s="56" t="str">
        <x:v>아니오</x:v>
      </x:c>
      <x:c r="H685" s="56" t="str">
        <x:v>예</x:v>
      </x:c>
      <x:c r="I685" s="56" t="str">
        <x:v>—</x:v>
      </x:c>
      <x:c r="J685" s="57" t="str">
        <x:v>—</x:v>
      </x:c>
      <x:c r="K685" s="57" t="str">
        <x:v>—</x:v>
      </x:c>
      <x:c r="L685" s="57" t="str">
        <x:v>—</x:v>
      </x:c>
      <x:c r="M685" s="57" t="str">
        <x:v>—</x:v>
      </x:c>
      <x:c r="N685" s="57" t="str">
        <x:v>—</x:v>
      </x:c>
      <x:c r="O685" s="57" t="str">
        <x:v>포함</x:v>
      </x:c>
      <x:c r="P685" s="57" t="str">
        <x:v>—</x:v>
      </x:c>
      <x:c r="Q685" s="57" t="str">
        <x:v>포함</x:v>
      </x:c>
      <x:c r="R685" s="57" t="str">
        <x:v>—</x:v>
      </x:c>
    </x:row>
    <x:row r="686">
      <x:c r="A686" s="60" t="n">
        <x:v>682</x:v>
      </x:c>
      <x:c r="B686" s="56" t="str">
        <x:v>슈쁘</x:v>
      </x:c>
      <x:c r="C686" s="56" t="str">
        <x:v>spritzee</x:v>
      </x:c>
      <x:c r="D686" s="56" t="str">
        <x:v>숲</x:v>
      </x:c>
      <x:c r="E686" s="56" t="str">
        <x:v>흔함</x:v>
      </x:c>
      <x:c r="F686" s="56" t="str">
        <x:v>아니오</x:v>
      </x:c>
      <x:c r="G686" s="56" t="str">
        <x:v>아니오</x:v>
      </x:c>
      <x:c r="H686" s="56" t="str">
        <x:v>예</x:v>
      </x:c>
      <x:c r="I686" s="56" t="str">
        <x:v>—</x:v>
      </x:c>
      <x:c r="J686" s="57" t="str">
        <x:v>—</x:v>
      </x:c>
      <x:c r="K686" s="57" t="str">
        <x:v>—</x:v>
      </x:c>
      <x:c r="L686" s="57" t="str">
        <x:v>—</x:v>
      </x:c>
      <x:c r="M686" s="57" t="str">
        <x:v>—</x:v>
      </x:c>
      <x:c r="N686" s="57" t="str">
        <x:v>—</x:v>
      </x:c>
      <x:c r="O686" s="57" t="str">
        <x:v>포함</x:v>
      </x:c>
      <x:c r="P686" s="57" t="str">
        <x:v>—</x:v>
      </x:c>
      <x:c r="Q686" s="57" t="str">
        <x:v>포함</x:v>
      </x:c>
      <x:c r="R686" s="57" t="str">
        <x:v>—</x:v>
      </x:c>
    </x:row>
    <x:row r="687">
      <x:c r="A687" s="60" t="n">
        <x:v>683</x:v>
      </x:c>
      <x:c r="B687" s="56" t="str">
        <x:v>프레프티르</x:v>
      </x:c>
      <x:c r="C687" s="56" t="str">
        <x:v>aromatisse</x:v>
      </x:c>
      <x:c r="D687" s="56" t="str">
        <x:v>숲</x:v>
      </x:c>
      <x:c r="E687" s="56" t="str">
        <x:v>보통</x:v>
      </x:c>
      <x:c r="F687" s="56" t="str">
        <x:v>아니오</x:v>
      </x:c>
      <x:c r="G687" s="56" t="str">
        <x:v>아니오</x:v>
      </x:c>
      <x:c r="H687" s="56" t="str">
        <x:v>예</x:v>
      </x:c>
      <x:c r="I687" s="56" t="str">
        <x:v>—</x:v>
      </x:c>
      <x:c r="J687" s="57" t="str">
        <x:v>—</x:v>
      </x:c>
      <x:c r="K687" s="57" t="str">
        <x:v>—</x:v>
      </x:c>
      <x:c r="L687" s="57" t="str">
        <x:v>—</x:v>
      </x:c>
      <x:c r="M687" s="57" t="str">
        <x:v>—</x:v>
      </x:c>
      <x:c r="N687" s="57" t="str">
        <x:v>—</x:v>
      </x:c>
      <x:c r="O687" s="57" t="str">
        <x:v>포함</x:v>
      </x:c>
      <x:c r="P687" s="57" t="str">
        <x:v>—</x:v>
      </x:c>
      <x:c r="Q687" s="57" t="str">
        <x:v>포함</x:v>
      </x:c>
      <x:c r="R687" s="57" t="str">
        <x:v>—</x:v>
      </x:c>
    </x:row>
    <x:row r="688">
      <x:c r="A688" s="60" t="n">
        <x:v>684</x:v>
      </x:c>
      <x:c r="B688" s="56" t="str">
        <x:v>나룸퍼프</x:v>
      </x:c>
      <x:c r="C688" s="56" t="str">
        <x:v>swirlix</x:v>
      </x:c>
      <x:c r="D688" s="56" t="str">
        <x:v>숲</x:v>
      </x:c>
      <x:c r="E688" s="56" t="str">
        <x:v>흔함</x:v>
      </x:c>
      <x:c r="F688" s="56" t="str">
        <x:v>아니오</x:v>
      </x:c>
      <x:c r="G688" s="56" t="str">
        <x:v>아니오</x:v>
      </x:c>
      <x:c r="H688" s="56" t="str">
        <x:v>예</x:v>
      </x:c>
      <x:c r="I688" s="56" t="str">
        <x:v>—</x:v>
      </x:c>
      <x:c r="J688" s="57" t="str">
        <x:v>—</x:v>
      </x:c>
      <x:c r="K688" s="57" t="str">
        <x:v>—</x:v>
      </x:c>
      <x:c r="L688" s="57" t="str">
        <x:v>—</x:v>
      </x:c>
      <x:c r="M688" s="57" t="str">
        <x:v>—</x:v>
      </x:c>
      <x:c r="N688" s="57" t="str">
        <x:v>—</x:v>
      </x:c>
      <x:c r="O688" s="57" t="str">
        <x:v>포함</x:v>
      </x:c>
      <x:c r="P688" s="57" t="str">
        <x:v>—</x:v>
      </x:c>
      <x:c r="Q688" s="57" t="str">
        <x:v>포함</x:v>
      </x:c>
      <x:c r="R688" s="57" t="str">
        <x:v>—</x:v>
      </x:c>
    </x:row>
    <x:row r="689">
      <x:c r="A689" s="60" t="n">
        <x:v>685</x:v>
      </x:c>
      <x:c r="B689" s="56" t="str">
        <x:v>나루림</x:v>
      </x:c>
      <x:c r="C689" s="56" t="str">
        <x:v>slurpuff</x:v>
      </x:c>
      <x:c r="D689" s="56" t="str">
        <x:v>숲</x:v>
      </x:c>
      <x:c r="E689" s="56" t="str">
        <x:v>드묾</x:v>
      </x:c>
      <x:c r="F689" s="56" t="str">
        <x:v>아니오</x:v>
      </x:c>
      <x:c r="G689" s="56" t="str">
        <x:v>아니오</x:v>
      </x:c>
      <x:c r="H689" s="56" t="str">
        <x:v>예</x:v>
      </x:c>
      <x:c r="I689" s="56" t="str">
        <x:v>—</x:v>
      </x:c>
      <x:c r="J689" s="57" t="str">
        <x:v>—</x:v>
      </x:c>
      <x:c r="K689" s="57" t="str">
        <x:v>—</x:v>
      </x:c>
      <x:c r="L689" s="57" t="str">
        <x:v>—</x:v>
      </x:c>
      <x:c r="M689" s="57" t="str">
        <x:v>—</x:v>
      </x:c>
      <x:c r="N689" s="57" t="str">
        <x:v>—</x:v>
      </x:c>
      <x:c r="O689" s="57" t="str">
        <x:v>포함</x:v>
      </x:c>
      <x:c r="P689" s="57" t="str">
        <x:v>—</x:v>
      </x:c>
      <x:c r="Q689" s="57" t="str">
        <x:v>포함</x:v>
      </x:c>
      <x:c r="R689" s="57" t="str">
        <x:v>—</x:v>
      </x:c>
    </x:row>
    <x:row r="690">
      <x:c r="A690" s="60" t="n">
        <x:v>686</x:v>
      </x:c>
      <x:c r="B690" s="56" t="str">
        <x:v>오케이징</x:v>
      </x:c>
      <x:c r="C690" s="56" t="str">
        <x:v>inkay</x:v>
      </x:c>
      <x:c r="D690" s="56" t="str">
        <x:v>해양</x:v>
      </x:c>
      <x:c r="E690" s="56" t="str">
        <x:v>보통</x:v>
      </x:c>
      <x:c r="F690" s="56" t="str">
        <x:v>아니오</x:v>
      </x:c>
      <x:c r="G690" s="56" t="str">
        <x:v>아니오</x:v>
      </x:c>
      <x:c r="H690" s="56" t="str">
        <x:v>예</x:v>
      </x:c>
      <x:c r="I690" s="56" t="str">
        <x:v>—</x:v>
      </x:c>
      <x:c r="J690" s="57" t="str">
        <x:v>—</x:v>
      </x:c>
      <x:c r="K690" s="57" t="str">
        <x:v>—</x:v>
      </x:c>
      <x:c r="L690" s="57" t="str">
        <x:v>—</x:v>
      </x:c>
      <x:c r="M690" s="57" t="str">
        <x:v>—</x:v>
      </x:c>
      <x:c r="N690" s="57" t="str">
        <x:v>—</x:v>
      </x:c>
      <x:c r="O690" s="57" t="str">
        <x:v>포함</x:v>
      </x:c>
      <x:c r="P690" s="57" t="str">
        <x:v>포함</x:v>
      </x:c>
      <x:c r="Q690" s="57" t="str">
        <x:v>포함</x:v>
      </x:c>
      <x:c r="R690" s="57" t="str">
        <x:v>포함</x:v>
      </x:c>
    </x:row>
    <x:row r="691">
      <x:c r="A691" s="60" t="n">
        <x:v>687</x:v>
      </x:c>
      <x:c r="B691" s="56" t="str">
        <x:v>칼라마네로</x:v>
      </x:c>
      <x:c r="C691" s="56" t="str">
        <x:v>malamar</x:v>
      </x:c>
      <x:c r="D691" s="56" t="str">
        <x:v>해양</x:v>
      </x:c>
      <x:c r="E691" s="56" t="str">
        <x:v>보통</x:v>
      </x:c>
      <x:c r="F691" s="56" t="str">
        <x:v>아니오</x:v>
      </x:c>
      <x:c r="G691" s="56" t="str">
        <x:v>아니오</x:v>
      </x:c>
      <x:c r="H691" s="56" t="str">
        <x:v>예</x:v>
      </x:c>
      <x:c r="I691" s="56" t="str">
        <x:v>—</x:v>
      </x:c>
      <x:c r="J691" s="57" t="str">
        <x:v>—</x:v>
      </x:c>
      <x:c r="K691" s="57" t="str">
        <x:v>—</x:v>
      </x:c>
      <x:c r="L691" s="57" t="str">
        <x:v>—</x:v>
      </x:c>
      <x:c r="M691" s="57" t="str">
        <x:v>—</x:v>
      </x:c>
      <x:c r="N691" s="57" t="str">
        <x:v>—</x:v>
      </x:c>
      <x:c r="O691" s="57" t="str">
        <x:v>포함</x:v>
      </x:c>
      <x:c r="P691" s="57" t="str">
        <x:v>포함</x:v>
      </x:c>
      <x:c r="Q691" s="57" t="str">
        <x:v>포함</x:v>
      </x:c>
      <x:c r="R691" s="57" t="str">
        <x:v>포함</x:v>
      </x:c>
    </x:row>
    <x:row r="692">
      <x:c r="A692" s="60" t="n">
        <x:v>688</x:v>
      </x:c>
      <x:c r="B692" s="56" t="str">
        <x:v>거북손손</x:v>
      </x:c>
      <x:c r="C692" s="56" t="str">
        <x:v>binacle</x:v>
      </x:c>
      <x:c r="D692" s="56" t="str">
        <x:v>해양</x:v>
      </x:c>
      <x:c r="E692" s="56" t="str">
        <x:v>보통</x:v>
      </x:c>
      <x:c r="F692" s="56" t="str">
        <x:v>아니오</x:v>
      </x:c>
      <x:c r="G692" s="56" t="str">
        <x:v>아니오</x:v>
      </x:c>
      <x:c r="H692" s="56" t="str">
        <x:v>예</x:v>
      </x:c>
      <x:c r="I692" s="56" t="str">
        <x:v>—</x:v>
      </x:c>
      <x:c r="J692" s="57" t="str">
        <x:v>—</x:v>
      </x:c>
      <x:c r="K692" s="57" t="str">
        <x:v>—</x:v>
      </x:c>
      <x:c r="L692" s="57" t="str">
        <x:v>—</x:v>
      </x:c>
      <x:c r="M692" s="57" t="str">
        <x:v>—</x:v>
      </x:c>
      <x:c r="N692" s="57" t="str">
        <x:v>—</x:v>
      </x:c>
      <x:c r="O692" s="57" t="str">
        <x:v>포함</x:v>
      </x:c>
      <x:c r="P692" s="57" t="str">
        <x:v>—</x:v>
      </x:c>
      <x:c r="Q692" s="57" t="str">
        <x:v>포함</x:v>
      </x:c>
      <x:c r="R692" s="57" t="str">
        <x:v>—</x:v>
      </x:c>
    </x:row>
    <x:row r="693">
      <x:c r="A693" s="60" t="n">
        <x:v>689</x:v>
      </x:c>
      <x:c r="B693" s="56" t="str">
        <x:v>거북손데스</x:v>
      </x:c>
      <x:c r="C693" s="56" t="str">
        <x:v>barbaracle</x:v>
      </x:c>
      <x:c r="D693" s="56" t="str">
        <x:v>해양</x:v>
      </x:c>
      <x:c r="E693" s="56" t="str">
        <x:v>보통</x:v>
      </x:c>
      <x:c r="F693" s="56" t="str">
        <x:v>아니오</x:v>
      </x:c>
      <x:c r="G693" s="56" t="str">
        <x:v>아니오</x:v>
      </x:c>
      <x:c r="H693" s="56" t="str">
        <x:v>예</x:v>
      </x:c>
      <x:c r="I693" s="56" t="str">
        <x:v>—</x:v>
      </x:c>
      <x:c r="J693" s="57" t="str">
        <x:v>—</x:v>
      </x:c>
      <x:c r="K693" s="57" t="str">
        <x:v>—</x:v>
      </x:c>
      <x:c r="L693" s="57" t="str">
        <x:v>—</x:v>
      </x:c>
      <x:c r="M693" s="57" t="str">
        <x:v>—</x:v>
      </x:c>
      <x:c r="N693" s="57" t="str">
        <x:v>—</x:v>
      </x:c>
      <x:c r="O693" s="57" t="str">
        <x:v>포함</x:v>
      </x:c>
      <x:c r="P693" s="57" t="str">
        <x:v>—</x:v>
      </x:c>
      <x:c r="Q693" s="57" t="str">
        <x:v>포함</x:v>
      </x:c>
      <x:c r="R693" s="57" t="str">
        <x:v>—</x:v>
      </x:c>
    </x:row>
    <x:row r="694">
      <x:c r="A694" s="60" t="n">
        <x:v>690</x:v>
      </x:c>
      <x:c r="B694" s="56" t="str">
        <x:v>수레기</x:v>
      </x:c>
      <x:c r="C694" s="56" t="str">
        <x:v>skrelp</x:v>
      </x:c>
      <x:c r="D694" s="56" t="str">
        <x:v>해양</x:v>
      </x:c>
      <x:c r="E694" s="56" t="str">
        <x:v>흔함</x:v>
      </x:c>
      <x:c r="F694" s="56" t="str">
        <x:v>아니오</x:v>
      </x:c>
      <x:c r="G694" s="56" t="str">
        <x:v>아니오</x:v>
      </x:c>
      <x:c r="H694" s="56" t="str">
        <x:v>예</x:v>
      </x:c>
      <x:c r="I694" s="56" t="str">
        <x:v>—</x:v>
      </x:c>
      <x:c r="J694" s="57" t="str">
        <x:v>—</x:v>
      </x:c>
      <x:c r="K694" s="57" t="str">
        <x:v>—</x:v>
      </x:c>
      <x:c r="L694" s="57" t="str">
        <x:v>—</x:v>
      </x:c>
      <x:c r="M694" s="57" t="str">
        <x:v>—</x:v>
      </x:c>
      <x:c r="N694" s="57" t="str">
        <x:v>—</x:v>
      </x:c>
      <x:c r="O694" s="57" t="str">
        <x:v>포함</x:v>
      </x:c>
      <x:c r="P694" s="57" t="str">
        <x:v>포함</x:v>
      </x:c>
      <x:c r="Q694" s="57" t="str">
        <x:v>포함</x:v>
      </x:c>
      <x:c r="R694" s="57" t="str">
        <x:v>포함</x:v>
      </x:c>
    </x:row>
    <x:row r="695">
      <x:c r="A695" s="60" t="n">
        <x:v>691</x:v>
      </x:c>
      <x:c r="B695" s="56" t="str">
        <x:v>드래캄</x:v>
      </x:c>
      <x:c r="C695" s="56" t="str">
        <x:v>dragalge</x:v>
      </x:c>
      <x:c r="D695" s="56" t="str">
        <x:v>해양</x:v>
      </x:c>
      <x:c r="E695" s="56" t="str">
        <x:v>흔함</x:v>
      </x:c>
      <x:c r="F695" s="56" t="str">
        <x:v>아니오</x:v>
      </x:c>
      <x:c r="G695" s="56" t="str">
        <x:v>아니오</x:v>
      </x:c>
      <x:c r="H695" s="56" t="str">
        <x:v>예</x:v>
      </x:c>
      <x:c r="I695" s="56" t="str">
        <x:v>—</x:v>
      </x:c>
      <x:c r="J695" s="57" t="str">
        <x:v>—</x:v>
      </x:c>
      <x:c r="K695" s="57" t="str">
        <x:v>—</x:v>
      </x:c>
      <x:c r="L695" s="57" t="str">
        <x:v>—</x:v>
      </x:c>
      <x:c r="M695" s="57" t="str">
        <x:v>—</x:v>
      </x:c>
      <x:c r="N695" s="57" t="str">
        <x:v>—</x:v>
      </x:c>
      <x:c r="O695" s="57" t="str">
        <x:v>포함</x:v>
      </x:c>
      <x:c r="P695" s="57" t="str">
        <x:v>포함</x:v>
      </x:c>
      <x:c r="Q695" s="57" t="str">
        <x:v>포함</x:v>
      </x:c>
      <x:c r="R695" s="57" t="str">
        <x:v>포함</x:v>
      </x:c>
    </x:row>
    <x:row r="696">
      <x:c r="A696" s="60" t="n">
        <x:v>692</x:v>
      </x:c>
      <x:c r="B696" s="56" t="str">
        <x:v>완철포</x:v>
      </x:c>
      <x:c r="C696" s="56" t="str">
        <x:v>clauncher</x:v>
      </x:c>
      <x:c r="D696" s="56" t="str">
        <x:v>해양</x:v>
      </x:c>
      <x:c r="E696" s="56" t="str">
        <x:v>흔함</x:v>
      </x:c>
      <x:c r="F696" s="56" t="str">
        <x:v>아니오</x:v>
      </x:c>
      <x:c r="G696" s="56" t="str">
        <x:v>아니오</x:v>
      </x:c>
      <x:c r="H696" s="56" t="str">
        <x:v>예</x:v>
      </x:c>
      <x:c r="I696" s="56" t="str">
        <x:v>—</x:v>
      </x:c>
      <x:c r="J696" s="57" t="str">
        <x:v>—</x:v>
      </x:c>
      <x:c r="K696" s="57" t="str">
        <x:v>—</x:v>
      </x:c>
      <x:c r="L696" s="57" t="str">
        <x:v>—</x:v>
      </x:c>
      <x:c r="M696" s="57" t="str">
        <x:v>—</x:v>
      </x:c>
      <x:c r="N696" s="57" t="str">
        <x:v>—</x:v>
      </x:c>
      <x:c r="O696" s="57" t="str">
        <x:v>포함</x:v>
      </x:c>
      <x:c r="P696" s="57" t="str">
        <x:v>포함</x:v>
      </x:c>
      <x:c r="Q696" s="57" t="str">
        <x:v>포함</x:v>
      </x:c>
      <x:c r="R696" s="57" t="str">
        <x:v>포함</x:v>
      </x:c>
    </x:row>
    <x:row r="697">
      <x:c r="A697" s="60" t="n">
        <x:v>693</x:v>
      </x:c>
      <x:c r="B697" s="56" t="str">
        <x:v>블로스터</x:v>
      </x:c>
      <x:c r="C697" s="56" t="str">
        <x:v>clawitzer</x:v>
      </x:c>
      <x:c r="D697" s="56" t="str">
        <x:v>해양</x:v>
      </x:c>
      <x:c r="E697" s="56" t="str">
        <x:v>흔함</x:v>
      </x:c>
      <x:c r="F697" s="56" t="str">
        <x:v>아니오</x:v>
      </x:c>
      <x:c r="G697" s="56" t="str">
        <x:v>아니오</x:v>
      </x:c>
      <x:c r="H697" s="56" t="str">
        <x:v>예</x:v>
      </x:c>
      <x:c r="I697" s="56" t="str">
        <x:v>—</x:v>
      </x:c>
      <x:c r="J697" s="57" t="str">
        <x:v>—</x:v>
      </x:c>
      <x:c r="K697" s="57" t="str">
        <x:v>—</x:v>
      </x:c>
      <x:c r="L697" s="57" t="str">
        <x:v>—</x:v>
      </x:c>
      <x:c r="M697" s="57" t="str">
        <x:v>—</x:v>
      </x:c>
      <x:c r="N697" s="57" t="str">
        <x:v>—</x:v>
      </x:c>
      <x:c r="O697" s="57" t="str">
        <x:v>포함</x:v>
      </x:c>
      <x:c r="P697" s="57" t="str">
        <x:v>포함</x:v>
      </x:c>
      <x:c r="Q697" s="57" t="str">
        <x:v>포함</x:v>
      </x:c>
      <x:c r="R697" s="57" t="str">
        <x:v>포함</x:v>
      </x:c>
    </x:row>
    <x:row r="698">
      <x:c r="A698" s="60" t="n">
        <x:v>694</x:v>
      </x:c>
      <x:c r="B698" s="56" t="str">
        <x:v>목도리키텔</x:v>
      </x:c>
      <x:c r="C698" s="56" t="str">
        <x:v>helioptile</x:v>
      </x:c>
      <x:c r="D698" s="56" t="str">
        <x:v>건조지</x:v>
      </x:c>
      <x:c r="E698" s="56" t="str">
        <x:v>보통</x:v>
      </x:c>
      <x:c r="F698" s="56" t="str">
        <x:v>아니오</x:v>
      </x:c>
      <x:c r="G698" s="56" t="str">
        <x:v>아니오</x:v>
      </x:c>
      <x:c r="H698" s="56" t="str">
        <x:v>예</x:v>
      </x:c>
      <x:c r="I698" s="56" t="str">
        <x:v>—</x:v>
      </x:c>
      <x:c r="J698" s="57" t="str">
        <x:v>—</x:v>
      </x:c>
      <x:c r="K698" s="57" t="str">
        <x:v>—</x:v>
      </x:c>
      <x:c r="L698" s="57" t="str">
        <x:v>—</x:v>
      </x:c>
      <x:c r="M698" s="57" t="str">
        <x:v>—</x:v>
      </x:c>
      <x:c r="N698" s="57" t="str">
        <x:v>—</x:v>
      </x:c>
      <x:c r="O698" s="57" t="str">
        <x:v>포함</x:v>
      </x:c>
      <x:c r="P698" s="57" t="str">
        <x:v>—</x:v>
      </x:c>
      <x:c r="Q698" s="57" t="str">
        <x:v>포함</x:v>
      </x:c>
      <x:c r="R698" s="57" t="str">
        <x:v>—</x:v>
      </x:c>
    </x:row>
    <x:row r="699">
      <x:c r="A699" s="60" t="n">
        <x:v>695</x:v>
      </x:c>
      <x:c r="B699" s="56" t="str">
        <x:v>일레도리자드</x:v>
      </x:c>
      <x:c r="C699" s="56" t="str">
        <x:v>heliolisk</x:v>
      </x:c>
      <x:c r="D699" s="56" t="str">
        <x:v>건조지</x:v>
      </x:c>
      <x:c r="E699" s="56" t="str">
        <x:v>드묾</x:v>
      </x:c>
      <x:c r="F699" s="56" t="str">
        <x:v>아니오</x:v>
      </x:c>
      <x:c r="G699" s="56" t="str">
        <x:v>아니오</x:v>
      </x:c>
      <x:c r="H699" s="56" t="str">
        <x:v>예</x:v>
      </x:c>
      <x:c r="I699" s="56" t="str">
        <x:v>—</x:v>
      </x:c>
      <x:c r="J699" s="57" t="str">
        <x:v>—</x:v>
      </x:c>
      <x:c r="K699" s="57" t="str">
        <x:v>—</x:v>
      </x:c>
      <x:c r="L699" s="57" t="str">
        <x:v>—</x:v>
      </x:c>
      <x:c r="M699" s="57" t="str">
        <x:v>—</x:v>
      </x:c>
      <x:c r="N699" s="57" t="str">
        <x:v>—</x:v>
      </x:c>
      <x:c r="O699" s="57" t="str">
        <x:v>포함</x:v>
      </x:c>
      <x:c r="P699" s="57" t="str">
        <x:v>—</x:v>
      </x:c>
      <x:c r="Q699" s="57" t="str">
        <x:v>포함</x:v>
      </x:c>
      <x:c r="R699" s="57" t="str">
        <x:v>—</x:v>
      </x:c>
    </x:row>
    <x:row r="700">
      <x:c r="A700" s="60" t="n">
        <x:v>696</x:v>
      </x:c>
      <x:c r="B700" s="56" t="str">
        <x:v>티고라스</x:v>
      </x:c>
      <x:c r="C700" s="56" t="str">
        <x:v>tyrunt</x:v>
      </x:c>
      <x:c r="D700" s="56" t="str">
        <x:v>산악</x:v>
      </x:c>
      <x:c r="E700" s="56" t="str">
        <x:v>희귀</x:v>
      </x:c>
      <x:c r="F700" s="56" t="str">
        <x:v>아니오</x:v>
      </x:c>
      <x:c r="G700" s="56" t="str">
        <x:v>아니오</x:v>
      </x:c>
      <x:c r="H700" s="56" t="str">
        <x:v>예</x:v>
      </x:c>
      <x:c r="I700" s="56" t="str">
        <x:v>—</x:v>
      </x:c>
      <x:c r="J700" s="57" t="str">
        <x:v>—</x:v>
      </x:c>
      <x:c r="K700" s="57" t="str">
        <x:v>—</x:v>
      </x:c>
      <x:c r="L700" s="57" t="str">
        <x:v>—</x:v>
      </x:c>
      <x:c r="M700" s="57" t="str">
        <x:v>—</x:v>
      </x:c>
      <x:c r="N700" s="57" t="str">
        <x:v>—</x:v>
      </x:c>
      <x:c r="O700" s="57" t="str">
        <x:v>포함</x:v>
      </x:c>
      <x:c r="P700" s="57" t="str">
        <x:v>포함</x:v>
      </x:c>
      <x:c r="Q700" s="57" t="str">
        <x:v>포함</x:v>
      </x:c>
      <x:c r="R700" s="57" t="str">
        <x:v>—</x:v>
      </x:c>
    </x:row>
    <x:row r="701">
      <x:c r="A701" s="60" t="n">
        <x:v>697</x:v>
      </x:c>
      <x:c r="B701" s="56" t="str">
        <x:v>견고라스</x:v>
      </x:c>
      <x:c r="C701" s="56" t="str">
        <x:v>tyrantrum</x:v>
      </x:c>
      <x:c r="D701" s="56" t="str">
        <x:v>산악</x:v>
      </x:c>
      <x:c r="E701" s="56" t="str">
        <x:v>희귀</x:v>
      </x:c>
      <x:c r="F701" s="56" t="str">
        <x:v>아니오</x:v>
      </x:c>
      <x:c r="G701" s="56" t="str">
        <x:v>아니오</x:v>
      </x:c>
      <x:c r="H701" s="56" t="str">
        <x:v>예</x:v>
      </x:c>
      <x:c r="I701" s="56" t="str">
        <x:v>—</x:v>
      </x:c>
      <x:c r="J701" s="57" t="str">
        <x:v>—</x:v>
      </x:c>
      <x:c r="K701" s="57" t="str">
        <x:v>—</x:v>
      </x:c>
      <x:c r="L701" s="57" t="str">
        <x:v>—</x:v>
      </x:c>
      <x:c r="M701" s="57" t="str">
        <x:v>—</x:v>
      </x:c>
      <x:c r="N701" s="57" t="str">
        <x:v>—</x:v>
      </x:c>
      <x:c r="O701" s="57" t="str">
        <x:v>포함</x:v>
      </x:c>
      <x:c r="P701" s="57" t="str">
        <x:v>포함</x:v>
      </x:c>
      <x:c r="Q701" s="57" t="str">
        <x:v>포함</x:v>
      </x:c>
      <x:c r="R701" s="57" t="str">
        <x:v>—</x:v>
      </x:c>
    </x:row>
    <x:row r="702">
      <x:c r="A702" s="60" t="n">
        <x:v>698</x:v>
      </x:c>
      <x:c r="B702" s="56" t="str">
        <x:v>아마루스</x:v>
      </x:c>
      <x:c r="C702" s="56" t="str">
        <x:v>amaura</x:v>
      </x:c>
      <x:c r="D702" s="56" t="str">
        <x:v>산악</x:v>
      </x:c>
      <x:c r="E702" s="56" t="str">
        <x:v>희귀</x:v>
      </x:c>
      <x:c r="F702" s="56" t="str">
        <x:v>아니오</x:v>
      </x:c>
      <x:c r="G702" s="56" t="str">
        <x:v>아니오</x:v>
      </x:c>
      <x:c r="H702" s="56" t="str">
        <x:v>예</x:v>
      </x:c>
      <x:c r="I702" s="56" t="str">
        <x:v>—</x:v>
      </x:c>
      <x:c r="J702" s="57" t="str">
        <x:v>—</x:v>
      </x:c>
      <x:c r="K702" s="57" t="str">
        <x:v>—</x:v>
      </x:c>
      <x:c r="L702" s="57" t="str">
        <x:v>—</x:v>
      </x:c>
      <x:c r="M702" s="57" t="str">
        <x:v>—</x:v>
      </x:c>
      <x:c r="N702" s="57" t="str">
        <x:v>—</x:v>
      </x:c>
      <x:c r="O702" s="57" t="str">
        <x:v>포함</x:v>
      </x:c>
      <x:c r="P702" s="57" t="str">
        <x:v>포함</x:v>
      </x:c>
      <x:c r="Q702" s="57" t="str">
        <x:v>포함</x:v>
      </x:c>
      <x:c r="R702" s="57" t="str">
        <x:v>—</x:v>
      </x:c>
    </x:row>
    <x:row r="703">
      <x:c r="A703" s="60" t="n">
        <x:v>699</x:v>
      </x:c>
      <x:c r="B703" s="56" t="str">
        <x:v>아마루르가</x:v>
      </x:c>
      <x:c r="C703" s="56" t="str">
        <x:v>aurorus</x:v>
      </x:c>
      <x:c r="D703" s="56" t="str">
        <x:v>산악</x:v>
      </x:c>
      <x:c r="E703" s="56" t="str">
        <x:v>희귀</x:v>
      </x:c>
      <x:c r="F703" s="56" t="str">
        <x:v>아니오</x:v>
      </x:c>
      <x:c r="G703" s="56" t="str">
        <x:v>아니오</x:v>
      </x:c>
      <x:c r="H703" s="56" t="str">
        <x:v>예</x:v>
      </x:c>
      <x:c r="I703" s="56" t="str">
        <x:v>—</x:v>
      </x:c>
      <x:c r="J703" s="57" t="str">
        <x:v>—</x:v>
      </x:c>
      <x:c r="K703" s="57" t="str">
        <x:v>—</x:v>
      </x:c>
      <x:c r="L703" s="57" t="str">
        <x:v>—</x:v>
      </x:c>
      <x:c r="M703" s="57" t="str">
        <x:v>—</x:v>
      </x:c>
      <x:c r="N703" s="57" t="str">
        <x:v>—</x:v>
      </x:c>
      <x:c r="O703" s="57" t="str">
        <x:v>포함</x:v>
      </x:c>
      <x:c r="P703" s="57" t="str">
        <x:v>포함</x:v>
      </x:c>
      <x:c r="Q703" s="57" t="str">
        <x:v>포함</x:v>
      </x:c>
      <x:c r="R703" s="57" t="str">
        <x:v>—</x:v>
      </x:c>
    </x:row>
    <x:row r="704">
      <x:c r="A704" s="60" t="n">
        <x:v>700</x:v>
      </x:c>
      <x:c r="B704" s="56" t="str">
        <x:v>님피아</x:v>
      </x:c>
      <x:c r="C704" s="56" t="str">
        <x:v>sylveon</x:v>
      </x:c>
      <x:c r="D704" s="56" t="str">
        <x:v>숲</x:v>
      </x:c>
      <x:c r="E704" s="56" t="str">
        <x:v>보통</x:v>
      </x:c>
      <x:c r="F704" s="56" t="str">
        <x:v>아니오</x:v>
      </x:c>
      <x:c r="G704" s="56" t="str">
        <x:v>아니오</x:v>
      </x:c>
      <x:c r="H704" s="56" t="str">
        <x:v>예</x:v>
      </x:c>
      <x:c r="I704" s="56" t="str">
        <x:v>—</x:v>
      </x:c>
      <x:c r="J704" s="57" t="str">
        <x:v>—</x:v>
      </x:c>
      <x:c r="K704" s="57" t="str">
        <x:v>—</x:v>
      </x:c>
      <x:c r="L704" s="57" t="str">
        <x:v>—</x:v>
      </x:c>
      <x:c r="M704" s="57" t="str">
        <x:v>—</x:v>
      </x:c>
      <x:c r="N704" s="57" t="str">
        <x:v>—</x:v>
      </x:c>
      <x:c r="O704" s="57" t="str">
        <x:v>포함</x:v>
      </x:c>
      <x:c r="P704" s="57" t="str">
        <x:v>포함</x:v>
      </x:c>
      <x:c r="Q704" s="57" t="str">
        <x:v>포함</x:v>
      </x:c>
      <x:c r="R704" s="57" t="str">
        <x:v>포함</x:v>
      </x:c>
    </x:row>
    <x:row r="705">
      <x:c r="A705" s="60" t="n">
        <x:v>701</x:v>
      </x:c>
      <x:c r="B705" s="56" t="str">
        <x:v>루차불</x:v>
      </x:c>
      <x:c r="C705" s="56" t="str">
        <x:v>hawlucha</x:v>
      </x:c>
      <x:c r="D705" s="56" t="str">
        <x:v>건조지</x:v>
      </x:c>
      <x:c r="E705" s="56" t="str">
        <x:v>보통</x:v>
      </x:c>
      <x:c r="F705" s="56" t="str">
        <x:v>아니오</x:v>
      </x:c>
      <x:c r="G705" s="56" t="str">
        <x:v>아니오</x:v>
      </x:c>
      <x:c r="H705" s="56" t="str">
        <x:v>예</x:v>
      </x:c>
      <x:c r="I705" s="56" t="str">
        <x:v>—</x:v>
      </x:c>
      <x:c r="J705" s="57" t="str">
        <x:v>—</x:v>
      </x:c>
      <x:c r="K705" s="57" t="str">
        <x:v>—</x:v>
      </x:c>
      <x:c r="L705" s="57" t="str">
        <x:v>—</x:v>
      </x:c>
      <x:c r="M705" s="57" t="str">
        <x:v>—</x:v>
      </x:c>
      <x:c r="N705" s="57" t="str">
        <x:v>—</x:v>
      </x:c>
      <x:c r="O705" s="57" t="str">
        <x:v>포함</x:v>
      </x:c>
      <x:c r="P705" s="57" t="str">
        <x:v>포함</x:v>
      </x:c>
      <x:c r="Q705" s="57" t="str">
        <x:v>포함</x:v>
      </x:c>
      <x:c r="R705" s="57" t="str">
        <x:v>포함</x:v>
      </x:c>
    </x:row>
    <x:row r="706">
      <x:c r="A706" s="60" t="n">
        <x:v>702</x:v>
      </x:c>
      <x:c r="B706" s="56" t="str">
        <x:v>데덴네</x:v>
      </x:c>
      <x:c r="C706" s="56" t="str">
        <x:v>dedenne</x:v>
      </x:c>
      <x:c r="D706" s="56" t="str">
        <x:v>평원</x:v>
      </x:c>
      <x:c r="E706" s="56" t="str">
        <x:v>보통</x:v>
      </x:c>
      <x:c r="F706" s="56" t="str">
        <x:v>아니오</x:v>
      </x:c>
      <x:c r="G706" s="56" t="str">
        <x:v>아니오</x:v>
      </x:c>
      <x:c r="H706" s="56" t="str">
        <x:v>예</x:v>
      </x:c>
      <x:c r="I706" s="56" t="str">
        <x:v>—</x:v>
      </x:c>
      <x:c r="J706" s="57" t="str">
        <x:v>—</x:v>
      </x:c>
      <x:c r="K706" s="57" t="str">
        <x:v>—</x:v>
      </x:c>
      <x:c r="L706" s="57" t="str">
        <x:v>—</x:v>
      </x:c>
      <x:c r="M706" s="57" t="str">
        <x:v>—</x:v>
      </x:c>
      <x:c r="N706" s="57" t="str">
        <x:v>—</x:v>
      </x:c>
      <x:c r="O706" s="57" t="str">
        <x:v>포함</x:v>
      </x:c>
      <x:c r="P706" s="57" t="str">
        <x:v>포함</x:v>
      </x:c>
      <x:c r="Q706" s="57" t="str">
        <x:v>포함</x:v>
      </x:c>
      <x:c r="R706" s="57" t="str">
        <x:v>포함</x:v>
      </x:c>
    </x:row>
    <x:row r="707">
      <x:c r="A707" s="60" t="n">
        <x:v>703</x:v>
      </x:c>
      <x:c r="B707" s="56" t="str">
        <x:v>멜리시</x:v>
      </x:c>
      <x:c r="C707" s="56" t="str">
        <x:v>carbink</x:v>
      </x:c>
      <x:c r="D707" s="56" t="str">
        <x:v>화산</x:v>
      </x:c>
      <x:c r="E707" s="56" t="str">
        <x:v>보통</x:v>
      </x:c>
      <x:c r="F707" s="56" t="str">
        <x:v>아니오</x:v>
      </x:c>
      <x:c r="G707" s="56" t="str">
        <x:v>아니오</x:v>
      </x:c>
      <x:c r="H707" s="56" t="str">
        <x:v>예</x:v>
      </x:c>
      <x:c r="I707" s="56" t="str">
        <x:v>—</x:v>
      </x:c>
      <x:c r="J707" s="57" t="str">
        <x:v>—</x:v>
      </x:c>
      <x:c r="K707" s="57" t="str">
        <x:v>—</x:v>
      </x:c>
      <x:c r="L707" s="57" t="str">
        <x:v>—</x:v>
      </x:c>
      <x:c r="M707" s="57" t="str">
        <x:v>—</x:v>
      </x:c>
      <x:c r="N707" s="57" t="str">
        <x:v>—</x:v>
      </x:c>
      <x:c r="O707" s="57" t="str">
        <x:v>포함</x:v>
      </x:c>
      <x:c r="P707" s="57" t="str">
        <x:v>포함</x:v>
      </x:c>
      <x:c r="Q707" s="57" t="str">
        <x:v>포함</x:v>
      </x:c>
      <x:c r="R707" s="57" t="str">
        <x:v>포함</x:v>
      </x:c>
    </x:row>
    <x:row r="708">
      <x:c r="A708" s="60" t="n">
        <x:v>704</x:v>
      </x:c>
      <x:c r="B708" s="56" t="str">
        <x:v>미끄메라</x:v>
      </x:c>
      <x:c r="C708" s="56" t="str">
        <x:v>goomy</x:v>
      </x:c>
      <x:c r="D708" s="56" t="str">
        <x:v>습지</x:v>
      </x:c>
      <x:c r="E708" s="56" t="str">
        <x:v>흔함</x:v>
      </x:c>
      <x:c r="F708" s="56" t="str">
        <x:v>아니오</x:v>
      </x:c>
      <x:c r="G708" s="56" t="str">
        <x:v>아니오</x:v>
      </x:c>
      <x:c r="H708" s="56" t="str">
        <x:v>예</x:v>
      </x:c>
      <x:c r="I708" s="56" t="str">
        <x:v>—</x:v>
      </x:c>
      <x:c r="J708" s="57" t="str">
        <x:v>—</x:v>
      </x:c>
      <x:c r="K708" s="57" t="str">
        <x:v>—</x:v>
      </x:c>
      <x:c r="L708" s="57" t="str">
        <x:v>—</x:v>
      </x:c>
      <x:c r="M708" s="57" t="str">
        <x:v>—</x:v>
      </x:c>
      <x:c r="N708" s="57" t="str">
        <x:v>—</x:v>
      </x:c>
      <x:c r="O708" s="57" t="str">
        <x:v>포함</x:v>
      </x:c>
      <x:c r="P708" s="57" t="str">
        <x:v>포함</x:v>
      </x:c>
      <x:c r="Q708" s="57" t="str">
        <x:v>포함</x:v>
      </x:c>
      <x:c r="R708" s="57" t="str">
        <x:v>포함</x:v>
      </x:c>
    </x:row>
    <x:row r="709">
      <x:c r="A709" s="60" t="n">
        <x:v>705</x:v>
      </x:c>
      <x:c r="B709" s="56" t="str">
        <x:v>미끄네일</x:v>
      </x:c>
      <x:c r="C709" s="56" t="str">
        <x:v>sliggoo</x:v>
      </x:c>
      <x:c r="D709" s="56" t="str">
        <x:v>습지</x:v>
      </x:c>
      <x:c r="E709" s="56" t="str">
        <x:v>흔함</x:v>
      </x:c>
      <x:c r="F709" s="56" t="str">
        <x:v>아니오</x:v>
      </x:c>
      <x:c r="G709" s="56" t="str">
        <x:v>아니오</x:v>
      </x:c>
      <x:c r="H709" s="56" t="str">
        <x:v>예</x:v>
      </x:c>
      <x:c r="I709" s="56" t="str">
        <x:v>—</x:v>
      </x:c>
      <x:c r="J709" s="57" t="str">
        <x:v>—</x:v>
      </x:c>
      <x:c r="K709" s="57" t="str">
        <x:v>—</x:v>
      </x:c>
      <x:c r="L709" s="57" t="str">
        <x:v>—</x:v>
      </x:c>
      <x:c r="M709" s="57" t="str">
        <x:v>—</x:v>
      </x:c>
      <x:c r="N709" s="57" t="str">
        <x:v>—</x:v>
      </x:c>
      <x:c r="O709" s="57" t="str">
        <x:v>포함</x:v>
      </x:c>
      <x:c r="P709" s="57" t="str">
        <x:v>포함</x:v>
      </x:c>
      <x:c r="Q709" s="57" t="str">
        <x:v>포함</x:v>
      </x:c>
      <x:c r="R709" s="57" t="str">
        <x:v>포함</x:v>
      </x:c>
    </x:row>
    <x:row r="710">
      <x:c r="A710" s="60" t="n">
        <x:v>706</x:v>
      </x:c>
      <x:c r="B710" s="56" t="str">
        <x:v>미끄래곤</x:v>
      </x:c>
      <x:c r="C710" s="56" t="str">
        <x:v>goodra</x:v>
      </x:c>
      <x:c r="D710" s="56" t="str">
        <x:v>습지</x:v>
      </x:c>
      <x:c r="E710" s="56" t="str">
        <x:v>흔함</x:v>
      </x:c>
      <x:c r="F710" s="56" t="str">
        <x:v>아니오</x:v>
      </x:c>
      <x:c r="G710" s="56" t="str">
        <x:v>아니오</x:v>
      </x:c>
      <x:c r="H710" s="56" t="str">
        <x:v>예</x:v>
      </x:c>
      <x:c r="I710" s="56" t="str">
        <x:v>—</x:v>
      </x:c>
      <x:c r="J710" s="57" t="str">
        <x:v>—</x:v>
      </x:c>
      <x:c r="K710" s="57" t="str">
        <x:v>—</x:v>
      </x:c>
      <x:c r="L710" s="57" t="str">
        <x:v>—</x:v>
      </x:c>
      <x:c r="M710" s="57" t="str">
        <x:v>—</x:v>
      </x:c>
      <x:c r="N710" s="57" t="str">
        <x:v>—</x:v>
      </x:c>
      <x:c r="O710" s="57" t="str">
        <x:v>포함</x:v>
      </x:c>
      <x:c r="P710" s="57" t="str">
        <x:v>포함</x:v>
      </x:c>
      <x:c r="Q710" s="57" t="str">
        <x:v>포함</x:v>
      </x:c>
      <x:c r="R710" s="57" t="str">
        <x:v>포함</x:v>
      </x:c>
    </x:row>
    <x:row r="711">
      <x:c r="A711" s="60" t="n">
        <x:v>707</x:v>
      </x:c>
      <x:c r="B711" s="56" t="str">
        <x:v>클레피</x:v>
      </x:c>
      <x:c r="C711" s="56" t="str">
        <x:v>klefki</x:v>
      </x:c>
      <x:c r="D711" s="56" t="str">
        <x:v>평원</x:v>
      </x:c>
      <x:c r="E711" s="56" t="str">
        <x:v>보통</x:v>
      </x:c>
      <x:c r="F711" s="56" t="str">
        <x:v>아니오</x:v>
      </x:c>
      <x:c r="G711" s="56" t="str">
        <x:v>아니오</x:v>
      </x:c>
      <x:c r="H711" s="56" t="str">
        <x:v>예</x:v>
      </x:c>
      <x:c r="I711" s="56" t="str">
        <x:v>—</x:v>
      </x:c>
      <x:c r="J711" s="57" t="str">
        <x:v>—</x:v>
      </x:c>
      <x:c r="K711" s="57" t="str">
        <x:v>—</x:v>
      </x:c>
      <x:c r="L711" s="57" t="str">
        <x:v>—</x:v>
      </x:c>
      <x:c r="M711" s="57" t="str">
        <x:v>—</x:v>
      </x:c>
      <x:c r="N711" s="57" t="str">
        <x:v>—</x:v>
      </x:c>
      <x:c r="O711" s="57" t="str">
        <x:v>포함</x:v>
      </x:c>
      <x:c r="P711" s="57" t="str">
        <x:v>포함</x:v>
      </x:c>
      <x:c r="Q711" s="57" t="str">
        <x:v>포함</x:v>
      </x:c>
      <x:c r="R711" s="57" t="str">
        <x:v>포함</x:v>
      </x:c>
    </x:row>
    <x:row r="712">
      <x:c r="A712" s="60" t="n">
        <x:v>708</x:v>
      </x:c>
      <x:c r="B712" s="56" t="str">
        <x:v>나목령</x:v>
      </x:c>
      <x:c r="C712" s="56" t="str">
        <x:v>phantump</x:v>
      </x:c>
      <x:c r="D712" s="56" t="str">
        <x:v>숲</x:v>
      </x:c>
      <x:c r="E712" s="56" t="str">
        <x:v>흔함</x:v>
      </x:c>
      <x:c r="F712" s="56" t="str">
        <x:v>아니오</x:v>
      </x:c>
      <x:c r="G712" s="56" t="str">
        <x:v>아니오</x:v>
      </x:c>
      <x:c r="H712" s="56" t="str">
        <x:v>예</x:v>
      </x:c>
      <x:c r="I712" s="56" t="str">
        <x:v>—</x:v>
      </x:c>
      <x:c r="J712" s="57" t="str">
        <x:v>—</x:v>
      </x:c>
      <x:c r="K712" s="57" t="str">
        <x:v>—</x:v>
      </x:c>
      <x:c r="L712" s="57" t="str">
        <x:v>—</x:v>
      </x:c>
      <x:c r="M712" s="57" t="str">
        <x:v>—</x:v>
      </x:c>
      <x:c r="N712" s="57" t="str">
        <x:v>—</x:v>
      </x:c>
      <x:c r="O712" s="57" t="str">
        <x:v>포함</x:v>
      </x:c>
      <x:c r="P712" s="57" t="str">
        <x:v>포함</x:v>
      </x:c>
      <x:c r="Q712" s="57" t="str">
        <x:v>포함</x:v>
      </x:c>
      <x:c r="R712" s="57" t="str">
        <x:v>포함</x:v>
      </x:c>
    </x:row>
    <x:row r="713">
      <x:c r="A713" s="60" t="n">
        <x:v>709</x:v>
      </x:c>
      <x:c r="B713" s="56" t="str">
        <x:v>대로트</x:v>
      </x:c>
      <x:c r="C713" s="56" t="str">
        <x:v>trevenant</x:v>
      </x:c>
      <x:c r="D713" s="56" t="str">
        <x:v>숲</x:v>
      </x:c>
      <x:c r="E713" s="56" t="str">
        <x:v>흔함</x:v>
      </x:c>
      <x:c r="F713" s="56" t="str">
        <x:v>아니오</x:v>
      </x:c>
      <x:c r="G713" s="56" t="str">
        <x:v>아니오</x:v>
      </x:c>
      <x:c r="H713" s="56" t="str">
        <x:v>예</x:v>
      </x:c>
      <x:c r="I713" s="56" t="str">
        <x:v>—</x:v>
      </x:c>
      <x:c r="J713" s="57" t="str">
        <x:v>—</x:v>
      </x:c>
      <x:c r="K713" s="57" t="str">
        <x:v>—</x:v>
      </x:c>
      <x:c r="L713" s="57" t="str">
        <x:v>—</x:v>
      </x:c>
      <x:c r="M713" s="57" t="str">
        <x:v>—</x:v>
      </x:c>
      <x:c r="N713" s="57" t="str">
        <x:v>—</x:v>
      </x:c>
      <x:c r="O713" s="57" t="str">
        <x:v>포함</x:v>
      </x:c>
      <x:c r="P713" s="57" t="str">
        <x:v>포함</x:v>
      </x:c>
      <x:c r="Q713" s="57" t="str">
        <x:v>포함</x:v>
      </x:c>
      <x:c r="R713" s="57" t="str">
        <x:v>포함</x:v>
      </x:c>
    </x:row>
    <x:row r="714">
      <x:c r="A714" s="60" t="n">
        <x:v>710</x:v>
      </x:c>
      <x:c r="B714" s="56" t="str">
        <x:v>호바귀</x:v>
      </x:c>
      <x:c r="C714" s="56" t="str">
        <x:v>pumpkaboo</x:v>
      </x:c>
      <x:c r="D714" s="56" t="str">
        <x:v>화산</x:v>
      </x:c>
      <x:c r="E714" s="56" t="str">
        <x:v>보통</x:v>
      </x:c>
      <x:c r="F714" s="56" t="str">
        <x:v>아니오</x:v>
      </x:c>
      <x:c r="G714" s="56" t="str">
        <x:v>아니오</x:v>
      </x:c>
      <x:c r="H714" s="56" t="str">
        <x:v>예</x:v>
      </x:c>
      <x:c r="I714" s="56" t="str">
        <x:v>—</x:v>
      </x:c>
      <x:c r="J714" s="57" t="str">
        <x:v>—</x:v>
      </x:c>
      <x:c r="K714" s="57" t="str">
        <x:v>—</x:v>
      </x:c>
      <x:c r="L714" s="57" t="str">
        <x:v>—</x:v>
      </x:c>
      <x:c r="M714" s="57" t="str">
        <x:v>—</x:v>
      </x:c>
      <x:c r="N714" s="57" t="str">
        <x:v>—</x:v>
      </x:c>
      <x:c r="O714" s="57" t="str">
        <x:v>포함</x:v>
      </x:c>
      <x:c r="P714" s="57" t="str">
        <x:v>—</x:v>
      </x:c>
      <x:c r="Q714" s="57" t="str">
        <x:v>포함</x:v>
      </x:c>
      <x:c r="R714" s="57" t="str">
        <x:v>—</x:v>
      </x:c>
    </x:row>
    <x:row r="715">
      <x:c r="A715" s="60" t="n">
        <x:v>711</x:v>
      </x:c>
      <x:c r="B715" s="56" t="str">
        <x:v>펌킨인</x:v>
      </x:c>
      <x:c r="C715" s="56" t="str">
        <x:v>gourgeist</x:v>
      </x:c>
      <x:c r="D715" s="56" t="str">
        <x:v>화산</x:v>
      </x:c>
      <x:c r="E715" s="56" t="str">
        <x:v>보통</x:v>
      </x:c>
      <x:c r="F715" s="56" t="str">
        <x:v>아니오</x:v>
      </x:c>
      <x:c r="G715" s="56" t="str">
        <x:v>아니오</x:v>
      </x:c>
      <x:c r="H715" s="56" t="str">
        <x:v>예</x:v>
      </x:c>
      <x:c r="I715" s="56" t="str">
        <x:v>—</x:v>
      </x:c>
      <x:c r="J715" s="57" t="str">
        <x:v>—</x:v>
      </x:c>
      <x:c r="K715" s="57" t="str">
        <x:v>—</x:v>
      </x:c>
      <x:c r="L715" s="57" t="str">
        <x:v>—</x:v>
      </x:c>
      <x:c r="M715" s="57" t="str">
        <x:v>—</x:v>
      </x:c>
      <x:c r="N715" s="57" t="str">
        <x:v>—</x:v>
      </x:c>
      <x:c r="O715" s="57" t="str">
        <x:v>포함</x:v>
      </x:c>
      <x:c r="P715" s="57" t="str">
        <x:v>—</x:v>
      </x:c>
      <x:c r="Q715" s="57" t="str">
        <x:v>포함</x:v>
      </x:c>
      <x:c r="R715" s="57" t="str">
        <x:v>—</x:v>
      </x:c>
    </x:row>
    <x:row r="716">
      <x:c r="A716" s="60" t="n">
        <x:v>712</x:v>
      </x:c>
      <x:c r="B716" s="56" t="str">
        <x:v>꽁어름</x:v>
      </x:c>
      <x:c r="C716" s="56" t="str">
        <x:v>bergmite</x:v>
      </x:c>
      <x:c r="D716" s="56" t="str">
        <x:v>설원</x:v>
      </x:c>
      <x:c r="E716" s="56" t="str">
        <x:v>보통</x:v>
      </x:c>
      <x:c r="F716" s="56" t="str">
        <x:v>아니오</x:v>
      </x:c>
      <x:c r="G716" s="56" t="str">
        <x:v>아니오</x:v>
      </x:c>
      <x:c r="H716" s="56" t="str">
        <x:v>예</x:v>
      </x:c>
      <x:c r="I716" s="56" t="str">
        <x:v>—</x:v>
      </x:c>
      <x:c r="J716" s="57" t="str">
        <x:v>—</x:v>
      </x:c>
      <x:c r="K716" s="57" t="str">
        <x:v>—</x:v>
      </x:c>
      <x:c r="L716" s="57" t="str">
        <x:v>—</x:v>
      </x:c>
      <x:c r="M716" s="57" t="str">
        <x:v>—</x:v>
      </x:c>
      <x:c r="N716" s="57" t="str">
        <x:v>—</x:v>
      </x:c>
      <x:c r="O716" s="57" t="str">
        <x:v>포함</x:v>
      </x:c>
      <x:c r="P716" s="57" t="str">
        <x:v>—</x:v>
      </x:c>
      <x:c r="Q716" s="57" t="str">
        <x:v>포함</x:v>
      </x:c>
      <x:c r="R716" s="57" t="str">
        <x:v>포함</x:v>
      </x:c>
    </x:row>
    <x:row r="717">
      <x:c r="A717" s="60" t="n">
        <x:v>713</x:v>
      </x:c>
      <x:c r="B717" s="56" t="str">
        <x:v>크레베이스</x:v>
      </x:c>
      <x:c r="C717" s="56" t="str">
        <x:v>avalugg</x:v>
      </x:c>
      <x:c r="D717" s="56" t="str">
        <x:v>설원</x:v>
      </x:c>
      <x:c r="E717" s="56" t="str">
        <x:v>보통</x:v>
      </x:c>
      <x:c r="F717" s="56" t="str">
        <x:v>아니오</x:v>
      </x:c>
      <x:c r="G717" s="56" t="str">
        <x:v>아니오</x:v>
      </x:c>
      <x:c r="H717" s="56" t="str">
        <x:v>예</x:v>
      </x:c>
      <x:c r="I717" s="56" t="str">
        <x:v>—</x:v>
      </x:c>
      <x:c r="J717" s="57" t="str">
        <x:v>—</x:v>
      </x:c>
      <x:c r="K717" s="57" t="str">
        <x:v>—</x:v>
      </x:c>
      <x:c r="L717" s="57" t="str">
        <x:v>—</x:v>
      </x:c>
      <x:c r="M717" s="57" t="str">
        <x:v>—</x:v>
      </x:c>
      <x:c r="N717" s="57" t="str">
        <x:v>—</x:v>
      </x:c>
      <x:c r="O717" s="57" t="str">
        <x:v>포함</x:v>
      </x:c>
      <x:c r="P717" s="57" t="str">
        <x:v>—</x:v>
      </x:c>
      <x:c r="Q717" s="57" t="str">
        <x:v>포함</x:v>
      </x:c>
      <x:c r="R717" s="57" t="str">
        <x:v>포함</x:v>
      </x:c>
    </x:row>
    <x:row r="718">
      <x:c r="A718" s="60" t="n">
        <x:v>714</x:v>
      </x:c>
      <x:c r="B718" s="56" t="str">
        <x:v>음뱃</x:v>
      </x:c>
      <x:c r="C718" s="56" t="str">
        <x:v>noibat</x:v>
      </x:c>
      <x:c r="D718" s="56" t="str">
        <x:v>동굴</x:v>
      </x:c>
      <x:c r="E718" s="56" t="str">
        <x:v>보통</x:v>
      </x:c>
      <x:c r="F718" s="56" t="str">
        <x:v>아니오</x:v>
      </x:c>
      <x:c r="G718" s="56" t="str">
        <x:v>아니오</x:v>
      </x:c>
      <x:c r="H718" s="56" t="str">
        <x:v>예</x:v>
      </x:c>
      <x:c r="I718" s="56" t="str">
        <x:v>—</x:v>
      </x:c>
      <x:c r="J718" s="57" t="str">
        <x:v>—</x:v>
      </x:c>
      <x:c r="K718" s="57" t="str">
        <x:v>—</x:v>
      </x:c>
      <x:c r="L718" s="57" t="str">
        <x:v>—</x:v>
      </x:c>
      <x:c r="M718" s="57" t="str">
        <x:v>—</x:v>
      </x:c>
      <x:c r="N718" s="57" t="str">
        <x:v>—</x:v>
      </x:c>
      <x:c r="O718" s="57" t="str">
        <x:v>포함</x:v>
      </x:c>
      <x:c r="P718" s="57" t="str">
        <x:v>포함</x:v>
      </x:c>
      <x:c r="Q718" s="57" t="str">
        <x:v>포함</x:v>
      </x:c>
      <x:c r="R718" s="57" t="str">
        <x:v>포함</x:v>
      </x:c>
    </x:row>
    <x:row r="719">
      <x:c r="A719" s="60" t="n">
        <x:v>715</x:v>
      </x:c>
      <x:c r="B719" s="56" t="str">
        <x:v>음번</x:v>
      </x:c>
      <x:c r="C719" s="56" t="str">
        <x:v>noivern</x:v>
      </x:c>
      <x:c r="D719" s="56" t="str">
        <x:v>동굴</x:v>
      </x:c>
      <x:c r="E719" s="56" t="str">
        <x:v>보통</x:v>
      </x:c>
      <x:c r="F719" s="56" t="str">
        <x:v>아니오</x:v>
      </x:c>
      <x:c r="G719" s="56" t="str">
        <x:v>아니오</x:v>
      </x:c>
      <x:c r="H719" s="56" t="str">
        <x:v>예</x:v>
      </x:c>
      <x:c r="I719" s="56" t="str">
        <x:v>—</x:v>
      </x:c>
      <x:c r="J719" s="57" t="str">
        <x:v>—</x:v>
      </x:c>
      <x:c r="K719" s="57" t="str">
        <x:v>—</x:v>
      </x:c>
      <x:c r="L719" s="57" t="str">
        <x:v>—</x:v>
      </x:c>
      <x:c r="M719" s="57" t="str">
        <x:v>—</x:v>
      </x:c>
      <x:c r="N719" s="57" t="str">
        <x:v>—</x:v>
      </x:c>
      <x:c r="O719" s="57" t="str">
        <x:v>포함</x:v>
      </x:c>
      <x:c r="P719" s="57" t="str">
        <x:v>포함</x:v>
      </x:c>
      <x:c r="Q719" s="57" t="str">
        <x:v>포함</x:v>
      </x:c>
      <x:c r="R719" s="57" t="str">
        <x:v>포함</x:v>
      </x:c>
    </x:row>
    <x:row r="720">
      <x:c r="A720" s="60" t="n">
        <x:v>716</x:v>
      </x:c>
      <x:c r="B720" s="56" t="str">
        <x:v>제르네아스</x:v>
      </x:c>
      <x:c r="C720" s="56" t="str">
        <x:v>xerneas</x:v>
      </x:c>
      <x:c r="D720" s="56" t="str">
        <x:v>특수</x:v>
      </x:c>
      <x:c r="E720" s="56" t="str">
        <x:v>전설</x:v>
      </x:c>
      <x:c r="F720" s="56" t="str">
        <x:v>예</x:v>
      </x:c>
      <x:c r="G720" s="56" t="str">
        <x:v>아니오</x:v>
      </x:c>
      <x:c r="H720" s="56" t="str">
        <x:v>아니오</x:v>
      </x:c>
      <x:c r="I720" s="56" t="str">
        <x:v>전설</x:v>
      </x:c>
      <x:c r="J720" s="57" t="str">
        <x:v>—</x:v>
      </x:c>
      <x:c r="K720" s="57" t="str">
        <x:v>—</x:v>
      </x:c>
      <x:c r="L720" s="57" t="str">
        <x:v>—</x:v>
      </x:c>
      <x:c r="M720" s="57" t="str">
        <x:v>—</x:v>
      </x:c>
      <x:c r="N720" s="57" t="str">
        <x:v>—</x:v>
      </x:c>
      <x:c r="O720" s="57" t="str">
        <x:v>포함</x:v>
      </x:c>
      <x:c r="P720" s="57" t="str">
        <x:v>—</x:v>
      </x:c>
      <x:c r="Q720" s="57" t="str">
        <x:v>—</x:v>
      </x:c>
      <x:c r="R720" s="57" t="str">
        <x:v>—</x:v>
      </x:c>
    </x:row>
    <x:row r="721">
      <x:c r="A721" s="60" t="n">
        <x:v>717</x:v>
      </x:c>
      <x:c r="B721" s="56" t="str">
        <x:v>이벨타르</x:v>
      </x:c>
      <x:c r="C721" s="56" t="str">
        <x:v>yveltal</x:v>
      </x:c>
      <x:c r="D721" s="56" t="str">
        <x:v>특수</x:v>
      </x:c>
      <x:c r="E721" s="56" t="str">
        <x:v>전설</x:v>
      </x:c>
      <x:c r="F721" s="56" t="str">
        <x:v>예</x:v>
      </x:c>
      <x:c r="G721" s="56" t="str">
        <x:v>아니오</x:v>
      </x:c>
      <x:c r="H721" s="56" t="str">
        <x:v>아니오</x:v>
      </x:c>
      <x:c r="I721" s="56" t="str">
        <x:v>전설</x:v>
      </x:c>
      <x:c r="J721" s="57" t="str">
        <x:v>—</x:v>
      </x:c>
      <x:c r="K721" s="57" t="str">
        <x:v>—</x:v>
      </x:c>
      <x:c r="L721" s="57" t="str">
        <x:v>—</x:v>
      </x:c>
      <x:c r="M721" s="57" t="str">
        <x:v>—</x:v>
      </x:c>
      <x:c r="N721" s="57" t="str">
        <x:v>—</x:v>
      </x:c>
      <x:c r="O721" s="57" t="str">
        <x:v>포함</x:v>
      </x:c>
      <x:c r="P721" s="57" t="str">
        <x:v>—</x:v>
      </x:c>
      <x:c r="Q721" s="57" t="str">
        <x:v>—</x:v>
      </x:c>
      <x:c r="R721" s="57" t="str">
        <x:v>—</x:v>
      </x:c>
    </x:row>
    <x:row r="722">
      <x:c r="A722" s="60" t="n">
        <x:v>718</x:v>
      </x:c>
      <x:c r="B722" s="56" t="str">
        <x:v>지가르데</x:v>
      </x:c>
      <x:c r="C722" s="56" t="str">
        <x:v>zygarde</x:v>
      </x:c>
      <x:c r="D722" s="56" t="str">
        <x:v>동굴</x:v>
      </x:c>
      <x:c r="E722" s="56" t="str">
        <x:v>전설</x:v>
      </x:c>
      <x:c r="F722" s="56" t="str">
        <x:v>예</x:v>
      </x:c>
      <x:c r="G722" s="56" t="str">
        <x:v>아니오</x:v>
      </x:c>
      <x:c r="H722" s="56" t="str">
        <x:v>아니오</x:v>
      </x:c>
      <x:c r="I722" s="56" t="str">
        <x:v>전설</x:v>
      </x:c>
      <x:c r="J722" s="57" t="str">
        <x:v>—</x:v>
      </x:c>
      <x:c r="K722" s="57" t="str">
        <x:v>—</x:v>
      </x:c>
      <x:c r="L722" s="57" t="str">
        <x:v>—</x:v>
      </x:c>
      <x:c r="M722" s="57" t="str">
        <x:v>—</x:v>
      </x:c>
      <x:c r="N722" s="57" t="str">
        <x:v>—</x:v>
      </x:c>
      <x:c r="O722" s="57" t="str">
        <x:v>포함</x:v>
      </x:c>
      <x:c r="P722" s="57" t="str">
        <x:v>포함</x:v>
      </x:c>
      <x:c r="Q722" s="57" t="str">
        <x:v>—</x:v>
      </x:c>
      <x:c r="R722" s="57" t="str">
        <x:v>—</x:v>
      </x:c>
    </x:row>
    <x:row r="723">
      <x:c r="A723" s="60" t="n">
        <x:v>719</x:v>
      </x:c>
      <x:c r="B723" s="56" t="str">
        <x:v>디안시</x:v>
      </x:c>
      <x:c r="C723" s="56" t="str">
        <x:v>diancie</x:v>
      </x:c>
      <x:c r="D723" s="56" t="str">
        <x:v>동굴</x:v>
      </x:c>
      <x:c r="E723" s="56" t="str">
        <x:v>전설</x:v>
      </x:c>
      <x:c r="F723" s="56" t="str">
        <x:v>아니오</x:v>
      </x:c>
      <x:c r="G723" s="56" t="str">
        <x:v>예</x:v>
      </x:c>
      <x:c r="H723" s="56" t="str">
        <x:v>아니오</x:v>
      </x:c>
      <x:c r="I723" s="56" t="str">
        <x:v>환상</x:v>
      </x:c>
      <x:c r="J723" s="57" t="str">
        <x:v>—</x:v>
      </x:c>
      <x:c r="K723" s="57" t="str">
        <x:v>—</x:v>
      </x:c>
      <x:c r="L723" s="57" t="str">
        <x:v>—</x:v>
      </x:c>
      <x:c r="M723" s="57" t="str">
        <x:v>—</x:v>
      </x:c>
      <x:c r="N723" s="57" t="str">
        <x:v>—</x:v>
      </x:c>
      <x:c r="O723" s="57" t="str">
        <x:v>—</x:v>
      </x:c>
      <x:c r="P723" s="57" t="str">
        <x:v>—</x:v>
      </x:c>
      <x:c r="Q723" s="57" t="str">
        <x:v>—</x:v>
      </x:c>
      <x:c r="R723" s="57" t="str">
        <x:v>—</x:v>
      </x:c>
    </x:row>
    <x:row r="724">
      <x:c r="A724" s="60" t="n">
        <x:v>720</x:v>
      </x:c>
      <x:c r="B724" s="56" t="str">
        <x:v>후파</x:v>
      </x:c>
      <x:c r="C724" s="56" t="str">
        <x:v>hoopa</x:v>
      </x:c>
      <x:c r="D724" s="56" t="str">
        <x:v>특수</x:v>
      </x:c>
      <x:c r="E724" s="56" t="str">
        <x:v>전설</x:v>
      </x:c>
      <x:c r="F724" s="56" t="str">
        <x:v>아니오</x:v>
      </x:c>
      <x:c r="G724" s="56" t="str">
        <x:v>예</x:v>
      </x:c>
      <x:c r="H724" s="56" t="str">
        <x:v>아니오</x:v>
      </x:c>
      <x:c r="I724" s="56" t="str">
        <x:v>환상</x:v>
      </x:c>
      <x:c r="J724" s="57" t="str">
        <x:v>—</x:v>
      </x:c>
      <x:c r="K724" s="57" t="str">
        <x:v>—</x:v>
      </x:c>
      <x:c r="L724" s="57" t="str">
        <x:v>—</x:v>
      </x:c>
      <x:c r="M724" s="57" t="str">
        <x:v>—</x:v>
      </x:c>
      <x:c r="N724" s="57" t="str">
        <x:v>—</x:v>
      </x:c>
      <x:c r="O724" s="57" t="str">
        <x:v>—</x:v>
      </x:c>
      <x:c r="P724" s="57" t="str">
        <x:v>—</x:v>
      </x:c>
      <x:c r="Q724" s="57" t="str">
        <x:v>—</x:v>
      </x:c>
      <x:c r="R724" s="57" t="str">
        <x:v>—</x:v>
      </x:c>
    </x:row>
    <x:row r="725">
      <x:c r="A725" s="60" t="n">
        <x:v>721</x:v>
      </x:c>
      <x:c r="B725" s="56" t="str">
        <x:v>볼케니온</x:v>
      </x:c>
      <x:c r="C725" s="56" t="str">
        <x:v>volcanion</x:v>
      </x:c>
      <x:c r="D725" s="56" t="str">
        <x:v>산악</x:v>
      </x:c>
      <x:c r="E725" s="56" t="str">
        <x:v>전설</x:v>
      </x:c>
      <x:c r="F725" s="56" t="str">
        <x:v>아니오</x:v>
      </x:c>
      <x:c r="G725" s="56" t="str">
        <x:v>예</x:v>
      </x:c>
      <x:c r="H725" s="56" t="str">
        <x:v>아니오</x:v>
      </x:c>
      <x:c r="I725" s="56" t="str">
        <x:v>환상</x:v>
      </x:c>
      <x:c r="J725" s="57" t="str">
        <x:v>—</x:v>
      </x:c>
      <x:c r="K725" s="57" t="str">
        <x:v>—</x:v>
      </x:c>
      <x:c r="L725" s="57" t="str">
        <x:v>—</x:v>
      </x:c>
      <x:c r="M725" s="57" t="str">
        <x:v>—</x:v>
      </x:c>
      <x:c r="N725" s="57" t="str">
        <x:v>—</x:v>
      </x:c>
      <x:c r="O725" s="57" t="str">
        <x:v>—</x:v>
      </x:c>
      <x:c r="P725" s="57" t="str">
        <x:v>—</x:v>
      </x:c>
      <x:c r="Q725" s="57" t="str">
        <x:v>—</x:v>
      </x:c>
      <x:c r="R725" s="57" t="str">
        <x:v>—</x:v>
      </x:c>
    </x:row>
    <x:row r="726">
      <x:c r="A726" s="60" t="n">
        <x:v>722</x:v>
      </x:c>
      <x:c r="B726" s="56" t="str">
        <x:v>나몰빼미</x:v>
      </x:c>
      <x:c r="C726" s="56" t="str">
        <x:v>rowlet</x:v>
      </x:c>
      <x:c r="D726" s="56" t="str">
        <x:v>숲</x:v>
      </x:c>
      <x:c r="E726" s="56" t="str">
        <x:v>희귀</x:v>
      </x:c>
      <x:c r="F726" s="56" t="str">
        <x:v>아니오</x:v>
      </x:c>
      <x:c r="G726" s="56" t="str">
        <x:v>아니오</x:v>
      </x:c>
      <x:c r="H726" s="56" t="str">
        <x:v>예</x:v>
      </x:c>
      <x:c r="I726" s="56" t="str">
        <x:v>—</x:v>
      </x:c>
      <x:c r="J726" s="57" t="str">
        <x:v>—</x:v>
      </x:c>
      <x:c r="K726" s="57" t="str">
        <x:v>—</x:v>
      </x:c>
      <x:c r="L726" s="57" t="str">
        <x:v>—</x:v>
      </x:c>
      <x:c r="M726" s="57" t="str">
        <x:v>—</x:v>
      </x:c>
      <x:c r="N726" s="57" t="str">
        <x:v>—</x:v>
      </x:c>
      <x:c r="O726" s="57" t="str">
        <x:v>—</x:v>
      </x:c>
      <x:c r="P726" s="57" t="str">
        <x:v>포함</x:v>
      </x:c>
      <x:c r="Q726" s="57" t="str">
        <x:v>—</x:v>
      </x:c>
      <x:c r="R726" s="57" t="str">
        <x:v>포함</x:v>
      </x:c>
    </x:row>
    <x:row r="727">
      <x:c r="A727" s="60" t="n">
        <x:v>723</x:v>
      </x:c>
      <x:c r="B727" s="56" t="str">
        <x:v>빼미스로우</x:v>
      </x:c>
      <x:c r="C727" s="56" t="str">
        <x:v>dartrix</x:v>
      </x:c>
      <x:c r="D727" s="56" t="str">
        <x:v>숲</x:v>
      </x:c>
      <x:c r="E727" s="56" t="str">
        <x:v>희귀</x:v>
      </x:c>
      <x:c r="F727" s="56" t="str">
        <x:v>아니오</x:v>
      </x:c>
      <x:c r="G727" s="56" t="str">
        <x:v>아니오</x:v>
      </x:c>
      <x:c r="H727" s="56" t="str">
        <x:v>예</x:v>
      </x:c>
      <x:c r="I727" s="56" t="str">
        <x:v>—</x:v>
      </x:c>
      <x:c r="J727" s="57" t="str">
        <x:v>—</x:v>
      </x:c>
      <x:c r="K727" s="57" t="str">
        <x:v>—</x:v>
      </x:c>
      <x:c r="L727" s="57" t="str">
        <x:v>—</x:v>
      </x:c>
      <x:c r="M727" s="57" t="str">
        <x:v>—</x:v>
      </x:c>
      <x:c r="N727" s="57" t="str">
        <x:v>—</x:v>
      </x:c>
      <x:c r="O727" s="57" t="str">
        <x:v>—</x:v>
      </x:c>
      <x:c r="P727" s="57" t="str">
        <x:v>포함</x:v>
      </x:c>
      <x:c r="Q727" s="57" t="str">
        <x:v>—</x:v>
      </x:c>
      <x:c r="R727" s="57" t="str">
        <x:v>포함</x:v>
      </x:c>
    </x:row>
    <x:row r="728">
      <x:c r="A728" s="60" t="n">
        <x:v>724</x:v>
      </x:c>
      <x:c r="B728" s="56" t="str">
        <x:v>모크나이퍼</x:v>
      </x:c>
      <x:c r="C728" s="56" t="str">
        <x:v>decidueye</x:v>
      </x:c>
      <x:c r="D728" s="56" t="str">
        <x:v>숲</x:v>
      </x:c>
      <x:c r="E728" s="56" t="str">
        <x:v>희귀</x:v>
      </x:c>
      <x:c r="F728" s="56" t="str">
        <x:v>아니오</x:v>
      </x:c>
      <x:c r="G728" s="56" t="str">
        <x:v>아니오</x:v>
      </x:c>
      <x:c r="H728" s="56" t="str">
        <x:v>예</x:v>
      </x:c>
      <x:c r="I728" s="56" t="str">
        <x:v>—</x:v>
      </x:c>
      <x:c r="J728" s="57" t="str">
        <x:v>—</x:v>
      </x:c>
      <x:c r="K728" s="57" t="str">
        <x:v>—</x:v>
      </x:c>
      <x:c r="L728" s="57" t="str">
        <x:v>—</x:v>
      </x:c>
      <x:c r="M728" s="57" t="str">
        <x:v>—</x:v>
      </x:c>
      <x:c r="N728" s="57" t="str">
        <x:v>—</x:v>
      </x:c>
      <x:c r="O728" s="57" t="str">
        <x:v>—</x:v>
      </x:c>
      <x:c r="P728" s="57" t="str">
        <x:v>포함</x:v>
      </x:c>
      <x:c r="Q728" s="57" t="str">
        <x:v>—</x:v>
      </x:c>
      <x:c r="R728" s="57" t="str">
        <x:v>포함</x:v>
      </x:c>
    </x:row>
    <x:row r="729">
      <x:c r="A729" s="60" t="n">
        <x:v>725</x:v>
      </x:c>
      <x:c r="B729" s="56" t="str">
        <x:v>냐오불</x:v>
      </x:c>
      <x:c r="C729" s="56" t="str">
        <x:v>litten</x:v>
      </x:c>
      <x:c r="D729" s="56" t="str">
        <x:v>숲</x:v>
      </x:c>
      <x:c r="E729" s="56" t="str">
        <x:v>희귀</x:v>
      </x:c>
      <x:c r="F729" s="56" t="str">
        <x:v>아니오</x:v>
      </x:c>
      <x:c r="G729" s="56" t="str">
        <x:v>아니오</x:v>
      </x:c>
      <x:c r="H729" s="56" t="str">
        <x:v>예</x:v>
      </x:c>
      <x:c r="I729" s="56" t="str">
        <x:v>—</x:v>
      </x:c>
      <x:c r="J729" s="57" t="str">
        <x:v>—</x:v>
      </x:c>
      <x:c r="K729" s="57" t="str">
        <x:v>—</x:v>
      </x:c>
      <x:c r="L729" s="57" t="str">
        <x:v>—</x:v>
      </x:c>
      <x:c r="M729" s="57" t="str">
        <x:v>—</x:v>
      </x:c>
      <x:c r="N729" s="57" t="str">
        <x:v>—</x:v>
      </x:c>
      <x:c r="O729" s="57" t="str">
        <x:v>—</x:v>
      </x:c>
      <x:c r="P729" s="57" t="str">
        <x:v>포함</x:v>
      </x:c>
      <x:c r="Q729" s="57" t="str">
        <x:v>—</x:v>
      </x:c>
      <x:c r="R729" s="57" t="str">
        <x:v>포함</x:v>
      </x:c>
    </x:row>
    <x:row r="730">
      <x:c r="A730" s="60" t="n">
        <x:v>726</x:v>
      </x:c>
      <x:c r="B730" s="56" t="str">
        <x:v>냐오히트</x:v>
      </x:c>
      <x:c r="C730" s="56" t="str">
        <x:v>torracat</x:v>
      </x:c>
      <x:c r="D730" s="56" t="str">
        <x:v>숲</x:v>
      </x:c>
      <x:c r="E730" s="56" t="str">
        <x:v>희귀</x:v>
      </x:c>
      <x:c r="F730" s="56" t="str">
        <x:v>아니오</x:v>
      </x:c>
      <x:c r="G730" s="56" t="str">
        <x:v>아니오</x:v>
      </x:c>
      <x:c r="H730" s="56" t="str">
        <x:v>예</x:v>
      </x:c>
      <x:c r="I730" s="56" t="str">
        <x:v>—</x:v>
      </x:c>
      <x:c r="J730" s="57" t="str">
        <x:v>—</x:v>
      </x:c>
      <x:c r="K730" s="57" t="str">
        <x:v>—</x:v>
      </x:c>
      <x:c r="L730" s="57" t="str">
        <x:v>—</x:v>
      </x:c>
      <x:c r="M730" s="57" t="str">
        <x:v>—</x:v>
      </x:c>
      <x:c r="N730" s="57" t="str">
        <x:v>—</x:v>
      </x:c>
      <x:c r="O730" s="57" t="str">
        <x:v>—</x:v>
      </x:c>
      <x:c r="P730" s="57" t="str">
        <x:v>포함</x:v>
      </x:c>
      <x:c r="Q730" s="57" t="str">
        <x:v>—</x:v>
      </x:c>
      <x:c r="R730" s="57" t="str">
        <x:v>포함</x:v>
      </x:c>
    </x:row>
    <x:row r="731">
      <x:c r="A731" s="60" t="n">
        <x:v>727</x:v>
      </x:c>
      <x:c r="B731" s="56" t="str">
        <x:v>어흥염</x:v>
      </x:c>
      <x:c r="C731" s="56" t="str">
        <x:v>incineroar</x:v>
      </x:c>
      <x:c r="D731" s="56" t="str">
        <x:v>숲</x:v>
      </x:c>
      <x:c r="E731" s="56" t="str">
        <x:v>희귀</x:v>
      </x:c>
      <x:c r="F731" s="56" t="str">
        <x:v>아니오</x:v>
      </x:c>
      <x:c r="G731" s="56" t="str">
        <x:v>아니오</x:v>
      </x:c>
      <x:c r="H731" s="56" t="str">
        <x:v>예</x:v>
      </x:c>
      <x:c r="I731" s="56" t="str">
        <x:v>—</x:v>
      </x:c>
      <x:c r="J731" s="57" t="str">
        <x:v>—</x:v>
      </x:c>
      <x:c r="K731" s="57" t="str">
        <x:v>—</x:v>
      </x:c>
      <x:c r="L731" s="57" t="str">
        <x:v>—</x:v>
      </x:c>
      <x:c r="M731" s="57" t="str">
        <x:v>—</x:v>
      </x:c>
      <x:c r="N731" s="57" t="str">
        <x:v>—</x:v>
      </x:c>
      <x:c r="O731" s="57" t="str">
        <x:v>—</x:v>
      </x:c>
      <x:c r="P731" s="57" t="str">
        <x:v>포함</x:v>
      </x:c>
      <x:c r="Q731" s="57" t="str">
        <x:v>—</x:v>
      </x:c>
      <x:c r="R731" s="57" t="str">
        <x:v>포함</x:v>
      </x:c>
    </x:row>
    <x:row r="732">
      <x:c r="A732" s="60" t="n">
        <x:v>728</x:v>
      </x:c>
      <x:c r="B732" s="56" t="str">
        <x:v>누리공</x:v>
      </x:c>
      <x:c r="C732" s="56" t="str">
        <x:v>popplio</x:v>
      </x:c>
      <x:c r="D732" s="56" t="str">
        <x:v>해양</x:v>
      </x:c>
      <x:c r="E732" s="56" t="str">
        <x:v>희귀</x:v>
      </x:c>
      <x:c r="F732" s="56" t="str">
        <x:v>아니오</x:v>
      </x:c>
      <x:c r="G732" s="56" t="str">
        <x:v>아니오</x:v>
      </x:c>
      <x:c r="H732" s="56" t="str">
        <x:v>예</x:v>
      </x:c>
      <x:c r="I732" s="56" t="str">
        <x:v>—</x:v>
      </x:c>
      <x:c r="J732" s="57" t="str">
        <x:v>—</x:v>
      </x:c>
      <x:c r="K732" s="57" t="str">
        <x:v>—</x:v>
      </x:c>
      <x:c r="L732" s="57" t="str">
        <x:v>—</x:v>
      </x:c>
      <x:c r="M732" s="57" t="str">
        <x:v>—</x:v>
      </x:c>
      <x:c r="N732" s="57" t="str">
        <x:v>—</x:v>
      </x:c>
      <x:c r="O732" s="57" t="str">
        <x:v>—</x:v>
      </x:c>
      <x:c r="P732" s="57" t="str">
        <x:v>포함</x:v>
      </x:c>
      <x:c r="Q732" s="57" t="str">
        <x:v>—</x:v>
      </x:c>
      <x:c r="R732" s="57" t="str">
        <x:v>포함</x:v>
      </x:c>
    </x:row>
    <x:row r="733">
      <x:c r="A733" s="60" t="n">
        <x:v>729</x:v>
      </x:c>
      <x:c r="B733" s="56" t="str">
        <x:v>키요공</x:v>
      </x:c>
      <x:c r="C733" s="56" t="str">
        <x:v>brionne</x:v>
      </x:c>
      <x:c r="D733" s="56" t="str">
        <x:v>해양</x:v>
      </x:c>
      <x:c r="E733" s="56" t="str">
        <x:v>희귀</x:v>
      </x:c>
      <x:c r="F733" s="56" t="str">
        <x:v>아니오</x:v>
      </x:c>
      <x:c r="G733" s="56" t="str">
        <x:v>아니오</x:v>
      </x:c>
      <x:c r="H733" s="56" t="str">
        <x:v>예</x:v>
      </x:c>
      <x:c r="I733" s="56" t="str">
        <x:v>—</x:v>
      </x:c>
      <x:c r="J733" s="57" t="str">
        <x:v>—</x:v>
      </x:c>
      <x:c r="K733" s="57" t="str">
        <x:v>—</x:v>
      </x:c>
      <x:c r="L733" s="57" t="str">
        <x:v>—</x:v>
      </x:c>
      <x:c r="M733" s="57" t="str">
        <x:v>—</x:v>
      </x:c>
      <x:c r="N733" s="57" t="str">
        <x:v>—</x:v>
      </x:c>
      <x:c r="O733" s="57" t="str">
        <x:v>—</x:v>
      </x:c>
      <x:c r="P733" s="57" t="str">
        <x:v>포함</x:v>
      </x:c>
      <x:c r="Q733" s="57" t="str">
        <x:v>—</x:v>
      </x:c>
      <x:c r="R733" s="57" t="str">
        <x:v>포함</x:v>
      </x:c>
    </x:row>
    <x:row r="734">
      <x:c r="A734" s="60" t="n">
        <x:v>730</x:v>
      </x:c>
      <x:c r="B734" s="56" t="str">
        <x:v>누리레느</x:v>
      </x:c>
      <x:c r="C734" s="56" t="str">
        <x:v>primarina</x:v>
      </x:c>
      <x:c r="D734" s="56" t="str">
        <x:v>해양</x:v>
      </x:c>
      <x:c r="E734" s="56" t="str">
        <x:v>희귀</x:v>
      </x:c>
      <x:c r="F734" s="56" t="str">
        <x:v>아니오</x:v>
      </x:c>
      <x:c r="G734" s="56" t="str">
        <x:v>아니오</x:v>
      </x:c>
      <x:c r="H734" s="56" t="str">
        <x:v>예</x:v>
      </x:c>
      <x:c r="I734" s="56" t="str">
        <x:v>—</x:v>
      </x:c>
      <x:c r="J734" s="57" t="str">
        <x:v>—</x:v>
      </x:c>
      <x:c r="K734" s="57" t="str">
        <x:v>—</x:v>
      </x:c>
      <x:c r="L734" s="57" t="str">
        <x:v>—</x:v>
      </x:c>
      <x:c r="M734" s="57" t="str">
        <x:v>—</x:v>
      </x:c>
      <x:c r="N734" s="57" t="str">
        <x:v>—</x:v>
      </x:c>
      <x:c r="O734" s="57" t="str">
        <x:v>—</x:v>
      </x:c>
      <x:c r="P734" s="57" t="str">
        <x:v>포함</x:v>
      </x:c>
      <x:c r="Q734" s="57" t="str">
        <x:v>—</x:v>
      </x:c>
      <x:c r="R734" s="57" t="str">
        <x:v>포함</x:v>
      </x:c>
    </x:row>
    <x:row r="735">
      <x:c r="A735" s="60" t="n">
        <x:v>731</x:v>
      </x:c>
      <x:c r="B735" s="56" t="str">
        <x:v>콕코구리</x:v>
      </x:c>
      <x:c r="C735" s="56" t="str">
        <x:v>pikipek</x:v>
      </x:c>
      <x:c r="D735" s="56" t="str">
        <x:v>숲</x:v>
      </x:c>
      <x:c r="E735" s="56" t="str">
        <x:v>흔함</x:v>
      </x:c>
      <x:c r="F735" s="56" t="str">
        <x:v>아니오</x:v>
      </x:c>
      <x:c r="G735" s="56" t="str">
        <x:v>아니오</x:v>
      </x:c>
      <x:c r="H735" s="56" t="str">
        <x:v>예</x:v>
      </x:c>
      <x:c r="I735" s="56" t="str">
        <x:v>—</x:v>
      </x:c>
      <x:c r="J735" s="57" t="str">
        <x:v>—</x:v>
      </x:c>
      <x:c r="K735" s="57" t="str">
        <x:v>—</x:v>
      </x:c>
      <x:c r="L735" s="57" t="str">
        <x:v>—</x:v>
      </x:c>
      <x:c r="M735" s="57" t="str">
        <x:v>—</x:v>
      </x:c>
      <x:c r="N735" s="57" t="str">
        <x:v>—</x:v>
      </x:c>
      <x:c r="O735" s="57" t="str">
        <x:v>—</x:v>
      </x:c>
      <x:c r="P735" s="57" t="str">
        <x:v>포함</x:v>
      </x:c>
      <x:c r="Q735" s="57" t="str">
        <x:v>—</x:v>
      </x:c>
      <x:c r="R735" s="57" t="str">
        <x:v>포함</x:v>
      </x:c>
    </x:row>
    <x:row r="736">
      <x:c r="A736" s="60" t="n">
        <x:v>732</x:v>
      </x:c>
      <x:c r="B736" s="56" t="str">
        <x:v>크라파</x:v>
      </x:c>
      <x:c r="C736" s="56" t="str">
        <x:v>trumbeak</x:v>
      </x:c>
      <x:c r="D736" s="56" t="str">
        <x:v>숲</x:v>
      </x:c>
      <x:c r="E736" s="56" t="str">
        <x:v>흔함</x:v>
      </x:c>
      <x:c r="F736" s="56" t="str">
        <x:v>아니오</x:v>
      </x:c>
      <x:c r="G736" s="56" t="str">
        <x:v>아니오</x:v>
      </x:c>
      <x:c r="H736" s="56" t="str">
        <x:v>예</x:v>
      </x:c>
      <x:c r="I736" s="56" t="str">
        <x:v>—</x:v>
      </x:c>
      <x:c r="J736" s="57" t="str">
        <x:v>—</x:v>
      </x:c>
      <x:c r="K736" s="57" t="str">
        <x:v>—</x:v>
      </x:c>
      <x:c r="L736" s="57" t="str">
        <x:v>—</x:v>
      </x:c>
      <x:c r="M736" s="57" t="str">
        <x:v>—</x:v>
      </x:c>
      <x:c r="N736" s="57" t="str">
        <x:v>—</x:v>
      </x:c>
      <x:c r="O736" s="57" t="str">
        <x:v>—</x:v>
      </x:c>
      <x:c r="P736" s="57" t="str">
        <x:v>포함</x:v>
      </x:c>
      <x:c r="Q736" s="57" t="str">
        <x:v>—</x:v>
      </x:c>
      <x:c r="R736" s="57" t="str">
        <x:v>포함</x:v>
      </x:c>
    </x:row>
    <x:row r="737">
      <x:c r="A737" s="60" t="n">
        <x:v>733</x:v>
      </x:c>
      <x:c r="B737" s="56" t="str">
        <x:v>왕큰부리</x:v>
      </x:c>
      <x:c r="C737" s="56" t="str">
        <x:v>toucannon</x:v>
      </x:c>
      <x:c r="D737" s="56" t="str">
        <x:v>숲</x:v>
      </x:c>
      <x:c r="E737" s="56" t="str">
        <x:v>흔함</x:v>
      </x:c>
      <x:c r="F737" s="56" t="str">
        <x:v>아니오</x:v>
      </x:c>
      <x:c r="G737" s="56" t="str">
        <x:v>아니오</x:v>
      </x:c>
      <x:c r="H737" s="56" t="str">
        <x:v>예</x:v>
      </x:c>
      <x:c r="I737" s="56" t="str">
        <x:v>—</x:v>
      </x:c>
      <x:c r="J737" s="57" t="str">
        <x:v>—</x:v>
      </x:c>
      <x:c r="K737" s="57" t="str">
        <x:v>—</x:v>
      </x:c>
      <x:c r="L737" s="57" t="str">
        <x:v>—</x:v>
      </x:c>
      <x:c r="M737" s="57" t="str">
        <x:v>—</x:v>
      </x:c>
      <x:c r="N737" s="57" t="str">
        <x:v>—</x:v>
      </x:c>
      <x:c r="O737" s="57" t="str">
        <x:v>—</x:v>
      </x:c>
      <x:c r="P737" s="57" t="str">
        <x:v>포함</x:v>
      </x:c>
      <x:c r="Q737" s="57" t="str">
        <x:v>—</x:v>
      </x:c>
      <x:c r="R737" s="57" t="str">
        <x:v>포함</x:v>
      </x:c>
    </x:row>
    <x:row r="738">
      <x:c r="A738" s="60" t="n">
        <x:v>734</x:v>
      </x:c>
      <x:c r="B738" s="56" t="str">
        <x:v>영구스</x:v>
      </x:c>
      <x:c r="C738" s="56" t="str">
        <x:v>yungoos</x:v>
      </x:c>
      <x:c r="D738" s="56" t="str">
        <x:v>평원</x:v>
      </x:c>
      <x:c r="E738" s="56" t="str">
        <x:v>흔함</x:v>
      </x:c>
      <x:c r="F738" s="56" t="str">
        <x:v>아니오</x:v>
      </x:c>
      <x:c r="G738" s="56" t="str">
        <x:v>아니오</x:v>
      </x:c>
      <x:c r="H738" s="56" t="str">
        <x:v>예</x:v>
      </x:c>
      <x:c r="I738" s="56" t="str">
        <x:v>—</x:v>
      </x:c>
      <x:c r="J738" s="57" t="str">
        <x:v>—</x:v>
      </x:c>
      <x:c r="K738" s="57" t="str">
        <x:v>—</x:v>
      </x:c>
      <x:c r="L738" s="57" t="str">
        <x:v>—</x:v>
      </x:c>
      <x:c r="M738" s="57" t="str">
        <x:v>—</x:v>
      </x:c>
      <x:c r="N738" s="57" t="str">
        <x:v>—</x:v>
      </x:c>
      <x:c r="O738" s="57" t="str">
        <x:v>—</x:v>
      </x:c>
      <x:c r="P738" s="57" t="str">
        <x:v>포함</x:v>
      </x:c>
      <x:c r="Q738" s="57" t="str">
        <x:v>—</x:v>
      </x:c>
      <x:c r="R738" s="57" t="str">
        <x:v>포함</x:v>
      </x:c>
    </x:row>
    <x:row r="739">
      <x:c r="A739" s="60" t="n">
        <x:v>735</x:v>
      </x:c>
      <x:c r="B739" s="56" t="str">
        <x:v>형사구스</x:v>
      </x:c>
      <x:c r="C739" s="56" t="str">
        <x:v>gumshoos</x:v>
      </x:c>
      <x:c r="D739" s="56" t="str">
        <x:v>평원</x:v>
      </x:c>
      <x:c r="E739" s="56" t="str">
        <x:v>흔함</x:v>
      </x:c>
      <x:c r="F739" s="56" t="str">
        <x:v>아니오</x:v>
      </x:c>
      <x:c r="G739" s="56" t="str">
        <x:v>아니오</x:v>
      </x:c>
      <x:c r="H739" s="56" t="str">
        <x:v>예</x:v>
      </x:c>
      <x:c r="I739" s="56" t="str">
        <x:v>—</x:v>
      </x:c>
      <x:c r="J739" s="57" t="str">
        <x:v>—</x:v>
      </x:c>
      <x:c r="K739" s="57" t="str">
        <x:v>—</x:v>
      </x:c>
      <x:c r="L739" s="57" t="str">
        <x:v>—</x:v>
      </x:c>
      <x:c r="M739" s="57" t="str">
        <x:v>—</x:v>
      </x:c>
      <x:c r="N739" s="57" t="str">
        <x:v>—</x:v>
      </x:c>
      <x:c r="O739" s="57" t="str">
        <x:v>—</x:v>
      </x:c>
      <x:c r="P739" s="57" t="str">
        <x:v>포함</x:v>
      </x:c>
      <x:c r="Q739" s="57" t="str">
        <x:v>—</x:v>
      </x:c>
      <x:c r="R739" s="57" t="str">
        <x:v>포함</x:v>
      </x:c>
    </x:row>
    <x:row r="740">
      <x:c r="A740" s="60" t="n">
        <x:v>736</x:v>
      </x:c>
      <x:c r="B740" s="56" t="str">
        <x:v>턱지충이</x:v>
      </x:c>
      <x:c r="C740" s="56" t="str">
        <x:v>grubbin</x:v>
      </x:c>
      <x:c r="D740" s="56" t="str">
        <x:v>건조지</x:v>
      </x:c>
      <x:c r="E740" s="56" t="str">
        <x:v>흔함</x:v>
      </x:c>
      <x:c r="F740" s="56" t="str">
        <x:v>아니오</x:v>
      </x:c>
      <x:c r="G740" s="56" t="str">
        <x:v>아니오</x:v>
      </x:c>
      <x:c r="H740" s="56" t="str">
        <x:v>예</x:v>
      </x:c>
      <x:c r="I740" s="56" t="str">
        <x:v>—</x:v>
      </x:c>
      <x:c r="J740" s="57" t="str">
        <x:v>—</x:v>
      </x:c>
      <x:c r="K740" s="57" t="str">
        <x:v>—</x:v>
      </x:c>
      <x:c r="L740" s="57" t="str">
        <x:v>—</x:v>
      </x:c>
      <x:c r="M740" s="57" t="str">
        <x:v>—</x:v>
      </x:c>
      <x:c r="N740" s="57" t="str">
        <x:v>—</x:v>
      </x:c>
      <x:c r="O740" s="57" t="str">
        <x:v>—</x:v>
      </x:c>
      <x:c r="P740" s="57" t="str">
        <x:v>포함</x:v>
      </x:c>
      <x:c r="Q740" s="57" t="str">
        <x:v>포함</x:v>
      </x:c>
      <x:c r="R740" s="57" t="str">
        <x:v>포함</x:v>
      </x:c>
    </x:row>
    <x:row r="741">
      <x:c r="A741" s="60" t="n">
        <x:v>737</x:v>
      </x:c>
      <x:c r="B741" s="56" t="str">
        <x:v>전지충이</x:v>
      </x:c>
      <x:c r="C741" s="56" t="str">
        <x:v>charjabug</x:v>
      </x:c>
      <x:c r="D741" s="56" t="str">
        <x:v>건조지</x:v>
      </x:c>
      <x:c r="E741" s="56" t="str">
        <x:v>보통</x:v>
      </x:c>
      <x:c r="F741" s="56" t="str">
        <x:v>아니오</x:v>
      </x:c>
      <x:c r="G741" s="56" t="str">
        <x:v>아니오</x:v>
      </x:c>
      <x:c r="H741" s="56" t="str">
        <x:v>예</x:v>
      </x:c>
      <x:c r="I741" s="56" t="str">
        <x:v>—</x:v>
      </x:c>
      <x:c r="J741" s="57" t="str">
        <x:v>—</x:v>
      </x:c>
      <x:c r="K741" s="57" t="str">
        <x:v>—</x:v>
      </x:c>
      <x:c r="L741" s="57" t="str">
        <x:v>—</x:v>
      </x:c>
      <x:c r="M741" s="57" t="str">
        <x:v>—</x:v>
      </x:c>
      <x:c r="N741" s="57" t="str">
        <x:v>—</x:v>
      </x:c>
      <x:c r="O741" s="57" t="str">
        <x:v>—</x:v>
      </x:c>
      <x:c r="P741" s="57" t="str">
        <x:v>포함</x:v>
      </x:c>
      <x:c r="Q741" s="57" t="str">
        <x:v>포함</x:v>
      </x:c>
      <x:c r="R741" s="57" t="str">
        <x:v>포함</x:v>
      </x:c>
    </x:row>
    <x:row r="742">
      <x:c r="A742" s="60" t="n">
        <x:v>738</x:v>
      </x:c>
      <x:c r="B742" s="56" t="str">
        <x:v>투구뿌논</x:v>
      </x:c>
      <x:c r="C742" s="56" t="str">
        <x:v>vikavolt</x:v>
      </x:c>
      <x:c r="D742" s="56" t="str">
        <x:v>건조지</x:v>
      </x:c>
      <x:c r="E742" s="56" t="str">
        <x:v>드묾</x:v>
      </x:c>
      <x:c r="F742" s="56" t="str">
        <x:v>아니오</x:v>
      </x:c>
      <x:c r="G742" s="56" t="str">
        <x:v>아니오</x:v>
      </x:c>
      <x:c r="H742" s="56" t="str">
        <x:v>예</x:v>
      </x:c>
      <x:c r="I742" s="56" t="str">
        <x:v>—</x:v>
      </x:c>
      <x:c r="J742" s="57" t="str">
        <x:v>—</x:v>
      </x:c>
      <x:c r="K742" s="57" t="str">
        <x:v>—</x:v>
      </x:c>
      <x:c r="L742" s="57" t="str">
        <x:v>—</x:v>
      </x:c>
      <x:c r="M742" s="57" t="str">
        <x:v>—</x:v>
      </x:c>
      <x:c r="N742" s="57" t="str">
        <x:v>—</x:v>
      </x:c>
      <x:c r="O742" s="57" t="str">
        <x:v>—</x:v>
      </x:c>
      <x:c r="P742" s="57" t="str">
        <x:v>포함</x:v>
      </x:c>
      <x:c r="Q742" s="57" t="str">
        <x:v>포함</x:v>
      </x:c>
      <x:c r="R742" s="57" t="str">
        <x:v>포함</x:v>
      </x:c>
    </x:row>
    <x:row r="743">
      <x:c r="A743" s="60" t="n">
        <x:v>739</x:v>
      </x:c>
      <x:c r="B743" s="56" t="str">
        <x:v>오기지게</x:v>
      </x:c>
      <x:c r="C743" s="56" t="str">
        <x:v>crabrawler</x:v>
      </x:c>
      <x:c r="D743" s="56" t="str">
        <x:v>해양</x:v>
      </x:c>
      <x:c r="E743" s="56" t="str">
        <x:v>흔함</x:v>
      </x:c>
      <x:c r="F743" s="56" t="str">
        <x:v>아니오</x:v>
      </x:c>
      <x:c r="G743" s="56" t="str">
        <x:v>아니오</x:v>
      </x:c>
      <x:c r="H743" s="56" t="str">
        <x:v>예</x:v>
      </x:c>
      <x:c r="I743" s="56" t="str">
        <x:v>—</x:v>
      </x:c>
      <x:c r="J743" s="57" t="str">
        <x:v>—</x:v>
      </x:c>
      <x:c r="K743" s="57" t="str">
        <x:v>—</x:v>
      </x:c>
      <x:c r="L743" s="57" t="str">
        <x:v>—</x:v>
      </x:c>
      <x:c r="M743" s="57" t="str">
        <x:v>—</x:v>
      </x:c>
      <x:c r="N743" s="57" t="str">
        <x:v>—</x:v>
      </x:c>
      <x:c r="O743" s="57" t="str">
        <x:v>—</x:v>
      </x:c>
      <x:c r="P743" s="57" t="str">
        <x:v>포함</x:v>
      </x:c>
      <x:c r="Q743" s="57" t="str">
        <x:v>—</x:v>
      </x:c>
      <x:c r="R743" s="57" t="str">
        <x:v>포함</x:v>
      </x:c>
    </x:row>
    <x:row r="744">
      <x:c r="A744" s="60" t="n">
        <x:v>740</x:v>
      </x:c>
      <x:c r="B744" s="56" t="str">
        <x:v>모단단게</x:v>
      </x:c>
      <x:c r="C744" s="56" t="str">
        <x:v>crabominable</x:v>
      </x:c>
      <x:c r="D744" s="56" t="str">
        <x:v>산악</x:v>
      </x:c>
      <x:c r="E744" s="56" t="str">
        <x:v>보통</x:v>
      </x:c>
      <x:c r="F744" s="56" t="str">
        <x:v>아니오</x:v>
      </x:c>
      <x:c r="G744" s="56" t="str">
        <x:v>아니오</x:v>
      </x:c>
      <x:c r="H744" s="56" t="str">
        <x:v>예</x:v>
      </x:c>
      <x:c r="I744" s="56" t="str">
        <x:v>—</x:v>
      </x:c>
      <x:c r="J744" s="57" t="str">
        <x:v>—</x:v>
      </x:c>
      <x:c r="K744" s="57" t="str">
        <x:v>—</x:v>
      </x:c>
      <x:c r="L744" s="57" t="str">
        <x:v>—</x:v>
      </x:c>
      <x:c r="M744" s="57" t="str">
        <x:v>—</x:v>
      </x:c>
      <x:c r="N744" s="57" t="str">
        <x:v>—</x:v>
      </x:c>
      <x:c r="O744" s="57" t="str">
        <x:v>—</x:v>
      </x:c>
      <x:c r="P744" s="57" t="str">
        <x:v>포함</x:v>
      </x:c>
      <x:c r="Q744" s="57" t="str">
        <x:v>—</x:v>
      </x:c>
      <x:c r="R744" s="57" t="str">
        <x:v>포함</x:v>
      </x:c>
    </x:row>
    <x:row r="745">
      <x:c r="A745" s="60" t="n">
        <x:v>741</x:v>
      </x:c>
      <x:c r="B745" s="56" t="str">
        <x:v>춤추새</x:v>
      </x:c>
      <x:c r="C745" s="56" t="str">
        <x:v>oricorio</x:v>
      </x:c>
      <x:c r="D745" s="56" t="str">
        <x:v>산악</x:v>
      </x:c>
      <x:c r="E745" s="56" t="str">
        <x:v>보통</x:v>
      </x:c>
      <x:c r="F745" s="56" t="str">
        <x:v>아니오</x:v>
      </x:c>
      <x:c r="G745" s="56" t="str">
        <x:v>아니오</x:v>
      </x:c>
      <x:c r="H745" s="56" t="str">
        <x:v>예</x:v>
      </x:c>
      <x:c r="I745" s="56" t="str">
        <x:v>—</x:v>
      </x:c>
      <x:c r="J745" s="57" t="str">
        <x:v>—</x:v>
      </x:c>
      <x:c r="K745" s="57" t="str">
        <x:v>—</x:v>
      </x:c>
      <x:c r="L745" s="57" t="str">
        <x:v>—</x:v>
      </x:c>
      <x:c r="M745" s="57" t="str">
        <x:v>—</x:v>
      </x:c>
      <x:c r="N745" s="57" t="str">
        <x:v>—</x:v>
      </x:c>
      <x:c r="O745" s="57" t="str">
        <x:v>—</x:v>
      </x:c>
      <x:c r="P745" s="57" t="str">
        <x:v>포함</x:v>
      </x:c>
      <x:c r="Q745" s="57" t="str">
        <x:v>—</x:v>
      </x:c>
      <x:c r="R745" s="57" t="str">
        <x:v>포함</x:v>
      </x:c>
    </x:row>
    <x:row r="746">
      <x:c r="A746" s="60" t="n">
        <x:v>742</x:v>
      </x:c>
      <x:c r="B746" s="56" t="str">
        <x:v>에블리</x:v>
      </x:c>
      <x:c r="C746" s="56" t="str">
        <x:v>cutiefly</x:v>
      </x:c>
      <x:c r="D746" s="56" t="str">
        <x:v>평원</x:v>
      </x:c>
      <x:c r="E746" s="56" t="str">
        <x:v>흔함</x:v>
      </x:c>
      <x:c r="F746" s="56" t="str">
        <x:v>아니오</x:v>
      </x:c>
      <x:c r="G746" s="56" t="str">
        <x:v>아니오</x:v>
      </x:c>
      <x:c r="H746" s="56" t="str">
        <x:v>예</x:v>
      </x:c>
      <x:c r="I746" s="56" t="str">
        <x:v>—</x:v>
      </x:c>
      <x:c r="J746" s="57" t="str">
        <x:v>—</x:v>
      </x:c>
      <x:c r="K746" s="57" t="str">
        <x:v>—</x:v>
      </x:c>
      <x:c r="L746" s="57" t="str">
        <x:v>—</x:v>
      </x:c>
      <x:c r="M746" s="57" t="str">
        <x:v>—</x:v>
      </x:c>
      <x:c r="N746" s="57" t="str">
        <x:v>—</x:v>
      </x:c>
      <x:c r="O746" s="57" t="str">
        <x:v>—</x:v>
      </x:c>
      <x:c r="P746" s="57" t="str">
        <x:v>포함</x:v>
      </x:c>
      <x:c r="Q746" s="57" t="str">
        <x:v>포함</x:v>
      </x:c>
      <x:c r="R746" s="57" t="str">
        <x:v>포함</x:v>
      </x:c>
    </x:row>
    <x:row r="747">
      <x:c r="A747" s="60" t="n">
        <x:v>743</x:v>
      </x:c>
      <x:c r="B747" s="56" t="str">
        <x:v>에리본</x:v>
      </x:c>
      <x:c r="C747" s="56" t="str">
        <x:v>ribombee</x:v>
      </x:c>
      <x:c r="D747" s="56" t="str">
        <x:v>평원</x:v>
      </x:c>
      <x:c r="E747" s="56" t="str">
        <x:v>흔함</x:v>
      </x:c>
      <x:c r="F747" s="56" t="str">
        <x:v>아니오</x:v>
      </x:c>
      <x:c r="G747" s="56" t="str">
        <x:v>아니오</x:v>
      </x:c>
      <x:c r="H747" s="56" t="str">
        <x:v>예</x:v>
      </x:c>
      <x:c r="I747" s="56" t="str">
        <x:v>—</x:v>
      </x:c>
      <x:c r="J747" s="57" t="str">
        <x:v>—</x:v>
      </x:c>
      <x:c r="K747" s="57" t="str">
        <x:v>—</x:v>
      </x:c>
      <x:c r="L747" s="57" t="str">
        <x:v>—</x:v>
      </x:c>
      <x:c r="M747" s="57" t="str">
        <x:v>—</x:v>
      </x:c>
      <x:c r="N747" s="57" t="str">
        <x:v>—</x:v>
      </x:c>
      <x:c r="O747" s="57" t="str">
        <x:v>—</x:v>
      </x:c>
      <x:c r="P747" s="57" t="str">
        <x:v>포함</x:v>
      </x:c>
      <x:c r="Q747" s="57" t="str">
        <x:v>포함</x:v>
      </x:c>
      <x:c r="R747" s="57" t="str">
        <x:v>포함</x:v>
      </x:c>
    </x:row>
    <x:row r="748">
      <x:c r="A748" s="60" t="n">
        <x:v>744</x:v>
      </x:c>
      <x:c r="B748" s="56" t="str">
        <x:v>암멍이</x:v>
      </x:c>
      <x:c r="C748" s="56" t="str">
        <x:v>rockruff</x:v>
      </x:c>
      <x:c r="D748" s="56" t="str">
        <x:v>산악</x:v>
      </x:c>
      <x:c r="E748" s="56" t="str">
        <x:v>보통</x:v>
      </x:c>
      <x:c r="F748" s="56" t="str">
        <x:v>아니오</x:v>
      </x:c>
      <x:c r="G748" s="56" t="str">
        <x:v>아니오</x:v>
      </x:c>
      <x:c r="H748" s="56" t="str">
        <x:v>예</x:v>
      </x:c>
      <x:c r="I748" s="56" t="str">
        <x:v>—</x:v>
      </x:c>
      <x:c r="J748" s="57" t="str">
        <x:v>—</x:v>
      </x:c>
      <x:c r="K748" s="57" t="str">
        <x:v>—</x:v>
      </x:c>
      <x:c r="L748" s="57" t="str">
        <x:v>—</x:v>
      </x:c>
      <x:c r="M748" s="57" t="str">
        <x:v>—</x:v>
      </x:c>
      <x:c r="N748" s="57" t="str">
        <x:v>—</x:v>
      </x:c>
      <x:c r="O748" s="57" t="str">
        <x:v>—</x:v>
      </x:c>
      <x:c r="P748" s="57" t="str">
        <x:v>포함</x:v>
      </x:c>
      <x:c r="Q748" s="57" t="str">
        <x:v>포함</x:v>
      </x:c>
      <x:c r="R748" s="57" t="str">
        <x:v>포함</x:v>
      </x:c>
    </x:row>
    <x:row r="749">
      <x:c r="A749" s="60" t="n">
        <x:v>745</x:v>
      </x:c>
      <x:c r="B749" s="56" t="str">
        <x:v>루가루암</x:v>
      </x:c>
      <x:c r="C749" s="56" t="str">
        <x:v>lycanroc</x:v>
      </x:c>
      <x:c r="D749" s="56" t="str">
        <x:v>산악</x:v>
      </x:c>
      <x:c r="E749" s="56" t="str">
        <x:v>보통</x:v>
      </x:c>
      <x:c r="F749" s="56" t="str">
        <x:v>아니오</x:v>
      </x:c>
      <x:c r="G749" s="56" t="str">
        <x:v>아니오</x:v>
      </x:c>
      <x:c r="H749" s="56" t="str">
        <x:v>예</x:v>
      </x:c>
      <x:c r="I749" s="56" t="str">
        <x:v>—</x:v>
      </x:c>
      <x:c r="J749" s="57" t="str">
        <x:v>—</x:v>
      </x:c>
      <x:c r="K749" s="57" t="str">
        <x:v>—</x:v>
      </x:c>
      <x:c r="L749" s="57" t="str">
        <x:v>—</x:v>
      </x:c>
      <x:c r="M749" s="57" t="str">
        <x:v>—</x:v>
      </x:c>
      <x:c r="N749" s="57" t="str">
        <x:v>—</x:v>
      </x:c>
      <x:c r="O749" s="57" t="str">
        <x:v>—</x:v>
      </x:c>
      <x:c r="P749" s="57" t="str">
        <x:v>포함</x:v>
      </x:c>
      <x:c r="Q749" s="57" t="str">
        <x:v>포함</x:v>
      </x:c>
      <x:c r="R749" s="57" t="str">
        <x:v>포함</x:v>
      </x:c>
    </x:row>
    <x:row r="750">
      <x:c r="A750" s="60" t="n">
        <x:v>746</x:v>
      </x:c>
      <x:c r="B750" s="56" t="str">
        <x:v>약어리</x:v>
      </x:c>
      <x:c r="C750" s="56" t="str">
        <x:v>wishiwashi</x:v>
      </x:c>
      <x:c r="D750" s="56" t="str">
        <x:v>해양</x:v>
      </x:c>
      <x:c r="E750" s="56" t="str">
        <x:v>흔함</x:v>
      </x:c>
      <x:c r="F750" s="56" t="str">
        <x:v>아니오</x:v>
      </x:c>
      <x:c r="G750" s="56" t="str">
        <x:v>아니오</x:v>
      </x:c>
      <x:c r="H750" s="56" t="str">
        <x:v>예</x:v>
      </x:c>
      <x:c r="I750" s="56" t="str">
        <x:v>—</x:v>
      </x:c>
      <x:c r="J750" s="57" t="str">
        <x:v>—</x:v>
      </x:c>
      <x:c r="K750" s="57" t="str">
        <x:v>—</x:v>
      </x:c>
      <x:c r="L750" s="57" t="str">
        <x:v>—</x:v>
      </x:c>
      <x:c r="M750" s="57" t="str">
        <x:v>—</x:v>
      </x:c>
      <x:c r="N750" s="57" t="str">
        <x:v>—</x:v>
      </x:c>
      <x:c r="O750" s="57" t="str">
        <x:v>—</x:v>
      </x:c>
      <x:c r="P750" s="57" t="str">
        <x:v>포함</x:v>
      </x:c>
      <x:c r="Q750" s="57" t="str">
        <x:v>포함</x:v>
      </x:c>
      <x:c r="R750" s="57" t="str">
        <x:v>—</x:v>
      </x:c>
    </x:row>
    <x:row r="751">
      <x:c r="A751" s="60" t="n">
        <x:v>747</x:v>
      </x:c>
      <x:c r="B751" s="56" t="str">
        <x:v>시마사리</x:v>
      </x:c>
      <x:c r="C751" s="56" t="str">
        <x:v>mareanie</x:v>
      </x:c>
      <x:c r="D751" s="56" t="str">
        <x:v>해양</x:v>
      </x:c>
      <x:c r="E751" s="56" t="str">
        <x:v>보통</x:v>
      </x:c>
      <x:c r="F751" s="56" t="str">
        <x:v>아니오</x:v>
      </x:c>
      <x:c r="G751" s="56" t="str">
        <x:v>아니오</x:v>
      </x:c>
      <x:c r="H751" s="56" t="str">
        <x:v>예</x:v>
      </x:c>
      <x:c r="I751" s="56" t="str">
        <x:v>—</x:v>
      </x:c>
      <x:c r="J751" s="57" t="str">
        <x:v>—</x:v>
      </x:c>
      <x:c r="K751" s="57" t="str">
        <x:v>—</x:v>
      </x:c>
      <x:c r="L751" s="57" t="str">
        <x:v>—</x:v>
      </x:c>
      <x:c r="M751" s="57" t="str">
        <x:v>—</x:v>
      </x:c>
      <x:c r="N751" s="57" t="str">
        <x:v>—</x:v>
      </x:c>
      <x:c r="O751" s="57" t="str">
        <x:v>—</x:v>
      </x:c>
      <x:c r="P751" s="57" t="str">
        <x:v>포함</x:v>
      </x:c>
      <x:c r="Q751" s="57" t="str">
        <x:v>포함</x:v>
      </x:c>
      <x:c r="R751" s="57" t="str">
        <x:v>포함</x:v>
      </x:c>
    </x:row>
    <x:row r="752">
      <x:c r="A752" s="60" t="n">
        <x:v>748</x:v>
      </x:c>
      <x:c r="B752" s="56" t="str">
        <x:v>더시마사리</x:v>
      </x:c>
      <x:c r="C752" s="56" t="str">
        <x:v>toxapex</x:v>
      </x:c>
      <x:c r="D752" s="56" t="str">
        <x:v>해양</x:v>
      </x:c>
      <x:c r="E752" s="56" t="str">
        <x:v>보통</x:v>
      </x:c>
      <x:c r="F752" s="56" t="str">
        <x:v>아니오</x:v>
      </x:c>
      <x:c r="G752" s="56" t="str">
        <x:v>아니오</x:v>
      </x:c>
      <x:c r="H752" s="56" t="str">
        <x:v>예</x:v>
      </x:c>
      <x:c r="I752" s="56" t="str">
        <x:v>—</x:v>
      </x:c>
      <x:c r="J752" s="57" t="str">
        <x:v>—</x:v>
      </x:c>
      <x:c r="K752" s="57" t="str">
        <x:v>—</x:v>
      </x:c>
      <x:c r="L752" s="57" t="str">
        <x:v>—</x:v>
      </x:c>
      <x:c r="M752" s="57" t="str">
        <x:v>—</x:v>
      </x:c>
      <x:c r="N752" s="57" t="str">
        <x:v>—</x:v>
      </x:c>
      <x:c r="O752" s="57" t="str">
        <x:v>—</x:v>
      </x:c>
      <x:c r="P752" s="57" t="str">
        <x:v>포함</x:v>
      </x:c>
      <x:c r="Q752" s="57" t="str">
        <x:v>포함</x:v>
      </x:c>
      <x:c r="R752" s="57" t="str">
        <x:v>포함</x:v>
      </x:c>
    </x:row>
    <x:row r="753">
      <x:c r="A753" s="60" t="n">
        <x:v>749</x:v>
      </x:c>
      <x:c r="B753" s="56" t="str">
        <x:v>머드나기</x:v>
      </x:c>
      <x:c r="C753" s="56" t="str">
        <x:v>mudbray</x:v>
      </x:c>
      <x:c r="D753" s="56" t="str">
        <x:v>건조지</x:v>
      </x:c>
      <x:c r="E753" s="56" t="str">
        <x:v>흔함</x:v>
      </x:c>
      <x:c r="F753" s="56" t="str">
        <x:v>아니오</x:v>
      </x:c>
      <x:c r="G753" s="56" t="str">
        <x:v>아니오</x:v>
      </x:c>
      <x:c r="H753" s="56" t="str">
        <x:v>예</x:v>
      </x:c>
      <x:c r="I753" s="56" t="str">
        <x:v>—</x:v>
      </x:c>
      <x:c r="J753" s="57" t="str">
        <x:v>—</x:v>
      </x:c>
      <x:c r="K753" s="57" t="str">
        <x:v>—</x:v>
      </x:c>
      <x:c r="L753" s="57" t="str">
        <x:v>—</x:v>
      </x:c>
      <x:c r="M753" s="57" t="str">
        <x:v>—</x:v>
      </x:c>
      <x:c r="N753" s="57" t="str">
        <x:v>—</x:v>
      </x:c>
      <x:c r="O753" s="57" t="str">
        <x:v>—</x:v>
      </x:c>
      <x:c r="P753" s="57" t="str">
        <x:v>포함</x:v>
      </x:c>
      <x:c r="Q753" s="57" t="str">
        <x:v>포함</x:v>
      </x:c>
      <x:c r="R753" s="57" t="str">
        <x:v>포함</x:v>
      </x:c>
    </x:row>
    <x:row r="754">
      <x:c r="A754" s="60" t="n">
        <x:v>750</x:v>
      </x:c>
      <x:c r="B754" s="56" t="str">
        <x:v>만마드</x:v>
      </x:c>
      <x:c r="C754" s="56" t="str">
        <x:v>mudsdale</x:v>
      </x:c>
      <x:c r="D754" s="56" t="str">
        <x:v>건조지</x:v>
      </x:c>
      <x:c r="E754" s="56" t="str">
        <x:v>흔함</x:v>
      </x:c>
      <x:c r="F754" s="56" t="str">
        <x:v>아니오</x:v>
      </x:c>
      <x:c r="G754" s="56" t="str">
        <x:v>아니오</x:v>
      </x:c>
      <x:c r="H754" s="56" t="str">
        <x:v>예</x:v>
      </x:c>
      <x:c r="I754" s="56" t="str">
        <x:v>—</x:v>
      </x:c>
      <x:c r="J754" s="57" t="str">
        <x:v>—</x:v>
      </x:c>
      <x:c r="K754" s="57" t="str">
        <x:v>—</x:v>
      </x:c>
      <x:c r="L754" s="57" t="str">
        <x:v>—</x:v>
      </x:c>
      <x:c r="M754" s="57" t="str">
        <x:v>—</x:v>
      </x:c>
      <x:c r="N754" s="57" t="str">
        <x:v>—</x:v>
      </x:c>
      <x:c r="O754" s="57" t="str">
        <x:v>—</x:v>
      </x:c>
      <x:c r="P754" s="57" t="str">
        <x:v>포함</x:v>
      </x:c>
      <x:c r="Q754" s="57" t="str">
        <x:v>포함</x:v>
      </x:c>
      <x:c r="R754" s="57" t="str">
        <x:v>포함</x:v>
      </x:c>
    </x:row>
    <x:row r="755">
      <x:c r="A755" s="60" t="n">
        <x:v>751</x:v>
      </x:c>
      <x:c r="B755" s="56" t="str">
        <x:v>물거미</x:v>
      </x:c>
      <x:c r="C755" s="56" t="str">
        <x:v>dewpider</x:v>
      </x:c>
      <x:c r="D755" s="56" t="str">
        <x:v>담수</x:v>
      </x:c>
      <x:c r="E755" s="56" t="str">
        <x:v>보통</x:v>
      </x:c>
      <x:c r="F755" s="56" t="str">
        <x:v>아니오</x:v>
      </x:c>
      <x:c r="G755" s="56" t="str">
        <x:v>아니오</x:v>
      </x:c>
      <x:c r="H755" s="56" t="str">
        <x:v>예</x:v>
      </x:c>
      <x:c r="I755" s="56" t="str">
        <x:v>—</x:v>
      </x:c>
      <x:c r="J755" s="57" t="str">
        <x:v>—</x:v>
      </x:c>
      <x:c r="K755" s="57" t="str">
        <x:v>—</x:v>
      </x:c>
      <x:c r="L755" s="57" t="str">
        <x:v>—</x:v>
      </x:c>
      <x:c r="M755" s="57" t="str">
        <x:v>—</x:v>
      </x:c>
      <x:c r="N755" s="57" t="str">
        <x:v>—</x:v>
      </x:c>
      <x:c r="O755" s="57" t="str">
        <x:v>—</x:v>
      </x:c>
      <x:c r="P755" s="57" t="str">
        <x:v>포함</x:v>
      </x:c>
      <x:c r="Q755" s="57" t="str">
        <x:v>포함</x:v>
      </x:c>
      <x:c r="R755" s="57" t="str">
        <x:v>포함</x:v>
      </x:c>
    </x:row>
    <x:row r="756">
      <x:c r="A756" s="60" t="n">
        <x:v>752</x:v>
      </x:c>
      <x:c r="B756" s="56" t="str">
        <x:v>깨비물거미</x:v>
      </x:c>
      <x:c r="C756" s="56" t="str">
        <x:v>araquanid</x:v>
      </x:c>
      <x:c r="D756" s="56" t="str">
        <x:v>담수</x:v>
      </x:c>
      <x:c r="E756" s="56" t="str">
        <x:v>보통</x:v>
      </x:c>
      <x:c r="F756" s="56" t="str">
        <x:v>아니오</x:v>
      </x:c>
      <x:c r="G756" s="56" t="str">
        <x:v>아니오</x:v>
      </x:c>
      <x:c r="H756" s="56" t="str">
        <x:v>예</x:v>
      </x:c>
      <x:c r="I756" s="56" t="str">
        <x:v>—</x:v>
      </x:c>
      <x:c r="J756" s="57" t="str">
        <x:v>—</x:v>
      </x:c>
      <x:c r="K756" s="57" t="str">
        <x:v>—</x:v>
      </x:c>
      <x:c r="L756" s="57" t="str">
        <x:v>—</x:v>
      </x:c>
      <x:c r="M756" s="57" t="str">
        <x:v>—</x:v>
      </x:c>
      <x:c r="N756" s="57" t="str">
        <x:v>—</x:v>
      </x:c>
      <x:c r="O756" s="57" t="str">
        <x:v>—</x:v>
      </x:c>
      <x:c r="P756" s="57" t="str">
        <x:v>포함</x:v>
      </x:c>
      <x:c r="Q756" s="57" t="str">
        <x:v>포함</x:v>
      </x:c>
      <x:c r="R756" s="57" t="str">
        <x:v>포함</x:v>
      </x:c>
    </x:row>
    <x:row r="757">
      <x:c r="A757" s="60" t="n">
        <x:v>753</x:v>
      </x:c>
      <x:c r="B757" s="56" t="str">
        <x:v>짜랑랑</x:v>
      </x:c>
      <x:c r="C757" s="56" t="str">
        <x:v>fomantis</x:v>
      </x:c>
      <x:c r="D757" s="56" t="str">
        <x:v>숲</x:v>
      </x:c>
      <x:c r="E757" s="56" t="str">
        <x:v>흔함</x:v>
      </x:c>
      <x:c r="F757" s="56" t="str">
        <x:v>아니오</x:v>
      </x:c>
      <x:c r="G757" s="56" t="str">
        <x:v>아니오</x:v>
      </x:c>
      <x:c r="H757" s="56" t="str">
        <x:v>예</x:v>
      </x:c>
      <x:c r="I757" s="56" t="str">
        <x:v>—</x:v>
      </x:c>
      <x:c r="J757" s="57" t="str">
        <x:v>—</x:v>
      </x:c>
      <x:c r="K757" s="57" t="str">
        <x:v>—</x:v>
      </x:c>
      <x:c r="L757" s="57" t="str">
        <x:v>—</x:v>
      </x:c>
      <x:c r="M757" s="57" t="str">
        <x:v>—</x:v>
      </x:c>
      <x:c r="N757" s="57" t="str">
        <x:v>—</x:v>
      </x:c>
      <x:c r="O757" s="57" t="str">
        <x:v>—</x:v>
      </x:c>
      <x:c r="P757" s="57" t="str">
        <x:v>포함</x:v>
      </x:c>
      <x:c r="Q757" s="57" t="str">
        <x:v>포함</x:v>
      </x:c>
      <x:c r="R757" s="57" t="str">
        <x:v>포함</x:v>
      </x:c>
    </x:row>
    <x:row r="758">
      <x:c r="A758" s="60" t="n">
        <x:v>754</x:v>
      </x:c>
      <x:c r="B758" s="56" t="str">
        <x:v>라란티스</x:v>
      </x:c>
      <x:c r="C758" s="56" t="str">
        <x:v>lurantis</x:v>
      </x:c>
      <x:c r="D758" s="56" t="str">
        <x:v>숲</x:v>
      </x:c>
      <x:c r="E758" s="56" t="str">
        <x:v>흔함</x:v>
      </x:c>
      <x:c r="F758" s="56" t="str">
        <x:v>아니오</x:v>
      </x:c>
      <x:c r="G758" s="56" t="str">
        <x:v>아니오</x:v>
      </x:c>
      <x:c r="H758" s="56" t="str">
        <x:v>예</x:v>
      </x:c>
      <x:c r="I758" s="56" t="str">
        <x:v>—</x:v>
      </x:c>
      <x:c r="J758" s="57" t="str">
        <x:v>—</x:v>
      </x:c>
      <x:c r="K758" s="57" t="str">
        <x:v>—</x:v>
      </x:c>
      <x:c r="L758" s="57" t="str">
        <x:v>—</x:v>
      </x:c>
      <x:c r="M758" s="57" t="str">
        <x:v>—</x:v>
      </x:c>
      <x:c r="N758" s="57" t="str">
        <x:v>—</x:v>
      </x:c>
      <x:c r="O758" s="57" t="str">
        <x:v>—</x:v>
      </x:c>
      <x:c r="P758" s="57" t="str">
        <x:v>포함</x:v>
      </x:c>
      <x:c r="Q758" s="57" t="str">
        <x:v>포함</x:v>
      </x:c>
      <x:c r="R758" s="57" t="str">
        <x:v>포함</x:v>
      </x:c>
    </x:row>
    <x:row r="759">
      <x:c r="A759" s="60" t="n">
        <x:v>755</x:v>
      </x:c>
      <x:c r="B759" s="56" t="str">
        <x:v>자마슈</x:v>
      </x:c>
      <x:c r="C759" s="56" t="str">
        <x:v>morelull</x:v>
      </x:c>
      <x:c r="D759" s="56" t="str">
        <x:v>화산</x:v>
      </x:c>
      <x:c r="E759" s="56" t="str">
        <x:v>흔함</x:v>
      </x:c>
      <x:c r="F759" s="56" t="str">
        <x:v>아니오</x:v>
      </x:c>
      <x:c r="G759" s="56" t="str">
        <x:v>아니오</x:v>
      </x:c>
      <x:c r="H759" s="56" t="str">
        <x:v>예</x:v>
      </x:c>
      <x:c r="I759" s="56" t="str">
        <x:v>—</x:v>
      </x:c>
      <x:c r="J759" s="57" t="str">
        <x:v>—</x:v>
      </x:c>
      <x:c r="K759" s="57" t="str">
        <x:v>—</x:v>
      </x:c>
      <x:c r="L759" s="57" t="str">
        <x:v>—</x:v>
      </x:c>
      <x:c r="M759" s="57" t="str">
        <x:v>—</x:v>
      </x:c>
      <x:c r="N759" s="57" t="str">
        <x:v>—</x:v>
      </x:c>
      <x:c r="O759" s="57" t="str">
        <x:v>—</x:v>
      </x:c>
      <x:c r="P759" s="57" t="str">
        <x:v>포함</x:v>
      </x:c>
      <x:c r="Q759" s="57" t="str">
        <x:v>포함</x:v>
      </x:c>
      <x:c r="R759" s="57" t="str">
        <x:v>—</x:v>
      </x:c>
    </x:row>
    <x:row r="760">
      <x:c r="A760" s="60" t="n">
        <x:v>756</x:v>
      </x:c>
      <x:c r="B760" s="56" t="str">
        <x:v>마셰이드</x:v>
      </x:c>
      <x:c r="C760" s="56" t="str">
        <x:v>shiinotic</x:v>
      </x:c>
      <x:c r="D760" s="56" t="str">
        <x:v>화산</x:v>
      </x:c>
      <x:c r="E760" s="56" t="str">
        <x:v>흔함</x:v>
      </x:c>
      <x:c r="F760" s="56" t="str">
        <x:v>아니오</x:v>
      </x:c>
      <x:c r="G760" s="56" t="str">
        <x:v>아니오</x:v>
      </x:c>
      <x:c r="H760" s="56" t="str">
        <x:v>예</x:v>
      </x:c>
      <x:c r="I760" s="56" t="str">
        <x:v>—</x:v>
      </x:c>
      <x:c r="J760" s="57" t="str">
        <x:v>—</x:v>
      </x:c>
      <x:c r="K760" s="57" t="str">
        <x:v>—</x:v>
      </x:c>
      <x:c r="L760" s="57" t="str">
        <x:v>—</x:v>
      </x:c>
      <x:c r="M760" s="57" t="str">
        <x:v>—</x:v>
      </x:c>
      <x:c r="N760" s="57" t="str">
        <x:v>—</x:v>
      </x:c>
      <x:c r="O760" s="57" t="str">
        <x:v>—</x:v>
      </x:c>
      <x:c r="P760" s="57" t="str">
        <x:v>포함</x:v>
      </x:c>
      <x:c r="Q760" s="57" t="str">
        <x:v>포함</x:v>
      </x:c>
      <x:c r="R760" s="57" t="str">
        <x:v>—</x:v>
      </x:c>
    </x:row>
    <x:row r="761">
      <x:c r="A761" s="60" t="n">
        <x:v>757</x:v>
      </x:c>
      <x:c r="B761" s="56" t="str">
        <x:v>야도뇽</x:v>
      </x:c>
      <x:c r="C761" s="56" t="str">
        <x:v>salandit</x:v>
      </x:c>
      <x:c r="D761" s="56" t="str">
        <x:v>화산</x:v>
      </x:c>
      <x:c r="E761" s="56" t="str">
        <x:v>흔함</x:v>
      </x:c>
      <x:c r="F761" s="56" t="str">
        <x:v>아니오</x:v>
      </x:c>
      <x:c r="G761" s="56" t="str">
        <x:v>아니오</x:v>
      </x:c>
      <x:c r="H761" s="56" t="str">
        <x:v>예</x:v>
      </x:c>
      <x:c r="I761" s="56" t="str">
        <x:v>—</x:v>
      </x:c>
      <x:c r="J761" s="57" t="str">
        <x:v>—</x:v>
      </x:c>
      <x:c r="K761" s="57" t="str">
        <x:v>—</x:v>
      </x:c>
      <x:c r="L761" s="57" t="str">
        <x:v>—</x:v>
      </x:c>
      <x:c r="M761" s="57" t="str">
        <x:v>—</x:v>
      </x:c>
      <x:c r="N761" s="57" t="str">
        <x:v>—</x:v>
      </x:c>
      <x:c r="O761" s="57" t="str">
        <x:v>—</x:v>
      </x:c>
      <x:c r="P761" s="57" t="str">
        <x:v>포함</x:v>
      </x:c>
      <x:c r="Q761" s="57" t="str">
        <x:v>포함</x:v>
      </x:c>
      <x:c r="R761" s="57" t="str">
        <x:v>포함</x:v>
      </x:c>
    </x:row>
    <x:row r="762">
      <x:c r="A762" s="60" t="n">
        <x:v>758</x:v>
      </x:c>
      <x:c r="B762" s="56" t="str">
        <x:v>염뉴트</x:v>
      </x:c>
      <x:c r="C762" s="56" t="str">
        <x:v>salazzle</x:v>
      </x:c>
      <x:c r="D762" s="56" t="str">
        <x:v>화산</x:v>
      </x:c>
      <x:c r="E762" s="56" t="str">
        <x:v>흔함</x:v>
      </x:c>
      <x:c r="F762" s="56" t="str">
        <x:v>아니오</x:v>
      </x:c>
      <x:c r="G762" s="56" t="str">
        <x:v>아니오</x:v>
      </x:c>
      <x:c r="H762" s="56" t="str">
        <x:v>예</x:v>
      </x:c>
      <x:c r="I762" s="56" t="str">
        <x:v>—</x:v>
      </x:c>
      <x:c r="J762" s="57" t="str">
        <x:v>—</x:v>
      </x:c>
      <x:c r="K762" s="57" t="str">
        <x:v>—</x:v>
      </x:c>
      <x:c r="L762" s="57" t="str">
        <x:v>—</x:v>
      </x:c>
      <x:c r="M762" s="57" t="str">
        <x:v>—</x:v>
      </x:c>
      <x:c r="N762" s="57" t="str">
        <x:v>—</x:v>
      </x:c>
      <x:c r="O762" s="57" t="str">
        <x:v>—</x:v>
      </x:c>
      <x:c r="P762" s="57" t="str">
        <x:v>포함</x:v>
      </x:c>
      <x:c r="Q762" s="57" t="str">
        <x:v>포함</x:v>
      </x:c>
      <x:c r="R762" s="57" t="str">
        <x:v>포함</x:v>
      </x:c>
    </x:row>
    <x:row r="763">
      <x:c r="A763" s="60" t="n">
        <x:v>759</x:v>
      </x:c>
      <x:c r="B763" s="56" t="str">
        <x:v>포곰곰</x:v>
      </x:c>
      <x:c r="C763" s="56" t="str">
        <x:v>stufful</x:v>
      </x:c>
      <x:c r="D763" s="56" t="str">
        <x:v>평원</x:v>
      </x:c>
      <x:c r="E763" s="56" t="str">
        <x:v>흔함</x:v>
      </x:c>
      <x:c r="F763" s="56" t="str">
        <x:v>아니오</x:v>
      </x:c>
      <x:c r="G763" s="56" t="str">
        <x:v>아니오</x:v>
      </x:c>
      <x:c r="H763" s="56" t="str">
        <x:v>예</x:v>
      </x:c>
      <x:c r="I763" s="56" t="str">
        <x:v>—</x:v>
      </x:c>
      <x:c r="J763" s="57" t="str">
        <x:v>—</x:v>
      </x:c>
      <x:c r="K763" s="57" t="str">
        <x:v>—</x:v>
      </x:c>
      <x:c r="L763" s="57" t="str">
        <x:v>—</x:v>
      </x:c>
      <x:c r="M763" s="57" t="str">
        <x:v>—</x:v>
      </x:c>
      <x:c r="N763" s="57" t="str">
        <x:v>—</x:v>
      </x:c>
      <x:c r="O763" s="57" t="str">
        <x:v>—</x:v>
      </x:c>
      <x:c r="P763" s="57" t="str">
        <x:v>포함</x:v>
      </x:c>
      <x:c r="Q763" s="57" t="str">
        <x:v>포함</x:v>
      </x:c>
      <x:c r="R763" s="57" t="str">
        <x:v>—</x:v>
      </x:c>
    </x:row>
    <x:row r="764">
      <x:c r="A764" s="60" t="n">
        <x:v>760</x:v>
      </x:c>
      <x:c r="B764" s="56" t="str">
        <x:v>이븐곰</x:v>
      </x:c>
      <x:c r="C764" s="56" t="str">
        <x:v>bewear</x:v>
      </x:c>
      <x:c r="D764" s="56" t="str">
        <x:v>평원</x:v>
      </x:c>
      <x:c r="E764" s="56" t="str">
        <x:v>흔함</x:v>
      </x:c>
      <x:c r="F764" s="56" t="str">
        <x:v>아니오</x:v>
      </x:c>
      <x:c r="G764" s="56" t="str">
        <x:v>아니오</x:v>
      </x:c>
      <x:c r="H764" s="56" t="str">
        <x:v>예</x:v>
      </x:c>
      <x:c r="I764" s="56" t="str">
        <x:v>—</x:v>
      </x:c>
      <x:c r="J764" s="57" t="str">
        <x:v>—</x:v>
      </x:c>
      <x:c r="K764" s="57" t="str">
        <x:v>—</x:v>
      </x:c>
      <x:c r="L764" s="57" t="str">
        <x:v>—</x:v>
      </x:c>
      <x:c r="M764" s="57" t="str">
        <x:v>—</x:v>
      </x:c>
      <x:c r="N764" s="57" t="str">
        <x:v>—</x:v>
      </x:c>
      <x:c r="O764" s="57" t="str">
        <x:v>—</x:v>
      </x:c>
      <x:c r="P764" s="57" t="str">
        <x:v>포함</x:v>
      </x:c>
      <x:c r="Q764" s="57" t="str">
        <x:v>포함</x:v>
      </x:c>
      <x:c r="R764" s="57" t="str">
        <x:v>—</x:v>
      </x:c>
    </x:row>
    <x:row r="765">
      <x:c r="A765" s="60" t="n">
        <x:v>761</x:v>
      </x:c>
      <x:c r="B765" s="56" t="str">
        <x:v>달콤아</x:v>
      </x:c>
      <x:c r="C765" s="56" t="str">
        <x:v>bounsweet</x:v>
      </x:c>
      <x:c r="D765" s="56" t="str">
        <x:v>숲</x:v>
      </x:c>
      <x:c r="E765" s="56" t="str">
        <x:v>흔함</x:v>
      </x:c>
      <x:c r="F765" s="56" t="str">
        <x:v>아니오</x:v>
      </x:c>
      <x:c r="G765" s="56" t="str">
        <x:v>아니오</x:v>
      </x:c>
      <x:c r="H765" s="56" t="str">
        <x:v>예</x:v>
      </x:c>
      <x:c r="I765" s="56" t="str">
        <x:v>—</x:v>
      </x:c>
      <x:c r="J765" s="57" t="str">
        <x:v>—</x:v>
      </x:c>
      <x:c r="K765" s="57" t="str">
        <x:v>—</x:v>
      </x:c>
      <x:c r="L765" s="57" t="str">
        <x:v>—</x:v>
      </x:c>
      <x:c r="M765" s="57" t="str">
        <x:v>—</x:v>
      </x:c>
      <x:c r="N765" s="57" t="str">
        <x:v>—</x:v>
      </x:c>
      <x:c r="O765" s="57" t="str">
        <x:v>—</x:v>
      </x:c>
      <x:c r="P765" s="57" t="str">
        <x:v>포함</x:v>
      </x:c>
      <x:c r="Q765" s="57" t="str">
        <x:v>포함</x:v>
      </x:c>
      <x:c r="R765" s="57" t="str">
        <x:v>포함</x:v>
      </x:c>
    </x:row>
    <x:row r="766">
      <x:c r="A766" s="60" t="n">
        <x:v>762</x:v>
      </x:c>
      <x:c r="B766" s="56" t="str">
        <x:v>달무리나</x:v>
      </x:c>
      <x:c r="C766" s="56" t="str">
        <x:v>steenee</x:v>
      </x:c>
      <x:c r="D766" s="56" t="str">
        <x:v>숲</x:v>
      </x:c>
      <x:c r="E766" s="56" t="str">
        <x:v>흔함</x:v>
      </x:c>
      <x:c r="F766" s="56" t="str">
        <x:v>아니오</x:v>
      </x:c>
      <x:c r="G766" s="56" t="str">
        <x:v>아니오</x:v>
      </x:c>
      <x:c r="H766" s="56" t="str">
        <x:v>예</x:v>
      </x:c>
      <x:c r="I766" s="56" t="str">
        <x:v>—</x:v>
      </x:c>
      <x:c r="J766" s="57" t="str">
        <x:v>—</x:v>
      </x:c>
      <x:c r="K766" s="57" t="str">
        <x:v>—</x:v>
      </x:c>
      <x:c r="L766" s="57" t="str">
        <x:v>—</x:v>
      </x:c>
      <x:c r="M766" s="57" t="str">
        <x:v>—</x:v>
      </x:c>
      <x:c r="N766" s="57" t="str">
        <x:v>—</x:v>
      </x:c>
      <x:c r="O766" s="57" t="str">
        <x:v>—</x:v>
      </x:c>
      <x:c r="P766" s="57" t="str">
        <x:v>포함</x:v>
      </x:c>
      <x:c r="Q766" s="57" t="str">
        <x:v>포함</x:v>
      </x:c>
      <x:c r="R766" s="57" t="str">
        <x:v>포함</x:v>
      </x:c>
    </x:row>
    <x:row r="767">
      <x:c r="A767" s="60" t="n">
        <x:v>763</x:v>
      </x:c>
      <x:c r="B767" s="56" t="str">
        <x:v>달코퀸</x:v>
      </x:c>
      <x:c r="C767" s="56" t="str">
        <x:v>tsareena</x:v>
      </x:c>
      <x:c r="D767" s="56" t="str">
        <x:v>숲</x:v>
      </x:c>
      <x:c r="E767" s="56" t="str">
        <x:v>흔함</x:v>
      </x:c>
      <x:c r="F767" s="56" t="str">
        <x:v>아니오</x:v>
      </x:c>
      <x:c r="G767" s="56" t="str">
        <x:v>아니오</x:v>
      </x:c>
      <x:c r="H767" s="56" t="str">
        <x:v>예</x:v>
      </x:c>
      <x:c r="I767" s="56" t="str">
        <x:v>—</x:v>
      </x:c>
      <x:c r="J767" s="57" t="str">
        <x:v>—</x:v>
      </x:c>
      <x:c r="K767" s="57" t="str">
        <x:v>—</x:v>
      </x:c>
      <x:c r="L767" s="57" t="str">
        <x:v>—</x:v>
      </x:c>
      <x:c r="M767" s="57" t="str">
        <x:v>—</x:v>
      </x:c>
      <x:c r="N767" s="57" t="str">
        <x:v>—</x:v>
      </x:c>
      <x:c r="O767" s="57" t="str">
        <x:v>—</x:v>
      </x:c>
      <x:c r="P767" s="57" t="str">
        <x:v>포함</x:v>
      </x:c>
      <x:c r="Q767" s="57" t="str">
        <x:v>포함</x:v>
      </x:c>
      <x:c r="R767" s="57" t="str">
        <x:v>포함</x:v>
      </x:c>
    </x:row>
    <x:row r="768">
      <x:c r="A768" s="60" t="n">
        <x:v>764</x:v>
      </x:c>
      <x:c r="B768" s="56" t="str">
        <x:v>큐아링</x:v>
      </x:c>
      <x:c r="C768" s="56" t="str">
        <x:v>comfey</x:v>
      </x:c>
      <x:c r="D768" s="56" t="str">
        <x:v>평원</x:v>
      </x:c>
      <x:c r="E768" s="56" t="str">
        <x:v>보통</x:v>
      </x:c>
      <x:c r="F768" s="56" t="str">
        <x:v>아니오</x:v>
      </x:c>
      <x:c r="G768" s="56" t="str">
        <x:v>아니오</x:v>
      </x:c>
      <x:c r="H768" s="56" t="str">
        <x:v>예</x:v>
      </x:c>
      <x:c r="I768" s="56" t="str">
        <x:v>—</x:v>
      </x:c>
      <x:c r="J768" s="57" t="str">
        <x:v>—</x:v>
      </x:c>
      <x:c r="K768" s="57" t="str">
        <x:v>—</x:v>
      </x:c>
      <x:c r="L768" s="57" t="str">
        <x:v>—</x:v>
      </x:c>
      <x:c r="M768" s="57" t="str">
        <x:v>—</x:v>
      </x:c>
      <x:c r="N768" s="57" t="str">
        <x:v>—</x:v>
      </x:c>
      <x:c r="O768" s="57" t="str">
        <x:v>—</x:v>
      </x:c>
      <x:c r="P768" s="57" t="str">
        <x:v>포함</x:v>
      </x:c>
      <x:c r="Q768" s="57" t="str">
        <x:v>포함</x:v>
      </x:c>
      <x:c r="R768" s="57" t="str">
        <x:v>포함</x:v>
      </x:c>
    </x:row>
    <x:row r="769">
      <x:c r="A769" s="60" t="n">
        <x:v>765</x:v>
      </x:c>
      <x:c r="B769" s="56" t="str">
        <x:v>하랑우탄</x:v>
      </x:c>
      <x:c r="C769" s="56" t="str">
        <x:v>oranguru</x:v>
      </x:c>
      <x:c r="D769" s="56" t="str">
        <x:v>숲</x:v>
      </x:c>
      <x:c r="E769" s="56" t="str">
        <x:v>드묾</x:v>
      </x:c>
      <x:c r="F769" s="56" t="str">
        <x:v>아니오</x:v>
      </x:c>
      <x:c r="G769" s="56" t="str">
        <x:v>아니오</x:v>
      </x:c>
      <x:c r="H769" s="56" t="str">
        <x:v>예</x:v>
      </x:c>
      <x:c r="I769" s="56" t="str">
        <x:v>—</x:v>
      </x:c>
      <x:c r="J769" s="57" t="str">
        <x:v>—</x:v>
      </x:c>
      <x:c r="K769" s="57" t="str">
        <x:v>—</x:v>
      </x:c>
      <x:c r="L769" s="57" t="str">
        <x:v>—</x:v>
      </x:c>
      <x:c r="M769" s="57" t="str">
        <x:v>—</x:v>
      </x:c>
      <x:c r="N769" s="57" t="str">
        <x:v>—</x:v>
      </x:c>
      <x:c r="O769" s="57" t="str">
        <x:v>—</x:v>
      </x:c>
      <x:c r="P769" s="57" t="str">
        <x:v>포함</x:v>
      </x:c>
      <x:c r="Q769" s="57" t="str">
        <x:v>포함</x:v>
      </x:c>
      <x:c r="R769" s="57" t="str">
        <x:v>포함</x:v>
      </x:c>
    </x:row>
    <x:row r="770">
      <x:c r="A770" s="60" t="n">
        <x:v>766</x:v>
      </x:c>
      <x:c r="B770" s="56" t="str">
        <x:v>내던숭이</x:v>
      </x:c>
      <x:c r="C770" s="56" t="str">
        <x:v>passimian</x:v>
      </x:c>
      <x:c r="D770" s="56" t="str">
        <x:v>숲</x:v>
      </x:c>
      <x:c r="E770" s="56" t="str">
        <x:v>드묾</x:v>
      </x:c>
      <x:c r="F770" s="56" t="str">
        <x:v>아니오</x:v>
      </x:c>
      <x:c r="G770" s="56" t="str">
        <x:v>아니오</x:v>
      </x:c>
      <x:c r="H770" s="56" t="str">
        <x:v>예</x:v>
      </x:c>
      <x:c r="I770" s="56" t="str">
        <x:v>—</x:v>
      </x:c>
      <x:c r="J770" s="57" t="str">
        <x:v>—</x:v>
      </x:c>
      <x:c r="K770" s="57" t="str">
        <x:v>—</x:v>
      </x:c>
      <x:c r="L770" s="57" t="str">
        <x:v>—</x:v>
      </x:c>
      <x:c r="M770" s="57" t="str">
        <x:v>—</x:v>
      </x:c>
      <x:c r="N770" s="57" t="str">
        <x:v>—</x:v>
      </x:c>
      <x:c r="O770" s="57" t="str">
        <x:v>—</x:v>
      </x:c>
      <x:c r="P770" s="57" t="str">
        <x:v>포함</x:v>
      </x:c>
      <x:c r="Q770" s="57" t="str">
        <x:v>포함</x:v>
      </x:c>
      <x:c r="R770" s="57" t="str">
        <x:v>포함</x:v>
      </x:c>
    </x:row>
    <x:row r="771">
      <x:c r="A771" s="60" t="n">
        <x:v>767</x:v>
      </x:c>
      <x:c r="B771" s="56" t="str">
        <x:v>꼬시레</x:v>
      </x:c>
      <x:c r="C771" s="56" t="str">
        <x:v>wimpod</x:v>
      </x:c>
      <x:c r="D771" s="56" t="str">
        <x:v>해양</x:v>
      </x:c>
      <x:c r="E771" s="56" t="str">
        <x:v>보통</x:v>
      </x:c>
      <x:c r="F771" s="56" t="str">
        <x:v>아니오</x:v>
      </x:c>
      <x:c r="G771" s="56" t="str">
        <x:v>아니오</x:v>
      </x:c>
      <x:c r="H771" s="56" t="str">
        <x:v>예</x:v>
      </x:c>
      <x:c r="I771" s="56" t="str">
        <x:v>—</x:v>
      </x:c>
      <x:c r="J771" s="57" t="str">
        <x:v>—</x:v>
      </x:c>
      <x:c r="K771" s="57" t="str">
        <x:v>—</x:v>
      </x:c>
      <x:c r="L771" s="57" t="str">
        <x:v>—</x:v>
      </x:c>
      <x:c r="M771" s="57" t="str">
        <x:v>—</x:v>
      </x:c>
      <x:c r="N771" s="57" t="str">
        <x:v>—</x:v>
      </x:c>
      <x:c r="O771" s="57" t="str">
        <x:v>—</x:v>
      </x:c>
      <x:c r="P771" s="57" t="str">
        <x:v>포함</x:v>
      </x:c>
      <x:c r="Q771" s="57" t="str">
        <x:v>포함</x:v>
      </x:c>
      <x:c r="R771" s="57" t="str">
        <x:v>—</x:v>
      </x:c>
    </x:row>
    <x:row r="772">
      <x:c r="A772" s="60" t="n">
        <x:v>768</x:v>
      </x:c>
      <x:c r="B772" s="56" t="str">
        <x:v>갑주무사</x:v>
      </x:c>
      <x:c r="C772" s="56" t="str">
        <x:v>golisopod</x:v>
      </x:c>
      <x:c r="D772" s="56" t="str">
        <x:v>해양</x:v>
      </x:c>
      <x:c r="E772" s="56" t="str">
        <x:v>보통</x:v>
      </x:c>
      <x:c r="F772" s="56" t="str">
        <x:v>아니오</x:v>
      </x:c>
      <x:c r="G772" s="56" t="str">
        <x:v>아니오</x:v>
      </x:c>
      <x:c r="H772" s="56" t="str">
        <x:v>예</x:v>
      </x:c>
      <x:c r="I772" s="56" t="str">
        <x:v>—</x:v>
      </x:c>
      <x:c r="J772" s="57" t="str">
        <x:v>—</x:v>
      </x:c>
      <x:c r="K772" s="57" t="str">
        <x:v>—</x:v>
      </x:c>
      <x:c r="L772" s="57" t="str">
        <x:v>—</x:v>
      </x:c>
      <x:c r="M772" s="57" t="str">
        <x:v>—</x:v>
      </x:c>
      <x:c r="N772" s="57" t="str">
        <x:v>—</x:v>
      </x:c>
      <x:c r="O772" s="57" t="str">
        <x:v>—</x:v>
      </x:c>
      <x:c r="P772" s="57" t="str">
        <x:v>포함</x:v>
      </x:c>
      <x:c r="Q772" s="57" t="str">
        <x:v>포함</x:v>
      </x:c>
      <x:c r="R772" s="57" t="str">
        <x:v>—</x:v>
      </x:c>
    </x:row>
    <x:row r="773">
      <x:c r="A773" s="60" t="n">
        <x:v>769</x:v>
      </x:c>
      <x:c r="B773" s="56" t="str">
        <x:v>모래꿍</x:v>
      </x:c>
      <x:c r="C773" s="56" t="str">
        <x:v>sandygast</x:v>
      </x:c>
      <x:c r="D773" s="56" t="str">
        <x:v>해양</x:v>
      </x:c>
      <x:c r="E773" s="56" t="str">
        <x:v>흔함</x:v>
      </x:c>
      <x:c r="F773" s="56" t="str">
        <x:v>아니오</x:v>
      </x:c>
      <x:c r="G773" s="56" t="str">
        <x:v>아니오</x:v>
      </x:c>
      <x:c r="H773" s="56" t="str">
        <x:v>예</x:v>
      </x:c>
      <x:c r="I773" s="56" t="str">
        <x:v>—</x:v>
      </x:c>
      <x:c r="J773" s="57" t="str">
        <x:v>—</x:v>
      </x:c>
      <x:c r="K773" s="57" t="str">
        <x:v>—</x:v>
      </x:c>
      <x:c r="L773" s="57" t="str">
        <x:v>—</x:v>
      </x:c>
      <x:c r="M773" s="57" t="str">
        <x:v>—</x:v>
      </x:c>
      <x:c r="N773" s="57" t="str">
        <x:v>—</x:v>
      </x:c>
      <x:c r="O773" s="57" t="str">
        <x:v>—</x:v>
      </x:c>
      <x:c r="P773" s="57" t="str">
        <x:v>포함</x:v>
      </x:c>
      <x:c r="Q773" s="57" t="str">
        <x:v>포함</x:v>
      </x:c>
      <x:c r="R773" s="57" t="str">
        <x:v>포함</x:v>
      </x:c>
    </x:row>
    <x:row r="774">
      <x:c r="A774" s="60" t="n">
        <x:v>770</x:v>
      </x:c>
      <x:c r="B774" s="56" t="str">
        <x:v>모래성이당</x:v>
      </x:c>
      <x:c r="C774" s="56" t="str">
        <x:v>palossand</x:v>
      </x:c>
      <x:c r="D774" s="56" t="str">
        <x:v>해양</x:v>
      </x:c>
      <x:c r="E774" s="56" t="str">
        <x:v>흔함</x:v>
      </x:c>
      <x:c r="F774" s="56" t="str">
        <x:v>아니오</x:v>
      </x:c>
      <x:c r="G774" s="56" t="str">
        <x:v>아니오</x:v>
      </x:c>
      <x:c r="H774" s="56" t="str">
        <x:v>예</x:v>
      </x:c>
      <x:c r="I774" s="56" t="str">
        <x:v>—</x:v>
      </x:c>
      <x:c r="J774" s="57" t="str">
        <x:v>—</x:v>
      </x:c>
      <x:c r="K774" s="57" t="str">
        <x:v>—</x:v>
      </x:c>
      <x:c r="L774" s="57" t="str">
        <x:v>—</x:v>
      </x:c>
      <x:c r="M774" s="57" t="str">
        <x:v>—</x:v>
      </x:c>
      <x:c r="N774" s="57" t="str">
        <x:v>—</x:v>
      </x:c>
      <x:c r="O774" s="57" t="str">
        <x:v>—</x:v>
      </x:c>
      <x:c r="P774" s="57" t="str">
        <x:v>포함</x:v>
      </x:c>
      <x:c r="Q774" s="57" t="str">
        <x:v>포함</x:v>
      </x:c>
      <x:c r="R774" s="57" t="str">
        <x:v>포함</x:v>
      </x:c>
    </x:row>
    <x:row r="775">
      <x:c r="A775" s="60" t="n">
        <x:v>771</x:v>
      </x:c>
      <x:c r="B775" s="56" t="str">
        <x:v>해무기</x:v>
      </x:c>
      <x:c r="C775" s="56" t="str">
        <x:v>pyukumuku</x:v>
      </x:c>
      <x:c r="D775" s="56" t="str">
        <x:v>해양</x:v>
      </x:c>
      <x:c r="E775" s="56" t="str">
        <x:v>보통</x:v>
      </x:c>
      <x:c r="F775" s="56" t="str">
        <x:v>아니오</x:v>
      </x:c>
      <x:c r="G775" s="56" t="str">
        <x:v>아니오</x:v>
      </x:c>
      <x:c r="H775" s="56" t="str">
        <x:v>예</x:v>
      </x:c>
      <x:c r="I775" s="56" t="str">
        <x:v>—</x:v>
      </x:c>
      <x:c r="J775" s="57" t="str">
        <x:v>—</x:v>
      </x:c>
      <x:c r="K775" s="57" t="str">
        <x:v>—</x:v>
      </x:c>
      <x:c r="L775" s="57" t="str">
        <x:v>—</x:v>
      </x:c>
      <x:c r="M775" s="57" t="str">
        <x:v>—</x:v>
      </x:c>
      <x:c r="N775" s="57" t="str">
        <x:v>—</x:v>
      </x:c>
      <x:c r="O775" s="57" t="str">
        <x:v>—</x:v>
      </x:c>
      <x:c r="P775" s="57" t="str">
        <x:v>포함</x:v>
      </x:c>
      <x:c r="Q775" s="57" t="str">
        <x:v>포함</x:v>
      </x:c>
      <x:c r="R775" s="57" t="str">
        <x:v>—</x:v>
      </x:c>
    </x:row>
    <x:row r="776">
      <x:c r="A776" s="60" t="n">
        <x:v>772</x:v>
      </x:c>
      <x:c r="B776" s="56" t="str">
        <x:v>타입:널</x:v>
      </x:c>
      <x:c r="C776" s="56" t="str">
        <x:v>typenull</x:v>
      </x:c>
      <x:c r="D776" s="56" t="str">
        <x:v>평원</x:v>
      </x:c>
      <x:c r="E776" s="56" t="str">
        <x:v>전설</x:v>
      </x:c>
      <x:c r="F776" s="56" t="str">
        <x:v>예</x:v>
      </x:c>
      <x:c r="G776" s="56" t="str">
        <x:v>아니오</x:v>
      </x:c>
      <x:c r="H776" s="56" t="str">
        <x:v>아니오</x:v>
      </x:c>
      <x:c r="I776" s="56" t="str">
        <x:v>전설</x:v>
      </x:c>
      <x:c r="J776" s="57" t="str">
        <x:v>—</x:v>
      </x:c>
      <x:c r="K776" s="57" t="str">
        <x:v>—</x:v>
      </x:c>
      <x:c r="L776" s="57" t="str">
        <x:v>—</x:v>
      </x:c>
      <x:c r="M776" s="57" t="str">
        <x:v>—</x:v>
      </x:c>
      <x:c r="N776" s="57" t="str">
        <x:v>—</x:v>
      </x:c>
      <x:c r="O776" s="57" t="str">
        <x:v>—</x:v>
      </x:c>
      <x:c r="P776" s="57" t="str">
        <x:v>포함</x:v>
      </x:c>
      <x:c r="Q776" s="57" t="str">
        <x:v>포함</x:v>
      </x:c>
      <x:c r="R776" s="57" t="str">
        <x:v>—</x:v>
      </x:c>
    </x:row>
    <x:row r="777">
      <x:c r="A777" s="60" t="n">
        <x:v>773</x:v>
      </x:c>
      <x:c r="B777" s="56" t="str">
        <x:v>실버디</x:v>
      </x:c>
      <x:c r="C777" s="56" t="str">
        <x:v>silvally</x:v>
      </x:c>
      <x:c r="D777" s="56" t="str">
        <x:v>도시</x:v>
      </x:c>
      <x:c r="E777" s="56" t="str">
        <x:v>전설</x:v>
      </x:c>
      <x:c r="F777" s="56" t="str">
        <x:v>예</x:v>
      </x:c>
      <x:c r="G777" s="56" t="str">
        <x:v>아니오</x:v>
      </x:c>
      <x:c r="H777" s="56" t="str">
        <x:v>아니오</x:v>
      </x:c>
      <x:c r="I777" s="56" t="str">
        <x:v>전설</x:v>
      </x:c>
      <x:c r="J777" s="57" t="str">
        <x:v>—</x:v>
      </x:c>
      <x:c r="K777" s="57" t="str">
        <x:v>—</x:v>
      </x:c>
      <x:c r="L777" s="57" t="str">
        <x:v>—</x:v>
      </x:c>
      <x:c r="M777" s="57" t="str">
        <x:v>—</x:v>
      </x:c>
      <x:c r="N777" s="57" t="str">
        <x:v>—</x:v>
      </x:c>
      <x:c r="O777" s="57" t="str">
        <x:v>—</x:v>
      </x:c>
      <x:c r="P777" s="57" t="str">
        <x:v>포함</x:v>
      </x:c>
      <x:c r="Q777" s="57" t="str">
        <x:v>포함</x:v>
      </x:c>
      <x:c r="R777" s="57" t="str">
        <x:v>—</x:v>
      </x:c>
    </x:row>
    <x:row r="778">
      <x:c r="A778" s="60" t="n">
        <x:v>774</x:v>
      </x:c>
      <x:c r="B778" s="56" t="str">
        <x:v>메테노</x:v>
      </x:c>
      <x:c r="C778" s="56" t="str">
        <x:v>minior</x:v>
      </x:c>
      <x:c r="D778" s="56" t="str">
        <x:v>산악</x:v>
      </x:c>
      <x:c r="E778" s="56" t="str">
        <x:v>보통</x:v>
      </x:c>
      <x:c r="F778" s="56" t="str">
        <x:v>아니오</x:v>
      </x:c>
      <x:c r="G778" s="56" t="str">
        <x:v>아니오</x:v>
      </x:c>
      <x:c r="H778" s="56" t="str">
        <x:v>예</x:v>
      </x:c>
      <x:c r="I778" s="56" t="str">
        <x:v>—</x:v>
      </x:c>
      <x:c r="J778" s="57" t="str">
        <x:v>—</x:v>
      </x:c>
      <x:c r="K778" s="57" t="str">
        <x:v>—</x:v>
      </x:c>
      <x:c r="L778" s="57" t="str">
        <x:v>—</x:v>
      </x:c>
      <x:c r="M778" s="57" t="str">
        <x:v>—</x:v>
      </x:c>
      <x:c r="N778" s="57" t="str">
        <x:v>—</x:v>
      </x:c>
      <x:c r="O778" s="57" t="str">
        <x:v>—</x:v>
      </x:c>
      <x:c r="P778" s="57" t="str">
        <x:v>포함</x:v>
      </x:c>
      <x:c r="Q778" s="57" t="str">
        <x:v>—</x:v>
      </x:c>
      <x:c r="R778" s="57" t="str">
        <x:v>포함</x:v>
      </x:c>
    </x:row>
    <x:row r="779">
      <x:c r="A779" s="60" t="n">
        <x:v>775</x:v>
      </x:c>
      <x:c r="B779" s="56" t="str">
        <x:v>자말라</x:v>
      </x:c>
      <x:c r="C779" s="56" t="str">
        <x:v>komala</x:v>
      </x:c>
      <x:c r="D779" s="56" t="str">
        <x:v>숲</x:v>
      </x:c>
      <x:c r="E779" s="56" t="str">
        <x:v>흔함</x:v>
      </x:c>
      <x:c r="F779" s="56" t="str">
        <x:v>아니오</x:v>
      </x:c>
      <x:c r="G779" s="56" t="str">
        <x:v>아니오</x:v>
      </x:c>
      <x:c r="H779" s="56" t="str">
        <x:v>예</x:v>
      </x:c>
      <x:c r="I779" s="56" t="str">
        <x:v>—</x:v>
      </x:c>
      <x:c r="J779" s="57" t="str">
        <x:v>—</x:v>
      </x:c>
      <x:c r="K779" s="57" t="str">
        <x:v>—</x:v>
      </x:c>
      <x:c r="L779" s="57" t="str">
        <x:v>—</x:v>
      </x:c>
      <x:c r="M779" s="57" t="str">
        <x:v>—</x:v>
      </x:c>
      <x:c r="N779" s="57" t="str">
        <x:v>—</x:v>
      </x:c>
      <x:c r="O779" s="57" t="str">
        <x:v>—</x:v>
      </x:c>
      <x:c r="P779" s="57" t="str">
        <x:v>포함</x:v>
      </x:c>
      <x:c r="Q779" s="57" t="str">
        <x:v>—</x:v>
      </x:c>
      <x:c r="R779" s="57" t="str">
        <x:v>포함</x:v>
      </x:c>
    </x:row>
    <x:row r="780">
      <x:c r="A780" s="60" t="n">
        <x:v>776</x:v>
      </x:c>
      <x:c r="B780" s="56" t="str">
        <x:v>폭거북스</x:v>
      </x:c>
      <x:c r="C780" s="56" t="str">
        <x:v>turtonator</x:v>
      </x:c>
      <x:c r="D780" s="56" t="str">
        <x:v>화산</x:v>
      </x:c>
      <x:c r="E780" s="56" t="str">
        <x:v>보통</x:v>
      </x:c>
      <x:c r="F780" s="56" t="str">
        <x:v>아니오</x:v>
      </x:c>
      <x:c r="G780" s="56" t="str">
        <x:v>아니오</x:v>
      </x:c>
      <x:c r="H780" s="56" t="str">
        <x:v>예</x:v>
      </x:c>
      <x:c r="I780" s="56" t="str">
        <x:v>—</x:v>
      </x:c>
      <x:c r="J780" s="57" t="str">
        <x:v>—</x:v>
      </x:c>
      <x:c r="K780" s="57" t="str">
        <x:v>—</x:v>
      </x:c>
      <x:c r="L780" s="57" t="str">
        <x:v>—</x:v>
      </x:c>
      <x:c r="M780" s="57" t="str">
        <x:v>—</x:v>
      </x:c>
      <x:c r="N780" s="57" t="str">
        <x:v>—</x:v>
      </x:c>
      <x:c r="O780" s="57" t="str">
        <x:v>—</x:v>
      </x:c>
      <x:c r="P780" s="57" t="str">
        <x:v>포함</x:v>
      </x:c>
      <x:c r="Q780" s="57" t="str">
        <x:v>포함</x:v>
      </x:c>
      <x:c r="R780" s="57" t="str">
        <x:v>—</x:v>
      </x:c>
    </x:row>
    <x:row r="781">
      <x:c r="A781" s="60" t="n">
        <x:v>777</x:v>
      </x:c>
      <x:c r="B781" s="56" t="str">
        <x:v>토게데마루</x:v>
      </x:c>
      <x:c r="C781" s="56" t="str">
        <x:v>togedemaru</x:v>
      </x:c>
      <x:c r="D781" s="56" t="str">
        <x:v>산악</x:v>
      </x:c>
      <x:c r="E781" s="56" t="str">
        <x:v>보통</x:v>
      </x:c>
      <x:c r="F781" s="56" t="str">
        <x:v>아니오</x:v>
      </x:c>
      <x:c r="G781" s="56" t="str">
        <x:v>아니오</x:v>
      </x:c>
      <x:c r="H781" s="56" t="str">
        <x:v>예</x:v>
      </x:c>
      <x:c r="I781" s="56" t="str">
        <x:v>—</x:v>
      </x:c>
      <x:c r="J781" s="57" t="str">
        <x:v>—</x:v>
      </x:c>
      <x:c r="K781" s="57" t="str">
        <x:v>—</x:v>
      </x:c>
      <x:c r="L781" s="57" t="str">
        <x:v>—</x:v>
      </x:c>
      <x:c r="M781" s="57" t="str">
        <x:v>—</x:v>
      </x:c>
      <x:c r="N781" s="57" t="str">
        <x:v>—</x:v>
      </x:c>
      <x:c r="O781" s="57" t="str">
        <x:v>—</x:v>
      </x:c>
      <x:c r="P781" s="57" t="str">
        <x:v>포함</x:v>
      </x:c>
      <x:c r="Q781" s="57" t="str">
        <x:v>포함</x:v>
      </x:c>
      <x:c r="R781" s="57" t="str">
        <x:v>—</x:v>
      </x:c>
    </x:row>
    <x:row r="782">
      <x:c r="A782" s="60" t="n">
        <x:v>778</x:v>
      </x:c>
      <x:c r="B782" s="56" t="str">
        <x:v>따라큐</x:v>
      </x:c>
      <x:c r="C782" s="56" t="str">
        <x:v>mimikyu</x:v>
      </x:c>
      <x:c r="D782" s="56" t="str">
        <x:v>특수</x:v>
      </x:c>
      <x:c r="E782" s="56" t="str">
        <x:v>보통</x:v>
      </x:c>
      <x:c r="F782" s="56" t="str">
        <x:v>아니오</x:v>
      </x:c>
      <x:c r="G782" s="56" t="str">
        <x:v>아니오</x:v>
      </x:c>
      <x:c r="H782" s="56" t="str">
        <x:v>예</x:v>
      </x:c>
      <x:c r="I782" s="56" t="str">
        <x:v>—</x:v>
      </x:c>
      <x:c r="J782" s="57" t="str">
        <x:v>—</x:v>
      </x:c>
      <x:c r="K782" s="57" t="str">
        <x:v>—</x:v>
      </x:c>
      <x:c r="L782" s="57" t="str">
        <x:v>—</x:v>
      </x:c>
      <x:c r="M782" s="57" t="str">
        <x:v>—</x:v>
      </x:c>
      <x:c r="N782" s="57" t="str">
        <x:v>—</x:v>
      </x:c>
      <x:c r="O782" s="57" t="str">
        <x:v>—</x:v>
      </x:c>
      <x:c r="P782" s="57" t="str">
        <x:v>포함</x:v>
      </x:c>
      <x:c r="Q782" s="57" t="str">
        <x:v>포함</x:v>
      </x:c>
      <x:c r="R782" s="57" t="str">
        <x:v>포함</x:v>
      </x:c>
    </x:row>
    <x:row r="783">
      <x:c r="A783" s="60" t="n">
        <x:v>779</x:v>
      </x:c>
      <x:c r="B783" s="56" t="str">
        <x:v>치갈기</x:v>
      </x:c>
      <x:c r="C783" s="56" t="str">
        <x:v>bruxish</x:v>
      </x:c>
      <x:c r="D783" s="56" t="str">
        <x:v>해양</x:v>
      </x:c>
      <x:c r="E783" s="56" t="str">
        <x:v>보통</x:v>
      </x:c>
      <x:c r="F783" s="56" t="str">
        <x:v>아니오</x:v>
      </x:c>
      <x:c r="G783" s="56" t="str">
        <x:v>아니오</x:v>
      </x:c>
      <x:c r="H783" s="56" t="str">
        <x:v>예</x:v>
      </x:c>
      <x:c r="I783" s="56" t="str">
        <x:v>—</x:v>
      </x:c>
      <x:c r="J783" s="57" t="str">
        <x:v>—</x:v>
      </x:c>
      <x:c r="K783" s="57" t="str">
        <x:v>—</x:v>
      </x:c>
      <x:c r="L783" s="57" t="str">
        <x:v>—</x:v>
      </x:c>
      <x:c r="M783" s="57" t="str">
        <x:v>—</x:v>
      </x:c>
      <x:c r="N783" s="57" t="str">
        <x:v>—</x:v>
      </x:c>
      <x:c r="O783" s="57" t="str">
        <x:v>—</x:v>
      </x:c>
      <x:c r="P783" s="57" t="str">
        <x:v>포함</x:v>
      </x:c>
      <x:c r="Q783" s="57" t="str">
        <x:v>—</x:v>
      </x:c>
      <x:c r="R783" s="57" t="str">
        <x:v>포함</x:v>
      </x:c>
    </x:row>
    <x:row r="784">
      <x:c r="A784" s="60" t="n">
        <x:v>780</x:v>
      </x:c>
      <x:c r="B784" s="56" t="str">
        <x:v>할비롱</x:v>
      </x:c>
      <x:c r="C784" s="56" t="str">
        <x:v>drampa</x:v>
      </x:c>
      <x:c r="D784" s="56" t="str">
        <x:v>산악</x:v>
      </x:c>
      <x:c r="E784" s="56" t="str">
        <x:v>보통</x:v>
      </x:c>
      <x:c r="F784" s="56" t="str">
        <x:v>아니오</x:v>
      </x:c>
      <x:c r="G784" s="56" t="str">
        <x:v>아니오</x:v>
      </x:c>
      <x:c r="H784" s="56" t="str">
        <x:v>예</x:v>
      </x:c>
      <x:c r="I784" s="56" t="str">
        <x:v>—</x:v>
      </x:c>
      <x:c r="J784" s="57" t="str">
        <x:v>—</x:v>
      </x:c>
      <x:c r="K784" s="57" t="str">
        <x:v>—</x:v>
      </x:c>
      <x:c r="L784" s="57" t="str">
        <x:v>—</x:v>
      </x:c>
      <x:c r="M784" s="57" t="str">
        <x:v>—</x:v>
      </x:c>
      <x:c r="N784" s="57" t="str">
        <x:v>—</x:v>
      </x:c>
      <x:c r="O784" s="57" t="str">
        <x:v>—</x:v>
      </x:c>
      <x:c r="P784" s="57" t="str">
        <x:v>포함</x:v>
      </x:c>
      <x:c r="Q784" s="57" t="str">
        <x:v>포함</x:v>
      </x:c>
      <x:c r="R784" s="57" t="str">
        <x:v>—</x:v>
      </x:c>
    </x:row>
    <x:row r="785">
      <x:c r="A785" s="60" t="n">
        <x:v>781</x:v>
      </x:c>
      <x:c r="B785" s="56" t="str">
        <x:v>타타륜</x:v>
      </x:c>
      <x:c r="C785" s="56" t="str">
        <x:v>dhelmise</x:v>
      </x:c>
      <x:c r="D785" s="56" t="str">
        <x:v>해양</x:v>
      </x:c>
      <x:c r="E785" s="56" t="str">
        <x:v>흔함</x:v>
      </x:c>
      <x:c r="F785" s="56" t="str">
        <x:v>아니오</x:v>
      </x:c>
      <x:c r="G785" s="56" t="str">
        <x:v>아니오</x:v>
      </x:c>
      <x:c r="H785" s="56" t="str">
        <x:v>예</x:v>
      </x:c>
      <x:c r="I785" s="56" t="str">
        <x:v>—</x:v>
      </x:c>
      <x:c r="J785" s="57" t="str">
        <x:v>—</x:v>
      </x:c>
      <x:c r="K785" s="57" t="str">
        <x:v>—</x:v>
      </x:c>
      <x:c r="L785" s="57" t="str">
        <x:v>—</x:v>
      </x:c>
      <x:c r="M785" s="57" t="str">
        <x:v>—</x:v>
      </x:c>
      <x:c r="N785" s="57" t="str">
        <x:v>—</x:v>
      </x:c>
      <x:c r="O785" s="57" t="str">
        <x:v>—</x:v>
      </x:c>
      <x:c r="P785" s="57" t="str">
        <x:v>포함</x:v>
      </x:c>
      <x:c r="Q785" s="57" t="str">
        <x:v>포함</x:v>
      </x:c>
      <x:c r="R785" s="57" t="str">
        <x:v>—</x:v>
      </x:c>
    </x:row>
    <x:row r="786">
      <x:c r="A786" s="60" t="n">
        <x:v>782</x:v>
      </x:c>
      <x:c r="B786" s="56" t="str">
        <x:v>짜랑꼬</x:v>
      </x:c>
      <x:c r="C786" s="56" t="str">
        <x:v>jangmoo</x:v>
      </x:c>
      <x:c r="D786" s="56" t="str">
        <x:v>숲</x:v>
      </x:c>
      <x:c r="E786" s="56" t="str">
        <x:v>희귀</x:v>
      </x:c>
      <x:c r="F786" s="56" t="str">
        <x:v>아니오</x:v>
      </x:c>
      <x:c r="G786" s="56" t="str">
        <x:v>아니오</x:v>
      </x:c>
      <x:c r="H786" s="56" t="str">
        <x:v>예</x:v>
      </x:c>
      <x:c r="I786" s="56" t="str">
        <x:v>—</x:v>
      </x:c>
      <x:c r="J786" s="57" t="str">
        <x:v>—</x:v>
      </x:c>
      <x:c r="K786" s="57" t="str">
        <x:v>—</x:v>
      </x:c>
      <x:c r="L786" s="57" t="str">
        <x:v>—</x:v>
      </x:c>
      <x:c r="M786" s="57" t="str">
        <x:v>—</x:v>
      </x:c>
      <x:c r="N786" s="57" t="str">
        <x:v>—</x:v>
      </x:c>
      <x:c r="O786" s="57" t="str">
        <x:v>—</x:v>
      </x:c>
      <x:c r="P786" s="57" t="str">
        <x:v>포함</x:v>
      </x:c>
      <x:c r="Q786" s="57" t="str">
        <x:v>포함</x:v>
      </x:c>
      <x:c r="R786" s="57" t="str">
        <x:v>포함</x:v>
      </x:c>
    </x:row>
    <x:row r="787">
      <x:c r="A787" s="60" t="n">
        <x:v>783</x:v>
      </x:c>
      <x:c r="B787" s="56" t="str">
        <x:v>짜랑고우</x:v>
      </x:c>
      <x:c r="C787" s="56" t="str">
        <x:v>hakamoo</x:v>
      </x:c>
      <x:c r="D787" s="56" t="str">
        <x:v>숲</x:v>
      </x:c>
      <x:c r="E787" s="56" t="str">
        <x:v>희귀</x:v>
      </x:c>
      <x:c r="F787" s="56" t="str">
        <x:v>아니오</x:v>
      </x:c>
      <x:c r="G787" s="56" t="str">
        <x:v>아니오</x:v>
      </x:c>
      <x:c r="H787" s="56" t="str">
        <x:v>예</x:v>
      </x:c>
      <x:c r="I787" s="56" t="str">
        <x:v>—</x:v>
      </x:c>
      <x:c r="J787" s="57" t="str">
        <x:v>—</x:v>
      </x:c>
      <x:c r="K787" s="57" t="str">
        <x:v>—</x:v>
      </x:c>
      <x:c r="L787" s="57" t="str">
        <x:v>—</x:v>
      </x:c>
      <x:c r="M787" s="57" t="str">
        <x:v>—</x:v>
      </x:c>
      <x:c r="N787" s="57" t="str">
        <x:v>—</x:v>
      </x:c>
      <x:c r="O787" s="57" t="str">
        <x:v>—</x:v>
      </x:c>
      <x:c r="P787" s="57" t="str">
        <x:v>포함</x:v>
      </x:c>
      <x:c r="Q787" s="57" t="str">
        <x:v>포함</x:v>
      </x:c>
      <x:c r="R787" s="57" t="str">
        <x:v>포함</x:v>
      </x:c>
    </x:row>
    <x:row r="788">
      <x:c r="A788" s="60" t="n">
        <x:v>784</x:v>
      </x:c>
      <x:c r="B788" s="56" t="str">
        <x:v>짜랑고우거</x:v>
      </x:c>
      <x:c r="C788" s="56" t="str">
        <x:v>kommoo</x:v>
      </x:c>
      <x:c r="D788" s="56" t="str">
        <x:v>숲</x:v>
      </x:c>
      <x:c r="E788" s="56" t="str">
        <x:v>희귀</x:v>
      </x:c>
      <x:c r="F788" s="56" t="str">
        <x:v>아니오</x:v>
      </x:c>
      <x:c r="G788" s="56" t="str">
        <x:v>아니오</x:v>
      </x:c>
      <x:c r="H788" s="56" t="str">
        <x:v>예</x:v>
      </x:c>
      <x:c r="I788" s="56" t="str">
        <x:v>—</x:v>
      </x:c>
      <x:c r="J788" s="57" t="str">
        <x:v>—</x:v>
      </x:c>
      <x:c r="K788" s="57" t="str">
        <x:v>—</x:v>
      </x:c>
      <x:c r="L788" s="57" t="str">
        <x:v>—</x:v>
      </x:c>
      <x:c r="M788" s="57" t="str">
        <x:v>—</x:v>
      </x:c>
      <x:c r="N788" s="57" t="str">
        <x:v>—</x:v>
      </x:c>
      <x:c r="O788" s="57" t="str">
        <x:v>—</x:v>
      </x:c>
      <x:c r="P788" s="57" t="str">
        <x:v>포함</x:v>
      </x:c>
      <x:c r="Q788" s="57" t="str">
        <x:v>포함</x:v>
      </x:c>
      <x:c r="R788" s="57" t="str">
        <x:v>포함</x:v>
      </x:c>
    </x:row>
    <x:row r="789">
      <x:c r="A789" s="60" t="n">
        <x:v>785</x:v>
      </x:c>
      <x:c r="B789" s="56" t="str">
        <x:v>카푸꼬꼬꼭</x:v>
      </x:c>
      <x:c r="C789" s="56" t="str">
        <x:v>tapukoko</x:v>
      </x:c>
      <x:c r="D789" s="56" t="str">
        <x:v>숲</x:v>
      </x:c>
      <x:c r="E789" s="56" t="str">
        <x:v>전설</x:v>
      </x:c>
      <x:c r="F789" s="56" t="str">
        <x:v>예</x:v>
      </x:c>
      <x:c r="G789" s="56" t="str">
        <x:v>아니오</x:v>
      </x:c>
      <x:c r="H789" s="56" t="str">
        <x:v>아니오</x:v>
      </x:c>
      <x:c r="I789" s="56" t="str">
        <x:v>전설</x:v>
      </x:c>
      <x:c r="J789" s="57" t="str">
        <x:v>—</x:v>
      </x:c>
      <x:c r="K789" s="57" t="str">
        <x:v>—</x:v>
      </x:c>
      <x:c r="L789" s="57" t="str">
        <x:v>—</x:v>
      </x:c>
      <x:c r="M789" s="57" t="str">
        <x:v>—</x:v>
      </x:c>
      <x:c r="N789" s="57" t="str">
        <x:v>—</x:v>
      </x:c>
      <x:c r="O789" s="57" t="str">
        <x:v>—</x:v>
      </x:c>
      <x:c r="P789" s="57" t="str">
        <x:v>포함</x:v>
      </x:c>
      <x:c r="Q789" s="57" t="str">
        <x:v>—</x:v>
      </x:c>
      <x:c r="R789" s="57" t="str">
        <x:v>—</x:v>
      </x:c>
    </x:row>
    <x:row r="790">
      <x:c r="A790" s="60" t="n">
        <x:v>786</x:v>
      </x:c>
      <x:c r="B790" s="56" t="str">
        <x:v>카푸나비나</x:v>
      </x:c>
      <x:c r="C790" s="56" t="str">
        <x:v>tapulele</x:v>
      </x:c>
      <x:c r="D790" s="56" t="str">
        <x:v>해양</x:v>
      </x:c>
      <x:c r="E790" s="56" t="str">
        <x:v>전설</x:v>
      </x:c>
      <x:c r="F790" s="56" t="str">
        <x:v>예</x:v>
      </x:c>
      <x:c r="G790" s="56" t="str">
        <x:v>아니오</x:v>
      </x:c>
      <x:c r="H790" s="56" t="str">
        <x:v>아니오</x:v>
      </x:c>
      <x:c r="I790" s="56" t="str">
        <x:v>전설</x:v>
      </x:c>
      <x:c r="J790" s="57" t="str">
        <x:v>—</x:v>
      </x:c>
      <x:c r="K790" s="57" t="str">
        <x:v>—</x:v>
      </x:c>
      <x:c r="L790" s="57" t="str">
        <x:v>—</x:v>
      </x:c>
      <x:c r="M790" s="57" t="str">
        <x:v>—</x:v>
      </x:c>
      <x:c r="N790" s="57" t="str">
        <x:v>—</x:v>
      </x:c>
      <x:c r="O790" s="57" t="str">
        <x:v>—</x:v>
      </x:c>
      <x:c r="P790" s="57" t="str">
        <x:v>포함</x:v>
      </x:c>
      <x:c r="Q790" s="57" t="str">
        <x:v>—</x:v>
      </x:c>
      <x:c r="R790" s="57" t="str">
        <x:v>—</x:v>
      </x:c>
    </x:row>
    <x:row r="791">
      <x:c r="A791" s="60" t="n">
        <x:v>787</x:v>
      </x:c>
      <x:c r="B791" s="56" t="str">
        <x:v>카푸브루루</x:v>
      </x:c>
      <x:c r="C791" s="56" t="str">
        <x:v>tapubulu</x:v>
      </x:c>
      <x:c r="D791" s="56" t="str">
        <x:v>담수</x:v>
      </x:c>
      <x:c r="E791" s="56" t="str">
        <x:v>전설</x:v>
      </x:c>
      <x:c r="F791" s="56" t="str">
        <x:v>예</x:v>
      </x:c>
      <x:c r="G791" s="56" t="str">
        <x:v>아니오</x:v>
      </x:c>
      <x:c r="H791" s="56" t="str">
        <x:v>아니오</x:v>
      </x:c>
      <x:c r="I791" s="56" t="str">
        <x:v>전설</x:v>
      </x:c>
      <x:c r="J791" s="57" t="str">
        <x:v>—</x:v>
      </x:c>
      <x:c r="K791" s="57" t="str">
        <x:v>—</x:v>
      </x:c>
      <x:c r="L791" s="57" t="str">
        <x:v>—</x:v>
      </x:c>
      <x:c r="M791" s="57" t="str">
        <x:v>—</x:v>
      </x:c>
      <x:c r="N791" s="57" t="str">
        <x:v>—</x:v>
      </x:c>
      <x:c r="O791" s="57" t="str">
        <x:v>—</x:v>
      </x:c>
      <x:c r="P791" s="57" t="str">
        <x:v>포함</x:v>
      </x:c>
      <x:c r="Q791" s="57" t="str">
        <x:v>—</x:v>
      </x:c>
      <x:c r="R791" s="57" t="str">
        <x:v>—</x:v>
      </x:c>
    </x:row>
    <x:row r="792">
      <x:c r="A792" s="60" t="n">
        <x:v>788</x:v>
      </x:c>
      <x:c r="B792" s="56" t="str">
        <x:v>카푸느지느</x:v>
      </x:c>
      <x:c r="C792" s="56" t="str">
        <x:v>tapufini</x:v>
      </x:c>
      <x:c r="D792" s="56" t="str">
        <x:v>해양</x:v>
      </x:c>
      <x:c r="E792" s="56" t="str">
        <x:v>전설</x:v>
      </x:c>
      <x:c r="F792" s="56" t="str">
        <x:v>예</x:v>
      </x:c>
      <x:c r="G792" s="56" t="str">
        <x:v>아니오</x:v>
      </x:c>
      <x:c r="H792" s="56" t="str">
        <x:v>아니오</x:v>
      </x:c>
      <x:c r="I792" s="56" t="str">
        <x:v>전설</x:v>
      </x:c>
      <x:c r="J792" s="57" t="str">
        <x:v>—</x:v>
      </x:c>
      <x:c r="K792" s="57" t="str">
        <x:v>—</x:v>
      </x:c>
      <x:c r="L792" s="57" t="str">
        <x:v>—</x:v>
      </x:c>
      <x:c r="M792" s="57" t="str">
        <x:v>—</x:v>
      </x:c>
      <x:c r="N792" s="57" t="str">
        <x:v>—</x:v>
      </x:c>
      <x:c r="O792" s="57" t="str">
        <x:v>—</x:v>
      </x:c>
      <x:c r="P792" s="57" t="str">
        <x:v>포함</x:v>
      </x:c>
      <x:c r="Q792" s="57" t="str">
        <x:v>—</x:v>
      </x:c>
      <x:c r="R792" s="57" t="str">
        <x:v>—</x:v>
      </x:c>
    </x:row>
    <x:row r="793">
      <x:c r="A793" s="60" t="n">
        <x:v>789</x:v>
      </x:c>
      <x:c r="B793" s="56" t="str">
        <x:v>코스모그</x:v>
      </x:c>
      <x:c r="C793" s="56" t="str">
        <x:v>cosmog</x:v>
      </x:c>
      <x:c r="D793" s="56" t="str">
        <x:v>특수</x:v>
      </x:c>
      <x:c r="E793" s="56" t="str">
        <x:v>전설</x:v>
      </x:c>
      <x:c r="F793" s="56" t="str">
        <x:v>예</x:v>
      </x:c>
      <x:c r="G793" s="56" t="str">
        <x:v>아니오</x:v>
      </x:c>
      <x:c r="H793" s="56" t="str">
        <x:v>아니오</x:v>
      </x:c>
      <x:c r="I793" s="56" t="str">
        <x:v>전설</x:v>
      </x:c>
      <x:c r="J793" s="57" t="str">
        <x:v>—</x:v>
      </x:c>
      <x:c r="K793" s="57" t="str">
        <x:v>—</x:v>
      </x:c>
      <x:c r="L793" s="57" t="str">
        <x:v>—</x:v>
      </x:c>
      <x:c r="M793" s="57" t="str">
        <x:v>—</x:v>
      </x:c>
      <x:c r="N793" s="57" t="str">
        <x:v>—</x:v>
      </x:c>
      <x:c r="O793" s="57" t="str">
        <x:v>—</x:v>
      </x:c>
      <x:c r="P793" s="57" t="str">
        <x:v>포함</x:v>
      </x:c>
      <x:c r="Q793" s="57" t="str">
        <x:v>—</x:v>
      </x:c>
      <x:c r="R793" s="57" t="str">
        <x:v>—</x:v>
      </x:c>
    </x:row>
    <x:row r="794">
      <x:c r="A794" s="60" t="n">
        <x:v>790</x:v>
      </x:c>
      <x:c r="B794" s="56" t="str">
        <x:v>코스모움</x:v>
      </x:c>
      <x:c r="C794" s="56" t="str">
        <x:v>cosmoem</x:v>
      </x:c>
      <x:c r="D794" s="56" t="str">
        <x:v>특수</x:v>
      </x:c>
      <x:c r="E794" s="56" t="str">
        <x:v>전설</x:v>
      </x:c>
      <x:c r="F794" s="56" t="str">
        <x:v>예</x:v>
      </x:c>
      <x:c r="G794" s="56" t="str">
        <x:v>아니오</x:v>
      </x:c>
      <x:c r="H794" s="56" t="str">
        <x:v>아니오</x:v>
      </x:c>
      <x:c r="I794" s="56" t="str">
        <x:v>전설</x:v>
      </x:c>
      <x:c r="J794" s="57" t="str">
        <x:v>—</x:v>
      </x:c>
      <x:c r="K794" s="57" t="str">
        <x:v>—</x:v>
      </x:c>
      <x:c r="L794" s="57" t="str">
        <x:v>—</x:v>
      </x:c>
      <x:c r="M794" s="57" t="str">
        <x:v>—</x:v>
      </x:c>
      <x:c r="N794" s="57" t="str">
        <x:v>—</x:v>
      </x:c>
      <x:c r="O794" s="57" t="str">
        <x:v>—</x:v>
      </x:c>
      <x:c r="P794" s="57" t="str">
        <x:v>포함</x:v>
      </x:c>
      <x:c r="Q794" s="57" t="str">
        <x:v>—</x:v>
      </x:c>
      <x:c r="R794" s="57" t="str">
        <x:v>—</x:v>
      </x:c>
    </x:row>
    <x:row r="795">
      <x:c r="A795" s="60" t="n">
        <x:v>791</x:v>
      </x:c>
      <x:c r="B795" s="56" t="str">
        <x:v>솔가레오</x:v>
      </x:c>
      <x:c r="C795" s="56" t="str">
        <x:v>solgaleo</x:v>
      </x:c>
      <x:c r="D795" s="56" t="str">
        <x:v>평원</x:v>
      </x:c>
      <x:c r="E795" s="56" t="str">
        <x:v>전설</x:v>
      </x:c>
      <x:c r="F795" s="56" t="str">
        <x:v>예</x:v>
      </x:c>
      <x:c r="G795" s="56" t="str">
        <x:v>아니오</x:v>
      </x:c>
      <x:c r="H795" s="56" t="str">
        <x:v>아니오</x:v>
      </x:c>
      <x:c r="I795" s="56" t="str">
        <x:v>전설</x:v>
      </x:c>
      <x:c r="J795" s="57" t="str">
        <x:v>—</x:v>
      </x:c>
      <x:c r="K795" s="57" t="str">
        <x:v>—</x:v>
      </x:c>
      <x:c r="L795" s="57" t="str">
        <x:v>—</x:v>
      </x:c>
      <x:c r="M795" s="57" t="str">
        <x:v>—</x:v>
      </x:c>
      <x:c r="N795" s="57" t="str">
        <x:v>—</x:v>
      </x:c>
      <x:c r="O795" s="57" t="str">
        <x:v>—</x:v>
      </x:c>
      <x:c r="P795" s="57" t="str">
        <x:v>포함</x:v>
      </x:c>
      <x:c r="Q795" s="57" t="str">
        <x:v>—</x:v>
      </x:c>
      <x:c r="R795" s="57" t="str">
        <x:v>—</x:v>
      </x:c>
    </x:row>
    <x:row r="796">
      <x:c r="A796" s="60" t="n">
        <x:v>792</x:v>
      </x:c>
      <x:c r="B796" s="56" t="str">
        <x:v>루나아라</x:v>
      </x:c>
      <x:c r="C796" s="56" t="str">
        <x:v>lunala</x:v>
      </x:c>
      <x:c r="D796" s="56" t="str">
        <x:v>특수</x:v>
      </x:c>
      <x:c r="E796" s="56" t="str">
        <x:v>전설</x:v>
      </x:c>
      <x:c r="F796" s="56" t="str">
        <x:v>예</x:v>
      </x:c>
      <x:c r="G796" s="56" t="str">
        <x:v>아니오</x:v>
      </x:c>
      <x:c r="H796" s="56" t="str">
        <x:v>아니오</x:v>
      </x:c>
      <x:c r="I796" s="56" t="str">
        <x:v>전설</x:v>
      </x:c>
      <x:c r="J796" s="57" t="str">
        <x:v>—</x:v>
      </x:c>
      <x:c r="K796" s="57" t="str">
        <x:v>—</x:v>
      </x:c>
      <x:c r="L796" s="57" t="str">
        <x:v>—</x:v>
      </x:c>
      <x:c r="M796" s="57" t="str">
        <x:v>—</x:v>
      </x:c>
      <x:c r="N796" s="57" t="str">
        <x:v>—</x:v>
      </x:c>
      <x:c r="O796" s="57" t="str">
        <x:v>—</x:v>
      </x:c>
      <x:c r="P796" s="57" t="str">
        <x:v>포함</x:v>
      </x:c>
      <x:c r="Q796" s="57" t="str">
        <x:v>—</x:v>
      </x:c>
      <x:c r="R796" s="57" t="str">
        <x:v>—</x:v>
      </x:c>
    </x:row>
    <x:row r="797">
      <x:c r="A797" s="60" t="n">
        <x:v>793</x:v>
      </x:c>
      <x:c r="B797" s="56" t="str">
        <x:v>텅비드</x:v>
      </x:c>
      <x:c r="C797" s="56" t="str">
        <x:v>nihilego</x:v>
      </x:c>
      <x:c r="D797" s="56" t="str">
        <x:v>해양</x:v>
      </x:c>
      <x:c r="E797" s="56" t="str">
        <x:v>전설</x:v>
      </x:c>
      <x:c r="F797" s="56" t="str">
        <x:v>아니오</x:v>
      </x:c>
      <x:c r="G797" s="56" t="str">
        <x:v>아니오</x:v>
      </x:c>
      <x:c r="H797" s="56" t="str">
        <x:v>아니오</x:v>
      </x:c>
      <x:c r="I797" s="56" t="str">
        <x:v>특수희귀</x:v>
      </x:c>
      <x:c r="J797" s="57" t="str">
        <x:v>—</x:v>
      </x:c>
      <x:c r="K797" s="57" t="str">
        <x:v>—</x:v>
      </x:c>
      <x:c r="L797" s="57" t="str">
        <x:v>—</x:v>
      </x:c>
      <x:c r="M797" s="57" t="str">
        <x:v>—</x:v>
      </x:c>
      <x:c r="N797" s="57" t="str">
        <x:v>—</x:v>
      </x:c>
      <x:c r="O797" s="57" t="str">
        <x:v>—</x:v>
      </x:c>
      <x:c r="P797" s="57" t="str">
        <x:v>포함</x:v>
      </x:c>
      <x:c r="Q797" s="57" t="str">
        <x:v>—</x:v>
      </x:c>
      <x:c r="R797" s="57" t="str">
        <x:v>—</x:v>
      </x:c>
    </x:row>
    <x:row r="798">
      <x:c r="A798" s="60" t="n">
        <x:v>794</x:v>
      </x:c>
      <x:c r="B798" s="56" t="str">
        <x:v>매시붕</x:v>
      </x:c>
      <x:c r="C798" s="56" t="str">
        <x:v>buzzwole</x:v>
      </x:c>
      <x:c r="D798" s="56" t="str">
        <x:v>숲</x:v>
      </x:c>
      <x:c r="E798" s="56" t="str">
        <x:v>전설</x:v>
      </x:c>
      <x:c r="F798" s="56" t="str">
        <x:v>아니오</x:v>
      </x:c>
      <x:c r="G798" s="56" t="str">
        <x:v>아니오</x:v>
      </x:c>
      <x:c r="H798" s="56" t="str">
        <x:v>아니오</x:v>
      </x:c>
      <x:c r="I798" s="56" t="str">
        <x:v>특수희귀</x:v>
      </x:c>
      <x:c r="J798" s="57" t="str">
        <x:v>—</x:v>
      </x:c>
      <x:c r="K798" s="57" t="str">
        <x:v>—</x:v>
      </x:c>
      <x:c r="L798" s="57" t="str">
        <x:v>—</x:v>
      </x:c>
      <x:c r="M798" s="57" t="str">
        <x:v>—</x:v>
      </x:c>
      <x:c r="N798" s="57" t="str">
        <x:v>—</x:v>
      </x:c>
      <x:c r="O798" s="57" t="str">
        <x:v>—</x:v>
      </x:c>
      <x:c r="P798" s="57" t="str">
        <x:v>포함</x:v>
      </x:c>
      <x:c r="Q798" s="57" t="str">
        <x:v>—</x:v>
      </x:c>
      <x:c r="R798" s="57" t="str">
        <x:v>—</x:v>
      </x:c>
    </x:row>
    <x:row r="799">
      <x:c r="A799" s="60" t="n">
        <x:v>795</x:v>
      </x:c>
      <x:c r="B799" s="56" t="str">
        <x:v>페로코체</x:v>
      </x:c>
      <x:c r="C799" s="56" t="str">
        <x:v>pheromosa</x:v>
      </x:c>
      <x:c r="D799" s="56" t="str">
        <x:v>숲</x:v>
      </x:c>
      <x:c r="E799" s="56" t="str">
        <x:v>전설</x:v>
      </x:c>
      <x:c r="F799" s="56" t="str">
        <x:v>아니오</x:v>
      </x:c>
      <x:c r="G799" s="56" t="str">
        <x:v>아니오</x:v>
      </x:c>
      <x:c r="H799" s="56" t="str">
        <x:v>아니오</x:v>
      </x:c>
      <x:c r="I799" s="56" t="str">
        <x:v>특수희귀</x:v>
      </x:c>
      <x:c r="J799" s="57" t="str">
        <x:v>—</x:v>
      </x:c>
      <x:c r="K799" s="57" t="str">
        <x:v>—</x:v>
      </x:c>
      <x:c r="L799" s="57" t="str">
        <x:v>—</x:v>
      </x:c>
      <x:c r="M799" s="57" t="str">
        <x:v>—</x:v>
      </x:c>
      <x:c r="N799" s="57" t="str">
        <x:v>—</x:v>
      </x:c>
      <x:c r="O799" s="57" t="str">
        <x:v>—</x:v>
      </x:c>
      <x:c r="P799" s="57" t="str">
        <x:v>포함</x:v>
      </x:c>
      <x:c r="Q799" s="57" t="str">
        <x:v>—</x:v>
      </x:c>
      <x:c r="R799" s="57" t="str">
        <x:v>—</x:v>
      </x:c>
    </x:row>
    <x:row r="800">
      <x:c r="A800" s="60" t="n">
        <x:v>796</x:v>
      </x:c>
      <x:c r="B800" s="56" t="str">
        <x:v>전수목</x:v>
      </x:c>
      <x:c r="C800" s="56" t="str">
        <x:v>xurkitree</x:v>
      </x:c>
      <x:c r="D800" s="56" t="str">
        <x:v>평원</x:v>
      </x:c>
      <x:c r="E800" s="56" t="str">
        <x:v>전설</x:v>
      </x:c>
      <x:c r="F800" s="56" t="str">
        <x:v>아니오</x:v>
      </x:c>
      <x:c r="G800" s="56" t="str">
        <x:v>아니오</x:v>
      </x:c>
      <x:c r="H800" s="56" t="str">
        <x:v>아니오</x:v>
      </x:c>
      <x:c r="I800" s="56" t="str">
        <x:v>특수희귀</x:v>
      </x:c>
      <x:c r="J800" s="57" t="str">
        <x:v>—</x:v>
      </x:c>
      <x:c r="K800" s="57" t="str">
        <x:v>—</x:v>
      </x:c>
      <x:c r="L800" s="57" t="str">
        <x:v>—</x:v>
      </x:c>
      <x:c r="M800" s="57" t="str">
        <x:v>—</x:v>
      </x:c>
      <x:c r="N800" s="57" t="str">
        <x:v>—</x:v>
      </x:c>
      <x:c r="O800" s="57" t="str">
        <x:v>—</x:v>
      </x:c>
      <x:c r="P800" s="57" t="str">
        <x:v>포함</x:v>
      </x:c>
      <x:c r="Q800" s="57" t="str">
        <x:v>—</x:v>
      </x:c>
      <x:c r="R800" s="57" t="str">
        <x:v>—</x:v>
      </x:c>
    </x:row>
    <x:row r="801">
      <x:c r="A801" s="60" t="n">
        <x:v>797</x:v>
      </x:c>
      <x:c r="B801" s="56" t="str">
        <x:v>철화구야</x:v>
      </x:c>
      <x:c r="C801" s="56" t="str">
        <x:v>celesteela</x:v>
      </x:c>
      <x:c r="D801" s="56" t="str">
        <x:v>평원</x:v>
      </x:c>
      <x:c r="E801" s="56" t="str">
        <x:v>전설</x:v>
      </x:c>
      <x:c r="F801" s="56" t="str">
        <x:v>아니오</x:v>
      </x:c>
      <x:c r="G801" s="56" t="str">
        <x:v>아니오</x:v>
      </x:c>
      <x:c r="H801" s="56" t="str">
        <x:v>아니오</x:v>
      </x:c>
      <x:c r="I801" s="56" t="str">
        <x:v>특수희귀</x:v>
      </x:c>
      <x:c r="J801" s="57" t="str">
        <x:v>—</x:v>
      </x:c>
      <x:c r="K801" s="57" t="str">
        <x:v>—</x:v>
      </x:c>
      <x:c r="L801" s="57" t="str">
        <x:v>—</x:v>
      </x:c>
      <x:c r="M801" s="57" t="str">
        <x:v>—</x:v>
      </x:c>
      <x:c r="N801" s="57" t="str">
        <x:v>—</x:v>
      </x:c>
      <x:c r="O801" s="57" t="str">
        <x:v>—</x:v>
      </x:c>
      <x:c r="P801" s="57" t="str">
        <x:v>포함</x:v>
      </x:c>
      <x:c r="Q801" s="57" t="str">
        <x:v>—</x:v>
      </x:c>
      <x:c r="R801" s="57" t="str">
        <x:v>—</x:v>
      </x:c>
    </x:row>
    <x:row r="802">
      <x:c r="A802" s="60" t="n">
        <x:v>798</x:v>
      </x:c>
      <x:c r="B802" s="56" t="str">
        <x:v>종이신도</x:v>
      </x:c>
      <x:c r="C802" s="56" t="str">
        <x:v>kartana</x:v>
      </x:c>
      <x:c r="D802" s="56" t="str">
        <x:v>숲</x:v>
      </x:c>
      <x:c r="E802" s="56" t="str">
        <x:v>전설</x:v>
      </x:c>
      <x:c r="F802" s="56" t="str">
        <x:v>아니오</x:v>
      </x:c>
      <x:c r="G802" s="56" t="str">
        <x:v>아니오</x:v>
      </x:c>
      <x:c r="H802" s="56" t="str">
        <x:v>아니오</x:v>
      </x:c>
      <x:c r="I802" s="56" t="str">
        <x:v>특수희귀</x:v>
      </x:c>
      <x:c r="J802" s="57" t="str">
        <x:v>—</x:v>
      </x:c>
      <x:c r="K802" s="57" t="str">
        <x:v>—</x:v>
      </x:c>
      <x:c r="L802" s="57" t="str">
        <x:v>—</x:v>
      </x:c>
      <x:c r="M802" s="57" t="str">
        <x:v>—</x:v>
      </x:c>
      <x:c r="N802" s="57" t="str">
        <x:v>—</x:v>
      </x:c>
      <x:c r="O802" s="57" t="str">
        <x:v>—</x:v>
      </x:c>
      <x:c r="P802" s="57" t="str">
        <x:v>포함</x:v>
      </x:c>
      <x:c r="Q802" s="57" t="str">
        <x:v>—</x:v>
      </x:c>
      <x:c r="R802" s="57" t="str">
        <x:v>—</x:v>
      </x:c>
    </x:row>
    <x:row r="803">
      <x:c r="A803" s="60" t="n">
        <x:v>799</x:v>
      </x:c>
      <x:c r="B803" s="56" t="str">
        <x:v>악식킹</x:v>
      </x:c>
      <x:c r="C803" s="56" t="str">
        <x:v>guzzlord</x:v>
      </x:c>
      <x:c r="D803" s="56" t="str">
        <x:v>특수</x:v>
      </x:c>
      <x:c r="E803" s="56" t="str">
        <x:v>전설</x:v>
      </x:c>
      <x:c r="F803" s="56" t="str">
        <x:v>아니오</x:v>
      </x:c>
      <x:c r="G803" s="56" t="str">
        <x:v>아니오</x:v>
      </x:c>
      <x:c r="H803" s="56" t="str">
        <x:v>아니오</x:v>
      </x:c>
      <x:c r="I803" s="56" t="str">
        <x:v>특수희귀</x:v>
      </x:c>
      <x:c r="J803" s="57" t="str">
        <x:v>—</x:v>
      </x:c>
      <x:c r="K803" s="57" t="str">
        <x:v>—</x:v>
      </x:c>
      <x:c r="L803" s="57" t="str">
        <x:v>—</x:v>
      </x:c>
      <x:c r="M803" s="57" t="str">
        <x:v>—</x:v>
      </x:c>
      <x:c r="N803" s="57" t="str">
        <x:v>—</x:v>
      </x:c>
      <x:c r="O803" s="57" t="str">
        <x:v>—</x:v>
      </x:c>
      <x:c r="P803" s="57" t="str">
        <x:v>포함</x:v>
      </x:c>
      <x:c r="Q803" s="57" t="str">
        <x:v>—</x:v>
      </x:c>
      <x:c r="R803" s="57" t="str">
        <x:v>—</x:v>
      </x:c>
    </x:row>
    <x:row r="804">
      <x:c r="A804" s="60" t="n">
        <x:v>800</x:v>
      </x:c>
      <x:c r="B804" s="56" t="str">
        <x:v>네크로즈마</x:v>
      </x:c>
      <x:c r="C804" s="56" t="str">
        <x:v>necrozma</x:v>
      </x:c>
      <x:c r="D804" s="56" t="str">
        <x:v>특수</x:v>
      </x:c>
      <x:c r="E804" s="56" t="str">
        <x:v>전설</x:v>
      </x:c>
      <x:c r="F804" s="56" t="str">
        <x:v>예</x:v>
      </x:c>
      <x:c r="G804" s="56" t="str">
        <x:v>아니오</x:v>
      </x:c>
      <x:c r="H804" s="56" t="str">
        <x:v>아니오</x:v>
      </x:c>
      <x:c r="I804" s="56" t="str">
        <x:v>전설</x:v>
      </x:c>
      <x:c r="J804" s="57" t="str">
        <x:v>—</x:v>
      </x:c>
      <x:c r="K804" s="57" t="str">
        <x:v>—</x:v>
      </x:c>
      <x:c r="L804" s="57" t="str">
        <x:v>—</x:v>
      </x:c>
      <x:c r="M804" s="57" t="str">
        <x:v>—</x:v>
      </x:c>
      <x:c r="N804" s="57" t="str">
        <x:v>—</x:v>
      </x:c>
      <x:c r="O804" s="57" t="str">
        <x:v>—</x:v>
      </x:c>
      <x:c r="P804" s="57" t="str">
        <x:v>포함</x:v>
      </x:c>
      <x:c r="Q804" s="57" t="str">
        <x:v>—</x:v>
      </x:c>
      <x:c r="R804" s="57" t="str">
        <x:v>—</x:v>
      </x:c>
    </x:row>
    <x:row r="805">
      <x:c r="A805" s="60" t="n">
        <x:v>801</x:v>
      </x:c>
      <x:c r="B805" s="56" t="str">
        <x:v>마기아나</x:v>
      </x:c>
      <x:c r="C805" s="56" t="str">
        <x:v>magearna</x:v>
      </x:c>
      <x:c r="D805" s="56" t="str">
        <x:v>숲</x:v>
      </x:c>
      <x:c r="E805" s="56" t="str">
        <x:v>전설</x:v>
      </x:c>
      <x:c r="F805" s="56" t="str">
        <x:v>아니오</x:v>
      </x:c>
      <x:c r="G805" s="56" t="str">
        <x:v>예</x:v>
      </x:c>
      <x:c r="H805" s="56" t="str">
        <x:v>아니오</x:v>
      </x:c>
      <x:c r="I805" s="56" t="str">
        <x:v>환상</x:v>
      </x:c>
      <x:c r="J805" s="57" t="str">
        <x:v>—</x:v>
      </x:c>
      <x:c r="K805" s="57" t="str">
        <x:v>—</x:v>
      </x:c>
      <x:c r="L805" s="57" t="str">
        <x:v>—</x:v>
      </x:c>
      <x:c r="M805" s="57" t="str">
        <x:v>—</x:v>
      </x:c>
      <x:c r="N805" s="57" t="str">
        <x:v>—</x:v>
      </x:c>
      <x:c r="O805" s="57" t="str">
        <x:v>—</x:v>
      </x:c>
      <x:c r="P805" s="57" t="str">
        <x:v>포함</x:v>
      </x:c>
      <x:c r="Q805" s="57" t="str">
        <x:v>—</x:v>
      </x:c>
      <x:c r="R805" s="57" t="str">
        <x:v>—</x:v>
      </x:c>
    </x:row>
    <x:row r="806">
      <x:c r="A806" s="60" t="n">
        <x:v>802</x:v>
      </x:c>
      <x:c r="B806" s="56" t="str">
        <x:v>마샤도</x:v>
      </x:c>
      <x:c r="C806" s="56" t="str">
        <x:v>marshadow</x:v>
      </x:c>
      <x:c r="D806" s="56" t="str">
        <x:v>동굴</x:v>
      </x:c>
      <x:c r="E806" s="56" t="str">
        <x:v>전설</x:v>
      </x:c>
      <x:c r="F806" s="56" t="str">
        <x:v>아니오</x:v>
      </x:c>
      <x:c r="G806" s="56" t="str">
        <x:v>예</x:v>
      </x:c>
      <x:c r="H806" s="56" t="str">
        <x:v>아니오</x:v>
      </x:c>
      <x:c r="I806" s="56" t="str">
        <x:v>환상</x:v>
      </x:c>
      <x:c r="J806" s="57" t="str">
        <x:v>—</x:v>
      </x:c>
      <x:c r="K806" s="57" t="str">
        <x:v>—</x:v>
      </x:c>
      <x:c r="L806" s="57" t="str">
        <x:v>—</x:v>
      </x:c>
      <x:c r="M806" s="57" t="str">
        <x:v>—</x:v>
      </x:c>
      <x:c r="N806" s="57" t="str">
        <x:v>—</x:v>
      </x:c>
      <x:c r="O806" s="57" t="str">
        <x:v>—</x:v>
      </x:c>
      <x:c r="P806" s="57" t="str">
        <x:v>포함</x:v>
      </x:c>
      <x:c r="Q806" s="57" t="str">
        <x:v>—</x:v>
      </x:c>
      <x:c r="R806" s="57" t="str">
        <x:v>—</x:v>
      </x:c>
    </x:row>
    <x:row r="807">
      <x:c r="A807" s="60" t="n">
        <x:v>803</x:v>
      </x:c>
      <x:c r="B807" s="56" t="str">
        <x:v>베베놈</x:v>
      </x:c>
      <x:c r="C807" s="56" t="str">
        <x:v>poipole</x:v>
      </x:c>
      <x:c r="D807" s="56" t="str">
        <x:v>특수</x:v>
      </x:c>
      <x:c r="E807" s="56" t="str">
        <x:v>전설</x:v>
      </x:c>
      <x:c r="F807" s="56" t="str">
        <x:v>아니오</x:v>
      </x:c>
      <x:c r="G807" s="56" t="str">
        <x:v>아니오</x:v>
      </x:c>
      <x:c r="H807" s="56" t="str">
        <x:v>아니오</x:v>
      </x:c>
      <x:c r="I807" s="56" t="str">
        <x:v>특수희귀</x:v>
      </x:c>
      <x:c r="J807" s="57" t="str">
        <x:v>—</x:v>
      </x:c>
      <x:c r="K807" s="57" t="str">
        <x:v>—</x:v>
      </x:c>
      <x:c r="L807" s="57" t="str">
        <x:v>—</x:v>
      </x:c>
      <x:c r="M807" s="57" t="str">
        <x:v>—</x:v>
      </x:c>
      <x:c r="N807" s="57" t="str">
        <x:v>—</x:v>
      </x:c>
      <x:c r="O807" s="57" t="str">
        <x:v>—</x:v>
      </x:c>
      <x:c r="P807" s="57" t="str">
        <x:v>포함</x:v>
      </x:c>
      <x:c r="Q807" s="57" t="str">
        <x:v>—</x:v>
      </x:c>
      <x:c r="R807" s="57" t="str">
        <x:v>—</x:v>
      </x:c>
    </x:row>
    <x:row r="808">
      <x:c r="A808" s="60" t="n">
        <x:v>804</x:v>
      </x:c>
      <x:c r="B808" s="56" t="str">
        <x:v>아고용</x:v>
      </x:c>
      <x:c r="C808" s="56" t="str">
        <x:v>naganadel</x:v>
      </x:c>
      <x:c r="D808" s="56" t="str">
        <x:v>특수</x:v>
      </x:c>
      <x:c r="E808" s="56" t="str">
        <x:v>전설</x:v>
      </x:c>
      <x:c r="F808" s="56" t="str">
        <x:v>아니오</x:v>
      </x:c>
      <x:c r="G808" s="56" t="str">
        <x:v>아니오</x:v>
      </x:c>
      <x:c r="H808" s="56" t="str">
        <x:v>아니오</x:v>
      </x:c>
      <x:c r="I808" s="56" t="str">
        <x:v>특수희귀</x:v>
      </x:c>
      <x:c r="J808" s="57" t="str">
        <x:v>—</x:v>
      </x:c>
      <x:c r="K808" s="57" t="str">
        <x:v>—</x:v>
      </x:c>
      <x:c r="L808" s="57" t="str">
        <x:v>—</x:v>
      </x:c>
      <x:c r="M808" s="57" t="str">
        <x:v>—</x:v>
      </x:c>
      <x:c r="N808" s="57" t="str">
        <x:v>—</x:v>
      </x:c>
      <x:c r="O808" s="57" t="str">
        <x:v>—</x:v>
      </x:c>
      <x:c r="P808" s="57" t="str">
        <x:v>포함</x:v>
      </x:c>
      <x:c r="Q808" s="57" t="str">
        <x:v>—</x:v>
      </x:c>
      <x:c r="R808" s="57" t="str">
        <x:v>—</x:v>
      </x:c>
    </x:row>
    <x:row r="809">
      <x:c r="A809" s="60" t="n">
        <x:v>805</x:v>
      </x:c>
      <x:c r="B809" s="56" t="str">
        <x:v>차곡차곡</x:v>
      </x:c>
      <x:c r="C809" s="56" t="str">
        <x:v>stakataka</x:v>
      </x:c>
      <x:c r="D809" s="56" t="str">
        <x:v>동굴</x:v>
      </x:c>
      <x:c r="E809" s="56" t="str">
        <x:v>전설</x:v>
      </x:c>
      <x:c r="F809" s="56" t="str">
        <x:v>아니오</x:v>
      </x:c>
      <x:c r="G809" s="56" t="str">
        <x:v>아니오</x:v>
      </x:c>
      <x:c r="H809" s="56" t="str">
        <x:v>아니오</x:v>
      </x:c>
      <x:c r="I809" s="56" t="str">
        <x:v>특수희귀</x:v>
      </x:c>
      <x:c r="J809" s="57" t="str">
        <x:v>—</x:v>
      </x:c>
      <x:c r="K809" s="57" t="str">
        <x:v>—</x:v>
      </x:c>
      <x:c r="L809" s="57" t="str">
        <x:v>—</x:v>
      </x:c>
      <x:c r="M809" s="57" t="str">
        <x:v>—</x:v>
      </x:c>
      <x:c r="N809" s="57" t="str">
        <x:v>—</x:v>
      </x:c>
      <x:c r="O809" s="57" t="str">
        <x:v>—</x:v>
      </x:c>
      <x:c r="P809" s="57" t="str">
        <x:v>포함</x:v>
      </x:c>
      <x:c r="Q809" s="57" t="str">
        <x:v>—</x:v>
      </x:c>
      <x:c r="R809" s="57" t="str">
        <x:v>—</x:v>
      </x:c>
    </x:row>
    <x:row r="810">
      <x:c r="A810" s="60" t="n">
        <x:v>806</x:v>
      </x:c>
      <x:c r="B810" s="56" t="str">
        <x:v>두파팡</x:v>
      </x:c>
      <x:c r="C810" s="56" t="str">
        <x:v>blacephalon</x:v>
      </x:c>
      <x:c r="D810" s="56" t="str">
        <x:v>특수</x:v>
      </x:c>
      <x:c r="E810" s="56" t="str">
        <x:v>전설</x:v>
      </x:c>
      <x:c r="F810" s="56" t="str">
        <x:v>아니오</x:v>
      </x:c>
      <x:c r="G810" s="56" t="str">
        <x:v>아니오</x:v>
      </x:c>
      <x:c r="H810" s="56" t="str">
        <x:v>아니오</x:v>
      </x:c>
      <x:c r="I810" s="56" t="str">
        <x:v>특수희귀</x:v>
      </x:c>
      <x:c r="J810" s="57" t="str">
        <x:v>—</x:v>
      </x:c>
      <x:c r="K810" s="57" t="str">
        <x:v>—</x:v>
      </x:c>
      <x:c r="L810" s="57" t="str">
        <x:v>—</x:v>
      </x:c>
      <x:c r="M810" s="57" t="str">
        <x:v>—</x:v>
      </x:c>
      <x:c r="N810" s="57" t="str">
        <x:v>—</x:v>
      </x:c>
      <x:c r="O810" s="57" t="str">
        <x:v>—</x:v>
      </x:c>
      <x:c r="P810" s="57" t="str">
        <x:v>포함</x:v>
      </x:c>
      <x:c r="Q810" s="57" t="str">
        <x:v>—</x:v>
      </x:c>
      <x:c r="R810" s="57" t="str">
        <x:v>—</x:v>
      </x:c>
    </x:row>
    <x:row r="811">
      <x:c r="A811" s="60" t="n">
        <x:v>807</x:v>
      </x:c>
      <x:c r="B811" s="56" t="str">
        <x:v>제라오라</x:v>
      </x:c>
      <x:c r="C811" s="56" t="str">
        <x:v>zeraora</x:v>
      </x:c>
      <x:c r="D811" s="56" t="str">
        <x:v>건조지</x:v>
      </x:c>
      <x:c r="E811" s="56" t="str">
        <x:v>전설</x:v>
      </x:c>
      <x:c r="F811" s="56" t="str">
        <x:v>아니오</x:v>
      </x:c>
      <x:c r="G811" s="56" t="str">
        <x:v>예</x:v>
      </x:c>
      <x:c r="H811" s="56" t="str">
        <x:v>아니오</x:v>
      </x:c>
      <x:c r="I811" s="56" t="str">
        <x:v>환상</x:v>
      </x:c>
      <x:c r="J811" s="57" t="str">
        <x:v>—</x:v>
      </x:c>
      <x:c r="K811" s="57" t="str">
        <x:v>—</x:v>
      </x:c>
      <x:c r="L811" s="57" t="str">
        <x:v>—</x:v>
      </x:c>
      <x:c r="M811" s="57" t="str">
        <x:v>—</x:v>
      </x:c>
      <x:c r="N811" s="57" t="str">
        <x:v>—</x:v>
      </x:c>
      <x:c r="O811" s="57" t="str">
        <x:v>—</x:v>
      </x:c>
      <x:c r="P811" s="57" t="str">
        <x:v>포함</x:v>
      </x:c>
      <x:c r="Q811" s="57" t="str">
        <x:v>—</x:v>
      </x:c>
      <x:c r="R811" s="57" t="str">
        <x:v>—</x:v>
      </x:c>
    </x:row>
    <x:row r="812">
      <x:c r="A812" s="60" t="n">
        <x:v>808</x:v>
      </x:c>
      <x:c r="B812" s="56" t="str">
        <x:v>멜탄</x:v>
      </x:c>
      <x:c r="C812" s="56" t="str">
        <x:v>meltan</x:v>
      </x:c>
      <x:c r="D812" s="56" t="str">
        <x:v>해양</x:v>
      </x:c>
      <x:c r="E812" s="56" t="str">
        <x:v>전설</x:v>
      </x:c>
      <x:c r="F812" s="56" t="str">
        <x:v>아니오</x:v>
      </x:c>
      <x:c r="G812" s="56" t="str">
        <x:v>예</x:v>
      </x:c>
      <x:c r="H812" s="56" t="str">
        <x:v>아니오</x:v>
      </x:c>
      <x:c r="I812" s="56" t="str">
        <x:v>환상</x:v>
      </x:c>
      <x:c r="J812" s="57" t="str">
        <x:v>—</x:v>
      </x:c>
      <x:c r="K812" s="57" t="str">
        <x:v>—</x:v>
      </x:c>
      <x:c r="L812" s="57" t="str">
        <x:v>—</x:v>
      </x:c>
      <x:c r="M812" s="57" t="str">
        <x:v>—</x:v>
      </x:c>
      <x:c r="N812" s="57" t="str">
        <x:v>—</x:v>
      </x:c>
      <x:c r="O812" s="57" t="str">
        <x:v>—</x:v>
      </x:c>
      <x:c r="P812" s="57" t="str">
        <x:v>—</x:v>
      </x:c>
      <x:c r="Q812" s="57" t="str">
        <x:v>—</x:v>
      </x:c>
      <x:c r="R812" s="57" t="str">
        <x:v>—</x:v>
      </x:c>
    </x:row>
    <x:row r="813">
      <x:c r="A813" s="60" t="n">
        <x:v>809</x:v>
      </x:c>
      <x:c r="B813" s="56" t="str">
        <x:v>멜메탈</x:v>
      </x:c>
      <x:c r="C813" s="56" t="str">
        <x:v>melmetal</x:v>
      </x:c>
      <x:c r="D813" s="56" t="str">
        <x:v>도시</x:v>
      </x:c>
      <x:c r="E813" s="56" t="str">
        <x:v>전설</x:v>
      </x:c>
      <x:c r="F813" s="56" t="str">
        <x:v>아니오</x:v>
      </x:c>
      <x:c r="G813" s="56" t="str">
        <x:v>예</x:v>
      </x:c>
      <x:c r="H813" s="56" t="str">
        <x:v>아니오</x:v>
      </x:c>
      <x:c r="I813" s="56" t="str">
        <x:v>환상</x:v>
      </x:c>
      <x:c r="J813" s="57" t="str">
        <x:v>—</x:v>
      </x:c>
      <x:c r="K813" s="57" t="str">
        <x:v>—</x:v>
      </x:c>
      <x:c r="L813" s="57" t="str">
        <x:v>—</x:v>
      </x:c>
      <x:c r="M813" s="57" t="str">
        <x:v>—</x:v>
      </x:c>
      <x:c r="N813" s="57" t="str">
        <x:v>—</x:v>
      </x:c>
      <x:c r="O813" s="57" t="str">
        <x:v>—</x:v>
      </x:c>
      <x:c r="P813" s="57" t="str">
        <x:v>—</x:v>
      </x:c>
      <x:c r="Q813" s="57" t="str">
        <x:v>—</x:v>
      </x:c>
      <x:c r="R813" s="57" t="str">
        <x:v>—</x:v>
      </x:c>
    </x:row>
    <x:row r="814">
      <x:c r="A814" s="60" t="n">
        <x:v>810</x:v>
      </x:c>
      <x:c r="B814" s="56" t="str">
        <x:v>흥나숭</x:v>
      </x:c>
      <x:c r="C814" s="56" t="str">
        <x:v>grookey</x:v>
      </x:c>
      <x:c r="D814" s="56" t="str">
        <x:v>숲</x:v>
      </x:c>
      <x:c r="E814" s="56" t="str">
        <x:v>희귀</x:v>
      </x:c>
      <x:c r="F814" s="56" t="str">
        <x:v>아니오</x:v>
      </x:c>
      <x:c r="G814" s="56" t="str">
        <x:v>아니오</x:v>
      </x:c>
      <x:c r="H814" s="56" t="str">
        <x:v>예</x:v>
      </x:c>
      <x:c r="I814" s="56" t="str">
        <x:v>—</x:v>
      </x:c>
      <x:c r="J814" s="57" t="str">
        <x:v>—</x:v>
      </x:c>
      <x:c r="K814" s="57" t="str">
        <x:v>—</x:v>
      </x:c>
      <x:c r="L814" s="57" t="str">
        <x:v>—</x:v>
      </x:c>
      <x:c r="M814" s="57" t="str">
        <x:v>—</x:v>
      </x:c>
      <x:c r="N814" s="57" t="str">
        <x:v>—</x:v>
      </x:c>
      <x:c r="O814" s="57" t="str">
        <x:v>—</x:v>
      </x:c>
      <x:c r="P814" s="57" t="str">
        <x:v>—</x:v>
      </x:c>
      <x:c r="Q814" s="57" t="str">
        <x:v>포함</x:v>
      </x:c>
      <x:c r="R814" s="57" t="str">
        <x:v>포함</x:v>
      </x:c>
    </x:row>
    <x:row r="815">
      <x:c r="A815" s="60" t="n">
        <x:v>811</x:v>
      </x:c>
      <x:c r="B815" s="56" t="str">
        <x:v>채키몽</x:v>
      </x:c>
      <x:c r="C815" s="56" t="str">
        <x:v>thwackey</x:v>
      </x:c>
      <x:c r="D815" s="56" t="str">
        <x:v>숲</x:v>
      </x:c>
      <x:c r="E815" s="56" t="str">
        <x:v>희귀</x:v>
      </x:c>
      <x:c r="F815" s="56" t="str">
        <x:v>아니오</x:v>
      </x:c>
      <x:c r="G815" s="56" t="str">
        <x:v>아니오</x:v>
      </x:c>
      <x:c r="H815" s="56" t="str">
        <x:v>예</x:v>
      </x:c>
      <x:c r="I815" s="56" t="str">
        <x:v>—</x:v>
      </x:c>
      <x:c r="J815" s="57" t="str">
        <x:v>—</x:v>
      </x:c>
      <x:c r="K815" s="57" t="str">
        <x:v>—</x:v>
      </x:c>
      <x:c r="L815" s="57" t="str">
        <x:v>—</x:v>
      </x:c>
      <x:c r="M815" s="57" t="str">
        <x:v>—</x:v>
      </x:c>
      <x:c r="N815" s="57" t="str">
        <x:v>—</x:v>
      </x:c>
      <x:c r="O815" s="57" t="str">
        <x:v>—</x:v>
      </x:c>
      <x:c r="P815" s="57" t="str">
        <x:v>—</x:v>
      </x:c>
      <x:c r="Q815" s="57" t="str">
        <x:v>포함</x:v>
      </x:c>
      <x:c r="R815" s="57" t="str">
        <x:v>포함</x:v>
      </x:c>
    </x:row>
    <x:row r="816">
      <x:c r="A816" s="60" t="n">
        <x:v>812</x:v>
      </x:c>
      <x:c r="B816" s="56" t="str">
        <x:v>고릴타</x:v>
      </x:c>
      <x:c r="C816" s="56" t="str">
        <x:v>rillaboom</x:v>
      </x:c>
      <x:c r="D816" s="56" t="str">
        <x:v>숲</x:v>
      </x:c>
      <x:c r="E816" s="56" t="str">
        <x:v>희귀</x:v>
      </x:c>
      <x:c r="F816" s="56" t="str">
        <x:v>아니오</x:v>
      </x:c>
      <x:c r="G816" s="56" t="str">
        <x:v>아니오</x:v>
      </x:c>
      <x:c r="H816" s="56" t="str">
        <x:v>예</x:v>
      </x:c>
      <x:c r="I816" s="56" t="str">
        <x:v>—</x:v>
      </x:c>
      <x:c r="J816" s="57" t="str">
        <x:v>—</x:v>
      </x:c>
      <x:c r="K816" s="57" t="str">
        <x:v>—</x:v>
      </x:c>
      <x:c r="L816" s="57" t="str">
        <x:v>—</x:v>
      </x:c>
      <x:c r="M816" s="57" t="str">
        <x:v>—</x:v>
      </x:c>
      <x:c r="N816" s="57" t="str">
        <x:v>—</x:v>
      </x:c>
      <x:c r="O816" s="57" t="str">
        <x:v>—</x:v>
      </x:c>
      <x:c r="P816" s="57" t="str">
        <x:v>—</x:v>
      </x:c>
      <x:c r="Q816" s="57" t="str">
        <x:v>포함</x:v>
      </x:c>
      <x:c r="R816" s="57" t="str">
        <x:v>포함</x:v>
      </x:c>
    </x:row>
    <x:row r="817">
      <x:c r="A817" s="60" t="n">
        <x:v>813</x:v>
      </x:c>
      <x:c r="B817" s="56" t="str">
        <x:v>염버니</x:v>
      </x:c>
      <x:c r="C817" s="56" t="str">
        <x:v>scorbunny</x:v>
      </x:c>
      <x:c r="D817" s="56" t="str">
        <x:v>평원</x:v>
      </x:c>
      <x:c r="E817" s="56" t="str">
        <x:v>희귀</x:v>
      </x:c>
      <x:c r="F817" s="56" t="str">
        <x:v>아니오</x:v>
      </x:c>
      <x:c r="G817" s="56" t="str">
        <x:v>아니오</x:v>
      </x:c>
      <x:c r="H817" s="56" t="str">
        <x:v>예</x:v>
      </x:c>
      <x:c r="I817" s="56" t="str">
        <x:v>—</x:v>
      </x:c>
      <x:c r="J817" s="57" t="str">
        <x:v>—</x:v>
      </x:c>
      <x:c r="K817" s="57" t="str">
        <x:v>—</x:v>
      </x:c>
      <x:c r="L817" s="57" t="str">
        <x:v>—</x:v>
      </x:c>
      <x:c r="M817" s="57" t="str">
        <x:v>—</x:v>
      </x:c>
      <x:c r="N817" s="57" t="str">
        <x:v>—</x:v>
      </x:c>
      <x:c r="O817" s="57" t="str">
        <x:v>—</x:v>
      </x:c>
      <x:c r="P817" s="57" t="str">
        <x:v>—</x:v>
      </x:c>
      <x:c r="Q817" s="57" t="str">
        <x:v>포함</x:v>
      </x:c>
      <x:c r="R817" s="57" t="str">
        <x:v>포함</x:v>
      </x:c>
    </x:row>
    <x:row r="818">
      <x:c r="A818" s="60" t="n">
        <x:v>814</x:v>
      </x:c>
      <x:c r="B818" s="56" t="str">
        <x:v>래비풋</x:v>
      </x:c>
      <x:c r="C818" s="56" t="str">
        <x:v>raboot</x:v>
      </x:c>
      <x:c r="D818" s="56" t="str">
        <x:v>평원</x:v>
      </x:c>
      <x:c r="E818" s="56" t="str">
        <x:v>희귀</x:v>
      </x:c>
      <x:c r="F818" s="56" t="str">
        <x:v>아니오</x:v>
      </x:c>
      <x:c r="G818" s="56" t="str">
        <x:v>아니오</x:v>
      </x:c>
      <x:c r="H818" s="56" t="str">
        <x:v>예</x:v>
      </x:c>
      <x:c r="I818" s="56" t="str">
        <x:v>—</x:v>
      </x:c>
      <x:c r="J818" s="57" t="str">
        <x:v>—</x:v>
      </x:c>
      <x:c r="K818" s="57" t="str">
        <x:v>—</x:v>
      </x:c>
      <x:c r="L818" s="57" t="str">
        <x:v>—</x:v>
      </x:c>
      <x:c r="M818" s="57" t="str">
        <x:v>—</x:v>
      </x:c>
      <x:c r="N818" s="57" t="str">
        <x:v>—</x:v>
      </x:c>
      <x:c r="O818" s="57" t="str">
        <x:v>—</x:v>
      </x:c>
      <x:c r="P818" s="57" t="str">
        <x:v>—</x:v>
      </x:c>
      <x:c r="Q818" s="57" t="str">
        <x:v>포함</x:v>
      </x:c>
      <x:c r="R818" s="57" t="str">
        <x:v>포함</x:v>
      </x:c>
    </x:row>
    <x:row r="819">
      <x:c r="A819" s="60" t="n">
        <x:v>815</x:v>
      </x:c>
      <x:c r="B819" s="56" t="str">
        <x:v>에이스번</x:v>
      </x:c>
      <x:c r="C819" s="56" t="str">
        <x:v>cinderace</x:v>
      </x:c>
      <x:c r="D819" s="56" t="str">
        <x:v>평원</x:v>
      </x:c>
      <x:c r="E819" s="56" t="str">
        <x:v>희귀</x:v>
      </x:c>
      <x:c r="F819" s="56" t="str">
        <x:v>아니오</x:v>
      </x:c>
      <x:c r="G819" s="56" t="str">
        <x:v>아니오</x:v>
      </x:c>
      <x:c r="H819" s="56" t="str">
        <x:v>예</x:v>
      </x:c>
      <x:c r="I819" s="56" t="str">
        <x:v>—</x:v>
      </x:c>
      <x:c r="J819" s="57" t="str">
        <x:v>—</x:v>
      </x:c>
      <x:c r="K819" s="57" t="str">
        <x:v>—</x:v>
      </x:c>
      <x:c r="L819" s="57" t="str">
        <x:v>—</x:v>
      </x:c>
      <x:c r="M819" s="57" t="str">
        <x:v>—</x:v>
      </x:c>
      <x:c r="N819" s="57" t="str">
        <x:v>—</x:v>
      </x:c>
      <x:c r="O819" s="57" t="str">
        <x:v>—</x:v>
      </x:c>
      <x:c r="P819" s="57" t="str">
        <x:v>—</x:v>
      </x:c>
      <x:c r="Q819" s="57" t="str">
        <x:v>포함</x:v>
      </x:c>
      <x:c r="R819" s="57" t="str">
        <x:v>포함</x:v>
      </x:c>
    </x:row>
    <x:row r="820">
      <x:c r="A820" s="60" t="n">
        <x:v>816</x:v>
      </x:c>
      <x:c r="B820" s="56" t="str">
        <x:v>울머기</x:v>
      </x:c>
      <x:c r="C820" s="56" t="str">
        <x:v>sobble</x:v>
      </x:c>
      <x:c r="D820" s="56" t="str">
        <x:v>습지</x:v>
      </x:c>
      <x:c r="E820" s="56" t="str">
        <x:v>희귀</x:v>
      </x:c>
      <x:c r="F820" s="56" t="str">
        <x:v>아니오</x:v>
      </x:c>
      <x:c r="G820" s="56" t="str">
        <x:v>아니오</x:v>
      </x:c>
      <x:c r="H820" s="56" t="str">
        <x:v>예</x:v>
      </x:c>
      <x:c r="I820" s="56" t="str">
        <x:v>—</x:v>
      </x:c>
      <x:c r="J820" s="57" t="str">
        <x:v>—</x:v>
      </x:c>
      <x:c r="K820" s="57" t="str">
        <x:v>—</x:v>
      </x:c>
      <x:c r="L820" s="57" t="str">
        <x:v>—</x:v>
      </x:c>
      <x:c r="M820" s="57" t="str">
        <x:v>—</x:v>
      </x:c>
      <x:c r="N820" s="57" t="str">
        <x:v>—</x:v>
      </x:c>
      <x:c r="O820" s="57" t="str">
        <x:v>—</x:v>
      </x:c>
      <x:c r="P820" s="57" t="str">
        <x:v>—</x:v>
      </x:c>
      <x:c r="Q820" s="57" t="str">
        <x:v>포함</x:v>
      </x:c>
      <x:c r="R820" s="57" t="str">
        <x:v>포함</x:v>
      </x:c>
    </x:row>
    <x:row r="821">
      <x:c r="A821" s="60" t="n">
        <x:v>817</x:v>
      </x:c>
      <x:c r="B821" s="56" t="str">
        <x:v>누겔레온</x:v>
      </x:c>
      <x:c r="C821" s="56" t="str">
        <x:v>drizzile</x:v>
      </x:c>
      <x:c r="D821" s="56" t="str">
        <x:v>습지</x:v>
      </x:c>
      <x:c r="E821" s="56" t="str">
        <x:v>희귀</x:v>
      </x:c>
      <x:c r="F821" s="56" t="str">
        <x:v>아니오</x:v>
      </x:c>
      <x:c r="G821" s="56" t="str">
        <x:v>아니오</x:v>
      </x:c>
      <x:c r="H821" s="56" t="str">
        <x:v>예</x:v>
      </x:c>
      <x:c r="I821" s="56" t="str">
        <x:v>—</x:v>
      </x:c>
      <x:c r="J821" s="57" t="str">
        <x:v>—</x:v>
      </x:c>
      <x:c r="K821" s="57" t="str">
        <x:v>—</x:v>
      </x:c>
      <x:c r="L821" s="57" t="str">
        <x:v>—</x:v>
      </x:c>
      <x:c r="M821" s="57" t="str">
        <x:v>—</x:v>
      </x:c>
      <x:c r="N821" s="57" t="str">
        <x:v>—</x:v>
      </x:c>
      <x:c r="O821" s="57" t="str">
        <x:v>—</x:v>
      </x:c>
      <x:c r="P821" s="57" t="str">
        <x:v>—</x:v>
      </x:c>
      <x:c r="Q821" s="57" t="str">
        <x:v>포함</x:v>
      </x:c>
      <x:c r="R821" s="57" t="str">
        <x:v>포함</x:v>
      </x:c>
    </x:row>
    <x:row r="822">
      <x:c r="A822" s="60" t="n">
        <x:v>818</x:v>
      </x:c>
      <x:c r="B822" s="56" t="str">
        <x:v>인텔리레온</x:v>
      </x:c>
      <x:c r="C822" s="56" t="str">
        <x:v>inteleon</x:v>
      </x:c>
      <x:c r="D822" s="56" t="str">
        <x:v>습지</x:v>
      </x:c>
      <x:c r="E822" s="56" t="str">
        <x:v>희귀</x:v>
      </x:c>
      <x:c r="F822" s="56" t="str">
        <x:v>아니오</x:v>
      </x:c>
      <x:c r="G822" s="56" t="str">
        <x:v>아니오</x:v>
      </x:c>
      <x:c r="H822" s="56" t="str">
        <x:v>예</x:v>
      </x:c>
      <x:c r="I822" s="56" t="str">
        <x:v>—</x:v>
      </x:c>
      <x:c r="J822" s="57" t="str">
        <x:v>—</x:v>
      </x:c>
      <x:c r="K822" s="57" t="str">
        <x:v>—</x:v>
      </x:c>
      <x:c r="L822" s="57" t="str">
        <x:v>—</x:v>
      </x:c>
      <x:c r="M822" s="57" t="str">
        <x:v>—</x:v>
      </x:c>
      <x:c r="N822" s="57" t="str">
        <x:v>—</x:v>
      </x:c>
      <x:c r="O822" s="57" t="str">
        <x:v>—</x:v>
      </x:c>
      <x:c r="P822" s="57" t="str">
        <x:v>—</x:v>
      </x:c>
      <x:c r="Q822" s="57" t="str">
        <x:v>포함</x:v>
      </x:c>
      <x:c r="R822" s="57" t="str">
        <x:v>포함</x:v>
      </x:c>
    </x:row>
    <x:row r="823">
      <x:c r="A823" s="60" t="n">
        <x:v>819</x:v>
      </x:c>
      <x:c r="B823" s="56" t="str">
        <x:v>탐리스</x:v>
      </x:c>
      <x:c r="C823" s="56" t="str">
        <x:v>skwovet</x:v>
      </x:c>
      <x:c r="D823" s="56" t="str">
        <x:v>숲</x:v>
      </x:c>
      <x:c r="E823" s="56" t="str">
        <x:v>흔함</x:v>
      </x:c>
      <x:c r="F823" s="56" t="str">
        <x:v>아니오</x:v>
      </x:c>
      <x:c r="G823" s="56" t="str">
        <x:v>아니오</x:v>
      </x:c>
      <x:c r="H823" s="56" t="str">
        <x:v>예</x:v>
      </x:c>
      <x:c r="I823" s="56" t="str">
        <x:v>—</x:v>
      </x:c>
      <x:c r="J823" s="57" t="str">
        <x:v>—</x:v>
      </x:c>
      <x:c r="K823" s="57" t="str">
        <x:v>—</x:v>
      </x:c>
      <x:c r="L823" s="57" t="str">
        <x:v>—</x:v>
      </x:c>
      <x:c r="M823" s="57" t="str">
        <x:v>—</x:v>
      </x:c>
      <x:c r="N823" s="57" t="str">
        <x:v>—</x:v>
      </x:c>
      <x:c r="O823" s="57" t="str">
        <x:v>—</x:v>
      </x:c>
      <x:c r="P823" s="57" t="str">
        <x:v>—</x:v>
      </x:c>
      <x:c r="Q823" s="57" t="str">
        <x:v>포함</x:v>
      </x:c>
      <x:c r="R823" s="57" t="str">
        <x:v>포함</x:v>
      </x:c>
    </x:row>
    <x:row r="824">
      <x:c r="A824" s="60" t="n">
        <x:v>820</x:v>
      </x:c>
      <x:c r="B824" s="56" t="str">
        <x:v>요씽리스</x:v>
      </x:c>
      <x:c r="C824" s="56" t="str">
        <x:v>greedent</x:v>
      </x:c>
      <x:c r="D824" s="56" t="str">
        <x:v>숲</x:v>
      </x:c>
      <x:c r="E824" s="56" t="str">
        <x:v>흔함</x:v>
      </x:c>
      <x:c r="F824" s="56" t="str">
        <x:v>아니오</x:v>
      </x:c>
      <x:c r="G824" s="56" t="str">
        <x:v>아니오</x:v>
      </x:c>
      <x:c r="H824" s="56" t="str">
        <x:v>예</x:v>
      </x:c>
      <x:c r="I824" s="56" t="str">
        <x:v>—</x:v>
      </x:c>
      <x:c r="J824" s="57" t="str">
        <x:v>—</x:v>
      </x:c>
      <x:c r="K824" s="57" t="str">
        <x:v>—</x:v>
      </x:c>
      <x:c r="L824" s="57" t="str">
        <x:v>—</x:v>
      </x:c>
      <x:c r="M824" s="57" t="str">
        <x:v>—</x:v>
      </x:c>
      <x:c r="N824" s="57" t="str">
        <x:v>—</x:v>
      </x:c>
      <x:c r="O824" s="57" t="str">
        <x:v>—</x:v>
      </x:c>
      <x:c r="P824" s="57" t="str">
        <x:v>—</x:v>
      </x:c>
      <x:c r="Q824" s="57" t="str">
        <x:v>포함</x:v>
      </x:c>
      <x:c r="R824" s="57" t="str">
        <x:v>포함</x:v>
      </x:c>
    </x:row>
    <x:row r="825">
      <x:c r="A825" s="60" t="n">
        <x:v>821</x:v>
      </x:c>
      <x:c r="B825" s="56" t="str">
        <x:v>파라꼬</x:v>
      </x:c>
      <x:c r="C825" s="56" t="str">
        <x:v>rookidee</x:v>
      </x:c>
      <x:c r="D825" s="56" t="str">
        <x:v>특수</x:v>
      </x:c>
      <x:c r="E825" s="56" t="str">
        <x:v>흔함</x:v>
      </x:c>
      <x:c r="F825" s="56" t="str">
        <x:v>아니오</x:v>
      </x:c>
      <x:c r="G825" s="56" t="str">
        <x:v>아니오</x:v>
      </x:c>
      <x:c r="H825" s="56" t="str">
        <x:v>예</x:v>
      </x:c>
      <x:c r="I825" s="56" t="str">
        <x:v>—</x:v>
      </x:c>
      <x:c r="J825" s="57" t="str">
        <x:v>—</x:v>
      </x:c>
      <x:c r="K825" s="57" t="str">
        <x:v>—</x:v>
      </x:c>
      <x:c r="L825" s="57" t="str">
        <x:v>—</x:v>
      </x:c>
      <x:c r="M825" s="57" t="str">
        <x:v>—</x:v>
      </x:c>
      <x:c r="N825" s="57" t="str">
        <x:v>—</x:v>
      </x:c>
      <x:c r="O825" s="57" t="str">
        <x:v>—</x:v>
      </x:c>
      <x:c r="P825" s="57" t="str">
        <x:v>—</x:v>
      </x:c>
      <x:c r="Q825" s="57" t="str">
        <x:v>포함</x:v>
      </x:c>
      <x:c r="R825" s="57" t="str">
        <x:v>포함</x:v>
      </x:c>
    </x:row>
    <x:row r="826">
      <x:c r="A826" s="60" t="n">
        <x:v>822</x:v>
      </x:c>
      <x:c r="B826" s="56" t="str">
        <x:v>파크로우</x:v>
      </x:c>
      <x:c r="C826" s="56" t="str">
        <x:v>corvisquire</x:v>
      </x:c>
      <x:c r="D826" s="56" t="str">
        <x:v>특수</x:v>
      </x:c>
      <x:c r="E826" s="56" t="str">
        <x:v>흔함</x:v>
      </x:c>
      <x:c r="F826" s="56" t="str">
        <x:v>아니오</x:v>
      </x:c>
      <x:c r="G826" s="56" t="str">
        <x:v>아니오</x:v>
      </x:c>
      <x:c r="H826" s="56" t="str">
        <x:v>예</x:v>
      </x:c>
      <x:c r="I826" s="56" t="str">
        <x:v>—</x:v>
      </x:c>
      <x:c r="J826" s="57" t="str">
        <x:v>—</x:v>
      </x:c>
      <x:c r="K826" s="57" t="str">
        <x:v>—</x:v>
      </x:c>
      <x:c r="L826" s="57" t="str">
        <x:v>—</x:v>
      </x:c>
      <x:c r="M826" s="57" t="str">
        <x:v>—</x:v>
      </x:c>
      <x:c r="N826" s="57" t="str">
        <x:v>—</x:v>
      </x:c>
      <x:c r="O826" s="57" t="str">
        <x:v>—</x:v>
      </x:c>
      <x:c r="P826" s="57" t="str">
        <x:v>—</x:v>
      </x:c>
      <x:c r="Q826" s="57" t="str">
        <x:v>포함</x:v>
      </x:c>
      <x:c r="R826" s="57" t="str">
        <x:v>포함</x:v>
      </x:c>
    </x:row>
    <x:row r="827">
      <x:c r="A827" s="60" t="n">
        <x:v>823</x:v>
      </x:c>
      <x:c r="B827" s="56" t="str">
        <x:v>아머까오</x:v>
      </x:c>
      <x:c r="C827" s="56" t="str">
        <x:v>corviknight</x:v>
      </x:c>
      <x:c r="D827" s="56" t="str">
        <x:v>특수</x:v>
      </x:c>
      <x:c r="E827" s="56" t="str">
        <x:v>흔함</x:v>
      </x:c>
      <x:c r="F827" s="56" t="str">
        <x:v>아니오</x:v>
      </x:c>
      <x:c r="G827" s="56" t="str">
        <x:v>아니오</x:v>
      </x:c>
      <x:c r="H827" s="56" t="str">
        <x:v>예</x:v>
      </x:c>
      <x:c r="I827" s="56" t="str">
        <x:v>—</x:v>
      </x:c>
      <x:c r="J827" s="57" t="str">
        <x:v>—</x:v>
      </x:c>
      <x:c r="K827" s="57" t="str">
        <x:v>—</x:v>
      </x:c>
      <x:c r="L827" s="57" t="str">
        <x:v>—</x:v>
      </x:c>
      <x:c r="M827" s="57" t="str">
        <x:v>—</x:v>
      </x:c>
      <x:c r="N827" s="57" t="str">
        <x:v>—</x:v>
      </x:c>
      <x:c r="O827" s="57" t="str">
        <x:v>—</x:v>
      </x:c>
      <x:c r="P827" s="57" t="str">
        <x:v>—</x:v>
      </x:c>
      <x:c r="Q827" s="57" t="str">
        <x:v>포함</x:v>
      </x:c>
      <x:c r="R827" s="57" t="str">
        <x:v>포함</x:v>
      </x:c>
    </x:row>
    <x:row r="828">
      <x:c r="A828" s="60" t="n">
        <x:v>824</x:v>
      </x:c>
      <x:c r="B828" s="56" t="str">
        <x:v>두루지벌레</x:v>
      </x:c>
      <x:c r="C828" s="56" t="str">
        <x:v>blipbug</x:v>
      </x:c>
      <x:c r="D828" s="56" t="str">
        <x:v>숲</x:v>
      </x:c>
      <x:c r="E828" s="56" t="str">
        <x:v>흔함</x:v>
      </x:c>
      <x:c r="F828" s="56" t="str">
        <x:v>아니오</x:v>
      </x:c>
      <x:c r="G828" s="56" t="str">
        <x:v>아니오</x:v>
      </x:c>
      <x:c r="H828" s="56" t="str">
        <x:v>예</x:v>
      </x:c>
      <x:c r="I828" s="56" t="str">
        <x:v>—</x:v>
      </x:c>
      <x:c r="J828" s="57" t="str">
        <x:v>—</x:v>
      </x:c>
      <x:c r="K828" s="57" t="str">
        <x:v>—</x:v>
      </x:c>
      <x:c r="L828" s="57" t="str">
        <x:v>—</x:v>
      </x:c>
      <x:c r="M828" s="57" t="str">
        <x:v>—</x:v>
      </x:c>
      <x:c r="N828" s="57" t="str">
        <x:v>—</x:v>
      </x:c>
      <x:c r="O828" s="57" t="str">
        <x:v>—</x:v>
      </x:c>
      <x:c r="P828" s="57" t="str">
        <x:v>—</x:v>
      </x:c>
      <x:c r="Q828" s="57" t="str">
        <x:v>포함</x:v>
      </x:c>
      <x:c r="R828" s="57" t="str">
        <x:v>—</x:v>
      </x:c>
    </x:row>
    <x:row r="829">
      <x:c r="A829" s="60" t="n">
        <x:v>825</x:v>
      </x:c>
      <x:c r="B829" s="56" t="str">
        <x:v>레돔벌레</x:v>
      </x:c>
      <x:c r="C829" s="56" t="str">
        <x:v>dottler</x:v>
      </x:c>
      <x:c r="D829" s="56" t="str">
        <x:v>숲</x:v>
      </x:c>
      <x:c r="E829" s="56" t="str">
        <x:v>보통</x:v>
      </x:c>
      <x:c r="F829" s="56" t="str">
        <x:v>아니오</x:v>
      </x:c>
      <x:c r="G829" s="56" t="str">
        <x:v>아니오</x:v>
      </x:c>
      <x:c r="H829" s="56" t="str">
        <x:v>예</x:v>
      </x:c>
      <x:c r="I829" s="56" t="str">
        <x:v>—</x:v>
      </x:c>
      <x:c r="J829" s="57" t="str">
        <x:v>—</x:v>
      </x:c>
      <x:c r="K829" s="57" t="str">
        <x:v>—</x:v>
      </x:c>
      <x:c r="L829" s="57" t="str">
        <x:v>—</x:v>
      </x:c>
      <x:c r="M829" s="57" t="str">
        <x:v>—</x:v>
      </x:c>
      <x:c r="N829" s="57" t="str">
        <x:v>—</x:v>
      </x:c>
      <x:c r="O829" s="57" t="str">
        <x:v>—</x:v>
      </x:c>
      <x:c r="P829" s="57" t="str">
        <x:v>—</x:v>
      </x:c>
      <x:c r="Q829" s="57" t="str">
        <x:v>포함</x:v>
      </x:c>
      <x:c r="R829" s="57" t="str">
        <x:v>—</x:v>
      </x:c>
    </x:row>
    <x:row r="830">
      <x:c r="A830" s="60" t="n">
        <x:v>826</x:v>
      </x:c>
      <x:c r="B830" s="56" t="str">
        <x:v>이올브</x:v>
      </x:c>
      <x:c r="C830" s="56" t="str">
        <x:v>orbeetle</x:v>
      </x:c>
      <x:c r="D830" s="56" t="str">
        <x:v>평원</x:v>
      </x:c>
      <x:c r="E830" s="56" t="str">
        <x:v>드묾</x:v>
      </x:c>
      <x:c r="F830" s="56" t="str">
        <x:v>아니오</x:v>
      </x:c>
      <x:c r="G830" s="56" t="str">
        <x:v>아니오</x:v>
      </x:c>
      <x:c r="H830" s="56" t="str">
        <x:v>예</x:v>
      </x:c>
      <x:c r="I830" s="56" t="str">
        <x:v>—</x:v>
      </x:c>
      <x:c r="J830" s="57" t="str">
        <x:v>—</x:v>
      </x:c>
      <x:c r="K830" s="57" t="str">
        <x:v>—</x:v>
      </x:c>
      <x:c r="L830" s="57" t="str">
        <x:v>—</x:v>
      </x:c>
      <x:c r="M830" s="57" t="str">
        <x:v>—</x:v>
      </x:c>
      <x:c r="N830" s="57" t="str">
        <x:v>—</x:v>
      </x:c>
      <x:c r="O830" s="57" t="str">
        <x:v>—</x:v>
      </x:c>
      <x:c r="P830" s="57" t="str">
        <x:v>—</x:v>
      </x:c>
      <x:c r="Q830" s="57" t="str">
        <x:v>포함</x:v>
      </x:c>
      <x:c r="R830" s="57" t="str">
        <x:v>—</x:v>
      </x:c>
    </x:row>
    <x:row r="831">
      <x:c r="A831" s="60" t="n">
        <x:v>827</x:v>
      </x:c>
      <x:c r="B831" s="56" t="str">
        <x:v>훔처우</x:v>
      </x:c>
      <x:c r="C831" s="56" t="str">
        <x:v>nickit</x:v>
      </x:c>
      <x:c r="D831" s="56" t="str">
        <x:v>숲</x:v>
      </x:c>
      <x:c r="E831" s="56" t="str">
        <x:v>보통</x:v>
      </x:c>
      <x:c r="F831" s="56" t="str">
        <x:v>아니오</x:v>
      </x:c>
      <x:c r="G831" s="56" t="str">
        <x:v>아니오</x:v>
      </x:c>
      <x:c r="H831" s="56" t="str">
        <x:v>예</x:v>
      </x:c>
      <x:c r="I831" s="56" t="str">
        <x:v>—</x:v>
      </x:c>
      <x:c r="J831" s="57" t="str">
        <x:v>—</x:v>
      </x:c>
      <x:c r="K831" s="57" t="str">
        <x:v>—</x:v>
      </x:c>
      <x:c r="L831" s="57" t="str">
        <x:v>—</x:v>
      </x:c>
      <x:c r="M831" s="57" t="str">
        <x:v>—</x:v>
      </x:c>
      <x:c r="N831" s="57" t="str">
        <x:v>—</x:v>
      </x:c>
      <x:c r="O831" s="57" t="str">
        <x:v>—</x:v>
      </x:c>
      <x:c r="P831" s="57" t="str">
        <x:v>—</x:v>
      </x:c>
      <x:c r="Q831" s="57" t="str">
        <x:v>포함</x:v>
      </x:c>
      <x:c r="R831" s="57" t="str">
        <x:v>—</x:v>
      </x:c>
    </x:row>
    <x:row r="832">
      <x:c r="A832" s="60" t="n">
        <x:v>828</x:v>
      </x:c>
      <x:c r="B832" s="56" t="str">
        <x:v>폭슬라이</x:v>
      </x:c>
      <x:c r="C832" s="56" t="str">
        <x:v>thievul</x:v>
      </x:c>
      <x:c r="D832" s="56" t="str">
        <x:v>숲</x:v>
      </x:c>
      <x:c r="E832" s="56" t="str">
        <x:v>보통</x:v>
      </x:c>
      <x:c r="F832" s="56" t="str">
        <x:v>아니오</x:v>
      </x:c>
      <x:c r="G832" s="56" t="str">
        <x:v>아니오</x:v>
      </x:c>
      <x:c r="H832" s="56" t="str">
        <x:v>예</x:v>
      </x:c>
      <x:c r="I832" s="56" t="str">
        <x:v>—</x:v>
      </x:c>
      <x:c r="J832" s="57" t="str">
        <x:v>—</x:v>
      </x:c>
      <x:c r="K832" s="57" t="str">
        <x:v>—</x:v>
      </x:c>
      <x:c r="L832" s="57" t="str">
        <x:v>—</x:v>
      </x:c>
      <x:c r="M832" s="57" t="str">
        <x:v>—</x:v>
      </x:c>
      <x:c r="N832" s="57" t="str">
        <x:v>—</x:v>
      </x:c>
      <x:c r="O832" s="57" t="str">
        <x:v>—</x:v>
      </x:c>
      <x:c r="P832" s="57" t="str">
        <x:v>—</x:v>
      </x:c>
      <x:c r="Q832" s="57" t="str">
        <x:v>포함</x:v>
      </x:c>
      <x:c r="R832" s="57" t="str">
        <x:v>—</x:v>
      </x:c>
    </x:row>
    <x:row r="833">
      <x:c r="A833" s="60" t="n">
        <x:v>829</x:v>
      </x:c>
      <x:c r="B833" s="56" t="str">
        <x:v>꼬모카</x:v>
      </x:c>
      <x:c r="C833" s="56" t="str">
        <x:v>gossifleur</x:v>
      </x:c>
      <x:c r="D833" s="56" t="str">
        <x:v>평원</x:v>
      </x:c>
      <x:c r="E833" s="56" t="str">
        <x:v>흔함</x:v>
      </x:c>
      <x:c r="F833" s="56" t="str">
        <x:v>아니오</x:v>
      </x:c>
      <x:c r="G833" s="56" t="str">
        <x:v>아니오</x:v>
      </x:c>
      <x:c r="H833" s="56" t="str">
        <x:v>예</x:v>
      </x:c>
      <x:c r="I833" s="56" t="str">
        <x:v>—</x:v>
      </x:c>
      <x:c r="J833" s="57" t="str">
        <x:v>—</x:v>
      </x:c>
      <x:c r="K833" s="57" t="str">
        <x:v>—</x:v>
      </x:c>
      <x:c r="L833" s="57" t="str">
        <x:v>—</x:v>
      </x:c>
      <x:c r="M833" s="57" t="str">
        <x:v>—</x:v>
      </x:c>
      <x:c r="N833" s="57" t="str">
        <x:v>—</x:v>
      </x:c>
      <x:c r="O833" s="57" t="str">
        <x:v>—</x:v>
      </x:c>
      <x:c r="P833" s="57" t="str">
        <x:v>—</x:v>
      </x:c>
      <x:c r="Q833" s="57" t="str">
        <x:v>포함</x:v>
      </x:c>
      <x:c r="R833" s="57" t="str">
        <x:v>—</x:v>
      </x:c>
    </x:row>
    <x:row r="834">
      <x:c r="A834" s="60" t="n">
        <x:v>830</x:v>
      </x:c>
      <x:c r="B834" s="56" t="str">
        <x:v>백솜모카</x:v>
      </x:c>
      <x:c r="C834" s="56" t="str">
        <x:v>eldegoss</x:v>
      </x:c>
      <x:c r="D834" s="56" t="str">
        <x:v>평원</x:v>
      </x:c>
      <x:c r="E834" s="56" t="str">
        <x:v>흔함</x:v>
      </x:c>
      <x:c r="F834" s="56" t="str">
        <x:v>아니오</x:v>
      </x:c>
      <x:c r="G834" s="56" t="str">
        <x:v>아니오</x:v>
      </x:c>
      <x:c r="H834" s="56" t="str">
        <x:v>예</x:v>
      </x:c>
      <x:c r="I834" s="56" t="str">
        <x:v>—</x:v>
      </x:c>
      <x:c r="J834" s="57" t="str">
        <x:v>—</x:v>
      </x:c>
      <x:c r="K834" s="57" t="str">
        <x:v>—</x:v>
      </x:c>
      <x:c r="L834" s="57" t="str">
        <x:v>—</x:v>
      </x:c>
      <x:c r="M834" s="57" t="str">
        <x:v>—</x:v>
      </x:c>
      <x:c r="N834" s="57" t="str">
        <x:v>—</x:v>
      </x:c>
      <x:c r="O834" s="57" t="str">
        <x:v>—</x:v>
      </x:c>
      <x:c r="P834" s="57" t="str">
        <x:v>—</x:v>
      </x:c>
      <x:c r="Q834" s="57" t="str">
        <x:v>포함</x:v>
      </x:c>
      <x:c r="R834" s="57" t="str">
        <x:v>—</x:v>
      </x:c>
    </x:row>
    <x:row r="835">
      <x:c r="A835" s="60" t="n">
        <x:v>831</x:v>
      </x:c>
      <x:c r="B835" s="56" t="str">
        <x:v>우르</x:v>
      </x:c>
      <x:c r="C835" s="56" t="str">
        <x:v>wooloo</x:v>
      </x:c>
      <x:c r="D835" s="56" t="str">
        <x:v>평원</x:v>
      </x:c>
      <x:c r="E835" s="56" t="str">
        <x:v>흔함</x:v>
      </x:c>
      <x:c r="F835" s="56" t="str">
        <x:v>아니오</x:v>
      </x:c>
      <x:c r="G835" s="56" t="str">
        <x:v>아니오</x:v>
      </x:c>
      <x:c r="H835" s="56" t="str">
        <x:v>예</x:v>
      </x:c>
      <x:c r="I835" s="56" t="str">
        <x:v>—</x:v>
      </x:c>
      <x:c r="J835" s="57" t="str">
        <x:v>—</x:v>
      </x:c>
      <x:c r="K835" s="57" t="str">
        <x:v>—</x:v>
      </x:c>
      <x:c r="L835" s="57" t="str">
        <x:v>—</x:v>
      </x:c>
      <x:c r="M835" s="57" t="str">
        <x:v>—</x:v>
      </x:c>
      <x:c r="N835" s="57" t="str">
        <x:v>—</x:v>
      </x:c>
      <x:c r="O835" s="57" t="str">
        <x:v>—</x:v>
      </x:c>
      <x:c r="P835" s="57" t="str">
        <x:v>—</x:v>
      </x:c>
      <x:c r="Q835" s="57" t="str">
        <x:v>포함</x:v>
      </x:c>
      <x:c r="R835" s="57" t="str">
        <x:v>—</x:v>
      </x:c>
    </x:row>
    <x:row r="836">
      <x:c r="A836" s="60" t="n">
        <x:v>832</x:v>
      </x:c>
      <x:c r="B836" s="56" t="str">
        <x:v>배우르</x:v>
      </x:c>
      <x:c r="C836" s="56" t="str">
        <x:v>dubwool</x:v>
      </x:c>
      <x:c r="D836" s="56" t="str">
        <x:v>평원</x:v>
      </x:c>
      <x:c r="E836" s="56" t="str">
        <x:v>흔함</x:v>
      </x:c>
      <x:c r="F836" s="56" t="str">
        <x:v>아니오</x:v>
      </x:c>
      <x:c r="G836" s="56" t="str">
        <x:v>아니오</x:v>
      </x:c>
      <x:c r="H836" s="56" t="str">
        <x:v>예</x:v>
      </x:c>
      <x:c r="I836" s="56" t="str">
        <x:v>—</x:v>
      </x:c>
      <x:c r="J836" s="57" t="str">
        <x:v>—</x:v>
      </x:c>
      <x:c r="K836" s="57" t="str">
        <x:v>—</x:v>
      </x:c>
      <x:c r="L836" s="57" t="str">
        <x:v>—</x:v>
      </x:c>
      <x:c r="M836" s="57" t="str">
        <x:v>—</x:v>
      </x:c>
      <x:c r="N836" s="57" t="str">
        <x:v>—</x:v>
      </x:c>
      <x:c r="O836" s="57" t="str">
        <x:v>—</x:v>
      </x:c>
      <x:c r="P836" s="57" t="str">
        <x:v>—</x:v>
      </x:c>
      <x:c r="Q836" s="57" t="str">
        <x:v>포함</x:v>
      </x:c>
      <x:c r="R836" s="57" t="str">
        <x:v>—</x:v>
      </x:c>
    </x:row>
    <x:row r="837">
      <x:c r="A837" s="60" t="n">
        <x:v>833</x:v>
      </x:c>
      <x:c r="B837" s="56" t="str">
        <x:v>깨물부기</x:v>
      </x:c>
      <x:c r="C837" s="56" t="str">
        <x:v>chewtle</x:v>
      </x:c>
      <x:c r="D837" s="56" t="str">
        <x:v>담수</x:v>
      </x:c>
      <x:c r="E837" s="56" t="str">
        <x:v>흔함</x:v>
      </x:c>
      <x:c r="F837" s="56" t="str">
        <x:v>아니오</x:v>
      </x:c>
      <x:c r="G837" s="56" t="str">
        <x:v>아니오</x:v>
      </x:c>
      <x:c r="H837" s="56" t="str">
        <x:v>예</x:v>
      </x:c>
      <x:c r="I837" s="56" t="str">
        <x:v>—</x:v>
      </x:c>
      <x:c r="J837" s="57" t="str">
        <x:v>—</x:v>
      </x:c>
      <x:c r="K837" s="57" t="str">
        <x:v>—</x:v>
      </x:c>
      <x:c r="L837" s="57" t="str">
        <x:v>—</x:v>
      </x:c>
      <x:c r="M837" s="57" t="str">
        <x:v>—</x:v>
      </x:c>
      <x:c r="N837" s="57" t="str">
        <x:v>—</x:v>
      </x:c>
      <x:c r="O837" s="57" t="str">
        <x:v>—</x:v>
      </x:c>
      <x:c r="P837" s="57" t="str">
        <x:v>—</x:v>
      </x:c>
      <x:c r="Q837" s="57" t="str">
        <x:v>포함</x:v>
      </x:c>
      <x:c r="R837" s="57" t="str">
        <x:v>포함</x:v>
      </x:c>
    </x:row>
    <x:row r="838">
      <x:c r="A838" s="60" t="n">
        <x:v>834</x:v>
      </x:c>
      <x:c r="B838" s="56" t="str">
        <x:v>갈가부기</x:v>
      </x:c>
      <x:c r="C838" s="56" t="str">
        <x:v>drednaw</x:v>
      </x:c>
      <x:c r="D838" s="56" t="str">
        <x:v>담수</x:v>
      </x:c>
      <x:c r="E838" s="56" t="str">
        <x:v>흔함</x:v>
      </x:c>
      <x:c r="F838" s="56" t="str">
        <x:v>아니오</x:v>
      </x:c>
      <x:c r="G838" s="56" t="str">
        <x:v>아니오</x:v>
      </x:c>
      <x:c r="H838" s="56" t="str">
        <x:v>예</x:v>
      </x:c>
      <x:c r="I838" s="56" t="str">
        <x:v>—</x:v>
      </x:c>
      <x:c r="J838" s="57" t="str">
        <x:v>—</x:v>
      </x:c>
      <x:c r="K838" s="57" t="str">
        <x:v>—</x:v>
      </x:c>
      <x:c r="L838" s="57" t="str">
        <x:v>—</x:v>
      </x:c>
      <x:c r="M838" s="57" t="str">
        <x:v>—</x:v>
      </x:c>
      <x:c r="N838" s="57" t="str">
        <x:v>—</x:v>
      </x:c>
      <x:c r="O838" s="57" t="str">
        <x:v>—</x:v>
      </x:c>
      <x:c r="P838" s="57" t="str">
        <x:v>—</x:v>
      </x:c>
      <x:c r="Q838" s="57" t="str">
        <x:v>포함</x:v>
      </x:c>
      <x:c r="R838" s="57" t="str">
        <x:v>포함</x:v>
      </x:c>
    </x:row>
    <x:row r="839">
      <x:c r="A839" s="60" t="n">
        <x:v>835</x:v>
      </x:c>
      <x:c r="B839" s="56" t="str">
        <x:v>멍파치</x:v>
      </x:c>
      <x:c r="C839" s="56" t="str">
        <x:v>yamper</x:v>
      </x:c>
      <x:c r="D839" s="56" t="str">
        <x:v>평원</x:v>
      </x:c>
      <x:c r="E839" s="56" t="str">
        <x:v>흔함</x:v>
      </x:c>
      <x:c r="F839" s="56" t="str">
        <x:v>아니오</x:v>
      </x:c>
      <x:c r="G839" s="56" t="str">
        <x:v>아니오</x:v>
      </x:c>
      <x:c r="H839" s="56" t="str">
        <x:v>예</x:v>
      </x:c>
      <x:c r="I839" s="56" t="str">
        <x:v>—</x:v>
      </x:c>
      <x:c r="J839" s="57" t="str">
        <x:v>—</x:v>
      </x:c>
      <x:c r="K839" s="57" t="str">
        <x:v>—</x:v>
      </x:c>
      <x:c r="L839" s="57" t="str">
        <x:v>—</x:v>
      </x:c>
      <x:c r="M839" s="57" t="str">
        <x:v>—</x:v>
      </x:c>
      <x:c r="N839" s="57" t="str">
        <x:v>—</x:v>
      </x:c>
      <x:c r="O839" s="57" t="str">
        <x:v>—</x:v>
      </x:c>
      <x:c r="P839" s="57" t="str">
        <x:v>—</x:v>
      </x:c>
      <x:c r="Q839" s="57" t="str">
        <x:v>포함</x:v>
      </x:c>
      <x:c r="R839" s="57" t="str">
        <x:v>—</x:v>
      </x:c>
    </x:row>
    <x:row r="840">
      <x:c r="A840" s="60" t="n">
        <x:v>836</x:v>
      </x:c>
      <x:c r="B840" s="56" t="str">
        <x:v>펄스멍</x:v>
      </x:c>
      <x:c r="C840" s="56" t="str">
        <x:v>boltund</x:v>
      </x:c>
      <x:c r="D840" s="56" t="str">
        <x:v>평원</x:v>
      </x:c>
      <x:c r="E840" s="56" t="str">
        <x:v>흔함</x:v>
      </x:c>
      <x:c r="F840" s="56" t="str">
        <x:v>아니오</x:v>
      </x:c>
      <x:c r="G840" s="56" t="str">
        <x:v>아니오</x:v>
      </x:c>
      <x:c r="H840" s="56" t="str">
        <x:v>예</x:v>
      </x:c>
      <x:c r="I840" s="56" t="str">
        <x:v>—</x:v>
      </x:c>
      <x:c r="J840" s="57" t="str">
        <x:v>—</x:v>
      </x:c>
      <x:c r="K840" s="57" t="str">
        <x:v>—</x:v>
      </x:c>
      <x:c r="L840" s="57" t="str">
        <x:v>—</x:v>
      </x:c>
      <x:c r="M840" s="57" t="str">
        <x:v>—</x:v>
      </x:c>
      <x:c r="N840" s="57" t="str">
        <x:v>—</x:v>
      </x:c>
      <x:c r="O840" s="57" t="str">
        <x:v>—</x:v>
      </x:c>
      <x:c r="P840" s="57" t="str">
        <x:v>—</x:v>
      </x:c>
      <x:c r="Q840" s="57" t="str">
        <x:v>포함</x:v>
      </x:c>
      <x:c r="R840" s="57" t="str">
        <x:v>—</x:v>
      </x:c>
    </x:row>
    <x:row r="841">
      <x:c r="A841" s="60" t="n">
        <x:v>837</x:v>
      </x:c>
      <x:c r="B841" s="56" t="str">
        <x:v>탄동</x:v>
      </x:c>
      <x:c r="C841" s="56" t="str">
        <x:v>rolycoly</x:v>
      </x:c>
      <x:c r="D841" s="56" t="str">
        <x:v>동굴</x:v>
      </x:c>
      <x:c r="E841" s="56" t="str">
        <x:v>보통</x:v>
      </x:c>
      <x:c r="F841" s="56" t="str">
        <x:v>아니오</x:v>
      </x:c>
      <x:c r="G841" s="56" t="str">
        <x:v>아니오</x:v>
      </x:c>
      <x:c r="H841" s="56" t="str">
        <x:v>예</x:v>
      </x:c>
      <x:c r="I841" s="56" t="str">
        <x:v>—</x:v>
      </x:c>
      <x:c r="J841" s="57" t="str">
        <x:v>—</x:v>
      </x:c>
      <x:c r="K841" s="57" t="str">
        <x:v>—</x:v>
      </x:c>
      <x:c r="L841" s="57" t="str">
        <x:v>—</x:v>
      </x:c>
      <x:c r="M841" s="57" t="str">
        <x:v>—</x:v>
      </x:c>
      <x:c r="N841" s="57" t="str">
        <x:v>—</x:v>
      </x:c>
      <x:c r="O841" s="57" t="str">
        <x:v>—</x:v>
      </x:c>
      <x:c r="P841" s="57" t="str">
        <x:v>—</x:v>
      </x:c>
      <x:c r="Q841" s="57" t="str">
        <x:v>포함</x:v>
      </x:c>
      <x:c r="R841" s="57" t="str">
        <x:v>포함</x:v>
      </x:c>
    </x:row>
    <x:row r="842">
      <x:c r="A842" s="60" t="n">
        <x:v>838</x:v>
      </x:c>
      <x:c r="B842" s="56" t="str">
        <x:v>탄차곤</x:v>
      </x:c>
      <x:c r="C842" s="56" t="str">
        <x:v>carkol</x:v>
      </x:c>
      <x:c r="D842" s="56" t="str">
        <x:v>동굴</x:v>
      </x:c>
      <x:c r="E842" s="56" t="str">
        <x:v>보통</x:v>
      </x:c>
      <x:c r="F842" s="56" t="str">
        <x:v>아니오</x:v>
      </x:c>
      <x:c r="G842" s="56" t="str">
        <x:v>아니오</x:v>
      </x:c>
      <x:c r="H842" s="56" t="str">
        <x:v>예</x:v>
      </x:c>
      <x:c r="I842" s="56" t="str">
        <x:v>—</x:v>
      </x:c>
      <x:c r="J842" s="57" t="str">
        <x:v>—</x:v>
      </x:c>
      <x:c r="K842" s="57" t="str">
        <x:v>—</x:v>
      </x:c>
      <x:c r="L842" s="57" t="str">
        <x:v>—</x:v>
      </x:c>
      <x:c r="M842" s="57" t="str">
        <x:v>—</x:v>
      </x:c>
      <x:c r="N842" s="57" t="str">
        <x:v>—</x:v>
      </x:c>
      <x:c r="O842" s="57" t="str">
        <x:v>—</x:v>
      </x:c>
      <x:c r="P842" s="57" t="str">
        <x:v>—</x:v>
      </x:c>
      <x:c r="Q842" s="57" t="str">
        <x:v>포함</x:v>
      </x:c>
      <x:c r="R842" s="57" t="str">
        <x:v>포함</x:v>
      </x:c>
    </x:row>
    <x:row r="843">
      <x:c r="A843" s="60" t="n">
        <x:v>839</x:v>
      </x:c>
      <x:c r="B843" s="56" t="str">
        <x:v>석탄산</x:v>
      </x:c>
      <x:c r="C843" s="56" t="str">
        <x:v>coalossal</x:v>
      </x:c>
      <x:c r="D843" s="56" t="str">
        <x:v>동굴</x:v>
      </x:c>
      <x:c r="E843" s="56" t="str">
        <x:v>희귀</x:v>
      </x:c>
      <x:c r="F843" s="56" t="str">
        <x:v>아니오</x:v>
      </x:c>
      <x:c r="G843" s="56" t="str">
        <x:v>아니오</x:v>
      </x:c>
      <x:c r="H843" s="56" t="str">
        <x:v>예</x:v>
      </x:c>
      <x:c r="I843" s="56" t="str">
        <x:v>—</x:v>
      </x:c>
      <x:c r="J843" s="57" t="str">
        <x:v>—</x:v>
      </x:c>
      <x:c r="K843" s="57" t="str">
        <x:v>—</x:v>
      </x:c>
      <x:c r="L843" s="57" t="str">
        <x:v>—</x:v>
      </x:c>
      <x:c r="M843" s="57" t="str">
        <x:v>—</x:v>
      </x:c>
      <x:c r="N843" s="57" t="str">
        <x:v>—</x:v>
      </x:c>
      <x:c r="O843" s="57" t="str">
        <x:v>—</x:v>
      </x:c>
      <x:c r="P843" s="57" t="str">
        <x:v>—</x:v>
      </x:c>
      <x:c r="Q843" s="57" t="str">
        <x:v>포함</x:v>
      </x:c>
      <x:c r="R843" s="57" t="str">
        <x:v>포함</x:v>
      </x:c>
    </x:row>
    <x:row r="844">
      <x:c r="A844" s="60" t="n">
        <x:v>840</x:v>
      </x:c>
      <x:c r="B844" s="56" t="str">
        <x:v>과사삭벌레</x:v>
      </x:c>
      <x:c r="C844" s="56" t="str">
        <x:v>applin</x:v>
      </x:c>
      <x:c r="D844" s="56" t="str">
        <x:v>숲</x:v>
      </x:c>
      <x:c r="E844" s="56" t="str">
        <x:v>보통</x:v>
      </x:c>
      <x:c r="F844" s="56" t="str">
        <x:v>아니오</x:v>
      </x:c>
      <x:c r="G844" s="56" t="str">
        <x:v>아니오</x:v>
      </x:c>
      <x:c r="H844" s="56" t="str">
        <x:v>예</x:v>
      </x:c>
      <x:c r="I844" s="56" t="str">
        <x:v>—</x:v>
      </x:c>
      <x:c r="J844" s="57" t="str">
        <x:v>—</x:v>
      </x:c>
      <x:c r="K844" s="57" t="str">
        <x:v>—</x:v>
      </x:c>
      <x:c r="L844" s="57" t="str">
        <x:v>—</x:v>
      </x:c>
      <x:c r="M844" s="57" t="str">
        <x:v>—</x:v>
      </x:c>
      <x:c r="N844" s="57" t="str">
        <x:v>—</x:v>
      </x:c>
      <x:c r="O844" s="57" t="str">
        <x:v>—</x:v>
      </x:c>
      <x:c r="P844" s="57" t="str">
        <x:v>—</x:v>
      </x:c>
      <x:c r="Q844" s="57" t="str">
        <x:v>포함</x:v>
      </x:c>
      <x:c r="R844" s="57" t="str">
        <x:v>포함</x:v>
      </x:c>
    </x:row>
    <x:row r="845">
      <x:c r="A845" s="60" t="n">
        <x:v>841</x:v>
      </x:c>
      <x:c r="B845" s="56" t="str">
        <x:v>애프룡</x:v>
      </x:c>
      <x:c r="C845" s="56" t="str">
        <x:v>flapple</x:v>
      </x:c>
      <x:c r="D845" s="56" t="str">
        <x:v>숲</x:v>
      </x:c>
      <x:c r="E845" s="56" t="str">
        <x:v>드묾</x:v>
      </x:c>
      <x:c r="F845" s="56" t="str">
        <x:v>아니오</x:v>
      </x:c>
      <x:c r="G845" s="56" t="str">
        <x:v>아니오</x:v>
      </x:c>
      <x:c r="H845" s="56" t="str">
        <x:v>예</x:v>
      </x:c>
      <x:c r="I845" s="56" t="str">
        <x:v>—</x:v>
      </x:c>
      <x:c r="J845" s="57" t="str">
        <x:v>—</x:v>
      </x:c>
      <x:c r="K845" s="57" t="str">
        <x:v>—</x:v>
      </x:c>
      <x:c r="L845" s="57" t="str">
        <x:v>—</x:v>
      </x:c>
      <x:c r="M845" s="57" t="str">
        <x:v>—</x:v>
      </x:c>
      <x:c r="N845" s="57" t="str">
        <x:v>—</x:v>
      </x:c>
      <x:c r="O845" s="57" t="str">
        <x:v>—</x:v>
      </x:c>
      <x:c r="P845" s="57" t="str">
        <x:v>—</x:v>
      </x:c>
      <x:c r="Q845" s="57" t="str">
        <x:v>포함</x:v>
      </x:c>
      <x:c r="R845" s="57" t="str">
        <x:v>포함</x:v>
      </x:c>
    </x:row>
    <x:row r="846">
      <x:c r="A846" s="60" t="n">
        <x:v>842</x:v>
      </x:c>
      <x:c r="B846" s="56" t="str">
        <x:v>단지래플</x:v>
      </x:c>
      <x:c r="C846" s="56" t="str">
        <x:v>appletun</x:v>
      </x:c>
      <x:c r="D846" s="56" t="str">
        <x:v>숲</x:v>
      </x:c>
      <x:c r="E846" s="56" t="str">
        <x:v>드묾</x:v>
      </x:c>
      <x:c r="F846" s="56" t="str">
        <x:v>아니오</x:v>
      </x:c>
      <x:c r="G846" s="56" t="str">
        <x:v>아니오</x:v>
      </x:c>
      <x:c r="H846" s="56" t="str">
        <x:v>예</x:v>
      </x:c>
      <x:c r="I846" s="56" t="str">
        <x:v>—</x:v>
      </x:c>
      <x:c r="J846" s="57" t="str">
        <x:v>—</x:v>
      </x:c>
      <x:c r="K846" s="57" t="str">
        <x:v>—</x:v>
      </x:c>
      <x:c r="L846" s="57" t="str">
        <x:v>—</x:v>
      </x:c>
      <x:c r="M846" s="57" t="str">
        <x:v>—</x:v>
      </x:c>
      <x:c r="N846" s="57" t="str">
        <x:v>—</x:v>
      </x:c>
      <x:c r="O846" s="57" t="str">
        <x:v>—</x:v>
      </x:c>
      <x:c r="P846" s="57" t="str">
        <x:v>—</x:v>
      </x:c>
      <x:c r="Q846" s="57" t="str">
        <x:v>포함</x:v>
      </x:c>
      <x:c r="R846" s="57" t="str">
        <x:v>포함</x:v>
      </x:c>
    </x:row>
    <x:row r="847">
      <x:c r="A847" s="60" t="n">
        <x:v>843</x:v>
      </x:c>
      <x:c r="B847" s="56" t="str">
        <x:v>모래뱀</x:v>
      </x:c>
      <x:c r="C847" s="56" t="str">
        <x:v>silicobra</x:v>
      </x:c>
      <x:c r="D847" s="56" t="str">
        <x:v>건조지</x:v>
      </x:c>
      <x:c r="E847" s="56" t="str">
        <x:v>흔함</x:v>
      </x:c>
      <x:c r="F847" s="56" t="str">
        <x:v>아니오</x:v>
      </x:c>
      <x:c r="G847" s="56" t="str">
        <x:v>아니오</x:v>
      </x:c>
      <x:c r="H847" s="56" t="str">
        <x:v>예</x:v>
      </x:c>
      <x:c r="I847" s="56" t="str">
        <x:v>—</x:v>
      </x:c>
      <x:c r="J847" s="57" t="str">
        <x:v>—</x:v>
      </x:c>
      <x:c r="K847" s="57" t="str">
        <x:v>—</x:v>
      </x:c>
      <x:c r="L847" s="57" t="str">
        <x:v>—</x:v>
      </x:c>
      <x:c r="M847" s="57" t="str">
        <x:v>—</x:v>
      </x:c>
      <x:c r="N847" s="57" t="str">
        <x:v>—</x:v>
      </x:c>
      <x:c r="O847" s="57" t="str">
        <x:v>—</x:v>
      </x:c>
      <x:c r="P847" s="57" t="str">
        <x:v>—</x:v>
      </x:c>
      <x:c r="Q847" s="57" t="str">
        <x:v>포함</x:v>
      </x:c>
      <x:c r="R847" s="57" t="str">
        <x:v>포함</x:v>
      </x:c>
    </x:row>
    <x:row r="848">
      <x:c r="A848" s="60" t="n">
        <x:v>844</x:v>
      </x:c>
      <x:c r="B848" s="56" t="str">
        <x:v>사다이사</x:v>
      </x:c>
      <x:c r="C848" s="56" t="str">
        <x:v>sandaconda</x:v>
      </x:c>
      <x:c r="D848" s="56" t="str">
        <x:v>건조지</x:v>
      </x:c>
      <x:c r="E848" s="56" t="str">
        <x:v>흔함</x:v>
      </x:c>
      <x:c r="F848" s="56" t="str">
        <x:v>아니오</x:v>
      </x:c>
      <x:c r="G848" s="56" t="str">
        <x:v>아니오</x:v>
      </x:c>
      <x:c r="H848" s="56" t="str">
        <x:v>예</x:v>
      </x:c>
      <x:c r="I848" s="56" t="str">
        <x:v>—</x:v>
      </x:c>
      <x:c r="J848" s="57" t="str">
        <x:v>—</x:v>
      </x:c>
      <x:c r="K848" s="57" t="str">
        <x:v>—</x:v>
      </x:c>
      <x:c r="L848" s="57" t="str">
        <x:v>—</x:v>
      </x:c>
      <x:c r="M848" s="57" t="str">
        <x:v>—</x:v>
      </x:c>
      <x:c r="N848" s="57" t="str">
        <x:v>—</x:v>
      </x:c>
      <x:c r="O848" s="57" t="str">
        <x:v>—</x:v>
      </x:c>
      <x:c r="P848" s="57" t="str">
        <x:v>—</x:v>
      </x:c>
      <x:c r="Q848" s="57" t="str">
        <x:v>포함</x:v>
      </x:c>
      <x:c r="R848" s="57" t="str">
        <x:v>포함</x:v>
      </x:c>
    </x:row>
    <x:row r="849">
      <x:c r="A849" s="60" t="n">
        <x:v>845</x:v>
      </x:c>
      <x:c r="B849" s="56" t="str">
        <x:v>윽우지</x:v>
      </x:c>
      <x:c r="C849" s="56" t="str">
        <x:v>cramorant</x:v>
      </x:c>
      <x:c r="D849" s="56" t="str">
        <x:v>해양</x:v>
      </x:c>
      <x:c r="E849" s="56" t="str">
        <x:v>보통</x:v>
      </x:c>
      <x:c r="F849" s="56" t="str">
        <x:v>아니오</x:v>
      </x:c>
      <x:c r="G849" s="56" t="str">
        <x:v>아니오</x:v>
      </x:c>
      <x:c r="H849" s="56" t="str">
        <x:v>예</x:v>
      </x:c>
      <x:c r="I849" s="56" t="str">
        <x:v>—</x:v>
      </x:c>
      <x:c r="J849" s="57" t="str">
        <x:v>—</x:v>
      </x:c>
      <x:c r="K849" s="57" t="str">
        <x:v>—</x:v>
      </x:c>
      <x:c r="L849" s="57" t="str">
        <x:v>—</x:v>
      </x:c>
      <x:c r="M849" s="57" t="str">
        <x:v>—</x:v>
      </x:c>
      <x:c r="N849" s="57" t="str">
        <x:v>—</x:v>
      </x:c>
      <x:c r="O849" s="57" t="str">
        <x:v>—</x:v>
      </x:c>
      <x:c r="P849" s="57" t="str">
        <x:v>—</x:v>
      </x:c>
      <x:c r="Q849" s="57" t="str">
        <x:v>포함</x:v>
      </x:c>
      <x:c r="R849" s="57" t="str">
        <x:v>포함</x:v>
      </x:c>
    </x:row>
    <x:row r="850">
      <x:c r="A850" s="60" t="n">
        <x:v>846</x:v>
      </x:c>
      <x:c r="B850" s="56" t="str">
        <x:v>찌로꼬치</x:v>
      </x:c>
      <x:c r="C850" s="56" t="str">
        <x:v>arrokuda</x:v>
      </x:c>
      <x:c r="D850" s="56" t="str">
        <x:v>해양</x:v>
      </x:c>
      <x:c r="E850" s="56" t="str">
        <x:v>흔함</x:v>
      </x:c>
      <x:c r="F850" s="56" t="str">
        <x:v>아니오</x:v>
      </x:c>
      <x:c r="G850" s="56" t="str">
        <x:v>아니오</x:v>
      </x:c>
      <x:c r="H850" s="56" t="str">
        <x:v>예</x:v>
      </x:c>
      <x:c r="I850" s="56" t="str">
        <x:v>—</x:v>
      </x:c>
      <x:c r="J850" s="57" t="str">
        <x:v>—</x:v>
      </x:c>
      <x:c r="K850" s="57" t="str">
        <x:v>—</x:v>
      </x:c>
      <x:c r="L850" s="57" t="str">
        <x:v>—</x:v>
      </x:c>
      <x:c r="M850" s="57" t="str">
        <x:v>—</x:v>
      </x:c>
      <x:c r="N850" s="57" t="str">
        <x:v>—</x:v>
      </x:c>
      <x:c r="O850" s="57" t="str">
        <x:v>—</x:v>
      </x:c>
      <x:c r="P850" s="57" t="str">
        <x:v>—</x:v>
      </x:c>
      <x:c r="Q850" s="57" t="str">
        <x:v>포함</x:v>
      </x:c>
      <x:c r="R850" s="57" t="str">
        <x:v>포함</x:v>
      </x:c>
    </x:row>
    <x:row r="851">
      <x:c r="A851" s="60" t="n">
        <x:v>847</x:v>
      </x:c>
      <x:c r="B851" s="56" t="str">
        <x:v>꼬치조</x:v>
      </x:c>
      <x:c r="C851" s="56" t="str">
        <x:v>barraskewda</x:v>
      </x:c>
      <x:c r="D851" s="56" t="str">
        <x:v>해양</x:v>
      </x:c>
      <x:c r="E851" s="56" t="str">
        <x:v>흔함</x:v>
      </x:c>
      <x:c r="F851" s="56" t="str">
        <x:v>아니오</x:v>
      </x:c>
      <x:c r="G851" s="56" t="str">
        <x:v>아니오</x:v>
      </x:c>
      <x:c r="H851" s="56" t="str">
        <x:v>예</x:v>
      </x:c>
      <x:c r="I851" s="56" t="str">
        <x:v>—</x:v>
      </x:c>
      <x:c r="J851" s="57" t="str">
        <x:v>—</x:v>
      </x:c>
      <x:c r="K851" s="57" t="str">
        <x:v>—</x:v>
      </x:c>
      <x:c r="L851" s="57" t="str">
        <x:v>—</x:v>
      </x:c>
      <x:c r="M851" s="57" t="str">
        <x:v>—</x:v>
      </x:c>
      <x:c r="N851" s="57" t="str">
        <x:v>—</x:v>
      </x:c>
      <x:c r="O851" s="57" t="str">
        <x:v>—</x:v>
      </x:c>
      <x:c r="P851" s="57" t="str">
        <x:v>—</x:v>
      </x:c>
      <x:c r="Q851" s="57" t="str">
        <x:v>포함</x:v>
      </x:c>
      <x:c r="R851" s="57" t="str">
        <x:v>포함</x:v>
      </x:c>
    </x:row>
    <x:row r="852">
      <x:c r="A852" s="60" t="n">
        <x:v>848</x:v>
      </x:c>
      <x:c r="B852" s="56" t="str">
        <x:v>일레즌</x:v>
      </x:c>
      <x:c r="C852" s="56" t="str">
        <x:v>toxel</x:v>
      </x:c>
      <x:c r="D852" s="56" t="str">
        <x:v>습지</x:v>
      </x:c>
      <x:c r="E852" s="56" t="str">
        <x:v>보통</x:v>
      </x:c>
      <x:c r="F852" s="56" t="str">
        <x:v>아니오</x:v>
      </x:c>
      <x:c r="G852" s="56" t="str">
        <x:v>아니오</x:v>
      </x:c>
      <x:c r="H852" s="56" t="str">
        <x:v>예</x:v>
      </x:c>
      <x:c r="I852" s="56" t="str">
        <x:v>—</x:v>
      </x:c>
      <x:c r="J852" s="57" t="str">
        <x:v>—</x:v>
      </x:c>
      <x:c r="K852" s="57" t="str">
        <x:v>—</x:v>
      </x:c>
      <x:c r="L852" s="57" t="str">
        <x:v>—</x:v>
      </x:c>
      <x:c r="M852" s="57" t="str">
        <x:v>—</x:v>
      </x:c>
      <x:c r="N852" s="57" t="str">
        <x:v>—</x:v>
      </x:c>
      <x:c r="O852" s="57" t="str">
        <x:v>—</x:v>
      </x:c>
      <x:c r="P852" s="57" t="str">
        <x:v>—</x:v>
      </x:c>
      <x:c r="Q852" s="57" t="str">
        <x:v>포함</x:v>
      </x:c>
      <x:c r="R852" s="57" t="str">
        <x:v>포함</x:v>
      </x:c>
    </x:row>
    <x:row r="853">
      <x:c r="A853" s="60" t="n">
        <x:v>849</x:v>
      </x:c>
      <x:c r="B853" s="56" t="str">
        <x:v>스트린더</x:v>
      </x:c>
      <x:c r="C853" s="56" t="str">
        <x:v>toxtricity</x:v>
      </x:c>
      <x:c r="D853" s="56" t="str">
        <x:v>습지</x:v>
      </x:c>
      <x:c r="E853" s="56" t="str">
        <x:v>보통</x:v>
      </x:c>
      <x:c r="F853" s="56" t="str">
        <x:v>아니오</x:v>
      </x:c>
      <x:c r="G853" s="56" t="str">
        <x:v>아니오</x:v>
      </x:c>
      <x:c r="H853" s="56" t="str">
        <x:v>예</x:v>
      </x:c>
      <x:c r="I853" s="56" t="str">
        <x:v>—</x:v>
      </x:c>
      <x:c r="J853" s="57" t="str">
        <x:v>—</x:v>
      </x:c>
      <x:c r="K853" s="57" t="str">
        <x:v>—</x:v>
      </x:c>
      <x:c r="L853" s="57" t="str">
        <x:v>—</x:v>
      </x:c>
      <x:c r="M853" s="57" t="str">
        <x:v>—</x:v>
      </x:c>
      <x:c r="N853" s="57" t="str">
        <x:v>—</x:v>
      </x:c>
      <x:c r="O853" s="57" t="str">
        <x:v>—</x:v>
      </x:c>
      <x:c r="P853" s="57" t="str">
        <x:v>—</x:v>
      </x:c>
      <x:c r="Q853" s="57" t="str">
        <x:v>포함</x:v>
      </x:c>
      <x:c r="R853" s="57" t="str">
        <x:v>포함</x:v>
      </x:c>
    </x:row>
    <x:row r="854">
      <x:c r="A854" s="60" t="n">
        <x:v>850</x:v>
      </x:c>
      <x:c r="B854" s="56" t="str">
        <x:v>태우지네</x:v>
      </x:c>
      <x:c r="C854" s="56" t="str">
        <x:v>sizzlipede</x:v>
      </x:c>
      <x:c r="D854" s="56" t="str">
        <x:v>화산</x:v>
      </x:c>
      <x:c r="E854" s="56" t="str">
        <x:v>흔함</x:v>
      </x:c>
      <x:c r="F854" s="56" t="str">
        <x:v>아니오</x:v>
      </x:c>
      <x:c r="G854" s="56" t="str">
        <x:v>아니오</x:v>
      </x:c>
      <x:c r="H854" s="56" t="str">
        <x:v>예</x:v>
      </x:c>
      <x:c r="I854" s="56" t="str">
        <x:v>—</x:v>
      </x:c>
      <x:c r="J854" s="57" t="str">
        <x:v>—</x:v>
      </x:c>
      <x:c r="K854" s="57" t="str">
        <x:v>—</x:v>
      </x:c>
      <x:c r="L854" s="57" t="str">
        <x:v>—</x:v>
      </x:c>
      <x:c r="M854" s="57" t="str">
        <x:v>—</x:v>
      </x:c>
      <x:c r="N854" s="57" t="str">
        <x:v>—</x:v>
      </x:c>
      <x:c r="O854" s="57" t="str">
        <x:v>—</x:v>
      </x:c>
      <x:c r="P854" s="57" t="str">
        <x:v>—</x:v>
      </x:c>
      <x:c r="Q854" s="57" t="str">
        <x:v>포함</x:v>
      </x:c>
      <x:c r="R854" s="57" t="str">
        <x:v>—</x:v>
      </x:c>
    </x:row>
    <x:row r="855">
      <x:c r="A855" s="60" t="n">
        <x:v>851</x:v>
      </x:c>
      <x:c r="B855" s="56" t="str">
        <x:v>다태우지네</x:v>
      </x:c>
      <x:c r="C855" s="56" t="str">
        <x:v>centiskorch</x:v>
      </x:c>
      <x:c r="D855" s="56" t="str">
        <x:v>화산</x:v>
      </x:c>
      <x:c r="E855" s="56" t="str">
        <x:v>흔함</x:v>
      </x:c>
      <x:c r="F855" s="56" t="str">
        <x:v>아니오</x:v>
      </x:c>
      <x:c r="G855" s="56" t="str">
        <x:v>아니오</x:v>
      </x:c>
      <x:c r="H855" s="56" t="str">
        <x:v>예</x:v>
      </x:c>
      <x:c r="I855" s="56" t="str">
        <x:v>—</x:v>
      </x:c>
      <x:c r="J855" s="57" t="str">
        <x:v>—</x:v>
      </x:c>
      <x:c r="K855" s="57" t="str">
        <x:v>—</x:v>
      </x:c>
      <x:c r="L855" s="57" t="str">
        <x:v>—</x:v>
      </x:c>
      <x:c r="M855" s="57" t="str">
        <x:v>—</x:v>
      </x:c>
      <x:c r="N855" s="57" t="str">
        <x:v>—</x:v>
      </x:c>
      <x:c r="O855" s="57" t="str">
        <x:v>—</x:v>
      </x:c>
      <x:c r="P855" s="57" t="str">
        <x:v>—</x:v>
      </x:c>
      <x:c r="Q855" s="57" t="str">
        <x:v>포함</x:v>
      </x:c>
      <x:c r="R855" s="57" t="str">
        <x:v>—</x:v>
      </x:c>
    </x:row>
    <x:row r="856">
      <x:c r="A856" s="60" t="n">
        <x:v>852</x:v>
      </x:c>
      <x:c r="B856" s="56" t="str">
        <x:v>때때무노</x:v>
      </x:c>
      <x:c r="C856" s="56" t="str">
        <x:v>clobbopus</x:v>
      </x:c>
      <x:c r="D856" s="56" t="str">
        <x:v>해양</x:v>
      </x:c>
      <x:c r="E856" s="56" t="str">
        <x:v>보통</x:v>
      </x:c>
      <x:c r="F856" s="56" t="str">
        <x:v>아니오</x:v>
      </x:c>
      <x:c r="G856" s="56" t="str">
        <x:v>아니오</x:v>
      </x:c>
      <x:c r="H856" s="56" t="str">
        <x:v>예</x:v>
      </x:c>
      <x:c r="I856" s="56" t="str">
        <x:v>—</x:v>
      </x:c>
      <x:c r="J856" s="57" t="str">
        <x:v>—</x:v>
      </x:c>
      <x:c r="K856" s="57" t="str">
        <x:v>—</x:v>
      </x:c>
      <x:c r="L856" s="57" t="str">
        <x:v>—</x:v>
      </x:c>
      <x:c r="M856" s="57" t="str">
        <x:v>—</x:v>
      </x:c>
      <x:c r="N856" s="57" t="str">
        <x:v>—</x:v>
      </x:c>
      <x:c r="O856" s="57" t="str">
        <x:v>—</x:v>
      </x:c>
      <x:c r="P856" s="57" t="str">
        <x:v>—</x:v>
      </x:c>
      <x:c r="Q856" s="57" t="str">
        <x:v>포함</x:v>
      </x:c>
      <x:c r="R856" s="57" t="str">
        <x:v>—</x:v>
      </x:c>
    </x:row>
    <x:row r="857">
      <x:c r="A857" s="60" t="n">
        <x:v>853</x:v>
      </x:c>
      <x:c r="B857" s="56" t="str">
        <x:v>케오퍼스</x:v>
      </x:c>
      <x:c r="C857" s="56" t="str">
        <x:v>grapploct</x:v>
      </x:c>
      <x:c r="D857" s="56" t="str">
        <x:v>해양</x:v>
      </x:c>
      <x:c r="E857" s="56" t="str">
        <x:v>보통</x:v>
      </x:c>
      <x:c r="F857" s="56" t="str">
        <x:v>아니오</x:v>
      </x:c>
      <x:c r="G857" s="56" t="str">
        <x:v>아니오</x:v>
      </x:c>
      <x:c r="H857" s="56" t="str">
        <x:v>예</x:v>
      </x:c>
      <x:c r="I857" s="56" t="str">
        <x:v>—</x:v>
      </x:c>
      <x:c r="J857" s="57" t="str">
        <x:v>—</x:v>
      </x:c>
      <x:c r="K857" s="57" t="str">
        <x:v>—</x:v>
      </x:c>
      <x:c r="L857" s="57" t="str">
        <x:v>—</x:v>
      </x:c>
      <x:c r="M857" s="57" t="str">
        <x:v>—</x:v>
      </x:c>
      <x:c r="N857" s="57" t="str">
        <x:v>—</x:v>
      </x:c>
      <x:c r="O857" s="57" t="str">
        <x:v>—</x:v>
      </x:c>
      <x:c r="P857" s="57" t="str">
        <x:v>—</x:v>
      </x:c>
      <x:c r="Q857" s="57" t="str">
        <x:v>포함</x:v>
      </x:c>
      <x:c r="R857" s="57" t="str">
        <x:v>—</x:v>
      </x:c>
    </x:row>
    <x:row r="858">
      <x:c r="A858" s="60" t="n">
        <x:v>854</x:v>
      </x:c>
      <x:c r="B858" s="56" t="str">
        <x:v>데인차</x:v>
      </x:c>
      <x:c r="C858" s="56" t="str">
        <x:v>sinistea</x:v>
      </x:c>
      <x:c r="D858" s="56" t="str">
        <x:v>특수</x:v>
      </x:c>
      <x:c r="E858" s="56" t="str">
        <x:v>보통</x:v>
      </x:c>
      <x:c r="F858" s="56" t="str">
        <x:v>아니오</x:v>
      </x:c>
      <x:c r="G858" s="56" t="str">
        <x:v>아니오</x:v>
      </x:c>
      <x:c r="H858" s="56" t="str">
        <x:v>예</x:v>
      </x:c>
      <x:c r="I858" s="56" t="str">
        <x:v>—</x:v>
      </x:c>
      <x:c r="J858" s="57" t="str">
        <x:v>—</x:v>
      </x:c>
      <x:c r="K858" s="57" t="str">
        <x:v>—</x:v>
      </x:c>
      <x:c r="L858" s="57" t="str">
        <x:v>—</x:v>
      </x:c>
      <x:c r="M858" s="57" t="str">
        <x:v>—</x:v>
      </x:c>
      <x:c r="N858" s="57" t="str">
        <x:v>—</x:v>
      </x:c>
      <x:c r="O858" s="57" t="str">
        <x:v>—</x:v>
      </x:c>
      <x:c r="P858" s="57" t="str">
        <x:v>—</x:v>
      </x:c>
      <x:c r="Q858" s="57" t="str">
        <x:v>포함</x:v>
      </x:c>
      <x:c r="R858" s="57" t="str">
        <x:v>포함</x:v>
      </x:c>
    </x:row>
    <x:row r="859">
      <x:c r="A859" s="60" t="n">
        <x:v>855</x:v>
      </x:c>
      <x:c r="B859" s="56" t="str">
        <x:v>포트데스</x:v>
      </x:c>
      <x:c r="C859" s="56" t="str">
        <x:v>polteageist</x:v>
      </x:c>
      <x:c r="D859" s="56" t="str">
        <x:v>특수</x:v>
      </x:c>
      <x:c r="E859" s="56" t="str">
        <x:v>보통</x:v>
      </x:c>
      <x:c r="F859" s="56" t="str">
        <x:v>아니오</x:v>
      </x:c>
      <x:c r="G859" s="56" t="str">
        <x:v>아니오</x:v>
      </x:c>
      <x:c r="H859" s="56" t="str">
        <x:v>예</x:v>
      </x:c>
      <x:c r="I859" s="56" t="str">
        <x:v>—</x:v>
      </x:c>
      <x:c r="J859" s="57" t="str">
        <x:v>—</x:v>
      </x:c>
      <x:c r="K859" s="57" t="str">
        <x:v>—</x:v>
      </x:c>
      <x:c r="L859" s="57" t="str">
        <x:v>—</x:v>
      </x:c>
      <x:c r="M859" s="57" t="str">
        <x:v>—</x:v>
      </x:c>
      <x:c r="N859" s="57" t="str">
        <x:v>—</x:v>
      </x:c>
      <x:c r="O859" s="57" t="str">
        <x:v>—</x:v>
      </x:c>
      <x:c r="P859" s="57" t="str">
        <x:v>—</x:v>
      </x:c>
      <x:c r="Q859" s="57" t="str">
        <x:v>포함</x:v>
      </x:c>
      <x:c r="R859" s="57" t="str">
        <x:v>포함</x:v>
      </x:c>
    </x:row>
    <x:row r="860">
      <x:c r="A860" s="60" t="n">
        <x:v>856</x:v>
      </x:c>
      <x:c r="B860" s="56" t="str">
        <x:v>몸지브림</x:v>
      </x:c>
      <x:c r="C860" s="56" t="str">
        <x:v>hatenna</x:v>
      </x:c>
      <x:c r="D860" s="56" t="str">
        <x:v>숲</x:v>
      </x:c>
      <x:c r="E860" s="56" t="str">
        <x:v>보통</x:v>
      </x:c>
      <x:c r="F860" s="56" t="str">
        <x:v>아니오</x:v>
      </x:c>
      <x:c r="G860" s="56" t="str">
        <x:v>아니오</x:v>
      </x:c>
      <x:c r="H860" s="56" t="str">
        <x:v>예</x:v>
      </x:c>
      <x:c r="I860" s="56" t="str">
        <x:v>—</x:v>
      </x:c>
      <x:c r="J860" s="57" t="str">
        <x:v>—</x:v>
      </x:c>
      <x:c r="K860" s="57" t="str">
        <x:v>—</x:v>
      </x:c>
      <x:c r="L860" s="57" t="str">
        <x:v>—</x:v>
      </x:c>
      <x:c r="M860" s="57" t="str">
        <x:v>—</x:v>
      </x:c>
      <x:c r="N860" s="57" t="str">
        <x:v>—</x:v>
      </x:c>
      <x:c r="O860" s="57" t="str">
        <x:v>—</x:v>
      </x:c>
      <x:c r="P860" s="57" t="str">
        <x:v>—</x:v>
      </x:c>
      <x:c r="Q860" s="57" t="str">
        <x:v>포함</x:v>
      </x:c>
      <x:c r="R860" s="57" t="str">
        <x:v>포함</x:v>
      </x:c>
    </x:row>
    <x:row r="861">
      <x:c r="A861" s="60" t="n">
        <x:v>857</x:v>
      </x:c>
      <x:c r="B861" s="56" t="str">
        <x:v>손지브림</x:v>
      </x:c>
      <x:c r="C861" s="56" t="str">
        <x:v>hattrem</x:v>
      </x:c>
      <x:c r="D861" s="56" t="str">
        <x:v>숲</x:v>
      </x:c>
      <x:c r="E861" s="56" t="str">
        <x:v>보통</x:v>
      </x:c>
      <x:c r="F861" s="56" t="str">
        <x:v>아니오</x:v>
      </x:c>
      <x:c r="G861" s="56" t="str">
        <x:v>아니오</x:v>
      </x:c>
      <x:c r="H861" s="56" t="str">
        <x:v>예</x:v>
      </x:c>
      <x:c r="I861" s="56" t="str">
        <x:v>—</x:v>
      </x:c>
      <x:c r="J861" s="57" t="str">
        <x:v>—</x:v>
      </x:c>
      <x:c r="K861" s="57" t="str">
        <x:v>—</x:v>
      </x:c>
      <x:c r="L861" s="57" t="str">
        <x:v>—</x:v>
      </x:c>
      <x:c r="M861" s="57" t="str">
        <x:v>—</x:v>
      </x:c>
      <x:c r="N861" s="57" t="str">
        <x:v>—</x:v>
      </x:c>
      <x:c r="O861" s="57" t="str">
        <x:v>—</x:v>
      </x:c>
      <x:c r="P861" s="57" t="str">
        <x:v>—</x:v>
      </x:c>
      <x:c r="Q861" s="57" t="str">
        <x:v>포함</x:v>
      </x:c>
      <x:c r="R861" s="57" t="str">
        <x:v>포함</x:v>
      </x:c>
    </x:row>
    <x:row r="862">
      <x:c r="A862" s="60" t="n">
        <x:v>858</x:v>
      </x:c>
      <x:c r="B862" s="56" t="str">
        <x:v>브리무음</x:v>
      </x:c>
      <x:c r="C862" s="56" t="str">
        <x:v>hatterene</x:v>
      </x:c>
      <x:c r="D862" s="56" t="str">
        <x:v>숲</x:v>
      </x:c>
      <x:c r="E862" s="56" t="str">
        <x:v>보통</x:v>
      </x:c>
      <x:c r="F862" s="56" t="str">
        <x:v>아니오</x:v>
      </x:c>
      <x:c r="G862" s="56" t="str">
        <x:v>아니오</x:v>
      </x:c>
      <x:c r="H862" s="56" t="str">
        <x:v>예</x:v>
      </x:c>
      <x:c r="I862" s="56" t="str">
        <x:v>—</x:v>
      </x:c>
      <x:c r="J862" s="57" t="str">
        <x:v>—</x:v>
      </x:c>
      <x:c r="K862" s="57" t="str">
        <x:v>—</x:v>
      </x:c>
      <x:c r="L862" s="57" t="str">
        <x:v>—</x:v>
      </x:c>
      <x:c r="M862" s="57" t="str">
        <x:v>—</x:v>
      </x:c>
      <x:c r="N862" s="57" t="str">
        <x:v>—</x:v>
      </x:c>
      <x:c r="O862" s="57" t="str">
        <x:v>—</x:v>
      </x:c>
      <x:c r="P862" s="57" t="str">
        <x:v>—</x:v>
      </x:c>
      <x:c r="Q862" s="57" t="str">
        <x:v>포함</x:v>
      </x:c>
      <x:c r="R862" s="57" t="str">
        <x:v>포함</x:v>
      </x:c>
    </x:row>
    <x:row r="863">
      <x:c r="A863" s="60" t="n">
        <x:v>859</x:v>
      </x:c>
      <x:c r="B863" s="56" t="str">
        <x:v>메롱꿍</x:v>
      </x:c>
      <x:c r="C863" s="56" t="str">
        <x:v>impidimp</x:v>
      </x:c>
      <x:c r="D863" s="56" t="str">
        <x:v>화산</x:v>
      </x:c>
      <x:c r="E863" s="56" t="str">
        <x:v>흔함</x:v>
      </x:c>
      <x:c r="F863" s="56" t="str">
        <x:v>아니오</x:v>
      </x:c>
      <x:c r="G863" s="56" t="str">
        <x:v>아니오</x:v>
      </x:c>
      <x:c r="H863" s="56" t="str">
        <x:v>예</x:v>
      </x:c>
      <x:c r="I863" s="56" t="str">
        <x:v>—</x:v>
      </x:c>
      <x:c r="J863" s="57" t="str">
        <x:v>—</x:v>
      </x:c>
      <x:c r="K863" s="57" t="str">
        <x:v>—</x:v>
      </x:c>
      <x:c r="L863" s="57" t="str">
        <x:v>—</x:v>
      </x:c>
      <x:c r="M863" s="57" t="str">
        <x:v>—</x:v>
      </x:c>
      <x:c r="N863" s="57" t="str">
        <x:v>—</x:v>
      </x:c>
      <x:c r="O863" s="57" t="str">
        <x:v>—</x:v>
      </x:c>
      <x:c r="P863" s="57" t="str">
        <x:v>—</x:v>
      </x:c>
      <x:c r="Q863" s="57" t="str">
        <x:v>포함</x:v>
      </x:c>
      <x:c r="R863" s="57" t="str">
        <x:v>포함</x:v>
      </x:c>
    </x:row>
    <x:row r="864">
      <x:c r="A864" s="60" t="n">
        <x:v>860</x:v>
      </x:c>
      <x:c r="B864" s="56" t="str">
        <x:v>쏘겨모</x:v>
      </x:c>
      <x:c r="C864" s="56" t="str">
        <x:v>morgrem</x:v>
      </x:c>
      <x:c r="D864" s="56" t="str">
        <x:v>화산</x:v>
      </x:c>
      <x:c r="E864" s="56" t="str">
        <x:v>흔함</x:v>
      </x:c>
      <x:c r="F864" s="56" t="str">
        <x:v>아니오</x:v>
      </x:c>
      <x:c r="G864" s="56" t="str">
        <x:v>아니오</x:v>
      </x:c>
      <x:c r="H864" s="56" t="str">
        <x:v>예</x:v>
      </x:c>
      <x:c r="I864" s="56" t="str">
        <x:v>—</x:v>
      </x:c>
      <x:c r="J864" s="57" t="str">
        <x:v>—</x:v>
      </x:c>
      <x:c r="K864" s="57" t="str">
        <x:v>—</x:v>
      </x:c>
      <x:c r="L864" s="57" t="str">
        <x:v>—</x:v>
      </x:c>
      <x:c r="M864" s="57" t="str">
        <x:v>—</x:v>
      </x:c>
      <x:c r="N864" s="57" t="str">
        <x:v>—</x:v>
      </x:c>
      <x:c r="O864" s="57" t="str">
        <x:v>—</x:v>
      </x:c>
      <x:c r="P864" s="57" t="str">
        <x:v>—</x:v>
      </x:c>
      <x:c r="Q864" s="57" t="str">
        <x:v>포함</x:v>
      </x:c>
      <x:c r="R864" s="57" t="str">
        <x:v>포함</x:v>
      </x:c>
    </x:row>
    <x:row r="865">
      <x:c r="A865" s="60" t="n">
        <x:v>861</x:v>
      </x:c>
      <x:c r="B865" s="56" t="str">
        <x:v>오롱털</x:v>
      </x:c>
      <x:c r="C865" s="56" t="str">
        <x:v>grimmsnarl</x:v>
      </x:c>
      <x:c r="D865" s="56" t="str">
        <x:v>화산</x:v>
      </x:c>
      <x:c r="E865" s="56" t="str">
        <x:v>흔함</x:v>
      </x:c>
      <x:c r="F865" s="56" t="str">
        <x:v>아니오</x:v>
      </x:c>
      <x:c r="G865" s="56" t="str">
        <x:v>아니오</x:v>
      </x:c>
      <x:c r="H865" s="56" t="str">
        <x:v>예</x:v>
      </x:c>
      <x:c r="I865" s="56" t="str">
        <x:v>—</x:v>
      </x:c>
      <x:c r="J865" s="57" t="str">
        <x:v>—</x:v>
      </x:c>
      <x:c r="K865" s="57" t="str">
        <x:v>—</x:v>
      </x:c>
      <x:c r="L865" s="57" t="str">
        <x:v>—</x:v>
      </x:c>
      <x:c r="M865" s="57" t="str">
        <x:v>—</x:v>
      </x:c>
      <x:c r="N865" s="57" t="str">
        <x:v>—</x:v>
      </x:c>
      <x:c r="O865" s="57" t="str">
        <x:v>—</x:v>
      </x:c>
      <x:c r="P865" s="57" t="str">
        <x:v>—</x:v>
      </x:c>
      <x:c r="Q865" s="57" t="str">
        <x:v>포함</x:v>
      </x:c>
      <x:c r="R865" s="57" t="str">
        <x:v>포함</x:v>
      </x:c>
    </x:row>
    <x:row r="866">
      <x:c r="A866" s="60" t="n">
        <x:v>862</x:v>
      </x:c>
      <x:c r="B866" s="56" t="str">
        <x:v>가로막구리</x:v>
      </x:c>
      <x:c r="C866" s="56" t="str">
        <x:v>obstagoon</x:v>
      </x:c>
      <x:c r="D866" s="56" t="str">
        <x:v>숲</x:v>
      </x:c>
      <x:c r="E866" s="56" t="str">
        <x:v>흔함</x:v>
      </x:c>
      <x:c r="F866" s="56" t="str">
        <x:v>아니오</x:v>
      </x:c>
      <x:c r="G866" s="56" t="str">
        <x:v>아니오</x:v>
      </x:c>
      <x:c r="H866" s="56" t="str">
        <x:v>예</x:v>
      </x:c>
      <x:c r="I866" s="56" t="str">
        <x:v>—</x:v>
      </x:c>
      <x:c r="J866" s="57" t="str">
        <x:v>—</x:v>
      </x:c>
      <x:c r="K866" s="57" t="str">
        <x:v>—</x:v>
      </x:c>
      <x:c r="L866" s="57" t="str">
        <x:v>—</x:v>
      </x:c>
      <x:c r="M866" s="57" t="str">
        <x:v>—</x:v>
      </x:c>
      <x:c r="N866" s="57" t="str">
        <x:v>—</x:v>
      </x:c>
      <x:c r="O866" s="57" t="str">
        <x:v>—</x:v>
      </x:c>
      <x:c r="P866" s="57" t="str">
        <x:v>—</x:v>
      </x:c>
      <x:c r="Q866" s="57" t="str">
        <x:v>포함</x:v>
      </x:c>
      <x:c r="R866" s="57" t="str">
        <x:v>—</x:v>
      </x:c>
    </x:row>
    <x:row r="867">
      <x:c r="A867" s="60" t="n">
        <x:v>863</x:v>
      </x:c>
      <x:c r="B867" s="56" t="str">
        <x:v>나이킹</x:v>
      </x:c>
      <x:c r="C867" s="56" t="str">
        <x:v>perrserker</x:v>
      </x:c>
      <x:c r="D867" s="56" t="str">
        <x:v>숲</x:v>
      </x:c>
      <x:c r="E867" s="56" t="str">
        <x:v>흔함</x:v>
      </x:c>
      <x:c r="F867" s="56" t="str">
        <x:v>아니오</x:v>
      </x:c>
      <x:c r="G867" s="56" t="str">
        <x:v>아니오</x:v>
      </x:c>
      <x:c r="H867" s="56" t="str">
        <x:v>예</x:v>
      </x:c>
      <x:c r="I867" s="56" t="str">
        <x:v>—</x:v>
      </x:c>
      <x:c r="J867" s="57" t="str">
        <x:v>—</x:v>
      </x:c>
      <x:c r="K867" s="57" t="str">
        <x:v>—</x:v>
      </x:c>
      <x:c r="L867" s="57" t="str">
        <x:v>—</x:v>
      </x:c>
      <x:c r="M867" s="57" t="str">
        <x:v>—</x:v>
      </x:c>
      <x:c r="N867" s="57" t="str">
        <x:v>—</x:v>
      </x:c>
      <x:c r="O867" s="57" t="str">
        <x:v>—</x:v>
      </x:c>
      <x:c r="P867" s="57" t="str">
        <x:v>—</x:v>
      </x:c>
      <x:c r="Q867" s="57" t="str">
        <x:v>포함</x:v>
      </x:c>
      <x:c r="R867" s="57" t="str">
        <x:v>—</x:v>
      </x:c>
    </x:row>
    <x:row r="868">
      <x:c r="A868" s="60" t="n">
        <x:v>864</x:v>
      </x:c>
      <x:c r="B868" s="56" t="str">
        <x:v>산호르곤</x:v>
      </x:c>
      <x:c r="C868" s="56" t="str">
        <x:v>cursola</x:v>
      </x:c>
      <x:c r="D868" s="56" t="str">
        <x:v>해양</x:v>
      </x:c>
      <x:c r="E868" s="56" t="str">
        <x:v>보통</x:v>
      </x:c>
      <x:c r="F868" s="56" t="str">
        <x:v>아니오</x:v>
      </x:c>
      <x:c r="G868" s="56" t="str">
        <x:v>아니오</x:v>
      </x:c>
      <x:c r="H868" s="56" t="str">
        <x:v>예</x:v>
      </x:c>
      <x:c r="I868" s="56" t="str">
        <x:v>—</x:v>
      </x:c>
      <x:c r="J868" s="57" t="str">
        <x:v>—</x:v>
      </x:c>
      <x:c r="K868" s="57" t="str">
        <x:v>—</x:v>
      </x:c>
      <x:c r="L868" s="57" t="str">
        <x:v>—</x:v>
      </x:c>
      <x:c r="M868" s="57" t="str">
        <x:v>—</x:v>
      </x:c>
      <x:c r="N868" s="57" t="str">
        <x:v>—</x:v>
      </x:c>
      <x:c r="O868" s="57" t="str">
        <x:v>—</x:v>
      </x:c>
      <x:c r="P868" s="57" t="str">
        <x:v>—</x:v>
      </x:c>
      <x:c r="Q868" s="57" t="str">
        <x:v>포함</x:v>
      </x:c>
      <x:c r="R868" s="57" t="str">
        <x:v>—</x:v>
      </x:c>
    </x:row>
    <x:row r="869">
      <x:c r="A869" s="60" t="n">
        <x:v>865</x:v>
      </x:c>
      <x:c r="B869" s="56" t="str">
        <x:v>창파나이트</x:v>
      </x:c>
      <x:c r="C869" s="56" t="str">
        <x:v>sirfetchd</x:v>
      </x:c>
      <x:c r="D869" s="56" t="str">
        <x:v>숲</x:v>
      </x:c>
      <x:c r="E869" s="56" t="str">
        <x:v>드묾</x:v>
      </x:c>
      <x:c r="F869" s="56" t="str">
        <x:v>아니오</x:v>
      </x:c>
      <x:c r="G869" s="56" t="str">
        <x:v>아니오</x:v>
      </x:c>
      <x:c r="H869" s="56" t="str">
        <x:v>예</x:v>
      </x:c>
      <x:c r="I869" s="56" t="str">
        <x:v>—</x:v>
      </x:c>
      <x:c r="J869" s="57" t="str">
        <x:v>—</x:v>
      </x:c>
      <x:c r="K869" s="57" t="str">
        <x:v>—</x:v>
      </x:c>
      <x:c r="L869" s="57" t="str">
        <x:v>—</x:v>
      </x:c>
      <x:c r="M869" s="57" t="str">
        <x:v>—</x:v>
      </x:c>
      <x:c r="N869" s="57" t="str">
        <x:v>—</x:v>
      </x:c>
      <x:c r="O869" s="57" t="str">
        <x:v>—</x:v>
      </x:c>
      <x:c r="P869" s="57" t="str">
        <x:v>—</x:v>
      </x:c>
      <x:c r="Q869" s="57" t="str">
        <x:v>포함</x:v>
      </x:c>
      <x:c r="R869" s="57" t="str">
        <x:v>—</x:v>
      </x:c>
    </x:row>
    <x:row r="870">
      <x:c r="A870" s="60" t="n">
        <x:v>866</x:v>
      </x:c>
      <x:c r="B870" s="56" t="str">
        <x:v>마임꽁꽁</x:v>
      </x:c>
      <x:c r="C870" s="56" t="str">
        <x:v>mrrime</x:v>
      </x:c>
      <x:c r="D870" s="56" t="str">
        <x:v>설원</x:v>
      </x:c>
      <x:c r="E870" s="56" t="str">
        <x:v>보통</x:v>
      </x:c>
      <x:c r="F870" s="56" t="str">
        <x:v>아니오</x:v>
      </x:c>
      <x:c r="G870" s="56" t="str">
        <x:v>아니오</x:v>
      </x:c>
      <x:c r="H870" s="56" t="str">
        <x:v>예</x:v>
      </x:c>
      <x:c r="I870" s="56" t="str">
        <x:v>—</x:v>
      </x:c>
      <x:c r="J870" s="57" t="str">
        <x:v>—</x:v>
      </x:c>
      <x:c r="K870" s="57" t="str">
        <x:v>—</x:v>
      </x:c>
      <x:c r="L870" s="57" t="str">
        <x:v>—</x:v>
      </x:c>
      <x:c r="M870" s="57" t="str">
        <x:v>—</x:v>
      </x:c>
      <x:c r="N870" s="57" t="str">
        <x:v>—</x:v>
      </x:c>
      <x:c r="O870" s="57" t="str">
        <x:v>—</x:v>
      </x:c>
      <x:c r="P870" s="57" t="str">
        <x:v>—</x:v>
      </x:c>
      <x:c r="Q870" s="57" t="str">
        <x:v>포함</x:v>
      </x:c>
      <x:c r="R870" s="57" t="str">
        <x:v>—</x:v>
      </x:c>
    </x:row>
    <x:row r="871">
      <x:c r="A871" s="60" t="n">
        <x:v>867</x:v>
      </x:c>
      <x:c r="B871" s="56" t="str">
        <x:v>데스판</x:v>
      </x:c>
      <x:c r="C871" s="56" t="str">
        <x:v>runerigus</x:v>
      </x:c>
      <x:c r="D871" s="56" t="str">
        <x:v>특수</x:v>
      </x:c>
      <x:c r="E871" s="56" t="str">
        <x:v>보통</x:v>
      </x:c>
      <x:c r="F871" s="56" t="str">
        <x:v>아니오</x:v>
      </x:c>
      <x:c r="G871" s="56" t="str">
        <x:v>아니오</x:v>
      </x:c>
      <x:c r="H871" s="56" t="str">
        <x:v>예</x:v>
      </x:c>
      <x:c r="I871" s="56" t="str">
        <x:v>—</x:v>
      </x:c>
      <x:c r="J871" s="57" t="str">
        <x:v>—</x:v>
      </x:c>
      <x:c r="K871" s="57" t="str">
        <x:v>—</x:v>
      </x:c>
      <x:c r="L871" s="57" t="str">
        <x:v>—</x:v>
      </x:c>
      <x:c r="M871" s="57" t="str">
        <x:v>—</x:v>
      </x:c>
      <x:c r="N871" s="57" t="str">
        <x:v>—</x:v>
      </x:c>
      <x:c r="O871" s="57" t="str">
        <x:v>—</x:v>
      </x:c>
      <x:c r="P871" s="57" t="str">
        <x:v>—</x:v>
      </x:c>
      <x:c r="Q871" s="57" t="str">
        <x:v>포함</x:v>
      </x:c>
      <x:c r="R871" s="57" t="str">
        <x:v>—</x:v>
      </x:c>
    </x:row>
    <x:row r="872">
      <x:c r="A872" s="60" t="n">
        <x:v>868</x:v>
      </x:c>
      <x:c r="B872" s="56" t="str">
        <x:v>마빌크</x:v>
      </x:c>
      <x:c r="C872" s="56" t="str">
        <x:v>milcery</x:v>
      </x:c>
      <x:c r="D872" s="56" t="str">
        <x:v>평원</x:v>
      </x:c>
      <x:c r="E872" s="56" t="str">
        <x:v>보통</x:v>
      </x:c>
      <x:c r="F872" s="56" t="str">
        <x:v>아니오</x:v>
      </x:c>
      <x:c r="G872" s="56" t="str">
        <x:v>아니오</x:v>
      </x:c>
      <x:c r="H872" s="56" t="str">
        <x:v>예</x:v>
      </x:c>
      <x:c r="I872" s="56" t="str">
        <x:v>—</x:v>
      </x:c>
      <x:c r="J872" s="57" t="str">
        <x:v>—</x:v>
      </x:c>
      <x:c r="K872" s="57" t="str">
        <x:v>—</x:v>
      </x:c>
      <x:c r="L872" s="57" t="str">
        <x:v>—</x:v>
      </x:c>
      <x:c r="M872" s="57" t="str">
        <x:v>—</x:v>
      </x:c>
      <x:c r="N872" s="57" t="str">
        <x:v>—</x:v>
      </x:c>
      <x:c r="O872" s="57" t="str">
        <x:v>—</x:v>
      </x:c>
      <x:c r="P872" s="57" t="str">
        <x:v>—</x:v>
      </x:c>
      <x:c r="Q872" s="57" t="str">
        <x:v>포함</x:v>
      </x:c>
      <x:c r="R872" s="57" t="str">
        <x:v>포함</x:v>
      </x:c>
    </x:row>
    <x:row r="873">
      <x:c r="A873" s="60" t="n">
        <x:v>869</x:v>
      </x:c>
      <x:c r="B873" s="56" t="str">
        <x:v>마휘핑</x:v>
      </x:c>
      <x:c r="C873" s="56" t="str">
        <x:v>alcremie</x:v>
      </x:c>
      <x:c r="D873" s="56" t="str">
        <x:v>평원</x:v>
      </x:c>
      <x:c r="E873" s="56" t="str">
        <x:v>보통</x:v>
      </x:c>
      <x:c r="F873" s="56" t="str">
        <x:v>아니오</x:v>
      </x:c>
      <x:c r="G873" s="56" t="str">
        <x:v>아니오</x:v>
      </x:c>
      <x:c r="H873" s="56" t="str">
        <x:v>예</x:v>
      </x:c>
      <x:c r="I873" s="56" t="str">
        <x:v>—</x:v>
      </x:c>
      <x:c r="J873" s="57" t="str">
        <x:v>—</x:v>
      </x:c>
      <x:c r="K873" s="57" t="str">
        <x:v>—</x:v>
      </x:c>
      <x:c r="L873" s="57" t="str">
        <x:v>—</x:v>
      </x:c>
      <x:c r="M873" s="57" t="str">
        <x:v>—</x:v>
      </x:c>
      <x:c r="N873" s="57" t="str">
        <x:v>—</x:v>
      </x:c>
      <x:c r="O873" s="57" t="str">
        <x:v>—</x:v>
      </x:c>
      <x:c r="P873" s="57" t="str">
        <x:v>—</x:v>
      </x:c>
      <x:c r="Q873" s="57" t="str">
        <x:v>포함</x:v>
      </x:c>
      <x:c r="R873" s="57" t="str">
        <x:v>포함</x:v>
      </x:c>
    </x:row>
    <x:row r="874">
      <x:c r="A874" s="60" t="n">
        <x:v>870</x:v>
      </x:c>
      <x:c r="B874" s="56" t="str">
        <x:v>대여르</x:v>
      </x:c>
      <x:c r="C874" s="56" t="str">
        <x:v>falinks</x:v>
      </x:c>
      <x:c r="D874" s="56" t="str">
        <x:v>화산</x:v>
      </x:c>
      <x:c r="E874" s="56" t="str">
        <x:v>보통</x:v>
      </x:c>
      <x:c r="F874" s="56" t="str">
        <x:v>아니오</x:v>
      </x:c>
      <x:c r="G874" s="56" t="str">
        <x:v>아니오</x:v>
      </x:c>
      <x:c r="H874" s="56" t="str">
        <x:v>예</x:v>
      </x:c>
      <x:c r="I874" s="56" t="str">
        <x:v>—</x:v>
      </x:c>
      <x:c r="J874" s="57" t="str">
        <x:v>—</x:v>
      </x:c>
      <x:c r="K874" s="57" t="str">
        <x:v>—</x:v>
      </x:c>
      <x:c r="L874" s="57" t="str">
        <x:v>—</x:v>
      </x:c>
      <x:c r="M874" s="57" t="str">
        <x:v>—</x:v>
      </x:c>
      <x:c r="N874" s="57" t="str">
        <x:v>—</x:v>
      </x:c>
      <x:c r="O874" s="57" t="str">
        <x:v>—</x:v>
      </x:c>
      <x:c r="P874" s="57" t="str">
        <x:v>—</x:v>
      </x:c>
      <x:c r="Q874" s="57" t="str">
        <x:v>포함</x:v>
      </x:c>
      <x:c r="R874" s="57" t="str">
        <x:v>포함</x:v>
      </x:c>
    </x:row>
    <x:row r="875">
      <x:c r="A875" s="60" t="n">
        <x:v>871</x:v>
      </x:c>
      <x:c r="B875" s="56" t="str">
        <x:v>찌르성게</x:v>
      </x:c>
      <x:c r="C875" s="56" t="str">
        <x:v>pincurchin</x:v>
      </x:c>
      <x:c r="D875" s="56" t="str">
        <x:v>해양</x:v>
      </x:c>
      <x:c r="E875" s="56" t="str">
        <x:v>보통</x:v>
      </x:c>
      <x:c r="F875" s="56" t="str">
        <x:v>아니오</x:v>
      </x:c>
      <x:c r="G875" s="56" t="str">
        <x:v>아니오</x:v>
      </x:c>
      <x:c r="H875" s="56" t="str">
        <x:v>예</x:v>
      </x:c>
      <x:c r="I875" s="56" t="str">
        <x:v>—</x:v>
      </x:c>
      <x:c r="J875" s="57" t="str">
        <x:v>—</x:v>
      </x:c>
      <x:c r="K875" s="57" t="str">
        <x:v>—</x:v>
      </x:c>
      <x:c r="L875" s="57" t="str">
        <x:v>—</x:v>
      </x:c>
      <x:c r="M875" s="57" t="str">
        <x:v>—</x:v>
      </x:c>
      <x:c r="N875" s="57" t="str">
        <x:v>—</x:v>
      </x:c>
      <x:c r="O875" s="57" t="str">
        <x:v>—</x:v>
      </x:c>
      <x:c r="P875" s="57" t="str">
        <x:v>—</x:v>
      </x:c>
      <x:c r="Q875" s="57" t="str">
        <x:v>포함</x:v>
      </x:c>
      <x:c r="R875" s="57" t="str">
        <x:v>포함</x:v>
      </x:c>
    </x:row>
    <x:row r="876">
      <x:c r="A876" s="60" t="n">
        <x:v>872</x:v>
      </x:c>
      <x:c r="B876" s="56" t="str">
        <x:v>누니머기</x:v>
      </x:c>
      <x:c r="C876" s="56" t="str">
        <x:v>snom</x:v>
      </x:c>
      <x:c r="D876" s="56" t="str">
        <x:v>숲</x:v>
      </x:c>
      <x:c r="E876" s="56" t="str">
        <x:v>흔함</x:v>
      </x:c>
      <x:c r="F876" s="56" t="str">
        <x:v>아니오</x:v>
      </x:c>
      <x:c r="G876" s="56" t="str">
        <x:v>아니오</x:v>
      </x:c>
      <x:c r="H876" s="56" t="str">
        <x:v>예</x:v>
      </x:c>
      <x:c r="I876" s="56" t="str">
        <x:v>—</x:v>
      </x:c>
      <x:c r="J876" s="57" t="str">
        <x:v>—</x:v>
      </x:c>
      <x:c r="K876" s="57" t="str">
        <x:v>—</x:v>
      </x:c>
      <x:c r="L876" s="57" t="str">
        <x:v>—</x:v>
      </x:c>
      <x:c r="M876" s="57" t="str">
        <x:v>—</x:v>
      </x:c>
      <x:c r="N876" s="57" t="str">
        <x:v>—</x:v>
      </x:c>
      <x:c r="O876" s="57" t="str">
        <x:v>—</x:v>
      </x:c>
      <x:c r="P876" s="57" t="str">
        <x:v>—</x:v>
      </x:c>
      <x:c r="Q876" s="57" t="str">
        <x:v>포함</x:v>
      </x:c>
      <x:c r="R876" s="57" t="str">
        <x:v>포함</x:v>
      </x:c>
    </x:row>
    <x:row r="877">
      <x:c r="A877" s="60" t="n">
        <x:v>873</x:v>
      </x:c>
      <x:c r="B877" s="56" t="str">
        <x:v>모스노우</x:v>
      </x:c>
      <x:c r="C877" s="56" t="str">
        <x:v>frosmoth</x:v>
      </x:c>
      <x:c r="D877" s="56" t="str">
        <x:v>숲</x:v>
      </x:c>
      <x:c r="E877" s="56" t="str">
        <x:v>보통</x:v>
      </x:c>
      <x:c r="F877" s="56" t="str">
        <x:v>아니오</x:v>
      </x:c>
      <x:c r="G877" s="56" t="str">
        <x:v>아니오</x:v>
      </x:c>
      <x:c r="H877" s="56" t="str">
        <x:v>예</x:v>
      </x:c>
      <x:c r="I877" s="56" t="str">
        <x:v>—</x:v>
      </x:c>
      <x:c r="J877" s="57" t="str">
        <x:v>—</x:v>
      </x:c>
      <x:c r="K877" s="57" t="str">
        <x:v>—</x:v>
      </x:c>
      <x:c r="L877" s="57" t="str">
        <x:v>—</x:v>
      </x:c>
      <x:c r="M877" s="57" t="str">
        <x:v>—</x:v>
      </x:c>
      <x:c r="N877" s="57" t="str">
        <x:v>—</x:v>
      </x:c>
      <x:c r="O877" s="57" t="str">
        <x:v>—</x:v>
      </x:c>
      <x:c r="P877" s="57" t="str">
        <x:v>—</x:v>
      </x:c>
      <x:c r="Q877" s="57" t="str">
        <x:v>포함</x:v>
      </x:c>
      <x:c r="R877" s="57" t="str">
        <x:v>포함</x:v>
      </x:c>
    </x:row>
    <x:row r="878">
      <x:c r="A878" s="60" t="n">
        <x:v>874</x:v>
      </x:c>
      <x:c r="B878" s="56" t="str">
        <x:v>돌헨진</x:v>
      </x:c>
      <x:c r="C878" s="56" t="str">
        <x:v>stonjourner</x:v>
      </x:c>
      <x:c r="D878" s="56" t="str">
        <x:v>평원</x:v>
      </x:c>
      <x:c r="E878" s="56" t="str">
        <x:v>보통</x:v>
      </x:c>
      <x:c r="F878" s="56" t="str">
        <x:v>아니오</x:v>
      </x:c>
      <x:c r="G878" s="56" t="str">
        <x:v>아니오</x:v>
      </x:c>
      <x:c r="H878" s="56" t="str">
        <x:v>예</x:v>
      </x:c>
      <x:c r="I878" s="56" t="str">
        <x:v>—</x:v>
      </x:c>
      <x:c r="J878" s="57" t="str">
        <x:v>—</x:v>
      </x:c>
      <x:c r="K878" s="57" t="str">
        <x:v>—</x:v>
      </x:c>
      <x:c r="L878" s="57" t="str">
        <x:v>—</x:v>
      </x:c>
      <x:c r="M878" s="57" t="str">
        <x:v>—</x:v>
      </x:c>
      <x:c r="N878" s="57" t="str">
        <x:v>—</x:v>
      </x:c>
      <x:c r="O878" s="57" t="str">
        <x:v>—</x:v>
      </x:c>
      <x:c r="P878" s="57" t="str">
        <x:v>—</x:v>
      </x:c>
      <x:c r="Q878" s="57" t="str">
        <x:v>포함</x:v>
      </x:c>
      <x:c r="R878" s="57" t="str">
        <x:v>포함</x:v>
      </x:c>
    </x:row>
    <x:row r="879">
      <x:c r="A879" s="60" t="n">
        <x:v>875</x:v>
      </x:c>
      <x:c r="B879" s="56" t="str">
        <x:v>빙큐보</x:v>
      </x:c>
      <x:c r="C879" s="56" t="str">
        <x:v>eiscue</x:v>
      </x:c>
      <x:c r="D879" s="56" t="str">
        <x:v>설원</x:v>
      </x:c>
      <x:c r="E879" s="56" t="str">
        <x:v>흔함</x:v>
      </x:c>
      <x:c r="F879" s="56" t="str">
        <x:v>아니오</x:v>
      </x:c>
      <x:c r="G879" s="56" t="str">
        <x:v>아니오</x:v>
      </x:c>
      <x:c r="H879" s="56" t="str">
        <x:v>예</x:v>
      </x:c>
      <x:c r="I879" s="56" t="str">
        <x:v>—</x:v>
      </x:c>
      <x:c r="J879" s="57" t="str">
        <x:v>—</x:v>
      </x:c>
      <x:c r="K879" s="57" t="str">
        <x:v>—</x:v>
      </x:c>
      <x:c r="L879" s="57" t="str">
        <x:v>—</x:v>
      </x:c>
      <x:c r="M879" s="57" t="str">
        <x:v>—</x:v>
      </x:c>
      <x:c r="N879" s="57" t="str">
        <x:v>—</x:v>
      </x:c>
      <x:c r="O879" s="57" t="str">
        <x:v>—</x:v>
      </x:c>
      <x:c r="P879" s="57" t="str">
        <x:v>—</x:v>
      </x:c>
      <x:c r="Q879" s="57" t="str">
        <x:v>포함</x:v>
      </x:c>
      <x:c r="R879" s="57" t="str">
        <x:v>포함</x:v>
      </x:c>
    </x:row>
    <x:row r="880">
      <x:c r="A880" s="60" t="n">
        <x:v>876</x:v>
      </x:c>
      <x:c r="B880" s="56" t="str">
        <x:v>에써르</x:v>
      </x:c>
      <x:c r="C880" s="56" t="str">
        <x:v>indeedee</x:v>
      </x:c>
      <x:c r="D880" s="56" t="str">
        <x:v>평원</x:v>
      </x:c>
      <x:c r="E880" s="56" t="str">
        <x:v>드묾</x:v>
      </x:c>
      <x:c r="F880" s="56" t="str">
        <x:v>아니오</x:v>
      </x:c>
      <x:c r="G880" s="56" t="str">
        <x:v>아니오</x:v>
      </x:c>
      <x:c r="H880" s="56" t="str">
        <x:v>예</x:v>
      </x:c>
      <x:c r="I880" s="56" t="str">
        <x:v>—</x:v>
      </x:c>
      <x:c r="J880" s="57" t="str">
        <x:v>—</x:v>
      </x:c>
      <x:c r="K880" s="57" t="str">
        <x:v>—</x:v>
      </x:c>
      <x:c r="L880" s="57" t="str">
        <x:v>—</x:v>
      </x:c>
      <x:c r="M880" s="57" t="str">
        <x:v>—</x:v>
      </x:c>
      <x:c r="N880" s="57" t="str">
        <x:v>—</x:v>
      </x:c>
      <x:c r="O880" s="57" t="str">
        <x:v>—</x:v>
      </x:c>
      <x:c r="P880" s="57" t="str">
        <x:v>—</x:v>
      </x:c>
      <x:c r="Q880" s="57" t="str">
        <x:v>포함</x:v>
      </x:c>
      <x:c r="R880" s="57" t="str">
        <x:v>포함</x:v>
      </x:c>
    </x:row>
    <x:row r="881">
      <x:c r="A881" s="60" t="n">
        <x:v>877</x:v>
      </x:c>
      <x:c r="B881" s="56" t="str">
        <x:v>모르페코</x:v>
      </x:c>
      <x:c r="C881" s="56" t="str">
        <x:v>morpeko</x:v>
      </x:c>
      <x:c r="D881" s="56" t="str">
        <x:v>숲</x:v>
      </x:c>
      <x:c r="E881" s="56" t="str">
        <x:v>보통</x:v>
      </x:c>
      <x:c r="F881" s="56" t="str">
        <x:v>아니오</x:v>
      </x:c>
      <x:c r="G881" s="56" t="str">
        <x:v>아니오</x:v>
      </x:c>
      <x:c r="H881" s="56" t="str">
        <x:v>예</x:v>
      </x:c>
      <x:c r="I881" s="56" t="str">
        <x:v>—</x:v>
      </x:c>
      <x:c r="J881" s="57" t="str">
        <x:v>—</x:v>
      </x:c>
      <x:c r="K881" s="57" t="str">
        <x:v>—</x:v>
      </x:c>
      <x:c r="L881" s="57" t="str">
        <x:v>—</x:v>
      </x:c>
      <x:c r="M881" s="57" t="str">
        <x:v>—</x:v>
      </x:c>
      <x:c r="N881" s="57" t="str">
        <x:v>—</x:v>
      </x:c>
      <x:c r="O881" s="57" t="str">
        <x:v>—</x:v>
      </x:c>
      <x:c r="P881" s="57" t="str">
        <x:v>—</x:v>
      </x:c>
      <x:c r="Q881" s="57" t="str">
        <x:v>포함</x:v>
      </x:c>
      <x:c r="R881" s="57" t="str">
        <x:v>포함</x:v>
      </x:c>
    </x:row>
    <x:row r="882">
      <x:c r="A882" s="60" t="n">
        <x:v>878</x:v>
      </x:c>
      <x:c r="B882" s="56" t="str">
        <x:v>끼리동</x:v>
      </x:c>
      <x:c r="C882" s="56" t="str">
        <x:v>cufant</x:v>
      </x:c>
      <x:c r="D882" s="56" t="str">
        <x:v>산악</x:v>
      </x:c>
      <x:c r="E882" s="56" t="str">
        <x:v>보통</x:v>
      </x:c>
      <x:c r="F882" s="56" t="str">
        <x:v>아니오</x:v>
      </x:c>
      <x:c r="G882" s="56" t="str">
        <x:v>아니오</x:v>
      </x:c>
      <x:c r="H882" s="56" t="str">
        <x:v>예</x:v>
      </x:c>
      <x:c r="I882" s="56" t="str">
        <x:v>—</x:v>
      </x:c>
      <x:c r="J882" s="57" t="str">
        <x:v>—</x:v>
      </x:c>
      <x:c r="K882" s="57" t="str">
        <x:v>—</x:v>
      </x:c>
      <x:c r="L882" s="57" t="str">
        <x:v>—</x:v>
      </x:c>
      <x:c r="M882" s="57" t="str">
        <x:v>—</x:v>
      </x:c>
      <x:c r="N882" s="57" t="str">
        <x:v>—</x:v>
      </x:c>
      <x:c r="O882" s="57" t="str">
        <x:v>—</x:v>
      </x:c>
      <x:c r="P882" s="57" t="str">
        <x:v>—</x:v>
      </x:c>
      <x:c r="Q882" s="57" t="str">
        <x:v>포함</x:v>
      </x:c>
      <x:c r="R882" s="57" t="str">
        <x:v>포함</x:v>
      </x:c>
    </x:row>
    <x:row r="883">
      <x:c r="A883" s="60" t="n">
        <x:v>879</x:v>
      </x:c>
      <x:c r="B883" s="56" t="str">
        <x:v>대왕끼리동</x:v>
      </x:c>
      <x:c r="C883" s="56" t="str">
        <x:v>copperajah</x:v>
      </x:c>
      <x:c r="D883" s="56" t="str">
        <x:v>산악</x:v>
      </x:c>
      <x:c r="E883" s="56" t="str">
        <x:v>보통</x:v>
      </x:c>
      <x:c r="F883" s="56" t="str">
        <x:v>아니오</x:v>
      </x:c>
      <x:c r="G883" s="56" t="str">
        <x:v>아니오</x:v>
      </x:c>
      <x:c r="H883" s="56" t="str">
        <x:v>예</x:v>
      </x:c>
      <x:c r="I883" s="56" t="str">
        <x:v>—</x:v>
      </x:c>
      <x:c r="J883" s="57" t="str">
        <x:v>—</x:v>
      </x:c>
      <x:c r="K883" s="57" t="str">
        <x:v>—</x:v>
      </x:c>
      <x:c r="L883" s="57" t="str">
        <x:v>—</x:v>
      </x:c>
      <x:c r="M883" s="57" t="str">
        <x:v>—</x:v>
      </x:c>
      <x:c r="N883" s="57" t="str">
        <x:v>—</x:v>
      </x:c>
      <x:c r="O883" s="57" t="str">
        <x:v>—</x:v>
      </x:c>
      <x:c r="P883" s="57" t="str">
        <x:v>—</x:v>
      </x:c>
      <x:c r="Q883" s="57" t="str">
        <x:v>포함</x:v>
      </x:c>
      <x:c r="R883" s="57" t="str">
        <x:v>포함</x:v>
      </x:c>
    </x:row>
    <x:row r="884">
      <x:c r="A884" s="60" t="n">
        <x:v>880</x:v>
      </x:c>
      <x:c r="B884" s="56" t="str">
        <x:v>파치래곤</x:v>
      </x:c>
      <x:c r="C884" s="56" t="str">
        <x:v>dracozolt</x:v>
      </x:c>
      <x:c r="D884" s="56" t="str">
        <x:v>평원</x:v>
      </x:c>
      <x:c r="E884" s="56" t="str">
        <x:v>희귀</x:v>
      </x:c>
      <x:c r="F884" s="56" t="str">
        <x:v>아니오</x:v>
      </x:c>
      <x:c r="G884" s="56" t="str">
        <x:v>아니오</x:v>
      </x:c>
      <x:c r="H884" s="56" t="str">
        <x:v>예</x:v>
      </x:c>
      <x:c r="I884" s="56" t="str">
        <x:v>—</x:v>
      </x:c>
      <x:c r="J884" s="57" t="str">
        <x:v>—</x:v>
      </x:c>
      <x:c r="K884" s="57" t="str">
        <x:v>—</x:v>
      </x:c>
      <x:c r="L884" s="57" t="str">
        <x:v>—</x:v>
      </x:c>
      <x:c r="M884" s="57" t="str">
        <x:v>—</x:v>
      </x:c>
      <x:c r="N884" s="57" t="str">
        <x:v>—</x:v>
      </x:c>
      <x:c r="O884" s="57" t="str">
        <x:v>—</x:v>
      </x:c>
      <x:c r="P884" s="57" t="str">
        <x:v>—</x:v>
      </x:c>
      <x:c r="Q884" s="57" t="str">
        <x:v>포함</x:v>
      </x:c>
      <x:c r="R884" s="57" t="str">
        <x:v>—</x:v>
      </x:c>
    </x:row>
    <x:row r="885">
      <x:c r="A885" s="60" t="n">
        <x:v>881</x:v>
      </x:c>
      <x:c r="B885" s="56" t="str">
        <x:v>파치르돈</x:v>
      </x:c>
      <x:c r="C885" s="56" t="str">
        <x:v>arctozolt</x:v>
      </x:c>
      <x:c r="D885" s="56" t="str">
        <x:v>설원</x:v>
      </x:c>
      <x:c r="E885" s="56" t="str">
        <x:v>희귀</x:v>
      </x:c>
      <x:c r="F885" s="56" t="str">
        <x:v>아니오</x:v>
      </x:c>
      <x:c r="G885" s="56" t="str">
        <x:v>아니오</x:v>
      </x:c>
      <x:c r="H885" s="56" t="str">
        <x:v>예</x:v>
      </x:c>
      <x:c r="I885" s="56" t="str">
        <x:v>—</x:v>
      </x:c>
      <x:c r="J885" s="57" t="str">
        <x:v>—</x:v>
      </x:c>
      <x:c r="K885" s="57" t="str">
        <x:v>—</x:v>
      </x:c>
      <x:c r="L885" s="57" t="str">
        <x:v>—</x:v>
      </x:c>
      <x:c r="M885" s="57" t="str">
        <x:v>—</x:v>
      </x:c>
      <x:c r="N885" s="57" t="str">
        <x:v>—</x:v>
      </x:c>
      <x:c r="O885" s="57" t="str">
        <x:v>—</x:v>
      </x:c>
      <x:c r="P885" s="57" t="str">
        <x:v>—</x:v>
      </x:c>
      <x:c r="Q885" s="57" t="str">
        <x:v>포함</x:v>
      </x:c>
      <x:c r="R885" s="57" t="str">
        <x:v>—</x:v>
      </x:c>
    </x:row>
    <x:row r="886">
      <x:c r="A886" s="60" t="n">
        <x:v>882</x:v>
      </x:c>
      <x:c r="B886" s="56" t="str">
        <x:v>어래곤</x:v>
      </x:c>
      <x:c r="C886" s="56" t="str">
        <x:v>dracovish</x:v>
      </x:c>
      <x:c r="D886" s="56" t="str">
        <x:v>담수</x:v>
      </x:c>
      <x:c r="E886" s="56" t="str">
        <x:v>희귀</x:v>
      </x:c>
      <x:c r="F886" s="56" t="str">
        <x:v>아니오</x:v>
      </x:c>
      <x:c r="G886" s="56" t="str">
        <x:v>아니오</x:v>
      </x:c>
      <x:c r="H886" s="56" t="str">
        <x:v>예</x:v>
      </x:c>
      <x:c r="I886" s="56" t="str">
        <x:v>—</x:v>
      </x:c>
      <x:c r="J886" s="57" t="str">
        <x:v>—</x:v>
      </x:c>
      <x:c r="K886" s="57" t="str">
        <x:v>—</x:v>
      </x:c>
      <x:c r="L886" s="57" t="str">
        <x:v>—</x:v>
      </x:c>
      <x:c r="M886" s="57" t="str">
        <x:v>—</x:v>
      </x:c>
      <x:c r="N886" s="57" t="str">
        <x:v>—</x:v>
      </x:c>
      <x:c r="O886" s="57" t="str">
        <x:v>—</x:v>
      </x:c>
      <x:c r="P886" s="57" t="str">
        <x:v>—</x:v>
      </x:c>
      <x:c r="Q886" s="57" t="str">
        <x:v>포함</x:v>
      </x:c>
      <x:c r="R886" s="57" t="str">
        <x:v>—</x:v>
      </x:c>
    </x:row>
    <x:row r="887">
      <x:c r="A887" s="60" t="n">
        <x:v>883</x:v>
      </x:c>
      <x:c r="B887" s="56" t="str">
        <x:v>어치르돈</x:v>
      </x:c>
      <x:c r="C887" s="56" t="str">
        <x:v>arctovish</x:v>
      </x:c>
      <x:c r="D887" s="56" t="str">
        <x:v>설원</x:v>
      </x:c>
      <x:c r="E887" s="56" t="str">
        <x:v>희귀</x:v>
      </x:c>
      <x:c r="F887" s="56" t="str">
        <x:v>아니오</x:v>
      </x:c>
      <x:c r="G887" s="56" t="str">
        <x:v>아니오</x:v>
      </x:c>
      <x:c r="H887" s="56" t="str">
        <x:v>예</x:v>
      </x:c>
      <x:c r="I887" s="56" t="str">
        <x:v>—</x:v>
      </x:c>
      <x:c r="J887" s="57" t="str">
        <x:v>—</x:v>
      </x:c>
      <x:c r="K887" s="57" t="str">
        <x:v>—</x:v>
      </x:c>
      <x:c r="L887" s="57" t="str">
        <x:v>—</x:v>
      </x:c>
      <x:c r="M887" s="57" t="str">
        <x:v>—</x:v>
      </x:c>
      <x:c r="N887" s="57" t="str">
        <x:v>—</x:v>
      </x:c>
      <x:c r="O887" s="57" t="str">
        <x:v>—</x:v>
      </x:c>
      <x:c r="P887" s="57" t="str">
        <x:v>—</x:v>
      </x:c>
      <x:c r="Q887" s="57" t="str">
        <x:v>포함</x:v>
      </x:c>
      <x:c r="R887" s="57" t="str">
        <x:v>—</x:v>
      </x:c>
    </x:row>
    <x:row r="888">
      <x:c r="A888" s="60" t="n">
        <x:v>884</x:v>
      </x:c>
      <x:c r="B888" s="56" t="str">
        <x:v>두랄루돈</x:v>
      </x:c>
      <x:c r="C888" s="56" t="str">
        <x:v>duraludon</x:v>
      </x:c>
      <x:c r="D888" s="56" t="str">
        <x:v>평원</x:v>
      </x:c>
      <x:c r="E888" s="56" t="str">
        <x:v>드묾</x:v>
      </x:c>
      <x:c r="F888" s="56" t="str">
        <x:v>아니오</x:v>
      </x:c>
      <x:c r="G888" s="56" t="str">
        <x:v>아니오</x:v>
      </x:c>
      <x:c r="H888" s="56" t="str">
        <x:v>예</x:v>
      </x:c>
      <x:c r="I888" s="56" t="str">
        <x:v>—</x:v>
      </x:c>
      <x:c r="J888" s="57" t="str">
        <x:v>—</x:v>
      </x:c>
      <x:c r="K888" s="57" t="str">
        <x:v>—</x:v>
      </x:c>
      <x:c r="L888" s="57" t="str">
        <x:v>—</x:v>
      </x:c>
      <x:c r="M888" s="57" t="str">
        <x:v>—</x:v>
      </x:c>
      <x:c r="N888" s="57" t="str">
        <x:v>—</x:v>
      </x:c>
      <x:c r="O888" s="57" t="str">
        <x:v>—</x:v>
      </x:c>
      <x:c r="P888" s="57" t="str">
        <x:v>—</x:v>
      </x:c>
      <x:c r="Q888" s="57" t="str">
        <x:v>포함</x:v>
      </x:c>
      <x:c r="R888" s="57" t="str">
        <x:v>포함</x:v>
      </x:c>
    </x:row>
    <x:row r="889">
      <x:c r="A889" s="60" t="n">
        <x:v>885</x:v>
      </x:c>
      <x:c r="B889" s="56" t="str">
        <x:v>드라꼰</x:v>
      </x:c>
      <x:c r="C889" s="56" t="str">
        <x:v>dreepy</x:v>
      </x:c>
      <x:c r="D889" s="56" t="str">
        <x:v>해양</x:v>
      </x:c>
      <x:c r="E889" s="56" t="str">
        <x:v>희귀</x:v>
      </x:c>
      <x:c r="F889" s="56" t="str">
        <x:v>아니오</x:v>
      </x:c>
      <x:c r="G889" s="56" t="str">
        <x:v>아니오</x:v>
      </x:c>
      <x:c r="H889" s="56" t="str">
        <x:v>예</x:v>
      </x:c>
      <x:c r="I889" s="56" t="str">
        <x:v>—</x:v>
      </x:c>
      <x:c r="J889" s="57" t="str">
        <x:v>—</x:v>
      </x:c>
      <x:c r="K889" s="57" t="str">
        <x:v>—</x:v>
      </x:c>
      <x:c r="L889" s="57" t="str">
        <x:v>—</x:v>
      </x:c>
      <x:c r="M889" s="57" t="str">
        <x:v>—</x:v>
      </x:c>
      <x:c r="N889" s="57" t="str">
        <x:v>—</x:v>
      </x:c>
      <x:c r="O889" s="57" t="str">
        <x:v>—</x:v>
      </x:c>
      <x:c r="P889" s="57" t="str">
        <x:v>—</x:v>
      </x:c>
      <x:c r="Q889" s="57" t="str">
        <x:v>포함</x:v>
      </x:c>
      <x:c r="R889" s="57" t="str">
        <x:v>포함</x:v>
      </x:c>
    </x:row>
    <x:row r="890">
      <x:c r="A890" s="60" t="n">
        <x:v>886</x:v>
      </x:c>
      <x:c r="B890" s="56" t="str">
        <x:v>드래런치</x:v>
      </x:c>
      <x:c r="C890" s="56" t="str">
        <x:v>drakloak</x:v>
      </x:c>
      <x:c r="D890" s="56" t="str">
        <x:v>해양</x:v>
      </x:c>
      <x:c r="E890" s="56" t="str">
        <x:v>희귀</x:v>
      </x:c>
      <x:c r="F890" s="56" t="str">
        <x:v>아니오</x:v>
      </x:c>
      <x:c r="G890" s="56" t="str">
        <x:v>아니오</x:v>
      </x:c>
      <x:c r="H890" s="56" t="str">
        <x:v>예</x:v>
      </x:c>
      <x:c r="I890" s="56" t="str">
        <x:v>—</x:v>
      </x:c>
      <x:c r="J890" s="57" t="str">
        <x:v>—</x:v>
      </x:c>
      <x:c r="K890" s="57" t="str">
        <x:v>—</x:v>
      </x:c>
      <x:c r="L890" s="57" t="str">
        <x:v>—</x:v>
      </x:c>
      <x:c r="M890" s="57" t="str">
        <x:v>—</x:v>
      </x:c>
      <x:c r="N890" s="57" t="str">
        <x:v>—</x:v>
      </x:c>
      <x:c r="O890" s="57" t="str">
        <x:v>—</x:v>
      </x:c>
      <x:c r="P890" s="57" t="str">
        <x:v>—</x:v>
      </x:c>
      <x:c r="Q890" s="57" t="str">
        <x:v>포함</x:v>
      </x:c>
      <x:c r="R890" s="57" t="str">
        <x:v>포함</x:v>
      </x:c>
    </x:row>
    <x:row r="891">
      <x:c r="A891" s="60" t="n">
        <x:v>887</x:v>
      </x:c>
      <x:c r="B891" s="56" t="str">
        <x:v>드래펄트</x:v>
      </x:c>
      <x:c r="C891" s="56" t="str">
        <x:v>dragapult</x:v>
      </x:c>
      <x:c r="D891" s="56" t="str">
        <x:v>해양</x:v>
      </x:c>
      <x:c r="E891" s="56" t="str">
        <x:v>희귀</x:v>
      </x:c>
      <x:c r="F891" s="56" t="str">
        <x:v>아니오</x:v>
      </x:c>
      <x:c r="G891" s="56" t="str">
        <x:v>아니오</x:v>
      </x:c>
      <x:c r="H891" s="56" t="str">
        <x:v>예</x:v>
      </x:c>
      <x:c r="I891" s="56" t="str">
        <x:v>—</x:v>
      </x:c>
      <x:c r="J891" s="57" t="str">
        <x:v>—</x:v>
      </x:c>
      <x:c r="K891" s="57" t="str">
        <x:v>—</x:v>
      </x:c>
      <x:c r="L891" s="57" t="str">
        <x:v>—</x:v>
      </x:c>
      <x:c r="M891" s="57" t="str">
        <x:v>—</x:v>
      </x:c>
      <x:c r="N891" s="57" t="str">
        <x:v>—</x:v>
      </x:c>
      <x:c r="O891" s="57" t="str">
        <x:v>—</x:v>
      </x:c>
      <x:c r="P891" s="57" t="str">
        <x:v>—</x:v>
      </x:c>
      <x:c r="Q891" s="57" t="str">
        <x:v>포함</x:v>
      </x:c>
      <x:c r="R891" s="57" t="str">
        <x:v>포함</x:v>
      </x:c>
    </x:row>
    <x:row r="892">
      <x:c r="A892" s="60" t="n">
        <x:v>888</x:v>
      </x:c>
      <x:c r="B892" s="56" t="str">
        <x:v>자시안</x:v>
      </x:c>
      <x:c r="C892" s="56" t="str">
        <x:v>zacian</x:v>
      </x:c>
      <x:c r="D892" s="56" t="str">
        <x:v>숲</x:v>
      </x:c>
      <x:c r="E892" s="56" t="str">
        <x:v>전설</x:v>
      </x:c>
      <x:c r="F892" s="56" t="str">
        <x:v>예</x:v>
      </x:c>
      <x:c r="G892" s="56" t="str">
        <x:v>아니오</x:v>
      </x:c>
      <x:c r="H892" s="56" t="str">
        <x:v>아니오</x:v>
      </x:c>
      <x:c r="I892" s="56" t="str">
        <x:v>전설</x:v>
      </x:c>
      <x:c r="J892" s="57" t="str">
        <x:v>—</x:v>
      </x:c>
      <x:c r="K892" s="57" t="str">
        <x:v>—</x:v>
      </x:c>
      <x:c r="L892" s="57" t="str">
        <x:v>—</x:v>
      </x:c>
      <x:c r="M892" s="57" t="str">
        <x:v>—</x:v>
      </x:c>
      <x:c r="N892" s="57" t="str">
        <x:v>—</x:v>
      </x:c>
      <x:c r="O892" s="57" t="str">
        <x:v>—</x:v>
      </x:c>
      <x:c r="P892" s="57" t="str">
        <x:v>—</x:v>
      </x:c>
      <x:c r="Q892" s="57" t="str">
        <x:v>포함</x:v>
      </x:c>
      <x:c r="R892" s="57" t="str">
        <x:v>—</x:v>
      </x:c>
    </x:row>
    <x:row r="893">
      <x:c r="A893" s="60" t="n">
        <x:v>889</x:v>
      </x:c>
      <x:c r="B893" s="56" t="str">
        <x:v>자마젠타</x:v>
      </x:c>
      <x:c r="C893" s="56" t="str">
        <x:v>zamazenta</x:v>
      </x:c>
      <x:c r="D893" s="56" t="str">
        <x:v>숲</x:v>
      </x:c>
      <x:c r="E893" s="56" t="str">
        <x:v>전설</x:v>
      </x:c>
      <x:c r="F893" s="56" t="str">
        <x:v>예</x:v>
      </x:c>
      <x:c r="G893" s="56" t="str">
        <x:v>아니오</x:v>
      </x:c>
      <x:c r="H893" s="56" t="str">
        <x:v>아니오</x:v>
      </x:c>
      <x:c r="I893" s="56" t="str">
        <x:v>전설</x:v>
      </x:c>
      <x:c r="J893" s="57" t="str">
        <x:v>—</x:v>
      </x:c>
      <x:c r="K893" s="57" t="str">
        <x:v>—</x:v>
      </x:c>
      <x:c r="L893" s="57" t="str">
        <x:v>—</x:v>
      </x:c>
      <x:c r="M893" s="57" t="str">
        <x:v>—</x:v>
      </x:c>
      <x:c r="N893" s="57" t="str">
        <x:v>—</x:v>
      </x:c>
      <x:c r="O893" s="57" t="str">
        <x:v>—</x:v>
      </x:c>
      <x:c r="P893" s="57" t="str">
        <x:v>—</x:v>
      </x:c>
      <x:c r="Q893" s="57" t="str">
        <x:v>포함</x:v>
      </x:c>
      <x:c r="R893" s="57" t="str">
        <x:v>—</x:v>
      </x:c>
    </x:row>
    <x:row r="894">
      <x:c r="A894" s="60" t="n">
        <x:v>890</x:v>
      </x:c>
      <x:c r="B894" s="56" t="str">
        <x:v>무한다이노</x:v>
      </x:c>
      <x:c r="C894" s="56" t="str">
        <x:v>eternatus</x:v>
      </x:c>
      <x:c r="D894" s="56" t="str">
        <x:v>특수</x:v>
      </x:c>
      <x:c r="E894" s="56" t="str">
        <x:v>전설</x:v>
      </x:c>
      <x:c r="F894" s="56" t="str">
        <x:v>예</x:v>
      </x:c>
      <x:c r="G894" s="56" t="str">
        <x:v>아니오</x:v>
      </x:c>
      <x:c r="H894" s="56" t="str">
        <x:v>아니오</x:v>
      </x:c>
      <x:c r="I894" s="56" t="str">
        <x:v>전설</x:v>
      </x:c>
      <x:c r="J894" s="57" t="str">
        <x:v>—</x:v>
      </x:c>
      <x:c r="K894" s="57" t="str">
        <x:v>—</x:v>
      </x:c>
      <x:c r="L894" s="57" t="str">
        <x:v>—</x:v>
      </x:c>
      <x:c r="M894" s="57" t="str">
        <x:v>—</x:v>
      </x:c>
      <x:c r="N894" s="57" t="str">
        <x:v>—</x:v>
      </x:c>
      <x:c r="O894" s="57" t="str">
        <x:v>—</x:v>
      </x:c>
      <x:c r="P894" s="57" t="str">
        <x:v>—</x:v>
      </x:c>
      <x:c r="Q894" s="57" t="str">
        <x:v>포함</x:v>
      </x:c>
      <x:c r="R894" s="57" t="str">
        <x:v>—</x:v>
      </x:c>
    </x:row>
    <x:row r="895">
      <x:c r="A895" s="60" t="n">
        <x:v>891</x:v>
      </x:c>
      <x:c r="B895" s="56" t="str">
        <x:v>치고마</x:v>
      </x:c>
      <x:c r="C895" s="56" t="str">
        <x:v>kubfu</x:v>
      </x:c>
      <x:c r="D895" s="56" t="str">
        <x:v>숲</x:v>
      </x:c>
      <x:c r="E895" s="56" t="str">
        <x:v>전설</x:v>
      </x:c>
      <x:c r="F895" s="56" t="str">
        <x:v>예</x:v>
      </x:c>
      <x:c r="G895" s="56" t="str">
        <x:v>아니오</x:v>
      </x:c>
      <x:c r="H895" s="56" t="str">
        <x:v>아니오</x:v>
      </x:c>
      <x:c r="I895" s="56" t="str">
        <x:v>전설</x:v>
      </x:c>
      <x:c r="J895" s="57" t="str">
        <x:v>—</x:v>
      </x:c>
      <x:c r="K895" s="57" t="str">
        <x:v>—</x:v>
      </x:c>
      <x:c r="L895" s="57" t="str">
        <x:v>—</x:v>
      </x:c>
      <x:c r="M895" s="57" t="str">
        <x:v>—</x:v>
      </x:c>
      <x:c r="N895" s="57" t="str">
        <x:v>—</x:v>
      </x:c>
      <x:c r="O895" s="57" t="str">
        <x:v>—</x:v>
      </x:c>
      <x:c r="P895" s="57" t="str">
        <x:v>—</x:v>
      </x:c>
      <x:c r="Q895" s="57" t="str">
        <x:v>포함</x:v>
      </x:c>
      <x:c r="R895" s="57" t="str">
        <x:v>—</x:v>
      </x:c>
    </x:row>
    <x:row r="896">
      <x:c r="A896" s="60" t="n">
        <x:v>892</x:v>
      </x:c>
      <x:c r="B896" s="56" t="str">
        <x:v>우라오스</x:v>
      </x:c>
      <x:c r="C896" s="56" t="str">
        <x:v>urshifu</x:v>
      </x:c>
      <x:c r="D896" s="56" t="str">
        <x:v>숲</x:v>
      </x:c>
      <x:c r="E896" s="56" t="str">
        <x:v>전설</x:v>
      </x:c>
      <x:c r="F896" s="56" t="str">
        <x:v>예</x:v>
      </x:c>
      <x:c r="G896" s="56" t="str">
        <x:v>아니오</x:v>
      </x:c>
      <x:c r="H896" s="56" t="str">
        <x:v>아니오</x:v>
      </x:c>
      <x:c r="I896" s="56" t="str">
        <x:v>전설</x:v>
      </x:c>
      <x:c r="J896" s="57" t="str">
        <x:v>—</x:v>
      </x:c>
      <x:c r="K896" s="57" t="str">
        <x:v>—</x:v>
      </x:c>
      <x:c r="L896" s="57" t="str">
        <x:v>—</x:v>
      </x:c>
      <x:c r="M896" s="57" t="str">
        <x:v>—</x:v>
      </x:c>
      <x:c r="N896" s="57" t="str">
        <x:v>—</x:v>
      </x:c>
      <x:c r="O896" s="57" t="str">
        <x:v>—</x:v>
      </x:c>
      <x:c r="P896" s="57" t="str">
        <x:v>—</x:v>
      </x:c>
      <x:c r="Q896" s="57" t="str">
        <x:v>포함</x:v>
      </x:c>
      <x:c r="R896" s="57" t="str">
        <x:v>—</x:v>
      </x:c>
    </x:row>
    <x:row r="897">
      <x:c r="A897" s="60" t="n">
        <x:v>893</x:v>
      </x:c>
      <x:c r="B897" s="56" t="str">
        <x:v>자루도</x:v>
      </x:c>
      <x:c r="C897" s="56" t="str">
        <x:v>zarude</x:v>
      </x:c>
      <x:c r="D897" s="56" t="str">
        <x:v>숲</x:v>
      </x:c>
      <x:c r="E897" s="56" t="str">
        <x:v>전설</x:v>
      </x:c>
      <x:c r="F897" s="56" t="str">
        <x:v>아니오</x:v>
      </x:c>
      <x:c r="G897" s="56" t="str">
        <x:v>예</x:v>
      </x:c>
      <x:c r="H897" s="56" t="str">
        <x:v>아니오</x:v>
      </x:c>
      <x:c r="I897" s="56" t="str">
        <x:v>환상</x:v>
      </x:c>
      <x:c r="J897" s="57" t="str">
        <x:v>—</x:v>
      </x:c>
      <x:c r="K897" s="57" t="str">
        <x:v>—</x:v>
      </x:c>
      <x:c r="L897" s="57" t="str">
        <x:v>—</x:v>
      </x:c>
      <x:c r="M897" s="57" t="str">
        <x:v>—</x:v>
      </x:c>
      <x:c r="N897" s="57" t="str">
        <x:v>—</x:v>
      </x:c>
      <x:c r="O897" s="57" t="str">
        <x:v>—</x:v>
      </x:c>
      <x:c r="P897" s="57" t="str">
        <x:v>—</x:v>
      </x:c>
      <x:c r="Q897" s="57" t="str">
        <x:v>포함</x:v>
      </x:c>
      <x:c r="R897" s="57" t="str">
        <x:v>—</x:v>
      </x:c>
    </x:row>
    <x:row r="898">
      <x:c r="A898" s="60" t="n">
        <x:v>894</x:v>
      </x:c>
      <x:c r="B898" s="56" t="str">
        <x:v>레지에레키</x:v>
      </x:c>
      <x:c r="C898" s="56" t="str">
        <x:v>regieleki</x:v>
      </x:c>
      <x:c r="D898" s="56" t="str">
        <x:v>특수</x:v>
      </x:c>
      <x:c r="E898" s="56" t="str">
        <x:v>전설</x:v>
      </x:c>
      <x:c r="F898" s="56" t="str">
        <x:v>예</x:v>
      </x:c>
      <x:c r="G898" s="56" t="str">
        <x:v>아니오</x:v>
      </x:c>
      <x:c r="H898" s="56" t="str">
        <x:v>아니오</x:v>
      </x:c>
      <x:c r="I898" s="56" t="str">
        <x:v>전설</x:v>
      </x:c>
      <x:c r="J898" s="57" t="str">
        <x:v>—</x:v>
      </x:c>
      <x:c r="K898" s="57" t="str">
        <x:v>—</x:v>
      </x:c>
      <x:c r="L898" s="57" t="str">
        <x:v>—</x:v>
      </x:c>
      <x:c r="M898" s="57" t="str">
        <x:v>—</x:v>
      </x:c>
      <x:c r="N898" s="57" t="str">
        <x:v>—</x:v>
      </x:c>
      <x:c r="O898" s="57" t="str">
        <x:v>—</x:v>
      </x:c>
      <x:c r="P898" s="57" t="str">
        <x:v>—</x:v>
      </x:c>
      <x:c r="Q898" s="57" t="str">
        <x:v>포함</x:v>
      </x:c>
      <x:c r="R898" s="57" t="str">
        <x:v>—</x:v>
      </x:c>
    </x:row>
    <x:row r="899">
      <x:c r="A899" s="60" t="n">
        <x:v>895</x:v>
      </x:c>
      <x:c r="B899" s="56" t="str">
        <x:v>레지드래고</x:v>
      </x:c>
      <x:c r="C899" s="56" t="str">
        <x:v>regidrago</x:v>
      </x:c>
      <x:c r="D899" s="56" t="str">
        <x:v>특수</x:v>
      </x:c>
      <x:c r="E899" s="56" t="str">
        <x:v>전설</x:v>
      </x:c>
      <x:c r="F899" s="56" t="str">
        <x:v>예</x:v>
      </x:c>
      <x:c r="G899" s="56" t="str">
        <x:v>아니오</x:v>
      </x:c>
      <x:c r="H899" s="56" t="str">
        <x:v>아니오</x:v>
      </x:c>
      <x:c r="I899" s="56" t="str">
        <x:v>전설</x:v>
      </x:c>
      <x:c r="J899" s="57" t="str">
        <x:v>—</x:v>
      </x:c>
      <x:c r="K899" s="57" t="str">
        <x:v>—</x:v>
      </x:c>
      <x:c r="L899" s="57" t="str">
        <x:v>—</x:v>
      </x:c>
      <x:c r="M899" s="57" t="str">
        <x:v>—</x:v>
      </x:c>
      <x:c r="N899" s="57" t="str">
        <x:v>—</x:v>
      </x:c>
      <x:c r="O899" s="57" t="str">
        <x:v>—</x:v>
      </x:c>
      <x:c r="P899" s="57" t="str">
        <x:v>—</x:v>
      </x:c>
      <x:c r="Q899" s="57" t="str">
        <x:v>포함</x:v>
      </x:c>
      <x:c r="R899" s="57" t="str">
        <x:v>—</x:v>
      </x:c>
    </x:row>
    <x:row r="900">
      <x:c r="A900" s="60" t="n">
        <x:v>896</x:v>
      </x:c>
      <x:c r="B900" s="56" t="str">
        <x:v>블리자포스</x:v>
      </x:c>
      <x:c r="C900" s="56" t="str">
        <x:v>glastrier</x:v>
      </x:c>
      <x:c r="D900" s="56" t="str">
        <x:v>설원</x:v>
      </x:c>
      <x:c r="E900" s="56" t="str">
        <x:v>전설</x:v>
      </x:c>
      <x:c r="F900" s="56" t="str">
        <x:v>예</x:v>
      </x:c>
      <x:c r="G900" s="56" t="str">
        <x:v>아니오</x:v>
      </x:c>
      <x:c r="H900" s="56" t="str">
        <x:v>아니오</x:v>
      </x:c>
      <x:c r="I900" s="56" t="str">
        <x:v>전설</x:v>
      </x:c>
      <x:c r="J900" s="57" t="str">
        <x:v>—</x:v>
      </x:c>
      <x:c r="K900" s="57" t="str">
        <x:v>—</x:v>
      </x:c>
      <x:c r="L900" s="57" t="str">
        <x:v>—</x:v>
      </x:c>
      <x:c r="M900" s="57" t="str">
        <x:v>—</x:v>
      </x:c>
      <x:c r="N900" s="57" t="str">
        <x:v>—</x:v>
      </x:c>
      <x:c r="O900" s="57" t="str">
        <x:v>—</x:v>
      </x:c>
      <x:c r="P900" s="57" t="str">
        <x:v>—</x:v>
      </x:c>
      <x:c r="Q900" s="57" t="str">
        <x:v>포함</x:v>
      </x:c>
      <x:c r="R900" s="57" t="str">
        <x:v>—</x:v>
      </x:c>
    </x:row>
    <x:row r="901">
      <x:c r="A901" s="60" t="n">
        <x:v>897</x:v>
      </x:c>
      <x:c r="B901" s="56" t="str">
        <x:v>레이스포스</x:v>
      </x:c>
      <x:c r="C901" s="56" t="str">
        <x:v>spectrier</x:v>
      </x:c>
      <x:c r="D901" s="56" t="str">
        <x:v>특수</x:v>
      </x:c>
      <x:c r="E901" s="56" t="str">
        <x:v>전설</x:v>
      </x:c>
      <x:c r="F901" s="56" t="str">
        <x:v>예</x:v>
      </x:c>
      <x:c r="G901" s="56" t="str">
        <x:v>아니오</x:v>
      </x:c>
      <x:c r="H901" s="56" t="str">
        <x:v>아니오</x:v>
      </x:c>
      <x:c r="I901" s="56" t="str">
        <x:v>전설</x:v>
      </x:c>
      <x:c r="J901" s="57" t="str">
        <x:v>—</x:v>
      </x:c>
      <x:c r="K901" s="57" t="str">
        <x:v>—</x:v>
      </x:c>
      <x:c r="L901" s="57" t="str">
        <x:v>—</x:v>
      </x:c>
      <x:c r="M901" s="57" t="str">
        <x:v>—</x:v>
      </x:c>
      <x:c r="N901" s="57" t="str">
        <x:v>—</x:v>
      </x:c>
      <x:c r="O901" s="57" t="str">
        <x:v>—</x:v>
      </x:c>
      <x:c r="P901" s="57" t="str">
        <x:v>—</x:v>
      </x:c>
      <x:c r="Q901" s="57" t="str">
        <x:v>포함</x:v>
      </x:c>
      <x:c r="R901" s="57" t="str">
        <x:v>—</x:v>
      </x:c>
    </x:row>
    <x:row r="902">
      <x:c r="A902" s="60" t="n">
        <x:v>898</x:v>
      </x:c>
      <x:c r="B902" s="56" t="str">
        <x:v>버드렉스</x:v>
      </x:c>
      <x:c r="C902" s="56" t="str">
        <x:v>calyrex</x:v>
      </x:c>
      <x:c r="D902" s="56" t="str">
        <x:v>숲</x:v>
      </x:c>
      <x:c r="E902" s="56" t="str">
        <x:v>전설</x:v>
      </x:c>
      <x:c r="F902" s="56" t="str">
        <x:v>예</x:v>
      </x:c>
      <x:c r="G902" s="56" t="str">
        <x:v>아니오</x:v>
      </x:c>
      <x:c r="H902" s="56" t="str">
        <x:v>아니오</x:v>
      </x:c>
      <x:c r="I902" s="56" t="str">
        <x:v>전설</x:v>
      </x:c>
      <x:c r="J902" s="57" t="str">
        <x:v>—</x:v>
      </x:c>
      <x:c r="K902" s="57" t="str">
        <x:v>—</x:v>
      </x:c>
      <x:c r="L902" s="57" t="str">
        <x:v>—</x:v>
      </x:c>
      <x:c r="M902" s="57" t="str">
        <x:v>—</x:v>
      </x:c>
      <x:c r="N902" s="57" t="str">
        <x:v>—</x:v>
      </x:c>
      <x:c r="O902" s="57" t="str">
        <x:v>—</x:v>
      </x:c>
      <x:c r="P902" s="57" t="str">
        <x:v>—</x:v>
      </x:c>
      <x:c r="Q902" s="57" t="str">
        <x:v>포함</x:v>
      </x:c>
      <x:c r="R902" s="57" t="str">
        <x:v>—</x:v>
      </x:c>
    </x:row>
    <x:row r="903">
      <x:c r="A903" s="60" t="n">
        <x:v>899</x:v>
      </x:c>
      <x:c r="B903" s="56" t="str">
        <x:v>신비록</x:v>
      </x:c>
      <x:c r="C903" s="56" t="str">
        <x:v>wyrdeer</x:v>
      </x:c>
      <x:c r="D903" s="56" t="str">
        <x:v>설원</x:v>
      </x:c>
      <x:c r="E903" s="56" t="str">
        <x:v>흔함</x:v>
      </x:c>
      <x:c r="F903" s="56" t="str">
        <x:v>아니오</x:v>
      </x:c>
      <x:c r="G903" s="56" t="str">
        <x:v>아니오</x:v>
      </x:c>
      <x:c r="H903" s="56" t="str">
        <x:v>예</x:v>
      </x:c>
      <x:c r="I903" s="56" t="str">
        <x:v>—</x:v>
      </x:c>
      <x:c r="J903" s="57" t="str">
        <x:v>—</x:v>
      </x:c>
      <x:c r="K903" s="57" t="str">
        <x:v>—</x:v>
      </x:c>
      <x:c r="L903" s="57" t="str">
        <x:v>—</x:v>
      </x:c>
      <x:c r="M903" s="57" t="str">
        <x:v>—</x:v>
      </x:c>
      <x:c r="N903" s="57" t="str">
        <x:v>—</x:v>
      </x:c>
      <x:c r="O903" s="57" t="str">
        <x:v>—</x:v>
      </x:c>
      <x:c r="P903" s="57" t="str">
        <x:v>—</x:v>
      </x:c>
      <x:c r="Q903" s="57" t="str">
        <x:v>—</x:v>
      </x:c>
      <x:c r="R903" s="57" t="str">
        <x:v>—</x:v>
      </x:c>
    </x:row>
    <x:row r="904">
      <x:c r="A904" s="60" t="n">
        <x:v>900</x:v>
      </x:c>
      <x:c r="B904" s="56" t="str">
        <x:v>사마자르</x:v>
      </x:c>
      <x:c r="C904" s="56" t="str">
        <x:v>kleavor</x:v>
      </x:c>
      <x:c r="D904" s="56" t="str">
        <x:v>숲</x:v>
      </x:c>
      <x:c r="E904" s="56" t="str">
        <x:v>드묾</x:v>
      </x:c>
      <x:c r="F904" s="56" t="str">
        <x:v>아니오</x:v>
      </x:c>
      <x:c r="G904" s="56" t="str">
        <x:v>아니오</x:v>
      </x:c>
      <x:c r="H904" s="56" t="str">
        <x:v>예</x:v>
      </x:c>
      <x:c r="I904" s="56" t="str">
        <x:v>—</x:v>
      </x:c>
      <x:c r="J904" s="57" t="str">
        <x:v>—</x:v>
      </x:c>
      <x:c r="K904" s="57" t="str">
        <x:v>—</x:v>
      </x:c>
      <x:c r="L904" s="57" t="str">
        <x:v>—</x:v>
      </x:c>
      <x:c r="M904" s="57" t="str">
        <x:v>—</x:v>
      </x:c>
      <x:c r="N904" s="57" t="str">
        <x:v>—</x:v>
      </x:c>
      <x:c r="O904" s="57" t="str">
        <x:v>—</x:v>
      </x:c>
      <x:c r="P904" s="57" t="str">
        <x:v>—</x:v>
      </x:c>
      <x:c r="Q904" s="57" t="str">
        <x:v>—</x:v>
      </x:c>
      <x:c r="R904" s="57" t="str">
        <x:v>포함</x:v>
      </x:c>
    </x:row>
    <x:row r="905">
      <x:c r="A905" s="60" t="n">
        <x:v>901</x:v>
      </x:c>
      <x:c r="B905" s="56" t="str">
        <x:v>다투곰</x:v>
      </x:c>
      <x:c r="C905" s="56" t="str">
        <x:v>ursaluna</x:v>
      </x:c>
      <x:c r="D905" s="56" t="str">
        <x:v>숲</x:v>
      </x:c>
      <x:c r="E905" s="56" t="str">
        <x:v>흔함</x:v>
      </x:c>
      <x:c r="F905" s="56" t="str">
        <x:v>아니오</x:v>
      </x:c>
      <x:c r="G905" s="56" t="str">
        <x:v>아니오</x:v>
      </x:c>
      <x:c r="H905" s="56" t="str">
        <x:v>예</x:v>
      </x:c>
      <x:c r="I905" s="56" t="str">
        <x:v>—</x:v>
      </x:c>
      <x:c r="J905" s="57" t="str">
        <x:v>—</x:v>
      </x:c>
      <x:c r="K905" s="57" t="str">
        <x:v>—</x:v>
      </x:c>
      <x:c r="L905" s="57" t="str">
        <x:v>—</x:v>
      </x:c>
      <x:c r="M905" s="57" t="str">
        <x:v>—</x:v>
      </x:c>
      <x:c r="N905" s="57" t="str">
        <x:v>—</x:v>
      </x:c>
      <x:c r="O905" s="57" t="str">
        <x:v>—</x:v>
      </x:c>
      <x:c r="P905" s="57" t="str">
        <x:v>—</x:v>
      </x:c>
      <x:c r="Q905" s="57" t="str">
        <x:v>—</x:v>
      </x:c>
      <x:c r="R905" s="57" t="str">
        <x:v>포함</x:v>
      </x:c>
    </x:row>
    <x:row r="906">
      <x:c r="A906" s="60" t="n">
        <x:v>902</x:v>
      </x:c>
      <x:c r="B906" s="56" t="str">
        <x:v>대쓰여너</x:v>
      </x:c>
      <x:c r="C906" s="56" t="str">
        <x:v>basculegion</x:v>
      </x:c>
      <x:c r="D906" s="56" t="str">
        <x:v>담수</x:v>
      </x:c>
      <x:c r="E906" s="56" t="str">
        <x:v>흔함</x:v>
      </x:c>
      <x:c r="F906" s="56" t="str">
        <x:v>아니오</x:v>
      </x:c>
      <x:c r="G906" s="56" t="str">
        <x:v>아니오</x:v>
      </x:c>
      <x:c r="H906" s="56" t="str">
        <x:v>예</x:v>
      </x:c>
      <x:c r="I906" s="56" t="str">
        <x:v>—</x:v>
      </x:c>
      <x:c r="J906" s="57" t="str">
        <x:v>—</x:v>
      </x:c>
      <x:c r="K906" s="57" t="str">
        <x:v>—</x:v>
      </x:c>
      <x:c r="L906" s="57" t="str">
        <x:v>—</x:v>
      </x:c>
      <x:c r="M906" s="57" t="str">
        <x:v>—</x:v>
      </x:c>
      <x:c r="N906" s="57" t="str">
        <x:v>—</x:v>
      </x:c>
      <x:c r="O906" s="57" t="str">
        <x:v>—</x:v>
      </x:c>
      <x:c r="P906" s="57" t="str">
        <x:v>—</x:v>
      </x:c>
      <x:c r="Q906" s="57" t="str">
        <x:v>—</x:v>
      </x:c>
      <x:c r="R906" s="57" t="str">
        <x:v>포함</x:v>
      </x:c>
    </x:row>
    <x:row r="907">
      <x:c r="A907" s="60" t="n">
        <x:v>903</x:v>
      </x:c>
      <x:c r="B907" s="56" t="str">
        <x:v>포푸니크</x:v>
      </x:c>
      <x:c r="C907" s="56" t="str">
        <x:v>sneasler</x:v>
      </x:c>
      <x:c r="D907" s="56" t="str">
        <x:v>산악</x:v>
      </x:c>
      <x:c r="E907" s="56" t="str">
        <x:v>보통</x:v>
      </x:c>
      <x:c r="F907" s="56" t="str">
        <x:v>아니오</x:v>
      </x:c>
      <x:c r="G907" s="56" t="str">
        <x:v>아니오</x:v>
      </x:c>
      <x:c r="H907" s="56" t="str">
        <x:v>예</x:v>
      </x:c>
      <x:c r="I907" s="56" t="str">
        <x:v>—</x:v>
      </x:c>
      <x:c r="J907" s="57" t="str">
        <x:v>—</x:v>
      </x:c>
      <x:c r="K907" s="57" t="str">
        <x:v>—</x:v>
      </x:c>
      <x:c r="L907" s="57" t="str">
        <x:v>—</x:v>
      </x:c>
      <x:c r="M907" s="57" t="str">
        <x:v>—</x:v>
      </x:c>
      <x:c r="N907" s="57" t="str">
        <x:v>—</x:v>
      </x:c>
      <x:c r="O907" s="57" t="str">
        <x:v>—</x:v>
      </x:c>
      <x:c r="P907" s="57" t="str">
        <x:v>—</x:v>
      </x:c>
      <x:c r="Q907" s="57" t="str">
        <x:v>—</x:v>
      </x:c>
      <x:c r="R907" s="57" t="str">
        <x:v>—</x:v>
      </x:c>
    </x:row>
    <x:row r="908">
      <x:c r="A908" s="60" t="n">
        <x:v>904</x:v>
      </x:c>
      <x:c r="B908" s="56" t="str">
        <x:v>장침바루</x:v>
      </x:c>
      <x:c r="C908" s="56" t="str">
        <x:v>overqwil</x:v>
      </x:c>
      <x:c r="D908" s="56" t="str">
        <x:v>설원</x:v>
      </x:c>
      <x:c r="E908" s="56" t="str">
        <x:v>보통</x:v>
      </x:c>
      <x:c r="F908" s="56" t="str">
        <x:v>아니오</x:v>
      </x:c>
      <x:c r="G908" s="56" t="str">
        <x:v>아니오</x:v>
      </x:c>
      <x:c r="H908" s="56" t="str">
        <x:v>예</x:v>
      </x:c>
      <x:c r="I908" s="56" t="str">
        <x:v>—</x:v>
      </x:c>
      <x:c r="J908" s="57" t="str">
        <x:v>—</x:v>
      </x:c>
      <x:c r="K908" s="57" t="str">
        <x:v>—</x:v>
      </x:c>
      <x:c r="L908" s="57" t="str">
        <x:v>—</x:v>
      </x:c>
      <x:c r="M908" s="57" t="str">
        <x:v>—</x:v>
      </x:c>
      <x:c r="N908" s="57" t="str">
        <x:v>—</x:v>
      </x:c>
      <x:c r="O908" s="57" t="str">
        <x:v>—</x:v>
      </x:c>
      <x:c r="P908" s="57" t="str">
        <x:v>—</x:v>
      </x:c>
      <x:c r="Q908" s="57" t="str">
        <x:v>—</x:v>
      </x:c>
      <x:c r="R908" s="57" t="str">
        <x:v>포함</x:v>
      </x:c>
    </x:row>
    <x:row r="909">
      <x:c r="A909" s="60" t="n">
        <x:v>905</x:v>
      </x:c>
      <x:c r="B909" s="56" t="str">
        <x:v>러브로스</x:v>
      </x:c>
      <x:c r="C909" s="56" t="str">
        <x:v>enamorus</x:v>
      </x:c>
      <x:c r="D909" s="56" t="str">
        <x:v>산악</x:v>
      </x:c>
      <x:c r="E909" s="56" t="str">
        <x:v>전설</x:v>
      </x:c>
      <x:c r="F909" s="56" t="str">
        <x:v>예</x:v>
      </x:c>
      <x:c r="G909" s="56" t="str">
        <x:v>아니오</x:v>
      </x:c>
      <x:c r="H909" s="56" t="str">
        <x:v>아니오</x:v>
      </x:c>
      <x:c r="I909" s="56" t="str">
        <x:v>전설</x:v>
      </x:c>
      <x:c r="J909" s="57" t="str">
        <x:v>—</x:v>
      </x:c>
      <x:c r="K909" s="57" t="str">
        <x:v>—</x:v>
      </x:c>
      <x:c r="L909" s="57" t="str">
        <x:v>—</x:v>
      </x:c>
      <x:c r="M909" s="57" t="str">
        <x:v>—</x:v>
      </x:c>
      <x:c r="N909" s="57" t="str">
        <x:v>—</x:v>
      </x:c>
      <x:c r="O909" s="57" t="str">
        <x:v>—</x:v>
      </x:c>
      <x:c r="P909" s="57" t="str">
        <x:v>—</x:v>
      </x:c>
      <x:c r="Q909" s="57" t="str">
        <x:v>—</x:v>
      </x:c>
      <x:c r="R909" s="57" t="str">
        <x:v>—</x:v>
      </x:c>
    </x:row>
    <x:row r="910">
      <x:c r="A910" s="60" t="n">
        <x:v>906</x:v>
      </x:c>
      <x:c r="B910" s="56" t="str">
        <x:v>나오하</x:v>
      </x:c>
      <x:c r="C910" s="56" t="str">
        <x:v>sprigatito</x:v>
      </x:c>
      <x:c r="D910" s="56" t="str">
        <x:v>숲</x:v>
      </x:c>
      <x:c r="E910" s="56" t="str">
        <x:v>희귀</x:v>
      </x:c>
      <x:c r="F910" s="56" t="str">
        <x:v>아니오</x:v>
      </x:c>
      <x:c r="G910" s="56" t="str">
        <x:v>아니오</x:v>
      </x:c>
      <x:c r="H910" s="56" t="str">
        <x:v>예</x:v>
      </x:c>
      <x:c r="I910" s="56" t="str">
        <x:v>—</x:v>
      </x:c>
      <x:c r="J910" s="57" t="str">
        <x:v>—</x:v>
      </x:c>
      <x:c r="K910" s="57" t="str">
        <x:v>—</x:v>
      </x:c>
      <x:c r="L910" s="57" t="str">
        <x:v>—</x:v>
      </x:c>
      <x:c r="M910" s="57" t="str">
        <x:v>—</x:v>
      </x:c>
      <x:c r="N910" s="57" t="str">
        <x:v>—</x:v>
      </x:c>
      <x:c r="O910" s="57" t="str">
        <x:v>—</x:v>
      </x:c>
      <x:c r="P910" s="57" t="str">
        <x:v>—</x:v>
      </x:c>
      <x:c r="Q910" s="57" t="str">
        <x:v>—</x:v>
      </x:c>
      <x:c r="R910" s="57" t="str">
        <x:v>포함</x:v>
      </x:c>
    </x:row>
    <x:row r="911">
      <x:c r="A911" s="60" t="n">
        <x:v>907</x:v>
      </x:c>
      <x:c r="B911" s="56" t="str">
        <x:v>나로테</x:v>
      </x:c>
      <x:c r="C911" s="56" t="str">
        <x:v>floragato</x:v>
      </x:c>
      <x:c r="D911" s="56" t="str">
        <x:v>숲</x:v>
      </x:c>
      <x:c r="E911" s="56" t="str">
        <x:v>희귀</x:v>
      </x:c>
      <x:c r="F911" s="56" t="str">
        <x:v>아니오</x:v>
      </x:c>
      <x:c r="G911" s="56" t="str">
        <x:v>아니오</x:v>
      </x:c>
      <x:c r="H911" s="56" t="str">
        <x:v>예</x:v>
      </x:c>
      <x:c r="I911" s="56" t="str">
        <x:v>—</x:v>
      </x:c>
      <x:c r="J911" s="57" t="str">
        <x:v>—</x:v>
      </x:c>
      <x:c r="K911" s="57" t="str">
        <x:v>—</x:v>
      </x:c>
      <x:c r="L911" s="57" t="str">
        <x:v>—</x:v>
      </x:c>
      <x:c r="M911" s="57" t="str">
        <x:v>—</x:v>
      </x:c>
      <x:c r="N911" s="57" t="str">
        <x:v>—</x:v>
      </x:c>
      <x:c r="O911" s="57" t="str">
        <x:v>—</x:v>
      </x:c>
      <x:c r="P911" s="57" t="str">
        <x:v>—</x:v>
      </x:c>
      <x:c r="Q911" s="57" t="str">
        <x:v>—</x:v>
      </x:c>
      <x:c r="R911" s="57" t="str">
        <x:v>포함</x:v>
      </x:c>
    </x:row>
    <x:row r="912">
      <x:c r="A912" s="60" t="n">
        <x:v>908</x:v>
      </x:c>
      <x:c r="B912" s="56" t="str">
        <x:v>마스카나</x:v>
      </x:c>
      <x:c r="C912" s="56" t="str">
        <x:v>meowscarada</x:v>
      </x:c>
      <x:c r="D912" s="56" t="str">
        <x:v>숲</x:v>
      </x:c>
      <x:c r="E912" s="56" t="str">
        <x:v>희귀</x:v>
      </x:c>
      <x:c r="F912" s="56" t="str">
        <x:v>아니오</x:v>
      </x:c>
      <x:c r="G912" s="56" t="str">
        <x:v>아니오</x:v>
      </x:c>
      <x:c r="H912" s="56" t="str">
        <x:v>예</x:v>
      </x:c>
      <x:c r="I912" s="56" t="str">
        <x:v>—</x:v>
      </x:c>
      <x:c r="J912" s="57" t="str">
        <x:v>—</x:v>
      </x:c>
      <x:c r="K912" s="57" t="str">
        <x:v>—</x:v>
      </x:c>
      <x:c r="L912" s="57" t="str">
        <x:v>—</x:v>
      </x:c>
      <x:c r="M912" s="57" t="str">
        <x:v>—</x:v>
      </x:c>
      <x:c r="N912" s="57" t="str">
        <x:v>—</x:v>
      </x:c>
      <x:c r="O912" s="57" t="str">
        <x:v>—</x:v>
      </x:c>
      <x:c r="P912" s="57" t="str">
        <x:v>—</x:v>
      </x:c>
      <x:c r="Q912" s="57" t="str">
        <x:v>—</x:v>
      </x:c>
      <x:c r="R912" s="57" t="str">
        <x:v>포함</x:v>
      </x:c>
    </x:row>
    <x:row r="913">
      <x:c r="A913" s="60" t="n">
        <x:v>909</x:v>
      </x:c>
      <x:c r="B913" s="56" t="str">
        <x:v>뜨아거</x:v>
      </x:c>
      <x:c r="C913" s="56" t="str">
        <x:v>fuecoco</x:v>
      </x:c>
      <x:c r="D913" s="56" t="str">
        <x:v>화산</x:v>
      </x:c>
      <x:c r="E913" s="56" t="str">
        <x:v>희귀</x:v>
      </x:c>
      <x:c r="F913" s="56" t="str">
        <x:v>아니오</x:v>
      </x:c>
      <x:c r="G913" s="56" t="str">
        <x:v>아니오</x:v>
      </x:c>
      <x:c r="H913" s="56" t="str">
        <x:v>예</x:v>
      </x:c>
      <x:c r="I913" s="56" t="str">
        <x:v>—</x:v>
      </x:c>
      <x:c r="J913" s="57" t="str">
        <x:v>—</x:v>
      </x:c>
      <x:c r="K913" s="57" t="str">
        <x:v>—</x:v>
      </x:c>
      <x:c r="L913" s="57" t="str">
        <x:v>—</x:v>
      </x:c>
      <x:c r="M913" s="57" t="str">
        <x:v>—</x:v>
      </x:c>
      <x:c r="N913" s="57" t="str">
        <x:v>—</x:v>
      </x:c>
      <x:c r="O913" s="57" t="str">
        <x:v>—</x:v>
      </x:c>
      <x:c r="P913" s="57" t="str">
        <x:v>—</x:v>
      </x:c>
      <x:c r="Q913" s="57" t="str">
        <x:v>—</x:v>
      </x:c>
      <x:c r="R913" s="57" t="str">
        <x:v>포함</x:v>
      </x:c>
    </x:row>
    <x:row r="914">
      <x:c r="A914" s="60" t="n">
        <x:v>910</x:v>
      </x:c>
      <x:c r="B914" s="56" t="str">
        <x:v>악뜨거</x:v>
      </x:c>
      <x:c r="C914" s="56" t="str">
        <x:v>crocalor</x:v>
      </x:c>
      <x:c r="D914" s="56" t="str">
        <x:v>화산</x:v>
      </x:c>
      <x:c r="E914" s="56" t="str">
        <x:v>희귀</x:v>
      </x:c>
      <x:c r="F914" s="56" t="str">
        <x:v>아니오</x:v>
      </x:c>
      <x:c r="G914" s="56" t="str">
        <x:v>아니오</x:v>
      </x:c>
      <x:c r="H914" s="56" t="str">
        <x:v>예</x:v>
      </x:c>
      <x:c r="I914" s="56" t="str">
        <x:v>—</x:v>
      </x:c>
      <x:c r="J914" s="57" t="str">
        <x:v>—</x:v>
      </x:c>
      <x:c r="K914" s="57" t="str">
        <x:v>—</x:v>
      </x:c>
      <x:c r="L914" s="57" t="str">
        <x:v>—</x:v>
      </x:c>
      <x:c r="M914" s="57" t="str">
        <x:v>—</x:v>
      </x:c>
      <x:c r="N914" s="57" t="str">
        <x:v>—</x:v>
      </x:c>
      <x:c r="O914" s="57" t="str">
        <x:v>—</x:v>
      </x:c>
      <x:c r="P914" s="57" t="str">
        <x:v>—</x:v>
      </x:c>
      <x:c r="Q914" s="57" t="str">
        <x:v>—</x:v>
      </x:c>
      <x:c r="R914" s="57" t="str">
        <x:v>포함</x:v>
      </x:c>
    </x:row>
    <x:row r="915">
      <x:c r="A915" s="60" t="n">
        <x:v>911</x:v>
      </x:c>
      <x:c r="B915" s="56" t="str">
        <x:v>라우드본</x:v>
      </x:c>
      <x:c r="C915" s="56" t="str">
        <x:v>skeledirge</x:v>
      </x:c>
      <x:c r="D915" s="56" t="str">
        <x:v>화산</x:v>
      </x:c>
      <x:c r="E915" s="56" t="str">
        <x:v>희귀</x:v>
      </x:c>
      <x:c r="F915" s="56" t="str">
        <x:v>아니오</x:v>
      </x:c>
      <x:c r="G915" s="56" t="str">
        <x:v>아니오</x:v>
      </x:c>
      <x:c r="H915" s="56" t="str">
        <x:v>예</x:v>
      </x:c>
      <x:c r="I915" s="56" t="str">
        <x:v>—</x:v>
      </x:c>
      <x:c r="J915" s="57" t="str">
        <x:v>—</x:v>
      </x:c>
      <x:c r="K915" s="57" t="str">
        <x:v>—</x:v>
      </x:c>
      <x:c r="L915" s="57" t="str">
        <x:v>—</x:v>
      </x:c>
      <x:c r="M915" s="57" t="str">
        <x:v>—</x:v>
      </x:c>
      <x:c r="N915" s="57" t="str">
        <x:v>—</x:v>
      </x:c>
      <x:c r="O915" s="57" t="str">
        <x:v>—</x:v>
      </x:c>
      <x:c r="P915" s="57" t="str">
        <x:v>—</x:v>
      </x:c>
      <x:c r="Q915" s="57" t="str">
        <x:v>—</x:v>
      </x:c>
      <x:c r="R915" s="57" t="str">
        <x:v>포함</x:v>
      </x:c>
    </x:row>
    <x:row r="916">
      <x:c r="A916" s="60" t="n">
        <x:v>912</x:v>
      </x:c>
      <x:c r="B916" s="56" t="str">
        <x:v>꾸왁스</x:v>
      </x:c>
      <x:c r="C916" s="56" t="str">
        <x:v>quaxly</x:v>
      </x:c>
      <x:c r="D916" s="56" t="str">
        <x:v>담수</x:v>
      </x:c>
      <x:c r="E916" s="56" t="str">
        <x:v>희귀</x:v>
      </x:c>
      <x:c r="F916" s="56" t="str">
        <x:v>아니오</x:v>
      </x:c>
      <x:c r="G916" s="56" t="str">
        <x:v>아니오</x:v>
      </x:c>
      <x:c r="H916" s="56" t="str">
        <x:v>예</x:v>
      </x:c>
      <x:c r="I916" s="56" t="str">
        <x:v>—</x:v>
      </x:c>
      <x:c r="J916" s="57" t="str">
        <x:v>—</x:v>
      </x:c>
      <x:c r="K916" s="57" t="str">
        <x:v>—</x:v>
      </x:c>
      <x:c r="L916" s="57" t="str">
        <x:v>—</x:v>
      </x:c>
      <x:c r="M916" s="57" t="str">
        <x:v>—</x:v>
      </x:c>
      <x:c r="N916" s="57" t="str">
        <x:v>—</x:v>
      </x:c>
      <x:c r="O916" s="57" t="str">
        <x:v>—</x:v>
      </x:c>
      <x:c r="P916" s="57" t="str">
        <x:v>—</x:v>
      </x:c>
      <x:c r="Q916" s="57" t="str">
        <x:v>—</x:v>
      </x:c>
      <x:c r="R916" s="57" t="str">
        <x:v>포함</x:v>
      </x:c>
    </x:row>
    <x:row r="917">
      <x:c r="A917" s="60" t="n">
        <x:v>913</x:v>
      </x:c>
      <x:c r="B917" s="56" t="str">
        <x:v>아꾸왁</x:v>
      </x:c>
      <x:c r="C917" s="56" t="str">
        <x:v>quaxwell</x:v>
      </x:c>
      <x:c r="D917" s="56" t="str">
        <x:v>담수</x:v>
      </x:c>
      <x:c r="E917" s="56" t="str">
        <x:v>희귀</x:v>
      </x:c>
      <x:c r="F917" s="56" t="str">
        <x:v>아니오</x:v>
      </x:c>
      <x:c r="G917" s="56" t="str">
        <x:v>아니오</x:v>
      </x:c>
      <x:c r="H917" s="56" t="str">
        <x:v>예</x:v>
      </x:c>
      <x:c r="I917" s="56" t="str">
        <x:v>—</x:v>
      </x:c>
      <x:c r="J917" s="57" t="str">
        <x:v>—</x:v>
      </x:c>
      <x:c r="K917" s="57" t="str">
        <x:v>—</x:v>
      </x:c>
      <x:c r="L917" s="57" t="str">
        <x:v>—</x:v>
      </x:c>
      <x:c r="M917" s="57" t="str">
        <x:v>—</x:v>
      </x:c>
      <x:c r="N917" s="57" t="str">
        <x:v>—</x:v>
      </x:c>
      <x:c r="O917" s="57" t="str">
        <x:v>—</x:v>
      </x:c>
      <x:c r="P917" s="57" t="str">
        <x:v>—</x:v>
      </x:c>
      <x:c r="Q917" s="57" t="str">
        <x:v>—</x:v>
      </x:c>
      <x:c r="R917" s="57" t="str">
        <x:v>포함</x:v>
      </x:c>
    </x:row>
    <x:row r="918">
      <x:c r="A918" s="60" t="n">
        <x:v>914</x:v>
      </x:c>
      <x:c r="B918" s="56" t="str">
        <x:v>웨이니발</x:v>
      </x:c>
      <x:c r="C918" s="56" t="str">
        <x:v>quaquaval</x:v>
      </x:c>
      <x:c r="D918" s="56" t="str">
        <x:v>담수</x:v>
      </x:c>
      <x:c r="E918" s="56" t="str">
        <x:v>희귀</x:v>
      </x:c>
      <x:c r="F918" s="56" t="str">
        <x:v>아니오</x:v>
      </x:c>
      <x:c r="G918" s="56" t="str">
        <x:v>아니오</x:v>
      </x:c>
      <x:c r="H918" s="56" t="str">
        <x:v>예</x:v>
      </x:c>
      <x:c r="I918" s="56" t="str">
        <x:v>—</x:v>
      </x:c>
      <x:c r="J918" s="57" t="str">
        <x:v>—</x:v>
      </x:c>
      <x:c r="K918" s="57" t="str">
        <x:v>—</x:v>
      </x:c>
      <x:c r="L918" s="57" t="str">
        <x:v>—</x:v>
      </x:c>
      <x:c r="M918" s="57" t="str">
        <x:v>—</x:v>
      </x:c>
      <x:c r="N918" s="57" t="str">
        <x:v>—</x:v>
      </x:c>
      <x:c r="O918" s="57" t="str">
        <x:v>—</x:v>
      </x:c>
      <x:c r="P918" s="57" t="str">
        <x:v>—</x:v>
      </x:c>
      <x:c r="Q918" s="57" t="str">
        <x:v>—</x:v>
      </x:c>
      <x:c r="R918" s="57" t="str">
        <x:v>포함</x:v>
      </x:c>
    </x:row>
    <x:row r="919">
      <x:c r="A919" s="60" t="n">
        <x:v>915</x:v>
      </x:c>
      <x:c r="B919" s="56" t="str">
        <x:v>맛보돈</x:v>
      </x:c>
      <x:c r="C919" s="56" t="str">
        <x:v>lechonk</x:v>
      </x:c>
      <x:c r="D919" s="56" t="str">
        <x:v>습지</x:v>
      </x:c>
      <x:c r="E919" s="56" t="str">
        <x:v>흔함</x:v>
      </x:c>
      <x:c r="F919" s="56" t="str">
        <x:v>아니오</x:v>
      </x:c>
      <x:c r="G919" s="56" t="str">
        <x:v>아니오</x:v>
      </x:c>
      <x:c r="H919" s="56" t="str">
        <x:v>예</x:v>
      </x:c>
      <x:c r="I919" s="56" t="str">
        <x:v>—</x:v>
      </x:c>
      <x:c r="J919" s="57" t="str">
        <x:v>—</x:v>
      </x:c>
      <x:c r="K919" s="57" t="str">
        <x:v>—</x:v>
      </x:c>
      <x:c r="L919" s="57" t="str">
        <x:v>—</x:v>
      </x:c>
      <x:c r="M919" s="57" t="str">
        <x:v>—</x:v>
      </x:c>
      <x:c r="N919" s="57" t="str">
        <x:v>—</x:v>
      </x:c>
      <x:c r="O919" s="57" t="str">
        <x:v>—</x:v>
      </x:c>
      <x:c r="P919" s="57" t="str">
        <x:v>—</x:v>
      </x:c>
      <x:c r="Q919" s="57" t="str">
        <x:v>—</x:v>
      </x:c>
      <x:c r="R919" s="57" t="str">
        <x:v>포함</x:v>
      </x:c>
    </x:row>
    <x:row r="920">
      <x:c r="A920" s="60" t="n">
        <x:v>916</x:v>
      </x:c>
      <x:c r="B920" s="56" t="str">
        <x:v>퍼퓨돈</x:v>
      </x:c>
      <x:c r="C920" s="56" t="str">
        <x:v>oinkologne</x:v>
      </x:c>
      <x:c r="D920" s="56" t="str">
        <x:v>습지</x:v>
      </x:c>
      <x:c r="E920" s="56" t="str">
        <x:v>흔함</x:v>
      </x:c>
      <x:c r="F920" s="56" t="str">
        <x:v>아니오</x:v>
      </x:c>
      <x:c r="G920" s="56" t="str">
        <x:v>아니오</x:v>
      </x:c>
      <x:c r="H920" s="56" t="str">
        <x:v>예</x:v>
      </x:c>
      <x:c r="I920" s="56" t="str">
        <x:v>—</x:v>
      </x:c>
      <x:c r="J920" s="57" t="str">
        <x:v>—</x:v>
      </x:c>
      <x:c r="K920" s="57" t="str">
        <x:v>—</x:v>
      </x:c>
      <x:c r="L920" s="57" t="str">
        <x:v>—</x:v>
      </x:c>
      <x:c r="M920" s="57" t="str">
        <x:v>—</x:v>
      </x:c>
      <x:c r="N920" s="57" t="str">
        <x:v>—</x:v>
      </x:c>
      <x:c r="O920" s="57" t="str">
        <x:v>—</x:v>
      </x:c>
      <x:c r="P920" s="57" t="str">
        <x:v>—</x:v>
      </x:c>
      <x:c r="Q920" s="57" t="str">
        <x:v>—</x:v>
      </x:c>
      <x:c r="R920" s="57" t="str">
        <x:v>포함</x:v>
      </x:c>
    </x:row>
    <x:row r="921">
      <x:c r="A921" s="60" t="n">
        <x:v>917</x:v>
      </x:c>
      <x:c r="B921" s="56" t="str">
        <x:v>타랜툴라</x:v>
      </x:c>
      <x:c r="C921" s="56" t="str">
        <x:v>tarountula</x:v>
      </x:c>
      <x:c r="D921" s="56" t="str">
        <x:v>숲</x:v>
      </x:c>
      <x:c r="E921" s="56" t="str">
        <x:v>흔함</x:v>
      </x:c>
      <x:c r="F921" s="56" t="str">
        <x:v>아니오</x:v>
      </x:c>
      <x:c r="G921" s="56" t="str">
        <x:v>아니오</x:v>
      </x:c>
      <x:c r="H921" s="56" t="str">
        <x:v>예</x:v>
      </x:c>
      <x:c r="I921" s="56" t="str">
        <x:v>—</x:v>
      </x:c>
      <x:c r="J921" s="57" t="str">
        <x:v>—</x:v>
      </x:c>
      <x:c r="K921" s="57" t="str">
        <x:v>—</x:v>
      </x:c>
      <x:c r="L921" s="57" t="str">
        <x:v>—</x:v>
      </x:c>
      <x:c r="M921" s="57" t="str">
        <x:v>—</x:v>
      </x:c>
      <x:c r="N921" s="57" t="str">
        <x:v>—</x:v>
      </x:c>
      <x:c r="O921" s="57" t="str">
        <x:v>—</x:v>
      </x:c>
      <x:c r="P921" s="57" t="str">
        <x:v>—</x:v>
      </x:c>
      <x:c r="Q921" s="57" t="str">
        <x:v>—</x:v>
      </x:c>
      <x:c r="R921" s="57" t="str">
        <x:v>포함</x:v>
      </x:c>
    </x:row>
    <x:row r="922">
      <x:c r="A922" s="60" t="n">
        <x:v>918</x:v>
      </x:c>
      <x:c r="B922" s="56" t="str">
        <x:v>트래피더</x:v>
      </x:c>
      <x:c r="C922" s="56" t="str">
        <x:v>spidops</x:v>
      </x:c>
      <x:c r="D922" s="56" t="str">
        <x:v>숲</x:v>
      </x:c>
      <x:c r="E922" s="56" t="str">
        <x:v>흔함</x:v>
      </x:c>
      <x:c r="F922" s="56" t="str">
        <x:v>아니오</x:v>
      </x:c>
      <x:c r="G922" s="56" t="str">
        <x:v>아니오</x:v>
      </x:c>
      <x:c r="H922" s="56" t="str">
        <x:v>예</x:v>
      </x:c>
      <x:c r="I922" s="56" t="str">
        <x:v>—</x:v>
      </x:c>
      <x:c r="J922" s="57" t="str">
        <x:v>—</x:v>
      </x:c>
      <x:c r="K922" s="57" t="str">
        <x:v>—</x:v>
      </x:c>
      <x:c r="L922" s="57" t="str">
        <x:v>—</x:v>
      </x:c>
      <x:c r="M922" s="57" t="str">
        <x:v>—</x:v>
      </x:c>
      <x:c r="N922" s="57" t="str">
        <x:v>—</x:v>
      </x:c>
      <x:c r="O922" s="57" t="str">
        <x:v>—</x:v>
      </x:c>
      <x:c r="P922" s="57" t="str">
        <x:v>—</x:v>
      </x:c>
      <x:c r="Q922" s="57" t="str">
        <x:v>—</x:v>
      </x:c>
      <x:c r="R922" s="57" t="str">
        <x:v>포함</x:v>
      </x:c>
    </x:row>
    <x:row r="923">
      <x:c r="A923" s="60" t="n">
        <x:v>919</x:v>
      </x:c>
      <x:c r="B923" s="56" t="str">
        <x:v>콩알뚜기</x:v>
      </x:c>
      <x:c r="C923" s="56" t="str">
        <x:v>nymble</x:v>
      </x:c>
      <x:c r="D923" s="56" t="str">
        <x:v>건조지</x:v>
      </x:c>
      <x:c r="E923" s="56" t="str">
        <x:v>흔함</x:v>
      </x:c>
      <x:c r="F923" s="56" t="str">
        <x:v>아니오</x:v>
      </x:c>
      <x:c r="G923" s="56" t="str">
        <x:v>아니오</x:v>
      </x:c>
      <x:c r="H923" s="56" t="str">
        <x:v>예</x:v>
      </x:c>
      <x:c r="I923" s="56" t="str">
        <x:v>—</x:v>
      </x:c>
      <x:c r="J923" s="57" t="str">
        <x:v>—</x:v>
      </x:c>
      <x:c r="K923" s="57" t="str">
        <x:v>—</x:v>
      </x:c>
      <x:c r="L923" s="57" t="str">
        <x:v>—</x:v>
      </x:c>
      <x:c r="M923" s="57" t="str">
        <x:v>—</x:v>
      </x:c>
      <x:c r="N923" s="57" t="str">
        <x:v>—</x:v>
      </x:c>
      <x:c r="O923" s="57" t="str">
        <x:v>—</x:v>
      </x:c>
      <x:c r="P923" s="57" t="str">
        <x:v>—</x:v>
      </x:c>
      <x:c r="Q923" s="57" t="str">
        <x:v>—</x:v>
      </x:c>
      <x:c r="R923" s="57" t="str">
        <x:v>포함</x:v>
      </x:c>
    </x:row>
    <x:row r="924">
      <x:c r="A924" s="60" t="n">
        <x:v>920</x:v>
      </x:c>
      <x:c r="B924" s="56" t="str">
        <x:v>엑스레그</x:v>
      </x:c>
      <x:c r="C924" s="56" t="str">
        <x:v>lokix</x:v>
      </x:c>
      <x:c r="D924" s="56" t="str">
        <x:v>건조지</x:v>
      </x:c>
      <x:c r="E924" s="56" t="str">
        <x:v>드묾</x:v>
      </x:c>
      <x:c r="F924" s="56" t="str">
        <x:v>아니오</x:v>
      </x:c>
      <x:c r="G924" s="56" t="str">
        <x:v>아니오</x:v>
      </x:c>
      <x:c r="H924" s="56" t="str">
        <x:v>예</x:v>
      </x:c>
      <x:c r="I924" s="56" t="str">
        <x:v>—</x:v>
      </x:c>
      <x:c r="J924" s="57" t="str">
        <x:v>—</x:v>
      </x:c>
      <x:c r="K924" s="57" t="str">
        <x:v>—</x:v>
      </x:c>
      <x:c r="L924" s="57" t="str">
        <x:v>—</x:v>
      </x:c>
      <x:c r="M924" s="57" t="str">
        <x:v>—</x:v>
      </x:c>
      <x:c r="N924" s="57" t="str">
        <x:v>—</x:v>
      </x:c>
      <x:c r="O924" s="57" t="str">
        <x:v>—</x:v>
      </x:c>
      <x:c r="P924" s="57" t="str">
        <x:v>—</x:v>
      </x:c>
      <x:c r="Q924" s="57" t="str">
        <x:v>—</x:v>
      </x:c>
      <x:c r="R924" s="57" t="str">
        <x:v>포함</x:v>
      </x:c>
    </x:row>
    <x:row r="925">
      <x:c r="A925" s="60" t="n">
        <x:v>921</x:v>
      </x:c>
      <x:c r="B925" s="56" t="str">
        <x:v>빠모</x:v>
      </x:c>
      <x:c r="C925" s="56" t="str">
        <x:v>pawmi</x:v>
      </x:c>
      <x:c r="D925" s="56" t="str">
        <x:v>평원</x:v>
      </x:c>
      <x:c r="E925" s="56" t="str">
        <x:v>보통</x:v>
      </x:c>
      <x:c r="F925" s="56" t="str">
        <x:v>아니오</x:v>
      </x:c>
      <x:c r="G925" s="56" t="str">
        <x:v>아니오</x:v>
      </x:c>
      <x:c r="H925" s="56" t="str">
        <x:v>예</x:v>
      </x:c>
      <x:c r="I925" s="56" t="str">
        <x:v>—</x:v>
      </x:c>
      <x:c r="J925" s="57" t="str">
        <x:v>—</x:v>
      </x:c>
      <x:c r="K925" s="57" t="str">
        <x:v>—</x:v>
      </x:c>
      <x:c r="L925" s="57" t="str">
        <x:v>—</x:v>
      </x:c>
      <x:c r="M925" s="57" t="str">
        <x:v>—</x:v>
      </x:c>
      <x:c r="N925" s="57" t="str">
        <x:v>—</x:v>
      </x:c>
      <x:c r="O925" s="57" t="str">
        <x:v>—</x:v>
      </x:c>
      <x:c r="P925" s="57" t="str">
        <x:v>—</x:v>
      </x:c>
      <x:c r="Q925" s="57" t="str">
        <x:v>—</x:v>
      </x:c>
      <x:c r="R925" s="57" t="str">
        <x:v>포함</x:v>
      </x:c>
    </x:row>
    <x:row r="926">
      <x:c r="A926" s="60" t="n">
        <x:v>922</x:v>
      </x:c>
      <x:c r="B926" s="56" t="str">
        <x:v>빠모트</x:v>
      </x:c>
      <x:c r="C926" s="56" t="str">
        <x:v>pawmo</x:v>
      </x:c>
      <x:c r="D926" s="56" t="str">
        <x:v>평원</x:v>
      </x:c>
      <x:c r="E926" s="56" t="str">
        <x:v>보통</x:v>
      </x:c>
      <x:c r="F926" s="56" t="str">
        <x:v>아니오</x:v>
      </x:c>
      <x:c r="G926" s="56" t="str">
        <x:v>아니오</x:v>
      </x:c>
      <x:c r="H926" s="56" t="str">
        <x:v>예</x:v>
      </x:c>
      <x:c r="I926" s="56" t="str">
        <x:v>—</x:v>
      </x:c>
      <x:c r="J926" s="57" t="str">
        <x:v>—</x:v>
      </x:c>
      <x:c r="K926" s="57" t="str">
        <x:v>—</x:v>
      </x:c>
      <x:c r="L926" s="57" t="str">
        <x:v>—</x:v>
      </x:c>
      <x:c r="M926" s="57" t="str">
        <x:v>—</x:v>
      </x:c>
      <x:c r="N926" s="57" t="str">
        <x:v>—</x:v>
      </x:c>
      <x:c r="O926" s="57" t="str">
        <x:v>—</x:v>
      </x:c>
      <x:c r="P926" s="57" t="str">
        <x:v>—</x:v>
      </x:c>
      <x:c r="Q926" s="57" t="str">
        <x:v>—</x:v>
      </x:c>
      <x:c r="R926" s="57" t="str">
        <x:v>포함</x:v>
      </x:c>
    </x:row>
    <x:row r="927">
      <x:c r="A927" s="60" t="n">
        <x:v>923</x:v>
      </x:c>
      <x:c r="B927" s="56" t="str">
        <x:v>빠르모트</x:v>
      </x:c>
      <x:c r="C927" s="56" t="str">
        <x:v>pawmot</x:v>
      </x:c>
      <x:c r="D927" s="56" t="str">
        <x:v>평원</x:v>
      </x:c>
      <x:c r="E927" s="56" t="str">
        <x:v>드묾</x:v>
      </x:c>
      <x:c r="F927" s="56" t="str">
        <x:v>아니오</x:v>
      </x:c>
      <x:c r="G927" s="56" t="str">
        <x:v>아니오</x:v>
      </x:c>
      <x:c r="H927" s="56" t="str">
        <x:v>예</x:v>
      </x:c>
      <x:c r="I927" s="56" t="str">
        <x:v>—</x:v>
      </x:c>
      <x:c r="J927" s="57" t="str">
        <x:v>—</x:v>
      </x:c>
      <x:c r="K927" s="57" t="str">
        <x:v>—</x:v>
      </x:c>
      <x:c r="L927" s="57" t="str">
        <x:v>—</x:v>
      </x:c>
      <x:c r="M927" s="57" t="str">
        <x:v>—</x:v>
      </x:c>
      <x:c r="N927" s="57" t="str">
        <x:v>—</x:v>
      </x:c>
      <x:c r="O927" s="57" t="str">
        <x:v>—</x:v>
      </x:c>
      <x:c r="P927" s="57" t="str">
        <x:v>—</x:v>
      </x:c>
      <x:c r="Q927" s="57" t="str">
        <x:v>—</x:v>
      </x:c>
      <x:c r="R927" s="57" t="str">
        <x:v>포함</x:v>
      </x:c>
    </x:row>
    <x:row r="928">
      <x:c r="A928" s="60" t="n">
        <x:v>924</x:v>
      </x:c>
      <x:c r="B928" s="56" t="str">
        <x:v>두리쥐</x:v>
      </x:c>
      <x:c r="C928" s="56" t="str">
        <x:v>tandemaus</x:v>
      </x:c>
      <x:c r="D928" s="56" t="str">
        <x:v>평원</x:v>
      </x:c>
      <x:c r="E928" s="56" t="str">
        <x:v>흔함</x:v>
      </x:c>
      <x:c r="F928" s="56" t="str">
        <x:v>아니오</x:v>
      </x:c>
      <x:c r="G928" s="56" t="str">
        <x:v>아니오</x:v>
      </x:c>
      <x:c r="H928" s="56" t="str">
        <x:v>예</x:v>
      </x:c>
      <x:c r="I928" s="56" t="str">
        <x:v>—</x:v>
      </x:c>
      <x:c r="J928" s="57" t="str">
        <x:v>—</x:v>
      </x:c>
      <x:c r="K928" s="57" t="str">
        <x:v>—</x:v>
      </x:c>
      <x:c r="L928" s="57" t="str">
        <x:v>—</x:v>
      </x:c>
      <x:c r="M928" s="57" t="str">
        <x:v>—</x:v>
      </x:c>
      <x:c r="N928" s="57" t="str">
        <x:v>—</x:v>
      </x:c>
      <x:c r="O928" s="57" t="str">
        <x:v>—</x:v>
      </x:c>
      <x:c r="P928" s="57" t="str">
        <x:v>—</x:v>
      </x:c>
      <x:c r="Q928" s="57" t="str">
        <x:v>—</x:v>
      </x:c>
      <x:c r="R928" s="57" t="str">
        <x:v>포함</x:v>
      </x:c>
    </x:row>
    <x:row r="929">
      <x:c r="A929" s="60" t="n">
        <x:v>925</x:v>
      </x:c>
      <x:c r="B929" s="56" t="str">
        <x:v>파밀리쥐</x:v>
      </x:c>
      <x:c r="C929" s="56" t="str">
        <x:v>maushold</x:v>
      </x:c>
      <x:c r="D929" s="56" t="str">
        <x:v>평원</x:v>
      </x:c>
      <x:c r="E929" s="56" t="str">
        <x:v>흔함</x:v>
      </x:c>
      <x:c r="F929" s="56" t="str">
        <x:v>아니오</x:v>
      </x:c>
      <x:c r="G929" s="56" t="str">
        <x:v>아니오</x:v>
      </x:c>
      <x:c r="H929" s="56" t="str">
        <x:v>예</x:v>
      </x:c>
      <x:c r="I929" s="56" t="str">
        <x:v>—</x:v>
      </x:c>
      <x:c r="J929" s="57" t="str">
        <x:v>—</x:v>
      </x:c>
      <x:c r="K929" s="57" t="str">
        <x:v>—</x:v>
      </x:c>
      <x:c r="L929" s="57" t="str">
        <x:v>—</x:v>
      </x:c>
      <x:c r="M929" s="57" t="str">
        <x:v>—</x:v>
      </x:c>
      <x:c r="N929" s="57" t="str">
        <x:v>—</x:v>
      </x:c>
      <x:c r="O929" s="57" t="str">
        <x:v>—</x:v>
      </x:c>
      <x:c r="P929" s="57" t="str">
        <x:v>—</x:v>
      </x:c>
      <x:c r="Q929" s="57" t="str">
        <x:v>—</x:v>
      </x:c>
      <x:c r="R929" s="57" t="str">
        <x:v>포함</x:v>
      </x:c>
    </x:row>
    <x:row r="930">
      <x:c r="A930" s="60" t="n">
        <x:v>926</x:v>
      </x:c>
      <x:c r="B930" s="56" t="str">
        <x:v>쫀도기</x:v>
      </x:c>
      <x:c r="C930" s="56" t="str">
        <x:v>fidough</x:v>
      </x:c>
      <x:c r="D930" s="56" t="str">
        <x:v>평원</x:v>
      </x:c>
      <x:c r="E930" s="56" t="str">
        <x:v>흔함</x:v>
      </x:c>
      <x:c r="F930" s="56" t="str">
        <x:v>아니오</x:v>
      </x:c>
      <x:c r="G930" s="56" t="str">
        <x:v>아니오</x:v>
      </x:c>
      <x:c r="H930" s="56" t="str">
        <x:v>예</x:v>
      </x:c>
      <x:c r="I930" s="56" t="str">
        <x:v>—</x:v>
      </x:c>
      <x:c r="J930" s="57" t="str">
        <x:v>—</x:v>
      </x:c>
      <x:c r="K930" s="57" t="str">
        <x:v>—</x:v>
      </x:c>
      <x:c r="L930" s="57" t="str">
        <x:v>—</x:v>
      </x:c>
      <x:c r="M930" s="57" t="str">
        <x:v>—</x:v>
      </x:c>
      <x:c r="N930" s="57" t="str">
        <x:v>—</x:v>
      </x:c>
      <x:c r="O930" s="57" t="str">
        <x:v>—</x:v>
      </x:c>
      <x:c r="P930" s="57" t="str">
        <x:v>—</x:v>
      </x:c>
      <x:c r="Q930" s="57" t="str">
        <x:v>—</x:v>
      </x:c>
      <x:c r="R930" s="57" t="str">
        <x:v>포함</x:v>
      </x:c>
    </x:row>
    <x:row r="931">
      <x:c r="A931" s="60" t="n">
        <x:v>927</x:v>
      </x:c>
      <x:c r="B931" s="56" t="str">
        <x:v>바우첼</x:v>
      </x:c>
      <x:c r="C931" s="56" t="str">
        <x:v>dachsbun</x:v>
      </x:c>
      <x:c r="D931" s="56" t="str">
        <x:v>평원</x:v>
      </x:c>
      <x:c r="E931" s="56" t="str">
        <x:v>흔함</x:v>
      </x:c>
      <x:c r="F931" s="56" t="str">
        <x:v>아니오</x:v>
      </x:c>
      <x:c r="G931" s="56" t="str">
        <x:v>아니오</x:v>
      </x:c>
      <x:c r="H931" s="56" t="str">
        <x:v>예</x:v>
      </x:c>
      <x:c r="I931" s="56" t="str">
        <x:v>—</x:v>
      </x:c>
      <x:c r="J931" s="57" t="str">
        <x:v>—</x:v>
      </x:c>
      <x:c r="K931" s="57" t="str">
        <x:v>—</x:v>
      </x:c>
      <x:c r="L931" s="57" t="str">
        <x:v>—</x:v>
      </x:c>
      <x:c r="M931" s="57" t="str">
        <x:v>—</x:v>
      </x:c>
      <x:c r="N931" s="57" t="str">
        <x:v>—</x:v>
      </x:c>
      <x:c r="O931" s="57" t="str">
        <x:v>—</x:v>
      </x:c>
      <x:c r="P931" s="57" t="str">
        <x:v>—</x:v>
      </x:c>
      <x:c r="Q931" s="57" t="str">
        <x:v>—</x:v>
      </x:c>
      <x:c r="R931" s="57" t="str">
        <x:v>포함</x:v>
      </x:c>
    </x:row>
    <x:row r="932">
      <x:c r="A932" s="60" t="n">
        <x:v>928</x:v>
      </x:c>
      <x:c r="B932" s="56" t="str">
        <x:v>미니브</x:v>
      </x:c>
      <x:c r="C932" s="56" t="str">
        <x:v>smoliv</x:v>
      </x:c>
      <x:c r="D932" s="56" t="str">
        <x:v>평원</x:v>
      </x:c>
      <x:c r="E932" s="56" t="str">
        <x:v>보통</x:v>
      </x:c>
      <x:c r="F932" s="56" t="str">
        <x:v>아니오</x:v>
      </x:c>
      <x:c r="G932" s="56" t="str">
        <x:v>아니오</x:v>
      </x:c>
      <x:c r="H932" s="56" t="str">
        <x:v>예</x:v>
      </x:c>
      <x:c r="I932" s="56" t="str">
        <x:v>—</x:v>
      </x:c>
      <x:c r="J932" s="57" t="str">
        <x:v>—</x:v>
      </x:c>
      <x:c r="K932" s="57" t="str">
        <x:v>—</x:v>
      </x:c>
      <x:c r="L932" s="57" t="str">
        <x:v>—</x:v>
      </x:c>
      <x:c r="M932" s="57" t="str">
        <x:v>—</x:v>
      </x:c>
      <x:c r="N932" s="57" t="str">
        <x:v>—</x:v>
      </x:c>
      <x:c r="O932" s="57" t="str">
        <x:v>—</x:v>
      </x:c>
      <x:c r="P932" s="57" t="str">
        <x:v>—</x:v>
      </x:c>
      <x:c r="Q932" s="57" t="str">
        <x:v>—</x:v>
      </x:c>
      <x:c r="R932" s="57" t="str">
        <x:v>포함</x:v>
      </x:c>
    </x:row>
    <x:row r="933">
      <x:c r="A933" s="60" t="n">
        <x:v>929</x:v>
      </x:c>
      <x:c r="B933" s="56" t="str">
        <x:v>올리뇨</x:v>
      </x:c>
      <x:c r="C933" s="56" t="str">
        <x:v>dolliv</x:v>
      </x:c>
      <x:c r="D933" s="56" t="str">
        <x:v>평원</x:v>
      </x:c>
      <x:c r="E933" s="56" t="str">
        <x:v>보통</x:v>
      </x:c>
      <x:c r="F933" s="56" t="str">
        <x:v>아니오</x:v>
      </x:c>
      <x:c r="G933" s="56" t="str">
        <x:v>아니오</x:v>
      </x:c>
      <x:c r="H933" s="56" t="str">
        <x:v>예</x:v>
      </x:c>
      <x:c r="I933" s="56" t="str">
        <x:v>—</x:v>
      </x:c>
      <x:c r="J933" s="57" t="str">
        <x:v>—</x:v>
      </x:c>
      <x:c r="K933" s="57" t="str">
        <x:v>—</x:v>
      </x:c>
      <x:c r="L933" s="57" t="str">
        <x:v>—</x:v>
      </x:c>
      <x:c r="M933" s="57" t="str">
        <x:v>—</x:v>
      </x:c>
      <x:c r="N933" s="57" t="str">
        <x:v>—</x:v>
      </x:c>
      <x:c r="O933" s="57" t="str">
        <x:v>—</x:v>
      </x:c>
      <x:c r="P933" s="57" t="str">
        <x:v>—</x:v>
      </x:c>
      <x:c r="Q933" s="57" t="str">
        <x:v>—</x:v>
      </x:c>
      <x:c r="R933" s="57" t="str">
        <x:v>포함</x:v>
      </x:c>
    </x:row>
    <x:row r="934">
      <x:c r="A934" s="60" t="n">
        <x:v>930</x:v>
      </x:c>
      <x:c r="B934" s="56" t="str">
        <x:v>올리르바</x:v>
      </x:c>
      <x:c r="C934" s="56" t="str">
        <x:v>arboliva</x:v>
      </x:c>
      <x:c r="D934" s="56" t="str">
        <x:v>평원</x:v>
      </x:c>
      <x:c r="E934" s="56" t="str">
        <x:v>보통</x:v>
      </x:c>
      <x:c r="F934" s="56" t="str">
        <x:v>아니오</x:v>
      </x:c>
      <x:c r="G934" s="56" t="str">
        <x:v>아니오</x:v>
      </x:c>
      <x:c r="H934" s="56" t="str">
        <x:v>예</x:v>
      </x:c>
      <x:c r="I934" s="56" t="str">
        <x:v>—</x:v>
      </x:c>
      <x:c r="J934" s="57" t="str">
        <x:v>—</x:v>
      </x:c>
      <x:c r="K934" s="57" t="str">
        <x:v>—</x:v>
      </x:c>
      <x:c r="L934" s="57" t="str">
        <x:v>—</x:v>
      </x:c>
      <x:c r="M934" s="57" t="str">
        <x:v>—</x:v>
      </x:c>
      <x:c r="N934" s="57" t="str">
        <x:v>—</x:v>
      </x:c>
      <x:c r="O934" s="57" t="str">
        <x:v>—</x:v>
      </x:c>
      <x:c r="P934" s="57" t="str">
        <x:v>—</x:v>
      </x:c>
      <x:c r="Q934" s="57" t="str">
        <x:v>—</x:v>
      </x:c>
      <x:c r="R934" s="57" t="str">
        <x:v>포함</x:v>
      </x:c>
    </x:row>
    <x:row r="935">
      <x:c r="A935" s="60" t="n">
        <x:v>931</x:v>
      </x:c>
      <x:c r="B935" s="56" t="str">
        <x:v>시비꼬</x:v>
      </x:c>
      <x:c r="C935" s="56" t="str">
        <x:v>squawkabilly</x:v>
      </x:c>
      <x:c r="D935" s="56" t="str">
        <x:v>숲</x:v>
      </x:c>
      <x:c r="E935" s="56" t="str">
        <x:v>흔함</x:v>
      </x:c>
      <x:c r="F935" s="56" t="str">
        <x:v>아니오</x:v>
      </x:c>
      <x:c r="G935" s="56" t="str">
        <x:v>아니오</x:v>
      </x:c>
      <x:c r="H935" s="56" t="str">
        <x:v>예</x:v>
      </x:c>
      <x:c r="I935" s="56" t="str">
        <x:v>—</x:v>
      </x:c>
      <x:c r="J935" s="57" t="str">
        <x:v>—</x:v>
      </x:c>
      <x:c r="K935" s="57" t="str">
        <x:v>—</x:v>
      </x:c>
      <x:c r="L935" s="57" t="str">
        <x:v>—</x:v>
      </x:c>
      <x:c r="M935" s="57" t="str">
        <x:v>—</x:v>
      </x:c>
      <x:c r="N935" s="57" t="str">
        <x:v>—</x:v>
      </x:c>
      <x:c r="O935" s="57" t="str">
        <x:v>—</x:v>
      </x:c>
      <x:c r="P935" s="57" t="str">
        <x:v>—</x:v>
      </x:c>
      <x:c r="Q935" s="57" t="str">
        <x:v>—</x:v>
      </x:c>
      <x:c r="R935" s="57" t="str">
        <x:v>포함</x:v>
      </x:c>
    </x:row>
    <x:row r="936">
      <x:c r="A936" s="60" t="n">
        <x:v>932</x:v>
      </x:c>
      <x:c r="B936" s="56" t="str">
        <x:v>베베솔트</x:v>
      </x:c>
      <x:c r="C936" s="56" t="str">
        <x:v>nacli</x:v>
      </x:c>
      <x:c r="D936" s="56" t="str">
        <x:v>화산</x:v>
      </x:c>
      <x:c r="E936" s="56" t="str">
        <x:v>흔함</x:v>
      </x:c>
      <x:c r="F936" s="56" t="str">
        <x:v>아니오</x:v>
      </x:c>
      <x:c r="G936" s="56" t="str">
        <x:v>아니오</x:v>
      </x:c>
      <x:c r="H936" s="56" t="str">
        <x:v>예</x:v>
      </x:c>
      <x:c r="I936" s="56" t="str">
        <x:v>—</x:v>
      </x:c>
      <x:c r="J936" s="57" t="str">
        <x:v>—</x:v>
      </x:c>
      <x:c r="K936" s="57" t="str">
        <x:v>—</x:v>
      </x:c>
      <x:c r="L936" s="57" t="str">
        <x:v>—</x:v>
      </x:c>
      <x:c r="M936" s="57" t="str">
        <x:v>—</x:v>
      </x:c>
      <x:c r="N936" s="57" t="str">
        <x:v>—</x:v>
      </x:c>
      <x:c r="O936" s="57" t="str">
        <x:v>—</x:v>
      </x:c>
      <x:c r="P936" s="57" t="str">
        <x:v>—</x:v>
      </x:c>
      <x:c r="Q936" s="57" t="str">
        <x:v>—</x:v>
      </x:c>
      <x:c r="R936" s="57" t="str">
        <x:v>포함</x:v>
      </x:c>
    </x:row>
    <x:row r="937">
      <x:c r="A937" s="60" t="n">
        <x:v>933</x:v>
      </x:c>
      <x:c r="B937" s="56" t="str">
        <x:v>스태솔트</x:v>
      </x:c>
      <x:c r="C937" s="56" t="str">
        <x:v>naclstack</x:v>
      </x:c>
      <x:c r="D937" s="56" t="str">
        <x:v>화산</x:v>
      </x:c>
      <x:c r="E937" s="56" t="str">
        <x:v>흔함</x:v>
      </x:c>
      <x:c r="F937" s="56" t="str">
        <x:v>아니오</x:v>
      </x:c>
      <x:c r="G937" s="56" t="str">
        <x:v>아니오</x:v>
      </x:c>
      <x:c r="H937" s="56" t="str">
        <x:v>예</x:v>
      </x:c>
      <x:c r="I937" s="56" t="str">
        <x:v>—</x:v>
      </x:c>
      <x:c r="J937" s="57" t="str">
        <x:v>—</x:v>
      </x:c>
      <x:c r="K937" s="57" t="str">
        <x:v>—</x:v>
      </x:c>
      <x:c r="L937" s="57" t="str">
        <x:v>—</x:v>
      </x:c>
      <x:c r="M937" s="57" t="str">
        <x:v>—</x:v>
      </x:c>
      <x:c r="N937" s="57" t="str">
        <x:v>—</x:v>
      </x:c>
      <x:c r="O937" s="57" t="str">
        <x:v>—</x:v>
      </x:c>
      <x:c r="P937" s="57" t="str">
        <x:v>—</x:v>
      </x:c>
      <x:c r="Q937" s="57" t="str">
        <x:v>—</x:v>
      </x:c>
      <x:c r="R937" s="57" t="str">
        <x:v>포함</x:v>
      </x:c>
    </x:row>
    <x:row r="938">
      <x:c r="A938" s="60" t="n">
        <x:v>934</x:v>
      </x:c>
      <x:c r="B938" s="56" t="str">
        <x:v>콜로솔트</x:v>
      </x:c>
      <x:c r="C938" s="56" t="str">
        <x:v>garganacl</x:v>
      </x:c>
      <x:c r="D938" s="56" t="str">
        <x:v>화산</x:v>
      </x:c>
      <x:c r="E938" s="56" t="str">
        <x:v>흔함</x:v>
      </x:c>
      <x:c r="F938" s="56" t="str">
        <x:v>아니오</x:v>
      </x:c>
      <x:c r="G938" s="56" t="str">
        <x:v>아니오</x:v>
      </x:c>
      <x:c r="H938" s="56" t="str">
        <x:v>예</x:v>
      </x:c>
      <x:c r="I938" s="56" t="str">
        <x:v>—</x:v>
      </x:c>
      <x:c r="J938" s="57" t="str">
        <x:v>—</x:v>
      </x:c>
      <x:c r="K938" s="57" t="str">
        <x:v>—</x:v>
      </x:c>
      <x:c r="L938" s="57" t="str">
        <x:v>—</x:v>
      </x:c>
      <x:c r="M938" s="57" t="str">
        <x:v>—</x:v>
      </x:c>
      <x:c r="N938" s="57" t="str">
        <x:v>—</x:v>
      </x:c>
      <x:c r="O938" s="57" t="str">
        <x:v>—</x:v>
      </x:c>
      <x:c r="P938" s="57" t="str">
        <x:v>—</x:v>
      </x:c>
      <x:c r="Q938" s="57" t="str">
        <x:v>—</x:v>
      </x:c>
      <x:c r="R938" s="57" t="str">
        <x:v>포함</x:v>
      </x:c>
    </x:row>
    <x:row r="939">
      <x:c r="A939" s="60" t="n">
        <x:v>935</x:v>
      </x:c>
      <x:c r="B939" s="56" t="str">
        <x:v>카르본</x:v>
      </x:c>
      <x:c r="C939" s="56" t="str">
        <x:v>charcadet</x:v>
      </x:c>
      <x:c r="D939" s="56" t="str">
        <x:v>화산</x:v>
      </x:c>
      <x:c r="E939" s="56" t="str">
        <x:v>보통</x:v>
      </x:c>
      <x:c r="F939" s="56" t="str">
        <x:v>아니오</x:v>
      </x:c>
      <x:c r="G939" s="56" t="str">
        <x:v>아니오</x:v>
      </x:c>
      <x:c r="H939" s="56" t="str">
        <x:v>예</x:v>
      </x:c>
      <x:c r="I939" s="56" t="str">
        <x:v>—</x:v>
      </x:c>
      <x:c r="J939" s="57" t="str">
        <x:v>—</x:v>
      </x:c>
      <x:c r="K939" s="57" t="str">
        <x:v>—</x:v>
      </x:c>
      <x:c r="L939" s="57" t="str">
        <x:v>—</x:v>
      </x:c>
      <x:c r="M939" s="57" t="str">
        <x:v>—</x:v>
      </x:c>
      <x:c r="N939" s="57" t="str">
        <x:v>—</x:v>
      </x:c>
      <x:c r="O939" s="57" t="str">
        <x:v>—</x:v>
      </x:c>
      <x:c r="P939" s="57" t="str">
        <x:v>—</x:v>
      </x:c>
      <x:c r="Q939" s="57" t="str">
        <x:v>—</x:v>
      </x:c>
      <x:c r="R939" s="57" t="str">
        <x:v>포함</x:v>
      </x:c>
    </x:row>
    <x:row r="940">
      <x:c r="A940" s="60" t="n">
        <x:v>936</x:v>
      </x:c>
      <x:c r="B940" s="56" t="str">
        <x:v>카디나르마</x:v>
      </x:c>
      <x:c r="C940" s="56" t="str">
        <x:v>armarouge</x:v>
      </x:c>
      <x:c r="D940" s="56" t="str">
        <x:v>화산</x:v>
      </x:c>
      <x:c r="E940" s="56" t="str">
        <x:v>보통</x:v>
      </x:c>
      <x:c r="F940" s="56" t="str">
        <x:v>아니오</x:v>
      </x:c>
      <x:c r="G940" s="56" t="str">
        <x:v>아니오</x:v>
      </x:c>
      <x:c r="H940" s="56" t="str">
        <x:v>예</x:v>
      </x:c>
      <x:c r="I940" s="56" t="str">
        <x:v>—</x:v>
      </x:c>
      <x:c r="J940" s="57" t="str">
        <x:v>—</x:v>
      </x:c>
      <x:c r="K940" s="57" t="str">
        <x:v>—</x:v>
      </x:c>
      <x:c r="L940" s="57" t="str">
        <x:v>—</x:v>
      </x:c>
      <x:c r="M940" s="57" t="str">
        <x:v>—</x:v>
      </x:c>
      <x:c r="N940" s="57" t="str">
        <x:v>—</x:v>
      </x:c>
      <x:c r="O940" s="57" t="str">
        <x:v>—</x:v>
      </x:c>
      <x:c r="P940" s="57" t="str">
        <x:v>—</x:v>
      </x:c>
      <x:c r="Q940" s="57" t="str">
        <x:v>—</x:v>
      </x:c>
      <x:c r="R940" s="57" t="str">
        <x:v>포함</x:v>
      </x:c>
    </x:row>
    <x:row r="941">
      <x:c r="A941" s="60" t="n">
        <x:v>937</x:v>
      </x:c>
      <x:c r="B941" s="56" t="str">
        <x:v>파라블레이즈</x:v>
      </x:c>
      <x:c r="C941" s="56" t="str">
        <x:v>ceruledge</x:v>
      </x:c>
      <x:c r="D941" s="56" t="str">
        <x:v>화산</x:v>
      </x:c>
      <x:c r="E941" s="56" t="str">
        <x:v>보통</x:v>
      </x:c>
      <x:c r="F941" s="56" t="str">
        <x:v>아니오</x:v>
      </x:c>
      <x:c r="G941" s="56" t="str">
        <x:v>아니오</x:v>
      </x:c>
      <x:c r="H941" s="56" t="str">
        <x:v>예</x:v>
      </x:c>
      <x:c r="I941" s="56" t="str">
        <x:v>—</x:v>
      </x:c>
      <x:c r="J941" s="57" t="str">
        <x:v>—</x:v>
      </x:c>
      <x:c r="K941" s="57" t="str">
        <x:v>—</x:v>
      </x:c>
      <x:c r="L941" s="57" t="str">
        <x:v>—</x:v>
      </x:c>
      <x:c r="M941" s="57" t="str">
        <x:v>—</x:v>
      </x:c>
      <x:c r="N941" s="57" t="str">
        <x:v>—</x:v>
      </x:c>
      <x:c r="O941" s="57" t="str">
        <x:v>—</x:v>
      </x:c>
      <x:c r="P941" s="57" t="str">
        <x:v>—</x:v>
      </x:c>
      <x:c r="Q941" s="57" t="str">
        <x:v>—</x:v>
      </x:c>
      <x:c r="R941" s="57" t="str">
        <x:v>포함</x:v>
      </x:c>
    </x:row>
    <x:row r="942">
      <x:c r="A942" s="60" t="n">
        <x:v>938</x:v>
      </x:c>
      <x:c r="B942" s="56" t="str">
        <x:v>빈나두</x:v>
      </x:c>
      <x:c r="C942" s="56" t="str">
        <x:v>tadbulb</x:v>
      </x:c>
      <x:c r="D942" s="56" t="str">
        <x:v>담수</x:v>
      </x:c>
      <x:c r="E942" s="56" t="str">
        <x:v>흔함</x:v>
      </x:c>
      <x:c r="F942" s="56" t="str">
        <x:v>아니오</x:v>
      </x:c>
      <x:c r="G942" s="56" t="str">
        <x:v>아니오</x:v>
      </x:c>
      <x:c r="H942" s="56" t="str">
        <x:v>예</x:v>
      </x:c>
      <x:c r="I942" s="56" t="str">
        <x:v>—</x:v>
      </x:c>
      <x:c r="J942" s="57" t="str">
        <x:v>—</x:v>
      </x:c>
      <x:c r="K942" s="57" t="str">
        <x:v>—</x:v>
      </x:c>
      <x:c r="L942" s="57" t="str">
        <x:v>—</x:v>
      </x:c>
      <x:c r="M942" s="57" t="str">
        <x:v>—</x:v>
      </x:c>
      <x:c r="N942" s="57" t="str">
        <x:v>—</x:v>
      </x:c>
      <x:c r="O942" s="57" t="str">
        <x:v>—</x:v>
      </x:c>
      <x:c r="P942" s="57" t="str">
        <x:v>—</x:v>
      </x:c>
      <x:c r="Q942" s="57" t="str">
        <x:v>—</x:v>
      </x:c>
      <x:c r="R942" s="57" t="str">
        <x:v>포함</x:v>
      </x:c>
    </x:row>
    <x:row r="943">
      <x:c r="A943" s="60" t="n">
        <x:v>939</x:v>
      </x:c>
      <x:c r="B943" s="56" t="str">
        <x:v>찌리배리</x:v>
      </x:c>
      <x:c r="C943" s="56" t="str">
        <x:v>bellibolt</x:v>
      </x:c>
      <x:c r="D943" s="56" t="str">
        <x:v>담수</x:v>
      </x:c>
      <x:c r="E943" s="56" t="str">
        <x:v>흔함</x:v>
      </x:c>
      <x:c r="F943" s="56" t="str">
        <x:v>아니오</x:v>
      </x:c>
      <x:c r="G943" s="56" t="str">
        <x:v>아니오</x:v>
      </x:c>
      <x:c r="H943" s="56" t="str">
        <x:v>예</x:v>
      </x:c>
      <x:c r="I943" s="56" t="str">
        <x:v>—</x:v>
      </x:c>
      <x:c r="J943" s="57" t="str">
        <x:v>—</x:v>
      </x:c>
      <x:c r="K943" s="57" t="str">
        <x:v>—</x:v>
      </x:c>
      <x:c r="L943" s="57" t="str">
        <x:v>—</x:v>
      </x:c>
      <x:c r="M943" s="57" t="str">
        <x:v>—</x:v>
      </x:c>
      <x:c r="N943" s="57" t="str">
        <x:v>—</x:v>
      </x:c>
      <x:c r="O943" s="57" t="str">
        <x:v>—</x:v>
      </x:c>
      <x:c r="P943" s="57" t="str">
        <x:v>—</x:v>
      </x:c>
      <x:c r="Q943" s="57" t="str">
        <x:v>—</x:v>
      </x:c>
      <x:c r="R943" s="57" t="str">
        <x:v>포함</x:v>
      </x:c>
    </x:row>
    <x:row r="944">
      <x:c r="A944" s="60" t="n">
        <x:v>940</x:v>
      </x:c>
      <x:c r="B944" s="56" t="str">
        <x:v>찌리비</x:v>
      </x:c>
      <x:c r="C944" s="56" t="str">
        <x:v>wattrel</x:v>
      </x:c>
      <x:c r="D944" s="56" t="str">
        <x:v>해양</x:v>
      </x:c>
      <x:c r="E944" s="56" t="str">
        <x:v>보통</x:v>
      </x:c>
      <x:c r="F944" s="56" t="str">
        <x:v>아니오</x:v>
      </x:c>
      <x:c r="G944" s="56" t="str">
        <x:v>아니오</x:v>
      </x:c>
      <x:c r="H944" s="56" t="str">
        <x:v>예</x:v>
      </x:c>
      <x:c r="I944" s="56" t="str">
        <x:v>—</x:v>
      </x:c>
      <x:c r="J944" s="57" t="str">
        <x:v>—</x:v>
      </x:c>
      <x:c r="K944" s="57" t="str">
        <x:v>—</x:v>
      </x:c>
      <x:c r="L944" s="57" t="str">
        <x:v>—</x:v>
      </x:c>
      <x:c r="M944" s="57" t="str">
        <x:v>—</x:v>
      </x:c>
      <x:c r="N944" s="57" t="str">
        <x:v>—</x:v>
      </x:c>
      <x:c r="O944" s="57" t="str">
        <x:v>—</x:v>
      </x:c>
      <x:c r="P944" s="57" t="str">
        <x:v>—</x:v>
      </x:c>
      <x:c r="Q944" s="57" t="str">
        <x:v>—</x:v>
      </x:c>
      <x:c r="R944" s="57" t="str">
        <x:v>포함</x:v>
      </x:c>
    </x:row>
    <x:row r="945">
      <x:c r="A945" s="60" t="n">
        <x:v>941</x:v>
      </x:c>
      <x:c r="B945" s="56" t="str">
        <x:v>찌리비크</x:v>
      </x:c>
      <x:c r="C945" s="56" t="str">
        <x:v>kilowattrel</x:v>
      </x:c>
      <x:c r="D945" s="56" t="str">
        <x:v>해양</x:v>
      </x:c>
      <x:c r="E945" s="56" t="str">
        <x:v>보통</x:v>
      </x:c>
      <x:c r="F945" s="56" t="str">
        <x:v>아니오</x:v>
      </x:c>
      <x:c r="G945" s="56" t="str">
        <x:v>아니오</x:v>
      </x:c>
      <x:c r="H945" s="56" t="str">
        <x:v>예</x:v>
      </x:c>
      <x:c r="I945" s="56" t="str">
        <x:v>—</x:v>
      </x:c>
      <x:c r="J945" s="57" t="str">
        <x:v>—</x:v>
      </x:c>
      <x:c r="K945" s="57" t="str">
        <x:v>—</x:v>
      </x:c>
      <x:c r="L945" s="57" t="str">
        <x:v>—</x:v>
      </x:c>
      <x:c r="M945" s="57" t="str">
        <x:v>—</x:v>
      </x:c>
      <x:c r="N945" s="57" t="str">
        <x:v>—</x:v>
      </x:c>
      <x:c r="O945" s="57" t="str">
        <x:v>—</x:v>
      </x:c>
      <x:c r="P945" s="57" t="str">
        <x:v>—</x:v>
      </x:c>
      <x:c r="Q945" s="57" t="str">
        <x:v>—</x:v>
      </x:c>
      <x:c r="R945" s="57" t="str">
        <x:v>포함</x:v>
      </x:c>
    </x:row>
    <x:row r="946">
      <x:c r="A946" s="60" t="n">
        <x:v>942</x:v>
      </x:c>
      <x:c r="B946" s="56" t="str">
        <x:v>오라티프</x:v>
      </x:c>
      <x:c r="C946" s="56" t="str">
        <x:v>maschiff</x:v>
      </x:c>
      <x:c r="D946" s="56" t="str">
        <x:v>특수</x:v>
      </x:c>
      <x:c r="E946" s="56" t="str">
        <x:v>흔함</x:v>
      </x:c>
      <x:c r="F946" s="56" t="str">
        <x:v>아니오</x:v>
      </x:c>
      <x:c r="G946" s="56" t="str">
        <x:v>아니오</x:v>
      </x:c>
      <x:c r="H946" s="56" t="str">
        <x:v>예</x:v>
      </x:c>
      <x:c r="I946" s="56" t="str">
        <x:v>—</x:v>
      </x:c>
      <x:c r="J946" s="57" t="str">
        <x:v>—</x:v>
      </x:c>
      <x:c r="K946" s="57" t="str">
        <x:v>—</x:v>
      </x:c>
      <x:c r="L946" s="57" t="str">
        <x:v>—</x:v>
      </x:c>
      <x:c r="M946" s="57" t="str">
        <x:v>—</x:v>
      </x:c>
      <x:c r="N946" s="57" t="str">
        <x:v>—</x:v>
      </x:c>
      <x:c r="O946" s="57" t="str">
        <x:v>—</x:v>
      </x:c>
      <x:c r="P946" s="57" t="str">
        <x:v>—</x:v>
      </x:c>
      <x:c r="Q946" s="57" t="str">
        <x:v>—</x:v>
      </x:c>
      <x:c r="R946" s="57" t="str">
        <x:v>포함</x:v>
      </x:c>
    </x:row>
    <x:row r="947">
      <x:c r="A947" s="60" t="n">
        <x:v>943</x:v>
      </x:c>
      <x:c r="B947" s="56" t="str">
        <x:v>마피티프</x:v>
      </x:c>
      <x:c r="C947" s="56" t="str">
        <x:v>mabosstiff</x:v>
      </x:c>
      <x:c r="D947" s="56" t="str">
        <x:v>특수</x:v>
      </x:c>
      <x:c r="E947" s="56" t="str">
        <x:v>흔함</x:v>
      </x:c>
      <x:c r="F947" s="56" t="str">
        <x:v>아니오</x:v>
      </x:c>
      <x:c r="G947" s="56" t="str">
        <x:v>아니오</x:v>
      </x:c>
      <x:c r="H947" s="56" t="str">
        <x:v>예</x:v>
      </x:c>
      <x:c r="I947" s="56" t="str">
        <x:v>—</x:v>
      </x:c>
      <x:c r="J947" s="57" t="str">
        <x:v>—</x:v>
      </x:c>
      <x:c r="K947" s="57" t="str">
        <x:v>—</x:v>
      </x:c>
      <x:c r="L947" s="57" t="str">
        <x:v>—</x:v>
      </x:c>
      <x:c r="M947" s="57" t="str">
        <x:v>—</x:v>
      </x:c>
      <x:c r="N947" s="57" t="str">
        <x:v>—</x:v>
      </x:c>
      <x:c r="O947" s="57" t="str">
        <x:v>—</x:v>
      </x:c>
      <x:c r="P947" s="57" t="str">
        <x:v>—</x:v>
      </x:c>
      <x:c r="Q947" s="57" t="str">
        <x:v>—</x:v>
      </x:c>
      <x:c r="R947" s="57" t="str">
        <x:v>포함</x:v>
      </x:c>
    </x:row>
    <x:row r="948">
      <x:c r="A948" s="60" t="n">
        <x:v>944</x:v>
      </x:c>
      <x:c r="B948" s="56" t="str">
        <x:v>땃쭈르</x:v>
      </x:c>
      <x:c r="C948" s="56" t="str">
        <x:v>shroodle</x:v>
      </x:c>
      <x:c r="D948" s="56" t="str">
        <x:v>숲</x:v>
      </x:c>
      <x:c r="E948" s="56" t="str">
        <x:v>흔함</x:v>
      </x:c>
      <x:c r="F948" s="56" t="str">
        <x:v>아니오</x:v>
      </x:c>
      <x:c r="G948" s="56" t="str">
        <x:v>아니오</x:v>
      </x:c>
      <x:c r="H948" s="56" t="str">
        <x:v>예</x:v>
      </x:c>
      <x:c r="I948" s="56" t="str">
        <x:v>—</x:v>
      </x:c>
      <x:c r="J948" s="57" t="str">
        <x:v>—</x:v>
      </x:c>
      <x:c r="K948" s="57" t="str">
        <x:v>—</x:v>
      </x:c>
      <x:c r="L948" s="57" t="str">
        <x:v>—</x:v>
      </x:c>
      <x:c r="M948" s="57" t="str">
        <x:v>—</x:v>
      </x:c>
      <x:c r="N948" s="57" t="str">
        <x:v>—</x:v>
      </x:c>
      <x:c r="O948" s="57" t="str">
        <x:v>—</x:v>
      </x:c>
      <x:c r="P948" s="57" t="str">
        <x:v>—</x:v>
      </x:c>
      <x:c r="Q948" s="57" t="str">
        <x:v>—</x:v>
      </x:c>
      <x:c r="R948" s="57" t="str">
        <x:v>포함</x:v>
      </x:c>
    </x:row>
    <x:row r="949">
      <x:c r="A949" s="60" t="n">
        <x:v>945</x:v>
      </x:c>
      <x:c r="B949" s="56" t="str">
        <x:v>태깅구르</x:v>
      </x:c>
      <x:c r="C949" s="56" t="str">
        <x:v>grafaiai</x:v>
      </x:c>
      <x:c r="D949" s="56" t="str">
        <x:v>숲</x:v>
      </x:c>
      <x:c r="E949" s="56" t="str">
        <x:v>흔함</x:v>
      </x:c>
      <x:c r="F949" s="56" t="str">
        <x:v>아니오</x:v>
      </x:c>
      <x:c r="G949" s="56" t="str">
        <x:v>아니오</x:v>
      </x:c>
      <x:c r="H949" s="56" t="str">
        <x:v>예</x:v>
      </x:c>
      <x:c r="I949" s="56" t="str">
        <x:v>—</x:v>
      </x:c>
      <x:c r="J949" s="57" t="str">
        <x:v>—</x:v>
      </x:c>
      <x:c r="K949" s="57" t="str">
        <x:v>—</x:v>
      </x:c>
      <x:c r="L949" s="57" t="str">
        <x:v>—</x:v>
      </x:c>
      <x:c r="M949" s="57" t="str">
        <x:v>—</x:v>
      </x:c>
      <x:c r="N949" s="57" t="str">
        <x:v>—</x:v>
      </x:c>
      <x:c r="O949" s="57" t="str">
        <x:v>—</x:v>
      </x:c>
      <x:c r="P949" s="57" t="str">
        <x:v>—</x:v>
      </x:c>
      <x:c r="Q949" s="57" t="str">
        <x:v>—</x:v>
      </x:c>
      <x:c r="R949" s="57" t="str">
        <x:v>포함</x:v>
      </x:c>
    </x:row>
    <x:row r="950">
      <x:c r="A950" s="60" t="n">
        <x:v>946</x:v>
      </x:c>
      <x:c r="B950" s="56" t="str">
        <x:v>그푸리</x:v>
      </x:c>
      <x:c r="C950" s="56" t="str">
        <x:v>bramblin</x:v>
      </x:c>
      <x:c r="D950" s="56" t="str">
        <x:v>건조지</x:v>
      </x:c>
      <x:c r="E950" s="56" t="str">
        <x:v>흔함</x:v>
      </x:c>
      <x:c r="F950" s="56" t="str">
        <x:v>아니오</x:v>
      </x:c>
      <x:c r="G950" s="56" t="str">
        <x:v>아니오</x:v>
      </x:c>
      <x:c r="H950" s="56" t="str">
        <x:v>예</x:v>
      </x:c>
      <x:c r="I950" s="56" t="str">
        <x:v>—</x:v>
      </x:c>
      <x:c r="J950" s="57" t="str">
        <x:v>—</x:v>
      </x:c>
      <x:c r="K950" s="57" t="str">
        <x:v>—</x:v>
      </x:c>
      <x:c r="L950" s="57" t="str">
        <x:v>—</x:v>
      </x:c>
      <x:c r="M950" s="57" t="str">
        <x:v>—</x:v>
      </x:c>
      <x:c r="N950" s="57" t="str">
        <x:v>—</x:v>
      </x:c>
      <x:c r="O950" s="57" t="str">
        <x:v>—</x:v>
      </x:c>
      <x:c r="P950" s="57" t="str">
        <x:v>—</x:v>
      </x:c>
      <x:c r="Q950" s="57" t="str">
        <x:v>—</x:v>
      </x:c>
      <x:c r="R950" s="57" t="str">
        <x:v>포함</x:v>
      </x:c>
    </x:row>
    <x:row r="951">
      <x:c r="A951" s="60" t="n">
        <x:v>947</x:v>
      </x:c>
      <x:c r="B951" s="56" t="str">
        <x:v>공푸리</x:v>
      </x:c>
      <x:c r="C951" s="56" t="str">
        <x:v>brambleghast</x:v>
      </x:c>
      <x:c r="D951" s="56" t="str">
        <x:v>건조지</x:v>
      </x:c>
      <x:c r="E951" s="56" t="str">
        <x:v>흔함</x:v>
      </x:c>
      <x:c r="F951" s="56" t="str">
        <x:v>아니오</x:v>
      </x:c>
      <x:c r="G951" s="56" t="str">
        <x:v>아니오</x:v>
      </x:c>
      <x:c r="H951" s="56" t="str">
        <x:v>예</x:v>
      </x:c>
      <x:c r="I951" s="56" t="str">
        <x:v>—</x:v>
      </x:c>
      <x:c r="J951" s="57" t="str">
        <x:v>—</x:v>
      </x:c>
      <x:c r="K951" s="57" t="str">
        <x:v>—</x:v>
      </x:c>
      <x:c r="L951" s="57" t="str">
        <x:v>—</x:v>
      </x:c>
      <x:c r="M951" s="57" t="str">
        <x:v>—</x:v>
      </x:c>
      <x:c r="N951" s="57" t="str">
        <x:v>—</x:v>
      </x:c>
      <x:c r="O951" s="57" t="str">
        <x:v>—</x:v>
      </x:c>
      <x:c r="P951" s="57" t="str">
        <x:v>—</x:v>
      </x:c>
      <x:c r="Q951" s="57" t="str">
        <x:v>—</x:v>
      </x:c>
      <x:c r="R951" s="57" t="str">
        <x:v>포함</x:v>
      </x:c>
    </x:row>
    <x:row r="952">
      <x:c r="A952" s="60" t="n">
        <x:v>948</x:v>
      </x:c>
      <x:c r="B952" s="56" t="str">
        <x:v>들눈해</x:v>
      </x:c>
      <x:c r="C952" s="56" t="str">
        <x:v>toedscool</x:v>
      </x:c>
      <x:c r="D952" s="56" t="str">
        <x:v>화산</x:v>
      </x:c>
      <x:c r="E952" s="56" t="str">
        <x:v>흔함</x:v>
      </x:c>
      <x:c r="F952" s="56" t="str">
        <x:v>아니오</x:v>
      </x:c>
      <x:c r="G952" s="56" t="str">
        <x:v>아니오</x:v>
      </x:c>
      <x:c r="H952" s="56" t="str">
        <x:v>예</x:v>
      </x:c>
      <x:c r="I952" s="56" t="str">
        <x:v>—</x:v>
      </x:c>
      <x:c r="J952" s="57" t="str">
        <x:v>—</x:v>
      </x:c>
      <x:c r="K952" s="57" t="str">
        <x:v>—</x:v>
      </x:c>
      <x:c r="L952" s="57" t="str">
        <x:v>—</x:v>
      </x:c>
      <x:c r="M952" s="57" t="str">
        <x:v>—</x:v>
      </x:c>
      <x:c r="N952" s="57" t="str">
        <x:v>—</x:v>
      </x:c>
      <x:c r="O952" s="57" t="str">
        <x:v>—</x:v>
      </x:c>
      <x:c r="P952" s="57" t="str">
        <x:v>—</x:v>
      </x:c>
      <x:c r="Q952" s="57" t="str">
        <x:v>—</x:v>
      </x:c>
      <x:c r="R952" s="57" t="str">
        <x:v>포함</x:v>
      </x:c>
    </x:row>
    <x:row r="953">
      <x:c r="A953" s="60" t="n">
        <x:v>949</x:v>
      </x:c>
      <x:c r="B953" s="56" t="str">
        <x:v>육파리</x:v>
      </x:c>
      <x:c r="C953" s="56" t="str">
        <x:v>toedscruel</x:v>
      </x:c>
      <x:c r="D953" s="56" t="str">
        <x:v>화산</x:v>
      </x:c>
      <x:c r="E953" s="56" t="str">
        <x:v>흔함</x:v>
      </x:c>
      <x:c r="F953" s="56" t="str">
        <x:v>아니오</x:v>
      </x:c>
      <x:c r="G953" s="56" t="str">
        <x:v>아니오</x:v>
      </x:c>
      <x:c r="H953" s="56" t="str">
        <x:v>예</x:v>
      </x:c>
      <x:c r="I953" s="56" t="str">
        <x:v>—</x:v>
      </x:c>
      <x:c r="J953" s="57" t="str">
        <x:v>—</x:v>
      </x:c>
      <x:c r="K953" s="57" t="str">
        <x:v>—</x:v>
      </x:c>
      <x:c r="L953" s="57" t="str">
        <x:v>—</x:v>
      </x:c>
      <x:c r="M953" s="57" t="str">
        <x:v>—</x:v>
      </x:c>
      <x:c r="N953" s="57" t="str">
        <x:v>—</x:v>
      </x:c>
      <x:c r="O953" s="57" t="str">
        <x:v>—</x:v>
      </x:c>
      <x:c r="P953" s="57" t="str">
        <x:v>—</x:v>
      </x:c>
      <x:c r="Q953" s="57" t="str">
        <x:v>—</x:v>
      </x:c>
      <x:c r="R953" s="57" t="str">
        <x:v>포함</x:v>
      </x:c>
    </x:row>
    <x:row r="954">
      <x:c r="A954" s="60" t="n">
        <x:v>950</x:v>
      </x:c>
      <x:c r="B954" s="56" t="str">
        <x:v>절벼게</x:v>
      </x:c>
      <x:c r="C954" s="56" t="str">
        <x:v>klawf</x:v>
      </x:c>
      <x:c r="D954" s="56" t="str">
        <x:v>건조지</x:v>
      </x:c>
      <x:c r="E954" s="56" t="str">
        <x:v>보통</x:v>
      </x:c>
      <x:c r="F954" s="56" t="str">
        <x:v>아니오</x:v>
      </x:c>
      <x:c r="G954" s="56" t="str">
        <x:v>아니오</x:v>
      </x:c>
      <x:c r="H954" s="56" t="str">
        <x:v>예</x:v>
      </x:c>
      <x:c r="I954" s="56" t="str">
        <x:v>—</x:v>
      </x:c>
      <x:c r="J954" s="57" t="str">
        <x:v>—</x:v>
      </x:c>
      <x:c r="K954" s="57" t="str">
        <x:v>—</x:v>
      </x:c>
      <x:c r="L954" s="57" t="str">
        <x:v>—</x:v>
      </x:c>
      <x:c r="M954" s="57" t="str">
        <x:v>—</x:v>
      </x:c>
      <x:c r="N954" s="57" t="str">
        <x:v>—</x:v>
      </x:c>
      <x:c r="O954" s="57" t="str">
        <x:v>—</x:v>
      </x:c>
      <x:c r="P954" s="57" t="str">
        <x:v>—</x:v>
      </x:c>
      <x:c r="Q954" s="57" t="str">
        <x:v>—</x:v>
      </x:c>
      <x:c r="R954" s="57" t="str">
        <x:v>포함</x:v>
      </x:c>
    </x:row>
    <x:row r="955">
      <x:c r="A955" s="60" t="n">
        <x:v>951</x:v>
      </x:c>
      <x:c r="B955" s="56" t="str">
        <x:v>캡싸이</x:v>
      </x:c>
      <x:c r="C955" s="56" t="str">
        <x:v>capsakid</x:v>
      </x:c>
      <x:c r="D955" s="56" t="str">
        <x:v>화산</x:v>
      </x:c>
      <x:c r="E955" s="56" t="str">
        <x:v>흔함</x:v>
      </x:c>
      <x:c r="F955" s="56" t="str">
        <x:v>아니오</x:v>
      </x:c>
      <x:c r="G955" s="56" t="str">
        <x:v>아니오</x:v>
      </x:c>
      <x:c r="H955" s="56" t="str">
        <x:v>예</x:v>
      </x:c>
      <x:c r="I955" s="56" t="str">
        <x:v>—</x:v>
      </x:c>
      <x:c r="J955" s="57" t="str">
        <x:v>—</x:v>
      </x:c>
      <x:c r="K955" s="57" t="str">
        <x:v>—</x:v>
      </x:c>
      <x:c r="L955" s="57" t="str">
        <x:v>—</x:v>
      </x:c>
      <x:c r="M955" s="57" t="str">
        <x:v>—</x:v>
      </x:c>
      <x:c r="N955" s="57" t="str">
        <x:v>—</x:v>
      </x:c>
      <x:c r="O955" s="57" t="str">
        <x:v>—</x:v>
      </x:c>
      <x:c r="P955" s="57" t="str">
        <x:v>—</x:v>
      </x:c>
      <x:c r="Q955" s="57" t="str">
        <x:v>—</x:v>
      </x:c>
      <x:c r="R955" s="57" t="str">
        <x:v>포함</x:v>
      </x:c>
    </x:row>
    <x:row r="956">
      <x:c r="A956" s="60" t="n">
        <x:v>952</x:v>
      </x:c>
      <x:c r="B956" s="56" t="str">
        <x:v>스코빌런</x:v>
      </x:c>
      <x:c r="C956" s="56" t="str">
        <x:v>scovillain</x:v>
      </x:c>
      <x:c r="D956" s="56" t="str">
        <x:v>화산</x:v>
      </x:c>
      <x:c r="E956" s="56" t="str">
        <x:v>흔함</x:v>
      </x:c>
      <x:c r="F956" s="56" t="str">
        <x:v>아니오</x:v>
      </x:c>
      <x:c r="G956" s="56" t="str">
        <x:v>아니오</x:v>
      </x:c>
      <x:c r="H956" s="56" t="str">
        <x:v>예</x:v>
      </x:c>
      <x:c r="I956" s="56" t="str">
        <x:v>—</x:v>
      </x:c>
      <x:c r="J956" s="57" t="str">
        <x:v>—</x:v>
      </x:c>
      <x:c r="K956" s="57" t="str">
        <x:v>—</x:v>
      </x:c>
      <x:c r="L956" s="57" t="str">
        <x:v>—</x:v>
      </x:c>
      <x:c r="M956" s="57" t="str">
        <x:v>—</x:v>
      </x:c>
      <x:c r="N956" s="57" t="str">
        <x:v>—</x:v>
      </x:c>
      <x:c r="O956" s="57" t="str">
        <x:v>—</x:v>
      </x:c>
      <x:c r="P956" s="57" t="str">
        <x:v>—</x:v>
      </x:c>
      <x:c r="Q956" s="57" t="str">
        <x:v>—</x:v>
      </x:c>
      <x:c r="R956" s="57" t="str">
        <x:v>포함</x:v>
      </x:c>
    </x:row>
    <x:row r="957">
      <x:c r="A957" s="60" t="n">
        <x:v>953</x:v>
      </x:c>
      <x:c r="B957" s="56" t="str">
        <x:v>구르데</x:v>
      </x:c>
      <x:c r="C957" s="56" t="str">
        <x:v>rellor</x:v>
      </x:c>
      <x:c r="D957" s="56" t="str">
        <x:v>건조지</x:v>
      </x:c>
      <x:c r="E957" s="56" t="str">
        <x:v>흔함</x:v>
      </x:c>
      <x:c r="F957" s="56" t="str">
        <x:v>아니오</x:v>
      </x:c>
      <x:c r="G957" s="56" t="str">
        <x:v>아니오</x:v>
      </x:c>
      <x:c r="H957" s="56" t="str">
        <x:v>예</x:v>
      </x:c>
      <x:c r="I957" s="56" t="str">
        <x:v>—</x:v>
      </x:c>
      <x:c r="J957" s="57" t="str">
        <x:v>—</x:v>
      </x:c>
      <x:c r="K957" s="57" t="str">
        <x:v>—</x:v>
      </x:c>
      <x:c r="L957" s="57" t="str">
        <x:v>—</x:v>
      </x:c>
      <x:c r="M957" s="57" t="str">
        <x:v>—</x:v>
      </x:c>
      <x:c r="N957" s="57" t="str">
        <x:v>—</x:v>
      </x:c>
      <x:c r="O957" s="57" t="str">
        <x:v>—</x:v>
      </x:c>
      <x:c r="P957" s="57" t="str">
        <x:v>—</x:v>
      </x:c>
      <x:c r="Q957" s="57" t="str">
        <x:v>—</x:v>
      </x:c>
      <x:c r="R957" s="57" t="str">
        <x:v>포함</x:v>
      </x:c>
    </x:row>
    <x:row r="958">
      <x:c r="A958" s="60" t="n">
        <x:v>954</x:v>
      </x:c>
      <x:c r="B958" s="56" t="str">
        <x:v>베라카스</x:v>
      </x:c>
      <x:c r="C958" s="56" t="str">
        <x:v>rabsca</x:v>
      </x:c>
      <x:c r="D958" s="56" t="str">
        <x:v>건조지</x:v>
      </x:c>
      <x:c r="E958" s="56" t="str">
        <x:v>흔함</x:v>
      </x:c>
      <x:c r="F958" s="56" t="str">
        <x:v>아니오</x:v>
      </x:c>
      <x:c r="G958" s="56" t="str">
        <x:v>아니오</x:v>
      </x:c>
      <x:c r="H958" s="56" t="str">
        <x:v>예</x:v>
      </x:c>
      <x:c r="I958" s="56" t="str">
        <x:v>—</x:v>
      </x:c>
      <x:c r="J958" s="57" t="str">
        <x:v>—</x:v>
      </x:c>
      <x:c r="K958" s="57" t="str">
        <x:v>—</x:v>
      </x:c>
      <x:c r="L958" s="57" t="str">
        <x:v>—</x:v>
      </x:c>
      <x:c r="M958" s="57" t="str">
        <x:v>—</x:v>
      </x:c>
      <x:c r="N958" s="57" t="str">
        <x:v>—</x:v>
      </x:c>
      <x:c r="O958" s="57" t="str">
        <x:v>—</x:v>
      </x:c>
      <x:c r="P958" s="57" t="str">
        <x:v>—</x:v>
      </x:c>
      <x:c r="Q958" s="57" t="str">
        <x:v>—</x:v>
      </x:c>
      <x:c r="R958" s="57" t="str">
        <x:v>포함</x:v>
      </x:c>
    </x:row>
    <x:row r="959">
      <x:c r="A959" s="60" t="n">
        <x:v>955</x:v>
      </x:c>
      <x:c r="B959" s="56" t="str">
        <x:v>하느라기</x:v>
      </x:c>
      <x:c r="C959" s="56" t="str">
        <x:v>flittle</x:v>
      </x:c>
      <x:c r="D959" s="56" t="str">
        <x:v>건조지</x:v>
      </x:c>
      <x:c r="E959" s="56" t="str">
        <x:v>보통</x:v>
      </x:c>
      <x:c r="F959" s="56" t="str">
        <x:v>아니오</x:v>
      </x:c>
      <x:c r="G959" s="56" t="str">
        <x:v>아니오</x:v>
      </x:c>
      <x:c r="H959" s="56" t="str">
        <x:v>예</x:v>
      </x:c>
      <x:c r="I959" s="56" t="str">
        <x:v>—</x:v>
      </x:c>
      <x:c r="J959" s="57" t="str">
        <x:v>—</x:v>
      </x:c>
      <x:c r="K959" s="57" t="str">
        <x:v>—</x:v>
      </x:c>
      <x:c r="L959" s="57" t="str">
        <x:v>—</x:v>
      </x:c>
      <x:c r="M959" s="57" t="str">
        <x:v>—</x:v>
      </x:c>
      <x:c r="N959" s="57" t="str">
        <x:v>—</x:v>
      </x:c>
      <x:c r="O959" s="57" t="str">
        <x:v>—</x:v>
      </x:c>
      <x:c r="P959" s="57" t="str">
        <x:v>—</x:v>
      </x:c>
      <x:c r="Q959" s="57" t="str">
        <x:v>—</x:v>
      </x:c>
      <x:c r="R959" s="57" t="str">
        <x:v>포함</x:v>
      </x:c>
    </x:row>
    <x:row r="960">
      <x:c r="A960" s="60" t="n">
        <x:v>956</x:v>
      </x:c>
      <x:c r="B960" s="56" t="str">
        <x:v>클레스퍼트라</x:v>
      </x:c>
      <x:c r="C960" s="56" t="str">
        <x:v>espathra</x:v>
      </x:c>
      <x:c r="D960" s="56" t="str">
        <x:v>건조지</x:v>
      </x:c>
      <x:c r="E960" s="56" t="str">
        <x:v>보통</x:v>
      </x:c>
      <x:c r="F960" s="56" t="str">
        <x:v>아니오</x:v>
      </x:c>
      <x:c r="G960" s="56" t="str">
        <x:v>아니오</x:v>
      </x:c>
      <x:c r="H960" s="56" t="str">
        <x:v>예</x:v>
      </x:c>
      <x:c r="I960" s="56" t="str">
        <x:v>—</x:v>
      </x:c>
      <x:c r="J960" s="57" t="str">
        <x:v>—</x:v>
      </x:c>
      <x:c r="K960" s="57" t="str">
        <x:v>—</x:v>
      </x:c>
      <x:c r="L960" s="57" t="str">
        <x:v>—</x:v>
      </x:c>
      <x:c r="M960" s="57" t="str">
        <x:v>—</x:v>
      </x:c>
      <x:c r="N960" s="57" t="str">
        <x:v>—</x:v>
      </x:c>
      <x:c r="O960" s="57" t="str">
        <x:v>—</x:v>
      </x:c>
      <x:c r="P960" s="57" t="str">
        <x:v>—</x:v>
      </x:c>
      <x:c r="Q960" s="57" t="str">
        <x:v>—</x:v>
      </x:c>
      <x:c r="R960" s="57" t="str">
        <x:v>포함</x:v>
      </x:c>
    </x:row>
    <x:row r="961">
      <x:c r="A961" s="60" t="n">
        <x:v>957</x:v>
      </x:c>
      <x:c r="B961" s="56" t="str">
        <x:v>어리짱</x:v>
      </x:c>
      <x:c r="C961" s="56" t="str">
        <x:v>tinkatink</x:v>
      </x:c>
      <x:c r="D961" s="56" t="str">
        <x:v>평원</x:v>
      </x:c>
      <x:c r="E961" s="56" t="str">
        <x:v>보통</x:v>
      </x:c>
      <x:c r="F961" s="56" t="str">
        <x:v>아니오</x:v>
      </x:c>
      <x:c r="G961" s="56" t="str">
        <x:v>아니오</x:v>
      </x:c>
      <x:c r="H961" s="56" t="str">
        <x:v>예</x:v>
      </x:c>
      <x:c r="I961" s="56" t="str">
        <x:v>—</x:v>
      </x:c>
      <x:c r="J961" s="57" t="str">
        <x:v>—</x:v>
      </x:c>
      <x:c r="K961" s="57" t="str">
        <x:v>—</x:v>
      </x:c>
      <x:c r="L961" s="57" t="str">
        <x:v>—</x:v>
      </x:c>
      <x:c r="M961" s="57" t="str">
        <x:v>—</x:v>
      </x:c>
      <x:c r="N961" s="57" t="str">
        <x:v>—</x:v>
      </x:c>
      <x:c r="O961" s="57" t="str">
        <x:v>—</x:v>
      </x:c>
      <x:c r="P961" s="57" t="str">
        <x:v>—</x:v>
      </x:c>
      <x:c r="Q961" s="57" t="str">
        <x:v>—</x:v>
      </x:c>
      <x:c r="R961" s="57" t="str">
        <x:v>포함</x:v>
      </x:c>
    </x:row>
    <x:row r="962">
      <x:c r="A962" s="60" t="n">
        <x:v>958</x:v>
      </x:c>
      <x:c r="B962" s="56" t="str">
        <x:v>벼리짱</x:v>
      </x:c>
      <x:c r="C962" s="56" t="str">
        <x:v>tinkatuff</x:v>
      </x:c>
      <x:c r="D962" s="56" t="str">
        <x:v>평원</x:v>
      </x:c>
      <x:c r="E962" s="56" t="str">
        <x:v>보통</x:v>
      </x:c>
      <x:c r="F962" s="56" t="str">
        <x:v>아니오</x:v>
      </x:c>
      <x:c r="G962" s="56" t="str">
        <x:v>아니오</x:v>
      </x:c>
      <x:c r="H962" s="56" t="str">
        <x:v>예</x:v>
      </x:c>
      <x:c r="I962" s="56" t="str">
        <x:v>—</x:v>
      </x:c>
      <x:c r="J962" s="57" t="str">
        <x:v>—</x:v>
      </x:c>
      <x:c r="K962" s="57" t="str">
        <x:v>—</x:v>
      </x:c>
      <x:c r="L962" s="57" t="str">
        <x:v>—</x:v>
      </x:c>
      <x:c r="M962" s="57" t="str">
        <x:v>—</x:v>
      </x:c>
      <x:c r="N962" s="57" t="str">
        <x:v>—</x:v>
      </x:c>
      <x:c r="O962" s="57" t="str">
        <x:v>—</x:v>
      </x:c>
      <x:c r="P962" s="57" t="str">
        <x:v>—</x:v>
      </x:c>
      <x:c r="Q962" s="57" t="str">
        <x:v>—</x:v>
      </x:c>
      <x:c r="R962" s="57" t="str">
        <x:v>포함</x:v>
      </x:c>
    </x:row>
    <x:row r="963">
      <x:c r="A963" s="60" t="n">
        <x:v>959</x:v>
      </x:c>
      <x:c r="B963" s="56" t="str">
        <x:v>두드리짱</x:v>
      </x:c>
      <x:c r="C963" s="56" t="str">
        <x:v>tinkaton</x:v>
      </x:c>
      <x:c r="D963" s="56" t="str">
        <x:v>평원</x:v>
      </x:c>
      <x:c r="E963" s="56" t="str">
        <x:v>보통</x:v>
      </x:c>
      <x:c r="F963" s="56" t="str">
        <x:v>아니오</x:v>
      </x:c>
      <x:c r="G963" s="56" t="str">
        <x:v>아니오</x:v>
      </x:c>
      <x:c r="H963" s="56" t="str">
        <x:v>예</x:v>
      </x:c>
      <x:c r="I963" s="56" t="str">
        <x:v>—</x:v>
      </x:c>
      <x:c r="J963" s="57" t="str">
        <x:v>—</x:v>
      </x:c>
      <x:c r="K963" s="57" t="str">
        <x:v>—</x:v>
      </x:c>
      <x:c r="L963" s="57" t="str">
        <x:v>—</x:v>
      </x:c>
      <x:c r="M963" s="57" t="str">
        <x:v>—</x:v>
      </x:c>
      <x:c r="N963" s="57" t="str">
        <x:v>—</x:v>
      </x:c>
      <x:c r="O963" s="57" t="str">
        <x:v>—</x:v>
      </x:c>
      <x:c r="P963" s="57" t="str">
        <x:v>—</x:v>
      </x:c>
      <x:c r="Q963" s="57" t="str">
        <x:v>—</x:v>
      </x:c>
      <x:c r="R963" s="57" t="str">
        <x:v>포함</x:v>
      </x:c>
    </x:row>
    <x:row r="964">
      <x:c r="A964" s="60" t="n">
        <x:v>960</x:v>
      </x:c>
      <x:c r="B964" s="56" t="str">
        <x:v>바다그다</x:v>
      </x:c>
      <x:c r="C964" s="56" t="str">
        <x:v>wiglett</x:v>
      </x:c>
      <x:c r="D964" s="56" t="str">
        <x:v>해양</x:v>
      </x:c>
      <x:c r="E964" s="56" t="str">
        <x:v>흔함</x:v>
      </x:c>
      <x:c r="F964" s="56" t="str">
        <x:v>아니오</x:v>
      </x:c>
      <x:c r="G964" s="56" t="str">
        <x:v>아니오</x:v>
      </x:c>
      <x:c r="H964" s="56" t="str">
        <x:v>예</x:v>
      </x:c>
      <x:c r="I964" s="56" t="str">
        <x:v>—</x:v>
      </x:c>
      <x:c r="J964" s="57" t="str">
        <x:v>—</x:v>
      </x:c>
      <x:c r="K964" s="57" t="str">
        <x:v>—</x:v>
      </x:c>
      <x:c r="L964" s="57" t="str">
        <x:v>—</x:v>
      </x:c>
      <x:c r="M964" s="57" t="str">
        <x:v>—</x:v>
      </x:c>
      <x:c r="N964" s="57" t="str">
        <x:v>—</x:v>
      </x:c>
      <x:c r="O964" s="57" t="str">
        <x:v>—</x:v>
      </x:c>
      <x:c r="P964" s="57" t="str">
        <x:v>—</x:v>
      </x:c>
      <x:c r="Q964" s="57" t="str">
        <x:v>—</x:v>
      </x:c>
      <x:c r="R964" s="57" t="str">
        <x:v>포함</x:v>
      </x:c>
    </x:row>
    <x:row r="965">
      <x:c r="A965" s="60" t="n">
        <x:v>961</x:v>
      </x:c>
      <x:c r="B965" s="56" t="str">
        <x:v>바닥트리오</x:v>
      </x:c>
      <x:c r="C965" s="56" t="str">
        <x:v>wugtrio</x:v>
      </x:c>
      <x:c r="D965" s="56" t="str">
        <x:v>해양</x:v>
      </x:c>
      <x:c r="E965" s="56" t="str">
        <x:v>흔함</x:v>
      </x:c>
      <x:c r="F965" s="56" t="str">
        <x:v>아니오</x:v>
      </x:c>
      <x:c r="G965" s="56" t="str">
        <x:v>아니오</x:v>
      </x:c>
      <x:c r="H965" s="56" t="str">
        <x:v>예</x:v>
      </x:c>
      <x:c r="I965" s="56" t="str">
        <x:v>—</x:v>
      </x:c>
      <x:c r="J965" s="57" t="str">
        <x:v>—</x:v>
      </x:c>
      <x:c r="K965" s="57" t="str">
        <x:v>—</x:v>
      </x:c>
      <x:c r="L965" s="57" t="str">
        <x:v>—</x:v>
      </x:c>
      <x:c r="M965" s="57" t="str">
        <x:v>—</x:v>
      </x:c>
      <x:c r="N965" s="57" t="str">
        <x:v>—</x:v>
      </x:c>
      <x:c r="O965" s="57" t="str">
        <x:v>—</x:v>
      </x:c>
      <x:c r="P965" s="57" t="str">
        <x:v>—</x:v>
      </x:c>
      <x:c r="Q965" s="57" t="str">
        <x:v>—</x:v>
      </x:c>
      <x:c r="R965" s="57" t="str">
        <x:v>포함</x:v>
      </x:c>
    </x:row>
    <x:row r="966">
      <x:c r="A966" s="60" t="n">
        <x:v>962</x:v>
      </x:c>
      <x:c r="B966" s="56" t="str">
        <x:v>떨구새</x:v>
      </x:c>
      <x:c r="C966" s="56" t="str">
        <x:v>bombirdier</x:v>
      </x:c>
      <x:c r="D966" s="56" t="str">
        <x:v>해양</x:v>
      </x:c>
      <x:c r="E966" s="56" t="str">
        <x:v>보통</x:v>
      </x:c>
      <x:c r="F966" s="56" t="str">
        <x:v>아니오</x:v>
      </x:c>
      <x:c r="G966" s="56" t="str">
        <x:v>아니오</x:v>
      </x:c>
      <x:c r="H966" s="56" t="str">
        <x:v>예</x:v>
      </x:c>
      <x:c r="I966" s="56" t="str">
        <x:v>—</x:v>
      </x:c>
      <x:c r="J966" s="57" t="str">
        <x:v>—</x:v>
      </x:c>
      <x:c r="K966" s="57" t="str">
        <x:v>—</x:v>
      </x:c>
      <x:c r="L966" s="57" t="str">
        <x:v>—</x:v>
      </x:c>
      <x:c r="M966" s="57" t="str">
        <x:v>—</x:v>
      </x:c>
      <x:c r="N966" s="57" t="str">
        <x:v>—</x:v>
      </x:c>
      <x:c r="O966" s="57" t="str">
        <x:v>—</x:v>
      </x:c>
      <x:c r="P966" s="57" t="str">
        <x:v>—</x:v>
      </x:c>
      <x:c r="Q966" s="57" t="str">
        <x:v>—</x:v>
      </x:c>
      <x:c r="R966" s="57" t="str">
        <x:v>포함</x:v>
      </x:c>
    </x:row>
    <x:row r="967">
      <x:c r="A967" s="60" t="n">
        <x:v>963</x:v>
      </x:c>
      <x:c r="B967" s="56" t="str">
        <x:v>맨돌핀</x:v>
      </x:c>
      <x:c r="C967" s="56" t="str">
        <x:v>finizen</x:v>
      </x:c>
      <x:c r="D967" s="56" t="str">
        <x:v>해양</x:v>
      </x:c>
      <x:c r="E967" s="56" t="str">
        <x:v>보통</x:v>
      </x:c>
      <x:c r="F967" s="56" t="str">
        <x:v>아니오</x:v>
      </x:c>
      <x:c r="G967" s="56" t="str">
        <x:v>아니오</x:v>
      </x:c>
      <x:c r="H967" s="56" t="str">
        <x:v>예</x:v>
      </x:c>
      <x:c r="I967" s="56" t="str">
        <x:v>—</x:v>
      </x:c>
      <x:c r="J967" s="57" t="str">
        <x:v>—</x:v>
      </x:c>
      <x:c r="K967" s="57" t="str">
        <x:v>—</x:v>
      </x:c>
      <x:c r="L967" s="57" t="str">
        <x:v>—</x:v>
      </x:c>
      <x:c r="M967" s="57" t="str">
        <x:v>—</x:v>
      </x:c>
      <x:c r="N967" s="57" t="str">
        <x:v>—</x:v>
      </x:c>
      <x:c r="O967" s="57" t="str">
        <x:v>—</x:v>
      </x:c>
      <x:c r="P967" s="57" t="str">
        <x:v>—</x:v>
      </x:c>
      <x:c r="Q967" s="57" t="str">
        <x:v>—</x:v>
      </x:c>
      <x:c r="R967" s="57" t="str">
        <x:v>포함</x:v>
      </x:c>
    </x:row>
    <x:row r="968">
      <x:c r="A968" s="60" t="n">
        <x:v>964</x:v>
      </x:c>
      <x:c r="B968" s="56" t="str">
        <x:v>돌핀맨</x:v>
      </x:c>
      <x:c r="C968" s="56" t="str">
        <x:v>palafin</x:v>
      </x:c>
      <x:c r="D968" s="56" t="str">
        <x:v>해양</x:v>
      </x:c>
      <x:c r="E968" s="56" t="str">
        <x:v>보통</x:v>
      </x:c>
      <x:c r="F968" s="56" t="str">
        <x:v>아니오</x:v>
      </x:c>
      <x:c r="G968" s="56" t="str">
        <x:v>아니오</x:v>
      </x:c>
      <x:c r="H968" s="56" t="str">
        <x:v>예</x:v>
      </x:c>
      <x:c r="I968" s="56" t="str">
        <x:v>—</x:v>
      </x:c>
      <x:c r="J968" s="57" t="str">
        <x:v>—</x:v>
      </x:c>
      <x:c r="K968" s="57" t="str">
        <x:v>—</x:v>
      </x:c>
      <x:c r="L968" s="57" t="str">
        <x:v>—</x:v>
      </x:c>
      <x:c r="M968" s="57" t="str">
        <x:v>—</x:v>
      </x:c>
      <x:c r="N968" s="57" t="str">
        <x:v>—</x:v>
      </x:c>
      <x:c r="O968" s="57" t="str">
        <x:v>—</x:v>
      </x:c>
      <x:c r="P968" s="57" t="str">
        <x:v>—</x:v>
      </x:c>
      <x:c r="Q968" s="57" t="str">
        <x:v>—</x:v>
      </x:c>
      <x:c r="R968" s="57" t="str">
        <x:v>포함</x:v>
      </x:c>
    </x:row>
    <x:row r="969">
      <x:c r="A969" s="60" t="n">
        <x:v>965</x:v>
      </x:c>
      <x:c r="B969" s="56" t="str">
        <x:v>부르롱</x:v>
      </x:c>
      <x:c r="C969" s="56" t="str">
        <x:v>varoom</x:v>
      </x:c>
      <x:c r="D969" s="56" t="str">
        <x:v>건조지</x:v>
      </x:c>
      <x:c r="E969" s="56" t="str">
        <x:v>보통</x:v>
      </x:c>
      <x:c r="F969" s="56" t="str">
        <x:v>아니오</x:v>
      </x:c>
      <x:c r="G969" s="56" t="str">
        <x:v>아니오</x:v>
      </x:c>
      <x:c r="H969" s="56" t="str">
        <x:v>예</x:v>
      </x:c>
      <x:c r="I969" s="56" t="str">
        <x:v>—</x:v>
      </x:c>
      <x:c r="J969" s="57" t="str">
        <x:v>—</x:v>
      </x:c>
      <x:c r="K969" s="57" t="str">
        <x:v>—</x:v>
      </x:c>
      <x:c r="L969" s="57" t="str">
        <x:v>—</x:v>
      </x:c>
      <x:c r="M969" s="57" t="str">
        <x:v>—</x:v>
      </x:c>
      <x:c r="N969" s="57" t="str">
        <x:v>—</x:v>
      </x:c>
      <x:c r="O969" s="57" t="str">
        <x:v>—</x:v>
      </x:c>
      <x:c r="P969" s="57" t="str">
        <x:v>—</x:v>
      </x:c>
      <x:c r="Q969" s="57" t="str">
        <x:v>—</x:v>
      </x:c>
      <x:c r="R969" s="57" t="str">
        <x:v>포함</x:v>
      </x:c>
    </x:row>
    <x:row r="970">
      <x:c r="A970" s="60" t="n">
        <x:v>966</x:v>
      </x:c>
      <x:c r="B970" s="56" t="str">
        <x:v>부르르룸</x:v>
      </x:c>
      <x:c r="C970" s="56" t="str">
        <x:v>revavroom</x:v>
      </x:c>
      <x:c r="D970" s="56" t="str">
        <x:v>건조지</x:v>
      </x:c>
      <x:c r="E970" s="56" t="str">
        <x:v>보통</x:v>
      </x:c>
      <x:c r="F970" s="56" t="str">
        <x:v>아니오</x:v>
      </x:c>
      <x:c r="G970" s="56" t="str">
        <x:v>아니오</x:v>
      </x:c>
      <x:c r="H970" s="56" t="str">
        <x:v>예</x:v>
      </x:c>
      <x:c r="I970" s="56" t="str">
        <x:v>—</x:v>
      </x:c>
      <x:c r="J970" s="57" t="str">
        <x:v>—</x:v>
      </x:c>
      <x:c r="K970" s="57" t="str">
        <x:v>—</x:v>
      </x:c>
      <x:c r="L970" s="57" t="str">
        <x:v>—</x:v>
      </x:c>
      <x:c r="M970" s="57" t="str">
        <x:v>—</x:v>
      </x:c>
      <x:c r="N970" s="57" t="str">
        <x:v>—</x:v>
      </x:c>
      <x:c r="O970" s="57" t="str">
        <x:v>—</x:v>
      </x:c>
      <x:c r="P970" s="57" t="str">
        <x:v>—</x:v>
      </x:c>
      <x:c r="Q970" s="57" t="str">
        <x:v>—</x:v>
      </x:c>
      <x:c r="R970" s="57" t="str">
        <x:v>포함</x:v>
      </x:c>
    </x:row>
    <x:row r="971">
      <x:c r="A971" s="60" t="n">
        <x:v>967</x:v>
      </x:c>
      <x:c r="B971" s="56" t="str">
        <x:v>모토마</x:v>
      </x:c>
      <x:c r="C971" s="56" t="str">
        <x:v>cyclizar</x:v>
      </x:c>
      <x:c r="D971" s="56" t="str">
        <x:v>건조지</x:v>
      </x:c>
      <x:c r="E971" s="56" t="str">
        <x:v>드묾</x:v>
      </x:c>
      <x:c r="F971" s="56" t="str">
        <x:v>아니오</x:v>
      </x:c>
      <x:c r="G971" s="56" t="str">
        <x:v>아니오</x:v>
      </x:c>
      <x:c r="H971" s="56" t="str">
        <x:v>예</x:v>
      </x:c>
      <x:c r="I971" s="56" t="str">
        <x:v>—</x:v>
      </x:c>
      <x:c r="J971" s="57" t="str">
        <x:v>—</x:v>
      </x:c>
      <x:c r="K971" s="57" t="str">
        <x:v>—</x:v>
      </x:c>
      <x:c r="L971" s="57" t="str">
        <x:v>—</x:v>
      </x:c>
      <x:c r="M971" s="57" t="str">
        <x:v>—</x:v>
      </x:c>
      <x:c r="N971" s="57" t="str">
        <x:v>—</x:v>
      </x:c>
      <x:c r="O971" s="57" t="str">
        <x:v>—</x:v>
      </x:c>
      <x:c r="P971" s="57" t="str">
        <x:v>—</x:v>
      </x:c>
      <x:c r="Q971" s="57" t="str">
        <x:v>—</x:v>
      </x:c>
      <x:c r="R971" s="57" t="str">
        <x:v>포함</x:v>
      </x:c>
    </x:row>
    <x:row r="972">
      <x:c r="A972" s="60" t="n">
        <x:v>968</x:v>
      </x:c>
      <x:c r="B972" s="56" t="str">
        <x:v>꿈트렁</x:v>
      </x:c>
      <x:c r="C972" s="56" t="str">
        <x:v>orthworm</x:v>
      </x:c>
      <x:c r="D972" s="56" t="str">
        <x:v>건조지</x:v>
      </x:c>
      <x:c r="E972" s="56" t="str">
        <x:v>보통</x:v>
      </x:c>
      <x:c r="F972" s="56" t="str">
        <x:v>아니오</x:v>
      </x:c>
      <x:c r="G972" s="56" t="str">
        <x:v>아니오</x:v>
      </x:c>
      <x:c r="H972" s="56" t="str">
        <x:v>예</x:v>
      </x:c>
      <x:c r="I972" s="56" t="str">
        <x:v>—</x:v>
      </x:c>
      <x:c r="J972" s="57" t="str">
        <x:v>—</x:v>
      </x:c>
      <x:c r="K972" s="57" t="str">
        <x:v>—</x:v>
      </x:c>
      <x:c r="L972" s="57" t="str">
        <x:v>—</x:v>
      </x:c>
      <x:c r="M972" s="57" t="str">
        <x:v>—</x:v>
      </x:c>
      <x:c r="N972" s="57" t="str">
        <x:v>—</x:v>
      </x:c>
      <x:c r="O972" s="57" t="str">
        <x:v>—</x:v>
      </x:c>
      <x:c r="P972" s="57" t="str">
        <x:v>—</x:v>
      </x:c>
      <x:c r="Q972" s="57" t="str">
        <x:v>—</x:v>
      </x:c>
      <x:c r="R972" s="57" t="str">
        <x:v>포함</x:v>
      </x:c>
    </x:row>
    <x:row r="973">
      <x:c r="A973" s="60" t="n">
        <x:v>969</x:v>
      </x:c>
      <x:c r="B973" s="56" t="str">
        <x:v>초롱순</x:v>
      </x:c>
      <x:c r="C973" s="56" t="str">
        <x:v>glimmet</x:v>
      </x:c>
      <x:c r="D973" s="56" t="str">
        <x:v>화산</x:v>
      </x:c>
      <x:c r="E973" s="56" t="str">
        <x:v>흔함</x:v>
      </x:c>
      <x:c r="F973" s="56" t="str">
        <x:v>아니오</x:v>
      </x:c>
      <x:c r="G973" s="56" t="str">
        <x:v>아니오</x:v>
      </x:c>
      <x:c r="H973" s="56" t="str">
        <x:v>예</x:v>
      </x:c>
      <x:c r="I973" s="56" t="str">
        <x:v>—</x:v>
      </x:c>
      <x:c r="J973" s="57" t="str">
        <x:v>—</x:v>
      </x:c>
      <x:c r="K973" s="57" t="str">
        <x:v>—</x:v>
      </x:c>
      <x:c r="L973" s="57" t="str">
        <x:v>—</x:v>
      </x:c>
      <x:c r="M973" s="57" t="str">
        <x:v>—</x:v>
      </x:c>
      <x:c r="N973" s="57" t="str">
        <x:v>—</x:v>
      </x:c>
      <x:c r="O973" s="57" t="str">
        <x:v>—</x:v>
      </x:c>
      <x:c r="P973" s="57" t="str">
        <x:v>—</x:v>
      </x:c>
      <x:c r="Q973" s="57" t="str">
        <x:v>—</x:v>
      </x:c>
      <x:c r="R973" s="57" t="str">
        <x:v>포함</x:v>
      </x:c>
    </x:row>
    <x:row r="974">
      <x:c r="A974" s="60" t="n">
        <x:v>970</x:v>
      </x:c>
      <x:c r="B974" s="56" t="str">
        <x:v>킬라플로르</x:v>
      </x:c>
      <x:c r="C974" s="56" t="str">
        <x:v>glimmora</x:v>
      </x:c>
      <x:c r="D974" s="56" t="str">
        <x:v>화산</x:v>
      </x:c>
      <x:c r="E974" s="56" t="str">
        <x:v>흔함</x:v>
      </x:c>
      <x:c r="F974" s="56" t="str">
        <x:v>아니오</x:v>
      </x:c>
      <x:c r="G974" s="56" t="str">
        <x:v>아니오</x:v>
      </x:c>
      <x:c r="H974" s="56" t="str">
        <x:v>예</x:v>
      </x:c>
      <x:c r="I974" s="56" t="str">
        <x:v>—</x:v>
      </x:c>
      <x:c r="J974" s="57" t="str">
        <x:v>—</x:v>
      </x:c>
      <x:c r="K974" s="57" t="str">
        <x:v>—</x:v>
      </x:c>
      <x:c r="L974" s="57" t="str">
        <x:v>—</x:v>
      </x:c>
      <x:c r="M974" s="57" t="str">
        <x:v>—</x:v>
      </x:c>
      <x:c r="N974" s="57" t="str">
        <x:v>—</x:v>
      </x:c>
      <x:c r="O974" s="57" t="str">
        <x:v>—</x:v>
      </x:c>
      <x:c r="P974" s="57" t="str">
        <x:v>—</x:v>
      </x:c>
      <x:c r="Q974" s="57" t="str">
        <x:v>—</x:v>
      </x:c>
      <x:c r="R974" s="57" t="str">
        <x:v>포함</x:v>
      </x:c>
    </x:row>
    <x:row r="975">
      <x:c r="A975" s="60" t="n">
        <x:v>971</x:v>
      </x:c>
      <x:c r="B975" s="56" t="str">
        <x:v>망망이</x:v>
      </x:c>
      <x:c r="C975" s="56" t="str">
        <x:v>greavard</x:v>
      </x:c>
      <x:c r="D975" s="56" t="str">
        <x:v>특수</x:v>
      </x:c>
      <x:c r="E975" s="56" t="str">
        <x:v>드묾</x:v>
      </x:c>
      <x:c r="F975" s="56" t="str">
        <x:v>아니오</x:v>
      </x:c>
      <x:c r="G975" s="56" t="str">
        <x:v>아니오</x:v>
      </x:c>
      <x:c r="H975" s="56" t="str">
        <x:v>예</x:v>
      </x:c>
      <x:c r="I975" s="56" t="str">
        <x:v>—</x:v>
      </x:c>
      <x:c r="J975" s="57" t="str">
        <x:v>—</x:v>
      </x:c>
      <x:c r="K975" s="57" t="str">
        <x:v>—</x:v>
      </x:c>
      <x:c r="L975" s="57" t="str">
        <x:v>—</x:v>
      </x:c>
      <x:c r="M975" s="57" t="str">
        <x:v>—</x:v>
      </x:c>
      <x:c r="N975" s="57" t="str">
        <x:v>—</x:v>
      </x:c>
      <x:c r="O975" s="57" t="str">
        <x:v>—</x:v>
      </x:c>
      <x:c r="P975" s="57" t="str">
        <x:v>—</x:v>
      </x:c>
      <x:c r="Q975" s="57" t="str">
        <x:v>—</x:v>
      </x:c>
      <x:c r="R975" s="57" t="str">
        <x:v>포함</x:v>
      </x:c>
    </x:row>
    <x:row r="976">
      <x:c r="A976" s="60" t="n">
        <x:v>972</x:v>
      </x:c>
      <x:c r="B976" s="56" t="str">
        <x:v>묘두기</x:v>
      </x:c>
      <x:c r="C976" s="56" t="str">
        <x:v>houndstone</x:v>
      </x:c>
      <x:c r="D976" s="56" t="str">
        <x:v>특수</x:v>
      </x:c>
      <x:c r="E976" s="56" t="str">
        <x:v>드묾</x:v>
      </x:c>
      <x:c r="F976" s="56" t="str">
        <x:v>아니오</x:v>
      </x:c>
      <x:c r="G976" s="56" t="str">
        <x:v>아니오</x:v>
      </x:c>
      <x:c r="H976" s="56" t="str">
        <x:v>예</x:v>
      </x:c>
      <x:c r="I976" s="56" t="str">
        <x:v>—</x:v>
      </x:c>
      <x:c r="J976" s="57" t="str">
        <x:v>—</x:v>
      </x:c>
      <x:c r="K976" s="57" t="str">
        <x:v>—</x:v>
      </x:c>
      <x:c r="L976" s="57" t="str">
        <x:v>—</x:v>
      </x:c>
      <x:c r="M976" s="57" t="str">
        <x:v>—</x:v>
      </x:c>
      <x:c r="N976" s="57" t="str">
        <x:v>—</x:v>
      </x:c>
      <x:c r="O976" s="57" t="str">
        <x:v>—</x:v>
      </x:c>
      <x:c r="P976" s="57" t="str">
        <x:v>—</x:v>
      </x:c>
      <x:c r="Q976" s="57" t="str">
        <x:v>—</x:v>
      </x:c>
      <x:c r="R976" s="57" t="str">
        <x:v>포함</x:v>
      </x:c>
    </x:row>
    <x:row r="977">
      <x:c r="A977" s="60" t="n">
        <x:v>973</x:v>
      </x:c>
      <x:c r="B977" s="56" t="str">
        <x:v>꼬이밍고</x:v>
      </x:c>
      <x:c r="C977" s="56" t="str">
        <x:v>flamigo</x:v>
      </x:c>
      <x:c r="D977" s="56" t="str">
        <x:v>습지</x:v>
      </x:c>
      <x:c r="E977" s="56" t="str">
        <x:v>보통</x:v>
      </x:c>
      <x:c r="F977" s="56" t="str">
        <x:v>아니오</x:v>
      </x:c>
      <x:c r="G977" s="56" t="str">
        <x:v>아니오</x:v>
      </x:c>
      <x:c r="H977" s="56" t="str">
        <x:v>예</x:v>
      </x:c>
      <x:c r="I977" s="56" t="str">
        <x:v>—</x:v>
      </x:c>
      <x:c r="J977" s="57" t="str">
        <x:v>—</x:v>
      </x:c>
      <x:c r="K977" s="57" t="str">
        <x:v>—</x:v>
      </x:c>
      <x:c r="L977" s="57" t="str">
        <x:v>—</x:v>
      </x:c>
      <x:c r="M977" s="57" t="str">
        <x:v>—</x:v>
      </x:c>
      <x:c r="N977" s="57" t="str">
        <x:v>—</x:v>
      </x:c>
      <x:c r="O977" s="57" t="str">
        <x:v>—</x:v>
      </x:c>
      <x:c r="P977" s="57" t="str">
        <x:v>—</x:v>
      </x:c>
      <x:c r="Q977" s="57" t="str">
        <x:v>—</x:v>
      </x:c>
      <x:c r="R977" s="57" t="str">
        <x:v>포함</x:v>
      </x:c>
    </x:row>
    <x:row r="978">
      <x:c r="A978" s="60" t="n">
        <x:v>974</x:v>
      </x:c>
      <x:c r="B978" s="56" t="str">
        <x:v>터벅고래</x:v>
      </x:c>
      <x:c r="C978" s="56" t="str">
        <x:v>cetoddle</x:v>
      </x:c>
      <x:c r="D978" s="56" t="str">
        <x:v>설원</x:v>
      </x:c>
      <x:c r="E978" s="56" t="str">
        <x:v>보통</x:v>
      </x:c>
      <x:c r="F978" s="56" t="str">
        <x:v>아니오</x:v>
      </x:c>
      <x:c r="G978" s="56" t="str">
        <x:v>아니오</x:v>
      </x:c>
      <x:c r="H978" s="56" t="str">
        <x:v>예</x:v>
      </x:c>
      <x:c r="I978" s="56" t="str">
        <x:v>—</x:v>
      </x:c>
      <x:c r="J978" s="57" t="str">
        <x:v>—</x:v>
      </x:c>
      <x:c r="K978" s="57" t="str">
        <x:v>—</x:v>
      </x:c>
      <x:c r="L978" s="57" t="str">
        <x:v>—</x:v>
      </x:c>
      <x:c r="M978" s="57" t="str">
        <x:v>—</x:v>
      </x:c>
      <x:c r="N978" s="57" t="str">
        <x:v>—</x:v>
      </x:c>
      <x:c r="O978" s="57" t="str">
        <x:v>—</x:v>
      </x:c>
      <x:c r="P978" s="57" t="str">
        <x:v>—</x:v>
      </x:c>
      <x:c r="Q978" s="57" t="str">
        <x:v>—</x:v>
      </x:c>
      <x:c r="R978" s="57" t="str">
        <x:v>포함</x:v>
      </x:c>
    </x:row>
    <x:row r="979">
      <x:c r="A979" s="60" t="n">
        <x:v>975</x:v>
      </x:c>
      <x:c r="B979" s="56" t="str">
        <x:v>우락고래</x:v>
      </x:c>
      <x:c r="C979" s="56" t="str">
        <x:v>cetitan</x:v>
      </x:c>
      <x:c r="D979" s="56" t="str">
        <x:v>설원</x:v>
      </x:c>
      <x:c r="E979" s="56" t="str">
        <x:v>보통</x:v>
      </x:c>
      <x:c r="F979" s="56" t="str">
        <x:v>아니오</x:v>
      </x:c>
      <x:c r="G979" s="56" t="str">
        <x:v>아니오</x:v>
      </x:c>
      <x:c r="H979" s="56" t="str">
        <x:v>예</x:v>
      </x:c>
      <x:c r="I979" s="56" t="str">
        <x:v>—</x:v>
      </x:c>
      <x:c r="J979" s="57" t="str">
        <x:v>—</x:v>
      </x:c>
      <x:c r="K979" s="57" t="str">
        <x:v>—</x:v>
      </x:c>
      <x:c r="L979" s="57" t="str">
        <x:v>—</x:v>
      </x:c>
      <x:c r="M979" s="57" t="str">
        <x:v>—</x:v>
      </x:c>
      <x:c r="N979" s="57" t="str">
        <x:v>—</x:v>
      </x:c>
      <x:c r="O979" s="57" t="str">
        <x:v>—</x:v>
      </x:c>
      <x:c r="P979" s="57" t="str">
        <x:v>—</x:v>
      </x:c>
      <x:c r="Q979" s="57" t="str">
        <x:v>—</x:v>
      </x:c>
      <x:c r="R979" s="57" t="str">
        <x:v>포함</x:v>
      </x:c>
    </x:row>
    <x:row r="980">
      <x:c r="A980" s="60" t="n">
        <x:v>976</x:v>
      </x:c>
      <x:c r="B980" s="56" t="str">
        <x:v>가비루사</x:v>
      </x:c>
      <x:c r="C980" s="56" t="str">
        <x:v>veluza</x:v>
      </x:c>
      <x:c r="D980" s="56" t="str">
        <x:v>해양</x:v>
      </x:c>
      <x:c r="E980" s="56" t="str">
        <x:v>보통</x:v>
      </x:c>
      <x:c r="F980" s="56" t="str">
        <x:v>아니오</x:v>
      </x:c>
      <x:c r="G980" s="56" t="str">
        <x:v>아니오</x:v>
      </x:c>
      <x:c r="H980" s="56" t="str">
        <x:v>예</x:v>
      </x:c>
      <x:c r="I980" s="56" t="str">
        <x:v>—</x:v>
      </x:c>
      <x:c r="J980" s="57" t="str">
        <x:v>—</x:v>
      </x:c>
      <x:c r="K980" s="57" t="str">
        <x:v>—</x:v>
      </x:c>
      <x:c r="L980" s="57" t="str">
        <x:v>—</x:v>
      </x:c>
      <x:c r="M980" s="57" t="str">
        <x:v>—</x:v>
      </x:c>
      <x:c r="N980" s="57" t="str">
        <x:v>—</x:v>
      </x:c>
      <x:c r="O980" s="57" t="str">
        <x:v>—</x:v>
      </x:c>
      <x:c r="P980" s="57" t="str">
        <x:v>—</x:v>
      </x:c>
      <x:c r="Q980" s="57" t="str">
        <x:v>—</x:v>
      </x:c>
      <x:c r="R980" s="57" t="str">
        <x:v>포함</x:v>
      </x:c>
    </x:row>
    <x:row r="981">
      <x:c r="A981" s="60" t="n">
        <x:v>977</x:v>
      </x:c>
      <x:c r="B981" s="56" t="str">
        <x:v>어써러셔</x:v>
      </x:c>
      <x:c r="C981" s="56" t="str">
        <x:v>dondozo</x:v>
      </x:c>
      <x:c r="D981" s="56" t="str">
        <x:v>습지</x:v>
      </x:c>
      <x:c r="E981" s="56" t="str">
        <x:v>드묾</x:v>
      </x:c>
      <x:c r="F981" s="56" t="str">
        <x:v>아니오</x:v>
      </x:c>
      <x:c r="G981" s="56" t="str">
        <x:v>아니오</x:v>
      </x:c>
      <x:c r="H981" s="56" t="str">
        <x:v>예</x:v>
      </x:c>
      <x:c r="I981" s="56" t="str">
        <x:v>—</x:v>
      </x:c>
      <x:c r="J981" s="57" t="str">
        <x:v>—</x:v>
      </x:c>
      <x:c r="K981" s="57" t="str">
        <x:v>—</x:v>
      </x:c>
      <x:c r="L981" s="57" t="str">
        <x:v>—</x:v>
      </x:c>
      <x:c r="M981" s="57" t="str">
        <x:v>—</x:v>
      </x:c>
      <x:c r="N981" s="57" t="str">
        <x:v>—</x:v>
      </x:c>
      <x:c r="O981" s="57" t="str">
        <x:v>—</x:v>
      </x:c>
      <x:c r="P981" s="57" t="str">
        <x:v>—</x:v>
      </x:c>
      <x:c r="Q981" s="57" t="str">
        <x:v>—</x:v>
      </x:c>
      <x:c r="R981" s="57" t="str">
        <x:v>포함</x:v>
      </x:c>
    </x:row>
    <x:row r="982">
      <x:c r="A982" s="60" t="n">
        <x:v>978</x:v>
      </x:c>
      <x:c r="B982" s="56" t="str">
        <x:v>싸리용</x:v>
      </x:c>
      <x:c r="C982" s="56" t="str">
        <x:v>tatsugiri</x:v>
      </x:c>
      <x:c r="D982" s="56" t="str">
        <x:v>습지</x:v>
      </x:c>
      <x:c r="E982" s="56" t="str">
        <x:v>드묾</x:v>
      </x:c>
      <x:c r="F982" s="56" t="str">
        <x:v>아니오</x:v>
      </x:c>
      <x:c r="G982" s="56" t="str">
        <x:v>아니오</x:v>
      </x:c>
      <x:c r="H982" s="56" t="str">
        <x:v>예</x:v>
      </x:c>
      <x:c r="I982" s="56" t="str">
        <x:v>—</x:v>
      </x:c>
      <x:c r="J982" s="57" t="str">
        <x:v>—</x:v>
      </x:c>
      <x:c r="K982" s="57" t="str">
        <x:v>—</x:v>
      </x:c>
      <x:c r="L982" s="57" t="str">
        <x:v>—</x:v>
      </x:c>
      <x:c r="M982" s="57" t="str">
        <x:v>—</x:v>
      </x:c>
      <x:c r="N982" s="57" t="str">
        <x:v>—</x:v>
      </x:c>
      <x:c r="O982" s="57" t="str">
        <x:v>—</x:v>
      </x:c>
      <x:c r="P982" s="57" t="str">
        <x:v>—</x:v>
      </x:c>
      <x:c r="Q982" s="57" t="str">
        <x:v>—</x:v>
      </x:c>
      <x:c r="R982" s="57" t="str">
        <x:v>포함</x:v>
      </x:c>
    </x:row>
    <x:row r="983">
      <x:c r="A983" s="60" t="n">
        <x:v>979</x:v>
      </x:c>
      <x:c r="B983" s="56" t="str">
        <x:v>저승갓숭</x:v>
      </x:c>
      <x:c r="C983" s="56" t="str">
        <x:v>annihilape</x:v>
      </x:c>
      <x:c r="D983" s="56" t="str">
        <x:v>특수</x:v>
      </x:c>
      <x:c r="E983" s="56" t="str">
        <x:v>흔함</x:v>
      </x:c>
      <x:c r="F983" s="56" t="str">
        <x:v>아니오</x:v>
      </x:c>
      <x:c r="G983" s="56" t="str">
        <x:v>아니오</x:v>
      </x:c>
      <x:c r="H983" s="56" t="str">
        <x:v>예</x:v>
      </x:c>
      <x:c r="I983" s="56" t="str">
        <x:v>—</x:v>
      </x:c>
      <x:c r="J983" s="57" t="str">
        <x:v>—</x:v>
      </x:c>
      <x:c r="K983" s="57" t="str">
        <x:v>—</x:v>
      </x:c>
      <x:c r="L983" s="57" t="str">
        <x:v>—</x:v>
      </x:c>
      <x:c r="M983" s="57" t="str">
        <x:v>—</x:v>
      </x:c>
      <x:c r="N983" s="57" t="str">
        <x:v>—</x:v>
      </x:c>
      <x:c r="O983" s="57" t="str">
        <x:v>—</x:v>
      </x:c>
      <x:c r="P983" s="57" t="str">
        <x:v>—</x:v>
      </x:c>
      <x:c r="Q983" s="57" t="str">
        <x:v>—</x:v>
      </x:c>
      <x:c r="R983" s="57" t="str">
        <x:v>포함</x:v>
      </x:c>
    </x:row>
    <x:row r="984">
      <x:c r="A984" s="60" t="n">
        <x:v>980</x:v>
      </x:c>
      <x:c r="B984" s="56" t="str">
        <x:v>토오</x:v>
      </x:c>
      <x:c r="C984" s="56" t="str">
        <x:v>clodsire</x:v>
      </x:c>
      <x:c r="D984" s="56" t="str">
        <x:v>건조지</x:v>
      </x:c>
      <x:c r="E984" s="56" t="str">
        <x:v>보통</x:v>
      </x:c>
      <x:c r="F984" s="56" t="str">
        <x:v>아니오</x:v>
      </x:c>
      <x:c r="G984" s="56" t="str">
        <x:v>아니오</x:v>
      </x:c>
      <x:c r="H984" s="56" t="str">
        <x:v>예</x:v>
      </x:c>
      <x:c r="I984" s="56" t="str">
        <x:v>—</x:v>
      </x:c>
      <x:c r="J984" s="57" t="str">
        <x:v>—</x:v>
      </x:c>
      <x:c r="K984" s="57" t="str">
        <x:v>—</x:v>
      </x:c>
      <x:c r="L984" s="57" t="str">
        <x:v>—</x:v>
      </x:c>
      <x:c r="M984" s="57" t="str">
        <x:v>—</x:v>
      </x:c>
      <x:c r="N984" s="57" t="str">
        <x:v>—</x:v>
      </x:c>
      <x:c r="O984" s="57" t="str">
        <x:v>—</x:v>
      </x:c>
      <x:c r="P984" s="57" t="str">
        <x:v>—</x:v>
      </x:c>
      <x:c r="Q984" s="57" t="str">
        <x:v>—</x:v>
      </x:c>
      <x:c r="R984" s="57" t="str">
        <x:v>포함</x:v>
      </x:c>
    </x:row>
    <x:row r="985">
      <x:c r="A985" s="60" t="n">
        <x:v>981</x:v>
      </x:c>
      <x:c r="B985" s="56" t="str">
        <x:v>키키링</x:v>
      </x:c>
      <x:c r="C985" s="56" t="str">
        <x:v>farigiraf</x:v>
      </x:c>
      <x:c r="D985" s="56" t="str">
        <x:v>평원</x:v>
      </x:c>
      <x:c r="E985" s="56" t="str">
        <x:v>흔함</x:v>
      </x:c>
      <x:c r="F985" s="56" t="str">
        <x:v>아니오</x:v>
      </x:c>
      <x:c r="G985" s="56" t="str">
        <x:v>아니오</x:v>
      </x:c>
      <x:c r="H985" s="56" t="str">
        <x:v>예</x:v>
      </x:c>
      <x:c r="I985" s="56" t="str">
        <x:v>—</x:v>
      </x:c>
      <x:c r="J985" s="57" t="str">
        <x:v>—</x:v>
      </x:c>
      <x:c r="K985" s="57" t="str">
        <x:v>—</x:v>
      </x:c>
      <x:c r="L985" s="57" t="str">
        <x:v>—</x:v>
      </x:c>
      <x:c r="M985" s="57" t="str">
        <x:v>—</x:v>
      </x:c>
      <x:c r="N985" s="57" t="str">
        <x:v>—</x:v>
      </x:c>
      <x:c r="O985" s="57" t="str">
        <x:v>—</x:v>
      </x:c>
      <x:c r="P985" s="57" t="str">
        <x:v>—</x:v>
      </x:c>
      <x:c r="Q985" s="57" t="str">
        <x:v>—</x:v>
      </x:c>
      <x:c r="R985" s="57" t="str">
        <x:v>포함</x:v>
      </x:c>
    </x:row>
    <x:row r="986">
      <x:c r="A986" s="60" t="n">
        <x:v>982</x:v>
      </x:c>
      <x:c r="B986" s="56" t="str">
        <x:v>노고고치</x:v>
      </x:c>
      <x:c r="C986" s="56" t="str">
        <x:v>dudunsparce</x:v>
      </x:c>
      <x:c r="D986" s="56" t="str">
        <x:v>평원</x:v>
      </x:c>
      <x:c r="E986" s="56" t="str">
        <x:v>보통</x:v>
      </x:c>
      <x:c r="F986" s="56" t="str">
        <x:v>아니오</x:v>
      </x:c>
      <x:c r="G986" s="56" t="str">
        <x:v>아니오</x:v>
      </x:c>
      <x:c r="H986" s="56" t="str">
        <x:v>예</x:v>
      </x:c>
      <x:c r="I986" s="56" t="str">
        <x:v>—</x:v>
      </x:c>
      <x:c r="J986" s="57" t="str">
        <x:v>—</x:v>
      </x:c>
      <x:c r="K986" s="57" t="str">
        <x:v>—</x:v>
      </x:c>
      <x:c r="L986" s="57" t="str">
        <x:v>—</x:v>
      </x:c>
      <x:c r="M986" s="57" t="str">
        <x:v>—</x:v>
      </x:c>
      <x:c r="N986" s="57" t="str">
        <x:v>—</x:v>
      </x:c>
      <x:c r="O986" s="57" t="str">
        <x:v>—</x:v>
      </x:c>
      <x:c r="P986" s="57" t="str">
        <x:v>—</x:v>
      </x:c>
      <x:c r="Q986" s="57" t="str">
        <x:v>—</x:v>
      </x:c>
      <x:c r="R986" s="57" t="str">
        <x:v>포함</x:v>
      </x:c>
    </x:row>
    <x:row r="987">
      <x:c r="A987" s="60" t="n">
        <x:v>983</x:v>
      </x:c>
      <x:c r="B987" s="56" t="str">
        <x:v>대도각참</x:v>
      </x:c>
      <x:c r="C987" s="56" t="str">
        <x:v>kingambit</x:v>
      </x:c>
      <x:c r="D987" s="56" t="str">
        <x:v>숲</x:v>
      </x:c>
      <x:c r="E987" s="56" t="str">
        <x:v>희귀</x:v>
      </x:c>
      <x:c r="F987" s="56" t="str">
        <x:v>아니오</x:v>
      </x:c>
      <x:c r="G987" s="56" t="str">
        <x:v>아니오</x:v>
      </x:c>
      <x:c r="H987" s="56" t="str">
        <x:v>예</x:v>
      </x:c>
      <x:c r="I987" s="56" t="str">
        <x:v>—</x:v>
      </x:c>
      <x:c r="J987" s="57" t="str">
        <x:v>—</x:v>
      </x:c>
      <x:c r="K987" s="57" t="str">
        <x:v>—</x:v>
      </x:c>
      <x:c r="L987" s="57" t="str">
        <x:v>—</x:v>
      </x:c>
      <x:c r="M987" s="57" t="str">
        <x:v>—</x:v>
      </x:c>
      <x:c r="N987" s="57" t="str">
        <x:v>—</x:v>
      </x:c>
      <x:c r="O987" s="57" t="str">
        <x:v>—</x:v>
      </x:c>
      <x:c r="P987" s="57" t="str">
        <x:v>—</x:v>
      </x:c>
      <x:c r="Q987" s="57" t="str">
        <x:v>—</x:v>
      </x:c>
      <x:c r="R987" s="57" t="str">
        <x:v>포함</x:v>
      </x:c>
    </x:row>
    <x:row r="988">
      <x:c r="A988" s="60" t="n">
        <x:v>984</x:v>
      </x:c>
      <x:c r="B988" s="56" t="str">
        <x:v>위대한엄니</x:v>
      </x:c>
      <x:c r="C988" s="56" t="str">
        <x:v>greattusk</x:v>
      </x:c>
      <x:c r="D988" s="56" t="str">
        <x:v>건조지</x:v>
      </x:c>
      <x:c r="E988" s="56" t="str">
        <x:v>드묾</x:v>
      </x:c>
      <x:c r="F988" s="56" t="str">
        <x:v>아니오</x:v>
      </x:c>
      <x:c r="G988" s="56" t="str">
        <x:v>아니오</x:v>
      </x:c>
      <x:c r="H988" s="56" t="str">
        <x:v>예</x:v>
      </x:c>
      <x:c r="I988" s="56" t="str">
        <x:v>—</x:v>
      </x:c>
      <x:c r="J988" s="57" t="str">
        <x:v>—</x:v>
      </x:c>
      <x:c r="K988" s="57" t="str">
        <x:v>—</x:v>
      </x:c>
      <x:c r="L988" s="57" t="str">
        <x:v>—</x:v>
      </x:c>
      <x:c r="M988" s="57" t="str">
        <x:v>—</x:v>
      </x:c>
      <x:c r="N988" s="57" t="str">
        <x:v>—</x:v>
      </x:c>
      <x:c r="O988" s="57" t="str">
        <x:v>—</x:v>
      </x:c>
      <x:c r="P988" s="57" t="str">
        <x:v>—</x:v>
      </x:c>
      <x:c r="Q988" s="57" t="str">
        <x:v>—</x:v>
      </x:c>
      <x:c r="R988" s="57" t="str">
        <x:v>포함</x:v>
      </x:c>
    </x:row>
    <x:row r="989">
      <x:c r="A989" s="60" t="n">
        <x:v>985</x:v>
      </x:c>
      <x:c r="B989" s="56" t="str">
        <x:v>우렁찬꼬리</x:v>
      </x:c>
      <x:c r="C989" s="56" t="str">
        <x:v>screamtail</x:v>
      </x:c>
      <x:c r="D989" s="56" t="str">
        <x:v>평원</x:v>
      </x:c>
      <x:c r="E989" s="56" t="str">
        <x:v>드묾</x:v>
      </x:c>
      <x:c r="F989" s="56" t="str">
        <x:v>아니오</x:v>
      </x:c>
      <x:c r="G989" s="56" t="str">
        <x:v>아니오</x:v>
      </x:c>
      <x:c r="H989" s="56" t="str">
        <x:v>예</x:v>
      </x:c>
      <x:c r="I989" s="56" t="str">
        <x:v>—</x:v>
      </x:c>
      <x:c r="J989" s="57" t="str">
        <x:v>—</x:v>
      </x:c>
      <x:c r="K989" s="57" t="str">
        <x:v>—</x:v>
      </x:c>
      <x:c r="L989" s="57" t="str">
        <x:v>—</x:v>
      </x:c>
      <x:c r="M989" s="57" t="str">
        <x:v>—</x:v>
      </x:c>
      <x:c r="N989" s="57" t="str">
        <x:v>—</x:v>
      </x:c>
      <x:c r="O989" s="57" t="str">
        <x:v>—</x:v>
      </x:c>
      <x:c r="P989" s="57" t="str">
        <x:v>—</x:v>
      </x:c>
      <x:c r="Q989" s="57" t="str">
        <x:v>—</x:v>
      </x:c>
      <x:c r="R989" s="57" t="str">
        <x:v>포함</x:v>
      </x:c>
    </x:row>
    <x:row r="990">
      <x:c r="A990" s="60" t="n">
        <x:v>986</x:v>
      </x:c>
      <x:c r="B990" s="56" t="str">
        <x:v>사나운버섯</x:v>
      </x:c>
      <x:c r="C990" s="56" t="str">
        <x:v>brutebonnet</x:v>
      </x:c>
      <x:c r="D990" s="56" t="str">
        <x:v>숲</x:v>
      </x:c>
      <x:c r="E990" s="56" t="str">
        <x:v>드묾</x:v>
      </x:c>
      <x:c r="F990" s="56" t="str">
        <x:v>아니오</x:v>
      </x:c>
      <x:c r="G990" s="56" t="str">
        <x:v>아니오</x:v>
      </x:c>
      <x:c r="H990" s="56" t="str">
        <x:v>예</x:v>
      </x:c>
      <x:c r="I990" s="56" t="str">
        <x:v>—</x:v>
      </x:c>
      <x:c r="J990" s="57" t="str">
        <x:v>—</x:v>
      </x:c>
      <x:c r="K990" s="57" t="str">
        <x:v>—</x:v>
      </x:c>
      <x:c r="L990" s="57" t="str">
        <x:v>—</x:v>
      </x:c>
      <x:c r="M990" s="57" t="str">
        <x:v>—</x:v>
      </x:c>
      <x:c r="N990" s="57" t="str">
        <x:v>—</x:v>
      </x:c>
      <x:c r="O990" s="57" t="str">
        <x:v>—</x:v>
      </x:c>
      <x:c r="P990" s="57" t="str">
        <x:v>—</x:v>
      </x:c>
      <x:c r="Q990" s="57" t="str">
        <x:v>—</x:v>
      </x:c>
      <x:c r="R990" s="57" t="str">
        <x:v>포함</x:v>
      </x:c>
    </x:row>
    <x:row r="991">
      <x:c r="A991" s="60" t="n">
        <x:v>987</x:v>
      </x:c>
      <x:c r="B991" s="56" t="str">
        <x:v>날개치는머리</x:v>
      </x:c>
      <x:c r="C991" s="56" t="str">
        <x:v>fluttermane</x:v>
      </x:c>
      <x:c r="D991" s="56" t="str">
        <x:v>특수</x:v>
      </x:c>
      <x:c r="E991" s="56" t="str">
        <x:v>드묾</x:v>
      </x:c>
      <x:c r="F991" s="56" t="str">
        <x:v>아니오</x:v>
      </x:c>
      <x:c r="G991" s="56" t="str">
        <x:v>아니오</x:v>
      </x:c>
      <x:c r="H991" s="56" t="str">
        <x:v>예</x:v>
      </x:c>
      <x:c r="I991" s="56" t="str">
        <x:v>—</x:v>
      </x:c>
      <x:c r="J991" s="57" t="str">
        <x:v>—</x:v>
      </x:c>
      <x:c r="K991" s="57" t="str">
        <x:v>—</x:v>
      </x:c>
      <x:c r="L991" s="57" t="str">
        <x:v>—</x:v>
      </x:c>
      <x:c r="M991" s="57" t="str">
        <x:v>—</x:v>
      </x:c>
      <x:c r="N991" s="57" t="str">
        <x:v>—</x:v>
      </x:c>
      <x:c r="O991" s="57" t="str">
        <x:v>—</x:v>
      </x:c>
      <x:c r="P991" s="57" t="str">
        <x:v>—</x:v>
      </x:c>
      <x:c r="Q991" s="57" t="str">
        <x:v>—</x:v>
      </x:c>
      <x:c r="R991" s="57" t="str">
        <x:v>포함</x:v>
      </x:c>
    </x:row>
    <x:row r="992">
      <x:c r="A992" s="60" t="n">
        <x:v>988</x:v>
      </x:c>
      <x:c r="B992" s="56" t="str">
        <x:v>땅을기는날개</x:v>
      </x:c>
      <x:c r="C992" s="56" t="str">
        <x:v>slitherwing</x:v>
      </x:c>
      <x:c r="D992" s="56" t="str">
        <x:v>숲</x:v>
      </x:c>
      <x:c r="E992" s="56" t="str">
        <x:v>희귀</x:v>
      </x:c>
      <x:c r="F992" s="56" t="str">
        <x:v>아니오</x:v>
      </x:c>
      <x:c r="G992" s="56" t="str">
        <x:v>아니오</x:v>
      </x:c>
      <x:c r="H992" s="56" t="str">
        <x:v>예</x:v>
      </x:c>
      <x:c r="I992" s="56" t="str">
        <x:v>—</x:v>
      </x:c>
      <x:c r="J992" s="57" t="str">
        <x:v>—</x:v>
      </x:c>
      <x:c r="K992" s="57" t="str">
        <x:v>—</x:v>
      </x:c>
      <x:c r="L992" s="57" t="str">
        <x:v>—</x:v>
      </x:c>
      <x:c r="M992" s="57" t="str">
        <x:v>—</x:v>
      </x:c>
      <x:c r="N992" s="57" t="str">
        <x:v>—</x:v>
      </x:c>
      <x:c r="O992" s="57" t="str">
        <x:v>—</x:v>
      </x:c>
      <x:c r="P992" s="57" t="str">
        <x:v>—</x:v>
      </x:c>
      <x:c r="Q992" s="57" t="str">
        <x:v>—</x:v>
      </x:c>
      <x:c r="R992" s="57" t="str">
        <x:v>포함</x:v>
      </x:c>
    </x:row>
    <x:row r="993">
      <x:c r="A993" s="60" t="n">
        <x:v>989</x:v>
      </x:c>
      <x:c r="B993" s="56" t="str">
        <x:v>모래털가죽</x:v>
      </x:c>
      <x:c r="C993" s="56" t="str">
        <x:v>sandyshocks</x:v>
      </x:c>
      <x:c r="D993" s="56" t="str">
        <x:v>건조지</x:v>
      </x:c>
      <x:c r="E993" s="56" t="str">
        <x:v>드묾</x:v>
      </x:c>
      <x:c r="F993" s="56" t="str">
        <x:v>아니오</x:v>
      </x:c>
      <x:c r="G993" s="56" t="str">
        <x:v>아니오</x:v>
      </x:c>
      <x:c r="H993" s="56" t="str">
        <x:v>예</x:v>
      </x:c>
      <x:c r="I993" s="56" t="str">
        <x:v>—</x:v>
      </x:c>
      <x:c r="J993" s="57" t="str">
        <x:v>—</x:v>
      </x:c>
      <x:c r="K993" s="57" t="str">
        <x:v>—</x:v>
      </x:c>
      <x:c r="L993" s="57" t="str">
        <x:v>—</x:v>
      </x:c>
      <x:c r="M993" s="57" t="str">
        <x:v>—</x:v>
      </x:c>
      <x:c r="N993" s="57" t="str">
        <x:v>—</x:v>
      </x:c>
      <x:c r="O993" s="57" t="str">
        <x:v>—</x:v>
      </x:c>
      <x:c r="P993" s="57" t="str">
        <x:v>—</x:v>
      </x:c>
      <x:c r="Q993" s="57" t="str">
        <x:v>—</x:v>
      </x:c>
      <x:c r="R993" s="57" t="str">
        <x:v>포함</x:v>
      </x:c>
    </x:row>
    <x:row r="994">
      <x:c r="A994" s="60" t="n">
        <x:v>990</x:v>
      </x:c>
      <x:c r="B994" s="56" t="str">
        <x:v>무쇠바퀴</x:v>
      </x:c>
      <x:c r="C994" s="56" t="str">
        <x:v>irontreads</x:v>
      </x:c>
      <x:c r="D994" s="56" t="str">
        <x:v>산악</x:v>
      </x:c>
      <x:c r="E994" s="56" t="str">
        <x:v>드묾</x:v>
      </x:c>
      <x:c r="F994" s="56" t="str">
        <x:v>아니오</x:v>
      </x:c>
      <x:c r="G994" s="56" t="str">
        <x:v>아니오</x:v>
      </x:c>
      <x:c r="H994" s="56" t="str">
        <x:v>예</x:v>
      </x:c>
      <x:c r="I994" s="56" t="str">
        <x:v>—</x:v>
      </x:c>
      <x:c r="J994" s="57" t="str">
        <x:v>—</x:v>
      </x:c>
      <x:c r="K994" s="57" t="str">
        <x:v>—</x:v>
      </x:c>
      <x:c r="L994" s="57" t="str">
        <x:v>—</x:v>
      </x:c>
      <x:c r="M994" s="57" t="str">
        <x:v>—</x:v>
      </x:c>
      <x:c r="N994" s="57" t="str">
        <x:v>—</x:v>
      </x:c>
      <x:c r="O994" s="57" t="str">
        <x:v>—</x:v>
      </x:c>
      <x:c r="P994" s="57" t="str">
        <x:v>—</x:v>
      </x:c>
      <x:c r="Q994" s="57" t="str">
        <x:v>—</x:v>
      </x:c>
      <x:c r="R994" s="57" t="str">
        <x:v>포함</x:v>
      </x:c>
    </x:row>
    <x:row r="995">
      <x:c r="A995" s="60" t="n">
        <x:v>991</x:v>
      </x:c>
      <x:c r="B995" s="56" t="str">
        <x:v>무쇠보따리</x:v>
      </x:c>
      <x:c r="C995" s="56" t="str">
        <x:v>ironbundle</x:v>
      </x:c>
      <x:c r="D995" s="56" t="str">
        <x:v>설원</x:v>
      </x:c>
      <x:c r="E995" s="56" t="str">
        <x:v>드묾</x:v>
      </x:c>
      <x:c r="F995" s="56" t="str">
        <x:v>아니오</x:v>
      </x:c>
      <x:c r="G995" s="56" t="str">
        <x:v>아니오</x:v>
      </x:c>
      <x:c r="H995" s="56" t="str">
        <x:v>예</x:v>
      </x:c>
      <x:c r="I995" s="56" t="str">
        <x:v>—</x:v>
      </x:c>
      <x:c r="J995" s="57" t="str">
        <x:v>—</x:v>
      </x:c>
      <x:c r="K995" s="57" t="str">
        <x:v>—</x:v>
      </x:c>
      <x:c r="L995" s="57" t="str">
        <x:v>—</x:v>
      </x:c>
      <x:c r="M995" s="57" t="str">
        <x:v>—</x:v>
      </x:c>
      <x:c r="N995" s="57" t="str">
        <x:v>—</x:v>
      </x:c>
      <x:c r="O995" s="57" t="str">
        <x:v>—</x:v>
      </x:c>
      <x:c r="P995" s="57" t="str">
        <x:v>—</x:v>
      </x:c>
      <x:c r="Q995" s="57" t="str">
        <x:v>—</x:v>
      </x:c>
      <x:c r="R995" s="57" t="str">
        <x:v>포함</x:v>
      </x:c>
    </x:row>
    <x:row r="996">
      <x:c r="A996" s="60" t="n">
        <x:v>992</x:v>
      </x:c>
      <x:c r="B996" s="56" t="str">
        <x:v>무쇠손</x:v>
      </x:c>
      <x:c r="C996" s="56" t="str">
        <x:v>ironhands</x:v>
      </x:c>
      <x:c r="D996" s="56" t="str">
        <x:v>건조지</x:v>
      </x:c>
      <x:c r="E996" s="56" t="str">
        <x:v>드묾</x:v>
      </x:c>
      <x:c r="F996" s="56" t="str">
        <x:v>아니오</x:v>
      </x:c>
      <x:c r="G996" s="56" t="str">
        <x:v>아니오</x:v>
      </x:c>
      <x:c r="H996" s="56" t="str">
        <x:v>예</x:v>
      </x:c>
      <x:c r="I996" s="56" t="str">
        <x:v>—</x:v>
      </x:c>
      <x:c r="J996" s="57" t="str">
        <x:v>—</x:v>
      </x:c>
      <x:c r="K996" s="57" t="str">
        <x:v>—</x:v>
      </x:c>
      <x:c r="L996" s="57" t="str">
        <x:v>—</x:v>
      </x:c>
      <x:c r="M996" s="57" t="str">
        <x:v>—</x:v>
      </x:c>
      <x:c r="N996" s="57" t="str">
        <x:v>—</x:v>
      </x:c>
      <x:c r="O996" s="57" t="str">
        <x:v>—</x:v>
      </x:c>
      <x:c r="P996" s="57" t="str">
        <x:v>—</x:v>
      </x:c>
      <x:c r="Q996" s="57" t="str">
        <x:v>—</x:v>
      </x:c>
      <x:c r="R996" s="57" t="str">
        <x:v>포함</x:v>
      </x:c>
    </x:row>
    <x:row r="997">
      <x:c r="A997" s="60" t="n">
        <x:v>993</x:v>
      </x:c>
      <x:c r="B997" s="56" t="str">
        <x:v>무쇠머리</x:v>
      </x:c>
      <x:c r="C997" s="56" t="str">
        <x:v>ironjugulis</x:v>
      </x:c>
      <x:c r="D997" s="56" t="str">
        <x:v>산악</x:v>
      </x:c>
      <x:c r="E997" s="56" t="str">
        <x:v>드묾</x:v>
      </x:c>
      <x:c r="F997" s="56" t="str">
        <x:v>아니오</x:v>
      </x:c>
      <x:c r="G997" s="56" t="str">
        <x:v>아니오</x:v>
      </x:c>
      <x:c r="H997" s="56" t="str">
        <x:v>예</x:v>
      </x:c>
      <x:c r="I997" s="56" t="str">
        <x:v>—</x:v>
      </x:c>
      <x:c r="J997" s="57" t="str">
        <x:v>—</x:v>
      </x:c>
      <x:c r="K997" s="57" t="str">
        <x:v>—</x:v>
      </x:c>
      <x:c r="L997" s="57" t="str">
        <x:v>—</x:v>
      </x:c>
      <x:c r="M997" s="57" t="str">
        <x:v>—</x:v>
      </x:c>
      <x:c r="N997" s="57" t="str">
        <x:v>—</x:v>
      </x:c>
      <x:c r="O997" s="57" t="str">
        <x:v>—</x:v>
      </x:c>
      <x:c r="P997" s="57" t="str">
        <x:v>—</x:v>
      </x:c>
      <x:c r="Q997" s="57" t="str">
        <x:v>—</x:v>
      </x:c>
      <x:c r="R997" s="57" t="str">
        <x:v>포함</x:v>
      </x:c>
    </x:row>
    <x:row r="998">
      <x:c r="A998" s="60" t="n">
        <x:v>994</x:v>
      </x:c>
      <x:c r="B998" s="56" t="str">
        <x:v>무쇠독나방</x:v>
      </x:c>
      <x:c r="C998" s="56" t="str">
        <x:v>ironmoth</x:v>
      </x:c>
      <x:c r="D998" s="56" t="str">
        <x:v>산악</x:v>
      </x:c>
      <x:c r="E998" s="56" t="str">
        <x:v>드묾</x:v>
      </x:c>
      <x:c r="F998" s="56" t="str">
        <x:v>아니오</x:v>
      </x:c>
      <x:c r="G998" s="56" t="str">
        <x:v>아니오</x:v>
      </x:c>
      <x:c r="H998" s="56" t="str">
        <x:v>예</x:v>
      </x:c>
      <x:c r="I998" s="56" t="str">
        <x:v>—</x:v>
      </x:c>
      <x:c r="J998" s="57" t="str">
        <x:v>—</x:v>
      </x:c>
      <x:c r="K998" s="57" t="str">
        <x:v>—</x:v>
      </x:c>
      <x:c r="L998" s="57" t="str">
        <x:v>—</x:v>
      </x:c>
      <x:c r="M998" s="57" t="str">
        <x:v>—</x:v>
      </x:c>
      <x:c r="N998" s="57" t="str">
        <x:v>—</x:v>
      </x:c>
      <x:c r="O998" s="57" t="str">
        <x:v>—</x:v>
      </x:c>
      <x:c r="P998" s="57" t="str">
        <x:v>—</x:v>
      </x:c>
      <x:c r="Q998" s="57" t="str">
        <x:v>—</x:v>
      </x:c>
      <x:c r="R998" s="57" t="str">
        <x:v>포함</x:v>
      </x:c>
    </x:row>
    <x:row r="999">
      <x:c r="A999" s="60" t="n">
        <x:v>995</x:v>
      </x:c>
      <x:c r="B999" s="56" t="str">
        <x:v>무쇠가시</x:v>
      </x:c>
      <x:c r="C999" s="56" t="str">
        <x:v>ironthorns</x:v>
      </x:c>
      <x:c r="D999" s="56" t="str">
        <x:v>산악</x:v>
      </x:c>
      <x:c r="E999" s="56" t="str">
        <x:v>드묾</x:v>
      </x:c>
      <x:c r="F999" s="56" t="str">
        <x:v>아니오</x:v>
      </x:c>
      <x:c r="G999" s="56" t="str">
        <x:v>아니오</x:v>
      </x:c>
      <x:c r="H999" s="56" t="str">
        <x:v>예</x:v>
      </x:c>
      <x:c r="I999" s="56" t="str">
        <x:v>—</x:v>
      </x:c>
      <x:c r="J999" s="57" t="str">
        <x:v>—</x:v>
      </x:c>
      <x:c r="K999" s="57" t="str">
        <x:v>—</x:v>
      </x:c>
      <x:c r="L999" s="57" t="str">
        <x:v>—</x:v>
      </x:c>
      <x:c r="M999" s="57" t="str">
        <x:v>—</x:v>
      </x:c>
      <x:c r="N999" s="57" t="str">
        <x:v>—</x:v>
      </x:c>
      <x:c r="O999" s="57" t="str">
        <x:v>—</x:v>
      </x:c>
      <x:c r="P999" s="57" t="str">
        <x:v>—</x:v>
      </x:c>
      <x:c r="Q999" s="57" t="str">
        <x:v>—</x:v>
      </x:c>
      <x:c r="R999" s="57" t="str">
        <x:v>포함</x:v>
      </x:c>
    </x:row>
    <x:row r="1000">
      <x:c r="A1000" s="60" t="n">
        <x:v>996</x:v>
      </x:c>
      <x:c r="B1000" s="56" t="str">
        <x:v>드니차</x:v>
      </x:c>
      <x:c r="C1000" s="56" t="str">
        <x:v>frigibax</x:v>
      </x:c>
      <x:c r="D1000" s="56" t="str">
        <x:v>설원</x:v>
      </x:c>
      <x:c r="E1000" s="56" t="str">
        <x:v>드묾</x:v>
      </x:c>
      <x:c r="F1000" s="56" t="str">
        <x:v>아니오</x:v>
      </x:c>
      <x:c r="G1000" s="56" t="str">
        <x:v>아니오</x:v>
      </x:c>
      <x:c r="H1000" s="56" t="str">
        <x:v>예</x:v>
      </x:c>
      <x:c r="I1000" s="56" t="str">
        <x:v>—</x:v>
      </x:c>
      <x:c r="J1000" s="57" t="str">
        <x:v>—</x:v>
      </x:c>
      <x:c r="K1000" s="57" t="str">
        <x:v>—</x:v>
      </x:c>
      <x:c r="L1000" s="57" t="str">
        <x:v>—</x:v>
      </x:c>
      <x:c r="M1000" s="57" t="str">
        <x:v>—</x:v>
      </x:c>
      <x:c r="N1000" s="57" t="str">
        <x:v>—</x:v>
      </x:c>
      <x:c r="O1000" s="57" t="str">
        <x:v>—</x:v>
      </x:c>
      <x:c r="P1000" s="57" t="str">
        <x:v>—</x:v>
      </x:c>
      <x:c r="Q1000" s="57" t="str">
        <x:v>—</x:v>
      </x:c>
      <x:c r="R1000" s="57" t="str">
        <x:v>포함</x:v>
      </x:c>
    </x:row>
    <x:row r="1001">
      <x:c r="A1001" s="60" t="n">
        <x:v>997</x:v>
      </x:c>
      <x:c r="B1001" s="56" t="str">
        <x:v>드니꽁</x:v>
      </x:c>
      <x:c r="C1001" s="56" t="str">
        <x:v>arctibax</x:v>
      </x:c>
      <x:c r="D1001" s="56" t="str">
        <x:v>설원</x:v>
      </x:c>
      <x:c r="E1001" s="56" t="str">
        <x:v>드묾</x:v>
      </x:c>
      <x:c r="F1001" s="56" t="str">
        <x:v>아니오</x:v>
      </x:c>
      <x:c r="G1001" s="56" t="str">
        <x:v>아니오</x:v>
      </x:c>
      <x:c r="H1001" s="56" t="str">
        <x:v>예</x:v>
      </x:c>
      <x:c r="I1001" s="56" t="str">
        <x:v>—</x:v>
      </x:c>
      <x:c r="J1001" s="57" t="str">
        <x:v>—</x:v>
      </x:c>
      <x:c r="K1001" s="57" t="str">
        <x:v>—</x:v>
      </x:c>
      <x:c r="L1001" s="57" t="str">
        <x:v>—</x:v>
      </x:c>
      <x:c r="M1001" s="57" t="str">
        <x:v>—</x:v>
      </x:c>
      <x:c r="N1001" s="57" t="str">
        <x:v>—</x:v>
      </x:c>
      <x:c r="O1001" s="57" t="str">
        <x:v>—</x:v>
      </x:c>
      <x:c r="P1001" s="57" t="str">
        <x:v>—</x:v>
      </x:c>
      <x:c r="Q1001" s="57" t="str">
        <x:v>—</x:v>
      </x:c>
      <x:c r="R1001" s="57" t="str">
        <x:v>포함</x:v>
      </x:c>
    </x:row>
    <x:row r="1002">
      <x:c r="A1002" s="60" t="n">
        <x:v>998</x:v>
      </x:c>
      <x:c r="B1002" s="56" t="str">
        <x:v>드닐레이브</x:v>
      </x:c>
      <x:c r="C1002" s="56" t="str">
        <x:v>baxcalibur</x:v>
      </x:c>
      <x:c r="D1002" s="56" t="str">
        <x:v>설원</x:v>
      </x:c>
      <x:c r="E1002" s="56" t="str">
        <x:v>희귀</x:v>
      </x:c>
      <x:c r="F1002" s="56" t="str">
        <x:v>아니오</x:v>
      </x:c>
      <x:c r="G1002" s="56" t="str">
        <x:v>아니오</x:v>
      </x:c>
      <x:c r="H1002" s="56" t="str">
        <x:v>예</x:v>
      </x:c>
      <x:c r="I1002" s="56" t="str">
        <x:v>—</x:v>
      </x:c>
      <x:c r="J1002" s="57" t="str">
        <x:v>—</x:v>
      </x:c>
      <x:c r="K1002" s="57" t="str">
        <x:v>—</x:v>
      </x:c>
      <x:c r="L1002" s="57" t="str">
        <x:v>—</x:v>
      </x:c>
      <x:c r="M1002" s="57" t="str">
        <x:v>—</x:v>
      </x:c>
      <x:c r="N1002" s="57" t="str">
        <x:v>—</x:v>
      </x:c>
      <x:c r="O1002" s="57" t="str">
        <x:v>—</x:v>
      </x:c>
      <x:c r="P1002" s="57" t="str">
        <x:v>—</x:v>
      </x:c>
      <x:c r="Q1002" s="57" t="str">
        <x:v>—</x:v>
      </x:c>
      <x:c r="R1002" s="57" t="str">
        <x:v>포함</x:v>
      </x:c>
    </x:row>
    <x:row r="1003">
      <x:c r="A1003" s="60" t="n">
        <x:v>999</x:v>
      </x:c>
      <x:c r="B1003" s="56" t="str">
        <x:v>모으령</x:v>
      </x:c>
      <x:c r="C1003" s="56" t="str">
        <x:v>gimmighoul</x:v>
      </x:c>
      <x:c r="D1003" s="56" t="str">
        <x:v>특수</x:v>
      </x:c>
      <x:c r="E1003" s="56" t="str">
        <x:v>보통</x:v>
      </x:c>
      <x:c r="F1003" s="56" t="str">
        <x:v>아니오</x:v>
      </x:c>
      <x:c r="G1003" s="56" t="str">
        <x:v>아니오</x:v>
      </x:c>
      <x:c r="H1003" s="56" t="str">
        <x:v>예</x:v>
      </x:c>
      <x:c r="I1003" s="56" t="str">
        <x:v>—</x:v>
      </x:c>
      <x:c r="J1003" s="57" t="str">
        <x:v>—</x:v>
      </x:c>
      <x:c r="K1003" s="57" t="str">
        <x:v>—</x:v>
      </x:c>
      <x:c r="L1003" s="57" t="str">
        <x:v>—</x:v>
      </x:c>
      <x:c r="M1003" s="57" t="str">
        <x:v>—</x:v>
      </x:c>
      <x:c r="N1003" s="57" t="str">
        <x:v>—</x:v>
      </x:c>
      <x:c r="O1003" s="57" t="str">
        <x:v>—</x:v>
      </x:c>
      <x:c r="P1003" s="57" t="str">
        <x:v>—</x:v>
      </x:c>
      <x:c r="Q1003" s="57" t="str">
        <x:v>—</x:v>
      </x:c>
      <x:c r="R1003" s="57" t="str">
        <x:v>포함</x:v>
      </x:c>
    </x:row>
    <x:row r="1004">
      <x:c r="A1004" s="60" t="n">
        <x:v>1000</x:v>
      </x:c>
      <x:c r="B1004" s="56" t="str">
        <x:v>타부자고</x:v>
      </x:c>
      <x:c r="C1004" s="56" t="str">
        <x:v>gholdengo</x:v>
      </x:c>
      <x:c r="D1004" s="56" t="str">
        <x:v>도시</x:v>
      </x:c>
      <x:c r="E1004" s="56" t="str">
        <x:v>희귀</x:v>
      </x:c>
      <x:c r="F1004" s="56" t="str">
        <x:v>아니오</x:v>
      </x:c>
      <x:c r="G1004" s="56" t="str">
        <x:v>아니오</x:v>
      </x:c>
      <x:c r="H1004" s="56" t="str">
        <x:v>예</x:v>
      </x:c>
      <x:c r="I1004" s="56" t="str">
        <x:v>—</x:v>
      </x:c>
      <x:c r="J1004" s="57" t="str">
        <x:v>—</x:v>
      </x:c>
      <x:c r="K1004" s="57" t="str">
        <x:v>—</x:v>
      </x:c>
      <x:c r="L1004" s="57" t="str">
        <x:v>—</x:v>
      </x:c>
      <x:c r="M1004" s="57" t="str">
        <x:v>—</x:v>
      </x:c>
      <x:c r="N1004" s="57" t="str">
        <x:v>—</x:v>
      </x:c>
      <x:c r="O1004" s="57" t="str">
        <x:v>—</x:v>
      </x:c>
      <x:c r="P1004" s="57" t="str">
        <x:v>—</x:v>
      </x:c>
      <x:c r="Q1004" s="57" t="str">
        <x:v>—</x:v>
      </x:c>
      <x:c r="R1004" s="57" t="str">
        <x:v>포함</x:v>
      </x:c>
    </x:row>
    <x:row r="1005">
      <x:c r="A1005" s="60" t="n">
        <x:v>1001</x:v>
      </x:c>
      <x:c r="B1005" s="56" t="str">
        <x:v>총지엔</x:v>
      </x:c>
      <x:c r="C1005" s="56" t="str">
        <x:v>wochien</x:v>
      </x:c>
      <x:c r="D1005" s="56" t="str">
        <x:v>숲</x:v>
      </x:c>
      <x:c r="E1005" s="56" t="str">
        <x:v>전설</x:v>
      </x:c>
      <x:c r="F1005" s="56" t="str">
        <x:v>예</x:v>
      </x:c>
      <x:c r="G1005" s="56" t="str">
        <x:v>아니오</x:v>
      </x:c>
      <x:c r="H1005" s="56" t="str">
        <x:v>아니오</x:v>
      </x:c>
      <x:c r="I1005" s="56" t="str">
        <x:v>전설</x:v>
      </x:c>
      <x:c r="J1005" s="57" t="str">
        <x:v>—</x:v>
      </x:c>
      <x:c r="K1005" s="57" t="str">
        <x:v>—</x:v>
      </x:c>
      <x:c r="L1005" s="57" t="str">
        <x:v>—</x:v>
      </x:c>
      <x:c r="M1005" s="57" t="str">
        <x:v>—</x:v>
      </x:c>
      <x:c r="N1005" s="57" t="str">
        <x:v>—</x:v>
      </x:c>
      <x:c r="O1005" s="57" t="str">
        <x:v>—</x:v>
      </x:c>
      <x:c r="P1005" s="57" t="str">
        <x:v>—</x:v>
      </x:c>
      <x:c r="Q1005" s="57" t="str">
        <x:v>—</x:v>
      </x:c>
      <x:c r="R1005" s="57" t="str">
        <x:v>포함</x:v>
      </x:c>
    </x:row>
    <x:row r="1006">
      <x:c r="A1006" s="60" t="n">
        <x:v>1002</x:v>
      </x:c>
      <x:c r="B1006" s="56" t="str">
        <x:v>파오젠</x:v>
      </x:c>
      <x:c r="C1006" s="56" t="str">
        <x:v>chienpao</x:v>
      </x:c>
      <x:c r="D1006" s="56" t="str">
        <x:v>설원</x:v>
      </x:c>
      <x:c r="E1006" s="56" t="str">
        <x:v>전설</x:v>
      </x:c>
      <x:c r="F1006" s="56" t="str">
        <x:v>예</x:v>
      </x:c>
      <x:c r="G1006" s="56" t="str">
        <x:v>아니오</x:v>
      </x:c>
      <x:c r="H1006" s="56" t="str">
        <x:v>아니오</x:v>
      </x:c>
      <x:c r="I1006" s="56" t="str">
        <x:v>전설</x:v>
      </x:c>
      <x:c r="J1006" s="57" t="str">
        <x:v>—</x:v>
      </x:c>
      <x:c r="K1006" s="57" t="str">
        <x:v>—</x:v>
      </x:c>
      <x:c r="L1006" s="57" t="str">
        <x:v>—</x:v>
      </x:c>
      <x:c r="M1006" s="57" t="str">
        <x:v>—</x:v>
      </x:c>
      <x:c r="N1006" s="57" t="str">
        <x:v>—</x:v>
      </x:c>
      <x:c r="O1006" s="57" t="str">
        <x:v>—</x:v>
      </x:c>
      <x:c r="P1006" s="57" t="str">
        <x:v>—</x:v>
      </x:c>
      <x:c r="Q1006" s="57" t="str">
        <x:v>—</x:v>
      </x:c>
      <x:c r="R1006" s="57" t="str">
        <x:v>포함</x:v>
      </x:c>
    </x:row>
    <x:row r="1007">
      <x:c r="A1007" s="60" t="n">
        <x:v>1003</x:v>
      </x:c>
      <x:c r="B1007" s="56" t="str">
        <x:v>딩루</x:v>
      </x:c>
      <x:c r="C1007" s="56" t="str">
        <x:v>tinglu</x:v>
      </x:c>
      <x:c r="D1007" s="56" t="str">
        <x:v>특수</x:v>
      </x:c>
      <x:c r="E1007" s="56" t="str">
        <x:v>전설</x:v>
      </x:c>
      <x:c r="F1007" s="56" t="str">
        <x:v>예</x:v>
      </x:c>
      <x:c r="G1007" s="56" t="str">
        <x:v>아니오</x:v>
      </x:c>
      <x:c r="H1007" s="56" t="str">
        <x:v>아니오</x:v>
      </x:c>
      <x:c r="I1007" s="56" t="str">
        <x:v>전설</x:v>
      </x:c>
      <x:c r="J1007" s="57" t="str">
        <x:v>—</x:v>
      </x:c>
      <x:c r="K1007" s="57" t="str">
        <x:v>—</x:v>
      </x:c>
      <x:c r="L1007" s="57" t="str">
        <x:v>—</x:v>
      </x:c>
      <x:c r="M1007" s="57" t="str">
        <x:v>—</x:v>
      </x:c>
      <x:c r="N1007" s="57" t="str">
        <x:v>—</x:v>
      </x:c>
      <x:c r="O1007" s="57" t="str">
        <x:v>—</x:v>
      </x:c>
      <x:c r="P1007" s="57" t="str">
        <x:v>—</x:v>
      </x:c>
      <x:c r="Q1007" s="57" t="str">
        <x:v>—</x:v>
      </x:c>
      <x:c r="R1007" s="57" t="str">
        <x:v>포함</x:v>
      </x:c>
    </x:row>
    <x:row r="1008">
      <x:c r="A1008" s="60" t="n">
        <x:v>1004</x:v>
      </x:c>
      <x:c r="B1008" s="56" t="str">
        <x:v>위유이</x:v>
      </x:c>
      <x:c r="C1008" s="56" t="str">
        <x:v>chiyu</x:v>
      </x:c>
      <x:c r="D1008" s="56" t="str">
        <x:v>특수</x:v>
      </x:c>
      <x:c r="E1008" s="56" t="str">
        <x:v>전설</x:v>
      </x:c>
      <x:c r="F1008" s="56" t="str">
        <x:v>예</x:v>
      </x:c>
      <x:c r="G1008" s="56" t="str">
        <x:v>아니오</x:v>
      </x:c>
      <x:c r="H1008" s="56" t="str">
        <x:v>아니오</x:v>
      </x:c>
      <x:c r="I1008" s="56" t="str">
        <x:v>전설</x:v>
      </x:c>
      <x:c r="J1008" s="57" t="str">
        <x:v>—</x:v>
      </x:c>
      <x:c r="K1008" s="57" t="str">
        <x:v>—</x:v>
      </x:c>
      <x:c r="L1008" s="57" t="str">
        <x:v>—</x:v>
      </x:c>
      <x:c r="M1008" s="57" t="str">
        <x:v>—</x:v>
      </x:c>
      <x:c r="N1008" s="57" t="str">
        <x:v>—</x:v>
      </x:c>
      <x:c r="O1008" s="57" t="str">
        <x:v>—</x:v>
      </x:c>
      <x:c r="P1008" s="57" t="str">
        <x:v>—</x:v>
      </x:c>
      <x:c r="Q1008" s="57" t="str">
        <x:v>—</x:v>
      </x:c>
      <x:c r="R1008" s="57" t="str">
        <x:v>포함</x:v>
      </x:c>
    </x:row>
    <x:row r="1009">
      <x:c r="A1009" s="60" t="n">
        <x:v>1005</x:v>
      </x:c>
      <x:c r="B1009" s="56" t="str">
        <x:v>고동치는달</x:v>
      </x:c>
      <x:c r="C1009" s="56" t="str">
        <x:v>roaringmoon</x:v>
      </x:c>
      <x:c r="D1009" s="56" t="str">
        <x:v>산악</x:v>
      </x:c>
      <x:c r="E1009" s="56" t="str">
        <x:v>드묾</x:v>
      </x:c>
      <x:c r="F1009" s="56" t="str">
        <x:v>아니오</x:v>
      </x:c>
      <x:c r="G1009" s="56" t="str">
        <x:v>아니오</x:v>
      </x:c>
      <x:c r="H1009" s="56" t="str">
        <x:v>예</x:v>
      </x:c>
      <x:c r="I1009" s="56" t="str">
        <x:v>—</x:v>
      </x:c>
      <x:c r="J1009" s="57" t="str">
        <x:v>—</x:v>
      </x:c>
      <x:c r="K1009" s="57" t="str">
        <x:v>—</x:v>
      </x:c>
      <x:c r="L1009" s="57" t="str">
        <x:v>—</x:v>
      </x:c>
      <x:c r="M1009" s="57" t="str">
        <x:v>—</x:v>
      </x:c>
      <x:c r="N1009" s="57" t="str">
        <x:v>—</x:v>
      </x:c>
      <x:c r="O1009" s="57" t="str">
        <x:v>—</x:v>
      </x:c>
      <x:c r="P1009" s="57" t="str">
        <x:v>—</x:v>
      </x:c>
      <x:c r="Q1009" s="57" t="str">
        <x:v>—</x:v>
      </x:c>
      <x:c r="R1009" s="57" t="str">
        <x:v>포함</x:v>
      </x:c>
    </x:row>
    <x:row r="1010">
      <x:c r="A1010" s="60" t="n">
        <x:v>1006</x:v>
      </x:c>
      <x:c r="B1010" s="56" t="str">
        <x:v>무쇠무인</x:v>
      </x:c>
      <x:c r="C1010" s="56" t="str">
        <x:v>ironvaliant</x:v>
      </x:c>
      <x:c r="D1010" s="56" t="str">
        <x:v>평원</x:v>
      </x:c>
      <x:c r="E1010" s="56" t="str">
        <x:v>드묾</x:v>
      </x:c>
      <x:c r="F1010" s="56" t="str">
        <x:v>아니오</x:v>
      </x:c>
      <x:c r="G1010" s="56" t="str">
        <x:v>아니오</x:v>
      </x:c>
      <x:c r="H1010" s="56" t="str">
        <x:v>예</x:v>
      </x:c>
      <x:c r="I1010" s="56" t="str">
        <x:v>—</x:v>
      </x:c>
      <x:c r="J1010" s="57" t="str">
        <x:v>—</x:v>
      </x:c>
      <x:c r="K1010" s="57" t="str">
        <x:v>—</x:v>
      </x:c>
      <x:c r="L1010" s="57" t="str">
        <x:v>—</x:v>
      </x:c>
      <x:c r="M1010" s="57" t="str">
        <x:v>—</x:v>
      </x:c>
      <x:c r="N1010" s="57" t="str">
        <x:v>—</x:v>
      </x:c>
      <x:c r="O1010" s="57" t="str">
        <x:v>—</x:v>
      </x:c>
      <x:c r="P1010" s="57" t="str">
        <x:v>—</x:v>
      </x:c>
      <x:c r="Q1010" s="57" t="str">
        <x:v>—</x:v>
      </x:c>
      <x:c r="R1010" s="57" t="str">
        <x:v>포함</x:v>
      </x:c>
    </x:row>
    <x:row r="1011">
      <x:c r="A1011" s="60" t="n">
        <x:v>1007</x:v>
      </x:c>
      <x:c r="B1011" s="56" t="str">
        <x:v>코라이돈</x:v>
      </x:c>
      <x:c r="C1011" s="56" t="str">
        <x:v>koraidon</x:v>
      </x:c>
      <x:c r="D1011" s="56" t="str">
        <x:v>해양</x:v>
      </x:c>
      <x:c r="E1011" s="56" t="str">
        <x:v>전설</x:v>
      </x:c>
      <x:c r="F1011" s="56" t="str">
        <x:v>예</x:v>
      </x:c>
      <x:c r="G1011" s="56" t="str">
        <x:v>아니오</x:v>
      </x:c>
      <x:c r="H1011" s="56" t="str">
        <x:v>아니오</x:v>
      </x:c>
      <x:c r="I1011" s="56" t="str">
        <x:v>전설</x:v>
      </x:c>
      <x:c r="J1011" s="57" t="str">
        <x:v>—</x:v>
      </x:c>
      <x:c r="K1011" s="57" t="str">
        <x:v>—</x:v>
      </x:c>
      <x:c r="L1011" s="57" t="str">
        <x:v>—</x:v>
      </x:c>
      <x:c r="M1011" s="57" t="str">
        <x:v>—</x:v>
      </x:c>
      <x:c r="N1011" s="57" t="str">
        <x:v>—</x:v>
      </x:c>
      <x:c r="O1011" s="57" t="str">
        <x:v>—</x:v>
      </x:c>
      <x:c r="P1011" s="57" t="str">
        <x:v>—</x:v>
      </x:c>
      <x:c r="Q1011" s="57" t="str">
        <x:v>—</x:v>
      </x:c>
      <x:c r="R1011" s="57" t="str">
        <x:v>포함</x:v>
      </x:c>
    </x:row>
    <x:row r="1012">
      <x:c r="A1012" s="60" t="n">
        <x:v>1008</x:v>
      </x:c>
      <x:c r="B1012" s="56" t="str">
        <x:v>미라이돈</x:v>
      </x:c>
      <x:c r="C1012" s="56" t="str">
        <x:v>miraidon</x:v>
      </x:c>
      <x:c r="D1012" s="56" t="str">
        <x:v>해양</x:v>
      </x:c>
      <x:c r="E1012" s="56" t="str">
        <x:v>전설</x:v>
      </x:c>
      <x:c r="F1012" s="56" t="str">
        <x:v>예</x:v>
      </x:c>
      <x:c r="G1012" s="56" t="str">
        <x:v>아니오</x:v>
      </x:c>
      <x:c r="H1012" s="56" t="str">
        <x:v>아니오</x:v>
      </x:c>
      <x:c r="I1012" s="56" t="str">
        <x:v>전설</x:v>
      </x:c>
      <x:c r="J1012" s="57" t="str">
        <x:v>—</x:v>
      </x:c>
      <x:c r="K1012" s="57" t="str">
        <x:v>—</x:v>
      </x:c>
      <x:c r="L1012" s="57" t="str">
        <x:v>—</x:v>
      </x:c>
      <x:c r="M1012" s="57" t="str">
        <x:v>—</x:v>
      </x:c>
      <x:c r="N1012" s="57" t="str">
        <x:v>—</x:v>
      </x:c>
      <x:c r="O1012" s="57" t="str">
        <x:v>—</x:v>
      </x:c>
      <x:c r="P1012" s="57" t="str">
        <x:v>—</x:v>
      </x:c>
      <x:c r="Q1012" s="57" t="str">
        <x:v>—</x:v>
      </x:c>
      <x:c r="R1012" s="57" t="str">
        <x:v>포함</x:v>
      </x:c>
    </x:row>
    <x:row r="1013">
      <x:c r="A1013" s="60" t="n">
        <x:v>1009</x:v>
      </x:c>
      <x:c r="B1013" s="56" t="str">
        <x:v>굽이치는물결</x:v>
      </x:c>
      <x:c r="C1013" s="56" t="str">
        <x:v>walkingwake</x:v>
      </x:c>
      <x:c r="D1013" s="56" t="str">
        <x:v>산악</x:v>
      </x:c>
      <x:c r="E1013" s="56" t="str">
        <x:v>희귀</x:v>
      </x:c>
      <x:c r="F1013" s="56" t="str">
        <x:v>아니오</x:v>
      </x:c>
      <x:c r="G1013" s="56" t="str">
        <x:v>아니오</x:v>
      </x:c>
      <x:c r="H1013" s="56" t="str">
        <x:v>예</x:v>
      </x:c>
      <x:c r="I1013" s="56" t="str">
        <x:v>—</x:v>
      </x:c>
      <x:c r="J1013" s="57" t="str">
        <x:v>—</x:v>
      </x:c>
      <x:c r="K1013" s="57" t="str">
        <x:v>—</x:v>
      </x:c>
      <x:c r="L1013" s="57" t="str">
        <x:v>—</x:v>
      </x:c>
      <x:c r="M1013" s="57" t="str">
        <x:v>—</x:v>
      </x:c>
      <x:c r="N1013" s="57" t="str">
        <x:v>—</x:v>
      </x:c>
      <x:c r="O1013" s="57" t="str">
        <x:v>—</x:v>
      </x:c>
      <x:c r="P1013" s="57" t="str">
        <x:v>—</x:v>
      </x:c>
      <x:c r="Q1013" s="57" t="str">
        <x:v>—</x:v>
      </x:c>
      <x:c r="R1013" s="57" t="str">
        <x:v>포함</x:v>
      </x:c>
    </x:row>
    <x:row r="1014">
      <x:c r="A1014" s="60" t="n">
        <x:v>1010</x:v>
      </x:c>
      <x:c r="B1014" s="56" t="str">
        <x:v>무쇠잎새</x:v>
      </x:c>
      <x:c r="C1014" s="56" t="str">
        <x:v>ironleaves</x:v>
      </x:c>
      <x:c r="D1014" s="56" t="str">
        <x:v>숲</x:v>
      </x:c>
      <x:c r="E1014" s="56" t="str">
        <x:v>희귀</x:v>
      </x:c>
      <x:c r="F1014" s="56" t="str">
        <x:v>아니오</x:v>
      </x:c>
      <x:c r="G1014" s="56" t="str">
        <x:v>아니오</x:v>
      </x:c>
      <x:c r="H1014" s="56" t="str">
        <x:v>예</x:v>
      </x:c>
      <x:c r="I1014" s="56" t="str">
        <x:v>—</x:v>
      </x:c>
      <x:c r="J1014" s="57" t="str">
        <x:v>—</x:v>
      </x:c>
      <x:c r="K1014" s="57" t="str">
        <x:v>—</x:v>
      </x:c>
      <x:c r="L1014" s="57" t="str">
        <x:v>—</x:v>
      </x:c>
      <x:c r="M1014" s="57" t="str">
        <x:v>—</x:v>
      </x:c>
      <x:c r="N1014" s="57" t="str">
        <x:v>—</x:v>
      </x:c>
      <x:c r="O1014" s="57" t="str">
        <x:v>—</x:v>
      </x:c>
      <x:c r="P1014" s="57" t="str">
        <x:v>—</x:v>
      </x:c>
      <x:c r="Q1014" s="57" t="str">
        <x:v>—</x:v>
      </x:c>
      <x:c r="R1014" s="57" t="str">
        <x:v>포함</x:v>
      </x:c>
    </x:row>
    <x:row r="1015">
      <x:c r="A1015" s="60" t="n">
        <x:v>1011</x:v>
      </x:c>
      <x:c r="B1015" s="56" t="str">
        <x:v>과미르</x:v>
      </x:c>
      <x:c r="C1015" s="56" t="str">
        <x:v>dipplin</x:v>
      </x:c>
      <x:c r="D1015" s="56" t="str">
        <x:v>숲</x:v>
      </x:c>
      <x:c r="E1015" s="56" t="str">
        <x:v>드묾</x:v>
      </x:c>
      <x:c r="F1015" s="56" t="str">
        <x:v>아니오</x:v>
      </x:c>
      <x:c r="G1015" s="56" t="str">
        <x:v>아니오</x:v>
      </x:c>
      <x:c r="H1015" s="56" t="str">
        <x:v>예</x:v>
      </x:c>
      <x:c r="I1015" s="56" t="str">
        <x:v>—</x:v>
      </x:c>
      <x:c r="J1015" s="57" t="str">
        <x:v>—</x:v>
      </x:c>
      <x:c r="K1015" s="57" t="str">
        <x:v>—</x:v>
      </x:c>
      <x:c r="L1015" s="57" t="str">
        <x:v>—</x:v>
      </x:c>
      <x:c r="M1015" s="57" t="str">
        <x:v>—</x:v>
      </x:c>
      <x:c r="N1015" s="57" t="str">
        <x:v>—</x:v>
      </x:c>
      <x:c r="O1015" s="57" t="str">
        <x:v>—</x:v>
      </x:c>
      <x:c r="P1015" s="57" t="str">
        <x:v>—</x:v>
      </x:c>
      <x:c r="Q1015" s="57" t="str">
        <x:v>—</x:v>
      </x:c>
      <x:c r="R1015" s="57" t="str">
        <x:v>포함</x:v>
      </x:c>
    </x:row>
    <x:row r="1016">
      <x:c r="A1016" s="60" t="n">
        <x:v>1012</x:v>
      </x:c>
      <x:c r="B1016" s="56" t="str">
        <x:v>차데스</x:v>
      </x:c>
      <x:c r="C1016" s="56" t="str">
        <x:v>poltchageist</x:v>
      </x:c>
      <x:c r="D1016" s="56" t="str">
        <x:v>숲</x:v>
      </x:c>
      <x:c r="E1016" s="56" t="str">
        <x:v>보통</x:v>
      </x:c>
      <x:c r="F1016" s="56" t="str">
        <x:v>아니오</x:v>
      </x:c>
      <x:c r="G1016" s="56" t="str">
        <x:v>아니오</x:v>
      </x:c>
      <x:c r="H1016" s="56" t="str">
        <x:v>예</x:v>
      </x:c>
      <x:c r="I1016" s="56" t="str">
        <x:v>—</x:v>
      </x:c>
      <x:c r="J1016" s="57" t="str">
        <x:v>—</x:v>
      </x:c>
      <x:c r="K1016" s="57" t="str">
        <x:v>—</x:v>
      </x:c>
      <x:c r="L1016" s="57" t="str">
        <x:v>—</x:v>
      </x:c>
      <x:c r="M1016" s="57" t="str">
        <x:v>—</x:v>
      </x:c>
      <x:c r="N1016" s="57" t="str">
        <x:v>—</x:v>
      </x:c>
      <x:c r="O1016" s="57" t="str">
        <x:v>—</x:v>
      </x:c>
      <x:c r="P1016" s="57" t="str">
        <x:v>—</x:v>
      </x:c>
      <x:c r="Q1016" s="57" t="str">
        <x:v>—</x:v>
      </x:c>
      <x:c r="R1016" s="57" t="str">
        <x:v>포함</x:v>
      </x:c>
    </x:row>
    <x:row r="1017">
      <x:c r="A1017" s="60" t="n">
        <x:v>1013</x:v>
      </x:c>
      <x:c r="B1017" s="56" t="str">
        <x:v>그우린차</x:v>
      </x:c>
      <x:c r="C1017" s="56" t="str">
        <x:v>sinistcha</x:v>
      </x:c>
      <x:c r="D1017" s="56" t="str">
        <x:v>숲</x:v>
      </x:c>
      <x:c r="E1017" s="56" t="str">
        <x:v>보통</x:v>
      </x:c>
      <x:c r="F1017" s="56" t="str">
        <x:v>아니오</x:v>
      </x:c>
      <x:c r="G1017" s="56" t="str">
        <x:v>아니오</x:v>
      </x:c>
      <x:c r="H1017" s="56" t="str">
        <x:v>예</x:v>
      </x:c>
      <x:c r="I1017" s="56" t="str">
        <x:v>—</x:v>
      </x:c>
      <x:c r="J1017" s="57" t="str">
        <x:v>—</x:v>
      </x:c>
      <x:c r="K1017" s="57" t="str">
        <x:v>—</x:v>
      </x:c>
      <x:c r="L1017" s="57" t="str">
        <x:v>—</x:v>
      </x:c>
      <x:c r="M1017" s="57" t="str">
        <x:v>—</x:v>
      </x:c>
      <x:c r="N1017" s="57" t="str">
        <x:v>—</x:v>
      </x:c>
      <x:c r="O1017" s="57" t="str">
        <x:v>—</x:v>
      </x:c>
      <x:c r="P1017" s="57" t="str">
        <x:v>—</x:v>
      </x:c>
      <x:c r="Q1017" s="57" t="str">
        <x:v>—</x:v>
      </x:c>
      <x:c r="R1017" s="57" t="str">
        <x:v>포함</x:v>
      </x:c>
    </x:row>
    <x:row r="1018">
      <x:c r="A1018" s="60" t="n">
        <x:v>1014</x:v>
      </x:c>
      <x:c r="B1018" s="56" t="str">
        <x:v>조타구</x:v>
      </x:c>
      <x:c r="C1018" s="56" t="str">
        <x:v>okidogi</x:v>
      </x:c>
      <x:c r="D1018" s="56" t="str">
        <x:v>평원</x:v>
      </x:c>
      <x:c r="E1018" s="56" t="str">
        <x:v>전설</x:v>
      </x:c>
      <x:c r="F1018" s="56" t="str">
        <x:v>예</x:v>
      </x:c>
      <x:c r="G1018" s="56" t="str">
        <x:v>아니오</x:v>
      </x:c>
      <x:c r="H1018" s="56" t="str">
        <x:v>아니오</x:v>
      </x:c>
      <x:c r="I1018" s="56" t="str">
        <x:v>전설</x:v>
      </x:c>
      <x:c r="J1018" s="57" t="str">
        <x:v>—</x:v>
      </x:c>
      <x:c r="K1018" s="57" t="str">
        <x:v>—</x:v>
      </x:c>
      <x:c r="L1018" s="57" t="str">
        <x:v>—</x:v>
      </x:c>
      <x:c r="M1018" s="57" t="str">
        <x:v>—</x:v>
      </x:c>
      <x:c r="N1018" s="57" t="str">
        <x:v>—</x:v>
      </x:c>
      <x:c r="O1018" s="57" t="str">
        <x:v>—</x:v>
      </x:c>
      <x:c r="P1018" s="57" t="str">
        <x:v>—</x:v>
      </x:c>
      <x:c r="Q1018" s="57" t="str">
        <x:v>—</x:v>
      </x:c>
      <x:c r="R1018" s="57" t="str">
        <x:v>포함</x:v>
      </x:c>
    </x:row>
    <x:row r="1019">
      <x:c r="A1019" s="60" t="n">
        <x:v>1015</x:v>
      </x:c>
      <x:c r="B1019" s="56" t="str">
        <x:v>이야후</x:v>
      </x:c>
      <x:c r="C1019" s="56" t="str">
        <x:v>munkidori</x:v>
      </x:c>
      <x:c r="D1019" s="56" t="str">
        <x:v>숲</x:v>
      </x:c>
      <x:c r="E1019" s="56" t="str">
        <x:v>전설</x:v>
      </x:c>
      <x:c r="F1019" s="56" t="str">
        <x:v>예</x:v>
      </x:c>
      <x:c r="G1019" s="56" t="str">
        <x:v>아니오</x:v>
      </x:c>
      <x:c r="H1019" s="56" t="str">
        <x:v>아니오</x:v>
      </x:c>
      <x:c r="I1019" s="56" t="str">
        <x:v>전설</x:v>
      </x:c>
      <x:c r="J1019" s="57" t="str">
        <x:v>—</x:v>
      </x:c>
      <x:c r="K1019" s="57" t="str">
        <x:v>—</x:v>
      </x:c>
      <x:c r="L1019" s="57" t="str">
        <x:v>—</x:v>
      </x:c>
      <x:c r="M1019" s="57" t="str">
        <x:v>—</x:v>
      </x:c>
      <x:c r="N1019" s="57" t="str">
        <x:v>—</x:v>
      </x:c>
      <x:c r="O1019" s="57" t="str">
        <x:v>—</x:v>
      </x:c>
      <x:c r="P1019" s="57" t="str">
        <x:v>—</x:v>
      </x:c>
      <x:c r="Q1019" s="57" t="str">
        <x:v>—</x:v>
      </x:c>
      <x:c r="R1019" s="57" t="str">
        <x:v>포함</x:v>
      </x:c>
    </x:row>
    <x:row r="1020">
      <x:c r="A1020" s="60" t="n">
        <x:v>1016</x:v>
      </x:c>
      <x:c r="B1020" s="56" t="str">
        <x:v>기로치</x:v>
      </x:c>
      <x:c r="C1020" s="56" t="str">
        <x:v>fezandipiti</x:v>
      </x:c>
      <x:c r="D1020" s="56" t="str">
        <x:v>산악</x:v>
      </x:c>
      <x:c r="E1020" s="56" t="str">
        <x:v>전설</x:v>
      </x:c>
      <x:c r="F1020" s="56" t="str">
        <x:v>예</x:v>
      </x:c>
      <x:c r="G1020" s="56" t="str">
        <x:v>아니오</x:v>
      </x:c>
      <x:c r="H1020" s="56" t="str">
        <x:v>아니오</x:v>
      </x:c>
      <x:c r="I1020" s="56" t="str">
        <x:v>전설</x:v>
      </x:c>
      <x:c r="J1020" s="57" t="str">
        <x:v>—</x:v>
      </x:c>
      <x:c r="K1020" s="57" t="str">
        <x:v>—</x:v>
      </x:c>
      <x:c r="L1020" s="57" t="str">
        <x:v>—</x:v>
      </x:c>
      <x:c r="M1020" s="57" t="str">
        <x:v>—</x:v>
      </x:c>
      <x:c r="N1020" s="57" t="str">
        <x:v>—</x:v>
      </x:c>
      <x:c r="O1020" s="57" t="str">
        <x:v>—</x:v>
      </x:c>
      <x:c r="P1020" s="57" t="str">
        <x:v>—</x:v>
      </x:c>
      <x:c r="Q1020" s="57" t="str">
        <x:v>—</x:v>
      </x:c>
      <x:c r="R1020" s="57" t="str">
        <x:v>포함</x:v>
      </x:c>
    </x:row>
    <x:row r="1021">
      <x:c r="A1021" s="60" t="n">
        <x:v>1017</x:v>
      </x:c>
      <x:c r="B1021" s="56" t="str">
        <x:v>오거폰</x:v>
      </x:c>
      <x:c r="C1021" s="56" t="str">
        <x:v>ogerpon</x:v>
      </x:c>
      <x:c r="D1021" s="56" t="str">
        <x:v>숲</x:v>
      </x:c>
      <x:c r="E1021" s="56" t="str">
        <x:v>전설</x:v>
      </x:c>
      <x:c r="F1021" s="56" t="str">
        <x:v>예</x:v>
      </x:c>
      <x:c r="G1021" s="56" t="str">
        <x:v>아니오</x:v>
      </x:c>
      <x:c r="H1021" s="56" t="str">
        <x:v>아니오</x:v>
      </x:c>
      <x:c r="I1021" s="56" t="str">
        <x:v>전설</x:v>
      </x:c>
      <x:c r="J1021" s="57" t="str">
        <x:v>—</x:v>
      </x:c>
      <x:c r="K1021" s="57" t="str">
        <x:v>—</x:v>
      </x:c>
      <x:c r="L1021" s="57" t="str">
        <x:v>—</x:v>
      </x:c>
      <x:c r="M1021" s="57" t="str">
        <x:v>—</x:v>
      </x:c>
      <x:c r="N1021" s="57" t="str">
        <x:v>—</x:v>
      </x:c>
      <x:c r="O1021" s="57" t="str">
        <x:v>—</x:v>
      </x:c>
      <x:c r="P1021" s="57" t="str">
        <x:v>—</x:v>
      </x:c>
      <x:c r="Q1021" s="57" t="str">
        <x:v>—</x:v>
      </x:c>
      <x:c r="R1021" s="57" t="str">
        <x:v>포함</x:v>
      </x:c>
    </x:row>
    <x:row r="1022">
      <x:c r="A1022" s="60" t="n">
        <x:v>1018</x:v>
      </x:c>
      <x:c r="B1022" s="56" t="str">
        <x:v>브리두라스</x:v>
      </x:c>
      <x:c r="C1022" s="56" t="str">
        <x:v>archaludon</x:v>
      </x:c>
      <x:c r="D1022" s="56" t="str">
        <x:v>평원</x:v>
      </x:c>
      <x:c r="E1022" s="56" t="str">
        <x:v>희귀</x:v>
      </x:c>
      <x:c r="F1022" s="56" t="str">
        <x:v>아니오</x:v>
      </x:c>
      <x:c r="G1022" s="56" t="str">
        <x:v>아니오</x:v>
      </x:c>
      <x:c r="H1022" s="56" t="str">
        <x:v>예</x:v>
      </x:c>
      <x:c r="I1022" s="56" t="str">
        <x:v>—</x:v>
      </x:c>
      <x:c r="J1022" s="57" t="str">
        <x:v>—</x:v>
      </x:c>
      <x:c r="K1022" s="57" t="str">
        <x:v>—</x:v>
      </x:c>
      <x:c r="L1022" s="57" t="str">
        <x:v>—</x:v>
      </x:c>
      <x:c r="M1022" s="57" t="str">
        <x:v>—</x:v>
      </x:c>
      <x:c r="N1022" s="57" t="str">
        <x:v>—</x:v>
      </x:c>
      <x:c r="O1022" s="57" t="str">
        <x:v>—</x:v>
      </x:c>
      <x:c r="P1022" s="57" t="str">
        <x:v>—</x:v>
      </x:c>
      <x:c r="Q1022" s="57" t="str">
        <x:v>—</x:v>
      </x:c>
      <x:c r="R1022" s="57" t="str">
        <x:v>포함</x:v>
      </x:c>
    </x:row>
    <x:row r="1023">
      <x:c r="A1023" s="60" t="n">
        <x:v>1019</x:v>
      </x:c>
      <x:c r="B1023" s="56" t="str">
        <x:v>과미드라</x:v>
      </x:c>
      <x:c r="C1023" s="56" t="str">
        <x:v>hydrapple</x:v>
      </x:c>
      <x:c r="D1023" s="56" t="str">
        <x:v>숲</x:v>
      </x:c>
      <x:c r="E1023" s="56" t="str">
        <x:v>희귀</x:v>
      </x:c>
      <x:c r="F1023" s="56" t="str">
        <x:v>아니오</x:v>
      </x:c>
      <x:c r="G1023" s="56" t="str">
        <x:v>아니오</x:v>
      </x:c>
      <x:c r="H1023" s="56" t="str">
        <x:v>예</x:v>
      </x:c>
      <x:c r="I1023" s="56" t="str">
        <x:v>—</x:v>
      </x:c>
      <x:c r="J1023" s="57" t="str">
        <x:v>—</x:v>
      </x:c>
      <x:c r="K1023" s="57" t="str">
        <x:v>—</x:v>
      </x:c>
      <x:c r="L1023" s="57" t="str">
        <x:v>—</x:v>
      </x:c>
      <x:c r="M1023" s="57" t="str">
        <x:v>—</x:v>
      </x:c>
      <x:c r="N1023" s="57" t="str">
        <x:v>—</x:v>
      </x:c>
      <x:c r="O1023" s="57" t="str">
        <x:v>—</x:v>
      </x:c>
      <x:c r="P1023" s="57" t="str">
        <x:v>—</x:v>
      </x:c>
      <x:c r="Q1023" s="57" t="str">
        <x:v>—</x:v>
      </x:c>
      <x:c r="R1023" s="57" t="str">
        <x:v>포함</x:v>
      </x:c>
    </x:row>
    <x:row r="1024">
      <x:c r="A1024" s="60" t="n">
        <x:v>1020</x:v>
      </x:c>
      <x:c r="B1024" s="56" t="str">
        <x:v>꿰뚫는화염</x:v>
      </x:c>
      <x:c r="C1024" s="56" t="str">
        <x:v>gougingfire</x:v>
      </x:c>
      <x:c r="D1024" s="56" t="str">
        <x:v>화산</x:v>
      </x:c>
      <x:c r="E1024" s="56" t="str">
        <x:v>희귀</x:v>
      </x:c>
      <x:c r="F1024" s="56" t="str">
        <x:v>아니오</x:v>
      </x:c>
      <x:c r="G1024" s="56" t="str">
        <x:v>아니오</x:v>
      </x:c>
      <x:c r="H1024" s="56" t="str">
        <x:v>예</x:v>
      </x:c>
      <x:c r="I1024" s="56" t="str">
        <x:v>—</x:v>
      </x:c>
      <x:c r="J1024" s="57" t="str">
        <x:v>—</x:v>
      </x:c>
      <x:c r="K1024" s="57" t="str">
        <x:v>—</x:v>
      </x:c>
      <x:c r="L1024" s="57" t="str">
        <x:v>—</x:v>
      </x:c>
      <x:c r="M1024" s="57" t="str">
        <x:v>—</x:v>
      </x:c>
      <x:c r="N1024" s="57" t="str">
        <x:v>—</x:v>
      </x:c>
      <x:c r="O1024" s="57" t="str">
        <x:v>—</x:v>
      </x:c>
      <x:c r="P1024" s="57" t="str">
        <x:v>—</x:v>
      </x:c>
      <x:c r="Q1024" s="57" t="str">
        <x:v>—</x:v>
      </x:c>
      <x:c r="R1024" s="57" t="str">
        <x:v>포함</x:v>
      </x:c>
    </x:row>
    <x:row r="1025">
      <x:c r="A1025" s="60" t="n">
        <x:v>1021</x:v>
      </x:c>
      <x:c r="B1025" s="56" t="str">
        <x:v>날뛰는우레</x:v>
      </x:c>
      <x:c r="C1025" s="56" t="str">
        <x:v>ragingbolt</x:v>
      </x:c>
      <x:c r="D1025" s="56" t="str">
        <x:v>건조지</x:v>
      </x:c>
      <x:c r="E1025" s="56" t="str">
        <x:v>희귀</x:v>
      </x:c>
      <x:c r="F1025" s="56" t="str">
        <x:v>아니오</x:v>
      </x:c>
      <x:c r="G1025" s="56" t="str">
        <x:v>아니오</x:v>
      </x:c>
      <x:c r="H1025" s="56" t="str">
        <x:v>예</x:v>
      </x:c>
      <x:c r="I1025" s="56" t="str">
        <x:v>—</x:v>
      </x:c>
      <x:c r="J1025" s="57" t="str">
        <x:v>—</x:v>
      </x:c>
      <x:c r="K1025" s="57" t="str">
        <x:v>—</x:v>
      </x:c>
      <x:c r="L1025" s="57" t="str">
        <x:v>—</x:v>
      </x:c>
      <x:c r="M1025" s="57" t="str">
        <x:v>—</x:v>
      </x:c>
      <x:c r="N1025" s="57" t="str">
        <x:v>—</x:v>
      </x:c>
      <x:c r="O1025" s="57" t="str">
        <x:v>—</x:v>
      </x:c>
      <x:c r="P1025" s="57" t="str">
        <x:v>—</x:v>
      </x:c>
      <x:c r="Q1025" s="57" t="str">
        <x:v>—</x:v>
      </x:c>
      <x:c r="R1025" s="57" t="str">
        <x:v>포함</x:v>
      </x:c>
    </x:row>
    <x:row r="1026">
      <x:c r="A1026" s="60" t="n">
        <x:v>1022</x:v>
      </x:c>
      <x:c r="B1026" s="56" t="str">
        <x:v>무쇠암석</x:v>
      </x:c>
      <x:c r="C1026" s="56" t="str">
        <x:v>ironboulder</x:v>
      </x:c>
      <x:c r="D1026" s="56" t="str">
        <x:v>숲</x:v>
      </x:c>
      <x:c r="E1026" s="56" t="str">
        <x:v>희귀</x:v>
      </x:c>
      <x:c r="F1026" s="56" t="str">
        <x:v>아니오</x:v>
      </x:c>
      <x:c r="G1026" s="56" t="str">
        <x:v>아니오</x:v>
      </x:c>
      <x:c r="H1026" s="56" t="str">
        <x:v>예</x:v>
      </x:c>
      <x:c r="I1026" s="56" t="str">
        <x:v>—</x:v>
      </x:c>
      <x:c r="J1026" s="57" t="str">
        <x:v>—</x:v>
      </x:c>
      <x:c r="K1026" s="57" t="str">
        <x:v>—</x:v>
      </x:c>
      <x:c r="L1026" s="57" t="str">
        <x:v>—</x:v>
      </x:c>
      <x:c r="M1026" s="57" t="str">
        <x:v>—</x:v>
      </x:c>
      <x:c r="N1026" s="57" t="str">
        <x:v>—</x:v>
      </x:c>
      <x:c r="O1026" s="57" t="str">
        <x:v>—</x:v>
      </x:c>
      <x:c r="P1026" s="57" t="str">
        <x:v>—</x:v>
      </x:c>
      <x:c r="Q1026" s="57" t="str">
        <x:v>—</x:v>
      </x:c>
      <x:c r="R1026" s="57" t="str">
        <x:v>포함</x:v>
      </x:c>
    </x:row>
    <x:row r="1027">
      <x:c r="A1027" s="60" t="n">
        <x:v>1023</x:v>
      </x:c>
      <x:c r="B1027" s="56" t="str">
        <x:v>무쇠감투</x:v>
      </x:c>
      <x:c r="C1027" s="56" t="str">
        <x:v>ironcrown</x:v>
      </x:c>
      <x:c r="D1027" s="56" t="str">
        <x:v>평원</x:v>
      </x:c>
      <x:c r="E1027" s="56" t="str">
        <x:v>희귀</x:v>
      </x:c>
      <x:c r="F1027" s="56" t="str">
        <x:v>아니오</x:v>
      </x:c>
      <x:c r="G1027" s="56" t="str">
        <x:v>아니오</x:v>
      </x:c>
      <x:c r="H1027" s="56" t="str">
        <x:v>예</x:v>
      </x:c>
      <x:c r="I1027" s="56" t="str">
        <x:v>—</x:v>
      </x:c>
      <x:c r="J1027" s="57" t="str">
        <x:v>—</x:v>
      </x:c>
      <x:c r="K1027" s="57" t="str">
        <x:v>—</x:v>
      </x:c>
      <x:c r="L1027" s="57" t="str">
        <x:v>—</x:v>
      </x:c>
      <x:c r="M1027" s="57" t="str">
        <x:v>—</x:v>
      </x:c>
      <x:c r="N1027" s="57" t="str">
        <x:v>—</x:v>
      </x:c>
      <x:c r="O1027" s="57" t="str">
        <x:v>—</x:v>
      </x:c>
      <x:c r="P1027" s="57" t="str">
        <x:v>—</x:v>
      </x:c>
      <x:c r="Q1027" s="57" t="str">
        <x:v>—</x:v>
      </x:c>
      <x:c r="R1027" s="57" t="str">
        <x:v>포함</x:v>
      </x:c>
    </x:row>
    <x:row r="1028">
      <x:c r="A1028" s="60" t="n">
        <x:v>1024</x:v>
      </x:c>
      <x:c r="B1028" s="56" t="str">
        <x:v>테라파고스</x:v>
      </x:c>
      <x:c r="C1028" s="56" t="str">
        <x:v>terapagos</x:v>
      </x:c>
      <x:c r="D1028" s="56" t="str">
        <x:v>동굴</x:v>
      </x:c>
      <x:c r="E1028" s="56" t="str">
        <x:v>전설</x:v>
      </x:c>
      <x:c r="F1028" s="56" t="str">
        <x:v>예</x:v>
      </x:c>
      <x:c r="G1028" s="56" t="str">
        <x:v>아니오</x:v>
      </x:c>
      <x:c r="H1028" s="56" t="str">
        <x:v>아니오</x:v>
      </x:c>
      <x:c r="I1028" s="56" t="str">
        <x:v>전설</x:v>
      </x:c>
      <x:c r="J1028" s="57" t="str">
        <x:v>—</x:v>
      </x:c>
      <x:c r="K1028" s="57" t="str">
        <x:v>—</x:v>
      </x:c>
      <x:c r="L1028" s="57" t="str">
        <x:v>—</x:v>
      </x:c>
      <x:c r="M1028" s="57" t="str">
        <x:v>—</x:v>
      </x:c>
      <x:c r="N1028" s="57" t="str">
        <x:v>—</x:v>
      </x:c>
      <x:c r="O1028" s="57" t="str">
        <x:v>—</x:v>
      </x:c>
      <x:c r="P1028" s="57" t="str">
        <x:v>—</x:v>
      </x:c>
      <x:c r="Q1028" s="57" t="str">
        <x:v>—</x:v>
      </x:c>
      <x:c r="R1028" s="57" t="str">
        <x:v>포함</x:v>
      </x:c>
    </x:row>
    <x:row r="1029">
      <x:c r="A1029" s="61" t="n">
        <x:v>1025</x:v>
      </x:c>
      <x:c r="B1029" s="58" t="str">
        <x:v>복숭악동</x:v>
      </x:c>
      <x:c r="C1029" s="58" t="str">
        <x:v>pecharunt</x:v>
      </x:c>
      <x:c r="D1029" s="58" t="str">
        <x:v>특수</x:v>
      </x:c>
      <x:c r="E1029" s="58" t="str">
        <x:v>전설</x:v>
      </x:c>
      <x:c r="F1029" s="58" t="str">
        <x:v>아니오</x:v>
      </x:c>
      <x:c r="G1029" s="58" t="str">
        <x:v>예</x:v>
      </x:c>
      <x:c r="H1029" s="58" t="str">
        <x:v>아니오</x:v>
      </x:c>
      <x:c r="I1029" s="58" t="str">
        <x:v>환상</x:v>
      </x:c>
      <x:c r="J1029" s="59" t="str">
        <x:v>—</x:v>
      </x:c>
      <x:c r="K1029" s="59" t="str">
        <x:v>—</x:v>
      </x:c>
      <x:c r="L1029" s="59" t="str">
        <x:v>—</x:v>
      </x:c>
      <x:c r="M1029" s="59" t="str">
        <x:v>—</x:v>
      </x:c>
      <x:c r="N1029" s="59" t="str">
        <x:v>—</x:v>
      </x:c>
      <x:c r="O1029" s="59" t="str">
        <x:v>—</x:v>
      </x:c>
      <x:c r="P1029" s="59" t="str">
        <x:v>—</x:v>
      </x:c>
      <x:c r="Q1029" s="59" t="str">
        <x:v>—</x:v>
      </x:c>
      <x:c r="R1029" s="59" t="str">
        <x:v>포함</x:v>
      </x:c>
    </x:row>
  </x:sheetData>
  <x:mergeCells>
    <x:mergeCell ref="A1:R1"/>
    <x:mergeCell ref="A2:R2"/>
  </x:mergeCells>
  <x:pageMargins left="0.7" right="0.7" top="0.75" bottom="0.75" header="0.3" footer="0.3"/>
  <x:legacyDrawing xmlns:r="http://schemas.openxmlformats.org/officeDocument/2006/relationships" r:id="R1981e2298cb84977"/>
  <x:tableParts count="1">
    <x:tablePart xmlns:r="http://schemas.openxmlformats.org/officeDocument/2006/relationships" r:id="Rd5d161e79a2c455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</x:cols>
  <x:sheetData>
    <x:row r="1" ht="28" customHeight="1">
      <x:c r="A1" s="64" t="str">
        <x:v>시리즈별 번호 서식지 배정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</x:row>
    <x:row r="2" ht="28" customHeight="1">
      <x:c r="A2" s="68" t="str">
        <x:v>지역도감과 주·보조 서식지를 먼저 적용한 뒤 최대 40종 단위로 균등 분할합니다. 전설·환상·legendary 레어도는 기본 배정에서 제외합니다.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  <x:c r="R2" s="68"/>
      <x:c r="S2" s="68"/>
      <x:c r="T2" s="68"/>
      <x:c r="U2" s="68"/>
      <x:c r="V2" s="68"/>
    </x:row>
    <x:row r="4" ht="32" customHeight="1">
      <x:c r="A4" s="79" t="str">
        <x:v>덱스번호</x:v>
      </x:c>
      <x:c r="B4" s="79" t="str">
        <x:v>한글명</x:v>
      </x:c>
      <x:c r="C4" s="79" t="str">
        <x:v>영문ID</x:v>
      </x:c>
      <x:c r="D4" s="79" t="str">
        <x:v>기본 주서식지</x:v>
      </x:c>
      <x:c r="E4" s="79" t="str">
        <x:v>관동 주서식지</x:v>
      </x:c>
      <x:c r="F4" s="79" t="str">
        <x:v>관동 보조서식지</x:v>
      </x:c>
      <x:c r="G4" s="79" t="str">
        <x:v>성도 주서식지</x:v>
      </x:c>
      <x:c r="H4" s="79" t="str">
        <x:v>성도 보조서식지</x:v>
      </x:c>
      <x:c r="I4" s="79" t="str">
        <x:v>호연 주서식지</x:v>
      </x:c>
      <x:c r="J4" s="79" t="str">
        <x:v>호연 보조서식지</x:v>
      </x:c>
      <x:c r="K4" s="79" t="str">
        <x:v>신오 주서식지</x:v>
      </x:c>
      <x:c r="L4" s="79" t="str">
        <x:v>신오 보조서식지</x:v>
      </x:c>
      <x:c r="M4" s="79" t="str">
        <x:v>하나 주서식지</x:v>
      </x:c>
      <x:c r="N4" s="79" t="str">
        <x:v>하나 보조서식지</x:v>
      </x:c>
      <x:c r="O4" s="79" t="str">
        <x:v>칼로스 주서식지</x:v>
      </x:c>
      <x:c r="P4" s="79" t="str">
        <x:v>칼로스 보조서식지</x:v>
      </x:c>
      <x:c r="Q4" s="79" t="str">
        <x:v>알로라 주서식지</x:v>
      </x:c>
      <x:c r="R4" s="79" t="str">
        <x:v>알로라 보조서식지</x:v>
      </x:c>
      <x:c r="S4" s="79" t="str">
        <x:v>가라르 주서식지</x:v>
      </x:c>
      <x:c r="T4" s="79" t="str">
        <x:v>가라르 보조서식지</x:v>
      </x:c>
      <x:c r="U4" s="79" t="str">
        <x:v>팔데아 주서식지</x:v>
      </x:c>
      <x:c r="V4" s="79" t="str">
        <x:v>팔데아 보조서식지</x:v>
      </x:c>
    </x:row>
    <x:row r="5">
      <x:c r="A5" s="80" t="n">
        <x:v>1</x:v>
      </x:c>
      <x:c r="B5" s="80" t="str">
        <x:v>이상해씨</x:v>
      </x:c>
      <x:c r="C5" s="80" t="str">
        <x:v>bulbasaur</x:v>
      </x:c>
      <x:c r="D5" s="80" t="str">
        <x:v>숲</x:v>
      </x:c>
      <x:c r="E5" s="81" t="str">
        <x:v>숲1</x:v>
      </x:c>
      <x:c r="F5" s="81" t="str">
        <x:v>습지1</x:v>
      </x:c>
      <x:c r="G5" s="81" t="str">
        <x:v>숲1</x:v>
      </x:c>
      <x:c r="H5" s="81" t="str">
        <x:v>습지1</x:v>
      </x:c>
      <x:c r="I5" s="81" t="str">
        <x:v>—</x:v>
      </x:c>
      <x:c r="J5" s="81" t="str">
        <x:v>—</x:v>
      </x:c>
      <x:c r="K5" s="81" t="str">
        <x:v>—</x:v>
      </x:c>
      <x:c r="L5" s="81" t="str">
        <x:v>—</x:v>
      </x:c>
      <x:c r="M5" s="81" t="str">
        <x:v>—</x:v>
      </x:c>
      <x:c r="N5" s="81" t="str">
        <x:v>—</x:v>
      </x:c>
      <x:c r="O5" s="81" t="str">
        <x:v>숲1</x:v>
      </x:c>
      <x:c r="P5" s="81" t="str">
        <x:v>습지1</x:v>
      </x:c>
      <x:c r="Q5" s="81" t="str">
        <x:v>—</x:v>
      </x:c>
      <x:c r="R5" s="81" t="str">
        <x:v>—</x:v>
      </x:c>
      <x:c r="S5" s="81" t="str">
        <x:v>숲1</x:v>
      </x:c>
      <x:c r="T5" s="81" t="str">
        <x:v>습지1</x:v>
      </x:c>
      <x:c r="U5" s="81" t="str">
        <x:v>숲1</x:v>
      </x:c>
      <x:c r="V5" s="81" t="str">
        <x:v>습지1</x:v>
      </x:c>
    </x:row>
    <x:row r="6">
      <x:c r="A6" s="80" t="n">
        <x:v>2</x:v>
      </x:c>
      <x:c r="B6" s="80" t="str">
        <x:v>이상해풀</x:v>
      </x:c>
      <x:c r="C6" s="80" t="str">
        <x:v>ivysaur</x:v>
      </x:c>
      <x:c r="D6" s="80" t="str">
        <x:v>숲</x:v>
      </x:c>
      <x:c r="E6" s="81" t="str">
        <x:v>숲1</x:v>
      </x:c>
      <x:c r="F6" s="81" t="str">
        <x:v>습지1</x:v>
      </x:c>
      <x:c r="G6" s="81" t="str">
        <x:v>숲1</x:v>
      </x:c>
      <x:c r="H6" s="81" t="str">
        <x:v>습지1</x:v>
      </x:c>
      <x:c r="I6" s="81" t="str">
        <x:v>—</x:v>
      </x:c>
      <x:c r="J6" s="81" t="str">
        <x:v>—</x:v>
      </x:c>
      <x:c r="K6" s="81" t="str">
        <x:v>—</x:v>
      </x:c>
      <x:c r="L6" s="81" t="str">
        <x:v>—</x:v>
      </x:c>
      <x:c r="M6" s="81" t="str">
        <x:v>—</x:v>
      </x:c>
      <x:c r="N6" s="81" t="str">
        <x:v>—</x:v>
      </x:c>
      <x:c r="O6" s="81" t="str">
        <x:v>숲1</x:v>
      </x:c>
      <x:c r="P6" s="81" t="str">
        <x:v>습지1</x:v>
      </x:c>
      <x:c r="Q6" s="81" t="str">
        <x:v>—</x:v>
      </x:c>
      <x:c r="R6" s="81" t="str">
        <x:v>—</x:v>
      </x:c>
      <x:c r="S6" s="81" t="str">
        <x:v>숲1</x:v>
      </x:c>
      <x:c r="T6" s="81" t="str">
        <x:v>습지1</x:v>
      </x:c>
      <x:c r="U6" s="81" t="str">
        <x:v>숲1</x:v>
      </x:c>
      <x:c r="V6" s="81" t="str">
        <x:v>습지1</x:v>
      </x:c>
    </x:row>
    <x:row r="7">
      <x:c r="A7" s="80" t="n">
        <x:v>3</x:v>
      </x:c>
      <x:c r="B7" s="80" t="str">
        <x:v>이상해꽃</x:v>
      </x:c>
      <x:c r="C7" s="80" t="str">
        <x:v>venusaur</x:v>
      </x:c>
      <x:c r="D7" s="80" t="str">
        <x:v>숲</x:v>
      </x:c>
      <x:c r="E7" s="81" t="str">
        <x:v>숲1</x:v>
      </x:c>
      <x:c r="F7" s="81" t="str">
        <x:v>습지1</x:v>
      </x:c>
      <x:c r="G7" s="81" t="str">
        <x:v>숲1</x:v>
      </x:c>
      <x:c r="H7" s="81" t="str">
        <x:v>습지1</x:v>
      </x:c>
      <x:c r="I7" s="81" t="str">
        <x:v>—</x:v>
      </x:c>
      <x:c r="J7" s="81" t="str">
        <x:v>—</x:v>
      </x:c>
      <x:c r="K7" s="81" t="str">
        <x:v>—</x:v>
      </x:c>
      <x:c r="L7" s="81" t="str">
        <x:v>—</x:v>
      </x:c>
      <x:c r="M7" s="81" t="str">
        <x:v>—</x:v>
      </x:c>
      <x:c r="N7" s="81" t="str">
        <x:v>—</x:v>
      </x:c>
      <x:c r="O7" s="81" t="str">
        <x:v>숲1</x:v>
      </x:c>
      <x:c r="P7" s="81" t="str">
        <x:v>습지1</x:v>
      </x:c>
      <x:c r="Q7" s="81" t="str">
        <x:v>—</x:v>
      </x:c>
      <x:c r="R7" s="81" t="str">
        <x:v>—</x:v>
      </x:c>
      <x:c r="S7" s="81" t="str">
        <x:v>숲1</x:v>
      </x:c>
      <x:c r="T7" s="81" t="str">
        <x:v>습지1</x:v>
      </x:c>
      <x:c r="U7" s="81" t="str">
        <x:v>숲1</x:v>
      </x:c>
      <x:c r="V7" s="81" t="str">
        <x:v>습지1</x:v>
      </x:c>
    </x:row>
    <x:row r="8">
      <x:c r="A8" s="80" t="n">
        <x:v>4</x:v>
      </x:c>
      <x:c r="B8" s="80" t="str">
        <x:v>파이리</x:v>
      </x:c>
      <x:c r="C8" s="80" t="str">
        <x:v>charmander</x:v>
      </x:c>
      <x:c r="D8" s="80" t="str">
        <x:v>화산</x:v>
      </x:c>
      <x:c r="E8" s="81" t="str">
        <x:v>화산1</x:v>
      </x:c>
      <x:c r="F8" s="81" t="str">
        <x:v>건조지1</x:v>
      </x:c>
      <x:c r="G8" s="81" t="str">
        <x:v>화산1</x:v>
      </x:c>
      <x:c r="H8" s="81" t="str">
        <x:v>건조지1</x:v>
      </x:c>
      <x:c r="I8" s="81" t="str">
        <x:v>—</x:v>
      </x:c>
      <x:c r="J8" s="81" t="str">
        <x:v>—</x:v>
      </x:c>
      <x:c r="K8" s="81" t="str">
        <x:v>—</x:v>
      </x:c>
      <x:c r="L8" s="81" t="str">
        <x:v>—</x:v>
      </x:c>
      <x:c r="M8" s="81" t="str">
        <x:v>—</x:v>
      </x:c>
      <x:c r="N8" s="81" t="str">
        <x:v>—</x:v>
      </x:c>
      <x:c r="O8" s="81" t="str">
        <x:v>화산1</x:v>
      </x:c>
      <x:c r="P8" s="81" t="str">
        <x:v>건조지1</x:v>
      </x:c>
      <x:c r="Q8" s="81" t="str">
        <x:v>—</x:v>
      </x:c>
      <x:c r="R8" s="81" t="str">
        <x:v>—</x:v>
      </x:c>
      <x:c r="S8" s="81" t="str">
        <x:v>화산1</x:v>
      </x:c>
      <x:c r="T8" s="81" t="str">
        <x:v>건조지1</x:v>
      </x:c>
      <x:c r="U8" s="81" t="str">
        <x:v>화산1</x:v>
      </x:c>
      <x:c r="V8" s="81" t="str">
        <x:v>건조지1</x:v>
      </x:c>
    </x:row>
    <x:row r="9">
      <x:c r="A9" s="80" t="n">
        <x:v>5</x:v>
      </x:c>
      <x:c r="B9" s="80" t="str">
        <x:v>리자드</x:v>
      </x:c>
      <x:c r="C9" s="80" t="str">
        <x:v>charmeleon</x:v>
      </x:c>
      <x:c r="D9" s="80" t="str">
        <x:v>화산</x:v>
      </x:c>
      <x:c r="E9" s="81" t="str">
        <x:v>화산1</x:v>
      </x:c>
      <x:c r="F9" s="81" t="str">
        <x:v>건조지1</x:v>
      </x:c>
      <x:c r="G9" s="81" t="str">
        <x:v>화산1</x:v>
      </x:c>
      <x:c r="H9" s="81" t="str">
        <x:v>건조지1</x:v>
      </x:c>
      <x:c r="I9" s="81" t="str">
        <x:v>—</x:v>
      </x:c>
      <x:c r="J9" s="81" t="str">
        <x:v>—</x:v>
      </x:c>
      <x:c r="K9" s="81" t="str">
        <x:v>—</x:v>
      </x:c>
      <x:c r="L9" s="81" t="str">
        <x:v>—</x:v>
      </x:c>
      <x:c r="M9" s="81" t="str">
        <x:v>—</x:v>
      </x:c>
      <x:c r="N9" s="81" t="str">
        <x:v>—</x:v>
      </x:c>
      <x:c r="O9" s="81" t="str">
        <x:v>화산1</x:v>
      </x:c>
      <x:c r="P9" s="81" t="str">
        <x:v>건조지1</x:v>
      </x:c>
      <x:c r="Q9" s="81" t="str">
        <x:v>—</x:v>
      </x:c>
      <x:c r="R9" s="81" t="str">
        <x:v>—</x:v>
      </x:c>
      <x:c r="S9" s="81" t="str">
        <x:v>화산1</x:v>
      </x:c>
      <x:c r="T9" s="81" t="str">
        <x:v>건조지1</x:v>
      </x:c>
      <x:c r="U9" s="81" t="str">
        <x:v>화산1</x:v>
      </x:c>
      <x:c r="V9" s="81" t="str">
        <x:v>건조지1</x:v>
      </x:c>
    </x:row>
    <x:row r="10">
      <x:c r="A10" s="80" t="n">
        <x:v>6</x:v>
      </x:c>
      <x:c r="B10" s="80" t="str">
        <x:v>리자몽</x:v>
      </x:c>
      <x:c r="C10" s="80" t="str">
        <x:v>charizard</x:v>
      </x:c>
      <x:c r="D10" s="80" t="str">
        <x:v>화산</x:v>
      </x:c>
      <x:c r="E10" s="81" t="str">
        <x:v>화산1</x:v>
      </x:c>
      <x:c r="F10" s="81" t="str">
        <x:v>건조지1</x:v>
      </x:c>
      <x:c r="G10" s="81" t="str">
        <x:v>화산1</x:v>
      </x:c>
      <x:c r="H10" s="81" t="str">
        <x:v>건조지1</x:v>
      </x:c>
      <x:c r="I10" s="81" t="str">
        <x:v>—</x:v>
      </x:c>
      <x:c r="J10" s="81" t="str">
        <x:v>—</x:v>
      </x:c>
      <x:c r="K10" s="81" t="str">
        <x:v>—</x:v>
      </x:c>
      <x:c r="L10" s="81" t="str">
        <x:v>—</x:v>
      </x:c>
      <x:c r="M10" s="81" t="str">
        <x:v>—</x:v>
      </x:c>
      <x:c r="N10" s="81" t="str">
        <x:v>—</x:v>
      </x:c>
      <x:c r="O10" s="81" t="str">
        <x:v>화산1</x:v>
      </x:c>
      <x:c r="P10" s="81" t="str">
        <x:v>건조지1</x:v>
      </x:c>
      <x:c r="Q10" s="81" t="str">
        <x:v>—</x:v>
      </x:c>
      <x:c r="R10" s="81" t="str">
        <x:v>—</x:v>
      </x:c>
      <x:c r="S10" s="81" t="str">
        <x:v>화산1</x:v>
      </x:c>
      <x:c r="T10" s="81" t="str">
        <x:v>건조지1</x:v>
      </x:c>
      <x:c r="U10" s="81" t="str">
        <x:v>화산1</x:v>
      </x:c>
      <x:c r="V10" s="81" t="str">
        <x:v>건조지1</x:v>
      </x:c>
    </x:row>
    <x:row r="11">
      <x:c r="A11" s="80" t="n">
        <x:v>7</x:v>
      </x:c>
      <x:c r="B11" s="80" t="str">
        <x:v>꼬부기</x:v>
      </x:c>
      <x:c r="C11" s="80" t="str">
        <x:v>squirtle</x:v>
      </x:c>
      <x:c r="D11" s="80" t="str">
        <x:v>담수</x:v>
      </x:c>
      <x:c r="E11" s="81" t="str">
        <x:v>담수1</x:v>
      </x:c>
      <x:c r="F11" s="81" t="str">
        <x:v>습지1</x:v>
      </x:c>
      <x:c r="G11" s="81" t="str">
        <x:v>담수1</x:v>
      </x:c>
      <x:c r="H11" s="81" t="str">
        <x:v>습지1</x:v>
      </x:c>
      <x:c r="I11" s="81" t="str">
        <x:v>—</x:v>
      </x:c>
      <x:c r="J11" s="81" t="str">
        <x:v>—</x:v>
      </x:c>
      <x:c r="K11" s="81" t="str">
        <x:v>—</x:v>
      </x:c>
      <x:c r="L11" s="81" t="str">
        <x:v>—</x:v>
      </x:c>
      <x:c r="M11" s="81" t="str">
        <x:v>—</x:v>
      </x:c>
      <x:c r="N11" s="81" t="str">
        <x:v>—</x:v>
      </x:c>
      <x:c r="O11" s="81" t="str">
        <x:v>담수1</x:v>
      </x:c>
      <x:c r="P11" s="81" t="str">
        <x:v>습지1</x:v>
      </x:c>
      <x:c r="Q11" s="81" t="str">
        <x:v>—</x:v>
      </x:c>
      <x:c r="R11" s="81" t="str">
        <x:v>—</x:v>
      </x:c>
      <x:c r="S11" s="81" t="str">
        <x:v>담수1</x:v>
      </x:c>
      <x:c r="T11" s="81" t="str">
        <x:v>습지1</x:v>
      </x:c>
      <x:c r="U11" s="81" t="str">
        <x:v>담수1</x:v>
      </x:c>
      <x:c r="V11" s="81" t="str">
        <x:v>습지1</x:v>
      </x:c>
    </x:row>
    <x:row r="12">
      <x:c r="A12" s="80" t="n">
        <x:v>8</x:v>
      </x:c>
      <x:c r="B12" s="80" t="str">
        <x:v>어니부기</x:v>
      </x:c>
      <x:c r="C12" s="80" t="str">
        <x:v>wartortle</x:v>
      </x:c>
      <x:c r="D12" s="80" t="str">
        <x:v>담수</x:v>
      </x:c>
      <x:c r="E12" s="81" t="str">
        <x:v>담수1</x:v>
      </x:c>
      <x:c r="F12" s="81" t="str">
        <x:v>습지1</x:v>
      </x:c>
      <x:c r="G12" s="81" t="str">
        <x:v>담수1</x:v>
      </x:c>
      <x:c r="H12" s="81" t="str">
        <x:v>습지1</x:v>
      </x:c>
      <x:c r="I12" s="81" t="str">
        <x:v>—</x:v>
      </x:c>
      <x:c r="J12" s="81" t="str">
        <x:v>—</x:v>
      </x:c>
      <x:c r="K12" s="81" t="str">
        <x:v>—</x:v>
      </x:c>
      <x:c r="L12" s="81" t="str">
        <x:v>—</x:v>
      </x:c>
      <x:c r="M12" s="81" t="str">
        <x:v>—</x:v>
      </x:c>
      <x:c r="N12" s="81" t="str">
        <x:v>—</x:v>
      </x:c>
      <x:c r="O12" s="81" t="str">
        <x:v>담수1</x:v>
      </x:c>
      <x:c r="P12" s="81" t="str">
        <x:v>습지1</x:v>
      </x:c>
      <x:c r="Q12" s="81" t="str">
        <x:v>—</x:v>
      </x:c>
      <x:c r="R12" s="81" t="str">
        <x:v>—</x:v>
      </x:c>
      <x:c r="S12" s="81" t="str">
        <x:v>담수1</x:v>
      </x:c>
      <x:c r="T12" s="81" t="str">
        <x:v>습지1</x:v>
      </x:c>
      <x:c r="U12" s="81" t="str">
        <x:v>담수1</x:v>
      </x:c>
      <x:c r="V12" s="81" t="str">
        <x:v>습지1</x:v>
      </x:c>
    </x:row>
    <x:row r="13">
      <x:c r="A13" s="80" t="n">
        <x:v>9</x:v>
      </x:c>
      <x:c r="B13" s="80" t="str">
        <x:v>거북왕</x:v>
      </x:c>
      <x:c r="C13" s="80" t="str">
        <x:v>blastoise</x:v>
      </x:c>
      <x:c r="D13" s="80" t="str">
        <x:v>담수</x:v>
      </x:c>
      <x:c r="E13" s="81" t="str">
        <x:v>담수1</x:v>
      </x:c>
      <x:c r="F13" s="81" t="str">
        <x:v>습지1</x:v>
      </x:c>
      <x:c r="G13" s="81" t="str">
        <x:v>담수1</x:v>
      </x:c>
      <x:c r="H13" s="81" t="str">
        <x:v>습지1</x:v>
      </x:c>
      <x:c r="I13" s="81" t="str">
        <x:v>—</x:v>
      </x:c>
      <x:c r="J13" s="81" t="str">
        <x:v>—</x:v>
      </x:c>
      <x:c r="K13" s="81" t="str">
        <x:v>—</x:v>
      </x:c>
      <x:c r="L13" s="81" t="str">
        <x:v>—</x:v>
      </x:c>
      <x:c r="M13" s="81" t="str">
        <x:v>—</x:v>
      </x:c>
      <x:c r="N13" s="81" t="str">
        <x:v>—</x:v>
      </x:c>
      <x:c r="O13" s="81" t="str">
        <x:v>담수1</x:v>
      </x:c>
      <x:c r="P13" s="81" t="str">
        <x:v>습지1</x:v>
      </x:c>
      <x:c r="Q13" s="81" t="str">
        <x:v>—</x:v>
      </x:c>
      <x:c r="R13" s="81" t="str">
        <x:v>—</x:v>
      </x:c>
      <x:c r="S13" s="81" t="str">
        <x:v>담수1</x:v>
      </x:c>
      <x:c r="T13" s="81" t="str">
        <x:v>습지1</x:v>
      </x:c>
      <x:c r="U13" s="81" t="str">
        <x:v>담수1</x:v>
      </x:c>
      <x:c r="V13" s="81" t="str">
        <x:v>습지1</x:v>
      </x:c>
    </x:row>
    <x:row r="14">
      <x:c r="A14" s="80" t="n">
        <x:v>10</x:v>
      </x:c>
      <x:c r="B14" s="80" t="str">
        <x:v>캐터피</x:v>
      </x:c>
      <x:c r="C14" s="80" t="str">
        <x:v>caterpie</x:v>
      </x:c>
      <x:c r="D14" s="80" t="str">
        <x:v>숲</x:v>
      </x:c>
      <x:c r="E14" s="81" t="str">
        <x:v>숲1</x:v>
      </x:c>
      <x:c r="F14" s="81" t="str">
        <x:v>습지1</x:v>
      </x:c>
      <x:c r="G14" s="81" t="str">
        <x:v>숲1</x:v>
      </x:c>
      <x:c r="H14" s="81" t="str">
        <x:v>습지1</x:v>
      </x:c>
      <x:c r="I14" s="81" t="str">
        <x:v>—</x:v>
      </x:c>
      <x:c r="J14" s="81" t="str">
        <x:v>—</x:v>
      </x:c>
      <x:c r="K14" s="81" t="str">
        <x:v>—</x:v>
      </x:c>
      <x:c r="L14" s="81" t="str">
        <x:v>—</x:v>
      </x:c>
      <x:c r="M14" s="81" t="str">
        <x:v>—</x:v>
      </x:c>
      <x:c r="N14" s="81" t="str">
        <x:v>—</x:v>
      </x:c>
      <x:c r="O14" s="81" t="str">
        <x:v>숲1</x:v>
      </x:c>
      <x:c r="P14" s="81" t="str">
        <x:v>습지1</x:v>
      </x:c>
      <x:c r="Q14" s="81" t="str">
        <x:v>숲1</x:v>
      </x:c>
      <x:c r="R14" s="81" t="str">
        <x:v>습지1</x:v>
      </x:c>
      <x:c r="S14" s="81" t="str">
        <x:v>숲1</x:v>
      </x:c>
      <x:c r="T14" s="81" t="str">
        <x:v>습지1</x:v>
      </x:c>
      <x:c r="U14" s="81" t="str">
        <x:v>—</x:v>
      </x:c>
      <x:c r="V14" s="81" t="str">
        <x:v>—</x:v>
      </x:c>
    </x:row>
    <x:row r="15">
      <x:c r="A15" s="80" t="n">
        <x:v>11</x:v>
      </x:c>
      <x:c r="B15" s="80" t="str">
        <x:v>단데기</x:v>
      </x:c>
      <x:c r="C15" s="80" t="str">
        <x:v>metapod</x:v>
      </x:c>
      <x:c r="D15" s="80" t="str">
        <x:v>숲</x:v>
      </x:c>
      <x:c r="E15" s="81" t="str">
        <x:v>숲1</x:v>
      </x:c>
      <x:c r="F15" s="81" t="str">
        <x:v>습지1</x:v>
      </x:c>
      <x:c r="G15" s="81" t="str">
        <x:v>숲1</x:v>
      </x:c>
      <x:c r="H15" s="81" t="str">
        <x:v>습지1</x:v>
      </x:c>
      <x:c r="I15" s="81" t="str">
        <x:v>—</x:v>
      </x:c>
      <x:c r="J15" s="81" t="str">
        <x:v>—</x:v>
      </x:c>
      <x:c r="K15" s="81" t="str">
        <x:v>—</x:v>
      </x:c>
      <x:c r="L15" s="81" t="str">
        <x:v>—</x:v>
      </x:c>
      <x:c r="M15" s="81" t="str">
        <x:v>—</x:v>
      </x:c>
      <x:c r="N15" s="81" t="str">
        <x:v>—</x:v>
      </x:c>
      <x:c r="O15" s="81" t="str">
        <x:v>숲1</x:v>
      </x:c>
      <x:c r="P15" s="81" t="str">
        <x:v>습지1</x:v>
      </x:c>
      <x:c r="Q15" s="81" t="str">
        <x:v>숲1</x:v>
      </x:c>
      <x:c r="R15" s="81" t="str">
        <x:v>습지1</x:v>
      </x:c>
      <x:c r="S15" s="81" t="str">
        <x:v>숲1</x:v>
      </x:c>
      <x:c r="T15" s="81" t="str">
        <x:v>습지1</x:v>
      </x:c>
      <x:c r="U15" s="81" t="str">
        <x:v>—</x:v>
      </x:c>
      <x:c r="V15" s="81" t="str">
        <x:v>—</x:v>
      </x:c>
    </x:row>
    <x:row r="16">
      <x:c r="A16" s="80" t="n">
        <x:v>12</x:v>
      </x:c>
      <x:c r="B16" s="80" t="str">
        <x:v>버터플</x:v>
      </x:c>
      <x:c r="C16" s="80" t="str">
        <x:v>butterfree</x:v>
      </x:c>
      <x:c r="D16" s="80" t="str">
        <x:v>숲</x:v>
      </x:c>
      <x:c r="E16" s="81" t="str">
        <x:v>숲1</x:v>
      </x:c>
      <x:c r="F16" s="81" t="str">
        <x:v>평원1</x:v>
      </x:c>
      <x:c r="G16" s="81" t="str">
        <x:v>숲1</x:v>
      </x:c>
      <x:c r="H16" s="81" t="str">
        <x:v>평원1</x:v>
      </x:c>
      <x:c r="I16" s="81" t="str">
        <x:v>—</x:v>
      </x:c>
      <x:c r="J16" s="81" t="str">
        <x:v>—</x:v>
      </x:c>
      <x:c r="K16" s="81" t="str">
        <x:v>—</x:v>
      </x:c>
      <x:c r="L16" s="81" t="str">
        <x:v>—</x:v>
      </x:c>
      <x:c r="M16" s="81" t="str">
        <x:v>—</x:v>
      </x:c>
      <x:c r="N16" s="81" t="str">
        <x:v>—</x:v>
      </x:c>
      <x:c r="O16" s="81" t="str">
        <x:v>숲1</x:v>
      </x:c>
      <x:c r="P16" s="81" t="str">
        <x:v>평원1</x:v>
      </x:c>
      <x:c r="Q16" s="81" t="str">
        <x:v>숲1</x:v>
      </x:c>
      <x:c r="R16" s="81" t="str">
        <x:v>평원1</x:v>
      </x:c>
      <x:c r="S16" s="81" t="str">
        <x:v>숲1</x:v>
      </x:c>
      <x:c r="T16" s="81" t="str">
        <x:v>평원1</x:v>
      </x:c>
      <x:c r="U16" s="81" t="str">
        <x:v>—</x:v>
      </x:c>
      <x:c r="V16" s="81" t="str">
        <x:v>—</x:v>
      </x:c>
    </x:row>
    <x:row r="17">
      <x:c r="A17" s="80" t="n">
        <x:v>13</x:v>
      </x:c>
      <x:c r="B17" s="80" t="str">
        <x:v>뿔충이</x:v>
      </x:c>
      <x:c r="C17" s="80" t="str">
        <x:v>weedle</x:v>
      </x:c>
      <x:c r="D17" s="80" t="str">
        <x:v>숲</x:v>
      </x:c>
      <x:c r="E17" s="81" t="str">
        <x:v>숲1</x:v>
      </x:c>
      <x:c r="F17" s="81" t="str">
        <x:v>습지1</x:v>
      </x:c>
      <x:c r="G17" s="81" t="str">
        <x:v>숲1</x:v>
      </x:c>
      <x:c r="H17" s="81" t="str">
        <x:v>습지1</x:v>
      </x:c>
      <x:c r="I17" s="81" t="str">
        <x:v>—</x:v>
      </x:c>
      <x:c r="J17" s="81" t="str">
        <x:v>—</x:v>
      </x:c>
      <x:c r="K17" s="81" t="str">
        <x:v>—</x:v>
      </x:c>
      <x:c r="L17" s="81" t="str">
        <x:v>—</x:v>
      </x:c>
      <x:c r="M17" s="81" t="str">
        <x:v>—</x:v>
      </x:c>
      <x:c r="N17" s="81" t="str">
        <x:v>—</x:v>
      </x:c>
      <x:c r="O17" s="81" t="str">
        <x:v>숲1</x:v>
      </x:c>
      <x:c r="P17" s="81" t="str">
        <x:v>습지1</x:v>
      </x:c>
      <x:c r="Q17" s="81" t="str">
        <x:v>—</x:v>
      </x:c>
      <x:c r="R17" s="81" t="str">
        <x:v>—</x:v>
      </x:c>
      <x:c r="S17" s="81" t="str">
        <x:v>—</x:v>
      </x:c>
      <x:c r="T17" s="81" t="str">
        <x:v>—</x:v>
      </x:c>
      <x:c r="U17" s="81" t="str">
        <x:v>—</x:v>
      </x:c>
      <x:c r="V17" s="81" t="str">
        <x:v>—</x:v>
      </x:c>
    </x:row>
    <x:row r="18">
      <x:c r="A18" s="80" t="n">
        <x:v>14</x:v>
      </x:c>
      <x:c r="B18" s="80" t="str">
        <x:v>딱충이</x:v>
      </x:c>
      <x:c r="C18" s="80" t="str">
        <x:v>kakuna</x:v>
      </x:c>
      <x:c r="D18" s="80" t="str">
        <x:v>숲</x:v>
      </x:c>
      <x:c r="E18" s="81" t="str">
        <x:v>숲1</x:v>
      </x:c>
      <x:c r="F18" s="81" t="str">
        <x:v>습지1</x:v>
      </x:c>
      <x:c r="G18" s="81" t="str">
        <x:v>숲1</x:v>
      </x:c>
      <x:c r="H18" s="81" t="str">
        <x:v>습지1</x:v>
      </x:c>
      <x:c r="I18" s="81" t="str">
        <x:v>—</x:v>
      </x:c>
      <x:c r="J18" s="81" t="str">
        <x:v>—</x:v>
      </x:c>
      <x:c r="K18" s="81" t="str">
        <x:v>—</x:v>
      </x:c>
      <x:c r="L18" s="81" t="str">
        <x:v>—</x:v>
      </x:c>
      <x:c r="M18" s="81" t="str">
        <x:v>—</x:v>
      </x:c>
      <x:c r="N18" s="81" t="str">
        <x:v>—</x:v>
      </x:c>
      <x:c r="O18" s="81" t="str">
        <x:v>숲1</x:v>
      </x:c>
      <x:c r="P18" s="81" t="str">
        <x:v>습지1</x:v>
      </x:c>
      <x:c r="Q18" s="81" t="str">
        <x:v>—</x:v>
      </x:c>
      <x:c r="R18" s="81" t="str">
        <x:v>—</x:v>
      </x:c>
      <x:c r="S18" s="81" t="str">
        <x:v>—</x:v>
      </x:c>
      <x:c r="T18" s="81" t="str">
        <x:v>—</x:v>
      </x:c>
      <x:c r="U18" s="81" t="str">
        <x:v>—</x:v>
      </x:c>
      <x:c r="V18" s="81" t="str">
        <x:v>—</x:v>
      </x:c>
    </x:row>
    <x:row r="19">
      <x:c r="A19" s="80" t="n">
        <x:v>15</x:v>
      </x:c>
      <x:c r="B19" s="80" t="str">
        <x:v>독침붕</x:v>
      </x:c>
      <x:c r="C19" s="80" t="str">
        <x:v>beedrill</x:v>
      </x:c>
      <x:c r="D19" s="80" t="str">
        <x:v>숲</x:v>
      </x:c>
      <x:c r="E19" s="81" t="str">
        <x:v>숲1</x:v>
      </x:c>
      <x:c r="F19" s="81" t="str">
        <x:v>습지1</x:v>
      </x:c>
      <x:c r="G19" s="81" t="str">
        <x:v>숲1</x:v>
      </x:c>
      <x:c r="H19" s="81" t="str">
        <x:v>습지1</x:v>
      </x:c>
      <x:c r="I19" s="81" t="str">
        <x:v>—</x:v>
      </x:c>
      <x:c r="J19" s="81" t="str">
        <x:v>—</x:v>
      </x:c>
      <x:c r="K19" s="81" t="str">
        <x:v>—</x:v>
      </x:c>
      <x:c r="L19" s="81" t="str">
        <x:v>—</x:v>
      </x:c>
      <x:c r="M19" s="81" t="str">
        <x:v>—</x:v>
      </x:c>
      <x:c r="N19" s="81" t="str">
        <x:v>—</x:v>
      </x:c>
      <x:c r="O19" s="81" t="str">
        <x:v>숲1</x:v>
      </x:c>
      <x:c r="P19" s="81" t="str">
        <x:v>습지1</x:v>
      </x:c>
      <x:c r="Q19" s="81" t="str">
        <x:v>—</x:v>
      </x:c>
      <x:c r="R19" s="81" t="str">
        <x:v>—</x:v>
      </x:c>
      <x:c r="S19" s="81" t="str">
        <x:v>—</x:v>
      </x:c>
      <x:c r="T19" s="81" t="str">
        <x:v>—</x:v>
      </x:c>
      <x:c r="U19" s="81" t="str">
        <x:v>—</x:v>
      </x:c>
      <x:c r="V19" s="81" t="str">
        <x:v>—</x:v>
      </x:c>
    </x:row>
    <x:row r="20">
      <x:c r="A20" s="80" t="n">
        <x:v>16</x:v>
      </x:c>
      <x:c r="B20" s="80" t="str">
        <x:v>구구</x:v>
      </x:c>
      <x:c r="C20" s="80" t="str">
        <x:v>pidgey</x:v>
      </x:c>
      <x:c r="D20" s="80" t="str">
        <x:v>숲</x:v>
      </x:c>
      <x:c r="E20" s="81" t="str">
        <x:v>숲1</x:v>
      </x:c>
      <x:c r="F20" s="81" t="str">
        <x:v>평원1</x:v>
      </x:c>
      <x:c r="G20" s="81" t="str">
        <x:v>숲1</x:v>
      </x:c>
      <x:c r="H20" s="81" t="str">
        <x:v>평원1</x:v>
      </x:c>
      <x:c r="I20" s="81" t="str">
        <x:v>—</x:v>
      </x:c>
      <x:c r="J20" s="81" t="str">
        <x:v>—</x:v>
      </x:c>
      <x:c r="K20" s="81" t="str">
        <x:v>—</x:v>
      </x:c>
      <x:c r="L20" s="81" t="str">
        <x:v>—</x:v>
      </x:c>
      <x:c r="M20" s="81" t="str">
        <x:v>—</x:v>
      </x:c>
      <x:c r="N20" s="81" t="str">
        <x:v>—</x:v>
      </x:c>
      <x:c r="O20" s="81" t="str">
        <x:v>숲1</x:v>
      </x:c>
      <x:c r="P20" s="81" t="str">
        <x:v>평원1</x:v>
      </x:c>
      <x:c r="Q20" s="81" t="str">
        <x:v>—</x:v>
      </x:c>
      <x:c r="R20" s="81" t="str">
        <x:v>—</x:v>
      </x:c>
      <x:c r="S20" s="81" t="str">
        <x:v>—</x:v>
      </x:c>
      <x:c r="T20" s="81" t="str">
        <x:v>—</x:v>
      </x:c>
      <x:c r="U20" s="81" t="str">
        <x:v>—</x:v>
      </x:c>
      <x:c r="V20" s="81" t="str">
        <x:v>—</x:v>
      </x:c>
    </x:row>
    <x:row r="21">
      <x:c r="A21" s="80" t="n">
        <x:v>17</x:v>
      </x:c>
      <x:c r="B21" s="80" t="str">
        <x:v>피죤</x:v>
      </x:c>
      <x:c r="C21" s="80" t="str">
        <x:v>pidgeotto</x:v>
      </x:c>
      <x:c r="D21" s="80" t="str">
        <x:v>숲</x:v>
      </x:c>
      <x:c r="E21" s="81" t="str">
        <x:v>숲1</x:v>
      </x:c>
      <x:c r="F21" s="81" t="str">
        <x:v>평원1</x:v>
      </x:c>
      <x:c r="G21" s="81" t="str">
        <x:v>숲1</x:v>
      </x:c>
      <x:c r="H21" s="81" t="str">
        <x:v>평원1</x:v>
      </x:c>
      <x:c r="I21" s="81" t="str">
        <x:v>—</x:v>
      </x:c>
      <x:c r="J21" s="81" t="str">
        <x:v>—</x:v>
      </x:c>
      <x:c r="K21" s="81" t="str">
        <x:v>—</x:v>
      </x:c>
      <x:c r="L21" s="81" t="str">
        <x:v>—</x:v>
      </x:c>
      <x:c r="M21" s="81" t="str">
        <x:v>—</x:v>
      </x:c>
      <x:c r="N21" s="81" t="str">
        <x:v>—</x:v>
      </x:c>
      <x:c r="O21" s="81" t="str">
        <x:v>숲1</x:v>
      </x:c>
      <x:c r="P21" s="81" t="str">
        <x:v>평원1</x:v>
      </x:c>
      <x:c r="Q21" s="81" t="str">
        <x:v>—</x:v>
      </x:c>
      <x:c r="R21" s="81" t="str">
        <x:v>—</x:v>
      </x:c>
      <x:c r="S21" s="81" t="str">
        <x:v>—</x:v>
      </x:c>
      <x:c r="T21" s="81" t="str">
        <x:v>—</x:v>
      </x:c>
      <x:c r="U21" s="81" t="str">
        <x:v>—</x:v>
      </x:c>
      <x:c r="V21" s="81" t="str">
        <x:v>—</x:v>
      </x:c>
    </x:row>
    <x:row r="22">
      <x:c r="A22" s="80" t="n">
        <x:v>18</x:v>
      </x:c>
      <x:c r="B22" s="80" t="str">
        <x:v>피죤투</x:v>
      </x:c>
      <x:c r="C22" s="80" t="str">
        <x:v>pidgeot</x:v>
      </x:c>
      <x:c r="D22" s="80" t="str">
        <x:v>숲</x:v>
      </x:c>
      <x:c r="E22" s="81" t="str">
        <x:v>숲1</x:v>
      </x:c>
      <x:c r="F22" s="81" t="str">
        <x:v>평원1</x:v>
      </x:c>
      <x:c r="G22" s="81" t="str">
        <x:v>숲1</x:v>
      </x:c>
      <x:c r="H22" s="81" t="str">
        <x:v>평원1</x:v>
      </x:c>
      <x:c r="I22" s="81" t="str">
        <x:v>—</x:v>
      </x:c>
      <x:c r="J22" s="81" t="str">
        <x:v>—</x:v>
      </x:c>
      <x:c r="K22" s="81" t="str">
        <x:v>—</x:v>
      </x:c>
      <x:c r="L22" s="81" t="str">
        <x:v>—</x:v>
      </x:c>
      <x:c r="M22" s="81" t="str">
        <x:v>—</x:v>
      </x:c>
      <x:c r="N22" s="81" t="str">
        <x:v>—</x:v>
      </x:c>
      <x:c r="O22" s="81" t="str">
        <x:v>숲1</x:v>
      </x:c>
      <x:c r="P22" s="81" t="str">
        <x:v>평원1</x:v>
      </x:c>
      <x:c r="Q22" s="81" t="str">
        <x:v>—</x:v>
      </x:c>
      <x:c r="R22" s="81" t="str">
        <x:v>—</x:v>
      </x:c>
      <x:c r="S22" s="81" t="str">
        <x:v>—</x:v>
      </x:c>
      <x:c r="T22" s="81" t="str">
        <x:v>—</x:v>
      </x:c>
      <x:c r="U22" s="81" t="str">
        <x:v>—</x:v>
      </x:c>
      <x:c r="V22" s="81" t="str">
        <x:v>—</x:v>
      </x:c>
    </x:row>
    <x:row r="23">
      <x:c r="A23" s="80" t="n">
        <x:v>19</x:v>
      </x:c>
      <x:c r="B23" s="80" t="str">
        <x:v>꼬렛</x:v>
      </x:c>
      <x:c r="C23" s="80" t="str">
        <x:v>rattata</x:v>
      </x:c>
      <x:c r="D23" s="80" t="str">
        <x:v>특수</x:v>
      </x:c>
      <x:c r="E23" s="81" t="str">
        <x:v>특수1</x:v>
      </x:c>
      <x:c r="F23" s="81" t="str">
        <x:v>평원1</x:v>
      </x:c>
      <x:c r="G23" s="81" t="str">
        <x:v>특수1</x:v>
      </x:c>
      <x:c r="H23" s="81" t="str">
        <x:v>평원1</x:v>
      </x:c>
      <x:c r="I23" s="81" t="str">
        <x:v>—</x:v>
      </x:c>
      <x:c r="J23" s="81" t="str">
        <x:v>—</x:v>
      </x:c>
      <x:c r="K23" s="81" t="str">
        <x:v>—</x:v>
      </x:c>
      <x:c r="L23" s="81" t="str">
        <x:v>—</x:v>
      </x:c>
      <x:c r="M23" s="81" t="str">
        <x:v>특수1</x:v>
      </x:c>
      <x:c r="N23" s="81" t="str">
        <x:v>평원1</x:v>
      </x:c>
      <x:c r="O23" s="81" t="str">
        <x:v>—</x:v>
      </x:c>
      <x:c r="P23" s="81" t="str">
        <x:v>—</x:v>
      </x:c>
      <x:c r="Q23" s="81" t="str">
        <x:v>특수1</x:v>
      </x:c>
      <x:c r="R23" s="81" t="str">
        <x:v>평원1</x:v>
      </x:c>
      <x:c r="S23" s="81" t="str">
        <x:v>—</x:v>
      </x:c>
      <x:c r="T23" s="81" t="str">
        <x:v>—</x:v>
      </x:c>
      <x:c r="U23" s="81" t="str">
        <x:v>—</x:v>
      </x:c>
      <x:c r="V23" s="81" t="str">
        <x:v>—</x:v>
      </x:c>
    </x:row>
    <x:row r="24">
      <x:c r="A24" s="80" t="n">
        <x:v>20</x:v>
      </x:c>
      <x:c r="B24" s="80" t="str">
        <x:v>레트라</x:v>
      </x:c>
      <x:c r="C24" s="80" t="str">
        <x:v>raticate</x:v>
      </x:c>
      <x:c r="D24" s="80" t="str">
        <x:v>특수</x:v>
      </x:c>
      <x:c r="E24" s="81" t="str">
        <x:v>특수1</x:v>
      </x:c>
      <x:c r="F24" s="81" t="str">
        <x:v>평원1</x:v>
      </x:c>
      <x:c r="G24" s="81" t="str">
        <x:v>특수1</x:v>
      </x:c>
      <x:c r="H24" s="81" t="str">
        <x:v>평원1</x:v>
      </x:c>
      <x:c r="I24" s="81" t="str">
        <x:v>—</x:v>
      </x:c>
      <x:c r="J24" s="81" t="str">
        <x:v>—</x:v>
      </x:c>
      <x:c r="K24" s="81" t="str">
        <x:v>—</x:v>
      </x:c>
      <x:c r="L24" s="81" t="str">
        <x:v>—</x:v>
      </x:c>
      <x:c r="M24" s="81" t="str">
        <x:v>특수1</x:v>
      </x:c>
      <x:c r="N24" s="81" t="str">
        <x:v>평원1</x:v>
      </x:c>
      <x:c r="O24" s="81" t="str">
        <x:v>—</x:v>
      </x:c>
      <x:c r="P24" s="81" t="str">
        <x:v>—</x:v>
      </x:c>
      <x:c r="Q24" s="81" t="str">
        <x:v>특수1</x:v>
      </x:c>
      <x:c r="R24" s="81" t="str">
        <x:v>평원1</x:v>
      </x:c>
      <x:c r="S24" s="81" t="str">
        <x:v>—</x:v>
      </x:c>
      <x:c r="T24" s="81" t="str">
        <x:v>—</x:v>
      </x:c>
      <x:c r="U24" s="81" t="str">
        <x:v>—</x:v>
      </x:c>
      <x:c r="V24" s="81" t="str">
        <x:v>—</x:v>
      </x:c>
    </x:row>
    <x:row r="25">
      <x:c r="A25" s="80" t="n">
        <x:v>21</x:v>
      </x:c>
      <x:c r="B25" s="80" t="str">
        <x:v>깨비참</x:v>
      </x:c>
      <x:c r="C25" s="80" t="str">
        <x:v>spearow</x:v>
      </x:c>
      <x:c r="D25" s="80" t="str">
        <x:v>건조지</x:v>
      </x:c>
      <x:c r="E25" s="81" t="str">
        <x:v>건조지1</x:v>
      </x:c>
      <x:c r="F25" s="81" t="str">
        <x:v>평원1</x:v>
      </x:c>
      <x:c r="G25" s="81" t="str">
        <x:v>건조지1</x:v>
      </x:c>
      <x:c r="H25" s="81" t="str">
        <x:v>평원1</x:v>
      </x:c>
      <x:c r="I25" s="81" t="str">
        <x:v>—</x:v>
      </x:c>
      <x:c r="J25" s="81" t="str">
        <x:v>—</x:v>
      </x:c>
      <x:c r="K25" s="81" t="str">
        <x:v>—</x:v>
      </x:c>
      <x:c r="L25" s="81" t="str">
        <x:v>—</x:v>
      </x:c>
      <x:c r="M25" s="81" t="str">
        <x:v>—</x:v>
      </x:c>
      <x:c r="N25" s="81" t="str">
        <x:v>—</x:v>
      </x:c>
      <x:c r="O25" s="81" t="str">
        <x:v>건조지1</x:v>
      </x:c>
      <x:c r="P25" s="81" t="str">
        <x:v>평원1</x:v>
      </x:c>
      <x:c r="Q25" s="81" t="str">
        <x:v>건조지1</x:v>
      </x:c>
      <x:c r="R25" s="81" t="str">
        <x:v>평원1</x:v>
      </x:c>
      <x:c r="S25" s="81" t="str">
        <x:v>—</x:v>
      </x:c>
      <x:c r="T25" s="81" t="str">
        <x:v>—</x:v>
      </x:c>
      <x:c r="U25" s="81" t="str">
        <x:v>—</x:v>
      </x:c>
      <x:c r="V25" s="81" t="str">
        <x:v>—</x:v>
      </x:c>
    </x:row>
    <x:row r="26">
      <x:c r="A26" s="80" t="n">
        <x:v>22</x:v>
      </x:c>
      <x:c r="B26" s="80" t="str">
        <x:v>깨비드릴조</x:v>
      </x:c>
      <x:c r="C26" s="80" t="str">
        <x:v>fearow</x:v>
      </x:c>
      <x:c r="D26" s="80" t="str">
        <x:v>건조지</x:v>
      </x:c>
      <x:c r="E26" s="81" t="str">
        <x:v>건조지1</x:v>
      </x:c>
      <x:c r="F26" s="81" t="str">
        <x:v>평원1</x:v>
      </x:c>
      <x:c r="G26" s="81" t="str">
        <x:v>건조지1</x:v>
      </x:c>
      <x:c r="H26" s="81" t="str">
        <x:v>평원1</x:v>
      </x:c>
      <x:c r="I26" s="81" t="str">
        <x:v>—</x:v>
      </x:c>
      <x:c r="J26" s="81" t="str">
        <x:v>—</x:v>
      </x:c>
      <x:c r="K26" s="81" t="str">
        <x:v>—</x:v>
      </x:c>
      <x:c r="L26" s="81" t="str">
        <x:v>—</x:v>
      </x:c>
      <x:c r="M26" s="81" t="str">
        <x:v>—</x:v>
      </x:c>
      <x:c r="N26" s="81" t="str">
        <x:v>—</x:v>
      </x:c>
      <x:c r="O26" s="81" t="str">
        <x:v>건조지1</x:v>
      </x:c>
      <x:c r="P26" s="81" t="str">
        <x:v>평원1</x:v>
      </x:c>
      <x:c r="Q26" s="81" t="str">
        <x:v>건조지1</x:v>
      </x:c>
      <x:c r="R26" s="81" t="str">
        <x:v>평원1</x:v>
      </x:c>
      <x:c r="S26" s="81" t="str">
        <x:v>—</x:v>
      </x:c>
      <x:c r="T26" s="81" t="str">
        <x:v>—</x:v>
      </x:c>
      <x:c r="U26" s="81" t="str">
        <x:v>—</x:v>
      </x:c>
      <x:c r="V26" s="81" t="str">
        <x:v>—</x:v>
      </x:c>
    </x:row>
    <x:row r="27">
      <x:c r="A27" s="80" t="n">
        <x:v>23</x:v>
      </x:c>
      <x:c r="B27" s="80" t="str">
        <x:v>아보</x:v>
      </x:c>
      <x:c r="C27" s="80" t="str">
        <x:v>ekans</x:v>
      </x:c>
      <x:c r="D27" s="80" t="str">
        <x:v>동굴</x:v>
      </x:c>
      <x:c r="E27" s="81" t="str">
        <x:v>동굴1</x:v>
      </x:c>
      <x:c r="F27" s="81" t="str">
        <x:v>평원1</x:v>
      </x:c>
      <x:c r="G27" s="81" t="str">
        <x:v>동굴1</x:v>
      </x:c>
      <x:c r="H27" s="81" t="str">
        <x:v>평원1</x:v>
      </x:c>
      <x:c r="I27" s="81" t="str">
        <x:v>—</x:v>
      </x:c>
      <x:c r="J27" s="81" t="str">
        <x:v>—</x:v>
      </x:c>
      <x:c r="K27" s="81" t="str">
        <x:v>—</x:v>
      </x:c>
      <x:c r="L27" s="81" t="str">
        <x:v>—</x:v>
      </x:c>
      <x:c r="M27" s="81" t="str">
        <x:v>—</x:v>
      </x:c>
      <x:c r="N27" s="81" t="str">
        <x:v>—</x:v>
      </x:c>
      <x:c r="O27" s="81" t="str">
        <x:v>동굴1</x:v>
      </x:c>
      <x:c r="P27" s="81" t="str">
        <x:v>평원1</x:v>
      </x:c>
      <x:c r="Q27" s="81" t="str">
        <x:v>동굴1</x:v>
      </x:c>
      <x:c r="R27" s="81" t="str">
        <x:v>평원1</x:v>
      </x:c>
      <x:c r="S27" s="81" t="str">
        <x:v>—</x:v>
      </x:c>
      <x:c r="T27" s="81" t="str">
        <x:v>—</x:v>
      </x:c>
      <x:c r="U27" s="81" t="str">
        <x:v>동굴1</x:v>
      </x:c>
      <x:c r="V27" s="81" t="str">
        <x:v>평원1</x:v>
      </x:c>
    </x:row>
    <x:row r="28">
      <x:c r="A28" s="80" t="n">
        <x:v>24</x:v>
      </x:c>
      <x:c r="B28" s="80" t="str">
        <x:v>아보크</x:v>
      </x:c>
      <x:c r="C28" s="80" t="str">
        <x:v>arbok</x:v>
      </x:c>
      <x:c r="D28" s="80" t="str">
        <x:v>동굴</x:v>
      </x:c>
      <x:c r="E28" s="81" t="str">
        <x:v>동굴1</x:v>
      </x:c>
      <x:c r="F28" s="81" t="str">
        <x:v>평원1</x:v>
      </x:c>
      <x:c r="G28" s="81" t="str">
        <x:v>동굴1</x:v>
      </x:c>
      <x:c r="H28" s="81" t="str">
        <x:v>평원1</x:v>
      </x:c>
      <x:c r="I28" s="81" t="str">
        <x:v>—</x:v>
      </x:c>
      <x:c r="J28" s="81" t="str">
        <x:v>—</x:v>
      </x:c>
      <x:c r="K28" s="81" t="str">
        <x:v>—</x:v>
      </x:c>
      <x:c r="L28" s="81" t="str">
        <x:v>—</x:v>
      </x:c>
      <x:c r="M28" s="81" t="str">
        <x:v>—</x:v>
      </x:c>
      <x:c r="N28" s="81" t="str">
        <x:v>—</x:v>
      </x:c>
      <x:c r="O28" s="81" t="str">
        <x:v>동굴1</x:v>
      </x:c>
      <x:c r="P28" s="81" t="str">
        <x:v>평원1</x:v>
      </x:c>
      <x:c r="Q28" s="81" t="str">
        <x:v>동굴1</x:v>
      </x:c>
      <x:c r="R28" s="81" t="str">
        <x:v>평원1</x:v>
      </x:c>
      <x:c r="S28" s="81" t="str">
        <x:v>—</x:v>
      </x:c>
      <x:c r="T28" s="81" t="str">
        <x:v>—</x:v>
      </x:c>
      <x:c r="U28" s="81" t="str">
        <x:v>동굴1</x:v>
      </x:c>
      <x:c r="V28" s="81" t="str">
        <x:v>평원1</x:v>
      </x:c>
    </x:row>
    <x:row r="29">
      <x:c r="A29" s="80" t="n">
        <x:v>25</x:v>
      </x:c>
      <x:c r="B29" s="80" t="str">
        <x:v>피카츄</x:v>
      </x:c>
      <x:c r="C29" s="80" t="str">
        <x:v>pikachu</x:v>
      </x:c>
      <x:c r="D29" s="80" t="str">
        <x:v>숲</x:v>
      </x:c>
      <x:c r="E29" s="81" t="str">
        <x:v>숲1</x:v>
      </x:c>
      <x:c r="F29" s="81" t="str">
        <x:v>평원1</x:v>
      </x:c>
      <x:c r="G29" s="81" t="str">
        <x:v>숲1</x:v>
      </x:c>
      <x:c r="H29" s="81" t="str">
        <x:v>평원1</x:v>
      </x:c>
      <x:c r="I29" s="81" t="str">
        <x:v>숲1</x:v>
      </x:c>
      <x:c r="J29" s="81" t="str">
        <x:v>평원1</x:v>
      </x:c>
      <x:c r="K29" s="81" t="str">
        <x:v>숲1</x:v>
      </x:c>
      <x:c r="L29" s="81" t="str">
        <x:v>평원1</x:v>
      </x:c>
      <x:c r="M29" s="81" t="str">
        <x:v>—</x:v>
      </x:c>
      <x:c r="N29" s="81" t="str">
        <x:v>—</x:v>
      </x:c>
      <x:c r="O29" s="81" t="str">
        <x:v>숲1</x:v>
      </x:c>
      <x:c r="P29" s="81" t="str">
        <x:v>평원1</x:v>
      </x:c>
      <x:c r="Q29" s="81" t="str">
        <x:v>숲1</x:v>
      </x:c>
      <x:c r="R29" s="81" t="str">
        <x:v>평원1</x:v>
      </x:c>
      <x:c r="S29" s="81" t="str">
        <x:v>숲1</x:v>
      </x:c>
      <x:c r="T29" s="81" t="str">
        <x:v>평원1</x:v>
      </x:c>
      <x:c r="U29" s="81" t="str">
        <x:v>숲1</x:v>
      </x:c>
      <x:c r="V29" s="81" t="str">
        <x:v>평원1</x:v>
      </x:c>
    </x:row>
    <x:row r="30">
      <x:c r="A30" s="80" t="n">
        <x:v>26</x:v>
      </x:c>
      <x:c r="B30" s="80" t="str">
        <x:v>라이츄</x:v>
      </x:c>
      <x:c r="C30" s="80" t="str">
        <x:v>raichu</x:v>
      </x:c>
      <x:c r="D30" s="80" t="str">
        <x:v>숲</x:v>
      </x:c>
      <x:c r="E30" s="81" t="str">
        <x:v>숲1</x:v>
      </x:c>
      <x:c r="F30" s="81" t="str">
        <x:v>평원1</x:v>
      </x:c>
      <x:c r="G30" s="81" t="str">
        <x:v>숲1</x:v>
      </x:c>
      <x:c r="H30" s="81" t="str">
        <x:v>평원1</x:v>
      </x:c>
      <x:c r="I30" s="81" t="str">
        <x:v>숲1</x:v>
      </x:c>
      <x:c r="J30" s="81" t="str">
        <x:v>평원1</x:v>
      </x:c>
      <x:c r="K30" s="81" t="str">
        <x:v>숲1</x:v>
      </x:c>
      <x:c r="L30" s="81" t="str">
        <x:v>평원1</x:v>
      </x:c>
      <x:c r="M30" s="81" t="str">
        <x:v>—</x:v>
      </x:c>
      <x:c r="N30" s="81" t="str">
        <x:v>—</x:v>
      </x:c>
      <x:c r="O30" s="81" t="str">
        <x:v>숲1</x:v>
      </x:c>
      <x:c r="P30" s="81" t="str">
        <x:v>평원1</x:v>
      </x:c>
      <x:c r="Q30" s="81" t="str">
        <x:v>숲1</x:v>
      </x:c>
      <x:c r="R30" s="81" t="str">
        <x:v>평원1</x:v>
      </x:c>
      <x:c r="S30" s="81" t="str">
        <x:v>숲1</x:v>
      </x:c>
      <x:c r="T30" s="81" t="str">
        <x:v>평원1</x:v>
      </x:c>
      <x:c r="U30" s="81" t="str">
        <x:v>숲1</x:v>
      </x:c>
      <x:c r="V30" s="81" t="str">
        <x:v>평원1</x:v>
      </x:c>
    </x:row>
    <x:row r="31">
      <x:c r="A31" s="80" t="n">
        <x:v>27</x:v>
      </x:c>
      <x:c r="B31" s="80" t="str">
        <x:v>모래두지</x:v>
      </x:c>
      <x:c r="C31" s="80" t="str">
        <x:v>sandshrew</x:v>
      </x:c>
      <x:c r="D31" s="80" t="str">
        <x:v>건조지</x:v>
      </x:c>
      <x:c r="E31" s="81" t="str">
        <x:v>건조지1</x:v>
      </x:c>
      <x:c r="F31" s="81" t="str">
        <x:v>화산1</x:v>
      </x:c>
      <x:c r="G31" s="81" t="str">
        <x:v>건조지1</x:v>
      </x:c>
      <x:c r="H31" s="81" t="str">
        <x:v>화산1</x:v>
      </x:c>
      <x:c r="I31" s="81" t="str">
        <x:v>건조지1</x:v>
      </x:c>
      <x:c r="J31" s="81" t="str">
        <x:v>화산1</x:v>
      </x:c>
      <x:c r="K31" s="81" t="str">
        <x:v>—</x:v>
      </x:c>
      <x:c r="L31" s="81" t="str">
        <x:v>—</x:v>
      </x:c>
      <x:c r="M31" s="81" t="str">
        <x:v>건조지1</x:v>
      </x:c>
      <x:c r="N31" s="81" t="str">
        <x:v>화산1</x:v>
      </x:c>
      <x:c r="O31" s="81" t="str">
        <x:v>건조지1</x:v>
      </x:c>
      <x:c r="P31" s="81" t="str">
        <x:v>화산1</x:v>
      </x:c>
      <x:c r="Q31" s="81" t="str">
        <x:v>건조지1</x:v>
      </x:c>
      <x:c r="R31" s="81" t="str">
        <x:v>화산1</x:v>
      </x:c>
      <x:c r="S31" s="81" t="str">
        <x:v>건조지1</x:v>
      </x:c>
      <x:c r="T31" s="81" t="str">
        <x:v>화산1</x:v>
      </x:c>
      <x:c r="U31" s="81" t="str">
        <x:v>건조지1</x:v>
      </x:c>
      <x:c r="V31" s="81" t="str">
        <x:v>화산1</x:v>
      </x:c>
    </x:row>
    <x:row r="32">
      <x:c r="A32" s="80" t="n">
        <x:v>28</x:v>
      </x:c>
      <x:c r="B32" s="80" t="str">
        <x:v>고지</x:v>
      </x:c>
      <x:c r="C32" s="80" t="str">
        <x:v>sandslash</x:v>
      </x:c>
      <x:c r="D32" s="80" t="str">
        <x:v>건조지</x:v>
      </x:c>
      <x:c r="E32" s="81" t="str">
        <x:v>건조지1</x:v>
      </x:c>
      <x:c r="F32" s="81" t="str">
        <x:v>화산1</x:v>
      </x:c>
      <x:c r="G32" s="81" t="str">
        <x:v>건조지1</x:v>
      </x:c>
      <x:c r="H32" s="81" t="str">
        <x:v>화산1</x:v>
      </x:c>
      <x:c r="I32" s="81" t="str">
        <x:v>건조지1</x:v>
      </x:c>
      <x:c r="J32" s="81" t="str">
        <x:v>화산1</x:v>
      </x:c>
      <x:c r="K32" s="81" t="str">
        <x:v>—</x:v>
      </x:c>
      <x:c r="L32" s="81" t="str">
        <x:v>—</x:v>
      </x:c>
      <x:c r="M32" s="81" t="str">
        <x:v>건조지1</x:v>
      </x:c>
      <x:c r="N32" s="81" t="str">
        <x:v>화산1</x:v>
      </x:c>
      <x:c r="O32" s="81" t="str">
        <x:v>건조지1</x:v>
      </x:c>
      <x:c r="P32" s="81" t="str">
        <x:v>화산1</x:v>
      </x:c>
      <x:c r="Q32" s="81" t="str">
        <x:v>건조지1</x:v>
      </x:c>
      <x:c r="R32" s="81" t="str">
        <x:v>화산1</x:v>
      </x:c>
      <x:c r="S32" s="81" t="str">
        <x:v>건조지1</x:v>
      </x:c>
      <x:c r="T32" s="81" t="str">
        <x:v>화산1</x:v>
      </x:c>
      <x:c r="U32" s="81" t="str">
        <x:v>건조지1</x:v>
      </x:c>
      <x:c r="V32" s="81" t="str">
        <x:v>화산1</x:v>
      </x:c>
    </x:row>
    <x:row r="33">
      <x:c r="A33" s="80" t="n">
        <x:v>29</x:v>
      </x:c>
      <x:c r="B33" s="80" t="str">
        <x:v>니드런</x:v>
      </x:c>
      <x:c r="C33" s="80" t="str">
        <x:v>nidoranf</x:v>
      </x:c>
      <x:c r="D33" s="80" t="str">
        <x:v>평원</x:v>
      </x:c>
      <x:c r="E33" s="81" t="str">
        <x:v>평원1</x:v>
      </x:c>
      <x:c r="F33" s="81" t="str">
        <x:v>숲1</x:v>
      </x:c>
      <x:c r="G33" s="81" t="str">
        <x:v>평원1</x:v>
      </x:c>
      <x:c r="H33" s="81" t="str">
        <x:v>숲1</x:v>
      </x:c>
      <x:c r="I33" s="81" t="str">
        <x:v>—</x:v>
      </x:c>
      <x:c r="J33" s="81" t="str">
        <x:v>—</x:v>
      </x:c>
      <x:c r="K33" s="81" t="str">
        <x:v>—</x:v>
      </x:c>
      <x:c r="L33" s="81" t="str">
        <x:v>—</x:v>
      </x:c>
      <x:c r="M33" s="81" t="str">
        <x:v>—</x:v>
      </x:c>
      <x:c r="N33" s="81" t="str">
        <x:v>—</x:v>
      </x:c>
      <x:c r="O33" s="81" t="str">
        <x:v>평원1</x:v>
      </x:c>
      <x:c r="P33" s="81" t="str">
        <x:v>숲1</x:v>
      </x:c>
      <x:c r="Q33" s="81" t="str">
        <x:v>—</x:v>
      </x:c>
      <x:c r="R33" s="81" t="str">
        <x:v>—</x:v>
      </x:c>
      <x:c r="S33" s="81" t="str">
        <x:v>평원1</x:v>
      </x:c>
      <x:c r="T33" s="81" t="str">
        <x:v>숲1</x:v>
      </x:c>
      <x:c r="U33" s="81" t="str">
        <x:v>—</x:v>
      </x:c>
      <x:c r="V33" s="81" t="str">
        <x:v>—</x:v>
      </x:c>
    </x:row>
    <x:row r="34">
      <x:c r="A34" s="80" t="n">
        <x:v>30</x:v>
      </x:c>
      <x:c r="B34" s="80" t="str">
        <x:v>니드리나</x:v>
      </x:c>
      <x:c r="C34" s="80" t="str">
        <x:v>nidorina</x:v>
      </x:c>
      <x:c r="D34" s="80" t="str">
        <x:v>평원</x:v>
      </x:c>
      <x:c r="E34" s="81" t="str">
        <x:v>평원1</x:v>
      </x:c>
      <x:c r="F34" s="81" t="str">
        <x:v>숲1</x:v>
      </x:c>
      <x:c r="G34" s="81" t="str">
        <x:v>평원1</x:v>
      </x:c>
      <x:c r="H34" s="81" t="str">
        <x:v>숲1</x:v>
      </x:c>
      <x:c r="I34" s="81" t="str">
        <x:v>—</x:v>
      </x:c>
      <x:c r="J34" s="81" t="str">
        <x:v>—</x:v>
      </x:c>
      <x:c r="K34" s="81" t="str">
        <x:v>—</x:v>
      </x:c>
      <x:c r="L34" s="81" t="str">
        <x:v>—</x:v>
      </x:c>
      <x:c r="M34" s="81" t="str">
        <x:v>—</x:v>
      </x:c>
      <x:c r="N34" s="81" t="str">
        <x:v>—</x:v>
      </x:c>
      <x:c r="O34" s="81" t="str">
        <x:v>평원1</x:v>
      </x:c>
      <x:c r="P34" s="81" t="str">
        <x:v>숲1</x:v>
      </x:c>
      <x:c r="Q34" s="81" t="str">
        <x:v>—</x:v>
      </x:c>
      <x:c r="R34" s="81" t="str">
        <x:v>—</x:v>
      </x:c>
      <x:c r="S34" s="81" t="str">
        <x:v>평원1</x:v>
      </x:c>
      <x:c r="T34" s="81" t="str">
        <x:v>숲1</x:v>
      </x:c>
      <x:c r="U34" s="81" t="str">
        <x:v>—</x:v>
      </x:c>
      <x:c r="V34" s="81" t="str">
        <x:v>—</x:v>
      </x:c>
    </x:row>
    <x:row r="35">
      <x:c r="A35" s="80" t="n">
        <x:v>31</x:v>
      </x:c>
      <x:c r="B35" s="80" t="str">
        <x:v>니드퀸</x:v>
      </x:c>
      <x:c r="C35" s="80" t="str">
        <x:v>nidoqueen</x:v>
      </x:c>
      <x:c r="D35" s="80" t="str">
        <x:v>평원</x:v>
      </x:c>
      <x:c r="E35" s="81" t="str">
        <x:v>평원1</x:v>
      </x:c>
      <x:c r="F35" s="81" t="str">
        <x:v>숲1</x:v>
      </x:c>
      <x:c r="G35" s="81" t="str">
        <x:v>평원1</x:v>
      </x:c>
      <x:c r="H35" s="81" t="str">
        <x:v>숲1</x:v>
      </x:c>
      <x:c r="I35" s="81" t="str">
        <x:v>—</x:v>
      </x:c>
      <x:c r="J35" s="81" t="str">
        <x:v>—</x:v>
      </x:c>
      <x:c r="K35" s="81" t="str">
        <x:v>—</x:v>
      </x:c>
      <x:c r="L35" s="81" t="str">
        <x:v>—</x:v>
      </x:c>
      <x:c r="M35" s="81" t="str">
        <x:v>—</x:v>
      </x:c>
      <x:c r="N35" s="81" t="str">
        <x:v>—</x:v>
      </x:c>
      <x:c r="O35" s="81" t="str">
        <x:v>평원1</x:v>
      </x:c>
      <x:c r="P35" s="81" t="str">
        <x:v>숲1</x:v>
      </x:c>
      <x:c r="Q35" s="81" t="str">
        <x:v>—</x:v>
      </x:c>
      <x:c r="R35" s="81" t="str">
        <x:v>—</x:v>
      </x:c>
      <x:c r="S35" s="81" t="str">
        <x:v>평원1</x:v>
      </x:c>
      <x:c r="T35" s="81" t="str">
        <x:v>숲1</x:v>
      </x:c>
      <x:c r="U35" s="81" t="str">
        <x:v>—</x:v>
      </x:c>
      <x:c r="V35" s="81" t="str">
        <x:v>—</x:v>
      </x:c>
    </x:row>
    <x:row r="36">
      <x:c r="A36" s="80" t="n">
        <x:v>32</x:v>
      </x:c>
      <x:c r="B36" s="80" t="str">
        <x:v>니드런</x:v>
      </x:c>
      <x:c r="C36" s="80" t="str">
        <x:v>nidoranm</x:v>
      </x:c>
      <x:c r="D36" s="80" t="str">
        <x:v>평원</x:v>
      </x:c>
      <x:c r="E36" s="81" t="str">
        <x:v>평원1</x:v>
      </x:c>
      <x:c r="F36" s="81" t="str">
        <x:v>숲1</x:v>
      </x:c>
      <x:c r="G36" s="81" t="str">
        <x:v>평원1</x:v>
      </x:c>
      <x:c r="H36" s="81" t="str">
        <x:v>숲1</x:v>
      </x:c>
      <x:c r="I36" s="81" t="str">
        <x:v>—</x:v>
      </x:c>
      <x:c r="J36" s="81" t="str">
        <x:v>—</x:v>
      </x:c>
      <x:c r="K36" s="81" t="str">
        <x:v>—</x:v>
      </x:c>
      <x:c r="L36" s="81" t="str">
        <x:v>—</x:v>
      </x:c>
      <x:c r="M36" s="81" t="str">
        <x:v>—</x:v>
      </x:c>
      <x:c r="N36" s="81" t="str">
        <x:v>—</x:v>
      </x:c>
      <x:c r="O36" s="81" t="str">
        <x:v>평원1</x:v>
      </x:c>
      <x:c r="P36" s="81" t="str">
        <x:v>숲1</x:v>
      </x:c>
      <x:c r="Q36" s="81" t="str">
        <x:v>—</x:v>
      </x:c>
      <x:c r="R36" s="81" t="str">
        <x:v>—</x:v>
      </x:c>
      <x:c r="S36" s="81" t="str">
        <x:v>평원1</x:v>
      </x:c>
      <x:c r="T36" s="81" t="str">
        <x:v>숲1</x:v>
      </x:c>
      <x:c r="U36" s="81" t="str">
        <x:v>—</x:v>
      </x:c>
      <x:c r="V36" s="81" t="str">
        <x:v>—</x:v>
      </x:c>
    </x:row>
    <x:row r="37">
      <x:c r="A37" s="80" t="n">
        <x:v>33</x:v>
      </x:c>
      <x:c r="B37" s="80" t="str">
        <x:v>니드리노</x:v>
      </x:c>
      <x:c r="C37" s="80" t="str">
        <x:v>nidorino</x:v>
      </x:c>
      <x:c r="D37" s="80" t="str">
        <x:v>평원</x:v>
      </x:c>
      <x:c r="E37" s="81" t="str">
        <x:v>평원1</x:v>
      </x:c>
      <x:c r="F37" s="81" t="str">
        <x:v>숲1</x:v>
      </x:c>
      <x:c r="G37" s="81" t="str">
        <x:v>평원1</x:v>
      </x:c>
      <x:c r="H37" s="81" t="str">
        <x:v>숲1</x:v>
      </x:c>
      <x:c r="I37" s="81" t="str">
        <x:v>—</x:v>
      </x:c>
      <x:c r="J37" s="81" t="str">
        <x:v>—</x:v>
      </x:c>
      <x:c r="K37" s="81" t="str">
        <x:v>—</x:v>
      </x:c>
      <x:c r="L37" s="81" t="str">
        <x:v>—</x:v>
      </x:c>
      <x:c r="M37" s="81" t="str">
        <x:v>—</x:v>
      </x:c>
      <x:c r="N37" s="81" t="str">
        <x:v>—</x:v>
      </x:c>
      <x:c r="O37" s="81" t="str">
        <x:v>평원1</x:v>
      </x:c>
      <x:c r="P37" s="81" t="str">
        <x:v>숲1</x:v>
      </x:c>
      <x:c r="Q37" s="81" t="str">
        <x:v>—</x:v>
      </x:c>
      <x:c r="R37" s="81" t="str">
        <x:v>—</x:v>
      </x:c>
      <x:c r="S37" s="81" t="str">
        <x:v>평원1</x:v>
      </x:c>
      <x:c r="T37" s="81" t="str">
        <x:v>숲1</x:v>
      </x:c>
      <x:c r="U37" s="81" t="str">
        <x:v>—</x:v>
      </x:c>
      <x:c r="V37" s="81" t="str">
        <x:v>—</x:v>
      </x:c>
    </x:row>
    <x:row r="38">
      <x:c r="A38" s="80" t="n">
        <x:v>34</x:v>
      </x:c>
      <x:c r="B38" s="80" t="str">
        <x:v>니드킹</x:v>
      </x:c>
      <x:c r="C38" s="80" t="str">
        <x:v>nidoking</x:v>
      </x:c>
      <x:c r="D38" s="80" t="str">
        <x:v>평원</x:v>
      </x:c>
      <x:c r="E38" s="81" t="str">
        <x:v>평원1</x:v>
      </x:c>
      <x:c r="F38" s="81" t="str">
        <x:v>숲1</x:v>
      </x:c>
      <x:c r="G38" s="81" t="str">
        <x:v>평원1</x:v>
      </x:c>
      <x:c r="H38" s="81" t="str">
        <x:v>숲1</x:v>
      </x:c>
      <x:c r="I38" s="81" t="str">
        <x:v>—</x:v>
      </x:c>
      <x:c r="J38" s="81" t="str">
        <x:v>—</x:v>
      </x:c>
      <x:c r="K38" s="81" t="str">
        <x:v>—</x:v>
      </x:c>
      <x:c r="L38" s="81" t="str">
        <x:v>—</x:v>
      </x:c>
      <x:c r="M38" s="81" t="str">
        <x:v>—</x:v>
      </x:c>
      <x:c r="N38" s="81" t="str">
        <x:v>—</x:v>
      </x:c>
      <x:c r="O38" s="81" t="str">
        <x:v>평원1</x:v>
      </x:c>
      <x:c r="P38" s="81" t="str">
        <x:v>숲1</x:v>
      </x:c>
      <x:c r="Q38" s="81" t="str">
        <x:v>—</x:v>
      </x:c>
      <x:c r="R38" s="81" t="str">
        <x:v>—</x:v>
      </x:c>
      <x:c r="S38" s="81" t="str">
        <x:v>평원1</x:v>
      </x:c>
      <x:c r="T38" s="81" t="str">
        <x:v>숲1</x:v>
      </x:c>
      <x:c r="U38" s="81" t="str">
        <x:v>—</x:v>
      </x:c>
      <x:c r="V38" s="81" t="str">
        <x:v>—</x:v>
      </x:c>
    </x:row>
    <x:row r="39">
      <x:c r="A39" s="80" t="n">
        <x:v>35</x:v>
      </x:c>
      <x:c r="B39" s="80" t="str">
        <x:v>삐삐</x:v>
      </x:c>
      <x:c r="C39" s="80" t="str">
        <x:v>clefairy</x:v>
      </x:c>
      <x:c r="D39" s="80" t="str">
        <x:v>동굴</x:v>
      </x:c>
      <x:c r="E39" s="81" t="str">
        <x:v>동굴1</x:v>
      </x:c>
      <x:c r="F39" s="81" t="str">
        <x:v>숲1</x:v>
      </x:c>
      <x:c r="G39" s="81" t="str">
        <x:v>동굴1</x:v>
      </x:c>
      <x:c r="H39" s="81" t="str">
        <x:v>숲1</x:v>
      </x:c>
      <x:c r="I39" s="81" t="str">
        <x:v>—</x:v>
      </x:c>
      <x:c r="J39" s="81" t="str">
        <x:v>—</x:v>
      </x:c>
      <x:c r="K39" s="81" t="str">
        <x:v>동굴1</x:v>
      </x:c>
      <x:c r="L39" s="81" t="str">
        <x:v>숲1</x:v>
      </x:c>
      <x:c r="M39" s="81" t="str">
        <x:v>동굴1</x:v>
      </x:c>
      <x:c r="N39" s="81" t="str">
        <x:v>숲1</x:v>
      </x:c>
      <x:c r="O39" s="81" t="str">
        <x:v>—</x:v>
      </x:c>
      <x:c r="P39" s="81" t="str">
        <x:v>—</x:v>
      </x:c>
      <x:c r="Q39" s="81" t="str">
        <x:v>동굴1</x:v>
      </x:c>
      <x:c r="R39" s="81" t="str">
        <x:v>숲1</x:v>
      </x:c>
      <x:c r="S39" s="81" t="str">
        <x:v>동굴1</x:v>
      </x:c>
      <x:c r="T39" s="81" t="str">
        <x:v>숲1</x:v>
      </x:c>
      <x:c r="U39" s="81" t="str">
        <x:v>동굴1</x:v>
      </x:c>
      <x:c r="V39" s="81" t="str">
        <x:v>숲1</x:v>
      </x:c>
    </x:row>
    <x:row r="40">
      <x:c r="A40" s="80" t="n">
        <x:v>36</x:v>
      </x:c>
      <x:c r="B40" s="80" t="str">
        <x:v>픽시</x:v>
      </x:c>
      <x:c r="C40" s="80" t="str">
        <x:v>clefable</x:v>
      </x:c>
      <x:c r="D40" s="80" t="str">
        <x:v>동굴</x:v>
      </x:c>
      <x:c r="E40" s="81" t="str">
        <x:v>동굴1</x:v>
      </x:c>
      <x:c r="F40" s="81" t="str">
        <x:v>숲1</x:v>
      </x:c>
      <x:c r="G40" s="81" t="str">
        <x:v>동굴1</x:v>
      </x:c>
      <x:c r="H40" s="81" t="str">
        <x:v>숲1</x:v>
      </x:c>
      <x:c r="I40" s="81" t="str">
        <x:v>—</x:v>
      </x:c>
      <x:c r="J40" s="81" t="str">
        <x:v>—</x:v>
      </x:c>
      <x:c r="K40" s="81" t="str">
        <x:v>동굴1</x:v>
      </x:c>
      <x:c r="L40" s="81" t="str">
        <x:v>숲1</x:v>
      </x:c>
      <x:c r="M40" s="81" t="str">
        <x:v>동굴1</x:v>
      </x:c>
      <x:c r="N40" s="81" t="str">
        <x:v>숲1</x:v>
      </x:c>
      <x:c r="O40" s="81" t="str">
        <x:v>—</x:v>
      </x:c>
      <x:c r="P40" s="81" t="str">
        <x:v>—</x:v>
      </x:c>
      <x:c r="Q40" s="81" t="str">
        <x:v>동굴1</x:v>
      </x:c>
      <x:c r="R40" s="81" t="str">
        <x:v>숲1</x:v>
      </x:c>
      <x:c r="S40" s="81" t="str">
        <x:v>동굴1</x:v>
      </x:c>
      <x:c r="T40" s="81" t="str">
        <x:v>숲1</x:v>
      </x:c>
      <x:c r="U40" s="81" t="str">
        <x:v>동굴1</x:v>
      </x:c>
      <x:c r="V40" s="81" t="str">
        <x:v>숲1</x:v>
      </x:c>
    </x:row>
    <x:row r="41">
      <x:c r="A41" s="80" t="n">
        <x:v>37</x:v>
      </x:c>
      <x:c r="B41" s="80" t="str">
        <x:v>식스테일</x:v>
      </x:c>
      <x:c r="C41" s="80" t="str">
        <x:v>vulpix</x:v>
      </x:c>
      <x:c r="D41" s="80" t="str">
        <x:v>숲</x:v>
      </x:c>
      <x:c r="E41" s="81" t="str">
        <x:v>숲1</x:v>
      </x:c>
      <x:c r="F41" s="81" t="str">
        <x:v>평원1</x:v>
      </x:c>
      <x:c r="G41" s="81" t="str">
        <x:v>숲1</x:v>
      </x:c>
      <x:c r="H41" s="81" t="str">
        <x:v>평원1</x:v>
      </x:c>
      <x:c r="I41" s="81" t="str">
        <x:v>숲1</x:v>
      </x:c>
      <x:c r="J41" s="81" t="str">
        <x:v>평원1</x:v>
      </x:c>
      <x:c r="K41" s="81" t="str">
        <x:v>—</x:v>
      </x:c>
      <x:c r="L41" s="81" t="str">
        <x:v>—</x:v>
      </x:c>
      <x:c r="M41" s="81" t="str">
        <x:v>숲1</x:v>
      </x:c>
      <x:c r="N41" s="81" t="str">
        <x:v>평원1</x:v>
      </x:c>
      <x:c r="O41" s="81" t="str">
        <x:v>—</x:v>
      </x:c>
      <x:c r="P41" s="81" t="str">
        <x:v>—</x:v>
      </x:c>
      <x:c r="Q41" s="81" t="str">
        <x:v>숲1</x:v>
      </x:c>
      <x:c r="R41" s="81" t="str">
        <x:v>평원1</x:v>
      </x:c>
      <x:c r="S41" s="81" t="str">
        <x:v>숲1</x:v>
      </x:c>
      <x:c r="T41" s="81" t="str">
        <x:v>평원1</x:v>
      </x:c>
      <x:c r="U41" s="81" t="str">
        <x:v>숲1</x:v>
      </x:c>
      <x:c r="V41" s="81" t="str">
        <x:v>평원1</x:v>
      </x:c>
    </x:row>
    <x:row r="42">
      <x:c r="A42" s="80" t="n">
        <x:v>38</x:v>
      </x:c>
      <x:c r="B42" s="80" t="str">
        <x:v>나인테일</x:v>
      </x:c>
      <x:c r="C42" s="80" t="str">
        <x:v>ninetales</x:v>
      </x:c>
      <x:c r="D42" s="80" t="str">
        <x:v>숲</x:v>
      </x:c>
      <x:c r="E42" s="81" t="str">
        <x:v>숲1</x:v>
      </x:c>
      <x:c r="F42" s="81" t="str">
        <x:v>평원1</x:v>
      </x:c>
      <x:c r="G42" s="81" t="str">
        <x:v>숲1</x:v>
      </x:c>
      <x:c r="H42" s="81" t="str">
        <x:v>평원1</x:v>
      </x:c>
      <x:c r="I42" s="81" t="str">
        <x:v>숲1</x:v>
      </x:c>
      <x:c r="J42" s="81" t="str">
        <x:v>평원1</x:v>
      </x:c>
      <x:c r="K42" s="81" t="str">
        <x:v>—</x:v>
      </x:c>
      <x:c r="L42" s="81" t="str">
        <x:v>—</x:v>
      </x:c>
      <x:c r="M42" s="81" t="str">
        <x:v>숲1</x:v>
      </x:c>
      <x:c r="N42" s="81" t="str">
        <x:v>평원1</x:v>
      </x:c>
      <x:c r="O42" s="81" t="str">
        <x:v>—</x:v>
      </x:c>
      <x:c r="P42" s="81" t="str">
        <x:v>—</x:v>
      </x:c>
      <x:c r="Q42" s="81" t="str">
        <x:v>숲1</x:v>
      </x:c>
      <x:c r="R42" s="81" t="str">
        <x:v>평원1</x:v>
      </x:c>
      <x:c r="S42" s="81" t="str">
        <x:v>숲1</x:v>
      </x:c>
      <x:c r="T42" s="81" t="str">
        <x:v>평원1</x:v>
      </x:c>
      <x:c r="U42" s="81" t="str">
        <x:v>숲1</x:v>
      </x:c>
      <x:c r="V42" s="81" t="str">
        <x:v>평원1</x:v>
      </x:c>
    </x:row>
    <x:row r="43">
      <x:c r="A43" s="80" t="n">
        <x:v>39</x:v>
      </x:c>
      <x:c r="B43" s="80" t="str">
        <x:v>푸린</x:v>
      </x:c>
      <x:c r="C43" s="80" t="str">
        <x:v>jigglypuff</x:v>
      </x:c>
      <x:c r="D43" s="80" t="str">
        <x:v>평원</x:v>
      </x:c>
      <x:c r="E43" s="81" t="str">
        <x:v>평원1</x:v>
      </x:c>
      <x:c r="F43" s="81" t="str">
        <x:v>숲1</x:v>
      </x:c>
      <x:c r="G43" s="81" t="str">
        <x:v>평원1</x:v>
      </x:c>
      <x:c r="H43" s="81" t="str">
        <x:v>숲1</x:v>
      </x:c>
      <x:c r="I43" s="81" t="str">
        <x:v>평원1</x:v>
      </x:c>
      <x:c r="J43" s="81" t="str">
        <x:v>숲1</x:v>
      </x:c>
      <x:c r="K43" s="81" t="str">
        <x:v>—</x:v>
      </x:c>
      <x:c r="L43" s="81" t="str">
        <x:v>—</x:v>
      </x:c>
      <x:c r="M43" s="81" t="str">
        <x:v>평원1</x:v>
      </x:c>
      <x:c r="N43" s="81" t="str">
        <x:v>숲1</x:v>
      </x:c>
      <x:c r="O43" s="81" t="str">
        <x:v>평원1</x:v>
      </x:c>
      <x:c r="P43" s="81" t="str">
        <x:v>숲1</x:v>
      </x:c>
      <x:c r="Q43" s="81" t="str">
        <x:v>평원1</x:v>
      </x:c>
      <x:c r="R43" s="81" t="str">
        <x:v>숲1</x:v>
      </x:c>
      <x:c r="S43" s="81" t="str">
        <x:v>평원1</x:v>
      </x:c>
      <x:c r="T43" s="81" t="str">
        <x:v>숲1</x:v>
      </x:c>
      <x:c r="U43" s="81" t="str">
        <x:v>평원1</x:v>
      </x:c>
      <x:c r="V43" s="81" t="str">
        <x:v>숲1</x:v>
      </x:c>
    </x:row>
    <x:row r="44">
      <x:c r="A44" s="80" t="n">
        <x:v>40</x:v>
      </x:c>
      <x:c r="B44" s="80" t="str">
        <x:v>푸크린</x:v>
      </x:c>
      <x:c r="C44" s="80" t="str">
        <x:v>wigglytuff</x:v>
      </x:c>
      <x:c r="D44" s="80" t="str">
        <x:v>평원</x:v>
      </x:c>
      <x:c r="E44" s="81" t="str">
        <x:v>평원1</x:v>
      </x:c>
      <x:c r="F44" s="81" t="str">
        <x:v>숲1</x:v>
      </x:c>
      <x:c r="G44" s="81" t="str">
        <x:v>평원1</x:v>
      </x:c>
      <x:c r="H44" s="81" t="str">
        <x:v>숲1</x:v>
      </x:c>
      <x:c r="I44" s="81" t="str">
        <x:v>평원1</x:v>
      </x:c>
      <x:c r="J44" s="81" t="str">
        <x:v>숲1</x:v>
      </x:c>
      <x:c r="K44" s="81" t="str">
        <x:v>—</x:v>
      </x:c>
      <x:c r="L44" s="81" t="str">
        <x:v>—</x:v>
      </x:c>
      <x:c r="M44" s="81" t="str">
        <x:v>평원1</x:v>
      </x:c>
      <x:c r="N44" s="81" t="str">
        <x:v>숲1</x:v>
      </x:c>
      <x:c r="O44" s="81" t="str">
        <x:v>평원1</x:v>
      </x:c>
      <x:c r="P44" s="81" t="str">
        <x:v>숲1</x:v>
      </x:c>
      <x:c r="Q44" s="81" t="str">
        <x:v>평원1</x:v>
      </x:c>
      <x:c r="R44" s="81" t="str">
        <x:v>숲1</x:v>
      </x:c>
      <x:c r="S44" s="81" t="str">
        <x:v>평원1</x:v>
      </x:c>
      <x:c r="T44" s="81" t="str">
        <x:v>숲1</x:v>
      </x:c>
      <x:c r="U44" s="81" t="str">
        <x:v>평원1</x:v>
      </x:c>
      <x:c r="V44" s="81" t="str">
        <x:v>숲1</x:v>
      </x:c>
    </x:row>
    <x:row r="45">
      <x:c r="A45" s="80" t="n">
        <x:v>41</x:v>
      </x:c>
      <x:c r="B45" s="80" t="str">
        <x:v>주뱃</x:v>
      </x:c>
      <x:c r="C45" s="80" t="str">
        <x:v>zubat</x:v>
      </x:c>
      <x:c r="D45" s="80" t="str">
        <x:v>특수</x:v>
      </x:c>
      <x:c r="E45" s="81" t="str">
        <x:v>특수1</x:v>
      </x:c>
      <x:c r="F45" s="81" t="str">
        <x:v>숲1</x:v>
      </x:c>
      <x:c r="G45" s="81" t="str">
        <x:v>특수1</x:v>
      </x:c>
      <x:c r="H45" s="81" t="str">
        <x:v>숲1</x:v>
      </x:c>
      <x:c r="I45" s="81" t="str">
        <x:v>특수1</x:v>
      </x:c>
      <x:c r="J45" s="81" t="str">
        <x:v>숲1</x:v>
      </x:c>
      <x:c r="K45" s="81" t="str">
        <x:v>특수1</x:v>
      </x:c>
      <x:c r="L45" s="81" t="str">
        <x:v>숲1</x:v>
      </x:c>
      <x:c r="M45" s="81" t="str">
        <x:v>특수1</x:v>
      </x:c>
      <x:c r="N45" s="81" t="str">
        <x:v>숲1</x:v>
      </x:c>
      <x:c r="O45" s="81" t="str">
        <x:v>특수1</x:v>
      </x:c>
      <x:c r="P45" s="81" t="str">
        <x:v>숲1</x:v>
      </x:c>
      <x:c r="Q45" s="81" t="str">
        <x:v>특수1</x:v>
      </x:c>
      <x:c r="R45" s="81" t="str">
        <x:v>숲1</x:v>
      </x:c>
      <x:c r="S45" s="81" t="str">
        <x:v>특수1</x:v>
      </x:c>
      <x:c r="T45" s="81" t="str">
        <x:v>숲1</x:v>
      </x:c>
      <x:c r="U45" s="81" t="str">
        <x:v>—</x:v>
      </x:c>
      <x:c r="V45" s="81" t="str">
        <x:v>—</x:v>
      </x:c>
    </x:row>
    <x:row r="46">
      <x:c r="A46" s="80" t="n">
        <x:v>42</x:v>
      </x:c>
      <x:c r="B46" s="80" t="str">
        <x:v>골뱃</x:v>
      </x:c>
      <x:c r="C46" s="80" t="str">
        <x:v>golbat</x:v>
      </x:c>
      <x:c r="D46" s="80" t="str">
        <x:v>특수</x:v>
      </x:c>
      <x:c r="E46" s="81" t="str">
        <x:v>특수1</x:v>
      </x:c>
      <x:c r="F46" s="81" t="str">
        <x:v>숲1</x:v>
      </x:c>
      <x:c r="G46" s="81" t="str">
        <x:v>특수1</x:v>
      </x:c>
      <x:c r="H46" s="81" t="str">
        <x:v>숲1</x:v>
      </x:c>
      <x:c r="I46" s="81" t="str">
        <x:v>특수1</x:v>
      </x:c>
      <x:c r="J46" s="81" t="str">
        <x:v>숲1</x:v>
      </x:c>
      <x:c r="K46" s="81" t="str">
        <x:v>특수1</x:v>
      </x:c>
      <x:c r="L46" s="81" t="str">
        <x:v>숲1</x:v>
      </x:c>
      <x:c r="M46" s="81" t="str">
        <x:v>특수1</x:v>
      </x:c>
      <x:c r="N46" s="81" t="str">
        <x:v>숲1</x:v>
      </x:c>
      <x:c r="O46" s="81" t="str">
        <x:v>특수1</x:v>
      </x:c>
      <x:c r="P46" s="81" t="str">
        <x:v>숲1</x:v>
      </x:c>
      <x:c r="Q46" s="81" t="str">
        <x:v>특수1</x:v>
      </x:c>
      <x:c r="R46" s="81" t="str">
        <x:v>숲1</x:v>
      </x:c>
      <x:c r="S46" s="81" t="str">
        <x:v>특수1</x:v>
      </x:c>
      <x:c r="T46" s="81" t="str">
        <x:v>숲1</x:v>
      </x:c>
      <x:c r="U46" s="81" t="str">
        <x:v>—</x:v>
      </x:c>
      <x:c r="V46" s="81" t="str">
        <x:v>—</x:v>
      </x:c>
    </x:row>
    <x:row r="47">
      <x:c r="A47" s="80" t="n">
        <x:v>43</x:v>
      </x:c>
      <x:c r="B47" s="80" t="str">
        <x:v>뚜벅쵸</x:v>
      </x:c>
      <x:c r="C47" s="80" t="str">
        <x:v>oddish</x:v>
      </x:c>
      <x:c r="D47" s="80" t="str">
        <x:v>숲</x:v>
      </x:c>
      <x:c r="E47" s="81" t="str">
        <x:v>숲1</x:v>
      </x:c>
      <x:c r="F47" s="81" t="str">
        <x:v>습지1</x:v>
      </x:c>
      <x:c r="G47" s="81" t="str">
        <x:v>숲1</x:v>
      </x:c>
      <x:c r="H47" s="81" t="str">
        <x:v>습지1</x:v>
      </x:c>
      <x:c r="I47" s="81" t="str">
        <x:v>숲1</x:v>
      </x:c>
      <x:c r="J47" s="81" t="str">
        <x:v>습지1</x:v>
      </x:c>
      <x:c r="K47" s="81" t="str">
        <x:v>—</x:v>
      </x:c>
      <x:c r="L47" s="81" t="str">
        <x:v>—</x:v>
      </x:c>
      <x:c r="M47" s="81" t="str">
        <x:v>—</x:v>
      </x:c>
      <x:c r="N47" s="81" t="str">
        <x:v>—</x:v>
      </x:c>
      <x:c r="O47" s="81" t="str">
        <x:v>숲1</x:v>
      </x:c>
      <x:c r="P47" s="81" t="str">
        <x:v>습지1</x:v>
      </x:c>
      <x:c r="Q47" s="81" t="str">
        <x:v>—</x:v>
      </x:c>
      <x:c r="R47" s="81" t="str">
        <x:v>—</x:v>
      </x:c>
      <x:c r="S47" s="81" t="str">
        <x:v>숲1</x:v>
      </x:c>
      <x:c r="T47" s="81" t="str">
        <x:v>습지1</x:v>
      </x:c>
      <x:c r="U47" s="81" t="str">
        <x:v>숲1</x:v>
      </x:c>
      <x:c r="V47" s="81" t="str">
        <x:v>습지1</x:v>
      </x:c>
    </x:row>
    <x:row r="48">
      <x:c r="A48" s="80" t="n">
        <x:v>44</x:v>
      </x:c>
      <x:c r="B48" s="80" t="str">
        <x:v>냄새꼬</x:v>
      </x:c>
      <x:c r="C48" s="80" t="str">
        <x:v>gloom</x:v>
      </x:c>
      <x:c r="D48" s="80" t="str">
        <x:v>숲</x:v>
      </x:c>
      <x:c r="E48" s="81" t="str">
        <x:v>숲2</x:v>
      </x:c>
      <x:c r="F48" s="81" t="str">
        <x:v>습지1</x:v>
      </x:c>
      <x:c r="G48" s="81" t="str">
        <x:v>숲1</x:v>
      </x:c>
      <x:c r="H48" s="81" t="str">
        <x:v>습지1</x:v>
      </x:c>
      <x:c r="I48" s="81" t="str">
        <x:v>숲1</x:v>
      </x:c>
      <x:c r="J48" s="81" t="str">
        <x:v>습지1</x:v>
      </x:c>
      <x:c r="K48" s="81" t="str">
        <x:v>—</x:v>
      </x:c>
      <x:c r="L48" s="81" t="str">
        <x:v>—</x:v>
      </x:c>
      <x:c r="M48" s="81" t="str">
        <x:v>—</x:v>
      </x:c>
      <x:c r="N48" s="81" t="str">
        <x:v>—</x:v>
      </x:c>
      <x:c r="O48" s="81" t="str">
        <x:v>숲1</x:v>
      </x:c>
      <x:c r="P48" s="81" t="str">
        <x:v>습지1</x:v>
      </x:c>
      <x:c r="Q48" s="81" t="str">
        <x:v>—</x:v>
      </x:c>
      <x:c r="R48" s="81" t="str">
        <x:v>—</x:v>
      </x:c>
      <x:c r="S48" s="81" t="str">
        <x:v>숲1</x:v>
      </x:c>
      <x:c r="T48" s="81" t="str">
        <x:v>습지1</x:v>
      </x:c>
      <x:c r="U48" s="81" t="str">
        <x:v>숲1</x:v>
      </x:c>
      <x:c r="V48" s="81" t="str">
        <x:v>습지1</x:v>
      </x:c>
    </x:row>
    <x:row r="49">
      <x:c r="A49" s="80" t="n">
        <x:v>45</x:v>
      </x:c>
      <x:c r="B49" s="80" t="str">
        <x:v>라플레시아</x:v>
      </x:c>
      <x:c r="C49" s="80" t="str">
        <x:v>vileplume</x:v>
      </x:c>
      <x:c r="D49" s="80" t="str">
        <x:v>숲</x:v>
      </x:c>
      <x:c r="E49" s="81" t="str">
        <x:v>숲2</x:v>
      </x:c>
      <x:c r="F49" s="81" t="str">
        <x:v>습지1</x:v>
      </x:c>
      <x:c r="G49" s="81" t="str">
        <x:v>숲1</x:v>
      </x:c>
      <x:c r="H49" s="81" t="str">
        <x:v>습지1</x:v>
      </x:c>
      <x:c r="I49" s="81" t="str">
        <x:v>숲1</x:v>
      </x:c>
      <x:c r="J49" s="81" t="str">
        <x:v>습지1</x:v>
      </x:c>
      <x:c r="K49" s="81" t="str">
        <x:v>—</x:v>
      </x:c>
      <x:c r="L49" s="81" t="str">
        <x:v>—</x:v>
      </x:c>
      <x:c r="M49" s="81" t="str">
        <x:v>—</x:v>
      </x:c>
      <x:c r="N49" s="81" t="str">
        <x:v>—</x:v>
      </x:c>
      <x:c r="O49" s="81" t="str">
        <x:v>숲1</x:v>
      </x:c>
      <x:c r="P49" s="81" t="str">
        <x:v>습지1</x:v>
      </x:c>
      <x:c r="Q49" s="81" t="str">
        <x:v>—</x:v>
      </x:c>
      <x:c r="R49" s="81" t="str">
        <x:v>—</x:v>
      </x:c>
      <x:c r="S49" s="81" t="str">
        <x:v>숲1</x:v>
      </x:c>
      <x:c r="T49" s="81" t="str">
        <x:v>습지1</x:v>
      </x:c>
      <x:c r="U49" s="81" t="str">
        <x:v>숲1</x:v>
      </x:c>
      <x:c r="V49" s="81" t="str">
        <x:v>습지1</x:v>
      </x:c>
    </x:row>
    <x:row r="50">
      <x:c r="A50" s="80" t="n">
        <x:v>46</x:v>
      </x:c>
      <x:c r="B50" s="80" t="str">
        <x:v>파라스</x:v>
      </x:c>
      <x:c r="C50" s="80" t="str">
        <x:v>paras</x:v>
      </x:c>
      <x:c r="D50" s="80" t="str">
        <x:v>화산</x:v>
      </x:c>
      <x:c r="E50" s="81" t="str">
        <x:v>화산1</x:v>
      </x:c>
      <x:c r="F50" s="81" t="str">
        <x:v>건조지1</x:v>
      </x:c>
      <x:c r="G50" s="81" t="str">
        <x:v>화산1</x:v>
      </x:c>
      <x:c r="H50" s="81" t="str">
        <x:v>건조지1</x:v>
      </x:c>
      <x:c r="I50" s="81" t="str">
        <x:v>—</x:v>
      </x:c>
      <x:c r="J50" s="81" t="str">
        <x:v>—</x:v>
      </x:c>
      <x:c r="K50" s="81" t="str">
        <x:v>—</x:v>
      </x:c>
      <x:c r="L50" s="81" t="str">
        <x:v>—</x:v>
      </x:c>
      <x:c r="M50" s="81" t="str">
        <x:v>—</x:v>
      </x:c>
      <x:c r="N50" s="81" t="str">
        <x:v>—</x:v>
      </x:c>
      <x:c r="O50" s="81" t="str">
        <x:v>—</x:v>
      </x:c>
      <x:c r="P50" s="81" t="str">
        <x:v>—</x:v>
      </x:c>
      <x:c r="Q50" s="81" t="str">
        <x:v>화산1</x:v>
      </x:c>
      <x:c r="R50" s="81" t="str">
        <x:v>건조지1</x:v>
      </x:c>
      <x:c r="S50" s="81" t="str">
        <x:v>—</x:v>
      </x:c>
      <x:c r="T50" s="81" t="str">
        <x:v>—</x:v>
      </x:c>
      <x:c r="U50" s="81" t="str">
        <x:v>—</x:v>
      </x:c>
      <x:c r="V50" s="81" t="str">
        <x:v>—</x:v>
      </x:c>
    </x:row>
    <x:row r="51">
      <x:c r="A51" s="80" t="n">
        <x:v>47</x:v>
      </x:c>
      <x:c r="B51" s="80" t="str">
        <x:v>파라섹트</x:v>
      </x:c>
      <x:c r="C51" s="80" t="str">
        <x:v>parasect</x:v>
      </x:c>
      <x:c r="D51" s="80" t="str">
        <x:v>화산</x:v>
      </x:c>
      <x:c r="E51" s="81" t="str">
        <x:v>화산1</x:v>
      </x:c>
      <x:c r="F51" s="81" t="str">
        <x:v>건조지1</x:v>
      </x:c>
      <x:c r="G51" s="81" t="str">
        <x:v>화산1</x:v>
      </x:c>
      <x:c r="H51" s="81" t="str">
        <x:v>건조지1</x:v>
      </x:c>
      <x:c r="I51" s="81" t="str">
        <x:v>—</x:v>
      </x:c>
      <x:c r="J51" s="81" t="str">
        <x:v>—</x:v>
      </x:c>
      <x:c r="K51" s="81" t="str">
        <x:v>—</x:v>
      </x:c>
      <x:c r="L51" s="81" t="str">
        <x:v>—</x:v>
      </x:c>
      <x:c r="M51" s="81" t="str">
        <x:v>—</x:v>
      </x:c>
      <x:c r="N51" s="81" t="str">
        <x:v>—</x:v>
      </x:c>
      <x:c r="O51" s="81" t="str">
        <x:v>—</x:v>
      </x:c>
      <x:c r="P51" s="81" t="str">
        <x:v>—</x:v>
      </x:c>
      <x:c r="Q51" s="81" t="str">
        <x:v>화산1</x:v>
      </x:c>
      <x:c r="R51" s="81" t="str">
        <x:v>건조지1</x:v>
      </x:c>
      <x:c r="S51" s="81" t="str">
        <x:v>—</x:v>
      </x:c>
      <x:c r="T51" s="81" t="str">
        <x:v>—</x:v>
      </x:c>
      <x:c r="U51" s="81" t="str">
        <x:v>—</x:v>
      </x:c>
      <x:c r="V51" s="81" t="str">
        <x:v>—</x:v>
      </x:c>
    </x:row>
    <x:row r="52">
      <x:c r="A52" s="80" t="n">
        <x:v>48</x:v>
      </x:c>
      <x:c r="B52" s="80" t="str">
        <x:v>콘팡</x:v>
      </x:c>
      <x:c r="C52" s="80" t="str">
        <x:v>venonat</x:v>
      </x:c>
      <x:c r="D52" s="80" t="str">
        <x:v>특수</x:v>
      </x:c>
      <x:c r="E52" s="81" t="str">
        <x:v>특수1</x:v>
      </x:c>
      <x:c r="F52" s="81" t="str">
        <x:v>숲2</x:v>
      </x:c>
      <x:c r="G52" s="81" t="str">
        <x:v>특수1</x:v>
      </x:c>
      <x:c r="H52" s="81" t="str">
        <x:v>숲1</x:v>
      </x:c>
      <x:c r="I52" s="81" t="str">
        <x:v>—</x:v>
      </x:c>
      <x:c r="J52" s="81" t="str">
        <x:v>—</x:v>
      </x:c>
      <x:c r="K52" s="81" t="str">
        <x:v>—</x:v>
      </x:c>
      <x:c r="L52" s="81" t="str">
        <x:v>—</x:v>
      </x:c>
      <x:c r="M52" s="81" t="str">
        <x:v>—</x:v>
      </x:c>
      <x:c r="N52" s="81" t="str">
        <x:v>—</x:v>
      </x:c>
      <x:c r="O52" s="81" t="str">
        <x:v>—</x:v>
      </x:c>
      <x:c r="P52" s="81" t="str">
        <x:v>—</x:v>
      </x:c>
      <x:c r="Q52" s="81" t="str">
        <x:v>—</x:v>
      </x:c>
      <x:c r="R52" s="81" t="str">
        <x:v>—</x:v>
      </x:c>
      <x:c r="S52" s="81" t="str">
        <x:v>—</x:v>
      </x:c>
      <x:c r="T52" s="81" t="str">
        <x:v>—</x:v>
      </x:c>
      <x:c r="U52" s="81" t="str">
        <x:v>특수1</x:v>
      </x:c>
      <x:c r="V52" s="81" t="str">
        <x:v>숲1</x:v>
      </x:c>
    </x:row>
    <x:row r="53">
      <x:c r="A53" s="80" t="n">
        <x:v>49</x:v>
      </x:c>
      <x:c r="B53" s="80" t="str">
        <x:v>도나리</x:v>
      </x:c>
      <x:c r="C53" s="80" t="str">
        <x:v>venomoth</x:v>
      </x:c>
      <x:c r="D53" s="80" t="str">
        <x:v>특수</x:v>
      </x:c>
      <x:c r="E53" s="81" t="str">
        <x:v>특수1</x:v>
      </x:c>
      <x:c r="F53" s="81" t="str">
        <x:v>숲2</x:v>
      </x:c>
      <x:c r="G53" s="81" t="str">
        <x:v>특수1</x:v>
      </x:c>
      <x:c r="H53" s="81" t="str">
        <x:v>숲2</x:v>
      </x:c>
      <x:c r="I53" s="81" t="str">
        <x:v>—</x:v>
      </x:c>
      <x:c r="J53" s="81" t="str">
        <x:v>—</x:v>
      </x:c>
      <x:c r="K53" s="81" t="str">
        <x:v>—</x:v>
      </x:c>
      <x:c r="L53" s="81" t="str">
        <x:v>—</x:v>
      </x:c>
      <x:c r="M53" s="81" t="str">
        <x:v>—</x:v>
      </x:c>
      <x:c r="N53" s="81" t="str">
        <x:v>—</x:v>
      </x:c>
      <x:c r="O53" s="81" t="str">
        <x:v>—</x:v>
      </x:c>
      <x:c r="P53" s="81" t="str">
        <x:v>—</x:v>
      </x:c>
      <x:c r="Q53" s="81" t="str">
        <x:v>—</x:v>
      </x:c>
      <x:c r="R53" s="81" t="str">
        <x:v>—</x:v>
      </x:c>
      <x:c r="S53" s="81" t="str">
        <x:v>—</x:v>
      </x:c>
      <x:c r="T53" s="81" t="str">
        <x:v>—</x:v>
      </x:c>
      <x:c r="U53" s="81" t="str">
        <x:v>특수1</x:v>
      </x:c>
      <x:c r="V53" s="81" t="str">
        <x:v>숲1</x:v>
      </x:c>
    </x:row>
    <x:row r="54">
      <x:c r="A54" s="80" t="n">
        <x:v>50</x:v>
      </x:c>
      <x:c r="B54" s="80" t="str">
        <x:v>디그다</x:v>
      </x:c>
      <x:c r="C54" s="80" t="str">
        <x:v>diglett</x:v>
      </x:c>
      <x:c r="D54" s="80" t="str">
        <x:v>산악</x:v>
      </x:c>
      <x:c r="E54" s="81" t="str">
        <x:v>산악1</x:v>
      </x:c>
      <x:c r="F54" s="81" t="str">
        <x:v>평원1</x:v>
      </x:c>
      <x:c r="G54" s="81" t="str">
        <x:v>산악1</x:v>
      </x:c>
      <x:c r="H54" s="81" t="str">
        <x:v>평원1</x:v>
      </x:c>
      <x:c r="I54" s="81" t="str">
        <x:v>—</x:v>
      </x:c>
      <x:c r="J54" s="81" t="str">
        <x:v>—</x:v>
      </x:c>
      <x:c r="K54" s="81" t="str">
        <x:v>—</x:v>
      </x:c>
      <x:c r="L54" s="81" t="str">
        <x:v>—</x:v>
      </x:c>
      <x:c r="M54" s="81" t="str">
        <x:v>—</x:v>
      </x:c>
      <x:c r="N54" s="81" t="str">
        <x:v>—</x:v>
      </x:c>
      <x:c r="O54" s="81" t="str">
        <x:v>산악1</x:v>
      </x:c>
      <x:c r="P54" s="81" t="str">
        <x:v>평원1</x:v>
      </x:c>
      <x:c r="Q54" s="81" t="str">
        <x:v>산악1</x:v>
      </x:c>
      <x:c r="R54" s="81" t="str">
        <x:v>평원1</x:v>
      </x:c>
      <x:c r="S54" s="81" t="str">
        <x:v>산악1</x:v>
      </x:c>
      <x:c r="T54" s="81" t="str">
        <x:v>평원1</x:v>
      </x:c>
      <x:c r="U54" s="81" t="str">
        <x:v>산악1</x:v>
      </x:c>
      <x:c r="V54" s="81" t="str">
        <x:v>평원1</x:v>
      </x:c>
    </x:row>
    <x:row r="55">
      <x:c r="A55" s="80" t="n">
        <x:v>51</x:v>
      </x:c>
      <x:c r="B55" s="80" t="str">
        <x:v>닥트리오</x:v>
      </x:c>
      <x:c r="C55" s="80" t="str">
        <x:v>dugtrio</x:v>
      </x:c>
      <x:c r="D55" s="80" t="str">
        <x:v>산악</x:v>
      </x:c>
      <x:c r="E55" s="81" t="str">
        <x:v>산악1</x:v>
      </x:c>
      <x:c r="F55" s="81" t="str">
        <x:v>평원1</x:v>
      </x:c>
      <x:c r="G55" s="81" t="str">
        <x:v>산악1</x:v>
      </x:c>
      <x:c r="H55" s="81" t="str">
        <x:v>평원1</x:v>
      </x:c>
      <x:c r="I55" s="81" t="str">
        <x:v>—</x:v>
      </x:c>
      <x:c r="J55" s="81" t="str">
        <x:v>—</x:v>
      </x:c>
      <x:c r="K55" s="81" t="str">
        <x:v>—</x:v>
      </x:c>
      <x:c r="L55" s="81" t="str">
        <x:v>—</x:v>
      </x:c>
      <x:c r="M55" s="81" t="str">
        <x:v>—</x:v>
      </x:c>
      <x:c r="N55" s="81" t="str">
        <x:v>—</x:v>
      </x:c>
      <x:c r="O55" s="81" t="str">
        <x:v>산악1</x:v>
      </x:c>
      <x:c r="P55" s="81" t="str">
        <x:v>평원1</x:v>
      </x:c>
      <x:c r="Q55" s="81" t="str">
        <x:v>산악1</x:v>
      </x:c>
      <x:c r="R55" s="81" t="str">
        <x:v>평원1</x:v>
      </x:c>
      <x:c r="S55" s="81" t="str">
        <x:v>산악1</x:v>
      </x:c>
      <x:c r="T55" s="81" t="str">
        <x:v>평원1</x:v>
      </x:c>
      <x:c r="U55" s="81" t="str">
        <x:v>산악1</x:v>
      </x:c>
      <x:c r="V55" s="81" t="str">
        <x:v>평원1</x:v>
      </x:c>
    </x:row>
    <x:row r="56">
      <x:c r="A56" s="80" t="n">
        <x:v>52</x:v>
      </x:c>
      <x:c r="B56" s="80" t="str">
        <x:v>나옹</x:v>
      </x:c>
      <x:c r="C56" s="80" t="str">
        <x:v>meowth</x:v>
      </x:c>
      <x:c r="D56" s="80" t="str">
        <x:v>건조지</x:v>
      </x:c>
      <x:c r="E56" s="81" t="str">
        <x:v>건조지1</x:v>
      </x:c>
      <x:c r="F56" s="81" t="str">
        <x:v>평원1</x:v>
      </x:c>
      <x:c r="G56" s="81" t="str">
        <x:v>건조지1</x:v>
      </x:c>
      <x:c r="H56" s="81" t="str">
        <x:v>평원1</x:v>
      </x:c>
      <x:c r="I56" s="81" t="str">
        <x:v>—</x:v>
      </x:c>
      <x:c r="J56" s="81" t="str">
        <x:v>—</x:v>
      </x:c>
      <x:c r="K56" s="81" t="str">
        <x:v>—</x:v>
      </x:c>
      <x:c r="L56" s="81" t="str">
        <x:v>—</x:v>
      </x:c>
      <x:c r="M56" s="81" t="str">
        <x:v>—</x:v>
      </x:c>
      <x:c r="N56" s="81" t="str">
        <x:v>—</x:v>
      </x:c>
      <x:c r="O56" s="81" t="str">
        <x:v>—</x:v>
      </x:c>
      <x:c r="P56" s="81" t="str">
        <x:v>—</x:v>
      </x:c>
      <x:c r="Q56" s="81" t="str">
        <x:v>건조지1</x:v>
      </x:c>
      <x:c r="R56" s="81" t="str">
        <x:v>평원1</x:v>
      </x:c>
      <x:c r="S56" s="81" t="str">
        <x:v>건조지1</x:v>
      </x:c>
      <x:c r="T56" s="81" t="str">
        <x:v>평원1</x:v>
      </x:c>
      <x:c r="U56" s="81" t="str">
        <x:v>건조지1</x:v>
      </x:c>
      <x:c r="V56" s="81" t="str">
        <x:v>평원1</x:v>
      </x:c>
    </x:row>
    <x:row r="57">
      <x:c r="A57" s="80" t="n">
        <x:v>53</x:v>
      </x:c>
      <x:c r="B57" s="80" t="str">
        <x:v>페르시온</x:v>
      </x:c>
      <x:c r="C57" s="80" t="str">
        <x:v>persian</x:v>
      </x:c>
      <x:c r="D57" s="80" t="str">
        <x:v>건조지</x:v>
      </x:c>
      <x:c r="E57" s="81" t="str">
        <x:v>건조지1</x:v>
      </x:c>
      <x:c r="F57" s="81" t="str">
        <x:v>평원1</x:v>
      </x:c>
      <x:c r="G57" s="81" t="str">
        <x:v>건조지1</x:v>
      </x:c>
      <x:c r="H57" s="81" t="str">
        <x:v>평원1</x:v>
      </x:c>
      <x:c r="I57" s="81" t="str">
        <x:v>—</x:v>
      </x:c>
      <x:c r="J57" s="81" t="str">
        <x:v>—</x:v>
      </x:c>
      <x:c r="K57" s="81" t="str">
        <x:v>—</x:v>
      </x:c>
      <x:c r="L57" s="81" t="str">
        <x:v>—</x:v>
      </x:c>
      <x:c r="M57" s="81" t="str">
        <x:v>—</x:v>
      </x:c>
      <x:c r="N57" s="81" t="str">
        <x:v>—</x:v>
      </x:c>
      <x:c r="O57" s="81" t="str">
        <x:v>—</x:v>
      </x:c>
      <x:c r="P57" s="81" t="str">
        <x:v>—</x:v>
      </x:c>
      <x:c r="Q57" s="81" t="str">
        <x:v>건조지1</x:v>
      </x:c>
      <x:c r="R57" s="81" t="str">
        <x:v>평원1</x:v>
      </x:c>
      <x:c r="S57" s="81" t="str">
        <x:v>건조지1</x:v>
      </x:c>
      <x:c r="T57" s="81" t="str">
        <x:v>평원1</x:v>
      </x:c>
      <x:c r="U57" s="81" t="str">
        <x:v>건조지1</x:v>
      </x:c>
      <x:c r="V57" s="81" t="str">
        <x:v>평원1</x:v>
      </x:c>
    </x:row>
    <x:row r="58">
      <x:c r="A58" s="80" t="n">
        <x:v>54</x:v>
      </x:c>
      <x:c r="B58" s="80" t="str">
        <x:v>고라파덕</x:v>
      </x:c>
      <x:c r="C58" s="80" t="str">
        <x:v>psyduck</x:v>
      </x:c>
      <x:c r="D58" s="80" t="str">
        <x:v>담수</x:v>
      </x:c>
      <x:c r="E58" s="81" t="str">
        <x:v>담수1</x:v>
      </x:c>
      <x:c r="F58" s="81" t="str">
        <x:v>습지1</x:v>
      </x:c>
      <x:c r="G58" s="81" t="str">
        <x:v>담수1</x:v>
      </x:c>
      <x:c r="H58" s="81" t="str">
        <x:v>습지1</x:v>
      </x:c>
      <x:c r="I58" s="81" t="str">
        <x:v>담수1</x:v>
      </x:c>
      <x:c r="J58" s="81" t="str">
        <x:v>습지1</x:v>
      </x:c>
      <x:c r="K58" s="81" t="str">
        <x:v>담수1</x:v>
      </x:c>
      <x:c r="L58" s="81" t="str">
        <x:v>습지1</x:v>
      </x:c>
      <x:c r="M58" s="81" t="str">
        <x:v>담수1</x:v>
      </x:c>
      <x:c r="N58" s="81" t="str">
        <x:v>습지1</x:v>
      </x:c>
      <x:c r="O58" s="81" t="str">
        <x:v>담수1</x:v>
      </x:c>
      <x:c r="P58" s="81" t="str">
        <x:v>습지1</x:v>
      </x:c>
      <x:c r="Q58" s="81" t="str">
        <x:v>담수1</x:v>
      </x:c>
      <x:c r="R58" s="81" t="str">
        <x:v>습지1</x:v>
      </x:c>
      <x:c r="S58" s="81" t="str">
        <x:v>담수1</x:v>
      </x:c>
      <x:c r="T58" s="81" t="str">
        <x:v>습지1</x:v>
      </x:c>
      <x:c r="U58" s="81" t="str">
        <x:v>담수1</x:v>
      </x:c>
      <x:c r="V58" s="81" t="str">
        <x:v>습지1</x:v>
      </x:c>
    </x:row>
    <x:row r="59">
      <x:c r="A59" s="80" t="n">
        <x:v>55</x:v>
      </x:c>
      <x:c r="B59" s="80" t="str">
        <x:v>골덕</x:v>
      </x:c>
      <x:c r="C59" s="80" t="str">
        <x:v>golduck</x:v>
      </x:c>
      <x:c r="D59" s="80" t="str">
        <x:v>담수</x:v>
      </x:c>
      <x:c r="E59" s="81" t="str">
        <x:v>담수1</x:v>
      </x:c>
      <x:c r="F59" s="81" t="str">
        <x:v>습지1</x:v>
      </x:c>
      <x:c r="G59" s="81" t="str">
        <x:v>담수1</x:v>
      </x:c>
      <x:c r="H59" s="81" t="str">
        <x:v>습지1</x:v>
      </x:c>
      <x:c r="I59" s="81" t="str">
        <x:v>담수1</x:v>
      </x:c>
      <x:c r="J59" s="81" t="str">
        <x:v>습지1</x:v>
      </x:c>
      <x:c r="K59" s="81" t="str">
        <x:v>담수1</x:v>
      </x:c>
      <x:c r="L59" s="81" t="str">
        <x:v>습지1</x:v>
      </x:c>
      <x:c r="M59" s="81" t="str">
        <x:v>담수1</x:v>
      </x:c>
      <x:c r="N59" s="81" t="str">
        <x:v>습지1</x:v>
      </x:c>
      <x:c r="O59" s="81" t="str">
        <x:v>담수1</x:v>
      </x:c>
      <x:c r="P59" s="81" t="str">
        <x:v>습지1</x:v>
      </x:c>
      <x:c r="Q59" s="81" t="str">
        <x:v>담수1</x:v>
      </x:c>
      <x:c r="R59" s="81" t="str">
        <x:v>습지1</x:v>
      </x:c>
      <x:c r="S59" s="81" t="str">
        <x:v>담수1</x:v>
      </x:c>
      <x:c r="T59" s="81" t="str">
        <x:v>습지1</x:v>
      </x:c>
      <x:c r="U59" s="81" t="str">
        <x:v>담수1</x:v>
      </x:c>
      <x:c r="V59" s="81" t="str">
        <x:v>습지1</x:v>
      </x:c>
    </x:row>
    <x:row r="60">
      <x:c r="A60" s="80" t="n">
        <x:v>56</x:v>
      </x:c>
      <x:c r="B60" s="80" t="str">
        <x:v>망키</x:v>
      </x:c>
      <x:c r="C60" s="80" t="str">
        <x:v>mankey</x:v>
      </x:c>
      <x:c r="D60" s="80" t="str">
        <x:v>산악</x:v>
      </x:c>
      <x:c r="E60" s="81" t="str">
        <x:v>산악1</x:v>
      </x:c>
      <x:c r="F60" s="81" t="str">
        <x:v>숲2</x:v>
      </x:c>
      <x:c r="G60" s="81" t="str">
        <x:v>산악1</x:v>
      </x:c>
      <x:c r="H60" s="81" t="str">
        <x:v>숲2</x:v>
      </x:c>
      <x:c r="I60" s="81" t="str">
        <x:v>—</x:v>
      </x:c>
      <x:c r="J60" s="81" t="str">
        <x:v>—</x:v>
      </x:c>
      <x:c r="K60" s="81" t="str">
        <x:v>—</x:v>
      </x:c>
      <x:c r="L60" s="81" t="str">
        <x:v>—</x:v>
      </x:c>
      <x:c r="M60" s="81" t="str">
        <x:v>—</x:v>
      </x:c>
      <x:c r="N60" s="81" t="str">
        <x:v>—</x:v>
      </x:c>
      <x:c r="O60" s="81" t="str">
        <x:v>—</x:v>
      </x:c>
      <x:c r="P60" s="81" t="str">
        <x:v>—</x:v>
      </x:c>
      <x:c r="Q60" s="81" t="str">
        <x:v>산악1</x:v>
      </x:c>
      <x:c r="R60" s="81" t="str">
        <x:v>숲1</x:v>
      </x:c>
      <x:c r="S60" s="81" t="str">
        <x:v>—</x:v>
      </x:c>
      <x:c r="T60" s="81" t="str">
        <x:v>—</x:v>
      </x:c>
      <x:c r="U60" s="81" t="str">
        <x:v>산악1</x:v>
      </x:c>
      <x:c r="V60" s="81" t="str">
        <x:v>숲1</x:v>
      </x:c>
    </x:row>
    <x:row r="61">
      <x:c r="A61" s="80" t="n">
        <x:v>57</x:v>
      </x:c>
      <x:c r="B61" s="80" t="str">
        <x:v>성원숭</x:v>
      </x:c>
      <x:c r="C61" s="80" t="str">
        <x:v>primeape</x:v>
      </x:c>
      <x:c r="D61" s="80" t="str">
        <x:v>산악</x:v>
      </x:c>
      <x:c r="E61" s="81" t="str">
        <x:v>산악1</x:v>
      </x:c>
      <x:c r="F61" s="81" t="str">
        <x:v>숲2</x:v>
      </x:c>
      <x:c r="G61" s="81" t="str">
        <x:v>산악1</x:v>
      </x:c>
      <x:c r="H61" s="81" t="str">
        <x:v>숲2</x:v>
      </x:c>
      <x:c r="I61" s="81" t="str">
        <x:v>—</x:v>
      </x:c>
      <x:c r="J61" s="81" t="str">
        <x:v>—</x:v>
      </x:c>
      <x:c r="K61" s="81" t="str">
        <x:v>—</x:v>
      </x:c>
      <x:c r="L61" s="81" t="str">
        <x:v>—</x:v>
      </x:c>
      <x:c r="M61" s="81" t="str">
        <x:v>—</x:v>
      </x:c>
      <x:c r="N61" s="81" t="str">
        <x:v>—</x:v>
      </x:c>
      <x:c r="O61" s="81" t="str">
        <x:v>—</x:v>
      </x:c>
      <x:c r="P61" s="81" t="str">
        <x:v>—</x:v>
      </x:c>
      <x:c r="Q61" s="81" t="str">
        <x:v>산악1</x:v>
      </x:c>
      <x:c r="R61" s="81" t="str">
        <x:v>숲1</x:v>
      </x:c>
      <x:c r="S61" s="81" t="str">
        <x:v>—</x:v>
      </x:c>
      <x:c r="T61" s="81" t="str">
        <x:v>—</x:v>
      </x:c>
      <x:c r="U61" s="81" t="str">
        <x:v>산악1</x:v>
      </x:c>
      <x:c r="V61" s="81" t="str">
        <x:v>숲1</x:v>
      </x:c>
    </x:row>
    <x:row r="62">
      <x:c r="A62" s="80" t="n">
        <x:v>58</x:v>
      </x:c>
      <x:c r="B62" s="80" t="str">
        <x:v>가디</x:v>
      </x:c>
      <x:c r="C62" s="80" t="str">
        <x:v>growlithe</x:v>
      </x:c>
      <x:c r="D62" s="80" t="str">
        <x:v>산악</x:v>
      </x:c>
      <x:c r="E62" s="81" t="str">
        <x:v>산악1</x:v>
      </x:c>
      <x:c r="F62" s="81" t="str">
        <x:v>화산1</x:v>
      </x:c>
      <x:c r="G62" s="81" t="str">
        <x:v>산악1</x:v>
      </x:c>
      <x:c r="H62" s="81" t="str">
        <x:v>화산1</x:v>
      </x:c>
      <x:c r="I62" s="81" t="str">
        <x:v>—</x:v>
      </x:c>
      <x:c r="J62" s="81" t="str">
        <x:v>—</x:v>
      </x:c>
      <x:c r="K62" s="81" t="str">
        <x:v>—</x:v>
      </x:c>
      <x:c r="L62" s="81" t="str">
        <x:v>—</x:v>
      </x:c>
      <x:c r="M62" s="81" t="str">
        <x:v>산악1</x:v>
      </x:c>
      <x:c r="N62" s="81" t="str">
        <x:v>화산1</x:v>
      </x:c>
      <x:c r="O62" s="81" t="str">
        <x:v>—</x:v>
      </x:c>
      <x:c r="P62" s="81" t="str">
        <x:v>—</x:v>
      </x:c>
      <x:c r="Q62" s="81" t="str">
        <x:v>산악1</x:v>
      </x:c>
      <x:c r="R62" s="81" t="str">
        <x:v>화산1</x:v>
      </x:c>
      <x:c r="S62" s="81" t="str">
        <x:v>산악1</x:v>
      </x:c>
      <x:c r="T62" s="81" t="str">
        <x:v>화산1</x:v>
      </x:c>
      <x:c r="U62" s="81" t="str">
        <x:v>산악1</x:v>
      </x:c>
      <x:c r="V62" s="81" t="str">
        <x:v>화산1</x:v>
      </x:c>
    </x:row>
    <x:row r="63">
      <x:c r="A63" s="80" t="n">
        <x:v>59</x:v>
      </x:c>
      <x:c r="B63" s="80" t="str">
        <x:v>윈디</x:v>
      </x:c>
      <x:c r="C63" s="80" t="str">
        <x:v>arcanine</x:v>
      </x:c>
      <x:c r="D63" s="80" t="str">
        <x:v>화산</x:v>
      </x:c>
      <x:c r="E63" s="81" t="str">
        <x:v>화산1</x:v>
      </x:c>
      <x:c r="F63" s="81" t="str">
        <x:v>건조지1</x:v>
      </x:c>
      <x:c r="G63" s="81" t="str">
        <x:v>화산1</x:v>
      </x:c>
      <x:c r="H63" s="81" t="str">
        <x:v>건조지1</x:v>
      </x:c>
      <x:c r="I63" s="81" t="str">
        <x:v>—</x:v>
      </x:c>
      <x:c r="J63" s="81" t="str">
        <x:v>—</x:v>
      </x:c>
      <x:c r="K63" s="81" t="str">
        <x:v>—</x:v>
      </x:c>
      <x:c r="L63" s="81" t="str">
        <x:v>—</x:v>
      </x:c>
      <x:c r="M63" s="81" t="str">
        <x:v>화산1</x:v>
      </x:c>
      <x:c r="N63" s="81" t="str">
        <x:v>건조지1</x:v>
      </x:c>
      <x:c r="O63" s="81" t="str">
        <x:v>—</x:v>
      </x:c>
      <x:c r="P63" s="81" t="str">
        <x:v>—</x:v>
      </x:c>
      <x:c r="Q63" s="81" t="str">
        <x:v>화산1</x:v>
      </x:c>
      <x:c r="R63" s="81" t="str">
        <x:v>건조지1</x:v>
      </x:c>
      <x:c r="S63" s="81" t="str">
        <x:v>화산1</x:v>
      </x:c>
      <x:c r="T63" s="81" t="str">
        <x:v>건조지1</x:v>
      </x:c>
      <x:c r="U63" s="81" t="str">
        <x:v>화산1</x:v>
      </x:c>
      <x:c r="V63" s="81" t="str">
        <x:v>건조지1</x:v>
      </x:c>
    </x:row>
    <x:row r="64">
      <x:c r="A64" s="80" t="n">
        <x:v>60</x:v>
      </x:c>
      <x:c r="B64" s="80" t="str">
        <x:v>발챙이</x:v>
      </x:c>
      <x:c r="C64" s="80" t="str">
        <x:v>poliwag</x:v>
      </x:c>
      <x:c r="D64" s="80" t="str">
        <x:v>담수</x:v>
      </x:c>
      <x:c r="E64" s="81" t="str">
        <x:v>담수1</x:v>
      </x:c>
      <x:c r="F64" s="81" t="str">
        <x:v>습지1</x:v>
      </x:c>
      <x:c r="G64" s="81" t="str">
        <x:v>담수1</x:v>
      </x:c>
      <x:c r="H64" s="81" t="str">
        <x:v>습지1</x:v>
      </x:c>
      <x:c r="I64" s="81" t="str">
        <x:v>—</x:v>
      </x:c>
      <x:c r="J64" s="81" t="str">
        <x:v>—</x:v>
      </x:c>
      <x:c r="K64" s="81" t="str">
        <x:v>—</x:v>
      </x:c>
      <x:c r="L64" s="81" t="str">
        <x:v>—</x:v>
      </x:c>
      <x:c r="M64" s="81" t="str">
        <x:v>—</x:v>
      </x:c>
      <x:c r="N64" s="81" t="str">
        <x:v>—</x:v>
      </x:c>
      <x:c r="O64" s="81" t="str">
        <x:v>담수1</x:v>
      </x:c>
      <x:c r="P64" s="81" t="str">
        <x:v>습지1</x:v>
      </x:c>
      <x:c r="Q64" s="81" t="str">
        <x:v>담수1</x:v>
      </x:c>
      <x:c r="R64" s="81" t="str">
        <x:v>습지1</x:v>
      </x:c>
      <x:c r="S64" s="81" t="str">
        <x:v>담수1</x:v>
      </x:c>
      <x:c r="T64" s="81" t="str">
        <x:v>습지1</x:v>
      </x:c>
      <x:c r="U64" s="81" t="str">
        <x:v>담수1</x:v>
      </x:c>
      <x:c r="V64" s="81" t="str">
        <x:v>습지1</x:v>
      </x:c>
    </x:row>
    <x:row r="65">
      <x:c r="A65" s="80" t="n">
        <x:v>61</x:v>
      </x:c>
      <x:c r="B65" s="80" t="str">
        <x:v>슈륙챙이</x:v>
      </x:c>
      <x:c r="C65" s="80" t="str">
        <x:v>poliwhirl</x:v>
      </x:c>
      <x:c r="D65" s="80" t="str">
        <x:v>담수</x:v>
      </x:c>
      <x:c r="E65" s="81" t="str">
        <x:v>담수1</x:v>
      </x:c>
      <x:c r="F65" s="81" t="str">
        <x:v>습지1</x:v>
      </x:c>
      <x:c r="G65" s="81" t="str">
        <x:v>담수1</x:v>
      </x:c>
      <x:c r="H65" s="81" t="str">
        <x:v>습지1</x:v>
      </x:c>
      <x:c r="I65" s="81" t="str">
        <x:v>—</x:v>
      </x:c>
      <x:c r="J65" s="81" t="str">
        <x:v>—</x:v>
      </x:c>
      <x:c r="K65" s="81" t="str">
        <x:v>—</x:v>
      </x:c>
      <x:c r="L65" s="81" t="str">
        <x:v>—</x:v>
      </x:c>
      <x:c r="M65" s="81" t="str">
        <x:v>—</x:v>
      </x:c>
      <x:c r="N65" s="81" t="str">
        <x:v>—</x:v>
      </x:c>
      <x:c r="O65" s="81" t="str">
        <x:v>담수1</x:v>
      </x:c>
      <x:c r="P65" s="81" t="str">
        <x:v>습지1</x:v>
      </x:c>
      <x:c r="Q65" s="81" t="str">
        <x:v>담수1</x:v>
      </x:c>
      <x:c r="R65" s="81" t="str">
        <x:v>습지1</x:v>
      </x:c>
      <x:c r="S65" s="81" t="str">
        <x:v>담수1</x:v>
      </x:c>
      <x:c r="T65" s="81" t="str">
        <x:v>습지1</x:v>
      </x:c>
      <x:c r="U65" s="81" t="str">
        <x:v>담수1</x:v>
      </x:c>
      <x:c r="V65" s="81" t="str">
        <x:v>습지1</x:v>
      </x:c>
    </x:row>
    <x:row r="66">
      <x:c r="A66" s="80" t="n">
        <x:v>62</x:v>
      </x:c>
      <x:c r="B66" s="80" t="str">
        <x:v>강챙이</x:v>
      </x:c>
      <x:c r="C66" s="80" t="str">
        <x:v>poliwrath</x:v>
      </x:c>
      <x:c r="D66" s="80" t="str">
        <x:v>담수</x:v>
      </x:c>
      <x:c r="E66" s="81" t="str">
        <x:v>담수1</x:v>
      </x:c>
      <x:c r="F66" s="81" t="str">
        <x:v>습지1</x:v>
      </x:c>
      <x:c r="G66" s="81" t="str">
        <x:v>담수1</x:v>
      </x:c>
      <x:c r="H66" s="81" t="str">
        <x:v>습지1</x:v>
      </x:c>
      <x:c r="I66" s="81" t="str">
        <x:v>—</x:v>
      </x:c>
      <x:c r="J66" s="81" t="str">
        <x:v>—</x:v>
      </x:c>
      <x:c r="K66" s="81" t="str">
        <x:v>—</x:v>
      </x:c>
      <x:c r="L66" s="81" t="str">
        <x:v>—</x:v>
      </x:c>
      <x:c r="M66" s="81" t="str">
        <x:v>—</x:v>
      </x:c>
      <x:c r="N66" s="81" t="str">
        <x:v>—</x:v>
      </x:c>
      <x:c r="O66" s="81" t="str">
        <x:v>담수1</x:v>
      </x:c>
      <x:c r="P66" s="81" t="str">
        <x:v>습지1</x:v>
      </x:c>
      <x:c r="Q66" s="81" t="str">
        <x:v>담수1</x:v>
      </x:c>
      <x:c r="R66" s="81" t="str">
        <x:v>습지1</x:v>
      </x:c>
      <x:c r="S66" s="81" t="str">
        <x:v>담수1</x:v>
      </x:c>
      <x:c r="T66" s="81" t="str">
        <x:v>습지1</x:v>
      </x:c>
      <x:c r="U66" s="81" t="str">
        <x:v>담수1</x:v>
      </x:c>
      <x:c r="V66" s="81" t="str">
        <x:v>습지1</x:v>
      </x:c>
    </x:row>
    <x:row r="67">
      <x:c r="A67" s="80" t="n">
        <x:v>63</x:v>
      </x:c>
      <x:c r="B67" s="80" t="str">
        <x:v>캐이시</x:v>
      </x:c>
      <x:c r="C67" s="80" t="str">
        <x:v>abra</x:v>
      </x:c>
      <x:c r="D67" s="80" t="str">
        <x:v>산악</x:v>
      </x:c>
      <x:c r="E67" s="81" t="str">
        <x:v>산악1</x:v>
      </x:c>
      <x:c r="F67" s="81" t="str">
        <x:v>평원1</x:v>
      </x:c>
      <x:c r="G67" s="81" t="str">
        <x:v>산악1</x:v>
      </x:c>
      <x:c r="H67" s="81" t="str">
        <x:v>평원1</x:v>
      </x:c>
      <x:c r="I67" s="81" t="str">
        <x:v>산악1</x:v>
      </x:c>
      <x:c r="J67" s="81" t="str">
        <x:v>평원1</x:v>
      </x:c>
      <x:c r="K67" s="81" t="str">
        <x:v>산악1</x:v>
      </x:c>
      <x:c r="L67" s="81" t="str">
        <x:v>평원1</x:v>
      </x:c>
      <x:c r="M67" s="81" t="str">
        <x:v>—</x:v>
      </x:c>
      <x:c r="N67" s="81" t="str">
        <x:v>—</x:v>
      </x:c>
      <x:c r="O67" s="81" t="str">
        <x:v>산악1</x:v>
      </x:c>
      <x:c r="P67" s="81" t="str">
        <x:v>평원1</x:v>
      </x:c>
      <x:c r="Q67" s="81" t="str">
        <x:v>산악1</x:v>
      </x:c>
      <x:c r="R67" s="81" t="str">
        <x:v>평원1</x:v>
      </x:c>
      <x:c r="S67" s="81" t="str">
        <x:v>산악1</x:v>
      </x:c>
      <x:c r="T67" s="81" t="str">
        <x:v>평원1</x:v>
      </x:c>
      <x:c r="U67" s="81" t="str">
        <x:v>—</x:v>
      </x:c>
      <x:c r="V67" s="81" t="str">
        <x:v>—</x:v>
      </x:c>
    </x:row>
    <x:row r="68">
      <x:c r="A68" s="80" t="n">
        <x:v>64</x:v>
      </x:c>
      <x:c r="B68" s="80" t="str">
        <x:v>윤겔라</x:v>
      </x:c>
      <x:c r="C68" s="80" t="str">
        <x:v>kadabra</x:v>
      </x:c>
      <x:c r="D68" s="80" t="str">
        <x:v>산악</x:v>
      </x:c>
      <x:c r="E68" s="81" t="str">
        <x:v>산악1</x:v>
      </x:c>
      <x:c r="F68" s="81" t="str">
        <x:v>평원1</x:v>
      </x:c>
      <x:c r="G68" s="81" t="str">
        <x:v>산악1</x:v>
      </x:c>
      <x:c r="H68" s="81" t="str">
        <x:v>평원1</x:v>
      </x:c>
      <x:c r="I68" s="81" t="str">
        <x:v>산악1</x:v>
      </x:c>
      <x:c r="J68" s="81" t="str">
        <x:v>평원1</x:v>
      </x:c>
      <x:c r="K68" s="81" t="str">
        <x:v>산악1</x:v>
      </x:c>
      <x:c r="L68" s="81" t="str">
        <x:v>평원1</x:v>
      </x:c>
      <x:c r="M68" s="81" t="str">
        <x:v>—</x:v>
      </x:c>
      <x:c r="N68" s="81" t="str">
        <x:v>—</x:v>
      </x:c>
      <x:c r="O68" s="81" t="str">
        <x:v>산악1</x:v>
      </x:c>
      <x:c r="P68" s="81" t="str">
        <x:v>평원1</x:v>
      </x:c>
      <x:c r="Q68" s="81" t="str">
        <x:v>산악1</x:v>
      </x:c>
      <x:c r="R68" s="81" t="str">
        <x:v>평원1</x:v>
      </x:c>
      <x:c r="S68" s="81" t="str">
        <x:v>산악1</x:v>
      </x:c>
      <x:c r="T68" s="81" t="str">
        <x:v>평원1</x:v>
      </x:c>
      <x:c r="U68" s="81" t="str">
        <x:v>—</x:v>
      </x:c>
      <x:c r="V68" s="81" t="str">
        <x:v>—</x:v>
      </x:c>
    </x:row>
    <x:row r="69">
      <x:c r="A69" s="80" t="n">
        <x:v>65</x:v>
      </x:c>
      <x:c r="B69" s="80" t="str">
        <x:v>후딘</x:v>
      </x:c>
      <x:c r="C69" s="80" t="str">
        <x:v>alakazam</x:v>
      </x:c>
      <x:c r="D69" s="80" t="str">
        <x:v>산악</x:v>
      </x:c>
      <x:c r="E69" s="81" t="str">
        <x:v>산악1</x:v>
      </x:c>
      <x:c r="F69" s="81" t="str">
        <x:v>평원1</x:v>
      </x:c>
      <x:c r="G69" s="81" t="str">
        <x:v>산악1</x:v>
      </x:c>
      <x:c r="H69" s="81" t="str">
        <x:v>평원1</x:v>
      </x:c>
      <x:c r="I69" s="81" t="str">
        <x:v>산악1</x:v>
      </x:c>
      <x:c r="J69" s="81" t="str">
        <x:v>평원1</x:v>
      </x:c>
      <x:c r="K69" s="81" t="str">
        <x:v>산악1</x:v>
      </x:c>
      <x:c r="L69" s="81" t="str">
        <x:v>평원1</x:v>
      </x:c>
      <x:c r="M69" s="81" t="str">
        <x:v>—</x:v>
      </x:c>
      <x:c r="N69" s="81" t="str">
        <x:v>—</x:v>
      </x:c>
      <x:c r="O69" s="81" t="str">
        <x:v>산악1</x:v>
      </x:c>
      <x:c r="P69" s="81" t="str">
        <x:v>평원1</x:v>
      </x:c>
      <x:c r="Q69" s="81" t="str">
        <x:v>산악1</x:v>
      </x:c>
      <x:c r="R69" s="81" t="str">
        <x:v>평원1</x:v>
      </x:c>
      <x:c r="S69" s="81" t="str">
        <x:v>산악1</x:v>
      </x:c>
      <x:c r="T69" s="81" t="str">
        <x:v>평원1</x:v>
      </x:c>
      <x:c r="U69" s="81" t="str">
        <x:v>—</x:v>
      </x:c>
      <x:c r="V69" s="81" t="str">
        <x:v>—</x:v>
      </x:c>
    </x:row>
    <x:row r="70">
      <x:c r="A70" s="80" t="n">
        <x:v>66</x:v>
      </x:c>
      <x:c r="B70" s="80" t="str">
        <x:v>알통몬</x:v>
      </x:c>
      <x:c r="C70" s="80" t="str">
        <x:v>machop</x:v>
      </x:c>
      <x:c r="D70" s="80" t="str">
        <x:v>산악</x:v>
      </x:c>
      <x:c r="E70" s="81" t="str">
        <x:v>산악1</x:v>
      </x:c>
      <x:c r="F70" s="81" t="str">
        <x:v>평원1</x:v>
      </x:c>
      <x:c r="G70" s="81" t="str">
        <x:v>산악1</x:v>
      </x:c>
      <x:c r="H70" s="81" t="str">
        <x:v>평원1</x:v>
      </x:c>
      <x:c r="I70" s="81" t="str">
        <x:v>산악1</x:v>
      </x:c>
      <x:c r="J70" s="81" t="str">
        <x:v>평원1</x:v>
      </x:c>
      <x:c r="K70" s="81" t="str">
        <x:v>산악1</x:v>
      </x:c>
      <x:c r="L70" s="81" t="str">
        <x:v>평원1</x:v>
      </x:c>
      <x:c r="M70" s="81" t="str">
        <x:v>—</x:v>
      </x:c>
      <x:c r="N70" s="81" t="str">
        <x:v>—</x:v>
      </x:c>
      <x:c r="O70" s="81" t="str">
        <x:v>산악1</x:v>
      </x:c>
      <x:c r="P70" s="81" t="str">
        <x:v>평원1</x:v>
      </x:c>
      <x:c r="Q70" s="81" t="str">
        <x:v>산악1</x:v>
      </x:c>
      <x:c r="R70" s="81" t="str">
        <x:v>평원1</x:v>
      </x:c>
      <x:c r="S70" s="81" t="str">
        <x:v>산악1</x:v>
      </x:c>
      <x:c r="T70" s="81" t="str">
        <x:v>평원1</x:v>
      </x:c>
      <x:c r="U70" s="81" t="str">
        <x:v>—</x:v>
      </x:c>
      <x:c r="V70" s="81" t="str">
        <x:v>—</x:v>
      </x:c>
    </x:row>
    <x:row r="71">
      <x:c r="A71" s="80" t="n">
        <x:v>67</x:v>
      </x:c>
      <x:c r="B71" s="80" t="str">
        <x:v>근육몬</x:v>
      </x:c>
      <x:c r="C71" s="80" t="str">
        <x:v>machoke</x:v>
      </x:c>
      <x:c r="D71" s="80" t="str">
        <x:v>산악</x:v>
      </x:c>
      <x:c r="E71" s="81" t="str">
        <x:v>산악1</x:v>
      </x:c>
      <x:c r="F71" s="81" t="str">
        <x:v>평원1</x:v>
      </x:c>
      <x:c r="G71" s="81" t="str">
        <x:v>산악1</x:v>
      </x:c>
      <x:c r="H71" s="81" t="str">
        <x:v>평원1</x:v>
      </x:c>
      <x:c r="I71" s="81" t="str">
        <x:v>산악1</x:v>
      </x:c>
      <x:c r="J71" s="81" t="str">
        <x:v>평원1</x:v>
      </x:c>
      <x:c r="K71" s="81" t="str">
        <x:v>산악1</x:v>
      </x:c>
      <x:c r="L71" s="81" t="str">
        <x:v>평원1</x:v>
      </x:c>
      <x:c r="M71" s="81" t="str">
        <x:v>—</x:v>
      </x:c>
      <x:c r="N71" s="81" t="str">
        <x:v>—</x:v>
      </x:c>
      <x:c r="O71" s="81" t="str">
        <x:v>산악1</x:v>
      </x:c>
      <x:c r="P71" s="81" t="str">
        <x:v>평원1</x:v>
      </x:c>
      <x:c r="Q71" s="81" t="str">
        <x:v>산악1</x:v>
      </x:c>
      <x:c r="R71" s="81" t="str">
        <x:v>평원1</x:v>
      </x:c>
      <x:c r="S71" s="81" t="str">
        <x:v>산악1</x:v>
      </x:c>
      <x:c r="T71" s="81" t="str">
        <x:v>평원1</x:v>
      </x:c>
      <x:c r="U71" s="81" t="str">
        <x:v>—</x:v>
      </x:c>
      <x:c r="V71" s="81" t="str">
        <x:v>—</x:v>
      </x:c>
    </x:row>
    <x:row r="72">
      <x:c r="A72" s="80" t="n">
        <x:v>68</x:v>
      </x:c>
      <x:c r="B72" s="80" t="str">
        <x:v>괴력몬</x:v>
      </x:c>
      <x:c r="C72" s="80" t="str">
        <x:v>machamp</x:v>
      </x:c>
      <x:c r="D72" s="80" t="str">
        <x:v>산악</x:v>
      </x:c>
      <x:c r="E72" s="81" t="str">
        <x:v>산악1</x:v>
      </x:c>
      <x:c r="F72" s="81" t="str">
        <x:v>평원1</x:v>
      </x:c>
      <x:c r="G72" s="81" t="str">
        <x:v>산악1</x:v>
      </x:c>
      <x:c r="H72" s="81" t="str">
        <x:v>평원1</x:v>
      </x:c>
      <x:c r="I72" s="81" t="str">
        <x:v>산악1</x:v>
      </x:c>
      <x:c r="J72" s="81" t="str">
        <x:v>평원1</x:v>
      </x:c>
      <x:c r="K72" s="81" t="str">
        <x:v>산악1</x:v>
      </x:c>
      <x:c r="L72" s="81" t="str">
        <x:v>평원1</x:v>
      </x:c>
      <x:c r="M72" s="81" t="str">
        <x:v>—</x:v>
      </x:c>
      <x:c r="N72" s="81" t="str">
        <x:v>—</x:v>
      </x:c>
      <x:c r="O72" s="81" t="str">
        <x:v>산악1</x:v>
      </x:c>
      <x:c r="P72" s="81" t="str">
        <x:v>평원1</x:v>
      </x:c>
      <x:c r="Q72" s="81" t="str">
        <x:v>산악1</x:v>
      </x:c>
      <x:c r="R72" s="81" t="str">
        <x:v>평원1</x:v>
      </x:c>
      <x:c r="S72" s="81" t="str">
        <x:v>산악1</x:v>
      </x:c>
      <x:c r="T72" s="81" t="str">
        <x:v>평원1</x:v>
      </x:c>
      <x:c r="U72" s="81" t="str">
        <x:v>—</x:v>
      </x:c>
      <x:c r="V72" s="81" t="str">
        <x:v>—</x:v>
      </x:c>
    </x:row>
    <x:row r="73">
      <x:c r="A73" s="80" t="n">
        <x:v>69</x:v>
      </x:c>
      <x:c r="B73" s="80" t="str">
        <x:v>모다피</x:v>
      </x:c>
      <x:c r="C73" s="80" t="str">
        <x:v>bellsprout</x:v>
      </x:c>
      <x:c r="D73" s="80" t="str">
        <x:v>숲</x:v>
      </x:c>
      <x:c r="E73" s="81" t="str">
        <x:v>숲2</x:v>
      </x:c>
      <x:c r="F73" s="81" t="str">
        <x:v>습지1</x:v>
      </x:c>
      <x:c r="G73" s="81" t="str">
        <x:v>숲2</x:v>
      </x:c>
      <x:c r="H73" s="81" t="str">
        <x:v>습지1</x:v>
      </x:c>
      <x:c r="I73" s="81" t="str">
        <x:v>—</x:v>
      </x:c>
      <x:c r="J73" s="81" t="str">
        <x:v>—</x:v>
      </x:c>
      <x:c r="K73" s="81" t="str">
        <x:v>—</x:v>
      </x:c>
      <x:c r="L73" s="81" t="str">
        <x:v>—</x:v>
      </x:c>
      <x:c r="M73" s="81" t="str">
        <x:v>—</x:v>
      </x:c>
      <x:c r="N73" s="81" t="str">
        <x:v>—</x:v>
      </x:c>
      <x:c r="O73" s="81" t="str">
        <x:v>숲1</x:v>
      </x:c>
      <x:c r="P73" s="81" t="str">
        <x:v>습지1</x:v>
      </x:c>
      <x:c r="Q73" s="81" t="str">
        <x:v>—</x:v>
      </x:c>
      <x:c r="R73" s="81" t="str">
        <x:v>—</x:v>
      </x:c>
      <x:c r="S73" s="81" t="str">
        <x:v>—</x:v>
      </x:c>
      <x:c r="T73" s="81" t="str">
        <x:v>—</x:v>
      </x:c>
      <x:c r="U73" s="81" t="str">
        <x:v>숲1</x:v>
      </x:c>
      <x:c r="V73" s="81" t="str">
        <x:v>습지1</x:v>
      </x:c>
    </x:row>
    <x:row r="74">
      <x:c r="A74" s="80" t="n">
        <x:v>70</x:v>
      </x:c>
      <x:c r="B74" s="80" t="str">
        <x:v>우츠동</x:v>
      </x:c>
      <x:c r="C74" s="80" t="str">
        <x:v>weepinbell</x:v>
      </x:c>
      <x:c r="D74" s="80" t="str">
        <x:v>숲</x:v>
      </x:c>
      <x:c r="E74" s="81" t="str">
        <x:v>숲2</x:v>
      </x:c>
      <x:c r="F74" s="81" t="str">
        <x:v>습지1</x:v>
      </x:c>
      <x:c r="G74" s="81" t="str">
        <x:v>숲2</x:v>
      </x:c>
      <x:c r="H74" s="81" t="str">
        <x:v>습지1</x:v>
      </x:c>
      <x:c r="I74" s="81" t="str">
        <x:v>—</x:v>
      </x:c>
      <x:c r="J74" s="81" t="str">
        <x:v>—</x:v>
      </x:c>
      <x:c r="K74" s="81" t="str">
        <x:v>—</x:v>
      </x:c>
      <x:c r="L74" s="81" t="str">
        <x:v>—</x:v>
      </x:c>
      <x:c r="M74" s="81" t="str">
        <x:v>—</x:v>
      </x:c>
      <x:c r="N74" s="81" t="str">
        <x:v>—</x:v>
      </x:c>
      <x:c r="O74" s="81" t="str">
        <x:v>숲1</x:v>
      </x:c>
      <x:c r="P74" s="81" t="str">
        <x:v>습지1</x:v>
      </x:c>
      <x:c r="Q74" s="81" t="str">
        <x:v>—</x:v>
      </x:c>
      <x:c r="R74" s="81" t="str">
        <x:v>—</x:v>
      </x:c>
      <x:c r="S74" s="81" t="str">
        <x:v>—</x:v>
      </x:c>
      <x:c r="T74" s="81" t="str">
        <x:v>—</x:v>
      </x:c>
      <x:c r="U74" s="81" t="str">
        <x:v>숲1</x:v>
      </x:c>
      <x:c r="V74" s="81" t="str">
        <x:v>습지1</x:v>
      </x:c>
    </x:row>
    <x:row r="75">
      <x:c r="A75" s="80" t="n">
        <x:v>71</x:v>
      </x:c>
      <x:c r="B75" s="80" t="str">
        <x:v>우츠보트</x:v>
      </x:c>
      <x:c r="C75" s="80" t="str">
        <x:v>victreebel</x:v>
      </x:c>
      <x:c r="D75" s="80" t="str">
        <x:v>숲</x:v>
      </x:c>
      <x:c r="E75" s="81" t="str">
        <x:v>숲2</x:v>
      </x:c>
      <x:c r="F75" s="81" t="str">
        <x:v>습지1</x:v>
      </x:c>
      <x:c r="G75" s="81" t="str">
        <x:v>숲2</x:v>
      </x:c>
      <x:c r="H75" s="81" t="str">
        <x:v>습지1</x:v>
      </x:c>
      <x:c r="I75" s="81" t="str">
        <x:v>—</x:v>
      </x:c>
      <x:c r="J75" s="81" t="str">
        <x:v>—</x:v>
      </x:c>
      <x:c r="K75" s="81" t="str">
        <x:v>—</x:v>
      </x:c>
      <x:c r="L75" s="81" t="str">
        <x:v>—</x:v>
      </x:c>
      <x:c r="M75" s="81" t="str">
        <x:v>—</x:v>
      </x:c>
      <x:c r="N75" s="81" t="str">
        <x:v>—</x:v>
      </x:c>
      <x:c r="O75" s="81" t="str">
        <x:v>숲1</x:v>
      </x:c>
      <x:c r="P75" s="81" t="str">
        <x:v>습지1</x:v>
      </x:c>
      <x:c r="Q75" s="81" t="str">
        <x:v>—</x:v>
      </x:c>
      <x:c r="R75" s="81" t="str">
        <x:v>—</x:v>
      </x:c>
      <x:c r="S75" s="81" t="str">
        <x:v>—</x:v>
      </x:c>
      <x:c r="T75" s="81" t="str">
        <x:v>—</x:v>
      </x:c>
      <x:c r="U75" s="81" t="str">
        <x:v>숲1</x:v>
      </x:c>
      <x:c r="V75" s="81" t="str">
        <x:v>습지1</x:v>
      </x:c>
    </x:row>
    <x:row r="76">
      <x:c r="A76" s="80" t="n">
        <x:v>72</x:v>
      </x:c>
      <x:c r="B76" s="80" t="str">
        <x:v>왕눈해</x:v>
      </x:c>
      <x:c r="C76" s="80" t="str">
        <x:v>tentacool</x:v>
      </x:c>
      <x:c r="D76" s="80" t="str">
        <x:v>해양</x:v>
      </x:c>
      <x:c r="E76" s="81" t="str">
        <x:v>해양1</x:v>
      </x:c>
      <x:c r="F76" s="81" t="str">
        <x:v>담수1</x:v>
      </x:c>
      <x:c r="G76" s="81" t="str">
        <x:v>해양1</x:v>
      </x:c>
      <x:c r="H76" s="81" t="str">
        <x:v>담수1</x:v>
      </x:c>
      <x:c r="I76" s="81" t="str">
        <x:v>해양1</x:v>
      </x:c>
      <x:c r="J76" s="81" t="str">
        <x:v>담수1</x:v>
      </x:c>
      <x:c r="K76" s="81" t="str">
        <x:v>해양1</x:v>
      </x:c>
      <x:c r="L76" s="81" t="str">
        <x:v>담수1</x:v>
      </x:c>
      <x:c r="M76" s="81" t="str">
        <x:v>—</x:v>
      </x:c>
      <x:c r="N76" s="81" t="str">
        <x:v>—</x:v>
      </x:c>
      <x:c r="O76" s="81" t="str">
        <x:v>해양1</x:v>
      </x:c>
      <x:c r="P76" s="81" t="str">
        <x:v>담수1</x:v>
      </x:c>
      <x:c r="Q76" s="81" t="str">
        <x:v>해양1</x:v>
      </x:c>
      <x:c r="R76" s="81" t="str">
        <x:v>담수1</x:v>
      </x:c>
      <x:c r="S76" s="81" t="str">
        <x:v>해양1</x:v>
      </x:c>
      <x:c r="T76" s="81" t="str">
        <x:v>담수1</x:v>
      </x:c>
      <x:c r="U76" s="81" t="str">
        <x:v>해양1</x:v>
      </x:c>
      <x:c r="V76" s="81" t="str">
        <x:v>담수1</x:v>
      </x:c>
    </x:row>
    <x:row r="77">
      <x:c r="A77" s="80" t="n">
        <x:v>73</x:v>
      </x:c>
      <x:c r="B77" s="80" t="str">
        <x:v>독파리</x:v>
      </x:c>
      <x:c r="C77" s="80" t="str">
        <x:v>tentacruel</x:v>
      </x:c>
      <x:c r="D77" s="80" t="str">
        <x:v>해양</x:v>
      </x:c>
      <x:c r="E77" s="81" t="str">
        <x:v>해양1</x:v>
      </x:c>
      <x:c r="F77" s="81" t="str">
        <x:v>담수1</x:v>
      </x:c>
      <x:c r="G77" s="81" t="str">
        <x:v>해양1</x:v>
      </x:c>
      <x:c r="H77" s="81" t="str">
        <x:v>담수1</x:v>
      </x:c>
      <x:c r="I77" s="81" t="str">
        <x:v>해양1</x:v>
      </x:c>
      <x:c r="J77" s="81" t="str">
        <x:v>담수1</x:v>
      </x:c>
      <x:c r="K77" s="81" t="str">
        <x:v>해양1</x:v>
      </x:c>
      <x:c r="L77" s="81" t="str">
        <x:v>담수1</x:v>
      </x:c>
      <x:c r="M77" s="81" t="str">
        <x:v>—</x:v>
      </x:c>
      <x:c r="N77" s="81" t="str">
        <x:v>—</x:v>
      </x:c>
      <x:c r="O77" s="81" t="str">
        <x:v>해양1</x:v>
      </x:c>
      <x:c r="P77" s="81" t="str">
        <x:v>담수1</x:v>
      </x:c>
      <x:c r="Q77" s="81" t="str">
        <x:v>해양1</x:v>
      </x:c>
      <x:c r="R77" s="81" t="str">
        <x:v>담수1</x:v>
      </x:c>
      <x:c r="S77" s="81" t="str">
        <x:v>해양1</x:v>
      </x:c>
      <x:c r="T77" s="81" t="str">
        <x:v>담수1</x:v>
      </x:c>
      <x:c r="U77" s="81" t="str">
        <x:v>해양1</x:v>
      </x:c>
      <x:c r="V77" s="81" t="str">
        <x:v>담수1</x:v>
      </x:c>
    </x:row>
    <x:row r="78">
      <x:c r="A78" s="80" t="n">
        <x:v>74</x:v>
      </x:c>
      <x:c r="B78" s="80" t="str">
        <x:v>꼬마돌</x:v>
      </x:c>
      <x:c r="C78" s="80" t="str">
        <x:v>geodude</x:v>
      </x:c>
      <x:c r="D78" s="80" t="str">
        <x:v>산악</x:v>
      </x:c>
      <x:c r="E78" s="81" t="str">
        <x:v>산악1</x:v>
      </x:c>
      <x:c r="F78" s="81" t="str">
        <x:v>평원2</x:v>
      </x:c>
      <x:c r="G78" s="81" t="str">
        <x:v>산악1</x:v>
      </x:c>
      <x:c r="H78" s="81" t="str">
        <x:v>평원1</x:v>
      </x:c>
      <x:c r="I78" s="81" t="str">
        <x:v>산악1</x:v>
      </x:c>
      <x:c r="J78" s="81" t="str">
        <x:v>평원1</x:v>
      </x:c>
      <x:c r="K78" s="81" t="str">
        <x:v>산악1</x:v>
      </x:c>
      <x:c r="L78" s="81" t="str">
        <x:v>평원1</x:v>
      </x:c>
      <x:c r="M78" s="81" t="str">
        <x:v>—</x:v>
      </x:c>
      <x:c r="N78" s="81" t="str">
        <x:v>—</x:v>
      </x:c>
      <x:c r="O78" s="81" t="str">
        <x:v>산악1</x:v>
      </x:c>
      <x:c r="P78" s="81" t="str">
        <x:v>평원1</x:v>
      </x:c>
      <x:c r="Q78" s="81" t="str">
        <x:v>산악1</x:v>
      </x:c>
      <x:c r="R78" s="81" t="str">
        <x:v>평원1</x:v>
      </x:c>
      <x:c r="S78" s="81" t="str">
        <x:v>—</x:v>
      </x:c>
      <x:c r="T78" s="81" t="str">
        <x:v>—</x:v>
      </x:c>
      <x:c r="U78" s="81" t="str">
        <x:v>산악1</x:v>
      </x:c>
      <x:c r="V78" s="81" t="str">
        <x:v>평원1</x:v>
      </x:c>
    </x:row>
    <x:row r="79">
      <x:c r="A79" s="80" t="n">
        <x:v>75</x:v>
      </x:c>
      <x:c r="B79" s="80" t="str">
        <x:v>데구리</x:v>
      </x:c>
      <x:c r="C79" s="80" t="str">
        <x:v>graveler</x:v>
      </x:c>
      <x:c r="D79" s="80" t="str">
        <x:v>산악</x:v>
      </x:c>
      <x:c r="E79" s="81" t="str">
        <x:v>산악1</x:v>
      </x:c>
      <x:c r="F79" s="81" t="str">
        <x:v>평원2</x:v>
      </x:c>
      <x:c r="G79" s="81" t="str">
        <x:v>산악1</x:v>
      </x:c>
      <x:c r="H79" s="81" t="str">
        <x:v>평원1</x:v>
      </x:c>
      <x:c r="I79" s="81" t="str">
        <x:v>산악1</x:v>
      </x:c>
      <x:c r="J79" s="81" t="str">
        <x:v>평원1</x:v>
      </x:c>
      <x:c r="K79" s="81" t="str">
        <x:v>산악1</x:v>
      </x:c>
      <x:c r="L79" s="81" t="str">
        <x:v>평원1</x:v>
      </x:c>
      <x:c r="M79" s="81" t="str">
        <x:v>—</x:v>
      </x:c>
      <x:c r="N79" s="81" t="str">
        <x:v>—</x:v>
      </x:c>
      <x:c r="O79" s="81" t="str">
        <x:v>산악1</x:v>
      </x:c>
      <x:c r="P79" s="81" t="str">
        <x:v>평원1</x:v>
      </x:c>
      <x:c r="Q79" s="81" t="str">
        <x:v>산악1</x:v>
      </x:c>
      <x:c r="R79" s="81" t="str">
        <x:v>평원1</x:v>
      </x:c>
      <x:c r="S79" s="81" t="str">
        <x:v>—</x:v>
      </x:c>
      <x:c r="T79" s="81" t="str">
        <x:v>—</x:v>
      </x:c>
      <x:c r="U79" s="81" t="str">
        <x:v>산악1</x:v>
      </x:c>
      <x:c r="V79" s="81" t="str">
        <x:v>평원1</x:v>
      </x:c>
    </x:row>
    <x:row r="80">
      <x:c r="A80" s="80" t="n">
        <x:v>76</x:v>
      </x:c>
      <x:c r="B80" s="80" t="str">
        <x:v>딱구리</x:v>
      </x:c>
      <x:c r="C80" s="80" t="str">
        <x:v>golem</x:v>
      </x:c>
      <x:c r="D80" s="80" t="str">
        <x:v>산악</x:v>
      </x:c>
      <x:c r="E80" s="81" t="str">
        <x:v>산악1</x:v>
      </x:c>
      <x:c r="F80" s="81" t="str">
        <x:v>평원2</x:v>
      </x:c>
      <x:c r="G80" s="81" t="str">
        <x:v>산악1</x:v>
      </x:c>
      <x:c r="H80" s="81" t="str">
        <x:v>평원1</x:v>
      </x:c>
      <x:c r="I80" s="81" t="str">
        <x:v>산악1</x:v>
      </x:c>
      <x:c r="J80" s="81" t="str">
        <x:v>평원1</x:v>
      </x:c>
      <x:c r="K80" s="81" t="str">
        <x:v>산악1</x:v>
      </x:c>
      <x:c r="L80" s="81" t="str">
        <x:v>평원1</x:v>
      </x:c>
      <x:c r="M80" s="81" t="str">
        <x:v>—</x:v>
      </x:c>
      <x:c r="N80" s="81" t="str">
        <x:v>—</x:v>
      </x:c>
      <x:c r="O80" s="81" t="str">
        <x:v>산악1</x:v>
      </x:c>
      <x:c r="P80" s="81" t="str">
        <x:v>평원1</x:v>
      </x:c>
      <x:c r="Q80" s="81" t="str">
        <x:v>산악1</x:v>
      </x:c>
      <x:c r="R80" s="81" t="str">
        <x:v>평원1</x:v>
      </x:c>
      <x:c r="S80" s="81" t="str">
        <x:v>—</x:v>
      </x:c>
      <x:c r="T80" s="81" t="str">
        <x:v>—</x:v>
      </x:c>
      <x:c r="U80" s="81" t="str">
        <x:v>산악1</x:v>
      </x:c>
      <x:c r="V80" s="81" t="str">
        <x:v>평원1</x:v>
      </x:c>
    </x:row>
    <x:row r="81">
      <x:c r="A81" s="80" t="n">
        <x:v>77</x:v>
      </x:c>
      <x:c r="B81" s="80" t="str">
        <x:v>포니타</x:v>
      </x:c>
      <x:c r="C81" s="80" t="str">
        <x:v>ponyta</x:v>
      </x:c>
      <x:c r="D81" s="80" t="str">
        <x:v>화산</x:v>
      </x:c>
      <x:c r="E81" s="81" t="str">
        <x:v>화산1</x:v>
      </x:c>
      <x:c r="F81" s="81" t="str">
        <x:v>건조지1</x:v>
      </x:c>
      <x:c r="G81" s="81" t="str">
        <x:v>화산1</x:v>
      </x:c>
      <x:c r="H81" s="81" t="str">
        <x:v>건조지1</x:v>
      </x:c>
      <x:c r="I81" s="81" t="str">
        <x:v>—</x:v>
      </x:c>
      <x:c r="J81" s="81" t="str">
        <x:v>—</x:v>
      </x:c>
      <x:c r="K81" s="81" t="str">
        <x:v>화산1</x:v>
      </x:c>
      <x:c r="L81" s="81" t="str">
        <x:v>건조지1</x:v>
      </x:c>
      <x:c r="M81" s="81" t="str">
        <x:v>—</x:v>
      </x:c>
      <x:c r="N81" s="81" t="str">
        <x:v>—</x:v>
      </x:c>
      <x:c r="O81" s="81" t="str">
        <x:v>—</x:v>
      </x:c>
      <x:c r="P81" s="81" t="str">
        <x:v>—</x:v>
      </x:c>
      <x:c r="Q81" s="81" t="str">
        <x:v>—</x:v>
      </x:c>
      <x:c r="R81" s="81" t="str">
        <x:v>—</x:v>
      </x:c>
      <x:c r="S81" s="81" t="str">
        <x:v>화산1</x:v>
      </x:c>
      <x:c r="T81" s="81" t="str">
        <x:v>건조지1</x:v>
      </x:c>
      <x:c r="U81" s="81" t="str">
        <x:v>—</x:v>
      </x:c>
      <x:c r="V81" s="81" t="str">
        <x:v>—</x:v>
      </x:c>
    </x:row>
    <x:row r="82">
      <x:c r="A82" s="80" t="n">
        <x:v>78</x:v>
      </x:c>
      <x:c r="B82" s="80" t="str">
        <x:v>날쌩마</x:v>
      </x:c>
      <x:c r="C82" s="80" t="str">
        <x:v>rapidash</x:v>
      </x:c>
      <x:c r="D82" s="80" t="str">
        <x:v>화산</x:v>
      </x:c>
      <x:c r="E82" s="81" t="str">
        <x:v>화산1</x:v>
      </x:c>
      <x:c r="F82" s="81" t="str">
        <x:v>건조지1</x:v>
      </x:c>
      <x:c r="G82" s="81" t="str">
        <x:v>화산1</x:v>
      </x:c>
      <x:c r="H82" s="81" t="str">
        <x:v>건조지1</x:v>
      </x:c>
      <x:c r="I82" s="81" t="str">
        <x:v>—</x:v>
      </x:c>
      <x:c r="J82" s="81" t="str">
        <x:v>—</x:v>
      </x:c>
      <x:c r="K82" s="81" t="str">
        <x:v>화산1</x:v>
      </x:c>
      <x:c r="L82" s="81" t="str">
        <x:v>건조지1</x:v>
      </x:c>
      <x:c r="M82" s="81" t="str">
        <x:v>—</x:v>
      </x:c>
      <x:c r="N82" s="81" t="str">
        <x:v>—</x:v>
      </x:c>
      <x:c r="O82" s="81" t="str">
        <x:v>—</x:v>
      </x:c>
      <x:c r="P82" s="81" t="str">
        <x:v>—</x:v>
      </x:c>
      <x:c r="Q82" s="81" t="str">
        <x:v>—</x:v>
      </x:c>
      <x:c r="R82" s="81" t="str">
        <x:v>—</x:v>
      </x:c>
      <x:c r="S82" s="81" t="str">
        <x:v>화산1</x:v>
      </x:c>
      <x:c r="T82" s="81" t="str">
        <x:v>건조지1</x:v>
      </x:c>
      <x:c r="U82" s="81" t="str">
        <x:v>—</x:v>
      </x:c>
      <x:c r="V82" s="81" t="str">
        <x:v>—</x:v>
      </x:c>
    </x:row>
    <x:row r="83">
      <x:c r="A83" s="80" t="n">
        <x:v>79</x:v>
      </x:c>
      <x:c r="B83" s="80" t="str">
        <x:v>야돈</x:v>
      </x:c>
      <x:c r="C83" s="80" t="str">
        <x:v>slowpoke</x:v>
      </x:c>
      <x:c r="D83" s="80" t="str">
        <x:v>해양</x:v>
      </x:c>
      <x:c r="E83" s="81" t="str">
        <x:v>해양1</x:v>
      </x:c>
      <x:c r="F83" s="81" t="str">
        <x:v>담수1</x:v>
      </x:c>
      <x:c r="G83" s="81" t="str">
        <x:v>해양1</x:v>
      </x:c>
      <x:c r="H83" s="81" t="str">
        <x:v>담수1</x:v>
      </x:c>
      <x:c r="I83" s="81" t="str">
        <x:v>—</x:v>
      </x:c>
      <x:c r="J83" s="81" t="str">
        <x:v>—</x:v>
      </x:c>
      <x:c r="K83" s="81" t="str">
        <x:v>—</x:v>
      </x:c>
      <x:c r="L83" s="81" t="str">
        <x:v>—</x:v>
      </x:c>
      <x:c r="M83" s="81" t="str">
        <x:v>—</x:v>
      </x:c>
      <x:c r="N83" s="81" t="str">
        <x:v>—</x:v>
      </x:c>
      <x:c r="O83" s="81" t="str">
        <x:v>해양1</x:v>
      </x:c>
      <x:c r="P83" s="81" t="str">
        <x:v>담수1</x:v>
      </x:c>
      <x:c r="Q83" s="81" t="str">
        <x:v>해양1</x:v>
      </x:c>
      <x:c r="R83" s="81" t="str">
        <x:v>담수1</x:v>
      </x:c>
      <x:c r="S83" s="81" t="str">
        <x:v>해양1</x:v>
      </x:c>
      <x:c r="T83" s="81" t="str">
        <x:v>담수1</x:v>
      </x:c>
      <x:c r="U83" s="81" t="str">
        <x:v>해양1</x:v>
      </x:c>
      <x:c r="V83" s="81" t="str">
        <x:v>담수1</x:v>
      </x:c>
    </x:row>
    <x:row r="84">
      <x:c r="A84" s="80" t="n">
        <x:v>80</x:v>
      </x:c>
      <x:c r="B84" s="80" t="str">
        <x:v>야도란</x:v>
      </x:c>
      <x:c r="C84" s="80" t="str">
        <x:v>slowbro</x:v>
      </x:c>
      <x:c r="D84" s="80" t="str">
        <x:v>해양</x:v>
      </x:c>
      <x:c r="E84" s="81" t="str">
        <x:v>해양1</x:v>
      </x:c>
      <x:c r="F84" s="81" t="str">
        <x:v>담수1</x:v>
      </x:c>
      <x:c r="G84" s="81" t="str">
        <x:v>해양1</x:v>
      </x:c>
      <x:c r="H84" s="81" t="str">
        <x:v>담수1</x:v>
      </x:c>
      <x:c r="I84" s="81" t="str">
        <x:v>—</x:v>
      </x:c>
      <x:c r="J84" s="81" t="str">
        <x:v>—</x:v>
      </x:c>
      <x:c r="K84" s="81" t="str">
        <x:v>—</x:v>
      </x:c>
      <x:c r="L84" s="81" t="str">
        <x:v>—</x:v>
      </x:c>
      <x:c r="M84" s="81" t="str">
        <x:v>—</x:v>
      </x:c>
      <x:c r="N84" s="81" t="str">
        <x:v>—</x:v>
      </x:c>
      <x:c r="O84" s="81" t="str">
        <x:v>해양1</x:v>
      </x:c>
      <x:c r="P84" s="81" t="str">
        <x:v>담수1</x:v>
      </x:c>
      <x:c r="Q84" s="81" t="str">
        <x:v>해양1</x:v>
      </x:c>
      <x:c r="R84" s="81" t="str">
        <x:v>담수1</x:v>
      </x:c>
      <x:c r="S84" s="81" t="str">
        <x:v>해양1</x:v>
      </x:c>
      <x:c r="T84" s="81" t="str">
        <x:v>담수1</x:v>
      </x:c>
      <x:c r="U84" s="81" t="str">
        <x:v>해양1</x:v>
      </x:c>
      <x:c r="V84" s="81" t="str">
        <x:v>담수1</x:v>
      </x:c>
    </x:row>
    <x:row r="85">
      <x:c r="A85" s="80" t="n">
        <x:v>81</x:v>
      </x:c>
      <x:c r="B85" s="80" t="str">
        <x:v>코일</x:v>
      </x:c>
      <x:c r="C85" s="80" t="str">
        <x:v>magnemite</x:v>
      </x:c>
      <x:c r="D85" s="80" t="str">
        <x:v>도시</x:v>
      </x:c>
      <x:c r="E85" s="81" t="str">
        <x:v>도시1</x:v>
      </x:c>
      <x:c r="F85" s="81" t="str">
        <x:v>평원2</x:v>
      </x:c>
      <x:c r="G85" s="81" t="str">
        <x:v>도시1</x:v>
      </x:c>
      <x:c r="H85" s="81" t="str">
        <x:v>평원1</x:v>
      </x:c>
      <x:c r="I85" s="81" t="str">
        <x:v>도시1</x:v>
      </x:c>
      <x:c r="J85" s="81" t="str">
        <x:v>평원1</x:v>
      </x:c>
      <x:c r="K85" s="81" t="str">
        <x:v>도시1</x:v>
      </x:c>
      <x:c r="L85" s="81" t="str">
        <x:v>평원1</x:v>
      </x:c>
      <x:c r="M85" s="81" t="str">
        <x:v>도시1</x:v>
      </x:c>
      <x:c r="N85" s="81" t="str">
        <x:v>평원1</x:v>
      </x:c>
      <x:c r="O85" s="81" t="str">
        <x:v>도시1</x:v>
      </x:c>
      <x:c r="P85" s="81" t="str">
        <x:v>평원1</x:v>
      </x:c>
      <x:c r="Q85" s="81" t="str">
        <x:v>도시1</x:v>
      </x:c>
      <x:c r="R85" s="81" t="str">
        <x:v>평원1</x:v>
      </x:c>
      <x:c r="S85" s="81" t="str">
        <x:v>도시1</x:v>
      </x:c>
      <x:c r="T85" s="81" t="str">
        <x:v>평원1</x:v>
      </x:c>
      <x:c r="U85" s="81" t="str">
        <x:v>도시1</x:v>
      </x:c>
      <x:c r="V85" s="81" t="str">
        <x:v>평원1</x:v>
      </x:c>
    </x:row>
    <x:row r="86">
      <x:c r="A86" s="80" t="n">
        <x:v>82</x:v>
      </x:c>
      <x:c r="B86" s="80" t="str">
        <x:v>레어코일</x:v>
      </x:c>
      <x:c r="C86" s="80" t="str">
        <x:v>magneton</x:v>
      </x:c>
      <x:c r="D86" s="80" t="str">
        <x:v>도시</x:v>
      </x:c>
      <x:c r="E86" s="81" t="str">
        <x:v>도시1</x:v>
      </x:c>
      <x:c r="F86" s="81" t="str">
        <x:v>평원2</x:v>
      </x:c>
      <x:c r="G86" s="81" t="str">
        <x:v>도시1</x:v>
      </x:c>
      <x:c r="H86" s="81" t="str">
        <x:v>평원1</x:v>
      </x:c>
      <x:c r="I86" s="81" t="str">
        <x:v>도시1</x:v>
      </x:c>
      <x:c r="J86" s="81" t="str">
        <x:v>평원1</x:v>
      </x:c>
      <x:c r="K86" s="81" t="str">
        <x:v>도시1</x:v>
      </x:c>
      <x:c r="L86" s="81" t="str">
        <x:v>평원1</x:v>
      </x:c>
      <x:c r="M86" s="81" t="str">
        <x:v>도시1</x:v>
      </x:c>
      <x:c r="N86" s="81" t="str">
        <x:v>평원1</x:v>
      </x:c>
      <x:c r="O86" s="81" t="str">
        <x:v>도시1</x:v>
      </x:c>
      <x:c r="P86" s="81" t="str">
        <x:v>평원1</x:v>
      </x:c>
      <x:c r="Q86" s="81" t="str">
        <x:v>도시1</x:v>
      </x:c>
      <x:c r="R86" s="81" t="str">
        <x:v>평원1</x:v>
      </x:c>
      <x:c r="S86" s="81" t="str">
        <x:v>도시1</x:v>
      </x:c>
      <x:c r="T86" s="81" t="str">
        <x:v>평원1</x:v>
      </x:c>
      <x:c r="U86" s="81" t="str">
        <x:v>도시1</x:v>
      </x:c>
      <x:c r="V86" s="81" t="str">
        <x:v>평원1</x:v>
      </x:c>
    </x:row>
    <x:row r="87">
      <x:c r="A87" s="80" t="n">
        <x:v>83</x:v>
      </x:c>
      <x:c r="B87" s="80" t="str">
        <x:v>파오리</x:v>
      </x:c>
      <x:c r="C87" s="80" t="str">
        <x:v>farfetchd</x:v>
      </x:c>
      <x:c r="D87" s="80" t="str">
        <x:v>숲</x:v>
      </x:c>
      <x:c r="E87" s="81" t="str">
        <x:v>숲2</x:v>
      </x:c>
      <x:c r="F87" s="81" t="str">
        <x:v>평원2</x:v>
      </x:c>
      <x:c r="G87" s="81" t="str">
        <x:v>숲2</x:v>
      </x:c>
      <x:c r="H87" s="81" t="str">
        <x:v>평원1</x:v>
      </x:c>
      <x:c r="I87" s="81" t="str">
        <x:v>—</x:v>
      </x:c>
      <x:c r="J87" s="81" t="str">
        <x:v>—</x:v>
      </x:c>
      <x:c r="K87" s="81" t="str">
        <x:v>—</x:v>
      </x:c>
      <x:c r="L87" s="81" t="str">
        <x:v>—</x:v>
      </x:c>
      <x:c r="M87" s="81" t="str">
        <x:v>—</x:v>
      </x:c>
      <x:c r="N87" s="81" t="str">
        <x:v>—</x:v>
      </x:c>
      <x:c r="O87" s="81" t="str">
        <x:v>숲1</x:v>
      </x:c>
      <x:c r="P87" s="81" t="str">
        <x:v>평원1</x:v>
      </x:c>
      <x:c r="Q87" s="81" t="str">
        <x:v>—</x:v>
      </x:c>
      <x:c r="R87" s="81" t="str">
        <x:v>—</x:v>
      </x:c>
      <x:c r="S87" s="81" t="str">
        <x:v>숲1</x:v>
      </x:c>
      <x:c r="T87" s="81" t="str">
        <x:v>평원1</x:v>
      </x:c>
      <x:c r="U87" s="81" t="str">
        <x:v>—</x:v>
      </x:c>
      <x:c r="V87" s="81" t="str">
        <x:v>—</x:v>
      </x:c>
    </x:row>
    <x:row r="88">
      <x:c r="A88" s="80" t="n">
        <x:v>84</x:v>
      </x:c>
      <x:c r="B88" s="80" t="str">
        <x:v>두두</x:v>
      </x:c>
      <x:c r="C88" s="80" t="str">
        <x:v>doduo</x:v>
      </x:c>
      <x:c r="D88" s="80" t="str">
        <x:v>평원</x:v>
      </x:c>
      <x:c r="E88" s="81" t="str">
        <x:v>평원2</x:v>
      </x:c>
      <x:c r="F88" s="81" t="str">
        <x:v>산악1</x:v>
      </x:c>
      <x:c r="G88" s="81" t="str">
        <x:v>평원2</x:v>
      </x:c>
      <x:c r="H88" s="81" t="str">
        <x:v>산악1</x:v>
      </x:c>
      <x:c r="I88" s="81" t="str">
        <x:v>평원1</x:v>
      </x:c>
      <x:c r="J88" s="81" t="str">
        <x:v>산악1</x:v>
      </x:c>
      <x:c r="K88" s="81" t="str">
        <x:v>—</x:v>
      </x:c>
      <x:c r="L88" s="81" t="str">
        <x:v>—</x:v>
      </x:c>
      <x:c r="M88" s="81" t="str">
        <x:v>—</x:v>
      </x:c>
      <x:c r="N88" s="81" t="str">
        <x:v>—</x:v>
      </x:c>
      <x:c r="O88" s="81" t="str">
        <x:v>평원1</x:v>
      </x:c>
      <x:c r="P88" s="81" t="str">
        <x:v>산악1</x:v>
      </x:c>
      <x:c r="Q88" s="81" t="str">
        <x:v>—</x:v>
      </x:c>
      <x:c r="R88" s="81" t="str">
        <x:v>—</x:v>
      </x:c>
      <x:c r="S88" s="81" t="str">
        <x:v>—</x:v>
      </x:c>
      <x:c r="T88" s="81" t="str">
        <x:v>—</x:v>
      </x:c>
      <x:c r="U88" s="81" t="str">
        <x:v>평원1</x:v>
      </x:c>
      <x:c r="V88" s="81" t="str">
        <x:v>산악1</x:v>
      </x:c>
    </x:row>
    <x:row r="89">
      <x:c r="A89" s="80" t="n">
        <x:v>85</x:v>
      </x:c>
      <x:c r="B89" s="80" t="str">
        <x:v>두트리오</x:v>
      </x:c>
      <x:c r="C89" s="80" t="str">
        <x:v>dodrio</x:v>
      </x:c>
      <x:c r="D89" s="80" t="str">
        <x:v>평원</x:v>
      </x:c>
      <x:c r="E89" s="81" t="str">
        <x:v>평원2</x:v>
      </x:c>
      <x:c r="F89" s="81" t="str">
        <x:v>산악1</x:v>
      </x:c>
      <x:c r="G89" s="81" t="str">
        <x:v>평원2</x:v>
      </x:c>
      <x:c r="H89" s="81" t="str">
        <x:v>산악1</x:v>
      </x:c>
      <x:c r="I89" s="81" t="str">
        <x:v>평원1</x:v>
      </x:c>
      <x:c r="J89" s="81" t="str">
        <x:v>산악1</x:v>
      </x:c>
      <x:c r="K89" s="81" t="str">
        <x:v>—</x:v>
      </x:c>
      <x:c r="L89" s="81" t="str">
        <x:v>—</x:v>
      </x:c>
      <x:c r="M89" s="81" t="str">
        <x:v>—</x:v>
      </x:c>
      <x:c r="N89" s="81" t="str">
        <x:v>—</x:v>
      </x:c>
      <x:c r="O89" s="81" t="str">
        <x:v>평원1</x:v>
      </x:c>
      <x:c r="P89" s="81" t="str">
        <x:v>산악1</x:v>
      </x:c>
      <x:c r="Q89" s="81" t="str">
        <x:v>—</x:v>
      </x:c>
      <x:c r="R89" s="81" t="str">
        <x:v>—</x:v>
      </x:c>
      <x:c r="S89" s="81" t="str">
        <x:v>—</x:v>
      </x:c>
      <x:c r="T89" s="81" t="str">
        <x:v>—</x:v>
      </x:c>
      <x:c r="U89" s="81" t="str">
        <x:v>평원1</x:v>
      </x:c>
      <x:c r="V89" s="81" t="str">
        <x:v>산악1</x:v>
      </x:c>
    </x:row>
    <x:row r="90">
      <x:c r="A90" s="80" t="n">
        <x:v>86</x:v>
      </x:c>
      <x:c r="B90" s="80" t="str">
        <x:v>쥬쥬</x:v>
      </x:c>
      <x:c r="C90" s="80" t="str">
        <x:v>seel</x:v>
      </x:c>
      <x:c r="D90" s="80" t="str">
        <x:v>해양</x:v>
      </x:c>
      <x:c r="E90" s="81" t="str">
        <x:v>해양1</x:v>
      </x:c>
      <x:c r="F90" s="81" t="str">
        <x:v>담수1</x:v>
      </x:c>
      <x:c r="G90" s="81" t="str">
        <x:v>해양1</x:v>
      </x:c>
      <x:c r="H90" s="81" t="str">
        <x:v>담수1</x:v>
      </x:c>
      <x:c r="I90" s="81" t="str">
        <x:v>—</x:v>
      </x:c>
      <x:c r="J90" s="81" t="str">
        <x:v>—</x:v>
      </x:c>
      <x:c r="K90" s="81" t="str">
        <x:v>—</x:v>
      </x:c>
      <x:c r="L90" s="81" t="str">
        <x:v>—</x:v>
      </x:c>
      <x:c r="M90" s="81" t="str">
        <x:v>해양1</x:v>
      </x:c>
      <x:c r="N90" s="81" t="str">
        <x:v>담수1</x:v>
      </x:c>
      <x:c r="O90" s="81" t="str">
        <x:v>—</x:v>
      </x:c>
      <x:c r="P90" s="81" t="str">
        <x:v>—</x:v>
      </x:c>
      <x:c r="Q90" s="81" t="str">
        <x:v>해양1</x:v>
      </x:c>
      <x:c r="R90" s="81" t="str">
        <x:v>담수1</x:v>
      </x:c>
      <x:c r="S90" s="81" t="str">
        <x:v>—</x:v>
      </x:c>
      <x:c r="T90" s="81" t="str">
        <x:v>—</x:v>
      </x:c>
      <x:c r="U90" s="81" t="str">
        <x:v>해양1</x:v>
      </x:c>
      <x:c r="V90" s="81" t="str">
        <x:v>담수1</x:v>
      </x:c>
    </x:row>
    <x:row r="91">
      <x:c r="A91" s="80" t="n">
        <x:v>87</x:v>
      </x:c>
      <x:c r="B91" s="80" t="str">
        <x:v>쥬레곤</x:v>
      </x:c>
      <x:c r="C91" s="80" t="str">
        <x:v>dewgong</x:v>
      </x:c>
      <x:c r="D91" s="80" t="str">
        <x:v>해양</x:v>
      </x:c>
      <x:c r="E91" s="81" t="str">
        <x:v>해양1</x:v>
      </x:c>
      <x:c r="F91" s="81" t="str">
        <x:v>담수1</x:v>
      </x:c>
      <x:c r="G91" s="81" t="str">
        <x:v>해양1</x:v>
      </x:c>
      <x:c r="H91" s="81" t="str">
        <x:v>담수1</x:v>
      </x:c>
      <x:c r="I91" s="81" t="str">
        <x:v>—</x:v>
      </x:c>
      <x:c r="J91" s="81" t="str">
        <x:v>—</x:v>
      </x:c>
      <x:c r="K91" s="81" t="str">
        <x:v>—</x:v>
      </x:c>
      <x:c r="L91" s="81" t="str">
        <x:v>—</x:v>
      </x:c>
      <x:c r="M91" s="81" t="str">
        <x:v>해양1</x:v>
      </x:c>
      <x:c r="N91" s="81" t="str">
        <x:v>담수1</x:v>
      </x:c>
      <x:c r="O91" s="81" t="str">
        <x:v>—</x:v>
      </x:c>
      <x:c r="P91" s="81" t="str">
        <x:v>—</x:v>
      </x:c>
      <x:c r="Q91" s="81" t="str">
        <x:v>해양1</x:v>
      </x:c>
      <x:c r="R91" s="81" t="str">
        <x:v>담수1</x:v>
      </x:c>
      <x:c r="S91" s="81" t="str">
        <x:v>—</x:v>
      </x:c>
      <x:c r="T91" s="81" t="str">
        <x:v>—</x:v>
      </x:c>
      <x:c r="U91" s="81" t="str">
        <x:v>해양1</x:v>
      </x:c>
      <x:c r="V91" s="81" t="str">
        <x:v>담수1</x:v>
      </x:c>
    </x:row>
    <x:row r="92">
      <x:c r="A92" s="80" t="n">
        <x:v>88</x:v>
      </x:c>
      <x:c r="B92" s="80" t="str">
        <x:v>질퍽이</x:v>
      </x:c>
      <x:c r="C92" s="80" t="str">
        <x:v>grimer</x:v>
      </x:c>
      <x:c r="D92" s="80" t="str">
        <x:v>해양</x:v>
      </x:c>
      <x:c r="E92" s="81" t="str">
        <x:v>해양1</x:v>
      </x:c>
      <x:c r="F92" s="81" t="str">
        <x:v>습지1</x:v>
      </x:c>
      <x:c r="G92" s="81" t="str">
        <x:v>해양1</x:v>
      </x:c>
      <x:c r="H92" s="81" t="str">
        <x:v>습지2</x:v>
      </x:c>
      <x:c r="I92" s="81" t="str">
        <x:v>해양1</x:v>
      </x:c>
      <x:c r="J92" s="81" t="str">
        <x:v>습지1</x:v>
      </x:c>
      <x:c r="K92" s="81" t="str">
        <x:v>—</x:v>
      </x:c>
      <x:c r="L92" s="81" t="str">
        <x:v>—</x:v>
      </x:c>
      <x:c r="M92" s="81" t="str">
        <x:v>해양1</x:v>
      </x:c>
      <x:c r="N92" s="81" t="str">
        <x:v>습지1</x:v>
      </x:c>
      <x:c r="O92" s="81" t="str">
        <x:v>—</x:v>
      </x:c>
      <x:c r="P92" s="81" t="str">
        <x:v>—</x:v>
      </x:c>
      <x:c r="Q92" s="81" t="str">
        <x:v>해양1</x:v>
      </x:c>
      <x:c r="R92" s="81" t="str">
        <x:v>습지1</x:v>
      </x:c>
      <x:c r="S92" s="81" t="str">
        <x:v>—</x:v>
      </x:c>
      <x:c r="T92" s="81" t="str">
        <x:v>—</x:v>
      </x:c>
      <x:c r="U92" s="81" t="str">
        <x:v>해양1</x:v>
      </x:c>
      <x:c r="V92" s="81" t="str">
        <x:v>습지1</x:v>
      </x:c>
    </x:row>
    <x:row r="93">
      <x:c r="A93" s="80" t="n">
        <x:v>89</x:v>
      </x:c>
      <x:c r="B93" s="80" t="str">
        <x:v>질뻐기</x:v>
      </x:c>
      <x:c r="C93" s="80" t="str">
        <x:v>muk</x:v>
      </x:c>
      <x:c r="D93" s="80" t="str">
        <x:v>해양</x:v>
      </x:c>
      <x:c r="E93" s="81" t="str">
        <x:v>해양1</x:v>
      </x:c>
      <x:c r="F93" s="81" t="str">
        <x:v>습지1</x:v>
      </x:c>
      <x:c r="G93" s="81" t="str">
        <x:v>해양1</x:v>
      </x:c>
      <x:c r="H93" s="81" t="str">
        <x:v>습지2</x:v>
      </x:c>
      <x:c r="I93" s="81" t="str">
        <x:v>해양1</x:v>
      </x:c>
      <x:c r="J93" s="81" t="str">
        <x:v>습지1</x:v>
      </x:c>
      <x:c r="K93" s="81" t="str">
        <x:v>—</x:v>
      </x:c>
      <x:c r="L93" s="81" t="str">
        <x:v>—</x:v>
      </x:c>
      <x:c r="M93" s="81" t="str">
        <x:v>해양1</x:v>
      </x:c>
      <x:c r="N93" s="81" t="str">
        <x:v>습지1</x:v>
      </x:c>
      <x:c r="O93" s="81" t="str">
        <x:v>—</x:v>
      </x:c>
      <x:c r="P93" s="81" t="str">
        <x:v>—</x:v>
      </x:c>
      <x:c r="Q93" s="81" t="str">
        <x:v>해양1</x:v>
      </x:c>
      <x:c r="R93" s="81" t="str">
        <x:v>습지1</x:v>
      </x:c>
      <x:c r="S93" s="81" t="str">
        <x:v>—</x:v>
      </x:c>
      <x:c r="T93" s="81" t="str">
        <x:v>—</x:v>
      </x:c>
      <x:c r="U93" s="81" t="str">
        <x:v>해양1</x:v>
      </x:c>
      <x:c r="V93" s="81" t="str">
        <x:v>습지1</x:v>
      </x:c>
    </x:row>
    <x:row r="94">
      <x:c r="A94" s="80" t="n">
        <x:v>90</x:v>
      </x:c>
      <x:c r="B94" s="80" t="str">
        <x:v>셀러</x:v>
      </x:c>
      <x:c r="C94" s="80" t="str">
        <x:v>shellder</x:v>
      </x:c>
      <x:c r="D94" s="80" t="str">
        <x:v>해양</x:v>
      </x:c>
      <x:c r="E94" s="81" t="str">
        <x:v>해양1</x:v>
      </x:c>
      <x:c r="F94" s="81" t="str">
        <x:v>담수1</x:v>
      </x:c>
      <x:c r="G94" s="81" t="str">
        <x:v>해양1</x:v>
      </x:c>
      <x:c r="H94" s="81" t="str">
        <x:v>담수1</x:v>
      </x:c>
      <x:c r="I94" s="81" t="str">
        <x:v>—</x:v>
      </x:c>
      <x:c r="J94" s="81" t="str">
        <x:v>—</x:v>
      </x:c>
      <x:c r="K94" s="81" t="str">
        <x:v>—</x:v>
      </x:c>
      <x:c r="L94" s="81" t="str">
        <x:v>—</x:v>
      </x:c>
      <x:c r="M94" s="81" t="str">
        <x:v>—</x:v>
      </x:c>
      <x:c r="N94" s="81" t="str">
        <x:v>—</x:v>
      </x:c>
      <x:c r="O94" s="81" t="str">
        <x:v>해양1</x:v>
      </x:c>
      <x:c r="P94" s="81" t="str">
        <x:v>담수1</x:v>
      </x:c>
      <x:c r="Q94" s="81" t="str">
        <x:v>해양1</x:v>
      </x:c>
      <x:c r="R94" s="81" t="str">
        <x:v>담수1</x:v>
      </x:c>
      <x:c r="S94" s="81" t="str">
        <x:v>해양1</x:v>
      </x:c>
      <x:c r="T94" s="81" t="str">
        <x:v>담수1</x:v>
      </x:c>
      <x:c r="U94" s="81" t="str">
        <x:v>해양1</x:v>
      </x:c>
      <x:c r="V94" s="81" t="str">
        <x:v>담수1</x:v>
      </x:c>
    </x:row>
    <x:row r="95">
      <x:c r="A95" s="80" t="n">
        <x:v>91</x:v>
      </x:c>
      <x:c r="B95" s="80" t="str">
        <x:v>파르셀</x:v>
      </x:c>
      <x:c r="C95" s="80" t="str">
        <x:v>cloyster</x:v>
      </x:c>
      <x:c r="D95" s="80" t="str">
        <x:v>해양</x:v>
      </x:c>
      <x:c r="E95" s="81" t="str">
        <x:v>해양1</x:v>
      </x:c>
      <x:c r="F95" s="81" t="str">
        <x:v>담수1</x:v>
      </x:c>
      <x:c r="G95" s="81" t="str">
        <x:v>해양1</x:v>
      </x:c>
      <x:c r="H95" s="81" t="str">
        <x:v>담수1</x:v>
      </x:c>
      <x:c r="I95" s="81" t="str">
        <x:v>—</x:v>
      </x:c>
      <x:c r="J95" s="81" t="str">
        <x:v>—</x:v>
      </x:c>
      <x:c r="K95" s="81" t="str">
        <x:v>—</x:v>
      </x:c>
      <x:c r="L95" s="81" t="str">
        <x:v>—</x:v>
      </x:c>
      <x:c r="M95" s="81" t="str">
        <x:v>—</x:v>
      </x:c>
      <x:c r="N95" s="81" t="str">
        <x:v>—</x:v>
      </x:c>
      <x:c r="O95" s="81" t="str">
        <x:v>해양1</x:v>
      </x:c>
      <x:c r="P95" s="81" t="str">
        <x:v>담수1</x:v>
      </x:c>
      <x:c r="Q95" s="81" t="str">
        <x:v>해양1</x:v>
      </x:c>
      <x:c r="R95" s="81" t="str">
        <x:v>담수1</x:v>
      </x:c>
      <x:c r="S95" s="81" t="str">
        <x:v>해양1</x:v>
      </x:c>
      <x:c r="T95" s="81" t="str">
        <x:v>담수1</x:v>
      </x:c>
      <x:c r="U95" s="81" t="str">
        <x:v>해양1</x:v>
      </x:c>
      <x:c r="V95" s="81" t="str">
        <x:v>담수1</x:v>
      </x:c>
    </x:row>
    <x:row r="96">
      <x:c r="A96" s="80" t="n">
        <x:v>92</x:v>
      </x:c>
      <x:c r="B96" s="80" t="str">
        <x:v>고오스</x:v>
      </x:c>
      <x:c r="C96" s="80" t="str">
        <x:v>gastly</x:v>
      </x:c>
      <x:c r="D96" s="80" t="str">
        <x:v>특수</x:v>
      </x:c>
      <x:c r="E96" s="81" t="str">
        <x:v>특수1</x:v>
      </x:c>
      <x:c r="F96" s="81" t="str">
        <x:v>숲2</x:v>
      </x:c>
      <x:c r="G96" s="81" t="str">
        <x:v>특수1</x:v>
      </x:c>
      <x:c r="H96" s="81" t="str">
        <x:v>숲2</x:v>
      </x:c>
      <x:c r="I96" s="81" t="str">
        <x:v>—</x:v>
      </x:c>
      <x:c r="J96" s="81" t="str">
        <x:v>—</x:v>
      </x:c>
      <x:c r="K96" s="81" t="str">
        <x:v>특수1</x:v>
      </x:c>
      <x:c r="L96" s="81" t="str">
        <x:v>숲1</x:v>
      </x:c>
      <x:c r="M96" s="81" t="str">
        <x:v>—</x:v>
      </x:c>
      <x:c r="N96" s="81" t="str">
        <x:v>—</x:v>
      </x:c>
      <x:c r="O96" s="81" t="str">
        <x:v>특수1</x:v>
      </x:c>
      <x:c r="P96" s="81" t="str">
        <x:v>숲1</x:v>
      </x:c>
      <x:c r="Q96" s="81" t="str">
        <x:v>특수1</x:v>
      </x:c>
      <x:c r="R96" s="81" t="str">
        <x:v>숲1</x:v>
      </x:c>
      <x:c r="S96" s="81" t="str">
        <x:v>특수1</x:v>
      </x:c>
      <x:c r="T96" s="81" t="str">
        <x:v>숲1</x:v>
      </x:c>
      <x:c r="U96" s="81" t="str">
        <x:v>특수1</x:v>
      </x:c>
      <x:c r="V96" s="81" t="str">
        <x:v>숲1</x:v>
      </x:c>
    </x:row>
    <x:row r="97">
      <x:c r="A97" s="80" t="n">
        <x:v>93</x:v>
      </x:c>
      <x:c r="B97" s="80" t="str">
        <x:v>고우스트</x:v>
      </x:c>
      <x:c r="C97" s="80" t="str">
        <x:v>haunter</x:v>
      </x:c>
      <x:c r="D97" s="80" t="str">
        <x:v>특수</x:v>
      </x:c>
      <x:c r="E97" s="81" t="str">
        <x:v>특수1</x:v>
      </x:c>
      <x:c r="F97" s="81" t="str">
        <x:v>숲2</x:v>
      </x:c>
      <x:c r="G97" s="81" t="str">
        <x:v>특수1</x:v>
      </x:c>
      <x:c r="H97" s="81" t="str">
        <x:v>숲2</x:v>
      </x:c>
      <x:c r="I97" s="81" t="str">
        <x:v>—</x:v>
      </x:c>
      <x:c r="J97" s="81" t="str">
        <x:v>—</x:v>
      </x:c>
      <x:c r="K97" s="81" t="str">
        <x:v>특수1</x:v>
      </x:c>
      <x:c r="L97" s="81" t="str">
        <x:v>숲1</x:v>
      </x:c>
      <x:c r="M97" s="81" t="str">
        <x:v>—</x:v>
      </x:c>
      <x:c r="N97" s="81" t="str">
        <x:v>—</x:v>
      </x:c>
      <x:c r="O97" s="81" t="str">
        <x:v>특수1</x:v>
      </x:c>
      <x:c r="P97" s="81" t="str">
        <x:v>숲1</x:v>
      </x:c>
      <x:c r="Q97" s="81" t="str">
        <x:v>특수1</x:v>
      </x:c>
      <x:c r="R97" s="81" t="str">
        <x:v>숲1</x:v>
      </x:c>
      <x:c r="S97" s="81" t="str">
        <x:v>특수1</x:v>
      </x:c>
      <x:c r="T97" s="81" t="str">
        <x:v>숲1</x:v>
      </x:c>
      <x:c r="U97" s="81" t="str">
        <x:v>특수1</x:v>
      </x:c>
      <x:c r="V97" s="81" t="str">
        <x:v>숲1</x:v>
      </x:c>
    </x:row>
    <x:row r="98">
      <x:c r="A98" s="80" t="n">
        <x:v>94</x:v>
      </x:c>
      <x:c r="B98" s="80" t="str">
        <x:v>팬텀</x:v>
      </x:c>
      <x:c r="C98" s="80" t="str">
        <x:v>gengar</x:v>
      </x:c>
      <x:c r="D98" s="80" t="str">
        <x:v>특수</x:v>
      </x:c>
      <x:c r="E98" s="81" t="str">
        <x:v>특수1</x:v>
      </x:c>
      <x:c r="F98" s="81" t="str">
        <x:v>숲2</x:v>
      </x:c>
      <x:c r="G98" s="81" t="str">
        <x:v>특수1</x:v>
      </x:c>
      <x:c r="H98" s="81" t="str">
        <x:v>숲2</x:v>
      </x:c>
      <x:c r="I98" s="81" t="str">
        <x:v>—</x:v>
      </x:c>
      <x:c r="J98" s="81" t="str">
        <x:v>—</x:v>
      </x:c>
      <x:c r="K98" s="81" t="str">
        <x:v>특수1</x:v>
      </x:c>
      <x:c r="L98" s="81" t="str">
        <x:v>숲1</x:v>
      </x:c>
      <x:c r="M98" s="81" t="str">
        <x:v>—</x:v>
      </x:c>
      <x:c r="N98" s="81" t="str">
        <x:v>—</x:v>
      </x:c>
      <x:c r="O98" s="81" t="str">
        <x:v>특수1</x:v>
      </x:c>
      <x:c r="P98" s="81" t="str">
        <x:v>숲1</x:v>
      </x:c>
      <x:c r="Q98" s="81" t="str">
        <x:v>특수1</x:v>
      </x:c>
      <x:c r="R98" s="81" t="str">
        <x:v>숲1</x:v>
      </x:c>
      <x:c r="S98" s="81" t="str">
        <x:v>특수1</x:v>
      </x:c>
      <x:c r="T98" s="81" t="str">
        <x:v>숲1</x:v>
      </x:c>
      <x:c r="U98" s="81" t="str">
        <x:v>특수1</x:v>
      </x:c>
      <x:c r="V98" s="81" t="str">
        <x:v>숲1</x:v>
      </x:c>
    </x:row>
    <x:row r="99">
      <x:c r="A99" s="80" t="n">
        <x:v>95</x:v>
      </x:c>
      <x:c r="B99" s="80" t="str">
        <x:v>롱스톤</x:v>
      </x:c>
      <x:c r="C99" s="80" t="str">
        <x:v>onix</x:v>
      </x:c>
      <x:c r="D99" s="80" t="str">
        <x:v>화산</x:v>
      </x:c>
      <x:c r="E99" s="81" t="str">
        <x:v>화산1</x:v>
      </x:c>
      <x:c r="F99" s="81" t="str">
        <x:v>건조지1</x:v>
      </x:c>
      <x:c r="G99" s="81" t="str">
        <x:v>화산1</x:v>
      </x:c>
      <x:c r="H99" s="81" t="str">
        <x:v>건조지1</x:v>
      </x:c>
      <x:c r="I99" s="81" t="str">
        <x:v>—</x:v>
      </x:c>
      <x:c r="J99" s="81" t="str">
        <x:v>—</x:v>
      </x:c>
      <x:c r="K99" s="81" t="str">
        <x:v>화산1</x:v>
      </x:c>
      <x:c r="L99" s="81" t="str">
        <x:v>건조지1</x:v>
      </x:c>
      <x:c r="M99" s="81" t="str">
        <x:v>화산1</x:v>
      </x:c>
      <x:c r="N99" s="81" t="str">
        <x:v>건조지1</x:v>
      </x:c>
      <x:c r="O99" s="81" t="str">
        <x:v>화산1</x:v>
      </x:c>
      <x:c r="P99" s="81" t="str">
        <x:v>건조지1</x:v>
      </x:c>
      <x:c r="Q99" s="81" t="str">
        <x:v>—</x:v>
      </x:c>
      <x:c r="R99" s="81" t="str">
        <x:v>—</x:v>
      </x:c>
      <x:c r="S99" s="81" t="str">
        <x:v>화산1</x:v>
      </x:c>
      <x:c r="T99" s="81" t="str">
        <x:v>건조지1</x:v>
      </x:c>
      <x:c r="U99" s="81" t="str">
        <x:v>—</x:v>
      </x:c>
      <x:c r="V99" s="81" t="str">
        <x:v>—</x:v>
      </x:c>
    </x:row>
    <x:row r="100">
      <x:c r="A100" s="80" t="n">
        <x:v>96</x:v>
      </x:c>
      <x:c r="B100" s="80" t="str">
        <x:v>슬리프</x:v>
      </x:c>
      <x:c r="C100" s="80" t="str">
        <x:v>drowzee</x:v>
      </x:c>
      <x:c r="D100" s="80" t="str">
        <x:v>평원</x:v>
      </x:c>
      <x:c r="E100" s="81" t="str">
        <x:v>평원2</x:v>
      </x:c>
      <x:c r="F100" s="81" t="str">
        <x:v>숲2</x:v>
      </x:c>
      <x:c r="G100" s="81" t="str">
        <x:v>평원2</x:v>
      </x:c>
      <x:c r="H100" s="81" t="str">
        <x:v>숲2</x:v>
      </x:c>
      <x:c r="I100" s="81" t="str">
        <x:v>—</x:v>
      </x:c>
      <x:c r="J100" s="81" t="str">
        <x:v>—</x:v>
      </x:c>
      <x:c r="K100" s="81" t="str">
        <x:v>—</x:v>
      </x:c>
      <x:c r="L100" s="81" t="str">
        <x:v>—</x:v>
      </x:c>
      <x:c r="M100" s="81" t="str">
        <x:v>—</x:v>
      </x:c>
      <x:c r="N100" s="81" t="str">
        <x:v>—</x:v>
      </x:c>
      <x:c r="O100" s="81" t="str">
        <x:v>—</x:v>
      </x:c>
      <x:c r="P100" s="81" t="str">
        <x:v>—</x:v>
      </x:c>
      <x:c r="Q100" s="81" t="str">
        <x:v>평원1</x:v>
      </x:c>
      <x:c r="R100" s="81" t="str">
        <x:v>숲1</x:v>
      </x:c>
      <x:c r="S100" s="81" t="str">
        <x:v>—</x:v>
      </x:c>
      <x:c r="T100" s="81" t="str">
        <x:v>—</x:v>
      </x:c>
      <x:c r="U100" s="81" t="str">
        <x:v>평원1</x:v>
      </x:c>
      <x:c r="V100" s="81" t="str">
        <x:v>숲1</x:v>
      </x:c>
    </x:row>
    <x:row r="101">
      <x:c r="A101" s="80" t="n">
        <x:v>97</x:v>
      </x:c>
      <x:c r="B101" s="80" t="str">
        <x:v>슬리퍼</x:v>
      </x:c>
      <x:c r="C101" s="80" t="str">
        <x:v>hypno</x:v>
      </x:c>
      <x:c r="D101" s="80" t="str">
        <x:v>평원</x:v>
      </x:c>
      <x:c r="E101" s="81" t="str">
        <x:v>평원2</x:v>
      </x:c>
      <x:c r="F101" s="81" t="str">
        <x:v>숲2</x:v>
      </x:c>
      <x:c r="G101" s="81" t="str">
        <x:v>평원2</x:v>
      </x:c>
      <x:c r="H101" s="81" t="str">
        <x:v>숲2</x:v>
      </x:c>
      <x:c r="I101" s="81" t="str">
        <x:v>—</x:v>
      </x:c>
      <x:c r="J101" s="81" t="str">
        <x:v>—</x:v>
      </x:c>
      <x:c r="K101" s="81" t="str">
        <x:v>—</x:v>
      </x:c>
      <x:c r="L101" s="81" t="str">
        <x:v>—</x:v>
      </x:c>
      <x:c r="M101" s="81" t="str">
        <x:v>—</x:v>
      </x:c>
      <x:c r="N101" s="81" t="str">
        <x:v>—</x:v>
      </x:c>
      <x:c r="O101" s="81" t="str">
        <x:v>—</x:v>
      </x:c>
      <x:c r="P101" s="81" t="str">
        <x:v>—</x:v>
      </x:c>
      <x:c r="Q101" s="81" t="str">
        <x:v>평원1</x:v>
      </x:c>
      <x:c r="R101" s="81" t="str">
        <x:v>숲1</x:v>
      </x:c>
      <x:c r="S101" s="81" t="str">
        <x:v>—</x:v>
      </x:c>
      <x:c r="T101" s="81" t="str">
        <x:v>—</x:v>
      </x:c>
      <x:c r="U101" s="81" t="str">
        <x:v>평원1</x:v>
      </x:c>
      <x:c r="V101" s="81" t="str">
        <x:v>숲1</x:v>
      </x:c>
    </x:row>
    <x:row r="102">
      <x:c r="A102" s="80" t="n">
        <x:v>98</x:v>
      </x:c>
      <x:c r="B102" s="80" t="str">
        <x:v>크랩</x:v>
      </x:c>
      <x:c r="C102" s="80" t="str">
        <x:v>krabby</x:v>
      </x:c>
      <x:c r="D102" s="80" t="str">
        <x:v>해양</x:v>
      </x:c>
      <x:c r="E102" s="81" t="str">
        <x:v>해양1</x:v>
      </x:c>
      <x:c r="F102" s="81" t="str">
        <x:v>담수1</x:v>
      </x:c>
      <x:c r="G102" s="81" t="str">
        <x:v>해양1</x:v>
      </x:c>
      <x:c r="H102" s="81" t="str">
        <x:v>담수1</x:v>
      </x:c>
      <x:c r="I102" s="81" t="str">
        <x:v>—</x:v>
      </x:c>
      <x:c r="J102" s="81" t="str">
        <x:v>—</x:v>
      </x:c>
      <x:c r="K102" s="81" t="str">
        <x:v>—</x:v>
      </x:c>
      <x:c r="L102" s="81" t="str">
        <x:v>—</x:v>
      </x:c>
      <x:c r="M102" s="81" t="str">
        <x:v>—</x:v>
      </x:c>
      <x:c r="N102" s="81" t="str">
        <x:v>—</x:v>
      </x:c>
      <x:c r="O102" s="81" t="str">
        <x:v>—</x:v>
      </x:c>
      <x:c r="P102" s="81" t="str">
        <x:v>—</x:v>
      </x:c>
      <x:c r="Q102" s="81" t="str">
        <x:v>—</x:v>
      </x:c>
      <x:c r="R102" s="81" t="str">
        <x:v>—</x:v>
      </x:c>
      <x:c r="S102" s="81" t="str">
        <x:v>해양1</x:v>
      </x:c>
      <x:c r="T102" s="81" t="str">
        <x:v>담수1</x:v>
      </x:c>
      <x:c r="U102" s="81" t="str">
        <x:v>—</x:v>
      </x:c>
      <x:c r="V102" s="81" t="str">
        <x:v>—</x:v>
      </x:c>
    </x:row>
    <x:row r="103">
      <x:c r="A103" s="80" t="n">
        <x:v>99</x:v>
      </x:c>
      <x:c r="B103" s="80" t="str">
        <x:v>킹크랩</x:v>
      </x:c>
      <x:c r="C103" s="80" t="str">
        <x:v>kingler</x:v>
      </x:c>
      <x:c r="D103" s="80" t="str">
        <x:v>해양</x:v>
      </x:c>
      <x:c r="E103" s="81" t="str">
        <x:v>해양1</x:v>
      </x:c>
      <x:c r="F103" s="81" t="str">
        <x:v>담수1</x:v>
      </x:c>
      <x:c r="G103" s="81" t="str">
        <x:v>해양1</x:v>
      </x:c>
      <x:c r="H103" s="81" t="str">
        <x:v>담수1</x:v>
      </x:c>
      <x:c r="I103" s="81" t="str">
        <x:v>—</x:v>
      </x:c>
      <x:c r="J103" s="81" t="str">
        <x:v>—</x:v>
      </x:c>
      <x:c r="K103" s="81" t="str">
        <x:v>—</x:v>
      </x:c>
      <x:c r="L103" s="81" t="str">
        <x:v>—</x:v>
      </x:c>
      <x:c r="M103" s="81" t="str">
        <x:v>—</x:v>
      </x:c>
      <x:c r="N103" s="81" t="str">
        <x:v>—</x:v>
      </x:c>
      <x:c r="O103" s="81" t="str">
        <x:v>—</x:v>
      </x:c>
      <x:c r="P103" s="81" t="str">
        <x:v>—</x:v>
      </x:c>
      <x:c r="Q103" s="81" t="str">
        <x:v>—</x:v>
      </x:c>
      <x:c r="R103" s="81" t="str">
        <x:v>—</x:v>
      </x:c>
      <x:c r="S103" s="81" t="str">
        <x:v>해양1</x:v>
      </x:c>
      <x:c r="T103" s="81" t="str">
        <x:v>담수1</x:v>
      </x:c>
      <x:c r="U103" s="81" t="str">
        <x:v>—</x:v>
      </x:c>
      <x:c r="V103" s="81" t="str">
        <x:v>—</x:v>
      </x:c>
    </x:row>
    <x:row r="104">
      <x:c r="A104" s="80" t="n">
        <x:v>100</x:v>
      </x:c>
      <x:c r="B104" s="80" t="str">
        <x:v>찌리리공</x:v>
      </x:c>
      <x:c r="C104" s="80" t="str">
        <x:v>voltorb</x:v>
      </x:c>
      <x:c r="D104" s="80" t="str">
        <x:v>도시</x:v>
      </x:c>
      <x:c r="E104" s="81" t="str">
        <x:v>도시1</x:v>
      </x:c>
      <x:c r="F104" s="81" t="str">
        <x:v>평원2</x:v>
      </x:c>
      <x:c r="G104" s="81" t="str">
        <x:v>도시1</x:v>
      </x:c>
      <x:c r="H104" s="81" t="str">
        <x:v>평원2</x:v>
      </x:c>
      <x:c r="I104" s="81" t="str">
        <x:v>도시1</x:v>
      </x:c>
      <x:c r="J104" s="81" t="str">
        <x:v>평원1</x:v>
      </x:c>
      <x:c r="K104" s="81" t="str">
        <x:v>—</x:v>
      </x:c>
      <x:c r="L104" s="81" t="str">
        <x:v>—</x:v>
      </x:c>
      <x:c r="M104" s="81" t="str">
        <x:v>—</x:v>
      </x:c>
      <x:c r="N104" s="81" t="str">
        <x:v>—</x:v>
      </x:c>
      <x:c r="O104" s="81" t="str">
        <x:v>도시1</x:v>
      </x:c>
      <x:c r="P104" s="81" t="str">
        <x:v>평원1</x:v>
      </x:c>
      <x:c r="Q104" s="81" t="str">
        <x:v>—</x:v>
      </x:c>
      <x:c r="R104" s="81" t="str">
        <x:v>—</x:v>
      </x:c>
      <x:c r="S104" s="81" t="str">
        <x:v>—</x:v>
      </x:c>
      <x:c r="T104" s="81" t="str">
        <x:v>—</x:v>
      </x:c>
      <x:c r="U104" s="81" t="str">
        <x:v>도시1</x:v>
      </x:c>
      <x:c r="V104" s="81" t="str">
        <x:v>평원1</x:v>
      </x:c>
    </x:row>
    <x:row r="105">
      <x:c r="A105" s="80" t="n">
        <x:v>101</x:v>
      </x:c>
      <x:c r="B105" s="80" t="str">
        <x:v>붐볼</x:v>
      </x:c>
      <x:c r="C105" s="80" t="str">
        <x:v>electrode</x:v>
      </x:c>
      <x:c r="D105" s="80" t="str">
        <x:v>도시</x:v>
      </x:c>
      <x:c r="E105" s="81" t="str">
        <x:v>도시1</x:v>
      </x:c>
      <x:c r="F105" s="81" t="str">
        <x:v>평원2</x:v>
      </x:c>
      <x:c r="G105" s="81" t="str">
        <x:v>도시1</x:v>
      </x:c>
      <x:c r="H105" s="81" t="str">
        <x:v>평원2</x:v>
      </x:c>
      <x:c r="I105" s="81" t="str">
        <x:v>도시1</x:v>
      </x:c>
      <x:c r="J105" s="81" t="str">
        <x:v>평원1</x:v>
      </x:c>
      <x:c r="K105" s="81" t="str">
        <x:v>—</x:v>
      </x:c>
      <x:c r="L105" s="81" t="str">
        <x:v>—</x:v>
      </x:c>
      <x:c r="M105" s="81" t="str">
        <x:v>—</x:v>
      </x:c>
      <x:c r="N105" s="81" t="str">
        <x:v>—</x:v>
      </x:c>
      <x:c r="O105" s="81" t="str">
        <x:v>도시1</x:v>
      </x:c>
      <x:c r="P105" s="81" t="str">
        <x:v>평원1</x:v>
      </x:c>
      <x:c r="Q105" s="81" t="str">
        <x:v>—</x:v>
      </x:c>
      <x:c r="R105" s="81" t="str">
        <x:v>—</x:v>
      </x:c>
      <x:c r="S105" s="81" t="str">
        <x:v>—</x:v>
      </x:c>
      <x:c r="T105" s="81" t="str">
        <x:v>—</x:v>
      </x:c>
      <x:c r="U105" s="81" t="str">
        <x:v>도시1</x:v>
      </x:c>
      <x:c r="V105" s="81" t="str">
        <x:v>평원1</x:v>
      </x:c>
    </x:row>
    <x:row r="106">
      <x:c r="A106" s="80" t="n">
        <x:v>102</x:v>
      </x:c>
      <x:c r="B106" s="80" t="str">
        <x:v>아라리</x:v>
      </x:c>
      <x:c r="C106" s="80" t="str">
        <x:v>exeggcute</x:v>
      </x:c>
      <x:c r="D106" s="80" t="str">
        <x:v>해양</x:v>
      </x:c>
      <x:c r="E106" s="81" t="str">
        <x:v>해양1</x:v>
      </x:c>
      <x:c r="F106" s="81" t="str">
        <x:v>습지1</x:v>
      </x:c>
      <x:c r="G106" s="81" t="str">
        <x:v>해양1</x:v>
      </x:c>
      <x:c r="H106" s="81" t="str">
        <x:v>습지2</x:v>
      </x:c>
      <x:c r="I106" s="81" t="str">
        <x:v>—</x:v>
      </x:c>
      <x:c r="J106" s="81" t="str">
        <x:v>—</x:v>
      </x:c>
      <x:c r="K106" s="81" t="str">
        <x:v>—</x:v>
      </x:c>
      <x:c r="L106" s="81" t="str">
        <x:v>—</x:v>
      </x:c>
      <x:c r="M106" s="81" t="str">
        <x:v>—</x:v>
      </x:c>
      <x:c r="N106" s="81" t="str">
        <x:v>—</x:v>
      </x:c>
      <x:c r="O106" s="81" t="str">
        <x:v>해양1</x:v>
      </x:c>
      <x:c r="P106" s="81" t="str">
        <x:v>습지1</x:v>
      </x:c>
      <x:c r="Q106" s="81" t="str">
        <x:v>해양1</x:v>
      </x:c>
      <x:c r="R106" s="81" t="str">
        <x:v>습지1</x:v>
      </x:c>
      <x:c r="S106" s="81" t="str">
        <x:v>해양1</x:v>
      </x:c>
      <x:c r="T106" s="81" t="str">
        <x:v>습지1</x:v>
      </x:c>
      <x:c r="U106" s="81" t="str">
        <x:v>해양1</x:v>
      </x:c>
      <x:c r="V106" s="81" t="str">
        <x:v>습지1</x:v>
      </x:c>
    </x:row>
    <x:row r="107">
      <x:c r="A107" s="80" t="n">
        <x:v>103</x:v>
      </x:c>
      <x:c r="B107" s="80" t="str">
        <x:v>나시</x:v>
      </x:c>
      <x:c r="C107" s="80" t="str">
        <x:v>exeggutor</x:v>
      </x:c>
      <x:c r="D107" s="80" t="str">
        <x:v>해양</x:v>
      </x:c>
      <x:c r="E107" s="81" t="str">
        <x:v>해양1</x:v>
      </x:c>
      <x:c r="F107" s="81" t="str">
        <x:v>습지1</x:v>
      </x:c>
      <x:c r="G107" s="81" t="str">
        <x:v>해양1</x:v>
      </x:c>
      <x:c r="H107" s="81" t="str">
        <x:v>습지2</x:v>
      </x:c>
      <x:c r="I107" s="81" t="str">
        <x:v>—</x:v>
      </x:c>
      <x:c r="J107" s="81" t="str">
        <x:v>—</x:v>
      </x:c>
      <x:c r="K107" s="81" t="str">
        <x:v>—</x:v>
      </x:c>
      <x:c r="L107" s="81" t="str">
        <x:v>—</x:v>
      </x:c>
      <x:c r="M107" s="81" t="str">
        <x:v>—</x:v>
      </x:c>
      <x:c r="N107" s="81" t="str">
        <x:v>—</x:v>
      </x:c>
      <x:c r="O107" s="81" t="str">
        <x:v>해양1</x:v>
      </x:c>
      <x:c r="P107" s="81" t="str">
        <x:v>습지1</x:v>
      </x:c>
      <x:c r="Q107" s="81" t="str">
        <x:v>해양1</x:v>
      </x:c>
      <x:c r="R107" s="81" t="str">
        <x:v>습지1</x:v>
      </x:c>
      <x:c r="S107" s="81" t="str">
        <x:v>해양1</x:v>
      </x:c>
      <x:c r="T107" s="81" t="str">
        <x:v>습지1</x:v>
      </x:c>
      <x:c r="U107" s="81" t="str">
        <x:v>해양1</x:v>
      </x:c>
      <x:c r="V107" s="81" t="str">
        <x:v>습지1</x:v>
      </x:c>
    </x:row>
    <x:row r="108">
      <x:c r="A108" s="80" t="n">
        <x:v>104</x:v>
      </x:c>
      <x:c r="B108" s="80" t="str">
        <x:v>탕구리</x:v>
      </x:c>
      <x:c r="C108" s="80" t="str">
        <x:v>cubone</x:v>
      </x:c>
      <x:c r="D108" s="80" t="str">
        <x:v>건조지</x:v>
      </x:c>
      <x:c r="E108" s="81" t="str">
        <x:v>건조지1</x:v>
      </x:c>
      <x:c r="F108" s="81" t="str">
        <x:v>화산1</x:v>
      </x:c>
      <x:c r="G108" s="81" t="str">
        <x:v>건조지1</x:v>
      </x:c>
      <x:c r="H108" s="81" t="str">
        <x:v>화산1</x:v>
      </x:c>
      <x:c r="I108" s="81" t="str">
        <x:v>—</x:v>
      </x:c>
      <x:c r="J108" s="81" t="str">
        <x:v>—</x:v>
      </x:c>
      <x:c r="K108" s="81" t="str">
        <x:v>—</x:v>
      </x:c>
      <x:c r="L108" s="81" t="str">
        <x:v>—</x:v>
      </x:c>
      <x:c r="M108" s="81" t="str">
        <x:v>—</x:v>
      </x:c>
      <x:c r="N108" s="81" t="str">
        <x:v>—</x:v>
      </x:c>
      <x:c r="O108" s="81" t="str">
        <x:v>건조지1</x:v>
      </x:c>
      <x:c r="P108" s="81" t="str">
        <x:v>화산1</x:v>
      </x:c>
      <x:c r="Q108" s="81" t="str">
        <x:v>건조지1</x:v>
      </x:c>
      <x:c r="R108" s="81" t="str">
        <x:v>화산1</x:v>
      </x:c>
      <x:c r="S108" s="81" t="str">
        <x:v>건조지1</x:v>
      </x:c>
      <x:c r="T108" s="81" t="str">
        <x:v>화산1</x:v>
      </x:c>
      <x:c r="U108" s="81" t="str">
        <x:v>—</x:v>
      </x:c>
      <x:c r="V108" s="81" t="str">
        <x:v>—</x:v>
      </x:c>
    </x:row>
    <x:row r="109">
      <x:c r="A109" s="80" t="n">
        <x:v>105</x:v>
      </x:c>
      <x:c r="B109" s="80" t="str">
        <x:v>텅구리</x:v>
      </x:c>
      <x:c r="C109" s="80" t="str">
        <x:v>marowak</x:v>
      </x:c>
      <x:c r="D109" s="80" t="str">
        <x:v>건조지</x:v>
      </x:c>
      <x:c r="E109" s="81" t="str">
        <x:v>건조지1</x:v>
      </x:c>
      <x:c r="F109" s="81" t="str">
        <x:v>화산1</x:v>
      </x:c>
      <x:c r="G109" s="81" t="str">
        <x:v>건조지1</x:v>
      </x:c>
      <x:c r="H109" s="81" t="str">
        <x:v>화산1</x:v>
      </x:c>
      <x:c r="I109" s="81" t="str">
        <x:v>—</x:v>
      </x:c>
      <x:c r="J109" s="81" t="str">
        <x:v>—</x:v>
      </x:c>
      <x:c r="K109" s="81" t="str">
        <x:v>—</x:v>
      </x:c>
      <x:c r="L109" s="81" t="str">
        <x:v>—</x:v>
      </x:c>
      <x:c r="M109" s="81" t="str">
        <x:v>—</x:v>
      </x:c>
      <x:c r="N109" s="81" t="str">
        <x:v>—</x:v>
      </x:c>
      <x:c r="O109" s="81" t="str">
        <x:v>건조지1</x:v>
      </x:c>
      <x:c r="P109" s="81" t="str">
        <x:v>화산1</x:v>
      </x:c>
      <x:c r="Q109" s="81" t="str">
        <x:v>건조지1</x:v>
      </x:c>
      <x:c r="R109" s="81" t="str">
        <x:v>화산1</x:v>
      </x:c>
      <x:c r="S109" s="81" t="str">
        <x:v>건조지1</x:v>
      </x:c>
      <x:c r="T109" s="81" t="str">
        <x:v>화산1</x:v>
      </x:c>
      <x:c r="U109" s="81" t="str">
        <x:v>—</x:v>
      </x:c>
      <x:c r="V109" s="81" t="str">
        <x:v>—</x:v>
      </x:c>
    </x:row>
    <x:row r="110">
      <x:c r="A110" s="80" t="n">
        <x:v>106</x:v>
      </x:c>
      <x:c r="B110" s="80" t="str">
        <x:v>시라소몬</x:v>
      </x:c>
      <x:c r="C110" s="80" t="str">
        <x:v>hitmonlee</x:v>
      </x:c>
      <x:c r="D110" s="80" t="str">
        <x:v>산악</x:v>
      </x:c>
      <x:c r="E110" s="81" t="str">
        <x:v>산악1</x:v>
      </x:c>
      <x:c r="F110" s="81" t="str">
        <x:v>평원2</x:v>
      </x:c>
      <x:c r="G110" s="81" t="str">
        <x:v>산악1</x:v>
      </x:c>
      <x:c r="H110" s="81" t="str">
        <x:v>평원2</x:v>
      </x:c>
      <x:c r="I110" s="81" t="str">
        <x:v>—</x:v>
      </x:c>
      <x:c r="J110" s="81" t="str">
        <x:v>—</x:v>
      </x:c>
      <x:c r="K110" s="81" t="str">
        <x:v>—</x:v>
      </x:c>
      <x:c r="L110" s="81" t="str">
        <x:v>—</x:v>
      </x:c>
      <x:c r="M110" s="81" t="str">
        <x:v>—</x:v>
      </x:c>
      <x:c r="N110" s="81" t="str">
        <x:v>—</x:v>
      </x:c>
      <x:c r="O110" s="81" t="str">
        <x:v>—</x:v>
      </x:c>
      <x:c r="P110" s="81" t="str">
        <x:v>—</x:v>
      </x:c>
      <x:c r="Q110" s="81" t="str">
        <x:v>—</x:v>
      </x:c>
      <x:c r="R110" s="81" t="str">
        <x:v>—</x:v>
      </x:c>
      <x:c r="S110" s="81" t="str">
        <x:v>산악1</x:v>
      </x:c>
      <x:c r="T110" s="81" t="str">
        <x:v>평원1</x:v>
      </x:c>
      <x:c r="U110" s="81" t="str">
        <x:v>산악1</x:v>
      </x:c>
      <x:c r="V110" s="81" t="str">
        <x:v>평원1</x:v>
      </x:c>
    </x:row>
    <x:row r="111">
      <x:c r="A111" s="80" t="n">
        <x:v>107</x:v>
      </x:c>
      <x:c r="B111" s="80" t="str">
        <x:v>홍수몬</x:v>
      </x:c>
      <x:c r="C111" s="80" t="str">
        <x:v>hitmonchan</x:v>
      </x:c>
      <x:c r="D111" s="80" t="str">
        <x:v>산악</x:v>
      </x:c>
      <x:c r="E111" s="81" t="str">
        <x:v>산악1</x:v>
      </x:c>
      <x:c r="F111" s="81" t="str">
        <x:v>평원2</x:v>
      </x:c>
      <x:c r="G111" s="81" t="str">
        <x:v>산악1</x:v>
      </x:c>
      <x:c r="H111" s="81" t="str">
        <x:v>평원2</x:v>
      </x:c>
      <x:c r="I111" s="81" t="str">
        <x:v>—</x:v>
      </x:c>
      <x:c r="J111" s="81" t="str">
        <x:v>—</x:v>
      </x:c>
      <x:c r="K111" s="81" t="str">
        <x:v>—</x:v>
      </x:c>
      <x:c r="L111" s="81" t="str">
        <x:v>—</x:v>
      </x:c>
      <x:c r="M111" s="81" t="str">
        <x:v>—</x:v>
      </x:c>
      <x:c r="N111" s="81" t="str">
        <x:v>—</x:v>
      </x:c>
      <x:c r="O111" s="81" t="str">
        <x:v>—</x:v>
      </x:c>
      <x:c r="P111" s="81" t="str">
        <x:v>—</x:v>
      </x:c>
      <x:c r="Q111" s="81" t="str">
        <x:v>—</x:v>
      </x:c>
      <x:c r="R111" s="81" t="str">
        <x:v>—</x:v>
      </x:c>
      <x:c r="S111" s="81" t="str">
        <x:v>산악1</x:v>
      </x:c>
      <x:c r="T111" s="81" t="str">
        <x:v>평원1</x:v>
      </x:c>
      <x:c r="U111" s="81" t="str">
        <x:v>산악1</x:v>
      </x:c>
      <x:c r="V111" s="81" t="str">
        <x:v>평원1</x:v>
      </x:c>
    </x:row>
    <x:row r="112">
      <x:c r="A112" s="80" t="n">
        <x:v>108</x:v>
      </x:c>
      <x:c r="B112" s="80" t="str">
        <x:v>내루미</x:v>
      </x:c>
      <x:c r="C112" s="80" t="str">
        <x:v>lickitung</x:v>
      </x:c>
      <x:c r="D112" s="80" t="str">
        <x:v>평원</x:v>
      </x:c>
      <x:c r="E112" s="81" t="str">
        <x:v>평원2</x:v>
      </x:c>
      <x:c r="F112" s="81" t="str">
        <x:v>숲2</x:v>
      </x:c>
      <x:c r="G112" s="81" t="str">
        <x:v>평원2</x:v>
      </x:c>
      <x:c r="H112" s="81" t="str">
        <x:v>숲2</x:v>
      </x:c>
      <x:c r="I112" s="81" t="str">
        <x:v>—</x:v>
      </x:c>
      <x:c r="J112" s="81" t="str">
        <x:v>—</x:v>
      </x:c>
      <x:c r="K112" s="81" t="str">
        <x:v>평원1</x:v>
      </x:c>
      <x:c r="L112" s="81" t="str">
        <x:v>숲1</x:v>
      </x:c>
      <x:c r="M112" s="81" t="str">
        <x:v>평원1</x:v>
      </x:c>
      <x:c r="N112" s="81" t="str">
        <x:v>숲1</x:v>
      </x:c>
      <x:c r="O112" s="81" t="str">
        <x:v>평원1</x:v>
      </x:c>
      <x:c r="P112" s="81" t="str">
        <x:v>숲1</x:v>
      </x:c>
      <x:c r="Q112" s="81" t="str">
        <x:v>평원1</x:v>
      </x:c>
      <x:c r="R112" s="81" t="str">
        <x:v>숲1</x:v>
      </x:c>
      <x:c r="S112" s="81" t="str">
        <x:v>평원1</x:v>
      </x:c>
      <x:c r="T112" s="81" t="str">
        <x:v>숲1</x:v>
      </x:c>
      <x:c r="U112" s="81" t="str">
        <x:v>—</x:v>
      </x:c>
      <x:c r="V112" s="81" t="str">
        <x:v>—</x:v>
      </x:c>
    </x:row>
    <x:row r="113">
      <x:c r="A113" s="80" t="n">
        <x:v>109</x:v>
      </x:c>
      <x:c r="B113" s="80" t="str">
        <x:v>또가스</x:v>
      </x:c>
      <x:c r="C113" s="80" t="str">
        <x:v>koffing</x:v>
      </x:c>
      <x:c r="D113" s="80" t="str">
        <x:v>특수</x:v>
      </x:c>
      <x:c r="E113" s="81" t="str">
        <x:v>특수1</x:v>
      </x:c>
      <x:c r="F113" s="81" t="str">
        <x:v>숲2</x:v>
      </x:c>
      <x:c r="G113" s="81" t="str">
        <x:v>특수1</x:v>
      </x:c>
      <x:c r="H113" s="81" t="str">
        <x:v>숲2</x:v>
      </x:c>
      <x:c r="I113" s="81" t="str">
        <x:v>특수1</x:v>
      </x:c>
      <x:c r="J113" s="81" t="str">
        <x:v>숲1</x:v>
      </x:c>
      <x:c r="K113" s="81" t="str">
        <x:v>—</x:v>
      </x:c>
      <x:c r="L113" s="81" t="str">
        <x:v>—</x:v>
      </x:c>
      <x:c r="M113" s="81" t="str">
        <x:v>특수1</x:v>
      </x:c>
      <x:c r="N113" s="81" t="str">
        <x:v>숲1</x:v>
      </x:c>
      <x:c r="O113" s="81" t="str">
        <x:v>—</x:v>
      </x:c>
      <x:c r="P113" s="81" t="str">
        <x:v>—</x:v>
      </x:c>
      <x:c r="Q113" s="81" t="str">
        <x:v>—</x:v>
      </x:c>
      <x:c r="R113" s="81" t="str">
        <x:v>—</x:v>
      </x:c>
      <x:c r="S113" s="81" t="str">
        <x:v>특수1</x:v>
      </x:c>
      <x:c r="T113" s="81" t="str">
        <x:v>숲1</x:v>
      </x:c>
      <x:c r="U113" s="81" t="str">
        <x:v>특수1</x:v>
      </x:c>
      <x:c r="V113" s="81" t="str">
        <x:v>숲1</x:v>
      </x:c>
    </x:row>
    <x:row r="114">
      <x:c r="A114" s="80" t="n">
        <x:v>110</x:v>
      </x:c>
      <x:c r="B114" s="80" t="str">
        <x:v>또도가스</x:v>
      </x:c>
      <x:c r="C114" s="80" t="str">
        <x:v>weezing</x:v>
      </x:c>
      <x:c r="D114" s="80" t="str">
        <x:v>특수</x:v>
      </x:c>
      <x:c r="E114" s="81" t="str">
        <x:v>특수1</x:v>
      </x:c>
      <x:c r="F114" s="81" t="str">
        <x:v>숲2</x:v>
      </x:c>
      <x:c r="G114" s="81" t="str">
        <x:v>특수1</x:v>
      </x:c>
      <x:c r="H114" s="81" t="str">
        <x:v>숲2</x:v>
      </x:c>
      <x:c r="I114" s="81" t="str">
        <x:v>특수1</x:v>
      </x:c>
      <x:c r="J114" s="81" t="str">
        <x:v>숲1</x:v>
      </x:c>
      <x:c r="K114" s="81" t="str">
        <x:v>—</x:v>
      </x:c>
      <x:c r="L114" s="81" t="str">
        <x:v>—</x:v>
      </x:c>
      <x:c r="M114" s="81" t="str">
        <x:v>특수1</x:v>
      </x:c>
      <x:c r="N114" s="81" t="str">
        <x:v>숲1</x:v>
      </x:c>
      <x:c r="O114" s="81" t="str">
        <x:v>—</x:v>
      </x:c>
      <x:c r="P114" s="81" t="str">
        <x:v>—</x:v>
      </x:c>
      <x:c r="Q114" s="81" t="str">
        <x:v>—</x:v>
      </x:c>
      <x:c r="R114" s="81" t="str">
        <x:v>—</x:v>
      </x:c>
      <x:c r="S114" s="81" t="str">
        <x:v>특수1</x:v>
      </x:c>
      <x:c r="T114" s="81" t="str">
        <x:v>숲1</x:v>
      </x:c>
      <x:c r="U114" s="81" t="str">
        <x:v>특수1</x:v>
      </x:c>
      <x:c r="V114" s="81" t="str">
        <x:v>숲1</x:v>
      </x:c>
    </x:row>
    <x:row r="115">
      <x:c r="A115" s="80" t="n">
        <x:v>111</x:v>
      </x:c>
      <x:c r="B115" s="80" t="str">
        <x:v>뿔카노</x:v>
      </x:c>
      <x:c r="C115" s="80" t="str">
        <x:v>rhyhorn</x:v>
      </x:c>
      <x:c r="D115" s="80" t="str">
        <x:v>산악</x:v>
      </x:c>
      <x:c r="E115" s="81" t="str">
        <x:v>산악1</x:v>
      </x:c>
      <x:c r="F115" s="81" t="str">
        <x:v>평원2</x:v>
      </x:c>
      <x:c r="G115" s="81" t="str">
        <x:v>산악1</x:v>
      </x:c>
      <x:c r="H115" s="81" t="str">
        <x:v>평원2</x:v>
      </x:c>
      <x:c r="I115" s="81" t="str">
        <x:v>산악1</x:v>
      </x:c>
      <x:c r="J115" s="81" t="str">
        <x:v>평원1</x:v>
      </x:c>
      <x:c r="K115" s="81" t="str">
        <x:v>산악1</x:v>
      </x:c>
      <x:c r="L115" s="81" t="str">
        <x:v>평원1</x:v>
      </x:c>
      <x:c r="M115" s="81" t="str">
        <x:v>—</x:v>
      </x:c>
      <x:c r="N115" s="81" t="str">
        <x:v>—</x:v>
      </x:c>
      <x:c r="O115" s="81" t="str">
        <x:v>산악1</x:v>
      </x:c>
      <x:c r="P115" s="81" t="str">
        <x:v>평원1</x:v>
      </x:c>
      <x:c r="Q115" s="81" t="str">
        <x:v>—</x:v>
      </x:c>
      <x:c r="R115" s="81" t="str">
        <x:v>—</x:v>
      </x:c>
      <x:c r="S115" s="81" t="str">
        <x:v>산악1</x:v>
      </x:c>
      <x:c r="T115" s="81" t="str">
        <x:v>평원1</x:v>
      </x:c>
      <x:c r="U115" s="81" t="str">
        <x:v>산악1</x:v>
      </x:c>
      <x:c r="V115" s="81" t="str">
        <x:v>평원1</x:v>
      </x:c>
    </x:row>
    <x:row r="116">
      <x:c r="A116" s="80" t="n">
        <x:v>112</x:v>
      </x:c>
      <x:c r="B116" s="80" t="str">
        <x:v>코뿌리</x:v>
      </x:c>
      <x:c r="C116" s="80" t="str">
        <x:v>rhydon</x:v>
      </x:c>
      <x:c r="D116" s="80" t="str">
        <x:v>산악</x:v>
      </x:c>
      <x:c r="E116" s="81" t="str">
        <x:v>산악1</x:v>
      </x:c>
      <x:c r="F116" s="81" t="str">
        <x:v>평원2</x:v>
      </x:c>
      <x:c r="G116" s="81" t="str">
        <x:v>산악1</x:v>
      </x:c>
      <x:c r="H116" s="81" t="str">
        <x:v>평원2</x:v>
      </x:c>
      <x:c r="I116" s="81" t="str">
        <x:v>산악1</x:v>
      </x:c>
      <x:c r="J116" s="81" t="str">
        <x:v>평원1</x:v>
      </x:c>
      <x:c r="K116" s="81" t="str">
        <x:v>산악1</x:v>
      </x:c>
      <x:c r="L116" s="81" t="str">
        <x:v>평원1</x:v>
      </x:c>
      <x:c r="M116" s="81" t="str">
        <x:v>—</x:v>
      </x:c>
      <x:c r="N116" s="81" t="str">
        <x:v>—</x:v>
      </x:c>
      <x:c r="O116" s="81" t="str">
        <x:v>산악1</x:v>
      </x:c>
      <x:c r="P116" s="81" t="str">
        <x:v>평원1</x:v>
      </x:c>
      <x:c r="Q116" s="81" t="str">
        <x:v>—</x:v>
      </x:c>
      <x:c r="R116" s="81" t="str">
        <x:v>—</x:v>
      </x:c>
      <x:c r="S116" s="81" t="str">
        <x:v>산악1</x:v>
      </x:c>
      <x:c r="T116" s="81" t="str">
        <x:v>평원1</x:v>
      </x:c>
      <x:c r="U116" s="81" t="str">
        <x:v>산악1</x:v>
      </x:c>
      <x:c r="V116" s="81" t="str">
        <x:v>평원1</x:v>
      </x:c>
    </x:row>
    <x:row r="117">
      <x:c r="A117" s="80" t="n">
        <x:v>113</x:v>
      </x:c>
      <x:c r="B117" s="80" t="str">
        <x:v>럭키</x:v>
      </x:c>
      <x:c r="C117" s="80" t="str">
        <x:v>chansey</x:v>
      </x:c>
      <x:c r="D117" s="80" t="str">
        <x:v>평원</x:v>
      </x:c>
      <x:c r="E117" s="81" t="str">
        <x:v>평원2</x:v>
      </x:c>
      <x:c r="F117" s="81" t="str">
        <x:v>숲2</x:v>
      </x:c>
      <x:c r="G117" s="81" t="str">
        <x:v>평원2</x:v>
      </x:c>
      <x:c r="H117" s="81" t="str">
        <x:v>숲2</x:v>
      </x:c>
      <x:c r="I117" s="81" t="str">
        <x:v>—</x:v>
      </x:c>
      <x:c r="J117" s="81" t="str">
        <x:v>—</x:v>
      </x:c>
      <x:c r="K117" s="81" t="str">
        <x:v>평원1</x:v>
      </x:c>
      <x:c r="L117" s="81" t="str">
        <x:v>숲1</x:v>
      </x:c>
      <x:c r="M117" s="81" t="str">
        <x:v>—</x:v>
      </x:c>
      <x:c r="N117" s="81" t="str">
        <x:v>—</x:v>
      </x:c>
      <x:c r="O117" s="81" t="str">
        <x:v>—</x:v>
      </x:c>
      <x:c r="P117" s="81" t="str">
        <x:v>—</x:v>
      </x:c>
      <x:c r="Q117" s="81" t="str">
        <x:v>평원1</x:v>
      </x:c>
      <x:c r="R117" s="81" t="str">
        <x:v>숲1</x:v>
      </x:c>
      <x:c r="S117" s="81" t="str">
        <x:v>평원1</x:v>
      </x:c>
      <x:c r="T117" s="81" t="str">
        <x:v>숲1</x:v>
      </x:c>
      <x:c r="U117" s="81" t="str">
        <x:v>평원1</x:v>
      </x:c>
      <x:c r="V117" s="81" t="str">
        <x:v>숲1</x:v>
      </x:c>
    </x:row>
    <x:row r="118">
      <x:c r="A118" s="80" t="n">
        <x:v>114</x:v>
      </x:c>
      <x:c r="B118" s="80" t="str">
        <x:v>덩쿠리</x:v>
      </x:c>
      <x:c r="C118" s="80" t="str">
        <x:v>tangela</x:v>
      </x:c>
      <x:c r="D118" s="80" t="str">
        <x:v>숲</x:v>
      </x:c>
      <x:c r="E118" s="81" t="str">
        <x:v>숲2</x:v>
      </x:c>
      <x:c r="F118" s="81" t="str">
        <x:v>평원2</x:v>
      </x:c>
      <x:c r="G118" s="81" t="str">
        <x:v>숲2</x:v>
      </x:c>
      <x:c r="H118" s="81" t="str">
        <x:v>평원2</x:v>
      </x:c>
      <x:c r="I118" s="81" t="str">
        <x:v>—</x:v>
      </x:c>
      <x:c r="J118" s="81" t="str">
        <x:v>—</x:v>
      </x:c>
      <x:c r="K118" s="81" t="str">
        <x:v>숲1</x:v>
      </x:c>
      <x:c r="L118" s="81" t="str">
        <x:v>평원1</x:v>
      </x:c>
      <x:c r="M118" s="81" t="str">
        <x:v>숲1</x:v>
      </x:c>
      <x:c r="N118" s="81" t="str">
        <x:v>평원1</x:v>
      </x:c>
      <x:c r="O118" s="81" t="str">
        <x:v>—</x:v>
      </x:c>
      <x:c r="P118" s="81" t="str">
        <x:v>—</x:v>
      </x:c>
      <x:c r="Q118" s="81" t="str">
        <x:v>—</x:v>
      </x:c>
      <x:c r="R118" s="81" t="str">
        <x:v>—</x:v>
      </x:c>
      <x:c r="S118" s="81" t="str">
        <x:v>숲1</x:v>
      </x:c>
      <x:c r="T118" s="81" t="str">
        <x:v>평원1</x:v>
      </x:c>
      <x:c r="U118" s="81" t="str">
        <x:v>—</x:v>
      </x:c>
      <x:c r="V118" s="81" t="str">
        <x:v>—</x:v>
      </x:c>
    </x:row>
    <x:row r="119">
      <x:c r="A119" s="80" t="n">
        <x:v>115</x:v>
      </x:c>
      <x:c r="B119" s="80" t="str">
        <x:v>캥카</x:v>
      </x:c>
      <x:c r="C119" s="80" t="str">
        <x:v>kangaskhan</x:v>
      </x:c>
      <x:c r="D119" s="80" t="str">
        <x:v>평원</x:v>
      </x:c>
      <x:c r="E119" s="81" t="str">
        <x:v>평원2</x:v>
      </x:c>
      <x:c r="F119" s="81" t="str">
        <x:v>숲2</x:v>
      </x:c>
      <x:c r="G119" s="81" t="str">
        <x:v>평원2</x:v>
      </x:c>
      <x:c r="H119" s="81" t="str">
        <x:v>숲2</x:v>
      </x:c>
      <x:c r="I119" s="81" t="str">
        <x:v>—</x:v>
      </x:c>
      <x:c r="J119" s="81" t="str">
        <x:v>—</x:v>
      </x:c>
      <x:c r="K119" s="81" t="str">
        <x:v>—</x:v>
      </x:c>
      <x:c r="L119" s="81" t="str">
        <x:v>—</x:v>
      </x:c>
      <x:c r="M119" s="81" t="str">
        <x:v>—</x:v>
      </x:c>
      <x:c r="N119" s="81" t="str">
        <x:v>—</x:v>
      </x:c>
      <x:c r="O119" s="81" t="str">
        <x:v>평원2</x:v>
      </x:c>
      <x:c r="P119" s="81" t="str">
        <x:v>숲1</x:v>
      </x:c>
      <x:c r="Q119" s="81" t="str">
        <x:v>평원1</x:v>
      </x:c>
      <x:c r="R119" s="81" t="str">
        <x:v>숲1</x:v>
      </x:c>
      <x:c r="S119" s="81" t="str">
        <x:v>평원1</x:v>
      </x:c>
      <x:c r="T119" s="81" t="str">
        <x:v>숲1</x:v>
      </x:c>
      <x:c r="U119" s="81" t="str">
        <x:v>—</x:v>
      </x:c>
      <x:c r="V119" s="81" t="str">
        <x:v>—</x:v>
      </x:c>
    </x:row>
    <x:row r="120">
      <x:c r="A120" s="80" t="n">
        <x:v>116</x:v>
      </x:c>
      <x:c r="B120" s="80" t="str">
        <x:v>쏘드라</x:v>
      </x:c>
      <x:c r="C120" s="80" t="str">
        <x:v>horsea</x:v>
      </x:c>
      <x:c r="D120" s="80" t="str">
        <x:v>해양</x:v>
      </x:c>
      <x:c r="E120" s="81" t="str">
        <x:v>해양1</x:v>
      </x:c>
      <x:c r="F120" s="81" t="str">
        <x:v>담수1</x:v>
      </x:c>
      <x:c r="G120" s="81" t="str">
        <x:v>해양1</x:v>
      </x:c>
      <x:c r="H120" s="81" t="str">
        <x:v>담수1</x:v>
      </x:c>
      <x:c r="I120" s="81" t="str">
        <x:v>해양1</x:v>
      </x:c>
      <x:c r="J120" s="81" t="str">
        <x:v>담수1</x:v>
      </x:c>
      <x:c r="K120" s="81" t="str">
        <x:v>—</x:v>
      </x:c>
      <x:c r="L120" s="81" t="str">
        <x:v>—</x:v>
      </x:c>
      <x:c r="M120" s="81" t="str">
        <x:v>—</x:v>
      </x:c>
      <x:c r="N120" s="81" t="str">
        <x:v>—</x:v>
      </x:c>
      <x:c r="O120" s="81" t="str">
        <x:v>해양1</x:v>
      </x:c>
      <x:c r="P120" s="81" t="str">
        <x:v>담수1</x:v>
      </x:c>
      <x:c r="Q120" s="81" t="str">
        <x:v>—</x:v>
      </x:c>
      <x:c r="R120" s="81" t="str">
        <x:v>—</x:v>
      </x:c>
      <x:c r="S120" s="81" t="str">
        <x:v>해양1</x:v>
      </x:c>
      <x:c r="T120" s="81" t="str">
        <x:v>담수1</x:v>
      </x:c>
      <x:c r="U120" s="81" t="str">
        <x:v>해양1</x:v>
      </x:c>
      <x:c r="V120" s="81" t="str">
        <x:v>담수1</x:v>
      </x:c>
    </x:row>
    <x:row r="121">
      <x:c r="A121" s="80" t="n">
        <x:v>117</x:v>
      </x:c>
      <x:c r="B121" s="80" t="str">
        <x:v>시드라</x:v>
      </x:c>
      <x:c r="C121" s="80" t="str">
        <x:v>seadra</x:v>
      </x:c>
      <x:c r="D121" s="80" t="str">
        <x:v>해양</x:v>
      </x:c>
      <x:c r="E121" s="81" t="str">
        <x:v>해양1</x:v>
      </x:c>
      <x:c r="F121" s="81" t="str">
        <x:v>담수1</x:v>
      </x:c>
      <x:c r="G121" s="81" t="str">
        <x:v>해양1</x:v>
      </x:c>
      <x:c r="H121" s="81" t="str">
        <x:v>담수1</x:v>
      </x:c>
      <x:c r="I121" s="81" t="str">
        <x:v>해양1</x:v>
      </x:c>
      <x:c r="J121" s="81" t="str">
        <x:v>담수1</x:v>
      </x:c>
      <x:c r="K121" s="81" t="str">
        <x:v>—</x:v>
      </x:c>
      <x:c r="L121" s="81" t="str">
        <x:v>—</x:v>
      </x:c>
      <x:c r="M121" s="81" t="str">
        <x:v>—</x:v>
      </x:c>
      <x:c r="N121" s="81" t="str">
        <x:v>—</x:v>
      </x:c>
      <x:c r="O121" s="81" t="str">
        <x:v>해양1</x:v>
      </x:c>
      <x:c r="P121" s="81" t="str">
        <x:v>담수1</x:v>
      </x:c>
      <x:c r="Q121" s="81" t="str">
        <x:v>—</x:v>
      </x:c>
      <x:c r="R121" s="81" t="str">
        <x:v>—</x:v>
      </x:c>
      <x:c r="S121" s="81" t="str">
        <x:v>해양1</x:v>
      </x:c>
      <x:c r="T121" s="81" t="str">
        <x:v>담수1</x:v>
      </x:c>
      <x:c r="U121" s="81" t="str">
        <x:v>해양1</x:v>
      </x:c>
      <x:c r="V121" s="81" t="str">
        <x:v>담수1</x:v>
      </x:c>
    </x:row>
    <x:row r="122">
      <x:c r="A122" s="80" t="n">
        <x:v>118</x:v>
      </x:c>
      <x:c r="B122" s="80" t="str">
        <x:v>콘치</x:v>
      </x:c>
      <x:c r="C122" s="80" t="str">
        <x:v>goldeen</x:v>
      </x:c>
      <x:c r="D122" s="80" t="str">
        <x:v>담수</x:v>
      </x:c>
      <x:c r="E122" s="81" t="str">
        <x:v>담수1</x:v>
      </x:c>
      <x:c r="F122" s="81" t="str">
        <x:v>습지1</x:v>
      </x:c>
      <x:c r="G122" s="81" t="str">
        <x:v>담수1</x:v>
      </x:c>
      <x:c r="H122" s="81" t="str">
        <x:v>습지2</x:v>
      </x:c>
      <x:c r="I122" s="81" t="str">
        <x:v>담수1</x:v>
      </x:c>
      <x:c r="J122" s="81" t="str">
        <x:v>습지1</x:v>
      </x:c>
      <x:c r="K122" s="81" t="str">
        <x:v>담수1</x:v>
      </x:c>
      <x:c r="L122" s="81" t="str">
        <x:v>습지1</x:v>
      </x:c>
      <x:c r="M122" s="81" t="str">
        <x:v>—</x:v>
      </x:c>
      <x:c r="N122" s="81" t="str">
        <x:v>—</x:v>
      </x:c>
      <x:c r="O122" s="81" t="str">
        <x:v>담수1</x:v>
      </x:c>
      <x:c r="P122" s="81" t="str">
        <x:v>습지1</x:v>
      </x:c>
      <x:c r="Q122" s="81" t="str">
        <x:v>담수1</x:v>
      </x:c>
      <x:c r="R122" s="81" t="str">
        <x:v>습지1</x:v>
      </x:c>
      <x:c r="S122" s="81" t="str">
        <x:v>담수1</x:v>
      </x:c>
      <x:c r="T122" s="81" t="str">
        <x:v>습지1</x:v>
      </x:c>
      <x:c r="U122" s="81" t="str">
        <x:v>—</x:v>
      </x:c>
      <x:c r="V122" s="81" t="str">
        <x:v>—</x:v>
      </x:c>
    </x:row>
    <x:row r="123">
      <x:c r="A123" s="80" t="n">
        <x:v>119</x:v>
      </x:c>
      <x:c r="B123" s="80" t="str">
        <x:v>왕콘치</x:v>
      </x:c>
      <x:c r="C123" s="80" t="str">
        <x:v>seaking</x:v>
      </x:c>
      <x:c r="D123" s="80" t="str">
        <x:v>담수</x:v>
      </x:c>
      <x:c r="E123" s="81" t="str">
        <x:v>담수1</x:v>
      </x:c>
      <x:c r="F123" s="81" t="str">
        <x:v>습지1</x:v>
      </x:c>
      <x:c r="G123" s="81" t="str">
        <x:v>담수1</x:v>
      </x:c>
      <x:c r="H123" s="81" t="str">
        <x:v>습지2</x:v>
      </x:c>
      <x:c r="I123" s="81" t="str">
        <x:v>담수1</x:v>
      </x:c>
      <x:c r="J123" s="81" t="str">
        <x:v>습지1</x:v>
      </x:c>
      <x:c r="K123" s="81" t="str">
        <x:v>담수1</x:v>
      </x:c>
      <x:c r="L123" s="81" t="str">
        <x:v>습지1</x:v>
      </x:c>
      <x:c r="M123" s="81" t="str">
        <x:v>—</x:v>
      </x:c>
      <x:c r="N123" s="81" t="str">
        <x:v>—</x:v>
      </x:c>
      <x:c r="O123" s="81" t="str">
        <x:v>담수1</x:v>
      </x:c>
      <x:c r="P123" s="81" t="str">
        <x:v>습지1</x:v>
      </x:c>
      <x:c r="Q123" s="81" t="str">
        <x:v>담수1</x:v>
      </x:c>
      <x:c r="R123" s="81" t="str">
        <x:v>습지1</x:v>
      </x:c>
      <x:c r="S123" s="81" t="str">
        <x:v>담수1</x:v>
      </x:c>
      <x:c r="T123" s="81" t="str">
        <x:v>습지1</x:v>
      </x:c>
      <x:c r="U123" s="81" t="str">
        <x:v>—</x:v>
      </x:c>
      <x:c r="V123" s="81" t="str">
        <x:v>—</x:v>
      </x:c>
    </x:row>
    <x:row r="124">
      <x:c r="A124" s="80" t="n">
        <x:v>120</x:v>
      </x:c>
      <x:c r="B124" s="80" t="str">
        <x:v>별가사리</x:v>
      </x:c>
      <x:c r="C124" s="80" t="str">
        <x:v>staryu</x:v>
      </x:c>
      <x:c r="D124" s="80" t="str">
        <x:v>해양</x:v>
      </x:c>
      <x:c r="E124" s="81" t="str">
        <x:v>해양1</x:v>
      </x:c>
      <x:c r="F124" s="81" t="str">
        <x:v>담수1</x:v>
      </x:c>
      <x:c r="G124" s="81" t="str">
        <x:v>해양1</x:v>
      </x:c>
      <x:c r="H124" s="81" t="str">
        <x:v>담수1</x:v>
      </x:c>
      <x:c r="I124" s="81" t="str">
        <x:v>해양1</x:v>
      </x:c>
      <x:c r="J124" s="81" t="str">
        <x:v>담수1</x:v>
      </x:c>
      <x:c r="K124" s="81" t="str">
        <x:v>—</x:v>
      </x:c>
      <x:c r="L124" s="81" t="str">
        <x:v>—</x:v>
      </x:c>
      <x:c r="M124" s="81" t="str">
        <x:v>해양1</x:v>
      </x:c>
      <x:c r="N124" s="81" t="str">
        <x:v>담수1</x:v>
      </x:c>
      <x:c r="O124" s="81" t="str">
        <x:v>해양1</x:v>
      </x:c>
      <x:c r="P124" s="81" t="str">
        <x:v>담수1</x:v>
      </x:c>
      <x:c r="Q124" s="81" t="str">
        <x:v>해양1</x:v>
      </x:c>
      <x:c r="R124" s="81" t="str">
        <x:v>담수1</x:v>
      </x:c>
      <x:c r="S124" s="81" t="str">
        <x:v>해양1</x:v>
      </x:c>
      <x:c r="T124" s="81" t="str">
        <x:v>담수1</x:v>
      </x:c>
      <x:c r="U124" s="81" t="str">
        <x:v>—</x:v>
      </x:c>
      <x:c r="V124" s="81" t="str">
        <x:v>—</x:v>
      </x:c>
    </x:row>
    <x:row r="125">
      <x:c r="A125" s="80" t="n">
        <x:v>121</x:v>
      </x:c>
      <x:c r="B125" s="80" t="str">
        <x:v>아쿠스타</x:v>
      </x:c>
      <x:c r="C125" s="80" t="str">
        <x:v>starmie</x:v>
      </x:c>
      <x:c r="D125" s="80" t="str">
        <x:v>해양</x:v>
      </x:c>
      <x:c r="E125" s="81" t="str">
        <x:v>해양1</x:v>
      </x:c>
      <x:c r="F125" s="81" t="str">
        <x:v>담수1</x:v>
      </x:c>
      <x:c r="G125" s="81" t="str">
        <x:v>해양1</x:v>
      </x:c>
      <x:c r="H125" s="81" t="str">
        <x:v>담수1</x:v>
      </x:c>
      <x:c r="I125" s="81" t="str">
        <x:v>해양1</x:v>
      </x:c>
      <x:c r="J125" s="81" t="str">
        <x:v>담수1</x:v>
      </x:c>
      <x:c r="K125" s="81" t="str">
        <x:v>—</x:v>
      </x:c>
      <x:c r="L125" s="81" t="str">
        <x:v>—</x:v>
      </x:c>
      <x:c r="M125" s="81" t="str">
        <x:v>해양1</x:v>
      </x:c>
      <x:c r="N125" s="81" t="str">
        <x:v>담수1</x:v>
      </x:c>
      <x:c r="O125" s="81" t="str">
        <x:v>해양1</x:v>
      </x:c>
      <x:c r="P125" s="81" t="str">
        <x:v>담수1</x:v>
      </x:c>
      <x:c r="Q125" s="81" t="str">
        <x:v>해양1</x:v>
      </x:c>
      <x:c r="R125" s="81" t="str">
        <x:v>담수1</x:v>
      </x:c>
      <x:c r="S125" s="81" t="str">
        <x:v>해양1</x:v>
      </x:c>
      <x:c r="T125" s="81" t="str">
        <x:v>담수1</x:v>
      </x:c>
      <x:c r="U125" s="81" t="str">
        <x:v>—</x:v>
      </x:c>
      <x:c r="V125" s="81" t="str">
        <x:v>—</x:v>
      </x:c>
    </x:row>
    <x:row r="126">
      <x:c r="A126" s="80" t="n">
        <x:v>122</x:v>
      </x:c>
      <x:c r="B126" s="80" t="str">
        <x:v>마임맨</x:v>
      </x:c>
      <x:c r="C126" s="80" t="str">
        <x:v>mrmime</x:v>
      </x:c>
      <x:c r="D126" s="80" t="str">
        <x:v>평원</x:v>
      </x:c>
      <x:c r="E126" s="81" t="str">
        <x:v>평원2</x:v>
      </x:c>
      <x:c r="F126" s="81" t="str">
        <x:v>숲2</x:v>
      </x:c>
      <x:c r="G126" s="81" t="str">
        <x:v>평원2</x:v>
      </x:c>
      <x:c r="H126" s="81" t="str">
        <x:v>숲2</x:v>
      </x:c>
      <x:c r="I126" s="81" t="str">
        <x:v>—</x:v>
      </x:c>
      <x:c r="J126" s="81" t="str">
        <x:v>—</x:v>
      </x:c>
      <x:c r="K126" s="81" t="str">
        <x:v>평원1</x:v>
      </x:c>
      <x:c r="L126" s="81" t="str">
        <x:v>숲1</x:v>
      </x:c>
      <x:c r="M126" s="81" t="str">
        <x:v>—</x:v>
      </x:c>
      <x:c r="N126" s="81" t="str">
        <x:v>—</x:v>
      </x:c>
      <x:c r="O126" s="81" t="str">
        <x:v>평원2</x:v>
      </x:c>
      <x:c r="P126" s="81" t="str">
        <x:v>숲2</x:v>
      </x:c>
      <x:c r="Q126" s="81" t="str">
        <x:v>평원2</x:v>
      </x:c>
      <x:c r="R126" s="81" t="str">
        <x:v>숲1</x:v>
      </x:c>
      <x:c r="S126" s="81" t="str">
        <x:v>평원1</x:v>
      </x:c>
      <x:c r="T126" s="81" t="str">
        <x:v>숲1</x:v>
      </x:c>
      <x:c r="U126" s="81" t="str">
        <x:v>—</x:v>
      </x:c>
      <x:c r="V126" s="81" t="str">
        <x:v>—</x:v>
      </x:c>
    </x:row>
    <x:row r="127">
      <x:c r="A127" s="80" t="n">
        <x:v>123</x:v>
      </x:c>
      <x:c r="B127" s="80" t="str">
        <x:v>스라크</x:v>
      </x:c>
      <x:c r="C127" s="80" t="str">
        <x:v>scyther</x:v>
      </x:c>
      <x:c r="D127" s="80" t="str">
        <x:v>숲</x:v>
      </x:c>
      <x:c r="E127" s="81" t="str">
        <x:v>숲2</x:v>
      </x:c>
      <x:c r="F127" s="81" t="str">
        <x:v>평원2</x:v>
      </x:c>
      <x:c r="G127" s="81" t="str">
        <x:v>숲2</x:v>
      </x:c>
      <x:c r="H127" s="81" t="str">
        <x:v>평원2</x:v>
      </x:c>
      <x:c r="I127" s="81" t="str">
        <x:v>—</x:v>
      </x:c>
      <x:c r="J127" s="81" t="str">
        <x:v>—</x:v>
      </x:c>
      <x:c r="K127" s="81" t="str">
        <x:v>숲1</x:v>
      </x:c>
      <x:c r="L127" s="81" t="str">
        <x:v>평원1</x:v>
      </x:c>
      <x:c r="M127" s="81" t="str">
        <x:v>—</x:v>
      </x:c>
      <x:c r="N127" s="81" t="str">
        <x:v>—</x:v>
      </x:c>
      <x:c r="O127" s="81" t="str">
        <x:v>숲2</x:v>
      </x:c>
      <x:c r="P127" s="81" t="str">
        <x:v>평원2</x:v>
      </x:c>
      <x:c r="Q127" s="81" t="str">
        <x:v>숲1</x:v>
      </x:c>
      <x:c r="R127" s="81" t="str">
        <x:v>평원2</x:v>
      </x:c>
      <x:c r="S127" s="81" t="str">
        <x:v>숲1</x:v>
      </x:c>
      <x:c r="T127" s="81" t="str">
        <x:v>평원1</x:v>
      </x:c>
      <x:c r="U127" s="81" t="str">
        <x:v>숲1</x:v>
      </x:c>
      <x:c r="V127" s="81" t="str">
        <x:v>평원1</x:v>
      </x:c>
    </x:row>
    <x:row r="128">
      <x:c r="A128" s="80" t="n">
        <x:v>124</x:v>
      </x:c>
      <x:c r="B128" s="80" t="str">
        <x:v>루주라</x:v>
      </x:c>
      <x:c r="C128" s="80" t="str">
        <x:v>jynx</x:v>
      </x:c>
      <x:c r="D128" s="80" t="str">
        <x:v>설원</x:v>
      </x:c>
      <x:c r="E128" s="81" t="str">
        <x:v>설원1</x:v>
      </x:c>
      <x:c r="F128" s="81" t="str">
        <x:v>평원2</x:v>
      </x:c>
      <x:c r="G128" s="81" t="str">
        <x:v>설원1</x:v>
      </x:c>
      <x:c r="H128" s="81" t="str">
        <x:v>평원2</x:v>
      </x:c>
      <x:c r="I128" s="81" t="str">
        <x:v>—</x:v>
      </x:c>
      <x:c r="J128" s="81" t="str">
        <x:v>—</x:v>
      </x:c>
      <x:c r="K128" s="81" t="str">
        <x:v>—</x:v>
      </x:c>
      <x:c r="L128" s="81" t="str">
        <x:v>—</x:v>
      </x:c>
      <x:c r="M128" s="81" t="str">
        <x:v>—</x:v>
      </x:c>
      <x:c r="N128" s="81" t="str">
        <x:v>—</x:v>
      </x:c>
      <x:c r="O128" s="81" t="str">
        <x:v>설원1</x:v>
      </x:c>
      <x:c r="P128" s="81" t="str">
        <x:v>평원2</x:v>
      </x:c>
      <x:c r="Q128" s="81" t="str">
        <x:v>설원1</x:v>
      </x:c>
      <x:c r="R128" s="81" t="str">
        <x:v>평원2</x:v>
      </x:c>
      <x:c r="S128" s="81" t="str">
        <x:v>설원1</x:v>
      </x:c>
      <x:c r="T128" s="81" t="str">
        <x:v>평원1</x:v>
      </x:c>
      <x:c r="U128" s="81" t="str">
        <x:v>—</x:v>
      </x:c>
      <x:c r="V128" s="81" t="str">
        <x:v>—</x:v>
      </x:c>
    </x:row>
    <x:row r="129">
      <x:c r="A129" s="80" t="n">
        <x:v>125</x:v>
      </x:c>
      <x:c r="B129" s="80" t="str">
        <x:v>에레브</x:v>
      </x:c>
      <x:c r="C129" s="80" t="str">
        <x:v>electabuzz</x:v>
      </x:c>
      <x:c r="D129" s="80" t="str">
        <x:v>산악</x:v>
      </x:c>
      <x:c r="E129" s="81" t="str">
        <x:v>산악1</x:v>
      </x:c>
      <x:c r="F129" s="81" t="str">
        <x:v>평원2</x:v>
      </x:c>
      <x:c r="G129" s="81" t="str">
        <x:v>산악1</x:v>
      </x:c>
      <x:c r="H129" s="81" t="str">
        <x:v>평원2</x:v>
      </x:c>
      <x:c r="I129" s="81" t="str">
        <x:v>—</x:v>
      </x:c>
      <x:c r="J129" s="81" t="str">
        <x:v>—</x:v>
      </x:c>
      <x:c r="K129" s="81" t="str">
        <x:v>산악1</x:v>
      </x:c>
      <x:c r="L129" s="81" t="str">
        <x:v>평원1</x:v>
      </x:c>
      <x:c r="M129" s="81" t="str">
        <x:v>산악1</x:v>
      </x:c>
      <x:c r="N129" s="81" t="str">
        <x:v>평원1</x:v>
      </x:c>
      <x:c r="O129" s="81" t="str">
        <x:v>—</x:v>
      </x:c>
      <x:c r="P129" s="81" t="str">
        <x:v>—</x:v>
      </x:c>
      <x:c r="Q129" s="81" t="str">
        <x:v>산악1</x:v>
      </x:c>
      <x:c r="R129" s="81" t="str">
        <x:v>평원2</x:v>
      </x:c>
      <x:c r="S129" s="81" t="str">
        <x:v>산악1</x:v>
      </x:c>
      <x:c r="T129" s="81" t="str">
        <x:v>평원1</x:v>
      </x:c>
      <x:c r="U129" s="81" t="str">
        <x:v>산악1</x:v>
      </x:c>
      <x:c r="V129" s="81" t="str">
        <x:v>평원1</x:v>
      </x:c>
    </x:row>
    <x:row r="130">
      <x:c r="A130" s="80" t="n">
        <x:v>126</x:v>
      </x:c>
      <x:c r="B130" s="80" t="str">
        <x:v>마그마</x:v>
      </x:c>
      <x:c r="C130" s="80" t="str">
        <x:v>magmar</x:v>
      </x:c>
      <x:c r="D130" s="80" t="str">
        <x:v>화산</x:v>
      </x:c>
      <x:c r="E130" s="81" t="str">
        <x:v>화산1</x:v>
      </x:c>
      <x:c r="F130" s="81" t="str">
        <x:v>건조지1</x:v>
      </x:c>
      <x:c r="G130" s="81" t="str">
        <x:v>화산1</x:v>
      </x:c>
      <x:c r="H130" s="81" t="str">
        <x:v>건조지1</x:v>
      </x:c>
      <x:c r="I130" s="81" t="str">
        <x:v>—</x:v>
      </x:c>
      <x:c r="J130" s="81" t="str">
        <x:v>—</x:v>
      </x:c>
      <x:c r="K130" s="81" t="str">
        <x:v>화산1</x:v>
      </x:c>
      <x:c r="L130" s="81" t="str">
        <x:v>건조지1</x:v>
      </x:c>
      <x:c r="M130" s="81" t="str">
        <x:v>화산1</x:v>
      </x:c>
      <x:c r="N130" s="81" t="str">
        <x:v>건조지1</x:v>
      </x:c>
      <x:c r="O130" s="81" t="str">
        <x:v>—</x:v>
      </x:c>
      <x:c r="P130" s="81" t="str">
        <x:v>—</x:v>
      </x:c>
      <x:c r="Q130" s="81" t="str">
        <x:v>화산1</x:v>
      </x:c>
      <x:c r="R130" s="81" t="str">
        <x:v>건조지1</x:v>
      </x:c>
      <x:c r="S130" s="81" t="str">
        <x:v>화산1</x:v>
      </x:c>
      <x:c r="T130" s="81" t="str">
        <x:v>건조지1</x:v>
      </x:c>
      <x:c r="U130" s="81" t="str">
        <x:v>화산1</x:v>
      </x:c>
      <x:c r="V130" s="81" t="str">
        <x:v>건조지1</x:v>
      </x:c>
    </x:row>
    <x:row r="131">
      <x:c r="A131" s="80" t="n">
        <x:v>127</x:v>
      </x:c>
      <x:c r="B131" s="80" t="str">
        <x:v>쁘사이저</x:v>
      </x:c>
      <x:c r="C131" s="80" t="str">
        <x:v>pinsir</x:v>
      </x:c>
      <x:c r="D131" s="80" t="str">
        <x:v>숲</x:v>
      </x:c>
      <x:c r="E131" s="81" t="str">
        <x:v>숲2</x:v>
      </x:c>
      <x:c r="F131" s="81" t="str">
        <x:v>습지1</x:v>
      </x:c>
      <x:c r="G131" s="81" t="str">
        <x:v>숲2</x:v>
      </x:c>
      <x:c r="H131" s="81" t="str">
        <x:v>습지2</x:v>
      </x:c>
      <x:c r="I131" s="81" t="str">
        <x:v>숲1</x:v>
      </x:c>
      <x:c r="J131" s="81" t="str">
        <x:v>습지1</x:v>
      </x:c>
      <x:c r="K131" s="81" t="str">
        <x:v>—</x:v>
      </x:c>
      <x:c r="L131" s="81" t="str">
        <x:v>—</x:v>
      </x:c>
      <x:c r="M131" s="81" t="str">
        <x:v>숲1</x:v>
      </x:c>
      <x:c r="N131" s="81" t="str">
        <x:v>습지1</x:v>
      </x:c>
      <x:c r="O131" s="81" t="str">
        <x:v>숲2</x:v>
      </x:c>
      <x:c r="P131" s="81" t="str">
        <x:v>습지1</x:v>
      </x:c>
      <x:c r="Q131" s="81" t="str">
        <x:v>숲1</x:v>
      </x:c>
      <x:c r="R131" s="81" t="str">
        <x:v>습지1</x:v>
      </x:c>
      <x:c r="S131" s="81" t="str">
        <x:v>숲2</x:v>
      </x:c>
      <x:c r="T131" s="81" t="str">
        <x:v>습지1</x:v>
      </x:c>
      <x:c r="U131" s="81" t="str">
        <x:v>—</x:v>
      </x:c>
      <x:c r="V131" s="81" t="str">
        <x:v>—</x:v>
      </x:c>
    </x:row>
    <x:row r="132">
      <x:c r="A132" s="80" t="n">
        <x:v>128</x:v>
      </x:c>
      <x:c r="B132" s="80" t="str">
        <x:v>켄타로스</x:v>
      </x:c>
      <x:c r="C132" s="80" t="str">
        <x:v>tauros</x:v>
      </x:c>
      <x:c r="D132" s="80" t="str">
        <x:v>산악</x:v>
      </x:c>
      <x:c r="E132" s="81" t="str">
        <x:v>산악1</x:v>
      </x:c>
      <x:c r="F132" s="81" t="str">
        <x:v>평원2</x:v>
      </x:c>
      <x:c r="G132" s="81" t="str">
        <x:v>산악1</x:v>
      </x:c>
      <x:c r="H132" s="81" t="str">
        <x:v>평원2</x:v>
      </x:c>
      <x:c r="I132" s="81" t="str">
        <x:v>—</x:v>
      </x:c>
      <x:c r="J132" s="81" t="str">
        <x:v>—</x:v>
      </x:c>
      <x:c r="K132" s="81" t="str">
        <x:v>—</x:v>
      </x:c>
      <x:c r="L132" s="81" t="str">
        <x:v>—</x:v>
      </x:c>
      <x:c r="M132" s="81" t="str">
        <x:v>—</x:v>
      </x:c>
      <x:c r="N132" s="81" t="str">
        <x:v>—</x:v>
      </x:c>
      <x:c r="O132" s="81" t="str">
        <x:v>산악1</x:v>
      </x:c>
      <x:c r="P132" s="81" t="str">
        <x:v>평원2</x:v>
      </x:c>
      <x:c r="Q132" s="81" t="str">
        <x:v>산악1</x:v>
      </x:c>
      <x:c r="R132" s="81" t="str">
        <x:v>평원2</x:v>
      </x:c>
      <x:c r="S132" s="81" t="str">
        <x:v>산악1</x:v>
      </x:c>
      <x:c r="T132" s="81" t="str">
        <x:v>평원1</x:v>
      </x:c>
      <x:c r="U132" s="81" t="str">
        <x:v>산악1</x:v>
      </x:c>
      <x:c r="V132" s="81" t="str">
        <x:v>평원1</x:v>
      </x:c>
    </x:row>
    <x:row r="133">
      <x:c r="A133" s="80" t="n">
        <x:v>129</x:v>
      </x:c>
      <x:c r="B133" s="80" t="str">
        <x:v>잉어킹</x:v>
      </x:c>
      <x:c r="C133" s="80" t="str">
        <x:v>magikarp</x:v>
      </x:c>
      <x:c r="D133" s="80" t="str">
        <x:v>해양</x:v>
      </x:c>
      <x:c r="E133" s="81" t="str">
        <x:v>해양1</x:v>
      </x:c>
      <x:c r="F133" s="81" t="str">
        <x:v>담수1</x:v>
      </x:c>
      <x:c r="G133" s="81" t="str">
        <x:v>해양1</x:v>
      </x:c>
      <x:c r="H133" s="81" t="str">
        <x:v>담수1</x:v>
      </x:c>
      <x:c r="I133" s="81" t="str">
        <x:v>해양1</x:v>
      </x:c>
      <x:c r="J133" s="81" t="str">
        <x:v>담수1</x:v>
      </x:c>
      <x:c r="K133" s="81" t="str">
        <x:v>해양1</x:v>
      </x:c>
      <x:c r="L133" s="81" t="str">
        <x:v>담수1</x:v>
      </x:c>
      <x:c r="M133" s="81" t="str">
        <x:v>—</x:v>
      </x:c>
      <x:c r="N133" s="81" t="str">
        <x:v>—</x:v>
      </x:c>
      <x:c r="O133" s="81" t="str">
        <x:v>해양1</x:v>
      </x:c>
      <x:c r="P133" s="81" t="str">
        <x:v>담수1</x:v>
      </x:c>
      <x:c r="Q133" s="81" t="str">
        <x:v>해양1</x:v>
      </x:c>
      <x:c r="R133" s="81" t="str">
        <x:v>담수1</x:v>
      </x:c>
      <x:c r="S133" s="81" t="str">
        <x:v>해양1</x:v>
      </x:c>
      <x:c r="T133" s="81" t="str">
        <x:v>담수1</x:v>
      </x:c>
      <x:c r="U133" s="81" t="str">
        <x:v>해양1</x:v>
      </x:c>
      <x:c r="V133" s="81" t="str">
        <x:v>담수1</x:v>
      </x:c>
    </x:row>
    <x:row r="134">
      <x:c r="A134" s="80" t="n">
        <x:v>130</x:v>
      </x:c>
      <x:c r="B134" s="80" t="str">
        <x:v>갸라도스</x:v>
      </x:c>
      <x:c r="C134" s="80" t="str">
        <x:v>gyarados</x:v>
      </x:c>
      <x:c r="D134" s="80" t="str">
        <x:v>해양</x:v>
      </x:c>
      <x:c r="E134" s="81" t="str">
        <x:v>해양1</x:v>
      </x:c>
      <x:c r="F134" s="81" t="str">
        <x:v>담수1</x:v>
      </x:c>
      <x:c r="G134" s="81" t="str">
        <x:v>해양1</x:v>
      </x:c>
      <x:c r="H134" s="81" t="str">
        <x:v>담수2</x:v>
      </x:c>
      <x:c r="I134" s="81" t="str">
        <x:v>해양1</x:v>
      </x:c>
      <x:c r="J134" s="81" t="str">
        <x:v>담수1</x:v>
      </x:c>
      <x:c r="K134" s="81" t="str">
        <x:v>해양1</x:v>
      </x:c>
      <x:c r="L134" s="81" t="str">
        <x:v>담수1</x:v>
      </x:c>
      <x:c r="M134" s="81" t="str">
        <x:v>—</x:v>
      </x:c>
      <x:c r="N134" s="81" t="str">
        <x:v>—</x:v>
      </x:c>
      <x:c r="O134" s="81" t="str">
        <x:v>해양1</x:v>
      </x:c>
      <x:c r="P134" s="81" t="str">
        <x:v>담수1</x:v>
      </x:c>
      <x:c r="Q134" s="81" t="str">
        <x:v>해양1</x:v>
      </x:c>
      <x:c r="R134" s="81" t="str">
        <x:v>담수1</x:v>
      </x:c>
      <x:c r="S134" s="81" t="str">
        <x:v>해양1</x:v>
      </x:c>
      <x:c r="T134" s="81" t="str">
        <x:v>담수1</x:v>
      </x:c>
      <x:c r="U134" s="81" t="str">
        <x:v>해양1</x:v>
      </x:c>
      <x:c r="V134" s="81" t="str">
        <x:v>담수1</x:v>
      </x:c>
    </x:row>
    <x:row r="135">
      <x:c r="A135" s="80" t="n">
        <x:v>131</x:v>
      </x:c>
      <x:c r="B135" s="80" t="str">
        <x:v>라프라스</x:v>
      </x:c>
      <x:c r="C135" s="80" t="str">
        <x:v>lapras</x:v>
      </x:c>
      <x:c r="D135" s="80" t="str">
        <x:v>해양</x:v>
      </x:c>
      <x:c r="E135" s="81" t="str">
        <x:v>해양1</x:v>
      </x:c>
      <x:c r="F135" s="81" t="str">
        <x:v>담수1</x:v>
      </x:c>
      <x:c r="G135" s="81" t="str">
        <x:v>해양1</x:v>
      </x:c>
      <x:c r="H135" s="81" t="str">
        <x:v>담수2</x:v>
      </x:c>
      <x:c r="I135" s="81" t="str">
        <x:v>—</x:v>
      </x:c>
      <x:c r="J135" s="81" t="str">
        <x:v>—</x:v>
      </x:c>
      <x:c r="K135" s="81" t="str">
        <x:v>—</x:v>
      </x:c>
      <x:c r="L135" s="81" t="str">
        <x:v>—</x:v>
      </x:c>
      <x:c r="M135" s="81" t="str">
        <x:v>해양1</x:v>
      </x:c>
      <x:c r="N135" s="81" t="str">
        <x:v>담수1</x:v>
      </x:c>
      <x:c r="O135" s="81" t="str">
        <x:v>해양1</x:v>
      </x:c>
      <x:c r="P135" s="81" t="str">
        <x:v>담수1</x:v>
      </x:c>
      <x:c r="Q135" s="81" t="str">
        <x:v>해양1</x:v>
      </x:c>
      <x:c r="R135" s="81" t="str">
        <x:v>담수1</x:v>
      </x:c>
      <x:c r="S135" s="81" t="str">
        <x:v>해양1</x:v>
      </x:c>
      <x:c r="T135" s="81" t="str">
        <x:v>담수1</x:v>
      </x:c>
      <x:c r="U135" s="81" t="str">
        <x:v>해양1</x:v>
      </x:c>
      <x:c r="V135" s="81" t="str">
        <x:v>담수1</x:v>
      </x:c>
    </x:row>
    <x:row r="136">
      <x:c r="A136" s="80" t="n">
        <x:v>132</x:v>
      </x:c>
      <x:c r="B136" s="80" t="str">
        <x:v>메타몽</x:v>
      </x:c>
      <x:c r="C136" s="80" t="str">
        <x:v>ditto</x:v>
      </x:c>
      <x:c r="D136" s="80" t="str">
        <x:v>평원</x:v>
      </x:c>
      <x:c r="E136" s="81" t="str">
        <x:v>평원2</x:v>
      </x:c>
      <x:c r="F136" s="81" t="str">
        <x:v>숲2</x:v>
      </x:c>
      <x:c r="G136" s="81" t="str">
        <x:v>평원2</x:v>
      </x:c>
      <x:c r="H136" s="81" t="str">
        <x:v>숲2</x:v>
      </x:c>
      <x:c r="I136" s="81" t="str">
        <x:v>—</x:v>
      </x:c>
      <x:c r="J136" s="81" t="str">
        <x:v>—</x:v>
      </x:c>
      <x:c r="K136" s="81" t="str">
        <x:v>—</x:v>
      </x:c>
      <x:c r="L136" s="81" t="str">
        <x:v>—</x:v>
      </x:c>
      <x:c r="M136" s="81" t="str">
        <x:v>평원1</x:v>
      </x:c>
      <x:c r="N136" s="81" t="str">
        <x:v>숲1</x:v>
      </x:c>
      <x:c r="O136" s="81" t="str">
        <x:v>평원2</x:v>
      </x:c>
      <x:c r="P136" s="81" t="str">
        <x:v>숲2</x:v>
      </x:c>
      <x:c r="Q136" s="81" t="str">
        <x:v>평원2</x:v>
      </x:c>
      <x:c r="R136" s="81" t="str">
        <x:v>숲1</x:v>
      </x:c>
      <x:c r="S136" s="81" t="str">
        <x:v>평원1</x:v>
      </x:c>
      <x:c r="T136" s="81" t="str">
        <x:v>숲2</x:v>
      </x:c>
      <x:c r="U136" s="81" t="str">
        <x:v>평원1</x:v>
      </x:c>
      <x:c r="V136" s="81" t="str">
        <x:v>숲1</x:v>
      </x:c>
    </x:row>
    <x:row r="137">
      <x:c r="A137" s="80" t="n">
        <x:v>133</x:v>
      </x:c>
      <x:c r="B137" s="80" t="str">
        <x:v>이브이</x:v>
      </x:c>
      <x:c r="C137" s="80" t="str">
        <x:v>eevee</x:v>
      </x:c>
      <x:c r="D137" s="80" t="str">
        <x:v>평원</x:v>
      </x:c>
      <x:c r="E137" s="81" t="str">
        <x:v>평원2</x:v>
      </x:c>
      <x:c r="F137" s="81" t="str">
        <x:v>숲2</x:v>
      </x:c>
      <x:c r="G137" s="81" t="str">
        <x:v>평원2</x:v>
      </x:c>
      <x:c r="H137" s="81" t="str">
        <x:v>숲2</x:v>
      </x:c>
      <x:c r="I137" s="81" t="str">
        <x:v>—</x:v>
      </x:c>
      <x:c r="J137" s="81" t="str">
        <x:v>—</x:v>
      </x:c>
      <x:c r="K137" s="81" t="str">
        <x:v>평원1</x:v>
      </x:c>
      <x:c r="L137" s="81" t="str">
        <x:v>숲1</x:v>
      </x:c>
      <x:c r="M137" s="81" t="str">
        <x:v>평원1</x:v>
      </x:c>
      <x:c r="N137" s="81" t="str">
        <x:v>숲1</x:v>
      </x:c>
      <x:c r="O137" s="81" t="str">
        <x:v>평원2</x:v>
      </x:c>
      <x:c r="P137" s="81" t="str">
        <x:v>숲2</x:v>
      </x:c>
      <x:c r="Q137" s="81" t="str">
        <x:v>평원2</x:v>
      </x:c>
      <x:c r="R137" s="81" t="str">
        <x:v>숲1</x:v>
      </x:c>
      <x:c r="S137" s="81" t="str">
        <x:v>평원2</x:v>
      </x:c>
      <x:c r="T137" s="81" t="str">
        <x:v>숲2</x:v>
      </x:c>
      <x:c r="U137" s="81" t="str">
        <x:v>평원1</x:v>
      </x:c>
      <x:c r="V137" s="81" t="str">
        <x:v>숲1</x:v>
      </x:c>
    </x:row>
    <x:row r="138">
      <x:c r="A138" s="80" t="n">
        <x:v>134</x:v>
      </x:c>
      <x:c r="B138" s="80" t="str">
        <x:v>샤미드</x:v>
      </x:c>
      <x:c r="C138" s="80" t="str">
        <x:v>vaporeon</x:v>
      </x:c>
      <x:c r="D138" s="80" t="str">
        <x:v>담수</x:v>
      </x:c>
      <x:c r="E138" s="81" t="str">
        <x:v>담수1</x:v>
      </x:c>
      <x:c r="F138" s="81" t="str">
        <x:v>습지1</x:v>
      </x:c>
      <x:c r="G138" s="81" t="str">
        <x:v>담수2</x:v>
      </x:c>
      <x:c r="H138" s="81" t="str">
        <x:v>습지2</x:v>
      </x:c>
      <x:c r="I138" s="81" t="str">
        <x:v>—</x:v>
      </x:c>
      <x:c r="J138" s="81" t="str">
        <x:v>—</x:v>
      </x:c>
      <x:c r="K138" s="81" t="str">
        <x:v>담수1</x:v>
      </x:c>
      <x:c r="L138" s="81" t="str">
        <x:v>습지1</x:v>
      </x:c>
      <x:c r="M138" s="81" t="str">
        <x:v>담수1</x:v>
      </x:c>
      <x:c r="N138" s="81" t="str">
        <x:v>습지1</x:v>
      </x:c>
      <x:c r="O138" s="81" t="str">
        <x:v>담수1</x:v>
      </x:c>
      <x:c r="P138" s="81" t="str">
        <x:v>습지1</x:v>
      </x:c>
      <x:c r="Q138" s="81" t="str">
        <x:v>담수1</x:v>
      </x:c>
      <x:c r="R138" s="81" t="str">
        <x:v>습지1</x:v>
      </x:c>
      <x:c r="S138" s="81" t="str">
        <x:v>담수1</x:v>
      </x:c>
      <x:c r="T138" s="81" t="str">
        <x:v>습지1</x:v>
      </x:c>
      <x:c r="U138" s="81" t="str">
        <x:v>담수1</x:v>
      </x:c>
      <x:c r="V138" s="81" t="str">
        <x:v>습지1</x:v>
      </x:c>
    </x:row>
    <x:row r="139">
      <x:c r="A139" s="80" t="n">
        <x:v>135</x:v>
      </x:c>
      <x:c r="B139" s="80" t="str">
        <x:v>쥬피썬더</x:v>
      </x:c>
      <x:c r="C139" s="80" t="str">
        <x:v>jolteon</x:v>
      </x:c>
      <x:c r="D139" s="80" t="str">
        <x:v>평원</x:v>
      </x:c>
      <x:c r="E139" s="81" t="str">
        <x:v>평원2</x:v>
      </x:c>
      <x:c r="F139" s="81" t="str">
        <x:v>숲2</x:v>
      </x:c>
      <x:c r="G139" s="81" t="str">
        <x:v>평원2</x:v>
      </x:c>
      <x:c r="H139" s="81" t="str">
        <x:v>숲2</x:v>
      </x:c>
      <x:c r="I139" s="81" t="str">
        <x:v>—</x:v>
      </x:c>
      <x:c r="J139" s="81" t="str">
        <x:v>—</x:v>
      </x:c>
      <x:c r="K139" s="81" t="str">
        <x:v>평원1</x:v>
      </x:c>
      <x:c r="L139" s="81" t="str">
        <x:v>숲1</x:v>
      </x:c>
      <x:c r="M139" s="81" t="str">
        <x:v>평원1</x:v>
      </x:c>
      <x:c r="N139" s="81" t="str">
        <x:v>숲1</x:v>
      </x:c>
      <x:c r="O139" s="81" t="str">
        <x:v>평원2</x:v>
      </x:c>
      <x:c r="P139" s="81" t="str">
        <x:v>숲2</x:v>
      </x:c>
      <x:c r="Q139" s="81" t="str">
        <x:v>평원2</x:v>
      </x:c>
      <x:c r="R139" s="81" t="str">
        <x:v>숲1</x:v>
      </x:c>
      <x:c r="S139" s="81" t="str">
        <x:v>평원2</x:v>
      </x:c>
      <x:c r="T139" s="81" t="str">
        <x:v>숲2</x:v>
      </x:c>
      <x:c r="U139" s="81" t="str">
        <x:v>평원1</x:v>
      </x:c>
      <x:c r="V139" s="81" t="str">
        <x:v>숲1</x:v>
      </x:c>
    </x:row>
    <x:row r="140">
      <x:c r="A140" s="80" t="n">
        <x:v>136</x:v>
      </x:c>
      <x:c r="B140" s="80" t="str">
        <x:v>부스터</x:v>
      </x:c>
      <x:c r="C140" s="80" t="str">
        <x:v>flareon</x:v>
      </x:c>
      <x:c r="D140" s="80" t="str">
        <x:v>건조지</x:v>
      </x:c>
      <x:c r="E140" s="81" t="str">
        <x:v>건조지1</x:v>
      </x:c>
      <x:c r="F140" s="81" t="str">
        <x:v>화산1</x:v>
      </x:c>
      <x:c r="G140" s="81" t="str">
        <x:v>건조지1</x:v>
      </x:c>
      <x:c r="H140" s="81" t="str">
        <x:v>화산1</x:v>
      </x:c>
      <x:c r="I140" s="81" t="str">
        <x:v>—</x:v>
      </x:c>
      <x:c r="J140" s="81" t="str">
        <x:v>—</x:v>
      </x:c>
      <x:c r="K140" s="81" t="str">
        <x:v>건조지1</x:v>
      </x:c>
      <x:c r="L140" s="81" t="str">
        <x:v>화산1</x:v>
      </x:c>
      <x:c r="M140" s="81" t="str">
        <x:v>건조지1</x:v>
      </x:c>
      <x:c r="N140" s="81" t="str">
        <x:v>화산1</x:v>
      </x:c>
      <x:c r="O140" s="81" t="str">
        <x:v>건조지1</x:v>
      </x:c>
      <x:c r="P140" s="81" t="str">
        <x:v>화산1</x:v>
      </x:c>
      <x:c r="Q140" s="81" t="str">
        <x:v>건조지1</x:v>
      </x:c>
      <x:c r="R140" s="81" t="str">
        <x:v>화산1</x:v>
      </x:c>
      <x:c r="S140" s="81" t="str">
        <x:v>건조지1</x:v>
      </x:c>
      <x:c r="T140" s="81" t="str">
        <x:v>화산1</x:v>
      </x:c>
      <x:c r="U140" s="81" t="str">
        <x:v>건조지1</x:v>
      </x:c>
      <x:c r="V140" s="81" t="str">
        <x:v>화산1</x:v>
      </x:c>
    </x:row>
    <x:row r="141">
      <x:c r="A141" s="80" t="n">
        <x:v>137</x:v>
      </x:c>
      <x:c r="B141" s="80" t="str">
        <x:v>폴리곤</x:v>
      </x:c>
      <x:c r="C141" s="80" t="str">
        <x:v>porygon</x:v>
      </x:c>
      <x:c r="D141" s="80" t="str">
        <x:v>도시</x:v>
      </x:c>
      <x:c r="E141" s="81" t="str">
        <x:v>도시1</x:v>
      </x:c>
      <x:c r="F141" s="81" t="str">
        <x:v>평원2</x:v>
      </x:c>
      <x:c r="G141" s="81" t="str">
        <x:v>도시1</x:v>
      </x:c>
      <x:c r="H141" s="81" t="str">
        <x:v>평원2</x:v>
      </x:c>
      <x:c r="I141" s="81" t="str">
        <x:v>—</x:v>
      </x:c>
      <x:c r="J141" s="81" t="str">
        <x:v>—</x:v>
      </x:c>
      <x:c r="K141" s="81" t="str">
        <x:v>도시1</x:v>
      </x:c>
      <x:c r="L141" s="81" t="str">
        <x:v>평원1</x:v>
      </x:c>
      <x:c r="M141" s="81" t="str">
        <x:v>—</x:v>
      </x:c>
      <x:c r="N141" s="81" t="str">
        <x:v>—</x:v>
      </x:c>
      <x:c r="O141" s="81" t="str">
        <x:v>—</x:v>
      </x:c>
      <x:c r="P141" s="81" t="str">
        <x:v>—</x:v>
      </x:c>
      <x:c r="Q141" s="81" t="str">
        <x:v>도시1</x:v>
      </x:c>
      <x:c r="R141" s="81" t="str">
        <x:v>평원2</x:v>
      </x:c>
      <x:c r="S141" s="81" t="str">
        <x:v>도시1</x:v>
      </x:c>
      <x:c r="T141" s="81" t="str">
        <x:v>평원2</x:v>
      </x:c>
      <x:c r="U141" s="81" t="str">
        <x:v>도시1</x:v>
      </x:c>
      <x:c r="V141" s="81" t="str">
        <x:v>평원1</x:v>
      </x:c>
    </x:row>
    <x:row r="142">
      <x:c r="A142" s="80" t="n">
        <x:v>138</x:v>
      </x:c>
      <x:c r="B142" s="80" t="str">
        <x:v>암나이트</x:v>
      </x:c>
      <x:c r="C142" s="80" t="str">
        <x:v>omanyte</x:v>
      </x:c>
      <x:c r="D142" s="80" t="str">
        <x:v>산악</x:v>
      </x:c>
      <x:c r="E142" s="81" t="str">
        <x:v>산악1</x:v>
      </x:c>
      <x:c r="F142" s="81" t="str">
        <x:v>습지1</x:v>
      </x:c>
      <x:c r="G142" s="81" t="str">
        <x:v>산악1</x:v>
      </x:c>
      <x:c r="H142" s="81" t="str">
        <x:v>습지2</x:v>
      </x:c>
      <x:c r="I142" s="81" t="str">
        <x:v>—</x:v>
      </x:c>
      <x:c r="J142" s="81" t="str">
        <x:v>—</x:v>
      </x:c>
      <x:c r="K142" s="81" t="str">
        <x:v>—</x:v>
      </x:c>
      <x:c r="L142" s="81" t="str">
        <x:v>—</x:v>
      </x:c>
      <x:c r="M142" s="81" t="str">
        <x:v>—</x:v>
      </x:c>
      <x:c r="N142" s="81" t="str">
        <x:v>—</x:v>
      </x:c>
      <x:c r="O142" s="81" t="str">
        <x:v>—</x:v>
      </x:c>
      <x:c r="P142" s="81" t="str">
        <x:v>—</x:v>
      </x:c>
      <x:c r="Q142" s="81" t="str">
        <x:v>산악1</x:v>
      </x:c>
      <x:c r="R142" s="81" t="str">
        <x:v>습지1</x:v>
      </x:c>
      <x:c r="S142" s="81" t="str">
        <x:v>산악1</x:v>
      </x:c>
      <x:c r="T142" s="81" t="str">
        <x:v>습지1</x:v>
      </x:c>
      <x:c r="U142" s="81" t="str">
        <x:v>—</x:v>
      </x:c>
      <x:c r="V142" s="81" t="str">
        <x:v>—</x:v>
      </x:c>
    </x:row>
    <x:row r="143">
      <x:c r="A143" s="80" t="n">
        <x:v>139</x:v>
      </x:c>
      <x:c r="B143" s="80" t="str">
        <x:v>암스타</x:v>
      </x:c>
      <x:c r="C143" s="80" t="str">
        <x:v>omastar</x:v>
      </x:c>
      <x:c r="D143" s="80" t="str">
        <x:v>산악</x:v>
      </x:c>
      <x:c r="E143" s="81" t="str">
        <x:v>산악1</x:v>
      </x:c>
      <x:c r="F143" s="81" t="str">
        <x:v>습지1</x:v>
      </x:c>
      <x:c r="G143" s="81" t="str">
        <x:v>산악1</x:v>
      </x:c>
      <x:c r="H143" s="81" t="str">
        <x:v>습지2</x:v>
      </x:c>
      <x:c r="I143" s="81" t="str">
        <x:v>—</x:v>
      </x:c>
      <x:c r="J143" s="81" t="str">
        <x:v>—</x:v>
      </x:c>
      <x:c r="K143" s="81" t="str">
        <x:v>—</x:v>
      </x:c>
      <x:c r="L143" s="81" t="str">
        <x:v>—</x:v>
      </x:c>
      <x:c r="M143" s="81" t="str">
        <x:v>—</x:v>
      </x:c>
      <x:c r="N143" s="81" t="str">
        <x:v>—</x:v>
      </x:c>
      <x:c r="O143" s="81" t="str">
        <x:v>—</x:v>
      </x:c>
      <x:c r="P143" s="81" t="str">
        <x:v>—</x:v>
      </x:c>
      <x:c r="Q143" s="81" t="str">
        <x:v>산악1</x:v>
      </x:c>
      <x:c r="R143" s="81" t="str">
        <x:v>습지1</x:v>
      </x:c>
      <x:c r="S143" s="81" t="str">
        <x:v>산악1</x:v>
      </x:c>
      <x:c r="T143" s="81" t="str">
        <x:v>습지1</x:v>
      </x:c>
      <x:c r="U143" s="81" t="str">
        <x:v>—</x:v>
      </x:c>
      <x:c r="V143" s="81" t="str">
        <x:v>—</x:v>
      </x:c>
    </x:row>
    <x:row r="144">
      <x:c r="A144" s="80" t="n">
        <x:v>140</x:v>
      </x:c>
      <x:c r="B144" s="80" t="str">
        <x:v>투구</x:v>
      </x:c>
      <x:c r="C144" s="80" t="str">
        <x:v>kabuto</x:v>
      </x:c>
      <x:c r="D144" s="80" t="str">
        <x:v>산악</x:v>
      </x:c>
      <x:c r="E144" s="81" t="str">
        <x:v>산악1</x:v>
      </x:c>
      <x:c r="F144" s="81" t="str">
        <x:v>습지1</x:v>
      </x:c>
      <x:c r="G144" s="81" t="str">
        <x:v>산악1</x:v>
      </x:c>
      <x:c r="H144" s="81" t="str">
        <x:v>습지2</x:v>
      </x:c>
      <x:c r="I144" s="81" t="str">
        <x:v>—</x:v>
      </x:c>
      <x:c r="J144" s="81" t="str">
        <x:v>—</x:v>
      </x:c>
      <x:c r="K144" s="81" t="str">
        <x:v>—</x:v>
      </x:c>
      <x:c r="L144" s="81" t="str">
        <x:v>—</x:v>
      </x:c>
      <x:c r="M144" s="81" t="str">
        <x:v>—</x:v>
      </x:c>
      <x:c r="N144" s="81" t="str">
        <x:v>—</x:v>
      </x:c>
      <x:c r="O144" s="81" t="str">
        <x:v>—</x:v>
      </x:c>
      <x:c r="P144" s="81" t="str">
        <x:v>—</x:v>
      </x:c>
      <x:c r="Q144" s="81" t="str">
        <x:v>산악1</x:v>
      </x:c>
      <x:c r="R144" s="81" t="str">
        <x:v>습지1</x:v>
      </x:c>
      <x:c r="S144" s="81" t="str">
        <x:v>산악1</x:v>
      </x:c>
      <x:c r="T144" s="81" t="str">
        <x:v>습지1</x:v>
      </x:c>
      <x:c r="U144" s="81" t="str">
        <x:v>—</x:v>
      </x:c>
      <x:c r="V144" s="81" t="str">
        <x:v>—</x:v>
      </x:c>
    </x:row>
    <x:row r="145">
      <x:c r="A145" s="80" t="n">
        <x:v>141</x:v>
      </x:c>
      <x:c r="B145" s="80" t="str">
        <x:v>투구푸스</x:v>
      </x:c>
      <x:c r="C145" s="80" t="str">
        <x:v>kabutops</x:v>
      </x:c>
      <x:c r="D145" s="80" t="str">
        <x:v>산악</x:v>
      </x:c>
      <x:c r="E145" s="81" t="str">
        <x:v>산악1</x:v>
      </x:c>
      <x:c r="F145" s="81" t="str">
        <x:v>습지1</x:v>
      </x:c>
      <x:c r="G145" s="81" t="str">
        <x:v>산악2</x:v>
      </x:c>
      <x:c r="H145" s="81" t="str">
        <x:v>습지2</x:v>
      </x:c>
      <x:c r="I145" s="81" t="str">
        <x:v>—</x:v>
      </x:c>
      <x:c r="J145" s="81" t="str">
        <x:v>—</x:v>
      </x:c>
      <x:c r="K145" s="81" t="str">
        <x:v>—</x:v>
      </x:c>
      <x:c r="L145" s="81" t="str">
        <x:v>—</x:v>
      </x:c>
      <x:c r="M145" s="81" t="str">
        <x:v>—</x:v>
      </x:c>
      <x:c r="N145" s="81" t="str">
        <x:v>—</x:v>
      </x:c>
      <x:c r="O145" s="81" t="str">
        <x:v>—</x:v>
      </x:c>
      <x:c r="P145" s="81" t="str">
        <x:v>—</x:v>
      </x:c>
      <x:c r="Q145" s="81" t="str">
        <x:v>산악1</x:v>
      </x:c>
      <x:c r="R145" s="81" t="str">
        <x:v>습지1</x:v>
      </x:c>
      <x:c r="S145" s="81" t="str">
        <x:v>산악1</x:v>
      </x:c>
      <x:c r="T145" s="81" t="str">
        <x:v>습지1</x:v>
      </x:c>
      <x:c r="U145" s="81" t="str">
        <x:v>—</x:v>
      </x:c>
      <x:c r="V145" s="81" t="str">
        <x:v>—</x:v>
      </x:c>
    </x:row>
    <x:row r="146">
      <x:c r="A146" s="80" t="n">
        <x:v>142</x:v>
      </x:c>
      <x:c r="B146" s="80" t="str">
        <x:v>프테라</x:v>
      </x:c>
      <x:c r="C146" s="80" t="str">
        <x:v>aerodactyl</x:v>
      </x:c>
      <x:c r="D146" s="80" t="str">
        <x:v>산악</x:v>
      </x:c>
      <x:c r="E146" s="81" t="str">
        <x:v>산악1</x:v>
      </x:c>
      <x:c r="F146" s="81" t="str">
        <x:v>평원2</x:v>
      </x:c>
      <x:c r="G146" s="81" t="str">
        <x:v>산악2</x:v>
      </x:c>
      <x:c r="H146" s="81" t="str">
        <x:v>평원2</x:v>
      </x:c>
      <x:c r="I146" s="81" t="str">
        <x:v>—</x:v>
      </x:c>
      <x:c r="J146" s="81" t="str">
        <x:v>—</x:v>
      </x:c>
      <x:c r="K146" s="81" t="str">
        <x:v>—</x:v>
      </x:c>
      <x:c r="L146" s="81" t="str">
        <x:v>—</x:v>
      </x:c>
      <x:c r="M146" s="81" t="str">
        <x:v>—</x:v>
      </x:c>
      <x:c r="N146" s="81" t="str">
        <x:v>—</x:v>
      </x:c>
      <x:c r="O146" s="81" t="str">
        <x:v>산악1</x:v>
      </x:c>
      <x:c r="P146" s="81" t="str">
        <x:v>평원2</x:v>
      </x:c>
      <x:c r="Q146" s="81" t="str">
        <x:v>산악1</x:v>
      </x:c>
      <x:c r="R146" s="81" t="str">
        <x:v>평원2</x:v>
      </x:c>
      <x:c r="S146" s="81" t="str">
        <x:v>산악1</x:v>
      </x:c>
      <x:c r="T146" s="81" t="str">
        <x:v>평원2</x:v>
      </x:c>
      <x:c r="U146" s="81" t="str">
        <x:v>—</x:v>
      </x:c>
      <x:c r="V146" s="81" t="str">
        <x:v>—</x:v>
      </x:c>
    </x:row>
    <x:row r="147">
      <x:c r="A147" s="80" t="n">
        <x:v>143</x:v>
      </x:c>
      <x:c r="B147" s="80" t="str">
        <x:v>잠만보</x:v>
      </x:c>
      <x:c r="C147" s="80" t="str">
        <x:v>snorlax</x:v>
      </x:c>
      <x:c r="D147" s="80" t="str">
        <x:v>숲</x:v>
      </x:c>
      <x:c r="E147" s="81" t="str">
        <x:v>숲2</x:v>
      </x:c>
      <x:c r="F147" s="81" t="str">
        <x:v>평원2</x:v>
      </x:c>
      <x:c r="G147" s="81" t="str">
        <x:v>숲2</x:v>
      </x:c>
      <x:c r="H147" s="81" t="str">
        <x:v>평원2</x:v>
      </x:c>
      <x:c r="I147" s="81" t="str">
        <x:v>—</x:v>
      </x:c>
      <x:c r="J147" s="81" t="str">
        <x:v>—</x:v>
      </x:c>
      <x:c r="K147" s="81" t="str">
        <x:v>숲1</x:v>
      </x:c>
      <x:c r="L147" s="81" t="str">
        <x:v>평원1</x:v>
      </x:c>
      <x:c r="M147" s="81" t="str">
        <x:v>—</x:v>
      </x:c>
      <x:c r="N147" s="81" t="str">
        <x:v>—</x:v>
      </x:c>
      <x:c r="O147" s="81" t="str">
        <x:v>숲2</x:v>
      </x:c>
      <x:c r="P147" s="81" t="str">
        <x:v>평원2</x:v>
      </x:c>
      <x:c r="Q147" s="81" t="str">
        <x:v>숲1</x:v>
      </x:c>
      <x:c r="R147" s="81" t="str">
        <x:v>평원2</x:v>
      </x:c>
      <x:c r="S147" s="81" t="str">
        <x:v>숲2</x:v>
      </x:c>
      <x:c r="T147" s="81" t="str">
        <x:v>평원2</x:v>
      </x:c>
      <x:c r="U147" s="81" t="str">
        <x:v>숲1</x:v>
      </x:c>
      <x:c r="V147" s="81" t="str">
        <x:v>평원1</x:v>
      </x:c>
    </x:row>
    <x:row r="148">
      <x:c r="A148" s="80" t="n">
        <x:v>144</x:v>
      </x:c>
      <x:c r="B148" s="80" t="str">
        <x:v>프리져</x:v>
      </x:c>
      <x:c r="C148" s="80" t="str">
        <x:v>articuno</x:v>
      </x:c>
      <x:c r="D148" s="80" t="str">
        <x:v>설원</x:v>
      </x:c>
      <x:c r="E148" s="81" t="str">
        <x:v>—</x:v>
      </x:c>
      <x:c r="F148" s="81" t="str">
        <x:v>—</x:v>
      </x:c>
      <x:c r="G148" s="81" t="str">
        <x:v>—</x:v>
      </x:c>
      <x:c r="H148" s="81" t="str">
        <x:v>—</x:v>
      </x:c>
      <x:c r="I148" s="81" t="str">
        <x:v>—</x:v>
      </x:c>
      <x:c r="J148" s="81" t="str">
        <x:v>—</x:v>
      </x:c>
      <x:c r="K148" s="81" t="str">
        <x:v>—</x:v>
      </x:c>
      <x:c r="L148" s="81" t="str">
        <x:v>—</x:v>
      </x:c>
      <x:c r="M148" s="81" t="str">
        <x:v>—</x:v>
      </x:c>
      <x:c r="N148" s="81" t="str">
        <x:v>—</x:v>
      </x:c>
      <x:c r="O148" s="81" t="str">
        <x:v>—</x:v>
      </x:c>
      <x:c r="P148" s="81" t="str">
        <x:v>—</x:v>
      </x:c>
      <x:c r="Q148" s="81" t="str">
        <x:v>—</x:v>
      </x:c>
      <x:c r="R148" s="81" t="str">
        <x:v>—</x:v>
      </x:c>
      <x:c r="S148" s="81" t="str">
        <x:v>—</x:v>
      </x:c>
      <x:c r="T148" s="81" t="str">
        <x:v>—</x:v>
      </x:c>
      <x:c r="U148" s="81" t="str">
        <x:v>—</x:v>
      </x:c>
      <x:c r="V148" s="81" t="str">
        <x:v>—</x:v>
      </x:c>
    </x:row>
    <x:row r="149">
      <x:c r="A149" s="80" t="n">
        <x:v>145</x:v>
      </x:c>
      <x:c r="B149" s="80" t="str">
        <x:v>썬더</x:v>
      </x:c>
      <x:c r="C149" s="80" t="str">
        <x:v>zapdos</x:v>
      </x:c>
      <x:c r="D149" s="80" t="str">
        <x:v>평원</x:v>
      </x:c>
      <x:c r="E149" s="81" t="str">
        <x:v>—</x:v>
      </x:c>
      <x:c r="F149" s="81" t="str">
        <x:v>—</x:v>
      </x:c>
      <x:c r="G149" s="81" t="str">
        <x:v>—</x:v>
      </x:c>
      <x:c r="H149" s="81" t="str">
        <x:v>—</x:v>
      </x:c>
      <x:c r="I149" s="81" t="str">
        <x:v>—</x:v>
      </x:c>
      <x:c r="J149" s="81" t="str">
        <x:v>—</x:v>
      </x:c>
      <x:c r="K149" s="81" t="str">
        <x:v>—</x:v>
      </x:c>
      <x:c r="L149" s="81" t="str">
        <x:v>—</x:v>
      </x:c>
      <x:c r="M149" s="81" t="str">
        <x:v>—</x:v>
      </x:c>
      <x:c r="N149" s="81" t="str">
        <x:v>—</x:v>
      </x:c>
      <x:c r="O149" s="81" t="str">
        <x:v>—</x:v>
      </x:c>
      <x:c r="P149" s="81" t="str">
        <x:v>—</x:v>
      </x:c>
      <x:c r="Q149" s="81" t="str">
        <x:v>—</x:v>
      </x:c>
      <x:c r="R149" s="81" t="str">
        <x:v>—</x:v>
      </x:c>
      <x:c r="S149" s="81" t="str">
        <x:v>—</x:v>
      </x:c>
      <x:c r="T149" s="81" t="str">
        <x:v>—</x:v>
      </x:c>
      <x:c r="U149" s="81" t="str">
        <x:v>—</x:v>
      </x:c>
      <x:c r="V149" s="81" t="str">
        <x:v>—</x:v>
      </x:c>
    </x:row>
    <x:row r="150">
      <x:c r="A150" s="80" t="n">
        <x:v>146</x:v>
      </x:c>
      <x:c r="B150" s="80" t="str">
        <x:v>파이어</x:v>
      </x:c>
      <x:c r="C150" s="80" t="str">
        <x:v>moltres</x:v>
      </x:c>
      <x:c r="D150" s="80" t="str">
        <x:v>평원</x:v>
      </x:c>
      <x:c r="E150" s="81" t="str">
        <x:v>—</x:v>
      </x:c>
      <x:c r="F150" s="81" t="str">
        <x:v>—</x:v>
      </x:c>
      <x:c r="G150" s="81" t="str">
        <x:v>—</x:v>
      </x:c>
      <x:c r="H150" s="81" t="str">
        <x:v>—</x:v>
      </x:c>
      <x:c r="I150" s="81" t="str">
        <x:v>—</x:v>
      </x:c>
      <x:c r="J150" s="81" t="str">
        <x:v>—</x:v>
      </x:c>
      <x:c r="K150" s="81" t="str">
        <x:v>—</x:v>
      </x:c>
      <x:c r="L150" s="81" t="str">
        <x:v>—</x:v>
      </x:c>
      <x:c r="M150" s="81" t="str">
        <x:v>—</x:v>
      </x:c>
      <x:c r="N150" s="81" t="str">
        <x:v>—</x:v>
      </x:c>
      <x:c r="O150" s="81" t="str">
        <x:v>—</x:v>
      </x:c>
      <x:c r="P150" s="81" t="str">
        <x:v>—</x:v>
      </x:c>
      <x:c r="Q150" s="81" t="str">
        <x:v>—</x:v>
      </x:c>
      <x:c r="R150" s="81" t="str">
        <x:v>—</x:v>
      </x:c>
      <x:c r="S150" s="81" t="str">
        <x:v>—</x:v>
      </x:c>
      <x:c r="T150" s="81" t="str">
        <x:v>—</x:v>
      </x:c>
      <x:c r="U150" s="81" t="str">
        <x:v>—</x:v>
      </x:c>
      <x:c r="V150" s="81" t="str">
        <x:v>—</x:v>
      </x:c>
    </x:row>
    <x:row r="151">
      <x:c r="A151" s="80" t="n">
        <x:v>147</x:v>
      </x:c>
      <x:c r="B151" s="80" t="str">
        <x:v>미뇽</x:v>
      </x:c>
      <x:c r="C151" s="80" t="str">
        <x:v>dratini</x:v>
      </x:c>
      <x:c r="D151" s="80" t="str">
        <x:v>해양</x:v>
      </x:c>
      <x:c r="E151" s="81" t="str">
        <x:v>해양1</x:v>
      </x:c>
      <x:c r="F151" s="81" t="str">
        <x:v>담수1</x:v>
      </x:c>
      <x:c r="G151" s="81" t="str">
        <x:v>해양1</x:v>
      </x:c>
      <x:c r="H151" s="81" t="str">
        <x:v>담수2</x:v>
      </x:c>
      <x:c r="I151" s="81" t="str">
        <x:v>—</x:v>
      </x:c>
      <x:c r="J151" s="81" t="str">
        <x:v>—</x:v>
      </x:c>
      <x:c r="K151" s="81" t="str">
        <x:v>—</x:v>
      </x:c>
      <x:c r="L151" s="81" t="str">
        <x:v>—</x:v>
      </x:c>
      <x:c r="M151" s="81" t="str">
        <x:v>—</x:v>
      </x:c>
      <x:c r="N151" s="81" t="str">
        <x:v>—</x:v>
      </x:c>
      <x:c r="O151" s="81" t="str">
        <x:v>해양1</x:v>
      </x:c>
      <x:c r="P151" s="81" t="str">
        <x:v>담수1</x:v>
      </x:c>
      <x:c r="Q151" s="81" t="str">
        <x:v>해양1</x:v>
      </x:c>
      <x:c r="R151" s="81" t="str">
        <x:v>담수1</x:v>
      </x:c>
      <x:c r="S151" s="81" t="str">
        <x:v>해양1</x:v>
      </x:c>
      <x:c r="T151" s="81" t="str">
        <x:v>담수1</x:v>
      </x:c>
      <x:c r="U151" s="81" t="str">
        <x:v>해양1</x:v>
      </x:c>
      <x:c r="V151" s="81" t="str">
        <x:v>담수1</x:v>
      </x:c>
    </x:row>
    <x:row r="152">
      <x:c r="A152" s="80" t="n">
        <x:v>148</x:v>
      </x:c>
      <x:c r="B152" s="80" t="str">
        <x:v>신뇽</x:v>
      </x:c>
      <x:c r="C152" s="80" t="str">
        <x:v>dragonair</x:v>
      </x:c>
      <x:c r="D152" s="80" t="str">
        <x:v>해양</x:v>
      </x:c>
      <x:c r="E152" s="81" t="str">
        <x:v>해양1</x:v>
      </x:c>
      <x:c r="F152" s="81" t="str">
        <x:v>담수1</x:v>
      </x:c>
      <x:c r="G152" s="81" t="str">
        <x:v>해양1</x:v>
      </x:c>
      <x:c r="H152" s="81" t="str">
        <x:v>담수2</x:v>
      </x:c>
      <x:c r="I152" s="81" t="str">
        <x:v>—</x:v>
      </x:c>
      <x:c r="J152" s="81" t="str">
        <x:v>—</x:v>
      </x:c>
      <x:c r="K152" s="81" t="str">
        <x:v>—</x:v>
      </x:c>
      <x:c r="L152" s="81" t="str">
        <x:v>—</x:v>
      </x:c>
      <x:c r="M152" s="81" t="str">
        <x:v>—</x:v>
      </x:c>
      <x:c r="N152" s="81" t="str">
        <x:v>—</x:v>
      </x:c>
      <x:c r="O152" s="81" t="str">
        <x:v>해양1</x:v>
      </x:c>
      <x:c r="P152" s="81" t="str">
        <x:v>담수1</x:v>
      </x:c>
      <x:c r="Q152" s="81" t="str">
        <x:v>해양1</x:v>
      </x:c>
      <x:c r="R152" s="81" t="str">
        <x:v>담수1</x:v>
      </x:c>
      <x:c r="S152" s="81" t="str">
        <x:v>해양1</x:v>
      </x:c>
      <x:c r="T152" s="81" t="str">
        <x:v>담수1</x:v>
      </x:c>
      <x:c r="U152" s="81" t="str">
        <x:v>해양1</x:v>
      </x:c>
      <x:c r="V152" s="81" t="str">
        <x:v>담수1</x:v>
      </x:c>
    </x:row>
    <x:row r="153">
      <x:c r="A153" s="80" t="n">
        <x:v>149</x:v>
      </x:c>
      <x:c r="B153" s="80" t="str">
        <x:v>망나뇽</x:v>
      </x:c>
      <x:c r="C153" s="80" t="str">
        <x:v>dragonite</x:v>
      </x:c>
      <x:c r="D153" s="80" t="str">
        <x:v>해양</x:v>
      </x:c>
      <x:c r="E153" s="81" t="str">
        <x:v>해양1</x:v>
      </x:c>
      <x:c r="F153" s="81" t="str">
        <x:v>담수1</x:v>
      </x:c>
      <x:c r="G153" s="81" t="str">
        <x:v>해양1</x:v>
      </x:c>
      <x:c r="H153" s="81" t="str">
        <x:v>담수2</x:v>
      </x:c>
      <x:c r="I153" s="81" t="str">
        <x:v>—</x:v>
      </x:c>
      <x:c r="J153" s="81" t="str">
        <x:v>—</x:v>
      </x:c>
      <x:c r="K153" s="81" t="str">
        <x:v>—</x:v>
      </x:c>
      <x:c r="L153" s="81" t="str">
        <x:v>—</x:v>
      </x:c>
      <x:c r="M153" s="81" t="str">
        <x:v>—</x:v>
      </x:c>
      <x:c r="N153" s="81" t="str">
        <x:v>—</x:v>
      </x:c>
      <x:c r="O153" s="81" t="str">
        <x:v>해양1</x:v>
      </x:c>
      <x:c r="P153" s="81" t="str">
        <x:v>담수1</x:v>
      </x:c>
      <x:c r="Q153" s="81" t="str">
        <x:v>해양1</x:v>
      </x:c>
      <x:c r="R153" s="81" t="str">
        <x:v>담수1</x:v>
      </x:c>
      <x:c r="S153" s="81" t="str">
        <x:v>해양1</x:v>
      </x:c>
      <x:c r="T153" s="81" t="str">
        <x:v>담수1</x:v>
      </x:c>
      <x:c r="U153" s="81" t="str">
        <x:v>해양1</x:v>
      </x:c>
      <x:c r="V153" s="81" t="str">
        <x:v>담수1</x:v>
      </x:c>
    </x:row>
    <x:row r="154">
      <x:c r="A154" s="80" t="n">
        <x:v>150</x:v>
      </x:c>
      <x:c r="B154" s="80" t="str">
        <x:v>뮤츠</x:v>
      </x:c>
      <x:c r="C154" s="80" t="str">
        <x:v>mewtwo</x:v>
      </x:c>
      <x:c r="D154" s="80" t="str">
        <x:v>도시</x:v>
      </x:c>
      <x:c r="E154" s="81" t="str">
        <x:v>—</x:v>
      </x:c>
      <x:c r="F154" s="81" t="str">
        <x:v>—</x:v>
      </x:c>
      <x:c r="G154" s="81" t="str">
        <x:v>—</x:v>
      </x:c>
      <x:c r="H154" s="81" t="str">
        <x:v>—</x:v>
      </x:c>
      <x:c r="I154" s="81" t="str">
        <x:v>—</x:v>
      </x:c>
      <x:c r="J154" s="81" t="str">
        <x:v>—</x:v>
      </x:c>
      <x:c r="K154" s="81" t="str">
        <x:v>—</x:v>
      </x:c>
      <x:c r="L154" s="81" t="str">
        <x:v>—</x:v>
      </x:c>
      <x:c r="M154" s="81" t="str">
        <x:v>—</x:v>
      </x:c>
      <x:c r="N154" s="81" t="str">
        <x:v>—</x:v>
      </x:c>
      <x:c r="O154" s="81" t="str">
        <x:v>—</x:v>
      </x:c>
      <x:c r="P154" s="81" t="str">
        <x:v>—</x:v>
      </x:c>
      <x:c r="Q154" s="81" t="str">
        <x:v>—</x:v>
      </x:c>
      <x:c r="R154" s="81" t="str">
        <x:v>—</x:v>
      </x:c>
      <x:c r="S154" s="81" t="str">
        <x:v>—</x:v>
      </x:c>
      <x:c r="T154" s="81" t="str">
        <x:v>—</x:v>
      </x:c>
      <x:c r="U154" s="81" t="str">
        <x:v>—</x:v>
      </x:c>
      <x:c r="V154" s="81" t="str">
        <x:v>—</x:v>
      </x:c>
    </x:row>
    <x:row r="155">
      <x:c r="A155" s="80" t="n">
        <x:v>151</x:v>
      </x:c>
      <x:c r="B155" s="80" t="str">
        <x:v>뮤</x:v>
      </x:c>
      <x:c r="C155" s="80" t="str">
        <x:v>mew</x:v>
      </x:c>
      <x:c r="D155" s="80" t="str">
        <x:v>특수</x:v>
      </x:c>
      <x:c r="E155" s="81" t="str">
        <x:v>—</x:v>
      </x:c>
      <x:c r="F155" s="81" t="str">
        <x:v>—</x:v>
      </x:c>
      <x:c r="G155" s="81" t="str">
        <x:v>—</x:v>
      </x:c>
      <x:c r="H155" s="81" t="str">
        <x:v>—</x:v>
      </x:c>
      <x:c r="I155" s="81" t="str">
        <x:v>—</x:v>
      </x:c>
      <x:c r="J155" s="81" t="str">
        <x:v>—</x:v>
      </x:c>
      <x:c r="K155" s="81" t="str">
        <x:v>—</x:v>
      </x:c>
      <x:c r="L155" s="81" t="str">
        <x:v>—</x:v>
      </x:c>
      <x:c r="M155" s="81" t="str">
        <x:v>—</x:v>
      </x:c>
      <x:c r="N155" s="81" t="str">
        <x:v>—</x:v>
      </x:c>
      <x:c r="O155" s="81" t="str">
        <x:v>—</x:v>
      </x:c>
      <x:c r="P155" s="81" t="str">
        <x:v>—</x:v>
      </x:c>
      <x:c r="Q155" s="81" t="str">
        <x:v>—</x:v>
      </x:c>
      <x:c r="R155" s="81" t="str">
        <x:v>—</x:v>
      </x:c>
      <x:c r="S155" s="81" t="str">
        <x:v>—</x:v>
      </x:c>
      <x:c r="T155" s="81" t="str">
        <x:v>—</x:v>
      </x:c>
      <x:c r="U155" s="81" t="str">
        <x:v>—</x:v>
      </x:c>
      <x:c r="V155" s="81" t="str">
        <x:v>—</x:v>
      </x:c>
    </x:row>
    <x:row r="156">
      <x:c r="A156" s="80" t="n">
        <x:v>152</x:v>
      </x:c>
      <x:c r="B156" s="80" t="str">
        <x:v>치코리타</x:v>
      </x:c>
      <x:c r="C156" s="80" t="str">
        <x:v>chikorita</x:v>
      </x:c>
      <x:c r="D156" s="80" t="str">
        <x:v>평원</x:v>
      </x:c>
      <x:c r="E156" s="81" t="str">
        <x:v>—</x:v>
      </x:c>
      <x:c r="F156" s="81" t="str">
        <x:v>—</x:v>
      </x:c>
      <x:c r="G156" s="81" t="str">
        <x:v>평원2</x:v>
      </x:c>
      <x:c r="H156" s="81" t="str">
        <x:v>숲2</x:v>
      </x:c>
      <x:c r="I156" s="81" t="str">
        <x:v>—</x:v>
      </x:c>
      <x:c r="J156" s="81" t="str">
        <x:v>—</x:v>
      </x:c>
      <x:c r="K156" s="81" t="str">
        <x:v>—</x:v>
      </x:c>
      <x:c r="L156" s="81" t="str">
        <x:v>—</x:v>
      </x:c>
      <x:c r="M156" s="81" t="str">
        <x:v>—</x:v>
      </x:c>
      <x:c r="N156" s="81" t="str">
        <x:v>—</x:v>
      </x:c>
      <x:c r="O156" s="81" t="str">
        <x:v>—</x:v>
      </x:c>
      <x:c r="P156" s="81" t="str">
        <x:v>—</x:v>
      </x:c>
      <x:c r="Q156" s="81" t="str">
        <x:v>—</x:v>
      </x:c>
      <x:c r="R156" s="81" t="str">
        <x:v>—</x:v>
      </x:c>
      <x:c r="S156" s="81" t="str">
        <x:v>—</x:v>
      </x:c>
      <x:c r="T156" s="81" t="str">
        <x:v>—</x:v>
      </x:c>
      <x:c r="U156" s="81" t="str">
        <x:v>평원1</x:v>
      </x:c>
      <x:c r="V156" s="81" t="str">
        <x:v>숲1</x:v>
      </x:c>
    </x:row>
    <x:row r="157">
      <x:c r="A157" s="80" t="n">
        <x:v>153</x:v>
      </x:c>
      <x:c r="B157" s="80" t="str">
        <x:v>베이리프</x:v>
      </x:c>
      <x:c r="C157" s="80" t="str">
        <x:v>bayleef</x:v>
      </x:c>
      <x:c r="D157" s="80" t="str">
        <x:v>평원</x:v>
      </x:c>
      <x:c r="E157" s="81" t="str">
        <x:v>—</x:v>
      </x:c>
      <x:c r="F157" s="81" t="str">
        <x:v>—</x:v>
      </x:c>
      <x:c r="G157" s="81" t="str">
        <x:v>평원2</x:v>
      </x:c>
      <x:c r="H157" s="81" t="str">
        <x:v>숲2</x:v>
      </x:c>
      <x:c r="I157" s="81" t="str">
        <x:v>—</x:v>
      </x:c>
      <x:c r="J157" s="81" t="str">
        <x:v>—</x:v>
      </x:c>
      <x:c r="K157" s="81" t="str">
        <x:v>—</x:v>
      </x:c>
      <x:c r="L157" s="81" t="str">
        <x:v>—</x:v>
      </x:c>
      <x:c r="M157" s="81" t="str">
        <x:v>—</x:v>
      </x:c>
      <x:c r="N157" s="81" t="str">
        <x:v>—</x:v>
      </x:c>
      <x:c r="O157" s="81" t="str">
        <x:v>—</x:v>
      </x:c>
      <x:c r="P157" s="81" t="str">
        <x:v>—</x:v>
      </x:c>
      <x:c r="Q157" s="81" t="str">
        <x:v>—</x:v>
      </x:c>
      <x:c r="R157" s="81" t="str">
        <x:v>—</x:v>
      </x:c>
      <x:c r="S157" s="81" t="str">
        <x:v>—</x:v>
      </x:c>
      <x:c r="T157" s="81" t="str">
        <x:v>—</x:v>
      </x:c>
      <x:c r="U157" s="81" t="str">
        <x:v>평원1</x:v>
      </x:c>
      <x:c r="V157" s="81" t="str">
        <x:v>숲1</x:v>
      </x:c>
    </x:row>
    <x:row r="158">
      <x:c r="A158" s="80" t="n">
        <x:v>154</x:v>
      </x:c>
      <x:c r="B158" s="80" t="str">
        <x:v>메가니움</x:v>
      </x:c>
      <x:c r="C158" s="80" t="str">
        <x:v>meganium</x:v>
      </x:c>
      <x:c r="D158" s="80" t="str">
        <x:v>평원</x:v>
      </x:c>
      <x:c r="E158" s="81" t="str">
        <x:v>—</x:v>
      </x:c>
      <x:c r="F158" s="81" t="str">
        <x:v>—</x:v>
      </x:c>
      <x:c r="G158" s="81" t="str">
        <x:v>평원2</x:v>
      </x:c>
      <x:c r="H158" s="81" t="str">
        <x:v>숲2</x:v>
      </x:c>
      <x:c r="I158" s="81" t="str">
        <x:v>—</x:v>
      </x:c>
      <x:c r="J158" s="81" t="str">
        <x:v>—</x:v>
      </x:c>
      <x:c r="K158" s="81" t="str">
        <x:v>—</x:v>
      </x:c>
      <x:c r="L158" s="81" t="str">
        <x:v>—</x:v>
      </x:c>
      <x:c r="M158" s="81" t="str">
        <x:v>—</x:v>
      </x:c>
      <x:c r="N158" s="81" t="str">
        <x:v>—</x:v>
      </x:c>
      <x:c r="O158" s="81" t="str">
        <x:v>—</x:v>
      </x:c>
      <x:c r="P158" s="81" t="str">
        <x:v>—</x:v>
      </x:c>
      <x:c r="Q158" s="81" t="str">
        <x:v>—</x:v>
      </x:c>
      <x:c r="R158" s="81" t="str">
        <x:v>—</x:v>
      </x:c>
      <x:c r="S158" s="81" t="str">
        <x:v>—</x:v>
      </x:c>
      <x:c r="T158" s="81" t="str">
        <x:v>—</x:v>
      </x:c>
      <x:c r="U158" s="81" t="str">
        <x:v>평원1</x:v>
      </x:c>
      <x:c r="V158" s="81" t="str">
        <x:v>숲2</x:v>
      </x:c>
    </x:row>
    <x:row r="159">
      <x:c r="A159" s="80" t="n">
        <x:v>155</x:v>
      </x:c>
      <x:c r="B159" s="80" t="str">
        <x:v>브케인</x:v>
      </x:c>
      <x:c r="C159" s="80" t="str">
        <x:v>cyndaquil</x:v>
      </x:c>
      <x:c r="D159" s="80" t="str">
        <x:v>화산</x:v>
      </x:c>
      <x:c r="E159" s="81" t="str">
        <x:v>—</x:v>
      </x:c>
      <x:c r="F159" s="81" t="str">
        <x:v>—</x:v>
      </x:c>
      <x:c r="G159" s="81" t="str">
        <x:v>화산1</x:v>
      </x:c>
      <x:c r="H159" s="81" t="str">
        <x:v>건조지1</x:v>
      </x:c>
      <x:c r="I159" s="81" t="str">
        <x:v>—</x:v>
      </x:c>
      <x:c r="J159" s="81" t="str">
        <x:v>—</x:v>
      </x:c>
      <x:c r="K159" s="81" t="str">
        <x:v>—</x:v>
      </x:c>
      <x:c r="L159" s="81" t="str">
        <x:v>—</x:v>
      </x:c>
      <x:c r="M159" s="81" t="str">
        <x:v>—</x:v>
      </x:c>
      <x:c r="N159" s="81" t="str">
        <x:v>—</x:v>
      </x:c>
      <x:c r="O159" s="81" t="str">
        <x:v>—</x:v>
      </x:c>
      <x:c r="P159" s="81" t="str">
        <x:v>—</x:v>
      </x:c>
      <x:c r="Q159" s="81" t="str">
        <x:v>—</x:v>
      </x:c>
      <x:c r="R159" s="81" t="str">
        <x:v>—</x:v>
      </x:c>
      <x:c r="S159" s="81" t="str">
        <x:v>—</x:v>
      </x:c>
      <x:c r="T159" s="81" t="str">
        <x:v>—</x:v>
      </x:c>
      <x:c r="U159" s="81" t="str">
        <x:v>화산1</x:v>
      </x:c>
      <x:c r="V159" s="81" t="str">
        <x:v>건조지1</x:v>
      </x:c>
    </x:row>
    <x:row r="160">
      <x:c r="A160" s="80" t="n">
        <x:v>156</x:v>
      </x:c>
      <x:c r="B160" s="80" t="str">
        <x:v>마그케인</x:v>
      </x:c>
      <x:c r="C160" s="80" t="str">
        <x:v>quilava</x:v>
      </x:c>
      <x:c r="D160" s="80" t="str">
        <x:v>화산</x:v>
      </x:c>
      <x:c r="E160" s="81" t="str">
        <x:v>—</x:v>
      </x:c>
      <x:c r="F160" s="81" t="str">
        <x:v>—</x:v>
      </x:c>
      <x:c r="G160" s="81" t="str">
        <x:v>화산1</x:v>
      </x:c>
      <x:c r="H160" s="81" t="str">
        <x:v>건조지1</x:v>
      </x:c>
      <x:c r="I160" s="81" t="str">
        <x:v>—</x:v>
      </x:c>
      <x:c r="J160" s="81" t="str">
        <x:v>—</x:v>
      </x:c>
      <x:c r="K160" s="81" t="str">
        <x:v>—</x:v>
      </x:c>
      <x:c r="L160" s="81" t="str">
        <x:v>—</x:v>
      </x:c>
      <x:c r="M160" s="81" t="str">
        <x:v>—</x:v>
      </x:c>
      <x:c r="N160" s="81" t="str">
        <x:v>—</x:v>
      </x:c>
      <x:c r="O160" s="81" t="str">
        <x:v>—</x:v>
      </x:c>
      <x:c r="P160" s="81" t="str">
        <x:v>—</x:v>
      </x:c>
      <x:c r="Q160" s="81" t="str">
        <x:v>—</x:v>
      </x:c>
      <x:c r="R160" s="81" t="str">
        <x:v>—</x:v>
      </x:c>
      <x:c r="S160" s="81" t="str">
        <x:v>—</x:v>
      </x:c>
      <x:c r="T160" s="81" t="str">
        <x:v>—</x:v>
      </x:c>
      <x:c r="U160" s="81" t="str">
        <x:v>화산1</x:v>
      </x:c>
      <x:c r="V160" s="81" t="str">
        <x:v>건조지1</x:v>
      </x:c>
    </x:row>
    <x:row r="161">
      <x:c r="A161" s="80" t="n">
        <x:v>157</x:v>
      </x:c>
      <x:c r="B161" s="80" t="str">
        <x:v>블레이범</x:v>
      </x:c>
      <x:c r="C161" s="80" t="str">
        <x:v>typhlosion</x:v>
      </x:c>
      <x:c r="D161" s="80" t="str">
        <x:v>화산</x:v>
      </x:c>
      <x:c r="E161" s="81" t="str">
        <x:v>—</x:v>
      </x:c>
      <x:c r="F161" s="81" t="str">
        <x:v>—</x:v>
      </x:c>
      <x:c r="G161" s="81" t="str">
        <x:v>화산1</x:v>
      </x:c>
      <x:c r="H161" s="81" t="str">
        <x:v>건조지1</x:v>
      </x:c>
      <x:c r="I161" s="81" t="str">
        <x:v>—</x:v>
      </x:c>
      <x:c r="J161" s="81" t="str">
        <x:v>—</x:v>
      </x:c>
      <x:c r="K161" s="81" t="str">
        <x:v>—</x:v>
      </x:c>
      <x:c r="L161" s="81" t="str">
        <x:v>—</x:v>
      </x:c>
      <x:c r="M161" s="81" t="str">
        <x:v>—</x:v>
      </x:c>
      <x:c r="N161" s="81" t="str">
        <x:v>—</x:v>
      </x:c>
      <x:c r="O161" s="81" t="str">
        <x:v>—</x:v>
      </x:c>
      <x:c r="P161" s="81" t="str">
        <x:v>—</x:v>
      </x:c>
      <x:c r="Q161" s="81" t="str">
        <x:v>—</x:v>
      </x:c>
      <x:c r="R161" s="81" t="str">
        <x:v>—</x:v>
      </x:c>
      <x:c r="S161" s="81" t="str">
        <x:v>—</x:v>
      </x:c>
      <x:c r="T161" s="81" t="str">
        <x:v>—</x:v>
      </x:c>
      <x:c r="U161" s="81" t="str">
        <x:v>화산1</x:v>
      </x:c>
      <x:c r="V161" s="81" t="str">
        <x:v>건조지1</x:v>
      </x:c>
    </x:row>
    <x:row r="162">
      <x:c r="A162" s="80" t="n">
        <x:v>158</x:v>
      </x:c>
      <x:c r="B162" s="80" t="str">
        <x:v>리아코</x:v>
      </x:c>
      <x:c r="C162" s="80" t="str">
        <x:v>totodile</x:v>
      </x:c>
      <x:c r="D162" s="80" t="str">
        <x:v>습지</x:v>
      </x:c>
      <x:c r="E162" s="81" t="str">
        <x:v>—</x:v>
      </x:c>
      <x:c r="F162" s="81" t="str">
        <x:v>—</x:v>
      </x:c>
      <x:c r="G162" s="81" t="str">
        <x:v>습지2</x:v>
      </x:c>
      <x:c r="H162" s="81" t="str">
        <x:v>담수2</x:v>
      </x:c>
      <x:c r="I162" s="81" t="str">
        <x:v>—</x:v>
      </x:c>
      <x:c r="J162" s="81" t="str">
        <x:v>—</x:v>
      </x:c>
      <x:c r="K162" s="81" t="str">
        <x:v>—</x:v>
      </x:c>
      <x:c r="L162" s="81" t="str">
        <x:v>—</x:v>
      </x:c>
      <x:c r="M162" s="81" t="str">
        <x:v>—</x:v>
      </x:c>
      <x:c r="N162" s="81" t="str">
        <x:v>—</x:v>
      </x:c>
      <x:c r="O162" s="81" t="str">
        <x:v>—</x:v>
      </x:c>
      <x:c r="P162" s="81" t="str">
        <x:v>—</x:v>
      </x:c>
      <x:c r="Q162" s="81" t="str">
        <x:v>—</x:v>
      </x:c>
      <x:c r="R162" s="81" t="str">
        <x:v>—</x:v>
      </x:c>
      <x:c r="S162" s="81" t="str">
        <x:v>—</x:v>
      </x:c>
      <x:c r="T162" s="81" t="str">
        <x:v>—</x:v>
      </x:c>
      <x:c r="U162" s="81" t="str">
        <x:v>습지1</x:v>
      </x:c>
      <x:c r="V162" s="81" t="str">
        <x:v>담수1</x:v>
      </x:c>
    </x:row>
    <x:row r="163">
      <x:c r="A163" s="80" t="n">
        <x:v>159</x:v>
      </x:c>
      <x:c r="B163" s="80" t="str">
        <x:v>엘리게이</x:v>
      </x:c>
      <x:c r="C163" s="80" t="str">
        <x:v>croconaw</x:v>
      </x:c>
      <x:c r="D163" s="80" t="str">
        <x:v>습지</x:v>
      </x:c>
      <x:c r="E163" s="81" t="str">
        <x:v>—</x:v>
      </x:c>
      <x:c r="F163" s="81" t="str">
        <x:v>—</x:v>
      </x:c>
      <x:c r="G163" s="81" t="str">
        <x:v>습지2</x:v>
      </x:c>
      <x:c r="H163" s="81" t="str">
        <x:v>담수2</x:v>
      </x:c>
      <x:c r="I163" s="81" t="str">
        <x:v>—</x:v>
      </x:c>
      <x:c r="J163" s="81" t="str">
        <x:v>—</x:v>
      </x:c>
      <x:c r="K163" s="81" t="str">
        <x:v>—</x:v>
      </x:c>
      <x:c r="L163" s="81" t="str">
        <x:v>—</x:v>
      </x:c>
      <x:c r="M163" s="81" t="str">
        <x:v>—</x:v>
      </x:c>
      <x:c r="N163" s="81" t="str">
        <x:v>—</x:v>
      </x:c>
      <x:c r="O163" s="81" t="str">
        <x:v>—</x:v>
      </x:c>
      <x:c r="P163" s="81" t="str">
        <x:v>—</x:v>
      </x:c>
      <x:c r="Q163" s="81" t="str">
        <x:v>—</x:v>
      </x:c>
      <x:c r="R163" s="81" t="str">
        <x:v>—</x:v>
      </x:c>
      <x:c r="S163" s="81" t="str">
        <x:v>—</x:v>
      </x:c>
      <x:c r="T163" s="81" t="str">
        <x:v>—</x:v>
      </x:c>
      <x:c r="U163" s="81" t="str">
        <x:v>습지1</x:v>
      </x:c>
      <x:c r="V163" s="81" t="str">
        <x:v>담수1</x:v>
      </x:c>
    </x:row>
    <x:row r="164">
      <x:c r="A164" s="80" t="n">
        <x:v>160</x:v>
      </x:c>
      <x:c r="B164" s="80" t="str">
        <x:v>장크로다일</x:v>
      </x:c>
      <x:c r="C164" s="80" t="str">
        <x:v>feraligatr</x:v>
      </x:c>
      <x:c r="D164" s="80" t="str">
        <x:v>습지</x:v>
      </x:c>
      <x:c r="E164" s="81" t="str">
        <x:v>—</x:v>
      </x:c>
      <x:c r="F164" s="81" t="str">
        <x:v>—</x:v>
      </x:c>
      <x:c r="G164" s="81" t="str">
        <x:v>습지2</x:v>
      </x:c>
      <x:c r="H164" s="81" t="str">
        <x:v>담수2</x:v>
      </x:c>
      <x:c r="I164" s="81" t="str">
        <x:v>—</x:v>
      </x:c>
      <x:c r="J164" s="81" t="str">
        <x:v>—</x:v>
      </x:c>
      <x:c r="K164" s="81" t="str">
        <x:v>—</x:v>
      </x:c>
      <x:c r="L164" s="81" t="str">
        <x:v>—</x:v>
      </x:c>
      <x:c r="M164" s="81" t="str">
        <x:v>—</x:v>
      </x:c>
      <x:c r="N164" s="81" t="str">
        <x:v>—</x:v>
      </x:c>
      <x:c r="O164" s="81" t="str">
        <x:v>—</x:v>
      </x:c>
      <x:c r="P164" s="81" t="str">
        <x:v>—</x:v>
      </x:c>
      <x:c r="Q164" s="81" t="str">
        <x:v>—</x:v>
      </x:c>
      <x:c r="R164" s="81" t="str">
        <x:v>—</x:v>
      </x:c>
      <x:c r="S164" s="81" t="str">
        <x:v>—</x:v>
      </x:c>
      <x:c r="T164" s="81" t="str">
        <x:v>—</x:v>
      </x:c>
      <x:c r="U164" s="81" t="str">
        <x:v>습지1</x:v>
      </x:c>
      <x:c r="V164" s="81" t="str">
        <x:v>담수1</x:v>
      </x:c>
    </x:row>
    <x:row r="165">
      <x:c r="A165" s="80" t="n">
        <x:v>161</x:v>
      </x:c>
      <x:c r="B165" s="80" t="str">
        <x:v>꼬리선</x:v>
      </x:c>
      <x:c r="C165" s="80" t="str">
        <x:v>sentret</x:v>
      </x:c>
      <x:c r="D165" s="80" t="str">
        <x:v>숲</x:v>
      </x:c>
      <x:c r="E165" s="81" t="str">
        <x:v>—</x:v>
      </x:c>
      <x:c r="F165" s="81" t="str">
        <x:v>—</x:v>
      </x:c>
      <x:c r="G165" s="81" t="str">
        <x:v>숲2</x:v>
      </x:c>
      <x:c r="H165" s="81" t="str">
        <x:v>평원2</x:v>
      </x:c>
      <x:c r="I165" s="81" t="str">
        <x:v>—</x:v>
      </x:c>
      <x:c r="J165" s="81" t="str">
        <x:v>—</x:v>
      </x:c>
      <x:c r="K165" s="81" t="str">
        <x:v>—</x:v>
      </x:c>
      <x:c r="L165" s="81" t="str">
        <x:v>—</x:v>
      </x:c>
      <x:c r="M165" s="81" t="str">
        <x:v>—</x:v>
      </x:c>
      <x:c r="N165" s="81" t="str">
        <x:v>—</x:v>
      </x:c>
      <x:c r="O165" s="81" t="str">
        <x:v>숲2</x:v>
      </x:c>
      <x:c r="P165" s="81" t="str">
        <x:v>평원2</x:v>
      </x:c>
      <x:c r="Q165" s="81" t="str">
        <x:v>—</x:v>
      </x:c>
      <x:c r="R165" s="81" t="str">
        <x:v>—</x:v>
      </x:c>
      <x:c r="S165" s="81" t="str">
        <x:v>—</x:v>
      </x:c>
      <x:c r="T165" s="81" t="str">
        <x:v>—</x:v>
      </x:c>
      <x:c r="U165" s="81" t="str">
        <x:v>숲2</x:v>
      </x:c>
      <x:c r="V165" s="81" t="str">
        <x:v>평원1</x:v>
      </x:c>
    </x:row>
    <x:row r="166">
      <x:c r="A166" s="80" t="n">
        <x:v>162</x:v>
      </x:c>
      <x:c r="B166" s="80" t="str">
        <x:v>다꼬리</x:v>
      </x:c>
      <x:c r="C166" s="80" t="str">
        <x:v>furret</x:v>
      </x:c>
      <x:c r="D166" s="80" t="str">
        <x:v>숲</x:v>
      </x:c>
      <x:c r="E166" s="81" t="str">
        <x:v>—</x:v>
      </x:c>
      <x:c r="F166" s="81" t="str">
        <x:v>—</x:v>
      </x:c>
      <x:c r="G166" s="81" t="str">
        <x:v>숲2</x:v>
      </x:c>
      <x:c r="H166" s="81" t="str">
        <x:v>평원2</x:v>
      </x:c>
      <x:c r="I166" s="81" t="str">
        <x:v>—</x:v>
      </x:c>
      <x:c r="J166" s="81" t="str">
        <x:v>—</x:v>
      </x:c>
      <x:c r="K166" s="81" t="str">
        <x:v>—</x:v>
      </x:c>
      <x:c r="L166" s="81" t="str">
        <x:v>—</x:v>
      </x:c>
      <x:c r="M166" s="81" t="str">
        <x:v>—</x:v>
      </x:c>
      <x:c r="N166" s="81" t="str">
        <x:v>—</x:v>
      </x:c>
      <x:c r="O166" s="81" t="str">
        <x:v>숲2</x:v>
      </x:c>
      <x:c r="P166" s="81" t="str">
        <x:v>평원2</x:v>
      </x:c>
      <x:c r="Q166" s="81" t="str">
        <x:v>—</x:v>
      </x:c>
      <x:c r="R166" s="81" t="str">
        <x:v>—</x:v>
      </x:c>
      <x:c r="S166" s="81" t="str">
        <x:v>—</x:v>
      </x:c>
      <x:c r="T166" s="81" t="str">
        <x:v>—</x:v>
      </x:c>
      <x:c r="U166" s="81" t="str">
        <x:v>숲2</x:v>
      </x:c>
      <x:c r="V166" s="81" t="str">
        <x:v>평원2</x:v>
      </x:c>
    </x:row>
    <x:row r="167">
      <x:c r="A167" s="80" t="n">
        <x:v>163</x:v>
      </x:c>
      <x:c r="B167" s="80" t="str">
        <x:v>부우부</x:v>
      </x:c>
      <x:c r="C167" s="80" t="str">
        <x:v>hoothoot</x:v>
      </x:c>
      <x:c r="D167" s="80" t="str">
        <x:v>특수</x:v>
      </x:c>
      <x:c r="E167" s="81" t="str">
        <x:v>—</x:v>
      </x:c>
      <x:c r="F167" s="81" t="str">
        <x:v>—</x:v>
      </x:c>
      <x:c r="G167" s="81" t="str">
        <x:v>특수1</x:v>
      </x:c>
      <x:c r="H167" s="81" t="str">
        <x:v>평원2</x:v>
      </x:c>
      <x:c r="I167" s="81" t="str">
        <x:v>—</x:v>
      </x:c>
      <x:c r="J167" s="81" t="str">
        <x:v>—</x:v>
      </x:c>
      <x:c r="K167" s="81" t="str">
        <x:v>특수1</x:v>
      </x:c>
      <x:c r="L167" s="81" t="str">
        <x:v>평원1</x:v>
      </x:c>
      <x:c r="M167" s="81" t="str">
        <x:v>—</x:v>
      </x:c>
      <x:c r="N167" s="81" t="str">
        <x:v>—</x:v>
      </x:c>
      <x:c r="O167" s="81" t="str">
        <x:v>특수1</x:v>
      </x:c>
      <x:c r="P167" s="81" t="str">
        <x:v>평원2</x:v>
      </x:c>
      <x:c r="Q167" s="81" t="str">
        <x:v>특수1</x:v>
      </x:c>
      <x:c r="R167" s="81" t="str">
        <x:v>평원2</x:v>
      </x:c>
      <x:c r="S167" s="81" t="str">
        <x:v>특수1</x:v>
      </x:c>
      <x:c r="T167" s="81" t="str">
        <x:v>평원2</x:v>
      </x:c>
      <x:c r="U167" s="81" t="str">
        <x:v>특수1</x:v>
      </x:c>
      <x:c r="V167" s="81" t="str">
        <x:v>평원2</x:v>
      </x:c>
    </x:row>
    <x:row r="168">
      <x:c r="A168" s="80" t="n">
        <x:v>164</x:v>
      </x:c>
      <x:c r="B168" s="80" t="str">
        <x:v>야부엉</x:v>
      </x:c>
      <x:c r="C168" s="80" t="str">
        <x:v>noctowl</x:v>
      </x:c>
      <x:c r="D168" s="80" t="str">
        <x:v>특수</x:v>
      </x:c>
      <x:c r="E168" s="81" t="str">
        <x:v>—</x:v>
      </x:c>
      <x:c r="F168" s="81" t="str">
        <x:v>—</x:v>
      </x:c>
      <x:c r="G168" s="81" t="str">
        <x:v>특수1</x:v>
      </x:c>
      <x:c r="H168" s="81" t="str">
        <x:v>평원2</x:v>
      </x:c>
      <x:c r="I168" s="81" t="str">
        <x:v>—</x:v>
      </x:c>
      <x:c r="J168" s="81" t="str">
        <x:v>—</x:v>
      </x:c>
      <x:c r="K168" s="81" t="str">
        <x:v>특수1</x:v>
      </x:c>
      <x:c r="L168" s="81" t="str">
        <x:v>평원1</x:v>
      </x:c>
      <x:c r="M168" s="81" t="str">
        <x:v>—</x:v>
      </x:c>
      <x:c r="N168" s="81" t="str">
        <x:v>—</x:v>
      </x:c>
      <x:c r="O168" s="81" t="str">
        <x:v>특수1</x:v>
      </x:c>
      <x:c r="P168" s="81" t="str">
        <x:v>평원2</x:v>
      </x:c>
      <x:c r="Q168" s="81" t="str">
        <x:v>특수1</x:v>
      </x:c>
      <x:c r="R168" s="81" t="str">
        <x:v>평원2</x:v>
      </x:c>
      <x:c r="S168" s="81" t="str">
        <x:v>특수1</x:v>
      </x:c>
      <x:c r="T168" s="81" t="str">
        <x:v>평원2</x:v>
      </x:c>
      <x:c r="U168" s="81" t="str">
        <x:v>특수1</x:v>
      </x:c>
      <x:c r="V168" s="81" t="str">
        <x:v>평원2</x:v>
      </x:c>
    </x:row>
    <x:row r="169">
      <x:c r="A169" s="80" t="n">
        <x:v>165</x:v>
      </x:c>
      <x:c r="B169" s="80" t="str">
        <x:v>레디바</x:v>
      </x:c>
      <x:c r="C169" s="80" t="str">
        <x:v>ledyba</x:v>
      </x:c>
      <x:c r="D169" s="80" t="str">
        <x:v>평원</x:v>
      </x:c>
      <x:c r="E169" s="81" t="str">
        <x:v>—</x:v>
      </x:c>
      <x:c r="F169" s="81" t="str">
        <x:v>—</x:v>
      </x:c>
      <x:c r="G169" s="81" t="str">
        <x:v>평원2</x:v>
      </x:c>
      <x:c r="H169" s="81" t="str">
        <x:v>숲2</x:v>
      </x:c>
      <x:c r="I169" s="81" t="str">
        <x:v>—</x:v>
      </x:c>
      <x:c r="J169" s="81" t="str">
        <x:v>—</x:v>
      </x:c>
      <x:c r="K169" s="81" t="str">
        <x:v>—</x:v>
      </x:c>
      <x:c r="L169" s="81" t="str">
        <x:v>—</x:v>
      </x:c>
      <x:c r="M169" s="81" t="str">
        <x:v>—</x:v>
      </x:c>
      <x:c r="N169" s="81" t="str">
        <x:v>—</x:v>
      </x:c>
      <x:c r="O169" s="81" t="str">
        <x:v>평원2</x:v>
      </x:c>
      <x:c r="P169" s="81" t="str">
        <x:v>숲2</x:v>
      </x:c>
      <x:c r="Q169" s="81" t="str">
        <x:v>평원2</x:v>
      </x:c>
      <x:c r="R169" s="81" t="str">
        <x:v>숲1</x:v>
      </x:c>
      <x:c r="S169" s="81" t="str">
        <x:v>—</x:v>
      </x:c>
      <x:c r="T169" s="81" t="str">
        <x:v>—</x:v>
      </x:c>
      <x:c r="U169" s="81" t="str">
        <x:v>—</x:v>
      </x:c>
      <x:c r="V169" s="81" t="str">
        <x:v>—</x:v>
      </x:c>
    </x:row>
    <x:row r="170">
      <x:c r="A170" s="80" t="n">
        <x:v>166</x:v>
      </x:c>
      <x:c r="B170" s="80" t="str">
        <x:v>레디안</x:v>
      </x:c>
      <x:c r="C170" s="80" t="str">
        <x:v>ledian</x:v>
      </x:c>
      <x:c r="D170" s="80" t="str">
        <x:v>평원</x:v>
      </x:c>
      <x:c r="E170" s="81" t="str">
        <x:v>—</x:v>
      </x:c>
      <x:c r="F170" s="81" t="str">
        <x:v>—</x:v>
      </x:c>
      <x:c r="G170" s="81" t="str">
        <x:v>평원2</x:v>
      </x:c>
      <x:c r="H170" s="81" t="str">
        <x:v>숲2</x:v>
      </x:c>
      <x:c r="I170" s="81" t="str">
        <x:v>—</x:v>
      </x:c>
      <x:c r="J170" s="81" t="str">
        <x:v>—</x:v>
      </x:c>
      <x:c r="K170" s="81" t="str">
        <x:v>—</x:v>
      </x:c>
      <x:c r="L170" s="81" t="str">
        <x:v>—</x:v>
      </x:c>
      <x:c r="M170" s="81" t="str">
        <x:v>—</x:v>
      </x:c>
      <x:c r="N170" s="81" t="str">
        <x:v>—</x:v>
      </x:c>
      <x:c r="O170" s="81" t="str">
        <x:v>평원2</x:v>
      </x:c>
      <x:c r="P170" s="81" t="str">
        <x:v>숲2</x:v>
      </x:c>
      <x:c r="Q170" s="81" t="str">
        <x:v>평원2</x:v>
      </x:c>
      <x:c r="R170" s="81" t="str">
        <x:v>숲1</x:v>
      </x:c>
      <x:c r="S170" s="81" t="str">
        <x:v>—</x:v>
      </x:c>
      <x:c r="T170" s="81" t="str">
        <x:v>—</x:v>
      </x:c>
      <x:c r="U170" s="81" t="str">
        <x:v>—</x:v>
      </x:c>
      <x:c r="V170" s="81" t="str">
        <x:v>—</x:v>
      </x:c>
    </x:row>
    <x:row r="171">
      <x:c r="A171" s="80" t="n">
        <x:v>167</x:v>
      </x:c>
      <x:c r="B171" s="80" t="str">
        <x:v>페이검</x:v>
      </x:c>
      <x:c r="C171" s="80" t="str">
        <x:v>spinarak</x:v>
      </x:c>
      <x:c r="D171" s="80" t="str">
        <x:v>숲</x:v>
      </x:c>
      <x:c r="E171" s="81" t="str">
        <x:v>—</x:v>
      </x:c>
      <x:c r="F171" s="81" t="str">
        <x:v>—</x:v>
      </x:c>
      <x:c r="G171" s="81" t="str">
        <x:v>숲3</x:v>
      </x:c>
      <x:c r="H171" s="81" t="str">
        <x:v>특수1</x:v>
      </x:c>
      <x:c r="I171" s="81" t="str">
        <x:v>—</x:v>
      </x:c>
      <x:c r="J171" s="81" t="str">
        <x:v>—</x:v>
      </x:c>
      <x:c r="K171" s="81" t="str">
        <x:v>—</x:v>
      </x:c>
      <x:c r="L171" s="81" t="str">
        <x:v>—</x:v>
      </x:c>
      <x:c r="M171" s="81" t="str">
        <x:v>—</x:v>
      </x:c>
      <x:c r="N171" s="81" t="str">
        <x:v>—</x:v>
      </x:c>
      <x:c r="O171" s="81" t="str">
        <x:v>숲2</x:v>
      </x:c>
      <x:c r="P171" s="81" t="str">
        <x:v>특수1</x:v>
      </x:c>
      <x:c r="Q171" s="81" t="str">
        <x:v>숲1</x:v>
      </x:c>
      <x:c r="R171" s="81" t="str">
        <x:v>특수1</x:v>
      </x:c>
      <x:c r="S171" s="81" t="str">
        <x:v>—</x:v>
      </x:c>
      <x:c r="T171" s="81" t="str">
        <x:v>—</x:v>
      </x:c>
      <x:c r="U171" s="81" t="str">
        <x:v>숲2</x:v>
      </x:c>
      <x:c r="V171" s="81" t="str">
        <x:v>특수1</x:v>
      </x:c>
    </x:row>
    <x:row r="172">
      <x:c r="A172" s="80" t="n">
        <x:v>168</x:v>
      </x:c>
      <x:c r="B172" s="80" t="str">
        <x:v>아리아도스</x:v>
      </x:c>
      <x:c r="C172" s="80" t="str">
        <x:v>ariados</x:v>
      </x:c>
      <x:c r="D172" s="80" t="str">
        <x:v>숲</x:v>
      </x:c>
      <x:c r="E172" s="81" t="str">
        <x:v>—</x:v>
      </x:c>
      <x:c r="F172" s="81" t="str">
        <x:v>—</x:v>
      </x:c>
      <x:c r="G172" s="81" t="str">
        <x:v>숲3</x:v>
      </x:c>
      <x:c r="H172" s="81" t="str">
        <x:v>특수1</x:v>
      </x:c>
      <x:c r="I172" s="81" t="str">
        <x:v>—</x:v>
      </x:c>
      <x:c r="J172" s="81" t="str">
        <x:v>—</x:v>
      </x:c>
      <x:c r="K172" s="81" t="str">
        <x:v>—</x:v>
      </x:c>
      <x:c r="L172" s="81" t="str">
        <x:v>—</x:v>
      </x:c>
      <x:c r="M172" s="81" t="str">
        <x:v>—</x:v>
      </x:c>
      <x:c r="N172" s="81" t="str">
        <x:v>—</x:v>
      </x:c>
      <x:c r="O172" s="81" t="str">
        <x:v>숲2</x:v>
      </x:c>
      <x:c r="P172" s="81" t="str">
        <x:v>특수1</x:v>
      </x:c>
      <x:c r="Q172" s="81" t="str">
        <x:v>숲1</x:v>
      </x:c>
      <x:c r="R172" s="81" t="str">
        <x:v>특수1</x:v>
      </x:c>
      <x:c r="S172" s="81" t="str">
        <x:v>—</x:v>
      </x:c>
      <x:c r="T172" s="81" t="str">
        <x:v>—</x:v>
      </x:c>
      <x:c r="U172" s="81" t="str">
        <x:v>숲2</x:v>
      </x:c>
      <x:c r="V172" s="81" t="str">
        <x:v>특수1</x:v>
      </x:c>
    </x:row>
    <x:row r="173">
      <x:c r="A173" s="80" t="n">
        <x:v>169</x:v>
      </x:c>
      <x:c r="B173" s="80" t="str">
        <x:v>크로뱃</x:v>
      </x:c>
      <x:c r="C173" s="80" t="str">
        <x:v>crobat</x:v>
      </x:c>
      <x:c r="D173" s="80" t="str">
        <x:v>특수</x:v>
      </x:c>
      <x:c r="E173" s="81" t="str">
        <x:v>—</x:v>
      </x:c>
      <x:c r="F173" s="81" t="str">
        <x:v>—</x:v>
      </x:c>
      <x:c r="G173" s="81" t="str">
        <x:v>특수1</x:v>
      </x:c>
      <x:c r="H173" s="81" t="str">
        <x:v>숲3</x:v>
      </x:c>
      <x:c r="I173" s="81" t="str">
        <x:v>특수1</x:v>
      </x:c>
      <x:c r="J173" s="81" t="str">
        <x:v>숲1</x:v>
      </x:c>
      <x:c r="K173" s="81" t="str">
        <x:v>특수1</x:v>
      </x:c>
      <x:c r="L173" s="81" t="str">
        <x:v>숲1</x:v>
      </x:c>
      <x:c r="M173" s="81" t="str">
        <x:v>특수1</x:v>
      </x:c>
      <x:c r="N173" s="81" t="str">
        <x:v>숲1</x:v>
      </x:c>
      <x:c r="O173" s="81" t="str">
        <x:v>특수1</x:v>
      </x:c>
      <x:c r="P173" s="81" t="str">
        <x:v>숲2</x:v>
      </x:c>
      <x:c r="Q173" s="81" t="str">
        <x:v>특수1</x:v>
      </x:c>
      <x:c r="R173" s="81" t="str">
        <x:v>숲2</x:v>
      </x:c>
      <x:c r="S173" s="81" t="str">
        <x:v>특수1</x:v>
      </x:c>
      <x:c r="T173" s="81" t="str">
        <x:v>숲2</x:v>
      </x:c>
      <x:c r="U173" s="81" t="str">
        <x:v>—</x:v>
      </x:c>
      <x:c r="V173" s="81" t="str">
        <x:v>—</x:v>
      </x:c>
    </x:row>
    <x:row r="174">
      <x:c r="A174" s="80" t="n">
        <x:v>170</x:v>
      </x:c>
      <x:c r="B174" s="80" t="str">
        <x:v>초라기</x:v>
      </x:c>
      <x:c r="C174" s="80" t="str">
        <x:v>chinchou</x:v>
      </x:c>
      <x:c r="D174" s="80" t="str">
        <x:v>해양</x:v>
      </x:c>
      <x:c r="E174" s="81" t="str">
        <x:v>—</x:v>
      </x:c>
      <x:c r="F174" s="81" t="str">
        <x:v>—</x:v>
      </x:c>
      <x:c r="G174" s="81" t="str">
        <x:v>해양1</x:v>
      </x:c>
      <x:c r="H174" s="81" t="str">
        <x:v>담수2</x:v>
      </x:c>
      <x:c r="I174" s="81" t="str">
        <x:v>해양1</x:v>
      </x:c>
      <x:c r="J174" s="81" t="str">
        <x:v>담수1</x:v>
      </x:c>
      <x:c r="K174" s="81" t="str">
        <x:v>—</x:v>
      </x:c>
      <x:c r="L174" s="81" t="str">
        <x:v>—</x:v>
      </x:c>
      <x:c r="M174" s="81" t="str">
        <x:v>—</x:v>
      </x:c>
      <x:c r="N174" s="81" t="str">
        <x:v>—</x:v>
      </x:c>
      <x:c r="O174" s="81" t="str">
        <x:v>해양1</x:v>
      </x:c>
      <x:c r="P174" s="81" t="str">
        <x:v>담수1</x:v>
      </x:c>
      <x:c r="Q174" s="81" t="str">
        <x:v>해양1</x:v>
      </x:c>
      <x:c r="R174" s="81" t="str">
        <x:v>담수1</x:v>
      </x:c>
      <x:c r="S174" s="81" t="str">
        <x:v>해양1</x:v>
      </x:c>
      <x:c r="T174" s="81" t="str">
        <x:v>담수1</x:v>
      </x:c>
      <x:c r="U174" s="81" t="str">
        <x:v>해양1</x:v>
      </x:c>
      <x:c r="V174" s="81" t="str">
        <x:v>담수1</x:v>
      </x:c>
    </x:row>
    <x:row r="175">
      <x:c r="A175" s="80" t="n">
        <x:v>171</x:v>
      </x:c>
      <x:c r="B175" s="80" t="str">
        <x:v>랜턴</x:v>
      </x:c>
      <x:c r="C175" s="80" t="str">
        <x:v>lanturn</x:v>
      </x:c>
      <x:c r="D175" s="80" t="str">
        <x:v>해양</x:v>
      </x:c>
      <x:c r="E175" s="81" t="str">
        <x:v>—</x:v>
      </x:c>
      <x:c r="F175" s="81" t="str">
        <x:v>—</x:v>
      </x:c>
      <x:c r="G175" s="81" t="str">
        <x:v>해양1</x:v>
      </x:c>
      <x:c r="H175" s="81" t="str">
        <x:v>담수2</x:v>
      </x:c>
      <x:c r="I175" s="81" t="str">
        <x:v>해양1</x:v>
      </x:c>
      <x:c r="J175" s="81" t="str">
        <x:v>담수1</x:v>
      </x:c>
      <x:c r="K175" s="81" t="str">
        <x:v>—</x:v>
      </x:c>
      <x:c r="L175" s="81" t="str">
        <x:v>—</x:v>
      </x:c>
      <x:c r="M175" s="81" t="str">
        <x:v>—</x:v>
      </x:c>
      <x:c r="N175" s="81" t="str">
        <x:v>—</x:v>
      </x:c>
      <x:c r="O175" s="81" t="str">
        <x:v>해양1</x:v>
      </x:c>
      <x:c r="P175" s="81" t="str">
        <x:v>담수1</x:v>
      </x:c>
      <x:c r="Q175" s="81" t="str">
        <x:v>해양1</x:v>
      </x:c>
      <x:c r="R175" s="81" t="str">
        <x:v>담수1</x:v>
      </x:c>
      <x:c r="S175" s="81" t="str">
        <x:v>해양1</x:v>
      </x:c>
      <x:c r="T175" s="81" t="str">
        <x:v>담수1</x:v>
      </x:c>
      <x:c r="U175" s="81" t="str">
        <x:v>해양1</x:v>
      </x:c>
      <x:c r="V175" s="81" t="str">
        <x:v>담수1</x:v>
      </x:c>
    </x:row>
    <x:row r="176">
      <x:c r="A176" s="80" t="n">
        <x:v>172</x:v>
      </x:c>
      <x:c r="B176" s="80" t="str">
        <x:v>피츄</x:v>
      </x:c>
      <x:c r="C176" s="80" t="str">
        <x:v>pichu</x:v>
      </x:c>
      <x:c r="D176" s="80" t="str">
        <x:v>숲</x:v>
      </x:c>
      <x:c r="E176" s="81" t="str">
        <x:v>—</x:v>
      </x:c>
      <x:c r="F176" s="81" t="str">
        <x:v>—</x:v>
      </x:c>
      <x:c r="G176" s="81" t="str">
        <x:v>숲3</x:v>
      </x:c>
      <x:c r="H176" s="81" t="str">
        <x:v>평원2</x:v>
      </x:c>
      <x:c r="I176" s="81" t="str">
        <x:v>숲1</x:v>
      </x:c>
      <x:c r="J176" s="81" t="str">
        <x:v>평원1</x:v>
      </x:c>
      <x:c r="K176" s="81" t="str">
        <x:v>숲1</x:v>
      </x:c>
      <x:c r="L176" s="81" t="str">
        <x:v>평원1</x:v>
      </x:c>
      <x:c r="M176" s="81" t="str">
        <x:v>—</x:v>
      </x:c>
      <x:c r="N176" s="81" t="str">
        <x:v>—</x:v>
      </x:c>
      <x:c r="O176" s="81" t="str">
        <x:v>숲2</x:v>
      </x:c>
      <x:c r="P176" s="81" t="str">
        <x:v>평원2</x:v>
      </x:c>
      <x:c r="Q176" s="81" t="str">
        <x:v>숲2</x:v>
      </x:c>
      <x:c r="R176" s="81" t="str">
        <x:v>평원2</x:v>
      </x:c>
      <x:c r="S176" s="81" t="str">
        <x:v>숲2</x:v>
      </x:c>
      <x:c r="T176" s="81" t="str">
        <x:v>평원2</x:v>
      </x:c>
      <x:c r="U176" s="81" t="str">
        <x:v>숲2</x:v>
      </x:c>
      <x:c r="V176" s="81" t="str">
        <x:v>평원2</x:v>
      </x:c>
    </x:row>
    <x:row r="177">
      <x:c r="A177" s="80" t="n">
        <x:v>173</x:v>
      </x:c>
      <x:c r="B177" s="80" t="str">
        <x:v>삐</x:v>
      </x:c>
      <x:c r="C177" s="80" t="str">
        <x:v>cleffa</x:v>
      </x:c>
      <x:c r="D177" s="80" t="str">
        <x:v>동굴</x:v>
      </x:c>
      <x:c r="E177" s="81" t="str">
        <x:v>—</x:v>
      </x:c>
      <x:c r="F177" s="81" t="str">
        <x:v>—</x:v>
      </x:c>
      <x:c r="G177" s="81" t="str">
        <x:v>동굴1</x:v>
      </x:c>
      <x:c r="H177" s="81" t="str">
        <x:v>평원2</x:v>
      </x:c>
      <x:c r="I177" s="81" t="str">
        <x:v>—</x:v>
      </x:c>
      <x:c r="J177" s="81" t="str">
        <x:v>—</x:v>
      </x:c>
      <x:c r="K177" s="81" t="str">
        <x:v>동굴1</x:v>
      </x:c>
      <x:c r="L177" s="81" t="str">
        <x:v>평원1</x:v>
      </x:c>
      <x:c r="M177" s="81" t="str">
        <x:v>동굴1</x:v>
      </x:c>
      <x:c r="N177" s="81" t="str">
        <x:v>평원1</x:v>
      </x:c>
      <x:c r="O177" s="81" t="str">
        <x:v>—</x:v>
      </x:c>
      <x:c r="P177" s="81" t="str">
        <x:v>—</x:v>
      </x:c>
      <x:c r="Q177" s="81" t="str">
        <x:v>동굴1</x:v>
      </x:c>
      <x:c r="R177" s="81" t="str">
        <x:v>평원2</x:v>
      </x:c>
      <x:c r="S177" s="81" t="str">
        <x:v>동굴1</x:v>
      </x:c>
      <x:c r="T177" s="81" t="str">
        <x:v>평원2</x:v>
      </x:c>
      <x:c r="U177" s="81" t="str">
        <x:v>동굴1</x:v>
      </x:c>
      <x:c r="V177" s="81" t="str">
        <x:v>평원2</x:v>
      </x:c>
    </x:row>
    <x:row r="178">
      <x:c r="A178" s="80" t="n">
        <x:v>174</x:v>
      </x:c>
      <x:c r="B178" s="80" t="str">
        <x:v>푸푸린</x:v>
      </x:c>
      <x:c r="C178" s="80" t="str">
        <x:v>igglybuff</x:v>
      </x:c>
      <x:c r="D178" s="80" t="str">
        <x:v>평원</x:v>
      </x:c>
      <x:c r="E178" s="81" t="str">
        <x:v>—</x:v>
      </x:c>
      <x:c r="F178" s="81" t="str">
        <x:v>—</x:v>
      </x:c>
      <x:c r="G178" s="81" t="str">
        <x:v>평원2</x:v>
      </x:c>
      <x:c r="H178" s="81" t="str">
        <x:v>숲3</x:v>
      </x:c>
      <x:c r="I178" s="81" t="str">
        <x:v>평원1</x:v>
      </x:c>
      <x:c r="J178" s="81" t="str">
        <x:v>숲1</x:v>
      </x:c>
      <x:c r="K178" s="81" t="str">
        <x:v>—</x:v>
      </x:c>
      <x:c r="L178" s="81" t="str">
        <x:v>—</x:v>
      </x:c>
      <x:c r="M178" s="81" t="str">
        <x:v>평원1</x:v>
      </x:c>
      <x:c r="N178" s="81" t="str">
        <x:v>숲1</x:v>
      </x:c>
      <x:c r="O178" s="81" t="str">
        <x:v>평원2</x:v>
      </x:c>
      <x:c r="P178" s="81" t="str">
        <x:v>숲2</x:v>
      </x:c>
      <x:c r="Q178" s="81" t="str">
        <x:v>평원2</x:v>
      </x:c>
      <x:c r="R178" s="81" t="str">
        <x:v>숲2</x:v>
      </x:c>
      <x:c r="S178" s="81" t="str">
        <x:v>평원2</x:v>
      </x:c>
      <x:c r="T178" s="81" t="str">
        <x:v>숲2</x:v>
      </x:c>
      <x:c r="U178" s="81" t="str">
        <x:v>평원2</x:v>
      </x:c>
      <x:c r="V178" s="81" t="str">
        <x:v>숲2</x:v>
      </x:c>
    </x:row>
    <x:row r="179">
      <x:c r="A179" s="80" t="n">
        <x:v>175</x:v>
      </x:c>
      <x:c r="B179" s="80" t="str">
        <x:v>토게피</x:v>
      </x:c>
      <x:c r="C179" s="80" t="str">
        <x:v>togepi</x:v>
      </x:c>
      <x:c r="D179" s="80" t="str">
        <x:v>평원</x:v>
      </x:c>
      <x:c r="E179" s="81" t="str">
        <x:v>—</x:v>
      </x:c>
      <x:c r="F179" s="81" t="str">
        <x:v>—</x:v>
      </x:c>
      <x:c r="G179" s="81" t="str">
        <x:v>평원3</x:v>
      </x:c>
      <x:c r="H179" s="81" t="str">
        <x:v>숲3</x:v>
      </x:c>
      <x:c r="I179" s="81" t="str">
        <x:v>—</x:v>
      </x:c>
      <x:c r="J179" s="81" t="str">
        <x:v>—</x:v>
      </x:c>
      <x:c r="K179" s="81" t="str">
        <x:v>평원1</x:v>
      </x:c>
      <x:c r="L179" s="81" t="str">
        <x:v>숲1</x:v>
      </x:c>
      <x:c r="M179" s="81" t="str">
        <x:v>—</x:v>
      </x:c>
      <x:c r="N179" s="81" t="str">
        <x:v>—</x:v>
      </x:c>
      <x:c r="O179" s="81" t="str">
        <x:v>—</x:v>
      </x:c>
      <x:c r="P179" s="81" t="str">
        <x:v>—</x:v>
      </x:c>
      <x:c r="Q179" s="81" t="str">
        <x:v>—</x:v>
      </x:c>
      <x:c r="R179" s="81" t="str">
        <x:v>—</x:v>
      </x:c>
      <x:c r="S179" s="81" t="str">
        <x:v>평원2</x:v>
      </x:c>
      <x:c r="T179" s="81" t="str">
        <x:v>숲2</x:v>
      </x:c>
      <x:c r="U179" s="81" t="str">
        <x:v>—</x:v>
      </x:c>
      <x:c r="V179" s="81" t="str">
        <x:v>—</x:v>
      </x:c>
    </x:row>
    <x:row r="180">
      <x:c r="A180" s="80" t="n">
        <x:v>176</x:v>
      </x:c>
      <x:c r="B180" s="80" t="str">
        <x:v>토게틱</x:v>
      </x:c>
      <x:c r="C180" s="80" t="str">
        <x:v>togetic</x:v>
      </x:c>
      <x:c r="D180" s="80" t="str">
        <x:v>평원</x:v>
      </x:c>
      <x:c r="E180" s="81" t="str">
        <x:v>—</x:v>
      </x:c>
      <x:c r="F180" s="81" t="str">
        <x:v>—</x:v>
      </x:c>
      <x:c r="G180" s="81" t="str">
        <x:v>평원3</x:v>
      </x:c>
      <x:c r="H180" s="81" t="str">
        <x:v>숲3</x:v>
      </x:c>
      <x:c r="I180" s="81" t="str">
        <x:v>—</x:v>
      </x:c>
      <x:c r="J180" s="81" t="str">
        <x:v>—</x:v>
      </x:c>
      <x:c r="K180" s="81" t="str">
        <x:v>평원1</x:v>
      </x:c>
      <x:c r="L180" s="81" t="str">
        <x:v>숲1</x:v>
      </x:c>
      <x:c r="M180" s="81" t="str">
        <x:v>—</x:v>
      </x:c>
      <x:c r="N180" s="81" t="str">
        <x:v>—</x:v>
      </x:c>
      <x:c r="O180" s="81" t="str">
        <x:v>—</x:v>
      </x:c>
      <x:c r="P180" s="81" t="str">
        <x:v>—</x:v>
      </x:c>
      <x:c r="Q180" s="81" t="str">
        <x:v>—</x:v>
      </x:c>
      <x:c r="R180" s="81" t="str">
        <x:v>—</x:v>
      </x:c>
      <x:c r="S180" s="81" t="str">
        <x:v>평원2</x:v>
      </x:c>
      <x:c r="T180" s="81" t="str">
        <x:v>숲2</x:v>
      </x:c>
      <x:c r="U180" s="81" t="str">
        <x:v>—</x:v>
      </x:c>
      <x:c r="V180" s="81" t="str">
        <x:v>—</x:v>
      </x:c>
    </x:row>
    <x:row r="181">
      <x:c r="A181" s="80" t="n">
        <x:v>177</x:v>
      </x:c>
      <x:c r="B181" s="80" t="str">
        <x:v>네이티</x:v>
      </x:c>
      <x:c r="C181" s="80" t="str">
        <x:v>natu</x:v>
      </x:c>
      <x:c r="D181" s="80" t="str">
        <x:v>건조지</x:v>
      </x:c>
      <x:c r="E181" s="81" t="str">
        <x:v>—</x:v>
      </x:c>
      <x:c r="F181" s="81" t="str">
        <x:v>—</x:v>
      </x:c>
      <x:c r="G181" s="81" t="str">
        <x:v>건조지1</x:v>
      </x:c>
      <x:c r="H181" s="81" t="str">
        <x:v>산악2</x:v>
      </x:c>
      <x:c r="I181" s="81" t="str">
        <x:v>건조지1</x:v>
      </x:c>
      <x:c r="J181" s="81" t="str">
        <x:v>산악1</x:v>
      </x:c>
      <x:c r="K181" s="81" t="str">
        <x:v>—</x:v>
      </x:c>
      <x:c r="L181" s="81" t="str">
        <x:v>—</x:v>
      </x:c>
      <x:c r="M181" s="81" t="str">
        <x:v>—</x:v>
      </x:c>
      <x:c r="N181" s="81" t="str">
        <x:v>—</x:v>
      </x:c>
      <x:c r="O181" s="81" t="str">
        <x:v>—</x:v>
      </x:c>
      <x:c r="P181" s="81" t="str">
        <x:v>—</x:v>
      </x:c>
      <x:c r="Q181" s="81" t="str">
        <x:v>건조지1</x:v>
      </x:c>
      <x:c r="R181" s="81" t="str">
        <x:v>산악1</x:v>
      </x:c>
      <x:c r="S181" s="81" t="str">
        <x:v>건조지1</x:v>
      </x:c>
      <x:c r="T181" s="81" t="str">
        <x:v>산악1</x:v>
      </x:c>
      <x:c r="U181" s="81" t="str">
        <x:v>—</x:v>
      </x:c>
      <x:c r="V181" s="81" t="str">
        <x:v>—</x:v>
      </x:c>
    </x:row>
    <x:row r="182">
      <x:c r="A182" s="80" t="n">
        <x:v>178</x:v>
      </x:c>
      <x:c r="B182" s="80" t="str">
        <x:v>네이티오</x:v>
      </x:c>
      <x:c r="C182" s="80" t="str">
        <x:v>xatu</x:v>
      </x:c>
      <x:c r="D182" s="80" t="str">
        <x:v>건조지</x:v>
      </x:c>
      <x:c r="E182" s="81" t="str">
        <x:v>—</x:v>
      </x:c>
      <x:c r="F182" s="81" t="str">
        <x:v>—</x:v>
      </x:c>
      <x:c r="G182" s="81" t="str">
        <x:v>건조지1</x:v>
      </x:c>
      <x:c r="H182" s="81" t="str">
        <x:v>산악2</x:v>
      </x:c>
      <x:c r="I182" s="81" t="str">
        <x:v>건조지1</x:v>
      </x:c>
      <x:c r="J182" s="81" t="str">
        <x:v>산악1</x:v>
      </x:c>
      <x:c r="K182" s="81" t="str">
        <x:v>—</x:v>
      </x:c>
      <x:c r="L182" s="81" t="str">
        <x:v>—</x:v>
      </x:c>
      <x:c r="M182" s="81" t="str">
        <x:v>—</x:v>
      </x:c>
      <x:c r="N182" s="81" t="str">
        <x:v>—</x:v>
      </x:c>
      <x:c r="O182" s="81" t="str">
        <x:v>—</x:v>
      </x:c>
      <x:c r="P182" s="81" t="str">
        <x:v>—</x:v>
      </x:c>
      <x:c r="Q182" s="81" t="str">
        <x:v>건조지1</x:v>
      </x:c>
      <x:c r="R182" s="81" t="str">
        <x:v>산악1</x:v>
      </x:c>
      <x:c r="S182" s="81" t="str">
        <x:v>건조지1</x:v>
      </x:c>
      <x:c r="T182" s="81" t="str">
        <x:v>산악1</x:v>
      </x:c>
      <x:c r="U182" s="81" t="str">
        <x:v>—</x:v>
      </x:c>
      <x:c r="V182" s="81" t="str">
        <x:v>—</x:v>
      </x:c>
    </x:row>
    <x:row r="183">
      <x:c r="A183" s="80" t="n">
        <x:v>179</x:v>
      </x:c>
      <x:c r="B183" s="80" t="str">
        <x:v>메리프</x:v>
      </x:c>
      <x:c r="C183" s="80" t="str">
        <x:v>mareep</x:v>
      </x:c>
      <x:c r="D183" s="80" t="str">
        <x:v>산악</x:v>
      </x:c>
      <x:c r="E183" s="81" t="str">
        <x:v>—</x:v>
      </x:c>
      <x:c r="F183" s="81" t="str">
        <x:v>—</x:v>
      </x:c>
      <x:c r="G183" s="81" t="str">
        <x:v>산악2</x:v>
      </x:c>
      <x:c r="H183" s="81" t="str">
        <x:v>평원3</x:v>
      </x:c>
      <x:c r="I183" s="81" t="str">
        <x:v>—</x:v>
      </x:c>
      <x:c r="J183" s="81" t="str">
        <x:v>—</x:v>
      </x:c>
      <x:c r="K183" s="81" t="str">
        <x:v>—</x:v>
      </x:c>
      <x:c r="L183" s="81" t="str">
        <x:v>—</x:v>
      </x:c>
      <x:c r="M183" s="81" t="str">
        <x:v>산악1</x:v>
      </x:c>
      <x:c r="N183" s="81" t="str">
        <x:v>평원1</x:v>
      </x:c>
      <x:c r="O183" s="81" t="str">
        <x:v>산악1</x:v>
      </x:c>
      <x:c r="P183" s="81" t="str">
        <x:v>평원2</x:v>
      </x:c>
      <x:c r="Q183" s="81" t="str">
        <x:v>산악1</x:v>
      </x:c>
      <x:c r="R183" s="81" t="str">
        <x:v>평원2</x:v>
      </x:c>
      <x:c r="S183" s="81" t="str">
        <x:v>—</x:v>
      </x:c>
      <x:c r="T183" s="81" t="str">
        <x:v>—</x:v>
      </x:c>
      <x:c r="U183" s="81" t="str">
        <x:v>산악1</x:v>
      </x:c>
      <x:c r="V183" s="81" t="str">
        <x:v>평원2</x:v>
      </x:c>
    </x:row>
    <x:row r="184">
      <x:c r="A184" s="80" t="n">
        <x:v>180</x:v>
      </x:c>
      <x:c r="B184" s="80" t="str">
        <x:v>보송송</x:v>
      </x:c>
      <x:c r="C184" s="80" t="str">
        <x:v>flaaffy</x:v>
      </x:c>
      <x:c r="D184" s="80" t="str">
        <x:v>산악</x:v>
      </x:c>
      <x:c r="E184" s="81" t="str">
        <x:v>—</x:v>
      </x:c>
      <x:c r="F184" s="81" t="str">
        <x:v>—</x:v>
      </x:c>
      <x:c r="G184" s="81" t="str">
        <x:v>산악2</x:v>
      </x:c>
      <x:c r="H184" s="81" t="str">
        <x:v>평원3</x:v>
      </x:c>
      <x:c r="I184" s="81" t="str">
        <x:v>—</x:v>
      </x:c>
      <x:c r="J184" s="81" t="str">
        <x:v>—</x:v>
      </x:c>
      <x:c r="K184" s="81" t="str">
        <x:v>—</x:v>
      </x:c>
      <x:c r="L184" s="81" t="str">
        <x:v>—</x:v>
      </x:c>
      <x:c r="M184" s="81" t="str">
        <x:v>산악1</x:v>
      </x:c>
      <x:c r="N184" s="81" t="str">
        <x:v>평원1</x:v>
      </x:c>
      <x:c r="O184" s="81" t="str">
        <x:v>산악1</x:v>
      </x:c>
      <x:c r="P184" s="81" t="str">
        <x:v>평원2</x:v>
      </x:c>
      <x:c r="Q184" s="81" t="str">
        <x:v>산악1</x:v>
      </x:c>
      <x:c r="R184" s="81" t="str">
        <x:v>평원2</x:v>
      </x:c>
      <x:c r="S184" s="81" t="str">
        <x:v>—</x:v>
      </x:c>
      <x:c r="T184" s="81" t="str">
        <x:v>—</x:v>
      </x:c>
      <x:c r="U184" s="81" t="str">
        <x:v>산악1</x:v>
      </x:c>
      <x:c r="V184" s="81" t="str">
        <x:v>평원2</x:v>
      </x:c>
    </x:row>
    <x:row r="185">
      <x:c r="A185" s="80" t="n">
        <x:v>181</x:v>
      </x:c>
      <x:c r="B185" s="80" t="str">
        <x:v>전룡</x:v>
      </x:c>
      <x:c r="C185" s="80" t="str">
        <x:v>ampharos</x:v>
      </x:c>
      <x:c r="D185" s="80" t="str">
        <x:v>산악</x:v>
      </x:c>
      <x:c r="E185" s="81" t="str">
        <x:v>—</x:v>
      </x:c>
      <x:c r="F185" s="81" t="str">
        <x:v>—</x:v>
      </x:c>
      <x:c r="G185" s="81" t="str">
        <x:v>산악2</x:v>
      </x:c>
      <x:c r="H185" s="81" t="str">
        <x:v>평원3</x:v>
      </x:c>
      <x:c r="I185" s="81" t="str">
        <x:v>—</x:v>
      </x:c>
      <x:c r="J185" s="81" t="str">
        <x:v>—</x:v>
      </x:c>
      <x:c r="K185" s="81" t="str">
        <x:v>—</x:v>
      </x:c>
      <x:c r="L185" s="81" t="str">
        <x:v>—</x:v>
      </x:c>
      <x:c r="M185" s="81" t="str">
        <x:v>산악1</x:v>
      </x:c>
      <x:c r="N185" s="81" t="str">
        <x:v>평원1</x:v>
      </x:c>
      <x:c r="O185" s="81" t="str">
        <x:v>산악1</x:v>
      </x:c>
      <x:c r="P185" s="81" t="str">
        <x:v>평원2</x:v>
      </x:c>
      <x:c r="Q185" s="81" t="str">
        <x:v>산악1</x:v>
      </x:c>
      <x:c r="R185" s="81" t="str">
        <x:v>평원2</x:v>
      </x:c>
      <x:c r="S185" s="81" t="str">
        <x:v>—</x:v>
      </x:c>
      <x:c r="T185" s="81" t="str">
        <x:v>—</x:v>
      </x:c>
      <x:c r="U185" s="81" t="str">
        <x:v>산악1</x:v>
      </x:c>
      <x:c r="V185" s="81" t="str">
        <x:v>평원2</x:v>
      </x:c>
    </x:row>
    <x:row r="186">
      <x:c r="A186" s="80" t="n">
        <x:v>182</x:v>
      </x:c>
      <x:c r="B186" s="80" t="str">
        <x:v>아르코</x:v>
      </x:c>
      <x:c r="C186" s="80" t="str">
        <x:v>bellossom</x:v>
      </x:c>
      <x:c r="D186" s="80" t="str">
        <x:v>숲</x:v>
      </x:c>
      <x:c r="E186" s="81" t="str">
        <x:v>—</x:v>
      </x:c>
      <x:c r="F186" s="81" t="str">
        <x:v>—</x:v>
      </x:c>
      <x:c r="G186" s="81" t="str">
        <x:v>숲3</x:v>
      </x:c>
      <x:c r="H186" s="81" t="str">
        <x:v>평원3</x:v>
      </x:c>
      <x:c r="I186" s="81" t="str">
        <x:v>숲1</x:v>
      </x:c>
      <x:c r="J186" s="81" t="str">
        <x:v>평원1</x:v>
      </x:c>
      <x:c r="K186" s="81" t="str">
        <x:v>—</x:v>
      </x:c>
      <x:c r="L186" s="81" t="str">
        <x:v>—</x:v>
      </x:c>
      <x:c r="M186" s="81" t="str">
        <x:v>—</x:v>
      </x:c>
      <x:c r="N186" s="81" t="str">
        <x:v>—</x:v>
      </x:c>
      <x:c r="O186" s="81" t="str">
        <x:v>숲2</x:v>
      </x:c>
      <x:c r="P186" s="81" t="str">
        <x:v>평원2</x:v>
      </x:c>
      <x:c r="Q186" s="81" t="str">
        <x:v>—</x:v>
      </x:c>
      <x:c r="R186" s="81" t="str">
        <x:v>—</x:v>
      </x:c>
      <x:c r="S186" s="81" t="str">
        <x:v>숲2</x:v>
      </x:c>
      <x:c r="T186" s="81" t="str">
        <x:v>평원2</x:v>
      </x:c>
      <x:c r="U186" s="81" t="str">
        <x:v>숲2</x:v>
      </x:c>
      <x:c r="V186" s="81" t="str">
        <x:v>평원2</x:v>
      </x:c>
    </x:row>
    <x:row r="187">
      <x:c r="A187" s="80" t="n">
        <x:v>183</x:v>
      </x:c>
      <x:c r="B187" s="80" t="str">
        <x:v>마릴</x:v>
      </x:c>
      <x:c r="C187" s="80" t="str">
        <x:v>marill</x:v>
      </x:c>
      <x:c r="D187" s="80" t="str">
        <x:v>담수</x:v>
      </x:c>
      <x:c r="E187" s="81" t="str">
        <x:v>—</x:v>
      </x:c>
      <x:c r="F187" s="81" t="str">
        <x:v>—</x:v>
      </x:c>
      <x:c r="G187" s="81" t="str">
        <x:v>담수2</x:v>
      </x:c>
      <x:c r="H187" s="81" t="str">
        <x:v>습지2</x:v>
      </x:c>
      <x:c r="I187" s="81" t="str">
        <x:v>담수1</x:v>
      </x:c>
      <x:c r="J187" s="81" t="str">
        <x:v>습지1</x:v>
      </x:c>
      <x:c r="K187" s="81" t="str">
        <x:v>담수1</x:v>
      </x:c>
      <x:c r="L187" s="81" t="str">
        <x:v>습지1</x:v>
      </x:c>
      <x:c r="M187" s="81" t="str">
        <x:v>담수1</x:v>
      </x:c>
      <x:c r="N187" s="81" t="str">
        <x:v>습지1</x:v>
      </x:c>
      <x:c r="O187" s="81" t="str">
        <x:v>담수2</x:v>
      </x:c>
      <x:c r="P187" s="81" t="str">
        <x:v>습지1</x:v>
      </x:c>
      <x:c r="Q187" s="81" t="str">
        <x:v>—</x:v>
      </x:c>
      <x:c r="R187" s="81" t="str">
        <x:v>—</x:v>
      </x:c>
      <x:c r="S187" s="81" t="str">
        <x:v>담수1</x:v>
      </x:c>
      <x:c r="T187" s="81" t="str">
        <x:v>습지1</x:v>
      </x:c>
      <x:c r="U187" s="81" t="str">
        <x:v>담수1</x:v>
      </x:c>
      <x:c r="V187" s="81" t="str">
        <x:v>습지1</x:v>
      </x:c>
    </x:row>
    <x:row r="188">
      <x:c r="A188" s="80" t="n">
        <x:v>184</x:v>
      </x:c>
      <x:c r="B188" s="80" t="str">
        <x:v>마릴리</x:v>
      </x:c>
      <x:c r="C188" s="80" t="str">
        <x:v>azumarill</x:v>
      </x:c>
      <x:c r="D188" s="80" t="str">
        <x:v>담수</x:v>
      </x:c>
      <x:c r="E188" s="81" t="str">
        <x:v>—</x:v>
      </x:c>
      <x:c r="F188" s="81" t="str">
        <x:v>—</x:v>
      </x:c>
      <x:c r="G188" s="81" t="str">
        <x:v>담수2</x:v>
      </x:c>
      <x:c r="H188" s="81" t="str">
        <x:v>습지2</x:v>
      </x:c>
      <x:c r="I188" s="81" t="str">
        <x:v>담수1</x:v>
      </x:c>
      <x:c r="J188" s="81" t="str">
        <x:v>습지1</x:v>
      </x:c>
      <x:c r="K188" s="81" t="str">
        <x:v>담수1</x:v>
      </x:c>
      <x:c r="L188" s="81" t="str">
        <x:v>습지1</x:v>
      </x:c>
      <x:c r="M188" s="81" t="str">
        <x:v>담수1</x:v>
      </x:c>
      <x:c r="N188" s="81" t="str">
        <x:v>습지1</x:v>
      </x:c>
      <x:c r="O188" s="81" t="str">
        <x:v>담수2</x:v>
      </x:c>
      <x:c r="P188" s="81" t="str">
        <x:v>습지2</x:v>
      </x:c>
      <x:c r="Q188" s="81" t="str">
        <x:v>—</x:v>
      </x:c>
      <x:c r="R188" s="81" t="str">
        <x:v>—</x:v>
      </x:c>
      <x:c r="S188" s="81" t="str">
        <x:v>담수2</x:v>
      </x:c>
      <x:c r="T188" s="81" t="str">
        <x:v>습지1</x:v>
      </x:c>
      <x:c r="U188" s="81" t="str">
        <x:v>담수1</x:v>
      </x:c>
      <x:c r="V188" s="81" t="str">
        <x:v>습지1</x:v>
      </x:c>
    </x:row>
    <x:row r="189">
      <x:c r="A189" s="80" t="n">
        <x:v>185</x:v>
      </x:c>
      <x:c r="B189" s="80" t="str">
        <x:v>꼬지모</x:v>
      </x:c>
      <x:c r="C189" s="80" t="str">
        <x:v>sudowoodo</x:v>
      </x:c>
      <x:c r="D189" s="80" t="str">
        <x:v>숲</x:v>
      </x:c>
      <x:c r="E189" s="81" t="str">
        <x:v>—</x:v>
      </x:c>
      <x:c r="F189" s="81" t="str">
        <x:v>—</x:v>
      </x:c>
      <x:c r="G189" s="81" t="str">
        <x:v>숲3</x:v>
      </x:c>
      <x:c r="H189" s="81" t="str">
        <x:v>평원3</x:v>
      </x:c>
      <x:c r="I189" s="81" t="str">
        <x:v>—</x:v>
      </x:c>
      <x:c r="J189" s="81" t="str">
        <x:v>—</x:v>
      </x:c>
      <x:c r="K189" s="81" t="str">
        <x:v>숲1</x:v>
      </x:c>
      <x:c r="L189" s="81" t="str">
        <x:v>평원1</x:v>
      </x:c>
      <x:c r="M189" s="81" t="str">
        <x:v>—</x:v>
      </x:c>
      <x:c r="N189" s="81" t="str">
        <x:v>—</x:v>
      </x:c>
      <x:c r="O189" s="81" t="str">
        <x:v>숲2</x:v>
      </x:c>
      <x:c r="P189" s="81" t="str">
        <x:v>평원2</x:v>
      </x:c>
      <x:c r="Q189" s="81" t="str">
        <x:v>숲2</x:v>
      </x:c>
      <x:c r="R189" s="81" t="str">
        <x:v>평원2</x:v>
      </x:c>
      <x:c r="S189" s="81" t="str">
        <x:v>숲2</x:v>
      </x:c>
      <x:c r="T189" s="81" t="str">
        <x:v>평원2</x:v>
      </x:c>
      <x:c r="U189" s="81" t="str">
        <x:v>숲2</x:v>
      </x:c>
      <x:c r="V189" s="81" t="str">
        <x:v>평원2</x:v>
      </x:c>
    </x:row>
    <x:row r="190">
      <x:c r="A190" s="80" t="n">
        <x:v>186</x:v>
      </x:c>
      <x:c r="B190" s="80" t="str">
        <x:v>왕구리</x:v>
      </x:c>
      <x:c r="C190" s="80" t="str">
        <x:v>politoed</x:v>
      </x:c>
      <x:c r="D190" s="80" t="str">
        <x:v>담수</x:v>
      </x:c>
      <x:c r="E190" s="81" t="str">
        <x:v>—</x:v>
      </x:c>
      <x:c r="F190" s="81" t="str">
        <x:v>—</x:v>
      </x:c>
      <x:c r="G190" s="81" t="str">
        <x:v>담수2</x:v>
      </x:c>
      <x:c r="H190" s="81" t="str">
        <x:v>습지2</x:v>
      </x:c>
      <x:c r="I190" s="81" t="str">
        <x:v>—</x:v>
      </x:c>
      <x:c r="J190" s="81" t="str">
        <x:v>—</x:v>
      </x:c>
      <x:c r="K190" s="81" t="str">
        <x:v>—</x:v>
      </x:c>
      <x:c r="L190" s="81" t="str">
        <x:v>—</x:v>
      </x:c>
      <x:c r="M190" s="81" t="str">
        <x:v>—</x:v>
      </x:c>
      <x:c r="N190" s="81" t="str">
        <x:v>—</x:v>
      </x:c>
      <x:c r="O190" s="81" t="str">
        <x:v>담수2</x:v>
      </x:c>
      <x:c r="P190" s="81" t="str">
        <x:v>습지2</x:v>
      </x:c>
      <x:c r="Q190" s="81" t="str">
        <x:v>담수1</x:v>
      </x:c>
      <x:c r="R190" s="81" t="str">
        <x:v>습지1</x:v>
      </x:c>
      <x:c r="S190" s="81" t="str">
        <x:v>담수2</x:v>
      </x:c>
      <x:c r="T190" s="81" t="str">
        <x:v>습지1</x:v>
      </x:c>
      <x:c r="U190" s="81" t="str">
        <x:v>담수1</x:v>
      </x:c>
      <x:c r="V190" s="81" t="str">
        <x:v>습지1</x:v>
      </x:c>
    </x:row>
    <x:row r="191">
      <x:c r="A191" s="80" t="n">
        <x:v>187</x:v>
      </x:c>
      <x:c r="B191" s="80" t="str">
        <x:v>통통코</x:v>
      </x:c>
      <x:c r="C191" s="80" t="str">
        <x:v>hoppip</x:v>
      </x:c>
      <x:c r="D191" s="80" t="str">
        <x:v>평원</x:v>
      </x:c>
      <x:c r="E191" s="81" t="str">
        <x:v>—</x:v>
      </x:c>
      <x:c r="F191" s="81" t="str">
        <x:v>—</x:v>
      </x:c>
      <x:c r="G191" s="81" t="str">
        <x:v>평원3</x:v>
      </x:c>
      <x:c r="H191" s="81" t="str">
        <x:v>숲3</x:v>
      </x:c>
      <x:c r="I191" s="81" t="str">
        <x:v>—</x:v>
      </x:c>
      <x:c r="J191" s="81" t="str">
        <x:v>—</x:v>
      </x:c>
      <x:c r="K191" s="81" t="str">
        <x:v>—</x:v>
      </x:c>
      <x:c r="L191" s="81" t="str">
        <x:v>—</x:v>
      </x:c>
      <x:c r="M191" s="81" t="str">
        <x:v>—</x:v>
      </x:c>
      <x:c r="N191" s="81" t="str">
        <x:v>—</x:v>
      </x:c>
      <x:c r="O191" s="81" t="str">
        <x:v>평원2</x:v>
      </x:c>
      <x:c r="P191" s="81" t="str">
        <x:v>숲2</x:v>
      </x:c>
      <x:c r="Q191" s="81" t="str">
        <x:v>—</x:v>
      </x:c>
      <x:c r="R191" s="81" t="str">
        <x:v>—</x:v>
      </x:c>
      <x:c r="S191" s="81" t="str">
        <x:v>—</x:v>
      </x:c>
      <x:c r="T191" s="81" t="str">
        <x:v>—</x:v>
      </x:c>
      <x:c r="U191" s="81" t="str">
        <x:v>평원2</x:v>
      </x:c>
      <x:c r="V191" s="81" t="str">
        <x:v>숲2</x:v>
      </x:c>
    </x:row>
    <x:row r="192">
      <x:c r="A192" s="80" t="n">
        <x:v>188</x:v>
      </x:c>
      <x:c r="B192" s="80" t="str">
        <x:v>두코</x:v>
      </x:c>
      <x:c r="C192" s="80" t="str">
        <x:v>skiploom</x:v>
      </x:c>
      <x:c r="D192" s="80" t="str">
        <x:v>평원</x:v>
      </x:c>
      <x:c r="E192" s="81" t="str">
        <x:v>—</x:v>
      </x:c>
      <x:c r="F192" s="81" t="str">
        <x:v>—</x:v>
      </x:c>
      <x:c r="G192" s="81" t="str">
        <x:v>평원3</x:v>
      </x:c>
      <x:c r="H192" s="81" t="str">
        <x:v>숲3</x:v>
      </x:c>
      <x:c r="I192" s="81" t="str">
        <x:v>—</x:v>
      </x:c>
      <x:c r="J192" s="81" t="str">
        <x:v>—</x:v>
      </x:c>
      <x:c r="K192" s="81" t="str">
        <x:v>—</x:v>
      </x:c>
      <x:c r="L192" s="81" t="str">
        <x:v>—</x:v>
      </x:c>
      <x:c r="M192" s="81" t="str">
        <x:v>—</x:v>
      </x:c>
      <x:c r="N192" s="81" t="str">
        <x:v>—</x:v>
      </x:c>
      <x:c r="O192" s="81" t="str">
        <x:v>평원2</x:v>
      </x:c>
      <x:c r="P192" s="81" t="str">
        <x:v>숲2</x:v>
      </x:c>
      <x:c r="Q192" s="81" t="str">
        <x:v>—</x:v>
      </x:c>
      <x:c r="R192" s="81" t="str">
        <x:v>—</x:v>
      </x:c>
      <x:c r="S192" s="81" t="str">
        <x:v>—</x:v>
      </x:c>
      <x:c r="T192" s="81" t="str">
        <x:v>—</x:v>
      </x:c>
      <x:c r="U192" s="81" t="str">
        <x:v>평원2</x:v>
      </x:c>
      <x:c r="V192" s="81" t="str">
        <x:v>숲2</x:v>
      </x:c>
    </x:row>
    <x:row r="193">
      <x:c r="A193" s="80" t="n">
        <x:v>189</x:v>
      </x:c>
      <x:c r="B193" s="80" t="str">
        <x:v>솜솜코</x:v>
      </x:c>
      <x:c r="C193" s="80" t="str">
        <x:v>jumpluff</x:v>
      </x:c>
      <x:c r="D193" s="80" t="str">
        <x:v>평원</x:v>
      </x:c>
      <x:c r="E193" s="81" t="str">
        <x:v>—</x:v>
      </x:c>
      <x:c r="F193" s="81" t="str">
        <x:v>—</x:v>
      </x:c>
      <x:c r="G193" s="81" t="str">
        <x:v>평원3</x:v>
      </x:c>
      <x:c r="H193" s="81" t="str">
        <x:v>숲3</x:v>
      </x:c>
      <x:c r="I193" s="81" t="str">
        <x:v>—</x:v>
      </x:c>
      <x:c r="J193" s="81" t="str">
        <x:v>—</x:v>
      </x:c>
      <x:c r="K193" s="81" t="str">
        <x:v>—</x:v>
      </x:c>
      <x:c r="L193" s="81" t="str">
        <x:v>—</x:v>
      </x:c>
      <x:c r="M193" s="81" t="str">
        <x:v>—</x:v>
      </x:c>
      <x:c r="N193" s="81" t="str">
        <x:v>—</x:v>
      </x:c>
      <x:c r="O193" s="81" t="str">
        <x:v>평원2</x:v>
      </x:c>
      <x:c r="P193" s="81" t="str">
        <x:v>숲2</x:v>
      </x:c>
      <x:c r="Q193" s="81" t="str">
        <x:v>—</x:v>
      </x:c>
      <x:c r="R193" s="81" t="str">
        <x:v>—</x:v>
      </x:c>
      <x:c r="S193" s="81" t="str">
        <x:v>—</x:v>
      </x:c>
      <x:c r="T193" s="81" t="str">
        <x:v>—</x:v>
      </x:c>
      <x:c r="U193" s="81" t="str">
        <x:v>평원2</x:v>
      </x:c>
      <x:c r="V193" s="81" t="str">
        <x:v>숲2</x:v>
      </x:c>
    </x:row>
    <x:row r="194">
      <x:c r="A194" s="80" t="n">
        <x:v>190</x:v>
      </x:c>
      <x:c r="B194" s="80" t="str">
        <x:v>에이팜</x:v>
      </x:c>
      <x:c r="C194" s="80" t="str">
        <x:v>aipom</x:v>
      </x:c>
      <x:c r="D194" s="80" t="str">
        <x:v>숲</x:v>
      </x:c>
      <x:c r="E194" s="81" t="str">
        <x:v>—</x:v>
      </x:c>
      <x:c r="F194" s="81" t="str">
        <x:v>—</x:v>
      </x:c>
      <x:c r="G194" s="81" t="str">
        <x:v>숲3</x:v>
      </x:c>
      <x:c r="H194" s="81" t="str">
        <x:v>평원3</x:v>
      </x:c>
      <x:c r="I194" s="81" t="str">
        <x:v>—</x:v>
      </x:c>
      <x:c r="J194" s="81" t="str">
        <x:v>—</x:v>
      </x:c>
      <x:c r="K194" s="81" t="str">
        <x:v>숲1</x:v>
      </x:c>
      <x:c r="L194" s="81" t="str">
        <x:v>평원1</x:v>
      </x:c>
      <x:c r="M194" s="81" t="str">
        <x:v>—</x:v>
      </x:c>
      <x:c r="N194" s="81" t="str">
        <x:v>—</x:v>
      </x:c>
      <x:c r="O194" s="81" t="str">
        <x:v>—</x:v>
      </x:c>
      <x:c r="P194" s="81" t="str">
        <x:v>—</x:v>
      </x:c>
      <x:c r="Q194" s="81" t="str">
        <x:v>숲2</x:v>
      </x:c>
      <x:c r="R194" s="81" t="str">
        <x:v>평원2</x:v>
      </x:c>
      <x:c r="S194" s="81" t="str">
        <x:v>—</x:v>
      </x:c>
      <x:c r="T194" s="81" t="str">
        <x:v>—</x:v>
      </x:c>
      <x:c r="U194" s="81" t="str">
        <x:v>숲2</x:v>
      </x:c>
      <x:c r="V194" s="81" t="str">
        <x:v>평원2</x:v>
      </x:c>
    </x:row>
    <x:row r="195">
      <x:c r="A195" s="80" t="n">
        <x:v>191</x:v>
      </x:c>
      <x:c r="B195" s="80" t="str">
        <x:v>해너츠</x:v>
      </x:c>
      <x:c r="C195" s="80" t="str">
        <x:v>sunkern</x:v>
      </x:c>
      <x:c r="D195" s="80" t="str">
        <x:v>평원</x:v>
      </x:c>
      <x:c r="E195" s="81" t="str">
        <x:v>—</x:v>
      </x:c>
      <x:c r="F195" s="81" t="str">
        <x:v>—</x:v>
      </x:c>
      <x:c r="G195" s="81" t="str">
        <x:v>평원3</x:v>
      </x:c>
      <x:c r="H195" s="81" t="str">
        <x:v>숲3</x:v>
      </x:c>
      <x:c r="I195" s="81" t="str">
        <x:v>—</x:v>
      </x:c>
      <x:c r="J195" s="81" t="str">
        <x:v>—</x:v>
      </x:c>
      <x:c r="K195" s="81" t="str">
        <x:v>—</x:v>
      </x:c>
      <x:c r="L195" s="81" t="str">
        <x:v>—</x:v>
      </x:c>
      <x:c r="M195" s="81" t="str">
        <x:v>평원1</x:v>
      </x:c>
      <x:c r="N195" s="81" t="str">
        <x:v>숲1</x:v>
      </x:c>
      <x:c r="O195" s="81" t="str">
        <x:v>—</x:v>
      </x:c>
      <x:c r="P195" s="81" t="str">
        <x:v>—</x:v>
      </x:c>
      <x:c r="Q195" s="81" t="str">
        <x:v>—</x:v>
      </x:c>
      <x:c r="R195" s="81" t="str">
        <x:v>—</x:v>
      </x:c>
      <x:c r="S195" s="81" t="str">
        <x:v>—</x:v>
      </x:c>
      <x:c r="T195" s="81" t="str">
        <x:v>—</x:v>
      </x:c>
      <x:c r="U195" s="81" t="str">
        <x:v>평원2</x:v>
      </x:c>
      <x:c r="V195" s="81" t="str">
        <x:v>숲2</x:v>
      </x:c>
    </x:row>
    <x:row r="196">
      <x:c r="A196" s="80" t="n">
        <x:v>192</x:v>
      </x:c>
      <x:c r="B196" s="80" t="str">
        <x:v>해루미</x:v>
      </x:c>
      <x:c r="C196" s="80" t="str">
        <x:v>sunflora</x:v>
      </x:c>
      <x:c r="D196" s="80" t="str">
        <x:v>평원</x:v>
      </x:c>
      <x:c r="E196" s="81" t="str">
        <x:v>—</x:v>
      </x:c>
      <x:c r="F196" s="81" t="str">
        <x:v>—</x:v>
      </x:c>
      <x:c r="G196" s="81" t="str">
        <x:v>평원3</x:v>
      </x:c>
      <x:c r="H196" s="81" t="str">
        <x:v>숲3</x:v>
      </x:c>
      <x:c r="I196" s="81" t="str">
        <x:v>—</x:v>
      </x:c>
      <x:c r="J196" s="81" t="str">
        <x:v>—</x:v>
      </x:c>
      <x:c r="K196" s="81" t="str">
        <x:v>—</x:v>
      </x:c>
      <x:c r="L196" s="81" t="str">
        <x:v>—</x:v>
      </x:c>
      <x:c r="M196" s="81" t="str">
        <x:v>평원1</x:v>
      </x:c>
      <x:c r="N196" s="81" t="str">
        <x:v>숲1</x:v>
      </x:c>
      <x:c r="O196" s="81" t="str">
        <x:v>—</x:v>
      </x:c>
      <x:c r="P196" s="81" t="str">
        <x:v>—</x:v>
      </x:c>
      <x:c r="Q196" s="81" t="str">
        <x:v>—</x:v>
      </x:c>
      <x:c r="R196" s="81" t="str">
        <x:v>—</x:v>
      </x:c>
      <x:c r="S196" s="81" t="str">
        <x:v>—</x:v>
      </x:c>
      <x:c r="T196" s="81" t="str">
        <x:v>—</x:v>
      </x:c>
      <x:c r="U196" s="81" t="str">
        <x:v>평원2</x:v>
      </x:c>
      <x:c r="V196" s="81" t="str">
        <x:v>숲2</x:v>
      </x:c>
    </x:row>
    <x:row r="197">
      <x:c r="A197" s="80" t="n">
        <x:v>193</x:v>
      </x:c>
      <x:c r="B197" s="80" t="str">
        <x:v>왕자리</x:v>
      </x:c>
      <x:c r="C197" s="80" t="str">
        <x:v>yanma</x:v>
      </x:c>
      <x:c r="D197" s="80" t="str">
        <x:v>담수</x:v>
      </x:c>
      <x:c r="E197" s="81" t="str">
        <x:v>—</x:v>
      </x:c>
      <x:c r="F197" s="81" t="str">
        <x:v>—</x:v>
      </x:c>
      <x:c r="G197" s="81" t="str">
        <x:v>담수2</x:v>
      </x:c>
      <x:c r="H197" s="81" t="str">
        <x:v>습지2</x:v>
      </x:c>
      <x:c r="I197" s="81" t="str">
        <x:v>—</x:v>
      </x:c>
      <x:c r="J197" s="81" t="str">
        <x:v>—</x:v>
      </x:c>
      <x:c r="K197" s="81" t="str">
        <x:v>담수1</x:v>
      </x:c>
      <x:c r="L197" s="81" t="str">
        <x:v>습지1</x:v>
      </x:c>
      <x:c r="M197" s="81" t="str">
        <x:v>담수1</x:v>
      </x:c>
      <x:c r="N197" s="81" t="str">
        <x:v>습지1</x:v>
      </x:c>
      <x:c r="O197" s="81" t="str">
        <x:v>담수2</x:v>
      </x:c>
      <x:c r="P197" s="81" t="str">
        <x:v>습지2</x:v>
      </x:c>
      <x:c r="Q197" s="81" t="str">
        <x:v>—</x:v>
      </x:c>
      <x:c r="R197" s="81" t="str">
        <x:v>—</x:v>
      </x:c>
      <x:c r="S197" s="81" t="str">
        <x:v>—</x:v>
      </x:c>
      <x:c r="T197" s="81" t="str">
        <x:v>—</x:v>
      </x:c>
      <x:c r="U197" s="81" t="str">
        <x:v>담수1</x:v>
      </x:c>
      <x:c r="V197" s="81" t="str">
        <x:v>습지1</x:v>
      </x:c>
    </x:row>
    <x:row r="198">
      <x:c r="A198" s="80" t="n">
        <x:v>194</x:v>
      </x:c>
      <x:c r="B198" s="80" t="str">
        <x:v>우파</x:v>
      </x:c>
      <x:c r="C198" s="80" t="str">
        <x:v>wooper</x:v>
      </x:c>
      <x:c r="D198" s="80" t="str">
        <x:v>습지</x:v>
      </x:c>
      <x:c r="E198" s="81" t="str">
        <x:v>—</x:v>
      </x:c>
      <x:c r="F198" s="81" t="str">
        <x:v>—</x:v>
      </x:c>
      <x:c r="G198" s="81" t="str">
        <x:v>습지2</x:v>
      </x:c>
      <x:c r="H198" s="81" t="str">
        <x:v>담수2</x:v>
      </x:c>
      <x:c r="I198" s="81" t="str">
        <x:v>—</x:v>
      </x:c>
      <x:c r="J198" s="81" t="str">
        <x:v>—</x:v>
      </x:c>
      <x:c r="K198" s="81" t="str">
        <x:v>습지1</x:v>
      </x:c>
      <x:c r="L198" s="81" t="str">
        <x:v>담수1</x:v>
      </x:c>
      <x:c r="M198" s="81" t="str">
        <x:v>—</x:v>
      </x:c>
      <x:c r="N198" s="81" t="str">
        <x:v>—</x:v>
      </x:c>
      <x:c r="O198" s="81" t="str">
        <x:v>습지2</x:v>
      </x:c>
      <x:c r="P198" s="81" t="str">
        <x:v>담수2</x:v>
      </x:c>
      <x:c r="Q198" s="81" t="str">
        <x:v>—</x:v>
      </x:c>
      <x:c r="R198" s="81" t="str">
        <x:v>—</x:v>
      </x:c>
      <x:c r="S198" s="81" t="str">
        <x:v>습지2</x:v>
      </x:c>
      <x:c r="T198" s="81" t="str">
        <x:v>담수2</x:v>
      </x:c>
      <x:c r="U198" s="81" t="str">
        <x:v>습지1</x:v>
      </x:c>
      <x:c r="V198" s="81" t="str">
        <x:v>담수1</x:v>
      </x:c>
    </x:row>
    <x:row r="199">
      <x:c r="A199" s="80" t="n">
        <x:v>195</x:v>
      </x:c>
      <x:c r="B199" s="80" t="str">
        <x:v>누오</x:v>
      </x:c>
      <x:c r="C199" s="80" t="str">
        <x:v>quagsire</x:v>
      </x:c>
      <x:c r="D199" s="80" t="str">
        <x:v>습지</x:v>
      </x:c>
      <x:c r="E199" s="81" t="str">
        <x:v>—</x:v>
      </x:c>
      <x:c r="F199" s="81" t="str">
        <x:v>—</x:v>
      </x:c>
      <x:c r="G199" s="81" t="str">
        <x:v>습지2</x:v>
      </x:c>
      <x:c r="H199" s="81" t="str">
        <x:v>담수2</x:v>
      </x:c>
      <x:c r="I199" s="81" t="str">
        <x:v>—</x:v>
      </x:c>
      <x:c r="J199" s="81" t="str">
        <x:v>—</x:v>
      </x:c>
      <x:c r="K199" s="81" t="str">
        <x:v>습지1</x:v>
      </x:c>
      <x:c r="L199" s="81" t="str">
        <x:v>담수1</x:v>
      </x:c>
      <x:c r="M199" s="81" t="str">
        <x:v>—</x:v>
      </x:c>
      <x:c r="N199" s="81" t="str">
        <x:v>—</x:v>
      </x:c>
      <x:c r="O199" s="81" t="str">
        <x:v>습지2</x:v>
      </x:c>
      <x:c r="P199" s="81" t="str">
        <x:v>담수2</x:v>
      </x:c>
      <x:c r="Q199" s="81" t="str">
        <x:v>—</x:v>
      </x:c>
      <x:c r="R199" s="81" t="str">
        <x:v>—</x:v>
      </x:c>
      <x:c r="S199" s="81" t="str">
        <x:v>습지2</x:v>
      </x:c>
      <x:c r="T199" s="81" t="str">
        <x:v>담수2</x:v>
      </x:c>
      <x:c r="U199" s="81" t="str">
        <x:v>습지1</x:v>
      </x:c>
      <x:c r="V199" s="81" t="str">
        <x:v>담수1</x:v>
      </x:c>
    </x:row>
    <x:row r="200">
      <x:c r="A200" s="80" t="n">
        <x:v>196</x:v>
      </x:c>
      <x:c r="B200" s="80" t="str">
        <x:v>에브이</x:v>
      </x:c>
      <x:c r="C200" s="80" t="str">
        <x:v>espeon</x:v>
      </x:c>
      <x:c r="D200" s="80" t="str">
        <x:v>산악</x:v>
      </x:c>
      <x:c r="E200" s="81" t="str">
        <x:v>—</x:v>
      </x:c>
      <x:c r="F200" s="81" t="str">
        <x:v>—</x:v>
      </x:c>
      <x:c r="G200" s="81" t="str">
        <x:v>산악2</x:v>
      </x:c>
      <x:c r="H200" s="81" t="str">
        <x:v>평원3</x:v>
      </x:c>
      <x:c r="I200" s="81" t="str">
        <x:v>—</x:v>
      </x:c>
      <x:c r="J200" s="81" t="str">
        <x:v>—</x:v>
      </x:c>
      <x:c r="K200" s="81" t="str">
        <x:v>산악1</x:v>
      </x:c>
      <x:c r="L200" s="81" t="str">
        <x:v>평원1</x:v>
      </x:c>
      <x:c r="M200" s="81" t="str">
        <x:v>산악1</x:v>
      </x:c>
      <x:c r="N200" s="81" t="str">
        <x:v>평원1</x:v>
      </x:c>
      <x:c r="O200" s="81" t="str">
        <x:v>산악1</x:v>
      </x:c>
      <x:c r="P200" s="81" t="str">
        <x:v>평원2</x:v>
      </x:c>
      <x:c r="Q200" s="81" t="str">
        <x:v>산악1</x:v>
      </x:c>
      <x:c r="R200" s="81" t="str">
        <x:v>평원2</x:v>
      </x:c>
      <x:c r="S200" s="81" t="str">
        <x:v>산악1</x:v>
      </x:c>
      <x:c r="T200" s="81" t="str">
        <x:v>평원2</x:v>
      </x:c>
      <x:c r="U200" s="81" t="str">
        <x:v>산악1</x:v>
      </x:c>
      <x:c r="V200" s="81" t="str">
        <x:v>평원2</x:v>
      </x:c>
    </x:row>
    <x:row r="201">
      <x:c r="A201" s="80" t="n">
        <x:v>197</x:v>
      </x:c>
      <x:c r="B201" s="80" t="str">
        <x:v>블래키</x:v>
      </x:c>
      <x:c r="C201" s="80" t="str">
        <x:v>umbreon</x:v>
      </x:c>
      <x:c r="D201" s="80" t="str">
        <x:v>특수</x:v>
      </x:c>
      <x:c r="E201" s="81" t="str">
        <x:v>—</x:v>
      </x:c>
      <x:c r="F201" s="81" t="str">
        <x:v>—</x:v>
      </x:c>
      <x:c r="G201" s="81" t="str">
        <x:v>특수1</x:v>
      </x:c>
      <x:c r="H201" s="81" t="str">
        <x:v>평원3</x:v>
      </x:c>
      <x:c r="I201" s="81" t="str">
        <x:v>—</x:v>
      </x:c>
      <x:c r="J201" s="81" t="str">
        <x:v>—</x:v>
      </x:c>
      <x:c r="K201" s="81" t="str">
        <x:v>특수1</x:v>
      </x:c>
      <x:c r="L201" s="81" t="str">
        <x:v>평원2</x:v>
      </x:c>
      <x:c r="M201" s="81" t="str">
        <x:v>특수1</x:v>
      </x:c>
      <x:c r="N201" s="81" t="str">
        <x:v>평원1</x:v>
      </x:c>
      <x:c r="O201" s="81" t="str">
        <x:v>특수1</x:v>
      </x:c>
      <x:c r="P201" s="81" t="str">
        <x:v>평원2</x:v>
      </x:c>
      <x:c r="Q201" s="81" t="str">
        <x:v>특수1</x:v>
      </x:c>
      <x:c r="R201" s="81" t="str">
        <x:v>평원2</x:v>
      </x:c>
      <x:c r="S201" s="81" t="str">
        <x:v>특수1</x:v>
      </x:c>
      <x:c r="T201" s="81" t="str">
        <x:v>평원2</x:v>
      </x:c>
      <x:c r="U201" s="81" t="str">
        <x:v>특수1</x:v>
      </x:c>
      <x:c r="V201" s="81" t="str">
        <x:v>평원2</x:v>
      </x:c>
    </x:row>
    <x:row r="202">
      <x:c r="A202" s="80" t="n">
        <x:v>198</x:v>
      </x:c>
      <x:c r="B202" s="80" t="str">
        <x:v>니로우</x:v>
      </x:c>
      <x:c r="C202" s="80" t="str">
        <x:v>murkrow</x:v>
      </x:c>
      <x:c r="D202" s="80" t="str">
        <x:v>특수</x:v>
      </x:c>
      <x:c r="E202" s="81" t="str">
        <x:v>—</x:v>
      </x:c>
      <x:c r="F202" s="81" t="str">
        <x:v>—</x:v>
      </x:c>
      <x:c r="G202" s="81" t="str">
        <x:v>특수1</x:v>
      </x:c>
      <x:c r="H202" s="81" t="str">
        <x:v>산악2</x:v>
      </x:c>
      <x:c r="I202" s="81" t="str">
        <x:v>—</x:v>
      </x:c>
      <x:c r="J202" s="81" t="str">
        <x:v>—</x:v>
      </x:c>
      <x:c r="K202" s="81" t="str">
        <x:v>특수1</x:v>
      </x:c>
      <x:c r="L202" s="81" t="str">
        <x:v>산악1</x:v>
      </x:c>
      <x:c r="M202" s="81" t="str">
        <x:v>—</x:v>
      </x:c>
      <x:c r="N202" s="81" t="str">
        <x:v>—</x:v>
      </x:c>
      <x:c r="O202" s="81" t="str">
        <x:v>특수1</x:v>
      </x:c>
      <x:c r="P202" s="81" t="str">
        <x:v>산악1</x:v>
      </x:c>
      <x:c r="Q202" s="81" t="str">
        <x:v>특수1</x:v>
      </x:c>
      <x:c r="R202" s="81" t="str">
        <x:v>산악1</x:v>
      </x:c>
      <x:c r="S202" s="81" t="str">
        <x:v>—</x:v>
      </x:c>
      <x:c r="T202" s="81" t="str">
        <x:v>—</x:v>
      </x:c>
      <x:c r="U202" s="81" t="str">
        <x:v>특수1</x:v>
      </x:c>
      <x:c r="V202" s="81" t="str">
        <x:v>산악1</x:v>
      </x:c>
    </x:row>
    <x:row r="203">
      <x:c r="A203" s="80" t="n">
        <x:v>199</x:v>
      </x:c>
      <x:c r="B203" s="80" t="str">
        <x:v>야도킹</x:v>
      </x:c>
      <x:c r="C203" s="80" t="str">
        <x:v>slowking</x:v>
      </x:c>
      <x:c r="D203" s="80" t="str">
        <x:v>해양</x:v>
      </x:c>
      <x:c r="E203" s="81" t="str">
        <x:v>—</x:v>
      </x:c>
      <x:c r="F203" s="81" t="str">
        <x:v>—</x:v>
      </x:c>
      <x:c r="G203" s="81" t="str">
        <x:v>해양1</x:v>
      </x:c>
      <x:c r="H203" s="81" t="str">
        <x:v>담수2</x:v>
      </x:c>
      <x:c r="I203" s="81" t="str">
        <x:v>—</x:v>
      </x:c>
      <x:c r="J203" s="81" t="str">
        <x:v>—</x:v>
      </x:c>
      <x:c r="K203" s="81" t="str">
        <x:v>—</x:v>
      </x:c>
      <x:c r="L203" s="81" t="str">
        <x:v>—</x:v>
      </x:c>
      <x:c r="M203" s="81" t="str">
        <x:v>—</x:v>
      </x:c>
      <x:c r="N203" s="81" t="str">
        <x:v>—</x:v>
      </x:c>
      <x:c r="O203" s="81" t="str">
        <x:v>해양1</x:v>
      </x:c>
      <x:c r="P203" s="81" t="str">
        <x:v>담수2</x:v>
      </x:c>
      <x:c r="Q203" s="81" t="str">
        <x:v>해양1</x:v>
      </x:c>
      <x:c r="R203" s="81" t="str">
        <x:v>담수1</x:v>
      </x:c>
      <x:c r="S203" s="81" t="str">
        <x:v>해양1</x:v>
      </x:c>
      <x:c r="T203" s="81" t="str">
        <x:v>담수2</x:v>
      </x:c>
      <x:c r="U203" s="81" t="str">
        <x:v>해양1</x:v>
      </x:c>
      <x:c r="V203" s="81" t="str">
        <x:v>담수1</x:v>
      </x:c>
    </x:row>
    <x:row r="204">
      <x:c r="A204" s="80" t="n">
        <x:v>200</x:v>
      </x:c>
      <x:c r="B204" s="80" t="str">
        <x:v>무우마</x:v>
      </x:c>
      <x:c r="C204" s="80" t="str">
        <x:v>misdreavus</x:v>
      </x:c>
      <x:c r="D204" s="80" t="str">
        <x:v>특수</x:v>
      </x:c>
      <x:c r="E204" s="81" t="str">
        <x:v>—</x:v>
      </x:c>
      <x:c r="F204" s="81" t="str">
        <x:v>—</x:v>
      </x:c>
      <x:c r="G204" s="81" t="str">
        <x:v>특수1</x:v>
      </x:c>
      <x:c r="H204" s="81" t="str">
        <x:v>평원3</x:v>
      </x:c>
      <x:c r="I204" s="81" t="str">
        <x:v>—</x:v>
      </x:c>
      <x:c r="J204" s="81" t="str">
        <x:v>—</x:v>
      </x:c>
      <x:c r="K204" s="81" t="str">
        <x:v>특수1</x:v>
      </x:c>
      <x:c r="L204" s="81" t="str">
        <x:v>평원2</x:v>
      </x:c>
      <x:c r="M204" s="81" t="str">
        <x:v>—</x:v>
      </x:c>
      <x:c r="N204" s="81" t="str">
        <x:v>—</x:v>
      </x:c>
      <x:c r="O204" s="81" t="str">
        <x:v>—</x:v>
      </x:c>
      <x:c r="P204" s="81" t="str">
        <x:v>—</x:v>
      </x:c>
      <x:c r="Q204" s="81" t="str">
        <x:v>특수1</x:v>
      </x:c>
      <x:c r="R204" s="81" t="str">
        <x:v>평원2</x:v>
      </x:c>
      <x:c r="S204" s="81" t="str">
        <x:v>—</x:v>
      </x:c>
      <x:c r="T204" s="81" t="str">
        <x:v>—</x:v>
      </x:c>
      <x:c r="U204" s="81" t="str">
        <x:v>특수1</x:v>
      </x:c>
      <x:c r="V204" s="81" t="str">
        <x:v>평원2</x:v>
      </x:c>
    </x:row>
    <x:row r="205">
      <x:c r="A205" s="80" t="n">
        <x:v>201</x:v>
      </x:c>
      <x:c r="B205" s="80" t="str">
        <x:v>안농</x:v>
      </x:c>
      <x:c r="C205" s="80" t="str">
        <x:v>unown</x:v>
      </x:c>
      <x:c r="D205" s="80" t="str">
        <x:v>평원</x:v>
      </x:c>
      <x:c r="E205" s="81" t="str">
        <x:v>—</x:v>
      </x:c>
      <x:c r="F205" s="81" t="str">
        <x:v>—</x:v>
      </x:c>
      <x:c r="G205" s="81" t="str">
        <x:v>평원3</x:v>
      </x:c>
      <x:c r="H205" s="81" t="str">
        <x:v>숲3</x:v>
      </x:c>
      <x:c r="I205" s="81" t="str">
        <x:v>—</x:v>
      </x:c>
      <x:c r="J205" s="81" t="str">
        <x:v>—</x:v>
      </x:c>
      <x:c r="K205" s="81" t="str">
        <x:v>평원2</x:v>
      </x:c>
      <x:c r="L205" s="81" t="str">
        <x:v>숲1</x:v>
      </x:c>
      <x:c r="M205" s="81" t="str">
        <x:v>—</x:v>
      </x:c>
      <x:c r="N205" s="81" t="str">
        <x:v>—</x:v>
      </x:c>
      <x:c r="O205" s="81" t="str">
        <x:v>—</x:v>
      </x:c>
      <x:c r="P205" s="81" t="str">
        <x:v>—</x:v>
      </x:c>
      <x:c r="Q205" s="81" t="str">
        <x:v>—</x:v>
      </x:c>
      <x:c r="R205" s="81" t="str">
        <x:v>—</x:v>
      </x:c>
      <x:c r="S205" s="81" t="str">
        <x:v>—</x:v>
      </x:c>
      <x:c r="T205" s="81" t="str">
        <x:v>—</x:v>
      </x:c>
      <x:c r="U205" s="81" t="str">
        <x:v>—</x:v>
      </x:c>
      <x:c r="V205" s="81" t="str">
        <x:v>—</x:v>
      </x:c>
    </x:row>
    <x:row r="206">
      <x:c r="A206" s="80" t="n">
        <x:v>202</x:v>
      </x:c>
      <x:c r="B206" s="80" t="str">
        <x:v>마자용</x:v>
      </x:c>
      <x:c r="C206" s="80" t="str">
        <x:v>wobbuffet</x:v>
      </x:c>
      <x:c r="D206" s="80" t="str">
        <x:v>평원</x:v>
      </x:c>
      <x:c r="E206" s="81" t="str">
        <x:v>—</x:v>
      </x:c>
      <x:c r="F206" s="81" t="str">
        <x:v>—</x:v>
      </x:c>
      <x:c r="G206" s="81" t="str">
        <x:v>평원3</x:v>
      </x:c>
      <x:c r="H206" s="81" t="str">
        <x:v>숲3</x:v>
      </x:c>
      <x:c r="I206" s="81" t="str">
        <x:v>평원1</x:v>
      </x:c>
      <x:c r="J206" s="81" t="str">
        <x:v>숲1</x:v>
      </x:c>
      <x:c r="K206" s="81" t="str">
        <x:v>—</x:v>
      </x:c>
      <x:c r="L206" s="81" t="str">
        <x:v>—</x:v>
      </x:c>
      <x:c r="M206" s="81" t="str">
        <x:v>—</x:v>
      </x:c>
      <x:c r="N206" s="81" t="str">
        <x:v>—</x:v>
      </x:c>
      <x:c r="O206" s="81" t="str">
        <x:v>평원2</x:v>
      </x:c>
      <x:c r="P206" s="81" t="str">
        <x:v>숲2</x:v>
      </x:c>
      <x:c r="Q206" s="81" t="str">
        <x:v>—</x:v>
      </x:c>
      <x:c r="R206" s="81" t="str">
        <x:v>—</x:v>
      </x:c>
      <x:c r="S206" s="81" t="str">
        <x:v>평원2</x:v>
      </x:c>
      <x:c r="T206" s="81" t="str">
        <x:v>숲2</x:v>
      </x:c>
      <x:c r="U206" s="81" t="str">
        <x:v>—</x:v>
      </x:c>
      <x:c r="V206" s="81" t="str">
        <x:v>—</x:v>
      </x:c>
    </x:row>
    <x:row r="207">
      <x:c r="A207" s="80" t="n">
        <x:v>203</x:v>
      </x:c>
      <x:c r="B207" s="80" t="str">
        <x:v>키링키</x:v>
      </x:c>
      <x:c r="C207" s="80" t="str">
        <x:v>girafarig</x:v>
      </x:c>
      <x:c r="D207" s="80" t="str">
        <x:v>평원</x:v>
      </x:c>
      <x:c r="E207" s="81" t="str">
        <x:v>—</x:v>
      </x:c>
      <x:c r="F207" s="81" t="str">
        <x:v>—</x:v>
      </x:c>
      <x:c r="G207" s="81" t="str">
        <x:v>평원3</x:v>
      </x:c>
      <x:c r="H207" s="81" t="str">
        <x:v>숲3</x:v>
      </x:c>
      <x:c r="I207" s="81" t="str">
        <x:v>평원1</x:v>
      </x:c>
      <x:c r="J207" s="81" t="str">
        <x:v>숲1</x:v>
      </x:c>
      <x:c r="K207" s="81" t="str">
        <x:v>평원2</x:v>
      </x:c>
      <x:c r="L207" s="81" t="str">
        <x:v>숲1</x:v>
      </x:c>
      <x:c r="M207" s="81" t="str">
        <x:v>—</x:v>
      </x:c>
      <x:c r="N207" s="81" t="str">
        <x:v>—</x:v>
      </x:c>
      <x:c r="O207" s="81" t="str">
        <x:v>—</x:v>
      </x:c>
      <x:c r="P207" s="81" t="str">
        <x:v>—</x:v>
      </x:c>
      <x:c r="Q207" s="81" t="str">
        <x:v>—</x:v>
      </x:c>
      <x:c r="R207" s="81" t="str">
        <x:v>—</x:v>
      </x:c>
      <x:c r="S207" s="81" t="str">
        <x:v>—</x:v>
      </x:c>
      <x:c r="T207" s="81" t="str">
        <x:v>—</x:v>
      </x:c>
      <x:c r="U207" s="81" t="str">
        <x:v>평원2</x:v>
      </x:c>
      <x:c r="V207" s="81" t="str">
        <x:v>숲2</x:v>
      </x:c>
    </x:row>
    <x:row r="208">
      <x:c r="A208" s="80" t="n">
        <x:v>204</x:v>
      </x:c>
      <x:c r="B208" s="80" t="str">
        <x:v>피콘</x:v>
      </x:c>
      <x:c r="C208" s="80" t="str">
        <x:v>pineco</x:v>
      </x:c>
      <x:c r="D208" s="80" t="str">
        <x:v>숲</x:v>
      </x:c>
      <x:c r="E208" s="81" t="str">
        <x:v>—</x:v>
      </x:c>
      <x:c r="F208" s="81" t="str">
        <x:v>—</x:v>
      </x:c>
      <x:c r="G208" s="81" t="str">
        <x:v>숲3</x:v>
      </x:c>
      <x:c r="H208" s="81" t="str">
        <x:v>평원3</x:v>
      </x:c>
      <x:c r="I208" s="81" t="str">
        <x:v>—</x:v>
      </x:c>
      <x:c r="J208" s="81" t="str">
        <x:v>—</x:v>
      </x:c>
      <x:c r="K208" s="81" t="str">
        <x:v>—</x:v>
      </x:c>
      <x:c r="L208" s="81" t="str">
        <x:v>—</x:v>
      </x:c>
      <x:c r="M208" s="81" t="str">
        <x:v>—</x:v>
      </x:c>
      <x:c r="N208" s="81" t="str">
        <x:v>—</x:v>
      </x:c>
      <x:c r="O208" s="81" t="str">
        <x:v>—</x:v>
      </x:c>
      <x:c r="P208" s="81" t="str">
        <x:v>—</x:v>
      </x:c>
      <x:c r="Q208" s="81" t="str">
        <x:v>숲2</x:v>
      </x:c>
      <x:c r="R208" s="81" t="str">
        <x:v>평원2</x:v>
      </x:c>
      <x:c r="S208" s="81" t="str">
        <x:v>—</x:v>
      </x:c>
      <x:c r="T208" s="81" t="str">
        <x:v>—</x:v>
      </x:c>
      <x:c r="U208" s="81" t="str">
        <x:v>숲2</x:v>
      </x:c>
      <x:c r="V208" s="81" t="str">
        <x:v>평원2</x:v>
      </x:c>
    </x:row>
    <x:row r="209">
      <x:c r="A209" s="80" t="n">
        <x:v>205</x:v>
      </x:c>
      <x:c r="B209" s="80" t="str">
        <x:v>쏘콘</x:v>
      </x:c>
      <x:c r="C209" s="80" t="str">
        <x:v>forretress</x:v>
      </x:c>
      <x:c r="D209" s="80" t="str">
        <x:v>숲</x:v>
      </x:c>
      <x:c r="E209" s="81" t="str">
        <x:v>—</x:v>
      </x:c>
      <x:c r="F209" s="81" t="str">
        <x:v>—</x:v>
      </x:c>
      <x:c r="G209" s="81" t="str">
        <x:v>숲3</x:v>
      </x:c>
      <x:c r="H209" s="81" t="str">
        <x:v>산악2</x:v>
      </x:c>
      <x:c r="I209" s="81" t="str">
        <x:v>—</x:v>
      </x:c>
      <x:c r="J209" s="81" t="str">
        <x:v>—</x:v>
      </x:c>
      <x:c r="K209" s="81" t="str">
        <x:v>—</x:v>
      </x:c>
      <x:c r="L209" s="81" t="str">
        <x:v>—</x:v>
      </x:c>
      <x:c r="M209" s="81" t="str">
        <x:v>—</x:v>
      </x:c>
      <x:c r="N209" s="81" t="str">
        <x:v>—</x:v>
      </x:c>
      <x:c r="O209" s="81" t="str">
        <x:v>—</x:v>
      </x:c>
      <x:c r="P209" s="81" t="str">
        <x:v>—</x:v>
      </x:c>
      <x:c r="Q209" s="81" t="str">
        <x:v>숲2</x:v>
      </x:c>
      <x:c r="R209" s="81" t="str">
        <x:v>산악1</x:v>
      </x:c>
      <x:c r="S209" s="81" t="str">
        <x:v>—</x:v>
      </x:c>
      <x:c r="T209" s="81" t="str">
        <x:v>—</x:v>
      </x:c>
      <x:c r="U209" s="81" t="str">
        <x:v>숲2</x:v>
      </x:c>
      <x:c r="V209" s="81" t="str">
        <x:v>산악1</x:v>
      </x:c>
    </x:row>
    <x:row r="210">
      <x:c r="A210" s="80" t="n">
        <x:v>206</x:v>
      </x:c>
      <x:c r="B210" s="80" t="str">
        <x:v>노고치</x:v>
      </x:c>
      <x:c r="C210" s="80" t="str">
        <x:v>dunsparce</x:v>
      </x:c>
      <x:c r="D210" s="80" t="str">
        <x:v>평원</x:v>
      </x:c>
      <x:c r="E210" s="81" t="str">
        <x:v>—</x:v>
      </x:c>
      <x:c r="F210" s="81" t="str">
        <x:v>—</x:v>
      </x:c>
      <x:c r="G210" s="81" t="str">
        <x:v>평원3</x:v>
      </x:c>
      <x:c r="H210" s="81" t="str">
        <x:v>숲3</x:v>
      </x:c>
      <x:c r="I210" s="81" t="str">
        <x:v>—</x:v>
      </x:c>
      <x:c r="J210" s="81" t="str">
        <x:v>—</x:v>
      </x:c>
      <x:c r="K210" s="81" t="str">
        <x:v>—</x:v>
      </x:c>
      <x:c r="L210" s="81" t="str">
        <x:v>—</x:v>
      </x:c>
      <x:c r="M210" s="81" t="str">
        <x:v>평원1</x:v>
      </x:c>
      <x:c r="N210" s="81" t="str">
        <x:v>숲1</x:v>
      </x:c>
      <x:c r="O210" s="81" t="str">
        <x:v>평원2</x:v>
      </x:c>
      <x:c r="P210" s="81" t="str">
        <x:v>숲2</x:v>
      </x:c>
      <x:c r="Q210" s="81" t="str">
        <x:v>평원2</x:v>
      </x:c>
      <x:c r="R210" s="81" t="str">
        <x:v>숲2</x:v>
      </x:c>
      <x:c r="S210" s="81" t="str">
        <x:v>평원2</x:v>
      </x:c>
      <x:c r="T210" s="81" t="str">
        <x:v>숲2</x:v>
      </x:c>
      <x:c r="U210" s="81" t="str">
        <x:v>평원2</x:v>
      </x:c>
      <x:c r="V210" s="81" t="str">
        <x:v>숲2</x:v>
      </x:c>
    </x:row>
    <x:row r="211">
      <x:c r="A211" s="80" t="n">
        <x:v>207</x:v>
      </x:c>
      <x:c r="B211" s="80" t="str">
        <x:v>글라이거</x:v>
      </x:c>
      <x:c r="C211" s="80" t="str">
        <x:v>gligar</x:v>
      </x:c>
      <x:c r="D211" s="80" t="str">
        <x:v>화산</x:v>
      </x:c>
      <x:c r="E211" s="81" t="str">
        <x:v>—</x:v>
      </x:c>
      <x:c r="F211" s="81" t="str">
        <x:v>—</x:v>
      </x:c>
      <x:c r="G211" s="81" t="str">
        <x:v>화산1</x:v>
      </x:c>
      <x:c r="H211" s="81" t="str">
        <x:v>건조지1</x:v>
      </x:c>
      <x:c r="I211" s="81" t="str">
        <x:v>—</x:v>
      </x:c>
      <x:c r="J211" s="81" t="str">
        <x:v>—</x:v>
      </x:c>
      <x:c r="K211" s="81" t="str">
        <x:v>화산1</x:v>
      </x:c>
      <x:c r="L211" s="81" t="str">
        <x:v>건조지1</x:v>
      </x:c>
      <x:c r="M211" s="81" t="str">
        <x:v>화산1</x:v>
      </x:c>
      <x:c r="N211" s="81" t="str">
        <x:v>건조지1</x:v>
      </x:c>
      <x:c r="O211" s="81" t="str">
        <x:v>화산1</x:v>
      </x:c>
      <x:c r="P211" s="81" t="str">
        <x:v>건조지1</x:v>
      </x:c>
      <x:c r="Q211" s="81" t="str">
        <x:v>—</x:v>
      </x:c>
      <x:c r="R211" s="81" t="str">
        <x:v>—</x:v>
      </x:c>
      <x:c r="S211" s="81" t="str">
        <x:v>—</x:v>
      </x:c>
      <x:c r="T211" s="81" t="str">
        <x:v>—</x:v>
      </x:c>
      <x:c r="U211" s="81" t="str">
        <x:v>화산1</x:v>
      </x:c>
      <x:c r="V211" s="81" t="str">
        <x:v>건조지1</x:v>
      </x:c>
    </x:row>
    <x:row r="212">
      <x:c r="A212" s="80" t="n">
        <x:v>208</x:v>
      </x:c>
      <x:c r="B212" s="80" t="str">
        <x:v>강철톤</x:v>
      </x:c>
      <x:c r="C212" s="80" t="str">
        <x:v>steelix</x:v>
      </x:c>
      <x:c r="D212" s="80" t="str">
        <x:v>화산</x:v>
      </x:c>
      <x:c r="E212" s="81" t="str">
        <x:v>—</x:v>
      </x:c>
      <x:c r="F212" s="81" t="str">
        <x:v>—</x:v>
      </x:c>
      <x:c r="G212" s="81" t="str">
        <x:v>화산1</x:v>
      </x:c>
      <x:c r="H212" s="81" t="str">
        <x:v>건조지1</x:v>
      </x:c>
      <x:c r="I212" s="81" t="str">
        <x:v>—</x:v>
      </x:c>
      <x:c r="J212" s="81" t="str">
        <x:v>—</x:v>
      </x:c>
      <x:c r="K212" s="81" t="str">
        <x:v>화산1</x:v>
      </x:c>
      <x:c r="L212" s="81" t="str">
        <x:v>건조지1</x:v>
      </x:c>
      <x:c r="M212" s="81" t="str">
        <x:v>화산1</x:v>
      </x:c>
      <x:c r="N212" s="81" t="str">
        <x:v>건조지1</x:v>
      </x:c>
      <x:c r="O212" s="81" t="str">
        <x:v>화산1</x:v>
      </x:c>
      <x:c r="P212" s="81" t="str">
        <x:v>건조지1</x:v>
      </x:c>
      <x:c r="Q212" s="81" t="str">
        <x:v>—</x:v>
      </x:c>
      <x:c r="R212" s="81" t="str">
        <x:v>—</x:v>
      </x:c>
      <x:c r="S212" s="81" t="str">
        <x:v>화산1</x:v>
      </x:c>
      <x:c r="T212" s="81" t="str">
        <x:v>건조지1</x:v>
      </x:c>
      <x:c r="U212" s="81" t="str">
        <x:v>—</x:v>
      </x:c>
      <x:c r="V212" s="81" t="str">
        <x:v>—</x:v>
      </x:c>
    </x:row>
    <x:row r="213">
      <x:c r="A213" s="80" t="n">
        <x:v>209</x:v>
      </x:c>
      <x:c r="B213" s="80" t="str">
        <x:v>블루</x:v>
      </x:c>
      <x:c r="C213" s="80" t="str">
        <x:v>snubbull</x:v>
      </x:c>
      <x:c r="D213" s="80" t="str">
        <x:v>평원</x:v>
      </x:c>
      <x:c r="E213" s="81" t="str">
        <x:v>—</x:v>
      </x:c>
      <x:c r="F213" s="81" t="str">
        <x:v>—</x:v>
      </x:c>
      <x:c r="G213" s="81" t="str">
        <x:v>평원3</x:v>
      </x:c>
      <x:c r="H213" s="81" t="str">
        <x:v>숲3</x:v>
      </x:c>
      <x:c r="I213" s="81" t="str">
        <x:v>—</x:v>
      </x:c>
      <x:c r="J213" s="81" t="str">
        <x:v>—</x:v>
      </x:c>
      <x:c r="K213" s="81" t="str">
        <x:v>—</x:v>
      </x:c>
      <x:c r="L213" s="81" t="str">
        <x:v>—</x:v>
      </x:c>
      <x:c r="M213" s="81" t="str">
        <x:v>—</x:v>
      </x:c>
      <x:c r="N213" s="81" t="str">
        <x:v>—</x:v>
      </x:c>
      <x:c r="O213" s="81" t="str">
        <x:v>평원2</x:v>
      </x:c>
      <x:c r="P213" s="81" t="str">
        <x:v>숲2</x:v>
      </x:c>
      <x:c r="Q213" s="81" t="str">
        <x:v>평원2</x:v>
      </x:c>
      <x:c r="R213" s="81" t="str">
        <x:v>숲2</x:v>
      </x:c>
      <x:c r="S213" s="81" t="str">
        <x:v>—</x:v>
      </x:c>
      <x:c r="T213" s="81" t="str">
        <x:v>—</x:v>
      </x:c>
      <x:c r="U213" s="81" t="str">
        <x:v>평원2</x:v>
      </x:c>
      <x:c r="V213" s="81" t="str">
        <x:v>숲2</x:v>
      </x:c>
    </x:row>
    <x:row r="214">
      <x:c r="A214" s="80" t="n">
        <x:v>210</x:v>
      </x:c>
      <x:c r="B214" s="80" t="str">
        <x:v>그랑블루</x:v>
      </x:c>
      <x:c r="C214" s="80" t="str">
        <x:v>granbull</x:v>
      </x:c>
      <x:c r="D214" s="80" t="str">
        <x:v>평원</x:v>
      </x:c>
      <x:c r="E214" s="81" t="str">
        <x:v>—</x:v>
      </x:c>
      <x:c r="F214" s="81" t="str">
        <x:v>—</x:v>
      </x:c>
      <x:c r="G214" s="81" t="str">
        <x:v>평원3</x:v>
      </x:c>
      <x:c r="H214" s="81" t="str">
        <x:v>숲3</x:v>
      </x:c>
      <x:c r="I214" s="81" t="str">
        <x:v>—</x:v>
      </x:c>
      <x:c r="J214" s="81" t="str">
        <x:v>—</x:v>
      </x:c>
      <x:c r="K214" s="81" t="str">
        <x:v>—</x:v>
      </x:c>
      <x:c r="L214" s="81" t="str">
        <x:v>—</x:v>
      </x:c>
      <x:c r="M214" s="81" t="str">
        <x:v>—</x:v>
      </x:c>
      <x:c r="N214" s="81" t="str">
        <x:v>—</x:v>
      </x:c>
      <x:c r="O214" s="81" t="str">
        <x:v>평원2</x:v>
      </x:c>
      <x:c r="P214" s="81" t="str">
        <x:v>숲2</x:v>
      </x:c>
      <x:c r="Q214" s="81" t="str">
        <x:v>평원2</x:v>
      </x:c>
      <x:c r="R214" s="81" t="str">
        <x:v>숲2</x:v>
      </x:c>
      <x:c r="S214" s="81" t="str">
        <x:v>—</x:v>
      </x:c>
      <x:c r="T214" s="81" t="str">
        <x:v>—</x:v>
      </x:c>
      <x:c r="U214" s="81" t="str">
        <x:v>평원2</x:v>
      </x:c>
      <x:c r="V214" s="81" t="str">
        <x:v>숲2</x:v>
      </x:c>
    </x:row>
    <x:row r="215">
      <x:c r="A215" s="80" t="n">
        <x:v>211</x:v>
      </x:c>
      <x:c r="B215" s="80" t="str">
        <x:v>침바루</x:v>
      </x:c>
      <x:c r="C215" s="80" t="str">
        <x:v>qwilfish</x:v>
      </x:c>
      <x:c r="D215" s="80" t="str">
        <x:v>해양</x:v>
      </x:c>
      <x:c r="E215" s="81" t="str">
        <x:v>—</x:v>
      </x:c>
      <x:c r="F215" s="81" t="str">
        <x:v>—</x:v>
      </x:c>
      <x:c r="G215" s="81" t="str">
        <x:v>해양1</x:v>
      </x:c>
      <x:c r="H215" s="81" t="str">
        <x:v>담수2</x:v>
      </x:c>
      <x:c r="I215" s="81" t="str">
        <x:v>—</x:v>
      </x:c>
      <x:c r="J215" s="81" t="str">
        <x:v>—</x:v>
      </x:c>
      <x:c r="K215" s="81" t="str">
        <x:v>—</x:v>
      </x:c>
      <x:c r="L215" s="81" t="str">
        <x:v>—</x:v>
      </x:c>
      <x:c r="M215" s="81" t="str">
        <x:v>—</x:v>
      </x:c>
      <x:c r="N215" s="81" t="str">
        <x:v>—</x:v>
      </x:c>
      <x:c r="O215" s="81" t="str">
        <x:v>해양1</x:v>
      </x:c>
      <x:c r="P215" s="81" t="str">
        <x:v>담수2</x:v>
      </x:c>
      <x:c r="Q215" s="81" t="str">
        <x:v>—</x:v>
      </x:c>
      <x:c r="R215" s="81" t="str">
        <x:v>—</x:v>
      </x:c>
      <x:c r="S215" s="81" t="str">
        <x:v>해양1</x:v>
      </x:c>
      <x:c r="T215" s="81" t="str">
        <x:v>담수2</x:v>
      </x:c>
      <x:c r="U215" s="81" t="str">
        <x:v>해양1</x:v>
      </x:c>
      <x:c r="V215" s="81" t="str">
        <x:v>담수1</x:v>
      </x:c>
    </x:row>
    <x:row r="216">
      <x:c r="A216" s="80" t="n">
        <x:v>212</x:v>
      </x:c>
      <x:c r="B216" s="80" t="str">
        <x:v>핫삼</x:v>
      </x:c>
      <x:c r="C216" s="80" t="str">
        <x:v>scizor</x:v>
      </x:c>
      <x:c r="D216" s="80" t="str">
        <x:v>숲</x:v>
      </x:c>
      <x:c r="E216" s="81" t="str">
        <x:v>—</x:v>
      </x:c>
      <x:c r="F216" s="81" t="str">
        <x:v>—</x:v>
      </x:c>
      <x:c r="G216" s="81" t="str">
        <x:v>숲3</x:v>
      </x:c>
      <x:c r="H216" s="81" t="str">
        <x:v>산악2</x:v>
      </x:c>
      <x:c r="I216" s="81" t="str">
        <x:v>—</x:v>
      </x:c>
      <x:c r="J216" s="81" t="str">
        <x:v>—</x:v>
      </x:c>
      <x:c r="K216" s="81" t="str">
        <x:v>숲1</x:v>
      </x:c>
      <x:c r="L216" s="81" t="str">
        <x:v>산악1</x:v>
      </x:c>
      <x:c r="M216" s="81" t="str">
        <x:v>—</x:v>
      </x:c>
      <x:c r="N216" s="81" t="str">
        <x:v>—</x:v>
      </x:c>
      <x:c r="O216" s="81" t="str">
        <x:v>숲2</x:v>
      </x:c>
      <x:c r="P216" s="81" t="str">
        <x:v>산악1</x:v>
      </x:c>
      <x:c r="Q216" s="81" t="str">
        <x:v>숲2</x:v>
      </x:c>
      <x:c r="R216" s="81" t="str">
        <x:v>산악1</x:v>
      </x:c>
      <x:c r="S216" s="81" t="str">
        <x:v>숲2</x:v>
      </x:c>
      <x:c r="T216" s="81" t="str">
        <x:v>산악1</x:v>
      </x:c>
      <x:c r="U216" s="81" t="str">
        <x:v>숲2</x:v>
      </x:c>
      <x:c r="V216" s="81" t="str">
        <x:v>산악1</x:v>
      </x:c>
    </x:row>
    <x:row r="217">
      <x:c r="A217" s="80" t="n">
        <x:v>213</x:v>
      </x:c>
      <x:c r="B217" s="80" t="str">
        <x:v>단단지</x:v>
      </x:c>
      <x:c r="C217" s="80" t="str">
        <x:v>shuckle</x:v>
      </x:c>
      <x:c r="D217" s="80" t="str">
        <x:v>산악</x:v>
      </x:c>
      <x:c r="E217" s="81" t="str">
        <x:v>—</x:v>
      </x:c>
      <x:c r="F217" s="81" t="str">
        <x:v>—</x:v>
      </x:c>
      <x:c r="G217" s="81" t="str">
        <x:v>산악2</x:v>
      </x:c>
      <x:c r="H217" s="81" t="str">
        <x:v>숲3</x:v>
      </x:c>
      <x:c r="I217" s="81" t="str">
        <x:v>—</x:v>
      </x:c>
      <x:c r="J217" s="81" t="str">
        <x:v>—</x:v>
      </x:c>
      <x:c r="K217" s="81" t="str">
        <x:v>—</x:v>
      </x:c>
      <x:c r="L217" s="81" t="str">
        <x:v>—</x:v>
      </x:c>
      <x:c r="M217" s="81" t="str">
        <x:v>산악1</x:v>
      </x:c>
      <x:c r="N217" s="81" t="str">
        <x:v>숲1</x:v>
      </x:c>
      <x:c r="O217" s="81" t="str">
        <x:v>산악1</x:v>
      </x:c>
      <x:c r="P217" s="81" t="str">
        <x:v>숲2</x:v>
      </x:c>
      <x:c r="Q217" s="81" t="str">
        <x:v>—</x:v>
      </x:c>
      <x:c r="R217" s="81" t="str">
        <x:v>—</x:v>
      </x:c>
      <x:c r="S217" s="81" t="str">
        <x:v>산악1</x:v>
      </x:c>
      <x:c r="T217" s="81" t="str">
        <x:v>숲2</x:v>
      </x:c>
      <x:c r="U217" s="81" t="str">
        <x:v>—</x:v>
      </x:c>
      <x:c r="V217" s="81" t="str">
        <x:v>—</x:v>
      </x:c>
    </x:row>
    <x:row r="218">
      <x:c r="A218" s="80" t="n">
        <x:v>214</x:v>
      </x:c>
      <x:c r="B218" s="80" t="str">
        <x:v>헤라크로스</x:v>
      </x:c>
      <x:c r="C218" s="80" t="str">
        <x:v>heracross</x:v>
      </x:c>
      <x:c r="D218" s="80" t="str">
        <x:v>숲</x:v>
      </x:c>
      <x:c r="E218" s="81" t="str">
        <x:v>—</x:v>
      </x:c>
      <x:c r="F218" s="81" t="str">
        <x:v>—</x:v>
      </x:c>
      <x:c r="G218" s="81" t="str">
        <x:v>숲3</x:v>
      </x:c>
      <x:c r="H218" s="81" t="str">
        <x:v>산악2</x:v>
      </x:c>
      <x:c r="I218" s="81" t="str">
        <x:v>숲1</x:v>
      </x:c>
      <x:c r="J218" s="81" t="str">
        <x:v>산악1</x:v>
      </x:c>
      <x:c r="K218" s="81" t="str">
        <x:v>숲1</x:v>
      </x:c>
      <x:c r="L218" s="81" t="str">
        <x:v>산악1</x:v>
      </x:c>
      <x:c r="M218" s="81" t="str">
        <x:v>숲1</x:v>
      </x:c>
      <x:c r="N218" s="81" t="str">
        <x:v>산악1</x:v>
      </x:c>
      <x:c r="O218" s="81" t="str">
        <x:v>숲2</x:v>
      </x:c>
      <x:c r="P218" s="81" t="str">
        <x:v>산악1</x:v>
      </x:c>
      <x:c r="Q218" s="81" t="str">
        <x:v>숲2</x:v>
      </x:c>
      <x:c r="R218" s="81" t="str">
        <x:v>산악1</x:v>
      </x:c>
      <x:c r="S218" s="81" t="str">
        <x:v>숲2</x:v>
      </x:c>
      <x:c r="T218" s="81" t="str">
        <x:v>산악1</x:v>
      </x:c>
      <x:c r="U218" s="81" t="str">
        <x:v>숲2</x:v>
      </x:c>
      <x:c r="V218" s="81" t="str">
        <x:v>산악1</x:v>
      </x:c>
    </x:row>
    <x:row r="219">
      <x:c r="A219" s="80" t="n">
        <x:v>215</x:v>
      </x:c>
      <x:c r="B219" s="80" t="str">
        <x:v>포푸니</x:v>
      </x:c>
      <x:c r="C219" s="80" t="str">
        <x:v>sneasel</x:v>
      </x:c>
      <x:c r="D219" s="80" t="str">
        <x:v>산악</x:v>
      </x:c>
      <x:c r="E219" s="81" t="str">
        <x:v>—</x:v>
      </x:c>
      <x:c r="F219" s="81" t="str">
        <x:v>—</x:v>
      </x:c>
      <x:c r="G219" s="81" t="str">
        <x:v>산악2</x:v>
      </x:c>
      <x:c r="H219" s="81" t="str">
        <x:v>설원1</x:v>
      </x:c>
      <x:c r="I219" s="81" t="str">
        <x:v>—</x:v>
      </x:c>
      <x:c r="J219" s="81" t="str">
        <x:v>—</x:v>
      </x:c>
      <x:c r="K219" s="81" t="str">
        <x:v>산악1</x:v>
      </x:c>
      <x:c r="L219" s="81" t="str">
        <x:v>설원1</x:v>
      </x:c>
      <x:c r="M219" s="81" t="str">
        <x:v>산악1</x:v>
      </x:c>
      <x:c r="N219" s="81" t="str">
        <x:v>설원1</x:v>
      </x:c>
      <x:c r="O219" s="81" t="str">
        <x:v>산악1</x:v>
      </x:c>
      <x:c r="P219" s="81" t="str">
        <x:v>설원1</x:v>
      </x:c>
      <x:c r="Q219" s="81" t="str">
        <x:v>산악1</x:v>
      </x:c>
      <x:c r="R219" s="81" t="str">
        <x:v>설원1</x:v>
      </x:c>
      <x:c r="S219" s="81" t="str">
        <x:v>산악1</x:v>
      </x:c>
      <x:c r="T219" s="81" t="str">
        <x:v>설원1</x:v>
      </x:c>
      <x:c r="U219" s="81" t="str">
        <x:v>산악1</x:v>
      </x:c>
      <x:c r="V219" s="81" t="str">
        <x:v>설원1</x:v>
      </x:c>
    </x:row>
    <x:row r="220">
      <x:c r="A220" s="80" t="n">
        <x:v>216</x:v>
      </x:c>
      <x:c r="B220" s="80" t="str">
        <x:v>깜지곰</x:v>
      </x:c>
      <x:c r="C220" s="80" t="str">
        <x:v>teddiursa</x:v>
      </x:c>
      <x:c r="D220" s="80" t="str">
        <x:v>숲</x:v>
      </x:c>
      <x:c r="E220" s="81" t="str">
        <x:v>—</x:v>
      </x:c>
      <x:c r="F220" s="81" t="str">
        <x:v>—</x:v>
      </x:c>
      <x:c r="G220" s="81" t="str">
        <x:v>숲3</x:v>
      </x:c>
      <x:c r="H220" s="81" t="str">
        <x:v>평원3</x:v>
      </x:c>
      <x:c r="I220" s="81" t="str">
        <x:v>—</x:v>
      </x:c>
      <x:c r="J220" s="81" t="str">
        <x:v>—</x:v>
      </x:c>
      <x:c r="K220" s="81" t="str">
        <x:v>—</x:v>
      </x:c>
      <x:c r="L220" s="81" t="str">
        <x:v>—</x:v>
      </x:c>
      <x:c r="M220" s="81" t="str">
        <x:v>—</x:v>
      </x:c>
      <x:c r="N220" s="81" t="str">
        <x:v>—</x:v>
      </x:c>
      <x:c r="O220" s="81" t="str">
        <x:v>숲2</x:v>
      </x:c>
      <x:c r="P220" s="81" t="str">
        <x:v>평원2</x:v>
      </x:c>
      <x:c r="Q220" s="81" t="str">
        <x:v>—</x:v>
      </x:c>
      <x:c r="R220" s="81" t="str">
        <x:v>—</x:v>
      </x:c>
      <x:c r="S220" s="81" t="str">
        <x:v>—</x:v>
      </x:c>
      <x:c r="T220" s="81" t="str">
        <x:v>—</x:v>
      </x:c>
      <x:c r="U220" s="81" t="str">
        <x:v>숲2</x:v>
      </x:c>
      <x:c r="V220" s="81" t="str">
        <x:v>평원2</x:v>
      </x:c>
    </x:row>
    <x:row r="221">
      <x:c r="A221" s="80" t="n">
        <x:v>217</x:v>
      </x:c>
      <x:c r="B221" s="80" t="str">
        <x:v>링곰</x:v>
      </x:c>
      <x:c r="C221" s="80" t="str">
        <x:v>ursaring</x:v>
      </x:c>
      <x:c r="D221" s="80" t="str">
        <x:v>숲</x:v>
      </x:c>
      <x:c r="E221" s="81" t="str">
        <x:v>—</x:v>
      </x:c>
      <x:c r="F221" s="81" t="str">
        <x:v>—</x:v>
      </x:c>
      <x:c r="G221" s="81" t="str">
        <x:v>숲3</x:v>
      </x:c>
      <x:c r="H221" s="81" t="str">
        <x:v>평원3</x:v>
      </x:c>
      <x:c r="I221" s="81" t="str">
        <x:v>—</x:v>
      </x:c>
      <x:c r="J221" s="81" t="str">
        <x:v>—</x:v>
      </x:c>
      <x:c r="K221" s="81" t="str">
        <x:v>—</x:v>
      </x:c>
      <x:c r="L221" s="81" t="str">
        <x:v>—</x:v>
      </x:c>
      <x:c r="M221" s="81" t="str">
        <x:v>—</x:v>
      </x:c>
      <x:c r="N221" s="81" t="str">
        <x:v>—</x:v>
      </x:c>
      <x:c r="O221" s="81" t="str">
        <x:v>숲2</x:v>
      </x:c>
      <x:c r="P221" s="81" t="str">
        <x:v>평원2</x:v>
      </x:c>
      <x:c r="Q221" s="81" t="str">
        <x:v>—</x:v>
      </x:c>
      <x:c r="R221" s="81" t="str">
        <x:v>—</x:v>
      </x:c>
      <x:c r="S221" s="81" t="str">
        <x:v>—</x:v>
      </x:c>
      <x:c r="T221" s="81" t="str">
        <x:v>—</x:v>
      </x:c>
      <x:c r="U221" s="81" t="str">
        <x:v>숲2</x:v>
      </x:c>
      <x:c r="V221" s="81" t="str">
        <x:v>평원2</x:v>
      </x:c>
    </x:row>
    <x:row r="222">
      <x:c r="A222" s="80" t="n">
        <x:v>218</x:v>
      </x:c>
      <x:c r="B222" s="80" t="str">
        <x:v>마그마그</x:v>
      </x:c>
      <x:c r="C222" s="80" t="str">
        <x:v>slugma</x:v>
      </x:c>
      <x:c r="D222" s="80" t="str">
        <x:v>화산</x:v>
      </x:c>
      <x:c r="E222" s="81" t="str">
        <x:v>—</x:v>
      </x:c>
      <x:c r="F222" s="81" t="str">
        <x:v>—</x:v>
      </x:c>
      <x:c r="G222" s="81" t="str">
        <x:v>화산1</x:v>
      </x:c>
      <x:c r="H222" s="81" t="str">
        <x:v>건조지1</x:v>
      </x:c>
      <x:c r="I222" s="81" t="str">
        <x:v>화산1</x:v>
      </x:c>
      <x:c r="J222" s="81" t="str">
        <x:v>건조지1</x:v>
      </x:c>
      <x:c r="K222" s="81" t="str">
        <x:v>—</x:v>
      </x:c>
      <x:c r="L222" s="81" t="str">
        <x:v>—</x:v>
      </x:c>
      <x:c r="M222" s="81" t="str">
        <x:v>—</x:v>
      </x:c>
      <x:c r="N222" s="81" t="str">
        <x:v>—</x:v>
      </x:c>
      <x:c r="O222" s="81" t="str">
        <x:v>화산1</x:v>
      </x:c>
      <x:c r="P222" s="81" t="str">
        <x:v>건조지1</x:v>
      </x:c>
      <x:c r="Q222" s="81" t="str">
        <x:v>—</x:v>
      </x:c>
      <x:c r="R222" s="81" t="str">
        <x:v>—</x:v>
      </x:c>
      <x:c r="S222" s="81" t="str">
        <x:v>—</x:v>
      </x:c>
      <x:c r="T222" s="81" t="str">
        <x:v>—</x:v>
      </x:c>
      <x:c r="U222" s="81" t="str">
        <x:v>화산1</x:v>
      </x:c>
      <x:c r="V222" s="81" t="str">
        <x:v>건조지1</x:v>
      </x:c>
    </x:row>
    <x:row r="223">
      <x:c r="A223" s="80" t="n">
        <x:v>219</x:v>
      </x:c>
      <x:c r="B223" s="80" t="str">
        <x:v>마그카르고</x:v>
      </x:c>
      <x:c r="C223" s="80" t="str">
        <x:v>magcargo</x:v>
      </x:c>
      <x:c r="D223" s="80" t="str">
        <x:v>화산</x:v>
      </x:c>
      <x:c r="E223" s="81" t="str">
        <x:v>—</x:v>
      </x:c>
      <x:c r="F223" s="81" t="str">
        <x:v>—</x:v>
      </x:c>
      <x:c r="G223" s="81" t="str">
        <x:v>화산1</x:v>
      </x:c>
      <x:c r="H223" s="81" t="str">
        <x:v>건조지1</x:v>
      </x:c>
      <x:c r="I223" s="81" t="str">
        <x:v>화산1</x:v>
      </x:c>
      <x:c r="J223" s="81" t="str">
        <x:v>건조지1</x:v>
      </x:c>
      <x:c r="K223" s="81" t="str">
        <x:v>—</x:v>
      </x:c>
      <x:c r="L223" s="81" t="str">
        <x:v>—</x:v>
      </x:c>
      <x:c r="M223" s="81" t="str">
        <x:v>—</x:v>
      </x:c>
      <x:c r="N223" s="81" t="str">
        <x:v>—</x:v>
      </x:c>
      <x:c r="O223" s="81" t="str">
        <x:v>화산1</x:v>
      </x:c>
      <x:c r="P223" s="81" t="str">
        <x:v>건조지1</x:v>
      </x:c>
      <x:c r="Q223" s="81" t="str">
        <x:v>—</x:v>
      </x:c>
      <x:c r="R223" s="81" t="str">
        <x:v>—</x:v>
      </x:c>
      <x:c r="S223" s="81" t="str">
        <x:v>—</x:v>
      </x:c>
      <x:c r="T223" s="81" t="str">
        <x:v>—</x:v>
      </x:c>
      <x:c r="U223" s="81" t="str">
        <x:v>화산1</x:v>
      </x:c>
      <x:c r="V223" s="81" t="str">
        <x:v>건조지1</x:v>
      </x:c>
    </x:row>
    <x:row r="224">
      <x:c r="A224" s="80" t="n">
        <x:v>220</x:v>
      </x:c>
      <x:c r="B224" s="80" t="str">
        <x:v>꾸꾸리</x:v>
      </x:c>
      <x:c r="C224" s="80" t="str">
        <x:v>swinub</x:v>
      </x:c>
      <x:c r="D224" s="80" t="str">
        <x:v>산악</x:v>
      </x:c>
      <x:c r="E224" s="81" t="str">
        <x:v>—</x:v>
      </x:c>
      <x:c r="F224" s="81" t="str">
        <x:v>—</x:v>
      </x:c>
      <x:c r="G224" s="81" t="str">
        <x:v>산악2</x:v>
      </x:c>
      <x:c r="H224" s="81" t="str">
        <x:v>설원1</x:v>
      </x:c>
      <x:c r="I224" s="81" t="str">
        <x:v>—</x:v>
      </x:c>
      <x:c r="J224" s="81" t="str">
        <x:v>—</x:v>
      </x:c>
      <x:c r="K224" s="81" t="str">
        <x:v>산악1</x:v>
      </x:c>
      <x:c r="L224" s="81" t="str">
        <x:v>설원1</x:v>
      </x:c>
      <x:c r="M224" s="81" t="str">
        <x:v>산악1</x:v>
      </x:c>
      <x:c r="N224" s="81" t="str">
        <x:v>설원1</x:v>
      </x:c>
      <x:c r="O224" s="81" t="str">
        <x:v>산악1</x:v>
      </x:c>
      <x:c r="P224" s="81" t="str">
        <x:v>설원1</x:v>
      </x:c>
      <x:c r="Q224" s="81" t="str">
        <x:v>—</x:v>
      </x:c>
      <x:c r="R224" s="81" t="str">
        <x:v>—</x:v>
      </x:c>
      <x:c r="S224" s="81" t="str">
        <x:v>산악1</x:v>
      </x:c>
      <x:c r="T224" s="81" t="str">
        <x:v>설원1</x:v>
      </x:c>
      <x:c r="U224" s="81" t="str">
        <x:v>산악1</x:v>
      </x:c>
      <x:c r="V224" s="81" t="str">
        <x:v>설원1</x:v>
      </x:c>
    </x:row>
    <x:row r="225">
      <x:c r="A225" s="80" t="n">
        <x:v>221</x:v>
      </x:c>
      <x:c r="B225" s="80" t="str">
        <x:v>메꾸리</x:v>
      </x:c>
      <x:c r="C225" s="80" t="str">
        <x:v>piloswine</x:v>
      </x:c>
      <x:c r="D225" s="80" t="str">
        <x:v>산악</x:v>
      </x:c>
      <x:c r="E225" s="81" t="str">
        <x:v>—</x:v>
      </x:c>
      <x:c r="F225" s="81" t="str">
        <x:v>—</x:v>
      </x:c>
      <x:c r="G225" s="81" t="str">
        <x:v>산악2</x:v>
      </x:c>
      <x:c r="H225" s="81" t="str">
        <x:v>설원1</x:v>
      </x:c>
      <x:c r="I225" s="81" t="str">
        <x:v>—</x:v>
      </x:c>
      <x:c r="J225" s="81" t="str">
        <x:v>—</x:v>
      </x:c>
      <x:c r="K225" s="81" t="str">
        <x:v>산악1</x:v>
      </x:c>
      <x:c r="L225" s="81" t="str">
        <x:v>설원1</x:v>
      </x:c>
      <x:c r="M225" s="81" t="str">
        <x:v>산악1</x:v>
      </x:c>
      <x:c r="N225" s="81" t="str">
        <x:v>설원1</x:v>
      </x:c>
      <x:c r="O225" s="81" t="str">
        <x:v>산악1</x:v>
      </x:c>
      <x:c r="P225" s="81" t="str">
        <x:v>설원1</x:v>
      </x:c>
      <x:c r="Q225" s="81" t="str">
        <x:v>—</x:v>
      </x:c>
      <x:c r="R225" s="81" t="str">
        <x:v>—</x:v>
      </x:c>
      <x:c r="S225" s="81" t="str">
        <x:v>산악1</x:v>
      </x:c>
      <x:c r="T225" s="81" t="str">
        <x:v>설원1</x:v>
      </x:c>
      <x:c r="U225" s="81" t="str">
        <x:v>산악1</x:v>
      </x:c>
      <x:c r="V225" s="81" t="str">
        <x:v>설원1</x:v>
      </x:c>
    </x:row>
    <x:row r="226">
      <x:c r="A226" s="80" t="n">
        <x:v>222</x:v>
      </x:c>
      <x:c r="B226" s="80" t="str">
        <x:v>코산호</x:v>
      </x:c>
      <x:c r="C226" s="80" t="str">
        <x:v>corsola</x:v>
      </x:c>
      <x:c r="D226" s="80" t="str">
        <x:v>해양</x:v>
      </x:c>
      <x:c r="E226" s="81" t="str">
        <x:v>—</x:v>
      </x:c>
      <x:c r="F226" s="81" t="str">
        <x:v>—</x:v>
      </x:c>
      <x:c r="G226" s="81" t="str">
        <x:v>해양1</x:v>
      </x:c>
      <x:c r="H226" s="81" t="str">
        <x:v>담수2</x:v>
      </x:c>
      <x:c r="I226" s="81" t="str">
        <x:v>해양1</x:v>
      </x:c>
      <x:c r="J226" s="81" t="str">
        <x:v>담수1</x:v>
      </x:c>
      <x:c r="K226" s="81" t="str">
        <x:v>—</x:v>
      </x:c>
      <x:c r="L226" s="81" t="str">
        <x:v>—</x:v>
      </x:c>
      <x:c r="M226" s="81" t="str">
        <x:v>해양1</x:v>
      </x:c>
      <x:c r="N226" s="81" t="str">
        <x:v>담수1</x:v>
      </x:c>
      <x:c r="O226" s="81" t="str">
        <x:v>해양1</x:v>
      </x:c>
      <x:c r="P226" s="81" t="str">
        <x:v>담수2</x:v>
      </x:c>
      <x:c r="Q226" s="81" t="str">
        <x:v>해양1</x:v>
      </x:c>
      <x:c r="R226" s="81" t="str">
        <x:v>담수1</x:v>
      </x:c>
      <x:c r="S226" s="81" t="str">
        <x:v>해양1</x:v>
      </x:c>
      <x:c r="T226" s="81" t="str">
        <x:v>담수2</x:v>
      </x:c>
      <x:c r="U226" s="81" t="str">
        <x:v>—</x:v>
      </x:c>
      <x:c r="V226" s="81" t="str">
        <x:v>—</x:v>
      </x:c>
    </x:row>
    <x:row r="227">
      <x:c r="A227" s="80" t="n">
        <x:v>223</x:v>
      </x:c>
      <x:c r="B227" s="80" t="str">
        <x:v>총어</x:v>
      </x:c>
      <x:c r="C227" s="80" t="str">
        <x:v>remoraid</x:v>
      </x:c>
      <x:c r="D227" s="80" t="str">
        <x:v>해양</x:v>
      </x:c>
      <x:c r="E227" s="81" t="str">
        <x:v>—</x:v>
      </x:c>
      <x:c r="F227" s="81" t="str">
        <x:v>—</x:v>
      </x:c>
      <x:c r="G227" s="81" t="str">
        <x:v>해양1</x:v>
      </x:c>
      <x:c r="H227" s="81" t="str">
        <x:v>담수2</x:v>
      </x:c>
      <x:c r="I227" s="81" t="str">
        <x:v>—</x:v>
      </x:c>
      <x:c r="J227" s="81" t="str">
        <x:v>—</x:v>
      </x:c>
      <x:c r="K227" s="81" t="str">
        <x:v>해양1</x:v>
      </x:c>
      <x:c r="L227" s="81" t="str">
        <x:v>담수1</x:v>
      </x:c>
      <x:c r="M227" s="81" t="str">
        <x:v>해양1</x:v>
      </x:c>
      <x:c r="N227" s="81" t="str">
        <x:v>담수1</x:v>
      </x:c>
      <x:c r="O227" s="81" t="str">
        <x:v>해양1</x:v>
      </x:c>
      <x:c r="P227" s="81" t="str">
        <x:v>담수2</x:v>
      </x:c>
      <x:c r="Q227" s="81" t="str">
        <x:v>해양1</x:v>
      </x:c>
      <x:c r="R227" s="81" t="str">
        <x:v>담수1</x:v>
      </x:c>
      <x:c r="S227" s="81" t="str">
        <x:v>해양1</x:v>
      </x:c>
      <x:c r="T227" s="81" t="str">
        <x:v>담수2</x:v>
      </x:c>
      <x:c r="U227" s="81" t="str">
        <x:v>—</x:v>
      </x:c>
      <x:c r="V227" s="81" t="str">
        <x:v>—</x:v>
      </x:c>
    </x:row>
    <x:row r="228">
      <x:c r="A228" s="80" t="n">
        <x:v>224</x:v>
      </x:c>
      <x:c r="B228" s="80" t="str">
        <x:v>대포무노</x:v>
      </x:c>
      <x:c r="C228" s="80" t="str">
        <x:v>octillery</x:v>
      </x:c>
      <x:c r="D228" s="80" t="str">
        <x:v>해양</x:v>
      </x:c>
      <x:c r="E228" s="81" t="str">
        <x:v>—</x:v>
      </x:c>
      <x:c r="F228" s="81" t="str">
        <x:v>—</x:v>
      </x:c>
      <x:c r="G228" s="81" t="str">
        <x:v>해양1</x:v>
      </x:c>
      <x:c r="H228" s="81" t="str">
        <x:v>담수2</x:v>
      </x:c>
      <x:c r="I228" s="81" t="str">
        <x:v>—</x:v>
      </x:c>
      <x:c r="J228" s="81" t="str">
        <x:v>—</x:v>
      </x:c>
      <x:c r="K228" s="81" t="str">
        <x:v>해양1</x:v>
      </x:c>
      <x:c r="L228" s="81" t="str">
        <x:v>담수1</x:v>
      </x:c>
      <x:c r="M228" s="81" t="str">
        <x:v>해양1</x:v>
      </x:c>
      <x:c r="N228" s="81" t="str">
        <x:v>담수1</x:v>
      </x:c>
      <x:c r="O228" s="81" t="str">
        <x:v>해양1</x:v>
      </x:c>
      <x:c r="P228" s="81" t="str">
        <x:v>담수2</x:v>
      </x:c>
      <x:c r="Q228" s="81" t="str">
        <x:v>해양1</x:v>
      </x:c>
      <x:c r="R228" s="81" t="str">
        <x:v>담수1</x:v>
      </x:c>
      <x:c r="S228" s="81" t="str">
        <x:v>해양1</x:v>
      </x:c>
      <x:c r="T228" s="81" t="str">
        <x:v>담수2</x:v>
      </x:c>
      <x:c r="U228" s="81" t="str">
        <x:v>—</x:v>
      </x:c>
      <x:c r="V228" s="81" t="str">
        <x:v>—</x:v>
      </x:c>
    </x:row>
    <x:row r="229">
      <x:c r="A229" s="80" t="n">
        <x:v>225</x:v>
      </x:c>
      <x:c r="B229" s="80" t="str">
        <x:v>딜리버드</x:v>
      </x:c>
      <x:c r="C229" s="80" t="str">
        <x:v>delibird</x:v>
      </x:c>
      <x:c r="D229" s="80" t="str">
        <x:v>산악</x:v>
      </x:c>
      <x:c r="E229" s="81" t="str">
        <x:v>—</x:v>
      </x:c>
      <x:c r="F229" s="81" t="str">
        <x:v>—</x:v>
      </x:c>
      <x:c r="G229" s="81" t="str">
        <x:v>산악2</x:v>
      </x:c>
      <x:c r="H229" s="81" t="str">
        <x:v>설원1</x:v>
      </x:c>
      <x:c r="I229" s="81" t="str">
        <x:v>—</x:v>
      </x:c>
      <x:c r="J229" s="81" t="str">
        <x:v>—</x:v>
      </x:c>
      <x:c r="K229" s="81" t="str">
        <x:v>—</x:v>
      </x:c>
      <x:c r="L229" s="81" t="str">
        <x:v>—</x:v>
      </x:c>
      <x:c r="M229" s="81" t="str">
        <x:v>산악1</x:v>
      </x:c>
      <x:c r="N229" s="81" t="str">
        <x:v>설원1</x:v>
      </x:c>
      <x:c r="O229" s="81" t="str">
        <x:v>산악1</x:v>
      </x:c>
      <x:c r="P229" s="81" t="str">
        <x:v>설원1</x:v>
      </x:c>
      <x:c r="Q229" s="81" t="str">
        <x:v>산악1</x:v>
      </x:c>
      <x:c r="R229" s="81" t="str">
        <x:v>설원1</x:v>
      </x:c>
      <x:c r="S229" s="81" t="str">
        <x:v>산악1</x:v>
      </x:c>
      <x:c r="T229" s="81" t="str">
        <x:v>설원1</x:v>
      </x:c>
      <x:c r="U229" s="81" t="str">
        <x:v>산악1</x:v>
      </x:c>
      <x:c r="V229" s="81" t="str">
        <x:v>설원1</x:v>
      </x:c>
    </x:row>
    <x:row r="230">
      <x:c r="A230" s="80" t="n">
        <x:v>226</x:v>
      </x:c>
      <x:c r="B230" s="80" t="str">
        <x:v>만타인</x:v>
      </x:c>
      <x:c r="C230" s="80" t="str">
        <x:v>mantine</x:v>
      </x:c>
      <x:c r="D230" s="80" t="str">
        <x:v>해양</x:v>
      </x:c>
      <x:c r="E230" s="81" t="str">
        <x:v>—</x:v>
      </x:c>
      <x:c r="F230" s="81" t="str">
        <x:v>—</x:v>
      </x:c>
      <x:c r="G230" s="81" t="str">
        <x:v>해양1</x:v>
      </x:c>
      <x:c r="H230" s="81" t="str">
        <x:v>담수2</x:v>
      </x:c>
      <x:c r="I230" s="81" t="str">
        <x:v>—</x:v>
      </x:c>
      <x:c r="J230" s="81" t="str">
        <x:v>—</x:v>
      </x:c>
      <x:c r="K230" s="81" t="str">
        <x:v>해양1</x:v>
      </x:c>
      <x:c r="L230" s="81" t="str">
        <x:v>담수1</x:v>
      </x:c>
      <x:c r="M230" s="81" t="str">
        <x:v>해양1</x:v>
      </x:c>
      <x:c r="N230" s="81" t="str">
        <x:v>담수1</x:v>
      </x:c>
      <x:c r="O230" s="81" t="str">
        <x:v>해양2</x:v>
      </x:c>
      <x:c r="P230" s="81" t="str">
        <x:v>담수2</x:v>
      </x:c>
      <x:c r="Q230" s="81" t="str">
        <x:v>해양1</x:v>
      </x:c>
      <x:c r="R230" s="81" t="str">
        <x:v>담수1</x:v>
      </x:c>
      <x:c r="S230" s="81" t="str">
        <x:v>해양1</x:v>
      </x:c>
      <x:c r="T230" s="81" t="str">
        <x:v>담수2</x:v>
      </x:c>
      <x:c r="U230" s="81" t="str">
        <x:v>—</x:v>
      </x:c>
      <x:c r="V230" s="81" t="str">
        <x:v>—</x:v>
      </x:c>
    </x:row>
    <x:row r="231">
      <x:c r="A231" s="80" t="n">
        <x:v>227</x:v>
      </x:c>
      <x:c r="B231" s="80" t="str">
        <x:v>무장조</x:v>
      </x:c>
      <x:c r="C231" s="80" t="str">
        <x:v>skarmory</x:v>
      </x:c>
      <x:c r="D231" s="80" t="str">
        <x:v>건조지</x:v>
      </x:c>
      <x:c r="E231" s="81" t="str">
        <x:v>—</x:v>
      </x:c>
      <x:c r="F231" s="81" t="str">
        <x:v>—</x:v>
      </x:c>
      <x:c r="G231" s="81" t="str">
        <x:v>건조지1</x:v>
      </x:c>
      <x:c r="H231" s="81" t="str">
        <x:v>산악2</x:v>
      </x:c>
      <x:c r="I231" s="81" t="str">
        <x:v>건조지1</x:v>
      </x:c>
      <x:c r="J231" s="81" t="str">
        <x:v>산악1</x:v>
      </x:c>
      <x:c r="K231" s="81" t="str">
        <x:v>—</x:v>
      </x:c>
      <x:c r="L231" s="81" t="str">
        <x:v>—</x:v>
      </x:c>
      <x:c r="M231" s="81" t="str">
        <x:v>건조지1</x:v>
      </x:c>
      <x:c r="N231" s="81" t="str">
        <x:v>산악1</x:v>
      </x:c>
      <x:c r="O231" s="81" t="str">
        <x:v>건조지1</x:v>
      </x:c>
      <x:c r="P231" s="81" t="str">
        <x:v>산악1</x:v>
      </x:c>
      <x:c r="Q231" s="81" t="str">
        <x:v>건조지1</x:v>
      </x:c>
      <x:c r="R231" s="81" t="str">
        <x:v>산악1</x:v>
      </x:c>
      <x:c r="S231" s="81" t="str">
        <x:v>건조지1</x:v>
      </x:c>
      <x:c r="T231" s="81" t="str">
        <x:v>산악1</x:v>
      </x:c>
      <x:c r="U231" s="81" t="str">
        <x:v>건조지1</x:v>
      </x:c>
      <x:c r="V231" s="81" t="str">
        <x:v>산악1</x:v>
      </x:c>
    </x:row>
    <x:row r="232">
      <x:c r="A232" s="80" t="n">
        <x:v>228</x:v>
      </x:c>
      <x:c r="B232" s="80" t="str">
        <x:v>델빌</x:v>
      </x:c>
      <x:c r="C232" s="80" t="str">
        <x:v>houndour</x:v>
      </x:c>
      <x:c r="D232" s="80" t="str">
        <x:v>화산</x:v>
      </x:c>
      <x:c r="E232" s="81" t="str">
        <x:v>—</x:v>
      </x:c>
      <x:c r="F232" s="81" t="str">
        <x:v>—</x:v>
      </x:c>
      <x:c r="G232" s="81" t="str">
        <x:v>화산1</x:v>
      </x:c>
      <x:c r="H232" s="81" t="str">
        <x:v>건조지1</x:v>
      </x:c>
      <x:c r="I232" s="81" t="str">
        <x:v>—</x:v>
      </x:c>
      <x:c r="J232" s="81" t="str">
        <x:v>—</x:v>
      </x:c>
      <x:c r="K232" s="81" t="str">
        <x:v>화산1</x:v>
      </x:c>
      <x:c r="L232" s="81" t="str">
        <x:v>건조지1</x:v>
      </x:c>
      <x:c r="M232" s="81" t="str">
        <x:v>—</x:v>
      </x:c>
      <x:c r="N232" s="81" t="str">
        <x:v>—</x:v>
      </x:c>
      <x:c r="O232" s="81" t="str">
        <x:v>화산1</x:v>
      </x:c>
      <x:c r="P232" s="81" t="str">
        <x:v>건조지1</x:v>
      </x:c>
      <x:c r="Q232" s="81" t="str">
        <x:v>화산1</x:v>
      </x:c>
      <x:c r="R232" s="81" t="str">
        <x:v>건조지1</x:v>
      </x:c>
      <x:c r="S232" s="81" t="str">
        <x:v>—</x:v>
      </x:c>
      <x:c r="T232" s="81" t="str">
        <x:v>—</x:v>
      </x:c>
      <x:c r="U232" s="81" t="str">
        <x:v>화산1</x:v>
      </x:c>
      <x:c r="V232" s="81" t="str">
        <x:v>건조지1</x:v>
      </x:c>
    </x:row>
    <x:row r="233">
      <x:c r="A233" s="80" t="n">
        <x:v>229</x:v>
      </x:c>
      <x:c r="B233" s="80" t="str">
        <x:v>헬가</x:v>
      </x:c>
      <x:c r="C233" s="80" t="str">
        <x:v>houndoom</x:v>
      </x:c>
      <x:c r="D233" s="80" t="str">
        <x:v>화산</x:v>
      </x:c>
      <x:c r="E233" s="81" t="str">
        <x:v>—</x:v>
      </x:c>
      <x:c r="F233" s="81" t="str">
        <x:v>—</x:v>
      </x:c>
      <x:c r="G233" s="81" t="str">
        <x:v>화산1</x:v>
      </x:c>
      <x:c r="H233" s="81" t="str">
        <x:v>건조지1</x:v>
      </x:c>
      <x:c r="I233" s="81" t="str">
        <x:v>—</x:v>
      </x:c>
      <x:c r="J233" s="81" t="str">
        <x:v>—</x:v>
      </x:c>
      <x:c r="K233" s="81" t="str">
        <x:v>화산1</x:v>
      </x:c>
      <x:c r="L233" s="81" t="str">
        <x:v>건조지1</x:v>
      </x:c>
      <x:c r="M233" s="81" t="str">
        <x:v>—</x:v>
      </x:c>
      <x:c r="N233" s="81" t="str">
        <x:v>—</x:v>
      </x:c>
      <x:c r="O233" s="81" t="str">
        <x:v>화산1</x:v>
      </x:c>
      <x:c r="P233" s="81" t="str">
        <x:v>건조지1</x:v>
      </x:c>
      <x:c r="Q233" s="81" t="str">
        <x:v>화산1</x:v>
      </x:c>
      <x:c r="R233" s="81" t="str">
        <x:v>건조지1</x:v>
      </x:c>
      <x:c r="S233" s="81" t="str">
        <x:v>—</x:v>
      </x:c>
      <x:c r="T233" s="81" t="str">
        <x:v>—</x:v>
      </x:c>
      <x:c r="U233" s="81" t="str">
        <x:v>화산1</x:v>
      </x:c>
      <x:c r="V233" s="81" t="str">
        <x:v>건조지1</x:v>
      </x:c>
    </x:row>
    <x:row r="234">
      <x:c r="A234" s="80" t="n">
        <x:v>230</x:v>
      </x:c>
      <x:c r="B234" s="80" t="str">
        <x:v>킹드라</x:v>
      </x:c>
      <x:c r="C234" s="80" t="str">
        <x:v>kingdra</x:v>
      </x:c>
      <x:c r="D234" s="80" t="str">
        <x:v>해양</x:v>
      </x:c>
      <x:c r="E234" s="81" t="str">
        <x:v>—</x:v>
      </x:c>
      <x:c r="F234" s="81" t="str">
        <x:v>—</x:v>
      </x:c>
      <x:c r="G234" s="81" t="str">
        <x:v>해양1</x:v>
      </x:c>
      <x:c r="H234" s="81" t="str">
        <x:v>담수2</x:v>
      </x:c>
      <x:c r="I234" s="81" t="str">
        <x:v>해양1</x:v>
      </x:c>
      <x:c r="J234" s="81" t="str">
        <x:v>담수1</x:v>
      </x:c>
      <x:c r="K234" s="81" t="str">
        <x:v>—</x:v>
      </x:c>
      <x:c r="L234" s="81" t="str">
        <x:v>—</x:v>
      </x:c>
      <x:c r="M234" s="81" t="str">
        <x:v>—</x:v>
      </x:c>
      <x:c r="N234" s="81" t="str">
        <x:v>—</x:v>
      </x:c>
      <x:c r="O234" s="81" t="str">
        <x:v>해양2</x:v>
      </x:c>
      <x:c r="P234" s="81" t="str">
        <x:v>담수2</x:v>
      </x:c>
      <x:c r="Q234" s="81" t="str">
        <x:v>—</x:v>
      </x:c>
      <x:c r="R234" s="81" t="str">
        <x:v>—</x:v>
      </x:c>
      <x:c r="S234" s="81" t="str">
        <x:v>해양1</x:v>
      </x:c>
      <x:c r="T234" s="81" t="str">
        <x:v>담수2</x:v>
      </x:c>
      <x:c r="U234" s="81" t="str">
        <x:v>해양1</x:v>
      </x:c>
      <x:c r="V234" s="81" t="str">
        <x:v>담수1</x:v>
      </x:c>
    </x:row>
    <x:row r="235">
      <x:c r="A235" s="80" t="n">
        <x:v>231</x:v>
      </x:c>
      <x:c r="B235" s="80" t="str">
        <x:v>코코리</x:v>
      </x:c>
      <x:c r="C235" s="80" t="str">
        <x:v>phanpy</x:v>
      </x:c>
      <x:c r="D235" s="80" t="str">
        <x:v>건조지</x:v>
      </x:c>
      <x:c r="E235" s="81" t="str">
        <x:v>—</x:v>
      </x:c>
      <x:c r="F235" s="81" t="str">
        <x:v>—</x:v>
      </x:c>
      <x:c r="G235" s="81" t="str">
        <x:v>건조지1</x:v>
      </x:c>
      <x:c r="H235" s="81" t="str">
        <x:v>화산1</x:v>
      </x:c>
      <x:c r="I235" s="81" t="str">
        <x:v>건조지1</x:v>
      </x:c>
      <x:c r="J235" s="81" t="str">
        <x:v>화산1</x:v>
      </x:c>
      <x:c r="K235" s="81" t="str">
        <x:v>—</x:v>
      </x:c>
      <x:c r="L235" s="81" t="str">
        <x:v>—</x:v>
      </x:c>
      <x:c r="M235" s="81" t="str">
        <x:v>—</x:v>
      </x:c>
      <x:c r="N235" s="81" t="str">
        <x:v>—</x:v>
      </x:c>
      <x:c r="O235" s="81" t="str">
        <x:v>—</x:v>
      </x:c>
      <x:c r="P235" s="81" t="str">
        <x:v>—</x:v>
      </x:c>
      <x:c r="Q235" s="81" t="str">
        <x:v>—</x:v>
      </x:c>
      <x:c r="R235" s="81" t="str">
        <x:v>—</x:v>
      </x:c>
      <x:c r="S235" s="81" t="str">
        <x:v>—</x:v>
      </x:c>
      <x:c r="T235" s="81" t="str">
        <x:v>—</x:v>
      </x:c>
      <x:c r="U235" s="81" t="str">
        <x:v>건조지1</x:v>
      </x:c>
      <x:c r="V235" s="81" t="str">
        <x:v>화산1</x:v>
      </x:c>
    </x:row>
    <x:row r="236">
      <x:c r="A236" s="80" t="n">
        <x:v>232</x:v>
      </x:c>
      <x:c r="B236" s="80" t="str">
        <x:v>코리갑</x:v>
      </x:c>
      <x:c r="C236" s="80" t="str">
        <x:v>donphan</x:v>
      </x:c>
      <x:c r="D236" s="80" t="str">
        <x:v>건조지</x:v>
      </x:c>
      <x:c r="E236" s="81" t="str">
        <x:v>—</x:v>
      </x:c>
      <x:c r="F236" s="81" t="str">
        <x:v>—</x:v>
      </x:c>
      <x:c r="G236" s="81" t="str">
        <x:v>건조지1</x:v>
      </x:c>
      <x:c r="H236" s="81" t="str">
        <x:v>화산1</x:v>
      </x:c>
      <x:c r="I236" s="81" t="str">
        <x:v>건조지1</x:v>
      </x:c>
      <x:c r="J236" s="81" t="str">
        <x:v>화산1</x:v>
      </x:c>
      <x:c r="K236" s="81" t="str">
        <x:v>—</x:v>
      </x:c>
      <x:c r="L236" s="81" t="str">
        <x:v>—</x:v>
      </x:c>
      <x:c r="M236" s="81" t="str">
        <x:v>—</x:v>
      </x:c>
      <x:c r="N236" s="81" t="str">
        <x:v>—</x:v>
      </x:c>
      <x:c r="O236" s="81" t="str">
        <x:v>—</x:v>
      </x:c>
      <x:c r="P236" s="81" t="str">
        <x:v>—</x:v>
      </x:c>
      <x:c r="Q236" s="81" t="str">
        <x:v>—</x:v>
      </x:c>
      <x:c r="R236" s="81" t="str">
        <x:v>—</x:v>
      </x:c>
      <x:c r="S236" s="81" t="str">
        <x:v>—</x:v>
      </x:c>
      <x:c r="T236" s="81" t="str">
        <x:v>—</x:v>
      </x:c>
      <x:c r="U236" s="81" t="str">
        <x:v>건조지1</x:v>
      </x:c>
      <x:c r="V236" s="81" t="str">
        <x:v>화산1</x:v>
      </x:c>
    </x:row>
    <x:row r="237">
      <x:c r="A237" s="80" t="n">
        <x:v>233</x:v>
      </x:c>
      <x:c r="B237" s="80" t="str">
        <x:v>폴리곤2</x:v>
      </x:c>
      <x:c r="C237" s="80" t="str">
        <x:v>porygon2</x:v>
      </x:c>
      <x:c r="D237" s="80" t="str">
        <x:v>도시</x:v>
      </x:c>
      <x:c r="E237" s="81" t="str">
        <x:v>—</x:v>
      </x:c>
      <x:c r="F237" s="81" t="str">
        <x:v>—</x:v>
      </x:c>
      <x:c r="G237" s="81" t="str">
        <x:v>도시1</x:v>
      </x:c>
      <x:c r="H237" s="81" t="str">
        <x:v>평원3</x:v>
      </x:c>
      <x:c r="I237" s="81" t="str">
        <x:v>—</x:v>
      </x:c>
      <x:c r="J237" s="81" t="str">
        <x:v>—</x:v>
      </x:c>
      <x:c r="K237" s="81" t="str">
        <x:v>도시1</x:v>
      </x:c>
      <x:c r="L237" s="81" t="str">
        <x:v>평원2</x:v>
      </x:c>
      <x:c r="M237" s="81" t="str">
        <x:v>—</x:v>
      </x:c>
      <x:c r="N237" s="81" t="str">
        <x:v>—</x:v>
      </x:c>
      <x:c r="O237" s="81" t="str">
        <x:v>—</x:v>
      </x:c>
      <x:c r="P237" s="81" t="str">
        <x:v>—</x:v>
      </x:c>
      <x:c r="Q237" s="81" t="str">
        <x:v>도시1</x:v>
      </x:c>
      <x:c r="R237" s="81" t="str">
        <x:v>평원2</x:v>
      </x:c>
      <x:c r="S237" s="81" t="str">
        <x:v>도시1</x:v>
      </x:c>
      <x:c r="T237" s="81" t="str">
        <x:v>평원2</x:v>
      </x:c>
      <x:c r="U237" s="81" t="str">
        <x:v>도시1</x:v>
      </x:c>
      <x:c r="V237" s="81" t="str">
        <x:v>평원2</x:v>
      </x:c>
    </x:row>
    <x:row r="238">
      <x:c r="A238" s="80" t="n">
        <x:v>234</x:v>
      </x:c>
      <x:c r="B238" s="80" t="str">
        <x:v>노라키</x:v>
      </x:c>
      <x:c r="C238" s="80" t="str">
        <x:v>stantler</x:v>
      </x:c>
      <x:c r="D238" s="80" t="str">
        <x:v>설원</x:v>
      </x:c>
      <x:c r="E238" s="81" t="str">
        <x:v>—</x:v>
      </x:c>
      <x:c r="F238" s="81" t="str">
        <x:v>—</x:v>
      </x:c>
      <x:c r="G238" s="81" t="str">
        <x:v>설원1</x:v>
      </x:c>
      <x:c r="H238" s="81" t="str">
        <x:v>평원3</x:v>
      </x:c>
      <x:c r="I238" s="81" t="str">
        <x:v>—</x:v>
      </x:c>
      <x:c r="J238" s="81" t="str">
        <x:v>—</x:v>
      </x:c>
      <x:c r="K238" s="81" t="str">
        <x:v>—</x:v>
      </x:c>
      <x:c r="L238" s="81" t="str">
        <x:v>—</x:v>
      </x:c>
      <x:c r="M238" s="81" t="str">
        <x:v>—</x:v>
      </x:c>
      <x:c r="N238" s="81" t="str">
        <x:v>—</x:v>
      </x:c>
      <x:c r="O238" s="81" t="str">
        <x:v>—</x:v>
      </x:c>
      <x:c r="P238" s="81" t="str">
        <x:v>—</x:v>
      </x:c>
      <x:c r="Q238" s="81" t="str">
        <x:v>—</x:v>
      </x:c>
      <x:c r="R238" s="81" t="str">
        <x:v>—</x:v>
      </x:c>
      <x:c r="S238" s="81" t="str">
        <x:v>—</x:v>
      </x:c>
      <x:c r="T238" s="81" t="str">
        <x:v>—</x:v>
      </x:c>
      <x:c r="U238" s="81" t="str">
        <x:v>설원1</x:v>
      </x:c>
      <x:c r="V238" s="81" t="str">
        <x:v>평원2</x:v>
      </x:c>
    </x:row>
    <x:row r="239">
      <x:c r="A239" s="80" t="n">
        <x:v>235</x:v>
      </x:c>
      <x:c r="B239" s="80" t="str">
        <x:v>루브도</x:v>
      </x:c>
      <x:c r="C239" s="80" t="str">
        <x:v>smeargle</x:v>
      </x:c>
      <x:c r="D239" s="80" t="str">
        <x:v>평원</x:v>
      </x:c>
      <x:c r="E239" s="81" t="str">
        <x:v>—</x:v>
      </x:c>
      <x:c r="F239" s="81" t="str">
        <x:v>—</x:v>
      </x:c>
      <x:c r="G239" s="81" t="str">
        <x:v>평원3</x:v>
      </x:c>
      <x:c r="H239" s="81" t="str">
        <x:v>숲3</x:v>
      </x:c>
      <x:c r="I239" s="81" t="str">
        <x:v>—</x:v>
      </x:c>
      <x:c r="J239" s="81" t="str">
        <x:v>—</x:v>
      </x:c>
      <x:c r="K239" s="81" t="str">
        <x:v>—</x:v>
      </x:c>
      <x:c r="L239" s="81" t="str">
        <x:v>—</x:v>
      </x:c>
      <x:c r="M239" s="81" t="str">
        <x:v>—</x:v>
      </x:c>
      <x:c r="N239" s="81" t="str">
        <x:v>—</x:v>
      </x:c>
      <x:c r="O239" s="81" t="str">
        <x:v>평원2</x:v>
      </x:c>
      <x:c r="P239" s="81" t="str">
        <x:v>숲2</x:v>
      </x:c>
      <x:c r="Q239" s="81" t="str">
        <x:v>평원2</x:v>
      </x:c>
      <x:c r="R239" s="81" t="str">
        <x:v>숲2</x:v>
      </x:c>
      <x:c r="S239" s="81" t="str">
        <x:v>—</x:v>
      </x:c>
      <x:c r="T239" s="81" t="str">
        <x:v>—</x:v>
      </x:c>
      <x:c r="U239" s="81" t="str">
        <x:v>평원2</x:v>
      </x:c>
      <x:c r="V239" s="81" t="str">
        <x:v>숲2</x:v>
      </x:c>
    </x:row>
    <x:row r="240">
      <x:c r="A240" s="80" t="n">
        <x:v>236</x:v>
      </x:c>
      <x:c r="B240" s="80" t="str">
        <x:v>배루키</x:v>
      </x:c>
      <x:c r="C240" s="80" t="str">
        <x:v>tyrogue</x:v>
      </x:c>
      <x:c r="D240" s="80" t="str">
        <x:v>산악</x:v>
      </x:c>
      <x:c r="E240" s="81" t="str">
        <x:v>—</x:v>
      </x:c>
      <x:c r="F240" s="81" t="str">
        <x:v>—</x:v>
      </x:c>
      <x:c r="G240" s="81" t="str">
        <x:v>산악2</x:v>
      </x:c>
      <x:c r="H240" s="81" t="str">
        <x:v>평원3</x:v>
      </x:c>
      <x:c r="I240" s="81" t="str">
        <x:v>—</x:v>
      </x:c>
      <x:c r="J240" s="81" t="str">
        <x:v>—</x:v>
      </x:c>
      <x:c r="K240" s="81" t="str">
        <x:v>—</x:v>
      </x:c>
      <x:c r="L240" s="81" t="str">
        <x:v>—</x:v>
      </x:c>
      <x:c r="M240" s="81" t="str">
        <x:v>—</x:v>
      </x:c>
      <x:c r="N240" s="81" t="str">
        <x:v>—</x:v>
      </x:c>
      <x:c r="O240" s="81" t="str">
        <x:v>—</x:v>
      </x:c>
      <x:c r="P240" s="81" t="str">
        <x:v>—</x:v>
      </x:c>
      <x:c r="Q240" s="81" t="str">
        <x:v>—</x:v>
      </x:c>
      <x:c r="R240" s="81" t="str">
        <x:v>—</x:v>
      </x:c>
      <x:c r="S240" s="81" t="str">
        <x:v>산악1</x:v>
      </x:c>
      <x:c r="T240" s="81" t="str">
        <x:v>평원2</x:v>
      </x:c>
      <x:c r="U240" s="81" t="str">
        <x:v>산악1</x:v>
      </x:c>
      <x:c r="V240" s="81" t="str">
        <x:v>평원2</x:v>
      </x:c>
    </x:row>
    <x:row r="241">
      <x:c r="A241" s="80" t="n">
        <x:v>237</x:v>
      </x:c>
      <x:c r="B241" s="80" t="str">
        <x:v>카포에라</x:v>
      </x:c>
      <x:c r="C241" s="80" t="str">
        <x:v>hitmontop</x:v>
      </x:c>
      <x:c r="D241" s="80" t="str">
        <x:v>산악</x:v>
      </x:c>
      <x:c r="E241" s="81" t="str">
        <x:v>—</x:v>
      </x:c>
      <x:c r="F241" s="81" t="str">
        <x:v>—</x:v>
      </x:c>
      <x:c r="G241" s="81" t="str">
        <x:v>산악2</x:v>
      </x:c>
      <x:c r="H241" s="81" t="str">
        <x:v>평원3</x:v>
      </x:c>
      <x:c r="I241" s="81" t="str">
        <x:v>—</x:v>
      </x:c>
      <x:c r="J241" s="81" t="str">
        <x:v>—</x:v>
      </x:c>
      <x:c r="K241" s="81" t="str">
        <x:v>—</x:v>
      </x:c>
      <x:c r="L241" s="81" t="str">
        <x:v>—</x:v>
      </x:c>
      <x:c r="M241" s="81" t="str">
        <x:v>—</x:v>
      </x:c>
      <x:c r="N241" s="81" t="str">
        <x:v>—</x:v>
      </x:c>
      <x:c r="O241" s="81" t="str">
        <x:v>—</x:v>
      </x:c>
      <x:c r="P241" s="81" t="str">
        <x:v>—</x:v>
      </x:c>
      <x:c r="Q241" s="81" t="str">
        <x:v>—</x:v>
      </x:c>
      <x:c r="R241" s="81" t="str">
        <x:v>—</x:v>
      </x:c>
      <x:c r="S241" s="81" t="str">
        <x:v>산악1</x:v>
      </x:c>
      <x:c r="T241" s="81" t="str">
        <x:v>평원2</x:v>
      </x:c>
      <x:c r="U241" s="81" t="str">
        <x:v>산악1</x:v>
      </x:c>
      <x:c r="V241" s="81" t="str">
        <x:v>평원2</x:v>
      </x:c>
    </x:row>
    <x:row r="242">
      <x:c r="A242" s="80" t="n">
        <x:v>238</x:v>
      </x:c>
      <x:c r="B242" s="80" t="str">
        <x:v>뽀뽀라</x:v>
      </x:c>
      <x:c r="C242" s="80" t="str">
        <x:v>smoochum</x:v>
      </x:c>
      <x:c r="D242" s="80" t="str">
        <x:v>설원</x:v>
      </x:c>
      <x:c r="E242" s="81" t="str">
        <x:v>—</x:v>
      </x:c>
      <x:c r="F242" s="81" t="str">
        <x:v>—</x:v>
      </x:c>
      <x:c r="G242" s="81" t="str">
        <x:v>설원1</x:v>
      </x:c>
      <x:c r="H242" s="81" t="str">
        <x:v>평원3</x:v>
      </x:c>
      <x:c r="I242" s="81" t="str">
        <x:v>—</x:v>
      </x:c>
      <x:c r="J242" s="81" t="str">
        <x:v>—</x:v>
      </x:c>
      <x:c r="K242" s="81" t="str">
        <x:v>—</x:v>
      </x:c>
      <x:c r="L242" s="81" t="str">
        <x:v>—</x:v>
      </x:c>
      <x:c r="M242" s="81" t="str">
        <x:v>—</x:v>
      </x:c>
      <x:c r="N242" s="81" t="str">
        <x:v>—</x:v>
      </x:c>
      <x:c r="O242" s="81" t="str">
        <x:v>설원1</x:v>
      </x:c>
      <x:c r="P242" s="81" t="str">
        <x:v>평원2</x:v>
      </x:c>
      <x:c r="Q242" s="81" t="str">
        <x:v>설원1</x:v>
      </x:c>
      <x:c r="R242" s="81" t="str">
        <x:v>평원3</x:v>
      </x:c>
      <x:c r="S242" s="81" t="str">
        <x:v>설원1</x:v>
      </x:c>
      <x:c r="T242" s="81" t="str">
        <x:v>평원2</x:v>
      </x:c>
      <x:c r="U242" s="81" t="str">
        <x:v>—</x:v>
      </x:c>
      <x:c r="V242" s="81" t="str">
        <x:v>—</x:v>
      </x:c>
    </x:row>
    <x:row r="243">
      <x:c r="A243" s="80" t="n">
        <x:v>239</x:v>
      </x:c>
      <x:c r="B243" s="80" t="str">
        <x:v>에레키드</x:v>
      </x:c>
      <x:c r="C243" s="80" t="str">
        <x:v>elekid</x:v>
      </x:c>
      <x:c r="D243" s="80" t="str">
        <x:v>산악</x:v>
      </x:c>
      <x:c r="E243" s="81" t="str">
        <x:v>—</x:v>
      </x:c>
      <x:c r="F243" s="81" t="str">
        <x:v>—</x:v>
      </x:c>
      <x:c r="G243" s="81" t="str">
        <x:v>산악2</x:v>
      </x:c>
      <x:c r="H243" s="81" t="str">
        <x:v>평원3</x:v>
      </x:c>
      <x:c r="I243" s="81" t="str">
        <x:v>—</x:v>
      </x:c>
      <x:c r="J243" s="81" t="str">
        <x:v>—</x:v>
      </x:c>
      <x:c r="K243" s="81" t="str">
        <x:v>산악1</x:v>
      </x:c>
      <x:c r="L243" s="81" t="str">
        <x:v>평원2</x:v>
      </x:c>
      <x:c r="M243" s="81" t="str">
        <x:v>산악1</x:v>
      </x:c>
      <x:c r="N243" s="81" t="str">
        <x:v>평원1</x:v>
      </x:c>
      <x:c r="O243" s="81" t="str">
        <x:v>—</x:v>
      </x:c>
      <x:c r="P243" s="81" t="str">
        <x:v>—</x:v>
      </x:c>
      <x:c r="Q243" s="81" t="str">
        <x:v>산악1</x:v>
      </x:c>
      <x:c r="R243" s="81" t="str">
        <x:v>평원3</x:v>
      </x:c>
      <x:c r="S243" s="81" t="str">
        <x:v>산악1</x:v>
      </x:c>
      <x:c r="T243" s="81" t="str">
        <x:v>평원2</x:v>
      </x:c>
      <x:c r="U243" s="81" t="str">
        <x:v>산악1</x:v>
      </x:c>
      <x:c r="V243" s="81" t="str">
        <x:v>평원2</x:v>
      </x:c>
    </x:row>
    <x:row r="244">
      <x:c r="A244" s="80" t="n">
        <x:v>240</x:v>
      </x:c>
      <x:c r="B244" s="80" t="str">
        <x:v>마그비</x:v>
      </x:c>
      <x:c r="C244" s="80" t="str">
        <x:v>magby</x:v>
      </x:c>
      <x:c r="D244" s="80" t="str">
        <x:v>화산</x:v>
      </x:c>
      <x:c r="E244" s="81" t="str">
        <x:v>—</x:v>
      </x:c>
      <x:c r="F244" s="81" t="str">
        <x:v>—</x:v>
      </x:c>
      <x:c r="G244" s="81" t="str">
        <x:v>화산1</x:v>
      </x:c>
      <x:c r="H244" s="81" t="str">
        <x:v>건조지1</x:v>
      </x:c>
      <x:c r="I244" s="81" t="str">
        <x:v>—</x:v>
      </x:c>
      <x:c r="J244" s="81" t="str">
        <x:v>—</x:v>
      </x:c>
      <x:c r="K244" s="81" t="str">
        <x:v>화산1</x:v>
      </x:c>
      <x:c r="L244" s="81" t="str">
        <x:v>건조지1</x:v>
      </x:c>
      <x:c r="M244" s="81" t="str">
        <x:v>화산1</x:v>
      </x:c>
      <x:c r="N244" s="81" t="str">
        <x:v>건조지1</x:v>
      </x:c>
      <x:c r="O244" s="81" t="str">
        <x:v>—</x:v>
      </x:c>
      <x:c r="P244" s="81" t="str">
        <x:v>—</x:v>
      </x:c>
      <x:c r="Q244" s="81" t="str">
        <x:v>화산1</x:v>
      </x:c>
      <x:c r="R244" s="81" t="str">
        <x:v>건조지1</x:v>
      </x:c>
      <x:c r="S244" s="81" t="str">
        <x:v>화산1</x:v>
      </x:c>
      <x:c r="T244" s="81" t="str">
        <x:v>건조지1</x:v>
      </x:c>
      <x:c r="U244" s="81" t="str">
        <x:v>화산1</x:v>
      </x:c>
      <x:c r="V244" s="81" t="str">
        <x:v>건조지1</x:v>
      </x:c>
    </x:row>
    <x:row r="245">
      <x:c r="A245" s="80" t="n">
        <x:v>241</x:v>
      </x:c>
      <x:c r="B245" s="80" t="str">
        <x:v>밀탱크</x:v>
      </x:c>
      <x:c r="C245" s="80" t="str">
        <x:v>miltank</x:v>
      </x:c>
      <x:c r="D245" s="80" t="str">
        <x:v>평원</x:v>
      </x:c>
      <x:c r="E245" s="81" t="str">
        <x:v>—</x:v>
      </x:c>
      <x:c r="F245" s="81" t="str">
        <x:v>—</x:v>
      </x:c>
      <x:c r="G245" s="81" t="str">
        <x:v>평원3</x:v>
      </x:c>
      <x:c r="H245" s="81" t="str">
        <x:v>숲3</x:v>
      </x:c>
      <x:c r="I245" s="81" t="str">
        <x:v>—</x:v>
      </x:c>
      <x:c r="J245" s="81" t="str">
        <x:v>—</x:v>
      </x:c>
      <x:c r="K245" s="81" t="str">
        <x:v>—</x:v>
      </x:c>
      <x:c r="L245" s="81" t="str">
        <x:v>—</x:v>
      </x:c>
      <x:c r="M245" s="81" t="str">
        <x:v>—</x:v>
      </x:c>
      <x:c r="N245" s="81" t="str">
        <x:v>—</x:v>
      </x:c>
      <x:c r="O245" s="81" t="str">
        <x:v>평원2</x:v>
      </x:c>
      <x:c r="P245" s="81" t="str">
        <x:v>숲2</x:v>
      </x:c>
      <x:c r="Q245" s="81" t="str">
        <x:v>평원3</x:v>
      </x:c>
      <x:c r="R245" s="81" t="str">
        <x:v>숲2</x:v>
      </x:c>
      <x:c r="S245" s="81" t="str">
        <x:v>평원2</x:v>
      </x:c>
      <x:c r="T245" s="81" t="str">
        <x:v>숲2</x:v>
      </x:c>
      <x:c r="U245" s="81" t="str">
        <x:v>—</x:v>
      </x:c>
      <x:c r="V245" s="81" t="str">
        <x:v>—</x:v>
      </x:c>
    </x:row>
    <x:row r="246">
      <x:c r="A246" s="80" t="n">
        <x:v>242</x:v>
      </x:c>
      <x:c r="B246" s="80" t="str">
        <x:v>해피너스</x:v>
      </x:c>
      <x:c r="C246" s="80" t="str">
        <x:v>blissey</x:v>
      </x:c>
      <x:c r="D246" s="80" t="str">
        <x:v>평원</x:v>
      </x:c>
      <x:c r="E246" s="81" t="str">
        <x:v>—</x:v>
      </x:c>
      <x:c r="F246" s="81" t="str">
        <x:v>—</x:v>
      </x:c>
      <x:c r="G246" s="81" t="str">
        <x:v>평원3</x:v>
      </x:c>
      <x:c r="H246" s="81" t="str">
        <x:v>숲3</x:v>
      </x:c>
      <x:c r="I246" s="81" t="str">
        <x:v>—</x:v>
      </x:c>
      <x:c r="J246" s="81" t="str">
        <x:v>—</x:v>
      </x:c>
      <x:c r="K246" s="81" t="str">
        <x:v>평원2</x:v>
      </x:c>
      <x:c r="L246" s="81" t="str">
        <x:v>숲2</x:v>
      </x:c>
      <x:c r="M246" s="81" t="str">
        <x:v>—</x:v>
      </x:c>
      <x:c r="N246" s="81" t="str">
        <x:v>—</x:v>
      </x:c>
      <x:c r="O246" s="81" t="str">
        <x:v>—</x:v>
      </x:c>
      <x:c r="P246" s="81" t="str">
        <x:v>—</x:v>
      </x:c>
      <x:c r="Q246" s="81" t="str">
        <x:v>평원3</x:v>
      </x:c>
      <x:c r="R246" s="81" t="str">
        <x:v>숲2</x:v>
      </x:c>
      <x:c r="S246" s="81" t="str">
        <x:v>평원2</x:v>
      </x:c>
      <x:c r="T246" s="81" t="str">
        <x:v>숲2</x:v>
      </x:c>
      <x:c r="U246" s="81" t="str">
        <x:v>평원2</x:v>
      </x:c>
      <x:c r="V246" s="81" t="str">
        <x:v>숲2</x:v>
      </x:c>
    </x:row>
    <x:row r="247">
      <x:c r="A247" s="80" t="n">
        <x:v>243</x:v>
      </x:c>
      <x:c r="B247" s="80" t="str">
        <x:v>라이코</x:v>
      </x:c>
      <x:c r="C247" s="80" t="str">
        <x:v>raikou</x:v>
      </x:c>
      <x:c r="D247" s="80" t="str">
        <x:v>평원</x:v>
      </x:c>
      <x:c r="E247" s="81" t="str">
        <x:v>—</x:v>
      </x:c>
      <x:c r="F247" s="81" t="str">
        <x:v>—</x:v>
      </x:c>
      <x:c r="G247" s="81" t="str">
        <x:v>—</x:v>
      </x:c>
      <x:c r="H247" s="81" t="str">
        <x:v>—</x:v>
      </x:c>
      <x:c r="I247" s="81" t="str">
        <x:v>—</x:v>
      </x:c>
      <x:c r="J247" s="81" t="str">
        <x:v>—</x:v>
      </x:c>
      <x:c r="K247" s="81" t="str">
        <x:v>—</x:v>
      </x:c>
      <x:c r="L247" s="81" t="str">
        <x:v>—</x:v>
      </x:c>
      <x:c r="M247" s="81" t="str">
        <x:v>—</x:v>
      </x:c>
      <x:c r="N247" s="81" t="str">
        <x:v>—</x:v>
      </x:c>
      <x:c r="O247" s="81" t="str">
        <x:v>—</x:v>
      </x:c>
      <x:c r="P247" s="81" t="str">
        <x:v>—</x:v>
      </x:c>
      <x:c r="Q247" s="81" t="str">
        <x:v>—</x:v>
      </x:c>
      <x:c r="R247" s="81" t="str">
        <x:v>—</x:v>
      </x:c>
      <x:c r="S247" s="81" t="str">
        <x:v>—</x:v>
      </x:c>
      <x:c r="T247" s="81" t="str">
        <x:v>—</x:v>
      </x:c>
      <x:c r="U247" s="81" t="str">
        <x:v>—</x:v>
      </x:c>
      <x:c r="V247" s="81" t="str">
        <x:v>—</x:v>
      </x:c>
    </x:row>
    <x:row r="248">
      <x:c r="A248" s="80" t="n">
        <x:v>244</x:v>
      </x:c>
      <x:c r="B248" s="80" t="str">
        <x:v>앤테이</x:v>
      </x:c>
      <x:c r="C248" s="80" t="str">
        <x:v>entei</x:v>
      </x:c>
      <x:c r="D248" s="80" t="str">
        <x:v>평원</x:v>
      </x:c>
      <x:c r="E248" s="81" t="str">
        <x:v>—</x:v>
      </x:c>
      <x:c r="F248" s="81" t="str">
        <x:v>—</x:v>
      </x:c>
      <x:c r="G248" s="81" t="str">
        <x:v>—</x:v>
      </x:c>
      <x:c r="H248" s="81" t="str">
        <x:v>—</x:v>
      </x:c>
      <x:c r="I248" s="81" t="str">
        <x:v>—</x:v>
      </x:c>
      <x:c r="J248" s="81" t="str">
        <x:v>—</x:v>
      </x:c>
      <x:c r="K248" s="81" t="str">
        <x:v>—</x:v>
      </x:c>
      <x:c r="L248" s="81" t="str">
        <x:v>—</x:v>
      </x:c>
      <x:c r="M248" s="81" t="str">
        <x:v>—</x:v>
      </x:c>
      <x:c r="N248" s="81" t="str">
        <x:v>—</x:v>
      </x:c>
      <x:c r="O248" s="81" t="str">
        <x:v>—</x:v>
      </x:c>
      <x:c r="P248" s="81" t="str">
        <x:v>—</x:v>
      </x:c>
      <x:c r="Q248" s="81" t="str">
        <x:v>—</x:v>
      </x:c>
      <x:c r="R248" s="81" t="str">
        <x:v>—</x:v>
      </x:c>
      <x:c r="S248" s="81" t="str">
        <x:v>—</x:v>
      </x:c>
      <x:c r="T248" s="81" t="str">
        <x:v>—</x:v>
      </x:c>
      <x:c r="U248" s="81" t="str">
        <x:v>—</x:v>
      </x:c>
      <x:c r="V248" s="81" t="str">
        <x:v>—</x:v>
      </x:c>
    </x:row>
    <x:row r="249">
      <x:c r="A249" s="80" t="n">
        <x:v>245</x:v>
      </x:c>
      <x:c r="B249" s="80" t="str">
        <x:v>스이쿤</x:v>
      </x:c>
      <x:c r="C249" s="80" t="str">
        <x:v>suicune</x:v>
      </x:c>
      <x:c r="D249" s="80" t="str">
        <x:v>담수</x:v>
      </x:c>
      <x:c r="E249" s="81" t="str">
        <x:v>—</x:v>
      </x:c>
      <x:c r="F249" s="81" t="str">
        <x:v>—</x:v>
      </x:c>
      <x:c r="G249" s="81" t="str">
        <x:v>—</x:v>
      </x:c>
      <x:c r="H249" s="81" t="str">
        <x:v>—</x:v>
      </x:c>
      <x:c r="I249" s="81" t="str">
        <x:v>—</x:v>
      </x:c>
      <x:c r="J249" s="81" t="str">
        <x:v>—</x:v>
      </x:c>
      <x:c r="K249" s="81" t="str">
        <x:v>—</x:v>
      </x:c>
      <x:c r="L249" s="81" t="str">
        <x:v>—</x:v>
      </x:c>
      <x:c r="M249" s="81" t="str">
        <x:v>—</x:v>
      </x:c>
      <x:c r="N249" s="81" t="str">
        <x:v>—</x:v>
      </x:c>
      <x:c r="O249" s="81" t="str">
        <x:v>—</x:v>
      </x:c>
      <x:c r="P249" s="81" t="str">
        <x:v>—</x:v>
      </x:c>
      <x:c r="Q249" s="81" t="str">
        <x:v>—</x:v>
      </x:c>
      <x:c r="R249" s="81" t="str">
        <x:v>—</x:v>
      </x:c>
      <x:c r="S249" s="81" t="str">
        <x:v>—</x:v>
      </x:c>
      <x:c r="T249" s="81" t="str">
        <x:v>—</x:v>
      </x:c>
      <x:c r="U249" s="81" t="str">
        <x:v>—</x:v>
      </x:c>
      <x:c r="V249" s="81" t="str">
        <x:v>—</x:v>
      </x:c>
    </x:row>
    <x:row r="250">
      <x:c r="A250" s="80" t="n">
        <x:v>246</x:v>
      </x:c>
      <x:c r="B250" s="80" t="str">
        <x:v>애버라스</x:v>
      </x:c>
      <x:c r="C250" s="80" t="str">
        <x:v>larvitar</x:v>
      </x:c>
      <x:c r="D250" s="80" t="str">
        <x:v>산악</x:v>
      </x:c>
      <x:c r="E250" s="81" t="str">
        <x:v>—</x:v>
      </x:c>
      <x:c r="F250" s="81" t="str">
        <x:v>—</x:v>
      </x:c>
      <x:c r="G250" s="81" t="str">
        <x:v>산악2</x:v>
      </x:c>
      <x:c r="H250" s="81" t="str">
        <x:v>평원3</x:v>
      </x:c>
      <x:c r="I250" s="81" t="str">
        <x:v>—</x:v>
      </x:c>
      <x:c r="J250" s="81" t="str">
        <x:v>—</x:v>
      </x:c>
      <x:c r="K250" s="81" t="str">
        <x:v>—</x:v>
      </x:c>
      <x:c r="L250" s="81" t="str">
        <x:v>—</x:v>
      </x:c>
      <x:c r="M250" s="81" t="str">
        <x:v>산악1</x:v>
      </x:c>
      <x:c r="N250" s="81" t="str">
        <x:v>평원1</x:v>
      </x:c>
      <x:c r="O250" s="81" t="str">
        <x:v>산악1</x:v>
      </x:c>
      <x:c r="P250" s="81" t="str">
        <x:v>평원2</x:v>
      </x:c>
      <x:c r="Q250" s="81" t="str">
        <x:v>산악1</x:v>
      </x:c>
      <x:c r="R250" s="81" t="str">
        <x:v>평원3</x:v>
      </x:c>
      <x:c r="S250" s="81" t="str">
        <x:v>산악2</x:v>
      </x:c>
      <x:c r="T250" s="81" t="str">
        <x:v>평원2</x:v>
      </x:c>
      <x:c r="U250" s="81" t="str">
        <x:v>산악2</x:v>
      </x:c>
      <x:c r="V250" s="81" t="str">
        <x:v>평원2</x:v>
      </x:c>
    </x:row>
    <x:row r="251">
      <x:c r="A251" s="80" t="n">
        <x:v>247</x:v>
      </x:c>
      <x:c r="B251" s="80" t="str">
        <x:v>데기라스</x:v>
      </x:c>
      <x:c r="C251" s="80" t="str">
        <x:v>pupitar</x:v>
      </x:c>
      <x:c r="D251" s="80" t="str">
        <x:v>산악</x:v>
      </x:c>
      <x:c r="E251" s="81" t="str">
        <x:v>—</x:v>
      </x:c>
      <x:c r="F251" s="81" t="str">
        <x:v>—</x:v>
      </x:c>
      <x:c r="G251" s="81" t="str">
        <x:v>산악2</x:v>
      </x:c>
      <x:c r="H251" s="81" t="str">
        <x:v>평원3</x:v>
      </x:c>
      <x:c r="I251" s="81" t="str">
        <x:v>—</x:v>
      </x:c>
      <x:c r="J251" s="81" t="str">
        <x:v>—</x:v>
      </x:c>
      <x:c r="K251" s="81" t="str">
        <x:v>—</x:v>
      </x:c>
      <x:c r="L251" s="81" t="str">
        <x:v>—</x:v>
      </x:c>
      <x:c r="M251" s="81" t="str">
        <x:v>산악1</x:v>
      </x:c>
      <x:c r="N251" s="81" t="str">
        <x:v>평원1</x:v>
      </x:c>
      <x:c r="O251" s="81" t="str">
        <x:v>산악1</x:v>
      </x:c>
      <x:c r="P251" s="81" t="str">
        <x:v>평원2</x:v>
      </x:c>
      <x:c r="Q251" s="81" t="str">
        <x:v>산악2</x:v>
      </x:c>
      <x:c r="R251" s="81" t="str">
        <x:v>평원3</x:v>
      </x:c>
      <x:c r="S251" s="81" t="str">
        <x:v>산악2</x:v>
      </x:c>
      <x:c r="T251" s="81" t="str">
        <x:v>평원2</x:v>
      </x:c>
      <x:c r="U251" s="81" t="str">
        <x:v>산악2</x:v>
      </x:c>
      <x:c r="V251" s="81" t="str">
        <x:v>평원2</x:v>
      </x:c>
    </x:row>
    <x:row r="252">
      <x:c r="A252" s="80" t="n">
        <x:v>248</x:v>
      </x:c>
      <x:c r="B252" s="80" t="str">
        <x:v>마기라스</x:v>
      </x:c>
      <x:c r="C252" s="80" t="str">
        <x:v>tyranitar</x:v>
      </x:c>
      <x:c r="D252" s="80" t="str">
        <x:v>산악</x:v>
      </x:c>
      <x:c r="E252" s="81" t="str">
        <x:v>—</x:v>
      </x:c>
      <x:c r="F252" s="81" t="str">
        <x:v>—</x:v>
      </x:c>
      <x:c r="G252" s="81" t="str">
        <x:v>산악2</x:v>
      </x:c>
      <x:c r="H252" s="81" t="str">
        <x:v>평원3</x:v>
      </x:c>
      <x:c r="I252" s="81" t="str">
        <x:v>—</x:v>
      </x:c>
      <x:c r="J252" s="81" t="str">
        <x:v>—</x:v>
      </x:c>
      <x:c r="K252" s="81" t="str">
        <x:v>—</x:v>
      </x:c>
      <x:c r="L252" s="81" t="str">
        <x:v>—</x:v>
      </x:c>
      <x:c r="M252" s="81" t="str">
        <x:v>산악1</x:v>
      </x:c>
      <x:c r="N252" s="81" t="str">
        <x:v>평원1</x:v>
      </x:c>
      <x:c r="O252" s="81" t="str">
        <x:v>산악1</x:v>
      </x:c>
      <x:c r="P252" s="81" t="str">
        <x:v>평원3</x:v>
      </x:c>
      <x:c r="Q252" s="81" t="str">
        <x:v>산악2</x:v>
      </x:c>
      <x:c r="R252" s="81" t="str">
        <x:v>평원3</x:v>
      </x:c>
      <x:c r="S252" s="81" t="str">
        <x:v>산악2</x:v>
      </x:c>
      <x:c r="T252" s="81" t="str">
        <x:v>평원2</x:v>
      </x:c>
      <x:c r="U252" s="81" t="str">
        <x:v>산악2</x:v>
      </x:c>
      <x:c r="V252" s="81" t="str">
        <x:v>평원2</x:v>
      </x:c>
    </x:row>
    <x:row r="253">
      <x:c r="A253" s="80" t="n">
        <x:v>249</x:v>
      </x:c>
      <x:c r="B253" s="80" t="str">
        <x:v>루기아</x:v>
      </x:c>
      <x:c r="C253" s="80" t="str">
        <x:v>lugia</x:v>
      </x:c>
      <x:c r="D253" s="80" t="str">
        <x:v>특수</x:v>
      </x:c>
      <x:c r="E253" s="81" t="str">
        <x:v>—</x:v>
      </x:c>
      <x:c r="F253" s="81" t="str">
        <x:v>—</x:v>
      </x:c>
      <x:c r="G253" s="81" t="str">
        <x:v>—</x:v>
      </x:c>
      <x:c r="H253" s="81" t="str">
        <x:v>—</x:v>
      </x:c>
      <x:c r="I253" s="81" t="str">
        <x:v>—</x:v>
      </x:c>
      <x:c r="J253" s="81" t="str">
        <x:v>—</x:v>
      </x:c>
      <x:c r="K253" s="81" t="str">
        <x:v>—</x:v>
      </x:c>
      <x:c r="L253" s="81" t="str">
        <x:v>—</x:v>
      </x:c>
      <x:c r="M253" s="81" t="str">
        <x:v>—</x:v>
      </x:c>
      <x:c r="N253" s="81" t="str">
        <x:v>—</x:v>
      </x:c>
      <x:c r="O253" s="81" t="str">
        <x:v>—</x:v>
      </x:c>
      <x:c r="P253" s="81" t="str">
        <x:v>—</x:v>
      </x:c>
      <x:c r="Q253" s="81" t="str">
        <x:v>—</x:v>
      </x:c>
      <x:c r="R253" s="81" t="str">
        <x:v>—</x:v>
      </x:c>
      <x:c r="S253" s="81" t="str">
        <x:v>—</x:v>
      </x:c>
      <x:c r="T253" s="81" t="str">
        <x:v>—</x:v>
      </x:c>
      <x:c r="U253" s="81" t="str">
        <x:v>—</x:v>
      </x:c>
      <x:c r="V253" s="81" t="str">
        <x:v>—</x:v>
      </x:c>
    </x:row>
    <x:row r="254">
      <x:c r="A254" s="80" t="n">
        <x:v>250</x:v>
      </x:c>
      <x:c r="B254" s="80" t="str">
        <x:v>칠색조</x:v>
      </x:c>
      <x:c r="C254" s="80" t="str">
        <x:v>hooh</x:v>
      </x:c>
      <x:c r="D254" s="80" t="str">
        <x:v>평원</x:v>
      </x:c>
      <x:c r="E254" s="81" t="str">
        <x:v>—</x:v>
      </x:c>
      <x:c r="F254" s="81" t="str">
        <x:v>—</x:v>
      </x:c>
      <x:c r="G254" s="81" t="str">
        <x:v>—</x:v>
      </x:c>
      <x:c r="H254" s="81" t="str">
        <x:v>—</x:v>
      </x:c>
      <x:c r="I254" s="81" t="str">
        <x:v>—</x:v>
      </x:c>
      <x:c r="J254" s="81" t="str">
        <x:v>—</x:v>
      </x:c>
      <x:c r="K254" s="81" t="str">
        <x:v>—</x:v>
      </x:c>
      <x:c r="L254" s="81" t="str">
        <x:v>—</x:v>
      </x:c>
      <x:c r="M254" s="81" t="str">
        <x:v>—</x:v>
      </x:c>
      <x:c r="N254" s="81" t="str">
        <x:v>—</x:v>
      </x:c>
      <x:c r="O254" s="81" t="str">
        <x:v>—</x:v>
      </x:c>
      <x:c r="P254" s="81" t="str">
        <x:v>—</x:v>
      </x:c>
      <x:c r="Q254" s="81" t="str">
        <x:v>—</x:v>
      </x:c>
      <x:c r="R254" s="81" t="str">
        <x:v>—</x:v>
      </x:c>
      <x:c r="S254" s="81" t="str">
        <x:v>—</x:v>
      </x:c>
      <x:c r="T254" s="81" t="str">
        <x:v>—</x:v>
      </x:c>
      <x:c r="U254" s="81" t="str">
        <x:v>—</x:v>
      </x:c>
      <x:c r="V254" s="81" t="str">
        <x:v>—</x:v>
      </x:c>
    </x:row>
    <x:row r="255">
      <x:c r="A255" s="80" t="n">
        <x:v>251</x:v>
      </x:c>
      <x:c r="B255" s="80" t="str">
        <x:v>세레비</x:v>
      </x:c>
      <x:c r="C255" s="80" t="str">
        <x:v>celebi</x:v>
      </x:c>
      <x:c r="D255" s="80" t="str">
        <x:v>숲</x:v>
      </x:c>
      <x:c r="E255" s="81" t="str">
        <x:v>—</x:v>
      </x:c>
      <x:c r="F255" s="81" t="str">
        <x:v>—</x:v>
      </x:c>
      <x:c r="G255" s="81" t="str">
        <x:v>—</x:v>
      </x:c>
      <x:c r="H255" s="81" t="str">
        <x:v>—</x:v>
      </x:c>
      <x:c r="I255" s="81" t="str">
        <x:v>—</x:v>
      </x:c>
      <x:c r="J255" s="81" t="str">
        <x:v>—</x:v>
      </x:c>
      <x:c r="K255" s="81" t="str">
        <x:v>—</x:v>
      </x:c>
      <x:c r="L255" s="81" t="str">
        <x:v>—</x:v>
      </x:c>
      <x:c r="M255" s="81" t="str">
        <x:v>—</x:v>
      </x:c>
      <x:c r="N255" s="81" t="str">
        <x:v>—</x:v>
      </x:c>
      <x:c r="O255" s="81" t="str">
        <x:v>—</x:v>
      </x:c>
      <x:c r="P255" s="81" t="str">
        <x:v>—</x:v>
      </x:c>
      <x:c r="Q255" s="81" t="str">
        <x:v>—</x:v>
      </x:c>
      <x:c r="R255" s="81" t="str">
        <x:v>—</x:v>
      </x:c>
      <x:c r="S255" s="81" t="str">
        <x:v>—</x:v>
      </x:c>
      <x:c r="T255" s="81" t="str">
        <x:v>—</x:v>
      </x:c>
      <x:c r="U255" s="81" t="str">
        <x:v>—</x:v>
      </x:c>
      <x:c r="V255" s="81" t="str">
        <x:v>—</x:v>
      </x:c>
    </x:row>
    <x:row r="256">
      <x:c r="A256" s="80" t="n">
        <x:v>252</x:v>
      </x:c>
      <x:c r="B256" s="80" t="str">
        <x:v>나무지기</x:v>
      </x:c>
      <x:c r="C256" s="80" t="str">
        <x:v>treecko</x:v>
      </x:c>
      <x:c r="D256" s="80" t="str">
        <x:v>숲</x:v>
      </x:c>
      <x:c r="E256" s="81" t="str">
        <x:v>—</x:v>
      </x:c>
      <x:c r="F256" s="81" t="str">
        <x:v>—</x:v>
      </x:c>
      <x:c r="G256" s="81" t="str">
        <x:v>—</x:v>
      </x:c>
      <x:c r="H256" s="81" t="str">
        <x:v>—</x:v>
      </x:c>
      <x:c r="I256" s="81" t="str">
        <x:v>숲1</x:v>
      </x:c>
      <x:c r="J256" s="81" t="str">
        <x:v>평원1</x:v>
      </x:c>
      <x:c r="K256" s="81" t="str">
        <x:v>—</x:v>
      </x:c>
      <x:c r="L256" s="81" t="str">
        <x:v>—</x:v>
      </x:c>
      <x:c r="M256" s="81" t="str">
        <x:v>—</x:v>
      </x:c>
      <x:c r="N256" s="81" t="str">
        <x:v>—</x:v>
      </x:c>
      <x:c r="O256" s="81" t="str">
        <x:v>—</x:v>
      </x:c>
      <x:c r="P256" s="81" t="str">
        <x:v>—</x:v>
      </x:c>
      <x:c r="Q256" s="81" t="str">
        <x:v>—</x:v>
      </x:c>
      <x:c r="R256" s="81" t="str">
        <x:v>—</x:v>
      </x:c>
      <x:c r="S256" s="81" t="str">
        <x:v>—</x:v>
      </x:c>
      <x:c r="T256" s="81" t="str">
        <x:v>—</x:v>
      </x:c>
      <x:c r="U256" s="81" t="str">
        <x:v>숲2</x:v>
      </x:c>
      <x:c r="V256" s="81" t="str">
        <x:v>평원2</x:v>
      </x:c>
    </x:row>
    <x:row r="257">
      <x:c r="A257" s="80" t="n">
        <x:v>253</x:v>
      </x:c>
      <x:c r="B257" s="80" t="str">
        <x:v>나무돌이</x:v>
      </x:c>
      <x:c r="C257" s="80" t="str">
        <x:v>grovyle</x:v>
      </x:c>
      <x:c r="D257" s="80" t="str">
        <x:v>숲</x:v>
      </x:c>
      <x:c r="E257" s="81" t="str">
        <x:v>—</x:v>
      </x:c>
      <x:c r="F257" s="81" t="str">
        <x:v>—</x:v>
      </x:c>
      <x:c r="G257" s="81" t="str">
        <x:v>—</x:v>
      </x:c>
      <x:c r="H257" s="81" t="str">
        <x:v>—</x:v>
      </x:c>
      <x:c r="I257" s="81" t="str">
        <x:v>숲1</x:v>
      </x:c>
      <x:c r="J257" s="81" t="str">
        <x:v>평원1</x:v>
      </x:c>
      <x:c r="K257" s="81" t="str">
        <x:v>—</x:v>
      </x:c>
      <x:c r="L257" s="81" t="str">
        <x:v>—</x:v>
      </x:c>
      <x:c r="M257" s="81" t="str">
        <x:v>—</x:v>
      </x:c>
      <x:c r="N257" s="81" t="str">
        <x:v>—</x:v>
      </x:c>
      <x:c r="O257" s="81" t="str">
        <x:v>—</x:v>
      </x:c>
      <x:c r="P257" s="81" t="str">
        <x:v>—</x:v>
      </x:c>
      <x:c r="Q257" s="81" t="str">
        <x:v>—</x:v>
      </x:c>
      <x:c r="R257" s="81" t="str">
        <x:v>—</x:v>
      </x:c>
      <x:c r="S257" s="81" t="str">
        <x:v>—</x:v>
      </x:c>
      <x:c r="T257" s="81" t="str">
        <x:v>—</x:v>
      </x:c>
      <x:c r="U257" s="81" t="str">
        <x:v>숲2</x:v>
      </x:c>
      <x:c r="V257" s="81" t="str">
        <x:v>평원2</x:v>
      </x:c>
    </x:row>
    <x:row r="258">
      <x:c r="A258" s="80" t="n">
        <x:v>254</x:v>
      </x:c>
      <x:c r="B258" s="80" t="str">
        <x:v>나무킹</x:v>
      </x:c>
      <x:c r="C258" s="80" t="str">
        <x:v>sceptile</x:v>
      </x:c>
      <x:c r="D258" s="80" t="str">
        <x:v>숲</x:v>
      </x:c>
      <x:c r="E258" s="81" t="str">
        <x:v>—</x:v>
      </x:c>
      <x:c r="F258" s="81" t="str">
        <x:v>—</x:v>
      </x:c>
      <x:c r="G258" s="81" t="str">
        <x:v>—</x:v>
      </x:c>
      <x:c r="H258" s="81" t="str">
        <x:v>—</x:v>
      </x:c>
      <x:c r="I258" s="81" t="str">
        <x:v>숲1</x:v>
      </x:c>
      <x:c r="J258" s="81" t="str">
        <x:v>평원2</x:v>
      </x:c>
      <x:c r="K258" s="81" t="str">
        <x:v>—</x:v>
      </x:c>
      <x:c r="L258" s="81" t="str">
        <x:v>—</x:v>
      </x:c>
      <x:c r="M258" s="81" t="str">
        <x:v>—</x:v>
      </x:c>
      <x:c r="N258" s="81" t="str">
        <x:v>—</x:v>
      </x:c>
      <x:c r="O258" s="81" t="str">
        <x:v>—</x:v>
      </x:c>
      <x:c r="P258" s="81" t="str">
        <x:v>—</x:v>
      </x:c>
      <x:c r="Q258" s="81" t="str">
        <x:v>—</x:v>
      </x:c>
      <x:c r="R258" s="81" t="str">
        <x:v>—</x:v>
      </x:c>
      <x:c r="S258" s="81" t="str">
        <x:v>—</x:v>
      </x:c>
      <x:c r="T258" s="81" t="str">
        <x:v>—</x:v>
      </x:c>
      <x:c r="U258" s="81" t="str">
        <x:v>숲2</x:v>
      </x:c>
      <x:c r="V258" s="81" t="str">
        <x:v>평원2</x:v>
      </x:c>
    </x:row>
    <x:row r="259">
      <x:c r="A259" s="80" t="n">
        <x:v>255</x:v>
      </x:c>
      <x:c r="B259" s="80" t="str">
        <x:v>아차모</x:v>
      </x:c>
      <x:c r="C259" s="80" t="str">
        <x:v>torchic</x:v>
      </x:c>
      <x:c r="D259" s="80" t="str">
        <x:v>평원</x:v>
      </x:c>
      <x:c r="E259" s="81" t="str">
        <x:v>—</x:v>
      </x:c>
      <x:c r="F259" s="81" t="str">
        <x:v>—</x:v>
      </x:c>
      <x:c r="G259" s="81" t="str">
        <x:v>—</x:v>
      </x:c>
      <x:c r="H259" s="81" t="str">
        <x:v>—</x:v>
      </x:c>
      <x:c r="I259" s="81" t="str">
        <x:v>평원2</x:v>
      </x:c>
      <x:c r="J259" s="81" t="str">
        <x:v>화산1</x:v>
      </x:c>
      <x:c r="K259" s="81" t="str">
        <x:v>—</x:v>
      </x:c>
      <x:c r="L259" s="81" t="str">
        <x:v>—</x:v>
      </x:c>
      <x:c r="M259" s="81" t="str">
        <x:v>—</x:v>
      </x:c>
      <x:c r="N259" s="81" t="str">
        <x:v>—</x:v>
      </x:c>
      <x:c r="O259" s="81" t="str">
        <x:v>—</x:v>
      </x:c>
      <x:c r="P259" s="81" t="str">
        <x:v>—</x:v>
      </x:c>
      <x:c r="Q259" s="81" t="str">
        <x:v>—</x:v>
      </x:c>
      <x:c r="R259" s="81" t="str">
        <x:v>—</x:v>
      </x:c>
      <x:c r="S259" s="81" t="str">
        <x:v>—</x:v>
      </x:c>
      <x:c r="T259" s="81" t="str">
        <x:v>—</x:v>
      </x:c>
      <x:c r="U259" s="81" t="str">
        <x:v>평원3</x:v>
      </x:c>
      <x:c r="V259" s="81" t="str">
        <x:v>화산1</x:v>
      </x:c>
    </x:row>
    <x:row r="260">
      <x:c r="A260" s="80" t="n">
        <x:v>256</x:v>
      </x:c>
      <x:c r="B260" s="80" t="str">
        <x:v>영치코</x:v>
      </x:c>
      <x:c r="C260" s="80" t="str">
        <x:v>combusken</x:v>
      </x:c>
      <x:c r="D260" s="80" t="str">
        <x:v>평원</x:v>
      </x:c>
      <x:c r="E260" s="81" t="str">
        <x:v>—</x:v>
      </x:c>
      <x:c r="F260" s="81" t="str">
        <x:v>—</x:v>
      </x:c>
      <x:c r="G260" s="81" t="str">
        <x:v>—</x:v>
      </x:c>
      <x:c r="H260" s="81" t="str">
        <x:v>—</x:v>
      </x:c>
      <x:c r="I260" s="81" t="str">
        <x:v>평원2</x:v>
      </x:c>
      <x:c r="J260" s="81" t="str">
        <x:v>화산1</x:v>
      </x:c>
      <x:c r="K260" s="81" t="str">
        <x:v>—</x:v>
      </x:c>
      <x:c r="L260" s="81" t="str">
        <x:v>—</x:v>
      </x:c>
      <x:c r="M260" s="81" t="str">
        <x:v>—</x:v>
      </x:c>
      <x:c r="N260" s="81" t="str">
        <x:v>—</x:v>
      </x:c>
      <x:c r="O260" s="81" t="str">
        <x:v>—</x:v>
      </x:c>
      <x:c r="P260" s="81" t="str">
        <x:v>—</x:v>
      </x:c>
      <x:c r="Q260" s="81" t="str">
        <x:v>—</x:v>
      </x:c>
      <x:c r="R260" s="81" t="str">
        <x:v>—</x:v>
      </x:c>
      <x:c r="S260" s="81" t="str">
        <x:v>—</x:v>
      </x:c>
      <x:c r="T260" s="81" t="str">
        <x:v>—</x:v>
      </x:c>
      <x:c r="U260" s="81" t="str">
        <x:v>평원3</x:v>
      </x:c>
      <x:c r="V260" s="81" t="str">
        <x:v>화산1</x:v>
      </x:c>
    </x:row>
    <x:row r="261">
      <x:c r="A261" s="80" t="n">
        <x:v>257</x:v>
      </x:c>
      <x:c r="B261" s="80" t="str">
        <x:v>번치코</x:v>
      </x:c>
      <x:c r="C261" s="80" t="str">
        <x:v>blaziken</x:v>
      </x:c>
      <x:c r="D261" s="80" t="str">
        <x:v>평원</x:v>
      </x:c>
      <x:c r="E261" s="81" t="str">
        <x:v>—</x:v>
      </x:c>
      <x:c r="F261" s="81" t="str">
        <x:v>—</x:v>
      </x:c>
      <x:c r="G261" s="81" t="str">
        <x:v>—</x:v>
      </x:c>
      <x:c r="H261" s="81" t="str">
        <x:v>—</x:v>
      </x:c>
      <x:c r="I261" s="81" t="str">
        <x:v>평원2</x:v>
      </x:c>
      <x:c r="J261" s="81" t="str">
        <x:v>화산1</x:v>
      </x:c>
      <x:c r="K261" s="81" t="str">
        <x:v>—</x:v>
      </x:c>
      <x:c r="L261" s="81" t="str">
        <x:v>—</x:v>
      </x:c>
      <x:c r="M261" s="81" t="str">
        <x:v>—</x:v>
      </x:c>
      <x:c r="N261" s="81" t="str">
        <x:v>—</x:v>
      </x:c>
      <x:c r="O261" s="81" t="str">
        <x:v>—</x:v>
      </x:c>
      <x:c r="P261" s="81" t="str">
        <x:v>—</x:v>
      </x:c>
      <x:c r="Q261" s="81" t="str">
        <x:v>—</x:v>
      </x:c>
      <x:c r="R261" s="81" t="str">
        <x:v>—</x:v>
      </x:c>
      <x:c r="S261" s="81" t="str">
        <x:v>—</x:v>
      </x:c>
      <x:c r="T261" s="81" t="str">
        <x:v>—</x:v>
      </x:c>
      <x:c r="U261" s="81" t="str">
        <x:v>평원3</x:v>
      </x:c>
      <x:c r="V261" s="81" t="str">
        <x:v>화산1</x:v>
      </x:c>
    </x:row>
    <x:row r="262">
      <x:c r="A262" s="80" t="n">
        <x:v>258</x:v>
      </x:c>
      <x:c r="B262" s="80" t="str">
        <x:v>물짱이</x:v>
      </x:c>
      <x:c r="C262" s="80" t="str">
        <x:v>mudkip</x:v>
      </x:c>
      <x:c r="D262" s="80" t="str">
        <x:v>습지</x:v>
      </x:c>
      <x:c r="E262" s="81" t="str">
        <x:v>—</x:v>
      </x:c>
      <x:c r="F262" s="81" t="str">
        <x:v>—</x:v>
      </x:c>
      <x:c r="G262" s="81" t="str">
        <x:v>—</x:v>
      </x:c>
      <x:c r="H262" s="81" t="str">
        <x:v>—</x:v>
      </x:c>
      <x:c r="I262" s="81" t="str">
        <x:v>습지1</x:v>
      </x:c>
      <x:c r="J262" s="81" t="str">
        <x:v>담수1</x:v>
      </x:c>
      <x:c r="K262" s="81" t="str">
        <x:v>—</x:v>
      </x:c>
      <x:c r="L262" s="81" t="str">
        <x:v>—</x:v>
      </x:c>
      <x:c r="M262" s="81" t="str">
        <x:v>—</x:v>
      </x:c>
      <x:c r="N262" s="81" t="str">
        <x:v>—</x:v>
      </x:c>
      <x:c r="O262" s="81" t="str">
        <x:v>—</x:v>
      </x:c>
      <x:c r="P262" s="81" t="str">
        <x:v>—</x:v>
      </x:c>
      <x:c r="Q262" s="81" t="str">
        <x:v>—</x:v>
      </x:c>
      <x:c r="R262" s="81" t="str">
        <x:v>—</x:v>
      </x:c>
      <x:c r="S262" s="81" t="str">
        <x:v>—</x:v>
      </x:c>
      <x:c r="T262" s="81" t="str">
        <x:v>—</x:v>
      </x:c>
      <x:c r="U262" s="81" t="str">
        <x:v>습지1</x:v>
      </x:c>
      <x:c r="V262" s="81" t="str">
        <x:v>담수1</x:v>
      </x:c>
    </x:row>
    <x:row r="263">
      <x:c r="A263" s="80" t="n">
        <x:v>259</x:v>
      </x:c>
      <x:c r="B263" s="80" t="str">
        <x:v>늪짱이</x:v>
      </x:c>
      <x:c r="C263" s="80" t="str">
        <x:v>marshtomp</x:v>
      </x:c>
      <x:c r="D263" s="80" t="str">
        <x:v>습지</x:v>
      </x:c>
      <x:c r="E263" s="81" t="str">
        <x:v>—</x:v>
      </x:c>
      <x:c r="F263" s="81" t="str">
        <x:v>—</x:v>
      </x:c>
      <x:c r="G263" s="81" t="str">
        <x:v>—</x:v>
      </x:c>
      <x:c r="H263" s="81" t="str">
        <x:v>—</x:v>
      </x:c>
      <x:c r="I263" s="81" t="str">
        <x:v>습지1</x:v>
      </x:c>
      <x:c r="J263" s="81" t="str">
        <x:v>담수1</x:v>
      </x:c>
      <x:c r="K263" s="81" t="str">
        <x:v>—</x:v>
      </x:c>
      <x:c r="L263" s="81" t="str">
        <x:v>—</x:v>
      </x:c>
      <x:c r="M263" s="81" t="str">
        <x:v>—</x:v>
      </x:c>
      <x:c r="N263" s="81" t="str">
        <x:v>—</x:v>
      </x:c>
      <x:c r="O263" s="81" t="str">
        <x:v>—</x:v>
      </x:c>
      <x:c r="P263" s="81" t="str">
        <x:v>—</x:v>
      </x:c>
      <x:c r="Q263" s="81" t="str">
        <x:v>—</x:v>
      </x:c>
      <x:c r="R263" s="81" t="str">
        <x:v>—</x:v>
      </x:c>
      <x:c r="S263" s="81" t="str">
        <x:v>—</x:v>
      </x:c>
      <x:c r="T263" s="81" t="str">
        <x:v>—</x:v>
      </x:c>
      <x:c r="U263" s="81" t="str">
        <x:v>습지1</x:v>
      </x:c>
      <x:c r="V263" s="81" t="str">
        <x:v>담수2</x:v>
      </x:c>
    </x:row>
    <x:row r="264">
      <x:c r="A264" s="80" t="n">
        <x:v>260</x:v>
      </x:c>
      <x:c r="B264" s="80" t="str">
        <x:v>대짱이</x:v>
      </x:c>
      <x:c r="C264" s="80" t="str">
        <x:v>swampert</x:v>
      </x:c>
      <x:c r="D264" s="80" t="str">
        <x:v>습지</x:v>
      </x:c>
      <x:c r="E264" s="81" t="str">
        <x:v>—</x:v>
      </x:c>
      <x:c r="F264" s="81" t="str">
        <x:v>—</x:v>
      </x:c>
      <x:c r="G264" s="81" t="str">
        <x:v>—</x:v>
      </x:c>
      <x:c r="H264" s="81" t="str">
        <x:v>—</x:v>
      </x:c>
      <x:c r="I264" s="81" t="str">
        <x:v>습지1</x:v>
      </x:c>
      <x:c r="J264" s="81" t="str">
        <x:v>담수1</x:v>
      </x:c>
      <x:c r="K264" s="81" t="str">
        <x:v>—</x:v>
      </x:c>
      <x:c r="L264" s="81" t="str">
        <x:v>—</x:v>
      </x:c>
      <x:c r="M264" s="81" t="str">
        <x:v>—</x:v>
      </x:c>
      <x:c r="N264" s="81" t="str">
        <x:v>—</x:v>
      </x:c>
      <x:c r="O264" s="81" t="str">
        <x:v>—</x:v>
      </x:c>
      <x:c r="P264" s="81" t="str">
        <x:v>—</x:v>
      </x:c>
      <x:c r="Q264" s="81" t="str">
        <x:v>—</x:v>
      </x:c>
      <x:c r="R264" s="81" t="str">
        <x:v>—</x:v>
      </x:c>
      <x:c r="S264" s="81" t="str">
        <x:v>—</x:v>
      </x:c>
      <x:c r="T264" s="81" t="str">
        <x:v>—</x:v>
      </x:c>
      <x:c r="U264" s="81" t="str">
        <x:v>습지2</x:v>
      </x:c>
      <x:c r="V264" s="81" t="str">
        <x:v>담수2</x:v>
      </x:c>
    </x:row>
    <x:row r="265">
      <x:c r="A265" s="80" t="n">
        <x:v>261</x:v>
      </x:c>
      <x:c r="B265" s="80" t="str">
        <x:v>포챠나</x:v>
      </x:c>
      <x:c r="C265" s="80" t="str">
        <x:v>poochyena</x:v>
      </x:c>
      <x:c r="D265" s="80" t="str">
        <x:v>건조지</x:v>
      </x:c>
      <x:c r="E265" s="81" t="str">
        <x:v>—</x:v>
      </x:c>
      <x:c r="F265" s="81" t="str">
        <x:v>—</x:v>
      </x:c>
      <x:c r="G265" s="81" t="str">
        <x:v>—</x:v>
      </x:c>
      <x:c r="H265" s="81" t="str">
        <x:v>—</x:v>
      </x:c>
      <x:c r="I265" s="81" t="str">
        <x:v>건조지1</x:v>
      </x:c>
      <x:c r="J265" s="81" t="str">
        <x:v>화산1</x:v>
      </x:c>
      <x:c r="K265" s="81" t="str">
        <x:v>—</x:v>
      </x:c>
      <x:c r="L265" s="81" t="str">
        <x:v>—</x:v>
      </x:c>
      <x:c r="M265" s="81" t="str">
        <x:v>—</x:v>
      </x:c>
      <x:c r="N265" s="81" t="str">
        <x:v>—</x:v>
      </x:c>
      <x:c r="O265" s="81" t="str">
        <x:v>건조지1</x:v>
      </x:c>
      <x:c r="P265" s="81" t="str">
        <x:v>화산1</x:v>
      </x:c>
      <x:c r="Q265" s="81" t="str">
        <x:v>—</x:v>
      </x:c>
      <x:c r="R265" s="81" t="str">
        <x:v>—</x:v>
      </x:c>
      <x:c r="S265" s="81" t="str">
        <x:v>—</x:v>
      </x:c>
      <x:c r="T265" s="81" t="str">
        <x:v>—</x:v>
      </x:c>
      <x:c r="U265" s="81" t="str">
        <x:v>건조지1</x:v>
      </x:c>
      <x:c r="V265" s="81" t="str">
        <x:v>화산1</x:v>
      </x:c>
    </x:row>
    <x:row r="266">
      <x:c r="A266" s="80" t="n">
        <x:v>262</x:v>
      </x:c>
      <x:c r="B266" s="80" t="str">
        <x:v>그라에나</x:v>
      </x:c>
      <x:c r="C266" s="80" t="str">
        <x:v>mightyena</x:v>
      </x:c>
      <x:c r="D266" s="80" t="str">
        <x:v>건조지</x:v>
      </x:c>
      <x:c r="E266" s="81" t="str">
        <x:v>—</x:v>
      </x:c>
      <x:c r="F266" s="81" t="str">
        <x:v>—</x:v>
      </x:c>
      <x:c r="G266" s="81" t="str">
        <x:v>—</x:v>
      </x:c>
      <x:c r="H266" s="81" t="str">
        <x:v>—</x:v>
      </x:c>
      <x:c r="I266" s="81" t="str">
        <x:v>건조지1</x:v>
      </x:c>
      <x:c r="J266" s="81" t="str">
        <x:v>화산1</x:v>
      </x:c>
      <x:c r="K266" s="81" t="str">
        <x:v>—</x:v>
      </x:c>
      <x:c r="L266" s="81" t="str">
        <x:v>—</x:v>
      </x:c>
      <x:c r="M266" s="81" t="str">
        <x:v>—</x:v>
      </x:c>
      <x:c r="N266" s="81" t="str">
        <x:v>—</x:v>
      </x:c>
      <x:c r="O266" s="81" t="str">
        <x:v>건조지1</x:v>
      </x:c>
      <x:c r="P266" s="81" t="str">
        <x:v>화산1</x:v>
      </x:c>
      <x:c r="Q266" s="81" t="str">
        <x:v>—</x:v>
      </x:c>
      <x:c r="R266" s="81" t="str">
        <x:v>—</x:v>
      </x:c>
      <x:c r="S266" s="81" t="str">
        <x:v>—</x:v>
      </x:c>
      <x:c r="T266" s="81" t="str">
        <x:v>—</x:v>
      </x:c>
      <x:c r="U266" s="81" t="str">
        <x:v>건조지1</x:v>
      </x:c>
      <x:c r="V266" s="81" t="str">
        <x:v>화산1</x:v>
      </x:c>
    </x:row>
    <x:row r="267">
      <x:c r="A267" s="80" t="n">
        <x:v>263</x:v>
      </x:c>
      <x:c r="B267" s="80" t="str">
        <x:v>지그제구리</x:v>
      </x:c>
      <x:c r="C267" s="80" t="str">
        <x:v>zigzagoon</x:v>
      </x:c>
      <x:c r="D267" s="80" t="str">
        <x:v>숲</x:v>
      </x:c>
      <x:c r="E267" s="81" t="str">
        <x:v>—</x:v>
      </x:c>
      <x:c r="F267" s="81" t="str">
        <x:v>—</x:v>
      </x:c>
      <x:c r="G267" s="81" t="str">
        <x:v>—</x:v>
      </x:c>
      <x:c r="H267" s="81" t="str">
        <x:v>—</x:v>
      </x:c>
      <x:c r="I267" s="81" t="str">
        <x:v>숲1</x:v>
      </x:c>
      <x:c r="J267" s="81" t="str">
        <x:v>평원2</x:v>
      </x:c>
      <x:c r="K267" s="81" t="str">
        <x:v>—</x:v>
      </x:c>
      <x:c r="L267" s="81" t="str">
        <x:v>—</x:v>
      </x:c>
      <x:c r="M267" s="81" t="str">
        <x:v>—</x:v>
      </x:c>
      <x:c r="N267" s="81" t="str">
        <x:v>—</x:v>
      </x:c>
      <x:c r="O267" s="81" t="str">
        <x:v>숲2</x:v>
      </x:c>
      <x:c r="P267" s="81" t="str">
        <x:v>평원3</x:v>
      </x:c>
      <x:c r="Q267" s="81" t="str">
        <x:v>—</x:v>
      </x:c>
      <x:c r="R267" s="81" t="str">
        <x:v>—</x:v>
      </x:c>
      <x:c r="S267" s="81" t="str">
        <x:v>숲2</x:v>
      </x:c>
      <x:c r="T267" s="81" t="str">
        <x:v>평원2</x:v>
      </x:c>
      <x:c r="U267" s="81" t="str">
        <x:v>—</x:v>
      </x:c>
      <x:c r="V267" s="81" t="str">
        <x:v>—</x:v>
      </x:c>
    </x:row>
    <x:row r="268">
      <x:c r="A268" s="80" t="n">
        <x:v>264</x:v>
      </x:c>
      <x:c r="B268" s="80" t="str">
        <x:v>직구리</x:v>
      </x:c>
      <x:c r="C268" s="80" t="str">
        <x:v>linoone</x:v>
      </x:c>
      <x:c r="D268" s="80" t="str">
        <x:v>숲</x:v>
      </x:c>
      <x:c r="E268" s="81" t="str">
        <x:v>—</x:v>
      </x:c>
      <x:c r="F268" s="81" t="str">
        <x:v>—</x:v>
      </x:c>
      <x:c r="G268" s="81" t="str">
        <x:v>—</x:v>
      </x:c>
      <x:c r="H268" s="81" t="str">
        <x:v>—</x:v>
      </x:c>
      <x:c r="I268" s="81" t="str">
        <x:v>숲1</x:v>
      </x:c>
      <x:c r="J268" s="81" t="str">
        <x:v>평원2</x:v>
      </x:c>
      <x:c r="K268" s="81" t="str">
        <x:v>—</x:v>
      </x:c>
      <x:c r="L268" s="81" t="str">
        <x:v>—</x:v>
      </x:c>
      <x:c r="M268" s="81" t="str">
        <x:v>—</x:v>
      </x:c>
      <x:c r="N268" s="81" t="str">
        <x:v>—</x:v>
      </x:c>
      <x:c r="O268" s="81" t="str">
        <x:v>숲2</x:v>
      </x:c>
      <x:c r="P268" s="81" t="str">
        <x:v>평원3</x:v>
      </x:c>
      <x:c r="Q268" s="81" t="str">
        <x:v>—</x:v>
      </x:c>
      <x:c r="R268" s="81" t="str">
        <x:v>—</x:v>
      </x:c>
      <x:c r="S268" s="81" t="str">
        <x:v>숲2</x:v>
      </x:c>
      <x:c r="T268" s="81" t="str">
        <x:v>평원2</x:v>
      </x:c>
      <x:c r="U268" s="81" t="str">
        <x:v>—</x:v>
      </x:c>
      <x:c r="V268" s="81" t="str">
        <x:v>—</x:v>
      </x:c>
    </x:row>
    <x:row r="269">
      <x:c r="A269" s="80" t="n">
        <x:v>265</x:v>
      </x:c>
      <x:c r="B269" s="80" t="str">
        <x:v>개무소</x:v>
      </x:c>
      <x:c r="C269" s="80" t="str">
        <x:v>wurmple</x:v>
      </x:c>
      <x:c r="D269" s="80" t="str">
        <x:v>숲</x:v>
      </x:c>
      <x:c r="E269" s="81" t="str">
        <x:v>—</x:v>
      </x:c>
      <x:c r="F269" s="81" t="str">
        <x:v>—</x:v>
      </x:c>
      <x:c r="G269" s="81" t="str">
        <x:v>—</x:v>
      </x:c>
      <x:c r="H269" s="81" t="str">
        <x:v>—</x:v>
      </x:c>
      <x:c r="I269" s="81" t="str">
        <x:v>숲1</x:v>
      </x:c>
      <x:c r="J269" s="81" t="str">
        <x:v>습지1</x:v>
      </x:c>
      <x:c r="K269" s="81" t="str">
        <x:v>숲2</x:v>
      </x:c>
      <x:c r="L269" s="81" t="str">
        <x:v>습지1</x:v>
      </x:c>
      <x:c r="M269" s="81" t="str">
        <x:v>—</x:v>
      </x:c>
      <x:c r="N269" s="81" t="str">
        <x:v>—</x:v>
      </x:c>
      <x:c r="O269" s="81" t="str">
        <x:v>—</x:v>
      </x:c>
      <x:c r="P269" s="81" t="str">
        <x:v>—</x:v>
      </x:c>
      <x:c r="Q269" s="81" t="str">
        <x:v>—</x:v>
      </x:c>
      <x:c r="R269" s="81" t="str">
        <x:v>—</x:v>
      </x:c>
      <x:c r="S269" s="81" t="str">
        <x:v>—</x:v>
      </x:c>
      <x:c r="T269" s="81" t="str">
        <x:v>—</x:v>
      </x:c>
      <x:c r="U269" s="81" t="str">
        <x:v>—</x:v>
      </x:c>
      <x:c r="V269" s="81" t="str">
        <x:v>—</x:v>
      </x:c>
    </x:row>
    <x:row r="270">
      <x:c r="A270" s="80" t="n">
        <x:v>266</x:v>
      </x:c>
      <x:c r="B270" s="80" t="str">
        <x:v>실쿤</x:v>
      </x:c>
      <x:c r="C270" s="80" t="str">
        <x:v>silcoon</x:v>
      </x:c>
      <x:c r="D270" s="80" t="str">
        <x:v>숲</x:v>
      </x:c>
      <x:c r="E270" s="81" t="str">
        <x:v>—</x:v>
      </x:c>
      <x:c r="F270" s="81" t="str">
        <x:v>—</x:v>
      </x:c>
      <x:c r="G270" s="81" t="str">
        <x:v>—</x:v>
      </x:c>
      <x:c r="H270" s="81" t="str">
        <x:v>—</x:v>
      </x:c>
      <x:c r="I270" s="81" t="str">
        <x:v>숲1</x:v>
      </x:c>
      <x:c r="J270" s="81" t="str">
        <x:v>습지1</x:v>
      </x:c>
      <x:c r="K270" s="81" t="str">
        <x:v>숲2</x:v>
      </x:c>
      <x:c r="L270" s="81" t="str">
        <x:v>습지1</x:v>
      </x:c>
      <x:c r="M270" s="81" t="str">
        <x:v>—</x:v>
      </x:c>
      <x:c r="N270" s="81" t="str">
        <x:v>—</x:v>
      </x:c>
      <x:c r="O270" s="81" t="str">
        <x:v>—</x:v>
      </x:c>
      <x:c r="P270" s="81" t="str">
        <x:v>—</x:v>
      </x:c>
      <x:c r="Q270" s="81" t="str">
        <x:v>—</x:v>
      </x:c>
      <x:c r="R270" s="81" t="str">
        <x:v>—</x:v>
      </x:c>
      <x:c r="S270" s="81" t="str">
        <x:v>—</x:v>
      </x:c>
      <x:c r="T270" s="81" t="str">
        <x:v>—</x:v>
      </x:c>
      <x:c r="U270" s="81" t="str">
        <x:v>—</x:v>
      </x:c>
      <x:c r="V270" s="81" t="str">
        <x:v>—</x:v>
      </x:c>
    </x:row>
    <x:row r="271">
      <x:c r="A271" s="80" t="n">
        <x:v>267</x:v>
      </x:c>
      <x:c r="B271" s="80" t="str">
        <x:v>뷰티플라이</x:v>
      </x:c>
      <x:c r="C271" s="80" t="str">
        <x:v>beautifly</x:v>
      </x:c>
      <x:c r="D271" s="80" t="str">
        <x:v>숲</x:v>
      </x:c>
      <x:c r="E271" s="81" t="str">
        <x:v>—</x:v>
      </x:c>
      <x:c r="F271" s="81" t="str">
        <x:v>—</x:v>
      </x:c>
      <x:c r="G271" s="81" t="str">
        <x:v>—</x:v>
      </x:c>
      <x:c r="H271" s="81" t="str">
        <x:v>—</x:v>
      </x:c>
      <x:c r="I271" s="81" t="str">
        <x:v>숲1</x:v>
      </x:c>
      <x:c r="J271" s="81" t="str">
        <x:v>평원2</x:v>
      </x:c>
      <x:c r="K271" s="81" t="str">
        <x:v>숲2</x:v>
      </x:c>
      <x:c r="L271" s="81" t="str">
        <x:v>평원2</x:v>
      </x:c>
      <x:c r="M271" s="81" t="str">
        <x:v>—</x:v>
      </x:c>
      <x:c r="N271" s="81" t="str">
        <x:v>—</x:v>
      </x:c>
      <x:c r="O271" s="81" t="str">
        <x:v>—</x:v>
      </x:c>
      <x:c r="P271" s="81" t="str">
        <x:v>—</x:v>
      </x:c>
      <x:c r="Q271" s="81" t="str">
        <x:v>—</x:v>
      </x:c>
      <x:c r="R271" s="81" t="str">
        <x:v>—</x:v>
      </x:c>
      <x:c r="S271" s="81" t="str">
        <x:v>—</x:v>
      </x:c>
      <x:c r="T271" s="81" t="str">
        <x:v>—</x:v>
      </x:c>
      <x:c r="U271" s="81" t="str">
        <x:v>—</x:v>
      </x:c>
      <x:c r="V271" s="81" t="str">
        <x:v>—</x:v>
      </x:c>
    </x:row>
    <x:row r="272">
      <x:c r="A272" s="80" t="n">
        <x:v>268</x:v>
      </x:c>
      <x:c r="B272" s="80" t="str">
        <x:v>카스쿤</x:v>
      </x:c>
      <x:c r="C272" s="80" t="str">
        <x:v>cascoon</x:v>
      </x:c>
      <x:c r="D272" s="80" t="str">
        <x:v>숲</x:v>
      </x:c>
      <x:c r="E272" s="81" t="str">
        <x:v>—</x:v>
      </x:c>
      <x:c r="F272" s="81" t="str">
        <x:v>—</x:v>
      </x:c>
      <x:c r="G272" s="81" t="str">
        <x:v>—</x:v>
      </x:c>
      <x:c r="H272" s="81" t="str">
        <x:v>—</x:v>
      </x:c>
      <x:c r="I272" s="81" t="str">
        <x:v>숲1</x:v>
      </x:c>
      <x:c r="J272" s="81" t="str">
        <x:v>습지1</x:v>
      </x:c>
      <x:c r="K272" s="81" t="str">
        <x:v>숲2</x:v>
      </x:c>
      <x:c r="L272" s="81" t="str">
        <x:v>습지1</x:v>
      </x:c>
      <x:c r="M272" s="81" t="str">
        <x:v>—</x:v>
      </x:c>
      <x:c r="N272" s="81" t="str">
        <x:v>—</x:v>
      </x:c>
      <x:c r="O272" s="81" t="str">
        <x:v>—</x:v>
      </x:c>
      <x:c r="P272" s="81" t="str">
        <x:v>—</x:v>
      </x:c>
      <x:c r="Q272" s="81" t="str">
        <x:v>—</x:v>
      </x:c>
      <x:c r="R272" s="81" t="str">
        <x:v>—</x:v>
      </x:c>
      <x:c r="S272" s="81" t="str">
        <x:v>—</x:v>
      </x:c>
      <x:c r="T272" s="81" t="str">
        <x:v>—</x:v>
      </x:c>
      <x:c r="U272" s="81" t="str">
        <x:v>—</x:v>
      </x:c>
      <x:c r="V272" s="81" t="str">
        <x:v>—</x:v>
      </x:c>
    </x:row>
    <x:row r="273">
      <x:c r="A273" s="80" t="n">
        <x:v>269</x:v>
      </x:c>
      <x:c r="B273" s="80" t="str">
        <x:v>독케일</x:v>
      </x:c>
      <x:c r="C273" s="80" t="str">
        <x:v>dustox</x:v>
      </x:c>
      <x:c r="D273" s="80" t="str">
        <x:v>숲</x:v>
      </x:c>
      <x:c r="E273" s="81" t="str">
        <x:v>—</x:v>
      </x:c>
      <x:c r="F273" s="81" t="str">
        <x:v>—</x:v>
      </x:c>
      <x:c r="G273" s="81" t="str">
        <x:v>—</x:v>
      </x:c>
      <x:c r="H273" s="81" t="str">
        <x:v>—</x:v>
      </x:c>
      <x:c r="I273" s="81" t="str">
        <x:v>숲1</x:v>
      </x:c>
      <x:c r="J273" s="81" t="str">
        <x:v>습지1</x:v>
      </x:c>
      <x:c r="K273" s="81" t="str">
        <x:v>숲2</x:v>
      </x:c>
      <x:c r="L273" s="81" t="str">
        <x:v>습지1</x:v>
      </x:c>
      <x:c r="M273" s="81" t="str">
        <x:v>—</x:v>
      </x:c>
      <x:c r="N273" s="81" t="str">
        <x:v>—</x:v>
      </x:c>
      <x:c r="O273" s="81" t="str">
        <x:v>—</x:v>
      </x:c>
      <x:c r="P273" s="81" t="str">
        <x:v>—</x:v>
      </x:c>
      <x:c r="Q273" s="81" t="str">
        <x:v>—</x:v>
      </x:c>
      <x:c r="R273" s="81" t="str">
        <x:v>—</x:v>
      </x:c>
      <x:c r="S273" s="81" t="str">
        <x:v>—</x:v>
      </x:c>
      <x:c r="T273" s="81" t="str">
        <x:v>—</x:v>
      </x:c>
      <x:c r="U273" s="81" t="str">
        <x:v>—</x:v>
      </x:c>
      <x:c r="V273" s="81" t="str">
        <x:v>—</x:v>
      </x:c>
    </x:row>
    <x:row r="274">
      <x:c r="A274" s="80" t="n">
        <x:v>270</x:v>
      </x:c>
      <x:c r="B274" s="80" t="str">
        <x:v>연꽃몬</x:v>
      </x:c>
      <x:c r="C274" s="80" t="str">
        <x:v>lotad</x:v>
      </x:c>
      <x:c r="D274" s="80" t="str">
        <x:v>습지</x:v>
      </x:c>
      <x:c r="E274" s="81" t="str">
        <x:v>—</x:v>
      </x:c>
      <x:c r="F274" s="81" t="str">
        <x:v>—</x:v>
      </x:c>
      <x:c r="G274" s="81" t="str">
        <x:v>—</x:v>
      </x:c>
      <x:c r="H274" s="81" t="str">
        <x:v>—</x:v>
      </x:c>
      <x:c r="I274" s="81" t="str">
        <x:v>습지1</x:v>
      </x:c>
      <x:c r="J274" s="81" t="str">
        <x:v>담수1</x:v>
      </x:c>
      <x:c r="K274" s="81" t="str">
        <x:v>—</x:v>
      </x:c>
      <x:c r="L274" s="81" t="str">
        <x:v>—</x:v>
      </x:c>
      <x:c r="M274" s="81" t="str">
        <x:v>—</x:v>
      </x:c>
      <x:c r="N274" s="81" t="str">
        <x:v>—</x:v>
      </x:c>
      <x:c r="O274" s="81" t="str">
        <x:v>습지2</x:v>
      </x:c>
      <x:c r="P274" s="81" t="str">
        <x:v>담수2</x:v>
      </x:c>
      <x:c r="Q274" s="81" t="str">
        <x:v>—</x:v>
      </x:c>
      <x:c r="R274" s="81" t="str">
        <x:v>—</x:v>
      </x:c>
      <x:c r="S274" s="81" t="str">
        <x:v>습지2</x:v>
      </x:c>
      <x:c r="T274" s="81" t="str">
        <x:v>담수2</x:v>
      </x:c>
      <x:c r="U274" s="81" t="str">
        <x:v>습지2</x:v>
      </x:c>
      <x:c r="V274" s="81" t="str">
        <x:v>담수2</x:v>
      </x:c>
    </x:row>
    <x:row r="275">
      <x:c r="A275" s="80" t="n">
        <x:v>271</x:v>
      </x:c>
      <x:c r="B275" s="80" t="str">
        <x:v>로토스</x:v>
      </x:c>
      <x:c r="C275" s="80" t="str">
        <x:v>lombre</x:v>
      </x:c>
      <x:c r="D275" s="80" t="str">
        <x:v>습지</x:v>
      </x:c>
      <x:c r="E275" s="81" t="str">
        <x:v>—</x:v>
      </x:c>
      <x:c r="F275" s="81" t="str">
        <x:v>—</x:v>
      </x:c>
      <x:c r="G275" s="81" t="str">
        <x:v>—</x:v>
      </x:c>
      <x:c r="H275" s="81" t="str">
        <x:v>—</x:v>
      </x:c>
      <x:c r="I275" s="81" t="str">
        <x:v>습지1</x:v>
      </x:c>
      <x:c r="J275" s="81" t="str">
        <x:v>담수1</x:v>
      </x:c>
      <x:c r="K275" s="81" t="str">
        <x:v>—</x:v>
      </x:c>
      <x:c r="L275" s="81" t="str">
        <x:v>—</x:v>
      </x:c>
      <x:c r="M275" s="81" t="str">
        <x:v>—</x:v>
      </x:c>
      <x:c r="N275" s="81" t="str">
        <x:v>—</x:v>
      </x:c>
      <x:c r="O275" s="81" t="str">
        <x:v>습지2</x:v>
      </x:c>
      <x:c r="P275" s="81" t="str">
        <x:v>담수2</x:v>
      </x:c>
      <x:c r="Q275" s="81" t="str">
        <x:v>—</x:v>
      </x:c>
      <x:c r="R275" s="81" t="str">
        <x:v>—</x:v>
      </x:c>
      <x:c r="S275" s="81" t="str">
        <x:v>습지2</x:v>
      </x:c>
      <x:c r="T275" s="81" t="str">
        <x:v>담수2</x:v>
      </x:c>
      <x:c r="U275" s="81" t="str">
        <x:v>습지2</x:v>
      </x:c>
      <x:c r="V275" s="81" t="str">
        <x:v>담수2</x:v>
      </x:c>
    </x:row>
    <x:row r="276">
      <x:c r="A276" s="80" t="n">
        <x:v>272</x:v>
      </x:c>
      <x:c r="B276" s="80" t="str">
        <x:v>로파파</x:v>
      </x:c>
      <x:c r="C276" s="80" t="str">
        <x:v>ludicolo</x:v>
      </x:c>
      <x:c r="D276" s="80" t="str">
        <x:v>습지</x:v>
      </x:c>
      <x:c r="E276" s="81" t="str">
        <x:v>—</x:v>
      </x:c>
      <x:c r="F276" s="81" t="str">
        <x:v>—</x:v>
      </x:c>
      <x:c r="G276" s="81" t="str">
        <x:v>—</x:v>
      </x:c>
      <x:c r="H276" s="81" t="str">
        <x:v>—</x:v>
      </x:c>
      <x:c r="I276" s="81" t="str">
        <x:v>습지1</x:v>
      </x:c>
      <x:c r="J276" s="81" t="str">
        <x:v>담수1</x:v>
      </x:c>
      <x:c r="K276" s="81" t="str">
        <x:v>—</x:v>
      </x:c>
      <x:c r="L276" s="81" t="str">
        <x:v>—</x:v>
      </x:c>
      <x:c r="M276" s="81" t="str">
        <x:v>—</x:v>
      </x:c>
      <x:c r="N276" s="81" t="str">
        <x:v>—</x:v>
      </x:c>
      <x:c r="O276" s="81" t="str">
        <x:v>습지2</x:v>
      </x:c>
      <x:c r="P276" s="81" t="str">
        <x:v>담수2</x:v>
      </x:c>
      <x:c r="Q276" s="81" t="str">
        <x:v>—</x:v>
      </x:c>
      <x:c r="R276" s="81" t="str">
        <x:v>—</x:v>
      </x:c>
      <x:c r="S276" s="81" t="str">
        <x:v>습지2</x:v>
      </x:c>
      <x:c r="T276" s="81" t="str">
        <x:v>담수2</x:v>
      </x:c>
      <x:c r="U276" s="81" t="str">
        <x:v>습지2</x:v>
      </x:c>
      <x:c r="V276" s="81" t="str">
        <x:v>담수2</x:v>
      </x:c>
    </x:row>
    <x:row r="277">
      <x:c r="A277" s="80" t="n">
        <x:v>273</x:v>
      </x:c>
      <x:c r="B277" s="80" t="str">
        <x:v>도토링</x:v>
      </x:c>
      <x:c r="C277" s="80" t="str">
        <x:v>seedot</x:v>
      </x:c>
      <x:c r="D277" s="80" t="str">
        <x:v>숲</x:v>
      </x:c>
      <x:c r="E277" s="81" t="str">
        <x:v>—</x:v>
      </x:c>
      <x:c r="F277" s="81" t="str">
        <x:v>—</x:v>
      </x:c>
      <x:c r="G277" s="81" t="str">
        <x:v>—</x:v>
      </x:c>
      <x:c r="H277" s="81" t="str">
        <x:v>—</x:v>
      </x:c>
      <x:c r="I277" s="81" t="str">
        <x:v>숲2</x:v>
      </x:c>
      <x:c r="J277" s="81" t="str">
        <x:v>평원2</x:v>
      </x:c>
      <x:c r="K277" s="81" t="str">
        <x:v>—</x:v>
      </x:c>
      <x:c r="L277" s="81" t="str">
        <x:v>—</x:v>
      </x:c>
      <x:c r="M277" s="81" t="str">
        <x:v>—</x:v>
      </x:c>
      <x:c r="N277" s="81" t="str">
        <x:v>—</x:v>
      </x:c>
      <x:c r="O277" s="81" t="str">
        <x:v>—</x:v>
      </x:c>
      <x:c r="P277" s="81" t="str">
        <x:v>—</x:v>
      </x:c>
      <x:c r="Q277" s="81" t="str">
        <x:v>—</x:v>
      </x:c>
      <x:c r="R277" s="81" t="str">
        <x:v>—</x:v>
      </x:c>
      <x:c r="S277" s="81" t="str">
        <x:v>숲2</x:v>
      </x:c>
      <x:c r="T277" s="81" t="str">
        <x:v>평원2</x:v>
      </x:c>
      <x:c r="U277" s="81" t="str">
        <x:v>숲2</x:v>
      </x:c>
      <x:c r="V277" s="81" t="str">
        <x:v>평원3</x:v>
      </x:c>
    </x:row>
    <x:row r="278">
      <x:c r="A278" s="80" t="n">
        <x:v>274</x:v>
      </x:c>
      <x:c r="B278" s="80" t="str">
        <x:v>잎새코</x:v>
      </x:c>
      <x:c r="C278" s="80" t="str">
        <x:v>nuzleaf</x:v>
      </x:c>
      <x:c r="D278" s="80" t="str">
        <x:v>숲</x:v>
      </x:c>
      <x:c r="E278" s="81" t="str">
        <x:v>—</x:v>
      </x:c>
      <x:c r="F278" s="81" t="str">
        <x:v>—</x:v>
      </x:c>
      <x:c r="G278" s="81" t="str">
        <x:v>—</x:v>
      </x:c>
      <x:c r="H278" s="81" t="str">
        <x:v>—</x:v>
      </x:c>
      <x:c r="I278" s="81" t="str">
        <x:v>숲2</x:v>
      </x:c>
      <x:c r="J278" s="81" t="str">
        <x:v>평원2</x:v>
      </x:c>
      <x:c r="K278" s="81" t="str">
        <x:v>—</x:v>
      </x:c>
      <x:c r="L278" s="81" t="str">
        <x:v>—</x:v>
      </x:c>
      <x:c r="M278" s="81" t="str">
        <x:v>—</x:v>
      </x:c>
      <x:c r="N278" s="81" t="str">
        <x:v>—</x:v>
      </x:c>
      <x:c r="O278" s="81" t="str">
        <x:v>—</x:v>
      </x:c>
      <x:c r="P278" s="81" t="str">
        <x:v>—</x:v>
      </x:c>
      <x:c r="Q278" s="81" t="str">
        <x:v>—</x:v>
      </x:c>
      <x:c r="R278" s="81" t="str">
        <x:v>—</x:v>
      </x:c>
      <x:c r="S278" s="81" t="str">
        <x:v>숲2</x:v>
      </x:c>
      <x:c r="T278" s="81" t="str">
        <x:v>평원2</x:v>
      </x:c>
      <x:c r="U278" s="81" t="str">
        <x:v>숲2</x:v>
      </x:c>
      <x:c r="V278" s="81" t="str">
        <x:v>평원3</x:v>
      </x:c>
    </x:row>
    <x:row r="279">
      <x:c r="A279" s="80" t="n">
        <x:v>275</x:v>
      </x:c>
      <x:c r="B279" s="80" t="str">
        <x:v>다탱구</x:v>
      </x:c>
      <x:c r="C279" s="80" t="str">
        <x:v>shiftry</x:v>
      </x:c>
      <x:c r="D279" s="80" t="str">
        <x:v>숲</x:v>
      </x:c>
      <x:c r="E279" s="81" t="str">
        <x:v>—</x:v>
      </x:c>
      <x:c r="F279" s="81" t="str">
        <x:v>—</x:v>
      </x:c>
      <x:c r="G279" s="81" t="str">
        <x:v>—</x:v>
      </x:c>
      <x:c r="H279" s="81" t="str">
        <x:v>—</x:v>
      </x:c>
      <x:c r="I279" s="81" t="str">
        <x:v>숲2</x:v>
      </x:c>
      <x:c r="J279" s="81" t="str">
        <x:v>평원2</x:v>
      </x:c>
      <x:c r="K279" s="81" t="str">
        <x:v>—</x:v>
      </x:c>
      <x:c r="L279" s="81" t="str">
        <x:v>—</x:v>
      </x:c>
      <x:c r="M279" s="81" t="str">
        <x:v>—</x:v>
      </x:c>
      <x:c r="N279" s="81" t="str">
        <x:v>—</x:v>
      </x:c>
      <x:c r="O279" s="81" t="str">
        <x:v>—</x:v>
      </x:c>
      <x:c r="P279" s="81" t="str">
        <x:v>—</x:v>
      </x:c>
      <x:c r="Q279" s="81" t="str">
        <x:v>—</x:v>
      </x:c>
      <x:c r="R279" s="81" t="str">
        <x:v>—</x:v>
      </x:c>
      <x:c r="S279" s="81" t="str">
        <x:v>숲2</x:v>
      </x:c>
      <x:c r="T279" s="81" t="str">
        <x:v>평원2</x:v>
      </x:c>
      <x:c r="U279" s="81" t="str">
        <x:v>숲2</x:v>
      </x:c>
      <x:c r="V279" s="81" t="str">
        <x:v>평원3</x:v>
      </x:c>
    </x:row>
    <x:row r="280">
      <x:c r="A280" s="80" t="n">
        <x:v>276</x:v>
      </x:c>
      <x:c r="B280" s="80" t="str">
        <x:v>테일로</x:v>
      </x:c>
      <x:c r="C280" s="80" t="str">
        <x:v>taillow</x:v>
      </x:c>
      <x:c r="D280" s="80" t="str">
        <x:v>평원</x:v>
      </x:c>
      <x:c r="E280" s="81" t="str">
        <x:v>—</x:v>
      </x:c>
      <x:c r="F280" s="81" t="str">
        <x:v>—</x:v>
      </x:c>
      <x:c r="G280" s="81" t="str">
        <x:v>—</x:v>
      </x:c>
      <x:c r="H280" s="81" t="str">
        <x:v>—</x:v>
      </x:c>
      <x:c r="I280" s="81" t="str">
        <x:v>평원2</x:v>
      </x:c>
      <x:c r="J280" s="81" t="str">
        <x:v>산악1</x:v>
      </x:c>
      <x:c r="K280" s="81" t="str">
        <x:v>—</x:v>
      </x:c>
      <x:c r="L280" s="81" t="str">
        <x:v>—</x:v>
      </x:c>
      <x:c r="M280" s="81" t="str">
        <x:v>—</x:v>
      </x:c>
      <x:c r="N280" s="81" t="str">
        <x:v>—</x:v>
      </x:c>
      <x:c r="O280" s="81" t="str">
        <x:v>평원3</x:v>
      </x:c>
      <x:c r="P280" s="81" t="str">
        <x:v>산악1</x:v>
      </x:c>
      <x:c r="Q280" s="81" t="str">
        <x:v>—</x:v>
      </x:c>
      <x:c r="R280" s="81" t="str">
        <x:v>—</x:v>
      </x:c>
      <x:c r="S280" s="81" t="str">
        <x:v>—</x:v>
      </x:c>
      <x:c r="T280" s="81" t="str">
        <x:v>—</x:v>
      </x:c>
      <x:c r="U280" s="81" t="str">
        <x:v>—</x:v>
      </x:c>
      <x:c r="V280" s="81" t="str">
        <x:v>—</x:v>
      </x:c>
    </x:row>
    <x:row r="281">
      <x:c r="A281" s="80" t="n">
        <x:v>277</x:v>
      </x:c>
      <x:c r="B281" s="80" t="str">
        <x:v>스왈로</x:v>
      </x:c>
      <x:c r="C281" s="80" t="str">
        <x:v>swellow</x:v>
      </x:c>
      <x:c r="D281" s="80" t="str">
        <x:v>평원</x:v>
      </x:c>
      <x:c r="E281" s="81" t="str">
        <x:v>—</x:v>
      </x:c>
      <x:c r="F281" s="81" t="str">
        <x:v>—</x:v>
      </x:c>
      <x:c r="G281" s="81" t="str">
        <x:v>—</x:v>
      </x:c>
      <x:c r="H281" s="81" t="str">
        <x:v>—</x:v>
      </x:c>
      <x:c r="I281" s="81" t="str">
        <x:v>평원2</x:v>
      </x:c>
      <x:c r="J281" s="81" t="str">
        <x:v>산악1</x:v>
      </x:c>
      <x:c r="K281" s="81" t="str">
        <x:v>—</x:v>
      </x:c>
      <x:c r="L281" s="81" t="str">
        <x:v>—</x:v>
      </x:c>
      <x:c r="M281" s="81" t="str">
        <x:v>—</x:v>
      </x:c>
      <x:c r="N281" s="81" t="str">
        <x:v>—</x:v>
      </x:c>
      <x:c r="O281" s="81" t="str">
        <x:v>평원3</x:v>
      </x:c>
      <x:c r="P281" s="81" t="str">
        <x:v>산악1</x:v>
      </x:c>
      <x:c r="Q281" s="81" t="str">
        <x:v>—</x:v>
      </x:c>
      <x:c r="R281" s="81" t="str">
        <x:v>—</x:v>
      </x:c>
      <x:c r="S281" s="81" t="str">
        <x:v>—</x:v>
      </x:c>
      <x:c r="T281" s="81" t="str">
        <x:v>—</x:v>
      </x:c>
      <x:c r="U281" s="81" t="str">
        <x:v>—</x:v>
      </x:c>
      <x:c r="V281" s="81" t="str">
        <x:v>—</x:v>
      </x:c>
    </x:row>
    <x:row r="282">
      <x:c r="A282" s="80" t="n">
        <x:v>278</x:v>
      </x:c>
      <x:c r="B282" s="80" t="str">
        <x:v>갈모매</x:v>
      </x:c>
      <x:c r="C282" s="80" t="str">
        <x:v>wingull</x:v>
      </x:c>
      <x:c r="D282" s="80" t="str">
        <x:v>해양</x:v>
      </x:c>
      <x:c r="E282" s="81" t="str">
        <x:v>—</x:v>
      </x:c>
      <x:c r="F282" s="81" t="str">
        <x:v>—</x:v>
      </x:c>
      <x:c r="G282" s="81" t="str">
        <x:v>—</x:v>
      </x:c>
      <x:c r="H282" s="81" t="str">
        <x:v>—</x:v>
      </x:c>
      <x:c r="I282" s="81" t="str">
        <x:v>해양1</x:v>
      </x:c>
      <x:c r="J282" s="81" t="str">
        <x:v>담수2</x:v>
      </x:c>
      <x:c r="K282" s="81" t="str">
        <x:v>해양1</x:v>
      </x:c>
      <x:c r="L282" s="81" t="str">
        <x:v>담수1</x:v>
      </x:c>
      <x:c r="M282" s="81" t="str">
        <x:v>해양1</x:v>
      </x:c>
      <x:c r="N282" s="81" t="str">
        <x:v>담수1</x:v>
      </x:c>
      <x:c r="O282" s="81" t="str">
        <x:v>해양2</x:v>
      </x:c>
      <x:c r="P282" s="81" t="str">
        <x:v>담수2</x:v>
      </x:c>
      <x:c r="Q282" s="81" t="str">
        <x:v>해양1</x:v>
      </x:c>
      <x:c r="R282" s="81" t="str">
        <x:v>담수1</x:v>
      </x:c>
      <x:c r="S282" s="81" t="str">
        <x:v>해양1</x:v>
      </x:c>
      <x:c r="T282" s="81" t="str">
        <x:v>담수2</x:v>
      </x:c>
      <x:c r="U282" s="81" t="str">
        <x:v>해양1</x:v>
      </x:c>
      <x:c r="V282" s="81" t="str">
        <x:v>담수2</x:v>
      </x:c>
    </x:row>
    <x:row r="283">
      <x:c r="A283" s="80" t="n">
        <x:v>279</x:v>
      </x:c>
      <x:c r="B283" s="80" t="str">
        <x:v>패리퍼</x:v>
      </x:c>
      <x:c r="C283" s="80" t="str">
        <x:v>pelipper</x:v>
      </x:c>
      <x:c r="D283" s="80" t="str">
        <x:v>해양</x:v>
      </x:c>
      <x:c r="E283" s="81" t="str">
        <x:v>—</x:v>
      </x:c>
      <x:c r="F283" s="81" t="str">
        <x:v>—</x:v>
      </x:c>
      <x:c r="G283" s="81" t="str">
        <x:v>—</x:v>
      </x:c>
      <x:c r="H283" s="81" t="str">
        <x:v>—</x:v>
      </x:c>
      <x:c r="I283" s="81" t="str">
        <x:v>해양1</x:v>
      </x:c>
      <x:c r="J283" s="81" t="str">
        <x:v>담수2</x:v>
      </x:c>
      <x:c r="K283" s="81" t="str">
        <x:v>해양1</x:v>
      </x:c>
      <x:c r="L283" s="81" t="str">
        <x:v>담수1</x:v>
      </x:c>
      <x:c r="M283" s="81" t="str">
        <x:v>해양1</x:v>
      </x:c>
      <x:c r="N283" s="81" t="str">
        <x:v>담수1</x:v>
      </x:c>
      <x:c r="O283" s="81" t="str">
        <x:v>해양2</x:v>
      </x:c>
      <x:c r="P283" s="81" t="str">
        <x:v>담수2</x:v>
      </x:c>
      <x:c r="Q283" s="81" t="str">
        <x:v>해양1</x:v>
      </x:c>
      <x:c r="R283" s="81" t="str">
        <x:v>담수1</x:v>
      </x:c>
      <x:c r="S283" s="81" t="str">
        <x:v>해양1</x:v>
      </x:c>
      <x:c r="T283" s="81" t="str">
        <x:v>담수2</x:v>
      </x:c>
      <x:c r="U283" s="81" t="str">
        <x:v>해양1</x:v>
      </x:c>
      <x:c r="V283" s="81" t="str">
        <x:v>담수2</x:v>
      </x:c>
    </x:row>
    <x:row r="284">
      <x:c r="A284" s="80" t="n">
        <x:v>280</x:v>
      </x:c>
      <x:c r="B284" s="80" t="str">
        <x:v>랄토스</x:v>
      </x:c>
      <x:c r="C284" s="80" t="str">
        <x:v>ralts</x:v>
      </x:c>
      <x:c r="D284" s="80" t="str">
        <x:v>숲</x:v>
      </x:c>
      <x:c r="E284" s="81" t="str">
        <x:v>—</x:v>
      </x:c>
      <x:c r="F284" s="81" t="str">
        <x:v>—</x:v>
      </x:c>
      <x:c r="G284" s="81" t="str">
        <x:v>—</x:v>
      </x:c>
      <x:c r="H284" s="81" t="str">
        <x:v>—</x:v>
      </x:c>
      <x:c r="I284" s="81" t="str">
        <x:v>숲2</x:v>
      </x:c>
      <x:c r="J284" s="81" t="str">
        <x:v>평원2</x:v>
      </x:c>
      <x:c r="K284" s="81" t="str">
        <x:v>숲2</x:v>
      </x:c>
      <x:c r="L284" s="81" t="str">
        <x:v>평원2</x:v>
      </x:c>
      <x:c r="M284" s="81" t="str">
        <x:v>—</x:v>
      </x:c>
      <x:c r="N284" s="81" t="str">
        <x:v>—</x:v>
      </x:c>
      <x:c r="O284" s="81" t="str">
        <x:v>숲2</x:v>
      </x:c>
      <x:c r="P284" s="81" t="str">
        <x:v>평원3</x:v>
      </x:c>
      <x:c r="Q284" s="81" t="str">
        <x:v>—</x:v>
      </x:c>
      <x:c r="R284" s="81" t="str">
        <x:v>—</x:v>
      </x:c>
      <x:c r="S284" s="81" t="str">
        <x:v>숲2</x:v>
      </x:c>
      <x:c r="T284" s="81" t="str">
        <x:v>평원2</x:v>
      </x:c>
      <x:c r="U284" s="81" t="str">
        <x:v>숲2</x:v>
      </x:c>
      <x:c r="V284" s="81" t="str">
        <x:v>평원3</x:v>
      </x:c>
    </x:row>
    <x:row r="285">
      <x:c r="A285" s="80" t="n">
        <x:v>281</x:v>
      </x:c>
      <x:c r="B285" s="80" t="str">
        <x:v>킬리아</x:v>
      </x:c>
      <x:c r="C285" s="80" t="str">
        <x:v>kirlia</x:v>
      </x:c>
      <x:c r="D285" s="80" t="str">
        <x:v>숲</x:v>
      </x:c>
      <x:c r="E285" s="81" t="str">
        <x:v>—</x:v>
      </x:c>
      <x:c r="F285" s="81" t="str">
        <x:v>—</x:v>
      </x:c>
      <x:c r="G285" s="81" t="str">
        <x:v>—</x:v>
      </x:c>
      <x:c r="H285" s="81" t="str">
        <x:v>—</x:v>
      </x:c>
      <x:c r="I285" s="81" t="str">
        <x:v>숲2</x:v>
      </x:c>
      <x:c r="J285" s="81" t="str">
        <x:v>평원2</x:v>
      </x:c>
      <x:c r="K285" s="81" t="str">
        <x:v>숲2</x:v>
      </x:c>
      <x:c r="L285" s="81" t="str">
        <x:v>평원2</x:v>
      </x:c>
      <x:c r="M285" s="81" t="str">
        <x:v>—</x:v>
      </x:c>
      <x:c r="N285" s="81" t="str">
        <x:v>—</x:v>
      </x:c>
      <x:c r="O285" s="81" t="str">
        <x:v>숲2</x:v>
      </x:c>
      <x:c r="P285" s="81" t="str">
        <x:v>평원3</x:v>
      </x:c>
      <x:c r="Q285" s="81" t="str">
        <x:v>—</x:v>
      </x:c>
      <x:c r="R285" s="81" t="str">
        <x:v>—</x:v>
      </x:c>
      <x:c r="S285" s="81" t="str">
        <x:v>숲2</x:v>
      </x:c>
      <x:c r="T285" s="81" t="str">
        <x:v>평원2</x:v>
      </x:c>
      <x:c r="U285" s="81" t="str">
        <x:v>숲2</x:v>
      </x:c>
      <x:c r="V285" s="81" t="str">
        <x:v>평원3</x:v>
      </x:c>
    </x:row>
    <x:row r="286">
      <x:c r="A286" s="80" t="n">
        <x:v>282</x:v>
      </x:c>
      <x:c r="B286" s="80" t="str">
        <x:v>가디안</x:v>
      </x:c>
      <x:c r="C286" s="80" t="str">
        <x:v>gardevoir</x:v>
      </x:c>
      <x:c r="D286" s="80" t="str">
        <x:v>숲</x:v>
      </x:c>
      <x:c r="E286" s="81" t="str">
        <x:v>—</x:v>
      </x:c>
      <x:c r="F286" s="81" t="str">
        <x:v>—</x:v>
      </x:c>
      <x:c r="G286" s="81" t="str">
        <x:v>—</x:v>
      </x:c>
      <x:c r="H286" s="81" t="str">
        <x:v>—</x:v>
      </x:c>
      <x:c r="I286" s="81" t="str">
        <x:v>숲2</x:v>
      </x:c>
      <x:c r="J286" s="81" t="str">
        <x:v>평원2</x:v>
      </x:c>
      <x:c r="K286" s="81" t="str">
        <x:v>숲2</x:v>
      </x:c>
      <x:c r="L286" s="81" t="str">
        <x:v>평원2</x:v>
      </x:c>
      <x:c r="M286" s="81" t="str">
        <x:v>—</x:v>
      </x:c>
      <x:c r="N286" s="81" t="str">
        <x:v>—</x:v>
      </x:c>
      <x:c r="O286" s="81" t="str">
        <x:v>숲3</x:v>
      </x:c>
      <x:c r="P286" s="81" t="str">
        <x:v>평원3</x:v>
      </x:c>
      <x:c r="Q286" s="81" t="str">
        <x:v>—</x:v>
      </x:c>
      <x:c r="R286" s="81" t="str">
        <x:v>—</x:v>
      </x:c>
      <x:c r="S286" s="81" t="str">
        <x:v>숲2</x:v>
      </x:c>
      <x:c r="T286" s="81" t="str">
        <x:v>평원2</x:v>
      </x:c>
      <x:c r="U286" s="81" t="str">
        <x:v>숲3</x:v>
      </x:c>
      <x:c r="V286" s="81" t="str">
        <x:v>평원3</x:v>
      </x:c>
    </x:row>
    <x:row r="287">
      <x:c r="A287" s="80" t="n">
        <x:v>283</x:v>
      </x:c>
      <x:c r="B287" s="80" t="str">
        <x:v>비구술</x:v>
      </x:c>
      <x:c r="C287" s="80" t="str">
        <x:v>surskit</x:v>
      </x:c>
      <x:c r="D287" s="80" t="str">
        <x:v>담수</x:v>
      </x:c>
      <x:c r="E287" s="81" t="str">
        <x:v>—</x:v>
      </x:c>
      <x:c r="F287" s="81" t="str">
        <x:v>—</x:v>
      </x:c>
      <x:c r="G287" s="81" t="str">
        <x:v>—</x:v>
      </x:c>
      <x:c r="H287" s="81" t="str">
        <x:v>—</x:v>
      </x:c>
      <x:c r="I287" s="81" t="str">
        <x:v>담수2</x:v>
      </x:c>
      <x:c r="J287" s="81" t="str">
        <x:v>습지1</x:v>
      </x:c>
      <x:c r="K287" s="81" t="str">
        <x:v>—</x:v>
      </x:c>
      <x:c r="L287" s="81" t="str">
        <x:v>—</x:v>
      </x:c>
      <x:c r="M287" s="81" t="str">
        <x:v>—</x:v>
      </x:c>
      <x:c r="N287" s="81" t="str">
        <x:v>—</x:v>
      </x:c>
      <x:c r="O287" s="81" t="str">
        <x:v>담수2</x:v>
      </x:c>
      <x:c r="P287" s="81" t="str">
        <x:v>습지2</x:v>
      </x:c>
      <x:c r="Q287" s="81" t="str">
        <x:v>담수1</x:v>
      </x:c>
      <x:c r="R287" s="81" t="str">
        <x:v>습지1</x:v>
      </x:c>
      <x:c r="S287" s="81" t="str">
        <x:v>—</x:v>
      </x:c>
      <x:c r="T287" s="81" t="str">
        <x:v>—</x:v>
      </x:c>
      <x:c r="U287" s="81" t="str">
        <x:v>담수2</x:v>
      </x:c>
      <x:c r="V287" s="81" t="str">
        <x:v>습지2</x:v>
      </x:c>
    </x:row>
    <x:row r="288">
      <x:c r="A288" s="80" t="n">
        <x:v>284</x:v>
      </x:c>
      <x:c r="B288" s="80" t="str">
        <x:v>비나방</x:v>
      </x:c>
      <x:c r="C288" s="80" t="str">
        <x:v>masquerain</x:v>
      </x:c>
      <x:c r="D288" s="80" t="str">
        <x:v>담수</x:v>
      </x:c>
      <x:c r="E288" s="81" t="str">
        <x:v>—</x:v>
      </x:c>
      <x:c r="F288" s="81" t="str">
        <x:v>—</x:v>
      </x:c>
      <x:c r="G288" s="81" t="str">
        <x:v>—</x:v>
      </x:c>
      <x:c r="H288" s="81" t="str">
        <x:v>—</x:v>
      </x:c>
      <x:c r="I288" s="81" t="str">
        <x:v>담수2</x:v>
      </x:c>
      <x:c r="J288" s="81" t="str">
        <x:v>습지1</x:v>
      </x:c>
      <x:c r="K288" s="81" t="str">
        <x:v>—</x:v>
      </x:c>
      <x:c r="L288" s="81" t="str">
        <x:v>—</x:v>
      </x:c>
      <x:c r="M288" s="81" t="str">
        <x:v>—</x:v>
      </x:c>
      <x:c r="N288" s="81" t="str">
        <x:v>—</x:v>
      </x:c>
      <x:c r="O288" s="81" t="str">
        <x:v>담수2</x:v>
      </x:c>
      <x:c r="P288" s="81" t="str">
        <x:v>습지2</x:v>
      </x:c>
      <x:c r="Q288" s="81" t="str">
        <x:v>담수1</x:v>
      </x:c>
      <x:c r="R288" s="81" t="str">
        <x:v>습지1</x:v>
      </x:c>
      <x:c r="S288" s="81" t="str">
        <x:v>—</x:v>
      </x:c>
      <x:c r="T288" s="81" t="str">
        <x:v>—</x:v>
      </x:c>
      <x:c r="U288" s="81" t="str">
        <x:v>담수2</x:v>
      </x:c>
      <x:c r="V288" s="81" t="str">
        <x:v>습지2</x:v>
      </x:c>
    </x:row>
    <x:row r="289">
      <x:c r="A289" s="80" t="n">
        <x:v>285</x:v>
      </x:c>
      <x:c r="B289" s="80" t="str">
        <x:v>버섯꼬</x:v>
      </x:c>
      <x:c r="C289" s="80" t="str">
        <x:v>shroomish</x:v>
      </x:c>
      <x:c r="D289" s="80" t="str">
        <x:v>숲</x:v>
      </x:c>
      <x:c r="E289" s="81" t="str">
        <x:v>—</x:v>
      </x:c>
      <x:c r="F289" s="81" t="str">
        <x:v>—</x:v>
      </x:c>
      <x:c r="G289" s="81" t="str">
        <x:v>—</x:v>
      </x:c>
      <x:c r="H289" s="81" t="str">
        <x:v>—</x:v>
      </x:c>
      <x:c r="I289" s="81" t="str">
        <x:v>숲2</x:v>
      </x:c>
      <x:c r="J289" s="81" t="str">
        <x:v>평원2</x:v>
      </x:c>
      <x:c r="K289" s="81" t="str">
        <x:v>—</x:v>
      </x:c>
      <x:c r="L289" s="81" t="str">
        <x:v>—</x:v>
      </x:c>
      <x:c r="M289" s="81" t="str">
        <x:v>—</x:v>
      </x:c>
      <x:c r="N289" s="81" t="str">
        <x:v>—</x:v>
      </x:c>
      <x:c r="O289" s="81" t="str">
        <x:v>—</x:v>
      </x:c>
      <x:c r="P289" s="81" t="str">
        <x:v>—</x:v>
      </x:c>
      <x:c r="Q289" s="81" t="str">
        <x:v>—</x:v>
      </x:c>
      <x:c r="R289" s="81" t="str">
        <x:v>—</x:v>
      </x:c>
      <x:c r="S289" s="81" t="str">
        <x:v>—</x:v>
      </x:c>
      <x:c r="T289" s="81" t="str">
        <x:v>—</x:v>
      </x:c>
      <x:c r="U289" s="81" t="str">
        <x:v>숲3</x:v>
      </x:c>
      <x:c r="V289" s="81" t="str">
        <x:v>평원3</x:v>
      </x:c>
    </x:row>
    <x:row r="290">
      <x:c r="A290" s="80" t="n">
        <x:v>286</x:v>
      </x:c>
      <x:c r="B290" s="80" t="str">
        <x:v>버섯모</x:v>
      </x:c>
      <x:c r="C290" s="80" t="str">
        <x:v>breloom</x:v>
      </x:c>
      <x:c r="D290" s="80" t="str">
        <x:v>숲</x:v>
      </x:c>
      <x:c r="E290" s="81" t="str">
        <x:v>—</x:v>
      </x:c>
      <x:c r="F290" s="81" t="str">
        <x:v>—</x:v>
      </x:c>
      <x:c r="G290" s="81" t="str">
        <x:v>—</x:v>
      </x:c>
      <x:c r="H290" s="81" t="str">
        <x:v>—</x:v>
      </x:c>
      <x:c r="I290" s="81" t="str">
        <x:v>숲2</x:v>
      </x:c>
      <x:c r="J290" s="81" t="str">
        <x:v>평원2</x:v>
      </x:c>
      <x:c r="K290" s="81" t="str">
        <x:v>—</x:v>
      </x:c>
      <x:c r="L290" s="81" t="str">
        <x:v>—</x:v>
      </x:c>
      <x:c r="M290" s="81" t="str">
        <x:v>—</x:v>
      </x:c>
      <x:c r="N290" s="81" t="str">
        <x:v>—</x:v>
      </x:c>
      <x:c r="O290" s="81" t="str">
        <x:v>—</x:v>
      </x:c>
      <x:c r="P290" s="81" t="str">
        <x:v>—</x:v>
      </x:c>
      <x:c r="Q290" s="81" t="str">
        <x:v>—</x:v>
      </x:c>
      <x:c r="R290" s="81" t="str">
        <x:v>—</x:v>
      </x:c>
      <x:c r="S290" s="81" t="str">
        <x:v>—</x:v>
      </x:c>
      <x:c r="T290" s="81" t="str">
        <x:v>—</x:v>
      </x:c>
      <x:c r="U290" s="81" t="str">
        <x:v>숲3</x:v>
      </x:c>
      <x:c r="V290" s="81" t="str">
        <x:v>평원3</x:v>
      </x:c>
    </x:row>
    <x:row r="291">
      <x:c r="A291" s="80" t="n">
        <x:v>287</x:v>
      </x:c>
      <x:c r="B291" s="80" t="str">
        <x:v>게을로</x:v>
      </x:c>
      <x:c r="C291" s="80" t="str">
        <x:v>slakoth</x:v>
      </x:c>
      <x:c r="D291" s="80" t="str">
        <x:v>숲</x:v>
      </x:c>
      <x:c r="E291" s="81" t="str">
        <x:v>—</x:v>
      </x:c>
      <x:c r="F291" s="81" t="str">
        <x:v>—</x:v>
      </x:c>
      <x:c r="G291" s="81" t="str">
        <x:v>—</x:v>
      </x:c>
      <x:c r="H291" s="81" t="str">
        <x:v>—</x:v>
      </x:c>
      <x:c r="I291" s="81" t="str">
        <x:v>숲2</x:v>
      </x:c>
      <x:c r="J291" s="81" t="str">
        <x:v>평원2</x:v>
      </x:c>
      <x:c r="K291" s="81" t="str">
        <x:v>—</x:v>
      </x:c>
      <x:c r="L291" s="81" t="str">
        <x:v>—</x:v>
      </x:c>
      <x:c r="M291" s="81" t="str">
        <x:v>숲1</x:v>
      </x:c>
      <x:c r="N291" s="81" t="str">
        <x:v>평원1</x:v>
      </x:c>
      <x:c r="O291" s="81" t="str">
        <x:v>—</x:v>
      </x:c>
      <x:c r="P291" s="81" t="str">
        <x:v>—</x:v>
      </x:c>
      <x:c r="Q291" s="81" t="str">
        <x:v>—</x:v>
      </x:c>
      <x:c r="R291" s="81" t="str">
        <x:v>—</x:v>
      </x:c>
      <x:c r="S291" s="81" t="str">
        <x:v>—</x:v>
      </x:c>
      <x:c r="T291" s="81" t="str">
        <x:v>—</x:v>
      </x:c>
      <x:c r="U291" s="81" t="str">
        <x:v>숲3</x:v>
      </x:c>
      <x:c r="V291" s="81" t="str">
        <x:v>평원3</x:v>
      </x:c>
    </x:row>
    <x:row r="292">
      <x:c r="A292" s="80" t="n">
        <x:v>288</x:v>
      </x:c>
      <x:c r="B292" s="80" t="str">
        <x:v>발바로</x:v>
      </x:c>
      <x:c r="C292" s="80" t="str">
        <x:v>vigoroth</x:v>
      </x:c>
      <x:c r="D292" s="80" t="str">
        <x:v>숲</x:v>
      </x:c>
      <x:c r="E292" s="81" t="str">
        <x:v>—</x:v>
      </x:c>
      <x:c r="F292" s="81" t="str">
        <x:v>—</x:v>
      </x:c>
      <x:c r="G292" s="81" t="str">
        <x:v>—</x:v>
      </x:c>
      <x:c r="H292" s="81" t="str">
        <x:v>—</x:v>
      </x:c>
      <x:c r="I292" s="81" t="str">
        <x:v>숲2</x:v>
      </x:c>
      <x:c r="J292" s="81" t="str">
        <x:v>평원2</x:v>
      </x:c>
      <x:c r="K292" s="81" t="str">
        <x:v>—</x:v>
      </x:c>
      <x:c r="L292" s="81" t="str">
        <x:v>—</x:v>
      </x:c>
      <x:c r="M292" s="81" t="str">
        <x:v>숲1</x:v>
      </x:c>
      <x:c r="N292" s="81" t="str">
        <x:v>평원1</x:v>
      </x:c>
      <x:c r="O292" s="81" t="str">
        <x:v>—</x:v>
      </x:c>
      <x:c r="P292" s="81" t="str">
        <x:v>—</x:v>
      </x:c>
      <x:c r="Q292" s="81" t="str">
        <x:v>—</x:v>
      </x:c>
      <x:c r="R292" s="81" t="str">
        <x:v>—</x:v>
      </x:c>
      <x:c r="S292" s="81" t="str">
        <x:v>—</x:v>
      </x:c>
      <x:c r="T292" s="81" t="str">
        <x:v>—</x:v>
      </x:c>
      <x:c r="U292" s="81" t="str">
        <x:v>숲3</x:v>
      </x:c>
      <x:c r="V292" s="81" t="str">
        <x:v>평원3</x:v>
      </x:c>
    </x:row>
    <x:row r="293">
      <x:c r="A293" s="80" t="n">
        <x:v>289</x:v>
      </x:c>
      <x:c r="B293" s="80" t="str">
        <x:v>게을킹</x:v>
      </x:c>
      <x:c r="C293" s="80" t="str">
        <x:v>slaking</x:v>
      </x:c>
      <x:c r="D293" s="80" t="str">
        <x:v>숲</x:v>
      </x:c>
      <x:c r="E293" s="81" t="str">
        <x:v>—</x:v>
      </x:c>
      <x:c r="F293" s="81" t="str">
        <x:v>—</x:v>
      </x:c>
      <x:c r="G293" s="81" t="str">
        <x:v>—</x:v>
      </x:c>
      <x:c r="H293" s="81" t="str">
        <x:v>—</x:v>
      </x:c>
      <x:c r="I293" s="81" t="str">
        <x:v>숲2</x:v>
      </x:c>
      <x:c r="J293" s="81" t="str">
        <x:v>평원2</x:v>
      </x:c>
      <x:c r="K293" s="81" t="str">
        <x:v>—</x:v>
      </x:c>
      <x:c r="L293" s="81" t="str">
        <x:v>—</x:v>
      </x:c>
      <x:c r="M293" s="81" t="str">
        <x:v>숲1</x:v>
      </x:c>
      <x:c r="N293" s="81" t="str">
        <x:v>평원1</x:v>
      </x:c>
      <x:c r="O293" s="81" t="str">
        <x:v>—</x:v>
      </x:c>
      <x:c r="P293" s="81" t="str">
        <x:v>—</x:v>
      </x:c>
      <x:c r="Q293" s="81" t="str">
        <x:v>—</x:v>
      </x:c>
      <x:c r="R293" s="81" t="str">
        <x:v>—</x:v>
      </x:c>
      <x:c r="S293" s="81" t="str">
        <x:v>—</x:v>
      </x:c>
      <x:c r="T293" s="81" t="str">
        <x:v>—</x:v>
      </x:c>
      <x:c r="U293" s="81" t="str">
        <x:v>숲3</x:v>
      </x:c>
      <x:c r="V293" s="81" t="str">
        <x:v>평원3</x:v>
      </x:c>
    </x:row>
    <x:row r="294">
      <x:c r="A294" s="80" t="n">
        <x:v>290</x:v>
      </x:c>
      <x:c r="B294" s="80" t="str">
        <x:v>토중몬</x:v>
      </x:c>
      <x:c r="C294" s="80" t="str">
        <x:v>nincada</x:v>
      </x:c>
      <x:c r="D294" s="80" t="str">
        <x:v>숲</x:v>
      </x:c>
      <x:c r="E294" s="81" t="str">
        <x:v>—</x:v>
      </x:c>
      <x:c r="F294" s="81" t="str">
        <x:v>—</x:v>
      </x:c>
      <x:c r="G294" s="81" t="str">
        <x:v>—</x:v>
      </x:c>
      <x:c r="H294" s="81" t="str">
        <x:v>—</x:v>
      </x:c>
      <x:c r="I294" s="81" t="str">
        <x:v>숲2</x:v>
      </x:c>
      <x:c r="J294" s="81" t="str">
        <x:v>습지1</x:v>
      </x:c>
      <x:c r="K294" s="81" t="str">
        <x:v>—</x:v>
      </x:c>
      <x:c r="L294" s="81" t="str">
        <x:v>—</x:v>
      </x:c>
      <x:c r="M294" s="81" t="str">
        <x:v>—</x:v>
      </x:c>
      <x:c r="N294" s="81" t="str">
        <x:v>—</x:v>
      </x:c>
      <x:c r="O294" s="81" t="str">
        <x:v>숲3</x:v>
      </x:c>
      <x:c r="P294" s="81" t="str">
        <x:v>습지2</x:v>
      </x:c>
      <x:c r="Q294" s="81" t="str">
        <x:v>—</x:v>
      </x:c>
      <x:c r="R294" s="81" t="str">
        <x:v>—</x:v>
      </x:c>
      <x:c r="S294" s="81" t="str">
        <x:v>숲2</x:v>
      </x:c>
      <x:c r="T294" s="81" t="str">
        <x:v>습지2</x:v>
      </x:c>
      <x:c r="U294" s="81" t="str">
        <x:v>—</x:v>
      </x:c>
      <x:c r="V294" s="81" t="str">
        <x:v>—</x:v>
      </x:c>
    </x:row>
    <x:row r="295">
      <x:c r="A295" s="80" t="n">
        <x:v>291</x:v>
      </x:c>
      <x:c r="B295" s="80" t="str">
        <x:v>아이스크</x:v>
      </x:c>
      <x:c r="C295" s="80" t="str">
        <x:v>ninjask</x:v>
      </x:c>
      <x:c r="D295" s="80" t="str">
        <x:v>숲</x:v>
      </x:c>
      <x:c r="E295" s="81" t="str">
        <x:v>—</x:v>
      </x:c>
      <x:c r="F295" s="81" t="str">
        <x:v>—</x:v>
      </x:c>
      <x:c r="G295" s="81" t="str">
        <x:v>—</x:v>
      </x:c>
      <x:c r="H295" s="81" t="str">
        <x:v>—</x:v>
      </x:c>
      <x:c r="I295" s="81" t="str">
        <x:v>숲2</x:v>
      </x:c>
      <x:c r="J295" s="81" t="str">
        <x:v>평원2</x:v>
      </x:c>
      <x:c r="K295" s="81" t="str">
        <x:v>—</x:v>
      </x:c>
      <x:c r="L295" s="81" t="str">
        <x:v>—</x:v>
      </x:c>
      <x:c r="M295" s="81" t="str">
        <x:v>—</x:v>
      </x:c>
      <x:c r="N295" s="81" t="str">
        <x:v>—</x:v>
      </x:c>
      <x:c r="O295" s="81" t="str">
        <x:v>숲3</x:v>
      </x:c>
      <x:c r="P295" s="81" t="str">
        <x:v>평원3</x:v>
      </x:c>
      <x:c r="Q295" s="81" t="str">
        <x:v>—</x:v>
      </x:c>
      <x:c r="R295" s="81" t="str">
        <x:v>—</x:v>
      </x:c>
      <x:c r="S295" s="81" t="str">
        <x:v>숲2</x:v>
      </x:c>
      <x:c r="T295" s="81" t="str">
        <x:v>평원2</x:v>
      </x:c>
      <x:c r="U295" s="81" t="str">
        <x:v>—</x:v>
      </x:c>
      <x:c r="V295" s="81" t="str">
        <x:v>—</x:v>
      </x:c>
    </x:row>
    <x:row r="296">
      <x:c r="A296" s="80" t="n">
        <x:v>292</x:v>
      </x:c>
      <x:c r="B296" s="80" t="str">
        <x:v>껍질몬</x:v>
      </x:c>
      <x:c r="C296" s="80" t="str">
        <x:v>shedinja</x:v>
      </x:c>
      <x:c r="D296" s="80" t="str">
        <x:v>숲</x:v>
      </x:c>
      <x:c r="E296" s="81" t="str">
        <x:v>—</x:v>
      </x:c>
      <x:c r="F296" s="81" t="str">
        <x:v>—</x:v>
      </x:c>
      <x:c r="G296" s="81" t="str">
        <x:v>—</x:v>
      </x:c>
      <x:c r="H296" s="81" t="str">
        <x:v>—</x:v>
      </x:c>
      <x:c r="I296" s="81" t="str">
        <x:v>숲2</x:v>
      </x:c>
      <x:c r="J296" s="81" t="str">
        <x:v>특수1</x:v>
      </x:c>
      <x:c r="K296" s="81" t="str">
        <x:v>—</x:v>
      </x:c>
      <x:c r="L296" s="81" t="str">
        <x:v>—</x:v>
      </x:c>
      <x:c r="M296" s="81" t="str">
        <x:v>—</x:v>
      </x:c>
      <x:c r="N296" s="81" t="str">
        <x:v>—</x:v>
      </x:c>
      <x:c r="O296" s="81" t="str">
        <x:v>숲3</x:v>
      </x:c>
      <x:c r="P296" s="81" t="str">
        <x:v>특수1</x:v>
      </x:c>
      <x:c r="Q296" s="81" t="str">
        <x:v>—</x:v>
      </x:c>
      <x:c r="R296" s="81" t="str">
        <x:v>—</x:v>
      </x:c>
      <x:c r="S296" s="81" t="str">
        <x:v>숲2</x:v>
      </x:c>
      <x:c r="T296" s="81" t="str">
        <x:v>특수1</x:v>
      </x:c>
      <x:c r="U296" s="81" t="str">
        <x:v>—</x:v>
      </x:c>
      <x:c r="V296" s="81" t="str">
        <x:v>—</x:v>
      </x:c>
    </x:row>
    <x:row r="297">
      <x:c r="A297" s="80" t="n">
        <x:v>293</x:v>
      </x:c>
      <x:c r="B297" s="80" t="str">
        <x:v>소곤룡</x:v>
      </x:c>
      <x:c r="C297" s="80" t="str">
        <x:v>whismur</x:v>
      </x:c>
      <x:c r="D297" s="80" t="str">
        <x:v>동굴</x:v>
      </x:c>
      <x:c r="E297" s="81" t="str">
        <x:v>—</x:v>
      </x:c>
      <x:c r="F297" s="81" t="str">
        <x:v>—</x:v>
      </x:c>
      <x:c r="G297" s="81" t="str">
        <x:v>—</x:v>
      </x:c>
      <x:c r="H297" s="81" t="str">
        <x:v>—</x:v>
      </x:c>
      <x:c r="I297" s="81" t="str">
        <x:v>동굴1</x:v>
      </x:c>
      <x:c r="J297" s="81" t="str">
        <x:v>평원2</x:v>
      </x:c>
      <x:c r="K297" s="81" t="str">
        <x:v>—</x:v>
      </x:c>
      <x:c r="L297" s="81" t="str">
        <x:v>—</x:v>
      </x:c>
      <x:c r="M297" s="81" t="str">
        <x:v>—</x:v>
      </x:c>
      <x:c r="N297" s="81" t="str">
        <x:v>—</x:v>
      </x:c>
      <x:c r="O297" s="81" t="str">
        <x:v>동굴1</x:v>
      </x:c>
      <x:c r="P297" s="81" t="str">
        <x:v>평원3</x:v>
      </x:c>
      <x:c r="Q297" s="81" t="str">
        <x:v>—</x:v>
      </x:c>
      <x:c r="R297" s="81" t="str">
        <x:v>—</x:v>
      </x:c>
      <x:c r="S297" s="81" t="str">
        <x:v>동굴1</x:v>
      </x:c>
      <x:c r="T297" s="81" t="str">
        <x:v>평원2</x:v>
      </x:c>
      <x:c r="U297" s="81" t="str">
        <x:v>—</x:v>
      </x:c>
      <x:c r="V297" s="81" t="str">
        <x:v>—</x:v>
      </x:c>
    </x:row>
    <x:row r="298">
      <x:c r="A298" s="80" t="n">
        <x:v>294</x:v>
      </x:c>
      <x:c r="B298" s="80" t="str">
        <x:v>노공룡</x:v>
      </x:c>
      <x:c r="C298" s="80" t="str">
        <x:v>loudred</x:v>
      </x:c>
      <x:c r="D298" s="80" t="str">
        <x:v>동굴</x:v>
      </x:c>
      <x:c r="E298" s="81" t="str">
        <x:v>—</x:v>
      </x:c>
      <x:c r="F298" s="81" t="str">
        <x:v>—</x:v>
      </x:c>
      <x:c r="G298" s="81" t="str">
        <x:v>—</x:v>
      </x:c>
      <x:c r="H298" s="81" t="str">
        <x:v>—</x:v>
      </x:c>
      <x:c r="I298" s="81" t="str">
        <x:v>동굴1</x:v>
      </x:c>
      <x:c r="J298" s="81" t="str">
        <x:v>평원2</x:v>
      </x:c>
      <x:c r="K298" s="81" t="str">
        <x:v>—</x:v>
      </x:c>
      <x:c r="L298" s="81" t="str">
        <x:v>—</x:v>
      </x:c>
      <x:c r="M298" s="81" t="str">
        <x:v>—</x:v>
      </x:c>
      <x:c r="N298" s="81" t="str">
        <x:v>—</x:v>
      </x:c>
      <x:c r="O298" s="81" t="str">
        <x:v>동굴1</x:v>
      </x:c>
      <x:c r="P298" s="81" t="str">
        <x:v>평원3</x:v>
      </x:c>
      <x:c r="Q298" s="81" t="str">
        <x:v>—</x:v>
      </x:c>
      <x:c r="R298" s="81" t="str">
        <x:v>—</x:v>
      </x:c>
      <x:c r="S298" s="81" t="str">
        <x:v>동굴1</x:v>
      </x:c>
      <x:c r="T298" s="81" t="str">
        <x:v>평원2</x:v>
      </x:c>
      <x:c r="U298" s="81" t="str">
        <x:v>—</x:v>
      </x:c>
      <x:c r="V298" s="81" t="str">
        <x:v>—</x:v>
      </x:c>
    </x:row>
    <x:row r="299">
      <x:c r="A299" s="80" t="n">
        <x:v>295</x:v>
      </x:c>
      <x:c r="B299" s="80" t="str">
        <x:v>폭음룡</x:v>
      </x:c>
      <x:c r="C299" s="80" t="str">
        <x:v>exploud</x:v>
      </x:c>
      <x:c r="D299" s="80" t="str">
        <x:v>동굴</x:v>
      </x:c>
      <x:c r="E299" s="81" t="str">
        <x:v>—</x:v>
      </x:c>
      <x:c r="F299" s="81" t="str">
        <x:v>—</x:v>
      </x:c>
      <x:c r="G299" s="81" t="str">
        <x:v>—</x:v>
      </x:c>
      <x:c r="H299" s="81" t="str">
        <x:v>—</x:v>
      </x:c>
      <x:c r="I299" s="81" t="str">
        <x:v>동굴1</x:v>
      </x:c>
      <x:c r="J299" s="81" t="str">
        <x:v>평원2</x:v>
      </x:c>
      <x:c r="K299" s="81" t="str">
        <x:v>—</x:v>
      </x:c>
      <x:c r="L299" s="81" t="str">
        <x:v>—</x:v>
      </x:c>
      <x:c r="M299" s="81" t="str">
        <x:v>—</x:v>
      </x:c>
      <x:c r="N299" s="81" t="str">
        <x:v>—</x:v>
      </x:c>
      <x:c r="O299" s="81" t="str">
        <x:v>동굴1</x:v>
      </x:c>
      <x:c r="P299" s="81" t="str">
        <x:v>평원3</x:v>
      </x:c>
      <x:c r="Q299" s="81" t="str">
        <x:v>—</x:v>
      </x:c>
      <x:c r="R299" s="81" t="str">
        <x:v>—</x:v>
      </x:c>
      <x:c r="S299" s="81" t="str">
        <x:v>동굴1</x:v>
      </x:c>
      <x:c r="T299" s="81" t="str">
        <x:v>평원2</x:v>
      </x:c>
      <x:c r="U299" s="81" t="str">
        <x:v>—</x:v>
      </x:c>
      <x:c r="V299" s="81" t="str">
        <x:v>—</x:v>
      </x:c>
    </x:row>
    <x:row r="300">
      <x:c r="A300" s="80" t="n">
        <x:v>296</x:v>
      </x:c>
      <x:c r="B300" s="80" t="str">
        <x:v>마크탕</x:v>
      </x:c>
      <x:c r="C300" s="80" t="str">
        <x:v>makuhita</x:v>
      </x:c>
      <x:c r="D300" s="80" t="str">
        <x:v>산악</x:v>
      </x:c>
      <x:c r="E300" s="81" t="str">
        <x:v>—</x:v>
      </x:c>
      <x:c r="F300" s="81" t="str">
        <x:v>—</x:v>
      </x:c>
      <x:c r="G300" s="81" t="str">
        <x:v>—</x:v>
      </x:c>
      <x:c r="H300" s="81" t="str">
        <x:v>—</x:v>
      </x:c>
      <x:c r="I300" s="81" t="str">
        <x:v>산악1</x:v>
      </x:c>
      <x:c r="J300" s="81" t="str">
        <x:v>평원2</x:v>
      </x:c>
      <x:c r="K300" s="81" t="str">
        <x:v>—</x:v>
      </x:c>
      <x:c r="L300" s="81" t="str">
        <x:v>—</x:v>
      </x:c>
      <x:c r="M300" s="81" t="str">
        <x:v>—</x:v>
      </x:c>
      <x:c r="N300" s="81" t="str">
        <x:v>—</x:v>
      </x:c>
      <x:c r="O300" s="81" t="str">
        <x:v>산악2</x:v>
      </x:c>
      <x:c r="P300" s="81" t="str">
        <x:v>평원3</x:v>
      </x:c>
      <x:c r="Q300" s="81" t="str">
        <x:v>산악2</x:v>
      </x:c>
      <x:c r="R300" s="81" t="str">
        <x:v>평원3</x:v>
      </x:c>
      <x:c r="S300" s="81" t="str">
        <x:v>—</x:v>
      </x:c>
      <x:c r="T300" s="81" t="str">
        <x:v>—</x:v>
      </x:c>
      <x:c r="U300" s="81" t="str">
        <x:v>산악2</x:v>
      </x:c>
      <x:c r="V300" s="81" t="str">
        <x:v>평원3</x:v>
      </x:c>
    </x:row>
    <x:row r="301">
      <x:c r="A301" s="80" t="n">
        <x:v>297</x:v>
      </x:c>
      <x:c r="B301" s="80" t="str">
        <x:v>하리뭉</x:v>
      </x:c>
      <x:c r="C301" s="80" t="str">
        <x:v>hariyama</x:v>
      </x:c>
      <x:c r="D301" s="80" t="str">
        <x:v>산악</x:v>
      </x:c>
      <x:c r="E301" s="81" t="str">
        <x:v>—</x:v>
      </x:c>
      <x:c r="F301" s="81" t="str">
        <x:v>—</x:v>
      </x:c>
      <x:c r="G301" s="81" t="str">
        <x:v>—</x:v>
      </x:c>
      <x:c r="H301" s="81" t="str">
        <x:v>—</x:v>
      </x:c>
      <x:c r="I301" s="81" t="str">
        <x:v>산악1</x:v>
      </x:c>
      <x:c r="J301" s="81" t="str">
        <x:v>평원2</x:v>
      </x:c>
      <x:c r="K301" s="81" t="str">
        <x:v>—</x:v>
      </x:c>
      <x:c r="L301" s="81" t="str">
        <x:v>—</x:v>
      </x:c>
      <x:c r="M301" s="81" t="str">
        <x:v>—</x:v>
      </x:c>
      <x:c r="N301" s="81" t="str">
        <x:v>—</x:v>
      </x:c>
      <x:c r="O301" s="81" t="str">
        <x:v>산악2</x:v>
      </x:c>
      <x:c r="P301" s="81" t="str">
        <x:v>평원3</x:v>
      </x:c>
      <x:c r="Q301" s="81" t="str">
        <x:v>산악2</x:v>
      </x:c>
      <x:c r="R301" s="81" t="str">
        <x:v>평원3</x:v>
      </x:c>
      <x:c r="S301" s="81" t="str">
        <x:v>—</x:v>
      </x:c>
      <x:c r="T301" s="81" t="str">
        <x:v>—</x:v>
      </x:c>
      <x:c r="U301" s="81" t="str">
        <x:v>산악2</x:v>
      </x:c>
      <x:c r="V301" s="81" t="str">
        <x:v>평원3</x:v>
      </x:c>
    </x:row>
    <x:row r="302">
      <x:c r="A302" s="80" t="n">
        <x:v>298</x:v>
      </x:c>
      <x:c r="B302" s="80" t="str">
        <x:v>루리리</x:v>
      </x:c>
      <x:c r="C302" s="80" t="str">
        <x:v>azurill</x:v>
      </x:c>
      <x:c r="D302" s="80" t="str">
        <x:v>숲</x:v>
      </x:c>
      <x:c r="E302" s="81" t="str">
        <x:v>—</x:v>
      </x:c>
      <x:c r="F302" s="81" t="str">
        <x:v>—</x:v>
      </x:c>
      <x:c r="G302" s="81" t="str">
        <x:v>—</x:v>
      </x:c>
      <x:c r="H302" s="81" t="str">
        <x:v>—</x:v>
      </x:c>
      <x:c r="I302" s="81" t="str">
        <x:v>숲2</x:v>
      </x:c>
      <x:c r="J302" s="81" t="str">
        <x:v>평원2</x:v>
      </x:c>
      <x:c r="K302" s="81" t="str">
        <x:v>숲2</x:v>
      </x:c>
      <x:c r="L302" s="81" t="str">
        <x:v>평원2</x:v>
      </x:c>
      <x:c r="M302" s="81" t="str">
        <x:v>숲1</x:v>
      </x:c>
      <x:c r="N302" s="81" t="str">
        <x:v>평원2</x:v>
      </x:c>
      <x:c r="O302" s="81" t="str">
        <x:v>숲3</x:v>
      </x:c>
      <x:c r="P302" s="81" t="str">
        <x:v>평원3</x:v>
      </x:c>
      <x:c r="Q302" s="81" t="str">
        <x:v>—</x:v>
      </x:c>
      <x:c r="R302" s="81" t="str">
        <x:v>—</x:v>
      </x:c>
      <x:c r="S302" s="81" t="str">
        <x:v>숲2</x:v>
      </x:c>
      <x:c r="T302" s="81" t="str">
        <x:v>평원3</x:v>
      </x:c>
      <x:c r="U302" s="81" t="str">
        <x:v>숲3</x:v>
      </x:c>
      <x:c r="V302" s="81" t="str">
        <x:v>평원3</x:v>
      </x:c>
    </x:row>
    <x:row r="303">
      <x:c r="A303" s="80" t="n">
        <x:v>299</x:v>
      </x:c>
      <x:c r="B303" s="80" t="str">
        <x:v>코코파스</x:v>
      </x:c>
      <x:c r="C303" s="80" t="str">
        <x:v>nosepass</x:v>
      </x:c>
      <x:c r="D303" s="80" t="str">
        <x:v>산악</x:v>
      </x:c>
      <x:c r="E303" s="81" t="str">
        <x:v>—</x:v>
      </x:c>
      <x:c r="F303" s="81" t="str">
        <x:v>—</x:v>
      </x:c>
      <x:c r="G303" s="81" t="str">
        <x:v>—</x:v>
      </x:c>
      <x:c r="H303" s="81" t="str">
        <x:v>—</x:v>
      </x:c>
      <x:c r="I303" s="81" t="str">
        <x:v>산악2</x:v>
      </x:c>
      <x:c r="J303" s="81" t="str">
        <x:v>평원2</x:v>
      </x:c>
      <x:c r="K303" s="81" t="str">
        <x:v>산악1</x:v>
      </x:c>
      <x:c r="L303" s="81" t="str">
        <x:v>평원2</x:v>
      </x:c>
      <x:c r="M303" s="81" t="str">
        <x:v>산악1</x:v>
      </x:c>
      <x:c r="N303" s="81" t="str">
        <x:v>평원2</x:v>
      </x:c>
      <x:c r="O303" s="81" t="str">
        <x:v>산악2</x:v>
      </x:c>
      <x:c r="P303" s="81" t="str">
        <x:v>평원3</x:v>
      </x:c>
      <x:c r="Q303" s="81" t="str">
        <x:v>산악2</x:v>
      </x:c>
      <x:c r="R303" s="81" t="str">
        <x:v>평원3</x:v>
      </x:c>
      <x:c r="S303" s="81" t="str">
        <x:v>—</x:v>
      </x:c>
      <x:c r="T303" s="81" t="str">
        <x:v>—</x:v>
      </x:c>
      <x:c r="U303" s="81" t="str">
        <x:v>산악2</x:v>
      </x:c>
      <x:c r="V303" s="81" t="str">
        <x:v>평원3</x:v>
      </x:c>
    </x:row>
    <x:row r="304">
      <x:c r="A304" s="80" t="n">
        <x:v>300</x:v>
      </x:c>
      <x:c r="B304" s="80" t="str">
        <x:v>에나비</x:v>
      </x:c>
      <x:c r="C304" s="80" t="str">
        <x:v>skitty</x:v>
      </x:c>
      <x:c r="D304" s="80" t="str">
        <x:v>건조지</x:v>
      </x:c>
      <x:c r="E304" s="81" t="str">
        <x:v>—</x:v>
      </x:c>
      <x:c r="F304" s="81" t="str">
        <x:v>—</x:v>
      </x:c>
      <x:c r="G304" s="81" t="str">
        <x:v>—</x:v>
      </x:c>
      <x:c r="H304" s="81" t="str">
        <x:v>—</x:v>
      </x:c>
      <x:c r="I304" s="81" t="str">
        <x:v>건조지1</x:v>
      </x:c>
      <x:c r="J304" s="81" t="str">
        <x:v>평원2</x:v>
      </x:c>
      <x:c r="K304" s="81" t="str">
        <x:v>—</x:v>
      </x:c>
      <x:c r="L304" s="81" t="str">
        <x:v>—</x:v>
      </x:c>
      <x:c r="M304" s="81" t="str">
        <x:v>건조지1</x:v>
      </x:c>
      <x:c r="N304" s="81" t="str">
        <x:v>평원2</x:v>
      </x:c>
      <x:c r="O304" s="81" t="str">
        <x:v>건조지1</x:v>
      </x:c>
      <x:c r="P304" s="81" t="str">
        <x:v>평원3</x:v>
      </x:c>
      <x:c r="Q304" s="81" t="str">
        <x:v>—</x:v>
      </x:c>
      <x:c r="R304" s="81" t="str">
        <x:v>—</x:v>
      </x:c>
      <x:c r="S304" s="81" t="str">
        <x:v>—</x:v>
      </x:c>
      <x:c r="T304" s="81" t="str">
        <x:v>—</x:v>
      </x:c>
      <x:c r="U304" s="81" t="str">
        <x:v>—</x:v>
      </x:c>
      <x:c r="V304" s="81" t="str">
        <x:v>—</x:v>
      </x:c>
    </x:row>
    <x:row r="305">
      <x:c r="A305" s="80" t="n">
        <x:v>301</x:v>
      </x:c>
      <x:c r="B305" s="80" t="str">
        <x:v>델케티</x:v>
      </x:c>
      <x:c r="C305" s="80" t="str">
        <x:v>delcatty</x:v>
      </x:c>
      <x:c r="D305" s="80" t="str">
        <x:v>건조지</x:v>
      </x:c>
      <x:c r="E305" s="81" t="str">
        <x:v>—</x:v>
      </x:c>
      <x:c r="F305" s="81" t="str">
        <x:v>—</x:v>
      </x:c>
      <x:c r="G305" s="81" t="str">
        <x:v>—</x:v>
      </x:c>
      <x:c r="H305" s="81" t="str">
        <x:v>—</x:v>
      </x:c>
      <x:c r="I305" s="81" t="str">
        <x:v>건조지1</x:v>
      </x:c>
      <x:c r="J305" s="81" t="str">
        <x:v>평원3</x:v>
      </x:c>
      <x:c r="K305" s="81" t="str">
        <x:v>—</x:v>
      </x:c>
      <x:c r="L305" s="81" t="str">
        <x:v>—</x:v>
      </x:c>
      <x:c r="M305" s="81" t="str">
        <x:v>건조지1</x:v>
      </x:c>
      <x:c r="N305" s="81" t="str">
        <x:v>평원2</x:v>
      </x:c>
      <x:c r="O305" s="81" t="str">
        <x:v>건조지1</x:v>
      </x:c>
      <x:c r="P305" s="81" t="str">
        <x:v>평원3</x:v>
      </x:c>
      <x:c r="Q305" s="81" t="str">
        <x:v>—</x:v>
      </x:c>
      <x:c r="R305" s="81" t="str">
        <x:v>—</x:v>
      </x:c>
      <x:c r="S305" s="81" t="str">
        <x:v>—</x:v>
      </x:c>
      <x:c r="T305" s="81" t="str">
        <x:v>—</x:v>
      </x:c>
      <x:c r="U305" s="81" t="str">
        <x:v>—</x:v>
      </x:c>
      <x:c r="V305" s="81" t="str">
        <x:v>—</x:v>
      </x:c>
    </x:row>
    <x:row r="306">
      <x:c r="A306" s="80" t="n">
        <x:v>302</x:v>
      </x:c>
      <x:c r="B306" s="80" t="str">
        <x:v>깜까미</x:v>
      </x:c>
      <x:c r="C306" s="80" t="str">
        <x:v>sableye</x:v>
      </x:c>
      <x:c r="D306" s="80" t="str">
        <x:v>동굴</x:v>
      </x:c>
      <x:c r="E306" s="81" t="str">
        <x:v>—</x:v>
      </x:c>
      <x:c r="F306" s="81" t="str">
        <x:v>—</x:v>
      </x:c>
      <x:c r="G306" s="81" t="str">
        <x:v>—</x:v>
      </x:c>
      <x:c r="H306" s="81" t="str">
        <x:v>—</x:v>
      </x:c>
      <x:c r="I306" s="81" t="str">
        <x:v>동굴1</x:v>
      </x:c>
      <x:c r="J306" s="81" t="str">
        <x:v>특수1</x:v>
      </x:c>
      <x:c r="K306" s="81" t="str">
        <x:v>—</x:v>
      </x:c>
      <x:c r="L306" s="81" t="str">
        <x:v>—</x:v>
      </x:c>
      <x:c r="M306" s="81" t="str">
        <x:v>—</x:v>
      </x:c>
      <x:c r="N306" s="81" t="str">
        <x:v>—</x:v>
      </x:c>
      <x:c r="O306" s="81" t="str">
        <x:v>동굴1</x:v>
      </x:c>
      <x:c r="P306" s="81" t="str">
        <x:v>특수1</x:v>
      </x:c>
      <x:c r="Q306" s="81" t="str">
        <x:v>동굴1</x:v>
      </x:c>
      <x:c r="R306" s="81" t="str">
        <x:v>특수1</x:v>
      </x:c>
      <x:c r="S306" s="81" t="str">
        <x:v>동굴1</x:v>
      </x:c>
      <x:c r="T306" s="81" t="str">
        <x:v>특수1</x:v>
      </x:c>
      <x:c r="U306" s="81" t="str">
        <x:v>동굴1</x:v>
      </x:c>
      <x:c r="V306" s="81" t="str">
        <x:v>특수1</x:v>
      </x:c>
    </x:row>
    <x:row r="307">
      <x:c r="A307" s="80" t="n">
        <x:v>303</x:v>
      </x:c>
      <x:c r="B307" s="80" t="str">
        <x:v>입치트</x:v>
      </x:c>
      <x:c r="C307" s="80" t="str">
        <x:v>mawile</x:v>
      </x:c>
      <x:c r="D307" s="80" t="str">
        <x:v>동굴</x:v>
      </x:c>
      <x:c r="E307" s="81" t="str">
        <x:v>—</x:v>
      </x:c>
      <x:c r="F307" s="81" t="str">
        <x:v>—</x:v>
      </x:c>
      <x:c r="G307" s="81" t="str">
        <x:v>—</x:v>
      </x:c>
      <x:c r="H307" s="81" t="str">
        <x:v>—</x:v>
      </x:c>
      <x:c r="I307" s="81" t="str">
        <x:v>동굴1</x:v>
      </x:c>
      <x:c r="J307" s="81" t="str">
        <x:v>평원3</x:v>
      </x:c>
      <x:c r="K307" s="81" t="str">
        <x:v>—</x:v>
      </x:c>
      <x:c r="L307" s="81" t="str">
        <x:v>—</x:v>
      </x:c>
      <x:c r="M307" s="81" t="str">
        <x:v>—</x:v>
      </x:c>
      <x:c r="N307" s="81" t="str">
        <x:v>—</x:v>
      </x:c>
      <x:c r="O307" s="81" t="str">
        <x:v>동굴1</x:v>
      </x:c>
      <x:c r="P307" s="81" t="str">
        <x:v>평원3</x:v>
      </x:c>
      <x:c r="Q307" s="81" t="str">
        <x:v>동굴1</x:v>
      </x:c>
      <x:c r="R307" s="81" t="str">
        <x:v>평원3</x:v>
      </x:c>
      <x:c r="S307" s="81" t="str">
        <x:v>동굴1</x:v>
      </x:c>
      <x:c r="T307" s="81" t="str">
        <x:v>평원3</x:v>
      </x:c>
      <x:c r="U307" s="81" t="str">
        <x:v>—</x:v>
      </x:c>
      <x:c r="V307" s="81" t="str">
        <x:v>—</x:v>
      </x:c>
    </x:row>
    <x:row r="308">
      <x:c r="A308" s="80" t="n">
        <x:v>304</x:v>
      </x:c>
      <x:c r="B308" s="80" t="str">
        <x:v>가보리</x:v>
      </x:c>
      <x:c r="C308" s="80" t="str">
        <x:v>aron</x:v>
      </x:c>
      <x:c r="D308" s="80" t="str">
        <x:v>산악</x:v>
      </x:c>
      <x:c r="E308" s="81" t="str">
        <x:v>—</x:v>
      </x:c>
      <x:c r="F308" s="81" t="str">
        <x:v>—</x:v>
      </x:c>
      <x:c r="G308" s="81" t="str">
        <x:v>—</x:v>
      </x:c>
      <x:c r="H308" s="81" t="str">
        <x:v>—</x:v>
      </x:c>
      <x:c r="I308" s="81" t="str">
        <x:v>산악2</x:v>
      </x:c>
      <x:c r="J308" s="81" t="str">
        <x:v>평원3</x:v>
      </x:c>
      <x:c r="K308" s="81" t="str">
        <x:v>—</x:v>
      </x:c>
      <x:c r="L308" s="81" t="str">
        <x:v>—</x:v>
      </x:c>
      <x:c r="M308" s="81" t="str">
        <x:v>산악1</x:v>
      </x:c>
      <x:c r="N308" s="81" t="str">
        <x:v>평원2</x:v>
      </x:c>
      <x:c r="O308" s="81" t="str">
        <x:v>산악2</x:v>
      </x:c>
      <x:c r="P308" s="81" t="str">
        <x:v>평원3</x:v>
      </x:c>
      <x:c r="Q308" s="81" t="str">
        <x:v>—</x:v>
      </x:c>
      <x:c r="R308" s="81" t="str">
        <x:v>—</x:v>
      </x:c>
      <x:c r="S308" s="81" t="str">
        <x:v>산악2</x:v>
      </x:c>
      <x:c r="T308" s="81" t="str">
        <x:v>평원3</x:v>
      </x:c>
      <x:c r="U308" s="81" t="str">
        <x:v>—</x:v>
      </x:c>
      <x:c r="V308" s="81" t="str">
        <x:v>—</x:v>
      </x:c>
    </x:row>
    <x:row r="309">
      <x:c r="A309" s="80" t="n">
        <x:v>305</x:v>
      </x:c>
      <x:c r="B309" s="80" t="str">
        <x:v>갱도라</x:v>
      </x:c>
      <x:c r="C309" s="80" t="str">
        <x:v>lairon</x:v>
      </x:c>
      <x:c r="D309" s="80" t="str">
        <x:v>산악</x:v>
      </x:c>
      <x:c r="E309" s="81" t="str">
        <x:v>—</x:v>
      </x:c>
      <x:c r="F309" s="81" t="str">
        <x:v>—</x:v>
      </x:c>
      <x:c r="G309" s="81" t="str">
        <x:v>—</x:v>
      </x:c>
      <x:c r="H309" s="81" t="str">
        <x:v>—</x:v>
      </x:c>
      <x:c r="I309" s="81" t="str">
        <x:v>산악2</x:v>
      </x:c>
      <x:c r="J309" s="81" t="str">
        <x:v>평원3</x:v>
      </x:c>
      <x:c r="K309" s="81" t="str">
        <x:v>—</x:v>
      </x:c>
      <x:c r="L309" s="81" t="str">
        <x:v>—</x:v>
      </x:c>
      <x:c r="M309" s="81" t="str">
        <x:v>산악1</x:v>
      </x:c>
      <x:c r="N309" s="81" t="str">
        <x:v>평원2</x:v>
      </x:c>
      <x:c r="O309" s="81" t="str">
        <x:v>산악2</x:v>
      </x:c>
      <x:c r="P309" s="81" t="str">
        <x:v>평원3</x:v>
      </x:c>
      <x:c r="Q309" s="81" t="str">
        <x:v>—</x:v>
      </x:c>
      <x:c r="R309" s="81" t="str">
        <x:v>—</x:v>
      </x:c>
      <x:c r="S309" s="81" t="str">
        <x:v>산악2</x:v>
      </x:c>
      <x:c r="T309" s="81" t="str">
        <x:v>평원3</x:v>
      </x:c>
      <x:c r="U309" s="81" t="str">
        <x:v>—</x:v>
      </x:c>
      <x:c r="V309" s="81" t="str">
        <x:v>—</x:v>
      </x:c>
    </x:row>
    <x:row r="310">
      <x:c r="A310" s="80" t="n">
        <x:v>306</x:v>
      </x:c>
      <x:c r="B310" s="80" t="str">
        <x:v>보스로라</x:v>
      </x:c>
      <x:c r="C310" s="80" t="str">
        <x:v>aggron</x:v>
      </x:c>
      <x:c r="D310" s="80" t="str">
        <x:v>산악</x:v>
      </x:c>
      <x:c r="E310" s="81" t="str">
        <x:v>—</x:v>
      </x:c>
      <x:c r="F310" s="81" t="str">
        <x:v>—</x:v>
      </x:c>
      <x:c r="G310" s="81" t="str">
        <x:v>—</x:v>
      </x:c>
      <x:c r="H310" s="81" t="str">
        <x:v>—</x:v>
      </x:c>
      <x:c r="I310" s="81" t="str">
        <x:v>산악2</x:v>
      </x:c>
      <x:c r="J310" s="81" t="str">
        <x:v>평원3</x:v>
      </x:c>
      <x:c r="K310" s="81" t="str">
        <x:v>—</x:v>
      </x:c>
      <x:c r="L310" s="81" t="str">
        <x:v>—</x:v>
      </x:c>
      <x:c r="M310" s="81" t="str">
        <x:v>산악1</x:v>
      </x:c>
      <x:c r="N310" s="81" t="str">
        <x:v>평원2</x:v>
      </x:c>
      <x:c r="O310" s="81" t="str">
        <x:v>산악2</x:v>
      </x:c>
      <x:c r="P310" s="81" t="str">
        <x:v>평원3</x:v>
      </x:c>
      <x:c r="Q310" s="81" t="str">
        <x:v>—</x:v>
      </x:c>
      <x:c r="R310" s="81" t="str">
        <x:v>—</x:v>
      </x:c>
      <x:c r="S310" s="81" t="str">
        <x:v>산악2</x:v>
      </x:c>
      <x:c r="T310" s="81" t="str">
        <x:v>평원3</x:v>
      </x:c>
      <x:c r="U310" s="81" t="str">
        <x:v>—</x:v>
      </x:c>
      <x:c r="V310" s="81" t="str">
        <x:v>—</x:v>
      </x:c>
    </x:row>
    <x:row r="311">
      <x:c r="A311" s="80" t="n">
        <x:v>307</x:v>
      </x:c>
      <x:c r="B311" s="80" t="str">
        <x:v>요가랑</x:v>
      </x:c>
      <x:c r="C311" s="80" t="str">
        <x:v>meditite</x:v>
      </x:c>
      <x:c r="D311" s="80" t="str">
        <x:v>산악</x:v>
      </x:c>
      <x:c r="E311" s="81" t="str">
        <x:v>—</x:v>
      </x:c>
      <x:c r="F311" s="81" t="str">
        <x:v>—</x:v>
      </x:c>
      <x:c r="G311" s="81" t="str">
        <x:v>—</x:v>
      </x:c>
      <x:c r="H311" s="81" t="str">
        <x:v>—</x:v>
      </x:c>
      <x:c r="I311" s="81" t="str">
        <x:v>산악2</x:v>
      </x:c>
      <x:c r="J311" s="81" t="str">
        <x:v>평원3</x:v>
      </x:c>
      <x:c r="K311" s="81" t="str">
        <x:v>산악1</x:v>
      </x:c>
      <x:c r="L311" s="81" t="str">
        <x:v>평원2</x:v>
      </x:c>
      <x:c r="M311" s="81" t="str">
        <x:v>—</x:v>
      </x:c>
      <x:c r="N311" s="81" t="str">
        <x:v>—</x:v>
      </x:c>
      <x:c r="O311" s="81" t="str">
        <x:v>산악2</x:v>
      </x:c>
      <x:c r="P311" s="81" t="str">
        <x:v>평원3</x:v>
      </x:c>
      <x:c r="Q311" s="81" t="str">
        <x:v>—</x:v>
      </x:c>
      <x:c r="R311" s="81" t="str">
        <x:v>—</x:v>
      </x:c>
      <x:c r="S311" s="81" t="str">
        <x:v>—</x:v>
      </x:c>
      <x:c r="T311" s="81" t="str">
        <x:v>—</x:v>
      </x:c>
      <x:c r="U311" s="81" t="str">
        <x:v>산악2</x:v>
      </x:c>
      <x:c r="V311" s="81" t="str">
        <x:v>평원3</x:v>
      </x:c>
    </x:row>
    <x:row r="312">
      <x:c r="A312" s="80" t="n">
        <x:v>308</x:v>
      </x:c>
      <x:c r="B312" s="80" t="str">
        <x:v>요가램</x:v>
      </x:c>
      <x:c r="C312" s="80" t="str">
        <x:v>medicham</x:v>
      </x:c>
      <x:c r="D312" s="80" t="str">
        <x:v>산악</x:v>
      </x:c>
      <x:c r="E312" s="81" t="str">
        <x:v>—</x:v>
      </x:c>
      <x:c r="F312" s="81" t="str">
        <x:v>—</x:v>
      </x:c>
      <x:c r="G312" s="81" t="str">
        <x:v>—</x:v>
      </x:c>
      <x:c r="H312" s="81" t="str">
        <x:v>—</x:v>
      </x:c>
      <x:c r="I312" s="81" t="str">
        <x:v>산악2</x:v>
      </x:c>
      <x:c r="J312" s="81" t="str">
        <x:v>평원3</x:v>
      </x:c>
      <x:c r="K312" s="81" t="str">
        <x:v>산악1</x:v>
      </x:c>
      <x:c r="L312" s="81" t="str">
        <x:v>평원2</x:v>
      </x:c>
      <x:c r="M312" s="81" t="str">
        <x:v>—</x:v>
      </x:c>
      <x:c r="N312" s="81" t="str">
        <x:v>—</x:v>
      </x:c>
      <x:c r="O312" s="81" t="str">
        <x:v>산악2</x:v>
      </x:c>
      <x:c r="P312" s="81" t="str">
        <x:v>평원3</x:v>
      </x:c>
      <x:c r="Q312" s="81" t="str">
        <x:v>—</x:v>
      </x:c>
      <x:c r="R312" s="81" t="str">
        <x:v>—</x:v>
      </x:c>
      <x:c r="S312" s="81" t="str">
        <x:v>—</x:v>
      </x:c>
      <x:c r="T312" s="81" t="str">
        <x:v>—</x:v>
      </x:c>
      <x:c r="U312" s="81" t="str">
        <x:v>산악2</x:v>
      </x:c>
      <x:c r="V312" s="81" t="str">
        <x:v>평원3</x:v>
      </x:c>
    </x:row>
    <x:row r="313">
      <x:c r="A313" s="80" t="n">
        <x:v>309</x:v>
      </x:c>
      <x:c r="B313" s="80" t="str">
        <x:v>썬더라이</x:v>
      </x:c>
      <x:c r="C313" s="80" t="str">
        <x:v>electrike</x:v>
      </x:c>
      <x:c r="D313" s="80" t="str">
        <x:v>산악</x:v>
      </x:c>
      <x:c r="E313" s="81" t="str">
        <x:v>—</x:v>
      </x:c>
      <x:c r="F313" s="81" t="str">
        <x:v>—</x:v>
      </x:c>
      <x:c r="G313" s="81" t="str">
        <x:v>—</x:v>
      </x:c>
      <x:c r="H313" s="81" t="str">
        <x:v>—</x:v>
      </x:c>
      <x:c r="I313" s="81" t="str">
        <x:v>산악2</x:v>
      </x:c>
      <x:c r="J313" s="81" t="str">
        <x:v>평원3</x:v>
      </x:c>
      <x:c r="K313" s="81" t="str">
        <x:v>—</x:v>
      </x:c>
      <x:c r="L313" s="81" t="str">
        <x:v>—</x:v>
      </x:c>
      <x:c r="M313" s="81" t="str">
        <x:v>—</x:v>
      </x:c>
      <x:c r="N313" s="81" t="str">
        <x:v>—</x:v>
      </x:c>
      <x:c r="O313" s="81" t="str">
        <x:v>산악2</x:v>
      </x:c>
      <x:c r="P313" s="81" t="str">
        <x:v>평원3</x:v>
      </x:c>
      <x:c r="Q313" s="81" t="str">
        <x:v>산악2</x:v>
      </x:c>
      <x:c r="R313" s="81" t="str">
        <x:v>평원3</x:v>
      </x:c>
      <x:c r="S313" s="81" t="str">
        <x:v>산악2</x:v>
      </x:c>
      <x:c r="T313" s="81" t="str">
        <x:v>평원3</x:v>
      </x:c>
      <x:c r="U313" s="81" t="str">
        <x:v>—</x:v>
      </x:c>
      <x:c r="V313" s="81" t="str">
        <x:v>—</x:v>
      </x:c>
    </x:row>
    <x:row r="314">
      <x:c r="A314" s="80" t="n">
        <x:v>310</x:v>
      </x:c>
      <x:c r="B314" s="80" t="str">
        <x:v>썬더볼트</x:v>
      </x:c>
      <x:c r="C314" s="80" t="str">
        <x:v>manectric</x:v>
      </x:c>
      <x:c r="D314" s="80" t="str">
        <x:v>산악</x:v>
      </x:c>
      <x:c r="E314" s="81" t="str">
        <x:v>—</x:v>
      </x:c>
      <x:c r="F314" s="81" t="str">
        <x:v>—</x:v>
      </x:c>
      <x:c r="G314" s="81" t="str">
        <x:v>—</x:v>
      </x:c>
      <x:c r="H314" s="81" t="str">
        <x:v>—</x:v>
      </x:c>
      <x:c r="I314" s="81" t="str">
        <x:v>산악2</x:v>
      </x:c>
      <x:c r="J314" s="81" t="str">
        <x:v>평원3</x:v>
      </x:c>
      <x:c r="K314" s="81" t="str">
        <x:v>—</x:v>
      </x:c>
      <x:c r="L314" s="81" t="str">
        <x:v>—</x:v>
      </x:c>
      <x:c r="M314" s="81" t="str">
        <x:v>—</x:v>
      </x:c>
      <x:c r="N314" s="81" t="str">
        <x:v>—</x:v>
      </x:c>
      <x:c r="O314" s="81" t="str">
        <x:v>산악2</x:v>
      </x:c>
      <x:c r="P314" s="81" t="str">
        <x:v>평원3</x:v>
      </x:c>
      <x:c r="Q314" s="81" t="str">
        <x:v>산악2</x:v>
      </x:c>
      <x:c r="R314" s="81" t="str">
        <x:v>평원3</x:v>
      </x:c>
      <x:c r="S314" s="81" t="str">
        <x:v>산악2</x:v>
      </x:c>
      <x:c r="T314" s="81" t="str">
        <x:v>평원3</x:v>
      </x:c>
      <x:c r="U314" s="81" t="str">
        <x:v>—</x:v>
      </x:c>
      <x:c r="V314" s="81" t="str">
        <x:v>—</x:v>
      </x:c>
    </x:row>
    <x:row r="315">
      <x:c r="A315" s="80" t="n">
        <x:v>311</x:v>
      </x:c>
      <x:c r="B315" s="80" t="str">
        <x:v>플러시</x:v>
      </x:c>
      <x:c r="C315" s="80" t="str">
        <x:v>plusle</x:v>
      </x:c>
      <x:c r="D315" s="80" t="str">
        <x:v>평원</x:v>
      </x:c>
      <x:c r="E315" s="81" t="str">
        <x:v>—</x:v>
      </x:c>
      <x:c r="F315" s="81" t="str">
        <x:v>—</x:v>
      </x:c>
      <x:c r="G315" s="81" t="str">
        <x:v>—</x:v>
      </x:c>
      <x:c r="H315" s="81" t="str">
        <x:v>—</x:v>
      </x:c>
      <x:c r="I315" s="81" t="str">
        <x:v>평원3</x:v>
      </x:c>
      <x:c r="J315" s="81" t="str">
        <x:v>숲2</x:v>
      </x:c>
      <x:c r="K315" s="81" t="str">
        <x:v>—</x:v>
      </x:c>
      <x:c r="L315" s="81" t="str">
        <x:v>—</x:v>
      </x:c>
      <x:c r="M315" s="81" t="str">
        <x:v>—</x:v>
      </x:c>
      <x:c r="N315" s="81" t="str">
        <x:v>—</x:v>
      </x:c>
      <x:c r="O315" s="81" t="str">
        <x:v>평원3</x:v>
      </x:c>
      <x:c r="P315" s="81" t="str">
        <x:v>숲3</x:v>
      </x:c>
      <x:c r="Q315" s="81" t="str">
        <x:v>—</x:v>
      </x:c>
      <x:c r="R315" s="81" t="str">
        <x:v>—</x:v>
      </x:c>
      <x:c r="S315" s="81" t="str">
        <x:v>—</x:v>
      </x:c>
      <x:c r="T315" s="81" t="str">
        <x:v>—</x:v>
      </x:c>
      <x:c r="U315" s="81" t="str">
        <x:v>평원3</x:v>
      </x:c>
      <x:c r="V315" s="81" t="str">
        <x:v>숲3</x:v>
      </x:c>
    </x:row>
    <x:row r="316">
      <x:c r="A316" s="80" t="n">
        <x:v>312</x:v>
      </x:c>
      <x:c r="B316" s="80" t="str">
        <x:v>마이농</x:v>
      </x:c>
      <x:c r="C316" s="80" t="str">
        <x:v>minun</x:v>
      </x:c>
      <x:c r="D316" s="80" t="str">
        <x:v>평원</x:v>
      </x:c>
      <x:c r="E316" s="81" t="str">
        <x:v>—</x:v>
      </x:c>
      <x:c r="F316" s="81" t="str">
        <x:v>—</x:v>
      </x:c>
      <x:c r="G316" s="81" t="str">
        <x:v>—</x:v>
      </x:c>
      <x:c r="H316" s="81" t="str">
        <x:v>—</x:v>
      </x:c>
      <x:c r="I316" s="81" t="str">
        <x:v>평원3</x:v>
      </x:c>
      <x:c r="J316" s="81" t="str">
        <x:v>숲2</x:v>
      </x:c>
      <x:c r="K316" s="81" t="str">
        <x:v>—</x:v>
      </x:c>
      <x:c r="L316" s="81" t="str">
        <x:v>—</x:v>
      </x:c>
      <x:c r="M316" s="81" t="str">
        <x:v>—</x:v>
      </x:c>
      <x:c r="N316" s="81" t="str">
        <x:v>—</x:v>
      </x:c>
      <x:c r="O316" s="81" t="str">
        <x:v>평원3</x:v>
      </x:c>
      <x:c r="P316" s="81" t="str">
        <x:v>숲3</x:v>
      </x:c>
      <x:c r="Q316" s="81" t="str">
        <x:v>—</x:v>
      </x:c>
      <x:c r="R316" s="81" t="str">
        <x:v>—</x:v>
      </x:c>
      <x:c r="S316" s="81" t="str">
        <x:v>—</x:v>
      </x:c>
      <x:c r="T316" s="81" t="str">
        <x:v>—</x:v>
      </x:c>
      <x:c r="U316" s="81" t="str">
        <x:v>평원3</x:v>
      </x:c>
      <x:c r="V316" s="81" t="str">
        <x:v>숲3</x:v>
      </x:c>
    </x:row>
    <x:row r="317">
      <x:c r="A317" s="80" t="n">
        <x:v>313</x:v>
      </x:c>
      <x:c r="B317" s="80" t="str">
        <x:v>볼비트</x:v>
      </x:c>
      <x:c r="C317" s="80" t="str">
        <x:v>volbeat</x:v>
      </x:c>
      <x:c r="D317" s="80" t="str">
        <x:v>담수</x:v>
      </x:c>
      <x:c r="E317" s="81" t="str">
        <x:v>—</x:v>
      </x:c>
      <x:c r="F317" s="81" t="str">
        <x:v>—</x:v>
      </x:c>
      <x:c r="G317" s="81" t="str">
        <x:v>—</x:v>
      </x:c>
      <x:c r="H317" s="81" t="str">
        <x:v>—</x:v>
      </x:c>
      <x:c r="I317" s="81" t="str">
        <x:v>담수2</x:v>
      </x:c>
      <x:c r="J317" s="81" t="str">
        <x:v>습지1</x:v>
      </x:c>
      <x:c r="K317" s="81" t="str">
        <x:v>—</x:v>
      </x:c>
      <x:c r="L317" s="81" t="str">
        <x:v>—</x:v>
      </x:c>
      <x:c r="M317" s="81" t="str">
        <x:v>—</x:v>
      </x:c>
      <x:c r="N317" s="81" t="str">
        <x:v>—</x:v>
      </x:c>
      <x:c r="O317" s="81" t="str">
        <x:v>담수2</x:v>
      </x:c>
      <x:c r="P317" s="81" t="str">
        <x:v>습지2</x:v>
      </x:c>
      <x:c r="Q317" s="81" t="str">
        <x:v>—</x:v>
      </x:c>
      <x:c r="R317" s="81" t="str">
        <x:v>—</x:v>
      </x:c>
      <x:c r="S317" s="81" t="str">
        <x:v>—</x:v>
      </x:c>
      <x:c r="T317" s="81" t="str">
        <x:v>—</x:v>
      </x:c>
      <x:c r="U317" s="81" t="str">
        <x:v>담수2</x:v>
      </x:c>
      <x:c r="V317" s="81" t="str">
        <x:v>습지2</x:v>
      </x:c>
    </x:row>
    <x:row r="318">
      <x:c r="A318" s="80" t="n">
        <x:v>314</x:v>
      </x:c>
      <x:c r="B318" s="80" t="str">
        <x:v>네오비트</x:v>
      </x:c>
      <x:c r="C318" s="80" t="str">
        <x:v>illumise</x:v>
      </x:c>
      <x:c r="D318" s="80" t="str">
        <x:v>담수</x:v>
      </x:c>
      <x:c r="E318" s="81" t="str">
        <x:v>—</x:v>
      </x:c>
      <x:c r="F318" s="81" t="str">
        <x:v>—</x:v>
      </x:c>
      <x:c r="G318" s="81" t="str">
        <x:v>—</x:v>
      </x:c>
      <x:c r="H318" s="81" t="str">
        <x:v>—</x:v>
      </x:c>
      <x:c r="I318" s="81" t="str">
        <x:v>담수2</x:v>
      </x:c>
      <x:c r="J318" s="81" t="str">
        <x:v>습지1</x:v>
      </x:c>
      <x:c r="K318" s="81" t="str">
        <x:v>—</x:v>
      </x:c>
      <x:c r="L318" s="81" t="str">
        <x:v>—</x:v>
      </x:c>
      <x:c r="M318" s="81" t="str">
        <x:v>—</x:v>
      </x:c>
      <x:c r="N318" s="81" t="str">
        <x:v>—</x:v>
      </x:c>
      <x:c r="O318" s="81" t="str">
        <x:v>담수2</x:v>
      </x:c>
      <x:c r="P318" s="81" t="str">
        <x:v>습지2</x:v>
      </x:c>
      <x:c r="Q318" s="81" t="str">
        <x:v>—</x:v>
      </x:c>
      <x:c r="R318" s="81" t="str">
        <x:v>—</x:v>
      </x:c>
      <x:c r="S318" s="81" t="str">
        <x:v>—</x:v>
      </x:c>
      <x:c r="T318" s="81" t="str">
        <x:v>—</x:v>
      </x:c>
      <x:c r="U318" s="81" t="str">
        <x:v>담수2</x:v>
      </x:c>
      <x:c r="V318" s="81" t="str">
        <x:v>습지2</x:v>
      </x:c>
    </x:row>
    <x:row r="319">
      <x:c r="A319" s="80" t="n">
        <x:v>315</x:v>
      </x:c>
      <x:c r="B319" s="80" t="str">
        <x:v>로젤리아</x:v>
      </x:c>
      <x:c r="C319" s="80" t="str">
        <x:v>roselia</x:v>
      </x:c>
      <x:c r="D319" s="80" t="str">
        <x:v>숲</x:v>
      </x:c>
      <x:c r="E319" s="81" t="str">
        <x:v>—</x:v>
      </x:c>
      <x:c r="F319" s="81" t="str">
        <x:v>—</x:v>
      </x:c>
      <x:c r="G319" s="81" t="str">
        <x:v>—</x:v>
      </x:c>
      <x:c r="H319" s="81" t="str">
        <x:v>—</x:v>
      </x:c>
      <x:c r="I319" s="81" t="str">
        <x:v>숲2</x:v>
      </x:c>
      <x:c r="J319" s="81" t="str">
        <x:v>평원3</x:v>
      </x:c>
      <x:c r="K319" s="81" t="str">
        <x:v>숲2</x:v>
      </x:c>
      <x:c r="L319" s="81" t="str">
        <x:v>평원2</x:v>
      </x:c>
      <x:c r="M319" s="81" t="str">
        <x:v>숲1</x:v>
      </x:c>
      <x:c r="N319" s="81" t="str">
        <x:v>평원2</x:v>
      </x:c>
      <x:c r="O319" s="81" t="str">
        <x:v>숲3</x:v>
      </x:c>
      <x:c r="P319" s="81" t="str">
        <x:v>평원3</x:v>
      </x:c>
      <x:c r="Q319" s="81" t="str">
        <x:v>—</x:v>
      </x:c>
      <x:c r="R319" s="81" t="str">
        <x:v>—</x:v>
      </x:c>
      <x:c r="S319" s="81" t="str">
        <x:v>숲2</x:v>
      </x:c>
      <x:c r="T319" s="81" t="str">
        <x:v>평원3</x:v>
      </x:c>
      <x:c r="U319" s="81" t="str">
        <x:v>—</x:v>
      </x:c>
      <x:c r="V319" s="81" t="str">
        <x:v>—</x:v>
      </x:c>
    </x:row>
    <x:row r="320">
      <x:c r="A320" s="80" t="n">
        <x:v>316</x:v>
      </x:c>
      <x:c r="B320" s="80" t="str">
        <x:v>꼴깍몬</x:v>
      </x:c>
      <x:c r="C320" s="80" t="str">
        <x:v>gulpin</x:v>
      </x:c>
      <x:c r="D320" s="80" t="str">
        <x:v>습지</x:v>
      </x:c>
      <x:c r="E320" s="81" t="str">
        <x:v>—</x:v>
      </x:c>
      <x:c r="F320" s="81" t="str">
        <x:v>—</x:v>
      </x:c>
      <x:c r="G320" s="81" t="str">
        <x:v>—</x:v>
      </x:c>
      <x:c r="H320" s="81" t="str">
        <x:v>—</x:v>
      </x:c>
      <x:c r="I320" s="81" t="str">
        <x:v>습지1</x:v>
      </x:c>
      <x:c r="J320" s="81" t="str">
        <x:v>숲2</x:v>
      </x:c>
      <x:c r="K320" s="81" t="str">
        <x:v>—</x:v>
      </x:c>
      <x:c r="L320" s="81" t="str">
        <x:v>—</x:v>
      </x:c>
      <x:c r="M320" s="81" t="str">
        <x:v>—</x:v>
      </x:c>
      <x:c r="N320" s="81" t="str">
        <x:v>—</x:v>
      </x:c>
      <x:c r="O320" s="81" t="str">
        <x:v>습지2</x:v>
      </x:c>
      <x:c r="P320" s="81" t="str">
        <x:v>숲3</x:v>
      </x:c>
      <x:c r="Q320" s="81" t="str">
        <x:v>—</x:v>
      </x:c>
      <x:c r="R320" s="81" t="str">
        <x:v>—</x:v>
      </x:c>
      <x:c r="S320" s="81" t="str">
        <x:v>—</x:v>
      </x:c>
      <x:c r="T320" s="81" t="str">
        <x:v>—</x:v>
      </x:c>
      <x:c r="U320" s="81" t="str">
        <x:v>습지2</x:v>
      </x:c>
      <x:c r="V320" s="81" t="str">
        <x:v>숲3</x:v>
      </x:c>
    </x:row>
    <x:row r="321">
      <x:c r="A321" s="80" t="n">
        <x:v>317</x:v>
      </x:c>
      <x:c r="B321" s="80" t="str">
        <x:v>꿀꺽몬</x:v>
      </x:c>
      <x:c r="C321" s="80" t="str">
        <x:v>swalot</x:v>
      </x:c>
      <x:c r="D321" s="80" t="str">
        <x:v>습지</x:v>
      </x:c>
      <x:c r="E321" s="81" t="str">
        <x:v>—</x:v>
      </x:c>
      <x:c r="F321" s="81" t="str">
        <x:v>—</x:v>
      </x:c>
      <x:c r="G321" s="81" t="str">
        <x:v>—</x:v>
      </x:c>
      <x:c r="H321" s="81" t="str">
        <x:v>—</x:v>
      </x:c>
      <x:c r="I321" s="81" t="str">
        <x:v>습지1</x:v>
      </x:c>
      <x:c r="J321" s="81" t="str">
        <x:v>숲2</x:v>
      </x:c>
      <x:c r="K321" s="81" t="str">
        <x:v>—</x:v>
      </x:c>
      <x:c r="L321" s="81" t="str">
        <x:v>—</x:v>
      </x:c>
      <x:c r="M321" s="81" t="str">
        <x:v>—</x:v>
      </x:c>
      <x:c r="N321" s="81" t="str">
        <x:v>—</x:v>
      </x:c>
      <x:c r="O321" s="81" t="str">
        <x:v>습지2</x:v>
      </x:c>
      <x:c r="P321" s="81" t="str">
        <x:v>숲3</x:v>
      </x:c>
      <x:c r="Q321" s="81" t="str">
        <x:v>—</x:v>
      </x:c>
      <x:c r="R321" s="81" t="str">
        <x:v>—</x:v>
      </x:c>
      <x:c r="S321" s="81" t="str">
        <x:v>—</x:v>
      </x:c>
      <x:c r="T321" s="81" t="str">
        <x:v>—</x:v>
      </x:c>
      <x:c r="U321" s="81" t="str">
        <x:v>습지2</x:v>
      </x:c>
      <x:c r="V321" s="81" t="str">
        <x:v>숲3</x:v>
      </x:c>
    </x:row>
    <x:row r="322">
      <x:c r="A322" s="80" t="n">
        <x:v>318</x:v>
      </x:c>
      <x:c r="B322" s="80" t="str">
        <x:v>샤프니아</x:v>
      </x:c>
      <x:c r="C322" s="80" t="str">
        <x:v>carvanha</x:v>
      </x:c>
      <x:c r="D322" s="80" t="str">
        <x:v>해양</x:v>
      </x:c>
      <x:c r="E322" s="81" t="str">
        <x:v>—</x:v>
      </x:c>
      <x:c r="F322" s="81" t="str">
        <x:v>—</x:v>
      </x:c>
      <x:c r="G322" s="81" t="str">
        <x:v>—</x:v>
      </x:c>
      <x:c r="H322" s="81" t="str">
        <x:v>—</x:v>
      </x:c>
      <x:c r="I322" s="81" t="str">
        <x:v>해양1</x:v>
      </x:c>
      <x:c r="J322" s="81" t="str">
        <x:v>담수2</x:v>
      </x:c>
      <x:c r="K322" s="81" t="str">
        <x:v>—</x:v>
      </x:c>
      <x:c r="L322" s="81" t="str">
        <x:v>—</x:v>
      </x:c>
      <x:c r="M322" s="81" t="str">
        <x:v>—</x:v>
      </x:c>
      <x:c r="N322" s="81" t="str">
        <x:v>—</x:v>
      </x:c>
      <x:c r="O322" s="81" t="str">
        <x:v>해양2</x:v>
      </x:c>
      <x:c r="P322" s="81" t="str">
        <x:v>담수2</x:v>
      </x:c>
      <x:c r="Q322" s="81" t="str">
        <x:v>해양1</x:v>
      </x:c>
      <x:c r="R322" s="81" t="str">
        <x:v>담수1</x:v>
      </x:c>
      <x:c r="S322" s="81" t="str">
        <x:v>해양1</x:v>
      </x:c>
      <x:c r="T322" s="81" t="str">
        <x:v>담수2</x:v>
      </x:c>
      <x:c r="U322" s="81" t="str">
        <x:v>—</x:v>
      </x:c>
      <x:c r="V322" s="81" t="str">
        <x:v>—</x:v>
      </x:c>
    </x:row>
    <x:row r="323">
      <x:c r="A323" s="80" t="n">
        <x:v>319</x:v>
      </x:c>
      <x:c r="B323" s="80" t="str">
        <x:v>샤크니아</x:v>
      </x:c>
      <x:c r="C323" s="80" t="str">
        <x:v>sharpedo</x:v>
      </x:c>
      <x:c r="D323" s="80" t="str">
        <x:v>해양</x:v>
      </x:c>
      <x:c r="E323" s="81" t="str">
        <x:v>—</x:v>
      </x:c>
      <x:c r="F323" s="81" t="str">
        <x:v>—</x:v>
      </x:c>
      <x:c r="G323" s="81" t="str">
        <x:v>—</x:v>
      </x:c>
      <x:c r="H323" s="81" t="str">
        <x:v>—</x:v>
      </x:c>
      <x:c r="I323" s="81" t="str">
        <x:v>해양1</x:v>
      </x:c>
      <x:c r="J323" s="81" t="str">
        <x:v>담수2</x:v>
      </x:c>
      <x:c r="K323" s="81" t="str">
        <x:v>—</x:v>
      </x:c>
      <x:c r="L323" s="81" t="str">
        <x:v>—</x:v>
      </x:c>
      <x:c r="M323" s="81" t="str">
        <x:v>—</x:v>
      </x:c>
      <x:c r="N323" s="81" t="str">
        <x:v>—</x:v>
      </x:c>
      <x:c r="O323" s="81" t="str">
        <x:v>해양2</x:v>
      </x:c>
      <x:c r="P323" s="81" t="str">
        <x:v>담수2</x:v>
      </x:c>
      <x:c r="Q323" s="81" t="str">
        <x:v>해양1</x:v>
      </x:c>
      <x:c r="R323" s="81" t="str">
        <x:v>담수1</x:v>
      </x:c>
      <x:c r="S323" s="81" t="str">
        <x:v>해양1</x:v>
      </x:c>
      <x:c r="T323" s="81" t="str">
        <x:v>담수2</x:v>
      </x:c>
      <x:c r="U323" s="81" t="str">
        <x:v>—</x:v>
      </x:c>
      <x:c r="V323" s="81" t="str">
        <x:v>—</x:v>
      </x:c>
    </x:row>
    <x:row r="324">
      <x:c r="A324" s="80" t="n">
        <x:v>320</x:v>
      </x:c>
      <x:c r="B324" s="80" t="str">
        <x:v>고래왕자</x:v>
      </x:c>
      <x:c r="C324" s="80" t="str">
        <x:v>wailmer</x:v>
      </x:c>
      <x:c r="D324" s="80" t="str">
        <x:v>해양</x:v>
      </x:c>
      <x:c r="E324" s="81" t="str">
        <x:v>—</x:v>
      </x:c>
      <x:c r="F324" s="81" t="str">
        <x:v>—</x:v>
      </x:c>
      <x:c r="G324" s="81" t="str">
        <x:v>—</x:v>
      </x:c>
      <x:c r="H324" s="81" t="str">
        <x:v>—</x:v>
      </x:c>
      <x:c r="I324" s="81" t="str">
        <x:v>해양1</x:v>
      </x:c>
      <x:c r="J324" s="81" t="str">
        <x:v>담수2</x:v>
      </x:c>
      <x:c r="K324" s="81" t="str">
        <x:v>—</x:v>
      </x:c>
      <x:c r="L324" s="81" t="str">
        <x:v>—</x:v>
      </x:c>
      <x:c r="M324" s="81" t="str">
        <x:v>해양1</x:v>
      </x:c>
      <x:c r="N324" s="81" t="str">
        <x:v>담수1</x:v>
      </x:c>
      <x:c r="O324" s="81" t="str">
        <x:v>해양2</x:v>
      </x:c>
      <x:c r="P324" s="81" t="str">
        <x:v>담수2</x:v>
      </x:c>
      <x:c r="Q324" s="81" t="str">
        <x:v>해양1</x:v>
      </x:c>
      <x:c r="R324" s="81" t="str">
        <x:v>담수2</x:v>
      </x:c>
      <x:c r="S324" s="81" t="str">
        <x:v>해양1</x:v>
      </x:c>
      <x:c r="T324" s="81" t="str">
        <x:v>담수2</x:v>
      </x:c>
      <x:c r="U324" s="81" t="str">
        <x:v>—</x:v>
      </x:c>
      <x:c r="V324" s="81" t="str">
        <x:v>—</x:v>
      </x:c>
    </x:row>
    <x:row r="325">
      <x:c r="A325" s="80" t="n">
        <x:v>321</x:v>
      </x:c>
      <x:c r="B325" s="80" t="str">
        <x:v>고래왕</x:v>
      </x:c>
      <x:c r="C325" s="80" t="str">
        <x:v>wailord</x:v>
      </x:c>
      <x:c r="D325" s="80" t="str">
        <x:v>해양</x:v>
      </x:c>
      <x:c r="E325" s="81" t="str">
        <x:v>—</x:v>
      </x:c>
      <x:c r="F325" s="81" t="str">
        <x:v>—</x:v>
      </x:c>
      <x:c r="G325" s="81" t="str">
        <x:v>—</x:v>
      </x:c>
      <x:c r="H325" s="81" t="str">
        <x:v>—</x:v>
      </x:c>
      <x:c r="I325" s="81" t="str">
        <x:v>해양1</x:v>
      </x:c>
      <x:c r="J325" s="81" t="str">
        <x:v>담수2</x:v>
      </x:c>
      <x:c r="K325" s="81" t="str">
        <x:v>—</x:v>
      </x:c>
      <x:c r="L325" s="81" t="str">
        <x:v>—</x:v>
      </x:c>
      <x:c r="M325" s="81" t="str">
        <x:v>해양1</x:v>
      </x:c>
      <x:c r="N325" s="81" t="str">
        <x:v>담수1</x:v>
      </x:c>
      <x:c r="O325" s="81" t="str">
        <x:v>해양2</x:v>
      </x:c>
      <x:c r="P325" s="81" t="str">
        <x:v>담수2</x:v>
      </x:c>
      <x:c r="Q325" s="81" t="str">
        <x:v>해양1</x:v>
      </x:c>
      <x:c r="R325" s="81" t="str">
        <x:v>담수2</x:v>
      </x:c>
      <x:c r="S325" s="81" t="str">
        <x:v>해양1</x:v>
      </x:c>
      <x:c r="T325" s="81" t="str">
        <x:v>담수2</x:v>
      </x:c>
      <x:c r="U325" s="81" t="str">
        <x:v>—</x:v>
      </x:c>
      <x:c r="V325" s="81" t="str">
        <x:v>—</x:v>
      </x:c>
    </x:row>
    <x:row r="326">
      <x:c r="A326" s="80" t="n">
        <x:v>322</x:v>
      </x:c>
      <x:c r="B326" s="80" t="str">
        <x:v>둔타</x:v>
      </x:c>
      <x:c r="C326" s="80" t="str">
        <x:v>numel</x:v>
      </x:c>
      <x:c r="D326" s="80" t="str">
        <x:v>화산</x:v>
      </x:c>
      <x:c r="E326" s="81" t="str">
        <x:v>—</x:v>
      </x:c>
      <x:c r="F326" s="81" t="str">
        <x:v>—</x:v>
      </x:c>
      <x:c r="G326" s="81" t="str">
        <x:v>—</x:v>
      </x:c>
      <x:c r="H326" s="81" t="str">
        <x:v>—</x:v>
      </x:c>
      <x:c r="I326" s="81" t="str">
        <x:v>화산1</x:v>
      </x:c>
      <x:c r="J326" s="81" t="str">
        <x:v>건조지1</x:v>
      </x:c>
      <x:c r="K326" s="81" t="str">
        <x:v>—</x:v>
      </x:c>
      <x:c r="L326" s="81" t="str">
        <x:v>—</x:v>
      </x:c>
      <x:c r="M326" s="81" t="str">
        <x:v>화산1</x:v>
      </x:c>
      <x:c r="N326" s="81" t="str">
        <x:v>건조지1</x:v>
      </x:c>
      <x:c r="O326" s="81" t="str">
        <x:v>—</x:v>
      </x:c>
      <x:c r="P326" s="81" t="str">
        <x:v>—</x:v>
      </x:c>
      <x:c r="Q326" s="81" t="str">
        <x:v>—</x:v>
      </x:c>
      <x:c r="R326" s="81" t="str">
        <x:v>—</x:v>
      </x:c>
      <x:c r="S326" s="81" t="str">
        <x:v>—</x:v>
      </x:c>
      <x:c r="T326" s="81" t="str">
        <x:v>—</x:v>
      </x:c>
      <x:c r="U326" s="81" t="str">
        <x:v>화산1</x:v>
      </x:c>
      <x:c r="V326" s="81" t="str">
        <x:v>건조지1</x:v>
      </x:c>
    </x:row>
    <x:row r="327">
      <x:c r="A327" s="80" t="n">
        <x:v>323</x:v>
      </x:c>
      <x:c r="B327" s="80" t="str">
        <x:v>폭타</x:v>
      </x:c>
      <x:c r="C327" s="80" t="str">
        <x:v>camerupt</x:v>
      </x:c>
      <x:c r="D327" s="80" t="str">
        <x:v>화산</x:v>
      </x:c>
      <x:c r="E327" s="81" t="str">
        <x:v>—</x:v>
      </x:c>
      <x:c r="F327" s="81" t="str">
        <x:v>—</x:v>
      </x:c>
      <x:c r="G327" s="81" t="str">
        <x:v>—</x:v>
      </x:c>
      <x:c r="H327" s="81" t="str">
        <x:v>—</x:v>
      </x:c>
      <x:c r="I327" s="81" t="str">
        <x:v>화산1</x:v>
      </x:c>
      <x:c r="J327" s="81" t="str">
        <x:v>건조지1</x:v>
      </x:c>
      <x:c r="K327" s="81" t="str">
        <x:v>—</x:v>
      </x:c>
      <x:c r="L327" s="81" t="str">
        <x:v>—</x:v>
      </x:c>
      <x:c r="M327" s="81" t="str">
        <x:v>화산1</x:v>
      </x:c>
      <x:c r="N327" s="81" t="str">
        <x:v>건조지1</x:v>
      </x:c>
      <x:c r="O327" s="81" t="str">
        <x:v>—</x:v>
      </x:c>
      <x:c r="P327" s="81" t="str">
        <x:v>—</x:v>
      </x:c>
      <x:c r="Q327" s="81" t="str">
        <x:v>—</x:v>
      </x:c>
      <x:c r="R327" s="81" t="str">
        <x:v>—</x:v>
      </x:c>
      <x:c r="S327" s="81" t="str">
        <x:v>—</x:v>
      </x:c>
      <x:c r="T327" s="81" t="str">
        <x:v>—</x:v>
      </x:c>
      <x:c r="U327" s="81" t="str">
        <x:v>화산1</x:v>
      </x:c>
      <x:c r="V327" s="81" t="str">
        <x:v>건조지1</x:v>
      </x:c>
    </x:row>
    <x:row r="328">
      <x:c r="A328" s="80" t="n">
        <x:v>324</x:v>
      </x:c>
      <x:c r="B328" s="80" t="str">
        <x:v>코터스</x:v>
      </x:c>
      <x:c r="C328" s="80" t="str">
        <x:v>torkoal</x:v>
      </x:c>
      <x:c r="D328" s="80" t="str">
        <x:v>화산</x:v>
      </x:c>
      <x:c r="E328" s="81" t="str">
        <x:v>—</x:v>
      </x:c>
      <x:c r="F328" s="81" t="str">
        <x:v>—</x:v>
      </x:c>
      <x:c r="G328" s="81" t="str">
        <x:v>—</x:v>
      </x:c>
      <x:c r="H328" s="81" t="str">
        <x:v>—</x:v>
      </x:c>
      <x:c r="I328" s="81" t="str">
        <x:v>화산1</x:v>
      </x:c>
      <x:c r="J328" s="81" t="str">
        <x:v>건조지1</x:v>
      </x:c>
      <x:c r="K328" s="81" t="str">
        <x:v>—</x:v>
      </x:c>
      <x:c r="L328" s="81" t="str">
        <x:v>—</x:v>
      </x:c>
      <x:c r="M328" s="81" t="str">
        <x:v>—</x:v>
      </x:c>
      <x:c r="N328" s="81" t="str">
        <x:v>—</x:v>
      </x:c>
      <x:c r="O328" s="81" t="str">
        <x:v>화산1</x:v>
      </x:c>
      <x:c r="P328" s="81" t="str">
        <x:v>건조지1</x:v>
      </x:c>
      <x:c r="Q328" s="81" t="str">
        <x:v>화산1</x:v>
      </x:c>
      <x:c r="R328" s="81" t="str">
        <x:v>건조지1</x:v>
      </x:c>
      <x:c r="S328" s="81" t="str">
        <x:v>화산1</x:v>
      </x:c>
      <x:c r="T328" s="81" t="str">
        <x:v>건조지1</x:v>
      </x:c>
      <x:c r="U328" s="81" t="str">
        <x:v>화산1</x:v>
      </x:c>
      <x:c r="V328" s="81" t="str">
        <x:v>건조지1</x:v>
      </x:c>
    </x:row>
    <x:row r="329">
      <x:c r="A329" s="80" t="n">
        <x:v>325</x:v>
      </x:c>
      <x:c r="B329" s="80" t="str">
        <x:v>피그점프</x:v>
      </x:c>
      <x:c r="C329" s="80" t="str">
        <x:v>spoink</x:v>
      </x:c>
      <x:c r="D329" s="80" t="str">
        <x:v>화산</x:v>
      </x:c>
      <x:c r="E329" s="81" t="str">
        <x:v>—</x:v>
      </x:c>
      <x:c r="F329" s="81" t="str">
        <x:v>—</x:v>
      </x:c>
      <x:c r="G329" s="81" t="str">
        <x:v>—</x:v>
      </x:c>
      <x:c r="H329" s="81" t="str">
        <x:v>—</x:v>
      </x:c>
      <x:c r="I329" s="81" t="str">
        <x:v>화산1</x:v>
      </x:c>
      <x:c r="J329" s="81" t="str">
        <x:v>건조지1</x:v>
      </x:c>
      <x:c r="K329" s="81" t="str">
        <x:v>—</x:v>
      </x:c>
      <x:c r="L329" s="81" t="str">
        <x:v>—</x:v>
      </x:c>
      <x:c r="M329" s="81" t="str">
        <x:v>화산1</x:v>
      </x:c>
      <x:c r="N329" s="81" t="str">
        <x:v>건조지1</x:v>
      </x:c>
      <x:c r="O329" s="81" t="str">
        <x:v>화산1</x:v>
      </x:c>
      <x:c r="P329" s="81" t="str">
        <x:v>건조지1</x:v>
      </x:c>
      <x:c r="Q329" s="81" t="str">
        <x:v>—</x:v>
      </x:c>
      <x:c r="R329" s="81" t="str">
        <x:v>—</x:v>
      </x:c>
      <x:c r="S329" s="81" t="str">
        <x:v>—</x:v>
      </x:c>
      <x:c r="T329" s="81" t="str">
        <x:v>—</x:v>
      </x:c>
      <x:c r="U329" s="81" t="str">
        <x:v>화산1</x:v>
      </x:c>
      <x:c r="V329" s="81" t="str">
        <x:v>건조지1</x:v>
      </x:c>
    </x:row>
    <x:row r="330">
      <x:c r="A330" s="80" t="n">
        <x:v>326</x:v>
      </x:c>
      <x:c r="B330" s="80" t="str">
        <x:v>피그킹</x:v>
      </x:c>
      <x:c r="C330" s="80" t="str">
        <x:v>grumpig</x:v>
      </x:c>
      <x:c r="D330" s="80" t="str">
        <x:v>화산</x:v>
      </x:c>
      <x:c r="E330" s="81" t="str">
        <x:v>—</x:v>
      </x:c>
      <x:c r="F330" s="81" t="str">
        <x:v>—</x:v>
      </x:c>
      <x:c r="G330" s="81" t="str">
        <x:v>—</x:v>
      </x:c>
      <x:c r="H330" s="81" t="str">
        <x:v>—</x:v>
      </x:c>
      <x:c r="I330" s="81" t="str">
        <x:v>화산1</x:v>
      </x:c>
      <x:c r="J330" s="81" t="str">
        <x:v>건조지1</x:v>
      </x:c>
      <x:c r="K330" s="81" t="str">
        <x:v>—</x:v>
      </x:c>
      <x:c r="L330" s="81" t="str">
        <x:v>—</x:v>
      </x:c>
      <x:c r="M330" s="81" t="str">
        <x:v>화산1</x:v>
      </x:c>
      <x:c r="N330" s="81" t="str">
        <x:v>건조지1</x:v>
      </x:c>
      <x:c r="O330" s="81" t="str">
        <x:v>화산1</x:v>
      </x:c>
      <x:c r="P330" s="81" t="str">
        <x:v>건조지1</x:v>
      </x:c>
      <x:c r="Q330" s="81" t="str">
        <x:v>—</x:v>
      </x:c>
      <x:c r="R330" s="81" t="str">
        <x:v>—</x:v>
      </x:c>
      <x:c r="S330" s="81" t="str">
        <x:v>—</x:v>
      </x:c>
      <x:c r="T330" s="81" t="str">
        <x:v>—</x:v>
      </x:c>
      <x:c r="U330" s="81" t="str">
        <x:v>화산1</x:v>
      </x:c>
      <x:c r="V330" s="81" t="str">
        <x:v>건조지1</x:v>
      </x:c>
    </x:row>
    <x:row r="331">
      <x:c r="A331" s="80" t="n">
        <x:v>327</x:v>
      </x:c>
      <x:c r="B331" s="80" t="str">
        <x:v>얼루기</x:v>
      </x:c>
      <x:c r="C331" s="80" t="str">
        <x:v>spinda</x:v>
      </x:c>
      <x:c r="D331" s="80" t="str">
        <x:v>산악</x:v>
      </x:c>
      <x:c r="E331" s="81" t="str">
        <x:v>—</x:v>
      </x:c>
      <x:c r="F331" s="81" t="str">
        <x:v>—</x:v>
      </x:c>
      <x:c r="G331" s="81" t="str">
        <x:v>—</x:v>
      </x:c>
      <x:c r="H331" s="81" t="str">
        <x:v>—</x:v>
      </x:c>
      <x:c r="I331" s="81" t="str">
        <x:v>산악2</x:v>
      </x:c>
      <x:c r="J331" s="81" t="str">
        <x:v>평원3</x:v>
      </x:c>
      <x:c r="K331" s="81" t="str">
        <x:v>—</x:v>
      </x:c>
      <x:c r="L331" s="81" t="str">
        <x:v>—</x:v>
      </x:c>
      <x:c r="M331" s="81" t="str">
        <x:v>—</x:v>
      </x:c>
      <x:c r="N331" s="81" t="str">
        <x:v>—</x:v>
      </x:c>
      <x:c r="O331" s="81" t="str">
        <x:v>산악2</x:v>
      </x:c>
      <x:c r="P331" s="81" t="str">
        <x:v>평원3</x:v>
      </x:c>
      <x:c r="Q331" s="81" t="str">
        <x:v>산악2</x:v>
      </x:c>
      <x:c r="R331" s="81" t="str">
        <x:v>평원3</x:v>
      </x:c>
      <x:c r="S331" s="81" t="str">
        <x:v>—</x:v>
      </x:c>
      <x:c r="T331" s="81" t="str">
        <x:v>—</x:v>
      </x:c>
      <x:c r="U331" s="81" t="str">
        <x:v>—</x:v>
      </x:c>
      <x:c r="V331" s="81" t="str">
        <x:v>—</x:v>
      </x:c>
    </x:row>
    <x:row r="332">
      <x:c r="A332" s="80" t="n">
        <x:v>328</x:v>
      </x:c>
      <x:c r="B332" s="80" t="str">
        <x:v>톱치</x:v>
      </x:c>
      <x:c r="C332" s="80" t="str">
        <x:v>trapinch</x:v>
      </x:c>
      <x:c r="D332" s="80" t="str">
        <x:v>건조지</x:v>
      </x:c>
      <x:c r="E332" s="81" t="str">
        <x:v>—</x:v>
      </x:c>
      <x:c r="F332" s="81" t="str">
        <x:v>—</x:v>
      </x:c>
      <x:c r="G332" s="81" t="str">
        <x:v>—</x:v>
      </x:c>
      <x:c r="H332" s="81" t="str">
        <x:v>—</x:v>
      </x:c>
      <x:c r="I332" s="81" t="str">
        <x:v>건조지1</x:v>
      </x:c>
      <x:c r="J332" s="81" t="str">
        <x:v>화산1</x:v>
      </x:c>
      <x:c r="K332" s="81" t="str">
        <x:v>—</x:v>
      </x:c>
      <x:c r="L332" s="81" t="str">
        <x:v>—</x:v>
      </x:c>
      <x:c r="M332" s="81" t="str">
        <x:v>건조지1</x:v>
      </x:c>
      <x:c r="N332" s="81" t="str">
        <x:v>화산1</x:v>
      </x:c>
      <x:c r="O332" s="81" t="str">
        <x:v>건조지1</x:v>
      </x:c>
      <x:c r="P332" s="81" t="str">
        <x:v>화산1</x:v>
      </x:c>
      <x:c r="Q332" s="81" t="str">
        <x:v>건조지1</x:v>
      </x:c>
      <x:c r="R332" s="81" t="str">
        <x:v>화산1</x:v>
      </x:c>
      <x:c r="S332" s="81" t="str">
        <x:v>건조지1</x:v>
      </x:c>
      <x:c r="T332" s="81" t="str">
        <x:v>화산1</x:v>
      </x:c>
      <x:c r="U332" s="81" t="str">
        <x:v>건조지1</x:v>
      </x:c>
      <x:c r="V332" s="81" t="str">
        <x:v>화산1</x:v>
      </x:c>
    </x:row>
    <x:row r="333">
      <x:c r="A333" s="80" t="n">
        <x:v>329</x:v>
      </x:c>
      <x:c r="B333" s="80" t="str">
        <x:v>비브라바</x:v>
      </x:c>
      <x:c r="C333" s="80" t="str">
        <x:v>vibrava</x:v>
      </x:c>
      <x:c r="D333" s="80" t="str">
        <x:v>건조지</x:v>
      </x:c>
      <x:c r="E333" s="81" t="str">
        <x:v>—</x:v>
      </x:c>
      <x:c r="F333" s="81" t="str">
        <x:v>—</x:v>
      </x:c>
      <x:c r="G333" s="81" t="str">
        <x:v>—</x:v>
      </x:c>
      <x:c r="H333" s="81" t="str">
        <x:v>—</x:v>
      </x:c>
      <x:c r="I333" s="81" t="str">
        <x:v>건조지1</x:v>
      </x:c>
      <x:c r="J333" s="81" t="str">
        <x:v>산악2</x:v>
      </x:c>
      <x:c r="K333" s="81" t="str">
        <x:v>—</x:v>
      </x:c>
      <x:c r="L333" s="81" t="str">
        <x:v>—</x:v>
      </x:c>
      <x:c r="M333" s="81" t="str">
        <x:v>건조지1</x:v>
      </x:c>
      <x:c r="N333" s="81" t="str">
        <x:v>산악1</x:v>
      </x:c>
      <x:c r="O333" s="81" t="str">
        <x:v>건조지1</x:v>
      </x:c>
      <x:c r="P333" s="81" t="str">
        <x:v>산악2</x:v>
      </x:c>
      <x:c r="Q333" s="81" t="str">
        <x:v>건조지1</x:v>
      </x:c>
      <x:c r="R333" s="81" t="str">
        <x:v>산악2</x:v>
      </x:c>
      <x:c r="S333" s="81" t="str">
        <x:v>건조지1</x:v>
      </x:c>
      <x:c r="T333" s="81" t="str">
        <x:v>산악2</x:v>
      </x:c>
      <x:c r="U333" s="81" t="str">
        <x:v>건조지1</x:v>
      </x:c>
      <x:c r="V333" s="81" t="str">
        <x:v>산악2</x:v>
      </x:c>
    </x:row>
    <x:row r="334">
      <x:c r="A334" s="80" t="n">
        <x:v>330</x:v>
      </x:c>
      <x:c r="B334" s="80" t="str">
        <x:v>플라이곤</x:v>
      </x:c>
      <x:c r="C334" s="80" t="str">
        <x:v>flygon</x:v>
      </x:c>
      <x:c r="D334" s="80" t="str">
        <x:v>건조지</x:v>
      </x:c>
      <x:c r="E334" s="81" t="str">
        <x:v>—</x:v>
      </x:c>
      <x:c r="F334" s="81" t="str">
        <x:v>—</x:v>
      </x:c>
      <x:c r="G334" s="81" t="str">
        <x:v>—</x:v>
      </x:c>
      <x:c r="H334" s="81" t="str">
        <x:v>—</x:v>
      </x:c>
      <x:c r="I334" s="81" t="str">
        <x:v>건조지1</x:v>
      </x:c>
      <x:c r="J334" s="81" t="str">
        <x:v>산악2</x:v>
      </x:c>
      <x:c r="K334" s="81" t="str">
        <x:v>—</x:v>
      </x:c>
      <x:c r="L334" s="81" t="str">
        <x:v>—</x:v>
      </x:c>
      <x:c r="M334" s="81" t="str">
        <x:v>건조지1</x:v>
      </x:c>
      <x:c r="N334" s="81" t="str">
        <x:v>산악1</x:v>
      </x:c>
      <x:c r="O334" s="81" t="str">
        <x:v>건조지1</x:v>
      </x:c>
      <x:c r="P334" s="81" t="str">
        <x:v>산악2</x:v>
      </x:c>
      <x:c r="Q334" s="81" t="str">
        <x:v>건조지1</x:v>
      </x:c>
      <x:c r="R334" s="81" t="str">
        <x:v>산악2</x:v>
      </x:c>
      <x:c r="S334" s="81" t="str">
        <x:v>건조지1</x:v>
      </x:c>
      <x:c r="T334" s="81" t="str">
        <x:v>산악2</x:v>
      </x:c>
      <x:c r="U334" s="81" t="str">
        <x:v>건조지1</x:v>
      </x:c>
      <x:c r="V334" s="81" t="str">
        <x:v>산악2</x:v>
      </x:c>
    </x:row>
    <x:row r="335">
      <x:c r="A335" s="80" t="n">
        <x:v>331</x:v>
      </x:c>
      <x:c r="B335" s="80" t="str">
        <x:v>선인왕</x:v>
      </x:c>
      <x:c r="C335" s="80" t="str">
        <x:v>cacnea</x:v>
      </x:c>
      <x:c r="D335" s="80" t="str">
        <x:v>건조지</x:v>
      </x:c>
      <x:c r="E335" s="81" t="str">
        <x:v>—</x:v>
      </x:c>
      <x:c r="F335" s="81" t="str">
        <x:v>—</x:v>
      </x:c>
      <x:c r="G335" s="81" t="str">
        <x:v>—</x:v>
      </x:c>
      <x:c r="H335" s="81" t="str">
        <x:v>—</x:v>
      </x:c>
      <x:c r="I335" s="81" t="str">
        <x:v>건조지1</x:v>
      </x:c>
      <x:c r="J335" s="81" t="str">
        <x:v>평원3</x:v>
      </x:c>
      <x:c r="K335" s="81" t="str">
        <x:v>—</x:v>
      </x:c>
      <x:c r="L335" s="81" t="str">
        <x:v>—</x:v>
      </x:c>
      <x:c r="M335" s="81" t="str">
        <x:v>—</x:v>
      </x:c>
      <x:c r="N335" s="81" t="str">
        <x:v>—</x:v>
      </x:c>
      <x:c r="O335" s="81" t="str">
        <x:v>—</x:v>
      </x:c>
      <x:c r="P335" s="81" t="str">
        <x:v>—</x:v>
      </x:c>
      <x:c r="Q335" s="81" t="str">
        <x:v>—</x:v>
      </x:c>
      <x:c r="R335" s="81" t="str">
        <x:v>—</x:v>
      </x:c>
      <x:c r="S335" s="81" t="str">
        <x:v>—</x:v>
      </x:c>
      <x:c r="T335" s="81" t="str">
        <x:v>—</x:v>
      </x:c>
      <x:c r="U335" s="81" t="str">
        <x:v>건조지1</x:v>
      </x:c>
      <x:c r="V335" s="81" t="str">
        <x:v>평원3</x:v>
      </x:c>
    </x:row>
    <x:row r="336">
      <x:c r="A336" s="80" t="n">
        <x:v>332</x:v>
      </x:c>
      <x:c r="B336" s="80" t="str">
        <x:v>밤선인</x:v>
      </x:c>
      <x:c r="C336" s="80" t="str">
        <x:v>cacturne</x:v>
      </x:c>
      <x:c r="D336" s="80" t="str">
        <x:v>건조지</x:v>
      </x:c>
      <x:c r="E336" s="81" t="str">
        <x:v>—</x:v>
      </x:c>
      <x:c r="F336" s="81" t="str">
        <x:v>—</x:v>
      </x:c>
      <x:c r="G336" s="81" t="str">
        <x:v>—</x:v>
      </x:c>
      <x:c r="H336" s="81" t="str">
        <x:v>—</x:v>
      </x:c>
      <x:c r="I336" s="81" t="str">
        <x:v>건조지1</x:v>
      </x:c>
      <x:c r="J336" s="81" t="str">
        <x:v>평원3</x:v>
      </x:c>
      <x:c r="K336" s="81" t="str">
        <x:v>—</x:v>
      </x:c>
      <x:c r="L336" s="81" t="str">
        <x:v>—</x:v>
      </x:c>
      <x:c r="M336" s="81" t="str">
        <x:v>—</x:v>
      </x:c>
      <x:c r="N336" s="81" t="str">
        <x:v>—</x:v>
      </x:c>
      <x:c r="O336" s="81" t="str">
        <x:v>—</x:v>
      </x:c>
      <x:c r="P336" s="81" t="str">
        <x:v>—</x:v>
      </x:c>
      <x:c r="Q336" s="81" t="str">
        <x:v>—</x:v>
      </x:c>
      <x:c r="R336" s="81" t="str">
        <x:v>—</x:v>
      </x:c>
      <x:c r="S336" s="81" t="str">
        <x:v>—</x:v>
      </x:c>
      <x:c r="T336" s="81" t="str">
        <x:v>—</x:v>
      </x:c>
      <x:c r="U336" s="81" t="str">
        <x:v>건조지1</x:v>
      </x:c>
      <x:c r="V336" s="81" t="str">
        <x:v>평원3</x:v>
      </x:c>
    </x:row>
    <x:row r="337">
      <x:c r="A337" s="80" t="n">
        <x:v>333</x:v>
      </x:c>
      <x:c r="B337" s="80" t="str">
        <x:v>파비코</x:v>
      </x:c>
      <x:c r="C337" s="80" t="str">
        <x:v>swablu</x:v>
      </x:c>
      <x:c r="D337" s="80" t="str">
        <x:v>산악</x:v>
      </x:c>
      <x:c r="E337" s="81" t="str">
        <x:v>—</x:v>
      </x:c>
      <x:c r="F337" s="81" t="str">
        <x:v>—</x:v>
      </x:c>
      <x:c r="G337" s="81" t="str">
        <x:v>—</x:v>
      </x:c>
      <x:c r="H337" s="81" t="str">
        <x:v>—</x:v>
      </x:c>
      <x:c r="I337" s="81" t="str">
        <x:v>산악2</x:v>
      </x:c>
      <x:c r="J337" s="81" t="str">
        <x:v>평원3</x:v>
      </x:c>
      <x:c r="K337" s="81" t="str">
        <x:v>산악1</x:v>
      </x:c>
      <x:c r="L337" s="81" t="str">
        <x:v>평원2</x:v>
      </x:c>
      <x:c r="M337" s="81" t="str">
        <x:v>산악1</x:v>
      </x:c>
      <x:c r="N337" s="81" t="str">
        <x:v>평원2</x:v>
      </x:c>
      <x:c r="O337" s="81" t="str">
        <x:v>산악2</x:v>
      </x:c>
      <x:c r="P337" s="81" t="str">
        <x:v>평원3</x:v>
      </x:c>
      <x:c r="Q337" s="81" t="str">
        <x:v>—</x:v>
      </x:c>
      <x:c r="R337" s="81" t="str">
        <x:v>—</x:v>
      </x:c>
      <x:c r="S337" s="81" t="str">
        <x:v>산악2</x:v>
      </x:c>
      <x:c r="T337" s="81" t="str">
        <x:v>평원3</x:v>
      </x:c>
      <x:c r="U337" s="81" t="str">
        <x:v>산악2</x:v>
      </x:c>
      <x:c r="V337" s="81" t="str">
        <x:v>평원3</x:v>
      </x:c>
    </x:row>
    <x:row r="338">
      <x:c r="A338" s="80" t="n">
        <x:v>334</x:v>
      </x:c>
      <x:c r="B338" s="80" t="str">
        <x:v>파비코리</x:v>
      </x:c>
      <x:c r="C338" s="80" t="str">
        <x:v>altaria</x:v>
      </x:c>
      <x:c r="D338" s="80" t="str">
        <x:v>산악</x:v>
      </x:c>
      <x:c r="E338" s="81" t="str">
        <x:v>—</x:v>
      </x:c>
      <x:c r="F338" s="81" t="str">
        <x:v>—</x:v>
      </x:c>
      <x:c r="G338" s="81" t="str">
        <x:v>—</x:v>
      </x:c>
      <x:c r="H338" s="81" t="str">
        <x:v>—</x:v>
      </x:c>
      <x:c r="I338" s="81" t="str">
        <x:v>산악2</x:v>
      </x:c>
      <x:c r="J338" s="81" t="str">
        <x:v>평원3</x:v>
      </x:c>
      <x:c r="K338" s="81" t="str">
        <x:v>산악2</x:v>
      </x:c>
      <x:c r="L338" s="81" t="str">
        <x:v>평원2</x:v>
      </x:c>
      <x:c r="M338" s="81" t="str">
        <x:v>산악1</x:v>
      </x:c>
      <x:c r="N338" s="81" t="str">
        <x:v>평원2</x:v>
      </x:c>
      <x:c r="O338" s="81" t="str">
        <x:v>산악2</x:v>
      </x:c>
      <x:c r="P338" s="81" t="str">
        <x:v>평원3</x:v>
      </x:c>
      <x:c r="Q338" s="81" t="str">
        <x:v>—</x:v>
      </x:c>
      <x:c r="R338" s="81" t="str">
        <x:v>—</x:v>
      </x:c>
      <x:c r="S338" s="81" t="str">
        <x:v>산악2</x:v>
      </x:c>
      <x:c r="T338" s="81" t="str">
        <x:v>평원3</x:v>
      </x:c>
      <x:c r="U338" s="81" t="str">
        <x:v>산악2</x:v>
      </x:c>
      <x:c r="V338" s="81" t="str">
        <x:v>평원3</x:v>
      </x:c>
    </x:row>
    <x:row r="339">
      <x:c r="A339" s="80" t="n">
        <x:v>335</x:v>
      </x:c>
      <x:c r="B339" s="80" t="str">
        <x:v>쟝고</x:v>
      </x:c>
      <x:c r="C339" s="80" t="str">
        <x:v>zangoose</x:v>
      </x:c>
      <x:c r="D339" s="80" t="str">
        <x:v>평원</x:v>
      </x:c>
      <x:c r="E339" s="81" t="str">
        <x:v>—</x:v>
      </x:c>
      <x:c r="F339" s="81" t="str">
        <x:v>—</x:v>
      </x:c>
      <x:c r="G339" s="81" t="str">
        <x:v>—</x:v>
      </x:c>
      <x:c r="H339" s="81" t="str">
        <x:v>—</x:v>
      </x:c>
      <x:c r="I339" s="81" t="str">
        <x:v>평원3</x:v>
      </x:c>
      <x:c r="J339" s="81" t="str">
        <x:v>숲2</x:v>
      </x:c>
      <x:c r="K339" s="81" t="str">
        <x:v>—</x:v>
      </x:c>
      <x:c r="L339" s="81" t="str">
        <x:v>—</x:v>
      </x:c>
      <x:c r="M339" s="81" t="str">
        <x:v>평원2</x:v>
      </x:c>
      <x:c r="N339" s="81" t="str">
        <x:v>숲1</x:v>
      </x:c>
      <x:c r="O339" s="81" t="str">
        <x:v>평원3</x:v>
      </x:c>
      <x:c r="P339" s="81" t="str">
        <x:v>숲3</x:v>
      </x:c>
      <x:c r="Q339" s="81" t="str">
        <x:v>—</x:v>
      </x:c>
      <x:c r="R339" s="81" t="str">
        <x:v>—</x:v>
      </x:c>
      <x:c r="S339" s="81" t="str">
        <x:v>—</x:v>
      </x:c>
      <x:c r="T339" s="81" t="str">
        <x:v>—</x:v>
      </x:c>
      <x:c r="U339" s="81" t="str">
        <x:v>평원3</x:v>
      </x:c>
      <x:c r="V339" s="81" t="str">
        <x:v>숲3</x:v>
      </x:c>
    </x:row>
    <x:row r="340">
      <x:c r="A340" s="80" t="n">
        <x:v>336</x:v>
      </x:c>
      <x:c r="B340" s="80" t="str">
        <x:v>세비퍼</x:v>
      </x:c>
      <x:c r="C340" s="80" t="str">
        <x:v>seviper</x:v>
      </x:c>
      <x:c r="D340" s="80" t="str">
        <x:v>건조지</x:v>
      </x:c>
      <x:c r="E340" s="81" t="str">
        <x:v>—</x:v>
      </x:c>
      <x:c r="F340" s="81" t="str">
        <x:v>—</x:v>
      </x:c>
      <x:c r="G340" s="81" t="str">
        <x:v>—</x:v>
      </x:c>
      <x:c r="H340" s="81" t="str">
        <x:v>—</x:v>
      </x:c>
      <x:c r="I340" s="81" t="str">
        <x:v>건조지1</x:v>
      </x:c>
      <x:c r="J340" s="81" t="str">
        <x:v>화산1</x:v>
      </x:c>
      <x:c r="K340" s="81" t="str">
        <x:v>—</x:v>
      </x:c>
      <x:c r="L340" s="81" t="str">
        <x:v>—</x:v>
      </x:c>
      <x:c r="M340" s="81" t="str">
        <x:v>건조지1</x:v>
      </x:c>
      <x:c r="N340" s="81" t="str">
        <x:v>화산1</x:v>
      </x:c>
      <x:c r="O340" s="81" t="str">
        <x:v>건조지1</x:v>
      </x:c>
      <x:c r="P340" s="81" t="str">
        <x:v>화산1</x:v>
      </x:c>
      <x:c r="Q340" s="81" t="str">
        <x:v>—</x:v>
      </x:c>
      <x:c r="R340" s="81" t="str">
        <x:v>—</x:v>
      </x:c>
      <x:c r="S340" s="81" t="str">
        <x:v>—</x:v>
      </x:c>
      <x:c r="T340" s="81" t="str">
        <x:v>—</x:v>
      </x:c>
      <x:c r="U340" s="81" t="str">
        <x:v>건조지1</x:v>
      </x:c>
      <x:c r="V340" s="81" t="str">
        <x:v>화산1</x:v>
      </x:c>
    </x:row>
    <x:row r="341">
      <x:c r="A341" s="80" t="n">
        <x:v>337</x:v>
      </x:c>
      <x:c r="B341" s="80" t="str">
        <x:v>루나톤</x:v>
      </x:c>
      <x:c r="C341" s="80" t="str">
        <x:v>lunatone</x:v>
      </x:c>
      <x:c r="D341" s="80" t="str">
        <x:v>동굴</x:v>
      </x:c>
      <x:c r="E341" s="81" t="str">
        <x:v>—</x:v>
      </x:c>
      <x:c r="F341" s="81" t="str">
        <x:v>—</x:v>
      </x:c>
      <x:c r="G341" s="81" t="str">
        <x:v>—</x:v>
      </x:c>
      <x:c r="H341" s="81" t="str">
        <x:v>—</x:v>
      </x:c>
      <x:c r="I341" s="81" t="str">
        <x:v>동굴1</x:v>
      </x:c>
      <x:c r="J341" s="81" t="str">
        <x:v>산악2</x:v>
      </x:c>
      <x:c r="K341" s="81" t="str">
        <x:v>—</x:v>
      </x:c>
      <x:c r="L341" s="81" t="str">
        <x:v>—</x:v>
      </x:c>
      <x:c r="M341" s="81" t="str">
        <x:v>동굴1</x:v>
      </x:c>
      <x:c r="N341" s="81" t="str">
        <x:v>산악1</x:v>
      </x:c>
      <x:c r="O341" s="81" t="str">
        <x:v>동굴1</x:v>
      </x:c>
      <x:c r="P341" s="81" t="str">
        <x:v>산악2</x:v>
      </x:c>
      <x:c r="Q341" s="81" t="str">
        <x:v>—</x:v>
      </x:c>
      <x:c r="R341" s="81" t="str">
        <x:v>—</x:v>
      </x:c>
      <x:c r="S341" s="81" t="str">
        <x:v>동굴1</x:v>
      </x:c>
      <x:c r="T341" s="81" t="str">
        <x:v>산악2</x:v>
      </x:c>
      <x:c r="U341" s="81" t="str">
        <x:v>—</x:v>
      </x:c>
      <x:c r="V341" s="81" t="str">
        <x:v>—</x:v>
      </x:c>
    </x:row>
    <x:row r="342">
      <x:c r="A342" s="80" t="n">
        <x:v>338</x:v>
      </x:c>
      <x:c r="B342" s="80" t="str">
        <x:v>솔록</x:v>
      </x:c>
      <x:c r="C342" s="80" t="str">
        <x:v>solrock</x:v>
      </x:c>
      <x:c r="D342" s="80" t="str">
        <x:v>동굴</x:v>
      </x:c>
      <x:c r="E342" s="81" t="str">
        <x:v>—</x:v>
      </x:c>
      <x:c r="F342" s="81" t="str">
        <x:v>—</x:v>
      </x:c>
      <x:c r="G342" s="81" t="str">
        <x:v>—</x:v>
      </x:c>
      <x:c r="H342" s="81" t="str">
        <x:v>—</x:v>
      </x:c>
      <x:c r="I342" s="81" t="str">
        <x:v>동굴1</x:v>
      </x:c>
      <x:c r="J342" s="81" t="str">
        <x:v>산악2</x:v>
      </x:c>
      <x:c r="K342" s="81" t="str">
        <x:v>—</x:v>
      </x:c>
      <x:c r="L342" s="81" t="str">
        <x:v>—</x:v>
      </x:c>
      <x:c r="M342" s="81" t="str">
        <x:v>동굴1</x:v>
      </x:c>
      <x:c r="N342" s="81" t="str">
        <x:v>산악1</x:v>
      </x:c>
      <x:c r="O342" s="81" t="str">
        <x:v>동굴1</x:v>
      </x:c>
      <x:c r="P342" s="81" t="str">
        <x:v>산악2</x:v>
      </x:c>
      <x:c r="Q342" s="81" t="str">
        <x:v>—</x:v>
      </x:c>
      <x:c r="R342" s="81" t="str">
        <x:v>—</x:v>
      </x:c>
      <x:c r="S342" s="81" t="str">
        <x:v>동굴1</x:v>
      </x:c>
      <x:c r="T342" s="81" t="str">
        <x:v>산악2</x:v>
      </x:c>
      <x:c r="U342" s="81" t="str">
        <x:v>—</x:v>
      </x:c>
      <x:c r="V342" s="81" t="str">
        <x:v>—</x:v>
      </x:c>
    </x:row>
    <x:row r="343">
      <x:c r="A343" s="80" t="n">
        <x:v>339</x:v>
      </x:c>
      <x:c r="B343" s="80" t="str">
        <x:v>미꾸리</x:v>
      </x:c>
      <x:c r="C343" s="80" t="str">
        <x:v>barboach</x:v>
      </x:c>
      <x:c r="D343" s="80" t="str">
        <x:v>담수</x:v>
      </x:c>
      <x:c r="E343" s="81" t="str">
        <x:v>—</x:v>
      </x:c>
      <x:c r="F343" s="81" t="str">
        <x:v>—</x:v>
      </x:c>
      <x:c r="G343" s="81" t="str">
        <x:v>—</x:v>
      </x:c>
      <x:c r="H343" s="81" t="str">
        <x:v>—</x:v>
      </x:c>
      <x:c r="I343" s="81" t="str">
        <x:v>담수2</x:v>
      </x:c>
      <x:c r="J343" s="81" t="str">
        <x:v>습지1</x:v>
      </x:c>
      <x:c r="K343" s="81" t="str">
        <x:v>담수1</x:v>
      </x:c>
      <x:c r="L343" s="81" t="str">
        <x:v>습지1</x:v>
      </x:c>
      <x:c r="M343" s="81" t="str">
        <x:v>—</x:v>
      </x:c>
      <x:c r="N343" s="81" t="str">
        <x:v>—</x:v>
      </x:c>
      <x:c r="O343" s="81" t="str">
        <x:v>담수2</x:v>
      </x:c>
      <x:c r="P343" s="81" t="str">
        <x:v>습지2</x:v>
      </x:c>
      <x:c r="Q343" s="81" t="str">
        <x:v>담수2</x:v>
      </x:c>
      <x:c r="R343" s="81" t="str">
        <x:v>습지1</x:v>
      </x:c>
      <x:c r="S343" s="81" t="str">
        <x:v>담수2</x:v>
      </x:c>
      <x:c r="T343" s="81" t="str">
        <x:v>습지2</x:v>
      </x:c>
      <x:c r="U343" s="81" t="str">
        <x:v>담수2</x:v>
      </x:c>
      <x:c r="V343" s="81" t="str">
        <x:v>습지2</x:v>
      </x:c>
    </x:row>
    <x:row r="344">
      <x:c r="A344" s="80" t="n">
        <x:v>340</x:v>
      </x:c>
      <x:c r="B344" s="80" t="str">
        <x:v>메깅</x:v>
      </x:c>
      <x:c r="C344" s="80" t="str">
        <x:v>whiscash</x:v>
      </x:c>
      <x:c r="D344" s="80" t="str">
        <x:v>담수</x:v>
      </x:c>
      <x:c r="E344" s="81" t="str">
        <x:v>—</x:v>
      </x:c>
      <x:c r="F344" s="81" t="str">
        <x:v>—</x:v>
      </x:c>
      <x:c r="G344" s="81" t="str">
        <x:v>—</x:v>
      </x:c>
      <x:c r="H344" s="81" t="str">
        <x:v>—</x:v>
      </x:c>
      <x:c r="I344" s="81" t="str">
        <x:v>담수2</x:v>
      </x:c>
      <x:c r="J344" s="81" t="str">
        <x:v>습지1</x:v>
      </x:c>
      <x:c r="K344" s="81" t="str">
        <x:v>담수1</x:v>
      </x:c>
      <x:c r="L344" s="81" t="str">
        <x:v>습지1</x:v>
      </x:c>
      <x:c r="M344" s="81" t="str">
        <x:v>—</x:v>
      </x:c>
      <x:c r="N344" s="81" t="str">
        <x:v>—</x:v>
      </x:c>
      <x:c r="O344" s="81" t="str">
        <x:v>담수2</x:v>
      </x:c>
      <x:c r="P344" s="81" t="str">
        <x:v>습지2</x:v>
      </x:c>
      <x:c r="Q344" s="81" t="str">
        <x:v>담수2</x:v>
      </x:c>
      <x:c r="R344" s="81" t="str">
        <x:v>습지2</x:v>
      </x:c>
      <x:c r="S344" s="81" t="str">
        <x:v>담수2</x:v>
      </x:c>
      <x:c r="T344" s="81" t="str">
        <x:v>습지2</x:v>
      </x:c>
      <x:c r="U344" s="81" t="str">
        <x:v>담수2</x:v>
      </x:c>
      <x:c r="V344" s="81" t="str">
        <x:v>습지2</x:v>
      </x:c>
    </x:row>
    <x:row r="345">
      <x:c r="A345" s="80" t="n">
        <x:v>341</x:v>
      </x:c>
      <x:c r="B345" s="80" t="str">
        <x:v>가재군</x:v>
      </x:c>
      <x:c r="C345" s="80" t="str">
        <x:v>corphish</x:v>
      </x:c>
      <x:c r="D345" s="80" t="str">
        <x:v>담수</x:v>
      </x:c>
      <x:c r="E345" s="81" t="str">
        <x:v>—</x:v>
      </x:c>
      <x:c r="F345" s="81" t="str">
        <x:v>—</x:v>
      </x:c>
      <x:c r="G345" s="81" t="str">
        <x:v>—</x:v>
      </x:c>
      <x:c r="H345" s="81" t="str">
        <x:v>—</x:v>
      </x:c>
      <x:c r="I345" s="81" t="str">
        <x:v>담수2</x:v>
      </x:c>
      <x:c r="J345" s="81" t="str">
        <x:v>습지1</x:v>
      </x:c>
      <x:c r="K345" s="81" t="str">
        <x:v>—</x:v>
      </x:c>
      <x:c r="L345" s="81" t="str">
        <x:v>—</x:v>
      </x:c>
      <x:c r="M345" s="81" t="str">
        <x:v>담수1</x:v>
      </x:c>
      <x:c r="N345" s="81" t="str">
        <x:v>습지1</x:v>
      </x:c>
      <x:c r="O345" s="81" t="str">
        <x:v>담수3</x:v>
      </x:c>
      <x:c r="P345" s="81" t="str">
        <x:v>습지2</x:v>
      </x:c>
      <x:c r="Q345" s="81" t="str">
        <x:v>담수2</x:v>
      </x:c>
      <x:c r="R345" s="81" t="str">
        <x:v>습지2</x:v>
      </x:c>
      <x:c r="S345" s="81" t="str">
        <x:v>담수2</x:v>
      </x:c>
      <x:c r="T345" s="81" t="str">
        <x:v>습지2</x:v>
      </x:c>
      <x:c r="U345" s="81" t="str">
        <x:v>담수2</x:v>
      </x:c>
      <x:c r="V345" s="81" t="str">
        <x:v>습지2</x:v>
      </x:c>
    </x:row>
    <x:row r="346">
      <x:c r="A346" s="80" t="n">
        <x:v>342</x:v>
      </x:c>
      <x:c r="B346" s="80" t="str">
        <x:v>가재장군</x:v>
      </x:c>
      <x:c r="C346" s="80" t="str">
        <x:v>crawdaunt</x:v>
      </x:c>
      <x:c r="D346" s="80" t="str">
        <x:v>담수</x:v>
      </x:c>
      <x:c r="E346" s="81" t="str">
        <x:v>—</x:v>
      </x:c>
      <x:c r="F346" s="81" t="str">
        <x:v>—</x:v>
      </x:c>
      <x:c r="G346" s="81" t="str">
        <x:v>—</x:v>
      </x:c>
      <x:c r="H346" s="81" t="str">
        <x:v>—</x:v>
      </x:c>
      <x:c r="I346" s="81" t="str">
        <x:v>담수2</x:v>
      </x:c>
      <x:c r="J346" s="81" t="str">
        <x:v>습지1</x:v>
      </x:c>
      <x:c r="K346" s="81" t="str">
        <x:v>—</x:v>
      </x:c>
      <x:c r="L346" s="81" t="str">
        <x:v>—</x:v>
      </x:c>
      <x:c r="M346" s="81" t="str">
        <x:v>담수1</x:v>
      </x:c>
      <x:c r="N346" s="81" t="str">
        <x:v>습지1</x:v>
      </x:c>
      <x:c r="O346" s="81" t="str">
        <x:v>담수3</x:v>
      </x:c>
      <x:c r="P346" s="81" t="str">
        <x:v>습지2</x:v>
      </x:c>
      <x:c r="Q346" s="81" t="str">
        <x:v>담수2</x:v>
      </x:c>
      <x:c r="R346" s="81" t="str">
        <x:v>습지2</x:v>
      </x:c>
      <x:c r="S346" s="81" t="str">
        <x:v>담수2</x:v>
      </x:c>
      <x:c r="T346" s="81" t="str">
        <x:v>습지2</x:v>
      </x:c>
      <x:c r="U346" s="81" t="str">
        <x:v>담수2</x:v>
      </x:c>
      <x:c r="V346" s="81" t="str">
        <x:v>습지2</x:v>
      </x:c>
    </x:row>
    <x:row r="347">
      <x:c r="A347" s="80" t="n">
        <x:v>343</x:v>
      </x:c>
      <x:c r="B347" s="80" t="str">
        <x:v>오뚝군</x:v>
      </x:c>
      <x:c r="C347" s="80" t="str">
        <x:v>baltoy</x:v>
      </x:c>
      <x:c r="D347" s="80" t="str">
        <x:v>건조지</x:v>
      </x:c>
      <x:c r="E347" s="81" t="str">
        <x:v>—</x:v>
      </x:c>
      <x:c r="F347" s="81" t="str">
        <x:v>—</x:v>
      </x:c>
      <x:c r="G347" s="81" t="str">
        <x:v>—</x:v>
      </x:c>
      <x:c r="H347" s="81" t="str">
        <x:v>—</x:v>
      </x:c>
      <x:c r="I347" s="81" t="str">
        <x:v>건조지1</x:v>
      </x:c>
      <x:c r="J347" s="81" t="str">
        <x:v>도시1</x:v>
      </x:c>
      <x:c r="K347" s="81" t="str">
        <x:v>—</x:v>
      </x:c>
      <x:c r="L347" s="81" t="str">
        <x:v>—</x:v>
      </x:c>
      <x:c r="M347" s="81" t="str">
        <x:v>건조지1</x:v>
      </x:c>
      <x:c r="N347" s="81" t="str">
        <x:v>도시1</x:v>
      </x:c>
      <x:c r="O347" s="81" t="str">
        <x:v>—</x:v>
      </x:c>
      <x:c r="P347" s="81" t="str">
        <x:v>—</x:v>
      </x:c>
      <x:c r="Q347" s="81" t="str">
        <x:v>건조지1</x:v>
      </x:c>
      <x:c r="R347" s="81" t="str">
        <x:v>도시1</x:v>
      </x:c>
      <x:c r="S347" s="81" t="str">
        <x:v>건조지1</x:v>
      </x:c>
      <x:c r="T347" s="81" t="str">
        <x:v>도시1</x:v>
      </x:c>
      <x:c r="U347" s="81" t="str">
        <x:v>—</x:v>
      </x:c>
      <x:c r="V347" s="81" t="str">
        <x:v>—</x:v>
      </x:c>
    </x:row>
    <x:row r="348">
      <x:c r="A348" s="80" t="n">
        <x:v>344</x:v>
      </x:c>
      <x:c r="B348" s="80" t="str">
        <x:v>점토도리</x:v>
      </x:c>
      <x:c r="C348" s="80" t="str">
        <x:v>claydol</x:v>
      </x:c>
      <x:c r="D348" s="80" t="str">
        <x:v>건조지</x:v>
      </x:c>
      <x:c r="E348" s="81" t="str">
        <x:v>—</x:v>
      </x:c>
      <x:c r="F348" s="81" t="str">
        <x:v>—</x:v>
      </x:c>
      <x:c r="G348" s="81" t="str">
        <x:v>—</x:v>
      </x:c>
      <x:c r="H348" s="81" t="str">
        <x:v>—</x:v>
      </x:c>
      <x:c r="I348" s="81" t="str">
        <x:v>건조지1</x:v>
      </x:c>
      <x:c r="J348" s="81" t="str">
        <x:v>도시1</x:v>
      </x:c>
      <x:c r="K348" s="81" t="str">
        <x:v>—</x:v>
      </x:c>
      <x:c r="L348" s="81" t="str">
        <x:v>—</x:v>
      </x:c>
      <x:c r="M348" s="81" t="str">
        <x:v>건조지1</x:v>
      </x:c>
      <x:c r="N348" s="81" t="str">
        <x:v>도시1</x:v>
      </x:c>
      <x:c r="O348" s="81" t="str">
        <x:v>—</x:v>
      </x:c>
      <x:c r="P348" s="81" t="str">
        <x:v>—</x:v>
      </x:c>
      <x:c r="Q348" s="81" t="str">
        <x:v>건조지2</x:v>
      </x:c>
      <x:c r="R348" s="81" t="str">
        <x:v>도시1</x:v>
      </x:c>
      <x:c r="S348" s="81" t="str">
        <x:v>건조지1</x:v>
      </x:c>
      <x:c r="T348" s="81" t="str">
        <x:v>도시1</x:v>
      </x:c>
      <x:c r="U348" s="81" t="str">
        <x:v>—</x:v>
      </x:c>
      <x:c r="V348" s="81" t="str">
        <x:v>—</x:v>
      </x:c>
    </x:row>
    <x:row r="349">
      <x:c r="A349" s="80" t="n">
        <x:v>345</x:v>
      </x:c>
      <x:c r="B349" s="80" t="str">
        <x:v>릴링</x:v>
      </x:c>
      <x:c r="C349" s="80" t="str">
        <x:v>lileep</x:v>
      </x:c>
      <x:c r="D349" s="80" t="str">
        <x:v>산악</x:v>
      </x:c>
      <x:c r="E349" s="81" t="str">
        <x:v>—</x:v>
      </x:c>
      <x:c r="F349" s="81" t="str">
        <x:v>—</x:v>
      </x:c>
      <x:c r="G349" s="81" t="str">
        <x:v>—</x:v>
      </x:c>
      <x:c r="H349" s="81" t="str">
        <x:v>—</x:v>
      </x:c>
      <x:c r="I349" s="81" t="str">
        <x:v>산악2</x:v>
      </x:c>
      <x:c r="J349" s="81" t="str">
        <x:v>숲2</x:v>
      </x:c>
      <x:c r="K349" s="81" t="str">
        <x:v>—</x:v>
      </x:c>
      <x:c r="L349" s="81" t="str">
        <x:v>—</x:v>
      </x:c>
      <x:c r="M349" s="81" t="str">
        <x:v>—</x:v>
      </x:c>
      <x:c r="N349" s="81" t="str">
        <x:v>—</x:v>
      </x:c>
      <x:c r="O349" s="81" t="str">
        <x:v>—</x:v>
      </x:c>
      <x:c r="P349" s="81" t="str">
        <x:v>—</x:v>
      </x:c>
      <x:c r="Q349" s="81" t="str">
        <x:v>산악2</x:v>
      </x:c>
      <x:c r="R349" s="81" t="str">
        <x:v>숲2</x:v>
      </x:c>
      <x:c r="S349" s="81" t="str">
        <x:v>산악2</x:v>
      </x:c>
      <x:c r="T349" s="81" t="str">
        <x:v>숲2</x:v>
      </x:c>
      <x:c r="U349" s="81" t="str">
        <x:v>—</x:v>
      </x:c>
      <x:c r="V349" s="81" t="str">
        <x:v>—</x:v>
      </x:c>
    </x:row>
    <x:row r="350">
      <x:c r="A350" s="80" t="n">
        <x:v>346</x:v>
      </x:c>
      <x:c r="B350" s="80" t="str">
        <x:v>릴리요</x:v>
      </x:c>
      <x:c r="C350" s="80" t="str">
        <x:v>cradily</x:v>
      </x:c>
      <x:c r="D350" s="80" t="str">
        <x:v>산악</x:v>
      </x:c>
      <x:c r="E350" s="81" t="str">
        <x:v>—</x:v>
      </x:c>
      <x:c r="F350" s="81" t="str">
        <x:v>—</x:v>
      </x:c>
      <x:c r="G350" s="81" t="str">
        <x:v>—</x:v>
      </x:c>
      <x:c r="H350" s="81" t="str">
        <x:v>—</x:v>
      </x:c>
      <x:c r="I350" s="81" t="str">
        <x:v>산악2</x:v>
      </x:c>
      <x:c r="J350" s="81" t="str">
        <x:v>숲2</x:v>
      </x:c>
      <x:c r="K350" s="81" t="str">
        <x:v>—</x:v>
      </x:c>
      <x:c r="L350" s="81" t="str">
        <x:v>—</x:v>
      </x:c>
      <x:c r="M350" s="81" t="str">
        <x:v>—</x:v>
      </x:c>
      <x:c r="N350" s="81" t="str">
        <x:v>—</x:v>
      </x:c>
      <x:c r="O350" s="81" t="str">
        <x:v>—</x:v>
      </x:c>
      <x:c r="P350" s="81" t="str">
        <x:v>—</x:v>
      </x:c>
      <x:c r="Q350" s="81" t="str">
        <x:v>산악2</x:v>
      </x:c>
      <x:c r="R350" s="81" t="str">
        <x:v>숲2</x:v>
      </x:c>
      <x:c r="S350" s="81" t="str">
        <x:v>산악2</x:v>
      </x:c>
      <x:c r="T350" s="81" t="str">
        <x:v>숲2</x:v>
      </x:c>
      <x:c r="U350" s="81" t="str">
        <x:v>—</x:v>
      </x:c>
      <x:c r="V350" s="81" t="str">
        <x:v>—</x:v>
      </x:c>
    </x:row>
    <x:row r="351">
      <x:c r="A351" s="80" t="n">
        <x:v>347</x:v>
      </x:c>
      <x:c r="B351" s="80" t="str">
        <x:v>아노딥스</x:v>
      </x:c>
      <x:c r="C351" s="80" t="str">
        <x:v>anorith</x:v>
      </x:c>
      <x:c r="D351" s="80" t="str">
        <x:v>산악</x:v>
      </x:c>
      <x:c r="E351" s="81" t="str">
        <x:v>—</x:v>
      </x:c>
      <x:c r="F351" s="81" t="str">
        <x:v>—</x:v>
      </x:c>
      <x:c r="G351" s="81" t="str">
        <x:v>—</x:v>
      </x:c>
      <x:c r="H351" s="81" t="str">
        <x:v>—</x:v>
      </x:c>
      <x:c r="I351" s="81" t="str">
        <x:v>산악2</x:v>
      </x:c>
      <x:c r="J351" s="81" t="str">
        <x:v>숲2</x:v>
      </x:c>
      <x:c r="K351" s="81" t="str">
        <x:v>—</x:v>
      </x:c>
      <x:c r="L351" s="81" t="str">
        <x:v>—</x:v>
      </x:c>
      <x:c r="M351" s="81" t="str">
        <x:v>—</x:v>
      </x:c>
      <x:c r="N351" s="81" t="str">
        <x:v>—</x:v>
      </x:c>
      <x:c r="O351" s="81" t="str">
        <x:v>—</x:v>
      </x:c>
      <x:c r="P351" s="81" t="str">
        <x:v>—</x:v>
      </x:c>
      <x:c r="Q351" s="81" t="str">
        <x:v>산악2</x:v>
      </x:c>
      <x:c r="R351" s="81" t="str">
        <x:v>숲2</x:v>
      </x:c>
      <x:c r="S351" s="81" t="str">
        <x:v>산악2</x:v>
      </x:c>
      <x:c r="T351" s="81" t="str">
        <x:v>숲2</x:v>
      </x:c>
      <x:c r="U351" s="81" t="str">
        <x:v>—</x:v>
      </x:c>
      <x:c r="V351" s="81" t="str">
        <x:v>—</x:v>
      </x:c>
    </x:row>
    <x:row r="352">
      <x:c r="A352" s="80" t="n">
        <x:v>348</x:v>
      </x:c>
      <x:c r="B352" s="80" t="str">
        <x:v>아말도</x:v>
      </x:c>
      <x:c r="C352" s="80" t="str">
        <x:v>armaldo</x:v>
      </x:c>
      <x:c r="D352" s="80" t="str">
        <x:v>산악</x:v>
      </x:c>
      <x:c r="E352" s="81" t="str">
        <x:v>—</x:v>
      </x:c>
      <x:c r="F352" s="81" t="str">
        <x:v>—</x:v>
      </x:c>
      <x:c r="G352" s="81" t="str">
        <x:v>—</x:v>
      </x:c>
      <x:c r="H352" s="81" t="str">
        <x:v>—</x:v>
      </x:c>
      <x:c r="I352" s="81" t="str">
        <x:v>산악2</x:v>
      </x:c>
      <x:c r="J352" s="81" t="str">
        <x:v>숲2</x:v>
      </x:c>
      <x:c r="K352" s="81" t="str">
        <x:v>—</x:v>
      </x:c>
      <x:c r="L352" s="81" t="str">
        <x:v>—</x:v>
      </x:c>
      <x:c r="M352" s="81" t="str">
        <x:v>—</x:v>
      </x:c>
      <x:c r="N352" s="81" t="str">
        <x:v>—</x:v>
      </x:c>
      <x:c r="O352" s="81" t="str">
        <x:v>—</x:v>
      </x:c>
      <x:c r="P352" s="81" t="str">
        <x:v>—</x:v>
      </x:c>
      <x:c r="Q352" s="81" t="str">
        <x:v>산악2</x:v>
      </x:c>
      <x:c r="R352" s="81" t="str">
        <x:v>숲2</x:v>
      </x:c>
      <x:c r="S352" s="81" t="str">
        <x:v>산악2</x:v>
      </x:c>
      <x:c r="T352" s="81" t="str">
        <x:v>숲2</x:v>
      </x:c>
      <x:c r="U352" s="81" t="str">
        <x:v>—</x:v>
      </x:c>
      <x:c r="V352" s="81" t="str">
        <x:v>—</x:v>
      </x:c>
    </x:row>
    <x:row r="353">
      <x:c r="A353" s="80" t="n">
        <x:v>349</x:v>
      </x:c>
      <x:c r="B353" s="80" t="str">
        <x:v>빈티나</x:v>
      </x:c>
      <x:c r="C353" s="80" t="str">
        <x:v>feebas</x:v>
      </x:c>
      <x:c r="D353" s="80" t="str">
        <x:v>담수</x:v>
      </x:c>
      <x:c r="E353" s="81" t="str">
        <x:v>—</x:v>
      </x:c>
      <x:c r="F353" s="81" t="str">
        <x:v>—</x:v>
      </x:c>
      <x:c r="G353" s="81" t="str">
        <x:v>—</x:v>
      </x:c>
      <x:c r="H353" s="81" t="str">
        <x:v>—</x:v>
      </x:c>
      <x:c r="I353" s="81" t="str">
        <x:v>담수2</x:v>
      </x:c>
      <x:c r="J353" s="81" t="str">
        <x:v>습지1</x:v>
      </x:c>
      <x:c r="K353" s="81" t="str">
        <x:v>담수1</x:v>
      </x:c>
      <x:c r="L353" s="81" t="str">
        <x:v>습지1</x:v>
      </x:c>
      <x:c r="M353" s="81" t="str">
        <x:v>—</x:v>
      </x:c>
      <x:c r="N353" s="81" t="str">
        <x:v>—</x:v>
      </x:c>
      <x:c r="O353" s="81" t="str">
        <x:v>—</x:v>
      </x:c>
      <x:c r="P353" s="81" t="str">
        <x:v>—</x:v>
      </x:c>
      <x:c r="Q353" s="81" t="str">
        <x:v>담수2</x:v>
      </x:c>
      <x:c r="R353" s="81" t="str">
        <x:v>습지2</x:v>
      </x:c>
      <x:c r="S353" s="81" t="str">
        <x:v>담수2</x:v>
      </x:c>
      <x:c r="T353" s="81" t="str">
        <x:v>습지2</x:v>
      </x:c>
      <x:c r="U353" s="81" t="str">
        <x:v>담수2</x:v>
      </x:c>
      <x:c r="V353" s="81" t="str">
        <x:v>습지2</x:v>
      </x:c>
    </x:row>
    <x:row r="354">
      <x:c r="A354" s="80" t="n">
        <x:v>350</x:v>
      </x:c>
      <x:c r="B354" s="80" t="str">
        <x:v>밀로틱</x:v>
      </x:c>
      <x:c r="C354" s="80" t="str">
        <x:v>milotic</x:v>
      </x:c>
      <x:c r="D354" s="80" t="str">
        <x:v>담수</x:v>
      </x:c>
      <x:c r="E354" s="81" t="str">
        <x:v>—</x:v>
      </x:c>
      <x:c r="F354" s="81" t="str">
        <x:v>—</x:v>
      </x:c>
      <x:c r="G354" s="81" t="str">
        <x:v>—</x:v>
      </x:c>
      <x:c r="H354" s="81" t="str">
        <x:v>—</x:v>
      </x:c>
      <x:c r="I354" s="81" t="str">
        <x:v>담수2</x:v>
      </x:c>
      <x:c r="J354" s="81" t="str">
        <x:v>습지1</x:v>
      </x:c>
      <x:c r="K354" s="81" t="str">
        <x:v>담수1</x:v>
      </x:c>
      <x:c r="L354" s="81" t="str">
        <x:v>습지1</x:v>
      </x:c>
      <x:c r="M354" s="81" t="str">
        <x:v>—</x:v>
      </x:c>
      <x:c r="N354" s="81" t="str">
        <x:v>—</x:v>
      </x:c>
      <x:c r="O354" s="81" t="str">
        <x:v>—</x:v>
      </x:c>
      <x:c r="P354" s="81" t="str">
        <x:v>—</x:v>
      </x:c>
      <x:c r="Q354" s="81" t="str">
        <x:v>담수2</x:v>
      </x:c>
      <x:c r="R354" s="81" t="str">
        <x:v>습지2</x:v>
      </x:c>
      <x:c r="S354" s="81" t="str">
        <x:v>담수2</x:v>
      </x:c>
      <x:c r="T354" s="81" t="str">
        <x:v>습지2</x:v>
      </x:c>
      <x:c r="U354" s="81" t="str">
        <x:v>담수2</x:v>
      </x:c>
      <x:c r="V354" s="81" t="str">
        <x:v>습지2</x:v>
      </x:c>
    </x:row>
    <x:row r="355">
      <x:c r="A355" s="80" t="n">
        <x:v>351</x:v>
      </x:c>
      <x:c r="B355" s="80" t="str">
        <x:v>캐스퐁</x:v>
      </x:c>
      <x:c r="C355" s="80" t="str">
        <x:v>castform</x:v>
      </x:c>
      <x:c r="D355" s="80" t="str">
        <x:v>도시</x:v>
      </x:c>
      <x:c r="E355" s="81" t="str">
        <x:v>—</x:v>
      </x:c>
      <x:c r="F355" s="81" t="str">
        <x:v>—</x:v>
      </x:c>
      <x:c r="G355" s="81" t="str">
        <x:v>—</x:v>
      </x:c>
      <x:c r="H355" s="81" t="str">
        <x:v>—</x:v>
      </x:c>
      <x:c r="I355" s="81" t="str">
        <x:v>도시1</x:v>
      </x:c>
      <x:c r="J355" s="81" t="str">
        <x:v>해양1</x:v>
      </x:c>
      <x:c r="K355" s="81" t="str">
        <x:v>—</x:v>
      </x:c>
      <x:c r="L355" s="81" t="str">
        <x:v>—</x:v>
      </x:c>
      <x:c r="M355" s="81" t="str">
        <x:v>도시1</x:v>
      </x:c>
      <x:c r="N355" s="81" t="str">
        <x:v>해양1</x:v>
      </x:c>
      <x:c r="O355" s="81" t="str">
        <x:v>—</x:v>
      </x:c>
      <x:c r="P355" s="81" t="str">
        <x:v>—</x:v>
      </x:c>
      <x:c r="Q355" s="81" t="str">
        <x:v>도시1</x:v>
      </x:c>
      <x:c r="R355" s="81" t="str">
        <x:v>해양1</x:v>
      </x:c>
      <x:c r="S355" s="81" t="str">
        <x:v>—</x:v>
      </x:c>
      <x:c r="T355" s="81" t="str">
        <x:v>—</x:v>
      </x:c>
      <x:c r="U355" s="81" t="str">
        <x:v>—</x:v>
      </x:c>
      <x:c r="V355" s="81" t="str">
        <x:v>—</x:v>
      </x:c>
    </x:row>
    <x:row r="356">
      <x:c r="A356" s="80" t="n">
        <x:v>352</x:v>
      </x:c>
      <x:c r="B356" s="80" t="str">
        <x:v>켈리몬</x:v>
      </x:c>
      <x:c r="C356" s="80" t="str">
        <x:v>kecleon</x:v>
      </x:c>
      <x:c r="D356" s="80" t="str">
        <x:v>숲</x:v>
      </x:c>
      <x:c r="E356" s="81" t="str">
        <x:v>—</x:v>
      </x:c>
      <x:c r="F356" s="81" t="str">
        <x:v>—</x:v>
      </x:c>
      <x:c r="G356" s="81" t="str">
        <x:v>—</x:v>
      </x:c>
      <x:c r="H356" s="81" t="str">
        <x:v>—</x:v>
      </x:c>
      <x:c r="I356" s="81" t="str">
        <x:v>숲2</x:v>
      </x:c>
      <x:c r="J356" s="81" t="str">
        <x:v>평원3</x:v>
      </x:c>
      <x:c r="K356" s="81" t="str">
        <x:v>—</x:v>
      </x:c>
      <x:c r="L356" s="81" t="str">
        <x:v>—</x:v>
      </x:c>
      <x:c r="M356" s="81" t="str">
        <x:v>—</x:v>
      </x:c>
      <x:c r="N356" s="81" t="str">
        <x:v>—</x:v>
      </x:c>
      <x:c r="O356" s="81" t="str">
        <x:v>숲3</x:v>
      </x:c>
      <x:c r="P356" s="81" t="str">
        <x:v>평원3</x:v>
      </x:c>
      <x:c r="Q356" s="81" t="str">
        <x:v>숲2</x:v>
      </x:c>
      <x:c r="R356" s="81" t="str">
        <x:v>평원3</x:v>
      </x:c>
      <x:c r="S356" s="81" t="str">
        <x:v>—</x:v>
      </x:c>
      <x:c r="T356" s="81" t="str">
        <x:v>—</x:v>
      </x:c>
      <x:c r="U356" s="81" t="str">
        <x:v>—</x:v>
      </x:c>
      <x:c r="V356" s="81" t="str">
        <x:v>—</x:v>
      </x:c>
    </x:row>
    <x:row r="357">
      <x:c r="A357" s="80" t="n">
        <x:v>353</x:v>
      </x:c>
      <x:c r="B357" s="80" t="str">
        <x:v>어둠대신</x:v>
      </x:c>
      <x:c r="C357" s="80" t="str">
        <x:v>shuppet</x:v>
      </x:c>
      <x:c r="D357" s="80" t="str">
        <x:v>특수</x:v>
      </x:c>
      <x:c r="E357" s="81" t="str">
        <x:v>—</x:v>
      </x:c>
      <x:c r="F357" s="81" t="str">
        <x:v>—</x:v>
      </x:c>
      <x:c r="G357" s="81" t="str">
        <x:v>—</x:v>
      </x:c>
      <x:c r="H357" s="81" t="str">
        <x:v>—</x:v>
      </x:c>
      <x:c r="I357" s="81" t="str">
        <x:v>특수1</x:v>
      </x:c>
      <x:c r="J357" s="81" t="str">
        <x:v>평원3</x:v>
      </x:c>
      <x:c r="K357" s="81" t="str">
        <x:v>—</x:v>
      </x:c>
      <x:c r="L357" s="81" t="str">
        <x:v>—</x:v>
      </x:c>
      <x:c r="M357" s="81" t="str">
        <x:v>특수1</x:v>
      </x:c>
      <x:c r="N357" s="81" t="str">
        <x:v>평원2</x:v>
      </x:c>
      <x:c r="O357" s="81" t="str">
        <x:v>특수1</x:v>
      </x:c>
      <x:c r="P357" s="81" t="str">
        <x:v>평원3</x:v>
      </x:c>
      <x:c r="Q357" s="81" t="str">
        <x:v>특수1</x:v>
      </x:c>
      <x:c r="R357" s="81" t="str">
        <x:v>평원3</x:v>
      </x:c>
      <x:c r="S357" s="81" t="str">
        <x:v>—</x:v>
      </x:c>
      <x:c r="T357" s="81" t="str">
        <x:v>—</x:v>
      </x:c>
      <x:c r="U357" s="81" t="str">
        <x:v>특수1</x:v>
      </x:c>
      <x:c r="V357" s="81" t="str">
        <x:v>평원3</x:v>
      </x:c>
    </x:row>
    <x:row r="358">
      <x:c r="A358" s="80" t="n">
        <x:v>354</x:v>
      </x:c>
      <x:c r="B358" s="80" t="str">
        <x:v>다크펫</x:v>
      </x:c>
      <x:c r="C358" s="80" t="str">
        <x:v>banette</x:v>
      </x:c>
      <x:c r="D358" s="80" t="str">
        <x:v>특수</x:v>
      </x:c>
      <x:c r="E358" s="81" t="str">
        <x:v>—</x:v>
      </x:c>
      <x:c r="F358" s="81" t="str">
        <x:v>—</x:v>
      </x:c>
      <x:c r="G358" s="81" t="str">
        <x:v>—</x:v>
      </x:c>
      <x:c r="H358" s="81" t="str">
        <x:v>—</x:v>
      </x:c>
      <x:c r="I358" s="81" t="str">
        <x:v>특수1</x:v>
      </x:c>
      <x:c r="J358" s="81" t="str">
        <x:v>평원3</x:v>
      </x:c>
      <x:c r="K358" s="81" t="str">
        <x:v>—</x:v>
      </x:c>
      <x:c r="L358" s="81" t="str">
        <x:v>—</x:v>
      </x:c>
      <x:c r="M358" s="81" t="str">
        <x:v>특수1</x:v>
      </x:c>
      <x:c r="N358" s="81" t="str">
        <x:v>평원2</x:v>
      </x:c>
      <x:c r="O358" s="81" t="str">
        <x:v>특수1</x:v>
      </x:c>
      <x:c r="P358" s="81" t="str">
        <x:v>평원3</x:v>
      </x:c>
      <x:c r="Q358" s="81" t="str">
        <x:v>특수1</x:v>
      </x:c>
      <x:c r="R358" s="81" t="str">
        <x:v>평원3</x:v>
      </x:c>
      <x:c r="S358" s="81" t="str">
        <x:v>—</x:v>
      </x:c>
      <x:c r="T358" s="81" t="str">
        <x:v>—</x:v>
      </x:c>
      <x:c r="U358" s="81" t="str">
        <x:v>특수1</x:v>
      </x:c>
      <x:c r="V358" s="81" t="str">
        <x:v>평원3</x:v>
      </x:c>
    </x:row>
    <x:row r="359">
      <x:c r="A359" s="80" t="n">
        <x:v>355</x:v>
      </x:c>
      <x:c r="B359" s="80" t="str">
        <x:v>해골몽</x:v>
      </x:c>
      <x:c r="C359" s="80" t="str">
        <x:v>duskull</x:v>
      </x:c>
      <x:c r="D359" s="80" t="str">
        <x:v>특수</x:v>
      </x:c>
      <x:c r="E359" s="81" t="str">
        <x:v>—</x:v>
      </x:c>
      <x:c r="F359" s="81" t="str">
        <x:v>—</x:v>
      </x:c>
      <x:c r="G359" s="81" t="str">
        <x:v>—</x:v>
      </x:c>
      <x:c r="H359" s="81" t="str">
        <x:v>—</x:v>
      </x:c>
      <x:c r="I359" s="81" t="str">
        <x:v>특수1</x:v>
      </x:c>
      <x:c r="J359" s="81" t="str">
        <x:v>평원3</x:v>
      </x:c>
      <x:c r="K359" s="81" t="str">
        <x:v>특수1</x:v>
      </x:c>
      <x:c r="L359" s="81" t="str">
        <x:v>평원2</x:v>
      </x:c>
      <x:c r="M359" s="81" t="str">
        <x:v>—</x:v>
      </x:c>
      <x:c r="N359" s="81" t="str">
        <x:v>—</x:v>
      </x:c>
      <x:c r="O359" s="81" t="str">
        <x:v>—</x:v>
      </x:c>
      <x:c r="P359" s="81" t="str">
        <x:v>—</x:v>
      </x:c>
      <x:c r="Q359" s="81" t="str">
        <x:v>—</x:v>
      </x:c>
      <x:c r="R359" s="81" t="str">
        <x:v>—</x:v>
      </x:c>
      <x:c r="S359" s="81" t="str">
        <x:v>특수1</x:v>
      </x:c>
      <x:c r="T359" s="81" t="str">
        <x:v>평원3</x:v>
      </x:c>
      <x:c r="U359" s="81" t="str">
        <x:v>특수1</x:v>
      </x:c>
      <x:c r="V359" s="81" t="str">
        <x:v>평원3</x:v>
      </x:c>
    </x:row>
    <x:row r="360">
      <x:c r="A360" s="80" t="n">
        <x:v>356</x:v>
      </x:c>
      <x:c r="B360" s="80" t="str">
        <x:v>미라몽</x:v>
      </x:c>
      <x:c r="C360" s="80" t="str">
        <x:v>dusclops</x:v>
      </x:c>
      <x:c r="D360" s="80" t="str">
        <x:v>특수</x:v>
      </x:c>
      <x:c r="E360" s="81" t="str">
        <x:v>—</x:v>
      </x:c>
      <x:c r="F360" s="81" t="str">
        <x:v>—</x:v>
      </x:c>
      <x:c r="G360" s="81" t="str">
        <x:v>—</x:v>
      </x:c>
      <x:c r="H360" s="81" t="str">
        <x:v>—</x:v>
      </x:c>
      <x:c r="I360" s="81" t="str">
        <x:v>특수1</x:v>
      </x:c>
      <x:c r="J360" s="81" t="str">
        <x:v>평원3</x:v>
      </x:c>
      <x:c r="K360" s="81" t="str">
        <x:v>특수1</x:v>
      </x:c>
      <x:c r="L360" s="81" t="str">
        <x:v>평원2</x:v>
      </x:c>
      <x:c r="M360" s="81" t="str">
        <x:v>—</x:v>
      </x:c>
      <x:c r="N360" s="81" t="str">
        <x:v>—</x:v>
      </x:c>
      <x:c r="O360" s="81" t="str">
        <x:v>—</x:v>
      </x:c>
      <x:c r="P360" s="81" t="str">
        <x:v>—</x:v>
      </x:c>
      <x:c r="Q360" s="81" t="str">
        <x:v>—</x:v>
      </x:c>
      <x:c r="R360" s="81" t="str">
        <x:v>—</x:v>
      </x:c>
      <x:c r="S360" s="81" t="str">
        <x:v>특수1</x:v>
      </x:c>
      <x:c r="T360" s="81" t="str">
        <x:v>평원3</x:v>
      </x:c>
      <x:c r="U360" s="81" t="str">
        <x:v>특수1</x:v>
      </x:c>
      <x:c r="V360" s="81" t="str">
        <x:v>평원3</x:v>
      </x:c>
    </x:row>
    <x:row r="361">
      <x:c r="A361" s="80" t="n">
        <x:v>357</x:v>
      </x:c>
      <x:c r="B361" s="80" t="str">
        <x:v>트로피우스</x:v>
      </x:c>
      <x:c r="C361" s="80" t="str">
        <x:v>tropius</x:v>
      </x:c>
      <x:c r="D361" s="80" t="str">
        <x:v>숲</x:v>
      </x:c>
      <x:c r="E361" s="81" t="str">
        <x:v>—</x:v>
      </x:c>
      <x:c r="F361" s="81" t="str">
        <x:v>—</x:v>
      </x:c>
      <x:c r="G361" s="81" t="str">
        <x:v>—</x:v>
      </x:c>
      <x:c r="H361" s="81" t="str">
        <x:v>—</x:v>
      </x:c>
      <x:c r="I361" s="81" t="str">
        <x:v>숲2</x:v>
      </x:c>
      <x:c r="J361" s="81" t="str">
        <x:v>평원3</x:v>
      </x:c>
      <x:c r="K361" s="81" t="str">
        <x:v>숲2</x:v>
      </x:c>
      <x:c r="L361" s="81" t="str">
        <x:v>평원2</x:v>
      </x:c>
      <x:c r="M361" s="81" t="str">
        <x:v>숲1</x:v>
      </x:c>
      <x:c r="N361" s="81" t="str">
        <x:v>평원2</x:v>
      </x:c>
      <x:c r="O361" s="81" t="str">
        <x:v>—</x:v>
      </x:c>
      <x:c r="P361" s="81" t="str">
        <x:v>—</x:v>
      </x:c>
      <x:c r="Q361" s="81" t="str">
        <x:v>숲2</x:v>
      </x:c>
      <x:c r="R361" s="81" t="str">
        <x:v>평원3</x:v>
      </x:c>
      <x:c r="S361" s="81" t="str">
        <x:v>—</x:v>
      </x:c>
      <x:c r="T361" s="81" t="str">
        <x:v>—</x:v>
      </x:c>
      <x:c r="U361" s="81" t="str">
        <x:v>숲3</x:v>
      </x:c>
      <x:c r="V361" s="81" t="str">
        <x:v>평원3</x:v>
      </x:c>
    </x:row>
    <x:row r="362">
      <x:c r="A362" s="80" t="n">
        <x:v>358</x:v>
      </x:c>
      <x:c r="B362" s="80" t="str">
        <x:v>치렁</x:v>
      </x:c>
      <x:c r="C362" s="80" t="str">
        <x:v>chimecho</x:v>
      </x:c>
      <x:c r="D362" s="80" t="str">
        <x:v>숲</x:v>
      </x:c>
      <x:c r="E362" s="81" t="str">
        <x:v>—</x:v>
      </x:c>
      <x:c r="F362" s="81" t="str">
        <x:v>—</x:v>
      </x:c>
      <x:c r="G362" s="81" t="str">
        <x:v>—</x:v>
      </x:c>
      <x:c r="H362" s="81" t="str">
        <x:v>—</x:v>
      </x:c>
      <x:c r="I362" s="81" t="str">
        <x:v>숲2</x:v>
      </x:c>
      <x:c r="J362" s="81" t="str">
        <x:v>특수1</x:v>
      </x:c>
      <x:c r="K362" s="81" t="str">
        <x:v>숲2</x:v>
      </x:c>
      <x:c r="L362" s="81" t="str">
        <x:v>특수1</x:v>
      </x:c>
      <x:c r="M362" s="81" t="str">
        <x:v>—</x:v>
      </x:c>
      <x:c r="N362" s="81" t="str">
        <x:v>—</x:v>
      </x:c>
      <x:c r="O362" s="81" t="str">
        <x:v>숲3</x:v>
      </x:c>
      <x:c r="P362" s="81" t="str">
        <x:v>특수1</x:v>
      </x:c>
      <x:c r="Q362" s="81" t="str">
        <x:v>—</x:v>
      </x:c>
      <x:c r="R362" s="81" t="str">
        <x:v>—</x:v>
      </x:c>
      <x:c r="S362" s="81" t="str">
        <x:v>—</x:v>
      </x:c>
      <x:c r="T362" s="81" t="str">
        <x:v>—</x:v>
      </x:c>
      <x:c r="U362" s="81" t="str">
        <x:v>숲3</x:v>
      </x:c>
      <x:c r="V362" s="81" t="str">
        <x:v>특수1</x:v>
      </x:c>
    </x:row>
    <x:row r="363">
      <x:c r="A363" s="80" t="n">
        <x:v>359</x:v>
      </x:c>
      <x:c r="B363" s="80" t="str">
        <x:v>앱솔</x:v>
      </x:c>
      <x:c r="C363" s="80" t="str">
        <x:v>absol</x:v>
      </x:c>
      <x:c r="D363" s="80" t="str">
        <x:v>숲</x:v>
      </x:c>
      <x:c r="E363" s="81" t="str">
        <x:v>—</x:v>
      </x:c>
      <x:c r="F363" s="81" t="str">
        <x:v>—</x:v>
      </x:c>
      <x:c r="G363" s="81" t="str">
        <x:v>—</x:v>
      </x:c>
      <x:c r="H363" s="81" t="str">
        <x:v>—</x:v>
      </x:c>
      <x:c r="I363" s="81" t="str">
        <x:v>숲2</x:v>
      </x:c>
      <x:c r="J363" s="81" t="str">
        <x:v>평원3</x:v>
      </x:c>
      <x:c r="K363" s="81" t="str">
        <x:v>숲2</x:v>
      </x:c>
      <x:c r="L363" s="81" t="str">
        <x:v>평원2</x:v>
      </x:c>
      <x:c r="M363" s="81" t="str">
        <x:v>숲1</x:v>
      </x:c>
      <x:c r="N363" s="81" t="str">
        <x:v>평원2</x:v>
      </x:c>
      <x:c r="O363" s="81" t="str">
        <x:v>숲3</x:v>
      </x:c>
      <x:c r="P363" s="81" t="str">
        <x:v>평원3</x:v>
      </x:c>
      <x:c r="Q363" s="81" t="str">
        <x:v>숲2</x:v>
      </x:c>
      <x:c r="R363" s="81" t="str">
        <x:v>평원3</x:v>
      </x:c>
      <x:c r="S363" s="81" t="str">
        <x:v>숲3</x:v>
      </x:c>
      <x:c r="T363" s="81" t="str">
        <x:v>평원3</x:v>
      </x:c>
      <x:c r="U363" s="81" t="str">
        <x:v>—</x:v>
      </x:c>
      <x:c r="V363" s="81" t="str">
        <x:v>—</x:v>
      </x:c>
    </x:row>
    <x:row r="364">
      <x:c r="A364" s="80" t="n">
        <x:v>360</x:v>
      </x:c>
      <x:c r="B364" s="80" t="str">
        <x:v>마자</x:v>
      </x:c>
      <x:c r="C364" s="80" t="str">
        <x:v>wynaut</x:v>
      </x:c>
      <x:c r="D364" s="80" t="str">
        <x:v>평원</x:v>
      </x:c>
      <x:c r="E364" s="81" t="str">
        <x:v>—</x:v>
      </x:c>
      <x:c r="F364" s="81" t="str">
        <x:v>—</x:v>
      </x:c>
      <x:c r="G364" s="81" t="str">
        <x:v>—</x:v>
      </x:c>
      <x:c r="H364" s="81" t="str">
        <x:v>—</x:v>
      </x:c>
      <x:c r="I364" s="81" t="str">
        <x:v>평원3</x:v>
      </x:c>
      <x:c r="J364" s="81" t="str">
        <x:v>숲2</x:v>
      </x:c>
      <x:c r="K364" s="81" t="str">
        <x:v>—</x:v>
      </x:c>
      <x:c r="L364" s="81" t="str">
        <x:v>—</x:v>
      </x:c>
      <x:c r="M364" s="81" t="str">
        <x:v>—</x:v>
      </x:c>
      <x:c r="N364" s="81" t="str">
        <x:v>—</x:v>
      </x:c>
      <x:c r="O364" s="81" t="str">
        <x:v>평원3</x:v>
      </x:c>
      <x:c r="P364" s="81" t="str">
        <x:v>숲3</x:v>
      </x:c>
      <x:c r="Q364" s="81" t="str">
        <x:v>—</x:v>
      </x:c>
      <x:c r="R364" s="81" t="str">
        <x:v>—</x:v>
      </x:c>
      <x:c r="S364" s="81" t="str">
        <x:v>평원3</x:v>
      </x:c>
      <x:c r="T364" s="81" t="str">
        <x:v>숲3</x:v>
      </x:c>
      <x:c r="U364" s="81" t="str">
        <x:v>—</x:v>
      </x:c>
      <x:c r="V364" s="81" t="str">
        <x:v>—</x:v>
      </x:c>
    </x:row>
    <x:row r="365">
      <x:c r="A365" s="80" t="n">
        <x:v>361</x:v>
      </x:c>
      <x:c r="B365" s="80" t="str">
        <x:v>눈꼬마</x:v>
      </x:c>
      <x:c r="C365" s="80" t="str">
        <x:v>snorunt</x:v>
      </x:c>
      <x:c r="D365" s="80" t="str">
        <x:v>설원</x:v>
      </x:c>
      <x:c r="E365" s="81" t="str">
        <x:v>—</x:v>
      </x:c>
      <x:c r="F365" s="81" t="str">
        <x:v>—</x:v>
      </x:c>
      <x:c r="G365" s="81" t="str">
        <x:v>—</x:v>
      </x:c>
      <x:c r="H365" s="81" t="str">
        <x:v>—</x:v>
      </x:c>
      <x:c r="I365" s="81" t="str">
        <x:v>설원1</x:v>
      </x:c>
      <x:c r="J365" s="81" t="str">
        <x:v>평원3</x:v>
      </x:c>
      <x:c r="K365" s="81" t="str">
        <x:v>설원1</x:v>
      </x:c>
      <x:c r="L365" s="81" t="str">
        <x:v>평원2</x:v>
      </x:c>
      <x:c r="M365" s="81" t="str">
        <x:v>—</x:v>
      </x:c>
      <x:c r="N365" s="81" t="str">
        <x:v>—</x:v>
      </x:c>
      <x:c r="O365" s="81" t="str">
        <x:v>—</x:v>
      </x:c>
      <x:c r="P365" s="81" t="str">
        <x:v>—</x:v>
      </x:c>
      <x:c r="Q365" s="81" t="str">
        <x:v>설원1</x:v>
      </x:c>
      <x:c r="R365" s="81" t="str">
        <x:v>평원3</x:v>
      </x:c>
      <x:c r="S365" s="81" t="str">
        <x:v>설원1</x:v>
      </x:c>
      <x:c r="T365" s="81" t="str">
        <x:v>평원3</x:v>
      </x:c>
      <x:c r="U365" s="81" t="str">
        <x:v>설원1</x:v>
      </x:c>
      <x:c r="V365" s="81" t="str">
        <x:v>평원3</x:v>
      </x:c>
    </x:row>
    <x:row r="366">
      <x:c r="A366" s="80" t="n">
        <x:v>362</x:v>
      </x:c>
      <x:c r="B366" s="80" t="str">
        <x:v>얼음귀신</x:v>
      </x:c>
      <x:c r="C366" s="80" t="str">
        <x:v>glalie</x:v>
      </x:c>
      <x:c r="D366" s="80" t="str">
        <x:v>설원</x:v>
      </x:c>
      <x:c r="E366" s="81" t="str">
        <x:v>—</x:v>
      </x:c>
      <x:c r="F366" s="81" t="str">
        <x:v>—</x:v>
      </x:c>
      <x:c r="G366" s="81" t="str">
        <x:v>—</x:v>
      </x:c>
      <x:c r="H366" s="81" t="str">
        <x:v>—</x:v>
      </x:c>
      <x:c r="I366" s="81" t="str">
        <x:v>설원1</x:v>
      </x:c>
      <x:c r="J366" s="81" t="str">
        <x:v>산악2</x:v>
      </x:c>
      <x:c r="K366" s="81" t="str">
        <x:v>설원1</x:v>
      </x:c>
      <x:c r="L366" s="81" t="str">
        <x:v>산악2</x:v>
      </x:c>
      <x:c r="M366" s="81" t="str">
        <x:v>—</x:v>
      </x:c>
      <x:c r="N366" s="81" t="str">
        <x:v>—</x:v>
      </x:c>
      <x:c r="O366" s="81" t="str">
        <x:v>—</x:v>
      </x:c>
      <x:c r="P366" s="81" t="str">
        <x:v>—</x:v>
      </x:c>
      <x:c r="Q366" s="81" t="str">
        <x:v>설원1</x:v>
      </x:c>
      <x:c r="R366" s="81" t="str">
        <x:v>산악2</x:v>
      </x:c>
      <x:c r="S366" s="81" t="str">
        <x:v>설원1</x:v>
      </x:c>
      <x:c r="T366" s="81" t="str">
        <x:v>산악2</x:v>
      </x:c>
      <x:c r="U366" s="81" t="str">
        <x:v>설원1</x:v>
      </x:c>
      <x:c r="V366" s="81" t="str">
        <x:v>산악2</x:v>
      </x:c>
    </x:row>
    <x:row r="367">
      <x:c r="A367" s="80" t="n">
        <x:v>363</x:v>
      </x:c>
      <x:c r="B367" s="80" t="str">
        <x:v>대굴레오</x:v>
      </x:c>
      <x:c r="C367" s="80" t="str">
        <x:v>spheal</x:v>
      </x:c>
      <x:c r="D367" s="80" t="str">
        <x:v>해양</x:v>
      </x:c>
      <x:c r="E367" s="81" t="str">
        <x:v>—</x:v>
      </x:c>
      <x:c r="F367" s="81" t="str">
        <x:v>—</x:v>
      </x:c>
      <x:c r="G367" s="81" t="str">
        <x:v>—</x:v>
      </x:c>
      <x:c r="H367" s="81" t="str">
        <x:v>—</x:v>
      </x:c>
      <x:c r="I367" s="81" t="str">
        <x:v>해양1</x:v>
      </x:c>
      <x:c r="J367" s="81" t="str">
        <x:v>담수2</x:v>
      </x:c>
      <x:c r="K367" s="81" t="str">
        <x:v>—</x:v>
      </x:c>
      <x:c r="L367" s="81" t="str">
        <x:v>—</x:v>
      </x:c>
      <x:c r="M367" s="81" t="str">
        <x:v>해양1</x:v>
      </x:c>
      <x:c r="N367" s="81" t="str">
        <x:v>담수1</x:v>
      </x:c>
      <x:c r="O367" s="81" t="str">
        <x:v>—</x:v>
      </x:c>
      <x:c r="P367" s="81" t="str">
        <x:v>—</x:v>
      </x:c>
      <x:c r="Q367" s="81" t="str">
        <x:v>—</x:v>
      </x:c>
      <x:c r="R367" s="81" t="str">
        <x:v>—</x:v>
      </x:c>
      <x:c r="S367" s="81" t="str">
        <x:v>해양1</x:v>
      </x:c>
      <x:c r="T367" s="81" t="str">
        <x:v>담수2</x:v>
      </x:c>
      <x:c r="U367" s="81" t="str">
        <x:v>—</x:v>
      </x:c>
      <x:c r="V367" s="81" t="str">
        <x:v>—</x:v>
      </x:c>
    </x:row>
    <x:row r="368">
      <x:c r="A368" s="80" t="n">
        <x:v>364</x:v>
      </x:c>
      <x:c r="B368" s="80" t="str">
        <x:v>씨레오</x:v>
      </x:c>
      <x:c r="C368" s="80" t="str">
        <x:v>sealeo</x:v>
      </x:c>
      <x:c r="D368" s="80" t="str">
        <x:v>해양</x:v>
      </x:c>
      <x:c r="E368" s="81" t="str">
        <x:v>—</x:v>
      </x:c>
      <x:c r="F368" s="81" t="str">
        <x:v>—</x:v>
      </x:c>
      <x:c r="G368" s="81" t="str">
        <x:v>—</x:v>
      </x:c>
      <x:c r="H368" s="81" t="str">
        <x:v>—</x:v>
      </x:c>
      <x:c r="I368" s="81" t="str">
        <x:v>해양1</x:v>
      </x:c>
      <x:c r="J368" s="81" t="str">
        <x:v>담수2</x:v>
      </x:c>
      <x:c r="K368" s="81" t="str">
        <x:v>—</x:v>
      </x:c>
      <x:c r="L368" s="81" t="str">
        <x:v>—</x:v>
      </x:c>
      <x:c r="M368" s="81" t="str">
        <x:v>해양1</x:v>
      </x:c>
      <x:c r="N368" s="81" t="str">
        <x:v>담수2</x:v>
      </x:c>
      <x:c r="O368" s="81" t="str">
        <x:v>—</x:v>
      </x:c>
      <x:c r="P368" s="81" t="str">
        <x:v>—</x:v>
      </x:c>
      <x:c r="Q368" s="81" t="str">
        <x:v>—</x:v>
      </x:c>
      <x:c r="R368" s="81" t="str">
        <x:v>—</x:v>
      </x:c>
      <x:c r="S368" s="81" t="str">
        <x:v>해양2</x:v>
      </x:c>
      <x:c r="T368" s="81" t="str">
        <x:v>담수2</x:v>
      </x:c>
      <x:c r="U368" s="81" t="str">
        <x:v>—</x:v>
      </x:c>
      <x:c r="V368" s="81" t="str">
        <x:v>—</x:v>
      </x:c>
    </x:row>
    <x:row r="369">
      <x:c r="A369" s="80" t="n">
        <x:v>365</x:v>
      </x:c>
      <x:c r="B369" s="80" t="str">
        <x:v>씨카이저</x:v>
      </x:c>
      <x:c r="C369" s="80" t="str">
        <x:v>walrein</x:v>
      </x:c>
      <x:c r="D369" s="80" t="str">
        <x:v>해양</x:v>
      </x:c>
      <x:c r="E369" s="81" t="str">
        <x:v>—</x:v>
      </x:c>
      <x:c r="F369" s="81" t="str">
        <x:v>—</x:v>
      </x:c>
      <x:c r="G369" s="81" t="str">
        <x:v>—</x:v>
      </x:c>
      <x:c r="H369" s="81" t="str">
        <x:v>—</x:v>
      </x:c>
      <x:c r="I369" s="81" t="str">
        <x:v>해양1</x:v>
      </x:c>
      <x:c r="J369" s="81" t="str">
        <x:v>담수2</x:v>
      </x:c>
      <x:c r="K369" s="81" t="str">
        <x:v>—</x:v>
      </x:c>
      <x:c r="L369" s="81" t="str">
        <x:v>—</x:v>
      </x:c>
      <x:c r="M369" s="81" t="str">
        <x:v>해양1</x:v>
      </x:c>
      <x:c r="N369" s="81" t="str">
        <x:v>담수2</x:v>
      </x:c>
      <x:c r="O369" s="81" t="str">
        <x:v>—</x:v>
      </x:c>
      <x:c r="P369" s="81" t="str">
        <x:v>—</x:v>
      </x:c>
      <x:c r="Q369" s="81" t="str">
        <x:v>—</x:v>
      </x:c>
      <x:c r="R369" s="81" t="str">
        <x:v>—</x:v>
      </x:c>
      <x:c r="S369" s="81" t="str">
        <x:v>해양2</x:v>
      </x:c>
      <x:c r="T369" s="81" t="str">
        <x:v>담수2</x:v>
      </x:c>
      <x:c r="U369" s="81" t="str">
        <x:v>—</x:v>
      </x:c>
      <x:c r="V369" s="81" t="str">
        <x:v>—</x:v>
      </x:c>
    </x:row>
    <x:row r="370">
      <x:c r="A370" s="80" t="n">
        <x:v>366</x:v>
      </x:c>
      <x:c r="B370" s="80" t="str">
        <x:v>진주몽</x:v>
      </x:c>
      <x:c r="C370" s="80" t="str">
        <x:v>clamperl</x:v>
      </x:c>
      <x:c r="D370" s="80" t="str">
        <x:v>해양</x:v>
      </x:c>
      <x:c r="E370" s="81" t="str">
        <x:v>—</x:v>
      </x:c>
      <x:c r="F370" s="81" t="str">
        <x:v>—</x:v>
      </x:c>
      <x:c r="G370" s="81" t="str">
        <x:v>—</x:v>
      </x:c>
      <x:c r="H370" s="81" t="str">
        <x:v>—</x:v>
      </x:c>
      <x:c r="I370" s="81" t="str">
        <x:v>해양1</x:v>
      </x:c>
      <x:c r="J370" s="81" t="str">
        <x:v>담수2</x:v>
      </x:c>
      <x:c r="K370" s="81" t="str">
        <x:v>—</x:v>
      </x:c>
      <x:c r="L370" s="81" t="str">
        <x:v>—</x:v>
      </x:c>
      <x:c r="M370" s="81" t="str">
        <x:v>—</x:v>
      </x:c>
      <x:c r="N370" s="81" t="str">
        <x:v>—</x:v>
      </x:c>
      <x:c r="O370" s="81" t="str">
        <x:v>해양2</x:v>
      </x:c>
      <x:c r="P370" s="81" t="str">
        <x:v>담수3</x:v>
      </x:c>
      <x:c r="Q370" s="81" t="str">
        <x:v>해양2</x:v>
      </x:c>
      <x:c r="R370" s="81" t="str">
        <x:v>담수2</x:v>
      </x:c>
      <x:c r="S370" s="81" t="str">
        <x:v>—</x:v>
      </x:c>
      <x:c r="T370" s="81" t="str">
        <x:v>—</x:v>
      </x:c>
      <x:c r="U370" s="81" t="str">
        <x:v>—</x:v>
      </x:c>
      <x:c r="V370" s="81" t="str">
        <x:v>—</x:v>
      </x:c>
    </x:row>
    <x:row r="371">
      <x:c r="A371" s="80" t="n">
        <x:v>367</x:v>
      </x:c>
      <x:c r="B371" s="80" t="str">
        <x:v>헌테일</x:v>
      </x:c>
      <x:c r="C371" s="80" t="str">
        <x:v>huntail</x:v>
      </x:c>
      <x:c r="D371" s="80" t="str">
        <x:v>해양</x:v>
      </x:c>
      <x:c r="E371" s="81" t="str">
        <x:v>—</x:v>
      </x:c>
      <x:c r="F371" s="81" t="str">
        <x:v>—</x:v>
      </x:c>
      <x:c r="G371" s="81" t="str">
        <x:v>—</x:v>
      </x:c>
      <x:c r="H371" s="81" t="str">
        <x:v>—</x:v>
      </x:c>
      <x:c r="I371" s="81" t="str">
        <x:v>해양1</x:v>
      </x:c>
      <x:c r="J371" s="81" t="str">
        <x:v>담수2</x:v>
      </x:c>
      <x:c r="K371" s="81" t="str">
        <x:v>—</x:v>
      </x:c>
      <x:c r="L371" s="81" t="str">
        <x:v>—</x:v>
      </x:c>
      <x:c r="M371" s="81" t="str">
        <x:v>—</x:v>
      </x:c>
      <x:c r="N371" s="81" t="str">
        <x:v>—</x:v>
      </x:c>
      <x:c r="O371" s="81" t="str">
        <x:v>해양2</x:v>
      </x:c>
      <x:c r="P371" s="81" t="str">
        <x:v>담수3</x:v>
      </x:c>
      <x:c r="Q371" s="81" t="str">
        <x:v>해양2</x:v>
      </x:c>
      <x:c r="R371" s="81" t="str">
        <x:v>담수2</x:v>
      </x:c>
      <x:c r="S371" s="81" t="str">
        <x:v>—</x:v>
      </x:c>
      <x:c r="T371" s="81" t="str">
        <x:v>—</x:v>
      </x:c>
      <x:c r="U371" s="81" t="str">
        <x:v>—</x:v>
      </x:c>
      <x:c r="V371" s="81" t="str">
        <x:v>—</x:v>
      </x:c>
    </x:row>
    <x:row r="372">
      <x:c r="A372" s="80" t="n">
        <x:v>368</x:v>
      </x:c>
      <x:c r="B372" s="80" t="str">
        <x:v>분홍장이</x:v>
      </x:c>
      <x:c r="C372" s="80" t="str">
        <x:v>gorebyss</x:v>
      </x:c>
      <x:c r="D372" s="80" t="str">
        <x:v>해양</x:v>
      </x:c>
      <x:c r="E372" s="81" t="str">
        <x:v>—</x:v>
      </x:c>
      <x:c r="F372" s="81" t="str">
        <x:v>—</x:v>
      </x:c>
      <x:c r="G372" s="81" t="str">
        <x:v>—</x:v>
      </x:c>
      <x:c r="H372" s="81" t="str">
        <x:v>—</x:v>
      </x:c>
      <x:c r="I372" s="81" t="str">
        <x:v>해양1</x:v>
      </x:c>
      <x:c r="J372" s="81" t="str">
        <x:v>담수2</x:v>
      </x:c>
      <x:c r="K372" s="81" t="str">
        <x:v>—</x:v>
      </x:c>
      <x:c r="L372" s="81" t="str">
        <x:v>—</x:v>
      </x:c>
      <x:c r="M372" s="81" t="str">
        <x:v>—</x:v>
      </x:c>
      <x:c r="N372" s="81" t="str">
        <x:v>—</x:v>
      </x:c>
      <x:c r="O372" s="81" t="str">
        <x:v>해양2</x:v>
      </x:c>
      <x:c r="P372" s="81" t="str">
        <x:v>담수3</x:v>
      </x:c>
      <x:c r="Q372" s="81" t="str">
        <x:v>해양2</x:v>
      </x:c>
      <x:c r="R372" s="81" t="str">
        <x:v>담수2</x:v>
      </x:c>
      <x:c r="S372" s="81" t="str">
        <x:v>—</x:v>
      </x:c>
      <x:c r="T372" s="81" t="str">
        <x:v>—</x:v>
      </x:c>
      <x:c r="U372" s="81" t="str">
        <x:v>—</x:v>
      </x:c>
      <x:c r="V372" s="81" t="str">
        <x:v>—</x:v>
      </x:c>
    </x:row>
    <x:row r="373">
      <x:c r="A373" s="80" t="n">
        <x:v>369</x:v>
      </x:c>
      <x:c r="B373" s="80" t="str">
        <x:v>시라칸</x:v>
      </x:c>
      <x:c r="C373" s="80" t="str">
        <x:v>relicanth</x:v>
      </x:c>
      <x:c r="D373" s="80" t="str">
        <x:v>해양</x:v>
      </x:c>
      <x:c r="E373" s="81" t="str">
        <x:v>—</x:v>
      </x:c>
      <x:c r="F373" s="81" t="str">
        <x:v>—</x:v>
      </x:c>
      <x:c r="G373" s="81" t="str">
        <x:v>—</x:v>
      </x:c>
      <x:c r="H373" s="81" t="str">
        <x:v>—</x:v>
      </x:c>
      <x:c r="I373" s="81" t="str">
        <x:v>해양1</x:v>
      </x:c>
      <x:c r="J373" s="81" t="str">
        <x:v>담수2</x:v>
      </x:c>
      <x:c r="K373" s="81" t="str">
        <x:v>—</x:v>
      </x:c>
      <x:c r="L373" s="81" t="str">
        <x:v>—</x:v>
      </x:c>
      <x:c r="M373" s="81" t="str">
        <x:v>—</x:v>
      </x:c>
      <x:c r="N373" s="81" t="str">
        <x:v>—</x:v>
      </x:c>
      <x:c r="O373" s="81" t="str">
        <x:v>해양2</x:v>
      </x:c>
      <x:c r="P373" s="81" t="str">
        <x:v>담수3</x:v>
      </x:c>
      <x:c r="Q373" s="81" t="str">
        <x:v>해양2</x:v>
      </x:c>
      <x:c r="R373" s="81" t="str">
        <x:v>담수2</x:v>
      </x:c>
      <x:c r="S373" s="81" t="str">
        <x:v>해양2</x:v>
      </x:c>
      <x:c r="T373" s="81" t="str">
        <x:v>담수2</x:v>
      </x:c>
      <x:c r="U373" s="81" t="str">
        <x:v>—</x:v>
      </x:c>
      <x:c r="V373" s="81" t="str">
        <x:v>—</x:v>
      </x:c>
    </x:row>
    <x:row r="374">
      <x:c r="A374" s="80" t="n">
        <x:v>370</x:v>
      </x:c>
      <x:c r="B374" s="80" t="str">
        <x:v>사랑동이</x:v>
      </x:c>
      <x:c r="C374" s="80" t="str">
        <x:v>luvdisc</x:v>
      </x:c>
      <x:c r="D374" s="80" t="str">
        <x:v>해양</x:v>
      </x:c>
      <x:c r="E374" s="81" t="str">
        <x:v>—</x:v>
      </x:c>
      <x:c r="F374" s="81" t="str">
        <x:v>—</x:v>
      </x:c>
      <x:c r="G374" s="81" t="str">
        <x:v>—</x:v>
      </x:c>
      <x:c r="H374" s="81" t="str">
        <x:v>—</x:v>
      </x:c>
      <x:c r="I374" s="81" t="str">
        <x:v>해양1</x:v>
      </x:c>
      <x:c r="J374" s="81" t="str">
        <x:v>담수2</x:v>
      </x:c>
      <x:c r="K374" s="81" t="str">
        <x:v>—</x:v>
      </x:c>
      <x:c r="L374" s="81" t="str">
        <x:v>—</x:v>
      </x:c>
      <x:c r="M374" s="81" t="str">
        <x:v>—</x:v>
      </x:c>
      <x:c r="N374" s="81" t="str">
        <x:v>—</x:v>
      </x:c>
      <x:c r="O374" s="81" t="str">
        <x:v>해양2</x:v>
      </x:c>
      <x:c r="P374" s="81" t="str">
        <x:v>담수3</x:v>
      </x:c>
      <x:c r="Q374" s="81" t="str">
        <x:v>해양2</x:v>
      </x:c>
      <x:c r="R374" s="81" t="str">
        <x:v>담수2</x:v>
      </x:c>
      <x:c r="S374" s="81" t="str">
        <x:v>—</x:v>
      </x:c>
      <x:c r="T374" s="81" t="str">
        <x:v>—</x:v>
      </x:c>
      <x:c r="U374" s="81" t="str">
        <x:v>해양1</x:v>
      </x:c>
      <x:c r="V374" s="81" t="str">
        <x:v>담수2</x:v>
      </x:c>
    </x:row>
    <x:row r="375">
      <x:c r="A375" s="80" t="n">
        <x:v>371</x:v>
      </x:c>
      <x:c r="B375" s="80" t="str">
        <x:v>아공이</x:v>
      </x:c>
      <x:c r="C375" s="80" t="str">
        <x:v>bagon</x:v>
      </x:c>
      <x:c r="D375" s="80" t="str">
        <x:v>동굴</x:v>
      </x:c>
      <x:c r="E375" s="81" t="str">
        <x:v>—</x:v>
      </x:c>
      <x:c r="F375" s="81" t="str">
        <x:v>—</x:v>
      </x:c>
      <x:c r="G375" s="81" t="str">
        <x:v>—</x:v>
      </x:c>
      <x:c r="H375" s="81" t="str">
        <x:v>—</x:v>
      </x:c>
      <x:c r="I375" s="81" t="str">
        <x:v>동굴1</x:v>
      </x:c>
      <x:c r="J375" s="81" t="str">
        <x:v>평원3</x:v>
      </x:c>
      <x:c r="K375" s="81" t="str">
        <x:v>—</x:v>
      </x:c>
      <x:c r="L375" s="81" t="str">
        <x:v>—</x:v>
      </x:c>
      <x:c r="M375" s="81" t="str">
        <x:v>—</x:v>
      </x:c>
      <x:c r="N375" s="81" t="str">
        <x:v>—</x:v>
      </x:c>
      <x:c r="O375" s="81" t="str">
        <x:v>동굴1</x:v>
      </x:c>
      <x:c r="P375" s="81" t="str">
        <x:v>평원4</x:v>
      </x:c>
      <x:c r="Q375" s="81" t="str">
        <x:v>동굴1</x:v>
      </x:c>
      <x:c r="R375" s="81" t="str">
        <x:v>평원3</x:v>
      </x:c>
      <x:c r="S375" s="81" t="str">
        <x:v>동굴1</x:v>
      </x:c>
      <x:c r="T375" s="81" t="str">
        <x:v>평원3</x:v>
      </x:c>
      <x:c r="U375" s="81" t="str">
        <x:v>동굴1</x:v>
      </x:c>
      <x:c r="V375" s="81" t="str">
        <x:v>평원3</x:v>
      </x:c>
    </x:row>
    <x:row r="376">
      <x:c r="A376" s="80" t="n">
        <x:v>372</x:v>
      </x:c>
      <x:c r="B376" s="80" t="str">
        <x:v>쉘곤</x:v>
      </x:c>
      <x:c r="C376" s="80" t="str">
        <x:v>shelgon</x:v>
      </x:c>
      <x:c r="D376" s="80" t="str">
        <x:v>동굴</x:v>
      </x:c>
      <x:c r="E376" s="81" t="str">
        <x:v>—</x:v>
      </x:c>
      <x:c r="F376" s="81" t="str">
        <x:v>—</x:v>
      </x:c>
      <x:c r="G376" s="81" t="str">
        <x:v>—</x:v>
      </x:c>
      <x:c r="H376" s="81" t="str">
        <x:v>—</x:v>
      </x:c>
      <x:c r="I376" s="81" t="str">
        <x:v>동굴1</x:v>
      </x:c>
      <x:c r="J376" s="81" t="str">
        <x:v>평원3</x:v>
      </x:c>
      <x:c r="K376" s="81" t="str">
        <x:v>—</x:v>
      </x:c>
      <x:c r="L376" s="81" t="str">
        <x:v>—</x:v>
      </x:c>
      <x:c r="M376" s="81" t="str">
        <x:v>—</x:v>
      </x:c>
      <x:c r="N376" s="81" t="str">
        <x:v>—</x:v>
      </x:c>
      <x:c r="O376" s="81" t="str">
        <x:v>동굴1</x:v>
      </x:c>
      <x:c r="P376" s="81" t="str">
        <x:v>평원4</x:v>
      </x:c>
      <x:c r="Q376" s="81" t="str">
        <x:v>동굴1</x:v>
      </x:c>
      <x:c r="R376" s="81" t="str">
        <x:v>평원3</x:v>
      </x:c>
      <x:c r="S376" s="81" t="str">
        <x:v>동굴1</x:v>
      </x:c>
      <x:c r="T376" s="81" t="str">
        <x:v>평원3</x:v>
      </x:c>
      <x:c r="U376" s="81" t="str">
        <x:v>동굴1</x:v>
      </x:c>
      <x:c r="V376" s="81" t="str">
        <x:v>평원3</x:v>
      </x:c>
    </x:row>
    <x:row r="377">
      <x:c r="A377" s="80" t="n">
        <x:v>373</x:v>
      </x:c>
      <x:c r="B377" s="80" t="str">
        <x:v>보만다</x:v>
      </x:c>
      <x:c r="C377" s="80" t="str">
        <x:v>salamence</x:v>
      </x:c>
      <x:c r="D377" s="80" t="str">
        <x:v>동굴</x:v>
      </x:c>
      <x:c r="E377" s="81" t="str">
        <x:v>—</x:v>
      </x:c>
      <x:c r="F377" s="81" t="str">
        <x:v>—</x:v>
      </x:c>
      <x:c r="G377" s="81" t="str">
        <x:v>—</x:v>
      </x:c>
      <x:c r="H377" s="81" t="str">
        <x:v>—</x:v>
      </x:c>
      <x:c r="I377" s="81" t="str">
        <x:v>동굴1</x:v>
      </x:c>
      <x:c r="J377" s="81" t="str">
        <x:v>산악2</x:v>
      </x:c>
      <x:c r="K377" s="81" t="str">
        <x:v>—</x:v>
      </x:c>
      <x:c r="L377" s="81" t="str">
        <x:v>—</x:v>
      </x:c>
      <x:c r="M377" s="81" t="str">
        <x:v>—</x:v>
      </x:c>
      <x:c r="N377" s="81" t="str">
        <x:v>—</x:v>
      </x:c>
      <x:c r="O377" s="81" t="str">
        <x:v>동굴1</x:v>
      </x:c>
      <x:c r="P377" s="81" t="str">
        <x:v>산악2</x:v>
      </x:c>
      <x:c r="Q377" s="81" t="str">
        <x:v>동굴1</x:v>
      </x:c>
      <x:c r="R377" s="81" t="str">
        <x:v>산악2</x:v>
      </x:c>
      <x:c r="S377" s="81" t="str">
        <x:v>동굴1</x:v>
      </x:c>
      <x:c r="T377" s="81" t="str">
        <x:v>산악2</x:v>
      </x:c>
      <x:c r="U377" s="81" t="str">
        <x:v>동굴1</x:v>
      </x:c>
      <x:c r="V377" s="81" t="str">
        <x:v>산악2</x:v>
      </x:c>
    </x:row>
    <x:row r="378">
      <x:c r="A378" s="80" t="n">
        <x:v>374</x:v>
      </x:c>
      <x:c r="B378" s="80" t="str">
        <x:v>메탕</x:v>
      </x:c>
      <x:c r="C378" s="80" t="str">
        <x:v>beldum</x:v>
      </x:c>
      <x:c r="D378" s="80" t="str">
        <x:v>동굴</x:v>
      </x:c>
      <x:c r="E378" s="81" t="str">
        <x:v>—</x:v>
      </x:c>
      <x:c r="F378" s="81" t="str">
        <x:v>—</x:v>
      </x:c>
      <x:c r="G378" s="81" t="str">
        <x:v>—</x:v>
      </x:c>
      <x:c r="H378" s="81" t="str">
        <x:v>—</x:v>
      </x:c>
      <x:c r="I378" s="81" t="str">
        <x:v>동굴1</x:v>
      </x:c>
      <x:c r="J378" s="81" t="str">
        <x:v>도시1</x:v>
      </x:c>
      <x:c r="K378" s="81" t="str">
        <x:v>—</x:v>
      </x:c>
      <x:c r="L378" s="81" t="str">
        <x:v>—</x:v>
      </x:c>
      <x:c r="M378" s="81" t="str">
        <x:v>동굴1</x:v>
      </x:c>
      <x:c r="N378" s="81" t="str">
        <x:v>도시1</x:v>
      </x:c>
      <x:c r="O378" s="81" t="str">
        <x:v>—</x:v>
      </x:c>
      <x:c r="P378" s="81" t="str">
        <x:v>—</x:v>
      </x:c>
      <x:c r="Q378" s="81" t="str">
        <x:v>동굴1</x:v>
      </x:c>
      <x:c r="R378" s="81" t="str">
        <x:v>도시1</x:v>
      </x:c>
      <x:c r="S378" s="81" t="str">
        <x:v>동굴1</x:v>
      </x:c>
      <x:c r="T378" s="81" t="str">
        <x:v>도시1</x:v>
      </x:c>
      <x:c r="U378" s="81" t="str">
        <x:v>동굴1</x:v>
      </x:c>
      <x:c r="V378" s="81" t="str">
        <x:v>도시1</x:v>
      </x:c>
    </x:row>
    <x:row r="379">
      <x:c r="A379" s="80" t="n">
        <x:v>375</x:v>
      </x:c>
      <x:c r="B379" s="80" t="str">
        <x:v>메탕구</x:v>
      </x:c>
      <x:c r="C379" s="80" t="str">
        <x:v>metang</x:v>
      </x:c>
      <x:c r="D379" s="80" t="str">
        <x:v>동굴</x:v>
      </x:c>
      <x:c r="E379" s="81" t="str">
        <x:v>—</x:v>
      </x:c>
      <x:c r="F379" s="81" t="str">
        <x:v>—</x:v>
      </x:c>
      <x:c r="G379" s="81" t="str">
        <x:v>—</x:v>
      </x:c>
      <x:c r="H379" s="81" t="str">
        <x:v>—</x:v>
      </x:c>
      <x:c r="I379" s="81" t="str">
        <x:v>동굴1</x:v>
      </x:c>
      <x:c r="J379" s="81" t="str">
        <x:v>도시1</x:v>
      </x:c>
      <x:c r="K379" s="81" t="str">
        <x:v>—</x:v>
      </x:c>
      <x:c r="L379" s="81" t="str">
        <x:v>—</x:v>
      </x:c>
      <x:c r="M379" s="81" t="str">
        <x:v>동굴1</x:v>
      </x:c>
      <x:c r="N379" s="81" t="str">
        <x:v>도시1</x:v>
      </x:c>
      <x:c r="O379" s="81" t="str">
        <x:v>—</x:v>
      </x:c>
      <x:c r="P379" s="81" t="str">
        <x:v>—</x:v>
      </x:c>
      <x:c r="Q379" s="81" t="str">
        <x:v>동굴1</x:v>
      </x:c>
      <x:c r="R379" s="81" t="str">
        <x:v>도시1</x:v>
      </x:c>
      <x:c r="S379" s="81" t="str">
        <x:v>동굴1</x:v>
      </x:c>
      <x:c r="T379" s="81" t="str">
        <x:v>도시1</x:v>
      </x:c>
      <x:c r="U379" s="81" t="str">
        <x:v>동굴1</x:v>
      </x:c>
      <x:c r="V379" s="81" t="str">
        <x:v>도시1</x:v>
      </x:c>
    </x:row>
    <x:row r="380">
      <x:c r="A380" s="80" t="n">
        <x:v>376</x:v>
      </x:c>
      <x:c r="B380" s="80" t="str">
        <x:v>메타그로스</x:v>
      </x:c>
      <x:c r="C380" s="80" t="str">
        <x:v>metagross</x:v>
      </x:c>
      <x:c r="D380" s="80" t="str">
        <x:v>동굴</x:v>
      </x:c>
      <x:c r="E380" s="81" t="str">
        <x:v>—</x:v>
      </x:c>
      <x:c r="F380" s="81" t="str">
        <x:v>—</x:v>
      </x:c>
      <x:c r="G380" s="81" t="str">
        <x:v>—</x:v>
      </x:c>
      <x:c r="H380" s="81" t="str">
        <x:v>—</x:v>
      </x:c>
      <x:c r="I380" s="81" t="str">
        <x:v>동굴1</x:v>
      </x:c>
      <x:c r="J380" s="81" t="str">
        <x:v>도시1</x:v>
      </x:c>
      <x:c r="K380" s="81" t="str">
        <x:v>—</x:v>
      </x:c>
      <x:c r="L380" s="81" t="str">
        <x:v>—</x:v>
      </x:c>
      <x:c r="M380" s="81" t="str">
        <x:v>동굴1</x:v>
      </x:c>
      <x:c r="N380" s="81" t="str">
        <x:v>도시1</x:v>
      </x:c>
      <x:c r="O380" s="81" t="str">
        <x:v>—</x:v>
      </x:c>
      <x:c r="P380" s="81" t="str">
        <x:v>—</x:v>
      </x:c>
      <x:c r="Q380" s="81" t="str">
        <x:v>동굴1</x:v>
      </x:c>
      <x:c r="R380" s="81" t="str">
        <x:v>도시1</x:v>
      </x:c>
      <x:c r="S380" s="81" t="str">
        <x:v>동굴1</x:v>
      </x:c>
      <x:c r="T380" s="81" t="str">
        <x:v>도시1</x:v>
      </x:c>
      <x:c r="U380" s="81" t="str">
        <x:v>동굴1</x:v>
      </x:c>
      <x:c r="V380" s="81" t="str">
        <x:v>도시1</x:v>
      </x:c>
    </x:row>
    <x:row r="381">
      <x:c r="A381" s="80" t="n">
        <x:v>377</x:v>
      </x:c>
      <x:c r="B381" s="80" t="str">
        <x:v>레지락</x:v>
      </x:c>
      <x:c r="C381" s="80" t="str">
        <x:v>regirock</x:v>
      </x:c>
      <x:c r="D381" s="80" t="str">
        <x:v>특수</x:v>
      </x:c>
      <x:c r="E381" s="81" t="str">
        <x:v>—</x:v>
      </x:c>
      <x:c r="F381" s="81" t="str">
        <x:v>—</x:v>
      </x:c>
      <x:c r="G381" s="81" t="str">
        <x:v>—</x:v>
      </x:c>
      <x:c r="H381" s="81" t="str">
        <x:v>—</x:v>
      </x:c>
      <x:c r="I381" s="81" t="str">
        <x:v>—</x:v>
      </x:c>
      <x:c r="J381" s="81" t="str">
        <x:v>—</x:v>
      </x:c>
      <x:c r="K381" s="81" t="str">
        <x:v>—</x:v>
      </x:c>
      <x:c r="L381" s="81" t="str">
        <x:v>—</x:v>
      </x:c>
      <x:c r="M381" s="81" t="str">
        <x:v>—</x:v>
      </x:c>
      <x:c r="N381" s="81" t="str">
        <x:v>—</x:v>
      </x:c>
      <x:c r="O381" s="81" t="str">
        <x:v>—</x:v>
      </x:c>
      <x:c r="P381" s="81" t="str">
        <x:v>—</x:v>
      </x:c>
      <x:c r="Q381" s="81" t="str">
        <x:v>—</x:v>
      </x:c>
      <x:c r="R381" s="81" t="str">
        <x:v>—</x:v>
      </x:c>
      <x:c r="S381" s="81" t="str">
        <x:v>—</x:v>
      </x:c>
      <x:c r="T381" s="81" t="str">
        <x:v>—</x:v>
      </x:c>
      <x:c r="U381" s="81" t="str">
        <x:v>—</x:v>
      </x:c>
      <x:c r="V381" s="81" t="str">
        <x:v>—</x:v>
      </x:c>
    </x:row>
    <x:row r="382">
      <x:c r="A382" s="80" t="n">
        <x:v>378</x:v>
      </x:c>
      <x:c r="B382" s="80" t="str">
        <x:v>레지아이스</x:v>
      </x:c>
      <x:c r="C382" s="80" t="str">
        <x:v>regice</x:v>
      </x:c>
      <x:c r="D382" s="80" t="str">
        <x:v>특수</x:v>
      </x:c>
      <x:c r="E382" s="81" t="str">
        <x:v>—</x:v>
      </x:c>
      <x:c r="F382" s="81" t="str">
        <x:v>—</x:v>
      </x:c>
      <x:c r="G382" s="81" t="str">
        <x:v>—</x:v>
      </x:c>
      <x:c r="H382" s="81" t="str">
        <x:v>—</x:v>
      </x:c>
      <x:c r="I382" s="81" t="str">
        <x:v>—</x:v>
      </x:c>
      <x:c r="J382" s="81" t="str">
        <x:v>—</x:v>
      </x:c>
      <x:c r="K382" s="81" t="str">
        <x:v>—</x:v>
      </x:c>
      <x:c r="L382" s="81" t="str">
        <x:v>—</x:v>
      </x:c>
      <x:c r="M382" s="81" t="str">
        <x:v>—</x:v>
      </x:c>
      <x:c r="N382" s="81" t="str">
        <x:v>—</x:v>
      </x:c>
      <x:c r="O382" s="81" t="str">
        <x:v>—</x:v>
      </x:c>
      <x:c r="P382" s="81" t="str">
        <x:v>—</x:v>
      </x:c>
      <x:c r="Q382" s="81" t="str">
        <x:v>—</x:v>
      </x:c>
      <x:c r="R382" s="81" t="str">
        <x:v>—</x:v>
      </x:c>
      <x:c r="S382" s="81" t="str">
        <x:v>—</x:v>
      </x:c>
      <x:c r="T382" s="81" t="str">
        <x:v>—</x:v>
      </x:c>
      <x:c r="U382" s="81" t="str">
        <x:v>—</x:v>
      </x:c>
      <x:c r="V382" s="81" t="str">
        <x:v>—</x:v>
      </x:c>
    </x:row>
    <x:row r="383">
      <x:c r="A383" s="80" t="n">
        <x:v>379</x:v>
      </x:c>
      <x:c r="B383" s="80" t="str">
        <x:v>레지스틸</x:v>
      </x:c>
      <x:c r="C383" s="80" t="str">
        <x:v>registeel</x:v>
      </x:c>
      <x:c r="D383" s="80" t="str">
        <x:v>특수</x:v>
      </x:c>
      <x:c r="E383" s="81" t="str">
        <x:v>—</x:v>
      </x:c>
      <x:c r="F383" s="81" t="str">
        <x:v>—</x:v>
      </x:c>
      <x:c r="G383" s="81" t="str">
        <x:v>—</x:v>
      </x:c>
      <x:c r="H383" s="81" t="str">
        <x:v>—</x:v>
      </x:c>
      <x:c r="I383" s="81" t="str">
        <x:v>—</x:v>
      </x:c>
      <x:c r="J383" s="81" t="str">
        <x:v>—</x:v>
      </x:c>
      <x:c r="K383" s="81" t="str">
        <x:v>—</x:v>
      </x:c>
      <x:c r="L383" s="81" t="str">
        <x:v>—</x:v>
      </x:c>
      <x:c r="M383" s="81" t="str">
        <x:v>—</x:v>
      </x:c>
      <x:c r="N383" s="81" t="str">
        <x:v>—</x:v>
      </x:c>
      <x:c r="O383" s="81" t="str">
        <x:v>—</x:v>
      </x:c>
      <x:c r="P383" s="81" t="str">
        <x:v>—</x:v>
      </x:c>
      <x:c r="Q383" s="81" t="str">
        <x:v>—</x:v>
      </x:c>
      <x:c r="R383" s="81" t="str">
        <x:v>—</x:v>
      </x:c>
      <x:c r="S383" s="81" t="str">
        <x:v>—</x:v>
      </x:c>
      <x:c r="T383" s="81" t="str">
        <x:v>—</x:v>
      </x:c>
      <x:c r="U383" s="81" t="str">
        <x:v>—</x:v>
      </x:c>
      <x:c r="V383" s="81" t="str">
        <x:v>—</x:v>
      </x:c>
    </x:row>
    <x:row r="384">
      <x:c r="A384" s="80" t="n">
        <x:v>380</x:v>
      </x:c>
      <x:c r="B384" s="80" t="str">
        <x:v>라티아스</x:v>
      </x:c>
      <x:c r="C384" s="80" t="str">
        <x:v>latias</x:v>
      </x:c>
      <x:c r="D384" s="80" t="str">
        <x:v>특수</x:v>
      </x:c>
      <x:c r="E384" s="81" t="str">
        <x:v>—</x:v>
      </x:c>
      <x:c r="F384" s="81" t="str">
        <x:v>—</x:v>
      </x:c>
      <x:c r="G384" s="81" t="str">
        <x:v>—</x:v>
      </x:c>
      <x:c r="H384" s="81" t="str">
        <x:v>—</x:v>
      </x:c>
      <x:c r="I384" s="81" t="str">
        <x:v>—</x:v>
      </x:c>
      <x:c r="J384" s="81" t="str">
        <x:v>—</x:v>
      </x:c>
      <x:c r="K384" s="81" t="str">
        <x:v>—</x:v>
      </x:c>
      <x:c r="L384" s="81" t="str">
        <x:v>—</x:v>
      </x:c>
      <x:c r="M384" s="81" t="str">
        <x:v>—</x:v>
      </x:c>
      <x:c r="N384" s="81" t="str">
        <x:v>—</x:v>
      </x:c>
      <x:c r="O384" s="81" t="str">
        <x:v>—</x:v>
      </x:c>
      <x:c r="P384" s="81" t="str">
        <x:v>—</x:v>
      </x:c>
      <x:c r="Q384" s="81" t="str">
        <x:v>—</x:v>
      </x:c>
      <x:c r="R384" s="81" t="str">
        <x:v>—</x:v>
      </x:c>
      <x:c r="S384" s="81" t="str">
        <x:v>—</x:v>
      </x:c>
      <x:c r="T384" s="81" t="str">
        <x:v>—</x:v>
      </x:c>
      <x:c r="U384" s="81" t="str">
        <x:v>—</x:v>
      </x:c>
      <x:c r="V384" s="81" t="str">
        <x:v>—</x:v>
      </x:c>
    </x:row>
    <x:row r="385">
      <x:c r="A385" s="80" t="n">
        <x:v>381</x:v>
      </x:c>
      <x:c r="B385" s="80" t="str">
        <x:v>라티오스</x:v>
      </x:c>
      <x:c r="C385" s="80" t="str">
        <x:v>latios</x:v>
      </x:c>
      <x:c r="D385" s="80" t="str">
        <x:v>특수</x:v>
      </x:c>
      <x:c r="E385" s="81" t="str">
        <x:v>—</x:v>
      </x:c>
      <x:c r="F385" s="81" t="str">
        <x:v>—</x:v>
      </x:c>
      <x:c r="G385" s="81" t="str">
        <x:v>—</x:v>
      </x:c>
      <x:c r="H385" s="81" t="str">
        <x:v>—</x:v>
      </x:c>
      <x:c r="I385" s="81" t="str">
        <x:v>—</x:v>
      </x:c>
      <x:c r="J385" s="81" t="str">
        <x:v>—</x:v>
      </x:c>
      <x:c r="K385" s="81" t="str">
        <x:v>—</x:v>
      </x:c>
      <x:c r="L385" s="81" t="str">
        <x:v>—</x:v>
      </x:c>
      <x:c r="M385" s="81" t="str">
        <x:v>—</x:v>
      </x:c>
      <x:c r="N385" s="81" t="str">
        <x:v>—</x:v>
      </x:c>
      <x:c r="O385" s="81" t="str">
        <x:v>—</x:v>
      </x:c>
      <x:c r="P385" s="81" t="str">
        <x:v>—</x:v>
      </x:c>
      <x:c r="Q385" s="81" t="str">
        <x:v>—</x:v>
      </x:c>
      <x:c r="R385" s="81" t="str">
        <x:v>—</x:v>
      </x:c>
      <x:c r="S385" s="81" t="str">
        <x:v>—</x:v>
      </x:c>
      <x:c r="T385" s="81" t="str">
        <x:v>—</x:v>
      </x:c>
      <x:c r="U385" s="81" t="str">
        <x:v>—</x:v>
      </x:c>
      <x:c r="V385" s="81" t="str">
        <x:v>—</x:v>
      </x:c>
    </x:row>
    <x:row r="386">
      <x:c r="A386" s="80" t="n">
        <x:v>382</x:v>
      </x:c>
      <x:c r="B386" s="80" t="str">
        <x:v>가이오가</x:v>
      </x:c>
      <x:c r="C386" s="80" t="str">
        <x:v>kyogre</x:v>
      </x:c>
      <x:c r="D386" s="80" t="str">
        <x:v>특수</x:v>
      </x:c>
      <x:c r="E386" s="81" t="str">
        <x:v>—</x:v>
      </x:c>
      <x:c r="F386" s="81" t="str">
        <x:v>—</x:v>
      </x:c>
      <x:c r="G386" s="81" t="str">
        <x:v>—</x:v>
      </x:c>
      <x:c r="H386" s="81" t="str">
        <x:v>—</x:v>
      </x:c>
      <x:c r="I386" s="81" t="str">
        <x:v>—</x:v>
      </x:c>
      <x:c r="J386" s="81" t="str">
        <x:v>—</x:v>
      </x:c>
      <x:c r="K386" s="81" t="str">
        <x:v>—</x:v>
      </x:c>
      <x:c r="L386" s="81" t="str">
        <x:v>—</x:v>
      </x:c>
      <x:c r="M386" s="81" t="str">
        <x:v>—</x:v>
      </x:c>
      <x:c r="N386" s="81" t="str">
        <x:v>—</x:v>
      </x:c>
      <x:c r="O386" s="81" t="str">
        <x:v>—</x:v>
      </x:c>
      <x:c r="P386" s="81" t="str">
        <x:v>—</x:v>
      </x:c>
      <x:c r="Q386" s="81" t="str">
        <x:v>—</x:v>
      </x:c>
      <x:c r="R386" s="81" t="str">
        <x:v>—</x:v>
      </x:c>
      <x:c r="S386" s="81" t="str">
        <x:v>—</x:v>
      </x:c>
      <x:c r="T386" s="81" t="str">
        <x:v>—</x:v>
      </x:c>
      <x:c r="U386" s="81" t="str">
        <x:v>—</x:v>
      </x:c>
      <x:c r="V386" s="81" t="str">
        <x:v>—</x:v>
      </x:c>
    </x:row>
    <x:row r="387">
      <x:c r="A387" s="80" t="n">
        <x:v>383</x:v>
      </x:c>
      <x:c r="B387" s="80" t="str">
        <x:v>그란돈</x:v>
      </x:c>
      <x:c r="C387" s="80" t="str">
        <x:v>groudon</x:v>
      </x:c>
      <x:c r="D387" s="80" t="str">
        <x:v>특수</x:v>
      </x:c>
      <x:c r="E387" s="81" t="str">
        <x:v>—</x:v>
      </x:c>
      <x:c r="F387" s="81" t="str">
        <x:v>—</x:v>
      </x:c>
      <x:c r="G387" s="81" t="str">
        <x:v>—</x:v>
      </x:c>
      <x:c r="H387" s="81" t="str">
        <x:v>—</x:v>
      </x:c>
      <x:c r="I387" s="81" t="str">
        <x:v>—</x:v>
      </x:c>
      <x:c r="J387" s="81" t="str">
        <x:v>—</x:v>
      </x:c>
      <x:c r="K387" s="81" t="str">
        <x:v>—</x:v>
      </x:c>
      <x:c r="L387" s="81" t="str">
        <x:v>—</x:v>
      </x:c>
      <x:c r="M387" s="81" t="str">
        <x:v>—</x:v>
      </x:c>
      <x:c r="N387" s="81" t="str">
        <x:v>—</x:v>
      </x:c>
      <x:c r="O387" s="81" t="str">
        <x:v>—</x:v>
      </x:c>
      <x:c r="P387" s="81" t="str">
        <x:v>—</x:v>
      </x:c>
      <x:c r="Q387" s="81" t="str">
        <x:v>—</x:v>
      </x:c>
      <x:c r="R387" s="81" t="str">
        <x:v>—</x:v>
      </x:c>
      <x:c r="S387" s="81" t="str">
        <x:v>—</x:v>
      </x:c>
      <x:c r="T387" s="81" t="str">
        <x:v>—</x:v>
      </x:c>
      <x:c r="U387" s="81" t="str">
        <x:v>—</x:v>
      </x:c>
      <x:c r="V387" s="81" t="str">
        <x:v>—</x:v>
      </x:c>
    </x:row>
    <x:row r="388">
      <x:c r="A388" s="80" t="n">
        <x:v>384</x:v>
      </x:c>
      <x:c r="B388" s="80" t="str">
        <x:v>레쿠쟈</x:v>
      </x:c>
      <x:c r="C388" s="80" t="str">
        <x:v>rayquaza</x:v>
      </x:c>
      <x:c r="D388" s="80" t="str">
        <x:v>특수</x:v>
      </x:c>
      <x:c r="E388" s="81" t="str">
        <x:v>—</x:v>
      </x:c>
      <x:c r="F388" s="81" t="str">
        <x:v>—</x:v>
      </x:c>
      <x:c r="G388" s="81" t="str">
        <x:v>—</x:v>
      </x:c>
      <x:c r="H388" s="81" t="str">
        <x:v>—</x:v>
      </x:c>
      <x:c r="I388" s="81" t="str">
        <x:v>—</x:v>
      </x:c>
      <x:c r="J388" s="81" t="str">
        <x:v>—</x:v>
      </x:c>
      <x:c r="K388" s="81" t="str">
        <x:v>—</x:v>
      </x:c>
      <x:c r="L388" s="81" t="str">
        <x:v>—</x:v>
      </x:c>
      <x:c r="M388" s="81" t="str">
        <x:v>—</x:v>
      </x:c>
      <x:c r="N388" s="81" t="str">
        <x:v>—</x:v>
      </x:c>
      <x:c r="O388" s="81" t="str">
        <x:v>—</x:v>
      </x:c>
      <x:c r="P388" s="81" t="str">
        <x:v>—</x:v>
      </x:c>
      <x:c r="Q388" s="81" t="str">
        <x:v>—</x:v>
      </x:c>
      <x:c r="R388" s="81" t="str">
        <x:v>—</x:v>
      </x:c>
      <x:c r="S388" s="81" t="str">
        <x:v>—</x:v>
      </x:c>
      <x:c r="T388" s="81" t="str">
        <x:v>—</x:v>
      </x:c>
      <x:c r="U388" s="81" t="str">
        <x:v>—</x:v>
      </x:c>
      <x:c r="V388" s="81" t="str">
        <x:v>—</x:v>
      </x:c>
    </x:row>
    <x:row r="389">
      <x:c r="A389" s="80" t="n">
        <x:v>385</x:v>
      </x:c>
      <x:c r="B389" s="80" t="str">
        <x:v>지라치</x:v>
      </x:c>
      <x:c r="C389" s="80" t="str">
        <x:v>jirachi</x:v>
      </x:c>
      <x:c r="D389" s="80" t="str">
        <x:v>특수</x:v>
      </x:c>
      <x:c r="E389" s="81" t="str">
        <x:v>—</x:v>
      </x:c>
      <x:c r="F389" s="81" t="str">
        <x:v>—</x:v>
      </x:c>
      <x:c r="G389" s="81" t="str">
        <x:v>—</x:v>
      </x:c>
      <x:c r="H389" s="81" t="str">
        <x:v>—</x:v>
      </x:c>
      <x:c r="I389" s="81" t="str">
        <x:v>—</x:v>
      </x:c>
      <x:c r="J389" s="81" t="str">
        <x:v>—</x:v>
      </x:c>
      <x:c r="K389" s="81" t="str">
        <x:v>—</x:v>
      </x:c>
      <x:c r="L389" s="81" t="str">
        <x:v>—</x:v>
      </x:c>
      <x:c r="M389" s="81" t="str">
        <x:v>—</x:v>
      </x:c>
      <x:c r="N389" s="81" t="str">
        <x:v>—</x:v>
      </x:c>
      <x:c r="O389" s="81" t="str">
        <x:v>—</x:v>
      </x:c>
      <x:c r="P389" s="81" t="str">
        <x:v>—</x:v>
      </x:c>
      <x:c r="Q389" s="81" t="str">
        <x:v>—</x:v>
      </x:c>
      <x:c r="R389" s="81" t="str">
        <x:v>—</x:v>
      </x:c>
      <x:c r="S389" s="81" t="str">
        <x:v>—</x:v>
      </x:c>
      <x:c r="T389" s="81" t="str">
        <x:v>—</x:v>
      </x:c>
      <x:c r="U389" s="81" t="str">
        <x:v>—</x:v>
      </x:c>
      <x:c r="V389" s="81" t="str">
        <x:v>—</x:v>
      </x:c>
    </x:row>
    <x:row r="390">
      <x:c r="A390" s="80" t="n">
        <x:v>386</x:v>
      </x:c>
      <x:c r="B390" s="80" t="str">
        <x:v>테오키스</x:v>
      </x:c>
      <x:c r="C390" s="80" t="str">
        <x:v>deoxys</x:v>
      </x:c>
      <x:c r="D390" s="80" t="str">
        <x:v>특수</x:v>
      </x:c>
      <x:c r="E390" s="81" t="str">
        <x:v>—</x:v>
      </x:c>
      <x:c r="F390" s="81" t="str">
        <x:v>—</x:v>
      </x:c>
      <x:c r="G390" s="81" t="str">
        <x:v>—</x:v>
      </x:c>
      <x:c r="H390" s="81" t="str">
        <x:v>—</x:v>
      </x:c>
      <x:c r="I390" s="81" t="str">
        <x:v>—</x:v>
      </x:c>
      <x:c r="J390" s="81" t="str">
        <x:v>—</x:v>
      </x:c>
      <x:c r="K390" s="81" t="str">
        <x:v>—</x:v>
      </x:c>
      <x:c r="L390" s="81" t="str">
        <x:v>—</x:v>
      </x:c>
      <x:c r="M390" s="81" t="str">
        <x:v>—</x:v>
      </x:c>
      <x:c r="N390" s="81" t="str">
        <x:v>—</x:v>
      </x:c>
      <x:c r="O390" s="81" t="str">
        <x:v>—</x:v>
      </x:c>
      <x:c r="P390" s="81" t="str">
        <x:v>—</x:v>
      </x:c>
      <x:c r="Q390" s="81" t="str">
        <x:v>—</x:v>
      </x:c>
      <x:c r="R390" s="81" t="str">
        <x:v>—</x:v>
      </x:c>
      <x:c r="S390" s="81" t="str">
        <x:v>—</x:v>
      </x:c>
      <x:c r="T390" s="81" t="str">
        <x:v>—</x:v>
      </x:c>
      <x:c r="U390" s="81" t="str">
        <x:v>—</x:v>
      </x:c>
      <x:c r="V390" s="81" t="str">
        <x:v>—</x:v>
      </x:c>
    </x:row>
    <x:row r="391">
      <x:c r="A391" s="80" t="n">
        <x:v>387</x:v>
      </x:c>
      <x:c r="B391" s="80" t="str">
        <x:v>모부기</x:v>
      </x:c>
      <x:c r="C391" s="80" t="str">
        <x:v>turtwig</x:v>
      </x:c>
      <x:c r="D391" s="80" t="str">
        <x:v>숲</x:v>
      </x:c>
      <x:c r="E391" s="81" t="str">
        <x:v>—</x:v>
      </x:c>
      <x:c r="F391" s="81" t="str">
        <x:v>—</x:v>
      </x:c>
      <x:c r="G391" s="81" t="str">
        <x:v>—</x:v>
      </x:c>
      <x:c r="H391" s="81" t="str">
        <x:v>—</x:v>
      </x:c>
      <x:c r="I391" s="81" t="str">
        <x:v>—</x:v>
      </x:c>
      <x:c r="J391" s="81" t="str">
        <x:v>—</x:v>
      </x:c>
      <x:c r="K391" s="81" t="str">
        <x:v>숲2</x:v>
      </x:c>
      <x:c r="L391" s="81" t="str">
        <x:v>평원2</x:v>
      </x:c>
      <x:c r="M391" s="81" t="str">
        <x:v>—</x:v>
      </x:c>
      <x:c r="N391" s="81" t="str">
        <x:v>—</x:v>
      </x:c>
      <x:c r="O391" s="81" t="str">
        <x:v>—</x:v>
      </x:c>
      <x:c r="P391" s="81" t="str">
        <x:v>—</x:v>
      </x:c>
      <x:c r="Q391" s="81" t="str">
        <x:v>—</x:v>
      </x:c>
      <x:c r="R391" s="81" t="str">
        <x:v>—</x:v>
      </x:c>
      <x:c r="S391" s="81" t="str">
        <x:v>—</x:v>
      </x:c>
      <x:c r="T391" s="81" t="str">
        <x:v>—</x:v>
      </x:c>
      <x:c r="U391" s="81" t="str">
        <x:v>숲3</x:v>
      </x:c>
      <x:c r="V391" s="81" t="str">
        <x:v>평원3</x:v>
      </x:c>
    </x:row>
    <x:row r="392">
      <x:c r="A392" s="80" t="n">
        <x:v>388</x:v>
      </x:c>
      <x:c r="B392" s="80" t="str">
        <x:v>수풀부기</x:v>
      </x:c>
      <x:c r="C392" s="80" t="str">
        <x:v>grotle</x:v>
      </x:c>
      <x:c r="D392" s="80" t="str">
        <x:v>숲</x:v>
      </x:c>
      <x:c r="E392" s="81" t="str">
        <x:v>—</x:v>
      </x:c>
      <x:c r="F392" s="81" t="str">
        <x:v>—</x:v>
      </x:c>
      <x:c r="G392" s="81" t="str">
        <x:v>—</x:v>
      </x:c>
      <x:c r="H392" s="81" t="str">
        <x:v>—</x:v>
      </x:c>
      <x:c r="I392" s="81" t="str">
        <x:v>—</x:v>
      </x:c>
      <x:c r="J392" s="81" t="str">
        <x:v>—</x:v>
      </x:c>
      <x:c r="K392" s="81" t="str">
        <x:v>숲2</x:v>
      </x:c>
      <x:c r="L392" s="81" t="str">
        <x:v>평원2</x:v>
      </x:c>
      <x:c r="M392" s="81" t="str">
        <x:v>—</x:v>
      </x:c>
      <x:c r="N392" s="81" t="str">
        <x:v>—</x:v>
      </x:c>
      <x:c r="O392" s="81" t="str">
        <x:v>—</x:v>
      </x:c>
      <x:c r="P392" s="81" t="str">
        <x:v>—</x:v>
      </x:c>
      <x:c r="Q392" s="81" t="str">
        <x:v>—</x:v>
      </x:c>
      <x:c r="R392" s="81" t="str">
        <x:v>—</x:v>
      </x:c>
      <x:c r="S392" s="81" t="str">
        <x:v>—</x:v>
      </x:c>
      <x:c r="T392" s="81" t="str">
        <x:v>—</x:v>
      </x:c>
      <x:c r="U392" s="81" t="str">
        <x:v>숲3</x:v>
      </x:c>
      <x:c r="V392" s="81" t="str">
        <x:v>평원3</x:v>
      </x:c>
    </x:row>
    <x:row r="393">
      <x:c r="A393" s="80" t="n">
        <x:v>389</x:v>
      </x:c>
      <x:c r="B393" s="80" t="str">
        <x:v>토대부기</x:v>
      </x:c>
      <x:c r="C393" s="80" t="str">
        <x:v>torterra</x:v>
      </x:c>
      <x:c r="D393" s="80" t="str">
        <x:v>숲</x:v>
      </x:c>
      <x:c r="E393" s="81" t="str">
        <x:v>—</x:v>
      </x:c>
      <x:c r="F393" s="81" t="str">
        <x:v>—</x:v>
      </x:c>
      <x:c r="G393" s="81" t="str">
        <x:v>—</x:v>
      </x:c>
      <x:c r="H393" s="81" t="str">
        <x:v>—</x:v>
      </x:c>
      <x:c r="I393" s="81" t="str">
        <x:v>—</x:v>
      </x:c>
      <x:c r="J393" s="81" t="str">
        <x:v>—</x:v>
      </x:c>
      <x:c r="K393" s="81" t="str">
        <x:v>숲2</x:v>
      </x:c>
      <x:c r="L393" s="81" t="str">
        <x:v>평원2</x:v>
      </x:c>
      <x:c r="M393" s="81" t="str">
        <x:v>—</x:v>
      </x:c>
      <x:c r="N393" s="81" t="str">
        <x:v>—</x:v>
      </x:c>
      <x:c r="O393" s="81" t="str">
        <x:v>—</x:v>
      </x:c>
      <x:c r="P393" s="81" t="str">
        <x:v>—</x:v>
      </x:c>
      <x:c r="Q393" s="81" t="str">
        <x:v>—</x:v>
      </x:c>
      <x:c r="R393" s="81" t="str">
        <x:v>—</x:v>
      </x:c>
      <x:c r="S393" s="81" t="str">
        <x:v>—</x:v>
      </x:c>
      <x:c r="T393" s="81" t="str">
        <x:v>—</x:v>
      </x:c>
      <x:c r="U393" s="81" t="str">
        <x:v>숲3</x:v>
      </x:c>
      <x:c r="V393" s="81" t="str">
        <x:v>평원3</x:v>
      </x:c>
    </x:row>
    <x:row r="394">
      <x:c r="A394" s="80" t="n">
        <x:v>390</x:v>
      </x:c>
      <x:c r="B394" s="80" t="str">
        <x:v>불꽃숭이</x:v>
      </x:c>
      <x:c r="C394" s="80" t="str">
        <x:v>chimchar</x:v>
      </x:c>
      <x:c r="D394" s="80" t="str">
        <x:v>화산</x:v>
      </x:c>
      <x:c r="E394" s="81" t="str">
        <x:v>—</x:v>
      </x:c>
      <x:c r="F394" s="81" t="str">
        <x:v>—</x:v>
      </x:c>
      <x:c r="G394" s="81" t="str">
        <x:v>—</x:v>
      </x:c>
      <x:c r="H394" s="81" t="str">
        <x:v>—</x:v>
      </x:c>
      <x:c r="I394" s="81" t="str">
        <x:v>—</x:v>
      </x:c>
      <x:c r="J394" s="81" t="str">
        <x:v>—</x:v>
      </x:c>
      <x:c r="K394" s="81" t="str">
        <x:v>화산1</x:v>
      </x:c>
      <x:c r="L394" s="81" t="str">
        <x:v>건조지1</x:v>
      </x:c>
      <x:c r="M394" s="81" t="str">
        <x:v>—</x:v>
      </x:c>
      <x:c r="N394" s="81" t="str">
        <x:v>—</x:v>
      </x:c>
      <x:c r="O394" s="81" t="str">
        <x:v>—</x:v>
      </x:c>
      <x:c r="P394" s="81" t="str">
        <x:v>—</x:v>
      </x:c>
      <x:c r="Q394" s="81" t="str">
        <x:v>—</x:v>
      </x:c>
      <x:c r="R394" s="81" t="str">
        <x:v>—</x:v>
      </x:c>
      <x:c r="S394" s="81" t="str">
        <x:v>—</x:v>
      </x:c>
      <x:c r="T394" s="81" t="str">
        <x:v>—</x:v>
      </x:c>
      <x:c r="U394" s="81" t="str">
        <x:v>화산1</x:v>
      </x:c>
      <x:c r="V394" s="81" t="str">
        <x:v>건조지1</x:v>
      </x:c>
    </x:row>
    <x:row r="395">
      <x:c r="A395" s="80" t="n">
        <x:v>391</x:v>
      </x:c>
      <x:c r="B395" s="80" t="str">
        <x:v>파이숭이</x:v>
      </x:c>
      <x:c r="C395" s="80" t="str">
        <x:v>monferno</x:v>
      </x:c>
      <x:c r="D395" s="80" t="str">
        <x:v>화산</x:v>
      </x:c>
      <x:c r="E395" s="81" t="str">
        <x:v>—</x:v>
      </x:c>
      <x:c r="F395" s="81" t="str">
        <x:v>—</x:v>
      </x:c>
      <x:c r="G395" s="81" t="str">
        <x:v>—</x:v>
      </x:c>
      <x:c r="H395" s="81" t="str">
        <x:v>—</x:v>
      </x:c>
      <x:c r="I395" s="81" t="str">
        <x:v>—</x:v>
      </x:c>
      <x:c r="J395" s="81" t="str">
        <x:v>—</x:v>
      </x:c>
      <x:c r="K395" s="81" t="str">
        <x:v>화산1</x:v>
      </x:c>
      <x:c r="L395" s="81" t="str">
        <x:v>건조지1</x:v>
      </x:c>
      <x:c r="M395" s="81" t="str">
        <x:v>—</x:v>
      </x:c>
      <x:c r="N395" s="81" t="str">
        <x:v>—</x:v>
      </x:c>
      <x:c r="O395" s="81" t="str">
        <x:v>—</x:v>
      </x:c>
      <x:c r="P395" s="81" t="str">
        <x:v>—</x:v>
      </x:c>
      <x:c r="Q395" s="81" t="str">
        <x:v>—</x:v>
      </x:c>
      <x:c r="R395" s="81" t="str">
        <x:v>—</x:v>
      </x:c>
      <x:c r="S395" s="81" t="str">
        <x:v>—</x:v>
      </x:c>
      <x:c r="T395" s="81" t="str">
        <x:v>—</x:v>
      </x:c>
      <x:c r="U395" s="81" t="str">
        <x:v>화산1</x:v>
      </x:c>
      <x:c r="V395" s="81" t="str">
        <x:v>건조지1</x:v>
      </x:c>
    </x:row>
    <x:row r="396">
      <x:c r="A396" s="80" t="n">
        <x:v>392</x:v>
      </x:c>
      <x:c r="B396" s="80" t="str">
        <x:v>초염몽</x:v>
      </x:c>
      <x:c r="C396" s="80" t="str">
        <x:v>infernape</x:v>
      </x:c>
      <x:c r="D396" s="80" t="str">
        <x:v>화산</x:v>
      </x:c>
      <x:c r="E396" s="81" t="str">
        <x:v>—</x:v>
      </x:c>
      <x:c r="F396" s="81" t="str">
        <x:v>—</x:v>
      </x:c>
      <x:c r="G396" s="81" t="str">
        <x:v>—</x:v>
      </x:c>
      <x:c r="H396" s="81" t="str">
        <x:v>—</x:v>
      </x:c>
      <x:c r="I396" s="81" t="str">
        <x:v>—</x:v>
      </x:c>
      <x:c r="J396" s="81" t="str">
        <x:v>—</x:v>
      </x:c>
      <x:c r="K396" s="81" t="str">
        <x:v>화산1</x:v>
      </x:c>
      <x:c r="L396" s="81" t="str">
        <x:v>건조지1</x:v>
      </x:c>
      <x:c r="M396" s="81" t="str">
        <x:v>—</x:v>
      </x:c>
      <x:c r="N396" s="81" t="str">
        <x:v>—</x:v>
      </x:c>
      <x:c r="O396" s="81" t="str">
        <x:v>—</x:v>
      </x:c>
      <x:c r="P396" s="81" t="str">
        <x:v>—</x:v>
      </x:c>
      <x:c r="Q396" s="81" t="str">
        <x:v>—</x:v>
      </x:c>
      <x:c r="R396" s="81" t="str">
        <x:v>—</x:v>
      </x:c>
      <x:c r="S396" s="81" t="str">
        <x:v>—</x:v>
      </x:c>
      <x:c r="T396" s="81" t="str">
        <x:v>—</x:v>
      </x:c>
      <x:c r="U396" s="81" t="str">
        <x:v>화산1</x:v>
      </x:c>
      <x:c r="V396" s="81" t="str">
        <x:v>건조지1</x:v>
      </x:c>
    </x:row>
    <x:row r="397">
      <x:c r="A397" s="80" t="n">
        <x:v>393</x:v>
      </x:c>
      <x:c r="B397" s="80" t="str">
        <x:v>팽도리</x:v>
      </x:c>
      <x:c r="C397" s="80" t="str">
        <x:v>piplup</x:v>
      </x:c>
      <x:c r="D397" s="80" t="str">
        <x:v>해양</x:v>
      </x:c>
      <x:c r="E397" s="81" t="str">
        <x:v>—</x:v>
      </x:c>
      <x:c r="F397" s="81" t="str">
        <x:v>—</x:v>
      </x:c>
      <x:c r="G397" s="81" t="str">
        <x:v>—</x:v>
      </x:c>
      <x:c r="H397" s="81" t="str">
        <x:v>—</x:v>
      </x:c>
      <x:c r="I397" s="81" t="str">
        <x:v>—</x:v>
      </x:c>
      <x:c r="J397" s="81" t="str">
        <x:v>—</x:v>
      </x:c>
      <x:c r="K397" s="81" t="str">
        <x:v>해양1</x:v>
      </x:c>
      <x:c r="L397" s="81" t="str">
        <x:v>담수1</x:v>
      </x:c>
      <x:c r="M397" s="81" t="str">
        <x:v>—</x:v>
      </x:c>
      <x:c r="N397" s="81" t="str">
        <x:v>—</x:v>
      </x:c>
      <x:c r="O397" s="81" t="str">
        <x:v>—</x:v>
      </x:c>
      <x:c r="P397" s="81" t="str">
        <x:v>—</x:v>
      </x:c>
      <x:c r="Q397" s="81" t="str">
        <x:v>—</x:v>
      </x:c>
      <x:c r="R397" s="81" t="str">
        <x:v>—</x:v>
      </x:c>
      <x:c r="S397" s="81" t="str">
        <x:v>—</x:v>
      </x:c>
      <x:c r="T397" s="81" t="str">
        <x:v>—</x:v>
      </x:c>
      <x:c r="U397" s="81" t="str">
        <x:v>해양1</x:v>
      </x:c>
      <x:c r="V397" s="81" t="str">
        <x:v>담수2</x:v>
      </x:c>
    </x:row>
    <x:row r="398">
      <x:c r="A398" s="80" t="n">
        <x:v>394</x:v>
      </x:c>
      <x:c r="B398" s="80" t="str">
        <x:v>팽태자</x:v>
      </x:c>
      <x:c r="C398" s="80" t="str">
        <x:v>prinplup</x:v>
      </x:c>
      <x:c r="D398" s="80" t="str">
        <x:v>해양</x:v>
      </x:c>
      <x:c r="E398" s="81" t="str">
        <x:v>—</x:v>
      </x:c>
      <x:c r="F398" s="81" t="str">
        <x:v>—</x:v>
      </x:c>
      <x:c r="G398" s="81" t="str">
        <x:v>—</x:v>
      </x:c>
      <x:c r="H398" s="81" t="str">
        <x:v>—</x:v>
      </x:c>
      <x:c r="I398" s="81" t="str">
        <x:v>—</x:v>
      </x:c>
      <x:c r="J398" s="81" t="str">
        <x:v>—</x:v>
      </x:c>
      <x:c r="K398" s="81" t="str">
        <x:v>해양1</x:v>
      </x:c>
      <x:c r="L398" s="81" t="str">
        <x:v>담수1</x:v>
      </x:c>
      <x:c r="M398" s="81" t="str">
        <x:v>—</x:v>
      </x:c>
      <x:c r="N398" s="81" t="str">
        <x:v>—</x:v>
      </x:c>
      <x:c r="O398" s="81" t="str">
        <x:v>—</x:v>
      </x:c>
      <x:c r="P398" s="81" t="str">
        <x:v>—</x:v>
      </x:c>
      <x:c r="Q398" s="81" t="str">
        <x:v>—</x:v>
      </x:c>
      <x:c r="R398" s="81" t="str">
        <x:v>—</x:v>
      </x:c>
      <x:c r="S398" s="81" t="str">
        <x:v>—</x:v>
      </x:c>
      <x:c r="T398" s="81" t="str">
        <x:v>—</x:v>
      </x:c>
      <x:c r="U398" s="81" t="str">
        <x:v>해양1</x:v>
      </x:c>
      <x:c r="V398" s="81" t="str">
        <x:v>담수2</x:v>
      </x:c>
    </x:row>
    <x:row r="399">
      <x:c r="A399" s="80" t="n">
        <x:v>395</x:v>
      </x:c>
      <x:c r="B399" s="80" t="str">
        <x:v>엠페르트</x:v>
      </x:c>
      <x:c r="C399" s="80" t="str">
        <x:v>empoleon</x:v>
      </x:c>
      <x:c r="D399" s="80" t="str">
        <x:v>해양</x:v>
      </x:c>
      <x:c r="E399" s="81" t="str">
        <x:v>—</x:v>
      </x:c>
      <x:c r="F399" s="81" t="str">
        <x:v>—</x:v>
      </x:c>
      <x:c r="G399" s="81" t="str">
        <x:v>—</x:v>
      </x:c>
      <x:c r="H399" s="81" t="str">
        <x:v>—</x:v>
      </x:c>
      <x:c r="I399" s="81" t="str">
        <x:v>—</x:v>
      </x:c>
      <x:c r="J399" s="81" t="str">
        <x:v>—</x:v>
      </x:c>
      <x:c r="K399" s="81" t="str">
        <x:v>해양1</x:v>
      </x:c>
      <x:c r="L399" s="81" t="str">
        <x:v>담수1</x:v>
      </x:c>
      <x:c r="M399" s="81" t="str">
        <x:v>—</x:v>
      </x:c>
      <x:c r="N399" s="81" t="str">
        <x:v>—</x:v>
      </x:c>
      <x:c r="O399" s="81" t="str">
        <x:v>—</x:v>
      </x:c>
      <x:c r="P399" s="81" t="str">
        <x:v>—</x:v>
      </x:c>
      <x:c r="Q399" s="81" t="str">
        <x:v>—</x:v>
      </x:c>
      <x:c r="R399" s="81" t="str">
        <x:v>—</x:v>
      </x:c>
      <x:c r="S399" s="81" t="str">
        <x:v>—</x:v>
      </x:c>
      <x:c r="T399" s="81" t="str">
        <x:v>—</x:v>
      </x:c>
      <x:c r="U399" s="81" t="str">
        <x:v>해양1</x:v>
      </x:c>
      <x:c r="V399" s="81" t="str">
        <x:v>담수2</x:v>
      </x:c>
    </x:row>
    <x:row r="400">
      <x:c r="A400" s="80" t="n">
        <x:v>396</x:v>
      </x:c>
      <x:c r="B400" s="80" t="str">
        <x:v>찌르꼬</x:v>
      </x:c>
      <x:c r="C400" s="80" t="str">
        <x:v>starly</x:v>
      </x:c>
      <x:c r="D400" s="80" t="str">
        <x:v>숲</x:v>
      </x:c>
      <x:c r="E400" s="81" t="str">
        <x:v>—</x:v>
      </x:c>
      <x:c r="F400" s="81" t="str">
        <x:v>—</x:v>
      </x:c>
      <x:c r="G400" s="81" t="str">
        <x:v>—</x:v>
      </x:c>
      <x:c r="H400" s="81" t="str">
        <x:v>—</x:v>
      </x:c>
      <x:c r="I400" s="81" t="str">
        <x:v>—</x:v>
      </x:c>
      <x:c r="J400" s="81" t="str">
        <x:v>—</x:v>
      </x:c>
      <x:c r="K400" s="81" t="str">
        <x:v>숲2</x:v>
      </x:c>
      <x:c r="L400" s="81" t="str">
        <x:v>산악2</x:v>
      </x:c>
      <x:c r="M400" s="81" t="str">
        <x:v>—</x:v>
      </x:c>
      <x:c r="N400" s="81" t="str">
        <x:v>—</x:v>
      </x:c>
      <x:c r="O400" s="81" t="str">
        <x:v>숲3</x:v>
      </x:c>
      <x:c r="P400" s="81" t="str">
        <x:v>산악2</x:v>
      </x:c>
      <x:c r="Q400" s="81" t="str">
        <x:v>—</x:v>
      </x:c>
      <x:c r="R400" s="81" t="str">
        <x:v>—</x:v>
      </x:c>
      <x:c r="S400" s="81" t="str">
        <x:v>—</x:v>
      </x:c>
      <x:c r="T400" s="81" t="str">
        <x:v>—</x:v>
      </x:c>
      <x:c r="U400" s="81" t="str">
        <x:v>숲3</x:v>
      </x:c>
      <x:c r="V400" s="81" t="str">
        <x:v>산악2</x:v>
      </x:c>
    </x:row>
    <x:row r="401">
      <x:c r="A401" s="80" t="n">
        <x:v>397</x:v>
      </x:c>
      <x:c r="B401" s="80" t="str">
        <x:v>찌르버드</x:v>
      </x:c>
      <x:c r="C401" s="80" t="str">
        <x:v>staravia</x:v>
      </x:c>
      <x:c r="D401" s="80" t="str">
        <x:v>숲</x:v>
      </x:c>
      <x:c r="E401" s="81" t="str">
        <x:v>—</x:v>
      </x:c>
      <x:c r="F401" s="81" t="str">
        <x:v>—</x:v>
      </x:c>
      <x:c r="G401" s="81" t="str">
        <x:v>—</x:v>
      </x:c>
      <x:c r="H401" s="81" t="str">
        <x:v>—</x:v>
      </x:c>
      <x:c r="I401" s="81" t="str">
        <x:v>—</x:v>
      </x:c>
      <x:c r="J401" s="81" t="str">
        <x:v>—</x:v>
      </x:c>
      <x:c r="K401" s="81" t="str">
        <x:v>숲2</x:v>
      </x:c>
      <x:c r="L401" s="81" t="str">
        <x:v>산악2</x:v>
      </x:c>
      <x:c r="M401" s="81" t="str">
        <x:v>—</x:v>
      </x:c>
      <x:c r="N401" s="81" t="str">
        <x:v>—</x:v>
      </x:c>
      <x:c r="O401" s="81" t="str">
        <x:v>숲3</x:v>
      </x:c>
      <x:c r="P401" s="81" t="str">
        <x:v>산악2</x:v>
      </x:c>
      <x:c r="Q401" s="81" t="str">
        <x:v>—</x:v>
      </x:c>
      <x:c r="R401" s="81" t="str">
        <x:v>—</x:v>
      </x:c>
      <x:c r="S401" s="81" t="str">
        <x:v>—</x:v>
      </x:c>
      <x:c r="T401" s="81" t="str">
        <x:v>—</x:v>
      </x:c>
      <x:c r="U401" s="81" t="str">
        <x:v>숲3</x:v>
      </x:c>
      <x:c r="V401" s="81" t="str">
        <x:v>산악2</x:v>
      </x:c>
    </x:row>
    <x:row r="402">
      <x:c r="A402" s="80" t="n">
        <x:v>398</x:v>
      </x:c>
      <x:c r="B402" s="80" t="str">
        <x:v>찌르호크</x:v>
      </x:c>
      <x:c r="C402" s="80" t="str">
        <x:v>staraptor</x:v>
      </x:c>
      <x:c r="D402" s="80" t="str">
        <x:v>숲</x:v>
      </x:c>
      <x:c r="E402" s="81" t="str">
        <x:v>—</x:v>
      </x:c>
      <x:c r="F402" s="81" t="str">
        <x:v>—</x:v>
      </x:c>
      <x:c r="G402" s="81" t="str">
        <x:v>—</x:v>
      </x:c>
      <x:c r="H402" s="81" t="str">
        <x:v>—</x:v>
      </x:c>
      <x:c r="I402" s="81" t="str">
        <x:v>—</x:v>
      </x:c>
      <x:c r="J402" s="81" t="str">
        <x:v>—</x:v>
      </x:c>
      <x:c r="K402" s="81" t="str">
        <x:v>숲2</x:v>
      </x:c>
      <x:c r="L402" s="81" t="str">
        <x:v>산악2</x:v>
      </x:c>
      <x:c r="M402" s="81" t="str">
        <x:v>—</x:v>
      </x:c>
      <x:c r="N402" s="81" t="str">
        <x:v>—</x:v>
      </x:c>
      <x:c r="O402" s="81" t="str">
        <x:v>숲3</x:v>
      </x:c>
      <x:c r="P402" s="81" t="str">
        <x:v>산악2</x:v>
      </x:c>
      <x:c r="Q402" s="81" t="str">
        <x:v>—</x:v>
      </x:c>
      <x:c r="R402" s="81" t="str">
        <x:v>—</x:v>
      </x:c>
      <x:c r="S402" s="81" t="str">
        <x:v>—</x:v>
      </x:c>
      <x:c r="T402" s="81" t="str">
        <x:v>—</x:v>
      </x:c>
      <x:c r="U402" s="81" t="str">
        <x:v>숲3</x:v>
      </x:c>
      <x:c r="V402" s="81" t="str">
        <x:v>산악2</x:v>
      </x:c>
    </x:row>
    <x:row r="403">
      <x:c r="A403" s="80" t="n">
        <x:v>399</x:v>
      </x:c>
      <x:c r="B403" s="80" t="str">
        <x:v>비버니</x:v>
      </x:c>
      <x:c r="C403" s="80" t="str">
        <x:v>bidoof</x:v>
      </x:c>
      <x:c r="D403" s="80" t="str">
        <x:v>숲</x:v>
      </x:c>
      <x:c r="E403" s="81" t="str">
        <x:v>—</x:v>
      </x:c>
      <x:c r="F403" s="81" t="str">
        <x:v>—</x:v>
      </x:c>
      <x:c r="G403" s="81" t="str">
        <x:v>—</x:v>
      </x:c>
      <x:c r="H403" s="81" t="str">
        <x:v>—</x:v>
      </x:c>
      <x:c r="I403" s="81" t="str">
        <x:v>—</x:v>
      </x:c>
      <x:c r="J403" s="81" t="str">
        <x:v>—</x:v>
      </x:c>
      <x:c r="K403" s="81" t="str">
        <x:v>숲2</x:v>
      </x:c>
      <x:c r="L403" s="81" t="str">
        <x:v>평원2</x:v>
      </x:c>
      <x:c r="M403" s="81" t="str">
        <x:v>—</x:v>
      </x:c>
      <x:c r="N403" s="81" t="str">
        <x:v>—</x:v>
      </x:c>
      <x:c r="O403" s="81" t="str">
        <x:v>숲3</x:v>
      </x:c>
      <x:c r="P403" s="81" t="str">
        <x:v>평원4</x:v>
      </x:c>
      <x:c r="Q403" s="81" t="str">
        <x:v>—</x:v>
      </x:c>
      <x:c r="R403" s="81" t="str">
        <x:v>—</x:v>
      </x:c>
      <x:c r="S403" s="81" t="str">
        <x:v>—</x:v>
      </x:c>
      <x:c r="T403" s="81" t="str">
        <x:v>—</x:v>
      </x:c>
      <x:c r="U403" s="81" t="str">
        <x:v>—</x:v>
      </x:c>
      <x:c r="V403" s="81" t="str">
        <x:v>—</x:v>
      </x:c>
    </x:row>
    <x:row r="404">
      <x:c r="A404" s="80" t="n">
        <x:v>400</x:v>
      </x:c>
      <x:c r="B404" s="80" t="str">
        <x:v>비버통</x:v>
      </x:c>
      <x:c r="C404" s="80" t="str">
        <x:v>bibarel</x:v>
      </x:c>
      <x:c r="D404" s="80" t="str">
        <x:v>담수</x:v>
      </x:c>
      <x:c r="E404" s="81" t="str">
        <x:v>—</x:v>
      </x:c>
      <x:c r="F404" s="81" t="str">
        <x:v>—</x:v>
      </x:c>
      <x:c r="G404" s="81" t="str">
        <x:v>—</x:v>
      </x:c>
      <x:c r="H404" s="81" t="str">
        <x:v>—</x:v>
      </x:c>
      <x:c r="I404" s="81" t="str">
        <x:v>—</x:v>
      </x:c>
      <x:c r="J404" s="81" t="str">
        <x:v>—</x:v>
      </x:c>
      <x:c r="K404" s="81" t="str">
        <x:v>담수1</x:v>
      </x:c>
      <x:c r="L404" s="81" t="str">
        <x:v>습지1</x:v>
      </x:c>
      <x:c r="M404" s="81" t="str">
        <x:v>—</x:v>
      </x:c>
      <x:c r="N404" s="81" t="str">
        <x:v>—</x:v>
      </x:c>
      <x:c r="O404" s="81" t="str">
        <x:v>담수3</x:v>
      </x:c>
      <x:c r="P404" s="81" t="str">
        <x:v>습지2</x:v>
      </x:c>
      <x:c r="Q404" s="81" t="str">
        <x:v>—</x:v>
      </x:c>
      <x:c r="R404" s="81" t="str">
        <x:v>—</x:v>
      </x:c>
      <x:c r="S404" s="81" t="str">
        <x:v>—</x:v>
      </x:c>
      <x:c r="T404" s="81" t="str">
        <x:v>—</x:v>
      </x:c>
      <x:c r="U404" s="81" t="str">
        <x:v>—</x:v>
      </x:c>
      <x:c r="V404" s="81" t="str">
        <x:v>—</x:v>
      </x:c>
    </x:row>
    <x:row r="405">
      <x:c r="A405" s="80" t="n">
        <x:v>401</x:v>
      </x:c>
      <x:c r="B405" s="80" t="str">
        <x:v>귀뚤뚜기</x:v>
      </x:c>
      <x:c r="C405" s="80" t="str">
        <x:v>kricketot</x:v>
      </x:c>
      <x:c r="D405" s="80" t="str">
        <x:v>습지</x:v>
      </x:c>
      <x:c r="E405" s="81" t="str">
        <x:v>—</x:v>
      </x:c>
      <x:c r="F405" s="81" t="str">
        <x:v>—</x:v>
      </x:c>
      <x:c r="G405" s="81" t="str">
        <x:v>—</x:v>
      </x:c>
      <x:c r="H405" s="81" t="str">
        <x:v>—</x:v>
      </x:c>
      <x:c r="I405" s="81" t="str">
        <x:v>—</x:v>
      </x:c>
      <x:c r="J405" s="81" t="str">
        <x:v>—</x:v>
      </x:c>
      <x:c r="K405" s="81" t="str">
        <x:v>습지1</x:v>
      </x:c>
      <x:c r="L405" s="81" t="str">
        <x:v>숲2</x:v>
      </x:c>
      <x:c r="M405" s="81" t="str">
        <x:v>—</x:v>
      </x:c>
      <x:c r="N405" s="81" t="str">
        <x:v>—</x:v>
      </x:c>
      <x:c r="O405" s="81" t="str">
        <x:v>—</x:v>
      </x:c>
      <x:c r="P405" s="81" t="str">
        <x:v>—</x:v>
      </x:c>
      <x:c r="Q405" s="81" t="str">
        <x:v>—</x:v>
      </x:c>
      <x:c r="R405" s="81" t="str">
        <x:v>—</x:v>
      </x:c>
      <x:c r="S405" s="81" t="str">
        <x:v>—</x:v>
      </x:c>
      <x:c r="T405" s="81" t="str">
        <x:v>—</x:v>
      </x:c>
      <x:c r="U405" s="81" t="str">
        <x:v>습지2</x:v>
      </x:c>
      <x:c r="V405" s="81" t="str">
        <x:v>숲3</x:v>
      </x:c>
    </x:row>
    <x:row r="406">
      <x:c r="A406" s="80" t="n">
        <x:v>402</x:v>
      </x:c>
      <x:c r="B406" s="80" t="str">
        <x:v>귀뚤톡크</x:v>
      </x:c>
      <x:c r="C406" s="80" t="str">
        <x:v>kricketune</x:v>
      </x:c>
      <x:c r="D406" s="80" t="str">
        <x:v>습지</x:v>
      </x:c>
      <x:c r="E406" s="81" t="str">
        <x:v>—</x:v>
      </x:c>
      <x:c r="F406" s="81" t="str">
        <x:v>—</x:v>
      </x:c>
      <x:c r="G406" s="81" t="str">
        <x:v>—</x:v>
      </x:c>
      <x:c r="H406" s="81" t="str">
        <x:v>—</x:v>
      </x:c>
      <x:c r="I406" s="81" t="str">
        <x:v>—</x:v>
      </x:c>
      <x:c r="J406" s="81" t="str">
        <x:v>—</x:v>
      </x:c>
      <x:c r="K406" s="81" t="str">
        <x:v>습지1</x:v>
      </x:c>
      <x:c r="L406" s="81" t="str">
        <x:v>숲2</x:v>
      </x:c>
      <x:c r="M406" s="81" t="str">
        <x:v>—</x:v>
      </x:c>
      <x:c r="N406" s="81" t="str">
        <x:v>—</x:v>
      </x:c>
      <x:c r="O406" s="81" t="str">
        <x:v>—</x:v>
      </x:c>
      <x:c r="P406" s="81" t="str">
        <x:v>—</x:v>
      </x:c>
      <x:c r="Q406" s="81" t="str">
        <x:v>—</x:v>
      </x:c>
      <x:c r="R406" s="81" t="str">
        <x:v>—</x:v>
      </x:c>
      <x:c r="S406" s="81" t="str">
        <x:v>—</x:v>
      </x:c>
      <x:c r="T406" s="81" t="str">
        <x:v>—</x:v>
      </x:c>
      <x:c r="U406" s="81" t="str">
        <x:v>습지2</x:v>
      </x:c>
      <x:c r="V406" s="81" t="str">
        <x:v>숲3</x:v>
      </x:c>
    </x:row>
    <x:row r="407">
      <x:c r="A407" s="80" t="n">
        <x:v>403</x:v>
      </x:c>
      <x:c r="B407" s="80" t="str">
        <x:v>꼬링크</x:v>
      </x:c>
      <x:c r="C407" s="80" t="str">
        <x:v>shinx</x:v>
      </x:c>
      <x:c r="D407" s="80" t="str">
        <x:v>건조지</x:v>
      </x:c>
      <x:c r="E407" s="81" t="str">
        <x:v>—</x:v>
      </x:c>
      <x:c r="F407" s="81" t="str">
        <x:v>—</x:v>
      </x:c>
      <x:c r="G407" s="81" t="str">
        <x:v>—</x:v>
      </x:c>
      <x:c r="H407" s="81" t="str">
        <x:v>—</x:v>
      </x:c>
      <x:c r="I407" s="81" t="str">
        <x:v>—</x:v>
      </x:c>
      <x:c r="J407" s="81" t="str">
        <x:v>—</x:v>
      </x:c>
      <x:c r="K407" s="81" t="str">
        <x:v>건조지1</x:v>
      </x:c>
      <x:c r="L407" s="81" t="str">
        <x:v>화산1</x:v>
      </x:c>
      <x:c r="M407" s="81" t="str">
        <x:v>—</x:v>
      </x:c>
      <x:c r="N407" s="81" t="str">
        <x:v>—</x:v>
      </x:c>
      <x:c r="O407" s="81" t="str">
        <x:v>—</x:v>
      </x:c>
      <x:c r="P407" s="81" t="str">
        <x:v>—</x:v>
      </x:c>
      <x:c r="Q407" s="81" t="str">
        <x:v>—</x:v>
      </x:c>
      <x:c r="R407" s="81" t="str">
        <x:v>—</x:v>
      </x:c>
      <x:c r="S407" s="81" t="str">
        <x:v>건조지1</x:v>
      </x:c>
      <x:c r="T407" s="81" t="str">
        <x:v>화산1</x:v>
      </x:c>
      <x:c r="U407" s="81" t="str">
        <x:v>건조지2</x:v>
      </x:c>
      <x:c r="V407" s="81" t="str">
        <x:v>화산1</x:v>
      </x:c>
    </x:row>
    <x:row r="408">
      <x:c r="A408" s="80" t="n">
        <x:v>404</x:v>
      </x:c>
      <x:c r="B408" s="80" t="str">
        <x:v>럭시오</x:v>
      </x:c>
      <x:c r="C408" s="80" t="str">
        <x:v>luxio</x:v>
      </x:c>
      <x:c r="D408" s="80" t="str">
        <x:v>건조지</x:v>
      </x:c>
      <x:c r="E408" s="81" t="str">
        <x:v>—</x:v>
      </x:c>
      <x:c r="F408" s="81" t="str">
        <x:v>—</x:v>
      </x:c>
      <x:c r="G408" s="81" t="str">
        <x:v>—</x:v>
      </x:c>
      <x:c r="H408" s="81" t="str">
        <x:v>—</x:v>
      </x:c>
      <x:c r="I408" s="81" t="str">
        <x:v>—</x:v>
      </x:c>
      <x:c r="J408" s="81" t="str">
        <x:v>—</x:v>
      </x:c>
      <x:c r="K408" s="81" t="str">
        <x:v>건조지1</x:v>
      </x:c>
      <x:c r="L408" s="81" t="str">
        <x:v>화산1</x:v>
      </x:c>
      <x:c r="M408" s="81" t="str">
        <x:v>—</x:v>
      </x:c>
      <x:c r="N408" s="81" t="str">
        <x:v>—</x:v>
      </x:c>
      <x:c r="O408" s="81" t="str">
        <x:v>—</x:v>
      </x:c>
      <x:c r="P408" s="81" t="str">
        <x:v>—</x:v>
      </x:c>
      <x:c r="Q408" s="81" t="str">
        <x:v>—</x:v>
      </x:c>
      <x:c r="R408" s="81" t="str">
        <x:v>—</x:v>
      </x:c>
      <x:c r="S408" s="81" t="str">
        <x:v>건조지1</x:v>
      </x:c>
      <x:c r="T408" s="81" t="str">
        <x:v>화산1</x:v>
      </x:c>
      <x:c r="U408" s="81" t="str">
        <x:v>건조지2</x:v>
      </x:c>
      <x:c r="V408" s="81" t="str">
        <x:v>화산2</x:v>
      </x:c>
    </x:row>
    <x:row r="409">
      <x:c r="A409" s="80" t="n">
        <x:v>405</x:v>
      </x:c>
      <x:c r="B409" s="80" t="str">
        <x:v>렌트라</x:v>
      </x:c>
      <x:c r="C409" s="80" t="str">
        <x:v>luxray</x:v>
      </x:c>
      <x:c r="D409" s="80" t="str">
        <x:v>건조지</x:v>
      </x:c>
      <x:c r="E409" s="81" t="str">
        <x:v>—</x:v>
      </x:c>
      <x:c r="F409" s="81" t="str">
        <x:v>—</x:v>
      </x:c>
      <x:c r="G409" s="81" t="str">
        <x:v>—</x:v>
      </x:c>
      <x:c r="H409" s="81" t="str">
        <x:v>—</x:v>
      </x:c>
      <x:c r="I409" s="81" t="str">
        <x:v>—</x:v>
      </x:c>
      <x:c r="J409" s="81" t="str">
        <x:v>—</x:v>
      </x:c>
      <x:c r="K409" s="81" t="str">
        <x:v>건조지1</x:v>
      </x:c>
      <x:c r="L409" s="81" t="str">
        <x:v>화산1</x:v>
      </x:c>
      <x:c r="M409" s="81" t="str">
        <x:v>—</x:v>
      </x:c>
      <x:c r="N409" s="81" t="str">
        <x:v>—</x:v>
      </x:c>
      <x:c r="O409" s="81" t="str">
        <x:v>—</x:v>
      </x:c>
      <x:c r="P409" s="81" t="str">
        <x:v>—</x:v>
      </x:c>
      <x:c r="Q409" s="81" t="str">
        <x:v>—</x:v>
      </x:c>
      <x:c r="R409" s="81" t="str">
        <x:v>—</x:v>
      </x:c>
      <x:c r="S409" s="81" t="str">
        <x:v>건조지1</x:v>
      </x:c>
      <x:c r="T409" s="81" t="str">
        <x:v>화산1</x:v>
      </x:c>
      <x:c r="U409" s="81" t="str">
        <x:v>건조지2</x:v>
      </x:c>
      <x:c r="V409" s="81" t="str">
        <x:v>화산2</x:v>
      </x:c>
    </x:row>
    <x:row r="410">
      <x:c r="A410" s="80" t="n">
        <x:v>406</x:v>
      </x:c>
      <x:c r="B410" s="80" t="str">
        <x:v>꼬몽울</x:v>
      </x:c>
      <x:c r="C410" s="80" t="str">
        <x:v>budew</x:v>
      </x:c>
      <x:c r="D410" s="80" t="str">
        <x:v>평원</x:v>
      </x:c>
      <x:c r="E410" s="81" t="str">
        <x:v>—</x:v>
      </x:c>
      <x:c r="F410" s="81" t="str">
        <x:v>—</x:v>
      </x:c>
      <x:c r="G410" s="81" t="str">
        <x:v>—</x:v>
      </x:c>
      <x:c r="H410" s="81" t="str">
        <x:v>—</x:v>
      </x:c>
      <x:c r="I410" s="81" t="str">
        <x:v>—</x:v>
      </x:c>
      <x:c r="J410" s="81" t="str">
        <x:v>—</x:v>
      </x:c>
      <x:c r="K410" s="81" t="str">
        <x:v>평원2</x:v>
      </x:c>
      <x:c r="L410" s="81" t="str">
        <x:v>숲2</x:v>
      </x:c>
      <x:c r="M410" s="81" t="str">
        <x:v>평원2</x:v>
      </x:c>
      <x:c r="N410" s="81" t="str">
        <x:v>숲1</x:v>
      </x:c>
      <x:c r="O410" s="81" t="str">
        <x:v>평원4</x:v>
      </x:c>
      <x:c r="P410" s="81" t="str">
        <x:v>숲3</x:v>
      </x:c>
      <x:c r="Q410" s="81" t="str">
        <x:v>—</x:v>
      </x:c>
      <x:c r="R410" s="81" t="str">
        <x:v>—</x:v>
      </x:c>
      <x:c r="S410" s="81" t="str">
        <x:v>평원3</x:v>
      </x:c>
      <x:c r="T410" s="81" t="str">
        <x:v>숲3</x:v>
      </x:c>
      <x:c r="U410" s="81" t="str">
        <x:v>—</x:v>
      </x:c>
      <x:c r="V410" s="81" t="str">
        <x:v>—</x:v>
      </x:c>
    </x:row>
    <x:row r="411">
      <x:c r="A411" s="80" t="n">
        <x:v>407</x:v>
      </x:c>
      <x:c r="B411" s="80" t="str">
        <x:v>로즈레이드</x:v>
      </x:c>
      <x:c r="C411" s="80" t="str">
        <x:v>roserade</x:v>
      </x:c>
      <x:c r="D411" s="80" t="str">
        <x:v>평원</x:v>
      </x:c>
      <x:c r="E411" s="81" t="str">
        <x:v>—</x:v>
      </x:c>
      <x:c r="F411" s="81" t="str">
        <x:v>—</x:v>
      </x:c>
      <x:c r="G411" s="81" t="str">
        <x:v>—</x:v>
      </x:c>
      <x:c r="H411" s="81" t="str">
        <x:v>—</x:v>
      </x:c>
      <x:c r="I411" s="81" t="str">
        <x:v>—</x:v>
      </x:c>
      <x:c r="J411" s="81" t="str">
        <x:v>—</x:v>
      </x:c>
      <x:c r="K411" s="81" t="str">
        <x:v>평원2</x:v>
      </x:c>
      <x:c r="L411" s="81" t="str">
        <x:v>숲2</x:v>
      </x:c>
      <x:c r="M411" s="81" t="str">
        <x:v>평원2</x:v>
      </x:c>
      <x:c r="N411" s="81" t="str">
        <x:v>숲1</x:v>
      </x:c>
      <x:c r="O411" s="81" t="str">
        <x:v>평원4</x:v>
      </x:c>
      <x:c r="P411" s="81" t="str">
        <x:v>숲3</x:v>
      </x:c>
      <x:c r="Q411" s="81" t="str">
        <x:v>—</x:v>
      </x:c>
      <x:c r="R411" s="81" t="str">
        <x:v>—</x:v>
      </x:c>
      <x:c r="S411" s="81" t="str">
        <x:v>평원3</x:v>
      </x:c>
      <x:c r="T411" s="81" t="str">
        <x:v>숲3</x:v>
      </x:c>
      <x:c r="U411" s="81" t="str">
        <x:v>—</x:v>
      </x:c>
      <x:c r="V411" s="81" t="str">
        <x:v>—</x:v>
      </x:c>
    </x:row>
    <x:row r="412">
      <x:c r="A412" s="80" t="n">
        <x:v>408</x:v>
      </x:c>
      <x:c r="B412" s="80" t="str">
        <x:v>두개도스</x:v>
      </x:c>
      <x:c r="C412" s="80" t="str">
        <x:v>cranidos</x:v>
      </x:c>
      <x:c r="D412" s="80" t="str">
        <x:v>산악</x:v>
      </x:c>
      <x:c r="E412" s="81" t="str">
        <x:v>—</x:v>
      </x:c>
      <x:c r="F412" s="81" t="str">
        <x:v>—</x:v>
      </x:c>
      <x:c r="G412" s="81" t="str">
        <x:v>—</x:v>
      </x:c>
      <x:c r="H412" s="81" t="str">
        <x:v>—</x:v>
      </x:c>
      <x:c r="I412" s="81" t="str">
        <x:v>—</x:v>
      </x:c>
      <x:c r="J412" s="81" t="str">
        <x:v>—</x:v>
      </x:c>
      <x:c r="K412" s="81" t="str">
        <x:v>산악2</x:v>
      </x:c>
      <x:c r="L412" s="81" t="str">
        <x:v>평원2</x:v>
      </x:c>
      <x:c r="M412" s="81" t="str">
        <x:v>—</x:v>
      </x:c>
      <x:c r="N412" s="81" t="str">
        <x:v>—</x:v>
      </x:c>
      <x:c r="O412" s="81" t="str">
        <x:v>—</x:v>
      </x:c>
      <x:c r="P412" s="81" t="str">
        <x:v>—</x:v>
      </x:c>
      <x:c r="Q412" s="81" t="str">
        <x:v>산악2</x:v>
      </x:c>
      <x:c r="R412" s="81" t="str">
        <x:v>평원3</x:v>
      </x:c>
      <x:c r="S412" s="81" t="str">
        <x:v>—</x:v>
      </x:c>
      <x:c r="T412" s="81" t="str">
        <x:v>—</x:v>
      </x:c>
      <x:c r="U412" s="81" t="str">
        <x:v>산악2</x:v>
      </x:c>
      <x:c r="V412" s="81" t="str">
        <x:v>평원3</x:v>
      </x:c>
    </x:row>
    <x:row r="413">
      <x:c r="A413" s="80" t="n">
        <x:v>409</x:v>
      </x:c>
      <x:c r="B413" s="80" t="str">
        <x:v>램펄드</x:v>
      </x:c>
      <x:c r="C413" s="80" t="str">
        <x:v>rampardos</x:v>
      </x:c>
      <x:c r="D413" s="80" t="str">
        <x:v>산악</x:v>
      </x:c>
      <x:c r="E413" s="81" t="str">
        <x:v>—</x:v>
      </x:c>
      <x:c r="F413" s="81" t="str">
        <x:v>—</x:v>
      </x:c>
      <x:c r="G413" s="81" t="str">
        <x:v>—</x:v>
      </x:c>
      <x:c r="H413" s="81" t="str">
        <x:v>—</x:v>
      </x:c>
      <x:c r="I413" s="81" t="str">
        <x:v>—</x:v>
      </x:c>
      <x:c r="J413" s="81" t="str">
        <x:v>—</x:v>
      </x:c>
      <x:c r="K413" s="81" t="str">
        <x:v>산악2</x:v>
      </x:c>
      <x:c r="L413" s="81" t="str">
        <x:v>평원2</x:v>
      </x:c>
      <x:c r="M413" s="81" t="str">
        <x:v>—</x:v>
      </x:c>
      <x:c r="N413" s="81" t="str">
        <x:v>—</x:v>
      </x:c>
      <x:c r="O413" s="81" t="str">
        <x:v>—</x:v>
      </x:c>
      <x:c r="P413" s="81" t="str">
        <x:v>—</x:v>
      </x:c>
      <x:c r="Q413" s="81" t="str">
        <x:v>산악2</x:v>
      </x:c>
      <x:c r="R413" s="81" t="str">
        <x:v>평원3</x:v>
      </x:c>
      <x:c r="S413" s="81" t="str">
        <x:v>—</x:v>
      </x:c>
      <x:c r="T413" s="81" t="str">
        <x:v>—</x:v>
      </x:c>
      <x:c r="U413" s="81" t="str">
        <x:v>산악2</x:v>
      </x:c>
      <x:c r="V413" s="81" t="str">
        <x:v>평원4</x:v>
      </x:c>
    </x:row>
    <x:row r="414">
      <x:c r="A414" s="80" t="n">
        <x:v>410</x:v>
      </x:c>
      <x:c r="B414" s="80" t="str">
        <x:v>방패톱스</x:v>
      </x:c>
      <x:c r="C414" s="80" t="str">
        <x:v>shieldon</x:v>
      </x:c>
      <x:c r="D414" s="80" t="str">
        <x:v>산악</x:v>
      </x:c>
      <x:c r="E414" s="81" t="str">
        <x:v>—</x:v>
      </x:c>
      <x:c r="F414" s="81" t="str">
        <x:v>—</x:v>
      </x:c>
      <x:c r="G414" s="81" t="str">
        <x:v>—</x:v>
      </x:c>
      <x:c r="H414" s="81" t="str">
        <x:v>—</x:v>
      </x:c>
      <x:c r="I414" s="81" t="str">
        <x:v>—</x:v>
      </x:c>
      <x:c r="J414" s="81" t="str">
        <x:v>—</x:v>
      </x:c>
      <x:c r="K414" s="81" t="str">
        <x:v>산악2</x:v>
      </x:c>
      <x:c r="L414" s="81" t="str">
        <x:v>평원2</x:v>
      </x:c>
      <x:c r="M414" s="81" t="str">
        <x:v>—</x:v>
      </x:c>
      <x:c r="N414" s="81" t="str">
        <x:v>—</x:v>
      </x:c>
      <x:c r="O414" s="81" t="str">
        <x:v>—</x:v>
      </x:c>
      <x:c r="P414" s="81" t="str">
        <x:v>—</x:v>
      </x:c>
      <x:c r="Q414" s="81" t="str">
        <x:v>산악2</x:v>
      </x:c>
      <x:c r="R414" s="81" t="str">
        <x:v>평원3</x:v>
      </x:c>
      <x:c r="S414" s="81" t="str">
        <x:v>—</x:v>
      </x:c>
      <x:c r="T414" s="81" t="str">
        <x:v>—</x:v>
      </x:c>
      <x:c r="U414" s="81" t="str">
        <x:v>산악2</x:v>
      </x:c>
      <x:c r="V414" s="81" t="str">
        <x:v>평원4</x:v>
      </x:c>
    </x:row>
    <x:row r="415">
      <x:c r="A415" s="80" t="n">
        <x:v>411</x:v>
      </x:c>
      <x:c r="B415" s="80" t="str">
        <x:v>바리톱스</x:v>
      </x:c>
      <x:c r="C415" s="80" t="str">
        <x:v>bastiodon</x:v>
      </x:c>
      <x:c r="D415" s="80" t="str">
        <x:v>산악</x:v>
      </x:c>
      <x:c r="E415" s="81" t="str">
        <x:v>—</x:v>
      </x:c>
      <x:c r="F415" s="81" t="str">
        <x:v>—</x:v>
      </x:c>
      <x:c r="G415" s="81" t="str">
        <x:v>—</x:v>
      </x:c>
      <x:c r="H415" s="81" t="str">
        <x:v>—</x:v>
      </x:c>
      <x:c r="I415" s="81" t="str">
        <x:v>—</x:v>
      </x:c>
      <x:c r="J415" s="81" t="str">
        <x:v>—</x:v>
      </x:c>
      <x:c r="K415" s="81" t="str">
        <x:v>산악2</x:v>
      </x:c>
      <x:c r="L415" s="81" t="str">
        <x:v>평원2</x:v>
      </x:c>
      <x:c r="M415" s="81" t="str">
        <x:v>—</x:v>
      </x:c>
      <x:c r="N415" s="81" t="str">
        <x:v>—</x:v>
      </x:c>
      <x:c r="O415" s="81" t="str">
        <x:v>—</x:v>
      </x:c>
      <x:c r="P415" s="81" t="str">
        <x:v>—</x:v>
      </x:c>
      <x:c r="Q415" s="81" t="str">
        <x:v>산악2</x:v>
      </x:c>
      <x:c r="R415" s="81" t="str">
        <x:v>평원3</x:v>
      </x:c>
      <x:c r="S415" s="81" t="str">
        <x:v>—</x:v>
      </x:c>
      <x:c r="T415" s="81" t="str">
        <x:v>—</x:v>
      </x:c>
      <x:c r="U415" s="81" t="str">
        <x:v>산악2</x:v>
      </x:c>
      <x:c r="V415" s="81" t="str">
        <x:v>평원4</x:v>
      </x:c>
    </x:row>
    <x:row r="416">
      <x:c r="A416" s="80" t="n">
        <x:v>412</x:v>
      </x:c>
      <x:c r="B416" s="80" t="str">
        <x:v>도롱충이</x:v>
      </x:c>
      <x:c r="C416" s="80" t="str">
        <x:v>burmy</x:v>
      </x:c>
      <x:c r="D416" s="80" t="str">
        <x:v>건조지</x:v>
      </x:c>
      <x:c r="E416" s="81" t="str">
        <x:v>—</x:v>
      </x:c>
      <x:c r="F416" s="81" t="str">
        <x:v>—</x:v>
      </x:c>
      <x:c r="G416" s="81" t="str">
        <x:v>—</x:v>
      </x:c>
      <x:c r="H416" s="81" t="str">
        <x:v>—</x:v>
      </x:c>
      <x:c r="I416" s="81" t="str">
        <x:v>—</x:v>
      </x:c>
      <x:c r="J416" s="81" t="str">
        <x:v>—</x:v>
      </x:c>
      <x:c r="K416" s="81" t="str">
        <x:v>건조지1</x:v>
      </x:c>
      <x:c r="L416" s="81" t="str">
        <x:v>화산1</x:v>
      </x:c>
      <x:c r="M416" s="81" t="str">
        <x:v>—</x:v>
      </x:c>
      <x:c r="N416" s="81" t="str">
        <x:v>—</x:v>
      </x:c>
      <x:c r="O416" s="81" t="str">
        <x:v>건조지1</x:v>
      </x:c>
      <x:c r="P416" s="81" t="str">
        <x:v>화산1</x:v>
      </x:c>
      <x:c r="Q416" s="81" t="str">
        <x:v>—</x:v>
      </x:c>
      <x:c r="R416" s="81" t="str">
        <x:v>—</x:v>
      </x:c>
      <x:c r="S416" s="81" t="str">
        <x:v>—</x:v>
      </x:c>
      <x:c r="T416" s="81" t="str">
        <x:v>—</x:v>
      </x:c>
      <x:c r="U416" s="81" t="str">
        <x:v>—</x:v>
      </x:c>
      <x:c r="V416" s="81" t="str">
        <x:v>—</x:v>
      </x:c>
    </x:row>
    <x:row r="417">
      <x:c r="A417" s="80" t="n">
        <x:v>413</x:v>
      </x:c>
      <x:c r="B417" s="80" t="str">
        <x:v>도롱마담</x:v>
      </x:c>
      <x:c r="C417" s="80" t="str">
        <x:v>wormadam</x:v>
      </x:c>
      <x:c r="D417" s="80" t="str">
        <x:v>건조지</x:v>
      </x:c>
      <x:c r="E417" s="81" t="str">
        <x:v>—</x:v>
      </x:c>
      <x:c r="F417" s="81" t="str">
        <x:v>—</x:v>
      </x:c>
      <x:c r="G417" s="81" t="str">
        <x:v>—</x:v>
      </x:c>
      <x:c r="H417" s="81" t="str">
        <x:v>—</x:v>
      </x:c>
      <x:c r="I417" s="81" t="str">
        <x:v>—</x:v>
      </x:c>
      <x:c r="J417" s="81" t="str">
        <x:v>—</x:v>
      </x:c>
      <x:c r="K417" s="81" t="str">
        <x:v>건조지1</x:v>
      </x:c>
      <x:c r="L417" s="81" t="str">
        <x:v>숲2</x:v>
      </x:c>
      <x:c r="M417" s="81" t="str">
        <x:v>—</x:v>
      </x:c>
      <x:c r="N417" s="81" t="str">
        <x:v>—</x:v>
      </x:c>
      <x:c r="O417" s="81" t="str">
        <x:v>건조지2</x:v>
      </x:c>
      <x:c r="P417" s="81" t="str">
        <x:v>숲3</x:v>
      </x:c>
      <x:c r="Q417" s="81" t="str">
        <x:v>—</x:v>
      </x:c>
      <x:c r="R417" s="81" t="str">
        <x:v>—</x:v>
      </x:c>
      <x:c r="S417" s="81" t="str">
        <x:v>—</x:v>
      </x:c>
      <x:c r="T417" s="81" t="str">
        <x:v>—</x:v>
      </x:c>
      <x:c r="U417" s="81" t="str">
        <x:v>—</x:v>
      </x:c>
      <x:c r="V417" s="81" t="str">
        <x:v>—</x:v>
      </x:c>
    </x:row>
    <x:row r="418">
      <x:c r="A418" s="80" t="n">
        <x:v>414</x:v>
      </x:c>
      <x:c r="B418" s="80" t="str">
        <x:v>나메일</x:v>
      </x:c>
      <x:c r="C418" s="80" t="str">
        <x:v>mothim</x:v>
      </x:c>
      <x:c r="D418" s="80" t="str">
        <x:v>숲</x:v>
      </x:c>
      <x:c r="E418" s="81" t="str">
        <x:v>—</x:v>
      </x:c>
      <x:c r="F418" s="81" t="str">
        <x:v>—</x:v>
      </x:c>
      <x:c r="G418" s="81" t="str">
        <x:v>—</x:v>
      </x:c>
      <x:c r="H418" s="81" t="str">
        <x:v>—</x:v>
      </x:c>
      <x:c r="I418" s="81" t="str">
        <x:v>—</x:v>
      </x:c>
      <x:c r="J418" s="81" t="str">
        <x:v>—</x:v>
      </x:c>
      <x:c r="K418" s="81" t="str">
        <x:v>숲2</x:v>
      </x:c>
      <x:c r="L418" s="81" t="str">
        <x:v>평원2</x:v>
      </x:c>
      <x:c r="M418" s="81" t="str">
        <x:v>—</x:v>
      </x:c>
      <x:c r="N418" s="81" t="str">
        <x:v>—</x:v>
      </x:c>
      <x:c r="O418" s="81" t="str">
        <x:v>숲3</x:v>
      </x:c>
      <x:c r="P418" s="81" t="str">
        <x:v>평원4</x:v>
      </x:c>
      <x:c r="Q418" s="81" t="str">
        <x:v>—</x:v>
      </x:c>
      <x:c r="R418" s="81" t="str">
        <x:v>—</x:v>
      </x:c>
      <x:c r="S418" s="81" t="str">
        <x:v>—</x:v>
      </x:c>
      <x:c r="T418" s="81" t="str">
        <x:v>—</x:v>
      </x:c>
      <x:c r="U418" s="81" t="str">
        <x:v>—</x:v>
      </x:c>
      <x:c r="V418" s="81" t="str">
        <x:v>—</x:v>
      </x:c>
    </x:row>
    <x:row r="419">
      <x:c r="A419" s="80" t="n">
        <x:v>415</x:v>
      </x:c>
      <x:c r="B419" s="80" t="str">
        <x:v>세꿀버리</x:v>
      </x:c>
      <x:c r="C419" s="80" t="str">
        <x:v>combee</x:v>
      </x:c>
      <x:c r="D419" s="80" t="str">
        <x:v>숲</x:v>
      </x:c>
      <x:c r="E419" s="81" t="str">
        <x:v>—</x:v>
      </x:c>
      <x:c r="F419" s="81" t="str">
        <x:v>—</x:v>
      </x:c>
      <x:c r="G419" s="81" t="str">
        <x:v>—</x:v>
      </x:c>
      <x:c r="H419" s="81" t="str">
        <x:v>—</x:v>
      </x:c>
      <x:c r="I419" s="81" t="str">
        <x:v>—</x:v>
      </x:c>
      <x:c r="J419" s="81" t="str">
        <x:v>—</x:v>
      </x:c>
      <x:c r="K419" s="81" t="str">
        <x:v>숲3</x:v>
      </x:c>
      <x:c r="L419" s="81" t="str">
        <x:v>평원3</x:v>
      </x:c>
      <x:c r="M419" s="81" t="str">
        <x:v>숲1</x:v>
      </x:c>
      <x:c r="N419" s="81" t="str">
        <x:v>평원2</x:v>
      </x:c>
      <x:c r="O419" s="81" t="str">
        <x:v>숲3</x:v>
      </x:c>
      <x:c r="P419" s="81" t="str">
        <x:v>평원4</x:v>
      </x:c>
      <x:c r="Q419" s="81" t="str">
        <x:v>—</x:v>
      </x:c>
      <x:c r="R419" s="81" t="str">
        <x:v>—</x:v>
      </x:c>
      <x:c r="S419" s="81" t="str">
        <x:v>숲3</x:v>
      </x:c>
      <x:c r="T419" s="81" t="str">
        <x:v>평원3</x:v>
      </x:c>
      <x:c r="U419" s="81" t="str">
        <x:v>숲3</x:v>
      </x:c>
      <x:c r="V419" s="81" t="str">
        <x:v>평원4</x:v>
      </x:c>
    </x:row>
    <x:row r="420">
      <x:c r="A420" s="80" t="n">
        <x:v>416</x:v>
      </x:c>
      <x:c r="B420" s="80" t="str">
        <x:v>비퀸</x:v>
      </x:c>
      <x:c r="C420" s="80" t="str">
        <x:v>vespiquen</x:v>
      </x:c>
      <x:c r="D420" s="80" t="str">
        <x:v>숲</x:v>
      </x:c>
      <x:c r="E420" s="81" t="str">
        <x:v>—</x:v>
      </x:c>
      <x:c r="F420" s="81" t="str">
        <x:v>—</x:v>
      </x:c>
      <x:c r="G420" s="81" t="str">
        <x:v>—</x:v>
      </x:c>
      <x:c r="H420" s="81" t="str">
        <x:v>—</x:v>
      </x:c>
      <x:c r="I420" s="81" t="str">
        <x:v>—</x:v>
      </x:c>
      <x:c r="J420" s="81" t="str">
        <x:v>—</x:v>
      </x:c>
      <x:c r="K420" s="81" t="str">
        <x:v>숲3</x:v>
      </x:c>
      <x:c r="L420" s="81" t="str">
        <x:v>평원3</x:v>
      </x:c>
      <x:c r="M420" s="81" t="str">
        <x:v>숲1</x:v>
      </x:c>
      <x:c r="N420" s="81" t="str">
        <x:v>평원2</x:v>
      </x:c>
      <x:c r="O420" s="81" t="str">
        <x:v>숲3</x:v>
      </x:c>
      <x:c r="P420" s="81" t="str">
        <x:v>평원4</x:v>
      </x:c>
      <x:c r="Q420" s="81" t="str">
        <x:v>—</x:v>
      </x:c>
      <x:c r="R420" s="81" t="str">
        <x:v>—</x:v>
      </x:c>
      <x:c r="S420" s="81" t="str">
        <x:v>숲3</x:v>
      </x:c>
      <x:c r="T420" s="81" t="str">
        <x:v>평원3</x:v>
      </x:c>
      <x:c r="U420" s="81" t="str">
        <x:v>숲3</x:v>
      </x:c>
      <x:c r="V420" s="81" t="str">
        <x:v>평원4</x:v>
      </x:c>
    </x:row>
    <x:row r="421">
      <x:c r="A421" s="80" t="n">
        <x:v>417</x:v>
      </x:c>
      <x:c r="B421" s="80" t="str">
        <x:v>파치리스</x:v>
      </x:c>
      <x:c r="C421" s="80" t="str">
        <x:v>pachirisu</x:v>
      </x:c>
      <x:c r="D421" s="80" t="str">
        <x:v>숲</x:v>
      </x:c>
      <x:c r="E421" s="81" t="str">
        <x:v>—</x:v>
      </x:c>
      <x:c r="F421" s="81" t="str">
        <x:v>—</x:v>
      </x:c>
      <x:c r="G421" s="81" t="str">
        <x:v>—</x:v>
      </x:c>
      <x:c r="H421" s="81" t="str">
        <x:v>—</x:v>
      </x:c>
      <x:c r="I421" s="81" t="str">
        <x:v>—</x:v>
      </x:c>
      <x:c r="J421" s="81" t="str">
        <x:v>—</x:v>
      </x:c>
      <x:c r="K421" s="81" t="str">
        <x:v>숲3</x:v>
      </x:c>
      <x:c r="L421" s="81" t="str">
        <x:v>평원3</x:v>
      </x:c>
      <x:c r="M421" s="81" t="str">
        <x:v>—</x:v>
      </x:c>
      <x:c r="N421" s="81" t="str">
        <x:v>—</x:v>
      </x:c>
      <x:c r="O421" s="81" t="str">
        <x:v>숲3</x:v>
      </x:c>
      <x:c r="P421" s="81" t="str">
        <x:v>평원4</x:v>
      </x:c>
      <x:c r="Q421" s="81" t="str">
        <x:v>—</x:v>
      </x:c>
      <x:c r="R421" s="81" t="str">
        <x:v>—</x:v>
      </x:c>
      <x:c r="S421" s="81" t="str">
        <x:v>—</x:v>
      </x:c>
      <x:c r="T421" s="81" t="str">
        <x:v>—</x:v>
      </x:c>
      <x:c r="U421" s="81" t="str">
        <x:v>숲3</x:v>
      </x:c>
      <x:c r="V421" s="81" t="str">
        <x:v>평원4</x:v>
      </x:c>
    </x:row>
    <x:row r="422">
      <x:c r="A422" s="80" t="n">
        <x:v>418</x:v>
      </x:c>
      <x:c r="B422" s="80" t="str">
        <x:v>브이젤</x:v>
      </x:c>
      <x:c r="C422" s="80" t="str">
        <x:v>buizel</x:v>
      </x:c>
      <x:c r="D422" s="80" t="str">
        <x:v>담수</x:v>
      </x:c>
      <x:c r="E422" s="81" t="str">
        <x:v>—</x:v>
      </x:c>
      <x:c r="F422" s="81" t="str">
        <x:v>—</x:v>
      </x:c>
      <x:c r="G422" s="81" t="str">
        <x:v>—</x:v>
      </x:c>
      <x:c r="H422" s="81" t="str">
        <x:v>—</x:v>
      </x:c>
      <x:c r="I422" s="81" t="str">
        <x:v>—</x:v>
      </x:c>
      <x:c r="J422" s="81" t="str">
        <x:v>—</x:v>
      </x:c>
      <x:c r="K422" s="81" t="str">
        <x:v>담수1</x:v>
      </x:c>
      <x:c r="L422" s="81" t="str">
        <x:v>습지1</x:v>
      </x:c>
      <x:c r="M422" s="81" t="str">
        <x:v>담수2</x:v>
      </x:c>
      <x:c r="N422" s="81" t="str">
        <x:v>습지1</x:v>
      </x:c>
      <x:c r="O422" s="81" t="str">
        <x:v>담수3</x:v>
      </x:c>
      <x:c r="P422" s="81" t="str">
        <x:v>습지2</x:v>
      </x:c>
      <x:c r="Q422" s="81" t="str">
        <x:v>—</x:v>
      </x:c>
      <x:c r="R422" s="81" t="str">
        <x:v>—</x:v>
      </x:c>
      <x:c r="S422" s="81" t="str">
        <x:v>—</x:v>
      </x:c>
      <x:c r="T422" s="81" t="str">
        <x:v>—</x:v>
      </x:c>
      <x:c r="U422" s="81" t="str">
        <x:v>담수2</x:v>
      </x:c>
      <x:c r="V422" s="81" t="str">
        <x:v>습지2</x:v>
      </x:c>
    </x:row>
    <x:row r="423">
      <x:c r="A423" s="80" t="n">
        <x:v>419</x:v>
      </x:c>
      <x:c r="B423" s="80" t="str">
        <x:v>플로젤</x:v>
      </x:c>
      <x:c r="C423" s="80" t="str">
        <x:v>floatzel</x:v>
      </x:c>
      <x:c r="D423" s="80" t="str">
        <x:v>담수</x:v>
      </x:c>
      <x:c r="E423" s="81" t="str">
        <x:v>—</x:v>
      </x:c>
      <x:c r="F423" s="81" t="str">
        <x:v>—</x:v>
      </x:c>
      <x:c r="G423" s="81" t="str">
        <x:v>—</x:v>
      </x:c>
      <x:c r="H423" s="81" t="str">
        <x:v>—</x:v>
      </x:c>
      <x:c r="I423" s="81" t="str">
        <x:v>—</x:v>
      </x:c>
      <x:c r="J423" s="81" t="str">
        <x:v>—</x:v>
      </x:c>
      <x:c r="K423" s="81" t="str">
        <x:v>담수1</x:v>
      </x:c>
      <x:c r="L423" s="81" t="str">
        <x:v>습지1</x:v>
      </x:c>
      <x:c r="M423" s="81" t="str">
        <x:v>담수2</x:v>
      </x:c>
      <x:c r="N423" s="81" t="str">
        <x:v>습지1</x:v>
      </x:c>
      <x:c r="O423" s="81" t="str">
        <x:v>담수3</x:v>
      </x:c>
      <x:c r="P423" s="81" t="str">
        <x:v>습지2</x:v>
      </x:c>
      <x:c r="Q423" s="81" t="str">
        <x:v>—</x:v>
      </x:c>
      <x:c r="R423" s="81" t="str">
        <x:v>—</x:v>
      </x:c>
      <x:c r="S423" s="81" t="str">
        <x:v>—</x:v>
      </x:c>
      <x:c r="T423" s="81" t="str">
        <x:v>—</x:v>
      </x:c>
      <x:c r="U423" s="81" t="str">
        <x:v>담수2</x:v>
      </x:c>
      <x:c r="V423" s="81" t="str">
        <x:v>습지2</x:v>
      </x:c>
    </x:row>
    <x:row r="424">
      <x:c r="A424" s="80" t="n">
        <x:v>420</x:v>
      </x:c>
      <x:c r="B424" s="80" t="str">
        <x:v>체리버</x:v>
      </x:c>
      <x:c r="C424" s="80" t="str">
        <x:v>cherubi</x:v>
      </x:c>
      <x:c r="D424" s="80" t="str">
        <x:v>숲</x:v>
      </x:c>
      <x:c r="E424" s="81" t="str">
        <x:v>—</x:v>
      </x:c>
      <x:c r="F424" s="81" t="str">
        <x:v>—</x:v>
      </x:c>
      <x:c r="G424" s="81" t="str">
        <x:v>—</x:v>
      </x:c>
      <x:c r="H424" s="81" t="str">
        <x:v>—</x:v>
      </x:c>
      <x:c r="I424" s="81" t="str">
        <x:v>—</x:v>
      </x:c>
      <x:c r="J424" s="81" t="str">
        <x:v>—</x:v>
      </x:c>
      <x:c r="K424" s="81" t="str">
        <x:v>숲3</x:v>
      </x:c>
      <x:c r="L424" s="81" t="str">
        <x:v>평원3</x:v>
      </x:c>
      <x:c r="M424" s="81" t="str">
        <x:v>—</x:v>
      </x:c>
      <x:c r="N424" s="81" t="str">
        <x:v>—</x:v>
      </x:c>
      <x:c r="O424" s="81" t="str">
        <x:v>—</x:v>
      </x:c>
      <x:c r="P424" s="81" t="str">
        <x:v>—</x:v>
      </x:c>
      <x:c r="Q424" s="81" t="str">
        <x:v>—</x:v>
      </x:c>
      <x:c r="R424" s="81" t="str">
        <x:v>—</x:v>
      </x:c>
      <x:c r="S424" s="81" t="str">
        <x:v>숲3</x:v>
      </x:c>
      <x:c r="T424" s="81" t="str">
        <x:v>평원3</x:v>
      </x:c>
      <x:c r="U424" s="81" t="str">
        <x:v>—</x:v>
      </x:c>
      <x:c r="V424" s="81" t="str">
        <x:v>—</x:v>
      </x:c>
    </x:row>
    <x:row r="425">
      <x:c r="A425" s="80" t="n">
        <x:v>421</x:v>
      </x:c>
      <x:c r="B425" s="80" t="str">
        <x:v>체리꼬</x:v>
      </x:c>
      <x:c r="C425" s="80" t="str">
        <x:v>cherrim</x:v>
      </x:c>
      <x:c r="D425" s="80" t="str">
        <x:v>숲</x:v>
      </x:c>
      <x:c r="E425" s="81" t="str">
        <x:v>—</x:v>
      </x:c>
      <x:c r="F425" s="81" t="str">
        <x:v>—</x:v>
      </x:c>
      <x:c r="G425" s="81" t="str">
        <x:v>—</x:v>
      </x:c>
      <x:c r="H425" s="81" t="str">
        <x:v>—</x:v>
      </x:c>
      <x:c r="I425" s="81" t="str">
        <x:v>—</x:v>
      </x:c>
      <x:c r="J425" s="81" t="str">
        <x:v>—</x:v>
      </x:c>
      <x:c r="K425" s="81" t="str">
        <x:v>숲3</x:v>
      </x:c>
      <x:c r="L425" s="81" t="str">
        <x:v>평원3</x:v>
      </x:c>
      <x:c r="M425" s="81" t="str">
        <x:v>—</x:v>
      </x:c>
      <x:c r="N425" s="81" t="str">
        <x:v>—</x:v>
      </x:c>
      <x:c r="O425" s="81" t="str">
        <x:v>—</x:v>
      </x:c>
      <x:c r="P425" s="81" t="str">
        <x:v>—</x:v>
      </x:c>
      <x:c r="Q425" s="81" t="str">
        <x:v>—</x:v>
      </x:c>
      <x:c r="R425" s="81" t="str">
        <x:v>—</x:v>
      </x:c>
      <x:c r="S425" s="81" t="str">
        <x:v>숲3</x:v>
      </x:c>
      <x:c r="T425" s="81" t="str">
        <x:v>평원3</x:v>
      </x:c>
      <x:c r="U425" s="81" t="str">
        <x:v>—</x:v>
      </x:c>
      <x:c r="V425" s="81" t="str">
        <x:v>—</x:v>
      </x:c>
    </x:row>
    <x:row r="426">
      <x:c r="A426" s="80" t="n">
        <x:v>422</x:v>
      </x:c>
      <x:c r="B426" s="80" t="str">
        <x:v>깝질무</x:v>
      </x:c>
      <x:c r="C426" s="80" t="str">
        <x:v>shellos</x:v>
      </x:c>
      <x:c r="D426" s="80" t="str">
        <x:v>해양</x:v>
      </x:c>
      <x:c r="E426" s="81" t="str">
        <x:v>—</x:v>
      </x:c>
      <x:c r="F426" s="81" t="str">
        <x:v>—</x:v>
      </x:c>
      <x:c r="G426" s="81" t="str">
        <x:v>—</x:v>
      </x:c>
      <x:c r="H426" s="81" t="str">
        <x:v>—</x:v>
      </x:c>
      <x:c r="I426" s="81" t="str">
        <x:v>—</x:v>
      </x:c>
      <x:c r="J426" s="81" t="str">
        <x:v>—</x:v>
      </x:c>
      <x:c r="K426" s="81" t="str">
        <x:v>해양1</x:v>
      </x:c>
      <x:c r="L426" s="81" t="str">
        <x:v>담수1</x:v>
      </x:c>
      <x:c r="M426" s="81" t="str">
        <x:v>—</x:v>
      </x:c>
      <x:c r="N426" s="81" t="str">
        <x:v>—</x:v>
      </x:c>
      <x:c r="O426" s="81" t="str">
        <x:v>—</x:v>
      </x:c>
      <x:c r="P426" s="81" t="str">
        <x:v>—</x:v>
      </x:c>
      <x:c r="Q426" s="81" t="str">
        <x:v>해양2</x:v>
      </x:c>
      <x:c r="R426" s="81" t="str">
        <x:v>담수2</x:v>
      </x:c>
      <x:c r="S426" s="81" t="str">
        <x:v>해양2</x:v>
      </x:c>
      <x:c r="T426" s="81" t="str">
        <x:v>담수2</x:v>
      </x:c>
      <x:c r="U426" s="81" t="str">
        <x:v>해양1</x:v>
      </x:c>
      <x:c r="V426" s="81" t="str">
        <x:v>담수2</x:v>
      </x:c>
    </x:row>
    <x:row r="427">
      <x:c r="A427" s="80" t="n">
        <x:v>423</x:v>
      </x:c>
      <x:c r="B427" s="80" t="str">
        <x:v>트리토돈</x:v>
      </x:c>
      <x:c r="C427" s="80" t="str">
        <x:v>gastrodon</x:v>
      </x:c>
      <x:c r="D427" s="80" t="str">
        <x:v>해양</x:v>
      </x:c>
      <x:c r="E427" s="81" t="str">
        <x:v>—</x:v>
      </x:c>
      <x:c r="F427" s="81" t="str">
        <x:v>—</x:v>
      </x:c>
      <x:c r="G427" s="81" t="str">
        <x:v>—</x:v>
      </x:c>
      <x:c r="H427" s="81" t="str">
        <x:v>—</x:v>
      </x:c>
      <x:c r="I427" s="81" t="str">
        <x:v>—</x:v>
      </x:c>
      <x:c r="J427" s="81" t="str">
        <x:v>—</x:v>
      </x:c>
      <x:c r="K427" s="81" t="str">
        <x:v>해양1</x:v>
      </x:c>
      <x:c r="L427" s="81" t="str">
        <x:v>담수1</x:v>
      </x:c>
      <x:c r="M427" s="81" t="str">
        <x:v>—</x:v>
      </x:c>
      <x:c r="N427" s="81" t="str">
        <x:v>—</x:v>
      </x:c>
      <x:c r="O427" s="81" t="str">
        <x:v>—</x:v>
      </x:c>
      <x:c r="P427" s="81" t="str">
        <x:v>—</x:v>
      </x:c>
      <x:c r="Q427" s="81" t="str">
        <x:v>해양2</x:v>
      </x:c>
      <x:c r="R427" s="81" t="str">
        <x:v>담수2</x:v>
      </x:c>
      <x:c r="S427" s="81" t="str">
        <x:v>해양2</x:v>
      </x:c>
      <x:c r="T427" s="81" t="str">
        <x:v>담수2</x:v>
      </x:c>
      <x:c r="U427" s="81" t="str">
        <x:v>해양1</x:v>
      </x:c>
      <x:c r="V427" s="81" t="str">
        <x:v>담수2</x:v>
      </x:c>
    </x:row>
    <x:row r="428">
      <x:c r="A428" s="80" t="n">
        <x:v>424</x:v>
      </x:c>
      <x:c r="B428" s="80" t="str">
        <x:v>겟핸보숭</x:v>
      </x:c>
      <x:c r="C428" s="80" t="str">
        <x:v>ambipom</x:v>
      </x:c>
      <x:c r="D428" s="80" t="str">
        <x:v>숲</x:v>
      </x:c>
      <x:c r="E428" s="81" t="str">
        <x:v>—</x:v>
      </x:c>
      <x:c r="F428" s="81" t="str">
        <x:v>—</x:v>
      </x:c>
      <x:c r="G428" s="81" t="str">
        <x:v>—</x:v>
      </x:c>
      <x:c r="H428" s="81" t="str">
        <x:v>—</x:v>
      </x:c>
      <x:c r="I428" s="81" t="str">
        <x:v>—</x:v>
      </x:c>
      <x:c r="J428" s="81" t="str">
        <x:v>—</x:v>
      </x:c>
      <x:c r="K428" s="81" t="str">
        <x:v>숲3</x:v>
      </x:c>
      <x:c r="L428" s="81" t="str">
        <x:v>평원3</x:v>
      </x:c>
      <x:c r="M428" s="81" t="str">
        <x:v>—</x:v>
      </x:c>
      <x:c r="N428" s="81" t="str">
        <x:v>—</x:v>
      </x:c>
      <x:c r="O428" s="81" t="str">
        <x:v>—</x:v>
      </x:c>
      <x:c r="P428" s="81" t="str">
        <x:v>—</x:v>
      </x:c>
      <x:c r="Q428" s="81" t="str">
        <x:v>숲2</x:v>
      </x:c>
      <x:c r="R428" s="81" t="str">
        <x:v>평원3</x:v>
      </x:c>
      <x:c r="S428" s="81" t="str">
        <x:v>—</x:v>
      </x:c>
      <x:c r="T428" s="81" t="str">
        <x:v>—</x:v>
      </x:c>
      <x:c r="U428" s="81" t="str">
        <x:v>숲3</x:v>
      </x:c>
      <x:c r="V428" s="81" t="str">
        <x:v>평원4</x:v>
      </x:c>
    </x:row>
    <x:row r="429">
      <x:c r="A429" s="80" t="n">
        <x:v>425</x:v>
      </x:c>
      <x:c r="B429" s="80" t="str">
        <x:v>흔들풍손</x:v>
      </x:c>
      <x:c r="C429" s="80" t="str">
        <x:v>drifloon</x:v>
      </x:c>
      <x:c r="D429" s="80" t="str">
        <x:v>특수</x:v>
      </x:c>
      <x:c r="E429" s="81" t="str">
        <x:v>—</x:v>
      </x:c>
      <x:c r="F429" s="81" t="str">
        <x:v>—</x:v>
      </x:c>
      <x:c r="G429" s="81" t="str">
        <x:v>—</x:v>
      </x:c>
      <x:c r="H429" s="81" t="str">
        <x:v>—</x:v>
      </x:c>
      <x:c r="I429" s="81" t="str">
        <x:v>—</x:v>
      </x:c>
      <x:c r="J429" s="81" t="str">
        <x:v>—</x:v>
      </x:c>
      <x:c r="K429" s="81" t="str">
        <x:v>특수1</x:v>
      </x:c>
      <x:c r="L429" s="81" t="str">
        <x:v>산악2</x:v>
      </x:c>
      <x:c r="M429" s="81" t="str">
        <x:v>특수1</x:v>
      </x:c>
      <x:c r="N429" s="81" t="str">
        <x:v>산악1</x:v>
      </x:c>
      <x:c r="O429" s="81" t="str">
        <x:v>특수1</x:v>
      </x:c>
      <x:c r="P429" s="81" t="str">
        <x:v>산악2</x:v>
      </x:c>
      <x:c r="Q429" s="81" t="str">
        <x:v>특수1</x:v>
      </x:c>
      <x:c r="R429" s="81" t="str">
        <x:v>산악2</x:v>
      </x:c>
      <x:c r="S429" s="81" t="str">
        <x:v>특수1</x:v>
      </x:c>
      <x:c r="T429" s="81" t="str">
        <x:v>산악2</x:v>
      </x:c>
      <x:c r="U429" s="81" t="str">
        <x:v>특수1</x:v>
      </x:c>
      <x:c r="V429" s="81" t="str">
        <x:v>산악2</x:v>
      </x:c>
    </x:row>
    <x:row r="430">
      <x:c r="A430" s="80" t="n">
        <x:v>426</x:v>
      </x:c>
      <x:c r="B430" s="80" t="str">
        <x:v>둥실라이드</x:v>
      </x:c>
      <x:c r="C430" s="80" t="str">
        <x:v>drifblim</x:v>
      </x:c>
      <x:c r="D430" s="80" t="str">
        <x:v>특수</x:v>
      </x:c>
      <x:c r="E430" s="81" t="str">
        <x:v>—</x:v>
      </x:c>
      <x:c r="F430" s="81" t="str">
        <x:v>—</x:v>
      </x:c>
      <x:c r="G430" s="81" t="str">
        <x:v>—</x:v>
      </x:c>
      <x:c r="H430" s="81" t="str">
        <x:v>—</x:v>
      </x:c>
      <x:c r="I430" s="81" t="str">
        <x:v>—</x:v>
      </x:c>
      <x:c r="J430" s="81" t="str">
        <x:v>—</x:v>
      </x:c>
      <x:c r="K430" s="81" t="str">
        <x:v>특수1</x:v>
      </x:c>
      <x:c r="L430" s="81" t="str">
        <x:v>산악2</x:v>
      </x:c>
      <x:c r="M430" s="81" t="str">
        <x:v>특수1</x:v>
      </x:c>
      <x:c r="N430" s="81" t="str">
        <x:v>산악1</x:v>
      </x:c>
      <x:c r="O430" s="81" t="str">
        <x:v>특수1</x:v>
      </x:c>
      <x:c r="P430" s="81" t="str">
        <x:v>산악2</x:v>
      </x:c>
      <x:c r="Q430" s="81" t="str">
        <x:v>특수1</x:v>
      </x:c>
      <x:c r="R430" s="81" t="str">
        <x:v>산악2</x:v>
      </x:c>
      <x:c r="S430" s="81" t="str">
        <x:v>특수1</x:v>
      </x:c>
      <x:c r="T430" s="81" t="str">
        <x:v>산악2</x:v>
      </x:c>
      <x:c r="U430" s="81" t="str">
        <x:v>특수1</x:v>
      </x:c>
      <x:c r="V430" s="81" t="str">
        <x:v>산악2</x:v>
      </x:c>
    </x:row>
    <x:row r="431">
      <x:c r="A431" s="80" t="n">
        <x:v>427</x:v>
      </x:c>
      <x:c r="B431" s="80" t="str">
        <x:v>이어롤</x:v>
      </x:c>
      <x:c r="C431" s="80" t="str">
        <x:v>buneary</x:v>
      </x:c>
      <x:c r="D431" s="80" t="str">
        <x:v>숲</x:v>
      </x:c>
      <x:c r="E431" s="81" t="str">
        <x:v>—</x:v>
      </x:c>
      <x:c r="F431" s="81" t="str">
        <x:v>—</x:v>
      </x:c>
      <x:c r="G431" s="81" t="str">
        <x:v>—</x:v>
      </x:c>
      <x:c r="H431" s="81" t="str">
        <x:v>—</x:v>
      </x:c>
      <x:c r="I431" s="81" t="str">
        <x:v>—</x:v>
      </x:c>
      <x:c r="J431" s="81" t="str">
        <x:v>—</x:v>
      </x:c>
      <x:c r="K431" s="81" t="str">
        <x:v>숲3</x:v>
      </x:c>
      <x:c r="L431" s="81" t="str">
        <x:v>평원3</x:v>
      </x:c>
      <x:c r="M431" s="81" t="str">
        <x:v>숲1</x:v>
      </x:c>
      <x:c r="N431" s="81" t="str">
        <x:v>평원2</x:v>
      </x:c>
      <x:c r="O431" s="81" t="str">
        <x:v>—</x:v>
      </x:c>
      <x:c r="P431" s="81" t="str">
        <x:v>—</x:v>
      </x:c>
      <x:c r="Q431" s="81" t="str">
        <x:v>숲2</x:v>
      </x:c>
      <x:c r="R431" s="81" t="str">
        <x:v>평원3</x:v>
      </x:c>
      <x:c r="S431" s="81" t="str">
        <x:v>숲3</x:v>
      </x:c>
      <x:c r="T431" s="81" t="str">
        <x:v>평원3</x:v>
      </x:c>
      <x:c r="U431" s="81" t="str">
        <x:v>—</x:v>
      </x:c>
      <x:c r="V431" s="81" t="str">
        <x:v>—</x:v>
      </x:c>
    </x:row>
    <x:row r="432">
      <x:c r="A432" s="80" t="n">
        <x:v>428</x:v>
      </x:c>
      <x:c r="B432" s="80" t="str">
        <x:v>이어롭</x:v>
      </x:c>
      <x:c r="C432" s="80" t="str">
        <x:v>lopunny</x:v>
      </x:c>
      <x:c r="D432" s="80" t="str">
        <x:v>숲</x:v>
      </x:c>
      <x:c r="E432" s="81" t="str">
        <x:v>—</x:v>
      </x:c>
      <x:c r="F432" s="81" t="str">
        <x:v>—</x:v>
      </x:c>
      <x:c r="G432" s="81" t="str">
        <x:v>—</x:v>
      </x:c>
      <x:c r="H432" s="81" t="str">
        <x:v>—</x:v>
      </x:c>
      <x:c r="I432" s="81" t="str">
        <x:v>—</x:v>
      </x:c>
      <x:c r="J432" s="81" t="str">
        <x:v>—</x:v>
      </x:c>
      <x:c r="K432" s="81" t="str">
        <x:v>숲3</x:v>
      </x:c>
      <x:c r="L432" s="81" t="str">
        <x:v>평원3</x:v>
      </x:c>
      <x:c r="M432" s="81" t="str">
        <x:v>숲2</x:v>
      </x:c>
      <x:c r="N432" s="81" t="str">
        <x:v>평원2</x:v>
      </x:c>
      <x:c r="O432" s="81" t="str">
        <x:v>—</x:v>
      </x:c>
      <x:c r="P432" s="81" t="str">
        <x:v>—</x:v>
      </x:c>
      <x:c r="Q432" s="81" t="str">
        <x:v>숲2</x:v>
      </x:c>
      <x:c r="R432" s="81" t="str">
        <x:v>평원3</x:v>
      </x:c>
      <x:c r="S432" s="81" t="str">
        <x:v>숲3</x:v>
      </x:c>
      <x:c r="T432" s="81" t="str">
        <x:v>평원3</x:v>
      </x:c>
      <x:c r="U432" s="81" t="str">
        <x:v>—</x:v>
      </x:c>
      <x:c r="V432" s="81" t="str">
        <x:v>—</x:v>
      </x:c>
    </x:row>
    <x:row r="433">
      <x:c r="A433" s="80" t="n">
        <x:v>429</x:v>
      </x:c>
      <x:c r="B433" s="80" t="str">
        <x:v>무우마직</x:v>
      </x:c>
      <x:c r="C433" s="80" t="str">
        <x:v>mismagius</x:v>
      </x:c>
      <x:c r="D433" s="80" t="str">
        <x:v>특수</x:v>
      </x:c>
      <x:c r="E433" s="81" t="str">
        <x:v>—</x:v>
      </x:c>
      <x:c r="F433" s="81" t="str">
        <x:v>—</x:v>
      </x:c>
      <x:c r="G433" s="81" t="str">
        <x:v>—</x:v>
      </x:c>
      <x:c r="H433" s="81" t="str">
        <x:v>—</x:v>
      </x:c>
      <x:c r="I433" s="81" t="str">
        <x:v>—</x:v>
      </x:c>
      <x:c r="J433" s="81" t="str">
        <x:v>—</x:v>
      </x:c>
      <x:c r="K433" s="81" t="str">
        <x:v>특수1</x:v>
      </x:c>
      <x:c r="L433" s="81" t="str">
        <x:v>평원3</x:v>
      </x:c>
      <x:c r="M433" s="81" t="str">
        <x:v>—</x:v>
      </x:c>
      <x:c r="N433" s="81" t="str">
        <x:v>—</x:v>
      </x:c>
      <x:c r="O433" s="81" t="str">
        <x:v>—</x:v>
      </x:c>
      <x:c r="P433" s="81" t="str">
        <x:v>—</x:v>
      </x:c>
      <x:c r="Q433" s="81" t="str">
        <x:v>특수1</x:v>
      </x:c>
      <x:c r="R433" s="81" t="str">
        <x:v>평원3</x:v>
      </x:c>
      <x:c r="S433" s="81" t="str">
        <x:v>—</x:v>
      </x:c>
      <x:c r="T433" s="81" t="str">
        <x:v>—</x:v>
      </x:c>
      <x:c r="U433" s="81" t="str">
        <x:v>특수1</x:v>
      </x:c>
      <x:c r="V433" s="81" t="str">
        <x:v>평원4</x:v>
      </x:c>
    </x:row>
    <x:row r="434">
      <x:c r="A434" s="80" t="n">
        <x:v>430</x:v>
      </x:c>
      <x:c r="B434" s="80" t="str">
        <x:v>돈크로우</x:v>
      </x:c>
      <x:c r="C434" s="80" t="str">
        <x:v>honchkrow</x:v>
      </x:c>
      <x:c r="D434" s="80" t="str">
        <x:v>특수</x:v>
      </x:c>
      <x:c r="E434" s="81" t="str">
        <x:v>—</x:v>
      </x:c>
      <x:c r="F434" s="81" t="str">
        <x:v>—</x:v>
      </x:c>
      <x:c r="G434" s="81" t="str">
        <x:v>—</x:v>
      </x:c>
      <x:c r="H434" s="81" t="str">
        <x:v>—</x:v>
      </x:c>
      <x:c r="I434" s="81" t="str">
        <x:v>—</x:v>
      </x:c>
      <x:c r="J434" s="81" t="str">
        <x:v>—</x:v>
      </x:c>
      <x:c r="K434" s="81" t="str">
        <x:v>특수1</x:v>
      </x:c>
      <x:c r="L434" s="81" t="str">
        <x:v>산악2</x:v>
      </x:c>
      <x:c r="M434" s="81" t="str">
        <x:v>—</x:v>
      </x:c>
      <x:c r="N434" s="81" t="str">
        <x:v>—</x:v>
      </x:c>
      <x:c r="O434" s="81" t="str">
        <x:v>특수1</x:v>
      </x:c>
      <x:c r="P434" s="81" t="str">
        <x:v>산악2</x:v>
      </x:c>
      <x:c r="Q434" s="81" t="str">
        <x:v>특수1</x:v>
      </x:c>
      <x:c r="R434" s="81" t="str">
        <x:v>산악2</x:v>
      </x:c>
      <x:c r="S434" s="81" t="str">
        <x:v>—</x:v>
      </x:c>
      <x:c r="T434" s="81" t="str">
        <x:v>—</x:v>
      </x:c>
      <x:c r="U434" s="81" t="str">
        <x:v>특수1</x:v>
      </x:c>
      <x:c r="V434" s="81" t="str">
        <x:v>산악2</x:v>
      </x:c>
    </x:row>
    <x:row r="435">
      <x:c r="A435" s="80" t="n">
        <x:v>431</x:v>
      </x:c>
      <x:c r="B435" s="80" t="str">
        <x:v>나옹마</x:v>
      </x:c>
      <x:c r="C435" s="80" t="str">
        <x:v>glameow</x:v>
      </x:c>
      <x:c r="D435" s="80" t="str">
        <x:v>건조지</x:v>
      </x:c>
      <x:c r="E435" s="81" t="str">
        <x:v>—</x:v>
      </x:c>
      <x:c r="F435" s="81" t="str">
        <x:v>—</x:v>
      </x:c>
      <x:c r="G435" s="81" t="str">
        <x:v>—</x:v>
      </x:c>
      <x:c r="H435" s="81" t="str">
        <x:v>—</x:v>
      </x:c>
      <x:c r="I435" s="81" t="str">
        <x:v>—</x:v>
      </x:c>
      <x:c r="J435" s="81" t="str">
        <x:v>—</x:v>
      </x:c>
      <x:c r="K435" s="81" t="str">
        <x:v>건조지1</x:v>
      </x:c>
      <x:c r="L435" s="81" t="str">
        <x:v>평원3</x:v>
      </x:c>
      <x:c r="M435" s="81" t="str">
        <x:v>—</x:v>
      </x:c>
      <x:c r="N435" s="81" t="str">
        <x:v>—</x:v>
      </x:c>
      <x:c r="O435" s="81" t="str">
        <x:v>—</x:v>
      </x:c>
      <x:c r="P435" s="81" t="str">
        <x:v>—</x:v>
      </x:c>
      <x:c r="Q435" s="81" t="str">
        <x:v>—</x:v>
      </x:c>
      <x:c r="R435" s="81" t="str">
        <x:v>—</x:v>
      </x:c>
      <x:c r="S435" s="81" t="str">
        <x:v>—</x:v>
      </x:c>
      <x:c r="T435" s="81" t="str">
        <x:v>—</x:v>
      </x:c>
      <x:c r="U435" s="81" t="str">
        <x:v>—</x:v>
      </x:c>
      <x:c r="V435" s="81" t="str">
        <x:v>—</x:v>
      </x:c>
    </x:row>
    <x:row r="436">
      <x:c r="A436" s="80" t="n">
        <x:v>432</x:v>
      </x:c>
      <x:c r="B436" s="80" t="str">
        <x:v>몬냥이</x:v>
      </x:c>
      <x:c r="C436" s="80" t="str">
        <x:v>purugly</x:v>
      </x:c>
      <x:c r="D436" s="80" t="str">
        <x:v>건조지</x:v>
      </x:c>
      <x:c r="E436" s="81" t="str">
        <x:v>—</x:v>
      </x:c>
      <x:c r="F436" s="81" t="str">
        <x:v>—</x:v>
      </x:c>
      <x:c r="G436" s="81" t="str">
        <x:v>—</x:v>
      </x:c>
      <x:c r="H436" s="81" t="str">
        <x:v>—</x:v>
      </x:c>
      <x:c r="I436" s="81" t="str">
        <x:v>—</x:v>
      </x:c>
      <x:c r="J436" s="81" t="str">
        <x:v>—</x:v>
      </x:c>
      <x:c r="K436" s="81" t="str">
        <x:v>건조지1</x:v>
      </x:c>
      <x:c r="L436" s="81" t="str">
        <x:v>평원3</x:v>
      </x:c>
      <x:c r="M436" s="81" t="str">
        <x:v>—</x:v>
      </x:c>
      <x:c r="N436" s="81" t="str">
        <x:v>—</x:v>
      </x:c>
      <x:c r="O436" s="81" t="str">
        <x:v>—</x:v>
      </x:c>
      <x:c r="P436" s="81" t="str">
        <x:v>—</x:v>
      </x:c>
      <x:c r="Q436" s="81" t="str">
        <x:v>—</x:v>
      </x:c>
      <x:c r="R436" s="81" t="str">
        <x:v>—</x:v>
      </x:c>
      <x:c r="S436" s="81" t="str">
        <x:v>—</x:v>
      </x:c>
      <x:c r="T436" s="81" t="str">
        <x:v>—</x:v>
      </x:c>
      <x:c r="U436" s="81" t="str">
        <x:v>—</x:v>
      </x:c>
      <x:c r="V436" s="81" t="str">
        <x:v>—</x:v>
      </x:c>
    </x:row>
    <x:row r="437">
      <x:c r="A437" s="80" t="n">
        <x:v>433</x:v>
      </x:c>
      <x:c r="B437" s="80" t="str">
        <x:v>랑딸랑</x:v>
      </x:c>
      <x:c r="C437" s="80" t="str">
        <x:v>chingling</x:v>
      </x:c>
      <x:c r="D437" s="80" t="str">
        <x:v>숲</x:v>
      </x:c>
      <x:c r="E437" s="81" t="str">
        <x:v>—</x:v>
      </x:c>
      <x:c r="F437" s="81" t="str">
        <x:v>—</x:v>
      </x:c>
      <x:c r="G437" s="81" t="str">
        <x:v>—</x:v>
      </x:c>
      <x:c r="H437" s="81" t="str">
        <x:v>—</x:v>
      </x:c>
      <x:c r="I437" s="81" t="str">
        <x:v>—</x:v>
      </x:c>
      <x:c r="J437" s="81" t="str">
        <x:v>—</x:v>
      </x:c>
      <x:c r="K437" s="81" t="str">
        <x:v>숲3</x:v>
      </x:c>
      <x:c r="L437" s="81" t="str">
        <x:v>특수1</x:v>
      </x:c>
      <x:c r="M437" s="81" t="str">
        <x:v>—</x:v>
      </x:c>
      <x:c r="N437" s="81" t="str">
        <x:v>—</x:v>
      </x:c>
      <x:c r="O437" s="81" t="str">
        <x:v>숲3</x:v>
      </x:c>
      <x:c r="P437" s="81" t="str">
        <x:v>특수1</x:v>
      </x:c>
      <x:c r="Q437" s="81" t="str">
        <x:v>—</x:v>
      </x:c>
      <x:c r="R437" s="81" t="str">
        <x:v>—</x:v>
      </x:c>
      <x:c r="S437" s="81" t="str">
        <x:v>—</x:v>
      </x:c>
      <x:c r="T437" s="81" t="str">
        <x:v>—</x:v>
      </x:c>
      <x:c r="U437" s="81" t="str">
        <x:v>숲3</x:v>
      </x:c>
      <x:c r="V437" s="81" t="str">
        <x:v>특수1</x:v>
      </x:c>
    </x:row>
    <x:row r="438">
      <x:c r="A438" s="80" t="n">
        <x:v>434</x:v>
      </x:c>
      <x:c r="B438" s="80" t="str">
        <x:v>스컹뿡</x:v>
      </x:c>
      <x:c r="C438" s="80" t="str">
        <x:v>stunky</x:v>
      </x:c>
      <x:c r="D438" s="80" t="str">
        <x:v>습지</x:v>
      </x:c>
      <x:c r="E438" s="81" t="str">
        <x:v>—</x:v>
      </x:c>
      <x:c r="F438" s="81" t="str">
        <x:v>—</x:v>
      </x:c>
      <x:c r="G438" s="81" t="str">
        <x:v>—</x:v>
      </x:c>
      <x:c r="H438" s="81" t="str">
        <x:v>—</x:v>
      </x:c>
      <x:c r="I438" s="81" t="str">
        <x:v>—</x:v>
      </x:c>
      <x:c r="J438" s="81" t="str">
        <x:v>—</x:v>
      </x:c>
      <x:c r="K438" s="81" t="str">
        <x:v>습지1</x:v>
      </x:c>
      <x:c r="L438" s="81" t="str">
        <x:v>숲3</x:v>
      </x:c>
      <x:c r="M438" s="81" t="str">
        <x:v>—</x:v>
      </x:c>
      <x:c r="N438" s="81" t="str">
        <x:v>—</x:v>
      </x:c>
      <x:c r="O438" s="81" t="str">
        <x:v>습지2</x:v>
      </x:c>
      <x:c r="P438" s="81" t="str">
        <x:v>숲3</x:v>
      </x:c>
      <x:c r="Q438" s="81" t="str">
        <x:v>—</x:v>
      </x:c>
      <x:c r="R438" s="81" t="str">
        <x:v>—</x:v>
      </x:c>
      <x:c r="S438" s="81" t="str">
        <x:v>습지2</x:v>
      </x:c>
      <x:c r="T438" s="81" t="str">
        <x:v>숲3</x:v>
      </x:c>
      <x:c r="U438" s="81" t="str">
        <x:v>습지2</x:v>
      </x:c>
      <x:c r="V438" s="81" t="str">
        <x:v>숲3</x:v>
      </x:c>
    </x:row>
    <x:row r="439">
      <x:c r="A439" s="80" t="n">
        <x:v>435</x:v>
      </x:c>
      <x:c r="B439" s="80" t="str">
        <x:v>스컹탱크</x:v>
      </x:c>
      <x:c r="C439" s="80" t="str">
        <x:v>skuntank</x:v>
      </x:c>
      <x:c r="D439" s="80" t="str">
        <x:v>습지</x:v>
      </x:c>
      <x:c r="E439" s="81" t="str">
        <x:v>—</x:v>
      </x:c>
      <x:c r="F439" s="81" t="str">
        <x:v>—</x:v>
      </x:c>
      <x:c r="G439" s="81" t="str">
        <x:v>—</x:v>
      </x:c>
      <x:c r="H439" s="81" t="str">
        <x:v>—</x:v>
      </x:c>
      <x:c r="I439" s="81" t="str">
        <x:v>—</x:v>
      </x:c>
      <x:c r="J439" s="81" t="str">
        <x:v>—</x:v>
      </x:c>
      <x:c r="K439" s="81" t="str">
        <x:v>습지1</x:v>
      </x:c>
      <x:c r="L439" s="81" t="str">
        <x:v>숲3</x:v>
      </x:c>
      <x:c r="M439" s="81" t="str">
        <x:v>—</x:v>
      </x:c>
      <x:c r="N439" s="81" t="str">
        <x:v>—</x:v>
      </x:c>
      <x:c r="O439" s="81" t="str">
        <x:v>습지2</x:v>
      </x:c>
      <x:c r="P439" s="81" t="str">
        <x:v>숲3</x:v>
      </x:c>
      <x:c r="Q439" s="81" t="str">
        <x:v>—</x:v>
      </x:c>
      <x:c r="R439" s="81" t="str">
        <x:v>—</x:v>
      </x:c>
      <x:c r="S439" s="81" t="str">
        <x:v>습지2</x:v>
      </x:c>
      <x:c r="T439" s="81" t="str">
        <x:v>숲3</x:v>
      </x:c>
      <x:c r="U439" s="81" t="str">
        <x:v>습지2</x:v>
      </x:c>
      <x:c r="V439" s="81" t="str">
        <x:v>숲3</x:v>
      </x:c>
    </x:row>
    <x:row r="440">
      <x:c r="A440" s="80" t="n">
        <x:v>436</x:v>
      </x:c>
      <x:c r="B440" s="80" t="str">
        <x:v>동미러</x:v>
      </x:c>
      <x:c r="C440" s="80" t="str">
        <x:v>bronzor</x:v>
      </x:c>
      <x:c r="D440" s="80" t="str">
        <x:v>도시</x:v>
      </x:c>
      <x:c r="E440" s="81" t="str">
        <x:v>—</x:v>
      </x:c>
      <x:c r="F440" s="81" t="str">
        <x:v>—</x:v>
      </x:c>
      <x:c r="G440" s="81" t="str">
        <x:v>—</x:v>
      </x:c>
      <x:c r="H440" s="81" t="str">
        <x:v>—</x:v>
      </x:c>
      <x:c r="I440" s="81" t="str">
        <x:v>—</x:v>
      </x:c>
      <x:c r="J440" s="81" t="str">
        <x:v>—</x:v>
      </x:c>
      <x:c r="K440" s="81" t="str">
        <x:v>도시1</x:v>
      </x:c>
      <x:c r="L440" s="81" t="str">
        <x:v>산악2</x:v>
      </x:c>
      <x:c r="M440" s="81" t="str">
        <x:v>도시1</x:v>
      </x:c>
      <x:c r="N440" s="81" t="str">
        <x:v>산악1</x:v>
      </x:c>
      <x:c r="O440" s="81" t="str">
        <x:v>—</x:v>
      </x:c>
      <x:c r="P440" s="81" t="str">
        <x:v>—</x:v>
      </x:c>
      <x:c r="Q440" s="81" t="str">
        <x:v>—</x:v>
      </x:c>
      <x:c r="R440" s="81" t="str">
        <x:v>—</x:v>
      </x:c>
      <x:c r="S440" s="81" t="str">
        <x:v>도시1</x:v>
      </x:c>
      <x:c r="T440" s="81" t="str">
        <x:v>산악2</x:v>
      </x:c>
      <x:c r="U440" s="81" t="str">
        <x:v>도시1</x:v>
      </x:c>
      <x:c r="V440" s="81" t="str">
        <x:v>산악2</x:v>
      </x:c>
    </x:row>
    <x:row r="441">
      <x:c r="A441" s="80" t="n">
        <x:v>437</x:v>
      </x:c>
      <x:c r="B441" s="80" t="str">
        <x:v>동탁군</x:v>
      </x:c>
      <x:c r="C441" s="80" t="str">
        <x:v>bronzong</x:v>
      </x:c>
      <x:c r="D441" s="80" t="str">
        <x:v>도시</x:v>
      </x:c>
      <x:c r="E441" s="81" t="str">
        <x:v>—</x:v>
      </x:c>
      <x:c r="F441" s="81" t="str">
        <x:v>—</x:v>
      </x:c>
      <x:c r="G441" s="81" t="str">
        <x:v>—</x:v>
      </x:c>
      <x:c r="H441" s="81" t="str">
        <x:v>—</x:v>
      </x:c>
      <x:c r="I441" s="81" t="str">
        <x:v>—</x:v>
      </x:c>
      <x:c r="J441" s="81" t="str">
        <x:v>—</x:v>
      </x:c>
      <x:c r="K441" s="81" t="str">
        <x:v>도시1</x:v>
      </x:c>
      <x:c r="L441" s="81" t="str">
        <x:v>산악2</x:v>
      </x:c>
      <x:c r="M441" s="81" t="str">
        <x:v>도시1</x:v>
      </x:c>
      <x:c r="N441" s="81" t="str">
        <x:v>산악1</x:v>
      </x:c>
      <x:c r="O441" s="81" t="str">
        <x:v>—</x:v>
      </x:c>
      <x:c r="P441" s="81" t="str">
        <x:v>—</x:v>
      </x:c>
      <x:c r="Q441" s="81" t="str">
        <x:v>—</x:v>
      </x:c>
      <x:c r="R441" s="81" t="str">
        <x:v>—</x:v>
      </x:c>
      <x:c r="S441" s="81" t="str">
        <x:v>도시1</x:v>
      </x:c>
      <x:c r="T441" s="81" t="str">
        <x:v>산악2</x:v>
      </x:c>
      <x:c r="U441" s="81" t="str">
        <x:v>도시1</x:v>
      </x:c>
      <x:c r="V441" s="81" t="str">
        <x:v>산악2</x:v>
      </x:c>
    </x:row>
    <x:row r="442">
      <x:c r="A442" s="80" t="n">
        <x:v>438</x:v>
      </x:c>
      <x:c r="B442" s="80" t="str">
        <x:v>꼬지지</x:v>
      </x:c>
      <x:c r="C442" s="80" t="str">
        <x:v>bonsly</x:v>
      </x:c>
      <x:c r="D442" s="80" t="str">
        <x:v>숲</x:v>
      </x:c>
      <x:c r="E442" s="81" t="str">
        <x:v>—</x:v>
      </x:c>
      <x:c r="F442" s="81" t="str">
        <x:v>—</x:v>
      </x:c>
      <x:c r="G442" s="81" t="str">
        <x:v>—</x:v>
      </x:c>
      <x:c r="H442" s="81" t="str">
        <x:v>—</x:v>
      </x:c>
      <x:c r="I442" s="81" t="str">
        <x:v>—</x:v>
      </x:c>
      <x:c r="J442" s="81" t="str">
        <x:v>—</x:v>
      </x:c>
      <x:c r="K442" s="81" t="str">
        <x:v>숲3</x:v>
      </x:c>
      <x:c r="L442" s="81" t="str">
        <x:v>평원3</x:v>
      </x:c>
      <x:c r="M442" s="81" t="str">
        <x:v>—</x:v>
      </x:c>
      <x:c r="N442" s="81" t="str">
        <x:v>—</x:v>
      </x:c>
      <x:c r="O442" s="81" t="str">
        <x:v>숲3</x:v>
      </x:c>
      <x:c r="P442" s="81" t="str">
        <x:v>평원4</x:v>
      </x:c>
      <x:c r="Q442" s="81" t="str">
        <x:v>숲2</x:v>
      </x:c>
      <x:c r="R442" s="81" t="str">
        <x:v>평원3</x:v>
      </x:c>
      <x:c r="S442" s="81" t="str">
        <x:v>숲3</x:v>
      </x:c>
      <x:c r="T442" s="81" t="str">
        <x:v>평원3</x:v>
      </x:c>
      <x:c r="U442" s="81" t="str">
        <x:v>숲3</x:v>
      </x:c>
      <x:c r="V442" s="81" t="str">
        <x:v>평원4</x:v>
      </x:c>
    </x:row>
    <x:row r="443">
      <x:c r="A443" s="80" t="n">
        <x:v>439</x:v>
      </x:c>
      <x:c r="B443" s="80" t="str">
        <x:v>흉내내</x:v>
      </x:c>
      <x:c r="C443" s="80" t="str">
        <x:v>mimejr</x:v>
      </x:c>
      <x:c r="D443" s="80" t="str">
        <x:v>평원</x:v>
      </x:c>
      <x:c r="E443" s="81" t="str">
        <x:v>—</x:v>
      </x:c>
      <x:c r="F443" s="81" t="str">
        <x:v>—</x:v>
      </x:c>
      <x:c r="G443" s="81" t="str">
        <x:v>—</x:v>
      </x:c>
      <x:c r="H443" s="81" t="str">
        <x:v>—</x:v>
      </x:c>
      <x:c r="I443" s="81" t="str">
        <x:v>—</x:v>
      </x:c>
      <x:c r="J443" s="81" t="str">
        <x:v>—</x:v>
      </x:c>
      <x:c r="K443" s="81" t="str">
        <x:v>평원3</x:v>
      </x:c>
      <x:c r="L443" s="81" t="str">
        <x:v>숲3</x:v>
      </x:c>
      <x:c r="M443" s="81" t="str">
        <x:v>—</x:v>
      </x:c>
      <x:c r="N443" s="81" t="str">
        <x:v>—</x:v>
      </x:c>
      <x:c r="O443" s="81" t="str">
        <x:v>평원4</x:v>
      </x:c>
      <x:c r="P443" s="81" t="str">
        <x:v>숲3</x:v>
      </x:c>
      <x:c r="Q443" s="81" t="str">
        <x:v>평원3</x:v>
      </x:c>
      <x:c r="R443" s="81" t="str">
        <x:v>숲2</x:v>
      </x:c>
      <x:c r="S443" s="81" t="str">
        <x:v>평원3</x:v>
      </x:c>
      <x:c r="T443" s="81" t="str">
        <x:v>숲3</x:v>
      </x:c>
      <x:c r="U443" s="81" t="str">
        <x:v>—</x:v>
      </x:c>
      <x:c r="V443" s="81" t="str">
        <x:v>—</x:v>
      </x:c>
    </x:row>
    <x:row r="444">
      <x:c r="A444" s="80" t="n">
        <x:v>440</x:v>
      </x:c>
      <x:c r="B444" s="80" t="str">
        <x:v>핑복</x:v>
      </x:c>
      <x:c r="C444" s="80" t="str">
        <x:v>happiny</x:v>
      </x:c>
      <x:c r="D444" s="80" t="str">
        <x:v>평원</x:v>
      </x:c>
      <x:c r="E444" s="81" t="str">
        <x:v>—</x:v>
      </x:c>
      <x:c r="F444" s="81" t="str">
        <x:v>—</x:v>
      </x:c>
      <x:c r="G444" s="81" t="str">
        <x:v>—</x:v>
      </x:c>
      <x:c r="H444" s="81" t="str">
        <x:v>—</x:v>
      </x:c>
      <x:c r="I444" s="81" t="str">
        <x:v>—</x:v>
      </x:c>
      <x:c r="J444" s="81" t="str">
        <x:v>—</x:v>
      </x:c>
      <x:c r="K444" s="81" t="str">
        <x:v>평원3</x:v>
      </x:c>
      <x:c r="L444" s="81" t="str">
        <x:v>숲3</x:v>
      </x:c>
      <x:c r="M444" s="81" t="str">
        <x:v>—</x:v>
      </x:c>
      <x:c r="N444" s="81" t="str">
        <x:v>—</x:v>
      </x:c>
      <x:c r="O444" s="81" t="str">
        <x:v>—</x:v>
      </x:c>
      <x:c r="P444" s="81" t="str">
        <x:v>—</x:v>
      </x:c>
      <x:c r="Q444" s="81" t="str">
        <x:v>평원4</x:v>
      </x:c>
      <x:c r="R444" s="81" t="str">
        <x:v>숲2</x:v>
      </x:c>
      <x:c r="S444" s="81" t="str">
        <x:v>평원3</x:v>
      </x:c>
      <x:c r="T444" s="81" t="str">
        <x:v>숲3</x:v>
      </x:c>
      <x:c r="U444" s="81" t="str">
        <x:v>평원4</x:v>
      </x:c>
      <x:c r="V444" s="81" t="str">
        <x:v>숲3</x:v>
      </x:c>
    </x:row>
    <x:row r="445">
      <x:c r="A445" s="80" t="n">
        <x:v>441</x:v>
      </x:c>
      <x:c r="B445" s="80" t="str">
        <x:v>페라페</x:v>
      </x:c>
      <x:c r="C445" s="80" t="str">
        <x:v>chatot</x:v>
      </x:c>
      <x:c r="D445" s="80" t="str">
        <x:v>숲</x:v>
      </x:c>
      <x:c r="E445" s="81" t="str">
        <x:v>—</x:v>
      </x:c>
      <x:c r="F445" s="81" t="str">
        <x:v>—</x:v>
      </x:c>
      <x:c r="G445" s="81" t="str">
        <x:v>—</x:v>
      </x:c>
      <x:c r="H445" s="81" t="str">
        <x:v>—</x:v>
      </x:c>
      <x:c r="I445" s="81" t="str">
        <x:v>—</x:v>
      </x:c>
      <x:c r="J445" s="81" t="str">
        <x:v>—</x:v>
      </x:c>
      <x:c r="K445" s="81" t="str">
        <x:v>숲3</x:v>
      </x:c>
      <x:c r="L445" s="81" t="str">
        <x:v>평원3</x:v>
      </x:c>
      <x:c r="M445" s="81" t="str">
        <x:v>—</x:v>
      </x:c>
      <x:c r="N445" s="81" t="str">
        <x:v>—</x:v>
      </x:c>
      <x:c r="O445" s="81" t="str">
        <x:v>숲3</x:v>
      </x:c>
      <x:c r="P445" s="81" t="str">
        <x:v>평원4</x:v>
      </x:c>
      <x:c r="Q445" s="81" t="str">
        <x:v>—</x:v>
      </x:c>
      <x:c r="R445" s="81" t="str">
        <x:v>—</x:v>
      </x:c>
      <x:c r="S445" s="81" t="str">
        <x:v>—</x:v>
      </x:c>
      <x:c r="T445" s="81" t="str">
        <x:v>—</x:v>
      </x:c>
      <x:c r="U445" s="81" t="str">
        <x:v>—</x:v>
      </x:c>
      <x:c r="V445" s="81" t="str">
        <x:v>—</x:v>
      </x:c>
    </x:row>
    <x:row r="446">
      <x:c r="A446" s="80" t="n">
        <x:v>442</x:v>
      </x:c>
      <x:c r="B446" s="80" t="str">
        <x:v>화강돌</x:v>
      </x:c>
      <x:c r="C446" s="80" t="str">
        <x:v>spiritomb</x:v>
      </x:c>
      <x:c r="D446" s="80" t="str">
        <x:v>동굴</x:v>
      </x:c>
      <x:c r="E446" s="81" t="str">
        <x:v>—</x:v>
      </x:c>
      <x:c r="F446" s="81" t="str">
        <x:v>—</x:v>
      </x:c>
      <x:c r="G446" s="81" t="str">
        <x:v>—</x:v>
      </x:c>
      <x:c r="H446" s="81" t="str">
        <x:v>—</x:v>
      </x:c>
      <x:c r="I446" s="81" t="str">
        <x:v>—</x:v>
      </x:c>
      <x:c r="J446" s="81" t="str">
        <x:v>—</x:v>
      </x:c>
      <x:c r="K446" s="81" t="str">
        <x:v>동굴1</x:v>
      </x:c>
      <x:c r="L446" s="81" t="str">
        <x:v>특수1</x:v>
      </x:c>
      <x:c r="M446" s="81" t="str">
        <x:v>—</x:v>
      </x:c>
      <x:c r="N446" s="81" t="str">
        <x:v>—</x:v>
      </x:c>
      <x:c r="O446" s="81" t="str">
        <x:v>—</x:v>
      </x:c>
      <x:c r="P446" s="81" t="str">
        <x:v>—</x:v>
      </x:c>
      <x:c r="Q446" s="81" t="str">
        <x:v>—</x:v>
      </x:c>
      <x:c r="R446" s="81" t="str">
        <x:v>—</x:v>
      </x:c>
      <x:c r="S446" s="81" t="str">
        <x:v>동굴1</x:v>
      </x:c>
      <x:c r="T446" s="81" t="str">
        <x:v>특수1</x:v>
      </x:c>
      <x:c r="U446" s="81" t="str">
        <x:v>동굴1</x:v>
      </x:c>
      <x:c r="V446" s="81" t="str">
        <x:v>특수1</x:v>
      </x:c>
    </x:row>
    <x:row r="447">
      <x:c r="A447" s="80" t="n">
        <x:v>443</x:v>
      </x:c>
      <x:c r="B447" s="80" t="str">
        <x:v>딥상어동</x:v>
      </x:c>
      <x:c r="C447" s="80" t="str">
        <x:v>gible</x:v>
      </x:c>
      <x:c r="D447" s="80" t="str">
        <x:v>산악</x:v>
      </x:c>
      <x:c r="E447" s="81" t="str">
        <x:v>—</x:v>
      </x:c>
      <x:c r="F447" s="81" t="str">
        <x:v>—</x:v>
      </x:c>
      <x:c r="G447" s="81" t="str">
        <x:v>—</x:v>
      </x:c>
      <x:c r="H447" s="81" t="str">
        <x:v>—</x:v>
      </x:c>
      <x:c r="I447" s="81" t="str">
        <x:v>—</x:v>
      </x:c>
      <x:c r="J447" s="81" t="str">
        <x:v>—</x:v>
      </x:c>
      <x:c r="K447" s="81" t="str">
        <x:v>산악2</x:v>
      </x:c>
      <x:c r="L447" s="81" t="str">
        <x:v>평원3</x:v>
      </x:c>
      <x:c r="M447" s="81" t="str">
        <x:v>—</x:v>
      </x:c>
      <x:c r="N447" s="81" t="str">
        <x:v>—</x:v>
      </x:c>
      <x:c r="O447" s="81" t="str">
        <x:v>산악2</x:v>
      </x:c>
      <x:c r="P447" s="81" t="str">
        <x:v>평원4</x:v>
      </x:c>
      <x:c r="Q447" s="81" t="str">
        <x:v>산악2</x:v>
      </x:c>
      <x:c r="R447" s="81" t="str">
        <x:v>평원4</x:v>
      </x:c>
      <x:c r="S447" s="81" t="str">
        <x:v>산악2</x:v>
      </x:c>
      <x:c r="T447" s="81" t="str">
        <x:v>평원3</x:v>
      </x:c>
      <x:c r="U447" s="81" t="str">
        <x:v>산악2</x:v>
      </x:c>
      <x:c r="V447" s="81" t="str">
        <x:v>평원4</x:v>
      </x:c>
    </x:row>
    <x:row r="448">
      <x:c r="A448" s="80" t="n">
        <x:v>444</x:v>
      </x:c>
      <x:c r="B448" s="80" t="str">
        <x:v>한바이트</x:v>
      </x:c>
      <x:c r="C448" s="80" t="str">
        <x:v>gabite</x:v>
      </x:c>
      <x:c r="D448" s="80" t="str">
        <x:v>산악</x:v>
      </x:c>
      <x:c r="E448" s="81" t="str">
        <x:v>—</x:v>
      </x:c>
      <x:c r="F448" s="81" t="str">
        <x:v>—</x:v>
      </x:c>
      <x:c r="G448" s="81" t="str">
        <x:v>—</x:v>
      </x:c>
      <x:c r="H448" s="81" t="str">
        <x:v>—</x:v>
      </x:c>
      <x:c r="I448" s="81" t="str">
        <x:v>—</x:v>
      </x:c>
      <x:c r="J448" s="81" t="str">
        <x:v>—</x:v>
      </x:c>
      <x:c r="K448" s="81" t="str">
        <x:v>산악2</x:v>
      </x:c>
      <x:c r="L448" s="81" t="str">
        <x:v>평원3</x:v>
      </x:c>
      <x:c r="M448" s="81" t="str">
        <x:v>—</x:v>
      </x:c>
      <x:c r="N448" s="81" t="str">
        <x:v>—</x:v>
      </x:c>
      <x:c r="O448" s="81" t="str">
        <x:v>산악2</x:v>
      </x:c>
      <x:c r="P448" s="81" t="str">
        <x:v>평원4</x:v>
      </x:c>
      <x:c r="Q448" s="81" t="str">
        <x:v>산악2</x:v>
      </x:c>
      <x:c r="R448" s="81" t="str">
        <x:v>평원4</x:v>
      </x:c>
      <x:c r="S448" s="81" t="str">
        <x:v>산악2</x:v>
      </x:c>
      <x:c r="T448" s="81" t="str">
        <x:v>평원3</x:v>
      </x:c>
      <x:c r="U448" s="81" t="str">
        <x:v>산악2</x:v>
      </x:c>
      <x:c r="V448" s="81" t="str">
        <x:v>평원4</x:v>
      </x:c>
    </x:row>
    <x:row r="449">
      <x:c r="A449" s="80" t="n">
        <x:v>445</x:v>
      </x:c>
      <x:c r="B449" s="80" t="str">
        <x:v>한카리아스</x:v>
      </x:c>
      <x:c r="C449" s="80" t="str">
        <x:v>garchomp</x:v>
      </x:c>
      <x:c r="D449" s="80" t="str">
        <x:v>산악</x:v>
      </x:c>
      <x:c r="E449" s="81" t="str">
        <x:v>—</x:v>
      </x:c>
      <x:c r="F449" s="81" t="str">
        <x:v>—</x:v>
      </x:c>
      <x:c r="G449" s="81" t="str">
        <x:v>—</x:v>
      </x:c>
      <x:c r="H449" s="81" t="str">
        <x:v>—</x:v>
      </x:c>
      <x:c r="I449" s="81" t="str">
        <x:v>—</x:v>
      </x:c>
      <x:c r="J449" s="81" t="str">
        <x:v>—</x:v>
      </x:c>
      <x:c r="K449" s="81" t="str">
        <x:v>산악2</x:v>
      </x:c>
      <x:c r="L449" s="81" t="str">
        <x:v>평원3</x:v>
      </x:c>
      <x:c r="M449" s="81" t="str">
        <x:v>—</x:v>
      </x:c>
      <x:c r="N449" s="81" t="str">
        <x:v>—</x:v>
      </x:c>
      <x:c r="O449" s="81" t="str">
        <x:v>산악2</x:v>
      </x:c>
      <x:c r="P449" s="81" t="str">
        <x:v>평원4</x:v>
      </x:c>
      <x:c r="Q449" s="81" t="str">
        <x:v>산악2</x:v>
      </x:c>
      <x:c r="R449" s="81" t="str">
        <x:v>평원4</x:v>
      </x:c>
      <x:c r="S449" s="81" t="str">
        <x:v>산악2</x:v>
      </x:c>
      <x:c r="T449" s="81" t="str">
        <x:v>평원3</x:v>
      </x:c>
      <x:c r="U449" s="81" t="str">
        <x:v>산악2</x:v>
      </x:c>
      <x:c r="V449" s="81" t="str">
        <x:v>평원4</x:v>
      </x:c>
    </x:row>
    <x:row r="450">
      <x:c r="A450" s="80" t="n">
        <x:v>446</x:v>
      </x:c>
      <x:c r="B450" s="80" t="str">
        <x:v>먹고자</x:v>
      </x:c>
      <x:c r="C450" s="80" t="str">
        <x:v>munchlax</x:v>
      </x:c>
      <x:c r="D450" s="80" t="str">
        <x:v>숲</x:v>
      </x:c>
      <x:c r="E450" s="81" t="str">
        <x:v>—</x:v>
      </x:c>
      <x:c r="F450" s="81" t="str">
        <x:v>—</x:v>
      </x:c>
      <x:c r="G450" s="81" t="str">
        <x:v>—</x:v>
      </x:c>
      <x:c r="H450" s="81" t="str">
        <x:v>—</x:v>
      </x:c>
      <x:c r="I450" s="81" t="str">
        <x:v>—</x:v>
      </x:c>
      <x:c r="J450" s="81" t="str">
        <x:v>—</x:v>
      </x:c>
      <x:c r="K450" s="81" t="str">
        <x:v>숲3</x:v>
      </x:c>
      <x:c r="L450" s="81" t="str">
        <x:v>평원3</x:v>
      </x:c>
      <x:c r="M450" s="81" t="str">
        <x:v>—</x:v>
      </x:c>
      <x:c r="N450" s="81" t="str">
        <x:v>—</x:v>
      </x:c>
      <x:c r="O450" s="81" t="str">
        <x:v>숲3</x:v>
      </x:c>
      <x:c r="P450" s="81" t="str">
        <x:v>평원4</x:v>
      </x:c>
      <x:c r="Q450" s="81" t="str">
        <x:v>숲2</x:v>
      </x:c>
      <x:c r="R450" s="81" t="str">
        <x:v>평원4</x:v>
      </x:c>
      <x:c r="S450" s="81" t="str">
        <x:v>숲3</x:v>
      </x:c>
      <x:c r="T450" s="81" t="str">
        <x:v>평원3</x:v>
      </x:c>
      <x:c r="U450" s="81" t="str">
        <x:v>숲3</x:v>
      </x:c>
      <x:c r="V450" s="81" t="str">
        <x:v>평원4</x:v>
      </x:c>
    </x:row>
    <x:row r="451">
      <x:c r="A451" s="80" t="n">
        <x:v>447</x:v>
      </x:c>
      <x:c r="B451" s="80" t="str">
        <x:v>리오르</x:v>
      </x:c>
      <x:c r="C451" s="80" t="str">
        <x:v>riolu</x:v>
      </x:c>
      <x:c r="D451" s="80" t="str">
        <x:v>산악</x:v>
      </x:c>
      <x:c r="E451" s="81" t="str">
        <x:v>—</x:v>
      </x:c>
      <x:c r="F451" s="81" t="str">
        <x:v>—</x:v>
      </x:c>
      <x:c r="G451" s="81" t="str">
        <x:v>—</x:v>
      </x:c>
      <x:c r="H451" s="81" t="str">
        <x:v>—</x:v>
      </x:c>
      <x:c r="I451" s="81" t="str">
        <x:v>—</x:v>
      </x:c>
      <x:c r="J451" s="81" t="str">
        <x:v>—</x:v>
      </x:c>
      <x:c r="K451" s="81" t="str">
        <x:v>산악2</x:v>
      </x:c>
      <x:c r="L451" s="81" t="str">
        <x:v>평원3</x:v>
      </x:c>
      <x:c r="M451" s="81" t="str">
        <x:v>산악1</x:v>
      </x:c>
      <x:c r="N451" s="81" t="str">
        <x:v>평원2</x:v>
      </x:c>
      <x:c r="O451" s="81" t="str">
        <x:v>산악2</x:v>
      </x:c>
      <x:c r="P451" s="81" t="str">
        <x:v>평원4</x:v>
      </x:c>
      <x:c r="Q451" s="81" t="str">
        <x:v>산악2</x:v>
      </x:c>
      <x:c r="R451" s="81" t="str">
        <x:v>평원4</x:v>
      </x:c>
      <x:c r="S451" s="81" t="str">
        <x:v>산악2</x:v>
      </x:c>
      <x:c r="T451" s="81" t="str">
        <x:v>평원3</x:v>
      </x:c>
      <x:c r="U451" s="81" t="str">
        <x:v>산악2</x:v>
      </x:c>
      <x:c r="V451" s="81" t="str">
        <x:v>평원4</x:v>
      </x:c>
    </x:row>
    <x:row r="452">
      <x:c r="A452" s="80" t="n">
        <x:v>448</x:v>
      </x:c>
      <x:c r="B452" s="80" t="str">
        <x:v>루카리오</x:v>
      </x:c>
      <x:c r="C452" s="80" t="str">
        <x:v>lucario</x:v>
      </x:c>
      <x:c r="D452" s="80" t="str">
        <x:v>산악</x:v>
      </x:c>
      <x:c r="E452" s="81" t="str">
        <x:v>—</x:v>
      </x:c>
      <x:c r="F452" s="81" t="str">
        <x:v>—</x:v>
      </x:c>
      <x:c r="G452" s="81" t="str">
        <x:v>—</x:v>
      </x:c>
      <x:c r="H452" s="81" t="str">
        <x:v>—</x:v>
      </x:c>
      <x:c r="I452" s="81" t="str">
        <x:v>—</x:v>
      </x:c>
      <x:c r="J452" s="81" t="str">
        <x:v>—</x:v>
      </x:c>
      <x:c r="K452" s="81" t="str">
        <x:v>산악2</x:v>
      </x:c>
      <x:c r="L452" s="81" t="str">
        <x:v>평원3</x:v>
      </x:c>
      <x:c r="M452" s="81" t="str">
        <x:v>산악1</x:v>
      </x:c>
      <x:c r="N452" s="81" t="str">
        <x:v>평원2</x:v>
      </x:c>
      <x:c r="O452" s="81" t="str">
        <x:v>산악2</x:v>
      </x:c>
      <x:c r="P452" s="81" t="str">
        <x:v>평원4</x:v>
      </x:c>
      <x:c r="Q452" s="81" t="str">
        <x:v>산악2</x:v>
      </x:c>
      <x:c r="R452" s="81" t="str">
        <x:v>평원4</x:v>
      </x:c>
      <x:c r="S452" s="81" t="str">
        <x:v>산악2</x:v>
      </x:c>
      <x:c r="T452" s="81" t="str">
        <x:v>평원3</x:v>
      </x:c>
      <x:c r="U452" s="81" t="str">
        <x:v>산악2</x:v>
      </x:c>
      <x:c r="V452" s="81" t="str">
        <x:v>평원4</x:v>
      </x:c>
    </x:row>
    <x:row r="453">
      <x:c r="A453" s="80" t="n">
        <x:v>449</x:v>
      </x:c>
      <x:c r="B453" s="80" t="str">
        <x:v>히포포타스</x:v>
      </x:c>
      <x:c r="C453" s="80" t="str">
        <x:v>hippopotas</x:v>
      </x:c>
      <x:c r="D453" s="80" t="str">
        <x:v>건조지</x:v>
      </x:c>
      <x:c r="E453" s="81" t="str">
        <x:v>—</x:v>
      </x:c>
      <x:c r="F453" s="81" t="str">
        <x:v>—</x:v>
      </x:c>
      <x:c r="G453" s="81" t="str">
        <x:v>—</x:v>
      </x:c>
      <x:c r="H453" s="81" t="str">
        <x:v>—</x:v>
      </x:c>
      <x:c r="I453" s="81" t="str">
        <x:v>—</x:v>
      </x:c>
      <x:c r="J453" s="81" t="str">
        <x:v>—</x:v>
      </x:c>
      <x:c r="K453" s="81" t="str">
        <x:v>건조지1</x:v>
      </x:c>
      <x:c r="L453" s="81" t="str">
        <x:v>화산1</x:v>
      </x:c>
      <x:c r="M453" s="81" t="str">
        <x:v>—</x:v>
      </x:c>
      <x:c r="N453" s="81" t="str">
        <x:v>—</x:v>
      </x:c>
      <x:c r="O453" s="81" t="str">
        <x:v>건조지2</x:v>
      </x:c>
      <x:c r="P453" s="81" t="str">
        <x:v>화산1</x:v>
      </x:c>
      <x:c r="Q453" s="81" t="str">
        <x:v>—</x:v>
      </x:c>
      <x:c r="R453" s="81" t="str">
        <x:v>—</x:v>
      </x:c>
      <x:c r="S453" s="81" t="str">
        <x:v>건조지1</x:v>
      </x:c>
      <x:c r="T453" s="81" t="str">
        <x:v>화산1</x:v>
      </x:c>
      <x:c r="U453" s="81" t="str">
        <x:v>건조지2</x:v>
      </x:c>
      <x:c r="V453" s="81" t="str">
        <x:v>화산2</x:v>
      </x:c>
    </x:row>
    <x:row r="454">
      <x:c r="A454" s="80" t="n">
        <x:v>450</x:v>
      </x:c>
      <x:c r="B454" s="80" t="str">
        <x:v>하마돈</x:v>
      </x:c>
      <x:c r="C454" s="80" t="str">
        <x:v>hippowdon</x:v>
      </x:c>
      <x:c r="D454" s="80" t="str">
        <x:v>건조지</x:v>
      </x:c>
      <x:c r="E454" s="81" t="str">
        <x:v>—</x:v>
      </x:c>
      <x:c r="F454" s="81" t="str">
        <x:v>—</x:v>
      </x:c>
      <x:c r="G454" s="81" t="str">
        <x:v>—</x:v>
      </x:c>
      <x:c r="H454" s="81" t="str">
        <x:v>—</x:v>
      </x:c>
      <x:c r="I454" s="81" t="str">
        <x:v>—</x:v>
      </x:c>
      <x:c r="J454" s="81" t="str">
        <x:v>—</x:v>
      </x:c>
      <x:c r="K454" s="81" t="str">
        <x:v>건조지1</x:v>
      </x:c>
      <x:c r="L454" s="81" t="str">
        <x:v>화산1</x:v>
      </x:c>
      <x:c r="M454" s="81" t="str">
        <x:v>—</x:v>
      </x:c>
      <x:c r="N454" s="81" t="str">
        <x:v>—</x:v>
      </x:c>
      <x:c r="O454" s="81" t="str">
        <x:v>건조지2</x:v>
      </x:c>
      <x:c r="P454" s="81" t="str">
        <x:v>화산1</x:v>
      </x:c>
      <x:c r="Q454" s="81" t="str">
        <x:v>—</x:v>
      </x:c>
      <x:c r="R454" s="81" t="str">
        <x:v>—</x:v>
      </x:c>
      <x:c r="S454" s="81" t="str">
        <x:v>건조지1</x:v>
      </x:c>
      <x:c r="T454" s="81" t="str">
        <x:v>화산1</x:v>
      </x:c>
      <x:c r="U454" s="81" t="str">
        <x:v>건조지2</x:v>
      </x:c>
      <x:c r="V454" s="81" t="str">
        <x:v>화산2</x:v>
      </x:c>
    </x:row>
    <x:row r="455">
      <x:c r="A455" s="80" t="n">
        <x:v>451</x:v>
      </x:c>
      <x:c r="B455" s="80" t="str">
        <x:v>스콜피</x:v>
      </x:c>
      <x:c r="C455" s="80" t="str">
        <x:v>skorupi</x:v>
      </x:c>
      <x:c r="D455" s="80" t="str">
        <x:v>건조지</x:v>
      </x:c>
      <x:c r="E455" s="81" t="str">
        <x:v>—</x:v>
      </x:c>
      <x:c r="F455" s="81" t="str">
        <x:v>—</x:v>
      </x:c>
      <x:c r="G455" s="81" t="str">
        <x:v>—</x:v>
      </x:c>
      <x:c r="H455" s="81" t="str">
        <x:v>—</x:v>
      </x:c>
      <x:c r="I455" s="81" t="str">
        <x:v>—</x:v>
      </x:c>
      <x:c r="J455" s="81" t="str">
        <x:v>—</x:v>
      </x:c>
      <x:c r="K455" s="81" t="str">
        <x:v>건조지1</x:v>
      </x:c>
      <x:c r="L455" s="81" t="str">
        <x:v>화산1</x:v>
      </x:c>
      <x:c r="M455" s="81" t="str">
        <x:v>건조지1</x:v>
      </x:c>
      <x:c r="N455" s="81" t="str">
        <x:v>화산1</x:v>
      </x:c>
      <x:c r="O455" s="81" t="str">
        <x:v>건조지2</x:v>
      </x:c>
      <x:c r="P455" s="81" t="str">
        <x:v>화산1</x:v>
      </x:c>
      <x:c r="Q455" s="81" t="str">
        <x:v>—</x:v>
      </x:c>
      <x:c r="R455" s="81" t="str">
        <x:v>—</x:v>
      </x:c>
      <x:c r="S455" s="81" t="str">
        <x:v>건조지1</x:v>
      </x:c>
      <x:c r="T455" s="81" t="str">
        <x:v>화산1</x:v>
      </x:c>
      <x:c r="U455" s="81" t="str">
        <x:v>—</x:v>
      </x:c>
      <x:c r="V455" s="81" t="str">
        <x:v>—</x:v>
      </x:c>
    </x:row>
    <x:row r="456">
      <x:c r="A456" s="80" t="n">
        <x:v>452</x:v>
      </x:c>
      <x:c r="B456" s="80" t="str">
        <x:v>드래피온</x:v>
      </x:c>
      <x:c r="C456" s="80" t="str">
        <x:v>drapion</x:v>
      </x:c>
      <x:c r="D456" s="80" t="str">
        <x:v>건조지</x:v>
      </x:c>
      <x:c r="E456" s="81" t="str">
        <x:v>—</x:v>
      </x:c>
      <x:c r="F456" s="81" t="str">
        <x:v>—</x:v>
      </x:c>
      <x:c r="G456" s="81" t="str">
        <x:v>—</x:v>
      </x:c>
      <x:c r="H456" s="81" t="str">
        <x:v>—</x:v>
      </x:c>
      <x:c r="I456" s="81" t="str">
        <x:v>—</x:v>
      </x:c>
      <x:c r="J456" s="81" t="str">
        <x:v>—</x:v>
      </x:c>
      <x:c r="K456" s="81" t="str">
        <x:v>건조지1</x:v>
      </x:c>
      <x:c r="L456" s="81" t="str">
        <x:v>화산1</x:v>
      </x:c>
      <x:c r="M456" s="81" t="str">
        <x:v>건조지1</x:v>
      </x:c>
      <x:c r="N456" s="81" t="str">
        <x:v>화산1</x:v>
      </x:c>
      <x:c r="O456" s="81" t="str">
        <x:v>건조지2</x:v>
      </x:c>
      <x:c r="P456" s="81" t="str">
        <x:v>화산1</x:v>
      </x:c>
      <x:c r="Q456" s="81" t="str">
        <x:v>—</x:v>
      </x:c>
      <x:c r="R456" s="81" t="str">
        <x:v>—</x:v>
      </x:c>
      <x:c r="S456" s="81" t="str">
        <x:v>건조지1</x:v>
      </x:c>
      <x:c r="T456" s="81" t="str">
        <x:v>화산1</x:v>
      </x:c>
      <x:c r="U456" s="81" t="str">
        <x:v>—</x:v>
      </x:c>
      <x:c r="V456" s="81" t="str">
        <x:v>—</x:v>
      </x:c>
    </x:row>
    <x:row r="457">
      <x:c r="A457" s="80" t="n">
        <x:v>453</x:v>
      </x:c>
      <x:c r="B457" s="80" t="str">
        <x:v>삐딱구리</x:v>
      </x:c>
      <x:c r="C457" s="80" t="str">
        <x:v>croagunk</x:v>
      </x:c>
      <x:c r="D457" s="80" t="str">
        <x:v>습지</x:v>
      </x:c>
      <x:c r="E457" s="81" t="str">
        <x:v>—</x:v>
      </x:c>
      <x:c r="F457" s="81" t="str">
        <x:v>—</x:v>
      </x:c>
      <x:c r="G457" s="81" t="str">
        <x:v>—</x:v>
      </x:c>
      <x:c r="H457" s="81" t="str">
        <x:v>—</x:v>
      </x:c>
      <x:c r="I457" s="81" t="str">
        <x:v>—</x:v>
      </x:c>
      <x:c r="J457" s="81" t="str">
        <x:v>—</x:v>
      </x:c>
      <x:c r="K457" s="81" t="str">
        <x:v>습지1</x:v>
      </x:c>
      <x:c r="L457" s="81" t="str">
        <x:v>숲3</x:v>
      </x:c>
      <x:c r="M457" s="81" t="str">
        <x:v>습지1</x:v>
      </x:c>
      <x:c r="N457" s="81" t="str">
        <x:v>숲2</x:v>
      </x:c>
      <x:c r="O457" s="81" t="str">
        <x:v>습지2</x:v>
      </x:c>
      <x:c r="P457" s="81" t="str">
        <x:v>숲3</x:v>
      </x:c>
      <x:c r="Q457" s="81" t="str">
        <x:v>—</x:v>
      </x:c>
      <x:c r="R457" s="81" t="str">
        <x:v>—</x:v>
      </x:c>
      <x:c r="S457" s="81" t="str">
        <x:v>습지2</x:v>
      </x:c>
      <x:c r="T457" s="81" t="str">
        <x:v>숲3</x:v>
      </x:c>
      <x:c r="U457" s="81" t="str">
        <x:v>습지2</x:v>
      </x:c>
      <x:c r="V457" s="81" t="str">
        <x:v>숲3</x:v>
      </x:c>
    </x:row>
    <x:row r="458">
      <x:c r="A458" s="80" t="n">
        <x:v>454</x:v>
      </x:c>
      <x:c r="B458" s="80" t="str">
        <x:v>독개굴</x:v>
      </x:c>
      <x:c r="C458" s="80" t="str">
        <x:v>toxicroak</x:v>
      </x:c>
      <x:c r="D458" s="80" t="str">
        <x:v>습지</x:v>
      </x:c>
      <x:c r="E458" s="81" t="str">
        <x:v>—</x:v>
      </x:c>
      <x:c r="F458" s="81" t="str">
        <x:v>—</x:v>
      </x:c>
      <x:c r="G458" s="81" t="str">
        <x:v>—</x:v>
      </x:c>
      <x:c r="H458" s="81" t="str">
        <x:v>—</x:v>
      </x:c>
      <x:c r="I458" s="81" t="str">
        <x:v>—</x:v>
      </x:c>
      <x:c r="J458" s="81" t="str">
        <x:v>—</x:v>
      </x:c>
      <x:c r="K458" s="81" t="str">
        <x:v>습지1</x:v>
      </x:c>
      <x:c r="L458" s="81" t="str">
        <x:v>숲3</x:v>
      </x:c>
      <x:c r="M458" s="81" t="str">
        <x:v>습지1</x:v>
      </x:c>
      <x:c r="N458" s="81" t="str">
        <x:v>숲2</x:v>
      </x:c>
      <x:c r="O458" s="81" t="str">
        <x:v>습지2</x:v>
      </x:c>
      <x:c r="P458" s="81" t="str">
        <x:v>숲3</x:v>
      </x:c>
      <x:c r="Q458" s="81" t="str">
        <x:v>—</x:v>
      </x:c>
      <x:c r="R458" s="81" t="str">
        <x:v>—</x:v>
      </x:c>
      <x:c r="S458" s="81" t="str">
        <x:v>습지2</x:v>
      </x:c>
      <x:c r="T458" s="81" t="str">
        <x:v>숲3</x:v>
      </x:c>
      <x:c r="U458" s="81" t="str">
        <x:v>습지2</x:v>
      </x:c>
      <x:c r="V458" s="81" t="str">
        <x:v>숲3</x:v>
      </x:c>
    </x:row>
    <x:row r="459">
      <x:c r="A459" s="80" t="n">
        <x:v>455</x:v>
      </x:c>
      <x:c r="B459" s="80" t="str">
        <x:v>무스틈니</x:v>
      </x:c>
      <x:c r="C459" s="80" t="str">
        <x:v>carnivine</x:v>
      </x:c>
      <x:c r="D459" s="80" t="str">
        <x:v>숲</x:v>
      </x:c>
      <x:c r="E459" s="81" t="str">
        <x:v>—</x:v>
      </x:c>
      <x:c r="F459" s="81" t="str">
        <x:v>—</x:v>
      </x:c>
      <x:c r="G459" s="81" t="str">
        <x:v>—</x:v>
      </x:c>
      <x:c r="H459" s="81" t="str">
        <x:v>—</x:v>
      </x:c>
      <x:c r="I459" s="81" t="str">
        <x:v>—</x:v>
      </x:c>
      <x:c r="J459" s="81" t="str">
        <x:v>—</x:v>
      </x:c>
      <x:c r="K459" s="81" t="str">
        <x:v>숲3</x:v>
      </x:c>
      <x:c r="L459" s="81" t="str">
        <x:v>평원3</x:v>
      </x:c>
      <x:c r="M459" s="81" t="str">
        <x:v>숲2</x:v>
      </x:c>
      <x:c r="N459" s="81" t="str">
        <x:v>평원2</x:v>
      </x:c>
      <x:c r="O459" s="81" t="str">
        <x:v>숲3</x:v>
      </x:c>
      <x:c r="P459" s="81" t="str">
        <x:v>평원4</x:v>
      </x:c>
      <x:c r="Q459" s="81" t="str">
        <x:v>—</x:v>
      </x:c>
      <x:c r="R459" s="81" t="str">
        <x:v>—</x:v>
      </x:c>
      <x:c r="S459" s="81" t="str">
        <x:v>—</x:v>
      </x:c>
      <x:c r="T459" s="81" t="str">
        <x:v>—</x:v>
      </x:c>
      <x:c r="U459" s="81" t="str">
        <x:v>—</x:v>
      </x:c>
      <x:c r="V459" s="81" t="str">
        <x:v>—</x:v>
      </x:c>
    </x:row>
    <x:row r="460">
      <x:c r="A460" s="80" t="n">
        <x:v>456</x:v>
      </x:c>
      <x:c r="B460" s="80" t="str">
        <x:v>형광어</x:v>
      </x:c>
      <x:c r="C460" s="80" t="str">
        <x:v>finneon</x:v>
      </x:c>
      <x:c r="D460" s="80" t="str">
        <x:v>해양</x:v>
      </x:c>
      <x:c r="E460" s="81" t="str">
        <x:v>—</x:v>
      </x:c>
      <x:c r="F460" s="81" t="str">
        <x:v>—</x:v>
      </x:c>
      <x:c r="G460" s="81" t="str">
        <x:v>—</x:v>
      </x:c>
      <x:c r="H460" s="81" t="str">
        <x:v>—</x:v>
      </x:c>
      <x:c r="I460" s="81" t="str">
        <x:v>—</x:v>
      </x:c>
      <x:c r="J460" s="81" t="str">
        <x:v>—</x:v>
      </x:c>
      <x:c r="K460" s="81" t="str">
        <x:v>해양1</x:v>
      </x:c>
      <x:c r="L460" s="81" t="str">
        <x:v>담수1</x:v>
      </x:c>
      <x:c r="M460" s="81" t="str">
        <x:v>—</x:v>
      </x:c>
      <x:c r="N460" s="81" t="str">
        <x:v>—</x:v>
      </x:c>
      <x:c r="O460" s="81" t="str">
        <x:v>—</x:v>
      </x:c>
      <x:c r="P460" s="81" t="str">
        <x:v>—</x:v>
      </x:c>
      <x:c r="Q460" s="81" t="str">
        <x:v>해양2</x:v>
      </x:c>
      <x:c r="R460" s="81" t="str">
        <x:v>담수2</x:v>
      </x:c>
      <x:c r="S460" s="81" t="str">
        <x:v>—</x:v>
      </x:c>
      <x:c r="T460" s="81" t="str">
        <x:v>—</x:v>
      </x:c>
      <x:c r="U460" s="81" t="str">
        <x:v>해양1</x:v>
      </x:c>
      <x:c r="V460" s="81" t="str">
        <x:v>담수2</x:v>
      </x:c>
    </x:row>
    <x:row r="461">
      <x:c r="A461" s="80" t="n">
        <x:v>457</x:v>
      </x:c>
      <x:c r="B461" s="80" t="str">
        <x:v>네오라이트</x:v>
      </x:c>
      <x:c r="C461" s="80" t="str">
        <x:v>lumineon</x:v>
      </x:c>
      <x:c r="D461" s="80" t="str">
        <x:v>해양</x:v>
      </x:c>
      <x:c r="E461" s="81" t="str">
        <x:v>—</x:v>
      </x:c>
      <x:c r="F461" s="81" t="str">
        <x:v>—</x:v>
      </x:c>
      <x:c r="G461" s="81" t="str">
        <x:v>—</x:v>
      </x:c>
      <x:c r="H461" s="81" t="str">
        <x:v>—</x:v>
      </x:c>
      <x:c r="I461" s="81" t="str">
        <x:v>—</x:v>
      </x:c>
      <x:c r="J461" s="81" t="str">
        <x:v>—</x:v>
      </x:c>
      <x:c r="K461" s="81" t="str">
        <x:v>해양1</x:v>
      </x:c>
      <x:c r="L461" s="81" t="str">
        <x:v>담수1</x:v>
      </x:c>
      <x:c r="M461" s="81" t="str">
        <x:v>—</x:v>
      </x:c>
      <x:c r="N461" s="81" t="str">
        <x:v>—</x:v>
      </x:c>
      <x:c r="O461" s="81" t="str">
        <x:v>—</x:v>
      </x:c>
      <x:c r="P461" s="81" t="str">
        <x:v>—</x:v>
      </x:c>
      <x:c r="Q461" s="81" t="str">
        <x:v>해양2</x:v>
      </x:c>
      <x:c r="R461" s="81" t="str">
        <x:v>담수2</x:v>
      </x:c>
      <x:c r="S461" s="81" t="str">
        <x:v>—</x:v>
      </x:c>
      <x:c r="T461" s="81" t="str">
        <x:v>—</x:v>
      </x:c>
      <x:c r="U461" s="81" t="str">
        <x:v>해양1</x:v>
      </x:c>
      <x:c r="V461" s="81" t="str">
        <x:v>담수2</x:v>
      </x:c>
    </x:row>
    <x:row r="462">
      <x:c r="A462" s="80" t="n">
        <x:v>458</x:v>
      </x:c>
      <x:c r="B462" s="80" t="str">
        <x:v>타만타</x:v>
      </x:c>
      <x:c r="C462" s="80" t="str">
        <x:v>mantyke</x:v>
      </x:c>
      <x:c r="D462" s="80" t="str">
        <x:v>해양</x:v>
      </x:c>
      <x:c r="E462" s="81" t="str">
        <x:v>—</x:v>
      </x:c>
      <x:c r="F462" s="81" t="str">
        <x:v>—</x:v>
      </x:c>
      <x:c r="G462" s="81" t="str">
        <x:v>—</x:v>
      </x:c>
      <x:c r="H462" s="81" t="str">
        <x:v>—</x:v>
      </x:c>
      <x:c r="I462" s="81" t="str">
        <x:v>—</x:v>
      </x:c>
      <x:c r="J462" s="81" t="str">
        <x:v>—</x:v>
      </x:c>
      <x:c r="K462" s="81" t="str">
        <x:v>해양1</x:v>
      </x:c>
      <x:c r="L462" s="81" t="str">
        <x:v>담수1</x:v>
      </x:c>
      <x:c r="M462" s="81" t="str">
        <x:v>해양1</x:v>
      </x:c>
      <x:c r="N462" s="81" t="str">
        <x:v>담수2</x:v>
      </x:c>
      <x:c r="O462" s="81" t="str">
        <x:v>해양2</x:v>
      </x:c>
      <x:c r="P462" s="81" t="str">
        <x:v>담수3</x:v>
      </x:c>
      <x:c r="Q462" s="81" t="str">
        <x:v>해양2</x:v>
      </x:c>
      <x:c r="R462" s="81" t="str">
        <x:v>담수2</x:v>
      </x:c>
      <x:c r="S462" s="81" t="str">
        <x:v>해양2</x:v>
      </x:c>
      <x:c r="T462" s="81" t="str">
        <x:v>담수3</x:v>
      </x:c>
      <x:c r="U462" s="81" t="str">
        <x:v>—</x:v>
      </x:c>
      <x:c r="V462" s="81" t="str">
        <x:v>—</x:v>
      </x:c>
    </x:row>
    <x:row r="463">
      <x:c r="A463" s="80" t="n">
        <x:v>459</x:v>
      </x:c>
      <x:c r="B463" s="80" t="str">
        <x:v>눈쓰개</x:v>
      </x:c>
      <x:c r="C463" s="80" t="str">
        <x:v>snover</x:v>
      </x:c>
      <x:c r="D463" s="80" t="str">
        <x:v>설원</x:v>
      </x:c>
      <x:c r="E463" s="81" t="str">
        <x:v>—</x:v>
      </x:c>
      <x:c r="F463" s="81" t="str">
        <x:v>—</x:v>
      </x:c>
      <x:c r="G463" s="81" t="str">
        <x:v>—</x:v>
      </x:c>
      <x:c r="H463" s="81" t="str">
        <x:v>—</x:v>
      </x:c>
      <x:c r="I463" s="81" t="str">
        <x:v>—</x:v>
      </x:c>
      <x:c r="J463" s="81" t="str">
        <x:v>—</x:v>
      </x:c>
      <x:c r="K463" s="81" t="str">
        <x:v>설원1</x:v>
      </x:c>
      <x:c r="L463" s="81" t="str">
        <x:v>숲3</x:v>
      </x:c>
      <x:c r="M463" s="81" t="str">
        <x:v>—</x:v>
      </x:c>
      <x:c r="N463" s="81" t="str">
        <x:v>—</x:v>
      </x:c>
      <x:c r="O463" s="81" t="str">
        <x:v>설원1</x:v>
      </x:c>
      <x:c r="P463" s="81" t="str">
        <x:v>숲4</x:v>
      </x:c>
      <x:c r="Q463" s="81" t="str">
        <x:v>—</x:v>
      </x:c>
      <x:c r="R463" s="81" t="str">
        <x:v>—</x:v>
      </x:c>
      <x:c r="S463" s="81" t="str">
        <x:v>설원1</x:v>
      </x:c>
      <x:c r="T463" s="81" t="str">
        <x:v>숲3</x:v>
      </x:c>
      <x:c r="U463" s="81" t="str">
        <x:v>설원1</x:v>
      </x:c>
      <x:c r="V463" s="81" t="str">
        <x:v>숲3</x:v>
      </x:c>
    </x:row>
    <x:row r="464">
      <x:c r="A464" s="80" t="n">
        <x:v>460</x:v>
      </x:c>
      <x:c r="B464" s="80" t="str">
        <x:v>눈설왕</x:v>
      </x:c>
      <x:c r="C464" s="80" t="str">
        <x:v>abomasnow</x:v>
      </x:c>
      <x:c r="D464" s="80" t="str">
        <x:v>설원</x:v>
      </x:c>
      <x:c r="E464" s="81" t="str">
        <x:v>—</x:v>
      </x:c>
      <x:c r="F464" s="81" t="str">
        <x:v>—</x:v>
      </x:c>
      <x:c r="G464" s="81" t="str">
        <x:v>—</x:v>
      </x:c>
      <x:c r="H464" s="81" t="str">
        <x:v>—</x:v>
      </x:c>
      <x:c r="I464" s="81" t="str">
        <x:v>—</x:v>
      </x:c>
      <x:c r="J464" s="81" t="str">
        <x:v>—</x:v>
      </x:c>
      <x:c r="K464" s="81" t="str">
        <x:v>설원1</x:v>
      </x:c>
      <x:c r="L464" s="81" t="str">
        <x:v>숲3</x:v>
      </x:c>
      <x:c r="M464" s="81" t="str">
        <x:v>—</x:v>
      </x:c>
      <x:c r="N464" s="81" t="str">
        <x:v>—</x:v>
      </x:c>
      <x:c r="O464" s="81" t="str">
        <x:v>설원1</x:v>
      </x:c>
      <x:c r="P464" s="81" t="str">
        <x:v>숲4</x:v>
      </x:c>
      <x:c r="Q464" s="81" t="str">
        <x:v>—</x:v>
      </x:c>
      <x:c r="R464" s="81" t="str">
        <x:v>—</x:v>
      </x:c>
      <x:c r="S464" s="81" t="str">
        <x:v>설원1</x:v>
      </x:c>
      <x:c r="T464" s="81" t="str">
        <x:v>숲3</x:v>
      </x:c>
      <x:c r="U464" s="81" t="str">
        <x:v>설원1</x:v>
      </x:c>
      <x:c r="V464" s="81" t="str">
        <x:v>숲3</x:v>
      </x:c>
    </x:row>
    <x:row r="465">
      <x:c r="A465" s="80" t="n">
        <x:v>461</x:v>
      </x:c>
      <x:c r="B465" s="80" t="str">
        <x:v>포푸니라</x:v>
      </x:c>
      <x:c r="C465" s="80" t="str">
        <x:v>weavile</x:v>
      </x:c>
      <x:c r="D465" s="80" t="str">
        <x:v>숲</x:v>
      </x:c>
      <x:c r="E465" s="81" t="str">
        <x:v>—</x:v>
      </x:c>
      <x:c r="F465" s="81" t="str">
        <x:v>—</x:v>
      </x:c>
      <x:c r="G465" s="81" t="str">
        <x:v>—</x:v>
      </x:c>
      <x:c r="H465" s="81" t="str">
        <x:v>—</x:v>
      </x:c>
      <x:c r="I465" s="81" t="str">
        <x:v>—</x:v>
      </x:c>
      <x:c r="J465" s="81" t="str">
        <x:v>—</x:v>
      </x:c>
      <x:c r="K465" s="81" t="str">
        <x:v>숲3</x:v>
      </x:c>
      <x:c r="L465" s="81" t="str">
        <x:v>설원1</x:v>
      </x:c>
      <x:c r="M465" s="81" t="str">
        <x:v>숲2</x:v>
      </x:c>
      <x:c r="N465" s="81" t="str">
        <x:v>설원1</x:v>
      </x:c>
      <x:c r="O465" s="81" t="str">
        <x:v>숲4</x:v>
      </x:c>
      <x:c r="P465" s="81" t="str">
        <x:v>설원1</x:v>
      </x:c>
      <x:c r="Q465" s="81" t="str">
        <x:v>숲2</x:v>
      </x:c>
      <x:c r="R465" s="81" t="str">
        <x:v>설원1</x:v>
      </x:c>
      <x:c r="S465" s="81" t="str">
        <x:v>숲3</x:v>
      </x:c>
      <x:c r="T465" s="81" t="str">
        <x:v>설원1</x:v>
      </x:c>
      <x:c r="U465" s="81" t="str">
        <x:v>숲4</x:v>
      </x:c>
      <x:c r="V465" s="81" t="str">
        <x:v>설원1</x:v>
      </x:c>
    </x:row>
    <x:row r="466">
      <x:c r="A466" s="80" t="n">
        <x:v>462</x:v>
      </x:c>
      <x:c r="B466" s="80" t="str">
        <x:v>자포코일</x:v>
      </x:c>
      <x:c r="C466" s="80" t="str">
        <x:v>magnezone</x:v>
      </x:c>
      <x:c r="D466" s="80" t="str">
        <x:v>건조지</x:v>
      </x:c>
      <x:c r="E466" s="81" t="str">
        <x:v>—</x:v>
      </x:c>
      <x:c r="F466" s="81" t="str">
        <x:v>—</x:v>
      </x:c>
      <x:c r="G466" s="81" t="str">
        <x:v>—</x:v>
      </x:c>
      <x:c r="H466" s="81" t="str">
        <x:v>—</x:v>
      </x:c>
      <x:c r="I466" s="81" t="str">
        <x:v>—</x:v>
      </x:c>
      <x:c r="J466" s="81" t="str">
        <x:v>—</x:v>
      </x:c>
      <x:c r="K466" s="81" t="str">
        <x:v>건조지1</x:v>
      </x:c>
      <x:c r="L466" s="81" t="str">
        <x:v>도시1</x:v>
      </x:c>
      <x:c r="M466" s="81" t="str">
        <x:v>건조지1</x:v>
      </x:c>
      <x:c r="N466" s="81" t="str">
        <x:v>도시1</x:v>
      </x:c>
      <x:c r="O466" s="81" t="str">
        <x:v>건조지2</x:v>
      </x:c>
      <x:c r="P466" s="81" t="str">
        <x:v>도시1</x:v>
      </x:c>
      <x:c r="Q466" s="81" t="str">
        <x:v>건조지2</x:v>
      </x:c>
      <x:c r="R466" s="81" t="str">
        <x:v>도시1</x:v>
      </x:c>
      <x:c r="S466" s="81" t="str">
        <x:v>건조지1</x:v>
      </x:c>
      <x:c r="T466" s="81" t="str">
        <x:v>도시1</x:v>
      </x:c>
      <x:c r="U466" s="81" t="str">
        <x:v>건조지2</x:v>
      </x:c>
      <x:c r="V466" s="81" t="str">
        <x:v>도시1</x:v>
      </x:c>
    </x:row>
    <x:row r="467">
      <x:c r="A467" s="80" t="n">
        <x:v>463</x:v>
      </x:c>
      <x:c r="B467" s="80" t="str">
        <x:v>내룸벨트</x:v>
      </x:c>
      <x:c r="C467" s="80" t="str">
        <x:v>lickilicky</x:v>
      </x:c>
      <x:c r="D467" s="80" t="str">
        <x:v>평원</x:v>
      </x:c>
      <x:c r="E467" s="81" t="str">
        <x:v>—</x:v>
      </x:c>
      <x:c r="F467" s="81" t="str">
        <x:v>—</x:v>
      </x:c>
      <x:c r="G467" s="81" t="str">
        <x:v>—</x:v>
      </x:c>
      <x:c r="H467" s="81" t="str">
        <x:v>—</x:v>
      </x:c>
      <x:c r="I467" s="81" t="str">
        <x:v>—</x:v>
      </x:c>
      <x:c r="J467" s="81" t="str">
        <x:v>—</x:v>
      </x:c>
      <x:c r="K467" s="81" t="str">
        <x:v>평원3</x:v>
      </x:c>
      <x:c r="L467" s="81" t="str">
        <x:v>숲3</x:v>
      </x:c>
      <x:c r="M467" s="81" t="str">
        <x:v>평원2</x:v>
      </x:c>
      <x:c r="N467" s="81" t="str">
        <x:v>숲2</x:v>
      </x:c>
      <x:c r="O467" s="81" t="str">
        <x:v>평원4</x:v>
      </x:c>
      <x:c r="P467" s="81" t="str">
        <x:v>숲4</x:v>
      </x:c>
      <x:c r="Q467" s="81" t="str">
        <x:v>평원4</x:v>
      </x:c>
      <x:c r="R467" s="81" t="str">
        <x:v>숲2</x:v>
      </x:c>
      <x:c r="S467" s="81" t="str">
        <x:v>평원3</x:v>
      </x:c>
      <x:c r="T467" s="81" t="str">
        <x:v>숲3</x:v>
      </x:c>
      <x:c r="U467" s="81" t="str">
        <x:v>—</x:v>
      </x:c>
      <x:c r="V467" s="81" t="str">
        <x:v>—</x:v>
      </x:c>
    </x:row>
    <x:row r="468">
      <x:c r="A468" s="80" t="n">
        <x:v>464</x:v>
      </x:c>
      <x:c r="B468" s="80" t="str">
        <x:v>거대코뿌리</x:v>
      </x:c>
      <x:c r="C468" s="80" t="str">
        <x:v>rhyperior</x:v>
      </x:c>
      <x:c r="D468" s="80" t="str">
        <x:v>산악</x:v>
      </x:c>
      <x:c r="E468" s="81" t="str">
        <x:v>—</x:v>
      </x:c>
      <x:c r="F468" s="81" t="str">
        <x:v>—</x:v>
      </x:c>
      <x:c r="G468" s="81" t="str">
        <x:v>—</x:v>
      </x:c>
      <x:c r="H468" s="81" t="str">
        <x:v>—</x:v>
      </x:c>
      <x:c r="I468" s="81" t="str">
        <x:v>—</x:v>
      </x:c>
      <x:c r="J468" s="81" t="str">
        <x:v>—</x:v>
      </x:c>
      <x:c r="K468" s="81" t="str">
        <x:v>산악2</x:v>
      </x:c>
      <x:c r="L468" s="81" t="str">
        <x:v>평원3</x:v>
      </x:c>
      <x:c r="M468" s="81" t="str">
        <x:v>—</x:v>
      </x:c>
      <x:c r="N468" s="81" t="str">
        <x:v>—</x:v>
      </x:c>
      <x:c r="O468" s="81" t="str">
        <x:v>산악2</x:v>
      </x:c>
      <x:c r="P468" s="81" t="str">
        <x:v>평원4</x:v>
      </x:c>
      <x:c r="Q468" s="81" t="str">
        <x:v>—</x:v>
      </x:c>
      <x:c r="R468" s="81" t="str">
        <x:v>—</x:v>
      </x:c>
      <x:c r="S468" s="81" t="str">
        <x:v>산악2</x:v>
      </x:c>
      <x:c r="T468" s="81" t="str">
        <x:v>평원3</x:v>
      </x:c>
      <x:c r="U468" s="81" t="str">
        <x:v>산악2</x:v>
      </x:c>
      <x:c r="V468" s="81" t="str">
        <x:v>평원4</x:v>
      </x:c>
    </x:row>
    <x:row r="469">
      <x:c r="A469" s="80" t="n">
        <x:v>465</x:v>
      </x:c>
      <x:c r="B469" s="80" t="str">
        <x:v>덩쿠림보</x:v>
      </x:c>
      <x:c r="C469" s="80" t="str">
        <x:v>tangrowth</x:v>
      </x:c>
      <x:c r="D469" s="80" t="str">
        <x:v>숲</x:v>
      </x:c>
      <x:c r="E469" s="81" t="str">
        <x:v>—</x:v>
      </x:c>
      <x:c r="F469" s="81" t="str">
        <x:v>—</x:v>
      </x:c>
      <x:c r="G469" s="81" t="str">
        <x:v>—</x:v>
      </x:c>
      <x:c r="H469" s="81" t="str">
        <x:v>—</x:v>
      </x:c>
      <x:c r="I469" s="81" t="str">
        <x:v>—</x:v>
      </x:c>
      <x:c r="J469" s="81" t="str">
        <x:v>—</x:v>
      </x:c>
      <x:c r="K469" s="81" t="str">
        <x:v>숲3</x:v>
      </x:c>
      <x:c r="L469" s="81" t="str">
        <x:v>평원3</x:v>
      </x:c>
      <x:c r="M469" s="81" t="str">
        <x:v>숲2</x:v>
      </x:c>
      <x:c r="N469" s="81" t="str">
        <x:v>평원2</x:v>
      </x:c>
      <x:c r="O469" s="81" t="str">
        <x:v>—</x:v>
      </x:c>
      <x:c r="P469" s="81" t="str">
        <x:v>—</x:v>
      </x:c>
      <x:c r="Q469" s="81" t="str">
        <x:v>—</x:v>
      </x:c>
      <x:c r="R469" s="81" t="str">
        <x:v>—</x:v>
      </x:c>
      <x:c r="S469" s="81" t="str">
        <x:v>숲3</x:v>
      </x:c>
      <x:c r="T469" s="81" t="str">
        <x:v>평원3</x:v>
      </x:c>
      <x:c r="U469" s="81" t="str">
        <x:v>—</x:v>
      </x:c>
      <x:c r="V469" s="81" t="str">
        <x:v>—</x:v>
      </x:c>
    </x:row>
    <x:row r="470">
      <x:c r="A470" s="80" t="n">
        <x:v>466</x:v>
      </x:c>
      <x:c r="B470" s="80" t="str">
        <x:v>에레키블</x:v>
      </x:c>
      <x:c r="C470" s="80" t="str">
        <x:v>electivire</x:v>
      </x:c>
      <x:c r="D470" s="80" t="str">
        <x:v>산악</x:v>
      </x:c>
      <x:c r="E470" s="81" t="str">
        <x:v>—</x:v>
      </x:c>
      <x:c r="F470" s="81" t="str">
        <x:v>—</x:v>
      </x:c>
      <x:c r="G470" s="81" t="str">
        <x:v>—</x:v>
      </x:c>
      <x:c r="H470" s="81" t="str">
        <x:v>—</x:v>
      </x:c>
      <x:c r="I470" s="81" t="str">
        <x:v>—</x:v>
      </x:c>
      <x:c r="J470" s="81" t="str">
        <x:v>—</x:v>
      </x:c>
      <x:c r="K470" s="81" t="str">
        <x:v>산악2</x:v>
      </x:c>
      <x:c r="L470" s="81" t="str">
        <x:v>평원3</x:v>
      </x:c>
      <x:c r="M470" s="81" t="str">
        <x:v>산악1</x:v>
      </x:c>
      <x:c r="N470" s="81" t="str">
        <x:v>평원2</x:v>
      </x:c>
      <x:c r="O470" s="81" t="str">
        <x:v>—</x:v>
      </x:c>
      <x:c r="P470" s="81" t="str">
        <x:v>—</x:v>
      </x:c>
      <x:c r="Q470" s="81" t="str">
        <x:v>산악2</x:v>
      </x:c>
      <x:c r="R470" s="81" t="str">
        <x:v>평원4</x:v>
      </x:c>
      <x:c r="S470" s="81" t="str">
        <x:v>산악2</x:v>
      </x:c>
      <x:c r="T470" s="81" t="str">
        <x:v>평원3</x:v>
      </x:c>
      <x:c r="U470" s="81" t="str">
        <x:v>산악3</x:v>
      </x:c>
      <x:c r="V470" s="81" t="str">
        <x:v>평원4</x:v>
      </x:c>
    </x:row>
    <x:row r="471">
      <x:c r="A471" s="80" t="n">
        <x:v>467</x:v>
      </x:c>
      <x:c r="B471" s="80" t="str">
        <x:v>마그마번</x:v>
      </x:c>
      <x:c r="C471" s="80" t="str">
        <x:v>magmortar</x:v>
      </x:c>
      <x:c r="D471" s="80" t="str">
        <x:v>화산</x:v>
      </x:c>
      <x:c r="E471" s="81" t="str">
        <x:v>—</x:v>
      </x:c>
      <x:c r="F471" s="81" t="str">
        <x:v>—</x:v>
      </x:c>
      <x:c r="G471" s="81" t="str">
        <x:v>—</x:v>
      </x:c>
      <x:c r="H471" s="81" t="str">
        <x:v>—</x:v>
      </x:c>
      <x:c r="I471" s="81" t="str">
        <x:v>—</x:v>
      </x:c>
      <x:c r="J471" s="81" t="str">
        <x:v>—</x:v>
      </x:c>
      <x:c r="K471" s="81" t="str">
        <x:v>화산1</x:v>
      </x:c>
      <x:c r="L471" s="81" t="str">
        <x:v>건조지1</x:v>
      </x:c>
      <x:c r="M471" s="81" t="str">
        <x:v>화산1</x:v>
      </x:c>
      <x:c r="N471" s="81" t="str">
        <x:v>건조지2</x:v>
      </x:c>
      <x:c r="O471" s="81" t="str">
        <x:v>—</x:v>
      </x:c>
      <x:c r="P471" s="81" t="str">
        <x:v>—</x:v>
      </x:c>
      <x:c r="Q471" s="81" t="str">
        <x:v>화산1</x:v>
      </x:c>
      <x:c r="R471" s="81" t="str">
        <x:v>건조지2</x:v>
      </x:c>
      <x:c r="S471" s="81" t="str">
        <x:v>화산1</x:v>
      </x:c>
      <x:c r="T471" s="81" t="str">
        <x:v>건조지1</x:v>
      </x:c>
      <x:c r="U471" s="81" t="str">
        <x:v>화산2</x:v>
      </x:c>
      <x:c r="V471" s="81" t="str">
        <x:v>건조지2</x:v>
      </x:c>
    </x:row>
    <x:row r="472">
      <x:c r="A472" s="80" t="n">
        <x:v>468</x:v>
      </x:c>
      <x:c r="B472" s="80" t="str">
        <x:v>토게키스</x:v>
      </x:c>
      <x:c r="C472" s="80" t="str">
        <x:v>togekiss</x:v>
      </x:c>
      <x:c r="D472" s="80" t="str">
        <x:v>평원</x:v>
      </x:c>
      <x:c r="E472" s="81" t="str">
        <x:v>—</x:v>
      </x:c>
      <x:c r="F472" s="81" t="str">
        <x:v>—</x:v>
      </x:c>
      <x:c r="G472" s="81" t="str">
        <x:v>—</x:v>
      </x:c>
      <x:c r="H472" s="81" t="str">
        <x:v>—</x:v>
      </x:c>
      <x:c r="I472" s="81" t="str">
        <x:v>—</x:v>
      </x:c>
      <x:c r="J472" s="81" t="str">
        <x:v>—</x:v>
      </x:c>
      <x:c r="K472" s="81" t="str">
        <x:v>평원3</x:v>
      </x:c>
      <x:c r="L472" s="81" t="str">
        <x:v>숲3</x:v>
      </x:c>
      <x:c r="M472" s="81" t="str">
        <x:v>—</x:v>
      </x:c>
      <x:c r="N472" s="81" t="str">
        <x:v>—</x:v>
      </x:c>
      <x:c r="O472" s="81" t="str">
        <x:v>—</x:v>
      </x:c>
      <x:c r="P472" s="81" t="str">
        <x:v>—</x:v>
      </x:c>
      <x:c r="Q472" s="81" t="str">
        <x:v>—</x:v>
      </x:c>
      <x:c r="R472" s="81" t="str">
        <x:v>—</x:v>
      </x:c>
      <x:c r="S472" s="81" t="str">
        <x:v>평원3</x:v>
      </x:c>
      <x:c r="T472" s="81" t="str">
        <x:v>숲3</x:v>
      </x:c>
      <x:c r="U472" s="81" t="str">
        <x:v>—</x:v>
      </x:c>
      <x:c r="V472" s="81" t="str">
        <x:v>—</x:v>
      </x:c>
    </x:row>
    <x:row r="473">
      <x:c r="A473" s="80" t="n">
        <x:v>469</x:v>
      </x:c>
      <x:c r="B473" s="80" t="str">
        <x:v>메가자리</x:v>
      </x:c>
      <x:c r="C473" s="80" t="str">
        <x:v>yanmega</x:v>
      </x:c>
      <x:c r="D473" s="80" t="str">
        <x:v>담수</x:v>
      </x:c>
      <x:c r="E473" s="81" t="str">
        <x:v>—</x:v>
      </x:c>
      <x:c r="F473" s="81" t="str">
        <x:v>—</x:v>
      </x:c>
      <x:c r="G473" s="81" t="str">
        <x:v>—</x:v>
      </x:c>
      <x:c r="H473" s="81" t="str">
        <x:v>—</x:v>
      </x:c>
      <x:c r="I473" s="81" t="str">
        <x:v>—</x:v>
      </x:c>
      <x:c r="J473" s="81" t="str">
        <x:v>—</x:v>
      </x:c>
      <x:c r="K473" s="81" t="str">
        <x:v>담수1</x:v>
      </x:c>
      <x:c r="L473" s="81" t="str">
        <x:v>습지1</x:v>
      </x:c>
      <x:c r="M473" s="81" t="str">
        <x:v>담수2</x:v>
      </x:c>
      <x:c r="N473" s="81" t="str">
        <x:v>습지1</x:v>
      </x:c>
      <x:c r="O473" s="81" t="str">
        <x:v>담수3</x:v>
      </x:c>
      <x:c r="P473" s="81" t="str">
        <x:v>습지2</x:v>
      </x:c>
      <x:c r="Q473" s="81" t="str">
        <x:v>—</x:v>
      </x:c>
      <x:c r="R473" s="81" t="str">
        <x:v>—</x:v>
      </x:c>
      <x:c r="S473" s="81" t="str">
        <x:v>—</x:v>
      </x:c>
      <x:c r="T473" s="81" t="str">
        <x:v>—</x:v>
      </x:c>
      <x:c r="U473" s="81" t="str">
        <x:v>담수2</x:v>
      </x:c>
      <x:c r="V473" s="81" t="str">
        <x:v>습지2</x:v>
      </x:c>
    </x:row>
    <x:row r="474">
      <x:c r="A474" s="80" t="n">
        <x:v>470</x:v>
      </x:c>
      <x:c r="B474" s="80" t="str">
        <x:v>리피아</x:v>
      </x:c>
      <x:c r="C474" s="80" t="str">
        <x:v>leafeon</x:v>
      </x:c>
      <x:c r="D474" s="80" t="str">
        <x:v>숲</x:v>
      </x:c>
      <x:c r="E474" s="81" t="str">
        <x:v>—</x:v>
      </x:c>
      <x:c r="F474" s="81" t="str">
        <x:v>—</x:v>
      </x:c>
      <x:c r="G474" s="81" t="str">
        <x:v>—</x:v>
      </x:c>
      <x:c r="H474" s="81" t="str">
        <x:v>—</x:v>
      </x:c>
      <x:c r="I474" s="81" t="str">
        <x:v>—</x:v>
      </x:c>
      <x:c r="J474" s="81" t="str">
        <x:v>—</x:v>
      </x:c>
      <x:c r="K474" s="81" t="str">
        <x:v>숲3</x:v>
      </x:c>
      <x:c r="L474" s="81" t="str">
        <x:v>평원3</x:v>
      </x:c>
      <x:c r="M474" s="81" t="str">
        <x:v>숲2</x:v>
      </x:c>
      <x:c r="N474" s="81" t="str">
        <x:v>평원2</x:v>
      </x:c>
      <x:c r="O474" s="81" t="str">
        <x:v>숲4</x:v>
      </x:c>
      <x:c r="P474" s="81" t="str">
        <x:v>평원4</x:v>
      </x:c>
      <x:c r="Q474" s="81" t="str">
        <x:v>숲2</x:v>
      </x:c>
      <x:c r="R474" s="81" t="str">
        <x:v>평원4</x:v>
      </x:c>
      <x:c r="S474" s="81" t="str">
        <x:v>숲3</x:v>
      </x:c>
      <x:c r="T474" s="81" t="str">
        <x:v>평원3</x:v>
      </x:c>
      <x:c r="U474" s="81" t="str">
        <x:v>숲4</x:v>
      </x:c>
      <x:c r="V474" s="81" t="str">
        <x:v>평원4</x:v>
      </x:c>
    </x:row>
    <x:row r="475">
      <x:c r="A475" s="80" t="n">
        <x:v>471</x:v>
      </x:c>
      <x:c r="B475" s="80" t="str">
        <x:v>글레이시아</x:v>
      </x:c>
      <x:c r="C475" s="80" t="str">
        <x:v>glaceon</x:v>
      </x:c>
      <x:c r="D475" s="80" t="str">
        <x:v>설원</x:v>
      </x:c>
      <x:c r="E475" s="81" t="str">
        <x:v>—</x:v>
      </x:c>
      <x:c r="F475" s="81" t="str">
        <x:v>—</x:v>
      </x:c>
      <x:c r="G475" s="81" t="str">
        <x:v>—</x:v>
      </x:c>
      <x:c r="H475" s="81" t="str">
        <x:v>—</x:v>
      </x:c>
      <x:c r="I475" s="81" t="str">
        <x:v>—</x:v>
      </x:c>
      <x:c r="J475" s="81" t="str">
        <x:v>—</x:v>
      </x:c>
      <x:c r="K475" s="81" t="str">
        <x:v>설원1</x:v>
      </x:c>
      <x:c r="L475" s="81" t="str">
        <x:v>평원3</x:v>
      </x:c>
      <x:c r="M475" s="81" t="str">
        <x:v>설원1</x:v>
      </x:c>
      <x:c r="N475" s="81" t="str">
        <x:v>평원2</x:v>
      </x:c>
      <x:c r="O475" s="81" t="str">
        <x:v>설원1</x:v>
      </x:c>
      <x:c r="P475" s="81" t="str">
        <x:v>평원4</x:v>
      </x:c>
      <x:c r="Q475" s="81" t="str">
        <x:v>설원1</x:v>
      </x:c>
      <x:c r="R475" s="81" t="str">
        <x:v>평원4</x:v>
      </x:c>
      <x:c r="S475" s="81" t="str">
        <x:v>설원1</x:v>
      </x:c>
      <x:c r="T475" s="81" t="str">
        <x:v>평원4</x:v>
      </x:c>
      <x:c r="U475" s="81" t="str">
        <x:v>설원1</x:v>
      </x:c>
      <x:c r="V475" s="81" t="str">
        <x:v>평원4</x:v>
      </x:c>
    </x:row>
    <x:row r="476">
      <x:c r="A476" s="80" t="n">
        <x:v>472</x:v>
      </x:c>
      <x:c r="B476" s="80" t="str">
        <x:v>글라이온</x:v>
      </x:c>
      <x:c r="C476" s="80" t="str">
        <x:v>gliscor</x:v>
      </x:c>
      <x:c r="D476" s="80" t="str">
        <x:v>화산</x:v>
      </x:c>
      <x:c r="E476" s="81" t="str">
        <x:v>—</x:v>
      </x:c>
      <x:c r="F476" s="81" t="str">
        <x:v>—</x:v>
      </x:c>
      <x:c r="G476" s="81" t="str">
        <x:v>—</x:v>
      </x:c>
      <x:c r="H476" s="81" t="str">
        <x:v>—</x:v>
      </x:c>
      <x:c r="I476" s="81" t="str">
        <x:v>—</x:v>
      </x:c>
      <x:c r="J476" s="81" t="str">
        <x:v>—</x:v>
      </x:c>
      <x:c r="K476" s="81" t="str">
        <x:v>화산1</x:v>
      </x:c>
      <x:c r="L476" s="81" t="str">
        <x:v>건조지1</x:v>
      </x:c>
      <x:c r="M476" s="81" t="str">
        <x:v>화산1</x:v>
      </x:c>
      <x:c r="N476" s="81" t="str">
        <x:v>건조지2</x:v>
      </x:c>
      <x:c r="O476" s="81" t="str">
        <x:v>화산1</x:v>
      </x:c>
      <x:c r="P476" s="81" t="str">
        <x:v>건조지2</x:v>
      </x:c>
      <x:c r="Q476" s="81" t="str">
        <x:v>—</x:v>
      </x:c>
      <x:c r="R476" s="81" t="str">
        <x:v>—</x:v>
      </x:c>
      <x:c r="S476" s="81" t="str">
        <x:v>—</x:v>
      </x:c>
      <x:c r="T476" s="81" t="str">
        <x:v>—</x:v>
      </x:c>
      <x:c r="U476" s="81" t="str">
        <x:v>화산2</x:v>
      </x:c>
      <x:c r="V476" s="81" t="str">
        <x:v>건조지2</x:v>
      </x:c>
    </x:row>
    <x:row r="477">
      <x:c r="A477" s="80" t="n">
        <x:v>473</x:v>
      </x:c>
      <x:c r="B477" s="80" t="str">
        <x:v>맘모꾸리</x:v>
      </x:c>
      <x:c r="C477" s="80" t="str">
        <x:v>mamoswine</x:v>
      </x:c>
      <x:c r="D477" s="80" t="str">
        <x:v>산악</x:v>
      </x:c>
      <x:c r="E477" s="81" t="str">
        <x:v>—</x:v>
      </x:c>
      <x:c r="F477" s="81" t="str">
        <x:v>—</x:v>
      </x:c>
      <x:c r="G477" s="81" t="str">
        <x:v>—</x:v>
      </x:c>
      <x:c r="H477" s="81" t="str">
        <x:v>—</x:v>
      </x:c>
      <x:c r="I477" s="81" t="str">
        <x:v>—</x:v>
      </x:c>
      <x:c r="J477" s="81" t="str">
        <x:v>—</x:v>
      </x:c>
      <x:c r="K477" s="81" t="str">
        <x:v>산악2</x:v>
      </x:c>
      <x:c r="L477" s="81" t="str">
        <x:v>설원1</x:v>
      </x:c>
      <x:c r="M477" s="81" t="str">
        <x:v>산악1</x:v>
      </x:c>
      <x:c r="N477" s="81" t="str">
        <x:v>설원1</x:v>
      </x:c>
      <x:c r="O477" s="81" t="str">
        <x:v>산악2</x:v>
      </x:c>
      <x:c r="P477" s="81" t="str">
        <x:v>설원1</x:v>
      </x:c>
      <x:c r="Q477" s="81" t="str">
        <x:v>—</x:v>
      </x:c>
      <x:c r="R477" s="81" t="str">
        <x:v>—</x:v>
      </x:c>
      <x:c r="S477" s="81" t="str">
        <x:v>산악2</x:v>
      </x:c>
      <x:c r="T477" s="81" t="str">
        <x:v>설원1</x:v>
      </x:c>
      <x:c r="U477" s="81" t="str">
        <x:v>산악3</x:v>
      </x:c>
      <x:c r="V477" s="81" t="str">
        <x:v>설원1</x:v>
      </x:c>
    </x:row>
    <x:row r="478">
      <x:c r="A478" s="80" t="n">
        <x:v>474</x:v>
      </x:c>
      <x:c r="B478" s="80" t="str">
        <x:v>폴리곤Z</x:v>
      </x:c>
      <x:c r="C478" s="80" t="str">
        <x:v>porygonz</x:v>
      </x:c>
      <x:c r="D478" s="80" t="str">
        <x:v>도시</x:v>
      </x:c>
      <x:c r="E478" s="81" t="str">
        <x:v>—</x:v>
      </x:c>
      <x:c r="F478" s="81" t="str">
        <x:v>—</x:v>
      </x:c>
      <x:c r="G478" s="81" t="str">
        <x:v>—</x:v>
      </x:c>
      <x:c r="H478" s="81" t="str">
        <x:v>—</x:v>
      </x:c>
      <x:c r="I478" s="81" t="str">
        <x:v>—</x:v>
      </x:c>
      <x:c r="J478" s="81" t="str">
        <x:v>—</x:v>
      </x:c>
      <x:c r="K478" s="81" t="str">
        <x:v>도시1</x:v>
      </x:c>
      <x:c r="L478" s="81" t="str">
        <x:v>평원3</x:v>
      </x:c>
      <x:c r="M478" s="81" t="str">
        <x:v>—</x:v>
      </x:c>
      <x:c r="N478" s="81" t="str">
        <x:v>—</x:v>
      </x:c>
      <x:c r="O478" s="81" t="str">
        <x:v>—</x:v>
      </x:c>
      <x:c r="P478" s="81" t="str">
        <x:v>—</x:v>
      </x:c>
      <x:c r="Q478" s="81" t="str">
        <x:v>도시1</x:v>
      </x:c>
      <x:c r="R478" s="81" t="str">
        <x:v>평원4</x:v>
      </x:c>
      <x:c r="S478" s="81" t="str">
        <x:v>도시1</x:v>
      </x:c>
      <x:c r="T478" s="81" t="str">
        <x:v>평원4</x:v>
      </x:c>
      <x:c r="U478" s="81" t="str">
        <x:v>도시1</x:v>
      </x:c>
      <x:c r="V478" s="81" t="str">
        <x:v>평원4</x:v>
      </x:c>
    </x:row>
    <x:row r="479">
      <x:c r="A479" s="80" t="n">
        <x:v>475</x:v>
      </x:c>
      <x:c r="B479" s="80" t="str">
        <x:v>엘레이드</x:v>
      </x:c>
      <x:c r="C479" s="80" t="str">
        <x:v>gallade</x:v>
      </x:c>
      <x:c r="D479" s="80" t="str">
        <x:v>숲</x:v>
      </x:c>
      <x:c r="E479" s="81" t="str">
        <x:v>—</x:v>
      </x:c>
      <x:c r="F479" s="81" t="str">
        <x:v>—</x:v>
      </x:c>
      <x:c r="G479" s="81" t="str">
        <x:v>—</x:v>
      </x:c>
      <x:c r="H479" s="81" t="str">
        <x:v>—</x:v>
      </x:c>
      <x:c r="I479" s="81" t="str">
        <x:v>—</x:v>
      </x:c>
      <x:c r="J479" s="81" t="str">
        <x:v>—</x:v>
      </x:c>
      <x:c r="K479" s="81" t="str">
        <x:v>숲3</x:v>
      </x:c>
      <x:c r="L479" s="81" t="str">
        <x:v>평원3</x:v>
      </x:c>
      <x:c r="M479" s="81" t="str">
        <x:v>—</x:v>
      </x:c>
      <x:c r="N479" s="81" t="str">
        <x:v>—</x:v>
      </x:c>
      <x:c r="O479" s="81" t="str">
        <x:v>숲4</x:v>
      </x:c>
      <x:c r="P479" s="81" t="str">
        <x:v>평원4</x:v>
      </x:c>
      <x:c r="Q479" s="81" t="str">
        <x:v>—</x:v>
      </x:c>
      <x:c r="R479" s="81" t="str">
        <x:v>—</x:v>
      </x:c>
      <x:c r="S479" s="81" t="str">
        <x:v>숲3</x:v>
      </x:c>
      <x:c r="T479" s="81" t="str">
        <x:v>평원4</x:v>
      </x:c>
      <x:c r="U479" s="81" t="str">
        <x:v>숲4</x:v>
      </x:c>
      <x:c r="V479" s="81" t="str">
        <x:v>평원4</x:v>
      </x:c>
    </x:row>
    <x:row r="480">
      <x:c r="A480" s="80" t="n">
        <x:v>476</x:v>
      </x:c>
      <x:c r="B480" s="80" t="str">
        <x:v>대코파스</x:v>
      </x:c>
      <x:c r="C480" s="80" t="str">
        <x:v>probopass</x:v>
      </x:c>
      <x:c r="D480" s="80" t="str">
        <x:v>산악</x:v>
      </x:c>
      <x:c r="E480" s="81" t="str">
        <x:v>—</x:v>
      </x:c>
      <x:c r="F480" s="81" t="str">
        <x:v>—</x:v>
      </x:c>
      <x:c r="G480" s="81" t="str">
        <x:v>—</x:v>
      </x:c>
      <x:c r="H480" s="81" t="str">
        <x:v>—</x:v>
      </x:c>
      <x:c r="I480" s="81" t="str">
        <x:v>—</x:v>
      </x:c>
      <x:c r="J480" s="81" t="str">
        <x:v>—</x:v>
      </x:c>
      <x:c r="K480" s="81" t="str">
        <x:v>산악2</x:v>
      </x:c>
      <x:c r="L480" s="81" t="str">
        <x:v>평원3</x:v>
      </x:c>
      <x:c r="M480" s="81" t="str">
        <x:v>산악1</x:v>
      </x:c>
      <x:c r="N480" s="81" t="str">
        <x:v>평원2</x:v>
      </x:c>
      <x:c r="O480" s="81" t="str">
        <x:v>산악2</x:v>
      </x:c>
      <x:c r="P480" s="81" t="str">
        <x:v>평원4</x:v>
      </x:c>
      <x:c r="Q480" s="81" t="str">
        <x:v>산악2</x:v>
      </x:c>
      <x:c r="R480" s="81" t="str">
        <x:v>평원4</x:v>
      </x:c>
      <x:c r="S480" s="81" t="str">
        <x:v>—</x:v>
      </x:c>
      <x:c r="T480" s="81" t="str">
        <x:v>—</x:v>
      </x:c>
      <x:c r="U480" s="81" t="str">
        <x:v>산악3</x:v>
      </x:c>
      <x:c r="V480" s="81" t="str">
        <x:v>평원4</x:v>
      </x:c>
    </x:row>
    <x:row r="481">
      <x:c r="A481" s="80" t="n">
        <x:v>477</x:v>
      </x:c>
      <x:c r="B481" s="80" t="str">
        <x:v>야느와르몽</x:v>
      </x:c>
      <x:c r="C481" s="80" t="str">
        <x:v>dusknoir</x:v>
      </x:c>
      <x:c r="D481" s="80" t="str">
        <x:v>특수</x:v>
      </x:c>
      <x:c r="E481" s="81" t="str">
        <x:v>—</x:v>
      </x:c>
      <x:c r="F481" s="81" t="str">
        <x:v>—</x:v>
      </x:c>
      <x:c r="G481" s="81" t="str">
        <x:v>—</x:v>
      </x:c>
      <x:c r="H481" s="81" t="str">
        <x:v>—</x:v>
      </x:c>
      <x:c r="I481" s="81" t="str">
        <x:v>—</x:v>
      </x:c>
      <x:c r="J481" s="81" t="str">
        <x:v>—</x:v>
      </x:c>
      <x:c r="K481" s="81" t="str">
        <x:v>특수1</x:v>
      </x:c>
      <x:c r="L481" s="81" t="str">
        <x:v>평원3</x:v>
      </x:c>
      <x:c r="M481" s="81" t="str">
        <x:v>—</x:v>
      </x:c>
      <x:c r="N481" s="81" t="str">
        <x:v>—</x:v>
      </x:c>
      <x:c r="O481" s="81" t="str">
        <x:v>—</x:v>
      </x:c>
      <x:c r="P481" s="81" t="str">
        <x:v>—</x:v>
      </x:c>
      <x:c r="Q481" s="81" t="str">
        <x:v>—</x:v>
      </x:c>
      <x:c r="R481" s="81" t="str">
        <x:v>—</x:v>
      </x:c>
      <x:c r="S481" s="81" t="str">
        <x:v>특수1</x:v>
      </x:c>
      <x:c r="T481" s="81" t="str">
        <x:v>평원4</x:v>
      </x:c>
      <x:c r="U481" s="81" t="str">
        <x:v>특수1</x:v>
      </x:c>
      <x:c r="V481" s="81" t="str">
        <x:v>평원4</x:v>
      </x:c>
    </x:row>
    <x:row r="482">
      <x:c r="A482" s="80" t="n">
        <x:v>478</x:v>
      </x:c>
      <x:c r="B482" s="80" t="str">
        <x:v>눈여아</x:v>
      </x:c>
      <x:c r="C482" s="80" t="str">
        <x:v>froslass</x:v>
      </x:c>
      <x:c r="D482" s="80" t="str">
        <x:v>설원</x:v>
      </x:c>
      <x:c r="E482" s="81" t="str">
        <x:v>—</x:v>
      </x:c>
      <x:c r="F482" s="81" t="str">
        <x:v>—</x:v>
      </x:c>
      <x:c r="G482" s="81" t="str">
        <x:v>—</x:v>
      </x:c>
      <x:c r="H482" s="81" t="str">
        <x:v>—</x:v>
      </x:c>
      <x:c r="I482" s="81" t="str">
        <x:v>—</x:v>
      </x:c>
      <x:c r="J482" s="81" t="str">
        <x:v>—</x:v>
      </x:c>
      <x:c r="K482" s="81" t="str">
        <x:v>설원1</x:v>
      </x:c>
      <x:c r="L482" s="81" t="str">
        <x:v>특수1</x:v>
      </x:c>
      <x:c r="M482" s="81" t="str">
        <x:v>—</x:v>
      </x:c>
      <x:c r="N482" s="81" t="str">
        <x:v>—</x:v>
      </x:c>
      <x:c r="O482" s="81" t="str">
        <x:v>—</x:v>
      </x:c>
      <x:c r="P482" s="81" t="str">
        <x:v>—</x:v>
      </x:c>
      <x:c r="Q482" s="81" t="str">
        <x:v>설원1</x:v>
      </x:c>
      <x:c r="R482" s="81" t="str">
        <x:v>특수1</x:v>
      </x:c>
      <x:c r="S482" s="81" t="str">
        <x:v>설원1</x:v>
      </x:c>
      <x:c r="T482" s="81" t="str">
        <x:v>특수1</x:v>
      </x:c>
      <x:c r="U482" s="81" t="str">
        <x:v>설원1</x:v>
      </x:c>
      <x:c r="V482" s="81" t="str">
        <x:v>특수1</x:v>
      </x:c>
    </x:row>
    <x:row r="483">
      <x:c r="A483" s="80" t="n">
        <x:v>479</x:v>
      </x:c>
      <x:c r="B483" s="80" t="str">
        <x:v>로토무</x:v>
      </x:c>
      <x:c r="C483" s="80" t="str">
        <x:v>rotom</x:v>
      </x:c>
      <x:c r="D483" s="80" t="str">
        <x:v>도시</x:v>
      </x:c>
      <x:c r="E483" s="81" t="str">
        <x:v>—</x:v>
      </x:c>
      <x:c r="F483" s="81" t="str">
        <x:v>—</x:v>
      </x:c>
      <x:c r="G483" s="81" t="str">
        <x:v>—</x:v>
      </x:c>
      <x:c r="H483" s="81" t="str">
        <x:v>—</x:v>
      </x:c>
      <x:c r="I483" s="81" t="str">
        <x:v>—</x:v>
      </x:c>
      <x:c r="J483" s="81" t="str">
        <x:v>—</x:v>
      </x:c>
      <x:c r="K483" s="81" t="str">
        <x:v>도시1</x:v>
      </x:c>
      <x:c r="L483" s="81" t="str">
        <x:v>특수1</x:v>
      </x:c>
      <x:c r="M483" s="81" t="str">
        <x:v>—</x:v>
      </x:c>
      <x:c r="N483" s="81" t="str">
        <x:v>—</x:v>
      </x:c>
      <x:c r="O483" s="81" t="str">
        <x:v>도시1</x:v>
      </x:c>
      <x:c r="P483" s="81" t="str">
        <x:v>특수1</x:v>
      </x:c>
      <x:c r="Q483" s="81" t="str">
        <x:v>—</x:v>
      </x:c>
      <x:c r="R483" s="81" t="str">
        <x:v>—</x:v>
      </x:c>
      <x:c r="S483" s="81" t="str">
        <x:v>도시1</x:v>
      </x:c>
      <x:c r="T483" s="81" t="str">
        <x:v>특수1</x:v>
      </x:c>
      <x:c r="U483" s="81" t="str">
        <x:v>도시1</x:v>
      </x:c>
      <x:c r="V483" s="81" t="str">
        <x:v>특수1</x:v>
      </x:c>
    </x:row>
    <x:row r="484">
      <x:c r="A484" s="80" t="n">
        <x:v>480</x:v>
      </x:c>
      <x:c r="B484" s="80" t="str">
        <x:v>유크시</x:v>
      </x:c>
      <x:c r="C484" s="80" t="str">
        <x:v>uxie</x:v>
      </x:c>
      <x:c r="D484" s="80" t="str">
        <x:v>특수</x:v>
      </x:c>
      <x:c r="E484" s="81" t="str">
        <x:v>—</x:v>
      </x:c>
      <x:c r="F484" s="81" t="str">
        <x:v>—</x:v>
      </x:c>
      <x:c r="G484" s="81" t="str">
        <x:v>—</x:v>
      </x:c>
      <x:c r="H484" s="81" t="str">
        <x:v>—</x:v>
      </x:c>
      <x:c r="I484" s="81" t="str">
        <x:v>—</x:v>
      </x:c>
      <x:c r="J484" s="81" t="str">
        <x:v>—</x:v>
      </x:c>
      <x:c r="K484" s="81" t="str">
        <x:v>—</x:v>
      </x:c>
      <x:c r="L484" s="81" t="str">
        <x:v>—</x:v>
      </x:c>
      <x:c r="M484" s="81" t="str">
        <x:v>—</x:v>
      </x:c>
      <x:c r="N484" s="81" t="str">
        <x:v>—</x:v>
      </x:c>
      <x:c r="O484" s="81" t="str">
        <x:v>—</x:v>
      </x:c>
      <x:c r="P484" s="81" t="str">
        <x:v>—</x:v>
      </x:c>
      <x:c r="Q484" s="81" t="str">
        <x:v>—</x:v>
      </x:c>
      <x:c r="R484" s="81" t="str">
        <x:v>—</x:v>
      </x:c>
      <x:c r="S484" s="81" t="str">
        <x:v>—</x:v>
      </x:c>
      <x:c r="T484" s="81" t="str">
        <x:v>—</x:v>
      </x:c>
      <x:c r="U484" s="81" t="str">
        <x:v>—</x:v>
      </x:c>
      <x:c r="V484" s="81" t="str">
        <x:v>—</x:v>
      </x:c>
    </x:row>
    <x:row r="485">
      <x:c r="A485" s="80" t="n">
        <x:v>481</x:v>
      </x:c>
      <x:c r="B485" s="80" t="str">
        <x:v>엠라이트</x:v>
      </x:c>
      <x:c r="C485" s="80" t="str">
        <x:v>mesprit</x:v>
      </x:c>
      <x:c r="D485" s="80" t="str">
        <x:v>특수</x:v>
      </x:c>
      <x:c r="E485" s="81" t="str">
        <x:v>—</x:v>
      </x:c>
      <x:c r="F485" s="81" t="str">
        <x:v>—</x:v>
      </x:c>
      <x:c r="G485" s="81" t="str">
        <x:v>—</x:v>
      </x:c>
      <x:c r="H485" s="81" t="str">
        <x:v>—</x:v>
      </x:c>
      <x:c r="I485" s="81" t="str">
        <x:v>—</x:v>
      </x:c>
      <x:c r="J485" s="81" t="str">
        <x:v>—</x:v>
      </x:c>
      <x:c r="K485" s="81" t="str">
        <x:v>—</x:v>
      </x:c>
      <x:c r="L485" s="81" t="str">
        <x:v>—</x:v>
      </x:c>
      <x:c r="M485" s="81" t="str">
        <x:v>—</x:v>
      </x:c>
      <x:c r="N485" s="81" t="str">
        <x:v>—</x:v>
      </x:c>
      <x:c r="O485" s="81" t="str">
        <x:v>—</x:v>
      </x:c>
      <x:c r="P485" s="81" t="str">
        <x:v>—</x:v>
      </x:c>
      <x:c r="Q485" s="81" t="str">
        <x:v>—</x:v>
      </x:c>
      <x:c r="R485" s="81" t="str">
        <x:v>—</x:v>
      </x:c>
      <x:c r="S485" s="81" t="str">
        <x:v>—</x:v>
      </x:c>
      <x:c r="T485" s="81" t="str">
        <x:v>—</x:v>
      </x:c>
      <x:c r="U485" s="81" t="str">
        <x:v>—</x:v>
      </x:c>
      <x:c r="V485" s="81" t="str">
        <x:v>—</x:v>
      </x:c>
    </x:row>
    <x:row r="486">
      <x:c r="A486" s="80" t="n">
        <x:v>482</x:v>
      </x:c>
      <x:c r="B486" s="80" t="str">
        <x:v>아그놈</x:v>
      </x:c>
      <x:c r="C486" s="80" t="str">
        <x:v>azelf</x:v>
      </x:c>
      <x:c r="D486" s="80" t="str">
        <x:v>특수</x:v>
      </x:c>
      <x:c r="E486" s="81" t="str">
        <x:v>—</x:v>
      </x:c>
      <x:c r="F486" s="81" t="str">
        <x:v>—</x:v>
      </x:c>
      <x:c r="G486" s="81" t="str">
        <x:v>—</x:v>
      </x:c>
      <x:c r="H486" s="81" t="str">
        <x:v>—</x:v>
      </x:c>
      <x:c r="I486" s="81" t="str">
        <x:v>—</x:v>
      </x:c>
      <x:c r="J486" s="81" t="str">
        <x:v>—</x:v>
      </x:c>
      <x:c r="K486" s="81" t="str">
        <x:v>—</x:v>
      </x:c>
      <x:c r="L486" s="81" t="str">
        <x:v>—</x:v>
      </x:c>
      <x:c r="M486" s="81" t="str">
        <x:v>—</x:v>
      </x:c>
      <x:c r="N486" s="81" t="str">
        <x:v>—</x:v>
      </x:c>
      <x:c r="O486" s="81" t="str">
        <x:v>—</x:v>
      </x:c>
      <x:c r="P486" s="81" t="str">
        <x:v>—</x:v>
      </x:c>
      <x:c r="Q486" s="81" t="str">
        <x:v>—</x:v>
      </x:c>
      <x:c r="R486" s="81" t="str">
        <x:v>—</x:v>
      </x:c>
      <x:c r="S486" s="81" t="str">
        <x:v>—</x:v>
      </x:c>
      <x:c r="T486" s="81" t="str">
        <x:v>—</x:v>
      </x:c>
      <x:c r="U486" s="81" t="str">
        <x:v>—</x:v>
      </x:c>
      <x:c r="V486" s="81" t="str">
        <x:v>—</x:v>
      </x:c>
    </x:row>
    <x:row r="487">
      <x:c r="A487" s="80" t="n">
        <x:v>483</x:v>
      </x:c>
      <x:c r="B487" s="80" t="str">
        <x:v>디아루가</x:v>
      </x:c>
      <x:c r="C487" s="80" t="str">
        <x:v>dialga</x:v>
      </x:c>
      <x:c r="D487" s="80" t="str">
        <x:v>특수</x:v>
      </x:c>
      <x:c r="E487" s="81" t="str">
        <x:v>—</x:v>
      </x:c>
      <x:c r="F487" s="81" t="str">
        <x:v>—</x:v>
      </x:c>
      <x:c r="G487" s="81" t="str">
        <x:v>—</x:v>
      </x:c>
      <x:c r="H487" s="81" t="str">
        <x:v>—</x:v>
      </x:c>
      <x:c r="I487" s="81" t="str">
        <x:v>—</x:v>
      </x:c>
      <x:c r="J487" s="81" t="str">
        <x:v>—</x:v>
      </x:c>
      <x:c r="K487" s="81" t="str">
        <x:v>—</x:v>
      </x:c>
      <x:c r="L487" s="81" t="str">
        <x:v>—</x:v>
      </x:c>
      <x:c r="M487" s="81" t="str">
        <x:v>—</x:v>
      </x:c>
      <x:c r="N487" s="81" t="str">
        <x:v>—</x:v>
      </x:c>
      <x:c r="O487" s="81" t="str">
        <x:v>—</x:v>
      </x:c>
      <x:c r="P487" s="81" t="str">
        <x:v>—</x:v>
      </x:c>
      <x:c r="Q487" s="81" t="str">
        <x:v>—</x:v>
      </x:c>
      <x:c r="R487" s="81" t="str">
        <x:v>—</x:v>
      </x:c>
      <x:c r="S487" s="81" t="str">
        <x:v>—</x:v>
      </x:c>
      <x:c r="T487" s="81" t="str">
        <x:v>—</x:v>
      </x:c>
      <x:c r="U487" s="81" t="str">
        <x:v>—</x:v>
      </x:c>
      <x:c r="V487" s="81" t="str">
        <x:v>—</x:v>
      </x:c>
    </x:row>
    <x:row r="488">
      <x:c r="A488" s="80" t="n">
        <x:v>484</x:v>
      </x:c>
      <x:c r="B488" s="80" t="str">
        <x:v>펄기아</x:v>
      </x:c>
      <x:c r="C488" s="80" t="str">
        <x:v>palkia</x:v>
      </x:c>
      <x:c r="D488" s="80" t="str">
        <x:v>특수</x:v>
      </x:c>
      <x:c r="E488" s="81" t="str">
        <x:v>—</x:v>
      </x:c>
      <x:c r="F488" s="81" t="str">
        <x:v>—</x:v>
      </x:c>
      <x:c r="G488" s="81" t="str">
        <x:v>—</x:v>
      </x:c>
      <x:c r="H488" s="81" t="str">
        <x:v>—</x:v>
      </x:c>
      <x:c r="I488" s="81" t="str">
        <x:v>—</x:v>
      </x:c>
      <x:c r="J488" s="81" t="str">
        <x:v>—</x:v>
      </x:c>
      <x:c r="K488" s="81" t="str">
        <x:v>—</x:v>
      </x:c>
      <x:c r="L488" s="81" t="str">
        <x:v>—</x:v>
      </x:c>
      <x:c r="M488" s="81" t="str">
        <x:v>—</x:v>
      </x:c>
      <x:c r="N488" s="81" t="str">
        <x:v>—</x:v>
      </x:c>
      <x:c r="O488" s="81" t="str">
        <x:v>—</x:v>
      </x:c>
      <x:c r="P488" s="81" t="str">
        <x:v>—</x:v>
      </x:c>
      <x:c r="Q488" s="81" t="str">
        <x:v>—</x:v>
      </x:c>
      <x:c r="R488" s="81" t="str">
        <x:v>—</x:v>
      </x:c>
      <x:c r="S488" s="81" t="str">
        <x:v>—</x:v>
      </x:c>
      <x:c r="T488" s="81" t="str">
        <x:v>—</x:v>
      </x:c>
      <x:c r="U488" s="81" t="str">
        <x:v>—</x:v>
      </x:c>
      <x:c r="V488" s="81" t="str">
        <x:v>—</x:v>
      </x:c>
    </x:row>
    <x:row r="489">
      <x:c r="A489" s="80" t="n">
        <x:v>485</x:v>
      </x:c>
      <x:c r="B489" s="80" t="str">
        <x:v>히드런</x:v>
      </x:c>
      <x:c r="C489" s="80" t="str">
        <x:v>heatran</x:v>
      </x:c>
      <x:c r="D489" s="80" t="str">
        <x:v>평원</x:v>
      </x:c>
      <x:c r="E489" s="81" t="str">
        <x:v>—</x:v>
      </x:c>
      <x:c r="F489" s="81" t="str">
        <x:v>—</x:v>
      </x:c>
      <x:c r="G489" s="81" t="str">
        <x:v>—</x:v>
      </x:c>
      <x:c r="H489" s="81" t="str">
        <x:v>—</x:v>
      </x:c>
      <x:c r="I489" s="81" t="str">
        <x:v>—</x:v>
      </x:c>
      <x:c r="J489" s="81" t="str">
        <x:v>—</x:v>
      </x:c>
      <x:c r="K489" s="81" t="str">
        <x:v>—</x:v>
      </x:c>
      <x:c r="L489" s="81" t="str">
        <x:v>—</x:v>
      </x:c>
      <x:c r="M489" s="81" t="str">
        <x:v>—</x:v>
      </x:c>
      <x:c r="N489" s="81" t="str">
        <x:v>—</x:v>
      </x:c>
      <x:c r="O489" s="81" t="str">
        <x:v>—</x:v>
      </x:c>
      <x:c r="P489" s="81" t="str">
        <x:v>—</x:v>
      </x:c>
      <x:c r="Q489" s="81" t="str">
        <x:v>—</x:v>
      </x:c>
      <x:c r="R489" s="81" t="str">
        <x:v>—</x:v>
      </x:c>
      <x:c r="S489" s="81" t="str">
        <x:v>—</x:v>
      </x:c>
      <x:c r="T489" s="81" t="str">
        <x:v>—</x:v>
      </x:c>
      <x:c r="U489" s="81" t="str">
        <x:v>—</x:v>
      </x:c>
      <x:c r="V489" s="81" t="str">
        <x:v>—</x:v>
      </x:c>
    </x:row>
    <x:row r="490">
      <x:c r="A490" s="80" t="n">
        <x:v>486</x:v>
      </x:c>
      <x:c r="B490" s="80" t="str">
        <x:v>레지기가스</x:v>
      </x:c>
      <x:c r="C490" s="80" t="str">
        <x:v>regigigas</x:v>
      </x:c>
      <x:c r="D490" s="80" t="str">
        <x:v>평원</x:v>
      </x:c>
      <x:c r="E490" s="81" t="str">
        <x:v>—</x:v>
      </x:c>
      <x:c r="F490" s="81" t="str">
        <x:v>—</x:v>
      </x:c>
      <x:c r="G490" s="81" t="str">
        <x:v>—</x:v>
      </x:c>
      <x:c r="H490" s="81" t="str">
        <x:v>—</x:v>
      </x:c>
      <x:c r="I490" s="81" t="str">
        <x:v>—</x:v>
      </x:c>
      <x:c r="J490" s="81" t="str">
        <x:v>—</x:v>
      </x:c>
      <x:c r="K490" s="81" t="str">
        <x:v>—</x:v>
      </x:c>
      <x:c r="L490" s="81" t="str">
        <x:v>—</x:v>
      </x:c>
      <x:c r="M490" s="81" t="str">
        <x:v>—</x:v>
      </x:c>
      <x:c r="N490" s="81" t="str">
        <x:v>—</x:v>
      </x:c>
      <x:c r="O490" s="81" t="str">
        <x:v>—</x:v>
      </x:c>
      <x:c r="P490" s="81" t="str">
        <x:v>—</x:v>
      </x:c>
      <x:c r="Q490" s="81" t="str">
        <x:v>—</x:v>
      </x:c>
      <x:c r="R490" s="81" t="str">
        <x:v>—</x:v>
      </x:c>
      <x:c r="S490" s="81" t="str">
        <x:v>—</x:v>
      </x:c>
      <x:c r="T490" s="81" t="str">
        <x:v>—</x:v>
      </x:c>
      <x:c r="U490" s="81" t="str">
        <x:v>—</x:v>
      </x:c>
      <x:c r="V490" s="81" t="str">
        <x:v>—</x:v>
      </x:c>
    </x:row>
    <x:row r="491">
      <x:c r="A491" s="80" t="n">
        <x:v>487</x:v>
      </x:c>
      <x:c r="B491" s="80" t="str">
        <x:v>기라티나</x:v>
      </x:c>
      <x:c r="C491" s="80" t="str">
        <x:v>giratina</x:v>
      </x:c>
      <x:c r="D491" s="80" t="str">
        <x:v>특수</x:v>
      </x:c>
      <x:c r="E491" s="81" t="str">
        <x:v>—</x:v>
      </x:c>
      <x:c r="F491" s="81" t="str">
        <x:v>—</x:v>
      </x:c>
      <x:c r="G491" s="81" t="str">
        <x:v>—</x:v>
      </x:c>
      <x:c r="H491" s="81" t="str">
        <x:v>—</x:v>
      </x:c>
      <x:c r="I491" s="81" t="str">
        <x:v>—</x:v>
      </x:c>
      <x:c r="J491" s="81" t="str">
        <x:v>—</x:v>
      </x:c>
      <x:c r="K491" s="81" t="str">
        <x:v>—</x:v>
      </x:c>
      <x:c r="L491" s="81" t="str">
        <x:v>—</x:v>
      </x:c>
      <x:c r="M491" s="81" t="str">
        <x:v>—</x:v>
      </x:c>
      <x:c r="N491" s="81" t="str">
        <x:v>—</x:v>
      </x:c>
      <x:c r="O491" s="81" t="str">
        <x:v>—</x:v>
      </x:c>
      <x:c r="P491" s="81" t="str">
        <x:v>—</x:v>
      </x:c>
      <x:c r="Q491" s="81" t="str">
        <x:v>—</x:v>
      </x:c>
      <x:c r="R491" s="81" t="str">
        <x:v>—</x:v>
      </x:c>
      <x:c r="S491" s="81" t="str">
        <x:v>—</x:v>
      </x:c>
      <x:c r="T491" s="81" t="str">
        <x:v>—</x:v>
      </x:c>
      <x:c r="U491" s="81" t="str">
        <x:v>—</x:v>
      </x:c>
      <x:c r="V491" s="81" t="str">
        <x:v>—</x:v>
      </x:c>
    </x:row>
    <x:row r="492">
      <x:c r="A492" s="80" t="n">
        <x:v>488</x:v>
      </x:c>
      <x:c r="B492" s="80" t="str">
        <x:v>크레세리아</x:v>
      </x:c>
      <x:c r="C492" s="80" t="str">
        <x:v>cresselia</x:v>
      </x:c>
      <x:c r="D492" s="80" t="str">
        <x:v>특수</x:v>
      </x:c>
      <x:c r="E492" s="81" t="str">
        <x:v>—</x:v>
      </x:c>
      <x:c r="F492" s="81" t="str">
        <x:v>—</x:v>
      </x:c>
      <x:c r="G492" s="81" t="str">
        <x:v>—</x:v>
      </x:c>
      <x:c r="H492" s="81" t="str">
        <x:v>—</x:v>
      </x:c>
      <x:c r="I492" s="81" t="str">
        <x:v>—</x:v>
      </x:c>
      <x:c r="J492" s="81" t="str">
        <x:v>—</x:v>
      </x:c>
      <x:c r="K492" s="81" t="str">
        <x:v>—</x:v>
      </x:c>
      <x:c r="L492" s="81" t="str">
        <x:v>—</x:v>
      </x:c>
      <x:c r="M492" s="81" t="str">
        <x:v>—</x:v>
      </x:c>
      <x:c r="N492" s="81" t="str">
        <x:v>—</x:v>
      </x:c>
      <x:c r="O492" s="81" t="str">
        <x:v>—</x:v>
      </x:c>
      <x:c r="P492" s="81" t="str">
        <x:v>—</x:v>
      </x:c>
      <x:c r="Q492" s="81" t="str">
        <x:v>—</x:v>
      </x:c>
      <x:c r="R492" s="81" t="str">
        <x:v>—</x:v>
      </x:c>
      <x:c r="S492" s="81" t="str">
        <x:v>—</x:v>
      </x:c>
      <x:c r="T492" s="81" t="str">
        <x:v>—</x:v>
      </x:c>
      <x:c r="U492" s="81" t="str">
        <x:v>—</x:v>
      </x:c>
      <x:c r="V492" s="81" t="str">
        <x:v>—</x:v>
      </x:c>
    </x:row>
    <x:row r="493">
      <x:c r="A493" s="80" t="n">
        <x:v>489</x:v>
      </x:c>
      <x:c r="B493" s="80" t="str">
        <x:v>피오네</x:v>
      </x:c>
      <x:c r="C493" s="80" t="str">
        <x:v>phione</x:v>
      </x:c>
      <x:c r="D493" s="80" t="str">
        <x:v>담수</x:v>
      </x:c>
      <x:c r="E493" s="81" t="str">
        <x:v>—</x:v>
      </x:c>
      <x:c r="F493" s="81" t="str">
        <x:v>—</x:v>
      </x:c>
      <x:c r="G493" s="81" t="str">
        <x:v>—</x:v>
      </x:c>
      <x:c r="H493" s="81" t="str">
        <x:v>—</x:v>
      </x:c>
      <x:c r="I493" s="81" t="str">
        <x:v>—</x:v>
      </x:c>
      <x:c r="J493" s="81" t="str">
        <x:v>—</x:v>
      </x:c>
      <x:c r="K493" s="81" t="str">
        <x:v>—</x:v>
      </x:c>
      <x:c r="L493" s="81" t="str">
        <x:v>—</x:v>
      </x:c>
      <x:c r="M493" s="81" t="str">
        <x:v>—</x:v>
      </x:c>
      <x:c r="N493" s="81" t="str">
        <x:v>—</x:v>
      </x:c>
      <x:c r="O493" s="81" t="str">
        <x:v>—</x:v>
      </x:c>
      <x:c r="P493" s="81" t="str">
        <x:v>—</x:v>
      </x:c>
      <x:c r="Q493" s="81" t="str">
        <x:v>—</x:v>
      </x:c>
      <x:c r="R493" s="81" t="str">
        <x:v>—</x:v>
      </x:c>
      <x:c r="S493" s="81" t="str">
        <x:v>—</x:v>
      </x:c>
      <x:c r="T493" s="81" t="str">
        <x:v>—</x:v>
      </x:c>
      <x:c r="U493" s="81" t="str">
        <x:v>—</x:v>
      </x:c>
      <x:c r="V493" s="81" t="str">
        <x:v>—</x:v>
      </x:c>
    </x:row>
    <x:row r="494">
      <x:c r="A494" s="80" t="n">
        <x:v>490</x:v>
      </x:c>
      <x:c r="B494" s="80" t="str">
        <x:v>마나피</x:v>
      </x:c>
      <x:c r="C494" s="80" t="str">
        <x:v>manaphy</x:v>
      </x:c>
      <x:c r="D494" s="80" t="str">
        <x:v>담수</x:v>
      </x:c>
      <x:c r="E494" s="81" t="str">
        <x:v>—</x:v>
      </x:c>
      <x:c r="F494" s="81" t="str">
        <x:v>—</x:v>
      </x:c>
      <x:c r="G494" s="81" t="str">
        <x:v>—</x:v>
      </x:c>
      <x:c r="H494" s="81" t="str">
        <x:v>—</x:v>
      </x:c>
      <x:c r="I494" s="81" t="str">
        <x:v>—</x:v>
      </x:c>
      <x:c r="J494" s="81" t="str">
        <x:v>—</x:v>
      </x:c>
      <x:c r="K494" s="81" t="str">
        <x:v>—</x:v>
      </x:c>
      <x:c r="L494" s="81" t="str">
        <x:v>—</x:v>
      </x:c>
      <x:c r="M494" s="81" t="str">
        <x:v>—</x:v>
      </x:c>
      <x:c r="N494" s="81" t="str">
        <x:v>—</x:v>
      </x:c>
      <x:c r="O494" s="81" t="str">
        <x:v>—</x:v>
      </x:c>
      <x:c r="P494" s="81" t="str">
        <x:v>—</x:v>
      </x:c>
      <x:c r="Q494" s="81" t="str">
        <x:v>—</x:v>
      </x:c>
      <x:c r="R494" s="81" t="str">
        <x:v>—</x:v>
      </x:c>
      <x:c r="S494" s="81" t="str">
        <x:v>—</x:v>
      </x:c>
      <x:c r="T494" s="81" t="str">
        <x:v>—</x:v>
      </x:c>
      <x:c r="U494" s="81" t="str">
        <x:v>—</x:v>
      </x:c>
      <x:c r="V494" s="81" t="str">
        <x:v>—</x:v>
      </x:c>
    </x:row>
    <x:row r="495">
      <x:c r="A495" s="80" t="n">
        <x:v>491</x:v>
      </x:c>
      <x:c r="B495" s="80" t="str">
        <x:v>다크라이</x:v>
      </x:c>
      <x:c r="C495" s="80" t="str">
        <x:v>darkrai</x:v>
      </x:c>
      <x:c r="D495" s="80" t="str">
        <x:v>특수</x:v>
      </x:c>
      <x:c r="E495" s="81" t="str">
        <x:v>—</x:v>
      </x:c>
      <x:c r="F495" s="81" t="str">
        <x:v>—</x:v>
      </x:c>
      <x:c r="G495" s="81" t="str">
        <x:v>—</x:v>
      </x:c>
      <x:c r="H495" s="81" t="str">
        <x:v>—</x:v>
      </x:c>
      <x:c r="I495" s="81" t="str">
        <x:v>—</x:v>
      </x:c>
      <x:c r="J495" s="81" t="str">
        <x:v>—</x:v>
      </x:c>
      <x:c r="K495" s="81" t="str">
        <x:v>—</x:v>
      </x:c>
      <x:c r="L495" s="81" t="str">
        <x:v>—</x:v>
      </x:c>
      <x:c r="M495" s="81" t="str">
        <x:v>—</x:v>
      </x:c>
      <x:c r="N495" s="81" t="str">
        <x:v>—</x:v>
      </x:c>
      <x:c r="O495" s="81" t="str">
        <x:v>—</x:v>
      </x:c>
      <x:c r="P495" s="81" t="str">
        <x:v>—</x:v>
      </x:c>
      <x:c r="Q495" s="81" t="str">
        <x:v>—</x:v>
      </x:c>
      <x:c r="R495" s="81" t="str">
        <x:v>—</x:v>
      </x:c>
      <x:c r="S495" s="81" t="str">
        <x:v>—</x:v>
      </x:c>
      <x:c r="T495" s="81" t="str">
        <x:v>—</x:v>
      </x:c>
      <x:c r="U495" s="81" t="str">
        <x:v>—</x:v>
      </x:c>
      <x:c r="V495" s="81" t="str">
        <x:v>—</x:v>
      </x:c>
    </x:row>
    <x:row r="496">
      <x:c r="A496" s="80" t="n">
        <x:v>492</x:v>
      </x:c>
      <x:c r="B496" s="80" t="str">
        <x:v>쉐이미</x:v>
      </x:c>
      <x:c r="C496" s="80" t="str">
        <x:v>shaymin</x:v>
      </x:c>
      <x:c r="D496" s="80" t="str">
        <x:v>숲</x:v>
      </x:c>
      <x:c r="E496" s="81" t="str">
        <x:v>—</x:v>
      </x:c>
      <x:c r="F496" s="81" t="str">
        <x:v>—</x:v>
      </x:c>
      <x:c r="G496" s="81" t="str">
        <x:v>—</x:v>
      </x:c>
      <x:c r="H496" s="81" t="str">
        <x:v>—</x:v>
      </x:c>
      <x:c r="I496" s="81" t="str">
        <x:v>—</x:v>
      </x:c>
      <x:c r="J496" s="81" t="str">
        <x:v>—</x:v>
      </x:c>
      <x:c r="K496" s="81" t="str">
        <x:v>—</x:v>
      </x:c>
      <x:c r="L496" s="81" t="str">
        <x:v>—</x:v>
      </x:c>
      <x:c r="M496" s="81" t="str">
        <x:v>—</x:v>
      </x:c>
      <x:c r="N496" s="81" t="str">
        <x:v>—</x:v>
      </x:c>
      <x:c r="O496" s="81" t="str">
        <x:v>—</x:v>
      </x:c>
      <x:c r="P496" s="81" t="str">
        <x:v>—</x:v>
      </x:c>
      <x:c r="Q496" s="81" t="str">
        <x:v>—</x:v>
      </x:c>
      <x:c r="R496" s="81" t="str">
        <x:v>—</x:v>
      </x:c>
      <x:c r="S496" s="81" t="str">
        <x:v>—</x:v>
      </x:c>
      <x:c r="T496" s="81" t="str">
        <x:v>—</x:v>
      </x:c>
      <x:c r="U496" s="81" t="str">
        <x:v>—</x:v>
      </x:c>
      <x:c r="V496" s="81" t="str">
        <x:v>—</x:v>
      </x:c>
    </x:row>
    <x:row r="497">
      <x:c r="A497" s="80" t="n">
        <x:v>493</x:v>
      </x:c>
      <x:c r="B497" s="80" t="str">
        <x:v>아르세우스</x:v>
      </x:c>
      <x:c r="C497" s="80" t="str">
        <x:v>arceus</x:v>
      </x:c>
      <x:c r="D497" s="80" t="str">
        <x:v>특수</x:v>
      </x:c>
      <x:c r="E497" s="81" t="str">
        <x:v>—</x:v>
      </x:c>
      <x:c r="F497" s="81" t="str">
        <x:v>—</x:v>
      </x:c>
      <x:c r="G497" s="81" t="str">
        <x:v>—</x:v>
      </x:c>
      <x:c r="H497" s="81" t="str">
        <x:v>—</x:v>
      </x:c>
      <x:c r="I497" s="81" t="str">
        <x:v>—</x:v>
      </x:c>
      <x:c r="J497" s="81" t="str">
        <x:v>—</x:v>
      </x:c>
      <x:c r="K497" s="81" t="str">
        <x:v>—</x:v>
      </x:c>
      <x:c r="L497" s="81" t="str">
        <x:v>—</x:v>
      </x:c>
      <x:c r="M497" s="81" t="str">
        <x:v>—</x:v>
      </x:c>
      <x:c r="N497" s="81" t="str">
        <x:v>—</x:v>
      </x:c>
      <x:c r="O497" s="81" t="str">
        <x:v>—</x:v>
      </x:c>
      <x:c r="P497" s="81" t="str">
        <x:v>—</x:v>
      </x:c>
      <x:c r="Q497" s="81" t="str">
        <x:v>—</x:v>
      </x:c>
      <x:c r="R497" s="81" t="str">
        <x:v>—</x:v>
      </x:c>
      <x:c r="S497" s="81" t="str">
        <x:v>—</x:v>
      </x:c>
      <x:c r="T497" s="81" t="str">
        <x:v>—</x:v>
      </x:c>
      <x:c r="U497" s="81" t="str">
        <x:v>—</x:v>
      </x:c>
      <x:c r="V497" s="81" t="str">
        <x:v>—</x:v>
      </x:c>
    </x:row>
    <x:row r="498">
      <x:c r="A498" s="80" t="n">
        <x:v>494</x:v>
      </x:c>
      <x:c r="B498" s="80" t="str">
        <x:v>비크티니</x:v>
      </x:c>
      <x:c r="C498" s="80" t="str">
        <x:v>victini</x:v>
      </x:c>
      <x:c r="D498" s="80" t="str">
        <x:v>숲</x:v>
      </x:c>
      <x:c r="E498" s="81" t="str">
        <x:v>—</x:v>
      </x:c>
      <x:c r="F498" s="81" t="str">
        <x:v>—</x:v>
      </x:c>
      <x:c r="G498" s="81" t="str">
        <x:v>—</x:v>
      </x:c>
      <x:c r="H498" s="81" t="str">
        <x:v>—</x:v>
      </x:c>
      <x:c r="I498" s="81" t="str">
        <x:v>—</x:v>
      </x:c>
      <x:c r="J498" s="81" t="str">
        <x:v>—</x:v>
      </x:c>
      <x:c r="K498" s="81" t="str">
        <x:v>—</x:v>
      </x:c>
      <x:c r="L498" s="81" t="str">
        <x:v>—</x:v>
      </x:c>
      <x:c r="M498" s="81" t="str">
        <x:v>—</x:v>
      </x:c>
      <x:c r="N498" s="81" t="str">
        <x:v>—</x:v>
      </x:c>
      <x:c r="O498" s="81" t="str">
        <x:v>—</x:v>
      </x:c>
      <x:c r="P498" s="81" t="str">
        <x:v>—</x:v>
      </x:c>
      <x:c r="Q498" s="81" t="str">
        <x:v>—</x:v>
      </x:c>
      <x:c r="R498" s="81" t="str">
        <x:v>—</x:v>
      </x:c>
      <x:c r="S498" s="81" t="str">
        <x:v>—</x:v>
      </x:c>
      <x:c r="T498" s="81" t="str">
        <x:v>—</x:v>
      </x:c>
      <x:c r="U498" s="81" t="str">
        <x:v>—</x:v>
      </x:c>
      <x:c r="V498" s="81" t="str">
        <x:v>—</x:v>
      </x:c>
    </x:row>
    <x:row r="499">
      <x:c r="A499" s="80" t="n">
        <x:v>495</x:v>
      </x:c>
      <x:c r="B499" s="80" t="str">
        <x:v>주리비얀</x:v>
      </x:c>
      <x:c r="C499" s="80" t="str">
        <x:v>snivy</x:v>
      </x:c>
      <x:c r="D499" s="80" t="str">
        <x:v>숲</x:v>
      </x:c>
      <x:c r="E499" s="81" t="str">
        <x:v>—</x:v>
      </x:c>
      <x:c r="F499" s="81" t="str">
        <x:v>—</x:v>
      </x:c>
      <x:c r="G499" s="81" t="str">
        <x:v>—</x:v>
      </x:c>
      <x:c r="H499" s="81" t="str">
        <x:v>—</x:v>
      </x:c>
      <x:c r="I499" s="81" t="str">
        <x:v>—</x:v>
      </x:c>
      <x:c r="J499" s="81" t="str">
        <x:v>—</x:v>
      </x:c>
      <x:c r="K499" s="81" t="str">
        <x:v>—</x:v>
      </x:c>
      <x:c r="L499" s="81" t="str">
        <x:v>—</x:v>
      </x:c>
      <x:c r="M499" s="81" t="str">
        <x:v>숲2</x:v>
      </x:c>
      <x:c r="N499" s="81" t="str">
        <x:v>평원3</x:v>
      </x:c>
      <x:c r="O499" s="81" t="str">
        <x:v>—</x:v>
      </x:c>
      <x:c r="P499" s="81" t="str">
        <x:v>—</x:v>
      </x:c>
      <x:c r="Q499" s="81" t="str">
        <x:v>—</x:v>
      </x:c>
      <x:c r="R499" s="81" t="str">
        <x:v>—</x:v>
      </x:c>
      <x:c r="S499" s="81" t="str">
        <x:v>—</x:v>
      </x:c>
      <x:c r="T499" s="81" t="str">
        <x:v>—</x:v>
      </x:c>
      <x:c r="U499" s="81" t="str">
        <x:v>숲4</x:v>
      </x:c>
      <x:c r="V499" s="81" t="str">
        <x:v>평원4</x:v>
      </x:c>
    </x:row>
    <x:row r="500">
      <x:c r="A500" s="80" t="n">
        <x:v>496</x:v>
      </x:c>
      <x:c r="B500" s="80" t="str">
        <x:v>샤비</x:v>
      </x:c>
      <x:c r="C500" s="80" t="str">
        <x:v>servine</x:v>
      </x:c>
      <x:c r="D500" s="80" t="str">
        <x:v>숲</x:v>
      </x:c>
      <x:c r="E500" s="81" t="str">
        <x:v>—</x:v>
      </x:c>
      <x:c r="F500" s="81" t="str">
        <x:v>—</x:v>
      </x:c>
      <x:c r="G500" s="81" t="str">
        <x:v>—</x:v>
      </x:c>
      <x:c r="H500" s="81" t="str">
        <x:v>—</x:v>
      </x:c>
      <x:c r="I500" s="81" t="str">
        <x:v>—</x:v>
      </x:c>
      <x:c r="J500" s="81" t="str">
        <x:v>—</x:v>
      </x:c>
      <x:c r="K500" s="81" t="str">
        <x:v>—</x:v>
      </x:c>
      <x:c r="L500" s="81" t="str">
        <x:v>—</x:v>
      </x:c>
      <x:c r="M500" s="81" t="str">
        <x:v>숲2</x:v>
      </x:c>
      <x:c r="N500" s="81" t="str">
        <x:v>평원3</x:v>
      </x:c>
      <x:c r="O500" s="81" t="str">
        <x:v>—</x:v>
      </x:c>
      <x:c r="P500" s="81" t="str">
        <x:v>—</x:v>
      </x:c>
      <x:c r="Q500" s="81" t="str">
        <x:v>—</x:v>
      </x:c>
      <x:c r="R500" s="81" t="str">
        <x:v>—</x:v>
      </x:c>
      <x:c r="S500" s="81" t="str">
        <x:v>—</x:v>
      </x:c>
      <x:c r="T500" s="81" t="str">
        <x:v>—</x:v>
      </x:c>
      <x:c r="U500" s="81" t="str">
        <x:v>숲4</x:v>
      </x:c>
      <x:c r="V500" s="81" t="str">
        <x:v>평원4</x:v>
      </x:c>
    </x:row>
    <x:row r="501">
      <x:c r="A501" s="80" t="n">
        <x:v>497</x:v>
      </x:c>
      <x:c r="B501" s="80" t="str">
        <x:v>샤로다</x:v>
      </x:c>
      <x:c r="C501" s="80" t="str">
        <x:v>serperior</x:v>
      </x:c>
      <x:c r="D501" s="80" t="str">
        <x:v>숲</x:v>
      </x:c>
      <x:c r="E501" s="81" t="str">
        <x:v>—</x:v>
      </x:c>
      <x:c r="F501" s="81" t="str">
        <x:v>—</x:v>
      </x:c>
      <x:c r="G501" s="81" t="str">
        <x:v>—</x:v>
      </x:c>
      <x:c r="H501" s="81" t="str">
        <x:v>—</x:v>
      </x:c>
      <x:c r="I501" s="81" t="str">
        <x:v>—</x:v>
      </x:c>
      <x:c r="J501" s="81" t="str">
        <x:v>—</x:v>
      </x:c>
      <x:c r="K501" s="81" t="str">
        <x:v>—</x:v>
      </x:c>
      <x:c r="L501" s="81" t="str">
        <x:v>—</x:v>
      </x:c>
      <x:c r="M501" s="81" t="str">
        <x:v>숲2</x:v>
      </x:c>
      <x:c r="N501" s="81" t="str">
        <x:v>평원3</x:v>
      </x:c>
      <x:c r="O501" s="81" t="str">
        <x:v>—</x:v>
      </x:c>
      <x:c r="P501" s="81" t="str">
        <x:v>—</x:v>
      </x:c>
      <x:c r="Q501" s="81" t="str">
        <x:v>—</x:v>
      </x:c>
      <x:c r="R501" s="81" t="str">
        <x:v>—</x:v>
      </x:c>
      <x:c r="S501" s="81" t="str">
        <x:v>—</x:v>
      </x:c>
      <x:c r="T501" s="81" t="str">
        <x:v>—</x:v>
      </x:c>
      <x:c r="U501" s="81" t="str">
        <x:v>숲4</x:v>
      </x:c>
      <x:c r="V501" s="81" t="str">
        <x:v>평원4</x:v>
      </x:c>
    </x:row>
    <x:row r="502">
      <x:c r="A502" s="80" t="n">
        <x:v>498</x:v>
      </x:c>
      <x:c r="B502" s="80" t="str">
        <x:v>뚜꾸리</x:v>
      </x:c>
      <x:c r="C502" s="80" t="str">
        <x:v>tepig</x:v>
      </x:c>
      <x:c r="D502" s="80" t="str">
        <x:v>화산</x:v>
      </x:c>
      <x:c r="E502" s="81" t="str">
        <x:v>—</x:v>
      </x:c>
      <x:c r="F502" s="81" t="str">
        <x:v>—</x:v>
      </x:c>
      <x:c r="G502" s="81" t="str">
        <x:v>—</x:v>
      </x:c>
      <x:c r="H502" s="81" t="str">
        <x:v>—</x:v>
      </x:c>
      <x:c r="I502" s="81" t="str">
        <x:v>—</x:v>
      </x:c>
      <x:c r="J502" s="81" t="str">
        <x:v>—</x:v>
      </x:c>
      <x:c r="K502" s="81" t="str">
        <x:v>—</x:v>
      </x:c>
      <x:c r="L502" s="81" t="str">
        <x:v>—</x:v>
      </x:c>
      <x:c r="M502" s="81" t="str">
        <x:v>화산1</x:v>
      </x:c>
      <x:c r="N502" s="81" t="str">
        <x:v>건조지2</x:v>
      </x:c>
      <x:c r="O502" s="81" t="str">
        <x:v>—</x:v>
      </x:c>
      <x:c r="P502" s="81" t="str">
        <x:v>—</x:v>
      </x:c>
      <x:c r="Q502" s="81" t="str">
        <x:v>—</x:v>
      </x:c>
      <x:c r="R502" s="81" t="str">
        <x:v>—</x:v>
      </x:c>
      <x:c r="S502" s="81" t="str">
        <x:v>—</x:v>
      </x:c>
      <x:c r="T502" s="81" t="str">
        <x:v>—</x:v>
      </x:c>
      <x:c r="U502" s="81" t="str">
        <x:v>화산2</x:v>
      </x:c>
      <x:c r="V502" s="81" t="str">
        <x:v>건조지2</x:v>
      </x:c>
    </x:row>
    <x:row r="503">
      <x:c r="A503" s="80" t="n">
        <x:v>499</x:v>
      </x:c>
      <x:c r="B503" s="80" t="str">
        <x:v>차오꿀</x:v>
      </x:c>
      <x:c r="C503" s="80" t="str">
        <x:v>pignite</x:v>
      </x:c>
      <x:c r="D503" s="80" t="str">
        <x:v>화산</x:v>
      </x:c>
      <x:c r="E503" s="81" t="str">
        <x:v>—</x:v>
      </x:c>
      <x:c r="F503" s="81" t="str">
        <x:v>—</x:v>
      </x:c>
      <x:c r="G503" s="81" t="str">
        <x:v>—</x:v>
      </x:c>
      <x:c r="H503" s="81" t="str">
        <x:v>—</x:v>
      </x:c>
      <x:c r="I503" s="81" t="str">
        <x:v>—</x:v>
      </x:c>
      <x:c r="J503" s="81" t="str">
        <x:v>—</x:v>
      </x:c>
      <x:c r="K503" s="81" t="str">
        <x:v>—</x:v>
      </x:c>
      <x:c r="L503" s="81" t="str">
        <x:v>—</x:v>
      </x:c>
      <x:c r="M503" s="81" t="str">
        <x:v>화산1</x:v>
      </x:c>
      <x:c r="N503" s="81" t="str">
        <x:v>건조지2</x:v>
      </x:c>
      <x:c r="O503" s="81" t="str">
        <x:v>—</x:v>
      </x:c>
      <x:c r="P503" s="81" t="str">
        <x:v>—</x:v>
      </x:c>
      <x:c r="Q503" s="81" t="str">
        <x:v>—</x:v>
      </x:c>
      <x:c r="R503" s="81" t="str">
        <x:v>—</x:v>
      </x:c>
      <x:c r="S503" s="81" t="str">
        <x:v>—</x:v>
      </x:c>
      <x:c r="T503" s="81" t="str">
        <x:v>—</x:v>
      </x:c>
      <x:c r="U503" s="81" t="str">
        <x:v>화산2</x:v>
      </x:c>
      <x:c r="V503" s="81" t="str">
        <x:v>건조지2</x:v>
      </x:c>
    </x:row>
    <x:row r="504">
      <x:c r="A504" s="80" t="n">
        <x:v>500</x:v>
      </x:c>
      <x:c r="B504" s="80" t="str">
        <x:v>염무왕</x:v>
      </x:c>
      <x:c r="C504" s="80" t="str">
        <x:v>emboar</x:v>
      </x:c>
      <x:c r="D504" s="80" t="str">
        <x:v>화산</x:v>
      </x:c>
      <x:c r="E504" s="81" t="str">
        <x:v>—</x:v>
      </x:c>
      <x:c r="F504" s="81" t="str">
        <x:v>—</x:v>
      </x:c>
      <x:c r="G504" s="81" t="str">
        <x:v>—</x:v>
      </x:c>
      <x:c r="H504" s="81" t="str">
        <x:v>—</x:v>
      </x:c>
      <x:c r="I504" s="81" t="str">
        <x:v>—</x:v>
      </x:c>
      <x:c r="J504" s="81" t="str">
        <x:v>—</x:v>
      </x:c>
      <x:c r="K504" s="81" t="str">
        <x:v>—</x:v>
      </x:c>
      <x:c r="L504" s="81" t="str">
        <x:v>—</x:v>
      </x:c>
      <x:c r="M504" s="81" t="str">
        <x:v>화산2</x:v>
      </x:c>
      <x:c r="N504" s="81" t="str">
        <x:v>건조지2</x:v>
      </x:c>
      <x:c r="O504" s="81" t="str">
        <x:v>—</x:v>
      </x:c>
      <x:c r="P504" s="81" t="str">
        <x:v>—</x:v>
      </x:c>
      <x:c r="Q504" s="81" t="str">
        <x:v>—</x:v>
      </x:c>
      <x:c r="R504" s="81" t="str">
        <x:v>—</x:v>
      </x:c>
      <x:c r="S504" s="81" t="str">
        <x:v>—</x:v>
      </x:c>
      <x:c r="T504" s="81" t="str">
        <x:v>—</x:v>
      </x:c>
      <x:c r="U504" s="81" t="str">
        <x:v>화산2</x:v>
      </x:c>
      <x:c r="V504" s="81" t="str">
        <x:v>건조지2</x:v>
      </x:c>
    </x:row>
    <x:row r="505">
      <x:c r="A505" s="80" t="n">
        <x:v>501</x:v>
      </x:c>
      <x:c r="B505" s="80" t="str">
        <x:v>수댕이</x:v>
      </x:c>
      <x:c r="C505" s="80" t="str">
        <x:v>oshawott</x:v>
      </x:c>
      <x:c r="D505" s="80" t="str">
        <x:v>해양</x:v>
      </x:c>
      <x:c r="E505" s="81" t="str">
        <x:v>—</x:v>
      </x:c>
      <x:c r="F505" s="81" t="str">
        <x:v>—</x:v>
      </x:c>
      <x:c r="G505" s="81" t="str">
        <x:v>—</x:v>
      </x:c>
      <x:c r="H505" s="81" t="str">
        <x:v>—</x:v>
      </x:c>
      <x:c r="I505" s="81" t="str">
        <x:v>—</x:v>
      </x:c>
      <x:c r="J505" s="81" t="str">
        <x:v>—</x:v>
      </x:c>
      <x:c r="K505" s="81" t="str">
        <x:v>—</x:v>
      </x:c>
      <x:c r="L505" s="81" t="str">
        <x:v>—</x:v>
      </x:c>
      <x:c r="M505" s="81" t="str">
        <x:v>해양1</x:v>
      </x:c>
      <x:c r="N505" s="81" t="str">
        <x:v>담수2</x:v>
      </x:c>
      <x:c r="O505" s="81" t="str">
        <x:v>—</x:v>
      </x:c>
      <x:c r="P505" s="81" t="str">
        <x:v>—</x:v>
      </x:c>
      <x:c r="Q505" s="81" t="str">
        <x:v>—</x:v>
      </x:c>
      <x:c r="R505" s="81" t="str">
        <x:v>—</x:v>
      </x:c>
      <x:c r="S505" s="81" t="str">
        <x:v>—</x:v>
      </x:c>
      <x:c r="T505" s="81" t="str">
        <x:v>—</x:v>
      </x:c>
      <x:c r="U505" s="81" t="str">
        <x:v>해양1</x:v>
      </x:c>
      <x:c r="V505" s="81" t="str">
        <x:v>담수2</x:v>
      </x:c>
    </x:row>
    <x:row r="506">
      <x:c r="A506" s="80" t="n">
        <x:v>502</x:v>
      </x:c>
      <x:c r="B506" s="80" t="str">
        <x:v>쌍검자비</x:v>
      </x:c>
      <x:c r="C506" s="80" t="str">
        <x:v>dewott</x:v>
      </x:c>
      <x:c r="D506" s="80" t="str">
        <x:v>해양</x:v>
      </x:c>
      <x:c r="E506" s="81" t="str">
        <x:v>—</x:v>
      </x:c>
      <x:c r="F506" s="81" t="str">
        <x:v>—</x:v>
      </x:c>
      <x:c r="G506" s="81" t="str">
        <x:v>—</x:v>
      </x:c>
      <x:c r="H506" s="81" t="str">
        <x:v>—</x:v>
      </x:c>
      <x:c r="I506" s="81" t="str">
        <x:v>—</x:v>
      </x:c>
      <x:c r="J506" s="81" t="str">
        <x:v>—</x:v>
      </x:c>
      <x:c r="K506" s="81" t="str">
        <x:v>—</x:v>
      </x:c>
      <x:c r="L506" s="81" t="str">
        <x:v>—</x:v>
      </x:c>
      <x:c r="M506" s="81" t="str">
        <x:v>해양1</x:v>
      </x:c>
      <x:c r="N506" s="81" t="str">
        <x:v>담수2</x:v>
      </x:c>
      <x:c r="O506" s="81" t="str">
        <x:v>—</x:v>
      </x:c>
      <x:c r="P506" s="81" t="str">
        <x:v>—</x:v>
      </x:c>
      <x:c r="Q506" s="81" t="str">
        <x:v>—</x:v>
      </x:c>
      <x:c r="R506" s="81" t="str">
        <x:v>—</x:v>
      </x:c>
      <x:c r="S506" s="81" t="str">
        <x:v>—</x:v>
      </x:c>
      <x:c r="T506" s="81" t="str">
        <x:v>—</x:v>
      </x:c>
      <x:c r="U506" s="81" t="str">
        <x:v>해양1</x:v>
      </x:c>
      <x:c r="V506" s="81" t="str">
        <x:v>담수2</x:v>
      </x:c>
    </x:row>
    <x:row r="507">
      <x:c r="A507" s="80" t="n">
        <x:v>503</x:v>
      </x:c>
      <x:c r="B507" s="80" t="str">
        <x:v>대검귀</x:v>
      </x:c>
      <x:c r="C507" s="80" t="str">
        <x:v>samurott</x:v>
      </x:c>
      <x:c r="D507" s="80" t="str">
        <x:v>해양</x:v>
      </x:c>
      <x:c r="E507" s="81" t="str">
        <x:v>—</x:v>
      </x:c>
      <x:c r="F507" s="81" t="str">
        <x:v>—</x:v>
      </x:c>
      <x:c r="G507" s="81" t="str">
        <x:v>—</x:v>
      </x:c>
      <x:c r="H507" s="81" t="str">
        <x:v>—</x:v>
      </x:c>
      <x:c r="I507" s="81" t="str">
        <x:v>—</x:v>
      </x:c>
      <x:c r="J507" s="81" t="str">
        <x:v>—</x:v>
      </x:c>
      <x:c r="K507" s="81" t="str">
        <x:v>—</x:v>
      </x:c>
      <x:c r="L507" s="81" t="str">
        <x:v>—</x:v>
      </x:c>
      <x:c r="M507" s="81" t="str">
        <x:v>해양1</x:v>
      </x:c>
      <x:c r="N507" s="81" t="str">
        <x:v>담수2</x:v>
      </x:c>
      <x:c r="O507" s="81" t="str">
        <x:v>—</x:v>
      </x:c>
      <x:c r="P507" s="81" t="str">
        <x:v>—</x:v>
      </x:c>
      <x:c r="Q507" s="81" t="str">
        <x:v>—</x:v>
      </x:c>
      <x:c r="R507" s="81" t="str">
        <x:v>—</x:v>
      </x:c>
      <x:c r="S507" s="81" t="str">
        <x:v>—</x:v>
      </x:c>
      <x:c r="T507" s="81" t="str">
        <x:v>—</x:v>
      </x:c>
      <x:c r="U507" s="81" t="str">
        <x:v>해양2</x:v>
      </x:c>
      <x:c r="V507" s="81" t="str">
        <x:v>담수2</x:v>
      </x:c>
    </x:row>
    <x:row r="508">
      <x:c r="A508" s="80" t="n">
        <x:v>504</x:v>
      </x:c>
      <x:c r="B508" s="80" t="str">
        <x:v>보르쥐</x:v>
      </x:c>
      <x:c r="C508" s="80" t="str">
        <x:v>patrat</x:v>
      </x:c>
      <x:c r="D508" s="80" t="str">
        <x:v>평원</x:v>
      </x:c>
      <x:c r="E508" s="81" t="str">
        <x:v>—</x:v>
      </x:c>
      <x:c r="F508" s="81" t="str">
        <x:v>—</x:v>
      </x:c>
      <x:c r="G508" s="81" t="str">
        <x:v>—</x:v>
      </x:c>
      <x:c r="H508" s="81" t="str">
        <x:v>—</x:v>
      </x:c>
      <x:c r="I508" s="81" t="str">
        <x:v>—</x:v>
      </x:c>
      <x:c r="J508" s="81" t="str">
        <x:v>—</x:v>
      </x:c>
      <x:c r="K508" s="81" t="str">
        <x:v>—</x:v>
      </x:c>
      <x:c r="L508" s="81" t="str">
        <x:v>—</x:v>
      </x:c>
      <x:c r="M508" s="81" t="str">
        <x:v>평원3</x:v>
      </x:c>
      <x:c r="N508" s="81" t="str">
        <x:v>숲2</x:v>
      </x:c>
      <x:c r="O508" s="81" t="str">
        <x:v>평원4</x:v>
      </x:c>
      <x:c r="P508" s="81" t="str">
        <x:v>숲4</x:v>
      </x:c>
      <x:c r="Q508" s="81" t="str">
        <x:v>—</x:v>
      </x:c>
      <x:c r="R508" s="81" t="str">
        <x:v>—</x:v>
      </x:c>
      <x:c r="S508" s="81" t="str">
        <x:v>—</x:v>
      </x:c>
      <x:c r="T508" s="81" t="str">
        <x:v>—</x:v>
      </x:c>
      <x:c r="U508" s="81" t="str">
        <x:v>—</x:v>
      </x:c>
      <x:c r="V508" s="81" t="str">
        <x:v>—</x:v>
      </x:c>
    </x:row>
    <x:row r="509">
      <x:c r="A509" s="80" t="n">
        <x:v>505</x:v>
      </x:c>
      <x:c r="B509" s="80" t="str">
        <x:v>보르그</x:v>
      </x:c>
      <x:c r="C509" s="80" t="str">
        <x:v>watchog</x:v>
      </x:c>
      <x:c r="D509" s="80" t="str">
        <x:v>평원</x:v>
      </x:c>
      <x:c r="E509" s="81" t="str">
        <x:v>—</x:v>
      </x:c>
      <x:c r="F509" s="81" t="str">
        <x:v>—</x:v>
      </x:c>
      <x:c r="G509" s="81" t="str">
        <x:v>—</x:v>
      </x:c>
      <x:c r="H509" s="81" t="str">
        <x:v>—</x:v>
      </x:c>
      <x:c r="I509" s="81" t="str">
        <x:v>—</x:v>
      </x:c>
      <x:c r="J509" s="81" t="str">
        <x:v>—</x:v>
      </x:c>
      <x:c r="K509" s="81" t="str">
        <x:v>—</x:v>
      </x:c>
      <x:c r="L509" s="81" t="str">
        <x:v>—</x:v>
      </x:c>
      <x:c r="M509" s="81" t="str">
        <x:v>평원3</x:v>
      </x:c>
      <x:c r="N509" s="81" t="str">
        <x:v>숲2</x:v>
      </x:c>
      <x:c r="O509" s="81" t="str">
        <x:v>평원4</x:v>
      </x:c>
      <x:c r="P509" s="81" t="str">
        <x:v>숲4</x:v>
      </x:c>
      <x:c r="Q509" s="81" t="str">
        <x:v>—</x:v>
      </x:c>
      <x:c r="R509" s="81" t="str">
        <x:v>—</x:v>
      </x:c>
      <x:c r="S509" s="81" t="str">
        <x:v>—</x:v>
      </x:c>
      <x:c r="T509" s="81" t="str">
        <x:v>—</x:v>
      </x:c>
      <x:c r="U509" s="81" t="str">
        <x:v>—</x:v>
      </x:c>
      <x:c r="V509" s="81" t="str">
        <x:v>—</x:v>
      </x:c>
    </x:row>
    <x:row r="510">
      <x:c r="A510" s="80" t="n">
        <x:v>506</x:v>
      </x:c>
      <x:c r="B510" s="80" t="str">
        <x:v>요테리</x:v>
      </x:c>
      <x:c r="C510" s="80" t="str">
        <x:v>lillipup</x:v>
      </x:c>
      <x:c r="D510" s="80" t="str">
        <x:v>평원</x:v>
      </x:c>
      <x:c r="E510" s="81" t="str">
        <x:v>—</x:v>
      </x:c>
      <x:c r="F510" s="81" t="str">
        <x:v>—</x:v>
      </x:c>
      <x:c r="G510" s="81" t="str">
        <x:v>—</x:v>
      </x:c>
      <x:c r="H510" s="81" t="str">
        <x:v>—</x:v>
      </x:c>
      <x:c r="I510" s="81" t="str">
        <x:v>—</x:v>
      </x:c>
      <x:c r="J510" s="81" t="str">
        <x:v>—</x:v>
      </x:c>
      <x:c r="K510" s="81" t="str">
        <x:v>—</x:v>
      </x:c>
      <x:c r="L510" s="81" t="str">
        <x:v>—</x:v>
      </x:c>
      <x:c r="M510" s="81" t="str">
        <x:v>평원3</x:v>
      </x:c>
      <x:c r="N510" s="81" t="str">
        <x:v>숲2</x:v>
      </x:c>
      <x:c r="O510" s="81" t="str">
        <x:v>—</x:v>
      </x:c>
      <x:c r="P510" s="81" t="str">
        <x:v>—</x:v>
      </x:c>
      <x:c r="Q510" s="81" t="str">
        <x:v>평원4</x:v>
      </x:c>
      <x:c r="R510" s="81" t="str">
        <x:v>숲2</x:v>
      </x:c>
      <x:c r="S510" s="81" t="str">
        <x:v>평원4</x:v>
      </x:c>
      <x:c r="T510" s="81" t="str">
        <x:v>숲3</x:v>
      </x:c>
      <x:c r="U510" s="81" t="str">
        <x:v>—</x:v>
      </x:c>
      <x:c r="V510" s="81" t="str">
        <x:v>—</x:v>
      </x:c>
    </x:row>
    <x:row r="511">
      <x:c r="A511" s="80" t="n">
        <x:v>507</x:v>
      </x:c>
      <x:c r="B511" s="80" t="str">
        <x:v>하데리어</x:v>
      </x:c>
      <x:c r="C511" s="80" t="str">
        <x:v>herdier</x:v>
      </x:c>
      <x:c r="D511" s="80" t="str">
        <x:v>평원</x:v>
      </x:c>
      <x:c r="E511" s="81" t="str">
        <x:v>—</x:v>
      </x:c>
      <x:c r="F511" s="81" t="str">
        <x:v>—</x:v>
      </x:c>
      <x:c r="G511" s="81" t="str">
        <x:v>—</x:v>
      </x:c>
      <x:c r="H511" s="81" t="str">
        <x:v>—</x:v>
      </x:c>
      <x:c r="I511" s="81" t="str">
        <x:v>—</x:v>
      </x:c>
      <x:c r="J511" s="81" t="str">
        <x:v>—</x:v>
      </x:c>
      <x:c r="K511" s="81" t="str">
        <x:v>—</x:v>
      </x:c>
      <x:c r="L511" s="81" t="str">
        <x:v>—</x:v>
      </x:c>
      <x:c r="M511" s="81" t="str">
        <x:v>평원3</x:v>
      </x:c>
      <x:c r="N511" s="81" t="str">
        <x:v>숲2</x:v>
      </x:c>
      <x:c r="O511" s="81" t="str">
        <x:v>—</x:v>
      </x:c>
      <x:c r="P511" s="81" t="str">
        <x:v>—</x:v>
      </x:c>
      <x:c r="Q511" s="81" t="str">
        <x:v>평원4</x:v>
      </x:c>
      <x:c r="R511" s="81" t="str">
        <x:v>숲3</x:v>
      </x:c>
      <x:c r="S511" s="81" t="str">
        <x:v>평원4</x:v>
      </x:c>
      <x:c r="T511" s="81" t="str">
        <x:v>숲3</x:v>
      </x:c>
      <x:c r="U511" s="81" t="str">
        <x:v>—</x:v>
      </x:c>
      <x:c r="V511" s="81" t="str">
        <x:v>—</x:v>
      </x:c>
    </x:row>
    <x:row r="512">
      <x:c r="A512" s="80" t="n">
        <x:v>508</x:v>
      </x:c>
      <x:c r="B512" s="80" t="str">
        <x:v>바랜드</x:v>
      </x:c>
      <x:c r="C512" s="80" t="str">
        <x:v>stoutland</x:v>
      </x:c>
      <x:c r="D512" s="80" t="str">
        <x:v>평원</x:v>
      </x:c>
      <x:c r="E512" s="81" t="str">
        <x:v>—</x:v>
      </x:c>
      <x:c r="F512" s="81" t="str">
        <x:v>—</x:v>
      </x:c>
      <x:c r="G512" s="81" t="str">
        <x:v>—</x:v>
      </x:c>
      <x:c r="H512" s="81" t="str">
        <x:v>—</x:v>
      </x:c>
      <x:c r="I512" s="81" t="str">
        <x:v>—</x:v>
      </x:c>
      <x:c r="J512" s="81" t="str">
        <x:v>—</x:v>
      </x:c>
      <x:c r="K512" s="81" t="str">
        <x:v>—</x:v>
      </x:c>
      <x:c r="L512" s="81" t="str">
        <x:v>—</x:v>
      </x:c>
      <x:c r="M512" s="81" t="str">
        <x:v>평원3</x:v>
      </x:c>
      <x:c r="N512" s="81" t="str">
        <x:v>숲2</x:v>
      </x:c>
      <x:c r="O512" s="81" t="str">
        <x:v>—</x:v>
      </x:c>
      <x:c r="P512" s="81" t="str">
        <x:v>—</x:v>
      </x:c>
      <x:c r="Q512" s="81" t="str">
        <x:v>평원4</x:v>
      </x:c>
      <x:c r="R512" s="81" t="str">
        <x:v>숲3</x:v>
      </x:c>
      <x:c r="S512" s="81" t="str">
        <x:v>평원4</x:v>
      </x:c>
      <x:c r="T512" s="81" t="str">
        <x:v>숲3</x:v>
      </x:c>
      <x:c r="U512" s="81" t="str">
        <x:v>—</x:v>
      </x:c>
      <x:c r="V512" s="81" t="str">
        <x:v>—</x:v>
      </x:c>
    </x:row>
    <x:row r="513">
      <x:c r="A513" s="80" t="n">
        <x:v>509</x:v>
      </x:c>
      <x:c r="B513" s="80" t="str">
        <x:v>쌔비냥</x:v>
      </x:c>
      <x:c r="C513" s="80" t="str">
        <x:v>purrloin</x:v>
      </x:c>
      <x:c r="D513" s="80" t="str">
        <x:v>습지</x:v>
      </x:c>
      <x:c r="E513" s="81" t="str">
        <x:v>—</x:v>
      </x:c>
      <x:c r="F513" s="81" t="str">
        <x:v>—</x:v>
      </x:c>
      <x:c r="G513" s="81" t="str">
        <x:v>—</x:v>
      </x:c>
      <x:c r="H513" s="81" t="str">
        <x:v>—</x:v>
      </x:c>
      <x:c r="I513" s="81" t="str">
        <x:v>—</x:v>
      </x:c>
      <x:c r="J513" s="81" t="str">
        <x:v>—</x:v>
      </x:c>
      <x:c r="K513" s="81" t="str">
        <x:v>—</x:v>
      </x:c>
      <x:c r="L513" s="81" t="str">
        <x:v>—</x:v>
      </x:c>
      <x:c r="M513" s="81" t="str">
        <x:v>습지1</x:v>
      </x:c>
      <x:c r="N513" s="81" t="str">
        <x:v>숲2</x:v>
      </x:c>
      <x:c r="O513" s="81" t="str">
        <x:v>습지2</x:v>
      </x:c>
      <x:c r="P513" s="81" t="str">
        <x:v>숲4</x:v>
      </x:c>
      <x:c r="Q513" s="81" t="str">
        <x:v>—</x:v>
      </x:c>
      <x:c r="R513" s="81" t="str">
        <x:v>—</x:v>
      </x:c>
      <x:c r="S513" s="81" t="str">
        <x:v>습지2</x:v>
      </x:c>
      <x:c r="T513" s="81" t="str">
        <x:v>숲3</x:v>
      </x:c>
      <x:c r="U513" s="81" t="str">
        <x:v>—</x:v>
      </x:c>
      <x:c r="V513" s="81" t="str">
        <x:v>—</x:v>
      </x:c>
    </x:row>
    <x:row r="514">
      <x:c r="A514" s="80" t="n">
        <x:v>510</x:v>
      </x:c>
      <x:c r="B514" s="80" t="str">
        <x:v>레파르다스</x:v>
      </x:c>
      <x:c r="C514" s="80" t="str">
        <x:v>liepard</x:v>
      </x:c>
      <x:c r="D514" s="80" t="str">
        <x:v>습지</x:v>
      </x:c>
      <x:c r="E514" s="81" t="str">
        <x:v>—</x:v>
      </x:c>
      <x:c r="F514" s="81" t="str">
        <x:v>—</x:v>
      </x:c>
      <x:c r="G514" s="81" t="str">
        <x:v>—</x:v>
      </x:c>
      <x:c r="H514" s="81" t="str">
        <x:v>—</x:v>
      </x:c>
      <x:c r="I514" s="81" t="str">
        <x:v>—</x:v>
      </x:c>
      <x:c r="J514" s="81" t="str">
        <x:v>—</x:v>
      </x:c>
      <x:c r="K514" s="81" t="str">
        <x:v>—</x:v>
      </x:c>
      <x:c r="L514" s="81" t="str">
        <x:v>—</x:v>
      </x:c>
      <x:c r="M514" s="81" t="str">
        <x:v>습지1</x:v>
      </x:c>
      <x:c r="N514" s="81" t="str">
        <x:v>숲2</x:v>
      </x:c>
      <x:c r="O514" s="81" t="str">
        <x:v>습지2</x:v>
      </x:c>
      <x:c r="P514" s="81" t="str">
        <x:v>숲4</x:v>
      </x:c>
      <x:c r="Q514" s="81" t="str">
        <x:v>—</x:v>
      </x:c>
      <x:c r="R514" s="81" t="str">
        <x:v>—</x:v>
      </x:c>
      <x:c r="S514" s="81" t="str">
        <x:v>습지2</x:v>
      </x:c>
      <x:c r="T514" s="81" t="str">
        <x:v>숲3</x:v>
      </x:c>
      <x:c r="U514" s="81" t="str">
        <x:v>—</x:v>
      </x:c>
      <x:c r="V514" s="81" t="str">
        <x:v>—</x:v>
      </x:c>
    </x:row>
    <x:row r="515">
      <x:c r="A515" s="80" t="n">
        <x:v>511</x:v>
      </x:c>
      <x:c r="B515" s="80" t="str">
        <x:v>야나프</x:v>
      </x:c>
      <x:c r="C515" s="80" t="str">
        <x:v>pansage</x:v>
      </x:c>
      <x:c r="D515" s="80" t="str">
        <x:v>숲</x:v>
      </x:c>
      <x:c r="E515" s="81" t="str">
        <x:v>—</x:v>
      </x:c>
      <x:c r="F515" s="81" t="str">
        <x:v>—</x:v>
      </x:c>
      <x:c r="G515" s="81" t="str">
        <x:v>—</x:v>
      </x:c>
      <x:c r="H515" s="81" t="str">
        <x:v>—</x:v>
      </x:c>
      <x:c r="I515" s="81" t="str">
        <x:v>—</x:v>
      </x:c>
      <x:c r="J515" s="81" t="str">
        <x:v>—</x:v>
      </x:c>
      <x:c r="K515" s="81" t="str">
        <x:v>—</x:v>
      </x:c>
      <x:c r="L515" s="81" t="str">
        <x:v>—</x:v>
      </x:c>
      <x:c r="M515" s="81" t="str">
        <x:v>숲2</x:v>
      </x:c>
      <x:c r="N515" s="81" t="str">
        <x:v>평원3</x:v>
      </x:c>
      <x:c r="O515" s="81" t="str">
        <x:v>숲4</x:v>
      </x:c>
      <x:c r="P515" s="81" t="str">
        <x:v>평원4</x:v>
      </x:c>
      <x:c r="Q515" s="81" t="str">
        <x:v>—</x:v>
      </x:c>
      <x:c r="R515" s="81" t="str">
        <x:v>—</x:v>
      </x:c>
      <x:c r="S515" s="81" t="str">
        <x:v>—</x:v>
      </x:c>
      <x:c r="T515" s="81" t="str">
        <x:v>—</x:v>
      </x:c>
      <x:c r="U515" s="81" t="str">
        <x:v>—</x:v>
      </x:c>
      <x:c r="V515" s="81" t="str">
        <x:v>—</x:v>
      </x:c>
    </x:row>
    <x:row r="516">
      <x:c r="A516" s="80" t="n">
        <x:v>512</x:v>
      </x:c>
      <x:c r="B516" s="80" t="str">
        <x:v>야나키</x:v>
      </x:c>
      <x:c r="C516" s="80" t="str">
        <x:v>simisage</x:v>
      </x:c>
      <x:c r="D516" s="80" t="str">
        <x:v>숲</x:v>
      </x:c>
      <x:c r="E516" s="81" t="str">
        <x:v>—</x:v>
      </x:c>
      <x:c r="F516" s="81" t="str">
        <x:v>—</x:v>
      </x:c>
      <x:c r="G516" s="81" t="str">
        <x:v>—</x:v>
      </x:c>
      <x:c r="H516" s="81" t="str">
        <x:v>—</x:v>
      </x:c>
      <x:c r="I516" s="81" t="str">
        <x:v>—</x:v>
      </x:c>
      <x:c r="J516" s="81" t="str">
        <x:v>—</x:v>
      </x:c>
      <x:c r="K516" s="81" t="str">
        <x:v>—</x:v>
      </x:c>
      <x:c r="L516" s="81" t="str">
        <x:v>—</x:v>
      </x:c>
      <x:c r="M516" s="81" t="str">
        <x:v>숲2</x:v>
      </x:c>
      <x:c r="N516" s="81" t="str">
        <x:v>평원3</x:v>
      </x:c>
      <x:c r="O516" s="81" t="str">
        <x:v>숲4</x:v>
      </x:c>
      <x:c r="P516" s="81" t="str">
        <x:v>평원4</x:v>
      </x:c>
      <x:c r="Q516" s="81" t="str">
        <x:v>—</x:v>
      </x:c>
      <x:c r="R516" s="81" t="str">
        <x:v>—</x:v>
      </x:c>
      <x:c r="S516" s="81" t="str">
        <x:v>—</x:v>
      </x:c>
      <x:c r="T516" s="81" t="str">
        <x:v>—</x:v>
      </x:c>
      <x:c r="U516" s="81" t="str">
        <x:v>—</x:v>
      </x:c>
      <x:c r="V516" s="81" t="str">
        <x:v>—</x:v>
      </x:c>
    </x:row>
    <x:row r="517">
      <x:c r="A517" s="80" t="n">
        <x:v>513</x:v>
      </x:c>
      <x:c r="B517" s="80" t="str">
        <x:v>바오프</x:v>
      </x:c>
      <x:c r="C517" s="80" t="str">
        <x:v>pansear</x:v>
      </x:c>
      <x:c r="D517" s="80" t="str">
        <x:v>화산</x:v>
      </x:c>
      <x:c r="E517" s="81" t="str">
        <x:v>—</x:v>
      </x:c>
      <x:c r="F517" s="81" t="str">
        <x:v>—</x:v>
      </x:c>
      <x:c r="G517" s="81" t="str">
        <x:v>—</x:v>
      </x:c>
      <x:c r="H517" s="81" t="str">
        <x:v>—</x:v>
      </x:c>
      <x:c r="I517" s="81" t="str">
        <x:v>—</x:v>
      </x:c>
      <x:c r="J517" s="81" t="str">
        <x:v>—</x:v>
      </x:c>
      <x:c r="K517" s="81" t="str">
        <x:v>—</x:v>
      </x:c>
      <x:c r="L517" s="81" t="str">
        <x:v>—</x:v>
      </x:c>
      <x:c r="M517" s="81" t="str">
        <x:v>화산2</x:v>
      </x:c>
      <x:c r="N517" s="81" t="str">
        <x:v>건조지2</x:v>
      </x:c>
      <x:c r="O517" s="81" t="str">
        <x:v>화산1</x:v>
      </x:c>
      <x:c r="P517" s="81" t="str">
        <x:v>건조지2</x:v>
      </x:c>
      <x:c r="Q517" s="81" t="str">
        <x:v>—</x:v>
      </x:c>
      <x:c r="R517" s="81" t="str">
        <x:v>—</x:v>
      </x:c>
      <x:c r="S517" s="81" t="str">
        <x:v>—</x:v>
      </x:c>
      <x:c r="T517" s="81" t="str">
        <x:v>—</x:v>
      </x:c>
      <x:c r="U517" s="81" t="str">
        <x:v>—</x:v>
      </x:c>
      <x:c r="V517" s="81" t="str">
        <x:v>—</x:v>
      </x:c>
    </x:row>
    <x:row r="518">
      <x:c r="A518" s="80" t="n">
        <x:v>514</x:v>
      </x:c>
      <x:c r="B518" s="80" t="str">
        <x:v>바오키</x:v>
      </x:c>
      <x:c r="C518" s="80" t="str">
        <x:v>simisear</x:v>
      </x:c>
      <x:c r="D518" s="80" t="str">
        <x:v>화산</x:v>
      </x:c>
      <x:c r="E518" s="81" t="str">
        <x:v>—</x:v>
      </x:c>
      <x:c r="F518" s="81" t="str">
        <x:v>—</x:v>
      </x:c>
      <x:c r="G518" s="81" t="str">
        <x:v>—</x:v>
      </x:c>
      <x:c r="H518" s="81" t="str">
        <x:v>—</x:v>
      </x:c>
      <x:c r="I518" s="81" t="str">
        <x:v>—</x:v>
      </x:c>
      <x:c r="J518" s="81" t="str">
        <x:v>—</x:v>
      </x:c>
      <x:c r="K518" s="81" t="str">
        <x:v>—</x:v>
      </x:c>
      <x:c r="L518" s="81" t="str">
        <x:v>—</x:v>
      </x:c>
      <x:c r="M518" s="81" t="str">
        <x:v>화산2</x:v>
      </x:c>
      <x:c r="N518" s="81" t="str">
        <x:v>건조지2</x:v>
      </x:c>
      <x:c r="O518" s="81" t="str">
        <x:v>화산2</x:v>
      </x:c>
      <x:c r="P518" s="81" t="str">
        <x:v>건조지2</x:v>
      </x:c>
      <x:c r="Q518" s="81" t="str">
        <x:v>—</x:v>
      </x:c>
      <x:c r="R518" s="81" t="str">
        <x:v>—</x:v>
      </x:c>
      <x:c r="S518" s="81" t="str">
        <x:v>—</x:v>
      </x:c>
      <x:c r="T518" s="81" t="str">
        <x:v>—</x:v>
      </x:c>
      <x:c r="U518" s="81" t="str">
        <x:v>—</x:v>
      </x:c>
      <x:c r="V518" s="81" t="str">
        <x:v>—</x:v>
      </x:c>
    </x:row>
    <x:row r="519">
      <x:c r="A519" s="80" t="n">
        <x:v>515</x:v>
      </x:c>
      <x:c r="B519" s="80" t="str">
        <x:v>앗차프</x:v>
      </x:c>
      <x:c r="C519" s="80" t="str">
        <x:v>panpour</x:v>
      </x:c>
      <x:c r="D519" s="80" t="str">
        <x:v>담수</x:v>
      </x:c>
      <x:c r="E519" s="81" t="str">
        <x:v>—</x:v>
      </x:c>
      <x:c r="F519" s="81" t="str">
        <x:v>—</x:v>
      </x:c>
      <x:c r="G519" s="81" t="str">
        <x:v>—</x:v>
      </x:c>
      <x:c r="H519" s="81" t="str">
        <x:v>—</x:v>
      </x:c>
      <x:c r="I519" s="81" t="str">
        <x:v>—</x:v>
      </x:c>
      <x:c r="J519" s="81" t="str">
        <x:v>—</x:v>
      </x:c>
      <x:c r="K519" s="81" t="str">
        <x:v>—</x:v>
      </x:c>
      <x:c r="L519" s="81" t="str">
        <x:v>—</x:v>
      </x:c>
      <x:c r="M519" s="81" t="str">
        <x:v>담수2</x:v>
      </x:c>
      <x:c r="N519" s="81" t="str">
        <x:v>습지1</x:v>
      </x:c>
      <x:c r="O519" s="81" t="str">
        <x:v>담수3</x:v>
      </x:c>
      <x:c r="P519" s="81" t="str">
        <x:v>습지3</x:v>
      </x:c>
      <x:c r="Q519" s="81" t="str">
        <x:v>—</x:v>
      </x:c>
      <x:c r="R519" s="81" t="str">
        <x:v>—</x:v>
      </x:c>
      <x:c r="S519" s="81" t="str">
        <x:v>—</x:v>
      </x:c>
      <x:c r="T519" s="81" t="str">
        <x:v>—</x:v>
      </x:c>
      <x:c r="U519" s="81" t="str">
        <x:v>—</x:v>
      </x:c>
      <x:c r="V519" s="81" t="str">
        <x:v>—</x:v>
      </x:c>
    </x:row>
    <x:row r="520">
      <x:c r="A520" s="80" t="n">
        <x:v>516</x:v>
      </x:c>
      <x:c r="B520" s="80" t="str">
        <x:v>앗차키</x:v>
      </x:c>
      <x:c r="C520" s="80" t="str">
        <x:v>simipour</x:v>
      </x:c>
      <x:c r="D520" s="80" t="str">
        <x:v>담수</x:v>
      </x:c>
      <x:c r="E520" s="81" t="str">
        <x:v>—</x:v>
      </x:c>
      <x:c r="F520" s="81" t="str">
        <x:v>—</x:v>
      </x:c>
      <x:c r="G520" s="81" t="str">
        <x:v>—</x:v>
      </x:c>
      <x:c r="H520" s="81" t="str">
        <x:v>—</x:v>
      </x:c>
      <x:c r="I520" s="81" t="str">
        <x:v>—</x:v>
      </x:c>
      <x:c r="J520" s="81" t="str">
        <x:v>—</x:v>
      </x:c>
      <x:c r="K520" s="81" t="str">
        <x:v>—</x:v>
      </x:c>
      <x:c r="L520" s="81" t="str">
        <x:v>—</x:v>
      </x:c>
      <x:c r="M520" s="81" t="str">
        <x:v>담수2</x:v>
      </x:c>
      <x:c r="N520" s="81" t="str">
        <x:v>습지1</x:v>
      </x:c>
      <x:c r="O520" s="81" t="str">
        <x:v>담수3</x:v>
      </x:c>
      <x:c r="P520" s="81" t="str">
        <x:v>습지3</x:v>
      </x:c>
      <x:c r="Q520" s="81" t="str">
        <x:v>—</x:v>
      </x:c>
      <x:c r="R520" s="81" t="str">
        <x:v>—</x:v>
      </x:c>
      <x:c r="S520" s="81" t="str">
        <x:v>—</x:v>
      </x:c>
      <x:c r="T520" s="81" t="str">
        <x:v>—</x:v>
      </x:c>
      <x:c r="U520" s="81" t="str">
        <x:v>—</x:v>
      </x:c>
      <x:c r="V520" s="81" t="str">
        <x:v>—</x:v>
      </x:c>
    </x:row>
    <x:row r="521">
      <x:c r="A521" s="80" t="n">
        <x:v>517</x:v>
      </x:c>
      <x:c r="B521" s="80" t="str">
        <x:v>몽나</x:v>
      </x:c>
      <x:c r="C521" s="80" t="str">
        <x:v>munna</x:v>
      </x:c>
      <x:c r="D521" s="80" t="str">
        <x:v>평원</x:v>
      </x:c>
      <x:c r="E521" s="81" t="str">
        <x:v>—</x:v>
      </x:c>
      <x:c r="F521" s="81" t="str">
        <x:v>—</x:v>
      </x:c>
      <x:c r="G521" s="81" t="str">
        <x:v>—</x:v>
      </x:c>
      <x:c r="H521" s="81" t="str">
        <x:v>—</x:v>
      </x:c>
      <x:c r="I521" s="81" t="str">
        <x:v>—</x:v>
      </x:c>
      <x:c r="J521" s="81" t="str">
        <x:v>—</x:v>
      </x:c>
      <x:c r="K521" s="81" t="str">
        <x:v>—</x:v>
      </x:c>
      <x:c r="L521" s="81" t="str">
        <x:v>—</x:v>
      </x:c>
      <x:c r="M521" s="81" t="str">
        <x:v>평원3</x:v>
      </x:c>
      <x:c r="N521" s="81" t="str">
        <x:v>숲2</x:v>
      </x:c>
      <x:c r="O521" s="81" t="str">
        <x:v>—</x:v>
      </x:c>
      <x:c r="P521" s="81" t="str">
        <x:v>—</x:v>
      </x:c>
      <x:c r="Q521" s="81" t="str">
        <x:v>—</x:v>
      </x:c>
      <x:c r="R521" s="81" t="str">
        <x:v>—</x:v>
      </x:c>
      <x:c r="S521" s="81" t="str">
        <x:v>평원4</x:v>
      </x:c>
      <x:c r="T521" s="81" t="str">
        <x:v>숲3</x:v>
      </x:c>
      <x:c r="U521" s="81" t="str">
        <x:v>—</x:v>
      </x:c>
      <x:c r="V521" s="81" t="str">
        <x:v>—</x:v>
      </x:c>
    </x:row>
    <x:row r="522">
      <x:c r="A522" s="80" t="n">
        <x:v>518</x:v>
      </x:c>
      <x:c r="B522" s="80" t="str">
        <x:v>몽얌나</x:v>
      </x:c>
      <x:c r="C522" s="80" t="str">
        <x:v>musharna</x:v>
      </x:c>
      <x:c r="D522" s="80" t="str">
        <x:v>평원</x:v>
      </x:c>
      <x:c r="E522" s="81" t="str">
        <x:v>—</x:v>
      </x:c>
      <x:c r="F522" s="81" t="str">
        <x:v>—</x:v>
      </x:c>
      <x:c r="G522" s="81" t="str">
        <x:v>—</x:v>
      </x:c>
      <x:c r="H522" s="81" t="str">
        <x:v>—</x:v>
      </x:c>
      <x:c r="I522" s="81" t="str">
        <x:v>—</x:v>
      </x:c>
      <x:c r="J522" s="81" t="str">
        <x:v>—</x:v>
      </x:c>
      <x:c r="K522" s="81" t="str">
        <x:v>—</x:v>
      </x:c>
      <x:c r="L522" s="81" t="str">
        <x:v>—</x:v>
      </x:c>
      <x:c r="M522" s="81" t="str">
        <x:v>평원3</x:v>
      </x:c>
      <x:c r="N522" s="81" t="str">
        <x:v>숲2</x:v>
      </x:c>
      <x:c r="O522" s="81" t="str">
        <x:v>—</x:v>
      </x:c>
      <x:c r="P522" s="81" t="str">
        <x:v>—</x:v>
      </x:c>
      <x:c r="Q522" s="81" t="str">
        <x:v>—</x:v>
      </x:c>
      <x:c r="R522" s="81" t="str">
        <x:v>—</x:v>
      </x:c>
      <x:c r="S522" s="81" t="str">
        <x:v>평원4</x:v>
      </x:c>
      <x:c r="T522" s="81" t="str">
        <x:v>숲3</x:v>
      </x:c>
      <x:c r="U522" s="81" t="str">
        <x:v>—</x:v>
      </x:c>
      <x:c r="V522" s="81" t="str">
        <x:v>—</x:v>
      </x:c>
    </x:row>
    <x:row r="523">
      <x:c r="A523" s="80" t="n">
        <x:v>519</x:v>
      </x:c>
      <x:c r="B523" s="80" t="str">
        <x:v>콩둘기</x:v>
      </x:c>
      <x:c r="C523" s="80" t="str">
        <x:v>pidove</x:v>
      </x:c>
      <x:c r="D523" s="80" t="str">
        <x:v>산악</x:v>
      </x:c>
      <x:c r="E523" s="81" t="str">
        <x:v>—</x:v>
      </x:c>
      <x:c r="F523" s="81" t="str">
        <x:v>—</x:v>
      </x:c>
      <x:c r="G523" s="81" t="str">
        <x:v>—</x:v>
      </x:c>
      <x:c r="H523" s="81" t="str">
        <x:v>—</x:v>
      </x:c>
      <x:c r="I523" s="81" t="str">
        <x:v>—</x:v>
      </x:c>
      <x:c r="J523" s="81" t="str">
        <x:v>—</x:v>
      </x:c>
      <x:c r="K523" s="81" t="str">
        <x:v>—</x:v>
      </x:c>
      <x:c r="L523" s="81" t="str">
        <x:v>—</x:v>
      </x:c>
      <x:c r="M523" s="81" t="str">
        <x:v>산악1</x:v>
      </x:c>
      <x:c r="N523" s="81" t="str">
        <x:v>평원3</x:v>
      </x:c>
      <x:c r="O523" s="81" t="str">
        <x:v>—</x:v>
      </x:c>
      <x:c r="P523" s="81" t="str">
        <x:v>—</x:v>
      </x:c>
      <x:c r="Q523" s="81" t="str">
        <x:v>—</x:v>
      </x:c>
      <x:c r="R523" s="81" t="str">
        <x:v>—</x:v>
      </x:c>
      <x:c r="S523" s="81" t="str">
        <x:v>산악2</x:v>
      </x:c>
      <x:c r="T523" s="81" t="str">
        <x:v>평원4</x:v>
      </x:c>
      <x:c r="U523" s="81" t="str">
        <x:v>—</x:v>
      </x:c>
      <x:c r="V523" s="81" t="str">
        <x:v>—</x:v>
      </x:c>
    </x:row>
    <x:row r="524">
      <x:c r="A524" s="80" t="n">
        <x:v>520</x:v>
      </x:c>
      <x:c r="B524" s="80" t="str">
        <x:v>유토브</x:v>
      </x:c>
      <x:c r="C524" s="80" t="str">
        <x:v>tranquill</x:v>
      </x:c>
      <x:c r="D524" s="80" t="str">
        <x:v>산악</x:v>
      </x:c>
      <x:c r="E524" s="81" t="str">
        <x:v>—</x:v>
      </x:c>
      <x:c r="F524" s="81" t="str">
        <x:v>—</x:v>
      </x:c>
      <x:c r="G524" s="81" t="str">
        <x:v>—</x:v>
      </x:c>
      <x:c r="H524" s="81" t="str">
        <x:v>—</x:v>
      </x:c>
      <x:c r="I524" s="81" t="str">
        <x:v>—</x:v>
      </x:c>
      <x:c r="J524" s="81" t="str">
        <x:v>—</x:v>
      </x:c>
      <x:c r="K524" s="81" t="str">
        <x:v>—</x:v>
      </x:c>
      <x:c r="L524" s="81" t="str">
        <x:v>—</x:v>
      </x:c>
      <x:c r="M524" s="81" t="str">
        <x:v>산악2</x:v>
      </x:c>
      <x:c r="N524" s="81" t="str">
        <x:v>평원3</x:v>
      </x:c>
      <x:c r="O524" s="81" t="str">
        <x:v>—</x:v>
      </x:c>
      <x:c r="P524" s="81" t="str">
        <x:v>—</x:v>
      </x:c>
      <x:c r="Q524" s="81" t="str">
        <x:v>—</x:v>
      </x:c>
      <x:c r="R524" s="81" t="str">
        <x:v>—</x:v>
      </x:c>
      <x:c r="S524" s="81" t="str">
        <x:v>산악2</x:v>
      </x:c>
      <x:c r="T524" s="81" t="str">
        <x:v>평원4</x:v>
      </x:c>
      <x:c r="U524" s="81" t="str">
        <x:v>—</x:v>
      </x:c>
      <x:c r="V524" s="81" t="str">
        <x:v>—</x:v>
      </x:c>
    </x:row>
    <x:row r="525">
      <x:c r="A525" s="80" t="n">
        <x:v>521</x:v>
      </x:c>
      <x:c r="B525" s="80" t="str">
        <x:v>켄호로우</x:v>
      </x:c>
      <x:c r="C525" s="80" t="str">
        <x:v>unfezant</x:v>
      </x:c>
      <x:c r="D525" s="80" t="str">
        <x:v>산악</x:v>
      </x:c>
      <x:c r="E525" s="81" t="str">
        <x:v>—</x:v>
      </x:c>
      <x:c r="F525" s="81" t="str">
        <x:v>—</x:v>
      </x:c>
      <x:c r="G525" s="81" t="str">
        <x:v>—</x:v>
      </x:c>
      <x:c r="H525" s="81" t="str">
        <x:v>—</x:v>
      </x:c>
      <x:c r="I525" s="81" t="str">
        <x:v>—</x:v>
      </x:c>
      <x:c r="J525" s="81" t="str">
        <x:v>—</x:v>
      </x:c>
      <x:c r="K525" s="81" t="str">
        <x:v>—</x:v>
      </x:c>
      <x:c r="L525" s="81" t="str">
        <x:v>—</x:v>
      </x:c>
      <x:c r="M525" s="81" t="str">
        <x:v>산악2</x:v>
      </x:c>
      <x:c r="N525" s="81" t="str">
        <x:v>평원3</x:v>
      </x:c>
      <x:c r="O525" s="81" t="str">
        <x:v>—</x:v>
      </x:c>
      <x:c r="P525" s="81" t="str">
        <x:v>—</x:v>
      </x:c>
      <x:c r="Q525" s="81" t="str">
        <x:v>—</x:v>
      </x:c>
      <x:c r="R525" s="81" t="str">
        <x:v>—</x:v>
      </x:c>
      <x:c r="S525" s="81" t="str">
        <x:v>산악3</x:v>
      </x:c>
      <x:c r="T525" s="81" t="str">
        <x:v>평원4</x:v>
      </x:c>
      <x:c r="U525" s="81" t="str">
        <x:v>—</x:v>
      </x:c>
      <x:c r="V525" s="81" t="str">
        <x:v>—</x:v>
      </x:c>
    </x:row>
    <x:row r="526">
      <x:c r="A526" s="80" t="n">
        <x:v>522</x:v>
      </x:c>
      <x:c r="B526" s="80" t="str">
        <x:v>줄뮤마</x:v>
      </x:c>
      <x:c r="C526" s="80" t="str">
        <x:v>blitzle</x:v>
      </x:c>
      <x:c r="D526" s="80" t="str">
        <x:v>평원</x:v>
      </x:c>
      <x:c r="E526" s="81" t="str">
        <x:v>—</x:v>
      </x:c>
      <x:c r="F526" s="81" t="str">
        <x:v>—</x:v>
      </x:c>
      <x:c r="G526" s="81" t="str">
        <x:v>—</x:v>
      </x:c>
      <x:c r="H526" s="81" t="str">
        <x:v>—</x:v>
      </x:c>
      <x:c r="I526" s="81" t="str">
        <x:v>—</x:v>
      </x:c>
      <x:c r="J526" s="81" t="str">
        <x:v>—</x:v>
      </x:c>
      <x:c r="K526" s="81" t="str">
        <x:v>—</x:v>
      </x:c>
      <x:c r="L526" s="81" t="str">
        <x:v>—</x:v>
      </x:c>
      <x:c r="M526" s="81" t="str">
        <x:v>평원3</x:v>
      </x:c>
      <x:c r="N526" s="81" t="str">
        <x:v>숲2</x:v>
      </x:c>
      <x:c r="O526" s="81" t="str">
        <x:v>—</x:v>
      </x:c>
      <x:c r="P526" s="81" t="str">
        <x:v>—</x:v>
      </x:c>
      <x:c r="Q526" s="81" t="str">
        <x:v>—</x:v>
      </x:c>
      <x:c r="R526" s="81" t="str">
        <x:v>—</x:v>
      </x:c>
      <x:c r="S526" s="81" t="str">
        <x:v>—</x:v>
      </x:c>
      <x:c r="T526" s="81" t="str">
        <x:v>—</x:v>
      </x:c>
      <x:c r="U526" s="81" t="str">
        <x:v>평원4</x:v>
      </x:c>
      <x:c r="V526" s="81" t="str">
        <x:v>숲4</x:v>
      </x:c>
    </x:row>
    <x:row r="527">
      <x:c r="A527" s="80" t="n">
        <x:v>523</x:v>
      </x:c>
      <x:c r="B527" s="80" t="str">
        <x:v>제브라이카</x:v>
      </x:c>
      <x:c r="C527" s="80" t="str">
        <x:v>zebstrika</x:v>
      </x:c>
      <x:c r="D527" s="80" t="str">
        <x:v>평원</x:v>
      </x:c>
      <x:c r="E527" s="81" t="str">
        <x:v>—</x:v>
      </x:c>
      <x:c r="F527" s="81" t="str">
        <x:v>—</x:v>
      </x:c>
      <x:c r="G527" s="81" t="str">
        <x:v>—</x:v>
      </x:c>
      <x:c r="H527" s="81" t="str">
        <x:v>—</x:v>
      </x:c>
      <x:c r="I527" s="81" t="str">
        <x:v>—</x:v>
      </x:c>
      <x:c r="J527" s="81" t="str">
        <x:v>—</x:v>
      </x:c>
      <x:c r="K527" s="81" t="str">
        <x:v>—</x:v>
      </x:c>
      <x:c r="L527" s="81" t="str">
        <x:v>—</x:v>
      </x:c>
      <x:c r="M527" s="81" t="str">
        <x:v>평원3</x:v>
      </x:c>
      <x:c r="N527" s="81" t="str">
        <x:v>숲2</x:v>
      </x:c>
      <x:c r="O527" s="81" t="str">
        <x:v>—</x:v>
      </x:c>
      <x:c r="P527" s="81" t="str">
        <x:v>—</x:v>
      </x:c>
      <x:c r="Q527" s="81" t="str">
        <x:v>—</x:v>
      </x:c>
      <x:c r="R527" s="81" t="str">
        <x:v>—</x:v>
      </x:c>
      <x:c r="S527" s="81" t="str">
        <x:v>—</x:v>
      </x:c>
      <x:c r="T527" s="81" t="str">
        <x:v>—</x:v>
      </x:c>
      <x:c r="U527" s="81" t="str">
        <x:v>평원4</x:v>
      </x:c>
      <x:c r="V527" s="81" t="str">
        <x:v>숲4</x:v>
      </x:c>
    </x:row>
    <x:row r="528">
      <x:c r="A528" s="80" t="n">
        <x:v>524</x:v>
      </x:c>
      <x:c r="B528" s="80" t="str">
        <x:v>단굴</x:v>
      </x:c>
      <x:c r="C528" s="80" t="str">
        <x:v>roggenrola</x:v>
      </x:c>
      <x:c r="D528" s="80" t="str">
        <x:v>동굴</x:v>
      </x:c>
      <x:c r="E528" s="81" t="str">
        <x:v>—</x:v>
      </x:c>
      <x:c r="F528" s="81" t="str">
        <x:v>—</x:v>
      </x:c>
      <x:c r="G528" s="81" t="str">
        <x:v>—</x:v>
      </x:c>
      <x:c r="H528" s="81" t="str">
        <x:v>—</x:v>
      </x:c>
      <x:c r="I528" s="81" t="str">
        <x:v>—</x:v>
      </x:c>
      <x:c r="J528" s="81" t="str">
        <x:v>—</x:v>
      </x:c>
      <x:c r="K528" s="81" t="str">
        <x:v>—</x:v>
      </x:c>
      <x:c r="L528" s="81" t="str">
        <x:v>—</x:v>
      </x:c>
      <x:c r="M528" s="81" t="str">
        <x:v>동굴1</x:v>
      </x:c>
      <x:c r="N528" s="81" t="str">
        <x:v>산악2</x:v>
      </x:c>
      <x:c r="O528" s="81" t="str">
        <x:v>동굴1</x:v>
      </x:c>
      <x:c r="P528" s="81" t="str">
        <x:v>산악2</x:v>
      </x:c>
      <x:c r="Q528" s="81" t="str">
        <x:v>동굴1</x:v>
      </x:c>
      <x:c r="R528" s="81" t="str">
        <x:v>산악2</x:v>
      </x:c>
      <x:c r="S528" s="81" t="str">
        <x:v>동굴1</x:v>
      </x:c>
      <x:c r="T528" s="81" t="str">
        <x:v>산악3</x:v>
      </x:c>
      <x:c r="U528" s="81" t="str">
        <x:v>—</x:v>
      </x:c>
      <x:c r="V528" s="81" t="str">
        <x:v>—</x:v>
      </x:c>
    </x:row>
    <x:row r="529">
      <x:c r="A529" s="80" t="n">
        <x:v>525</x:v>
      </x:c>
      <x:c r="B529" s="80" t="str">
        <x:v>암트르</x:v>
      </x:c>
      <x:c r="C529" s="80" t="str">
        <x:v>boldore</x:v>
      </x:c>
      <x:c r="D529" s="80" t="str">
        <x:v>동굴</x:v>
      </x:c>
      <x:c r="E529" s="81" t="str">
        <x:v>—</x:v>
      </x:c>
      <x:c r="F529" s="81" t="str">
        <x:v>—</x:v>
      </x:c>
      <x:c r="G529" s="81" t="str">
        <x:v>—</x:v>
      </x:c>
      <x:c r="H529" s="81" t="str">
        <x:v>—</x:v>
      </x:c>
      <x:c r="I529" s="81" t="str">
        <x:v>—</x:v>
      </x:c>
      <x:c r="J529" s="81" t="str">
        <x:v>—</x:v>
      </x:c>
      <x:c r="K529" s="81" t="str">
        <x:v>—</x:v>
      </x:c>
      <x:c r="L529" s="81" t="str">
        <x:v>—</x:v>
      </x:c>
      <x:c r="M529" s="81" t="str">
        <x:v>동굴1</x:v>
      </x:c>
      <x:c r="N529" s="81" t="str">
        <x:v>산악2</x:v>
      </x:c>
      <x:c r="O529" s="81" t="str">
        <x:v>동굴1</x:v>
      </x:c>
      <x:c r="P529" s="81" t="str">
        <x:v>산악2</x:v>
      </x:c>
      <x:c r="Q529" s="81" t="str">
        <x:v>동굴1</x:v>
      </x:c>
      <x:c r="R529" s="81" t="str">
        <x:v>산악2</x:v>
      </x:c>
      <x:c r="S529" s="81" t="str">
        <x:v>동굴1</x:v>
      </x:c>
      <x:c r="T529" s="81" t="str">
        <x:v>산악3</x:v>
      </x:c>
      <x:c r="U529" s="81" t="str">
        <x:v>—</x:v>
      </x:c>
      <x:c r="V529" s="81" t="str">
        <x:v>—</x:v>
      </x:c>
    </x:row>
    <x:row r="530">
      <x:c r="A530" s="80" t="n">
        <x:v>526</x:v>
      </x:c>
      <x:c r="B530" s="80" t="str">
        <x:v>기가이어스</x:v>
      </x:c>
      <x:c r="C530" s="80" t="str">
        <x:v>gigalith</x:v>
      </x:c>
      <x:c r="D530" s="80" t="str">
        <x:v>동굴</x:v>
      </x:c>
      <x:c r="E530" s="81" t="str">
        <x:v>—</x:v>
      </x:c>
      <x:c r="F530" s="81" t="str">
        <x:v>—</x:v>
      </x:c>
      <x:c r="G530" s="81" t="str">
        <x:v>—</x:v>
      </x:c>
      <x:c r="H530" s="81" t="str">
        <x:v>—</x:v>
      </x:c>
      <x:c r="I530" s="81" t="str">
        <x:v>—</x:v>
      </x:c>
      <x:c r="J530" s="81" t="str">
        <x:v>—</x:v>
      </x:c>
      <x:c r="K530" s="81" t="str">
        <x:v>—</x:v>
      </x:c>
      <x:c r="L530" s="81" t="str">
        <x:v>—</x:v>
      </x:c>
      <x:c r="M530" s="81" t="str">
        <x:v>동굴1</x:v>
      </x:c>
      <x:c r="N530" s="81" t="str">
        <x:v>산악2</x:v>
      </x:c>
      <x:c r="O530" s="81" t="str">
        <x:v>동굴1</x:v>
      </x:c>
      <x:c r="P530" s="81" t="str">
        <x:v>산악2</x:v>
      </x:c>
      <x:c r="Q530" s="81" t="str">
        <x:v>동굴1</x:v>
      </x:c>
      <x:c r="R530" s="81" t="str">
        <x:v>산악2</x:v>
      </x:c>
      <x:c r="S530" s="81" t="str">
        <x:v>동굴1</x:v>
      </x:c>
      <x:c r="T530" s="81" t="str">
        <x:v>산악3</x:v>
      </x:c>
      <x:c r="U530" s="81" t="str">
        <x:v>—</x:v>
      </x:c>
      <x:c r="V530" s="81" t="str">
        <x:v>—</x:v>
      </x:c>
    </x:row>
    <x:row r="531">
      <x:c r="A531" s="80" t="n">
        <x:v>527</x:v>
      </x:c>
      <x:c r="B531" s="80" t="str">
        <x:v>또르박쥐</x:v>
      </x:c>
      <x:c r="C531" s="80" t="str">
        <x:v>woobat</x:v>
      </x:c>
      <x:c r="D531" s="80" t="str">
        <x:v>숲</x:v>
      </x:c>
      <x:c r="E531" s="81" t="str">
        <x:v>—</x:v>
      </x:c>
      <x:c r="F531" s="81" t="str">
        <x:v>—</x:v>
      </x:c>
      <x:c r="G531" s="81" t="str">
        <x:v>—</x:v>
      </x:c>
      <x:c r="H531" s="81" t="str">
        <x:v>—</x:v>
      </x:c>
      <x:c r="I531" s="81" t="str">
        <x:v>—</x:v>
      </x:c>
      <x:c r="J531" s="81" t="str">
        <x:v>—</x:v>
      </x:c>
      <x:c r="K531" s="81" t="str">
        <x:v>—</x:v>
      </x:c>
      <x:c r="L531" s="81" t="str">
        <x:v>—</x:v>
      </x:c>
      <x:c r="M531" s="81" t="str">
        <x:v>숲2</x:v>
      </x:c>
      <x:c r="N531" s="81" t="str">
        <x:v>산악2</x:v>
      </x:c>
      <x:c r="O531" s="81" t="str">
        <x:v>숲4</x:v>
      </x:c>
      <x:c r="P531" s="81" t="str">
        <x:v>산악3</x:v>
      </x:c>
      <x:c r="Q531" s="81" t="str">
        <x:v>—</x:v>
      </x:c>
      <x:c r="R531" s="81" t="str">
        <x:v>—</x:v>
      </x:c>
      <x:c r="S531" s="81" t="str">
        <x:v>숲3</x:v>
      </x:c>
      <x:c r="T531" s="81" t="str">
        <x:v>산악3</x:v>
      </x:c>
      <x:c r="U531" s="81" t="str">
        <x:v>—</x:v>
      </x:c>
      <x:c r="V531" s="81" t="str">
        <x:v>—</x:v>
      </x:c>
    </x:row>
    <x:row r="532">
      <x:c r="A532" s="80" t="n">
        <x:v>528</x:v>
      </x:c>
      <x:c r="B532" s="80" t="str">
        <x:v>맘박쥐</x:v>
      </x:c>
      <x:c r="C532" s="80" t="str">
        <x:v>swoobat</x:v>
      </x:c>
      <x:c r="D532" s="80" t="str">
        <x:v>숲</x:v>
      </x:c>
      <x:c r="E532" s="81" t="str">
        <x:v>—</x:v>
      </x:c>
      <x:c r="F532" s="81" t="str">
        <x:v>—</x:v>
      </x:c>
      <x:c r="G532" s="81" t="str">
        <x:v>—</x:v>
      </x:c>
      <x:c r="H532" s="81" t="str">
        <x:v>—</x:v>
      </x:c>
      <x:c r="I532" s="81" t="str">
        <x:v>—</x:v>
      </x:c>
      <x:c r="J532" s="81" t="str">
        <x:v>—</x:v>
      </x:c>
      <x:c r="K532" s="81" t="str">
        <x:v>—</x:v>
      </x:c>
      <x:c r="L532" s="81" t="str">
        <x:v>—</x:v>
      </x:c>
      <x:c r="M532" s="81" t="str">
        <x:v>숲2</x:v>
      </x:c>
      <x:c r="N532" s="81" t="str">
        <x:v>산악2</x:v>
      </x:c>
      <x:c r="O532" s="81" t="str">
        <x:v>숲4</x:v>
      </x:c>
      <x:c r="P532" s="81" t="str">
        <x:v>산악3</x:v>
      </x:c>
      <x:c r="Q532" s="81" t="str">
        <x:v>—</x:v>
      </x:c>
      <x:c r="R532" s="81" t="str">
        <x:v>—</x:v>
      </x:c>
      <x:c r="S532" s="81" t="str">
        <x:v>숲3</x:v>
      </x:c>
      <x:c r="T532" s="81" t="str">
        <x:v>산악3</x:v>
      </x:c>
      <x:c r="U532" s="81" t="str">
        <x:v>—</x:v>
      </x:c>
      <x:c r="V532" s="81" t="str">
        <x:v>—</x:v>
      </x:c>
    </x:row>
    <x:row r="533">
      <x:c r="A533" s="80" t="n">
        <x:v>529</x:v>
      </x:c>
      <x:c r="B533" s="80" t="str">
        <x:v>두더류</x:v>
      </x:c>
      <x:c r="C533" s="80" t="str">
        <x:v>drilbur</x:v>
      </x:c>
      <x:c r="D533" s="80" t="str">
        <x:v>산악</x:v>
      </x:c>
      <x:c r="E533" s="81" t="str">
        <x:v>—</x:v>
      </x:c>
      <x:c r="F533" s="81" t="str">
        <x:v>—</x:v>
      </x:c>
      <x:c r="G533" s="81" t="str">
        <x:v>—</x:v>
      </x:c>
      <x:c r="H533" s="81" t="str">
        <x:v>—</x:v>
      </x:c>
      <x:c r="I533" s="81" t="str">
        <x:v>—</x:v>
      </x:c>
      <x:c r="J533" s="81" t="str">
        <x:v>—</x:v>
      </x:c>
      <x:c r="K533" s="81" t="str">
        <x:v>—</x:v>
      </x:c>
      <x:c r="L533" s="81" t="str">
        <x:v>—</x:v>
      </x:c>
      <x:c r="M533" s="81" t="str">
        <x:v>산악2</x:v>
      </x:c>
      <x:c r="N533" s="81" t="str">
        <x:v>평원3</x:v>
      </x:c>
      <x:c r="O533" s="81" t="str">
        <x:v>—</x:v>
      </x:c>
      <x:c r="P533" s="81" t="str">
        <x:v>—</x:v>
      </x:c>
      <x:c r="Q533" s="81" t="str">
        <x:v>—</x:v>
      </x:c>
      <x:c r="R533" s="81" t="str">
        <x:v>—</x:v>
      </x:c>
      <x:c r="S533" s="81" t="str">
        <x:v>산악3</x:v>
      </x:c>
      <x:c r="T533" s="81" t="str">
        <x:v>평원4</x:v>
      </x:c>
      <x:c r="U533" s="81" t="str">
        <x:v>산악3</x:v>
      </x:c>
      <x:c r="V533" s="81" t="str">
        <x:v>평원4</x:v>
      </x:c>
    </x:row>
    <x:row r="534">
      <x:c r="A534" s="80" t="n">
        <x:v>530</x:v>
      </x:c>
      <x:c r="B534" s="80" t="str">
        <x:v>몰드류</x:v>
      </x:c>
      <x:c r="C534" s="80" t="str">
        <x:v>excadrill</x:v>
      </x:c>
      <x:c r="D534" s="80" t="str">
        <x:v>산악</x:v>
      </x:c>
      <x:c r="E534" s="81" t="str">
        <x:v>—</x:v>
      </x:c>
      <x:c r="F534" s="81" t="str">
        <x:v>—</x:v>
      </x:c>
      <x:c r="G534" s="81" t="str">
        <x:v>—</x:v>
      </x:c>
      <x:c r="H534" s="81" t="str">
        <x:v>—</x:v>
      </x:c>
      <x:c r="I534" s="81" t="str">
        <x:v>—</x:v>
      </x:c>
      <x:c r="J534" s="81" t="str">
        <x:v>—</x:v>
      </x:c>
      <x:c r="K534" s="81" t="str">
        <x:v>—</x:v>
      </x:c>
      <x:c r="L534" s="81" t="str">
        <x:v>—</x:v>
      </x:c>
      <x:c r="M534" s="81" t="str">
        <x:v>산악2</x:v>
      </x:c>
      <x:c r="N534" s="81" t="str">
        <x:v>평원3</x:v>
      </x:c>
      <x:c r="O534" s="81" t="str">
        <x:v>—</x:v>
      </x:c>
      <x:c r="P534" s="81" t="str">
        <x:v>—</x:v>
      </x:c>
      <x:c r="Q534" s="81" t="str">
        <x:v>—</x:v>
      </x:c>
      <x:c r="R534" s="81" t="str">
        <x:v>—</x:v>
      </x:c>
      <x:c r="S534" s="81" t="str">
        <x:v>산악3</x:v>
      </x:c>
      <x:c r="T534" s="81" t="str">
        <x:v>평원4</x:v>
      </x:c>
      <x:c r="U534" s="81" t="str">
        <x:v>산악3</x:v>
      </x:c>
      <x:c r="V534" s="81" t="str">
        <x:v>평원4</x:v>
      </x:c>
    </x:row>
    <x:row r="535">
      <x:c r="A535" s="80" t="n">
        <x:v>531</x:v>
      </x:c>
      <x:c r="B535" s="80" t="str">
        <x:v>다부니</x:v>
      </x:c>
      <x:c r="C535" s="80" t="str">
        <x:v>audino</x:v>
      </x:c>
      <x:c r="D535" s="80" t="str">
        <x:v>산악</x:v>
      </x:c>
      <x:c r="E535" s="81" t="str">
        <x:v>—</x:v>
      </x:c>
      <x:c r="F535" s="81" t="str">
        <x:v>—</x:v>
      </x:c>
      <x:c r="G535" s="81" t="str">
        <x:v>—</x:v>
      </x:c>
      <x:c r="H535" s="81" t="str">
        <x:v>—</x:v>
      </x:c>
      <x:c r="I535" s="81" t="str">
        <x:v>—</x:v>
      </x:c>
      <x:c r="J535" s="81" t="str">
        <x:v>—</x:v>
      </x:c>
      <x:c r="K535" s="81" t="str">
        <x:v>—</x:v>
      </x:c>
      <x:c r="L535" s="81" t="str">
        <x:v>—</x:v>
      </x:c>
      <x:c r="M535" s="81" t="str">
        <x:v>산악2</x:v>
      </x:c>
      <x:c r="N535" s="81" t="str">
        <x:v>평원3</x:v>
      </x:c>
      <x:c r="O535" s="81" t="str">
        <x:v>산악3</x:v>
      </x:c>
      <x:c r="P535" s="81" t="str">
        <x:v>평원4</x:v>
      </x:c>
      <x:c r="Q535" s="81" t="str">
        <x:v>—</x:v>
      </x:c>
      <x:c r="R535" s="81" t="str">
        <x:v>—</x:v>
      </x:c>
      <x:c r="S535" s="81" t="str">
        <x:v>산악3</x:v>
      </x:c>
      <x:c r="T535" s="81" t="str">
        <x:v>평원4</x:v>
      </x:c>
      <x:c r="U535" s="81" t="str">
        <x:v>—</x:v>
      </x:c>
      <x:c r="V535" s="81" t="str">
        <x:v>—</x:v>
      </x:c>
    </x:row>
    <x:row r="536">
      <x:c r="A536" s="80" t="n">
        <x:v>532</x:v>
      </x:c>
      <x:c r="B536" s="80" t="str">
        <x:v>으랏차</x:v>
      </x:c>
      <x:c r="C536" s="80" t="str">
        <x:v>timburr</x:v>
      </x:c>
      <x:c r="D536" s="80" t="str">
        <x:v>평원</x:v>
      </x:c>
      <x:c r="E536" s="81" t="str">
        <x:v>—</x:v>
      </x:c>
      <x:c r="F536" s="81" t="str">
        <x:v>—</x:v>
      </x:c>
      <x:c r="G536" s="81" t="str">
        <x:v>—</x:v>
      </x:c>
      <x:c r="H536" s="81" t="str">
        <x:v>—</x:v>
      </x:c>
      <x:c r="I536" s="81" t="str">
        <x:v>—</x:v>
      </x:c>
      <x:c r="J536" s="81" t="str">
        <x:v>—</x:v>
      </x:c>
      <x:c r="K536" s="81" t="str">
        <x:v>—</x:v>
      </x:c>
      <x:c r="L536" s="81" t="str">
        <x:v>—</x:v>
      </x:c>
      <x:c r="M536" s="81" t="str">
        <x:v>평원3</x:v>
      </x:c>
      <x:c r="N536" s="81" t="str">
        <x:v>숲2</x:v>
      </x:c>
      <x:c r="O536" s="81" t="str">
        <x:v>평원4</x:v>
      </x:c>
      <x:c r="P536" s="81" t="str">
        <x:v>숲4</x:v>
      </x:c>
      <x:c r="Q536" s="81" t="str">
        <x:v>—</x:v>
      </x:c>
      <x:c r="R536" s="81" t="str">
        <x:v>—</x:v>
      </x:c>
      <x:c r="S536" s="81" t="str">
        <x:v>평원4</x:v>
      </x:c>
      <x:c r="T536" s="81" t="str">
        <x:v>숲3</x:v>
      </x:c>
      <x:c r="U536" s="81" t="str">
        <x:v>평원4</x:v>
      </x:c>
      <x:c r="V536" s="81" t="str">
        <x:v>숲4</x:v>
      </x:c>
    </x:row>
    <x:row r="537">
      <x:c r="A537" s="80" t="n">
        <x:v>533</x:v>
      </x:c>
      <x:c r="B537" s="80" t="str">
        <x:v>토쇠골</x:v>
      </x:c>
      <x:c r="C537" s="80" t="str">
        <x:v>gurdurr</x:v>
      </x:c>
      <x:c r="D537" s="80" t="str">
        <x:v>평원</x:v>
      </x:c>
      <x:c r="E537" s="81" t="str">
        <x:v>—</x:v>
      </x:c>
      <x:c r="F537" s="81" t="str">
        <x:v>—</x:v>
      </x:c>
      <x:c r="G537" s="81" t="str">
        <x:v>—</x:v>
      </x:c>
      <x:c r="H537" s="81" t="str">
        <x:v>—</x:v>
      </x:c>
      <x:c r="I537" s="81" t="str">
        <x:v>—</x:v>
      </x:c>
      <x:c r="J537" s="81" t="str">
        <x:v>—</x:v>
      </x:c>
      <x:c r="K537" s="81" t="str">
        <x:v>—</x:v>
      </x:c>
      <x:c r="L537" s="81" t="str">
        <x:v>—</x:v>
      </x:c>
      <x:c r="M537" s="81" t="str">
        <x:v>평원3</x:v>
      </x:c>
      <x:c r="N537" s="81" t="str">
        <x:v>숲2</x:v>
      </x:c>
      <x:c r="O537" s="81" t="str">
        <x:v>평원4</x:v>
      </x:c>
      <x:c r="P537" s="81" t="str">
        <x:v>숲4</x:v>
      </x:c>
      <x:c r="Q537" s="81" t="str">
        <x:v>—</x:v>
      </x:c>
      <x:c r="R537" s="81" t="str">
        <x:v>—</x:v>
      </x:c>
      <x:c r="S537" s="81" t="str">
        <x:v>평원4</x:v>
      </x:c>
      <x:c r="T537" s="81" t="str">
        <x:v>숲4</x:v>
      </x:c>
      <x:c r="U537" s="81" t="str">
        <x:v>평원4</x:v>
      </x:c>
      <x:c r="V537" s="81" t="str">
        <x:v>숲4</x:v>
      </x:c>
    </x:row>
    <x:row r="538">
      <x:c r="A538" s="80" t="n">
        <x:v>534</x:v>
      </x:c>
      <x:c r="B538" s="80" t="str">
        <x:v>노보청</x:v>
      </x:c>
      <x:c r="C538" s="80" t="str">
        <x:v>conkeldurr</x:v>
      </x:c>
      <x:c r="D538" s="80" t="str">
        <x:v>평원</x:v>
      </x:c>
      <x:c r="E538" s="81" t="str">
        <x:v>—</x:v>
      </x:c>
      <x:c r="F538" s="81" t="str">
        <x:v>—</x:v>
      </x:c>
      <x:c r="G538" s="81" t="str">
        <x:v>—</x:v>
      </x:c>
      <x:c r="H538" s="81" t="str">
        <x:v>—</x:v>
      </x:c>
      <x:c r="I538" s="81" t="str">
        <x:v>—</x:v>
      </x:c>
      <x:c r="J538" s="81" t="str">
        <x:v>—</x:v>
      </x:c>
      <x:c r="K538" s="81" t="str">
        <x:v>—</x:v>
      </x:c>
      <x:c r="L538" s="81" t="str">
        <x:v>—</x:v>
      </x:c>
      <x:c r="M538" s="81" t="str">
        <x:v>평원3</x:v>
      </x:c>
      <x:c r="N538" s="81" t="str">
        <x:v>숲2</x:v>
      </x:c>
      <x:c r="O538" s="81" t="str">
        <x:v>평원4</x:v>
      </x:c>
      <x:c r="P538" s="81" t="str">
        <x:v>숲4</x:v>
      </x:c>
      <x:c r="Q538" s="81" t="str">
        <x:v>—</x:v>
      </x:c>
      <x:c r="R538" s="81" t="str">
        <x:v>—</x:v>
      </x:c>
      <x:c r="S538" s="81" t="str">
        <x:v>평원4</x:v>
      </x:c>
      <x:c r="T538" s="81" t="str">
        <x:v>숲4</x:v>
      </x:c>
      <x:c r="U538" s="81" t="str">
        <x:v>평원4</x:v>
      </x:c>
      <x:c r="V538" s="81" t="str">
        <x:v>숲4</x:v>
      </x:c>
    </x:row>
    <x:row r="539">
      <x:c r="A539" s="80" t="n">
        <x:v>535</x:v>
      </x:c>
      <x:c r="B539" s="80" t="str">
        <x:v>동챙이</x:v>
      </x:c>
      <x:c r="C539" s="80" t="str">
        <x:v>tympole</x:v>
      </x:c>
      <x:c r="D539" s="80" t="str">
        <x:v>습지</x:v>
      </x:c>
      <x:c r="E539" s="81" t="str">
        <x:v>—</x:v>
      </x:c>
      <x:c r="F539" s="81" t="str">
        <x:v>—</x:v>
      </x:c>
      <x:c r="G539" s="81" t="str">
        <x:v>—</x:v>
      </x:c>
      <x:c r="H539" s="81" t="str">
        <x:v>—</x:v>
      </x:c>
      <x:c r="I539" s="81" t="str">
        <x:v>—</x:v>
      </x:c>
      <x:c r="J539" s="81" t="str">
        <x:v>—</x:v>
      </x:c>
      <x:c r="K539" s="81" t="str">
        <x:v>—</x:v>
      </x:c>
      <x:c r="L539" s="81" t="str">
        <x:v>—</x:v>
      </x:c>
      <x:c r="M539" s="81" t="str">
        <x:v>습지1</x:v>
      </x:c>
      <x:c r="N539" s="81" t="str">
        <x:v>담수2</x:v>
      </x:c>
      <x:c r="O539" s="81" t="str">
        <x:v>—</x:v>
      </x:c>
      <x:c r="P539" s="81" t="str">
        <x:v>—</x:v>
      </x:c>
      <x:c r="Q539" s="81" t="str">
        <x:v>—</x:v>
      </x:c>
      <x:c r="R539" s="81" t="str">
        <x:v>—</x:v>
      </x:c>
      <x:c r="S539" s="81" t="str">
        <x:v>습지2</x:v>
      </x:c>
      <x:c r="T539" s="81" t="str">
        <x:v>담수3</x:v>
      </x:c>
      <x:c r="U539" s="81" t="str">
        <x:v>—</x:v>
      </x:c>
      <x:c r="V539" s="81" t="str">
        <x:v>—</x:v>
      </x:c>
    </x:row>
    <x:row r="540">
      <x:c r="A540" s="80" t="n">
        <x:v>536</x:v>
      </x:c>
      <x:c r="B540" s="80" t="str">
        <x:v>두까비</x:v>
      </x:c>
      <x:c r="C540" s="80" t="str">
        <x:v>palpitoad</x:v>
      </x:c>
      <x:c r="D540" s="80" t="str">
        <x:v>습지</x:v>
      </x:c>
      <x:c r="E540" s="81" t="str">
        <x:v>—</x:v>
      </x:c>
      <x:c r="F540" s="81" t="str">
        <x:v>—</x:v>
      </x:c>
      <x:c r="G540" s="81" t="str">
        <x:v>—</x:v>
      </x:c>
      <x:c r="H540" s="81" t="str">
        <x:v>—</x:v>
      </x:c>
      <x:c r="I540" s="81" t="str">
        <x:v>—</x:v>
      </x:c>
      <x:c r="J540" s="81" t="str">
        <x:v>—</x:v>
      </x:c>
      <x:c r="K540" s="81" t="str">
        <x:v>—</x:v>
      </x:c>
      <x:c r="L540" s="81" t="str">
        <x:v>—</x:v>
      </x:c>
      <x:c r="M540" s="81" t="str">
        <x:v>습지2</x:v>
      </x:c>
      <x:c r="N540" s="81" t="str">
        <x:v>담수2</x:v>
      </x:c>
      <x:c r="O540" s="81" t="str">
        <x:v>—</x:v>
      </x:c>
      <x:c r="P540" s="81" t="str">
        <x:v>—</x:v>
      </x:c>
      <x:c r="Q540" s="81" t="str">
        <x:v>—</x:v>
      </x:c>
      <x:c r="R540" s="81" t="str">
        <x:v>—</x:v>
      </x:c>
      <x:c r="S540" s="81" t="str">
        <x:v>습지2</x:v>
      </x:c>
      <x:c r="T540" s="81" t="str">
        <x:v>담수3</x:v>
      </x:c>
      <x:c r="U540" s="81" t="str">
        <x:v>—</x:v>
      </x:c>
      <x:c r="V540" s="81" t="str">
        <x:v>—</x:v>
      </x:c>
    </x:row>
    <x:row r="541">
      <x:c r="A541" s="80" t="n">
        <x:v>537</x:v>
      </x:c>
      <x:c r="B541" s="80" t="str">
        <x:v>두빅굴</x:v>
      </x:c>
      <x:c r="C541" s="80" t="str">
        <x:v>seismitoad</x:v>
      </x:c>
      <x:c r="D541" s="80" t="str">
        <x:v>습지</x:v>
      </x:c>
      <x:c r="E541" s="81" t="str">
        <x:v>—</x:v>
      </x:c>
      <x:c r="F541" s="81" t="str">
        <x:v>—</x:v>
      </x:c>
      <x:c r="G541" s="81" t="str">
        <x:v>—</x:v>
      </x:c>
      <x:c r="H541" s="81" t="str">
        <x:v>—</x:v>
      </x:c>
      <x:c r="I541" s="81" t="str">
        <x:v>—</x:v>
      </x:c>
      <x:c r="J541" s="81" t="str">
        <x:v>—</x:v>
      </x:c>
      <x:c r="K541" s="81" t="str">
        <x:v>—</x:v>
      </x:c>
      <x:c r="L541" s="81" t="str">
        <x:v>—</x:v>
      </x:c>
      <x:c r="M541" s="81" t="str">
        <x:v>습지2</x:v>
      </x:c>
      <x:c r="N541" s="81" t="str">
        <x:v>담수2</x:v>
      </x:c>
      <x:c r="O541" s="81" t="str">
        <x:v>—</x:v>
      </x:c>
      <x:c r="P541" s="81" t="str">
        <x:v>—</x:v>
      </x:c>
      <x:c r="Q541" s="81" t="str">
        <x:v>—</x:v>
      </x:c>
      <x:c r="R541" s="81" t="str">
        <x:v>—</x:v>
      </x:c>
      <x:c r="S541" s="81" t="str">
        <x:v>습지2</x:v>
      </x:c>
      <x:c r="T541" s="81" t="str">
        <x:v>담수3</x:v>
      </x:c>
      <x:c r="U541" s="81" t="str">
        <x:v>—</x:v>
      </x:c>
      <x:c r="V541" s="81" t="str">
        <x:v>—</x:v>
      </x:c>
    </x:row>
    <x:row r="542">
      <x:c r="A542" s="80" t="n">
        <x:v>538</x:v>
      </x:c>
      <x:c r="B542" s="80" t="str">
        <x:v>던지미</x:v>
      </x:c>
      <x:c r="C542" s="80" t="str">
        <x:v>throh</x:v>
      </x:c>
      <x:c r="D542" s="80" t="str">
        <x:v>건조지</x:v>
      </x:c>
      <x:c r="E542" s="81" t="str">
        <x:v>—</x:v>
      </x:c>
      <x:c r="F542" s="81" t="str">
        <x:v>—</x:v>
      </x:c>
      <x:c r="G542" s="81" t="str">
        <x:v>—</x:v>
      </x:c>
      <x:c r="H542" s="81" t="str">
        <x:v>—</x:v>
      </x:c>
      <x:c r="I542" s="81" t="str">
        <x:v>—</x:v>
      </x:c>
      <x:c r="J542" s="81" t="str">
        <x:v>—</x:v>
      </x:c>
      <x:c r="K542" s="81" t="str">
        <x:v>—</x:v>
      </x:c>
      <x:c r="L542" s="81" t="str">
        <x:v>—</x:v>
      </x:c>
      <x:c r="M542" s="81" t="str">
        <x:v>건조지2</x:v>
      </x:c>
      <x:c r="N542" s="81" t="str">
        <x:v>화산2</x:v>
      </x:c>
      <x:c r="O542" s="81" t="str">
        <x:v>건조지2</x:v>
      </x:c>
      <x:c r="P542" s="81" t="str">
        <x:v>화산2</x:v>
      </x:c>
      <x:c r="Q542" s="81" t="str">
        <x:v>—</x:v>
      </x:c>
      <x:c r="R542" s="81" t="str">
        <x:v>—</x:v>
      </x:c>
      <x:c r="S542" s="81" t="str">
        <x:v>건조지1</x:v>
      </x:c>
      <x:c r="T542" s="81" t="str">
        <x:v>화산1</x:v>
      </x:c>
      <x:c r="U542" s="81" t="str">
        <x:v>—</x:v>
      </x:c>
      <x:c r="V542" s="81" t="str">
        <x:v>—</x:v>
      </x:c>
    </x:row>
    <x:row r="543">
      <x:c r="A543" s="80" t="n">
        <x:v>539</x:v>
      </x:c>
      <x:c r="B543" s="80" t="str">
        <x:v>타격귀</x:v>
      </x:c>
      <x:c r="C543" s="80" t="str">
        <x:v>sawk</x:v>
      </x:c>
      <x:c r="D543" s="80" t="str">
        <x:v>건조지</x:v>
      </x:c>
      <x:c r="E543" s="81" t="str">
        <x:v>—</x:v>
      </x:c>
      <x:c r="F543" s="81" t="str">
        <x:v>—</x:v>
      </x:c>
      <x:c r="G543" s="81" t="str">
        <x:v>—</x:v>
      </x:c>
      <x:c r="H543" s="81" t="str">
        <x:v>—</x:v>
      </x:c>
      <x:c r="I543" s="81" t="str">
        <x:v>—</x:v>
      </x:c>
      <x:c r="J543" s="81" t="str">
        <x:v>—</x:v>
      </x:c>
      <x:c r="K543" s="81" t="str">
        <x:v>—</x:v>
      </x:c>
      <x:c r="L543" s="81" t="str">
        <x:v>—</x:v>
      </x:c>
      <x:c r="M543" s="81" t="str">
        <x:v>건조지2</x:v>
      </x:c>
      <x:c r="N543" s="81" t="str">
        <x:v>화산2</x:v>
      </x:c>
      <x:c r="O543" s="81" t="str">
        <x:v>건조지2</x:v>
      </x:c>
      <x:c r="P543" s="81" t="str">
        <x:v>화산2</x:v>
      </x:c>
      <x:c r="Q543" s="81" t="str">
        <x:v>—</x:v>
      </x:c>
      <x:c r="R543" s="81" t="str">
        <x:v>—</x:v>
      </x:c>
      <x:c r="S543" s="81" t="str">
        <x:v>건조지1</x:v>
      </x:c>
      <x:c r="T543" s="81" t="str">
        <x:v>화산1</x:v>
      </x:c>
      <x:c r="U543" s="81" t="str">
        <x:v>—</x:v>
      </x:c>
      <x:c r="V543" s="81" t="str">
        <x:v>—</x:v>
      </x:c>
    </x:row>
    <x:row r="544">
      <x:c r="A544" s="80" t="n">
        <x:v>540</x:v>
      </x:c>
      <x:c r="B544" s="80" t="str">
        <x:v>두르보</x:v>
      </x:c>
      <x:c r="C544" s="80" t="str">
        <x:v>sewaddle</x:v>
      </x:c>
      <x:c r="D544" s="80" t="str">
        <x:v>숲</x:v>
      </x:c>
      <x:c r="E544" s="81" t="str">
        <x:v>—</x:v>
      </x:c>
      <x:c r="F544" s="81" t="str">
        <x:v>—</x:v>
      </x:c>
      <x:c r="G544" s="81" t="str">
        <x:v>—</x:v>
      </x:c>
      <x:c r="H544" s="81" t="str">
        <x:v>—</x:v>
      </x:c>
      <x:c r="I544" s="81" t="str">
        <x:v>—</x:v>
      </x:c>
      <x:c r="J544" s="81" t="str">
        <x:v>—</x:v>
      </x:c>
      <x:c r="K544" s="81" t="str">
        <x:v>—</x:v>
      </x:c>
      <x:c r="L544" s="81" t="str">
        <x:v>—</x:v>
      </x:c>
      <x:c r="M544" s="81" t="str">
        <x:v>숲2</x:v>
      </x:c>
      <x:c r="N544" s="81" t="str">
        <x:v>평원3</x:v>
      </x:c>
      <x:c r="O544" s="81" t="str">
        <x:v>—</x:v>
      </x:c>
      <x:c r="P544" s="81" t="str">
        <x:v>—</x:v>
      </x:c>
      <x:c r="Q544" s="81" t="str">
        <x:v>—</x:v>
      </x:c>
      <x:c r="R544" s="81" t="str">
        <x:v>—</x:v>
      </x:c>
      <x:c r="S544" s="81" t="str">
        <x:v>—</x:v>
      </x:c>
      <x:c r="T544" s="81" t="str">
        <x:v>—</x:v>
      </x:c>
      <x:c r="U544" s="81" t="str">
        <x:v>숲4</x:v>
      </x:c>
      <x:c r="V544" s="81" t="str">
        <x:v>평원4</x:v>
      </x:c>
    </x:row>
    <x:row r="545">
      <x:c r="A545" s="80" t="n">
        <x:v>541</x:v>
      </x:c>
      <x:c r="B545" s="80" t="str">
        <x:v>두르쿤</x:v>
      </x:c>
      <x:c r="C545" s="80" t="str">
        <x:v>swadloon</x:v>
      </x:c>
      <x:c r="D545" s="80" t="str">
        <x:v>숲</x:v>
      </x:c>
      <x:c r="E545" s="81" t="str">
        <x:v>—</x:v>
      </x:c>
      <x:c r="F545" s="81" t="str">
        <x:v>—</x:v>
      </x:c>
      <x:c r="G545" s="81" t="str">
        <x:v>—</x:v>
      </x:c>
      <x:c r="H545" s="81" t="str">
        <x:v>—</x:v>
      </x:c>
      <x:c r="I545" s="81" t="str">
        <x:v>—</x:v>
      </x:c>
      <x:c r="J545" s="81" t="str">
        <x:v>—</x:v>
      </x:c>
      <x:c r="K545" s="81" t="str">
        <x:v>—</x:v>
      </x:c>
      <x:c r="L545" s="81" t="str">
        <x:v>—</x:v>
      </x:c>
      <x:c r="M545" s="81" t="str">
        <x:v>숲2</x:v>
      </x:c>
      <x:c r="N545" s="81" t="str">
        <x:v>평원3</x:v>
      </x:c>
      <x:c r="O545" s="81" t="str">
        <x:v>—</x:v>
      </x:c>
      <x:c r="P545" s="81" t="str">
        <x:v>—</x:v>
      </x:c>
      <x:c r="Q545" s="81" t="str">
        <x:v>—</x:v>
      </x:c>
      <x:c r="R545" s="81" t="str">
        <x:v>—</x:v>
      </x:c>
      <x:c r="S545" s="81" t="str">
        <x:v>—</x:v>
      </x:c>
      <x:c r="T545" s="81" t="str">
        <x:v>—</x:v>
      </x:c>
      <x:c r="U545" s="81" t="str">
        <x:v>숲4</x:v>
      </x:c>
      <x:c r="V545" s="81" t="str">
        <x:v>평원4</x:v>
      </x:c>
    </x:row>
    <x:row r="546">
      <x:c r="A546" s="80" t="n">
        <x:v>542</x:v>
      </x:c>
      <x:c r="B546" s="80" t="str">
        <x:v>모아머</x:v>
      </x:c>
      <x:c r="C546" s="80" t="str">
        <x:v>leavanny</x:v>
      </x:c>
      <x:c r="D546" s="80" t="str">
        <x:v>숲</x:v>
      </x:c>
      <x:c r="E546" s="81" t="str">
        <x:v>—</x:v>
      </x:c>
      <x:c r="F546" s="81" t="str">
        <x:v>—</x:v>
      </x:c>
      <x:c r="G546" s="81" t="str">
        <x:v>—</x:v>
      </x:c>
      <x:c r="H546" s="81" t="str">
        <x:v>—</x:v>
      </x:c>
      <x:c r="I546" s="81" t="str">
        <x:v>—</x:v>
      </x:c>
      <x:c r="J546" s="81" t="str">
        <x:v>—</x:v>
      </x:c>
      <x:c r="K546" s="81" t="str">
        <x:v>—</x:v>
      </x:c>
      <x:c r="L546" s="81" t="str">
        <x:v>—</x:v>
      </x:c>
      <x:c r="M546" s="81" t="str">
        <x:v>숲2</x:v>
      </x:c>
      <x:c r="N546" s="81" t="str">
        <x:v>평원3</x:v>
      </x:c>
      <x:c r="O546" s="81" t="str">
        <x:v>—</x:v>
      </x:c>
      <x:c r="P546" s="81" t="str">
        <x:v>—</x:v>
      </x:c>
      <x:c r="Q546" s="81" t="str">
        <x:v>—</x:v>
      </x:c>
      <x:c r="R546" s="81" t="str">
        <x:v>—</x:v>
      </x:c>
      <x:c r="S546" s="81" t="str">
        <x:v>—</x:v>
      </x:c>
      <x:c r="T546" s="81" t="str">
        <x:v>—</x:v>
      </x:c>
      <x:c r="U546" s="81" t="str">
        <x:v>숲4</x:v>
      </x:c>
      <x:c r="V546" s="81" t="str">
        <x:v>평원4</x:v>
      </x:c>
    </x:row>
    <x:row r="547">
      <x:c r="A547" s="80" t="n">
        <x:v>543</x:v>
      </x:c>
      <x:c r="B547" s="80" t="str">
        <x:v>마디네</x:v>
      </x:c>
      <x:c r="C547" s="80" t="str">
        <x:v>venipede</x:v>
      </x:c>
      <x:c r="D547" s="80" t="str">
        <x:v>숲</x:v>
      </x:c>
      <x:c r="E547" s="81" t="str">
        <x:v>—</x:v>
      </x:c>
      <x:c r="F547" s="81" t="str">
        <x:v>—</x:v>
      </x:c>
      <x:c r="G547" s="81" t="str">
        <x:v>—</x:v>
      </x:c>
      <x:c r="H547" s="81" t="str">
        <x:v>—</x:v>
      </x:c>
      <x:c r="I547" s="81" t="str">
        <x:v>—</x:v>
      </x:c>
      <x:c r="J547" s="81" t="str">
        <x:v>—</x:v>
      </x:c>
      <x:c r="K547" s="81" t="str">
        <x:v>—</x:v>
      </x:c>
      <x:c r="L547" s="81" t="str">
        <x:v>—</x:v>
      </x:c>
      <x:c r="M547" s="81" t="str">
        <x:v>숲2</x:v>
      </x:c>
      <x:c r="N547" s="81" t="str">
        <x:v>습지2</x:v>
      </x:c>
      <x:c r="O547" s="81" t="str">
        <x:v>숲4</x:v>
      </x:c>
      <x:c r="P547" s="81" t="str">
        <x:v>습지3</x:v>
      </x:c>
      <x:c r="Q547" s="81" t="str">
        <x:v>—</x:v>
      </x:c>
      <x:c r="R547" s="81" t="str">
        <x:v>—</x:v>
      </x:c>
      <x:c r="S547" s="81" t="str">
        <x:v>숲4</x:v>
      </x:c>
      <x:c r="T547" s="81" t="str">
        <x:v>습지2</x:v>
      </x:c>
      <x:c r="U547" s="81" t="str">
        <x:v>—</x:v>
      </x:c>
      <x:c r="V547" s="81" t="str">
        <x:v>—</x:v>
      </x:c>
    </x:row>
    <x:row r="548">
      <x:c r="A548" s="80" t="n">
        <x:v>544</x:v>
      </x:c>
      <x:c r="B548" s="80" t="str">
        <x:v>휠구</x:v>
      </x:c>
      <x:c r="C548" s="80" t="str">
        <x:v>whirlipede</x:v>
      </x:c>
      <x:c r="D548" s="80" t="str">
        <x:v>숲</x:v>
      </x:c>
      <x:c r="E548" s="81" t="str">
        <x:v>—</x:v>
      </x:c>
      <x:c r="F548" s="81" t="str">
        <x:v>—</x:v>
      </x:c>
      <x:c r="G548" s="81" t="str">
        <x:v>—</x:v>
      </x:c>
      <x:c r="H548" s="81" t="str">
        <x:v>—</x:v>
      </x:c>
      <x:c r="I548" s="81" t="str">
        <x:v>—</x:v>
      </x:c>
      <x:c r="J548" s="81" t="str">
        <x:v>—</x:v>
      </x:c>
      <x:c r="K548" s="81" t="str">
        <x:v>—</x:v>
      </x:c>
      <x:c r="L548" s="81" t="str">
        <x:v>—</x:v>
      </x:c>
      <x:c r="M548" s="81" t="str">
        <x:v>숲2</x:v>
      </x:c>
      <x:c r="N548" s="81" t="str">
        <x:v>습지2</x:v>
      </x:c>
      <x:c r="O548" s="81" t="str">
        <x:v>숲4</x:v>
      </x:c>
      <x:c r="P548" s="81" t="str">
        <x:v>습지3</x:v>
      </x:c>
      <x:c r="Q548" s="81" t="str">
        <x:v>—</x:v>
      </x:c>
      <x:c r="R548" s="81" t="str">
        <x:v>—</x:v>
      </x:c>
      <x:c r="S548" s="81" t="str">
        <x:v>숲4</x:v>
      </x:c>
      <x:c r="T548" s="81" t="str">
        <x:v>습지2</x:v>
      </x:c>
      <x:c r="U548" s="81" t="str">
        <x:v>—</x:v>
      </x:c>
      <x:c r="V548" s="81" t="str">
        <x:v>—</x:v>
      </x:c>
    </x:row>
    <x:row r="549">
      <x:c r="A549" s="80" t="n">
        <x:v>545</x:v>
      </x:c>
      <x:c r="B549" s="80" t="str">
        <x:v>펜드라</x:v>
      </x:c>
      <x:c r="C549" s="80" t="str">
        <x:v>scolipede</x:v>
      </x:c>
      <x:c r="D549" s="80" t="str">
        <x:v>숲</x:v>
      </x:c>
      <x:c r="E549" s="81" t="str">
        <x:v>—</x:v>
      </x:c>
      <x:c r="F549" s="81" t="str">
        <x:v>—</x:v>
      </x:c>
      <x:c r="G549" s="81" t="str">
        <x:v>—</x:v>
      </x:c>
      <x:c r="H549" s="81" t="str">
        <x:v>—</x:v>
      </x:c>
      <x:c r="I549" s="81" t="str">
        <x:v>—</x:v>
      </x:c>
      <x:c r="J549" s="81" t="str">
        <x:v>—</x:v>
      </x:c>
      <x:c r="K549" s="81" t="str">
        <x:v>—</x:v>
      </x:c>
      <x:c r="L549" s="81" t="str">
        <x:v>—</x:v>
      </x:c>
      <x:c r="M549" s="81" t="str">
        <x:v>숲2</x:v>
      </x:c>
      <x:c r="N549" s="81" t="str">
        <x:v>습지2</x:v>
      </x:c>
      <x:c r="O549" s="81" t="str">
        <x:v>숲4</x:v>
      </x:c>
      <x:c r="P549" s="81" t="str">
        <x:v>습지3</x:v>
      </x:c>
      <x:c r="Q549" s="81" t="str">
        <x:v>—</x:v>
      </x:c>
      <x:c r="R549" s="81" t="str">
        <x:v>—</x:v>
      </x:c>
      <x:c r="S549" s="81" t="str">
        <x:v>숲4</x:v>
      </x:c>
      <x:c r="T549" s="81" t="str">
        <x:v>습지2</x:v>
      </x:c>
      <x:c r="U549" s="81" t="str">
        <x:v>—</x:v>
      </x:c>
      <x:c r="V549" s="81" t="str">
        <x:v>—</x:v>
      </x:c>
    </x:row>
    <x:row r="550">
      <x:c r="A550" s="80" t="n">
        <x:v>546</x:v>
      </x:c>
      <x:c r="B550" s="80" t="str">
        <x:v>소미안</x:v>
      </x:c>
      <x:c r="C550" s="80" t="str">
        <x:v>cottonee</x:v>
      </x:c>
      <x:c r="D550" s="80" t="str">
        <x:v>평원</x:v>
      </x:c>
      <x:c r="E550" s="81" t="str">
        <x:v>—</x:v>
      </x:c>
      <x:c r="F550" s="81" t="str">
        <x:v>—</x:v>
      </x:c>
      <x:c r="G550" s="81" t="str">
        <x:v>—</x:v>
      </x:c>
      <x:c r="H550" s="81" t="str">
        <x:v>—</x:v>
      </x:c>
      <x:c r="I550" s="81" t="str">
        <x:v>—</x:v>
      </x:c>
      <x:c r="J550" s="81" t="str">
        <x:v>—</x:v>
      </x:c>
      <x:c r="K550" s="81" t="str">
        <x:v>—</x:v>
      </x:c>
      <x:c r="L550" s="81" t="str">
        <x:v>—</x:v>
      </x:c>
      <x:c r="M550" s="81" t="str">
        <x:v>평원3</x:v>
      </x:c>
      <x:c r="N550" s="81" t="str">
        <x:v>숲2</x:v>
      </x:c>
      <x:c r="O550" s="81" t="str">
        <x:v>—</x:v>
      </x:c>
      <x:c r="P550" s="81" t="str">
        <x:v>—</x:v>
      </x:c>
      <x:c r="Q550" s="81" t="str">
        <x:v>평원4</x:v>
      </x:c>
      <x:c r="R550" s="81" t="str">
        <x:v>숲3</x:v>
      </x:c>
      <x:c r="S550" s="81" t="str">
        <x:v>평원4</x:v>
      </x:c>
      <x:c r="T550" s="81" t="str">
        <x:v>숲4</x:v>
      </x:c>
      <x:c r="U550" s="81" t="str">
        <x:v>평원4</x:v>
      </x:c>
      <x:c r="V550" s="81" t="str">
        <x:v>숲4</x:v>
      </x:c>
    </x:row>
    <x:row r="551">
      <x:c r="A551" s="80" t="n">
        <x:v>547</x:v>
      </x:c>
      <x:c r="B551" s="80" t="str">
        <x:v>엘풍</x:v>
      </x:c>
      <x:c r="C551" s="80" t="str">
        <x:v>whimsicott</x:v>
      </x:c>
      <x:c r="D551" s="80" t="str">
        <x:v>평원</x:v>
      </x:c>
      <x:c r="E551" s="81" t="str">
        <x:v>—</x:v>
      </x:c>
      <x:c r="F551" s="81" t="str">
        <x:v>—</x:v>
      </x:c>
      <x:c r="G551" s="81" t="str">
        <x:v>—</x:v>
      </x:c>
      <x:c r="H551" s="81" t="str">
        <x:v>—</x:v>
      </x:c>
      <x:c r="I551" s="81" t="str">
        <x:v>—</x:v>
      </x:c>
      <x:c r="J551" s="81" t="str">
        <x:v>—</x:v>
      </x:c>
      <x:c r="K551" s="81" t="str">
        <x:v>—</x:v>
      </x:c>
      <x:c r="L551" s="81" t="str">
        <x:v>—</x:v>
      </x:c>
      <x:c r="M551" s="81" t="str">
        <x:v>평원3</x:v>
      </x:c>
      <x:c r="N551" s="81" t="str">
        <x:v>숲3</x:v>
      </x:c>
      <x:c r="O551" s="81" t="str">
        <x:v>—</x:v>
      </x:c>
      <x:c r="P551" s="81" t="str">
        <x:v>—</x:v>
      </x:c>
      <x:c r="Q551" s="81" t="str">
        <x:v>평원4</x:v>
      </x:c>
      <x:c r="R551" s="81" t="str">
        <x:v>숲3</x:v>
      </x:c>
      <x:c r="S551" s="81" t="str">
        <x:v>평원4</x:v>
      </x:c>
      <x:c r="T551" s="81" t="str">
        <x:v>숲4</x:v>
      </x:c>
      <x:c r="U551" s="81" t="str">
        <x:v>평원4</x:v>
      </x:c>
      <x:c r="V551" s="81" t="str">
        <x:v>숲4</x:v>
      </x:c>
    </x:row>
    <x:row r="552">
      <x:c r="A552" s="80" t="n">
        <x:v>548</x:v>
      </x:c>
      <x:c r="B552" s="80" t="str">
        <x:v>치릴리</x:v>
      </x:c>
      <x:c r="C552" s="80" t="str">
        <x:v>petilil</x:v>
      </x:c>
      <x:c r="D552" s="80" t="str">
        <x:v>산악</x:v>
      </x:c>
      <x:c r="E552" s="81" t="str">
        <x:v>—</x:v>
      </x:c>
      <x:c r="F552" s="81" t="str">
        <x:v>—</x:v>
      </x:c>
      <x:c r="G552" s="81" t="str">
        <x:v>—</x:v>
      </x:c>
      <x:c r="H552" s="81" t="str">
        <x:v>—</x:v>
      </x:c>
      <x:c r="I552" s="81" t="str">
        <x:v>—</x:v>
      </x:c>
      <x:c r="J552" s="81" t="str">
        <x:v>—</x:v>
      </x:c>
      <x:c r="K552" s="81" t="str">
        <x:v>—</x:v>
      </x:c>
      <x:c r="L552" s="81" t="str">
        <x:v>—</x:v>
      </x:c>
      <x:c r="M552" s="81" t="str">
        <x:v>산악2</x:v>
      </x:c>
      <x:c r="N552" s="81" t="str">
        <x:v>숲3</x:v>
      </x:c>
      <x:c r="O552" s="81" t="str">
        <x:v>—</x:v>
      </x:c>
      <x:c r="P552" s="81" t="str">
        <x:v>—</x:v>
      </x:c>
      <x:c r="Q552" s="81" t="str">
        <x:v>산악2</x:v>
      </x:c>
      <x:c r="R552" s="81" t="str">
        <x:v>숲3</x:v>
      </x:c>
      <x:c r="S552" s="81" t="str">
        <x:v>산악3</x:v>
      </x:c>
      <x:c r="T552" s="81" t="str">
        <x:v>숲4</x:v>
      </x:c>
      <x:c r="U552" s="81" t="str">
        <x:v>산악3</x:v>
      </x:c>
      <x:c r="V552" s="81" t="str">
        <x:v>숲4</x:v>
      </x:c>
    </x:row>
    <x:row r="553">
      <x:c r="A553" s="80" t="n">
        <x:v>549</x:v>
      </x:c>
      <x:c r="B553" s="80" t="str">
        <x:v>드레디어</x:v>
      </x:c>
      <x:c r="C553" s="80" t="str">
        <x:v>lilligant</x:v>
      </x:c>
      <x:c r="D553" s="80" t="str">
        <x:v>산악</x:v>
      </x:c>
      <x:c r="E553" s="81" t="str">
        <x:v>—</x:v>
      </x:c>
      <x:c r="F553" s="81" t="str">
        <x:v>—</x:v>
      </x:c>
      <x:c r="G553" s="81" t="str">
        <x:v>—</x:v>
      </x:c>
      <x:c r="H553" s="81" t="str">
        <x:v>—</x:v>
      </x:c>
      <x:c r="I553" s="81" t="str">
        <x:v>—</x:v>
      </x:c>
      <x:c r="J553" s="81" t="str">
        <x:v>—</x:v>
      </x:c>
      <x:c r="K553" s="81" t="str">
        <x:v>—</x:v>
      </x:c>
      <x:c r="L553" s="81" t="str">
        <x:v>—</x:v>
      </x:c>
      <x:c r="M553" s="81" t="str">
        <x:v>산악2</x:v>
      </x:c>
      <x:c r="N553" s="81" t="str">
        <x:v>숲3</x:v>
      </x:c>
      <x:c r="O553" s="81" t="str">
        <x:v>—</x:v>
      </x:c>
      <x:c r="P553" s="81" t="str">
        <x:v>—</x:v>
      </x:c>
      <x:c r="Q553" s="81" t="str">
        <x:v>산악2</x:v>
      </x:c>
      <x:c r="R553" s="81" t="str">
        <x:v>숲3</x:v>
      </x:c>
      <x:c r="S553" s="81" t="str">
        <x:v>산악3</x:v>
      </x:c>
      <x:c r="T553" s="81" t="str">
        <x:v>숲4</x:v>
      </x:c>
      <x:c r="U553" s="81" t="str">
        <x:v>산악3</x:v>
      </x:c>
      <x:c r="V553" s="81" t="str">
        <x:v>숲4</x:v>
      </x:c>
    </x:row>
    <x:row r="554">
      <x:c r="A554" s="80" t="n">
        <x:v>550</x:v>
      </x:c>
      <x:c r="B554" s="80" t="str">
        <x:v>배쓰나이</x:v>
      </x:c>
      <x:c r="C554" s="80" t="str">
        <x:v>basculin</x:v>
      </x:c>
      <x:c r="D554" s="80" t="str">
        <x:v>담수</x:v>
      </x:c>
      <x:c r="E554" s="81" t="str">
        <x:v>—</x:v>
      </x:c>
      <x:c r="F554" s="81" t="str">
        <x:v>—</x:v>
      </x:c>
      <x:c r="G554" s="81" t="str">
        <x:v>—</x:v>
      </x:c>
      <x:c r="H554" s="81" t="str">
        <x:v>—</x:v>
      </x:c>
      <x:c r="I554" s="81" t="str">
        <x:v>—</x:v>
      </x:c>
      <x:c r="J554" s="81" t="str">
        <x:v>—</x:v>
      </x:c>
      <x:c r="K554" s="81" t="str">
        <x:v>—</x:v>
      </x:c>
      <x:c r="L554" s="81" t="str">
        <x:v>—</x:v>
      </x:c>
      <x:c r="M554" s="81" t="str">
        <x:v>담수2</x:v>
      </x:c>
      <x:c r="N554" s="81" t="str">
        <x:v>습지2</x:v>
      </x:c>
      <x:c r="O554" s="81" t="str">
        <x:v>담수3</x:v>
      </x:c>
      <x:c r="P554" s="81" t="str">
        <x:v>습지3</x:v>
      </x:c>
      <x:c r="Q554" s="81" t="str">
        <x:v>담수2</x:v>
      </x:c>
      <x:c r="R554" s="81" t="str">
        <x:v>습지2</x:v>
      </x:c>
      <x:c r="S554" s="81" t="str">
        <x:v>담수3</x:v>
      </x:c>
      <x:c r="T554" s="81" t="str">
        <x:v>습지2</x:v>
      </x:c>
      <x:c r="U554" s="81" t="str">
        <x:v>담수2</x:v>
      </x:c>
      <x:c r="V554" s="81" t="str">
        <x:v>습지2</x:v>
      </x:c>
    </x:row>
    <x:row r="555">
      <x:c r="A555" s="80" t="n">
        <x:v>551</x:v>
      </x:c>
      <x:c r="B555" s="80" t="str">
        <x:v>깜눈크</x:v>
      </x:c>
      <x:c r="C555" s="80" t="str">
        <x:v>sandile</x:v>
      </x:c>
      <x:c r="D555" s="80" t="str">
        <x:v>건조지</x:v>
      </x:c>
      <x:c r="E555" s="81" t="str">
        <x:v>—</x:v>
      </x:c>
      <x:c r="F555" s="81" t="str">
        <x:v>—</x:v>
      </x:c>
      <x:c r="G555" s="81" t="str">
        <x:v>—</x:v>
      </x:c>
      <x:c r="H555" s="81" t="str">
        <x:v>—</x:v>
      </x:c>
      <x:c r="I555" s="81" t="str">
        <x:v>—</x:v>
      </x:c>
      <x:c r="J555" s="81" t="str">
        <x:v>—</x:v>
      </x:c>
      <x:c r="K555" s="81" t="str">
        <x:v>—</x:v>
      </x:c>
      <x:c r="L555" s="81" t="str">
        <x:v>—</x:v>
      </x:c>
      <x:c r="M555" s="81" t="str">
        <x:v>건조지2</x:v>
      </x:c>
      <x:c r="N555" s="81" t="str">
        <x:v>화산2</x:v>
      </x:c>
      <x:c r="O555" s="81" t="str">
        <x:v>건조지2</x:v>
      </x:c>
      <x:c r="P555" s="81" t="str">
        <x:v>화산2</x:v>
      </x:c>
      <x:c r="Q555" s="81" t="str">
        <x:v>건조지2</x:v>
      </x:c>
      <x:c r="R555" s="81" t="str">
        <x:v>화산1</x:v>
      </x:c>
      <x:c r="S555" s="81" t="str">
        <x:v>건조지2</x:v>
      </x:c>
      <x:c r="T555" s="81" t="str">
        <x:v>화산1</x:v>
      </x:c>
      <x:c r="U555" s="81" t="str">
        <x:v>건조지2</x:v>
      </x:c>
      <x:c r="V555" s="81" t="str">
        <x:v>화산2</x:v>
      </x:c>
    </x:row>
    <x:row r="556">
      <x:c r="A556" s="80" t="n">
        <x:v>552</x:v>
      </x:c>
      <x:c r="B556" s="80" t="str">
        <x:v>악비르</x:v>
      </x:c>
      <x:c r="C556" s="80" t="str">
        <x:v>krokorok</x:v>
      </x:c>
      <x:c r="D556" s="80" t="str">
        <x:v>건조지</x:v>
      </x:c>
      <x:c r="E556" s="81" t="str">
        <x:v>—</x:v>
      </x:c>
      <x:c r="F556" s="81" t="str">
        <x:v>—</x:v>
      </x:c>
      <x:c r="G556" s="81" t="str">
        <x:v>—</x:v>
      </x:c>
      <x:c r="H556" s="81" t="str">
        <x:v>—</x:v>
      </x:c>
      <x:c r="I556" s="81" t="str">
        <x:v>—</x:v>
      </x:c>
      <x:c r="J556" s="81" t="str">
        <x:v>—</x:v>
      </x:c>
      <x:c r="K556" s="81" t="str">
        <x:v>—</x:v>
      </x:c>
      <x:c r="L556" s="81" t="str">
        <x:v>—</x:v>
      </x:c>
      <x:c r="M556" s="81" t="str">
        <x:v>건조지2</x:v>
      </x:c>
      <x:c r="N556" s="81" t="str">
        <x:v>화산2</x:v>
      </x:c>
      <x:c r="O556" s="81" t="str">
        <x:v>건조지2</x:v>
      </x:c>
      <x:c r="P556" s="81" t="str">
        <x:v>화산2</x:v>
      </x:c>
      <x:c r="Q556" s="81" t="str">
        <x:v>건조지2</x:v>
      </x:c>
      <x:c r="R556" s="81" t="str">
        <x:v>화산1</x:v>
      </x:c>
      <x:c r="S556" s="81" t="str">
        <x:v>건조지2</x:v>
      </x:c>
      <x:c r="T556" s="81" t="str">
        <x:v>화산1</x:v>
      </x:c>
      <x:c r="U556" s="81" t="str">
        <x:v>건조지2</x:v>
      </x:c>
      <x:c r="V556" s="81" t="str">
        <x:v>화산2</x:v>
      </x:c>
    </x:row>
    <x:row r="557">
      <x:c r="A557" s="80" t="n">
        <x:v>553</x:v>
      </x:c>
      <x:c r="B557" s="80" t="str">
        <x:v>악비아르</x:v>
      </x:c>
      <x:c r="C557" s="80" t="str">
        <x:v>krookodile</x:v>
      </x:c>
      <x:c r="D557" s="80" t="str">
        <x:v>건조지</x:v>
      </x:c>
      <x:c r="E557" s="81" t="str">
        <x:v>—</x:v>
      </x:c>
      <x:c r="F557" s="81" t="str">
        <x:v>—</x:v>
      </x:c>
      <x:c r="G557" s="81" t="str">
        <x:v>—</x:v>
      </x:c>
      <x:c r="H557" s="81" t="str">
        <x:v>—</x:v>
      </x:c>
      <x:c r="I557" s="81" t="str">
        <x:v>—</x:v>
      </x:c>
      <x:c r="J557" s="81" t="str">
        <x:v>—</x:v>
      </x:c>
      <x:c r="K557" s="81" t="str">
        <x:v>—</x:v>
      </x:c>
      <x:c r="L557" s="81" t="str">
        <x:v>—</x:v>
      </x:c>
      <x:c r="M557" s="81" t="str">
        <x:v>건조지2</x:v>
      </x:c>
      <x:c r="N557" s="81" t="str">
        <x:v>화산2</x:v>
      </x:c>
      <x:c r="O557" s="81" t="str">
        <x:v>건조지2</x:v>
      </x:c>
      <x:c r="P557" s="81" t="str">
        <x:v>화산2</x:v>
      </x:c>
      <x:c r="Q557" s="81" t="str">
        <x:v>건조지2</x:v>
      </x:c>
      <x:c r="R557" s="81" t="str">
        <x:v>화산1</x:v>
      </x:c>
      <x:c r="S557" s="81" t="str">
        <x:v>건조지2</x:v>
      </x:c>
      <x:c r="T557" s="81" t="str">
        <x:v>화산1</x:v>
      </x:c>
      <x:c r="U557" s="81" t="str">
        <x:v>건조지2</x:v>
      </x:c>
      <x:c r="V557" s="81" t="str">
        <x:v>화산2</x:v>
      </x:c>
    </x:row>
    <x:row r="558">
      <x:c r="A558" s="80" t="n">
        <x:v>554</x:v>
      </x:c>
      <x:c r="B558" s="80" t="str">
        <x:v>달막화</x:v>
      </x:c>
      <x:c r="C558" s="80" t="str">
        <x:v>darumaka</x:v>
      </x:c>
      <x:c r="D558" s="80" t="str">
        <x:v>설원</x:v>
      </x:c>
      <x:c r="E558" s="81" t="str">
        <x:v>—</x:v>
      </x:c>
      <x:c r="F558" s="81" t="str">
        <x:v>—</x:v>
      </x:c>
      <x:c r="G558" s="81" t="str">
        <x:v>—</x:v>
      </x:c>
      <x:c r="H558" s="81" t="str">
        <x:v>—</x:v>
      </x:c>
      <x:c r="I558" s="81" t="str">
        <x:v>—</x:v>
      </x:c>
      <x:c r="J558" s="81" t="str">
        <x:v>—</x:v>
      </x:c>
      <x:c r="K558" s="81" t="str">
        <x:v>—</x:v>
      </x:c>
      <x:c r="L558" s="81" t="str">
        <x:v>—</x:v>
      </x:c>
      <x:c r="M558" s="81" t="str">
        <x:v>설원1</x:v>
      </x:c>
      <x:c r="N558" s="81" t="str">
        <x:v>숲3</x:v>
      </x:c>
      <x:c r="O558" s="81" t="str">
        <x:v>—</x:v>
      </x:c>
      <x:c r="P558" s="81" t="str">
        <x:v>—</x:v>
      </x:c>
      <x:c r="Q558" s="81" t="str">
        <x:v>—</x:v>
      </x:c>
      <x:c r="R558" s="81" t="str">
        <x:v>—</x:v>
      </x:c>
      <x:c r="S558" s="81" t="str">
        <x:v>설원1</x:v>
      </x:c>
      <x:c r="T558" s="81" t="str">
        <x:v>숲4</x:v>
      </x:c>
      <x:c r="U558" s="81" t="str">
        <x:v>—</x:v>
      </x:c>
      <x:c r="V558" s="81" t="str">
        <x:v>—</x:v>
      </x:c>
    </x:row>
    <x:row r="559">
      <x:c r="A559" s="80" t="n">
        <x:v>555</x:v>
      </x:c>
      <x:c r="B559" s="80" t="str">
        <x:v>불비달마</x:v>
      </x:c>
      <x:c r="C559" s="80" t="str">
        <x:v>darmanitan</x:v>
      </x:c>
      <x:c r="D559" s="80" t="str">
        <x:v>설원</x:v>
      </x:c>
      <x:c r="E559" s="81" t="str">
        <x:v>—</x:v>
      </x:c>
      <x:c r="F559" s="81" t="str">
        <x:v>—</x:v>
      </x:c>
      <x:c r="G559" s="81" t="str">
        <x:v>—</x:v>
      </x:c>
      <x:c r="H559" s="81" t="str">
        <x:v>—</x:v>
      </x:c>
      <x:c r="I559" s="81" t="str">
        <x:v>—</x:v>
      </x:c>
      <x:c r="J559" s="81" t="str">
        <x:v>—</x:v>
      </x:c>
      <x:c r="K559" s="81" t="str">
        <x:v>—</x:v>
      </x:c>
      <x:c r="L559" s="81" t="str">
        <x:v>—</x:v>
      </x:c>
      <x:c r="M559" s="81" t="str">
        <x:v>설원1</x:v>
      </x:c>
      <x:c r="N559" s="81" t="str">
        <x:v>숲3</x:v>
      </x:c>
      <x:c r="O559" s="81" t="str">
        <x:v>—</x:v>
      </x:c>
      <x:c r="P559" s="81" t="str">
        <x:v>—</x:v>
      </x:c>
      <x:c r="Q559" s="81" t="str">
        <x:v>—</x:v>
      </x:c>
      <x:c r="R559" s="81" t="str">
        <x:v>—</x:v>
      </x:c>
      <x:c r="S559" s="81" t="str">
        <x:v>설원1</x:v>
      </x:c>
      <x:c r="T559" s="81" t="str">
        <x:v>숲4</x:v>
      </x:c>
      <x:c r="U559" s="81" t="str">
        <x:v>—</x:v>
      </x:c>
      <x:c r="V559" s="81" t="str">
        <x:v>—</x:v>
      </x:c>
    </x:row>
    <x:row r="560">
      <x:c r="A560" s="80" t="n">
        <x:v>556</x:v>
      </x:c>
      <x:c r="B560" s="80" t="str">
        <x:v>마라카치</x:v>
      </x:c>
      <x:c r="C560" s="80" t="str">
        <x:v>maractus</x:v>
      </x:c>
      <x:c r="D560" s="80" t="str">
        <x:v>건조지</x:v>
      </x:c>
      <x:c r="E560" s="81" t="str">
        <x:v>—</x:v>
      </x:c>
      <x:c r="F560" s="81" t="str">
        <x:v>—</x:v>
      </x:c>
      <x:c r="G560" s="81" t="str">
        <x:v>—</x:v>
      </x:c>
      <x:c r="H560" s="81" t="str">
        <x:v>—</x:v>
      </x:c>
      <x:c r="I560" s="81" t="str">
        <x:v>—</x:v>
      </x:c>
      <x:c r="J560" s="81" t="str">
        <x:v>—</x:v>
      </x:c>
      <x:c r="K560" s="81" t="str">
        <x:v>—</x:v>
      </x:c>
      <x:c r="L560" s="81" t="str">
        <x:v>—</x:v>
      </x:c>
      <x:c r="M560" s="81" t="str">
        <x:v>건조지2</x:v>
      </x:c>
      <x:c r="N560" s="81" t="str">
        <x:v>평원3</x:v>
      </x:c>
      <x:c r="O560" s="81" t="str">
        <x:v>—</x:v>
      </x:c>
      <x:c r="P560" s="81" t="str">
        <x:v>—</x:v>
      </x:c>
      <x:c r="Q560" s="81" t="str">
        <x:v>—</x:v>
      </x:c>
      <x:c r="R560" s="81" t="str">
        <x:v>—</x:v>
      </x:c>
      <x:c r="S560" s="81" t="str">
        <x:v>건조지2</x:v>
      </x:c>
      <x:c r="T560" s="81" t="str">
        <x:v>평원4</x:v>
      </x:c>
      <x:c r="U560" s="81" t="str">
        <x:v>—</x:v>
      </x:c>
      <x:c r="V560" s="81" t="str">
        <x:v>—</x:v>
      </x:c>
    </x:row>
    <x:row r="561">
      <x:c r="A561" s="80" t="n">
        <x:v>557</x:v>
      </x:c>
      <x:c r="B561" s="80" t="str">
        <x:v>돌살이</x:v>
      </x:c>
      <x:c r="C561" s="80" t="str">
        <x:v>dwebble</x:v>
      </x:c>
      <x:c r="D561" s="80" t="str">
        <x:v>건조지</x:v>
      </x:c>
      <x:c r="E561" s="81" t="str">
        <x:v>—</x:v>
      </x:c>
      <x:c r="F561" s="81" t="str">
        <x:v>—</x:v>
      </x:c>
      <x:c r="G561" s="81" t="str">
        <x:v>—</x:v>
      </x:c>
      <x:c r="H561" s="81" t="str">
        <x:v>—</x:v>
      </x:c>
      <x:c r="I561" s="81" t="str">
        <x:v>—</x:v>
      </x:c>
      <x:c r="J561" s="81" t="str">
        <x:v>—</x:v>
      </x:c>
      <x:c r="K561" s="81" t="str">
        <x:v>—</x:v>
      </x:c>
      <x:c r="L561" s="81" t="str">
        <x:v>—</x:v>
      </x:c>
      <x:c r="M561" s="81" t="str">
        <x:v>건조지2</x:v>
      </x:c>
      <x:c r="N561" s="81" t="str">
        <x:v>화산2</x:v>
      </x:c>
      <x:c r="O561" s="81" t="str">
        <x:v>건조지2</x:v>
      </x:c>
      <x:c r="P561" s="81" t="str">
        <x:v>화산2</x:v>
      </x:c>
      <x:c r="Q561" s="81" t="str">
        <x:v>—</x:v>
      </x:c>
      <x:c r="R561" s="81" t="str">
        <x:v>—</x:v>
      </x:c>
      <x:c r="S561" s="81" t="str">
        <x:v>건조지2</x:v>
      </x:c>
      <x:c r="T561" s="81" t="str">
        <x:v>화산1</x:v>
      </x:c>
      <x:c r="U561" s="81" t="str">
        <x:v>—</x:v>
      </x:c>
      <x:c r="V561" s="81" t="str">
        <x:v>—</x:v>
      </x:c>
    </x:row>
    <x:row r="562">
      <x:c r="A562" s="80" t="n">
        <x:v>558</x:v>
      </x:c>
      <x:c r="B562" s="80" t="str">
        <x:v>암팰리스</x:v>
      </x:c>
      <x:c r="C562" s="80" t="str">
        <x:v>crustle</x:v>
      </x:c>
      <x:c r="D562" s="80" t="str">
        <x:v>건조지</x:v>
      </x:c>
      <x:c r="E562" s="81" t="str">
        <x:v>—</x:v>
      </x:c>
      <x:c r="F562" s="81" t="str">
        <x:v>—</x:v>
      </x:c>
      <x:c r="G562" s="81" t="str">
        <x:v>—</x:v>
      </x:c>
      <x:c r="H562" s="81" t="str">
        <x:v>—</x:v>
      </x:c>
      <x:c r="I562" s="81" t="str">
        <x:v>—</x:v>
      </x:c>
      <x:c r="J562" s="81" t="str">
        <x:v>—</x:v>
      </x:c>
      <x:c r="K562" s="81" t="str">
        <x:v>—</x:v>
      </x:c>
      <x:c r="L562" s="81" t="str">
        <x:v>—</x:v>
      </x:c>
      <x:c r="M562" s="81" t="str">
        <x:v>건조지2</x:v>
      </x:c>
      <x:c r="N562" s="81" t="str">
        <x:v>화산2</x:v>
      </x:c>
      <x:c r="O562" s="81" t="str">
        <x:v>건조지2</x:v>
      </x:c>
      <x:c r="P562" s="81" t="str">
        <x:v>화산2</x:v>
      </x:c>
      <x:c r="Q562" s="81" t="str">
        <x:v>—</x:v>
      </x:c>
      <x:c r="R562" s="81" t="str">
        <x:v>—</x:v>
      </x:c>
      <x:c r="S562" s="81" t="str">
        <x:v>건조지2</x:v>
      </x:c>
      <x:c r="T562" s="81" t="str">
        <x:v>화산1</x:v>
      </x:c>
      <x:c r="U562" s="81" t="str">
        <x:v>—</x:v>
      </x:c>
      <x:c r="V562" s="81" t="str">
        <x:v>—</x:v>
      </x:c>
    </x:row>
    <x:row r="563">
      <x:c r="A563" s="80" t="n">
        <x:v>559</x:v>
      </x:c>
      <x:c r="B563" s="80" t="str">
        <x:v>곤율랭</x:v>
      </x:c>
      <x:c r="C563" s="80" t="str">
        <x:v>scraggy</x:v>
      </x:c>
      <x:c r="D563" s="80" t="str">
        <x:v>건조지</x:v>
      </x:c>
      <x:c r="E563" s="81" t="str">
        <x:v>—</x:v>
      </x:c>
      <x:c r="F563" s="81" t="str">
        <x:v>—</x:v>
      </x:c>
      <x:c r="G563" s="81" t="str">
        <x:v>—</x:v>
      </x:c>
      <x:c r="H563" s="81" t="str">
        <x:v>—</x:v>
      </x:c>
      <x:c r="I563" s="81" t="str">
        <x:v>—</x:v>
      </x:c>
      <x:c r="J563" s="81" t="str">
        <x:v>—</x:v>
      </x:c>
      <x:c r="K563" s="81" t="str">
        <x:v>—</x:v>
      </x:c>
      <x:c r="L563" s="81" t="str">
        <x:v>—</x:v>
      </x:c>
      <x:c r="M563" s="81" t="str">
        <x:v>건조지2</x:v>
      </x:c>
      <x:c r="N563" s="81" t="str">
        <x:v>화산2</x:v>
      </x:c>
      <x:c r="O563" s="81" t="str">
        <x:v>건조지2</x:v>
      </x:c>
      <x:c r="P563" s="81" t="str">
        <x:v>화산2</x:v>
      </x:c>
      <x:c r="Q563" s="81" t="str">
        <x:v>건조지2</x:v>
      </x:c>
      <x:c r="R563" s="81" t="str">
        <x:v>화산1</x:v>
      </x:c>
      <x:c r="S563" s="81" t="str">
        <x:v>건조지2</x:v>
      </x:c>
      <x:c r="T563" s="81" t="str">
        <x:v>화산1</x:v>
      </x:c>
      <x:c r="U563" s="81" t="str">
        <x:v>건조지2</x:v>
      </x:c>
      <x:c r="V563" s="81" t="str">
        <x:v>화산2</x:v>
      </x:c>
    </x:row>
    <x:row r="564">
      <x:c r="A564" s="80" t="n">
        <x:v>560</x:v>
      </x:c>
      <x:c r="B564" s="80" t="str">
        <x:v>곤율거니</x:v>
      </x:c>
      <x:c r="C564" s="80" t="str">
        <x:v>scrafty</x:v>
      </x:c>
      <x:c r="D564" s="80" t="str">
        <x:v>건조지</x:v>
      </x:c>
      <x:c r="E564" s="81" t="str">
        <x:v>—</x:v>
      </x:c>
      <x:c r="F564" s="81" t="str">
        <x:v>—</x:v>
      </x:c>
      <x:c r="G564" s="81" t="str">
        <x:v>—</x:v>
      </x:c>
      <x:c r="H564" s="81" t="str">
        <x:v>—</x:v>
      </x:c>
      <x:c r="I564" s="81" t="str">
        <x:v>—</x:v>
      </x:c>
      <x:c r="J564" s="81" t="str">
        <x:v>—</x:v>
      </x:c>
      <x:c r="K564" s="81" t="str">
        <x:v>—</x:v>
      </x:c>
      <x:c r="L564" s="81" t="str">
        <x:v>—</x:v>
      </x:c>
      <x:c r="M564" s="81" t="str">
        <x:v>건조지2</x:v>
      </x:c>
      <x:c r="N564" s="81" t="str">
        <x:v>화산2</x:v>
      </x:c>
      <x:c r="O564" s="81" t="str">
        <x:v>건조지2</x:v>
      </x:c>
      <x:c r="P564" s="81" t="str">
        <x:v>화산2</x:v>
      </x:c>
      <x:c r="Q564" s="81" t="str">
        <x:v>건조지2</x:v>
      </x:c>
      <x:c r="R564" s="81" t="str">
        <x:v>화산1</x:v>
      </x:c>
      <x:c r="S564" s="81" t="str">
        <x:v>건조지2</x:v>
      </x:c>
      <x:c r="T564" s="81" t="str">
        <x:v>화산1</x:v>
      </x:c>
      <x:c r="U564" s="81" t="str">
        <x:v>건조지2</x:v>
      </x:c>
      <x:c r="V564" s="81" t="str">
        <x:v>화산2</x:v>
      </x:c>
    </x:row>
    <x:row r="565">
      <x:c r="A565" s="80" t="n">
        <x:v>561</x:v>
      </x:c>
      <x:c r="B565" s="80" t="str">
        <x:v>심보러</x:v>
      </x:c>
      <x:c r="C565" s="80" t="str">
        <x:v>sigilyph</x:v>
      </x:c>
      <x:c r="D565" s="80" t="str">
        <x:v>건조지</x:v>
      </x:c>
      <x:c r="E565" s="81" t="str">
        <x:v>—</x:v>
      </x:c>
      <x:c r="F565" s="81" t="str">
        <x:v>—</x:v>
      </x:c>
      <x:c r="G565" s="81" t="str">
        <x:v>—</x:v>
      </x:c>
      <x:c r="H565" s="81" t="str">
        <x:v>—</x:v>
      </x:c>
      <x:c r="I565" s="81" t="str">
        <x:v>—</x:v>
      </x:c>
      <x:c r="J565" s="81" t="str">
        <x:v>—</x:v>
      </x:c>
      <x:c r="K565" s="81" t="str">
        <x:v>—</x:v>
      </x:c>
      <x:c r="L565" s="81" t="str">
        <x:v>—</x:v>
      </x:c>
      <x:c r="M565" s="81" t="str">
        <x:v>건조지2</x:v>
      </x:c>
      <x:c r="N565" s="81" t="str">
        <x:v>산악2</x:v>
      </x:c>
      <x:c r="O565" s="81" t="str">
        <x:v>건조지2</x:v>
      </x:c>
      <x:c r="P565" s="81" t="str">
        <x:v>산악3</x:v>
      </x:c>
      <x:c r="Q565" s="81" t="str">
        <x:v>—</x:v>
      </x:c>
      <x:c r="R565" s="81" t="str">
        <x:v>—</x:v>
      </x:c>
      <x:c r="S565" s="81" t="str">
        <x:v>건조지2</x:v>
      </x:c>
      <x:c r="T565" s="81" t="str">
        <x:v>산악3</x:v>
      </x:c>
      <x:c r="U565" s="81" t="str">
        <x:v>—</x:v>
      </x:c>
      <x:c r="V565" s="81" t="str">
        <x:v>—</x:v>
      </x:c>
    </x:row>
    <x:row r="566">
      <x:c r="A566" s="80" t="n">
        <x:v>562</x:v>
      </x:c>
      <x:c r="B566" s="80" t="str">
        <x:v>데스마스</x:v>
      </x:c>
      <x:c r="C566" s="80" t="str">
        <x:v>yamask</x:v>
      </x:c>
      <x:c r="D566" s="80" t="str">
        <x:v>건조지</x:v>
      </x:c>
      <x:c r="E566" s="81" t="str">
        <x:v>—</x:v>
      </x:c>
      <x:c r="F566" s="81" t="str">
        <x:v>—</x:v>
      </x:c>
      <x:c r="G566" s="81" t="str">
        <x:v>—</x:v>
      </x:c>
      <x:c r="H566" s="81" t="str">
        <x:v>—</x:v>
      </x:c>
      <x:c r="I566" s="81" t="str">
        <x:v>—</x:v>
      </x:c>
      <x:c r="J566" s="81" t="str">
        <x:v>—</x:v>
      </x:c>
      <x:c r="K566" s="81" t="str">
        <x:v>—</x:v>
      </x:c>
      <x:c r="L566" s="81" t="str">
        <x:v>—</x:v>
      </x:c>
      <x:c r="M566" s="81" t="str">
        <x:v>건조지2</x:v>
      </x:c>
      <x:c r="N566" s="81" t="str">
        <x:v>특수1</x:v>
      </x:c>
      <x:c r="O566" s="81" t="str">
        <x:v>—</x:v>
      </x:c>
      <x:c r="P566" s="81" t="str">
        <x:v>—</x:v>
      </x:c>
      <x:c r="Q566" s="81" t="str">
        <x:v>—</x:v>
      </x:c>
      <x:c r="R566" s="81" t="str">
        <x:v>—</x:v>
      </x:c>
      <x:c r="S566" s="81" t="str">
        <x:v>건조지2</x:v>
      </x:c>
      <x:c r="T566" s="81" t="str">
        <x:v>특수1</x:v>
      </x:c>
      <x:c r="U566" s="81" t="str">
        <x:v>—</x:v>
      </x:c>
      <x:c r="V566" s="81" t="str">
        <x:v>—</x:v>
      </x:c>
    </x:row>
    <x:row r="567">
      <x:c r="A567" s="80" t="n">
        <x:v>563</x:v>
      </x:c>
      <x:c r="B567" s="80" t="str">
        <x:v>데스니칸</x:v>
      </x:c>
      <x:c r="C567" s="80" t="str">
        <x:v>cofagrigus</x:v>
      </x:c>
      <x:c r="D567" s="80" t="str">
        <x:v>건조지</x:v>
      </x:c>
      <x:c r="E567" s="81" t="str">
        <x:v>—</x:v>
      </x:c>
      <x:c r="F567" s="81" t="str">
        <x:v>—</x:v>
      </x:c>
      <x:c r="G567" s="81" t="str">
        <x:v>—</x:v>
      </x:c>
      <x:c r="H567" s="81" t="str">
        <x:v>—</x:v>
      </x:c>
      <x:c r="I567" s="81" t="str">
        <x:v>—</x:v>
      </x:c>
      <x:c r="J567" s="81" t="str">
        <x:v>—</x:v>
      </x:c>
      <x:c r="K567" s="81" t="str">
        <x:v>—</x:v>
      </x:c>
      <x:c r="L567" s="81" t="str">
        <x:v>—</x:v>
      </x:c>
      <x:c r="M567" s="81" t="str">
        <x:v>건조지2</x:v>
      </x:c>
      <x:c r="N567" s="81" t="str">
        <x:v>특수1</x:v>
      </x:c>
      <x:c r="O567" s="81" t="str">
        <x:v>—</x:v>
      </x:c>
      <x:c r="P567" s="81" t="str">
        <x:v>—</x:v>
      </x:c>
      <x:c r="Q567" s="81" t="str">
        <x:v>—</x:v>
      </x:c>
      <x:c r="R567" s="81" t="str">
        <x:v>—</x:v>
      </x:c>
      <x:c r="S567" s="81" t="str">
        <x:v>건조지2</x:v>
      </x:c>
      <x:c r="T567" s="81" t="str">
        <x:v>특수1</x:v>
      </x:c>
      <x:c r="U567" s="81" t="str">
        <x:v>—</x:v>
      </x:c>
      <x:c r="V567" s="81" t="str">
        <x:v>—</x:v>
      </x:c>
    </x:row>
    <x:row r="568">
      <x:c r="A568" s="80" t="n">
        <x:v>564</x:v>
      </x:c>
      <x:c r="B568" s="80" t="str">
        <x:v>프로토가</x:v>
      </x:c>
      <x:c r="C568" s="80" t="str">
        <x:v>tirtouga</x:v>
      </x:c>
      <x:c r="D568" s="80" t="str">
        <x:v>산악</x:v>
      </x:c>
      <x:c r="E568" s="81" t="str">
        <x:v>—</x:v>
      </x:c>
      <x:c r="F568" s="81" t="str">
        <x:v>—</x:v>
      </x:c>
      <x:c r="G568" s="81" t="str">
        <x:v>—</x:v>
      </x:c>
      <x:c r="H568" s="81" t="str">
        <x:v>—</x:v>
      </x:c>
      <x:c r="I568" s="81" t="str">
        <x:v>—</x:v>
      </x:c>
      <x:c r="J568" s="81" t="str">
        <x:v>—</x:v>
      </x:c>
      <x:c r="K568" s="81" t="str">
        <x:v>—</x:v>
      </x:c>
      <x:c r="L568" s="81" t="str">
        <x:v>—</x:v>
      </x:c>
      <x:c r="M568" s="81" t="str">
        <x:v>산악2</x:v>
      </x:c>
      <x:c r="N568" s="81" t="str">
        <x:v>습지2</x:v>
      </x:c>
      <x:c r="O568" s="81" t="str">
        <x:v>—</x:v>
      </x:c>
      <x:c r="P568" s="81" t="str">
        <x:v>—</x:v>
      </x:c>
      <x:c r="Q568" s="81" t="str">
        <x:v>산악2</x:v>
      </x:c>
      <x:c r="R568" s="81" t="str">
        <x:v>습지2</x:v>
      </x:c>
      <x:c r="S568" s="81" t="str">
        <x:v>산악3</x:v>
      </x:c>
      <x:c r="T568" s="81" t="str">
        <x:v>습지2</x:v>
      </x:c>
      <x:c r="U568" s="81" t="str">
        <x:v>—</x:v>
      </x:c>
      <x:c r="V568" s="81" t="str">
        <x:v>—</x:v>
      </x:c>
    </x:row>
    <x:row r="569">
      <x:c r="A569" s="80" t="n">
        <x:v>565</x:v>
      </x:c>
      <x:c r="B569" s="80" t="str">
        <x:v>늑골라</x:v>
      </x:c>
      <x:c r="C569" s="80" t="str">
        <x:v>carracosta</x:v>
      </x:c>
      <x:c r="D569" s="80" t="str">
        <x:v>산악</x:v>
      </x:c>
      <x:c r="E569" s="81" t="str">
        <x:v>—</x:v>
      </x:c>
      <x:c r="F569" s="81" t="str">
        <x:v>—</x:v>
      </x:c>
      <x:c r="G569" s="81" t="str">
        <x:v>—</x:v>
      </x:c>
      <x:c r="H569" s="81" t="str">
        <x:v>—</x:v>
      </x:c>
      <x:c r="I569" s="81" t="str">
        <x:v>—</x:v>
      </x:c>
      <x:c r="J569" s="81" t="str">
        <x:v>—</x:v>
      </x:c>
      <x:c r="K569" s="81" t="str">
        <x:v>—</x:v>
      </x:c>
      <x:c r="L569" s="81" t="str">
        <x:v>—</x:v>
      </x:c>
      <x:c r="M569" s="81" t="str">
        <x:v>산악2</x:v>
      </x:c>
      <x:c r="N569" s="81" t="str">
        <x:v>습지2</x:v>
      </x:c>
      <x:c r="O569" s="81" t="str">
        <x:v>—</x:v>
      </x:c>
      <x:c r="P569" s="81" t="str">
        <x:v>—</x:v>
      </x:c>
      <x:c r="Q569" s="81" t="str">
        <x:v>산악3</x:v>
      </x:c>
      <x:c r="R569" s="81" t="str">
        <x:v>습지2</x:v>
      </x:c>
      <x:c r="S569" s="81" t="str">
        <x:v>산악3</x:v>
      </x:c>
      <x:c r="T569" s="81" t="str">
        <x:v>습지2</x:v>
      </x:c>
      <x:c r="U569" s="81" t="str">
        <x:v>—</x:v>
      </x:c>
      <x:c r="V569" s="81" t="str">
        <x:v>—</x:v>
      </x:c>
    </x:row>
    <x:row r="570">
      <x:c r="A570" s="80" t="n">
        <x:v>566</x:v>
      </x:c>
      <x:c r="B570" s="80" t="str">
        <x:v>아켄</x:v>
      </x:c>
      <x:c r="C570" s="80" t="str">
        <x:v>archen</x:v>
      </x:c>
      <x:c r="D570" s="80" t="str">
        <x:v>산악</x:v>
      </x:c>
      <x:c r="E570" s="81" t="str">
        <x:v>—</x:v>
      </x:c>
      <x:c r="F570" s="81" t="str">
        <x:v>—</x:v>
      </x:c>
      <x:c r="G570" s="81" t="str">
        <x:v>—</x:v>
      </x:c>
      <x:c r="H570" s="81" t="str">
        <x:v>—</x:v>
      </x:c>
      <x:c r="I570" s="81" t="str">
        <x:v>—</x:v>
      </x:c>
      <x:c r="J570" s="81" t="str">
        <x:v>—</x:v>
      </x:c>
      <x:c r="K570" s="81" t="str">
        <x:v>—</x:v>
      </x:c>
      <x:c r="L570" s="81" t="str">
        <x:v>—</x:v>
      </x:c>
      <x:c r="M570" s="81" t="str">
        <x:v>산악2</x:v>
      </x:c>
      <x:c r="N570" s="81" t="str">
        <x:v>평원3</x:v>
      </x:c>
      <x:c r="O570" s="81" t="str">
        <x:v>—</x:v>
      </x:c>
      <x:c r="P570" s="81" t="str">
        <x:v>—</x:v>
      </x:c>
      <x:c r="Q570" s="81" t="str">
        <x:v>산악3</x:v>
      </x:c>
      <x:c r="R570" s="81" t="str">
        <x:v>평원4</x:v>
      </x:c>
      <x:c r="S570" s="81" t="str">
        <x:v>산악3</x:v>
      </x:c>
      <x:c r="T570" s="81" t="str">
        <x:v>평원4</x:v>
      </x:c>
      <x:c r="U570" s="81" t="str">
        <x:v>—</x:v>
      </x:c>
      <x:c r="V570" s="81" t="str">
        <x:v>—</x:v>
      </x:c>
    </x:row>
    <x:row r="571">
      <x:c r="A571" s="80" t="n">
        <x:v>567</x:v>
      </x:c>
      <x:c r="B571" s="80" t="str">
        <x:v>아케오스</x:v>
      </x:c>
      <x:c r="C571" s="80" t="str">
        <x:v>archeops</x:v>
      </x:c>
      <x:c r="D571" s="80" t="str">
        <x:v>산악</x:v>
      </x:c>
      <x:c r="E571" s="81" t="str">
        <x:v>—</x:v>
      </x:c>
      <x:c r="F571" s="81" t="str">
        <x:v>—</x:v>
      </x:c>
      <x:c r="G571" s="81" t="str">
        <x:v>—</x:v>
      </x:c>
      <x:c r="H571" s="81" t="str">
        <x:v>—</x:v>
      </x:c>
      <x:c r="I571" s="81" t="str">
        <x:v>—</x:v>
      </x:c>
      <x:c r="J571" s="81" t="str">
        <x:v>—</x:v>
      </x:c>
      <x:c r="K571" s="81" t="str">
        <x:v>—</x:v>
      </x:c>
      <x:c r="L571" s="81" t="str">
        <x:v>—</x:v>
      </x:c>
      <x:c r="M571" s="81" t="str">
        <x:v>산악2</x:v>
      </x:c>
      <x:c r="N571" s="81" t="str">
        <x:v>평원4</x:v>
      </x:c>
      <x:c r="O571" s="81" t="str">
        <x:v>—</x:v>
      </x:c>
      <x:c r="P571" s="81" t="str">
        <x:v>—</x:v>
      </x:c>
      <x:c r="Q571" s="81" t="str">
        <x:v>산악3</x:v>
      </x:c>
      <x:c r="R571" s="81" t="str">
        <x:v>평원4</x:v>
      </x:c>
      <x:c r="S571" s="81" t="str">
        <x:v>산악3</x:v>
      </x:c>
      <x:c r="T571" s="81" t="str">
        <x:v>평원4</x:v>
      </x:c>
      <x:c r="U571" s="81" t="str">
        <x:v>—</x:v>
      </x:c>
      <x:c r="V571" s="81" t="str">
        <x:v>—</x:v>
      </x:c>
    </x:row>
    <x:row r="572">
      <x:c r="A572" s="80" t="n">
        <x:v>568</x:v>
      </x:c>
      <x:c r="B572" s="80" t="str">
        <x:v>깨봉이</x:v>
      </x:c>
      <x:c r="C572" s="80" t="str">
        <x:v>trubbish</x:v>
      </x:c>
      <x:c r="D572" s="80" t="str">
        <x:v>습지</x:v>
      </x:c>
      <x:c r="E572" s="81" t="str">
        <x:v>—</x:v>
      </x:c>
      <x:c r="F572" s="81" t="str">
        <x:v>—</x:v>
      </x:c>
      <x:c r="G572" s="81" t="str">
        <x:v>—</x:v>
      </x:c>
      <x:c r="H572" s="81" t="str">
        <x:v>—</x:v>
      </x:c>
      <x:c r="I572" s="81" t="str">
        <x:v>—</x:v>
      </x:c>
      <x:c r="J572" s="81" t="str">
        <x:v>—</x:v>
      </x:c>
      <x:c r="K572" s="81" t="str">
        <x:v>—</x:v>
      </x:c>
      <x:c r="L572" s="81" t="str">
        <x:v>—</x:v>
      </x:c>
      <x:c r="M572" s="81" t="str">
        <x:v>습지2</x:v>
      </x:c>
      <x:c r="N572" s="81" t="str">
        <x:v>숲3</x:v>
      </x:c>
      <x:c r="O572" s="81" t="str">
        <x:v>습지3</x:v>
      </x:c>
      <x:c r="P572" s="81" t="str">
        <x:v>숲4</x:v>
      </x:c>
      <x:c r="Q572" s="81" t="str">
        <x:v>습지2</x:v>
      </x:c>
      <x:c r="R572" s="81" t="str">
        <x:v>숲3</x:v>
      </x:c>
      <x:c r="S572" s="81" t="str">
        <x:v>습지2</x:v>
      </x:c>
      <x:c r="T572" s="81" t="str">
        <x:v>숲4</x:v>
      </x:c>
      <x:c r="U572" s="81" t="str">
        <x:v>—</x:v>
      </x:c>
      <x:c r="V572" s="81" t="str">
        <x:v>—</x:v>
      </x:c>
    </x:row>
    <x:row r="573">
      <x:c r="A573" s="80" t="n">
        <x:v>569</x:v>
      </x:c>
      <x:c r="B573" s="80" t="str">
        <x:v>더스트나</x:v>
      </x:c>
      <x:c r="C573" s="80" t="str">
        <x:v>garbodor</x:v>
      </x:c>
      <x:c r="D573" s="80" t="str">
        <x:v>습지</x:v>
      </x:c>
      <x:c r="E573" s="81" t="str">
        <x:v>—</x:v>
      </x:c>
      <x:c r="F573" s="81" t="str">
        <x:v>—</x:v>
      </x:c>
      <x:c r="G573" s="81" t="str">
        <x:v>—</x:v>
      </x:c>
      <x:c r="H573" s="81" t="str">
        <x:v>—</x:v>
      </x:c>
      <x:c r="I573" s="81" t="str">
        <x:v>—</x:v>
      </x:c>
      <x:c r="J573" s="81" t="str">
        <x:v>—</x:v>
      </x:c>
      <x:c r="K573" s="81" t="str">
        <x:v>—</x:v>
      </x:c>
      <x:c r="L573" s="81" t="str">
        <x:v>—</x:v>
      </x:c>
      <x:c r="M573" s="81" t="str">
        <x:v>습지2</x:v>
      </x:c>
      <x:c r="N573" s="81" t="str">
        <x:v>숲3</x:v>
      </x:c>
      <x:c r="O573" s="81" t="str">
        <x:v>습지3</x:v>
      </x:c>
      <x:c r="P573" s="81" t="str">
        <x:v>숲4</x:v>
      </x:c>
      <x:c r="Q573" s="81" t="str">
        <x:v>습지2</x:v>
      </x:c>
      <x:c r="R573" s="81" t="str">
        <x:v>숲3</x:v>
      </x:c>
      <x:c r="S573" s="81" t="str">
        <x:v>습지2</x:v>
      </x:c>
      <x:c r="T573" s="81" t="str">
        <x:v>숲4</x:v>
      </x:c>
      <x:c r="U573" s="81" t="str">
        <x:v>—</x:v>
      </x:c>
      <x:c r="V573" s="81" t="str">
        <x:v>—</x:v>
      </x:c>
    </x:row>
    <x:row r="574">
      <x:c r="A574" s="80" t="n">
        <x:v>570</x:v>
      </x:c>
      <x:c r="B574" s="80" t="str">
        <x:v>조로아</x:v>
      </x:c>
      <x:c r="C574" s="80" t="str">
        <x:v>zorua</x:v>
      </x:c>
      <x:c r="D574" s="80" t="str">
        <x:v>숲</x:v>
      </x:c>
      <x:c r="E574" s="81" t="str">
        <x:v>—</x:v>
      </x:c>
      <x:c r="F574" s="81" t="str">
        <x:v>—</x:v>
      </x:c>
      <x:c r="G574" s="81" t="str">
        <x:v>—</x:v>
      </x:c>
      <x:c r="H574" s="81" t="str">
        <x:v>—</x:v>
      </x:c>
      <x:c r="I574" s="81" t="str">
        <x:v>—</x:v>
      </x:c>
      <x:c r="J574" s="81" t="str">
        <x:v>—</x:v>
      </x:c>
      <x:c r="K574" s="81" t="str">
        <x:v>—</x:v>
      </x:c>
      <x:c r="L574" s="81" t="str">
        <x:v>—</x:v>
      </x:c>
      <x:c r="M574" s="81" t="str">
        <x:v>숲3</x:v>
      </x:c>
      <x:c r="N574" s="81" t="str">
        <x:v>평원4</x:v>
      </x:c>
      <x:c r="O574" s="81" t="str">
        <x:v>숲4</x:v>
      </x:c>
      <x:c r="P574" s="81" t="str">
        <x:v>평원4</x:v>
      </x:c>
      <x:c r="Q574" s="81" t="str">
        <x:v>숲3</x:v>
      </x:c>
      <x:c r="R574" s="81" t="str">
        <x:v>평원4</x:v>
      </x:c>
      <x:c r="S574" s="81" t="str">
        <x:v>숲4</x:v>
      </x:c>
      <x:c r="T574" s="81" t="str">
        <x:v>평원4</x:v>
      </x:c>
      <x:c r="U574" s="81" t="str">
        <x:v>숲4</x:v>
      </x:c>
      <x:c r="V574" s="81" t="str">
        <x:v>평원4</x:v>
      </x:c>
    </x:row>
    <x:row r="575">
      <x:c r="A575" s="80" t="n">
        <x:v>571</x:v>
      </x:c>
      <x:c r="B575" s="80" t="str">
        <x:v>조로아크</x:v>
      </x:c>
      <x:c r="C575" s="80" t="str">
        <x:v>zoroark</x:v>
      </x:c>
      <x:c r="D575" s="80" t="str">
        <x:v>숲</x:v>
      </x:c>
      <x:c r="E575" s="81" t="str">
        <x:v>—</x:v>
      </x:c>
      <x:c r="F575" s="81" t="str">
        <x:v>—</x:v>
      </x:c>
      <x:c r="G575" s="81" t="str">
        <x:v>—</x:v>
      </x:c>
      <x:c r="H575" s="81" t="str">
        <x:v>—</x:v>
      </x:c>
      <x:c r="I575" s="81" t="str">
        <x:v>—</x:v>
      </x:c>
      <x:c r="J575" s="81" t="str">
        <x:v>—</x:v>
      </x:c>
      <x:c r="K575" s="81" t="str">
        <x:v>—</x:v>
      </x:c>
      <x:c r="L575" s="81" t="str">
        <x:v>—</x:v>
      </x:c>
      <x:c r="M575" s="81" t="str">
        <x:v>숲3</x:v>
      </x:c>
      <x:c r="N575" s="81" t="str">
        <x:v>평원4</x:v>
      </x:c>
      <x:c r="O575" s="81" t="str">
        <x:v>숲4</x:v>
      </x:c>
      <x:c r="P575" s="81" t="str">
        <x:v>평원4</x:v>
      </x:c>
      <x:c r="Q575" s="81" t="str">
        <x:v>숲3</x:v>
      </x:c>
      <x:c r="R575" s="81" t="str">
        <x:v>평원4</x:v>
      </x:c>
      <x:c r="S575" s="81" t="str">
        <x:v>숲4</x:v>
      </x:c>
      <x:c r="T575" s="81" t="str">
        <x:v>평원4</x:v>
      </x:c>
      <x:c r="U575" s="81" t="str">
        <x:v>숲4</x:v>
      </x:c>
      <x:c r="V575" s="81" t="str">
        <x:v>평원5</x:v>
      </x:c>
    </x:row>
    <x:row r="576">
      <x:c r="A576" s="80" t="n">
        <x:v>572</x:v>
      </x:c>
      <x:c r="B576" s="80" t="str">
        <x:v>치라미</x:v>
      </x:c>
      <x:c r="C576" s="80" t="str">
        <x:v>minccino</x:v>
      </x:c>
      <x:c r="D576" s="80" t="str">
        <x:v>평원</x:v>
      </x:c>
      <x:c r="E576" s="81" t="str">
        <x:v>—</x:v>
      </x:c>
      <x:c r="F576" s="81" t="str">
        <x:v>—</x:v>
      </x:c>
      <x:c r="G576" s="81" t="str">
        <x:v>—</x:v>
      </x:c>
      <x:c r="H576" s="81" t="str">
        <x:v>—</x:v>
      </x:c>
      <x:c r="I576" s="81" t="str">
        <x:v>—</x:v>
      </x:c>
      <x:c r="J576" s="81" t="str">
        <x:v>—</x:v>
      </x:c>
      <x:c r="K576" s="81" t="str">
        <x:v>—</x:v>
      </x:c>
      <x:c r="L576" s="81" t="str">
        <x:v>—</x:v>
      </x:c>
      <x:c r="M576" s="81" t="str">
        <x:v>평원4</x:v>
      </x:c>
      <x:c r="N576" s="81" t="str">
        <x:v>숲3</x:v>
      </x:c>
      <x:c r="O576" s="81" t="str">
        <x:v>—</x:v>
      </x:c>
      <x:c r="P576" s="81" t="str">
        <x:v>—</x:v>
      </x:c>
      <x:c r="Q576" s="81" t="str">
        <x:v>평원4</x:v>
      </x:c>
      <x:c r="R576" s="81" t="str">
        <x:v>숲3</x:v>
      </x:c>
      <x:c r="S576" s="81" t="str">
        <x:v>평원4</x:v>
      </x:c>
      <x:c r="T576" s="81" t="str">
        <x:v>숲4</x:v>
      </x:c>
      <x:c r="U576" s="81" t="str">
        <x:v>평원5</x:v>
      </x:c>
      <x:c r="V576" s="81" t="str">
        <x:v>숲4</x:v>
      </x:c>
    </x:row>
    <x:row r="577">
      <x:c r="A577" s="80" t="n">
        <x:v>573</x:v>
      </x:c>
      <x:c r="B577" s="80" t="str">
        <x:v>치라치노</x:v>
      </x:c>
      <x:c r="C577" s="80" t="str">
        <x:v>cinccino</x:v>
      </x:c>
      <x:c r="D577" s="80" t="str">
        <x:v>평원</x:v>
      </x:c>
      <x:c r="E577" s="81" t="str">
        <x:v>—</x:v>
      </x:c>
      <x:c r="F577" s="81" t="str">
        <x:v>—</x:v>
      </x:c>
      <x:c r="G577" s="81" t="str">
        <x:v>—</x:v>
      </x:c>
      <x:c r="H577" s="81" t="str">
        <x:v>—</x:v>
      </x:c>
      <x:c r="I577" s="81" t="str">
        <x:v>—</x:v>
      </x:c>
      <x:c r="J577" s="81" t="str">
        <x:v>—</x:v>
      </x:c>
      <x:c r="K577" s="81" t="str">
        <x:v>—</x:v>
      </x:c>
      <x:c r="L577" s="81" t="str">
        <x:v>—</x:v>
      </x:c>
      <x:c r="M577" s="81" t="str">
        <x:v>평원4</x:v>
      </x:c>
      <x:c r="N577" s="81" t="str">
        <x:v>숲3</x:v>
      </x:c>
      <x:c r="O577" s="81" t="str">
        <x:v>—</x:v>
      </x:c>
      <x:c r="P577" s="81" t="str">
        <x:v>—</x:v>
      </x:c>
      <x:c r="Q577" s="81" t="str">
        <x:v>평원4</x:v>
      </x:c>
      <x:c r="R577" s="81" t="str">
        <x:v>숲3</x:v>
      </x:c>
      <x:c r="S577" s="81" t="str">
        <x:v>평원4</x:v>
      </x:c>
      <x:c r="T577" s="81" t="str">
        <x:v>숲4</x:v>
      </x:c>
      <x:c r="U577" s="81" t="str">
        <x:v>평원5</x:v>
      </x:c>
      <x:c r="V577" s="81" t="str">
        <x:v>숲4</x:v>
      </x:c>
    </x:row>
    <x:row r="578">
      <x:c r="A578" s="80" t="n">
        <x:v>574</x:v>
      </x:c>
      <x:c r="B578" s="80" t="str">
        <x:v>고디탱</x:v>
      </x:c>
      <x:c r="C578" s="80" t="str">
        <x:v>gothita</x:v>
      </x:c>
      <x:c r="D578" s="80" t="str">
        <x:v>평원</x:v>
      </x:c>
      <x:c r="E578" s="81" t="str">
        <x:v>—</x:v>
      </x:c>
      <x:c r="F578" s="81" t="str">
        <x:v>—</x:v>
      </x:c>
      <x:c r="G578" s="81" t="str">
        <x:v>—</x:v>
      </x:c>
      <x:c r="H578" s="81" t="str">
        <x:v>—</x:v>
      </x:c>
      <x:c r="I578" s="81" t="str">
        <x:v>—</x:v>
      </x:c>
      <x:c r="J578" s="81" t="str">
        <x:v>—</x:v>
      </x:c>
      <x:c r="K578" s="81" t="str">
        <x:v>—</x:v>
      </x:c>
      <x:c r="L578" s="81" t="str">
        <x:v>—</x:v>
      </x:c>
      <x:c r="M578" s="81" t="str">
        <x:v>평원4</x:v>
      </x:c>
      <x:c r="N578" s="81" t="str">
        <x:v>숲3</x:v>
      </x:c>
      <x:c r="O578" s="81" t="str">
        <x:v>평원4</x:v>
      </x:c>
      <x:c r="P578" s="81" t="str">
        <x:v>숲4</x:v>
      </x:c>
      <x:c r="Q578" s="81" t="str">
        <x:v>—</x:v>
      </x:c>
      <x:c r="R578" s="81" t="str">
        <x:v>—</x:v>
      </x:c>
      <x:c r="S578" s="81" t="str">
        <x:v>평원4</x:v>
      </x:c>
      <x:c r="T578" s="81" t="str">
        <x:v>숲4</x:v>
      </x:c>
      <x:c r="U578" s="81" t="str">
        <x:v>평원5</x:v>
      </x:c>
      <x:c r="V578" s="81" t="str">
        <x:v>숲4</x:v>
      </x:c>
    </x:row>
    <x:row r="579">
      <x:c r="A579" s="80" t="n">
        <x:v>575</x:v>
      </x:c>
      <x:c r="B579" s="80" t="str">
        <x:v>고디보미</x:v>
      </x:c>
      <x:c r="C579" s="80" t="str">
        <x:v>gothorita</x:v>
      </x:c>
      <x:c r="D579" s="80" t="str">
        <x:v>평원</x:v>
      </x:c>
      <x:c r="E579" s="81" t="str">
        <x:v>—</x:v>
      </x:c>
      <x:c r="F579" s="81" t="str">
        <x:v>—</x:v>
      </x:c>
      <x:c r="G579" s="81" t="str">
        <x:v>—</x:v>
      </x:c>
      <x:c r="H579" s="81" t="str">
        <x:v>—</x:v>
      </x:c>
      <x:c r="I579" s="81" t="str">
        <x:v>—</x:v>
      </x:c>
      <x:c r="J579" s="81" t="str">
        <x:v>—</x:v>
      </x:c>
      <x:c r="K579" s="81" t="str">
        <x:v>—</x:v>
      </x:c>
      <x:c r="L579" s="81" t="str">
        <x:v>—</x:v>
      </x:c>
      <x:c r="M579" s="81" t="str">
        <x:v>평원4</x:v>
      </x:c>
      <x:c r="N579" s="81" t="str">
        <x:v>숲3</x:v>
      </x:c>
      <x:c r="O579" s="81" t="str">
        <x:v>평원4</x:v>
      </x:c>
      <x:c r="P579" s="81" t="str">
        <x:v>숲4</x:v>
      </x:c>
      <x:c r="Q579" s="81" t="str">
        <x:v>—</x:v>
      </x:c>
      <x:c r="R579" s="81" t="str">
        <x:v>—</x:v>
      </x:c>
      <x:c r="S579" s="81" t="str">
        <x:v>평원4</x:v>
      </x:c>
      <x:c r="T579" s="81" t="str">
        <x:v>숲4</x:v>
      </x:c>
      <x:c r="U579" s="81" t="str">
        <x:v>평원5</x:v>
      </x:c>
      <x:c r="V579" s="81" t="str">
        <x:v>숲4</x:v>
      </x:c>
    </x:row>
    <x:row r="580">
      <x:c r="A580" s="80" t="n">
        <x:v>576</x:v>
      </x:c>
      <x:c r="B580" s="80" t="str">
        <x:v>고디모아젤</x:v>
      </x:c>
      <x:c r="C580" s="80" t="str">
        <x:v>gothitelle</x:v>
      </x:c>
      <x:c r="D580" s="80" t="str">
        <x:v>평원</x:v>
      </x:c>
      <x:c r="E580" s="81" t="str">
        <x:v>—</x:v>
      </x:c>
      <x:c r="F580" s="81" t="str">
        <x:v>—</x:v>
      </x:c>
      <x:c r="G580" s="81" t="str">
        <x:v>—</x:v>
      </x:c>
      <x:c r="H580" s="81" t="str">
        <x:v>—</x:v>
      </x:c>
      <x:c r="I580" s="81" t="str">
        <x:v>—</x:v>
      </x:c>
      <x:c r="J580" s="81" t="str">
        <x:v>—</x:v>
      </x:c>
      <x:c r="K580" s="81" t="str">
        <x:v>—</x:v>
      </x:c>
      <x:c r="L580" s="81" t="str">
        <x:v>—</x:v>
      </x:c>
      <x:c r="M580" s="81" t="str">
        <x:v>평원4</x:v>
      </x:c>
      <x:c r="N580" s="81" t="str">
        <x:v>숲3</x:v>
      </x:c>
      <x:c r="O580" s="81" t="str">
        <x:v>평원4</x:v>
      </x:c>
      <x:c r="P580" s="81" t="str">
        <x:v>숲4</x:v>
      </x:c>
      <x:c r="Q580" s="81" t="str">
        <x:v>—</x:v>
      </x:c>
      <x:c r="R580" s="81" t="str">
        <x:v>—</x:v>
      </x:c>
      <x:c r="S580" s="81" t="str">
        <x:v>평원4</x:v>
      </x:c>
      <x:c r="T580" s="81" t="str">
        <x:v>숲4</x:v>
      </x:c>
      <x:c r="U580" s="81" t="str">
        <x:v>평원5</x:v>
      </x:c>
      <x:c r="V580" s="81" t="str">
        <x:v>숲4</x:v>
      </x:c>
    </x:row>
    <x:row r="581">
      <x:c r="A581" s="80" t="n">
        <x:v>577</x:v>
      </x:c>
      <x:c r="B581" s="80" t="str">
        <x:v>유니란</x:v>
      </x:c>
      <x:c r="C581" s="80" t="str">
        <x:v>solosis</x:v>
      </x:c>
      <x:c r="D581" s="80" t="str">
        <x:v>평원</x:v>
      </x:c>
      <x:c r="E581" s="81" t="str">
        <x:v>—</x:v>
      </x:c>
      <x:c r="F581" s="81" t="str">
        <x:v>—</x:v>
      </x:c>
      <x:c r="G581" s="81" t="str">
        <x:v>—</x:v>
      </x:c>
      <x:c r="H581" s="81" t="str">
        <x:v>—</x:v>
      </x:c>
      <x:c r="I581" s="81" t="str">
        <x:v>—</x:v>
      </x:c>
      <x:c r="J581" s="81" t="str">
        <x:v>—</x:v>
      </x:c>
      <x:c r="K581" s="81" t="str">
        <x:v>—</x:v>
      </x:c>
      <x:c r="L581" s="81" t="str">
        <x:v>—</x:v>
      </x:c>
      <x:c r="M581" s="81" t="str">
        <x:v>평원4</x:v>
      </x:c>
      <x:c r="N581" s="81" t="str">
        <x:v>숲3</x:v>
      </x:c>
      <x:c r="O581" s="81" t="str">
        <x:v>평원4</x:v>
      </x:c>
      <x:c r="P581" s="81" t="str">
        <x:v>숲4</x:v>
      </x:c>
      <x:c r="Q581" s="81" t="str">
        <x:v>—</x:v>
      </x:c>
      <x:c r="R581" s="81" t="str">
        <x:v>—</x:v>
      </x:c>
      <x:c r="S581" s="81" t="str">
        <x:v>평원4</x:v>
      </x:c>
      <x:c r="T581" s="81" t="str">
        <x:v>숲4</x:v>
      </x:c>
      <x:c r="U581" s="81" t="str">
        <x:v>평원5</x:v>
      </x:c>
      <x:c r="V581" s="81" t="str">
        <x:v>숲4</x:v>
      </x:c>
    </x:row>
    <x:row r="582">
      <x:c r="A582" s="80" t="n">
        <x:v>578</x:v>
      </x:c>
      <x:c r="B582" s="80" t="str">
        <x:v>듀란</x:v>
      </x:c>
      <x:c r="C582" s="80" t="str">
        <x:v>duosion</x:v>
      </x:c>
      <x:c r="D582" s="80" t="str">
        <x:v>평원</x:v>
      </x:c>
      <x:c r="E582" s="81" t="str">
        <x:v>—</x:v>
      </x:c>
      <x:c r="F582" s="81" t="str">
        <x:v>—</x:v>
      </x:c>
      <x:c r="G582" s="81" t="str">
        <x:v>—</x:v>
      </x:c>
      <x:c r="H582" s="81" t="str">
        <x:v>—</x:v>
      </x:c>
      <x:c r="I582" s="81" t="str">
        <x:v>—</x:v>
      </x:c>
      <x:c r="J582" s="81" t="str">
        <x:v>—</x:v>
      </x:c>
      <x:c r="K582" s="81" t="str">
        <x:v>—</x:v>
      </x:c>
      <x:c r="L582" s="81" t="str">
        <x:v>—</x:v>
      </x:c>
      <x:c r="M582" s="81" t="str">
        <x:v>평원4</x:v>
      </x:c>
      <x:c r="N582" s="81" t="str">
        <x:v>숲3</x:v>
      </x:c>
      <x:c r="O582" s="81" t="str">
        <x:v>평원5</x:v>
      </x:c>
      <x:c r="P582" s="81" t="str">
        <x:v>숲4</x:v>
      </x:c>
      <x:c r="Q582" s="81" t="str">
        <x:v>—</x:v>
      </x:c>
      <x:c r="R582" s="81" t="str">
        <x:v>—</x:v>
      </x:c>
      <x:c r="S582" s="81" t="str">
        <x:v>평원4</x:v>
      </x:c>
      <x:c r="T582" s="81" t="str">
        <x:v>숲4</x:v>
      </x:c>
      <x:c r="U582" s="81" t="str">
        <x:v>평원5</x:v>
      </x:c>
      <x:c r="V582" s="81" t="str">
        <x:v>숲4</x:v>
      </x:c>
    </x:row>
    <x:row r="583">
      <x:c r="A583" s="80" t="n">
        <x:v>579</x:v>
      </x:c>
      <x:c r="B583" s="80" t="str">
        <x:v>란쿨루스</x:v>
      </x:c>
      <x:c r="C583" s="80" t="str">
        <x:v>reuniclus</x:v>
      </x:c>
      <x:c r="D583" s="80" t="str">
        <x:v>평원</x:v>
      </x:c>
      <x:c r="E583" s="81" t="str">
        <x:v>—</x:v>
      </x:c>
      <x:c r="F583" s="81" t="str">
        <x:v>—</x:v>
      </x:c>
      <x:c r="G583" s="81" t="str">
        <x:v>—</x:v>
      </x:c>
      <x:c r="H583" s="81" t="str">
        <x:v>—</x:v>
      </x:c>
      <x:c r="I583" s="81" t="str">
        <x:v>—</x:v>
      </x:c>
      <x:c r="J583" s="81" t="str">
        <x:v>—</x:v>
      </x:c>
      <x:c r="K583" s="81" t="str">
        <x:v>—</x:v>
      </x:c>
      <x:c r="L583" s="81" t="str">
        <x:v>—</x:v>
      </x:c>
      <x:c r="M583" s="81" t="str">
        <x:v>평원4</x:v>
      </x:c>
      <x:c r="N583" s="81" t="str">
        <x:v>숲3</x:v>
      </x:c>
      <x:c r="O583" s="81" t="str">
        <x:v>평원5</x:v>
      </x:c>
      <x:c r="P583" s="81" t="str">
        <x:v>숲4</x:v>
      </x:c>
      <x:c r="Q583" s="81" t="str">
        <x:v>—</x:v>
      </x:c>
      <x:c r="R583" s="81" t="str">
        <x:v>—</x:v>
      </x:c>
      <x:c r="S583" s="81" t="str">
        <x:v>평원4</x:v>
      </x:c>
      <x:c r="T583" s="81" t="str">
        <x:v>숲4</x:v>
      </x:c>
      <x:c r="U583" s="81" t="str">
        <x:v>평원5</x:v>
      </x:c>
      <x:c r="V583" s="81" t="str">
        <x:v>숲4</x:v>
      </x:c>
    </x:row>
    <x:row r="584">
      <x:c r="A584" s="80" t="n">
        <x:v>580</x:v>
      </x:c>
      <x:c r="B584" s="80" t="str">
        <x:v>꼬지보리</x:v>
      </x:c>
      <x:c r="C584" s="80" t="str">
        <x:v>ducklett</x:v>
      </x:c>
      <x:c r="D584" s="80" t="str">
        <x:v>담수</x:v>
      </x:c>
      <x:c r="E584" s="81" t="str">
        <x:v>—</x:v>
      </x:c>
      <x:c r="F584" s="81" t="str">
        <x:v>—</x:v>
      </x:c>
      <x:c r="G584" s="81" t="str">
        <x:v>—</x:v>
      </x:c>
      <x:c r="H584" s="81" t="str">
        <x:v>—</x:v>
      </x:c>
      <x:c r="I584" s="81" t="str">
        <x:v>—</x:v>
      </x:c>
      <x:c r="J584" s="81" t="str">
        <x:v>—</x:v>
      </x:c>
      <x:c r="K584" s="81" t="str">
        <x:v>—</x:v>
      </x:c>
      <x:c r="L584" s="81" t="str">
        <x:v>—</x:v>
      </x:c>
      <x:c r="M584" s="81" t="str">
        <x:v>담수2</x:v>
      </x:c>
      <x:c r="N584" s="81" t="str">
        <x:v>습지2</x:v>
      </x:c>
      <x:c r="O584" s="81" t="str">
        <x:v>담수3</x:v>
      </x:c>
      <x:c r="P584" s="81" t="str">
        <x:v>습지3</x:v>
      </x:c>
      <x:c r="Q584" s="81" t="str">
        <x:v>—</x:v>
      </x:c>
      <x:c r="R584" s="81" t="str">
        <x:v>—</x:v>
      </x:c>
      <x:c r="S584" s="81" t="str">
        <x:v>—</x:v>
      </x:c>
      <x:c r="T584" s="81" t="str">
        <x:v>—</x:v>
      </x:c>
      <x:c r="U584" s="81" t="str">
        <x:v>담수2</x:v>
      </x:c>
      <x:c r="V584" s="81" t="str">
        <x:v>습지2</x:v>
      </x:c>
    </x:row>
    <x:row r="585">
      <x:c r="A585" s="80" t="n">
        <x:v>581</x:v>
      </x:c>
      <x:c r="B585" s="80" t="str">
        <x:v>스완나</x:v>
      </x:c>
      <x:c r="C585" s="80" t="str">
        <x:v>swanna</x:v>
      </x:c>
      <x:c r="D585" s="80" t="str">
        <x:v>담수</x:v>
      </x:c>
      <x:c r="E585" s="81" t="str">
        <x:v>—</x:v>
      </x:c>
      <x:c r="F585" s="81" t="str">
        <x:v>—</x:v>
      </x:c>
      <x:c r="G585" s="81" t="str">
        <x:v>—</x:v>
      </x:c>
      <x:c r="H585" s="81" t="str">
        <x:v>—</x:v>
      </x:c>
      <x:c r="I585" s="81" t="str">
        <x:v>—</x:v>
      </x:c>
      <x:c r="J585" s="81" t="str">
        <x:v>—</x:v>
      </x:c>
      <x:c r="K585" s="81" t="str">
        <x:v>—</x:v>
      </x:c>
      <x:c r="L585" s="81" t="str">
        <x:v>—</x:v>
      </x:c>
      <x:c r="M585" s="81" t="str">
        <x:v>담수2</x:v>
      </x:c>
      <x:c r="N585" s="81" t="str">
        <x:v>습지2</x:v>
      </x:c>
      <x:c r="O585" s="81" t="str">
        <x:v>담수3</x:v>
      </x:c>
      <x:c r="P585" s="81" t="str">
        <x:v>습지3</x:v>
      </x:c>
      <x:c r="Q585" s="81" t="str">
        <x:v>—</x:v>
      </x:c>
      <x:c r="R585" s="81" t="str">
        <x:v>—</x:v>
      </x:c>
      <x:c r="S585" s="81" t="str">
        <x:v>—</x:v>
      </x:c>
      <x:c r="T585" s="81" t="str">
        <x:v>—</x:v>
      </x:c>
      <x:c r="U585" s="81" t="str">
        <x:v>담수2</x:v>
      </x:c>
      <x:c r="V585" s="81" t="str">
        <x:v>습지2</x:v>
      </x:c>
    </x:row>
    <x:row r="586">
      <x:c r="A586" s="80" t="n">
        <x:v>582</x:v>
      </x:c>
      <x:c r="B586" s="80" t="str">
        <x:v>바닐프티</x:v>
      </x:c>
      <x:c r="C586" s="80" t="str">
        <x:v>vanillite</x:v>
      </x:c>
      <x:c r="D586" s="80" t="str">
        <x:v>화산</x:v>
      </x:c>
      <x:c r="E586" s="81" t="str">
        <x:v>—</x:v>
      </x:c>
      <x:c r="F586" s="81" t="str">
        <x:v>—</x:v>
      </x:c>
      <x:c r="G586" s="81" t="str">
        <x:v>—</x:v>
      </x:c>
      <x:c r="H586" s="81" t="str">
        <x:v>—</x:v>
      </x:c>
      <x:c r="I586" s="81" t="str">
        <x:v>—</x:v>
      </x:c>
      <x:c r="J586" s="81" t="str">
        <x:v>—</x:v>
      </x:c>
      <x:c r="K586" s="81" t="str">
        <x:v>—</x:v>
      </x:c>
      <x:c r="L586" s="81" t="str">
        <x:v>—</x:v>
      </x:c>
      <x:c r="M586" s="81" t="str">
        <x:v>화산2</x:v>
      </x:c>
      <x:c r="N586" s="81" t="str">
        <x:v>산악2</x:v>
      </x:c>
      <x:c r="O586" s="81" t="str">
        <x:v>화산2</x:v>
      </x:c>
      <x:c r="P586" s="81" t="str">
        <x:v>산악3</x:v>
      </x:c>
      <x:c r="Q586" s="81" t="str">
        <x:v>화산1</x:v>
      </x:c>
      <x:c r="R586" s="81" t="str">
        <x:v>산악3</x:v>
      </x:c>
      <x:c r="S586" s="81" t="str">
        <x:v>화산1</x:v>
      </x:c>
      <x:c r="T586" s="81" t="str">
        <x:v>산악3</x:v>
      </x:c>
      <x:c r="U586" s="81" t="str">
        <x:v>—</x:v>
      </x:c>
      <x:c r="V586" s="81" t="str">
        <x:v>—</x:v>
      </x:c>
    </x:row>
    <x:row r="587">
      <x:c r="A587" s="80" t="n">
        <x:v>583</x:v>
      </x:c>
      <x:c r="B587" s="80" t="str">
        <x:v>바닐리치</x:v>
      </x:c>
      <x:c r="C587" s="80" t="str">
        <x:v>vanillish</x:v>
      </x:c>
      <x:c r="D587" s="80" t="str">
        <x:v>화산</x:v>
      </x:c>
      <x:c r="E587" s="81" t="str">
        <x:v>—</x:v>
      </x:c>
      <x:c r="F587" s="81" t="str">
        <x:v>—</x:v>
      </x:c>
      <x:c r="G587" s="81" t="str">
        <x:v>—</x:v>
      </x:c>
      <x:c r="H587" s="81" t="str">
        <x:v>—</x:v>
      </x:c>
      <x:c r="I587" s="81" t="str">
        <x:v>—</x:v>
      </x:c>
      <x:c r="J587" s="81" t="str">
        <x:v>—</x:v>
      </x:c>
      <x:c r="K587" s="81" t="str">
        <x:v>—</x:v>
      </x:c>
      <x:c r="L587" s="81" t="str">
        <x:v>—</x:v>
      </x:c>
      <x:c r="M587" s="81" t="str">
        <x:v>화산2</x:v>
      </x:c>
      <x:c r="N587" s="81" t="str">
        <x:v>산악2</x:v>
      </x:c>
      <x:c r="O587" s="81" t="str">
        <x:v>화산2</x:v>
      </x:c>
      <x:c r="P587" s="81" t="str">
        <x:v>산악3</x:v>
      </x:c>
      <x:c r="Q587" s="81" t="str">
        <x:v>화산1</x:v>
      </x:c>
      <x:c r="R587" s="81" t="str">
        <x:v>산악3</x:v>
      </x:c>
      <x:c r="S587" s="81" t="str">
        <x:v>화산2</x:v>
      </x:c>
      <x:c r="T587" s="81" t="str">
        <x:v>산악3</x:v>
      </x:c>
      <x:c r="U587" s="81" t="str">
        <x:v>—</x:v>
      </x:c>
      <x:c r="V587" s="81" t="str">
        <x:v>—</x:v>
      </x:c>
    </x:row>
    <x:row r="588">
      <x:c r="A588" s="80" t="n">
        <x:v>584</x:v>
      </x:c>
      <x:c r="B588" s="80" t="str">
        <x:v>배바닐라</x:v>
      </x:c>
      <x:c r="C588" s="80" t="str">
        <x:v>vanilluxe</x:v>
      </x:c>
      <x:c r="D588" s="80" t="str">
        <x:v>화산</x:v>
      </x:c>
      <x:c r="E588" s="81" t="str">
        <x:v>—</x:v>
      </x:c>
      <x:c r="F588" s="81" t="str">
        <x:v>—</x:v>
      </x:c>
      <x:c r="G588" s="81" t="str">
        <x:v>—</x:v>
      </x:c>
      <x:c r="H588" s="81" t="str">
        <x:v>—</x:v>
      </x:c>
      <x:c r="I588" s="81" t="str">
        <x:v>—</x:v>
      </x:c>
      <x:c r="J588" s="81" t="str">
        <x:v>—</x:v>
      </x:c>
      <x:c r="K588" s="81" t="str">
        <x:v>—</x:v>
      </x:c>
      <x:c r="L588" s="81" t="str">
        <x:v>—</x:v>
      </x:c>
      <x:c r="M588" s="81" t="str">
        <x:v>화산2</x:v>
      </x:c>
      <x:c r="N588" s="81" t="str">
        <x:v>산악2</x:v>
      </x:c>
      <x:c r="O588" s="81" t="str">
        <x:v>화산2</x:v>
      </x:c>
      <x:c r="P588" s="81" t="str">
        <x:v>산악3</x:v>
      </x:c>
      <x:c r="Q588" s="81" t="str">
        <x:v>화산1</x:v>
      </x:c>
      <x:c r="R588" s="81" t="str">
        <x:v>산악3</x:v>
      </x:c>
      <x:c r="S588" s="81" t="str">
        <x:v>화산2</x:v>
      </x:c>
      <x:c r="T588" s="81" t="str">
        <x:v>산악3</x:v>
      </x:c>
      <x:c r="U588" s="81" t="str">
        <x:v>—</x:v>
      </x:c>
      <x:c r="V588" s="81" t="str">
        <x:v>—</x:v>
      </x:c>
    </x:row>
    <x:row r="589">
      <x:c r="A589" s="80" t="n">
        <x:v>585</x:v>
      </x:c>
      <x:c r="B589" s="80" t="str">
        <x:v>사철록</x:v>
      </x:c>
      <x:c r="C589" s="80" t="str">
        <x:v>deerling</x:v>
      </x:c>
      <x:c r="D589" s="80" t="str">
        <x:v>숲</x:v>
      </x:c>
      <x:c r="E589" s="81" t="str">
        <x:v>—</x:v>
      </x:c>
      <x:c r="F589" s="81" t="str">
        <x:v>—</x:v>
      </x:c>
      <x:c r="G589" s="81" t="str">
        <x:v>—</x:v>
      </x:c>
      <x:c r="H589" s="81" t="str">
        <x:v>—</x:v>
      </x:c>
      <x:c r="I589" s="81" t="str">
        <x:v>—</x:v>
      </x:c>
      <x:c r="J589" s="81" t="str">
        <x:v>—</x:v>
      </x:c>
      <x:c r="K589" s="81" t="str">
        <x:v>—</x:v>
      </x:c>
      <x:c r="L589" s="81" t="str">
        <x:v>—</x:v>
      </x:c>
      <x:c r="M589" s="81" t="str">
        <x:v>숲3</x:v>
      </x:c>
      <x:c r="N589" s="81" t="str">
        <x:v>평원4</x:v>
      </x:c>
      <x:c r="O589" s="81" t="str">
        <x:v>—</x:v>
      </x:c>
      <x:c r="P589" s="81" t="str">
        <x:v>—</x:v>
      </x:c>
      <x:c r="Q589" s="81" t="str">
        <x:v>—</x:v>
      </x:c>
      <x:c r="R589" s="81" t="str">
        <x:v>—</x:v>
      </x:c>
      <x:c r="S589" s="81" t="str">
        <x:v>—</x:v>
      </x:c>
      <x:c r="T589" s="81" t="str">
        <x:v>—</x:v>
      </x:c>
      <x:c r="U589" s="81" t="str">
        <x:v>숲4</x:v>
      </x:c>
      <x:c r="V589" s="81" t="str">
        <x:v>평원5</x:v>
      </x:c>
    </x:row>
    <x:row r="590">
      <x:c r="A590" s="80" t="n">
        <x:v>586</x:v>
      </x:c>
      <x:c r="B590" s="80" t="str">
        <x:v>바라철록</x:v>
      </x:c>
      <x:c r="C590" s="80" t="str">
        <x:v>sawsbuck</x:v>
      </x:c>
      <x:c r="D590" s="80" t="str">
        <x:v>숲</x:v>
      </x:c>
      <x:c r="E590" s="81" t="str">
        <x:v>—</x:v>
      </x:c>
      <x:c r="F590" s="81" t="str">
        <x:v>—</x:v>
      </x:c>
      <x:c r="G590" s="81" t="str">
        <x:v>—</x:v>
      </x:c>
      <x:c r="H590" s="81" t="str">
        <x:v>—</x:v>
      </x:c>
      <x:c r="I590" s="81" t="str">
        <x:v>—</x:v>
      </x:c>
      <x:c r="J590" s="81" t="str">
        <x:v>—</x:v>
      </x:c>
      <x:c r="K590" s="81" t="str">
        <x:v>—</x:v>
      </x:c>
      <x:c r="L590" s="81" t="str">
        <x:v>—</x:v>
      </x:c>
      <x:c r="M590" s="81" t="str">
        <x:v>숲3</x:v>
      </x:c>
      <x:c r="N590" s="81" t="str">
        <x:v>평원4</x:v>
      </x:c>
      <x:c r="O590" s="81" t="str">
        <x:v>—</x:v>
      </x:c>
      <x:c r="P590" s="81" t="str">
        <x:v>—</x:v>
      </x:c>
      <x:c r="Q590" s="81" t="str">
        <x:v>—</x:v>
      </x:c>
      <x:c r="R590" s="81" t="str">
        <x:v>—</x:v>
      </x:c>
      <x:c r="S590" s="81" t="str">
        <x:v>—</x:v>
      </x:c>
      <x:c r="T590" s="81" t="str">
        <x:v>—</x:v>
      </x:c>
      <x:c r="U590" s="81" t="str">
        <x:v>숲4</x:v>
      </x:c>
      <x:c r="V590" s="81" t="str">
        <x:v>평원5</x:v>
      </x:c>
    </x:row>
    <x:row r="591">
      <x:c r="A591" s="80" t="n">
        <x:v>587</x:v>
      </x:c>
      <x:c r="B591" s="80" t="str">
        <x:v>에몽가</x:v>
      </x:c>
      <x:c r="C591" s="80" t="str">
        <x:v>emolga</x:v>
      </x:c>
      <x:c r="D591" s="80" t="str">
        <x:v>숲</x:v>
      </x:c>
      <x:c r="E591" s="81" t="str">
        <x:v>—</x:v>
      </x:c>
      <x:c r="F591" s="81" t="str">
        <x:v>—</x:v>
      </x:c>
      <x:c r="G591" s="81" t="str">
        <x:v>—</x:v>
      </x:c>
      <x:c r="H591" s="81" t="str">
        <x:v>—</x:v>
      </x:c>
      <x:c r="I591" s="81" t="str">
        <x:v>—</x:v>
      </x:c>
      <x:c r="J591" s="81" t="str">
        <x:v>—</x:v>
      </x:c>
      <x:c r="K591" s="81" t="str">
        <x:v>—</x:v>
      </x:c>
      <x:c r="L591" s="81" t="str">
        <x:v>—</x:v>
      </x:c>
      <x:c r="M591" s="81" t="str">
        <x:v>숲3</x:v>
      </x:c>
      <x:c r="N591" s="81" t="str">
        <x:v>산악2</x:v>
      </x:c>
      <x:c r="O591" s="81" t="str">
        <x:v>숲4</x:v>
      </x:c>
      <x:c r="P591" s="81" t="str">
        <x:v>산악3</x:v>
      </x:c>
      <x:c r="Q591" s="81" t="str">
        <x:v>숲3</x:v>
      </x:c>
      <x:c r="R591" s="81" t="str">
        <x:v>산악3</x:v>
      </x:c>
      <x:c r="S591" s="81" t="str">
        <x:v>숲4</x:v>
      </x:c>
      <x:c r="T591" s="81" t="str">
        <x:v>산악3</x:v>
      </x:c>
      <x:c r="U591" s="81" t="str">
        <x:v>—</x:v>
      </x:c>
      <x:c r="V591" s="81" t="str">
        <x:v>—</x:v>
      </x:c>
    </x:row>
    <x:row r="592">
      <x:c r="A592" s="80" t="n">
        <x:v>588</x:v>
      </x:c>
      <x:c r="B592" s="80" t="str">
        <x:v>딱정곤</x:v>
      </x:c>
      <x:c r="C592" s="80" t="str">
        <x:v>karrablast</x:v>
      </x:c>
      <x:c r="D592" s="80" t="str">
        <x:v>습지</x:v>
      </x:c>
      <x:c r="E592" s="81" t="str">
        <x:v>—</x:v>
      </x:c>
      <x:c r="F592" s="81" t="str">
        <x:v>—</x:v>
      </x:c>
      <x:c r="G592" s="81" t="str">
        <x:v>—</x:v>
      </x:c>
      <x:c r="H592" s="81" t="str">
        <x:v>—</x:v>
      </x:c>
      <x:c r="I592" s="81" t="str">
        <x:v>—</x:v>
      </x:c>
      <x:c r="J592" s="81" t="str">
        <x:v>—</x:v>
      </x:c>
      <x:c r="K592" s="81" t="str">
        <x:v>—</x:v>
      </x:c>
      <x:c r="L592" s="81" t="str">
        <x:v>—</x:v>
      </x:c>
      <x:c r="M592" s="81" t="str">
        <x:v>습지2</x:v>
      </x:c>
      <x:c r="N592" s="81" t="str">
        <x:v>숲3</x:v>
      </x:c>
      <x:c r="O592" s="81" t="str">
        <x:v>습지3</x:v>
      </x:c>
      <x:c r="P592" s="81" t="str">
        <x:v>숲4</x:v>
      </x:c>
      <x:c r="Q592" s="81" t="str">
        <x:v>—</x:v>
      </x:c>
      <x:c r="R592" s="81" t="str">
        <x:v>—</x:v>
      </x:c>
      <x:c r="S592" s="81" t="str">
        <x:v>습지3</x:v>
      </x:c>
      <x:c r="T592" s="81" t="str">
        <x:v>숲4</x:v>
      </x:c>
      <x:c r="U592" s="81" t="str">
        <x:v>—</x:v>
      </x:c>
      <x:c r="V592" s="81" t="str">
        <x:v>—</x:v>
      </x:c>
    </x:row>
    <x:row r="593">
      <x:c r="A593" s="80" t="n">
        <x:v>589</x:v>
      </x:c>
      <x:c r="B593" s="80" t="str">
        <x:v>슈바르고</x:v>
      </x:c>
      <x:c r="C593" s="80" t="str">
        <x:v>escavalier</x:v>
      </x:c>
      <x:c r="D593" s="80" t="str">
        <x:v>습지</x:v>
      </x:c>
      <x:c r="E593" s="81" t="str">
        <x:v>—</x:v>
      </x:c>
      <x:c r="F593" s="81" t="str">
        <x:v>—</x:v>
      </x:c>
      <x:c r="G593" s="81" t="str">
        <x:v>—</x:v>
      </x:c>
      <x:c r="H593" s="81" t="str">
        <x:v>—</x:v>
      </x:c>
      <x:c r="I593" s="81" t="str">
        <x:v>—</x:v>
      </x:c>
      <x:c r="J593" s="81" t="str">
        <x:v>—</x:v>
      </x:c>
      <x:c r="K593" s="81" t="str">
        <x:v>—</x:v>
      </x:c>
      <x:c r="L593" s="81" t="str">
        <x:v>—</x:v>
      </x:c>
      <x:c r="M593" s="81" t="str">
        <x:v>습지2</x:v>
      </x:c>
      <x:c r="N593" s="81" t="str">
        <x:v>숲3</x:v>
      </x:c>
      <x:c r="O593" s="81" t="str">
        <x:v>습지3</x:v>
      </x:c>
      <x:c r="P593" s="81" t="str">
        <x:v>숲4</x:v>
      </x:c>
      <x:c r="Q593" s="81" t="str">
        <x:v>—</x:v>
      </x:c>
      <x:c r="R593" s="81" t="str">
        <x:v>—</x:v>
      </x:c>
      <x:c r="S593" s="81" t="str">
        <x:v>습지3</x:v>
      </x:c>
      <x:c r="T593" s="81" t="str">
        <x:v>숲4</x:v>
      </x:c>
      <x:c r="U593" s="81" t="str">
        <x:v>—</x:v>
      </x:c>
      <x:c r="V593" s="81" t="str">
        <x:v>—</x:v>
      </x:c>
    </x:row>
    <x:row r="594">
      <x:c r="A594" s="80" t="n">
        <x:v>590</x:v>
      </x:c>
      <x:c r="B594" s="80" t="str">
        <x:v>깜놀버슬</x:v>
      </x:c>
      <x:c r="C594" s="80" t="str">
        <x:v>foongus</x:v>
      </x:c>
      <x:c r="D594" s="80" t="str">
        <x:v>습지</x:v>
      </x:c>
      <x:c r="E594" s="81" t="str">
        <x:v>—</x:v>
      </x:c>
      <x:c r="F594" s="81" t="str">
        <x:v>—</x:v>
      </x:c>
      <x:c r="G594" s="81" t="str">
        <x:v>—</x:v>
      </x:c>
      <x:c r="H594" s="81" t="str">
        <x:v>—</x:v>
      </x:c>
      <x:c r="I594" s="81" t="str">
        <x:v>—</x:v>
      </x:c>
      <x:c r="J594" s="81" t="str">
        <x:v>—</x:v>
      </x:c>
      <x:c r="K594" s="81" t="str">
        <x:v>—</x:v>
      </x:c>
      <x:c r="L594" s="81" t="str">
        <x:v>—</x:v>
      </x:c>
      <x:c r="M594" s="81" t="str">
        <x:v>습지2</x:v>
      </x:c>
      <x:c r="N594" s="81" t="str">
        <x:v>숲3</x:v>
      </x:c>
      <x:c r="O594" s="81" t="str">
        <x:v>습지3</x:v>
      </x:c>
      <x:c r="P594" s="81" t="str">
        <x:v>숲4</x:v>
      </x:c>
      <x:c r="Q594" s="81" t="str">
        <x:v>—</x:v>
      </x:c>
      <x:c r="R594" s="81" t="str">
        <x:v>—</x:v>
      </x:c>
      <x:c r="S594" s="81" t="str">
        <x:v>습지3</x:v>
      </x:c>
      <x:c r="T594" s="81" t="str">
        <x:v>숲4</x:v>
      </x:c>
      <x:c r="U594" s="81" t="str">
        <x:v>습지2</x:v>
      </x:c>
      <x:c r="V594" s="81" t="str">
        <x:v>숲4</x:v>
      </x:c>
    </x:row>
    <x:row r="595">
      <x:c r="A595" s="80" t="n">
        <x:v>591</x:v>
      </x:c>
      <x:c r="B595" s="80" t="str">
        <x:v>뽀록나</x:v>
      </x:c>
      <x:c r="C595" s="80" t="str">
        <x:v>amoonguss</x:v>
      </x:c>
      <x:c r="D595" s="80" t="str">
        <x:v>습지</x:v>
      </x:c>
      <x:c r="E595" s="81" t="str">
        <x:v>—</x:v>
      </x:c>
      <x:c r="F595" s="81" t="str">
        <x:v>—</x:v>
      </x:c>
      <x:c r="G595" s="81" t="str">
        <x:v>—</x:v>
      </x:c>
      <x:c r="H595" s="81" t="str">
        <x:v>—</x:v>
      </x:c>
      <x:c r="I595" s="81" t="str">
        <x:v>—</x:v>
      </x:c>
      <x:c r="J595" s="81" t="str">
        <x:v>—</x:v>
      </x:c>
      <x:c r="K595" s="81" t="str">
        <x:v>—</x:v>
      </x:c>
      <x:c r="L595" s="81" t="str">
        <x:v>—</x:v>
      </x:c>
      <x:c r="M595" s="81" t="str">
        <x:v>습지2</x:v>
      </x:c>
      <x:c r="N595" s="81" t="str">
        <x:v>숲3</x:v>
      </x:c>
      <x:c r="O595" s="81" t="str">
        <x:v>습지3</x:v>
      </x:c>
      <x:c r="P595" s="81" t="str">
        <x:v>숲4</x:v>
      </x:c>
      <x:c r="Q595" s="81" t="str">
        <x:v>—</x:v>
      </x:c>
      <x:c r="R595" s="81" t="str">
        <x:v>—</x:v>
      </x:c>
      <x:c r="S595" s="81" t="str">
        <x:v>습지3</x:v>
      </x:c>
      <x:c r="T595" s="81" t="str">
        <x:v>숲4</x:v>
      </x:c>
      <x:c r="U595" s="81" t="str">
        <x:v>습지2</x:v>
      </x:c>
      <x:c r="V595" s="81" t="str">
        <x:v>숲4</x:v>
      </x:c>
    </x:row>
    <x:row r="596">
      <x:c r="A596" s="80" t="n">
        <x:v>592</x:v>
      </x:c>
      <x:c r="B596" s="80" t="str">
        <x:v>탱그릴</x:v>
      </x:c>
      <x:c r="C596" s="80" t="str">
        <x:v>frillish</x:v>
      </x:c>
      <x:c r="D596" s="80" t="str">
        <x:v>해양</x:v>
      </x:c>
      <x:c r="E596" s="81" t="str">
        <x:v>—</x:v>
      </x:c>
      <x:c r="F596" s="81" t="str">
        <x:v>—</x:v>
      </x:c>
      <x:c r="G596" s="81" t="str">
        <x:v>—</x:v>
      </x:c>
      <x:c r="H596" s="81" t="str">
        <x:v>—</x:v>
      </x:c>
      <x:c r="I596" s="81" t="str">
        <x:v>—</x:v>
      </x:c>
      <x:c r="J596" s="81" t="str">
        <x:v>—</x:v>
      </x:c>
      <x:c r="K596" s="81" t="str">
        <x:v>—</x:v>
      </x:c>
      <x:c r="L596" s="81" t="str">
        <x:v>—</x:v>
      </x:c>
      <x:c r="M596" s="81" t="str">
        <x:v>해양1</x:v>
      </x:c>
      <x:c r="N596" s="81" t="str">
        <x:v>특수1</x:v>
      </x:c>
      <x:c r="O596" s="81" t="str">
        <x:v>—</x:v>
      </x:c>
      <x:c r="P596" s="81" t="str">
        <x:v>—</x:v>
      </x:c>
      <x:c r="Q596" s="81" t="str">
        <x:v>해양2</x:v>
      </x:c>
      <x:c r="R596" s="81" t="str">
        <x:v>특수1</x:v>
      </x:c>
      <x:c r="S596" s="81" t="str">
        <x:v>해양2</x:v>
      </x:c>
      <x:c r="T596" s="81" t="str">
        <x:v>특수1</x:v>
      </x:c>
      <x:c r="U596" s="81" t="str">
        <x:v>—</x:v>
      </x:c>
      <x:c r="V596" s="81" t="str">
        <x:v>—</x:v>
      </x:c>
    </x:row>
    <x:row r="597">
      <x:c r="A597" s="80" t="n">
        <x:v>593</x:v>
      </x:c>
      <x:c r="B597" s="80" t="str">
        <x:v>탱탱겔</x:v>
      </x:c>
      <x:c r="C597" s="80" t="str">
        <x:v>jellicent</x:v>
      </x:c>
      <x:c r="D597" s="80" t="str">
        <x:v>해양</x:v>
      </x:c>
      <x:c r="E597" s="81" t="str">
        <x:v>—</x:v>
      </x:c>
      <x:c r="F597" s="81" t="str">
        <x:v>—</x:v>
      </x:c>
      <x:c r="G597" s="81" t="str">
        <x:v>—</x:v>
      </x:c>
      <x:c r="H597" s="81" t="str">
        <x:v>—</x:v>
      </x:c>
      <x:c r="I597" s="81" t="str">
        <x:v>—</x:v>
      </x:c>
      <x:c r="J597" s="81" t="str">
        <x:v>—</x:v>
      </x:c>
      <x:c r="K597" s="81" t="str">
        <x:v>—</x:v>
      </x:c>
      <x:c r="L597" s="81" t="str">
        <x:v>—</x:v>
      </x:c>
      <x:c r="M597" s="81" t="str">
        <x:v>해양1</x:v>
      </x:c>
      <x:c r="N597" s="81" t="str">
        <x:v>특수1</x:v>
      </x:c>
      <x:c r="O597" s="81" t="str">
        <x:v>—</x:v>
      </x:c>
      <x:c r="P597" s="81" t="str">
        <x:v>—</x:v>
      </x:c>
      <x:c r="Q597" s="81" t="str">
        <x:v>해양2</x:v>
      </x:c>
      <x:c r="R597" s="81" t="str">
        <x:v>특수1</x:v>
      </x:c>
      <x:c r="S597" s="81" t="str">
        <x:v>해양2</x:v>
      </x:c>
      <x:c r="T597" s="81" t="str">
        <x:v>특수1</x:v>
      </x:c>
      <x:c r="U597" s="81" t="str">
        <x:v>—</x:v>
      </x:c>
      <x:c r="V597" s="81" t="str">
        <x:v>—</x:v>
      </x:c>
    </x:row>
    <x:row r="598">
      <x:c r="A598" s="80" t="n">
        <x:v>594</x:v>
      </x:c>
      <x:c r="B598" s="80" t="str">
        <x:v>맘복치</x:v>
      </x:c>
      <x:c r="C598" s="80" t="str">
        <x:v>alomomola</x:v>
      </x:c>
      <x:c r="D598" s="80" t="str">
        <x:v>해양</x:v>
      </x:c>
      <x:c r="E598" s="81" t="str">
        <x:v>—</x:v>
      </x:c>
      <x:c r="F598" s="81" t="str">
        <x:v>—</x:v>
      </x:c>
      <x:c r="G598" s="81" t="str">
        <x:v>—</x:v>
      </x:c>
      <x:c r="H598" s="81" t="str">
        <x:v>—</x:v>
      </x:c>
      <x:c r="I598" s="81" t="str">
        <x:v>—</x:v>
      </x:c>
      <x:c r="J598" s="81" t="str">
        <x:v>—</x:v>
      </x:c>
      <x:c r="K598" s="81" t="str">
        <x:v>—</x:v>
      </x:c>
      <x:c r="L598" s="81" t="str">
        <x:v>—</x:v>
      </x:c>
      <x:c r="M598" s="81" t="str">
        <x:v>해양1</x:v>
      </x:c>
      <x:c r="N598" s="81" t="str">
        <x:v>담수2</x:v>
      </x:c>
      <x:c r="O598" s="81" t="str">
        <x:v>해양2</x:v>
      </x:c>
      <x:c r="P598" s="81" t="str">
        <x:v>담수3</x:v>
      </x:c>
      <x:c r="Q598" s="81" t="str">
        <x:v>해양2</x:v>
      </x:c>
      <x:c r="R598" s="81" t="str">
        <x:v>담수2</x:v>
      </x:c>
      <x:c r="S598" s="81" t="str">
        <x:v>—</x:v>
      </x:c>
      <x:c r="T598" s="81" t="str">
        <x:v>—</x:v>
      </x:c>
      <x:c r="U598" s="81" t="str">
        <x:v>해양2</x:v>
      </x:c>
      <x:c r="V598" s="81" t="str">
        <x:v>담수2</x:v>
      </x:c>
    </x:row>
    <x:row r="599">
      <x:c r="A599" s="80" t="n">
        <x:v>595</x:v>
      </x:c>
      <x:c r="B599" s="80" t="str">
        <x:v>파쪼옥</x:v>
      </x:c>
      <x:c r="C599" s="80" t="str">
        <x:v>joltik</x:v>
      </x:c>
      <x:c r="D599" s="80" t="str">
        <x:v>건조지</x:v>
      </x:c>
      <x:c r="E599" s="81" t="str">
        <x:v>—</x:v>
      </x:c>
      <x:c r="F599" s="81" t="str">
        <x:v>—</x:v>
      </x:c>
      <x:c r="G599" s="81" t="str">
        <x:v>—</x:v>
      </x:c>
      <x:c r="H599" s="81" t="str">
        <x:v>—</x:v>
      </x:c>
      <x:c r="I599" s="81" t="str">
        <x:v>—</x:v>
      </x:c>
      <x:c r="J599" s="81" t="str">
        <x:v>—</x:v>
      </x:c>
      <x:c r="K599" s="81" t="str">
        <x:v>—</x:v>
      </x:c>
      <x:c r="L599" s="81" t="str">
        <x:v>—</x:v>
      </x:c>
      <x:c r="M599" s="81" t="str">
        <x:v>건조지2</x:v>
      </x:c>
      <x:c r="N599" s="81" t="str">
        <x:v>평원4</x:v>
      </x:c>
      <x:c r="O599" s="81" t="str">
        <x:v>—</x:v>
      </x:c>
      <x:c r="P599" s="81" t="str">
        <x:v>—</x:v>
      </x:c>
      <x:c r="Q599" s="81" t="str">
        <x:v>—</x:v>
      </x:c>
      <x:c r="R599" s="81" t="str">
        <x:v>—</x:v>
      </x:c>
      <x:c r="S599" s="81" t="str">
        <x:v>건조지2</x:v>
      </x:c>
      <x:c r="T599" s="81" t="str">
        <x:v>평원4</x:v>
      </x:c>
      <x:c r="U599" s="81" t="str">
        <x:v>건조지2</x:v>
      </x:c>
      <x:c r="V599" s="81" t="str">
        <x:v>평원5</x:v>
      </x:c>
    </x:row>
    <x:row r="600">
      <x:c r="A600" s="80" t="n">
        <x:v>596</x:v>
      </x:c>
      <x:c r="B600" s="80" t="str">
        <x:v>전툴라</x:v>
      </x:c>
      <x:c r="C600" s="80" t="str">
        <x:v>galvantula</x:v>
      </x:c>
      <x:c r="D600" s="80" t="str">
        <x:v>건조지</x:v>
      </x:c>
      <x:c r="E600" s="81" t="str">
        <x:v>—</x:v>
      </x:c>
      <x:c r="F600" s="81" t="str">
        <x:v>—</x:v>
      </x:c>
      <x:c r="G600" s="81" t="str">
        <x:v>—</x:v>
      </x:c>
      <x:c r="H600" s="81" t="str">
        <x:v>—</x:v>
      </x:c>
      <x:c r="I600" s="81" t="str">
        <x:v>—</x:v>
      </x:c>
      <x:c r="J600" s="81" t="str">
        <x:v>—</x:v>
      </x:c>
      <x:c r="K600" s="81" t="str">
        <x:v>—</x:v>
      </x:c>
      <x:c r="L600" s="81" t="str">
        <x:v>—</x:v>
      </x:c>
      <x:c r="M600" s="81" t="str">
        <x:v>건조지2</x:v>
      </x:c>
      <x:c r="N600" s="81" t="str">
        <x:v>평원4</x:v>
      </x:c>
      <x:c r="O600" s="81" t="str">
        <x:v>—</x:v>
      </x:c>
      <x:c r="P600" s="81" t="str">
        <x:v>—</x:v>
      </x:c>
      <x:c r="Q600" s="81" t="str">
        <x:v>—</x:v>
      </x:c>
      <x:c r="R600" s="81" t="str">
        <x:v>—</x:v>
      </x:c>
      <x:c r="S600" s="81" t="str">
        <x:v>건조지2</x:v>
      </x:c>
      <x:c r="T600" s="81" t="str">
        <x:v>평원4</x:v>
      </x:c>
      <x:c r="U600" s="81" t="str">
        <x:v>건조지2</x:v>
      </x:c>
      <x:c r="V600" s="81" t="str">
        <x:v>평원5</x:v>
      </x:c>
    </x:row>
    <x:row r="601">
      <x:c r="A601" s="80" t="n">
        <x:v>597</x:v>
      </x:c>
      <x:c r="B601" s="80" t="str">
        <x:v>철시드</x:v>
      </x:c>
      <x:c r="C601" s="80" t="str">
        <x:v>ferroseed</x:v>
      </x:c>
      <x:c r="D601" s="80" t="str">
        <x:v>숲</x:v>
      </x:c>
      <x:c r="E601" s="81" t="str">
        <x:v>—</x:v>
      </x:c>
      <x:c r="F601" s="81" t="str">
        <x:v>—</x:v>
      </x:c>
      <x:c r="G601" s="81" t="str">
        <x:v>—</x:v>
      </x:c>
      <x:c r="H601" s="81" t="str">
        <x:v>—</x:v>
      </x:c>
      <x:c r="I601" s="81" t="str">
        <x:v>—</x:v>
      </x:c>
      <x:c r="J601" s="81" t="str">
        <x:v>—</x:v>
      </x:c>
      <x:c r="K601" s="81" t="str">
        <x:v>—</x:v>
      </x:c>
      <x:c r="L601" s="81" t="str">
        <x:v>—</x:v>
      </x:c>
      <x:c r="M601" s="81" t="str">
        <x:v>숲3</x:v>
      </x:c>
      <x:c r="N601" s="81" t="str">
        <x:v>평원4</x:v>
      </x:c>
      <x:c r="O601" s="81" t="str">
        <x:v>숲4</x:v>
      </x:c>
      <x:c r="P601" s="81" t="str">
        <x:v>평원5</x:v>
      </x:c>
      <x:c r="Q601" s="81" t="str">
        <x:v>—</x:v>
      </x:c>
      <x:c r="R601" s="81" t="str">
        <x:v>—</x:v>
      </x:c>
      <x:c r="S601" s="81" t="str">
        <x:v>숲4</x:v>
      </x:c>
      <x:c r="T601" s="81" t="str">
        <x:v>평원4</x:v>
      </x:c>
      <x:c r="U601" s="81" t="str">
        <x:v>—</x:v>
      </x:c>
      <x:c r="V601" s="81" t="str">
        <x:v>—</x:v>
      </x:c>
    </x:row>
    <x:row r="602">
      <x:c r="A602" s="80" t="n">
        <x:v>598</x:v>
      </x:c>
      <x:c r="B602" s="80" t="str">
        <x:v>너트령</x:v>
      </x:c>
      <x:c r="C602" s="80" t="str">
        <x:v>ferrothorn</x:v>
      </x:c>
      <x:c r="D602" s="80" t="str">
        <x:v>숲</x:v>
      </x:c>
      <x:c r="E602" s="81" t="str">
        <x:v>—</x:v>
      </x:c>
      <x:c r="F602" s="81" t="str">
        <x:v>—</x:v>
      </x:c>
      <x:c r="G602" s="81" t="str">
        <x:v>—</x:v>
      </x:c>
      <x:c r="H602" s="81" t="str">
        <x:v>—</x:v>
      </x:c>
      <x:c r="I602" s="81" t="str">
        <x:v>—</x:v>
      </x:c>
      <x:c r="J602" s="81" t="str">
        <x:v>—</x:v>
      </x:c>
      <x:c r="K602" s="81" t="str">
        <x:v>—</x:v>
      </x:c>
      <x:c r="L602" s="81" t="str">
        <x:v>—</x:v>
      </x:c>
      <x:c r="M602" s="81" t="str">
        <x:v>숲3</x:v>
      </x:c>
      <x:c r="N602" s="81" t="str">
        <x:v>평원4</x:v>
      </x:c>
      <x:c r="O602" s="81" t="str">
        <x:v>숲5</x:v>
      </x:c>
      <x:c r="P602" s="81" t="str">
        <x:v>평원5</x:v>
      </x:c>
      <x:c r="Q602" s="81" t="str">
        <x:v>—</x:v>
      </x:c>
      <x:c r="R602" s="81" t="str">
        <x:v>—</x:v>
      </x:c>
      <x:c r="S602" s="81" t="str">
        <x:v>숲4</x:v>
      </x:c>
      <x:c r="T602" s="81" t="str">
        <x:v>평원4</x:v>
      </x:c>
      <x:c r="U602" s="81" t="str">
        <x:v>—</x:v>
      </x:c>
      <x:c r="V602" s="81" t="str">
        <x:v>—</x:v>
      </x:c>
    </x:row>
    <x:row r="603">
      <x:c r="A603" s="80" t="n">
        <x:v>599</x:v>
      </x:c>
      <x:c r="B603" s="80" t="str">
        <x:v>기어르</x:v>
      </x:c>
      <x:c r="C603" s="80" t="str">
        <x:v>klink</x:v>
      </x:c>
      <x:c r="D603" s="80" t="str">
        <x:v>동굴</x:v>
      </x:c>
      <x:c r="E603" s="81" t="str">
        <x:v>—</x:v>
      </x:c>
      <x:c r="F603" s="81" t="str">
        <x:v>—</x:v>
      </x:c>
      <x:c r="G603" s="81" t="str">
        <x:v>—</x:v>
      </x:c>
      <x:c r="H603" s="81" t="str">
        <x:v>—</x:v>
      </x:c>
      <x:c r="I603" s="81" t="str">
        <x:v>—</x:v>
      </x:c>
      <x:c r="J603" s="81" t="str">
        <x:v>—</x:v>
      </x:c>
      <x:c r="K603" s="81" t="str">
        <x:v>—</x:v>
      </x:c>
      <x:c r="L603" s="81" t="str">
        <x:v>—</x:v>
      </x:c>
      <x:c r="M603" s="81" t="str">
        <x:v>동굴1</x:v>
      </x:c>
      <x:c r="N603" s="81" t="str">
        <x:v>도시1</x:v>
      </x:c>
      <x:c r="O603" s="81" t="str">
        <x:v>—</x:v>
      </x:c>
      <x:c r="P603" s="81" t="str">
        <x:v>—</x:v>
      </x:c>
      <x:c r="Q603" s="81" t="str">
        <x:v>—</x:v>
      </x:c>
      <x:c r="R603" s="81" t="str">
        <x:v>—</x:v>
      </x:c>
      <x:c r="S603" s="81" t="str">
        <x:v>동굴1</x:v>
      </x:c>
      <x:c r="T603" s="81" t="str">
        <x:v>도시1</x:v>
      </x:c>
      <x:c r="U603" s="81" t="str">
        <x:v>—</x:v>
      </x:c>
      <x:c r="V603" s="81" t="str">
        <x:v>—</x:v>
      </x:c>
    </x:row>
    <x:row r="604">
      <x:c r="A604" s="80" t="n">
        <x:v>600</x:v>
      </x:c>
      <x:c r="B604" s="80" t="str">
        <x:v>기기어르</x:v>
      </x:c>
      <x:c r="C604" s="80" t="str">
        <x:v>klang</x:v>
      </x:c>
      <x:c r="D604" s="80" t="str">
        <x:v>동굴</x:v>
      </x:c>
      <x:c r="E604" s="81" t="str">
        <x:v>—</x:v>
      </x:c>
      <x:c r="F604" s="81" t="str">
        <x:v>—</x:v>
      </x:c>
      <x:c r="G604" s="81" t="str">
        <x:v>—</x:v>
      </x:c>
      <x:c r="H604" s="81" t="str">
        <x:v>—</x:v>
      </x:c>
      <x:c r="I604" s="81" t="str">
        <x:v>—</x:v>
      </x:c>
      <x:c r="J604" s="81" t="str">
        <x:v>—</x:v>
      </x:c>
      <x:c r="K604" s="81" t="str">
        <x:v>—</x:v>
      </x:c>
      <x:c r="L604" s="81" t="str">
        <x:v>—</x:v>
      </x:c>
      <x:c r="M604" s="81" t="str">
        <x:v>동굴1</x:v>
      </x:c>
      <x:c r="N604" s="81" t="str">
        <x:v>도시1</x:v>
      </x:c>
      <x:c r="O604" s="81" t="str">
        <x:v>—</x:v>
      </x:c>
      <x:c r="P604" s="81" t="str">
        <x:v>—</x:v>
      </x:c>
      <x:c r="Q604" s="81" t="str">
        <x:v>—</x:v>
      </x:c>
      <x:c r="R604" s="81" t="str">
        <x:v>—</x:v>
      </x:c>
      <x:c r="S604" s="81" t="str">
        <x:v>동굴1</x:v>
      </x:c>
      <x:c r="T604" s="81" t="str">
        <x:v>도시1</x:v>
      </x:c>
      <x:c r="U604" s="81" t="str">
        <x:v>—</x:v>
      </x:c>
      <x:c r="V604" s="81" t="str">
        <x:v>—</x:v>
      </x:c>
    </x:row>
    <x:row r="605">
      <x:c r="A605" s="80" t="n">
        <x:v>601</x:v>
      </x:c>
      <x:c r="B605" s="80" t="str">
        <x:v>기기기어르</x:v>
      </x:c>
      <x:c r="C605" s="80" t="str">
        <x:v>klinklang</x:v>
      </x:c>
      <x:c r="D605" s="80" t="str">
        <x:v>동굴</x:v>
      </x:c>
      <x:c r="E605" s="81" t="str">
        <x:v>—</x:v>
      </x:c>
      <x:c r="F605" s="81" t="str">
        <x:v>—</x:v>
      </x:c>
      <x:c r="G605" s="81" t="str">
        <x:v>—</x:v>
      </x:c>
      <x:c r="H605" s="81" t="str">
        <x:v>—</x:v>
      </x:c>
      <x:c r="I605" s="81" t="str">
        <x:v>—</x:v>
      </x:c>
      <x:c r="J605" s="81" t="str">
        <x:v>—</x:v>
      </x:c>
      <x:c r="K605" s="81" t="str">
        <x:v>—</x:v>
      </x:c>
      <x:c r="L605" s="81" t="str">
        <x:v>—</x:v>
      </x:c>
      <x:c r="M605" s="81" t="str">
        <x:v>동굴1</x:v>
      </x:c>
      <x:c r="N605" s="81" t="str">
        <x:v>도시1</x:v>
      </x:c>
      <x:c r="O605" s="81" t="str">
        <x:v>—</x:v>
      </x:c>
      <x:c r="P605" s="81" t="str">
        <x:v>—</x:v>
      </x:c>
      <x:c r="Q605" s="81" t="str">
        <x:v>—</x:v>
      </x:c>
      <x:c r="R605" s="81" t="str">
        <x:v>—</x:v>
      </x:c>
      <x:c r="S605" s="81" t="str">
        <x:v>동굴1</x:v>
      </x:c>
      <x:c r="T605" s="81" t="str">
        <x:v>도시1</x:v>
      </x:c>
      <x:c r="U605" s="81" t="str">
        <x:v>—</x:v>
      </x:c>
      <x:c r="V605" s="81" t="str">
        <x:v>—</x:v>
      </x:c>
    </x:row>
    <x:row r="606">
      <x:c r="A606" s="80" t="n">
        <x:v>602</x:v>
      </x:c>
      <x:c r="B606" s="80" t="str">
        <x:v>저리어</x:v>
      </x:c>
      <x:c r="C606" s="80" t="str">
        <x:v>tynamo</x:v>
      </x:c>
      <x:c r="D606" s="80" t="str">
        <x:v>해양</x:v>
      </x:c>
      <x:c r="E606" s="81" t="str">
        <x:v>—</x:v>
      </x:c>
      <x:c r="F606" s="81" t="str">
        <x:v>—</x:v>
      </x:c>
      <x:c r="G606" s="81" t="str">
        <x:v>—</x:v>
      </x:c>
      <x:c r="H606" s="81" t="str">
        <x:v>—</x:v>
      </x:c>
      <x:c r="I606" s="81" t="str">
        <x:v>—</x:v>
      </x:c>
      <x:c r="J606" s="81" t="str">
        <x:v>—</x:v>
      </x:c>
      <x:c r="K606" s="81" t="str">
        <x:v>—</x:v>
      </x:c>
      <x:c r="L606" s="81" t="str">
        <x:v>—</x:v>
      </x:c>
      <x:c r="M606" s="81" t="str">
        <x:v>해양1</x:v>
      </x:c>
      <x:c r="N606" s="81" t="str">
        <x:v>담수2</x:v>
      </x:c>
      <x:c r="O606" s="81" t="str">
        <x:v>—</x:v>
      </x:c>
      <x:c r="P606" s="81" t="str">
        <x:v>—</x:v>
      </x:c>
      <x:c r="Q606" s="81" t="str">
        <x:v>—</x:v>
      </x:c>
      <x:c r="R606" s="81" t="str">
        <x:v>—</x:v>
      </x:c>
      <x:c r="S606" s="81" t="str">
        <x:v>—</x:v>
      </x:c>
      <x:c r="T606" s="81" t="str">
        <x:v>—</x:v>
      </x:c>
      <x:c r="U606" s="81" t="str">
        <x:v>해양2</x:v>
      </x:c>
      <x:c r="V606" s="81" t="str">
        <x:v>담수2</x:v>
      </x:c>
    </x:row>
    <x:row r="607">
      <x:c r="A607" s="80" t="n">
        <x:v>603</x:v>
      </x:c>
      <x:c r="B607" s="80" t="str">
        <x:v>저리릴</x:v>
      </x:c>
      <x:c r="C607" s="80" t="str">
        <x:v>eelektrik</x:v>
      </x:c>
      <x:c r="D607" s="80" t="str">
        <x:v>해양</x:v>
      </x:c>
      <x:c r="E607" s="81" t="str">
        <x:v>—</x:v>
      </x:c>
      <x:c r="F607" s="81" t="str">
        <x:v>—</x:v>
      </x:c>
      <x:c r="G607" s="81" t="str">
        <x:v>—</x:v>
      </x:c>
      <x:c r="H607" s="81" t="str">
        <x:v>—</x:v>
      </x:c>
      <x:c r="I607" s="81" t="str">
        <x:v>—</x:v>
      </x:c>
      <x:c r="J607" s="81" t="str">
        <x:v>—</x:v>
      </x:c>
      <x:c r="K607" s="81" t="str">
        <x:v>—</x:v>
      </x:c>
      <x:c r="L607" s="81" t="str">
        <x:v>—</x:v>
      </x:c>
      <x:c r="M607" s="81" t="str">
        <x:v>해양1</x:v>
      </x:c>
      <x:c r="N607" s="81" t="str">
        <x:v>담수2</x:v>
      </x:c>
      <x:c r="O607" s="81" t="str">
        <x:v>—</x:v>
      </x:c>
      <x:c r="P607" s="81" t="str">
        <x:v>—</x:v>
      </x:c>
      <x:c r="Q607" s="81" t="str">
        <x:v>—</x:v>
      </x:c>
      <x:c r="R607" s="81" t="str">
        <x:v>—</x:v>
      </x:c>
      <x:c r="S607" s="81" t="str">
        <x:v>—</x:v>
      </x:c>
      <x:c r="T607" s="81" t="str">
        <x:v>—</x:v>
      </x:c>
      <x:c r="U607" s="81" t="str">
        <x:v>해양2</x:v>
      </x:c>
      <x:c r="V607" s="81" t="str">
        <x:v>담수2</x:v>
      </x:c>
    </x:row>
    <x:row r="608">
      <x:c r="A608" s="80" t="n">
        <x:v>604</x:v>
      </x:c>
      <x:c r="B608" s="80" t="str">
        <x:v>저리더프</x:v>
      </x:c>
      <x:c r="C608" s="80" t="str">
        <x:v>eelektross</x:v>
      </x:c>
      <x:c r="D608" s="80" t="str">
        <x:v>해양</x:v>
      </x:c>
      <x:c r="E608" s="81" t="str">
        <x:v>—</x:v>
      </x:c>
      <x:c r="F608" s="81" t="str">
        <x:v>—</x:v>
      </x:c>
      <x:c r="G608" s="81" t="str">
        <x:v>—</x:v>
      </x:c>
      <x:c r="H608" s="81" t="str">
        <x:v>—</x:v>
      </x:c>
      <x:c r="I608" s="81" t="str">
        <x:v>—</x:v>
      </x:c>
      <x:c r="J608" s="81" t="str">
        <x:v>—</x:v>
      </x:c>
      <x:c r="K608" s="81" t="str">
        <x:v>—</x:v>
      </x:c>
      <x:c r="L608" s="81" t="str">
        <x:v>—</x:v>
      </x:c>
      <x:c r="M608" s="81" t="str">
        <x:v>해양1</x:v>
      </x:c>
      <x:c r="N608" s="81" t="str">
        <x:v>담수2</x:v>
      </x:c>
      <x:c r="O608" s="81" t="str">
        <x:v>—</x:v>
      </x:c>
      <x:c r="P608" s="81" t="str">
        <x:v>—</x:v>
      </x:c>
      <x:c r="Q608" s="81" t="str">
        <x:v>—</x:v>
      </x:c>
      <x:c r="R608" s="81" t="str">
        <x:v>—</x:v>
      </x:c>
      <x:c r="S608" s="81" t="str">
        <x:v>—</x:v>
      </x:c>
      <x:c r="T608" s="81" t="str">
        <x:v>—</x:v>
      </x:c>
      <x:c r="U608" s="81" t="str">
        <x:v>해양2</x:v>
      </x:c>
      <x:c r="V608" s="81" t="str">
        <x:v>담수2</x:v>
      </x:c>
    </x:row>
    <x:row r="609">
      <x:c r="A609" s="80" t="n">
        <x:v>605</x:v>
      </x:c>
      <x:c r="B609" s="80" t="str">
        <x:v>리그레</x:v>
      </x:c>
      <x:c r="C609" s="80" t="str">
        <x:v>elgyem</x:v>
      </x:c>
      <x:c r="D609" s="80" t="str">
        <x:v>평원</x:v>
      </x:c>
      <x:c r="E609" s="81" t="str">
        <x:v>—</x:v>
      </x:c>
      <x:c r="F609" s="81" t="str">
        <x:v>—</x:v>
      </x:c>
      <x:c r="G609" s="81" t="str">
        <x:v>—</x:v>
      </x:c>
      <x:c r="H609" s="81" t="str">
        <x:v>—</x:v>
      </x:c>
      <x:c r="I609" s="81" t="str">
        <x:v>—</x:v>
      </x:c>
      <x:c r="J609" s="81" t="str">
        <x:v>—</x:v>
      </x:c>
      <x:c r="K609" s="81" t="str">
        <x:v>—</x:v>
      </x:c>
      <x:c r="L609" s="81" t="str">
        <x:v>—</x:v>
      </x:c>
      <x:c r="M609" s="81" t="str">
        <x:v>평원4</x:v>
      </x:c>
      <x:c r="N609" s="81" t="str">
        <x:v>숲3</x:v>
      </x:c>
      <x:c r="O609" s="81" t="str">
        <x:v>—</x:v>
      </x:c>
      <x:c r="P609" s="81" t="str">
        <x:v>—</x:v>
      </x:c>
      <x:c r="Q609" s="81" t="str">
        <x:v>평원4</x:v>
      </x:c>
      <x:c r="R609" s="81" t="str">
        <x:v>숲3</x:v>
      </x:c>
      <x:c r="S609" s="81" t="str">
        <x:v>평원4</x:v>
      </x:c>
      <x:c r="T609" s="81" t="str">
        <x:v>숲4</x:v>
      </x:c>
      <x:c r="U609" s="81" t="str">
        <x:v>—</x:v>
      </x:c>
      <x:c r="V609" s="81" t="str">
        <x:v>—</x:v>
      </x:c>
    </x:row>
    <x:row r="610">
      <x:c r="A610" s="80" t="n">
        <x:v>606</x:v>
      </x:c>
      <x:c r="B610" s="80" t="str">
        <x:v>벰크</x:v>
      </x:c>
      <x:c r="C610" s="80" t="str">
        <x:v>beheeyem</x:v>
      </x:c>
      <x:c r="D610" s="80" t="str">
        <x:v>평원</x:v>
      </x:c>
      <x:c r="E610" s="81" t="str">
        <x:v>—</x:v>
      </x:c>
      <x:c r="F610" s="81" t="str">
        <x:v>—</x:v>
      </x:c>
      <x:c r="G610" s="81" t="str">
        <x:v>—</x:v>
      </x:c>
      <x:c r="H610" s="81" t="str">
        <x:v>—</x:v>
      </x:c>
      <x:c r="I610" s="81" t="str">
        <x:v>—</x:v>
      </x:c>
      <x:c r="J610" s="81" t="str">
        <x:v>—</x:v>
      </x:c>
      <x:c r="K610" s="81" t="str">
        <x:v>—</x:v>
      </x:c>
      <x:c r="L610" s="81" t="str">
        <x:v>—</x:v>
      </x:c>
      <x:c r="M610" s="81" t="str">
        <x:v>평원4</x:v>
      </x:c>
      <x:c r="N610" s="81" t="str">
        <x:v>숲3</x:v>
      </x:c>
      <x:c r="O610" s="81" t="str">
        <x:v>—</x:v>
      </x:c>
      <x:c r="P610" s="81" t="str">
        <x:v>—</x:v>
      </x:c>
      <x:c r="Q610" s="81" t="str">
        <x:v>평원4</x:v>
      </x:c>
      <x:c r="R610" s="81" t="str">
        <x:v>숲3</x:v>
      </x:c>
      <x:c r="S610" s="81" t="str">
        <x:v>평원4</x:v>
      </x:c>
      <x:c r="T610" s="81" t="str">
        <x:v>숲4</x:v>
      </x:c>
      <x:c r="U610" s="81" t="str">
        <x:v>—</x:v>
      </x:c>
      <x:c r="V610" s="81" t="str">
        <x:v>—</x:v>
      </x:c>
    </x:row>
    <x:row r="611">
      <x:c r="A611" s="80" t="n">
        <x:v>607</x:v>
      </x:c>
      <x:c r="B611" s="80" t="str">
        <x:v>불켜미</x:v>
      </x:c>
      <x:c r="C611" s="80" t="str">
        <x:v>litwick</x:v>
      </x:c>
      <x:c r="D611" s="80" t="str">
        <x:v>화산</x:v>
      </x:c>
      <x:c r="E611" s="81" t="str">
        <x:v>—</x:v>
      </x:c>
      <x:c r="F611" s="81" t="str">
        <x:v>—</x:v>
      </x:c>
      <x:c r="G611" s="81" t="str">
        <x:v>—</x:v>
      </x:c>
      <x:c r="H611" s="81" t="str">
        <x:v>—</x:v>
      </x:c>
      <x:c r="I611" s="81" t="str">
        <x:v>—</x:v>
      </x:c>
      <x:c r="J611" s="81" t="str">
        <x:v>—</x:v>
      </x:c>
      <x:c r="K611" s="81" t="str">
        <x:v>—</x:v>
      </x:c>
      <x:c r="L611" s="81" t="str">
        <x:v>—</x:v>
      </x:c>
      <x:c r="M611" s="81" t="str">
        <x:v>화산2</x:v>
      </x:c>
      <x:c r="N611" s="81" t="str">
        <x:v>특수1</x:v>
      </x:c>
      <x:c r="O611" s="81" t="str">
        <x:v>화산2</x:v>
      </x:c>
      <x:c r="P611" s="81" t="str">
        <x:v>특수1</x:v>
      </x:c>
      <x:c r="Q611" s="81" t="str">
        <x:v>—</x:v>
      </x:c>
      <x:c r="R611" s="81" t="str">
        <x:v>—</x:v>
      </x:c>
      <x:c r="S611" s="81" t="str">
        <x:v>화산2</x:v>
      </x:c>
      <x:c r="T611" s="81" t="str">
        <x:v>특수1</x:v>
      </x:c>
      <x:c r="U611" s="81" t="str">
        <x:v>화산2</x:v>
      </x:c>
      <x:c r="V611" s="81" t="str">
        <x:v>특수1</x:v>
      </x:c>
    </x:row>
    <x:row r="612">
      <x:c r="A612" s="80" t="n">
        <x:v>608</x:v>
      </x:c>
      <x:c r="B612" s="80" t="str">
        <x:v>램프라</x:v>
      </x:c>
      <x:c r="C612" s="80" t="str">
        <x:v>lampent</x:v>
      </x:c>
      <x:c r="D612" s="80" t="str">
        <x:v>화산</x:v>
      </x:c>
      <x:c r="E612" s="81" t="str">
        <x:v>—</x:v>
      </x:c>
      <x:c r="F612" s="81" t="str">
        <x:v>—</x:v>
      </x:c>
      <x:c r="G612" s="81" t="str">
        <x:v>—</x:v>
      </x:c>
      <x:c r="H612" s="81" t="str">
        <x:v>—</x:v>
      </x:c>
      <x:c r="I612" s="81" t="str">
        <x:v>—</x:v>
      </x:c>
      <x:c r="J612" s="81" t="str">
        <x:v>—</x:v>
      </x:c>
      <x:c r="K612" s="81" t="str">
        <x:v>—</x:v>
      </x:c>
      <x:c r="L612" s="81" t="str">
        <x:v>—</x:v>
      </x:c>
      <x:c r="M612" s="81" t="str">
        <x:v>화산2</x:v>
      </x:c>
      <x:c r="N612" s="81" t="str">
        <x:v>특수1</x:v>
      </x:c>
      <x:c r="O612" s="81" t="str">
        <x:v>화산2</x:v>
      </x:c>
      <x:c r="P612" s="81" t="str">
        <x:v>특수1</x:v>
      </x:c>
      <x:c r="Q612" s="81" t="str">
        <x:v>—</x:v>
      </x:c>
      <x:c r="R612" s="81" t="str">
        <x:v>—</x:v>
      </x:c>
      <x:c r="S612" s="81" t="str">
        <x:v>화산2</x:v>
      </x:c>
      <x:c r="T612" s="81" t="str">
        <x:v>특수2</x:v>
      </x:c>
      <x:c r="U612" s="81" t="str">
        <x:v>화산2</x:v>
      </x:c>
      <x:c r="V612" s="81" t="str">
        <x:v>특수1</x:v>
      </x:c>
    </x:row>
    <x:row r="613">
      <x:c r="A613" s="80" t="n">
        <x:v>609</x:v>
      </x:c>
      <x:c r="B613" s="80" t="str">
        <x:v>샹델라</x:v>
      </x:c>
      <x:c r="C613" s="80" t="str">
        <x:v>chandelure</x:v>
      </x:c>
      <x:c r="D613" s="80" t="str">
        <x:v>화산</x:v>
      </x:c>
      <x:c r="E613" s="81" t="str">
        <x:v>—</x:v>
      </x:c>
      <x:c r="F613" s="81" t="str">
        <x:v>—</x:v>
      </x:c>
      <x:c r="G613" s="81" t="str">
        <x:v>—</x:v>
      </x:c>
      <x:c r="H613" s="81" t="str">
        <x:v>—</x:v>
      </x:c>
      <x:c r="I613" s="81" t="str">
        <x:v>—</x:v>
      </x:c>
      <x:c r="J613" s="81" t="str">
        <x:v>—</x:v>
      </x:c>
      <x:c r="K613" s="81" t="str">
        <x:v>—</x:v>
      </x:c>
      <x:c r="L613" s="81" t="str">
        <x:v>—</x:v>
      </x:c>
      <x:c r="M613" s="81" t="str">
        <x:v>화산2</x:v>
      </x:c>
      <x:c r="N613" s="81" t="str">
        <x:v>특수1</x:v>
      </x:c>
      <x:c r="O613" s="81" t="str">
        <x:v>화산2</x:v>
      </x:c>
      <x:c r="P613" s="81" t="str">
        <x:v>특수1</x:v>
      </x:c>
      <x:c r="Q613" s="81" t="str">
        <x:v>—</x:v>
      </x:c>
      <x:c r="R613" s="81" t="str">
        <x:v>—</x:v>
      </x:c>
      <x:c r="S613" s="81" t="str">
        <x:v>화산2</x:v>
      </x:c>
      <x:c r="T613" s="81" t="str">
        <x:v>특수2</x:v>
      </x:c>
      <x:c r="U613" s="81" t="str">
        <x:v>화산2</x:v>
      </x:c>
      <x:c r="V613" s="81" t="str">
        <x:v>특수1</x:v>
      </x:c>
    </x:row>
    <x:row r="614">
      <x:c r="A614" s="80" t="n">
        <x:v>610</x:v>
      </x:c>
      <x:c r="B614" s="80" t="str">
        <x:v>터검니</x:v>
      </x:c>
      <x:c r="C614" s="80" t="str">
        <x:v>axew</x:v>
      </x:c>
      <x:c r="D614" s="80" t="str">
        <x:v>산악</x:v>
      </x:c>
      <x:c r="E614" s="81" t="str">
        <x:v>—</x:v>
      </x:c>
      <x:c r="F614" s="81" t="str">
        <x:v>—</x:v>
      </x:c>
      <x:c r="G614" s="81" t="str">
        <x:v>—</x:v>
      </x:c>
      <x:c r="H614" s="81" t="str">
        <x:v>—</x:v>
      </x:c>
      <x:c r="I614" s="81" t="str">
        <x:v>—</x:v>
      </x:c>
      <x:c r="J614" s="81" t="str">
        <x:v>—</x:v>
      </x:c>
      <x:c r="K614" s="81" t="str">
        <x:v>—</x:v>
      </x:c>
      <x:c r="L614" s="81" t="str">
        <x:v>—</x:v>
      </x:c>
      <x:c r="M614" s="81" t="str">
        <x:v>산악2</x:v>
      </x:c>
      <x:c r="N614" s="81" t="str">
        <x:v>평원4</x:v>
      </x:c>
      <x:c r="O614" s="81" t="str">
        <x:v>산악3</x:v>
      </x:c>
      <x:c r="P614" s="81" t="str">
        <x:v>평원5</x:v>
      </x:c>
      <x:c r="Q614" s="81" t="str">
        <x:v>—</x:v>
      </x:c>
      <x:c r="R614" s="81" t="str">
        <x:v>—</x:v>
      </x:c>
      <x:c r="S614" s="81" t="str">
        <x:v>산악3</x:v>
      </x:c>
      <x:c r="T614" s="81" t="str">
        <x:v>평원4</x:v>
      </x:c>
      <x:c r="U614" s="81" t="str">
        <x:v>산악3</x:v>
      </x:c>
      <x:c r="V614" s="81" t="str">
        <x:v>평원5</x:v>
      </x:c>
    </x:row>
    <x:row r="615">
      <x:c r="A615" s="80" t="n">
        <x:v>611</x:v>
      </x:c>
      <x:c r="B615" s="80" t="str">
        <x:v>액슨도</x:v>
      </x:c>
      <x:c r="C615" s="80" t="str">
        <x:v>fraxure</x:v>
      </x:c>
      <x:c r="D615" s="80" t="str">
        <x:v>산악</x:v>
      </x:c>
      <x:c r="E615" s="81" t="str">
        <x:v>—</x:v>
      </x:c>
      <x:c r="F615" s="81" t="str">
        <x:v>—</x:v>
      </x:c>
      <x:c r="G615" s="81" t="str">
        <x:v>—</x:v>
      </x:c>
      <x:c r="H615" s="81" t="str">
        <x:v>—</x:v>
      </x:c>
      <x:c r="I615" s="81" t="str">
        <x:v>—</x:v>
      </x:c>
      <x:c r="J615" s="81" t="str">
        <x:v>—</x:v>
      </x:c>
      <x:c r="K615" s="81" t="str">
        <x:v>—</x:v>
      </x:c>
      <x:c r="L615" s="81" t="str">
        <x:v>—</x:v>
      </x:c>
      <x:c r="M615" s="81" t="str">
        <x:v>산악2</x:v>
      </x:c>
      <x:c r="N615" s="81" t="str">
        <x:v>평원4</x:v>
      </x:c>
      <x:c r="O615" s="81" t="str">
        <x:v>산악3</x:v>
      </x:c>
      <x:c r="P615" s="81" t="str">
        <x:v>평원5</x:v>
      </x:c>
      <x:c r="Q615" s="81" t="str">
        <x:v>—</x:v>
      </x:c>
      <x:c r="R615" s="81" t="str">
        <x:v>—</x:v>
      </x:c>
      <x:c r="S615" s="81" t="str">
        <x:v>산악3</x:v>
      </x:c>
      <x:c r="T615" s="81" t="str">
        <x:v>평원5</x:v>
      </x:c>
      <x:c r="U615" s="81" t="str">
        <x:v>산악3</x:v>
      </x:c>
      <x:c r="V615" s="81" t="str">
        <x:v>평원5</x:v>
      </x:c>
    </x:row>
    <x:row r="616">
      <x:c r="A616" s="80" t="n">
        <x:v>612</x:v>
      </x:c>
      <x:c r="B616" s="80" t="str">
        <x:v>액스라이즈</x:v>
      </x:c>
      <x:c r="C616" s="80" t="str">
        <x:v>haxorus</x:v>
      </x:c>
      <x:c r="D616" s="80" t="str">
        <x:v>산악</x:v>
      </x:c>
      <x:c r="E616" s="81" t="str">
        <x:v>—</x:v>
      </x:c>
      <x:c r="F616" s="81" t="str">
        <x:v>—</x:v>
      </x:c>
      <x:c r="G616" s="81" t="str">
        <x:v>—</x:v>
      </x:c>
      <x:c r="H616" s="81" t="str">
        <x:v>—</x:v>
      </x:c>
      <x:c r="I616" s="81" t="str">
        <x:v>—</x:v>
      </x:c>
      <x:c r="J616" s="81" t="str">
        <x:v>—</x:v>
      </x:c>
      <x:c r="K616" s="81" t="str">
        <x:v>—</x:v>
      </x:c>
      <x:c r="L616" s="81" t="str">
        <x:v>—</x:v>
      </x:c>
      <x:c r="M616" s="81" t="str">
        <x:v>산악2</x:v>
      </x:c>
      <x:c r="N616" s="81" t="str">
        <x:v>평원4</x:v>
      </x:c>
      <x:c r="O616" s="81" t="str">
        <x:v>산악3</x:v>
      </x:c>
      <x:c r="P616" s="81" t="str">
        <x:v>평원5</x:v>
      </x:c>
      <x:c r="Q616" s="81" t="str">
        <x:v>—</x:v>
      </x:c>
      <x:c r="R616" s="81" t="str">
        <x:v>—</x:v>
      </x:c>
      <x:c r="S616" s="81" t="str">
        <x:v>산악3</x:v>
      </x:c>
      <x:c r="T616" s="81" t="str">
        <x:v>평원5</x:v>
      </x:c>
      <x:c r="U616" s="81" t="str">
        <x:v>산악3</x:v>
      </x:c>
      <x:c r="V616" s="81" t="str">
        <x:v>평원5</x:v>
      </x:c>
    </x:row>
    <x:row r="617">
      <x:c r="A617" s="80" t="n">
        <x:v>613</x:v>
      </x:c>
      <x:c r="B617" s="80" t="str">
        <x:v>코고미</x:v>
      </x:c>
      <x:c r="C617" s="80" t="str">
        <x:v>cubchoo</x:v>
      </x:c>
      <x:c r="D617" s="80" t="str">
        <x:v>설원</x:v>
      </x:c>
      <x:c r="E617" s="81" t="str">
        <x:v>—</x:v>
      </x:c>
      <x:c r="F617" s="81" t="str">
        <x:v>—</x:v>
      </x:c>
      <x:c r="G617" s="81" t="str">
        <x:v>—</x:v>
      </x:c>
      <x:c r="H617" s="81" t="str">
        <x:v>—</x:v>
      </x:c>
      <x:c r="I617" s="81" t="str">
        <x:v>—</x:v>
      </x:c>
      <x:c r="J617" s="81" t="str">
        <x:v>—</x:v>
      </x:c>
      <x:c r="K617" s="81" t="str">
        <x:v>—</x:v>
      </x:c>
      <x:c r="L617" s="81" t="str">
        <x:v>—</x:v>
      </x:c>
      <x:c r="M617" s="81" t="str">
        <x:v>설원1</x:v>
      </x:c>
      <x:c r="N617" s="81" t="str">
        <x:v>평원4</x:v>
      </x:c>
      <x:c r="O617" s="81" t="str">
        <x:v>설원1</x:v>
      </x:c>
      <x:c r="P617" s="81" t="str">
        <x:v>평원5</x:v>
      </x:c>
      <x:c r="Q617" s="81" t="str">
        <x:v>—</x:v>
      </x:c>
      <x:c r="R617" s="81" t="str">
        <x:v>—</x:v>
      </x:c>
      <x:c r="S617" s="81" t="str">
        <x:v>설원1</x:v>
      </x:c>
      <x:c r="T617" s="81" t="str">
        <x:v>평원5</x:v>
      </x:c>
      <x:c r="U617" s="81" t="str">
        <x:v>설원1</x:v>
      </x:c>
      <x:c r="V617" s="81" t="str">
        <x:v>평원5</x:v>
      </x:c>
    </x:row>
    <x:row r="618">
      <x:c r="A618" s="80" t="n">
        <x:v>614</x:v>
      </x:c>
      <x:c r="B618" s="80" t="str">
        <x:v>툰베어</x:v>
      </x:c>
      <x:c r="C618" s="80" t="str">
        <x:v>beartic</x:v>
      </x:c>
      <x:c r="D618" s="80" t="str">
        <x:v>설원</x:v>
      </x:c>
      <x:c r="E618" s="81" t="str">
        <x:v>—</x:v>
      </x:c>
      <x:c r="F618" s="81" t="str">
        <x:v>—</x:v>
      </x:c>
      <x:c r="G618" s="81" t="str">
        <x:v>—</x:v>
      </x:c>
      <x:c r="H618" s="81" t="str">
        <x:v>—</x:v>
      </x:c>
      <x:c r="I618" s="81" t="str">
        <x:v>—</x:v>
      </x:c>
      <x:c r="J618" s="81" t="str">
        <x:v>—</x:v>
      </x:c>
      <x:c r="K618" s="81" t="str">
        <x:v>—</x:v>
      </x:c>
      <x:c r="L618" s="81" t="str">
        <x:v>—</x:v>
      </x:c>
      <x:c r="M618" s="81" t="str">
        <x:v>설원1</x:v>
      </x:c>
      <x:c r="N618" s="81" t="str">
        <x:v>평원4</x:v>
      </x:c>
      <x:c r="O618" s="81" t="str">
        <x:v>설원1</x:v>
      </x:c>
      <x:c r="P618" s="81" t="str">
        <x:v>평원5</x:v>
      </x:c>
      <x:c r="Q618" s="81" t="str">
        <x:v>—</x:v>
      </x:c>
      <x:c r="R618" s="81" t="str">
        <x:v>—</x:v>
      </x:c>
      <x:c r="S618" s="81" t="str">
        <x:v>설원1</x:v>
      </x:c>
      <x:c r="T618" s="81" t="str">
        <x:v>평원5</x:v>
      </x:c>
      <x:c r="U618" s="81" t="str">
        <x:v>설원1</x:v>
      </x:c>
      <x:c r="V618" s="81" t="str">
        <x:v>평원5</x:v>
      </x:c>
    </x:row>
    <x:row r="619">
      <x:c r="A619" s="80" t="n">
        <x:v>615</x:v>
      </x:c>
      <x:c r="B619" s="80" t="str">
        <x:v>프리지오</x:v>
      </x:c>
      <x:c r="C619" s="80" t="str">
        <x:v>cryogonal</x:v>
      </x:c>
      <x:c r="D619" s="80" t="str">
        <x:v>화산</x:v>
      </x:c>
      <x:c r="E619" s="81" t="str">
        <x:v>—</x:v>
      </x:c>
      <x:c r="F619" s="81" t="str">
        <x:v>—</x:v>
      </x:c>
      <x:c r="G619" s="81" t="str">
        <x:v>—</x:v>
      </x:c>
      <x:c r="H619" s="81" t="str">
        <x:v>—</x:v>
      </x:c>
      <x:c r="I619" s="81" t="str">
        <x:v>—</x:v>
      </x:c>
      <x:c r="J619" s="81" t="str">
        <x:v>—</x:v>
      </x:c>
      <x:c r="K619" s="81" t="str">
        <x:v>—</x:v>
      </x:c>
      <x:c r="L619" s="81" t="str">
        <x:v>—</x:v>
      </x:c>
      <x:c r="M619" s="81" t="str">
        <x:v>화산2</x:v>
      </x:c>
      <x:c r="N619" s="81" t="str">
        <x:v>산악2</x:v>
      </x:c>
      <x:c r="O619" s="81" t="str">
        <x:v>화산2</x:v>
      </x:c>
      <x:c r="P619" s="81" t="str">
        <x:v>산악3</x:v>
      </x:c>
      <x:c r="Q619" s="81" t="str">
        <x:v>—</x:v>
      </x:c>
      <x:c r="R619" s="81" t="str">
        <x:v>—</x:v>
      </x:c>
      <x:c r="S619" s="81" t="str">
        <x:v>화산2</x:v>
      </x:c>
      <x:c r="T619" s="81" t="str">
        <x:v>산악3</x:v>
      </x:c>
      <x:c r="U619" s="81" t="str">
        <x:v>화산2</x:v>
      </x:c>
      <x:c r="V619" s="81" t="str">
        <x:v>산악3</x:v>
      </x:c>
    </x:row>
    <x:row r="620">
      <x:c r="A620" s="80" t="n">
        <x:v>616</x:v>
      </x:c>
      <x:c r="B620" s="80" t="str">
        <x:v>쪼마리</x:v>
      </x:c>
      <x:c r="C620" s="80" t="str">
        <x:v>shelmet</x:v>
      </x:c>
      <x:c r="D620" s="80" t="str">
        <x:v>습지</x:v>
      </x:c>
      <x:c r="E620" s="81" t="str">
        <x:v>—</x:v>
      </x:c>
      <x:c r="F620" s="81" t="str">
        <x:v>—</x:v>
      </x:c>
      <x:c r="G620" s="81" t="str">
        <x:v>—</x:v>
      </x:c>
      <x:c r="H620" s="81" t="str">
        <x:v>—</x:v>
      </x:c>
      <x:c r="I620" s="81" t="str">
        <x:v>—</x:v>
      </x:c>
      <x:c r="J620" s="81" t="str">
        <x:v>—</x:v>
      </x:c>
      <x:c r="K620" s="81" t="str">
        <x:v>—</x:v>
      </x:c>
      <x:c r="L620" s="81" t="str">
        <x:v>—</x:v>
      </x:c>
      <x:c r="M620" s="81" t="str">
        <x:v>습지2</x:v>
      </x:c>
      <x:c r="N620" s="81" t="str">
        <x:v>숲3</x:v>
      </x:c>
      <x:c r="O620" s="81" t="str">
        <x:v>습지3</x:v>
      </x:c>
      <x:c r="P620" s="81" t="str">
        <x:v>숲5</x:v>
      </x:c>
      <x:c r="Q620" s="81" t="str">
        <x:v>—</x:v>
      </x:c>
      <x:c r="R620" s="81" t="str">
        <x:v>—</x:v>
      </x:c>
      <x:c r="S620" s="81" t="str">
        <x:v>습지3</x:v>
      </x:c>
      <x:c r="T620" s="81" t="str">
        <x:v>숲4</x:v>
      </x:c>
      <x:c r="U620" s="81" t="str">
        <x:v>—</x:v>
      </x:c>
      <x:c r="V620" s="81" t="str">
        <x:v>—</x:v>
      </x:c>
    </x:row>
    <x:row r="621">
      <x:c r="A621" s="80" t="n">
        <x:v>617</x:v>
      </x:c>
      <x:c r="B621" s="80" t="str">
        <x:v>어지리더</x:v>
      </x:c>
      <x:c r="C621" s="80" t="str">
        <x:v>accelgor</x:v>
      </x:c>
      <x:c r="D621" s="80" t="str">
        <x:v>습지</x:v>
      </x:c>
      <x:c r="E621" s="81" t="str">
        <x:v>—</x:v>
      </x:c>
      <x:c r="F621" s="81" t="str">
        <x:v>—</x:v>
      </x:c>
      <x:c r="G621" s="81" t="str">
        <x:v>—</x:v>
      </x:c>
      <x:c r="H621" s="81" t="str">
        <x:v>—</x:v>
      </x:c>
      <x:c r="I621" s="81" t="str">
        <x:v>—</x:v>
      </x:c>
      <x:c r="J621" s="81" t="str">
        <x:v>—</x:v>
      </x:c>
      <x:c r="K621" s="81" t="str">
        <x:v>—</x:v>
      </x:c>
      <x:c r="L621" s="81" t="str">
        <x:v>—</x:v>
      </x:c>
      <x:c r="M621" s="81" t="str">
        <x:v>습지2</x:v>
      </x:c>
      <x:c r="N621" s="81" t="str">
        <x:v>숲3</x:v>
      </x:c>
      <x:c r="O621" s="81" t="str">
        <x:v>습지3</x:v>
      </x:c>
      <x:c r="P621" s="81" t="str">
        <x:v>숲5</x:v>
      </x:c>
      <x:c r="Q621" s="81" t="str">
        <x:v>—</x:v>
      </x:c>
      <x:c r="R621" s="81" t="str">
        <x:v>—</x:v>
      </x:c>
      <x:c r="S621" s="81" t="str">
        <x:v>습지3</x:v>
      </x:c>
      <x:c r="T621" s="81" t="str">
        <x:v>숲4</x:v>
      </x:c>
      <x:c r="U621" s="81" t="str">
        <x:v>—</x:v>
      </x:c>
      <x:c r="V621" s="81" t="str">
        <x:v>—</x:v>
      </x:c>
    </x:row>
    <x:row r="622">
      <x:c r="A622" s="80" t="n">
        <x:v>618</x:v>
      </x:c>
      <x:c r="B622" s="80" t="str">
        <x:v>메더</x:v>
      </x:c>
      <x:c r="C622" s="80" t="str">
        <x:v>stunfisk</x:v>
      </x:c>
      <x:c r="D622" s="80" t="str">
        <x:v>습지</x:v>
      </x:c>
      <x:c r="E622" s="81" t="str">
        <x:v>—</x:v>
      </x:c>
      <x:c r="F622" s="81" t="str">
        <x:v>—</x:v>
      </x:c>
      <x:c r="G622" s="81" t="str">
        <x:v>—</x:v>
      </x:c>
      <x:c r="H622" s="81" t="str">
        <x:v>—</x:v>
      </x:c>
      <x:c r="I622" s="81" t="str">
        <x:v>—</x:v>
      </x:c>
      <x:c r="J622" s="81" t="str">
        <x:v>—</x:v>
      </x:c>
      <x:c r="K622" s="81" t="str">
        <x:v>—</x:v>
      </x:c>
      <x:c r="L622" s="81" t="str">
        <x:v>—</x:v>
      </x:c>
      <x:c r="M622" s="81" t="str">
        <x:v>습지2</x:v>
      </x:c>
      <x:c r="N622" s="81" t="str">
        <x:v>숲3</x:v>
      </x:c>
      <x:c r="O622" s="81" t="str">
        <x:v>습지3</x:v>
      </x:c>
      <x:c r="P622" s="81" t="str">
        <x:v>숲5</x:v>
      </x:c>
      <x:c r="Q622" s="81" t="str">
        <x:v>—</x:v>
      </x:c>
      <x:c r="R622" s="81" t="str">
        <x:v>—</x:v>
      </x:c>
      <x:c r="S622" s="81" t="str">
        <x:v>습지3</x:v>
      </x:c>
      <x:c r="T622" s="81" t="str">
        <x:v>숲4</x:v>
      </x:c>
      <x:c r="U622" s="81" t="str">
        <x:v>—</x:v>
      </x:c>
      <x:c r="V622" s="81" t="str">
        <x:v>—</x:v>
      </x:c>
    </x:row>
    <x:row r="623">
      <x:c r="A623" s="80" t="n">
        <x:v>619</x:v>
      </x:c>
      <x:c r="B623" s="80" t="str">
        <x:v>비조푸</x:v>
      </x:c>
      <x:c r="C623" s="80" t="str">
        <x:v>mienfoo</x:v>
      </x:c>
      <x:c r="D623" s="80" t="str">
        <x:v>산악</x:v>
      </x:c>
      <x:c r="E623" s="81" t="str">
        <x:v>—</x:v>
      </x:c>
      <x:c r="F623" s="81" t="str">
        <x:v>—</x:v>
      </x:c>
      <x:c r="G623" s="81" t="str">
        <x:v>—</x:v>
      </x:c>
      <x:c r="H623" s="81" t="str">
        <x:v>—</x:v>
      </x:c>
      <x:c r="I623" s="81" t="str">
        <x:v>—</x:v>
      </x:c>
      <x:c r="J623" s="81" t="str">
        <x:v>—</x:v>
      </x:c>
      <x:c r="K623" s="81" t="str">
        <x:v>—</x:v>
      </x:c>
      <x:c r="L623" s="81" t="str">
        <x:v>—</x:v>
      </x:c>
      <x:c r="M623" s="81" t="str">
        <x:v>산악2</x:v>
      </x:c>
      <x:c r="N623" s="81" t="str">
        <x:v>평원4</x:v>
      </x:c>
      <x:c r="O623" s="81" t="str">
        <x:v>산악3</x:v>
      </x:c>
      <x:c r="P623" s="81" t="str">
        <x:v>평원5</x:v>
      </x:c>
      <x:c r="Q623" s="81" t="str">
        <x:v>산악3</x:v>
      </x:c>
      <x:c r="R623" s="81" t="str">
        <x:v>평원4</x:v>
      </x:c>
      <x:c r="S623" s="81" t="str">
        <x:v>산악3</x:v>
      </x:c>
      <x:c r="T623" s="81" t="str">
        <x:v>평원5</x:v>
      </x:c>
      <x:c r="U623" s="81" t="str">
        <x:v>산악3</x:v>
      </x:c>
      <x:c r="V623" s="81" t="str">
        <x:v>평원5</x:v>
      </x:c>
    </x:row>
    <x:row r="624">
      <x:c r="A624" s="80" t="n">
        <x:v>620</x:v>
      </x:c>
      <x:c r="B624" s="80" t="str">
        <x:v>비조도</x:v>
      </x:c>
      <x:c r="C624" s="80" t="str">
        <x:v>mienshao</x:v>
      </x:c>
      <x:c r="D624" s="80" t="str">
        <x:v>산악</x:v>
      </x:c>
      <x:c r="E624" s="81" t="str">
        <x:v>—</x:v>
      </x:c>
      <x:c r="F624" s="81" t="str">
        <x:v>—</x:v>
      </x:c>
      <x:c r="G624" s="81" t="str">
        <x:v>—</x:v>
      </x:c>
      <x:c r="H624" s="81" t="str">
        <x:v>—</x:v>
      </x:c>
      <x:c r="I624" s="81" t="str">
        <x:v>—</x:v>
      </x:c>
      <x:c r="J624" s="81" t="str">
        <x:v>—</x:v>
      </x:c>
      <x:c r="K624" s="81" t="str">
        <x:v>—</x:v>
      </x:c>
      <x:c r="L624" s="81" t="str">
        <x:v>—</x:v>
      </x:c>
      <x:c r="M624" s="81" t="str">
        <x:v>산악2</x:v>
      </x:c>
      <x:c r="N624" s="81" t="str">
        <x:v>평원4</x:v>
      </x:c>
      <x:c r="O624" s="81" t="str">
        <x:v>산악3</x:v>
      </x:c>
      <x:c r="P624" s="81" t="str">
        <x:v>평원5</x:v>
      </x:c>
      <x:c r="Q624" s="81" t="str">
        <x:v>산악3</x:v>
      </x:c>
      <x:c r="R624" s="81" t="str">
        <x:v>평원4</x:v>
      </x:c>
      <x:c r="S624" s="81" t="str">
        <x:v>산악3</x:v>
      </x:c>
      <x:c r="T624" s="81" t="str">
        <x:v>평원5</x:v>
      </x:c>
      <x:c r="U624" s="81" t="str">
        <x:v>산악3</x:v>
      </x:c>
      <x:c r="V624" s="81" t="str">
        <x:v>평원5</x:v>
      </x:c>
    </x:row>
    <x:row r="625">
      <x:c r="A625" s="80" t="n">
        <x:v>621</x:v>
      </x:c>
      <x:c r="B625" s="80" t="str">
        <x:v>크리만</x:v>
      </x:c>
      <x:c r="C625" s="80" t="str">
        <x:v>druddigon</x:v>
      </x:c>
      <x:c r="D625" s="80" t="str">
        <x:v>산악</x:v>
      </x:c>
      <x:c r="E625" s="81" t="str">
        <x:v>—</x:v>
      </x:c>
      <x:c r="F625" s="81" t="str">
        <x:v>—</x:v>
      </x:c>
      <x:c r="G625" s="81" t="str">
        <x:v>—</x:v>
      </x:c>
      <x:c r="H625" s="81" t="str">
        <x:v>—</x:v>
      </x:c>
      <x:c r="I625" s="81" t="str">
        <x:v>—</x:v>
      </x:c>
      <x:c r="J625" s="81" t="str">
        <x:v>—</x:v>
      </x:c>
      <x:c r="K625" s="81" t="str">
        <x:v>—</x:v>
      </x:c>
      <x:c r="L625" s="81" t="str">
        <x:v>—</x:v>
      </x:c>
      <x:c r="M625" s="81" t="str">
        <x:v>산악2</x:v>
      </x:c>
      <x:c r="N625" s="81" t="str">
        <x:v>평원4</x:v>
      </x:c>
      <x:c r="O625" s="81" t="str">
        <x:v>산악3</x:v>
      </x:c>
      <x:c r="P625" s="81" t="str">
        <x:v>평원5</x:v>
      </x:c>
      <x:c r="Q625" s="81" t="str">
        <x:v>산악3</x:v>
      </x:c>
      <x:c r="R625" s="81" t="str">
        <x:v>평원4</x:v>
      </x:c>
      <x:c r="S625" s="81" t="str">
        <x:v>산악3</x:v>
      </x:c>
      <x:c r="T625" s="81" t="str">
        <x:v>평원5</x:v>
      </x:c>
      <x:c r="U625" s="81" t="str">
        <x:v>—</x:v>
      </x:c>
      <x:c r="V625" s="81" t="str">
        <x:v>—</x:v>
      </x:c>
    </x:row>
    <x:row r="626">
      <x:c r="A626" s="80" t="n">
        <x:v>622</x:v>
      </x:c>
      <x:c r="B626" s="80" t="str">
        <x:v>골비람</x:v>
      </x:c>
      <x:c r="C626" s="80" t="str">
        <x:v>golett</x:v>
      </x:c>
      <x:c r="D626" s="80" t="str">
        <x:v>동굴</x:v>
      </x:c>
      <x:c r="E626" s="81" t="str">
        <x:v>—</x:v>
      </x:c>
      <x:c r="F626" s="81" t="str">
        <x:v>—</x:v>
      </x:c>
      <x:c r="G626" s="81" t="str">
        <x:v>—</x:v>
      </x:c>
      <x:c r="H626" s="81" t="str">
        <x:v>—</x:v>
      </x:c>
      <x:c r="I626" s="81" t="str">
        <x:v>—</x:v>
      </x:c>
      <x:c r="J626" s="81" t="str">
        <x:v>—</x:v>
      </x:c>
      <x:c r="K626" s="81" t="str">
        <x:v>—</x:v>
      </x:c>
      <x:c r="L626" s="81" t="str">
        <x:v>—</x:v>
      </x:c>
      <x:c r="M626" s="81" t="str">
        <x:v>동굴1</x:v>
      </x:c>
      <x:c r="N626" s="81" t="str">
        <x:v>특수1</x:v>
      </x:c>
      <x:c r="O626" s="81" t="str">
        <x:v>동굴1</x:v>
      </x:c>
      <x:c r="P626" s="81" t="str">
        <x:v>특수1</x:v>
      </x:c>
      <x:c r="Q626" s="81" t="str">
        <x:v>동굴1</x:v>
      </x:c>
      <x:c r="R626" s="81" t="str">
        <x:v>특수1</x:v>
      </x:c>
      <x:c r="S626" s="81" t="str">
        <x:v>동굴1</x:v>
      </x:c>
      <x:c r="T626" s="81" t="str">
        <x:v>특수2</x:v>
      </x:c>
      <x:c r="U626" s="81" t="str">
        <x:v>동굴1</x:v>
      </x:c>
      <x:c r="V626" s="81" t="str">
        <x:v>특수1</x:v>
      </x:c>
    </x:row>
    <x:row r="627">
      <x:c r="A627" s="80" t="n">
        <x:v>623</x:v>
      </x:c>
      <x:c r="B627" s="80" t="str">
        <x:v>골루그</x:v>
      </x:c>
      <x:c r="C627" s="80" t="str">
        <x:v>golurk</x:v>
      </x:c>
      <x:c r="D627" s="80" t="str">
        <x:v>동굴</x:v>
      </x:c>
      <x:c r="E627" s="81" t="str">
        <x:v>—</x:v>
      </x:c>
      <x:c r="F627" s="81" t="str">
        <x:v>—</x:v>
      </x:c>
      <x:c r="G627" s="81" t="str">
        <x:v>—</x:v>
      </x:c>
      <x:c r="H627" s="81" t="str">
        <x:v>—</x:v>
      </x:c>
      <x:c r="I627" s="81" t="str">
        <x:v>—</x:v>
      </x:c>
      <x:c r="J627" s="81" t="str">
        <x:v>—</x:v>
      </x:c>
      <x:c r="K627" s="81" t="str">
        <x:v>—</x:v>
      </x:c>
      <x:c r="L627" s="81" t="str">
        <x:v>—</x:v>
      </x:c>
      <x:c r="M627" s="81" t="str">
        <x:v>동굴1</x:v>
      </x:c>
      <x:c r="N627" s="81" t="str">
        <x:v>특수1</x:v>
      </x:c>
      <x:c r="O627" s="81" t="str">
        <x:v>동굴1</x:v>
      </x:c>
      <x:c r="P627" s="81" t="str">
        <x:v>특수1</x:v>
      </x:c>
      <x:c r="Q627" s="81" t="str">
        <x:v>동굴1</x:v>
      </x:c>
      <x:c r="R627" s="81" t="str">
        <x:v>특수1</x:v>
      </x:c>
      <x:c r="S627" s="81" t="str">
        <x:v>동굴1</x:v>
      </x:c>
      <x:c r="T627" s="81" t="str">
        <x:v>특수2</x:v>
      </x:c>
      <x:c r="U627" s="81" t="str">
        <x:v>동굴1</x:v>
      </x:c>
      <x:c r="V627" s="81" t="str">
        <x:v>특수2</x:v>
      </x:c>
    </x:row>
    <x:row r="628">
      <x:c r="A628" s="80" t="n">
        <x:v>624</x:v>
      </x:c>
      <x:c r="B628" s="80" t="str">
        <x:v>자망칼</x:v>
      </x:c>
      <x:c r="C628" s="80" t="str">
        <x:v>pawniard</x:v>
      </x:c>
      <x:c r="D628" s="80" t="str">
        <x:v>숲</x:v>
      </x:c>
      <x:c r="E628" s="81" t="str">
        <x:v>—</x:v>
      </x:c>
      <x:c r="F628" s="81" t="str">
        <x:v>—</x:v>
      </x:c>
      <x:c r="G628" s="81" t="str">
        <x:v>—</x:v>
      </x:c>
      <x:c r="H628" s="81" t="str">
        <x:v>—</x:v>
      </x:c>
      <x:c r="I628" s="81" t="str">
        <x:v>—</x:v>
      </x:c>
      <x:c r="J628" s="81" t="str">
        <x:v>—</x:v>
      </x:c>
      <x:c r="K628" s="81" t="str">
        <x:v>—</x:v>
      </x:c>
      <x:c r="L628" s="81" t="str">
        <x:v>—</x:v>
      </x:c>
      <x:c r="M628" s="81" t="str">
        <x:v>숲3</x:v>
      </x:c>
      <x:c r="N628" s="81" t="str">
        <x:v>습지2</x:v>
      </x:c>
      <x:c r="O628" s="81" t="str">
        <x:v>숲5</x:v>
      </x:c>
      <x:c r="P628" s="81" t="str">
        <x:v>습지3</x:v>
      </x:c>
      <x:c r="Q628" s="81" t="str">
        <x:v>숲3</x:v>
      </x:c>
      <x:c r="R628" s="81" t="str">
        <x:v>습지2</x:v>
      </x:c>
      <x:c r="S628" s="81" t="str">
        <x:v>숲4</x:v>
      </x:c>
      <x:c r="T628" s="81" t="str">
        <x:v>습지3</x:v>
      </x:c>
      <x:c r="U628" s="81" t="str">
        <x:v>숲4</x:v>
      </x:c>
      <x:c r="V628" s="81" t="str">
        <x:v>습지2</x:v>
      </x:c>
    </x:row>
    <x:row r="629">
      <x:c r="A629" s="80" t="n">
        <x:v>625</x:v>
      </x:c>
      <x:c r="B629" s="80" t="str">
        <x:v>절각참</x:v>
      </x:c>
      <x:c r="C629" s="80" t="str">
        <x:v>bisharp</x:v>
      </x:c>
      <x:c r="D629" s="80" t="str">
        <x:v>숲</x:v>
      </x:c>
      <x:c r="E629" s="81" t="str">
        <x:v>—</x:v>
      </x:c>
      <x:c r="F629" s="81" t="str">
        <x:v>—</x:v>
      </x:c>
      <x:c r="G629" s="81" t="str">
        <x:v>—</x:v>
      </x:c>
      <x:c r="H629" s="81" t="str">
        <x:v>—</x:v>
      </x:c>
      <x:c r="I629" s="81" t="str">
        <x:v>—</x:v>
      </x:c>
      <x:c r="J629" s="81" t="str">
        <x:v>—</x:v>
      </x:c>
      <x:c r="K629" s="81" t="str">
        <x:v>—</x:v>
      </x:c>
      <x:c r="L629" s="81" t="str">
        <x:v>—</x:v>
      </x:c>
      <x:c r="M629" s="81" t="str">
        <x:v>숲3</x:v>
      </x:c>
      <x:c r="N629" s="81" t="str">
        <x:v>습지2</x:v>
      </x:c>
      <x:c r="O629" s="81" t="str">
        <x:v>숲5</x:v>
      </x:c>
      <x:c r="P629" s="81" t="str">
        <x:v>습지3</x:v>
      </x:c>
      <x:c r="Q629" s="81" t="str">
        <x:v>숲3</x:v>
      </x:c>
      <x:c r="R629" s="81" t="str">
        <x:v>습지2</x:v>
      </x:c>
      <x:c r="S629" s="81" t="str">
        <x:v>숲4</x:v>
      </x:c>
      <x:c r="T629" s="81" t="str">
        <x:v>습지3</x:v>
      </x:c>
      <x:c r="U629" s="81" t="str">
        <x:v>숲4</x:v>
      </x:c>
      <x:c r="V629" s="81" t="str">
        <x:v>습지2</x:v>
      </x:c>
    </x:row>
    <x:row r="630">
      <x:c r="A630" s="80" t="n">
        <x:v>626</x:v>
      </x:c>
      <x:c r="B630" s="80" t="str">
        <x:v>버프론</x:v>
      </x:c>
      <x:c r="C630" s="80" t="str">
        <x:v>bouffalant</x:v>
      </x:c>
      <x:c r="D630" s="80" t="str">
        <x:v>평원</x:v>
      </x:c>
      <x:c r="E630" s="81" t="str">
        <x:v>—</x:v>
      </x:c>
      <x:c r="F630" s="81" t="str">
        <x:v>—</x:v>
      </x:c>
      <x:c r="G630" s="81" t="str">
        <x:v>—</x:v>
      </x:c>
      <x:c r="H630" s="81" t="str">
        <x:v>—</x:v>
      </x:c>
      <x:c r="I630" s="81" t="str">
        <x:v>—</x:v>
      </x:c>
      <x:c r="J630" s="81" t="str">
        <x:v>—</x:v>
      </x:c>
      <x:c r="K630" s="81" t="str">
        <x:v>—</x:v>
      </x:c>
      <x:c r="L630" s="81" t="str">
        <x:v>—</x:v>
      </x:c>
      <x:c r="M630" s="81" t="str">
        <x:v>평원4</x:v>
      </x:c>
      <x:c r="N630" s="81" t="str">
        <x:v>숲3</x:v>
      </x:c>
      <x:c r="O630" s="81" t="str">
        <x:v>—</x:v>
      </x:c>
      <x:c r="P630" s="81" t="str">
        <x:v>—</x:v>
      </x:c>
      <x:c r="Q630" s="81" t="str">
        <x:v>—</x:v>
      </x:c>
      <x:c r="R630" s="81" t="str">
        <x:v>—</x:v>
      </x:c>
      <x:c r="S630" s="81" t="str">
        <x:v>평원5</x:v>
      </x:c>
      <x:c r="T630" s="81" t="str">
        <x:v>숲5</x:v>
      </x:c>
      <x:c r="U630" s="81" t="str">
        <x:v>—</x:v>
      </x:c>
      <x:c r="V630" s="81" t="str">
        <x:v>—</x:v>
      </x:c>
    </x:row>
    <x:row r="631">
      <x:c r="A631" s="80" t="n">
        <x:v>627</x:v>
      </x:c>
      <x:c r="B631" s="80" t="str">
        <x:v>수리둥보</x:v>
      </x:c>
      <x:c r="C631" s="80" t="str">
        <x:v>rufflet</x:v>
      </x:c>
      <x:c r="D631" s="80" t="str">
        <x:v>산악</x:v>
      </x:c>
      <x:c r="E631" s="81" t="str">
        <x:v>—</x:v>
      </x:c>
      <x:c r="F631" s="81" t="str">
        <x:v>—</x:v>
      </x:c>
      <x:c r="G631" s="81" t="str">
        <x:v>—</x:v>
      </x:c>
      <x:c r="H631" s="81" t="str">
        <x:v>—</x:v>
      </x:c>
      <x:c r="I631" s="81" t="str">
        <x:v>—</x:v>
      </x:c>
      <x:c r="J631" s="81" t="str">
        <x:v>—</x:v>
      </x:c>
      <x:c r="K631" s="81" t="str">
        <x:v>—</x:v>
      </x:c>
      <x:c r="L631" s="81" t="str">
        <x:v>—</x:v>
      </x:c>
      <x:c r="M631" s="81" t="str">
        <x:v>산악2</x:v>
      </x:c>
      <x:c r="N631" s="81" t="str">
        <x:v>평원4</x:v>
      </x:c>
      <x:c r="O631" s="81" t="str">
        <x:v>—</x:v>
      </x:c>
      <x:c r="P631" s="81" t="str">
        <x:v>—</x:v>
      </x:c>
      <x:c r="Q631" s="81" t="str">
        <x:v>산악3</x:v>
      </x:c>
      <x:c r="R631" s="81" t="str">
        <x:v>평원4</x:v>
      </x:c>
      <x:c r="S631" s="81" t="str">
        <x:v>산악3</x:v>
      </x:c>
      <x:c r="T631" s="81" t="str">
        <x:v>평원5</x:v>
      </x:c>
      <x:c r="U631" s="81" t="str">
        <x:v>산악3</x:v>
      </x:c>
      <x:c r="V631" s="81" t="str">
        <x:v>평원5</x:v>
      </x:c>
    </x:row>
    <x:row r="632">
      <x:c r="A632" s="80" t="n">
        <x:v>628</x:v>
      </x:c>
      <x:c r="B632" s="80" t="str">
        <x:v>워글</x:v>
      </x:c>
      <x:c r="C632" s="80" t="str">
        <x:v>braviary</x:v>
      </x:c>
      <x:c r="D632" s="80" t="str">
        <x:v>산악</x:v>
      </x:c>
      <x:c r="E632" s="81" t="str">
        <x:v>—</x:v>
      </x:c>
      <x:c r="F632" s="81" t="str">
        <x:v>—</x:v>
      </x:c>
      <x:c r="G632" s="81" t="str">
        <x:v>—</x:v>
      </x:c>
      <x:c r="H632" s="81" t="str">
        <x:v>—</x:v>
      </x:c>
      <x:c r="I632" s="81" t="str">
        <x:v>—</x:v>
      </x:c>
      <x:c r="J632" s="81" t="str">
        <x:v>—</x:v>
      </x:c>
      <x:c r="K632" s="81" t="str">
        <x:v>—</x:v>
      </x:c>
      <x:c r="L632" s="81" t="str">
        <x:v>—</x:v>
      </x:c>
      <x:c r="M632" s="81" t="str">
        <x:v>산악2</x:v>
      </x:c>
      <x:c r="N632" s="81" t="str">
        <x:v>평원4</x:v>
      </x:c>
      <x:c r="O632" s="81" t="str">
        <x:v>—</x:v>
      </x:c>
      <x:c r="P632" s="81" t="str">
        <x:v>—</x:v>
      </x:c>
      <x:c r="Q632" s="81" t="str">
        <x:v>산악3</x:v>
      </x:c>
      <x:c r="R632" s="81" t="str">
        <x:v>평원4</x:v>
      </x:c>
      <x:c r="S632" s="81" t="str">
        <x:v>산악3</x:v>
      </x:c>
      <x:c r="T632" s="81" t="str">
        <x:v>평원5</x:v>
      </x:c>
      <x:c r="U632" s="81" t="str">
        <x:v>산악3</x:v>
      </x:c>
      <x:c r="V632" s="81" t="str">
        <x:v>평원5</x:v>
      </x:c>
    </x:row>
    <x:row r="633">
      <x:c r="A633" s="80" t="n">
        <x:v>629</x:v>
      </x:c>
      <x:c r="B633" s="80" t="str">
        <x:v>벌차이</x:v>
      </x:c>
      <x:c r="C633" s="80" t="str">
        <x:v>vullaby</x:v>
      </x:c>
      <x:c r="D633" s="80" t="str">
        <x:v>건조지</x:v>
      </x:c>
      <x:c r="E633" s="81" t="str">
        <x:v>—</x:v>
      </x:c>
      <x:c r="F633" s="81" t="str">
        <x:v>—</x:v>
      </x:c>
      <x:c r="G633" s="81" t="str">
        <x:v>—</x:v>
      </x:c>
      <x:c r="H633" s="81" t="str">
        <x:v>—</x:v>
      </x:c>
      <x:c r="I633" s="81" t="str">
        <x:v>—</x:v>
      </x:c>
      <x:c r="J633" s="81" t="str">
        <x:v>—</x:v>
      </x:c>
      <x:c r="K633" s="81" t="str">
        <x:v>—</x:v>
      </x:c>
      <x:c r="L633" s="81" t="str">
        <x:v>—</x:v>
      </x:c>
      <x:c r="M633" s="81" t="str">
        <x:v>건조지2</x:v>
      </x:c>
      <x:c r="N633" s="81" t="str">
        <x:v>산악2</x:v>
      </x:c>
      <x:c r="O633" s="81" t="str">
        <x:v>—</x:v>
      </x:c>
      <x:c r="P633" s="81" t="str">
        <x:v>—</x:v>
      </x:c>
      <x:c r="Q633" s="81" t="str">
        <x:v>건조지2</x:v>
      </x:c>
      <x:c r="R633" s="81" t="str">
        <x:v>산악3</x:v>
      </x:c>
      <x:c r="S633" s="81" t="str">
        <x:v>건조지2</x:v>
      </x:c>
      <x:c r="T633" s="81" t="str">
        <x:v>산악3</x:v>
      </x:c>
      <x:c r="U633" s="81" t="str">
        <x:v>건조지2</x:v>
      </x:c>
      <x:c r="V633" s="81" t="str">
        <x:v>산악3</x:v>
      </x:c>
    </x:row>
    <x:row r="634">
      <x:c r="A634" s="80" t="n">
        <x:v>630</x:v>
      </x:c>
      <x:c r="B634" s="80" t="str">
        <x:v>버랜지나</x:v>
      </x:c>
      <x:c r="C634" s="80" t="str">
        <x:v>mandibuzz</x:v>
      </x:c>
      <x:c r="D634" s="80" t="str">
        <x:v>건조지</x:v>
      </x:c>
      <x:c r="E634" s="81" t="str">
        <x:v>—</x:v>
      </x:c>
      <x:c r="F634" s="81" t="str">
        <x:v>—</x:v>
      </x:c>
      <x:c r="G634" s="81" t="str">
        <x:v>—</x:v>
      </x:c>
      <x:c r="H634" s="81" t="str">
        <x:v>—</x:v>
      </x:c>
      <x:c r="I634" s="81" t="str">
        <x:v>—</x:v>
      </x:c>
      <x:c r="J634" s="81" t="str">
        <x:v>—</x:v>
      </x:c>
      <x:c r="K634" s="81" t="str">
        <x:v>—</x:v>
      </x:c>
      <x:c r="L634" s="81" t="str">
        <x:v>—</x:v>
      </x:c>
      <x:c r="M634" s="81" t="str">
        <x:v>건조지2</x:v>
      </x:c>
      <x:c r="N634" s="81" t="str">
        <x:v>산악2</x:v>
      </x:c>
      <x:c r="O634" s="81" t="str">
        <x:v>—</x:v>
      </x:c>
      <x:c r="P634" s="81" t="str">
        <x:v>—</x:v>
      </x:c>
      <x:c r="Q634" s="81" t="str">
        <x:v>건조지2</x:v>
      </x:c>
      <x:c r="R634" s="81" t="str">
        <x:v>산악3</x:v>
      </x:c>
      <x:c r="S634" s="81" t="str">
        <x:v>건조지2</x:v>
      </x:c>
      <x:c r="T634" s="81" t="str">
        <x:v>산악3</x:v>
      </x:c>
      <x:c r="U634" s="81" t="str">
        <x:v>건조지2</x:v>
      </x:c>
      <x:c r="V634" s="81" t="str">
        <x:v>산악3</x:v>
      </x:c>
    </x:row>
    <x:row r="635">
      <x:c r="A635" s="80" t="n">
        <x:v>631</x:v>
      </x:c>
      <x:c r="B635" s="80" t="str">
        <x:v>앤티골</x:v>
      </x:c>
      <x:c r="C635" s="80" t="str">
        <x:v>heatmor</x:v>
      </x:c>
      <x:c r="D635" s="80" t="str">
        <x:v>산악</x:v>
      </x:c>
      <x:c r="E635" s="81" t="str">
        <x:v>—</x:v>
      </x:c>
      <x:c r="F635" s="81" t="str">
        <x:v>—</x:v>
      </x:c>
      <x:c r="G635" s="81" t="str">
        <x:v>—</x:v>
      </x:c>
      <x:c r="H635" s="81" t="str">
        <x:v>—</x:v>
      </x:c>
      <x:c r="I635" s="81" t="str">
        <x:v>—</x:v>
      </x:c>
      <x:c r="J635" s="81" t="str">
        <x:v>—</x:v>
      </x:c>
      <x:c r="K635" s="81" t="str">
        <x:v>—</x:v>
      </x:c>
      <x:c r="L635" s="81" t="str">
        <x:v>—</x:v>
      </x:c>
      <x:c r="M635" s="81" t="str">
        <x:v>산악2</x:v>
      </x:c>
      <x:c r="N635" s="81" t="str">
        <x:v>화산2</x:v>
      </x:c>
      <x:c r="O635" s="81" t="str">
        <x:v>산악3</x:v>
      </x:c>
      <x:c r="P635" s="81" t="str">
        <x:v>화산2</x:v>
      </x:c>
      <x:c r="Q635" s="81" t="str">
        <x:v>—</x:v>
      </x:c>
      <x:c r="R635" s="81" t="str">
        <x:v>—</x:v>
      </x:c>
      <x:c r="S635" s="81" t="str">
        <x:v>산악3</x:v>
      </x:c>
      <x:c r="T635" s="81" t="str">
        <x:v>화산2</x:v>
      </x:c>
      <x:c r="U635" s="81" t="str">
        <x:v>—</x:v>
      </x:c>
      <x:c r="V635" s="81" t="str">
        <x:v>—</x:v>
      </x:c>
    </x:row>
    <x:row r="636">
      <x:c r="A636" s="80" t="n">
        <x:v>632</x:v>
      </x:c>
      <x:c r="B636" s="80" t="str">
        <x:v>아이앤트</x:v>
      </x:c>
      <x:c r="C636" s="80" t="str">
        <x:v>durant</x:v>
      </x:c>
      <x:c r="D636" s="80" t="str">
        <x:v>산악</x:v>
      </x:c>
      <x:c r="E636" s="81" t="str">
        <x:v>—</x:v>
      </x:c>
      <x:c r="F636" s="81" t="str">
        <x:v>—</x:v>
      </x:c>
      <x:c r="G636" s="81" t="str">
        <x:v>—</x:v>
      </x:c>
      <x:c r="H636" s="81" t="str">
        <x:v>—</x:v>
      </x:c>
      <x:c r="I636" s="81" t="str">
        <x:v>—</x:v>
      </x:c>
      <x:c r="J636" s="81" t="str">
        <x:v>—</x:v>
      </x:c>
      <x:c r="K636" s="81" t="str">
        <x:v>—</x:v>
      </x:c>
      <x:c r="L636" s="81" t="str">
        <x:v>—</x:v>
      </x:c>
      <x:c r="M636" s="81" t="str">
        <x:v>산악2</x:v>
      </x:c>
      <x:c r="N636" s="81" t="str">
        <x:v>숲3</x:v>
      </x:c>
      <x:c r="O636" s="81" t="str">
        <x:v>산악3</x:v>
      </x:c>
      <x:c r="P636" s="81" t="str">
        <x:v>숲5</x:v>
      </x:c>
      <x:c r="Q636" s="81" t="str">
        <x:v>—</x:v>
      </x:c>
      <x:c r="R636" s="81" t="str">
        <x:v>—</x:v>
      </x:c>
      <x:c r="S636" s="81" t="str">
        <x:v>산악3</x:v>
      </x:c>
      <x:c r="T636" s="81" t="str">
        <x:v>숲5</x:v>
      </x:c>
      <x:c r="U636" s="81" t="str">
        <x:v>—</x:v>
      </x:c>
      <x:c r="V636" s="81" t="str">
        <x:v>—</x:v>
      </x:c>
    </x:row>
    <x:row r="637">
      <x:c r="A637" s="80" t="n">
        <x:v>633</x:v>
      </x:c>
      <x:c r="B637" s="80" t="str">
        <x:v>모노두</x:v>
      </x:c>
      <x:c r="C637" s="80" t="str">
        <x:v>deino</x:v>
      </x:c>
      <x:c r="D637" s="80" t="str">
        <x:v>동굴</x:v>
      </x:c>
      <x:c r="E637" s="81" t="str">
        <x:v>—</x:v>
      </x:c>
      <x:c r="F637" s="81" t="str">
        <x:v>—</x:v>
      </x:c>
      <x:c r="G637" s="81" t="str">
        <x:v>—</x:v>
      </x:c>
      <x:c r="H637" s="81" t="str">
        <x:v>—</x:v>
      </x:c>
      <x:c r="I637" s="81" t="str">
        <x:v>—</x:v>
      </x:c>
      <x:c r="J637" s="81" t="str">
        <x:v>—</x:v>
      </x:c>
      <x:c r="K637" s="81" t="str">
        <x:v>—</x:v>
      </x:c>
      <x:c r="L637" s="81" t="str">
        <x:v>—</x:v>
      </x:c>
      <x:c r="M637" s="81" t="str">
        <x:v>동굴1</x:v>
      </x:c>
      <x:c r="N637" s="81" t="str">
        <x:v>산악2</x:v>
      </x:c>
      <x:c r="O637" s="81" t="str">
        <x:v>동굴1</x:v>
      </x:c>
      <x:c r="P637" s="81" t="str">
        <x:v>산악3</x:v>
      </x:c>
      <x:c r="Q637" s="81" t="str">
        <x:v>—</x:v>
      </x:c>
      <x:c r="R637" s="81" t="str">
        <x:v>—</x:v>
      </x:c>
      <x:c r="S637" s="81" t="str">
        <x:v>동굴1</x:v>
      </x:c>
      <x:c r="T637" s="81" t="str">
        <x:v>산악3</x:v>
      </x:c>
      <x:c r="U637" s="81" t="str">
        <x:v>동굴1</x:v>
      </x:c>
      <x:c r="V637" s="81" t="str">
        <x:v>산악3</x:v>
      </x:c>
    </x:row>
    <x:row r="638">
      <x:c r="A638" s="80" t="n">
        <x:v>634</x:v>
      </x:c>
      <x:c r="B638" s="80" t="str">
        <x:v>디헤드</x:v>
      </x:c>
      <x:c r="C638" s="80" t="str">
        <x:v>zweilous</x:v>
      </x:c>
      <x:c r="D638" s="80" t="str">
        <x:v>동굴</x:v>
      </x:c>
      <x:c r="E638" s="81" t="str">
        <x:v>—</x:v>
      </x:c>
      <x:c r="F638" s="81" t="str">
        <x:v>—</x:v>
      </x:c>
      <x:c r="G638" s="81" t="str">
        <x:v>—</x:v>
      </x:c>
      <x:c r="H638" s="81" t="str">
        <x:v>—</x:v>
      </x:c>
      <x:c r="I638" s="81" t="str">
        <x:v>—</x:v>
      </x:c>
      <x:c r="J638" s="81" t="str">
        <x:v>—</x:v>
      </x:c>
      <x:c r="K638" s="81" t="str">
        <x:v>—</x:v>
      </x:c>
      <x:c r="L638" s="81" t="str">
        <x:v>—</x:v>
      </x:c>
      <x:c r="M638" s="81" t="str">
        <x:v>동굴1</x:v>
      </x:c>
      <x:c r="N638" s="81" t="str">
        <x:v>산악2</x:v>
      </x:c>
      <x:c r="O638" s="81" t="str">
        <x:v>동굴1</x:v>
      </x:c>
      <x:c r="P638" s="81" t="str">
        <x:v>산악3</x:v>
      </x:c>
      <x:c r="Q638" s="81" t="str">
        <x:v>—</x:v>
      </x:c>
      <x:c r="R638" s="81" t="str">
        <x:v>—</x:v>
      </x:c>
      <x:c r="S638" s="81" t="str">
        <x:v>동굴1</x:v>
      </x:c>
      <x:c r="T638" s="81" t="str">
        <x:v>산악4</x:v>
      </x:c>
      <x:c r="U638" s="81" t="str">
        <x:v>동굴1</x:v>
      </x:c>
      <x:c r="V638" s="81" t="str">
        <x:v>산악3</x:v>
      </x:c>
    </x:row>
    <x:row r="639">
      <x:c r="A639" s="80" t="n">
        <x:v>635</x:v>
      </x:c>
      <x:c r="B639" s="80" t="str">
        <x:v>삼삼드래</x:v>
      </x:c>
      <x:c r="C639" s="80" t="str">
        <x:v>hydreigon</x:v>
      </x:c>
      <x:c r="D639" s="80" t="str">
        <x:v>동굴</x:v>
      </x:c>
      <x:c r="E639" s="81" t="str">
        <x:v>—</x:v>
      </x:c>
      <x:c r="F639" s="81" t="str">
        <x:v>—</x:v>
      </x:c>
      <x:c r="G639" s="81" t="str">
        <x:v>—</x:v>
      </x:c>
      <x:c r="H639" s="81" t="str">
        <x:v>—</x:v>
      </x:c>
      <x:c r="I639" s="81" t="str">
        <x:v>—</x:v>
      </x:c>
      <x:c r="J639" s="81" t="str">
        <x:v>—</x:v>
      </x:c>
      <x:c r="K639" s="81" t="str">
        <x:v>—</x:v>
      </x:c>
      <x:c r="L639" s="81" t="str">
        <x:v>—</x:v>
      </x:c>
      <x:c r="M639" s="81" t="str">
        <x:v>동굴1</x:v>
      </x:c>
      <x:c r="N639" s="81" t="str">
        <x:v>산악2</x:v>
      </x:c>
      <x:c r="O639" s="81" t="str">
        <x:v>동굴1</x:v>
      </x:c>
      <x:c r="P639" s="81" t="str">
        <x:v>산악3</x:v>
      </x:c>
      <x:c r="Q639" s="81" t="str">
        <x:v>—</x:v>
      </x:c>
      <x:c r="R639" s="81" t="str">
        <x:v>—</x:v>
      </x:c>
      <x:c r="S639" s="81" t="str">
        <x:v>동굴1</x:v>
      </x:c>
      <x:c r="T639" s="81" t="str">
        <x:v>산악4</x:v>
      </x:c>
      <x:c r="U639" s="81" t="str">
        <x:v>동굴1</x:v>
      </x:c>
      <x:c r="V639" s="81" t="str">
        <x:v>산악3</x:v>
      </x:c>
    </x:row>
    <x:row r="640">
      <x:c r="A640" s="80" t="n">
        <x:v>636</x:v>
      </x:c>
      <x:c r="B640" s="80" t="str">
        <x:v>활화르바</x:v>
      </x:c>
      <x:c r="C640" s="80" t="str">
        <x:v>larvesta</x:v>
      </x:c>
      <x:c r="D640" s="80" t="str">
        <x:v>화산</x:v>
      </x:c>
      <x:c r="E640" s="81" t="str">
        <x:v>—</x:v>
      </x:c>
      <x:c r="F640" s="81" t="str">
        <x:v>—</x:v>
      </x:c>
      <x:c r="G640" s="81" t="str">
        <x:v>—</x:v>
      </x:c>
      <x:c r="H640" s="81" t="str">
        <x:v>—</x:v>
      </x:c>
      <x:c r="I640" s="81" t="str">
        <x:v>—</x:v>
      </x:c>
      <x:c r="J640" s="81" t="str">
        <x:v>—</x:v>
      </x:c>
      <x:c r="K640" s="81" t="str">
        <x:v>—</x:v>
      </x:c>
      <x:c r="L640" s="81" t="str">
        <x:v>—</x:v>
      </x:c>
      <x:c r="M640" s="81" t="str">
        <x:v>화산2</x:v>
      </x:c>
      <x:c r="N640" s="81" t="str">
        <x:v>건조지2</x:v>
      </x:c>
      <x:c r="O640" s="81" t="str">
        <x:v>—</x:v>
      </x:c>
      <x:c r="P640" s="81" t="str">
        <x:v>—</x:v>
      </x:c>
      <x:c r="Q640" s="81" t="str">
        <x:v>화산1</x:v>
      </x:c>
      <x:c r="R640" s="81" t="str">
        <x:v>건조지2</x:v>
      </x:c>
      <x:c r="S640" s="81" t="str">
        <x:v>화산2</x:v>
      </x:c>
      <x:c r="T640" s="81" t="str">
        <x:v>건조지2</x:v>
      </x:c>
      <x:c r="U640" s="81" t="str">
        <x:v>화산2</x:v>
      </x:c>
      <x:c r="V640" s="81" t="str">
        <x:v>건조지2</x:v>
      </x:c>
    </x:row>
    <x:row r="641">
      <x:c r="A641" s="80" t="n">
        <x:v>637</x:v>
      </x:c>
      <x:c r="B641" s="80" t="str">
        <x:v>불카모스</x:v>
      </x:c>
      <x:c r="C641" s="80" t="str">
        <x:v>volcarona</x:v>
      </x:c>
      <x:c r="D641" s="80" t="str">
        <x:v>화산</x:v>
      </x:c>
      <x:c r="E641" s="81" t="str">
        <x:v>—</x:v>
      </x:c>
      <x:c r="F641" s="81" t="str">
        <x:v>—</x:v>
      </x:c>
      <x:c r="G641" s="81" t="str">
        <x:v>—</x:v>
      </x:c>
      <x:c r="H641" s="81" t="str">
        <x:v>—</x:v>
      </x:c>
      <x:c r="I641" s="81" t="str">
        <x:v>—</x:v>
      </x:c>
      <x:c r="J641" s="81" t="str">
        <x:v>—</x:v>
      </x:c>
      <x:c r="K641" s="81" t="str">
        <x:v>—</x:v>
      </x:c>
      <x:c r="L641" s="81" t="str">
        <x:v>—</x:v>
      </x:c>
      <x:c r="M641" s="81" t="str">
        <x:v>화산2</x:v>
      </x:c>
      <x:c r="N641" s="81" t="str">
        <x:v>숲3</x:v>
      </x:c>
      <x:c r="O641" s="81" t="str">
        <x:v>—</x:v>
      </x:c>
      <x:c r="P641" s="81" t="str">
        <x:v>—</x:v>
      </x:c>
      <x:c r="Q641" s="81" t="str">
        <x:v>화산1</x:v>
      </x:c>
      <x:c r="R641" s="81" t="str">
        <x:v>숲3</x:v>
      </x:c>
      <x:c r="S641" s="81" t="str">
        <x:v>화산2</x:v>
      </x:c>
      <x:c r="T641" s="81" t="str">
        <x:v>숲5</x:v>
      </x:c>
      <x:c r="U641" s="81" t="str">
        <x:v>화산2</x:v>
      </x:c>
      <x:c r="V641" s="81" t="str">
        <x:v>숲4</x:v>
      </x:c>
    </x:row>
    <x:row r="642">
      <x:c r="A642" s="80" t="n">
        <x:v>638</x:v>
      </x:c>
      <x:c r="B642" s="80" t="str">
        <x:v>코바르온</x:v>
      </x:c>
      <x:c r="C642" s="80" t="str">
        <x:v>cobalion</x:v>
      </x:c>
      <x:c r="D642" s="80" t="str">
        <x:v>산악</x:v>
      </x:c>
      <x:c r="E642" s="81" t="str">
        <x:v>—</x:v>
      </x:c>
      <x:c r="F642" s="81" t="str">
        <x:v>—</x:v>
      </x:c>
      <x:c r="G642" s="81" t="str">
        <x:v>—</x:v>
      </x:c>
      <x:c r="H642" s="81" t="str">
        <x:v>—</x:v>
      </x:c>
      <x:c r="I642" s="81" t="str">
        <x:v>—</x:v>
      </x:c>
      <x:c r="J642" s="81" t="str">
        <x:v>—</x:v>
      </x:c>
      <x:c r="K642" s="81" t="str">
        <x:v>—</x:v>
      </x:c>
      <x:c r="L642" s="81" t="str">
        <x:v>—</x:v>
      </x:c>
      <x:c r="M642" s="81" t="str">
        <x:v>—</x:v>
      </x:c>
      <x:c r="N642" s="81" t="str">
        <x:v>—</x:v>
      </x:c>
      <x:c r="O642" s="81" t="str">
        <x:v>—</x:v>
      </x:c>
      <x:c r="P642" s="81" t="str">
        <x:v>—</x:v>
      </x:c>
      <x:c r="Q642" s="81" t="str">
        <x:v>—</x:v>
      </x:c>
      <x:c r="R642" s="81" t="str">
        <x:v>—</x:v>
      </x:c>
      <x:c r="S642" s="81" t="str">
        <x:v>—</x:v>
      </x:c>
      <x:c r="T642" s="81" t="str">
        <x:v>—</x:v>
      </x:c>
      <x:c r="U642" s="81" t="str">
        <x:v>—</x:v>
      </x:c>
      <x:c r="V642" s="81" t="str">
        <x:v>—</x:v>
      </x:c>
    </x:row>
    <x:row r="643">
      <x:c r="A643" s="80" t="n">
        <x:v>639</x:v>
      </x:c>
      <x:c r="B643" s="80" t="str">
        <x:v>테라키온</x:v>
      </x:c>
      <x:c r="C643" s="80" t="str">
        <x:v>terrakion</x:v>
      </x:c>
      <x:c r="D643" s="80" t="str">
        <x:v>평원</x:v>
      </x:c>
      <x:c r="E643" s="81" t="str">
        <x:v>—</x:v>
      </x:c>
      <x:c r="F643" s="81" t="str">
        <x:v>—</x:v>
      </x:c>
      <x:c r="G643" s="81" t="str">
        <x:v>—</x:v>
      </x:c>
      <x:c r="H643" s="81" t="str">
        <x:v>—</x:v>
      </x:c>
      <x:c r="I643" s="81" t="str">
        <x:v>—</x:v>
      </x:c>
      <x:c r="J643" s="81" t="str">
        <x:v>—</x:v>
      </x:c>
      <x:c r="K643" s="81" t="str">
        <x:v>—</x:v>
      </x:c>
      <x:c r="L643" s="81" t="str">
        <x:v>—</x:v>
      </x:c>
      <x:c r="M643" s="81" t="str">
        <x:v>—</x:v>
      </x:c>
      <x:c r="N643" s="81" t="str">
        <x:v>—</x:v>
      </x:c>
      <x:c r="O643" s="81" t="str">
        <x:v>—</x:v>
      </x:c>
      <x:c r="P643" s="81" t="str">
        <x:v>—</x:v>
      </x:c>
      <x:c r="Q643" s="81" t="str">
        <x:v>—</x:v>
      </x:c>
      <x:c r="R643" s="81" t="str">
        <x:v>—</x:v>
      </x:c>
      <x:c r="S643" s="81" t="str">
        <x:v>—</x:v>
      </x:c>
      <x:c r="T643" s="81" t="str">
        <x:v>—</x:v>
      </x:c>
      <x:c r="U643" s="81" t="str">
        <x:v>—</x:v>
      </x:c>
      <x:c r="V643" s="81" t="str">
        <x:v>—</x:v>
      </x:c>
    </x:row>
    <x:row r="644">
      <x:c r="A644" s="80" t="n">
        <x:v>640</x:v>
      </x:c>
      <x:c r="B644" s="80" t="str">
        <x:v>비리디온</x:v>
      </x:c>
      <x:c r="C644" s="80" t="str">
        <x:v>virizion</x:v>
      </x:c>
      <x:c r="D644" s="80" t="str">
        <x:v>숲</x:v>
      </x:c>
      <x:c r="E644" s="81" t="str">
        <x:v>—</x:v>
      </x:c>
      <x:c r="F644" s="81" t="str">
        <x:v>—</x:v>
      </x:c>
      <x:c r="G644" s="81" t="str">
        <x:v>—</x:v>
      </x:c>
      <x:c r="H644" s="81" t="str">
        <x:v>—</x:v>
      </x:c>
      <x:c r="I644" s="81" t="str">
        <x:v>—</x:v>
      </x:c>
      <x:c r="J644" s="81" t="str">
        <x:v>—</x:v>
      </x:c>
      <x:c r="K644" s="81" t="str">
        <x:v>—</x:v>
      </x:c>
      <x:c r="L644" s="81" t="str">
        <x:v>—</x:v>
      </x:c>
      <x:c r="M644" s="81" t="str">
        <x:v>—</x:v>
      </x:c>
      <x:c r="N644" s="81" t="str">
        <x:v>—</x:v>
      </x:c>
      <x:c r="O644" s="81" t="str">
        <x:v>—</x:v>
      </x:c>
      <x:c r="P644" s="81" t="str">
        <x:v>—</x:v>
      </x:c>
      <x:c r="Q644" s="81" t="str">
        <x:v>—</x:v>
      </x:c>
      <x:c r="R644" s="81" t="str">
        <x:v>—</x:v>
      </x:c>
      <x:c r="S644" s="81" t="str">
        <x:v>—</x:v>
      </x:c>
      <x:c r="T644" s="81" t="str">
        <x:v>—</x:v>
      </x:c>
      <x:c r="U644" s="81" t="str">
        <x:v>—</x:v>
      </x:c>
      <x:c r="V644" s="81" t="str">
        <x:v>—</x:v>
      </x:c>
    </x:row>
    <x:row r="645">
      <x:c r="A645" s="80" t="n">
        <x:v>641</x:v>
      </x:c>
      <x:c r="B645" s="80" t="str">
        <x:v>토네로스</x:v>
      </x:c>
      <x:c r="C645" s="80" t="str">
        <x:v>tornadus</x:v>
      </x:c>
      <x:c r="D645" s="80" t="str">
        <x:v>해양</x:v>
      </x:c>
      <x:c r="E645" s="81" t="str">
        <x:v>—</x:v>
      </x:c>
      <x:c r="F645" s="81" t="str">
        <x:v>—</x:v>
      </x:c>
      <x:c r="G645" s="81" t="str">
        <x:v>—</x:v>
      </x:c>
      <x:c r="H645" s="81" t="str">
        <x:v>—</x:v>
      </x:c>
      <x:c r="I645" s="81" t="str">
        <x:v>—</x:v>
      </x:c>
      <x:c r="J645" s="81" t="str">
        <x:v>—</x:v>
      </x:c>
      <x:c r="K645" s="81" t="str">
        <x:v>—</x:v>
      </x:c>
      <x:c r="L645" s="81" t="str">
        <x:v>—</x:v>
      </x:c>
      <x:c r="M645" s="81" t="str">
        <x:v>—</x:v>
      </x:c>
      <x:c r="N645" s="81" t="str">
        <x:v>—</x:v>
      </x:c>
      <x:c r="O645" s="81" t="str">
        <x:v>—</x:v>
      </x:c>
      <x:c r="P645" s="81" t="str">
        <x:v>—</x:v>
      </x:c>
      <x:c r="Q645" s="81" t="str">
        <x:v>—</x:v>
      </x:c>
      <x:c r="R645" s="81" t="str">
        <x:v>—</x:v>
      </x:c>
      <x:c r="S645" s="81" t="str">
        <x:v>—</x:v>
      </x:c>
      <x:c r="T645" s="81" t="str">
        <x:v>—</x:v>
      </x:c>
      <x:c r="U645" s="81" t="str">
        <x:v>—</x:v>
      </x:c>
      <x:c r="V645" s="81" t="str">
        <x:v>—</x:v>
      </x:c>
    </x:row>
    <x:row r="646">
      <x:c r="A646" s="80" t="n">
        <x:v>642</x:v>
      </x:c>
      <x:c r="B646" s="80" t="str">
        <x:v>볼트로스</x:v>
      </x:c>
      <x:c r="C646" s="80" t="str">
        <x:v>thundurus</x:v>
      </x:c>
      <x:c r="D646" s="80" t="str">
        <x:v>산악</x:v>
      </x:c>
      <x:c r="E646" s="81" t="str">
        <x:v>—</x:v>
      </x:c>
      <x:c r="F646" s="81" t="str">
        <x:v>—</x:v>
      </x:c>
      <x:c r="G646" s="81" t="str">
        <x:v>—</x:v>
      </x:c>
      <x:c r="H646" s="81" t="str">
        <x:v>—</x:v>
      </x:c>
      <x:c r="I646" s="81" t="str">
        <x:v>—</x:v>
      </x:c>
      <x:c r="J646" s="81" t="str">
        <x:v>—</x:v>
      </x:c>
      <x:c r="K646" s="81" t="str">
        <x:v>—</x:v>
      </x:c>
      <x:c r="L646" s="81" t="str">
        <x:v>—</x:v>
      </x:c>
      <x:c r="M646" s="81" t="str">
        <x:v>—</x:v>
      </x:c>
      <x:c r="N646" s="81" t="str">
        <x:v>—</x:v>
      </x:c>
      <x:c r="O646" s="81" t="str">
        <x:v>—</x:v>
      </x:c>
      <x:c r="P646" s="81" t="str">
        <x:v>—</x:v>
      </x:c>
      <x:c r="Q646" s="81" t="str">
        <x:v>—</x:v>
      </x:c>
      <x:c r="R646" s="81" t="str">
        <x:v>—</x:v>
      </x:c>
      <x:c r="S646" s="81" t="str">
        <x:v>—</x:v>
      </x:c>
      <x:c r="T646" s="81" t="str">
        <x:v>—</x:v>
      </x:c>
      <x:c r="U646" s="81" t="str">
        <x:v>—</x:v>
      </x:c>
      <x:c r="V646" s="81" t="str">
        <x:v>—</x:v>
      </x:c>
    </x:row>
    <x:row r="647">
      <x:c r="A647" s="80" t="n">
        <x:v>643</x:v>
      </x:c>
      <x:c r="B647" s="80" t="str">
        <x:v>레시라무</x:v>
      </x:c>
      <x:c r="C647" s="80" t="str">
        <x:v>reshiram</x:v>
      </x:c>
      <x:c r="D647" s="80" t="str">
        <x:v>산악</x:v>
      </x:c>
      <x:c r="E647" s="81" t="str">
        <x:v>—</x:v>
      </x:c>
      <x:c r="F647" s="81" t="str">
        <x:v>—</x:v>
      </x:c>
      <x:c r="G647" s="81" t="str">
        <x:v>—</x:v>
      </x:c>
      <x:c r="H647" s="81" t="str">
        <x:v>—</x:v>
      </x:c>
      <x:c r="I647" s="81" t="str">
        <x:v>—</x:v>
      </x:c>
      <x:c r="J647" s="81" t="str">
        <x:v>—</x:v>
      </x:c>
      <x:c r="K647" s="81" t="str">
        <x:v>—</x:v>
      </x:c>
      <x:c r="L647" s="81" t="str">
        <x:v>—</x:v>
      </x:c>
      <x:c r="M647" s="81" t="str">
        <x:v>—</x:v>
      </x:c>
      <x:c r="N647" s="81" t="str">
        <x:v>—</x:v>
      </x:c>
      <x:c r="O647" s="81" t="str">
        <x:v>—</x:v>
      </x:c>
      <x:c r="P647" s="81" t="str">
        <x:v>—</x:v>
      </x:c>
      <x:c r="Q647" s="81" t="str">
        <x:v>—</x:v>
      </x:c>
      <x:c r="R647" s="81" t="str">
        <x:v>—</x:v>
      </x:c>
      <x:c r="S647" s="81" t="str">
        <x:v>—</x:v>
      </x:c>
      <x:c r="T647" s="81" t="str">
        <x:v>—</x:v>
      </x:c>
      <x:c r="U647" s="81" t="str">
        <x:v>—</x:v>
      </x:c>
      <x:c r="V647" s="81" t="str">
        <x:v>—</x:v>
      </x:c>
    </x:row>
    <x:row r="648">
      <x:c r="A648" s="80" t="n">
        <x:v>644</x:v>
      </x:c>
      <x:c r="B648" s="80" t="str">
        <x:v>제크로무</x:v>
      </x:c>
      <x:c r="C648" s="80" t="str">
        <x:v>zekrom</x:v>
      </x:c>
      <x:c r="D648" s="80" t="str">
        <x:v>산악</x:v>
      </x:c>
      <x:c r="E648" s="81" t="str">
        <x:v>—</x:v>
      </x:c>
      <x:c r="F648" s="81" t="str">
        <x:v>—</x:v>
      </x:c>
      <x:c r="G648" s="81" t="str">
        <x:v>—</x:v>
      </x:c>
      <x:c r="H648" s="81" t="str">
        <x:v>—</x:v>
      </x:c>
      <x:c r="I648" s="81" t="str">
        <x:v>—</x:v>
      </x:c>
      <x:c r="J648" s="81" t="str">
        <x:v>—</x:v>
      </x:c>
      <x:c r="K648" s="81" t="str">
        <x:v>—</x:v>
      </x:c>
      <x:c r="L648" s="81" t="str">
        <x:v>—</x:v>
      </x:c>
      <x:c r="M648" s="81" t="str">
        <x:v>—</x:v>
      </x:c>
      <x:c r="N648" s="81" t="str">
        <x:v>—</x:v>
      </x:c>
      <x:c r="O648" s="81" t="str">
        <x:v>—</x:v>
      </x:c>
      <x:c r="P648" s="81" t="str">
        <x:v>—</x:v>
      </x:c>
      <x:c r="Q648" s="81" t="str">
        <x:v>—</x:v>
      </x:c>
      <x:c r="R648" s="81" t="str">
        <x:v>—</x:v>
      </x:c>
      <x:c r="S648" s="81" t="str">
        <x:v>—</x:v>
      </x:c>
      <x:c r="T648" s="81" t="str">
        <x:v>—</x:v>
      </x:c>
      <x:c r="U648" s="81" t="str">
        <x:v>—</x:v>
      </x:c>
      <x:c r="V648" s="81" t="str">
        <x:v>—</x:v>
      </x:c>
    </x:row>
    <x:row r="649">
      <x:c r="A649" s="80" t="n">
        <x:v>645</x:v>
      </x:c>
      <x:c r="B649" s="80" t="str">
        <x:v>랜드로스</x:v>
      </x:c>
      <x:c r="C649" s="80" t="str">
        <x:v>landorus</x:v>
      </x:c>
      <x:c r="D649" s="80" t="str">
        <x:v>건조지</x:v>
      </x:c>
      <x:c r="E649" s="81" t="str">
        <x:v>—</x:v>
      </x:c>
      <x:c r="F649" s="81" t="str">
        <x:v>—</x:v>
      </x:c>
      <x:c r="G649" s="81" t="str">
        <x:v>—</x:v>
      </x:c>
      <x:c r="H649" s="81" t="str">
        <x:v>—</x:v>
      </x:c>
      <x:c r="I649" s="81" t="str">
        <x:v>—</x:v>
      </x:c>
      <x:c r="J649" s="81" t="str">
        <x:v>—</x:v>
      </x:c>
      <x:c r="K649" s="81" t="str">
        <x:v>—</x:v>
      </x:c>
      <x:c r="L649" s="81" t="str">
        <x:v>—</x:v>
      </x:c>
      <x:c r="M649" s="81" t="str">
        <x:v>—</x:v>
      </x:c>
      <x:c r="N649" s="81" t="str">
        <x:v>—</x:v>
      </x:c>
      <x:c r="O649" s="81" t="str">
        <x:v>—</x:v>
      </x:c>
      <x:c r="P649" s="81" t="str">
        <x:v>—</x:v>
      </x:c>
      <x:c r="Q649" s="81" t="str">
        <x:v>—</x:v>
      </x:c>
      <x:c r="R649" s="81" t="str">
        <x:v>—</x:v>
      </x:c>
      <x:c r="S649" s="81" t="str">
        <x:v>—</x:v>
      </x:c>
      <x:c r="T649" s="81" t="str">
        <x:v>—</x:v>
      </x:c>
      <x:c r="U649" s="81" t="str">
        <x:v>—</x:v>
      </x:c>
      <x:c r="V649" s="81" t="str">
        <x:v>—</x:v>
      </x:c>
    </x:row>
    <x:row r="650">
      <x:c r="A650" s="80" t="n">
        <x:v>646</x:v>
      </x:c>
      <x:c r="B650" s="80" t="str">
        <x:v>큐레무</x:v>
      </x:c>
      <x:c r="C650" s="80" t="str">
        <x:v>kyurem</x:v>
      </x:c>
      <x:c r="D650" s="80" t="str">
        <x:v>설원</x:v>
      </x:c>
      <x:c r="E650" s="81" t="str">
        <x:v>—</x:v>
      </x:c>
      <x:c r="F650" s="81" t="str">
        <x:v>—</x:v>
      </x:c>
      <x:c r="G650" s="81" t="str">
        <x:v>—</x:v>
      </x:c>
      <x:c r="H650" s="81" t="str">
        <x:v>—</x:v>
      </x:c>
      <x:c r="I650" s="81" t="str">
        <x:v>—</x:v>
      </x:c>
      <x:c r="J650" s="81" t="str">
        <x:v>—</x:v>
      </x:c>
      <x:c r="K650" s="81" t="str">
        <x:v>—</x:v>
      </x:c>
      <x:c r="L650" s="81" t="str">
        <x:v>—</x:v>
      </x:c>
      <x:c r="M650" s="81" t="str">
        <x:v>—</x:v>
      </x:c>
      <x:c r="N650" s="81" t="str">
        <x:v>—</x:v>
      </x:c>
      <x:c r="O650" s="81" t="str">
        <x:v>—</x:v>
      </x:c>
      <x:c r="P650" s="81" t="str">
        <x:v>—</x:v>
      </x:c>
      <x:c r="Q650" s="81" t="str">
        <x:v>—</x:v>
      </x:c>
      <x:c r="R650" s="81" t="str">
        <x:v>—</x:v>
      </x:c>
      <x:c r="S650" s="81" t="str">
        <x:v>—</x:v>
      </x:c>
      <x:c r="T650" s="81" t="str">
        <x:v>—</x:v>
      </x:c>
      <x:c r="U650" s="81" t="str">
        <x:v>—</x:v>
      </x:c>
      <x:c r="V650" s="81" t="str">
        <x:v>—</x:v>
      </x:c>
    </x:row>
    <x:row r="651">
      <x:c r="A651" s="80" t="n">
        <x:v>647</x:v>
      </x:c>
      <x:c r="B651" s="80" t="str">
        <x:v>케르디오</x:v>
      </x:c>
      <x:c r="C651" s="80" t="str">
        <x:v>keldeo</x:v>
      </x:c>
      <x:c r="D651" s="80" t="str">
        <x:v>숲</x:v>
      </x:c>
      <x:c r="E651" s="81" t="str">
        <x:v>—</x:v>
      </x:c>
      <x:c r="F651" s="81" t="str">
        <x:v>—</x:v>
      </x:c>
      <x:c r="G651" s="81" t="str">
        <x:v>—</x:v>
      </x:c>
      <x:c r="H651" s="81" t="str">
        <x:v>—</x:v>
      </x:c>
      <x:c r="I651" s="81" t="str">
        <x:v>—</x:v>
      </x:c>
      <x:c r="J651" s="81" t="str">
        <x:v>—</x:v>
      </x:c>
      <x:c r="K651" s="81" t="str">
        <x:v>—</x:v>
      </x:c>
      <x:c r="L651" s="81" t="str">
        <x:v>—</x:v>
      </x:c>
      <x:c r="M651" s="81" t="str">
        <x:v>—</x:v>
      </x:c>
      <x:c r="N651" s="81" t="str">
        <x:v>—</x:v>
      </x:c>
      <x:c r="O651" s="81" t="str">
        <x:v>—</x:v>
      </x:c>
      <x:c r="P651" s="81" t="str">
        <x:v>—</x:v>
      </x:c>
      <x:c r="Q651" s="81" t="str">
        <x:v>—</x:v>
      </x:c>
      <x:c r="R651" s="81" t="str">
        <x:v>—</x:v>
      </x:c>
      <x:c r="S651" s="81" t="str">
        <x:v>—</x:v>
      </x:c>
      <x:c r="T651" s="81" t="str">
        <x:v>—</x:v>
      </x:c>
      <x:c r="U651" s="81" t="str">
        <x:v>—</x:v>
      </x:c>
      <x:c r="V651" s="81" t="str">
        <x:v>—</x:v>
      </x:c>
    </x:row>
    <x:row r="652">
      <x:c r="A652" s="80" t="n">
        <x:v>648</x:v>
      </x:c>
      <x:c r="B652" s="80" t="str">
        <x:v>메로엣타</x:v>
      </x:c>
      <x:c r="C652" s="80" t="str">
        <x:v>meloetta</x:v>
      </x:c>
      <x:c r="D652" s="80" t="str">
        <x:v>평원</x:v>
      </x:c>
      <x:c r="E652" s="81" t="str">
        <x:v>—</x:v>
      </x:c>
      <x:c r="F652" s="81" t="str">
        <x:v>—</x:v>
      </x:c>
      <x:c r="G652" s="81" t="str">
        <x:v>—</x:v>
      </x:c>
      <x:c r="H652" s="81" t="str">
        <x:v>—</x:v>
      </x:c>
      <x:c r="I652" s="81" t="str">
        <x:v>—</x:v>
      </x:c>
      <x:c r="J652" s="81" t="str">
        <x:v>—</x:v>
      </x:c>
      <x:c r="K652" s="81" t="str">
        <x:v>—</x:v>
      </x:c>
      <x:c r="L652" s="81" t="str">
        <x:v>—</x:v>
      </x:c>
      <x:c r="M652" s="81" t="str">
        <x:v>—</x:v>
      </x:c>
      <x:c r="N652" s="81" t="str">
        <x:v>—</x:v>
      </x:c>
      <x:c r="O652" s="81" t="str">
        <x:v>—</x:v>
      </x:c>
      <x:c r="P652" s="81" t="str">
        <x:v>—</x:v>
      </x:c>
      <x:c r="Q652" s="81" t="str">
        <x:v>—</x:v>
      </x:c>
      <x:c r="R652" s="81" t="str">
        <x:v>—</x:v>
      </x:c>
      <x:c r="S652" s="81" t="str">
        <x:v>—</x:v>
      </x:c>
      <x:c r="T652" s="81" t="str">
        <x:v>—</x:v>
      </x:c>
      <x:c r="U652" s="81" t="str">
        <x:v>—</x:v>
      </x:c>
      <x:c r="V652" s="81" t="str">
        <x:v>—</x:v>
      </x:c>
    </x:row>
    <x:row r="653">
      <x:c r="A653" s="80" t="n">
        <x:v>649</x:v>
      </x:c>
      <x:c r="B653" s="80" t="str">
        <x:v>게노세크트</x:v>
      </x:c>
      <x:c r="C653" s="80" t="str">
        <x:v>genesect</x:v>
      </x:c>
      <x:c r="D653" s="80" t="str">
        <x:v>동굴</x:v>
      </x:c>
      <x:c r="E653" s="81" t="str">
        <x:v>—</x:v>
      </x:c>
      <x:c r="F653" s="81" t="str">
        <x:v>—</x:v>
      </x:c>
      <x:c r="G653" s="81" t="str">
        <x:v>—</x:v>
      </x:c>
      <x:c r="H653" s="81" t="str">
        <x:v>—</x:v>
      </x:c>
      <x:c r="I653" s="81" t="str">
        <x:v>—</x:v>
      </x:c>
      <x:c r="J653" s="81" t="str">
        <x:v>—</x:v>
      </x:c>
      <x:c r="K653" s="81" t="str">
        <x:v>—</x:v>
      </x:c>
      <x:c r="L653" s="81" t="str">
        <x:v>—</x:v>
      </x:c>
      <x:c r="M653" s="81" t="str">
        <x:v>—</x:v>
      </x:c>
      <x:c r="N653" s="81" t="str">
        <x:v>—</x:v>
      </x:c>
      <x:c r="O653" s="81" t="str">
        <x:v>—</x:v>
      </x:c>
      <x:c r="P653" s="81" t="str">
        <x:v>—</x:v>
      </x:c>
      <x:c r="Q653" s="81" t="str">
        <x:v>—</x:v>
      </x:c>
      <x:c r="R653" s="81" t="str">
        <x:v>—</x:v>
      </x:c>
      <x:c r="S653" s="81" t="str">
        <x:v>—</x:v>
      </x:c>
      <x:c r="T653" s="81" t="str">
        <x:v>—</x:v>
      </x:c>
      <x:c r="U653" s="81" t="str">
        <x:v>—</x:v>
      </x:c>
      <x:c r="V653" s="81" t="str">
        <x:v>—</x:v>
      </x:c>
    </x:row>
    <x:row r="654">
      <x:c r="A654" s="80" t="n">
        <x:v>650</x:v>
      </x:c>
      <x:c r="B654" s="80" t="str">
        <x:v>도치마론</x:v>
      </x:c>
      <x:c r="C654" s="80" t="str">
        <x:v>chespin</x:v>
      </x:c>
      <x:c r="D654" s="80" t="str">
        <x:v>숲</x:v>
      </x:c>
      <x:c r="E654" s="81" t="str">
        <x:v>—</x:v>
      </x:c>
      <x:c r="F654" s="81" t="str">
        <x:v>—</x:v>
      </x:c>
      <x:c r="G654" s="81" t="str">
        <x:v>—</x:v>
      </x:c>
      <x:c r="H654" s="81" t="str">
        <x:v>—</x:v>
      </x:c>
      <x:c r="I654" s="81" t="str">
        <x:v>—</x:v>
      </x:c>
      <x:c r="J654" s="81" t="str">
        <x:v>—</x:v>
      </x:c>
      <x:c r="K654" s="81" t="str">
        <x:v>—</x:v>
      </x:c>
      <x:c r="L654" s="81" t="str">
        <x:v>—</x:v>
      </x:c>
      <x:c r="M654" s="81" t="str">
        <x:v>—</x:v>
      </x:c>
      <x:c r="N654" s="81" t="str">
        <x:v>—</x:v>
      </x:c>
      <x:c r="O654" s="81" t="str">
        <x:v>숲5</x:v>
      </x:c>
      <x:c r="P654" s="81" t="str">
        <x:v>평원5</x:v>
      </x:c>
      <x:c r="Q654" s="81" t="str">
        <x:v>—</x:v>
      </x:c>
      <x:c r="R654" s="81" t="str">
        <x:v>—</x:v>
      </x:c>
      <x:c r="S654" s="81" t="str">
        <x:v>—</x:v>
      </x:c>
      <x:c r="T654" s="81" t="str">
        <x:v>—</x:v>
      </x:c>
      <x:c r="U654" s="81" t="str">
        <x:v>숲5</x:v>
      </x:c>
      <x:c r="V654" s="81" t="str">
        <x:v>평원5</x:v>
      </x:c>
    </x:row>
    <x:row r="655">
      <x:c r="A655" s="80" t="n">
        <x:v>651</x:v>
      </x:c>
      <x:c r="B655" s="80" t="str">
        <x:v>도치보구</x:v>
      </x:c>
      <x:c r="C655" s="80" t="str">
        <x:v>quilladin</x:v>
      </x:c>
      <x:c r="D655" s="80" t="str">
        <x:v>숲</x:v>
      </x:c>
      <x:c r="E655" s="81" t="str">
        <x:v>—</x:v>
      </x:c>
      <x:c r="F655" s="81" t="str">
        <x:v>—</x:v>
      </x:c>
      <x:c r="G655" s="81" t="str">
        <x:v>—</x:v>
      </x:c>
      <x:c r="H655" s="81" t="str">
        <x:v>—</x:v>
      </x:c>
      <x:c r="I655" s="81" t="str">
        <x:v>—</x:v>
      </x:c>
      <x:c r="J655" s="81" t="str">
        <x:v>—</x:v>
      </x:c>
      <x:c r="K655" s="81" t="str">
        <x:v>—</x:v>
      </x:c>
      <x:c r="L655" s="81" t="str">
        <x:v>—</x:v>
      </x:c>
      <x:c r="M655" s="81" t="str">
        <x:v>—</x:v>
      </x:c>
      <x:c r="N655" s="81" t="str">
        <x:v>—</x:v>
      </x:c>
      <x:c r="O655" s="81" t="str">
        <x:v>숲5</x:v>
      </x:c>
      <x:c r="P655" s="81" t="str">
        <x:v>평원5</x:v>
      </x:c>
      <x:c r="Q655" s="81" t="str">
        <x:v>—</x:v>
      </x:c>
      <x:c r="R655" s="81" t="str">
        <x:v>—</x:v>
      </x:c>
      <x:c r="S655" s="81" t="str">
        <x:v>—</x:v>
      </x:c>
      <x:c r="T655" s="81" t="str">
        <x:v>—</x:v>
      </x:c>
      <x:c r="U655" s="81" t="str">
        <x:v>숲5</x:v>
      </x:c>
      <x:c r="V655" s="81" t="str">
        <x:v>평원5</x:v>
      </x:c>
    </x:row>
    <x:row r="656">
      <x:c r="A656" s="80" t="n">
        <x:v>652</x:v>
      </x:c>
      <x:c r="B656" s="80" t="str">
        <x:v>브리가론</x:v>
      </x:c>
      <x:c r="C656" s="80" t="str">
        <x:v>chesnaught</x:v>
      </x:c>
      <x:c r="D656" s="80" t="str">
        <x:v>숲</x:v>
      </x:c>
      <x:c r="E656" s="81" t="str">
        <x:v>—</x:v>
      </x:c>
      <x:c r="F656" s="81" t="str">
        <x:v>—</x:v>
      </x:c>
      <x:c r="G656" s="81" t="str">
        <x:v>—</x:v>
      </x:c>
      <x:c r="H656" s="81" t="str">
        <x:v>—</x:v>
      </x:c>
      <x:c r="I656" s="81" t="str">
        <x:v>—</x:v>
      </x:c>
      <x:c r="J656" s="81" t="str">
        <x:v>—</x:v>
      </x:c>
      <x:c r="K656" s="81" t="str">
        <x:v>—</x:v>
      </x:c>
      <x:c r="L656" s="81" t="str">
        <x:v>—</x:v>
      </x:c>
      <x:c r="M656" s="81" t="str">
        <x:v>—</x:v>
      </x:c>
      <x:c r="N656" s="81" t="str">
        <x:v>—</x:v>
      </x:c>
      <x:c r="O656" s="81" t="str">
        <x:v>숲5</x:v>
      </x:c>
      <x:c r="P656" s="81" t="str">
        <x:v>평원5</x:v>
      </x:c>
      <x:c r="Q656" s="81" t="str">
        <x:v>—</x:v>
      </x:c>
      <x:c r="R656" s="81" t="str">
        <x:v>—</x:v>
      </x:c>
      <x:c r="S656" s="81" t="str">
        <x:v>—</x:v>
      </x:c>
      <x:c r="T656" s="81" t="str">
        <x:v>—</x:v>
      </x:c>
      <x:c r="U656" s="81" t="str">
        <x:v>숲5</x:v>
      </x:c>
      <x:c r="V656" s="81" t="str">
        <x:v>평원5</x:v>
      </x:c>
    </x:row>
    <x:row r="657">
      <x:c r="A657" s="80" t="n">
        <x:v>653</x:v>
      </x:c>
      <x:c r="B657" s="80" t="str">
        <x:v>푸호꼬</x:v>
      </x:c>
      <x:c r="C657" s="80" t="str">
        <x:v>fennekin</x:v>
      </x:c>
      <x:c r="D657" s="80" t="str">
        <x:v>건조지</x:v>
      </x:c>
      <x:c r="E657" s="81" t="str">
        <x:v>—</x:v>
      </x:c>
      <x:c r="F657" s="81" t="str">
        <x:v>—</x:v>
      </x:c>
      <x:c r="G657" s="81" t="str">
        <x:v>—</x:v>
      </x:c>
      <x:c r="H657" s="81" t="str">
        <x:v>—</x:v>
      </x:c>
      <x:c r="I657" s="81" t="str">
        <x:v>—</x:v>
      </x:c>
      <x:c r="J657" s="81" t="str">
        <x:v>—</x:v>
      </x:c>
      <x:c r="K657" s="81" t="str">
        <x:v>—</x:v>
      </x:c>
      <x:c r="L657" s="81" t="str">
        <x:v>—</x:v>
      </x:c>
      <x:c r="M657" s="81" t="str">
        <x:v>—</x:v>
      </x:c>
      <x:c r="N657" s="81" t="str">
        <x:v>—</x:v>
      </x:c>
      <x:c r="O657" s="81" t="str">
        <x:v>건조지2</x:v>
      </x:c>
      <x:c r="P657" s="81" t="str">
        <x:v>화산2</x:v>
      </x:c>
      <x:c r="Q657" s="81" t="str">
        <x:v>—</x:v>
      </x:c>
      <x:c r="R657" s="81" t="str">
        <x:v>—</x:v>
      </x:c>
      <x:c r="S657" s="81" t="str">
        <x:v>—</x:v>
      </x:c>
      <x:c r="T657" s="81" t="str">
        <x:v>—</x:v>
      </x:c>
      <x:c r="U657" s="81" t="str">
        <x:v>건조지2</x:v>
      </x:c>
      <x:c r="V657" s="81" t="str">
        <x:v>화산2</x:v>
      </x:c>
    </x:row>
    <x:row r="658">
      <x:c r="A658" s="80" t="n">
        <x:v>654</x:v>
      </x:c>
      <x:c r="B658" s="80" t="str">
        <x:v>테르나</x:v>
      </x:c>
      <x:c r="C658" s="80" t="str">
        <x:v>braixen</x:v>
      </x:c>
      <x:c r="D658" s="80" t="str">
        <x:v>건조지</x:v>
      </x:c>
      <x:c r="E658" s="81" t="str">
        <x:v>—</x:v>
      </x:c>
      <x:c r="F658" s="81" t="str">
        <x:v>—</x:v>
      </x:c>
      <x:c r="G658" s="81" t="str">
        <x:v>—</x:v>
      </x:c>
      <x:c r="H658" s="81" t="str">
        <x:v>—</x:v>
      </x:c>
      <x:c r="I658" s="81" t="str">
        <x:v>—</x:v>
      </x:c>
      <x:c r="J658" s="81" t="str">
        <x:v>—</x:v>
      </x:c>
      <x:c r="K658" s="81" t="str">
        <x:v>—</x:v>
      </x:c>
      <x:c r="L658" s="81" t="str">
        <x:v>—</x:v>
      </x:c>
      <x:c r="M658" s="81" t="str">
        <x:v>—</x:v>
      </x:c>
      <x:c r="N658" s="81" t="str">
        <x:v>—</x:v>
      </x:c>
      <x:c r="O658" s="81" t="str">
        <x:v>건조지2</x:v>
      </x:c>
      <x:c r="P658" s="81" t="str">
        <x:v>화산2</x:v>
      </x:c>
      <x:c r="Q658" s="81" t="str">
        <x:v>—</x:v>
      </x:c>
      <x:c r="R658" s="81" t="str">
        <x:v>—</x:v>
      </x:c>
      <x:c r="S658" s="81" t="str">
        <x:v>—</x:v>
      </x:c>
      <x:c r="T658" s="81" t="str">
        <x:v>—</x:v>
      </x:c>
      <x:c r="U658" s="81" t="str">
        <x:v>건조지2</x:v>
      </x:c>
      <x:c r="V658" s="81" t="str">
        <x:v>화산2</x:v>
      </x:c>
    </x:row>
    <x:row r="659">
      <x:c r="A659" s="80" t="n">
        <x:v>655</x:v>
      </x:c>
      <x:c r="B659" s="80" t="str">
        <x:v>마폭시</x:v>
      </x:c>
      <x:c r="C659" s="80" t="str">
        <x:v>delphox</x:v>
      </x:c>
      <x:c r="D659" s="80" t="str">
        <x:v>건조지</x:v>
      </x:c>
      <x:c r="E659" s="81" t="str">
        <x:v>—</x:v>
      </x:c>
      <x:c r="F659" s="81" t="str">
        <x:v>—</x:v>
      </x:c>
      <x:c r="G659" s="81" t="str">
        <x:v>—</x:v>
      </x:c>
      <x:c r="H659" s="81" t="str">
        <x:v>—</x:v>
      </x:c>
      <x:c r="I659" s="81" t="str">
        <x:v>—</x:v>
      </x:c>
      <x:c r="J659" s="81" t="str">
        <x:v>—</x:v>
      </x:c>
      <x:c r="K659" s="81" t="str">
        <x:v>—</x:v>
      </x:c>
      <x:c r="L659" s="81" t="str">
        <x:v>—</x:v>
      </x:c>
      <x:c r="M659" s="81" t="str">
        <x:v>—</x:v>
      </x:c>
      <x:c r="N659" s="81" t="str">
        <x:v>—</x:v>
      </x:c>
      <x:c r="O659" s="81" t="str">
        <x:v>건조지2</x:v>
      </x:c>
      <x:c r="P659" s="81" t="str">
        <x:v>화산2</x:v>
      </x:c>
      <x:c r="Q659" s="81" t="str">
        <x:v>—</x:v>
      </x:c>
      <x:c r="R659" s="81" t="str">
        <x:v>—</x:v>
      </x:c>
      <x:c r="S659" s="81" t="str">
        <x:v>—</x:v>
      </x:c>
      <x:c r="T659" s="81" t="str">
        <x:v>—</x:v>
      </x:c>
      <x:c r="U659" s="81" t="str">
        <x:v>건조지2</x:v>
      </x:c>
      <x:c r="V659" s="81" t="str">
        <x:v>화산2</x:v>
      </x:c>
    </x:row>
    <x:row r="660">
      <x:c r="A660" s="80" t="n">
        <x:v>656</x:v>
      </x:c>
      <x:c r="B660" s="80" t="str">
        <x:v>개구마르</x:v>
      </x:c>
      <x:c r="C660" s="80" t="str">
        <x:v>froakie</x:v>
      </x:c>
      <x:c r="D660" s="80" t="str">
        <x:v>담수</x:v>
      </x:c>
      <x:c r="E660" s="81" t="str">
        <x:v>—</x:v>
      </x:c>
      <x:c r="F660" s="81" t="str">
        <x:v>—</x:v>
      </x:c>
      <x:c r="G660" s="81" t="str">
        <x:v>—</x:v>
      </x:c>
      <x:c r="H660" s="81" t="str">
        <x:v>—</x:v>
      </x:c>
      <x:c r="I660" s="81" t="str">
        <x:v>—</x:v>
      </x:c>
      <x:c r="J660" s="81" t="str">
        <x:v>—</x:v>
      </x:c>
      <x:c r="K660" s="81" t="str">
        <x:v>—</x:v>
      </x:c>
      <x:c r="L660" s="81" t="str">
        <x:v>—</x:v>
      </x:c>
      <x:c r="M660" s="81" t="str">
        <x:v>—</x:v>
      </x:c>
      <x:c r="N660" s="81" t="str">
        <x:v>—</x:v>
      </x:c>
      <x:c r="O660" s="81" t="str">
        <x:v>담수3</x:v>
      </x:c>
      <x:c r="P660" s="81" t="str">
        <x:v>습지3</x:v>
      </x:c>
      <x:c r="Q660" s="81" t="str">
        <x:v>—</x:v>
      </x:c>
      <x:c r="R660" s="81" t="str">
        <x:v>—</x:v>
      </x:c>
      <x:c r="S660" s="81" t="str">
        <x:v>—</x:v>
      </x:c>
      <x:c r="T660" s="81" t="str">
        <x:v>—</x:v>
      </x:c>
      <x:c r="U660" s="81" t="str">
        <x:v>담수2</x:v>
      </x:c>
      <x:c r="V660" s="81" t="str">
        <x:v>습지2</x:v>
      </x:c>
    </x:row>
    <x:row r="661">
      <x:c r="A661" s="80" t="n">
        <x:v>657</x:v>
      </x:c>
      <x:c r="B661" s="80" t="str">
        <x:v>개굴반장</x:v>
      </x:c>
      <x:c r="C661" s="80" t="str">
        <x:v>frogadier</x:v>
      </x:c>
      <x:c r="D661" s="80" t="str">
        <x:v>담수</x:v>
      </x:c>
      <x:c r="E661" s="81" t="str">
        <x:v>—</x:v>
      </x:c>
      <x:c r="F661" s="81" t="str">
        <x:v>—</x:v>
      </x:c>
      <x:c r="G661" s="81" t="str">
        <x:v>—</x:v>
      </x:c>
      <x:c r="H661" s="81" t="str">
        <x:v>—</x:v>
      </x:c>
      <x:c r="I661" s="81" t="str">
        <x:v>—</x:v>
      </x:c>
      <x:c r="J661" s="81" t="str">
        <x:v>—</x:v>
      </x:c>
      <x:c r="K661" s="81" t="str">
        <x:v>—</x:v>
      </x:c>
      <x:c r="L661" s="81" t="str">
        <x:v>—</x:v>
      </x:c>
      <x:c r="M661" s="81" t="str">
        <x:v>—</x:v>
      </x:c>
      <x:c r="N661" s="81" t="str">
        <x:v>—</x:v>
      </x:c>
      <x:c r="O661" s="81" t="str">
        <x:v>담수3</x:v>
      </x:c>
      <x:c r="P661" s="81" t="str">
        <x:v>습지3</x:v>
      </x:c>
      <x:c r="Q661" s="81" t="str">
        <x:v>—</x:v>
      </x:c>
      <x:c r="R661" s="81" t="str">
        <x:v>—</x:v>
      </x:c>
      <x:c r="S661" s="81" t="str">
        <x:v>—</x:v>
      </x:c>
      <x:c r="T661" s="81" t="str">
        <x:v>—</x:v>
      </x:c>
      <x:c r="U661" s="81" t="str">
        <x:v>담수2</x:v>
      </x:c>
      <x:c r="V661" s="81" t="str">
        <x:v>습지3</x:v>
      </x:c>
    </x:row>
    <x:row r="662">
      <x:c r="A662" s="80" t="n">
        <x:v>658</x:v>
      </x:c>
      <x:c r="B662" s="80" t="str">
        <x:v>개굴닌자</x:v>
      </x:c>
      <x:c r="C662" s="80" t="str">
        <x:v>greninja</x:v>
      </x:c>
      <x:c r="D662" s="80" t="str">
        <x:v>담수</x:v>
      </x:c>
      <x:c r="E662" s="81" t="str">
        <x:v>—</x:v>
      </x:c>
      <x:c r="F662" s="81" t="str">
        <x:v>—</x:v>
      </x:c>
      <x:c r="G662" s="81" t="str">
        <x:v>—</x:v>
      </x:c>
      <x:c r="H662" s="81" t="str">
        <x:v>—</x:v>
      </x:c>
      <x:c r="I662" s="81" t="str">
        <x:v>—</x:v>
      </x:c>
      <x:c r="J662" s="81" t="str">
        <x:v>—</x:v>
      </x:c>
      <x:c r="K662" s="81" t="str">
        <x:v>—</x:v>
      </x:c>
      <x:c r="L662" s="81" t="str">
        <x:v>—</x:v>
      </x:c>
      <x:c r="M662" s="81" t="str">
        <x:v>—</x:v>
      </x:c>
      <x:c r="N662" s="81" t="str">
        <x:v>—</x:v>
      </x:c>
      <x:c r="O662" s="81" t="str">
        <x:v>담수3</x:v>
      </x:c>
      <x:c r="P662" s="81" t="str">
        <x:v>습지3</x:v>
      </x:c>
      <x:c r="Q662" s="81" t="str">
        <x:v>—</x:v>
      </x:c>
      <x:c r="R662" s="81" t="str">
        <x:v>—</x:v>
      </x:c>
      <x:c r="S662" s="81" t="str">
        <x:v>—</x:v>
      </x:c>
      <x:c r="T662" s="81" t="str">
        <x:v>—</x:v>
      </x:c>
      <x:c r="U662" s="81" t="str">
        <x:v>담수3</x:v>
      </x:c>
      <x:c r="V662" s="81" t="str">
        <x:v>습지3</x:v>
      </x:c>
    </x:row>
    <x:row r="663">
      <x:c r="A663" s="80" t="n">
        <x:v>659</x:v>
      </x:c>
      <x:c r="B663" s="80" t="str">
        <x:v>파르빗</x:v>
      </x:c>
      <x:c r="C663" s="80" t="str">
        <x:v>bunnelby</x:v>
      </x:c>
      <x:c r="D663" s="80" t="str">
        <x:v>산악</x:v>
      </x:c>
      <x:c r="E663" s="81" t="str">
        <x:v>—</x:v>
      </x:c>
      <x:c r="F663" s="81" t="str">
        <x:v>—</x:v>
      </x:c>
      <x:c r="G663" s="81" t="str">
        <x:v>—</x:v>
      </x:c>
      <x:c r="H663" s="81" t="str">
        <x:v>—</x:v>
      </x:c>
      <x:c r="I663" s="81" t="str">
        <x:v>—</x:v>
      </x:c>
      <x:c r="J663" s="81" t="str">
        <x:v>—</x:v>
      </x:c>
      <x:c r="K663" s="81" t="str">
        <x:v>—</x:v>
      </x:c>
      <x:c r="L663" s="81" t="str">
        <x:v>—</x:v>
      </x:c>
      <x:c r="M663" s="81" t="str">
        <x:v>—</x:v>
      </x:c>
      <x:c r="N663" s="81" t="str">
        <x:v>—</x:v>
      </x:c>
      <x:c r="O663" s="81" t="str">
        <x:v>산악3</x:v>
      </x:c>
      <x:c r="P663" s="81" t="str">
        <x:v>평원5</x:v>
      </x:c>
      <x:c r="Q663" s="81" t="str">
        <x:v>—</x:v>
      </x:c>
      <x:c r="R663" s="81" t="str">
        <x:v>—</x:v>
      </x:c>
      <x:c r="S663" s="81" t="str">
        <x:v>산악4</x:v>
      </x:c>
      <x:c r="T663" s="81" t="str">
        <x:v>평원5</x:v>
      </x:c>
      <x:c r="U663" s="81" t="str">
        <x:v>—</x:v>
      </x:c>
      <x:c r="V663" s="81" t="str">
        <x:v>—</x:v>
      </x:c>
    </x:row>
    <x:row r="664">
      <x:c r="A664" s="80" t="n">
        <x:v>660</x:v>
      </x:c>
      <x:c r="B664" s="80" t="str">
        <x:v>파르토</x:v>
      </x:c>
      <x:c r="C664" s="80" t="str">
        <x:v>diggersby</x:v>
      </x:c>
      <x:c r="D664" s="80" t="str">
        <x:v>산악</x:v>
      </x:c>
      <x:c r="E664" s="81" t="str">
        <x:v>—</x:v>
      </x:c>
      <x:c r="F664" s="81" t="str">
        <x:v>—</x:v>
      </x:c>
      <x:c r="G664" s="81" t="str">
        <x:v>—</x:v>
      </x:c>
      <x:c r="H664" s="81" t="str">
        <x:v>—</x:v>
      </x:c>
      <x:c r="I664" s="81" t="str">
        <x:v>—</x:v>
      </x:c>
      <x:c r="J664" s="81" t="str">
        <x:v>—</x:v>
      </x:c>
      <x:c r="K664" s="81" t="str">
        <x:v>—</x:v>
      </x:c>
      <x:c r="L664" s="81" t="str">
        <x:v>—</x:v>
      </x:c>
      <x:c r="M664" s="81" t="str">
        <x:v>—</x:v>
      </x:c>
      <x:c r="N664" s="81" t="str">
        <x:v>—</x:v>
      </x:c>
      <x:c r="O664" s="81" t="str">
        <x:v>산악3</x:v>
      </x:c>
      <x:c r="P664" s="81" t="str">
        <x:v>평원5</x:v>
      </x:c>
      <x:c r="Q664" s="81" t="str">
        <x:v>—</x:v>
      </x:c>
      <x:c r="R664" s="81" t="str">
        <x:v>—</x:v>
      </x:c>
      <x:c r="S664" s="81" t="str">
        <x:v>산악4</x:v>
      </x:c>
      <x:c r="T664" s="81" t="str">
        <x:v>평원5</x:v>
      </x:c>
      <x:c r="U664" s="81" t="str">
        <x:v>—</x:v>
      </x:c>
      <x:c r="V664" s="81" t="str">
        <x:v>—</x:v>
      </x:c>
    </x:row>
    <x:row r="665">
      <x:c r="A665" s="80" t="n">
        <x:v>661</x:v>
      </x:c>
      <x:c r="B665" s="80" t="str">
        <x:v>화살꼬빈</x:v>
      </x:c>
      <x:c r="C665" s="80" t="str">
        <x:v>fletchling</x:v>
      </x:c>
      <x:c r="D665" s="80" t="str">
        <x:v>숲</x:v>
      </x:c>
      <x:c r="E665" s="81" t="str">
        <x:v>—</x:v>
      </x:c>
      <x:c r="F665" s="81" t="str">
        <x:v>—</x:v>
      </x:c>
      <x:c r="G665" s="81" t="str">
        <x:v>—</x:v>
      </x:c>
      <x:c r="H665" s="81" t="str">
        <x:v>—</x:v>
      </x:c>
      <x:c r="I665" s="81" t="str">
        <x:v>—</x:v>
      </x:c>
      <x:c r="J665" s="81" t="str">
        <x:v>—</x:v>
      </x:c>
      <x:c r="K665" s="81" t="str">
        <x:v>—</x:v>
      </x:c>
      <x:c r="L665" s="81" t="str">
        <x:v>—</x:v>
      </x:c>
      <x:c r="M665" s="81" t="str">
        <x:v>—</x:v>
      </x:c>
      <x:c r="N665" s="81" t="str">
        <x:v>—</x:v>
      </x:c>
      <x:c r="O665" s="81" t="str">
        <x:v>숲5</x:v>
      </x:c>
      <x:c r="P665" s="81" t="str">
        <x:v>산악3</x:v>
      </x:c>
      <x:c r="Q665" s="81" t="str">
        <x:v>숲3</x:v>
      </x:c>
      <x:c r="R665" s="81" t="str">
        <x:v>산악3</x:v>
      </x:c>
      <x:c r="S665" s="81" t="str">
        <x:v>숲5</x:v>
      </x:c>
      <x:c r="T665" s="81" t="str">
        <x:v>산악4</x:v>
      </x:c>
      <x:c r="U665" s="81" t="str">
        <x:v>숲5</x:v>
      </x:c>
      <x:c r="V665" s="81" t="str">
        <x:v>산악3</x:v>
      </x:c>
    </x:row>
    <x:row r="666">
      <x:c r="A666" s="80" t="n">
        <x:v>662</x:v>
      </x:c>
      <x:c r="B666" s="80" t="str">
        <x:v>불화살빈</x:v>
      </x:c>
      <x:c r="C666" s="80" t="str">
        <x:v>fletchinder</x:v>
      </x:c>
      <x:c r="D666" s="80" t="str">
        <x:v>숲</x:v>
      </x:c>
      <x:c r="E666" s="81" t="str">
        <x:v>—</x:v>
      </x:c>
      <x:c r="F666" s="81" t="str">
        <x:v>—</x:v>
      </x:c>
      <x:c r="G666" s="81" t="str">
        <x:v>—</x:v>
      </x:c>
      <x:c r="H666" s="81" t="str">
        <x:v>—</x:v>
      </x:c>
      <x:c r="I666" s="81" t="str">
        <x:v>—</x:v>
      </x:c>
      <x:c r="J666" s="81" t="str">
        <x:v>—</x:v>
      </x:c>
      <x:c r="K666" s="81" t="str">
        <x:v>—</x:v>
      </x:c>
      <x:c r="L666" s="81" t="str">
        <x:v>—</x:v>
      </x:c>
      <x:c r="M666" s="81" t="str">
        <x:v>—</x:v>
      </x:c>
      <x:c r="N666" s="81" t="str">
        <x:v>—</x:v>
      </x:c>
      <x:c r="O666" s="81" t="str">
        <x:v>숲5</x:v>
      </x:c>
      <x:c r="P666" s="81" t="str">
        <x:v>산악3</x:v>
      </x:c>
      <x:c r="Q666" s="81" t="str">
        <x:v>숲3</x:v>
      </x:c>
      <x:c r="R666" s="81" t="str">
        <x:v>산악3</x:v>
      </x:c>
      <x:c r="S666" s="81" t="str">
        <x:v>숲5</x:v>
      </x:c>
      <x:c r="T666" s="81" t="str">
        <x:v>산악4</x:v>
      </x:c>
      <x:c r="U666" s="81" t="str">
        <x:v>숲5</x:v>
      </x:c>
      <x:c r="V666" s="81" t="str">
        <x:v>산악3</x:v>
      </x:c>
    </x:row>
    <x:row r="667">
      <x:c r="A667" s="80" t="n">
        <x:v>663</x:v>
      </x:c>
      <x:c r="B667" s="80" t="str">
        <x:v>파이어로</x:v>
      </x:c>
      <x:c r="C667" s="80" t="str">
        <x:v>talonflame</x:v>
      </x:c>
      <x:c r="D667" s="80" t="str">
        <x:v>숲</x:v>
      </x:c>
      <x:c r="E667" s="81" t="str">
        <x:v>—</x:v>
      </x:c>
      <x:c r="F667" s="81" t="str">
        <x:v>—</x:v>
      </x:c>
      <x:c r="G667" s="81" t="str">
        <x:v>—</x:v>
      </x:c>
      <x:c r="H667" s="81" t="str">
        <x:v>—</x:v>
      </x:c>
      <x:c r="I667" s="81" t="str">
        <x:v>—</x:v>
      </x:c>
      <x:c r="J667" s="81" t="str">
        <x:v>—</x:v>
      </x:c>
      <x:c r="K667" s="81" t="str">
        <x:v>—</x:v>
      </x:c>
      <x:c r="L667" s="81" t="str">
        <x:v>—</x:v>
      </x:c>
      <x:c r="M667" s="81" t="str">
        <x:v>—</x:v>
      </x:c>
      <x:c r="N667" s="81" t="str">
        <x:v>—</x:v>
      </x:c>
      <x:c r="O667" s="81" t="str">
        <x:v>숲5</x:v>
      </x:c>
      <x:c r="P667" s="81" t="str">
        <x:v>산악3</x:v>
      </x:c>
      <x:c r="Q667" s="81" t="str">
        <x:v>숲3</x:v>
      </x:c>
      <x:c r="R667" s="81" t="str">
        <x:v>산악3</x:v>
      </x:c>
      <x:c r="S667" s="81" t="str">
        <x:v>숲5</x:v>
      </x:c>
      <x:c r="T667" s="81" t="str">
        <x:v>산악4</x:v>
      </x:c>
      <x:c r="U667" s="81" t="str">
        <x:v>숲5</x:v>
      </x:c>
      <x:c r="V667" s="81" t="str">
        <x:v>산악3</x:v>
      </x:c>
    </x:row>
    <x:row r="668">
      <x:c r="A668" s="80" t="n">
        <x:v>664</x:v>
      </x:c>
      <x:c r="B668" s="80" t="str">
        <x:v>분이벌레</x:v>
      </x:c>
      <x:c r="C668" s="80" t="str">
        <x:v>scatterbug</x:v>
      </x:c>
      <x:c r="D668" s="80" t="str">
        <x:v>평원</x:v>
      </x:c>
      <x:c r="E668" s="81" t="str">
        <x:v>—</x:v>
      </x:c>
      <x:c r="F668" s="81" t="str">
        <x:v>—</x:v>
      </x:c>
      <x:c r="G668" s="81" t="str">
        <x:v>—</x:v>
      </x:c>
      <x:c r="H668" s="81" t="str">
        <x:v>—</x:v>
      </x:c>
      <x:c r="I668" s="81" t="str">
        <x:v>—</x:v>
      </x:c>
      <x:c r="J668" s="81" t="str">
        <x:v>—</x:v>
      </x:c>
      <x:c r="K668" s="81" t="str">
        <x:v>—</x:v>
      </x:c>
      <x:c r="L668" s="81" t="str">
        <x:v>—</x:v>
      </x:c>
      <x:c r="M668" s="81" t="str">
        <x:v>—</x:v>
      </x:c>
      <x:c r="N668" s="81" t="str">
        <x:v>—</x:v>
      </x:c>
      <x:c r="O668" s="81" t="str">
        <x:v>평원5</x:v>
      </x:c>
      <x:c r="P668" s="81" t="str">
        <x:v>숲5</x:v>
      </x:c>
      <x:c r="Q668" s="81" t="str">
        <x:v>—</x:v>
      </x:c>
      <x:c r="R668" s="81" t="str">
        <x:v>—</x:v>
      </x:c>
      <x:c r="S668" s="81" t="str">
        <x:v>—</x:v>
      </x:c>
      <x:c r="T668" s="81" t="str">
        <x:v>—</x:v>
      </x:c>
      <x:c r="U668" s="81" t="str">
        <x:v>평원5</x:v>
      </x:c>
      <x:c r="V668" s="81" t="str">
        <x:v>숲5</x:v>
      </x:c>
    </x:row>
    <x:row r="669">
      <x:c r="A669" s="80" t="n">
        <x:v>665</x:v>
      </x:c>
      <x:c r="B669" s="80" t="str">
        <x:v>분떠도리</x:v>
      </x:c>
      <x:c r="C669" s="80" t="str">
        <x:v>spewpa</x:v>
      </x:c>
      <x:c r="D669" s="80" t="str">
        <x:v>평원</x:v>
      </x:c>
      <x:c r="E669" s="81" t="str">
        <x:v>—</x:v>
      </x:c>
      <x:c r="F669" s="81" t="str">
        <x:v>—</x:v>
      </x:c>
      <x:c r="G669" s="81" t="str">
        <x:v>—</x:v>
      </x:c>
      <x:c r="H669" s="81" t="str">
        <x:v>—</x:v>
      </x:c>
      <x:c r="I669" s="81" t="str">
        <x:v>—</x:v>
      </x:c>
      <x:c r="J669" s="81" t="str">
        <x:v>—</x:v>
      </x:c>
      <x:c r="K669" s="81" t="str">
        <x:v>—</x:v>
      </x:c>
      <x:c r="L669" s="81" t="str">
        <x:v>—</x:v>
      </x:c>
      <x:c r="M669" s="81" t="str">
        <x:v>—</x:v>
      </x:c>
      <x:c r="N669" s="81" t="str">
        <x:v>—</x:v>
      </x:c>
      <x:c r="O669" s="81" t="str">
        <x:v>평원5</x:v>
      </x:c>
      <x:c r="P669" s="81" t="str">
        <x:v>숲5</x:v>
      </x:c>
      <x:c r="Q669" s="81" t="str">
        <x:v>—</x:v>
      </x:c>
      <x:c r="R669" s="81" t="str">
        <x:v>—</x:v>
      </x:c>
      <x:c r="S669" s="81" t="str">
        <x:v>—</x:v>
      </x:c>
      <x:c r="T669" s="81" t="str">
        <x:v>—</x:v>
      </x:c>
      <x:c r="U669" s="81" t="str">
        <x:v>평원5</x:v>
      </x:c>
      <x:c r="V669" s="81" t="str">
        <x:v>숲5</x:v>
      </x:c>
    </x:row>
    <x:row r="670">
      <x:c r="A670" s="80" t="n">
        <x:v>666</x:v>
      </x:c>
      <x:c r="B670" s="80" t="str">
        <x:v>비비용</x:v>
      </x:c>
      <x:c r="C670" s="80" t="str">
        <x:v>vivillon</x:v>
      </x:c>
      <x:c r="D670" s="80" t="str">
        <x:v>해양</x:v>
      </x:c>
      <x:c r="E670" s="81" t="str">
        <x:v>—</x:v>
      </x:c>
      <x:c r="F670" s="81" t="str">
        <x:v>—</x:v>
      </x:c>
      <x:c r="G670" s="81" t="str">
        <x:v>—</x:v>
      </x:c>
      <x:c r="H670" s="81" t="str">
        <x:v>—</x:v>
      </x:c>
      <x:c r="I670" s="81" t="str">
        <x:v>—</x:v>
      </x:c>
      <x:c r="J670" s="81" t="str">
        <x:v>—</x:v>
      </x:c>
      <x:c r="K670" s="81" t="str">
        <x:v>—</x:v>
      </x:c>
      <x:c r="L670" s="81" t="str">
        <x:v>—</x:v>
      </x:c>
      <x:c r="M670" s="81" t="str">
        <x:v>—</x:v>
      </x:c>
      <x:c r="N670" s="81" t="str">
        <x:v>—</x:v>
      </x:c>
      <x:c r="O670" s="81" t="str">
        <x:v>해양2</x:v>
      </x:c>
      <x:c r="P670" s="81" t="str">
        <x:v>특수1</x:v>
      </x:c>
      <x:c r="Q670" s="81" t="str">
        <x:v>—</x:v>
      </x:c>
      <x:c r="R670" s="81" t="str">
        <x:v>—</x:v>
      </x:c>
      <x:c r="S670" s="81" t="str">
        <x:v>—</x:v>
      </x:c>
      <x:c r="T670" s="81" t="str">
        <x:v>—</x:v>
      </x:c>
      <x:c r="U670" s="81" t="str">
        <x:v>해양2</x:v>
      </x:c>
      <x:c r="V670" s="81" t="str">
        <x:v>특수2</x:v>
      </x:c>
    </x:row>
    <x:row r="671">
      <x:c r="A671" s="80" t="n">
        <x:v>667</x:v>
      </x:c>
      <x:c r="B671" s="80" t="str">
        <x:v>레오꼬</x:v>
      </x:c>
      <x:c r="C671" s="80" t="str">
        <x:v>litleo</x:v>
      </x:c>
      <x:c r="D671" s="80" t="str">
        <x:v>건조지</x:v>
      </x:c>
      <x:c r="E671" s="81" t="str">
        <x:v>—</x:v>
      </x:c>
      <x:c r="F671" s="81" t="str">
        <x:v>—</x:v>
      </x:c>
      <x:c r="G671" s="81" t="str">
        <x:v>—</x:v>
      </x:c>
      <x:c r="H671" s="81" t="str">
        <x:v>—</x:v>
      </x:c>
      <x:c r="I671" s="81" t="str">
        <x:v>—</x:v>
      </x:c>
      <x:c r="J671" s="81" t="str">
        <x:v>—</x:v>
      </x:c>
      <x:c r="K671" s="81" t="str">
        <x:v>—</x:v>
      </x:c>
      <x:c r="L671" s="81" t="str">
        <x:v>—</x:v>
      </x:c>
      <x:c r="M671" s="81" t="str">
        <x:v>—</x:v>
      </x:c>
      <x:c r="N671" s="81" t="str">
        <x:v>—</x:v>
      </x:c>
      <x:c r="O671" s="81" t="str">
        <x:v>건조지2</x:v>
      </x:c>
      <x:c r="P671" s="81" t="str">
        <x:v>평원5</x:v>
      </x:c>
      <x:c r="Q671" s="81" t="str">
        <x:v>건조지2</x:v>
      </x:c>
      <x:c r="R671" s="81" t="str">
        <x:v>평원4</x:v>
      </x:c>
      <x:c r="S671" s="81" t="str">
        <x:v>—</x:v>
      </x:c>
      <x:c r="T671" s="81" t="str">
        <x:v>—</x:v>
      </x:c>
      <x:c r="U671" s="81" t="str">
        <x:v>건조지2</x:v>
      </x:c>
      <x:c r="V671" s="81" t="str">
        <x:v>평원5</x:v>
      </x:c>
    </x:row>
    <x:row r="672">
      <x:c r="A672" s="80" t="n">
        <x:v>668</x:v>
      </x:c>
      <x:c r="B672" s="80" t="str">
        <x:v>화염레오</x:v>
      </x:c>
      <x:c r="C672" s="80" t="str">
        <x:v>pyroar</x:v>
      </x:c>
      <x:c r="D672" s="80" t="str">
        <x:v>건조지</x:v>
      </x:c>
      <x:c r="E672" s="81" t="str">
        <x:v>—</x:v>
      </x:c>
      <x:c r="F672" s="81" t="str">
        <x:v>—</x:v>
      </x:c>
      <x:c r="G672" s="81" t="str">
        <x:v>—</x:v>
      </x:c>
      <x:c r="H672" s="81" t="str">
        <x:v>—</x:v>
      </x:c>
      <x:c r="I672" s="81" t="str">
        <x:v>—</x:v>
      </x:c>
      <x:c r="J672" s="81" t="str">
        <x:v>—</x:v>
      </x:c>
      <x:c r="K672" s="81" t="str">
        <x:v>—</x:v>
      </x:c>
      <x:c r="L672" s="81" t="str">
        <x:v>—</x:v>
      </x:c>
      <x:c r="M672" s="81" t="str">
        <x:v>—</x:v>
      </x:c>
      <x:c r="N672" s="81" t="str">
        <x:v>—</x:v>
      </x:c>
      <x:c r="O672" s="81" t="str">
        <x:v>건조지2</x:v>
      </x:c>
      <x:c r="P672" s="81" t="str">
        <x:v>평원5</x:v>
      </x:c>
      <x:c r="Q672" s="81" t="str">
        <x:v>건조지2</x:v>
      </x:c>
      <x:c r="R672" s="81" t="str">
        <x:v>평원5</x:v>
      </x:c>
      <x:c r="S672" s="81" t="str">
        <x:v>—</x:v>
      </x:c>
      <x:c r="T672" s="81" t="str">
        <x:v>—</x:v>
      </x:c>
      <x:c r="U672" s="81" t="str">
        <x:v>건조지2</x:v>
      </x:c>
      <x:c r="V672" s="81" t="str">
        <x:v>평원5</x:v>
      </x:c>
    </x:row>
    <x:row r="673">
      <x:c r="A673" s="80" t="n">
        <x:v>669</x:v>
      </x:c>
      <x:c r="B673" s="80" t="str">
        <x:v>플라베베</x:v>
      </x:c>
      <x:c r="C673" s="80" t="str">
        <x:v>flabebe</x:v>
      </x:c>
      <x:c r="D673" s="80" t="str">
        <x:v>평원</x:v>
      </x:c>
      <x:c r="E673" s="81" t="str">
        <x:v>—</x:v>
      </x:c>
      <x:c r="F673" s="81" t="str">
        <x:v>—</x:v>
      </x:c>
      <x:c r="G673" s="81" t="str">
        <x:v>—</x:v>
      </x:c>
      <x:c r="H673" s="81" t="str">
        <x:v>—</x:v>
      </x:c>
      <x:c r="I673" s="81" t="str">
        <x:v>—</x:v>
      </x:c>
      <x:c r="J673" s="81" t="str">
        <x:v>—</x:v>
      </x:c>
      <x:c r="K673" s="81" t="str">
        <x:v>—</x:v>
      </x:c>
      <x:c r="L673" s="81" t="str">
        <x:v>—</x:v>
      </x:c>
      <x:c r="M673" s="81" t="str">
        <x:v>—</x:v>
      </x:c>
      <x:c r="N673" s="81" t="str">
        <x:v>—</x:v>
      </x:c>
      <x:c r="O673" s="81" t="str">
        <x:v>평원5</x:v>
      </x:c>
      <x:c r="P673" s="81" t="str">
        <x:v>숲5</x:v>
      </x:c>
      <x:c r="Q673" s="81" t="str">
        <x:v>평원5</x:v>
      </x:c>
      <x:c r="R673" s="81" t="str">
        <x:v>숲3</x:v>
      </x:c>
      <x:c r="S673" s="81" t="str">
        <x:v>—</x:v>
      </x:c>
      <x:c r="T673" s="81" t="str">
        <x:v>—</x:v>
      </x:c>
      <x:c r="U673" s="81" t="str">
        <x:v>평원5</x:v>
      </x:c>
      <x:c r="V673" s="81" t="str">
        <x:v>숲5</x:v>
      </x:c>
    </x:row>
    <x:row r="674">
      <x:c r="A674" s="80" t="n">
        <x:v>670</x:v>
      </x:c>
      <x:c r="B674" s="80" t="str">
        <x:v>플라엣테</x:v>
      </x:c>
      <x:c r="C674" s="80" t="str">
        <x:v>floette</x:v>
      </x:c>
      <x:c r="D674" s="80" t="str">
        <x:v>평원</x:v>
      </x:c>
      <x:c r="E674" s="81" t="str">
        <x:v>—</x:v>
      </x:c>
      <x:c r="F674" s="81" t="str">
        <x:v>—</x:v>
      </x:c>
      <x:c r="G674" s="81" t="str">
        <x:v>—</x:v>
      </x:c>
      <x:c r="H674" s="81" t="str">
        <x:v>—</x:v>
      </x:c>
      <x:c r="I674" s="81" t="str">
        <x:v>—</x:v>
      </x:c>
      <x:c r="J674" s="81" t="str">
        <x:v>—</x:v>
      </x:c>
      <x:c r="K674" s="81" t="str">
        <x:v>—</x:v>
      </x:c>
      <x:c r="L674" s="81" t="str">
        <x:v>—</x:v>
      </x:c>
      <x:c r="M674" s="81" t="str">
        <x:v>—</x:v>
      </x:c>
      <x:c r="N674" s="81" t="str">
        <x:v>—</x:v>
      </x:c>
      <x:c r="O674" s="81" t="str">
        <x:v>평원5</x:v>
      </x:c>
      <x:c r="P674" s="81" t="str">
        <x:v>숲5</x:v>
      </x:c>
      <x:c r="Q674" s="81" t="str">
        <x:v>평원5</x:v>
      </x:c>
      <x:c r="R674" s="81" t="str">
        <x:v>숲3</x:v>
      </x:c>
      <x:c r="S674" s="81" t="str">
        <x:v>—</x:v>
      </x:c>
      <x:c r="T674" s="81" t="str">
        <x:v>—</x:v>
      </x:c>
      <x:c r="U674" s="81" t="str">
        <x:v>평원5</x:v>
      </x:c>
      <x:c r="V674" s="81" t="str">
        <x:v>숲5</x:v>
      </x:c>
    </x:row>
    <x:row r="675">
      <x:c r="A675" s="80" t="n">
        <x:v>671</x:v>
      </x:c>
      <x:c r="B675" s="80" t="str">
        <x:v>플라제스</x:v>
      </x:c>
      <x:c r="C675" s="80" t="str">
        <x:v>florges</x:v>
      </x:c>
      <x:c r="D675" s="80" t="str">
        <x:v>평원</x:v>
      </x:c>
      <x:c r="E675" s="81" t="str">
        <x:v>—</x:v>
      </x:c>
      <x:c r="F675" s="81" t="str">
        <x:v>—</x:v>
      </x:c>
      <x:c r="G675" s="81" t="str">
        <x:v>—</x:v>
      </x:c>
      <x:c r="H675" s="81" t="str">
        <x:v>—</x:v>
      </x:c>
      <x:c r="I675" s="81" t="str">
        <x:v>—</x:v>
      </x:c>
      <x:c r="J675" s="81" t="str">
        <x:v>—</x:v>
      </x:c>
      <x:c r="K675" s="81" t="str">
        <x:v>—</x:v>
      </x:c>
      <x:c r="L675" s="81" t="str">
        <x:v>—</x:v>
      </x:c>
      <x:c r="M675" s="81" t="str">
        <x:v>—</x:v>
      </x:c>
      <x:c r="N675" s="81" t="str">
        <x:v>—</x:v>
      </x:c>
      <x:c r="O675" s="81" t="str">
        <x:v>평원5</x:v>
      </x:c>
      <x:c r="P675" s="81" t="str">
        <x:v>숲5</x:v>
      </x:c>
      <x:c r="Q675" s="81" t="str">
        <x:v>평원5</x:v>
      </x:c>
      <x:c r="R675" s="81" t="str">
        <x:v>숲3</x:v>
      </x:c>
      <x:c r="S675" s="81" t="str">
        <x:v>—</x:v>
      </x:c>
      <x:c r="T675" s="81" t="str">
        <x:v>—</x:v>
      </x:c>
      <x:c r="U675" s="81" t="str">
        <x:v>평원5</x:v>
      </x:c>
      <x:c r="V675" s="81" t="str">
        <x:v>숲5</x:v>
      </x:c>
    </x:row>
    <x:row r="676">
      <x:c r="A676" s="80" t="n">
        <x:v>672</x:v>
      </x:c>
      <x:c r="B676" s="80" t="str">
        <x:v>메이클</x:v>
      </x:c>
      <x:c r="C676" s="80" t="str">
        <x:v>skiddo</x:v>
      </x:c>
      <x:c r="D676" s="80" t="str">
        <x:v>산악</x:v>
      </x:c>
      <x:c r="E676" s="81" t="str">
        <x:v>—</x:v>
      </x:c>
      <x:c r="F676" s="81" t="str">
        <x:v>—</x:v>
      </x:c>
      <x:c r="G676" s="81" t="str">
        <x:v>—</x:v>
      </x:c>
      <x:c r="H676" s="81" t="str">
        <x:v>—</x:v>
      </x:c>
      <x:c r="I676" s="81" t="str">
        <x:v>—</x:v>
      </x:c>
      <x:c r="J676" s="81" t="str">
        <x:v>—</x:v>
      </x:c>
      <x:c r="K676" s="81" t="str">
        <x:v>—</x:v>
      </x:c>
      <x:c r="L676" s="81" t="str">
        <x:v>—</x:v>
      </x:c>
      <x:c r="M676" s="81" t="str">
        <x:v>—</x:v>
      </x:c>
      <x:c r="N676" s="81" t="str">
        <x:v>—</x:v>
      </x:c>
      <x:c r="O676" s="81" t="str">
        <x:v>산악3</x:v>
      </x:c>
      <x:c r="P676" s="81" t="str">
        <x:v>숲5</x:v>
      </x:c>
      <x:c r="Q676" s="81" t="str">
        <x:v>—</x:v>
      </x:c>
      <x:c r="R676" s="81" t="str">
        <x:v>—</x:v>
      </x:c>
      <x:c r="S676" s="81" t="str">
        <x:v>—</x:v>
      </x:c>
      <x:c r="T676" s="81" t="str">
        <x:v>—</x:v>
      </x:c>
      <x:c r="U676" s="81" t="str">
        <x:v>산악3</x:v>
      </x:c>
      <x:c r="V676" s="81" t="str">
        <x:v>숲5</x:v>
      </x:c>
    </x:row>
    <x:row r="677">
      <x:c r="A677" s="80" t="n">
        <x:v>673</x:v>
      </x:c>
      <x:c r="B677" s="80" t="str">
        <x:v>고고트</x:v>
      </x:c>
      <x:c r="C677" s="80" t="str">
        <x:v>gogoat</x:v>
      </x:c>
      <x:c r="D677" s="80" t="str">
        <x:v>산악</x:v>
      </x:c>
      <x:c r="E677" s="81" t="str">
        <x:v>—</x:v>
      </x:c>
      <x:c r="F677" s="81" t="str">
        <x:v>—</x:v>
      </x:c>
      <x:c r="G677" s="81" t="str">
        <x:v>—</x:v>
      </x:c>
      <x:c r="H677" s="81" t="str">
        <x:v>—</x:v>
      </x:c>
      <x:c r="I677" s="81" t="str">
        <x:v>—</x:v>
      </x:c>
      <x:c r="J677" s="81" t="str">
        <x:v>—</x:v>
      </x:c>
      <x:c r="K677" s="81" t="str">
        <x:v>—</x:v>
      </x:c>
      <x:c r="L677" s="81" t="str">
        <x:v>—</x:v>
      </x:c>
      <x:c r="M677" s="81" t="str">
        <x:v>—</x:v>
      </x:c>
      <x:c r="N677" s="81" t="str">
        <x:v>—</x:v>
      </x:c>
      <x:c r="O677" s="81" t="str">
        <x:v>산악3</x:v>
      </x:c>
      <x:c r="P677" s="81" t="str">
        <x:v>숲5</x:v>
      </x:c>
      <x:c r="Q677" s="81" t="str">
        <x:v>—</x:v>
      </x:c>
      <x:c r="R677" s="81" t="str">
        <x:v>—</x:v>
      </x:c>
      <x:c r="S677" s="81" t="str">
        <x:v>—</x:v>
      </x:c>
      <x:c r="T677" s="81" t="str">
        <x:v>—</x:v>
      </x:c>
      <x:c r="U677" s="81" t="str">
        <x:v>산악3</x:v>
      </x:c>
      <x:c r="V677" s="81" t="str">
        <x:v>숲5</x:v>
      </x:c>
    </x:row>
    <x:row r="678">
      <x:c r="A678" s="80" t="n">
        <x:v>674</x:v>
      </x:c>
      <x:c r="B678" s="80" t="str">
        <x:v>판짱</x:v>
      </x:c>
      <x:c r="C678" s="80" t="str">
        <x:v>pancham</x:v>
      </x:c>
      <x:c r="D678" s="80" t="str">
        <x:v>숲</x:v>
      </x:c>
      <x:c r="E678" s="81" t="str">
        <x:v>—</x:v>
      </x:c>
      <x:c r="F678" s="81" t="str">
        <x:v>—</x:v>
      </x:c>
      <x:c r="G678" s="81" t="str">
        <x:v>—</x:v>
      </x:c>
      <x:c r="H678" s="81" t="str">
        <x:v>—</x:v>
      </x:c>
      <x:c r="I678" s="81" t="str">
        <x:v>—</x:v>
      </x:c>
      <x:c r="J678" s="81" t="str">
        <x:v>—</x:v>
      </x:c>
      <x:c r="K678" s="81" t="str">
        <x:v>—</x:v>
      </x:c>
      <x:c r="L678" s="81" t="str">
        <x:v>—</x:v>
      </x:c>
      <x:c r="M678" s="81" t="str">
        <x:v>—</x:v>
      </x:c>
      <x:c r="N678" s="81" t="str">
        <x:v>—</x:v>
      </x:c>
      <x:c r="O678" s="81" t="str">
        <x:v>숲5</x:v>
      </x:c>
      <x:c r="P678" s="81" t="str">
        <x:v>습지3</x:v>
      </x:c>
      <x:c r="Q678" s="81" t="str">
        <x:v>숲3</x:v>
      </x:c>
      <x:c r="R678" s="81" t="str">
        <x:v>습지2</x:v>
      </x:c>
      <x:c r="S678" s="81" t="str">
        <x:v>숲5</x:v>
      </x:c>
      <x:c r="T678" s="81" t="str">
        <x:v>습지3</x:v>
      </x:c>
      <x:c r="U678" s="81" t="str">
        <x:v>—</x:v>
      </x:c>
      <x:c r="V678" s="81" t="str">
        <x:v>—</x:v>
      </x:c>
    </x:row>
    <x:row r="679">
      <x:c r="A679" s="80" t="n">
        <x:v>675</x:v>
      </x:c>
      <x:c r="B679" s="80" t="str">
        <x:v>부란다</x:v>
      </x:c>
      <x:c r="C679" s="80" t="str">
        <x:v>pangoro</x:v>
      </x:c>
      <x:c r="D679" s="80" t="str">
        <x:v>숲</x:v>
      </x:c>
      <x:c r="E679" s="81" t="str">
        <x:v>—</x:v>
      </x:c>
      <x:c r="F679" s="81" t="str">
        <x:v>—</x:v>
      </x:c>
      <x:c r="G679" s="81" t="str">
        <x:v>—</x:v>
      </x:c>
      <x:c r="H679" s="81" t="str">
        <x:v>—</x:v>
      </x:c>
      <x:c r="I679" s="81" t="str">
        <x:v>—</x:v>
      </x:c>
      <x:c r="J679" s="81" t="str">
        <x:v>—</x:v>
      </x:c>
      <x:c r="K679" s="81" t="str">
        <x:v>—</x:v>
      </x:c>
      <x:c r="L679" s="81" t="str">
        <x:v>—</x:v>
      </x:c>
      <x:c r="M679" s="81" t="str">
        <x:v>—</x:v>
      </x:c>
      <x:c r="N679" s="81" t="str">
        <x:v>—</x:v>
      </x:c>
      <x:c r="O679" s="81" t="str">
        <x:v>숲5</x:v>
      </x:c>
      <x:c r="P679" s="81" t="str">
        <x:v>습지3</x:v>
      </x:c>
      <x:c r="Q679" s="81" t="str">
        <x:v>숲3</x:v>
      </x:c>
      <x:c r="R679" s="81" t="str">
        <x:v>습지2</x:v>
      </x:c>
      <x:c r="S679" s="81" t="str">
        <x:v>숲5</x:v>
      </x:c>
      <x:c r="T679" s="81" t="str">
        <x:v>습지3</x:v>
      </x:c>
      <x:c r="U679" s="81" t="str">
        <x:v>—</x:v>
      </x:c>
      <x:c r="V679" s="81" t="str">
        <x:v>—</x:v>
      </x:c>
    </x:row>
    <x:row r="680">
      <x:c r="A680" s="80" t="n">
        <x:v>676</x:v>
      </x:c>
      <x:c r="B680" s="80" t="str">
        <x:v>트리미앙</x:v>
      </x:c>
      <x:c r="C680" s="80" t="str">
        <x:v>furfrou</x:v>
      </x:c>
      <x:c r="D680" s="80" t="str">
        <x:v>평원</x:v>
      </x:c>
      <x:c r="E680" s="81" t="str">
        <x:v>—</x:v>
      </x:c>
      <x:c r="F680" s="81" t="str">
        <x:v>—</x:v>
      </x:c>
      <x:c r="G680" s="81" t="str">
        <x:v>—</x:v>
      </x:c>
      <x:c r="H680" s="81" t="str">
        <x:v>—</x:v>
      </x:c>
      <x:c r="I680" s="81" t="str">
        <x:v>—</x:v>
      </x:c>
      <x:c r="J680" s="81" t="str">
        <x:v>—</x:v>
      </x:c>
      <x:c r="K680" s="81" t="str">
        <x:v>—</x:v>
      </x:c>
      <x:c r="L680" s="81" t="str">
        <x:v>—</x:v>
      </x:c>
      <x:c r="M680" s="81" t="str">
        <x:v>—</x:v>
      </x:c>
      <x:c r="N680" s="81" t="str">
        <x:v>—</x:v>
      </x:c>
      <x:c r="O680" s="81" t="str">
        <x:v>평원5</x:v>
      </x:c>
      <x:c r="P680" s="81" t="str">
        <x:v>숲5</x:v>
      </x:c>
      <x:c r="Q680" s="81" t="str">
        <x:v>평원5</x:v>
      </x:c>
      <x:c r="R680" s="81" t="str">
        <x:v>숲3</x:v>
      </x:c>
      <x:c r="S680" s="81" t="str">
        <x:v>—</x:v>
      </x:c>
      <x:c r="T680" s="81" t="str">
        <x:v>—</x:v>
      </x:c>
      <x:c r="U680" s="81" t="str">
        <x:v>—</x:v>
      </x:c>
      <x:c r="V680" s="81" t="str">
        <x:v>—</x:v>
      </x:c>
    </x:row>
    <x:row r="681">
      <x:c r="A681" s="80" t="n">
        <x:v>677</x:v>
      </x:c>
      <x:c r="B681" s="80" t="str">
        <x:v>냐스퍼</x:v>
      </x:c>
      <x:c r="C681" s="80" t="str">
        <x:v>espurr</x:v>
      </x:c>
      <x:c r="D681" s="80" t="str">
        <x:v>건조지</x:v>
      </x:c>
      <x:c r="E681" s="81" t="str">
        <x:v>—</x:v>
      </x:c>
      <x:c r="F681" s="81" t="str">
        <x:v>—</x:v>
      </x:c>
      <x:c r="G681" s="81" t="str">
        <x:v>—</x:v>
      </x:c>
      <x:c r="H681" s="81" t="str">
        <x:v>—</x:v>
      </x:c>
      <x:c r="I681" s="81" t="str">
        <x:v>—</x:v>
      </x:c>
      <x:c r="J681" s="81" t="str">
        <x:v>—</x:v>
      </x:c>
      <x:c r="K681" s="81" t="str">
        <x:v>—</x:v>
      </x:c>
      <x:c r="L681" s="81" t="str">
        <x:v>—</x:v>
      </x:c>
      <x:c r="M681" s="81" t="str">
        <x:v>—</x:v>
      </x:c>
      <x:c r="N681" s="81" t="str">
        <x:v>—</x:v>
      </x:c>
      <x:c r="O681" s="81" t="str">
        <x:v>건조지2</x:v>
      </x:c>
      <x:c r="P681" s="81" t="str">
        <x:v>화산2</x:v>
      </x:c>
      <x:c r="Q681" s="81" t="str">
        <x:v>—</x:v>
      </x:c>
      <x:c r="R681" s="81" t="str">
        <x:v>—</x:v>
      </x:c>
      <x:c r="S681" s="81" t="str">
        <x:v>건조지2</x:v>
      </x:c>
      <x:c r="T681" s="81" t="str">
        <x:v>화산2</x:v>
      </x:c>
      <x:c r="U681" s="81" t="str">
        <x:v>건조지2</x:v>
      </x:c>
      <x:c r="V681" s="81" t="str">
        <x:v>화산2</x:v>
      </x:c>
    </x:row>
    <x:row r="682">
      <x:c r="A682" s="80" t="n">
        <x:v>678</x:v>
      </x:c>
      <x:c r="B682" s="80" t="str">
        <x:v>냐오닉스</x:v>
      </x:c>
      <x:c r="C682" s="80" t="str">
        <x:v>meowstic</x:v>
      </x:c>
      <x:c r="D682" s="80" t="str">
        <x:v>건조지</x:v>
      </x:c>
      <x:c r="E682" s="81" t="str">
        <x:v>—</x:v>
      </x:c>
      <x:c r="F682" s="81" t="str">
        <x:v>—</x:v>
      </x:c>
      <x:c r="G682" s="81" t="str">
        <x:v>—</x:v>
      </x:c>
      <x:c r="H682" s="81" t="str">
        <x:v>—</x:v>
      </x:c>
      <x:c r="I682" s="81" t="str">
        <x:v>—</x:v>
      </x:c>
      <x:c r="J682" s="81" t="str">
        <x:v>—</x:v>
      </x:c>
      <x:c r="K682" s="81" t="str">
        <x:v>—</x:v>
      </x:c>
      <x:c r="L682" s="81" t="str">
        <x:v>—</x:v>
      </x:c>
      <x:c r="M682" s="81" t="str">
        <x:v>—</x:v>
      </x:c>
      <x:c r="N682" s="81" t="str">
        <x:v>—</x:v>
      </x:c>
      <x:c r="O682" s="81" t="str">
        <x:v>건조지2</x:v>
      </x:c>
      <x:c r="P682" s="81" t="str">
        <x:v>화산2</x:v>
      </x:c>
      <x:c r="Q682" s="81" t="str">
        <x:v>—</x:v>
      </x:c>
      <x:c r="R682" s="81" t="str">
        <x:v>—</x:v>
      </x:c>
      <x:c r="S682" s="81" t="str">
        <x:v>건조지2</x:v>
      </x:c>
      <x:c r="T682" s="81" t="str">
        <x:v>화산2</x:v>
      </x:c>
      <x:c r="U682" s="81" t="str">
        <x:v>건조지2</x:v>
      </x:c>
      <x:c r="V682" s="81" t="str">
        <x:v>화산2</x:v>
      </x:c>
    </x:row>
    <x:row r="683">
      <x:c r="A683" s="80" t="n">
        <x:v>679</x:v>
      </x:c>
      <x:c r="B683" s="80" t="str">
        <x:v>단칼빙</x:v>
      </x:c>
      <x:c r="C683" s="80" t="str">
        <x:v>honedge</x:v>
      </x:c>
      <x:c r="D683" s="80" t="str">
        <x:v>화산</x:v>
      </x:c>
      <x:c r="E683" s="81" t="str">
        <x:v>—</x:v>
      </x:c>
      <x:c r="F683" s="81" t="str">
        <x:v>—</x:v>
      </x:c>
      <x:c r="G683" s="81" t="str">
        <x:v>—</x:v>
      </x:c>
      <x:c r="H683" s="81" t="str">
        <x:v>—</x:v>
      </x:c>
      <x:c r="I683" s="81" t="str">
        <x:v>—</x:v>
      </x:c>
      <x:c r="J683" s="81" t="str">
        <x:v>—</x:v>
      </x:c>
      <x:c r="K683" s="81" t="str">
        <x:v>—</x:v>
      </x:c>
      <x:c r="L683" s="81" t="str">
        <x:v>—</x:v>
      </x:c>
      <x:c r="M683" s="81" t="str">
        <x:v>—</x:v>
      </x:c>
      <x:c r="N683" s="81" t="str">
        <x:v>—</x:v>
      </x:c>
      <x:c r="O683" s="81" t="str">
        <x:v>화산2</x:v>
      </x:c>
      <x:c r="P683" s="81" t="str">
        <x:v>특수1</x:v>
      </x:c>
      <x:c r="Q683" s="81" t="str">
        <x:v>—</x:v>
      </x:c>
      <x:c r="R683" s="81" t="str">
        <x:v>—</x:v>
      </x:c>
      <x:c r="S683" s="81" t="str">
        <x:v>화산2</x:v>
      </x:c>
      <x:c r="T683" s="81" t="str">
        <x:v>특수2</x:v>
      </x:c>
      <x:c r="U683" s="81" t="str">
        <x:v>—</x:v>
      </x:c>
      <x:c r="V683" s="81" t="str">
        <x:v>—</x:v>
      </x:c>
    </x:row>
    <x:row r="684">
      <x:c r="A684" s="80" t="n">
        <x:v>680</x:v>
      </x:c>
      <x:c r="B684" s="80" t="str">
        <x:v>쌍검킬</x:v>
      </x:c>
      <x:c r="C684" s="80" t="str">
        <x:v>doublade</x:v>
      </x:c>
      <x:c r="D684" s="80" t="str">
        <x:v>화산</x:v>
      </x:c>
      <x:c r="E684" s="81" t="str">
        <x:v>—</x:v>
      </x:c>
      <x:c r="F684" s="81" t="str">
        <x:v>—</x:v>
      </x:c>
      <x:c r="G684" s="81" t="str">
        <x:v>—</x:v>
      </x:c>
      <x:c r="H684" s="81" t="str">
        <x:v>—</x:v>
      </x:c>
      <x:c r="I684" s="81" t="str">
        <x:v>—</x:v>
      </x:c>
      <x:c r="J684" s="81" t="str">
        <x:v>—</x:v>
      </x:c>
      <x:c r="K684" s="81" t="str">
        <x:v>—</x:v>
      </x:c>
      <x:c r="L684" s="81" t="str">
        <x:v>—</x:v>
      </x:c>
      <x:c r="M684" s="81" t="str">
        <x:v>—</x:v>
      </x:c>
      <x:c r="N684" s="81" t="str">
        <x:v>—</x:v>
      </x:c>
      <x:c r="O684" s="81" t="str">
        <x:v>화산2</x:v>
      </x:c>
      <x:c r="P684" s="81" t="str">
        <x:v>특수1</x:v>
      </x:c>
      <x:c r="Q684" s="81" t="str">
        <x:v>—</x:v>
      </x:c>
      <x:c r="R684" s="81" t="str">
        <x:v>—</x:v>
      </x:c>
      <x:c r="S684" s="81" t="str">
        <x:v>화산2</x:v>
      </x:c>
      <x:c r="T684" s="81" t="str">
        <x:v>특수2</x:v>
      </x:c>
      <x:c r="U684" s="81" t="str">
        <x:v>—</x:v>
      </x:c>
      <x:c r="V684" s="81" t="str">
        <x:v>—</x:v>
      </x:c>
    </x:row>
    <x:row r="685">
      <x:c r="A685" s="80" t="n">
        <x:v>681</x:v>
      </x:c>
      <x:c r="B685" s="80" t="str">
        <x:v>킬가르도</x:v>
      </x:c>
      <x:c r="C685" s="80" t="str">
        <x:v>aegislash</x:v>
      </x:c>
      <x:c r="D685" s="80" t="str">
        <x:v>화산</x:v>
      </x:c>
      <x:c r="E685" s="81" t="str">
        <x:v>—</x:v>
      </x:c>
      <x:c r="F685" s="81" t="str">
        <x:v>—</x:v>
      </x:c>
      <x:c r="G685" s="81" t="str">
        <x:v>—</x:v>
      </x:c>
      <x:c r="H685" s="81" t="str">
        <x:v>—</x:v>
      </x:c>
      <x:c r="I685" s="81" t="str">
        <x:v>—</x:v>
      </x:c>
      <x:c r="J685" s="81" t="str">
        <x:v>—</x:v>
      </x:c>
      <x:c r="K685" s="81" t="str">
        <x:v>—</x:v>
      </x:c>
      <x:c r="L685" s="81" t="str">
        <x:v>—</x:v>
      </x:c>
      <x:c r="M685" s="81" t="str">
        <x:v>—</x:v>
      </x:c>
      <x:c r="N685" s="81" t="str">
        <x:v>—</x:v>
      </x:c>
      <x:c r="O685" s="81" t="str">
        <x:v>화산2</x:v>
      </x:c>
      <x:c r="P685" s="81" t="str">
        <x:v>특수1</x:v>
      </x:c>
      <x:c r="Q685" s="81" t="str">
        <x:v>—</x:v>
      </x:c>
      <x:c r="R685" s="81" t="str">
        <x:v>—</x:v>
      </x:c>
      <x:c r="S685" s="81" t="str">
        <x:v>화산2</x:v>
      </x:c>
      <x:c r="T685" s="81" t="str">
        <x:v>특수2</x:v>
      </x:c>
      <x:c r="U685" s="81" t="str">
        <x:v>—</x:v>
      </x:c>
      <x:c r="V685" s="81" t="str">
        <x:v>—</x:v>
      </x:c>
    </x:row>
    <x:row r="686">
      <x:c r="A686" s="80" t="n">
        <x:v>682</x:v>
      </x:c>
      <x:c r="B686" s="80" t="str">
        <x:v>슈쁘</x:v>
      </x:c>
      <x:c r="C686" s="80" t="str">
        <x:v>spritzee</x:v>
      </x:c>
      <x:c r="D686" s="80" t="str">
        <x:v>숲</x:v>
      </x:c>
      <x:c r="E686" s="81" t="str">
        <x:v>—</x:v>
      </x:c>
      <x:c r="F686" s="81" t="str">
        <x:v>—</x:v>
      </x:c>
      <x:c r="G686" s="81" t="str">
        <x:v>—</x:v>
      </x:c>
      <x:c r="H686" s="81" t="str">
        <x:v>—</x:v>
      </x:c>
      <x:c r="I686" s="81" t="str">
        <x:v>—</x:v>
      </x:c>
      <x:c r="J686" s="81" t="str">
        <x:v>—</x:v>
      </x:c>
      <x:c r="K686" s="81" t="str">
        <x:v>—</x:v>
      </x:c>
      <x:c r="L686" s="81" t="str">
        <x:v>—</x:v>
      </x:c>
      <x:c r="M686" s="81" t="str">
        <x:v>—</x:v>
      </x:c>
      <x:c r="N686" s="81" t="str">
        <x:v>—</x:v>
      </x:c>
      <x:c r="O686" s="81" t="str">
        <x:v>숲5</x:v>
      </x:c>
      <x:c r="P686" s="81" t="str">
        <x:v>평원5</x:v>
      </x:c>
      <x:c r="Q686" s="81" t="str">
        <x:v>—</x:v>
      </x:c>
      <x:c r="R686" s="81" t="str">
        <x:v>—</x:v>
      </x:c>
      <x:c r="S686" s="81" t="str">
        <x:v>숲5</x:v>
      </x:c>
      <x:c r="T686" s="81" t="str">
        <x:v>평원5</x:v>
      </x:c>
      <x:c r="U686" s="81" t="str">
        <x:v>—</x:v>
      </x:c>
      <x:c r="V686" s="81" t="str">
        <x:v>—</x:v>
      </x:c>
    </x:row>
    <x:row r="687">
      <x:c r="A687" s="80" t="n">
        <x:v>683</x:v>
      </x:c>
      <x:c r="B687" s="80" t="str">
        <x:v>프레프티르</x:v>
      </x:c>
      <x:c r="C687" s="80" t="str">
        <x:v>aromatisse</x:v>
      </x:c>
      <x:c r="D687" s="80" t="str">
        <x:v>숲</x:v>
      </x:c>
      <x:c r="E687" s="81" t="str">
        <x:v>—</x:v>
      </x:c>
      <x:c r="F687" s="81" t="str">
        <x:v>—</x:v>
      </x:c>
      <x:c r="G687" s="81" t="str">
        <x:v>—</x:v>
      </x:c>
      <x:c r="H687" s="81" t="str">
        <x:v>—</x:v>
      </x:c>
      <x:c r="I687" s="81" t="str">
        <x:v>—</x:v>
      </x:c>
      <x:c r="J687" s="81" t="str">
        <x:v>—</x:v>
      </x:c>
      <x:c r="K687" s="81" t="str">
        <x:v>—</x:v>
      </x:c>
      <x:c r="L687" s="81" t="str">
        <x:v>—</x:v>
      </x:c>
      <x:c r="M687" s="81" t="str">
        <x:v>—</x:v>
      </x:c>
      <x:c r="N687" s="81" t="str">
        <x:v>—</x:v>
      </x:c>
      <x:c r="O687" s="81" t="str">
        <x:v>숲5</x:v>
      </x:c>
      <x:c r="P687" s="81" t="str">
        <x:v>평원5</x:v>
      </x:c>
      <x:c r="Q687" s="81" t="str">
        <x:v>—</x:v>
      </x:c>
      <x:c r="R687" s="81" t="str">
        <x:v>—</x:v>
      </x:c>
      <x:c r="S687" s="81" t="str">
        <x:v>숲5</x:v>
      </x:c>
      <x:c r="T687" s="81" t="str">
        <x:v>평원5</x:v>
      </x:c>
      <x:c r="U687" s="81" t="str">
        <x:v>—</x:v>
      </x:c>
      <x:c r="V687" s="81" t="str">
        <x:v>—</x:v>
      </x:c>
    </x:row>
    <x:row r="688">
      <x:c r="A688" s="80" t="n">
        <x:v>684</x:v>
      </x:c>
      <x:c r="B688" s="80" t="str">
        <x:v>나룸퍼프</x:v>
      </x:c>
      <x:c r="C688" s="80" t="str">
        <x:v>swirlix</x:v>
      </x:c>
      <x:c r="D688" s="80" t="str">
        <x:v>숲</x:v>
      </x:c>
      <x:c r="E688" s="81" t="str">
        <x:v>—</x:v>
      </x:c>
      <x:c r="F688" s="81" t="str">
        <x:v>—</x:v>
      </x:c>
      <x:c r="G688" s="81" t="str">
        <x:v>—</x:v>
      </x:c>
      <x:c r="H688" s="81" t="str">
        <x:v>—</x:v>
      </x:c>
      <x:c r="I688" s="81" t="str">
        <x:v>—</x:v>
      </x:c>
      <x:c r="J688" s="81" t="str">
        <x:v>—</x:v>
      </x:c>
      <x:c r="K688" s="81" t="str">
        <x:v>—</x:v>
      </x:c>
      <x:c r="L688" s="81" t="str">
        <x:v>—</x:v>
      </x:c>
      <x:c r="M688" s="81" t="str">
        <x:v>—</x:v>
      </x:c>
      <x:c r="N688" s="81" t="str">
        <x:v>—</x:v>
      </x:c>
      <x:c r="O688" s="81" t="str">
        <x:v>숲5</x:v>
      </x:c>
      <x:c r="P688" s="81" t="str">
        <x:v>평원5</x:v>
      </x:c>
      <x:c r="Q688" s="81" t="str">
        <x:v>—</x:v>
      </x:c>
      <x:c r="R688" s="81" t="str">
        <x:v>—</x:v>
      </x:c>
      <x:c r="S688" s="81" t="str">
        <x:v>숲5</x:v>
      </x:c>
      <x:c r="T688" s="81" t="str">
        <x:v>평원5</x:v>
      </x:c>
      <x:c r="U688" s="81" t="str">
        <x:v>—</x:v>
      </x:c>
      <x:c r="V688" s="81" t="str">
        <x:v>—</x:v>
      </x:c>
    </x:row>
    <x:row r="689">
      <x:c r="A689" s="80" t="n">
        <x:v>685</x:v>
      </x:c>
      <x:c r="B689" s="80" t="str">
        <x:v>나루림</x:v>
      </x:c>
      <x:c r="C689" s="80" t="str">
        <x:v>slurpuff</x:v>
      </x:c>
      <x:c r="D689" s="80" t="str">
        <x:v>숲</x:v>
      </x:c>
      <x:c r="E689" s="81" t="str">
        <x:v>—</x:v>
      </x:c>
      <x:c r="F689" s="81" t="str">
        <x:v>—</x:v>
      </x:c>
      <x:c r="G689" s="81" t="str">
        <x:v>—</x:v>
      </x:c>
      <x:c r="H689" s="81" t="str">
        <x:v>—</x:v>
      </x:c>
      <x:c r="I689" s="81" t="str">
        <x:v>—</x:v>
      </x:c>
      <x:c r="J689" s="81" t="str">
        <x:v>—</x:v>
      </x:c>
      <x:c r="K689" s="81" t="str">
        <x:v>—</x:v>
      </x:c>
      <x:c r="L689" s="81" t="str">
        <x:v>—</x:v>
      </x:c>
      <x:c r="M689" s="81" t="str">
        <x:v>—</x:v>
      </x:c>
      <x:c r="N689" s="81" t="str">
        <x:v>—</x:v>
      </x:c>
      <x:c r="O689" s="81" t="str">
        <x:v>숲5</x:v>
      </x:c>
      <x:c r="P689" s="81" t="str">
        <x:v>평원5</x:v>
      </x:c>
      <x:c r="Q689" s="81" t="str">
        <x:v>—</x:v>
      </x:c>
      <x:c r="R689" s="81" t="str">
        <x:v>—</x:v>
      </x:c>
      <x:c r="S689" s="81" t="str">
        <x:v>숲5</x:v>
      </x:c>
      <x:c r="T689" s="81" t="str">
        <x:v>평원5</x:v>
      </x:c>
      <x:c r="U689" s="81" t="str">
        <x:v>—</x:v>
      </x:c>
      <x:c r="V689" s="81" t="str">
        <x:v>—</x:v>
      </x:c>
    </x:row>
    <x:row r="690">
      <x:c r="A690" s="80" t="n">
        <x:v>686</x:v>
      </x:c>
      <x:c r="B690" s="80" t="str">
        <x:v>오케이징</x:v>
      </x:c>
      <x:c r="C690" s="80" t="str">
        <x:v>inkay</x:v>
      </x:c>
      <x:c r="D690" s="80" t="str">
        <x:v>해양</x:v>
      </x:c>
      <x:c r="E690" s="81" t="str">
        <x:v>—</x:v>
      </x:c>
      <x:c r="F690" s="81" t="str">
        <x:v>—</x:v>
      </x:c>
      <x:c r="G690" s="81" t="str">
        <x:v>—</x:v>
      </x:c>
      <x:c r="H690" s="81" t="str">
        <x:v>—</x:v>
      </x:c>
      <x:c r="I690" s="81" t="str">
        <x:v>—</x:v>
      </x:c>
      <x:c r="J690" s="81" t="str">
        <x:v>—</x:v>
      </x:c>
      <x:c r="K690" s="81" t="str">
        <x:v>—</x:v>
      </x:c>
      <x:c r="L690" s="81" t="str">
        <x:v>—</x:v>
      </x:c>
      <x:c r="M690" s="81" t="str">
        <x:v>—</x:v>
      </x:c>
      <x:c r="N690" s="81" t="str">
        <x:v>—</x:v>
      </x:c>
      <x:c r="O690" s="81" t="str">
        <x:v>해양2</x:v>
      </x:c>
      <x:c r="P690" s="81" t="str">
        <x:v>담수3</x:v>
      </x:c>
      <x:c r="Q690" s="81" t="str">
        <x:v>해양2</x:v>
      </x:c>
      <x:c r="R690" s="81" t="str">
        <x:v>담수2</x:v>
      </x:c>
      <x:c r="S690" s="81" t="str">
        <x:v>해양2</x:v>
      </x:c>
      <x:c r="T690" s="81" t="str">
        <x:v>담수3</x:v>
      </x:c>
      <x:c r="U690" s="81" t="str">
        <x:v>해양2</x:v>
      </x:c>
      <x:c r="V690" s="81" t="str">
        <x:v>담수3</x:v>
      </x:c>
    </x:row>
    <x:row r="691">
      <x:c r="A691" s="80" t="n">
        <x:v>687</x:v>
      </x:c>
      <x:c r="B691" s="80" t="str">
        <x:v>칼라마네로</x:v>
      </x:c>
      <x:c r="C691" s="80" t="str">
        <x:v>malamar</x:v>
      </x:c>
      <x:c r="D691" s="80" t="str">
        <x:v>해양</x:v>
      </x:c>
      <x:c r="E691" s="81" t="str">
        <x:v>—</x:v>
      </x:c>
      <x:c r="F691" s="81" t="str">
        <x:v>—</x:v>
      </x:c>
      <x:c r="G691" s="81" t="str">
        <x:v>—</x:v>
      </x:c>
      <x:c r="H691" s="81" t="str">
        <x:v>—</x:v>
      </x:c>
      <x:c r="I691" s="81" t="str">
        <x:v>—</x:v>
      </x:c>
      <x:c r="J691" s="81" t="str">
        <x:v>—</x:v>
      </x:c>
      <x:c r="K691" s="81" t="str">
        <x:v>—</x:v>
      </x:c>
      <x:c r="L691" s="81" t="str">
        <x:v>—</x:v>
      </x:c>
      <x:c r="M691" s="81" t="str">
        <x:v>—</x:v>
      </x:c>
      <x:c r="N691" s="81" t="str">
        <x:v>—</x:v>
      </x:c>
      <x:c r="O691" s="81" t="str">
        <x:v>해양2</x:v>
      </x:c>
      <x:c r="P691" s="81" t="str">
        <x:v>담수3</x:v>
      </x:c>
      <x:c r="Q691" s="81" t="str">
        <x:v>해양2</x:v>
      </x:c>
      <x:c r="R691" s="81" t="str">
        <x:v>담수2</x:v>
      </x:c>
      <x:c r="S691" s="81" t="str">
        <x:v>해양2</x:v>
      </x:c>
      <x:c r="T691" s="81" t="str">
        <x:v>담수3</x:v>
      </x:c>
      <x:c r="U691" s="81" t="str">
        <x:v>해양2</x:v>
      </x:c>
      <x:c r="V691" s="81" t="str">
        <x:v>담수3</x:v>
      </x:c>
    </x:row>
    <x:row r="692">
      <x:c r="A692" s="80" t="n">
        <x:v>688</x:v>
      </x:c>
      <x:c r="B692" s="80" t="str">
        <x:v>거북손손</x:v>
      </x:c>
      <x:c r="C692" s="80" t="str">
        <x:v>binacle</x:v>
      </x:c>
      <x:c r="D692" s="80" t="str">
        <x:v>해양</x:v>
      </x:c>
      <x:c r="E692" s="81" t="str">
        <x:v>—</x:v>
      </x:c>
      <x:c r="F692" s="81" t="str">
        <x:v>—</x:v>
      </x:c>
      <x:c r="G692" s="81" t="str">
        <x:v>—</x:v>
      </x:c>
      <x:c r="H692" s="81" t="str">
        <x:v>—</x:v>
      </x:c>
      <x:c r="I692" s="81" t="str">
        <x:v>—</x:v>
      </x:c>
      <x:c r="J692" s="81" t="str">
        <x:v>—</x:v>
      </x:c>
      <x:c r="K692" s="81" t="str">
        <x:v>—</x:v>
      </x:c>
      <x:c r="L692" s="81" t="str">
        <x:v>—</x:v>
      </x:c>
      <x:c r="M692" s="81" t="str">
        <x:v>—</x:v>
      </x:c>
      <x:c r="N692" s="81" t="str">
        <x:v>—</x:v>
      </x:c>
      <x:c r="O692" s="81" t="str">
        <x:v>해양2</x:v>
      </x:c>
      <x:c r="P692" s="81" t="str">
        <x:v>담수3</x:v>
      </x:c>
      <x:c r="Q692" s="81" t="str">
        <x:v>—</x:v>
      </x:c>
      <x:c r="R692" s="81" t="str">
        <x:v>—</x:v>
      </x:c>
      <x:c r="S692" s="81" t="str">
        <x:v>해양2</x:v>
      </x:c>
      <x:c r="T692" s="81" t="str">
        <x:v>담수3</x:v>
      </x:c>
      <x:c r="U692" s="81" t="str">
        <x:v>—</x:v>
      </x:c>
      <x:c r="V692" s="81" t="str">
        <x:v>—</x:v>
      </x:c>
    </x:row>
    <x:row r="693">
      <x:c r="A693" s="80" t="n">
        <x:v>689</x:v>
      </x:c>
      <x:c r="B693" s="80" t="str">
        <x:v>거북손데스</x:v>
      </x:c>
      <x:c r="C693" s="80" t="str">
        <x:v>barbaracle</x:v>
      </x:c>
      <x:c r="D693" s="80" t="str">
        <x:v>해양</x:v>
      </x:c>
      <x:c r="E693" s="81" t="str">
        <x:v>—</x:v>
      </x:c>
      <x:c r="F693" s="81" t="str">
        <x:v>—</x:v>
      </x:c>
      <x:c r="G693" s="81" t="str">
        <x:v>—</x:v>
      </x:c>
      <x:c r="H693" s="81" t="str">
        <x:v>—</x:v>
      </x:c>
      <x:c r="I693" s="81" t="str">
        <x:v>—</x:v>
      </x:c>
      <x:c r="J693" s="81" t="str">
        <x:v>—</x:v>
      </x:c>
      <x:c r="K693" s="81" t="str">
        <x:v>—</x:v>
      </x:c>
      <x:c r="L693" s="81" t="str">
        <x:v>—</x:v>
      </x:c>
      <x:c r="M693" s="81" t="str">
        <x:v>—</x:v>
      </x:c>
      <x:c r="N693" s="81" t="str">
        <x:v>—</x:v>
      </x:c>
      <x:c r="O693" s="81" t="str">
        <x:v>해양2</x:v>
      </x:c>
      <x:c r="P693" s="81" t="str">
        <x:v>담수3</x:v>
      </x:c>
      <x:c r="Q693" s="81" t="str">
        <x:v>—</x:v>
      </x:c>
      <x:c r="R693" s="81" t="str">
        <x:v>—</x:v>
      </x:c>
      <x:c r="S693" s="81" t="str">
        <x:v>해양2</x:v>
      </x:c>
      <x:c r="T693" s="81" t="str">
        <x:v>담수3</x:v>
      </x:c>
      <x:c r="U693" s="81" t="str">
        <x:v>—</x:v>
      </x:c>
      <x:c r="V693" s="81" t="str">
        <x:v>—</x:v>
      </x:c>
    </x:row>
    <x:row r="694">
      <x:c r="A694" s="80" t="n">
        <x:v>690</x:v>
      </x:c>
      <x:c r="B694" s="80" t="str">
        <x:v>수레기</x:v>
      </x:c>
      <x:c r="C694" s="80" t="str">
        <x:v>skrelp</x:v>
      </x:c>
      <x:c r="D694" s="80" t="str">
        <x:v>해양</x:v>
      </x:c>
      <x:c r="E694" s="81" t="str">
        <x:v>—</x:v>
      </x:c>
      <x:c r="F694" s="81" t="str">
        <x:v>—</x:v>
      </x:c>
      <x:c r="G694" s="81" t="str">
        <x:v>—</x:v>
      </x:c>
      <x:c r="H694" s="81" t="str">
        <x:v>—</x:v>
      </x:c>
      <x:c r="I694" s="81" t="str">
        <x:v>—</x:v>
      </x:c>
      <x:c r="J694" s="81" t="str">
        <x:v>—</x:v>
      </x:c>
      <x:c r="K694" s="81" t="str">
        <x:v>—</x:v>
      </x:c>
      <x:c r="L694" s="81" t="str">
        <x:v>—</x:v>
      </x:c>
      <x:c r="M694" s="81" t="str">
        <x:v>—</x:v>
      </x:c>
      <x:c r="N694" s="81" t="str">
        <x:v>—</x:v>
      </x:c>
      <x:c r="O694" s="81" t="str">
        <x:v>해양2</x:v>
      </x:c>
      <x:c r="P694" s="81" t="str">
        <x:v>담수3</x:v>
      </x:c>
      <x:c r="Q694" s="81" t="str">
        <x:v>해양2</x:v>
      </x:c>
      <x:c r="R694" s="81" t="str">
        <x:v>담수2</x:v>
      </x:c>
      <x:c r="S694" s="81" t="str">
        <x:v>해양2</x:v>
      </x:c>
      <x:c r="T694" s="81" t="str">
        <x:v>담수3</x:v>
      </x:c>
      <x:c r="U694" s="81" t="str">
        <x:v>해양2</x:v>
      </x:c>
      <x:c r="V694" s="81" t="str">
        <x:v>담수3</x:v>
      </x:c>
    </x:row>
    <x:row r="695">
      <x:c r="A695" s="80" t="n">
        <x:v>691</x:v>
      </x:c>
      <x:c r="B695" s="80" t="str">
        <x:v>드래캄</x:v>
      </x:c>
      <x:c r="C695" s="80" t="str">
        <x:v>dragalge</x:v>
      </x:c>
      <x:c r="D695" s="80" t="str">
        <x:v>해양</x:v>
      </x:c>
      <x:c r="E695" s="81" t="str">
        <x:v>—</x:v>
      </x:c>
      <x:c r="F695" s="81" t="str">
        <x:v>—</x:v>
      </x:c>
      <x:c r="G695" s="81" t="str">
        <x:v>—</x:v>
      </x:c>
      <x:c r="H695" s="81" t="str">
        <x:v>—</x:v>
      </x:c>
      <x:c r="I695" s="81" t="str">
        <x:v>—</x:v>
      </x:c>
      <x:c r="J695" s="81" t="str">
        <x:v>—</x:v>
      </x:c>
      <x:c r="K695" s="81" t="str">
        <x:v>—</x:v>
      </x:c>
      <x:c r="L695" s="81" t="str">
        <x:v>—</x:v>
      </x:c>
      <x:c r="M695" s="81" t="str">
        <x:v>—</x:v>
      </x:c>
      <x:c r="N695" s="81" t="str">
        <x:v>—</x:v>
      </x:c>
      <x:c r="O695" s="81" t="str">
        <x:v>해양2</x:v>
      </x:c>
      <x:c r="P695" s="81" t="str">
        <x:v>습지3</x:v>
      </x:c>
      <x:c r="Q695" s="81" t="str">
        <x:v>해양2</x:v>
      </x:c>
      <x:c r="R695" s="81" t="str">
        <x:v>습지2</x:v>
      </x:c>
      <x:c r="S695" s="81" t="str">
        <x:v>해양2</x:v>
      </x:c>
      <x:c r="T695" s="81" t="str">
        <x:v>습지3</x:v>
      </x:c>
      <x:c r="U695" s="81" t="str">
        <x:v>해양2</x:v>
      </x:c>
      <x:c r="V695" s="81" t="str">
        <x:v>습지3</x:v>
      </x:c>
    </x:row>
    <x:row r="696">
      <x:c r="A696" s="80" t="n">
        <x:v>692</x:v>
      </x:c>
      <x:c r="B696" s="80" t="str">
        <x:v>완철포</x:v>
      </x:c>
      <x:c r="C696" s="80" t="str">
        <x:v>clauncher</x:v>
      </x:c>
      <x:c r="D696" s="80" t="str">
        <x:v>해양</x:v>
      </x:c>
      <x:c r="E696" s="81" t="str">
        <x:v>—</x:v>
      </x:c>
      <x:c r="F696" s="81" t="str">
        <x:v>—</x:v>
      </x:c>
      <x:c r="G696" s="81" t="str">
        <x:v>—</x:v>
      </x:c>
      <x:c r="H696" s="81" t="str">
        <x:v>—</x:v>
      </x:c>
      <x:c r="I696" s="81" t="str">
        <x:v>—</x:v>
      </x:c>
      <x:c r="J696" s="81" t="str">
        <x:v>—</x:v>
      </x:c>
      <x:c r="K696" s="81" t="str">
        <x:v>—</x:v>
      </x:c>
      <x:c r="L696" s="81" t="str">
        <x:v>—</x:v>
      </x:c>
      <x:c r="M696" s="81" t="str">
        <x:v>—</x:v>
      </x:c>
      <x:c r="N696" s="81" t="str">
        <x:v>—</x:v>
      </x:c>
      <x:c r="O696" s="81" t="str">
        <x:v>해양2</x:v>
      </x:c>
      <x:c r="P696" s="81" t="str">
        <x:v>담수3</x:v>
      </x:c>
      <x:c r="Q696" s="81" t="str">
        <x:v>해양2</x:v>
      </x:c>
      <x:c r="R696" s="81" t="str">
        <x:v>담수2</x:v>
      </x:c>
      <x:c r="S696" s="81" t="str">
        <x:v>해양2</x:v>
      </x:c>
      <x:c r="T696" s="81" t="str">
        <x:v>담수3</x:v>
      </x:c>
      <x:c r="U696" s="81" t="str">
        <x:v>해양2</x:v>
      </x:c>
      <x:c r="V696" s="81" t="str">
        <x:v>담수3</x:v>
      </x:c>
    </x:row>
    <x:row r="697">
      <x:c r="A697" s="80" t="n">
        <x:v>693</x:v>
      </x:c>
      <x:c r="B697" s="80" t="str">
        <x:v>블로스터</x:v>
      </x:c>
      <x:c r="C697" s="80" t="str">
        <x:v>clawitzer</x:v>
      </x:c>
      <x:c r="D697" s="80" t="str">
        <x:v>해양</x:v>
      </x:c>
      <x:c r="E697" s="81" t="str">
        <x:v>—</x:v>
      </x:c>
      <x:c r="F697" s="81" t="str">
        <x:v>—</x:v>
      </x:c>
      <x:c r="G697" s="81" t="str">
        <x:v>—</x:v>
      </x:c>
      <x:c r="H697" s="81" t="str">
        <x:v>—</x:v>
      </x:c>
      <x:c r="I697" s="81" t="str">
        <x:v>—</x:v>
      </x:c>
      <x:c r="J697" s="81" t="str">
        <x:v>—</x:v>
      </x:c>
      <x:c r="K697" s="81" t="str">
        <x:v>—</x:v>
      </x:c>
      <x:c r="L697" s="81" t="str">
        <x:v>—</x:v>
      </x:c>
      <x:c r="M697" s="81" t="str">
        <x:v>—</x:v>
      </x:c>
      <x:c r="N697" s="81" t="str">
        <x:v>—</x:v>
      </x:c>
      <x:c r="O697" s="81" t="str">
        <x:v>해양2</x:v>
      </x:c>
      <x:c r="P697" s="81" t="str">
        <x:v>담수3</x:v>
      </x:c>
      <x:c r="Q697" s="81" t="str">
        <x:v>해양2</x:v>
      </x:c>
      <x:c r="R697" s="81" t="str">
        <x:v>담수2</x:v>
      </x:c>
      <x:c r="S697" s="81" t="str">
        <x:v>해양2</x:v>
      </x:c>
      <x:c r="T697" s="81" t="str">
        <x:v>담수3</x:v>
      </x:c>
      <x:c r="U697" s="81" t="str">
        <x:v>해양2</x:v>
      </x:c>
      <x:c r="V697" s="81" t="str">
        <x:v>담수3</x:v>
      </x:c>
    </x:row>
    <x:row r="698">
      <x:c r="A698" s="80" t="n">
        <x:v>694</x:v>
      </x:c>
      <x:c r="B698" s="80" t="str">
        <x:v>목도리키텔</x:v>
      </x:c>
      <x:c r="C698" s="80" t="str">
        <x:v>helioptile</x:v>
      </x:c>
      <x:c r="D698" s="80" t="str">
        <x:v>건조지</x:v>
      </x:c>
      <x:c r="E698" s="81" t="str">
        <x:v>—</x:v>
      </x:c>
      <x:c r="F698" s="81" t="str">
        <x:v>—</x:v>
      </x:c>
      <x:c r="G698" s="81" t="str">
        <x:v>—</x:v>
      </x:c>
      <x:c r="H698" s="81" t="str">
        <x:v>—</x:v>
      </x:c>
      <x:c r="I698" s="81" t="str">
        <x:v>—</x:v>
      </x:c>
      <x:c r="J698" s="81" t="str">
        <x:v>—</x:v>
      </x:c>
      <x:c r="K698" s="81" t="str">
        <x:v>—</x:v>
      </x:c>
      <x:c r="L698" s="81" t="str">
        <x:v>—</x:v>
      </x:c>
      <x:c r="M698" s="81" t="str">
        <x:v>—</x:v>
      </x:c>
      <x:c r="N698" s="81" t="str">
        <x:v>—</x:v>
      </x:c>
      <x:c r="O698" s="81" t="str">
        <x:v>건조지2</x:v>
      </x:c>
      <x:c r="P698" s="81" t="str">
        <x:v>평원5</x:v>
      </x:c>
      <x:c r="Q698" s="81" t="str">
        <x:v>—</x:v>
      </x:c>
      <x:c r="R698" s="81" t="str">
        <x:v>—</x:v>
      </x:c>
      <x:c r="S698" s="81" t="str">
        <x:v>건조지2</x:v>
      </x:c>
      <x:c r="T698" s="81" t="str">
        <x:v>평원5</x:v>
      </x:c>
      <x:c r="U698" s="81" t="str">
        <x:v>—</x:v>
      </x:c>
      <x:c r="V698" s="81" t="str">
        <x:v>—</x:v>
      </x:c>
    </x:row>
    <x:row r="699">
      <x:c r="A699" s="80" t="n">
        <x:v>695</x:v>
      </x:c>
      <x:c r="B699" s="80" t="str">
        <x:v>일레도리자드</x:v>
      </x:c>
      <x:c r="C699" s="80" t="str">
        <x:v>heliolisk</x:v>
      </x:c>
      <x:c r="D699" s="80" t="str">
        <x:v>건조지</x:v>
      </x:c>
      <x:c r="E699" s="81" t="str">
        <x:v>—</x:v>
      </x:c>
      <x:c r="F699" s="81" t="str">
        <x:v>—</x:v>
      </x:c>
      <x:c r="G699" s="81" t="str">
        <x:v>—</x:v>
      </x:c>
      <x:c r="H699" s="81" t="str">
        <x:v>—</x:v>
      </x:c>
      <x:c r="I699" s="81" t="str">
        <x:v>—</x:v>
      </x:c>
      <x:c r="J699" s="81" t="str">
        <x:v>—</x:v>
      </x:c>
      <x:c r="K699" s="81" t="str">
        <x:v>—</x:v>
      </x:c>
      <x:c r="L699" s="81" t="str">
        <x:v>—</x:v>
      </x:c>
      <x:c r="M699" s="81" t="str">
        <x:v>—</x:v>
      </x:c>
      <x:c r="N699" s="81" t="str">
        <x:v>—</x:v>
      </x:c>
      <x:c r="O699" s="81" t="str">
        <x:v>건조지2</x:v>
      </x:c>
      <x:c r="P699" s="81" t="str">
        <x:v>평원5</x:v>
      </x:c>
      <x:c r="Q699" s="81" t="str">
        <x:v>—</x:v>
      </x:c>
      <x:c r="R699" s="81" t="str">
        <x:v>—</x:v>
      </x:c>
      <x:c r="S699" s="81" t="str">
        <x:v>건조지2</x:v>
      </x:c>
      <x:c r="T699" s="81" t="str">
        <x:v>평원5</x:v>
      </x:c>
      <x:c r="U699" s="81" t="str">
        <x:v>—</x:v>
      </x:c>
      <x:c r="V699" s="81" t="str">
        <x:v>—</x:v>
      </x:c>
    </x:row>
    <x:row r="700">
      <x:c r="A700" s="80" t="n">
        <x:v>696</x:v>
      </x:c>
      <x:c r="B700" s="80" t="str">
        <x:v>티고라스</x:v>
      </x:c>
      <x:c r="C700" s="80" t="str">
        <x:v>tyrunt</x:v>
      </x:c>
      <x:c r="D700" s="80" t="str">
        <x:v>산악</x:v>
      </x:c>
      <x:c r="E700" s="81" t="str">
        <x:v>—</x:v>
      </x:c>
      <x:c r="F700" s="81" t="str">
        <x:v>—</x:v>
      </x:c>
      <x:c r="G700" s="81" t="str">
        <x:v>—</x:v>
      </x:c>
      <x:c r="H700" s="81" t="str">
        <x:v>—</x:v>
      </x:c>
      <x:c r="I700" s="81" t="str">
        <x:v>—</x:v>
      </x:c>
      <x:c r="J700" s="81" t="str">
        <x:v>—</x:v>
      </x:c>
      <x:c r="K700" s="81" t="str">
        <x:v>—</x:v>
      </x:c>
      <x:c r="L700" s="81" t="str">
        <x:v>—</x:v>
      </x:c>
      <x:c r="M700" s="81" t="str">
        <x:v>—</x:v>
      </x:c>
      <x:c r="N700" s="81" t="str">
        <x:v>—</x:v>
      </x:c>
      <x:c r="O700" s="81" t="str">
        <x:v>산악3</x:v>
      </x:c>
      <x:c r="P700" s="81" t="str">
        <x:v>평원5</x:v>
      </x:c>
      <x:c r="Q700" s="81" t="str">
        <x:v>산악3</x:v>
      </x:c>
      <x:c r="R700" s="81" t="str">
        <x:v>평원5</x:v>
      </x:c>
      <x:c r="S700" s="81" t="str">
        <x:v>산악4</x:v>
      </x:c>
      <x:c r="T700" s="81" t="str">
        <x:v>평원5</x:v>
      </x:c>
      <x:c r="U700" s="81" t="str">
        <x:v>—</x:v>
      </x:c>
      <x:c r="V700" s="81" t="str">
        <x:v>—</x:v>
      </x:c>
    </x:row>
    <x:row r="701">
      <x:c r="A701" s="80" t="n">
        <x:v>697</x:v>
      </x:c>
      <x:c r="B701" s="80" t="str">
        <x:v>견고라스</x:v>
      </x:c>
      <x:c r="C701" s="80" t="str">
        <x:v>tyrantrum</x:v>
      </x:c>
      <x:c r="D701" s="80" t="str">
        <x:v>산악</x:v>
      </x:c>
      <x:c r="E701" s="81" t="str">
        <x:v>—</x:v>
      </x:c>
      <x:c r="F701" s="81" t="str">
        <x:v>—</x:v>
      </x:c>
      <x:c r="G701" s="81" t="str">
        <x:v>—</x:v>
      </x:c>
      <x:c r="H701" s="81" t="str">
        <x:v>—</x:v>
      </x:c>
      <x:c r="I701" s="81" t="str">
        <x:v>—</x:v>
      </x:c>
      <x:c r="J701" s="81" t="str">
        <x:v>—</x:v>
      </x:c>
      <x:c r="K701" s="81" t="str">
        <x:v>—</x:v>
      </x:c>
      <x:c r="L701" s="81" t="str">
        <x:v>—</x:v>
      </x:c>
      <x:c r="M701" s="81" t="str">
        <x:v>—</x:v>
      </x:c>
      <x:c r="N701" s="81" t="str">
        <x:v>—</x:v>
      </x:c>
      <x:c r="O701" s="81" t="str">
        <x:v>산악3</x:v>
      </x:c>
      <x:c r="P701" s="81" t="str">
        <x:v>평원5</x:v>
      </x:c>
      <x:c r="Q701" s="81" t="str">
        <x:v>산악3</x:v>
      </x:c>
      <x:c r="R701" s="81" t="str">
        <x:v>평원5</x:v>
      </x:c>
      <x:c r="S701" s="81" t="str">
        <x:v>산악4</x:v>
      </x:c>
      <x:c r="T701" s="81" t="str">
        <x:v>평원5</x:v>
      </x:c>
      <x:c r="U701" s="81" t="str">
        <x:v>—</x:v>
      </x:c>
      <x:c r="V701" s="81" t="str">
        <x:v>—</x:v>
      </x:c>
    </x:row>
    <x:row r="702">
      <x:c r="A702" s="80" t="n">
        <x:v>698</x:v>
      </x:c>
      <x:c r="B702" s="80" t="str">
        <x:v>아마루스</x:v>
      </x:c>
      <x:c r="C702" s="80" t="str">
        <x:v>amaura</x:v>
      </x:c>
      <x:c r="D702" s="80" t="str">
        <x:v>산악</x:v>
      </x:c>
      <x:c r="E702" s="81" t="str">
        <x:v>—</x:v>
      </x:c>
      <x:c r="F702" s="81" t="str">
        <x:v>—</x:v>
      </x:c>
      <x:c r="G702" s="81" t="str">
        <x:v>—</x:v>
      </x:c>
      <x:c r="H702" s="81" t="str">
        <x:v>—</x:v>
      </x:c>
      <x:c r="I702" s="81" t="str">
        <x:v>—</x:v>
      </x:c>
      <x:c r="J702" s="81" t="str">
        <x:v>—</x:v>
      </x:c>
      <x:c r="K702" s="81" t="str">
        <x:v>—</x:v>
      </x:c>
      <x:c r="L702" s="81" t="str">
        <x:v>—</x:v>
      </x:c>
      <x:c r="M702" s="81" t="str">
        <x:v>—</x:v>
      </x:c>
      <x:c r="N702" s="81" t="str">
        <x:v>—</x:v>
      </x:c>
      <x:c r="O702" s="81" t="str">
        <x:v>산악3</x:v>
      </x:c>
      <x:c r="P702" s="81" t="str">
        <x:v>설원1</x:v>
      </x:c>
      <x:c r="Q702" s="81" t="str">
        <x:v>산악3</x:v>
      </x:c>
      <x:c r="R702" s="81" t="str">
        <x:v>설원1</x:v>
      </x:c>
      <x:c r="S702" s="81" t="str">
        <x:v>산악4</x:v>
      </x:c>
      <x:c r="T702" s="81" t="str">
        <x:v>설원1</x:v>
      </x:c>
      <x:c r="U702" s="81" t="str">
        <x:v>—</x:v>
      </x:c>
      <x:c r="V702" s="81" t="str">
        <x:v>—</x:v>
      </x:c>
    </x:row>
    <x:row r="703">
      <x:c r="A703" s="80" t="n">
        <x:v>699</x:v>
      </x:c>
      <x:c r="B703" s="80" t="str">
        <x:v>아마루르가</x:v>
      </x:c>
      <x:c r="C703" s="80" t="str">
        <x:v>aurorus</x:v>
      </x:c>
      <x:c r="D703" s="80" t="str">
        <x:v>산악</x:v>
      </x:c>
      <x:c r="E703" s="81" t="str">
        <x:v>—</x:v>
      </x:c>
      <x:c r="F703" s="81" t="str">
        <x:v>—</x:v>
      </x:c>
      <x:c r="G703" s="81" t="str">
        <x:v>—</x:v>
      </x:c>
      <x:c r="H703" s="81" t="str">
        <x:v>—</x:v>
      </x:c>
      <x:c r="I703" s="81" t="str">
        <x:v>—</x:v>
      </x:c>
      <x:c r="J703" s="81" t="str">
        <x:v>—</x:v>
      </x:c>
      <x:c r="K703" s="81" t="str">
        <x:v>—</x:v>
      </x:c>
      <x:c r="L703" s="81" t="str">
        <x:v>—</x:v>
      </x:c>
      <x:c r="M703" s="81" t="str">
        <x:v>—</x:v>
      </x:c>
      <x:c r="N703" s="81" t="str">
        <x:v>—</x:v>
      </x:c>
      <x:c r="O703" s="81" t="str">
        <x:v>산악3</x:v>
      </x:c>
      <x:c r="P703" s="81" t="str">
        <x:v>설원1</x:v>
      </x:c>
      <x:c r="Q703" s="81" t="str">
        <x:v>산악3</x:v>
      </x:c>
      <x:c r="R703" s="81" t="str">
        <x:v>설원1</x:v>
      </x:c>
      <x:c r="S703" s="81" t="str">
        <x:v>산악4</x:v>
      </x:c>
      <x:c r="T703" s="81" t="str">
        <x:v>설원1</x:v>
      </x:c>
      <x:c r="U703" s="81" t="str">
        <x:v>—</x:v>
      </x:c>
      <x:c r="V703" s="81" t="str">
        <x:v>—</x:v>
      </x:c>
    </x:row>
    <x:row r="704">
      <x:c r="A704" s="80" t="n">
        <x:v>700</x:v>
      </x:c>
      <x:c r="B704" s="80" t="str">
        <x:v>님피아</x:v>
      </x:c>
      <x:c r="C704" s="80" t="str">
        <x:v>sylveon</x:v>
      </x:c>
      <x:c r="D704" s="80" t="str">
        <x:v>숲</x:v>
      </x:c>
      <x:c r="E704" s="81" t="str">
        <x:v>—</x:v>
      </x:c>
      <x:c r="F704" s="81" t="str">
        <x:v>—</x:v>
      </x:c>
      <x:c r="G704" s="81" t="str">
        <x:v>—</x:v>
      </x:c>
      <x:c r="H704" s="81" t="str">
        <x:v>—</x:v>
      </x:c>
      <x:c r="I704" s="81" t="str">
        <x:v>—</x:v>
      </x:c>
      <x:c r="J704" s="81" t="str">
        <x:v>—</x:v>
      </x:c>
      <x:c r="K704" s="81" t="str">
        <x:v>—</x:v>
      </x:c>
      <x:c r="L704" s="81" t="str">
        <x:v>—</x:v>
      </x:c>
      <x:c r="M704" s="81" t="str">
        <x:v>—</x:v>
      </x:c>
      <x:c r="N704" s="81" t="str">
        <x:v>—</x:v>
      </x:c>
      <x:c r="O704" s="81" t="str">
        <x:v>숲5</x:v>
      </x:c>
      <x:c r="P704" s="81" t="str">
        <x:v>평원5</x:v>
      </x:c>
      <x:c r="Q704" s="81" t="str">
        <x:v>숲3</x:v>
      </x:c>
      <x:c r="R704" s="81" t="str">
        <x:v>평원5</x:v>
      </x:c>
      <x:c r="S704" s="81" t="str">
        <x:v>숲5</x:v>
      </x:c>
      <x:c r="T704" s="81" t="str">
        <x:v>평원5</x:v>
      </x:c>
      <x:c r="U704" s="81" t="str">
        <x:v>숲5</x:v>
      </x:c>
      <x:c r="V704" s="81" t="str">
        <x:v>평원5</x:v>
      </x:c>
    </x:row>
    <x:row r="705">
      <x:c r="A705" s="80" t="n">
        <x:v>701</x:v>
      </x:c>
      <x:c r="B705" s="80" t="str">
        <x:v>루차불</x:v>
      </x:c>
      <x:c r="C705" s="80" t="str">
        <x:v>hawlucha</x:v>
      </x:c>
      <x:c r="D705" s="80" t="str">
        <x:v>건조지</x:v>
      </x:c>
      <x:c r="E705" s="81" t="str">
        <x:v>—</x:v>
      </x:c>
      <x:c r="F705" s="81" t="str">
        <x:v>—</x:v>
      </x:c>
      <x:c r="G705" s="81" t="str">
        <x:v>—</x:v>
      </x:c>
      <x:c r="H705" s="81" t="str">
        <x:v>—</x:v>
      </x:c>
      <x:c r="I705" s="81" t="str">
        <x:v>—</x:v>
      </x:c>
      <x:c r="J705" s="81" t="str">
        <x:v>—</x:v>
      </x:c>
      <x:c r="K705" s="81" t="str">
        <x:v>—</x:v>
      </x:c>
      <x:c r="L705" s="81" t="str">
        <x:v>—</x:v>
      </x:c>
      <x:c r="M705" s="81" t="str">
        <x:v>—</x:v>
      </x:c>
      <x:c r="N705" s="81" t="str">
        <x:v>—</x:v>
      </x:c>
      <x:c r="O705" s="81" t="str">
        <x:v>건조지2</x:v>
      </x:c>
      <x:c r="P705" s="81" t="str">
        <x:v>산악3</x:v>
      </x:c>
      <x:c r="Q705" s="81" t="str">
        <x:v>건조지2</x:v>
      </x:c>
      <x:c r="R705" s="81" t="str">
        <x:v>산악3</x:v>
      </x:c>
      <x:c r="S705" s="81" t="str">
        <x:v>건조지2</x:v>
      </x:c>
      <x:c r="T705" s="81" t="str">
        <x:v>산악4</x:v>
      </x:c>
      <x:c r="U705" s="81" t="str">
        <x:v>건조지2</x:v>
      </x:c>
      <x:c r="V705" s="81" t="str">
        <x:v>산악3</x:v>
      </x:c>
    </x:row>
    <x:row r="706">
      <x:c r="A706" s="80" t="n">
        <x:v>702</x:v>
      </x:c>
      <x:c r="B706" s="80" t="str">
        <x:v>데덴네</x:v>
      </x:c>
      <x:c r="C706" s="80" t="str">
        <x:v>dedenne</x:v>
      </x:c>
      <x:c r="D706" s="80" t="str">
        <x:v>평원</x:v>
      </x:c>
      <x:c r="E706" s="81" t="str">
        <x:v>—</x:v>
      </x:c>
      <x:c r="F706" s="81" t="str">
        <x:v>—</x:v>
      </x:c>
      <x:c r="G706" s="81" t="str">
        <x:v>—</x:v>
      </x:c>
      <x:c r="H706" s="81" t="str">
        <x:v>—</x:v>
      </x:c>
      <x:c r="I706" s="81" t="str">
        <x:v>—</x:v>
      </x:c>
      <x:c r="J706" s="81" t="str">
        <x:v>—</x:v>
      </x:c>
      <x:c r="K706" s="81" t="str">
        <x:v>—</x:v>
      </x:c>
      <x:c r="L706" s="81" t="str">
        <x:v>—</x:v>
      </x:c>
      <x:c r="M706" s="81" t="str">
        <x:v>—</x:v>
      </x:c>
      <x:c r="N706" s="81" t="str">
        <x:v>—</x:v>
      </x:c>
      <x:c r="O706" s="81" t="str">
        <x:v>평원5</x:v>
      </x:c>
      <x:c r="P706" s="81" t="str">
        <x:v>숲5</x:v>
      </x:c>
      <x:c r="Q706" s="81" t="str">
        <x:v>평원5</x:v>
      </x:c>
      <x:c r="R706" s="81" t="str">
        <x:v>숲3</x:v>
      </x:c>
      <x:c r="S706" s="81" t="str">
        <x:v>평원5</x:v>
      </x:c>
      <x:c r="T706" s="81" t="str">
        <x:v>숲5</x:v>
      </x:c>
      <x:c r="U706" s="81" t="str">
        <x:v>평원5</x:v>
      </x:c>
      <x:c r="V706" s="81" t="str">
        <x:v>숲5</x:v>
      </x:c>
    </x:row>
    <x:row r="707">
      <x:c r="A707" s="80" t="n">
        <x:v>703</x:v>
      </x:c>
      <x:c r="B707" s="80" t="str">
        <x:v>멜리시</x:v>
      </x:c>
      <x:c r="C707" s="80" t="str">
        <x:v>carbink</x:v>
      </x:c>
      <x:c r="D707" s="80" t="str">
        <x:v>화산</x:v>
      </x:c>
      <x:c r="E707" s="81" t="str">
        <x:v>—</x:v>
      </x:c>
      <x:c r="F707" s="81" t="str">
        <x:v>—</x:v>
      </x:c>
      <x:c r="G707" s="81" t="str">
        <x:v>—</x:v>
      </x:c>
      <x:c r="H707" s="81" t="str">
        <x:v>—</x:v>
      </x:c>
      <x:c r="I707" s="81" t="str">
        <x:v>—</x:v>
      </x:c>
      <x:c r="J707" s="81" t="str">
        <x:v>—</x:v>
      </x:c>
      <x:c r="K707" s="81" t="str">
        <x:v>—</x:v>
      </x:c>
      <x:c r="L707" s="81" t="str">
        <x:v>—</x:v>
      </x:c>
      <x:c r="M707" s="81" t="str">
        <x:v>—</x:v>
      </x:c>
      <x:c r="N707" s="81" t="str">
        <x:v>—</x:v>
      </x:c>
      <x:c r="O707" s="81" t="str">
        <x:v>화산2</x:v>
      </x:c>
      <x:c r="P707" s="81" t="str">
        <x:v>건조지2</x:v>
      </x:c>
      <x:c r="Q707" s="81" t="str">
        <x:v>화산1</x:v>
      </x:c>
      <x:c r="R707" s="81" t="str">
        <x:v>건조지2</x:v>
      </x:c>
      <x:c r="S707" s="81" t="str">
        <x:v>화산2</x:v>
      </x:c>
      <x:c r="T707" s="81" t="str">
        <x:v>건조지2</x:v>
      </x:c>
      <x:c r="U707" s="81" t="str">
        <x:v>화산2</x:v>
      </x:c>
      <x:c r="V707" s="81" t="str">
        <x:v>건조지2</x:v>
      </x:c>
    </x:row>
    <x:row r="708">
      <x:c r="A708" s="80" t="n">
        <x:v>704</x:v>
      </x:c>
      <x:c r="B708" s="80" t="str">
        <x:v>미끄메라</x:v>
      </x:c>
      <x:c r="C708" s="80" t="str">
        <x:v>goomy</x:v>
      </x:c>
      <x:c r="D708" s="80" t="str">
        <x:v>습지</x:v>
      </x:c>
      <x:c r="E708" s="81" t="str">
        <x:v>—</x:v>
      </x:c>
      <x:c r="F708" s="81" t="str">
        <x:v>—</x:v>
      </x:c>
      <x:c r="G708" s="81" t="str">
        <x:v>—</x:v>
      </x:c>
      <x:c r="H708" s="81" t="str">
        <x:v>—</x:v>
      </x:c>
      <x:c r="I708" s="81" t="str">
        <x:v>—</x:v>
      </x:c>
      <x:c r="J708" s="81" t="str">
        <x:v>—</x:v>
      </x:c>
      <x:c r="K708" s="81" t="str">
        <x:v>—</x:v>
      </x:c>
      <x:c r="L708" s="81" t="str">
        <x:v>—</x:v>
      </x:c>
      <x:c r="M708" s="81" t="str">
        <x:v>—</x:v>
      </x:c>
      <x:c r="N708" s="81" t="str">
        <x:v>—</x:v>
      </x:c>
      <x:c r="O708" s="81" t="str">
        <x:v>습지3</x:v>
      </x:c>
      <x:c r="P708" s="81" t="str">
        <x:v>숲5</x:v>
      </x:c>
      <x:c r="Q708" s="81" t="str">
        <x:v>습지2</x:v>
      </x:c>
      <x:c r="R708" s="81" t="str">
        <x:v>숲3</x:v>
      </x:c>
      <x:c r="S708" s="81" t="str">
        <x:v>습지3</x:v>
      </x:c>
      <x:c r="T708" s="81" t="str">
        <x:v>숲5</x:v>
      </x:c>
      <x:c r="U708" s="81" t="str">
        <x:v>습지3</x:v>
      </x:c>
      <x:c r="V708" s="81" t="str">
        <x:v>숲5</x:v>
      </x:c>
    </x:row>
    <x:row r="709">
      <x:c r="A709" s="80" t="n">
        <x:v>705</x:v>
      </x:c>
      <x:c r="B709" s="80" t="str">
        <x:v>미끄네일</x:v>
      </x:c>
      <x:c r="C709" s="80" t="str">
        <x:v>sliggoo</x:v>
      </x:c>
      <x:c r="D709" s="80" t="str">
        <x:v>습지</x:v>
      </x:c>
      <x:c r="E709" s="81" t="str">
        <x:v>—</x:v>
      </x:c>
      <x:c r="F709" s="81" t="str">
        <x:v>—</x:v>
      </x:c>
      <x:c r="G709" s="81" t="str">
        <x:v>—</x:v>
      </x:c>
      <x:c r="H709" s="81" t="str">
        <x:v>—</x:v>
      </x:c>
      <x:c r="I709" s="81" t="str">
        <x:v>—</x:v>
      </x:c>
      <x:c r="J709" s="81" t="str">
        <x:v>—</x:v>
      </x:c>
      <x:c r="K709" s="81" t="str">
        <x:v>—</x:v>
      </x:c>
      <x:c r="L709" s="81" t="str">
        <x:v>—</x:v>
      </x:c>
      <x:c r="M709" s="81" t="str">
        <x:v>—</x:v>
      </x:c>
      <x:c r="N709" s="81" t="str">
        <x:v>—</x:v>
      </x:c>
      <x:c r="O709" s="81" t="str">
        <x:v>습지3</x:v>
      </x:c>
      <x:c r="P709" s="81" t="str">
        <x:v>숲5</x:v>
      </x:c>
      <x:c r="Q709" s="81" t="str">
        <x:v>습지2</x:v>
      </x:c>
      <x:c r="R709" s="81" t="str">
        <x:v>숲3</x:v>
      </x:c>
      <x:c r="S709" s="81" t="str">
        <x:v>습지3</x:v>
      </x:c>
      <x:c r="T709" s="81" t="str">
        <x:v>숲5</x:v>
      </x:c>
      <x:c r="U709" s="81" t="str">
        <x:v>습지3</x:v>
      </x:c>
      <x:c r="V709" s="81" t="str">
        <x:v>숲5</x:v>
      </x:c>
    </x:row>
    <x:row r="710">
      <x:c r="A710" s="80" t="n">
        <x:v>706</x:v>
      </x:c>
      <x:c r="B710" s="80" t="str">
        <x:v>미끄래곤</x:v>
      </x:c>
      <x:c r="C710" s="80" t="str">
        <x:v>goodra</x:v>
      </x:c>
      <x:c r="D710" s="80" t="str">
        <x:v>습지</x:v>
      </x:c>
      <x:c r="E710" s="81" t="str">
        <x:v>—</x:v>
      </x:c>
      <x:c r="F710" s="81" t="str">
        <x:v>—</x:v>
      </x:c>
      <x:c r="G710" s="81" t="str">
        <x:v>—</x:v>
      </x:c>
      <x:c r="H710" s="81" t="str">
        <x:v>—</x:v>
      </x:c>
      <x:c r="I710" s="81" t="str">
        <x:v>—</x:v>
      </x:c>
      <x:c r="J710" s="81" t="str">
        <x:v>—</x:v>
      </x:c>
      <x:c r="K710" s="81" t="str">
        <x:v>—</x:v>
      </x:c>
      <x:c r="L710" s="81" t="str">
        <x:v>—</x:v>
      </x:c>
      <x:c r="M710" s="81" t="str">
        <x:v>—</x:v>
      </x:c>
      <x:c r="N710" s="81" t="str">
        <x:v>—</x:v>
      </x:c>
      <x:c r="O710" s="81" t="str">
        <x:v>습지3</x:v>
      </x:c>
      <x:c r="P710" s="81" t="str">
        <x:v>숲5</x:v>
      </x:c>
      <x:c r="Q710" s="81" t="str">
        <x:v>습지2</x:v>
      </x:c>
      <x:c r="R710" s="81" t="str">
        <x:v>숲3</x:v>
      </x:c>
      <x:c r="S710" s="81" t="str">
        <x:v>습지3</x:v>
      </x:c>
      <x:c r="T710" s="81" t="str">
        <x:v>숲5</x:v>
      </x:c>
      <x:c r="U710" s="81" t="str">
        <x:v>습지3</x:v>
      </x:c>
      <x:c r="V710" s="81" t="str">
        <x:v>숲5</x:v>
      </x:c>
    </x:row>
    <x:row r="711">
      <x:c r="A711" s="80" t="n">
        <x:v>707</x:v>
      </x:c>
      <x:c r="B711" s="80" t="str">
        <x:v>클레피</x:v>
      </x:c>
      <x:c r="C711" s="80" t="str">
        <x:v>klefki</x:v>
      </x:c>
      <x:c r="D711" s="80" t="str">
        <x:v>평원</x:v>
      </x:c>
      <x:c r="E711" s="81" t="str">
        <x:v>—</x:v>
      </x:c>
      <x:c r="F711" s="81" t="str">
        <x:v>—</x:v>
      </x:c>
      <x:c r="G711" s="81" t="str">
        <x:v>—</x:v>
      </x:c>
      <x:c r="H711" s="81" t="str">
        <x:v>—</x:v>
      </x:c>
      <x:c r="I711" s="81" t="str">
        <x:v>—</x:v>
      </x:c>
      <x:c r="J711" s="81" t="str">
        <x:v>—</x:v>
      </x:c>
      <x:c r="K711" s="81" t="str">
        <x:v>—</x:v>
      </x:c>
      <x:c r="L711" s="81" t="str">
        <x:v>—</x:v>
      </x:c>
      <x:c r="M711" s="81" t="str">
        <x:v>—</x:v>
      </x:c>
      <x:c r="N711" s="81" t="str">
        <x:v>—</x:v>
      </x:c>
      <x:c r="O711" s="81" t="str">
        <x:v>평원5</x:v>
      </x:c>
      <x:c r="P711" s="81" t="str">
        <x:v>숲5</x:v>
      </x:c>
      <x:c r="Q711" s="81" t="str">
        <x:v>평원5</x:v>
      </x:c>
      <x:c r="R711" s="81" t="str">
        <x:v>숲3</x:v>
      </x:c>
      <x:c r="S711" s="81" t="str">
        <x:v>평원5</x:v>
      </x:c>
      <x:c r="T711" s="81" t="str">
        <x:v>숲5</x:v>
      </x:c>
      <x:c r="U711" s="81" t="str">
        <x:v>평원5</x:v>
      </x:c>
      <x:c r="V711" s="81" t="str">
        <x:v>숲5</x:v>
      </x:c>
    </x:row>
    <x:row r="712">
      <x:c r="A712" s="80" t="n">
        <x:v>708</x:v>
      </x:c>
      <x:c r="B712" s="80" t="str">
        <x:v>나목령</x:v>
      </x:c>
      <x:c r="C712" s="80" t="str">
        <x:v>phantump</x:v>
      </x:c>
      <x:c r="D712" s="80" t="str">
        <x:v>숲</x:v>
      </x:c>
      <x:c r="E712" s="81" t="str">
        <x:v>—</x:v>
      </x:c>
      <x:c r="F712" s="81" t="str">
        <x:v>—</x:v>
      </x:c>
      <x:c r="G712" s="81" t="str">
        <x:v>—</x:v>
      </x:c>
      <x:c r="H712" s="81" t="str">
        <x:v>—</x:v>
      </x:c>
      <x:c r="I712" s="81" t="str">
        <x:v>—</x:v>
      </x:c>
      <x:c r="J712" s="81" t="str">
        <x:v>—</x:v>
      </x:c>
      <x:c r="K712" s="81" t="str">
        <x:v>—</x:v>
      </x:c>
      <x:c r="L712" s="81" t="str">
        <x:v>—</x:v>
      </x:c>
      <x:c r="M712" s="81" t="str">
        <x:v>—</x:v>
      </x:c>
      <x:c r="N712" s="81" t="str">
        <x:v>—</x:v>
      </x:c>
      <x:c r="O712" s="81" t="str">
        <x:v>숲5</x:v>
      </x:c>
      <x:c r="P712" s="81" t="str">
        <x:v>특수1</x:v>
      </x:c>
      <x:c r="Q712" s="81" t="str">
        <x:v>숲3</x:v>
      </x:c>
      <x:c r="R712" s="81" t="str">
        <x:v>특수1</x:v>
      </x:c>
      <x:c r="S712" s="81" t="str">
        <x:v>숲5</x:v>
      </x:c>
      <x:c r="T712" s="81" t="str">
        <x:v>특수2</x:v>
      </x:c>
      <x:c r="U712" s="81" t="str">
        <x:v>숲5</x:v>
      </x:c>
      <x:c r="V712" s="81" t="str">
        <x:v>특수2</x:v>
      </x:c>
    </x:row>
    <x:row r="713">
      <x:c r="A713" s="80" t="n">
        <x:v>709</x:v>
      </x:c>
      <x:c r="B713" s="80" t="str">
        <x:v>대로트</x:v>
      </x:c>
      <x:c r="C713" s="80" t="str">
        <x:v>trevenant</x:v>
      </x:c>
      <x:c r="D713" s="80" t="str">
        <x:v>숲</x:v>
      </x:c>
      <x:c r="E713" s="81" t="str">
        <x:v>—</x:v>
      </x:c>
      <x:c r="F713" s="81" t="str">
        <x:v>—</x:v>
      </x:c>
      <x:c r="G713" s="81" t="str">
        <x:v>—</x:v>
      </x:c>
      <x:c r="H713" s="81" t="str">
        <x:v>—</x:v>
      </x:c>
      <x:c r="I713" s="81" t="str">
        <x:v>—</x:v>
      </x:c>
      <x:c r="J713" s="81" t="str">
        <x:v>—</x:v>
      </x:c>
      <x:c r="K713" s="81" t="str">
        <x:v>—</x:v>
      </x:c>
      <x:c r="L713" s="81" t="str">
        <x:v>—</x:v>
      </x:c>
      <x:c r="M713" s="81" t="str">
        <x:v>—</x:v>
      </x:c>
      <x:c r="N713" s="81" t="str">
        <x:v>—</x:v>
      </x:c>
      <x:c r="O713" s="81" t="str">
        <x:v>숲5</x:v>
      </x:c>
      <x:c r="P713" s="81" t="str">
        <x:v>특수1</x:v>
      </x:c>
      <x:c r="Q713" s="81" t="str">
        <x:v>숲4</x:v>
      </x:c>
      <x:c r="R713" s="81" t="str">
        <x:v>특수1</x:v>
      </x:c>
      <x:c r="S713" s="81" t="str">
        <x:v>숲5</x:v>
      </x:c>
      <x:c r="T713" s="81" t="str">
        <x:v>특수2</x:v>
      </x:c>
      <x:c r="U713" s="81" t="str">
        <x:v>숲5</x:v>
      </x:c>
      <x:c r="V713" s="81" t="str">
        <x:v>특수2</x:v>
      </x:c>
    </x:row>
    <x:row r="714">
      <x:c r="A714" s="80" t="n">
        <x:v>710</x:v>
      </x:c>
      <x:c r="B714" s="80" t="str">
        <x:v>호바귀</x:v>
      </x:c>
      <x:c r="C714" s="80" t="str">
        <x:v>pumpkaboo</x:v>
      </x:c>
      <x:c r="D714" s="80" t="str">
        <x:v>화산</x:v>
      </x:c>
      <x:c r="E714" s="81" t="str">
        <x:v>—</x:v>
      </x:c>
      <x:c r="F714" s="81" t="str">
        <x:v>—</x:v>
      </x:c>
      <x:c r="G714" s="81" t="str">
        <x:v>—</x:v>
      </x:c>
      <x:c r="H714" s="81" t="str">
        <x:v>—</x:v>
      </x:c>
      <x:c r="I714" s="81" t="str">
        <x:v>—</x:v>
      </x:c>
      <x:c r="J714" s="81" t="str">
        <x:v>—</x:v>
      </x:c>
      <x:c r="K714" s="81" t="str">
        <x:v>—</x:v>
      </x:c>
      <x:c r="L714" s="81" t="str">
        <x:v>—</x:v>
      </x:c>
      <x:c r="M714" s="81" t="str">
        <x:v>—</x:v>
      </x:c>
      <x:c r="N714" s="81" t="str">
        <x:v>—</x:v>
      </x:c>
      <x:c r="O714" s="81" t="str">
        <x:v>화산2</x:v>
      </x:c>
      <x:c r="P714" s="81" t="str">
        <x:v>특수1</x:v>
      </x:c>
      <x:c r="Q714" s="81" t="str">
        <x:v>—</x:v>
      </x:c>
      <x:c r="R714" s="81" t="str">
        <x:v>—</x:v>
      </x:c>
      <x:c r="S714" s="81" t="str">
        <x:v>화산2</x:v>
      </x:c>
      <x:c r="T714" s="81" t="str">
        <x:v>특수2</x:v>
      </x:c>
      <x:c r="U714" s="81" t="str">
        <x:v>—</x:v>
      </x:c>
      <x:c r="V714" s="81" t="str">
        <x:v>—</x:v>
      </x:c>
    </x:row>
    <x:row r="715">
      <x:c r="A715" s="80" t="n">
        <x:v>711</x:v>
      </x:c>
      <x:c r="B715" s="80" t="str">
        <x:v>펌킨인</x:v>
      </x:c>
      <x:c r="C715" s="80" t="str">
        <x:v>gourgeist</x:v>
      </x:c>
      <x:c r="D715" s="80" t="str">
        <x:v>화산</x:v>
      </x:c>
      <x:c r="E715" s="81" t="str">
        <x:v>—</x:v>
      </x:c>
      <x:c r="F715" s="81" t="str">
        <x:v>—</x:v>
      </x:c>
      <x:c r="G715" s="81" t="str">
        <x:v>—</x:v>
      </x:c>
      <x:c r="H715" s="81" t="str">
        <x:v>—</x:v>
      </x:c>
      <x:c r="I715" s="81" t="str">
        <x:v>—</x:v>
      </x:c>
      <x:c r="J715" s="81" t="str">
        <x:v>—</x:v>
      </x:c>
      <x:c r="K715" s="81" t="str">
        <x:v>—</x:v>
      </x:c>
      <x:c r="L715" s="81" t="str">
        <x:v>—</x:v>
      </x:c>
      <x:c r="M715" s="81" t="str">
        <x:v>—</x:v>
      </x:c>
      <x:c r="N715" s="81" t="str">
        <x:v>—</x:v>
      </x:c>
      <x:c r="O715" s="81" t="str">
        <x:v>화산2</x:v>
      </x:c>
      <x:c r="P715" s="81" t="str">
        <x:v>특수1</x:v>
      </x:c>
      <x:c r="Q715" s="81" t="str">
        <x:v>—</x:v>
      </x:c>
      <x:c r="R715" s="81" t="str">
        <x:v>—</x:v>
      </x:c>
      <x:c r="S715" s="81" t="str">
        <x:v>화산2</x:v>
      </x:c>
      <x:c r="T715" s="81" t="str">
        <x:v>특수2</x:v>
      </x:c>
      <x:c r="U715" s="81" t="str">
        <x:v>—</x:v>
      </x:c>
      <x:c r="V715" s="81" t="str">
        <x:v>—</x:v>
      </x:c>
    </x:row>
    <x:row r="716">
      <x:c r="A716" s="80" t="n">
        <x:v>712</x:v>
      </x:c>
      <x:c r="B716" s="80" t="str">
        <x:v>꽁어름</x:v>
      </x:c>
      <x:c r="C716" s="80" t="str">
        <x:v>bergmite</x:v>
      </x:c>
      <x:c r="D716" s="80" t="str">
        <x:v>설원</x:v>
      </x:c>
      <x:c r="E716" s="81" t="str">
        <x:v>—</x:v>
      </x:c>
      <x:c r="F716" s="81" t="str">
        <x:v>—</x:v>
      </x:c>
      <x:c r="G716" s="81" t="str">
        <x:v>—</x:v>
      </x:c>
      <x:c r="H716" s="81" t="str">
        <x:v>—</x:v>
      </x:c>
      <x:c r="I716" s="81" t="str">
        <x:v>—</x:v>
      </x:c>
      <x:c r="J716" s="81" t="str">
        <x:v>—</x:v>
      </x:c>
      <x:c r="K716" s="81" t="str">
        <x:v>—</x:v>
      </x:c>
      <x:c r="L716" s="81" t="str">
        <x:v>—</x:v>
      </x:c>
      <x:c r="M716" s="81" t="str">
        <x:v>—</x:v>
      </x:c>
      <x:c r="N716" s="81" t="str">
        <x:v>—</x:v>
      </x:c>
      <x:c r="O716" s="81" t="str">
        <x:v>설원1</x:v>
      </x:c>
      <x:c r="P716" s="81" t="str">
        <x:v>평원5</x:v>
      </x:c>
      <x:c r="Q716" s="81" t="str">
        <x:v>—</x:v>
      </x:c>
      <x:c r="R716" s="81" t="str">
        <x:v>—</x:v>
      </x:c>
      <x:c r="S716" s="81" t="str">
        <x:v>설원1</x:v>
      </x:c>
      <x:c r="T716" s="81" t="str">
        <x:v>평원5</x:v>
      </x:c>
      <x:c r="U716" s="81" t="str">
        <x:v>설원1</x:v>
      </x:c>
      <x:c r="V716" s="81" t="str">
        <x:v>평원5</x:v>
      </x:c>
    </x:row>
    <x:row r="717">
      <x:c r="A717" s="80" t="n">
        <x:v>713</x:v>
      </x:c>
      <x:c r="B717" s="80" t="str">
        <x:v>크레베이스</x:v>
      </x:c>
      <x:c r="C717" s="80" t="str">
        <x:v>avalugg</x:v>
      </x:c>
      <x:c r="D717" s="80" t="str">
        <x:v>설원</x:v>
      </x:c>
      <x:c r="E717" s="81" t="str">
        <x:v>—</x:v>
      </x:c>
      <x:c r="F717" s="81" t="str">
        <x:v>—</x:v>
      </x:c>
      <x:c r="G717" s="81" t="str">
        <x:v>—</x:v>
      </x:c>
      <x:c r="H717" s="81" t="str">
        <x:v>—</x:v>
      </x:c>
      <x:c r="I717" s="81" t="str">
        <x:v>—</x:v>
      </x:c>
      <x:c r="J717" s="81" t="str">
        <x:v>—</x:v>
      </x:c>
      <x:c r="K717" s="81" t="str">
        <x:v>—</x:v>
      </x:c>
      <x:c r="L717" s="81" t="str">
        <x:v>—</x:v>
      </x:c>
      <x:c r="M717" s="81" t="str">
        <x:v>—</x:v>
      </x:c>
      <x:c r="N717" s="81" t="str">
        <x:v>—</x:v>
      </x:c>
      <x:c r="O717" s="81" t="str">
        <x:v>설원1</x:v>
      </x:c>
      <x:c r="P717" s="81" t="str">
        <x:v>평원5</x:v>
      </x:c>
      <x:c r="Q717" s="81" t="str">
        <x:v>—</x:v>
      </x:c>
      <x:c r="R717" s="81" t="str">
        <x:v>—</x:v>
      </x:c>
      <x:c r="S717" s="81" t="str">
        <x:v>설원1</x:v>
      </x:c>
      <x:c r="T717" s="81" t="str">
        <x:v>평원5</x:v>
      </x:c>
      <x:c r="U717" s="81" t="str">
        <x:v>설원1</x:v>
      </x:c>
      <x:c r="V717" s="81" t="str">
        <x:v>평원5</x:v>
      </x:c>
    </x:row>
    <x:row r="718">
      <x:c r="A718" s="80" t="n">
        <x:v>714</x:v>
      </x:c>
      <x:c r="B718" s="80" t="str">
        <x:v>음뱃</x:v>
      </x:c>
      <x:c r="C718" s="80" t="str">
        <x:v>noibat</x:v>
      </x:c>
      <x:c r="D718" s="80" t="str">
        <x:v>동굴</x:v>
      </x:c>
      <x:c r="E718" s="81" t="str">
        <x:v>—</x:v>
      </x:c>
      <x:c r="F718" s="81" t="str">
        <x:v>—</x:v>
      </x:c>
      <x:c r="G718" s="81" t="str">
        <x:v>—</x:v>
      </x:c>
      <x:c r="H718" s="81" t="str">
        <x:v>—</x:v>
      </x:c>
      <x:c r="I718" s="81" t="str">
        <x:v>—</x:v>
      </x:c>
      <x:c r="J718" s="81" t="str">
        <x:v>—</x:v>
      </x:c>
      <x:c r="K718" s="81" t="str">
        <x:v>—</x:v>
      </x:c>
      <x:c r="L718" s="81" t="str">
        <x:v>—</x:v>
      </x:c>
      <x:c r="M718" s="81" t="str">
        <x:v>—</x:v>
      </x:c>
      <x:c r="N718" s="81" t="str">
        <x:v>—</x:v>
      </x:c>
      <x:c r="O718" s="81" t="str">
        <x:v>동굴1</x:v>
      </x:c>
      <x:c r="P718" s="81" t="str">
        <x:v>산악3</x:v>
      </x:c>
      <x:c r="Q718" s="81" t="str">
        <x:v>동굴1</x:v>
      </x:c>
      <x:c r="R718" s="81" t="str">
        <x:v>산악3</x:v>
      </x:c>
      <x:c r="S718" s="81" t="str">
        <x:v>동굴1</x:v>
      </x:c>
      <x:c r="T718" s="81" t="str">
        <x:v>산악4</x:v>
      </x:c>
      <x:c r="U718" s="81" t="str">
        <x:v>동굴1</x:v>
      </x:c>
      <x:c r="V718" s="81" t="str">
        <x:v>산악3</x:v>
      </x:c>
    </x:row>
    <x:row r="719">
      <x:c r="A719" s="80" t="n">
        <x:v>715</x:v>
      </x:c>
      <x:c r="B719" s="80" t="str">
        <x:v>음번</x:v>
      </x:c>
      <x:c r="C719" s="80" t="str">
        <x:v>noivern</x:v>
      </x:c>
      <x:c r="D719" s="80" t="str">
        <x:v>동굴</x:v>
      </x:c>
      <x:c r="E719" s="81" t="str">
        <x:v>—</x:v>
      </x:c>
      <x:c r="F719" s="81" t="str">
        <x:v>—</x:v>
      </x:c>
      <x:c r="G719" s="81" t="str">
        <x:v>—</x:v>
      </x:c>
      <x:c r="H719" s="81" t="str">
        <x:v>—</x:v>
      </x:c>
      <x:c r="I719" s="81" t="str">
        <x:v>—</x:v>
      </x:c>
      <x:c r="J719" s="81" t="str">
        <x:v>—</x:v>
      </x:c>
      <x:c r="K719" s="81" t="str">
        <x:v>—</x:v>
      </x:c>
      <x:c r="L719" s="81" t="str">
        <x:v>—</x:v>
      </x:c>
      <x:c r="M719" s="81" t="str">
        <x:v>—</x:v>
      </x:c>
      <x:c r="N719" s="81" t="str">
        <x:v>—</x:v>
      </x:c>
      <x:c r="O719" s="81" t="str">
        <x:v>동굴1</x:v>
      </x:c>
      <x:c r="P719" s="81" t="str">
        <x:v>산악3</x:v>
      </x:c>
      <x:c r="Q719" s="81" t="str">
        <x:v>동굴1</x:v>
      </x:c>
      <x:c r="R719" s="81" t="str">
        <x:v>산악3</x:v>
      </x:c>
      <x:c r="S719" s="81" t="str">
        <x:v>동굴1</x:v>
      </x:c>
      <x:c r="T719" s="81" t="str">
        <x:v>산악4</x:v>
      </x:c>
      <x:c r="U719" s="81" t="str">
        <x:v>동굴1</x:v>
      </x:c>
      <x:c r="V719" s="81" t="str">
        <x:v>산악3</x:v>
      </x:c>
    </x:row>
    <x:row r="720">
      <x:c r="A720" s="80" t="n">
        <x:v>716</x:v>
      </x:c>
      <x:c r="B720" s="80" t="str">
        <x:v>제르네아스</x:v>
      </x:c>
      <x:c r="C720" s="80" t="str">
        <x:v>xerneas</x:v>
      </x:c>
      <x:c r="D720" s="80" t="str">
        <x:v>특수</x:v>
      </x:c>
      <x:c r="E720" s="81" t="str">
        <x:v>—</x:v>
      </x:c>
      <x:c r="F720" s="81" t="str">
        <x:v>—</x:v>
      </x:c>
      <x:c r="G720" s="81" t="str">
        <x:v>—</x:v>
      </x:c>
      <x:c r="H720" s="81" t="str">
        <x:v>—</x:v>
      </x:c>
      <x:c r="I720" s="81" t="str">
        <x:v>—</x:v>
      </x:c>
      <x:c r="J720" s="81" t="str">
        <x:v>—</x:v>
      </x:c>
      <x:c r="K720" s="81" t="str">
        <x:v>—</x:v>
      </x:c>
      <x:c r="L720" s="81" t="str">
        <x:v>—</x:v>
      </x:c>
      <x:c r="M720" s="81" t="str">
        <x:v>—</x:v>
      </x:c>
      <x:c r="N720" s="81" t="str">
        <x:v>—</x:v>
      </x:c>
      <x:c r="O720" s="81" t="str">
        <x:v>—</x:v>
      </x:c>
      <x:c r="P720" s="81" t="str">
        <x:v>—</x:v>
      </x:c>
      <x:c r="Q720" s="81" t="str">
        <x:v>—</x:v>
      </x:c>
      <x:c r="R720" s="81" t="str">
        <x:v>—</x:v>
      </x:c>
      <x:c r="S720" s="81" t="str">
        <x:v>—</x:v>
      </x:c>
      <x:c r="T720" s="81" t="str">
        <x:v>—</x:v>
      </x:c>
      <x:c r="U720" s="81" t="str">
        <x:v>—</x:v>
      </x:c>
      <x:c r="V720" s="81" t="str">
        <x:v>—</x:v>
      </x:c>
    </x:row>
    <x:row r="721">
      <x:c r="A721" s="80" t="n">
        <x:v>717</x:v>
      </x:c>
      <x:c r="B721" s="80" t="str">
        <x:v>이벨타르</x:v>
      </x:c>
      <x:c r="C721" s="80" t="str">
        <x:v>yveltal</x:v>
      </x:c>
      <x:c r="D721" s="80" t="str">
        <x:v>특수</x:v>
      </x:c>
      <x:c r="E721" s="81" t="str">
        <x:v>—</x:v>
      </x:c>
      <x:c r="F721" s="81" t="str">
        <x:v>—</x:v>
      </x:c>
      <x:c r="G721" s="81" t="str">
        <x:v>—</x:v>
      </x:c>
      <x:c r="H721" s="81" t="str">
        <x:v>—</x:v>
      </x:c>
      <x:c r="I721" s="81" t="str">
        <x:v>—</x:v>
      </x:c>
      <x:c r="J721" s="81" t="str">
        <x:v>—</x:v>
      </x:c>
      <x:c r="K721" s="81" t="str">
        <x:v>—</x:v>
      </x:c>
      <x:c r="L721" s="81" t="str">
        <x:v>—</x:v>
      </x:c>
      <x:c r="M721" s="81" t="str">
        <x:v>—</x:v>
      </x:c>
      <x:c r="N721" s="81" t="str">
        <x:v>—</x:v>
      </x:c>
      <x:c r="O721" s="81" t="str">
        <x:v>—</x:v>
      </x:c>
      <x:c r="P721" s="81" t="str">
        <x:v>—</x:v>
      </x:c>
      <x:c r="Q721" s="81" t="str">
        <x:v>—</x:v>
      </x:c>
      <x:c r="R721" s="81" t="str">
        <x:v>—</x:v>
      </x:c>
      <x:c r="S721" s="81" t="str">
        <x:v>—</x:v>
      </x:c>
      <x:c r="T721" s="81" t="str">
        <x:v>—</x:v>
      </x:c>
      <x:c r="U721" s="81" t="str">
        <x:v>—</x:v>
      </x:c>
      <x:c r="V721" s="81" t="str">
        <x:v>—</x:v>
      </x:c>
    </x:row>
    <x:row r="722">
      <x:c r="A722" s="80" t="n">
        <x:v>718</x:v>
      </x:c>
      <x:c r="B722" s="80" t="str">
        <x:v>지가르데</x:v>
      </x:c>
      <x:c r="C722" s="80" t="str">
        <x:v>zygarde</x:v>
      </x:c>
      <x:c r="D722" s="80" t="str">
        <x:v>동굴</x:v>
      </x:c>
      <x:c r="E722" s="81" t="str">
        <x:v>—</x:v>
      </x:c>
      <x:c r="F722" s="81" t="str">
        <x:v>—</x:v>
      </x:c>
      <x:c r="G722" s="81" t="str">
        <x:v>—</x:v>
      </x:c>
      <x:c r="H722" s="81" t="str">
        <x:v>—</x:v>
      </x:c>
      <x:c r="I722" s="81" t="str">
        <x:v>—</x:v>
      </x:c>
      <x:c r="J722" s="81" t="str">
        <x:v>—</x:v>
      </x:c>
      <x:c r="K722" s="81" t="str">
        <x:v>—</x:v>
      </x:c>
      <x:c r="L722" s="81" t="str">
        <x:v>—</x:v>
      </x:c>
      <x:c r="M722" s="81" t="str">
        <x:v>—</x:v>
      </x:c>
      <x:c r="N722" s="81" t="str">
        <x:v>—</x:v>
      </x:c>
      <x:c r="O722" s="81" t="str">
        <x:v>—</x:v>
      </x:c>
      <x:c r="P722" s="81" t="str">
        <x:v>—</x:v>
      </x:c>
      <x:c r="Q722" s="81" t="str">
        <x:v>—</x:v>
      </x:c>
      <x:c r="R722" s="81" t="str">
        <x:v>—</x:v>
      </x:c>
      <x:c r="S722" s="81" t="str">
        <x:v>—</x:v>
      </x:c>
      <x:c r="T722" s="81" t="str">
        <x:v>—</x:v>
      </x:c>
      <x:c r="U722" s="81" t="str">
        <x:v>—</x:v>
      </x:c>
      <x:c r="V722" s="81" t="str">
        <x:v>—</x:v>
      </x:c>
    </x:row>
    <x:row r="723">
      <x:c r="A723" s="80" t="n">
        <x:v>719</x:v>
      </x:c>
      <x:c r="B723" s="80" t="str">
        <x:v>디안시</x:v>
      </x:c>
      <x:c r="C723" s="80" t="str">
        <x:v>diancie</x:v>
      </x:c>
      <x:c r="D723" s="80" t="str">
        <x:v>동굴</x:v>
      </x:c>
      <x:c r="E723" s="81" t="str">
        <x:v>—</x:v>
      </x:c>
      <x:c r="F723" s="81" t="str">
        <x:v>—</x:v>
      </x:c>
      <x:c r="G723" s="81" t="str">
        <x:v>—</x:v>
      </x:c>
      <x:c r="H723" s="81" t="str">
        <x:v>—</x:v>
      </x:c>
      <x:c r="I723" s="81" t="str">
        <x:v>—</x:v>
      </x:c>
      <x:c r="J723" s="81" t="str">
        <x:v>—</x:v>
      </x:c>
      <x:c r="K723" s="81" t="str">
        <x:v>—</x:v>
      </x:c>
      <x:c r="L723" s="81" t="str">
        <x:v>—</x:v>
      </x:c>
      <x:c r="M723" s="81" t="str">
        <x:v>—</x:v>
      </x:c>
      <x:c r="N723" s="81" t="str">
        <x:v>—</x:v>
      </x:c>
      <x:c r="O723" s="81" t="str">
        <x:v>—</x:v>
      </x:c>
      <x:c r="P723" s="81" t="str">
        <x:v>—</x:v>
      </x:c>
      <x:c r="Q723" s="81" t="str">
        <x:v>—</x:v>
      </x:c>
      <x:c r="R723" s="81" t="str">
        <x:v>—</x:v>
      </x:c>
      <x:c r="S723" s="81" t="str">
        <x:v>—</x:v>
      </x:c>
      <x:c r="T723" s="81" t="str">
        <x:v>—</x:v>
      </x:c>
      <x:c r="U723" s="81" t="str">
        <x:v>—</x:v>
      </x:c>
      <x:c r="V723" s="81" t="str">
        <x:v>—</x:v>
      </x:c>
    </x:row>
    <x:row r="724">
      <x:c r="A724" s="80" t="n">
        <x:v>720</x:v>
      </x:c>
      <x:c r="B724" s="80" t="str">
        <x:v>후파</x:v>
      </x:c>
      <x:c r="C724" s="80" t="str">
        <x:v>hoopa</x:v>
      </x:c>
      <x:c r="D724" s="80" t="str">
        <x:v>특수</x:v>
      </x:c>
      <x:c r="E724" s="81" t="str">
        <x:v>—</x:v>
      </x:c>
      <x:c r="F724" s="81" t="str">
        <x:v>—</x:v>
      </x:c>
      <x:c r="G724" s="81" t="str">
        <x:v>—</x:v>
      </x:c>
      <x:c r="H724" s="81" t="str">
        <x:v>—</x:v>
      </x:c>
      <x:c r="I724" s="81" t="str">
        <x:v>—</x:v>
      </x:c>
      <x:c r="J724" s="81" t="str">
        <x:v>—</x:v>
      </x:c>
      <x:c r="K724" s="81" t="str">
        <x:v>—</x:v>
      </x:c>
      <x:c r="L724" s="81" t="str">
        <x:v>—</x:v>
      </x:c>
      <x:c r="M724" s="81" t="str">
        <x:v>—</x:v>
      </x:c>
      <x:c r="N724" s="81" t="str">
        <x:v>—</x:v>
      </x:c>
      <x:c r="O724" s="81" t="str">
        <x:v>—</x:v>
      </x:c>
      <x:c r="P724" s="81" t="str">
        <x:v>—</x:v>
      </x:c>
      <x:c r="Q724" s="81" t="str">
        <x:v>—</x:v>
      </x:c>
      <x:c r="R724" s="81" t="str">
        <x:v>—</x:v>
      </x:c>
      <x:c r="S724" s="81" t="str">
        <x:v>—</x:v>
      </x:c>
      <x:c r="T724" s="81" t="str">
        <x:v>—</x:v>
      </x:c>
      <x:c r="U724" s="81" t="str">
        <x:v>—</x:v>
      </x:c>
      <x:c r="V724" s="81" t="str">
        <x:v>—</x:v>
      </x:c>
    </x:row>
    <x:row r="725">
      <x:c r="A725" s="80" t="n">
        <x:v>721</x:v>
      </x:c>
      <x:c r="B725" s="80" t="str">
        <x:v>볼케니온</x:v>
      </x:c>
      <x:c r="C725" s="80" t="str">
        <x:v>volcanion</x:v>
      </x:c>
      <x:c r="D725" s="80" t="str">
        <x:v>산악</x:v>
      </x:c>
      <x:c r="E725" s="81" t="str">
        <x:v>—</x:v>
      </x:c>
      <x:c r="F725" s="81" t="str">
        <x:v>—</x:v>
      </x:c>
      <x:c r="G725" s="81" t="str">
        <x:v>—</x:v>
      </x:c>
      <x:c r="H725" s="81" t="str">
        <x:v>—</x:v>
      </x:c>
      <x:c r="I725" s="81" t="str">
        <x:v>—</x:v>
      </x:c>
      <x:c r="J725" s="81" t="str">
        <x:v>—</x:v>
      </x:c>
      <x:c r="K725" s="81" t="str">
        <x:v>—</x:v>
      </x:c>
      <x:c r="L725" s="81" t="str">
        <x:v>—</x:v>
      </x:c>
      <x:c r="M725" s="81" t="str">
        <x:v>—</x:v>
      </x:c>
      <x:c r="N725" s="81" t="str">
        <x:v>—</x:v>
      </x:c>
      <x:c r="O725" s="81" t="str">
        <x:v>—</x:v>
      </x:c>
      <x:c r="P725" s="81" t="str">
        <x:v>—</x:v>
      </x:c>
      <x:c r="Q725" s="81" t="str">
        <x:v>—</x:v>
      </x:c>
      <x:c r="R725" s="81" t="str">
        <x:v>—</x:v>
      </x:c>
      <x:c r="S725" s="81" t="str">
        <x:v>—</x:v>
      </x:c>
      <x:c r="T725" s="81" t="str">
        <x:v>—</x:v>
      </x:c>
      <x:c r="U725" s="81" t="str">
        <x:v>—</x:v>
      </x:c>
      <x:c r="V725" s="81" t="str">
        <x:v>—</x:v>
      </x:c>
    </x:row>
    <x:row r="726">
      <x:c r="A726" s="80" t="n">
        <x:v>722</x:v>
      </x:c>
      <x:c r="B726" s="80" t="str">
        <x:v>나몰빼미</x:v>
      </x:c>
      <x:c r="C726" s="80" t="str">
        <x:v>rowlet</x:v>
      </x:c>
      <x:c r="D726" s="80" t="str">
        <x:v>숲</x:v>
      </x:c>
      <x:c r="E726" s="81" t="str">
        <x:v>—</x:v>
      </x:c>
      <x:c r="F726" s="81" t="str">
        <x:v>—</x:v>
      </x:c>
      <x:c r="G726" s="81" t="str">
        <x:v>—</x:v>
      </x:c>
      <x:c r="H726" s="81" t="str">
        <x:v>—</x:v>
      </x:c>
      <x:c r="I726" s="81" t="str">
        <x:v>—</x:v>
      </x:c>
      <x:c r="J726" s="81" t="str">
        <x:v>—</x:v>
      </x:c>
      <x:c r="K726" s="81" t="str">
        <x:v>—</x:v>
      </x:c>
      <x:c r="L726" s="81" t="str">
        <x:v>—</x:v>
      </x:c>
      <x:c r="M726" s="81" t="str">
        <x:v>—</x:v>
      </x:c>
      <x:c r="N726" s="81" t="str">
        <x:v>—</x:v>
      </x:c>
      <x:c r="O726" s="81" t="str">
        <x:v>—</x:v>
      </x:c>
      <x:c r="P726" s="81" t="str">
        <x:v>—</x:v>
      </x:c>
      <x:c r="Q726" s="81" t="str">
        <x:v>숲4</x:v>
      </x:c>
      <x:c r="R726" s="81" t="str">
        <x:v>산악3</x:v>
      </x:c>
      <x:c r="S726" s="81" t="str">
        <x:v>—</x:v>
      </x:c>
      <x:c r="T726" s="81" t="str">
        <x:v>—</x:v>
      </x:c>
      <x:c r="U726" s="81" t="str">
        <x:v>숲5</x:v>
      </x:c>
      <x:c r="V726" s="81" t="str">
        <x:v>산악3</x:v>
      </x:c>
    </x:row>
    <x:row r="727">
      <x:c r="A727" s="80" t="n">
        <x:v>723</x:v>
      </x:c>
      <x:c r="B727" s="80" t="str">
        <x:v>빼미스로우</x:v>
      </x:c>
      <x:c r="C727" s="80" t="str">
        <x:v>dartrix</x:v>
      </x:c>
      <x:c r="D727" s="80" t="str">
        <x:v>숲</x:v>
      </x:c>
      <x:c r="E727" s="81" t="str">
        <x:v>—</x:v>
      </x:c>
      <x:c r="F727" s="81" t="str">
        <x:v>—</x:v>
      </x:c>
      <x:c r="G727" s="81" t="str">
        <x:v>—</x:v>
      </x:c>
      <x:c r="H727" s="81" t="str">
        <x:v>—</x:v>
      </x:c>
      <x:c r="I727" s="81" t="str">
        <x:v>—</x:v>
      </x:c>
      <x:c r="J727" s="81" t="str">
        <x:v>—</x:v>
      </x:c>
      <x:c r="K727" s="81" t="str">
        <x:v>—</x:v>
      </x:c>
      <x:c r="L727" s="81" t="str">
        <x:v>—</x:v>
      </x:c>
      <x:c r="M727" s="81" t="str">
        <x:v>—</x:v>
      </x:c>
      <x:c r="N727" s="81" t="str">
        <x:v>—</x:v>
      </x:c>
      <x:c r="O727" s="81" t="str">
        <x:v>—</x:v>
      </x:c>
      <x:c r="P727" s="81" t="str">
        <x:v>—</x:v>
      </x:c>
      <x:c r="Q727" s="81" t="str">
        <x:v>숲4</x:v>
      </x:c>
      <x:c r="R727" s="81" t="str">
        <x:v>산악3</x:v>
      </x:c>
      <x:c r="S727" s="81" t="str">
        <x:v>—</x:v>
      </x:c>
      <x:c r="T727" s="81" t="str">
        <x:v>—</x:v>
      </x:c>
      <x:c r="U727" s="81" t="str">
        <x:v>숲5</x:v>
      </x:c>
      <x:c r="V727" s="81" t="str">
        <x:v>산악3</x:v>
      </x:c>
    </x:row>
    <x:row r="728">
      <x:c r="A728" s="80" t="n">
        <x:v>724</x:v>
      </x:c>
      <x:c r="B728" s="80" t="str">
        <x:v>모크나이퍼</x:v>
      </x:c>
      <x:c r="C728" s="80" t="str">
        <x:v>decidueye</x:v>
      </x:c>
      <x:c r="D728" s="80" t="str">
        <x:v>숲</x:v>
      </x:c>
      <x:c r="E728" s="81" t="str">
        <x:v>—</x:v>
      </x:c>
      <x:c r="F728" s="81" t="str">
        <x:v>—</x:v>
      </x:c>
      <x:c r="G728" s="81" t="str">
        <x:v>—</x:v>
      </x:c>
      <x:c r="H728" s="81" t="str">
        <x:v>—</x:v>
      </x:c>
      <x:c r="I728" s="81" t="str">
        <x:v>—</x:v>
      </x:c>
      <x:c r="J728" s="81" t="str">
        <x:v>—</x:v>
      </x:c>
      <x:c r="K728" s="81" t="str">
        <x:v>—</x:v>
      </x:c>
      <x:c r="L728" s="81" t="str">
        <x:v>—</x:v>
      </x:c>
      <x:c r="M728" s="81" t="str">
        <x:v>—</x:v>
      </x:c>
      <x:c r="N728" s="81" t="str">
        <x:v>—</x:v>
      </x:c>
      <x:c r="O728" s="81" t="str">
        <x:v>—</x:v>
      </x:c>
      <x:c r="P728" s="81" t="str">
        <x:v>—</x:v>
      </x:c>
      <x:c r="Q728" s="81" t="str">
        <x:v>숲4</x:v>
      </x:c>
      <x:c r="R728" s="81" t="str">
        <x:v>특수1</x:v>
      </x:c>
      <x:c r="S728" s="81" t="str">
        <x:v>—</x:v>
      </x:c>
      <x:c r="T728" s="81" t="str">
        <x:v>—</x:v>
      </x:c>
      <x:c r="U728" s="81" t="str">
        <x:v>숲5</x:v>
      </x:c>
      <x:c r="V728" s="81" t="str">
        <x:v>특수2</x:v>
      </x:c>
    </x:row>
    <x:row r="729">
      <x:c r="A729" s="80" t="n">
        <x:v>725</x:v>
      </x:c>
      <x:c r="B729" s="80" t="str">
        <x:v>냐오불</x:v>
      </x:c>
      <x:c r="C729" s="80" t="str">
        <x:v>litten</x:v>
      </x:c>
      <x:c r="D729" s="80" t="str">
        <x:v>숲</x:v>
      </x:c>
      <x:c r="E729" s="81" t="str">
        <x:v>—</x:v>
      </x:c>
      <x:c r="F729" s="81" t="str">
        <x:v>—</x:v>
      </x:c>
      <x:c r="G729" s="81" t="str">
        <x:v>—</x:v>
      </x:c>
      <x:c r="H729" s="81" t="str">
        <x:v>—</x:v>
      </x:c>
      <x:c r="I729" s="81" t="str">
        <x:v>—</x:v>
      </x:c>
      <x:c r="J729" s="81" t="str">
        <x:v>—</x:v>
      </x:c>
      <x:c r="K729" s="81" t="str">
        <x:v>—</x:v>
      </x:c>
      <x:c r="L729" s="81" t="str">
        <x:v>—</x:v>
      </x:c>
      <x:c r="M729" s="81" t="str">
        <x:v>—</x:v>
      </x:c>
      <x:c r="N729" s="81" t="str">
        <x:v>—</x:v>
      </x:c>
      <x:c r="O729" s="81" t="str">
        <x:v>—</x:v>
      </x:c>
      <x:c r="P729" s="81" t="str">
        <x:v>—</x:v>
      </x:c>
      <x:c r="Q729" s="81" t="str">
        <x:v>숲4</x:v>
      </x:c>
      <x:c r="R729" s="81" t="str">
        <x:v>화산1</x:v>
      </x:c>
      <x:c r="S729" s="81" t="str">
        <x:v>—</x:v>
      </x:c>
      <x:c r="T729" s="81" t="str">
        <x:v>—</x:v>
      </x:c>
      <x:c r="U729" s="81" t="str">
        <x:v>숲5</x:v>
      </x:c>
      <x:c r="V729" s="81" t="str">
        <x:v>화산2</x:v>
      </x:c>
    </x:row>
    <x:row r="730">
      <x:c r="A730" s="80" t="n">
        <x:v>726</x:v>
      </x:c>
      <x:c r="B730" s="80" t="str">
        <x:v>냐오히트</x:v>
      </x:c>
      <x:c r="C730" s="80" t="str">
        <x:v>torracat</x:v>
      </x:c>
      <x:c r="D730" s="80" t="str">
        <x:v>숲</x:v>
      </x:c>
      <x:c r="E730" s="81" t="str">
        <x:v>—</x:v>
      </x:c>
      <x:c r="F730" s="81" t="str">
        <x:v>—</x:v>
      </x:c>
      <x:c r="G730" s="81" t="str">
        <x:v>—</x:v>
      </x:c>
      <x:c r="H730" s="81" t="str">
        <x:v>—</x:v>
      </x:c>
      <x:c r="I730" s="81" t="str">
        <x:v>—</x:v>
      </x:c>
      <x:c r="J730" s="81" t="str">
        <x:v>—</x:v>
      </x:c>
      <x:c r="K730" s="81" t="str">
        <x:v>—</x:v>
      </x:c>
      <x:c r="L730" s="81" t="str">
        <x:v>—</x:v>
      </x:c>
      <x:c r="M730" s="81" t="str">
        <x:v>—</x:v>
      </x:c>
      <x:c r="N730" s="81" t="str">
        <x:v>—</x:v>
      </x:c>
      <x:c r="O730" s="81" t="str">
        <x:v>—</x:v>
      </x:c>
      <x:c r="P730" s="81" t="str">
        <x:v>—</x:v>
      </x:c>
      <x:c r="Q730" s="81" t="str">
        <x:v>숲4</x:v>
      </x:c>
      <x:c r="R730" s="81" t="str">
        <x:v>화산1</x:v>
      </x:c>
      <x:c r="S730" s="81" t="str">
        <x:v>—</x:v>
      </x:c>
      <x:c r="T730" s="81" t="str">
        <x:v>—</x:v>
      </x:c>
      <x:c r="U730" s="81" t="str">
        <x:v>숲5</x:v>
      </x:c>
      <x:c r="V730" s="81" t="str">
        <x:v>화산2</x:v>
      </x:c>
    </x:row>
    <x:row r="731">
      <x:c r="A731" s="80" t="n">
        <x:v>727</x:v>
      </x:c>
      <x:c r="B731" s="80" t="str">
        <x:v>어흥염</x:v>
      </x:c>
      <x:c r="C731" s="80" t="str">
        <x:v>incineroar</x:v>
      </x:c>
      <x:c r="D731" s="80" t="str">
        <x:v>숲</x:v>
      </x:c>
      <x:c r="E731" s="81" t="str">
        <x:v>—</x:v>
      </x:c>
      <x:c r="F731" s="81" t="str">
        <x:v>—</x:v>
      </x:c>
      <x:c r="G731" s="81" t="str">
        <x:v>—</x:v>
      </x:c>
      <x:c r="H731" s="81" t="str">
        <x:v>—</x:v>
      </x:c>
      <x:c r="I731" s="81" t="str">
        <x:v>—</x:v>
      </x:c>
      <x:c r="J731" s="81" t="str">
        <x:v>—</x:v>
      </x:c>
      <x:c r="K731" s="81" t="str">
        <x:v>—</x:v>
      </x:c>
      <x:c r="L731" s="81" t="str">
        <x:v>—</x:v>
      </x:c>
      <x:c r="M731" s="81" t="str">
        <x:v>—</x:v>
      </x:c>
      <x:c r="N731" s="81" t="str">
        <x:v>—</x:v>
      </x:c>
      <x:c r="O731" s="81" t="str">
        <x:v>—</x:v>
      </x:c>
      <x:c r="P731" s="81" t="str">
        <x:v>—</x:v>
      </x:c>
      <x:c r="Q731" s="81" t="str">
        <x:v>숲4</x:v>
      </x:c>
      <x:c r="R731" s="81" t="str">
        <x:v>화산1</x:v>
      </x:c>
      <x:c r="S731" s="81" t="str">
        <x:v>—</x:v>
      </x:c>
      <x:c r="T731" s="81" t="str">
        <x:v>—</x:v>
      </x:c>
      <x:c r="U731" s="81" t="str">
        <x:v>숲5</x:v>
      </x:c>
      <x:c r="V731" s="81" t="str">
        <x:v>화산2</x:v>
      </x:c>
    </x:row>
    <x:row r="732">
      <x:c r="A732" s="80" t="n">
        <x:v>728</x:v>
      </x:c>
      <x:c r="B732" s="80" t="str">
        <x:v>누리공</x:v>
      </x:c>
      <x:c r="C732" s="80" t="str">
        <x:v>popplio</x:v>
      </x:c>
      <x:c r="D732" s="80" t="str">
        <x:v>해양</x:v>
      </x:c>
      <x:c r="E732" s="81" t="str">
        <x:v>—</x:v>
      </x:c>
      <x:c r="F732" s="81" t="str">
        <x:v>—</x:v>
      </x:c>
      <x:c r="G732" s="81" t="str">
        <x:v>—</x:v>
      </x:c>
      <x:c r="H732" s="81" t="str">
        <x:v>—</x:v>
      </x:c>
      <x:c r="I732" s="81" t="str">
        <x:v>—</x:v>
      </x:c>
      <x:c r="J732" s="81" t="str">
        <x:v>—</x:v>
      </x:c>
      <x:c r="K732" s="81" t="str">
        <x:v>—</x:v>
      </x:c>
      <x:c r="L732" s="81" t="str">
        <x:v>—</x:v>
      </x:c>
      <x:c r="M732" s="81" t="str">
        <x:v>—</x:v>
      </x:c>
      <x:c r="N732" s="81" t="str">
        <x:v>—</x:v>
      </x:c>
      <x:c r="O732" s="81" t="str">
        <x:v>—</x:v>
      </x:c>
      <x:c r="P732" s="81" t="str">
        <x:v>—</x:v>
      </x:c>
      <x:c r="Q732" s="81" t="str">
        <x:v>해양2</x:v>
      </x:c>
      <x:c r="R732" s="81" t="str">
        <x:v>담수2</x:v>
      </x:c>
      <x:c r="S732" s="81" t="str">
        <x:v>—</x:v>
      </x:c>
      <x:c r="T732" s="81" t="str">
        <x:v>—</x:v>
      </x:c>
      <x:c r="U732" s="81" t="str">
        <x:v>해양2</x:v>
      </x:c>
      <x:c r="V732" s="81" t="str">
        <x:v>담수3</x:v>
      </x:c>
    </x:row>
    <x:row r="733">
      <x:c r="A733" s="80" t="n">
        <x:v>729</x:v>
      </x:c>
      <x:c r="B733" s="80" t="str">
        <x:v>키요공</x:v>
      </x:c>
      <x:c r="C733" s="80" t="str">
        <x:v>brionne</x:v>
      </x:c>
      <x:c r="D733" s="80" t="str">
        <x:v>해양</x:v>
      </x:c>
      <x:c r="E733" s="81" t="str">
        <x:v>—</x:v>
      </x:c>
      <x:c r="F733" s="81" t="str">
        <x:v>—</x:v>
      </x:c>
      <x:c r="G733" s="81" t="str">
        <x:v>—</x:v>
      </x:c>
      <x:c r="H733" s="81" t="str">
        <x:v>—</x:v>
      </x:c>
      <x:c r="I733" s="81" t="str">
        <x:v>—</x:v>
      </x:c>
      <x:c r="J733" s="81" t="str">
        <x:v>—</x:v>
      </x:c>
      <x:c r="K733" s="81" t="str">
        <x:v>—</x:v>
      </x:c>
      <x:c r="L733" s="81" t="str">
        <x:v>—</x:v>
      </x:c>
      <x:c r="M733" s="81" t="str">
        <x:v>—</x:v>
      </x:c>
      <x:c r="N733" s="81" t="str">
        <x:v>—</x:v>
      </x:c>
      <x:c r="O733" s="81" t="str">
        <x:v>—</x:v>
      </x:c>
      <x:c r="P733" s="81" t="str">
        <x:v>—</x:v>
      </x:c>
      <x:c r="Q733" s="81" t="str">
        <x:v>해양2</x:v>
      </x:c>
      <x:c r="R733" s="81" t="str">
        <x:v>담수2</x:v>
      </x:c>
      <x:c r="S733" s="81" t="str">
        <x:v>—</x:v>
      </x:c>
      <x:c r="T733" s="81" t="str">
        <x:v>—</x:v>
      </x:c>
      <x:c r="U733" s="81" t="str">
        <x:v>해양2</x:v>
      </x:c>
      <x:c r="V733" s="81" t="str">
        <x:v>담수3</x:v>
      </x:c>
    </x:row>
    <x:row r="734">
      <x:c r="A734" s="80" t="n">
        <x:v>730</x:v>
      </x:c>
      <x:c r="B734" s="80" t="str">
        <x:v>누리레느</x:v>
      </x:c>
      <x:c r="C734" s="80" t="str">
        <x:v>primarina</x:v>
      </x:c>
      <x:c r="D734" s="80" t="str">
        <x:v>해양</x:v>
      </x:c>
      <x:c r="E734" s="81" t="str">
        <x:v>—</x:v>
      </x:c>
      <x:c r="F734" s="81" t="str">
        <x:v>—</x:v>
      </x:c>
      <x:c r="G734" s="81" t="str">
        <x:v>—</x:v>
      </x:c>
      <x:c r="H734" s="81" t="str">
        <x:v>—</x:v>
      </x:c>
      <x:c r="I734" s="81" t="str">
        <x:v>—</x:v>
      </x:c>
      <x:c r="J734" s="81" t="str">
        <x:v>—</x:v>
      </x:c>
      <x:c r="K734" s="81" t="str">
        <x:v>—</x:v>
      </x:c>
      <x:c r="L734" s="81" t="str">
        <x:v>—</x:v>
      </x:c>
      <x:c r="M734" s="81" t="str">
        <x:v>—</x:v>
      </x:c>
      <x:c r="N734" s="81" t="str">
        <x:v>—</x:v>
      </x:c>
      <x:c r="O734" s="81" t="str">
        <x:v>—</x:v>
      </x:c>
      <x:c r="P734" s="81" t="str">
        <x:v>—</x:v>
      </x:c>
      <x:c r="Q734" s="81" t="str">
        <x:v>해양2</x:v>
      </x:c>
      <x:c r="R734" s="81" t="str">
        <x:v>담수2</x:v>
      </x:c>
      <x:c r="S734" s="81" t="str">
        <x:v>—</x:v>
      </x:c>
      <x:c r="T734" s="81" t="str">
        <x:v>—</x:v>
      </x:c>
      <x:c r="U734" s="81" t="str">
        <x:v>해양2</x:v>
      </x:c>
      <x:c r="V734" s="81" t="str">
        <x:v>담수3</x:v>
      </x:c>
    </x:row>
    <x:row r="735">
      <x:c r="A735" s="80" t="n">
        <x:v>731</x:v>
      </x:c>
      <x:c r="B735" s="80" t="str">
        <x:v>콕코구리</x:v>
      </x:c>
      <x:c r="C735" s="80" t="str">
        <x:v>pikipek</x:v>
      </x:c>
      <x:c r="D735" s="80" t="str">
        <x:v>숲</x:v>
      </x:c>
      <x:c r="E735" s="81" t="str">
        <x:v>—</x:v>
      </x:c>
      <x:c r="F735" s="81" t="str">
        <x:v>—</x:v>
      </x:c>
      <x:c r="G735" s="81" t="str">
        <x:v>—</x:v>
      </x:c>
      <x:c r="H735" s="81" t="str">
        <x:v>—</x:v>
      </x:c>
      <x:c r="I735" s="81" t="str">
        <x:v>—</x:v>
      </x:c>
      <x:c r="J735" s="81" t="str">
        <x:v>—</x:v>
      </x:c>
      <x:c r="K735" s="81" t="str">
        <x:v>—</x:v>
      </x:c>
      <x:c r="L735" s="81" t="str">
        <x:v>—</x:v>
      </x:c>
      <x:c r="M735" s="81" t="str">
        <x:v>—</x:v>
      </x:c>
      <x:c r="N735" s="81" t="str">
        <x:v>—</x:v>
      </x:c>
      <x:c r="O735" s="81" t="str">
        <x:v>—</x:v>
      </x:c>
      <x:c r="P735" s="81" t="str">
        <x:v>—</x:v>
      </x:c>
      <x:c r="Q735" s="81" t="str">
        <x:v>숲4</x:v>
      </x:c>
      <x:c r="R735" s="81" t="str">
        <x:v>평원5</x:v>
      </x:c>
      <x:c r="S735" s="81" t="str">
        <x:v>—</x:v>
      </x:c>
      <x:c r="T735" s="81" t="str">
        <x:v>—</x:v>
      </x:c>
      <x:c r="U735" s="81" t="str">
        <x:v>숲5</x:v>
      </x:c>
      <x:c r="V735" s="81" t="str">
        <x:v>평원5</x:v>
      </x:c>
    </x:row>
    <x:row r="736">
      <x:c r="A736" s="80" t="n">
        <x:v>732</x:v>
      </x:c>
      <x:c r="B736" s="80" t="str">
        <x:v>크라파</x:v>
      </x:c>
      <x:c r="C736" s="80" t="str">
        <x:v>trumbeak</x:v>
      </x:c>
      <x:c r="D736" s="80" t="str">
        <x:v>숲</x:v>
      </x:c>
      <x:c r="E736" s="81" t="str">
        <x:v>—</x:v>
      </x:c>
      <x:c r="F736" s="81" t="str">
        <x:v>—</x:v>
      </x:c>
      <x:c r="G736" s="81" t="str">
        <x:v>—</x:v>
      </x:c>
      <x:c r="H736" s="81" t="str">
        <x:v>—</x:v>
      </x:c>
      <x:c r="I736" s="81" t="str">
        <x:v>—</x:v>
      </x:c>
      <x:c r="J736" s="81" t="str">
        <x:v>—</x:v>
      </x:c>
      <x:c r="K736" s="81" t="str">
        <x:v>—</x:v>
      </x:c>
      <x:c r="L736" s="81" t="str">
        <x:v>—</x:v>
      </x:c>
      <x:c r="M736" s="81" t="str">
        <x:v>—</x:v>
      </x:c>
      <x:c r="N736" s="81" t="str">
        <x:v>—</x:v>
      </x:c>
      <x:c r="O736" s="81" t="str">
        <x:v>—</x:v>
      </x:c>
      <x:c r="P736" s="81" t="str">
        <x:v>—</x:v>
      </x:c>
      <x:c r="Q736" s="81" t="str">
        <x:v>숲4</x:v>
      </x:c>
      <x:c r="R736" s="81" t="str">
        <x:v>평원5</x:v>
      </x:c>
      <x:c r="S736" s="81" t="str">
        <x:v>—</x:v>
      </x:c>
      <x:c r="T736" s="81" t="str">
        <x:v>—</x:v>
      </x:c>
      <x:c r="U736" s="81" t="str">
        <x:v>숲5</x:v>
      </x:c>
      <x:c r="V736" s="81" t="str">
        <x:v>평원5</x:v>
      </x:c>
    </x:row>
    <x:row r="737">
      <x:c r="A737" s="80" t="n">
        <x:v>733</x:v>
      </x:c>
      <x:c r="B737" s="80" t="str">
        <x:v>왕큰부리</x:v>
      </x:c>
      <x:c r="C737" s="80" t="str">
        <x:v>toucannon</x:v>
      </x:c>
      <x:c r="D737" s="80" t="str">
        <x:v>숲</x:v>
      </x:c>
      <x:c r="E737" s="81" t="str">
        <x:v>—</x:v>
      </x:c>
      <x:c r="F737" s="81" t="str">
        <x:v>—</x:v>
      </x:c>
      <x:c r="G737" s="81" t="str">
        <x:v>—</x:v>
      </x:c>
      <x:c r="H737" s="81" t="str">
        <x:v>—</x:v>
      </x:c>
      <x:c r="I737" s="81" t="str">
        <x:v>—</x:v>
      </x:c>
      <x:c r="J737" s="81" t="str">
        <x:v>—</x:v>
      </x:c>
      <x:c r="K737" s="81" t="str">
        <x:v>—</x:v>
      </x:c>
      <x:c r="L737" s="81" t="str">
        <x:v>—</x:v>
      </x:c>
      <x:c r="M737" s="81" t="str">
        <x:v>—</x:v>
      </x:c>
      <x:c r="N737" s="81" t="str">
        <x:v>—</x:v>
      </x:c>
      <x:c r="O737" s="81" t="str">
        <x:v>—</x:v>
      </x:c>
      <x:c r="P737" s="81" t="str">
        <x:v>—</x:v>
      </x:c>
      <x:c r="Q737" s="81" t="str">
        <x:v>숲4</x:v>
      </x:c>
      <x:c r="R737" s="81" t="str">
        <x:v>평원5</x:v>
      </x:c>
      <x:c r="S737" s="81" t="str">
        <x:v>—</x:v>
      </x:c>
      <x:c r="T737" s="81" t="str">
        <x:v>—</x:v>
      </x:c>
      <x:c r="U737" s="81" t="str">
        <x:v>숲5</x:v>
      </x:c>
      <x:c r="V737" s="81" t="str">
        <x:v>평원6</x:v>
      </x:c>
    </x:row>
    <x:row r="738">
      <x:c r="A738" s="80" t="n">
        <x:v>734</x:v>
      </x:c>
      <x:c r="B738" s="80" t="str">
        <x:v>영구스</x:v>
      </x:c>
      <x:c r="C738" s="80" t="str">
        <x:v>yungoos</x:v>
      </x:c>
      <x:c r="D738" s="80" t="str">
        <x:v>평원</x:v>
      </x:c>
      <x:c r="E738" s="81" t="str">
        <x:v>—</x:v>
      </x:c>
      <x:c r="F738" s="81" t="str">
        <x:v>—</x:v>
      </x:c>
      <x:c r="G738" s="81" t="str">
        <x:v>—</x:v>
      </x:c>
      <x:c r="H738" s="81" t="str">
        <x:v>—</x:v>
      </x:c>
      <x:c r="I738" s="81" t="str">
        <x:v>—</x:v>
      </x:c>
      <x:c r="J738" s="81" t="str">
        <x:v>—</x:v>
      </x:c>
      <x:c r="K738" s="81" t="str">
        <x:v>—</x:v>
      </x:c>
      <x:c r="L738" s="81" t="str">
        <x:v>—</x:v>
      </x:c>
      <x:c r="M738" s="81" t="str">
        <x:v>—</x:v>
      </x:c>
      <x:c r="N738" s="81" t="str">
        <x:v>—</x:v>
      </x:c>
      <x:c r="O738" s="81" t="str">
        <x:v>—</x:v>
      </x:c>
      <x:c r="P738" s="81" t="str">
        <x:v>—</x:v>
      </x:c>
      <x:c r="Q738" s="81" t="str">
        <x:v>평원5</x:v>
      </x:c>
      <x:c r="R738" s="81" t="str">
        <x:v>숲4</x:v>
      </x:c>
      <x:c r="S738" s="81" t="str">
        <x:v>—</x:v>
      </x:c>
      <x:c r="T738" s="81" t="str">
        <x:v>—</x:v>
      </x:c>
      <x:c r="U738" s="81" t="str">
        <x:v>평원6</x:v>
      </x:c>
      <x:c r="V738" s="81" t="str">
        <x:v>숲5</x:v>
      </x:c>
    </x:row>
    <x:row r="739">
      <x:c r="A739" s="80" t="n">
        <x:v>735</x:v>
      </x:c>
      <x:c r="B739" s="80" t="str">
        <x:v>형사구스</x:v>
      </x:c>
      <x:c r="C739" s="80" t="str">
        <x:v>gumshoos</x:v>
      </x:c>
      <x:c r="D739" s="80" t="str">
        <x:v>평원</x:v>
      </x:c>
      <x:c r="E739" s="81" t="str">
        <x:v>—</x:v>
      </x:c>
      <x:c r="F739" s="81" t="str">
        <x:v>—</x:v>
      </x:c>
      <x:c r="G739" s="81" t="str">
        <x:v>—</x:v>
      </x:c>
      <x:c r="H739" s="81" t="str">
        <x:v>—</x:v>
      </x:c>
      <x:c r="I739" s="81" t="str">
        <x:v>—</x:v>
      </x:c>
      <x:c r="J739" s="81" t="str">
        <x:v>—</x:v>
      </x:c>
      <x:c r="K739" s="81" t="str">
        <x:v>—</x:v>
      </x:c>
      <x:c r="L739" s="81" t="str">
        <x:v>—</x:v>
      </x:c>
      <x:c r="M739" s="81" t="str">
        <x:v>—</x:v>
      </x:c>
      <x:c r="N739" s="81" t="str">
        <x:v>—</x:v>
      </x:c>
      <x:c r="O739" s="81" t="str">
        <x:v>—</x:v>
      </x:c>
      <x:c r="P739" s="81" t="str">
        <x:v>—</x:v>
      </x:c>
      <x:c r="Q739" s="81" t="str">
        <x:v>평원5</x:v>
      </x:c>
      <x:c r="R739" s="81" t="str">
        <x:v>숲4</x:v>
      </x:c>
      <x:c r="S739" s="81" t="str">
        <x:v>—</x:v>
      </x:c>
      <x:c r="T739" s="81" t="str">
        <x:v>—</x:v>
      </x:c>
      <x:c r="U739" s="81" t="str">
        <x:v>평원6</x:v>
      </x:c>
      <x:c r="V739" s="81" t="str">
        <x:v>숲5</x:v>
      </x:c>
    </x:row>
    <x:row r="740">
      <x:c r="A740" s="80" t="n">
        <x:v>736</x:v>
      </x:c>
      <x:c r="B740" s="80" t="str">
        <x:v>턱지충이</x:v>
      </x:c>
      <x:c r="C740" s="80" t="str">
        <x:v>grubbin</x:v>
      </x:c>
      <x:c r="D740" s="80" t="str">
        <x:v>건조지</x:v>
      </x:c>
      <x:c r="E740" s="81" t="str">
        <x:v>—</x:v>
      </x:c>
      <x:c r="F740" s="81" t="str">
        <x:v>—</x:v>
      </x:c>
      <x:c r="G740" s="81" t="str">
        <x:v>—</x:v>
      </x:c>
      <x:c r="H740" s="81" t="str">
        <x:v>—</x:v>
      </x:c>
      <x:c r="I740" s="81" t="str">
        <x:v>—</x:v>
      </x:c>
      <x:c r="J740" s="81" t="str">
        <x:v>—</x:v>
      </x:c>
      <x:c r="K740" s="81" t="str">
        <x:v>—</x:v>
      </x:c>
      <x:c r="L740" s="81" t="str">
        <x:v>—</x:v>
      </x:c>
      <x:c r="M740" s="81" t="str">
        <x:v>—</x:v>
      </x:c>
      <x:c r="N740" s="81" t="str">
        <x:v>—</x:v>
      </x:c>
      <x:c r="O740" s="81" t="str">
        <x:v>—</x:v>
      </x:c>
      <x:c r="P740" s="81" t="str">
        <x:v>—</x:v>
      </x:c>
      <x:c r="Q740" s="81" t="str">
        <x:v>건조지2</x:v>
      </x:c>
      <x:c r="R740" s="81" t="str">
        <x:v>숲4</x:v>
      </x:c>
      <x:c r="S740" s="81" t="str">
        <x:v>건조지2</x:v>
      </x:c>
      <x:c r="T740" s="81" t="str">
        <x:v>숲5</x:v>
      </x:c>
      <x:c r="U740" s="81" t="str">
        <x:v>건조지2</x:v>
      </x:c>
      <x:c r="V740" s="81" t="str">
        <x:v>숲5</x:v>
      </x:c>
    </x:row>
    <x:row r="741">
      <x:c r="A741" s="80" t="n">
        <x:v>737</x:v>
      </x:c>
      <x:c r="B741" s="80" t="str">
        <x:v>전지충이</x:v>
      </x:c>
      <x:c r="C741" s="80" t="str">
        <x:v>charjabug</x:v>
      </x:c>
      <x:c r="D741" s="80" t="str">
        <x:v>건조지</x:v>
      </x:c>
      <x:c r="E741" s="81" t="str">
        <x:v>—</x:v>
      </x:c>
      <x:c r="F741" s="81" t="str">
        <x:v>—</x:v>
      </x:c>
      <x:c r="G741" s="81" t="str">
        <x:v>—</x:v>
      </x:c>
      <x:c r="H741" s="81" t="str">
        <x:v>—</x:v>
      </x:c>
      <x:c r="I741" s="81" t="str">
        <x:v>—</x:v>
      </x:c>
      <x:c r="J741" s="81" t="str">
        <x:v>—</x:v>
      </x:c>
      <x:c r="K741" s="81" t="str">
        <x:v>—</x:v>
      </x:c>
      <x:c r="L741" s="81" t="str">
        <x:v>—</x:v>
      </x:c>
      <x:c r="M741" s="81" t="str">
        <x:v>—</x:v>
      </x:c>
      <x:c r="N741" s="81" t="str">
        <x:v>—</x:v>
      </x:c>
      <x:c r="O741" s="81" t="str">
        <x:v>—</x:v>
      </x:c>
      <x:c r="P741" s="81" t="str">
        <x:v>—</x:v>
      </x:c>
      <x:c r="Q741" s="81" t="str">
        <x:v>건조지2</x:v>
      </x:c>
      <x:c r="R741" s="81" t="str">
        <x:v>평원5</x:v>
      </x:c>
      <x:c r="S741" s="81" t="str">
        <x:v>건조지2</x:v>
      </x:c>
      <x:c r="T741" s="81" t="str">
        <x:v>평원5</x:v>
      </x:c>
      <x:c r="U741" s="81" t="str">
        <x:v>건조지2</x:v>
      </x:c>
      <x:c r="V741" s="81" t="str">
        <x:v>평원6</x:v>
      </x:c>
    </x:row>
    <x:row r="742">
      <x:c r="A742" s="80" t="n">
        <x:v>738</x:v>
      </x:c>
      <x:c r="B742" s="80" t="str">
        <x:v>투구뿌논</x:v>
      </x:c>
      <x:c r="C742" s="80" t="str">
        <x:v>vikavolt</x:v>
      </x:c>
      <x:c r="D742" s="80" t="str">
        <x:v>건조지</x:v>
      </x:c>
      <x:c r="E742" s="81" t="str">
        <x:v>—</x:v>
      </x:c>
      <x:c r="F742" s="81" t="str">
        <x:v>—</x:v>
      </x:c>
      <x:c r="G742" s="81" t="str">
        <x:v>—</x:v>
      </x:c>
      <x:c r="H742" s="81" t="str">
        <x:v>—</x:v>
      </x:c>
      <x:c r="I742" s="81" t="str">
        <x:v>—</x:v>
      </x:c>
      <x:c r="J742" s="81" t="str">
        <x:v>—</x:v>
      </x:c>
      <x:c r="K742" s="81" t="str">
        <x:v>—</x:v>
      </x:c>
      <x:c r="L742" s="81" t="str">
        <x:v>—</x:v>
      </x:c>
      <x:c r="M742" s="81" t="str">
        <x:v>—</x:v>
      </x:c>
      <x:c r="N742" s="81" t="str">
        <x:v>—</x:v>
      </x:c>
      <x:c r="O742" s="81" t="str">
        <x:v>—</x:v>
      </x:c>
      <x:c r="P742" s="81" t="str">
        <x:v>—</x:v>
      </x:c>
      <x:c r="Q742" s="81" t="str">
        <x:v>건조지2</x:v>
      </x:c>
      <x:c r="R742" s="81" t="str">
        <x:v>숲4</x:v>
      </x:c>
      <x:c r="S742" s="81" t="str">
        <x:v>건조지2</x:v>
      </x:c>
      <x:c r="T742" s="81" t="str">
        <x:v>숲5</x:v>
      </x:c>
      <x:c r="U742" s="81" t="str">
        <x:v>건조지2</x:v>
      </x:c>
      <x:c r="V742" s="81" t="str">
        <x:v>숲5</x:v>
      </x:c>
    </x:row>
    <x:row r="743">
      <x:c r="A743" s="80" t="n">
        <x:v>739</x:v>
      </x:c>
      <x:c r="B743" s="80" t="str">
        <x:v>오기지게</x:v>
      </x:c>
      <x:c r="C743" s="80" t="str">
        <x:v>crabrawler</x:v>
      </x:c>
      <x:c r="D743" s="80" t="str">
        <x:v>해양</x:v>
      </x:c>
      <x:c r="E743" s="81" t="str">
        <x:v>—</x:v>
      </x:c>
      <x:c r="F743" s="81" t="str">
        <x:v>—</x:v>
      </x:c>
      <x:c r="G743" s="81" t="str">
        <x:v>—</x:v>
      </x:c>
      <x:c r="H743" s="81" t="str">
        <x:v>—</x:v>
      </x:c>
      <x:c r="I743" s="81" t="str">
        <x:v>—</x:v>
      </x:c>
      <x:c r="J743" s="81" t="str">
        <x:v>—</x:v>
      </x:c>
      <x:c r="K743" s="81" t="str">
        <x:v>—</x:v>
      </x:c>
      <x:c r="L743" s="81" t="str">
        <x:v>—</x:v>
      </x:c>
      <x:c r="M743" s="81" t="str">
        <x:v>—</x:v>
      </x:c>
      <x:c r="N743" s="81" t="str">
        <x:v>—</x:v>
      </x:c>
      <x:c r="O743" s="81" t="str">
        <x:v>—</x:v>
      </x:c>
      <x:c r="P743" s="81" t="str">
        <x:v>—</x:v>
      </x:c>
      <x:c r="Q743" s="81" t="str">
        <x:v>해양2</x:v>
      </x:c>
      <x:c r="R743" s="81" t="str">
        <x:v>담수2</x:v>
      </x:c>
      <x:c r="S743" s="81" t="str">
        <x:v>—</x:v>
      </x:c>
      <x:c r="T743" s="81" t="str">
        <x:v>—</x:v>
      </x:c>
      <x:c r="U743" s="81" t="str">
        <x:v>해양2</x:v>
      </x:c>
      <x:c r="V743" s="81" t="str">
        <x:v>담수3</x:v>
      </x:c>
    </x:row>
    <x:row r="744">
      <x:c r="A744" s="80" t="n">
        <x:v>740</x:v>
      </x:c>
      <x:c r="B744" s="80" t="str">
        <x:v>모단단게</x:v>
      </x:c>
      <x:c r="C744" s="80" t="str">
        <x:v>crabominable</x:v>
      </x:c>
      <x:c r="D744" s="80" t="str">
        <x:v>산악</x:v>
      </x:c>
      <x:c r="E744" s="81" t="str">
        <x:v>—</x:v>
      </x:c>
      <x:c r="F744" s="81" t="str">
        <x:v>—</x:v>
      </x:c>
      <x:c r="G744" s="81" t="str">
        <x:v>—</x:v>
      </x:c>
      <x:c r="H744" s="81" t="str">
        <x:v>—</x:v>
      </x:c>
      <x:c r="I744" s="81" t="str">
        <x:v>—</x:v>
      </x:c>
      <x:c r="J744" s="81" t="str">
        <x:v>—</x:v>
      </x:c>
      <x:c r="K744" s="81" t="str">
        <x:v>—</x:v>
      </x:c>
      <x:c r="L744" s="81" t="str">
        <x:v>—</x:v>
      </x:c>
      <x:c r="M744" s="81" t="str">
        <x:v>—</x:v>
      </x:c>
      <x:c r="N744" s="81" t="str">
        <x:v>—</x:v>
      </x:c>
      <x:c r="O744" s="81" t="str">
        <x:v>—</x:v>
      </x:c>
      <x:c r="P744" s="81" t="str">
        <x:v>—</x:v>
      </x:c>
      <x:c r="Q744" s="81" t="str">
        <x:v>산악3</x:v>
      </x:c>
      <x:c r="R744" s="81" t="str">
        <x:v>설원1</x:v>
      </x:c>
      <x:c r="S744" s="81" t="str">
        <x:v>—</x:v>
      </x:c>
      <x:c r="T744" s="81" t="str">
        <x:v>—</x:v>
      </x:c>
      <x:c r="U744" s="81" t="str">
        <x:v>산악3</x:v>
      </x:c>
      <x:c r="V744" s="81" t="str">
        <x:v>설원1</x:v>
      </x:c>
    </x:row>
    <x:row r="745">
      <x:c r="A745" s="80" t="n">
        <x:v>741</x:v>
      </x:c>
      <x:c r="B745" s="80" t="str">
        <x:v>춤추새</x:v>
      </x:c>
      <x:c r="C745" s="80" t="str">
        <x:v>oricorio</x:v>
      </x:c>
      <x:c r="D745" s="80" t="str">
        <x:v>산악</x:v>
      </x:c>
      <x:c r="E745" s="81" t="str">
        <x:v>—</x:v>
      </x:c>
      <x:c r="F745" s="81" t="str">
        <x:v>—</x:v>
      </x:c>
      <x:c r="G745" s="81" t="str">
        <x:v>—</x:v>
      </x:c>
      <x:c r="H745" s="81" t="str">
        <x:v>—</x:v>
      </x:c>
      <x:c r="I745" s="81" t="str">
        <x:v>—</x:v>
      </x:c>
      <x:c r="J745" s="81" t="str">
        <x:v>—</x:v>
      </x:c>
      <x:c r="K745" s="81" t="str">
        <x:v>—</x:v>
      </x:c>
      <x:c r="L745" s="81" t="str">
        <x:v>—</x:v>
      </x:c>
      <x:c r="M745" s="81" t="str">
        <x:v>—</x:v>
      </x:c>
      <x:c r="N745" s="81" t="str">
        <x:v>—</x:v>
      </x:c>
      <x:c r="O745" s="81" t="str">
        <x:v>—</x:v>
      </x:c>
      <x:c r="P745" s="81" t="str">
        <x:v>—</x:v>
      </x:c>
      <x:c r="Q745" s="81" t="str">
        <x:v>산악3</x:v>
      </x:c>
      <x:c r="R745" s="81" t="str">
        <x:v>화산1</x:v>
      </x:c>
      <x:c r="S745" s="81" t="str">
        <x:v>—</x:v>
      </x:c>
      <x:c r="T745" s="81" t="str">
        <x:v>—</x:v>
      </x:c>
      <x:c r="U745" s="81" t="str">
        <x:v>산악3</x:v>
      </x:c>
      <x:c r="V745" s="81" t="str">
        <x:v>화산2</x:v>
      </x:c>
    </x:row>
    <x:row r="746">
      <x:c r="A746" s="80" t="n">
        <x:v>742</x:v>
      </x:c>
      <x:c r="B746" s="80" t="str">
        <x:v>에블리</x:v>
      </x:c>
      <x:c r="C746" s="80" t="str">
        <x:v>cutiefly</x:v>
      </x:c>
      <x:c r="D746" s="80" t="str">
        <x:v>평원</x:v>
      </x:c>
      <x:c r="E746" s="81" t="str">
        <x:v>—</x:v>
      </x:c>
      <x:c r="F746" s="81" t="str">
        <x:v>—</x:v>
      </x:c>
      <x:c r="G746" s="81" t="str">
        <x:v>—</x:v>
      </x:c>
      <x:c r="H746" s="81" t="str">
        <x:v>—</x:v>
      </x:c>
      <x:c r="I746" s="81" t="str">
        <x:v>—</x:v>
      </x:c>
      <x:c r="J746" s="81" t="str">
        <x:v>—</x:v>
      </x:c>
      <x:c r="K746" s="81" t="str">
        <x:v>—</x:v>
      </x:c>
      <x:c r="L746" s="81" t="str">
        <x:v>—</x:v>
      </x:c>
      <x:c r="M746" s="81" t="str">
        <x:v>—</x:v>
      </x:c>
      <x:c r="N746" s="81" t="str">
        <x:v>—</x:v>
      </x:c>
      <x:c r="O746" s="81" t="str">
        <x:v>—</x:v>
      </x:c>
      <x:c r="P746" s="81" t="str">
        <x:v>—</x:v>
      </x:c>
      <x:c r="Q746" s="81" t="str">
        <x:v>평원5</x:v>
      </x:c>
      <x:c r="R746" s="81" t="str">
        <x:v>숲4</x:v>
      </x:c>
      <x:c r="S746" s="81" t="str">
        <x:v>평원5</x:v>
      </x:c>
      <x:c r="T746" s="81" t="str">
        <x:v>숲5</x:v>
      </x:c>
      <x:c r="U746" s="81" t="str">
        <x:v>평원6</x:v>
      </x:c>
      <x:c r="V746" s="81" t="str">
        <x:v>숲5</x:v>
      </x:c>
    </x:row>
    <x:row r="747">
      <x:c r="A747" s="80" t="n">
        <x:v>743</x:v>
      </x:c>
      <x:c r="B747" s="80" t="str">
        <x:v>에리본</x:v>
      </x:c>
      <x:c r="C747" s="80" t="str">
        <x:v>ribombee</x:v>
      </x:c>
      <x:c r="D747" s="80" t="str">
        <x:v>평원</x:v>
      </x:c>
      <x:c r="E747" s="81" t="str">
        <x:v>—</x:v>
      </x:c>
      <x:c r="F747" s="81" t="str">
        <x:v>—</x:v>
      </x:c>
      <x:c r="G747" s="81" t="str">
        <x:v>—</x:v>
      </x:c>
      <x:c r="H747" s="81" t="str">
        <x:v>—</x:v>
      </x:c>
      <x:c r="I747" s="81" t="str">
        <x:v>—</x:v>
      </x:c>
      <x:c r="J747" s="81" t="str">
        <x:v>—</x:v>
      </x:c>
      <x:c r="K747" s="81" t="str">
        <x:v>—</x:v>
      </x:c>
      <x:c r="L747" s="81" t="str">
        <x:v>—</x:v>
      </x:c>
      <x:c r="M747" s="81" t="str">
        <x:v>—</x:v>
      </x:c>
      <x:c r="N747" s="81" t="str">
        <x:v>—</x:v>
      </x:c>
      <x:c r="O747" s="81" t="str">
        <x:v>—</x:v>
      </x:c>
      <x:c r="P747" s="81" t="str">
        <x:v>—</x:v>
      </x:c>
      <x:c r="Q747" s="81" t="str">
        <x:v>평원5</x:v>
      </x:c>
      <x:c r="R747" s="81" t="str">
        <x:v>숲4</x:v>
      </x:c>
      <x:c r="S747" s="81" t="str">
        <x:v>평원5</x:v>
      </x:c>
      <x:c r="T747" s="81" t="str">
        <x:v>숲5</x:v>
      </x:c>
      <x:c r="U747" s="81" t="str">
        <x:v>평원6</x:v>
      </x:c>
      <x:c r="V747" s="81" t="str">
        <x:v>숲5</x:v>
      </x:c>
    </x:row>
    <x:row r="748">
      <x:c r="A748" s="80" t="n">
        <x:v>744</x:v>
      </x:c>
      <x:c r="B748" s="80" t="str">
        <x:v>암멍이</x:v>
      </x:c>
      <x:c r="C748" s="80" t="str">
        <x:v>rockruff</x:v>
      </x:c>
      <x:c r="D748" s="80" t="str">
        <x:v>산악</x:v>
      </x:c>
      <x:c r="E748" s="81" t="str">
        <x:v>—</x:v>
      </x:c>
      <x:c r="F748" s="81" t="str">
        <x:v>—</x:v>
      </x:c>
      <x:c r="G748" s="81" t="str">
        <x:v>—</x:v>
      </x:c>
      <x:c r="H748" s="81" t="str">
        <x:v>—</x:v>
      </x:c>
      <x:c r="I748" s="81" t="str">
        <x:v>—</x:v>
      </x:c>
      <x:c r="J748" s="81" t="str">
        <x:v>—</x:v>
      </x:c>
      <x:c r="K748" s="81" t="str">
        <x:v>—</x:v>
      </x:c>
      <x:c r="L748" s="81" t="str">
        <x:v>—</x:v>
      </x:c>
      <x:c r="M748" s="81" t="str">
        <x:v>—</x:v>
      </x:c>
      <x:c r="N748" s="81" t="str">
        <x:v>—</x:v>
      </x:c>
      <x:c r="O748" s="81" t="str">
        <x:v>—</x:v>
      </x:c>
      <x:c r="P748" s="81" t="str">
        <x:v>—</x:v>
      </x:c>
      <x:c r="Q748" s="81" t="str">
        <x:v>산악3</x:v>
      </x:c>
      <x:c r="R748" s="81" t="str">
        <x:v>평원5</x:v>
      </x:c>
      <x:c r="S748" s="81" t="str">
        <x:v>산악4</x:v>
      </x:c>
      <x:c r="T748" s="81" t="str">
        <x:v>평원5</x:v>
      </x:c>
      <x:c r="U748" s="81" t="str">
        <x:v>산악4</x:v>
      </x:c>
      <x:c r="V748" s="81" t="str">
        <x:v>평원6</x:v>
      </x:c>
    </x:row>
    <x:row r="749">
      <x:c r="A749" s="80" t="n">
        <x:v>745</x:v>
      </x:c>
      <x:c r="B749" s="80" t="str">
        <x:v>루가루암</x:v>
      </x:c>
      <x:c r="C749" s="80" t="str">
        <x:v>lycanroc</x:v>
      </x:c>
      <x:c r="D749" s="80" t="str">
        <x:v>산악</x:v>
      </x:c>
      <x:c r="E749" s="81" t="str">
        <x:v>—</x:v>
      </x:c>
      <x:c r="F749" s="81" t="str">
        <x:v>—</x:v>
      </x:c>
      <x:c r="G749" s="81" t="str">
        <x:v>—</x:v>
      </x:c>
      <x:c r="H749" s="81" t="str">
        <x:v>—</x:v>
      </x:c>
      <x:c r="I749" s="81" t="str">
        <x:v>—</x:v>
      </x:c>
      <x:c r="J749" s="81" t="str">
        <x:v>—</x:v>
      </x:c>
      <x:c r="K749" s="81" t="str">
        <x:v>—</x:v>
      </x:c>
      <x:c r="L749" s="81" t="str">
        <x:v>—</x:v>
      </x:c>
      <x:c r="M749" s="81" t="str">
        <x:v>—</x:v>
      </x:c>
      <x:c r="N749" s="81" t="str">
        <x:v>—</x:v>
      </x:c>
      <x:c r="O749" s="81" t="str">
        <x:v>—</x:v>
      </x:c>
      <x:c r="P749" s="81" t="str">
        <x:v>—</x:v>
      </x:c>
      <x:c r="Q749" s="81" t="str">
        <x:v>산악3</x:v>
      </x:c>
      <x:c r="R749" s="81" t="str">
        <x:v>평원5</x:v>
      </x:c>
      <x:c r="S749" s="81" t="str">
        <x:v>산악4</x:v>
      </x:c>
      <x:c r="T749" s="81" t="str">
        <x:v>평원5</x:v>
      </x:c>
      <x:c r="U749" s="81" t="str">
        <x:v>산악4</x:v>
      </x:c>
      <x:c r="V749" s="81" t="str">
        <x:v>평원6</x:v>
      </x:c>
    </x:row>
    <x:row r="750">
      <x:c r="A750" s="80" t="n">
        <x:v>746</x:v>
      </x:c>
      <x:c r="B750" s="80" t="str">
        <x:v>약어리</x:v>
      </x:c>
      <x:c r="C750" s="80" t="str">
        <x:v>wishiwashi</x:v>
      </x:c>
      <x:c r="D750" s="80" t="str">
        <x:v>해양</x:v>
      </x:c>
      <x:c r="E750" s="81" t="str">
        <x:v>—</x:v>
      </x:c>
      <x:c r="F750" s="81" t="str">
        <x:v>—</x:v>
      </x:c>
      <x:c r="G750" s="81" t="str">
        <x:v>—</x:v>
      </x:c>
      <x:c r="H750" s="81" t="str">
        <x:v>—</x:v>
      </x:c>
      <x:c r="I750" s="81" t="str">
        <x:v>—</x:v>
      </x:c>
      <x:c r="J750" s="81" t="str">
        <x:v>—</x:v>
      </x:c>
      <x:c r="K750" s="81" t="str">
        <x:v>—</x:v>
      </x:c>
      <x:c r="L750" s="81" t="str">
        <x:v>—</x:v>
      </x:c>
      <x:c r="M750" s="81" t="str">
        <x:v>—</x:v>
      </x:c>
      <x:c r="N750" s="81" t="str">
        <x:v>—</x:v>
      </x:c>
      <x:c r="O750" s="81" t="str">
        <x:v>—</x:v>
      </x:c>
      <x:c r="P750" s="81" t="str">
        <x:v>—</x:v>
      </x:c>
      <x:c r="Q750" s="81" t="str">
        <x:v>해양2</x:v>
      </x:c>
      <x:c r="R750" s="81" t="str">
        <x:v>담수2</x:v>
      </x:c>
      <x:c r="S750" s="81" t="str">
        <x:v>해양2</x:v>
      </x:c>
      <x:c r="T750" s="81" t="str">
        <x:v>담수3</x:v>
      </x:c>
      <x:c r="U750" s="81" t="str">
        <x:v>—</x:v>
      </x:c>
      <x:c r="V750" s="81" t="str">
        <x:v>—</x:v>
      </x:c>
    </x:row>
    <x:row r="751">
      <x:c r="A751" s="80" t="n">
        <x:v>747</x:v>
      </x:c>
      <x:c r="B751" s="80" t="str">
        <x:v>시마사리</x:v>
      </x:c>
      <x:c r="C751" s="80" t="str">
        <x:v>mareanie</x:v>
      </x:c>
      <x:c r="D751" s="80" t="str">
        <x:v>해양</x:v>
      </x:c>
      <x:c r="E751" s="81" t="str">
        <x:v>—</x:v>
      </x:c>
      <x:c r="F751" s="81" t="str">
        <x:v>—</x:v>
      </x:c>
      <x:c r="G751" s="81" t="str">
        <x:v>—</x:v>
      </x:c>
      <x:c r="H751" s="81" t="str">
        <x:v>—</x:v>
      </x:c>
      <x:c r="I751" s="81" t="str">
        <x:v>—</x:v>
      </x:c>
      <x:c r="J751" s="81" t="str">
        <x:v>—</x:v>
      </x:c>
      <x:c r="K751" s="81" t="str">
        <x:v>—</x:v>
      </x:c>
      <x:c r="L751" s="81" t="str">
        <x:v>—</x:v>
      </x:c>
      <x:c r="M751" s="81" t="str">
        <x:v>—</x:v>
      </x:c>
      <x:c r="N751" s="81" t="str">
        <x:v>—</x:v>
      </x:c>
      <x:c r="O751" s="81" t="str">
        <x:v>—</x:v>
      </x:c>
      <x:c r="P751" s="81" t="str">
        <x:v>—</x:v>
      </x:c>
      <x:c r="Q751" s="81" t="str">
        <x:v>해양2</x:v>
      </x:c>
      <x:c r="R751" s="81" t="str">
        <x:v>담수2</x:v>
      </x:c>
      <x:c r="S751" s="81" t="str">
        <x:v>해양2</x:v>
      </x:c>
      <x:c r="T751" s="81" t="str">
        <x:v>담수3</x:v>
      </x:c>
      <x:c r="U751" s="81" t="str">
        <x:v>해양2</x:v>
      </x:c>
      <x:c r="V751" s="81" t="str">
        <x:v>담수3</x:v>
      </x:c>
    </x:row>
    <x:row r="752">
      <x:c r="A752" s="80" t="n">
        <x:v>748</x:v>
      </x:c>
      <x:c r="B752" s="80" t="str">
        <x:v>더시마사리</x:v>
      </x:c>
      <x:c r="C752" s="80" t="str">
        <x:v>toxapex</x:v>
      </x:c>
      <x:c r="D752" s="80" t="str">
        <x:v>해양</x:v>
      </x:c>
      <x:c r="E752" s="81" t="str">
        <x:v>—</x:v>
      </x:c>
      <x:c r="F752" s="81" t="str">
        <x:v>—</x:v>
      </x:c>
      <x:c r="G752" s="81" t="str">
        <x:v>—</x:v>
      </x:c>
      <x:c r="H752" s="81" t="str">
        <x:v>—</x:v>
      </x:c>
      <x:c r="I752" s="81" t="str">
        <x:v>—</x:v>
      </x:c>
      <x:c r="J752" s="81" t="str">
        <x:v>—</x:v>
      </x:c>
      <x:c r="K752" s="81" t="str">
        <x:v>—</x:v>
      </x:c>
      <x:c r="L752" s="81" t="str">
        <x:v>—</x:v>
      </x:c>
      <x:c r="M752" s="81" t="str">
        <x:v>—</x:v>
      </x:c>
      <x:c r="N752" s="81" t="str">
        <x:v>—</x:v>
      </x:c>
      <x:c r="O752" s="81" t="str">
        <x:v>—</x:v>
      </x:c>
      <x:c r="P752" s="81" t="str">
        <x:v>—</x:v>
      </x:c>
      <x:c r="Q752" s="81" t="str">
        <x:v>해양2</x:v>
      </x:c>
      <x:c r="R752" s="81" t="str">
        <x:v>담수2</x:v>
      </x:c>
      <x:c r="S752" s="81" t="str">
        <x:v>해양2</x:v>
      </x:c>
      <x:c r="T752" s="81" t="str">
        <x:v>담수3</x:v>
      </x:c>
      <x:c r="U752" s="81" t="str">
        <x:v>해양2</x:v>
      </x:c>
      <x:c r="V752" s="81" t="str">
        <x:v>담수3</x:v>
      </x:c>
    </x:row>
    <x:row r="753">
      <x:c r="A753" s="80" t="n">
        <x:v>749</x:v>
      </x:c>
      <x:c r="B753" s="80" t="str">
        <x:v>머드나기</x:v>
      </x:c>
      <x:c r="C753" s="80" t="str">
        <x:v>mudbray</x:v>
      </x:c>
      <x:c r="D753" s="80" t="str">
        <x:v>건조지</x:v>
      </x:c>
      <x:c r="E753" s="81" t="str">
        <x:v>—</x:v>
      </x:c>
      <x:c r="F753" s="81" t="str">
        <x:v>—</x:v>
      </x:c>
      <x:c r="G753" s="81" t="str">
        <x:v>—</x:v>
      </x:c>
      <x:c r="H753" s="81" t="str">
        <x:v>—</x:v>
      </x:c>
      <x:c r="I753" s="81" t="str">
        <x:v>—</x:v>
      </x:c>
      <x:c r="J753" s="81" t="str">
        <x:v>—</x:v>
      </x:c>
      <x:c r="K753" s="81" t="str">
        <x:v>—</x:v>
      </x:c>
      <x:c r="L753" s="81" t="str">
        <x:v>—</x:v>
      </x:c>
      <x:c r="M753" s="81" t="str">
        <x:v>—</x:v>
      </x:c>
      <x:c r="N753" s="81" t="str">
        <x:v>—</x:v>
      </x:c>
      <x:c r="O753" s="81" t="str">
        <x:v>—</x:v>
      </x:c>
      <x:c r="P753" s="81" t="str">
        <x:v>—</x:v>
      </x:c>
      <x:c r="Q753" s="81" t="str">
        <x:v>건조지2</x:v>
      </x:c>
      <x:c r="R753" s="81" t="str">
        <x:v>화산1</x:v>
      </x:c>
      <x:c r="S753" s="81" t="str">
        <x:v>건조지2</x:v>
      </x:c>
      <x:c r="T753" s="81" t="str">
        <x:v>화산2</x:v>
      </x:c>
      <x:c r="U753" s="81" t="str">
        <x:v>건조지2</x:v>
      </x:c>
      <x:c r="V753" s="81" t="str">
        <x:v>화산2</x:v>
      </x:c>
    </x:row>
    <x:row r="754">
      <x:c r="A754" s="80" t="n">
        <x:v>750</x:v>
      </x:c>
      <x:c r="B754" s="80" t="str">
        <x:v>만마드</x:v>
      </x:c>
      <x:c r="C754" s="80" t="str">
        <x:v>mudsdale</x:v>
      </x:c>
      <x:c r="D754" s="80" t="str">
        <x:v>건조지</x:v>
      </x:c>
      <x:c r="E754" s="81" t="str">
        <x:v>—</x:v>
      </x:c>
      <x:c r="F754" s="81" t="str">
        <x:v>—</x:v>
      </x:c>
      <x:c r="G754" s="81" t="str">
        <x:v>—</x:v>
      </x:c>
      <x:c r="H754" s="81" t="str">
        <x:v>—</x:v>
      </x:c>
      <x:c r="I754" s="81" t="str">
        <x:v>—</x:v>
      </x:c>
      <x:c r="J754" s="81" t="str">
        <x:v>—</x:v>
      </x:c>
      <x:c r="K754" s="81" t="str">
        <x:v>—</x:v>
      </x:c>
      <x:c r="L754" s="81" t="str">
        <x:v>—</x:v>
      </x:c>
      <x:c r="M754" s="81" t="str">
        <x:v>—</x:v>
      </x:c>
      <x:c r="N754" s="81" t="str">
        <x:v>—</x:v>
      </x:c>
      <x:c r="O754" s="81" t="str">
        <x:v>—</x:v>
      </x:c>
      <x:c r="P754" s="81" t="str">
        <x:v>—</x:v>
      </x:c>
      <x:c r="Q754" s="81" t="str">
        <x:v>건조지2</x:v>
      </x:c>
      <x:c r="R754" s="81" t="str">
        <x:v>화산1</x:v>
      </x:c>
      <x:c r="S754" s="81" t="str">
        <x:v>건조지2</x:v>
      </x:c>
      <x:c r="T754" s="81" t="str">
        <x:v>화산2</x:v>
      </x:c>
      <x:c r="U754" s="81" t="str">
        <x:v>건조지2</x:v>
      </x:c>
      <x:c r="V754" s="81" t="str">
        <x:v>화산2</x:v>
      </x:c>
    </x:row>
    <x:row r="755">
      <x:c r="A755" s="80" t="n">
        <x:v>751</x:v>
      </x:c>
      <x:c r="B755" s="80" t="str">
        <x:v>물거미</x:v>
      </x:c>
      <x:c r="C755" s="80" t="str">
        <x:v>dewpider</x:v>
      </x:c>
      <x:c r="D755" s="80" t="str">
        <x:v>담수</x:v>
      </x:c>
      <x:c r="E755" s="81" t="str">
        <x:v>—</x:v>
      </x:c>
      <x:c r="F755" s="81" t="str">
        <x:v>—</x:v>
      </x:c>
      <x:c r="G755" s="81" t="str">
        <x:v>—</x:v>
      </x:c>
      <x:c r="H755" s="81" t="str">
        <x:v>—</x:v>
      </x:c>
      <x:c r="I755" s="81" t="str">
        <x:v>—</x:v>
      </x:c>
      <x:c r="J755" s="81" t="str">
        <x:v>—</x:v>
      </x:c>
      <x:c r="K755" s="81" t="str">
        <x:v>—</x:v>
      </x:c>
      <x:c r="L755" s="81" t="str">
        <x:v>—</x:v>
      </x:c>
      <x:c r="M755" s="81" t="str">
        <x:v>—</x:v>
      </x:c>
      <x:c r="N755" s="81" t="str">
        <x:v>—</x:v>
      </x:c>
      <x:c r="O755" s="81" t="str">
        <x:v>—</x:v>
      </x:c>
      <x:c r="P755" s="81" t="str">
        <x:v>—</x:v>
      </x:c>
      <x:c r="Q755" s="81" t="str">
        <x:v>담수2</x:v>
      </x:c>
      <x:c r="R755" s="81" t="str">
        <x:v>습지2</x:v>
      </x:c>
      <x:c r="S755" s="81" t="str">
        <x:v>담수3</x:v>
      </x:c>
      <x:c r="T755" s="81" t="str">
        <x:v>습지3</x:v>
      </x:c>
      <x:c r="U755" s="81" t="str">
        <x:v>담수3</x:v>
      </x:c>
      <x:c r="V755" s="81" t="str">
        <x:v>습지3</x:v>
      </x:c>
    </x:row>
    <x:row r="756">
      <x:c r="A756" s="80" t="n">
        <x:v>752</x:v>
      </x:c>
      <x:c r="B756" s="80" t="str">
        <x:v>깨비물거미</x:v>
      </x:c>
      <x:c r="C756" s="80" t="str">
        <x:v>araquanid</x:v>
      </x:c>
      <x:c r="D756" s="80" t="str">
        <x:v>담수</x:v>
      </x:c>
      <x:c r="E756" s="81" t="str">
        <x:v>—</x:v>
      </x:c>
      <x:c r="F756" s="81" t="str">
        <x:v>—</x:v>
      </x:c>
      <x:c r="G756" s="81" t="str">
        <x:v>—</x:v>
      </x:c>
      <x:c r="H756" s="81" t="str">
        <x:v>—</x:v>
      </x:c>
      <x:c r="I756" s="81" t="str">
        <x:v>—</x:v>
      </x:c>
      <x:c r="J756" s="81" t="str">
        <x:v>—</x:v>
      </x:c>
      <x:c r="K756" s="81" t="str">
        <x:v>—</x:v>
      </x:c>
      <x:c r="L756" s="81" t="str">
        <x:v>—</x:v>
      </x:c>
      <x:c r="M756" s="81" t="str">
        <x:v>—</x:v>
      </x:c>
      <x:c r="N756" s="81" t="str">
        <x:v>—</x:v>
      </x:c>
      <x:c r="O756" s="81" t="str">
        <x:v>—</x:v>
      </x:c>
      <x:c r="P756" s="81" t="str">
        <x:v>—</x:v>
      </x:c>
      <x:c r="Q756" s="81" t="str">
        <x:v>담수2</x:v>
      </x:c>
      <x:c r="R756" s="81" t="str">
        <x:v>습지2</x:v>
      </x:c>
      <x:c r="S756" s="81" t="str">
        <x:v>담수3</x:v>
      </x:c>
      <x:c r="T756" s="81" t="str">
        <x:v>습지3</x:v>
      </x:c>
      <x:c r="U756" s="81" t="str">
        <x:v>담수3</x:v>
      </x:c>
      <x:c r="V756" s="81" t="str">
        <x:v>습지3</x:v>
      </x:c>
    </x:row>
    <x:row r="757">
      <x:c r="A757" s="80" t="n">
        <x:v>753</x:v>
      </x:c>
      <x:c r="B757" s="80" t="str">
        <x:v>짜랑랑</x:v>
      </x:c>
      <x:c r="C757" s="80" t="str">
        <x:v>fomantis</x:v>
      </x:c>
      <x:c r="D757" s="80" t="str">
        <x:v>숲</x:v>
      </x:c>
      <x:c r="E757" s="81" t="str">
        <x:v>—</x:v>
      </x:c>
      <x:c r="F757" s="81" t="str">
        <x:v>—</x:v>
      </x:c>
      <x:c r="G757" s="81" t="str">
        <x:v>—</x:v>
      </x:c>
      <x:c r="H757" s="81" t="str">
        <x:v>—</x:v>
      </x:c>
      <x:c r="I757" s="81" t="str">
        <x:v>—</x:v>
      </x:c>
      <x:c r="J757" s="81" t="str">
        <x:v>—</x:v>
      </x:c>
      <x:c r="K757" s="81" t="str">
        <x:v>—</x:v>
      </x:c>
      <x:c r="L757" s="81" t="str">
        <x:v>—</x:v>
      </x:c>
      <x:c r="M757" s="81" t="str">
        <x:v>—</x:v>
      </x:c>
      <x:c r="N757" s="81" t="str">
        <x:v>—</x:v>
      </x:c>
      <x:c r="O757" s="81" t="str">
        <x:v>—</x:v>
      </x:c>
      <x:c r="P757" s="81" t="str">
        <x:v>—</x:v>
      </x:c>
      <x:c r="Q757" s="81" t="str">
        <x:v>숲4</x:v>
      </x:c>
      <x:c r="R757" s="81" t="str">
        <x:v>평원5</x:v>
      </x:c>
      <x:c r="S757" s="81" t="str">
        <x:v>숲5</x:v>
      </x:c>
      <x:c r="T757" s="81" t="str">
        <x:v>평원5</x:v>
      </x:c>
      <x:c r="U757" s="81" t="str">
        <x:v>숲6</x:v>
      </x:c>
      <x:c r="V757" s="81" t="str">
        <x:v>평원6</x:v>
      </x:c>
    </x:row>
    <x:row r="758">
      <x:c r="A758" s="80" t="n">
        <x:v>754</x:v>
      </x:c>
      <x:c r="B758" s="80" t="str">
        <x:v>라란티스</x:v>
      </x:c>
      <x:c r="C758" s="80" t="str">
        <x:v>lurantis</x:v>
      </x:c>
      <x:c r="D758" s="80" t="str">
        <x:v>숲</x:v>
      </x:c>
      <x:c r="E758" s="81" t="str">
        <x:v>—</x:v>
      </x:c>
      <x:c r="F758" s="81" t="str">
        <x:v>—</x:v>
      </x:c>
      <x:c r="G758" s="81" t="str">
        <x:v>—</x:v>
      </x:c>
      <x:c r="H758" s="81" t="str">
        <x:v>—</x:v>
      </x:c>
      <x:c r="I758" s="81" t="str">
        <x:v>—</x:v>
      </x:c>
      <x:c r="J758" s="81" t="str">
        <x:v>—</x:v>
      </x:c>
      <x:c r="K758" s="81" t="str">
        <x:v>—</x:v>
      </x:c>
      <x:c r="L758" s="81" t="str">
        <x:v>—</x:v>
      </x:c>
      <x:c r="M758" s="81" t="str">
        <x:v>—</x:v>
      </x:c>
      <x:c r="N758" s="81" t="str">
        <x:v>—</x:v>
      </x:c>
      <x:c r="O758" s="81" t="str">
        <x:v>—</x:v>
      </x:c>
      <x:c r="P758" s="81" t="str">
        <x:v>—</x:v>
      </x:c>
      <x:c r="Q758" s="81" t="str">
        <x:v>숲4</x:v>
      </x:c>
      <x:c r="R758" s="81" t="str">
        <x:v>평원5</x:v>
      </x:c>
      <x:c r="S758" s="81" t="str">
        <x:v>숲5</x:v>
      </x:c>
      <x:c r="T758" s="81" t="str">
        <x:v>평원5</x:v>
      </x:c>
      <x:c r="U758" s="81" t="str">
        <x:v>숲6</x:v>
      </x:c>
      <x:c r="V758" s="81" t="str">
        <x:v>평원6</x:v>
      </x:c>
    </x:row>
    <x:row r="759">
      <x:c r="A759" s="80" t="n">
        <x:v>755</x:v>
      </x:c>
      <x:c r="B759" s="80" t="str">
        <x:v>자마슈</x:v>
      </x:c>
      <x:c r="C759" s="80" t="str">
        <x:v>morelull</x:v>
      </x:c>
      <x:c r="D759" s="80" t="str">
        <x:v>화산</x:v>
      </x:c>
      <x:c r="E759" s="81" t="str">
        <x:v>—</x:v>
      </x:c>
      <x:c r="F759" s="81" t="str">
        <x:v>—</x:v>
      </x:c>
      <x:c r="G759" s="81" t="str">
        <x:v>—</x:v>
      </x:c>
      <x:c r="H759" s="81" t="str">
        <x:v>—</x:v>
      </x:c>
      <x:c r="I759" s="81" t="str">
        <x:v>—</x:v>
      </x:c>
      <x:c r="J759" s="81" t="str">
        <x:v>—</x:v>
      </x:c>
      <x:c r="K759" s="81" t="str">
        <x:v>—</x:v>
      </x:c>
      <x:c r="L759" s="81" t="str">
        <x:v>—</x:v>
      </x:c>
      <x:c r="M759" s="81" t="str">
        <x:v>—</x:v>
      </x:c>
      <x:c r="N759" s="81" t="str">
        <x:v>—</x:v>
      </x:c>
      <x:c r="O759" s="81" t="str">
        <x:v>—</x:v>
      </x:c>
      <x:c r="P759" s="81" t="str">
        <x:v>—</x:v>
      </x:c>
      <x:c r="Q759" s="81" t="str">
        <x:v>화산1</x:v>
      </x:c>
      <x:c r="R759" s="81" t="str">
        <x:v>숲4</x:v>
      </x:c>
      <x:c r="S759" s="81" t="str">
        <x:v>화산2</x:v>
      </x:c>
      <x:c r="T759" s="81" t="str">
        <x:v>숲5</x:v>
      </x:c>
      <x:c r="U759" s="81" t="str">
        <x:v>—</x:v>
      </x:c>
      <x:c r="V759" s="81" t="str">
        <x:v>—</x:v>
      </x:c>
    </x:row>
    <x:row r="760">
      <x:c r="A760" s="80" t="n">
        <x:v>756</x:v>
      </x:c>
      <x:c r="B760" s="80" t="str">
        <x:v>마셰이드</x:v>
      </x:c>
      <x:c r="C760" s="80" t="str">
        <x:v>shiinotic</x:v>
      </x:c>
      <x:c r="D760" s="80" t="str">
        <x:v>화산</x:v>
      </x:c>
      <x:c r="E760" s="81" t="str">
        <x:v>—</x:v>
      </x:c>
      <x:c r="F760" s="81" t="str">
        <x:v>—</x:v>
      </x:c>
      <x:c r="G760" s="81" t="str">
        <x:v>—</x:v>
      </x:c>
      <x:c r="H760" s="81" t="str">
        <x:v>—</x:v>
      </x:c>
      <x:c r="I760" s="81" t="str">
        <x:v>—</x:v>
      </x:c>
      <x:c r="J760" s="81" t="str">
        <x:v>—</x:v>
      </x:c>
      <x:c r="K760" s="81" t="str">
        <x:v>—</x:v>
      </x:c>
      <x:c r="L760" s="81" t="str">
        <x:v>—</x:v>
      </x:c>
      <x:c r="M760" s="81" t="str">
        <x:v>—</x:v>
      </x:c>
      <x:c r="N760" s="81" t="str">
        <x:v>—</x:v>
      </x:c>
      <x:c r="O760" s="81" t="str">
        <x:v>—</x:v>
      </x:c>
      <x:c r="P760" s="81" t="str">
        <x:v>—</x:v>
      </x:c>
      <x:c r="Q760" s="81" t="str">
        <x:v>화산1</x:v>
      </x:c>
      <x:c r="R760" s="81" t="str">
        <x:v>숲4</x:v>
      </x:c>
      <x:c r="S760" s="81" t="str">
        <x:v>화산2</x:v>
      </x:c>
      <x:c r="T760" s="81" t="str">
        <x:v>숲5</x:v>
      </x:c>
      <x:c r="U760" s="81" t="str">
        <x:v>—</x:v>
      </x:c>
      <x:c r="V760" s="81" t="str">
        <x:v>—</x:v>
      </x:c>
    </x:row>
    <x:row r="761">
      <x:c r="A761" s="80" t="n">
        <x:v>757</x:v>
      </x:c>
      <x:c r="B761" s="80" t="str">
        <x:v>야도뇽</x:v>
      </x:c>
      <x:c r="C761" s="80" t="str">
        <x:v>salandit</x:v>
      </x:c>
      <x:c r="D761" s="80" t="str">
        <x:v>화산</x:v>
      </x:c>
      <x:c r="E761" s="81" t="str">
        <x:v>—</x:v>
      </x:c>
      <x:c r="F761" s="81" t="str">
        <x:v>—</x:v>
      </x:c>
      <x:c r="G761" s="81" t="str">
        <x:v>—</x:v>
      </x:c>
      <x:c r="H761" s="81" t="str">
        <x:v>—</x:v>
      </x:c>
      <x:c r="I761" s="81" t="str">
        <x:v>—</x:v>
      </x:c>
      <x:c r="J761" s="81" t="str">
        <x:v>—</x:v>
      </x:c>
      <x:c r="K761" s="81" t="str">
        <x:v>—</x:v>
      </x:c>
      <x:c r="L761" s="81" t="str">
        <x:v>—</x:v>
      </x:c>
      <x:c r="M761" s="81" t="str">
        <x:v>—</x:v>
      </x:c>
      <x:c r="N761" s="81" t="str">
        <x:v>—</x:v>
      </x:c>
      <x:c r="O761" s="81" t="str">
        <x:v>—</x:v>
      </x:c>
      <x:c r="P761" s="81" t="str">
        <x:v>—</x:v>
      </x:c>
      <x:c r="Q761" s="81" t="str">
        <x:v>화산1</x:v>
      </x:c>
      <x:c r="R761" s="81" t="str">
        <x:v>건조지2</x:v>
      </x:c>
      <x:c r="S761" s="81" t="str">
        <x:v>화산2</x:v>
      </x:c>
      <x:c r="T761" s="81" t="str">
        <x:v>건조지2</x:v>
      </x:c>
      <x:c r="U761" s="81" t="str">
        <x:v>화산2</x:v>
      </x:c>
      <x:c r="V761" s="81" t="str">
        <x:v>건조지2</x:v>
      </x:c>
    </x:row>
    <x:row r="762">
      <x:c r="A762" s="80" t="n">
        <x:v>758</x:v>
      </x:c>
      <x:c r="B762" s="80" t="str">
        <x:v>염뉴트</x:v>
      </x:c>
      <x:c r="C762" s="80" t="str">
        <x:v>salazzle</x:v>
      </x:c>
      <x:c r="D762" s="80" t="str">
        <x:v>화산</x:v>
      </x:c>
      <x:c r="E762" s="81" t="str">
        <x:v>—</x:v>
      </x:c>
      <x:c r="F762" s="81" t="str">
        <x:v>—</x:v>
      </x:c>
      <x:c r="G762" s="81" t="str">
        <x:v>—</x:v>
      </x:c>
      <x:c r="H762" s="81" t="str">
        <x:v>—</x:v>
      </x:c>
      <x:c r="I762" s="81" t="str">
        <x:v>—</x:v>
      </x:c>
      <x:c r="J762" s="81" t="str">
        <x:v>—</x:v>
      </x:c>
      <x:c r="K762" s="81" t="str">
        <x:v>—</x:v>
      </x:c>
      <x:c r="L762" s="81" t="str">
        <x:v>—</x:v>
      </x:c>
      <x:c r="M762" s="81" t="str">
        <x:v>—</x:v>
      </x:c>
      <x:c r="N762" s="81" t="str">
        <x:v>—</x:v>
      </x:c>
      <x:c r="O762" s="81" t="str">
        <x:v>—</x:v>
      </x:c>
      <x:c r="P762" s="81" t="str">
        <x:v>—</x:v>
      </x:c>
      <x:c r="Q762" s="81" t="str">
        <x:v>화산1</x:v>
      </x:c>
      <x:c r="R762" s="81" t="str">
        <x:v>건조지2</x:v>
      </x:c>
      <x:c r="S762" s="81" t="str">
        <x:v>화산2</x:v>
      </x:c>
      <x:c r="T762" s="81" t="str">
        <x:v>건조지2</x:v>
      </x:c>
      <x:c r="U762" s="81" t="str">
        <x:v>화산2</x:v>
      </x:c>
      <x:c r="V762" s="81" t="str">
        <x:v>건조지2</x:v>
      </x:c>
    </x:row>
    <x:row r="763">
      <x:c r="A763" s="80" t="n">
        <x:v>759</x:v>
      </x:c>
      <x:c r="B763" s="80" t="str">
        <x:v>포곰곰</x:v>
      </x:c>
      <x:c r="C763" s="80" t="str">
        <x:v>stufful</x:v>
      </x:c>
      <x:c r="D763" s="80" t="str">
        <x:v>평원</x:v>
      </x:c>
      <x:c r="E763" s="81" t="str">
        <x:v>—</x:v>
      </x:c>
      <x:c r="F763" s="81" t="str">
        <x:v>—</x:v>
      </x:c>
      <x:c r="G763" s="81" t="str">
        <x:v>—</x:v>
      </x:c>
      <x:c r="H763" s="81" t="str">
        <x:v>—</x:v>
      </x:c>
      <x:c r="I763" s="81" t="str">
        <x:v>—</x:v>
      </x:c>
      <x:c r="J763" s="81" t="str">
        <x:v>—</x:v>
      </x:c>
      <x:c r="K763" s="81" t="str">
        <x:v>—</x:v>
      </x:c>
      <x:c r="L763" s="81" t="str">
        <x:v>—</x:v>
      </x:c>
      <x:c r="M763" s="81" t="str">
        <x:v>—</x:v>
      </x:c>
      <x:c r="N763" s="81" t="str">
        <x:v>—</x:v>
      </x:c>
      <x:c r="O763" s="81" t="str">
        <x:v>—</x:v>
      </x:c>
      <x:c r="P763" s="81" t="str">
        <x:v>—</x:v>
      </x:c>
      <x:c r="Q763" s="81" t="str">
        <x:v>평원5</x:v>
      </x:c>
      <x:c r="R763" s="81" t="str">
        <x:v>숲4</x:v>
      </x:c>
      <x:c r="S763" s="81" t="str">
        <x:v>평원5</x:v>
      </x:c>
      <x:c r="T763" s="81" t="str">
        <x:v>숲5</x:v>
      </x:c>
      <x:c r="U763" s="81" t="str">
        <x:v>—</x:v>
      </x:c>
      <x:c r="V763" s="81" t="str">
        <x:v>—</x:v>
      </x:c>
    </x:row>
    <x:row r="764">
      <x:c r="A764" s="80" t="n">
        <x:v>760</x:v>
      </x:c>
      <x:c r="B764" s="80" t="str">
        <x:v>이븐곰</x:v>
      </x:c>
      <x:c r="C764" s="80" t="str">
        <x:v>bewear</x:v>
      </x:c>
      <x:c r="D764" s="80" t="str">
        <x:v>평원</x:v>
      </x:c>
      <x:c r="E764" s="81" t="str">
        <x:v>—</x:v>
      </x:c>
      <x:c r="F764" s="81" t="str">
        <x:v>—</x:v>
      </x:c>
      <x:c r="G764" s="81" t="str">
        <x:v>—</x:v>
      </x:c>
      <x:c r="H764" s="81" t="str">
        <x:v>—</x:v>
      </x:c>
      <x:c r="I764" s="81" t="str">
        <x:v>—</x:v>
      </x:c>
      <x:c r="J764" s="81" t="str">
        <x:v>—</x:v>
      </x:c>
      <x:c r="K764" s="81" t="str">
        <x:v>—</x:v>
      </x:c>
      <x:c r="L764" s="81" t="str">
        <x:v>—</x:v>
      </x:c>
      <x:c r="M764" s="81" t="str">
        <x:v>—</x:v>
      </x:c>
      <x:c r="N764" s="81" t="str">
        <x:v>—</x:v>
      </x:c>
      <x:c r="O764" s="81" t="str">
        <x:v>—</x:v>
      </x:c>
      <x:c r="P764" s="81" t="str">
        <x:v>—</x:v>
      </x:c>
      <x:c r="Q764" s="81" t="str">
        <x:v>평원5</x:v>
      </x:c>
      <x:c r="R764" s="81" t="str">
        <x:v>숲4</x:v>
      </x:c>
      <x:c r="S764" s="81" t="str">
        <x:v>평원5</x:v>
      </x:c>
      <x:c r="T764" s="81" t="str">
        <x:v>숲5</x:v>
      </x:c>
      <x:c r="U764" s="81" t="str">
        <x:v>—</x:v>
      </x:c>
      <x:c r="V764" s="81" t="str">
        <x:v>—</x:v>
      </x:c>
    </x:row>
    <x:row r="765">
      <x:c r="A765" s="80" t="n">
        <x:v>761</x:v>
      </x:c>
      <x:c r="B765" s="80" t="str">
        <x:v>달콤아</x:v>
      </x:c>
      <x:c r="C765" s="80" t="str">
        <x:v>bounsweet</x:v>
      </x:c>
      <x:c r="D765" s="80" t="str">
        <x:v>숲</x:v>
      </x:c>
      <x:c r="E765" s="81" t="str">
        <x:v>—</x:v>
      </x:c>
      <x:c r="F765" s="81" t="str">
        <x:v>—</x:v>
      </x:c>
      <x:c r="G765" s="81" t="str">
        <x:v>—</x:v>
      </x:c>
      <x:c r="H765" s="81" t="str">
        <x:v>—</x:v>
      </x:c>
      <x:c r="I765" s="81" t="str">
        <x:v>—</x:v>
      </x:c>
      <x:c r="J765" s="81" t="str">
        <x:v>—</x:v>
      </x:c>
      <x:c r="K765" s="81" t="str">
        <x:v>—</x:v>
      </x:c>
      <x:c r="L765" s="81" t="str">
        <x:v>—</x:v>
      </x:c>
      <x:c r="M765" s="81" t="str">
        <x:v>—</x:v>
      </x:c>
      <x:c r="N765" s="81" t="str">
        <x:v>—</x:v>
      </x:c>
      <x:c r="O765" s="81" t="str">
        <x:v>—</x:v>
      </x:c>
      <x:c r="P765" s="81" t="str">
        <x:v>—</x:v>
      </x:c>
      <x:c r="Q765" s="81" t="str">
        <x:v>숲4</x:v>
      </x:c>
      <x:c r="R765" s="81" t="str">
        <x:v>평원5</x:v>
      </x:c>
      <x:c r="S765" s="81" t="str">
        <x:v>숲5</x:v>
      </x:c>
      <x:c r="T765" s="81" t="str">
        <x:v>평원5</x:v>
      </x:c>
      <x:c r="U765" s="81" t="str">
        <x:v>숲6</x:v>
      </x:c>
      <x:c r="V765" s="81" t="str">
        <x:v>평원6</x:v>
      </x:c>
    </x:row>
    <x:row r="766">
      <x:c r="A766" s="80" t="n">
        <x:v>762</x:v>
      </x:c>
      <x:c r="B766" s="80" t="str">
        <x:v>달무리나</x:v>
      </x:c>
      <x:c r="C766" s="80" t="str">
        <x:v>steenee</x:v>
      </x:c>
      <x:c r="D766" s="80" t="str">
        <x:v>숲</x:v>
      </x:c>
      <x:c r="E766" s="81" t="str">
        <x:v>—</x:v>
      </x:c>
      <x:c r="F766" s="81" t="str">
        <x:v>—</x:v>
      </x:c>
      <x:c r="G766" s="81" t="str">
        <x:v>—</x:v>
      </x:c>
      <x:c r="H766" s="81" t="str">
        <x:v>—</x:v>
      </x:c>
      <x:c r="I766" s="81" t="str">
        <x:v>—</x:v>
      </x:c>
      <x:c r="J766" s="81" t="str">
        <x:v>—</x:v>
      </x:c>
      <x:c r="K766" s="81" t="str">
        <x:v>—</x:v>
      </x:c>
      <x:c r="L766" s="81" t="str">
        <x:v>—</x:v>
      </x:c>
      <x:c r="M766" s="81" t="str">
        <x:v>—</x:v>
      </x:c>
      <x:c r="N766" s="81" t="str">
        <x:v>—</x:v>
      </x:c>
      <x:c r="O766" s="81" t="str">
        <x:v>—</x:v>
      </x:c>
      <x:c r="P766" s="81" t="str">
        <x:v>—</x:v>
      </x:c>
      <x:c r="Q766" s="81" t="str">
        <x:v>숲4</x:v>
      </x:c>
      <x:c r="R766" s="81" t="str">
        <x:v>평원5</x:v>
      </x:c>
      <x:c r="S766" s="81" t="str">
        <x:v>숲5</x:v>
      </x:c>
      <x:c r="T766" s="81" t="str">
        <x:v>평원5</x:v>
      </x:c>
      <x:c r="U766" s="81" t="str">
        <x:v>숲6</x:v>
      </x:c>
      <x:c r="V766" s="81" t="str">
        <x:v>평원6</x:v>
      </x:c>
    </x:row>
    <x:row r="767">
      <x:c r="A767" s="80" t="n">
        <x:v>763</x:v>
      </x:c>
      <x:c r="B767" s="80" t="str">
        <x:v>달코퀸</x:v>
      </x:c>
      <x:c r="C767" s="80" t="str">
        <x:v>tsareena</x:v>
      </x:c>
      <x:c r="D767" s="80" t="str">
        <x:v>숲</x:v>
      </x:c>
      <x:c r="E767" s="81" t="str">
        <x:v>—</x:v>
      </x:c>
      <x:c r="F767" s="81" t="str">
        <x:v>—</x:v>
      </x:c>
      <x:c r="G767" s="81" t="str">
        <x:v>—</x:v>
      </x:c>
      <x:c r="H767" s="81" t="str">
        <x:v>—</x:v>
      </x:c>
      <x:c r="I767" s="81" t="str">
        <x:v>—</x:v>
      </x:c>
      <x:c r="J767" s="81" t="str">
        <x:v>—</x:v>
      </x:c>
      <x:c r="K767" s="81" t="str">
        <x:v>—</x:v>
      </x:c>
      <x:c r="L767" s="81" t="str">
        <x:v>—</x:v>
      </x:c>
      <x:c r="M767" s="81" t="str">
        <x:v>—</x:v>
      </x:c>
      <x:c r="N767" s="81" t="str">
        <x:v>—</x:v>
      </x:c>
      <x:c r="O767" s="81" t="str">
        <x:v>—</x:v>
      </x:c>
      <x:c r="P767" s="81" t="str">
        <x:v>—</x:v>
      </x:c>
      <x:c r="Q767" s="81" t="str">
        <x:v>숲4</x:v>
      </x:c>
      <x:c r="R767" s="81" t="str">
        <x:v>평원5</x:v>
      </x:c>
      <x:c r="S767" s="81" t="str">
        <x:v>숲5</x:v>
      </x:c>
      <x:c r="T767" s="81" t="str">
        <x:v>평원5</x:v>
      </x:c>
      <x:c r="U767" s="81" t="str">
        <x:v>숲6</x:v>
      </x:c>
      <x:c r="V767" s="81" t="str">
        <x:v>평원6</x:v>
      </x:c>
    </x:row>
    <x:row r="768">
      <x:c r="A768" s="80" t="n">
        <x:v>764</x:v>
      </x:c>
      <x:c r="B768" s="80" t="str">
        <x:v>큐아링</x:v>
      </x:c>
      <x:c r="C768" s="80" t="str">
        <x:v>comfey</x:v>
      </x:c>
      <x:c r="D768" s="80" t="str">
        <x:v>평원</x:v>
      </x:c>
      <x:c r="E768" s="81" t="str">
        <x:v>—</x:v>
      </x:c>
      <x:c r="F768" s="81" t="str">
        <x:v>—</x:v>
      </x:c>
      <x:c r="G768" s="81" t="str">
        <x:v>—</x:v>
      </x:c>
      <x:c r="H768" s="81" t="str">
        <x:v>—</x:v>
      </x:c>
      <x:c r="I768" s="81" t="str">
        <x:v>—</x:v>
      </x:c>
      <x:c r="J768" s="81" t="str">
        <x:v>—</x:v>
      </x:c>
      <x:c r="K768" s="81" t="str">
        <x:v>—</x:v>
      </x:c>
      <x:c r="L768" s="81" t="str">
        <x:v>—</x:v>
      </x:c>
      <x:c r="M768" s="81" t="str">
        <x:v>—</x:v>
      </x:c>
      <x:c r="N768" s="81" t="str">
        <x:v>—</x:v>
      </x:c>
      <x:c r="O768" s="81" t="str">
        <x:v>—</x:v>
      </x:c>
      <x:c r="P768" s="81" t="str">
        <x:v>—</x:v>
      </x:c>
      <x:c r="Q768" s="81" t="str">
        <x:v>평원5</x:v>
      </x:c>
      <x:c r="R768" s="81" t="str">
        <x:v>숲4</x:v>
      </x:c>
      <x:c r="S768" s="81" t="str">
        <x:v>평원5</x:v>
      </x:c>
      <x:c r="T768" s="81" t="str">
        <x:v>숲5</x:v>
      </x:c>
      <x:c r="U768" s="81" t="str">
        <x:v>평원6</x:v>
      </x:c>
      <x:c r="V768" s="81" t="str">
        <x:v>숲6</x:v>
      </x:c>
    </x:row>
    <x:row r="769">
      <x:c r="A769" s="80" t="n">
        <x:v>765</x:v>
      </x:c>
      <x:c r="B769" s="80" t="str">
        <x:v>하랑우탄</x:v>
      </x:c>
      <x:c r="C769" s="80" t="str">
        <x:v>oranguru</x:v>
      </x:c>
      <x:c r="D769" s="80" t="str">
        <x:v>숲</x:v>
      </x:c>
      <x:c r="E769" s="81" t="str">
        <x:v>—</x:v>
      </x:c>
      <x:c r="F769" s="81" t="str">
        <x:v>—</x:v>
      </x:c>
      <x:c r="G769" s="81" t="str">
        <x:v>—</x:v>
      </x:c>
      <x:c r="H769" s="81" t="str">
        <x:v>—</x:v>
      </x:c>
      <x:c r="I769" s="81" t="str">
        <x:v>—</x:v>
      </x:c>
      <x:c r="J769" s="81" t="str">
        <x:v>—</x:v>
      </x:c>
      <x:c r="K769" s="81" t="str">
        <x:v>—</x:v>
      </x:c>
      <x:c r="L769" s="81" t="str">
        <x:v>—</x:v>
      </x:c>
      <x:c r="M769" s="81" t="str">
        <x:v>—</x:v>
      </x:c>
      <x:c r="N769" s="81" t="str">
        <x:v>—</x:v>
      </x:c>
      <x:c r="O769" s="81" t="str">
        <x:v>—</x:v>
      </x:c>
      <x:c r="P769" s="81" t="str">
        <x:v>—</x:v>
      </x:c>
      <x:c r="Q769" s="81" t="str">
        <x:v>숲4</x:v>
      </x:c>
      <x:c r="R769" s="81" t="str">
        <x:v>평원5</x:v>
      </x:c>
      <x:c r="S769" s="81" t="str">
        <x:v>숲5</x:v>
      </x:c>
      <x:c r="T769" s="81" t="str">
        <x:v>평원5</x:v>
      </x:c>
      <x:c r="U769" s="81" t="str">
        <x:v>숲6</x:v>
      </x:c>
      <x:c r="V769" s="81" t="str">
        <x:v>평원6</x:v>
      </x:c>
    </x:row>
    <x:row r="770">
      <x:c r="A770" s="80" t="n">
        <x:v>766</x:v>
      </x:c>
      <x:c r="B770" s="80" t="str">
        <x:v>내던숭이</x:v>
      </x:c>
      <x:c r="C770" s="80" t="str">
        <x:v>passimian</x:v>
      </x:c>
      <x:c r="D770" s="80" t="str">
        <x:v>숲</x:v>
      </x:c>
      <x:c r="E770" s="81" t="str">
        <x:v>—</x:v>
      </x:c>
      <x:c r="F770" s="81" t="str">
        <x:v>—</x:v>
      </x:c>
      <x:c r="G770" s="81" t="str">
        <x:v>—</x:v>
      </x:c>
      <x:c r="H770" s="81" t="str">
        <x:v>—</x:v>
      </x:c>
      <x:c r="I770" s="81" t="str">
        <x:v>—</x:v>
      </x:c>
      <x:c r="J770" s="81" t="str">
        <x:v>—</x:v>
      </x:c>
      <x:c r="K770" s="81" t="str">
        <x:v>—</x:v>
      </x:c>
      <x:c r="L770" s="81" t="str">
        <x:v>—</x:v>
      </x:c>
      <x:c r="M770" s="81" t="str">
        <x:v>—</x:v>
      </x:c>
      <x:c r="N770" s="81" t="str">
        <x:v>—</x:v>
      </x:c>
      <x:c r="O770" s="81" t="str">
        <x:v>—</x:v>
      </x:c>
      <x:c r="P770" s="81" t="str">
        <x:v>—</x:v>
      </x:c>
      <x:c r="Q770" s="81" t="str">
        <x:v>숲4</x:v>
      </x:c>
      <x:c r="R770" s="81" t="str">
        <x:v>습지2</x:v>
      </x:c>
      <x:c r="S770" s="81" t="str">
        <x:v>숲5</x:v>
      </x:c>
      <x:c r="T770" s="81" t="str">
        <x:v>습지3</x:v>
      </x:c>
      <x:c r="U770" s="81" t="str">
        <x:v>숲6</x:v>
      </x:c>
      <x:c r="V770" s="81" t="str">
        <x:v>습지3</x:v>
      </x:c>
    </x:row>
    <x:row r="771">
      <x:c r="A771" s="80" t="n">
        <x:v>767</x:v>
      </x:c>
      <x:c r="B771" s="80" t="str">
        <x:v>꼬시레</x:v>
      </x:c>
      <x:c r="C771" s="80" t="str">
        <x:v>wimpod</x:v>
      </x:c>
      <x:c r="D771" s="80" t="str">
        <x:v>해양</x:v>
      </x:c>
      <x:c r="E771" s="81" t="str">
        <x:v>—</x:v>
      </x:c>
      <x:c r="F771" s="81" t="str">
        <x:v>—</x:v>
      </x:c>
      <x:c r="G771" s="81" t="str">
        <x:v>—</x:v>
      </x:c>
      <x:c r="H771" s="81" t="str">
        <x:v>—</x:v>
      </x:c>
      <x:c r="I771" s="81" t="str">
        <x:v>—</x:v>
      </x:c>
      <x:c r="J771" s="81" t="str">
        <x:v>—</x:v>
      </x:c>
      <x:c r="K771" s="81" t="str">
        <x:v>—</x:v>
      </x:c>
      <x:c r="L771" s="81" t="str">
        <x:v>—</x:v>
      </x:c>
      <x:c r="M771" s="81" t="str">
        <x:v>—</x:v>
      </x:c>
      <x:c r="N771" s="81" t="str">
        <x:v>—</x:v>
      </x:c>
      <x:c r="O771" s="81" t="str">
        <x:v>—</x:v>
      </x:c>
      <x:c r="P771" s="81" t="str">
        <x:v>—</x:v>
      </x:c>
      <x:c r="Q771" s="81" t="str">
        <x:v>해양2</x:v>
      </x:c>
      <x:c r="R771" s="81" t="str">
        <x:v>담수2</x:v>
      </x:c>
      <x:c r="S771" s="81" t="str">
        <x:v>해양2</x:v>
      </x:c>
      <x:c r="T771" s="81" t="str">
        <x:v>담수3</x:v>
      </x:c>
      <x:c r="U771" s="81" t="str">
        <x:v>—</x:v>
      </x:c>
      <x:c r="V771" s="81" t="str">
        <x:v>—</x:v>
      </x:c>
    </x:row>
    <x:row r="772">
      <x:c r="A772" s="80" t="n">
        <x:v>768</x:v>
      </x:c>
      <x:c r="B772" s="80" t="str">
        <x:v>갑주무사</x:v>
      </x:c>
      <x:c r="C772" s="80" t="str">
        <x:v>golisopod</x:v>
      </x:c>
      <x:c r="D772" s="80" t="str">
        <x:v>해양</x:v>
      </x:c>
      <x:c r="E772" s="81" t="str">
        <x:v>—</x:v>
      </x:c>
      <x:c r="F772" s="81" t="str">
        <x:v>—</x:v>
      </x:c>
      <x:c r="G772" s="81" t="str">
        <x:v>—</x:v>
      </x:c>
      <x:c r="H772" s="81" t="str">
        <x:v>—</x:v>
      </x:c>
      <x:c r="I772" s="81" t="str">
        <x:v>—</x:v>
      </x:c>
      <x:c r="J772" s="81" t="str">
        <x:v>—</x:v>
      </x:c>
      <x:c r="K772" s="81" t="str">
        <x:v>—</x:v>
      </x:c>
      <x:c r="L772" s="81" t="str">
        <x:v>—</x:v>
      </x:c>
      <x:c r="M772" s="81" t="str">
        <x:v>—</x:v>
      </x:c>
      <x:c r="N772" s="81" t="str">
        <x:v>—</x:v>
      </x:c>
      <x:c r="O772" s="81" t="str">
        <x:v>—</x:v>
      </x:c>
      <x:c r="P772" s="81" t="str">
        <x:v>—</x:v>
      </x:c>
      <x:c r="Q772" s="81" t="str">
        <x:v>해양2</x:v>
      </x:c>
      <x:c r="R772" s="81" t="str">
        <x:v>담수2</x:v>
      </x:c>
      <x:c r="S772" s="81" t="str">
        <x:v>해양2</x:v>
      </x:c>
      <x:c r="T772" s="81" t="str">
        <x:v>담수3</x:v>
      </x:c>
      <x:c r="U772" s="81" t="str">
        <x:v>—</x:v>
      </x:c>
      <x:c r="V772" s="81" t="str">
        <x:v>—</x:v>
      </x:c>
    </x:row>
    <x:row r="773">
      <x:c r="A773" s="80" t="n">
        <x:v>769</x:v>
      </x:c>
      <x:c r="B773" s="80" t="str">
        <x:v>모래꿍</x:v>
      </x:c>
      <x:c r="C773" s="80" t="str">
        <x:v>sandygast</x:v>
      </x:c>
      <x:c r="D773" s="80" t="str">
        <x:v>해양</x:v>
      </x:c>
      <x:c r="E773" s="81" t="str">
        <x:v>—</x:v>
      </x:c>
      <x:c r="F773" s="81" t="str">
        <x:v>—</x:v>
      </x:c>
      <x:c r="G773" s="81" t="str">
        <x:v>—</x:v>
      </x:c>
      <x:c r="H773" s="81" t="str">
        <x:v>—</x:v>
      </x:c>
      <x:c r="I773" s="81" t="str">
        <x:v>—</x:v>
      </x:c>
      <x:c r="J773" s="81" t="str">
        <x:v>—</x:v>
      </x:c>
      <x:c r="K773" s="81" t="str">
        <x:v>—</x:v>
      </x:c>
      <x:c r="L773" s="81" t="str">
        <x:v>—</x:v>
      </x:c>
      <x:c r="M773" s="81" t="str">
        <x:v>—</x:v>
      </x:c>
      <x:c r="N773" s="81" t="str">
        <x:v>—</x:v>
      </x:c>
      <x:c r="O773" s="81" t="str">
        <x:v>—</x:v>
      </x:c>
      <x:c r="P773" s="81" t="str">
        <x:v>—</x:v>
      </x:c>
      <x:c r="Q773" s="81" t="str">
        <x:v>해양2</x:v>
      </x:c>
      <x:c r="R773" s="81" t="str">
        <x:v>특수1</x:v>
      </x:c>
      <x:c r="S773" s="81" t="str">
        <x:v>해양2</x:v>
      </x:c>
      <x:c r="T773" s="81" t="str">
        <x:v>특수2</x:v>
      </x:c>
      <x:c r="U773" s="81" t="str">
        <x:v>해양2</x:v>
      </x:c>
      <x:c r="V773" s="81" t="str">
        <x:v>특수2</x:v>
      </x:c>
    </x:row>
    <x:row r="774">
      <x:c r="A774" s="80" t="n">
        <x:v>770</x:v>
      </x:c>
      <x:c r="B774" s="80" t="str">
        <x:v>모래성이당</x:v>
      </x:c>
      <x:c r="C774" s="80" t="str">
        <x:v>palossand</x:v>
      </x:c>
      <x:c r="D774" s="80" t="str">
        <x:v>해양</x:v>
      </x:c>
      <x:c r="E774" s="81" t="str">
        <x:v>—</x:v>
      </x:c>
      <x:c r="F774" s="81" t="str">
        <x:v>—</x:v>
      </x:c>
      <x:c r="G774" s="81" t="str">
        <x:v>—</x:v>
      </x:c>
      <x:c r="H774" s="81" t="str">
        <x:v>—</x:v>
      </x:c>
      <x:c r="I774" s="81" t="str">
        <x:v>—</x:v>
      </x:c>
      <x:c r="J774" s="81" t="str">
        <x:v>—</x:v>
      </x:c>
      <x:c r="K774" s="81" t="str">
        <x:v>—</x:v>
      </x:c>
      <x:c r="L774" s="81" t="str">
        <x:v>—</x:v>
      </x:c>
      <x:c r="M774" s="81" t="str">
        <x:v>—</x:v>
      </x:c>
      <x:c r="N774" s="81" t="str">
        <x:v>—</x:v>
      </x:c>
      <x:c r="O774" s="81" t="str">
        <x:v>—</x:v>
      </x:c>
      <x:c r="P774" s="81" t="str">
        <x:v>—</x:v>
      </x:c>
      <x:c r="Q774" s="81" t="str">
        <x:v>해양2</x:v>
      </x:c>
      <x:c r="R774" s="81" t="str">
        <x:v>특수1</x:v>
      </x:c>
      <x:c r="S774" s="81" t="str">
        <x:v>해양2</x:v>
      </x:c>
      <x:c r="T774" s="81" t="str">
        <x:v>특수2</x:v>
      </x:c>
      <x:c r="U774" s="81" t="str">
        <x:v>해양2</x:v>
      </x:c>
      <x:c r="V774" s="81" t="str">
        <x:v>특수2</x:v>
      </x:c>
    </x:row>
    <x:row r="775">
      <x:c r="A775" s="80" t="n">
        <x:v>771</x:v>
      </x:c>
      <x:c r="B775" s="80" t="str">
        <x:v>해무기</x:v>
      </x:c>
      <x:c r="C775" s="80" t="str">
        <x:v>pyukumuku</x:v>
      </x:c>
      <x:c r="D775" s="80" t="str">
        <x:v>해양</x:v>
      </x:c>
      <x:c r="E775" s="81" t="str">
        <x:v>—</x:v>
      </x:c>
      <x:c r="F775" s="81" t="str">
        <x:v>—</x:v>
      </x:c>
      <x:c r="G775" s="81" t="str">
        <x:v>—</x:v>
      </x:c>
      <x:c r="H775" s="81" t="str">
        <x:v>—</x:v>
      </x:c>
      <x:c r="I775" s="81" t="str">
        <x:v>—</x:v>
      </x:c>
      <x:c r="J775" s="81" t="str">
        <x:v>—</x:v>
      </x:c>
      <x:c r="K775" s="81" t="str">
        <x:v>—</x:v>
      </x:c>
      <x:c r="L775" s="81" t="str">
        <x:v>—</x:v>
      </x:c>
      <x:c r="M775" s="81" t="str">
        <x:v>—</x:v>
      </x:c>
      <x:c r="N775" s="81" t="str">
        <x:v>—</x:v>
      </x:c>
      <x:c r="O775" s="81" t="str">
        <x:v>—</x:v>
      </x:c>
      <x:c r="P775" s="81" t="str">
        <x:v>—</x:v>
      </x:c>
      <x:c r="Q775" s="81" t="str">
        <x:v>해양2</x:v>
      </x:c>
      <x:c r="R775" s="81" t="str">
        <x:v>담수2</x:v>
      </x:c>
      <x:c r="S775" s="81" t="str">
        <x:v>해양2</x:v>
      </x:c>
      <x:c r="T775" s="81" t="str">
        <x:v>담수3</x:v>
      </x:c>
      <x:c r="U775" s="81" t="str">
        <x:v>—</x:v>
      </x:c>
      <x:c r="V775" s="81" t="str">
        <x:v>—</x:v>
      </x:c>
    </x:row>
    <x:row r="776">
      <x:c r="A776" s="80" t="n">
        <x:v>772</x:v>
      </x:c>
      <x:c r="B776" s="80" t="str">
        <x:v>타입:널</x:v>
      </x:c>
      <x:c r="C776" s="80" t="str">
        <x:v>typenull</x:v>
      </x:c>
      <x:c r="D776" s="80" t="str">
        <x:v>평원</x:v>
      </x:c>
      <x:c r="E776" s="81" t="str">
        <x:v>—</x:v>
      </x:c>
      <x:c r="F776" s="81" t="str">
        <x:v>—</x:v>
      </x:c>
      <x:c r="G776" s="81" t="str">
        <x:v>—</x:v>
      </x:c>
      <x:c r="H776" s="81" t="str">
        <x:v>—</x:v>
      </x:c>
      <x:c r="I776" s="81" t="str">
        <x:v>—</x:v>
      </x:c>
      <x:c r="J776" s="81" t="str">
        <x:v>—</x:v>
      </x:c>
      <x:c r="K776" s="81" t="str">
        <x:v>—</x:v>
      </x:c>
      <x:c r="L776" s="81" t="str">
        <x:v>—</x:v>
      </x:c>
      <x:c r="M776" s="81" t="str">
        <x:v>—</x:v>
      </x:c>
      <x:c r="N776" s="81" t="str">
        <x:v>—</x:v>
      </x:c>
      <x:c r="O776" s="81" t="str">
        <x:v>—</x:v>
      </x:c>
      <x:c r="P776" s="81" t="str">
        <x:v>—</x:v>
      </x:c>
      <x:c r="Q776" s="81" t="str">
        <x:v>—</x:v>
      </x:c>
      <x:c r="R776" s="81" t="str">
        <x:v>—</x:v>
      </x:c>
      <x:c r="S776" s="81" t="str">
        <x:v>—</x:v>
      </x:c>
      <x:c r="T776" s="81" t="str">
        <x:v>—</x:v>
      </x:c>
      <x:c r="U776" s="81" t="str">
        <x:v>—</x:v>
      </x:c>
      <x:c r="V776" s="81" t="str">
        <x:v>—</x:v>
      </x:c>
    </x:row>
    <x:row r="777">
      <x:c r="A777" s="80" t="n">
        <x:v>773</x:v>
      </x:c>
      <x:c r="B777" s="80" t="str">
        <x:v>실버디</x:v>
      </x:c>
      <x:c r="C777" s="80" t="str">
        <x:v>silvally</x:v>
      </x:c>
      <x:c r="D777" s="80" t="str">
        <x:v>도시</x:v>
      </x:c>
      <x:c r="E777" s="81" t="str">
        <x:v>—</x:v>
      </x:c>
      <x:c r="F777" s="81" t="str">
        <x:v>—</x:v>
      </x:c>
      <x:c r="G777" s="81" t="str">
        <x:v>—</x:v>
      </x:c>
      <x:c r="H777" s="81" t="str">
        <x:v>—</x:v>
      </x:c>
      <x:c r="I777" s="81" t="str">
        <x:v>—</x:v>
      </x:c>
      <x:c r="J777" s="81" t="str">
        <x:v>—</x:v>
      </x:c>
      <x:c r="K777" s="81" t="str">
        <x:v>—</x:v>
      </x:c>
      <x:c r="L777" s="81" t="str">
        <x:v>—</x:v>
      </x:c>
      <x:c r="M777" s="81" t="str">
        <x:v>—</x:v>
      </x:c>
      <x:c r="N777" s="81" t="str">
        <x:v>—</x:v>
      </x:c>
      <x:c r="O777" s="81" t="str">
        <x:v>—</x:v>
      </x:c>
      <x:c r="P777" s="81" t="str">
        <x:v>—</x:v>
      </x:c>
      <x:c r="Q777" s="81" t="str">
        <x:v>—</x:v>
      </x:c>
      <x:c r="R777" s="81" t="str">
        <x:v>—</x:v>
      </x:c>
      <x:c r="S777" s="81" t="str">
        <x:v>—</x:v>
      </x:c>
      <x:c r="T777" s="81" t="str">
        <x:v>—</x:v>
      </x:c>
      <x:c r="U777" s="81" t="str">
        <x:v>—</x:v>
      </x:c>
      <x:c r="V777" s="81" t="str">
        <x:v>—</x:v>
      </x:c>
    </x:row>
    <x:row r="778">
      <x:c r="A778" s="80" t="n">
        <x:v>774</x:v>
      </x:c>
      <x:c r="B778" s="80" t="str">
        <x:v>메테노</x:v>
      </x:c>
      <x:c r="C778" s="80" t="str">
        <x:v>minior</x:v>
      </x:c>
      <x:c r="D778" s="80" t="str">
        <x:v>산악</x:v>
      </x:c>
      <x:c r="E778" s="81" t="str">
        <x:v>—</x:v>
      </x:c>
      <x:c r="F778" s="81" t="str">
        <x:v>—</x:v>
      </x:c>
      <x:c r="G778" s="81" t="str">
        <x:v>—</x:v>
      </x:c>
      <x:c r="H778" s="81" t="str">
        <x:v>—</x:v>
      </x:c>
      <x:c r="I778" s="81" t="str">
        <x:v>—</x:v>
      </x:c>
      <x:c r="J778" s="81" t="str">
        <x:v>—</x:v>
      </x:c>
      <x:c r="K778" s="81" t="str">
        <x:v>—</x:v>
      </x:c>
      <x:c r="L778" s="81" t="str">
        <x:v>—</x:v>
      </x:c>
      <x:c r="M778" s="81" t="str">
        <x:v>—</x:v>
      </x:c>
      <x:c r="N778" s="81" t="str">
        <x:v>—</x:v>
      </x:c>
      <x:c r="O778" s="81" t="str">
        <x:v>—</x:v>
      </x:c>
      <x:c r="P778" s="81" t="str">
        <x:v>—</x:v>
      </x:c>
      <x:c r="Q778" s="81" t="str">
        <x:v>산악3</x:v>
      </x:c>
      <x:c r="R778" s="81" t="str">
        <x:v>숲4</x:v>
      </x:c>
      <x:c r="S778" s="81" t="str">
        <x:v>—</x:v>
      </x:c>
      <x:c r="T778" s="81" t="str">
        <x:v>—</x:v>
      </x:c>
      <x:c r="U778" s="81" t="str">
        <x:v>산악4</x:v>
      </x:c>
      <x:c r="V778" s="81" t="str">
        <x:v>숲6</x:v>
      </x:c>
    </x:row>
    <x:row r="779">
      <x:c r="A779" s="80" t="n">
        <x:v>775</x:v>
      </x:c>
      <x:c r="B779" s="80" t="str">
        <x:v>자말라</x:v>
      </x:c>
      <x:c r="C779" s="80" t="str">
        <x:v>komala</x:v>
      </x:c>
      <x:c r="D779" s="80" t="str">
        <x:v>숲</x:v>
      </x:c>
      <x:c r="E779" s="81" t="str">
        <x:v>—</x:v>
      </x:c>
      <x:c r="F779" s="81" t="str">
        <x:v>—</x:v>
      </x:c>
      <x:c r="G779" s="81" t="str">
        <x:v>—</x:v>
      </x:c>
      <x:c r="H779" s="81" t="str">
        <x:v>—</x:v>
      </x:c>
      <x:c r="I779" s="81" t="str">
        <x:v>—</x:v>
      </x:c>
      <x:c r="J779" s="81" t="str">
        <x:v>—</x:v>
      </x:c>
      <x:c r="K779" s="81" t="str">
        <x:v>—</x:v>
      </x:c>
      <x:c r="L779" s="81" t="str">
        <x:v>—</x:v>
      </x:c>
      <x:c r="M779" s="81" t="str">
        <x:v>—</x:v>
      </x:c>
      <x:c r="N779" s="81" t="str">
        <x:v>—</x:v>
      </x:c>
      <x:c r="O779" s="81" t="str">
        <x:v>—</x:v>
      </x:c>
      <x:c r="P779" s="81" t="str">
        <x:v>—</x:v>
      </x:c>
      <x:c r="Q779" s="81" t="str">
        <x:v>숲4</x:v>
      </x:c>
      <x:c r="R779" s="81" t="str">
        <x:v>평원5</x:v>
      </x:c>
      <x:c r="S779" s="81" t="str">
        <x:v>—</x:v>
      </x:c>
      <x:c r="T779" s="81" t="str">
        <x:v>—</x:v>
      </x:c>
      <x:c r="U779" s="81" t="str">
        <x:v>숲6</x:v>
      </x:c>
      <x:c r="V779" s="81" t="str">
        <x:v>평원6</x:v>
      </x:c>
    </x:row>
    <x:row r="780">
      <x:c r="A780" s="80" t="n">
        <x:v>776</x:v>
      </x:c>
      <x:c r="B780" s="80" t="str">
        <x:v>폭거북스</x:v>
      </x:c>
      <x:c r="C780" s="80" t="str">
        <x:v>turtonator</x:v>
      </x:c>
      <x:c r="D780" s="80" t="str">
        <x:v>화산</x:v>
      </x:c>
      <x:c r="E780" s="81" t="str">
        <x:v>—</x:v>
      </x:c>
      <x:c r="F780" s="81" t="str">
        <x:v>—</x:v>
      </x:c>
      <x:c r="G780" s="81" t="str">
        <x:v>—</x:v>
      </x:c>
      <x:c r="H780" s="81" t="str">
        <x:v>—</x:v>
      </x:c>
      <x:c r="I780" s="81" t="str">
        <x:v>—</x:v>
      </x:c>
      <x:c r="J780" s="81" t="str">
        <x:v>—</x:v>
      </x:c>
      <x:c r="K780" s="81" t="str">
        <x:v>—</x:v>
      </x:c>
      <x:c r="L780" s="81" t="str">
        <x:v>—</x:v>
      </x:c>
      <x:c r="M780" s="81" t="str">
        <x:v>—</x:v>
      </x:c>
      <x:c r="N780" s="81" t="str">
        <x:v>—</x:v>
      </x:c>
      <x:c r="O780" s="81" t="str">
        <x:v>—</x:v>
      </x:c>
      <x:c r="P780" s="81" t="str">
        <x:v>—</x:v>
      </x:c>
      <x:c r="Q780" s="81" t="str">
        <x:v>화산1</x:v>
      </x:c>
      <x:c r="R780" s="81" t="str">
        <x:v>건조지2</x:v>
      </x:c>
      <x:c r="S780" s="81" t="str">
        <x:v>화산2</x:v>
      </x:c>
      <x:c r="T780" s="81" t="str">
        <x:v>건조지2</x:v>
      </x:c>
      <x:c r="U780" s="81" t="str">
        <x:v>—</x:v>
      </x:c>
      <x:c r="V780" s="81" t="str">
        <x:v>—</x:v>
      </x:c>
    </x:row>
    <x:row r="781">
      <x:c r="A781" s="80" t="n">
        <x:v>777</x:v>
      </x:c>
      <x:c r="B781" s="80" t="str">
        <x:v>토게데마루</x:v>
      </x:c>
      <x:c r="C781" s="80" t="str">
        <x:v>togedemaru</x:v>
      </x:c>
      <x:c r="D781" s="80" t="str">
        <x:v>산악</x:v>
      </x:c>
      <x:c r="E781" s="81" t="str">
        <x:v>—</x:v>
      </x:c>
      <x:c r="F781" s="81" t="str">
        <x:v>—</x:v>
      </x:c>
      <x:c r="G781" s="81" t="str">
        <x:v>—</x:v>
      </x:c>
      <x:c r="H781" s="81" t="str">
        <x:v>—</x:v>
      </x:c>
      <x:c r="I781" s="81" t="str">
        <x:v>—</x:v>
      </x:c>
      <x:c r="J781" s="81" t="str">
        <x:v>—</x:v>
      </x:c>
      <x:c r="K781" s="81" t="str">
        <x:v>—</x:v>
      </x:c>
      <x:c r="L781" s="81" t="str">
        <x:v>—</x:v>
      </x:c>
      <x:c r="M781" s="81" t="str">
        <x:v>—</x:v>
      </x:c>
      <x:c r="N781" s="81" t="str">
        <x:v>—</x:v>
      </x:c>
      <x:c r="O781" s="81" t="str">
        <x:v>—</x:v>
      </x:c>
      <x:c r="P781" s="81" t="str">
        <x:v>—</x:v>
      </x:c>
      <x:c r="Q781" s="81" t="str">
        <x:v>산악3</x:v>
      </x:c>
      <x:c r="R781" s="81" t="str">
        <x:v>평원5</x:v>
      </x:c>
      <x:c r="S781" s="81" t="str">
        <x:v>산악4</x:v>
      </x:c>
      <x:c r="T781" s="81" t="str">
        <x:v>평원5</x:v>
      </x:c>
      <x:c r="U781" s="81" t="str">
        <x:v>—</x:v>
      </x:c>
      <x:c r="V781" s="81" t="str">
        <x:v>—</x:v>
      </x:c>
    </x:row>
    <x:row r="782">
      <x:c r="A782" s="80" t="n">
        <x:v>778</x:v>
      </x:c>
      <x:c r="B782" s="80" t="str">
        <x:v>따라큐</x:v>
      </x:c>
      <x:c r="C782" s="80" t="str">
        <x:v>mimikyu</x:v>
      </x:c>
      <x:c r="D782" s="80" t="str">
        <x:v>특수</x:v>
      </x:c>
      <x:c r="E782" s="81" t="str">
        <x:v>—</x:v>
      </x:c>
      <x:c r="F782" s="81" t="str">
        <x:v>—</x:v>
      </x:c>
      <x:c r="G782" s="81" t="str">
        <x:v>—</x:v>
      </x:c>
      <x:c r="H782" s="81" t="str">
        <x:v>—</x:v>
      </x:c>
      <x:c r="I782" s="81" t="str">
        <x:v>—</x:v>
      </x:c>
      <x:c r="J782" s="81" t="str">
        <x:v>—</x:v>
      </x:c>
      <x:c r="K782" s="81" t="str">
        <x:v>—</x:v>
      </x:c>
      <x:c r="L782" s="81" t="str">
        <x:v>—</x:v>
      </x:c>
      <x:c r="M782" s="81" t="str">
        <x:v>—</x:v>
      </x:c>
      <x:c r="N782" s="81" t="str">
        <x:v>—</x:v>
      </x:c>
      <x:c r="O782" s="81" t="str">
        <x:v>—</x:v>
      </x:c>
      <x:c r="P782" s="81" t="str">
        <x:v>—</x:v>
      </x:c>
      <x:c r="Q782" s="81" t="str">
        <x:v>특수1</x:v>
      </x:c>
      <x:c r="R782" s="81" t="str">
        <x:v>동굴1</x:v>
      </x:c>
      <x:c r="S782" s="81" t="str">
        <x:v>특수2</x:v>
      </x:c>
      <x:c r="T782" s="81" t="str">
        <x:v>동굴1</x:v>
      </x:c>
      <x:c r="U782" s="81" t="str">
        <x:v>특수2</x:v>
      </x:c>
      <x:c r="V782" s="81" t="str">
        <x:v>동굴1</x:v>
      </x:c>
    </x:row>
    <x:row r="783">
      <x:c r="A783" s="80" t="n">
        <x:v>779</x:v>
      </x:c>
      <x:c r="B783" s="80" t="str">
        <x:v>치갈기</x:v>
      </x:c>
      <x:c r="C783" s="80" t="str">
        <x:v>bruxish</x:v>
      </x:c>
      <x:c r="D783" s="80" t="str">
        <x:v>해양</x:v>
      </x:c>
      <x:c r="E783" s="81" t="str">
        <x:v>—</x:v>
      </x:c>
      <x:c r="F783" s="81" t="str">
        <x:v>—</x:v>
      </x:c>
      <x:c r="G783" s="81" t="str">
        <x:v>—</x:v>
      </x:c>
      <x:c r="H783" s="81" t="str">
        <x:v>—</x:v>
      </x:c>
      <x:c r="I783" s="81" t="str">
        <x:v>—</x:v>
      </x:c>
      <x:c r="J783" s="81" t="str">
        <x:v>—</x:v>
      </x:c>
      <x:c r="K783" s="81" t="str">
        <x:v>—</x:v>
      </x:c>
      <x:c r="L783" s="81" t="str">
        <x:v>—</x:v>
      </x:c>
      <x:c r="M783" s="81" t="str">
        <x:v>—</x:v>
      </x:c>
      <x:c r="N783" s="81" t="str">
        <x:v>—</x:v>
      </x:c>
      <x:c r="O783" s="81" t="str">
        <x:v>—</x:v>
      </x:c>
      <x:c r="P783" s="81" t="str">
        <x:v>—</x:v>
      </x:c>
      <x:c r="Q783" s="81" t="str">
        <x:v>해양2</x:v>
      </x:c>
      <x:c r="R783" s="81" t="str">
        <x:v>담수2</x:v>
      </x:c>
      <x:c r="S783" s="81" t="str">
        <x:v>—</x:v>
      </x:c>
      <x:c r="T783" s="81" t="str">
        <x:v>—</x:v>
      </x:c>
      <x:c r="U783" s="81" t="str">
        <x:v>해양2</x:v>
      </x:c>
      <x:c r="V783" s="81" t="str">
        <x:v>담수3</x:v>
      </x:c>
    </x:row>
    <x:row r="784">
      <x:c r="A784" s="80" t="n">
        <x:v>780</x:v>
      </x:c>
      <x:c r="B784" s="80" t="str">
        <x:v>할비롱</x:v>
      </x:c>
      <x:c r="C784" s="80" t="str">
        <x:v>drampa</x:v>
      </x:c>
      <x:c r="D784" s="80" t="str">
        <x:v>산악</x:v>
      </x:c>
      <x:c r="E784" s="81" t="str">
        <x:v>—</x:v>
      </x:c>
      <x:c r="F784" s="81" t="str">
        <x:v>—</x:v>
      </x:c>
      <x:c r="G784" s="81" t="str">
        <x:v>—</x:v>
      </x:c>
      <x:c r="H784" s="81" t="str">
        <x:v>—</x:v>
      </x:c>
      <x:c r="I784" s="81" t="str">
        <x:v>—</x:v>
      </x:c>
      <x:c r="J784" s="81" t="str">
        <x:v>—</x:v>
      </x:c>
      <x:c r="K784" s="81" t="str">
        <x:v>—</x:v>
      </x:c>
      <x:c r="L784" s="81" t="str">
        <x:v>—</x:v>
      </x:c>
      <x:c r="M784" s="81" t="str">
        <x:v>—</x:v>
      </x:c>
      <x:c r="N784" s="81" t="str">
        <x:v>—</x:v>
      </x:c>
      <x:c r="O784" s="81" t="str">
        <x:v>—</x:v>
      </x:c>
      <x:c r="P784" s="81" t="str">
        <x:v>—</x:v>
      </x:c>
      <x:c r="Q784" s="81" t="str">
        <x:v>산악3</x:v>
      </x:c>
      <x:c r="R784" s="81" t="str">
        <x:v>평원5</x:v>
      </x:c>
      <x:c r="S784" s="81" t="str">
        <x:v>산악4</x:v>
      </x:c>
      <x:c r="T784" s="81" t="str">
        <x:v>평원6</x:v>
      </x:c>
      <x:c r="U784" s="81" t="str">
        <x:v>—</x:v>
      </x:c>
      <x:c r="V784" s="81" t="str">
        <x:v>—</x:v>
      </x:c>
    </x:row>
    <x:row r="785">
      <x:c r="A785" s="80" t="n">
        <x:v>781</x:v>
      </x:c>
      <x:c r="B785" s="80" t="str">
        <x:v>타타륜</x:v>
      </x:c>
      <x:c r="C785" s="80" t="str">
        <x:v>dhelmise</x:v>
      </x:c>
      <x:c r="D785" s="80" t="str">
        <x:v>해양</x:v>
      </x:c>
      <x:c r="E785" s="81" t="str">
        <x:v>—</x:v>
      </x:c>
      <x:c r="F785" s="81" t="str">
        <x:v>—</x:v>
      </x:c>
      <x:c r="G785" s="81" t="str">
        <x:v>—</x:v>
      </x:c>
      <x:c r="H785" s="81" t="str">
        <x:v>—</x:v>
      </x:c>
      <x:c r="I785" s="81" t="str">
        <x:v>—</x:v>
      </x:c>
      <x:c r="J785" s="81" t="str">
        <x:v>—</x:v>
      </x:c>
      <x:c r="K785" s="81" t="str">
        <x:v>—</x:v>
      </x:c>
      <x:c r="L785" s="81" t="str">
        <x:v>—</x:v>
      </x:c>
      <x:c r="M785" s="81" t="str">
        <x:v>—</x:v>
      </x:c>
      <x:c r="N785" s="81" t="str">
        <x:v>—</x:v>
      </x:c>
      <x:c r="O785" s="81" t="str">
        <x:v>—</x:v>
      </x:c>
      <x:c r="P785" s="81" t="str">
        <x:v>—</x:v>
      </x:c>
      <x:c r="Q785" s="81" t="str">
        <x:v>해양2</x:v>
      </x:c>
      <x:c r="R785" s="81" t="str">
        <x:v>특수1</x:v>
      </x:c>
      <x:c r="S785" s="81" t="str">
        <x:v>해양2</x:v>
      </x:c>
      <x:c r="T785" s="81" t="str">
        <x:v>특수2</x:v>
      </x:c>
      <x:c r="U785" s="81" t="str">
        <x:v>—</x:v>
      </x:c>
      <x:c r="V785" s="81" t="str">
        <x:v>—</x:v>
      </x:c>
    </x:row>
    <x:row r="786">
      <x:c r="A786" s="80" t="n">
        <x:v>782</x:v>
      </x:c>
      <x:c r="B786" s="80" t="str">
        <x:v>짜랑꼬</x:v>
      </x:c>
      <x:c r="C786" s="80" t="str">
        <x:v>jangmoo</x:v>
      </x:c>
      <x:c r="D786" s="80" t="str">
        <x:v>숲</x:v>
      </x:c>
      <x:c r="E786" s="81" t="str">
        <x:v>—</x:v>
      </x:c>
      <x:c r="F786" s="81" t="str">
        <x:v>—</x:v>
      </x:c>
      <x:c r="G786" s="81" t="str">
        <x:v>—</x:v>
      </x:c>
      <x:c r="H786" s="81" t="str">
        <x:v>—</x:v>
      </x:c>
      <x:c r="I786" s="81" t="str">
        <x:v>—</x:v>
      </x:c>
      <x:c r="J786" s="81" t="str">
        <x:v>—</x:v>
      </x:c>
      <x:c r="K786" s="81" t="str">
        <x:v>—</x:v>
      </x:c>
      <x:c r="L786" s="81" t="str">
        <x:v>—</x:v>
      </x:c>
      <x:c r="M786" s="81" t="str">
        <x:v>—</x:v>
      </x:c>
      <x:c r="N786" s="81" t="str">
        <x:v>—</x:v>
      </x:c>
      <x:c r="O786" s="81" t="str">
        <x:v>—</x:v>
      </x:c>
      <x:c r="P786" s="81" t="str">
        <x:v>—</x:v>
      </x:c>
      <x:c r="Q786" s="81" t="str">
        <x:v>숲4</x:v>
      </x:c>
      <x:c r="R786" s="81" t="str">
        <x:v>습지2</x:v>
      </x:c>
      <x:c r="S786" s="81" t="str">
        <x:v>숲6</x:v>
      </x:c>
      <x:c r="T786" s="81" t="str">
        <x:v>습지3</x:v>
      </x:c>
      <x:c r="U786" s="81" t="str">
        <x:v>숲6</x:v>
      </x:c>
      <x:c r="V786" s="81" t="str">
        <x:v>습지3</x:v>
      </x:c>
    </x:row>
    <x:row r="787">
      <x:c r="A787" s="80" t="n">
        <x:v>783</x:v>
      </x:c>
      <x:c r="B787" s="80" t="str">
        <x:v>짜랑고우</x:v>
      </x:c>
      <x:c r="C787" s="80" t="str">
        <x:v>hakamoo</x:v>
      </x:c>
      <x:c r="D787" s="80" t="str">
        <x:v>숲</x:v>
      </x:c>
      <x:c r="E787" s="81" t="str">
        <x:v>—</x:v>
      </x:c>
      <x:c r="F787" s="81" t="str">
        <x:v>—</x:v>
      </x:c>
      <x:c r="G787" s="81" t="str">
        <x:v>—</x:v>
      </x:c>
      <x:c r="H787" s="81" t="str">
        <x:v>—</x:v>
      </x:c>
      <x:c r="I787" s="81" t="str">
        <x:v>—</x:v>
      </x:c>
      <x:c r="J787" s="81" t="str">
        <x:v>—</x:v>
      </x:c>
      <x:c r="K787" s="81" t="str">
        <x:v>—</x:v>
      </x:c>
      <x:c r="L787" s="81" t="str">
        <x:v>—</x:v>
      </x:c>
      <x:c r="M787" s="81" t="str">
        <x:v>—</x:v>
      </x:c>
      <x:c r="N787" s="81" t="str">
        <x:v>—</x:v>
      </x:c>
      <x:c r="O787" s="81" t="str">
        <x:v>—</x:v>
      </x:c>
      <x:c r="P787" s="81" t="str">
        <x:v>—</x:v>
      </x:c>
      <x:c r="Q787" s="81" t="str">
        <x:v>숲4</x:v>
      </x:c>
      <x:c r="R787" s="81" t="str">
        <x:v>산악3</x:v>
      </x:c>
      <x:c r="S787" s="81" t="str">
        <x:v>숲6</x:v>
      </x:c>
      <x:c r="T787" s="81" t="str">
        <x:v>산악4</x:v>
      </x:c>
      <x:c r="U787" s="81" t="str">
        <x:v>숲6</x:v>
      </x:c>
      <x:c r="V787" s="81" t="str">
        <x:v>산악4</x:v>
      </x:c>
    </x:row>
    <x:row r="788">
      <x:c r="A788" s="80" t="n">
        <x:v>784</x:v>
      </x:c>
      <x:c r="B788" s="80" t="str">
        <x:v>짜랑고우거</x:v>
      </x:c>
      <x:c r="C788" s="80" t="str">
        <x:v>kommoo</x:v>
      </x:c>
      <x:c r="D788" s="80" t="str">
        <x:v>숲</x:v>
      </x:c>
      <x:c r="E788" s="81" t="str">
        <x:v>—</x:v>
      </x:c>
      <x:c r="F788" s="81" t="str">
        <x:v>—</x:v>
      </x:c>
      <x:c r="G788" s="81" t="str">
        <x:v>—</x:v>
      </x:c>
      <x:c r="H788" s="81" t="str">
        <x:v>—</x:v>
      </x:c>
      <x:c r="I788" s="81" t="str">
        <x:v>—</x:v>
      </x:c>
      <x:c r="J788" s="81" t="str">
        <x:v>—</x:v>
      </x:c>
      <x:c r="K788" s="81" t="str">
        <x:v>—</x:v>
      </x:c>
      <x:c r="L788" s="81" t="str">
        <x:v>—</x:v>
      </x:c>
      <x:c r="M788" s="81" t="str">
        <x:v>—</x:v>
      </x:c>
      <x:c r="N788" s="81" t="str">
        <x:v>—</x:v>
      </x:c>
      <x:c r="O788" s="81" t="str">
        <x:v>—</x:v>
      </x:c>
      <x:c r="P788" s="81" t="str">
        <x:v>—</x:v>
      </x:c>
      <x:c r="Q788" s="81" t="str">
        <x:v>숲4</x:v>
      </x:c>
      <x:c r="R788" s="81" t="str">
        <x:v>산악3</x:v>
      </x:c>
      <x:c r="S788" s="81" t="str">
        <x:v>숲6</x:v>
      </x:c>
      <x:c r="T788" s="81" t="str">
        <x:v>산악4</x:v>
      </x:c>
      <x:c r="U788" s="81" t="str">
        <x:v>숲6</x:v>
      </x:c>
      <x:c r="V788" s="81" t="str">
        <x:v>산악4</x:v>
      </x:c>
    </x:row>
    <x:row r="789">
      <x:c r="A789" s="80" t="n">
        <x:v>785</x:v>
      </x:c>
      <x:c r="B789" s="80" t="str">
        <x:v>카푸꼬꼬꼭</x:v>
      </x:c>
      <x:c r="C789" s="80" t="str">
        <x:v>tapukoko</x:v>
      </x:c>
      <x:c r="D789" s="80" t="str">
        <x:v>숲</x:v>
      </x:c>
      <x:c r="E789" s="81" t="str">
        <x:v>—</x:v>
      </x:c>
      <x:c r="F789" s="81" t="str">
        <x:v>—</x:v>
      </x:c>
      <x:c r="G789" s="81" t="str">
        <x:v>—</x:v>
      </x:c>
      <x:c r="H789" s="81" t="str">
        <x:v>—</x:v>
      </x:c>
      <x:c r="I789" s="81" t="str">
        <x:v>—</x:v>
      </x:c>
      <x:c r="J789" s="81" t="str">
        <x:v>—</x:v>
      </x:c>
      <x:c r="K789" s="81" t="str">
        <x:v>—</x:v>
      </x:c>
      <x:c r="L789" s="81" t="str">
        <x:v>—</x:v>
      </x:c>
      <x:c r="M789" s="81" t="str">
        <x:v>—</x:v>
      </x:c>
      <x:c r="N789" s="81" t="str">
        <x:v>—</x:v>
      </x:c>
      <x:c r="O789" s="81" t="str">
        <x:v>—</x:v>
      </x:c>
      <x:c r="P789" s="81" t="str">
        <x:v>—</x:v>
      </x:c>
      <x:c r="Q789" s="81" t="str">
        <x:v>—</x:v>
      </x:c>
      <x:c r="R789" s="81" t="str">
        <x:v>—</x:v>
      </x:c>
      <x:c r="S789" s="81" t="str">
        <x:v>—</x:v>
      </x:c>
      <x:c r="T789" s="81" t="str">
        <x:v>—</x:v>
      </x:c>
      <x:c r="U789" s="81" t="str">
        <x:v>—</x:v>
      </x:c>
      <x:c r="V789" s="81" t="str">
        <x:v>—</x:v>
      </x:c>
    </x:row>
    <x:row r="790">
      <x:c r="A790" s="80" t="n">
        <x:v>786</x:v>
      </x:c>
      <x:c r="B790" s="80" t="str">
        <x:v>카푸나비나</x:v>
      </x:c>
      <x:c r="C790" s="80" t="str">
        <x:v>tapulele</x:v>
      </x:c>
      <x:c r="D790" s="80" t="str">
        <x:v>해양</x:v>
      </x:c>
      <x:c r="E790" s="81" t="str">
        <x:v>—</x:v>
      </x:c>
      <x:c r="F790" s="81" t="str">
        <x:v>—</x:v>
      </x:c>
      <x:c r="G790" s="81" t="str">
        <x:v>—</x:v>
      </x:c>
      <x:c r="H790" s="81" t="str">
        <x:v>—</x:v>
      </x:c>
      <x:c r="I790" s="81" t="str">
        <x:v>—</x:v>
      </x:c>
      <x:c r="J790" s="81" t="str">
        <x:v>—</x:v>
      </x:c>
      <x:c r="K790" s="81" t="str">
        <x:v>—</x:v>
      </x:c>
      <x:c r="L790" s="81" t="str">
        <x:v>—</x:v>
      </x:c>
      <x:c r="M790" s="81" t="str">
        <x:v>—</x:v>
      </x:c>
      <x:c r="N790" s="81" t="str">
        <x:v>—</x:v>
      </x:c>
      <x:c r="O790" s="81" t="str">
        <x:v>—</x:v>
      </x:c>
      <x:c r="P790" s="81" t="str">
        <x:v>—</x:v>
      </x:c>
      <x:c r="Q790" s="81" t="str">
        <x:v>—</x:v>
      </x:c>
      <x:c r="R790" s="81" t="str">
        <x:v>—</x:v>
      </x:c>
      <x:c r="S790" s="81" t="str">
        <x:v>—</x:v>
      </x:c>
      <x:c r="T790" s="81" t="str">
        <x:v>—</x:v>
      </x:c>
      <x:c r="U790" s="81" t="str">
        <x:v>—</x:v>
      </x:c>
      <x:c r="V790" s="81" t="str">
        <x:v>—</x:v>
      </x:c>
    </x:row>
    <x:row r="791">
      <x:c r="A791" s="80" t="n">
        <x:v>787</x:v>
      </x:c>
      <x:c r="B791" s="80" t="str">
        <x:v>카푸브루루</x:v>
      </x:c>
      <x:c r="C791" s="80" t="str">
        <x:v>tapubulu</x:v>
      </x:c>
      <x:c r="D791" s="80" t="str">
        <x:v>담수</x:v>
      </x:c>
      <x:c r="E791" s="81" t="str">
        <x:v>—</x:v>
      </x:c>
      <x:c r="F791" s="81" t="str">
        <x:v>—</x:v>
      </x:c>
      <x:c r="G791" s="81" t="str">
        <x:v>—</x:v>
      </x:c>
      <x:c r="H791" s="81" t="str">
        <x:v>—</x:v>
      </x:c>
      <x:c r="I791" s="81" t="str">
        <x:v>—</x:v>
      </x:c>
      <x:c r="J791" s="81" t="str">
        <x:v>—</x:v>
      </x:c>
      <x:c r="K791" s="81" t="str">
        <x:v>—</x:v>
      </x:c>
      <x:c r="L791" s="81" t="str">
        <x:v>—</x:v>
      </x:c>
      <x:c r="M791" s="81" t="str">
        <x:v>—</x:v>
      </x:c>
      <x:c r="N791" s="81" t="str">
        <x:v>—</x:v>
      </x:c>
      <x:c r="O791" s="81" t="str">
        <x:v>—</x:v>
      </x:c>
      <x:c r="P791" s="81" t="str">
        <x:v>—</x:v>
      </x:c>
      <x:c r="Q791" s="81" t="str">
        <x:v>—</x:v>
      </x:c>
      <x:c r="R791" s="81" t="str">
        <x:v>—</x:v>
      </x:c>
      <x:c r="S791" s="81" t="str">
        <x:v>—</x:v>
      </x:c>
      <x:c r="T791" s="81" t="str">
        <x:v>—</x:v>
      </x:c>
      <x:c r="U791" s="81" t="str">
        <x:v>—</x:v>
      </x:c>
      <x:c r="V791" s="81" t="str">
        <x:v>—</x:v>
      </x:c>
    </x:row>
    <x:row r="792">
      <x:c r="A792" s="80" t="n">
        <x:v>788</x:v>
      </x:c>
      <x:c r="B792" s="80" t="str">
        <x:v>카푸느지느</x:v>
      </x:c>
      <x:c r="C792" s="80" t="str">
        <x:v>tapufini</x:v>
      </x:c>
      <x:c r="D792" s="80" t="str">
        <x:v>해양</x:v>
      </x:c>
      <x:c r="E792" s="81" t="str">
        <x:v>—</x:v>
      </x:c>
      <x:c r="F792" s="81" t="str">
        <x:v>—</x:v>
      </x:c>
      <x:c r="G792" s="81" t="str">
        <x:v>—</x:v>
      </x:c>
      <x:c r="H792" s="81" t="str">
        <x:v>—</x:v>
      </x:c>
      <x:c r="I792" s="81" t="str">
        <x:v>—</x:v>
      </x:c>
      <x:c r="J792" s="81" t="str">
        <x:v>—</x:v>
      </x:c>
      <x:c r="K792" s="81" t="str">
        <x:v>—</x:v>
      </x:c>
      <x:c r="L792" s="81" t="str">
        <x:v>—</x:v>
      </x:c>
      <x:c r="M792" s="81" t="str">
        <x:v>—</x:v>
      </x:c>
      <x:c r="N792" s="81" t="str">
        <x:v>—</x:v>
      </x:c>
      <x:c r="O792" s="81" t="str">
        <x:v>—</x:v>
      </x:c>
      <x:c r="P792" s="81" t="str">
        <x:v>—</x:v>
      </x:c>
      <x:c r="Q792" s="81" t="str">
        <x:v>—</x:v>
      </x:c>
      <x:c r="R792" s="81" t="str">
        <x:v>—</x:v>
      </x:c>
      <x:c r="S792" s="81" t="str">
        <x:v>—</x:v>
      </x:c>
      <x:c r="T792" s="81" t="str">
        <x:v>—</x:v>
      </x:c>
      <x:c r="U792" s="81" t="str">
        <x:v>—</x:v>
      </x:c>
      <x:c r="V792" s="81" t="str">
        <x:v>—</x:v>
      </x:c>
    </x:row>
    <x:row r="793">
      <x:c r="A793" s="80" t="n">
        <x:v>789</x:v>
      </x:c>
      <x:c r="B793" s="80" t="str">
        <x:v>코스모그</x:v>
      </x:c>
      <x:c r="C793" s="80" t="str">
        <x:v>cosmog</x:v>
      </x:c>
      <x:c r="D793" s="80" t="str">
        <x:v>특수</x:v>
      </x:c>
      <x:c r="E793" s="81" t="str">
        <x:v>—</x:v>
      </x:c>
      <x:c r="F793" s="81" t="str">
        <x:v>—</x:v>
      </x:c>
      <x:c r="G793" s="81" t="str">
        <x:v>—</x:v>
      </x:c>
      <x:c r="H793" s="81" t="str">
        <x:v>—</x:v>
      </x:c>
      <x:c r="I793" s="81" t="str">
        <x:v>—</x:v>
      </x:c>
      <x:c r="J793" s="81" t="str">
        <x:v>—</x:v>
      </x:c>
      <x:c r="K793" s="81" t="str">
        <x:v>—</x:v>
      </x:c>
      <x:c r="L793" s="81" t="str">
        <x:v>—</x:v>
      </x:c>
      <x:c r="M793" s="81" t="str">
        <x:v>—</x:v>
      </x:c>
      <x:c r="N793" s="81" t="str">
        <x:v>—</x:v>
      </x:c>
      <x:c r="O793" s="81" t="str">
        <x:v>—</x:v>
      </x:c>
      <x:c r="P793" s="81" t="str">
        <x:v>—</x:v>
      </x:c>
      <x:c r="Q793" s="81" t="str">
        <x:v>—</x:v>
      </x:c>
      <x:c r="R793" s="81" t="str">
        <x:v>—</x:v>
      </x:c>
      <x:c r="S793" s="81" t="str">
        <x:v>—</x:v>
      </x:c>
      <x:c r="T793" s="81" t="str">
        <x:v>—</x:v>
      </x:c>
      <x:c r="U793" s="81" t="str">
        <x:v>—</x:v>
      </x:c>
      <x:c r="V793" s="81" t="str">
        <x:v>—</x:v>
      </x:c>
    </x:row>
    <x:row r="794">
      <x:c r="A794" s="80" t="n">
        <x:v>790</x:v>
      </x:c>
      <x:c r="B794" s="80" t="str">
        <x:v>코스모움</x:v>
      </x:c>
      <x:c r="C794" s="80" t="str">
        <x:v>cosmoem</x:v>
      </x:c>
      <x:c r="D794" s="80" t="str">
        <x:v>특수</x:v>
      </x:c>
      <x:c r="E794" s="81" t="str">
        <x:v>—</x:v>
      </x:c>
      <x:c r="F794" s="81" t="str">
        <x:v>—</x:v>
      </x:c>
      <x:c r="G794" s="81" t="str">
        <x:v>—</x:v>
      </x:c>
      <x:c r="H794" s="81" t="str">
        <x:v>—</x:v>
      </x:c>
      <x:c r="I794" s="81" t="str">
        <x:v>—</x:v>
      </x:c>
      <x:c r="J794" s="81" t="str">
        <x:v>—</x:v>
      </x:c>
      <x:c r="K794" s="81" t="str">
        <x:v>—</x:v>
      </x:c>
      <x:c r="L794" s="81" t="str">
        <x:v>—</x:v>
      </x:c>
      <x:c r="M794" s="81" t="str">
        <x:v>—</x:v>
      </x:c>
      <x:c r="N794" s="81" t="str">
        <x:v>—</x:v>
      </x:c>
      <x:c r="O794" s="81" t="str">
        <x:v>—</x:v>
      </x:c>
      <x:c r="P794" s="81" t="str">
        <x:v>—</x:v>
      </x:c>
      <x:c r="Q794" s="81" t="str">
        <x:v>—</x:v>
      </x:c>
      <x:c r="R794" s="81" t="str">
        <x:v>—</x:v>
      </x:c>
      <x:c r="S794" s="81" t="str">
        <x:v>—</x:v>
      </x:c>
      <x:c r="T794" s="81" t="str">
        <x:v>—</x:v>
      </x:c>
      <x:c r="U794" s="81" t="str">
        <x:v>—</x:v>
      </x:c>
      <x:c r="V794" s="81" t="str">
        <x:v>—</x:v>
      </x:c>
    </x:row>
    <x:row r="795">
      <x:c r="A795" s="80" t="n">
        <x:v>791</x:v>
      </x:c>
      <x:c r="B795" s="80" t="str">
        <x:v>솔가레오</x:v>
      </x:c>
      <x:c r="C795" s="80" t="str">
        <x:v>solgaleo</x:v>
      </x:c>
      <x:c r="D795" s="80" t="str">
        <x:v>평원</x:v>
      </x:c>
      <x:c r="E795" s="81" t="str">
        <x:v>—</x:v>
      </x:c>
      <x:c r="F795" s="81" t="str">
        <x:v>—</x:v>
      </x:c>
      <x:c r="G795" s="81" t="str">
        <x:v>—</x:v>
      </x:c>
      <x:c r="H795" s="81" t="str">
        <x:v>—</x:v>
      </x:c>
      <x:c r="I795" s="81" t="str">
        <x:v>—</x:v>
      </x:c>
      <x:c r="J795" s="81" t="str">
        <x:v>—</x:v>
      </x:c>
      <x:c r="K795" s="81" t="str">
        <x:v>—</x:v>
      </x:c>
      <x:c r="L795" s="81" t="str">
        <x:v>—</x:v>
      </x:c>
      <x:c r="M795" s="81" t="str">
        <x:v>—</x:v>
      </x:c>
      <x:c r="N795" s="81" t="str">
        <x:v>—</x:v>
      </x:c>
      <x:c r="O795" s="81" t="str">
        <x:v>—</x:v>
      </x:c>
      <x:c r="P795" s="81" t="str">
        <x:v>—</x:v>
      </x:c>
      <x:c r="Q795" s="81" t="str">
        <x:v>—</x:v>
      </x:c>
      <x:c r="R795" s="81" t="str">
        <x:v>—</x:v>
      </x:c>
      <x:c r="S795" s="81" t="str">
        <x:v>—</x:v>
      </x:c>
      <x:c r="T795" s="81" t="str">
        <x:v>—</x:v>
      </x:c>
      <x:c r="U795" s="81" t="str">
        <x:v>—</x:v>
      </x:c>
      <x:c r="V795" s="81" t="str">
        <x:v>—</x:v>
      </x:c>
    </x:row>
    <x:row r="796">
      <x:c r="A796" s="80" t="n">
        <x:v>792</x:v>
      </x:c>
      <x:c r="B796" s="80" t="str">
        <x:v>루나아라</x:v>
      </x:c>
      <x:c r="C796" s="80" t="str">
        <x:v>lunala</x:v>
      </x:c>
      <x:c r="D796" s="80" t="str">
        <x:v>특수</x:v>
      </x:c>
      <x:c r="E796" s="81" t="str">
        <x:v>—</x:v>
      </x:c>
      <x:c r="F796" s="81" t="str">
        <x:v>—</x:v>
      </x:c>
      <x:c r="G796" s="81" t="str">
        <x:v>—</x:v>
      </x:c>
      <x:c r="H796" s="81" t="str">
        <x:v>—</x:v>
      </x:c>
      <x:c r="I796" s="81" t="str">
        <x:v>—</x:v>
      </x:c>
      <x:c r="J796" s="81" t="str">
        <x:v>—</x:v>
      </x:c>
      <x:c r="K796" s="81" t="str">
        <x:v>—</x:v>
      </x:c>
      <x:c r="L796" s="81" t="str">
        <x:v>—</x:v>
      </x:c>
      <x:c r="M796" s="81" t="str">
        <x:v>—</x:v>
      </x:c>
      <x:c r="N796" s="81" t="str">
        <x:v>—</x:v>
      </x:c>
      <x:c r="O796" s="81" t="str">
        <x:v>—</x:v>
      </x:c>
      <x:c r="P796" s="81" t="str">
        <x:v>—</x:v>
      </x:c>
      <x:c r="Q796" s="81" t="str">
        <x:v>—</x:v>
      </x:c>
      <x:c r="R796" s="81" t="str">
        <x:v>—</x:v>
      </x:c>
      <x:c r="S796" s="81" t="str">
        <x:v>—</x:v>
      </x:c>
      <x:c r="T796" s="81" t="str">
        <x:v>—</x:v>
      </x:c>
      <x:c r="U796" s="81" t="str">
        <x:v>—</x:v>
      </x:c>
      <x:c r="V796" s="81" t="str">
        <x:v>—</x:v>
      </x:c>
    </x:row>
    <x:row r="797">
      <x:c r="A797" s="80" t="n">
        <x:v>793</x:v>
      </x:c>
      <x:c r="B797" s="80" t="str">
        <x:v>텅비드</x:v>
      </x:c>
      <x:c r="C797" s="80" t="str">
        <x:v>nihilego</x:v>
      </x:c>
      <x:c r="D797" s="80" t="str">
        <x:v>해양</x:v>
      </x:c>
      <x:c r="E797" s="81" t="str">
        <x:v>—</x:v>
      </x:c>
      <x:c r="F797" s="81" t="str">
        <x:v>—</x:v>
      </x:c>
      <x:c r="G797" s="81" t="str">
        <x:v>—</x:v>
      </x:c>
      <x:c r="H797" s="81" t="str">
        <x:v>—</x:v>
      </x:c>
      <x:c r="I797" s="81" t="str">
        <x:v>—</x:v>
      </x:c>
      <x:c r="J797" s="81" t="str">
        <x:v>—</x:v>
      </x:c>
      <x:c r="K797" s="81" t="str">
        <x:v>—</x:v>
      </x:c>
      <x:c r="L797" s="81" t="str">
        <x:v>—</x:v>
      </x:c>
      <x:c r="M797" s="81" t="str">
        <x:v>—</x:v>
      </x:c>
      <x:c r="N797" s="81" t="str">
        <x:v>—</x:v>
      </x:c>
      <x:c r="O797" s="81" t="str">
        <x:v>—</x:v>
      </x:c>
      <x:c r="P797" s="81" t="str">
        <x:v>—</x:v>
      </x:c>
      <x:c r="Q797" s="81" t="str">
        <x:v>—</x:v>
      </x:c>
      <x:c r="R797" s="81" t="str">
        <x:v>—</x:v>
      </x:c>
      <x:c r="S797" s="81" t="str">
        <x:v>—</x:v>
      </x:c>
      <x:c r="T797" s="81" t="str">
        <x:v>—</x:v>
      </x:c>
      <x:c r="U797" s="81" t="str">
        <x:v>—</x:v>
      </x:c>
      <x:c r="V797" s="81" t="str">
        <x:v>—</x:v>
      </x:c>
    </x:row>
    <x:row r="798">
      <x:c r="A798" s="80" t="n">
        <x:v>794</x:v>
      </x:c>
      <x:c r="B798" s="80" t="str">
        <x:v>매시붕</x:v>
      </x:c>
      <x:c r="C798" s="80" t="str">
        <x:v>buzzwole</x:v>
      </x:c>
      <x:c r="D798" s="80" t="str">
        <x:v>숲</x:v>
      </x:c>
      <x:c r="E798" s="81" t="str">
        <x:v>—</x:v>
      </x:c>
      <x:c r="F798" s="81" t="str">
        <x:v>—</x:v>
      </x:c>
      <x:c r="G798" s="81" t="str">
        <x:v>—</x:v>
      </x:c>
      <x:c r="H798" s="81" t="str">
        <x:v>—</x:v>
      </x:c>
      <x:c r="I798" s="81" t="str">
        <x:v>—</x:v>
      </x:c>
      <x:c r="J798" s="81" t="str">
        <x:v>—</x:v>
      </x:c>
      <x:c r="K798" s="81" t="str">
        <x:v>—</x:v>
      </x:c>
      <x:c r="L798" s="81" t="str">
        <x:v>—</x:v>
      </x:c>
      <x:c r="M798" s="81" t="str">
        <x:v>—</x:v>
      </x:c>
      <x:c r="N798" s="81" t="str">
        <x:v>—</x:v>
      </x:c>
      <x:c r="O798" s="81" t="str">
        <x:v>—</x:v>
      </x:c>
      <x:c r="P798" s="81" t="str">
        <x:v>—</x:v>
      </x:c>
      <x:c r="Q798" s="81" t="str">
        <x:v>—</x:v>
      </x:c>
      <x:c r="R798" s="81" t="str">
        <x:v>—</x:v>
      </x:c>
      <x:c r="S798" s="81" t="str">
        <x:v>—</x:v>
      </x:c>
      <x:c r="T798" s="81" t="str">
        <x:v>—</x:v>
      </x:c>
      <x:c r="U798" s="81" t="str">
        <x:v>—</x:v>
      </x:c>
      <x:c r="V798" s="81" t="str">
        <x:v>—</x:v>
      </x:c>
    </x:row>
    <x:row r="799">
      <x:c r="A799" s="80" t="n">
        <x:v>795</x:v>
      </x:c>
      <x:c r="B799" s="80" t="str">
        <x:v>페로코체</x:v>
      </x:c>
      <x:c r="C799" s="80" t="str">
        <x:v>pheromosa</x:v>
      </x:c>
      <x:c r="D799" s="80" t="str">
        <x:v>숲</x:v>
      </x:c>
      <x:c r="E799" s="81" t="str">
        <x:v>—</x:v>
      </x:c>
      <x:c r="F799" s="81" t="str">
        <x:v>—</x:v>
      </x:c>
      <x:c r="G799" s="81" t="str">
        <x:v>—</x:v>
      </x:c>
      <x:c r="H799" s="81" t="str">
        <x:v>—</x:v>
      </x:c>
      <x:c r="I799" s="81" t="str">
        <x:v>—</x:v>
      </x:c>
      <x:c r="J799" s="81" t="str">
        <x:v>—</x:v>
      </x:c>
      <x:c r="K799" s="81" t="str">
        <x:v>—</x:v>
      </x:c>
      <x:c r="L799" s="81" t="str">
        <x:v>—</x:v>
      </x:c>
      <x:c r="M799" s="81" t="str">
        <x:v>—</x:v>
      </x:c>
      <x:c r="N799" s="81" t="str">
        <x:v>—</x:v>
      </x:c>
      <x:c r="O799" s="81" t="str">
        <x:v>—</x:v>
      </x:c>
      <x:c r="P799" s="81" t="str">
        <x:v>—</x:v>
      </x:c>
      <x:c r="Q799" s="81" t="str">
        <x:v>—</x:v>
      </x:c>
      <x:c r="R799" s="81" t="str">
        <x:v>—</x:v>
      </x:c>
      <x:c r="S799" s="81" t="str">
        <x:v>—</x:v>
      </x:c>
      <x:c r="T799" s="81" t="str">
        <x:v>—</x:v>
      </x:c>
      <x:c r="U799" s="81" t="str">
        <x:v>—</x:v>
      </x:c>
      <x:c r="V799" s="81" t="str">
        <x:v>—</x:v>
      </x:c>
    </x:row>
    <x:row r="800">
      <x:c r="A800" s="80" t="n">
        <x:v>796</x:v>
      </x:c>
      <x:c r="B800" s="80" t="str">
        <x:v>전수목</x:v>
      </x:c>
      <x:c r="C800" s="80" t="str">
        <x:v>xurkitree</x:v>
      </x:c>
      <x:c r="D800" s="80" t="str">
        <x:v>평원</x:v>
      </x:c>
      <x:c r="E800" s="81" t="str">
        <x:v>—</x:v>
      </x:c>
      <x:c r="F800" s="81" t="str">
        <x:v>—</x:v>
      </x:c>
      <x:c r="G800" s="81" t="str">
        <x:v>—</x:v>
      </x:c>
      <x:c r="H800" s="81" t="str">
        <x:v>—</x:v>
      </x:c>
      <x:c r="I800" s="81" t="str">
        <x:v>—</x:v>
      </x:c>
      <x:c r="J800" s="81" t="str">
        <x:v>—</x:v>
      </x:c>
      <x:c r="K800" s="81" t="str">
        <x:v>—</x:v>
      </x:c>
      <x:c r="L800" s="81" t="str">
        <x:v>—</x:v>
      </x:c>
      <x:c r="M800" s="81" t="str">
        <x:v>—</x:v>
      </x:c>
      <x:c r="N800" s="81" t="str">
        <x:v>—</x:v>
      </x:c>
      <x:c r="O800" s="81" t="str">
        <x:v>—</x:v>
      </x:c>
      <x:c r="P800" s="81" t="str">
        <x:v>—</x:v>
      </x:c>
      <x:c r="Q800" s="81" t="str">
        <x:v>—</x:v>
      </x:c>
      <x:c r="R800" s="81" t="str">
        <x:v>—</x:v>
      </x:c>
      <x:c r="S800" s="81" t="str">
        <x:v>—</x:v>
      </x:c>
      <x:c r="T800" s="81" t="str">
        <x:v>—</x:v>
      </x:c>
      <x:c r="U800" s="81" t="str">
        <x:v>—</x:v>
      </x:c>
      <x:c r="V800" s="81" t="str">
        <x:v>—</x:v>
      </x:c>
    </x:row>
    <x:row r="801">
      <x:c r="A801" s="80" t="n">
        <x:v>797</x:v>
      </x:c>
      <x:c r="B801" s="80" t="str">
        <x:v>철화구야</x:v>
      </x:c>
      <x:c r="C801" s="80" t="str">
        <x:v>celesteela</x:v>
      </x:c>
      <x:c r="D801" s="80" t="str">
        <x:v>평원</x:v>
      </x:c>
      <x:c r="E801" s="81" t="str">
        <x:v>—</x:v>
      </x:c>
      <x:c r="F801" s="81" t="str">
        <x:v>—</x:v>
      </x:c>
      <x:c r="G801" s="81" t="str">
        <x:v>—</x:v>
      </x:c>
      <x:c r="H801" s="81" t="str">
        <x:v>—</x:v>
      </x:c>
      <x:c r="I801" s="81" t="str">
        <x:v>—</x:v>
      </x:c>
      <x:c r="J801" s="81" t="str">
        <x:v>—</x:v>
      </x:c>
      <x:c r="K801" s="81" t="str">
        <x:v>—</x:v>
      </x:c>
      <x:c r="L801" s="81" t="str">
        <x:v>—</x:v>
      </x:c>
      <x:c r="M801" s="81" t="str">
        <x:v>—</x:v>
      </x:c>
      <x:c r="N801" s="81" t="str">
        <x:v>—</x:v>
      </x:c>
      <x:c r="O801" s="81" t="str">
        <x:v>—</x:v>
      </x:c>
      <x:c r="P801" s="81" t="str">
        <x:v>—</x:v>
      </x:c>
      <x:c r="Q801" s="81" t="str">
        <x:v>—</x:v>
      </x:c>
      <x:c r="R801" s="81" t="str">
        <x:v>—</x:v>
      </x:c>
      <x:c r="S801" s="81" t="str">
        <x:v>—</x:v>
      </x:c>
      <x:c r="T801" s="81" t="str">
        <x:v>—</x:v>
      </x:c>
      <x:c r="U801" s="81" t="str">
        <x:v>—</x:v>
      </x:c>
      <x:c r="V801" s="81" t="str">
        <x:v>—</x:v>
      </x:c>
    </x:row>
    <x:row r="802">
      <x:c r="A802" s="80" t="n">
        <x:v>798</x:v>
      </x:c>
      <x:c r="B802" s="80" t="str">
        <x:v>종이신도</x:v>
      </x:c>
      <x:c r="C802" s="80" t="str">
        <x:v>kartana</x:v>
      </x:c>
      <x:c r="D802" s="80" t="str">
        <x:v>숲</x:v>
      </x:c>
      <x:c r="E802" s="81" t="str">
        <x:v>—</x:v>
      </x:c>
      <x:c r="F802" s="81" t="str">
        <x:v>—</x:v>
      </x:c>
      <x:c r="G802" s="81" t="str">
        <x:v>—</x:v>
      </x:c>
      <x:c r="H802" s="81" t="str">
        <x:v>—</x:v>
      </x:c>
      <x:c r="I802" s="81" t="str">
        <x:v>—</x:v>
      </x:c>
      <x:c r="J802" s="81" t="str">
        <x:v>—</x:v>
      </x:c>
      <x:c r="K802" s="81" t="str">
        <x:v>—</x:v>
      </x:c>
      <x:c r="L802" s="81" t="str">
        <x:v>—</x:v>
      </x:c>
      <x:c r="M802" s="81" t="str">
        <x:v>—</x:v>
      </x:c>
      <x:c r="N802" s="81" t="str">
        <x:v>—</x:v>
      </x:c>
      <x:c r="O802" s="81" t="str">
        <x:v>—</x:v>
      </x:c>
      <x:c r="P802" s="81" t="str">
        <x:v>—</x:v>
      </x:c>
      <x:c r="Q802" s="81" t="str">
        <x:v>—</x:v>
      </x:c>
      <x:c r="R802" s="81" t="str">
        <x:v>—</x:v>
      </x:c>
      <x:c r="S802" s="81" t="str">
        <x:v>—</x:v>
      </x:c>
      <x:c r="T802" s="81" t="str">
        <x:v>—</x:v>
      </x:c>
      <x:c r="U802" s="81" t="str">
        <x:v>—</x:v>
      </x:c>
      <x:c r="V802" s="81" t="str">
        <x:v>—</x:v>
      </x:c>
    </x:row>
    <x:row r="803">
      <x:c r="A803" s="80" t="n">
        <x:v>799</x:v>
      </x:c>
      <x:c r="B803" s="80" t="str">
        <x:v>악식킹</x:v>
      </x:c>
      <x:c r="C803" s="80" t="str">
        <x:v>guzzlord</x:v>
      </x:c>
      <x:c r="D803" s="80" t="str">
        <x:v>특수</x:v>
      </x:c>
      <x:c r="E803" s="81" t="str">
        <x:v>—</x:v>
      </x:c>
      <x:c r="F803" s="81" t="str">
        <x:v>—</x:v>
      </x:c>
      <x:c r="G803" s="81" t="str">
        <x:v>—</x:v>
      </x:c>
      <x:c r="H803" s="81" t="str">
        <x:v>—</x:v>
      </x:c>
      <x:c r="I803" s="81" t="str">
        <x:v>—</x:v>
      </x:c>
      <x:c r="J803" s="81" t="str">
        <x:v>—</x:v>
      </x:c>
      <x:c r="K803" s="81" t="str">
        <x:v>—</x:v>
      </x:c>
      <x:c r="L803" s="81" t="str">
        <x:v>—</x:v>
      </x:c>
      <x:c r="M803" s="81" t="str">
        <x:v>—</x:v>
      </x:c>
      <x:c r="N803" s="81" t="str">
        <x:v>—</x:v>
      </x:c>
      <x:c r="O803" s="81" t="str">
        <x:v>—</x:v>
      </x:c>
      <x:c r="P803" s="81" t="str">
        <x:v>—</x:v>
      </x:c>
      <x:c r="Q803" s="81" t="str">
        <x:v>—</x:v>
      </x:c>
      <x:c r="R803" s="81" t="str">
        <x:v>—</x:v>
      </x:c>
      <x:c r="S803" s="81" t="str">
        <x:v>—</x:v>
      </x:c>
      <x:c r="T803" s="81" t="str">
        <x:v>—</x:v>
      </x:c>
      <x:c r="U803" s="81" t="str">
        <x:v>—</x:v>
      </x:c>
      <x:c r="V803" s="81" t="str">
        <x:v>—</x:v>
      </x:c>
    </x:row>
    <x:row r="804">
      <x:c r="A804" s="80" t="n">
        <x:v>800</x:v>
      </x:c>
      <x:c r="B804" s="80" t="str">
        <x:v>네크로즈마</x:v>
      </x:c>
      <x:c r="C804" s="80" t="str">
        <x:v>necrozma</x:v>
      </x:c>
      <x:c r="D804" s="80" t="str">
        <x:v>특수</x:v>
      </x:c>
      <x:c r="E804" s="81" t="str">
        <x:v>—</x:v>
      </x:c>
      <x:c r="F804" s="81" t="str">
        <x:v>—</x:v>
      </x:c>
      <x:c r="G804" s="81" t="str">
        <x:v>—</x:v>
      </x:c>
      <x:c r="H804" s="81" t="str">
        <x:v>—</x:v>
      </x:c>
      <x:c r="I804" s="81" t="str">
        <x:v>—</x:v>
      </x:c>
      <x:c r="J804" s="81" t="str">
        <x:v>—</x:v>
      </x:c>
      <x:c r="K804" s="81" t="str">
        <x:v>—</x:v>
      </x:c>
      <x:c r="L804" s="81" t="str">
        <x:v>—</x:v>
      </x:c>
      <x:c r="M804" s="81" t="str">
        <x:v>—</x:v>
      </x:c>
      <x:c r="N804" s="81" t="str">
        <x:v>—</x:v>
      </x:c>
      <x:c r="O804" s="81" t="str">
        <x:v>—</x:v>
      </x:c>
      <x:c r="P804" s="81" t="str">
        <x:v>—</x:v>
      </x:c>
      <x:c r="Q804" s="81" t="str">
        <x:v>—</x:v>
      </x:c>
      <x:c r="R804" s="81" t="str">
        <x:v>—</x:v>
      </x:c>
      <x:c r="S804" s="81" t="str">
        <x:v>—</x:v>
      </x:c>
      <x:c r="T804" s="81" t="str">
        <x:v>—</x:v>
      </x:c>
      <x:c r="U804" s="81" t="str">
        <x:v>—</x:v>
      </x:c>
      <x:c r="V804" s="81" t="str">
        <x:v>—</x:v>
      </x:c>
    </x:row>
    <x:row r="805">
      <x:c r="A805" s="80" t="n">
        <x:v>801</x:v>
      </x:c>
      <x:c r="B805" s="80" t="str">
        <x:v>마기아나</x:v>
      </x:c>
      <x:c r="C805" s="80" t="str">
        <x:v>magearna</x:v>
      </x:c>
      <x:c r="D805" s="80" t="str">
        <x:v>숲</x:v>
      </x:c>
      <x:c r="E805" s="81" t="str">
        <x:v>—</x:v>
      </x:c>
      <x:c r="F805" s="81" t="str">
        <x:v>—</x:v>
      </x:c>
      <x:c r="G805" s="81" t="str">
        <x:v>—</x:v>
      </x:c>
      <x:c r="H805" s="81" t="str">
        <x:v>—</x:v>
      </x:c>
      <x:c r="I805" s="81" t="str">
        <x:v>—</x:v>
      </x:c>
      <x:c r="J805" s="81" t="str">
        <x:v>—</x:v>
      </x:c>
      <x:c r="K805" s="81" t="str">
        <x:v>—</x:v>
      </x:c>
      <x:c r="L805" s="81" t="str">
        <x:v>—</x:v>
      </x:c>
      <x:c r="M805" s="81" t="str">
        <x:v>—</x:v>
      </x:c>
      <x:c r="N805" s="81" t="str">
        <x:v>—</x:v>
      </x:c>
      <x:c r="O805" s="81" t="str">
        <x:v>—</x:v>
      </x:c>
      <x:c r="P805" s="81" t="str">
        <x:v>—</x:v>
      </x:c>
      <x:c r="Q805" s="81" t="str">
        <x:v>—</x:v>
      </x:c>
      <x:c r="R805" s="81" t="str">
        <x:v>—</x:v>
      </x:c>
      <x:c r="S805" s="81" t="str">
        <x:v>—</x:v>
      </x:c>
      <x:c r="T805" s="81" t="str">
        <x:v>—</x:v>
      </x:c>
      <x:c r="U805" s="81" t="str">
        <x:v>—</x:v>
      </x:c>
      <x:c r="V805" s="81" t="str">
        <x:v>—</x:v>
      </x:c>
    </x:row>
    <x:row r="806">
      <x:c r="A806" s="80" t="n">
        <x:v>802</x:v>
      </x:c>
      <x:c r="B806" s="80" t="str">
        <x:v>마샤도</x:v>
      </x:c>
      <x:c r="C806" s="80" t="str">
        <x:v>marshadow</x:v>
      </x:c>
      <x:c r="D806" s="80" t="str">
        <x:v>동굴</x:v>
      </x:c>
      <x:c r="E806" s="81" t="str">
        <x:v>—</x:v>
      </x:c>
      <x:c r="F806" s="81" t="str">
        <x:v>—</x:v>
      </x:c>
      <x:c r="G806" s="81" t="str">
        <x:v>—</x:v>
      </x:c>
      <x:c r="H806" s="81" t="str">
        <x:v>—</x:v>
      </x:c>
      <x:c r="I806" s="81" t="str">
        <x:v>—</x:v>
      </x:c>
      <x:c r="J806" s="81" t="str">
        <x:v>—</x:v>
      </x:c>
      <x:c r="K806" s="81" t="str">
        <x:v>—</x:v>
      </x:c>
      <x:c r="L806" s="81" t="str">
        <x:v>—</x:v>
      </x:c>
      <x:c r="M806" s="81" t="str">
        <x:v>—</x:v>
      </x:c>
      <x:c r="N806" s="81" t="str">
        <x:v>—</x:v>
      </x:c>
      <x:c r="O806" s="81" t="str">
        <x:v>—</x:v>
      </x:c>
      <x:c r="P806" s="81" t="str">
        <x:v>—</x:v>
      </x:c>
      <x:c r="Q806" s="81" t="str">
        <x:v>—</x:v>
      </x:c>
      <x:c r="R806" s="81" t="str">
        <x:v>—</x:v>
      </x:c>
      <x:c r="S806" s="81" t="str">
        <x:v>—</x:v>
      </x:c>
      <x:c r="T806" s="81" t="str">
        <x:v>—</x:v>
      </x:c>
      <x:c r="U806" s="81" t="str">
        <x:v>—</x:v>
      </x:c>
      <x:c r="V806" s="81" t="str">
        <x:v>—</x:v>
      </x:c>
    </x:row>
    <x:row r="807">
      <x:c r="A807" s="80" t="n">
        <x:v>803</x:v>
      </x:c>
      <x:c r="B807" s="80" t="str">
        <x:v>베베놈</x:v>
      </x:c>
      <x:c r="C807" s="80" t="str">
        <x:v>poipole</x:v>
      </x:c>
      <x:c r="D807" s="80" t="str">
        <x:v>특수</x:v>
      </x:c>
      <x:c r="E807" s="81" t="str">
        <x:v>—</x:v>
      </x:c>
      <x:c r="F807" s="81" t="str">
        <x:v>—</x:v>
      </x:c>
      <x:c r="G807" s="81" t="str">
        <x:v>—</x:v>
      </x:c>
      <x:c r="H807" s="81" t="str">
        <x:v>—</x:v>
      </x:c>
      <x:c r="I807" s="81" t="str">
        <x:v>—</x:v>
      </x:c>
      <x:c r="J807" s="81" t="str">
        <x:v>—</x:v>
      </x:c>
      <x:c r="K807" s="81" t="str">
        <x:v>—</x:v>
      </x:c>
      <x:c r="L807" s="81" t="str">
        <x:v>—</x:v>
      </x:c>
      <x:c r="M807" s="81" t="str">
        <x:v>—</x:v>
      </x:c>
      <x:c r="N807" s="81" t="str">
        <x:v>—</x:v>
      </x:c>
      <x:c r="O807" s="81" t="str">
        <x:v>—</x:v>
      </x:c>
      <x:c r="P807" s="81" t="str">
        <x:v>—</x:v>
      </x:c>
      <x:c r="Q807" s="81" t="str">
        <x:v>—</x:v>
      </x:c>
      <x:c r="R807" s="81" t="str">
        <x:v>—</x:v>
      </x:c>
      <x:c r="S807" s="81" t="str">
        <x:v>—</x:v>
      </x:c>
      <x:c r="T807" s="81" t="str">
        <x:v>—</x:v>
      </x:c>
      <x:c r="U807" s="81" t="str">
        <x:v>—</x:v>
      </x:c>
      <x:c r="V807" s="81" t="str">
        <x:v>—</x:v>
      </x:c>
    </x:row>
    <x:row r="808">
      <x:c r="A808" s="80" t="n">
        <x:v>804</x:v>
      </x:c>
      <x:c r="B808" s="80" t="str">
        <x:v>아고용</x:v>
      </x:c>
      <x:c r="C808" s="80" t="str">
        <x:v>naganadel</x:v>
      </x:c>
      <x:c r="D808" s="80" t="str">
        <x:v>특수</x:v>
      </x:c>
      <x:c r="E808" s="81" t="str">
        <x:v>—</x:v>
      </x:c>
      <x:c r="F808" s="81" t="str">
        <x:v>—</x:v>
      </x:c>
      <x:c r="G808" s="81" t="str">
        <x:v>—</x:v>
      </x:c>
      <x:c r="H808" s="81" t="str">
        <x:v>—</x:v>
      </x:c>
      <x:c r="I808" s="81" t="str">
        <x:v>—</x:v>
      </x:c>
      <x:c r="J808" s="81" t="str">
        <x:v>—</x:v>
      </x:c>
      <x:c r="K808" s="81" t="str">
        <x:v>—</x:v>
      </x:c>
      <x:c r="L808" s="81" t="str">
        <x:v>—</x:v>
      </x:c>
      <x:c r="M808" s="81" t="str">
        <x:v>—</x:v>
      </x:c>
      <x:c r="N808" s="81" t="str">
        <x:v>—</x:v>
      </x:c>
      <x:c r="O808" s="81" t="str">
        <x:v>—</x:v>
      </x:c>
      <x:c r="P808" s="81" t="str">
        <x:v>—</x:v>
      </x:c>
      <x:c r="Q808" s="81" t="str">
        <x:v>—</x:v>
      </x:c>
      <x:c r="R808" s="81" t="str">
        <x:v>—</x:v>
      </x:c>
      <x:c r="S808" s="81" t="str">
        <x:v>—</x:v>
      </x:c>
      <x:c r="T808" s="81" t="str">
        <x:v>—</x:v>
      </x:c>
      <x:c r="U808" s="81" t="str">
        <x:v>—</x:v>
      </x:c>
      <x:c r="V808" s="81" t="str">
        <x:v>—</x:v>
      </x:c>
    </x:row>
    <x:row r="809">
      <x:c r="A809" s="80" t="n">
        <x:v>805</x:v>
      </x:c>
      <x:c r="B809" s="80" t="str">
        <x:v>차곡차곡</x:v>
      </x:c>
      <x:c r="C809" s="80" t="str">
        <x:v>stakataka</x:v>
      </x:c>
      <x:c r="D809" s="80" t="str">
        <x:v>동굴</x:v>
      </x:c>
      <x:c r="E809" s="81" t="str">
        <x:v>—</x:v>
      </x:c>
      <x:c r="F809" s="81" t="str">
        <x:v>—</x:v>
      </x:c>
      <x:c r="G809" s="81" t="str">
        <x:v>—</x:v>
      </x:c>
      <x:c r="H809" s="81" t="str">
        <x:v>—</x:v>
      </x:c>
      <x:c r="I809" s="81" t="str">
        <x:v>—</x:v>
      </x:c>
      <x:c r="J809" s="81" t="str">
        <x:v>—</x:v>
      </x:c>
      <x:c r="K809" s="81" t="str">
        <x:v>—</x:v>
      </x:c>
      <x:c r="L809" s="81" t="str">
        <x:v>—</x:v>
      </x:c>
      <x:c r="M809" s="81" t="str">
        <x:v>—</x:v>
      </x:c>
      <x:c r="N809" s="81" t="str">
        <x:v>—</x:v>
      </x:c>
      <x:c r="O809" s="81" t="str">
        <x:v>—</x:v>
      </x:c>
      <x:c r="P809" s="81" t="str">
        <x:v>—</x:v>
      </x:c>
      <x:c r="Q809" s="81" t="str">
        <x:v>—</x:v>
      </x:c>
      <x:c r="R809" s="81" t="str">
        <x:v>—</x:v>
      </x:c>
      <x:c r="S809" s="81" t="str">
        <x:v>—</x:v>
      </x:c>
      <x:c r="T809" s="81" t="str">
        <x:v>—</x:v>
      </x:c>
      <x:c r="U809" s="81" t="str">
        <x:v>—</x:v>
      </x:c>
      <x:c r="V809" s="81" t="str">
        <x:v>—</x:v>
      </x:c>
    </x:row>
    <x:row r="810">
      <x:c r="A810" s="80" t="n">
        <x:v>806</x:v>
      </x:c>
      <x:c r="B810" s="80" t="str">
        <x:v>두파팡</x:v>
      </x:c>
      <x:c r="C810" s="80" t="str">
        <x:v>blacephalon</x:v>
      </x:c>
      <x:c r="D810" s="80" t="str">
        <x:v>특수</x:v>
      </x:c>
      <x:c r="E810" s="81" t="str">
        <x:v>—</x:v>
      </x:c>
      <x:c r="F810" s="81" t="str">
        <x:v>—</x:v>
      </x:c>
      <x:c r="G810" s="81" t="str">
        <x:v>—</x:v>
      </x:c>
      <x:c r="H810" s="81" t="str">
        <x:v>—</x:v>
      </x:c>
      <x:c r="I810" s="81" t="str">
        <x:v>—</x:v>
      </x:c>
      <x:c r="J810" s="81" t="str">
        <x:v>—</x:v>
      </x:c>
      <x:c r="K810" s="81" t="str">
        <x:v>—</x:v>
      </x:c>
      <x:c r="L810" s="81" t="str">
        <x:v>—</x:v>
      </x:c>
      <x:c r="M810" s="81" t="str">
        <x:v>—</x:v>
      </x:c>
      <x:c r="N810" s="81" t="str">
        <x:v>—</x:v>
      </x:c>
      <x:c r="O810" s="81" t="str">
        <x:v>—</x:v>
      </x:c>
      <x:c r="P810" s="81" t="str">
        <x:v>—</x:v>
      </x:c>
      <x:c r="Q810" s="81" t="str">
        <x:v>—</x:v>
      </x:c>
      <x:c r="R810" s="81" t="str">
        <x:v>—</x:v>
      </x:c>
      <x:c r="S810" s="81" t="str">
        <x:v>—</x:v>
      </x:c>
      <x:c r="T810" s="81" t="str">
        <x:v>—</x:v>
      </x:c>
      <x:c r="U810" s="81" t="str">
        <x:v>—</x:v>
      </x:c>
      <x:c r="V810" s="81" t="str">
        <x:v>—</x:v>
      </x:c>
    </x:row>
    <x:row r="811">
      <x:c r="A811" s="80" t="n">
        <x:v>807</x:v>
      </x:c>
      <x:c r="B811" s="80" t="str">
        <x:v>제라오라</x:v>
      </x:c>
      <x:c r="C811" s="80" t="str">
        <x:v>zeraora</x:v>
      </x:c>
      <x:c r="D811" s="80" t="str">
        <x:v>건조지</x:v>
      </x:c>
      <x:c r="E811" s="81" t="str">
        <x:v>—</x:v>
      </x:c>
      <x:c r="F811" s="81" t="str">
        <x:v>—</x:v>
      </x:c>
      <x:c r="G811" s="81" t="str">
        <x:v>—</x:v>
      </x:c>
      <x:c r="H811" s="81" t="str">
        <x:v>—</x:v>
      </x:c>
      <x:c r="I811" s="81" t="str">
        <x:v>—</x:v>
      </x:c>
      <x:c r="J811" s="81" t="str">
        <x:v>—</x:v>
      </x:c>
      <x:c r="K811" s="81" t="str">
        <x:v>—</x:v>
      </x:c>
      <x:c r="L811" s="81" t="str">
        <x:v>—</x:v>
      </x:c>
      <x:c r="M811" s="81" t="str">
        <x:v>—</x:v>
      </x:c>
      <x:c r="N811" s="81" t="str">
        <x:v>—</x:v>
      </x:c>
      <x:c r="O811" s="81" t="str">
        <x:v>—</x:v>
      </x:c>
      <x:c r="P811" s="81" t="str">
        <x:v>—</x:v>
      </x:c>
      <x:c r="Q811" s="81" t="str">
        <x:v>—</x:v>
      </x:c>
      <x:c r="R811" s="81" t="str">
        <x:v>—</x:v>
      </x:c>
      <x:c r="S811" s="81" t="str">
        <x:v>—</x:v>
      </x:c>
      <x:c r="T811" s="81" t="str">
        <x:v>—</x:v>
      </x:c>
      <x:c r="U811" s="81" t="str">
        <x:v>—</x:v>
      </x:c>
      <x:c r="V811" s="81" t="str">
        <x:v>—</x:v>
      </x:c>
    </x:row>
    <x:row r="812">
      <x:c r="A812" s="80" t="n">
        <x:v>808</x:v>
      </x:c>
      <x:c r="B812" s="80" t="str">
        <x:v>멜탄</x:v>
      </x:c>
      <x:c r="C812" s="80" t="str">
        <x:v>meltan</x:v>
      </x:c>
      <x:c r="D812" s="80" t="str">
        <x:v>해양</x:v>
      </x:c>
      <x:c r="E812" s="81" t="str">
        <x:v>—</x:v>
      </x:c>
      <x:c r="F812" s="81" t="str">
        <x:v>—</x:v>
      </x:c>
      <x:c r="G812" s="81" t="str">
        <x:v>—</x:v>
      </x:c>
      <x:c r="H812" s="81" t="str">
        <x:v>—</x:v>
      </x:c>
      <x:c r="I812" s="81" t="str">
        <x:v>—</x:v>
      </x:c>
      <x:c r="J812" s="81" t="str">
        <x:v>—</x:v>
      </x:c>
      <x:c r="K812" s="81" t="str">
        <x:v>—</x:v>
      </x:c>
      <x:c r="L812" s="81" t="str">
        <x:v>—</x:v>
      </x:c>
      <x:c r="M812" s="81" t="str">
        <x:v>—</x:v>
      </x:c>
      <x:c r="N812" s="81" t="str">
        <x:v>—</x:v>
      </x:c>
      <x:c r="O812" s="81" t="str">
        <x:v>—</x:v>
      </x:c>
      <x:c r="P812" s="81" t="str">
        <x:v>—</x:v>
      </x:c>
      <x:c r="Q812" s="81" t="str">
        <x:v>—</x:v>
      </x:c>
      <x:c r="R812" s="81" t="str">
        <x:v>—</x:v>
      </x:c>
      <x:c r="S812" s="81" t="str">
        <x:v>—</x:v>
      </x:c>
      <x:c r="T812" s="81" t="str">
        <x:v>—</x:v>
      </x:c>
      <x:c r="U812" s="81" t="str">
        <x:v>—</x:v>
      </x:c>
      <x:c r="V812" s="81" t="str">
        <x:v>—</x:v>
      </x:c>
    </x:row>
    <x:row r="813">
      <x:c r="A813" s="80" t="n">
        <x:v>809</x:v>
      </x:c>
      <x:c r="B813" s="80" t="str">
        <x:v>멜메탈</x:v>
      </x:c>
      <x:c r="C813" s="80" t="str">
        <x:v>melmetal</x:v>
      </x:c>
      <x:c r="D813" s="80" t="str">
        <x:v>도시</x:v>
      </x:c>
      <x:c r="E813" s="81" t="str">
        <x:v>—</x:v>
      </x:c>
      <x:c r="F813" s="81" t="str">
        <x:v>—</x:v>
      </x:c>
      <x:c r="G813" s="81" t="str">
        <x:v>—</x:v>
      </x:c>
      <x:c r="H813" s="81" t="str">
        <x:v>—</x:v>
      </x:c>
      <x:c r="I813" s="81" t="str">
        <x:v>—</x:v>
      </x:c>
      <x:c r="J813" s="81" t="str">
        <x:v>—</x:v>
      </x:c>
      <x:c r="K813" s="81" t="str">
        <x:v>—</x:v>
      </x:c>
      <x:c r="L813" s="81" t="str">
        <x:v>—</x:v>
      </x:c>
      <x:c r="M813" s="81" t="str">
        <x:v>—</x:v>
      </x:c>
      <x:c r="N813" s="81" t="str">
        <x:v>—</x:v>
      </x:c>
      <x:c r="O813" s="81" t="str">
        <x:v>—</x:v>
      </x:c>
      <x:c r="P813" s="81" t="str">
        <x:v>—</x:v>
      </x:c>
      <x:c r="Q813" s="81" t="str">
        <x:v>—</x:v>
      </x:c>
      <x:c r="R813" s="81" t="str">
        <x:v>—</x:v>
      </x:c>
      <x:c r="S813" s="81" t="str">
        <x:v>—</x:v>
      </x:c>
      <x:c r="T813" s="81" t="str">
        <x:v>—</x:v>
      </x:c>
      <x:c r="U813" s="81" t="str">
        <x:v>—</x:v>
      </x:c>
      <x:c r="V813" s="81" t="str">
        <x:v>—</x:v>
      </x:c>
    </x:row>
    <x:row r="814">
      <x:c r="A814" s="80" t="n">
        <x:v>810</x:v>
      </x:c>
      <x:c r="B814" s="80" t="str">
        <x:v>흥나숭</x:v>
      </x:c>
      <x:c r="C814" s="80" t="str">
        <x:v>grookey</x:v>
      </x:c>
      <x:c r="D814" s="80" t="str">
        <x:v>숲</x:v>
      </x:c>
      <x:c r="E814" s="81" t="str">
        <x:v>—</x:v>
      </x:c>
      <x:c r="F814" s="81" t="str">
        <x:v>—</x:v>
      </x:c>
      <x:c r="G814" s="81" t="str">
        <x:v>—</x:v>
      </x:c>
      <x:c r="H814" s="81" t="str">
        <x:v>—</x:v>
      </x:c>
      <x:c r="I814" s="81" t="str">
        <x:v>—</x:v>
      </x:c>
      <x:c r="J814" s="81" t="str">
        <x:v>—</x:v>
      </x:c>
      <x:c r="K814" s="81" t="str">
        <x:v>—</x:v>
      </x:c>
      <x:c r="L814" s="81" t="str">
        <x:v>—</x:v>
      </x:c>
      <x:c r="M814" s="81" t="str">
        <x:v>—</x:v>
      </x:c>
      <x:c r="N814" s="81" t="str">
        <x:v>—</x:v>
      </x:c>
      <x:c r="O814" s="81" t="str">
        <x:v>—</x:v>
      </x:c>
      <x:c r="P814" s="81" t="str">
        <x:v>—</x:v>
      </x:c>
      <x:c r="Q814" s="81" t="str">
        <x:v>—</x:v>
      </x:c>
      <x:c r="R814" s="81" t="str">
        <x:v>—</x:v>
      </x:c>
      <x:c r="S814" s="81" t="str">
        <x:v>숲6</x:v>
      </x:c>
      <x:c r="T814" s="81" t="str">
        <x:v>평원6</x:v>
      </x:c>
      <x:c r="U814" s="81" t="str">
        <x:v>숲6</x:v>
      </x:c>
      <x:c r="V814" s="81" t="str">
        <x:v>평원6</x:v>
      </x:c>
    </x:row>
    <x:row r="815">
      <x:c r="A815" s="80" t="n">
        <x:v>811</x:v>
      </x:c>
      <x:c r="B815" s="80" t="str">
        <x:v>채키몽</x:v>
      </x:c>
      <x:c r="C815" s="80" t="str">
        <x:v>thwackey</x:v>
      </x:c>
      <x:c r="D815" s="80" t="str">
        <x:v>숲</x:v>
      </x:c>
      <x:c r="E815" s="81" t="str">
        <x:v>—</x:v>
      </x:c>
      <x:c r="F815" s="81" t="str">
        <x:v>—</x:v>
      </x:c>
      <x:c r="G815" s="81" t="str">
        <x:v>—</x:v>
      </x:c>
      <x:c r="H815" s="81" t="str">
        <x:v>—</x:v>
      </x:c>
      <x:c r="I815" s="81" t="str">
        <x:v>—</x:v>
      </x:c>
      <x:c r="J815" s="81" t="str">
        <x:v>—</x:v>
      </x:c>
      <x:c r="K815" s="81" t="str">
        <x:v>—</x:v>
      </x:c>
      <x:c r="L815" s="81" t="str">
        <x:v>—</x:v>
      </x:c>
      <x:c r="M815" s="81" t="str">
        <x:v>—</x:v>
      </x:c>
      <x:c r="N815" s="81" t="str">
        <x:v>—</x:v>
      </x:c>
      <x:c r="O815" s="81" t="str">
        <x:v>—</x:v>
      </x:c>
      <x:c r="P815" s="81" t="str">
        <x:v>—</x:v>
      </x:c>
      <x:c r="Q815" s="81" t="str">
        <x:v>—</x:v>
      </x:c>
      <x:c r="R815" s="81" t="str">
        <x:v>—</x:v>
      </x:c>
      <x:c r="S815" s="81" t="str">
        <x:v>숲6</x:v>
      </x:c>
      <x:c r="T815" s="81" t="str">
        <x:v>평원6</x:v>
      </x:c>
      <x:c r="U815" s="81" t="str">
        <x:v>숲6</x:v>
      </x:c>
      <x:c r="V815" s="81" t="str">
        <x:v>평원6</x:v>
      </x:c>
    </x:row>
    <x:row r="816">
      <x:c r="A816" s="80" t="n">
        <x:v>812</x:v>
      </x:c>
      <x:c r="B816" s="80" t="str">
        <x:v>고릴타</x:v>
      </x:c>
      <x:c r="C816" s="80" t="str">
        <x:v>rillaboom</x:v>
      </x:c>
      <x:c r="D816" s="80" t="str">
        <x:v>숲</x:v>
      </x:c>
      <x:c r="E816" s="81" t="str">
        <x:v>—</x:v>
      </x:c>
      <x:c r="F816" s="81" t="str">
        <x:v>—</x:v>
      </x:c>
      <x:c r="G816" s="81" t="str">
        <x:v>—</x:v>
      </x:c>
      <x:c r="H816" s="81" t="str">
        <x:v>—</x:v>
      </x:c>
      <x:c r="I816" s="81" t="str">
        <x:v>—</x:v>
      </x:c>
      <x:c r="J816" s="81" t="str">
        <x:v>—</x:v>
      </x:c>
      <x:c r="K816" s="81" t="str">
        <x:v>—</x:v>
      </x:c>
      <x:c r="L816" s="81" t="str">
        <x:v>—</x:v>
      </x:c>
      <x:c r="M816" s="81" t="str">
        <x:v>—</x:v>
      </x:c>
      <x:c r="N816" s="81" t="str">
        <x:v>—</x:v>
      </x:c>
      <x:c r="O816" s="81" t="str">
        <x:v>—</x:v>
      </x:c>
      <x:c r="P816" s="81" t="str">
        <x:v>—</x:v>
      </x:c>
      <x:c r="Q816" s="81" t="str">
        <x:v>—</x:v>
      </x:c>
      <x:c r="R816" s="81" t="str">
        <x:v>—</x:v>
      </x:c>
      <x:c r="S816" s="81" t="str">
        <x:v>숲6</x:v>
      </x:c>
      <x:c r="T816" s="81" t="str">
        <x:v>평원6</x:v>
      </x:c>
      <x:c r="U816" s="81" t="str">
        <x:v>숲6</x:v>
      </x:c>
      <x:c r="V816" s="81" t="str">
        <x:v>평원6</x:v>
      </x:c>
    </x:row>
    <x:row r="817">
      <x:c r="A817" s="80" t="n">
        <x:v>813</x:v>
      </x:c>
      <x:c r="B817" s="80" t="str">
        <x:v>염버니</x:v>
      </x:c>
      <x:c r="C817" s="80" t="str">
        <x:v>scorbunny</x:v>
      </x:c>
      <x:c r="D817" s="80" t="str">
        <x:v>평원</x:v>
      </x:c>
      <x:c r="E817" s="81" t="str">
        <x:v>—</x:v>
      </x:c>
      <x:c r="F817" s="81" t="str">
        <x:v>—</x:v>
      </x:c>
      <x:c r="G817" s="81" t="str">
        <x:v>—</x:v>
      </x:c>
      <x:c r="H817" s="81" t="str">
        <x:v>—</x:v>
      </x:c>
      <x:c r="I817" s="81" t="str">
        <x:v>—</x:v>
      </x:c>
      <x:c r="J817" s="81" t="str">
        <x:v>—</x:v>
      </x:c>
      <x:c r="K817" s="81" t="str">
        <x:v>—</x:v>
      </x:c>
      <x:c r="L817" s="81" t="str">
        <x:v>—</x:v>
      </x:c>
      <x:c r="M817" s="81" t="str">
        <x:v>—</x:v>
      </x:c>
      <x:c r="N817" s="81" t="str">
        <x:v>—</x:v>
      </x:c>
      <x:c r="O817" s="81" t="str">
        <x:v>—</x:v>
      </x:c>
      <x:c r="P817" s="81" t="str">
        <x:v>—</x:v>
      </x:c>
      <x:c r="Q817" s="81" t="str">
        <x:v>—</x:v>
      </x:c>
      <x:c r="R817" s="81" t="str">
        <x:v>—</x:v>
      </x:c>
      <x:c r="S817" s="81" t="str">
        <x:v>평원6</x:v>
      </x:c>
      <x:c r="T817" s="81" t="str">
        <x:v>화산2</x:v>
      </x:c>
      <x:c r="U817" s="81" t="str">
        <x:v>평원6</x:v>
      </x:c>
      <x:c r="V817" s="81" t="str">
        <x:v>화산2</x:v>
      </x:c>
    </x:row>
    <x:row r="818">
      <x:c r="A818" s="80" t="n">
        <x:v>814</x:v>
      </x:c>
      <x:c r="B818" s="80" t="str">
        <x:v>래비풋</x:v>
      </x:c>
      <x:c r="C818" s="80" t="str">
        <x:v>raboot</x:v>
      </x:c>
      <x:c r="D818" s="80" t="str">
        <x:v>평원</x:v>
      </x:c>
      <x:c r="E818" s="81" t="str">
        <x:v>—</x:v>
      </x:c>
      <x:c r="F818" s="81" t="str">
        <x:v>—</x:v>
      </x:c>
      <x:c r="G818" s="81" t="str">
        <x:v>—</x:v>
      </x:c>
      <x:c r="H818" s="81" t="str">
        <x:v>—</x:v>
      </x:c>
      <x:c r="I818" s="81" t="str">
        <x:v>—</x:v>
      </x:c>
      <x:c r="J818" s="81" t="str">
        <x:v>—</x:v>
      </x:c>
      <x:c r="K818" s="81" t="str">
        <x:v>—</x:v>
      </x:c>
      <x:c r="L818" s="81" t="str">
        <x:v>—</x:v>
      </x:c>
      <x:c r="M818" s="81" t="str">
        <x:v>—</x:v>
      </x:c>
      <x:c r="N818" s="81" t="str">
        <x:v>—</x:v>
      </x:c>
      <x:c r="O818" s="81" t="str">
        <x:v>—</x:v>
      </x:c>
      <x:c r="P818" s="81" t="str">
        <x:v>—</x:v>
      </x:c>
      <x:c r="Q818" s="81" t="str">
        <x:v>—</x:v>
      </x:c>
      <x:c r="R818" s="81" t="str">
        <x:v>—</x:v>
      </x:c>
      <x:c r="S818" s="81" t="str">
        <x:v>평원6</x:v>
      </x:c>
      <x:c r="T818" s="81" t="str">
        <x:v>화산2</x:v>
      </x:c>
      <x:c r="U818" s="81" t="str">
        <x:v>평원6</x:v>
      </x:c>
      <x:c r="V818" s="81" t="str">
        <x:v>화산2</x:v>
      </x:c>
    </x:row>
    <x:row r="819">
      <x:c r="A819" s="80" t="n">
        <x:v>815</x:v>
      </x:c>
      <x:c r="B819" s="80" t="str">
        <x:v>에이스번</x:v>
      </x:c>
      <x:c r="C819" s="80" t="str">
        <x:v>cinderace</x:v>
      </x:c>
      <x:c r="D819" s="80" t="str">
        <x:v>평원</x:v>
      </x:c>
      <x:c r="E819" s="81" t="str">
        <x:v>—</x:v>
      </x:c>
      <x:c r="F819" s="81" t="str">
        <x:v>—</x:v>
      </x:c>
      <x:c r="G819" s="81" t="str">
        <x:v>—</x:v>
      </x:c>
      <x:c r="H819" s="81" t="str">
        <x:v>—</x:v>
      </x:c>
      <x:c r="I819" s="81" t="str">
        <x:v>—</x:v>
      </x:c>
      <x:c r="J819" s="81" t="str">
        <x:v>—</x:v>
      </x:c>
      <x:c r="K819" s="81" t="str">
        <x:v>—</x:v>
      </x:c>
      <x:c r="L819" s="81" t="str">
        <x:v>—</x:v>
      </x:c>
      <x:c r="M819" s="81" t="str">
        <x:v>—</x:v>
      </x:c>
      <x:c r="N819" s="81" t="str">
        <x:v>—</x:v>
      </x:c>
      <x:c r="O819" s="81" t="str">
        <x:v>—</x:v>
      </x:c>
      <x:c r="P819" s="81" t="str">
        <x:v>—</x:v>
      </x:c>
      <x:c r="Q819" s="81" t="str">
        <x:v>—</x:v>
      </x:c>
      <x:c r="R819" s="81" t="str">
        <x:v>—</x:v>
      </x:c>
      <x:c r="S819" s="81" t="str">
        <x:v>평원6</x:v>
      </x:c>
      <x:c r="T819" s="81" t="str">
        <x:v>화산2</x:v>
      </x:c>
      <x:c r="U819" s="81" t="str">
        <x:v>평원6</x:v>
      </x:c>
      <x:c r="V819" s="81" t="str">
        <x:v>화산3</x:v>
      </x:c>
    </x:row>
    <x:row r="820">
      <x:c r="A820" s="80" t="n">
        <x:v>816</x:v>
      </x:c>
      <x:c r="B820" s="80" t="str">
        <x:v>울머기</x:v>
      </x:c>
      <x:c r="C820" s="80" t="str">
        <x:v>sobble</x:v>
      </x:c>
      <x:c r="D820" s="80" t="str">
        <x:v>습지</x:v>
      </x:c>
      <x:c r="E820" s="81" t="str">
        <x:v>—</x:v>
      </x:c>
      <x:c r="F820" s="81" t="str">
        <x:v>—</x:v>
      </x:c>
      <x:c r="G820" s="81" t="str">
        <x:v>—</x:v>
      </x:c>
      <x:c r="H820" s="81" t="str">
        <x:v>—</x:v>
      </x:c>
      <x:c r="I820" s="81" t="str">
        <x:v>—</x:v>
      </x:c>
      <x:c r="J820" s="81" t="str">
        <x:v>—</x:v>
      </x:c>
      <x:c r="K820" s="81" t="str">
        <x:v>—</x:v>
      </x:c>
      <x:c r="L820" s="81" t="str">
        <x:v>—</x:v>
      </x:c>
      <x:c r="M820" s="81" t="str">
        <x:v>—</x:v>
      </x:c>
      <x:c r="N820" s="81" t="str">
        <x:v>—</x:v>
      </x:c>
      <x:c r="O820" s="81" t="str">
        <x:v>—</x:v>
      </x:c>
      <x:c r="P820" s="81" t="str">
        <x:v>—</x:v>
      </x:c>
      <x:c r="Q820" s="81" t="str">
        <x:v>—</x:v>
      </x:c>
      <x:c r="R820" s="81" t="str">
        <x:v>—</x:v>
      </x:c>
      <x:c r="S820" s="81" t="str">
        <x:v>습지3</x:v>
      </x:c>
      <x:c r="T820" s="81" t="str">
        <x:v>담수3</x:v>
      </x:c>
      <x:c r="U820" s="81" t="str">
        <x:v>습지3</x:v>
      </x:c>
      <x:c r="V820" s="81" t="str">
        <x:v>담수3</x:v>
      </x:c>
    </x:row>
    <x:row r="821">
      <x:c r="A821" s="80" t="n">
        <x:v>817</x:v>
      </x:c>
      <x:c r="B821" s="80" t="str">
        <x:v>누겔레온</x:v>
      </x:c>
      <x:c r="C821" s="80" t="str">
        <x:v>drizzile</x:v>
      </x:c>
      <x:c r="D821" s="80" t="str">
        <x:v>습지</x:v>
      </x:c>
      <x:c r="E821" s="81" t="str">
        <x:v>—</x:v>
      </x:c>
      <x:c r="F821" s="81" t="str">
        <x:v>—</x:v>
      </x:c>
      <x:c r="G821" s="81" t="str">
        <x:v>—</x:v>
      </x:c>
      <x:c r="H821" s="81" t="str">
        <x:v>—</x:v>
      </x:c>
      <x:c r="I821" s="81" t="str">
        <x:v>—</x:v>
      </x:c>
      <x:c r="J821" s="81" t="str">
        <x:v>—</x:v>
      </x:c>
      <x:c r="K821" s="81" t="str">
        <x:v>—</x:v>
      </x:c>
      <x:c r="L821" s="81" t="str">
        <x:v>—</x:v>
      </x:c>
      <x:c r="M821" s="81" t="str">
        <x:v>—</x:v>
      </x:c>
      <x:c r="N821" s="81" t="str">
        <x:v>—</x:v>
      </x:c>
      <x:c r="O821" s="81" t="str">
        <x:v>—</x:v>
      </x:c>
      <x:c r="P821" s="81" t="str">
        <x:v>—</x:v>
      </x:c>
      <x:c r="Q821" s="81" t="str">
        <x:v>—</x:v>
      </x:c>
      <x:c r="R821" s="81" t="str">
        <x:v>—</x:v>
      </x:c>
      <x:c r="S821" s="81" t="str">
        <x:v>습지3</x:v>
      </x:c>
      <x:c r="T821" s="81" t="str">
        <x:v>담수3</x:v>
      </x:c>
      <x:c r="U821" s="81" t="str">
        <x:v>습지3</x:v>
      </x:c>
      <x:c r="V821" s="81" t="str">
        <x:v>담수3</x:v>
      </x:c>
    </x:row>
    <x:row r="822">
      <x:c r="A822" s="80" t="n">
        <x:v>818</x:v>
      </x:c>
      <x:c r="B822" s="80" t="str">
        <x:v>인텔리레온</x:v>
      </x:c>
      <x:c r="C822" s="80" t="str">
        <x:v>inteleon</x:v>
      </x:c>
      <x:c r="D822" s="80" t="str">
        <x:v>습지</x:v>
      </x:c>
      <x:c r="E822" s="81" t="str">
        <x:v>—</x:v>
      </x:c>
      <x:c r="F822" s="81" t="str">
        <x:v>—</x:v>
      </x:c>
      <x:c r="G822" s="81" t="str">
        <x:v>—</x:v>
      </x:c>
      <x:c r="H822" s="81" t="str">
        <x:v>—</x:v>
      </x:c>
      <x:c r="I822" s="81" t="str">
        <x:v>—</x:v>
      </x:c>
      <x:c r="J822" s="81" t="str">
        <x:v>—</x:v>
      </x:c>
      <x:c r="K822" s="81" t="str">
        <x:v>—</x:v>
      </x:c>
      <x:c r="L822" s="81" t="str">
        <x:v>—</x:v>
      </x:c>
      <x:c r="M822" s="81" t="str">
        <x:v>—</x:v>
      </x:c>
      <x:c r="N822" s="81" t="str">
        <x:v>—</x:v>
      </x:c>
      <x:c r="O822" s="81" t="str">
        <x:v>—</x:v>
      </x:c>
      <x:c r="P822" s="81" t="str">
        <x:v>—</x:v>
      </x:c>
      <x:c r="Q822" s="81" t="str">
        <x:v>—</x:v>
      </x:c>
      <x:c r="R822" s="81" t="str">
        <x:v>—</x:v>
      </x:c>
      <x:c r="S822" s="81" t="str">
        <x:v>습지3</x:v>
      </x:c>
      <x:c r="T822" s="81" t="str">
        <x:v>담수3</x:v>
      </x:c>
      <x:c r="U822" s="81" t="str">
        <x:v>습지3</x:v>
      </x:c>
      <x:c r="V822" s="81" t="str">
        <x:v>담수3</x:v>
      </x:c>
    </x:row>
    <x:row r="823">
      <x:c r="A823" s="80" t="n">
        <x:v>819</x:v>
      </x:c>
      <x:c r="B823" s="80" t="str">
        <x:v>탐리스</x:v>
      </x:c>
      <x:c r="C823" s="80" t="str">
        <x:v>skwovet</x:v>
      </x:c>
      <x:c r="D823" s="80" t="str">
        <x:v>숲</x:v>
      </x:c>
      <x:c r="E823" s="81" t="str">
        <x:v>—</x:v>
      </x:c>
      <x:c r="F823" s="81" t="str">
        <x:v>—</x:v>
      </x:c>
      <x:c r="G823" s="81" t="str">
        <x:v>—</x:v>
      </x:c>
      <x:c r="H823" s="81" t="str">
        <x:v>—</x:v>
      </x:c>
      <x:c r="I823" s="81" t="str">
        <x:v>—</x:v>
      </x:c>
      <x:c r="J823" s="81" t="str">
        <x:v>—</x:v>
      </x:c>
      <x:c r="K823" s="81" t="str">
        <x:v>—</x:v>
      </x:c>
      <x:c r="L823" s="81" t="str">
        <x:v>—</x:v>
      </x:c>
      <x:c r="M823" s="81" t="str">
        <x:v>—</x:v>
      </x:c>
      <x:c r="N823" s="81" t="str">
        <x:v>—</x:v>
      </x:c>
      <x:c r="O823" s="81" t="str">
        <x:v>—</x:v>
      </x:c>
      <x:c r="P823" s="81" t="str">
        <x:v>—</x:v>
      </x:c>
      <x:c r="Q823" s="81" t="str">
        <x:v>—</x:v>
      </x:c>
      <x:c r="R823" s="81" t="str">
        <x:v>—</x:v>
      </x:c>
      <x:c r="S823" s="81" t="str">
        <x:v>숲6</x:v>
      </x:c>
      <x:c r="T823" s="81" t="str">
        <x:v>평원6</x:v>
      </x:c>
      <x:c r="U823" s="81" t="str">
        <x:v>숲6</x:v>
      </x:c>
      <x:c r="V823" s="81" t="str">
        <x:v>평원6</x:v>
      </x:c>
    </x:row>
    <x:row r="824">
      <x:c r="A824" s="80" t="n">
        <x:v>820</x:v>
      </x:c>
      <x:c r="B824" s="80" t="str">
        <x:v>요씽리스</x:v>
      </x:c>
      <x:c r="C824" s="80" t="str">
        <x:v>greedent</x:v>
      </x:c>
      <x:c r="D824" s="80" t="str">
        <x:v>숲</x:v>
      </x:c>
      <x:c r="E824" s="81" t="str">
        <x:v>—</x:v>
      </x:c>
      <x:c r="F824" s="81" t="str">
        <x:v>—</x:v>
      </x:c>
      <x:c r="G824" s="81" t="str">
        <x:v>—</x:v>
      </x:c>
      <x:c r="H824" s="81" t="str">
        <x:v>—</x:v>
      </x:c>
      <x:c r="I824" s="81" t="str">
        <x:v>—</x:v>
      </x:c>
      <x:c r="J824" s="81" t="str">
        <x:v>—</x:v>
      </x:c>
      <x:c r="K824" s="81" t="str">
        <x:v>—</x:v>
      </x:c>
      <x:c r="L824" s="81" t="str">
        <x:v>—</x:v>
      </x:c>
      <x:c r="M824" s="81" t="str">
        <x:v>—</x:v>
      </x:c>
      <x:c r="N824" s="81" t="str">
        <x:v>—</x:v>
      </x:c>
      <x:c r="O824" s="81" t="str">
        <x:v>—</x:v>
      </x:c>
      <x:c r="P824" s="81" t="str">
        <x:v>—</x:v>
      </x:c>
      <x:c r="Q824" s="81" t="str">
        <x:v>—</x:v>
      </x:c>
      <x:c r="R824" s="81" t="str">
        <x:v>—</x:v>
      </x:c>
      <x:c r="S824" s="81" t="str">
        <x:v>숲6</x:v>
      </x:c>
      <x:c r="T824" s="81" t="str">
        <x:v>평원6</x:v>
      </x:c>
      <x:c r="U824" s="81" t="str">
        <x:v>숲6</x:v>
      </x:c>
      <x:c r="V824" s="81" t="str">
        <x:v>평원6</x:v>
      </x:c>
    </x:row>
    <x:row r="825">
      <x:c r="A825" s="80" t="n">
        <x:v>821</x:v>
      </x:c>
      <x:c r="B825" s="80" t="str">
        <x:v>파라꼬</x:v>
      </x:c>
      <x:c r="C825" s="80" t="str">
        <x:v>rookidee</x:v>
      </x:c>
      <x:c r="D825" s="80" t="str">
        <x:v>특수</x:v>
      </x:c>
      <x:c r="E825" s="81" t="str">
        <x:v>—</x:v>
      </x:c>
      <x:c r="F825" s="81" t="str">
        <x:v>—</x:v>
      </x:c>
      <x:c r="G825" s="81" t="str">
        <x:v>—</x:v>
      </x:c>
      <x:c r="H825" s="81" t="str">
        <x:v>—</x:v>
      </x:c>
      <x:c r="I825" s="81" t="str">
        <x:v>—</x:v>
      </x:c>
      <x:c r="J825" s="81" t="str">
        <x:v>—</x:v>
      </x:c>
      <x:c r="K825" s="81" t="str">
        <x:v>—</x:v>
      </x:c>
      <x:c r="L825" s="81" t="str">
        <x:v>—</x:v>
      </x:c>
      <x:c r="M825" s="81" t="str">
        <x:v>—</x:v>
      </x:c>
      <x:c r="N825" s="81" t="str">
        <x:v>—</x:v>
      </x:c>
      <x:c r="O825" s="81" t="str">
        <x:v>—</x:v>
      </x:c>
      <x:c r="P825" s="81" t="str">
        <x:v>—</x:v>
      </x:c>
      <x:c r="Q825" s="81" t="str">
        <x:v>—</x:v>
      </x:c>
      <x:c r="R825" s="81" t="str">
        <x:v>—</x:v>
      </x:c>
      <x:c r="S825" s="81" t="str">
        <x:v>특수2</x:v>
      </x:c>
      <x:c r="T825" s="81" t="str">
        <x:v>산악4</x:v>
      </x:c>
      <x:c r="U825" s="81" t="str">
        <x:v>특수2</x:v>
      </x:c>
      <x:c r="V825" s="81" t="str">
        <x:v>산악4</x:v>
      </x:c>
    </x:row>
    <x:row r="826">
      <x:c r="A826" s="80" t="n">
        <x:v>822</x:v>
      </x:c>
      <x:c r="B826" s="80" t="str">
        <x:v>파크로우</x:v>
      </x:c>
      <x:c r="C826" s="80" t="str">
        <x:v>corvisquire</x:v>
      </x:c>
      <x:c r="D826" s="80" t="str">
        <x:v>특수</x:v>
      </x:c>
      <x:c r="E826" s="81" t="str">
        <x:v>—</x:v>
      </x:c>
      <x:c r="F826" s="81" t="str">
        <x:v>—</x:v>
      </x:c>
      <x:c r="G826" s="81" t="str">
        <x:v>—</x:v>
      </x:c>
      <x:c r="H826" s="81" t="str">
        <x:v>—</x:v>
      </x:c>
      <x:c r="I826" s="81" t="str">
        <x:v>—</x:v>
      </x:c>
      <x:c r="J826" s="81" t="str">
        <x:v>—</x:v>
      </x:c>
      <x:c r="K826" s="81" t="str">
        <x:v>—</x:v>
      </x:c>
      <x:c r="L826" s="81" t="str">
        <x:v>—</x:v>
      </x:c>
      <x:c r="M826" s="81" t="str">
        <x:v>—</x:v>
      </x:c>
      <x:c r="N826" s="81" t="str">
        <x:v>—</x:v>
      </x:c>
      <x:c r="O826" s="81" t="str">
        <x:v>—</x:v>
      </x:c>
      <x:c r="P826" s="81" t="str">
        <x:v>—</x:v>
      </x:c>
      <x:c r="Q826" s="81" t="str">
        <x:v>—</x:v>
      </x:c>
      <x:c r="R826" s="81" t="str">
        <x:v>—</x:v>
      </x:c>
      <x:c r="S826" s="81" t="str">
        <x:v>특수2</x:v>
      </x:c>
      <x:c r="T826" s="81" t="str">
        <x:v>산악4</x:v>
      </x:c>
      <x:c r="U826" s="81" t="str">
        <x:v>특수2</x:v>
      </x:c>
      <x:c r="V826" s="81" t="str">
        <x:v>산악4</x:v>
      </x:c>
    </x:row>
    <x:row r="827">
      <x:c r="A827" s="80" t="n">
        <x:v>823</x:v>
      </x:c>
      <x:c r="B827" s="80" t="str">
        <x:v>아머까오</x:v>
      </x:c>
      <x:c r="C827" s="80" t="str">
        <x:v>corviknight</x:v>
      </x:c>
      <x:c r="D827" s="80" t="str">
        <x:v>특수</x:v>
      </x:c>
      <x:c r="E827" s="81" t="str">
        <x:v>—</x:v>
      </x:c>
      <x:c r="F827" s="81" t="str">
        <x:v>—</x:v>
      </x:c>
      <x:c r="G827" s="81" t="str">
        <x:v>—</x:v>
      </x:c>
      <x:c r="H827" s="81" t="str">
        <x:v>—</x:v>
      </x:c>
      <x:c r="I827" s="81" t="str">
        <x:v>—</x:v>
      </x:c>
      <x:c r="J827" s="81" t="str">
        <x:v>—</x:v>
      </x:c>
      <x:c r="K827" s="81" t="str">
        <x:v>—</x:v>
      </x:c>
      <x:c r="L827" s="81" t="str">
        <x:v>—</x:v>
      </x:c>
      <x:c r="M827" s="81" t="str">
        <x:v>—</x:v>
      </x:c>
      <x:c r="N827" s="81" t="str">
        <x:v>—</x:v>
      </x:c>
      <x:c r="O827" s="81" t="str">
        <x:v>—</x:v>
      </x:c>
      <x:c r="P827" s="81" t="str">
        <x:v>—</x:v>
      </x:c>
      <x:c r="Q827" s="81" t="str">
        <x:v>—</x:v>
      </x:c>
      <x:c r="R827" s="81" t="str">
        <x:v>—</x:v>
      </x:c>
      <x:c r="S827" s="81" t="str">
        <x:v>특수2</x:v>
      </x:c>
      <x:c r="T827" s="81" t="str">
        <x:v>산악4</x:v>
      </x:c>
      <x:c r="U827" s="81" t="str">
        <x:v>특수2</x:v>
      </x:c>
      <x:c r="V827" s="81" t="str">
        <x:v>산악4</x:v>
      </x:c>
    </x:row>
    <x:row r="828">
      <x:c r="A828" s="80" t="n">
        <x:v>824</x:v>
      </x:c>
      <x:c r="B828" s="80" t="str">
        <x:v>두루지벌레</x:v>
      </x:c>
      <x:c r="C828" s="80" t="str">
        <x:v>blipbug</x:v>
      </x:c>
      <x:c r="D828" s="80" t="str">
        <x:v>숲</x:v>
      </x:c>
      <x:c r="E828" s="81" t="str">
        <x:v>—</x:v>
      </x:c>
      <x:c r="F828" s="81" t="str">
        <x:v>—</x:v>
      </x:c>
      <x:c r="G828" s="81" t="str">
        <x:v>—</x:v>
      </x:c>
      <x:c r="H828" s="81" t="str">
        <x:v>—</x:v>
      </x:c>
      <x:c r="I828" s="81" t="str">
        <x:v>—</x:v>
      </x:c>
      <x:c r="J828" s="81" t="str">
        <x:v>—</x:v>
      </x:c>
      <x:c r="K828" s="81" t="str">
        <x:v>—</x:v>
      </x:c>
      <x:c r="L828" s="81" t="str">
        <x:v>—</x:v>
      </x:c>
      <x:c r="M828" s="81" t="str">
        <x:v>—</x:v>
      </x:c>
      <x:c r="N828" s="81" t="str">
        <x:v>—</x:v>
      </x:c>
      <x:c r="O828" s="81" t="str">
        <x:v>—</x:v>
      </x:c>
      <x:c r="P828" s="81" t="str">
        <x:v>—</x:v>
      </x:c>
      <x:c r="Q828" s="81" t="str">
        <x:v>—</x:v>
      </x:c>
      <x:c r="R828" s="81" t="str">
        <x:v>—</x:v>
      </x:c>
      <x:c r="S828" s="81" t="str">
        <x:v>숲6</x:v>
      </x:c>
      <x:c r="T828" s="81" t="str">
        <x:v>평원6</x:v>
      </x:c>
      <x:c r="U828" s="81" t="str">
        <x:v>—</x:v>
      </x:c>
      <x:c r="V828" s="81" t="str">
        <x:v>—</x:v>
      </x:c>
    </x:row>
    <x:row r="829">
      <x:c r="A829" s="80" t="n">
        <x:v>825</x:v>
      </x:c>
      <x:c r="B829" s="80" t="str">
        <x:v>레돔벌레</x:v>
      </x:c>
      <x:c r="C829" s="80" t="str">
        <x:v>dottler</x:v>
      </x:c>
      <x:c r="D829" s="80" t="str">
        <x:v>숲</x:v>
      </x:c>
      <x:c r="E829" s="81" t="str">
        <x:v>—</x:v>
      </x:c>
      <x:c r="F829" s="81" t="str">
        <x:v>—</x:v>
      </x:c>
      <x:c r="G829" s="81" t="str">
        <x:v>—</x:v>
      </x:c>
      <x:c r="H829" s="81" t="str">
        <x:v>—</x:v>
      </x:c>
      <x:c r="I829" s="81" t="str">
        <x:v>—</x:v>
      </x:c>
      <x:c r="J829" s="81" t="str">
        <x:v>—</x:v>
      </x:c>
      <x:c r="K829" s="81" t="str">
        <x:v>—</x:v>
      </x:c>
      <x:c r="L829" s="81" t="str">
        <x:v>—</x:v>
      </x:c>
      <x:c r="M829" s="81" t="str">
        <x:v>—</x:v>
      </x:c>
      <x:c r="N829" s="81" t="str">
        <x:v>—</x:v>
      </x:c>
      <x:c r="O829" s="81" t="str">
        <x:v>—</x:v>
      </x:c>
      <x:c r="P829" s="81" t="str">
        <x:v>—</x:v>
      </x:c>
      <x:c r="Q829" s="81" t="str">
        <x:v>—</x:v>
      </x:c>
      <x:c r="R829" s="81" t="str">
        <x:v>—</x:v>
      </x:c>
      <x:c r="S829" s="81" t="str">
        <x:v>숲6</x:v>
      </x:c>
      <x:c r="T829" s="81" t="str">
        <x:v>평원6</x:v>
      </x:c>
      <x:c r="U829" s="81" t="str">
        <x:v>—</x:v>
      </x:c>
      <x:c r="V829" s="81" t="str">
        <x:v>—</x:v>
      </x:c>
    </x:row>
    <x:row r="830">
      <x:c r="A830" s="80" t="n">
        <x:v>826</x:v>
      </x:c>
      <x:c r="B830" s="80" t="str">
        <x:v>이올브</x:v>
      </x:c>
      <x:c r="C830" s="80" t="str">
        <x:v>orbeetle</x:v>
      </x:c>
      <x:c r="D830" s="80" t="str">
        <x:v>평원</x:v>
      </x:c>
      <x:c r="E830" s="81" t="str">
        <x:v>—</x:v>
      </x:c>
      <x:c r="F830" s="81" t="str">
        <x:v>—</x:v>
      </x:c>
      <x:c r="G830" s="81" t="str">
        <x:v>—</x:v>
      </x:c>
      <x:c r="H830" s="81" t="str">
        <x:v>—</x:v>
      </x:c>
      <x:c r="I830" s="81" t="str">
        <x:v>—</x:v>
      </x:c>
      <x:c r="J830" s="81" t="str">
        <x:v>—</x:v>
      </x:c>
      <x:c r="K830" s="81" t="str">
        <x:v>—</x:v>
      </x:c>
      <x:c r="L830" s="81" t="str">
        <x:v>—</x:v>
      </x:c>
      <x:c r="M830" s="81" t="str">
        <x:v>—</x:v>
      </x:c>
      <x:c r="N830" s="81" t="str">
        <x:v>—</x:v>
      </x:c>
      <x:c r="O830" s="81" t="str">
        <x:v>—</x:v>
      </x:c>
      <x:c r="P830" s="81" t="str">
        <x:v>—</x:v>
      </x:c>
      <x:c r="Q830" s="81" t="str">
        <x:v>—</x:v>
      </x:c>
      <x:c r="R830" s="81" t="str">
        <x:v>—</x:v>
      </x:c>
      <x:c r="S830" s="81" t="str">
        <x:v>평원6</x:v>
      </x:c>
      <x:c r="T830" s="81" t="str">
        <x:v>숲6</x:v>
      </x:c>
      <x:c r="U830" s="81" t="str">
        <x:v>—</x:v>
      </x:c>
      <x:c r="V830" s="81" t="str">
        <x:v>—</x:v>
      </x:c>
    </x:row>
    <x:row r="831">
      <x:c r="A831" s="80" t="n">
        <x:v>827</x:v>
      </x:c>
      <x:c r="B831" s="80" t="str">
        <x:v>훔처우</x:v>
      </x:c>
      <x:c r="C831" s="80" t="str">
        <x:v>nickit</x:v>
      </x:c>
      <x:c r="D831" s="80" t="str">
        <x:v>숲</x:v>
      </x:c>
      <x:c r="E831" s="81" t="str">
        <x:v>—</x:v>
      </x:c>
      <x:c r="F831" s="81" t="str">
        <x:v>—</x:v>
      </x:c>
      <x:c r="G831" s="81" t="str">
        <x:v>—</x:v>
      </x:c>
      <x:c r="H831" s="81" t="str">
        <x:v>—</x:v>
      </x:c>
      <x:c r="I831" s="81" t="str">
        <x:v>—</x:v>
      </x:c>
      <x:c r="J831" s="81" t="str">
        <x:v>—</x:v>
      </x:c>
      <x:c r="K831" s="81" t="str">
        <x:v>—</x:v>
      </x:c>
      <x:c r="L831" s="81" t="str">
        <x:v>—</x:v>
      </x:c>
      <x:c r="M831" s="81" t="str">
        <x:v>—</x:v>
      </x:c>
      <x:c r="N831" s="81" t="str">
        <x:v>—</x:v>
      </x:c>
      <x:c r="O831" s="81" t="str">
        <x:v>—</x:v>
      </x:c>
      <x:c r="P831" s="81" t="str">
        <x:v>—</x:v>
      </x:c>
      <x:c r="Q831" s="81" t="str">
        <x:v>—</x:v>
      </x:c>
      <x:c r="R831" s="81" t="str">
        <x:v>—</x:v>
      </x:c>
      <x:c r="S831" s="81" t="str">
        <x:v>숲6</x:v>
      </x:c>
      <x:c r="T831" s="81" t="str">
        <x:v>평원6</x:v>
      </x:c>
      <x:c r="U831" s="81" t="str">
        <x:v>—</x:v>
      </x:c>
      <x:c r="V831" s="81" t="str">
        <x:v>—</x:v>
      </x:c>
    </x:row>
    <x:row r="832">
      <x:c r="A832" s="80" t="n">
        <x:v>828</x:v>
      </x:c>
      <x:c r="B832" s="80" t="str">
        <x:v>폭슬라이</x:v>
      </x:c>
      <x:c r="C832" s="80" t="str">
        <x:v>thievul</x:v>
      </x:c>
      <x:c r="D832" s="80" t="str">
        <x:v>숲</x:v>
      </x:c>
      <x:c r="E832" s="81" t="str">
        <x:v>—</x:v>
      </x:c>
      <x:c r="F832" s="81" t="str">
        <x:v>—</x:v>
      </x:c>
      <x:c r="G832" s="81" t="str">
        <x:v>—</x:v>
      </x:c>
      <x:c r="H832" s="81" t="str">
        <x:v>—</x:v>
      </x:c>
      <x:c r="I832" s="81" t="str">
        <x:v>—</x:v>
      </x:c>
      <x:c r="J832" s="81" t="str">
        <x:v>—</x:v>
      </x:c>
      <x:c r="K832" s="81" t="str">
        <x:v>—</x:v>
      </x:c>
      <x:c r="L832" s="81" t="str">
        <x:v>—</x:v>
      </x:c>
      <x:c r="M832" s="81" t="str">
        <x:v>—</x:v>
      </x:c>
      <x:c r="N832" s="81" t="str">
        <x:v>—</x:v>
      </x:c>
      <x:c r="O832" s="81" t="str">
        <x:v>—</x:v>
      </x:c>
      <x:c r="P832" s="81" t="str">
        <x:v>—</x:v>
      </x:c>
      <x:c r="Q832" s="81" t="str">
        <x:v>—</x:v>
      </x:c>
      <x:c r="R832" s="81" t="str">
        <x:v>—</x:v>
      </x:c>
      <x:c r="S832" s="81" t="str">
        <x:v>숲6</x:v>
      </x:c>
      <x:c r="T832" s="81" t="str">
        <x:v>평원6</x:v>
      </x:c>
      <x:c r="U832" s="81" t="str">
        <x:v>—</x:v>
      </x:c>
      <x:c r="V832" s="81" t="str">
        <x:v>—</x:v>
      </x:c>
    </x:row>
    <x:row r="833">
      <x:c r="A833" s="80" t="n">
        <x:v>829</x:v>
      </x:c>
      <x:c r="B833" s="80" t="str">
        <x:v>꼬모카</x:v>
      </x:c>
      <x:c r="C833" s="80" t="str">
        <x:v>gossifleur</x:v>
      </x:c>
      <x:c r="D833" s="80" t="str">
        <x:v>평원</x:v>
      </x:c>
      <x:c r="E833" s="81" t="str">
        <x:v>—</x:v>
      </x:c>
      <x:c r="F833" s="81" t="str">
        <x:v>—</x:v>
      </x:c>
      <x:c r="G833" s="81" t="str">
        <x:v>—</x:v>
      </x:c>
      <x:c r="H833" s="81" t="str">
        <x:v>—</x:v>
      </x:c>
      <x:c r="I833" s="81" t="str">
        <x:v>—</x:v>
      </x:c>
      <x:c r="J833" s="81" t="str">
        <x:v>—</x:v>
      </x:c>
      <x:c r="K833" s="81" t="str">
        <x:v>—</x:v>
      </x:c>
      <x:c r="L833" s="81" t="str">
        <x:v>—</x:v>
      </x:c>
      <x:c r="M833" s="81" t="str">
        <x:v>—</x:v>
      </x:c>
      <x:c r="N833" s="81" t="str">
        <x:v>—</x:v>
      </x:c>
      <x:c r="O833" s="81" t="str">
        <x:v>—</x:v>
      </x:c>
      <x:c r="P833" s="81" t="str">
        <x:v>—</x:v>
      </x:c>
      <x:c r="Q833" s="81" t="str">
        <x:v>—</x:v>
      </x:c>
      <x:c r="R833" s="81" t="str">
        <x:v>—</x:v>
      </x:c>
      <x:c r="S833" s="81" t="str">
        <x:v>평원6</x:v>
      </x:c>
      <x:c r="T833" s="81" t="str">
        <x:v>숲6</x:v>
      </x:c>
      <x:c r="U833" s="81" t="str">
        <x:v>—</x:v>
      </x:c>
      <x:c r="V833" s="81" t="str">
        <x:v>—</x:v>
      </x:c>
    </x:row>
    <x:row r="834">
      <x:c r="A834" s="80" t="n">
        <x:v>830</x:v>
      </x:c>
      <x:c r="B834" s="80" t="str">
        <x:v>백솜모카</x:v>
      </x:c>
      <x:c r="C834" s="80" t="str">
        <x:v>eldegoss</x:v>
      </x:c>
      <x:c r="D834" s="80" t="str">
        <x:v>평원</x:v>
      </x:c>
      <x:c r="E834" s="81" t="str">
        <x:v>—</x:v>
      </x:c>
      <x:c r="F834" s="81" t="str">
        <x:v>—</x:v>
      </x:c>
      <x:c r="G834" s="81" t="str">
        <x:v>—</x:v>
      </x:c>
      <x:c r="H834" s="81" t="str">
        <x:v>—</x:v>
      </x:c>
      <x:c r="I834" s="81" t="str">
        <x:v>—</x:v>
      </x:c>
      <x:c r="J834" s="81" t="str">
        <x:v>—</x:v>
      </x:c>
      <x:c r="K834" s="81" t="str">
        <x:v>—</x:v>
      </x:c>
      <x:c r="L834" s="81" t="str">
        <x:v>—</x:v>
      </x:c>
      <x:c r="M834" s="81" t="str">
        <x:v>—</x:v>
      </x:c>
      <x:c r="N834" s="81" t="str">
        <x:v>—</x:v>
      </x:c>
      <x:c r="O834" s="81" t="str">
        <x:v>—</x:v>
      </x:c>
      <x:c r="P834" s="81" t="str">
        <x:v>—</x:v>
      </x:c>
      <x:c r="Q834" s="81" t="str">
        <x:v>—</x:v>
      </x:c>
      <x:c r="R834" s="81" t="str">
        <x:v>—</x:v>
      </x:c>
      <x:c r="S834" s="81" t="str">
        <x:v>평원6</x:v>
      </x:c>
      <x:c r="T834" s="81" t="str">
        <x:v>숲6</x:v>
      </x:c>
      <x:c r="U834" s="81" t="str">
        <x:v>—</x:v>
      </x:c>
      <x:c r="V834" s="81" t="str">
        <x:v>—</x:v>
      </x:c>
    </x:row>
    <x:row r="835">
      <x:c r="A835" s="80" t="n">
        <x:v>831</x:v>
      </x:c>
      <x:c r="B835" s="80" t="str">
        <x:v>우르</x:v>
      </x:c>
      <x:c r="C835" s="80" t="str">
        <x:v>wooloo</x:v>
      </x:c>
      <x:c r="D835" s="80" t="str">
        <x:v>평원</x:v>
      </x:c>
      <x:c r="E835" s="81" t="str">
        <x:v>—</x:v>
      </x:c>
      <x:c r="F835" s="81" t="str">
        <x:v>—</x:v>
      </x:c>
      <x:c r="G835" s="81" t="str">
        <x:v>—</x:v>
      </x:c>
      <x:c r="H835" s="81" t="str">
        <x:v>—</x:v>
      </x:c>
      <x:c r="I835" s="81" t="str">
        <x:v>—</x:v>
      </x:c>
      <x:c r="J835" s="81" t="str">
        <x:v>—</x:v>
      </x:c>
      <x:c r="K835" s="81" t="str">
        <x:v>—</x:v>
      </x:c>
      <x:c r="L835" s="81" t="str">
        <x:v>—</x:v>
      </x:c>
      <x:c r="M835" s="81" t="str">
        <x:v>—</x:v>
      </x:c>
      <x:c r="N835" s="81" t="str">
        <x:v>—</x:v>
      </x:c>
      <x:c r="O835" s="81" t="str">
        <x:v>—</x:v>
      </x:c>
      <x:c r="P835" s="81" t="str">
        <x:v>—</x:v>
      </x:c>
      <x:c r="Q835" s="81" t="str">
        <x:v>—</x:v>
      </x:c>
      <x:c r="R835" s="81" t="str">
        <x:v>—</x:v>
      </x:c>
      <x:c r="S835" s="81" t="str">
        <x:v>평원6</x:v>
      </x:c>
      <x:c r="T835" s="81" t="str">
        <x:v>숲6</x:v>
      </x:c>
      <x:c r="U835" s="81" t="str">
        <x:v>—</x:v>
      </x:c>
      <x:c r="V835" s="81" t="str">
        <x:v>—</x:v>
      </x:c>
    </x:row>
    <x:row r="836">
      <x:c r="A836" s="80" t="n">
        <x:v>832</x:v>
      </x:c>
      <x:c r="B836" s="80" t="str">
        <x:v>배우르</x:v>
      </x:c>
      <x:c r="C836" s="80" t="str">
        <x:v>dubwool</x:v>
      </x:c>
      <x:c r="D836" s="80" t="str">
        <x:v>평원</x:v>
      </x:c>
      <x:c r="E836" s="81" t="str">
        <x:v>—</x:v>
      </x:c>
      <x:c r="F836" s="81" t="str">
        <x:v>—</x:v>
      </x:c>
      <x:c r="G836" s="81" t="str">
        <x:v>—</x:v>
      </x:c>
      <x:c r="H836" s="81" t="str">
        <x:v>—</x:v>
      </x:c>
      <x:c r="I836" s="81" t="str">
        <x:v>—</x:v>
      </x:c>
      <x:c r="J836" s="81" t="str">
        <x:v>—</x:v>
      </x:c>
      <x:c r="K836" s="81" t="str">
        <x:v>—</x:v>
      </x:c>
      <x:c r="L836" s="81" t="str">
        <x:v>—</x:v>
      </x:c>
      <x:c r="M836" s="81" t="str">
        <x:v>—</x:v>
      </x:c>
      <x:c r="N836" s="81" t="str">
        <x:v>—</x:v>
      </x:c>
      <x:c r="O836" s="81" t="str">
        <x:v>—</x:v>
      </x:c>
      <x:c r="P836" s="81" t="str">
        <x:v>—</x:v>
      </x:c>
      <x:c r="Q836" s="81" t="str">
        <x:v>—</x:v>
      </x:c>
      <x:c r="R836" s="81" t="str">
        <x:v>—</x:v>
      </x:c>
      <x:c r="S836" s="81" t="str">
        <x:v>평원6</x:v>
      </x:c>
      <x:c r="T836" s="81" t="str">
        <x:v>숲6</x:v>
      </x:c>
      <x:c r="U836" s="81" t="str">
        <x:v>—</x:v>
      </x:c>
      <x:c r="V836" s="81" t="str">
        <x:v>—</x:v>
      </x:c>
    </x:row>
    <x:row r="837">
      <x:c r="A837" s="80" t="n">
        <x:v>833</x:v>
      </x:c>
      <x:c r="B837" s="80" t="str">
        <x:v>깨물부기</x:v>
      </x:c>
      <x:c r="C837" s="80" t="str">
        <x:v>chewtle</x:v>
      </x:c>
      <x:c r="D837" s="80" t="str">
        <x:v>담수</x:v>
      </x:c>
      <x:c r="E837" s="81" t="str">
        <x:v>—</x:v>
      </x:c>
      <x:c r="F837" s="81" t="str">
        <x:v>—</x:v>
      </x:c>
      <x:c r="G837" s="81" t="str">
        <x:v>—</x:v>
      </x:c>
      <x:c r="H837" s="81" t="str">
        <x:v>—</x:v>
      </x:c>
      <x:c r="I837" s="81" t="str">
        <x:v>—</x:v>
      </x:c>
      <x:c r="J837" s="81" t="str">
        <x:v>—</x:v>
      </x:c>
      <x:c r="K837" s="81" t="str">
        <x:v>—</x:v>
      </x:c>
      <x:c r="L837" s="81" t="str">
        <x:v>—</x:v>
      </x:c>
      <x:c r="M837" s="81" t="str">
        <x:v>—</x:v>
      </x:c>
      <x:c r="N837" s="81" t="str">
        <x:v>—</x:v>
      </x:c>
      <x:c r="O837" s="81" t="str">
        <x:v>—</x:v>
      </x:c>
      <x:c r="P837" s="81" t="str">
        <x:v>—</x:v>
      </x:c>
      <x:c r="Q837" s="81" t="str">
        <x:v>—</x:v>
      </x:c>
      <x:c r="R837" s="81" t="str">
        <x:v>—</x:v>
      </x:c>
      <x:c r="S837" s="81" t="str">
        <x:v>담수3</x:v>
      </x:c>
      <x:c r="T837" s="81" t="str">
        <x:v>습지3</x:v>
      </x:c>
      <x:c r="U837" s="81" t="str">
        <x:v>담수3</x:v>
      </x:c>
      <x:c r="V837" s="81" t="str">
        <x:v>습지3</x:v>
      </x:c>
    </x:row>
    <x:row r="838">
      <x:c r="A838" s="80" t="n">
        <x:v>834</x:v>
      </x:c>
      <x:c r="B838" s="80" t="str">
        <x:v>갈가부기</x:v>
      </x:c>
      <x:c r="C838" s="80" t="str">
        <x:v>drednaw</x:v>
      </x:c>
      <x:c r="D838" s="80" t="str">
        <x:v>담수</x:v>
      </x:c>
      <x:c r="E838" s="81" t="str">
        <x:v>—</x:v>
      </x:c>
      <x:c r="F838" s="81" t="str">
        <x:v>—</x:v>
      </x:c>
      <x:c r="G838" s="81" t="str">
        <x:v>—</x:v>
      </x:c>
      <x:c r="H838" s="81" t="str">
        <x:v>—</x:v>
      </x:c>
      <x:c r="I838" s="81" t="str">
        <x:v>—</x:v>
      </x:c>
      <x:c r="J838" s="81" t="str">
        <x:v>—</x:v>
      </x:c>
      <x:c r="K838" s="81" t="str">
        <x:v>—</x:v>
      </x:c>
      <x:c r="L838" s="81" t="str">
        <x:v>—</x:v>
      </x:c>
      <x:c r="M838" s="81" t="str">
        <x:v>—</x:v>
      </x:c>
      <x:c r="N838" s="81" t="str">
        <x:v>—</x:v>
      </x:c>
      <x:c r="O838" s="81" t="str">
        <x:v>—</x:v>
      </x:c>
      <x:c r="P838" s="81" t="str">
        <x:v>—</x:v>
      </x:c>
      <x:c r="Q838" s="81" t="str">
        <x:v>—</x:v>
      </x:c>
      <x:c r="R838" s="81" t="str">
        <x:v>—</x:v>
      </x:c>
      <x:c r="S838" s="81" t="str">
        <x:v>담수3</x:v>
      </x:c>
      <x:c r="T838" s="81" t="str">
        <x:v>습지3</x:v>
      </x:c>
      <x:c r="U838" s="81" t="str">
        <x:v>담수3</x:v>
      </x:c>
      <x:c r="V838" s="81" t="str">
        <x:v>습지3</x:v>
      </x:c>
    </x:row>
    <x:row r="839">
      <x:c r="A839" s="80" t="n">
        <x:v>835</x:v>
      </x:c>
      <x:c r="B839" s="80" t="str">
        <x:v>멍파치</x:v>
      </x:c>
      <x:c r="C839" s="80" t="str">
        <x:v>yamper</x:v>
      </x:c>
      <x:c r="D839" s="80" t="str">
        <x:v>평원</x:v>
      </x:c>
      <x:c r="E839" s="81" t="str">
        <x:v>—</x:v>
      </x:c>
      <x:c r="F839" s="81" t="str">
        <x:v>—</x:v>
      </x:c>
      <x:c r="G839" s="81" t="str">
        <x:v>—</x:v>
      </x:c>
      <x:c r="H839" s="81" t="str">
        <x:v>—</x:v>
      </x:c>
      <x:c r="I839" s="81" t="str">
        <x:v>—</x:v>
      </x:c>
      <x:c r="J839" s="81" t="str">
        <x:v>—</x:v>
      </x:c>
      <x:c r="K839" s="81" t="str">
        <x:v>—</x:v>
      </x:c>
      <x:c r="L839" s="81" t="str">
        <x:v>—</x:v>
      </x:c>
      <x:c r="M839" s="81" t="str">
        <x:v>—</x:v>
      </x:c>
      <x:c r="N839" s="81" t="str">
        <x:v>—</x:v>
      </x:c>
      <x:c r="O839" s="81" t="str">
        <x:v>—</x:v>
      </x:c>
      <x:c r="P839" s="81" t="str">
        <x:v>—</x:v>
      </x:c>
      <x:c r="Q839" s="81" t="str">
        <x:v>—</x:v>
      </x:c>
      <x:c r="R839" s="81" t="str">
        <x:v>—</x:v>
      </x:c>
      <x:c r="S839" s="81" t="str">
        <x:v>평원6</x:v>
      </x:c>
      <x:c r="T839" s="81" t="str">
        <x:v>숲6</x:v>
      </x:c>
      <x:c r="U839" s="81" t="str">
        <x:v>—</x:v>
      </x:c>
      <x:c r="V839" s="81" t="str">
        <x:v>—</x:v>
      </x:c>
    </x:row>
    <x:row r="840">
      <x:c r="A840" s="80" t="n">
        <x:v>836</x:v>
      </x:c>
      <x:c r="B840" s="80" t="str">
        <x:v>펄스멍</x:v>
      </x:c>
      <x:c r="C840" s="80" t="str">
        <x:v>boltund</x:v>
      </x:c>
      <x:c r="D840" s="80" t="str">
        <x:v>평원</x:v>
      </x:c>
      <x:c r="E840" s="81" t="str">
        <x:v>—</x:v>
      </x:c>
      <x:c r="F840" s="81" t="str">
        <x:v>—</x:v>
      </x:c>
      <x:c r="G840" s="81" t="str">
        <x:v>—</x:v>
      </x:c>
      <x:c r="H840" s="81" t="str">
        <x:v>—</x:v>
      </x:c>
      <x:c r="I840" s="81" t="str">
        <x:v>—</x:v>
      </x:c>
      <x:c r="J840" s="81" t="str">
        <x:v>—</x:v>
      </x:c>
      <x:c r="K840" s="81" t="str">
        <x:v>—</x:v>
      </x:c>
      <x:c r="L840" s="81" t="str">
        <x:v>—</x:v>
      </x:c>
      <x:c r="M840" s="81" t="str">
        <x:v>—</x:v>
      </x:c>
      <x:c r="N840" s="81" t="str">
        <x:v>—</x:v>
      </x:c>
      <x:c r="O840" s="81" t="str">
        <x:v>—</x:v>
      </x:c>
      <x:c r="P840" s="81" t="str">
        <x:v>—</x:v>
      </x:c>
      <x:c r="Q840" s="81" t="str">
        <x:v>—</x:v>
      </x:c>
      <x:c r="R840" s="81" t="str">
        <x:v>—</x:v>
      </x:c>
      <x:c r="S840" s="81" t="str">
        <x:v>평원6</x:v>
      </x:c>
      <x:c r="T840" s="81" t="str">
        <x:v>숲6</x:v>
      </x:c>
      <x:c r="U840" s="81" t="str">
        <x:v>—</x:v>
      </x:c>
      <x:c r="V840" s="81" t="str">
        <x:v>—</x:v>
      </x:c>
    </x:row>
    <x:row r="841">
      <x:c r="A841" s="80" t="n">
        <x:v>837</x:v>
      </x:c>
      <x:c r="B841" s="80" t="str">
        <x:v>탄동</x:v>
      </x:c>
      <x:c r="C841" s="80" t="str">
        <x:v>rolycoly</x:v>
      </x:c>
      <x:c r="D841" s="80" t="str">
        <x:v>동굴</x:v>
      </x:c>
      <x:c r="E841" s="81" t="str">
        <x:v>—</x:v>
      </x:c>
      <x:c r="F841" s="81" t="str">
        <x:v>—</x:v>
      </x:c>
      <x:c r="G841" s="81" t="str">
        <x:v>—</x:v>
      </x:c>
      <x:c r="H841" s="81" t="str">
        <x:v>—</x:v>
      </x:c>
      <x:c r="I841" s="81" t="str">
        <x:v>—</x:v>
      </x:c>
      <x:c r="J841" s="81" t="str">
        <x:v>—</x:v>
      </x:c>
      <x:c r="K841" s="81" t="str">
        <x:v>—</x:v>
      </x:c>
      <x:c r="L841" s="81" t="str">
        <x:v>—</x:v>
      </x:c>
      <x:c r="M841" s="81" t="str">
        <x:v>—</x:v>
      </x:c>
      <x:c r="N841" s="81" t="str">
        <x:v>—</x:v>
      </x:c>
      <x:c r="O841" s="81" t="str">
        <x:v>—</x:v>
      </x:c>
      <x:c r="P841" s="81" t="str">
        <x:v>—</x:v>
      </x:c>
      <x:c r="Q841" s="81" t="str">
        <x:v>—</x:v>
      </x:c>
      <x:c r="R841" s="81" t="str">
        <x:v>—</x:v>
      </x:c>
      <x:c r="S841" s="81" t="str">
        <x:v>동굴1</x:v>
      </x:c>
      <x:c r="T841" s="81" t="str">
        <x:v>산악4</x:v>
      </x:c>
      <x:c r="U841" s="81" t="str">
        <x:v>동굴1</x:v>
      </x:c>
      <x:c r="V841" s="81" t="str">
        <x:v>산악4</x:v>
      </x:c>
    </x:row>
    <x:row r="842">
      <x:c r="A842" s="80" t="n">
        <x:v>838</x:v>
      </x:c>
      <x:c r="B842" s="80" t="str">
        <x:v>탄차곤</x:v>
      </x:c>
      <x:c r="C842" s="80" t="str">
        <x:v>carkol</x:v>
      </x:c>
      <x:c r="D842" s="80" t="str">
        <x:v>동굴</x:v>
      </x:c>
      <x:c r="E842" s="81" t="str">
        <x:v>—</x:v>
      </x:c>
      <x:c r="F842" s="81" t="str">
        <x:v>—</x:v>
      </x:c>
      <x:c r="G842" s="81" t="str">
        <x:v>—</x:v>
      </x:c>
      <x:c r="H842" s="81" t="str">
        <x:v>—</x:v>
      </x:c>
      <x:c r="I842" s="81" t="str">
        <x:v>—</x:v>
      </x:c>
      <x:c r="J842" s="81" t="str">
        <x:v>—</x:v>
      </x:c>
      <x:c r="K842" s="81" t="str">
        <x:v>—</x:v>
      </x:c>
      <x:c r="L842" s="81" t="str">
        <x:v>—</x:v>
      </x:c>
      <x:c r="M842" s="81" t="str">
        <x:v>—</x:v>
      </x:c>
      <x:c r="N842" s="81" t="str">
        <x:v>—</x:v>
      </x:c>
      <x:c r="O842" s="81" t="str">
        <x:v>—</x:v>
      </x:c>
      <x:c r="P842" s="81" t="str">
        <x:v>—</x:v>
      </x:c>
      <x:c r="Q842" s="81" t="str">
        <x:v>—</x:v>
      </x:c>
      <x:c r="R842" s="81" t="str">
        <x:v>—</x:v>
      </x:c>
      <x:c r="S842" s="81" t="str">
        <x:v>동굴1</x:v>
      </x:c>
      <x:c r="T842" s="81" t="str">
        <x:v>산악4</x:v>
      </x:c>
      <x:c r="U842" s="81" t="str">
        <x:v>동굴1</x:v>
      </x:c>
      <x:c r="V842" s="81" t="str">
        <x:v>산악4</x:v>
      </x:c>
    </x:row>
    <x:row r="843">
      <x:c r="A843" s="80" t="n">
        <x:v>839</x:v>
      </x:c>
      <x:c r="B843" s="80" t="str">
        <x:v>석탄산</x:v>
      </x:c>
      <x:c r="C843" s="80" t="str">
        <x:v>coalossal</x:v>
      </x:c>
      <x:c r="D843" s="80" t="str">
        <x:v>동굴</x:v>
      </x:c>
      <x:c r="E843" s="81" t="str">
        <x:v>—</x:v>
      </x:c>
      <x:c r="F843" s="81" t="str">
        <x:v>—</x:v>
      </x:c>
      <x:c r="G843" s="81" t="str">
        <x:v>—</x:v>
      </x:c>
      <x:c r="H843" s="81" t="str">
        <x:v>—</x:v>
      </x:c>
      <x:c r="I843" s="81" t="str">
        <x:v>—</x:v>
      </x:c>
      <x:c r="J843" s="81" t="str">
        <x:v>—</x:v>
      </x:c>
      <x:c r="K843" s="81" t="str">
        <x:v>—</x:v>
      </x:c>
      <x:c r="L843" s="81" t="str">
        <x:v>—</x:v>
      </x:c>
      <x:c r="M843" s="81" t="str">
        <x:v>—</x:v>
      </x:c>
      <x:c r="N843" s="81" t="str">
        <x:v>—</x:v>
      </x:c>
      <x:c r="O843" s="81" t="str">
        <x:v>—</x:v>
      </x:c>
      <x:c r="P843" s="81" t="str">
        <x:v>—</x:v>
      </x:c>
      <x:c r="Q843" s="81" t="str">
        <x:v>—</x:v>
      </x:c>
      <x:c r="R843" s="81" t="str">
        <x:v>—</x:v>
      </x:c>
      <x:c r="S843" s="81" t="str">
        <x:v>동굴1</x:v>
      </x:c>
      <x:c r="T843" s="81" t="str">
        <x:v>산악4</x:v>
      </x:c>
      <x:c r="U843" s="81" t="str">
        <x:v>동굴1</x:v>
      </x:c>
      <x:c r="V843" s="81" t="str">
        <x:v>산악4</x:v>
      </x:c>
    </x:row>
    <x:row r="844">
      <x:c r="A844" s="80" t="n">
        <x:v>840</x:v>
      </x:c>
      <x:c r="B844" s="80" t="str">
        <x:v>과사삭벌레</x:v>
      </x:c>
      <x:c r="C844" s="80" t="str">
        <x:v>applin</x:v>
      </x:c>
      <x:c r="D844" s="80" t="str">
        <x:v>숲</x:v>
      </x:c>
      <x:c r="E844" s="81" t="str">
        <x:v>—</x:v>
      </x:c>
      <x:c r="F844" s="81" t="str">
        <x:v>—</x:v>
      </x:c>
      <x:c r="G844" s="81" t="str">
        <x:v>—</x:v>
      </x:c>
      <x:c r="H844" s="81" t="str">
        <x:v>—</x:v>
      </x:c>
      <x:c r="I844" s="81" t="str">
        <x:v>—</x:v>
      </x:c>
      <x:c r="J844" s="81" t="str">
        <x:v>—</x:v>
      </x:c>
      <x:c r="K844" s="81" t="str">
        <x:v>—</x:v>
      </x:c>
      <x:c r="L844" s="81" t="str">
        <x:v>—</x:v>
      </x:c>
      <x:c r="M844" s="81" t="str">
        <x:v>—</x:v>
      </x:c>
      <x:c r="N844" s="81" t="str">
        <x:v>—</x:v>
      </x:c>
      <x:c r="O844" s="81" t="str">
        <x:v>—</x:v>
      </x:c>
      <x:c r="P844" s="81" t="str">
        <x:v>—</x:v>
      </x:c>
      <x:c r="Q844" s="81" t="str">
        <x:v>—</x:v>
      </x:c>
      <x:c r="R844" s="81" t="str">
        <x:v>—</x:v>
      </x:c>
      <x:c r="S844" s="81" t="str">
        <x:v>숲6</x:v>
      </x:c>
      <x:c r="T844" s="81" t="str">
        <x:v>평원6</x:v>
      </x:c>
      <x:c r="U844" s="81" t="str">
        <x:v>숲6</x:v>
      </x:c>
      <x:c r="V844" s="81" t="str">
        <x:v>평원6</x:v>
      </x:c>
    </x:row>
    <x:row r="845">
      <x:c r="A845" s="80" t="n">
        <x:v>841</x:v>
      </x:c>
      <x:c r="B845" s="80" t="str">
        <x:v>애프룡</x:v>
      </x:c>
      <x:c r="C845" s="80" t="str">
        <x:v>flapple</x:v>
      </x:c>
      <x:c r="D845" s="80" t="str">
        <x:v>숲</x:v>
      </x:c>
      <x:c r="E845" s="81" t="str">
        <x:v>—</x:v>
      </x:c>
      <x:c r="F845" s="81" t="str">
        <x:v>—</x:v>
      </x:c>
      <x:c r="G845" s="81" t="str">
        <x:v>—</x:v>
      </x:c>
      <x:c r="H845" s="81" t="str">
        <x:v>—</x:v>
      </x:c>
      <x:c r="I845" s="81" t="str">
        <x:v>—</x:v>
      </x:c>
      <x:c r="J845" s="81" t="str">
        <x:v>—</x:v>
      </x:c>
      <x:c r="K845" s="81" t="str">
        <x:v>—</x:v>
      </x:c>
      <x:c r="L845" s="81" t="str">
        <x:v>—</x:v>
      </x:c>
      <x:c r="M845" s="81" t="str">
        <x:v>—</x:v>
      </x:c>
      <x:c r="N845" s="81" t="str">
        <x:v>—</x:v>
      </x:c>
      <x:c r="O845" s="81" t="str">
        <x:v>—</x:v>
      </x:c>
      <x:c r="P845" s="81" t="str">
        <x:v>—</x:v>
      </x:c>
      <x:c r="Q845" s="81" t="str">
        <x:v>—</x:v>
      </x:c>
      <x:c r="R845" s="81" t="str">
        <x:v>—</x:v>
      </x:c>
      <x:c r="S845" s="81" t="str">
        <x:v>숲6</x:v>
      </x:c>
      <x:c r="T845" s="81" t="str">
        <x:v>산악4</x:v>
      </x:c>
      <x:c r="U845" s="81" t="str">
        <x:v>숲6</x:v>
      </x:c>
      <x:c r="V845" s="81" t="str">
        <x:v>산악4</x:v>
      </x:c>
    </x:row>
    <x:row r="846">
      <x:c r="A846" s="80" t="n">
        <x:v>842</x:v>
      </x:c>
      <x:c r="B846" s="80" t="str">
        <x:v>단지래플</x:v>
      </x:c>
      <x:c r="C846" s="80" t="str">
        <x:v>appletun</x:v>
      </x:c>
      <x:c r="D846" s="80" t="str">
        <x:v>숲</x:v>
      </x:c>
      <x:c r="E846" s="81" t="str">
        <x:v>—</x:v>
      </x:c>
      <x:c r="F846" s="81" t="str">
        <x:v>—</x:v>
      </x:c>
      <x:c r="G846" s="81" t="str">
        <x:v>—</x:v>
      </x:c>
      <x:c r="H846" s="81" t="str">
        <x:v>—</x:v>
      </x:c>
      <x:c r="I846" s="81" t="str">
        <x:v>—</x:v>
      </x:c>
      <x:c r="J846" s="81" t="str">
        <x:v>—</x:v>
      </x:c>
      <x:c r="K846" s="81" t="str">
        <x:v>—</x:v>
      </x:c>
      <x:c r="L846" s="81" t="str">
        <x:v>—</x:v>
      </x:c>
      <x:c r="M846" s="81" t="str">
        <x:v>—</x:v>
      </x:c>
      <x:c r="N846" s="81" t="str">
        <x:v>—</x:v>
      </x:c>
      <x:c r="O846" s="81" t="str">
        <x:v>—</x:v>
      </x:c>
      <x:c r="P846" s="81" t="str">
        <x:v>—</x:v>
      </x:c>
      <x:c r="Q846" s="81" t="str">
        <x:v>—</x:v>
      </x:c>
      <x:c r="R846" s="81" t="str">
        <x:v>—</x:v>
      </x:c>
      <x:c r="S846" s="81" t="str">
        <x:v>숲6</x:v>
      </x:c>
      <x:c r="T846" s="81" t="str">
        <x:v>평원6</x:v>
      </x:c>
      <x:c r="U846" s="81" t="str">
        <x:v>숲6</x:v>
      </x:c>
      <x:c r="V846" s="81" t="str">
        <x:v>평원6</x:v>
      </x:c>
    </x:row>
    <x:row r="847">
      <x:c r="A847" s="80" t="n">
        <x:v>843</x:v>
      </x:c>
      <x:c r="B847" s="80" t="str">
        <x:v>모래뱀</x:v>
      </x:c>
      <x:c r="C847" s="80" t="str">
        <x:v>silicobra</x:v>
      </x:c>
      <x:c r="D847" s="80" t="str">
        <x:v>건조지</x:v>
      </x:c>
      <x:c r="E847" s="81" t="str">
        <x:v>—</x:v>
      </x:c>
      <x:c r="F847" s="81" t="str">
        <x:v>—</x:v>
      </x:c>
      <x:c r="G847" s="81" t="str">
        <x:v>—</x:v>
      </x:c>
      <x:c r="H847" s="81" t="str">
        <x:v>—</x:v>
      </x:c>
      <x:c r="I847" s="81" t="str">
        <x:v>—</x:v>
      </x:c>
      <x:c r="J847" s="81" t="str">
        <x:v>—</x:v>
      </x:c>
      <x:c r="K847" s="81" t="str">
        <x:v>—</x:v>
      </x:c>
      <x:c r="L847" s="81" t="str">
        <x:v>—</x:v>
      </x:c>
      <x:c r="M847" s="81" t="str">
        <x:v>—</x:v>
      </x:c>
      <x:c r="N847" s="81" t="str">
        <x:v>—</x:v>
      </x:c>
      <x:c r="O847" s="81" t="str">
        <x:v>—</x:v>
      </x:c>
      <x:c r="P847" s="81" t="str">
        <x:v>—</x:v>
      </x:c>
      <x:c r="Q847" s="81" t="str">
        <x:v>—</x:v>
      </x:c>
      <x:c r="R847" s="81" t="str">
        <x:v>—</x:v>
      </x:c>
      <x:c r="S847" s="81" t="str">
        <x:v>건조지2</x:v>
      </x:c>
      <x:c r="T847" s="81" t="str">
        <x:v>화산2</x:v>
      </x:c>
      <x:c r="U847" s="81" t="str">
        <x:v>건조지3</x:v>
      </x:c>
      <x:c r="V847" s="81" t="str">
        <x:v>화산3</x:v>
      </x:c>
    </x:row>
    <x:row r="848">
      <x:c r="A848" s="80" t="n">
        <x:v>844</x:v>
      </x:c>
      <x:c r="B848" s="80" t="str">
        <x:v>사다이사</x:v>
      </x:c>
      <x:c r="C848" s="80" t="str">
        <x:v>sandaconda</x:v>
      </x:c>
      <x:c r="D848" s="80" t="str">
        <x:v>건조지</x:v>
      </x:c>
      <x:c r="E848" s="81" t="str">
        <x:v>—</x:v>
      </x:c>
      <x:c r="F848" s="81" t="str">
        <x:v>—</x:v>
      </x:c>
      <x:c r="G848" s="81" t="str">
        <x:v>—</x:v>
      </x:c>
      <x:c r="H848" s="81" t="str">
        <x:v>—</x:v>
      </x:c>
      <x:c r="I848" s="81" t="str">
        <x:v>—</x:v>
      </x:c>
      <x:c r="J848" s="81" t="str">
        <x:v>—</x:v>
      </x:c>
      <x:c r="K848" s="81" t="str">
        <x:v>—</x:v>
      </x:c>
      <x:c r="L848" s="81" t="str">
        <x:v>—</x:v>
      </x:c>
      <x:c r="M848" s="81" t="str">
        <x:v>—</x:v>
      </x:c>
      <x:c r="N848" s="81" t="str">
        <x:v>—</x:v>
      </x:c>
      <x:c r="O848" s="81" t="str">
        <x:v>—</x:v>
      </x:c>
      <x:c r="P848" s="81" t="str">
        <x:v>—</x:v>
      </x:c>
      <x:c r="Q848" s="81" t="str">
        <x:v>—</x:v>
      </x:c>
      <x:c r="R848" s="81" t="str">
        <x:v>—</x:v>
      </x:c>
      <x:c r="S848" s="81" t="str">
        <x:v>건조지2</x:v>
      </x:c>
      <x:c r="T848" s="81" t="str">
        <x:v>화산2</x:v>
      </x:c>
      <x:c r="U848" s="81" t="str">
        <x:v>건조지3</x:v>
      </x:c>
      <x:c r="V848" s="81" t="str">
        <x:v>화산3</x:v>
      </x:c>
    </x:row>
    <x:row r="849">
      <x:c r="A849" s="80" t="n">
        <x:v>845</x:v>
      </x:c>
      <x:c r="B849" s="80" t="str">
        <x:v>윽우지</x:v>
      </x:c>
      <x:c r="C849" s="80" t="str">
        <x:v>cramorant</x:v>
      </x:c>
      <x:c r="D849" s="80" t="str">
        <x:v>해양</x:v>
      </x:c>
      <x:c r="E849" s="81" t="str">
        <x:v>—</x:v>
      </x:c>
      <x:c r="F849" s="81" t="str">
        <x:v>—</x:v>
      </x:c>
      <x:c r="G849" s="81" t="str">
        <x:v>—</x:v>
      </x:c>
      <x:c r="H849" s="81" t="str">
        <x:v>—</x:v>
      </x:c>
      <x:c r="I849" s="81" t="str">
        <x:v>—</x:v>
      </x:c>
      <x:c r="J849" s="81" t="str">
        <x:v>—</x:v>
      </x:c>
      <x:c r="K849" s="81" t="str">
        <x:v>—</x:v>
      </x:c>
      <x:c r="L849" s="81" t="str">
        <x:v>—</x:v>
      </x:c>
      <x:c r="M849" s="81" t="str">
        <x:v>—</x:v>
      </x:c>
      <x:c r="N849" s="81" t="str">
        <x:v>—</x:v>
      </x:c>
      <x:c r="O849" s="81" t="str">
        <x:v>—</x:v>
      </x:c>
      <x:c r="P849" s="81" t="str">
        <x:v>—</x:v>
      </x:c>
      <x:c r="Q849" s="81" t="str">
        <x:v>—</x:v>
      </x:c>
      <x:c r="R849" s="81" t="str">
        <x:v>—</x:v>
      </x:c>
      <x:c r="S849" s="81" t="str">
        <x:v>해양2</x:v>
      </x:c>
      <x:c r="T849" s="81" t="str">
        <x:v>담수3</x:v>
      </x:c>
      <x:c r="U849" s="81" t="str">
        <x:v>해양2</x:v>
      </x:c>
      <x:c r="V849" s="81" t="str">
        <x:v>담수3</x:v>
      </x:c>
    </x:row>
    <x:row r="850">
      <x:c r="A850" s="80" t="n">
        <x:v>846</x:v>
      </x:c>
      <x:c r="B850" s="80" t="str">
        <x:v>찌로꼬치</x:v>
      </x:c>
      <x:c r="C850" s="80" t="str">
        <x:v>arrokuda</x:v>
      </x:c>
      <x:c r="D850" s="80" t="str">
        <x:v>해양</x:v>
      </x:c>
      <x:c r="E850" s="81" t="str">
        <x:v>—</x:v>
      </x:c>
      <x:c r="F850" s="81" t="str">
        <x:v>—</x:v>
      </x:c>
      <x:c r="G850" s="81" t="str">
        <x:v>—</x:v>
      </x:c>
      <x:c r="H850" s="81" t="str">
        <x:v>—</x:v>
      </x:c>
      <x:c r="I850" s="81" t="str">
        <x:v>—</x:v>
      </x:c>
      <x:c r="J850" s="81" t="str">
        <x:v>—</x:v>
      </x:c>
      <x:c r="K850" s="81" t="str">
        <x:v>—</x:v>
      </x:c>
      <x:c r="L850" s="81" t="str">
        <x:v>—</x:v>
      </x:c>
      <x:c r="M850" s="81" t="str">
        <x:v>—</x:v>
      </x:c>
      <x:c r="N850" s="81" t="str">
        <x:v>—</x:v>
      </x:c>
      <x:c r="O850" s="81" t="str">
        <x:v>—</x:v>
      </x:c>
      <x:c r="P850" s="81" t="str">
        <x:v>—</x:v>
      </x:c>
      <x:c r="Q850" s="81" t="str">
        <x:v>—</x:v>
      </x:c>
      <x:c r="R850" s="81" t="str">
        <x:v>—</x:v>
      </x:c>
      <x:c r="S850" s="81" t="str">
        <x:v>해양2</x:v>
      </x:c>
      <x:c r="T850" s="81" t="str">
        <x:v>담수3</x:v>
      </x:c>
      <x:c r="U850" s="81" t="str">
        <x:v>해양2</x:v>
      </x:c>
      <x:c r="V850" s="81" t="str">
        <x:v>담수3</x:v>
      </x:c>
    </x:row>
    <x:row r="851">
      <x:c r="A851" s="80" t="n">
        <x:v>847</x:v>
      </x:c>
      <x:c r="B851" s="80" t="str">
        <x:v>꼬치조</x:v>
      </x:c>
      <x:c r="C851" s="80" t="str">
        <x:v>barraskewda</x:v>
      </x:c>
      <x:c r="D851" s="80" t="str">
        <x:v>해양</x:v>
      </x:c>
      <x:c r="E851" s="81" t="str">
        <x:v>—</x:v>
      </x:c>
      <x:c r="F851" s="81" t="str">
        <x:v>—</x:v>
      </x:c>
      <x:c r="G851" s="81" t="str">
        <x:v>—</x:v>
      </x:c>
      <x:c r="H851" s="81" t="str">
        <x:v>—</x:v>
      </x:c>
      <x:c r="I851" s="81" t="str">
        <x:v>—</x:v>
      </x:c>
      <x:c r="J851" s="81" t="str">
        <x:v>—</x:v>
      </x:c>
      <x:c r="K851" s="81" t="str">
        <x:v>—</x:v>
      </x:c>
      <x:c r="L851" s="81" t="str">
        <x:v>—</x:v>
      </x:c>
      <x:c r="M851" s="81" t="str">
        <x:v>—</x:v>
      </x:c>
      <x:c r="N851" s="81" t="str">
        <x:v>—</x:v>
      </x:c>
      <x:c r="O851" s="81" t="str">
        <x:v>—</x:v>
      </x:c>
      <x:c r="P851" s="81" t="str">
        <x:v>—</x:v>
      </x:c>
      <x:c r="Q851" s="81" t="str">
        <x:v>—</x:v>
      </x:c>
      <x:c r="R851" s="81" t="str">
        <x:v>—</x:v>
      </x:c>
      <x:c r="S851" s="81" t="str">
        <x:v>해양2</x:v>
      </x:c>
      <x:c r="T851" s="81" t="str">
        <x:v>담수3</x:v>
      </x:c>
      <x:c r="U851" s="81" t="str">
        <x:v>해양2</x:v>
      </x:c>
      <x:c r="V851" s="81" t="str">
        <x:v>담수3</x:v>
      </x:c>
    </x:row>
    <x:row r="852">
      <x:c r="A852" s="80" t="n">
        <x:v>848</x:v>
      </x:c>
      <x:c r="B852" s="80" t="str">
        <x:v>일레즌</x:v>
      </x:c>
      <x:c r="C852" s="80" t="str">
        <x:v>toxel</x:v>
      </x:c>
      <x:c r="D852" s="80" t="str">
        <x:v>습지</x:v>
      </x:c>
      <x:c r="E852" s="81" t="str">
        <x:v>—</x:v>
      </x:c>
      <x:c r="F852" s="81" t="str">
        <x:v>—</x:v>
      </x:c>
      <x:c r="G852" s="81" t="str">
        <x:v>—</x:v>
      </x:c>
      <x:c r="H852" s="81" t="str">
        <x:v>—</x:v>
      </x:c>
      <x:c r="I852" s="81" t="str">
        <x:v>—</x:v>
      </x:c>
      <x:c r="J852" s="81" t="str">
        <x:v>—</x:v>
      </x:c>
      <x:c r="K852" s="81" t="str">
        <x:v>—</x:v>
      </x:c>
      <x:c r="L852" s="81" t="str">
        <x:v>—</x:v>
      </x:c>
      <x:c r="M852" s="81" t="str">
        <x:v>—</x:v>
      </x:c>
      <x:c r="N852" s="81" t="str">
        <x:v>—</x:v>
      </x:c>
      <x:c r="O852" s="81" t="str">
        <x:v>—</x:v>
      </x:c>
      <x:c r="P852" s="81" t="str">
        <x:v>—</x:v>
      </x:c>
      <x:c r="Q852" s="81" t="str">
        <x:v>—</x:v>
      </x:c>
      <x:c r="R852" s="81" t="str">
        <x:v>—</x:v>
      </x:c>
      <x:c r="S852" s="81" t="str">
        <x:v>습지3</x:v>
      </x:c>
      <x:c r="T852" s="81" t="str">
        <x:v>숲6</x:v>
      </x:c>
      <x:c r="U852" s="81" t="str">
        <x:v>습지3</x:v>
      </x:c>
      <x:c r="V852" s="81" t="str">
        <x:v>숲6</x:v>
      </x:c>
    </x:row>
    <x:row r="853">
      <x:c r="A853" s="80" t="n">
        <x:v>849</x:v>
      </x:c>
      <x:c r="B853" s="80" t="str">
        <x:v>스트린더</x:v>
      </x:c>
      <x:c r="C853" s="80" t="str">
        <x:v>toxtricity</x:v>
      </x:c>
      <x:c r="D853" s="80" t="str">
        <x:v>습지</x:v>
      </x:c>
      <x:c r="E853" s="81" t="str">
        <x:v>—</x:v>
      </x:c>
      <x:c r="F853" s="81" t="str">
        <x:v>—</x:v>
      </x:c>
      <x:c r="G853" s="81" t="str">
        <x:v>—</x:v>
      </x:c>
      <x:c r="H853" s="81" t="str">
        <x:v>—</x:v>
      </x:c>
      <x:c r="I853" s="81" t="str">
        <x:v>—</x:v>
      </x:c>
      <x:c r="J853" s="81" t="str">
        <x:v>—</x:v>
      </x:c>
      <x:c r="K853" s="81" t="str">
        <x:v>—</x:v>
      </x:c>
      <x:c r="L853" s="81" t="str">
        <x:v>—</x:v>
      </x:c>
      <x:c r="M853" s="81" t="str">
        <x:v>—</x:v>
      </x:c>
      <x:c r="N853" s="81" t="str">
        <x:v>—</x:v>
      </x:c>
      <x:c r="O853" s="81" t="str">
        <x:v>—</x:v>
      </x:c>
      <x:c r="P853" s="81" t="str">
        <x:v>—</x:v>
      </x:c>
      <x:c r="Q853" s="81" t="str">
        <x:v>—</x:v>
      </x:c>
      <x:c r="R853" s="81" t="str">
        <x:v>—</x:v>
      </x:c>
      <x:c r="S853" s="81" t="str">
        <x:v>습지3</x:v>
      </x:c>
      <x:c r="T853" s="81" t="str">
        <x:v>숲6</x:v>
      </x:c>
      <x:c r="U853" s="81" t="str">
        <x:v>습지3</x:v>
      </x:c>
      <x:c r="V853" s="81" t="str">
        <x:v>숲6</x:v>
      </x:c>
    </x:row>
    <x:row r="854">
      <x:c r="A854" s="80" t="n">
        <x:v>850</x:v>
      </x:c>
      <x:c r="B854" s="80" t="str">
        <x:v>태우지네</x:v>
      </x:c>
      <x:c r="C854" s="80" t="str">
        <x:v>sizzlipede</x:v>
      </x:c>
      <x:c r="D854" s="80" t="str">
        <x:v>화산</x:v>
      </x:c>
      <x:c r="E854" s="81" t="str">
        <x:v>—</x:v>
      </x:c>
      <x:c r="F854" s="81" t="str">
        <x:v>—</x:v>
      </x:c>
      <x:c r="G854" s="81" t="str">
        <x:v>—</x:v>
      </x:c>
      <x:c r="H854" s="81" t="str">
        <x:v>—</x:v>
      </x:c>
      <x:c r="I854" s="81" t="str">
        <x:v>—</x:v>
      </x:c>
      <x:c r="J854" s="81" t="str">
        <x:v>—</x:v>
      </x:c>
      <x:c r="K854" s="81" t="str">
        <x:v>—</x:v>
      </x:c>
      <x:c r="L854" s="81" t="str">
        <x:v>—</x:v>
      </x:c>
      <x:c r="M854" s="81" t="str">
        <x:v>—</x:v>
      </x:c>
      <x:c r="N854" s="81" t="str">
        <x:v>—</x:v>
      </x:c>
      <x:c r="O854" s="81" t="str">
        <x:v>—</x:v>
      </x:c>
      <x:c r="P854" s="81" t="str">
        <x:v>—</x:v>
      </x:c>
      <x:c r="Q854" s="81" t="str">
        <x:v>—</x:v>
      </x:c>
      <x:c r="R854" s="81" t="str">
        <x:v>—</x:v>
      </x:c>
      <x:c r="S854" s="81" t="str">
        <x:v>화산2</x:v>
      </x:c>
      <x:c r="T854" s="81" t="str">
        <x:v>건조지2</x:v>
      </x:c>
      <x:c r="U854" s="81" t="str">
        <x:v>—</x:v>
      </x:c>
      <x:c r="V854" s="81" t="str">
        <x:v>—</x:v>
      </x:c>
    </x:row>
    <x:row r="855">
      <x:c r="A855" s="80" t="n">
        <x:v>851</x:v>
      </x:c>
      <x:c r="B855" s="80" t="str">
        <x:v>다태우지네</x:v>
      </x:c>
      <x:c r="C855" s="80" t="str">
        <x:v>centiskorch</x:v>
      </x:c>
      <x:c r="D855" s="80" t="str">
        <x:v>화산</x:v>
      </x:c>
      <x:c r="E855" s="81" t="str">
        <x:v>—</x:v>
      </x:c>
      <x:c r="F855" s="81" t="str">
        <x:v>—</x:v>
      </x:c>
      <x:c r="G855" s="81" t="str">
        <x:v>—</x:v>
      </x:c>
      <x:c r="H855" s="81" t="str">
        <x:v>—</x:v>
      </x:c>
      <x:c r="I855" s="81" t="str">
        <x:v>—</x:v>
      </x:c>
      <x:c r="J855" s="81" t="str">
        <x:v>—</x:v>
      </x:c>
      <x:c r="K855" s="81" t="str">
        <x:v>—</x:v>
      </x:c>
      <x:c r="L855" s="81" t="str">
        <x:v>—</x:v>
      </x:c>
      <x:c r="M855" s="81" t="str">
        <x:v>—</x:v>
      </x:c>
      <x:c r="N855" s="81" t="str">
        <x:v>—</x:v>
      </x:c>
      <x:c r="O855" s="81" t="str">
        <x:v>—</x:v>
      </x:c>
      <x:c r="P855" s="81" t="str">
        <x:v>—</x:v>
      </x:c>
      <x:c r="Q855" s="81" t="str">
        <x:v>—</x:v>
      </x:c>
      <x:c r="R855" s="81" t="str">
        <x:v>—</x:v>
      </x:c>
      <x:c r="S855" s="81" t="str">
        <x:v>화산2</x:v>
      </x:c>
      <x:c r="T855" s="81" t="str">
        <x:v>건조지2</x:v>
      </x:c>
      <x:c r="U855" s="81" t="str">
        <x:v>—</x:v>
      </x:c>
      <x:c r="V855" s="81" t="str">
        <x:v>—</x:v>
      </x:c>
    </x:row>
    <x:row r="856">
      <x:c r="A856" s="80" t="n">
        <x:v>852</x:v>
      </x:c>
      <x:c r="B856" s="80" t="str">
        <x:v>때때무노</x:v>
      </x:c>
      <x:c r="C856" s="80" t="str">
        <x:v>clobbopus</x:v>
      </x:c>
      <x:c r="D856" s="80" t="str">
        <x:v>해양</x:v>
      </x:c>
      <x:c r="E856" s="81" t="str">
        <x:v>—</x:v>
      </x:c>
      <x:c r="F856" s="81" t="str">
        <x:v>—</x:v>
      </x:c>
      <x:c r="G856" s="81" t="str">
        <x:v>—</x:v>
      </x:c>
      <x:c r="H856" s="81" t="str">
        <x:v>—</x:v>
      </x:c>
      <x:c r="I856" s="81" t="str">
        <x:v>—</x:v>
      </x:c>
      <x:c r="J856" s="81" t="str">
        <x:v>—</x:v>
      </x:c>
      <x:c r="K856" s="81" t="str">
        <x:v>—</x:v>
      </x:c>
      <x:c r="L856" s="81" t="str">
        <x:v>—</x:v>
      </x:c>
      <x:c r="M856" s="81" t="str">
        <x:v>—</x:v>
      </x:c>
      <x:c r="N856" s="81" t="str">
        <x:v>—</x:v>
      </x:c>
      <x:c r="O856" s="81" t="str">
        <x:v>—</x:v>
      </x:c>
      <x:c r="P856" s="81" t="str">
        <x:v>—</x:v>
      </x:c>
      <x:c r="Q856" s="81" t="str">
        <x:v>—</x:v>
      </x:c>
      <x:c r="R856" s="81" t="str">
        <x:v>—</x:v>
      </x:c>
      <x:c r="S856" s="81" t="str">
        <x:v>해양2</x:v>
      </x:c>
      <x:c r="T856" s="81" t="str">
        <x:v>담수3</x:v>
      </x:c>
      <x:c r="U856" s="81" t="str">
        <x:v>—</x:v>
      </x:c>
      <x:c r="V856" s="81" t="str">
        <x:v>—</x:v>
      </x:c>
    </x:row>
    <x:row r="857">
      <x:c r="A857" s="80" t="n">
        <x:v>853</x:v>
      </x:c>
      <x:c r="B857" s="80" t="str">
        <x:v>케오퍼스</x:v>
      </x:c>
      <x:c r="C857" s="80" t="str">
        <x:v>grapploct</x:v>
      </x:c>
      <x:c r="D857" s="80" t="str">
        <x:v>해양</x:v>
      </x:c>
      <x:c r="E857" s="81" t="str">
        <x:v>—</x:v>
      </x:c>
      <x:c r="F857" s="81" t="str">
        <x:v>—</x:v>
      </x:c>
      <x:c r="G857" s="81" t="str">
        <x:v>—</x:v>
      </x:c>
      <x:c r="H857" s="81" t="str">
        <x:v>—</x:v>
      </x:c>
      <x:c r="I857" s="81" t="str">
        <x:v>—</x:v>
      </x:c>
      <x:c r="J857" s="81" t="str">
        <x:v>—</x:v>
      </x:c>
      <x:c r="K857" s="81" t="str">
        <x:v>—</x:v>
      </x:c>
      <x:c r="L857" s="81" t="str">
        <x:v>—</x:v>
      </x:c>
      <x:c r="M857" s="81" t="str">
        <x:v>—</x:v>
      </x:c>
      <x:c r="N857" s="81" t="str">
        <x:v>—</x:v>
      </x:c>
      <x:c r="O857" s="81" t="str">
        <x:v>—</x:v>
      </x:c>
      <x:c r="P857" s="81" t="str">
        <x:v>—</x:v>
      </x:c>
      <x:c r="Q857" s="81" t="str">
        <x:v>—</x:v>
      </x:c>
      <x:c r="R857" s="81" t="str">
        <x:v>—</x:v>
      </x:c>
      <x:c r="S857" s="81" t="str">
        <x:v>해양2</x:v>
      </x:c>
      <x:c r="T857" s="81" t="str">
        <x:v>담수3</x:v>
      </x:c>
      <x:c r="U857" s="81" t="str">
        <x:v>—</x:v>
      </x:c>
      <x:c r="V857" s="81" t="str">
        <x:v>—</x:v>
      </x:c>
    </x:row>
    <x:row r="858">
      <x:c r="A858" s="80" t="n">
        <x:v>854</x:v>
      </x:c>
      <x:c r="B858" s="80" t="str">
        <x:v>데인차</x:v>
      </x:c>
      <x:c r="C858" s="80" t="str">
        <x:v>sinistea</x:v>
      </x:c>
      <x:c r="D858" s="80" t="str">
        <x:v>특수</x:v>
      </x:c>
      <x:c r="E858" s="81" t="str">
        <x:v>—</x:v>
      </x:c>
      <x:c r="F858" s="81" t="str">
        <x:v>—</x:v>
      </x:c>
      <x:c r="G858" s="81" t="str">
        <x:v>—</x:v>
      </x:c>
      <x:c r="H858" s="81" t="str">
        <x:v>—</x:v>
      </x:c>
      <x:c r="I858" s="81" t="str">
        <x:v>—</x:v>
      </x:c>
      <x:c r="J858" s="81" t="str">
        <x:v>—</x:v>
      </x:c>
      <x:c r="K858" s="81" t="str">
        <x:v>—</x:v>
      </x:c>
      <x:c r="L858" s="81" t="str">
        <x:v>—</x:v>
      </x:c>
      <x:c r="M858" s="81" t="str">
        <x:v>—</x:v>
      </x:c>
      <x:c r="N858" s="81" t="str">
        <x:v>—</x:v>
      </x:c>
      <x:c r="O858" s="81" t="str">
        <x:v>—</x:v>
      </x:c>
      <x:c r="P858" s="81" t="str">
        <x:v>—</x:v>
      </x:c>
      <x:c r="Q858" s="81" t="str">
        <x:v>—</x:v>
      </x:c>
      <x:c r="R858" s="81" t="str">
        <x:v>—</x:v>
      </x:c>
      <x:c r="S858" s="81" t="str">
        <x:v>특수2</x:v>
      </x:c>
      <x:c r="T858" s="81" t="str">
        <x:v>도시1</x:v>
      </x:c>
      <x:c r="U858" s="81" t="str">
        <x:v>특수2</x:v>
      </x:c>
      <x:c r="V858" s="81" t="str">
        <x:v>도시1</x:v>
      </x:c>
    </x:row>
    <x:row r="859">
      <x:c r="A859" s="80" t="n">
        <x:v>855</x:v>
      </x:c>
      <x:c r="B859" s="80" t="str">
        <x:v>포트데스</x:v>
      </x:c>
      <x:c r="C859" s="80" t="str">
        <x:v>polteageist</x:v>
      </x:c>
      <x:c r="D859" s="80" t="str">
        <x:v>특수</x:v>
      </x:c>
      <x:c r="E859" s="81" t="str">
        <x:v>—</x:v>
      </x:c>
      <x:c r="F859" s="81" t="str">
        <x:v>—</x:v>
      </x:c>
      <x:c r="G859" s="81" t="str">
        <x:v>—</x:v>
      </x:c>
      <x:c r="H859" s="81" t="str">
        <x:v>—</x:v>
      </x:c>
      <x:c r="I859" s="81" t="str">
        <x:v>—</x:v>
      </x:c>
      <x:c r="J859" s="81" t="str">
        <x:v>—</x:v>
      </x:c>
      <x:c r="K859" s="81" t="str">
        <x:v>—</x:v>
      </x:c>
      <x:c r="L859" s="81" t="str">
        <x:v>—</x:v>
      </x:c>
      <x:c r="M859" s="81" t="str">
        <x:v>—</x:v>
      </x:c>
      <x:c r="N859" s="81" t="str">
        <x:v>—</x:v>
      </x:c>
      <x:c r="O859" s="81" t="str">
        <x:v>—</x:v>
      </x:c>
      <x:c r="P859" s="81" t="str">
        <x:v>—</x:v>
      </x:c>
      <x:c r="Q859" s="81" t="str">
        <x:v>—</x:v>
      </x:c>
      <x:c r="R859" s="81" t="str">
        <x:v>—</x:v>
      </x:c>
      <x:c r="S859" s="81" t="str">
        <x:v>특수2</x:v>
      </x:c>
      <x:c r="T859" s="81" t="str">
        <x:v>도시1</x:v>
      </x:c>
      <x:c r="U859" s="81" t="str">
        <x:v>특수2</x:v>
      </x:c>
      <x:c r="V859" s="81" t="str">
        <x:v>도시1</x:v>
      </x:c>
    </x:row>
    <x:row r="860">
      <x:c r="A860" s="80" t="n">
        <x:v>856</x:v>
      </x:c>
      <x:c r="B860" s="80" t="str">
        <x:v>몸지브림</x:v>
      </x:c>
      <x:c r="C860" s="80" t="str">
        <x:v>hatenna</x:v>
      </x:c>
      <x:c r="D860" s="80" t="str">
        <x:v>숲</x:v>
      </x:c>
      <x:c r="E860" s="81" t="str">
        <x:v>—</x:v>
      </x:c>
      <x:c r="F860" s="81" t="str">
        <x:v>—</x:v>
      </x:c>
      <x:c r="G860" s="81" t="str">
        <x:v>—</x:v>
      </x:c>
      <x:c r="H860" s="81" t="str">
        <x:v>—</x:v>
      </x:c>
      <x:c r="I860" s="81" t="str">
        <x:v>—</x:v>
      </x:c>
      <x:c r="J860" s="81" t="str">
        <x:v>—</x:v>
      </x:c>
      <x:c r="K860" s="81" t="str">
        <x:v>—</x:v>
      </x:c>
      <x:c r="L860" s="81" t="str">
        <x:v>—</x:v>
      </x:c>
      <x:c r="M860" s="81" t="str">
        <x:v>—</x:v>
      </x:c>
      <x:c r="N860" s="81" t="str">
        <x:v>—</x:v>
      </x:c>
      <x:c r="O860" s="81" t="str">
        <x:v>—</x:v>
      </x:c>
      <x:c r="P860" s="81" t="str">
        <x:v>—</x:v>
      </x:c>
      <x:c r="Q860" s="81" t="str">
        <x:v>—</x:v>
      </x:c>
      <x:c r="R860" s="81" t="str">
        <x:v>—</x:v>
      </x:c>
      <x:c r="S860" s="81" t="str">
        <x:v>숲6</x:v>
      </x:c>
      <x:c r="T860" s="81" t="str">
        <x:v>평원6</x:v>
      </x:c>
      <x:c r="U860" s="81" t="str">
        <x:v>숲6</x:v>
      </x:c>
      <x:c r="V860" s="81" t="str">
        <x:v>평원6</x:v>
      </x:c>
    </x:row>
    <x:row r="861">
      <x:c r="A861" s="80" t="n">
        <x:v>857</x:v>
      </x:c>
      <x:c r="B861" s="80" t="str">
        <x:v>손지브림</x:v>
      </x:c>
      <x:c r="C861" s="80" t="str">
        <x:v>hattrem</x:v>
      </x:c>
      <x:c r="D861" s="80" t="str">
        <x:v>숲</x:v>
      </x:c>
      <x:c r="E861" s="81" t="str">
        <x:v>—</x:v>
      </x:c>
      <x:c r="F861" s="81" t="str">
        <x:v>—</x:v>
      </x:c>
      <x:c r="G861" s="81" t="str">
        <x:v>—</x:v>
      </x:c>
      <x:c r="H861" s="81" t="str">
        <x:v>—</x:v>
      </x:c>
      <x:c r="I861" s="81" t="str">
        <x:v>—</x:v>
      </x:c>
      <x:c r="J861" s="81" t="str">
        <x:v>—</x:v>
      </x:c>
      <x:c r="K861" s="81" t="str">
        <x:v>—</x:v>
      </x:c>
      <x:c r="L861" s="81" t="str">
        <x:v>—</x:v>
      </x:c>
      <x:c r="M861" s="81" t="str">
        <x:v>—</x:v>
      </x:c>
      <x:c r="N861" s="81" t="str">
        <x:v>—</x:v>
      </x:c>
      <x:c r="O861" s="81" t="str">
        <x:v>—</x:v>
      </x:c>
      <x:c r="P861" s="81" t="str">
        <x:v>—</x:v>
      </x:c>
      <x:c r="Q861" s="81" t="str">
        <x:v>—</x:v>
      </x:c>
      <x:c r="R861" s="81" t="str">
        <x:v>—</x:v>
      </x:c>
      <x:c r="S861" s="81" t="str">
        <x:v>숲6</x:v>
      </x:c>
      <x:c r="T861" s="81" t="str">
        <x:v>평원6</x:v>
      </x:c>
      <x:c r="U861" s="81" t="str">
        <x:v>숲6</x:v>
      </x:c>
      <x:c r="V861" s="81" t="str">
        <x:v>평원6</x:v>
      </x:c>
    </x:row>
    <x:row r="862">
      <x:c r="A862" s="80" t="n">
        <x:v>858</x:v>
      </x:c>
      <x:c r="B862" s="80" t="str">
        <x:v>브리무음</x:v>
      </x:c>
      <x:c r="C862" s="80" t="str">
        <x:v>hatterene</x:v>
      </x:c>
      <x:c r="D862" s="80" t="str">
        <x:v>숲</x:v>
      </x:c>
      <x:c r="E862" s="81" t="str">
        <x:v>—</x:v>
      </x:c>
      <x:c r="F862" s="81" t="str">
        <x:v>—</x:v>
      </x:c>
      <x:c r="G862" s="81" t="str">
        <x:v>—</x:v>
      </x:c>
      <x:c r="H862" s="81" t="str">
        <x:v>—</x:v>
      </x:c>
      <x:c r="I862" s="81" t="str">
        <x:v>—</x:v>
      </x:c>
      <x:c r="J862" s="81" t="str">
        <x:v>—</x:v>
      </x:c>
      <x:c r="K862" s="81" t="str">
        <x:v>—</x:v>
      </x:c>
      <x:c r="L862" s="81" t="str">
        <x:v>—</x:v>
      </x:c>
      <x:c r="M862" s="81" t="str">
        <x:v>—</x:v>
      </x:c>
      <x:c r="N862" s="81" t="str">
        <x:v>—</x:v>
      </x:c>
      <x:c r="O862" s="81" t="str">
        <x:v>—</x:v>
      </x:c>
      <x:c r="P862" s="81" t="str">
        <x:v>—</x:v>
      </x:c>
      <x:c r="Q862" s="81" t="str">
        <x:v>—</x:v>
      </x:c>
      <x:c r="R862" s="81" t="str">
        <x:v>—</x:v>
      </x:c>
      <x:c r="S862" s="81" t="str">
        <x:v>숲6</x:v>
      </x:c>
      <x:c r="T862" s="81" t="str">
        <x:v>평원6</x:v>
      </x:c>
      <x:c r="U862" s="81" t="str">
        <x:v>숲6</x:v>
      </x:c>
      <x:c r="V862" s="81" t="str">
        <x:v>평원6</x:v>
      </x:c>
    </x:row>
    <x:row r="863">
      <x:c r="A863" s="80" t="n">
        <x:v>859</x:v>
      </x:c>
      <x:c r="B863" s="80" t="str">
        <x:v>메롱꿍</x:v>
      </x:c>
      <x:c r="C863" s="80" t="str">
        <x:v>impidimp</x:v>
      </x:c>
      <x:c r="D863" s="80" t="str">
        <x:v>화산</x:v>
      </x:c>
      <x:c r="E863" s="81" t="str">
        <x:v>—</x:v>
      </x:c>
      <x:c r="F863" s="81" t="str">
        <x:v>—</x:v>
      </x:c>
      <x:c r="G863" s="81" t="str">
        <x:v>—</x:v>
      </x:c>
      <x:c r="H863" s="81" t="str">
        <x:v>—</x:v>
      </x:c>
      <x:c r="I863" s="81" t="str">
        <x:v>—</x:v>
      </x:c>
      <x:c r="J863" s="81" t="str">
        <x:v>—</x:v>
      </x:c>
      <x:c r="K863" s="81" t="str">
        <x:v>—</x:v>
      </x:c>
      <x:c r="L863" s="81" t="str">
        <x:v>—</x:v>
      </x:c>
      <x:c r="M863" s="81" t="str">
        <x:v>—</x:v>
      </x:c>
      <x:c r="N863" s="81" t="str">
        <x:v>—</x:v>
      </x:c>
      <x:c r="O863" s="81" t="str">
        <x:v>—</x:v>
      </x:c>
      <x:c r="P863" s="81" t="str">
        <x:v>—</x:v>
      </x:c>
      <x:c r="Q863" s="81" t="str">
        <x:v>—</x:v>
      </x:c>
      <x:c r="R863" s="81" t="str">
        <x:v>—</x:v>
      </x:c>
      <x:c r="S863" s="81" t="str">
        <x:v>화산2</x:v>
      </x:c>
      <x:c r="T863" s="81" t="str">
        <x:v>특수2</x:v>
      </x:c>
      <x:c r="U863" s="81" t="str">
        <x:v>화산3</x:v>
      </x:c>
      <x:c r="V863" s="81" t="str">
        <x:v>특수2</x:v>
      </x:c>
    </x:row>
    <x:row r="864">
      <x:c r="A864" s="80" t="n">
        <x:v>860</x:v>
      </x:c>
      <x:c r="B864" s="80" t="str">
        <x:v>쏘겨모</x:v>
      </x:c>
      <x:c r="C864" s="80" t="str">
        <x:v>morgrem</x:v>
      </x:c>
      <x:c r="D864" s="80" t="str">
        <x:v>화산</x:v>
      </x:c>
      <x:c r="E864" s="81" t="str">
        <x:v>—</x:v>
      </x:c>
      <x:c r="F864" s="81" t="str">
        <x:v>—</x:v>
      </x:c>
      <x:c r="G864" s="81" t="str">
        <x:v>—</x:v>
      </x:c>
      <x:c r="H864" s="81" t="str">
        <x:v>—</x:v>
      </x:c>
      <x:c r="I864" s="81" t="str">
        <x:v>—</x:v>
      </x:c>
      <x:c r="J864" s="81" t="str">
        <x:v>—</x:v>
      </x:c>
      <x:c r="K864" s="81" t="str">
        <x:v>—</x:v>
      </x:c>
      <x:c r="L864" s="81" t="str">
        <x:v>—</x:v>
      </x:c>
      <x:c r="M864" s="81" t="str">
        <x:v>—</x:v>
      </x:c>
      <x:c r="N864" s="81" t="str">
        <x:v>—</x:v>
      </x:c>
      <x:c r="O864" s="81" t="str">
        <x:v>—</x:v>
      </x:c>
      <x:c r="P864" s="81" t="str">
        <x:v>—</x:v>
      </x:c>
      <x:c r="Q864" s="81" t="str">
        <x:v>—</x:v>
      </x:c>
      <x:c r="R864" s="81" t="str">
        <x:v>—</x:v>
      </x:c>
      <x:c r="S864" s="81" t="str">
        <x:v>화산2</x:v>
      </x:c>
      <x:c r="T864" s="81" t="str">
        <x:v>건조지2</x:v>
      </x:c>
      <x:c r="U864" s="81" t="str">
        <x:v>화산3</x:v>
      </x:c>
      <x:c r="V864" s="81" t="str">
        <x:v>건조지3</x:v>
      </x:c>
    </x:row>
    <x:row r="865">
      <x:c r="A865" s="80" t="n">
        <x:v>861</x:v>
      </x:c>
      <x:c r="B865" s="80" t="str">
        <x:v>오롱털</x:v>
      </x:c>
      <x:c r="C865" s="80" t="str">
        <x:v>grimmsnarl</x:v>
      </x:c>
      <x:c r="D865" s="80" t="str">
        <x:v>화산</x:v>
      </x:c>
      <x:c r="E865" s="81" t="str">
        <x:v>—</x:v>
      </x:c>
      <x:c r="F865" s="81" t="str">
        <x:v>—</x:v>
      </x:c>
      <x:c r="G865" s="81" t="str">
        <x:v>—</x:v>
      </x:c>
      <x:c r="H865" s="81" t="str">
        <x:v>—</x:v>
      </x:c>
      <x:c r="I865" s="81" t="str">
        <x:v>—</x:v>
      </x:c>
      <x:c r="J865" s="81" t="str">
        <x:v>—</x:v>
      </x:c>
      <x:c r="K865" s="81" t="str">
        <x:v>—</x:v>
      </x:c>
      <x:c r="L865" s="81" t="str">
        <x:v>—</x:v>
      </x:c>
      <x:c r="M865" s="81" t="str">
        <x:v>—</x:v>
      </x:c>
      <x:c r="N865" s="81" t="str">
        <x:v>—</x:v>
      </x:c>
      <x:c r="O865" s="81" t="str">
        <x:v>—</x:v>
      </x:c>
      <x:c r="P865" s="81" t="str">
        <x:v>—</x:v>
      </x:c>
      <x:c r="Q865" s="81" t="str">
        <x:v>—</x:v>
      </x:c>
      <x:c r="R865" s="81" t="str">
        <x:v>—</x:v>
      </x:c>
      <x:c r="S865" s="81" t="str">
        <x:v>화산2</x:v>
      </x:c>
      <x:c r="T865" s="81" t="str">
        <x:v>건조지2</x:v>
      </x:c>
      <x:c r="U865" s="81" t="str">
        <x:v>화산3</x:v>
      </x:c>
      <x:c r="V865" s="81" t="str">
        <x:v>건조지3</x:v>
      </x:c>
    </x:row>
    <x:row r="866">
      <x:c r="A866" s="80" t="n">
        <x:v>862</x:v>
      </x:c>
      <x:c r="B866" s="80" t="str">
        <x:v>가로막구리</x:v>
      </x:c>
      <x:c r="C866" s="80" t="str">
        <x:v>obstagoon</x:v>
      </x:c>
      <x:c r="D866" s="80" t="str">
        <x:v>숲</x:v>
      </x:c>
      <x:c r="E866" s="81" t="str">
        <x:v>—</x:v>
      </x:c>
      <x:c r="F866" s="81" t="str">
        <x:v>—</x:v>
      </x:c>
      <x:c r="G866" s="81" t="str">
        <x:v>—</x:v>
      </x:c>
      <x:c r="H866" s="81" t="str">
        <x:v>—</x:v>
      </x:c>
      <x:c r="I866" s="81" t="str">
        <x:v>—</x:v>
      </x:c>
      <x:c r="J866" s="81" t="str">
        <x:v>—</x:v>
      </x:c>
      <x:c r="K866" s="81" t="str">
        <x:v>—</x:v>
      </x:c>
      <x:c r="L866" s="81" t="str">
        <x:v>—</x:v>
      </x:c>
      <x:c r="M866" s="81" t="str">
        <x:v>—</x:v>
      </x:c>
      <x:c r="N866" s="81" t="str">
        <x:v>—</x:v>
      </x:c>
      <x:c r="O866" s="81" t="str">
        <x:v>—</x:v>
      </x:c>
      <x:c r="P866" s="81" t="str">
        <x:v>—</x:v>
      </x:c>
      <x:c r="Q866" s="81" t="str">
        <x:v>—</x:v>
      </x:c>
      <x:c r="R866" s="81" t="str">
        <x:v>—</x:v>
      </x:c>
      <x:c r="S866" s="81" t="str">
        <x:v>숲6</x:v>
      </x:c>
      <x:c r="T866" s="81" t="str">
        <x:v>평원6</x:v>
      </x:c>
      <x:c r="U866" s="81" t="str">
        <x:v>—</x:v>
      </x:c>
      <x:c r="V866" s="81" t="str">
        <x:v>—</x:v>
      </x:c>
    </x:row>
    <x:row r="867">
      <x:c r="A867" s="80" t="n">
        <x:v>863</x:v>
      </x:c>
      <x:c r="B867" s="80" t="str">
        <x:v>나이킹</x:v>
      </x:c>
      <x:c r="C867" s="80" t="str">
        <x:v>perrserker</x:v>
      </x:c>
      <x:c r="D867" s="80" t="str">
        <x:v>숲</x:v>
      </x:c>
      <x:c r="E867" s="81" t="str">
        <x:v>—</x:v>
      </x:c>
      <x:c r="F867" s="81" t="str">
        <x:v>—</x:v>
      </x:c>
      <x:c r="G867" s="81" t="str">
        <x:v>—</x:v>
      </x:c>
      <x:c r="H867" s="81" t="str">
        <x:v>—</x:v>
      </x:c>
      <x:c r="I867" s="81" t="str">
        <x:v>—</x:v>
      </x:c>
      <x:c r="J867" s="81" t="str">
        <x:v>—</x:v>
      </x:c>
      <x:c r="K867" s="81" t="str">
        <x:v>—</x:v>
      </x:c>
      <x:c r="L867" s="81" t="str">
        <x:v>—</x:v>
      </x:c>
      <x:c r="M867" s="81" t="str">
        <x:v>—</x:v>
      </x:c>
      <x:c r="N867" s="81" t="str">
        <x:v>—</x:v>
      </x:c>
      <x:c r="O867" s="81" t="str">
        <x:v>—</x:v>
      </x:c>
      <x:c r="P867" s="81" t="str">
        <x:v>—</x:v>
      </x:c>
      <x:c r="Q867" s="81" t="str">
        <x:v>—</x:v>
      </x:c>
      <x:c r="R867" s="81" t="str">
        <x:v>—</x:v>
      </x:c>
      <x:c r="S867" s="81" t="str">
        <x:v>숲6</x:v>
      </x:c>
      <x:c r="T867" s="81" t="str">
        <x:v>산악4</x:v>
      </x:c>
      <x:c r="U867" s="81" t="str">
        <x:v>—</x:v>
      </x:c>
      <x:c r="V867" s="81" t="str">
        <x:v>—</x:v>
      </x:c>
    </x:row>
    <x:row r="868">
      <x:c r="A868" s="80" t="n">
        <x:v>864</x:v>
      </x:c>
      <x:c r="B868" s="80" t="str">
        <x:v>산호르곤</x:v>
      </x:c>
      <x:c r="C868" s="80" t="str">
        <x:v>cursola</x:v>
      </x:c>
      <x:c r="D868" s="80" t="str">
        <x:v>해양</x:v>
      </x:c>
      <x:c r="E868" s="81" t="str">
        <x:v>—</x:v>
      </x:c>
      <x:c r="F868" s="81" t="str">
        <x:v>—</x:v>
      </x:c>
      <x:c r="G868" s="81" t="str">
        <x:v>—</x:v>
      </x:c>
      <x:c r="H868" s="81" t="str">
        <x:v>—</x:v>
      </x:c>
      <x:c r="I868" s="81" t="str">
        <x:v>—</x:v>
      </x:c>
      <x:c r="J868" s="81" t="str">
        <x:v>—</x:v>
      </x:c>
      <x:c r="K868" s="81" t="str">
        <x:v>—</x:v>
      </x:c>
      <x:c r="L868" s="81" t="str">
        <x:v>—</x:v>
      </x:c>
      <x:c r="M868" s="81" t="str">
        <x:v>—</x:v>
      </x:c>
      <x:c r="N868" s="81" t="str">
        <x:v>—</x:v>
      </x:c>
      <x:c r="O868" s="81" t="str">
        <x:v>—</x:v>
      </x:c>
      <x:c r="P868" s="81" t="str">
        <x:v>—</x:v>
      </x:c>
      <x:c r="Q868" s="81" t="str">
        <x:v>—</x:v>
      </x:c>
      <x:c r="R868" s="81" t="str">
        <x:v>—</x:v>
      </x:c>
      <x:c r="S868" s="81" t="str">
        <x:v>해양2</x:v>
      </x:c>
      <x:c r="T868" s="81" t="str">
        <x:v>특수2</x:v>
      </x:c>
      <x:c r="U868" s="81" t="str">
        <x:v>—</x:v>
      </x:c>
      <x:c r="V868" s="81" t="str">
        <x:v>—</x:v>
      </x:c>
    </x:row>
    <x:row r="869">
      <x:c r="A869" s="80" t="n">
        <x:v>865</x:v>
      </x:c>
      <x:c r="B869" s="80" t="str">
        <x:v>창파나이트</x:v>
      </x:c>
      <x:c r="C869" s="80" t="str">
        <x:v>sirfetchd</x:v>
      </x:c>
      <x:c r="D869" s="80" t="str">
        <x:v>숲</x:v>
      </x:c>
      <x:c r="E869" s="81" t="str">
        <x:v>—</x:v>
      </x:c>
      <x:c r="F869" s="81" t="str">
        <x:v>—</x:v>
      </x:c>
      <x:c r="G869" s="81" t="str">
        <x:v>—</x:v>
      </x:c>
      <x:c r="H869" s="81" t="str">
        <x:v>—</x:v>
      </x:c>
      <x:c r="I869" s="81" t="str">
        <x:v>—</x:v>
      </x:c>
      <x:c r="J869" s="81" t="str">
        <x:v>—</x:v>
      </x:c>
      <x:c r="K869" s="81" t="str">
        <x:v>—</x:v>
      </x:c>
      <x:c r="L869" s="81" t="str">
        <x:v>—</x:v>
      </x:c>
      <x:c r="M869" s="81" t="str">
        <x:v>—</x:v>
      </x:c>
      <x:c r="N869" s="81" t="str">
        <x:v>—</x:v>
      </x:c>
      <x:c r="O869" s="81" t="str">
        <x:v>—</x:v>
      </x:c>
      <x:c r="P869" s="81" t="str">
        <x:v>—</x:v>
      </x:c>
      <x:c r="Q869" s="81" t="str">
        <x:v>—</x:v>
      </x:c>
      <x:c r="R869" s="81" t="str">
        <x:v>—</x:v>
      </x:c>
      <x:c r="S869" s="81" t="str">
        <x:v>숲6</x:v>
      </x:c>
      <x:c r="T869" s="81" t="str">
        <x:v>평원6</x:v>
      </x:c>
      <x:c r="U869" s="81" t="str">
        <x:v>—</x:v>
      </x:c>
      <x:c r="V869" s="81" t="str">
        <x:v>—</x:v>
      </x:c>
    </x:row>
    <x:row r="870">
      <x:c r="A870" s="80" t="n">
        <x:v>866</x:v>
      </x:c>
      <x:c r="B870" s="80" t="str">
        <x:v>마임꽁꽁</x:v>
      </x:c>
      <x:c r="C870" s="80" t="str">
        <x:v>mrrime</x:v>
      </x:c>
      <x:c r="D870" s="80" t="str">
        <x:v>설원</x:v>
      </x:c>
      <x:c r="E870" s="81" t="str">
        <x:v>—</x:v>
      </x:c>
      <x:c r="F870" s="81" t="str">
        <x:v>—</x:v>
      </x:c>
      <x:c r="G870" s="81" t="str">
        <x:v>—</x:v>
      </x:c>
      <x:c r="H870" s="81" t="str">
        <x:v>—</x:v>
      </x:c>
      <x:c r="I870" s="81" t="str">
        <x:v>—</x:v>
      </x:c>
      <x:c r="J870" s="81" t="str">
        <x:v>—</x:v>
      </x:c>
      <x:c r="K870" s="81" t="str">
        <x:v>—</x:v>
      </x:c>
      <x:c r="L870" s="81" t="str">
        <x:v>—</x:v>
      </x:c>
      <x:c r="M870" s="81" t="str">
        <x:v>—</x:v>
      </x:c>
      <x:c r="N870" s="81" t="str">
        <x:v>—</x:v>
      </x:c>
      <x:c r="O870" s="81" t="str">
        <x:v>—</x:v>
      </x:c>
      <x:c r="P870" s="81" t="str">
        <x:v>—</x:v>
      </x:c>
      <x:c r="Q870" s="81" t="str">
        <x:v>—</x:v>
      </x:c>
      <x:c r="R870" s="81" t="str">
        <x:v>—</x:v>
      </x:c>
      <x:c r="S870" s="81" t="str">
        <x:v>설원1</x:v>
      </x:c>
      <x:c r="T870" s="81" t="str">
        <x:v>평원6</x:v>
      </x:c>
      <x:c r="U870" s="81" t="str">
        <x:v>—</x:v>
      </x:c>
      <x:c r="V870" s="81" t="str">
        <x:v>—</x:v>
      </x:c>
    </x:row>
    <x:row r="871">
      <x:c r="A871" s="80" t="n">
        <x:v>867</x:v>
      </x:c>
      <x:c r="B871" s="80" t="str">
        <x:v>데스판</x:v>
      </x:c>
      <x:c r="C871" s="80" t="str">
        <x:v>runerigus</x:v>
      </x:c>
      <x:c r="D871" s="80" t="str">
        <x:v>특수</x:v>
      </x:c>
      <x:c r="E871" s="81" t="str">
        <x:v>—</x:v>
      </x:c>
      <x:c r="F871" s="81" t="str">
        <x:v>—</x:v>
      </x:c>
      <x:c r="G871" s="81" t="str">
        <x:v>—</x:v>
      </x:c>
      <x:c r="H871" s="81" t="str">
        <x:v>—</x:v>
      </x:c>
      <x:c r="I871" s="81" t="str">
        <x:v>—</x:v>
      </x:c>
      <x:c r="J871" s="81" t="str">
        <x:v>—</x:v>
      </x:c>
      <x:c r="K871" s="81" t="str">
        <x:v>—</x:v>
      </x:c>
      <x:c r="L871" s="81" t="str">
        <x:v>—</x:v>
      </x:c>
      <x:c r="M871" s="81" t="str">
        <x:v>—</x:v>
      </x:c>
      <x:c r="N871" s="81" t="str">
        <x:v>—</x:v>
      </x:c>
      <x:c r="O871" s="81" t="str">
        <x:v>—</x:v>
      </x:c>
      <x:c r="P871" s="81" t="str">
        <x:v>—</x:v>
      </x:c>
      <x:c r="Q871" s="81" t="str">
        <x:v>—</x:v>
      </x:c>
      <x:c r="R871" s="81" t="str">
        <x:v>—</x:v>
      </x:c>
      <x:c r="S871" s="81" t="str">
        <x:v>특수2</x:v>
      </x:c>
      <x:c r="T871" s="81" t="str">
        <x:v>산악4</x:v>
      </x:c>
      <x:c r="U871" s="81" t="str">
        <x:v>—</x:v>
      </x:c>
      <x:c r="V871" s="81" t="str">
        <x:v>—</x:v>
      </x:c>
    </x:row>
    <x:row r="872">
      <x:c r="A872" s="80" t="n">
        <x:v>868</x:v>
      </x:c>
      <x:c r="B872" s="80" t="str">
        <x:v>마빌크</x:v>
      </x:c>
      <x:c r="C872" s="80" t="str">
        <x:v>milcery</x:v>
      </x:c>
      <x:c r="D872" s="80" t="str">
        <x:v>평원</x:v>
      </x:c>
      <x:c r="E872" s="81" t="str">
        <x:v>—</x:v>
      </x:c>
      <x:c r="F872" s="81" t="str">
        <x:v>—</x:v>
      </x:c>
      <x:c r="G872" s="81" t="str">
        <x:v>—</x:v>
      </x:c>
      <x:c r="H872" s="81" t="str">
        <x:v>—</x:v>
      </x:c>
      <x:c r="I872" s="81" t="str">
        <x:v>—</x:v>
      </x:c>
      <x:c r="J872" s="81" t="str">
        <x:v>—</x:v>
      </x:c>
      <x:c r="K872" s="81" t="str">
        <x:v>—</x:v>
      </x:c>
      <x:c r="L872" s="81" t="str">
        <x:v>—</x:v>
      </x:c>
      <x:c r="M872" s="81" t="str">
        <x:v>—</x:v>
      </x:c>
      <x:c r="N872" s="81" t="str">
        <x:v>—</x:v>
      </x:c>
      <x:c r="O872" s="81" t="str">
        <x:v>—</x:v>
      </x:c>
      <x:c r="P872" s="81" t="str">
        <x:v>—</x:v>
      </x:c>
      <x:c r="Q872" s="81" t="str">
        <x:v>—</x:v>
      </x:c>
      <x:c r="R872" s="81" t="str">
        <x:v>—</x:v>
      </x:c>
      <x:c r="S872" s="81" t="str">
        <x:v>평원6</x:v>
      </x:c>
      <x:c r="T872" s="81" t="str">
        <x:v>숲6</x:v>
      </x:c>
      <x:c r="U872" s="81" t="str">
        <x:v>평원6</x:v>
      </x:c>
      <x:c r="V872" s="81" t="str">
        <x:v>숲6</x:v>
      </x:c>
    </x:row>
    <x:row r="873">
      <x:c r="A873" s="80" t="n">
        <x:v>869</x:v>
      </x:c>
      <x:c r="B873" s="80" t="str">
        <x:v>마휘핑</x:v>
      </x:c>
      <x:c r="C873" s="80" t="str">
        <x:v>alcremie</x:v>
      </x:c>
      <x:c r="D873" s="80" t="str">
        <x:v>평원</x:v>
      </x:c>
      <x:c r="E873" s="81" t="str">
        <x:v>—</x:v>
      </x:c>
      <x:c r="F873" s="81" t="str">
        <x:v>—</x:v>
      </x:c>
      <x:c r="G873" s="81" t="str">
        <x:v>—</x:v>
      </x:c>
      <x:c r="H873" s="81" t="str">
        <x:v>—</x:v>
      </x:c>
      <x:c r="I873" s="81" t="str">
        <x:v>—</x:v>
      </x:c>
      <x:c r="J873" s="81" t="str">
        <x:v>—</x:v>
      </x:c>
      <x:c r="K873" s="81" t="str">
        <x:v>—</x:v>
      </x:c>
      <x:c r="L873" s="81" t="str">
        <x:v>—</x:v>
      </x:c>
      <x:c r="M873" s="81" t="str">
        <x:v>—</x:v>
      </x:c>
      <x:c r="N873" s="81" t="str">
        <x:v>—</x:v>
      </x:c>
      <x:c r="O873" s="81" t="str">
        <x:v>—</x:v>
      </x:c>
      <x:c r="P873" s="81" t="str">
        <x:v>—</x:v>
      </x:c>
      <x:c r="Q873" s="81" t="str">
        <x:v>—</x:v>
      </x:c>
      <x:c r="R873" s="81" t="str">
        <x:v>—</x:v>
      </x:c>
      <x:c r="S873" s="81" t="str">
        <x:v>평원6</x:v>
      </x:c>
      <x:c r="T873" s="81" t="str">
        <x:v>숲6</x:v>
      </x:c>
      <x:c r="U873" s="81" t="str">
        <x:v>평원6</x:v>
      </x:c>
      <x:c r="V873" s="81" t="str">
        <x:v>숲6</x:v>
      </x:c>
    </x:row>
    <x:row r="874">
      <x:c r="A874" s="80" t="n">
        <x:v>870</x:v>
      </x:c>
      <x:c r="B874" s="80" t="str">
        <x:v>대여르</x:v>
      </x:c>
      <x:c r="C874" s="80" t="str">
        <x:v>falinks</x:v>
      </x:c>
      <x:c r="D874" s="80" t="str">
        <x:v>화산</x:v>
      </x:c>
      <x:c r="E874" s="81" t="str">
        <x:v>—</x:v>
      </x:c>
      <x:c r="F874" s="81" t="str">
        <x:v>—</x:v>
      </x:c>
      <x:c r="G874" s="81" t="str">
        <x:v>—</x:v>
      </x:c>
      <x:c r="H874" s="81" t="str">
        <x:v>—</x:v>
      </x:c>
      <x:c r="I874" s="81" t="str">
        <x:v>—</x:v>
      </x:c>
      <x:c r="J874" s="81" t="str">
        <x:v>—</x:v>
      </x:c>
      <x:c r="K874" s="81" t="str">
        <x:v>—</x:v>
      </x:c>
      <x:c r="L874" s="81" t="str">
        <x:v>—</x:v>
      </x:c>
      <x:c r="M874" s="81" t="str">
        <x:v>—</x:v>
      </x:c>
      <x:c r="N874" s="81" t="str">
        <x:v>—</x:v>
      </x:c>
      <x:c r="O874" s="81" t="str">
        <x:v>—</x:v>
      </x:c>
      <x:c r="P874" s="81" t="str">
        <x:v>—</x:v>
      </x:c>
      <x:c r="Q874" s="81" t="str">
        <x:v>—</x:v>
      </x:c>
      <x:c r="R874" s="81" t="str">
        <x:v>—</x:v>
      </x:c>
      <x:c r="S874" s="81" t="str">
        <x:v>화산2</x:v>
      </x:c>
      <x:c r="T874" s="81" t="str">
        <x:v>건조지2</x:v>
      </x:c>
      <x:c r="U874" s="81" t="str">
        <x:v>화산3</x:v>
      </x:c>
      <x:c r="V874" s="81" t="str">
        <x:v>건조지3</x:v>
      </x:c>
    </x:row>
    <x:row r="875">
      <x:c r="A875" s="80" t="n">
        <x:v>871</x:v>
      </x:c>
      <x:c r="B875" s="80" t="str">
        <x:v>찌르성게</x:v>
      </x:c>
      <x:c r="C875" s="80" t="str">
        <x:v>pincurchin</x:v>
      </x:c>
      <x:c r="D875" s="80" t="str">
        <x:v>해양</x:v>
      </x:c>
      <x:c r="E875" s="81" t="str">
        <x:v>—</x:v>
      </x:c>
      <x:c r="F875" s="81" t="str">
        <x:v>—</x:v>
      </x:c>
      <x:c r="G875" s="81" t="str">
        <x:v>—</x:v>
      </x:c>
      <x:c r="H875" s="81" t="str">
        <x:v>—</x:v>
      </x:c>
      <x:c r="I875" s="81" t="str">
        <x:v>—</x:v>
      </x:c>
      <x:c r="J875" s="81" t="str">
        <x:v>—</x:v>
      </x:c>
      <x:c r="K875" s="81" t="str">
        <x:v>—</x:v>
      </x:c>
      <x:c r="L875" s="81" t="str">
        <x:v>—</x:v>
      </x:c>
      <x:c r="M875" s="81" t="str">
        <x:v>—</x:v>
      </x:c>
      <x:c r="N875" s="81" t="str">
        <x:v>—</x:v>
      </x:c>
      <x:c r="O875" s="81" t="str">
        <x:v>—</x:v>
      </x:c>
      <x:c r="P875" s="81" t="str">
        <x:v>—</x:v>
      </x:c>
      <x:c r="Q875" s="81" t="str">
        <x:v>—</x:v>
      </x:c>
      <x:c r="R875" s="81" t="str">
        <x:v>—</x:v>
      </x:c>
      <x:c r="S875" s="81" t="str">
        <x:v>해양2</x:v>
      </x:c>
      <x:c r="T875" s="81" t="str">
        <x:v>담수3</x:v>
      </x:c>
      <x:c r="U875" s="81" t="str">
        <x:v>해양2</x:v>
      </x:c>
      <x:c r="V875" s="81" t="str">
        <x:v>담수3</x:v>
      </x:c>
    </x:row>
    <x:row r="876">
      <x:c r="A876" s="80" t="n">
        <x:v>872</x:v>
      </x:c>
      <x:c r="B876" s="80" t="str">
        <x:v>누니머기</x:v>
      </x:c>
      <x:c r="C876" s="80" t="str">
        <x:v>snom</x:v>
      </x:c>
      <x:c r="D876" s="80" t="str">
        <x:v>숲</x:v>
      </x:c>
      <x:c r="E876" s="81" t="str">
        <x:v>—</x:v>
      </x:c>
      <x:c r="F876" s="81" t="str">
        <x:v>—</x:v>
      </x:c>
      <x:c r="G876" s="81" t="str">
        <x:v>—</x:v>
      </x:c>
      <x:c r="H876" s="81" t="str">
        <x:v>—</x:v>
      </x:c>
      <x:c r="I876" s="81" t="str">
        <x:v>—</x:v>
      </x:c>
      <x:c r="J876" s="81" t="str">
        <x:v>—</x:v>
      </x:c>
      <x:c r="K876" s="81" t="str">
        <x:v>—</x:v>
      </x:c>
      <x:c r="L876" s="81" t="str">
        <x:v>—</x:v>
      </x:c>
      <x:c r="M876" s="81" t="str">
        <x:v>—</x:v>
      </x:c>
      <x:c r="N876" s="81" t="str">
        <x:v>—</x:v>
      </x:c>
      <x:c r="O876" s="81" t="str">
        <x:v>—</x:v>
      </x:c>
      <x:c r="P876" s="81" t="str">
        <x:v>—</x:v>
      </x:c>
      <x:c r="Q876" s="81" t="str">
        <x:v>—</x:v>
      </x:c>
      <x:c r="R876" s="81" t="str">
        <x:v>—</x:v>
      </x:c>
      <x:c r="S876" s="81" t="str">
        <x:v>숲6</x:v>
      </x:c>
      <x:c r="T876" s="81" t="str">
        <x:v>설원1</x:v>
      </x:c>
      <x:c r="U876" s="81" t="str">
        <x:v>숲6</x:v>
      </x:c>
      <x:c r="V876" s="81" t="str">
        <x:v>설원1</x:v>
      </x:c>
    </x:row>
    <x:row r="877">
      <x:c r="A877" s="80" t="n">
        <x:v>873</x:v>
      </x:c>
      <x:c r="B877" s="80" t="str">
        <x:v>모스노우</x:v>
      </x:c>
      <x:c r="C877" s="80" t="str">
        <x:v>frosmoth</x:v>
      </x:c>
      <x:c r="D877" s="80" t="str">
        <x:v>숲</x:v>
      </x:c>
      <x:c r="E877" s="81" t="str">
        <x:v>—</x:v>
      </x:c>
      <x:c r="F877" s="81" t="str">
        <x:v>—</x:v>
      </x:c>
      <x:c r="G877" s="81" t="str">
        <x:v>—</x:v>
      </x:c>
      <x:c r="H877" s="81" t="str">
        <x:v>—</x:v>
      </x:c>
      <x:c r="I877" s="81" t="str">
        <x:v>—</x:v>
      </x:c>
      <x:c r="J877" s="81" t="str">
        <x:v>—</x:v>
      </x:c>
      <x:c r="K877" s="81" t="str">
        <x:v>—</x:v>
      </x:c>
      <x:c r="L877" s="81" t="str">
        <x:v>—</x:v>
      </x:c>
      <x:c r="M877" s="81" t="str">
        <x:v>—</x:v>
      </x:c>
      <x:c r="N877" s="81" t="str">
        <x:v>—</x:v>
      </x:c>
      <x:c r="O877" s="81" t="str">
        <x:v>—</x:v>
      </x:c>
      <x:c r="P877" s="81" t="str">
        <x:v>—</x:v>
      </x:c>
      <x:c r="Q877" s="81" t="str">
        <x:v>—</x:v>
      </x:c>
      <x:c r="R877" s="81" t="str">
        <x:v>—</x:v>
      </x:c>
      <x:c r="S877" s="81" t="str">
        <x:v>숲6</x:v>
      </x:c>
      <x:c r="T877" s="81" t="str">
        <x:v>설원1</x:v>
      </x:c>
      <x:c r="U877" s="81" t="str">
        <x:v>숲6</x:v>
      </x:c>
      <x:c r="V877" s="81" t="str">
        <x:v>설원1</x:v>
      </x:c>
    </x:row>
    <x:row r="878">
      <x:c r="A878" s="80" t="n">
        <x:v>874</x:v>
      </x:c>
      <x:c r="B878" s="80" t="str">
        <x:v>돌헨진</x:v>
      </x:c>
      <x:c r="C878" s="80" t="str">
        <x:v>stonjourner</x:v>
      </x:c>
      <x:c r="D878" s="80" t="str">
        <x:v>평원</x:v>
      </x:c>
      <x:c r="E878" s="81" t="str">
        <x:v>—</x:v>
      </x:c>
      <x:c r="F878" s="81" t="str">
        <x:v>—</x:v>
      </x:c>
      <x:c r="G878" s="81" t="str">
        <x:v>—</x:v>
      </x:c>
      <x:c r="H878" s="81" t="str">
        <x:v>—</x:v>
      </x:c>
      <x:c r="I878" s="81" t="str">
        <x:v>—</x:v>
      </x:c>
      <x:c r="J878" s="81" t="str">
        <x:v>—</x:v>
      </x:c>
      <x:c r="K878" s="81" t="str">
        <x:v>—</x:v>
      </x:c>
      <x:c r="L878" s="81" t="str">
        <x:v>—</x:v>
      </x:c>
      <x:c r="M878" s="81" t="str">
        <x:v>—</x:v>
      </x:c>
      <x:c r="N878" s="81" t="str">
        <x:v>—</x:v>
      </x:c>
      <x:c r="O878" s="81" t="str">
        <x:v>—</x:v>
      </x:c>
      <x:c r="P878" s="81" t="str">
        <x:v>—</x:v>
      </x:c>
      <x:c r="Q878" s="81" t="str">
        <x:v>—</x:v>
      </x:c>
      <x:c r="R878" s="81" t="str">
        <x:v>—</x:v>
      </x:c>
      <x:c r="S878" s="81" t="str">
        <x:v>평원6</x:v>
      </x:c>
      <x:c r="T878" s="81" t="str">
        <x:v>산악4</x:v>
      </x:c>
      <x:c r="U878" s="81" t="str">
        <x:v>평원6</x:v>
      </x:c>
      <x:c r="V878" s="81" t="str">
        <x:v>산악4</x:v>
      </x:c>
    </x:row>
    <x:row r="879">
      <x:c r="A879" s="80" t="n">
        <x:v>875</x:v>
      </x:c>
      <x:c r="B879" s="80" t="str">
        <x:v>빙큐보</x:v>
      </x:c>
      <x:c r="C879" s="80" t="str">
        <x:v>eiscue</x:v>
      </x:c>
      <x:c r="D879" s="80" t="str">
        <x:v>설원</x:v>
      </x:c>
      <x:c r="E879" s="81" t="str">
        <x:v>—</x:v>
      </x:c>
      <x:c r="F879" s="81" t="str">
        <x:v>—</x:v>
      </x:c>
      <x:c r="G879" s="81" t="str">
        <x:v>—</x:v>
      </x:c>
      <x:c r="H879" s="81" t="str">
        <x:v>—</x:v>
      </x:c>
      <x:c r="I879" s="81" t="str">
        <x:v>—</x:v>
      </x:c>
      <x:c r="J879" s="81" t="str">
        <x:v>—</x:v>
      </x:c>
      <x:c r="K879" s="81" t="str">
        <x:v>—</x:v>
      </x:c>
      <x:c r="L879" s="81" t="str">
        <x:v>—</x:v>
      </x:c>
      <x:c r="M879" s="81" t="str">
        <x:v>—</x:v>
      </x:c>
      <x:c r="N879" s="81" t="str">
        <x:v>—</x:v>
      </x:c>
      <x:c r="O879" s="81" t="str">
        <x:v>—</x:v>
      </x:c>
      <x:c r="P879" s="81" t="str">
        <x:v>—</x:v>
      </x:c>
      <x:c r="Q879" s="81" t="str">
        <x:v>—</x:v>
      </x:c>
      <x:c r="R879" s="81" t="str">
        <x:v>—</x:v>
      </x:c>
      <x:c r="S879" s="81" t="str">
        <x:v>설원1</x:v>
      </x:c>
      <x:c r="T879" s="81" t="str">
        <x:v>평원6</x:v>
      </x:c>
      <x:c r="U879" s="81" t="str">
        <x:v>설원1</x:v>
      </x:c>
      <x:c r="V879" s="81" t="str">
        <x:v>평원6</x:v>
      </x:c>
    </x:row>
    <x:row r="880">
      <x:c r="A880" s="80" t="n">
        <x:v>876</x:v>
      </x:c>
      <x:c r="B880" s="80" t="str">
        <x:v>에써르</x:v>
      </x:c>
      <x:c r="C880" s="80" t="str">
        <x:v>indeedee</x:v>
      </x:c>
      <x:c r="D880" s="80" t="str">
        <x:v>평원</x:v>
      </x:c>
      <x:c r="E880" s="81" t="str">
        <x:v>—</x:v>
      </x:c>
      <x:c r="F880" s="81" t="str">
        <x:v>—</x:v>
      </x:c>
      <x:c r="G880" s="81" t="str">
        <x:v>—</x:v>
      </x:c>
      <x:c r="H880" s="81" t="str">
        <x:v>—</x:v>
      </x:c>
      <x:c r="I880" s="81" t="str">
        <x:v>—</x:v>
      </x:c>
      <x:c r="J880" s="81" t="str">
        <x:v>—</x:v>
      </x:c>
      <x:c r="K880" s="81" t="str">
        <x:v>—</x:v>
      </x:c>
      <x:c r="L880" s="81" t="str">
        <x:v>—</x:v>
      </x:c>
      <x:c r="M880" s="81" t="str">
        <x:v>—</x:v>
      </x:c>
      <x:c r="N880" s="81" t="str">
        <x:v>—</x:v>
      </x:c>
      <x:c r="O880" s="81" t="str">
        <x:v>—</x:v>
      </x:c>
      <x:c r="P880" s="81" t="str">
        <x:v>—</x:v>
      </x:c>
      <x:c r="Q880" s="81" t="str">
        <x:v>—</x:v>
      </x:c>
      <x:c r="R880" s="81" t="str">
        <x:v>—</x:v>
      </x:c>
      <x:c r="S880" s="81" t="str">
        <x:v>평원6</x:v>
      </x:c>
      <x:c r="T880" s="81" t="str">
        <x:v>숲6</x:v>
      </x:c>
      <x:c r="U880" s="81" t="str">
        <x:v>평원6</x:v>
      </x:c>
      <x:c r="V880" s="81" t="str">
        <x:v>숲6</x:v>
      </x:c>
    </x:row>
    <x:row r="881">
      <x:c r="A881" s="80" t="n">
        <x:v>877</x:v>
      </x:c>
      <x:c r="B881" s="80" t="str">
        <x:v>모르페코</x:v>
      </x:c>
      <x:c r="C881" s="80" t="str">
        <x:v>morpeko</x:v>
      </x:c>
      <x:c r="D881" s="80" t="str">
        <x:v>숲</x:v>
      </x:c>
      <x:c r="E881" s="81" t="str">
        <x:v>—</x:v>
      </x:c>
      <x:c r="F881" s="81" t="str">
        <x:v>—</x:v>
      </x:c>
      <x:c r="G881" s="81" t="str">
        <x:v>—</x:v>
      </x:c>
      <x:c r="H881" s="81" t="str">
        <x:v>—</x:v>
      </x:c>
      <x:c r="I881" s="81" t="str">
        <x:v>—</x:v>
      </x:c>
      <x:c r="J881" s="81" t="str">
        <x:v>—</x:v>
      </x:c>
      <x:c r="K881" s="81" t="str">
        <x:v>—</x:v>
      </x:c>
      <x:c r="L881" s="81" t="str">
        <x:v>—</x:v>
      </x:c>
      <x:c r="M881" s="81" t="str">
        <x:v>—</x:v>
      </x:c>
      <x:c r="N881" s="81" t="str">
        <x:v>—</x:v>
      </x:c>
      <x:c r="O881" s="81" t="str">
        <x:v>—</x:v>
      </x:c>
      <x:c r="P881" s="81" t="str">
        <x:v>—</x:v>
      </x:c>
      <x:c r="Q881" s="81" t="str">
        <x:v>—</x:v>
      </x:c>
      <x:c r="R881" s="81" t="str">
        <x:v>—</x:v>
      </x:c>
      <x:c r="S881" s="81" t="str">
        <x:v>숲6</x:v>
      </x:c>
      <x:c r="T881" s="81" t="str">
        <x:v>평원6</x:v>
      </x:c>
      <x:c r="U881" s="81" t="str">
        <x:v>숲6</x:v>
      </x:c>
      <x:c r="V881" s="81" t="str">
        <x:v>평원6</x:v>
      </x:c>
    </x:row>
    <x:row r="882">
      <x:c r="A882" s="80" t="n">
        <x:v>878</x:v>
      </x:c>
      <x:c r="B882" s="80" t="str">
        <x:v>끼리동</x:v>
      </x:c>
      <x:c r="C882" s="80" t="str">
        <x:v>cufant</x:v>
      </x:c>
      <x:c r="D882" s="80" t="str">
        <x:v>산악</x:v>
      </x:c>
      <x:c r="E882" s="81" t="str">
        <x:v>—</x:v>
      </x:c>
      <x:c r="F882" s="81" t="str">
        <x:v>—</x:v>
      </x:c>
      <x:c r="G882" s="81" t="str">
        <x:v>—</x:v>
      </x:c>
      <x:c r="H882" s="81" t="str">
        <x:v>—</x:v>
      </x:c>
      <x:c r="I882" s="81" t="str">
        <x:v>—</x:v>
      </x:c>
      <x:c r="J882" s="81" t="str">
        <x:v>—</x:v>
      </x:c>
      <x:c r="K882" s="81" t="str">
        <x:v>—</x:v>
      </x:c>
      <x:c r="L882" s="81" t="str">
        <x:v>—</x:v>
      </x:c>
      <x:c r="M882" s="81" t="str">
        <x:v>—</x:v>
      </x:c>
      <x:c r="N882" s="81" t="str">
        <x:v>—</x:v>
      </x:c>
      <x:c r="O882" s="81" t="str">
        <x:v>—</x:v>
      </x:c>
      <x:c r="P882" s="81" t="str">
        <x:v>—</x:v>
      </x:c>
      <x:c r="Q882" s="81" t="str">
        <x:v>—</x:v>
      </x:c>
      <x:c r="R882" s="81" t="str">
        <x:v>—</x:v>
      </x:c>
      <x:c r="S882" s="81" t="str">
        <x:v>산악4</x:v>
      </x:c>
      <x:c r="T882" s="81" t="str">
        <x:v>평원6</x:v>
      </x:c>
      <x:c r="U882" s="81" t="str">
        <x:v>산악4</x:v>
      </x:c>
      <x:c r="V882" s="81" t="str">
        <x:v>평원6</x:v>
      </x:c>
    </x:row>
    <x:row r="883">
      <x:c r="A883" s="80" t="n">
        <x:v>879</x:v>
      </x:c>
      <x:c r="B883" s="80" t="str">
        <x:v>대왕끼리동</x:v>
      </x:c>
      <x:c r="C883" s="80" t="str">
        <x:v>copperajah</x:v>
      </x:c>
      <x:c r="D883" s="80" t="str">
        <x:v>산악</x:v>
      </x:c>
      <x:c r="E883" s="81" t="str">
        <x:v>—</x:v>
      </x:c>
      <x:c r="F883" s="81" t="str">
        <x:v>—</x:v>
      </x:c>
      <x:c r="G883" s="81" t="str">
        <x:v>—</x:v>
      </x:c>
      <x:c r="H883" s="81" t="str">
        <x:v>—</x:v>
      </x:c>
      <x:c r="I883" s="81" t="str">
        <x:v>—</x:v>
      </x:c>
      <x:c r="J883" s="81" t="str">
        <x:v>—</x:v>
      </x:c>
      <x:c r="K883" s="81" t="str">
        <x:v>—</x:v>
      </x:c>
      <x:c r="L883" s="81" t="str">
        <x:v>—</x:v>
      </x:c>
      <x:c r="M883" s="81" t="str">
        <x:v>—</x:v>
      </x:c>
      <x:c r="N883" s="81" t="str">
        <x:v>—</x:v>
      </x:c>
      <x:c r="O883" s="81" t="str">
        <x:v>—</x:v>
      </x:c>
      <x:c r="P883" s="81" t="str">
        <x:v>—</x:v>
      </x:c>
      <x:c r="Q883" s="81" t="str">
        <x:v>—</x:v>
      </x:c>
      <x:c r="R883" s="81" t="str">
        <x:v>—</x:v>
      </x:c>
      <x:c r="S883" s="81" t="str">
        <x:v>산악4</x:v>
      </x:c>
      <x:c r="T883" s="81" t="str">
        <x:v>평원6</x:v>
      </x:c>
      <x:c r="U883" s="81" t="str">
        <x:v>산악4</x:v>
      </x:c>
      <x:c r="V883" s="81" t="str">
        <x:v>평원6</x:v>
      </x:c>
    </x:row>
    <x:row r="884">
      <x:c r="A884" s="80" t="n">
        <x:v>880</x:v>
      </x:c>
      <x:c r="B884" s="80" t="str">
        <x:v>파치래곤</x:v>
      </x:c>
      <x:c r="C884" s="80" t="str">
        <x:v>dracozolt</x:v>
      </x:c>
      <x:c r="D884" s="80" t="str">
        <x:v>평원</x:v>
      </x:c>
      <x:c r="E884" s="81" t="str">
        <x:v>—</x:v>
      </x:c>
      <x:c r="F884" s="81" t="str">
        <x:v>—</x:v>
      </x:c>
      <x:c r="G884" s="81" t="str">
        <x:v>—</x:v>
      </x:c>
      <x:c r="H884" s="81" t="str">
        <x:v>—</x:v>
      </x:c>
      <x:c r="I884" s="81" t="str">
        <x:v>—</x:v>
      </x:c>
      <x:c r="J884" s="81" t="str">
        <x:v>—</x:v>
      </x:c>
      <x:c r="K884" s="81" t="str">
        <x:v>—</x:v>
      </x:c>
      <x:c r="L884" s="81" t="str">
        <x:v>—</x:v>
      </x:c>
      <x:c r="M884" s="81" t="str">
        <x:v>—</x:v>
      </x:c>
      <x:c r="N884" s="81" t="str">
        <x:v>—</x:v>
      </x:c>
      <x:c r="O884" s="81" t="str">
        <x:v>—</x:v>
      </x:c>
      <x:c r="P884" s="81" t="str">
        <x:v>—</x:v>
      </x:c>
      <x:c r="Q884" s="81" t="str">
        <x:v>—</x:v>
      </x:c>
      <x:c r="R884" s="81" t="str">
        <x:v>—</x:v>
      </x:c>
      <x:c r="S884" s="81" t="str">
        <x:v>평원6</x:v>
      </x:c>
      <x:c r="T884" s="81" t="str">
        <x:v>산악4</x:v>
      </x:c>
      <x:c r="U884" s="81" t="str">
        <x:v>—</x:v>
      </x:c>
      <x:c r="V884" s="81" t="str">
        <x:v>—</x:v>
      </x:c>
    </x:row>
    <x:row r="885">
      <x:c r="A885" s="80" t="n">
        <x:v>881</x:v>
      </x:c>
      <x:c r="B885" s="80" t="str">
        <x:v>파치르돈</x:v>
      </x:c>
      <x:c r="C885" s="80" t="str">
        <x:v>arctozolt</x:v>
      </x:c>
      <x:c r="D885" s="80" t="str">
        <x:v>설원</x:v>
      </x:c>
      <x:c r="E885" s="81" t="str">
        <x:v>—</x:v>
      </x:c>
      <x:c r="F885" s="81" t="str">
        <x:v>—</x:v>
      </x:c>
      <x:c r="G885" s="81" t="str">
        <x:v>—</x:v>
      </x:c>
      <x:c r="H885" s="81" t="str">
        <x:v>—</x:v>
      </x:c>
      <x:c r="I885" s="81" t="str">
        <x:v>—</x:v>
      </x:c>
      <x:c r="J885" s="81" t="str">
        <x:v>—</x:v>
      </x:c>
      <x:c r="K885" s="81" t="str">
        <x:v>—</x:v>
      </x:c>
      <x:c r="L885" s="81" t="str">
        <x:v>—</x:v>
      </x:c>
      <x:c r="M885" s="81" t="str">
        <x:v>—</x:v>
      </x:c>
      <x:c r="N885" s="81" t="str">
        <x:v>—</x:v>
      </x:c>
      <x:c r="O885" s="81" t="str">
        <x:v>—</x:v>
      </x:c>
      <x:c r="P885" s="81" t="str">
        <x:v>—</x:v>
      </x:c>
      <x:c r="Q885" s="81" t="str">
        <x:v>—</x:v>
      </x:c>
      <x:c r="R885" s="81" t="str">
        <x:v>—</x:v>
      </x:c>
      <x:c r="S885" s="81" t="str">
        <x:v>설원1</x:v>
      </x:c>
      <x:c r="T885" s="81" t="str">
        <x:v>평원6</x:v>
      </x:c>
      <x:c r="U885" s="81" t="str">
        <x:v>—</x:v>
      </x:c>
      <x:c r="V885" s="81" t="str">
        <x:v>—</x:v>
      </x:c>
    </x:row>
    <x:row r="886">
      <x:c r="A886" s="80" t="n">
        <x:v>882</x:v>
      </x:c>
      <x:c r="B886" s="80" t="str">
        <x:v>어래곤</x:v>
      </x:c>
      <x:c r="C886" s="80" t="str">
        <x:v>dracovish</x:v>
      </x:c>
      <x:c r="D886" s="80" t="str">
        <x:v>담수</x:v>
      </x:c>
      <x:c r="E886" s="81" t="str">
        <x:v>—</x:v>
      </x:c>
      <x:c r="F886" s="81" t="str">
        <x:v>—</x:v>
      </x:c>
      <x:c r="G886" s="81" t="str">
        <x:v>—</x:v>
      </x:c>
      <x:c r="H886" s="81" t="str">
        <x:v>—</x:v>
      </x:c>
      <x:c r="I886" s="81" t="str">
        <x:v>—</x:v>
      </x:c>
      <x:c r="J886" s="81" t="str">
        <x:v>—</x:v>
      </x:c>
      <x:c r="K886" s="81" t="str">
        <x:v>—</x:v>
      </x:c>
      <x:c r="L886" s="81" t="str">
        <x:v>—</x:v>
      </x:c>
      <x:c r="M886" s="81" t="str">
        <x:v>—</x:v>
      </x:c>
      <x:c r="N886" s="81" t="str">
        <x:v>—</x:v>
      </x:c>
      <x:c r="O886" s="81" t="str">
        <x:v>—</x:v>
      </x:c>
      <x:c r="P886" s="81" t="str">
        <x:v>—</x:v>
      </x:c>
      <x:c r="Q886" s="81" t="str">
        <x:v>—</x:v>
      </x:c>
      <x:c r="R886" s="81" t="str">
        <x:v>—</x:v>
      </x:c>
      <x:c r="S886" s="81" t="str">
        <x:v>담수3</x:v>
      </x:c>
      <x:c r="T886" s="81" t="str">
        <x:v>습지3</x:v>
      </x:c>
      <x:c r="U886" s="81" t="str">
        <x:v>—</x:v>
      </x:c>
      <x:c r="V886" s="81" t="str">
        <x:v>—</x:v>
      </x:c>
    </x:row>
    <x:row r="887">
      <x:c r="A887" s="80" t="n">
        <x:v>883</x:v>
      </x:c>
      <x:c r="B887" s="80" t="str">
        <x:v>어치르돈</x:v>
      </x:c>
      <x:c r="C887" s="80" t="str">
        <x:v>arctovish</x:v>
      </x:c>
      <x:c r="D887" s="80" t="str">
        <x:v>설원</x:v>
      </x:c>
      <x:c r="E887" s="81" t="str">
        <x:v>—</x:v>
      </x:c>
      <x:c r="F887" s="81" t="str">
        <x:v>—</x:v>
      </x:c>
      <x:c r="G887" s="81" t="str">
        <x:v>—</x:v>
      </x:c>
      <x:c r="H887" s="81" t="str">
        <x:v>—</x:v>
      </x:c>
      <x:c r="I887" s="81" t="str">
        <x:v>—</x:v>
      </x:c>
      <x:c r="J887" s="81" t="str">
        <x:v>—</x:v>
      </x:c>
      <x:c r="K887" s="81" t="str">
        <x:v>—</x:v>
      </x:c>
      <x:c r="L887" s="81" t="str">
        <x:v>—</x:v>
      </x:c>
      <x:c r="M887" s="81" t="str">
        <x:v>—</x:v>
      </x:c>
      <x:c r="N887" s="81" t="str">
        <x:v>—</x:v>
      </x:c>
      <x:c r="O887" s="81" t="str">
        <x:v>—</x:v>
      </x:c>
      <x:c r="P887" s="81" t="str">
        <x:v>—</x:v>
      </x:c>
      <x:c r="Q887" s="81" t="str">
        <x:v>—</x:v>
      </x:c>
      <x:c r="R887" s="81" t="str">
        <x:v>—</x:v>
      </x:c>
      <x:c r="S887" s="81" t="str">
        <x:v>설원1</x:v>
      </x:c>
      <x:c r="T887" s="81" t="str">
        <x:v>습지3</x:v>
      </x:c>
      <x:c r="U887" s="81" t="str">
        <x:v>—</x:v>
      </x:c>
      <x:c r="V887" s="81" t="str">
        <x:v>—</x:v>
      </x:c>
    </x:row>
    <x:row r="888">
      <x:c r="A888" s="80" t="n">
        <x:v>884</x:v>
      </x:c>
      <x:c r="B888" s="80" t="str">
        <x:v>두랄루돈</x:v>
      </x:c>
      <x:c r="C888" s="80" t="str">
        <x:v>duraludon</x:v>
      </x:c>
      <x:c r="D888" s="80" t="str">
        <x:v>평원</x:v>
      </x:c>
      <x:c r="E888" s="81" t="str">
        <x:v>—</x:v>
      </x:c>
      <x:c r="F888" s="81" t="str">
        <x:v>—</x:v>
      </x:c>
      <x:c r="G888" s="81" t="str">
        <x:v>—</x:v>
      </x:c>
      <x:c r="H888" s="81" t="str">
        <x:v>—</x:v>
      </x:c>
      <x:c r="I888" s="81" t="str">
        <x:v>—</x:v>
      </x:c>
      <x:c r="J888" s="81" t="str">
        <x:v>—</x:v>
      </x:c>
      <x:c r="K888" s="81" t="str">
        <x:v>—</x:v>
      </x:c>
      <x:c r="L888" s="81" t="str">
        <x:v>—</x:v>
      </x:c>
      <x:c r="M888" s="81" t="str">
        <x:v>—</x:v>
      </x:c>
      <x:c r="N888" s="81" t="str">
        <x:v>—</x:v>
      </x:c>
      <x:c r="O888" s="81" t="str">
        <x:v>—</x:v>
      </x:c>
      <x:c r="P888" s="81" t="str">
        <x:v>—</x:v>
      </x:c>
      <x:c r="Q888" s="81" t="str">
        <x:v>—</x:v>
      </x:c>
      <x:c r="R888" s="81" t="str">
        <x:v>—</x:v>
      </x:c>
      <x:c r="S888" s="81" t="str">
        <x:v>평원6</x:v>
      </x:c>
      <x:c r="T888" s="81" t="str">
        <x:v>산악4</x:v>
      </x:c>
      <x:c r="U888" s="81" t="str">
        <x:v>평원6</x:v>
      </x:c>
      <x:c r="V888" s="81" t="str">
        <x:v>산악4</x:v>
      </x:c>
    </x:row>
    <x:row r="889">
      <x:c r="A889" s="80" t="n">
        <x:v>885</x:v>
      </x:c>
      <x:c r="B889" s="80" t="str">
        <x:v>드라꼰</x:v>
      </x:c>
      <x:c r="C889" s="80" t="str">
        <x:v>dreepy</x:v>
      </x:c>
      <x:c r="D889" s="80" t="str">
        <x:v>해양</x:v>
      </x:c>
      <x:c r="E889" s="81" t="str">
        <x:v>—</x:v>
      </x:c>
      <x:c r="F889" s="81" t="str">
        <x:v>—</x:v>
      </x:c>
      <x:c r="G889" s="81" t="str">
        <x:v>—</x:v>
      </x:c>
      <x:c r="H889" s="81" t="str">
        <x:v>—</x:v>
      </x:c>
      <x:c r="I889" s="81" t="str">
        <x:v>—</x:v>
      </x:c>
      <x:c r="J889" s="81" t="str">
        <x:v>—</x:v>
      </x:c>
      <x:c r="K889" s="81" t="str">
        <x:v>—</x:v>
      </x:c>
      <x:c r="L889" s="81" t="str">
        <x:v>—</x:v>
      </x:c>
      <x:c r="M889" s="81" t="str">
        <x:v>—</x:v>
      </x:c>
      <x:c r="N889" s="81" t="str">
        <x:v>—</x:v>
      </x:c>
      <x:c r="O889" s="81" t="str">
        <x:v>—</x:v>
      </x:c>
      <x:c r="P889" s="81" t="str">
        <x:v>—</x:v>
      </x:c>
      <x:c r="Q889" s="81" t="str">
        <x:v>—</x:v>
      </x:c>
      <x:c r="R889" s="81" t="str">
        <x:v>—</x:v>
      </x:c>
      <x:c r="S889" s="81" t="str">
        <x:v>해양2</x:v>
      </x:c>
      <x:c r="T889" s="81" t="str">
        <x:v>특수2</x:v>
      </x:c>
      <x:c r="U889" s="81" t="str">
        <x:v>해양2</x:v>
      </x:c>
      <x:c r="V889" s="81" t="str">
        <x:v>특수2</x:v>
      </x:c>
    </x:row>
    <x:row r="890">
      <x:c r="A890" s="80" t="n">
        <x:v>886</x:v>
      </x:c>
      <x:c r="B890" s="80" t="str">
        <x:v>드래런치</x:v>
      </x:c>
      <x:c r="C890" s="80" t="str">
        <x:v>drakloak</x:v>
      </x:c>
      <x:c r="D890" s="80" t="str">
        <x:v>해양</x:v>
      </x:c>
      <x:c r="E890" s="81" t="str">
        <x:v>—</x:v>
      </x:c>
      <x:c r="F890" s="81" t="str">
        <x:v>—</x:v>
      </x:c>
      <x:c r="G890" s="81" t="str">
        <x:v>—</x:v>
      </x:c>
      <x:c r="H890" s="81" t="str">
        <x:v>—</x:v>
      </x:c>
      <x:c r="I890" s="81" t="str">
        <x:v>—</x:v>
      </x:c>
      <x:c r="J890" s="81" t="str">
        <x:v>—</x:v>
      </x:c>
      <x:c r="K890" s="81" t="str">
        <x:v>—</x:v>
      </x:c>
      <x:c r="L890" s="81" t="str">
        <x:v>—</x:v>
      </x:c>
      <x:c r="M890" s="81" t="str">
        <x:v>—</x:v>
      </x:c>
      <x:c r="N890" s="81" t="str">
        <x:v>—</x:v>
      </x:c>
      <x:c r="O890" s="81" t="str">
        <x:v>—</x:v>
      </x:c>
      <x:c r="P890" s="81" t="str">
        <x:v>—</x:v>
      </x:c>
      <x:c r="Q890" s="81" t="str">
        <x:v>—</x:v>
      </x:c>
      <x:c r="R890" s="81" t="str">
        <x:v>—</x:v>
      </x:c>
      <x:c r="S890" s="81" t="str">
        <x:v>해양2</x:v>
      </x:c>
      <x:c r="T890" s="81" t="str">
        <x:v>특수2</x:v>
      </x:c>
      <x:c r="U890" s="81" t="str">
        <x:v>해양2</x:v>
      </x:c>
      <x:c r="V890" s="81" t="str">
        <x:v>특수2</x:v>
      </x:c>
    </x:row>
    <x:row r="891">
      <x:c r="A891" s="80" t="n">
        <x:v>887</x:v>
      </x:c>
      <x:c r="B891" s="80" t="str">
        <x:v>드래펄트</x:v>
      </x:c>
      <x:c r="C891" s="80" t="str">
        <x:v>dragapult</x:v>
      </x:c>
      <x:c r="D891" s="80" t="str">
        <x:v>해양</x:v>
      </x:c>
      <x:c r="E891" s="81" t="str">
        <x:v>—</x:v>
      </x:c>
      <x:c r="F891" s="81" t="str">
        <x:v>—</x:v>
      </x:c>
      <x:c r="G891" s="81" t="str">
        <x:v>—</x:v>
      </x:c>
      <x:c r="H891" s="81" t="str">
        <x:v>—</x:v>
      </x:c>
      <x:c r="I891" s="81" t="str">
        <x:v>—</x:v>
      </x:c>
      <x:c r="J891" s="81" t="str">
        <x:v>—</x:v>
      </x:c>
      <x:c r="K891" s="81" t="str">
        <x:v>—</x:v>
      </x:c>
      <x:c r="L891" s="81" t="str">
        <x:v>—</x:v>
      </x:c>
      <x:c r="M891" s="81" t="str">
        <x:v>—</x:v>
      </x:c>
      <x:c r="N891" s="81" t="str">
        <x:v>—</x:v>
      </x:c>
      <x:c r="O891" s="81" t="str">
        <x:v>—</x:v>
      </x:c>
      <x:c r="P891" s="81" t="str">
        <x:v>—</x:v>
      </x:c>
      <x:c r="Q891" s="81" t="str">
        <x:v>—</x:v>
      </x:c>
      <x:c r="R891" s="81" t="str">
        <x:v>—</x:v>
      </x:c>
      <x:c r="S891" s="81" t="str">
        <x:v>해양2</x:v>
      </x:c>
      <x:c r="T891" s="81" t="str">
        <x:v>특수2</x:v>
      </x:c>
      <x:c r="U891" s="81" t="str">
        <x:v>해양2</x:v>
      </x:c>
      <x:c r="V891" s="81" t="str">
        <x:v>특수2</x:v>
      </x:c>
    </x:row>
    <x:row r="892">
      <x:c r="A892" s="80" t="n">
        <x:v>888</x:v>
      </x:c>
      <x:c r="B892" s="80" t="str">
        <x:v>자시안</x:v>
      </x:c>
      <x:c r="C892" s="80" t="str">
        <x:v>zacian</x:v>
      </x:c>
      <x:c r="D892" s="80" t="str">
        <x:v>숲</x:v>
      </x:c>
      <x:c r="E892" s="81" t="str">
        <x:v>—</x:v>
      </x:c>
      <x:c r="F892" s="81" t="str">
        <x:v>—</x:v>
      </x:c>
      <x:c r="G892" s="81" t="str">
        <x:v>—</x:v>
      </x:c>
      <x:c r="H892" s="81" t="str">
        <x:v>—</x:v>
      </x:c>
      <x:c r="I892" s="81" t="str">
        <x:v>—</x:v>
      </x:c>
      <x:c r="J892" s="81" t="str">
        <x:v>—</x:v>
      </x:c>
      <x:c r="K892" s="81" t="str">
        <x:v>—</x:v>
      </x:c>
      <x:c r="L892" s="81" t="str">
        <x:v>—</x:v>
      </x:c>
      <x:c r="M892" s="81" t="str">
        <x:v>—</x:v>
      </x:c>
      <x:c r="N892" s="81" t="str">
        <x:v>—</x:v>
      </x:c>
      <x:c r="O892" s="81" t="str">
        <x:v>—</x:v>
      </x:c>
      <x:c r="P892" s="81" t="str">
        <x:v>—</x:v>
      </x:c>
      <x:c r="Q892" s="81" t="str">
        <x:v>—</x:v>
      </x:c>
      <x:c r="R892" s="81" t="str">
        <x:v>—</x:v>
      </x:c>
      <x:c r="S892" s="81" t="str">
        <x:v>—</x:v>
      </x:c>
      <x:c r="T892" s="81" t="str">
        <x:v>—</x:v>
      </x:c>
      <x:c r="U892" s="81" t="str">
        <x:v>—</x:v>
      </x:c>
      <x:c r="V892" s="81" t="str">
        <x:v>—</x:v>
      </x:c>
    </x:row>
    <x:row r="893">
      <x:c r="A893" s="80" t="n">
        <x:v>889</x:v>
      </x:c>
      <x:c r="B893" s="80" t="str">
        <x:v>자마젠타</x:v>
      </x:c>
      <x:c r="C893" s="80" t="str">
        <x:v>zamazenta</x:v>
      </x:c>
      <x:c r="D893" s="80" t="str">
        <x:v>숲</x:v>
      </x:c>
      <x:c r="E893" s="81" t="str">
        <x:v>—</x:v>
      </x:c>
      <x:c r="F893" s="81" t="str">
        <x:v>—</x:v>
      </x:c>
      <x:c r="G893" s="81" t="str">
        <x:v>—</x:v>
      </x:c>
      <x:c r="H893" s="81" t="str">
        <x:v>—</x:v>
      </x:c>
      <x:c r="I893" s="81" t="str">
        <x:v>—</x:v>
      </x:c>
      <x:c r="J893" s="81" t="str">
        <x:v>—</x:v>
      </x:c>
      <x:c r="K893" s="81" t="str">
        <x:v>—</x:v>
      </x:c>
      <x:c r="L893" s="81" t="str">
        <x:v>—</x:v>
      </x:c>
      <x:c r="M893" s="81" t="str">
        <x:v>—</x:v>
      </x:c>
      <x:c r="N893" s="81" t="str">
        <x:v>—</x:v>
      </x:c>
      <x:c r="O893" s="81" t="str">
        <x:v>—</x:v>
      </x:c>
      <x:c r="P893" s="81" t="str">
        <x:v>—</x:v>
      </x:c>
      <x:c r="Q893" s="81" t="str">
        <x:v>—</x:v>
      </x:c>
      <x:c r="R893" s="81" t="str">
        <x:v>—</x:v>
      </x:c>
      <x:c r="S893" s="81" t="str">
        <x:v>—</x:v>
      </x:c>
      <x:c r="T893" s="81" t="str">
        <x:v>—</x:v>
      </x:c>
      <x:c r="U893" s="81" t="str">
        <x:v>—</x:v>
      </x:c>
      <x:c r="V893" s="81" t="str">
        <x:v>—</x:v>
      </x:c>
    </x:row>
    <x:row r="894">
      <x:c r="A894" s="80" t="n">
        <x:v>890</x:v>
      </x:c>
      <x:c r="B894" s="80" t="str">
        <x:v>무한다이노</x:v>
      </x:c>
      <x:c r="C894" s="80" t="str">
        <x:v>eternatus</x:v>
      </x:c>
      <x:c r="D894" s="80" t="str">
        <x:v>특수</x:v>
      </x:c>
      <x:c r="E894" s="81" t="str">
        <x:v>—</x:v>
      </x:c>
      <x:c r="F894" s="81" t="str">
        <x:v>—</x:v>
      </x:c>
      <x:c r="G894" s="81" t="str">
        <x:v>—</x:v>
      </x:c>
      <x:c r="H894" s="81" t="str">
        <x:v>—</x:v>
      </x:c>
      <x:c r="I894" s="81" t="str">
        <x:v>—</x:v>
      </x:c>
      <x:c r="J894" s="81" t="str">
        <x:v>—</x:v>
      </x:c>
      <x:c r="K894" s="81" t="str">
        <x:v>—</x:v>
      </x:c>
      <x:c r="L894" s="81" t="str">
        <x:v>—</x:v>
      </x:c>
      <x:c r="M894" s="81" t="str">
        <x:v>—</x:v>
      </x:c>
      <x:c r="N894" s="81" t="str">
        <x:v>—</x:v>
      </x:c>
      <x:c r="O894" s="81" t="str">
        <x:v>—</x:v>
      </x:c>
      <x:c r="P894" s="81" t="str">
        <x:v>—</x:v>
      </x:c>
      <x:c r="Q894" s="81" t="str">
        <x:v>—</x:v>
      </x:c>
      <x:c r="R894" s="81" t="str">
        <x:v>—</x:v>
      </x:c>
      <x:c r="S894" s="81" t="str">
        <x:v>—</x:v>
      </x:c>
      <x:c r="T894" s="81" t="str">
        <x:v>—</x:v>
      </x:c>
      <x:c r="U894" s="81" t="str">
        <x:v>—</x:v>
      </x:c>
      <x:c r="V894" s="81" t="str">
        <x:v>—</x:v>
      </x:c>
    </x:row>
    <x:row r="895">
      <x:c r="A895" s="80" t="n">
        <x:v>891</x:v>
      </x:c>
      <x:c r="B895" s="80" t="str">
        <x:v>치고마</x:v>
      </x:c>
      <x:c r="C895" s="80" t="str">
        <x:v>kubfu</x:v>
      </x:c>
      <x:c r="D895" s="80" t="str">
        <x:v>숲</x:v>
      </x:c>
      <x:c r="E895" s="81" t="str">
        <x:v>—</x:v>
      </x:c>
      <x:c r="F895" s="81" t="str">
        <x:v>—</x:v>
      </x:c>
      <x:c r="G895" s="81" t="str">
        <x:v>—</x:v>
      </x:c>
      <x:c r="H895" s="81" t="str">
        <x:v>—</x:v>
      </x:c>
      <x:c r="I895" s="81" t="str">
        <x:v>—</x:v>
      </x:c>
      <x:c r="J895" s="81" t="str">
        <x:v>—</x:v>
      </x:c>
      <x:c r="K895" s="81" t="str">
        <x:v>—</x:v>
      </x:c>
      <x:c r="L895" s="81" t="str">
        <x:v>—</x:v>
      </x:c>
      <x:c r="M895" s="81" t="str">
        <x:v>—</x:v>
      </x:c>
      <x:c r="N895" s="81" t="str">
        <x:v>—</x:v>
      </x:c>
      <x:c r="O895" s="81" t="str">
        <x:v>—</x:v>
      </x:c>
      <x:c r="P895" s="81" t="str">
        <x:v>—</x:v>
      </x:c>
      <x:c r="Q895" s="81" t="str">
        <x:v>—</x:v>
      </x:c>
      <x:c r="R895" s="81" t="str">
        <x:v>—</x:v>
      </x:c>
      <x:c r="S895" s="81" t="str">
        <x:v>—</x:v>
      </x:c>
      <x:c r="T895" s="81" t="str">
        <x:v>—</x:v>
      </x:c>
      <x:c r="U895" s="81" t="str">
        <x:v>—</x:v>
      </x:c>
      <x:c r="V895" s="81" t="str">
        <x:v>—</x:v>
      </x:c>
    </x:row>
    <x:row r="896">
      <x:c r="A896" s="80" t="n">
        <x:v>892</x:v>
      </x:c>
      <x:c r="B896" s="80" t="str">
        <x:v>우라오스</x:v>
      </x:c>
      <x:c r="C896" s="80" t="str">
        <x:v>urshifu</x:v>
      </x:c>
      <x:c r="D896" s="80" t="str">
        <x:v>숲</x:v>
      </x:c>
      <x:c r="E896" s="81" t="str">
        <x:v>—</x:v>
      </x:c>
      <x:c r="F896" s="81" t="str">
        <x:v>—</x:v>
      </x:c>
      <x:c r="G896" s="81" t="str">
        <x:v>—</x:v>
      </x:c>
      <x:c r="H896" s="81" t="str">
        <x:v>—</x:v>
      </x:c>
      <x:c r="I896" s="81" t="str">
        <x:v>—</x:v>
      </x:c>
      <x:c r="J896" s="81" t="str">
        <x:v>—</x:v>
      </x:c>
      <x:c r="K896" s="81" t="str">
        <x:v>—</x:v>
      </x:c>
      <x:c r="L896" s="81" t="str">
        <x:v>—</x:v>
      </x:c>
      <x:c r="M896" s="81" t="str">
        <x:v>—</x:v>
      </x:c>
      <x:c r="N896" s="81" t="str">
        <x:v>—</x:v>
      </x:c>
      <x:c r="O896" s="81" t="str">
        <x:v>—</x:v>
      </x:c>
      <x:c r="P896" s="81" t="str">
        <x:v>—</x:v>
      </x:c>
      <x:c r="Q896" s="81" t="str">
        <x:v>—</x:v>
      </x:c>
      <x:c r="R896" s="81" t="str">
        <x:v>—</x:v>
      </x:c>
      <x:c r="S896" s="81" t="str">
        <x:v>—</x:v>
      </x:c>
      <x:c r="T896" s="81" t="str">
        <x:v>—</x:v>
      </x:c>
      <x:c r="U896" s="81" t="str">
        <x:v>—</x:v>
      </x:c>
      <x:c r="V896" s="81" t="str">
        <x:v>—</x:v>
      </x:c>
    </x:row>
    <x:row r="897">
      <x:c r="A897" s="80" t="n">
        <x:v>893</x:v>
      </x:c>
      <x:c r="B897" s="80" t="str">
        <x:v>자루도</x:v>
      </x:c>
      <x:c r="C897" s="80" t="str">
        <x:v>zarude</x:v>
      </x:c>
      <x:c r="D897" s="80" t="str">
        <x:v>숲</x:v>
      </x:c>
      <x:c r="E897" s="81" t="str">
        <x:v>—</x:v>
      </x:c>
      <x:c r="F897" s="81" t="str">
        <x:v>—</x:v>
      </x:c>
      <x:c r="G897" s="81" t="str">
        <x:v>—</x:v>
      </x:c>
      <x:c r="H897" s="81" t="str">
        <x:v>—</x:v>
      </x:c>
      <x:c r="I897" s="81" t="str">
        <x:v>—</x:v>
      </x:c>
      <x:c r="J897" s="81" t="str">
        <x:v>—</x:v>
      </x:c>
      <x:c r="K897" s="81" t="str">
        <x:v>—</x:v>
      </x:c>
      <x:c r="L897" s="81" t="str">
        <x:v>—</x:v>
      </x:c>
      <x:c r="M897" s="81" t="str">
        <x:v>—</x:v>
      </x:c>
      <x:c r="N897" s="81" t="str">
        <x:v>—</x:v>
      </x:c>
      <x:c r="O897" s="81" t="str">
        <x:v>—</x:v>
      </x:c>
      <x:c r="P897" s="81" t="str">
        <x:v>—</x:v>
      </x:c>
      <x:c r="Q897" s="81" t="str">
        <x:v>—</x:v>
      </x:c>
      <x:c r="R897" s="81" t="str">
        <x:v>—</x:v>
      </x:c>
      <x:c r="S897" s="81" t="str">
        <x:v>—</x:v>
      </x:c>
      <x:c r="T897" s="81" t="str">
        <x:v>—</x:v>
      </x:c>
      <x:c r="U897" s="81" t="str">
        <x:v>—</x:v>
      </x:c>
      <x:c r="V897" s="81" t="str">
        <x:v>—</x:v>
      </x:c>
    </x:row>
    <x:row r="898">
      <x:c r="A898" s="80" t="n">
        <x:v>894</x:v>
      </x:c>
      <x:c r="B898" s="80" t="str">
        <x:v>레지에레키</x:v>
      </x:c>
      <x:c r="C898" s="80" t="str">
        <x:v>regieleki</x:v>
      </x:c>
      <x:c r="D898" s="80" t="str">
        <x:v>특수</x:v>
      </x:c>
      <x:c r="E898" s="81" t="str">
        <x:v>—</x:v>
      </x:c>
      <x:c r="F898" s="81" t="str">
        <x:v>—</x:v>
      </x:c>
      <x:c r="G898" s="81" t="str">
        <x:v>—</x:v>
      </x:c>
      <x:c r="H898" s="81" t="str">
        <x:v>—</x:v>
      </x:c>
      <x:c r="I898" s="81" t="str">
        <x:v>—</x:v>
      </x:c>
      <x:c r="J898" s="81" t="str">
        <x:v>—</x:v>
      </x:c>
      <x:c r="K898" s="81" t="str">
        <x:v>—</x:v>
      </x:c>
      <x:c r="L898" s="81" t="str">
        <x:v>—</x:v>
      </x:c>
      <x:c r="M898" s="81" t="str">
        <x:v>—</x:v>
      </x:c>
      <x:c r="N898" s="81" t="str">
        <x:v>—</x:v>
      </x:c>
      <x:c r="O898" s="81" t="str">
        <x:v>—</x:v>
      </x:c>
      <x:c r="P898" s="81" t="str">
        <x:v>—</x:v>
      </x:c>
      <x:c r="Q898" s="81" t="str">
        <x:v>—</x:v>
      </x:c>
      <x:c r="R898" s="81" t="str">
        <x:v>—</x:v>
      </x:c>
      <x:c r="S898" s="81" t="str">
        <x:v>—</x:v>
      </x:c>
      <x:c r="T898" s="81" t="str">
        <x:v>—</x:v>
      </x:c>
      <x:c r="U898" s="81" t="str">
        <x:v>—</x:v>
      </x:c>
      <x:c r="V898" s="81" t="str">
        <x:v>—</x:v>
      </x:c>
    </x:row>
    <x:row r="899">
      <x:c r="A899" s="80" t="n">
        <x:v>895</x:v>
      </x:c>
      <x:c r="B899" s="80" t="str">
        <x:v>레지드래고</x:v>
      </x:c>
      <x:c r="C899" s="80" t="str">
        <x:v>regidrago</x:v>
      </x:c>
      <x:c r="D899" s="80" t="str">
        <x:v>특수</x:v>
      </x:c>
      <x:c r="E899" s="81" t="str">
        <x:v>—</x:v>
      </x:c>
      <x:c r="F899" s="81" t="str">
        <x:v>—</x:v>
      </x:c>
      <x:c r="G899" s="81" t="str">
        <x:v>—</x:v>
      </x:c>
      <x:c r="H899" s="81" t="str">
        <x:v>—</x:v>
      </x:c>
      <x:c r="I899" s="81" t="str">
        <x:v>—</x:v>
      </x:c>
      <x:c r="J899" s="81" t="str">
        <x:v>—</x:v>
      </x:c>
      <x:c r="K899" s="81" t="str">
        <x:v>—</x:v>
      </x:c>
      <x:c r="L899" s="81" t="str">
        <x:v>—</x:v>
      </x:c>
      <x:c r="M899" s="81" t="str">
        <x:v>—</x:v>
      </x:c>
      <x:c r="N899" s="81" t="str">
        <x:v>—</x:v>
      </x:c>
      <x:c r="O899" s="81" t="str">
        <x:v>—</x:v>
      </x:c>
      <x:c r="P899" s="81" t="str">
        <x:v>—</x:v>
      </x:c>
      <x:c r="Q899" s="81" t="str">
        <x:v>—</x:v>
      </x:c>
      <x:c r="R899" s="81" t="str">
        <x:v>—</x:v>
      </x:c>
      <x:c r="S899" s="81" t="str">
        <x:v>—</x:v>
      </x:c>
      <x:c r="T899" s="81" t="str">
        <x:v>—</x:v>
      </x:c>
      <x:c r="U899" s="81" t="str">
        <x:v>—</x:v>
      </x:c>
      <x:c r="V899" s="81" t="str">
        <x:v>—</x:v>
      </x:c>
    </x:row>
    <x:row r="900">
      <x:c r="A900" s="80" t="n">
        <x:v>896</x:v>
      </x:c>
      <x:c r="B900" s="80" t="str">
        <x:v>블리자포스</x:v>
      </x:c>
      <x:c r="C900" s="80" t="str">
        <x:v>glastrier</x:v>
      </x:c>
      <x:c r="D900" s="80" t="str">
        <x:v>설원</x:v>
      </x:c>
      <x:c r="E900" s="81" t="str">
        <x:v>—</x:v>
      </x:c>
      <x:c r="F900" s="81" t="str">
        <x:v>—</x:v>
      </x:c>
      <x:c r="G900" s="81" t="str">
        <x:v>—</x:v>
      </x:c>
      <x:c r="H900" s="81" t="str">
        <x:v>—</x:v>
      </x:c>
      <x:c r="I900" s="81" t="str">
        <x:v>—</x:v>
      </x:c>
      <x:c r="J900" s="81" t="str">
        <x:v>—</x:v>
      </x:c>
      <x:c r="K900" s="81" t="str">
        <x:v>—</x:v>
      </x:c>
      <x:c r="L900" s="81" t="str">
        <x:v>—</x:v>
      </x:c>
      <x:c r="M900" s="81" t="str">
        <x:v>—</x:v>
      </x:c>
      <x:c r="N900" s="81" t="str">
        <x:v>—</x:v>
      </x:c>
      <x:c r="O900" s="81" t="str">
        <x:v>—</x:v>
      </x:c>
      <x:c r="P900" s="81" t="str">
        <x:v>—</x:v>
      </x:c>
      <x:c r="Q900" s="81" t="str">
        <x:v>—</x:v>
      </x:c>
      <x:c r="R900" s="81" t="str">
        <x:v>—</x:v>
      </x:c>
      <x:c r="S900" s="81" t="str">
        <x:v>—</x:v>
      </x:c>
      <x:c r="T900" s="81" t="str">
        <x:v>—</x:v>
      </x:c>
      <x:c r="U900" s="81" t="str">
        <x:v>—</x:v>
      </x:c>
      <x:c r="V900" s="81" t="str">
        <x:v>—</x:v>
      </x:c>
    </x:row>
    <x:row r="901">
      <x:c r="A901" s="80" t="n">
        <x:v>897</x:v>
      </x:c>
      <x:c r="B901" s="80" t="str">
        <x:v>레이스포스</x:v>
      </x:c>
      <x:c r="C901" s="80" t="str">
        <x:v>spectrier</x:v>
      </x:c>
      <x:c r="D901" s="80" t="str">
        <x:v>특수</x:v>
      </x:c>
      <x:c r="E901" s="81" t="str">
        <x:v>—</x:v>
      </x:c>
      <x:c r="F901" s="81" t="str">
        <x:v>—</x:v>
      </x:c>
      <x:c r="G901" s="81" t="str">
        <x:v>—</x:v>
      </x:c>
      <x:c r="H901" s="81" t="str">
        <x:v>—</x:v>
      </x:c>
      <x:c r="I901" s="81" t="str">
        <x:v>—</x:v>
      </x:c>
      <x:c r="J901" s="81" t="str">
        <x:v>—</x:v>
      </x:c>
      <x:c r="K901" s="81" t="str">
        <x:v>—</x:v>
      </x:c>
      <x:c r="L901" s="81" t="str">
        <x:v>—</x:v>
      </x:c>
      <x:c r="M901" s="81" t="str">
        <x:v>—</x:v>
      </x:c>
      <x:c r="N901" s="81" t="str">
        <x:v>—</x:v>
      </x:c>
      <x:c r="O901" s="81" t="str">
        <x:v>—</x:v>
      </x:c>
      <x:c r="P901" s="81" t="str">
        <x:v>—</x:v>
      </x:c>
      <x:c r="Q901" s="81" t="str">
        <x:v>—</x:v>
      </x:c>
      <x:c r="R901" s="81" t="str">
        <x:v>—</x:v>
      </x:c>
      <x:c r="S901" s="81" t="str">
        <x:v>—</x:v>
      </x:c>
      <x:c r="T901" s="81" t="str">
        <x:v>—</x:v>
      </x:c>
      <x:c r="U901" s="81" t="str">
        <x:v>—</x:v>
      </x:c>
      <x:c r="V901" s="81" t="str">
        <x:v>—</x:v>
      </x:c>
    </x:row>
    <x:row r="902">
      <x:c r="A902" s="80" t="n">
        <x:v>898</x:v>
      </x:c>
      <x:c r="B902" s="80" t="str">
        <x:v>버드렉스</x:v>
      </x:c>
      <x:c r="C902" s="80" t="str">
        <x:v>calyrex</x:v>
      </x:c>
      <x:c r="D902" s="80" t="str">
        <x:v>숲</x:v>
      </x:c>
      <x:c r="E902" s="81" t="str">
        <x:v>—</x:v>
      </x:c>
      <x:c r="F902" s="81" t="str">
        <x:v>—</x:v>
      </x:c>
      <x:c r="G902" s="81" t="str">
        <x:v>—</x:v>
      </x:c>
      <x:c r="H902" s="81" t="str">
        <x:v>—</x:v>
      </x:c>
      <x:c r="I902" s="81" t="str">
        <x:v>—</x:v>
      </x:c>
      <x:c r="J902" s="81" t="str">
        <x:v>—</x:v>
      </x:c>
      <x:c r="K902" s="81" t="str">
        <x:v>—</x:v>
      </x:c>
      <x:c r="L902" s="81" t="str">
        <x:v>—</x:v>
      </x:c>
      <x:c r="M902" s="81" t="str">
        <x:v>—</x:v>
      </x:c>
      <x:c r="N902" s="81" t="str">
        <x:v>—</x:v>
      </x:c>
      <x:c r="O902" s="81" t="str">
        <x:v>—</x:v>
      </x:c>
      <x:c r="P902" s="81" t="str">
        <x:v>—</x:v>
      </x:c>
      <x:c r="Q902" s="81" t="str">
        <x:v>—</x:v>
      </x:c>
      <x:c r="R902" s="81" t="str">
        <x:v>—</x:v>
      </x:c>
      <x:c r="S902" s="81" t="str">
        <x:v>—</x:v>
      </x:c>
      <x:c r="T902" s="81" t="str">
        <x:v>—</x:v>
      </x:c>
      <x:c r="U902" s="81" t="str">
        <x:v>—</x:v>
      </x:c>
      <x:c r="V902" s="81" t="str">
        <x:v>—</x:v>
      </x:c>
    </x:row>
    <x:row r="903">
      <x:c r="A903" s="80" t="n">
        <x:v>899</x:v>
      </x:c>
      <x:c r="B903" s="80" t="str">
        <x:v>신비록</x:v>
      </x:c>
      <x:c r="C903" s="80" t="str">
        <x:v>wyrdeer</x:v>
      </x:c>
      <x:c r="D903" s="80" t="str">
        <x:v>설원</x:v>
      </x:c>
      <x:c r="E903" s="81" t="str">
        <x:v>—</x:v>
      </x:c>
      <x:c r="F903" s="81" t="str">
        <x:v>—</x:v>
      </x:c>
      <x:c r="G903" s="81" t="str">
        <x:v>—</x:v>
      </x:c>
      <x:c r="H903" s="81" t="str">
        <x:v>—</x:v>
      </x:c>
      <x:c r="I903" s="81" t="str">
        <x:v>—</x:v>
      </x:c>
      <x:c r="J903" s="81" t="str">
        <x:v>—</x:v>
      </x:c>
      <x:c r="K903" s="81" t="str">
        <x:v>—</x:v>
      </x:c>
      <x:c r="L903" s="81" t="str">
        <x:v>—</x:v>
      </x:c>
      <x:c r="M903" s="81" t="str">
        <x:v>—</x:v>
      </x:c>
      <x:c r="N903" s="81" t="str">
        <x:v>—</x:v>
      </x:c>
      <x:c r="O903" s="81" t="str">
        <x:v>—</x:v>
      </x:c>
      <x:c r="P903" s="81" t="str">
        <x:v>—</x:v>
      </x:c>
      <x:c r="Q903" s="81" t="str">
        <x:v>—</x:v>
      </x:c>
      <x:c r="R903" s="81" t="str">
        <x:v>—</x:v>
      </x:c>
      <x:c r="S903" s="81" t="str">
        <x:v>—</x:v>
      </x:c>
      <x:c r="T903" s="81" t="str">
        <x:v>—</x:v>
      </x:c>
      <x:c r="U903" s="81" t="str">
        <x:v>—</x:v>
      </x:c>
      <x:c r="V903" s="81" t="str">
        <x:v>—</x:v>
      </x:c>
    </x:row>
    <x:row r="904">
      <x:c r="A904" s="80" t="n">
        <x:v>900</x:v>
      </x:c>
      <x:c r="B904" s="80" t="str">
        <x:v>사마자르</x:v>
      </x:c>
      <x:c r="C904" s="80" t="str">
        <x:v>kleavor</x:v>
      </x:c>
      <x:c r="D904" s="80" t="str">
        <x:v>숲</x:v>
      </x:c>
      <x:c r="E904" s="81" t="str">
        <x:v>—</x:v>
      </x:c>
      <x:c r="F904" s="81" t="str">
        <x:v>—</x:v>
      </x:c>
      <x:c r="G904" s="81" t="str">
        <x:v>—</x:v>
      </x:c>
      <x:c r="H904" s="81" t="str">
        <x:v>—</x:v>
      </x:c>
      <x:c r="I904" s="81" t="str">
        <x:v>—</x:v>
      </x:c>
      <x:c r="J904" s="81" t="str">
        <x:v>—</x:v>
      </x:c>
      <x:c r="K904" s="81" t="str">
        <x:v>—</x:v>
      </x:c>
      <x:c r="L904" s="81" t="str">
        <x:v>—</x:v>
      </x:c>
      <x:c r="M904" s="81" t="str">
        <x:v>—</x:v>
      </x:c>
      <x:c r="N904" s="81" t="str">
        <x:v>—</x:v>
      </x:c>
      <x:c r="O904" s="81" t="str">
        <x:v>—</x:v>
      </x:c>
      <x:c r="P904" s="81" t="str">
        <x:v>—</x:v>
      </x:c>
      <x:c r="Q904" s="81" t="str">
        <x:v>—</x:v>
      </x:c>
      <x:c r="R904" s="81" t="str">
        <x:v>—</x:v>
      </x:c>
      <x:c r="S904" s="81" t="str">
        <x:v>—</x:v>
      </x:c>
      <x:c r="T904" s="81" t="str">
        <x:v>—</x:v>
      </x:c>
      <x:c r="U904" s="81" t="str">
        <x:v>숲6</x:v>
      </x:c>
      <x:c r="V904" s="81" t="str">
        <x:v>평원6</x:v>
      </x:c>
    </x:row>
    <x:row r="905">
      <x:c r="A905" s="80" t="n">
        <x:v>901</x:v>
      </x:c>
      <x:c r="B905" s="80" t="str">
        <x:v>다투곰</x:v>
      </x:c>
      <x:c r="C905" s="80" t="str">
        <x:v>ursaluna</x:v>
      </x:c>
      <x:c r="D905" s="80" t="str">
        <x:v>숲</x:v>
      </x:c>
      <x:c r="E905" s="81" t="str">
        <x:v>—</x:v>
      </x:c>
      <x:c r="F905" s="81" t="str">
        <x:v>—</x:v>
      </x:c>
      <x:c r="G905" s="81" t="str">
        <x:v>—</x:v>
      </x:c>
      <x:c r="H905" s="81" t="str">
        <x:v>—</x:v>
      </x:c>
      <x:c r="I905" s="81" t="str">
        <x:v>—</x:v>
      </x:c>
      <x:c r="J905" s="81" t="str">
        <x:v>—</x:v>
      </x:c>
      <x:c r="K905" s="81" t="str">
        <x:v>—</x:v>
      </x:c>
      <x:c r="L905" s="81" t="str">
        <x:v>—</x:v>
      </x:c>
      <x:c r="M905" s="81" t="str">
        <x:v>—</x:v>
      </x:c>
      <x:c r="N905" s="81" t="str">
        <x:v>—</x:v>
      </x:c>
      <x:c r="O905" s="81" t="str">
        <x:v>—</x:v>
      </x:c>
      <x:c r="P905" s="81" t="str">
        <x:v>—</x:v>
      </x:c>
      <x:c r="Q905" s="81" t="str">
        <x:v>—</x:v>
      </x:c>
      <x:c r="R905" s="81" t="str">
        <x:v>—</x:v>
      </x:c>
      <x:c r="S905" s="81" t="str">
        <x:v>—</x:v>
      </x:c>
      <x:c r="T905" s="81" t="str">
        <x:v>—</x:v>
      </x:c>
      <x:c r="U905" s="81" t="str">
        <x:v>숲6</x:v>
      </x:c>
      <x:c r="V905" s="81" t="str">
        <x:v>평원6</x:v>
      </x:c>
    </x:row>
    <x:row r="906">
      <x:c r="A906" s="80" t="n">
        <x:v>902</x:v>
      </x:c>
      <x:c r="B906" s="80" t="str">
        <x:v>대쓰여너</x:v>
      </x:c>
      <x:c r="C906" s="80" t="str">
        <x:v>basculegion</x:v>
      </x:c>
      <x:c r="D906" s="80" t="str">
        <x:v>담수</x:v>
      </x:c>
      <x:c r="E906" s="81" t="str">
        <x:v>—</x:v>
      </x:c>
      <x:c r="F906" s="81" t="str">
        <x:v>—</x:v>
      </x:c>
      <x:c r="G906" s="81" t="str">
        <x:v>—</x:v>
      </x:c>
      <x:c r="H906" s="81" t="str">
        <x:v>—</x:v>
      </x:c>
      <x:c r="I906" s="81" t="str">
        <x:v>—</x:v>
      </x:c>
      <x:c r="J906" s="81" t="str">
        <x:v>—</x:v>
      </x:c>
      <x:c r="K906" s="81" t="str">
        <x:v>—</x:v>
      </x:c>
      <x:c r="L906" s="81" t="str">
        <x:v>—</x:v>
      </x:c>
      <x:c r="M906" s="81" t="str">
        <x:v>—</x:v>
      </x:c>
      <x:c r="N906" s="81" t="str">
        <x:v>—</x:v>
      </x:c>
      <x:c r="O906" s="81" t="str">
        <x:v>—</x:v>
      </x:c>
      <x:c r="P906" s="81" t="str">
        <x:v>—</x:v>
      </x:c>
      <x:c r="Q906" s="81" t="str">
        <x:v>—</x:v>
      </x:c>
      <x:c r="R906" s="81" t="str">
        <x:v>—</x:v>
      </x:c>
      <x:c r="S906" s="81" t="str">
        <x:v>—</x:v>
      </x:c>
      <x:c r="T906" s="81" t="str">
        <x:v>—</x:v>
      </x:c>
      <x:c r="U906" s="81" t="str">
        <x:v>담수3</x:v>
      </x:c>
      <x:c r="V906" s="81" t="str">
        <x:v>특수2</x:v>
      </x:c>
    </x:row>
    <x:row r="907">
      <x:c r="A907" s="80" t="n">
        <x:v>903</x:v>
      </x:c>
      <x:c r="B907" s="80" t="str">
        <x:v>포푸니크</x:v>
      </x:c>
      <x:c r="C907" s="80" t="str">
        <x:v>sneasler</x:v>
      </x:c>
      <x:c r="D907" s="80" t="str">
        <x:v>산악</x:v>
      </x:c>
      <x:c r="E907" s="81" t="str">
        <x:v>—</x:v>
      </x:c>
      <x:c r="F907" s="81" t="str">
        <x:v>—</x:v>
      </x:c>
      <x:c r="G907" s="81" t="str">
        <x:v>—</x:v>
      </x:c>
      <x:c r="H907" s="81" t="str">
        <x:v>—</x:v>
      </x:c>
      <x:c r="I907" s="81" t="str">
        <x:v>—</x:v>
      </x:c>
      <x:c r="J907" s="81" t="str">
        <x:v>—</x:v>
      </x:c>
      <x:c r="K907" s="81" t="str">
        <x:v>—</x:v>
      </x:c>
      <x:c r="L907" s="81" t="str">
        <x:v>—</x:v>
      </x:c>
      <x:c r="M907" s="81" t="str">
        <x:v>—</x:v>
      </x:c>
      <x:c r="N907" s="81" t="str">
        <x:v>—</x:v>
      </x:c>
      <x:c r="O907" s="81" t="str">
        <x:v>—</x:v>
      </x:c>
      <x:c r="P907" s="81" t="str">
        <x:v>—</x:v>
      </x:c>
      <x:c r="Q907" s="81" t="str">
        <x:v>—</x:v>
      </x:c>
      <x:c r="R907" s="81" t="str">
        <x:v>—</x:v>
      </x:c>
      <x:c r="S907" s="81" t="str">
        <x:v>—</x:v>
      </x:c>
      <x:c r="T907" s="81" t="str">
        <x:v>—</x:v>
      </x:c>
      <x:c r="U907" s="81" t="str">
        <x:v>—</x:v>
      </x:c>
      <x:c r="V907" s="81" t="str">
        <x:v>—</x:v>
      </x:c>
    </x:row>
    <x:row r="908">
      <x:c r="A908" s="80" t="n">
        <x:v>904</x:v>
      </x:c>
      <x:c r="B908" s="80" t="str">
        <x:v>장침바루</x:v>
      </x:c>
      <x:c r="C908" s="80" t="str">
        <x:v>overqwil</x:v>
      </x:c>
      <x:c r="D908" s="80" t="str">
        <x:v>설원</x:v>
      </x:c>
      <x:c r="E908" s="81" t="str">
        <x:v>—</x:v>
      </x:c>
      <x:c r="F908" s="81" t="str">
        <x:v>—</x:v>
      </x:c>
      <x:c r="G908" s="81" t="str">
        <x:v>—</x:v>
      </x:c>
      <x:c r="H908" s="81" t="str">
        <x:v>—</x:v>
      </x:c>
      <x:c r="I908" s="81" t="str">
        <x:v>—</x:v>
      </x:c>
      <x:c r="J908" s="81" t="str">
        <x:v>—</x:v>
      </x:c>
      <x:c r="K908" s="81" t="str">
        <x:v>—</x:v>
      </x:c>
      <x:c r="L908" s="81" t="str">
        <x:v>—</x:v>
      </x:c>
      <x:c r="M908" s="81" t="str">
        <x:v>—</x:v>
      </x:c>
      <x:c r="N908" s="81" t="str">
        <x:v>—</x:v>
      </x:c>
      <x:c r="O908" s="81" t="str">
        <x:v>—</x:v>
      </x:c>
      <x:c r="P908" s="81" t="str">
        <x:v>—</x:v>
      </x:c>
      <x:c r="Q908" s="81" t="str">
        <x:v>—</x:v>
      </x:c>
      <x:c r="R908" s="81" t="str">
        <x:v>—</x:v>
      </x:c>
      <x:c r="S908" s="81" t="str">
        <x:v>—</x:v>
      </x:c>
      <x:c r="T908" s="81" t="str">
        <x:v>—</x:v>
      </x:c>
      <x:c r="U908" s="81" t="str">
        <x:v>설원1</x:v>
      </x:c>
      <x:c r="V908" s="81" t="str">
        <x:v>숲6</x:v>
      </x:c>
    </x:row>
    <x:row r="909">
      <x:c r="A909" s="80" t="n">
        <x:v>905</x:v>
      </x:c>
      <x:c r="B909" s="80" t="str">
        <x:v>러브로스</x:v>
      </x:c>
      <x:c r="C909" s="80" t="str">
        <x:v>enamorus</x:v>
      </x:c>
      <x:c r="D909" s="80" t="str">
        <x:v>산악</x:v>
      </x:c>
      <x:c r="E909" s="81" t="str">
        <x:v>—</x:v>
      </x:c>
      <x:c r="F909" s="81" t="str">
        <x:v>—</x:v>
      </x:c>
      <x:c r="G909" s="81" t="str">
        <x:v>—</x:v>
      </x:c>
      <x:c r="H909" s="81" t="str">
        <x:v>—</x:v>
      </x:c>
      <x:c r="I909" s="81" t="str">
        <x:v>—</x:v>
      </x:c>
      <x:c r="J909" s="81" t="str">
        <x:v>—</x:v>
      </x:c>
      <x:c r="K909" s="81" t="str">
        <x:v>—</x:v>
      </x:c>
      <x:c r="L909" s="81" t="str">
        <x:v>—</x:v>
      </x:c>
      <x:c r="M909" s="81" t="str">
        <x:v>—</x:v>
      </x:c>
      <x:c r="N909" s="81" t="str">
        <x:v>—</x:v>
      </x:c>
      <x:c r="O909" s="81" t="str">
        <x:v>—</x:v>
      </x:c>
      <x:c r="P909" s="81" t="str">
        <x:v>—</x:v>
      </x:c>
      <x:c r="Q909" s="81" t="str">
        <x:v>—</x:v>
      </x:c>
      <x:c r="R909" s="81" t="str">
        <x:v>—</x:v>
      </x:c>
      <x:c r="S909" s="81" t="str">
        <x:v>—</x:v>
      </x:c>
      <x:c r="T909" s="81" t="str">
        <x:v>—</x:v>
      </x:c>
      <x:c r="U909" s="81" t="str">
        <x:v>—</x:v>
      </x:c>
      <x:c r="V909" s="81" t="str">
        <x:v>—</x:v>
      </x:c>
    </x:row>
    <x:row r="910">
      <x:c r="A910" s="80" t="n">
        <x:v>906</x:v>
      </x:c>
      <x:c r="B910" s="80" t="str">
        <x:v>나오하</x:v>
      </x:c>
      <x:c r="C910" s="80" t="str">
        <x:v>sprigatito</x:v>
      </x:c>
      <x:c r="D910" s="80" t="str">
        <x:v>숲</x:v>
      </x:c>
      <x:c r="E910" s="81" t="str">
        <x:v>—</x:v>
      </x:c>
      <x:c r="F910" s="81" t="str">
        <x:v>—</x:v>
      </x:c>
      <x:c r="G910" s="81" t="str">
        <x:v>—</x:v>
      </x:c>
      <x:c r="H910" s="81" t="str">
        <x:v>—</x:v>
      </x:c>
      <x:c r="I910" s="81" t="str">
        <x:v>—</x:v>
      </x:c>
      <x:c r="J910" s="81" t="str">
        <x:v>—</x:v>
      </x:c>
      <x:c r="K910" s="81" t="str">
        <x:v>—</x:v>
      </x:c>
      <x:c r="L910" s="81" t="str">
        <x:v>—</x:v>
      </x:c>
      <x:c r="M910" s="81" t="str">
        <x:v>—</x:v>
      </x:c>
      <x:c r="N910" s="81" t="str">
        <x:v>—</x:v>
      </x:c>
      <x:c r="O910" s="81" t="str">
        <x:v>—</x:v>
      </x:c>
      <x:c r="P910" s="81" t="str">
        <x:v>—</x:v>
      </x:c>
      <x:c r="Q910" s="81" t="str">
        <x:v>—</x:v>
      </x:c>
      <x:c r="R910" s="81" t="str">
        <x:v>—</x:v>
      </x:c>
      <x:c r="S910" s="81" t="str">
        <x:v>—</x:v>
      </x:c>
      <x:c r="T910" s="81" t="str">
        <x:v>—</x:v>
      </x:c>
      <x:c r="U910" s="81" t="str">
        <x:v>숲7</x:v>
      </x:c>
      <x:c r="V910" s="81" t="str">
        <x:v>평원7</x:v>
      </x:c>
    </x:row>
    <x:row r="911">
      <x:c r="A911" s="80" t="n">
        <x:v>907</x:v>
      </x:c>
      <x:c r="B911" s="80" t="str">
        <x:v>나로테</x:v>
      </x:c>
      <x:c r="C911" s="80" t="str">
        <x:v>floragato</x:v>
      </x:c>
      <x:c r="D911" s="80" t="str">
        <x:v>숲</x:v>
      </x:c>
      <x:c r="E911" s="81" t="str">
        <x:v>—</x:v>
      </x:c>
      <x:c r="F911" s="81" t="str">
        <x:v>—</x:v>
      </x:c>
      <x:c r="G911" s="81" t="str">
        <x:v>—</x:v>
      </x:c>
      <x:c r="H911" s="81" t="str">
        <x:v>—</x:v>
      </x:c>
      <x:c r="I911" s="81" t="str">
        <x:v>—</x:v>
      </x:c>
      <x:c r="J911" s="81" t="str">
        <x:v>—</x:v>
      </x:c>
      <x:c r="K911" s="81" t="str">
        <x:v>—</x:v>
      </x:c>
      <x:c r="L911" s="81" t="str">
        <x:v>—</x:v>
      </x:c>
      <x:c r="M911" s="81" t="str">
        <x:v>—</x:v>
      </x:c>
      <x:c r="N911" s="81" t="str">
        <x:v>—</x:v>
      </x:c>
      <x:c r="O911" s="81" t="str">
        <x:v>—</x:v>
      </x:c>
      <x:c r="P911" s="81" t="str">
        <x:v>—</x:v>
      </x:c>
      <x:c r="Q911" s="81" t="str">
        <x:v>—</x:v>
      </x:c>
      <x:c r="R911" s="81" t="str">
        <x:v>—</x:v>
      </x:c>
      <x:c r="S911" s="81" t="str">
        <x:v>—</x:v>
      </x:c>
      <x:c r="T911" s="81" t="str">
        <x:v>—</x:v>
      </x:c>
      <x:c r="U911" s="81" t="str">
        <x:v>숲7</x:v>
      </x:c>
      <x:c r="V911" s="81" t="str">
        <x:v>평원7</x:v>
      </x:c>
    </x:row>
    <x:row r="912">
      <x:c r="A912" s="80" t="n">
        <x:v>908</x:v>
      </x:c>
      <x:c r="B912" s="80" t="str">
        <x:v>마스카나</x:v>
      </x:c>
      <x:c r="C912" s="80" t="str">
        <x:v>meowscarada</x:v>
      </x:c>
      <x:c r="D912" s="80" t="str">
        <x:v>숲</x:v>
      </x:c>
      <x:c r="E912" s="81" t="str">
        <x:v>—</x:v>
      </x:c>
      <x:c r="F912" s="81" t="str">
        <x:v>—</x:v>
      </x:c>
      <x:c r="G912" s="81" t="str">
        <x:v>—</x:v>
      </x:c>
      <x:c r="H912" s="81" t="str">
        <x:v>—</x:v>
      </x:c>
      <x:c r="I912" s="81" t="str">
        <x:v>—</x:v>
      </x:c>
      <x:c r="J912" s="81" t="str">
        <x:v>—</x:v>
      </x:c>
      <x:c r="K912" s="81" t="str">
        <x:v>—</x:v>
      </x:c>
      <x:c r="L912" s="81" t="str">
        <x:v>—</x:v>
      </x:c>
      <x:c r="M912" s="81" t="str">
        <x:v>—</x:v>
      </x:c>
      <x:c r="N912" s="81" t="str">
        <x:v>—</x:v>
      </x:c>
      <x:c r="O912" s="81" t="str">
        <x:v>—</x:v>
      </x:c>
      <x:c r="P912" s="81" t="str">
        <x:v>—</x:v>
      </x:c>
      <x:c r="Q912" s="81" t="str">
        <x:v>—</x:v>
      </x:c>
      <x:c r="R912" s="81" t="str">
        <x:v>—</x:v>
      </x:c>
      <x:c r="S912" s="81" t="str">
        <x:v>—</x:v>
      </x:c>
      <x:c r="T912" s="81" t="str">
        <x:v>—</x:v>
      </x:c>
      <x:c r="U912" s="81" t="str">
        <x:v>숲7</x:v>
      </x:c>
      <x:c r="V912" s="81" t="str">
        <x:v>평원7</x:v>
      </x:c>
    </x:row>
    <x:row r="913">
      <x:c r="A913" s="80" t="n">
        <x:v>909</x:v>
      </x:c>
      <x:c r="B913" s="80" t="str">
        <x:v>뜨아거</x:v>
      </x:c>
      <x:c r="C913" s="80" t="str">
        <x:v>fuecoco</x:v>
      </x:c>
      <x:c r="D913" s="80" t="str">
        <x:v>화산</x:v>
      </x:c>
      <x:c r="E913" s="81" t="str">
        <x:v>—</x:v>
      </x:c>
      <x:c r="F913" s="81" t="str">
        <x:v>—</x:v>
      </x:c>
      <x:c r="G913" s="81" t="str">
        <x:v>—</x:v>
      </x:c>
      <x:c r="H913" s="81" t="str">
        <x:v>—</x:v>
      </x:c>
      <x:c r="I913" s="81" t="str">
        <x:v>—</x:v>
      </x:c>
      <x:c r="J913" s="81" t="str">
        <x:v>—</x:v>
      </x:c>
      <x:c r="K913" s="81" t="str">
        <x:v>—</x:v>
      </x:c>
      <x:c r="L913" s="81" t="str">
        <x:v>—</x:v>
      </x:c>
      <x:c r="M913" s="81" t="str">
        <x:v>—</x:v>
      </x:c>
      <x:c r="N913" s="81" t="str">
        <x:v>—</x:v>
      </x:c>
      <x:c r="O913" s="81" t="str">
        <x:v>—</x:v>
      </x:c>
      <x:c r="P913" s="81" t="str">
        <x:v>—</x:v>
      </x:c>
      <x:c r="Q913" s="81" t="str">
        <x:v>—</x:v>
      </x:c>
      <x:c r="R913" s="81" t="str">
        <x:v>—</x:v>
      </x:c>
      <x:c r="S913" s="81" t="str">
        <x:v>—</x:v>
      </x:c>
      <x:c r="T913" s="81" t="str">
        <x:v>—</x:v>
      </x:c>
      <x:c r="U913" s="81" t="str">
        <x:v>화산3</x:v>
      </x:c>
      <x:c r="V913" s="81" t="str">
        <x:v>건조지3</x:v>
      </x:c>
    </x:row>
    <x:row r="914">
      <x:c r="A914" s="80" t="n">
        <x:v>910</x:v>
      </x:c>
      <x:c r="B914" s="80" t="str">
        <x:v>악뜨거</x:v>
      </x:c>
      <x:c r="C914" s="80" t="str">
        <x:v>crocalor</x:v>
      </x:c>
      <x:c r="D914" s="80" t="str">
        <x:v>화산</x:v>
      </x:c>
      <x:c r="E914" s="81" t="str">
        <x:v>—</x:v>
      </x:c>
      <x:c r="F914" s="81" t="str">
        <x:v>—</x:v>
      </x:c>
      <x:c r="G914" s="81" t="str">
        <x:v>—</x:v>
      </x:c>
      <x:c r="H914" s="81" t="str">
        <x:v>—</x:v>
      </x:c>
      <x:c r="I914" s="81" t="str">
        <x:v>—</x:v>
      </x:c>
      <x:c r="J914" s="81" t="str">
        <x:v>—</x:v>
      </x:c>
      <x:c r="K914" s="81" t="str">
        <x:v>—</x:v>
      </x:c>
      <x:c r="L914" s="81" t="str">
        <x:v>—</x:v>
      </x:c>
      <x:c r="M914" s="81" t="str">
        <x:v>—</x:v>
      </x:c>
      <x:c r="N914" s="81" t="str">
        <x:v>—</x:v>
      </x:c>
      <x:c r="O914" s="81" t="str">
        <x:v>—</x:v>
      </x:c>
      <x:c r="P914" s="81" t="str">
        <x:v>—</x:v>
      </x:c>
      <x:c r="Q914" s="81" t="str">
        <x:v>—</x:v>
      </x:c>
      <x:c r="R914" s="81" t="str">
        <x:v>—</x:v>
      </x:c>
      <x:c r="S914" s="81" t="str">
        <x:v>—</x:v>
      </x:c>
      <x:c r="T914" s="81" t="str">
        <x:v>—</x:v>
      </x:c>
      <x:c r="U914" s="81" t="str">
        <x:v>화산3</x:v>
      </x:c>
      <x:c r="V914" s="81" t="str">
        <x:v>건조지3</x:v>
      </x:c>
    </x:row>
    <x:row r="915">
      <x:c r="A915" s="80" t="n">
        <x:v>911</x:v>
      </x:c>
      <x:c r="B915" s="80" t="str">
        <x:v>라우드본</x:v>
      </x:c>
      <x:c r="C915" s="80" t="str">
        <x:v>skeledirge</x:v>
      </x:c>
      <x:c r="D915" s="80" t="str">
        <x:v>화산</x:v>
      </x:c>
      <x:c r="E915" s="81" t="str">
        <x:v>—</x:v>
      </x:c>
      <x:c r="F915" s="81" t="str">
        <x:v>—</x:v>
      </x:c>
      <x:c r="G915" s="81" t="str">
        <x:v>—</x:v>
      </x:c>
      <x:c r="H915" s="81" t="str">
        <x:v>—</x:v>
      </x:c>
      <x:c r="I915" s="81" t="str">
        <x:v>—</x:v>
      </x:c>
      <x:c r="J915" s="81" t="str">
        <x:v>—</x:v>
      </x:c>
      <x:c r="K915" s="81" t="str">
        <x:v>—</x:v>
      </x:c>
      <x:c r="L915" s="81" t="str">
        <x:v>—</x:v>
      </x:c>
      <x:c r="M915" s="81" t="str">
        <x:v>—</x:v>
      </x:c>
      <x:c r="N915" s="81" t="str">
        <x:v>—</x:v>
      </x:c>
      <x:c r="O915" s="81" t="str">
        <x:v>—</x:v>
      </x:c>
      <x:c r="P915" s="81" t="str">
        <x:v>—</x:v>
      </x:c>
      <x:c r="Q915" s="81" t="str">
        <x:v>—</x:v>
      </x:c>
      <x:c r="R915" s="81" t="str">
        <x:v>—</x:v>
      </x:c>
      <x:c r="S915" s="81" t="str">
        <x:v>—</x:v>
      </x:c>
      <x:c r="T915" s="81" t="str">
        <x:v>—</x:v>
      </x:c>
      <x:c r="U915" s="81" t="str">
        <x:v>화산3</x:v>
      </x:c>
      <x:c r="V915" s="81" t="str">
        <x:v>특수2</x:v>
      </x:c>
    </x:row>
    <x:row r="916">
      <x:c r="A916" s="80" t="n">
        <x:v>912</x:v>
      </x:c>
      <x:c r="B916" s="80" t="str">
        <x:v>꾸왁스</x:v>
      </x:c>
      <x:c r="C916" s="80" t="str">
        <x:v>quaxly</x:v>
      </x:c>
      <x:c r="D916" s="80" t="str">
        <x:v>담수</x:v>
      </x:c>
      <x:c r="E916" s="81" t="str">
        <x:v>—</x:v>
      </x:c>
      <x:c r="F916" s="81" t="str">
        <x:v>—</x:v>
      </x:c>
      <x:c r="G916" s="81" t="str">
        <x:v>—</x:v>
      </x:c>
      <x:c r="H916" s="81" t="str">
        <x:v>—</x:v>
      </x:c>
      <x:c r="I916" s="81" t="str">
        <x:v>—</x:v>
      </x:c>
      <x:c r="J916" s="81" t="str">
        <x:v>—</x:v>
      </x:c>
      <x:c r="K916" s="81" t="str">
        <x:v>—</x:v>
      </x:c>
      <x:c r="L916" s="81" t="str">
        <x:v>—</x:v>
      </x:c>
      <x:c r="M916" s="81" t="str">
        <x:v>—</x:v>
      </x:c>
      <x:c r="N916" s="81" t="str">
        <x:v>—</x:v>
      </x:c>
      <x:c r="O916" s="81" t="str">
        <x:v>—</x:v>
      </x:c>
      <x:c r="P916" s="81" t="str">
        <x:v>—</x:v>
      </x:c>
      <x:c r="Q916" s="81" t="str">
        <x:v>—</x:v>
      </x:c>
      <x:c r="R916" s="81" t="str">
        <x:v>—</x:v>
      </x:c>
      <x:c r="S916" s="81" t="str">
        <x:v>—</x:v>
      </x:c>
      <x:c r="T916" s="81" t="str">
        <x:v>—</x:v>
      </x:c>
      <x:c r="U916" s="81" t="str">
        <x:v>담수3</x:v>
      </x:c>
      <x:c r="V916" s="81" t="str">
        <x:v>습지3</x:v>
      </x:c>
    </x:row>
    <x:row r="917">
      <x:c r="A917" s="80" t="n">
        <x:v>913</x:v>
      </x:c>
      <x:c r="B917" s="80" t="str">
        <x:v>아꾸왁</x:v>
      </x:c>
      <x:c r="C917" s="80" t="str">
        <x:v>quaxwell</x:v>
      </x:c>
      <x:c r="D917" s="80" t="str">
        <x:v>담수</x:v>
      </x:c>
      <x:c r="E917" s="81" t="str">
        <x:v>—</x:v>
      </x:c>
      <x:c r="F917" s="81" t="str">
        <x:v>—</x:v>
      </x:c>
      <x:c r="G917" s="81" t="str">
        <x:v>—</x:v>
      </x:c>
      <x:c r="H917" s="81" t="str">
        <x:v>—</x:v>
      </x:c>
      <x:c r="I917" s="81" t="str">
        <x:v>—</x:v>
      </x:c>
      <x:c r="J917" s="81" t="str">
        <x:v>—</x:v>
      </x:c>
      <x:c r="K917" s="81" t="str">
        <x:v>—</x:v>
      </x:c>
      <x:c r="L917" s="81" t="str">
        <x:v>—</x:v>
      </x:c>
      <x:c r="M917" s="81" t="str">
        <x:v>—</x:v>
      </x:c>
      <x:c r="N917" s="81" t="str">
        <x:v>—</x:v>
      </x:c>
      <x:c r="O917" s="81" t="str">
        <x:v>—</x:v>
      </x:c>
      <x:c r="P917" s="81" t="str">
        <x:v>—</x:v>
      </x:c>
      <x:c r="Q917" s="81" t="str">
        <x:v>—</x:v>
      </x:c>
      <x:c r="R917" s="81" t="str">
        <x:v>—</x:v>
      </x:c>
      <x:c r="S917" s="81" t="str">
        <x:v>—</x:v>
      </x:c>
      <x:c r="T917" s="81" t="str">
        <x:v>—</x:v>
      </x:c>
      <x:c r="U917" s="81" t="str">
        <x:v>담수3</x:v>
      </x:c>
      <x:c r="V917" s="81" t="str">
        <x:v>습지3</x:v>
      </x:c>
    </x:row>
    <x:row r="918">
      <x:c r="A918" s="80" t="n">
        <x:v>914</x:v>
      </x:c>
      <x:c r="B918" s="80" t="str">
        <x:v>웨이니발</x:v>
      </x:c>
      <x:c r="C918" s="80" t="str">
        <x:v>quaquaval</x:v>
      </x:c>
      <x:c r="D918" s="80" t="str">
        <x:v>담수</x:v>
      </x:c>
      <x:c r="E918" s="81" t="str">
        <x:v>—</x:v>
      </x:c>
      <x:c r="F918" s="81" t="str">
        <x:v>—</x:v>
      </x:c>
      <x:c r="G918" s="81" t="str">
        <x:v>—</x:v>
      </x:c>
      <x:c r="H918" s="81" t="str">
        <x:v>—</x:v>
      </x:c>
      <x:c r="I918" s="81" t="str">
        <x:v>—</x:v>
      </x:c>
      <x:c r="J918" s="81" t="str">
        <x:v>—</x:v>
      </x:c>
      <x:c r="K918" s="81" t="str">
        <x:v>—</x:v>
      </x:c>
      <x:c r="L918" s="81" t="str">
        <x:v>—</x:v>
      </x:c>
      <x:c r="M918" s="81" t="str">
        <x:v>—</x:v>
      </x:c>
      <x:c r="N918" s="81" t="str">
        <x:v>—</x:v>
      </x:c>
      <x:c r="O918" s="81" t="str">
        <x:v>—</x:v>
      </x:c>
      <x:c r="P918" s="81" t="str">
        <x:v>—</x:v>
      </x:c>
      <x:c r="Q918" s="81" t="str">
        <x:v>—</x:v>
      </x:c>
      <x:c r="R918" s="81" t="str">
        <x:v>—</x:v>
      </x:c>
      <x:c r="S918" s="81" t="str">
        <x:v>—</x:v>
      </x:c>
      <x:c r="T918" s="81" t="str">
        <x:v>—</x:v>
      </x:c>
      <x:c r="U918" s="81" t="str">
        <x:v>담수3</x:v>
      </x:c>
      <x:c r="V918" s="81" t="str">
        <x:v>습지3</x:v>
      </x:c>
    </x:row>
    <x:row r="919">
      <x:c r="A919" s="80" t="n">
        <x:v>915</x:v>
      </x:c>
      <x:c r="B919" s="80" t="str">
        <x:v>맛보돈</x:v>
      </x:c>
      <x:c r="C919" s="80" t="str">
        <x:v>lechonk</x:v>
      </x:c>
      <x:c r="D919" s="80" t="str">
        <x:v>습지</x:v>
      </x:c>
      <x:c r="E919" s="81" t="str">
        <x:v>—</x:v>
      </x:c>
      <x:c r="F919" s="81" t="str">
        <x:v>—</x:v>
      </x:c>
      <x:c r="G919" s="81" t="str">
        <x:v>—</x:v>
      </x:c>
      <x:c r="H919" s="81" t="str">
        <x:v>—</x:v>
      </x:c>
      <x:c r="I919" s="81" t="str">
        <x:v>—</x:v>
      </x:c>
      <x:c r="J919" s="81" t="str">
        <x:v>—</x:v>
      </x:c>
      <x:c r="K919" s="81" t="str">
        <x:v>—</x:v>
      </x:c>
      <x:c r="L919" s="81" t="str">
        <x:v>—</x:v>
      </x:c>
      <x:c r="M919" s="81" t="str">
        <x:v>—</x:v>
      </x:c>
      <x:c r="N919" s="81" t="str">
        <x:v>—</x:v>
      </x:c>
      <x:c r="O919" s="81" t="str">
        <x:v>—</x:v>
      </x:c>
      <x:c r="P919" s="81" t="str">
        <x:v>—</x:v>
      </x:c>
      <x:c r="Q919" s="81" t="str">
        <x:v>—</x:v>
      </x:c>
      <x:c r="R919" s="81" t="str">
        <x:v>—</x:v>
      </x:c>
      <x:c r="S919" s="81" t="str">
        <x:v>—</x:v>
      </x:c>
      <x:c r="T919" s="81" t="str">
        <x:v>—</x:v>
      </x:c>
      <x:c r="U919" s="81" t="str">
        <x:v>습지3</x:v>
      </x:c>
      <x:c r="V919" s="81" t="str">
        <x:v>평원7</x:v>
      </x:c>
    </x:row>
    <x:row r="920">
      <x:c r="A920" s="80" t="n">
        <x:v>916</x:v>
      </x:c>
      <x:c r="B920" s="80" t="str">
        <x:v>퍼퓨돈</x:v>
      </x:c>
      <x:c r="C920" s="80" t="str">
        <x:v>oinkologne</x:v>
      </x:c>
      <x:c r="D920" s="80" t="str">
        <x:v>습지</x:v>
      </x:c>
      <x:c r="E920" s="81" t="str">
        <x:v>—</x:v>
      </x:c>
      <x:c r="F920" s="81" t="str">
        <x:v>—</x:v>
      </x:c>
      <x:c r="G920" s="81" t="str">
        <x:v>—</x:v>
      </x:c>
      <x:c r="H920" s="81" t="str">
        <x:v>—</x:v>
      </x:c>
      <x:c r="I920" s="81" t="str">
        <x:v>—</x:v>
      </x:c>
      <x:c r="J920" s="81" t="str">
        <x:v>—</x:v>
      </x:c>
      <x:c r="K920" s="81" t="str">
        <x:v>—</x:v>
      </x:c>
      <x:c r="L920" s="81" t="str">
        <x:v>—</x:v>
      </x:c>
      <x:c r="M920" s="81" t="str">
        <x:v>—</x:v>
      </x:c>
      <x:c r="N920" s="81" t="str">
        <x:v>—</x:v>
      </x:c>
      <x:c r="O920" s="81" t="str">
        <x:v>—</x:v>
      </x:c>
      <x:c r="P920" s="81" t="str">
        <x:v>—</x:v>
      </x:c>
      <x:c r="Q920" s="81" t="str">
        <x:v>—</x:v>
      </x:c>
      <x:c r="R920" s="81" t="str">
        <x:v>—</x:v>
      </x:c>
      <x:c r="S920" s="81" t="str">
        <x:v>—</x:v>
      </x:c>
      <x:c r="T920" s="81" t="str">
        <x:v>—</x:v>
      </x:c>
      <x:c r="U920" s="81" t="str">
        <x:v>습지3</x:v>
      </x:c>
      <x:c r="V920" s="81" t="str">
        <x:v>평원7</x:v>
      </x:c>
    </x:row>
    <x:row r="921">
      <x:c r="A921" s="80" t="n">
        <x:v>917</x:v>
      </x:c>
      <x:c r="B921" s="80" t="str">
        <x:v>타랜툴라</x:v>
      </x:c>
      <x:c r="C921" s="80" t="str">
        <x:v>tarountula</x:v>
      </x:c>
      <x:c r="D921" s="80" t="str">
        <x:v>숲</x:v>
      </x:c>
      <x:c r="E921" s="81" t="str">
        <x:v>—</x:v>
      </x:c>
      <x:c r="F921" s="81" t="str">
        <x:v>—</x:v>
      </x:c>
      <x:c r="G921" s="81" t="str">
        <x:v>—</x:v>
      </x:c>
      <x:c r="H921" s="81" t="str">
        <x:v>—</x:v>
      </x:c>
      <x:c r="I921" s="81" t="str">
        <x:v>—</x:v>
      </x:c>
      <x:c r="J921" s="81" t="str">
        <x:v>—</x:v>
      </x:c>
      <x:c r="K921" s="81" t="str">
        <x:v>—</x:v>
      </x:c>
      <x:c r="L921" s="81" t="str">
        <x:v>—</x:v>
      </x:c>
      <x:c r="M921" s="81" t="str">
        <x:v>—</x:v>
      </x:c>
      <x:c r="N921" s="81" t="str">
        <x:v>—</x:v>
      </x:c>
      <x:c r="O921" s="81" t="str">
        <x:v>—</x:v>
      </x:c>
      <x:c r="P921" s="81" t="str">
        <x:v>—</x:v>
      </x:c>
      <x:c r="Q921" s="81" t="str">
        <x:v>—</x:v>
      </x:c>
      <x:c r="R921" s="81" t="str">
        <x:v>—</x:v>
      </x:c>
      <x:c r="S921" s="81" t="str">
        <x:v>—</x:v>
      </x:c>
      <x:c r="T921" s="81" t="str">
        <x:v>—</x:v>
      </x:c>
      <x:c r="U921" s="81" t="str">
        <x:v>숲7</x:v>
      </x:c>
      <x:c r="V921" s="81" t="str">
        <x:v>습지3</x:v>
      </x:c>
    </x:row>
    <x:row r="922">
      <x:c r="A922" s="80" t="n">
        <x:v>918</x:v>
      </x:c>
      <x:c r="B922" s="80" t="str">
        <x:v>트래피더</x:v>
      </x:c>
      <x:c r="C922" s="80" t="str">
        <x:v>spidops</x:v>
      </x:c>
      <x:c r="D922" s="80" t="str">
        <x:v>숲</x:v>
      </x:c>
      <x:c r="E922" s="81" t="str">
        <x:v>—</x:v>
      </x:c>
      <x:c r="F922" s="81" t="str">
        <x:v>—</x:v>
      </x:c>
      <x:c r="G922" s="81" t="str">
        <x:v>—</x:v>
      </x:c>
      <x:c r="H922" s="81" t="str">
        <x:v>—</x:v>
      </x:c>
      <x:c r="I922" s="81" t="str">
        <x:v>—</x:v>
      </x:c>
      <x:c r="J922" s="81" t="str">
        <x:v>—</x:v>
      </x:c>
      <x:c r="K922" s="81" t="str">
        <x:v>—</x:v>
      </x:c>
      <x:c r="L922" s="81" t="str">
        <x:v>—</x:v>
      </x:c>
      <x:c r="M922" s="81" t="str">
        <x:v>—</x:v>
      </x:c>
      <x:c r="N922" s="81" t="str">
        <x:v>—</x:v>
      </x:c>
      <x:c r="O922" s="81" t="str">
        <x:v>—</x:v>
      </x:c>
      <x:c r="P922" s="81" t="str">
        <x:v>—</x:v>
      </x:c>
      <x:c r="Q922" s="81" t="str">
        <x:v>—</x:v>
      </x:c>
      <x:c r="R922" s="81" t="str">
        <x:v>—</x:v>
      </x:c>
      <x:c r="S922" s="81" t="str">
        <x:v>—</x:v>
      </x:c>
      <x:c r="T922" s="81" t="str">
        <x:v>—</x:v>
      </x:c>
      <x:c r="U922" s="81" t="str">
        <x:v>숲7</x:v>
      </x:c>
      <x:c r="V922" s="81" t="str">
        <x:v>습지3</x:v>
      </x:c>
    </x:row>
    <x:row r="923">
      <x:c r="A923" s="80" t="n">
        <x:v>919</x:v>
      </x:c>
      <x:c r="B923" s="80" t="str">
        <x:v>콩알뚜기</x:v>
      </x:c>
      <x:c r="C923" s="80" t="str">
        <x:v>nymble</x:v>
      </x:c>
      <x:c r="D923" s="80" t="str">
        <x:v>건조지</x:v>
      </x:c>
      <x:c r="E923" s="81" t="str">
        <x:v>—</x:v>
      </x:c>
      <x:c r="F923" s="81" t="str">
        <x:v>—</x:v>
      </x:c>
      <x:c r="G923" s="81" t="str">
        <x:v>—</x:v>
      </x:c>
      <x:c r="H923" s="81" t="str">
        <x:v>—</x:v>
      </x:c>
      <x:c r="I923" s="81" t="str">
        <x:v>—</x:v>
      </x:c>
      <x:c r="J923" s="81" t="str">
        <x:v>—</x:v>
      </x:c>
      <x:c r="K923" s="81" t="str">
        <x:v>—</x:v>
      </x:c>
      <x:c r="L923" s="81" t="str">
        <x:v>—</x:v>
      </x:c>
      <x:c r="M923" s="81" t="str">
        <x:v>—</x:v>
      </x:c>
      <x:c r="N923" s="81" t="str">
        <x:v>—</x:v>
      </x:c>
      <x:c r="O923" s="81" t="str">
        <x:v>—</x:v>
      </x:c>
      <x:c r="P923" s="81" t="str">
        <x:v>—</x:v>
      </x:c>
      <x:c r="Q923" s="81" t="str">
        <x:v>—</x:v>
      </x:c>
      <x:c r="R923" s="81" t="str">
        <x:v>—</x:v>
      </x:c>
      <x:c r="S923" s="81" t="str">
        <x:v>—</x:v>
      </x:c>
      <x:c r="T923" s="81" t="str">
        <x:v>—</x:v>
      </x:c>
      <x:c r="U923" s="81" t="str">
        <x:v>건조지3</x:v>
      </x:c>
      <x:c r="V923" s="81" t="str">
        <x:v>화산3</x:v>
      </x:c>
    </x:row>
    <x:row r="924">
      <x:c r="A924" s="80" t="n">
        <x:v>920</x:v>
      </x:c>
      <x:c r="B924" s="80" t="str">
        <x:v>엑스레그</x:v>
      </x:c>
      <x:c r="C924" s="80" t="str">
        <x:v>lokix</x:v>
      </x:c>
      <x:c r="D924" s="80" t="str">
        <x:v>건조지</x:v>
      </x:c>
      <x:c r="E924" s="81" t="str">
        <x:v>—</x:v>
      </x:c>
      <x:c r="F924" s="81" t="str">
        <x:v>—</x:v>
      </x:c>
      <x:c r="G924" s="81" t="str">
        <x:v>—</x:v>
      </x:c>
      <x:c r="H924" s="81" t="str">
        <x:v>—</x:v>
      </x:c>
      <x:c r="I924" s="81" t="str">
        <x:v>—</x:v>
      </x:c>
      <x:c r="J924" s="81" t="str">
        <x:v>—</x:v>
      </x:c>
      <x:c r="K924" s="81" t="str">
        <x:v>—</x:v>
      </x:c>
      <x:c r="L924" s="81" t="str">
        <x:v>—</x:v>
      </x:c>
      <x:c r="M924" s="81" t="str">
        <x:v>—</x:v>
      </x:c>
      <x:c r="N924" s="81" t="str">
        <x:v>—</x:v>
      </x:c>
      <x:c r="O924" s="81" t="str">
        <x:v>—</x:v>
      </x:c>
      <x:c r="P924" s="81" t="str">
        <x:v>—</x:v>
      </x:c>
      <x:c r="Q924" s="81" t="str">
        <x:v>—</x:v>
      </x:c>
      <x:c r="R924" s="81" t="str">
        <x:v>—</x:v>
      </x:c>
      <x:c r="S924" s="81" t="str">
        <x:v>—</x:v>
      </x:c>
      <x:c r="T924" s="81" t="str">
        <x:v>—</x:v>
      </x:c>
      <x:c r="U924" s="81" t="str">
        <x:v>건조지3</x:v>
      </x:c>
      <x:c r="V924" s="81" t="str">
        <x:v>화산3</x:v>
      </x:c>
    </x:row>
    <x:row r="925">
      <x:c r="A925" s="80" t="n">
        <x:v>921</x:v>
      </x:c>
      <x:c r="B925" s="80" t="str">
        <x:v>빠모</x:v>
      </x:c>
      <x:c r="C925" s="80" t="str">
        <x:v>pawmi</x:v>
      </x:c>
      <x:c r="D925" s="80" t="str">
        <x:v>평원</x:v>
      </x:c>
      <x:c r="E925" s="81" t="str">
        <x:v>—</x:v>
      </x:c>
      <x:c r="F925" s="81" t="str">
        <x:v>—</x:v>
      </x:c>
      <x:c r="G925" s="81" t="str">
        <x:v>—</x:v>
      </x:c>
      <x:c r="H925" s="81" t="str">
        <x:v>—</x:v>
      </x:c>
      <x:c r="I925" s="81" t="str">
        <x:v>—</x:v>
      </x:c>
      <x:c r="J925" s="81" t="str">
        <x:v>—</x:v>
      </x:c>
      <x:c r="K925" s="81" t="str">
        <x:v>—</x:v>
      </x:c>
      <x:c r="L925" s="81" t="str">
        <x:v>—</x:v>
      </x:c>
      <x:c r="M925" s="81" t="str">
        <x:v>—</x:v>
      </x:c>
      <x:c r="N925" s="81" t="str">
        <x:v>—</x:v>
      </x:c>
      <x:c r="O925" s="81" t="str">
        <x:v>—</x:v>
      </x:c>
      <x:c r="P925" s="81" t="str">
        <x:v>—</x:v>
      </x:c>
      <x:c r="Q925" s="81" t="str">
        <x:v>—</x:v>
      </x:c>
      <x:c r="R925" s="81" t="str">
        <x:v>—</x:v>
      </x:c>
      <x:c r="S925" s="81" t="str">
        <x:v>—</x:v>
      </x:c>
      <x:c r="T925" s="81" t="str">
        <x:v>—</x:v>
      </x:c>
      <x:c r="U925" s="81" t="str">
        <x:v>평원7</x:v>
      </x:c>
      <x:c r="V925" s="81" t="str">
        <x:v>숲7</x:v>
      </x:c>
    </x:row>
    <x:row r="926">
      <x:c r="A926" s="80" t="n">
        <x:v>922</x:v>
      </x:c>
      <x:c r="B926" s="80" t="str">
        <x:v>빠모트</x:v>
      </x:c>
      <x:c r="C926" s="80" t="str">
        <x:v>pawmo</x:v>
      </x:c>
      <x:c r="D926" s="80" t="str">
        <x:v>평원</x:v>
      </x:c>
      <x:c r="E926" s="81" t="str">
        <x:v>—</x:v>
      </x:c>
      <x:c r="F926" s="81" t="str">
        <x:v>—</x:v>
      </x:c>
      <x:c r="G926" s="81" t="str">
        <x:v>—</x:v>
      </x:c>
      <x:c r="H926" s="81" t="str">
        <x:v>—</x:v>
      </x:c>
      <x:c r="I926" s="81" t="str">
        <x:v>—</x:v>
      </x:c>
      <x:c r="J926" s="81" t="str">
        <x:v>—</x:v>
      </x:c>
      <x:c r="K926" s="81" t="str">
        <x:v>—</x:v>
      </x:c>
      <x:c r="L926" s="81" t="str">
        <x:v>—</x:v>
      </x:c>
      <x:c r="M926" s="81" t="str">
        <x:v>—</x:v>
      </x:c>
      <x:c r="N926" s="81" t="str">
        <x:v>—</x:v>
      </x:c>
      <x:c r="O926" s="81" t="str">
        <x:v>—</x:v>
      </x:c>
      <x:c r="P926" s="81" t="str">
        <x:v>—</x:v>
      </x:c>
      <x:c r="Q926" s="81" t="str">
        <x:v>—</x:v>
      </x:c>
      <x:c r="R926" s="81" t="str">
        <x:v>—</x:v>
      </x:c>
      <x:c r="S926" s="81" t="str">
        <x:v>—</x:v>
      </x:c>
      <x:c r="T926" s="81" t="str">
        <x:v>—</x:v>
      </x:c>
      <x:c r="U926" s="81" t="str">
        <x:v>평원7</x:v>
      </x:c>
      <x:c r="V926" s="81" t="str">
        <x:v>산악4</x:v>
      </x:c>
    </x:row>
    <x:row r="927">
      <x:c r="A927" s="80" t="n">
        <x:v>923</x:v>
      </x:c>
      <x:c r="B927" s="80" t="str">
        <x:v>빠르모트</x:v>
      </x:c>
      <x:c r="C927" s="80" t="str">
        <x:v>pawmot</x:v>
      </x:c>
      <x:c r="D927" s="80" t="str">
        <x:v>평원</x:v>
      </x:c>
      <x:c r="E927" s="81" t="str">
        <x:v>—</x:v>
      </x:c>
      <x:c r="F927" s="81" t="str">
        <x:v>—</x:v>
      </x:c>
      <x:c r="G927" s="81" t="str">
        <x:v>—</x:v>
      </x:c>
      <x:c r="H927" s="81" t="str">
        <x:v>—</x:v>
      </x:c>
      <x:c r="I927" s="81" t="str">
        <x:v>—</x:v>
      </x:c>
      <x:c r="J927" s="81" t="str">
        <x:v>—</x:v>
      </x:c>
      <x:c r="K927" s="81" t="str">
        <x:v>—</x:v>
      </x:c>
      <x:c r="L927" s="81" t="str">
        <x:v>—</x:v>
      </x:c>
      <x:c r="M927" s="81" t="str">
        <x:v>—</x:v>
      </x:c>
      <x:c r="N927" s="81" t="str">
        <x:v>—</x:v>
      </x:c>
      <x:c r="O927" s="81" t="str">
        <x:v>—</x:v>
      </x:c>
      <x:c r="P927" s="81" t="str">
        <x:v>—</x:v>
      </x:c>
      <x:c r="Q927" s="81" t="str">
        <x:v>—</x:v>
      </x:c>
      <x:c r="R927" s="81" t="str">
        <x:v>—</x:v>
      </x:c>
      <x:c r="S927" s="81" t="str">
        <x:v>—</x:v>
      </x:c>
      <x:c r="T927" s="81" t="str">
        <x:v>—</x:v>
      </x:c>
      <x:c r="U927" s="81" t="str">
        <x:v>평원7</x:v>
      </x:c>
      <x:c r="V927" s="81" t="str">
        <x:v>산악4</x:v>
      </x:c>
    </x:row>
    <x:row r="928">
      <x:c r="A928" s="80" t="n">
        <x:v>924</x:v>
      </x:c>
      <x:c r="B928" s="80" t="str">
        <x:v>두리쥐</x:v>
      </x:c>
      <x:c r="C928" s="80" t="str">
        <x:v>tandemaus</x:v>
      </x:c>
      <x:c r="D928" s="80" t="str">
        <x:v>평원</x:v>
      </x:c>
      <x:c r="E928" s="81" t="str">
        <x:v>—</x:v>
      </x:c>
      <x:c r="F928" s="81" t="str">
        <x:v>—</x:v>
      </x:c>
      <x:c r="G928" s="81" t="str">
        <x:v>—</x:v>
      </x:c>
      <x:c r="H928" s="81" t="str">
        <x:v>—</x:v>
      </x:c>
      <x:c r="I928" s="81" t="str">
        <x:v>—</x:v>
      </x:c>
      <x:c r="J928" s="81" t="str">
        <x:v>—</x:v>
      </x:c>
      <x:c r="K928" s="81" t="str">
        <x:v>—</x:v>
      </x:c>
      <x:c r="L928" s="81" t="str">
        <x:v>—</x:v>
      </x:c>
      <x:c r="M928" s="81" t="str">
        <x:v>—</x:v>
      </x:c>
      <x:c r="N928" s="81" t="str">
        <x:v>—</x:v>
      </x:c>
      <x:c r="O928" s="81" t="str">
        <x:v>—</x:v>
      </x:c>
      <x:c r="P928" s="81" t="str">
        <x:v>—</x:v>
      </x:c>
      <x:c r="Q928" s="81" t="str">
        <x:v>—</x:v>
      </x:c>
      <x:c r="R928" s="81" t="str">
        <x:v>—</x:v>
      </x:c>
      <x:c r="S928" s="81" t="str">
        <x:v>—</x:v>
      </x:c>
      <x:c r="T928" s="81" t="str">
        <x:v>—</x:v>
      </x:c>
      <x:c r="U928" s="81" t="str">
        <x:v>평원7</x:v>
      </x:c>
      <x:c r="V928" s="81" t="str">
        <x:v>숲7</x:v>
      </x:c>
    </x:row>
    <x:row r="929">
      <x:c r="A929" s="80" t="n">
        <x:v>925</x:v>
      </x:c>
      <x:c r="B929" s="80" t="str">
        <x:v>파밀리쥐</x:v>
      </x:c>
      <x:c r="C929" s="80" t="str">
        <x:v>maushold</x:v>
      </x:c>
      <x:c r="D929" s="80" t="str">
        <x:v>평원</x:v>
      </x:c>
      <x:c r="E929" s="81" t="str">
        <x:v>—</x:v>
      </x:c>
      <x:c r="F929" s="81" t="str">
        <x:v>—</x:v>
      </x:c>
      <x:c r="G929" s="81" t="str">
        <x:v>—</x:v>
      </x:c>
      <x:c r="H929" s="81" t="str">
        <x:v>—</x:v>
      </x:c>
      <x:c r="I929" s="81" t="str">
        <x:v>—</x:v>
      </x:c>
      <x:c r="J929" s="81" t="str">
        <x:v>—</x:v>
      </x:c>
      <x:c r="K929" s="81" t="str">
        <x:v>—</x:v>
      </x:c>
      <x:c r="L929" s="81" t="str">
        <x:v>—</x:v>
      </x:c>
      <x:c r="M929" s="81" t="str">
        <x:v>—</x:v>
      </x:c>
      <x:c r="N929" s="81" t="str">
        <x:v>—</x:v>
      </x:c>
      <x:c r="O929" s="81" t="str">
        <x:v>—</x:v>
      </x:c>
      <x:c r="P929" s="81" t="str">
        <x:v>—</x:v>
      </x:c>
      <x:c r="Q929" s="81" t="str">
        <x:v>—</x:v>
      </x:c>
      <x:c r="R929" s="81" t="str">
        <x:v>—</x:v>
      </x:c>
      <x:c r="S929" s="81" t="str">
        <x:v>—</x:v>
      </x:c>
      <x:c r="T929" s="81" t="str">
        <x:v>—</x:v>
      </x:c>
      <x:c r="U929" s="81" t="str">
        <x:v>평원7</x:v>
      </x:c>
      <x:c r="V929" s="81" t="str">
        <x:v>숲7</x:v>
      </x:c>
    </x:row>
    <x:row r="930">
      <x:c r="A930" s="80" t="n">
        <x:v>926</x:v>
      </x:c>
      <x:c r="B930" s="80" t="str">
        <x:v>쫀도기</x:v>
      </x:c>
      <x:c r="C930" s="80" t="str">
        <x:v>fidough</x:v>
      </x:c>
      <x:c r="D930" s="80" t="str">
        <x:v>평원</x:v>
      </x:c>
      <x:c r="E930" s="81" t="str">
        <x:v>—</x:v>
      </x:c>
      <x:c r="F930" s="81" t="str">
        <x:v>—</x:v>
      </x:c>
      <x:c r="G930" s="81" t="str">
        <x:v>—</x:v>
      </x:c>
      <x:c r="H930" s="81" t="str">
        <x:v>—</x:v>
      </x:c>
      <x:c r="I930" s="81" t="str">
        <x:v>—</x:v>
      </x:c>
      <x:c r="J930" s="81" t="str">
        <x:v>—</x:v>
      </x:c>
      <x:c r="K930" s="81" t="str">
        <x:v>—</x:v>
      </x:c>
      <x:c r="L930" s="81" t="str">
        <x:v>—</x:v>
      </x:c>
      <x:c r="M930" s="81" t="str">
        <x:v>—</x:v>
      </x:c>
      <x:c r="N930" s="81" t="str">
        <x:v>—</x:v>
      </x:c>
      <x:c r="O930" s="81" t="str">
        <x:v>—</x:v>
      </x:c>
      <x:c r="P930" s="81" t="str">
        <x:v>—</x:v>
      </x:c>
      <x:c r="Q930" s="81" t="str">
        <x:v>—</x:v>
      </x:c>
      <x:c r="R930" s="81" t="str">
        <x:v>—</x:v>
      </x:c>
      <x:c r="S930" s="81" t="str">
        <x:v>—</x:v>
      </x:c>
      <x:c r="T930" s="81" t="str">
        <x:v>—</x:v>
      </x:c>
      <x:c r="U930" s="81" t="str">
        <x:v>평원7</x:v>
      </x:c>
      <x:c r="V930" s="81" t="str">
        <x:v>숲7</x:v>
      </x:c>
    </x:row>
    <x:row r="931">
      <x:c r="A931" s="80" t="n">
        <x:v>927</x:v>
      </x:c>
      <x:c r="B931" s="80" t="str">
        <x:v>바우첼</x:v>
      </x:c>
      <x:c r="C931" s="80" t="str">
        <x:v>dachsbun</x:v>
      </x:c>
      <x:c r="D931" s="80" t="str">
        <x:v>평원</x:v>
      </x:c>
      <x:c r="E931" s="81" t="str">
        <x:v>—</x:v>
      </x:c>
      <x:c r="F931" s="81" t="str">
        <x:v>—</x:v>
      </x:c>
      <x:c r="G931" s="81" t="str">
        <x:v>—</x:v>
      </x:c>
      <x:c r="H931" s="81" t="str">
        <x:v>—</x:v>
      </x:c>
      <x:c r="I931" s="81" t="str">
        <x:v>—</x:v>
      </x:c>
      <x:c r="J931" s="81" t="str">
        <x:v>—</x:v>
      </x:c>
      <x:c r="K931" s="81" t="str">
        <x:v>—</x:v>
      </x:c>
      <x:c r="L931" s="81" t="str">
        <x:v>—</x:v>
      </x:c>
      <x:c r="M931" s="81" t="str">
        <x:v>—</x:v>
      </x:c>
      <x:c r="N931" s="81" t="str">
        <x:v>—</x:v>
      </x:c>
      <x:c r="O931" s="81" t="str">
        <x:v>—</x:v>
      </x:c>
      <x:c r="P931" s="81" t="str">
        <x:v>—</x:v>
      </x:c>
      <x:c r="Q931" s="81" t="str">
        <x:v>—</x:v>
      </x:c>
      <x:c r="R931" s="81" t="str">
        <x:v>—</x:v>
      </x:c>
      <x:c r="S931" s="81" t="str">
        <x:v>—</x:v>
      </x:c>
      <x:c r="T931" s="81" t="str">
        <x:v>—</x:v>
      </x:c>
      <x:c r="U931" s="81" t="str">
        <x:v>평원7</x:v>
      </x:c>
      <x:c r="V931" s="81" t="str">
        <x:v>숲7</x:v>
      </x:c>
    </x:row>
    <x:row r="932">
      <x:c r="A932" s="80" t="n">
        <x:v>928</x:v>
      </x:c>
      <x:c r="B932" s="80" t="str">
        <x:v>미니브</x:v>
      </x:c>
      <x:c r="C932" s="80" t="str">
        <x:v>smoliv</x:v>
      </x:c>
      <x:c r="D932" s="80" t="str">
        <x:v>평원</x:v>
      </x:c>
      <x:c r="E932" s="81" t="str">
        <x:v>—</x:v>
      </x:c>
      <x:c r="F932" s="81" t="str">
        <x:v>—</x:v>
      </x:c>
      <x:c r="G932" s="81" t="str">
        <x:v>—</x:v>
      </x:c>
      <x:c r="H932" s="81" t="str">
        <x:v>—</x:v>
      </x:c>
      <x:c r="I932" s="81" t="str">
        <x:v>—</x:v>
      </x:c>
      <x:c r="J932" s="81" t="str">
        <x:v>—</x:v>
      </x:c>
      <x:c r="K932" s="81" t="str">
        <x:v>—</x:v>
      </x:c>
      <x:c r="L932" s="81" t="str">
        <x:v>—</x:v>
      </x:c>
      <x:c r="M932" s="81" t="str">
        <x:v>—</x:v>
      </x:c>
      <x:c r="N932" s="81" t="str">
        <x:v>—</x:v>
      </x:c>
      <x:c r="O932" s="81" t="str">
        <x:v>—</x:v>
      </x:c>
      <x:c r="P932" s="81" t="str">
        <x:v>—</x:v>
      </x:c>
      <x:c r="Q932" s="81" t="str">
        <x:v>—</x:v>
      </x:c>
      <x:c r="R932" s="81" t="str">
        <x:v>—</x:v>
      </x:c>
      <x:c r="S932" s="81" t="str">
        <x:v>—</x:v>
      </x:c>
      <x:c r="T932" s="81" t="str">
        <x:v>—</x:v>
      </x:c>
      <x:c r="U932" s="81" t="str">
        <x:v>평원7</x:v>
      </x:c>
      <x:c r="V932" s="81" t="str">
        <x:v>숲7</x:v>
      </x:c>
    </x:row>
    <x:row r="933">
      <x:c r="A933" s="80" t="n">
        <x:v>929</x:v>
      </x:c>
      <x:c r="B933" s="80" t="str">
        <x:v>올리뇨</x:v>
      </x:c>
      <x:c r="C933" s="80" t="str">
        <x:v>dolliv</x:v>
      </x:c>
      <x:c r="D933" s="80" t="str">
        <x:v>평원</x:v>
      </x:c>
      <x:c r="E933" s="81" t="str">
        <x:v>—</x:v>
      </x:c>
      <x:c r="F933" s="81" t="str">
        <x:v>—</x:v>
      </x:c>
      <x:c r="G933" s="81" t="str">
        <x:v>—</x:v>
      </x:c>
      <x:c r="H933" s="81" t="str">
        <x:v>—</x:v>
      </x:c>
      <x:c r="I933" s="81" t="str">
        <x:v>—</x:v>
      </x:c>
      <x:c r="J933" s="81" t="str">
        <x:v>—</x:v>
      </x:c>
      <x:c r="K933" s="81" t="str">
        <x:v>—</x:v>
      </x:c>
      <x:c r="L933" s="81" t="str">
        <x:v>—</x:v>
      </x:c>
      <x:c r="M933" s="81" t="str">
        <x:v>—</x:v>
      </x:c>
      <x:c r="N933" s="81" t="str">
        <x:v>—</x:v>
      </x:c>
      <x:c r="O933" s="81" t="str">
        <x:v>—</x:v>
      </x:c>
      <x:c r="P933" s="81" t="str">
        <x:v>—</x:v>
      </x:c>
      <x:c r="Q933" s="81" t="str">
        <x:v>—</x:v>
      </x:c>
      <x:c r="R933" s="81" t="str">
        <x:v>—</x:v>
      </x:c>
      <x:c r="S933" s="81" t="str">
        <x:v>—</x:v>
      </x:c>
      <x:c r="T933" s="81" t="str">
        <x:v>—</x:v>
      </x:c>
      <x:c r="U933" s="81" t="str">
        <x:v>평원7</x:v>
      </x:c>
      <x:c r="V933" s="81" t="str">
        <x:v>숲7</x:v>
      </x:c>
    </x:row>
    <x:row r="934">
      <x:c r="A934" s="80" t="n">
        <x:v>930</x:v>
      </x:c>
      <x:c r="B934" s="80" t="str">
        <x:v>올리르바</x:v>
      </x:c>
      <x:c r="C934" s="80" t="str">
        <x:v>arboliva</x:v>
      </x:c>
      <x:c r="D934" s="80" t="str">
        <x:v>평원</x:v>
      </x:c>
      <x:c r="E934" s="81" t="str">
        <x:v>—</x:v>
      </x:c>
      <x:c r="F934" s="81" t="str">
        <x:v>—</x:v>
      </x:c>
      <x:c r="G934" s="81" t="str">
        <x:v>—</x:v>
      </x:c>
      <x:c r="H934" s="81" t="str">
        <x:v>—</x:v>
      </x:c>
      <x:c r="I934" s="81" t="str">
        <x:v>—</x:v>
      </x:c>
      <x:c r="J934" s="81" t="str">
        <x:v>—</x:v>
      </x:c>
      <x:c r="K934" s="81" t="str">
        <x:v>—</x:v>
      </x:c>
      <x:c r="L934" s="81" t="str">
        <x:v>—</x:v>
      </x:c>
      <x:c r="M934" s="81" t="str">
        <x:v>—</x:v>
      </x:c>
      <x:c r="N934" s="81" t="str">
        <x:v>—</x:v>
      </x:c>
      <x:c r="O934" s="81" t="str">
        <x:v>—</x:v>
      </x:c>
      <x:c r="P934" s="81" t="str">
        <x:v>—</x:v>
      </x:c>
      <x:c r="Q934" s="81" t="str">
        <x:v>—</x:v>
      </x:c>
      <x:c r="R934" s="81" t="str">
        <x:v>—</x:v>
      </x:c>
      <x:c r="S934" s="81" t="str">
        <x:v>—</x:v>
      </x:c>
      <x:c r="T934" s="81" t="str">
        <x:v>—</x:v>
      </x:c>
      <x:c r="U934" s="81" t="str">
        <x:v>평원7</x:v>
      </x:c>
      <x:c r="V934" s="81" t="str">
        <x:v>숲7</x:v>
      </x:c>
    </x:row>
    <x:row r="935">
      <x:c r="A935" s="80" t="n">
        <x:v>931</x:v>
      </x:c>
      <x:c r="B935" s="80" t="str">
        <x:v>시비꼬</x:v>
      </x:c>
      <x:c r="C935" s="80" t="str">
        <x:v>squawkabilly</x:v>
      </x:c>
      <x:c r="D935" s="80" t="str">
        <x:v>숲</x:v>
      </x:c>
      <x:c r="E935" s="81" t="str">
        <x:v>—</x:v>
      </x:c>
      <x:c r="F935" s="81" t="str">
        <x:v>—</x:v>
      </x:c>
      <x:c r="G935" s="81" t="str">
        <x:v>—</x:v>
      </x:c>
      <x:c r="H935" s="81" t="str">
        <x:v>—</x:v>
      </x:c>
      <x:c r="I935" s="81" t="str">
        <x:v>—</x:v>
      </x:c>
      <x:c r="J935" s="81" t="str">
        <x:v>—</x:v>
      </x:c>
      <x:c r="K935" s="81" t="str">
        <x:v>—</x:v>
      </x:c>
      <x:c r="L935" s="81" t="str">
        <x:v>—</x:v>
      </x:c>
      <x:c r="M935" s="81" t="str">
        <x:v>—</x:v>
      </x:c>
      <x:c r="N935" s="81" t="str">
        <x:v>—</x:v>
      </x:c>
      <x:c r="O935" s="81" t="str">
        <x:v>—</x:v>
      </x:c>
      <x:c r="P935" s="81" t="str">
        <x:v>—</x:v>
      </x:c>
      <x:c r="Q935" s="81" t="str">
        <x:v>—</x:v>
      </x:c>
      <x:c r="R935" s="81" t="str">
        <x:v>—</x:v>
      </x:c>
      <x:c r="S935" s="81" t="str">
        <x:v>—</x:v>
      </x:c>
      <x:c r="T935" s="81" t="str">
        <x:v>—</x:v>
      </x:c>
      <x:c r="U935" s="81" t="str">
        <x:v>숲7</x:v>
      </x:c>
      <x:c r="V935" s="81" t="str">
        <x:v>평원7</x:v>
      </x:c>
    </x:row>
    <x:row r="936">
      <x:c r="A936" s="80" t="n">
        <x:v>932</x:v>
      </x:c>
      <x:c r="B936" s="80" t="str">
        <x:v>베베솔트</x:v>
      </x:c>
      <x:c r="C936" s="80" t="str">
        <x:v>nacli</x:v>
      </x:c>
      <x:c r="D936" s="80" t="str">
        <x:v>화산</x:v>
      </x:c>
      <x:c r="E936" s="81" t="str">
        <x:v>—</x:v>
      </x:c>
      <x:c r="F936" s="81" t="str">
        <x:v>—</x:v>
      </x:c>
      <x:c r="G936" s="81" t="str">
        <x:v>—</x:v>
      </x:c>
      <x:c r="H936" s="81" t="str">
        <x:v>—</x:v>
      </x:c>
      <x:c r="I936" s="81" t="str">
        <x:v>—</x:v>
      </x:c>
      <x:c r="J936" s="81" t="str">
        <x:v>—</x:v>
      </x:c>
      <x:c r="K936" s="81" t="str">
        <x:v>—</x:v>
      </x:c>
      <x:c r="L936" s="81" t="str">
        <x:v>—</x:v>
      </x:c>
      <x:c r="M936" s="81" t="str">
        <x:v>—</x:v>
      </x:c>
      <x:c r="N936" s="81" t="str">
        <x:v>—</x:v>
      </x:c>
      <x:c r="O936" s="81" t="str">
        <x:v>—</x:v>
      </x:c>
      <x:c r="P936" s="81" t="str">
        <x:v>—</x:v>
      </x:c>
      <x:c r="Q936" s="81" t="str">
        <x:v>—</x:v>
      </x:c>
      <x:c r="R936" s="81" t="str">
        <x:v>—</x:v>
      </x:c>
      <x:c r="S936" s="81" t="str">
        <x:v>—</x:v>
      </x:c>
      <x:c r="T936" s="81" t="str">
        <x:v>—</x:v>
      </x:c>
      <x:c r="U936" s="81" t="str">
        <x:v>화산3</x:v>
      </x:c>
      <x:c r="V936" s="81" t="str">
        <x:v>건조지3</x:v>
      </x:c>
    </x:row>
    <x:row r="937">
      <x:c r="A937" s="80" t="n">
        <x:v>933</x:v>
      </x:c>
      <x:c r="B937" s="80" t="str">
        <x:v>스태솔트</x:v>
      </x:c>
      <x:c r="C937" s="80" t="str">
        <x:v>naclstack</x:v>
      </x:c>
      <x:c r="D937" s="80" t="str">
        <x:v>화산</x:v>
      </x:c>
      <x:c r="E937" s="81" t="str">
        <x:v>—</x:v>
      </x:c>
      <x:c r="F937" s="81" t="str">
        <x:v>—</x:v>
      </x:c>
      <x:c r="G937" s="81" t="str">
        <x:v>—</x:v>
      </x:c>
      <x:c r="H937" s="81" t="str">
        <x:v>—</x:v>
      </x:c>
      <x:c r="I937" s="81" t="str">
        <x:v>—</x:v>
      </x:c>
      <x:c r="J937" s="81" t="str">
        <x:v>—</x:v>
      </x:c>
      <x:c r="K937" s="81" t="str">
        <x:v>—</x:v>
      </x:c>
      <x:c r="L937" s="81" t="str">
        <x:v>—</x:v>
      </x:c>
      <x:c r="M937" s="81" t="str">
        <x:v>—</x:v>
      </x:c>
      <x:c r="N937" s="81" t="str">
        <x:v>—</x:v>
      </x:c>
      <x:c r="O937" s="81" t="str">
        <x:v>—</x:v>
      </x:c>
      <x:c r="P937" s="81" t="str">
        <x:v>—</x:v>
      </x:c>
      <x:c r="Q937" s="81" t="str">
        <x:v>—</x:v>
      </x:c>
      <x:c r="R937" s="81" t="str">
        <x:v>—</x:v>
      </x:c>
      <x:c r="S937" s="81" t="str">
        <x:v>—</x:v>
      </x:c>
      <x:c r="T937" s="81" t="str">
        <x:v>—</x:v>
      </x:c>
      <x:c r="U937" s="81" t="str">
        <x:v>화산3</x:v>
      </x:c>
      <x:c r="V937" s="81" t="str">
        <x:v>건조지3</x:v>
      </x:c>
    </x:row>
    <x:row r="938">
      <x:c r="A938" s="80" t="n">
        <x:v>934</x:v>
      </x:c>
      <x:c r="B938" s="80" t="str">
        <x:v>콜로솔트</x:v>
      </x:c>
      <x:c r="C938" s="80" t="str">
        <x:v>garganacl</x:v>
      </x:c>
      <x:c r="D938" s="80" t="str">
        <x:v>화산</x:v>
      </x:c>
      <x:c r="E938" s="81" t="str">
        <x:v>—</x:v>
      </x:c>
      <x:c r="F938" s="81" t="str">
        <x:v>—</x:v>
      </x:c>
      <x:c r="G938" s="81" t="str">
        <x:v>—</x:v>
      </x:c>
      <x:c r="H938" s="81" t="str">
        <x:v>—</x:v>
      </x:c>
      <x:c r="I938" s="81" t="str">
        <x:v>—</x:v>
      </x:c>
      <x:c r="J938" s="81" t="str">
        <x:v>—</x:v>
      </x:c>
      <x:c r="K938" s="81" t="str">
        <x:v>—</x:v>
      </x:c>
      <x:c r="L938" s="81" t="str">
        <x:v>—</x:v>
      </x:c>
      <x:c r="M938" s="81" t="str">
        <x:v>—</x:v>
      </x:c>
      <x:c r="N938" s="81" t="str">
        <x:v>—</x:v>
      </x:c>
      <x:c r="O938" s="81" t="str">
        <x:v>—</x:v>
      </x:c>
      <x:c r="P938" s="81" t="str">
        <x:v>—</x:v>
      </x:c>
      <x:c r="Q938" s="81" t="str">
        <x:v>—</x:v>
      </x:c>
      <x:c r="R938" s="81" t="str">
        <x:v>—</x:v>
      </x:c>
      <x:c r="S938" s="81" t="str">
        <x:v>—</x:v>
      </x:c>
      <x:c r="T938" s="81" t="str">
        <x:v>—</x:v>
      </x:c>
      <x:c r="U938" s="81" t="str">
        <x:v>화산3</x:v>
      </x:c>
      <x:c r="V938" s="81" t="str">
        <x:v>건조지3</x:v>
      </x:c>
    </x:row>
    <x:row r="939">
      <x:c r="A939" s="80" t="n">
        <x:v>935</x:v>
      </x:c>
      <x:c r="B939" s="80" t="str">
        <x:v>카르본</x:v>
      </x:c>
      <x:c r="C939" s="80" t="str">
        <x:v>charcadet</x:v>
      </x:c>
      <x:c r="D939" s="80" t="str">
        <x:v>화산</x:v>
      </x:c>
      <x:c r="E939" s="81" t="str">
        <x:v>—</x:v>
      </x:c>
      <x:c r="F939" s="81" t="str">
        <x:v>—</x:v>
      </x:c>
      <x:c r="G939" s="81" t="str">
        <x:v>—</x:v>
      </x:c>
      <x:c r="H939" s="81" t="str">
        <x:v>—</x:v>
      </x:c>
      <x:c r="I939" s="81" t="str">
        <x:v>—</x:v>
      </x:c>
      <x:c r="J939" s="81" t="str">
        <x:v>—</x:v>
      </x:c>
      <x:c r="K939" s="81" t="str">
        <x:v>—</x:v>
      </x:c>
      <x:c r="L939" s="81" t="str">
        <x:v>—</x:v>
      </x:c>
      <x:c r="M939" s="81" t="str">
        <x:v>—</x:v>
      </x:c>
      <x:c r="N939" s="81" t="str">
        <x:v>—</x:v>
      </x:c>
      <x:c r="O939" s="81" t="str">
        <x:v>—</x:v>
      </x:c>
      <x:c r="P939" s="81" t="str">
        <x:v>—</x:v>
      </x:c>
      <x:c r="Q939" s="81" t="str">
        <x:v>—</x:v>
      </x:c>
      <x:c r="R939" s="81" t="str">
        <x:v>—</x:v>
      </x:c>
      <x:c r="S939" s="81" t="str">
        <x:v>—</x:v>
      </x:c>
      <x:c r="T939" s="81" t="str">
        <x:v>—</x:v>
      </x:c>
      <x:c r="U939" s="81" t="str">
        <x:v>화산3</x:v>
      </x:c>
      <x:c r="V939" s="81" t="str">
        <x:v>건조지3</x:v>
      </x:c>
    </x:row>
    <x:row r="940">
      <x:c r="A940" s="80" t="n">
        <x:v>936</x:v>
      </x:c>
      <x:c r="B940" s="80" t="str">
        <x:v>카디나르마</x:v>
      </x:c>
      <x:c r="C940" s="80" t="str">
        <x:v>armarouge</x:v>
      </x:c>
      <x:c r="D940" s="80" t="str">
        <x:v>화산</x:v>
      </x:c>
      <x:c r="E940" s="81" t="str">
        <x:v>—</x:v>
      </x:c>
      <x:c r="F940" s="81" t="str">
        <x:v>—</x:v>
      </x:c>
      <x:c r="G940" s="81" t="str">
        <x:v>—</x:v>
      </x:c>
      <x:c r="H940" s="81" t="str">
        <x:v>—</x:v>
      </x:c>
      <x:c r="I940" s="81" t="str">
        <x:v>—</x:v>
      </x:c>
      <x:c r="J940" s="81" t="str">
        <x:v>—</x:v>
      </x:c>
      <x:c r="K940" s="81" t="str">
        <x:v>—</x:v>
      </x:c>
      <x:c r="L940" s="81" t="str">
        <x:v>—</x:v>
      </x:c>
      <x:c r="M940" s="81" t="str">
        <x:v>—</x:v>
      </x:c>
      <x:c r="N940" s="81" t="str">
        <x:v>—</x:v>
      </x:c>
      <x:c r="O940" s="81" t="str">
        <x:v>—</x:v>
      </x:c>
      <x:c r="P940" s="81" t="str">
        <x:v>—</x:v>
      </x:c>
      <x:c r="Q940" s="81" t="str">
        <x:v>—</x:v>
      </x:c>
      <x:c r="R940" s="81" t="str">
        <x:v>—</x:v>
      </x:c>
      <x:c r="S940" s="81" t="str">
        <x:v>—</x:v>
      </x:c>
      <x:c r="T940" s="81" t="str">
        <x:v>—</x:v>
      </x:c>
      <x:c r="U940" s="81" t="str">
        <x:v>화산3</x:v>
      </x:c>
      <x:c r="V940" s="81" t="str">
        <x:v>건조지3</x:v>
      </x:c>
    </x:row>
    <x:row r="941">
      <x:c r="A941" s="80" t="n">
        <x:v>937</x:v>
      </x:c>
      <x:c r="B941" s="80" t="str">
        <x:v>파라블레이즈</x:v>
      </x:c>
      <x:c r="C941" s="80" t="str">
        <x:v>ceruledge</x:v>
      </x:c>
      <x:c r="D941" s="80" t="str">
        <x:v>화산</x:v>
      </x:c>
      <x:c r="E941" s="81" t="str">
        <x:v>—</x:v>
      </x:c>
      <x:c r="F941" s="81" t="str">
        <x:v>—</x:v>
      </x:c>
      <x:c r="G941" s="81" t="str">
        <x:v>—</x:v>
      </x:c>
      <x:c r="H941" s="81" t="str">
        <x:v>—</x:v>
      </x:c>
      <x:c r="I941" s="81" t="str">
        <x:v>—</x:v>
      </x:c>
      <x:c r="J941" s="81" t="str">
        <x:v>—</x:v>
      </x:c>
      <x:c r="K941" s="81" t="str">
        <x:v>—</x:v>
      </x:c>
      <x:c r="L941" s="81" t="str">
        <x:v>—</x:v>
      </x:c>
      <x:c r="M941" s="81" t="str">
        <x:v>—</x:v>
      </x:c>
      <x:c r="N941" s="81" t="str">
        <x:v>—</x:v>
      </x:c>
      <x:c r="O941" s="81" t="str">
        <x:v>—</x:v>
      </x:c>
      <x:c r="P941" s="81" t="str">
        <x:v>—</x:v>
      </x:c>
      <x:c r="Q941" s="81" t="str">
        <x:v>—</x:v>
      </x:c>
      <x:c r="R941" s="81" t="str">
        <x:v>—</x:v>
      </x:c>
      <x:c r="S941" s="81" t="str">
        <x:v>—</x:v>
      </x:c>
      <x:c r="T941" s="81" t="str">
        <x:v>—</x:v>
      </x:c>
      <x:c r="U941" s="81" t="str">
        <x:v>화산3</x:v>
      </x:c>
      <x:c r="V941" s="81" t="str">
        <x:v>특수2</x:v>
      </x:c>
    </x:row>
    <x:row r="942">
      <x:c r="A942" s="80" t="n">
        <x:v>938</x:v>
      </x:c>
      <x:c r="B942" s="80" t="str">
        <x:v>빈나두</x:v>
      </x:c>
      <x:c r="C942" s="80" t="str">
        <x:v>tadbulb</x:v>
      </x:c>
      <x:c r="D942" s="80" t="str">
        <x:v>담수</x:v>
      </x:c>
      <x:c r="E942" s="81" t="str">
        <x:v>—</x:v>
      </x:c>
      <x:c r="F942" s="81" t="str">
        <x:v>—</x:v>
      </x:c>
      <x:c r="G942" s="81" t="str">
        <x:v>—</x:v>
      </x:c>
      <x:c r="H942" s="81" t="str">
        <x:v>—</x:v>
      </x:c>
      <x:c r="I942" s="81" t="str">
        <x:v>—</x:v>
      </x:c>
      <x:c r="J942" s="81" t="str">
        <x:v>—</x:v>
      </x:c>
      <x:c r="K942" s="81" t="str">
        <x:v>—</x:v>
      </x:c>
      <x:c r="L942" s="81" t="str">
        <x:v>—</x:v>
      </x:c>
      <x:c r="M942" s="81" t="str">
        <x:v>—</x:v>
      </x:c>
      <x:c r="N942" s="81" t="str">
        <x:v>—</x:v>
      </x:c>
      <x:c r="O942" s="81" t="str">
        <x:v>—</x:v>
      </x:c>
      <x:c r="P942" s="81" t="str">
        <x:v>—</x:v>
      </x:c>
      <x:c r="Q942" s="81" t="str">
        <x:v>—</x:v>
      </x:c>
      <x:c r="R942" s="81" t="str">
        <x:v>—</x:v>
      </x:c>
      <x:c r="S942" s="81" t="str">
        <x:v>—</x:v>
      </x:c>
      <x:c r="T942" s="81" t="str">
        <x:v>—</x:v>
      </x:c>
      <x:c r="U942" s="81" t="str">
        <x:v>담수3</x:v>
      </x:c>
      <x:c r="V942" s="81" t="str">
        <x:v>습지3</x:v>
      </x:c>
    </x:row>
    <x:row r="943">
      <x:c r="A943" s="80" t="n">
        <x:v>939</x:v>
      </x:c>
      <x:c r="B943" s="80" t="str">
        <x:v>찌리배리</x:v>
      </x:c>
      <x:c r="C943" s="80" t="str">
        <x:v>bellibolt</x:v>
      </x:c>
      <x:c r="D943" s="80" t="str">
        <x:v>담수</x:v>
      </x:c>
      <x:c r="E943" s="81" t="str">
        <x:v>—</x:v>
      </x:c>
      <x:c r="F943" s="81" t="str">
        <x:v>—</x:v>
      </x:c>
      <x:c r="G943" s="81" t="str">
        <x:v>—</x:v>
      </x:c>
      <x:c r="H943" s="81" t="str">
        <x:v>—</x:v>
      </x:c>
      <x:c r="I943" s="81" t="str">
        <x:v>—</x:v>
      </x:c>
      <x:c r="J943" s="81" t="str">
        <x:v>—</x:v>
      </x:c>
      <x:c r="K943" s="81" t="str">
        <x:v>—</x:v>
      </x:c>
      <x:c r="L943" s="81" t="str">
        <x:v>—</x:v>
      </x:c>
      <x:c r="M943" s="81" t="str">
        <x:v>—</x:v>
      </x:c>
      <x:c r="N943" s="81" t="str">
        <x:v>—</x:v>
      </x:c>
      <x:c r="O943" s="81" t="str">
        <x:v>—</x:v>
      </x:c>
      <x:c r="P943" s="81" t="str">
        <x:v>—</x:v>
      </x:c>
      <x:c r="Q943" s="81" t="str">
        <x:v>—</x:v>
      </x:c>
      <x:c r="R943" s="81" t="str">
        <x:v>—</x:v>
      </x:c>
      <x:c r="S943" s="81" t="str">
        <x:v>—</x:v>
      </x:c>
      <x:c r="T943" s="81" t="str">
        <x:v>—</x:v>
      </x:c>
      <x:c r="U943" s="81" t="str">
        <x:v>담수3</x:v>
      </x:c>
      <x:c r="V943" s="81" t="str">
        <x:v>습지3</x:v>
      </x:c>
    </x:row>
    <x:row r="944">
      <x:c r="A944" s="80" t="n">
        <x:v>940</x:v>
      </x:c>
      <x:c r="B944" s="80" t="str">
        <x:v>찌리비</x:v>
      </x:c>
      <x:c r="C944" s="80" t="str">
        <x:v>wattrel</x:v>
      </x:c>
      <x:c r="D944" s="80" t="str">
        <x:v>해양</x:v>
      </x:c>
      <x:c r="E944" s="81" t="str">
        <x:v>—</x:v>
      </x:c>
      <x:c r="F944" s="81" t="str">
        <x:v>—</x:v>
      </x:c>
      <x:c r="G944" s="81" t="str">
        <x:v>—</x:v>
      </x:c>
      <x:c r="H944" s="81" t="str">
        <x:v>—</x:v>
      </x:c>
      <x:c r="I944" s="81" t="str">
        <x:v>—</x:v>
      </x:c>
      <x:c r="J944" s="81" t="str">
        <x:v>—</x:v>
      </x:c>
      <x:c r="K944" s="81" t="str">
        <x:v>—</x:v>
      </x:c>
      <x:c r="L944" s="81" t="str">
        <x:v>—</x:v>
      </x:c>
      <x:c r="M944" s="81" t="str">
        <x:v>—</x:v>
      </x:c>
      <x:c r="N944" s="81" t="str">
        <x:v>—</x:v>
      </x:c>
      <x:c r="O944" s="81" t="str">
        <x:v>—</x:v>
      </x:c>
      <x:c r="P944" s="81" t="str">
        <x:v>—</x:v>
      </x:c>
      <x:c r="Q944" s="81" t="str">
        <x:v>—</x:v>
      </x:c>
      <x:c r="R944" s="81" t="str">
        <x:v>—</x:v>
      </x:c>
      <x:c r="S944" s="81" t="str">
        <x:v>—</x:v>
      </x:c>
      <x:c r="T944" s="81" t="str">
        <x:v>—</x:v>
      </x:c>
      <x:c r="U944" s="81" t="str">
        <x:v>해양2</x:v>
      </x:c>
      <x:c r="V944" s="81" t="str">
        <x:v>담수3</x:v>
      </x:c>
    </x:row>
    <x:row r="945">
      <x:c r="A945" s="80" t="n">
        <x:v>941</x:v>
      </x:c>
      <x:c r="B945" s="80" t="str">
        <x:v>찌리비크</x:v>
      </x:c>
      <x:c r="C945" s="80" t="str">
        <x:v>kilowattrel</x:v>
      </x:c>
      <x:c r="D945" s="80" t="str">
        <x:v>해양</x:v>
      </x:c>
      <x:c r="E945" s="81" t="str">
        <x:v>—</x:v>
      </x:c>
      <x:c r="F945" s="81" t="str">
        <x:v>—</x:v>
      </x:c>
      <x:c r="G945" s="81" t="str">
        <x:v>—</x:v>
      </x:c>
      <x:c r="H945" s="81" t="str">
        <x:v>—</x:v>
      </x:c>
      <x:c r="I945" s="81" t="str">
        <x:v>—</x:v>
      </x:c>
      <x:c r="J945" s="81" t="str">
        <x:v>—</x:v>
      </x:c>
      <x:c r="K945" s="81" t="str">
        <x:v>—</x:v>
      </x:c>
      <x:c r="L945" s="81" t="str">
        <x:v>—</x:v>
      </x:c>
      <x:c r="M945" s="81" t="str">
        <x:v>—</x:v>
      </x:c>
      <x:c r="N945" s="81" t="str">
        <x:v>—</x:v>
      </x:c>
      <x:c r="O945" s="81" t="str">
        <x:v>—</x:v>
      </x:c>
      <x:c r="P945" s="81" t="str">
        <x:v>—</x:v>
      </x:c>
      <x:c r="Q945" s="81" t="str">
        <x:v>—</x:v>
      </x:c>
      <x:c r="R945" s="81" t="str">
        <x:v>—</x:v>
      </x:c>
      <x:c r="S945" s="81" t="str">
        <x:v>—</x:v>
      </x:c>
      <x:c r="T945" s="81" t="str">
        <x:v>—</x:v>
      </x:c>
      <x:c r="U945" s="81" t="str">
        <x:v>해양2</x:v>
      </x:c>
      <x:c r="V945" s="81" t="str">
        <x:v>담수3</x:v>
      </x:c>
    </x:row>
    <x:row r="946">
      <x:c r="A946" s="80" t="n">
        <x:v>942</x:v>
      </x:c>
      <x:c r="B946" s="80" t="str">
        <x:v>오라티프</x:v>
      </x:c>
      <x:c r="C946" s="80" t="str">
        <x:v>maschiff</x:v>
      </x:c>
      <x:c r="D946" s="80" t="str">
        <x:v>특수</x:v>
      </x:c>
      <x:c r="E946" s="81" t="str">
        <x:v>—</x:v>
      </x:c>
      <x:c r="F946" s="81" t="str">
        <x:v>—</x:v>
      </x:c>
      <x:c r="G946" s="81" t="str">
        <x:v>—</x:v>
      </x:c>
      <x:c r="H946" s="81" t="str">
        <x:v>—</x:v>
      </x:c>
      <x:c r="I946" s="81" t="str">
        <x:v>—</x:v>
      </x:c>
      <x:c r="J946" s="81" t="str">
        <x:v>—</x:v>
      </x:c>
      <x:c r="K946" s="81" t="str">
        <x:v>—</x:v>
      </x:c>
      <x:c r="L946" s="81" t="str">
        <x:v>—</x:v>
      </x:c>
      <x:c r="M946" s="81" t="str">
        <x:v>—</x:v>
      </x:c>
      <x:c r="N946" s="81" t="str">
        <x:v>—</x:v>
      </x:c>
      <x:c r="O946" s="81" t="str">
        <x:v>—</x:v>
      </x:c>
      <x:c r="P946" s="81" t="str">
        <x:v>—</x:v>
      </x:c>
      <x:c r="Q946" s="81" t="str">
        <x:v>—</x:v>
      </x:c>
      <x:c r="R946" s="81" t="str">
        <x:v>—</x:v>
      </x:c>
      <x:c r="S946" s="81" t="str">
        <x:v>—</x:v>
      </x:c>
      <x:c r="T946" s="81" t="str">
        <x:v>—</x:v>
      </x:c>
      <x:c r="U946" s="81" t="str">
        <x:v>특수2</x:v>
      </x:c>
      <x:c r="V946" s="81" t="str">
        <x:v>평원7</x:v>
      </x:c>
    </x:row>
    <x:row r="947">
      <x:c r="A947" s="80" t="n">
        <x:v>943</x:v>
      </x:c>
      <x:c r="B947" s="80" t="str">
        <x:v>마피티프</x:v>
      </x:c>
      <x:c r="C947" s="80" t="str">
        <x:v>mabosstiff</x:v>
      </x:c>
      <x:c r="D947" s="80" t="str">
        <x:v>특수</x:v>
      </x:c>
      <x:c r="E947" s="81" t="str">
        <x:v>—</x:v>
      </x:c>
      <x:c r="F947" s="81" t="str">
        <x:v>—</x:v>
      </x:c>
      <x:c r="G947" s="81" t="str">
        <x:v>—</x:v>
      </x:c>
      <x:c r="H947" s="81" t="str">
        <x:v>—</x:v>
      </x:c>
      <x:c r="I947" s="81" t="str">
        <x:v>—</x:v>
      </x:c>
      <x:c r="J947" s="81" t="str">
        <x:v>—</x:v>
      </x:c>
      <x:c r="K947" s="81" t="str">
        <x:v>—</x:v>
      </x:c>
      <x:c r="L947" s="81" t="str">
        <x:v>—</x:v>
      </x:c>
      <x:c r="M947" s="81" t="str">
        <x:v>—</x:v>
      </x:c>
      <x:c r="N947" s="81" t="str">
        <x:v>—</x:v>
      </x:c>
      <x:c r="O947" s="81" t="str">
        <x:v>—</x:v>
      </x:c>
      <x:c r="P947" s="81" t="str">
        <x:v>—</x:v>
      </x:c>
      <x:c r="Q947" s="81" t="str">
        <x:v>—</x:v>
      </x:c>
      <x:c r="R947" s="81" t="str">
        <x:v>—</x:v>
      </x:c>
      <x:c r="S947" s="81" t="str">
        <x:v>—</x:v>
      </x:c>
      <x:c r="T947" s="81" t="str">
        <x:v>—</x:v>
      </x:c>
      <x:c r="U947" s="81" t="str">
        <x:v>특수2</x:v>
      </x:c>
      <x:c r="V947" s="81" t="str">
        <x:v>평원7</x:v>
      </x:c>
    </x:row>
    <x:row r="948">
      <x:c r="A948" s="80" t="n">
        <x:v>944</x:v>
      </x:c>
      <x:c r="B948" s="80" t="str">
        <x:v>땃쭈르</x:v>
      </x:c>
      <x:c r="C948" s="80" t="str">
        <x:v>shroodle</x:v>
      </x:c>
      <x:c r="D948" s="80" t="str">
        <x:v>숲</x:v>
      </x:c>
      <x:c r="E948" s="81" t="str">
        <x:v>—</x:v>
      </x:c>
      <x:c r="F948" s="81" t="str">
        <x:v>—</x:v>
      </x:c>
      <x:c r="G948" s="81" t="str">
        <x:v>—</x:v>
      </x:c>
      <x:c r="H948" s="81" t="str">
        <x:v>—</x:v>
      </x:c>
      <x:c r="I948" s="81" t="str">
        <x:v>—</x:v>
      </x:c>
      <x:c r="J948" s="81" t="str">
        <x:v>—</x:v>
      </x:c>
      <x:c r="K948" s="81" t="str">
        <x:v>—</x:v>
      </x:c>
      <x:c r="L948" s="81" t="str">
        <x:v>—</x:v>
      </x:c>
      <x:c r="M948" s="81" t="str">
        <x:v>—</x:v>
      </x:c>
      <x:c r="N948" s="81" t="str">
        <x:v>—</x:v>
      </x:c>
      <x:c r="O948" s="81" t="str">
        <x:v>—</x:v>
      </x:c>
      <x:c r="P948" s="81" t="str">
        <x:v>—</x:v>
      </x:c>
      <x:c r="Q948" s="81" t="str">
        <x:v>—</x:v>
      </x:c>
      <x:c r="R948" s="81" t="str">
        <x:v>—</x:v>
      </x:c>
      <x:c r="S948" s="81" t="str">
        <x:v>—</x:v>
      </x:c>
      <x:c r="T948" s="81" t="str">
        <x:v>—</x:v>
      </x:c>
      <x:c r="U948" s="81" t="str">
        <x:v>숲7</x:v>
      </x:c>
      <x:c r="V948" s="81" t="str">
        <x:v>평원7</x:v>
      </x:c>
    </x:row>
    <x:row r="949">
      <x:c r="A949" s="80" t="n">
        <x:v>945</x:v>
      </x:c>
      <x:c r="B949" s="80" t="str">
        <x:v>태깅구르</x:v>
      </x:c>
      <x:c r="C949" s="80" t="str">
        <x:v>grafaiai</x:v>
      </x:c>
      <x:c r="D949" s="80" t="str">
        <x:v>숲</x:v>
      </x:c>
      <x:c r="E949" s="81" t="str">
        <x:v>—</x:v>
      </x:c>
      <x:c r="F949" s="81" t="str">
        <x:v>—</x:v>
      </x:c>
      <x:c r="G949" s="81" t="str">
        <x:v>—</x:v>
      </x:c>
      <x:c r="H949" s="81" t="str">
        <x:v>—</x:v>
      </x:c>
      <x:c r="I949" s="81" t="str">
        <x:v>—</x:v>
      </x:c>
      <x:c r="J949" s="81" t="str">
        <x:v>—</x:v>
      </x:c>
      <x:c r="K949" s="81" t="str">
        <x:v>—</x:v>
      </x:c>
      <x:c r="L949" s="81" t="str">
        <x:v>—</x:v>
      </x:c>
      <x:c r="M949" s="81" t="str">
        <x:v>—</x:v>
      </x:c>
      <x:c r="N949" s="81" t="str">
        <x:v>—</x:v>
      </x:c>
      <x:c r="O949" s="81" t="str">
        <x:v>—</x:v>
      </x:c>
      <x:c r="P949" s="81" t="str">
        <x:v>—</x:v>
      </x:c>
      <x:c r="Q949" s="81" t="str">
        <x:v>—</x:v>
      </x:c>
      <x:c r="R949" s="81" t="str">
        <x:v>—</x:v>
      </x:c>
      <x:c r="S949" s="81" t="str">
        <x:v>—</x:v>
      </x:c>
      <x:c r="T949" s="81" t="str">
        <x:v>—</x:v>
      </x:c>
      <x:c r="U949" s="81" t="str">
        <x:v>숲7</x:v>
      </x:c>
      <x:c r="V949" s="81" t="str">
        <x:v>평원7</x:v>
      </x:c>
    </x:row>
    <x:row r="950">
      <x:c r="A950" s="80" t="n">
        <x:v>946</x:v>
      </x:c>
      <x:c r="B950" s="80" t="str">
        <x:v>그푸리</x:v>
      </x:c>
      <x:c r="C950" s="80" t="str">
        <x:v>bramblin</x:v>
      </x:c>
      <x:c r="D950" s="80" t="str">
        <x:v>건조지</x:v>
      </x:c>
      <x:c r="E950" s="81" t="str">
        <x:v>—</x:v>
      </x:c>
      <x:c r="F950" s="81" t="str">
        <x:v>—</x:v>
      </x:c>
      <x:c r="G950" s="81" t="str">
        <x:v>—</x:v>
      </x:c>
      <x:c r="H950" s="81" t="str">
        <x:v>—</x:v>
      </x:c>
      <x:c r="I950" s="81" t="str">
        <x:v>—</x:v>
      </x:c>
      <x:c r="J950" s="81" t="str">
        <x:v>—</x:v>
      </x:c>
      <x:c r="K950" s="81" t="str">
        <x:v>—</x:v>
      </x:c>
      <x:c r="L950" s="81" t="str">
        <x:v>—</x:v>
      </x:c>
      <x:c r="M950" s="81" t="str">
        <x:v>—</x:v>
      </x:c>
      <x:c r="N950" s="81" t="str">
        <x:v>—</x:v>
      </x:c>
      <x:c r="O950" s="81" t="str">
        <x:v>—</x:v>
      </x:c>
      <x:c r="P950" s="81" t="str">
        <x:v>—</x:v>
      </x:c>
      <x:c r="Q950" s="81" t="str">
        <x:v>—</x:v>
      </x:c>
      <x:c r="R950" s="81" t="str">
        <x:v>—</x:v>
      </x:c>
      <x:c r="S950" s="81" t="str">
        <x:v>—</x:v>
      </x:c>
      <x:c r="T950" s="81" t="str">
        <x:v>—</x:v>
      </x:c>
      <x:c r="U950" s="81" t="str">
        <x:v>건조지3</x:v>
      </x:c>
      <x:c r="V950" s="81" t="str">
        <x:v>특수2</x:v>
      </x:c>
    </x:row>
    <x:row r="951">
      <x:c r="A951" s="80" t="n">
        <x:v>947</x:v>
      </x:c>
      <x:c r="B951" s="80" t="str">
        <x:v>공푸리</x:v>
      </x:c>
      <x:c r="C951" s="80" t="str">
        <x:v>brambleghast</x:v>
      </x:c>
      <x:c r="D951" s="80" t="str">
        <x:v>건조지</x:v>
      </x:c>
      <x:c r="E951" s="81" t="str">
        <x:v>—</x:v>
      </x:c>
      <x:c r="F951" s="81" t="str">
        <x:v>—</x:v>
      </x:c>
      <x:c r="G951" s="81" t="str">
        <x:v>—</x:v>
      </x:c>
      <x:c r="H951" s="81" t="str">
        <x:v>—</x:v>
      </x:c>
      <x:c r="I951" s="81" t="str">
        <x:v>—</x:v>
      </x:c>
      <x:c r="J951" s="81" t="str">
        <x:v>—</x:v>
      </x:c>
      <x:c r="K951" s="81" t="str">
        <x:v>—</x:v>
      </x:c>
      <x:c r="L951" s="81" t="str">
        <x:v>—</x:v>
      </x:c>
      <x:c r="M951" s="81" t="str">
        <x:v>—</x:v>
      </x:c>
      <x:c r="N951" s="81" t="str">
        <x:v>—</x:v>
      </x:c>
      <x:c r="O951" s="81" t="str">
        <x:v>—</x:v>
      </x:c>
      <x:c r="P951" s="81" t="str">
        <x:v>—</x:v>
      </x:c>
      <x:c r="Q951" s="81" t="str">
        <x:v>—</x:v>
      </x:c>
      <x:c r="R951" s="81" t="str">
        <x:v>—</x:v>
      </x:c>
      <x:c r="S951" s="81" t="str">
        <x:v>—</x:v>
      </x:c>
      <x:c r="T951" s="81" t="str">
        <x:v>—</x:v>
      </x:c>
      <x:c r="U951" s="81" t="str">
        <x:v>건조지3</x:v>
      </x:c>
      <x:c r="V951" s="81" t="str">
        <x:v>특수2</x:v>
      </x:c>
    </x:row>
    <x:row r="952">
      <x:c r="A952" s="80" t="n">
        <x:v>948</x:v>
      </x:c>
      <x:c r="B952" s="80" t="str">
        <x:v>들눈해</x:v>
      </x:c>
      <x:c r="C952" s="80" t="str">
        <x:v>toedscool</x:v>
      </x:c>
      <x:c r="D952" s="80" t="str">
        <x:v>화산</x:v>
      </x:c>
      <x:c r="E952" s="81" t="str">
        <x:v>—</x:v>
      </x:c>
      <x:c r="F952" s="81" t="str">
        <x:v>—</x:v>
      </x:c>
      <x:c r="G952" s="81" t="str">
        <x:v>—</x:v>
      </x:c>
      <x:c r="H952" s="81" t="str">
        <x:v>—</x:v>
      </x:c>
      <x:c r="I952" s="81" t="str">
        <x:v>—</x:v>
      </x:c>
      <x:c r="J952" s="81" t="str">
        <x:v>—</x:v>
      </x:c>
      <x:c r="K952" s="81" t="str">
        <x:v>—</x:v>
      </x:c>
      <x:c r="L952" s="81" t="str">
        <x:v>—</x:v>
      </x:c>
      <x:c r="M952" s="81" t="str">
        <x:v>—</x:v>
      </x:c>
      <x:c r="N952" s="81" t="str">
        <x:v>—</x:v>
      </x:c>
      <x:c r="O952" s="81" t="str">
        <x:v>—</x:v>
      </x:c>
      <x:c r="P952" s="81" t="str">
        <x:v>—</x:v>
      </x:c>
      <x:c r="Q952" s="81" t="str">
        <x:v>—</x:v>
      </x:c>
      <x:c r="R952" s="81" t="str">
        <x:v>—</x:v>
      </x:c>
      <x:c r="S952" s="81" t="str">
        <x:v>—</x:v>
      </x:c>
      <x:c r="T952" s="81" t="str">
        <x:v>—</x:v>
      </x:c>
      <x:c r="U952" s="81" t="str">
        <x:v>화산3</x:v>
      </x:c>
      <x:c r="V952" s="81" t="str">
        <x:v>건조지3</x:v>
      </x:c>
    </x:row>
    <x:row r="953">
      <x:c r="A953" s="80" t="n">
        <x:v>949</x:v>
      </x:c>
      <x:c r="B953" s="80" t="str">
        <x:v>육파리</x:v>
      </x:c>
      <x:c r="C953" s="80" t="str">
        <x:v>toedscruel</x:v>
      </x:c>
      <x:c r="D953" s="80" t="str">
        <x:v>화산</x:v>
      </x:c>
      <x:c r="E953" s="81" t="str">
        <x:v>—</x:v>
      </x:c>
      <x:c r="F953" s="81" t="str">
        <x:v>—</x:v>
      </x:c>
      <x:c r="G953" s="81" t="str">
        <x:v>—</x:v>
      </x:c>
      <x:c r="H953" s="81" t="str">
        <x:v>—</x:v>
      </x:c>
      <x:c r="I953" s="81" t="str">
        <x:v>—</x:v>
      </x:c>
      <x:c r="J953" s="81" t="str">
        <x:v>—</x:v>
      </x:c>
      <x:c r="K953" s="81" t="str">
        <x:v>—</x:v>
      </x:c>
      <x:c r="L953" s="81" t="str">
        <x:v>—</x:v>
      </x:c>
      <x:c r="M953" s="81" t="str">
        <x:v>—</x:v>
      </x:c>
      <x:c r="N953" s="81" t="str">
        <x:v>—</x:v>
      </x:c>
      <x:c r="O953" s="81" t="str">
        <x:v>—</x:v>
      </x:c>
      <x:c r="P953" s="81" t="str">
        <x:v>—</x:v>
      </x:c>
      <x:c r="Q953" s="81" t="str">
        <x:v>—</x:v>
      </x:c>
      <x:c r="R953" s="81" t="str">
        <x:v>—</x:v>
      </x:c>
      <x:c r="S953" s="81" t="str">
        <x:v>—</x:v>
      </x:c>
      <x:c r="T953" s="81" t="str">
        <x:v>—</x:v>
      </x:c>
      <x:c r="U953" s="81" t="str">
        <x:v>화산3</x:v>
      </x:c>
      <x:c r="V953" s="81" t="str">
        <x:v>건조지3</x:v>
      </x:c>
    </x:row>
    <x:row r="954">
      <x:c r="A954" s="80" t="n">
        <x:v>950</x:v>
      </x:c>
      <x:c r="B954" s="80" t="str">
        <x:v>절벼게</x:v>
      </x:c>
      <x:c r="C954" s="80" t="str">
        <x:v>klawf</x:v>
      </x:c>
      <x:c r="D954" s="80" t="str">
        <x:v>건조지</x:v>
      </x:c>
      <x:c r="E954" s="81" t="str">
        <x:v>—</x:v>
      </x:c>
      <x:c r="F954" s="81" t="str">
        <x:v>—</x:v>
      </x:c>
      <x:c r="G954" s="81" t="str">
        <x:v>—</x:v>
      </x:c>
      <x:c r="H954" s="81" t="str">
        <x:v>—</x:v>
      </x:c>
      <x:c r="I954" s="81" t="str">
        <x:v>—</x:v>
      </x:c>
      <x:c r="J954" s="81" t="str">
        <x:v>—</x:v>
      </x:c>
      <x:c r="K954" s="81" t="str">
        <x:v>—</x:v>
      </x:c>
      <x:c r="L954" s="81" t="str">
        <x:v>—</x:v>
      </x:c>
      <x:c r="M954" s="81" t="str">
        <x:v>—</x:v>
      </x:c>
      <x:c r="N954" s="81" t="str">
        <x:v>—</x:v>
      </x:c>
      <x:c r="O954" s="81" t="str">
        <x:v>—</x:v>
      </x:c>
      <x:c r="P954" s="81" t="str">
        <x:v>—</x:v>
      </x:c>
      <x:c r="Q954" s="81" t="str">
        <x:v>—</x:v>
      </x:c>
      <x:c r="R954" s="81" t="str">
        <x:v>—</x:v>
      </x:c>
      <x:c r="S954" s="81" t="str">
        <x:v>—</x:v>
      </x:c>
      <x:c r="T954" s="81" t="str">
        <x:v>—</x:v>
      </x:c>
      <x:c r="U954" s="81" t="str">
        <x:v>건조지3</x:v>
      </x:c>
      <x:c r="V954" s="81" t="str">
        <x:v>화산3</x:v>
      </x:c>
    </x:row>
    <x:row r="955">
      <x:c r="A955" s="80" t="n">
        <x:v>951</x:v>
      </x:c>
      <x:c r="B955" s="80" t="str">
        <x:v>캡싸이</x:v>
      </x:c>
      <x:c r="C955" s="80" t="str">
        <x:v>capsakid</x:v>
      </x:c>
      <x:c r="D955" s="80" t="str">
        <x:v>화산</x:v>
      </x:c>
      <x:c r="E955" s="81" t="str">
        <x:v>—</x:v>
      </x:c>
      <x:c r="F955" s="81" t="str">
        <x:v>—</x:v>
      </x:c>
      <x:c r="G955" s="81" t="str">
        <x:v>—</x:v>
      </x:c>
      <x:c r="H955" s="81" t="str">
        <x:v>—</x:v>
      </x:c>
      <x:c r="I955" s="81" t="str">
        <x:v>—</x:v>
      </x:c>
      <x:c r="J955" s="81" t="str">
        <x:v>—</x:v>
      </x:c>
      <x:c r="K955" s="81" t="str">
        <x:v>—</x:v>
      </x:c>
      <x:c r="L955" s="81" t="str">
        <x:v>—</x:v>
      </x:c>
      <x:c r="M955" s="81" t="str">
        <x:v>—</x:v>
      </x:c>
      <x:c r="N955" s="81" t="str">
        <x:v>—</x:v>
      </x:c>
      <x:c r="O955" s="81" t="str">
        <x:v>—</x:v>
      </x:c>
      <x:c r="P955" s="81" t="str">
        <x:v>—</x:v>
      </x:c>
      <x:c r="Q955" s="81" t="str">
        <x:v>—</x:v>
      </x:c>
      <x:c r="R955" s="81" t="str">
        <x:v>—</x:v>
      </x:c>
      <x:c r="S955" s="81" t="str">
        <x:v>—</x:v>
      </x:c>
      <x:c r="T955" s="81" t="str">
        <x:v>—</x:v>
      </x:c>
      <x:c r="U955" s="81" t="str">
        <x:v>화산3</x:v>
      </x:c>
      <x:c r="V955" s="81" t="str">
        <x:v>건조지3</x:v>
      </x:c>
    </x:row>
    <x:row r="956">
      <x:c r="A956" s="80" t="n">
        <x:v>952</x:v>
      </x:c>
      <x:c r="B956" s="80" t="str">
        <x:v>스코빌런</x:v>
      </x:c>
      <x:c r="C956" s="80" t="str">
        <x:v>scovillain</x:v>
      </x:c>
      <x:c r="D956" s="80" t="str">
        <x:v>화산</x:v>
      </x:c>
      <x:c r="E956" s="81" t="str">
        <x:v>—</x:v>
      </x:c>
      <x:c r="F956" s="81" t="str">
        <x:v>—</x:v>
      </x:c>
      <x:c r="G956" s="81" t="str">
        <x:v>—</x:v>
      </x:c>
      <x:c r="H956" s="81" t="str">
        <x:v>—</x:v>
      </x:c>
      <x:c r="I956" s="81" t="str">
        <x:v>—</x:v>
      </x:c>
      <x:c r="J956" s="81" t="str">
        <x:v>—</x:v>
      </x:c>
      <x:c r="K956" s="81" t="str">
        <x:v>—</x:v>
      </x:c>
      <x:c r="L956" s="81" t="str">
        <x:v>—</x:v>
      </x:c>
      <x:c r="M956" s="81" t="str">
        <x:v>—</x:v>
      </x:c>
      <x:c r="N956" s="81" t="str">
        <x:v>—</x:v>
      </x:c>
      <x:c r="O956" s="81" t="str">
        <x:v>—</x:v>
      </x:c>
      <x:c r="P956" s="81" t="str">
        <x:v>—</x:v>
      </x:c>
      <x:c r="Q956" s="81" t="str">
        <x:v>—</x:v>
      </x:c>
      <x:c r="R956" s="81" t="str">
        <x:v>—</x:v>
      </x:c>
      <x:c r="S956" s="81" t="str">
        <x:v>—</x:v>
      </x:c>
      <x:c r="T956" s="81" t="str">
        <x:v>—</x:v>
      </x:c>
      <x:c r="U956" s="81" t="str">
        <x:v>화산3</x:v>
      </x:c>
      <x:c r="V956" s="81" t="str">
        <x:v>건조지3</x:v>
      </x:c>
    </x:row>
    <x:row r="957">
      <x:c r="A957" s="80" t="n">
        <x:v>953</x:v>
      </x:c>
      <x:c r="B957" s="80" t="str">
        <x:v>구르데</x:v>
      </x:c>
      <x:c r="C957" s="80" t="str">
        <x:v>rellor</x:v>
      </x:c>
      <x:c r="D957" s="80" t="str">
        <x:v>건조지</x:v>
      </x:c>
      <x:c r="E957" s="81" t="str">
        <x:v>—</x:v>
      </x:c>
      <x:c r="F957" s="81" t="str">
        <x:v>—</x:v>
      </x:c>
      <x:c r="G957" s="81" t="str">
        <x:v>—</x:v>
      </x:c>
      <x:c r="H957" s="81" t="str">
        <x:v>—</x:v>
      </x:c>
      <x:c r="I957" s="81" t="str">
        <x:v>—</x:v>
      </x:c>
      <x:c r="J957" s="81" t="str">
        <x:v>—</x:v>
      </x:c>
      <x:c r="K957" s="81" t="str">
        <x:v>—</x:v>
      </x:c>
      <x:c r="L957" s="81" t="str">
        <x:v>—</x:v>
      </x:c>
      <x:c r="M957" s="81" t="str">
        <x:v>—</x:v>
      </x:c>
      <x:c r="N957" s="81" t="str">
        <x:v>—</x:v>
      </x:c>
      <x:c r="O957" s="81" t="str">
        <x:v>—</x:v>
      </x:c>
      <x:c r="P957" s="81" t="str">
        <x:v>—</x:v>
      </x:c>
      <x:c r="Q957" s="81" t="str">
        <x:v>—</x:v>
      </x:c>
      <x:c r="R957" s="81" t="str">
        <x:v>—</x:v>
      </x:c>
      <x:c r="S957" s="81" t="str">
        <x:v>—</x:v>
      </x:c>
      <x:c r="T957" s="81" t="str">
        <x:v>—</x:v>
      </x:c>
      <x:c r="U957" s="81" t="str">
        <x:v>건조지3</x:v>
      </x:c>
      <x:c r="V957" s="81" t="str">
        <x:v>화산3</x:v>
      </x:c>
    </x:row>
    <x:row r="958">
      <x:c r="A958" s="80" t="n">
        <x:v>954</x:v>
      </x:c>
      <x:c r="B958" s="80" t="str">
        <x:v>베라카스</x:v>
      </x:c>
      <x:c r="C958" s="80" t="str">
        <x:v>rabsca</x:v>
      </x:c>
      <x:c r="D958" s="80" t="str">
        <x:v>건조지</x:v>
      </x:c>
      <x:c r="E958" s="81" t="str">
        <x:v>—</x:v>
      </x:c>
      <x:c r="F958" s="81" t="str">
        <x:v>—</x:v>
      </x:c>
      <x:c r="G958" s="81" t="str">
        <x:v>—</x:v>
      </x:c>
      <x:c r="H958" s="81" t="str">
        <x:v>—</x:v>
      </x:c>
      <x:c r="I958" s="81" t="str">
        <x:v>—</x:v>
      </x:c>
      <x:c r="J958" s="81" t="str">
        <x:v>—</x:v>
      </x:c>
      <x:c r="K958" s="81" t="str">
        <x:v>—</x:v>
      </x:c>
      <x:c r="L958" s="81" t="str">
        <x:v>—</x:v>
      </x:c>
      <x:c r="M958" s="81" t="str">
        <x:v>—</x:v>
      </x:c>
      <x:c r="N958" s="81" t="str">
        <x:v>—</x:v>
      </x:c>
      <x:c r="O958" s="81" t="str">
        <x:v>—</x:v>
      </x:c>
      <x:c r="P958" s="81" t="str">
        <x:v>—</x:v>
      </x:c>
      <x:c r="Q958" s="81" t="str">
        <x:v>—</x:v>
      </x:c>
      <x:c r="R958" s="81" t="str">
        <x:v>—</x:v>
      </x:c>
      <x:c r="S958" s="81" t="str">
        <x:v>—</x:v>
      </x:c>
      <x:c r="T958" s="81" t="str">
        <x:v>—</x:v>
      </x:c>
      <x:c r="U958" s="81" t="str">
        <x:v>건조지3</x:v>
      </x:c>
      <x:c r="V958" s="81" t="str">
        <x:v>화산3</x:v>
      </x:c>
    </x:row>
    <x:row r="959">
      <x:c r="A959" s="80" t="n">
        <x:v>955</x:v>
      </x:c>
      <x:c r="B959" s="80" t="str">
        <x:v>하느라기</x:v>
      </x:c>
      <x:c r="C959" s="80" t="str">
        <x:v>flittle</x:v>
      </x:c>
      <x:c r="D959" s="80" t="str">
        <x:v>건조지</x:v>
      </x:c>
      <x:c r="E959" s="81" t="str">
        <x:v>—</x:v>
      </x:c>
      <x:c r="F959" s="81" t="str">
        <x:v>—</x:v>
      </x:c>
      <x:c r="G959" s="81" t="str">
        <x:v>—</x:v>
      </x:c>
      <x:c r="H959" s="81" t="str">
        <x:v>—</x:v>
      </x:c>
      <x:c r="I959" s="81" t="str">
        <x:v>—</x:v>
      </x:c>
      <x:c r="J959" s="81" t="str">
        <x:v>—</x:v>
      </x:c>
      <x:c r="K959" s="81" t="str">
        <x:v>—</x:v>
      </x:c>
      <x:c r="L959" s="81" t="str">
        <x:v>—</x:v>
      </x:c>
      <x:c r="M959" s="81" t="str">
        <x:v>—</x:v>
      </x:c>
      <x:c r="N959" s="81" t="str">
        <x:v>—</x:v>
      </x:c>
      <x:c r="O959" s="81" t="str">
        <x:v>—</x:v>
      </x:c>
      <x:c r="P959" s="81" t="str">
        <x:v>—</x:v>
      </x:c>
      <x:c r="Q959" s="81" t="str">
        <x:v>—</x:v>
      </x:c>
      <x:c r="R959" s="81" t="str">
        <x:v>—</x:v>
      </x:c>
      <x:c r="S959" s="81" t="str">
        <x:v>—</x:v>
      </x:c>
      <x:c r="T959" s="81" t="str">
        <x:v>—</x:v>
      </x:c>
      <x:c r="U959" s="81" t="str">
        <x:v>건조지3</x:v>
      </x:c>
      <x:c r="V959" s="81" t="str">
        <x:v>화산3</x:v>
      </x:c>
    </x:row>
    <x:row r="960">
      <x:c r="A960" s="80" t="n">
        <x:v>956</x:v>
      </x:c>
      <x:c r="B960" s="80" t="str">
        <x:v>클레스퍼트라</x:v>
      </x:c>
      <x:c r="C960" s="80" t="str">
        <x:v>espathra</x:v>
      </x:c>
      <x:c r="D960" s="80" t="str">
        <x:v>건조지</x:v>
      </x:c>
      <x:c r="E960" s="81" t="str">
        <x:v>—</x:v>
      </x:c>
      <x:c r="F960" s="81" t="str">
        <x:v>—</x:v>
      </x:c>
      <x:c r="G960" s="81" t="str">
        <x:v>—</x:v>
      </x:c>
      <x:c r="H960" s="81" t="str">
        <x:v>—</x:v>
      </x:c>
      <x:c r="I960" s="81" t="str">
        <x:v>—</x:v>
      </x:c>
      <x:c r="J960" s="81" t="str">
        <x:v>—</x:v>
      </x:c>
      <x:c r="K960" s="81" t="str">
        <x:v>—</x:v>
      </x:c>
      <x:c r="L960" s="81" t="str">
        <x:v>—</x:v>
      </x:c>
      <x:c r="M960" s="81" t="str">
        <x:v>—</x:v>
      </x:c>
      <x:c r="N960" s="81" t="str">
        <x:v>—</x:v>
      </x:c>
      <x:c r="O960" s="81" t="str">
        <x:v>—</x:v>
      </x:c>
      <x:c r="P960" s="81" t="str">
        <x:v>—</x:v>
      </x:c>
      <x:c r="Q960" s="81" t="str">
        <x:v>—</x:v>
      </x:c>
      <x:c r="R960" s="81" t="str">
        <x:v>—</x:v>
      </x:c>
      <x:c r="S960" s="81" t="str">
        <x:v>—</x:v>
      </x:c>
      <x:c r="T960" s="81" t="str">
        <x:v>—</x:v>
      </x:c>
      <x:c r="U960" s="81" t="str">
        <x:v>건조지3</x:v>
      </x:c>
      <x:c r="V960" s="81" t="str">
        <x:v>화산3</x:v>
      </x:c>
    </x:row>
    <x:row r="961">
      <x:c r="A961" s="80" t="n">
        <x:v>957</x:v>
      </x:c>
      <x:c r="B961" s="80" t="str">
        <x:v>어리짱</x:v>
      </x:c>
      <x:c r="C961" s="80" t="str">
        <x:v>tinkatink</x:v>
      </x:c>
      <x:c r="D961" s="80" t="str">
        <x:v>평원</x:v>
      </x:c>
      <x:c r="E961" s="81" t="str">
        <x:v>—</x:v>
      </x:c>
      <x:c r="F961" s="81" t="str">
        <x:v>—</x:v>
      </x:c>
      <x:c r="G961" s="81" t="str">
        <x:v>—</x:v>
      </x:c>
      <x:c r="H961" s="81" t="str">
        <x:v>—</x:v>
      </x:c>
      <x:c r="I961" s="81" t="str">
        <x:v>—</x:v>
      </x:c>
      <x:c r="J961" s="81" t="str">
        <x:v>—</x:v>
      </x:c>
      <x:c r="K961" s="81" t="str">
        <x:v>—</x:v>
      </x:c>
      <x:c r="L961" s="81" t="str">
        <x:v>—</x:v>
      </x:c>
      <x:c r="M961" s="81" t="str">
        <x:v>—</x:v>
      </x:c>
      <x:c r="N961" s="81" t="str">
        <x:v>—</x:v>
      </x:c>
      <x:c r="O961" s="81" t="str">
        <x:v>—</x:v>
      </x:c>
      <x:c r="P961" s="81" t="str">
        <x:v>—</x:v>
      </x:c>
      <x:c r="Q961" s="81" t="str">
        <x:v>—</x:v>
      </x:c>
      <x:c r="R961" s="81" t="str">
        <x:v>—</x:v>
      </x:c>
      <x:c r="S961" s="81" t="str">
        <x:v>—</x:v>
      </x:c>
      <x:c r="T961" s="81" t="str">
        <x:v>—</x:v>
      </x:c>
      <x:c r="U961" s="81" t="str">
        <x:v>평원7</x:v>
      </x:c>
      <x:c r="V961" s="81" t="str">
        <x:v>숲7</x:v>
      </x:c>
    </x:row>
    <x:row r="962">
      <x:c r="A962" s="80" t="n">
        <x:v>958</x:v>
      </x:c>
      <x:c r="B962" s="80" t="str">
        <x:v>벼리짱</x:v>
      </x:c>
      <x:c r="C962" s="80" t="str">
        <x:v>tinkatuff</x:v>
      </x:c>
      <x:c r="D962" s="80" t="str">
        <x:v>평원</x:v>
      </x:c>
      <x:c r="E962" s="81" t="str">
        <x:v>—</x:v>
      </x:c>
      <x:c r="F962" s="81" t="str">
        <x:v>—</x:v>
      </x:c>
      <x:c r="G962" s="81" t="str">
        <x:v>—</x:v>
      </x:c>
      <x:c r="H962" s="81" t="str">
        <x:v>—</x:v>
      </x:c>
      <x:c r="I962" s="81" t="str">
        <x:v>—</x:v>
      </x:c>
      <x:c r="J962" s="81" t="str">
        <x:v>—</x:v>
      </x:c>
      <x:c r="K962" s="81" t="str">
        <x:v>—</x:v>
      </x:c>
      <x:c r="L962" s="81" t="str">
        <x:v>—</x:v>
      </x:c>
      <x:c r="M962" s="81" t="str">
        <x:v>—</x:v>
      </x:c>
      <x:c r="N962" s="81" t="str">
        <x:v>—</x:v>
      </x:c>
      <x:c r="O962" s="81" t="str">
        <x:v>—</x:v>
      </x:c>
      <x:c r="P962" s="81" t="str">
        <x:v>—</x:v>
      </x:c>
      <x:c r="Q962" s="81" t="str">
        <x:v>—</x:v>
      </x:c>
      <x:c r="R962" s="81" t="str">
        <x:v>—</x:v>
      </x:c>
      <x:c r="S962" s="81" t="str">
        <x:v>—</x:v>
      </x:c>
      <x:c r="T962" s="81" t="str">
        <x:v>—</x:v>
      </x:c>
      <x:c r="U962" s="81" t="str">
        <x:v>평원7</x:v>
      </x:c>
      <x:c r="V962" s="81" t="str">
        <x:v>숲7</x:v>
      </x:c>
    </x:row>
    <x:row r="963">
      <x:c r="A963" s="80" t="n">
        <x:v>959</x:v>
      </x:c>
      <x:c r="B963" s="80" t="str">
        <x:v>두드리짱</x:v>
      </x:c>
      <x:c r="C963" s="80" t="str">
        <x:v>tinkaton</x:v>
      </x:c>
      <x:c r="D963" s="80" t="str">
        <x:v>평원</x:v>
      </x:c>
      <x:c r="E963" s="81" t="str">
        <x:v>—</x:v>
      </x:c>
      <x:c r="F963" s="81" t="str">
        <x:v>—</x:v>
      </x:c>
      <x:c r="G963" s="81" t="str">
        <x:v>—</x:v>
      </x:c>
      <x:c r="H963" s="81" t="str">
        <x:v>—</x:v>
      </x:c>
      <x:c r="I963" s="81" t="str">
        <x:v>—</x:v>
      </x:c>
      <x:c r="J963" s="81" t="str">
        <x:v>—</x:v>
      </x:c>
      <x:c r="K963" s="81" t="str">
        <x:v>—</x:v>
      </x:c>
      <x:c r="L963" s="81" t="str">
        <x:v>—</x:v>
      </x:c>
      <x:c r="M963" s="81" t="str">
        <x:v>—</x:v>
      </x:c>
      <x:c r="N963" s="81" t="str">
        <x:v>—</x:v>
      </x:c>
      <x:c r="O963" s="81" t="str">
        <x:v>—</x:v>
      </x:c>
      <x:c r="P963" s="81" t="str">
        <x:v>—</x:v>
      </x:c>
      <x:c r="Q963" s="81" t="str">
        <x:v>—</x:v>
      </x:c>
      <x:c r="R963" s="81" t="str">
        <x:v>—</x:v>
      </x:c>
      <x:c r="S963" s="81" t="str">
        <x:v>—</x:v>
      </x:c>
      <x:c r="T963" s="81" t="str">
        <x:v>—</x:v>
      </x:c>
      <x:c r="U963" s="81" t="str">
        <x:v>평원7</x:v>
      </x:c>
      <x:c r="V963" s="81" t="str">
        <x:v>숲7</x:v>
      </x:c>
    </x:row>
    <x:row r="964">
      <x:c r="A964" s="80" t="n">
        <x:v>960</x:v>
      </x:c>
      <x:c r="B964" s="80" t="str">
        <x:v>바다그다</x:v>
      </x:c>
      <x:c r="C964" s="80" t="str">
        <x:v>wiglett</x:v>
      </x:c>
      <x:c r="D964" s="80" t="str">
        <x:v>해양</x:v>
      </x:c>
      <x:c r="E964" s="81" t="str">
        <x:v>—</x:v>
      </x:c>
      <x:c r="F964" s="81" t="str">
        <x:v>—</x:v>
      </x:c>
      <x:c r="G964" s="81" t="str">
        <x:v>—</x:v>
      </x:c>
      <x:c r="H964" s="81" t="str">
        <x:v>—</x:v>
      </x:c>
      <x:c r="I964" s="81" t="str">
        <x:v>—</x:v>
      </x:c>
      <x:c r="J964" s="81" t="str">
        <x:v>—</x:v>
      </x:c>
      <x:c r="K964" s="81" t="str">
        <x:v>—</x:v>
      </x:c>
      <x:c r="L964" s="81" t="str">
        <x:v>—</x:v>
      </x:c>
      <x:c r="M964" s="81" t="str">
        <x:v>—</x:v>
      </x:c>
      <x:c r="N964" s="81" t="str">
        <x:v>—</x:v>
      </x:c>
      <x:c r="O964" s="81" t="str">
        <x:v>—</x:v>
      </x:c>
      <x:c r="P964" s="81" t="str">
        <x:v>—</x:v>
      </x:c>
      <x:c r="Q964" s="81" t="str">
        <x:v>—</x:v>
      </x:c>
      <x:c r="R964" s="81" t="str">
        <x:v>—</x:v>
      </x:c>
      <x:c r="S964" s="81" t="str">
        <x:v>—</x:v>
      </x:c>
      <x:c r="T964" s="81" t="str">
        <x:v>—</x:v>
      </x:c>
      <x:c r="U964" s="81" t="str">
        <x:v>해양2</x:v>
      </x:c>
      <x:c r="V964" s="81" t="str">
        <x:v>담수3</x:v>
      </x:c>
    </x:row>
    <x:row r="965">
      <x:c r="A965" s="80" t="n">
        <x:v>961</x:v>
      </x:c>
      <x:c r="B965" s="80" t="str">
        <x:v>바닥트리오</x:v>
      </x:c>
      <x:c r="C965" s="80" t="str">
        <x:v>wugtrio</x:v>
      </x:c>
      <x:c r="D965" s="80" t="str">
        <x:v>해양</x:v>
      </x:c>
      <x:c r="E965" s="81" t="str">
        <x:v>—</x:v>
      </x:c>
      <x:c r="F965" s="81" t="str">
        <x:v>—</x:v>
      </x:c>
      <x:c r="G965" s="81" t="str">
        <x:v>—</x:v>
      </x:c>
      <x:c r="H965" s="81" t="str">
        <x:v>—</x:v>
      </x:c>
      <x:c r="I965" s="81" t="str">
        <x:v>—</x:v>
      </x:c>
      <x:c r="J965" s="81" t="str">
        <x:v>—</x:v>
      </x:c>
      <x:c r="K965" s="81" t="str">
        <x:v>—</x:v>
      </x:c>
      <x:c r="L965" s="81" t="str">
        <x:v>—</x:v>
      </x:c>
      <x:c r="M965" s="81" t="str">
        <x:v>—</x:v>
      </x:c>
      <x:c r="N965" s="81" t="str">
        <x:v>—</x:v>
      </x:c>
      <x:c r="O965" s="81" t="str">
        <x:v>—</x:v>
      </x:c>
      <x:c r="P965" s="81" t="str">
        <x:v>—</x:v>
      </x:c>
      <x:c r="Q965" s="81" t="str">
        <x:v>—</x:v>
      </x:c>
      <x:c r="R965" s="81" t="str">
        <x:v>—</x:v>
      </x:c>
      <x:c r="S965" s="81" t="str">
        <x:v>—</x:v>
      </x:c>
      <x:c r="T965" s="81" t="str">
        <x:v>—</x:v>
      </x:c>
      <x:c r="U965" s="81" t="str">
        <x:v>해양2</x:v>
      </x:c>
      <x:c r="V965" s="81" t="str">
        <x:v>담수3</x:v>
      </x:c>
    </x:row>
    <x:row r="966">
      <x:c r="A966" s="80" t="n">
        <x:v>962</x:v>
      </x:c>
      <x:c r="B966" s="80" t="str">
        <x:v>떨구새</x:v>
      </x:c>
      <x:c r="C966" s="80" t="str">
        <x:v>bombirdier</x:v>
      </x:c>
      <x:c r="D966" s="80" t="str">
        <x:v>해양</x:v>
      </x:c>
      <x:c r="E966" s="81" t="str">
        <x:v>—</x:v>
      </x:c>
      <x:c r="F966" s="81" t="str">
        <x:v>—</x:v>
      </x:c>
      <x:c r="G966" s="81" t="str">
        <x:v>—</x:v>
      </x:c>
      <x:c r="H966" s="81" t="str">
        <x:v>—</x:v>
      </x:c>
      <x:c r="I966" s="81" t="str">
        <x:v>—</x:v>
      </x:c>
      <x:c r="J966" s="81" t="str">
        <x:v>—</x:v>
      </x:c>
      <x:c r="K966" s="81" t="str">
        <x:v>—</x:v>
      </x:c>
      <x:c r="L966" s="81" t="str">
        <x:v>—</x:v>
      </x:c>
      <x:c r="M966" s="81" t="str">
        <x:v>—</x:v>
      </x:c>
      <x:c r="N966" s="81" t="str">
        <x:v>—</x:v>
      </x:c>
      <x:c r="O966" s="81" t="str">
        <x:v>—</x:v>
      </x:c>
      <x:c r="P966" s="81" t="str">
        <x:v>—</x:v>
      </x:c>
      <x:c r="Q966" s="81" t="str">
        <x:v>—</x:v>
      </x:c>
      <x:c r="R966" s="81" t="str">
        <x:v>—</x:v>
      </x:c>
      <x:c r="S966" s="81" t="str">
        <x:v>—</x:v>
      </x:c>
      <x:c r="T966" s="81" t="str">
        <x:v>—</x:v>
      </x:c>
      <x:c r="U966" s="81" t="str">
        <x:v>해양2</x:v>
      </x:c>
      <x:c r="V966" s="81" t="str">
        <x:v>담수3</x:v>
      </x:c>
    </x:row>
    <x:row r="967">
      <x:c r="A967" s="80" t="n">
        <x:v>963</x:v>
      </x:c>
      <x:c r="B967" s="80" t="str">
        <x:v>맨돌핀</x:v>
      </x:c>
      <x:c r="C967" s="80" t="str">
        <x:v>finizen</x:v>
      </x:c>
      <x:c r="D967" s="80" t="str">
        <x:v>해양</x:v>
      </x:c>
      <x:c r="E967" s="81" t="str">
        <x:v>—</x:v>
      </x:c>
      <x:c r="F967" s="81" t="str">
        <x:v>—</x:v>
      </x:c>
      <x:c r="G967" s="81" t="str">
        <x:v>—</x:v>
      </x:c>
      <x:c r="H967" s="81" t="str">
        <x:v>—</x:v>
      </x:c>
      <x:c r="I967" s="81" t="str">
        <x:v>—</x:v>
      </x:c>
      <x:c r="J967" s="81" t="str">
        <x:v>—</x:v>
      </x:c>
      <x:c r="K967" s="81" t="str">
        <x:v>—</x:v>
      </x:c>
      <x:c r="L967" s="81" t="str">
        <x:v>—</x:v>
      </x:c>
      <x:c r="M967" s="81" t="str">
        <x:v>—</x:v>
      </x:c>
      <x:c r="N967" s="81" t="str">
        <x:v>—</x:v>
      </x:c>
      <x:c r="O967" s="81" t="str">
        <x:v>—</x:v>
      </x:c>
      <x:c r="P967" s="81" t="str">
        <x:v>—</x:v>
      </x:c>
      <x:c r="Q967" s="81" t="str">
        <x:v>—</x:v>
      </x:c>
      <x:c r="R967" s="81" t="str">
        <x:v>—</x:v>
      </x:c>
      <x:c r="S967" s="81" t="str">
        <x:v>—</x:v>
      </x:c>
      <x:c r="T967" s="81" t="str">
        <x:v>—</x:v>
      </x:c>
      <x:c r="U967" s="81" t="str">
        <x:v>해양2</x:v>
      </x:c>
      <x:c r="V967" s="81" t="str">
        <x:v>담수3</x:v>
      </x:c>
    </x:row>
    <x:row r="968">
      <x:c r="A968" s="80" t="n">
        <x:v>964</x:v>
      </x:c>
      <x:c r="B968" s="80" t="str">
        <x:v>돌핀맨</x:v>
      </x:c>
      <x:c r="C968" s="80" t="str">
        <x:v>palafin</x:v>
      </x:c>
      <x:c r="D968" s="80" t="str">
        <x:v>해양</x:v>
      </x:c>
      <x:c r="E968" s="81" t="str">
        <x:v>—</x:v>
      </x:c>
      <x:c r="F968" s="81" t="str">
        <x:v>—</x:v>
      </x:c>
      <x:c r="G968" s="81" t="str">
        <x:v>—</x:v>
      </x:c>
      <x:c r="H968" s="81" t="str">
        <x:v>—</x:v>
      </x:c>
      <x:c r="I968" s="81" t="str">
        <x:v>—</x:v>
      </x:c>
      <x:c r="J968" s="81" t="str">
        <x:v>—</x:v>
      </x:c>
      <x:c r="K968" s="81" t="str">
        <x:v>—</x:v>
      </x:c>
      <x:c r="L968" s="81" t="str">
        <x:v>—</x:v>
      </x:c>
      <x:c r="M968" s="81" t="str">
        <x:v>—</x:v>
      </x:c>
      <x:c r="N968" s="81" t="str">
        <x:v>—</x:v>
      </x:c>
      <x:c r="O968" s="81" t="str">
        <x:v>—</x:v>
      </x:c>
      <x:c r="P968" s="81" t="str">
        <x:v>—</x:v>
      </x:c>
      <x:c r="Q968" s="81" t="str">
        <x:v>—</x:v>
      </x:c>
      <x:c r="R968" s="81" t="str">
        <x:v>—</x:v>
      </x:c>
      <x:c r="S968" s="81" t="str">
        <x:v>—</x:v>
      </x:c>
      <x:c r="T968" s="81" t="str">
        <x:v>—</x:v>
      </x:c>
      <x:c r="U968" s="81" t="str">
        <x:v>해양2</x:v>
      </x:c>
      <x:c r="V968" s="81" t="str">
        <x:v>담수3</x:v>
      </x:c>
    </x:row>
    <x:row r="969">
      <x:c r="A969" s="80" t="n">
        <x:v>965</x:v>
      </x:c>
      <x:c r="B969" s="80" t="str">
        <x:v>부르롱</x:v>
      </x:c>
      <x:c r="C969" s="80" t="str">
        <x:v>varoom</x:v>
      </x:c>
      <x:c r="D969" s="80" t="str">
        <x:v>건조지</x:v>
      </x:c>
      <x:c r="E969" s="81" t="str">
        <x:v>—</x:v>
      </x:c>
      <x:c r="F969" s="81" t="str">
        <x:v>—</x:v>
      </x:c>
      <x:c r="G969" s="81" t="str">
        <x:v>—</x:v>
      </x:c>
      <x:c r="H969" s="81" t="str">
        <x:v>—</x:v>
      </x:c>
      <x:c r="I969" s="81" t="str">
        <x:v>—</x:v>
      </x:c>
      <x:c r="J969" s="81" t="str">
        <x:v>—</x:v>
      </x:c>
      <x:c r="K969" s="81" t="str">
        <x:v>—</x:v>
      </x:c>
      <x:c r="L969" s="81" t="str">
        <x:v>—</x:v>
      </x:c>
      <x:c r="M969" s="81" t="str">
        <x:v>—</x:v>
      </x:c>
      <x:c r="N969" s="81" t="str">
        <x:v>—</x:v>
      </x:c>
      <x:c r="O969" s="81" t="str">
        <x:v>—</x:v>
      </x:c>
      <x:c r="P969" s="81" t="str">
        <x:v>—</x:v>
      </x:c>
      <x:c r="Q969" s="81" t="str">
        <x:v>—</x:v>
      </x:c>
      <x:c r="R969" s="81" t="str">
        <x:v>—</x:v>
      </x:c>
      <x:c r="S969" s="81" t="str">
        <x:v>—</x:v>
      </x:c>
      <x:c r="T969" s="81" t="str">
        <x:v>—</x:v>
      </x:c>
      <x:c r="U969" s="81" t="str">
        <x:v>건조지3</x:v>
      </x:c>
      <x:c r="V969" s="81" t="str">
        <x:v>도시1</x:v>
      </x:c>
    </x:row>
    <x:row r="970">
      <x:c r="A970" s="80" t="n">
        <x:v>966</x:v>
      </x:c>
      <x:c r="B970" s="80" t="str">
        <x:v>부르르룸</x:v>
      </x:c>
      <x:c r="C970" s="80" t="str">
        <x:v>revavroom</x:v>
      </x:c>
      <x:c r="D970" s="80" t="str">
        <x:v>건조지</x:v>
      </x:c>
      <x:c r="E970" s="81" t="str">
        <x:v>—</x:v>
      </x:c>
      <x:c r="F970" s="81" t="str">
        <x:v>—</x:v>
      </x:c>
      <x:c r="G970" s="81" t="str">
        <x:v>—</x:v>
      </x:c>
      <x:c r="H970" s="81" t="str">
        <x:v>—</x:v>
      </x:c>
      <x:c r="I970" s="81" t="str">
        <x:v>—</x:v>
      </x:c>
      <x:c r="J970" s="81" t="str">
        <x:v>—</x:v>
      </x:c>
      <x:c r="K970" s="81" t="str">
        <x:v>—</x:v>
      </x:c>
      <x:c r="L970" s="81" t="str">
        <x:v>—</x:v>
      </x:c>
      <x:c r="M970" s="81" t="str">
        <x:v>—</x:v>
      </x:c>
      <x:c r="N970" s="81" t="str">
        <x:v>—</x:v>
      </x:c>
      <x:c r="O970" s="81" t="str">
        <x:v>—</x:v>
      </x:c>
      <x:c r="P970" s="81" t="str">
        <x:v>—</x:v>
      </x:c>
      <x:c r="Q970" s="81" t="str">
        <x:v>—</x:v>
      </x:c>
      <x:c r="R970" s="81" t="str">
        <x:v>—</x:v>
      </x:c>
      <x:c r="S970" s="81" t="str">
        <x:v>—</x:v>
      </x:c>
      <x:c r="T970" s="81" t="str">
        <x:v>—</x:v>
      </x:c>
      <x:c r="U970" s="81" t="str">
        <x:v>건조지3</x:v>
      </x:c>
      <x:c r="V970" s="81" t="str">
        <x:v>도시1</x:v>
      </x:c>
    </x:row>
    <x:row r="971">
      <x:c r="A971" s="80" t="n">
        <x:v>967</x:v>
      </x:c>
      <x:c r="B971" s="80" t="str">
        <x:v>모토마</x:v>
      </x:c>
      <x:c r="C971" s="80" t="str">
        <x:v>cyclizar</x:v>
      </x:c>
      <x:c r="D971" s="80" t="str">
        <x:v>건조지</x:v>
      </x:c>
      <x:c r="E971" s="81" t="str">
        <x:v>—</x:v>
      </x:c>
      <x:c r="F971" s="81" t="str">
        <x:v>—</x:v>
      </x:c>
      <x:c r="G971" s="81" t="str">
        <x:v>—</x:v>
      </x:c>
      <x:c r="H971" s="81" t="str">
        <x:v>—</x:v>
      </x:c>
      <x:c r="I971" s="81" t="str">
        <x:v>—</x:v>
      </x:c>
      <x:c r="J971" s="81" t="str">
        <x:v>—</x:v>
      </x:c>
      <x:c r="K971" s="81" t="str">
        <x:v>—</x:v>
      </x:c>
      <x:c r="L971" s="81" t="str">
        <x:v>—</x:v>
      </x:c>
      <x:c r="M971" s="81" t="str">
        <x:v>—</x:v>
      </x:c>
      <x:c r="N971" s="81" t="str">
        <x:v>—</x:v>
      </x:c>
      <x:c r="O971" s="81" t="str">
        <x:v>—</x:v>
      </x:c>
      <x:c r="P971" s="81" t="str">
        <x:v>—</x:v>
      </x:c>
      <x:c r="Q971" s="81" t="str">
        <x:v>—</x:v>
      </x:c>
      <x:c r="R971" s="81" t="str">
        <x:v>—</x:v>
      </x:c>
      <x:c r="S971" s="81" t="str">
        <x:v>—</x:v>
      </x:c>
      <x:c r="T971" s="81" t="str">
        <x:v>—</x:v>
      </x:c>
      <x:c r="U971" s="81" t="str">
        <x:v>건조지3</x:v>
      </x:c>
      <x:c r="V971" s="81" t="str">
        <x:v>평원7</x:v>
      </x:c>
    </x:row>
    <x:row r="972">
      <x:c r="A972" s="80" t="n">
        <x:v>968</x:v>
      </x:c>
      <x:c r="B972" s="80" t="str">
        <x:v>꿈트렁</x:v>
      </x:c>
      <x:c r="C972" s="80" t="str">
        <x:v>orthworm</x:v>
      </x:c>
      <x:c r="D972" s="80" t="str">
        <x:v>건조지</x:v>
      </x:c>
      <x:c r="E972" s="81" t="str">
        <x:v>—</x:v>
      </x:c>
      <x:c r="F972" s="81" t="str">
        <x:v>—</x:v>
      </x:c>
      <x:c r="G972" s="81" t="str">
        <x:v>—</x:v>
      </x:c>
      <x:c r="H972" s="81" t="str">
        <x:v>—</x:v>
      </x:c>
      <x:c r="I972" s="81" t="str">
        <x:v>—</x:v>
      </x:c>
      <x:c r="J972" s="81" t="str">
        <x:v>—</x:v>
      </x:c>
      <x:c r="K972" s="81" t="str">
        <x:v>—</x:v>
      </x:c>
      <x:c r="L972" s="81" t="str">
        <x:v>—</x:v>
      </x:c>
      <x:c r="M972" s="81" t="str">
        <x:v>—</x:v>
      </x:c>
      <x:c r="N972" s="81" t="str">
        <x:v>—</x:v>
      </x:c>
      <x:c r="O972" s="81" t="str">
        <x:v>—</x:v>
      </x:c>
      <x:c r="P972" s="81" t="str">
        <x:v>—</x:v>
      </x:c>
      <x:c r="Q972" s="81" t="str">
        <x:v>—</x:v>
      </x:c>
      <x:c r="R972" s="81" t="str">
        <x:v>—</x:v>
      </x:c>
      <x:c r="S972" s="81" t="str">
        <x:v>—</x:v>
      </x:c>
      <x:c r="T972" s="81" t="str">
        <x:v>—</x:v>
      </x:c>
      <x:c r="U972" s="81" t="str">
        <x:v>건조지3</x:v>
      </x:c>
      <x:c r="V972" s="81" t="str">
        <x:v>화산3</x:v>
      </x:c>
    </x:row>
    <x:row r="973">
      <x:c r="A973" s="80" t="n">
        <x:v>969</x:v>
      </x:c>
      <x:c r="B973" s="80" t="str">
        <x:v>초롱순</x:v>
      </x:c>
      <x:c r="C973" s="80" t="str">
        <x:v>glimmet</x:v>
      </x:c>
      <x:c r="D973" s="80" t="str">
        <x:v>화산</x:v>
      </x:c>
      <x:c r="E973" s="81" t="str">
        <x:v>—</x:v>
      </x:c>
      <x:c r="F973" s="81" t="str">
        <x:v>—</x:v>
      </x:c>
      <x:c r="G973" s="81" t="str">
        <x:v>—</x:v>
      </x:c>
      <x:c r="H973" s="81" t="str">
        <x:v>—</x:v>
      </x:c>
      <x:c r="I973" s="81" t="str">
        <x:v>—</x:v>
      </x:c>
      <x:c r="J973" s="81" t="str">
        <x:v>—</x:v>
      </x:c>
      <x:c r="K973" s="81" t="str">
        <x:v>—</x:v>
      </x:c>
      <x:c r="L973" s="81" t="str">
        <x:v>—</x:v>
      </x:c>
      <x:c r="M973" s="81" t="str">
        <x:v>—</x:v>
      </x:c>
      <x:c r="N973" s="81" t="str">
        <x:v>—</x:v>
      </x:c>
      <x:c r="O973" s="81" t="str">
        <x:v>—</x:v>
      </x:c>
      <x:c r="P973" s="81" t="str">
        <x:v>—</x:v>
      </x:c>
      <x:c r="Q973" s="81" t="str">
        <x:v>—</x:v>
      </x:c>
      <x:c r="R973" s="81" t="str">
        <x:v>—</x:v>
      </x:c>
      <x:c r="S973" s="81" t="str">
        <x:v>—</x:v>
      </x:c>
      <x:c r="T973" s="81" t="str">
        <x:v>—</x:v>
      </x:c>
      <x:c r="U973" s="81" t="str">
        <x:v>화산3</x:v>
      </x:c>
      <x:c r="V973" s="81" t="str">
        <x:v>건조지3</x:v>
      </x:c>
    </x:row>
    <x:row r="974">
      <x:c r="A974" s="80" t="n">
        <x:v>970</x:v>
      </x:c>
      <x:c r="B974" s="80" t="str">
        <x:v>킬라플로르</x:v>
      </x:c>
      <x:c r="C974" s="80" t="str">
        <x:v>glimmora</x:v>
      </x:c>
      <x:c r="D974" s="80" t="str">
        <x:v>화산</x:v>
      </x:c>
      <x:c r="E974" s="81" t="str">
        <x:v>—</x:v>
      </x:c>
      <x:c r="F974" s="81" t="str">
        <x:v>—</x:v>
      </x:c>
      <x:c r="G974" s="81" t="str">
        <x:v>—</x:v>
      </x:c>
      <x:c r="H974" s="81" t="str">
        <x:v>—</x:v>
      </x:c>
      <x:c r="I974" s="81" t="str">
        <x:v>—</x:v>
      </x:c>
      <x:c r="J974" s="81" t="str">
        <x:v>—</x:v>
      </x:c>
      <x:c r="K974" s="81" t="str">
        <x:v>—</x:v>
      </x:c>
      <x:c r="L974" s="81" t="str">
        <x:v>—</x:v>
      </x:c>
      <x:c r="M974" s="81" t="str">
        <x:v>—</x:v>
      </x:c>
      <x:c r="N974" s="81" t="str">
        <x:v>—</x:v>
      </x:c>
      <x:c r="O974" s="81" t="str">
        <x:v>—</x:v>
      </x:c>
      <x:c r="P974" s="81" t="str">
        <x:v>—</x:v>
      </x:c>
      <x:c r="Q974" s="81" t="str">
        <x:v>—</x:v>
      </x:c>
      <x:c r="R974" s="81" t="str">
        <x:v>—</x:v>
      </x:c>
      <x:c r="S974" s="81" t="str">
        <x:v>—</x:v>
      </x:c>
      <x:c r="T974" s="81" t="str">
        <x:v>—</x:v>
      </x:c>
      <x:c r="U974" s="81" t="str">
        <x:v>화산3</x:v>
      </x:c>
      <x:c r="V974" s="81" t="str">
        <x:v>건조지3</x:v>
      </x:c>
    </x:row>
    <x:row r="975">
      <x:c r="A975" s="80" t="n">
        <x:v>971</x:v>
      </x:c>
      <x:c r="B975" s="80" t="str">
        <x:v>망망이</x:v>
      </x:c>
      <x:c r="C975" s="80" t="str">
        <x:v>greavard</x:v>
      </x:c>
      <x:c r="D975" s="80" t="str">
        <x:v>특수</x:v>
      </x:c>
      <x:c r="E975" s="81" t="str">
        <x:v>—</x:v>
      </x:c>
      <x:c r="F975" s="81" t="str">
        <x:v>—</x:v>
      </x:c>
      <x:c r="G975" s="81" t="str">
        <x:v>—</x:v>
      </x:c>
      <x:c r="H975" s="81" t="str">
        <x:v>—</x:v>
      </x:c>
      <x:c r="I975" s="81" t="str">
        <x:v>—</x:v>
      </x:c>
      <x:c r="J975" s="81" t="str">
        <x:v>—</x:v>
      </x:c>
      <x:c r="K975" s="81" t="str">
        <x:v>—</x:v>
      </x:c>
      <x:c r="L975" s="81" t="str">
        <x:v>—</x:v>
      </x:c>
      <x:c r="M975" s="81" t="str">
        <x:v>—</x:v>
      </x:c>
      <x:c r="N975" s="81" t="str">
        <x:v>—</x:v>
      </x:c>
      <x:c r="O975" s="81" t="str">
        <x:v>—</x:v>
      </x:c>
      <x:c r="P975" s="81" t="str">
        <x:v>—</x:v>
      </x:c>
      <x:c r="Q975" s="81" t="str">
        <x:v>—</x:v>
      </x:c>
      <x:c r="R975" s="81" t="str">
        <x:v>—</x:v>
      </x:c>
      <x:c r="S975" s="81" t="str">
        <x:v>—</x:v>
      </x:c>
      <x:c r="T975" s="81" t="str">
        <x:v>—</x:v>
      </x:c>
      <x:c r="U975" s="81" t="str">
        <x:v>특수2</x:v>
      </x:c>
      <x:c r="V975" s="81" t="str">
        <x:v>동굴1</x:v>
      </x:c>
    </x:row>
    <x:row r="976">
      <x:c r="A976" s="80" t="n">
        <x:v>972</x:v>
      </x:c>
      <x:c r="B976" s="80" t="str">
        <x:v>묘두기</x:v>
      </x:c>
      <x:c r="C976" s="80" t="str">
        <x:v>houndstone</x:v>
      </x:c>
      <x:c r="D976" s="80" t="str">
        <x:v>특수</x:v>
      </x:c>
      <x:c r="E976" s="81" t="str">
        <x:v>—</x:v>
      </x:c>
      <x:c r="F976" s="81" t="str">
        <x:v>—</x:v>
      </x:c>
      <x:c r="G976" s="81" t="str">
        <x:v>—</x:v>
      </x:c>
      <x:c r="H976" s="81" t="str">
        <x:v>—</x:v>
      </x:c>
      <x:c r="I976" s="81" t="str">
        <x:v>—</x:v>
      </x:c>
      <x:c r="J976" s="81" t="str">
        <x:v>—</x:v>
      </x:c>
      <x:c r="K976" s="81" t="str">
        <x:v>—</x:v>
      </x:c>
      <x:c r="L976" s="81" t="str">
        <x:v>—</x:v>
      </x:c>
      <x:c r="M976" s="81" t="str">
        <x:v>—</x:v>
      </x:c>
      <x:c r="N976" s="81" t="str">
        <x:v>—</x:v>
      </x:c>
      <x:c r="O976" s="81" t="str">
        <x:v>—</x:v>
      </x:c>
      <x:c r="P976" s="81" t="str">
        <x:v>—</x:v>
      </x:c>
      <x:c r="Q976" s="81" t="str">
        <x:v>—</x:v>
      </x:c>
      <x:c r="R976" s="81" t="str">
        <x:v>—</x:v>
      </x:c>
      <x:c r="S976" s="81" t="str">
        <x:v>—</x:v>
      </x:c>
      <x:c r="T976" s="81" t="str">
        <x:v>—</x:v>
      </x:c>
      <x:c r="U976" s="81" t="str">
        <x:v>특수2</x:v>
      </x:c>
      <x:c r="V976" s="81" t="str">
        <x:v>동굴1</x:v>
      </x:c>
    </x:row>
    <x:row r="977">
      <x:c r="A977" s="80" t="n">
        <x:v>973</x:v>
      </x:c>
      <x:c r="B977" s="80" t="str">
        <x:v>꼬이밍고</x:v>
      </x:c>
      <x:c r="C977" s="80" t="str">
        <x:v>flamigo</x:v>
      </x:c>
      <x:c r="D977" s="80" t="str">
        <x:v>습지</x:v>
      </x:c>
      <x:c r="E977" s="81" t="str">
        <x:v>—</x:v>
      </x:c>
      <x:c r="F977" s="81" t="str">
        <x:v>—</x:v>
      </x:c>
      <x:c r="G977" s="81" t="str">
        <x:v>—</x:v>
      </x:c>
      <x:c r="H977" s="81" t="str">
        <x:v>—</x:v>
      </x:c>
      <x:c r="I977" s="81" t="str">
        <x:v>—</x:v>
      </x:c>
      <x:c r="J977" s="81" t="str">
        <x:v>—</x:v>
      </x:c>
      <x:c r="K977" s="81" t="str">
        <x:v>—</x:v>
      </x:c>
      <x:c r="L977" s="81" t="str">
        <x:v>—</x:v>
      </x:c>
      <x:c r="M977" s="81" t="str">
        <x:v>—</x:v>
      </x:c>
      <x:c r="N977" s="81" t="str">
        <x:v>—</x:v>
      </x:c>
      <x:c r="O977" s="81" t="str">
        <x:v>—</x:v>
      </x:c>
      <x:c r="P977" s="81" t="str">
        <x:v>—</x:v>
      </x:c>
      <x:c r="Q977" s="81" t="str">
        <x:v>—</x:v>
      </x:c>
      <x:c r="R977" s="81" t="str">
        <x:v>—</x:v>
      </x:c>
      <x:c r="S977" s="81" t="str">
        <x:v>—</x:v>
      </x:c>
      <x:c r="T977" s="81" t="str">
        <x:v>—</x:v>
      </x:c>
      <x:c r="U977" s="81" t="str">
        <x:v>습지3</x:v>
      </x:c>
      <x:c r="V977" s="81" t="str">
        <x:v>산악4</x:v>
      </x:c>
    </x:row>
    <x:row r="978">
      <x:c r="A978" s="80" t="n">
        <x:v>974</x:v>
      </x:c>
      <x:c r="B978" s="80" t="str">
        <x:v>터벅고래</x:v>
      </x:c>
      <x:c r="C978" s="80" t="str">
        <x:v>cetoddle</x:v>
      </x:c>
      <x:c r="D978" s="80" t="str">
        <x:v>설원</x:v>
      </x:c>
      <x:c r="E978" s="81" t="str">
        <x:v>—</x:v>
      </x:c>
      <x:c r="F978" s="81" t="str">
        <x:v>—</x:v>
      </x:c>
      <x:c r="G978" s="81" t="str">
        <x:v>—</x:v>
      </x:c>
      <x:c r="H978" s="81" t="str">
        <x:v>—</x:v>
      </x:c>
      <x:c r="I978" s="81" t="str">
        <x:v>—</x:v>
      </x:c>
      <x:c r="J978" s="81" t="str">
        <x:v>—</x:v>
      </x:c>
      <x:c r="K978" s="81" t="str">
        <x:v>—</x:v>
      </x:c>
      <x:c r="L978" s="81" t="str">
        <x:v>—</x:v>
      </x:c>
      <x:c r="M978" s="81" t="str">
        <x:v>—</x:v>
      </x:c>
      <x:c r="N978" s="81" t="str">
        <x:v>—</x:v>
      </x:c>
      <x:c r="O978" s="81" t="str">
        <x:v>—</x:v>
      </x:c>
      <x:c r="P978" s="81" t="str">
        <x:v>—</x:v>
      </x:c>
      <x:c r="Q978" s="81" t="str">
        <x:v>—</x:v>
      </x:c>
      <x:c r="R978" s="81" t="str">
        <x:v>—</x:v>
      </x:c>
      <x:c r="S978" s="81" t="str">
        <x:v>—</x:v>
      </x:c>
      <x:c r="T978" s="81" t="str">
        <x:v>—</x:v>
      </x:c>
      <x:c r="U978" s="81" t="str">
        <x:v>설원1</x:v>
      </x:c>
      <x:c r="V978" s="81" t="str">
        <x:v>평원7</x:v>
      </x:c>
    </x:row>
    <x:row r="979">
      <x:c r="A979" s="80" t="n">
        <x:v>975</x:v>
      </x:c>
      <x:c r="B979" s="80" t="str">
        <x:v>우락고래</x:v>
      </x:c>
      <x:c r="C979" s="80" t="str">
        <x:v>cetitan</x:v>
      </x:c>
      <x:c r="D979" s="80" t="str">
        <x:v>설원</x:v>
      </x:c>
      <x:c r="E979" s="81" t="str">
        <x:v>—</x:v>
      </x:c>
      <x:c r="F979" s="81" t="str">
        <x:v>—</x:v>
      </x:c>
      <x:c r="G979" s="81" t="str">
        <x:v>—</x:v>
      </x:c>
      <x:c r="H979" s="81" t="str">
        <x:v>—</x:v>
      </x:c>
      <x:c r="I979" s="81" t="str">
        <x:v>—</x:v>
      </x:c>
      <x:c r="J979" s="81" t="str">
        <x:v>—</x:v>
      </x:c>
      <x:c r="K979" s="81" t="str">
        <x:v>—</x:v>
      </x:c>
      <x:c r="L979" s="81" t="str">
        <x:v>—</x:v>
      </x:c>
      <x:c r="M979" s="81" t="str">
        <x:v>—</x:v>
      </x:c>
      <x:c r="N979" s="81" t="str">
        <x:v>—</x:v>
      </x:c>
      <x:c r="O979" s="81" t="str">
        <x:v>—</x:v>
      </x:c>
      <x:c r="P979" s="81" t="str">
        <x:v>—</x:v>
      </x:c>
      <x:c r="Q979" s="81" t="str">
        <x:v>—</x:v>
      </x:c>
      <x:c r="R979" s="81" t="str">
        <x:v>—</x:v>
      </x:c>
      <x:c r="S979" s="81" t="str">
        <x:v>—</x:v>
      </x:c>
      <x:c r="T979" s="81" t="str">
        <x:v>—</x:v>
      </x:c>
      <x:c r="U979" s="81" t="str">
        <x:v>설원1</x:v>
      </x:c>
      <x:c r="V979" s="81" t="str">
        <x:v>평원7</x:v>
      </x:c>
    </x:row>
    <x:row r="980">
      <x:c r="A980" s="80" t="n">
        <x:v>976</x:v>
      </x:c>
      <x:c r="B980" s="80" t="str">
        <x:v>가비루사</x:v>
      </x:c>
      <x:c r="C980" s="80" t="str">
        <x:v>veluza</x:v>
      </x:c>
      <x:c r="D980" s="80" t="str">
        <x:v>해양</x:v>
      </x:c>
      <x:c r="E980" s="81" t="str">
        <x:v>—</x:v>
      </x:c>
      <x:c r="F980" s="81" t="str">
        <x:v>—</x:v>
      </x:c>
      <x:c r="G980" s="81" t="str">
        <x:v>—</x:v>
      </x:c>
      <x:c r="H980" s="81" t="str">
        <x:v>—</x:v>
      </x:c>
      <x:c r="I980" s="81" t="str">
        <x:v>—</x:v>
      </x:c>
      <x:c r="J980" s="81" t="str">
        <x:v>—</x:v>
      </x:c>
      <x:c r="K980" s="81" t="str">
        <x:v>—</x:v>
      </x:c>
      <x:c r="L980" s="81" t="str">
        <x:v>—</x:v>
      </x:c>
      <x:c r="M980" s="81" t="str">
        <x:v>—</x:v>
      </x:c>
      <x:c r="N980" s="81" t="str">
        <x:v>—</x:v>
      </x:c>
      <x:c r="O980" s="81" t="str">
        <x:v>—</x:v>
      </x:c>
      <x:c r="P980" s="81" t="str">
        <x:v>—</x:v>
      </x:c>
      <x:c r="Q980" s="81" t="str">
        <x:v>—</x:v>
      </x:c>
      <x:c r="R980" s="81" t="str">
        <x:v>—</x:v>
      </x:c>
      <x:c r="S980" s="81" t="str">
        <x:v>—</x:v>
      </x:c>
      <x:c r="T980" s="81" t="str">
        <x:v>—</x:v>
      </x:c>
      <x:c r="U980" s="81" t="str">
        <x:v>해양2</x:v>
      </x:c>
      <x:c r="V980" s="81" t="str">
        <x:v>담수3</x:v>
      </x:c>
    </x:row>
    <x:row r="981">
      <x:c r="A981" s="80" t="n">
        <x:v>977</x:v>
      </x:c>
      <x:c r="B981" s="80" t="str">
        <x:v>어써러셔</x:v>
      </x:c>
      <x:c r="C981" s="80" t="str">
        <x:v>dondozo</x:v>
      </x:c>
      <x:c r="D981" s="80" t="str">
        <x:v>습지</x:v>
      </x:c>
      <x:c r="E981" s="81" t="str">
        <x:v>—</x:v>
      </x:c>
      <x:c r="F981" s="81" t="str">
        <x:v>—</x:v>
      </x:c>
      <x:c r="G981" s="81" t="str">
        <x:v>—</x:v>
      </x:c>
      <x:c r="H981" s="81" t="str">
        <x:v>—</x:v>
      </x:c>
      <x:c r="I981" s="81" t="str">
        <x:v>—</x:v>
      </x:c>
      <x:c r="J981" s="81" t="str">
        <x:v>—</x:v>
      </x:c>
      <x:c r="K981" s="81" t="str">
        <x:v>—</x:v>
      </x:c>
      <x:c r="L981" s="81" t="str">
        <x:v>—</x:v>
      </x:c>
      <x:c r="M981" s="81" t="str">
        <x:v>—</x:v>
      </x:c>
      <x:c r="N981" s="81" t="str">
        <x:v>—</x:v>
      </x:c>
      <x:c r="O981" s="81" t="str">
        <x:v>—</x:v>
      </x:c>
      <x:c r="P981" s="81" t="str">
        <x:v>—</x:v>
      </x:c>
      <x:c r="Q981" s="81" t="str">
        <x:v>—</x:v>
      </x:c>
      <x:c r="R981" s="81" t="str">
        <x:v>—</x:v>
      </x:c>
      <x:c r="S981" s="81" t="str">
        <x:v>—</x:v>
      </x:c>
      <x:c r="T981" s="81" t="str">
        <x:v>—</x:v>
      </x:c>
      <x:c r="U981" s="81" t="str">
        <x:v>습지3</x:v>
      </x:c>
      <x:c r="V981" s="81" t="str">
        <x:v>담수3</x:v>
      </x:c>
    </x:row>
    <x:row r="982">
      <x:c r="A982" s="80" t="n">
        <x:v>978</x:v>
      </x:c>
      <x:c r="B982" s="80" t="str">
        <x:v>싸리용</x:v>
      </x:c>
      <x:c r="C982" s="80" t="str">
        <x:v>tatsugiri</x:v>
      </x:c>
      <x:c r="D982" s="80" t="str">
        <x:v>습지</x:v>
      </x:c>
      <x:c r="E982" s="81" t="str">
        <x:v>—</x:v>
      </x:c>
      <x:c r="F982" s="81" t="str">
        <x:v>—</x:v>
      </x:c>
      <x:c r="G982" s="81" t="str">
        <x:v>—</x:v>
      </x:c>
      <x:c r="H982" s="81" t="str">
        <x:v>—</x:v>
      </x:c>
      <x:c r="I982" s="81" t="str">
        <x:v>—</x:v>
      </x:c>
      <x:c r="J982" s="81" t="str">
        <x:v>—</x:v>
      </x:c>
      <x:c r="K982" s="81" t="str">
        <x:v>—</x:v>
      </x:c>
      <x:c r="L982" s="81" t="str">
        <x:v>—</x:v>
      </x:c>
      <x:c r="M982" s="81" t="str">
        <x:v>—</x:v>
      </x:c>
      <x:c r="N982" s="81" t="str">
        <x:v>—</x:v>
      </x:c>
      <x:c r="O982" s="81" t="str">
        <x:v>—</x:v>
      </x:c>
      <x:c r="P982" s="81" t="str">
        <x:v>—</x:v>
      </x:c>
      <x:c r="Q982" s="81" t="str">
        <x:v>—</x:v>
      </x:c>
      <x:c r="R982" s="81" t="str">
        <x:v>—</x:v>
      </x:c>
      <x:c r="S982" s="81" t="str">
        <x:v>—</x:v>
      </x:c>
      <x:c r="T982" s="81" t="str">
        <x:v>—</x:v>
      </x:c>
      <x:c r="U982" s="81" t="str">
        <x:v>습지3</x:v>
      </x:c>
      <x:c r="V982" s="81" t="str">
        <x:v>담수3</x:v>
      </x:c>
    </x:row>
    <x:row r="983">
      <x:c r="A983" s="80" t="n">
        <x:v>979</x:v>
      </x:c>
      <x:c r="B983" s="80" t="str">
        <x:v>저승갓숭</x:v>
      </x:c>
      <x:c r="C983" s="80" t="str">
        <x:v>annihilape</x:v>
      </x:c>
      <x:c r="D983" s="80" t="str">
        <x:v>특수</x:v>
      </x:c>
      <x:c r="E983" s="81" t="str">
        <x:v>—</x:v>
      </x:c>
      <x:c r="F983" s="81" t="str">
        <x:v>—</x:v>
      </x:c>
      <x:c r="G983" s="81" t="str">
        <x:v>—</x:v>
      </x:c>
      <x:c r="H983" s="81" t="str">
        <x:v>—</x:v>
      </x:c>
      <x:c r="I983" s="81" t="str">
        <x:v>—</x:v>
      </x:c>
      <x:c r="J983" s="81" t="str">
        <x:v>—</x:v>
      </x:c>
      <x:c r="K983" s="81" t="str">
        <x:v>—</x:v>
      </x:c>
      <x:c r="L983" s="81" t="str">
        <x:v>—</x:v>
      </x:c>
      <x:c r="M983" s="81" t="str">
        <x:v>—</x:v>
      </x:c>
      <x:c r="N983" s="81" t="str">
        <x:v>—</x:v>
      </x:c>
      <x:c r="O983" s="81" t="str">
        <x:v>—</x:v>
      </x:c>
      <x:c r="P983" s="81" t="str">
        <x:v>—</x:v>
      </x:c>
      <x:c r="Q983" s="81" t="str">
        <x:v>—</x:v>
      </x:c>
      <x:c r="R983" s="81" t="str">
        <x:v>—</x:v>
      </x:c>
      <x:c r="S983" s="81" t="str">
        <x:v>—</x:v>
      </x:c>
      <x:c r="T983" s="81" t="str">
        <x:v>—</x:v>
      </x:c>
      <x:c r="U983" s="81" t="str">
        <x:v>특수2</x:v>
      </x:c>
      <x:c r="V983" s="81" t="str">
        <x:v>산악4</x:v>
      </x:c>
    </x:row>
    <x:row r="984">
      <x:c r="A984" s="80" t="n">
        <x:v>980</x:v>
      </x:c>
      <x:c r="B984" s="80" t="str">
        <x:v>토오</x:v>
      </x:c>
      <x:c r="C984" s="80" t="str">
        <x:v>clodsire</x:v>
      </x:c>
      <x:c r="D984" s="80" t="str">
        <x:v>건조지</x:v>
      </x:c>
      <x:c r="E984" s="81" t="str">
        <x:v>—</x:v>
      </x:c>
      <x:c r="F984" s="81" t="str">
        <x:v>—</x:v>
      </x:c>
      <x:c r="G984" s="81" t="str">
        <x:v>—</x:v>
      </x:c>
      <x:c r="H984" s="81" t="str">
        <x:v>—</x:v>
      </x:c>
      <x:c r="I984" s="81" t="str">
        <x:v>—</x:v>
      </x:c>
      <x:c r="J984" s="81" t="str">
        <x:v>—</x:v>
      </x:c>
      <x:c r="K984" s="81" t="str">
        <x:v>—</x:v>
      </x:c>
      <x:c r="L984" s="81" t="str">
        <x:v>—</x:v>
      </x:c>
      <x:c r="M984" s="81" t="str">
        <x:v>—</x:v>
      </x:c>
      <x:c r="N984" s="81" t="str">
        <x:v>—</x:v>
      </x:c>
      <x:c r="O984" s="81" t="str">
        <x:v>—</x:v>
      </x:c>
      <x:c r="P984" s="81" t="str">
        <x:v>—</x:v>
      </x:c>
      <x:c r="Q984" s="81" t="str">
        <x:v>—</x:v>
      </x:c>
      <x:c r="R984" s="81" t="str">
        <x:v>—</x:v>
      </x:c>
      <x:c r="S984" s="81" t="str">
        <x:v>—</x:v>
      </x:c>
      <x:c r="T984" s="81" t="str">
        <x:v>—</x:v>
      </x:c>
      <x:c r="U984" s="81" t="str">
        <x:v>건조지3</x:v>
      </x:c>
      <x:c r="V984" s="81" t="str">
        <x:v>화산3</x:v>
      </x:c>
    </x:row>
    <x:row r="985">
      <x:c r="A985" s="80" t="n">
        <x:v>981</x:v>
      </x:c>
      <x:c r="B985" s="80" t="str">
        <x:v>키키링</x:v>
      </x:c>
      <x:c r="C985" s="80" t="str">
        <x:v>farigiraf</x:v>
      </x:c>
      <x:c r="D985" s="80" t="str">
        <x:v>평원</x:v>
      </x:c>
      <x:c r="E985" s="81" t="str">
        <x:v>—</x:v>
      </x:c>
      <x:c r="F985" s="81" t="str">
        <x:v>—</x:v>
      </x:c>
      <x:c r="G985" s="81" t="str">
        <x:v>—</x:v>
      </x:c>
      <x:c r="H985" s="81" t="str">
        <x:v>—</x:v>
      </x:c>
      <x:c r="I985" s="81" t="str">
        <x:v>—</x:v>
      </x:c>
      <x:c r="J985" s="81" t="str">
        <x:v>—</x:v>
      </x:c>
      <x:c r="K985" s="81" t="str">
        <x:v>—</x:v>
      </x:c>
      <x:c r="L985" s="81" t="str">
        <x:v>—</x:v>
      </x:c>
      <x:c r="M985" s="81" t="str">
        <x:v>—</x:v>
      </x:c>
      <x:c r="N985" s="81" t="str">
        <x:v>—</x:v>
      </x:c>
      <x:c r="O985" s="81" t="str">
        <x:v>—</x:v>
      </x:c>
      <x:c r="P985" s="81" t="str">
        <x:v>—</x:v>
      </x:c>
      <x:c r="Q985" s="81" t="str">
        <x:v>—</x:v>
      </x:c>
      <x:c r="R985" s="81" t="str">
        <x:v>—</x:v>
      </x:c>
      <x:c r="S985" s="81" t="str">
        <x:v>—</x:v>
      </x:c>
      <x:c r="T985" s="81" t="str">
        <x:v>—</x:v>
      </x:c>
      <x:c r="U985" s="81" t="str">
        <x:v>평원7</x:v>
      </x:c>
      <x:c r="V985" s="81" t="str">
        <x:v>숲7</x:v>
      </x:c>
    </x:row>
    <x:row r="986">
      <x:c r="A986" s="80" t="n">
        <x:v>982</x:v>
      </x:c>
      <x:c r="B986" s="80" t="str">
        <x:v>노고고치</x:v>
      </x:c>
      <x:c r="C986" s="80" t="str">
        <x:v>dudunsparce</x:v>
      </x:c>
      <x:c r="D986" s="80" t="str">
        <x:v>평원</x:v>
      </x:c>
      <x:c r="E986" s="81" t="str">
        <x:v>—</x:v>
      </x:c>
      <x:c r="F986" s="81" t="str">
        <x:v>—</x:v>
      </x:c>
      <x:c r="G986" s="81" t="str">
        <x:v>—</x:v>
      </x:c>
      <x:c r="H986" s="81" t="str">
        <x:v>—</x:v>
      </x:c>
      <x:c r="I986" s="81" t="str">
        <x:v>—</x:v>
      </x:c>
      <x:c r="J986" s="81" t="str">
        <x:v>—</x:v>
      </x:c>
      <x:c r="K986" s="81" t="str">
        <x:v>—</x:v>
      </x:c>
      <x:c r="L986" s="81" t="str">
        <x:v>—</x:v>
      </x:c>
      <x:c r="M986" s="81" t="str">
        <x:v>—</x:v>
      </x:c>
      <x:c r="N986" s="81" t="str">
        <x:v>—</x:v>
      </x:c>
      <x:c r="O986" s="81" t="str">
        <x:v>—</x:v>
      </x:c>
      <x:c r="P986" s="81" t="str">
        <x:v>—</x:v>
      </x:c>
      <x:c r="Q986" s="81" t="str">
        <x:v>—</x:v>
      </x:c>
      <x:c r="R986" s="81" t="str">
        <x:v>—</x:v>
      </x:c>
      <x:c r="S986" s="81" t="str">
        <x:v>—</x:v>
      </x:c>
      <x:c r="T986" s="81" t="str">
        <x:v>—</x:v>
      </x:c>
      <x:c r="U986" s="81" t="str">
        <x:v>평원7</x:v>
      </x:c>
      <x:c r="V986" s="81" t="str">
        <x:v>숲7</x:v>
      </x:c>
    </x:row>
    <x:row r="987">
      <x:c r="A987" s="80" t="n">
        <x:v>983</x:v>
      </x:c>
      <x:c r="B987" s="80" t="str">
        <x:v>대도각참</x:v>
      </x:c>
      <x:c r="C987" s="80" t="str">
        <x:v>kingambit</x:v>
      </x:c>
      <x:c r="D987" s="80" t="str">
        <x:v>숲</x:v>
      </x:c>
      <x:c r="E987" s="81" t="str">
        <x:v>—</x:v>
      </x:c>
      <x:c r="F987" s="81" t="str">
        <x:v>—</x:v>
      </x:c>
      <x:c r="G987" s="81" t="str">
        <x:v>—</x:v>
      </x:c>
      <x:c r="H987" s="81" t="str">
        <x:v>—</x:v>
      </x:c>
      <x:c r="I987" s="81" t="str">
        <x:v>—</x:v>
      </x:c>
      <x:c r="J987" s="81" t="str">
        <x:v>—</x:v>
      </x:c>
      <x:c r="K987" s="81" t="str">
        <x:v>—</x:v>
      </x:c>
      <x:c r="L987" s="81" t="str">
        <x:v>—</x:v>
      </x:c>
      <x:c r="M987" s="81" t="str">
        <x:v>—</x:v>
      </x:c>
      <x:c r="N987" s="81" t="str">
        <x:v>—</x:v>
      </x:c>
      <x:c r="O987" s="81" t="str">
        <x:v>—</x:v>
      </x:c>
      <x:c r="P987" s="81" t="str">
        <x:v>—</x:v>
      </x:c>
      <x:c r="Q987" s="81" t="str">
        <x:v>—</x:v>
      </x:c>
      <x:c r="R987" s="81" t="str">
        <x:v>—</x:v>
      </x:c>
      <x:c r="S987" s="81" t="str">
        <x:v>—</x:v>
      </x:c>
      <x:c r="T987" s="81" t="str">
        <x:v>—</x:v>
      </x:c>
      <x:c r="U987" s="81" t="str">
        <x:v>숲7</x:v>
      </x:c>
      <x:c r="V987" s="81" t="str">
        <x:v>습지3</x:v>
      </x:c>
    </x:row>
    <x:row r="988">
      <x:c r="A988" s="80" t="n">
        <x:v>984</x:v>
      </x:c>
      <x:c r="B988" s="80" t="str">
        <x:v>위대한엄니</x:v>
      </x:c>
      <x:c r="C988" s="80" t="str">
        <x:v>greattusk</x:v>
      </x:c>
      <x:c r="D988" s="80" t="str">
        <x:v>건조지</x:v>
      </x:c>
      <x:c r="E988" s="81" t="str">
        <x:v>—</x:v>
      </x:c>
      <x:c r="F988" s="81" t="str">
        <x:v>—</x:v>
      </x:c>
      <x:c r="G988" s="81" t="str">
        <x:v>—</x:v>
      </x:c>
      <x:c r="H988" s="81" t="str">
        <x:v>—</x:v>
      </x:c>
      <x:c r="I988" s="81" t="str">
        <x:v>—</x:v>
      </x:c>
      <x:c r="J988" s="81" t="str">
        <x:v>—</x:v>
      </x:c>
      <x:c r="K988" s="81" t="str">
        <x:v>—</x:v>
      </x:c>
      <x:c r="L988" s="81" t="str">
        <x:v>—</x:v>
      </x:c>
      <x:c r="M988" s="81" t="str">
        <x:v>—</x:v>
      </x:c>
      <x:c r="N988" s="81" t="str">
        <x:v>—</x:v>
      </x:c>
      <x:c r="O988" s="81" t="str">
        <x:v>—</x:v>
      </x:c>
      <x:c r="P988" s="81" t="str">
        <x:v>—</x:v>
      </x:c>
      <x:c r="Q988" s="81" t="str">
        <x:v>—</x:v>
      </x:c>
      <x:c r="R988" s="81" t="str">
        <x:v>—</x:v>
      </x:c>
      <x:c r="S988" s="81" t="str">
        <x:v>—</x:v>
      </x:c>
      <x:c r="T988" s="81" t="str">
        <x:v>—</x:v>
      </x:c>
      <x:c r="U988" s="81" t="str">
        <x:v>건조지3</x:v>
      </x:c>
      <x:c r="V988" s="81" t="str">
        <x:v>산악4</x:v>
      </x:c>
    </x:row>
    <x:row r="989">
      <x:c r="A989" s="80" t="n">
        <x:v>985</x:v>
      </x:c>
      <x:c r="B989" s="80" t="str">
        <x:v>우렁찬꼬리</x:v>
      </x:c>
      <x:c r="C989" s="80" t="str">
        <x:v>screamtail</x:v>
      </x:c>
      <x:c r="D989" s="80" t="str">
        <x:v>평원</x:v>
      </x:c>
      <x:c r="E989" s="81" t="str">
        <x:v>—</x:v>
      </x:c>
      <x:c r="F989" s="81" t="str">
        <x:v>—</x:v>
      </x:c>
      <x:c r="G989" s="81" t="str">
        <x:v>—</x:v>
      </x:c>
      <x:c r="H989" s="81" t="str">
        <x:v>—</x:v>
      </x:c>
      <x:c r="I989" s="81" t="str">
        <x:v>—</x:v>
      </x:c>
      <x:c r="J989" s="81" t="str">
        <x:v>—</x:v>
      </x:c>
      <x:c r="K989" s="81" t="str">
        <x:v>—</x:v>
      </x:c>
      <x:c r="L989" s="81" t="str">
        <x:v>—</x:v>
      </x:c>
      <x:c r="M989" s="81" t="str">
        <x:v>—</x:v>
      </x:c>
      <x:c r="N989" s="81" t="str">
        <x:v>—</x:v>
      </x:c>
      <x:c r="O989" s="81" t="str">
        <x:v>—</x:v>
      </x:c>
      <x:c r="P989" s="81" t="str">
        <x:v>—</x:v>
      </x:c>
      <x:c r="Q989" s="81" t="str">
        <x:v>—</x:v>
      </x:c>
      <x:c r="R989" s="81" t="str">
        <x:v>—</x:v>
      </x:c>
      <x:c r="S989" s="81" t="str">
        <x:v>—</x:v>
      </x:c>
      <x:c r="T989" s="81" t="str">
        <x:v>—</x:v>
      </x:c>
      <x:c r="U989" s="81" t="str">
        <x:v>평원7</x:v>
      </x:c>
      <x:c r="V989" s="81" t="str">
        <x:v>숲7</x:v>
      </x:c>
    </x:row>
    <x:row r="990">
      <x:c r="A990" s="80" t="n">
        <x:v>986</x:v>
      </x:c>
      <x:c r="B990" s="80" t="str">
        <x:v>사나운버섯</x:v>
      </x:c>
      <x:c r="C990" s="80" t="str">
        <x:v>brutebonnet</x:v>
      </x:c>
      <x:c r="D990" s="80" t="str">
        <x:v>숲</x:v>
      </x:c>
      <x:c r="E990" s="81" t="str">
        <x:v>—</x:v>
      </x:c>
      <x:c r="F990" s="81" t="str">
        <x:v>—</x:v>
      </x:c>
      <x:c r="G990" s="81" t="str">
        <x:v>—</x:v>
      </x:c>
      <x:c r="H990" s="81" t="str">
        <x:v>—</x:v>
      </x:c>
      <x:c r="I990" s="81" t="str">
        <x:v>—</x:v>
      </x:c>
      <x:c r="J990" s="81" t="str">
        <x:v>—</x:v>
      </x:c>
      <x:c r="K990" s="81" t="str">
        <x:v>—</x:v>
      </x:c>
      <x:c r="L990" s="81" t="str">
        <x:v>—</x:v>
      </x:c>
      <x:c r="M990" s="81" t="str">
        <x:v>—</x:v>
      </x:c>
      <x:c r="N990" s="81" t="str">
        <x:v>—</x:v>
      </x:c>
      <x:c r="O990" s="81" t="str">
        <x:v>—</x:v>
      </x:c>
      <x:c r="P990" s="81" t="str">
        <x:v>—</x:v>
      </x:c>
      <x:c r="Q990" s="81" t="str">
        <x:v>—</x:v>
      </x:c>
      <x:c r="R990" s="81" t="str">
        <x:v>—</x:v>
      </x:c>
      <x:c r="S990" s="81" t="str">
        <x:v>—</x:v>
      </x:c>
      <x:c r="T990" s="81" t="str">
        <x:v>—</x:v>
      </x:c>
      <x:c r="U990" s="81" t="str">
        <x:v>숲7</x:v>
      </x:c>
      <x:c r="V990" s="81" t="str">
        <x:v>평원7</x:v>
      </x:c>
    </x:row>
    <x:row r="991">
      <x:c r="A991" s="80" t="n">
        <x:v>987</x:v>
      </x:c>
      <x:c r="B991" s="80" t="str">
        <x:v>날개치는머리</x:v>
      </x:c>
      <x:c r="C991" s="80" t="str">
        <x:v>fluttermane</x:v>
      </x:c>
      <x:c r="D991" s="80" t="str">
        <x:v>특수</x:v>
      </x:c>
      <x:c r="E991" s="81" t="str">
        <x:v>—</x:v>
      </x:c>
      <x:c r="F991" s="81" t="str">
        <x:v>—</x:v>
      </x:c>
      <x:c r="G991" s="81" t="str">
        <x:v>—</x:v>
      </x:c>
      <x:c r="H991" s="81" t="str">
        <x:v>—</x:v>
      </x:c>
      <x:c r="I991" s="81" t="str">
        <x:v>—</x:v>
      </x:c>
      <x:c r="J991" s="81" t="str">
        <x:v>—</x:v>
      </x:c>
      <x:c r="K991" s="81" t="str">
        <x:v>—</x:v>
      </x:c>
      <x:c r="L991" s="81" t="str">
        <x:v>—</x:v>
      </x:c>
      <x:c r="M991" s="81" t="str">
        <x:v>—</x:v>
      </x:c>
      <x:c r="N991" s="81" t="str">
        <x:v>—</x:v>
      </x:c>
      <x:c r="O991" s="81" t="str">
        <x:v>—</x:v>
      </x:c>
      <x:c r="P991" s="81" t="str">
        <x:v>—</x:v>
      </x:c>
      <x:c r="Q991" s="81" t="str">
        <x:v>—</x:v>
      </x:c>
      <x:c r="R991" s="81" t="str">
        <x:v>—</x:v>
      </x:c>
      <x:c r="S991" s="81" t="str">
        <x:v>—</x:v>
      </x:c>
      <x:c r="T991" s="81" t="str">
        <x:v>—</x:v>
      </x:c>
      <x:c r="U991" s="81" t="str">
        <x:v>특수2</x:v>
      </x:c>
      <x:c r="V991" s="81" t="str">
        <x:v>숲7</x:v>
      </x:c>
    </x:row>
    <x:row r="992">
      <x:c r="A992" s="80" t="n">
        <x:v>988</x:v>
      </x:c>
      <x:c r="B992" s="80" t="str">
        <x:v>땅을기는날개</x:v>
      </x:c>
      <x:c r="C992" s="80" t="str">
        <x:v>slitherwing</x:v>
      </x:c>
      <x:c r="D992" s="80" t="str">
        <x:v>숲</x:v>
      </x:c>
      <x:c r="E992" s="81" t="str">
        <x:v>—</x:v>
      </x:c>
      <x:c r="F992" s="81" t="str">
        <x:v>—</x:v>
      </x:c>
      <x:c r="G992" s="81" t="str">
        <x:v>—</x:v>
      </x:c>
      <x:c r="H992" s="81" t="str">
        <x:v>—</x:v>
      </x:c>
      <x:c r="I992" s="81" t="str">
        <x:v>—</x:v>
      </x:c>
      <x:c r="J992" s="81" t="str">
        <x:v>—</x:v>
      </x:c>
      <x:c r="K992" s="81" t="str">
        <x:v>—</x:v>
      </x:c>
      <x:c r="L992" s="81" t="str">
        <x:v>—</x:v>
      </x:c>
      <x:c r="M992" s="81" t="str">
        <x:v>—</x:v>
      </x:c>
      <x:c r="N992" s="81" t="str">
        <x:v>—</x:v>
      </x:c>
      <x:c r="O992" s="81" t="str">
        <x:v>—</x:v>
      </x:c>
      <x:c r="P992" s="81" t="str">
        <x:v>—</x:v>
      </x:c>
      <x:c r="Q992" s="81" t="str">
        <x:v>—</x:v>
      </x:c>
      <x:c r="R992" s="81" t="str">
        <x:v>—</x:v>
      </x:c>
      <x:c r="S992" s="81" t="str">
        <x:v>—</x:v>
      </x:c>
      <x:c r="T992" s="81" t="str">
        <x:v>—</x:v>
      </x:c>
      <x:c r="U992" s="81" t="str">
        <x:v>숲7</x:v>
      </x:c>
      <x:c r="V992" s="81" t="str">
        <x:v>습지3</x:v>
      </x:c>
    </x:row>
    <x:row r="993">
      <x:c r="A993" s="80" t="n">
        <x:v>989</x:v>
      </x:c>
      <x:c r="B993" s="80" t="str">
        <x:v>모래털가죽</x:v>
      </x:c>
      <x:c r="C993" s="80" t="str">
        <x:v>sandyshocks</x:v>
      </x:c>
      <x:c r="D993" s="80" t="str">
        <x:v>건조지</x:v>
      </x:c>
      <x:c r="E993" s="81" t="str">
        <x:v>—</x:v>
      </x:c>
      <x:c r="F993" s="81" t="str">
        <x:v>—</x:v>
      </x:c>
      <x:c r="G993" s="81" t="str">
        <x:v>—</x:v>
      </x:c>
      <x:c r="H993" s="81" t="str">
        <x:v>—</x:v>
      </x:c>
      <x:c r="I993" s="81" t="str">
        <x:v>—</x:v>
      </x:c>
      <x:c r="J993" s="81" t="str">
        <x:v>—</x:v>
      </x:c>
      <x:c r="K993" s="81" t="str">
        <x:v>—</x:v>
      </x:c>
      <x:c r="L993" s="81" t="str">
        <x:v>—</x:v>
      </x:c>
      <x:c r="M993" s="81" t="str">
        <x:v>—</x:v>
      </x:c>
      <x:c r="N993" s="81" t="str">
        <x:v>—</x:v>
      </x:c>
      <x:c r="O993" s="81" t="str">
        <x:v>—</x:v>
      </x:c>
      <x:c r="P993" s="81" t="str">
        <x:v>—</x:v>
      </x:c>
      <x:c r="Q993" s="81" t="str">
        <x:v>—</x:v>
      </x:c>
      <x:c r="R993" s="81" t="str">
        <x:v>—</x:v>
      </x:c>
      <x:c r="S993" s="81" t="str">
        <x:v>—</x:v>
      </x:c>
      <x:c r="T993" s="81" t="str">
        <x:v>—</x:v>
      </x:c>
      <x:c r="U993" s="81" t="str">
        <x:v>건조지3</x:v>
      </x:c>
      <x:c r="V993" s="81" t="str">
        <x:v>화산3</x:v>
      </x:c>
    </x:row>
    <x:row r="994">
      <x:c r="A994" s="80" t="n">
        <x:v>990</x:v>
      </x:c>
      <x:c r="B994" s="80" t="str">
        <x:v>무쇠바퀴</x:v>
      </x:c>
      <x:c r="C994" s="80" t="str">
        <x:v>irontreads</x:v>
      </x:c>
      <x:c r="D994" s="80" t="str">
        <x:v>산악</x:v>
      </x:c>
      <x:c r="E994" s="81" t="str">
        <x:v>—</x:v>
      </x:c>
      <x:c r="F994" s="81" t="str">
        <x:v>—</x:v>
      </x:c>
      <x:c r="G994" s="81" t="str">
        <x:v>—</x:v>
      </x:c>
      <x:c r="H994" s="81" t="str">
        <x:v>—</x:v>
      </x:c>
      <x:c r="I994" s="81" t="str">
        <x:v>—</x:v>
      </x:c>
      <x:c r="J994" s="81" t="str">
        <x:v>—</x:v>
      </x:c>
      <x:c r="K994" s="81" t="str">
        <x:v>—</x:v>
      </x:c>
      <x:c r="L994" s="81" t="str">
        <x:v>—</x:v>
      </x:c>
      <x:c r="M994" s="81" t="str">
        <x:v>—</x:v>
      </x:c>
      <x:c r="N994" s="81" t="str">
        <x:v>—</x:v>
      </x:c>
      <x:c r="O994" s="81" t="str">
        <x:v>—</x:v>
      </x:c>
      <x:c r="P994" s="81" t="str">
        <x:v>—</x:v>
      </x:c>
      <x:c r="Q994" s="81" t="str">
        <x:v>—</x:v>
      </x:c>
      <x:c r="R994" s="81" t="str">
        <x:v>—</x:v>
      </x:c>
      <x:c r="S994" s="81" t="str">
        <x:v>—</x:v>
      </x:c>
      <x:c r="T994" s="81" t="str">
        <x:v>—</x:v>
      </x:c>
      <x:c r="U994" s="81" t="str">
        <x:v>산악4</x:v>
      </x:c>
      <x:c r="V994" s="81" t="str">
        <x:v>평원7</x:v>
      </x:c>
    </x:row>
    <x:row r="995">
      <x:c r="A995" s="80" t="n">
        <x:v>991</x:v>
      </x:c>
      <x:c r="B995" s="80" t="str">
        <x:v>무쇠보따리</x:v>
      </x:c>
      <x:c r="C995" s="80" t="str">
        <x:v>ironbundle</x:v>
      </x:c>
      <x:c r="D995" s="80" t="str">
        <x:v>설원</x:v>
      </x:c>
      <x:c r="E995" s="81" t="str">
        <x:v>—</x:v>
      </x:c>
      <x:c r="F995" s="81" t="str">
        <x:v>—</x:v>
      </x:c>
      <x:c r="G995" s="81" t="str">
        <x:v>—</x:v>
      </x:c>
      <x:c r="H995" s="81" t="str">
        <x:v>—</x:v>
      </x:c>
      <x:c r="I995" s="81" t="str">
        <x:v>—</x:v>
      </x:c>
      <x:c r="J995" s="81" t="str">
        <x:v>—</x:v>
      </x:c>
      <x:c r="K995" s="81" t="str">
        <x:v>—</x:v>
      </x:c>
      <x:c r="L995" s="81" t="str">
        <x:v>—</x:v>
      </x:c>
      <x:c r="M995" s="81" t="str">
        <x:v>—</x:v>
      </x:c>
      <x:c r="N995" s="81" t="str">
        <x:v>—</x:v>
      </x:c>
      <x:c r="O995" s="81" t="str">
        <x:v>—</x:v>
      </x:c>
      <x:c r="P995" s="81" t="str">
        <x:v>—</x:v>
      </x:c>
      <x:c r="Q995" s="81" t="str">
        <x:v>—</x:v>
      </x:c>
      <x:c r="R995" s="81" t="str">
        <x:v>—</x:v>
      </x:c>
      <x:c r="S995" s="81" t="str">
        <x:v>—</x:v>
      </x:c>
      <x:c r="T995" s="81" t="str">
        <x:v>—</x:v>
      </x:c>
      <x:c r="U995" s="81" t="str">
        <x:v>설원1</x:v>
      </x:c>
      <x:c r="V995" s="81" t="str">
        <x:v>습지3</x:v>
      </x:c>
    </x:row>
    <x:row r="996">
      <x:c r="A996" s="80" t="n">
        <x:v>992</x:v>
      </x:c>
      <x:c r="B996" s="80" t="str">
        <x:v>무쇠손</x:v>
      </x:c>
      <x:c r="C996" s="80" t="str">
        <x:v>ironhands</x:v>
      </x:c>
      <x:c r="D996" s="80" t="str">
        <x:v>건조지</x:v>
      </x:c>
      <x:c r="E996" s="81" t="str">
        <x:v>—</x:v>
      </x:c>
      <x:c r="F996" s="81" t="str">
        <x:v>—</x:v>
      </x:c>
      <x:c r="G996" s="81" t="str">
        <x:v>—</x:v>
      </x:c>
      <x:c r="H996" s="81" t="str">
        <x:v>—</x:v>
      </x:c>
      <x:c r="I996" s="81" t="str">
        <x:v>—</x:v>
      </x:c>
      <x:c r="J996" s="81" t="str">
        <x:v>—</x:v>
      </x:c>
      <x:c r="K996" s="81" t="str">
        <x:v>—</x:v>
      </x:c>
      <x:c r="L996" s="81" t="str">
        <x:v>—</x:v>
      </x:c>
      <x:c r="M996" s="81" t="str">
        <x:v>—</x:v>
      </x:c>
      <x:c r="N996" s="81" t="str">
        <x:v>—</x:v>
      </x:c>
      <x:c r="O996" s="81" t="str">
        <x:v>—</x:v>
      </x:c>
      <x:c r="P996" s="81" t="str">
        <x:v>—</x:v>
      </x:c>
      <x:c r="Q996" s="81" t="str">
        <x:v>—</x:v>
      </x:c>
      <x:c r="R996" s="81" t="str">
        <x:v>—</x:v>
      </x:c>
      <x:c r="S996" s="81" t="str">
        <x:v>—</x:v>
      </x:c>
      <x:c r="T996" s="81" t="str">
        <x:v>—</x:v>
      </x:c>
      <x:c r="U996" s="81" t="str">
        <x:v>건조지3</x:v>
      </x:c>
      <x:c r="V996" s="81" t="str">
        <x:v>화산3</x:v>
      </x:c>
    </x:row>
    <x:row r="997">
      <x:c r="A997" s="80" t="n">
        <x:v>993</x:v>
      </x:c>
      <x:c r="B997" s="80" t="str">
        <x:v>무쇠머리</x:v>
      </x:c>
      <x:c r="C997" s="80" t="str">
        <x:v>ironjugulis</x:v>
      </x:c>
      <x:c r="D997" s="80" t="str">
        <x:v>산악</x:v>
      </x:c>
      <x:c r="E997" s="81" t="str">
        <x:v>—</x:v>
      </x:c>
      <x:c r="F997" s="81" t="str">
        <x:v>—</x:v>
      </x:c>
      <x:c r="G997" s="81" t="str">
        <x:v>—</x:v>
      </x:c>
      <x:c r="H997" s="81" t="str">
        <x:v>—</x:v>
      </x:c>
      <x:c r="I997" s="81" t="str">
        <x:v>—</x:v>
      </x:c>
      <x:c r="J997" s="81" t="str">
        <x:v>—</x:v>
      </x:c>
      <x:c r="K997" s="81" t="str">
        <x:v>—</x:v>
      </x:c>
      <x:c r="L997" s="81" t="str">
        <x:v>—</x:v>
      </x:c>
      <x:c r="M997" s="81" t="str">
        <x:v>—</x:v>
      </x:c>
      <x:c r="N997" s="81" t="str">
        <x:v>—</x:v>
      </x:c>
      <x:c r="O997" s="81" t="str">
        <x:v>—</x:v>
      </x:c>
      <x:c r="P997" s="81" t="str">
        <x:v>—</x:v>
      </x:c>
      <x:c r="Q997" s="81" t="str">
        <x:v>—</x:v>
      </x:c>
      <x:c r="R997" s="81" t="str">
        <x:v>—</x:v>
      </x:c>
      <x:c r="S997" s="81" t="str">
        <x:v>—</x:v>
      </x:c>
      <x:c r="T997" s="81" t="str">
        <x:v>—</x:v>
      </x:c>
      <x:c r="U997" s="81" t="str">
        <x:v>산악4</x:v>
      </x:c>
      <x:c r="V997" s="81" t="str">
        <x:v>숲7</x:v>
      </x:c>
    </x:row>
    <x:row r="998">
      <x:c r="A998" s="80" t="n">
        <x:v>994</x:v>
      </x:c>
      <x:c r="B998" s="80" t="str">
        <x:v>무쇠독나방</x:v>
      </x:c>
      <x:c r="C998" s="80" t="str">
        <x:v>ironmoth</x:v>
      </x:c>
      <x:c r="D998" s="80" t="str">
        <x:v>산악</x:v>
      </x:c>
      <x:c r="E998" s="81" t="str">
        <x:v>—</x:v>
      </x:c>
      <x:c r="F998" s="81" t="str">
        <x:v>—</x:v>
      </x:c>
      <x:c r="G998" s="81" t="str">
        <x:v>—</x:v>
      </x:c>
      <x:c r="H998" s="81" t="str">
        <x:v>—</x:v>
      </x:c>
      <x:c r="I998" s="81" t="str">
        <x:v>—</x:v>
      </x:c>
      <x:c r="J998" s="81" t="str">
        <x:v>—</x:v>
      </x:c>
      <x:c r="K998" s="81" t="str">
        <x:v>—</x:v>
      </x:c>
      <x:c r="L998" s="81" t="str">
        <x:v>—</x:v>
      </x:c>
      <x:c r="M998" s="81" t="str">
        <x:v>—</x:v>
      </x:c>
      <x:c r="N998" s="81" t="str">
        <x:v>—</x:v>
      </x:c>
      <x:c r="O998" s="81" t="str">
        <x:v>—</x:v>
      </x:c>
      <x:c r="P998" s="81" t="str">
        <x:v>—</x:v>
      </x:c>
      <x:c r="Q998" s="81" t="str">
        <x:v>—</x:v>
      </x:c>
      <x:c r="R998" s="81" t="str">
        <x:v>—</x:v>
      </x:c>
      <x:c r="S998" s="81" t="str">
        <x:v>—</x:v>
      </x:c>
      <x:c r="T998" s="81" t="str">
        <x:v>—</x:v>
      </x:c>
      <x:c r="U998" s="81" t="str">
        <x:v>산악4</x:v>
      </x:c>
      <x:c r="V998" s="81" t="str">
        <x:v>화산3</x:v>
      </x:c>
    </x:row>
    <x:row r="999">
      <x:c r="A999" s="80" t="n">
        <x:v>995</x:v>
      </x:c>
      <x:c r="B999" s="80" t="str">
        <x:v>무쇠가시</x:v>
      </x:c>
      <x:c r="C999" s="80" t="str">
        <x:v>ironthorns</x:v>
      </x:c>
      <x:c r="D999" s="80" t="str">
        <x:v>산악</x:v>
      </x:c>
      <x:c r="E999" s="81" t="str">
        <x:v>—</x:v>
      </x:c>
      <x:c r="F999" s="81" t="str">
        <x:v>—</x:v>
      </x:c>
      <x:c r="G999" s="81" t="str">
        <x:v>—</x:v>
      </x:c>
      <x:c r="H999" s="81" t="str">
        <x:v>—</x:v>
      </x:c>
      <x:c r="I999" s="81" t="str">
        <x:v>—</x:v>
      </x:c>
      <x:c r="J999" s="81" t="str">
        <x:v>—</x:v>
      </x:c>
      <x:c r="K999" s="81" t="str">
        <x:v>—</x:v>
      </x:c>
      <x:c r="L999" s="81" t="str">
        <x:v>—</x:v>
      </x:c>
      <x:c r="M999" s="81" t="str">
        <x:v>—</x:v>
      </x:c>
      <x:c r="N999" s="81" t="str">
        <x:v>—</x:v>
      </x:c>
      <x:c r="O999" s="81" t="str">
        <x:v>—</x:v>
      </x:c>
      <x:c r="P999" s="81" t="str">
        <x:v>—</x:v>
      </x:c>
      <x:c r="Q999" s="81" t="str">
        <x:v>—</x:v>
      </x:c>
      <x:c r="R999" s="81" t="str">
        <x:v>—</x:v>
      </x:c>
      <x:c r="S999" s="81" t="str">
        <x:v>—</x:v>
      </x:c>
      <x:c r="T999" s="81" t="str">
        <x:v>—</x:v>
      </x:c>
      <x:c r="U999" s="81" t="str">
        <x:v>산악4</x:v>
      </x:c>
      <x:c r="V999" s="81" t="str">
        <x:v>평원7</x:v>
      </x:c>
    </x:row>
    <x:row r="1000">
      <x:c r="A1000" s="80" t="n">
        <x:v>996</x:v>
      </x:c>
      <x:c r="B1000" s="80" t="str">
        <x:v>드니차</x:v>
      </x:c>
      <x:c r="C1000" s="80" t="str">
        <x:v>frigibax</x:v>
      </x:c>
      <x:c r="D1000" s="80" t="str">
        <x:v>설원</x:v>
      </x:c>
      <x:c r="E1000" s="81" t="str">
        <x:v>—</x:v>
      </x:c>
      <x:c r="F1000" s="81" t="str">
        <x:v>—</x:v>
      </x:c>
      <x:c r="G1000" s="81" t="str">
        <x:v>—</x:v>
      </x:c>
      <x:c r="H1000" s="81" t="str">
        <x:v>—</x:v>
      </x:c>
      <x:c r="I1000" s="81" t="str">
        <x:v>—</x:v>
      </x:c>
      <x:c r="J1000" s="81" t="str">
        <x:v>—</x:v>
      </x:c>
      <x:c r="K1000" s="81" t="str">
        <x:v>—</x:v>
      </x:c>
      <x:c r="L1000" s="81" t="str">
        <x:v>—</x:v>
      </x:c>
      <x:c r="M1000" s="81" t="str">
        <x:v>—</x:v>
      </x:c>
      <x:c r="N1000" s="81" t="str">
        <x:v>—</x:v>
      </x:c>
      <x:c r="O1000" s="81" t="str">
        <x:v>—</x:v>
      </x:c>
      <x:c r="P1000" s="81" t="str">
        <x:v>—</x:v>
      </x:c>
      <x:c r="Q1000" s="81" t="str">
        <x:v>—</x:v>
      </x:c>
      <x:c r="R1000" s="81" t="str">
        <x:v>—</x:v>
      </x:c>
      <x:c r="S1000" s="81" t="str">
        <x:v>—</x:v>
      </x:c>
      <x:c r="T1000" s="81" t="str">
        <x:v>—</x:v>
      </x:c>
      <x:c r="U1000" s="81" t="str">
        <x:v>설원1</x:v>
      </x:c>
      <x:c r="V1000" s="81" t="str">
        <x:v>산악4</x:v>
      </x:c>
    </x:row>
    <x:row r="1001">
      <x:c r="A1001" s="80" t="n">
        <x:v>997</x:v>
      </x:c>
      <x:c r="B1001" s="80" t="str">
        <x:v>드니꽁</x:v>
      </x:c>
      <x:c r="C1001" s="80" t="str">
        <x:v>arctibax</x:v>
      </x:c>
      <x:c r="D1001" s="80" t="str">
        <x:v>설원</x:v>
      </x:c>
      <x:c r="E1001" s="81" t="str">
        <x:v>—</x:v>
      </x:c>
      <x:c r="F1001" s="81" t="str">
        <x:v>—</x:v>
      </x:c>
      <x:c r="G1001" s="81" t="str">
        <x:v>—</x:v>
      </x:c>
      <x:c r="H1001" s="81" t="str">
        <x:v>—</x:v>
      </x:c>
      <x:c r="I1001" s="81" t="str">
        <x:v>—</x:v>
      </x:c>
      <x:c r="J1001" s="81" t="str">
        <x:v>—</x:v>
      </x:c>
      <x:c r="K1001" s="81" t="str">
        <x:v>—</x:v>
      </x:c>
      <x:c r="L1001" s="81" t="str">
        <x:v>—</x:v>
      </x:c>
      <x:c r="M1001" s="81" t="str">
        <x:v>—</x:v>
      </x:c>
      <x:c r="N1001" s="81" t="str">
        <x:v>—</x:v>
      </x:c>
      <x:c r="O1001" s="81" t="str">
        <x:v>—</x:v>
      </x:c>
      <x:c r="P1001" s="81" t="str">
        <x:v>—</x:v>
      </x:c>
      <x:c r="Q1001" s="81" t="str">
        <x:v>—</x:v>
      </x:c>
      <x:c r="R1001" s="81" t="str">
        <x:v>—</x:v>
      </x:c>
      <x:c r="S1001" s="81" t="str">
        <x:v>—</x:v>
      </x:c>
      <x:c r="T1001" s="81" t="str">
        <x:v>—</x:v>
      </x:c>
      <x:c r="U1001" s="81" t="str">
        <x:v>설원1</x:v>
      </x:c>
      <x:c r="V1001" s="81" t="str">
        <x:v>산악4</x:v>
      </x:c>
    </x:row>
    <x:row r="1002">
      <x:c r="A1002" s="80" t="n">
        <x:v>998</x:v>
      </x:c>
      <x:c r="B1002" s="80" t="str">
        <x:v>드닐레이브</x:v>
      </x:c>
      <x:c r="C1002" s="80" t="str">
        <x:v>baxcalibur</x:v>
      </x:c>
      <x:c r="D1002" s="80" t="str">
        <x:v>설원</x:v>
      </x:c>
      <x:c r="E1002" s="81" t="str">
        <x:v>—</x:v>
      </x:c>
      <x:c r="F1002" s="81" t="str">
        <x:v>—</x:v>
      </x:c>
      <x:c r="G1002" s="81" t="str">
        <x:v>—</x:v>
      </x:c>
      <x:c r="H1002" s="81" t="str">
        <x:v>—</x:v>
      </x:c>
      <x:c r="I1002" s="81" t="str">
        <x:v>—</x:v>
      </x:c>
      <x:c r="J1002" s="81" t="str">
        <x:v>—</x:v>
      </x:c>
      <x:c r="K1002" s="81" t="str">
        <x:v>—</x:v>
      </x:c>
      <x:c r="L1002" s="81" t="str">
        <x:v>—</x:v>
      </x:c>
      <x:c r="M1002" s="81" t="str">
        <x:v>—</x:v>
      </x:c>
      <x:c r="N1002" s="81" t="str">
        <x:v>—</x:v>
      </x:c>
      <x:c r="O1002" s="81" t="str">
        <x:v>—</x:v>
      </x:c>
      <x:c r="P1002" s="81" t="str">
        <x:v>—</x:v>
      </x:c>
      <x:c r="Q1002" s="81" t="str">
        <x:v>—</x:v>
      </x:c>
      <x:c r="R1002" s="81" t="str">
        <x:v>—</x:v>
      </x:c>
      <x:c r="S1002" s="81" t="str">
        <x:v>—</x:v>
      </x:c>
      <x:c r="T1002" s="81" t="str">
        <x:v>—</x:v>
      </x:c>
      <x:c r="U1002" s="81" t="str">
        <x:v>설원1</x:v>
      </x:c>
      <x:c r="V1002" s="81" t="str">
        <x:v>산악4</x:v>
      </x:c>
    </x:row>
    <x:row r="1003">
      <x:c r="A1003" s="80" t="n">
        <x:v>999</x:v>
      </x:c>
      <x:c r="B1003" s="80" t="str">
        <x:v>모으령</x:v>
      </x:c>
      <x:c r="C1003" s="80" t="str">
        <x:v>gimmighoul</x:v>
      </x:c>
      <x:c r="D1003" s="80" t="str">
        <x:v>특수</x:v>
      </x:c>
      <x:c r="E1003" s="81" t="str">
        <x:v>—</x:v>
      </x:c>
      <x:c r="F1003" s="81" t="str">
        <x:v>—</x:v>
      </x:c>
      <x:c r="G1003" s="81" t="str">
        <x:v>—</x:v>
      </x:c>
      <x:c r="H1003" s="81" t="str">
        <x:v>—</x:v>
      </x:c>
      <x:c r="I1003" s="81" t="str">
        <x:v>—</x:v>
      </x:c>
      <x:c r="J1003" s="81" t="str">
        <x:v>—</x:v>
      </x:c>
      <x:c r="K1003" s="81" t="str">
        <x:v>—</x:v>
      </x:c>
      <x:c r="L1003" s="81" t="str">
        <x:v>—</x:v>
      </x:c>
      <x:c r="M1003" s="81" t="str">
        <x:v>—</x:v>
      </x:c>
      <x:c r="N1003" s="81" t="str">
        <x:v>—</x:v>
      </x:c>
      <x:c r="O1003" s="81" t="str">
        <x:v>—</x:v>
      </x:c>
      <x:c r="P1003" s="81" t="str">
        <x:v>—</x:v>
      </x:c>
      <x:c r="Q1003" s="81" t="str">
        <x:v>—</x:v>
      </x:c>
      <x:c r="R1003" s="81" t="str">
        <x:v>—</x:v>
      </x:c>
      <x:c r="S1003" s="81" t="str">
        <x:v>—</x:v>
      </x:c>
      <x:c r="T1003" s="81" t="str">
        <x:v>—</x:v>
      </x:c>
      <x:c r="U1003" s="81" t="str">
        <x:v>특수2</x:v>
      </x:c>
      <x:c r="V1003" s="81" t="str">
        <x:v>동굴1</x:v>
      </x:c>
    </x:row>
    <x:row r="1004">
      <x:c r="A1004" s="80" t="n">
        <x:v>1000</x:v>
      </x:c>
      <x:c r="B1004" s="80" t="str">
        <x:v>타부자고</x:v>
      </x:c>
      <x:c r="C1004" s="80" t="str">
        <x:v>gholdengo</x:v>
      </x:c>
      <x:c r="D1004" s="80" t="str">
        <x:v>도시</x:v>
      </x:c>
      <x:c r="E1004" s="81" t="str">
        <x:v>—</x:v>
      </x:c>
      <x:c r="F1004" s="81" t="str">
        <x:v>—</x:v>
      </x:c>
      <x:c r="G1004" s="81" t="str">
        <x:v>—</x:v>
      </x:c>
      <x:c r="H1004" s="81" t="str">
        <x:v>—</x:v>
      </x:c>
      <x:c r="I1004" s="81" t="str">
        <x:v>—</x:v>
      </x:c>
      <x:c r="J1004" s="81" t="str">
        <x:v>—</x:v>
      </x:c>
      <x:c r="K1004" s="81" t="str">
        <x:v>—</x:v>
      </x:c>
      <x:c r="L1004" s="81" t="str">
        <x:v>—</x:v>
      </x:c>
      <x:c r="M1004" s="81" t="str">
        <x:v>—</x:v>
      </x:c>
      <x:c r="N1004" s="81" t="str">
        <x:v>—</x:v>
      </x:c>
      <x:c r="O1004" s="81" t="str">
        <x:v>—</x:v>
      </x:c>
      <x:c r="P1004" s="81" t="str">
        <x:v>—</x:v>
      </x:c>
      <x:c r="Q1004" s="81" t="str">
        <x:v>—</x:v>
      </x:c>
      <x:c r="R1004" s="81" t="str">
        <x:v>—</x:v>
      </x:c>
      <x:c r="S1004" s="81" t="str">
        <x:v>—</x:v>
      </x:c>
      <x:c r="T1004" s="81" t="str">
        <x:v>—</x:v>
      </x:c>
      <x:c r="U1004" s="81" t="str">
        <x:v>도시1</x:v>
      </x:c>
      <x:c r="V1004" s="81" t="str">
        <x:v>특수2</x:v>
      </x:c>
    </x:row>
    <x:row r="1005">
      <x:c r="A1005" s="80" t="n">
        <x:v>1001</x:v>
      </x:c>
      <x:c r="B1005" s="80" t="str">
        <x:v>총지엔</x:v>
      </x:c>
      <x:c r="C1005" s="80" t="str">
        <x:v>wochien</x:v>
      </x:c>
      <x:c r="D1005" s="80" t="str">
        <x:v>숲</x:v>
      </x:c>
      <x:c r="E1005" s="81" t="str">
        <x:v>—</x:v>
      </x:c>
      <x:c r="F1005" s="81" t="str">
        <x:v>—</x:v>
      </x:c>
      <x:c r="G1005" s="81" t="str">
        <x:v>—</x:v>
      </x:c>
      <x:c r="H1005" s="81" t="str">
        <x:v>—</x:v>
      </x:c>
      <x:c r="I1005" s="81" t="str">
        <x:v>—</x:v>
      </x:c>
      <x:c r="J1005" s="81" t="str">
        <x:v>—</x:v>
      </x:c>
      <x:c r="K1005" s="81" t="str">
        <x:v>—</x:v>
      </x:c>
      <x:c r="L1005" s="81" t="str">
        <x:v>—</x:v>
      </x:c>
      <x:c r="M1005" s="81" t="str">
        <x:v>—</x:v>
      </x:c>
      <x:c r="N1005" s="81" t="str">
        <x:v>—</x:v>
      </x:c>
      <x:c r="O1005" s="81" t="str">
        <x:v>—</x:v>
      </x:c>
      <x:c r="P1005" s="81" t="str">
        <x:v>—</x:v>
      </x:c>
      <x:c r="Q1005" s="81" t="str">
        <x:v>—</x:v>
      </x:c>
      <x:c r="R1005" s="81" t="str">
        <x:v>—</x:v>
      </x:c>
      <x:c r="S1005" s="81" t="str">
        <x:v>—</x:v>
      </x:c>
      <x:c r="T1005" s="81" t="str">
        <x:v>—</x:v>
      </x:c>
      <x:c r="U1005" s="81" t="str">
        <x:v>—</x:v>
      </x:c>
      <x:c r="V1005" s="81" t="str">
        <x:v>—</x:v>
      </x:c>
    </x:row>
    <x:row r="1006">
      <x:c r="A1006" s="80" t="n">
        <x:v>1002</x:v>
      </x:c>
      <x:c r="B1006" s="80" t="str">
        <x:v>파오젠</x:v>
      </x:c>
      <x:c r="C1006" s="80" t="str">
        <x:v>chienpao</x:v>
      </x:c>
      <x:c r="D1006" s="80" t="str">
        <x:v>설원</x:v>
      </x:c>
      <x:c r="E1006" s="81" t="str">
        <x:v>—</x:v>
      </x:c>
      <x:c r="F1006" s="81" t="str">
        <x:v>—</x:v>
      </x:c>
      <x:c r="G1006" s="81" t="str">
        <x:v>—</x:v>
      </x:c>
      <x:c r="H1006" s="81" t="str">
        <x:v>—</x:v>
      </x:c>
      <x:c r="I1006" s="81" t="str">
        <x:v>—</x:v>
      </x:c>
      <x:c r="J1006" s="81" t="str">
        <x:v>—</x:v>
      </x:c>
      <x:c r="K1006" s="81" t="str">
        <x:v>—</x:v>
      </x:c>
      <x:c r="L1006" s="81" t="str">
        <x:v>—</x:v>
      </x:c>
      <x:c r="M1006" s="81" t="str">
        <x:v>—</x:v>
      </x:c>
      <x:c r="N1006" s="81" t="str">
        <x:v>—</x:v>
      </x:c>
      <x:c r="O1006" s="81" t="str">
        <x:v>—</x:v>
      </x:c>
      <x:c r="P1006" s="81" t="str">
        <x:v>—</x:v>
      </x:c>
      <x:c r="Q1006" s="81" t="str">
        <x:v>—</x:v>
      </x:c>
      <x:c r="R1006" s="81" t="str">
        <x:v>—</x:v>
      </x:c>
      <x:c r="S1006" s="81" t="str">
        <x:v>—</x:v>
      </x:c>
      <x:c r="T1006" s="81" t="str">
        <x:v>—</x:v>
      </x:c>
      <x:c r="U1006" s="81" t="str">
        <x:v>—</x:v>
      </x:c>
      <x:c r="V1006" s="81" t="str">
        <x:v>—</x:v>
      </x:c>
    </x:row>
    <x:row r="1007">
      <x:c r="A1007" s="80" t="n">
        <x:v>1003</x:v>
      </x:c>
      <x:c r="B1007" s="80" t="str">
        <x:v>딩루</x:v>
      </x:c>
      <x:c r="C1007" s="80" t="str">
        <x:v>tinglu</x:v>
      </x:c>
      <x:c r="D1007" s="80" t="str">
        <x:v>특수</x:v>
      </x:c>
      <x:c r="E1007" s="81" t="str">
        <x:v>—</x:v>
      </x:c>
      <x:c r="F1007" s="81" t="str">
        <x:v>—</x:v>
      </x:c>
      <x:c r="G1007" s="81" t="str">
        <x:v>—</x:v>
      </x:c>
      <x:c r="H1007" s="81" t="str">
        <x:v>—</x:v>
      </x:c>
      <x:c r="I1007" s="81" t="str">
        <x:v>—</x:v>
      </x:c>
      <x:c r="J1007" s="81" t="str">
        <x:v>—</x:v>
      </x:c>
      <x:c r="K1007" s="81" t="str">
        <x:v>—</x:v>
      </x:c>
      <x:c r="L1007" s="81" t="str">
        <x:v>—</x:v>
      </x:c>
      <x:c r="M1007" s="81" t="str">
        <x:v>—</x:v>
      </x:c>
      <x:c r="N1007" s="81" t="str">
        <x:v>—</x:v>
      </x:c>
      <x:c r="O1007" s="81" t="str">
        <x:v>—</x:v>
      </x:c>
      <x:c r="P1007" s="81" t="str">
        <x:v>—</x:v>
      </x:c>
      <x:c r="Q1007" s="81" t="str">
        <x:v>—</x:v>
      </x:c>
      <x:c r="R1007" s="81" t="str">
        <x:v>—</x:v>
      </x:c>
      <x:c r="S1007" s="81" t="str">
        <x:v>—</x:v>
      </x:c>
      <x:c r="T1007" s="81" t="str">
        <x:v>—</x:v>
      </x:c>
      <x:c r="U1007" s="81" t="str">
        <x:v>—</x:v>
      </x:c>
      <x:c r="V1007" s="81" t="str">
        <x:v>—</x:v>
      </x:c>
    </x:row>
    <x:row r="1008">
      <x:c r="A1008" s="80" t="n">
        <x:v>1004</x:v>
      </x:c>
      <x:c r="B1008" s="80" t="str">
        <x:v>위유이</x:v>
      </x:c>
      <x:c r="C1008" s="80" t="str">
        <x:v>chiyu</x:v>
      </x:c>
      <x:c r="D1008" s="80" t="str">
        <x:v>특수</x:v>
      </x:c>
      <x:c r="E1008" s="81" t="str">
        <x:v>—</x:v>
      </x:c>
      <x:c r="F1008" s="81" t="str">
        <x:v>—</x:v>
      </x:c>
      <x:c r="G1008" s="81" t="str">
        <x:v>—</x:v>
      </x:c>
      <x:c r="H1008" s="81" t="str">
        <x:v>—</x:v>
      </x:c>
      <x:c r="I1008" s="81" t="str">
        <x:v>—</x:v>
      </x:c>
      <x:c r="J1008" s="81" t="str">
        <x:v>—</x:v>
      </x:c>
      <x:c r="K1008" s="81" t="str">
        <x:v>—</x:v>
      </x:c>
      <x:c r="L1008" s="81" t="str">
        <x:v>—</x:v>
      </x:c>
      <x:c r="M1008" s="81" t="str">
        <x:v>—</x:v>
      </x:c>
      <x:c r="N1008" s="81" t="str">
        <x:v>—</x:v>
      </x:c>
      <x:c r="O1008" s="81" t="str">
        <x:v>—</x:v>
      </x:c>
      <x:c r="P1008" s="81" t="str">
        <x:v>—</x:v>
      </x:c>
      <x:c r="Q1008" s="81" t="str">
        <x:v>—</x:v>
      </x:c>
      <x:c r="R1008" s="81" t="str">
        <x:v>—</x:v>
      </x:c>
      <x:c r="S1008" s="81" t="str">
        <x:v>—</x:v>
      </x:c>
      <x:c r="T1008" s="81" t="str">
        <x:v>—</x:v>
      </x:c>
      <x:c r="U1008" s="81" t="str">
        <x:v>—</x:v>
      </x:c>
      <x:c r="V1008" s="81" t="str">
        <x:v>—</x:v>
      </x:c>
    </x:row>
    <x:row r="1009">
      <x:c r="A1009" s="80" t="n">
        <x:v>1005</x:v>
      </x:c>
      <x:c r="B1009" s="80" t="str">
        <x:v>고동치는달</x:v>
      </x:c>
      <x:c r="C1009" s="80" t="str">
        <x:v>roaringmoon</x:v>
      </x:c>
      <x:c r="D1009" s="80" t="str">
        <x:v>산악</x:v>
      </x:c>
      <x:c r="E1009" s="81" t="str">
        <x:v>—</x:v>
      </x:c>
      <x:c r="F1009" s="81" t="str">
        <x:v>—</x:v>
      </x:c>
      <x:c r="G1009" s="81" t="str">
        <x:v>—</x:v>
      </x:c>
      <x:c r="H1009" s="81" t="str">
        <x:v>—</x:v>
      </x:c>
      <x:c r="I1009" s="81" t="str">
        <x:v>—</x:v>
      </x:c>
      <x:c r="J1009" s="81" t="str">
        <x:v>—</x:v>
      </x:c>
      <x:c r="K1009" s="81" t="str">
        <x:v>—</x:v>
      </x:c>
      <x:c r="L1009" s="81" t="str">
        <x:v>—</x:v>
      </x:c>
      <x:c r="M1009" s="81" t="str">
        <x:v>—</x:v>
      </x:c>
      <x:c r="N1009" s="81" t="str">
        <x:v>—</x:v>
      </x:c>
      <x:c r="O1009" s="81" t="str">
        <x:v>—</x:v>
      </x:c>
      <x:c r="P1009" s="81" t="str">
        <x:v>—</x:v>
      </x:c>
      <x:c r="Q1009" s="81" t="str">
        <x:v>—</x:v>
      </x:c>
      <x:c r="R1009" s="81" t="str">
        <x:v>—</x:v>
      </x:c>
      <x:c r="S1009" s="81" t="str">
        <x:v>—</x:v>
      </x:c>
      <x:c r="T1009" s="81" t="str">
        <x:v>—</x:v>
      </x:c>
      <x:c r="U1009" s="81" t="str">
        <x:v>산악4</x:v>
      </x:c>
      <x:c r="V1009" s="81" t="str">
        <x:v>숲7</x:v>
      </x:c>
    </x:row>
    <x:row r="1010">
      <x:c r="A1010" s="80" t="n">
        <x:v>1006</x:v>
      </x:c>
      <x:c r="B1010" s="80" t="str">
        <x:v>무쇠무인</x:v>
      </x:c>
      <x:c r="C1010" s="80" t="str">
        <x:v>ironvaliant</x:v>
      </x:c>
      <x:c r="D1010" s="80" t="str">
        <x:v>평원</x:v>
      </x:c>
      <x:c r="E1010" s="81" t="str">
        <x:v>—</x:v>
      </x:c>
      <x:c r="F1010" s="81" t="str">
        <x:v>—</x:v>
      </x:c>
      <x:c r="G1010" s="81" t="str">
        <x:v>—</x:v>
      </x:c>
      <x:c r="H1010" s="81" t="str">
        <x:v>—</x:v>
      </x:c>
      <x:c r="I1010" s="81" t="str">
        <x:v>—</x:v>
      </x:c>
      <x:c r="J1010" s="81" t="str">
        <x:v>—</x:v>
      </x:c>
      <x:c r="K1010" s="81" t="str">
        <x:v>—</x:v>
      </x:c>
      <x:c r="L1010" s="81" t="str">
        <x:v>—</x:v>
      </x:c>
      <x:c r="M1010" s="81" t="str">
        <x:v>—</x:v>
      </x:c>
      <x:c r="N1010" s="81" t="str">
        <x:v>—</x:v>
      </x:c>
      <x:c r="O1010" s="81" t="str">
        <x:v>—</x:v>
      </x:c>
      <x:c r="P1010" s="81" t="str">
        <x:v>—</x:v>
      </x:c>
      <x:c r="Q1010" s="81" t="str">
        <x:v>—</x:v>
      </x:c>
      <x:c r="R1010" s="81" t="str">
        <x:v>—</x:v>
      </x:c>
      <x:c r="S1010" s="81" t="str">
        <x:v>—</x:v>
      </x:c>
      <x:c r="T1010" s="81" t="str">
        <x:v>—</x:v>
      </x:c>
      <x:c r="U1010" s="81" t="str">
        <x:v>평원7</x:v>
      </x:c>
      <x:c r="V1010" s="81" t="str">
        <x:v>숲7</x:v>
      </x:c>
    </x:row>
    <x:row r="1011">
      <x:c r="A1011" s="80" t="n">
        <x:v>1007</x:v>
      </x:c>
      <x:c r="B1011" s="80" t="str">
        <x:v>코라이돈</x:v>
      </x:c>
      <x:c r="C1011" s="80" t="str">
        <x:v>koraidon</x:v>
      </x:c>
      <x:c r="D1011" s="80" t="str">
        <x:v>해양</x:v>
      </x:c>
      <x:c r="E1011" s="81" t="str">
        <x:v>—</x:v>
      </x:c>
      <x:c r="F1011" s="81" t="str">
        <x:v>—</x:v>
      </x:c>
      <x:c r="G1011" s="81" t="str">
        <x:v>—</x:v>
      </x:c>
      <x:c r="H1011" s="81" t="str">
        <x:v>—</x:v>
      </x:c>
      <x:c r="I1011" s="81" t="str">
        <x:v>—</x:v>
      </x:c>
      <x:c r="J1011" s="81" t="str">
        <x:v>—</x:v>
      </x:c>
      <x:c r="K1011" s="81" t="str">
        <x:v>—</x:v>
      </x:c>
      <x:c r="L1011" s="81" t="str">
        <x:v>—</x:v>
      </x:c>
      <x:c r="M1011" s="81" t="str">
        <x:v>—</x:v>
      </x:c>
      <x:c r="N1011" s="81" t="str">
        <x:v>—</x:v>
      </x:c>
      <x:c r="O1011" s="81" t="str">
        <x:v>—</x:v>
      </x:c>
      <x:c r="P1011" s="81" t="str">
        <x:v>—</x:v>
      </x:c>
      <x:c r="Q1011" s="81" t="str">
        <x:v>—</x:v>
      </x:c>
      <x:c r="R1011" s="81" t="str">
        <x:v>—</x:v>
      </x:c>
      <x:c r="S1011" s="81" t="str">
        <x:v>—</x:v>
      </x:c>
      <x:c r="T1011" s="81" t="str">
        <x:v>—</x:v>
      </x:c>
      <x:c r="U1011" s="81" t="str">
        <x:v>—</x:v>
      </x:c>
      <x:c r="V1011" s="81" t="str">
        <x:v>—</x:v>
      </x:c>
    </x:row>
    <x:row r="1012">
      <x:c r="A1012" s="80" t="n">
        <x:v>1008</x:v>
      </x:c>
      <x:c r="B1012" s="80" t="str">
        <x:v>미라이돈</x:v>
      </x:c>
      <x:c r="C1012" s="80" t="str">
        <x:v>miraidon</x:v>
      </x:c>
      <x:c r="D1012" s="80" t="str">
        <x:v>해양</x:v>
      </x:c>
      <x:c r="E1012" s="81" t="str">
        <x:v>—</x:v>
      </x:c>
      <x:c r="F1012" s="81" t="str">
        <x:v>—</x:v>
      </x:c>
      <x:c r="G1012" s="81" t="str">
        <x:v>—</x:v>
      </x:c>
      <x:c r="H1012" s="81" t="str">
        <x:v>—</x:v>
      </x:c>
      <x:c r="I1012" s="81" t="str">
        <x:v>—</x:v>
      </x:c>
      <x:c r="J1012" s="81" t="str">
        <x:v>—</x:v>
      </x:c>
      <x:c r="K1012" s="81" t="str">
        <x:v>—</x:v>
      </x:c>
      <x:c r="L1012" s="81" t="str">
        <x:v>—</x:v>
      </x:c>
      <x:c r="M1012" s="81" t="str">
        <x:v>—</x:v>
      </x:c>
      <x:c r="N1012" s="81" t="str">
        <x:v>—</x:v>
      </x:c>
      <x:c r="O1012" s="81" t="str">
        <x:v>—</x:v>
      </x:c>
      <x:c r="P1012" s="81" t="str">
        <x:v>—</x:v>
      </x:c>
      <x:c r="Q1012" s="81" t="str">
        <x:v>—</x:v>
      </x:c>
      <x:c r="R1012" s="81" t="str">
        <x:v>—</x:v>
      </x:c>
      <x:c r="S1012" s="81" t="str">
        <x:v>—</x:v>
      </x:c>
      <x:c r="T1012" s="81" t="str">
        <x:v>—</x:v>
      </x:c>
      <x:c r="U1012" s="81" t="str">
        <x:v>—</x:v>
      </x:c>
      <x:c r="V1012" s="81" t="str">
        <x:v>—</x:v>
      </x:c>
    </x:row>
    <x:row r="1013">
      <x:c r="A1013" s="80" t="n">
        <x:v>1009</x:v>
      </x:c>
      <x:c r="B1013" s="80" t="str">
        <x:v>굽이치는물결</x:v>
      </x:c>
      <x:c r="C1013" s="80" t="str">
        <x:v>walkingwake</x:v>
      </x:c>
      <x:c r="D1013" s="80" t="str">
        <x:v>산악</x:v>
      </x:c>
      <x:c r="E1013" s="81" t="str">
        <x:v>—</x:v>
      </x:c>
      <x:c r="F1013" s="81" t="str">
        <x:v>—</x:v>
      </x:c>
      <x:c r="G1013" s="81" t="str">
        <x:v>—</x:v>
      </x:c>
      <x:c r="H1013" s="81" t="str">
        <x:v>—</x:v>
      </x:c>
      <x:c r="I1013" s="81" t="str">
        <x:v>—</x:v>
      </x:c>
      <x:c r="J1013" s="81" t="str">
        <x:v>—</x:v>
      </x:c>
      <x:c r="K1013" s="81" t="str">
        <x:v>—</x:v>
      </x:c>
      <x:c r="L1013" s="81" t="str">
        <x:v>—</x:v>
      </x:c>
      <x:c r="M1013" s="81" t="str">
        <x:v>—</x:v>
      </x:c>
      <x:c r="N1013" s="81" t="str">
        <x:v>—</x:v>
      </x:c>
      <x:c r="O1013" s="81" t="str">
        <x:v>—</x:v>
      </x:c>
      <x:c r="P1013" s="81" t="str">
        <x:v>—</x:v>
      </x:c>
      <x:c r="Q1013" s="81" t="str">
        <x:v>—</x:v>
      </x:c>
      <x:c r="R1013" s="81" t="str">
        <x:v>—</x:v>
      </x:c>
      <x:c r="S1013" s="81" t="str">
        <x:v>—</x:v>
      </x:c>
      <x:c r="T1013" s="81" t="str">
        <x:v>—</x:v>
      </x:c>
      <x:c r="U1013" s="81" t="str">
        <x:v>산악4</x:v>
      </x:c>
      <x:c r="V1013" s="81" t="str">
        <x:v>습지3</x:v>
      </x:c>
    </x:row>
    <x:row r="1014">
      <x:c r="A1014" s="80" t="n">
        <x:v>1010</x:v>
      </x:c>
      <x:c r="B1014" s="80" t="str">
        <x:v>무쇠잎새</x:v>
      </x:c>
      <x:c r="C1014" s="80" t="str">
        <x:v>ironleaves</x:v>
      </x:c>
      <x:c r="D1014" s="80" t="str">
        <x:v>숲</x:v>
      </x:c>
      <x:c r="E1014" s="81" t="str">
        <x:v>—</x:v>
      </x:c>
      <x:c r="F1014" s="81" t="str">
        <x:v>—</x:v>
      </x:c>
      <x:c r="G1014" s="81" t="str">
        <x:v>—</x:v>
      </x:c>
      <x:c r="H1014" s="81" t="str">
        <x:v>—</x:v>
      </x:c>
      <x:c r="I1014" s="81" t="str">
        <x:v>—</x:v>
      </x:c>
      <x:c r="J1014" s="81" t="str">
        <x:v>—</x:v>
      </x:c>
      <x:c r="K1014" s="81" t="str">
        <x:v>—</x:v>
      </x:c>
      <x:c r="L1014" s="81" t="str">
        <x:v>—</x:v>
      </x:c>
      <x:c r="M1014" s="81" t="str">
        <x:v>—</x:v>
      </x:c>
      <x:c r="N1014" s="81" t="str">
        <x:v>—</x:v>
      </x:c>
      <x:c r="O1014" s="81" t="str">
        <x:v>—</x:v>
      </x:c>
      <x:c r="P1014" s="81" t="str">
        <x:v>—</x:v>
      </x:c>
      <x:c r="Q1014" s="81" t="str">
        <x:v>—</x:v>
      </x:c>
      <x:c r="R1014" s="81" t="str">
        <x:v>—</x:v>
      </x:c>
      <x:c r="S1014" s="81" t="str">
        <x:v>—</x:v>
      </x:c>
      <x:c r="T1014" s="81" t="str">
        <x:v>—</x:v>
      </x:c>
      <x:c r="U1014" s="81" t="str">
        <x:v>숲7</x:v>
      </x:c>
      <x:c r="V1014" s="81" t="str">
        <x:v>평원7</x:v>
      </x:c>
    </x:row>
    <x:row r="1015">
      <x:c r="A1015" s="80" t="n">
        <x:v>1011</x:v>
      </x:c>
      <x:c r="B1015" s="80" t="str">
        <x:v>과미르</x:v>
      </x:c>
      <x:c r="C1015" s="80" t="str">
        <x:v>dipplin</x:v>
      </x:c>
      <x:c r="D1015" s="80" t="str">
        <x:v>숲</x:v>
      </x:c>
      <x:c r="E1015" s="81" t="str">
        <x:v>—</x:v>
      </x:c>
      <x:c r="F1015" s="81" t="str">
        <x:v>—</x:v>
      </x:c>
      <x:c r="G1015" s="81" t="str">
        <x:v>—</x:v>
      </x:c>
      <x:c r="H1015" s="81" t="str">
        <x:v>—</x:v>
      </x:c>
      <x:c r="I1015" s="81" t="str">
        <x:v>—</x:v>
      </x:c>
      <x:c r="J1015" s="81" t="str">
        <x:v>—</x:v>
      </x:c>
      <x:c r="K1015" s="81" t="str">
        <x:v>—</x:v>
      </x:c>
      <x:c r="L1015" s="81" t="str">
        <x:v>—</x:v>
      </x:c>
      <x:c r="M1015" s="81" t="str">
        <x:v>—</x:v>
      </x:c>
      <x:c r="N1015" s="81" t="str">
        <x:v>—</x:v>
      </x:c>
      <x:c r="O1015" s="81" t="str">
        <x:v>—</x:v>
      </x:c>
      <x:c r="P1015" s="81" t="str">
        <x:v>—</x:v>
      </x:c>
      <x:c r="Q1015" s="81" t="str">
        <x:v>—</x:v>
      </x:c>
      <x:c r="R1015" s="81" t="str">
        <x:v>—</x:v>
      </x:c>
      <x:c r="S1015" s="81" t="str">
        <x:v>—</x:v>
      </x:c>
      <x:c r="T1015" s="81" t="str">
        <x:v>—</x:v>
      </x:c>
      <x:c r="U1015" s="81" t="str">
        <x:v>숲7</x:v>
      </x:c>
      <x:c r="V1015" s="81" t="str">
        <x:v>평원7</x:v>
      </x:c>
    </x:row>
    <x:row r="1016">
      <x:c r="A1016" s="80" t="n">
        <x:v>1012</x:v>
      </x:c>
      <x:c r="B1016" s="80" t="str">
        <x:v>차데스</x:v>
      </x:c>
      <x:c r="C1016" s="80" t="str">
        <x:v>poltchageist</x:v>
      </x:c>
      <x:c r="D1016" s="80" t="str">
        <x:v>숲</x:v>
      </x:c>
      <x:c r="E1016" s="81" t="str">
        <x:v>—</x:v>
      </x:c>
      <x:c r="F1016" s="81" t="str">
        <x:v>—</x:v>
      </x:c>
      <x:c r="G1016" s="81" t="str">
        <x:v>—</x:v>
      </x:c>
      <x:c r="H1016" s="81" t="str">
        <x:v>—</x:v>
      </x:c>
      <x:c r="I1016" s="81" t="str">
        <x:v>—</x:v>
      </x:c>
      <x:c r="J1016" s="81" t="str">
        <x:v>—</x:v>
      </x:c>
      <x:c r="K1016" s="81" t="str">
        <x:v>—</x:v>
      </x:c>
      <x:c r="L1016" s="81" t="str">
        <x:v>—</x:v>
      </x:c>
      <x:c r="M1016" s="81" t="str">
        <x:v>—</x:v>
      </x:c>
      <x:c r="N1016" s="81" t="str">
        <x:v>—</x:v>
      </x:c>
      <x:c r="O1016" s="81" t="str">
        <x:v>—</x:v>
      </x:c>
      <x:c r="P1016" s="81" t="str">
        <x:v>—</x:v>
      </x:c>
      <x:c r="Q1016" s="81" t="str">
        <x:v>—</x:v>
      </x:c>
      <x:c r="R1016" s="81" t="str">
        <x:v>—</x:v>
      </x:c>
      <x:c r="S1016" s="81" t="str">
        <x:v>—</x:v>
      </x:c>
      <x:c r="T1016" s="81" t="str">
        <x:v>—</x:v>
      </x:c>
      <x:c r="U1016" s="81" t="str">
        <x:v>숲7</x:v>
      </x:c>
      <x:c r="V1016" s="81" t="str">
        <x:v>특수2</x:v>
      </x:c>
    </x:row>
    <x:row r="1017">
      <x:c r="A1017" s="80" t="n">
        <x:v>1013</x:v>
      </x:c>
      <x:c r="B1017" s="80" t="str">
        <x:v>그우린차</x:v>
      </x:c>
      <x:c r="C1017" s="80" t="str">
        <x:v>sinistcha</x:v>
      </x:c>
      <x:c r="D1017" s="80" t="str">
        <x:v>숲</x:v>
      </x:c>
      <x:c r="E1017" s="81" t="str">
        <x:v>—</x:v>
      </x:c>
      <x:c r="F1017" s="81" t="str">
        <x:v>—</x:v>
      </x:c>
      <x:c r="G1017" s="81" t="str">
        <x:v>—</x:v>
      </x:c>
      <x:c r="H1017" s="81" t="str">
        <x:v>—</x:v>
      </x:c>
      <x:c r="I1017" s="81" t="str">
        <x:v>—</x:v>
      </x:c>
      <x:c r="J1017" s="81" t="str">
        <x:v>—</x:v>
      </x:c>
      <x:c r="K1017" s="81" t="str">
        <x:v>—</x:v>
      </x:c>
      <x:c r="L1017" s="81" t="str">
        <x:v>—</x:v>
      </x:c>
      <x:c r="M1017" s="81" t="str">
        <x:v>—</x:v>
      </x:c>
      <x:c r="N1017" s="81" t="str">
        <x:v>—</x:v>
      </x:c>
      <x:c r="O1017" s="81" t="str">
        <x:v>—</x:v>
      </x:c>
      <x:c r="P1017" s="81" t="str">
        <x:v>—</x:v>
      </x:c>
      <x:c r="Q1017" s="81" t="str">
        <x:v>—</x:v>
      </x:c>
      <x:c r="R1017" s="81" t="str">
        <x:v>—</x:v>
      </x:c>
      <x:c r="S1017" s="81" t="str">
        <x:v>—</x:v>
      </x:c>
      <x:c r="T1017" s="81" t="str">
        <x:v>—</x:v>
      </x:c>
      <x:c r="U1017" s="81" t="str">
        <x:v>숲7</x:v>
      </x:c>
      <x:c r="V1017" s="81" t="str">
        <x:v>특수2</x:v>
      </x:c>
    </x:row>
    <x:row r="1018">
      <x:c r="A1018" s="80" t="n">
        <x:v>1014</x:v>
      </x:c>
      <x:c r="B1018" s="80" t="str">
        <x:v>조타구</x:v>
      </x:c>
      <x:c r="C1018" s="80" t="str">
        <x:v>okidogi</x:v>
      </x:c>
      <x:c r="D1018" s="80" t="str">
        <x:v>평원</x:v>
      </x:c>
      <x:c r="E1018" s="81" t="str">
        <x:v>—</x:v>
      </x:c>
      <x:c r="F1018" s="81" t="str">
        <x:v>—</x:v>
      </x:c>
      <x:c r="G1018" s="81" t="str">
        <x:v>—</x:v>
      </x:c>
      <x:c r="H1018" s="81" t="str">
        <x:v>—</x:v>
      </x:c>
      <x:c r="I1018" s="81" t="str">
        <x:v>—</x:v>
      </x:c>
      <x:c r="J1018" s="81" t="str">
        <x:v>—</x:v>
      </x:c>
      <x:c r="K1018" s="81" t="str">
        <x:v>—</x:v>
      </x:c>
      <x:c r="L1018" s="81" t="str">
        <x:v>—</x:v>
      </x:c>
      <x:c r="M1018" s="81" t="str">
        <x:v>—</x:v>
      </x:c>
      <x:c r="N1018" s="81" t="str">
        <x:v>—</x:v>
      </x:c>
      <x:c r="O1018" s="81" t="str">
        <x:v>—</x:v>
      </x:c>
      <x:c r="P1018" s="81" t="str">
        <x:v>—</x:v>
      </x:c>
      <x:c r="Q1018" s="81" t="str">
        <x:v>—</x:v>
      </x:c>
      <x:c r="R1018" s="81" t="str">
        <x:v>—</x:v>
      </x:c>
      <x:c r="S1018" s="81" t="str">
        <x:v>—</x:v>
      </x:c>
      <x:c r="T1018" s="81" t="str">
        <x:v>—</x:v>
      </x:c>
      <x:c r="U1018" s="81" t="str">
        <x:v>—</x:v>
      </x:c>
      <x:c r="V1018" s="81" t="str">
        <x:v>—</x:v>
      </x:c>
    </x:row>
    <x:row r="1019">
      <x:c r="A1019" s="80" t="n">
        <x:v>1015</x:v>
      </x:c>
      <x:c r="B1019" s="80" t="str">
        <x:v>이야후</x:v>
      </x:c>
      <x:c r="C1019" s="80" t="str">
        <x:v>munkidori</x:v>
      </x:c>
      <x:c r="D1019" s="80" t="str">
        <x:v>숲</x:v>
      </x:c>
      <x:c r="E1019" s="81" t="str">
        <x:v>—</x:v>
      </x:c>
      <x:c r="F1019" s="81" t="str">
        <x:v>—</x:v>
      </x:c>
      <x:c r="G1019" s="81" t="str">
        <x:v>—</x:v>
      </x:c>
      <x:c r="H1019" s="81" t="str">
        <x:v>—</x:v>
      </x:c>
      <x:c r="I1019" s="81" t="str">
        <x:v>—</x:v>
      </x:c>
      <x:c r="J1019" s="81" t="str">
        <x:v>—</x:v>
      </x:c>
      <x:c r="K1019" s="81" t="str">
        <x:v>—</x:v>
      </x:c>
      <x:c r="L1019" s="81" t="str">
        <x:v>—</x:v>
      </x:c>
      <x:c r="M1019" s="81" t="str">
        <x:v>—</x:v>
      </x:c>
      <x:c r="N1019" s="81" t="str">
        <x:v>—</x:v>
      </x:c>
      <x:c r="O1019" s="81" t="str">
        <x:v>—</x:v>
      </x:c>
      <x:c r="P1019" s="81" t="str">
        <x:v>—</x:v>
      </x:c>
      <x:c r="Q1019" s="81" t="str">
        <x:v>—</x:v>
      </x:c>
      <x:c r="R1019" s="81" t="str">
        <x:v>—</x:v>
      </x:c>
      <x:c r="S1019" s="81" t="str">
        <x:v>—</x:v>
      </x:c>
      <x:c r="T1019" s="81" t="str">
        <x:v>—</x:v>
      </x:c>
      <x:c r="U1019" s="81" t="str">
        <x:v>—</x:v>
      </x:c>
      <x:c r="V1019" s="81" t="str">
        <x:v>—</x:v>
      </x:c>
    </x:row>
    <x:row r="1020">
      <x:c r="A1020" s="80" t="n">
        <x:v>1016</x:v>
      </x:c>
      <x:c r="B1020" s="80" t="str">
        <x:v>기로치</x:v>
      </x:c>
      <x:c r="C1020" s="80" t="str">
        <x:v>fezandipiti</x:v>
      </x:c>
      <x:c r="D1020" s="80" t="str">
        <x:v>산악</x:v>
      </x:c>
      <x:c r="E1020" s="81" t="str">
        <x:v>—</x:v>
      </x:c>
      <x:c r="F1020" s="81" t="str">
        <x:v>—</x:v>
      </x:c>
      <x:c r="G1020" s="81" t="str">
        <x:v>—</x:v>
      </x:c>
      <x:c r="H1020" s="81" t="str">
        <x:v>—</x:v>
      </x:c>
      <x:c r="I1020" s="81" t="str">
        <x:v>—</x:v>
      </x:c>
      <x:c r="J1020" s="81" t="str">
        <x:v>—</x:v>
      </x:c>
      <x:c r="K1020" s="81" t="str">
        <x:v>—</x:v>
      </x:c>
      <x:c r="L1020" s="81" t="str">
        <x:v>—</x:v>
      </x:c>
      <x:c r="M1020" s="81" t="str">
        <x:v>—</x:v>
      </x:c>
      <x:c r="N1020" s="81" t="str">
        <x:v>—</x:v>
      </x:c>
      <x:c r="O1020" s="81" t="str">
        <x:v>—</x:v>
      </x:c>
      <x:c r="P1020" s="81" t="str">
        <x:v>—</x:v>
      </x:c>
      <x:c r="Q1020" s="81" t="str">
        <x:v>—</x:v>
      </x:c>
      <x:c r="R1020" s="81" t="str">
        <x:v>—</x:v>
      </x:c>
      <x:c r="S1020" s="81" t="str">
        <x:v>—</x:v>
      </x:c>
      <x:c r="T1020" s="81" t="str">
        <x:v>—</x:v>
      </x:c>
      <x:c r="U1020" s="81" t="str">
        <x:v>—</x:v>
      </x:c>
      <x:c r="V1020" s="81" t="str">
        <x:v>—</x:v>
      </x:c>
    </x:row>
    <x:row r="1021">
      <x:c r="A1021" s="80" t="n">
        <x:v>1017</x:v>
      </x:c>
      <x:c r="B1021" s="80" t="str">
        <x:v>오거폰</x:v>
      </x:c>
      <x:c r="C1021" s="80" t="str">
        <x:v>ogerpon</x:v>
      </x:c>
      <x:c r="D1021" s="80" t="str">
        <x:v>숲</x:v>
      </x:c>
      <x:c r="E1021" s="81" t="str">
        <x:v>—</x:v>
      </x:c>
      <x:c r="F1021" s="81" t="str">
        <x:v>—</x:v>
      </x:c>
      <x:c r="G1021" s="81" t="str">
        <x:v>—</x:v>
      </x:c>
      <x:c r="H1021" s="81" t="str">
        <x:v>—</x:v>
      </x:c>
      <x:c r="I1021" s="81" t="str">
        <x:v>—</x:v>
      </x:c>
      <x:c r="J1021" s="81" t="str">
        <x:v>—</x:v>
      </x:c>
      <x:c r="K1021" s="81" t="str">
        <x:v>—</x:v>
      </x:c>
      <x:c r="L1021" s="81" t="str">
        <x:v>—</x:v>
      </x:c>
      <x:c r="M1021" s="81" t="str">
        <x:v>—</x:v>
      </x:c>
      <x:c r="N1021" s="81" t="str">
        <x:v>—</x:v>
      </x:c>
      <x:c r="O1021" s="81" t="str">
        <x:v>—</x:v>
      </x:c>
      <x:c r="P1021" s="81" t="str">
        <x:v>—</x:v>
      </x:c>
      <x:c r="Q1021" s="81" t="str">
        <x:v>—</x:v>
      </x:c>
      <x:c r="R1021" s="81" t="str">
        <x:v>—</x:v>
      </x:c>
      <x:c r="S1021" s="81" t="str">
        <x:v>—</x:v>
      </x:c>
      <x:c r="T1021" s="81" t="str">
        <x:v>—</x:v>
      </x:c>
      <x:c r="U1021" s="81" t="str">
        <x:v>—</x:v>
      </x:c>
      <x:c r="V1021" s="81" t="str">
        <x:v>—</x:v>
      </x:c>
    </x:row>
    <x:row r="1022">
      <x:c r="A1022" s="80" t="n">
        <x:v>1018</x:v>
      </x:c>
      <x:c r="B1022" s="80" t="str">
        <x:v>브리두라스</x:v>
      </x:c>
      <x:c r="C1022" s="80" t="str">
        <x:v>archaludon</x:v>
      </x:c>
      <x:c r="D1022" s="80" t="str">
        <x:v>평원</x:v>
      </x:c>
      <x:c r="E1022" s="81" t="str">
        <x:v>—</x:v>
      </x:c>
      <x:c r="F1022" s="81" t="str">
        <x:v>—</x:v>
      </x:c>
      <x:c r="G1022" s="81" t="str">
        <x:v>—</x:v>
      </x:c>
      <x:c r="H1022" s="81" t="str">
        <x:v>—</x:v>
      </x:c>
      <x:c r="I1022" s="81" t="str">
        <x:v>—</x:v>
      </x:c>
      <x:c r="J1022" s="81" t="str">
        <x:v>—</x:v>
      </x:c>
      <x:c r="K1022" s="81" t="str">
        <x:v>—</x:v>
      </x:c>
      <x:c r="L1022" s="81" t="str">
        <x:v>—</x:v>
      </x:c>
      <x:c r="M1022" s="81" t="str">
        <x:v>—</x:v>
      </x:c>
      <x:c r="N1022" s="81" t="str">
        <x:v>—</x:v>
      </x:c>
      <x:c r="O1022" s="81" t="str">
        <x:v>—</x:v>
      </x:c>
      <x:c r="P1022" s="81" t="str">
        <x:v>—</x:v>
      </x:c>
      <x:c r="Q1022" s="81" t="str">
        <x:v>—</x:v>
      </x:c>
      <x:c r="R1022" s="81" t="str">
        <x:v>—</x:v>
      </x:c>
      <x:c r="S1022" s="81" t="str">
        <x:v>—</x:v>
      </x:c>
      <x:c r="T1022" s="81" t="str">
        <x:v>—</x:v>
      </x:c>
      <x:c r="U1022" s="81" t="str">
        <x:v>평원7</x:v>
      </x:c>
      <x:c r="V1022" s="81" t="str">
        <x:v>산악4</x:v>
      </x:c>
    </x:row>
    <x:row r="1023">
      <x:c r="A1023" s="80" t="n">
        <x:v>1019</x:v>
      </x:c>
      <x:c r="B1023" s="80" t="str">
        <x:v>과미드라</x:v>
      </x:c>
      <x:c r="C1023" s="80" t="str">
        <x:v>hydrapple</x:v>
      </x:c>
      <x:c r="D1023" s="80" t="str">
        <x:v>숲</x:v>
      </x:c>
      <x:c r="E1023" s="81" t="str">
        <x:v>—</x:v>
      </x:c>
      <x:c r="F1023" s="81" t="str">
        <x:v>—</x:v>
      </x:c>
      <x:c r="G1023" s="81" t="str">
        <x:v>—</x:v>
      </x:c>
      <x:c r="H1023" s="81" t="str">
        <x:v>—</x:v>
      </x:c>
      <x:c r="I1023" s="81" t="str">
        <x:v>—</x:v>
      </x:c>
      <x:c r="J1023" s="81" t="str">
        <x:v>—</x:v>
      </x:c>
      <x:c r="K1023" s="81" t="str">
        <x:v>—</x:v>
      </x:c>
      <x:c r="L1023" s="81" t="str">
        <x:v>—</x:v>
      </x:c>
      <x:c r="M1023" s="81" t="str">
        <x:v>—</x:v>
      </x:c>
      <x:c r="N1023" s="81" t="str">
        <x:v>—</x:v>
      </x:c>
      <x:c r="O1023" s="81" t="str">
        <x:v>—</x:v>
      </x:c>
      <x:c r="P1023" s="81" t="str">
        <x:v>—</x:v>
      </x:c>
      <x:c r="Q1023" s="81" t="str">
        <x:v>—</x:v>
      </x:c>
      <x:c r="R1023" s="81" t="str">
        <x:v>—</x:v>
      </x:c>
      <x:c r="S1023" s="81" t="str">
        <x:v>—</x:v>
      </x:c>
      <x:c r="T1023" s="81" t="str">
        <x:v>—</x:v>
      </x:c>
      <x:c r="U1023" s="81" t="str">
        <x:v>숲7</x:v>
      </x:c>
      <x:c r="V1023" s="81" t="str">
        <x:v>평원7</x:v>
      </x:c>
    </x:row>
    <x:row r="1024">
      <x:c r="A1024" s="80" t="n">
        <x:v>1020</x:v>
      </x:c>
      <x:c r="B1024" s="80" t="str">
        <x:v>꿰뚫는화염</x:v>
      </x:c>
      <x:c r="C1024" s="80" t="str">
        <x:v>gougingfire</x:v>
      </x:c>
      <x:c r="D1024" s="80" t="str">
        <x:v>화산</x:v>
      </x:c>
      <x:c r="E1024" s="81" t="str">
        <x:v>—</x:v>
      </x:c>
      <x:c r="F1024" s="81" t="str">
        <x:v>—</x:v>
      </x:c>
      <x:c r="G1024" s="81" t="str">
        <x:v>—</x:v>
      </x:c>
      <x:c r="H1024" s="81" t="str">
        <x:v>—</x:v>
      </x:c>
      <x:c r="I1024" s="81" t="str">
        <x:v>—</x:v>
      </x:c>
      <x:c r="J1024" s="81" t="str">
        <x:v>—</x:v>
      </x:c>
      <x:c r="K1024" s="81" t="str">
        <x:v>—</x:v>
      </x:c>
      <x:c r="L1024" s="81" t="str">
        <x:v>—</x:v>
      </x:c>
      <x:c r="M1024" s="81" t="str">
        <x:v>—</x:v>
      </x:c>
      <x:c r="N1024" s="81" t="str">
        <x:v>—</x:v>
      </x:c>
      <x:c r="O1024" s="81" t="str">
        <x:v>—</x:v>
      </x:c>
      <x:c r="P1024" s="81" t="str">
        <x:v>—</x:v>
      </x:c>
      <x:c r="Q1024" s="81" t="str">
        <x:v>—</x:v>
      </x:c>
      <x:c r="R1024" s="81" t="str">
        <x:v>—</x:v>
      </x:c>
      <x:c r="S1024" s="81" t="str">
        <x:v>—</x:v>
      </x:c>
      <x:c r="T1024" s="81" t="str">
        <x:v>—</x:v>
      </x:c>
      <x:c r="U1024" s="81" t="str">
        <x:v>화산3</x:v>
      </x:c>
      <x:c r="V1024" s="81" t="str">
        <x:v>건조지3</x:v>
      </x:c>
    </x:row>
    <x:row r="1025">
      <x:c r="A1025" s="80" t="n">
        <x:v>1021</x:v>
      </x:c>
      <x:c r="B1025" s="80" t="str">
        <x:v>날뛰는우레</x:v>
      </x:c>
      <x:c r="C1025" s="80" t="str">
        <x:v>ragingbolt</x:v>
      </x:c>
      <x:c r="D1025" s="80" t="str">
        <x:v>건조지</x:v>
      </x:c>
      <x:c r="E1025" s="81" t="str">
        <x:v>—</x:v>
      </x:c>
      <x:c r="F1025" s="81" t="str">
        <x:v>—</x:v>
      </x:c>
      <x:c r="G1025" s="81" t="str">
        <x:v>—</x:v>
      </x:c>
      <x:c r="H1025" s="81" t="str">
        <x:v>—</x:v>
      </x:c>
      <x:c r="I1025" s="81" t="str">
        <x:v>—</x:v>
      </x:c>
      <x:c r="J1025" s="81" t="str">
        <x:v>—</x:v>
      </x:c>
      <x:c r="K1025" s="81" t="str">
        <x:v>—</x:v>
      </x:c>
      <x:c r="L1025" s="81" t="str">
        <x:v>—</x:v>
      </x:c>
      <x:c r="M1025" s="81" t="str">
        <x:v>—</x:v>
      </x:c>
      <x:c r="N1025" s="81" t="str">
        <x:v>—</x:v>
      </x:c>
      <x:c r="O1025" s="81" t="str">
        <x:v>—</x:v>
      </x:c>
      <x:c r="P1025" s="81" t="str">
        <x:v>—</x:v>
      </x:c>
      <x:c r="Q1025" s="81" t="str">
        <x:v>—</x:v>
      </x:c>
      <x:c r="R1025" s="81" t="str">
        <x:v>—</x:v>
      </x:c>
      <x:c r="S1025" s="81" t="str">
        <x:v>—</x:v>
      </x:c>
      <x:c r="T1025" s="81" t="str">
        <x:v>—</x:v>
      </x:c>
      <x:c r="U1025" s="81" t="str">
        <x:v>건조지3</x:v>
      </x:c>
      <x:c r="V1025" s="81" t="str">
        <x:v>화산3</x:v>
      </x:c>
    </x:row>
    <x:row r="1026">
      <x:c r="A1026" s="80" t="n">
        <x:v>1022</x:v>
      </x:c>
      <x:c r="B1026" s="80" t="str">
        <x:v>무쇠암석</x:v>
      </x:c>
      <x:c r="C1026" s="80" t="str">
        <x:v>ironboulder</x:v>
      </x:c>
      <x:c r="D1026" s="80" t="str">
        <x:v>숲</x:v>
      </x:c>
      <x:c r="E1026" s="81" t="str">
        <x:v>—</x:v>
      </x:c>
      <x:c r="F1026" s="81" t="str">
        <x:v>—</x:v>
      </x:c>
      <x:c r="G1026" s="81" t="str">
        <x:v>—</x:v>
      </x:c>
      <x:c r="H1026" s="81" t="str">
        <x:v>—</x:v>
      </x:c>
      <x:c r="I1026" s="81" t="str">
        <x:v>—</x:v>
      </x:c>
      <x:c r="J1026" s="81" t="str">
        <x:v>—</x:v>
      </x:c>
      <x:c r="K1026" s="81" t="str">
        <x:v>—</x:v>
      </x:c>
      <x:c r="L1026" s="81" t="str">
        <x:v>—</x:v>
      </x:c>
      <x:c r="M1026" s="81" t="str">
        <x:v>—</x:v>
      </x:c>
      <x:c r="N1026" s="81" t="str">
        <x:v>—</x:v>
      </x:c>
      <x:c r="O1026" s="81" t="str">
        <x:v>—</x:v>
      </x:c>
      <x:c r="P1026" s="81" t="str">
        <x:v>—</x:v>
      </x:c>
      <x:c r="Q1026" s="81" t="str">
        <x:v>—</x:v>
      </x:c>
      <x:c r="R1026" s="81" t="str">
        <x:v>—</x:v>
      </x:c>
      <x:c r="S1026" s="81" t="str">
        <x:v>—</x:v>
      </x:c>
      <x:c r="T1026" s="81" t="str">
        <x:v>—</x:v>
      </x:c>
      <x:c r="U1026" s="81" t="str">
        <x:v>숲7</x:v>
      </x:c>
      <x:c r="V1026" s="81" t="str">
        <x:v>평원7</x:v>
      </x:c>
    </x:row>
    <x:row r="1027">
      <x:c r="A1027" s="80" t="n">
        <x:v>1023</x:v>
      </x:c>
      <x:c r="B1027" s="80" t="str">
        <x:v>무쇠감투</x:v>
      </x:c>
      <x:c r="C1027" s="80" t="str">
        <x:v>ironcrown</x:v>
      </x:c>
      <x:c r="D1027" s="80" t="str">
        <x:v>평원</x:v>
      </x:c>
      <x:c r="E1027" s="81" t="str">
        <x:v>—</x:v>
      </x:c>
      <x:c r="F1027" s="81" t="str">
        <x:v>—</x:v>
      </x:c>
      <x:c r="G1027" s="81" t="str">
        <x:v>—</x:v>
      </x:c>
      <x:c r="H1027" s="81" t="str">
        <x:v>—</x:v>
      </x:c>
      <x:c r="I1027" s="81" t="str">
        <x:v>—</x:v>
      </x:c>
      <x:c r="J1027" s="81" t="str">
        <x:v>—</x:v>
      </x:c>
      <x:c r="K1027" s="81" t="str">
        <x:v>—</x:v>
      </x:c>
      <x:c r="L1027" s="81" t="str">
        <x:v>—</x:v>
      </x:c>
      <x:c r="M1027" s="81" t="str">
        <x:v>—</x:v>
      </x:c>
      <x:c r="N1027" s="81" t="str">
        <x:v>—</x:v>
      </x:c>
      <x:c r="O1027" s="81" t="str">
        <x:v>—</x:v>
      </x:c>
      <x:c r="P1027" s="81" t="str">
        <x:v>—</x:v>
      </x:c>
      <x:c r="Q1027" s="81" t="str">
        <x:v>—</x:v>
      </x:c>
      <x:c r="R1027" s="81" t="str">
        <x:v>—</x:v>
      </x:c>
      <x:c r="S1027" s="81" t="str">
        <x:v>—</x:v>
      </x:c>
      <x:c r="T1027" s="81" t="str">
        <x:v>—</x:v>
      </x:c>
      <x:c r="U1027" s="81" t="str">
        <x:v>평원7</x:v>
      </x:c>
      <x:c r="V1027" s="81" t="str">
        <x:v>도시1</x:v>
      </x:c>
    </x:row>
    <x:row r="1028">
      <x:c r="A1028" s="80" t="n">
        <x:v>1024</x:v>
      </x:c>
      <x:c r="B1028" s="80" t="str">
        <x:v>테라파고스</x:v>
      </x:c>
      <x:c r="C1028" s="80" t="str">
        <x:v>terapagos</x:v>
      </x:c>
      <x:c r="D1028" s="80" t="str">
        <x:v>동굴</x:v>
      </x:c>
      <x:c r="E1028" s="81" t="str">
        <x:v>—</x:v>
      </x:c>
      <x:c r="F1028" s="81" t="str">
        <x:v>—</x:v>
      </x:c>
      <x:c r="G1028" s="81" t="str">
        <x:v>—</x:v>
      </x:c>
      <x:c r="H1028" s="81" t="str">
        <x:v>—</x:v>
      </x:c>
      <x:c r="I1028" s="81" t="str">
        <x:v>—</x:v>
      </x:c>
      <x:c r="J1028" s="81" t="str">
        <x:v>—</x:v>
      </x:c>
      <x:c r="K1028" s="81" t="str">
        <x:v>—</x:v>
      </x:c>
      <x:c r="L1028" s="81" t="str">
        <x:v>—</x:v>
      </x:c>
      <x:c r="M1028" s="81" t="str">
        <x:v>—</x:v>
      </x:c>
      <x:c r="N1028" s="81" t="str">
        <x:v>—</x:v>
      </x:c>
      <x:c r="O1028" s="81" t="str">
        <x:v>—</x:v>
      </x:c>
      <x:c r="P1028" s="81" t="str">
        <x:v>—</x:v>
      </x:c>
      <x:c r="Q1028" s="81" t="str">
        <x:v>—</x:v>
      </x:c>
      <x:c r="R1028" s="81" t="str">
        <x:v>—</x:v>
      </x:c>
      <x:c r="S1028" s="81" t="str">
        <x:v>—</x:v>
      </x:c>
      <x:c r="T1028" s="81" t="str">
        <x:v>—</x:v>
      </x:c>
      <x:c r="U1028" s="81" t="str">
        <x:v>—</x:v>
      </x:c>
      <x:c r="V1028" s="81" t="str">
        <x:v>—</x:v>
      </x:c>
    </x:row>
    <x:row r="1029">
      <x:c r="A1029" s="82" t="n">
        <x:v>1025</x:v>
      </x:c>
      <x:c r="B1029" s="82" t="str">
        <x:v>복숭악동</x:v>
      </x:c>
      <x:c r="C1029" s="82" t="str">
        <x:v>pecharunt</x:v>
      </x:c>
      <x:c r="D1029" s="82" t="str">
        <x:v>특수</x:v>
      </x:c>
      <x:c r="E1029" s="83" t="str">
        <x:v>—</x:v>
      </x:c>
      <x:c r="F1029" s="83" t="str">
        <x:v>—</x:v>
      </x:c>
      <x:c r="G1029" s="83" t="str">
        <x:v>—</x:v>
      </x:c>
      <x:c r="H1029" s="83" t="str">
        <x:v>—</x:v>
      </x:c>
      <x:c r="I1029" s="83" t="str">
        <x:v>—</x:v>
      </x:c>
      <x:c r="J1029" s="83" t="str">
        <x:v>—</x:v>
      </x:c>
      <x:c r="K1029" s="83" t="str">
        <x:v>—</x:v>
      </x:c>
      <x:c r="L1029" s="83" t="str">
        <x:v>—</x:v>
      </x:c>
      <x:c r="M1029" s="83" t="str">
        <x:v>—</x:v>
      </x:c>
      <x:c r="N1029" s="83" t="str">
        <x:v>—</x:v>
      </x:c>
      <x:c r="O1029" s="83" t="str">
        <x:v>—</x:v>
      </x:c>
      <x:c r="P1029" s="83" t="str">
        <x:v>—</x:v>
      </x:c>
      <x:c r="Q1029" s="83" t="str">
        <x:v>—</x:v>
      </x:c>
      <x:c r="R1029" s="83" t="str">
        <x:v>—</x:v>
      </x:c>
      <x:c r="S1029" s="83" t="str">
        <x:v>—</x:v>
      </x:c>
      <x:c r="T1029" s="83" t="str">
        <x:v>—</x:v>
      </x:c>
      <x:c r="U1029" s="83" t="str">
        <x:v>—</x:v>
      </x:c>
      <x:c r="V1029" s="83" t="str">
        <x:v>—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0c1e818329cd41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11" hidden="0" customWidth="1"/>
    <x:col min="12" max="12" width="11" hidden="0" customWidth="1"/>
    <x:col min="13" max="13" width="11" hidden="0" customWidth="1"/>
  </x:cols>
  <x:sheetData>
    <x:row r="1">
      <x:c r="A1" s="64" t="str">
        <x:v>번호 서식지별 기본출현 분포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</x:row>
    <x:row r="2">
      <x:c r="A2" s="68" t="str">
        <x:v>각 시리즈 열은 해당 지역도감의 일반 후보 수입니다. 모든 활성 번호는 40종 이하여야 합니다.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</x:row>
    <x:row r="4">
      <x:c r="A4" s="92" t="str">
        <x:v>번호서식지</x:v>
      </x:c>
      <x:c r="B4" s="92" t="str">
        <x:v>관동</x:v>
      </x:c>
      <x:c r="C4" s="92" t="str">
        <x:v>성도</x:v>
      </x:c>
      <x:c r="D4" s="92" t="str">
        <x:v>호연</x:v>
      </x:c>
      <x:c r="E4" s="92" t="str">
        <x:v>신오</x:v>
      </x:c>
      <x:c r="F4" s="92" t="str">
        <x:v>하나</x:v>
      </x:c>
      <x:c r="G4" s="92" t="str">
        <x:v>칼로스</x:v>
      </x:c>
      <x:c r="H4" s="92" t="str">
        <x:v>알로라</x:v>
      </x:c>
      <x:c r="I4" s="92" t="str">
        <x:v>가라르</x:v>
      </x:c>
      <x:c r="J4" s="92" t="str">
        <x:v>팔데아</x:v>
      </x:c>
      <x:c r="K4" s="92" t="str">
        <x:v>최대</x:v>
      </x:c>
      <x:c r="L4" s="92" t="str">
        <x:v>평균</x:v>
      </x:c>
      <x:c r="M4" s="92" t="str">
        <x:v>검증</x:v>
      </x:c>
    </x:row>
    <x:row r="5">
      <x:c r="A5" s="80" t="str">
        <x:v>평원1</x:v>
      </x:c>
      <x:c r="B5" s="93" t="n">
        <x:f>COUNTIF('번호서식지_배정'!$E$5:$E$1029,$A5)+COUNTIF('번호서식지_배정'!$F$5:$F$1029,$A5)</x:f>
        <x:v>32</x:v>
      </x:c>
      <x:c r="C5" s="93" t="n">
        <x:f>COUNTIF('번호서식지_배정'!$G$5:$G$1029,$A5)+COUNTIF('번호서식지_배정'!$H$5:$H$1029,$A5)</x:f>
        <x:v>38</x:v>
      </x:c>
      <x:c r="D5" s="93" t="n">
        <x:f>COUNTIF('번호서식지_배정'!$I$5:$I$1029,$A5)+COUNTIF('번호서식지_배정'!$J$5:$J$1029,$A5)</x:f>
        <x:v>30</x:v>
      </x:c>
      <x:c r="E5" s="93" t="n">
        <x:f>COUNTIF('번호서식지_배정'!$K$5:$K$1029,$A5)+COUNTIF('번호서식지_배정'!$L$5:$L$1029,$A5)</x:f>
        <x:v>34</x:v>
      </x:c>
      <x:c r="F5" s="93" t="n">
        <x:f>COUNTIF('번호서식지_배정'!$M$5:$M$1029,$A5)+COUNTIF('번호서식지_배정'!$N$5:$N$1029,$A5)</x:f>
        <x:v>31</x:v>
      </x:c>
      <x:c r="G5" s="93" t="n">
        <x:f>COUNTIF('번호서식지_배정'!$O$5:$O$1029,$A5)+COUNTIF('번호서식지_배정'!$P$5:$P$1029,$A5)</x:f>
        <x:v>39</x:v>
      </x:c>
      <x:c r="H5" s="93" t="n">
        <x:f>COUNTIF('번호서식지_배정'!$Q$5:$Q$1029,$A5)+COUNTIF('번호서식지_배정'!$R$5:$R$1029,$A5)</x:f>
        <x:v>33</x:v>
      </x:c>
      <x:c r="I5" s="93" t="n">
        <x:f>COUNTIF('번호서식지_배정'!$S$5:$S$1029,$A5)+COUNTIF('번호서식지_배정'!$T$5:$T$1029,$A5)</x:f>
        <x:v>40</x:v>
      </x:c>
      <x:c r="J5" s="93" t="n">
        <x:f>COUNTIF('번호서식지_배정'!$U$5:$U$1029,$A5)+COUNTIF('번호서식지_배정'!$V$5:$V$1029,$A5)</x:f>
        <x:v>40</x:v>
      </x:c>
      <x:c r="K5" s="95" t="n">
        <x:f>MAX(B5:J5)</x:f>
        <x:v>40</x:v>
      </x:c>
      <x:c r="L5" s="97" t="n">
        <x:f>IFERROR(AVERAGEIF(B5:J5,"&gt;0"),0)</x:f>
        <x:v>35.22222222222222</x:v>
      </x:c>
      <x:c r="M5" s="81" t="str">
        <x:f>IF(K5&lt;=40,"정상","초과")</x:f>
        <x:v>정상</x:v>
      </x:c>
    </x:row>
    <x:row r="6">
      <x:c r="A6" s="80" t="str">
        <x:v>평원2</x:v>
      </x:c>
      <x:c r="B6" s="93" t="n">
        <x:f>COUNTIF('번호서식지_배정'!$E$5:$E$1029,$A6)+COUNTIF('번호서식지_배정'!$F$5:$F$1029,$A6)</x:f>
        <x:v>31</x:v>
      </x:c>
      <x:c r="C6" s="93" t="n">
        <x:f>COUNTIF('번호서식지_배정'!$G$5:$G$1029,$A6)+COUNTIF('번호서식지_배정'!$H$5:$H$1029,$A6)</x:f>
        <x:v>37</x:v>
      </x:c>
      <x:c r="D6" s="93" t="n">
        <x:f>COUNTIF('번호서식지_배정'!$I$5:$I$1029,$A6)+COUNTIF('번호서식지_배정'!$J$5:$J$1029,$A6)</x:f>
        <x:v>29</x:v>
      </x:c>
      <x:c r="E6" s="93" t="n">
        <x:f>COUNTIF('번호서식지_배정'!$K$5:$K$1029,$A6)+COUNTIF('번호서식지_배정'!$L$5:$L$1029,$A6)</x:f>
        <x:v>34</x:v>
      </x:c>
      <x:c r="F6" s="93" t="n">
        <x:f>COUNTIF('번호서식지_배정'!$M$5:$M$1029,$A6)+COUNTIF('번호서식지_배정'!$N$5:$N$1029,$A6)</x:f>
        <x:v>30</x:v>
      </x:c>
      <x:c r="G6" s="93" t="n">
        <x:f>COUNTIF('번호서식지_배정'!$O$5:$O$1029,$A6)+COUNTIF('번호서식지_배정'!$P$5:$P$1029,$A6)</x:f>
        <x:v>39</x:v>
      </x:c>
      <x:c r="H6" s="93" t="n">
        <x:f>COUNTIF('번호서식지_배정'!$Q$5:$Q$1029,$A6)+COUNTIF('번호서식지_배정'!$R$5:$R$1029,$A6)</x:f>
        <x:v>32</x:v>
      </x:c>
      <x:c r="I6" s="93" t="n">
        <x:f>COUNTIF('번호서식지_배정'!$S$5:$S$1029,$A6)+COUNTIF('번호서식지_배정'!$T$5:$T$1029,$A6)</x:f>
        <x:v>40</x:v>
      </x:c>
      <x:c r="J6" s="93" t="n">
        <x:f>COUNTIF('번호서식지_배정'!$U$5:$U$1029,$A6)+COUNTIF('번호서식지_배정'!$V$5:$V$1029,$A6)</x:f>
        <x:v>40</x:v>
      </x:c>
      <x:c r="K6" s="95" t="n">
        <x:f>MAX(B6:J6)</x:f>
        <x:v>40</x:v>
      </x:c>
      <x:c r="L6" s="97" t="n">
        <x:f>IFERROR(AVERAGEIF(B6:J6,"&gt;0"),0)</x:f>
        <x:v>34.666666666666664</x:v>
      </x:c>
      <x:c r="M6" s="81" t="str">
        <x:f>IF(K6&lt;=40,"정상","초과")</x:f>
        <x:v>정상</x:v>
      </x:c>
    </x:row>
    <x:row r="7">
      <x:c r="A7" s="80" t="str">
        <x:v>평원3</x:v>
      </x:c>
      <x:c r="B7" s="93" t="n">
        <x:f>COUNTIF('번호서식지_배정'!$E$5:$E$1029,$A7)+COUNTIF('번호서식지_배정'!$F$5:$F$1029,$A7)</x:f>
        <x:v>0</x:v>
      </x:c>
      <x:c r="C7" s="93" t="n">
        <x:f>COUNTIF('번호서식지_배정'!$G$5:$G$1029,$A7)+COUNTIF('번호서식지_배정'!$H$5:$H$1029,$A7)</x:f>
        <x:v>37</x:v>
      </x:c>
      <x:c r="D7" s="93" t="n">
        <x:f>COUNTIF('번호서식지_배정'!$I$5:$I$1029,$A7)+COUNTIF('번호서식지_배정'!$J$5:$J$1029,$A7)</x:f>
        <x:v>29</x:v>
      </x:c>
      <x:c r="E7" s="93" t="n">
        <x:f>COUNTIF('번호서식지_배정'!$K$5:$K$1029,$A7)+COUNTIF('번호서식지_배정'!$L$5:$L$1029,$A7)</x:f>
        <x:v>33</x:v>
      </x:c>
      <x:c r="F7" s="93" t="n">
        <x:f>COUNTIF('번호서식지_배정'!$M$5:$M$1029,$A7)+COUNTIF('번호서식지_배정'!$N$5:$N$1029,$A7)</x:f>
        <x:v>30</x:v>
      </x:c>
      <x:c r="G7" s="93" t="n">
        <x:f>COUNTIF('번호서식지_배정'!$O$5:$O$1029,$A7)+COUNTIF('번호서식지_배정'!$P$5:$P$1029,$A7)</x:f>
        <x:v>38</x:v>
      </x:c>
      <x:c r="H7" s="93" t="n">
        <x:f>COUNTIF('번호서식지_배정'!$Q$5:$Q$1029,$A7)+COUNTIF('번호서식지_배정'!$R$5:$R$1029,$A7)</x:f>
        <x:v>32</x:v>
      </x:c>
      <x:c r="I7" s="93" t="n">
        <x:f>COUNTIF('번호서식지_배정'!$S$5:$S$1029,$A7)+COUNTIF('번호서식지_배정'!$T$5:$T$1029,$A7)</x:f>
        <x:v>40</x:v>
      </x:c>
      <x:c r="J7" s="93" t="n">
        <x:f>COUNTIF('번호서식지_배정'!$U$5:$U$1029,$A7)+COUNTIF('번호서식지_배정'!$V$5:$V$1029,$A7)</x:f>
        <x:v>39</x:v>
      </x:c>
      <x:c r="K7" s="95" t="n">
        <x:f>MAX(B7:J7)</x:f>
        <x:v>40</x:v>
      </x:c>
      <x:c r="L7" s="97" t="n">
        <x:f>IFERROR(AVERAGEIF(B7:J7,"&gt;0"),0)</x:f>
        <x:v>34.75</x:v>
      </x:c>
      <x:c r="M7" s="81" t="str">
        <x:f>IF(K7&lt;=40,"정상","초과")</x:f>
        <x:v>정상</x:v>
      </x:c>
    </x:row>
    <x:row r="8">
      <x:c r="A8" s="80" t="str">
        <x:v>평원4</x:v>
      </x:c>
      <x:c r="B8" s="93" t="n">
        <x:f>COUNTIF('번호서식지_배정'!$E$5:$E$1029,$A8)+COUNTIF('번호서식지_배정'!$F$5:$F$1029,$A8)</x:f>
        <x:v>0</x:v>
      </x:c>
      <x:c r="C8" s="93" t="n">
        <x:f>COUNTIF('번호서식지_배정'!$G$5:$G$1029,$A8)+COUNTIF('번호서식지_배정'!$H$5:$H$1029,$A8)</x:f>
        <x:v>0</x:v>
      </x:c>
      <x:c r="D8" s="93" t="n">
        <x:f>COUNTIF('번호서식지_배정'!$I$5:$I$1029,$A8)+COUNTIF('번호서식지_배정'!$J$5:$J$1029,$A8)</x:f>
        <x:v>0</x:v>
      </x:c>
      <x:c r="E8" s="93" t="n">
        <x:f>COUNTIF('번호서식지_배정'!$K$5:$K$1029,$A8)+COUNTIF('번호서식지_배정'!$L$5:$L$1029,$A8)</x:f>
        <x:v>0</x:v>
      </x:c>
      <x:c r="F8" s="93" t="n">
        <x:f>COUNTIF('번호서식지_배정'!$M$5:$M$1029,$A8)+COUNTIF('번호서식지_배정'!$N$5:$N$1029,$A8)</x:f>
        <x:v>30</x:v>
      </x:c>
      <x:c r="G8" s="93" t="n">
        <x:f>COUNTIF('번호서식지_배정'!$O$5:$O$1029,$A8)+COUNTIF('번호서식지_배정'!$P$5:$P$1029,$A8)</x:f>
        <x:v>39</x:v>
      </x:c>
      <x:c r="H8" s="93" t="n">
        <x:f>COUNTIF('번호서식지_배정'!$Q$5:$Q$1029,$A8)+COUNTIF('번호서식지_배정'!$R$5:$R$1029,$A8)</x:f>
        <x:v>32</x:v>
      </x:c>
      <x:c r="I8" s="93" t="n">
        <x:f>COUNTIF('번호서식지_배정'!$S$5:$S$1029,$A8)+COUNTIF('번호서식지_배정'!$T$5:$T$1029,$A8)</x:f>
        <x:v>40</x:v>
      </x:c>
      <x:c r="J8" s="93" t="n">
        <x:f>COUNTIF('번호서식지_배정'!$U$5:$U$1029,$A8)+COUNTIF('번호서식지_배정'!$V$5:$V$1029,$A8)</x:f>
        <x:v>40</x:v>
      </x:c>
      <x:c r="K8" s="95" t="n">
        <x:f>MAX(B8:J8)</x:f>
        <x:v>40</x:v>
      </x:c>
      <x:c r="L8" s="97" t="n">
        <x:f>IFERROR(AVERAGEIF(B8:J8,"&gt;0"),0)</x:f>
        <x:v>36.2</x:v>
      </x:c>
      <x:c r="M8" s="81" t="str">
        <x:f>IF(K8&lt;=40,"정상","초과")</x:f>
        <x:v>정상</x:v>
      </x:c>
    </x:row>
    <x:row r="9">
      <x:c r="A9" s="80" t="str">
        <x:v>평원5</x:v>
      </x:c>
      <x:c r="B9" s="93" t="n">
        <x:f>COUNTIF('번호서식지_배정'!$E$5:$E$1029,$A9)+COUNTIF('번호서식지_배정'!$F$5:$F$1029,$A9)</x:f>
        <x:v>0</x:v>
      </x:c>
      <x:c r="C9" s="93" t="n">
        <x:f>COUNTIF('번호서식지_배정'!$G$5:$G$1029,$A9)+COUNTIF('번호서식지_배정'!$H$5:$H$1029,$A9)</x:f>
        <x:v>0</x:v>
      </x:c>
      <x:c r="D9" s="93" t="n">
        <x:f>COUNTIF('번호서식지_배정'!$I$5:$I$1029,$A9)+COUNTIF('번호서식지_배정'!$J$5:$J$1029,$A9)</x:f>
        <x:v>0</x:v>
      </x:c>
      <x:c r="E9" s="93" t="n">
        <x:f>COUNTIF('번호서식지_배정'!$K$5:$K$1029,$A9)+COUNTIF('번호서식지_배정'!$L$5:$L$1029,$A9)</x:f>
        <x:v>0</x:v>
      </x:c>
      <x:c r="F9" s="93" t="n">
        <x:f>COUNTIF('번호서식지_배정'!$M$5:$M$1029,$A9)+COUNTIF('번호서식지_배정'!$N$5:$N$1029,$A9)</x:f>
        <x:v>0</x:v>
      </x:c>
      <x:c r="G9" s="93" t="n">
        <x:f>COUNTIF('번호서식지_배정'!$O$5:$O$1029,$A9)+COUNTIF('번호서식지_배정'!$P$5:$P$1029,$A9)</x:f>
        <x:v>38</x:v>
      </x:c>
      <x:c r="H9" s="93" t="n">
        <x:f>COUNTIF('번호서식지_배정'!$Q$5:$Q$1029,$A9)+COUNTIF('번호서식지_배정'!$R$5:$R$1029,$A9)</x:f>
        <x:v>32</x:v>
      </x:c>
      <x:c r="I9" s="93" t="n">
        <x:f>COUNTIF('번호서식지_배정'!$S$5:$S$1029,$A9)+COUNTIF('번호서식지_배정'!$T$5:$T$1029,$A9)</x:f>
        <x:v>40</x:v>
      </x:c>
      <x:c r="J9" s="93" t="n">
        <x:f>COUNTIF('번호서식지_배정'!$U$5:$U$1029,$A9)+COUNTIF('번호서식지_배정'!$V$5:$V$1029,$A9)</x:f>
        <x:v>39</x:v>
      </x:c>
      <x:c r="K9" s="95" t="n">
        <x:f>MAX(B9:J9)</x:f>
        <x:v>40</x:v>
      </x:c>
      <x:c r="L9" s="97" t="n">
        <x:f>IFERROR(AVERAGEIF(B9:J9,"&gt;0"),0)</x:f>
        <x:v>37.25</x:v>
      </x:c>
      <x:c r="M9" s="81" t="str">
        <x:f>IF(K9&lt;=40,"정상","초과")</x:f>
        <x:v>정상</x:v>
      </x:c>
    </x:row>
    <x:row r="10">
      <x:c r="A10" s="80" t="str">
        <x:v>평원6</x:v>
      </x:c>
      <x:c r="B10" s="93" t="n">
        <x:f>COUNTIF('번호서식지_배정'!$E$5:$E$1029,$A10)+COUNTIF('번호서식지_배정'!$F$5:$F$1029,$A10)</x:f>
        <x:v>0</x:v>
      </x:c>
      <x:c r="C10" s="93" t="n">
        <x:f>COUNTIF('번호서식지_배정'!$G$5:$G$1029,$A10)+COUNTIF('번호서식지_배정'!$H$5:$H$1029,$A10)</x:f>
        <x:v>0</x:v>
      </x:c>
      <x:c r="D10" s="93" t="n">
        <x:f>COUNTIF('번호서식지_배정'!$I$5:$I$1029,$A10)+COUNTIF('번호서식지_배정'!$J$5:$J$1029,$A10)</x:f>
        <x:v>0</x:v>
      </x:c>
      <x:c r="E10" s="93" t="n">
        <x:f>COUNTIF('번호서식지_배정'!$K$5:$K$1029,$A10)+COUNTIF('번호서식지_배정'!$L$5:$L$1029,$A10)</x:f>
        <x:v>0</x:v>
      </x:c>
      <x:c r="F10" s="93" t="n">
        <x:f>COUNTIF('번호서식지_배정'!$M$5:$M$1029,$A10)+COUNTIF('번호서식지_배정'!$N$5:$N$1029,$A10)</x:f>
        <x:v>0</x:v>
      </x:c>
      <x:c r="G10" s="93" t="n">
        <x:f>COUNTIF('번호서식지_배정'!$O$5:$O$1029,$A10)+COUNTIF('번호서식지_배정'!$P$5:$P$1029,$A10)</x:f>
        <x:v>0</x:v>
      </x:c>
      <x:c r="H10" s="93" t="n">
        <x:f>COUNTIF('번호서식지_배정'!$Q$5:$Q$1029,$A10)+COUNTIF('번호서식지_배정'!$R$5:$R$1029,$A10)</x:f>
        <x:v>0</x:v>
      </x:c>
      <x:c r="I10" s="93" t="n">
        <x:f>COUNTIF('번호서식지_배정'!$S$5:$S$1029,$A10)+COUNTIF('번호서식지_배정'!$T$5:$T$1029,$A10)</x:f>
        <x:v>39</x:v>
      </x:c>
      <x:c r="J10" s="93" t="n">
        <x:f>COUNTIF('번호서식지_배정'!$U$5:$U$1029,$A10)+COUNTIF('번호서식지_배정'!$V$5:$V$1029,$A10)</x:f>
        <x:v>40</x:v>
      </x:c>
      <x:c r="K10" s="95" t="n">
        <x:f>MAX(B10:J10)</x:f>
        <x:v>40</x:v>
      </x:c>
      <x:c r="L10" s="97" t="n">
        <x:f>IFERROR(AVERAGEIF(B10:J10,"&gt;0"),0)</x:f>
        <x:v>39.5</x:v>
      </x:c>
      <x:c r="M10" s="81" t="str">
        <x:f>IF(K10&lt;=40,"정상","초과")</x:f>
        <x:v>정상</x:v>
      </x:c>
    </x:row>
    <x:row r="11">
      <x:c r="A11" s="80" t="str">
        <x:v>평원7</x:v>
      </x:c>
      <x:c r="B11" s="93" t="n">
        <x:f>COUNTIF('번호서식지_배정'!$E$5:$E$1029,$A11)+COUNTIF('번호서식지_배정'!$F$5:$F$1029,$A11)</x:f>
        <x:v>0</x:v>
      </x:c>
      <x:c r="C11" s="93" t="n">
        <x:f>COUNTIF('번호서식지_배정'!$G$5:$G$1029,$A11)+COUNTIF('번호서식지_배정'!$H$5:$H$1029,$A11)</x:f>
        <x:v>0</x:v>
      </x:c>
      <x:c r="D11" s="93" t="n">
        <x:f>COUNTIF('번호서식지_배정'!$I$5:$I$1029,$A11)+COUNTIF('번호서식지_배정'!$J$5:$J$1029,$A11)</x:f>
        <x:v>0</x:v>
      </x:c>
      <x:c r="E11" s="93" t="n">
        <x:f>COUNTIF('번호서식지_배정'!$K$5:$K$1029,$A11)+COUNTIF('번호서식지_배정'!$L$5:$L$1029,$A11)</x:f>
        <x:v>0</x:v>
      </x:c>
      <x:c r="F11" s="93" t="n">
        <x:f>COUNTIF('번호서식지_배정'!$M$5:$M$1029,$A11)+COUNTIF('번호서식지_배정'!$N$5:$N$1029,$A11)</x:f>
        <x:v>0</x:v>
      </x:c>
      <x:c r="G11" s="93" t="n">
        <x:f>COUNTIF('번호서식지_배정'!$O$5:$O$1029,$A11)+COUNTIF('번호서식지_배정'!$P$5:$P$1029,$A11)</x:f>
        <x:v>0</x:v>
      </x:c>
      <x:c r="H11" s="93" t="n">
        <x:f>COUNTIF('번호서식지_배정'!$Q$5:$Q$1029,$A11)+COUNTIF('번호서식지_배정'!$R$5:$R$1029,$A11)</x:f>
        <x:v>0</x:v>
      </x:c>
      <x:c r="I11" s="93" t="n">
        <x:f>COUNTIF('번호서식지_배정'!$S$5:$S$1029,$A11)+COUNTIF('번호서식지_배정'!$T$5:$T$1029,$A11)</x:f>
        <x:v>0</x:v>
      </x:c>
      <x:c r="J11" s="93" t="n">
        <x:f>COUNTIF('번호서식지_배정'!$U$5:$U$1029,$A11)+COUNTIF('번호서식지_배정'!$V$5:$V$1029,$A11)</x:f>
        <x:v>39</x:v>
      </x:c>
      <x:c r="K11" s="95" t="n">
        <x:f>MAX(B11:J11)</x:f>
        <x:v>39</x:v>
      </x:c>
      <x:c r="L11" s="97" t="n">
        <x:f>IFERROR(AVERAGEIF(B11:J11,"&gt;0"),0)</x:f>
        <x:v>39</x:v>
      </x:c>
      <x:c r="M11" s="81" t="str">
        <x:f>IF(K11&lt;=40,"정상","초과")</x:f>
        <x:v>정상</x:v>
      </x:c>
    </x:row>
    <x:row r="12">
      <x:c r="A12" s="80" t="str">
        <x:v>숲1</x:v>
      </x:c>
      <x:c r="B12" s="93" t="n">
        <x:f>COUNTIF('번호서식지_배정'!$E$5:$E$1029,$A12)+COUNTIF('번호서식지_배정'!$F$5:$F$1029,$A12)</x:f>
        <x:v>29</x:v>
      </x:c>
      <x:c r="C12" s="93" t="n">
        <x:f>COUNTIF('번호서식지_배정'!$G$5:$G$1029,$A12)+COUNTIF('번호서식지_배정'!$H$5:$H$1029,$A12)</x:f>
        <x:v>32</x:v>
      </x:c>
      <x:c r="D12" s="93" t="n">
        <x:f>COUNTIF('번호서식지_배정'!$I$5:$I$1029,$A12)+COUNTIF('번호서식지_배정'!$J$5:$J$1029,$A12)</x:f>
        <x:v>31</x:v>
      </x:c>
      <x:c r="E12" s="93" t="n">
        <x:f>COUNTIF('번호서식지_배정'!$K$5:$K$1029,$A12)+COUNTIF('번호서식지_배정'!$L$5:$L$1029,$A12)</x:f>
        <x:v>27</x:v>
      </x:c>
      <x:c r="F12" s="93" t="n">
        <x:f>COUNTIF('번호서식지_배정'!$M$5:$M$1029,$A12)+COUNTIF('번호서식지_배정'!$N$5:$N$1029,$A12)</x:f>
        <x:v>36</x:v>
      </x:c>
      <x:c r="G12" s="93" t="n">
        <x:f>COUNTIF('번호서식지_배정'!$O$5:$O$1029,$A12)+COUNTIF('번호서식지_배정'!$P$5:$P$1029,$A12)</x:f>
        <x:v>36</x:v>
      </x:c>
      <x:c r="H12" s="93" t="n">
        <x:f>COUNTIF('번호서식지_배정'!$Q$5:$Q$1029,$A12)+COUNTIF('번호서식지_배정'!$R$5:$R$1029,$A12)</x:f>
        <x:v>34</x:v>
      </x:c>
      <x:c r="I12" s="93" t="n">
        <x:f>COUNTIF('번호서식지_배정'!$S$5:$S$1029,$A12)+COUNTIF('번호서식지_배정'!$T$5:$T$1029,$A12)</x:f>
        <x:v>37</x:v>
      </x:c>
      <x:c r="J12" s="93" t="n">
        <x:f>COUNTIF('번호서식지_배정'!$U$5:$U$1029,$A12)+COUNTIF('번호서식지_배정'!$V$5:$V$1029,$A12)</x:f>
        <x:v>36</x:v>
      </x:c>
      <x:c r="K12" s="95" t="n">
        <x:f>MAX(B12:J12)</x:f>
        <x:v>37</x:v>
      </x:c>
      <x:c r="L12" s="97" t="n">
        <x:f>IFERROR(AVERAGEIF(B12:J12,"&gt;0"),0)</x:f>
        <x:v>33.111111111111114</x:v>
      </x:c>
      <x:c r="M12" s="81" t="str">
        <x:f>IF(K12&lt;=40,"정상","초과")</x:f>
        <x:v>정상</x:v>
      </x:c>
    </x:row>
    <x:row r="13">
      <x:c r="A13" s="80" t="str">
        <x:v>숲2</x:v>
      </x:c>
      <x:c r="B13" s="93" t="n">
        <x:f>COUNTIF('번호서식지_배정'!$E$5:$E$1029,$A13)+COUNTIF('번호서식지_배정'!$F$5:$F$1029,$A13)</x:f>
        <x:v>28</x:v>
      </x:c>
      <x:c r="C13" s="93" t="n">
        <x:f>COUNTIF('번호서식지_배정'!$G$5:$G$1029,$A13)+COUNTIF('번호서식지_배정'!$H$5:$H$1029,$A13)</x:f>
        <x:v>32</x:v>
      </x:c>
      <x:c r="D13" s="93" t="n">
        <x:f>COUNTIF('번호서식지_배정'!$I$5:$I$1029,$A13)+COUNTIF('번호서식지_배정'!$J$5:$J$1029,$A13)</x:f>
        <x:v>30</x:v>
      </x:c>
      <x:c r="E13" s="93" t="n">
        <x:f>COUNTIF('번호서식지_배정'!$K$5:$K$1029,$A13)+COUNTIF('번호서식지_배정'!$L$5:$L$1029,$A13)</x:f>
        <x:v>27</x:v>
      </x:c>
      <x:c r="F13" s="93" t="n">
        <x:f>COUNTIF('번호서식지_배정'!$M$5:$M$1029,$A13)+COUNTIF('번호서식지_배정'!$N$5:$N$1029,$A13)</x:f>
        <x:v>36</x:v>
      </x:c>
      <x:c r="G13" s="93" t="n">
        <x:f>COUNTIF('번호서식지_배정'!$O$5:$O$1029,$A13)+COUNTIF('번호서식지_배정'!$P$5:$P$1029,$A13)</x:f>
        <x:v>36</x:v>
      </x:c>
      <x:c r="H13" s="93" t="n">
        <x:f>COUNTIF('번호서식지_배정'!$Q$5:$Q$1029,$A13)+COUNTIF('번호서식지_배정'!$R$5:$R$1029,$A13)</x:f>
        <x:v>33</x:v>
      </x:c>
      <x:c r="I13" s="93" t="n">
        <x:f>COUNTIF('번호서식지_배정'!$S$5:$S$1029,$A13)+COUNTIF('번호서식지_배정'!$T$5:$T$1029,$A13)</x:f>
        <x:v>36</x:v>
      </x:c>
      <x:c r="J13" s="93" t="n">
        <x:f>COUNTIF('번호서식지_배정'!$U$5:$U$1029,$A13)+COUNTIF('번호서식지_배정'!$V$5:$V$1029,$A13)</x:f>
        <x:v>35</x:v>
      </x:c>
      <x:c r="K13" s="95" t="n">
        <x:f>MAX(B13:J13)</x:f>
        <x:v>36</x:v>
      </x:c>
      <x:c r="L13" s="97" t="n">
        <x:f>IFERROR(AVERAGEIF(B13:J13,"&gt;0"),0)</x:f>
        <x:v>32.55555555555556</x:v>
      </x:c>
      <x:c r="M13" s="81" t="str">
        <x:f>IF(K13&lt;=40,"정상","초과")</x:f>
        <x:v>정상</x:v>
      </x:c>
    </x:row>
    <x:row r="14">
      <x:c r="A14" s="80" t="str">
        <x:v>숲3</x:v>
      </x:c>
      <x:c r="B14" s="93" t="n">
        <x:f>COUNTIF('번호서식지_배정'!$E$5:$E$1029,$A14)+COUNTIF('번호서식지_배정'!$F$5:$F$1029,$A14)</x:f>
        <x:v>0</x:v>
      </x:c>
      <x:c r="C14" s="93" t="n">
        <x:f>COUNTIF('번호서식지_배정'!$G$5:$G$1029,$A14)+COUNTIF('번호서식지_배정'!$H$5:$H$1029,$A14)</x:f>
        <x:v>31</x:v>
      </x:c>
      <x:c r="D14" s="93" t="n">
        <x:f>COUNTIF('번호서식지_배정'!$I$5:$I$1029,$A14)+COUNTIF('번호서식지_배정'!$J$5:$J$1029,$A14)</x:f>
        <x:v>0</x:v>
      </x:c>
      <x:c r="E14" s="93" t="n">
        <x:f>COUNTIF('번호서식지_배정'!$K$5:$K$1029,$A14)+COUNTIF('번호서식지_배정'!$L$5:$L$1029,$A14)</x:f>
        <x:v>27</x:v>
      </x:c>
      <x:c r="F14" s="93" t="n">
        <x:f>COUNTIF('번호서식지_배정'!$M$5:$M$1029,$A14)+COUNTIF('번호서식지_배정'!$N$5:$N$1029,$A14)</x:f>
        <x:v>36</x:v>
      </x:c>
      <x:c r="G14" s="93" t="n">
        <x:f>COUNTIF('번호서식지_배정'!$O$5:$O$1029,$A14)+COUNTIF('번호서식지_배정'!$P$5:$P$1029,$A14)</x:f>
        <x:v>36</x:v>
      </x:c>
      <x:c r="H14" s="93" t="n">
        <x:f>COUNTIF('번호서식지_배정'!$Q$5:$Q$1029,$A14)+COUNTIF('번호서식지_배정'!$R$5:$R$1029,$A14)</x:f>
        <x:v>34</x:v>
      </x:c>
      <x:c r="I14" s="93" t="n">
        <x:f>COUNTIF('번호서식지_배정'!$S$5:$S$1029,$A14)+COUNTIF('번호서식지_배정'!$T$5:$T$1029,$A14)</x:f>
        <x:v>36</x:v>
      </x:c>
      <x:c r="J14" s="93" t="n">
        <x:f>COUNTIF('번호서식지_배정'!$U$5:$U$1029,$A14)+COUNTIF('번호서식지_배정'!$V$5:$V$1029,$A14)</x:f>
        <x:v>36</x:v>
      </x:c>
      <x:c r="K14" s="95" t="n">
        <x:f>MAX(B14:J14)</x:f>
        <x:v>36</x:v>
      </x:c>
      <x:c r="L14" s="97" t="n">
        <x:f>IFERROR(AVERAGEIF(B14:J14,"&gt;0"),0)</x:f>
        <x:v>33.714285714285715</x:v>
      </x:c>
      <x:c r="M14" s="81" t="str">
        <x:f>IF(K14&lt;=40,"정상","초과")</x:f>
        <x:v>정상</x:v>
      </x:c>
    </x:row>
    <x:row r="15">
      <x:c r="A15" s="80" t="str">
        <x:v>숲4</x:v>
      </x:c>
      <x:c r="B15" s="93" t="n">
        <x:f>COUNTIF('번호서식지_배정'!$E$5:$E$1029,$A15)+COUNTIF('번호서식지_배정'!$F$5:$F$1029,$A15)</x:f>
        <x:v>0</x:v>
      </x:c>
      <x:c r="C15" s="93" t="n">
        <x:f>COUNTIF('번호서식지_배정'!$G$5:$G$1029,$A15)+COUNTIF('번호서식지_배정'!$H$5:$H$1029,$A15)</x:f>
        <x:v>0</x:v>
      </x:c>
      <x:c r="D15" s="93" t="n">
        <x:f>COUNTIF('번호서식지_배정'!$I$5:$I$1029,$A15)+COUNTIF('번호서식지_배정'!$J$5:$J$1029,$A15)</x:f>
        <x:v>0</x:v>
      </x:c>
      <x:c r="E15" s="93" t="n">
        <x:f>COUNTIF('번호서식지_배정'!$K$5:$K$1029,$A15)+COUNTIF('번호서식지_배정'!$L$5:$L$1029,$A15)</x:f>
        <x:v>0</x:v>
      </x:c>
      <x:c r="F15" s="93" t="n">
        <x:f>COUNTIF('번호서식지_배정'!$M$5:$M$1029,$A15)+COUNTIF('번호서식지_배정'!$N$5:$N$1029,$A15)</x:f>
        <x:v>0</x:v>
      </x:c>
      <x:c r="G15" s="93" t="n">
        <x:f>COUNTIF('번호서식지_배정'!$O$5:$O$1029,$A15)+COUNTIF('번호서식지_배정'!$P$5:$P$1029,$A15)</x:f>
        <x:v>36</x:v>
      </x:c>
      <x:c r="H15" s="93" t="n">
        <x:f>COUNTIF('번호서식지_배정'!$Q$5:$Q$1029,$A15)+COUNTIF('번호서식지_배정'!$R$5:$R$1029,$A15)</x:f>
        <x:v>33</x:v>
      </x:c>
      <x:c r="I15" s="93" t="n">
        <x:f>COUNTIF('번호서식지_배정'!$S$5:$S$1029,$A15)+COUNTIF('번호서식지_배정'!$T$5:$T$1029,$A15)</x:f>
        <x:v>37</x:v>
      </x:c>
      <x:c r="J15" s="93" t="n">
        <x:f>COUNTIF('번호서식지_배정'!$U$5:$U$1029,$A15)+COUNTIF('번호서식지_배정'!$V$5:$V$1029,$A15)</x:f>
        <x:v>35</x:v>
      </x:c>
      <x:c r="K15" s="95" t="n">
        <x:f>MAX(B15:J15)</x:f>
        <x:v>37</x:v>
      </x:c>
      <x:c r="L15" s="97" t="n">
        <x:f>IFERROR(AVERAGEIF(B15:J15,"&gt;0"),0)</x:f>
        <x:v>35.25</x:v>
      </x:c>
      <x:c r="M15" s="81" t="str">
        <x:f>IF(K15&lt;=40,"정상","초과")</x:f>
        <x:v>정상</x:v>
      </x:c>
    </x:row>
    <x:row r="16">
      <x:c r="A16" s="80" t="str">
        <x:v>숲5</x:v>
      </x:c>
      <x:c r="B16" s="93" t="n">
        <x:f>COUNTIF('번호서식지_배정'!$E$5:$E$1029,$A16)+COUNTIF('번호서식지_배정'!$F$5:$F$1029,$A16)</x:f>
        <x:v>0</x:v>
      </x:c>
      <x:c r="C16" s="93" t="n">
        <x:f>COUNTIF('번호서식지_배정'!$G$5:$G$1029,$A16)+COUNTIF('번호서식지_배정'!$H$5:$H$1029,$A16)</x:f>
        <x:v>0</x:v>
      </x:c>
      <x:c r="D16" s="93" t="n">
        <x:f>COUNTIF('번호서식지_배정'!$I$5:$I$1029,$A16)+COUNTIF('번호서식지_배정'!$J$5:$J$1029,$A16)</x:f>
        <x:v>0</x:v>
      </x:c>
      <x:c r="E16" s="93" t="n">
        <x:f>COUNTIF('번호서식지_배정'!$K$5:$K$1029,$A16)+COUNTIF('번호서식지_배정'!$L$5:$L$1029,$A16)</x:f>
        <x:v>0</x:v>
      </x:c>
      <x:c r="F16" s="93" t="n">
        <x:f>COUNTIF('번호서식지_배정'!$M$5:$M$1029,$A16)+COUNTIF('번호서식지_배정'!$N$5:$N$1029,$A16)</x:f>
        <x:v>0</x:v>
      </x:c>
      <x:c r="G16" s="93" t="n">
        <x:f>COUNTIF('번호서식지_배정'!$O$5:$O$1029,$A16)+COUNTIF('번호서식지_배정'!$P$5:$P$1029,$A16)</x:f>
        <x:v>35</x:v>
      </x:c>
      <x:c r="H16" s="93" t="n">
        <x:f>COUNTIF('번호서식지_배정'!$Q$5:$Q$1029,$A16)+COUNTIF('번호서식지_배정'!$R$5:$R$1029,$A16)</x:f>
        <x:v>0</x:v>
      </x:c>
      <x:c r="I16" s="93" t="n">
        <x:f>COUNTIF('번호서식지_배정'!$S$5:$S$1029,$A16)+COUNTIF('번호서식지_배정'!$T$5:$T$1029,$A16)</x:f>
        <x:v>36</x:v>
      </x:c>
      <x:c r="J16" s="93" t="n">
        <x:f>COUNTIF('번호서식지_배정'!$U$5:$U$1029,$A16)+COUNTIF('번호서식지_배정'!$V$5:$V$1029,$A16)</x:f>
        <x:v>36</x:v>
      </x:c>
      <x:c r="K16" s="95" t="n">
        <x:f>MAX(B16:J16)</x:f>
        <x:v>36</x:v>
      </x:c>
      <x:c r="L16" s="97" t="n">
        <x:f>IFERROR(AVERAGEIF(B16:J16,"&gt;0"),0)</x:f>
        <x:v>35.666666666666664</x:v>
      </x:c>
      <x:c r="M16" s="81" t="str">
        <x:f>IF(K16&lt;=40,"정상","초과")</x:f>
        <x:v>정상</x:v>
      </x:c>
    </x:row>
    <x:row r="17">
      <x:c r="A17" s="80" t="str">
        <x:v>숲6</x:v>
      </x:c>
      <x:c r="B17" s="93" t="n">
        <x:f>COUNTIF('번호서식지_배정'!$E$5:$E$1029,$A17)+COUNTIF('번호서식지_배정'!$F$5:$F$1029,$A17)</x:f>
        <x:v>0</x:v>
      </x:c>
      <x:c r="C17" s="93" t="n">
        <x:f>COUNTIF('번호서식지_배정'!$G$5:$G$1029,$A17)+COUNTIF('번호서식지_배정'!$H$5:$H$1029,$A17)</x:f>
        <x:v>0</x:v>
      </x:c>
      <x:c r="D17" s="93" t="n">
        <x:f>COUNTIF('번호서식지_배정'!$I$5:$I$1029,$A17)+COUNTIF('번호서식지_배정'!$J$5:$J$1029,$A17)</x:f>
        <x:v>0</x:v>
      </x:c>
      <x:c r="E17" s="93" t="n">
        <x:f>COUNTIF('번호서식지_배정'!$K$5:$K$1029,$A17)+COUNTIF('번호서식지_배정'!$L$5:$L$1029,$A17)</x:f>
        <x:v>0</x:v>
      </x:c>
      <x:c r="F17" s="93" t="n">
        <x:f>COUNTIF('번호서식지_배정'!$M$5:$M$1029,$A17)+COUNTIF('번호서식지_배정'!$N$5:$N$1029,$A17)</x:f>
        <x:v>0</x:v>
      </x:c>
      <x:c r="G17" s="93" t="n">
        <x:f>COUNTIF('번호서식지_배정'!$O$5:$O$1029,$A17)+COUNTIF('번호서식지_배정'!$P$5:$P$1029,$A17)</x:f>
        <x:v>0</x:v>
      </x:c>
      <x:c r="H17" s="93" t="n">
        <x:f>COUNTIF('번호서식지_배정'!$Q$5:$Q$1029,$A17)+COUNTIF('번호서식지_배정'!$R$5:$R$1029,$A17)</x:f>
        <x:v>0</x:v>
      </x:c>
      <x:c r="I17" s="93" t="n">
        <x:f>COUNTIF('번호서식지_배정'!$S$5:$S$1029,$A17)+COUNTIF('번호서식지_배정'!$T$5:$T$1029,$A17)</x:f>
        <x:v>36</x:v>
      </x:c>
      <x:c r="J17" s="93" t="n">
        <x:f>COUNTIF('번호서식지_배정'!$U$5:$U$1029,$A17)+COUNTIF('번호서식지_배정'!$V$5:$V$1029,$A17)</x:f>
        <x:v>35</x:v>
      </x:c>
      <x:c r="K17" s="95" t="n">
        <x:f>MAX(B17:J17)</x:f>
        <x:v>36</x:v>
      </x:c>
      <x:c r="L17" s="97" t="n">
        <x:f>IFERROR(AVERAGEIF(B17:J17,"&gt;0"),0)</x:f>
        <x:v>35.5</x:v>
      </x:c>
      <x:c r="M17" s="81" t="str">
        <x:f>IF(K17&lt;=40,"정상","초과")</x:f>
        <x:v>정상</x:v>
      </x:c>
    </x:row>
    <x:row r="18">
      <x:c r="A18" s="80" t="str">
        <x:v>숲7</x:v>
      </x:c>
      <x:c r="B18" s="93" t="n">
        <x:f>COUNTIF('번호서식지_배정'!$E$5:$E$1029,$A18)+COUNTIF('번호서식지_배정'!$F$5:$F$1029,$A18)</x:f>
        <x:v>0</x:v>
      </x:c>
      <x:c r="C18" s="93" t="n">
        <x:f>COUNTIF('번호서식지_배정'!$G$5:$G$1029,$A18)+COUNTIF('번호서식지_배정'!$H$5:$H$1029,$A18)</x:f>
        <x:v>0</x:v>
      </x:c>
      <x:c r="D18" s="93" t="n">
        <x:f>COUNTIF('번호서식지_배정'!$I$5:$I$1029,$A18)+COUNTIF('번호서식지_배정'!$J$5:$J$1029,$A18)</x:f>
        <x:v>0</x:v>
      </x:c>
      <x:c r="E18" s="93" t="n">
        <x:f>COUNTIF('번호서식지_배정'!$K$5:$K$1029,$A18)+COUNTIF('번호서식지_배정'!$L$5:$L$1029,$A18)</x:f>
        <x:v>0</x:v>
      </x:c>
      <x:c r="F18" s="93" t="n">
        <x:f>COUNTIF('번호서식지_배정'!$M$5:$M$1029,$A18)+COUNTIF('번호서식지_배정'!$N$5:$N$1029,$A18)</x:f>
        <x:v>0</x:v>
      </x:c>
      <x:c r="G18" s="93" t="n">
        <x:f>COUNTIF('번호서식지_배정'!$O$5:$O$1029,$A18)+COUNTIF('번호서식지_배정'!$P$5:$P$1029,$A18)</x:f>
        <x:v>0</x:v>
      </x:c>
      <x:c r="H18" s="93" t="n">
        <x:f>COUNTIF('번호서식지_배정'!$Q$5:$Q$1029,$A18)+COUNTIF('번호서식지_배정'!$R$5:$R$1029,$A18)</x:f>
        <x:v>0</x:v>
      </x:c>
      <x:c r="I18" s="93" t="n">
        <x:f>COUNTIF('번호서식지_배정'!$S$5:$S$1029,$A18)+COUNTIF('번호서식지_배정'!$T$5:$T$1029,$A18)</x:f>
        <x:v>0</x:v>
      </x:c>
      <x:c r="J18" s="93" t="n">
        <x:f>COUNTIF('번호서식지_배정'!$U$5:$U$1029,$A18)+COUNTIF('번호서식지_배정'!$V$5:$V$1029,$A18)</x:f>
        <x:v>35</x:v>
      </x:c>
      <x:c r="K18" s="95" t="n">
        <x:f>MAX(B18:J18)</x:f>
        <x:v>35</x:v>
      </x:c>
      <x:c r="L18" s="97" t="n">
        <x:f>IFERROR(AVERAGEIF(B18:J18,"&gt;0"),0)</x:f>
        <x:v>35</x:v>
      </x:c>
      <x:c r="M18" s="81" t="str">
        <x:f>IF(K18&lt;=40,"정상","초과")</x:f>
        <x:v>정상</x:v>
      </x:c>
    </x:row>
    <x:row r="19">
      <x:c r="A19" s="80" t="str">
        <x:v>건조지1</x:v>
      </x:c>
      <x:c r="B19" s="93" t="n">
        <x:f>COUNTIF('번호서식지_배정'!$E$5:$E$1029,$A19)+COUNTIF('번호서식지_배정'!$F$5:$F$1029,$A19)</x:f>
        <x:v>19</x:v>
      </x:c>
      <x:c r="C19" s="93" t="n">
        <x:f>COUNTIF('번호서식지_배정'!$G$5:$G$1029,$A19)+COUNTIF('번호서식지_배정'!$H$5:$H$1029,$A19)</x:f>
        <x:v>34</x:v>
      </x:c>
      <x:c r="D19" s="93" t="n">
        <x:f>COUNTIF('번호서식지_배정'!$I$5:$I$1029,$A19)+COUNTIF('번호서식지_배정'!$J$5:$J$1029,$A19)</x:f>
        <x:v>26</x:v>
      </x:c>
      <x:c r="E19" s="93" t="n">
        <x:f>COUNTIF('번호서식지_배정'!$K$5:$K$1029,$A19)+COUNTIF('번호서식지_배정'!$L$5:$L$1029,$A19)</x:f>
        <x:v>27</x:v>
      </x:c>
      <x:c r="F19" s="93" t="n">
        <x:f>COUNTIF('번호서식지_배정'!$M$5:$M$1029,$A19)+COUNTIF('번호서식지_배정'!$N$5:$N$1029,$A19)</x:f>
        <x:v>25</x:v>
      </x:c>
      <x:c r="G19" s="93" t="n">
        <x:f>COUNTIF('번호서식지_배정'!$O$5:$O$1029,$A19)+COUNTIF('번호서식지_배정'!$P$5:$P$1029,$A19)</x:f>
        <x:v>30</x:v>
      </x:c>
      <x:c r="H19" s="93" t="n">
        <x:f>COUNTIF('번호서식지_배정'!$Q$5:$Q$1029,$A19)+COUNTIF('번호서식지_배정'!$R$5:$R$1029,$A19)</x:f>
        <x:v>24</x:v>
      </x:c>
      <x:c r="I19" s="93" t="n">
        <x:f>COUNTIF('번호서식지_배정'!$S$5:$S$1029,$A19)+COUNTIF('번호서식지_배정'!$T$5:$T$1029,$A19)</x:f>
        <x:v>37</x:v>
      </x:c>
      <x:c r="J19" s="93" t="n">
        <x:f>COUNTIF('번호서식지_배정'!$U$5:$U$1029,$A19)+COUNTIF('번호서식지_배정'!$V$5:$V$1029,$A19)</x:f>
        <x:v>38</x:v>
      </x:c>
      <x:c r="K19" s="95" t="n">
        <x:f>MAX(B19:J19)</x:f>
        <x:v>38</x:v>
      </x:c>
      <x:c r="L19" s="97" t="n">
        <x:f>IFERROR(AVERAGEIF(B19:J19,"&gt;0"),0)</x:f>
        <x:v>28.88888888888889</x:v>
      </x:c>
      <x:c r="M19" s="81" t="str">
        <x:f>IF(K19&lt;=40,"정상","초과")</x:f>
        <x:v>정상</x:v>
      </x:c>
    </x:row>
    <x:row r="20">
      <x:c r="A20" s="80" t="str">
        <x:v>건조지2</x:v>
      </x:c>
      <x:c r="B20" s="93" t="n">
        <x:f>COUNTIF('번호서식지_배정'!$E$5:$E$1029,$A20)+COUNTIF('번호서식지_배정'!$F$5:$F$1029,$A20)</x:f>
        <x:v>0</x:v>
      </x:c>
      <x:c r="C20" s="93" t="n">
        <x:f>COUNTIF('번호서식지_배정'!$G$5:$G$1029,$A20)+COUNTIF('번호서식지_배정'!$H$5:$H$1029,$A20)</x:f>
        <x:v>0</x:v>
      </x:c>
      <x:c r="D20" s="93" t="n">
        <x:f>COUNTIF('번호서식지_배정'!$I$5:$I$1029,$A20)+COUNTIF('번호서식지_배정'!$J$5:$J$1029,$A20)</x:f>
        <x:v>0</x:v>
      </x:c>
      <x:c r="E20" s="93" t="n">
        <x:f>COUNTIF('번호서식지_배정'!$K$5:$K$1029,$A20)+COUNTIF('번호서식지_배정'!$L$5:$L$1029,$A20)</x:f>
        <x:v>0</x:v>
      </x:c>
      <x:c r="F20" s="93" t="n">
        <x:f>COUNTIF('번호서식지_배정'!$M$5:$M$1029,$A20)+COUNTIF('번호서식지_배정'!$N$5:$N$1029,$A20)</x:f>
        <x:v>25</x:v>
      </x:c>
      <x:c r="G20" s="93" t="n">
        <x:f>COUNTIF('번호서식지_배정'!$O$5:$O$1029,$A20)+COUNTIF('번호서식지_배정'!$P$5:$P$1029,$A20)</x:f>
        <x:v>30</x:v>
      </x:c>
      <x:c r="H20" s="93" t="n">
        <x:f>COUNTIF('번호서식지_배정'!$Q$5:$Q$1029,$A20)+COUNTIF('번호서식지_배정'!$R$5:$R$1029,$A20)</x:f>
        <x:v>23</x:v>
      </x:c>
      <x:c r="I20" s="93" t="n">
        <x:f>COUNTIF('번호서식지_배정'!$S$5:$S$1029,$A20)+COUNTIF('번호서식지_배정'!$T$5:$T$1029,$A20)</x:f>
        <x:v>37</x:v>
      </x:c>
      <x:c r="J20" s="93" t="n">
        <x:f>COUNTIF('번호서식지_배정'!$U$5:$U$1029,$A20)+COUNTIF('번호서식지_배정'!$V$5:$V$1029,$A20)</x:f>
        <x:v>37</x:v>
      </x:c>
      <x:c r="K20" s="95" t="n">
        <x:f>MAX(B20:J20)</x:f>
        <x:v>37</x:v>
      </x:c>
      <x:c r="L20" s="97" t="n">
        <x:f>IFERROR(AVERAGEIF(B20:J20,"&gt;0"),0)</x:f>
        <x:v>30.4</x:v>
      </x:c>
      <x:c r="M20" s="81" t="str">
        <x:f>IF(K20&lt;=40,"정상","초과")</x:f>
        <x:v>정상</x:v>
      </x:c>
    </x:row>
    <x:row r="21">
      <x:c r="A21" s="80" t="str">
        <x:v>건조지3</x:v>
      </x:c>
      <x:c r="B21" s="93" t="n">
        <x:f>COUNTIF('번호서식지_배정'!$E$5:$E$1029,$A21)+COUNTIF('번호서식지_배정'!$F$5:$F$1029,$A21)</x:f>
        <x:v>0</x:v>
      </x:c>
      <x:c r="C21" s="93" t="n">
        <x:f>COUNTIF('번호서식지_배정'!$G$5:$G$1029,$A21)+COUNTIF('번호서식지_배정'!$H$5:$H$1029,$A21)</x:f>
        <x:v>0</x:v>
      </x:c>
      <x:c r="D21" s="93" t="n">
        <x:f>COUNTIF('번호서식지_배정'!$I$5:$I$1029,$A21)+COUNTIF('번호서식지_배정'!$J$5:$J$1029,$A21)</x:f>
        <x:v>0</x:v>
      </x:c>
      <x:c r="E21" s="93" t="n">
        <x:f>COUNTIF('번호서식지_배정'!$K$5:$K$1029,$A21)+COUNTIF('번호서식지_배정'!$L$5:$L$1029,$A21)</x:f>
        <x:v>0</x:v>
      </x:c>
      <x:c r="F21" s="93" t="n">
        <x:f>COUNTIF('번호서식지_배정'!$M$5:$M$1029,$A21)+COUNTIF('번호서식지_배정'!$N$5:$N$1029,$A21)</x:f>
        <x:v>0</x:v>
      </x:c>
      <x:c r="G21" s="93" t="n">
        <x:f>COUNTIF('번호서식지_배정'!$O$5:$O$1029,$A21)+COUNTIF('번호서식지_배정'!$P$5:$P$1029,$A21)</x:f>
        <x:v>0</x:v>
      </x:c>
      <x:c r="H21" s="93" t="n">
        <x:f>COUNTIF('번호서식지_배정'!$Q$5:$Q$1029,$A21)+COUNTIF('번호서식지_배정'!$R$5:$R$1029,$A21)</x:f>
        <x:v>0</x:v>
      </x:c>
      <x:c r="I21" s="93" t="n">
        <x:f>COUNTIF('번호서식지_배정'!$S$5:$S$1029,$A21)+COUNTIF('번호서식지_배정'!$T$5:$T$1029,$A21)</x:f>
        <x:v>0</x:v>
      </x:c>
      <x:c r="J21" s="93" t="n">
        <x:f>COUNTIF('번호서식지_배정'!$U$5:$U$1029,$A21)+COUNTIF('번호서식지_배정'!$V$5:$V$1029,$A21)</x:f>
        <x:v>37</x:v>
      </x:c>
      <x:c r="K21" s="95" t="n">
        <x:f>MAX(B21:J21)</x:f>
        <x:v>37</x:v>
      </x:c>
      <x:c r="L21" s="97" t="n">
        <x:f>IFERROR(AVERAGEIF(B21:J21,"&gt;0"),0)</x:f>
        <x:v>37</x:v>
      </x:c>
      <x:c r="M21" s="81" t="str">
        <x:f>IF(K21&lt;=40,"정상","초과")</x:f>
        <x:v>정상</x:v>
      </x:c>
    </x:row>
    <x:row r="22">
      <x:c r="A22" s="80" t="str">
        <x:v>산악1</x:v>
      </x:c>
      <x:c r="B22" s="93" t="n">
        <x:f>COUNTIF('번호서식지_배정'!$E$5:$E$1029,$A22)+COUNTIF('번호서식지_배정'!$F$5:$F$1029,$A22)</x:f>
        <x:v>27</x:v>
      </x:c>
      <x:c r="C22" s="93" t="n">
        <x:f>COUNTIF('번호서식지_배정'!$G$5:$G$1029,$A22)+COUNTIF('번호서식지_배정'!$H$5:$H$1029,$A22)</x:f>
        <x:v>25</x:v>
      </x:c>
      <x:c r="D22" s="93" t="n">
        <x:f>COUNTIF('번호서식지_배정'!$I$5:$I$1029,$A22)+COUNTIF('번호서식지_배정'!$J$5:$J$1029,$A22)</x:f>
        <x:v>21</x:v>
      </x:c>
      <x:c r="E22" s="93" t="n">
        <x:f>COUNTIF('번호서식지_배정'!$K$5:$K$1029,$A22)+COUNTIF('번호서식지_배정'!$L$5:$L$1029,$A22)</x:f>
        <x:v>24</x:v>
      </x:c>
      <x:c r="F22" s="93" t="n">
        <x:f>COUNTIF('번호서식지_배정'!$M$5:$M$1029,$A22)+COUNTIF('번호서식지_배정'!$N$5:$N$1029,$A22)</x:f>
        <x:v>37</x:v>
      </x:c>
      <x:c r="G22" s="93" t="n">
        <x:f>COUNTIF('번호서식지_배정'!$O$5:$O$1029,$A22)+COUNTIF('번호서식지_배정'!$P$5:$P$1029,$A22)</x:f>
        <x:v>35</x:v>
      </x:c>
      <x:c r="H22" s="93" t="n">
        <x:f>COUNTIF('번호서식지_배정'!$Q$5:$Q$1029,$A22)+COUNTIF('번호서식지_배정'!$R$5:$R$1029,$A22)</x:f>
        <x:v>36</x:v>
      </x:c>
      <x:c r="I22" s="93" t="n">
        <x:f>COUNTIF('번호서식지_배정'!$S$5:$S$1029,$A22)+COUNTIF('번호서식지_배정'!$T$5:$T$1029,$A22)</x:f>
        <x:v>34</x:v>
      </x:c>
      <x:c r="J22" s="93" t="n">
        <x:f>COUNTIF('번호서식지_배정'!$U$5:$U$1029,$A22)+COUNTIF('번호서식지_배정'!$V$5:$V$1029,$A22)</x:f>
        <x:v>32</x:v>
      </x:c>
      <x:c r="K22" s="95" t="n">
        <x:f>MAX(B22:J22)</x:f>
        <x:v>37</x:v>
      </x:c>
      <x:c r="L22" s="97" t="n">
        <x:f>IFERROR(AVERAGEIF(B22:J22,"&gt;0"),0)</x:f>
        <x:v>30.11111111111111</x:v>
      </x:c>
      <x:c r="M22" s="81" t="str">
        <x:f>IF(K22&lt;=40,"정상","초과")</x:f>
        <x:v>정상</x:v>
      </x:c>
    </x:row>
    <x:row r="23">
      <x:c r="A23" s="80" t="str">
        <x:v>산악2</x:v>
      </x:c>
      <x:c r="B23" s="93" t="n">
        <x:f>COUNTIF('번호서식지_배정'!$E$5:$E$1029,$A23)+COUNTIF('번호서식지_배정'!$F$5:$F$1029,$A23)</x:f>
        <x:v>0</x:v>
      </x:c>
      <x:c r="C23" s="93" t="n">
        <x:f>COUNTIF('번호서식지_배정'!$G$5:$G$1029,$A23)+COUNTIF('번호서식지_배정'!$H$5:$H$1029,$A23)</x:f>
        <x:v>24</x:v>
      </x:c>
      <x:c r="D23" s="93" t="n">
        <x:f>COUNTIF('번호서식지_배정'!$I$5:$I$1029,$A23)+COUNTIF('번호서식지_배정'!$J$5:$J$1029,$A23)</x:f>
        <x:v>21</x:v>
      </x:c>
      <x:c r="E23" s="93" t="n">
        <x:f>COUNTIF('번호서식지_배정'!$K$5:$K$1029,$A23)+COUNTIF('번호서식지_배정'!$L$5:$L$1029,$A23)</x:f>
        <x:v>23</x:v>
      </x:c>
      <x:c r="F23" s="93" t="n">
        <x:f>COUNTIF('번호서식지_배정'!$M$5:$M$1029,$A23)+COUNTIF('번호서식지_배정'!$N$5:$N$1029,$A23)</x:f>
        <x:v>37</x:v>
      </x:c>
      <x:c r="G23" s="93" t="n">
        <x:f>COUNTIF('번호서식지_배정'!$O$5:$O$1029,$A23)+COUNTIF('번호서식지_배정'!$P$5:$P$1029,$A23)</x:f>
        <x:v>35</x:v>
      </x:c>
      <x:c r="H23" s="93" t="n">
        <x:f>COUNTIF('번호서식지_배정'!$Q$5:$Q$1029,$A23)+COUNTIF('번호서식지_배정'!$R$5:$R$1029,$A23)</x:f>
        <x:v>36</x:v>
      </x:c>
      <x:c r="I23" s="93" t="n">
        <x:f>COUNTIF('번호서식지_배정'!$S$5:$S$1029,$A23)+COUNTIF('번호서식지_배정'!$T$5:$T$1029,$A23)</x:f>
        <x:v>34</x:v>
      </x:c>
      <x:c r="J23" s="93" t="n">
        <x:f>COUNTIF('번호서식지_배정'!$U$5:$U$1029,$A23)+COUNTIF('번호서식지_배정'!$V$5:$V$1029,$A23)</x:f>
        <x:v>32</x:v>
      </x:c>
      <x:c r="K23" s="95" t="n">
        <x:f>MAX(B23:J23)</x:f>
        <x:v>37</x:v>
      </x:c>
      <x:c r="L23" s="97" t="n">
        <x:f>IFERROR(AVERAGEIF(B23:J23,"&gt;0"),0)</x:f>
        <x:v>30.25</x:v>
      </x:c>
      <x:c r="M23" s="81" t="str">
        <x:f>IF(K23&lt;=40,"정상","초과")</x:f>
        <x:v>정상</x:v>
      </x:c>
    </x:row>
    <x:row r="24">
      <x:c r="A24" s="80" t="str">
        <x:v>산악3</x:v>
      </x:c>
      <x:c r="B24" s="93" t="n">
        <x:f>COUNTIF('번호서식지_배정'!$E$5:$E$1029,$A24)+COUNTIF('번호서식지_배정'!$F$5:$F$1029,$A24)</x:f>
        <x:v>0</x:v>
      </x:c>
      <x:c r="C24" s="93" t="n">
        <x:f>COUNTIF('번호서식지_배정'!$G$5:$G$1029,$A24)+COUNTIF('번호서식지_배정'!$H$5:$H$1029,$A24)</x:f>
        <x:v>0</x:v>
      </x:c>
      <x:c r="D24" s="93" t="n">
        <x:f>COUNTIF('번호서식지_배정'!$I$5:$I$1029,$A24)+COUNTIF('번호서식지_배정'!$J$5:$J$1029,$A24)</x:f>
        <x:v>0</x:v>
      </x:c>
      <x:c r="E24" s="93" t="n">
        <x:f>COUNTIF('번호서식지_배정'!$K$5:$K$1029,$A24)+COUNTIF('번호서식지_배정'!$L$5:$L$1029,$A24)</x:f>
        <x:v>0</x:v>
      </x:c>
      <x:c r="F24" s="93" t="n">
        <x:f>COUNTIF('번호서식지_배정'!$M$5:$M$1029,$A24)+COUNTIF('번호서식지_배정'!$N$5:$N$1029,$A24)</x:f>
        <x:v>0</x:v>
      </x:c>
      <x:c r="G24" s="93" t="n">
        <x:f>COUNTIF('번호서식지_배정'!$O$5:$O$1029,$A24)+COUNTIF('번호서식지_배정'!$P$5:$P$1029,$A24)</x:f>
        <x:v>34</x:v>
      </x:c>
      <x:c r="H24" s="93" t="n">
        <x:f>COUNTIF('번호서식지_배정'!$Q$5:$Q$1029,$A24)+COUNTIF('번호서식지_배정'!$R$5:$R$1029,$A24)</x:f>
        <x:v>35</x:v>
      </x:c>
      <x:c r="I24" s="93" t="n">
        <x:f>COUNTIF('번호서식지_배정'!$S$5:$S$1029,$A24)+COUNTIF('번호서식지_배정'!$T$5:$T$1029,$A24)</x:f>
        <x:v>34</x:v>
      </x:c>
      <x:c r="J24" s="93" t="n">
        <x:f>COUNTIF('번호서식지_배정'!$U$5:$U$1029,$A24)+COUNTIF('번호서식지_배정'!$V$5:$V$1029,$A24)</x:f>
        <x:v>32</x:v>
      </x:c>
      <x:c r="K24" s="95" t="n">
        <x:f>MAX(B24:J24)</x:f>
        <x:v>35</x:v>
      </x:c>
      <x:c r="L24" s="97" t="n">
        <x:f>IFERROR(AVERAGEIF(B24:J24,"&gt;0"),0)</x:f>
        <x:v>33.75</x:v>
      </x:c>
      <x:c r="M24" s="81" t="str">
        <x:f>IF(K24&lt;=40,"정상","초과")</x:f>
        <x:v>정상</x:v>
      </x:c>
    </x:row>
    <x:row r="25">
      <x:c r="A25" s="80" t="str">
        <x:v>산악4</x:v>
      </x:c>
      <x:c r="B25" s="93" t="n">
        <x:f>COUNTIF('번호서식지_배정'!$E$5:$E$1029,$A25)+COUNTIF('번호서식지_배정'!$F$5:$F$1029,$A25)</x:f>
        <x:v>0</x:v>
      </x:c>
      <x:c r="C25" s="93" t="n">
        <x:f>COUNTIF('번호서식지_배정'!$G$5:$G$1029,$A25)+COUNTIF('번호서식지_배정'!$H$5:$H$1029,$A25)</x:f>
        <x:v>0</x:v>
      </x:c>
      <x:c r="D25" s="93" t="n">
        <x:f>COUNTIF('번호서식지_배정'!$I$5:$I$1029,$A25)+COUNTIF('번호서식지_배정'!$J$5:$J$1029,$A25)</x:f>
        <x:v>0</x:v>
      </x:c>
      <x:c r="E25" s="93" t="n">
        <x:f>COUNTIF('번호서식지_배정'!$K$5:$K$1029,$A25)+COUNTIF('번호서식지_배정'!$L$5:$L$1029,$A25)</x:f>
        <x:v>0</x:v>
      </x:c>
      <x:c r="F25" s="93" t="n">
        <x:f>COUNTIF('번호서식지_배정'!$M$5:$M$1029,$A25)+COUNTIF('번호서식지_배정'!$N$5:$N$1029,$A25)</x:f>
        <x:v>0</x:v>
      </x:c>
      <x:c r="G25" s="93" t="n">
        <x:f>COUNTIF('번호서식지_배정'!$O$5:$O$1029,$A25)+COUNTIF('번호서식지_배정'!$P$5:$P$1029,$A25)</x:f>
        <x:v>0</x:v>
      </x:c>
      <x:c r="H25" s="93" t="n">
        <x:f>COUNTIF('번호서식지_배정'!$Q$5:$Q$1029,$A25)+COUNTIF('번호서식지_배정'!$R$5:$R$1029,$A25)</x:f>
        <x:v>0</x:v>
      </x:c>
      <x:c r="I25" s="93" t="n">
        <x:f>COUNTIF('번호서식지_배정'!$S$5:$S$1029,$A25)+COUNTIF('번호서식지_배정'!$T$5:$T$1029,$A25)</x:f>
        <x:v>34</x:v>
      </x:c>
      <x:c r="J25" s="93" t="n">
        <x:f>COUNTIF('번호서식지_배정'!$U$5:$U$1029,$A25)+COUNTIF('번호서식지_배정'!$V$5:$V$1029,$A25)</x:f>
        <x:v>31</x:v>
      </x:c>
      <x:c r="K25" s="95" t="n">
        <x:f>MAX(B25:J25)</x:f>
        <x:v>34</x:v>
      </x:c>
      <x:c r="L25" s="97" t="n">
        <x:f>IFERROR(AVERAGEIF(B25:J25,"&gt;0"),0)</x:f>
        <x:v>32.5</x:v>
      </x:c>
      <x:c r="M25" s="81" t="str">
        <x:f>IF(K25&lt;=40,"정상","초과")</x:f>
        <x:v>정상</x:v>
      </x:c>
    </x:row>
    <x:row r="26">
      <x:c r="A26" s="80" t="str">
        <x:v>동굴1</x:v>
      </x:c>
      <x:c r="B26" s="93" t="n">
        <x:f>COUNTIF('번호서식지_배정'!$E$5:$E$1029,$A26)+COUNTIF('번호서식지_배정'!$F$5:$F$1029,$A26)</x:f>
        <x:v>4</x:v>
      </x:c>
      <x:c r="C26" s="93" t="n">
        <x:f>COUNTIF('번호서식지_배정'!$G$5:$G$1029,$A26)+COUNTIF('번호서식지_배정'!$H$5:$H$1029,$A26)</x:f>
        <x:v>5</x:v>
      </x:c>
      <x:c r="D26" s="93" t="n">
        <x:f>COUNTIF('번호서식지_배정'!$I$5:$I$1029,$A26)+COUNTIF('번호서식지_배정'!$J$5:$J$1029,$A26)</x:f>
        <x:v>13</x:v>
      </x:c>
      <x:c r="E26" s="93" t="n">
        <x:f>COUNTIF('번호서식지_배정'!$K$5:$K$1029,$A26)+COUNTIF('번호서식지_배정'!$L$5:$L$1029,$A26)</x:f>
        <x:v>4</x:v>
      </x:c>
      <x:c r="F26" s="93" t="n">
        <x:f>COUNTIF('번호서식지_배정'!$M$5:$M$1029,$A26)+COUNTIF('번호서식지_배정'!$N$5:$N$1029,$A26)</x:f>
        <x:v>19</x:v>
      </x:c>
      <x:c r="G26" s="93" t="n">
        <x:f>COUNTIF('번호서식지_배정'!$O$5:$O$1029,$A26)+COUNTIF('번호서식지_배정'!$P$5:$P$1029,$A26)</x:f>
        <x:v>22</x:v>
      </x:c>
      <x:c r="H26" s="93" t="n">
        <x:f>COUNTIF('번호서식지_배정'!$Q$5:$Q$1029,$A26)+COUNTIF('번호서식지_배정'!$R$5:$R$1029,$A26)</x:f>
        <x:v>21</x:v>
      </x:c>
      <x:c r="I26" s="93" t="n">
        <x:f>COUNTIF('번호서식지_배정'!$S$5:$S$1029,$A26)+COUNTIF('번호서식지_배정'!$T$5:$T$1029,$A26)</x:f>
        <x:v>34</x:v>
      </x:c>
      <x:c r="J26" s="93" t="n">
        <x:f>COUNTIF('번호서식지_배정'!$U$5:$U$1029,$A26)+COUNTIF('번호서식지_배정'!$V$5:$V$1029,$A26)</x:f>
        <x:v>27</x:v>
      </x:c>
      <x:c r="K26" s="95" t="n">
        <x:f>MAX(B26:J26)</x:f>
        <x:v>34</x:v>
      </x:c>
      <x:c r="L26" s="97" t="n">
        <x:f>IFERROR(AVERAGEIF(B26:J26,"&gt;0"),0)</x:f>
        <x:v>16.555555555555557</x:v>
      </x:c>
      <x:c r="M26" s="81" t="str">
        <x:f>IF(K26&lt;=40,"정상","초과")</x:f>
        <x:v>정상</x:v>
      </x:c>
    </x:row>
    <x:row r="27">
      <x:c r="A27" s="80" t="str">
        <x:v>습지1</x:v>
      </x:c>
      <x:c r="B27" s="93" t="n">
        <x:f>COUNTIF('번호서식지_배정'!$E$5:$E$1029,$A27)+COUNTIF('번호서식지_배정'!$F$5:$F$1029,$A27)</x:f>
        <x:v>34</x:v>
      </x:c>
      <x:c r="C27" s="93" t="n">
        <x:f>COUNTIF('번호서식지_배정'!$G$5:$G$1029,$A27)+COUNTIF('번호서식지_배정'!$H$5:$H$1029,$A27)</x:f>
        <x:v>22</x:v>
      </x:c>
      <x:c r="D27" s="93" t="n">
        <x:f>COUNTIF('번호서식지_배정'!$I$5:$I$1029,$A27)+COUNTIF('번호서식지_배정'!$J$5:$J$1029,$A27)</x:f>
        <x:v>35</x:v>
      </x:c>
      <x:c r="E27" s="93" t="n">
        <x:f>COUNTIF('번호서식지_배정'!$K$5:$K$1029,$A27)+COUNTIF('번호서식지_배정'!$L$5:$L$1029,$A27)</x:f>
        <x:v>28</x:v>
      </x:c>
      <x:c r="F27" s="93" t="n">
        <x:f>COUNTIF('번호서식지_배정'!$M$5:$M$1029,$A27)+COUNTIF('번호서식지_배정'!$N$5:$N$1029,$A27)</x:f>
        <x:v>21</x:v>
      </x:c>
      <x:c r="G27" s="93" t="n">
        <x:f>COUNTIF('번호서식지_배정'!$O$5:$O$1029,$A27)+COUNTIF('번호서식지_배정'!$P$5:$P$1029,$A27)</x:f>
        <x:v>29</x:v>
      </x:c>
      <x:c r="H27" s="93" t="n">
        <x:f>COUNTIF('번호서식지_배정'!$Q$5:$Q$1029,$A27)+COUNTIF('번호서식지_배정'!$R$5:$R$1029,$A27)</x:f>
        <x:v>23</x:v>
      </x:c>
      <x:c r="I27" s="93" t="n">
        <x:f>COUNTIF('번호서식지_배정'!$S$5:$S$1029,$A27)+COUNTIF('번호서식지_배정'!$T$5:$T$1029,$A27)</x:f>
        <x:v>29</x:v>
      </x:c>
      <x:c r="J27" s="93" t="n">
        <x:f>COUNTIF('번호서식지_배정'!$U$5:$U$1029,$A27)+COUNTIF('번호서식지_배정'!$V$5:$V$1029,$A27)</x:f>
        <x:v>33</x:v>
      </x:c>
      <x:c r="K27" s="95" t="n">
        <x:f>MAX(B27:J27)</x:f>
        <x:v>35</x:v>
      </x:c>
      <x:c r="L27" s="97" t="n">
        <x:f>IFERROR(AVERAGEIF(B27:J27,"&gt;0"),0)</x:f>
        <x:v>28.22222222222222</x:v>
      </x:c>
      <x:c r="M27" s="81" t="str">
        <x:f>IF(K27&lt;=40,"정상","초과")</x:f>
        <x:v>정상</x:v>
      </x:c>
    </x:row>
    <x:row r="28">
      <x:c r="A28" s="80" t="str">
        <x:v>습지2</x:v>
      </x:c>
      <x:c r="B28" s="93" t="n">
        <x:f>COUNTIF('번호서식지_배정'!$E$5:$E$1029,$A28)+COUNTIF('번호서식지_배정'!$F$5:$F$1029,$A28)</x:f>
        <x:v>0</x:v>
      </x:c>
      <x:c r="C28" s="93" t="n">
        <x:f>COUNTIF('번호서식지_배정'!$G$5:$G$1029,$A28)+COUNTIF('번호서식지_배정'!$H$5:$H$1029,$A28)</x:f>
        <x:v>21</x:v>
      </x:c>
      <x:c r="D28" s="93" t="n">
        <x:f>COUNTIF('번호서식지_배정'!$I$5:$I$1029,$A28)+COUNTIF('번호서식지_배정'!$J$5:$J$1029,$A28)</x:f>
        <x:v>0</x:v>
      </x:c>
      <x:c r="E28" s="93" t="n">
        <x:f>COUNTIF('번호서식지_배정'!$K$5:$K$1029,$A28)+COUNTIF('번호서식지_배정'!$L$5:$L$1029,$A28)</x:f>
        <x:v>0</x:v>
      </x:c>
      <x:c r="F28" s="93" t="n">
        <x:f>COUNTIF('번호서식지_배정'!$M$5:$M$1029,$A28)+COUNTIF('번호서식지_배정'!$N$5:$N$1029,$A28)</x:f>
        <x:v>21</x:v>
      </x:c>
      <x:c r="G28" s="93" t="n">
        <x:f>COUNTIF('번호서식지_배정'!$O$5:$O$1029,$A28)+COUNTIF('번호서식지_배정'!$P$5:$P$1029,$A28)</x:f>
        <x:v>29</x:v>
      </x:c>
      <x:c r="H28" s="93" t="n">
        <x:f>COUNTIF('번호서식지_배정'!$Q$5:$Q$1029,$A28)+COUNTIF('번호서식지_배정'!$R$5:$R$1029,$A28)</x:f>
        <x:v>22</x:v>
      </x:c>
      <x:c r="I28" s="93" t="n">
        <x:f>COUNTIF('번호서식지_배정'!$S$5:$S$1029,$A28)+COUNTIF('번호서식지_배정'!$T$5:$T$1029,$A28)</x:f>
        <x:v>29</x:v>
      </x:c>
      <x:c r="J28" s="93" t="n">
        <x:f>COUNTIF('번호서식지_배정'!$U$5:$U$1029,$A28)+COUNTIF('번호서식지_배정'!$V$5:$V$1029,$A28)</x:f>
        <x:v>33</x:v>
      </x:c>
      <x:c r="K28" s="95" t="n">
        <x:f>MAX(B28:J28)</x:f>
        <x:v>33</x:v>
      </x:c>
      <x:c r="L28" s="97" t="n">
        <x:f>IFERROR(AVERAGEIF(B28:J28,"&gt;0"),0)</x:f>
        <x:v>25.833333333333332</x:v>
      </x:c>
      <x:c r="M28" s="81" t="str">
        <x:f>IF(K28&lt;=40,"정상","초과")</x:f>
        <x:v>정상</x:v>
      </x:c>
    </x:row>
    <x:row r="29">
      <x:c r="A29" s="80" t="str">
        <x:v>습지3</x:v>
      </x:c>
      <x:c r="B29" s="93" t="n">
        <x:f>COUNTIF('번호서식지_배정'!$E$5:$E$1029,$A29)+COUNTIF('번호서식지_배정'!$F$5:$F$1029,$A29)</x:f>
        <x:v>0</x:v>
      </x:c>
      <x:c r="C29" s="93" t="n">
        <x:f>COUNTIF('번호서식지_배정'!$G$5:$G$1029,$A29)+COUNTIF('번호서식지_배정'!$H$5:$H$1029,$A29)</x:f>
        <x:v>0</x:v>
      </x:c>
      <x:c r="D29" s="93" t="n">
        <x:f>COUNTIF('번호서식지_배정'!$I$5:$I$1029,$A29)+COUNTIF('번호서식지_배정'!$J$5:$J$1029,$A29)</x:f>
        <x:v>0</x:v>
      </x:c>
      <x:c r="E29" s="93" t="n">
        <x:f>COUNTIF('번호서식지_배정'!$K$5:$K$1029,$A29)+COUNTIF('번호서식지_배정'!$L$5:$L$1029,$A29)</x:f>
        <x:v>0</x:v>
      </x:c>
      <x:c r="F29" s="93" t="n">
        <x:f>COUNTIF('번호서식지_배정'!$M$5:$M$1029,$A29)+COUNTIF('번호서식지_배정'!$N$5:$N$1029,$A29)</x:f>
        <x:v>0</x:v>
      </x:c>
      <x:c r="G29" s="93" t="n">
        <x:f>COUNTIF('번호서식지_배정'!$O$5:$O$1029,$A29)+COUNTIF('번호서식지_배정'!$P$5:$P$1029,$A29)</x:f>
        <x:v>28</x:v>
      </x:c>
      <x:c r="H29" s="93" t="n">
        <x:f>COUNTIF('번호서식지_배정'!$Q$5:$Q$1029,$A29)+COUNTIF('번호서식지_배정'!$R$5:$R$1029,$A29)</x:f>
        <x:v>0</x:v>
      </x:c>
      <x:c r="I29" s="93" t="n">
        <x:f>COUNTIF('번호서식지_배정'!$S$5:$S$1029,$A29)+COUNTIF('번호서식지_배정'!$T$5:$T$1029,$A29)</x:f>
        <x:v>28</x:v>
      </x:c>
      <x:c r="J29" s="93" t="n">
        <x:f>COUNTIF('번호서식지_배정'!$U$5:$U$1029,$A29)+COUNTIF('번호서식지_배정'!$V$5:$V$1029,$A29)</x:f>
        <x:v>33</x:v>
      </x:c>
      <x:c r="K29" s="95" t="n">
        <x:f>MAX(B29:J29)</x:f>
        <x:v>33</x:v>
      </x:c>
      <x:c r="L29" s="97" t="n">
        <x:f>IFERROR(AVERAGEIF(B29:J29,"&gt;0"),0)</x:f>
        <x:v>29.666666666666668</x:v>
      </x:c>
      <x:c r="M29" s="81" t="str">
        <x:f>IF(K29&lt;=40,"정상","초과")</x:f>
        <x:v>정상</x:v>
      </x:c>
    </x:row>
    <x:row r="30">
      <x:c r="A30" s="80" t="str">
        <x:v>담수1</x:v>
      </x:c>
      <x:c r="B30" s="93" t="n">
        <x:f>COUNTIF('번호서식지_배정'!$E$5:$E$1029,$A30)+COUNTIF('번호서식지_배정'!$F$5:$F$1029,$A30)</x:f>
        <x:v>31</x:v>
      </x:c>
      <x:c r="C30" s="93" t="n">
        <x:f>COUNTIF('번호서식지_배정'!$G$5:$G$1029,$A30)+COUNTIF('번호서식지_배정'!$H$5:$H$1029,$A30)</x:f>
        <x:v>25</x:v>
      </x:c>
      <x:c r="D30" s="93" t="n">
        <x:f>COUNTIF('번호서식지_배정'!$I$5:$I$1029,$A30)+COUNTIF('번호서식지_배정'!$J$5:$J$1029,$A30)</x:f>
        <x:v>24</x:v>
      </x:c>
      <x:c r="E30" s="93" t="n">
        <x:f>COUNTIF('번호서식지_배정'!$K$5:$K$1029,$A30)+COUNTIF('번호서식지_배정'!$L$5:$L$1029,$A30)</x:f>
        <x:v>35</x:v>
      </x:c>
      <x:c r="F30" s="93" t="n">
        <x:f>COUNTIF('번호서식지_배정'!$M$5:$M$1029,$A30)+COUNTIF('번호서식지_배정'!$N$5:$N$1029,$A30)</x:f>
        <x:v>22</x:v>
      </x:c>
      <x:c r="G30" s="93" t="n">
        <x:f>COUNTIF('번호서식지_배정'!$O$5:$O$1029,$A30)+COUNTIF('번호서식지_배정'!$P$5:$P$1029,$A30)</x:f>
        <x:v>29</x:v>
      </x:c>
      <x:c r="H30" s="93" t="n">
        <x:f>COUNTIF('번호서식지_배정'!$Q$5:$Q$1029,$A30)+COUNTIF('번호서식지_배정'!$R$5:$R$1029,$A30)</x:f>
        <x:v>38</x:v>
      </x:c>
      <x:c r="I30" s="93" t="n">
        <x:f>COUNTIF('번호서식지_배정'!$S$5:$S$1029,$A30)+COUNTIF('번호서식지_배정'!$T$5:$T$1029,$A30)</x:f>
        <x:v>32</x:v>
      </x:c>
      <x:c r="J30" s="93" t="n">
        <x:f>COUNTIF('번호서식지_배정'!$U$5:$U$1029,$A30)+COUNTIF('번호서식지_배정'!$V$5:$V$1029,$A30)</x:f>
        <x:v>40</x:v>
      </x:c>
      <x:c r="K30" s="95" t="n">
        <x:f>MAX(B30:J30)</x:f>
        <x:v>40</x:v>
      </x:c>
      <x:c r="L30" s="97" t="n">
        <x:f>IFERROR(AVERAGEIF(B30:J30,"&gt;0"),0)</x:f>
        <x:v>30.666666666666668</x:v>
      </x:c>
      <x:c r="M30" s="81" t="str">
        <x:f>IF(K30&lt;=40,"정상","초과")</x:f>
        <x:v>정상</x:v>
      </x:c>
    </x:row>
    <x:row r="31">
      <x:c r="A31" s="80" t="str">
        <x:v>담수2</x:v>
      </x:c>
      <x:c r="B31" s="93" t="n">
        <x:f>COUNTIF('번호서식지_배정'!$E$5:$E$1029,$A31)+COUNTIF('번호서식지_배정'!$F$5:$F$1029,$A31)</x:f>
        <x:v>0</x:v>
      </x:c>
      <x:c r="C31" s="93" t="n">
        <x:f>COUNTIF('번호서식지_배정'!$G$5:$G$1029,$A31)+COUNTIF('번호서식지_배정'!$H$5:$H$1029,$A31)</x:f>
        <x:v>24</x:v>
      </x:c>
      <x:c r="D31" s="93" t="n">
        <x:f>COUNTIF('번호서식지_배정'!$I$5:$I$1029,$A31)+COUNTIF('번호서식지_배정'!$J$5:$J$1029,$A31)</x:f>
        <x:v>24</x:v>
      </x:c>
      <x:c r="E31" s="93" t="n">
        <x:f>COUNTIF('번호서식지_배정'!$K$5:$K$1029,$A31)+COUNTIF('번호서식지_배정'!$L$5:$L$1029,$A31)</x:f>
        <x:v>0</x:v>
      </x:c>
      <x:c r="F31" s="93" t="n">
        <x:f>COUNTIF('번호서식지_배정'!$M$5:$M$1029,$A31)+COUNTIF('번호서식지_배정'!$N$5:$N$1029,$A31)</x:f>
        <x:v>21</x:v>
      </x:c>
      <x:c r="G31" s="93" t="n">
        <x:f>COUNTIF('번호서식지_배정'!$O$5:$O$1029,$A31)+COUNTIF('번호서식지_배정'!$P$5:$P$1029,$A31)</x:f>
        <x:v>28</x:v>
      </x:c>
      <x:c r="H31" s="93" t="n">
        <x:f>COUNTIF('번호서식지_배정'!$Q$5:$Q$1029,$A31)+COUNTIF('번호서식지_배정'!$R$5:$R$1029,$A31)</x:f>
        <x:v>38</x:v>
      </x:c>
      <x:c r="I31" s="93" t="n">
        <x:f>COUNTIF('번호서식지_배정'!$S$5:$S$1029,$A31)+COUNTIF('번호서식지_배정'!$T$5:$T$1029,$A31)</x:f>
        <x:v>32</x:v>
      </x:c>
      <x:c r="J31" s="93" t="n">
        <x:f>COUNTIF('번호서식지_배정'!$U$5:$U$1029,$A31)+COUNTIF('번호서식지_배정'!$V$5:$V$1029,$A31)</x:f>
        <x:v>40</x:v>
      </x:c>
      <x:c r="K31" s="95" t="n">
        <x:f>MAX(B31:J31)</x:f>
        <x:v>40</x:v>
      </x:c>
      <x:c r="L31" s="97" t="n">
        <x:f>IFERROR(AVERAGEIF(B31:J31,"&gt;0"),0)</x:f>
        <x:v>29.571428571428573</x:v>
      </x:c>
      <x:c r="M31" s="81" t="str">
        <x:f>IF(K31&lt;=40,"정상","초과")</x:f>
        <x:v>정상</x:v>
      </x:c>
    </x:row>
    <x:row r="32">
      <x:c r="A32" s="80" t="str">
        <x:v>담수3</x:v>
      </x:c>
      <x:c r="B32" s="93" t="n">
        <x:f>COUNTIF('번호서식지_배정'!$E$5:$E$1029,$A32)+COUNTIF('번호서식지_배정'!$F$5:$F$1029,$A32)</x:f>
        <x:v>0</x:v>
      </x:c>
      <x:c r="C32" s="93" t="n">
        <x:f>COUNTIF('번호서식지_배정'!$G$5:$G$1029,$A32)+COUNTIF('번호서식지_배정'!$H$5:$H$1029,$A32)</x:f>
        <x:v>0</x:v>
      </x:c>
      <x:c r="D32" s="93" t="n">
        <x:f>COUNTIF('번호서식지_배정'!$I$5:$I$1029,$A32)+COUNTIF('번호서식지_배정'!$J$5:$J$1029,$A32)</x:f>
        <x:v>0</x:v>
      </x:c>
      <x:c r="E32" s="93" t="n">
        <x:f>COUNTIF('번호서식지_배정'!$K$5:$K$1029,$A32)+COUNTIF('번호서식지_배정'!$L$5:$L$1029,$A32)</x:f>
        <x:v>0</x:v>
      </x:c>
      <x:c r="F32" s="93" t="n">
        <x:f>COUNTIF('번호서식지_배정'!$M$5:$M$1029,$A32)+COUNTIF('번호서식지_배정'!$N$5:$N$1029,$A32)</x:f>
        <x:v>0</x:v>
      </x:c>
      <x:c r="G32" s="93" t="n">
        <x:f>COUNTIF('번호서식지_배정'!$O$5:$O$1029,$A32)+COUNTIF('번호서식지_배정'!$P$5:$P$1029,$A32)</x:f>
        <x:v>28</x:v>
      </x:c>
      <x:c r="H32" s="93" t="n">
        <x:f>COUNTIF('번호서식지_배정'!$Q$5:$Q$1029,$A32)+COUNTIF('번호서식지_배정'!$R$5:$R$1029,$A32)</x:f>
        <x:v>0</x:v>
      </x:c>
      <x:c r="I32" s="93" t="n">
        <x:f>COUNTIF('번호서식지_배정'!$S$5:$S$1029,$A32)+COUNTIF('번호서식지_배정'!$T$5:$T$1029,$A32)</x:f>
        <x:v>32</x:v>
      </x:c>
      <x:c r="J32" s="93" t="n">
        <x:f>COUNTIF('번호서식지_배정'!$U$5:$U$1029,$A32)+COUNTIF('번호서식지_배정'!$V$5:$V$1029,$A32)</x:f>
        <x:v>40</x:v>
      </x:c>
      <x:c r="K32" s="95" t="n">
        <x:f>MAX(B32:J32)</x:f>
        <x:v>40</x:v>
      </x:c>
      <x:c r="L32" s="97" t="n">
        <x:f>IFERROR(AVERAGEIF(B32:J32,"&gt;0"),0)</x:f>
        <x:v>33.333333333333336</x:v>
      </x:c>
      <x:c r="M32" s="81" t="str">
        <x:f>IF(K32&lt;=40,"정상","초과")</x:f>
        <x:v>정상</x:v>
      </x:c>
    </x:row>
    <x:row r="33">
      <x:c r="A33" s="80" t="str">
        <x:v>해양1</x:v>
      </x:c>
      <x:c r="B33" s="93" t="n">
        <x:f>COUNTIF('번호서식지_배정'!$E$5:$E$1029,$A33)+COUNTIF('번호서식지_배정'!$F$5:$F$1029,$A33)</x:f>
        <x:v>24</x:v>
      </x:c>
      <x:c r="C33" s="93" t="n">
        <x:f>COUNTIF('번호서식지_배정'!$G$5:$G$1029,$A33)+COUNTIF('번호서식지_배정'!$H$5:$H$1029,$A33)</x:f>
        <x:v>33</x:v>
      </x:c>
      <x:c r="D33" s="93" t="n">
        <x:f>COUNTIF('번호서식지_배정'!$I$5:$I$1029,$A33)+COUNTIF('번호서식지_배정'!$J$5:$J$1029,$A33)</x:f>
        <x:v>29</x:v>
      </x:c>
      <x:c r="E33" s="93" t="n">
        <x:f>COUNTIF('번호서식지_배정'!$K$5:$K$1029,$A33)+COUNTIF('번호서식지_배정'!$L$5:$L$1029,$A33)</x:f>
        <x:v>17</x:v>
      </x:c>
      <x:c r="F33" s="93" t="n">
        <x:f>COUNTIF('번호서식지_배정'!$M$5:$M$1029,$A33)+COUNTIF('번호서식지_배정'!$N$5:$N$1029,$A33)</x:f>
        <x:v>29</x:v>
      </x:c>
      <x:c r="G33" s="93" t="n">
        <x:f>COUNTIF('번호서식지_배정'!$O$5:$O$1029,$A33)+COUNTIF('번호서식지_배정'!$P$5:$P$1029,$A33)</x:f>
        <x:v>25</x:v>
      </x:c>
      <x:c r="H33" s="93" t="n">
        <x:f>COUNTIF('번호서식지_배정'!$Q$5:$Q$1029,$A33)+COUNTIF('번호서식지_배정'!$R$5:$R$1029,$A33)</x:f>
        <x:v>34</x:v>
      </x:c>
      <x:c r="I33" s="93" t="n">
        <x:f>COUNTIF('번호서식지_배정'!$S$5:$S$1029,$A33)+COUNTIF('번호서식지_배정'!$T$5:$T$1029,$A33)</x:f>
        <x:v>36</x:v>
      </x:c>
      <x:c r="J33" s="93" t="n">
        <x:f>COUNTIF('번호서식지_배정'!$U$5:$U$1029,$A33)+COUNTIF('번호서식지_배정'!$V$5:$V$1029,$A33)</x:f>
        <x:v>37</x:v>
      </x:c>
      <x:c r="K33" s="95" t="n">
        <x:f>MAX(B33:J33)</x:f>
        <x:v>37</x:v>
      </x:c>
      <x:c r="L33" s="97" t="n">
        <x:f>IFERROR(AVERAGEIF(B33:J33,"&gt;0"),0)</x:f>
        <x:v>29.333333333333332</x:v>
      </x:c>
      <x:c r="M33" s="81" t="str">
        <x:f>IF(K33&lt;=40,"정상","초과")</x:f>
        <x:v>정상</x:v>
      </x:c>
    </x:row>
    <x:row r="34">
      <x:c r="A34" s="80" t="str">
        <x:v>해양2</x:v>
      </x:c>
      <x:c r="B34" s="93" t="n">
        <x:f>COUNTIF('번호서식지_배정'!$E$5:$E$1029,$A34)+COUNTIF('번호서식지_배정'!$F$5:$F$1029,$A34)</x:f>
        <x:v>0</x:v>
      </x:c>
      <x:c r="C34" s="93" t="n">
        <x:f>COUNTIF('번호서식지_배정'!$G$5:$G$1029,$A34)+COUNTIF('번호서식지_배정'!$H$5:$H$1029,$A34)</x:f>
        <x:v>0</x:v>
      </x:c>
      <x:c r="D34" s="93" t="n">
        <x:f>COUNTIF('번호서식지_배정'!$I$5:$I$1029,$A34)+COUNTIF('번호서식지_배정'!$J$5:$J$1029,$A34)</x:f>
        <x:v>0</x:v>
      </x:c>
      <x:c r="E34" s="93" t="n">
        <x:f>COUNTIF('번호서식지_배정'!$K$5:$K$1029,$A34)+COUNTIF('번호서식지_배정'!$L$5:$L$1029,$A34)</x:f>
        <x:v>0</x:v>
      </x:c>
      <x:c r="F34" s="93" t="n">
        <x:f>COUNTIF('번호서식지_배정'!$M$5:$M$1029,$A34)+COUNTIF('번호서식지_배정'!$N$5:$N$1029,$A34)</x:f>
        <x:v>0</x:v>
      </x:c>
      <x:c r="G34" s="93" t="n">
        <x:f>COUNTIF('번호서식지_배정'!$O$5:$O$1029,$A34)+COUNTIF('번호서식지_배정'!$P$5:$P$1029,$A34)</x:f>
        <x:v>24</x:v>
      </x:c>
      <x:c r="H34" s="93" t="n">
        <x:f>COUNTIF('번호서식지_배정'!$Q$5:$Q$1029,$A34)+COUNTIF('번호서식지_배정'!$R$5:$R$1029,$A34)</x:f>
        <x:v>33</x:v>
      </x:c>
      <x:c r="I34" s="93" t="n">
        <x:f>COUNTIF('번호서식지_배정'!$S$5:$S$1029,$A34)+COUNTIF('번호서식지_배정'!$T$5:$T$1029,$A34)</x:f>
        <x:v>35</x:v>
      </x:c>
      <x:c r="J34" s="93" t="n">
        <x:f>COUNTIF('번호서식지_배정'!$U$5:$U$1029,$A34)+COUNTIF('번호서식지_배정'!$V$5:$V$1029,$A34)</x:f>
        <x:v>36</x:v>
      </x:c>
      <x:c r="K34" s="95" t="n">
        <x:f>MAX(B34:J34)</x:f>
        <x:v>36</x:v>
      </x:c>
      <x:c r="L34" s="97" t="n">
        <x:f>IFERROR(AVERAGEIF(B34:J34,"&gt;0"),0)</x:f>
        <x:v>32</x:v>
      </x:c>
      <x:c r="M34" s="81" t="str">
        <x:f>IF(K34&lt;=40,"정상","초과")</x:f>
        <x:v>정상</x:v>
      </x:c>
    </x:row>
    <x:row r="35">
      <x:c r="A35" s="80" t="str">
        <x:v>설원1</x:v>
      </x:c>
      <x:c r="B35" s="93" t="n">
        <x:f>COUNTIF('번호서식지_배정'!$E$5:$E$1029,$A35)+COUNTIF('번호서식지_배정'!$F$5:$F$1029,$A35)</x:f>
        <x:v>1</x:v>
      </x:c>
      <x:c r="C35" s="93" t="n">
        <x:f>COUNTIF('번호서식지_배정'!$G$5:$G$1029,$A35)+COUNTIF('번호서식지_배정'!$H$5:$H$1029,$A35)</x:f>
        <x:v>7</x:v>
      </x:c>
      <x:c r="D35" s="93" t="n">
        <x:f>COUNTIF('번호서식지_배정'!$I$5:$I$1029,$A35)+COUNTIF('번호서식지_배정'!$J$5:$J$1029,$A35)</x:f>
        <x:v>2</x:v>
      </x:c>
      <x:c r="E35" s="93" t="n">
        <x:f>COUNTIF('번호서식지_배정'!$K$5:$K$1029,$A35)+COUNTIF('번호서식지_배정'!$L$5:$L$1029,$A35)</x:f>
        <x:v>11</x:v>
      </x:c>
      <x:c r="F35" s="93" t="n">
        <x:f>COUNTIF('번호서식지_배정'!$M$5:$M$1029,$A35)+COUNTIF('번호서식지_배정'!$N$5:$N$1029,$A35)</x:f>
        <x:v>11</x:v>
      </x:c>
      <x:c r="G35" s="93" t="n">
        <x:f>COUNTIF('번호서식지_배정'!$O$5:$O$1029,$A35)+COUNTIF('번호서식지_배정'!$P$5:$P$1029,$A35)</x:f>
        <x:v>17</x:v>
      </x:c>
      <x:c r="H35" s="93" t="n">
        <x:f>COUNTIF('번호서식지_배정'!$Q$5:$Q$1029,$A35)+COUNTIF('번호서식지_배정'!$R$5:$R$1029,$A35)</x:f>
        <x:v>12</x:v>
      </x:c>
      <x:c r="I35" s="93" t="n">
        <x:f>COUNTIF('번호서식지_배정'!$S$5:$S$1029,$A35)+COUNTIF('번호서식지_배정'!$T$5:$T$1029,$A35)</x:f>
        <x:v>28</x:v>
      </x:c>
      <x:c r="J35" s="93" t="n">
        <x:f>COUNTIF('번호서식지_배정'!$U$5:$U$1029,$A35)+COUNTIF('번호서식지_배정'!$V$5:$V$1029,$A35)</x:f>
        <x:v>28</x:v>
      </x:c>
      <x:c r="K35" s="95" t="n">
        <x:f>MAX(B35:J35)</x:f>
        <x:v>28</x:v>
      </x:c>
      <x:c r="L35" s="97" t="n">
        <x:f>IFERROR(AVERAGEIF(B35:J35,"&gt;0"),0)</x:f>
        <x:v>13</x:v>
      </x:c>
      <x:c r="M35" s="81" t="str">
        <x:f>IF(K35&lt;=40,"정상","초과")</x:f>
        <x:v>정상</x:v>
      </x:c>
    </x:row>
    <x:row r="36">
      <x:c r="A36" s="80" t="str">
        <x:v>화산1</x:v>
      </x:c>
      <x:c r="B36" s="93" t="n">
        <x:f>COUNTIF('번호서식지_배정'!$E$5:$E$1029,$A36)+COUNTIF('번호서식지_배정'!$F$5:$F$1029,$A36)</x:f>
        <x:v>16</x:v>
      </x:c>
      <x:c r="C36" s="93" t="n">
        <x:f>COUNTIF('번호서식지_배정'!$G$5:$G$1029,$A36)+COUNTIF('번호서식지_배정'!$H$5:$H$1029,$A36)</x:f>
        <x:v>28</x:v>
      </x:c>
      <x:c r="D36" s="93" t="n">
        <x:f>COUNTIF('번호서식지_배정'!$I$5:$I$1029,$A36)+COUNTIF('번호서식지_배정'!$J$5:$J$1029,$A36)</x:f>
        <x:v>18</x:v>
      </x:c>
      <x:c r="E36" s="93" t="n">
        <x:f>COUNTIF('번호서식지_배정'!$K$5:$K$1029,$A36)+COUNTIF('번호서식지_배정'!$L$5:$L$1029,$A36)</x:f>
        <x:v>23</x:v>
      </x:c>
      <x:c r="F36" s="93" t="n">
        <x:f>COUNTIF('번호서식지_배정'!$M$5:$M$1029,$A36)+COUNTIF('번호서식지_배정'!$N$5:$N$1029,$A36)</x:f>
        <x:v>22</x:v>
      </x:c>
      <x:c r="G36" s="93" t="n">
        <x:f>COUNTIF('번호서식지_배정'!$O$5:$O$1029,$A36)+COUNTIF('번호서식지_배정'!$P$5:$P$1029,$A36)</x:f>
        <x:v>29</x:v>
      </x:c>
      <x:c r="H36" s="93" t="n">
        <x:f>COUNTIF('번호서식지_배정'!$Q$5:$Q$1029,$A36)+COUNTIF('번호서식지_배정'!$R$5:$R$1029,$A36)</x:f>
        <x:v>38</x:v>
      </x:c>
      <x:c r="I36" s="93" t="n">
        <x:f>COUNTIF('번호서식지_배정'!$S$5:$S$1029,$A36)+COUNTIF('번호서식지_배정'!$T$5:$T$1029,$A36)</x:f>
        <x:v>36</x:v>
      </x:c>
      <x:c r="J36" s="93" t="n">
        <x:f>COUNTIF('번호서식지_배정'!$U$5:$U$1029,$A36)+COUNTIF('번호서식지_배정'!$V$5:$V$1029,$A36)</x:f>
        <x:v>36</x:v>
      </x:c>
      <x:c r="K36" s="95" t="n">
        <x:f>MAX(B36:J36)</x:f>
        <x:v>38</x:v>
      </x:c>
      <x:c r="L36" s="97" t="n">
        <x:f>IFERROR(AVERAGEIF(B36:J36,"&gt;0"),0)</x:f>
        <x:v>27.333333333333332</x:v>
      </x:c>
      <x:c r="M36" s="81" t="str">
        <x:f>IF(K36&lt;=40,"정상","초과")</x:f>
        <x:v>정상</x:v>
      </x:c>
    </x:row>
    <x:row r="37">
      <x:c r="A37" s="80" t="str">
        <x:v>화산2</x:v>
      </x:c>
      <x:c r="B37" s="93" t="n">
        <x:f>COUNTIF('번호서식지_배정'!$E$5:$E$1029,$A37)+COUNTIF('번호서식지_배정'!$F$5:$F$1029,$A37)</x:f>
        <x:v>0</x:v>
      </x:c>
      <x:c r="C37" s="93" t="n">
        <x:f>COUNTIF('번호서식지_배정'!$G$5:$G$1029,$A37)+COUNTIF('번호서식지_배정'!$H$5:$H$1029,$A37)</x:f>
        <x:v>0</x:v>
      </x:c>
      <x:c r="D37" s="93" t="n">
        <x:f>COUNTIF('번호서식지_배정'!$I$5:$I$1029,$A37)+COUNTIF('번호서식지_배정'!$J$5:$J$1029,$A37)</x:f>
        <x:v>0</x:v>
      </x:c>
      <x:c r="E37" s="93" t="n">
        <x:f>COUNTIF('번호서식지_배정'!$K$5:$K$1029,$A37)+COUNTIF('번호서식지_배정'!$L$5:$L$1029,$A37)</x:f>
        <x:v>0</x:v>
      </x:c>
      <x:c r="F37" s="93" t="n">
        <x:f>COUNTIF('번호서식지_배정'!$M$5:$M$1029,$A37)+COUNTIF('번호서식지_배정'!$N$5:$N$1029,$A37)</x:f>
        <x:v>22</x:v>
      </x:c>
      <x:c r="G37" s="93" t="n">
        <x:f>COUNTIF('번호서식지_배정'!$O$5:$O$1029,$A37)+COUNTIF('번호서식지_배정'!$P$5:$P$1029,$A37)</x:f>
        <x:v>29</x:v>
      </x:c>
      <x:c r="H37" s="93" t="n">
        <x:f>COUNTIF('번호서식지_배정'!$Q$5:$Q$1029,$A37)+COUNTIF('번호서식지_배정'!$R$5:$R$1029,$A37)</x:f>
        <x:v>0</x:v>
      </x:c>
      <x:c r="I37" s="93" t="n">
        <x:f>COUNTIF('번호서식지_배정'!$S$5:$S$1029,$A37)+COUNTIF('번호서식지_배정'!$T$5:$T$1029,$A37)</x:f>
        <x:v>35</x:v>
      </x:c>
      <x:c r="J37" s="93" t="n">
        <x:f>COUNTIF('번호서식지_배정'!$U$5:$U$1029,$A37)+COUNTIF('번호서식지_배정'!$V$5:$V$1029,$A37)</x:f>
        <x:v>36</x:v>
      </x:c>
      <x:c r="K37" s="95" t="n">
        <x:f>MAX(B37:J37)</x:f>
        <x:v>36</x:v>
      </x:c>
      <x:c r="L37" s="97" t="n">
        <x:f>IFERROR(AVERAGEIF(B37:J37,"&gt;0"),0)</x:f>
        <x:v>30.5</x:v>
      </x:c>
      <x:c r="M37" s="81" t="str">
        <x:f>IF(K37&lt;=40,"정상","초과")</x:f>
        <x:v>정상</x:v>
      </x:c>
    </x:row>
    <x:row r="38">
      <x:c r="A38" s="80" t="str">
        <x:v>화산3</x:v>
      </x:c>
      <x:c r="B38" s="93" t="n">
        <x:f>COUNTIF('번호서식지_배정'!$E$5:$E$1029,$A38)+COUNTIF('번호서식지_배정'!$F$5:$F$1029,$A38)</x:f>
        <x:v>0</x:v>
      </x:c>
      <x:c r="C38" s="93" t="n">
        <x:f>COUNTIF('번호서식지_배정'!$G$5:$G$1029,$A38)+COUNTIF('번호서식지_배정'!$H$5:$H$1029,$A38)</x:f>
        <x:v>0</x:v>
      </x:c>
      <x:c r="D38" s="93" t="n">
        <x:f>COUNTIF('번호서식지_배정'!$I$5:$I$1029,$A38)+COUNTIF('번호서식지_배정'!$J$5:$J$1029,$A38)</x:f>
        <x:v>0</x:v>
      </x:c>
      <x:c r="E38" s="93" t="n">
        <x:f>COUNTIF('번호서식지_배정'!$K$5:$K$1029,$A38)+COUNTIF('번호서식지_배정'!$L$5:$L$1029,$A38)</x:f>
        <x:v>0</x:v>
      </x:c>
      <x:c r="F38" s="93" t="n">
        <x:f>COUNTIF('번호서식지_배정'!$M$5:$M$1029,$A38)+COUNTIF('번호서식지_배정'!$N$5:$N$1029,$A38)</x:f>
        <x:v>0</x:v>
      </x:c>
      <x:c r="G38" s="93" t="n">
        <x:f>COUNTIF('번호서식지_배정'!$O$5:$O$1029,$A38)+COUNTIF('번호서식지_배정'!$P$5:$P$1029,$A38)</x:f>
        <x:v>0</x:v>
      </x:c>
      <x:c r="H38" s="93" t="n">
        <x:f>COUNTIF('번호서식지_배정'!$Q$5:$Q$1029,$A38)+COUNTIF('번호서식지_배정'!$R$5:$R$1029,$A38)</x:f>
        <x:v>0</x:v>
      </x:c>
      <x:c r="I38" s="93" t="n">
        <x:f>COUNTIF('번호서식지_배정'!$S$5:$S$1029,$A38)+COUNTIF('번호서식지_배정'!$T$5:$T$1029,$A38)</x:f>
        <x:v>0</x:v>
      </x:c>
      <x:c r="J38" s="93" t="n">
        <x:f>COUNTIF('번호서식지_배정'!$U$5:$U$1029,$A38)+COUNTIF('번호서식지_배정'!$V$5:$V$1029,$A38)</x:f>
        <x:v>36</x:v>
      </x:c>
      <x:c r="K38" s="95" t="n">
        <x:f>MAX(B38:J38)</x:f>
        <x:v>36</x:v>
      </x:c>
      <x:c r="L38" s="97" t="n">
        <x:f>IFERROR(AVERAGEIF(B38:J38,"&gt;0"),0)</x:f>
        <x:v>36</x:v>
      </x:c>
      <x:c r="M38" s="81" t="str">
        <x:f>IF(K38&lt;=40,"정상","초과")</x:f>
        <x:v>정상</x:v>
      </x:c>
    </x:row>
    <x:row r="39">
      <x:c r="A39" s="80" t="str">
        <x:v>도시1</x:v>
      </x:c>
      <x:c r="B39" s="93" t="n">
        <x:f>COUNTIF('번호서식지_배정'!$E$5:$E$1029,$A39)+COUNTIF('번호서식지_배정'!$F$5:$F$1029,$A39)</x:f>
        <x:v>5</x:v>
      </x:c>
      <x:c r="C39" s="93" t="n">
        <x:f>COUNTIF('번호서식지_배정'!$G$5:$G$1029,$A39)+COUNTIF('번호서식지_배정'!$H$5:$H$1029,$A39)</x:f>
        <x:v>6</x:v>
      </x:c>
      <x:c r="D39" s="93" t="n">
        <x:f>COUNTIF('번호서식지_배정'!$I$5:$I$1029,$A39)+COUNTIF('번호서식지_배정'!$J$5:$J$1029,$A39)</x:f>
        <x:v>10</x:v>
      </x:c>
      <x:c r="E39" s="93" t="n">
        <x:f>COUNTIF('번호서식지_배정'!$K$5:$K$1029,$A39)+COUNTIF('번호서식지_배정'!$L$5:$L$1029,$A39)</x:f>
        <x:v>9</x:v>
      </x:c>
      <x:c r="F39" s="93" t="n">
        <x:f>COUNTIF('번호서식지_배정'!$M$5:$M$1029,$A39)+COUNTIF('번호서식지_배정'!$N$5:$N$1029,$A39)</x:f>
        <x:v>14</x:v>
      </x:c>
      <x:c r="G39" s="93" t="n">
        <x:f>COUNTIF('번호서식지_배정'!$O$5:$O$1029,$A39)+COUNTIF('번호서식지_배정'!$P$5:$P$1029,$A39)</x:f>
        <x:v>6</x:v>
      </x:c>
      <x:c r="H39" s="93" t="n">
        <x:f>COUNTIF('번호서식지_배정'!$Q$5:$Q$1029,$A39)+COUNTIF('번호서식지_배정'!$R$5:$R$1029,$A39)</x:f>
        <x:v>12</x:v>
      </x:c>
      <x:c r="I39" s="93" t="n">
        <x:f>COUNTIF('번호서식지_배정'!$S$5:$S$1029,$A39)+COUNTIF('번호서식지_배정'!$T$5:$T$1029,$A39)</x:f>
        <x:v>19</x:v>
      </x:c>
      <x:c r="J39" s="93" t="n">
        <x:f>COUNTIF('번호서식지_배정'!$U$5:$U$1029,$A39)+COUNTIF('번호서식지_배정'!$V$5:$V$1029,$A39)</x:f>
        <x:v>20</x:v>
      </x:c>
      <x:c r="K39" s="95" t="n">
        <x:f>MAX(B39:J39)</x:f>
        <x:v>20</x:v>
      </x:c>
      <x:c r="L39" s="97" t="n">
        <x:f>IFERROR(AVERAGEIF(B39:J39,"&gt;0"),0)</x:f>
        <x:v>11.222222222222221</x:v>
      </x:c>
      <x:c r="M39" s="81" t="str">
        <x:f>IF(K39&lt;=40,"정상","초과")</x:f>
        <x:v>정상</x:v>
      </x:c>
    </x:row>
    <x:row r="40">
      <x:c r="A40" s="80" t="str">
        <x:v>특수1</x:v>
      </x:c>
      <x:c r="B40" s="93" t="n">
        <x:f>COUNTIF('번호서식지_배정'!$E$5:$E$1029,$A40)+COUNTIF('번호서식지_배정'!$F$5:$F$1029,$A40)</x:f>
        <x:v>11</x:v>
      </x:c>
      <x:c r="C40" s="93" t="n">
        <x:f>COUNTIF('번호서식지_배정'!$G$5:$G$1029,$A40)+COUNTIF('번호서식지_배정'!$H$5:$H$1029,$A40)</x:f>
        <x:v>19</x:v>
      </x:c>
      <x:c r="D40" s="93" t="n">
        <x:f>COUNTIF('번호서식지_배정'!$I$5:$I$1029,$A40)+COUNTIF('번호서식지_배정'!$J$5:$J$1029,$A40)</x:f>
        <x:v>12</x:v>
      </x:c>
      <x:c r="E40" s="93" t="n">
        <x:f>COUNTIF('번호서식지_배정'!$K$5:$K$1029,$A40)+COUNTIF('번호서식지_배정'!$L$5:$L$1029,$A40)</x:f>
        <x:v>23</x:v>
      </x:c>
      <x:c r="F40" s="93" t="n">
        <x:f>COUNTIF('번호서식지_배정'!$M$5:$M$1029,$A40)+COUNTIF('번호서식지_배정'!$N$5:$N$1029,$A40)</x:f>
        <x:v>21</x:v>
      </x:c>
      <x:c r="G40" s="93" t="n">
        <x:f>COUNTIF('번호서식지_배정'!$O$5:$O$1029,$A40)+COUNTIF('번호서식지_배정'!$P$5:$P$1029,$A40)</x:f>
        <x:v>35</x:v>
      </x:c>
      <x:c r="H40" s="93" t="n">
        <x:f>COUNTIF('번호서식지_배정'!$Q$5:$Q$1029,$A40)+COUNTIF('번호서식지_배정'!$R$5:$R$1029,$A40)</x:f>
        <x:v>34</x:v>
      </x:c>
      <x:c r="I40" s="93" t="n">
        <x:f>COUNTIF('번호서식지_배정'!$S$5:$S$1029,$A40)+COUNTIF('번호서식지_배정'!$T$5:$T$1029,$A40)</x:f>
        <x:v>26</x:v>
      </x:c>
      <x:c r="J40" s="93" t="n">
        <x:f>COUNTIF('번호서식지_배정'!$U$5:$U$1029,$A40)+COUNTIF('번호서식지_배정'!$V$5:$V$1029,$A40)</x:f>
        <x:v>33</x:v>
      </x:c>
      <x:c r="K40" s="95" t="n">
        <x:f>MAX(B40:J40)</x:f>
        <x:v>35</x:v>
      </x:c>
      <x:c r="L40" s="97" t="n">
        <x:f>IFERROR(AVERAGEIF(B40:J40,"&gt;0"),0)</x:f>
        <x:v>23.77777777777778</x:v>
      </x:c>
      <x:c r="M40" s="81" t="str">
        <x:f>IF(K40&lt;=40,"정상","초과")</x:f>
        <x:v>정상</x:v>
      </x:c>
    </x:row>
    <x:row r="41">
      <x:c r="A41" s="82" t="str">
        <x:v>특수2</x:v>
      </x:c>
      <x:c r="B41" s="94" t="n">
        <x:f>COUNTIF('번호서식지_배정'!$E$5:$E$1029,$A41)+COUNTIF('번호서식지_배정'!$F$5:$F$1029,$A41)</x:f>
        <x:v>0</x:v>
      </x:c>
      <x:c r="C41" s="94" t="n">
        <x:f>COUNTIF('번호서식지_배정'!$G$5:$G$1029,$A41)+COUNTIF('번호서식지_배정'!$H$5:$H$1029,$A41)</x:f>
        <x:v>0</x:v>
      </x:c>
      <x:c r="D41" s="94" t="n">
        <x:f>COUNTIF('번호서식지_배정'!$I$5:$I$1029,$A41)+COUNTIF('번호서식지_배정'!$J$5:$J$1029,$A41)</x:f>
        <x:v>0</x:v>
      </x:c>
      <x:c r="E41" s="94" t="n">
        <x:f>COUNTIF('번호서식지_배정'!$K$5:$K$1029,$A41)+COUNTIF('번호서식지_배정'!$L$5:$L$1029,$A41)</x:f>
        <x:v>0</x:v>
      </x:c>
      <x:c r="F41" s="94" t="n">
        <x:f>COUNTIF('번호서식지_배정'!$M$5:$M$1029,$A41)+COUNTIF('번호서식지_배정'!$N$5:$N$1029,$A41)</x:f>
        <x:v>0</x:v>
      </x:c>
      <x:c r="G41" s="94" t="n">
        <x:f>COUNTIF('번호서식지_배정'!$O$5:$O$1029,$A41)+COUNTIF('번호서식지_배정'!$P$5:$P$1029,$A41)</x:f>
        <x:v>0</x:v>
      </x:c>
      <x:c r="H41" s="94" t="n">
        <x:f>COUNTIF('번호서식지_배정'!$Q$5:$Q$1029,$A41)+COUNTIF('번호서식지_배정'!$R$5:$R$1029,$A41)</x:f>
        <x:v>0</x:v>
      </x:c>
      <x:c r="I41" s="94" t="n">
        <x:f>COUNTIF('번호서식지_배정'!$S$5:$S$1029,$A41)+COUNTIF('번호서식지_배정'!$T$5:$T$1029,$A41)</x:f>
        <x:v>26</x:v>
      </x:c>
      <x:c r="J41" s="94" t="n">
        <x:f>COUNTIF('번호서식지_배정'!$U$5:$U$1029,$A41)+COUNTIF('번호서식지_배정'!$V$5:$V$1029,$A41)</x:f>
        <x:v>32</x:v>
      </x:c>
      <x:c r="K41" s="96" t="n">
        <x:f>MAX(B41:J41)</x:f>
        <x:v>32</x:v>
      </x:c>
      <x:c r="L41" s="98" t="n">
        <x:f>IFERROR(AVERAGEIF(B41:J41,"&gt;0"),0)</x:f>
        <x:v>29</x:v>
      </x:c>
      <x:c r="M41" s="83" t="str">
        <x:f>IF(K41&lt;=40,"정상","초과")</x:f>
        <x:v>정상</x:v>
      </x:c>
    </x:row>
  </x:sheetData>
  <x:mergeCells>
    <x:mergeCell ref="A1:M1"/>
    <x:mergeCell ref="A2:M2"/>
  </x:mergeCells>
  <x:conditionalFormatting sqref="M5:M41">
    <x:cfRule type="containsText" dxfId="2" priority="1" operator="containsText" text="초과"/>
  </x:conditionalFormatting>
  <x:pageMargins left="0.7" right="0.7" top="0.75" bottom="0.75" header="0.3" footer="0.3"/>
  <x:tableParts count="1">
    <x:tablePart xmlns:r="http://schemas.openxmlformats.org/officeDocument/2006/relationships" r:id="R020ae14feee24a82"/>
  </x:tableParts>
</x:worksheet>
</file>